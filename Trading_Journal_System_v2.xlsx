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Trade Log" sheetId="3" state="visible" r:id="rId3"/>
    <sheet xmlns:r="http://schemas.openxmlformats.org/officeDocument/2006/relationships" name="Dashboard" sheetId="4" state="visible" r:id="rId4"/>
    <sheet xmlns:r="http://schemas.openxmlformats.org/officeDocument/2006/relationships" name="Accounts" sheetId="5" state="visible" r:id="rId5"/>
    <sheet xmlns:r="http://schemas.openxmlformats.org/officeDocument/2006/relationships" name="Daily Journal" sheetId="6" state="visible" r:id="rId6"/>
    <sheet xmlns:r="http://schemas.openxmlformats.org/officeDocument/2006/relationships" name="Weekly Review" sheetId="7" state="visible" r:id="rId7"/>
    <sheet xmlns:r="http://schemas.openxmlformats.org/officeDocument/2006/relationships" name="Setup Playbook" sheetId="8" state="visible" r:id="rId8"/>
    <sheet xmlns:r="http://schemas.openxmlformats.org/officeDocument/2006/relationships" name="Psychology" sheetId="9" state="visible" r:id="rId9"/>
    <sheet xmlns:r="http://schemas.openxmlformats.org/officeDocument/2006/relationships" name="Instruments" sheetId="10" state="visible" r:id="rId10"/>
    <sheet xmlns:r="http://schemas.openxmlformats.org/officeDocument/2006/relationships" name="Lists" sheetId="11" state="hidden" r:id="rId11"/>
  </sheets>
  <definedNames>
    <definedName name="_xlnm.Print_Area" localSheetId="0">'Start Here'!$A$1:$B$45</definedName>
    <definedName name="_xlnm.Print_Area" localSheetId="1">'Settings'!$A$1:$I$38</definedName>
    <definedName name="_xlnm.Print_Titles" localSheetId="2">'Trade Log'!$5:$5</definedName>
    <definedName name="_xlnm.Print_Area" localSheetId="3">'Dashboard'!$A$1:$Q$127</definedName>
    <definedName name="_xlnm.Print_Area" localSheetId="4">'Accounts'!$A$1:$Y$25</definedName>
    <definedName name="_xlnm.Print_Area" localSheetId="7">'Setup Playbook'!$A$1:$L$18</definedName>
    <definedName name="_xlnm.Print_Area" localSheetId="8">'Psychology'!$A$1:$F$28</definedName>
  </definedNames>
  <calcPr calcId="124519" fullCalcOnLoad="1"/>
</workbook>
</file>

<file path=xl/styles.xml><?xml version="1.0" encoding="utf-8"?>
<styleSheet xmlns="http://schemas.openxmlformats.org/spreadsheetml/2006/main">
  <numFmts count="15">
    <numFmt numFmtId="164" formatCode="0.00&quot;R&quot;"/>
    <numFmt numFmtId="165" formatCode="#,##0.######"/>
    <numFmt numFmtId="166" formatCode="0.000%"/>
    <numFmt numFmtId="167" formatCode="#,##0;[Red]-#,##0;0"/>
    <numFmt numFmtId="168" formatCode="0.0%"/>
    <numFmt numFmtId="169" formatCode="0&quot;x&quot;"/>
    <numFmt numFmtId="170" formatCode="0.0"/>
    <numFmt numFmtId="171" formatCode="#,##0.00###"/>
    <numFmt numFmtId="172" formatCode="0.#######"/>
    <numFmt numFmtId="173" formatCode="yyyy-mm-dd"/>
    <numFmt numFmtId="174" formatCode="#,##0.00;[Red]-#,##0.00;0.00"/>
    <numFmt numFmtId="175" formatCode="0.00&quot;R&quot;;[Red]-0.00&quot;R&quot;;0.00&quot;R&quot;"/>
    <numFmt numFmtId="176" formatCode="hh:mm"/>
    <numFmt numFmtId="177" formatCode="#,##0.00######"/>
    <numFmt numFmtId="178" formatCode="0.######"/>
  </numFmts>
  <fonts count="24">
    <font>
      <name val="Calibri"/>
      <family val="2"/>
      <color theme="1"/>
      <sz val="11"/>
      <scheme val="minor"/>
    </font>
    <font>
      <name val="Arial"/>
      <b val="1"/>
      <color rgb="001F2A44"/>
      <sz val="18"/>
    </font>
    <font>
      <name val="Arial"/>
      <color rgb="005F6368"/>
      <sz val="10"/>
    </font>
    <font>
      <name val="Arial"/>
      <b val="1"/>
      <color rgb="00FFFFFF"/>
      <sz val="10"/>
    </font>
    <font>
      <name val="Arial"/>
      <b val="1"/>
      <color rgb="00202124"/>
      <sz val="10"/>
    </font>
    <font>
      <name val="Arial"/>
      <b val="1"/>
      <color rgb="001F2A44"/>
      <sz val="11"/>
    </font>
    <font>
      <name val="Arial"/>
      <color rgb="005F6368"/>
      <sz val="9"/>
    </font>
    <font>
      <name val="Arial"/>
      <b val="1"/>
      <color rgb="00FFFFFF"/>
      <sz val="9"/>
    </font>
    <font>
      <name val="Arial"/>
      <color rgb="00202124"/>
      <sz val="10"/>
    </font>
    <font>
      <name val="Arial"/>
      <b val="1"/>
      <color rgb="008A5300"/>
      <sz val="9"/>
    </font>
    <font>
      <name val="Arial"/>
      <b val="1"/>
      <color rgb="005F6368"/>
      <sz val="10"/>
    </font>
    <font>
      <name val="Arial"/>
      <b val="1"/>
      <color rgb="00202124"/>
      <sz val="9"/>
    </font>
    <font>
      <name val="Arial"/>
      <color rgb="00202124"/>
      <sz val="9"/>
    </font>
    <font>
      <name val="Arial"/>
      <b val="1"/>
      <color rgb="001F2A44"/>
      <sz val="9"/>
    </font>
    <font>
      <name val="Arial"/>
      <b val="1"/>
      <color rgb="008A5300"/>
      <sz val="10"/>
    </font>
    <font>
      <name val="Arial"/>
      <color rgb="005F6368"/>
      <sz val="8"/>
    </font>
    <font>
      <name val="Arial"/>
      <b val="1"/>
      <color rgb="001F2A44"/>
      <sz val="10"/>
    </font>
    <font>
      <name val="Arial"/>
      <color rgb="001F2A44"/>
      <sz val="9"/>
    </font>
    <font>
      <name val="Arial"/>
      <b val="1"/>
      <color rgb="005F6368"/>
      <sz val="8"/>
    </font>
    <font>
      <name val="Arial"/>
      <color rgb="00B3261E"/>
      <sz val="8"/>
    </font>
    <font>
      <name val="Arial"/>
      <color rgb="005F6368"/>
      <sz val="7"/>
    </font>
    <font>
      <name val="Arial"/>
      <b val="1"/>
      <color rgb="001F2A44"/>
      <sz val="22"/>
    </font>
    <font>
      <name val="Arial"/>
      <color rgb="005F6368"/>
      <sz val="11"/>
    </font>
    <font>
      <name val="Arial"/>
      <b val="1"/>
      <color rgb="00FFFFFF"/>
      <sz val="11"/>
    </font>
  </fonts>
  <fills count="14">
    <fill>
      <patternFill/>
    </fill>
    <fill>
      <patternFill patternType="gray125"/>
    </fill>
    <fill>
      <patternFill patternType="solid">
        <fgColor rgb="001F2A44"/>
        <bgColor rgb="001F2A44"/>
      </patternFill>
    </fill>
    <fill>
      <patternFill patternType="solid">
        <fgColor rgb="00FFF4CC"/>
        <bgColor rgb="00FFF4CC"/>
      </patternFill>
    </fill>
    <fill>
      <patternFill patternType="solid">
        <fgColor rgb="00FFF8E1"/>
        <bgColor rgb="00FFF8E1"/>
      </patternFill>
    </fill>
    <fill>
      <patternFill patternType="solid">
        <fgColor rgb="00F1F3F4"/>
        <bgColor rgb="00F1F3F4"/>
      </patternFill>
    </fill>
    <fill>
      <patternFill patternType="solid">
        <fgColor rgb="00DCE6F5"/>
        <bgColor rgb="00DCE6F5"/>
      </patternFill>
    </fill>
    <fill>
      <patternFill patternType="solid">
        <fgColor rgb="00E6E8EB"/>
        <bgColor rgb="00E6E8EB"/>
      </patternFill>
    </fill>
    <fill>
      <patternFill patternType="solid">
        <fgColor rgb="00F3F4F6"/>
        <bgColor rgb="00F3F4F6"/>
      </patternFill>
    </fill>
    <fill>
      <patternFill patternType="solid">
        <fgColor rgb="005F6368"/>
        <bgColor rgb="005F6368"/>
      </patternFill>
    </fill>
    <fill>
      <patternFill patternType="solid">
        <fgColor rgb="00E8F0FE"/>
        <bgColor rgb="00E8F0FE"/>
      </patternFill>
    </fill>
    <fill>
      <patternFill patternType="solid">
        <fgColor rgb="00FFFFFF"/>
        <bgColor rgb="00FFFFFF"/>
      </patternFill>
    </fill>
    <fill>
      <patternFill patternType="solid">
        <fgColor rgb="001E7B34"/>
        <bgColor rgb="001E7B34"/>
      </patternFill>
    </fill>
    <fill>
      <patternFill patternType="solid">
        <fgColor rgb="008A5300"/>
        <bgColor rgb="008A5300"/>
      </patternFill>
    </fill>
  </fills>
  <borders count="9">
    <border>
      <left/>
      <right/>
      <top/>
      <bottom/>
      <diagonal/>
    </border>
    <border>
      <left style="thin">
        <color rgb="00D9DCE1"/>
      </left>
      <right style="thin">
        <color rgb="00D9DCE1"/>
      </right>
      <top style="thin">
        <color rgb="00D9DCE1"/>
      </top>
      <bottom style="thin">
        <color rgb="00D9DCE1"/>
      </bottom>
    </border>
    <border>
      <left style="thin">
        <color rgb="00D9DCE1"/>
      </left>
      <right style="thin">
        <color rgb="00D9DCE1"/>
      </right>
      <top style="thin">
        <color rgb="00D9DCE1"/>
      </top>
    </border>
    <border>
      <left style="thin">
        <color rgb="00D9DCE1"/>
      </left>
      <right style="thin">
        <color rgb="00D9DCE1"/>
      </right>
    </border>
    <border>
      <left style="thin">
        <color rgb="00D9DCE1"/>
      </left>
      <right style="thin">
        <color rgb="00D9DCE1"/>
      </right>
      <bottom style="thin">
        <color rgb="00D9DCE1"/>
      </bottom>
    </border>
    <border>
      <left/>
      <right/>
      <top style="thin">
        <color rgb="00D9DCE1"/>
      </top>
      <bottom/>
      <diagonal/>
    </border>
    <border>
      <left/>
      <right style="thin">
        <color rgb="00D9DCE1"/>
      </right>
      <top style="thin">
        <color rgb="00D9DCE1"/>
      </top>
      <bottom/>
      <diagonal/>
    </border>
    <border>
      <left/>
      <right/>
      <top style="thin">
        <color rgb="00D9DCE1"/>
      </top>
      <bottom style="thin">
        <color rgb="00D9DCE1"/>
      </bottom>
      <diagonal/>
    </border>
    <border>
      <left/>
      <right style="thin">
        <color rgb="00D9DCE1"/>
      </right>
      <top style="thin">
        <color rgb="00D9DCE1"/>
      </top>
      <bottom style="thin">
        <color rgb="00D9DCE1"/>
      </bottom>
      <diagonal/>
    </border>
  </borders>
  <cellStyleXfs count="1">
    <xf numFmtId="0" fontId="0" fillId="0" borderId="0"/>
  </cellStyleXfs>
  <cellXfs count="126">
    <xf numFmtId="0" fontId="0" fillId="0" borderId="0" pivotButton="0" quotePrefix="0" xfId="0"/>
    <xf numFmtId="0" fontId="21" fillId="0" borderId="0" pivotButton="0" quotePrefix="0" xfId="0"/>
    <xf numFmtId="0" fontId="22" fillId="0" borderId="0" pivotButton="0" quotePrefix="0" xfId="0"/>
    <xf numFmtId="0" fontId="23" fillId="2" borderId="0" applyAlignment="1" pivotButton="0" quotePrefix="0" xfId="0">
      <alignment horizontal="left" vertical="center" wrapText="1"/>
    </xf>
    <xf numFmtId="0" fontId="8" fillId="0" borderId="0" applyAlignment="1" pivotButton="0" quotePrefix="0" xfId="0">
      <alignment horizontal="left" vertical="center" wrapText="1"/>
    </xf>
    <xf numFmtId="0" fontId="4" fillId="0" borderId="0" applyAlignment="1" pivotButton="0" quotePrefix="0" xfId="0">
      <alignment horizontal="left" vertical="center" wrapText="1"/>
    </xf>
    <xf numFmtId="0" fontId="23" fillId="12" borderId="0" applyAlignment="1" pivotButton="0" quotePrefix="0" xfId="0">
      <alignment horizontal="left" vertical="center" wrapText="1"/>
    </xf>
    <xf numFmtId="0" fontId="23" fillId="13" borderId="0" applyAlignment="1" pivotButton="0" quotePrefix="0" xfId="0">
      <alignment horizontal="left" vertical="center" wrapText="1"/>
    </xf>
    <xf numFmtId="0" fontId="6"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0" fillId="2" borderId="0" pivotButton="0" quotePrefix="0" xfId="0"/>
    <xf numFmtId="0" fontId="5" fillId="3" borderId="1" applyAlignment="1" pivotButton="0" quotePrefix="0" xfId="0">
      <alignment horizontal="center" vertical="center" wrapText="1"/>
    </xf>
    <xf numFmtId="164" fontId="5"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8" fillId="3" borderId="1" applyAlignment="1" pivotButton="0" quotePrefix="0" xfId="0">
      <alignment horizontal="center" vertical="center" wrapText="1"/>
    </xf>
    <xf numFmtId="165" fontId="8" fillId="3" borderId="1" applyAlignment="1" pivotButton="0" quotePrefix="0" xfId="0">
      <alignment horizontal="center" vertical="center" wrapText="1"/>
    </xf>
    <xf numFmtId="2" fontId="8" fillId="3" borderId="1" applyAlignment="1" pivotButton="0" quotePrefix="0" xfId="0">
      <alignment horizontal="center" vertical="center" wrapText="1"/>
    </xf>
    <xf numFmtId="166" fontId="8"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4" borderId="0" applyAlignment="1" pivotButton="0" quotePrefix="0" xfId="0">
      <alignment horizontal="left" vertical="center" wrapText="1"/>
    </xf>
    <xf numFmtId="0" fontId="0" fillId="4" borderId="0" pivotButton="0" quotePrefix="0" xfId="0"/>
    <xf numFmtId="167" fontId="5" fillId="3" borderId="1" applyAlignment="1" pivotButton="0" quotePrefix="0" xfId="0">
      <alignment horizontal="center" vertical="center" wrapText="1"/>
    </xf>
    <xf numFmtId="168" fontId="5" fillId="3" borderId="1" applyAlignment="1" pivotButton="0" quotePrefix="0" xfId="0">
      <alignment horizontal="center" vertical="center" wrapText="1"/>
    </xf>
    <xf numFmtId="169" fontId="5" fillId="3" borderId="1" applyAlignment="1" pivotButton="0" quotePrefix="0" xfId="0">
      <alignment horizontal="center" vertical="center" wrapText="1"/>
    </xf>
    <xf numFmtId="1" fontId="5" fillId="3" borderId="1" applyAlignment="1" pivotButton="0" quotePrefix="0" xfId="0">
      <alignment horizontal="center" vertical="center" wrapText="1"/>
    </xf>
    <xf numFmtId="170" fontId="5"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14" fillId="0" borderId="0" pivotButton="0" quotePrefix="0" xfId="0"/>
    <xf numFmtId="0" fontId="13" fillId="6" borderId="0" applyAlignment="1" pivotButton="0" quotePrefix="0" xfId="0">
      <alignment horizontal="center" vertical="center" wrapText="1"/>
    </xf>
    <xf numFmtId="0" fontId="0" fillId="6" borderId="0" pivotButton="0" quotePrefix="0" xfId="0"/>
    <xf numFmtId="0" fontId="13" fillId="7" borderId="0" applyAlignment="1" pivotButton="0" quotePrefix="0" xfId="0">
      <alignment horizontal="center" vertical="center" wrapText="1"/>
    </xf>
    <xf numFmtId="0" fontId="0" fillId="7" borderId="0" pivotButton="0" quotePrefix="0" xfId="0"/>
    <xf numFmtId="0" fontId="13" fillId="8" borderId="0" applyAlignment="1" pivotButton="0" quotePrefix="0" xfId="0">
      <alignment horizontal="center" vertical="center" wrapText="1"/>
    </xf>
    <xf numFmtId="0" fontId="0" fillId="8" borderId="0" pivotButton="0" quotePrefix="0" xfId="0"/>
    <xf numFmtId="0" fontId="7" fillId="9" borderId="1" applyAlignment="1" pivotButton="0" quotePrefix="0" xfId="0">
      <alignment horizontal="center" vertical="center" wrapText="1"/>
    </xf>
    <xf numFmtId="173" fontId="8" fillId="0" borderId="1" applyAlignment="1" pivotButton="0" quotePrefix="0" xfId="0">
      <alignment horizontal="center" vertical="center"/>
    </xf>
    <xf numFmtId="176" fontId="8" fillId="0"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177" fontId="8" fillId="0" borderId="1" applyAlignment="1" pivotButton="0" quotePrefix="0" xfId="0">
      <alignment horizontal="center" vertical="center"/>
    </xf>
    <xf numFmtId="174" fontId="8" fillId="0" borderId="1" applyAlignment="1" pivotButton="0" quotePrefix="0" xfId="0">
      <alignment horizontal="center" vertical="center"/>
    </xf>
    <xf numFmtId="174" fontId="4" fillId="5" borderId="1" applyAlignment="1" pivotButton="0" quotePrefix="0" xfId="0">
      <alignment horizontal="center" vertical="center"/>
    </xf>
    <xf numFmtId="175" fontId="4" fillId="5" borderId="1" applyAlignment="1" pivotButton="0" quotePrefix="0" xfId="0">
      <alignment horizontal="center" vertical="center"/>
    </xf>
    <xf numFmtId="0" fontId="4" fillId="5" borderId="1" applyAlignment="1" pivotButton="0" quotePrefix="0" xfId="0">
      <alignment horizontal="center" vertical="center"/>
    </xf>
    <xf numFmtId="2" fontId="8" fillId="5" borderId="1" applyAlignment="1" pivotButton="0" quotePrefix="0" xfId="0">
      <alignment horizontal="center" vertical="center"/>
    </xf>
    <xf numFmtId="164" fontId="8" fillId="5" borderId="1" applyAlignment="1" pivotButton="0" quotePrefix="0" xfId="0">
      <alignment horizontal="center" vertical="center"/>
    </xf>
    <xf numFmtId="174" fontId="8" fillId="5" borderId="1" applyAlignment="1" pivotButton="0" quotePrefix="0" xfId="0">
      <alignment horizontal="center" vertical="center"/>
    </xf>
    <xf numFmtId="0" fontId="8" fillId="5" borderId="1" applyAlignment="1" pivotButton="0" quotePrefix="0" xfId="0">
      <alignment horizontal="left" vertical="center"/>
    </xf>
    <xf numFmtId="0" fontId="8" fillId="0" borderId="1" applyAlignment="1" pivotButton="0" quotePrefix="0" xfId="0">
      <alignment horizontal="left" vertical="center" wrapText="1"/>
    </xf>
    <xf numFmtId="0" fontId="15" fillId="8" borderId="1" applyAlignment="1" pivotButton="0" quotePrefix="0" xfId="0">
      <alignment horizontal="center" vertical="center"/>
    </xf>
    <xf numFmtId="165" fontId="15" fillId="8" borderId="1" applyAlignment="1" pivotButton="0" quotePrefix="0" xfId="0">
      <alignment horizontal="center" vertical="center"/>
    </xf>
    <xf numFmtId="178" fontId="15" fillId="8" borderId="1" applyAlignment="1" pivotButton="0" quotePrefix="0" xfId="0">
      <alignment horizontal="center" vertical="center"/>
    </xf>
    <xf numFmtId="174" fontId="15" fillId="8" borderId="1" applyAlignment="1" pivotButton="0" quotePrefix="0" xfId="0">
      <alignment horizontal="center" vertical="center"/>
    </xf>
    <xf numFmtId="1" fontId="15" fillId="8" borderId="1" applyAlignment="1" pivotButton="0" quotePrefix="0" xfId="0">
      <alignment horizontal="center" vertical="center"/>
    </xf>
    <xf numFmtId="173" fontId="15" fillId="8" borderId="1" applyAlignment="1" pivotButton="0" quotePrefix="0" xfId="0">
      <alignment horizontal="center" vertical="center"/>
    </xf>
    <xf numFmtId="0" fontId="15" fillId="8" borderId="1" applyAlignment="1" pivotButton="0" quotePrefix="0" xfId="0">
      <alignment horizontal="left" vertical="center"/>
    </xf>
    <xf numFmtId="0" fontId="16" fillId="3" borderId="1" applyAlignment="1" pivotButton="0" quotePrefix="0" xfId="0">
      <alignment horizontal="center" vertical="center" wrapText="1"/>
    </xf>
    <xf numFmtId="0" fontId="0" fillId="3" borderId="1" pivotButton="0" quotePrefix="0" xfId="0"/>
    <xf numFmtId="173" fontId="8" fillId="3" borderId="1" applyAlignment="1" pivotButton="0" quotePrefix="0" xfId="0">
      <alignment horizontal="center" vertical="center" wrapText="1"/>
    </xf>
    <xf numFmtId="0" fontId="17" fillId="10" borderId="0" applyAlignment="1" pivotButton="0" quotePrefix="0" xfId="0">
      <alignment horizontal="left" vertical="center" wrapText="1"/>
    </xf>
    <xf numFmtId="0" fontId="0" fillId="10" borderId="0" pivotButton="0" quotePrefix="0" xfId="0"/>
    <xf numFmtId="173" fontId="2" fillId="0" borderId="0" applyAlignment="1" pivotButton="0" quotePrefix="0" xfId="0">
      <alignment horizontal="center" vertical="center" wrapText="1"/>
    </xf>
    <xf numFmtId="0" fontId="18" fillId="11" borderId="2" applyAlignment="1" pivotButton="0" quotePrefix="0" xfId="0">
      <alignment horizontal="center" vertical="center" wrapText="1"/>
    </xf>
    <xf numFmtId="0" fontId="0" fillId="11" borderId="2" pivotButton="0" quotePrefix="0" xfId="0"/>
    <xf numFmtId="174" fontId="1" fillId="11" borderId="3" applyAlignment="1" pivotButton="0" quotePrefix="0" xfId="0">
      <alignment horizontal="center" vertical="center" wrapText="1"/>
    </xf>
    <xf numFmtId="0" fontId="0" fillId="11" borderId="3" pivotButton="0" quotePrefix="0" xfId="0"/>
    <xf numFmtId="168" fontId="1" fillId="11" borderId="3" applyAlignment="1" pivotButton="0" quotePrefix="0" xfId="0">
      <alignment horizontal="center" vertical="center" wrapText="1"/>
    </xf>
    <xf numFmtId="2" fontId="1" fillId="11" borderId="3" applyAlignment="1" pivotButton="0" quotePrefix="0" xfId="0">
      <alignment horizontal="center" vertical="center" wrapText="1"/>
    </xf>
    <xf numFmtId="175" fontId="1" fillId="11" borderId="3" applyAlignment="1" pivotButton="0" quotePrefix="0" xfId="0">
      <alignment horizontal="center" vertical="center" wrapText="1"/>
    </xf>
    <xf numFmtId="1" fontId="1" fillId="11" borderId="3" applyAlignment="1" pivotButton="0" quotePrefix="0" xfId="0">
      <alignment horizontal="center" vertical="center" wrapText="1"/>
    </xf>
    <xf numFmtId="0" fontId="15" fillId="11" borderId="4" applyAlignment="1" pivotButton="0" quotePrefix="0" xfId="0">
      <alignment horizontal="center" vertical="center" wrapText="1"/>
    </xf>
    <xf numFmtId="0" fontId="0" fillId="11" borderId="4" pivotButton="0" quotePrefix="0" xfId="0"/>
    <xf numFmtId="0" fontId="7" fillId="2" borderId="1" applyAlignment="1" pivotButton="0" quotePrefix="0" xfId="0">
      <alignment horizontal="left" vertical="center" wrapText="1"/>
    </xf>
    <xf numFmtId="0" fontId="0" fillId="2" borderId="1" pivotButton="0" quotePrefix="0" xfId="0"/>
    <xf numFmtId="0" fontId="11" fillId="0" borderId="1" applyAlignment="1" pivotButton="0" quotePrefix="0" xfId="0">
      <alignment horizontal="left" vertical="center" wrapText="1"/>
    </xf>
    <xf numFmtId="0" fontId="0" fillId="0" borderId="1" pivotButton="0" quotePrefix="0" xfId="0"/>
    <xf numFmtId="1" fontId="8" fillId="0" borderId="1" applyAlignment="1" pivotButton="0" quotePrefix="0" xfId="0">
      <alignment horizontal="center" vertical="center" wrapText="1"/>
    </xf>
    <xf numFmtId="174" fontId="4" fillId="0" borderId="1" applyAlignment="1" pivotButton="0" quotePrefix="0" xfId="0">
      <alignment horizontal="center" vertical="center" wrapText="1"/>
    </xf>
    <xf numFmtId="175" fontId="8" fillId="0" borderId="1" applyAlignment="1" pivotButton="0" quotePrefix="0" xfId="0">
      <alignment horizontal="center" vertical="center" wrapText="1"/>
    </xf>
    <xf numFmtId="168" fontId="8" fillId="0" borderId="1" applyAlignment="1" pivotButton="0" quotePrefix="0" xfId="0">
      <alignment horizontal="center" vertical="center" wrapText="1"/>
    </xf>
    <xf numFmtId="174" fontId="8" fillId="0" borderId="1" applyAlignment="1" pivotButton="0" quotePrefix="0" xfId="0">
      <alignment horizontal="center" vertical="center" wrapText="1"/>
    </xf>
    <xf numFmtId="0" fontId="13" fillId="10" borderId="0" applyAlignment="1" pivotButton="0" quotePrefix="0" xfId="0">
      <alignment horizontal="left" vertical="center" wrapText="1"/>
    </xf>
    <xf numFmtId="0" fontId="12" fillId="0" borderId="1" applyAlignment="1" pivotButton="0" quotePrefix="0" xfId="0">
      <alignment horizontal="left" vertical="center" wrapText="1"/>
    </xf>
    <xf numFmtId="1" fontId="4" fillId="0" borderId="1" applyAlignment="1" pivotButton="0" quotePrefix="0" xfId="0">
      <alignment horizontal="center" vertical="center" wrapText="1"/>
    </xf>
    <xf numFmtId="168" fontId="4" fillId="0" borderId="1" applyAlignment="1" pivotButton="0" quotePrefix="0" xfId="0">
      <alignment horizontal="center" vertical="center" wrapText="1"/>
    </xf>
    <xf numFmtId="170" fontId="4" fillId="0" borderId="1" applyAlignment="1" pivotButton="0" quotePrefix="0" xfId="0">
      <alignment horizontal="center" vertical="center" wrapText="1"/>
    </xf>
    <xf numFmtId="2" fontId="4" fillId="0" borderId="1" applyAlignment="1" pivotButton="0" quotePrefix="0" xfId="0">
      <alignment horizontal="center" vertical="center" wrapText="1"/>
    </xf>
    <xf numFmtId="175" fontId="4" fillId="0" borderId="1" applyAlignment="1" pivotButton="0" quotePrefix="0" xfId="0">
      <alignment horizontal="center" vertical="center" wrapText="1"/>
    </xf>
    <xf numFmtId="2" fontId="8" fillId="0" borderId="1" applyAlignment="1" pivotButton="0" quotePrefix="0" xfId="0">
      <alignment horizontal="center" vertical="center" wrapText="1"/>
    </xf>
    <xf numFmtId="164" fontId="8" fillId="0" borderId="1" applyAlignment="1" pivotButton="0" quotePrefix="0" xfId="0">
      <alignment horizontal="center" vertical="center" wrapText="1"/>
    </xf>
    <xf numFmtId="0" fontId="4" fillId="3" borderId="1" applyAlignment="1" pivotButton="0" quotePrefix="0" xfId="0">
      <alignment horizontal="left" vertical="center" wrapText="1"/>
    </xf>
    <xf numFmtId="174" fontId="8" fillId="3" borderId="1" applyAlignment="1" pivotButton="0" quotePrefix="0" xfId="0">
      <alignment horizontal="center" vertical="center" wrapText="1"/>
    </xf>
    <xf numFmtId="168" fontId="8" fillId="3" borderId="1" applyAlignment="1" pivotButton="0" quotePrefix="0" xfId="0">
      <alignment horizontal="center" vertical="center" wrapText="1"/>
    </xf>
    <xf numFmtId="1" fontId="8" fillId="5" borderId="1" applyAlignment="1" pivotButton="0" quotePrefix="0" xfId="0">
      <alignment horizontal="center" vertical="center" wrapText="1"/>
    </xf>
    <xf numFmtId="174" fontId="8" fillId="5" borderId="1" applyAlignment="1" pivotButton="0" quotePrefix="0" xfId="0">
      <alignment horizontal="center" vertical="center" wrapText="1"/>
    </xf>
    <xf numFmtId="174" fontId="4" fillId="5" borderId="1" applyAlignment="1" pivotButton="0" quotePrefix="0" xfId="0">
      <alignment horizontal="center" vertical="center" wrapText="1"/>
    </xf>
    <xf numFmtId="168" fontId="8"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13" fillId="0" borderId="0" applyAlignment="1" pivotButton="0" quotePrefix="0" xfId="0">
      <alignment horizontal="left" vertical="center" wrapText="1"/>
    </xf>
    <xf numFmtId="173" fontId="4" fillId="3" borderId="1" applyAlignment="1" pivotButton="0" quotePrefix="0" xfId="0">
      <alignment horizontal="center" vertical="center" wrapText="1"/>
    </xf>
    <xf numFmtId="0" fontId="8" fillId="5" borderId="1" applyAlignment="1" pivotButton="0" quotePrefix="0" xfId="0">
      <alignment horizontal="center" vertical="center" wrapText="1"/>
    </xf>
    <xf numFmtId="175" fontId="8" fillId="5" borderId="1" applyAlignment="1" pivotButton="0" quotePrefix="0" xfId="0">
      <alignment horizontal="center" vertical="center" wrapText="1"/>
    </xf>
    <xf numFmtId="0" fontId="19" fillId="5" borderId="1" applyAlignment="1" pivotButton="0" quotePrefix="0" xfId="0">
      <alignment horizontal="left" vertical="center" wrapText="1"/>
    </xf>
    <xf numFmtId="0" fontId="8" fillId="0" borderId="1" applyAlignment="1" pivotButton="0" quotePrefix="0" xfId="0">
      <alignment horizontal="left" vertical="top" wrapText="1"/>
    </xf>
    <xf numFmtId="173" fontId="8" fillId="5" borderId="1" applyAlignment="1" pivotButton="0" quotePrefix="0" xfId="0">
      <alignment horizontal="center" vertical="center" wrapText="1"/>
    </xf>
    <xf numFmtId="0" fontId="18" fillId="8" borderId="0" applyAlignment="1" pivotButton="0" quotePrefix="0" xfId="0">
      <alignment horizontal="center" vertical="center" wrapText="1"/>
    </xf>
    <xf numFmtId="0" fontId="20" fillId="8" borderId="0" applyAlignment="1" pivotButton="0" quotePrefix="0" xfId="0">
      <alignment horizontal="center" vertical="center" wrapText="1"/>
    </xf>
    <xf numFmtId="2" fontId="8"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4" fillId="0" borderId="1" applyAlignment="1" pivotButton="0" quotePrefix="0" xfId="0">
      <alignment horizontal="left" vertical="top" wrapText="1"/>
    </xf>
    <xf numFmtId="167" fontId="20" fillId="8" borderId="0" applyAlignment="1" pivotButton="0" quotePrefix="0" xfId="0">
      <alignment horizontal="center" vertical="center" wrapText="1"/>
    </xf>
    <xf numFmtId="0" fontId="4" fillId="3" borderId="1" applyAlignment="1" pivotButton="0" quotePrefix="0" xfId="0">
      <alignment horizontal="left" vertical="top" wrapText="1"/>
    </xf>
    <xf numFmtId="0" fontId="8" fillId="3" borderId="1" applyAlignment="1" pivotButton="0" quotePrefix="0" xfId="0">
      <alignment horizontal="left" vertical="top" wrapText="1"/>
    </xf>
    <xf numFmtId="0" fontId="6" fillId="0" borderId="0" pivotButton="0" quotePrefix="0" xfId="0"/>
    <xf numFmtId="0" fontId="4" fillId="0" borderId="1" applyAlignment="1" pivotButton="0" quotePrefix="0" xfId="0">
      <alignment horizontal="center" vertical="center" wrapText="1"/>
    </xf>
    <xf numFmtId="165" fontId="8" fillId="0" borderId="1" applyAlignment="1" pivotButton="0" quotePrefix="0" xfId="0">
      <alignment horizontal="center" vertical="center" wrapText="1"/>
    </xf>
    <xf numFmtId="172" fontId="8" fillId="0" borderId="1" applyAlignment="1" pivotButton="0" quotePrefix="0" xfId="0">
      <alignment horizontal="center" vertical="center" wrapText="1"/>
    </xf>
    <xf numFmtId="171" fontId="8" fillId="5" borderId="1" applyAlignment="1" pivotButton="0" quotePrefix="0" xfId="0">
      <alignment horizontal="center" vertical="center" wrapText="1"/>
    </xf>
    <xf numFmtId="0" fontId="8" fillId="3" borderId="1" applyAlignment="1" pivotButton="0" quotePrefix="0" xfId="0">
      <alignment horizontal="left" vertical="center" wrapText="1"/>
    </xf>
    <xf numFmtId="172" fontId="8" fillId="3" borderId="1" applyAlignment="1" pivotButton="0" quotePrefix="0" xfId="0">
      <alignment horizontal="center" vertical="center" wrapText="1"/>
    </xf>
    <xf numFmtId="0" fontId="10" fillId="0" borderId="0" pivotButton="0" quotePrefix="0" xfId="0"/>
    <xf numFmtId="0" fontId="12" fillId="0" borderId="0" pivotButton="0" quotePrefix="0" xfId="0"/>
    <xf numFmtId="173" fontId="12" fillId="0" borderId="0" pivotButton="0" quotePrefix="0" xfId="0"/>
  </cellXfs>
  <cellStyles count="1">
    <cellStyle name="Normal" xfId="0" builtinId="0" hidden="0"/>
  </cellStyles>
  <dxfs count="10">
    <dxf>
      <font>
        <name val="Arial"/>
        <b val="1"/>
        <color rgb="001E7B34"/>
      </font>
      <fill>
        <patternFill patternType="solid">
          <fgColor rgb="00E6F4EA"/>
          <bgColor rgb="00E6F4EA"/>
        </patternFill>
      </fill>
    </dxf>
    <dxf>
      <font>
        <name val="Arial"/>
        <b val="1"/>
        <color rgb="00B3261E"/>
      </font>
      <fill>
        <patternFill patternType="solid">
          <fgColor rgb="00FCE8E6"/>
          <bgColor rgb="00FCE8E6"/>
        </patternFill>
      </fill>
    </dxf>
    <dxf>
      <font>
        <name val="Arial"/>
        <b val="1"/>
        <color rgb="001E7B34"/>
      </font>
    </dxf>
    <dxf>
      <font>
        <name val="Arial"/>
        <color rgb="008A5300"/>
      </font>
      <fill>
        <patternFill patternType="solid">
          <fgColor rgb="00FFF4CE"/>
          <bgColor rgb="00FFF4CE"/>
        </patternFill>
      </fill>
    </dxf>
    <dxf>
      <font>
        <name val="Arial"/>
        <color rgb="001E7B34"/>
      </font>
    </dxf>
    <dxf>
      <font>
        <name val="Arial"/>
        <b val="1"/>
        <color rgb="008A5300"/>
      </font>
      <fill>
        <patternFill patternType="solid">
          <fgColor rgb="00FFF4CE"/>
          <bgColor rgb="00FFF4CE"/>
        </patternFill>
      </fill>
    </dxf>
    <dxf>
      <font>
        <name val="Arial"/>
        <color rgb="00B3261E"/>
      </font>
      <fill>
        <patternFill patternType="solid">
          <fgColor rgb="00FCE8E6"/>
          <bgColor rgb="00FCE8E6"/>
        </patternFill>
      </fill>
    </dxf>
    <dxf>
      <font>
        <name val="Arial"/>
        <b val="1"/>
        <color rgb="00B3261E"/>
        <sz val="18"/>
      </font>
    </dxf>
    <dxf>
      <font>
        <name val="Arial"/>
        <b val="1"/>
        <color rgb="001E7B34"/>
        <sz val="18"/>
      </font>
    </dxf>
    <dxf>
      <font>
        <name val="Arial"/>
        <b val="1"/>
        <color rgb="00B3261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Equity curve (net P&amp;L)</a:t>
            </a:r>
          </a:p>
        </rich>
      </tx>
    </title>
    <plotArea>
      <scatterChart>
        <ser>
          <idx val="0"/>
          <order val="0"/>
          <tx>
            <v>Equity</v>
          </tx>
          <spPr>
            <a:ln xmlns:a="http://schemas.openxmlformats.org/drawingml/2006/main" w="22000">
              <a:solidFill>
                <a:srgbClr val="1A73E8"/>
              </a:solidFill>
              <a:prstDash val="solid"/>
            </a:ln>
          </spPr>
          <marker>
            <symbol val="circle"/>
            <size val="4"/>
            <spPr>
              <a:ln xmlns:a="http://schemas.openxmlformats.org/drawingml/2006/main">
                <a:prstDash val="solid"/>
              </a:ln>
            </spPr>
          </marker>
          <xVal>
            <numRef>
              <f>'Trade Log'!$AZ$6:$AZ$1005</f>
            </numRef>
          </xVal>
          <yVal>
            <numRef>
              <f>'Trade Log'!$BL$6:$BL$1005</f>
            </numRef>
          </yVal>
          <smooth val="0"/>
        </ser>
        <axId val="10"/>
        <axId val="20"/>
      </scatterChart>
      <valAx>
        <axId val="10"/>
        <scaling>
          <orientation val="minMax"/>
        </scaling>
        <delete val="0"/>
        <axPos val="l"/>
        <title>
          <tx>
            <rich>
              <a:bodyPr xmlns:a="http://schemas.openxmlformats.org/drawingml/2006/main"/>
              <a:p xmlns:a="http://schemas.openxmlformats.org/drawingml/2006/main">
                <a:pPr>
                  <a:defRPr/>
                </a:pPr>
                <a:r>
                  <a:t>Trade #</a:t>
                </a:r>
              </a:p>
            </rich>
          </tx>
        </title>
        <majorTickMark val="none"/>
        <minorTickMark val="none"/>
        <crossAx val="20"/>
      </valAx>
      <valAx>
        <axId val="20"/>
        <scaling>
          <orientation val="minMax"/>
        </scaling>
        <delete val="0"/>
        <axPos val="l"/>
        <title>
          <tx>
            <rich>
              <a:bodyPr xmlns:a="http://schemas.openxmlformats.org/drawingml/2006/main"/>
              <a:p xmlns:a="http://schemas.openxmlformats.org/drawingml/2006/main">
                <a:pPr>
                  <a:defRPr/>
                </a:pPr>
                <a:r>
                  <a:t>Cumulative net P&amp;L</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Net P&amp;L by setup</a:t>
            </a:r>
          </a:p>
        </rich>
      </tx>
    </title>
    <plotArea>
      <barChart>
        <barDir val="col"/>
        <grouping val="clustered"/>
        <ser>
          <idx val="0"/>
          <order val="0"/>
          <spPr>
            <a:solidFill xmlns:a="http://schemas.openxmlformats.org/drawingml/2006/main">
              <a:srgbClr val="F29900"/>
            </a:solidFill>
            <a:ln xmlns:a="http://schemas.openxmlformats.org/drawingml/2006/main">
              <a:solidFill>
                <a:srgbClr val="F29900"/>
              </a:solidFill>
              <a:prstDash val="solid"/>
            </a:ln>
          </spPr>
          <cat>
            <numRef>
              <f>'Dashboard'!$B$57:$B$62</f>
            </numRef>
          </cat>
          <val>
            <numRef>
              <f>'Dashboard'!$G$57:$G$62</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Net P&amp;L by weekday</a:t>
            </a:r>
          </a:p>
        </rich>
      </tx>
    </title>
    <plotArea>
      <barChart>
        <barDir val="col"/>
        <grouping val="clustered"/>
        <ser>
          <idx val="0"/>
          <order val="0"/>
          <spPr>
            <a:solidFill xmlns:a="http://schemas.openxmlformats.org/drawingml/2006/main">
              <a:srgbClr val="1E7B34"/>
            </a:solidFill>
            <a:ln xmlns:a="http://schemas.openxmlformats.org/drawingml/2006/main">
              <a:solidFill>
                <a:srgbClr val="1E7B34"/>
              </a:solidFill>
              <a:prstDash val="solid"/>
            </a:ln>
          </spPr>
          <cat>
            <numRef>
              <f>'Dashboard'!$B$88:$B$94</f>
            </numRef>
          </cat>
          <val>
            <numRef>
              <f>'Dashboard'!$G$88:$G$94</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Net P&amp;L by emotion</a:t>
            </a:r>
          </a:p>
        </rich>
      </tx>
    </title>
    <plotArea>
      <barChart>
        <barDir val="col"/>
        <grouping val="clustered"/>
        <ser>
          <idx val="0"/>
          <order val="0"/>
          <spPr>
            <a:solidFill xmlns:a="http://schemas.openxmlformats.org/drawingml/2006/main">
              <a:srgbClr val="7B61FF"/>
            </a:solidFill>
            <a:ln xmlns:a="http://schemas.openxmlformats.org/drawingml/2006/main">
              <a:solidFill>
                <a:srgbClr val="7B61FF"/>
              </a:solidFill>
              <a:prstDash val="solid"/>
            </a:ln>
          </spPr>
          <cat>
            <numRef>
              <f>'Dashboard'!$J$57:$J$66</f>
            </numRef>
          </cat>
          <val>
            <numRef>
              <f>'Dashboard'!$O$57:$O$66</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Journal</author>
  </authors>
  <commentList>
    <comment ref="A5" authorId="0" shapeId="0">
      <text>
        <t>Date the trade closed, e.g. 2026-10-07.</t>
      </text>
    </comment>
    <comment ref="B5" authorId="0" shapeId="0">
      <text>
        <t>Entry time, e.g. 09:35. Optional.</t>
      </text>
    </comment>
    <comment ref="C5" authorId="0" shapeId="0">
      <text>
        <t>Pick from the Accounts tab. Needed for balances and the prop tracker.</t>
      </text>
    </comment>
    <comment ref="D5" authorId="0" shapeId="0">
      <text>
        <t>Leave blank: the account's market is used (or your main mode). Fill in only to override.</t>
      </text>
    </comment>
    <comment ref="E5" authorId="0" shapeId="0">
      <text>
        <t>Pick or type. Futures symbols must exist on the Instruments tab.</t>
      </text>
    </comment>
    <comment ref="G5" authorId="0" shapeId="0">
      <text>
        <t>Contracts, shares, lots or coins depending on the market.</t>
      </text>
    </comment>
    <comment ref="I5" authorId="0" shapeId="0">
      <text>
        <t>Where your stop was when you ENTERED. Don't update it if you moved your stop — that's how the sheet catches it.</t>
      </text>
    </comment>
    <comment ref="J5" authorId="0" shapeId="0">
      <text>
        <t>Your planned target, decided before you entered.</t>
      </text>
    </comment>
    <comment ref="K5" authorId="0" shapeId="0">
      <text>
        <t>Average exit price if you scaled out.</t>
      </text>
    </comment>
    <comment ref="L5" authorId="0" shapeId="0">
      <text>
        <t>Limit, Market or Stop. Drives maker/taker fees and the fee leak report.</t>
      </text>
    </comment>
    <comment ref="N5" authorId="0" shapeId="0">
      <text>
        <t>Optional. Crypto/forex. Checked against your max leverage rule.</t>
      </text>
    </comment>
    <comment ref="O5" authorId="0" shapeId="0">
      <text>
        <t>Leave blank and the sheet calculates it. Type your broker's number to override (forex crosses, scaled exits, unusual contracts).</t>
      </text>
    </comment>
    <comment ref="P5" authorId="0" shapeId="0">
      <text>
        <t>Leave blank to use Settings. Type exact fees (incl. crypto funding) to override.</t>
      </text>
    </comment>
    <comment ref="Q5" authorId="0" shapeId="0">
      <text>
        <t>Gross P&amp;L minus fees.</t>
      </text>
    </comment>
    <comment ref="R5" authorId="0" shapeId="0">
      <text>
        <t>Profit in units of your planned risk. -1R = full stop-out. Worse than -1R means a moved stop or slippage.</t>
      </text>
    </comment>
    <comment ref="S5" authorId="0" shapeId="0">
      <text>
        <t>Win, Loss or Scratch (inside the scratch zone set on Settings).</t>
      </text>
    </comment>
    <comment ref="T5" authorId="0" shapeId="0">
      <text>
        <t>Target distance ÷ stop distance.</t>
      </text>
    </comment>
    <comment ref="U5" authorId="0" shapeId="0">
      <text>
        <t>Winners only: R left between your exit and your planned target.</t>
      </text>
    </comment>
    <comment ref="V5" authorId="0" shapeId="0">
      <text>
        <t>Stop distance × size × point value.</t>
      </text>
    </comment>
    <comment ref="W5" authorId="0" shapeId="0">
      <text>
        <t>Automatic check against your rules on the Settings tab. OK = nothing broken.</t>
      </text>
    </comment>
    <comment ref="Y5" authorId="0" shapeId="0">
      <text>
        <t>From your Setup Playbook. Leave blank if it wasn't a playbook setup.</t>
      </text>
    </comment>
    <comment ref="Z5" authorId="0" shapeId="0">
      <text>
        <t>Be honest. A losing trade can still be a Yes.</t>
      </text>
    </comment>
    <comment ref="AB5" authorId="0" shapeId="0">
      <text>
        <t>At most one. Leave blank on clean trades.</t>
      </text>
    </comment>
  </commentList>
</comments>
</file>

<file path=xl/comments/comment2.xml><?xml version="1.0" encoding="utf-8"?>
<comments xmlns="http://schemas.openxmlformats.org/spreadsheetml/2006/main">
  <authors>
    <author>Journal</author>
  </authors>
  <commentList>
    <comment ref="J15" authorId="0" shapeId="0">
      <text>
        <t>Exits before your planned target. $ = R given up × your $ risk on each trade.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twoCellAnchor>
    <from>
      <col>1</col>
      <colOff>57150</colOff>
      <row>13</row>
      <rowOff>57150</rowOff>
    </from>
    <to>
      <col>8</col>
      <colOff>704850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57150</colOff>
      <row>97</row>
      <rowOff>57150</rowOff>
    </from>
    <to>
      <col>16</col>
      <colOff>704850</colOff>
      <row>109</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57150</colOff>
      <row>111</row>
      <rowOff>57150</rowOff>
    </from>
    <to>
      <col>8</col>
      <colOff>704850</colOff>
      <row>126</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57150</colOff>
      <row>111</row>
      <rowOff>57150</rowOff>
    </from>
    <to>
      <col>16</col>
      <colOff>704850</colOff>
      <row>126</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1F2A44"/>
    <outlinePr summaryBelow="1" summaryRight="1"/>
    <pageSetUpPr fitToPage="1"/>
  </sheetPr>
  <dimension ref="B2:B39"/>
  <sheetViews>
    <sheetView showGridLines="0" workbookViewId="0">
      <selection activeCell="A1" sqref="A1"/>
    </sheetView>
  </sheetViews>
  <sheetFormatPr baseColWidth="8" defaultRowHeight="15"/>
  <cols>
    <col width="3" customWidth="1" min="1" max="1"/>
    <col width="118" customWidth="1" min="2" max="2"/>
  </cols>
  <sheetData>
    <row r="2">
      <c r="B2" s="1" t="inlineStr">
        <is>
          <t>TRADING JOURNAL SYSTEM</t>
        </is>
      </c>
    </row>
    <row r="3">
      <c r="B3" s="2" t="inlineStr">
        <is>
          <t>A journal that teaches you HOW to journal — and does every calculation for you.</t>
        </is>
      </c>
    </row>
    <row r="5" ht="22" customHeight="1">
      <c r="B5" s="3" t="inlineStr">
        <is>
          <t>SET UP IN 10 MINUTES</t>
        </is>
      </c>
    </row>
    <row r="6" ht="32" customHeight="1">
      <c r="B6" s="4" t="inlineStr">
        <is>
          <t>1.  Settings tab → choose what you trade (Futures, Stocks, Options, Forex or Crypto). Then enter your real fees and your risk rules. The fees shown are examples.</t>
        </is>
      </c>
    </row>
    <row r="7" ht="32" customHeight="1">
      <c r="B7" s="4" t="inlineStr">
        <is>
          <t>2.  Accounts tab → add each account you trade. Prop-firm traders: enter your firm's drawdown, daily limit, profit target and consistency rule.</t>
        </is>
      </c>
    </row>
    <row r="8" ht="18" customHeight="1">
      <c r="B8" s="4" t="inlineStr">
        <is>
          <t>3.  Setup Playbook tab → replace the 4 example setups with the 2–4 setups you actually trade.</t>
        </is>
      </c>
    </row>
    <row r="9" ht="32" customHeight="1">
      <c r="B9" s="4" t="inlineStr">
        <is>
          <t>4.  Clear the examples: Trade Log → select the WHITE cells in rows 6–33 and press Delete. Do the same for the sample notes on the Daily Journal and Weekly Review tabs, then type your own start dates in their B6 cells. Never delete rows or the grey columns.</t>
        </is>
      </c>
    </row>
    <row r="10" ht="32" customHeight="1">
      <c r="B10" s="4" t="inlineStr">
        <is>
          <t>5.  Log your next trade. The grey columns, the Dashboard, the Daily Journal and the Weekly Review all fill in by themselves.</t>
        </is>
      </c>
    </row>
    <row r="12" ht="22" customHeight="1">
      <c r="B12" s="3" t="inlineStr">
        <is>
          <t>THE SYSTEM — HOW TO ACTUALLY JOURNAL</t>
        </is>
      </c>
    </row>
    <row r="13" ht="18" customHeight="1">
      <c r="B13" s="4" t="inlineStr">
        <is>
          <t>Most traders log trades and never learn from them. This system runs on three loops:</t>
        </is>
      </c>
    </row>
    <row r="14" ht="32" customHeight="1">
      <c r="B14" s="5" t="inlineStr">
        <is>
          <t>EVERY TRADE (30 seconds).  Log it right after you close it. Write your stop and target BEFORE you enter — your R is measured against them. Tag the setup, how you felt, and any mistake. Be honest on 'Followed rules?' — a losing trade can still be a Yes.</t>
        </is>
      </c>
    </row>
    <row r="15" ht="32" customHeight="1">
      <c r="B15" s="5" t="inlineStr">
        <is>
          <t>EVERY DAY (5 minutes).  Daily Journal tab: what the market did, what you did, and whether you'd repeat it or delete it. Grade your execution, not your P&amp;L.</t>
        </is>
      </c>
    </row>
    <row r="16" ht="32" customHeight="1">
      <c r="B16" s="5" t="inlineStr">
        <is>
          <t>EVERY WEEK (20 minutes).  Dashboard → set Period to 'Last week' → read the Leak Report. Pick ONE rule to fix and write it in the Weekly Review. Next week, check whether you kept it.</t>
        </is>
      </c>
    </row>
    <row r="18" ht="22" customHeight="1">
      <c r="B18" s="3" t="inlineStr">
        <is>
          <t>THE RULES OF THE SYSTEM</t>
        </is>
      </c>
    </row>
    <row r="19" ht="18" customHeight="1">
      <c r="B19" s="4" t="inlineStr">
        <is>
          <t>1.  Log EVERY trade — winners, losers and scratches. A journal of winners is a highlight reel.</t>
        </is>
      </c>
    </row>
    <row r="20" ht="18" customHeight="1">
      <c r="B20" s="4" t="inlineStr">
        <is>
          <t>2.  Never change your strategy because of one trade. Change one thing per week, based on the numbers.</t>
        </is>
      </c>
    </row>
    <row r="21" ht="18" customHeight="1">
      <c r="B21" s="4" t="inlineStr">
        <is>
          <t>3.  Log your ORIGINAL stop. If you moved it, the loss shows up as worse than -1R. That's the point.</t>
        </is>
      </c>
    </row>
    <row r="22" ht="18" customHeight="1">
      <c r="B22" s="4" t="inlineStr">
        <is>
          <t>4.  Every field should help you decide something. If you'll never act on it, don't track it.</t>
        </is>
      </c>
    </row>
    <row r="23" ht="18" customHeight="1">
      <c r="B23" s="4" t="inlineStr">
        <is>
          <t>5.  Missed a day? Fill it in and keep going. Consistency beats perfection.</t>
        </is>
      </c>
    </row>
    <row r="25" ht="22" customHeight="1">
      <c r="B25" s="6" t="str">
        <f>"YOUR MODE:  "&amp;UPPER(Settings!$C$6)&amp;"   (change it on the Settings tab)"</f>
        <v>YOUR MODE:  FUTURES   (change it on the Settings tab)</v>
      </c>
    </row>
    <row r="26" ht="34" customHeight="1">
      <c r="B26" s="4" t="str">
        <f>CHOOSE(IFERROR(MATCH(Settings!$C$6,{"Futures","Stocks","Options","Forex","Crypto"},0),1),"Qty = contracts. Point values come from the Instruments tab (micros and minis included), so P&amp;L is exact per contract. Fees = per contract, per side.","Qty = shares. P&amp;L = price change × shares. Fees = per share, per side (set 0 if your broker is commission-free).","Enter the option PREMIUM as Entry/Exit (e.g. 2.35) and Qty in contracts. Each contract = 100 shares. Fees = per contract, per side.","Qty = standard lots (0.10 = a mini lot). P&amp;L converts automatically for pairs that include your account currency. For crosses like EURJPY on a USD account, type your broker's P&amp;L in Gross P&amp;L.","Qty = coins (e.g. 0.05 BTC), not dollars. Fees: maker % for Limit entries and Target exits, taker % otherwise. Fill in Leverage to track your max-leverage rule. Add funding fees in the Fees column.")</f>
        <v>Qty = contracts. Point values come from the Instruments tab (micros and minis included), so P&amp;L is exact per contract. Fees = per contract, per side.</v>
      </c>
    </row>
    <row r="28">
      <c r="B28" s="3" t="inlineStr">
        <is>
          <t>FAQ &amp; TROUBLESHOOTING</t>
        </is>
      </c>
    </row>
    <row r="29" ht="32" customHeight="1">
      <c r="B29" s="4" t="inlineStr">
        <is>
          <t>Net P&amp;L is blank →  the symbol isn't on the Instruments tab for that market. Add it (with its point value) or type your broker's P&amp;L in 'Gross P&amp;L (broker)'.</t>
        </is>
      </c>
    </row>
    <row r="30" ht="32" customHeight="1">
      <c r="B30" s="4" t="inlineStr">
        <is>
          <t>My P&amp;L doesn't match my broker →  type your broker's numbers in the two optional columns (Gross P&amp;L and Fees). The sheet then uses yours.</t>
        </is>
      </c>
    </row>
    <row r="31" ht="32" customHeight="1">
      <c r="B31" s="4" t="inlineStr">
        <is>
          <t>Rule check says something I didn't expect →  it reads the rules on the Settings tab. Blank a rule there to switch that check off.</t>
        </is>
      </c>
    </row>
    <row r="32" ht="32" customHeight="1">
      <c r="B32" s="4" t="inlineStr">
        <is>
          <t>Futures fees →  set a default on Settings, or a per-symbol fee on the Instruments tab (micros usually cost less than minis).</t>
        </is>
      </c>
    </row>
    <row r="33" ht="32" customHeight="1">
      <c r="B33" s="4" t="inlineStr">
        <is>
          <t>Requirements →  Excel 2019 or newer, Microsoft 365, or Google Sheets (File → Import or open the file in Drive). Apple Numbers is not supported.</t>
        </is>
      </c>
    </row>
    <row r="34" ht="18" customHeight="1">
      <c r="B34" s="4" t="inlineStr">
        <is>
          <t>Sorting →  keep the Trade Log in time order (oldest at the top). Streaks and running balances read top to bottom.</t>
        </is>
      </c>
    </row>
    <row r="36">
      <c r="B36" s="7" t="inlineStr">
        <is>
          <t>IMPORTANT</t>
        </is>
      </c>
    </row>
    <row r="37" ht="30" customHeight="1">
      <c r="B37" s="8" t="inlineStr">
        <is>
          <t>Contract specs on the Instruments tab were checked against CME Group's published specifications in October 2026. Exchanges can change them — verify before relying on them.</t>
        </is>
      </c>
    </row>
    <row r="38" ht="30" customHeight="1">
      <c r="B38" s="8" t="inlineStr">
        <is>
          <t>Prop-firm rules differ by firm and change often. The Accounts tracker uses closed trades only. Your firm's own dashboard is the final word.</t>
        </is>
      </c>
    </row>
    <row r="39" ht="30" customHeight="1">
      <c r="B39" s="8" t="inlineStr">
        <is>
          <t>All fees, accounts and trades in this file are examples. This is a journaling tool, not financial advice.</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tabColor rgb="00C9A227"/>
    <outlinePr summaryBelow="1" summaryRight="1"/>
    <pageSetUpPr fitToPage="1"/>
  </sheetPr>
  <dimension ref="B2:I38"/>
  <sheetViews>
    <sheetView showGridLines="0" workbookViewId="0">
      <selection activeCell="A1" sqref="A1"/>
    </sheetView>
  </sheetViews>
  <sheetFormatPr baseColWidth="8" defaultRowHeight="15"/>
  <cols>
    <col width="2" customWidth="1" min="1" max="1"/>
    <col width="30" customWidth="1" min="2" max="2"/>
    <col width="20" customWidth="1" min="3" max="3"/>
    <col width="16" customWidth="1" min="4" max="4"/>
    <col width="15" customWidth="1" min="5" max="5"/>
    <col width="15" customWidth="1" min="6" max="6"/>
    <col width="13" customWidth="1" min="7" max="7"/>
    <col width="13" customWidth="1" min="8" max="8"/>
    <col width="70" customWidth="1" min="9" max="9"/>
  </cols>
  <sheetData>
    <row r="2">
      <c r="B2" s="9" t="inlineStr">
        <is>
          <t>SETTINGS</t>
        </is>
      </c>
    </row>
    <row r="3">
      <c r="B3" s="10" t="inlineStr">
        <is>
          <t>Set these once. Yellow cells are yours to change. Everything else in the journal reads from here.</t>
        </is>
      </c>
    </row>
    <row r="5">
      <c r="B5" s="11" t="inlineStr">
        <is>
          <t>1 · WHAT YOU TRADE  —  this is the mode switch</t>
        </is>
      </c>
      <c r="C5" s="12" t="n"/>
      <c r="D5" s="12" t="n"/>
      <c r="E5" s="12" t="n"/>
      <c r="F5" s="12" t="n"/>
      <c r="G5" s="12" t="n"/>
      <c r="H5" s="12" t="n"/>
      <c r="I5" s="12" t="n"/>
    </row>
    <row r="6" ht="30" customHeight="1">
      <c r="B6" s="5" t="inlineStr">
        <is>
          <t>What do you mainly trade?</t>
        </is>
      </c>
      <c r="C6" s="13" t="inlineStr">
        <is>
          <t>Futures</t>
        </is>
      </c>
      <c r="D6" s="8" t="inlineStr">
        <is>
          <t>Changes the Qty label, session list, symbol dropdown and default market. Each account on the Accounts tab can also have its own market, so mixed traders get correct math on every trade.</t>
        </is>
      </c>
    </row>
    <row r="7" ht="30" customHeight="1">
      <c r="B7" s="5" t="inlineStr">
        <is>
          <t>Account currency (3 letters)</t>
        </is>
      </c>
      <c r="C7" s="13" t="inlineStr">
        <is>
          <t>USD</t>
        </is>
      </c>
      <c r="D7" s="8" t="inlineStr">
        <is>
          <t>Shown in P&amp;L headers. Forex P&amp;L converts automatically for pairs that include this currency.</t>
        </is>
      </c>
    </row>
    <row r="8" ht="30" customHeight="1">
      <c r="B8" s="5" t="inlineStr">
        <is>
          <t>Scratch zone (± R)</t>
        </is>
      </c>
      <c r="C8" s="14" t="n">
        <v>0.1</v>
      </c>
      <c r="D8" s="8" t="inlineStr">
        <is>
          <t>Trades that close within ±0.10R count as scratches, not wins or losses.</t>
        </is>
      </c>
    </row>
    <row r="9" ht="30" customHeight="1">
      <c r="B9" s="5" t="inlineStr">
        <is>
          <t>Journal name</t>
        </is>
      </c>
      <c r="C9" s="13" t="inlineStr">
        <is>
          <t>My Trading Journal</t>
        </is>
      </c>
      <c r="D9" s="8" t="inlineStr">
        <is>
          <t>Shows at the top of the Dashboard.</t>
        </is>
      </c>
    </row>
    <row r="10" ht="30" customHeight="1">
      <c r="B10" s="5" t="inlineStr">
        <is>
          <t>Daily Journal includes weekends?</t>
        </is>
      </c>
      <c r="C10" s="13" t="inlineStr">
        <is>
          <t>No</t>
        </is>
      </c>
      <c r="D10" s="8" t="inlineStr">
        <is>
          <t>Yes for crypto traders. No skips Saturday and Sunday.</t>
        </is>
      </c>
    </row>
    <row r="12">
      <c r="B12" s="11" t="inlineStr">
        <is>
          <t>2 · MARKET DEFAULTS  —  sizes and fees for each market</t>
        </is>
      </c>
      <c r="C12" s="12" t="n"/>
      <c r="D12" s="12" t="n"/>
      <c r="E12" s="12" t="n"/>
      <c r="F12" s="12" t="n"/>
      <c r="G12" s="12" t="n"/>
      <c r="H12" s="12" t="n"/>
      <c r="I12" s="12" t="n"/>
    </row>
    <row r="13" ht="34" customHeight="1">
      <c r="B13" s="15" t="inlineStr">
        <is>
          <t>Market</t>
        </is>
      </c>
      <c r="C13" s="15" t="inlineStr">
        <is>
          <t>Qty means</t>
        </is>
      </c>
      <c r="D13" s="15" t="inlineStr">
        <is>
          <t>Multiplier
(if no symbol match)</t>
        </is>
      </c>
      <c r="E13" s="15" t="inlineStr">
        <is>
          <t>Fee model</t>
        </is>
      </c>
      <c r="F13" s="15" t="inlineStr">
        <is>
          <t>Fee per unit,
per side</t>
        </is>
      </c>
      <c r="G13" s="15" t="inlineStr">
        <is>
          <t>Maker fee %</t>
        </is>
      </c>
      <c r="H13" s="15" t="inlineStr">
        <is>
          <t>Taker fee %</t>
        </is>
      </c>
      <c r="I13" s="15" t="inlineStr">
        <is>
          <t>How it works</t>
        </is>
      </c>
    </row>
    <row r="14" ht="30" customHeight="1">
      <c r="B14" s="16" t="inlineStr">
        <is>
          <t>Futures</t>
        </is>
      </c>
      <c r="C14" s="17" t="inlineStr">
        <is>
          <t>contracts</t>
        </is>
      </c>
      <c r="D14" s="18" t="inlineStr">
        <is>
          <t>per symbol</t>
        </is>
      </c>
      <c r="E14" s="17" t="inlineStr">
        <is>
          <t>Per unit</t>
        </is>
      </c>
      <c r="F14" s="19" t="n">
        <v>0.5</v>
      </c>
      <c r="G14" s="20" t="n"/>
      <c r="H14" s="20" t="n"/>
      <c r="I14" s="21" t="inlineStr">
        <is>
          <t>Point value per symbol comes from the Instruments tab. Fee = per contract, per side.</t>
        </is>
      </c>
    </row>
    <row r="15" ht="30" customHeight="1">
      <c r="B15" s="16" t="inlineStr">
        <is>
          <t>Stocks</t>
        </is>
      </c>
      <c r="C15" s="17" t="inlineStr">
        <is>
          <t>shares</t>
        </is>
      </c>
      <c r="D15" s="18" t="n">
        <v>1</v>
      </c>
      <c r="E15" s="17" t="inlineStr">
        <is>
          <t>Per unit</t>
        </is>
      </c>
      <c r="F15" s="19" t="n">
        <v>0</v>
      </c>
      <c r="G15" s="20" t="n"/>
      <c r="H15" s="20" t="n"/>
      <c r="I15" s="21" t="inlineStr">
        <is>
          <t>Qty = shares. Fee = per share, per side (0 if your broker is commission-free).</t>
        </is>
      </c>
    </row>
    <row r="16" ht="30" customHeight="1">
      <c r="B16" s="16" t="inlineStr">
        <is>
          <t>Options</t>
        </is>
      </c>
      <c r="C16" s="17" t="inlineStr">
        <is>
          <t>contracts x100</t>
        </is>
      </c>
      <c r="D16" s="18" t="n">
        <v>100</v>
      </c>
      <c r="E16" s="17" t="inlineStr">
        <is>
          <t>Per unit</t>
        </is>
      </c>
      <c r="F16" s="19" t="n">
        <v>0.65</v>
      </c>
      <c r="G16" s="20" t="n"/>
      <c r="H16" s="20" t="n"/>
      <c r="I16" s="21" t="inlineStr">
        <is>
          <t>Entry/Exit = option premium (e.g. 2.35). Qty = contracts. 1 contract = 100 shares.</t>
        </is>
      </c>
    </row>
    <row r="17" ht="30" customHeight="1">
      <c r="B17" s="16" t="inlineStr">
        <is>
          <t>Forex</t>
        </is>
      </c>
      <c r="C17" s="17" t="inlineStr">
        <is>
          <t>lots</t>
        </is>
      </c>
      <c r="D17" s="18" t="n">
        <v>100000</v>
      </c>
      <c r="E17" s="17" t="inlineStr">
        <is>
          <t>Per unit</t>
        </is>
      </c>
      <c r="F17" s="19" t="n">
        <v>3.5</v>
      </c>
      <c r="G17" s="20" t="n"/>
      <c r="H17" s="20" t="n"/>
      <c r="I17" s="21" t="inlineStr">
        <is>
          <t>Qty = lots. 1 standard lot = 100,000 units at most brokers - check yours. Fee = commission per lot, per side.</t>
        </is>
      </c>
    </row>
    <row r="18" ht="30" customHeight="1">
      <c r="B18" s="16" t="inlineStr">
        <is>
          <t>Crypto</t>
        </is>
      </c>
      <c r="C18" s="17" t="inlineStr">
        <is>
          <t>coins</t>
        </is>
      </c>
      <c r="D18" s="18" t="n">
        <v>1</v>
      </c>
      <c r="E18" s="17" t="inlineStr">
        <is>
          <t>% of notional</t>
        </is>
      </c>
      <c r="F18" s="19" t="n"/>
      <c r="G18" s="20" t="n">
        <v>0.0002</v>
      </c>
      <c r="H18" s="20" t="n">
        <v>0.0005999999999999999</v>
      </c>
      <c r="I18" s="21" t="inlineStr">
        <is>
          <t>Qty = coins (0.05 BTC), not dollars. Maker % on Limit entries and Target exits; taker % on everything else.</t>
        </is>
      </c>
    </row>
    <row r="19" ht="30" customHeight="1">
      <c r="B19" s="22" t="inlineStr">
        <is>
          <t>⚠ The fees above are EXAMPLES, not any broker's real rates. Replace them with yours. Futures can also have a per-symbol fee on the Instruments tab (micros usually cost less than minis).</t>
        </is>
      </c>
      <c r="C19" s="23" t="n"/>
      <c r="D19" s="23" t="n"/>
      <c r="E19" s="23" t="n"/>
      <c r="F19" s="23" t="n"/>
      <c r="G19" s="23" t="n"/>
      <c r="H19" s="23" t="n"/>
      <c r="I19" s="23" t="n"/>
    </row>
    <row r="21">
      <c r="B21" s="11" t="inlineStr">
        <is>
          <t>3 · YOUR RISK RULES  —  leave a cell blank to switch that check off</t>
        </is>
      </c>
      <c r="C21" s="12" t="n"/>
      <c r="D21" s="12" t="n"/>
      <c r="E21" s="12" t="n"/>
      <c r="F21" s="12" t="n"/>
      <c r="G21" s="12" t="n"/>
      <c r="H21" s="12" t="n"/>
      <c r="I21" s="12" t="n"/>
    </row>
    <row r="22" ht="24" customHeight="1">
      <c r="B22" s="5" t="inlineStr">
        <is>
          <t>Max risk per trade ($)</t>
        </is>
      </c>
      <c r="C22" s="24" t="n">
        <v>250</v>
      </c>
      <c r="D22" s="8" t="inlineStr">
        <is>
          <t>Flags any trade risking more than this. Risk = stop distance × size × point value.</t>
        </is>
      </c>
    </row>
    <row r="23" ht="24" customHeight="1">
      <c r="B23" s="5" t="inlineStr">
        <is>
          <t>Max risk per trade (% of account)</t>
        </is>
      </c>
      <c r="C23" s="25" t="n">
        <v>0.01</v>
      </c>
      <c r="D23" s="8" t="inlineStr">
        <is>
          <t>Uses the account balance before the trade. Needs a starting balance on the Accounts tab.</t>
        </is>
      </c>
    </row>
    <row r="24" ht="24" customHeight="1">
      <c r="B24" s="5" t="inlineStr">
        <is>
          <t>Max leverage (x)</t>
        </is>
      </c>
      <c r="C24" s="26" t="n">
        <v>20</v>
      </c>
      <c r="D24" s="8" t="inlineStr">
        <is>
          <t>For crypto/forex trades where you fill in Leverage.</t>
        </is>
      </c>
    </row>
    <row r="25" ht="24" customHeight="1">
      <c r="B25" s="5" t="inlineStr">
        <is>
          <t>Max trades per day</t>
        </is>
      </c>
      <c r="C25" s="27" t="n">
        <v>4</v>
      </c>
      <c r="D25" s="8" t="inlineStr">
        <is>
          <t>Flags every trade after this number on the same day.</t>
        </is>
      </c>
    </row>
    <row r="26" ht="24" customHeight="1">
      <c r="B26" s="5" t="inlineStr">
        <is>
          <t>Daily max loss ($)</t>
        </is>
      </c>
      <c r="C26" s="24" t="n">
        <v>400</v>
      </c>
      <c r="D26" s="8" t="inlineStr">
        <is>
          <t>Flags trades taken after the day's losses reached this (all accounts combined).</t>
        </is>
      </c>
    </row>
    <row r="27" ht="24" customHeight="1">
      <c r="B27" s="5" t="inlineStr">
        <is>
          <t>Minimum planned R:R</t>
        </is>
      </c>
      <c r="C27" s="28" t="n">
        <v>1.5</v>
      </c>
      <c r="D27" s="8" t="inlineStr">
        <is>
          <t>Flags trades planned below this reward-to-risk.</t>
        </is>
      </c>
    </row>
    <row r="29">
      <c r="B29" s="11" t="inlineStr">
        <is>
          <t>4 · SESSION NAMES  —  rename them to match how you trade</t>
        </is>
      </c>
      <c r="C29" s="12" t="n"/>
      <c r="D29" s="12" t="n"/>
      <c r="E29" s="12" t="n"/>
      <c r="F29" s="12" t="n"/>
      <c r="G29" s="12" t="n"/>
      <c r="H29" s="12" t="n"/>
      <c r="I29" s="12" t="n"/>
    </row>
    <row r="30">
      <c r="B30" s="15" t="inlineStr">
        <is>
          <t>#</t>
        </is>
      </c>
      <c r="C30" s="15" t="inlineStr">
        <is>
          <t>Futures</t>
        </is>
      </c>
      <c r="D30" s="15" t="inlineStr">
        <is>
          <t>Stocks</t>
        </is>
      </c>
      <c r="E30" s="15" t="inlineStr">
        <is>
          <t>Options</t>
        </is>
      </c>
      <c r="F30" s="15" t="inlineStr">
        <is>
          <t>Forex</t>
        </is>
      </c>
      <c r="G30" s="15" t="inlineStr">
        <is>
          <t>Crypto</t>
        </is>
      </c>
    </row>
    <row r="31">
      <c r="B31" s="29" t="n">
        <v>1</v>
      </c>
      <c r="C31" s="17" t="inlineStr">
        <is>
          <t>Overnight</t>
        </is>
      </c>
      <c r="D31" s="17" t="inlineStr">
        <is>
          <t>Pre-market</t>
        </is>
      </c>
      <c r="E31" s="17" t="inlineStr">
        <is>
          <t>Pre-market</t>
        </is>
      </c>
      <c r="F31" s="17" t="inlineStr">
        <is>
          <t>Sydney</t>
        </is>
      </c>
      <c r="G31" s="17" t="inlineStr">
        <is>
          <t>Asia</t>
        </is>
      </c>
    </row>
    <row r="32">
      <c r="B32" s="29" t="n">
        <v>2</v>
      </c>
      <c r="C32" s="17" t="inlineStr">
        <is>
          <t>London</t>
        </is>
      </c>
      <c r="D32" s="17" t="inlineStr">
        <is>
          <t>Open</t>
        </is>
      </c>
      <c r="E32" s="17" t="inlineStr">
        <is>
          <t>Open</t>
        </is>
      </c>
      <c r="F32" s="17" t="inlineStr">
        <is>
          <t>Tokyo</t>
        </is>
      </c>
      <c r="G32" s="17" t="inlineStr">
        <is>
          <t>Europe</t>
        </is>
      </c>
    </row>
    <row r="33">
      <c r="B33" s="29" t="n">
        <v>3</v>
      </c>
      <c r="C33" s="17" t="inlineStr">
        <is>
          <t>NY Open</t>
        </is>
      </c>
      <c r="D33" s="17" t="inlineStr">
        <is>
          <t>Morning</t>
        </is>
      </c>
      <c r="E33" s="17" t="inlineStr">
        <is>
          <t>Morning</t>
        </is>
      </c>
      <c r="F33" s="17" t="inlineStr">
        <is>
          <t>London</t>
        </is>
      </c>
      <c r="G33" s="17" t="inlineStr">
        <is>
          <t>US</t>
        </is>
      </c>
    </row>
    <row r="34">
      <c r="B34" s="29" t="n">
        <v>4</v>
      </c>
      <c r="C34" s="17" t="inlineStr">
        <is>
          <t>NY Midday</t>
        </is>
      </c>
      <c r="D34" s="17" t="inlineStr">
        <is>
          <t>Midday</t>
        </is>
      </c>
      <c r="E34" s="17" t="inlineStr">
        <is>
          <t>Midday</t>
        </is>
      </c>
      <c r="F34" s="17" t="inlineStr">
        <is>
          <t>London/NY Overlap</t>
        </is>
      </c>
      <c r="G34" s="17" t="inlineStr">
        <is>
          <t>US Close</t>
        </is>
      </c>
    </row>
    <row r="35">
      <c r="B35" s="29" t="n">
        <v>5</v>
      </c>
      <c r="C35" s="17" t="inlineStr">
        <is>
          <t>NY Afternoon</t>
        </is>
      </c>
      <c r="D35" s="17" t="inlineStr">
        <is>
          <t>Power Hour</t>
        </is>
      </c>
      <c r="E35" s="17" t="inlineStr">
        <is>
          <t>Power Hour</t>
        </is>
      </c>
      <c r="F35" s="17" t="inlineStr">
        <is>
          <t>New York</t>
        </is>
      </c>
      <c r="G35" s="17" t="inlineStr">
        <is>
          <t>Weekend</t>
        </is>
      </c>
    </row>
    <row r="36">
      <c r="B36" s="29" t="n">
        <v>6</v>
      </c>
      <c r="C36" s="17" t="inlineStr">
        <is>
          <t>NY Close</t>
        </is>
      </c>
      <c r="D36" s="17" t="inlineStr">
        <is>
          <t>After-hours</t>
        </is>
      </c>
      <c r="E36" s="17" t="inlineStr">
        <is>
          <t>After-hours</t>
        </is>
      </c>
      <c r="F36" s="17" t="inlineStr">
        <is>
          <t>Late NY</t>
        </is>
      </c>
      <c r="G36" s="17" t="inlineStr">
        <is>
          <t>Overnight</t>
        </is>
      </c>
    </row>
    <row r="38">
      <c r="B38" s="8" t="inlineStr">
        <is>
          <t>The Session dropdown in the Trade Log shows the column for your mode. You can still type any session name.</t>
        </is>
      </c>
    </row>
  </sheetData>
  <mergeCells count="17">
    <mergeCell ref="B12:I12"/>
    <mergeCell ref="D10:I10"/>
    <mergeCell ref="B21:I21"/>
    <mergeCell ref="D24:I24"/>
    <mergeCell ref="D25:I25"/>
    <mergeCell ref="D27:I27"/>
    <mergeCell ref="B29:I29"/>
    <mergeCell ref="D22:I22"/>
    <mergeCell ref="D23:I23"/>
    <mergeCell ref="B38:I38"/>
    <mergeCell ref="D9:I9"/>
    <mergeCell ref="B5:I5"/>
    <mergeCell ref="B19:I19"/>
    <mergeCell ref="D6:I6"/>
    <mergeCell ref="D7:I7"/>
    <mergeCell ref="D8:I8"/>
    <mergeCell ref="D26:I26"/>
  </mergeCells>
  <dataValidations count="3">
    <dataValidation sqref="C6" showDropDown="0" showInputMessage="0" showErrorMessage="1" allowBlank="1" type="list">
      <formula1>"Futures,Stocks,Options,Forex,Crypto"</formula1>
    </dataValidation>
    <dataValidation sqref="C10" showDropDown="0" showInputMessage="0" showErrorMessage="1" allowBlank="1" type="list">
      <formula1>"Yes,No"</formula1>
    </dataValidation>
    <dataValidation sqref="E14:E18" showDropDown="0" showInputMessage="0" showErrorMessage="1" allowBlank="1" type="list">
      <formula1>"Per unit,% of notional"</formula1>
    </dataValidation>
  </dataValidations>
  <pageMargins left="0.3" right="0.3" top="0.4" bottom="0.4" header="0.5" footer="0.5"/>
  <pageSetup orientation="landscape" fitToHeight="0" fitToWidth="1"/>
</worksheet>
</file>

<file path=xl/worksheets/sheet3.xml><?xml version="1.0" encoding="utf-8"?>
<worksheet xmlns="http://schemas.openxmlformats.org/spreadsheetml/2006/main">
  <sheetPr>
    <tabColor rgb="001A73E8"/>
    <outlinePr summaryBelow="1" summaryRight="1"/>
    <pageSetUpPr fitToPage="1"/>
  </sheetPr>
  <dimension ref="A1:BM1005"/>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5" customWidth="1" min="3" max="3"/>
    <col width="9" customWidth="1" min="4" max="4"/>
    <col width="10" customWidth="1" min="5" max="5"/>
    <col width="7" customWidth="1" min="6" max="6"/>
    <col width="9" customWidth="1" min="7" max="7"/>
    <col width="11" customWidth="1" min="8" max="8"/>
    <col width="11" customWidth="1" min="9" max="9"/>
    <col width="11" customWidth="1" min="10" max="10"/>
    <col width="11" customWidth="1" min="11" max="11"/>
    <col width="8" customWidth="1" min="12" max="12"/>
    <col width="10" customWidth="1" min="13" max="13"/>
    <col width="8" customWidth="1" min="14" max="14"/>
    <col width="11" customWidth="1" min="15" max="15"/>
    <col width="9" customWidth="1" min="16" max="16"/>
    <col width="11" customWidth="1" min="17" max="17"/>
    <col width="9" customWidth="1" min="18" max="18"/>
    <col width="8" customWidth="1" min="19" max="19"/>
    <col width="8" customWidth="1" min="20" max="20"/>
    <col width="9" customWidth="1" min="21" max="21"/>
    <col width="10" customWidth="1" min="22" max="22"/>
    <col width="26" customWidth="1" min="23" max="23"/>
    <col width="12" customWidth="1" min="24" max="24"/>
    <col width="20" customWidth="1" min="25" max="25"/>
    <col width="8" customWidth="1" min="26" max="26"/>
    <col width="10" customWidth="1" min="27" max="27"/>
    <col width="18" customWidth="1" min="28" max="28"/>
    <col width="30" customWidth="1" min="29" max="29"/>
    <col width="34" customWidth="1" min="30" max="30"/>
    <col width="14" customWidth="1" min="31" max="31"/>
    <col width="9" customWidth="1" min="32" max="32"/>
    <col width="9" customWidth="1" min="33" max="33"/>
    <col width="8" customWidth="1" min="34" max="34"/>
    <col width="10" customWidth="1" min="35" max="35"/>
    <col width="9" customWidth="1" min="36" max="36"/>
    <col width="10" customWidth="1" min="37" max="37"/>
    <col width="9" customWidth="1" min="38" max="38"/>
    <col width="6" customWidth="1" min="39" max="39"/>
    <col width="10" customWidth="1" min="40" max="40"/>
    <col width="7" customWidth="1" min="41" max="41"/>
    <col width="12" customWidth="1" min="42" max="42"/>
    <col width="10" customWidth="1" min="43" max="43"/>
    <col width="12" customWidth="1" min="44" max="44"/>
    <col width="8" customWidth="1" min="45" max="45"/>
    <col width="11" customWidth="1" min="46" max="46"/>
    <col width="10" customWidth="1" min="47" max="47"/>
    <col width="10" customWidth="1" min="48" max="48"/>
    <col width="7" customWidth="1" min="49" max="49"/>
    <col width="7" customWidth="1" min="50" max="50"/>
    <col width="7" customWidth="1" min="51" max="51"/>
    <col width="7" customWidth="1" min="52" max="52"/>
    <col width="6" customWidth="1" min="53" max="53"/>
    <col width="10" customWidth="1" min="54" max="54"/>
    <col width="6" customWidth="1" min="55" max="55"/>
    <col width="10" customWidth="1" min="56" max="56"/>
    <col width="8" customWidth="1" min="57" max="57"/>
    <col width="7" customWidth="1" min="58" max="58"/>
    <col width="22" customWidth="1" min="59" max="59"/>
    <col width="6" customWidth="1" min="60" max="60"/>
    <col width="7" customWidth="1" min="61" max="61"/>
    <col width="7" customWidth="1" min="62" max="62"/>
    <col width="7" customWidth="1" min="63" max="63"/>
    <col width="10" customWidth="1" min="64" max="64"/>
    <col width="7" customWidth="1" min="65" max="65"/>
  </cols>
  <sheetData>
    <row r="1">
      <c r="A1" s="9" t="inlineStr">
        <is>
          <t>TRADE LOG</t>
        </is>
      </c>
    </row>
    <row r="2">
      <c r="A2" s="10" t="inlineStr">
        <is>
          <t>Log each trade right after you close it. White = you type · Grey = automatic. Keep trades in time order (oldest at the top). Hover over a header for help.</t>
        </is>
      </c>
    </row>
    <row r="3">
      <c r="A3" s="30" t="inlineStr">
        <is>
          <t>Sample trades are in rows 6–33. When you're ready, select the WHITE cells in those rows and press Delete. Never delete rows or the grey columns.</t>
        </is>
      </c>
    </row>
    <row r="4">
      <c r="A4" s="31" t="inlineStr">
        <is>
          <t>YOUR TRADE  (type here)</t>
        </is>
      </c>
      <c r="B4" s="32" t="n"/>
      <c r="C4" s="32" t="n"/>
      <c r="D4" s="32" t="n"/>
      <c r="E4" s="32" t="n"/>
      <c r="F4" s="32" t="n"/>
      <c r="G4" s="32" t="n"/>
      <c r="H4" s="32" t="n"/>
      <c r="I4" s="32" t="n"/>
      <c r="J4" s="32" t="n"/>
      <c r="K4" s="32" t="n"/>
      <c r="L4" s="32" t="n"/>
      <c r="M4" s="32" t="n"/>
      <c r="N4" s="32" t="n"/>
      <c r="O4" s="32" t="n"/>
      <c r="P4" s="32" t="n"/>
      <c r="Q4" s="33" t="inlineStr">
        <is>
          <t>RESULTS  (automatic)</t>
        </is>
      </c>
      <c r="R4" s="34" t="n"/>
      <c r="S4" s="34" t="n"/>
      <c r="T4" s="34" t="n"/>
      <c r="U4" s="34" t="n"/>
      <c r="V4" s="34" t="n"/>
      <c r="W4" s="34" t="n"/>
      <c r="X4" s="31" t="inlineStr">
        <is>
          <t>REVIEW  (type here)</t>
        </is>
      </c>
      <c r="Y4" s="32" t="n"/>
      <c r="Z4" s="32" t="n"/>
      <c r="AA4" s="32" t="n"/>
      <c r="AB4" s="32" t="n"/>
      <c r="AC4" s="32" t="n"/>
      <c r="AD4" s="32" t="n"/>
      <c r="AE4" s="32" t="n"/>
      <c r="AF4" s="35" t="inlineStr">
        <is>
          <t>HELPER COLUMNS  (automatic — don't edit)</t>
        </is>
      </c>
      <c r="AG4" s="36" t="n"/>
      <c r="AH4" s="36" t="n"/>
      <c r="AI4" s="36" t="n"/>
      <c r="AJ4" s="36" t="n"/>
      <c r="AK4" s="36" t="n"/>
      <c r="AL4" s="36" t="n"/>
      <c r="AM4" s="36" t="n"/>
      <c r="AN4" s="36" t="n"/>
      <c r="AO4" s="36" t="n"/>
      <c r="AP4" s="36" t="n"/>
      <c r="AQ4" s="36" t="n"/>
      <c r="AR4" s="36" t="n"/>
      <c r="AS4" s="36" t="n"/>
      <c r="AT4" s="36" t="n"/>
      <c r="AU4" s="36" t="n"/>
      <c r="AV4" s="36" t="n"/>
      <c r="AW4" s="36" t="n"/>
      <c r="AX4" s="36" t="n"/>
      <c r="AY4" s="36" t="n"/>
      <c r="AZ4" s="36" t="n"/>
      <c r="BA4" s="36" t="n"/>
      <c r="BB4" s="36" t="n"/>
      <c r="BC4" s="36" t="n"/>
      <c r="BD4" s="36" t="n"/>
      <c r="BE4" s="36" t="n"/>
      <c r="BF4" s="36" t="n"/>
      <c r="BG4" s="36" t="n"/>
      <c r="BH4" s="36" t="n"/>
      <c r="BI4" s="36" t="n"/>
      <c r="BJ4" s="36" t="n"/>
      <c r="BK4" s="36" t="n"/>
      <c r="BL4" s="36" t="n"/>
      <c r="BM4" s="36" t="n"/>
    </row>
    <row r="5" ht="46" customHeight="1">
      <c r="A5" s="15" t="inlineStr">
        <is>
          <t>Date</t>
        </is>
      </c>
      <c r="B5" s="15" t="inlineStr">
        <is>
          <t>Time</t>
        </is>
      </c>
      <c r="C5" s="15" t="inlineStr">
        <is>
          <t>Account</t>
        </is>
      </c>
      <c r="D5" s="15" t="inlineStr">
        <is>
          <t>Market
(optional)</t>
        </is>
      </c>
      <c r="E5" s="15" t="inlineStr">
        <is>
          <t>Symbol</t>
        </is>
      </c>
      <c r="F5" s="15" t="inlineStr">
        <is>
          <t>Long /
Short</t>
        </is>
      </c>
      <c r="G5" s="15" t="str">
        <f>"Qty ("&amp;IFERROR(INDEX(Settings!$C$14:$C$18,MATCH(Settings!$C$6,Settings!$B$14:$B$18,0)),"units")&amp;")"</f>
        <v>Qty (contracts)</v>
      </c>
      <c r="H5" s="15" t="inlineStr">
        <is>
          <t>Entry
price</t>
        </is>
      </c>
      <c r="I5" s="15" t="inlineStr">
        <is>
          <t>Stop loss
(original)</t>
        </is>
      </c>
      <c r="J5" s="15" t="inlineStr">
        <is>
          <t>Target</t>
        </is>
      </c>
      <c r="K5" s="15" t="inlineStr">
        <is>
          <t>Exit price
(avg)</t>
        </is>
      </c>
      <c r="L5" s="15" t="inlineStr">
        <is>
          <t>Entry
order</t>
        </is>
      </c>
      <c r="M5" s="15" t="inlineStr">
        <is>
          <t>Exit
reason</t>
        </is>
      </c>
      <c r="N5" s="15" t="inlineStr">
        <is>
          <t>Leverage
(x)</t>
        </is>
      </c>
      <c r="O5" s="15" t="inlineStr">
        <is>
          <t>Gross P&amp;L
(broker)
optional</t>
        </is>
      </c>
      <c r="P5" s="15" t="inlineStr">
        <is>
          <t>Fees
(broker)
optional</t>
        </is>
      </c>
      <c r="Q5" s="15" t="str">
        <f>"Net P&amp;L ("&amp;Settings!$C$7&amp;")"</f>
        <v>Net P&amp;L (USD)</v>
      </c>
      <c r="R5" s="15" t="inlineStr">
        <is>
          <t>R
multiple</t>
        </is>
      </c>
      <c r="S5" s="15" t="inlineStr">
        <is>
          <t>Result</t>
        </is>
      </c>
      <c r="T5" s="15" t="inlineStr">
        <is>
          <t>Planned
R:R</t>
        </is>
      </c>
      <c r="U5" s="15" t="inlineStr">
        <is>
          <t>R short of
target</t>
        </is>
      </c>
      <c r="V5" s="15" t="inlineStr">
        <is>
          <t>$ Risk</t>
        </is>
      </c>
      <c r="W5" s="15" t="inlineStr">
        <is>
          <t>Rule check</t>
        </is>
      </c>
      <c r="X5" s="15" t="inlineStr">
        <is>
          <t>Session</t>
        </is>
      </c>
      <c r="Y5" s="15" t="inlineStr">
        <is>
          <t>Setup</t>
        </is>
      </c>
      <c r="Z5" s="15" t="inlineStr">
        <is>
          <t>Followed
rules?</t>
        </is>
      </c>
      <c r="AA5" s="15" t="inlineStr">
        <is>
          <t>Emotion</t>
        </is>
      </c>
      <c r="AB5" s="15" t="inlineStr">
        <is>
          <t>Mistake</t>
        </is>
      </c>
      <c r="AC5" s="15" t="inlineStr">
        <is>
          <t>Why I took it</t>
        </is>
      </c>
      <c r="AD5" s="15" t="inlineStr">
        <is>
          <t>Review note</t>
        </is>
      </c>
      <c r="AE5" s="15" t="inlineStr">
        <is>
          <t>Screenshot
link</t>
        </is>
      </c>
      <c r="AF5" s="37" t="inlineStr">
        <is>
          <t>Market used</t>
        </is>
      </c>
      <c r="AG5" s="37" t="inlineStr">
        <is>
          <t>Point value</t>
        </is>
      </c>
      <c r="AH5" s="37" t="inlineStr">
        <is>
          <t>FX factor</t>
        </is>
      </c>
      <c r="AI5" s="37" t="inlineStr">
        <is>
          <t>Gross (calc)</t>
        </is>
      </c>
      <c r="AJ5" s="37" t="inlineStr">
        <is>
          <t>Fees (calc)</t>
        </is>
      </c>
      <c r="AK5" s="37" t="inlineStr">
        <is>
          <t>Gross used</t>
        </is>
      </c>
      <c r="AL5" s="37" t="inlineStr">
        <is>
          <t>Fees used</t>
        </is>
      </c>
      <c r="AM5" s="37" t="inlineStr">
        <is>
          <t>Valid</t>
        </is>
      </c>
      <c r="AN5" s="37" t="inlineStr">
        <is>
          <t>Week of</t>
        </is>
      </c>
      <c r="AO5" s="37" t="inlineStr">
        <is>
          <t>Weekday</t>
        </is>
      </c>
      <c r="AP5" s="37" t="inlineStr">
        <is>
          <t>Acct balance after</t>
        </is>
      </c>
      <c r="AQ5" s="37" t="inlineStr">
        <is>
          <t>Acct day net</t>
        </is>
      </c>
      <c r="AR5" s="37" t="inlineStr">
        <is>
          <t>Acct EOD balance</t>
        </is>
      </c>
      <c r="AS5" s="37" t="inlineStr">
        <is>
          <t>In dashboard filter</t>
        </is>
      </c>
      <c r="AT5" s="37" t="inlineStr">
        <is>
          <t>Cum P&amp;L (filter)</t>
        </is>
      </c>
      <c r="AU5" s="37" t="inlineStr">
        <is>
          <t>Peak (filter)</t>
        </is>
      </c>
      <c r="AV5" s="37" t="inlineStr">
        <is>
          <t>Drawdown (filter)</t>
        </is>
      </c>
      <c r="AW5" s="37" t="inlineStr">
        <is>
          <t>Win streak</t>
        </is>
      </c>
      <c r="AX5" s="37" t="inlineStr">
        <is>
          <t>Loss streak</t>
        </is>
      </c>
      <c r="AY5" s="37" t="inlineStr">
        <is>
          <t>Filter trade #</t>
        </is>
      </c>
      <c r="AZ5" s="37" t="inlineStr">
        <is>
          <t>Chart X</t>
        </is>
      </c>
      <c r="BA5" s="37" t="inlineStr">
        <is>
          <t>First of day</t>
        </is>
      </c>
      <c r="BB5" s="37" t="inlineStr">
        <is>
          <t>Day net (filter)</t>
        </is>
      </c>
      <c r="BC5" s="37" t="inlineStr">
        <is>
          <t>Has R</t>
        </is>
      </c>
      <c r="BD5" s="37" t="inlineStr">
        <is>
          <t>$ short of target</t>
        </is>
      </c>
      <c r="BE5" s="37" t="inlineStr">
        <is>
          <t>Instrument row</t>
        </is>
      </c>
      <c r="BF5" s="37" t="inlineStr">
        <is>
          <t>Market row</t>
        </is>
      </c>
      <c r="BG5" s="37" t="inlineStr">
        <is>
          <t>Flags (raw)</t>
        </is>
      </c>
      <c r="BH5" s="37" t="inlineStr">
        <is>
          <t>Has net</t>
        </is>
      </c>
      <c r="BI5" s="37" t="inlineStr">
        <is>
          <t>Setup tagged</t>
        </is>
      </c>
      <c r="BJ5" s="37" t="inlineStr">
        <is>
          <t>Mistake tagged</t>
        </is>
      </c>
      <c r="BK5" s="37" t="inlineStr">
        <is>
          <t>Flagged</t>
        </is>
      </c>
      <c r="BL5" s="37" t="inlineStr">
        <is>
          <t>Chart Y</t>
        </is>
      </c>
      <c r="BM5" s="37" t="inlineStr">
        <is>
          <t>After max loss</t>
        </is>
      </c>
    </row>
    <row r="6" ht="30" customHeight="1">
      <c r="A6" s="38" t="n">
        <v>46286</v>
      </c>
      <c r="B6" s="39" t="n">
        <v>0.4041666666666667</v>
      </c>
      <c r="C6" s="40" t="inlineStr">
        <is>
          <t>Prop Eval 50K</t>
        </is>
      </c>
      <c r="D6" s="41" t="n"/>
      <c r="E6" s="41" t="inlineStr">
        <is>
          <t>MNQ</t>
        </is>
      </c>
      <c r="F6" s="41" t="inlineStr">
        <is>
          <t>Long</t>
        </is>
      </c>
      <c r="G6" s="41" t="n">
        <v>2</v>
      </c>
      <c r="H6" s="42" t="n">
        <v>29640</v>
      </c>
      <c r="I6" s="42" t="n">
        <v>29610</v>
      </c>
      <c r="J6" s="42" t="n">
        <v>29700</v>
      </c>
      <c r="K6" s="42" t="n">
        <v>29700</v>
      </c>
      <c r="L6" s="41" t="inlineStr">
        <is>
          <t>Limit</t>
        </is>
      </c>
      <c r="M6" s="41" t="inlineStr">
        <is>
          <t>Target</t>
        </is>
      </c>
      <c r="N6" s="41" t="n"/>
      <c r="O6" s="43" t="n"/>
      <c r="P6" s="43" t="n"/>
      <c r="Q6" s="44">
        <f>IF($AM6=0,"",IF(ISNUMBER($AK6),$AK6-N($AL6),""))</f>
        <v>238</v>
      </c>
      <c r="R6" s="45">
        <f>IF(OR($Q6="",NOT(ISNUMBER($V6))),"",$AK6/$V6)</f>
        <v>2</v>
      </c>
      <c r="S6" s="46" t="str">
        <f>IF($Q6="","",IF(AND(ISNUMBER($R6),ABS(N($R6))&lt;N(Settings!$C$8)),"Scratch",IF($Q6&gt;0,"Win",IF($Q6&lt;0,"Loss","Scratch"))))</f>
        <v>Win</v>
      </c>
      <c r="T6" s="47">
        <f>IF(OR($AM6=0,NOT(ISNUMBER($H6)),NOT(ISNUMBER($I6)),NOT(ISNUMBER($J6))),"",IF($H6=$I6,"",ROUND(ABS($J6-$H6)/ABS($H6-$I6),6)))</f>
        <v>2</v>
      </c>
      <c r="U6" s="48">
        <f>IF(OR($S6&lt;&gt;"Win",NOT(ISNUMBER($T6)),NOT(ISNUMBER($R6))),"",MAX(0,$T6-$R6))</f>
        <v>0</v>
      </c>
      <c r="V6" s="49">
        <f>IF(OR($AM6=0,NOT(ISNUMBER($H6)),NOT(ISNUMBER($I6)),NOT(ISNUMBER($G6))),"",IF(OR($AG6="",$AH6=""),"",IF(ROUND(ABS($H6-$I6)*ABS($G6)*$AG6*$AH6,6)=0,"",ROUND(ABS($H6-$I6)*ABS($G6)*$AG6*$AH6,6))))</f>
        <v>120</v>
      </c>
      <c r="W6" s="50" t="str">
        <f>IF($AM6=0,"",IF($BG6="","OK",LEFT($BG6,LEN($BG6)-2)))</f>
        <v>OK</v>
      </c>
      <c r="X6" s="41" t="inlineStr">
        <is>
          <t>NY Open</t>
        </is>
      </c>
      <c r="Y6" s="40" t="inlineStr">
        <is>
          <t>Breakout &amp; Retest</t>
        </is>
      </c>
      <c r="Z6" s="41" t="inlineStr">
        <is>
          <t>Yes</t>
        </is>
      </c>
      <c r="AA6" s="41" t="inlineStr">
        <is>
          <t>Calm</t>
        </is>
      </c>
      <c r="AB6" s="40" t="n"/>
      <c r="AC6" s="51" t="inlineStr">
        <is>
          <t>Retest of overnight high held on volume</t>
        </is>
      </c>
      <c r="AD6" s="51" t="inlineStr">
        <is>
          <t>Textbook. Held to target.</t>
        </is>
      </c>
      <c r="AE6" s="40" t="n"/>
      <c r="AF6" s="52" t="str">
        <f>IF($AM6=0,"",IF($D6&lt;&gt;"",$D6,IF(IFERROR(INDEX(Accounts!$C$7:$C$16,MATCH($C6,Accounts!$B$7:$B$16,0))&amp;"","")&lt;&gt;"",INDEX(Accounts!$C$7:$C$16,MATCH($C6,Accounts!$B$7:$B$16,0)),Settings!$C$6)))</f>
        <v>Futures</v>
      </c>
      <c r="AG6" s="53">
        <f>IF($AM6=0,"",IF(AND($BE6&gt;0,N(INDEX(Instruments!$D$6:$D$205,MAX(1,$BE6)))&gt;0),INDEX(Instruments!$D$6:$D$205,MAX(1,$BE6)),IF(N(INDEX(Settings!$D$14:$D$18,$BF6))&gt;0,INDEX(Settings!$D$14:$D$18,$BF6),"")))</f>
        <v>2</v>
      </c>
      <c r="AH6" s="54">
        <f>IF($AM6=0,"",IF($AF6&lt;&gt;"Forex",1,IF(MID(UPPER(SUBSTITUTE(TRIM($E6),"/","")),4,3)=UPPER(TRIM(Settings!$C$7)),1,IF(LEFT(UPPER(SUBSTITUTE(TRIM($E6),"/","")),3)=UPPER(TRIM(Settings!$C$7)),IF(AND(ISNUMBER($K6),N($K6)&lt;&gt;0),1/$K6,""),""))))</f>
        <v>1</v>
      </c>
      <c r="AI6" s="55">
        <f>IF($AM6=0,"",IF(OR(NOT(ISNUMBER($H6)),NOT(ISNUMBER($K6)),NOT(ISNUMBER($G6)),$AG6="",$AH6=""),"",ROUND(($K6-$H6)*IF($F6="Short",-1,1)*$G6*$AG6*$AH6,6)))</f>
        <v>240</v>
      </c>
      <c r="AJ6" s="55">
        <f>IF($AM6=0,"",IF(INDEX(Settings!$E$14:$E$18,$BF6)="% of notional",IF(OR($AG6="",NOT(ISNUMBER($H6)),NOT(ISNUMBER($G6))),"",ROUND(ABS($H6*$G6*$AG6*N($AH6))*IF($L6="Limit",N(INDEX(Settings!$G$14:$G$18,$BF6)),N(INDEX(Settings!$H$14:$H$18,$BF6)))+IF(ISNUMBER($K6),ABS($K6*$G6*$AG6*N($AH6))*IF($M6="Target",N(INDEX(Settings!$G$14:$G$18,$BF6)),N(INDEX(Settings!$H$14:$H$18,$BF6))),0),6)),IF(NOT(ISNUMBER($G6)),"",ROUND(ABS($G6)*2*IF(AND($BE6&gt;0,ISNUMBER(INDEX(Instruments!$G$6:$G$205,MAX(1,$BE6)))),INDEX(Instruments!$G$6:$G$205,MAX(1,$BE6)),N(INDEX(Settings!$F$14:$F$18,$BF6))),6))))</f>
        <v>2</v>
      </c>
      <c r="AK6" s="55">
        <f>IF($AM6=0,"",IF(ISNUMBER($O6),$O6,$AI6))</f>
        <v>240</v>
      </c>
      <c r="AL6" s="55">
        <f>IF($AM6=0,"",IF(ISNUMBER($P6),$P6,N($AJ6)))</f>
        <v>2</v>
      </c>
      <c r="AM6" s="56">
        <f>IF(AND($A6&lt;&gt;"",$E6&lt;&gt;"",OR(AND(ISNUMBER($G6),ISNUMBER($H6),ISNUMBER($K6)),ISNUMBER($O6))),1,0)</f>
        <v>1</v>
      </c>
      <c r="AN6" s="57">
        <f>IF($A6="","",$A6-WEEKDAY($A6,3))</f>
        <v>46286</v>
      </c>
      <c r="AO6" s="56">
        <f>IF($A6="","",WEEKDAY($A6,2))</f>
        <v>1</v>
      </c>
      <c r="AP6" s="55">
        <f>IF(OR($AM6=0,$C6=""),"",IFERROR(N(INDEX(Accounts!$E$7:$E$16,MATCH($C6,Accounts!$B$7:$B$16,0))),0)+SUMIFS($Q$6:$Q6,$C$6:$C6,$C6))</f>
        <v>50238</v>
      </c>
      <c r="AQ6" s="55">
        <f>IF(OR($AM6=0,$C6=""),"",SUMIFS($Q$6:$Q$1005,$C$6:$C$1005,$C6,$A$6:$A$1005,$A6))</f>
        <v>298.5</v>
      </c>
      <c r="AR6" s="55">
        <f>IF(OR($AM6=0,$C6=""),"",IFERROR(N(INDEX(Accounts!$E$7:$E$16,MATCH($C6,Accounts!$B$7:$B$16,0))),0)+SUMIFS($Q$6:$Q$1005,$C$6:$C$1005,$C6,$A$6:$A$1005,"&lt;="&amp;$A6))</f>
        <v>50298.5</v>
      </c>
      <c r="AS6" s="56">
        <f>IF(OR($AM6=0,$Q6=""),0,IF(AND($A6&gt;=Lists!$W$6,$A6&lt;=Lists!$W$7,OR(Dashboard!$D$6="All accounts",$C6=Dashboard!$D$6),OR(Dashboard!$D$7="All markets",$AF6=Dashboard!$D$7)),1,0))</f>
        <v>1</v>
      </c>
      <c r="AT6" s="55">
        <f>IF($AS6=1,N(AT5)+$Q6,N(AT5))</f>
        <v>238</v>
      </c>
      <c r="AU6" s="55">
        <f>MAX(N(AU5),$AT6)</f>
        <v>238</v>
      </c>
      <c r="AV6" s="55">
        <f>$AT6-$AU6</f>
        <v>0</v>
      </c>
      <c r="AW6" s="56">
        <f>IF($AS6=1,IF($S6="Win",N(AW5)+1,IF($S6="Loss",0,N(AW5))),N(AW5))</f>
        <v>1</v>
      </c>
      <c r="AX6" s="56">
        <f>IF($AS6=1,IF($S6="Loss",N(AX5)+1,IF($S6="Win",0,N(AX5))),N(AX5))</f>
        <v>0</v>
      </c>
      <c r="AY6" s="56">
        <f>IF($AS6=1,COUNTIF($AS$6:$AS6,1),"")</f>
        <v>1</v>
      </c>
      <c r="AZ6" s="56">
        <f>MIN(0,N(Lists!$W$8))</f>
        <v>0</v>
      </c>
      <c r="BA6" s="56">
        <f>IF($AS6=1,IF(COUNTIFS($A$6:$A6,$A6,$AS$6:$AS6,1)=1,1,0),0)</f>
        <v>1</v>
      </c>
      <c r="BB6" s="55">
        <f>IF($BA6=1,SUMIFS($Q$6:$Q$1005,$A$6:$A$1005,$A6,$AS$6:$AS$1005,1),"")</f>
        <v>298.5</v>
      </c>
      <c r="BC6" s="56">
        <f>IF(ISNUMBER($R6),1,0)</f>
        <v>1</v>
      </c>
      <c r="BD6" s="55">
        <f>IF(ISNUMBER($U6),$U6*$V6,"")</f>
        <v>0</v>
      </c>
      <c r="BE6" s="56">
        <f>IF($AM6=0,"",IFERROR(MATCH($AF6&amp;"|"&amp;UPPER(TRIM($E6)),Lists!$A$6:$A$205,0),0))</f>
        <v>3</v>
      </c>
      <c r="BF6" s="56">
        <f>IF($AM6=0,"",IFERROR(MATCH($AF6,Settings!$B$14:$B$18,0),IFERROR(MATCH(Settings!$C$6,Settings!$B$14:$B$18,0),1)))</f>
        <v>1</v>
      </c>
      <c r="BG6" s="58" t="str">
        <f>IF($AM6=0,"",IF(NOT(ISNUMBER($I6)),"No stop; ","")&amp;IF(AND(ISNUMBER($H6),ISNUMBER($I6)),IF(OR(AND($F6&lt;&gt;"Short",$I6&gt;=$H6),AND($F6="Short",$I6&lt;=$H6)),"Stop on wrong side; ",""),"")&amp;IF($F6="","No direction; ","")&amp;IF(AND(ISNUMBER(Settings!$C$22),ISNUMBER($V6)),IF($V6&gt;Settings!$C$22,"Risk over max $; ",""),"")&amp;IF(AND(ISNUMBER(Settings!$C$23),ISNUMBER($V6),ISNUMBER($AP6),IFERROR(N(INDEX(Accounts!$E$7:$E$16,MATCH($C6,Accounts!$B$7:$B$16,0))),0)&gt;0),IF($V6&gt;Settings!$C$23*($AP6-N($Q6)),"Risk over max %; ",""),"")&amp;IF(AND(ISNUMBER(Settings!$C$24),ISNUMBER($N6)),IF($N6&gt;Settings!$C$24,"Leverage over max; ",""),"")&amp;IF(AND(ISNUMBER(Settings!$C$27),ISNUMBER($T6)),IF($T6&lt;Settings!$C$27,"R:R below min; ",""),"")&amp;IF(ISNUMBER(Settings!$C$25),IF(COUNTIFS($A$6:$A6,$A6,$AM$6:$AM6,1)&gt;Settings!$C$25,"Over max trades/day; ",""),"")&amp;IF(ISNUMBER(Settings!$C$26),IF(SUMIFS($Q$5:$Q5,$A$5:$A5,$A6)&lt;=-Settings!$C$26,"Traded after daily max loss; ",""),"")&amp;IF(AND($AG6="",NOT(ISNUMBER($O6))),"Symbol not in Instruments; ","")&amp;IF(AND($AH6="",NOT(ISNUMBER($O6))),"Forex cross: type Gross P&amp;L; ",""))</f>
        <v/>
      </c>
      <c r="BH6" s="56">
        <f>IF(ISNUMBER($Q6),1,0)</f>
        <v>1</v>
      </c>
      <c r="BI6" s="56">
        <f>IF($Y6="",0,1)</f>
        <v>1</v>
      </c>
      <c r="BJ6" s="56">
        <f>IF($AB6="",0,1)</f>
        <v>0</v>
      </c>
      <c r="BK6" s="56">
        <f>IF(AND($BH6=1,$W6&lt;&gt;"OK"),1,0)</f>
        <v>0</v>
      </c>
      <c r="BL6" s="55">
        <f>IF(N($AZ6)=0,0,IFERROR(INDEX($AT$6:$AT$1005,MATCH($AZ6,$AY$6:$AY$1005,0)),0))</f>
        <v>0</v>
      </c>
      <c r="BM6" s="56">
        <f>IF(ISNUMBER(SEARCH("daily max loss",$BG6)),1,0)</f>
        <v>0</v>
      </c>
    </row>
    <row r="7" ht="30" customHeight="1">
      <c r="A7" s="38" t="n">
        <v>46286</v>
      </c>
      <c r="B7" s="39" t="n">
        <v>0.4381944444444444</v>
      </c>
      <c r="C7" s="40" t="inlineStr">
        <is>
          <t>Prop Eval 50K</t>
        </is>
      </c>
      <c r="D7" s="41" t="n"/>
      <c r="E7" s="41" t="inlineStr">
        <is>
          <t>MES</t>
        </is>
      </c>
      <c r="F7" s="41" t="inlineStr">
        <is>
          <t>Long</t>
        </is>
      </c>
      <c r="G7" s="41" t="n">
        <v>2</v>
      </c>
      <c r="H7" s="42" t="n">
        <v>7662.5</v>
      </c>
      <c r="I7" s="42" t="n">
        <v>7655</v>
      </c>
      <c r="J7" s="42" t="n">
        <v>7677.5</v>
      </c>
      <c r="K7" s="42" t="n">
        <v>7668.75</v>
      </c>
      <c r="L7" s="41" t="inlineStr">
        <is>
          <t>Limit</t>
        </is>
      </c>
      <c r="M7" s="41" t="inlineStr">
        <is>
          <t>Manual</t>
        </is>
      </c>
      <c r="N7" s="41" t="n"/>
      <c r="O7" s="43" t="n"/>
      <c r="P7" s="43" t="n"/>
      <c r="Q7" s="44">
        <f>IF($AM7=0,"",IF(ISNUMBER($AK7),$AK7-N($AL7),""))</f>
        <v>60.5</v>
      </c>
      <c r="R7" s="45">
        <f>IF(OR($Q7="",NOT(ISNUMBER($V7))),"",$AK7/$V7)</f>
        <v>0.833333333333333</v>
      </c>
      <c r="S7" s="46" t="str">
        <f>IF($Q7="","",IF(AND(ISNUMBER($R7),ABS(N($R7))&lt;N(Settings!$C$8)),"Scratch",IF($Q7&gt;0,"Win",IF($Q7&lt;0,"Loss","Scratch"))))</f>
        <v>Win</v>
      </c>
      <c r="T7" s="47">
        <f>IF(OR($AM7=0,NOT(ISNUMBER($H7)),NOT(ISNUMBER($I7)),NOT(ISNUMBER($J7))),"",IF($H7=$I7,"",ROUND(ABS($J7-$H7)/ABS($H7-$I7),6)))</f>
        <v>2</v>
      </c>
      <c r="U7" s="48">
        <f>IF(OR($S7&lt;&gt;"Win",NOT(ISNUMBER($T7)),NOT(ISNUMBER($R7))),"",MAX(0,$T7-$R7))</f>
        <v>1.16666666666667</v>
      </c>
      <c r="V7" s="49">
        <f>IF(OR($AM7=0,NOT(ISNUMBER($H7)),NOT(ISNUMBER($I7)),NOT(ISNUMBER($G7))),"",IF(OR($AG7="",$AH7=""),"",IF(ROUND(ABS($H7-$I7)*ABS($G7)*$AG7*$AH7,6)=0,"",ROUND(ABS($H7-$I7)*ABS($G7)*$AG7*$AH7,6))))</f>
        <v>75</v>
      </c>
      <c r="W7" s="50" t="str">
        <f>IF($AM7=0,"",IF($BG7="","OK",LEFT($BG7,LEN($BG7)-2)))</f>
        <v>OK</v>
      </c>
      <c r="X7" s="41" t="inlineStr">
        <is>
          <t>NY Open</t>
        </is>
      </c>
      <c r="Y7" s="40" t="inlineStr">
        <is>
          <t>Trend Pullback</t>
        </is>
      </c>
      <c r="Z7" s="41" t="inlineStr">
        <is>
          <t>No</t>
        </is>
      </c>
      <c r="AA7" s="41" t="inlineStr">
        <is>
          <t>Hesitant</t>
        </is>
      </c>
      <c r="AB7" s="40" t="inlineStr">
        <is>
          <t>Took profit too early</t>
        </is>
      </c>
      <c r="AC7" s="51" t="inlineStr">
        <is>
          <t>Pullback to 20 EMA in an uptrend</t>
        </is>
      </c>
      <c r="AD7" s="51" t="inlineStr">
        <is>
          <t>Got nervous at the prior high and bailed early.</t>
        </is>
      </c>
      <c r="AE7" s="40" t="n"/>
      <c r="AF7" s="52" t="str">
        <f>IF($AM7=0,"",IF($D7&lt;&gt;"",$D7,IF(IFERROR(INDEX(Accounts!$C$7:$C$16,MATCH($C7,Accounts!$B$7:$B$16,0))&amp;"","")&lt;&gt;"",INDEX(Accounts!$C$7:$C$16,MATCH($C7,Accounts!$B$7:$B$16,0)),Settings!$C$6)))</f>
        <v>Futures</v>
      </c>
      <c r="AG7" s="53">
        <f>IF($AM7=0,"",IF(AND($BE7&gt;0,N(INDEX(Instruments!$D$6:$D$205,MAX(1,$BE7)))&gt;0),INDEX(Instruments!$D$6:$D$205,MAX(1,$BE7)),IF(N(INDEX(Settings!$D$14:$D$18,$BF7))&gt;0,INDEX(Settings!$D$14:$D$18,$BF7),"")))</f>
        <v>5</v>
      </c>
      <c r="AH7" s="54">
        <f>IF($AM7=0,"",IF($AF7&lt;&gt;"Forex",1,IF(MID(UPPER(SUBSTITUTE(TRIM($E7),"/","")),4,3)=UPPER(TRIM(Settings!$C$7)),1,IF(LEFT(UPPER(SUBSTITUTE(TRIM($E7),"/","")),3)=UPPER(TRIM(Settings!$C$7)),IF(AND(ISNUMBER($K7),N($K7)&lt;&gt;0),1/$K7,""),""))))</f>
        <v>1</v>
      </c>
      <c r="AI7" s="55">
        <f>IF($AM7=0,"",IF(OR(NOT(ISNUMBER($H7)),NOT(ISNUMBER($K7)),NOT(ISNUMBER($G7)),$AG7="",$AH7=""),"",ROUND(($K7-$H7)*IF($F7="Short",-1,1)*$G7*$AG7*$AH7,6)))</f>
        <v>62.5</v>
      </c>
      <c r="AJ7" s="55">
        <f>IF($AM7=0,"",IF(INDEX(Settings!$E$14:$E$18,$BF7)="% of notional",IF(OR($AG7="",NOT(ISNUMBER($H7)),NOT(ISNUMBER($G7))),"",ROUND(ABS($H7*$G7*$AG7*N($AH7))*IF($L7="Limit",N(INDEX(Settings!$G$14:$G$18,$BF7)),N(INDEX(Settings!$H$14:$H$18,$BF7)))+IF(ISNUMBER($K7),ABS($K7*$G7*$AG7*N($AH7))*IF($M7="Target",N(INDEX(Settings!$G$14:$G$18,$BF7)),N(INDEX(Settings!$H$14:$H$18,$BF7))),0),6)),IF(NOT(ISNUMBER($G7)),"",ROUND(ABS($G7)*2*IF(AND($BE7&gt;0,ISNUMBER(INDEX(Instruments!$G$6:$G$205,MAX(1,$BE7)))),INDEX(Instruments!$G$6:$G$205,MAX(1,$BE7)),N(INDEX(Settings!$F$14:$F$18,$BF7))),6))))</f>
        <v>2</v>
      </c>
      <c r="AK7" s="55">
        <f>IF($AM7=0,"",IF(ISNUMBER($O7),$O7,$AI7))</f>
        <v>62.5</v>
      </c>
      <c r="AL7" s="55">
        <f>IF($AM7=0,"",IF(ISNUMBER($P7),$P7,N($AJ7)))</f>
        <v>2</v>
      </c>
      <c r="AM7" s="56">
        <f>IF(AND($A7&lt;&gt;"",$E7&lt;&gt;"",OR(AND(ISNUMBER($G7),ISNUMBER($H7),ISNUMBER($K7)),ISNUMBER($O7))),1,0)</f>
        <v>1</v>
      </c>
      <c r="AN7" s="57">
        <f>IF($A7="","",$A7-WEEKDAY($A7,3))</f>
        <v>46286</v>
      </c>
      <c r="AO7" s="56">
        <f>IF($A7="","",WEEKDAY($A7,2))</f>
        <v>1</v>
      </c>
      <c r="AP7" s="55">
        <f>IF(OR($AM7=0,$C7=""),"",IFERROR(N(INDEX(Accounts!$E$7:$E$16,MATCH($C7,Accounts!$B$7:$B$16,0))),0)+SUMIFS($Q$6:$Q7,$C$6:$C7,$C7))</f>
        <v>50298.5</v>
      </c>
      <c r="AQ7" s="55">
        <f>IF(OR($AM7=0,$C7=""),"",SUMIFS($Q$6:$Q$1005,$C$6:$C$1005,$C7,$A$6:$A$1005,$A7))</f>
        <v>298.5</v>
      </c>
      <c r="AR7" s="55">
        <f>IF(OR($AM7=0,$C7=""),"",IFERROR(N(INDEX(Accounts!$E$7:$E$16,MATCH($C7,Accounts!$B$7:$B$16,0))),0)+SUMIFS($Q$6:$Q$1005,$C$6:$C$1005,$C7,$A$6:$A$1005,"&lt;="&amp;$A7))</f>
        <v>50298.5</v>
      </c>
      <c r="AS7" s="56">
        <f>IF(OR($AM7=0,$Q7=""),0,IF(AND($A7&gt;=Lists!$W$6,$A7&lt;=Lists!$W$7,OR(Dashboard!$D$6="All accounts",$C7=Dashboard!$D$6),OR(Dashboard!$D$7="All markets",$AF7=Dashboard!$D$7)),1,0))</f>
        <v>1</v>
      </c>
      <c r="AT7" s="55">
        <f>IF($AS7=1,N(AT6)+$Q7,N(AT6))</f>
        <v>298.5</v>
      </c>
      <c r="AU7" s="55">
        <f>MAX(N(AU6),$AT7)</f>
        <v>298.5</v>
      </c>
      <c r="AV7" s="55">
        <f>$AT7-$AU7</f>
        <v>0</v>
      </c>
      <c r="AW7" s="56">
        <f>IF($AS7=1,IF($S7="Win",N(AW6)+1,IF($S7="Loss",0,N(AW6))),N(AW6))</f>
        <v>2</v>
      </c>
      <c r="AX7" s="56">
        <f>IF($AS7=1,IF($S7="Loss",N(AX6)+1,IF($S7="Win",0,N(AX6))),N(AX6))</f>
        <v>0</v>
      </c>
      <c r="AY7" s="56">
        <f>IF($AS7=1,COUNTIF($AS$6:$AS7,1),"")</f>
        <v>2</v>
      </c>
      <c r="AZ7" s="56">
        <f>MIN(1,N(Lists!$W$8))</f>
        <v>1</v>
      </c>
      <c r="BA7" s="56">
        <f>IF($AS7=1,IF(COUNTIFS($A$6:$A7,$A7,$AS$6:$AS7,1)=1,1,0),0)</f>
        <v>0</v>
      </c>
      <c r="BB7" s="55" t="str">
        <f>IF($BA7=1,SUMIFS($Q$6:$Q$1005,$A$6:$A$1005,$A7,$AS$6:$AS$1005,1),"")</f>
        <v/>
      </c>
      <c r="BC7" s="56">
        <f>IF(ISNUMBER($R7),1,0)</f>
        <v>1</v>
      </c>
      <c r="BD7" s="55">
        <f>IF(ISNUMBER($U7),$U7*$V7,"")</f>
        <v>87.5</v>
      </c>
      <c r="BE7" s="56">
        <f>IF($AM7=0,"",IFERROR(MATCH($AF7&amp;"|"&amp;UPPER(TRIM($E7)),Lists!$A$6:$A$205,0),0))</f>
        <v>1</v>
      </c>
      <c r="BF7" s="56">
        <f>IF($AM7=0,"",IFERROR(MATCH($AF7,Settings!$B$14:$B$18,0),IFERROR(MATCH(Settings!$C$6,Settings!$B$14:$B$18,0),1)))</f>
        <v>1</v>
      </c>
      <c r="BG7" s="58" t="str">
        <f>IF($AM7=0,"",IF(NOT(ISNUMBER($I7)),"No stop; ","")&amp;IF(AND(ISNUMBER($H7),ISNUMBER($I7)),IF(OR(AND($F7&lt;&gt;"Short",$I7&gt;=$H7),AND($F7="Short",$I7&lt;=$H7)),"Stop on wrong side; ",""),"")&amp;IF($F7="","No direction; ","")&amp;IF(AND(ISNUMBER(Settings!$C$22),ISNUMBER($V7)),IF($V7&gt;Settings!$C$22,"Risk over max $; ",""),"")&amp;IF(AND(ISNUMBER(Settings!$C$23),ISNUMBER($V7),ISNUMBER($AP7),IFERROR(N(INDEX(Accounts!$E$7:$E$16,MATCH($C7,Accounts!$B$7:$B$16,0))),0)&gt;0),IF($V7&gt;Settings!$C$23*($AP7-N($Q7)),"Risk over max %; ",""),"")&amp;IF(AND(ISNUMBER(Settings!$C$24),ISNUMBER($N7)),IF($N7&gt;Settings!$C$24,"Leverage over max; ",""),"")&amp;IF(AND(ISNUMBER(Settings!$C$27),ISNUMBER($T7)),IF($T7&lt;Settings!$C$27,"R:R below min; ",""),"")&amp;IF(ISNUMBER(Settings!$C$25),IF(COUNTIFS($A$6:$A7,$A7,$AM$6:$AM7,1)&gt;Settings!$C$25,"Over max trades/day; ",""),"")&amp;IF(ISNUMBER(Settings!$C$26),IF(SUMIFS($Q$5:$Q6,$A$5:$A6,$A7)&lt;=-Settings!$C$26,"Traded after daily max loss; ",""),"")&amp;IF(AND($AG7="",NOT(ISNUMBER($O7))),"Symbol not in Instruments; ","")&amp;IF(AND($AH7="",NOT(ISNUMBER($O7))),"Forex cross: type Gross P&amp;L; ",""))</f>
        <v/>
      </c>
      <c r="BH7" s="56">
        <f>IF(ISNUMBER($Q7),1,0)</f>
        <v>1</v>
      </c>
      <c r="BI7" s="56">
        <f>IF($Y7="",0,1)</f>
        <v>1</v>
      </c>
      <c r="BJ7" s="56">
        <f>IF($AB7="",0,1)</f>
        <v>1</v>
      </c>
      <c r="BK7" s="56">
        <f>IF(AND($BH7=1,$W7&lt;&gt;"OK"),1,0)</f>
        <v>0</v>
      </c>
      <c r="BL7" s="55">
        <f>IF(N($AZ7)=0,0,IFERROR(INDEX($AT$6:$AT$1005,MATCH($AZ7,$AY$6:$AY$1005,0)),0))</f>
        <v>238</v>
      </c>
      <c r="BM7" s="56">
        <f>IF(ISNUMBER(SEARCH("daily max loss",$BG7)),1,0)</f>
        <v>0</v>
      </c>
    </row>
    <row r="8" ht="30" customHeight="1">
      <c r="A8" s="38" t="n">
        <v>46287</v>
      </c>
      <c r="B8" s="39" t="n">
        <v>0.4</v>
      </c>
      <c r="C8" s="40" t="inlineStr">
        <is>
          <t>Prop Eval 50K</t>
        </is>
      </c>
      <c r="D8" s="41" t="n"/>
      <c r="E8" s="41" t="inlineStr">
        <is>
          <t>MGC</t>
        </is>
      </c>
      <c r="F8" s="41" t="inlineStr">
        <is>
          <t>Long</t>
        </is>
      </c>
      <c r="G8" s="41" t="n">
        <v>1</v>
      </c>
      <c r="H8" s="42" t="n">
        <v>4052</v>
      </c>
      <c r="I8" s="42" t="n">
        <v>4046</v>
      </c>
      <c r="J8" s="42" t="n">
        <v>4064</v>
      </c>
      <c r="K8" s="42" t="n">
        <v>4064</v>
      </c>
      <c r="L8" s="41" t="inlineStr">
        <is>
          <t>Limit</t>
        </is>
      </c>
      <c r="M8" s="41" t="inlineStr">
        <is>
          <t>Target</t>
        </is>
      </c>
      <c r="N8" s="41" t="n"/>
      <c r="O8" s="43" t="n"/>
      <c r="P8" s="43" t="n"/>
      <c r="Q8" s="44">
        <f>IF($AM8=0,"",IF(ISNUMBER($AK8),$AK8-N($AL8),""))</f>
        <v>119</v>
      </c>
      <c r="R8" s="45">
        <f>IF(OR($Q8="",NOT(ISNUMBER($V8))),"",$AK8/$V8)</f>
        <v>2</v>
      </c>
      <c r="S8" s="46" t="str">
        <f>IF($Q8="","",IF(AND(ISNUMBER($R8),ABS(N($R8))&lt;N(Settings!$C$8)),"Scratch",IF($Q8&gt;0,"Win",IF($Q8&lt;0,"Loss","Scratch"))))</f>
        <v>Win</v>
      </c>
      <c r="T8" s="47">
        <f>IF(OR($AM8=0,NOT(ISNUMBER($H8)),NOT(ISNUMBER($I8)),NOT(ISNUMBER($J8))),"",IF($H8=$I8,"",ROUND(ABS($J8-$H8)/ABS($H8-$I8),6)))</f>
        <v>2</v>
      </c>
      <c r="U8" s="48">
        <f>IF(OR($S8&lt;&gt;"Win",NOT(ISNUMBER($T8)),NOT(ISNUMBER($R8))),"",MAX(0,$T8-$R8))</f>
        <v>0</v>
      </c>
      <c r="V8" s="49">
        <f>IF(OR($AM8=0,NOT(ISNUMBER($H8)),NOT(ISNUMBER($I8)),NOT(ISNUMBER($G8))),"",IF(OR($AG8="",$AH8=""),"",IF(ROUND(ABS($H8-$I8)*ABS($G8)*$AG8*$AH8,6)=0,"",ROUND(ABS($H8-$I8)*ABS($G8)*$AG8*$AH8,6))))</f>
        <v>60</v>
      </c>
      <c r="W8" s="50" t="str">
        <f>IF($AM8=0,"",IF($BG8="","OK",LEFT($BG8,LEN($BG8)-2)))</f>
        <v>OK</v>
      </c>
      <c r="X8" s="41" t="inlineStr">
        <is>
          <t>NY Open</t>
        </is>
      </c>
      <c r="Y8" s="40" t="inlineStr">
        <is>
          <t>Breakout &amp; Retest</t>
        </is>
      </c>
      <c r="Z8" s="41" t="inlineStr">
        <is>
          <t>Yes</t>
        </is>
      </c>
      <c r="AA8" s="41" t="inlineStr">
        <is>
          <t>Calm</t>
        </is>
      </c>
      <c r="AB8" s="40" t="n"/>
      <c r="AC8" s="51" t="inlineStr">
        <is>
          <t>Gold held its breakout above the Asia high</t>
        </is>
      </c>
      <c r="AD8" s="51" t="inlineStr">
        <is>
          <t>Clean.</t>
        </is>
      </c>
      <c r="AE8" s="40" t="n"/>
      <c r="AF8" s="52" t="str">
        <f>IF($AM8=0,"",IF($D8&lt;&gt;"",$D8,IF(IFERROR(INDEX(Accounts!$C$7:$C$16,MATCH($C8,Accounts!$B$7:$B$16,0))&amp;"","")&lt;&gt;"",INDEX(Accounts!$C$7:$C$16,MATCH($C8,Accounts!$B$7:$B$16,0)),Settings!$C$6)))</f>
        <v>Futures</v>
      </c>
      <c r="AG8" s="53">
        <f>IF($AM8=0,"",IF(AND($BE8&gt;0,N(INDEX(Instruments!$D$6:$D$205,MAX(1,$BE8)))&gt;0),INDEX(Instruments!$D$6:$D$205,MAX(1,$BE8)),IF(N(INDEX(Settings!$D$14:$D$18,$BF8))&gt;0,INDEX(Settings!$D$14:$D$18,$BF8),"")))</f>
        <v>10</v>
      </c>
      <c r="AH8" s="54">
        <f>IF($AM8=0,"",IF($AF8&lt;&gt;"Forex",1,IF(MID(UPPER(SUBSTITUTE(TRIM($E8),"/","")),4,3)=UPPER(TRIM(Settings!$C$7)),1,IF(LEFT(UPPER(SUBSTITUTE(TRIM($E8),"/","")),3)=UPPER(TRIM(Settings!$C$7)),IF(AND(ISNUMBER($K8),N($K8)&lt;&gt;0),1/$K8,""),""))))</f>
        <v>1</v>
      </c>
      <c r="AI8" s="55">
        <f>IF($AM8=0,"",IF(OR(NOT(ISNUMBER($H8)),NOT(ISNUMBER($K8)),NOT(ISNUMBER($G8)),$AG8="",$AH8=""),"",ROUND(($K8-$H8)*IF($F8="Short",-1,1)*$G8*$AG8*$AH8,6)))</f>
        <v>120</v>
      </c>
      <c r="AJ8" s="55">
        <f>IF($AM8=0,"",IF(INDEX(Settings!$E$14:$E$18,$BF8)="% of notional",IF(OR($AG8="",NOT(ISNUMBER($H8)),NOT(ISNUMBER($G8))),"",ROUND(ABS($H8*$G8*$AG8*N($AH8))*IF($L8="Limit",N(INDEX(Settings!$G$14:$G$18,$BF8)),N(INDEX(Settings!$H$14:$H$18,$BF8)))+IF(ISNUMBER($K8),ABS($K8*$G8*$AG8*N($AH8))*IF($M8="Target",N(INDEX(Settings!$G$14:$G$18,$BF8)),N(INDEX(Settings!$H$14:$H$18,$BF8))),0),6)),IF(NOT(ISNUMBER($G8)),"",ROUND(ABS($G8)*2*IF(AND($BE8&gt;0,ISNUMBER(INDEX(Instruments!$G$6:$G$205,MAX(1,$BE8)))),INDEX(Instruments!$G$6:$G$205,MAX(1,$BE8)),N(INDEX(Settings!$F$14:$F$18,$BF8))),6))))</f>
        <v>1</v>
      </c>
      <c r="AK8" s="55">
        <f>IF($AM8=0,"",IF(ISNUMBER($O8),$O8,$AI8))</f>
        <v>120</v>
      </c>
      <c r="AL8" s="55">
        <f>IF($AM8=0,"",IF(ISNUMBER($P8),$P8,N($AJ8)))</f>
        <v>1</v>
      </c>
      <c r="AM8" s="56">
        <f>IF(AND($A8&lt;&gt;"",$E8&lt;&gt;"",OR(AND(ISNUMBER($G8),ISNUMBER($H8),ISNUMBER($K8)),ISNUMBER($O8))),1,0)</f>
        <v>1</v>
      </c>
      <c r="AN8" s="57">
        <f>IF($A8="","",$A8-WEEKDAY($A8,3))</f>
        <v>46286</v>
      </c>
      <c r="AO8" s="56">
        <f>IF($A8="","",WEEKDAY($A8,2))</f>
        <v>2</v>
      </c>
      <c r="AP8" s="55">
        <f>IF(OR($AM8=0,$C8=""),"",IFERROR(N(INDEX(Accounts!$E$7:$E$16,MATCH($C8,Accounts!$B$7:$B$16,0))),0)+SUMIFS($Q$6:$Q8,$C$6:$C8,$C8))</f>
        <v>50417.5</v>
      </c>
      <c r="AQ8" s="55">
        <f>IF(OR($AM8=0,$C8=""),"",SUMIFS($Q$6:$Q$1005,$C$6:$C$1005,$C8,$A$6:$A$1005,$A8))</f>
        <v>57</v>
      </c>
      <c r="AR8" s="55">
        <f>IF(OR($AM8=0,$C8=""),"",IFERROR(N(INDEX(Accounts!$E$7:$E$16,MATCH($C8,Accounts!$B$7:$B$16,0))),0)+SUMIFS($Q$6:$Q$1005,$C$6:$C$1005,$C8,$A$6:$A$1005,"&lt;="&amp;$A8))</f>
        <v>50355.5</v>
      </c>
      <c r="AS8" s="56">
        <f>IF(OR($AM8=0,$Q8=""),0,IF(AND($A8&gt;=Lists!$W$6,$A8&lt;=Lists!$W$7,OR(Dashboard!$D$6="All accounts",$C8=Dashboard!$D$6),OR(Dashboard!$D$7="All markets",$AF8=Dashboard!$D$7)),1,0))</f>
        <v>1</v>
      </c>
      <c r="AT8" s="55">
        <f>IF($AS8=1,N(AT7)+$Q8,N(AT7))</f>
        <v>417.5</v>
      </c>
      <c r="AU8" s="55">
        <f>MAX(N(AU7),$AT8)</f>
        <v>417.5</v>
      </c>
      <c r="AV8" s="55">
        <f>$AT8-$AU8</f>
        <v>0</v>
      </c>
      <c r="AW8" s="56">
        <f>IF($AS8=1,IF($S8="Win",N(AW7)+1,IF($S8="Loss",0,N(AW7))),N(AW7))</f>
        <v>3</v>
      </c>
      <c r="AX8" s="56">
        <f>IF($AS8=1,IF($S8="Loss",N(AX7)+1,IF($S8="Win",0,N(AX7))),N(AX7))</f>
        <v>0</v>
      </c>
      <c r="AY8" s="56">
        <f>IF($AS8=1,COUNTIF($AS$6:$AS8,1),"")</f>
        <v>3</v>
      </c>
      <c r="AZ8" s="56">
        <f>MIN(2,N(Lists!$W$8))</f>
        <v>2</v>
      </c>
      <c r="BA8" s="56">
        <f>IF($AS8=1,IF(COUNTIFS($A$6:$A8,$A8,$AS$6:$AS8,1)=1,1,0),0)</f>
        <v>1</v>
      </c>
      <c r="BB8" s="55">
        <f>IF($BA8=1,SUMIFS($Q$6:$Q$1005,$A$6:$A$1005,$A8,$AS$6:$AS$1005,1),"")</f>
        <v>115.704</v>
      </c>
      <c r="BC8" s="56">
        <f>IF(ISNUMBER($R8),1,0)</f>
        <v>1</v>
      </c>
      <c r="BD8" s="55">
        <f>IF(ISNUMBER($U8),$U8*$V8,"")</f>
        <v>0</v>
      </c>
      <c r="BE8" s="56">
        <f>IF($AM8=0,"",IFERROR(MATCH($AF8&amp;"|"&amp;UPPER(TRIM($E8)),Lists!$A$6:$A$205,0),0))</f>
        <v>14</v>
      </c>
      <c r="BF8" s="56">
        <f>IF($AM8=0,"",IFERROR(MATCH($AF8,Settings!$B$14:$B$18,0),IFERROR(MATCH(Settings!$C$6,Settings!$B$14:$B$18,0),1)))</f>
        <v>1</v>
      </c>
      <c r="BG8" s="58" t="str">
        <f>IF($AM8=0,"",IF(NOT(ISNUMBER($I8)),"No stop; ","")&amp;IF(AND(ISNUMBER($H8),ISNUMBER($I8)),IF(OR(AND($F8&lt;&gt;"Short",$I8&gt;=$H8),AND($F8="Short",$I8&lt;=$H8)),"Stop on wrong side; ",""),"")&amp;IF($F8="","No direction; ","")&amp;IF(AND(ISNUMBER(Settings!$C$22),ISNUMBER($V8)),IF($V8&gt;Settings!$C$22,"Risk over max $; ",""),"")&amp;IF(AND(ISNUMBER(Settings!$C$23),ISNUMBER($V8),ISNUMBER($AP8),IFERROR(N(INDEX(Accounts!$E$7:$E$16,MATCH($C8,Accounts!$B$7:$B$16,0))),0)&gt;0),IF($V8&gt;Settings!$C$23*($AP8-N($Q8)),"Risk over max %; ",""),"")&amp;IF(AND(ISNUMBER(Settings!$C$24),ISNUMBER($N8)),IF($N8&gt;Settings!$C$24,"Leverage over max; ",""),"")&amp;IF(AND(ISNUMBER(Settings!$C$27),ISNUMBER($T8)),IF($T8&lt;Settings!$C$27,"R:R below min; ",""),"")&amp;IF(ISNUMBER(Settings!$C$25),IF(COUNTIFS($A$6:$A8,$A8,$AM$6:$AM8,1)&gt;Settings!$C$25,"Over max trades/day; ",""),"")&amp;IF(ISNUMBER(Settings!$C$26),IF(SUMIFS($Q$5:$Q7,$A$5:$A7,$A8)&lt;=-Settings!$C$26,"Traded after daily max loss; ",""),"")&amp;IF(AND($AG8="",NOT(ISNUMBER($O8))),"Symbol not in Instruments; ","")&amp;IF(AND($AH8="",NOT(ISNUMBER($O8))),"Forex cross: type Gross P&amp;L; ",""))</f>
        <v/>
      </c>
      <c r="BH8" s="56">
        <f>IF(ISNUMBER($Q8),1,0)</f>
        <v>1</v>
      </c>
      <c r="BI8" s="56">
        <f>IF($Y8="",0,1)</f>
        <v>1</v>
      </c>
      <c r="BJ8" s="56">
        <f>IF($AB8="",0,1)</f>
        <v>0</v>
      </c>
      <c r="BK8" s="56">
        <f>IF(AND($BH8=1,$W8&lt;&gt;"OK"),1,0)</f>
        <v>0</v>
      </c>
      <c r="BL8" s="55">
        <f>IF(N($AZ8)=0,0,IFERROR(INDEX($AT$6:$AT$1005,MATCH($AZ8,$AY$6:$AY$1005,0)),0))</f>
        <v>298.5</v>
      </c>
      <c r="BM8" s="56">
        <f>IF(ISNUMBER(SEARCH("daily max loss",$BG8)),1,0)</f>
        <v>0</v>
      </c>
    </row>
    <row r="9" ht="30" customHeight="1">
      <c r="A9" s="38" t="n">
        <v>46287</v>
      </c>
      <c r="B9" s="39" t="n">
        <v>0.46875</v>
      </c>
      <c r="C9" s="40" t="inlineStr">
        <is>
          <t>Prop Eval 50K</t>
        </is>
      </c>
      <c r="D9" s="41" t="n"/>
      <c r="E9" s="41" t="inlineStr">
        <is>
          <t>MCL</t>
        </is>
      </c>
      <c r="F9" s="41" t="inlineStr">
        <is>
          <t>Short</t>
        </is>
      </c>
      <c r="G9" s="41" t="n">
        <v>2</v>
      </c>
      <c r="H9" s="42" t="n">
        <v>69.84999999999999</v>
      </c>
      <c r="I9" s="42" t="n">
        <v>70.15000000000001</v>
      </c>
      <c r="J9" s="42" t="n">
        <v>69.25</v>
      </c>
      <c r="K9" s="42" t="n">
        <v>70.15000000000001</v>
      </c>
      <c r="L9" s="41" t="inlineStr">
        <is>
          <t>Market</t>
        </is>
      </c>
      <c r="M9" s="41" t="inlineStr">
        <is>
          <t>Stop loss</t>
        </is>
      </c>
      <c r="N9" s="41" t="n"/>
      <c r="O9" s="43" t="n"/>
      <c r="P9" s="43" t="n"/>
      <c r="Q9" s="44">
        <f>IF($AM9=0,"",IF(ISNUMBER($AK9),$AK9-N($AL9),""))</f>
        <v>-62</v>
      </c>
      <c r="R9" s="45">
        <f>IF(OR($Q9="",NOT(ISNUMBER($V9))),"",$AK9/$V9)</f>
        <v>-1</v>
      </c>
      <c r="S9" s="46" t="str">
        <f>IF($Q9="","",IF(AND(ISNUMBER($R9),ABS(N($R9))&lt;N(Settings!$C$8)),"Scratch",IF($Q9&gt;0,"Win",IF($Q9&lt;0,"Loss","Scratch"))))</f>
        <v>Loss</v>
      </c>
      <c r="T9" s="47">
        <f>IF(OR($AM9=0,NOT(ISNUMBER($H9)),NOT(ISNUMBER($I9)),NOT(ISNUMBER($J9))),"",IF($H9=$I9,"",ROUND(ABS($J9-$H9)/ABS($H9-$I9),6)))</f>
        <v>2</v>
      </c>
      <c r="U9" s="48" t="str">
        <f>IF(OR($S9&lt;&gt;"Win",NOT(ISNUMBER($T9)),NOT(ISNUMBER($R9))),"",MAX(0,$T9-$R9))</f>
        <v/>
      </c>
      <c r="V9" s="49">
        <f>IF(OR($AM9=0,NOT(ISNUMBER($H9)),NOT(ISNUMBER($I9)),NOT(ISNUMBER($G9))),"",IF(OR($AG9="",$AH9=""),"",IF(ROUND(ABS($H9-$I9)*ABS($G9)*$AG9*$AH9,6)=0,"",ROUND(ABS($H9-$I9)*ABS($G9)*$AG9*$AH9,6))))</f>
        <v>60</v>
      </c>
      <c r="W9" s="50" t="str">
        <f>IF($AM9=0,"",IF($BG9="","OK",LEFT($BG9,LEN($BG9)-2)))</f>
        <v>OK</v>
      </c>
      <c r="X9" s="41" t="inlineStr">
        <is>
          <t>NY Midday</t>
        </is>
      </c>
      <c r="Y9" s="40" t="inlineStr">
        <is>
          <t>Failed Breakout Reversal</t>
        </is>
      </c>
      <c r="Z9" s="41" t="inlineStr">
        <is>
          <t>No</t>
        </is>
      </c>
      <c r="AA9" s="41" t="inlineStr">
        <is>
          <t>FOMO</t>
        </is>
      </c>
      <c r="AB9" s="40" t="inlineStr">
        <is>
          <t>Late entry (chased)</t>
        </is>
      </c>
      <c r="AC9" s="51" t="inlineStr">
        <is>
          <t>Chased the rejection after it already dropped</t>
        </is>
      </c>
      <c r="AD9" s="51" t="inlineStr">
        <is>
          <t>Late fill made the stop too tight.</t>
        </is>
      </c>
      <c r="AE9" s="40" t="n"/>
      <c r="AF9" s="52" t="str">
        <f>IF($AM9=0,"",IF($D9&lt;&gt;"",$D9,IF(IFERROR(INDEX(Accounts!$C$7:$C$16,MATCH($C9,Accounts!$B$7:$B$16,0))&amp;"","")&lt;&gt;"",INDEX(Accounts!$C$7:$C$16,MATCH($C9,Accounts!$B$7:$B$16,0)),Settings!$C$6)))</f>
        <v>Futures</v>
      </c>
      <c r="AG9" s="53">
        <f>IF($AM9=0,"",IF(AND($BE9&gt;0,N(INDEX(Instruments!$D$6:$D$205,MAX(1,$BE9)))&gt;0),INDEX(Instruments!$D$6:$D$205,MAX(1,$BE9)),IF(N(INDEX(Settings!$D$14:$D$18,$BF9))&gt;0,INDEX(Settings!$D$14:$D$18,$BF9),"")))</f>
        <v>100</v>
      </c>
      <c r="AH9" s="54">
        <f>IF($AM9=0,"",IF($AF9&lt;&gt;"Forex",1,IF(MID(UPPER(SUBSTITUTE(TRIM($E9),"/","")),4,3)=UPPER(TRIM(Settings!$C$7)),1,IF(LEFT(UPPER(SUBSTITUTE(TRIM($E9),"/","")),3)=UPPER(TRIM(Settings!$C$7)),IF(AND(ISNUMBER($K9),N($K9)&lt;&gt;0),1/$K9,""),""))))</f>
        <v>1</v>
      </c>
      <c r="AI9" s="55">
        <f>IF($AM9=0,"",IF(OR(NOT(ISNUMBER($H9)),NOT(ISNUMBER($K9)),NOT(ISNUMBER($G9)),$AG9="",$AH9=""),"",ROUND(($K9-$H9)*IF($F9="Short",-1,1)*$G9*$AG9*$AH9,6)))</f>
        <v>-60</v>
      </c>
      <c r="AJ9" s="55">
        <f>IF($AM9=0,"",IF(INDEX(Settings!$E$14:$E$18,$BF9)="% of notional",IF(OR($AG9="",NOT(ISNUMBER($H9)),NOT(ISNUMBER($G9))),"",ROUND(ABS($H9*$G9*$AG9*N($AH9))*IF($L9="Limit",N(INDEX(Settings!$G$14:$G$18,$BF9)),N(INDEX(Settings!$H$14:$H$18,$BF9)))+IF(ISNUMBER($K9),ABS($K9*$G9*$AG9*N($AH9))*IF($M9="Target",N(INDEX(Settings!$G$14:$G$18,$BF9)),N(INDEX(Settings!$H$14:$H$18,$BF9))),0),6)),IF(NOT(ISNUMBER($G9)),"",ROUND(ABS($G9)*2*IF(AND($BE9&gt;0,ISNUMBER(INDEX(Instruments!$G$6:$G$205,MAX(1,$BE9)))),INDEX(Instruments!$G$6:$G$205,MAX(1,$BE9)),N(INDEX(Settings!$F$14:$F$18,$BF9))),6))))</f>
        <v>2</v>
      </c>
      <c r="AK9" s="55">
        <f>IF($AM9=0,"",IF(ISNUMBER($O9),$O9,$AI9))</f>
        <v>-60</v>
      </c>
      <c r="AL9" s="55">
        <f>IF($AM9=0,"",IF(ISNUMBER($P9),$P9,N($AJ9)))</f>
        <v>2</v>
      </c>
      <c r="AM9" s="56">
        <f>IF(AND($A9&lt;&gt;"",$E9&lt;&gt;"",OR(AND(ISNUMBER($G9),ISNUMBER($H9),ISNUMBER($K9)),ISNUMBER($O9))),1,0)</f>
        <v>1</v>
      </c>
      <c r="AN9" s="57">
        <f>IF($A9="","",$A9-WEEKDAY($A9,3))</f>
        <v>46286</v>
      </c>
      <c r="AO9" s="56">
        <f>IF($A9="","",WEEKDAY($A9,2))</f>
        <v>2</v>
      </c>
      <c r="AP9" s="55">
        <f>IF(OR($AM9=0,$C9=""),"",IFERROR(N(INDEX(Accounts!$E$7:$E$16,MATCH($C9,Accounts!$B$7:$B$16,0))),0)+SUMIFS($Q$6:$Q9,$C$6:$C9,$C9))</f>
        <v>50355.5</v>
      </c>
      <c r="AQ9" s="55">
        <f>IF(OR($AM9=0,$C9=""),"",SUMIFS($Q$6:$Q$1005,$C$6:$C$1005,$C9,$A$6:$A$1005,$A9))</f>
        <v>57</v>
      </c>
      <c r="AR9" s="55">
        <f>IF(OR($AM9=0,$C9=""),"",IFERROR(N(INDEX(Accounts!$E$7:$E$16,MATCH($C9,Accounts!$B$7:$B$16,0))),0)+SUMIFS($Q$6:$Q$1005,$C$6:$C$1005,$C9,$A$6:$A$1005,"&lt;="&amp;$A9))</f>
        <v>50355.5</v>
      </c>
      <c r="AS9" s="56">
        <f>IF(OR($AM9=0,$Q9=""),0,IF(AND($A9&gt;=Lists!$W$6,$A9&lt;=Lists!$W$7,OR(Dashboard!$D$6="All accounts",$C9=Dashboard!$D$6),OR(Dashboard!$D$7="All markets",$AF9=Dashboard!$D$7)),1,0))</f>
        <v>1</v>
      </c>
      <c r="AT9" s="55">
        <f>IF($AS9=1,N(AT8)+$Q9,N(AT8))</f>
        <v>355.5</v>
      </c>
      <c r="AU9" s="55">
        <f>MAX(N(AU8),$AT9)</f>
        <v>417.5</v>
      </c>
      <c r="AV9" s="55">
        <f>$AT9-$AU9</f>
        <v>-62</v>
      </c>
      <c r="AW9" s="56">
        <f>IF($AS9=1,IF($S9="Win",N(AW8)+1,IF($S9="Loss",0,N(AW8))),N(AW8))</f>
        <v>0</v>
      </c>
      <c r="AX9" s="56">
        <f>IF($AS9=1,IF($S9="Loss",N(AX8)+1,IF($S9="Win",0,N(AX8))),N(AX8))</f>
        <v>1</v>
      </c>
      <c r="AY9" s="56">
        <f>IF($AS9=1,COUNTIF($AS$6:$AS9,1),"")</f>
        <v>4</v>
      </c>
      <c r="AZ9" s="56">
        <f>MIN(3,N(Lists!$W$8))</f>
        <v>3</v>
      </c>
      <c r="BA9" s="56">
        <f>IF($AS9=1,IF(COUNTIFS($A$6:$A9,$A9,$AS$6:$AS9,1)=1,1,0),0)</f>
        <v>0</v>
      </c>
      <c r="BB9" s="55" t="str">
        <f>IF($BA9=1,SUMIFS($Q$6:$Q$1005,$A$6:$A$1005,$A9,$AS$6:$AS$1005,1),"")</f>
        <v/>
      </c>
      <c r="BC9" s="56">
        <f>IF(ISNUMBER($R9),1,0)</f>
        <v>1</v>
      </c>
      <c r="BD9" s="55" t="str">
        <f>IF(ISNUMBER($U9),$U9*$V9,"")</f>
        <v/>
      </c>
      <c r="BE9" s="56">
        <f>IF($AM9=0,"",IFERROR(MATCH($AF9&amp;"|"&amp;UPPER(TRIM($E9)),Lists!$A$6:$A$205,0),0))</f>
        <v>9</v>
      </c>
      <c r="BF9" s="56">
        <f>IF($AM9=0,"",IFERROR(MATCH($AF9,Settings!$B$14:$B$18,0),IFERROR(MATCH(Settings!$C$6,Settings!$B$14:$B$18,0),1)))</f>
        <v>1</v>
      </c>
      <c r="BG9" s="58" t="str">
        <f>IF($AM9=0,"",IF(NOT(ISNUMBER($I9)),"No stop; ","")&amp;IF(AND(ISNUMBER($H9),ISNUMBER($I9)),IF(OR(AND($F9&lt;&gt;"Short",$I9&gt;=$H9),AND($F9="Short",$I9&lt;=$H9)),"Stop on wrong side; ",""),"")&amp;IF($F9="","No direction; ","")&amp;IF(AND(ISNUMBER(Settings!$C$22),ISNUMBER($V9)),IF($V9&gt;Settings!$C$22,"Risk over max $; ",""),"")&amp;IF(AND(ISNUMBER(Settings!$C$23),ISNUMBER($V9),ISNUMBER($AP9),IFERROR(N(INDEX(Accounts!$E$7:$E$16,MATCH($C9,Accounts!$B$7:$B$16,0))),0)&gt;0),IF($V9&gt;Settings!$C$23*($AP9-N($Q9)),"Risk over max %; ",""),"")&amp;IF(AND(ISNUMBER(Settings!$C$24),ISNUMBER($N9)),IF($N9&gt;Settings!$C$24,"Leverage over max; ",""),"")&amp;IF(AND(ISNUMBER(Settings!$C$27),ISNUMBER($T9)),IF($T9&lt;Settings!$C$27,"R:R below min; ",""),"")&amp;IF(ISNUMBER(Settings!$C$25),IF(COUNTIFS($A$6:$A9,$A9,$AM$6:$AM9,1)&gt;Settings!$C$25,"Over max trades/day; ",""),"")&amp;IF(ISNUMBER(Settings!$C$26),IF(SUMIFS($Q$5:$Q8,$A$5:$A8,$A9)&lt;=-Settings!$C$26,"Traded after daily max loss; ",""),"")&amp;IF(AND($AG9="",NOT(ISNUMBER($O9))),"Symbol not in Instruments; ","")&amp;IF(AND($AH9="",NOT(ISNUMBER($O9))),"Forex cross: type Gross P&amp;L; ",""))</f>
        <v/>
      </c>
      <c r="BH9" s="56">
        <f>IF(ISNUMBER($Q9),1,0)</f>
        <v>1</v>
      </c>
      <c r="BI9" s="56">
        <f>IF($Y9="",0,1)</f>
        <v>1</v>
      </c>
      <c r="BJ9" s="56">
        <f>IF($AB9="",0,1)</f>
        <v>1</v>
      </c>
      <c r="BK9" s="56">
        <f>IF(AND($BH9=1,$W9&lt;&gt;"OK"),1,0)</f>
        <v>0</v>
      </c>
      <c r="BL9" s="55">
        <f>IF(N($AZ9)=0,0,IFERROR(INDEX($AT$6:$AT$1005,MATCH($AZ9,$AY$6:$AY$1005,0)),0))</f>
        <v>417.5</v>
      </c>
      <c r="BM9" s="56">
        <f>IF(ISNUMBER(SEARCH("daily max loss",$BG9)),1,0)</f>
        <v>0</v>
      </c>
    </row>
    <row r="10" ht="30" customHeight="1">
      <c r="A10" s="38" t="n">
        <v>46287</v>
      </c>
      <c r="B10" s="39" t="n">
        <v>0.8854166666666666</v>
      </c>
      <c r="C10" s="40" t="inlineStr">
        <is>
          <t>Crypto Main</t>
        </is>
      </c>
      <c r="D10" s="41" t="n"/>
      <c r="E10" s="41" t="inlineStr">
        <is>
          <t>BTCUSDT</t>
        </is>
      </c>
      <c r="F10" s="41" t="inlineStr">
        <is>
          <t>Long</t>
        </is>
      </c>
      <c r="G10" s="41" t="n">
        <v>0.05</v>
      </c>
      <c r="H10" s="42" t="n">
        <v>64200</v>
      </c>
      <c r="I10" s="42" t="n">
        <v>63600</v>
      </c>
      <c r="J10" s="42" t="n">
        <v>65400</v>
      </c>
      <c r="K10" s="42" t="n">
        <v>65400</v>
      </c>
      <c r="L10" s="41" t="inlineStr">
        <is>
          <t>Limit</t>
        </is>
      </c>
      <c r="M10" s="41" t="inlineStr">
        <is>
          <t>Target</t>
        </is>
      </c>
      <c r="N10" s="41" t="n">
        <v>10</v>
      </c>
      <c r="O10" s="43" t="n"/>
      <c r="P10" s="43" t="n"/>
      <c r="Q10" s="44">
        <f>IF($AM10=0,"",IF(ISNUMBER($AK10),$AK10-N($AL10),""))</f>
        <v>58.704</v>
      </c>
      <c r="R10" s="45">
        <f>IF(OR($Q10="",NOT(ISNUMBER($V10))),"",$AK10/$V10)</f>
        <v>2</v>
      </c>
      <c r="S10" s="46" t="str">
        <f>IF($Q10="","",IF(AND(ISNUMBER($R10),ABS(N($R10))&lt;N(Settings!$C$8)),"Scratch",IF($Q10&gt;0,"Win",IF($Q10&lt;0,"Loss","Scratch"))))</f>
        <v>Win</v>
      </c>
      <c r="T10" s="47">
        <f>IF(OR($AM10=0,NOT(ISNUMBER($H10)),NOT(ISNUMBER($I10)),NOT(ISNUMBER($J10))),"",IF($H10=$I10,"",ROUND(ABS($J10-$H10)/ABS($H10-$I10),6)))</f>
        <v>2</v>
      </c>
      <c r="U10" s="48">
        <f>IF(OR($S10&lt;&gt;"Win",NOT(ISNUMBER($T10)),NOT(ISNUMBER($R10))),"",MAX(0,$T10-$R10))</f>
        <v>0</v>
      </c>
      <c r="V10" s="49">
        <f>IF(OR($AM10=0,NOT(ISNUMBER($H10)),NOT(ISNUMBER($I10)),NOT(ISNUMBER($G10))),"",IF(OR($AG10="",$AH10=""),"",IF(ROUND(ABS($H10-$I10)*ABS($G10)*$AG10*$AH10,6)=0,"",ROUND(ABS($H10-$I10)*ABS($G10)*$AG10*$AH10,6))))</f>
        <v>30</v>
      </c>
      <c r="W10" s="50" t="str">
        <f>IF($AM10=0,"",IF($BG10="","OK",LEFT($BG10,LEN($BG10)-2)))</f>
        <v>OK</v>
      </c>
      <c r="X10" s="41" t="inlineStr">
        <is>
          <t>US</t>
        </is>
      </c>
      <c r="Y10" s="40" t="inlineStr">
        <is>
          <t>Breakout &amp; Retest</t>
        </is>
      </c>
      <c r="Z10" s="41" t="inlineStr">
        <is>
          <t>Yes</t>
        </is>
      </c>
      <c r="AA10" s="41" t="inlineStr">
        <is>
          <t>Calm</t>
        </is>
      </c>
      <c r="AB10" s="40" t="n"/>
      <c r="AC10" s="51" t="inlineStr">
        <is>
          <t>Reclaimed 64k and held</t>
        </is>
      </c>
      <c r="AD10" s="51" t="inlineStr">
        <is>
          <t>Clean.</t>
        </is>
      </c>
      <c r="AE10" s="40" t="n"/>
      <c r="AF10" s="52" t="str">
        <f>IF($AM10=0,"",IF($D10&lt;&gt;"",$D10,IF(IFERROR(INDEX(Accounts!$C$7:$C$16,MATCH($C10,Accounts!$B$7:$B$16,0))&amp;"","")&lt;&gt;"",INDEX(Accounts!$C$7:$C$16,MATCH($C10,Accounts!$B$7:$B$16,0)),Settings!$C$6)))</f>
        <v>Crypto</v>
      </c>
      <c r="AG10" s="53">
        <f>IF($AM10=0,"",IF(AND($BE10&gt;0,N(INDEX(Instruments!$D$6:$D$205,MAX(1,$BE10)))&gt;0),INDEX(Instruments!$D$6:$D$205,MAX(1,$BE10)),IF(N(INDEX(Settings!$D$14:$D$18,$BF10))&gt;0,INDEX(Settings!$D$14:$D$18,$BF10),"")))</f>
        <v>1</v>
      </c>
      <c r="AH10" s="54">
        <f>IF($AM10=0,"",IF($AF10&lt;&gt;"Forex",1,IF(MID(UPPER(SUBSTITUTE(TRIM($E10),"/","")),4,3)=UPPER(TRIM(Settings!$C$7)),1,IF(LEFT(UPPER(SUBSTITUTE(TRIM($E10),"/","")),3)=UPPER(TRIM(Settings!$C$7)),IF(AND(ISNUMBER($K10),N($K10)&lt;&gt;0),1/$K10,""),""))))</f>
        <v>1</v>
      </c>
      <c r="AI10" s="55">
        <f>IF($AM10=0,"",IF(OR(NOT(ISNUMBER($H10)),NOT(ISNUMBER($K10)),NOT(ISNUMBER($G10)),$AG10="",$AH10=""),"",ROUND(($K10-$H10)*IF($F10="Short",-1,1)*$G10*$AG10*$AH10,6)))</f>
        <v>60</v>
      </c>
      <c r="AJ10" s="55">
        <f>IF($AM10=0,"",IF(INDEX(Settings!$E$14:$E$18,$BF10)="% of notional",IF(OR($AG10="",NOT(ISNUMBER($H10)),NOT(ISNUMBER($G10))),"",ROUND(ABS($H10*$G10*$AG10*N($AH10))*IF($L10="Limit",N(INDEX(Settings!$G$14:$G$18,$BF10)),N(INDEX(Settings!$H$14:$H$18,$BF10)))+IF(ISNUMBER($K10),ABS($K10*$G10*$AG10*N($AH10))*IF($M10="Target",N(INDEX(Settings!$G$14:$G$18,$BF10)),N(INDEX(Settings!$H$14:$H$18,$BF10))),0),6)),IF(NOT(ISNUMBER($G10)),"",ROUND(ABS($G10)*2*IF(AND($BE10&gt;0,ISNUMBER(INDEX(Instruments!$G$6:$G$205,MAX(1,$BE10)))),INDEX(Instruments!$G$6:$G$205,MAX(1,$BE10)),N(INDEX(Settings!$F$14:$F$18,$BF10))),6))))</f>
        <v>1.296</v>
      </c>
      <c r="AK10" s="55">
        <f>IF($AM10=0,"",IF(ISNUMBER($O10),$O10,$AI10))</f>
        <v>60</v>
      </c>
      <c r="AL10" s="55">
        <f>IF($AM10=0,"",IF(ISNUMBER($P10),$P10,N($AJ10)))</f>
        <v>1.296</v>
      </c>
      <c r="AM10" s="56">
        <f>IF(AND($A10&lt;&gt;"",$E10&lt;&gt;"",OR(AND(ISNUMBER($G10),ISNUMBER($H10),ISNUMBER($K10)),ISNUMBER($O10))),1,0)</f>
        <v>1</v>
      </c>
      <c r="AN10" s="57">
        <f>IF($A10="","",$A10-WEEKDAY($A10,3))</f>
        <v>46286</v>
      </c>
      <c r="AO10" s="56">
        <f>IF($A10="","",WEEKDAY($A10,2))</f>
        <v>2</v>
      </c>
      <c r="AP10" s="55">
        <f>IF(OR($AM10=0,$C10=""),"",IFERROR(N(INDEX(Accounts!$E$7:$E$16,MATCH($C10,Accounts!$B$7:$B$16,0))),0)+SUMIFS($Q$6:$Q10,$C$6:$C10,$C10))</f>
        <v>5058.704</v>
      </c>
      <c r="AQ10" s="55">
        <f>IF(OR($AM10=0,$C10=""),"",SUMIFS($Q$6:$Q$1005,$C$6:$C$1005,$C10,$A$6:$A$1005,$A10))</f>
        <v>58.704</v>
      </c>
      <c r="AR10" s="55">
        <f>IF(OR($AM10=0,$C10=""),"",IFERROR(N(INDEX(Accounts!$E$7:$E$16,MATCH($C10,Accounts!$B$7:$B$16,0))),0)+SUMIFS($Q$6:$Q$1005,$C$6:$C$1005,$C10,$A$6:$A$1005,"&lt;="&amp;$A10))</f>
        <v>5058.704</v>
      </c>
      <c r="AS10" s="56">
        <f>IF(OR($AM10=0,$Q10=""),0,IF(AND($A10&gt;=Lists!$W$6,$A10&lt;=Lists!$W$7,OR(Dashboard!$D$6="All accounts",$C10=Dashboard!$D$6),OR(Dashboard!$D$7="All markets",$AF10=Dashboard!$D$7)),1,0))</f>
        <v>1</v>
      </c>
      <c r="AT10" s="55">
        <f>IF($AS10=1,N(AT9)+$Q10,N(AT9))</f>
        <v>414.204</v>
      </c>
      <c r="AU10" s="55">
        <f>MAX(N(AU9),$AT10)</f>
        <v>417.5</v>
      </c>
      <c r="AV10" s="55">
        <f>$AT10-$AU10</f>
        <v>-3.29599999999999</v>
      </c>
      <c r="AW10" s="56">
        <f>IF($AS10=1,IF($S10="Win",N(AW9)+1,IF($S10="Loss",0,N(AW9))),N(AW9))</f>
        <v>1</v>
      </c>
      <c r="AX10" s="56">
        <f>IF($AS10=1,IF($S10="Loss",N(AX9)+1,IF($S10="Win",0,N(AX9))),N(AX9))</f>
        <v>0</v>
      </c>
      <c r="AY10" s="56">
        <f>IF($AS10=1,COUNTIF($AS$6:$AS10,1),"")</f>
        <v>5</v>
      </c>
      <c r="AZ10" s="56">
        <f>MIN(4,N(Lists!$W$8))</f>
        <v>4</v>
      </c>
      <c r="BA10" s="56">
        <f>IF($AS10=1,IF(COUNTIFS($A$6:$A10,$A10,$AS$6:$AS10,1)=1,1,0),0)</f>
        <v>0</v>
      </c>
      <c r="BB10" s="55" t="str">
        <f>IF($BA10=1,SUMIFS($Q$6:$Q$1005,$A$6:$A$1005,$A10,$AS$6:$AS$1005,1),"")</f>
        <v/>
      </c>
      <c r="BC10" s="56">
        <f>IF(ISNUMBER($R10),1,0)</f>
        <v>1</v>
      </c>
      <c r="BD10" s="55">
        <f>IF(ISNUMBER($U10),$U10*$V10,"")</f>
        <v>0</v>
      </c>
      <c r="BE10" s="56">
        <f>IF($AM10=0,"",IFERROR(MATCH($AF10&amp;"|"&amp;UPPER(TRIM($E10)),Lists!$A$6:$A$205,0),0))</f>
        <v>46</v>
      </c>
      <c r="BF10" s="56">
        <f>IF($AM10=0,"",IFERROR(MATCH($AF10,Settings!$B$14:$B$18,0),IFERROR(MATCH(Settings!$C$6,Settings!$B$14:$B$18,0),1)))</f>
        <v>5</v>
      </c>
      <c r="BG10" s="58" t="str">
        <f>IF($AM10=0,"",IF(NOT(ISNUMBER($I10)),"No stop; ","")&amp;IF(AND(ISNUMBER($H10),ISNUMBER($I10)),IF(OR(AND($F10&lt;&gt;"Short",$I10&gt;=$H10),AND($F10="Short",$I10&lt;=$H10)),"Stop on wrong side; ",""),"")&amp;IF($F10="","No direction; ","")&amp;IF(AND(ISNUMBER(Settings!$C$22),ISNUMBER($V10)),IF($V10&gt;Settings!$C$22,"Risk over max $; ",""),"")&amp;IF(AND(ISNUMBER(Settings!$C$23),ISNUMBER($V10),ISNUMBER($AP10),IFERROR(N(INDEX(Accounts!$E$7:$E$16,MATCH($C10,Accounts!$B$7:$B$16,0))),0)&gt;0),IF($V10&gt;Settings!$C$23*($AP10-N($Q10)),"Risk over max %; ",""),"")&amp;IF(AND(ISNUMBER(Settings!$C$24),ISNUMBER($N10)),IF($N10&gt;Settings!$C$24,"Leverage over max; ",""),"")&amp;IF(AND(ISNUMBER(Settings!$C$27),ISNUMBER($T10)),IF($T10&lt;Settings!$C$27,"R:R below min; ",""),"")&amp;IF(ISNUMBER(Settings!$C$25),IF(COUNTIFS($A$6:$A10,$A10,$AM$6:$AM10,1)&gt;Settings!$C$25,"Over max trades/day; ",""),"")&amp;IF(ISNUMBER(Settings!$C$26),IF(SUMIFS($Q$5:$Q9,$A$5:$A9,$A10)&lt;=-Settings!$C$26,"Traded after daily max loss; ",""),"")&amp;IF(AND($AG10="",NOT(ISNUMBER($O10))),"Symbol not in Instruments; ","")&amp;IF(AND($AH10="",NOT(ISNUMBER($O10))),"Forex cross: type Gross P&amp;L; ",""))</f>
        <v/>
      </c>
      <c r="BH10" s="56">
        <f>IF(ISNUMBER($Q10),1,0)</f>
        <v>1</v>
      </c>
      <c r="BI10" s="56">
        <f>IF($Y10="",0,1)</f>
        <v>1</v>
      </c>
      <c r="BJ10" s="56">
        <f>IF($AB10="",0,1)</f>
        <v>0</v>
      </c>
      <c r="BK10" s="56">
        <f>IF(AND($BH10=1,$W10&lt;&gt;"OK"),1,0)</f>
        <v>0</v>
      </c>
      <c r="BL10" s="55">
        <f>IF(N($AZ10)=0,0,IFERROR(INDEX($AT$6:$AT$1005,MATCH($AZ10,$AY$6:$AY$1005,0)),0))</f>
        <v>355.5</v>
      </c>
      <c r="BM10" s="56">
        <f>IF(ISNUMBER(SEARCH("daily max loss",$BG10)),1,0)</f>
        <v>0</v>
      </c>
    </row>
    <row r="11" ht="30" customHeight="1">
      <c r="A11" s="38" t="n">
        <v>46288</v>
      </c>
      <c r="B11" s="39" t="n">
        <v>0.4083333333333333</v>
      </c>
      <c r="C11" s="40" t="inlineStr">
        <is>
          <t>Prop Eval 50K</t>
        </is>
      </c>
      <c r="D11" s="41" t="n"/>
      <c r="E11" s="41" t="inlineStr">
        <is>
          <t>MNQ</t>
        </is>
      </c>
      <c r="F11" s="41" t="inlineStr">
        <is>
          <t>Short</t>
        </is>
      </c>
      <c r="G11" s="41" t="n">
        <v>1</v>
      </c>
      <c r="H11" s="42" t="n">
        <v>29815</v>
      </c>
      <c r="I11" s="42" t="n">
        <v>29845</v>
      </c>
      <c r="J11" s="42" t="n">
        <v>29755</v>
      </c>
      <c r="K11" s="42" t="n">
        <v>29757.5</v>
      </c>
      <c r="L11" s="41" t="inlineStr">
        <is>
          <t>Limit</t>
        </is>
      </c>
      <c r="M11" s="41" t="inlineStr">
        <is>
          <t>Manual</t>
        </is>
      </c>
      <c r="N11" s="41" t="n"/>
      <c r="O11" s="43" t="n"/>
      <c r="P11" s="43" t="n"/>
      <c r="Q11" s="44">
        <f>IF($AM11=0,"",IF(ISNUMBER($AK11),$AK11-N($AL11),""))</f>
        <v>114</v>
      </c>
      <c r="R11" s="45">
        <f>IF(OR($Q11="",NOT(ISNUMBER($V11))),"",$AK11/$V11)</f>
        <v>1.91666666666667</v>
      </c>
      <c r="S11" s="46" t="str">
        <f>IF($Q11="","",IF(AND(ISNUMBER($R11),ABS(N($R11))&lt;N(Settings!$C$8)),"Scratch",IF($Q11&gt;0,"Win",IF($Q11&lt;0,"Loss","Scratch"))))</f>
        <v>Win</v>
      </c>
      <c r="T11" s="47">
        <f>IF(OR($AM11=0,NOT(ISNUMBER($H11)),NOT(ISNUMBER($I11)),NOT(ISNUMBER($J11))),"",IF($H11=$I11,"",ROUND(ABS($J11-$H11)/ABS($H11-$I11),6)))</f>
        <v>2</v>
      </c>
      <c r="U11" s="48">
        <f>IF(OR($S11&lt;&gt;"Win",NOT(ISNUMBER($T11)),NOT(ISNUMBER($R11))),"",MAX(0,$T11-$R11))</f>
        <v>0.0833333333333333</v>
      </c>
      <c r="V11" s="49">
        <f>IF(OR($AM11=0,NOT(ISNUMBER($H11)),NOT(ISNUMBER($I11)),NOT(ISNUMBER($G11))),"",IF(OR($AG11="",$AH11=""),"",IF(ROUND(ABS($H11-$I11)*ABS($G11)*$AG11*$AH11,6)=0,"",ROUND(ABS($H11-$I11)*ABS($G11)*$AG11*$AH11,6))))</f>
        <v>60</v>
      </c>
      <c r="W11" s="50" t="str">
        <f>IF($AM11=0,"",IF($BG11="","OK",LEFT($BG11,LEN($BG11)-2)))</f>
        <v>OK</v>
      </c>
      <c r="X11" s="41" t="inlineStr">
        <is>
          <t>NY Open</t>
        </is>
      </c>
      <c r="Y11" s="40" t="inlineStr">
        <is>
          <t>Range Fade</t>
        </is>
      </c>
      <c r="Z11" s="41" t="inlineStr">
        <is>
          <t>Yes</t>
        </is>
      </c>
      <c r="AA11" s="41" t="inlineStr">
        <is>
          <t>Confident</t>
        </is>
      </c>
      <c r="AB11" s="40" t="n"/>
      <c r="AC11" s="51" t="inlineStr">
        <is>
          <t>Faded the top of a 2-day range</t>
        </is>
      </c>
      <c r="AD11" s="51" t="inlineStr">
        <is>
          <t>Closed 2 ticks before target. Fine.</t>
        </is>
      </c>
      <c r="AE11" s="40" t="n"/>
      <c r="AF11" s="52" t="str">
        <f>IF($AM11=0,"",IF($D11&lt;&gt;"",$D11,IF(IFERROR(INDEX(Accounts!$C$7:$C$16,MATCH($C11,Accounts!$B$7:$B$16,0))&amp;"","")&lt;&gt;"",INDEX(Accounts!$C$7:$C$16,MATCH($C11,Accounts!$B$7:$B$16,0)),Settings!$C$6)))</f>
        <v>Futures</v>
      </c>
      <c r="AG11" s="53">
        <f>IF($AM11=0,"",IF(AND($BE11&gt;0,N(INDEX(Instruments!$D$6:$D$205,MAX(1,$BE11)))&gt;0),INDEX(Instruments!$D$6:$D$205,MAX(1,$BE11)),IF(N(INDEX(Settings!$D$14:$D$18,$BF11))&gt;0,INDEX(Settings!$D$14:$D$18,$BF11),"")))</f>
        <v>2</v>
      </c>
      <c r="AH11" s="54">
        <f>IF($AM11=0,"",IF($AF11&lt;&gt;"Forex",1,IF(MID(UPPER(SUBSTITUTE(TRIM($E11),"/","")),4,3)=UPPER(TRIM(Settings!$C$7)),1,IF(LEFT(UPPER(SUBSTITUTE(TRIM($E11),"/","")),3)=UPPER(TRIM(Settings!$C$7)),IF(AND(ISNUMBER($K11),N($K11)&lt;&gt;0),1/$K11,""),""))))</f>
        <v>1</v>
      </c>
      <c r="AI11" s="55">
        <f>IF($AM11=0,"",IF(OR(NOT(ISNUMBER($H11)),NOT(ISNUMBER($K11)),NOT(ISNUMBER($G11)),$AG11="",$AH11=""),"",ROUND(($K11-$H11)*IF($F11="Short",-1,1)*$G11*$AG11*$AH11,6)))</f>
        <v>115</v>
      </c>
      <c r="AJ11" s="55">
        <f>IF($AM11=0,"",IF(INDEX(Settings!$E$14:$E$18,$BF11)="% of notional",IF(OR($AG11="",NOT(ISNUMBER($H11)),NOT(ISNUMBER($G11))),"",ROUND(ABS($H11*$G11*$AG11*N($AH11))*IF($L11="Limit",N(INDEX(Settings!$G$14:$G$18,$BF11)),N(INDEX(Settings!$H$14:$H$18,$BF11)))+IF(ISNUMBER($K11),ABS($K11*$G11*$AG11*N($AH11))*IF($M11="Target",N(INDEX(Settings!$G$14:$G$18,$BF11)),N(INDEX(Settings!$H$14:$H$18,$BF11))),0),6)),IF(NOT(ISNUMBER($G11)),"",ROUND(ABS($G11)*2*IF(AND($BE11&gt;0,ISNUMBER(INDEX(Instruments!$G$6:$G$205,MAX(1,$BE11)))),INDEX(Instruments!$G$6:$G$205,MAX(1,$BE11)),N(INDEX(Settings!$F$14:$F$18,$BF11))),6))))</f>
        <v>1</v>
      </c>
      <c r="AK11" s="55">
        <f>IF($AM11=0,"",IF(ISNUMBER($O11),$O11,$AI11))</f>
        <v>115</v>
      </c>
      <c r="AL11" s="55">
        <f>IF($AM11=0,"",IF(ISNUMBER($P11),$P11,N($AJ11)))</f>
        <v>1</v>
      </c>
      <c r="AM11" s="56">
        <f>IF(AND($A11&lt;&gt;"",$E11&lt;&gt;"",OR(AND(ISNUMBER($G11),ISNUMBER($H11),ISNUMBER($K11)),ISNUMBER($O11))),1,0)</f>
        <v>1</v>
      </c>
      <c r="AN11" s="57">
        <f>IF($A11="","",$A11-WEEKDAY($A11,3))</f>
        <v>46286</v>
      </c>
      <c r="AO11" s="56">
        <f>IF($A11="","",WEEKDAY($A11,2))</f>
        <v>3</v>
      </c>
      <c r="AP11" s="55">
        <f>IF(OR($AM11=0,$C11=""),"",IFERROR(N(INDEX(Accounts!$E$7:$E$16,MATCH($C11,Accounts!$B$7:$B$16,0))),0)+SUMIFS($Q$6:$Q11,$C$6:$C11,$C11))</f>
        <v>50469.5</v>
      </c>
      <c r="AQ11" s="55">
        <f>IF(OR($AM11=0,$C11=""),"",SUMIFS($Q$6:$Q$1005,$C$6:$C$1005,$C11,$A$6:$A$1005,$A11))</f>
        <v>6</v>
      </c>
      <c r="AR11" s="55">
        <f>IF(OR($AM11=0,$C11=""),"",IFERROR(N(INDEX(Accounts!$E$7:$E$16,MATCH($C11,Accounts!$B$7:$B$16,0))),0)+SUMIFS($Q$6:$Q$1005,$C$6:$C$1005,$C11,$A$6:$A$1005,"&lt;="&amp;$A11))</f>
        <v>50361.5</v>
      </c>
      <c r="AS11" s="56">
        <f>IF(OR($AM11=0,$Q11=""),0,IF(AND($A11&gt;=Lists!$W$6,$A11&lt;=Lists!$W$7,OR(Dashboard!$D$6="All accounts",$C11=Dashboard!$D$6),OR(Dashboard!$D$7="All markets",$AF11=Dashboard!$D$7)),1,0))</f>
        <v>1</v>
      </c>
      <c r="AT11" s="55">
        <f>IF($AS11=1,N(AT10)+$Q11,N(AT10))</f>
        <v>528.204</v>
      </c>
      <c r="AU11" s="55">
        <f>MAX(N(AU10),$AT11)</f>
        <v>528.204</v>
      </c>
      <c r="AV11" s="55">
        <f>$AT11-$AU11</f>
        <v>0</v>
      </c>
      <c r="AW11" s="56">
        <f>IF($AS11=1,IF($S11="Win",N(AW10)+1,IF($S11="Loss",0,N(AW10))),N(AW10))</f>
        <v>2</v>
      </c>
      <c r="AX11" s="56">
        <f>IF($AS11=1,IF($S11="Loss",N(AX10)+1,IF($S11="Win",0,N(AX10))),N(AX10))</f>
        <v>0</v>
      </c>
      <c r="AY11" s="56">
        <f>IF($AS11=1,COUNTIF($AS$6:$AS11,1),"")</f>
        <v>6</v>
      </c>
      <c r="AZ11" s="56">
        <f>MIN(5,N(Lists!$W$8))</f>
        <v>5</v>
      </c>
      <c r="BA11" s="56">
        <f>IF($AS11=1,IF(COUNTIFS($A$6:$A11,$A11,$AS$6:$AS11,1)=1,1,0),0)</f>
        <v>1</v>
      </c>
      <c r="BB11" s="55">
        <f>IF($BA11=1,SUMIFS($Q$6:$Q$1005,$A$6:$A$1005,$A11,$AS$6:$AS$1005,1),"")</f>
        <v>6</v>
      </c>
      <c r="BC11" s="56">
        <f>IF(ISNUMBER($R11),1,0)</f>
        <v>1</v>
      </c>
      <c r="BD11" s="55">
        <f>IF(ISNUMBER($U11),$U11*$V11,"")</f>
        <v>5</v>
      </c>
      <c r="BE11" s="56">
        <f>IF($AM11=0,"",IFERROR(MATCH($AF11&amp;"|"&amp;UPPER(TRIM($E11)),Lists!$A$6:$A$205,0),0))</f>
        <v>3</v>
      </c>
      <c r="BF11" s="56">
        <f>IF($AM11=0,"",IFERROR(MATCH($AF11,Settings!$B$14:$B$18,0),IFERROR(MATCH(Settings!$C$6,Settings!$B$14:$B$18,0),1)))</f>
        <v>1</v>
      </c>
      <c r="BG11" s="58" t="str">
        <f>IF($AM11=0,"",IF(NOT(ISNUMBER($I11)),"No stop; ","")&amp;IF(AND(ISNUMBER($H11),ISNUMBER($I11)),IF(OR(AND($F11&lt;&gt;"Short",$I11&gt;=$H11),AND($F11="Short",$I11&lt;=$H11)),"Stop on wrong side; ",""),"")&amp;IF($F11="","No direction; ","")&amp;IF(AND(ISNUMBER(Settings!$C$22),ISNUMBER($V11)),IF($V11&gt;Settings!$C$22,"Risk over max $; ",""),"")&amp;IF(AND(ISNUMBER(Settings!$C$23),ISNUMBER($V11),ISNUMBER($AP11),IFERROR(N(INDEX(Accounts!$E$7:$E$16,MATCH($C11,Accounts!$B$7:$B$16,0))),0)&gt;0),IF($V11&gt;Settings!$C$23*($AP11-N($Q11)),"Risk over max %; ",""),"")&amp;IF(AND(ISNUMBER(Settings!$C$24),ISNUMBER($N11)),IF($N11&gt;Settings!$C$24,"Leverage over max; ",""),"")&amp;IF(AND(ISNUMBER(Settings!$C$27),ISNUMBER($T11)),IF($T11&lt;Settings!$C$27,"R:R below min; ",""),"")&amp;IF(ISNUMBER(Settings!$C$25),IF(COUNTIFS($A$6:$A11,$A11,$AM$6:$AM11,1)&gt;Settings!$C$25,"Over max trades/day; ",""),"")&amp;IF(ISNUMBER(Settings!$C$26),IF(SUMIFS($Q$5:$Q10,$A$5:$A10,$A11)&lt;=-Settings!$C$26,"Traded after daily max loss; ",""),"")&amp;IF(AND($AG11="",NOT(ISNUMBER($O11))),"Symbol not in Instruments; ","")&amp;IF(AND($AH11="",NOT(ISNUMBER($O11))),"Forex cross: type Gross P&amp;L; ",""))</f>
        <v/>
      </c>
      <c r="BH11" s="56">
        <f>IF(ISNUMBER($Q11),1,0)</f>
        <v>1</v>
      </c>
      <c r="BI11" s="56">
        <f>IF($Y11="",0,1)</f>
        <v>1</v>
      </c>
      <c r="BJ11" s="56">
        <f>IF($AB11="",0,1)</f>
        <v>0</v>
      </c>
      <c r="BK11" s="56">
        <f>IF(AND($BH11=1,$W11&lt;&gt;"OK"),1,0)</f>
        <v>0</v>
      </c>
      <c r="BL11" s="55">
        <f>IF(N($AZ11)=0,0,IFERROR(INDEX($AT$6:$AT$1005,MATCH($AZ11,$AY$6:$AY$1005,0)),0))</f>
        <v>414.204</v>
      </c>
      <c r="BM11" s="56">
        <f>IF(ISNUMBER(SEARCH("daily max loss",$BG11)),1,0)</f>
        <v>0</v>
      </c>
    </row>
    <row r="12" ht="30" customHeight="1">
      <c r="A12" s="38" t="n">
        <v>46288</v>
      </c>
      <c r="B12" s="39" t="n">
        <v>0.5555555555555556</v>
      </c>
      <c r="C12" s="40" t="inlineStr">
        <is>
          <t>Prop Eval 50K</t>
        </is>
      </c>
      <c r="D12" s="41" t="n"/>
      <c r="E12" s="41" t="inlineStr">
        <is>
          <t>MES</t>
        </is>
      </c>
      <c r="F12" s="41" t="inlineStr">
        <is>
          <t>Long</t>
        </is>
      </c>
      <c r="G12" s="41" t="n">
        <v>3</v>
      </c>
      <c r="H12" s="42" t="n">
        <v>7690</v>
      </c>
      <c r="I12" s="42" t="n">
        <v>7683</v>
      </c>
      <c r="J12" s="42" t="n">
        <v>7704</v>
      </c>
      <c r="K12" s="42" t="n">
        <v>7683</v>
      </c>
      <c r="L12" s="41" t="inlineStr">
        <is>
          <t>Market</t>
        </is>
      </c>
      <c r="M12" s="41" t="inlineStr">
        <is>
          <t>Stop loss</t>
        </is>
      </c>
      <c r="N12" s="41" t="n"/>
      <c r="O12" s="43" t="n"/>
      <c r="P12" s="43" t="n"/>
      <c r="Q12" s="44">
        <f>IF($AM12=0,"",IF(ISNUMBER($AK12),$AK12-N($AL12),""))</f>
        <v>-108</v>
      </c>
      <c r="R12" s="45">
        <f>IF(OR($Q12="",NOT(ISNUMBER($V12))),"",$AK12/$V12)</f>
        <v>-1</v>
      </c>
      <c r="S12" s="46" t="str">
        <f>IF($Q12="","",IF(AND(ISNUMBER($R12),ABS(N($R12))&lt;N(Settings!$C$8)),"Scratch",IF($Q12&gt;0,"Win",IF($Q12&lt;0,"Loss","Scratch"))))</f>
        <v>Loss</v>
      </c>
      <c r="T12" s="47">
        <f>IF(OR($AM12=0,NOT(ISNUMBER($H12)),NOT(ISNUMBER($I12)),NOT(ISNUMBER($J12))),"",IF($H12=$I12,"",ROUND(ABS($J12-$H12)/ABS($H12-$I12),6)))</f>
        <v>2</v>
      </c>
      <c r="U12" s="48" t="str">
        <f>IF(OR($S12&lt;&gt;"Win",NOT(ISNUMBER($T12)),NOT(ISNUMBER($R12))),"",MAX(0,$T12-$R12))</f>
        <v/>
      </c>
      <c r="V12" s="49">
        <f>IF(OR($AM12=0,NOT(ISNUMBER($H12)),NOT(ISNUMBER($I12)),NOT(ISNUMBER($G12))),"",IF(OR($AG12="",$AH12=""),"",IF(ROUND(ABS($H12-$I12)*ABS($G12)*$AG12*$AH12,6)=0,"",ROUND(ABS($H12-$I12)*ABS($G12)*$AG12*$AH12,6))))</f>
        <v>105</v>
      </c>
      <c r="W12" s="50" t="str">
        <f>IF($AM12=0,"",IF($BG12="","OK",LEFT($BG12,LEN($BG12)-2)))</f>
        <v>OK</v>
      </c>
      <c r="X12" s="41" t="inlineStr">
        <is>
          <t>NY Afternoon</t>
        </is>
      </c>
      <c r="Y12" s="40" t="n"/>
      <c r="Z12" s="41" t="inlineStr">
        <is>
          <t>No</t>
        </is>
      </c>
      <c r="AA12" s="41" t="inlineStr">
        <is>
          <t>Bored</t>
        </is>
      </c>
      <c r="AB12" s="40" t="inlineStr">
        <is>
          <t>No setup (impulse)</t>
        </is>
      </c>
      <c r="AC12" s="51" t="inlineStr">
        <is>
          <t>Chop. Wanted action.</t>
        </is>
      </c>
      <c r="AD12" s="51" t="inlineStr">
        <is>
          <t>No setup. Should have walked away.</t>
        </is>
      </c>
      <c r="AE12" s="40" t="n"/>
      <c r="AF12" s="52" t="str">
        <f>IF($AM12=0,"",IF($D12&lt;&gt;"",$D12,IF(IFERROR(INDEX(Accounts!$C$7:$C$16,MATCH($C12,Accounts!$B$7:$B$16,0))&amp;"","")&lt;&gt;"",INDEX(Accounts!$C$7:$C$16,MATCH($C12,Accounts!$B$7:$B$16,0)),Settings!$C$6)))</f>
        <v>Futures</v>
      </c>
      <c r="AG12" s="53">
        <f>IF($AM12=0,"",IF(AND($BE12&gt;0,N(INDEX(Instruments!$D$6:$D$205,MAX(1,$BE12)))&gt;0),INDEX(Instruments!$D$6:$D$205,MAX(1,$BE12)),IF(N(INDEX(Settings!$D$14:$D$18,$BF12))&gt;0,INDEX(Settings!$D$14:$D$18,$BF12),"")))</f>
        <v>5</v>
      </c>
      <c r="AH12" s="54">
        <f>IF($AM12=0,"",IF($AF12&lt;&gt;"Forex",1,IF(MID(UPPER(SUBSTITUTE(TRIM($E12),"/","")),4,3)=UPPER(TRIM(Settings!$C$7)),1,IF(LEFT(UPPER(SUBSTITUTE(TRIM($E12),"/","")),3)=UPPER(TRIM(Settings!$C$7)),IF(AND(ISNUMBER($K12),N($K12)&lt;&gt;0),1/$K12,""),""))))</f>
        <v>1</v>
      </c>
      <c r="AI12" s="55">
        <f>IF($AM12=0,"",IF(OR(NOT(ISNUMBER($H12)),NOT(ISNUMBER($K12)),NOT(ISNUMBER($G12)),$AG12="",$AH12=""),"",ROUND(($K12-$H12)*IF($F12="Short",-1,1)*$G12*$AG12*$AH12,6)))</f>
        <v>-105</v>
      </c>
      <c r="AJ12" s="55">
        <f>IF($AM12=0,"",IF(INDEX(Settings!$E$14:$E$18,$BF12)="% of notional",IF(OR($AG12="",NOT(ISNUMBER($H12)),NOT(ISNUMBER($G12))),"",ROUND(ABS($H12*$G12*$AG12*N($AH12))*IF($L12="Limit",N(INDEX(Settings!$G$14:$G$18,$BF12)),N(INDEX(Settings!$H$14:$H$18,$BF12)))+IF(ISNUMBER($K12),ABS($K12*$G12*$AG12*N($AH12))*IF($M12="Target",N(INDEX(Settings!$G$14:$G$18,$BF12)),N(INDEX(Settings!$H$14:$H$18,$BF12))),0),6)),IF(NOT(ISNUMBER($G12)),"",ROUND(ABS($G12)*2*IF(AND($BE12&gt;0,ISNUMBER(INDEX(Instruments!$G$6:$G$205,MAX(1,$BE12)))),INDEX(Instruments!$G$6:$G$205,MAX(1,$BE12)),N(INDEX(Settings!$F$14:$F$18,$BF12))),6))))</f>
        <v>3</v>
      </c>
      <c r="AK12" s="55">
        <f>IF($AM12=0,"",IF(ISNUMBER($O12),$O12,$AI12))</f>
        <v>-105</v>
      </c>
      <c r="AL12" s="55">
        <f>IF($AM12=0,"",IF(ISNUMBER($P12),$P12,N($AJ12)))</f>
        <v>3</v>
      </c>
      <c r="AM12" s="56">
        <f>IF(AND($A12&lt;&gt;"",$E12&lt;&gt;"",OR(AND(ISNUMBER($G12),ISNUMBER($H12),ISNUMBER($K12)),ISNUMBER($O12))),1,0)</f>
        <v>1</v>
      </c>
      <c r="AN12" s="57">
        <f>IF($A12="","",$A12-WEEKDAY($A12,3))</f>
        <v>46286</v>
      </c>
      <c r="AO12" s="56">
        <f>IF($A12="","",WEEKDAY($A12,2))</f>
        <v>3</v>
      </c>
      <c r="AP12" s="55">
        <f>IF(OR($AM12=0,$C12=""),"",IFERROR(N(INDEX(Accounts!$E$7:$E$16,MATCH($C12,Accounts!$B$7:$B$16,0))),0)+SUMIFS($Q$6:$Q12,$C$6:$C12,$C12))</f>
        <v>50361.5</v>
      </c>
      <c r="AQ12" s="55">
        <f>IF(OR($AM12=0,$C12=""),"",SUMIFS($Q$6:$Q$1005,$C$6:$C$1005,$C12,$A$6:$A$1005,$A12))</f>
        <v>6</v>
      </c>
      <c r="AR12" s="55">
        <f>IF(OR($AM12=0,$C12=""),"",IFERROR(N(INDEX(Accounts!$E$7:$E$16,MATCH($C12,Accounts!$B$7:$B$16,0))),0)+SUMIFS($Q$6:$Q$1005,$C$6:$C$1005,$C12,$A$6:$A$1005,"&lt;="&amp;$A12))</f>
        <v>50361.5</v>
      </c>
      <c r="AS12" s="56">
        <f>IF(OR($AM12=0,$Q12=""),0,IF(AND($A12&gt;=Lists!$W$6,$A12&lt;=Lists!$W$7,OR(Dashboard!$D$6="All accounts",$C12=Dashboard!$D$6),OR(Dashboard!$D$7="All markets",$AF12=Dashboard!$D$7)),1,0))</f>
        <v>1</v>
      </c>
      <c r="AT12" s="55">
        <f>IF($AS12=1,N(AT11)+$Q12,N(AT11))</f>
        <v>420.204</v>
      </c>
      <c r="AU12" s="55">
        <f>MAX(N(AU11),$AT12)</f>
        <v>528.204</v>
      </c>
      <c r="AV12" s="55">
        <f>$AT12-$AU12</f>
        <v>-108</v>
      </c>
      <c r="AW12" s="56">
        <f>IF($AS12=1,IF($S12="Win",N(AW11)+1,IF($S12="Loss",0,N(AW11))),N(AW11))</f>
        <v>0</v>
      </c>
      <c r="AX12" s="56">
        <f>IF($AS12=1,IF($S12="Loss",N(AX11)+1,IF($S12="Win",0,N(AX11))),N(AX11))</f>
        <v>1</v>
      </c>
      <c r="AY12" s="56">
        <f>IF($AS12=1,COUNTIF($AS$6:$AS12,1),"")</f>
        <v>7</v>
      </c>
      <c r="AZ12" s="56">
        <f>MIN(6,N(Lists!$W$8))</f>
        <v>6</v>
      </c>
      <c r="BA12" s="56">
        <f>IF($AS12=1,IF(COUNTIFS($A$6:$A12,$A12,$AS$6:$AS12,1)=1,1,0),0)</f>
        <v>0</v>
      </c>
      <c r="BB12" s="55" t="str">
        <f>IF($BA12=1,SUMIFS($Q$6:$Q$1005,$A$6:$A$1005,$A12,$AS$6:$AS$1005,1),"")</f>
        <v/>
      </c>
      <c r="BC12" s="56">
        <f>IF(ISNUMBER($R12),1,0)</f>
        <v>1</v>
      </c>
      <c r="BD12" s="55" t="str">
        <f>IF(ISNUMBER($U12),$U12*$V12,"")</f>
        <v/>
      </c>
      <c r="BE12" s="56">
        <f>IF($AM12=0,"",IFERROR(MATCH($AF12&amp;"|"&amp;UPPER(TRIM($E12)),Lists!$A$6:$A$205,0),0))</f>
        <v>1</v>
      </c>
      <c r="BF12" s="56">
        <f>IF($AM12=0,"",IFERROR(MATCH($AF12,Settings!$B$14:$B$18,0),IFERROR(MATCH(Settings!$C$6,Settings!$B$14:$B$18,0),1)))</f>
        <v>1</v>
      </c>
      <c r="BG12" s="58" t="str">
        <f>IF($AM12=0,"",IF(NOT(ISNUMBER($I12)),"No stop; ","")&amp;IF(AND(ISNUMBER($H12),ISNUMBER($I12)),IF(OR(AND($F12&lt;&gt;"Short",$I12&gt;=$H12),AND($F12="Short",$I12&lt;=$H12)),"Stop on wrong side; ",""),"")&amp;IF($F12="","No direction; ","")&amp;IF(AND(ISNUMBER(Settings!$C$22),ISNUMBER($V12)),IF($V12&gt;Settings!$C$22,"Risk over max $; ",""),"")&amp;IF(AND(ISNUMBER(Settings!$C$23),ISNUMBER($V12),ISNUMBER($AP12),IFERROR(N(INDEX(Accounts!$E$7:$E$16,MATCH($C12,Accounts!$B$7:$B$16,0))),0)&gt;0),IF($V12&gt;Settings!$C$23*($AP12-N($Q12)),"Risk over max %; ",""),"")&amp;IF(AND(ISNUMBER(Settings!$C$24),ISNUMBER($N12)),IF($N12&gt;Settings!$C$24,"Leverage over max; ",""),"")&amp;IF(AND(ISNUMBER(Settings!$C$27),ISNUMBER($T12)),IF($T12&lt;Settings!$C$27,"R:R below min; ",""),"")&amp;IF(ISNUMBER(Settings!$C$25),IF(COUNTIFS($A$6:$A12,$A12,$AM$6:$AM12,1)&gt;Settings!$C$25,"Over max trades/day; ",""),"")&amp;IF(ISNUMBER(Settings!$C$26),IF(SUMIFS($Q$5:$Q11,$A$5:$A11,$A12)&lt;=-Settings!$C$26,"Traded after daily max loss; ",""),"")&amp;IF(AND($AG12="",NOT(ISNUMBER($O12))),"Symbol not in Instruments; ","")&amp;IF(AND($AH12="",NOT(ISNUMBER($O12))),"Forex cross: type Gross P&amp;L; ",""))</f>
        <v/>
      </c>
      <c r="BH12" s="56">
        <f>IF(ISNUMBER($Q12),1,0)</f>
        <v>1</v>
      </c>
      <c r="BI12" s="56">
        <f>IF($Y12="",0,1)</f>
        <v>0</v>
      </c>
      <c r="BJ12" s="56">
        <f>IF($AB12="",0,1)</f>
        <v>1</v>
      </c>
      <c r="BK12" s="56">
        <f>IF(AND($BH12=1,$W12&lt;&gt;"OK"),1,0)</f>
        <v>0</v>
      </c>
      <c r="BL12" s="55">
        <f>IF(N($AZ12)=0,0,IFERROR(INDEX($AT$6:$AT$1005,MATCH($AZ12,$AY$6:$AY$1005,0)),0))</f>
        <v>528.204</v>
      </c>
      <c r="BM12" s="56">
        <f>IF(ISNUMBER(SEARCH("daily max loss",$BG12)),1,0)</f>
        <v>0</v>
      </c>
    </row>
    <row r="13" ht="30" customHeight="1">
      <c r="A13" s="38" t="n">
        <v>46289</v>
      </c>
      <c r="B13" s="39" t="n">
        <v>0.3993055555555556</v>
      </c>
      <c r="C13" s="40" t="inlineStr">
        <is>
          <t>Prop Eval 50K</t>
        </is>
      </c>
      <c r="D13" s="41" t="n"/>
      <c r="E13" s="41" t="inlineStr">
        <is>
          <t>SIL</t>
        </is>
      </c>
      <c r="F13" s="41" t="inlineStr">
        <is>
          <t>Long</t>
        </is>
      </c>
      <c r="G13" s="41" t="n">
        <v>1</v>
      </c>
      <c r="H13" s="42" t="n">
        <v>51.2</v>
      </c>
      <c r="I13" s="42" t="n">
        <v>51.05</v>
      </c>
      <c r="J13" s="42" t="n">
        <v>51.5</v>
      </c>
      <c r="K13" s="42" t="n">
        <v>51.5</v>
      </c>
      <c r="L13" s="41" t="inlineStr">
        <is>
          <t>Limit</t>
        </is>
      </c>
      <c r="M13" s="41" t="inlineStr">
        <is>
          <t>Target</t>
        </is>
      </c>
      <c r="N13" s="41" t="n"/>
      <c r="O13" s="43" t="n"/>
      <c r="P13" s="43" t="n"/>
      <c r="Q13" s="44">
        <f>IF($AM13=0,"",IF(ISNUMBER($AK13),$AK13-N($AL13),""))</f>
        <v>299</v>
      </c>
      <c r="R13" s="45">
        <f>IF(OR($Q13="",NOT(ISNUMBER($V13))),"",$AK13/$V13)</f>
        <v>2</v>
      </c>
      <c r="S13" s="46" t="str">
        <f>IF($Q13="","",IF(AND(ISNUMBER($R13),ABS(N($R13))&lt;N(Settings!$C$8)),"Scratch",IF($Q13&gt;0,"Win",IF($Q13&lt;0,"Loss","Scratch"))))</f>
        <v>Win</v>
      </c>
      <c r="T13" s="47">
        <f>IF(OR($AM13=0,NOT(ISNUMBER($H13)),NOT(ISNUMBER($I13)),NOT(ISNUMBER($J13))),"",IF($H13=$I13,"",ROUND(ABS($J13-$H13)/ABS($H13-$I13),6)))</f>
        <v>2</v>
      </c>
      <c r="U13" s="48">
        <f>IF(OR($S13&lt;&gt;"Win",NOT(ISNUMBER($T13)),NOT(ISNUMBER($R13))),"",MAX(0,$T13-$R13))</f>
        <v>0</v>
      </c>
      <c r="V13" s="49">
        <f>IF(OR($AM13=0,NOT(ISNUMBER($H13)),NOT(ISNUMBER($I13)),NOT(ISNUMBER($G13))),"",IF(OR($AG13="",$AH13=""),"",IF(ROUND(ABS($H13-$I13)*ABS($G13)*$AG13*$AH13,6)=0,"",ROUND(ABS($H13-$I13)*ABS($G13)*$AG13*$AH13,6))))</f>
        <v>150</v>
      </c>
      <c r="W13" s="50" t="str">
        <f>IF($AM13=0,"",IF($BG13="","OK",LEFT($BG13,LEN($BG13)-2)))</f>
        <v>OK</v>
      </c>
      <c r="X13" s="41" t="inlineStr">
        <is>
          <t>NY Open</t>
        </is>
      </c>
      <c r="Y13" s="40" t="inlineStr">
        <is>
          <t>Trend Pullback</t>
        </is>
      </c>
      <c r="Z13" s="41" t="inlineStr">
        <is>
          <t>Yes</t>
        </is>
      </c>
      <c r="AA13" s="41" t="inlineStr">
        <is>
          <t>Calm</t>
        </is>
      </c>
      <c r="AB13" s="40" t="n"/>
      <c r="AC13" s="51" t="inlineStr">
        <is>
          <t>Silver pulled back to VWAP in an uptrend</t>
        </is>
      </c>
      <c r="AD13" s="51" t="inlineStr">
        <is>
          <t>Patient entry, held to target.</t>
        </is>
      </c>
      <c r="AE13" s="40" t="n"/>
      <c r="AF13" s="52" t="str">
        <f>IF($AM13=0,"",IF($D13&lt;&gt;"",$D13,IF(IFERROR(INDEX(Accounts!$C$7:$C$16,MATCH($C13,Accounts!$B$7:$B$16,0))&amp;"","")&lt;&gt;"",INDEX(Accounts!$C$7:$C$16,MATCH($C13,Accounts!$B$7:$B$16,0)),Settings!$C$6)))</f>
        <v>Futures</v>
      </c>
      <c r="AG13" s="53">
        <f>IF($AM13=0,"",IF(AND($BE13&gt;0,N(INDEX(Instruments!$D$6:$D$205,MAX(1,$BE13)))&gt;0),INDEX(Instruments!$D$6:$D$205,MAX(1,$BE13)),IF(N(INDEX(Settings!$D$14:$D$18,$BF13))&gt;0,INDEX(Settings!$D$14:$D$18,$BF13),"")))</f>
        <v>1000</v>
      </c>
      <c r="AH13" s="54">
        <f>IF($AM13=0,"",IF($AF13&lt;&gt;"Forex",1,IF(MID(UPPER(SUBSTITUTE(TRIM($E13),"/","")),4,3)=UPPER(TRIM(Settings!$C$7)),1,IF(LEFT(UPPER(SUBSTITUTE(TRIM($E13),"/","")),3)=UPPER(TRIM(Settings!$C$7)),IF(AND(ISNUMBER($K13),N($K13)&lt;&gt;0),1/$K13,""),""))))</f>
        <v>1</v>
      </c>
      <c r="AI13" s="55">
        <f>IF($AM13=0,"",IF(OR(NOT(ISNUMBER($H13)),NOT(ISNUMBER($K13)),NOT(ISNUMBER($G13)),$AG13="",$AH13=""),"",ROUND(($K13-$H13)*IF($F13="Short",-1,1)*$G13*$AG13*$AH13,6)))</f>
        <v>300</v>
      </c>
      <c r="AJ13" s="55">
        <f>IF($AM13=0,"",IF(INDEX(Settings!$E$14:$E$18,$BF13)="% of notional",IF(OR($AG13="",NOT(ISNUMBER($H13)),NOT(ISNUMBER($G13))),"",ROUND(ABS($H13*$G13*$AG13*N($AH13))*IF($L13="Limit",N(INDEX(Settings!$G$14:$G$18,$BF13)),N(INDEX(Settings!$H$14:$H$18,$BF13)))+IF(ISNUMBER($K13),ABS($K13*$G13*$AG13*N($AH13))*IF($M13="Target",N(INDEX(Settings!$G$14:$G$18,$BF13)),N(INDEX(Settings!$H$14:$H$18,$BF13))),0),6)),IF(NOT(ISNUMBER($G13)),"",ROUND(ABS($G13)*2*IF(AND($BE13&gt;0,ISNUMBER(INDEX(Instruments!$G$6:$G$205,MAX(1,$BE13)))),INDEX(Instruments!$G$6:$G$205,MAX(1,$BE13)),N(INDEX(Settings!$F$14:$F$18,$BF13))),6))))</f>
        <v>1</v>
      </c>
      <c r="AK13" s="55">
        <f>IF($AM13=0,"",IF(ISNUMBER($O13),$O13,$AI13))</f>
        <v>300</v>
      </c>
      <c r="AL13" s="55">
        <f>IF($AM13=0,"",IF(ISNUMBER($P13),$P13,N($AJ13)))</f>
        <v>1</v>
      </c>
      <c r="AM13" s="56">
        <f>IF(AND($A13&lt;&gt;"",$E13&lt;&gt;"",OR(AND(ISNUMBER($G13),ISNUMBER($H13),ISNUMBER($K13)),ISNUMBER($O13))),1,0)</f>
        <v>1</v>
      </c>
      <c r="AN13" s="57">
        <f>IF($A13="","",$A13-WEEKDAY($A13,3))</f>
        <v>46286</v>
      </c>
      <c r="AO13" s="56">
        <f>IF($A13="","",WEEKDAY($A13,2))</f>
        <v>4</v>
      </c>
      <c r="AP13" s="55">
        <f>IF(OR($AM13=0,$C13=""),"",IFERROR(N(INDEX(Accounts!$E$7:$E$16,MATCH($C13,Accounts!$B$7:$B$16,0))),0)+SUMIFS($Q$6:$Q13,$C$6:$C13,$C13))</f>
        <v>50660.5</v>
      </c>
      <c r="AQ13" s="55">
        <f>IF(OR($AM13=0,$C13=""),"",SUMIFS($Q$6:$Q$1005,$C$6:$C$1005,$C13,$A$6:$A$1005,$A13))</f>
        <v>397</v>
      </c>
      <c r="AR13" s="55">
        <f>IF(OR($AM13=0,$C13=""),"",IFERROR(N(INDEX(Accounts!$E$7:$E$16,MATCH($C13,Accounts!$B$7:$B$16,0))),0)+SUMIFS($Q$6:$Q$1005,$C$6:$C$1005,$C13,$A$6:$A$1005,"&lt;="&amp;$A13))</f>
        <v>50758.5</v>
      </c>
      <c r="AS13" s="56">
        <f>IF(OR($AM13=0,$Q13=""),0,IF(AND($A13&gt;=Lists!$W$6,$A13&lt;=Lists!$W$7,OR(Dashboard!$D$6="All accounts",$C13=Dashboard!$D$6),OR(Dashboard!$D$7="All markets",$AF13=Dashboard!$D$7)),1,0))</f>
        <v>1</v>
      </c>
      <c r="AT13" s="55">
        <f>IF($AS13=1,N(AT12)+$Q13,N(AT12))</f>
        <v>719.204</v>
      </c>
      <c r="AU13" s="55">
        <f>MAX(N(AU12),$AT13)</f>
        <v>719.204</v>
      </c>
      <c r="AV13" s="55">
        <f>$AT13-$AU13</f>
        <v>0</v>
      </c>
      <c r="AW13" s="56">
        <f>IF($AS13=1,IF($S13="Win",N(AW12)+1,IF($S13="Loss",0,N(AW12))),N(AW12))</f>
        <v>1</v>
      </c>
      <c r="AX13" s="56">
        <f>IF($AS13=1,IF($S13="Loss",N(AX12)+1,IF($S13="Win",0,N(AX12))),N(AX12))</f>
        <v>0</v>
      </c>
      <c r="AY13" s="56">
        <f>IF($AS13=1,COUNTIF($AS$6:$AS13,1),"")</f>
        <v>8</v>
      </c>
      <c r="AZ13" s="56">
        <f>MIN(7,N(Lists!$W$8))</f>
        <v>7</v>
      </c>
      <c r="BA13" s="56">
        <f>IF($AS13=1,IF(COUNTIFS($A$6:$A13,$A13,$AS$6:$AS13,1)=1,1,0),0)</f>
        <v>1</v>
      </c>
      <c r="BB13" s="55">
        <f>IF($BA13=1,SUMIFS($Q$6:$Q$1005,$A$6:$A$1005,$A13,$AS$6:$AS$1005,1),"")</f>
        <v>347.761</v>
      </c>
      <c r="BC13" s="56">
        <f>IF(ISNUMBER($R13),1,0)</f>
        <v>1</v>
      </c>
      <c r="BD13" s="55">
        <f>IF(ISNUMBER($U13),$U13*$V13,"")</f>
        <v>0</v>
      </c>
      <c r="BE13" s="56">
        <f>IF($AM13=0,"",IFERROR(MATCH($AF13&amp;"|"&amp;UPPER(TRIM($E13)),Lists!$A$6:$A$205,0),0))</f>
        <v>16</v>
      </c>
      <c r="BF13" s="56">
        <f>IF($AM13=0,"",IFERROR(MATCH($AF13,Settings!$B$14:$B$18,0),IFERROR(MATCH(Settings!$C$6,Settings!$B$14:$B$18,0),1)))</f>
        <v>1</v>
      </c>
      <c r="BG13" s="58" t="str">
        <f>IF($AM13=0,"",IF(NOT(ISNUMBER($I13)),"No stop; ","")&amp;IF(AND(ISNUMBER($H13),ISNUMBER($I13)),IF(OR(AND($F13&lt;&gt;"Short",$I13&gt;=$H13),AND($F13="Short",$I13&lt;=$H13)),"Stop on wrong side; ",""),"")&amp;IF($F13="","No direction; ","")&amp;IF(AND(ISNUMBER(Settings!$C$22),ISNUMBER($V13)),IF($V13&gt;Settings!$C$22,"Risk over max $; ",""),"")&amp;IF(AND(ISNUMBER(Settings!$C$23),ISNUMBER($V13),ISNUMBER($AP13),IFERROR(N(INDEX(Accounts!$E$7:$E$16,MATCH($C13,Accounts!$B$7:$B$16,0))),0)&gt;0),IF($V13&gt;Settings!$C$23*($AP13-N($Q13)),"Risk over max %; ",""),"")&amp;IF(AND(ISNUMBER(Settings!$C$24),ISNUMBER($N13)),IF($N13&gt;Settings!$C$24,"Leverage over max; ",""),"")&amp;IF(AND(ISNUMBER(Settings!$C$27),ISNUMBER($T13)),IF($T13&lt;Settings!$C$27,"R:R below min; ",""),"")&amp;IF(ISNUMBER(Settings!$C$25),IF(COUNTIFS($A$6:$A13,$A13,$AM$6:$AM13,1)&gt;Settings!$C$25,"Over max trades/day; ",""),"")&amp;IF(ISNUMBER(Settings!$C$26),IF(SUMIFS($Q$5:$Q12,$A$5:$A12,$A13)&lt;=-Settings!$C$26,"Traded after daily max loss; ",""),"")&amp;IF(AND($AG13="",NOT(ISNUMBER($O13))),"Symbol not in Instruments; ","")&amp;IF(AND($AH13="",NOT(ISNUMBER($O13))),"Forex cross: type Gross P&amp;L; ",""))</f>
        <v/>
      </c>
      <c r="BH13" s="56">
        <f>IF(ISNUMBER($Q13),1,0)</f>
        <v>1</v>
      </c>
      <c r="BI13" s="56">
        <f>IF($Y13="",0,1)</f>
        <v>1</v>
      </c>
      <c r="BJ13" s="56">
        <f>IF($AB13="",0,1)</f>
        <v>0</v>
      </c>
      <c r="BK13" s="56">
        <f>IF(AND($BH13=1,$W13&lt;&gt;"OK"),1,0)</f>
        <v>0</v>
      </c>
      <c r="BL13" s="55">
        <f>IF(N($AZ13)=0,0,IFERROR(INDEX($AT$6:$AT$1005,MATCH($AZ13,$AY$6:$AY$1005,0)),0))</f>
        <v>420.204</v>
      </c>
      <c r="BM13" s="56">
        <f>IF(ISNUMBER(SEARCH("daily max loss",$BG13)),1,0)</f>
        <v>0</v>
      </c>
    </row>
    <row r="14" ht="30" customHeight="1">
      <c r="A14" s="38" t="n">
        <v>46289</v>
      </c>
      <c r="B14" s="39" t="n">
        <v>0.4201388888888889</v>
      </c>
      <c r="C14" s="40" t="inlineStr">
        <is>
          <t>Prop Eval 50K</t>
        </is>
      </c>
      <c r="D14" s="41" t="n"/>
      <c r="E14" s="41" t="inlineStr">
        <is>
          <t>MNQ</t>
        </is>
      </c>
      <c r="F14" s="41" t="inlineStr">
        <is>
          <t>Long</t>
        </is>
      </c>
      <c r="G14" s="41" t="n">
        <v>2</v>
      </c>
      <c r="H14" s="42" t="n">
        <v>29880</v>
      </c>
      <c r="I14" s="42" t="n">
        <v>29850</v>
      </c>
      <c r="J14" s="42" t="n">
        <v>29940</v>
      </c>
      <c r="K14" s="42" t="n">
        <v>29905</v>
      </c>
      <c r="L14" s="41" t="inlineStr">
        <is>
          <t>Market</t>
        </is>
      </c>
      <c r="M14" s="41" t="inlineStr">
        <is>
          <t>Manual</t>
        </is>
      </c>
      <c r="N14" s="41" t="n"/>
      <c r="O14" s="43" t="n"/>
      <c r="P14" s="43" t="n"/>
      <c r="Q14" s="44">
        <f>IF($AM14=0,"",IF(ISNUMBER($AK14),$AK14-N($AL14),""))</f>
        <v>98</v>
      </c>
      <c r="R14" s="45">
        <f>IF(OR($Q14="",NOT(ISNUMBER($V14))),"",$AK14/$V14)</f>
        <v>0.833333333333333</v>
      </c>
      <c r="S14" s="46" t="str">
        <f>IF($Q14="","",IF(AND(ISNUMBER($R14),ABS(N($R14))&lt;N(Settings!$C$8)),"Scratch",IF($Q14&gt;0,"Win",IF($Q14&lt;0,"Loss","Scratch"))))</f>
        <v>Win</v>
      </c>
      <c r="T14" s="47">
        <f>IF(OR($AM14=0,NOT(ISNUMBER($H14)),NOT(ISNUMBER($I14)),NOT(ISNUMBER($J14))),"",IF($H14=$I14,"",ROUND(ABS($J14-$H14)/ABS($H14-$I14),6)))</f>
        <v>2</v>
      </c>
      <c r="U14" s="48">
        <f>IF(OR($S14&lt;&gt;"Win",NOT(ISNUMBER($T14)),NOT(ISNUMBER($R14))),"",MAX(0,$T14-$R14))</f>
        <v>1.16666666666667</v>
      </c>
      <c r="V14" s="49">
        <f>IF(OR($AM14=0,NOT(ISNUMBER($H14)),NOT(ISNUMBER($I14)),NOT(ISNUMBER($G14))),"",IF(OR($AG14="",$AH14=""),"",IF(ROUND(ABS($H14-$I14)*ABS($G14)*$AG14*$AH14,6)=0,"",ROUND(ABS($H14-$I14)*ABS($G14)*$AG14*$AH14,6))))</f>
        <v>120</v>
      </c>
      <c r="W14" s="50" t="str">
        <f>IF($AM14=0,"",IF($BG14="","OK",LEFT($BG14,LEN($BG14)-2)))</f>
        <v>OK</v>
      </c>
      <c r="X14" s="41" t="inlineStr">
        <is>
          <t>NY Open</t>
        </is>
      </c>
      <c r="Y14" s="40" t="inlineStr">
        <is>
          <t>Trend Pullback</t>
        </is>
      </c>
      <c r="Z14" s="41" t="inlineStr">
        <is>
          <t>No</t>
        </is>
      </c>
      <c r="AA14" s="41" t="inlineStr">
        <is>
          <t>Anxious</t>
        </is>
      </c>
      <c r="AB14" s="40" t="inlineStr">
        <is>
          <t>Took profit too early</t>
        </is>
      </c>
      <c r="AC14" s="51" t="inlineStr">
        <is>
          <t>Second pullback, trend intact</t>
        </is>
      </c>
      <c r="AD14" s="51" t="inlineStr">
        <is>
          <t>Cut it at +25 points. Fear, not a reason.</t>
        </is>
      </c>
      <c r="AE14" s="40" t="n"/>
      <c r="AF14" s="52" t="str">
        <f>IF($AM14=0,"",IF($D14&lt;&gt;"",$D14,IF(IFERROR(INDEX(Accounts!$C$7:$C$16,MATCH($C14,Accounts!$B$7:$B$16,0))&amp;"","")&lt;&gt;"",INDEX(Accounts!$C$7:$C$16,MATCH($C14,Accounts!$B$7:$B$16,0)),Settings!$C$6)))</f>
        <v>Futures</v>
      </c>
      <c r="AG14" s="53">
        <f>IF($AM14=0,"",IF(AND($BE14&gt;0,N(INDEX(Instruments!$D$6:$D$205,MAX(1,$BE14)))&gt;0),INDEX(Instruments!$D$6:$D$205,MAX(1,$BE14)),IF(N(INDEX(Settings!$D$14:$D$18,$BF14))&gt;0,INDEX(Settings!$D$14:$D$18,$BF14),"")))</f>
        <v>2</v>
      </c>
      <c r="AH14" s="54">
        <f>IF($AM14=0,"",IF($AF14&lt;&gt;"Forex",1,IF(MID(UPPER(SUBSTITUTE(TRIM($E14),"/","")),4,3)=UPPER(TRIM(Settings!$C$7)),1,IF(LEFT(UPPER(SUBSTITUTE(TRIM($E14),"/","")),3)=UPPER(TRIM(Settings!$C$7)),IF(AND(ISNUMBER($K14),N($K14)&lt;&gt;0),1/$K14,""),""))))</f>
        <v>1</v>
      </c>
      <c r="AI14" s="55">
        <f>IF($AM14=0,"",IF(OR(NOT(ISNUMBER($H14)),NOT(ISNUMBER($K14)),NOT(ISNUMBER($G14)),$AG14="",$AH14=""),"",ROUND(($K14-$H14)*IF($F14="Short",-1,1)*$G14*$AG14*$AH14,6)))</f>
        <v>100</v>
      </c>
      <c r="AJ14" s="55">
        <f>IF($AM14=0,"",IF(INDEX(Settings!$E$14:$E$18,$BF14)="% of notional",IF(OR($AG14="",NOT(ISNUMBER($H14)),NOT(ISNUMBER($G14))),"",ROUND(ABS($H14*$G14*$AG14*N($AH14))*IF($L14="Limit",N(INDEX(Settings!$G$14:$G$18,$BF14)),N(INDEX(Settings!$H$14:$H$18,$BF14)))+IF(ISNUMBER($K14),ABS($K14*$G14*$AG14*N($AH14))*IF($M14="Target",N(INDEX(Settings!$G$14:$G$18,$BF14)),N(INDEX(Settings!$H$14:$H$18,$BF14))),0),6)),IF(NOT(ISNUMBER($G14)),"",ROUND(ABS($G14)*2*IF(AND($BE14&gt;0,ISNUMBER(INDEX(Instruments!$G$6:$G$205,MAX(1,$BE14)))),INDEX(Instruments!$G$6:$G$205,MAX(1,$BE14)),N(INDEX(Settings!$F$14:$F$18,$BF14))),6))))</f>
        <v>2</v>
      </c>
      <c r="AK14" s="55">
        <f>IF($AM14=0,"",IF(ISNUMBER($O14),$O14,$AI14))</f>
        <v>100</v>
      </c>
      <c r="AL14" s="55">
        <f>IF($AM14=0,"",IF(ISNUMBER($P14),$P14,N($AJ14)))</f>
        <v>2</v>
      </c>
      <c r="AM14" s="56">
        <f>IF(AND($A14&lt;&gt;"",$E14&lt;&gt;"",OR(AND(ISNUMBER($G14),ISNUMBER($H14),ISNUMBER($K14)),ISNUMBER($O14))),1,0)</f>
        <v>1</v>
      </c>
      <c r="AN14" s="57">
        <f>IF($A14="","",$A14-WEEKDAY($A14,3))</f>
        <v>46286</v>
      </c>
      <c r="AO14" s="56">
        <f>IF($A14="","",WEEKDAY($A14,2))</f>
        <v>4</v>
      </c>
      <c r="AP14" s="55">
        <f>IF(OR($AM14=0,$C14=""),"",IFERROR(N(INDEX(Accounts!$E$7:$E$16,MATCH($C14,Accounts!$B$7:$B$16,0))),0)+SUMIFS($Q$6:$Q14,$C$6:$C14,$C14))</f>
        <v>50758.5</v>
      </c>
      <c r="AQ14" s="55">
        <f>IF(OR($AM14=0,$C14=""),"",SUMIFS($Q$6:$Q$1005,$C$6:$C$1005,$C14,$A$6:$A$1005,$A14))</f>
        <v>397</v>
      </c>
      <c r="AR14" s="55">
        <f>IF(OR($AM14=0,$C14=""),"",IFERROR(N(INDEX(Accounts!$E$7:$E$16,MATCH($C14,Accounts!$B$7:$B$16,0))),0)+SUMIFS($Q$6:$Q$1005,$C$6:$C$1005,$C14,$A$6:$A$1005,"&lt;="&amp;$A14))</f>
        <v>50758.5</v>
      </c>
      <c r="AS14" s="56">
        <f>IF(OR($AM14=0,$Q14=""),0,IF(AND($A14&gt;=Lists!$W$6,$A14&lt;=Lists!$W$7,OR(Dashboard!$D$6="All accounts",$C14=Dashboard!$D$6),OR(Dashboard!$D$7="All markets",$AF14=Dashboard!$D$7)),1,0))</f>
        <v>1</v>
      </c>
      <c r="AT14" s="55">
        <f>IF($AS14=1,N(AT13)+$Q14,N(AT13))</f>
        <v>817.204</v>
      </c>
      <c r="AU14" s="55">
        <f>MAX(N(AU13),$AT14)</f>
        <v>817.204</v>
      </c>
      <c r="AV14" s="55">
        <f>$AT14-$AU14</f>
        <v>0</v>
      </c>
      <c r="AW14" s="56">
        <f>IF($AS14=1,IF($S14="Win",N(AW13)+1,IF($S14="Loss",0,N(AW13))),N(AW13))</f>
        <v>2</v>
      </c>
      <c r="AX14" s="56">
        <f>IF($AS14=1,IF($S14="Loss",N(AX13)+1,IF($S14="Win",0,N(AX13))),N(AX13))</f>
        <v>0</v>
      </c>
      <c r="AY14" s="56">
        <f>IF($AS14=1,COUNTIF($AS$6:$AS14,1),"")</f>
        <v>9</v>
      </c>
      <c r="AZ14" s="56">
        <f>MIN(8,N(Lists!$W$8))</f>
        <v>8</v>
      </c>
      <c r="BA14" s="56">
        <f>IF($AS14=1,IF(COUNTIFS($A$6:$A14,$A14,$AS$6:$AS14,1)=1,1,0),0)</f>
        <v>0</v>
      </c>
      <c r="BB14" s="55" t="str">
        <f>IF($BA14=1,SUMIFS($Q$6:$Q$1005,$A$6:$A$1005,$A14,$AS$6:$AS$1005,1),"")</f>
        <v/>
      </c>
      <c r="BC14" s="56">
        <f>IF(ISNUMBER($R14),1,0)</f>
        <v>1</v>
      </c>
      <c r="BD14" s="55">
        <f>IF(ISNUMBER($U14),$U14*$V14,"")</f>
        <v>140</v>
      </c>
      <c r="BE14" s="56">
        <f>IF($AM14=0,"",IFERROR(MATCH($AF14&amp;"|"&amp;UPPER(TRIM($E14)),Lists!$A$6:$A$205,0),0))</f>
        <v>3</v>
      </c>
      <c r="BF14" s="56">
        <f>IF($AM14=0,"",IFERROR(MATCH($AF14,Settings!$B$14:$B$18,0),IFERROR(MATCH(Settings!$C$6,Settings!$B$14:$B$18,0),1)))</f>
        <v>1</v>
      </c>
      <c r="BG14" s="58" t="str">
        <f>IF($AM14=0,"",IF(NOT(ISNUMBER($I14)),"No stop; ","")&amp;IF(AND(ISNUMBER($H14),ISNUMBER($I14)),IF(OR(AND($F14&lt;&gt;"Short",$I14&gt;=$H14),AND($F14="Short",$I14&lt;=$H14)),"Stop on wrong side; ",""),"")&amp;IF($F14="","No direction; ","")&amp;IF(AND(ISNUMBER(Settings!$C$22),ISNUMBER($V14)),IF($V14&gt;Settings!$C$22,"Risk over max $; ",""),"")&amp;IF(AND(ISNUMBER(Settings!$C$23),ISNUMBER($V14),ISNUMBER($AP14),IFERROR(N(INDEX(Accounts!$E$7:$E$16,MATCH($C14,Accounts!$B$7:$B$16,0))),0)&gt;0),IF($V14&gt;Settings!$C$23*($AP14-N($Q14)),"Risk over max %; ",""),"")&amp;IF(AND(ISNUMBER(Settings!$C$24),ISNUMBER($N14)),IF($N14&gt;Settings!$C$24,"Leverage over max; ",""),"")&amp;IF(AND(ISNUMBER(Settings!$C$27),ISNUMBER($T14)),IF($T14&lt;Settings!$C$27,"R:R below min; ",""),"")&amp;IF(ISNUMBER(Settings!$C$25),IF(COUNTIFS($A$6:$A14,$A14,$AM$6:$AM14,1)&gt;Settings!$C$25,"Over max trades/day; ",""),"")&amp;IF(ISNUMBER(Settings!$C$26),IF(SUMIFS($Q$5:$Q13,$A$5:$A13,$A14)&lt;=-Settings!$C$26,"Traded after daily max loss; ",""),"")&amp;IF(AND($AG14="",NOT(ISNUMBER($O14))),"Symbol not in Instruments; ","")&amp;IF(AND($AH14="",NOT(ISNUMBER($O14))),"Forex cross: type Gross P&amp;L; ",""))</f>
        <v/>
      </c>
      <c r="BH14" s="56">
        <f>IF(ISNUMBER($Q14),1,0)</f>
        <v>1</v>
      </c>
      <c r="BI14" s="56">
        <f>IF($Y14="",0,1)</f>
        <v>1</v>
      </c>
      <c r="BJ14" s="56">
        <f>IF($AB14="",0,1)</f>
        <v>1</v>
      </c>
      <c r="BK14" s="56">
        <f>IF(AND($BH14=1,$W14&lt;&gt;"OK"),1,0)</f>
        <v>0</v>
      </c>
      <c r="BL14" s="55">
        <f>IF(N($AZ14)=0,0,IFERROR(INDEX($AT$6:$AT$1005,MATCH($AZ14,$AY$6:$AY$1005,0)),0))</f>
        <v>719.204</v>
      </c>
      <c r="BM14" s="56">
        <f>IF(ISNUMBER(SEARCH("daily max loss",$BG14)),1,0)</f>
        <v>0</v>
      </c>
    </row>
    <row r="15" ht="30" customHeight="1">
      <c r="A15" s="38" t="n">
        <v>46289</v>
      </c>
      <c r="B15" s="39" t="n">
        <v>0.6041666666666666</v>
      </c>
      <c r="C15" s="40" t="inlineStr">
        <is>
          <t>Crypto Main</t>
        </is>
      </c>
      <c r="D15" s="41" t="n"/>
      <c r="E15" s="41" t="inlineStr">
        <is>
          <t>ETHUSDT</t>
        </is>
      </c>
      <c r="F15" s="41" t="inlineStr">
        <is>
          <t>Short</t>
        </is>
      </c>
      <c r="G15" s="41" t="n">
        <v>1.5</v>
      </c>
      <c r="H15" s="42" t="n">
        <v>2340</v>
      </c>
      <c r="I15" s="42" t="n">
        <v>2370</v>
      </c>
      <c r="J15" s="42" t="n">
        <v>2280</v>
      </c>
      <c r="K15" s="42" t="n">
        <v>2370</v>
      </c>
      <c r="L15" s="41" t="inlineStr">
        <is>
          <t>Market</t>
        </is>
      </c>
      <c r="M15" s="41" t="inlineStr">
        <is>
          <t>Stop loss</t>
        </is>
      </c>
      <c r="N15" s="41" t="n">
        <v>25</v>
      </c>
      <c r="O15" s="43" t="n"/>
      <c r="P15" s="43" t="n"/>
      <c r="Q15" s="44">
        <f>IF($AM15=0,"",IF(ISNUMBER($AK15),$AK15-N($AL15),""))</f>
        <v>-49.239</v>
      </c>
      <c r="R15" s="45">
        <f>IF(OR($Q15="",NOT(ISNUMBER($V15))),"",$AK15/$V15)</f>
        <v>-1</v>
      </c>
      <c r="S15" s="46" t="str">
        <f>IF($Q15="","",IF(AND(ISNUMBER($R15),ABS(N($R15))&lt;N(Settings!$C$8)),"Scratch",IF($Q15&gt;0,"Win",IF($Q15&lt;0,"Loss","Scratch"))))</f>
        <v>Loss</v>
      </c>
      <c r="T15" s="47">
        <f>IF(OR($AM15=0,NOT(ISNUMBER($H15)),NOT(ISNUMBER($I15)),NOT(ISNUMBER($J15))),"",IF($H15=$I15,"",ROUND(ABS($J15-$H15)/ABS($H15-$I15),6)))</f>
        <v>2</v>
      </c>
      <c r="U15" s="48" t="str">
        <f>IF(OR($S15&lt;&gt;"Win",NOT(ISNUMBER($T15)),NOT(ISNUMBER($R15))),"",MAX(0,$T15-$R15))</f>
        <v/>
      </c>
      <c r="V15" s="49">
        <f>IF(OR($AM15=0,NOT(ISNUMBER($H15)),NOT(ISNUMBER($I15)),NOT(ISNUMBER($G15))),"",IF(OR($AG15="",$AH15=""),"",IF(ROUND(ABS($H15-$I15)*ABS($G15)*$AG15*$AH15,6)=0,"",ROUND(ABS($H15-$I15)*ABS($G15)*$AG15*$AH15,6))))</f>
        <v>45</v>
      </c>
      <c r="W15" s="50" t="str">
        <f>IF($AM15=0,"",IF($BG15="","OK",LEFT($BG15,LEN($BG15)-2)))</f>
        <v>Leverage over max</v>
      </c>
      <c r="X15" s="41" t="inlineStr">
        <is>
          <t>US</t>
        </is>
      </c>
      <c r="Y15" s="40" t="inlineStr">
        <is>
          <t>Failed Breakout Reversal</t>
        </is>
      </c>
      <c r="Z15" s="41" t="inlineStr">
        <is>
          <t>No</t>
        </is>
      </c>
      <c r="AA15" s="41" t="inlineStr">
        <is>
          <t>FOMO</t>
        </is>
      </c>
      <c r="AB15" s="40" t="inlineStr">
        <is>
          <t>Late entry (chased)</t>
        </is>
      </c>
      <c r="AC15" s="51" t="inlineStr">
        <is>
          <t>Chased the dump</t>
        </is>
      </c>
      <c r="AD15" s="51" t="inlineStr">
        <is>
          <t>25x and late. Two rule breaks.</t>
        </is>
      </c>
      <c r="AE15" s="40" t="n"/>
      <c r="AF15" s="52" t="str">
        <f>IF($AM15=0,"",IF($D15&lt;&gt;"",$D15,IF(IFERROR(INDEX(Accounts!$C$7:$C$16,MATCH($C15,Accounts!$B$7:$B$16,0))&amp;"","")&lt;&gt;"",INDEX(Accounts!$C$7:$C$16,MATCH($C15,Accounts!$B$7:$B$16,0)),Settings!$C$6)))</f>
        <v>Crypto</v>
      </c>
      <c r="AG15" s="53">
        <f>IF($AM15=0,"",IF(AND($BE15&gt;0,N(INDEX(Instruments!$D$6:$D$205,MAX(1,$BE15)))&gt;0),INDEX(Instruments!$D$6:$D$205,MAX(1,$BE15)),IF(N(INDEX(Settings!$D$14:$D$18,$BF15))&gt;0,INDEX(Settings!$D$14:$D$18,$BF15),"")))</f>
        <v>1</v>
      </c>
      <c r="AH15" s="54">
        <f>IF($AM15=0,"",IF($AF15&lt;&gt;"Forex",1,IF(MID(UPPER(SUBSTITUTE(TRIM($E15),"/","")),4,3)=UPPER(TRIM(Settings!$C$7)),1,IF(LEFT(UPPER(SUBSTITUTE(TRIM($E15),"/","")),3)=UPPER(TRIM(Settings!$C$7)),IF(AND(ISNUMBER($K15),N($K15)&lt;&gt;0),1/$K15,""),""))))</f>
        <v>1</v>
      </c>
      <c r="AI15" s="55">
        <f>IF($AM15=0,"",IF(OR(NOT(ISNUMBER($H15)),NOT(ISNUMBER($K15)),NOT(ISNUMBER($G15)),$AG15="",$AH15=""),"",ROUND(($K15-$H15)*IF($F15="Short",-1,1)*$G15*$AG15*$AH15,6)))</f>
        <v>-45</v>
      </c>
      <c r="AJ15" s="55">
        <f>IF($AM15=0,"",IF(INDEX(Settings!$E$14:$E$18,$BF15)="% of notional",IF(OR($AG15="",NOT(ISNUMBER($H15)),NOT(ISNUMBER($G15))),"",ROUND(ABS($H15*$G15*$AG15*N($AH15))*IF($L15="Limit",N(INDEX(Settings!$G$14:$G$18,$BF15)),N(INDEX(Settings!$H$14:$H$18,$BF15)))+IF(ISNUMBER($K15),ABS($K15*$G15*$AG15*N($AH15))*IF($M15="Target",N(INDEX(Settings!$G$14:$G$18,$BF15)),N(INDEX(Settings!$H$14:$H$18,$BF15))),0),6)),IF(NOT(ISNUMBER($G15)),"",ROUND(ABS($G15)*2*IF(AND($BE15&gt;0,ISNUMBER(INDEX(Instruments!$G$6:$G$205,MAX(1,$BE15)))),INDEX(Instruments!$G$6:$G$205,MAX(1,$BE15)),N(INDEX(Settings!$F$14:$F$18,$BF15))),6))))</f>
        <v>4.239</v>
      </c>
      <c r="AK15" s="55">
        <f>IF($AM15=0,"",IF(ISNUMBER($O15),$O15,$AI15))</f>
        <v>-45</v>
      </c>
      <c r="AL15" s="55">
        <f>IF($AM15=0,"",IF(ISNUMBER($P15),$P15,N($AJ15)))</f>
        <v>4.239</v>
      </c>
      <c r="AM15" s="56">
        <f>IF(AND($A15&lt;&gt;"",$E15&lt;&gt;"",OR(AND(ISNUMBER($G15),ISNUMBER($H15),ISNUMBER($K15)),ISNUMBER($O15))),1,0)</f>
        <v>1</v>
      </c>
      <c r="AN15" s="57">
        <f>IF($A15="","",$A15-WEEKDAY($A15,3))</f>
        <v>46286</v>
      </c>
      <c r="AO15" s="56">
        <f>IF($A15="","",WEEKDAY($A15,2))</f>
        <v>4</v>
      </c>
      <c r="AP15" s="55">
        <f>IF(OR($AM15=0,$C15=""),"",IFERROR(N(INDEX(Accounts!$E$7:$E$16,MATCH($C15,Accounts!$B$7:$B$16,0))),0)+SUMIFS($Q$6:$Q15,$C$6:$C15,$C15))</f>
        <v>5009.465</v>
      </c>
      <c r="AQ15" s="55">
        <f>IF(OR($AM15=0,$C15=""),"",SUMIFS($Q$6:$Q$1005,$C$6:$C$1005,$C15,$A$6:$A$1005,$A15))</f>
        <v>-49.239</v>
      </c>
      <c r="AR15" s="55">
        <f>IF(OR($AM15=0,$C15=""),"",IFERROR(N(INDEX(Accounts!$E$7:$E$16,MATCH($C15,Accounts!$B$7:$B$16,0))),0)+SUMIFS($Q$6:$Q$1005,$C$6:$C$1005,$C15,$A$6:$A$1005,"&lt;="&amp;$A15))</f>
        <v>5009.465</v>
      </c>
      <c r="AS15" s="56">
        <f>IF(OR($AM15=0,$Q15=""),0,IF(AND($A15&gt;=Lists!$W$6,$A15&lt;=Lists!$W$7,OR(Dashboard!$D$6="All accounts",$C15=Dashboard!$D$6),OR(Dashboard!$D$7="All markets",$AF15=Dashboard!$D$7)),1,0))</f>
        <v>1</v>
      </c>
      <c r="AT15" s="55">
        <f>IF($AS15=1,N(AT14)+$Q15,N(AT14))</f>
        <v>767.965</v>
      </c>
      <c r="AU15" s="55">
        <f>MAX(N(AU14),$AT15)</f>
        <v>817.204</v>
      </c>
      <c r="AV15" s="55">
        <f>$AT15-$AU15</f>
        <v>-49.239</v>
      </c>
      <c r="AW15" s="56">
        <f>IF($AS15=1,IF($S15="Win",N(AW14)+1,IF($S15="Loss",0,N(AW14))),N(AW14))</f>
        <v>0</v>
      </c>
      <c r="AX15" s="56">
        <f>IF($AS15=1,IF($S15="Loss",N(AX14)+1,IF($S15="Win",0,N(AX14))),N(AX14))</f>
        <v>1</v>
      </c>
      <c r="AY15" s="56">
        <f>IF($AS15=1,COUNTIF($AS$6:$AS15,1),"")</f>
        <v>10</v>
      </c>
      <c r="AZ15" s="56">
        <f>MIN(9,N(Lists!$W$8))</f>
        <v>9</v>
      </c>
      <c r="BA15" s="56">
        <f>IF($AS15=1,IF(COUNTIFS($A$6:$A15,$A15,$AS$6:$AS15,1)=1,1,0),0)</f>
        <v>0</v>
      </c>
      <c r="BB15" s="55" t="str">
        <f>IF($BA15=1,SUMIFS($Q$6:$Q$1005,$A$6:$A$1005,$A15,$AS$6:$AS$1005,1),"")</f>
        <v/>
      </c>
      <c r="BC15" s="56">
        <f>IF(ISNUMBER($R15),1,0)</f>
        <v>1</v>
      </c>
      <c r="BD15" s="55" t="str">
        <f>IF(ISNUMBER($U15),$U15*$V15,"")</f>
        <v/>
      </c>
      <c r="BE15" s="56">
        <f>IF($AM15=0,"",IFERROR(MATCH($AF15&amp;"|"&amp;UPPER(TRIM($E15)),Lists!$A$6:$A$205,0),0))</f>
        <v>47</v>
      </c>
      <c r="BF15" s="56">
        <f>IF($AM15=0,"",IFERROR(MATCH($AF15,Settings!$B$14:$B$18,0),IFERROR(MATCH(Settings!$C$6,Settings!$B$14:$B$18,0),1)))</f>
        <v>5</v>
      </c>
      <c r="BG15" s="58" t="str">
        <f>IF($AM15=0,"",IF(NOT(ISNUMBER($I15)),"No stop; ","")&amp;IF(AND(ISNUMBER($H15),ISNUMBER($I15)),IF(OR(AND($F15&lt;&gt;"Short",$I15&gt;=$H15),AND($F15="Short",$I15&lt;=$H15)),"Stop on wrong side; ",""),"")&amp;IF($F15="","No direction; ","")&amp;IF(AND(ISNUMBER(Settings!$C$22),ISNUMBER($V15)),IF($V15&gt;Settings!$C$22,"Risk over max $; ",""),"")&amp;IF(AND(ISNUMBER(Settings!$C$23),ISNUMBER($V15),ISNUMBER($AP15),IFERROR(N(INDEX(Accounts!$E$7:$E$16,MATCH($C15,Accounts!$B$7:$B$16,0))),0)&gt;0),IF($V15&gt;Settings!$C$23*($AP15-N($Q15)),"Risk over max %; ",""),"")&amp;IF(AND(ISNUMBER(Settings!$C$24),ISNUMBER($N15)),IF($N15&gt;Settings!$C$24,"Leverage over max; ",""),"")&amp;IF(AND(ISNUMBER(Settings!$C$27),ISNUMBER($T15)),IF($T15&lt;Settings!$C$27,"R:R below min; ",""),"")&amp;IF(ISNUMBER(Settings!$C$25),IF(COUNTIFS($A$6:$A15,$A15,$AM$6:$AM15,1)&gt;Settings!$C$25,"Over max trades/day; ",""),"")&amp;IF(ISNUMBER(Settings!$C$26),IF(SUMIFS($Q$5:$Q14,$A$5:$A14,$A15)&lt;=-Settings!$C$26,"Traded after daily max loss; ",""),"")&amp;IF(AND($AG15="",NOT(ISNUMBER($O15))),"Symbol not in Instruments; ","")&amp;IF(AND($AH15="",NOT(ISNUMBER($O15))),"Forex cross: type Gross P&amp;L; ",""))</f>
        <v>Leverage over max; </v>
      </c>
      <c r="BH15" s="56">
        <f>IF(ISNUMBER($Q15),1,0)</f>
        <v>1</v>
      </c>
      <c r="BI15" s="56">
        <f>IF($Y15="",0,1)</f>
        <v>1</v>
      </c>
      <c r="BJ15" s="56">
        <f>IF($AB15="",0,1)</f>
        <v>1</v>
      </c>
      <c r="BK15" s="56">
        <f>IF(AND($BH15=1,$W15&lt;&gt;"OK"),1,0)</f>
        <v>1</v>
      </c>
      <c r="BL15" s="55">
        <f>IF(N($AZ15)=0,0,IFERROR(INDEX($AT$6:$AT$1005,MATCH($AZ15,$AY$6:$AY$1005,0)),0))</f>
        <v>817.204</v>
      </c>
      <c r="BM15" s="56">
        <f>IF(ISNUMBER(SEARCH("daily max loss",$BG15)),1,0)</f>
        <v>0</v>
      </c>
    </row>
    <row r="16" ht="30" customHeight="1">
      <c r="A16" s="38" t="n">
        <v>46290</v>
      </c>
      <c r="B16" s="39" t="n">
        <v>0.4027777777777778</v>
      </c>
      <c r="C16" s="40" t="inlineStr">
        <is>
          <t>Prop Eval 50K</t>
        </is>
      </c>
      <c r="D16" s="41" t="n"/>
      <c r="E16" s="41" t="inlineStr">
        <is>
          <t>MGC</t>
        </is>
      </c>
      <c r="F16" s="41" t="inlineStr">
        <is>
          <t>Short</t>
        </is>
      </c>
      <c r="G16" s="41" t="n">
        <v>2</v>
      </c>
      <c r="H16" s="42" t="n">
        <v>4071</v>
      </c>
      <c r="I16" s="42" t="n">
        <v>4077</v>
      </c>
      <c r="J16" s="42" t="n">
        <v>4059</v>
      </c>
      <c r="K16" s="42" t="n">
        <v>4077</v>
      </c>
      <c r="L16" s="41" t="inlineStr">
        <is>
          <t>Limit</t>
        </is>
      </c>
      <c r="M16" s="41" t="inlineStr">
        <is>
          <t>Stop loss</t>
        </is>
      </c>
      <c r="N16" s="41" t="n"/>
      <c r="O16" s="43" t="n"/>
      <c r="P16" s="43" t="n"/>
      <c r="Q16" s="44">
        <f>IF($AM16=0,"",IF(ISNUMBER($AK16),$AK16-N($AL16),""))</f>
        <v>-122</v>
      </c>
      <c r="R16" s="45">
        <f>IF(OR($Q16="",NOT(ISNUMBER($V16))),"",$AK16/$V16)</f>
        <v>-1</v>
      </c>
      <c r="S16" s="46" t="str">
        <f>IF($Q16="","",IF(AND(ISNUMBER($R16),ABS(N($R16))&lt;N(Settings!$C$8)),"Scratch",IF($Q16&gt;0,"Win",IF($Q16&lt;0,"Loss","Scratch"))))</f>
        <v>Loss</v>
      </c>
      <c r="T16" s="47">
        <f>IF(OR($AM16=0,NOT(ISNUMBER($H16)),NOT(ISNUMBER($I16)),NOT(ISNUMBER($J16))),"",IF($H16=$I16,"",ROUND(ABS($J16-$H16)/ABS($H16-$I16),6)))</f>
        <v>2</v>
      </c>
      <c r="U16" s="48" t="str">
        <f>IF(OR($S16&lt;&gt;"Win",NOT(ISNUMBER($T16)),NOT(ISNUMBER($R16))),"",MAX(0,$T16-$R16))</f>
        <v/>
      </c>
      <c r="V16" s="49">
        <f>IF(OR($AM16=0,NOT(ISNUMBER($H16)),NOT(ISNUMBER($I16)),NOT(ISNUMBER($G16))),"",IF(OR($AG16="",$AH16=""),"",IF(ROUND(ABS($H16-$I16)*ABS($G16)*$AG16*$AH16,6)=0,"",ROUND(ABS($H16-$I16)*ABS($G16)*$AG16*$AH16,6))))</f>
        <v>120</v>
      </c>
      <c r="W16" s="50" t="str">
        <f>IF($AM16=0,"",IF($BG16="","OK",LEFT($BG16,LEN($BG16)-2)))</f>
        <v>OK</v>
      </c>
      <c r="X16" s="41" t="inlineStr">
        <is>
          <t>NY Open</t>
        </is>
      </c>
      <c r="Y16" s="40" t="inlineStr">
        <is>
          <t>Failed Breakout Reversal</t>
        </is>
      </c>
      <c r="Z16" s="41" t="inlineStr">
        <is>
          <t>Yes</t>
        </is>
      </c>
      <c r="AA16" s="41" t="inlineStr">
        <is>
          <t>Calm</t>
        </is>
      </c>
      <c r="AB16" s="40" t="n"/>
      <c r="AC16" s="51" t="inlineStr">
        <is>
          <t>Failed push above 4,070</t>
        </is>
      </c>
      <c r="AD16" s="51" t="inlineStr">
        <is>
          <t>Valid setup that didn't work. That's fine.</t>
        </is>
      </c>
      <c r="AE16" s="40" t="n"/>
      <c r="AF16" s="52" t="str">
        <f>IF($AM16=0,"",IF($D16&lt;&gt;"",$D16,IF(IFERROR(INDEX(Accounts!$C$7:$C$16,MATCH($C16,Accounts!$B$7:$B$16,0))&amp;"","")&lt;&gt;"",INDEX(Accounts!$C$7:$C$16,MATCH($C16,Accounts!$B$7:$B$16,0)),Settings!$C$6)))</f>
        <v>Futures</v>
      </c>
      <c r="AG16" s="53">
        <f>IF($AM16=0,"",IF(AND($BE16&gt;0,N(INDEX(Instruments!$D$6:$D$205,MAX(1,$BE16)))&gt;0),INDEX(Instruments!$D$6:$D$205,MAX(1,$BE16)),IF(N(INDEX(Settings!$D$14:$D$18,$BF16))&gt;0,INDEX(Settings!$D$14:$D$18,$BF16),"")))</f>
        <v>10</v>
      </c>
      <c r="AH16" s="54">
        <f>IF($AM16=0,"",IF($AF16&lt;&gt;"Forex",1,IF(MID(UPPER(SUBSTITUTE(TRIM($E16),"/","")),4,3)=UPPER(TRIM(Settings!$C$7)),1,IF(LEFT(UPPER(SUBSTITUTE(TRIM($E16),"/","")),3)=UPPER(TRIM(Settings!$C$7)),IF(AND(ISNUMBER($K16),N($K16)&lt;&gt;0),1/$K16,""),""))))</f>
        <v>1</v>
      </c>
      <c r="AI16" s="55">
        <f>IF($AM16=0,"",IF(OR(NOT(ISNUMBER($H16)),NOT(ISNUMBER($K16)),NOT(ISNUMBER($G16)),$AG16="",$AH16=""),"",ROUND(($K16-$H16)*IF($F16="Short",-1,1)*$G16*$AG16*$AH16,6)))</f>
        <v>-120</v>
      </c>
      <c r="AJ16" s="55">
        <f>IF($AM16=0,"",IF(INDEX(Settings!$E$14:$E$18,$BF16)="% of notional",IF(OR($AG16="",NOT(ISNUMBER($H16)),NOT(ISNUMBER($G16))),"",ROUND(ABS($H16*$G16*$AG16*N($AH16))*IF($L16="Limit",N(INDEX(Settings!$G$14:$G$18,$BF16)),N(INDEX(Settings!$H$14:$H$18,$BF16)))+IF(ISNUMBER($K16),ABS($K16*$G16*$AG16*N($AH16))*IF($M16="Target",N(INDEX(Settings!$G$14:$G$18,$BF16)),N(INDEX(Settings!$H$14:$H$18,$BF16))),0),6)),IF(NOT(ISNUMBER($G16)),"",ROUND(ABS($G16)*2*IF(AND($BE16&gt;0,ISNUMBER(INDEX(Instruments!$G$6:$G$205,MAX(1,$BE16)))),INDEX(Instruments!$G$6:$G$205,MAX(1,$BE16)),N(INDEX(Settings!$F$14:$F$18,$BF16))),6))))</f>
        <v>2</v>
      </c>
      <c r="AK16" s="55">
        <f>IF($AM16=0,"",IF(ISNUMBER($O16),$O16,$AI16))</f>
        <v>-120</v>
      </c>
      <c r="AL16" s="55">
        <f>IF($AM16=0,"",IF(ISNUMBER($P16),$P16,N($AJ16)))</f>
        <v>2</v>
      </c>
      <c r="AM16" s="56">
        <f>IF(AND($A16&lt;&gt;"",$E16&lt;&gt;"",OR(AND(ISNUMBER($G16),ISNUMBER($H16),ISNUMBER($K16)),ISNUMBER($O16))),1,0)</f>
        <v>1</v>
      </c>
      <c r="AN16" s="57">
        <f>IF($A16="","",$A16-WEEKDAY($A16,3))</f>
        <v>46286</v>
      </c>
      <c r="AO16" s="56">
        <f>IF($A16="","",WEEKDAY($A16,2))</f>
        <v>5</v>
      </c>
      <c r="AP16" s="55">
        <f>IF(OR($AM16=0,$C16=""),"",IFERROR(N(INDEX(Accounts!$E$7:$E$16,MATCH($C16,Accounts!$B$7:$B$16,0))),0)+SUMIFS($Q$6:$Q16,$C$6:$C16,$C16))</f>
        <v>50636.5</v>
      </c>
      <c r="AQ16" s="55">
        <f>IF(OR($AM16=0,$C16=""),"",SUMIFS($Q$6:$Q$1005,$C$6:$C$1005,$C16,$A$6:$A$1005,$A16))</f>
        <v>-395.5</v>
      </c>
      <c r="AR16" s="55">
        <f>IF(OR($AM16=0,$C16=""),"",IFERROR(N(INDEX(Accounts!$E$7:$E$16,MATCH($C16,Accounts!$B$7:$B$16,0))),0)+SUMIFS($Q$6:$Q$1005,$C$6:$C$1005,$C16,$A$6:$A$1005,"&lt;="&amp;$A16))</f>
        <v>50363</v>
      </c>
      <c r="AS16" s="56">
        <f>IF(OR($AM16=0,$Q16=""),0,IF(AND($A16&gt;=Lists!$W$6,$A16&lt;=Lists!$W$7,OR(Dashboard!$D$6="All accounts",$C16=Dashboard!$D$6),OR(Dashboard!$D$7="All markets",$AF16=Dashboard!$D$7)),1,0))</f>
        <v>1</v>
      </c>
      <c r="AT16" s="55">
        <f>IF($AS16=1,N(AT15)+$Q16,N(AT15))</f>
        <v>645.965</v>
      </c>
      <c r="AU16" s="55">
        <f>MAX(N(AU15),$AT16)</f>
        <v>817.204</v>
      </c>
      <c r="AV16" s="55">
        <f>$AT16-$AU16</f>
        <v>-171.239</v>
      </c>
      <c r="AW16" s="56">
        <f>IF($AS16=1,IF($S16="Win",N(AW15)+1,IF($S16="Loss",0,N(AW15))),N(AW15))</f>
        <v>0</v>
      </c>
      <c r="AX16" s="56">
        <f>IF($AS16=1,IF($S16="Loss",N(AX15)+1,IF($S16="Win",0,N(AX15))),N(AX15))</f>
        <v>2</v>
      </c>
      <c r="AY16" s="56">
        <f>IF($AS16=1,COUNTIF($AS$6:$AS16,1),"")</f>
        <v>11</v>
      </c>
      <c r="AZ16" s="56">
        <f>MIN(10,N(Lists!$W$8))</f>
        <v>10</v>
      </c>
      <c r="BA16" s="56">
        <f>IF($AS16=1,IF(COUNTIFS($A$6:$A16,$A16,$AS$6:$AS16,1)=1,1,0),0)</f>
        <v>1</v>
      </c>
      <c r="BB16" s="55">
        <f>IF($BA16=1,SUMIFS($Q$6:$Q$1005,$A$6:$A$1005,$A16,$AS$6:$AS$1005,1),"")</f>
        <v>-395.5</v>
      </c>
      <c r="BC16" s="56">
        <f>IF(ISNUMBER($R16),1,0)</f>
        <v>1</v>
      </c>
      <c r="BD16" s="55" t="str">
        <f>IF(ISNUMBER($U16),$U16*$V16,"")</f>
        <v/>
      </c>
      <c r="BE16" s="56">
        <f>IF($AM16=0,"",IFERROR(MATCH($AF16&amp;"|"&amp;UPPER(TRIM($E16)),Lists!$A$6:$A$205,0),0))</f>
        <v>14</v>
      </c>
      <c r="BF16" s="56">
        <f>IF($AM16=0,"",IFERROR(MATCH($AF16,Settings!$B$14:$B$18,0),IFERROR(MATCH(Settings!$C$6,Settings!$B$14:$B$18,0),1)))</f>
        <v>1</v>
      </c>
      <c r="BG16" s="58" t="str">
        <f>IF($AM16=0,"",IF(NOT(ISNUMBER($I16)),"No stop; ","")&amp;IF(AND(ISNUMBER($H16),ISNUMBER($I16)),IF(OR(AND($F16&lt;&gt;"Short",$I16&gt;=$H16),AND($F16="Short",$I16&lt;=$H16)),"Stop on wrong side; ",""),"")&amp;IF($F16="","No direction; ","")&amp;IF(AND(ISNUMBER(Settings!$C$22),ISNUMBER($V16)),IF($V16&gt;Settings!$C$22,"Risk over max $; ",""),"")&amp;IF(AND(ISNUMBER(Settings!$C$23),ISNUMBER($V16),ISNUMBER($AP16),IFERROR(N(INDEX(Accounts!$E$7:$E$16,MATCH($C16,Accounts!$B$7:$B$16,0))),0)&gt;0),IF($V16&gt;Settings!$C$23*($AP16-N($Q16)),"Risk over max %; ",""),"")&amp;IF(AND(ISNUMBER(Settings!$C$24),ISNUMBER($N16)),IF($N16&gt;Settings!$C$24,"Leverage over max; ",""),"")&amp;IF(AND(ISNUMBER(Settings!$C$27),ISNUMBER($T16)),IF($T16&lt;Settings!$C$27,"R:R below min; ",""),"")&amp;IF(ISNUMBER(Settings!$C$25),IF(COUNTIFS($A$6:$A16,$A16,$AM$6:$AM16,1)&gt;Settings!$C$25,"Over max trades/day; ",""),"")&amp;IF(ISNUMBER(Settings!$C$26),IF(SUMIFS($Q$5:$Q15,$A$5:$A15,$A16)&lt;=-Settings!$C$26,"Traded after daily max loss; ",""),"")&amp;IF(AND($AG16="",NOT(ISNUMBER($O16))),"Symbol not in Instruments; ","")&amp;IF(AND($AH16="",NOT(ISNUMBER($O16))),"Forex cross: type Gross P&amp;L; ",""))</f>
        <v/>
      </c>
      <c r="BH16" s="56">
        <f>IF(ISNUMBER($Q16),1,0)</f>
        <v>1</v>
      </c>
      <c r="BI16" s="56">
        <f>IF($Y16="",0,1)</f>
        <v>1</v>
      </c>
      <c r="BJ16" s="56">
        <f>IF($AB16="",0,1)</f>
        <v>0</v>
      </c>
      <c r="BK16" s="56">
        <f>IF(AND($BH16=1,$W16&lt;&gt;"OK"),1,0)</f>
        <v>0</v>
      </c>
      <c r="BL16" s="55">
        <f>IF(N($AZ16)=0,0,IFERROR(INDEX($AT$6:$AT$1005,MATCH($AZ16,$AY$6:$AY$1005,0)),0))</f>
        <v>767.965</v>
      </c>
      <c r="BM16" s="56">
        <f>IF(ISNUMBER(SEARCH("daily max loss",$BG16)),1,0)</f>
        <v>0</v>
      </c>
    </row>
    <row r="17" ht="30" customHeight="1">
      <c r="A17" s="38" t="n">
        <v>46290</v>
      </c>
      <c r="B17" s="39" t="n">
        <v>0.4319444444444445</v>
      </c>
      <c r="C17" s="40" t="inlineStr">
        <is>
          <t>Prop Eval 50K</t>
        </is>
      </c>
      <c r="D17" s="41" t="n"/>
      <c r="E17" s="41" t="inlineStr">
        <is>
          <t>MGC</t>
        </is>
      </c>
      <c r="F17" s="41" t="inlineStr">
        <is>
          <t>Short</t>
        </is>
      </c>
      <c r="G17" s="41" t="n">
        <v>2</v>
      </c>
      <c r="H17" s="42" t="n">
        <v>4074</v>
      </c>
      <c r="I17" s="42" t="n">
        <v>4080</v>
      </c>
      <c r="J17" s="42" t="n">
        <v>4062</v>
      </c>
      <c r="K17" s="42" t="n">
        <v>4083</v>
      </c>
      <c r="L17" s="41" t="inlineStr">
        <is>
          <t>Market</t>
        </is>
      </c>
      <c r="M17" s="41" t="inlineStr">
        <is>
          <t>Stop loss</t>
        </is>
      </c>
      <c r="N17" s="41" t="n"/>
      <c r="O17" s="43" t="n"/>
      <c r="P17" s="43" t="n"/>
      <c r="Q17" s="44">
        <f>IF($AM17=0,"",IF(ISNUMBER($AK17),$AK17-N($AL17),""))</f>
        <v>-182</v>
      </c>
      <c r="R17" s="45">
        <f>IF(OR($Q17="",NOT(ISNUMBER($V17))),"",$AK17/$V17)</f>
        <v>-1.5</v>
      </c>
      <c r="S17" s="46" t="str">
        <f>IF($Q17="","",IF(AND(ISNUMBER($R17),ABS(N($R17))&lt;N(Settings!$C$8)),"Scratch",IF($Q17&gt;0,"Win",IF($Q17&lt;0,"Loss","Scratch"))))</f>
        <v>Loss</v>
      </c>
      <c r="T17" s="47">
        <f>IF(OR($AM17=0,NOT(ISNUMBER($H17)),NOT(ISNUMBER($I17)),NOT(ISNUMBER($J17))),"",IF($H17=$I17,"",ROUND(ABS($J17-$H17)/ABS($H17-$I17),6)))</f>
        <v>2</v>
      </c>
      <c r="U17" s="48" t="str">
        <f>IF(OR($S17&lt;&gt;"Win",NOT(ISNUMBER($T17)),NOT(ISNUMBER($R17))),"",MAX(0,$T17-$R17))</f>
        <v/>
      </c>
      <c r="V17" s="49">
        <f>IF(OR($AM17=0,NOT(ISNUMBER($H17)),NOT(ISNUMBER($I17)),NOT(ISNUMBER($G17))),"",IF(OR($AG17="",$AH17=""),"",IF(ROUND(ABS($H17-$I17)*ABS($G17)*$AG17*$AH17,6)=0,"",ROUND(ABS($H17-$I17)*ABS($G17)*$AG17*$AH17,6))))</f>
        <v>120</v>
      </c>
      <c r="W17" s="50" t="str">
        <f>IF($AM17=0,"",IF($BG17="","OK",LEFT($BG17,LEN($BG17)-2)))</f>
        <v>OK</v>
      </c>
      <c r="X17" s="41" t="inlineStr">
        <is>
          <t>NY Open</t>
        </is>
      </c>
      <c r="Y17" s="40" t="inlineStr">
        <is>
          <t>Failed Breakout Reversal</t>
        </is>
      </c>
      <c r="Z17" s="41" t="inlineStr">
        <is>
          <t>No</t>
        </is>
      </c>
      <c r="AA17" s="41" t="inlineStr">
        <is>
          <t>Revenge</t>
        </is>
      </c>
      <c r="AB17" s="40" t="inlineStr">
        <is>
          <t>Moved stop</t>
        </is>
      </c>
      <c r="AC17" s="51" t="inlineStr">
        <is>
          <t>Wanted the last loss back</t>
        </is>
      </c>
      <c r="AD17" s="51" t="inlineStr">
        <is>
          <t>Re-entered right away and moved my stop. -1.5R.</t>
        </is>
      </c>
      <c r="AE17" s="40" t="n"/>
      <c r="AF17" s="52" t="str">
        <f>IF($AM17=0,"",IF($D17&lt;&gt;"",$D17,IF(IFERROR(INDEX(Accounts!$C$7:$C$16,MATCH($C17,Accounts!$B$7:$B$16,0))&amp;"","")&lt;&gt;"",INDEX(Accounts!$C$7:$C$16,MATCH($C17,Accounts!$B$7:$B$16,0)),Settings!$C$6)))</f>
        <v>Futures</v>
      </c>
      <c r="AG17" s="53">
        <f>IF($AM17=0,"",IF(AND($BE17&gt;0,N(INDEX(Instruments!$D$6:$D$205,MAX(1,$BE17)))&gt;0),INDEX(Instruments!$D$6:$D$205,MAX(1,$BE17)),IF(N(INDEX(Settings!$D$14:$D$18,$BF17))&gt;0,INDEX(Settings!$D$14:$D$18,$BF17),"")))</f>
        <v>10</v>
      </c>
      <c r="AH17" s="54">
        <f>IF($AM17=0,"",IF($AF17&lt;&gt;"Forex",1,IF(MID(UPPER(SUBSTITUTE(TRIM($E17),"/","")),4,3)=UPPER(TRIM(Settings!$C$7)),1,IF(LEFT(UPPER(SUBSTITUTE(TRIM($E17),"/","")),3)=UPPER(TRIM(Settings!$C$7)),IF(AND(ISNUMBER($K17),N($K17)&lt;&gt;0),1/$K17,""),""))))</f>
        <v>1</v>
      </c>
      <c r="AI17" s="55">
        <f>IF($AM17=0,"",IF(OR(NOT(ISNUMBER($H17)),NOT(ISNUMBER($K17)),NOT(ISNUMBER($G17)),$AG17="",$AH17=""),"",ROUND(($K17-$H17)*IF($F17="Short",-1,1)*$G17*$AG17*$AH17,6)))</f>
        <v>-180</v>
      </c>
      <c r="AJ17" s="55">
        <f>IF($AM17=0,"",IF(INDEX(Settings!$E$14:$E$18,$BF17)="% of notional",IF(OR($AG17="",NOT(ISNUMBER($H17)),NOT(ISNUMBER($G17))),"",ROUND(ABS($H17*$G17*$AG17*N($AH17))*IF($L17="Limit",N(INDEX(Settings!$G$14:$G$18,$BF17)),N(INDEX(Settings!$H$14:$H$18,$BF17)))+IF(ISNUMBER($K17),ABS($K17*$G17*$AG17*N($AH17))*IF($M17="Target",N(INDEX(Settings!$G$14:$G$18,$BF17)),N(INDEX(Settings!$H$14:$H$18,$BF17))),0),6)),IF(NOT(ISNUMBER($G17)),"",ROUND(ABS($G17)*2*IF(AND($BE17&gt;0,ISNUMBER(INDEX(Instruments!$G$6:$G$205,MAX(1,$BE17)))),INDEX(Instruments!$G$6:$G$205,MAX(1,$BE17)),N(INDEX(Settings!$F$14:$F$18,$BF17))),6))))</f>
        <v>2</v>
      </c>
      <c r="AK17" s="55">
        <f>IF($AM17=0,"",IF(ISNUMBER($O17),$O17,$AI17))</f>
        <v>-180</v>
      </c>
      <c r="AL17" s="55">
        <f>IF($AM17=0,"",IF(ISNUMBER($P17),$P17,N($AJ17)))</f>
        <v>2</v>
      </c>
      <c r="AM17" s="56">
        <f>IF(AND($A17&lt;&gt;"",$E17&lt;&gt;"",OR(AND(ISNUMBER($G17),ISNUMBER($H17),ISNUMBER($K17)),ISNUMBER($O17))),1,0)</f>
        <v>1</v>
      </c>
      <c r="AN17" s="57">
        <f>IF($A17="","",$A17-WEEKDAY($A17,3))</f>
        <v>46286</v>
      </c>
      <c r="AO17" s="56">
        <f>IF($A17="","",WEEKDAY($A17,2))</f>
        <v>5</v>
      </c>
      <c r="AP17" s="55">
        <f>IF(OR($AM17=0,$C17=""),"",IFERROR(N(INDEX(Accounts!$E$7:$E$16,MATCH($C17,Accounts!$B$7:$B$16,0))),0)+SUMIFS($Q$6:$Q17,$C$6:$C17,$C17))</f>
        <v>50454.5</v>
      </c>
      <c r="AQ17" s="55">
        <f>IF(OR($AM17=0,$C17=""),"",SUMIFS($Q$6:$Q$1005,$C$6:$C$1005,$C17,$A$6:$A$1005,$A17))</f>
        <v>-395.5</v>
      </c>
      <c r="AR17" s="55">
        <f>IF(OR($AM17=0,$C17=""),"",IFERROR(N(INDEX(Accounts!$E$7:$E$16,MATCH($C17,Accounts!$B$7:$B$16,0))),0)+SUMIFS($Q$6:$Q$1005,$C$6:$C$1005,$C17,$A$6:$A$1005,"&lt;="&amp;$A17))</f>
        <v>50363</v>
      </c>
      <c r="AS17" s="56">
        <f>IF(OR($AM17=0,$Q17=""),0,IF(AND($A17&gt;=Lists!$W$6,$A17&lt;=Lists!$W$7,OR(Dashboard!$D$6="All accounts",$C17=Dashboard!$D$6),OR(Dashboard!$D$7="All markets",$AF17=Dashboard!$D$7)),1,0))</f>
        <v>1</v>
      </c>
      <c r="AT17" s="55">
        <f>IF($AS17=1,N(AT16)+$Q17,N(AT16))</f>
        <v>463.965</v>
      </c>
      <c r="AU17" s="55">
        <f>MAX(N(AU16),$AT17)</f>
        <v>817.204</v>
      </c>
      <c r="AV17" s="55">
        <f>$AT17-$AU17</f>
        <v>-353.239</v>
      </c>
      <c r="AW17" s="56">
        <f>IF($AS17=1,IF($S17="Win",N(AW16)+1,IF($S17="Loss",0,N(AW16))),N(AW16))</f>
        <v>0</v>
      </c>
      <c r="AX17" s="56">
        <f>IF($AS17=1,IF($S17="Loss",N(AX16)+1,IF($S17="Win",0,N(AX16))),N(AX16))</f>
        <v>3</v>
      </c>
      <c r="AY17" s="56">
        <f>IF($AS17=1,COUNTIF($AS$6:$AS17,1),"")</f>
        <v>12</v>
      </c>
      <c r="AZ17" s="56">
        <f>MIN(11,N(Lists!$W$8))</f>
        <v>11</v>
      </c>
      <c r="BA17" s="56">
        <f>IF($AS17=1,IF(COUNTIFS($A$6:$A17,$A17,$AS$6:$AS17,1)=1,1,0),0)</f>
        <v>0</v>
      </c>
      <c r="BB17" s="55" t="str">
        <f>IF($BA17=1,SUMIFS($Q$6:$Q$1005,$A$6:$A$1005,$A17,$AS$6:$AS$1005,1),"")</f>
        <v/>
      </c>
      <c r="BC17" s="56">
        <f>IF(ISNUMBER($R17),1,0)</f>
        <v>1</v>
      </c>
      <c r="BD17" s="55" t="str">
        <f>IF(ISNUMBER($U17),$U17*$V17,"")</f>
        <v/>
      </c>
      <c r="BE17" s="56">
        <f>IF($AM17=0,"",IFERROR(MATCH($AF17&amp;"|"&amp;UPPER(TRIM($E17)),Lists!$A$6:$A$205,0),0))</f>
        <v>14</v>
      </c>
      <c r="BF17" s="56">
        <f>IF($AM17=0,"",IFERROR(MATCH($AF17,Settings!$B$14:$B$18,0),IFERROR(MATCH(Settings!$C$6,Settings!$B$14:$B$18,0),1)))</f>
        <v>1</v>
      </c>
      <c r="BG17" s="58" t="str">
        <f>IF($AM17=0,"",IF(NOT(ISNUMBER($I17)),"No stop; ","")&amp;IF(AND(ISNUMBER($H17),ISNUMBER($I17)),IF(OR(AND($F17&lt;&gt;"Short",$I17&gt;=$H17),AND($F17="Short",$I17&lt;=$H17)),"Stop on wrong side; ",""),"")&amp;IF($F17="","No direction; ","")&amp;IF(AND(ISNUMBER(Settings!$C$22),ISNUMBER($V17)),IF($V17&gt;Settings!$C$22,"Risk over max $; ",""),"")&amp;IF(AND(ISNUMBER(Settings!$C$23),ISNUMBER($V17),ISNUMBER($AP17),IFERROR(N(INDEX(Accounts!$E$7:$E$16,MATCH($C17,Accounts!$B$7:$B$16,0))),0)&gt;0),IF($V17&gt;Settings!$C$23*($AP17-N($Q17)),"Risk over max %; ",""),"")&amp;IF(AND(ISNUMBER(Settings!$C$24),ISNUMBER($N17)),IF($N17&gt;Settings!$C$24,"Leverage over max; ",""),"")&amp;IF(AND(ISNUMBER(Settings!$C$27),ISNUMBER($T17)),IF($T17&lt;Settings!$C$27,"R:R below min; ",""),"")&amp;IF(ISNUMBER(Settings!$C$25),IF(COUNTIFS($A$6:$A17,$A17,$AM$6:$AM17,1)&gt;Settings!$C$25,"Over max trades/day; ",""),"")&amp;IF(ISNUMBER(Settings!$C$26),IF(SUMIFS($Q$5:$Q16,$A$5:$A16,$A17)&lt;=-Settings!$C$26,"Traded after daily max loss; ",""),"")&amp;IF(AND($AG17="",NOT(ISNUMBER($O17))),"Symbol not in Instruments; ","")&amp;IF(AND($AH17="",NOT(ISNUMBER($O17))),"Forex cross: type Gross P&amp;L; ",""))</f>
        <v/>
      </c>
      <c r="BH17" s="56">
        <f>IF(ISNUMBER($Q17),1,0)</f>
        <v>1</v>
      </c>
      <c r="BI17" s="56">
        <f>IF($Y17="",0,1)</f>
        <v>1</v>
      </c>
      <c r="BJ17" s="56">
        <f>IF($AB17="",0,1)</f>
        <v>1</v>
      </c>
      <c r="BK17" s="56">
        <f>IF(AND($BH17=1,$W17&lt;&gt;"OK"),1,0)</f>
        <v>0</v>
      </c>
      <c r="BL17" s="55">
        <f>IF(N($AZ17)=0,0,IFERROR(INDEX($AT$6:$AT$1005,MATCH($AZ17,$AY$6:$AY$1005,0)),0))</f>
        <v>645.965</v>
      </c>
      <c r="BM17" s="56">
        <f>IF(ISNUMBER(SEARCH("daily max loss",$BG17)),1,0)</f>
        <v>0</v>
      </c>
    </row>
    <row r="18" ht="30" customHeight="1">
      <c r="A18" s="38" t="n">
        <v>46290</v>
      </c>
      <c r="B18" s="39" t="n">
        <v>0.4444444444444444</v>
      </c>
      <c r="C18" s="40" t="inlineStr">
        <is>
          <t>Prop Eval 50K</t>
        </is>
      </c>
      <c r="D18" s="41" t="n"/>
      <c r="E18" s="41" t="inlineStr">
        <is>
          <t>MES</t>
        </is>
      </c>
      <c r="F18" s="41" t="inlineStr">
        <is>
          <t>Short</t>
        </is>
      </c>
      <c r="G18" s="41" t="n">
        <v>3</v>
      </c>
      <c r="H18" s="42" t="n">
        <v>7701.25</v>
      </c>
      <c r="I18" s="42" t="n">
        <v>7708.75</v>
      </c>
      <c r="J18" s="42" t="n">
        <v>7686.25</v>
      </c>
      <c r="K18" s="42" t="n">
        <v>7708.75</v>
      </c>
      <c r="L18" s="41" t="inlineStr">
        <is>
          <t>Market</t>
        </is>
      </c>
      <c r="M18" s="41" t="inlineStr">
        <is>
          <t>Stop loss</t>
        </is>
      </c>
      <c r="N18" s="41" t="n"/>
      <c r="O18" s="43" t="n"/>
      <c r="P18" s="43" t="n"/>
      <c r="Q18" s="44">
        <f>IF($AM18=0,"",IF(ISNUMBER($AK18),$AK18-N($AL18),""))</f>
        <v>-115.5</v>
      </c>
      <c r="R18" s="45">
        <f>IF(OR($Q18="",NOT(ISNUMBER($V18))),"",$AK18/$V18)</f>
        <v>-1</v>
      </c>
      <c r="S18" s="46" t="str">
        <f>IF($Q18="","",IF(AND(ISNUMBER($R18),ABS(N($R18))&lt;N(Settings!$C$8)),"Scratch",IF($Q18&gt;0,"Win",IF($Q18&lt;0,"Loss","Scratch"))))</f>
        <v>Loss</v>
      </c>
      <c r="T18" s="47">
        <f>IF(OR($AM18=0,NOT(ISNUMBER($H18)),NOT(ISNUMBER($I18)),NOT(ISNUMBER($J18))),"",IF($H18=$I18,"",ROUND(ABS($J18-$H18)/ABS($H18-$I18),6)))</f>
        <v>2</v>
      </c>
      <c r="U18" s="48" t="str">
        <f>IF(OR($S18&lt;&gt;"Win",NOT(ISNUMBER($T18)),NOT(ISNUMBER($R18))),"",MAX(0,$T18-$R18))</f>
        <v/>
      </c>
      <c r="V18" s="49">
        <f>IF(OR($AM18=0,NOT(ISNUMBER($H18)),NOT(ISNUMBER($I18)),NOT(ISNUMBER($G18))),"",IF(OR($AG18="",$AH18=""),"",IF(ROUND(ABS($H18-$I18)*ABS($G18)*$AG18*$AH18,6)=0,"",ROUND(ABS($H18-$I18)*ABS($G18)*$AG18*$AH18,6))))</f>
        <v>112.5</v>
      </c>
      <c r="W18" s="50" t="str">
        <f>IF($AM18=0,"",IF($BG18="","OK",LEFT($BG18,LEN($BG18)-2)))</f>
        <v>OK</v>
      </c>
      <c r="X18" s="41" t="inlineStr">
        <is>
          <t>NY Open</t>
        </is>
      </c>
      <c r="Y18" s="40" t="n"/>
      <c r="Z18" s="41" t="inlineStr">
        <is>
          <t>No</t>
        </is>
      </c>
      <c r="AA18" s="41" t="inlineStr">
        <is>
          <t>Tilted</t>
        </is>
      </c>
      <c r="AB18" s="40" t="inlineStr">
        <is>
          <t>No setup (impulse)</t>
        </is>
      </c>
      <c r="AC18" s="51" t="inlineStr">
        <is>
          <t>Just clicked</t>
        </is>
      </c>
      <c r="AD18" s="51" t="inlineStr">
        <is>
          <t>Tilted. Should have stopped after the second loss.</t>
        </is>
      </c>
      <c r="AE18" s="40" t="n"/>
      <c r="AF18" s="52" t="str">
        <f>IF($AM18=0,"",IF($D18&lt;&gt;"",$D18,IF(IFERROR(INDEX(Accounts!$C$7:$C$16,MATCH($C18,Accounts!$B$7:$B$16,0))&amp;"","")&lt;&gt;"",INDEX(Accounts!$C$7:$C$16,MATCH($C18,Accounts!$B$7:$B$16,0)),Settings!$C$6)))</f>
        <v>Futures</v>
      </c>
      <c r="AG18" s="53">
        <f>IF($AM18=0,"",IF(AND($BE18&gt;0,N(INDEX(Instruments!$D$6:$D$205,MAX(1,$BE18)))&gt;0),INDEX(Instruments!$D$6:$D$205,MAX(1,$BE18)),IF(N(INDEX(Settings!$D$14:$D$18,$BF18))&gt;0,INDEX(Settings!$D$14:$D$18,$BF18),"")))</f>
        <v>5</v>
      </c>
      <c r="AH18" s="54">
        <f>IF($AM18=0,"",IF($AF18&lt;&gt;"Forex",1,IF(MID(UPPER(SUBSTITUTE(TRIM($E18),"/","")),4,3)=UPPER(TRIM(Settings!$C$7)),1,IF(LEFT(UPPER(SUBSTITUTE(TRIM($E18),"/","")),3)=UPPER(TRIM(Settings!$C$7)),IF(AND(ISNUMBER($K18),N($K18)&lt;&gt;0),1/$K18,""),""))))</f>
        <v>1</v>
      </c>
      <c r="AI18" s="55">
        <f>IF($AM18=0,"",IF(OR(NOT(ISNUMBER($H18)),NOT(ISNUMBER($K18)),NOT(ISNUMBER($G18)),$AG18="",$AH18=""),"",ROUND(($K18-$H18)*IF($F18="Short",-1,1)*$G18*$AG18*$AH18,6)))</f>
        <v>-112.5</v>
      </c>
      <c r="AJ18" s="55">
        <f>IF($AM18=0,"",IF(INDEX(Settings!$E$14:$E$18,$BF18)="% of notional",IF(OR($AG18="",NOT(ISNUMBER($H18)),NOT(ISNUMBER($G18))),"",ROUND(ABS($H18*$G18*$AG18*N($AH18))*IF($L18="Limit",N(INDEX(Settings!$G$14:$G$18,$BF18)),N(INDEX(Settings!$H$14:$H$18,$BF18)))+IF(ISNUMBER($K18),ABS($K18*$G18*$AG18*N($AH18))*IF($M18="Target",N(INDEX(Settings!$G$14:$G$18,$BF18)),N(INDEX(Settings!$H$14:$H$18,$BF18))),0),6)),IF(NOT(ISNUMBER($G18)),"",ROUND(ABS($G18)*2*IF(AND($BE18&gt;0,ISNUMBER(INDEX(Instruments!$G$6:$G$205,MAX(1,$BE18)))),INDEX(Instruments!$G$6:$G$205,MAX(1,$BE18)),N(INDEX(Settings!$F$14:$F$18,$BF18))),6))))</f>
        <v>3</v>
      </c>
      <c r="AK18" s="55">
        <f>IF($AM18=0,"",IF(ISNUMBER($O18),$O18,$AI18))</f>
        <v>-112.5</v>
      </c>
      <c r="AL18" s="55">
        <f>IF($AM18=0,"",IF(ISNUMBER($P18),$P18,N($AJ18)))</f>
        <v>3</v>
      </c>
      <c r="AM18" s="56">
        <f>IF(AND($A18&lt;&gt;"",$E18&lt;&gt;"",OR(AND(ISNUMBER($G18),ISNUMBER($H18),ISNUMBER($K18)),ISNUMBER($O18))),1,0)</f>
        <v>1</v>
      </c>
      <c r="AN18" s="57">
        <f>IF($A18="","",$A18-WEEKDAY($A18,3))</f>
        <v>46286</v>
      </c>
      <c r="AO18" s="56">
        <f>IF($A18="","",WEEKDAY($A18,2))</f>
        <v>5</v>
      </c>
      <c r="AP18" s="55">
        <f>IF(OR($AM18=0,$C18=""),"",IFERROR(N(INDEX(Accounts!$E$7:$E$16,MATCH($C18,Accounts!$B$7:$B$16,0))),0)+SUMIFS($Q$6:$Q18,$C$6:$C18,$C18))</f>
        <v>50339</v>
      </c>
      <c r="AQ18" s="55">
        <f>IF(OR($AM18=0,$C18=""),"",SUMIFS($Q$6:$Q$1005,$C$6:$C$1005,$C18,$A$6:$A$1005,$A18))</f>
        <v>-395.5</v>
      </c>
      <c r="AR18" s="55">
        <f>IF(OR($AM18=0,$C18=""),"",IFERROR(N(INDEX(Accounts!$E$7:$E$16,MATCH($C18,Accounts!$B$7:$B$16,0))),0)+SUMIFS($Q$6:$Q$1005,$C$6:$C$1005,$C18,$A$6:$A$1005,"&lt;="&amp;$A18))</f>
        <v>50363</v>
      </c>
      <c r="AS18" s="56">
        <f>IF(OR($AM18=0,$Q18=""),0,IF(AND($A18&gt;=Lists!$W$6,$A18&lt;=Lists!$W$7,OR(Dashboard!$D$6="All accounts",$C18=Dashboard!$D$6),OR(Dashboard!$D$7="All markets",$AF18=Dashboard!$D$7)),1,0))</f>
        <v>1</v>
      </c>
      <c r="AT18" s="55">
        <f>IF($AS18=1,N(AT17)+$Q18,N(AT17))</f>
        <v>348.465</v>
      </c>
      <c r="AU18" s="55">
        <f>MAX(N(AU17),$AT18)</f>
        <v>817.204</v>
      </c>
      <c r="AV18" s="55">
        <f>$AT18-$AU18</f>
        <v>-468.739</v>
      </c>
      <c r="AW18" s="56">
        <f>IF($AS18=1,IF($S18="Win",N(AW17)+1,IF($S18="Loss",0,N(AW17))),N(AW17))</f>
        <v>0</v>
      </c>
      <c r="AX18" s="56">
        <f>IF($AS18=1,IF($S18="Loss",N(AX17)+1,IF($S18="Win",0,N(AX17))),N(AX17))</f>
        <v>4</v>
      </c>
      <c r="AY18" s="56">
        <f>IF($AS18=1,COUNTIF($AS$6:$AS18,1),"")</f>
        <v>13</v>
      </c>
      <c r="AZ18" s="56">
        <f>MIN(12,N(Lists!$W$8))</f>
        <v>12</v>
      </c>
      <c r="BA18" s="56">
        <f>IF($AS18=1,IF(COUNTIFS($A$6:$A18,$A18,$AS$6:$AS18,1)=1,1,0),0)</f>
        <v>0</v>
      </c>
      <c r="BB18" s="55" t="str">
        <f>IF($BA18=1,SUMIFS($Q$6:$Q$1005,$A$6:$A$1005,$A18,$AS$6:$AS$1005,1),"")</f>
        <v/>
      </c>
      <c r="BC18" s="56">
        <f>IF(ISNUMBER($R18),1,0)</f>
        <v>1</v>
      </c>
      <c r="BD18" s="55" t="str">
        <f>IF(ISNUMBER($U18),$U18*$V18,"")</f>
        <v/>
      </c>
      <c r="BE18" s="56">
        <f>IF($AM18=0,"",IFERROR(MATCH($AF18&amp;"|"&amp;UPPER(TRIM($E18)),Lists!$A$6:$A$205,0),0))</f>
        <v>1</v>
      </c>
      <c r="BF18" s="56">
        <f>IF($AM18=0,"",IFERROR(MATCH($AF18,Settings!$B$14:$B$18,0),IFERROR(MATCH(Settings!$C$6,Settings!$B$14:$B$18,0),1)))</f>
        <v>1</v>
      </c>
      <c r="BG18" s="58" t="str">
        <f>IF($AM18=0,"",IF(NOT(ISNUMBER($I18)),"No stop; ","")&amp;IF(AND(ISNUMBER($H18),ISNUMBER($I18)),IF(OR(AND($F18&lt;&gt;"Short",$I18&gt;=$H18),AND($F18="Short",$I18&lt;=$H18)),"Stop on wrong side; ",""),"")&amp;IF($F18="","No direction; ","")&amp;IF(AND(ISNUMBER(Settings!$C$22),ISNUMBER($V18)),IF($V18&gt;Settings!$C$22,"Risk over max $; ",""),"")&amp;IF(AND(ISNUMBER(Settings!$C$23),ISNUMBER($V18),ISNUMBER($AP18),IFERROR(N(INDEX(Accounts!$E$7:$E$16,MATCH($C18,Accounts!$B$7:$B$16,0))),0)&gt;0),IF($V18&gt;Settings!$C$23*($AP18-N($Q18)),"Risk over max %; ",""),"")&amp;IF(AND(ISNUMBER(Settings!$C$24),ISNUMBER($N18)),IF($N18&gt;Settings!$C$24,"Leverage over max; ",""),"")&amp;IF(AND(ISNUMBER(Settings!$C$27),ISNUMBER($T18)),IF($T18&lt;Settings!$C$27,"R:R below min; ",""),"")&amp;IF(ISNUMBER(Settings!$C$25),IF(COUNTIFS($A$6:$A18,$A18,$AM$6:$AM18,1)&gt;Settings!$C$25,"Over max trades/day; ",""),"")&amp;IF(ISNUMBER(Settings!$C$26),IF(SUMIFS($Q$5:$Q17,$A$5:$A17,$A18)&lt;=-Settings!$C$26,"Traded after daily max loss; ",""),"")&amp;IF(AND($AG18="",NOT(ISNUMBER($O18))),"Symbol not in Instruments; ","")&amp;IF(AND($AH18="",NOT(ISNUMBER($O18))),"Forex cross: type Gross P&amp;L; ",""))</f>
        <v/>
      </c>
      <c r="BH18" s="56">
        <f>IF(ISNUMBER($Q18),1,0)</f>
        <v>1</v>
      </c>
      <c r="BI18" s="56">
        <f>IF($Y18="",0,1)</f>
        <v>0</v>
      </c>
      <c r="BJ18" s="56">
        <f>IF($AB18="",0,1)</f>
        <v>1</v>
      </c>
      <c r="BK18" s="56">
        <f>IF(AND($BH18=1,$W18&lt;&gt;"OK"),1,0)</f>
        <v>0</v>
      </c>
      <c r="BL18" s="55">
        <f>IF(N($AZ18)=0,0,IFERROR(INDEX($AT$6:$AT$1005,MATCH($AZ18,$AY$6:$AY$1005,0)),0))</f>
        <v>463.965</v>
      </c>
      <c r="BM18" s="56">
        <f>IF(ISNUMBER(SEARCH("daily max loss",$BG18)),1,0)</f>
        <v>0</v>
      </c>
    </row>
    <row r="19" ht="30" customHeight="1">
      <c r="A19" s="38" t="n">
        <v>46290</v>
      </c>
      <c r="B19" s="39" t="n">
        <v>0.4791666666666667</v>
      </c>
      <c r="C19" s="40" t="inlineStr">
        <is>
          <t>Prop Eval 50K</t>
        </is>
      </c>
      <c r="D19" s="41" t="n"/>
      <c r="E19" s="41" t="inlineStr">
        <is>
          <t>MNQ</t>
        </is>
      </c>
      <c r="F19" s="41" t="inlineStr">
        <is>
          <t>Long</t>
        </is>
      </c>
      <c r="G19" s="41" t="n">
        <v>1</v>
      </c>
      <c r="H19" s="42" t="n">
        <v>29700</v>
      </c>
      <c r="I19" s="42" t="n">
        <v>29670</v>
      </c>
      <c r="J19" s="42" t="n">
        <v>29760</v>
      </c>
      <c r="K19" s="42" t="n">
        <v>29712.5</v>
      </c>
      <c r="L19" s="41" t="inlineStr">
        <is>
          <t>Market</t>
        </is>
      </c>
      <c r="M19" s="41" t="inlineStr">
        <is>
          <t>Manual</t>
        </is>
      </c>
      <c r="N19" s="41" t="n"/>
      <c r="O19" s="43" t="n"/>
      <c r="P19" s="43" t="n"/>
      <c r="Q19" s="44">
        <f>IF($AM19=0,"",IF(ISNUMBER($AK19),$AK19-N($AL19),""))</f>
        <v>24</v>
      </c>
      <c r="R19" s="45">
        <f>IF(OR($Q19="",NOT(ISNUMBER($V19))),"",$AK19/$V19)</f>
        <v>0.416666666666667</v>
      </c>
      <c r="S19" s="46" t="str">
        <f>IF($Q19="","",IF(AND(ISNUMBER($R19),ABS(N($R19))&lt;N(Settings!$C$8)),"Scratch",IF($Q19&gt;0,"Win",IF($Q19&lt;0,"Loss","Scratch"))))</f>
        <v>Win</v>
      </c>
      <c r="T19" s="47">
        <f>IF(OR($AM19=0,NOT(ISNUMBER($H19)),NOT(ISNUMBER($I19)),NOT(ISNUMBER($J19))),"",IF($H19=$I19,"",ROUND(ABS($J19-$H19)/ABS($H19-$I19),6)))</f>
        <v>2</v>
      </c>
      <c r="U19" s="48">
        <f>IF(OR($S19&lt;&gt;"Win",NOT(ISNUMBER($T19)),NOT(ISNUMBER($R19))),"",MAX(0,$T19-$R19))</f>
        <v>1.58333333333333</v>
      </c>
      <c r="V19" s="49">
        <f>IF(OR($AM19=0,NOT(ISNUMBER($H19)),NOT(ISNUMBER($I19)),NOT(ISNUMBER($G19))),"",IF(OR($AG19="",$AH19=""),"",IF(ROUND(ABS($H19-$I19)*ABS($G19)*$AG19*$AH19,6)=0,"",ROUND(ABS($H19-$I19)*ABS($G19)*$AG19*$AH19,6))))</f>
        <v>60</v>
      </c>
      <c r="W19" s="50" t="str">
        <f>IF($AM19=0,"",IF($BG19="","OK",LEFT($BG19,LEN($BG19)-2)))</f>
        <v>Traded after daily max loss</v>
      </c>
      <c r="X19" s="41" t="inlineStr">
        <is>
          <t>NY Midday</t>
        </is>
      </c>
      <c r="Y19" s="40" t="n"/>
      <c r="Z19" s="41" t="inlineStr">
        <is>
          <t>No</t>
        </is>
      </c>
      <c r="AA19" s="41" t="inlineStr">
        <is>
          <t>Tilted</t>
        </is>
      </c>
      <c r="AB19" s="40" t="inlineStr">
        <is>
          <t>Traded after max loss</t>
        </is>
      </c>
      <c r="AC19" s="51" t="inlineStr">
        <is>
          <t>Trying to make it back</t>
        </is>
      </c>
      <c r="AD19" s="51" t="inlineStr">
        <is>
          <t>Past my daily max loss. Never again.</t>
        </is>
      </c>
      <c r="AE19" s="40" t="n"/>
      <c r="AF19" s="52" t="str">
        <f>IF($AM19=0,"",IF($D19&lt;&gt;"",$D19,IF(IFERROR(INDEX(Accounts!$C$7:$C$16,MATCH($C19,Accounts!$B$7:$B$16,0))&amp;"","")&lt;&gt;"",INDEX(Accounts!$C$7:$C$16,MATCH($C19,Accounts!$B$7:$B$16,0)),Settings!$C$6)))</f>
        <v>Futures</v>
      </c>
      <c r="AG19" s="53">
        <f>IF($AM19=0,"",IF(AND($BE19&gt;0,N(INDEX(Instruments!$D$6:$D$205,MAX(1,$BE19)))&gt;0),INDEX(Instruments!$D$6:$D$205,MAX(1,$BE19)),IF(N(INDEX(Settings!$D$14:$D$18,$BF19))&gt;0,INDEX(Settings!$D$14:$D$18,$BF19),"")))</f>
        <v>2</v>
      </c>
      <c r="AH19" s="54">
        <f>IF($AM19=0,"",IF($AF19&lt;&gt;"Forex",1,IF(MID(UPPER(SUBSTITUTE(TRIM($E19),"/","")),4,3)=UPPER(TRIM(Settings!$C$7)),1,IF(LEFT(UPPER(SUBSTITUTE(TRIM($E19),"/","")),3)=UPPER(TRIM(Settings!$C$7)),IF(AND(ISNUMBER($K19),N($K19)&lt;&gt;0),1/$K19,""),""))))</f>
        <v>1</v>
      </c>
      <c r="AI19" s="55">
        <f>IF($AM19=0,"",IF(OR(NOT(ISNUMBER($H19)),NOT(ISNUMBER($K19)),NOT(ISNUMBER($G19)),$AG19="",$AH19=""),"",ROUND(($K19-$H19)*IF($F19="Short",-1,1)*$G19*$AG19*$AH19,6)))</f>
        <v>25</v>
      </c>
      <c r="AJ19" s="55">
        <f>IF($AM19=0,"",IF(INDEX(Settings!$E$14:$E$18,$BF19)="% of notional",IF(OR($AG19="",NOT(ISNUMBER($H19)),NOT(ISNUMBER($G19))),"",ROUND(ABS($H19*$G19*$AG19*N($AH19))*IF($L19="Limit",N(INDEX(Settings!$G$14:$G$18,$BF19)),N(INDEX(Settings!$H$14:$H$18,$BF19)))+IF(ISNUMBER($K19),ABS($K19*$G19*$AG19*N($AH19))*IF($M19="Target",N(INDEX(Settings!$G$14:$G$18,$BF19)),N(INDEX(Settings!$H$14:$H$18,$BF19))),0),6)),IF(NOT(ISNUMBER($G19)),"",ROUND(ABS($G19)*2*IF(AND($BE19&gt;0,ISNUMBER(INDEX(Instruments!$G$6:$G$205,MAX(1,$BE19)))),INDEX(Instruments!$G$6:$G$205,MAX(1,$BE19)),N(INDEX(Settings!$F$14:$F$18,$BF19))),6))))</f>
        <v>1</v>
      </c>
      <c r="AK19" s="55">
        <f>IF($AM19=0,"",IF(ISNUMBER($O19),$O19,$AI19))</f>
        <v>25</v>
      </c>
      <c r="AL19" s="55">
        <f>IF($AM19=0,"",IF(ISNUMBER($P19),$P19,N($AJ19)))</f>
        <v>1</v>
      </c>
      <c r="AM19" s="56">
        <f>IF(AND($A19&lt;&gt;"",$E19&lt;&gt;"",OR(AND(ISNUMBER($G19),ISNUMBER($H19),ISNUMBER($K19)),ISNUMBER($O19))),1,0)</f>
        <v>1</v>
      </c>
      <c r="AN19" s="57">
        <f>IF($A19="","",$A19-WEEKDAY($A19,3))</f>
        <v>46286</v>
      </c>
      <c r="AO19" s="56">
        <f>IF($A19="","",WEEKDAY($A19,2))</f>
        <v>5</v>
      </c>
      <c r="AP19" s="55">
        <f>IF(OR($AM19=0,$C19=""),"",IFERROR(N(INDEX(Accounts!$E$7:$E$16,MATCH($C19,Accounts!$B$7:$B$16,0))),0)+SUMIFS($Q$6:$Q19,$C$6:$C19,$C19))</f>
        <v>50363</v>
      </c>
      <c r="AQ19" s="55">
        <f>IF(OR($AM19=0,$C19=""),"",SUMIFS($Q$6:$Q$1005,$C$6:$C$1005,$C19,$A$6:$A$1005,$A19))</f>
        <v>-395.5</v>
      </c>
      <c r="AR19" s="55">
        <f>IF(OR($AM19=0,$C19=""),"",IFERROR(N(INDEX(Accounts!$E$7:$E$16,MATCH($C19,Accounts!$B$7:$B$16,0))),0)+SUMIFS($Q$6:$Q$1005,$C$6:$C$1005,$C19,$A$6:$A$1005,"&lt;="&amp;$A19))</f>
        <v>50363</v>
      </c>
      <c r="AS19" s="56">
        <f>IF(OR($AM19=0,$Q19=""),0,IF(AND($A19&gt;=Lists!$W$6,$A19&lt;=Lists!$W$7,OR(Dashboard!$D$6="All accounts",$C19=Dashboard!$D$6),OR(Dashboard!$D$7="All markets",$AF19=Dashboard!$D$7)),1,0))</f>
        <v>1</v>
      </c>
      <c r="AT19" s="55">
        <f>IF($AS19=1,N(AT18)+$Q19,N(AT18))</f>
        <v>372.465</v>
      </c>
      <c r="AU19" s="55">
        <f>MAX(N(AU18),$AT19)</f>
        <v>817.204</v>
      </c>
      <c r="AV19" s="55">
        <f>$AT19-$AU19</f>
        <v>-444.739</v>
      </c>
      <c r="AW19" s="56">
        <f>IF($AS19=1,IF($S19="Win",N(AW18)+1,IF($S19="Loss",0,N(AW18))),N(AW18))</f>
        <v>1</v>
      </c>
      <c r="AX19" s="56">
        <f>IF($AS19=1,IF($S19="Loss",N(AX18)+1,IF($S19="Win",0,N(AX18))),N(AX18))</f>
        <v>0</v>
      </c>
      <c r="AY19" s="56">
        <f>IF($AS19=1,COUNTIF($AS$6:$AS19,1),"")</f>
        <v>14</v>
      </c>
      <c r="AZ19" s="56">
        <f>MIN(13,N(Lists!$W$8))</f>
        <v>13</v>
      </c>
      <c r="BA19" s="56">
        <f>IF($AS19=1,IF(COUNTIFS($A$6:$A19,$A19,$AS$6:$AS19,1)=1,1,0),0)</f>
        <v>0</v>
      </c>
      <c r="BB19" s="55" t="str">
        <f>IF($BA19=1,SUMIFS($Q$6:$Q$1005,$A$6:$A$1005,$A19,$AS$6:$AS$1005,1),"")</f>
        <v/>
      </c>
      <c r="BC19" s="56">
        <f>IF(ISNUMBER($R19),1,0)</f>
        <v>1</v>
      </c>
      <c r="BD19" s="55">
        <f>IF(ISNUMBER($U19),$U19*$V19,"")</f>
        <v>95</v>
      </c>
      <c r="BE19" s="56">
        <f>IF($AM19=0,"",IFERROR(MATCH($AF19&amp;"|"&amp;UPPER(TRIM($E19)),Lists!$A$6:$A$205,0),0))</f>
        <v>3</v>
      </c>
      <c r="BF19" s="56">
        <f>IF($AM19=0,"",IFERROR(MATCH($AF19,Settings!$B$14:$B$18,0),IFERROR(MATCH(Settings!$C$6,Settings!$B$14:$B$18,0),1)))</f>
        <v>1</v>
      </c>
      <c r="BG19" s="58" t="str">
        <f>IF($AM19=0,"",IF(NOT(ISNUMBER($I19)),"No stop; ","")&amp;IF(AND(ISNUMBER($H19),ISNUMBER($I19)),IF(OR(AND($F19&lt;&gt;"Short",$I19&gt;=$H19),AND($F19="Short",$I19&lt;=$H19)),"Stop on wrong side; ",""),"")&amp;IF($F19="","No direction; ","")&amp;IF(AND(ISNUMBER(Settings!$C$22),ISNUMBER($V19)),IF($V19&gt;Settings!$C$22,"Risk over max $; ",""),"")&amp;IF(AND(ISNUMBER(Settings!$C$23),ISNUMBER($V19),ISNUMBER($AP19),IFERROR(N(INDEX(Accounts!$E$7:$E$16,MATCH($C19,Accounts!$B$7:$B$16,0))),0)&gt;0),IF($V19&gt;Settings!$C$23*($AP19-N($Q19)),"Risk over max %; ",""),"")&amp;IF(AND(ISNUMBER(Settings!$C$24),ISNUMBER($N19)),IF($N19&gt;Settings!$C$24,"Leverage over max; ",""),"")&amp;IF(AND(ISNUMBER(Settings!$C$27),ISNUMBER($T19)),IF($T19&lt;Settings!$C$27,"R:R below min; ",""),"")&amp;IF(ISNUMBER(Settings!$C$25),IF(COUNTIFS($A$6:$A19,$A19,$AM$6:$AM19,1)&gt;Settings!$C$25,"Over max trades/day; ",""),"")&amp;IF(ISNUMBER(Settings!$C$26),IF(SUMIFS($Q$5:$Q18,$A$5:$A18,$A19)&lt;=-Settings!$C$26,"Traded after daily max loss; ",""),"")&amp;IF(AND($AG19="",NOT(ISNUMBER($O19))),"Symbol not in Instruments; ","")&amp;IF(AND($AH19="",NOT(ISNUMBER($O19))),"Forex cross: type Gross P&amp;L; ",""))</f>
        <v>Traded after daily max loss; </v>
      </c>
      <c r="BH19" s="56">
        <f>IF(ISNUMBER($Q19),1,0)</f>
        <v>1</v>
      </c>
      <c r="BI19" s="56">
        <f>IF($Y19="",0,1)</f>
        <v>0</v>
      </c>
      <c r="BJ19" s="56">
        <f>IF($AB19="",0,1)</f>
        <v>1</v>
      </c>
      <c r="BK19" s="56">
        <f>IF(AND($BH19=1,$W19&lt;&gt;"OK"),1,0)</f>
        <v>1</v>
      </c>
      <c r="BL19" s="55">
        <f>IF(N($AZ19)=0,0,IFERROR(INDEX($AT$6:$AT$1005,MATCH($AZ19,$AY$6:$AY$1005,0)),0))</f>
        <v>348.465</v>
      </c>
      <c r="BM19" s="56">
        <f>IF(ISNUMBER(SEARCH("daily max loss",$BG19)),1,0)</f>
        <v>1</v>
      </c>
    </row>
    <row r="20" ht="30" customHeight="1">
      <c r="A20" s="38" t="n">
        <v>46291</v>
      </c>
      <c r="B20" s="39" t="n">
        <v>0.4583333333333333</v>
      </c>
      <c r="C20" s="40" t="inlineStr">
        <is>
          <t>Crypto Main</t>
        </is>
      </c>
      <c r="D20" s="41" t="n"/>
      <c r="E20" s="41" t="inlineStr">
        <is>
          <t>SOLUSDT</t>
        </is>
      </c>
      <c r="F20" s="41" t="inlineStr">
        <is>
          <t>Long</t>
        </is>
      </c>
      <c r="G20" s="41" t="n">
        <v>24</v>
      </c>
      <c r="H20" s="42" t="n">
        <v>148.5</v>
      </c>
      <c r="I20" s="42" t="n">
        <v>146</v>
      </c>
      <c r="J20" s="42" t="n">
        <v>153.5</v>
      </c>
      <c r="K20" s="42" t="n">
        <v>152.8</v>
      </c>
      <c r="L20" s="41" t="inlineStr">
        <is>
          <t>Limit</t>
        </is>
      </c>
      <c r="M20" s="41" t="inlineStr">
        <is>
          <t>Manual</t>
        </is>
      </c>
      <c r="N20" s="41" t="n">
        <v>8</v>
      </c>
      <c r="O20" s="43" t="n"/>
      <c r="P20" s="43" t="n"/>
      <c r="Q20" s="44">
        <f>IF($AM20=0,"",IF(ISNUMBER($AK20),$AK20-N($AL20),""))</f>
        <v>100.28688</v>
      </c>
      <c r="R20" s="45">
        <f>IF(OR($Q20="",NOT(ISNUMBER($V20))),"",$AK20/$V20)</f>
        <v>1.72</v>
      </c>
      <c r="S20" s="46" t="str">
        <f>IF($Q20="","",IF(AND(ISNUMBER($R20),ABS(N($R20))&lt;N(Settings!$C$8)),"Scratch",IF($Q20&gt;0,"Win",IF($Q20&lt;0,"Loss","Scratch"))))</f>
        <v>Win</v>
      </c>
      <c r="T20" s="47">
        <f>IF(OR($AM20=0,NOT(ISNUMBER($H20)),NOT(ISNUMBER($I20)),NOT(ISNUMBER($J20))),"",IF($H20=$I20,"",ROUND(ABS($J20-$H20)/ABS($H20-$I20),6)))</f>
        <v>2</v>
      </c>
      <c r="U20" s="48">
        <f>IF(OR($S20&lt;&gt;"Win",NOT(ISNUMBER($T20)),NOT(ISNUMBER($R20))),"",MAX(0,$T20-$R20))</f>
        <v>0.28</v>
      </c>
      <c r="V20" s="49">
        <f>IF(OR($AM20=0,NOT(ISNUMBER($H20)),NOT(ISNUMBER($I20)),NOT(ISNUMBER($G20))),"",IF(OR($AG20="",$AH20=""),"",IF(ROUND(ABS($H20-$I20)*ABS($G20)*$AG20*$AH20,6)=0,"",ROUND(ABS($H20-$I20)*ABS($G20)*$AG20*$AH20,6))))</f>
        <v>60</v>
      </c>
      <c r="W20" s="50" t="str">
        <f>IF($AM20=0,"",IF($BG20="","OK",LEFT($BG20,LEN($BG20)-2)))</f>
        <v>Risk over max %</v>
      </c>
      <c r="X20" s="41" t="inlineStr">
        <is>
          <t>Weekend</t>
        </is>
      </c>
      <c r="Y20" s="40" t="inlineStr">
        <is>
          <t>Trend Pullback</t>
        </is>
      </c>
      <c r="Z20" s="41" t="inlineStr">
        <is>
          <t>No</t>
        </is>
      </c>
      <c r="AA20" s="41" t="inlineStr">
        <is>
          <t>Greedy</t>
        </is>
      </c>
      <c r="AB20" s="40" t="inlineStr">
        <is>
          <t>Oversized</t>
        </is>
      </c>
      <c r="AC20" s="51" t="inlineStr">
        <is>
          <t>Weekend trend pullback</t>
        </is>
      </c>
      <c r="AD20" s="51" t="inlineStr">
        <is>
          <t>Risked 1.2% - over my 1% rule.</t>
        </is>
      </c>
      <c r="AE20" s="40" t="n"/>
      <c r="AF20" s="52" t="str">
        <f>IF($AM20=0,"",IF($D20&lt;&gt;"",$D20,IF(IFERROR(INDEX(Accounts!$C$7:$C$16,MATCH($C20,Accounts!$B$7:$B$16,0))&amp;"","")&lt;&gt;"",INDEX(Accounts!$C$7:$C$16,MATCH($C20,Accounts!$B$7:$B$16,0)),Settings!$C$6)))</f>
        <v>Crypto</v>
      </c>
      <c r="AG20" s="53">
        <f>IF($AM20=0,"",IF(AND($BE20&gt;0,N(INDEX(Instruments!$D$6:$D$205,MAX(1,$BE20)))&gt;0),INDEX(Instruments!$D$6:$D$205,MAX(1,$BE20)),IF(N(INDEX(Settings!$D$14:$D$18,$BF20))&gt;0,INDEX(Settings!$D$14:$D$18,$BF20),"")))</f>
        <v>1</v>
      </c>
      <c r="AH20" s="54">
        <f>IF($AM20=0,"",IF($AF20&lt;&gt;"Forex",1,IF(MID(UPPER(SUBSTITUTE(TRIM($E20),"/","")),4,3)=UPPER(TRIM(Settings!$C$7)),1,IF(LEFT(UPPER(SUBSTITUTE(TRIM($E20),"/","")),3)=UPPER(TRIM(Settings!$C$7)),IF(AND(ISNUMBER($K20),N($K20)&lt;&gt;0),1/$K20,""),""))))</f>
        <v>1</v>
      </c>
      <c r="AI20" s="55">
        <f>IF($AM20=0,"",IF(OR(NOT(ISNUMBER($H20)),NOT(ISNUMBER($K20)),NOT(ISNUMBER($G20)),$AG20="",$AH20=""),"",ROUND(($K20-$H20)*IF($F20="Short",-1,1)*$G20*$AG20*$AH20,6)))</f>
        <v>103.2</v>
      </c>
      <c r="AJ20" s="55">
        <f>IF($AM20=0,"",IF(INDEX(Settings!$E$14:$E$18,$BF20)="% of notional",IF(OR($AG20="",NOT(ISNUMBER($H20)),NOT(ISNUMBER($G20))),"",ROUND(ABS($H20*$G20*$AG20*N($AH20))*IF($L20="Limit",N(INDEX(Settings!$G$14:$G$18,$BF20)),N(INDEX(Settings!$H$14:$H$18,$BF20)))+IF(ISNUMBER($K20),ABS($K20*$G20*$AG20*N($AH20))*IF($M20="Target",N(INDEX(Settings!$G$14:$G$18,$BF20)),N(INDEX(Settings!$H$14:$H$18,$BF20))),0),6)),IF(NOT(ISNUMBER($G20)),"",ROUND(ABS($G20)*2*IF(AND($BE20&gt;0,ISNUMBER(INDEX(Instruments!$G$6:$G$205,MAX(1,$BE20)))),INDEX(Instruments!$G$6:$G$205,MAX(1,$BE20)),N(INDEX(Settings!$F$14:$F$18,$BF20))),6))))</f>
        <v>2.91312</v>
      </c>
      <c r="AK20" s="55">
        <f>IF($AM20=0,"",IF(ISNUMBER($O20),$O20,$AI20))</f>
        <v>103.2</v>
      </c>
      <c r="AL20" s="55">
        <f>IF($AM20=0,"",IF(ISNUMBER($P20),$P20,N($AJ20)))</f>
        <v>2.91312</v>
      </c>
      <c r="AM20" s="56">
        <f>IF(AND($A20&lt;&gt;"",$E20&lt;&gt;"",OR(AND(ISNUMBER($G20),ISNUMBER($H20),ISNUMBER($K20)),ISNUMBER($O20))),1,0)</f>
        <v>1</v>
      </c>
      <c r="AN20" s="57">
        <f>IF($A20="","",$A20-WEEKDAY($A20,3))</f>
        <v>46286</v>
      </c>
      <c r="AO20" s="56">
        <f>IF($A20="","",WEEKDAY($A20,2))</f>
        <v>6</v>
      </c>
      <c r="AP20" s="55">
        <f>IF(OR($AM20=0,$C20=""),"",IFERROR(N(INDEX(Accounts!$E$7:$E$16,MATCH($C20,Accounts!$B$7:$B$16,0))),0)+SUMIFS($Q$6:$Q20,$C$6:$C20,$C20))</f>
        <v>5109.75188</v>
      </c>
      <c r="AQ20" s="55">
        <f>IF(OR($AM20=0,$C20=""),"",SUMIFS($Q$6:$Q$1005,$C$6:$C$1005,$C20,$A$6:$A$1005,$A20))</f>
        <v>100.28688</v>
      </c>
      <c r="AR20" s="55">
        <f>IF(OR($AM20=0,$C20=""),"",IFERROR(N(INDEX(Accounts!$E$7:$E$16,MATCH($C20,Accounts!$B$7:$B$16,0))),0)+SUMIFS($Q$6:$Q$1005,$C$6:$C$1005,$C20,$A$6:$A$1005,"&lt;="&amp;$A20))</f>
        <v>5109.75188</v>
      </c>
      <c r="AS20" s="56">
        <f>IF(OR($AM20=0,$Q20=""),0,IF(AND($A20&gt;=Lists!$W$6,$A20&lt;=Lists!$W$7,OR(Dashboard!$D$6="All accounts",$C20=Dashboard!$D$6),OR(Dashboard!$D$7="All markets",$AF20=Dashboard!$D$7)),1,0))</f>
        <v>1</v>
      </c>
      <c r="AT20" s="55">
        <f>IF($AS20=1,N(AT19)+$Q20,N(AT19))</f>
        <v>472.75188</v>
      </c>
      <c r="AU20" s="55">
        <f>MAX(N(AU19),$AT20)</f>
        <v>817.204</v>
      </c>
      <c r="AV20" s="55">
        <f>$AT20-$AU20</f>
        <v>-344.45212</v>
      </c>
      <c r="AW20" s="56">
        <f>IF($AS20=1,IF($S20="Win",N(AW19)+1,IF($S20="Loss",0,N(AW19))),N(AW19))</f>
        <v>2</v>
      </c>
      <c r="AX20" s="56">
        <f>IF($AS20=1,IF($S20="Loss",N(AX19)+1,IF($S20="Win",0,N(AX19))),N(AX19))</f>
        <v>0</v>
      </c>
      <c r="AY20" s="56">
        <f>IF($AS20=1,COUNTIF($AS$6:$AS20,1),"")</f>
        <v>15</v>
      </c>
      <c r="AZ20" s="56">
        <f>MIN(14,N(Lists!$W$8))</f>
        <v>14</v>
      </c>
      <c r="BA20" s="56">
        <f>IF($AS20=1,IF(COUNTIFS($A$6:$A20,$A20,$AS$6:$AS20,1)=1,1,0),0)</f>
        <v>1</v>
      </c>
      <c r="BB20" s="55">
        <f>IF($BA20=1,SUMIFS($Q$6:$Q$1005,$A$6:$A$1005,$A20,$AS$6:$AS$1005,1),"")</f>
        <v>100.28688</v>
      </c>
      <c r="BC20" s="56">
        <f>IF(ISNUMBER($R20),1,0)</f>
        <v>1</v>
      </c>
      <c r="BD20" s="55">
        <f>IF(ISNUMBER($U20),$U20*$V20,"")</f>
        <v>16.8</v>
      </c>
      <c r="BE20" s="56">
        <f>IF($AM20=0,"",IFERROR(MATCH($AF20&amp;"|"&amp;UPPER(TRIM($E20)),Lists!$A$6:$A$205,0),0))</f>
        <v>48</v>
      </c>
      <c r="BF20" s="56">
        <f>IF($AM20=0,"",IFERROR(MATCH($AF20,Settings!$B$14:$B$18,0),IFERROR(MATCH(Settings!$C$6,Settings!$B$14:$B$18,0),1)))</f>
        <v>5</v>
      </c>
      <c r="BG20" s="58" t="str">
        <f>IF($AM20=0,"",IF(NOT(ISNUMBER($I20)),"No stop; ","")&amp;IF(AND(ISNUMBER($H20),ISNUMBER($I20)),IF(OR(AND($F20&lt;&gt;"Short",$I20&gt;=$H20),AND($F20="Short",$I20&lt;=$H20)),"Stop on wrong side; ",""),"")&amp;IF($F20="","No direction; ","")&amp;IF(AND(ISNUMBER(Settings!$C$22),ISNUMBER($V20)),IF($V20&gt;Settings!$C$22,"Risk over max $; ",""),"")&amp;IF(AND(ISNUMBER(Settings!$C$23),ISNUMBER($V20),ISNUMBER($AP20),IFERROR(N(INDEX(Accounts!$E$7:$E$16,MATCH($C20,Accounts!$B$7:$B$16,0))),0)&gt;0),IF($V20&gt;Settings!$C$23*($AP20-N($Q20)),"Risk over max %; ",""),"")&amp;IF(AND(ISNUMBER(Settings!$C$24),ISNUMBER($N20)),IF($N20&gt;Settings!$C$24,"Leverage over max; ",""),"")&amp;IF(AND(ISNUMBER(Settings!$C$27),ISNUMBER($T20)),IF($T20&lt;Settings!$C$27,"R:R below min; ",""),"")&amp;IF(ISNUMBER(Settings!$C$25),IF(COUNTIFS($A$6:$A20,$A20,$AM$6:$AM20,1)&gt;Settings!$C$25,"Over max trades/day; ",""),"")&amp;IF(ISNUMBER(Settings!$C$26),IF(SUMIFS($Q$5:$Q19,$A$5:$A19,$A20)&lt;=-Settings!$C$26,"Traded after daily max loss; ",""),"")&amp;IF(AND($AG20="",NOT(ISNUMBER($O20))),"Symbol not in Instruments; ","")&amp;IF(AND($AH20="",NOT(ISNUMBER($O20))),"Forex cross: type Gross P&amp;L; ",""))</f>
        <v>Risk over max %; </v>
      </c>
      <c r="BH20" s="56">
        <f>IF(ISNUMBER($Q20),1,0)</f>
        <v>1</v>
      </c>
      <c r="BI20" s="56">
        <f>IF($Y20="",0,1)</f>
        <v>1</v>
      </c>
      <c r="BJ20" s="56">
        <f>IF($AB20="",0,1)</f>
        <v>1</v>
      </c>
      <c r="BK20" s="56">
        <f>IF(AND($BH20=1,$W20&lt;&gt;"OK"),1,0)</f>
        <v>1</v>
      </c>
      <c r="BL20" s="55">
        <f>IF(N($AZ20)=0,0,IFERROR(INDEX($AT$6:$AT$1005,MATCH($AZ20,$AY$6:$AY$1005,0)),0))</f>
        <v>372.465</v>
      </c>
      <c r="BM20" s="56">
        <f>IF(ISNUMBER(SEARCH("daily max loss",$BG20)),1,0)</f>
        <v>0</v>
      </c>
    </row>
    <row r="21" ht="30" customHeight="1">
      <c r="A21" s="38" t="n">
        <v>46293</v>
      </c>
      <c r="B21" s="39" t="n">
        <v>0.4013888888888889</v>
      </c>
      <c r="C21" s="40" t="inlineStr">
        <is>
          <t>Prop Eval 50K</t>
        </is>
      </c>
      <c r="D21" s="41" t="n"/>
      <c r="E21" s="41" t="inlineStr">
        <is>
          <t>MNQ</t>
        </is>
      </c>
      <c r="F21" s="41" t="inlineStr">
        <is>
          <t>Long</t>
        </is>
      </c>
      <c r="G21" s="41" t="n">
        <v>2</v>
      </c>
      <c r="H21" s="42" t="n">
        <v>29560</v>
      </c>
      <c r="I21" s="42" t="n">
        <v>29530</v>
      </c>
      <c r="J21" s="42" t="n">
        <v>29620</v>
      </c>
      <c r="K21" s="42" t="n">
        <v>29620</v>
      </c>
      <c r="L21" s="41" t="inlineStr">
        <is>
          <t>Limit</t>
        </is>
      </c>
      <c r="M21" s="41" t="inlineStr">
        <is>
          <t>Target</t>
        </is>
      </c>
      <c r="N21" s="41" t="n"/>
      <c r="O21" s="43" t="n"/>
      <c r="P21" s="43" t="n"/>
      <c r="Q21" s="44">
        <f>IF($AM21=0,"",IF(ISNUMBER($AK21),$AK21-N($AL21),""))</f>
        <v>238</v>
      </c>
      <c r="R21" s="45">
        <f>IF(OR($Q21="",NOT(ISNUMBER($V21))),"",$AK21/$V21)</f>
        <v>2</v>
      </c>
      <c r="S21" s="46" t="str">
        <f>IF($Q21="","",IF(AND(ISNUMBER($R21),ABS(N($R21))&lt;N(Settings!$C$8)),"Scratch",IF($Q21&gt;0,"Win",IF($Q21&lt;0,"Loss","Scratch"))))</f>
        <v>Win</v>
      </c>
      <c r="T21" s="47">
        <f>IF(OR($AM21=0,NOT(ISNUMBER($H21)),NOT(ISNUMBER($I21)),NOT(ISNUMBER($J21))),"",IF($H21=$I21,"",ROUND(ABS($J21-$H21)/ABS($H21-$I21),6)))</f>
        <v>2</v>
      </c>
      <c r="U21" s="48">
        <f>IF(OR($S21&lt;&gt;"Win",NOT(ISNUMBER($T21)),NOT(ISNUMBER($R21))),"",MAX(0,$T21-$R21))</f>
        <v>0</v>
      </c>
      <c r="V21" s="49">
        <f>IF(OR($AM21=0,NOT(ISNUMBER($H21)),NOT(ISNUMBER($I21)),NOT(ISNUMBER($G21))),"",IF(OR($AG21="",$AH21=""),"",IF(ROUND(ABS($H21-$I21)*ABS($G21)*$AG21*$AH21,6)=0,"",ROUND(ABS($H21-$I21)*ABS($G21)*$AG21*$AH21,6))))</f>
        <v>120</v>
      </c>
      <c r="W21" s="50" t="str">
        <f>IF($AM21=0,"",IF($BG21="","OK",LEFT($BG21,LEN($BG21)-2)))</f>
        <v>OK</v>
      </c>
      <c r="X21" s="41" t="inlineStr">
        <is>
          <t>NY Open</t>
        </is>
      </c>
      <c r="Y21" s="40" t="inlineStr">
        <is>
          <t>Breakout &amp; Retest</t>
        </is>
      </c>
      <c r="Z21" s="41" t="inlineStr">
        <is>
          <t>Yes</t>
        </is>
      </c>
      <c r="AA21" s="41" t="inlineStr">
        <is>
          <t>Calm</t>
        </is>
      </c>
      <c r="AB21" s="40" t="n"/>
      <c r="AC21" s="51" t="inlineStr">
        <is>
          <t>Opening range breakout, clean retest</t>
        </is>
      </c>
      <c r="AD21" s="51" t="inlineStr">
        <is>
          <t>A-grade.</t>
        </is>
      </c>
      <c r="AE21" s="40" t="n"/>
      <c r="AF21" s="52" t="str">
        <f>IF($AM21=0,"",IF($D21&lt;&gt;"",$D21,IF(IFERROR(INDEX(Accounts!$C$7:$C$16,MATCH($C21,Accounts!$B$7:$B$16,0))&amp;"","")&lt;&gt;"",INDEX(Accounts!$C$7:$C$16,MATCH($C21,Accounts!$B$7:$B$16,0)),Settings!$C$6)))</f>
        <v>Futures</v>
      </c>
      <c r="AG21" s="53">
        <f>IF($AM21=0,"",IF(AND($BE21&gt;0,N(INDEX(Instruments!$D$6:$D$205,MAX(1,$BE21)))&gt;0),INDEX(Instruments!$D$6:$D$205,MAX(1,$BE21)),IF(N(INDEX(Settings!$D$14:$D$18,$BF21))&gt;0,INDEX(Settings!$D$14:$D$18,$BF21),"")))</f>
        <v>2</v>
      </c>
      <c r="AH21" s="54">
        <f>IF($AM21=0,"",IF($AF21&lt;&gt;"Forex",1,IF(MID(UPPER(SUBSTITUTE(TRIM($E21),"/","")),4,3)=UPPER(TRIM(Settings!$C$7)),1,IF(LEFT(UPPER(SUBSTITUTE(TRIM($E21),"/","")),3)=UPPER(TRIM(Settings!$C$7)),IF(AND(ISNUMBER($K21),N($K21)&lt;&gt;0),1/$K21,""),""))))</f>
        <v>1</v>
      </c>
      <c r="AI21" s="55">
        <f>IF($AM21=0,"",IF(OR(NOT(ISNUMBER($H21)),NOT(ISNUMBER($K21)),NOT(ISNUMBER($G21)),$AG21="",$AH21=""),"",ROUND(($K21-$H21)*IF($F21="Short",-1,1)*$G21*$AG21*$AH21,6)))</f>
        <v>240</v>
      </c>
      <c r="AJ21" s="55">
        <f>IF($AM21=0,"",IF(INDEX(Settings!$E$14:$E$18,$BF21)="% of notional",IF(OR($AG21="",NOT(ISNUMBER($H21)),NOT(ISNUMBER($G21))),"",ROUND(ABS($H21*$G21*$AG21*N($AH21))*IF($L21="Limit",N(INDEX(Settings!$G$14:$G$18,$BF21)),N(INDEX(Settings!$H$14:$H$18,$BF21)))+IF(ISNUMBER($K21),ABS($K21*$G21*$AG21*N($AH21))*IF($M21="Target",N(INDEX(Settings!$G$14:$G$18,$BF21)),N(INDEX(Settings!$H$14:$H$18,$BF21))),0),6)),IF(NOT(ISNUMBER($G21)),"",ROUND(ABS($G21)*2*IF(AND($BE21&gt;0,ISNUMBER(INDEX(Instruments!$G$6:$G$205,MAX(1,$BE21)))),INDEX(Instruments!$G$6:$G$205,MAX(1,$BE21)),N(INDEX(Settings!$F$14:$F$18,$BF21))),6))))</f>
        <v>2</v>
      </c>
      <c r="AK21" s="55">
        <f>IF($AM21=0,"",IF(ISNUMBER($O21),$O21,$AI21))</f>
        <v>240</v>
      </c>
      <c r="AL21" s="55">
        <f>IF($AM21=0,"",IF(ISNUMBER($P21),$P21,N($AJ21)))</f>
        <v>2</v>
      </c>
      <c r="AM21" s="56">
        <f>IF(AND($A21&lt;&gt;"",$E21&lt;&gt;"",OR(AND(ISNUMBER($G21),ISNUMBER($H21),ISNUMBER($K21)),ISNUMBER($O21))),1,0)</f>
        <v>1</v>
      </c>
      <c r="AN21" s="57">
        <f>IF($A21="","",$A21-WEEKDAY($A21,3))</f>
        <v>46293</v>
      </c>
      <c r="AO21" s="56">
        <f>IF($A21="","",WEEKDAY($A21,2))</f>
        <v>1</v>
      </c>
      <c r="AP21" s="55">
        <f>IF(OR($AM21=0,$C21=""),"",IFERROR(N(INDEX(Accounts!$E$7:$E$16,MATCH($C21,Accounts!$B$7:$B$16,0))),0)+SUMIFS($Q$6:$Q21,$C$6:$C21,$C21))</f>
        <v>50601</v>
      </c>
      <c r="AQ21" s="55">
        <f>IF(OR($AM21=0,$C21=""),"",SUMIFS($Q$6:$Q$1005,$C$6:$C$1005,$C21,$A$6:$A$1005,$A21))</f>
        <v>296</v>
      </c>
      <c r="AR21" s="55">
        <f>IF(OR($AM21=0,$C21=""),"",IFERROR(N(INDEX(Accounts!$E$7:$E$16,MATCH($C21,Accounts!$B$7:$B$16,0))),0)+SUMIFS($Q$6:$Q$1005,$C$6:$C$1005,$C21,$A$6:$A$1005,"&lt;="&amp;$A21))</f>
        <v>50659</v>
      </c>
      <c r="AS21" s="56">
        <f>IF(OR($AM21=0,$Q21=""),0,IF(AND($A21&gt;=Lists!$W$6,$A21&lt;=Lists!$W$7,OR(Dashboard!$D$6="All accounts",$C21=Dashboard!$D$6),OR(Dashboard!$D$7="All markets",$AF21=Dashboard!$D$7)),1,0))</f>
        <v>1</v>
      </c>
      <c r="AT21" s="55">
        <f>IF($AS21=1,N(AT20)+$Q21,N(AT20))</f>
        <v>710.75188</v>
      </c>
      <c r="AU21" s="55">
        <f>MAX(N(AU20),$AT21)</f>
        <v>817.204</v>
      </c>
      <c r="AV21" s="55">
        <f>$AT21-$AU21</f>
        <v>-106.45212</v>
      </c>
      <c r="AW21" s="56">
        <f>IF($AS21=1,IF($S21="Win",N(AW20)+1,IF($S21="Loss",0,N(AW20))),N(AW20))</f>
        <v>3</v>
      </c>
      <c r="AX21" s="56">
        <f>IF($AS21=1,IF($S21="Loss",N(AX20)+1,IF($S21="Win",0,N(AX20))),N(AX20))</f>
        <v>0</v>
      </c>
      <c r="AY21" s="56">
        <f>IF($AS21=1,COUNTIF($AS$6:$AS21,1),"")</f>
        <v>16</v>
      </c>
      <c r="AZ21" s="56">
        <f>MIN(15,N(Lists!$W$8))</f>
        <v>15</v>
      </c>
      <c r="BA21" s="56">
        <f>IF($AS21=1,IF(COUNTIFS($A$6:$A21,$A21,$AS$6:$AS21,1)=1,1,0),0)</f>
        <v>1</v>
      </c>
      <c r="BB21" s="55">
        <f>IF($BA21=1,SUMIFS($Q$6:$Q$1005,$A$6:$A$1005,$A21,$AS$6:$AS$1005,1),"")</f>
        <v>296</v>
      </c>
      <c r="BC21" s="56">
        <f>IF(ISNUMBER($R21),1,0)</f>
        <v>1</v>
      </c>
      <c r="BD21" s="55">
        <f>IF(ISNUMBER($U21),$U21*$V21,"")</f>
        <v>0</v>
      </c>
      <c r="BE21" s="56">
        <f>IF($AM21=0,"",IFERROR(MATCH($AF21&amp;"|"&amp;UPPER(TRIM($E21)),Lists!$A$6:$A$205,0),0))</f>
        <v>3</v>
      </c>
      <c r="BF21" s="56">
        <f>IF($AM21=0,"",IFERROR(MATCH($AF21,Settings!$B$14:$B$18,0),IFERROR(MATCH(Settings!$C$6,Settings!$B$14:$B$18,0),1)))</f>
        <v>1</v>
      </c>
      <c r="BG21" s="58" t="str">
        <f>IF($AM21=0,"",IF(NOT(ISNUMBER($I21)),"No stop; ","")&amp;IF(AND(ISNUMBER($H21),ISNUMBER($I21)),IF(OR(AND($F21&lt;&gt;"Short",$I21&gt;=$H21),AND($F21="Short",$I21&lt;=$H21)),"Stop on wrong side; ",""),"")&amp;IF($F21="","No direction; ","")&amp;IF(AND(ISNUMBER(Settings!$C$22),ISNUMBER($V21)),IF($V21&gt;Settings!$C$22,"Risk over max $; ",""),"")&amp;IF(AND(ISNUMBER(Settings!$C$23),ISNUMBER($V21),ISNUMBER($AP21),IFERROR(N(INDEX(Accounts!$E$7:$E$16,MATCH($C21,Accounts!$B$7:$B$16,0))),0)&gt;0),IF($V21&gt;Settings!$C$23*($AP21-N($Q21)),"Risk over max %; ",""),"")&amp;IF(AND(ISNUMBER(Settings!$C$24),ISNUMBER($N21)),IF($N21&gt;Settings!$C$24,"Leverage over max; ",""),"")&amp;IF(AND(ISNUMBER(Settings!$C$27),ISNUMBER($T21)),IF($T21&lt;Settings!$C$27,"R:R below min; ",""),"")&amp;IF(ISNUMBER(Settings!$C$25),IF(COUNTIFS($A$6:$A21,$A21,$AM$6:$AM21,1)&gt;Settings!$C$25,"Over max trades/day; ",""),"")&amp;IF(ISNUMBER(Settings!$C$26),IF(SUMIFS($Q$5:$Q20,$A$5:$A20,$A21)&lt;=-Settings!$C$26,"Traded after daily max loss; ",""),"")&amp;IF(AND($AG21="",NOT(ISNUMBER($O21))),"Symbol not in Instruments; ","")&amp;IF(AND($AH21="",NOT(ISNUMBER($O21))),"Forex cross: type Gross P&amp;L; ",""))</f>
        <v/>
      </c>
      <c r="BH21" s="56">
        <f>IF(ISNUMBER($Q21),1,0)</f>
        <v>1</v>
      </c>
      <c r="BI21" s="56">
        <f>IF($Y21="",0,1)</f>
        <v>1</v>
      </c>
      <c r="BJ21" s="56">
        <f>IF($AB21="",0,1)</f>
        <v>0</v>
      </c>
      <c r="BK21" s="56">
        <f>IF(AND($BH21=1,$W21&lt;&gt;"OK"),1,0)</f>
        <v>0</v>
      </c>
      <c r="BL21" s="55">
        <f>IF(N($AZ21)=0,0,IFERROR(INDEX($AT$6:$AT$1005,MATCH($AZ21,$AY$6:$AY$1005,0)),0))</f>
        <v>472.75188</v>
      </c>
      <c r="BM21" s="56">
        <f>IF(ISNUMBER(SEARCH("daily max loss",$BG21)),1,0)</f>
        <v>0</v>
      </c>
    </row>
    <row r="22" ht="30" customHeight="1">
      <c r="A22" s="38" t="n">
        <v>46293</v>
      </c>
      <c r="B22" s="39" t="n">
        <v>0.4513888888888889</v>
      </c>
      <c r="C22" s="40" t="inlineStr">
        <is>
          <t>Prop Eval 50K</t>
        </is>
      </c>
      <c r="D22" s="41" t="n"/>
      <c r="E22" s="41" t="inlineStr">
        <is>
          <t>MCL</t>
        </is>
      </c>
      <c r="F22" s="41" t="inlineStr">
        <is>
          <t>Long</t>
        </is>
      </c>
      <c r="G22" s="41" t="n">
        <v>2</v>
      </c>
      <c r="H22" s="42" t="n">
        <v>68.40000000000001</v>
      </c>
      <c r="I22" s="42" t="n">
        <v>68.09999999999999</v>
      </c>
      <c r="J22" s="42" t="n">
        <v>68.7</v>
      </c>
      <c r="K22" s="42" t="n">
        <v>68.7</v>
      </c>
      <c r="L22" s="41" t="inlineStr">
        <is>
          <t>Limit</t>
        </is>
      </c>
      <c r="M22" s="41" t="inlineStr">
        <is>
          <t>Target</t>
        </is>
      </c>
      <c r="N22" s="41" t="n"/>
      <c r="O22" s="43" t="n"/>
      <c r="P22" s="43" t="n"/>
      <c r="Q22" s="44">
        <f>IF($AM22=0,"",IF(ISNUMBER($AK22),$AK22-N($AL22),""))</f>
        <v>58</v>
      </c>
      <c r="R22" s="45">
        <f>IF(OR($Q22="",NOT(ISNUMBER($V22))),"",$AK22/$V22)</f>
        <v>1</v>
      </c>
      <c r="S22" s="46" t="str">
        <f>IF($Q22="","",IF(AND(ISNUMBER($R22),ABS(N($R22))&lt;N(Settings!$C$8)),"Scratch",IF($Q22&gt;0,"Win",IF($Q22&lt;0,"Loss","Scratch"))))</f>
        <v>Win</v>
      </c>
      <c r="T22" s="47">
        <f>IF(OR($AM22=0,NOT(ISNUMBER($H22)),NOT(ISNUMBER($I22)),NOT(ISNUMBER($J22))),"",IF($H22=$I22,"",ROUND(ABS($J22-$H22)/ABS($H22-$I22),6)))</f>
        <v>1</v>
      </c>
      <c r="U22" s="48">
        <f>IF(OR($S22&lt;&gt;"Win",NOT(ISNUMBER($T22)),NOT(ISNUMBER($R22))),"",MAX(0,$T22-$R22))</f>
        <v>0</v>
      </c>
      <c r="V22" s="49">
        <f>IF(OR($AM22=0,NOT(ISNUMBER($H22)),NOT(ISNUMBER($I22)),NOT(ISNUMBER($G22))),"",IF(OR($AG22="",$AH22=""),"",IF(ROUND(ABS($H22-$I22)*ABS($G22)*$AG22*$AH22,6)=0,"",ROUND(ABS($H22-$I22)*ABS($G22)*$AG22*$AH22,6))))</f>
        <v>60</v>
      </c>
      <c r="W22" s="50" t="str">
        <f>IF($AM22=0,"",IF($BG22="","OK",LEFT($BG22,LEN($BG22)-2)))</f>
        <v>R:R below min</v>
      </c>
      <c r="X22" s="41" t="inlineStr">
        <is>
          <t>NY Open</t>
        </is>
      </c>
      <c r="Y22" s="40" t="inlineStr">
        <is>
          <t>Trend Pullback</t>
        </is>
      </c>
      <c r="Z22" s="41" t="inlineStr">
        <is>
          <t>Yes</t>
        </is>
      </c>
      <c r="AA22" s="41" t="inlineStr">
        <is>
          <t>Confident</t>
        </is>
      </c>
      <c r="AB22" s="40" t="n"/>
      <c r="AC22" s="51" t="inlineStr">
        <is>
          <t>Crude pullback to the 20 EMA</t>
        </is>
      </c>
      <c r="AD22" s="51" t="inlineStr">
        <is>
          <t>Target was only 1R - below my 1.5R minimum.</t>
        </is>
      </c>
      <c r="AE22" s="40" t="n"/>
      <c r="AF22" s="52" t="str">
        <f>IF($AM22=0,"",IF($D22&lt;&gt;"",$D22,IF(IFERROR(INDEX(Accounts!$C$7:$C$16,MATCH($C22,Accounts!$B$7:$B$16,0))&amp;"","")&lt;&gt;"",INDEX(Accounts!$C$7:$C$16,MATCH($C22,Accounts!$B$7:$B$16,0)),Settings!$C$6)))</f>
        <v>Futures</v>
      </c>
      <c r="AG22" s="53">
        <f>IF($AM22=0,"",IF(AND($BE22&gt;0,N(INDEX(Instruments!$D$6:$D$205,MAX(1,$BE22)))&gt;0),INDEX(Instruments!$D$6:$D$205,MAX(1,$BE22)),IF(N(INDEX(Settings!$D$14:$D$18,$BF22))&gt;0,INDEX(Settings!$D$14:$D$18,$BF22),"")))</f>
        <v>100</v>
      </c>
      <c r="AH22" s="54">
        <f>IF($AM22=0,"",IF($AF22&lt;&gt;"Forex",1,IF(MID(UPPER(SUBSTITUTE(TRIM($E22),"/","")),4,3)=UPPER(TRIM(Settings!$C$7)),1,IF(LEFT(UPPER(SUBSTITUTE(TRIM($E22),"/","")),3)=UPPER(TRIM(Settings!$C$7)),IF(AND(ISNUMBER($K22),N($K22)&lt;&gt;0),1/$K22,""),""))))</f>
        <v>1</v>
      </c>
      <c r="AI22" s="55">
        <f>IF($AM22=0,"",IF(OR(NOT(ISNUMBER($H22)),NOT(ISNUMBER($K22)),NOT(ISNUMBER($G22)),$AG22="",$AH22=""),"",ROUND(($K22-$H22)*IF($F22="Short",-1,1)*$G22*$AG22*$AH22,6)))</f>
        <v>60</v>
      </c>
      <c r="AJ22" s="55">
        <f>IF($AM22=0,"",IF(INDEX(Settings!$E$14:$E$18,$BF22)="% of notional",IF(OR($AG22="",NOT(ISNUMBER($H22)),NOT(ISNUMBER($G22))),"",ROUND(ABS($H22*$G22*$AG22*N($AH22))*IF($L22="Limit",N(INDEX(Settings!$G$14:$G$18,$BF22)),N(INDEX(Settings!$H$14:$H$18,$BF22)))+IF(ISNUMBER($K22),ABS($K22*$G22*$AG22*N($AH22))*IF($M22="Target",N(INDEX(Settings!$G$14:$G$18,$BF22)),N(INDEX(Settings!$H$14:$H$18,$BF22))),0),6)),IF(NOT(ISNUMBER($G22)),"",ROUND(ABS($G22)*2*IF(AND($BE22&gt;0,ISNUMBER(INDEX(Instruments!$G$6:$G$205,MAX(1,$BE22)))),INDEX(Instruments!$G$6:$G$205,MAX(1,$BE22)),N(INDEX(Settings!$F$14:$F$18,$BF22))),6))))</f>
        <v>2</v>
      </c>
      <c r="AK22" s="55">
        <f>IF($AM22=0,"",IF(ISNUMBER($O22),$O22,$AI22))</f>
        <v>60</v>
      </c>
      <c r="AL22" s="55">
        <f>IF($AM22=0,"",IF(ISNUMBER($P22),$P22,N($AJ22)))</f>
        <v>2</v>
      </c>
      <c r="AM22" s="56">
        <f>IF(AND($A22&lt;&gt;"",$E22&lt;&gt;"",OR(AND(ISNUMBER($G22),ISNUMBER($H22),ISNUMBER($K22)),ISNUMBER($O22))),1,0)</f>
        <v>1</v>
      </c>
      <c r="AN22" s="57">
        <f>IF($A22="","",$A22-WEEKDAY($A22,3))</f>
        <v>46293</v>
      </c>
      <c r="AO22" s="56">
        <f>IF($A22="","",WEEKDAY($A22,2))</f>
        <v>1</v>
      </c>
      <c r="AP22" s="55">
        <f>IF(OR($AM22=0,$C22=""),"",IFERROR(N(INDEX(Accounts!$E$7:$E$16,MATCH($C22,Accounts!$B$7:$B$16,0))),0)+SUMIFS($Q$6:$Q22,$C$6:$C22,$C22))</f>
        <v>50659</v>
      </c>
      <c r="AQ22" s="55">
        <f>IF(OR($AM22=0,$C22=""),"",SUMIFS($Q$6:$Q$1005,$C$6:$C$1005,$C22,$A$6:$A$1005,$A22))</f>
        <v>296</v>
      </c>
      <c r="AR22" s="55">
        <f>IF(OR($AM22=0,$C22=""),"",IFERROR(N(INDEX(Accounts!$E$7:$E$16,MATCH($C22,Accounts!$B$7:$B$16,0))),0)+SUMIFS($Q$6:$Q$1005,$C$6:$C$1005,$C22,$A$6:$A$1005,"&lt;="&amp;$A22))</f>
        <v>50659</v>
      </c>
      <c r="AS22" s="56">
        <f>IF(OR($AM22=0,$Q22=""),0,IF(AND($A22&gt;=Lists!$W$6,$A22&lt;=Lists!$W$7,OR(Dashboard!$D$6="All accounts",$C22=Dashboard!$D$6),OR(Dashboard!$D$7="All markets",$AF22=Dashboard!$D$7)),1,0))</f>
        <v>1</v>
      </c>
      <c r="AT22" s="55">
        <f>IF($AS22=1,N(AT21)+$Q22,N(AT21))</f>
        <v>768.75188</v>
      </c>
      <c r="AU22" s="55">
        <f>MAX(N(AU21),$AT22)</f>
        <v>817.204</v>
      </c>
      <c r="AV22" s="55">
        <f>$AT22-$AU22</f>
        <v>-48.45212</v>
      </c>
      <c r="AW22" s="56">
        <f>IF($AS22=1,IF($S22="Win",N(AW21)+1,IF($S22="Loss",0,N(AW21))),N(AW21))</f>
        <v>4</v>
      </c>
      <c r="AX22" s="56">
        <f>IF($AS22=1,IF($S22="Loss",N(AX21)+1,IF($S22="Win",0,N(AX21))),N(AX21))</f>
        <v>0</v>
      </c>
      <c r="AY22" s="56">
        <f>IF($AS22=1,COUNTIF($AS$6:$AS22,1),"")</f>
        <v>17</v>
      </c>
      <c r="AZ22" s="56">
        <f>MIN(16,N(Lists!$W$8))</f>
        <v>16</v>
      </c>
      <c r="BA22" s="56">
        <f>IF($AS22=1,IF(COUNTIFS($A$6:$A22,$A22,$AS$6:$AS22,1)=1,1,0),0)</f>
        <v>0</v>
      </c>
      <c r="BB22" s="55" t="str">
        <f>IF($BA22=1,SUMIFS($Q$6:$Q$1005,$A$6:$A$1005,$A22,$AS$6:$AS$1005,1),"")</f>
        <v/>
      </c>
      <c r="BC22" s="56">
        <f>IF(ISNUMBER($R22),1,0)</f>
        <v>1</v>
      </c>
      <c r="BD22" s="55">
        <f>IF(ISNUMBER($U22),$U22*$V22,"")</f>
        <v>0</v>
      </c>
      <c r="BE22" s="56">
        <f>IF($AM22=0,"",IFERROR(MATCH($AF22&amp;"|"&amp;UPPER(TRIM($E22)),Lists!$A$6:$A$205,0),0))</f>
        <v>9</v>
      </c>
      <c r="BF22" s="56">
        <f>IF($AM22=0,"",IFERROR(MATCH($AF22,Settings!$B$14:$B$18,0),IFERROR(MATCH(Settings!$C$6,Settings!$B$14:$B$18,0),1)))</f>
        <v>1</v>
      </c>
      <c r="BG22" s="58" t="str">
        <f>IF($AM22=0,"",IF(NOT(ISNUMBER($I22)),"No stop; ","")&amp;IF(AND(ISNUMBER($H22),ISNUMBER($I22)),IF(OR(AND($F22&lt;&gt;"Short",$I22&gt;=$H22),AND($F22="Short",$I22&lt;=$H22)),"Stop on wrong side; ",""),"")&amp;IF($F22="","No direction; ","")&amp;IF(AND(ISNUMBER(Settings!$C$22),ISNUMBER($V22)),IF($V22&gt;Settings!$C$22,"Risk over max $; ",""),"")&amp;IF(AND(ISNUMBER(Settings!$C$23),ISNUMBER($V22),ISNUMBER($AP22),IFERROR(N(INDEX(Accounts!$E$7:$E$16,MATCH($C22,Accounts!$B$7:$B$16,0))),0)&gt;0),IF($V22&gt;Settings!$C$23*($AP22-N($Q22)),"Risk over max %; ",""),"")&amp;IF(AND(ISNUMBER(Settings!$C$24),ISNUMBER($N22)),IF($N22&gt;Settings!$C$24,"Leverage over max; ",""),"")&amp;IF(AND(ISNUMBER(Settings!$C$27),ISNUMBER($T22)),IF($T22&lt;Settings!$C$27,"R:R below min; ",""),"")&amp;IF(ISNUMBER(Settings!$C$25),IF(COUNTIFS($A$6:$A22,$A22,$AM$6:$AM22,1)&gt;Settings!$C$25,"Over max trades/day; ",""),"")&amp;IF(ISNUMBER(Settings!$C$26),IF(SUMIFS($Q$5:$Q21,$A$5:$A21,$A22)&lt;=-Settings!$C$26,"Traded after daily max loss; ",""),"")&amp;IF(AND($AG22="",NOT(ISNUMBER($O22))),"Symbol not in Instruments; ","")&amp;IF(AND($AH22="",NOT(ISNUMBER($O22))),"Forex cross: type Gross P&amp;L; ",""))</f>
        <v>R:R below min; </v>
      </c>
      <c r="BH22" s="56">
        <f>IF(ISNUMBER($Q22),1,0)</f>
        <v>1</v>
      </c>
      <c r="BI22" s="56">
        <f>IF($Y22="",0,1)</f>
        <v>1</v>
      </c>
      <c r="BJ22" s="56">
        <f>IF($AB22="",0,1)</f>
        <v>0</v>
      </c>
      <c r="BK22" s="56">
        <f>IF(AND($BH22=1,$W22&lt;&gt;"OK"),1,0)</f>
        <v>1</v>
      </c>
      <c r="BL22" s="55">
        <f>IF(N($AZ22)=0,0,IFERROR(INDEX($AT$6:$AT$1005,MATCH($AZ22,$AY$6:$AY$1005,0)),0))</f>
        <v>710.75188</v>
      </c>
      <c r="BM22" s="56">
        <f>IF(ISNUMBER(SEARCH("daily max loss",$BG22)),1,0)</f>
        <v>0</v>
      </c>
    </row>
    <row r="23" ht="30" customHeight="1">
      <c r="A23" s="38" t="n">
        <v>46294</v>
      </c>
      <c r="B23" s="39" t="n">
        <v>0.40625</v>
      </c>
      <c r="C23" s="40" t="inlineStr">
        <is>
          <t>Prop Eval 50K</t>
        </is>
      </c>
      <c r="D23" s="41" t="n"/>
      <c r="E23" s="41" t="inlineStr">
        <is>
          <t>MES</t>
        </is>
      </c>
      <c r="F23" s="41" t="inlineStr">
        <is>
          <t>Short</t>
        </is>
      </c>
      <c r="G23" s="41" t="n">
        <v>2</v>
      </c>
      <c r="H23" s="42" t="n">
        <v>7648.75</v>
      </c>
      <c r="I23" s="42" t="n">
        <v>7656.25</v>
      </c>
      <c r="J23" s="42" t="n">
        <v>7633.75</v>
      </c>
      <c r="K23" s="42" t="n">
        <v>7633.75</v>
      </c>
      <c r="L23" s="41" t="inlineStr">
        <is>
          <t>Limit</t>
        </is>
      </c>
      <c r="M23" s="41" t="inlineStr">
        <is>
          <t>Target</t>
        </is>
      </c>
      <c r="N23" s="41" t="n"/>
      <c r="O23" s="43" t="n"/>
      <c r="P23" s="43" t="n"/>
      <c r="Q23" s="44">
        <f>IF($AM23=0,"",IF(ISNUMBER($AK23),$AK23-N($AL23),""))</f>
        <v>148</v>
      </c>
      <c r="R23" s="45">
        <f>IF(OR($Q23="",NOT(ISNUMBER($V23))),"",$AK23/$V23)</f>
        <v>2</v>
      </c>
      <c r="S23" s="46" t="str">
        <f>IF($Q23="","",IF(AND(ISNUMBER($R23),ABS(N($R23))&lt;N(Settings!$C$8)),"Scratch",IF($Q23&gt;0,"Win",IF($Q23&lt;0,"Loss","Scratch"))))</f>
        <v>Win</v>
      </c>
      <c r="T23" s="47">
        <f>IF(OR($AM23=0,NOT(ISNUMBER($H23)),NOT(ISNUMBER($I23)),NOT(ISNUMBER($J23))),"",IF($H23=$I23,"",ROUND(ABS($J23-$H23)/ABS($H23-$I23),6)))</f>
        <v>2</v>
      </c>
      <c r="U23" s="48">
        <f>IF(OR($S23&lt;&gt;"Win",NOT(ISNUMBER($T23)),NOT(ISNUMBER($R23))),"",MAX(0,$T23-$R23))</f>
        <v>0</v>
      </c>
      <c r="V23" s="49">
        <f>IF(OR($AM23=0,NOT(ISNUMBER($H23)),NOT(ISNUMBER($I23)),NOT(ISNUMBER($G23))),"",IF(OR($AG23="",$AH23=""),"",IF(ROUND(ABS($H23-$I23)*ABS($G23)*$AG23*$AH23,6)=0,"",ROUND(ABS($H23-$I23)*ABS($G23)*$AG23*$AH23,6))))</f>
        <v>75</v>
      </c>
      <c r="W23" s="50" t="str">
        <f>IF($AM23=0,"",IF($BG23="","OK",LEFT($BG23,LEN($BG23)-2)))</f>
        <v>OK</v>
      </c>
      <c r="X23" s="41" t="inlineStr">
        <is>
          <t>NY Open</t>
        </is>
      </c>
      <c r="Y23" s="40" t="inlineStr">
        <is>
          <t>Range Fade</t>
        </is>
      </c>
      <c r="Z23" s="41" t="inlineStr">
        <is>
          <t>Yes</t>
        </is>
      </c>
      <c r="AA23" s="41" t="inlineStr">
        <is>
          <t>Calm</t>
        </is>
      </c>
      <c r="AB23" s="40" t="n"/>
      <c r="AC23" s="51" t="inlineStr">
        <is>
          <t>Rejection at range high</t>
        </is>
      </c>
      <c r="AD23" s="51" t="inlineStr">
        <is>
          <t>Clean.</t>
        </is>
      </c>
      <c r="AE23" s="40" t="n"/>
      <c r="AF23" s="52" t="str">
        <f>IF($AM23=0,"",IF($D23&lt;&gt;"",$D23,IF(IFERROR(INDEX(Accounts!$C$7:$C$16,MATCH($C23,Accounts!$B$7:$B$16,0))&amp;"","")&lt;&gt;"",INDEX(Accounts!$C$7:$C$16,MATCH($C23,Accounts!$B$7:$B$16,0)),Settings!$C$6)))</f>
        <v>Futures</v>
      </c>
      <c r="AG23" s="53">
        <f>IF($AM23=0,"",IF(AND($BE23&gt;0,N(INDEX(Instruments!$D$6:$D$205,MAX(1,$BE23)))&gt;0),INDEX(Instruments!$D$6:$D$205,MAX(1,$BE23)),IF(N(INDEX(Settings!$D$14:$D$18,$BF23))&gt;0,INDEX(Settings!$D$14:$D$18,$BF23),"")))</f>
        <v>5</v>
      </c>
      <c r="AH23" s="54">
        <f>IF($AM23=0,"",IF($AF23&lt;&gt;"Forex",1,IF(MID(UPPER(SUBSTITUTE(TRIM($E23),"/","")),4,3)=UPPER(TRIM(Settings!$C$7)),1,IF(LEFT(UPPER(SUBSTITUTE(TRIM($E23),"/","")),3)=UPPER(TRIM(Settings!$C$7)),IF(AND(ISNUMBER($K23),N($K23)&lt;&gt;0),1/$K23,""),""))))</f>
        <v>1</v>
      </c>
      <c r="AI23" s="55">
        <f>IF($AM23=0,"",IF(OR(NOT(ISNUMBER($H23)),NOT(ISNUMBER($K23)),NOT(ISNUMBER($G23)),$AG23="",$AH23=""),"",ROUND(($K23-$H23)*IF($F23="Short",-1,1)*$G23*$AG23*$AH23,6)))</f>
        <v>150</v>
      </c>
      <c r="AJ23" s="55">
        <f>IF($AM23=0,"",IF(INDEX(Settings!$E$14:$E$18,$BF23)="% of notional",IF(OR($AG23="",NOT(ISNUMBER($H23)),NOT(ISNUMBER($G23))),"",ROUND(ABS($H23*$G23*$AG23*N($AH23))*IF($L23="Limit",N(INDEX(Settings!$G$14:$G$18,$BF23)),N(INDEX(Settings!$H$14:$H$18,$BF23)))+IF(ISNUMBER($K23),ABS($K23*$G23*$AG23*N($AH23))*IF($M23="Target",N(INDEX(Settings!$G$14:$G$18,$BF23)),N(INDEX(Settings!$H$14:$H$18,$BF23))),0),6)),IF(NOT(ISNUMBER($G23)),"",ROUND(ABS($G23)*2*IF(AND($BE23&gt;0,ISNUMBER(INDEX(Instruments!$G$6:$G$205,MAX(1,$BE23)))),INDEX(Instruments!$G$6:$G$205,MAX(1,$BE23)),N(INDEX(Settings!$F$14:$F$18,$BF23))),6))))</f>
        <v>2</v>
      </c>
      <c r="AK23" s="55">
        <f>IF($AM23=0,"",IF(ISNUMBER($O23),$O23,$AI23))</f>
        <v>150</v>
      </c>
      <c r="AL23" s="55">
        <f>IF($AM23=0,"",IF(ISNUMBER($P23),$P23,N($AJ23)))</f>
        <v>2</v>
      </c>
      <c r="AM23" s="56">
        <f>IF(AND($A23&lt;&gt;"",$E23&lt;&gt;"",OR(AND(ISNUMBER($G23),ISNUMBER($H23),ISNUMBER($K23)),ISNUMBER($O23))),1,0)</f>
        <v>1</v>
      </c>
      <c r="AN23" s="57">
        <f>IF($A23="","",$A23-WEEKDAY($A23,3))</f>
        <v>46293</v>
      </c>
      <c r="AO23" s="56">
        <f>IF($A23="","",WEEKDAY($A23,2))</f>
        <v>2</v>
      </c>
      <c r="AP23" s="55">
        <f>IF(OR($AM23=0,$C23=""),"",IFERROR(N(INDEX(Accounts!$E$7:$E$16,MATCH($C23,Accounts!$B$7:$B$16,0))),0)+SUMIFS($Q$6:$Q23,$C$6:$C23,$C23))</f>
        <v>50807</v>
      </c>
      <c r="AQ23" s="55">
        <f>IF(OR($AM23=0,$C23=""),"",SUMIFS($Q$6:$Q$1005,$C$6:$C$1005,$C23,$A$6:$A$1005,$A23))</f>
        <v>-3</v>
      </c>
      <c r="AR23" s="55">
        <f>IF(OR($AM23=0,$C23=""),"",IFERROR(N(INDEX(Accounts!$E$7:$E$16,MATCH($C23,Accounts!$B$7:$B$16,0))),0)+SUMIFS($Q$6:$Q$1005,$C$6:$C$1005,$C23,$A$6:$A$1005,"&lt;="&amp;$A23))</f>
        <v>50656</v>
      </c>
      <c r="AS23" s="56">
        <f>IF(OR($AM23=0,$Q23=""),0,IF(AND($A23&gt;=Lists!$W$6,$A23&lt;=Lists!$W$7,OR(Dashboard!$D$6="All accounts",$C23=Dashboard!$D$6),OR(Dashboard!$D$7="All markets",$AF23=Dashboard!$D$7)),1,0))</f>
        <v>1</v>
      </c>
      <c r="AT23" s="55">
        <f>IF($AS23=1,N(AT22)+$Q23,N(AT22))</f>
        <v>916.75188</v>
      </c>
      <c r="AU23" s="55">
        <f>MAX(N(AU22),$AT23)</f>
        <v>916.75188</v>
      </c>
      <c r="AV23" s="55">
        <f>$AT23-$AU23</f>
        <v>0</v>
      </c>
      <c r="AW23" s="56">
        <f>IF($AS23=1,IF($S23="Win",N(AW22)+1,IF($S23="Loss",0,N(AW22))),N(AW22))</f>
        <v>5</v>
      </c>
      <c r="AX23" s="56">
        <f>IF($AS23=1,IF($S23="Loss",N(AX22)+1,IF($S23="Win",0,N(AX22))),N(AX22))</f>
        <v>0</v>
      </c>
      <c r="AY23" s="56">
        <f>IF($AS23=1,COUNTIF($AS$6:$AS23,1),"")</f>
        <v>18</v>
      </c>
      <c r="AZ23" s="56">
        <f>MIN(17,N(Lists!$W$8))</f>
        <v>17</v>
      </c>
      <c r="BA23" s="56">
        <f>IF($AS23=1,IF(COUNTIFS($A$6:$A23,$A23,$AS$6:$AS23,1)=1,1,0),0)</f>
        <v>1</v>
      </c>
      <c r="BB23" s="55">
        <f>IF($BA23=1,SUMIFS($Q$6:$Q$1005,$A$6:$A$1005,$A23,$AS$6:$AS$1005,1),"")</f>
        <v>-58.1</v>
      </c>
      <c r="BC23" s="56">
        <f>IF(ISNUMBER($R23),1,0)</f>
        <v>1</v>
      </c>
      <c r="BD23" s="55">
        <f>IF(ISNUMBER($U23),$U23*$V23,"")</f>
        <v>0</v>
      </c>
      <c r="BE23" s="56">
        <f>IF($AM23=0,"",IFERROR(MATCH($AF23&amp;"|"&amp;UPPER(TRIM($E23)),Lists!$A$6:$A$205,0),0))</f>
        <v>1</v>
      </c>
      <c r="BF23" s="56">
        <f>IF($AM23=0,"",IFERROR(MATCH($AF23,Settings!$B$14:$B$18,0),IFERROR(MATCH(Settings!$C$6,Settings!$B$14:$B$18,0),1)))</f>
        <v>1</v>
      </c>
      <c r="BG23" s="58" t="str">
        <f>IF($AM23=0,"",IF(NOT(ISNUMBER($I23)),"No stop; ","")&amp;IF(AND(ISNUMBER($H23),ISNUMBER($I23)),IF(OR(AND($F23&lt;&gt;"Short",$I23&gt;=$H23),AND($F23="Short",$I23&lt;=$H23)),"Stop on wrong side; ",""),"")&amp;IF($F23="","No direction; ","")&amp;IF(AND(ISNUMBER(Settings!$C$22),ISNUMBER($V23)),IF($V23&gt;Settings!$C$22,"Risk over max $; ",""),"")&amp;IF(AND(ISNUMBER(Settings!$C$23),ISNUMBER($V23),ISNUMBER($AP23),IFERROR(N(INDEX(Accounts!$E$7:$E$16,MATCH($C23,Accounts!$B$7:$B$16,0))),0)&gt;0),IF($V23&gt;Settings!$C$23*($AP23-N($Q23)),"Risk over max %; ",""),"")&amp;IF(AND(ISNUMBER(Settings!$C$24),ISNUMBER($N23)),IF($N23&gt;Settings!$C$24,"Leverage over max; ",""),"")&amp;IF(AND(ISNUMBER(Settings!$C$27),ISNUMBER($T23)),IF($T23&lt;Settings!$C$27,"R:R below min; ",""),"")&amp;IF(ISNUMBER(Settings!$C$25),IF(COUNTIFS($A$6:$A23,$A23,$AM$6:$AM23,1)&gt;Settings!$C$25,"Over max trades/day; ",""),"")&amp;IF(ISNUMBER(Settings!$C$26),IF(SUMIFS($Q$5:$Q22,$A$5:$A22,$A23)&lt;=-Settings!$C$26,"Traded after daily max loss; ",""),"")&amp;IF(AND($AG23="",NOT(ISNUMBER($O23))),"Symbol not in Instruments; ","")&amp;IF(AND($AH23="",NOT(ISNUMBER($O23))),"Forex cross: type Gross P&amp;L; ",""))</f>
        <v/>
      </c>
      <c r="BH23" s="56">
        <f>IF(ISNUMBER($Q23),1,0)</f>
        <v>1</v>
      </c>
      <c r="BI23" s="56">
        <f>IF($Y23="",0,1)</f>
        <v>1</v>
      </c>
      <c r="BJ23" s="56">
        <f>IF($AB23="",0,1)</f>
        <v>0</v>
      </c>
      <c r="BK23" s="56">
        <f>IF(AND($BH23=1,$W23&lt;&gt;"OK"),1,0)</f>
        <v>0</v>
      </c>
      <c r="BL23" s="55">
        <f>IF(N($AZ23)=0,0,IFERROR(INDEX($AT$6:$AT$1005,MATCH($AZ23,$AY$6:$AY$1005,0)),0))</f>
        <v>768.75188</v>
      </c>
      <c r="BM23" s="56">
        <f>IF(ISNUMBER(SEARCH("daily max loss",$BG23)),1,0)</f>
        <v>0</v>
      </c>
    </row>
    <row r="24" ht="30" customHeight="1">
      <c r="A24" s="38" t="n">
        <v>46294</v>
      </c>
      <c r="B24" s="39" t="n">
        <v>0.5902777777777778</v>
      </c>
      <c r="C24" s="40" t="inlineStr">
        <is>
          <t>Prop Eval 50K</t>
        </is>
      </c>
      <c r="D24" s="41" t="n"/>
      <c r="E24" s="41" t="inlineStr">
        <is>
          <t>SIL</t>
        </is>
      </c>
      <c r="F24" s="41" t="inlineStr">
        <is>
          <t>Short</t>
        </is>
      </c>
      <c r="G24" s="41" t="n">
        <v>1</v>
      </c>
      <c r="H24" s="42" t="n">
        <v>50.85</v>
      </c>
      <c r="I24" s="42" t="n">
        <v>51</v>
      </c>
      <c r="J24" s="42" t="n">
        <v>50.55</v>
      </c>
      <c r="K24" s="42" t="n">
        <v>51</v>
      </c>
      <c r="L24" s="41" t="inlineStr">
        <is>
          <t>Limit</t>
        </is>
      </c>
      <c r="M24" s="41" t="inlineStr">
        <is>
          <t>Stop loss</t>
        </is>
      </c>
      <c r="N24" s="41" t="n"/>
      <c r="O24" s="43" t="n"/>
      <c r="P24" s="43" t="n"/>
      <c r="Q24" s="44">
        <f>IF($AM24=0,"",IF(ISNUMBER($AK24),$AK24-N($AL24),""))</f>
        <v>-151</v>
      </c>
      <c r="R24" s="45">
        <f>IF(OR($Q24="",NOT(ISNUMBER($V24))),"",$AK24/$V24)</f>
        <v>-1</v>
      </c>
      <c r="S24" s="46" t="str">
        <f>IF($Q24="","",IF(AND(ISNUMBER($R24),ABS(N($R24))&lt;N(Settings!$C$8)),"Scratch",IF($Q24&gt;0,"Win",IF($Q24&lt;0,"Loss","Scratch"))))</f>
        <v>Loss</v>
      </c>
      <c r="T24" s="47">
        <f>IF(OR($AM24=0,NOT(ISNUMBER($H24)),NOT(ISNUMBER($I24)),NOT(ISNUMBER($J24))),"",IF($H24=$I24,"",ROUND(ABS($J24-$H24)/ABS($H24-$I24),6)))</f>
        <v>2</v>
      </c>
      <c r="U24" s="48" t="str">
        <f>IF(OR($S24&lt;&gt;"Win",NOT(ISNUMBER($T24)),NOT(ISNUMBER($R24))),"",MAX(0,$T24-$R24))</f>
        <v/>
      </c>
      <c r="V24" s="49">
        <f>IF(OR($AM24=0,NOT(ISNUMBER($H24)),NOT(ISNUMBER($I24)),NOT(ISNUMBER($G24))),"",IF(OR($AG24="",$AH24=""),"",IF(ROUND(ABS($H24-$I24)*ABS($G24)*$AG24*$AH24,6)=0,"",ROUND(ABS($H24-$I24)*ABS($G24)*$AG24*$AH24,6))))</f>
        <v>150</v>
      </c>
      <c r="W24" s="50" t="str">
        <f>IF($AM24=0,"",IF($BG24="","OK",LEFT($BG24,LEN($BG24)-2)))</f>
        <v>OK</v>
      </c>
      <c r="X24" s="41" t="inlineStr">
        <is>
          <t>NY Afternoon</t>
        </is>
      </c>
      <c r="Y24" s="40" t="inlineStr">
        <is>
          <t>Failed Breakout Reversal</t>
        </is>
      </c>
      <c r="Z24" s="41" t="inlineStr">
        <is>
          <t>Yes</t>
        </is>
      </c>
      <c r="AA24" s="41" t="inlineStr">
        <is>
          <t>Calm</t>
        </is>
      </c>
      <c r="AB24" s="40" t="n"/>
      <c r="AC24" s="51" t="inlineStr">
        <is>
          <t>Failed breakout above 51</t>
        </is>
      </c>
      <c r="AD24" s="51" t="inlineStr">
        <is>
          <t>Good trade, bad outcome.</t>
        </is>
      </c>
      <c r="AE24" s="40" t="n"/>
      <c r="AF24" s="52" t="str">
        <f>IF($AM24=0,"",IF($D24&lt;&gt;"",$D24,IF(IFERROR(INDEX(Accounts!$C$7:$C$16,MATCH($C24,Accounts!$B$7:$B$16,0))&amp;"","")&lt;&gt;"",INDEX(Accounts!$C$7:$C$16,MATCH($C24,Accounts!$B$7:$B$16,0)),Settings!$C$6)))</f>
        <v>Futures</v>
      </c>
      <c r="AG24" s="53">
        <f>IF($AM24=0,"",IF(AND($BE24&gt;0,N(INDEX(Instruments!$D$6:$D$205,MAX(1,$BE24)))&gt;0),INDEX(Instruments!$D$6:$D$205,MAX(1,$BE24)),IF(N(INDEX(Settings!$D$14:$D$18,$BF24))&gt;0,INDEX(Settings!$D$14:$D$18,$BF24),"")))</f>
        <v>1000</v>
      </c>
      <c r="AH24" s="54">
        <f>IF($AM24=0,"",IF($AF24&lt;&gt;"Forex",1,IF(MID(UPPER(SUBSTITUTE(TRIM($E24),"/","")),4,3)=UPPER(TRIM(Settings!$C$7)),1,IF(LEFT(UPPER(SUBSTITUTE(TRIM($E24),"/","")),3)=UPPER(TRIM(Settings!$C$7)),IF(AND(ISNUMBER($K24),N($K24)&lt;&gt;0),1/$K24,""),""))))</f>
        <v>1</v>
      </c>
      <c r="AI24" s="55">
        <f>IF($AM24=0,"",IF(OR(NOT(ISNUMBER($H24)),NOT(ISNUMBER($K24)),NOT(ISNUMBER($G24)),$AG24="",$AH24=""),"",ROUND(($K24-$H24)*IF($F24="Short",-1,1)*$G24*$AG24*$AH24,6)))</f>
        <v>-150</v>
      </c>
      <c r="AJ24" s="55">
        <f>IF($AM24=0,"",IF(INDEX(Settings!$E$14:$E$18,$BF24)="% of notional",IF(OR($AG24="",NOT(ISNUMBER($H24)),NOT(ISNUMBER($G24))),"",ROUND(ABS($H24*$G24*$AG24*N($AH24))*IF($L24="Limit",N(INDEX(Settings!$G$14:$G$18,$BF24)),N(INDEX(Settings!$H$14:$H$18,$BF24)))+IF(ISNUMBER($K24),ABS($K24*$G24*$AG24*N($AH24))*IF($M24="Target",N(INDEX(Settings!$G$14:$G$18,$BF24)),N(INDEX(Settings!$H$14:$H$18,$BF24))),0),6)),IF(NOT(ISNUMBER($G24)),"",ROUND(ABS($G24)*2*IF(AND($BE24&gt;0,ISNUMBER(INDEX(Instruments!$G$6:$G$205,MAX(1,$BE24)))),INDEX(Instruments!$G$6:$G$205,MAX(1,$BE24)),N(INDEX(Settings!$F$14:$F$18,$BF24))),6))))</f>
        <v>1</v>
      </c>
      <c r="AK24" s="55">
        <f>IF($AM24=0,"",IF(ISNUMBER($O24),$O24,$AI24))</f>
        <v>-150</v>
      </c>
      <c r="AL24" s="55">
        <f>IF($AM24=0,"",IF(ISNUMBER($P24),$P24,N($AJ24)))</f>
        <v>1</v>
      </c>
      <c r="AM24" s="56">
        <f>IF(AND($A24&lt;&gt;"",$E24&lt;&gt;"",OR(AND(ISNUMBER($G24),ISNUMBER($H24),ISNUMBER($K24)),ISNUMBER($O24))),1,0)</f>
        <v>1</v>
      </c>
      <c r="AN24" s="57">
        <f>IF($A24="","",$A24-WEEKDAY($A24,3))</f>
        <v>46293</v>
      </c>
      <c r="AO24" s="56">
        <f>IF($A24="","",WEEKDAY($A24,2))</f>
        <v>2</v>
      </c>
      <c r="AP24" s="55">
        <f>IF(OR($AM24=0,$C24=""),"",IFERROR(N(INDEX(Accounts!$E$7:$E$16,MATCH($C24,Accounts!$B$7:$B$16,0))),0)+SUMIFS($Q$6:$Q24,$C$6:$C24,$C24))</f>
        <v>50656</v>
      </c>
      <c r="AQ24" s="55">
        <f>IF(OR($AM24=0,$C24=""),"",SUMIFS($Q$6:$Q$1005,$C$6:$C$1005,$C24,$A$6:$A$1005,$A24))</f>
        <v>-3</v>
      </c>
      <c r="AR24" s="55">
        <f>IF(OR($AM24=0,$C24=""),"",IFERROR(N(INDEX(Accounts!$E$7:$E$16,MATCH($C24,Accounts!$B$7:$B$16,0))),0)+SUMIFS($Q$6:$Q$1005,$C$6:$C$1005,$C24,$A$6:$A$1005,"&lt;="&amp;$A24))</f>
        <v>50656</v>
      </c>
      <c r="AS24" s="56">
        <f>IF(OR($AM24=0,$Q24=""),0,IF(AND($A24&gt;=Lists!$W$6,$A24&lt;=Lists!$W$7,OR(Dashboard!$D$6="All accounts",$C24=Dashboard!$D$6),OR(Dashboard!$D$7="All markets",$AF24=Dashboard!$D$7)),1,0))</f>
        <v>1</v>
      </c>
      <c r="AT24" s="55">
        <f>IF($AS24=1,N(AT23)+$Q24,N(AT23))</f>
        <v>765.75188</v>
      </c>
      <c r="AU24" s="55">
        <f>MAX(N(AU23),$AT24)</f>
        <v>916.75188</v>
      </c>
      <c r="AV24" s="55">
        <f>$AT24-$AU24</f>
        <v>-151</v>
      </c>
      <c r="AW24" s="56">
        <f>IF($AS24=1,IF($S24="Win",N(AW23)+1,IF($S24="Loss",0,N(AW23))),N(AW23))</f>
        <v>0</v>
      </c>
      <c r="AX24" s="56">
        <f>IF($AS24=1,IF($S24="Loss",N(AX23)+1,IF($S24="Win",0,N(AX23))),N(AX23))</f>
        <v>1</v>
      </c>
      <c r="AY24" s="56">
        <f>IF($AS24=1,COUNTIF($AS$6:$AS24,1),"")</f>
        <v>19</v>
      </c>
      <c r="AZ24" s="56">
        <f>MIN(18,N(Lists!$W$8))</f>
        <v>18</v>
      </c>
      <c r="BA24" s="56">
        <f>IF($AS24=1,IF(COUNTIFS($A$6:$A24,$A24,$AS$6:$AS24,1)=1,1,0),0)</f>
        <v>0</v>
      </c>
      <c r="BB24" s="55" t="str">
        <f>IF($BA24=1,SUMIFS($Q$6:$Q$1005,$A$6:$A$1005,$A24,$AS$6:$AS$1005,1),"")</f>
        <v/>
      </c>
      <c r="BC24" s="56">
        <f>IF(ISNUMBER($R24),1,0)</f>
        <v>1</v>
      </c>
      <c r="BD24" s="55" t="str">
        <f>IF(ISNUMBER($U24),$U24*$V24,"")</f>
        <v/>
      </c>
      <c r="BE24" s="56">
        <f>IF($AM24=0,"",IFERROR(MATCH($AF24&amp;"|"&amp;UPPER(TRIM($E24)),Lists!$A$6:$A$205,0),0))</f>
        <v>16</v>
      </c>
      <c r="BF24" s="56">
        <f>IF($AM24=0,"",IFERROR(MATCH($AF24,Settings!$B$14:$B$18,0),IFERROR(MATCH(Settings!$C$6,Settings!$B$14:$B$18,0),1)))</f>
        <v>1</v>
      </c>
      <c r="BG24" s="58" t="str">
        <f>IF($AM24=0,"",IF(NOT(ISNUMBER($I24)),"No stop; ","")&amp;IF(AND(ISNUMBER($H24),ISNUMBER($I24)),IF(OR(AND($F24&lt;&gt;"Short",$I24&gt;=$H24),AND($F24="Short",$I24&lt;=$H24)),"Stop on wrong side; ",""),"")&amp;IF($F24="","No direction; ","")&amp;IF(AND(ISNUMBER(Settings!$C$22),ISNUMBER($V24)),IF($V24&gt;Settings!$C$22,"Risk over max $; ",""),"")&amp;IF(AND(ISNUMBER(Settings!$C$23),ISNUMBER($V24),ISNUMBER($AP24),IFERROR(N(INDEX(Accounts!$E$7:$E$16,MATCH($C24,Accounts!$B$7:$B$16,0))),0)&gt;0),IF($V24&gt;Settings!$C$23*($AP24-N($Q24)),"Risk over max %; ",""),"")&amp;IF(AND(ISNUMBER(Settings!$C$24),ISNUMBER($N24)),IF($N24&gt;Settings!$C$24,"Leverage over max; ",""),"")&amp;IF(AND(ISNUMBER(Settings!$C$27),ISNUMBER($T24)),IF($T24&lt;Settings!$C$27,"R:R below min; ",""),"")&amp;IF(ISNUMBER(Settings!$C$25),IF(COUNTIFS($A$6:$A24,$A24,$AM$6:$AM24,1)&gt;Settings!$C$25,"Over max trades/day; ",""),"")&amp;IF(ISNUMBER(Settings!$C$26),IF(SUMIFS($Q$5:$Q23,$A$5:$A23,$A24)&lt;=-Settings!$C$26,"Traded after daily max loss; ",""),"")&amp;IF(AND($AG24="",NOT(ISNUMBER($O24))),"Symbol not in Instruments; ","")&amp;IF(AND($AH24="",NOT(ISNUMBER($O24))),"Forex cross: type Gross P&amp;L; ",""))</f>
        <v/>
      </c>
      <c r="BH24" s="56">
        <f>IF(ISNUMBER($Q24),1,0)</f>
        <v>1</v>
      </c>
      <c r="BI24" s="56">
        <f>IF($Y24="",0,1)</f>
        <v>1</v>
      </c>
      <c r="BJ24" s="56">
        <f>IF($AB24="",0,1)</f>
        <v>0</v>
      </c>
      <c r="BK24" s="56">
        <f>IF(AND($BH24=1,$W24&lt;&gt;"OK"),1,0)</f>
        <v>0</v>
      </c>
      <c r="BL24" s="55">
        <f>IF(N($AZ24)=0,0,IFERROR(INDEX($AT$6:$AT$1005,MATCH($AZ24,$AY$6:$AY$1005,0)),0))</f>
        <v>916.75188</v>
      </c>
      <c r="BM24" s="56">
        <f>IF(ISNUMBER(SEARCH("daily max loss",$BG24)),1,0)</f>
        <v>0</v>
      </c>
    </row>
    <row r="25" ht="30" customHeight="1">
      <c r="A25" s="38" t="n">
        <v>46294</v>
      </c>
      <c r="B25" s="39" t="n">
        <v>0.8645833333333334</v>
      </c>
      <c r="C25" s="40" t="inlineStr">
        <is>
          <t>Crypto Main</t>
        </is>
      </c>
      <c r="D25" s="41" t="n"/>
      <c r="E25" s="41" t="inlineStr">
        <is>
          <t>BTCUSDT</t>
        </is>
      </c>
      <c r="F25" s="41" t="inlineStr">
        <is>
          <t>Short</t>
        </is>
      </c>
      <c r="G25" s="41" t="n">
        <v>0.08</v>
      </c>
      <c r="H25" s="42" t="n">
        <v>65100</v>
      </c>
      <c r="I25" s="42" t="n">
        <v>65700</v>
      </c>
      <c r="J25" s="42" t="n">
        <v>63900</v>
      </c>
      <c r="K25" s="42" t="n">
        <v>65700</v>
      </c>
      <c r="L25" s="41" t="inlineStr">
        <is>
          <t>Market</t>
        </is>
      </c>
      <c r="M25" s="41" t="inlineStr">
        <is>
          <t>Stop loss</t>
        </is>
      </c>
      <c r="N25" s="41" t="n">
        <v>15</v>
      </c>
      <c r="O25" s="43" t="n"/>
      <c r="P25" s="43" t="n">
        <v>7.1</v>
      </c>
      <c r="Q25" s="44">
        <f>IF($AM25=0,"",IF(ISNUMBER($AK25),$AK25-N($AL25),""))</f>
        <v>-55.1</v>
      </c>
      <c r="R25" s="45">
        <f>IF(OR($Q25="",NOT(ISNUMBER($V25))),"",$AK25/$V25)</f>
        <v>-1</v>
      </c>
      <c r="S25" s="46" t="str">
        <f>IF($Q25="","",IF(AND(ISNUMBER($R25),ABS(N($R25))&lt;N(Settings!$C$8)),"Scratch",IF($Q25&gt;0,"Win",IF($Q25&lt;0,"Loss","Scratch"))))</f>
        <v>Loss</v>
      </c>
      <c r="T25" s="47">
        <f>IF(OR($AM25=0,NOT(ISNUMBER($H25)),NOT(ISNUMBER($I25)),NOT(ISNUMBER($J25))),"",IF($H25=$I25,"",ROUND(ABS($J25-$H25)/ABS($H25-$I25),6)))</f>
        <v>2</v>
      </c>
      <c r="U25" s="48" t="str">
        <f>IF(OR($S25&lt;&gt;"Win",NOT(ISNUMBER($T25)),NOT(ISNUMBER($R25))),"",MAX(0,$T25-$R25))</f>
        <v/>
      </c>
      <c r="V25" s="49">
        <f>IF(OR($AM25=0,NOT(ISNUMBER($H25)),NOT(ISNUMBER($I25)),NOT(ISNUMBER($G25))),"",IF(OR($AG25="",$AH25=""),"",IF(ROUND(ABS($H25-$I25)*ABS($G25)*$AG25*$AH25,6)=0,"",ROUND(ABS($H25-$I25)*ABS($G25)*$AG25*$AH25,6))))</f>
        <v>48</v>
      </c>
      <c r="W25" s="50" t="str">
        <f>IF($AM25=0,"",IF($BG25="","OK",LEFT($BG25,LEN($BG25)-2)))</f>
        <v>OK</v>
      </c>
      <c r="X25" s="41" t="inlineStr">
        <is>
          <t>US</t>
        </is>
      </c>
      <c r="Y25" s="40" t="inlineStr">
        <is>
          <t>Range Fade</t>
        </is>
      </c>
      <c r="Z25" s="41" t="inlineStr">
        <is>
          <t>Yes</t>
        </is>
      </c>
      <c r="AA25" s="41" t="inlineStr">
        <is>
          <t>Calm</t>
        </is>
      </c>
      <c r="AB25" s="40" t="n"/>
      <c r="AC25" s="51" t="inlineStr">
        <is>
          <t>Range high fade</t>
        </is>
      </c>
      <c r="AD25" s="51" t="inlineStr">
        <is>
          <t>Valid. Lost. Fees entered from exchange (incl. funding).</t>
        </is>
      </c>
      <c r="AE25" s="40" t="n"/>
      <c r="AF25" s="52" t="str">
        <f>IF($AM25=0,"",IF($D25&lt;&gt;"",$D25,IF(IFERROR(INDEX(Accounts!$C$7:$C$16,MATCH($C25,Accounts!$B$7:$B$16,0))&amp;"","")&lt;&gt;"",INDEX(Accounts!$C$7:$C$16,MATCH($C25,Accounts!$B$7:$B$16,0)),Settings!$C$6)))</f>
        <v>Crypto</v>
      </c>
      <c r="AG25" s="53">
        <f>IF($AM25=0,"",IF(AND($BE25&gt;0,N(INDEX(Instruments!$D$6:$D$205,MAX(1,$BE25)))&gt;0),INDEX(Instruments!$D$6:$D$205,MAX(1,$BE25)),IF(N(INDEX(Settings!$D$14:$D$18,$BF25))&gt;0,INDEX(Settings!$D$14:$D$18,$BF25),"")))</f>
        <v>1</v>
      </c>
      <c r="AH25" s="54">
        <f>IF($AM25=0,"",IF($AF25&lt;&gt;"Forex",1,IF(MID(UPPER(SUBSTITUTE(TRIM($E25),"/","")),4,3)=UPPER(TRIM(Settings!$C$7)),1,IF(LEFT(UPPER(SUBSTITUTE(TRIM($E25),"/","")),3)=UPPER(TRIM(Settings!$C$7)),IF(AND(ISNUMBER($K25),N($K25)&lt;&gt;0),1/$K25,""),""))))</f>
        <v>1</v>
      </c>
      <c r="AI25" s="55">
        <f>IF($AM25=0,"",IF(OR(NOT(ISNUMBER($H25)),NOT(ISNUMBER($K25)),NOT(ISNUMBER($G25)),$AG25="",$AH25=""),"",ROUND(($K25-$H25)*IF($F25="Short",-1,1)*$G25*$AG25*$AH25,6)))</f>
        <v>-48</v>
      </c>
      <c r="AJ25" s="55">
        <f>IF($AM25=0,"",IF(INDEX(Settings!$E$14:$E$18,$BF25)="% of notional",IF(OR($AG25="",NOT(ISNUMBER($H25)),NOT(ISNUMBER($G25))),"",ROUND(ABS($H25*$G25*$AG25*N($AH25))*IF($L25="Limit",N(INDEX(Settings!$G$14:$G$18,$BF25)),N(INDEX(Settings!$H$14:$H$18,$BF25)))+IF(ISNUMBER($K25),ABS($K25*$G25*$AG25*N($AH25))*IF($M25="Target",N(INDEX(Settings!$G$14:$G$18,$BF25)),N(INDEX(Settings!$H$14:$H$18,$BF25))),0),6)),IF(NOT(ISNUMBER($G25)),"",ROUND(ABS($G25)*2*IF(AND($BE25&gt;0,ISNUMBER(INDEX(Instruments!$G$6:$G$205,MAX(1,$BE25)))),INDEX(Instruments!$G$6:$G$205,MAX(1,$BE25)),N(INDEX(Settings!$F$14:$F$18,$BF25))),6))))</f>
        <v>6.2784</v>
      </c>
      <c r="AK25" s="55">
        <f>IF($AM25=0,"",IF(ISNUMBER($O25),$O25,$AI25))</f>
        <v>-48</v>
      </c>
      <c r="AL25" s="55">
        <f>IF($AM25=0,"",IF(ISNUMBER($P25),$P25,N($AJ25)))</f>
        <v>7.1</v>
      </c>
      <c r="AM25" s="56">
        <f>IF(AND($A25&lt;&gt;"",$E25&lt;&gt;"",OR(AND(ISNUMBER($G25),ISNUMBER($H25),ISNUMBER($K25)),ISNUMBER($O25))),1,0)</f>
        <v>1</v>
      </c>
      <c r="AN25" s="57">
        <f>IF($A25="","",$A25-WEEKDAY($A25,3))</f>
        <v>46293</v>
      </c>
      <c r="AO25" s="56">
        <f>IF($A25="","",WEEKDAY($A25,2))</f>
        <v>2</v>
      </c>
      <c r="AP25" s="55">
        <f>IF(OR($AM25=0,$C25=""),"",IFERROR(N(INDEX(Accounts!$E$7:$E$16,MATCH($C25,Accounts!$B$7:$B$16,0))),0)+SUMIFS($Q$6:$Q25,$C$6:$C25,$C25))</f>
        <v>5054.65188</v>
      </c>
      <c r="AQ25" s="55">
        <f>IF(OR($AM25=0,$C25=""),"",SUMIFS($Q$6:$Q$1005,$C$6:$C$1005,$C25,$A$6:$A$1005,$A25))</f>
        <v>-55.1</v>
      </c>
      <c r="AR25" s="55">
        <f>IF(OR($AM25=0,$C25=""),"",IFERROR(N(INDEX(Accounts!$E$7:$E$16,MATCH($C25,Accounts!$B$7:$B$16,0))),0)+SUMIFS($Q$6:$Q$1005,$C$6:$C$1005,$C25,$A$6:$A$1005,"&lt;="&amp;$A25))</f>
        <v>5054.65188</v>
      </c>
      <c r="AS25" s="56">
        <f>IF(OR($AM25=0,$Q25=""),0,IF(AND($A25&gt;=Lists!$W$6,$A25&lt;=Lists!$W$7,OR(Dashboard!$D$6="All accounts",$C25=Dashboard!$D$6),OR(Dashboard!$D$7="All markets",$AF25=Dashboard!$D$7)),1,0))</f>
        <v>1</v>
      </c>
      <c r="AT25" s="55">
        <f>IF($AS25=1,N(AT24)+$Q25,N(AT24))</f>
        <v>710.65188</v>
      </c>
      <c r="AU25" s="55">
        <f>MAX(N(AU24),$AT25)</f>
        <v>916.75188</v>
      </c>
      <c r="AV25" s="55">
        <f>$AT25-$AU25</f>
        <v>-206.1</v>
      </c>
      <c r="AW25" s="56">
        <f>IF($AS25=1,IF($S25="Win",N(AW24)+1,IF($S25="Loss",0,N(AW24))),N(AW24))</f>
        <v>0</v>
      </c>
      <c r="AX25" s="56">
        <f>IF($AS25=1,IF($S25="Loss",N(AX24)+1,IF($S25="Win",0,N(AX24))),N(AX24))</f>
        <v>2</v>
      </c>
      <c r="AY25" s="56">
        <f>IF($AS25=1,COUNTIF($AS$6:$AS25,1),"")</f>
        <v>20</v>
      </c>
      <c r="AZ25" s="56">
        <f>MIN(19,N(Lists!$W$8))</f>
        <v>19</v>
      </c>
      <c r="BA25" s="56">
        <f>IF($AS25=1,IF(COUNTIFS($A$6:$A25,$A25,$AS$6:$AS25,1)=1,1,0),0)</f>
        <v>0</v>
      </c>
      <c r="BB25" s="55" t="str">
        <f>IF($BA25=1,SUMIFS($Q$6:$Q$1005,$A$6:$A$1005,$A25,$AS$6:$AS$1005,1),"")</f>
        <v/>
      </c>
      <c r="BC25" s="56">
        <f>IF(ISNUMBER($R25),1,0)</f>
        <v>1</v>
      </c>
      <c r="BD25" s="55" t="str">
        <f>IF(ISNUMBER($U25),$U25*$V25,"")</f>
        <v/>
      </c>
      <c r="BE25" s="56">
        <f>IF($AM25=0,"",IFERROR(MATCH($AF25&amp;"|"&amp;UPPER(TRIM($E25)),Lists!$A$6:$A$205,0),0))</f>
        <v>46</v>
      </c>
      <c r="BF25" s="56">
        <f>IF($AM25=0,"",IFERROR(MATCH($AF25,Settings!$B$14:$B$18,0),IFERROR(MATCH(Settings!$C$6,Settings!$B$14:$B$18,0),1)))</f>
        <v>5</v>
      </c>
      <c r="BG25" s="58" t="str">
        <f>IF($AM25=0,"",IF(NOT(ISNUMBER($I25)),"No stop; ","")&amp;IF(AND(ISNUMBER($H25),ISNUMBER($I25)),IF(OR(AND($F25&lt;&gt;"Short",$I25&gt;=$H25),AND($F25="Short",$I25&lt;=$H25)),"Stop on wrong side; ",""),"")&amp;IF($F25="","No direction; ","")&amp;IF(AND(ISNUMBER(Settings!$C$22),ISNUMBER($V25)),IF($V25&gt;Settings!$C$22,"Risk over max $; ",""),"")&amp;IF(AND(ISNUMBER(Settings!$C$23),ISNUMBER($V25),ISNUMBER($AP25),IFERROR(N(INDEX(Accounts!$E$7:$E$16,MATCH($C25,Accounts!$B$7:$B$16,0))),0)&gt;0),IF($V25&gt;Settings!$C$23*($AP25-N($Q25)),"Risk over max %; ",""),"")&amp;IF(AND(ISNUMBER(Settings!$C$24),ISNUMBER($N25)),IF($N25&gt;Settings!$C$24,"Leverage over max; ",""),"")&amp;IF(AND(ISNUMBER(Settings!$C$27),ISNUMBER($T25)),IF($T25&lt;Settings!$C$27,"R:R below min; ",""),"")&amp;IF(ISNUMBER(Settings!$C$25),IF(COUNTIFS($A$6:$A25,$A25,$AM$6:$AM25,1)&gt;Settings!$C$25,"Over max trades/day; ",""),"")&amp;IF(ISNUMBER(Settings!$C$26),IF(SUMIFS($Q$5:$Q24,$A$5:$A24,$A25)&lt;=-Settings!$C$26,"Traded after daily max loss; ",""),"")&amp;IF(AND($AG25="",NOT(ISNUMBER($O25))),"Symbol not in Instruments; ","")&amp;IF(AND($AH25="",NOT(ISNUMBER($O25))),"Forex cross: type Gross P&amp;L; ",""))</f>
        <v/>
      </c>
      <c r="BH25" s="56">
        <f>IF(ISNUMBER($Q25),1,0)</f>
        <v>1</v>
      </c>
      <c r="BI25" s="56">
        <f>IF($Y25="",0,1)</f>
        <v>1</v>
      </c>
      <c r="BJ25" s="56">
        <f>IF($AB25="",0,1)</f>
        <v>0</v>
      </c>
      <c r="BK25" s="56">
        <f>IF(AND($BH25=1,$W25&lt;&gt;"OK"),1,0)</f>
        <v>0</v>
      </c>
      <c r="BL25" s="55">
        <f>IF(N($AZ25)=0,0,IFERROR(INDEX($AT$6:$AT$1005,MATCH($AZ25,$AY$6:$AY$1005,0)),0))</f>
        <v>765.75188</v>
      </c>
      <c r="BM25" s="56">
        <f>IF(ISNUMBER(SEARCH("daily max loss",$BG25)),1,0)</f>
        <v>0</v>
      </c>
    </row>
    <row r="26" ht="30" customHeight="1">
      <c r="A26" s="38" t="n">
        <v>46295</v>
      </c>
      <c r="B26" s="39" t="n">
        <v>0.3979166666666666</v>
      </c>
      <c r="C26" s="40" t="inlineStr">
        <is>
          <t>Prop Eval 50K</t>
        </is>
      </c>
      <c r="D26" s="41" t="n"/>
      <c r="E26" s="41" t="inlineStr">
        <is>
          <t>MNQ</t>
        </is>
      </c>
      <c r="F26" s="41" t="inlineStr">
        <is>
          <t>Long</t>
        </is>
      </c>
      <c r="G26" s="41" t="n">
        <v>1</v>
      </c>
      <c r="H26" s="42" t="n">
        <v>29610</v>
      </c>
      <c r="I26" s="42" t="n">
        <v>29580</v>
      </c>
      <c r="J26" s="42" t="n">
        <v>29670</v>
      </c>
      <c r="K26" s="42" t="n">
        <v>29612</v>
      </c>
      <c r="L26" s="41" t="inlineStr">
        <is>
          <t>Market</t>
        </is>
      </c>
      <c r="M26" s="41" t="inlineStr">
        <is>
          <t>Breakeven</t>
        </is>
      </c>
      <c r="N26" s="41" t="n"/>
      <c r="O26" s="43" t="n"/>
      <c r="P26" s="43" t="n"/>
      <c r="Q26" s="44">
        <f>IF($AM26=0,"",IF(ISNUMBER($AK26),$AK26-N($AL26),""))</f>
        <v>3</v>
      </c>
      <c r="R26" s="45">
        <f>IF(OR($Q26="",NOT(ISNUMBER($V26))),"",$AK26/$V26)</f>
        <v>0.0666666666666667</v>
      </c>
      <c r="S26" s="46" t="str">
        <f>IF($Q26="","",IF(AND(ISNUMBER($R26),ABS(N($R26))&lt;N(Settings!$C$8)),"Scratch",IF($Q26&gt;0,"Win",IF($Q26&lt;0,"Loss","Scratch"))))</f>
        <v>Scratch</v>
      </c>
      <c r="T26" s="47">
        <f>IF(OR($AM26=0,NOT(ISNUMBER($H26)),NOT(ISNUMBER($I26)),NOT(ISNUMBER($J26))),"",IF($H26=$I26,"",ROUND(ABS($J26-$H26)/ABS($H26-$I26),6)))</f>
        <v>2</v>
      </c>
      <c r="U26" s="48" t="str">
        <f>IF(OR($S26&lt;&gt;"Win",NOT(ISNUMBER($T26)),NOT(ISNUMBER($R26))),"",MAX(0,$T26-$R26))</f>
        <v/>
      </c>
      <c r="V26" s="49">
        <f>IF(OR($AM26=0,NOT(ISNUMBER($H26)),NOT(ISNUMBER($I26)),NOT(ISNUMBER($G26))),"",IF(OR($AG26="",$AH26=""),"",IF(ROUND(ABS($H26-$I26)*ABS($G26)*$AG26*$AH26,6)=0,"",ROUND(ABS($H26-$I26)*ABS($G26)*$AG26*$AH26,6))))</f>
        <v>60</v>
      </c>
      <c r="W26" s="50" t="str">
        <f>IF($AM26=0,"",IF($BG26="","OK",LEFT($BG26,LEN($BG26)-2)))</f>
        <v>OK</v>
      </c>
      <c r="X26" s="41" t="inlineStr">
        <is>
          <t>NY Open</t>
        </is>
      </c>
      <c r="Y26" s="40" t="inlineStr">
        <is>
          <t>Breakout &amp; Retest</t>
        </is>
      </c>
      <c r="Z26" s="41" t="inlineStr">
        <is>
          <t>Yes</t>
        </is>
      </c>
      <c r="AA26" s="41" t="inlineStr">
        <is>
          <t>Hesitant</t>
        </is>
      </c>
      <c r="AB26" s="40" t="n"/>
      <c r="AC26" s="51" t="inlineStr">
        <is>
          <t>Breakout looked weak</t>
        </is>
      </c>
      <c r="AD26" s="51" t="inlineStr">
        <is>
          <t>Moved to breakeven per plan. Scratch.</t>
        </is>
      </c>
      <c r="AE26" s="40" t="n"/>
      <c r="AF26" s="52" t="str">
        <f>IF($AM26=0,"",IF($D26&lt;&gt;"",$D26,IF(IFERROR(INDEX(Accounts!$C$7:$C$16,MATCH($C26,Accounts!$B$7:$B$16,0))&amp;"","")&lt;&gt;"",INDEX(Accounts!$C$7:$C$16,MATCH($C26,Accounts!$B$7:$B$16,0)),Settings!$C$6)))</f>
        <v>Futures</v>
      </c>
      <c r="AG26" s="53">
        <f>IF($AM26=0,"",IF(AND($BE26&gt;0,N(INDEX(Instruments!$D$6:$D$205,MAX(1,$BE26)))&gt;0),INDEX(Instruments!$D$6:$D$205,MAX(1,$BE26)),IF(N(INDEX(Settings!$D$14:$D$18,$BF26))&gt;0,INDEX(Settings!$D$14:$D$18,$BF26),"")))</f>
        <v>2</v>
      </c>
      <c r="AH26" s="54">
        <f>IF($AM26=0,"",IF($AF26&lt;&gt;"Forex",1,IF(MID(UPPER(SUBSTITUTE(TRIM($E26),"/","")),4,3)=UPPER(TRIM(Settings!$C$7)),1,IF(LEFT(UPPER(SUBSTITUTE(TRIM($E26),"/","")),3)=UPPER(TRIM(Settings!$C$7)),IF(AND(ISNUMBER($K26),N($K26)&lt;&gt;0),1/$K26,""),""))))</f>
        <v>1</v>
      </c>
      <c r="AI26" s="55">
        <f>IF($AM26=0,"",IF(OR(NOT(ISNUMBER($H26)),NOT(ISNUMBER($K26)),NOT(ISNUMBER($G26)),$AG26="",$AH26=""),"",ROUND(($K26-$H26)*IF($F26="Short",-1,1)*$G26*$AG26*$AH26,6)))</f>
        <v>4</v>
      </c>
      <c r="AJ26" s="55">
        <f>IF($AM26=0,"",IF(INDEX(Settings!$E$14:$E$18,$BF26)="% of notional",IF(OR($AG26="",NOT(ISNUMBER($H26)),NOT(ISNUMBER($G26))),"",ROUND(ABS($H26*$G26*$AG26*N($AH26))*IF($L26="Limit",N(INDEX(Settings!$G$14:$G$18,$BF26)),N(INDEX(Settings!$H$14:$H$18,$BF26)))+IF(ISNUMBER($K26),ABS($K26*$G26*$AG26*N($AH26))*IF($M26="Target",N(INDEX(Settings!$G$14:$G$18,$BF26)),N(INDEX(Settings!$H$14:$H$18,$BF26))),0),6)),IF(NOT(ISNUMBER($G26)),"",ROUND(ABS($G26)*2*IF(AND($BE26&gt;0,ISNUMBER(INDEX(Instruments!$G$6:$G$205,MAX(1,$BE26)))),INDEX(Instruments!$G$6:$G$205,MAX(1,$BE26)),N(INDEX(Settings!$F$14:$F$18,$BF26))),6))))</f>
        <v>1</v>
      </c>
      <c r="AK26" s="55">
        <f>IF($AM26=0,"",IF(ISNUMBER($O26),$O26,$AI26))</f>
        <v>4</v>
      </c>
      <c r="AL26" s="55">
        <f>IF($AM26=0,"",IF(ISNUMBER($P26),$P26,N($AJ26)))</f>
        <v>1</v>
      </c>
      <c r="AM26" s="56">
        <f>IF(AND($A26&lt;&gt;"",$E26&lt;&gt;"",OR(AND(ISNUMBER($G26),ISNUMBER($H26),ISNUMBER($K26)),ISNUMBER($O26))),1,0)</f>
        <v>1</v>
      </c>
      <c r="AN26" s="57">
        <f>IF($A26="","",$A26-WEEKDAY($A26,3))</f>
        <v>46293</v>
      </c>
      <c r="AO26" s="56">
        <f>IF($A26="","",WEEKDAY($A26,2))</f>
        <v>3</v>
      </c>
      <c r="AP26" s="55">
        <f>IF(OR($AM26=0,$C26=""),"",IFERROR(N(INDEX(Accounts!$E$7:$E$16,MATCH($C26,Accounts!$B$7:$B$16,0))),0)+SUMIFS($Q$6:$Q26,$C$6:$C26,$C26))</f>
        <v>50659</v>
      </c>
      <c r="AQ26" s="55">
        <f>IF(OR($AM26=0,$C26=""),"",SUMIFS($Q$6:$Q$1005,$C$6:$C$1005,$C26,$A$6:$A$1005,$A26))</f>
        <v>122</v>
      </c>
      <c r="AR26" s="55">
        <f>IF(OR($AM26=0,$C26=""),"",IFERROR(N(INDEX(Accounts!$E$7:$E$16,MATCH($C26,Accounts!$B$7:$B$16,0))),0)+SUMIFS($Q$6:$Q$1005,$C$6:$C$1005,$C26,$A$6:$A$1005,"&lt;="&amp;$A26))</f>
        <v>50778</v>
      </c>
      <c r="AS26" s="56">
        <f>IF(OR($AM26=0,$Q26=""),0,IF(AND($A26&gt;=Lists!$W$6,$A26&lt;=Lists!$W$7,OR(Dashboard!$D$6="All accounts",$C26=Dashboard!$D$6),OR(Dashboard!$D$7="All markets",$AF26=Dashboard!$D$7)),1,0))</f>
        <v>1</v>
      </c>
      <c r="AT26" s="55">
        <f>IF($AS26=1,N(AT25)+$Q26,N(AT25))</f>
        <v>713.65188</v>
      </c>
      <c r="AU26" s="55">
        <f>MAX(N(AU25),$AT26)</f>
        <v>916.75188</v>
      </c>
      <c r="AV26" s="55">
        <f>$AT26-$AU26</f>
        <v>-203.1</v>
      </c>
      <c r="AW26" s="56">
        <f>IF($AS26=1,IF($S26="Win",N(AW25)+1,IF($S26="Loss",0,N(AW25))),N(AW25))</f>
        <v>0</v>
      </c>
      <c r="AX26" s="56">
        <f>IF($AS26=1,IF($S26="Loss",N(AX25)+1,IF($S26="Win",0,N(AX25))),N(AX25))</f>
        <v>2</v>
      </c>
      <c r="AY26" s="56">
        <f>IF($AS26=1,COUNTIF($AS$6:$AS26,1),"")</f>
        <v>21</v>
      </c>
      <c r="AZ26" s="56">
        <f>MIN(20,N(Lists!$W$8))</f>
        <v>20</v>
      </c>
      <c r="BA26" s="56">
        <f>IF($AS26=1,IF(COUNTIFS($A$6:$A26,$A26,$AS$6:$AS26,1)=1,1,0),0)</f>
        <v>1</v>
      </c>
      <c r="BB26" s="55">
        <f>IF($BA26=1,SUMIFS($Q$6:$Q$1005,$A$6:$A$1005,$A26,$AS$6:$AS$1005,1),"")</f>
        <v>122</v>
      </c>
      <c r="BC26" s="56">
        <f>IF(ISNUMBER($R26),1,0)</f>
        <v>1</v>
      </c>
      <c r="BD26" s="55" t="str">
        <f>IF(ISNUMBER($U26),$U26*$V26,"")</f>
        <v/>
      </c>
      <c r="BE26" s="56">
        <f>IF($AM26=0,"",IFERROR(MATCH($AF26&amp;"|"&amp;UPPER(TRIM($E26)),Lists!$A$6:$A$205,0),0))</f>
        <v>3</v>
      </c>
      <c r="BF26" s="56">
        <f>IF($AM26=0,"",IFERROR(MATCH($AF26,Settings!$B$14:$B$18,0),IFERROR(MATCH(Settings!$C$6,Settings!$B$14:$B$18,0),1)))</f>
        <v>1</v>
      </c>
      <c r="BG26" s="58" t="str">
        <f>IF($AM26=0,"",IF(NOT(ISNUMBER($I26)),"No stop; ","")&amp;IF(AND(ISNUMBER($H26),ISNUMBER($I26)),IF(OR(AND($F26&lt;&gt;"Short",$I26&gt;=$H26),AND($F26="Short",$I26&lt;=$H26)),"Stop on wrong side; ",""),"")&amp;IF($F26="","No direction; ","")&amp;IF(AND(ISNUMBER(Settings!$C$22),ISNUMBER($V26)),IF($V26&gt;Settings!$C$22,"Risk over max $; ",""),"")&amp;IF(AND(ISNUMBER(Settings!$C$23),ISNUMBER($V26),ISNUMBER($AP26),IFERROR(N(INDEX(Accounts!$E$7:$E$16,MATCH($C26,Accounts!$B$7:$B$16,0))),0)&gt;0),IF($V26&gt;Settings!$C$23*($AP26-N($Q26)),"Risk over max %; ",""),"")&amp;IF(AND(ISNUMBER(Settings!$C$24),ISNUMBER($N26)),IF($N26&gt;Settings!$C$24,"Leverage over max; ",""),"")&amp;IF(AND(ISNUMBER(Settings!$C$27),ISNUMBER($T26)),IF($T26&lt;Settings!$C$27,"R:R below min; ",""),"")&amp;IF(ISNUMBER(Settings!$C$25),IF(COUNTIFS($A$6:$A26,$A26,$AM$6:$AM26,1)&gt;Settings!$C$25,"Over max trades/day; ",""),"")&amp;IF(ISNUMBER(Settings!$C$26),IF(SUMIFS($Q$5:$Q25,$A$5:$A25,$A26)&lt;=-Settings!$C$26,"Traded after daily max loss; ",""),"")&amp;IF(AND($AG26="",NOT(ISNUMBER($O26))),"Symbol not in Instruments; ","")&amp;IF(AND($AH26="",NOT(ISNUMBER($O26))),"Forex cross: type Gross P&amp;L; ",""))</f>
        <v/>
      </c>
      <c r="BH26" s="56">
        <f>IF(ISNUMBER($Q26),1,0)</f>
        <v>1</v>
      </c>
      <c r="BI26" s="56">
        <f>IF($Y26="",0,1)</f>
        <v>1</v>
      </c>
      <c r="BJ26" s="56">
        <f>IF($AB26="",0,1)</f>
        <v>0</v>
      </c>
      <c r="BK26" s="56">
        <f>IF(AND($BH26=1,$W26&lt;&gt;"OK"),1,0)</f>
        <v>0</v>
      </c>
      <c r="BL26" s="55">
        <f>IF(N($AZ26)=0,0,IFERROR(INDEX($AT$6:$AT$1005,MATCH($AZ26,$AY$6:$AY$1005,0)),0))</f>
        <v>710.65188</v>
      </c>
      <c r="BM26" s="56">
        <f>IF(ISNUMBER(SEARCH("daily max loss",$BG26)),1,0)</f>
        <v>0</v>
      </c>
    </row>
    <row r="27" ht="30" customHeight="1">
      <c r="A27" s="38" t="n">
        <v>46295</v>
      </c>
      <c r="B27" s="39" t="n">
        <v>0.4305555555555556</v>
      </c>
      <c r="C27" s="40" t="inlineStr">
        <is>
          <t>Prop Eval 50K</t>
        </is>
      </c>
      <c r="D27" s="41" t="n"/>
      <c r="E27" s="41" t="inlineStr">
        <is>
          <t>MGC</t>
        </is>
      </c>
      <c r="F27" s="41" t="inlineStr">
        <is>
          <t>Long</t>
        </is>
      </c>
      <c r="G27" s="41" t="n">
        <v>1</v>
      </c>
      <c r="H27" s="42" t="n">
        <v>4045</v>
      </c>
      <c r="I27" s="42" t="n">
        <v>4039</v>
      </c>
      <c r="J27" s="42" t="n">
        <v>4057</v>
      </c>
      <c r="K27" s="42" t="n">
        <v>4057</v>
      </c>
      <c r="L27" s="41" t="inlineStr">
        <is>
          <t>Limit</t>
        </is>
      </c>
      <c r="M27" s="41" t="inlineStr">
        <is>
          <t>Target</t>
        </is>
      </c>
      <c r="N27" s="41" t="n"/>
      <c r="O27" s="43" t="n"/>
      <c r="P27" s="43" t="n"/>
      <c r="Q27" s="44">
        <f>IF($AM27=0,"",IF(ISNUMBER($AK27),$AK27-N($AL27),""))</f>
        <v>119</v>
      </c>
      <c r="R27" s="45">
        <f>IF(OR($Q27="",NOT(ISNUMBER($V27))),"",$AK27/$V27)</f>
        <v>2</v>
      </c>
      <c r="S27" s="46" t="str">
        <f>IF($Q27="","",IF(AND(ISNUMBER($R27),ABS(N($R27))&lt;N(Settings!$C$8)),"Scratch",IF($Q27&gt;0,"Win",IF($Q27&lt;0,"Loss","Scratch"))))</f>
        <v>Win</v>
      </c>
      <c r="T27" s="47">
        <f>IF(OR($AM27=0,NOT(ISNUMBER($H27)),NOT(ISNUMBER($I27)),NOT(ISNUMBER($J27))),"",IF($H27=$I27,"",ROUND(ABS($J27-$H27)/ABS($H27-$I27),6)))</f>
        <v>2</v>
      </c>
      <c r="U27" s="48">
        <f>IF(OR($S27&lt;&gt;"Win",NOT(ISNUMBER($T27)),NOT(ISNUMBER($R27))),"",MAX(0,$T27-$R27))</f>
        <v>0</v>
      </c>
      <c r="V27" s="49">
        <f>IF(OR($AM27=0,NOT(ISNUMBER($H27)),NOT(ISNUMBER($I27)),NOT(ISNUMBER($G27))),"",IF(OR($AG27="",$AH27=""),"",IF(ROUND(ABS($H27-$I27)*ABS($G27)*$AG27*$AH27,6)=0,"",ROUND(ABS($H27-$I27)*ABS($G27)*$AG27*$AH27,6))))</f>
        <v>60</v>
      </c>
      <c r="W27" s="50" t="str">
        <f>IF($AM27=0,"",IF($BG27="","OK",LEFT($BG27,LEN($BG27)-2)))</f>
        <v>OK</v>
      </c>
      <c r="X27" s="41" t="inlineStr">
        <is>
          <t>NY Open</t>
        </is>
      </c>
      <c r="Y27" s="40" t="inlineStr">
        <is>
          <t>Trend Pullback</t>
        </is>
      </c>
      <c r="Z27" s="41" t="inlineStr">
        <is>
          <t>Yes</t>
        </is>
      </c>
      <c r="AA27" s="41" t="inlineStr">
        <is>
          <t>Calm</t>
        </is>
      </c>
      <c r="AB27" s="40" t="n"/>
      <c r="AC27" s="51" t="inlineStr">
        <is>
          <t>Gold pullback held the 20 EMA</t>
        </is>
      </c>
      <c r="AD27" s="51" t="inlineStr">
        <is>
          <t>Clean.</t>
        </is>
      </c>
      <c r="AE27" s="40" t="n"/>
      <c r="AF27" s="52" t="str">
        <f>IF($AM27=0,"",IF($D27&lt;&gt;"",$D27,IF(IFERROR(INDEX(Accounts!$C$7:$C$16,MATCH($C27,Accounts!$B$7:$B$16,0))&amp;"","")&lt;&gt;"",INDEX(Accounts!$C$7:$C$16,MATCH($C27,Accounts!$B$7:$B$16,0)),Settings!$C$6)))</f>
        <v>Futures</v>
      </c>
      <c r="AG27" s="53">
        <f>IF($AM27=0,"",IF(AND($BE27&gt;0,N(INDEX(Instruments!$D$6:$D$205,MAX(1,$BE27)))&gt;0),INDEX(Instruments!$D$6:$D$205,MAX(1,$BE27)),IF(N(INDEX(Settings!$D$14:$D$18,$BF27))&gt;0,INDEX(Settings!$D$14:$D$18,$BF27),"")))</f>
        <v>10</v>
      </c>
      <c r="AH27" s="54">
        <f>IF($AM27=0,"",IF($AF27&lt;&gt;"Forex",1,IF(MID(UPPER(SUBSTITUTE(TRIM($E27),"/","")),4,3)=UPPER(TRIM(Settings!$C$7)),1,IF(LEFT(UPPER(SUBSTITUTE(TRIM($E27),"/","")),3)=UPPER(TRIM(Settings!$C$7)),IF(AND(ISNUMBER($K27),N($K27)&lt;&gt;0),1/$K27,""),""))))</f>
        <v>1</v>
      </c>
      <c r="AI27" s="55">
        <f>IF($AM27=0,"",IF(OR(NOT(ISNUMBER($H27)),NOT(ISNUMBER($K27)),NOT(ISNUMBER($G27)),$AG27="",$AH27=""),"",ROUND(($K27-$H27)*IF($F27="Short",-1,1)*$G27*$AG27*$AH27,6)))</f>
        <v>120</v>
      </c>
      <c r="AJ27" s="55">
        <f>IF($AM27=0,"",IF(INDEX(Settings!$E$14:$E$18,$BF27)="% of notional",IF(OR($AG27="",NOT(ISNUMBER($H27)),NOT(ISNUMBER($G27))),"",ROUND(ABS($H27*$G27*$AG27*N($AH27))*IF($L27="Limit",N(INDEX(Settings!$G$14:$G$18,$BF27)),N(INDEX(Settings!$H$14:$H$18,$BF27)))+IF(ISNUMBER($K27),ABS($K27*$G27*$AG27*N($AH27))*IF($M27="Target",N(INDEX(Settings!$G$14:$G$18,$BF27)),N(INDEX(Settings!$H$14:$H$18,$BF27))),0),6)),IF(NOT(ISNUMBER($G27)),"",ROUND(ABS($G27)*2*IF(AND($BE27&gt;0,ISNUMBER(INDEX(Instruments!$G$6:$G$205,MAX(1,$BE27)))),INDEX(Instruments!$G$6:$G$205,MAX(1,$BE27)),N(INDEX(Settings!$F$14:$F$18,$BF27))),6))))</f>
        <v>1</v>
      </c>
      <c r="AK27" s="55">
        <f>IF($AM27=0,"",IF(ISNUMBER($O27),$O27,$AI27))</f>
        <v>120</v>
      </c>
      <c r="AL27" s="55">
        <f>IF($AM27=0,"",IF(ISNUMBER($P27),$P27,N($AJ27)))</f>
        <v>1</v>
      </c>
      <c r="AM27" s="56">
        <f>IF(AND($A27&lt;&gt;"",$E27&lt;&gt;"",OR(AND(ISNUMBER($G27),ISNUMBER($H27),ISNUMBER($K27)),ISNUMBER($O27))),1,0)</f>
        <v>1</v>
      </c>
      <c r="AN27" s="57">
        <f>IF($A27="","",$A27-WEEKDAY($A27,3))</f>
        <v>46293</v>
      </c>
      <c r="AO27" s="56">
        <f>IF($A27="","",WEEKDAY($A27,2))</f>
        <v>3</v>
      </c>
      <c r="AP27" s="55">
        <f>IF(OR($AM27=0,$C27=""),"",IFERROR(N(INDEX(Accounts!$E$7:$E$16,MATCH($C27,Accounts!$B$7:$B$16,0))),0)+SUMIFS($Q$6:$Q27,$C$6:$C27,$C27))</f>
        <v>50778</v>
      </c>
      <c r="AQ27" s="55">
        <f>IF(OR($AM27=0,$C27=""),"",SUMIFS($Q$6:$Q$1005,$C$6:$C$1005,$C27,$A$6:$A$1005,$A27))</f>
        <v>122</v>
      </c>
      <c r="AR27" s="55">
        <f>IF(OR($AM27=0,$C27=""),"",IFERROR(N(INDEX(Accounts!$E$7:$E$16,MATCH($C27,Accounts!$B$7:$B$16,0))),0)+SUMIFS($Q$6:$Q$1005,$C$6:$C$1005,$C27,$A$6:$A$1005,"&lt;="&amp;$A27))</f>
        <v>50778</v>
      </c>
      <c r="AS27" s="56">
        <f>IF(OR($AM27=0,$Q27=""),0,IF(AND($A27&gt;=Lists!$W$6,$A27&lt;=Lists!$W$7,OR(Dashboard!$D$6="All accounts",$C27=Dashboard!$D$6),OR(Dashboard!$D$7="All markets",$AF27=Dashboard!$D$7)),1,0))</f>
        <v>1</v>
      </c>
      <c r="AT27" s="55">
        <f>IF($AS27=1,N(AT26)+$Q27,N(AT26))</f>
        <v>832.65188</v>
      </c>
      <c r="AU27" s="55">
        <f>MAX(N(AU26),$AT27)</f>
        <v>916.75188</v>
      </c>
      <c r="AV27" s="55">
        <f>$AT27-$AU27</f>
        <v>-84.1</v>
      </c>
      <c r="AW27" s="56">
        <f>IF($AS27=1,IF($S27="Win",N(AW26)+1,IF($S27="Loss",0,N(AW26))),N(AW26))</f>
        <v>1</v>
      </c>
      <c r="AX27" s="56">
        <f>IF($AS27=1,IF($S27="Loss",N(AX26)+1,IF($S27="Win",0,N(AX26))),N(AX26))</f>
        <v>0</v>
      </c>
      <c r="AY27" s="56">
        <f>IF($AS27=1,COUNTIF($AS$6:$AS27,1),"")</f>
        <v>22</v>
      </c>
      <c r="AZ27" s="56">
        <f>MIN(21,N(Lists!$W$8))</f>
        <v>21</v>
      </c>
      <c r="BA27" s="56">
        <f>IF($AS27=1,IF(COUNTIFS($A$6:$A27,$A27,$AS$6:$AS27,1)=1,1,0),0)</f>
        <v>0</v>
      </c>
      <c r="BB27" s="55" t="str">
        <f>IF($BA27=1,SUMIFS($Q$6:$Q$1005,$A$6:$A$1005,$A27,$AS$6:$AS$1005,1),"")</f>
        <v/>
      </c>
      <c r="BC27" s="56">
        <f>IF(ISNUMBER($R27),1,0)</f>
        <v>1</v>
      </c>
      <c r="BD27" s="55">
        <f>IF(ISNUMBER($U27),$U27*$V27,"")</f>
        <v>0</v>
      </c>
      <c r="BE27" s="56">
        <f>IF($AM27=0,"",IFERROR(MATCH($AF27&amp;"|"&amp;UPPER(TRIM($E27)),Lists!$A$6:$A$205,0),0))</f>
        <v>14</v>
      </c>
      <c r="BF27" s="56">
        <f>IF($AM27=0,"",IFERROR(MATCH($AF27,Settings!$B$14:$B$18,0),IFERROR(MATCH(Settings!$C$6,Settings!$B$14:$B$18,0),1)))</f>
        <v>1</v>
      </c>
      <c r="BG27" s="58" t="str">
        <f>IF($AM27=0,"",IF(NOT(ISNUMBER($I27)),"No stop; ","")&amp;IF(AND(ISNUMBER($H27),ISNUMBER($I27)),IF(OR(AND($F27&lt;&gt;"Short",$I27&gt;=$H27),AND($F27="Short",$I27&lt;=$H27)),"Stop on wrong side; ",""),"")&amp;IF($F27="","No direction; ","")&amp;IF(AND(ISNUMBER(Settings!$C$22),ISNUMBER($V27)),IF($V27&gt;Settings!$C$22,"Risk over max $; ",""),"")&amp;IF(AND(ISNUMBER(Settings!$C$23),ISNUMBER($V27),ISNUMBER($AP27),IFERROR(N(INDEX(Accounts!$E$7:$E$16,MATCH($C27,Accounts!$B$7:$B$16,0))),0)&gt;0),IF($V27&gt;Settings!$C$23*($AP27-N($Q27)),"Risk over max %; ",""),"")&amp;IF(AND(ISNUMBER(Settings!$C$24),ISNUMBER($N27)),IF($N27&gt;Settings!$C$24,"Leverage over max; ",""),"")&amp;IF(AND(ISNUMBER(Settings!$C$27),ISNUMBER($T27)),IF($T27&lt;Settings!$C$27,"R:R below min; ",""),"")&amp;IF(ISNUMBER(Settings!$C$25),IF(COUNTIFS($A$6:$A27,$A27,$AM$6:$AM27,1)&gt;Settings!$C$25,"Over max trades/day; ",""),"")&amp;IF(ISNUMBER(Settings!$C$26),IF(SUMIFS($Q$5:$Q26,$A$5:$A26,$A27)&lt;=-Settings!$C$26,"Traded after daily max loss; ",""),"")&amp;IF(AND($AG27="",NOT(ISNUMBER($O27))),"Symbol not in Instruments; ","")&amp;IF(AND($AH27="",NOT(ISNUMBER($O27))),"Forex cross: type Gross P&amp;L; ",""))</f>
        <v/>
      </c>
      <c r="BH27" s="56">
        <f>IF(ISNUMBER($Q27),1,0)</f>
        <v>1</v>
      </c>
      <c r="BI27" s="56">
        <f>IF($Y27="",0,1)</f>
        <v>1</v>
      </c>
      <c r="BJ27" s="56">
        <f>IF($AB27="",0,1)</f>
        <v>0</v>
      </c>
      <c r="BK27" s="56">
        <f>IF(AND($BH27=1,$W27&lt;&gt;"OK"),1,0)</f>
        <v>0</v>
      </c>
      <c r="BL27" s="55">
        <f>IF(N($AZ27)=0,0,IFERROR(INDEX($AT$6:$AT$1005,MATCH($AZ27,$AY$6:$AY$1005,0)),0))</f>
        <v>713.65188</v>
      </c>
      <c r="BM27" s="56">
        <f>IF(ISNUMBER(SEARCH("daily max loss",$BG27)),1,0)</f>
        <v>0</v>
      </c>
    </row>
    <row r="28" ht="30" customHeight="1">
      <c r="A28" s="38" t="n">
        <v>46296</v>
      </c>
      <c r="B28" s="39" t="n">
        <v>0.4097222222222222</v>
      </c>
      <c r="C28" s="40" t="inlineStr">
        <is>
          <t>Prop Eval 50K</t>
        </is>
      </c>
      <c r="D28" s="41" t="n"/>
      <c r="E28" s="41" t="inlineStr">
        <is>
          <t>MES</t>
        </is>
      </c>
      <c r="F28" s="41" t="inlineStr">
        <is>
          <t>Long</t>
        </is>
      </c>
      <c r="G28" s="41" t="n">
        <v>6</v>
      </c>
      <c r="H28" s="42" t="n">
        <v>7670</v>
      </c>
      <c r="I28" s="42" t="n">
        <v>7660</v>
      </c>
      <c r="J28" s="42" t="n">
        <v>7690</v>
      </c>
      <c r="K28" s="42" t="n">
        <v>7660</v>
      </c>
      <c r="L28" s="41" t="inlineStr">
        <is>
          <t>Market</t>
        </is>
      </c>
      <c r="M28" s="41" t="inlineStr">
        <is>
          <t>Stop loss</t>
        </is>
      </c>
      <c r="N28" s="41" t="n"/>
      <c r="O28" s="43" t="n"/>
      <c r="P28" s="43" t="n"/>
      <c r="Q28" s="44">
        <f>IF($AM28=0,"",IF(ISNUMBER($AK28),$AK28-N($AL28),""))</f>
        <v>-306</v>
      </c>
      <c r="R28" s="45">
        <f>IF(OR($Q28="",NOT(ISNUMBER($V28))),"",$AK28/$V28)</f>
        <v>-1</v>
      </c>
      <c r="S28" s="46" t="str">
        <f>IF($Q28="","",IF(AND(ISNUMBER($R28),ABS(N($R28))&lt;N(Settings!$C$8)),"Scratch",IF($Q28&gt;0,"Win",IF($Q28&lt;0,"Loss","Scratch"))))</f>
        <v>Loss</v>
      </c>
      <c r="T28" s="47">
        <f>IF(OR($AM28=0,NOT(ISNUMBER($H28)),NOT(ISNUMBER($I28)),NOT(ISNUMBER($J28))),"",IF($H28=$I28,"",ROUND(ABS($J28-$H28)/ABS($H28-$I28),6)))</f>
        <v>2</v>
      </c>
      <c r="U28" s="48" t="str">
        <f>IF(OR($S28&lt;&gt;"Win",NOT(ISNUMBER($T28)),NOT(ISNUMBER($R28))),"",MAX(0,$T28-$R28))</f>
        <v/>
      </c>
      <c r="V28" s="49">
        <f>IF(OR($AM28=0,NOT(ISNUMBER($H28)),NOT(ISNUMBER($I28)),NOT(ISNUMBER($G28))),"",IF(OR($AG28="",$AH28=""),"",IF(ROUND(ABS($H28-$I28)*ABS($G28)*$AG28*$AH28,6)=0,"",ROUND(ABS($H28-$I28)*ABS($G28)*$AG28*$AH28,6))))</f>
        <v>300</v>
      </c>
      <c r="W28" s="50" t="str">
        <f>IF($AM28=0,"",IF($BG28="","OK",LEFT($BG28,LEN($BG28)-2)))</f>
        <v>Risk over max $</v>
      </c>
      <c r="X28" s="41" t="inlineStr">
        <is>
          <t>NY Open</t>
        </is>
      </c>
      <c r="Y28" s="40" t="inlineStr">
        <is>
          <t>Breakout &amp; Retest</t>
        </is>
      </c>
      <c r="Z28" s="41" t="inlineStr">
        <is>
          <t>No</t>
        </is>
      </c>
      <c r="AA28" s="41" t="inlineStr">
        <is>
          <t>FOMO</t>
        </is>
      </c>
      <c r="AB28" s="40" t="inlineStr">
        <is>
          <t>Oversized</t>
        </is>
      </c>
      <c r="AC28" s="51" t="inlineStr">
        <is>
          <t>Breakout, felt sure about it</t>
        </is>
      </c>
      <c r="AD28" s="51" t="inlineStr">
        <is>
          <t>Sized up after two green days. Broke my max risk.</t>
        </is>
      </c>
      <c r="AE28" s="40" t="n"/>
      <c r="AF28" s="52" t="str">
        <f>IF($AM28=0,"",IF($D28&lt;&gt;"",$D28,IF(IFERROR(INDEX(Accounts!$C$7:$C$16,MATCH($C28,Accounts!$B$7:$B$16,0))&amp;"","")&lt;&gt;"",INDEX(Accounts!$C$7:$C$16,MATCH($C28,Accounts!$B$7:$B$16,0)),Settings!$C$6)))</f>
        <v>Futures</v>
      </c>
      <c r="AG28" s="53">
        <f>IF($AM28=0,"",IF(AND($BE28&gt;0,N(INDEX(Instruments!$D$6:$D$205,MAX(1,$BE28)))&gt;0),INDEX(Instruments!$D$6:$D$205,MAX(1,$BE28)),IF(N(INDEX(Settings!$D$14:$D$18,$BF28))&gt;0,INDEX(Settings!$D$14:$D$18,$BF28),"")))</f>
        <v>5</v>
      </c>
      <c r="AH28" s="54">
        <f>IF($AM28=0,"",IF($AF28&lt;&gt;"Forex",1,IF(MID(UPPER(SUBSTITUTE(TRIM($E28),"/","")),4,3)=UPPER(TRIM(Settings!$C$7)),1,IF(LEFT(UPPER(SUBSTITUTE(TRIM($E28),"/","")),3)=UPPER(TRIM(Settings!$C$7)),IF(AND(ISNUMBER($K28),N($K28)&lt;&gt;0),1/$K28,""),""))))</f>
        <v>1</v>
      </c>
      <c r="AI28" s="55">
        <f>IF($AM28=0,"",IF(OR(NOT(ISNUMBER($H28)),NOT(ISNUMBER($K28)),NOT(ISNUMBER($G28)),$AG28="",$AH28=""),"",ROUND(($K28-$H28)*IF($F28="Short",-1,1)*$G28*$AG28*$AH28,6)))</f>
        <v>-300</v>
      </c>
      <c r="AJ28" s="55">
        <f>IF($AM28=0,"",IF(INDEX(Settings!$E$14:$E$18,$BF28)="% of notional",IF(OR($AG28="",NOT(ISNUMBER($H28)),NOT(ISNUMBER($G28))),"",ROUND(ABS($H28*$G28*$AG28*N($AH28))*IF($L28="Limit",N(INDEX(Settings!$G$14:$G$18,$BF28)),N(INDEX(Settings!$H$14:$H$18,$BF28)))+IF(ISNUMBER($K28),ABS($K28*$G28*$AG28*N($AH28))*IF($M28="Target",N(INDEX(Settings!$G$14:$G$18,$BF28)),N(INDEX(Settings!$H$14:$H$18,$BF28))),0),6)),IF(NOT(ISNUMBER($G28)),"",ROUND(ABS($G28)*2*IF(AND($BE28&gt;0,ISNUMBER(INDEX(Instruments!$G$6:$G$205,MAX(1,$BE28)))),INDEX(Instruments!$G$6:$G$205,MAX(1,$BE28)),N(INDEX(Settings!$F$14:$F$18,$BF28))),6))))</f>
        <v>6</v>
      </c>
      <c r="AK28" s="55">
        <f>IF($AM28=0,"",IF(ISNUMBER($O28),$O28,$AI28))</f>
        <v>-300</v>
      </c>
      <c r="AL28" s="55">
        <f>IF($AM28=0,"",IF(ISNUMBER($P28),$P28,N($AJ28)))</f>
        <v>6</v>
      </c>
      <c r="AM28" s="56">
        <f>IF(AND($A28&lt;&gt;"",$E28&lt;&gt;"",OR(AND(ISNUMBER($G28),ISNUMBER($H28),ISNUMBER($K28)),ISNUMBER($O28))),1,0)</f>
        <v>1</v>
      </c>
      <c r="AN28" s="57">
        <f>IF($A28="","",$A28-WEEKDAY($A28,3))</f>
        <v>46293</v>
      </c>
      <c r="AO28" s="56">
        <f>IF($A28="","",WEEKDAY($A28,2))</f>
        <v>4</v>
      </c>
      <c r="AP28" s="55">
        <f>IF(OR($AM28=0,$C28=""),"",IFERROR(N(INDEX(Accounts!$E$7:$E$16,MATCH($C28,Accounts!$B$7:$B$16,0))),0)+SUMIFS($Q$6:$Q28,$C$6:$C28,$C28))</f>
        <v>50472</v>
      </c>
      <c r="AQ28" s="55">
        <f>IF(OR($AM28=0,$C28=""),"",SUMIFS($Q$6:$Q$1005,$C$6:$C$1005,$C28,$A$6:$A$1005,$A28))</f>
        <v>-306</v>
      </c>
      <c r="AR28" s="55">
        <f>IF(OR($AM28=0,$C28=""),"",IFERROR(N(INDEX(Accounts!$E$7:$E$16,MATCH($C28,Accounts!$B$7:$B$16,0))),0)+SUMIFS($Q$6:$Q$1005,$C$6:$C$1005,$C28,$A$6:$A$1005,"&lt;="&amp;$A28))</f>
        <v>50472</v>
      </c>
      <c r="AS28" s="56">
        <f>IF(OR($AM28=0,$Q28=""),0,IF(AND($A28&gt;=Lists!$W$6,$A28&lt;=Lists!$W$7,OR(Dashboard!$D$6="All accounts",$C28=Dashboard!$D$6),OR(Dashboard!$D$7="All markets",$AF28=Dashboard!$D$7)),1,0))</f>
        <v>1</v>
      </c>
      <c r="AT28" s="55">
        <f>IF($AS28=1,N(AT27)+$Q28,N(AT27))</f>
        <v>526.65188</v>
      </c>
      <c r="AU28" s="55">
        <f>MAX(N(AU27),$AT28)</f>
        <v>916.75188</v>
      </c>
      <c r="AV28" s="55">
        <f>$AT28-$AU28</f>
        <v>-390.1</v>
      </c>
      <c r="AW28" s="56">
        <f>IF($AS28=1,IF($S28="Win",N(AW27)+1,IF($S28="Loss",0,N(AW27))),N(AW27))</f>
        <v>0</v>
      </c>
      <c r="AX28" s="56">
        <f>IF($AS28=1,IF($S28="Loss",N(AX27)+1,IF($S28="Win",0,N(AX27))),N(AX27))</f>
        <v>1</v>
      </c>
      <c r="AY28" s="56">
        <f>IF($AS28=1,COUNTIF($AS$6:$AS28,1),"")</f>
        <v>23</v>
      </c>
      <c r="AZ28" s="56">
        <f>MIN(22,N(Lists!$W$8))</f>
        <v>22</v>
      </c>
      <c r="BA28" s="56">
        <f>IF($AS28=1,IF(COUNTIFS($A$6:$A28,$A28,$AS$6:$AS28,1)=1,1,0),0)</f>
        <v>1</v>
      </c>
      <c r="BB28" s="55">
        <f>IF($BA28=1,SUMIFS($Q$6:$Q$1005,$A$6:$A$1005,$A28,$AS$6:$AS$1005,1),"")</f>
        <v>-207.856</v>
      </c>
      <c r="BC28" s="56">
        <f>IF(ISNUMBER($R28),1,0)</f>
        <v>1</v>
      </c>
      <c r="BD28" s="55" t="str">
        <f>IF(ISNUMBER($U28),$U28*$V28,"")</f>
        <v/>
      </c>
      <c r="BE28" s="56">
        <f>IF($AM28=0,"",IFERROR(MATCH($AF28&amp;"|"&amp;UPPER(TRIM($E28)),Lists!$A$6:$A$205,0),0))</f>
        <v>1</v>
      </c>
      <c r="BF28" s="56">
        <f>IF($AM28=0,"",IFERROR(MATCH($AF28,Settings!$B$14:$B$18,0),IFERROR(MATCH(Settings!$C$6,Settings!$B$14:$B$18,0),1)))</f>
        <v>1</v>
      </c>
      <c r="BG28" s="58" t="str">
        <f>IF($AM28=0,"",IF(NOT(ISNUMBER($I28)),"No stop; ","")&amp;IF(AND(ISNUMBER($H28),ISNUMBER($I28)),IF(OR(AND($F28&lt;&gt;"Short",$I28&gt;=$H28),AND($F28="Short",$I28&lt;=$H28)),"Stop on wrong side; ",""),"")&amp;IF($F28="","No direction; ","")&amp;IF(AND(ISNUMBER(Settings!$C$22),ISNUMBER($V28)),IF($V28&gt;Settings!$C$22,"Risk over max $; ",""),"")&amp;IF(AND(ISNUMBER(Settings!$C$23),ISNUMBER($V28),ISNUMBER($AP28),IFERROR(N(INDEX(Accounts!$E$7:$E$16,MATCH($C28,Accounts!$B$7:$B$16,0))),0)&gt;0),IF($V28&gt;Settings!$C$23*($AP28-N($Q28)),"Risk over max %; ",""),"")&amp;IF(AND(ISNUMBER(Settings!$C$24),ISNUMBER($N28)),IF($N28&gt;Settings!$C$24,"Leverage over max; ",""),"")&amp;IF(AND(ISNUMBER(Settings!$C$27),ISNUMBER($T28)),IF($T28&lt;Settings!$C$27,"R:R below min; ",""),"")&amp;IF(ISNUMBER(Settings!$C$25),IF(COUNTIFS($A$6:$A28,$A28,$AM$6:$AM28,1)&gt;Settings!$C$25,"Over max trades/day; ",""),"")&amp;IF(ISNUMBER(Settings!$C$26),IF(SUMIFS($Q$5:$Q27,$A$5:$A27,$A28)&lt;=-Settings!$C$26,"Traded after daily max loss; ",""),"")&amp;IF(AND($AG28="",NOT(ISNUMBER($O28))),"Symbol not in Instruments; ","")&amp;IF(AND($AH28="",NOT(ISNUMBER($O28))),"Forex cross: type Gross P&amp;L; ",""))</f>
        <v>Risk over max $; </v>
      </c>
      <c r="BH28" s="56">
        <f>IF(ISNUMBER($Q28),1,0)</f>
        <v>1</v>
      </c>
      <c r="BI28" s="56">
        <f>IF($Y28="",0,1)</f>
        <v>1</v>
      </c>
      <c r="BJ28" s="56">
        <f>IF($AB28="",0,1)</f>
        <v>1</v>
      </c>
      <c r="BK28" s="56">
        <f>IF(AND($BH28=1,$W28&lt;&gt;"OK"),1,0)</f>
        <v>1</v>
      </c>
      <c r="BL28" s="55">
        <f>IF(N($AZ28)=0,0,IFERROR(INDEX($AT$6:$AT$1005,MATCH($AZ28,$AY$6:$AY$1005,0)),0))</f>
        <v>832.65188</v>
      </c>
      <c r="BM28" s="56">
        <f>IF(ISNUMBER(SEARCH("daily max loss",$BG28)),1,0)</f>
        <v>0</v>
      </c>
    </row>
    <row r="29" ht="30" customHeight="1">
      <c r="A29" s="38" t="n">
        <v>46296</v>
      </c>
      <c r="B29" s="39" t="n">
        <v>0.9236111111111112</v>
      </c>
      <c r="C29" s="40" t="inlineStr">
        <is>
          <t>Crypto Main</t>
        </is>
      </c>
      <c r="D29" s="41" t="n"/>
      <c r="E29" s="41" t="inlineStr">
        <is>
          <t>ETHUSDT</t>
        </is>
      </c>
      <c r="F29" s="41" t="inlineStr">
        <is>
          <t>Long</t>
        </is>
      </c>
      <c r="G29" s="41" t="n">
        <v>2</v>
      </c>
      <c r="H29" s="42" t="n">
        <v>2295</v>
      </c>
      <c r="I29" s="42" t="n">
        <v>2270</v>
      </c>
      <c r="J29" s="42" t="n">
        <v>2345</v>
      </c>
      <c r="K29" s="42" t="n">
        <v>2345</v>
      </c>
      <c r="L29" s="41" t="inlineStr">
        <is>
          <t>Limit</t>
        </is>
      </c>
      <c r="M29" s="41" t="inlineStr">
        <is>
          <t>Target</t>
        </is>
      </c>
      <c r="N29" s="41" t="n">
        <v>10</v>
      </c>
      <c r="O29" s="43" t="n"/>
      <c r="P29" s="43" t="n"/>
      <c r="Q29" s="44">
        <f>IF($AM29=0,"",IF(ISNUMBER($AK29),$AK29-N($AL29),""))</f>
        <v>98.144</v>
      </c>
      <c r="R29" s="45">
        <f>IF(OR($Q29="",NOT(ISNUMBER($V29))),"",$AK29/$V29)</f>
        <v>2</v>
      </c>
      <c r="S29" s="46" t="str">
        <f>IF($Q29="","",IF(AND(ISNUMBER($R29),ABS(N($R29))&lt;N(Settings!$C$8)),"Scratch",IF($Q29&gt;0,"Win",IF($Q29&lt;0,"Loss","Scratch"))))</f>
        <v>Win</v>
      </c>
      <c r="T29" s="47">
        <f>IF(OR($AM29=0,NOT(ISNUMBER($H29)),NOT(ISNUMBER($I29)),NOT(ISNUMBER($J29))),"",IF($H29=$I29,"",ROUND(ABS($J29-$H29)/ABS($H29-$I29),6)))</f>
        <v>2</v>
      </c>
      <c r="U29" s="48">
        <f>IF(OR($S29&lt;&gt;"Win",NOT(ISNUMBER($T29)),NOT(ISNUMBER($R29))),"",MAX(0,$T29-$R29))</f>
        <v>0</v>
      </c>
      <c r="V29" s="49">
        <f>IF(OR($AM29=0,NOT(ISNUMBER($H29)),NOT(ISNUMBER($I29)),NOT(ISNUMBER($G29))),"",IF(OR($AG29="",$AH29=""),"",IF(ROUND(ABS($H29-$I29)*ABS($G29)*$AG29*$AH29,6)=0,"",ROUND(ABS($H29-$I29)*ABS($G29)*$AG29*$AH29,6))))</f>
        <v>50</v>
      </c>
      <c r="W29" s="50" t="str">
        <f>IF($AM29=0,"",IF($BG29="","OK",LEFT($BG29,LEN($BG29)-2)))</f>
        <v>OK</v>
      </c>
      <c r="X29" s="41" t="inlineStr">
        <is>
          <t>US</t>
        </is>
      </c>
      <c r="Y29" s="40" t="inlineStr">
        <is>
          <t>Breakout &amp; Retest</t>
        </is>
      </c>
      <c r="Z29" s="41" t="inlineStr">
        <is>
          <t>Yes</t>
        </is>
      </c>
      <c r="AA29" s="41" t="inlineStr">
        <is>
          <t>Confident</t>
        </is>
      </c>
      <c r="AB29" s="40" t="n"/>
      <c r="AC29" s="51" t="inlineStr">
        <is>
          <t>Retest of 2,290 held</t>
        </is>
      </c>
      <c r="AD29" s="51" t="inlineStr">
        <is>
          <t>Clean.</t>
        </is>
      </c>
      <c r="AE29" s="40" t="n"/>
      <c r="AF29" s="52" t="str">
        <f>IF($AM29=0,"",IF($D29&lt;&gt;"",$D29,IF(IFERROR(INDEX(Accounts!$C$7:$C$16,MATCH($C29,Accounts!$B$7:$B$16,0))&amp;"","")&lt;&gt;"",INDEX(Accounts!$C$7:$C$16,MATCH($C29,Accounts!$B$7:$B$16,0)),Settings!$C$6)))</f>
        <v>Crypto</v>
      </c>
      <c r="AG29" s="53">
        <f>IF($AM29=0,"",IF(AND($BE29&gt;0,N(INDEX(Instruments!$D$6:$D$205,MAX(1,$BE29)))&gt;0),INDEX(Instruments!$D$6:$D$205,MAX(1,$BE29)),IF(N(INDEX(Settings!$D$14:$D$18,$BF29))&gt;0,INDEX(Settings!$D$14:$D$18,$BF29),"")))</f>
        <v>1</v>
      </c>
      <c r="AH29" s="54">
        <f>IF($AM29=0,"",IF($AF29&lt;&gt;"Forex",1,IF(MID(UPPER(SUBSTITUTE(TRIM($E29),"/","")),4,3)=UPPER(TRIM(Settings!$C$7)),1,IF(LEFT(UPPER(SUBSTITUTE(TRIM($E29),"/","")),3)=UPPER(TRIM(Settings!$C$7)),IF(AND(ISNUMBER($K29),N($K29)&lt;&gt;0),1/$K29,""),""))))</f>
        <v>1</v>
      </c>
      <c r="AI29" s="55">
        <f>IF($AM29=0,"",IF(OR(NOT(ISNUMBER($H29)),NOT(ISNUMBER($K29)),NOT(ISNUMBER($G29)),$AG29="",$AH29=""),"",ROUND(($K29-$H29)*IF($F29="Short",-1,1)*$G29*$AG29*$AH29,6)))</f>
        <v>100</v>
      </c>
      <c r="AJ29" s="55">
        <f>IF($AM29=0,"",IF(INDEX(Settings!$E$14:$E$18,$BF29)="% of notional",IF(OR($AG29="",NOT(ISNUMBER($H29)),NOT(ISNUMBER($G29))),"",ROUND(ABS($H29*$G29*$AG29*N($AH29))*IF($L29="Limit",N(INDEX(Settings!$G$14:$G$18,$BF29)),N(INDEX(Settings!$H$14:$H$18,$BF29)))+IF(ISNUMBER($K29),ABS($K29*$G29*$AG29*N($AH29))*IF($M29="Target",N(INDEX(Settings!$G$14:$G$18,$BF29)),N(INDEX(Settings!$H$14:$H$18,$BF29))),0),6)),IF(NOT(ISNUMBER($G29)),"",ROUND(ABS($G29)*2*IF(AND($BE29&gt;0,ISNUMBER(INDEX(Instruments!$G$6:$G$205,MAX(1,$BE29)))),INDEX(Instruments!$G$6:$G$205,MAX(1,$BE29)),N(INDEX(Settings!$F$14:$F$18,$BF29))),6))))</f>
        <v>1.856</v>
      </c>
      <c r="AK29" s="55">
        <f>IF($AM29=0,"",IF(ISNUMBER($O29),$O29,$AI29))</f>
        <v>100</v>
      </c>
      <c r="AL29" s="55">
        <f>IF($AM29=0,"",IF(ISNUMBER($P29),$P29,N($AJ29)))</f>
        <v>1.856</v>
      </c>
      <c r="AM29" s="56">
        <f>IF(AND($A29&lt;&gt;"",$E29&lt;&gt;"",OR(AND(ISNUMBER($G29),ISNUMBER($H29),ISNUMBER($K29)),ISNUMBER($O29))),1,0)</f>
        <v>1</v>
      </c>
      <c r="AN29" s="57">
        <f>IF($A29="","",$A29-WEEKDAY($A29,3))</f>
        <v>46293</v>
      </c>
      <c r="AO29" s="56">
        <f>IF($A29="","",WEEKDAY($A29,2))</f>
        <v>4</v>
      </c>
      <c r="AP29" s="55">
        <f>IF(OR($AM29=0,$C29=""),"",IFERROR(N(INDEX(Accounts!$E$7:$E$16,MATCH($C29,Accounts!$B$7:$B$16,0))),0)+SUMIFS($Q$6:$Q29,$C$6:$C29,$C29))</f>
        <v>5152.79588</v>
      </c>
      <c r="AQ29" s="55">
        <f>IF(OR($AM29=0,$C29=""),"",SUMIFS($Q$6:$Q$1005,$C$6:$C$1005,$C29,$A$6:$A$1005,$A29))</f>
        <v>98.144</v>
      </c>
      <c r="AR29" s="55">
        <f>IF(OR($AM29=0,$C29=""),"",IFERROR(N(INDEX(Accounts!$E$7:$E$16,MATCH($C29,Accounts!$B$7:$B$16,0))),0)+SUMIFS($Q$6:$Q$1005,$C$6:$C$1005,$C29,$A$6:$A$1005,"&lt;="&amp;$A29))</f>
        <v>5152.79588</v>
      </c>
      <c r="AS29" s="56">
        <f>IF(OR($AM29=0,$Q29=""),0,IF(AND($A29&gt;=Lists!$W$6,$A29&lt;=Lists!$W$7,OR(Dashboard!$D$6="All accounts",$C29=Dashboard!$D$6),OR(Dashboard!$D$7="All markets",$AF29=Dashboard!$D$7)),1,0))</f>
        <v>1</v>
      </c>
      <c r="AT29" s="55">
        <f>IF($AS29=1,N(AT28)+$Q29,N(AT28))</f>
        <v>624.79588</v>
      </c>
      <c r="AU29" s="55">
        <f>MAX(N(AU28),$AT29)</f>
        <v>916.75188</v>
      </c>
      <c r="AV29" s="55">
        <f>$AT29-$AU29</f>
        <v>-291.956</v>
      </c>
      <c r="AW29" s="56">
        <f>IF($AS29=1,IF($S29="Win",N(AW28)+1,IF($S29="Loss",0,N(AW28))),N(AW28))</f>
        <v>1</v>
      </c>
      <c r="AX29" s="56">
        <f>IF($AS29=1,IF($S29="Loss",N(AX28)+1,IF($S29="Win",0,N(AX28))),N(AX28))</f>
        <v>0</v>
      </c>
      <c r="AY29" s="56">
        <f>IF($AS29=1,COUNTIF($AS$6:$AS29,1),"")</f>
        <v>24</v>
      </c>
      <c r="AZ29" s="56">
        <f>MIN(23,N(Lists!$W$8))</f>
        <v>23</v>
      </c>
      <c r="BA29" s="56">
        <f>IF($AS29=1,IF(COUNTIFS($A$6:$A29,$A29,$AS$6:$AS29,1)=1,1,0),0)</f>
        <v>0</v>
      </c>
      <c r="BB29" s="55" t="str">
        <f>IF($BA29=1,SUMIFS($Q$6:$Q$1005,$A$6:$A$1005,$A29,$AS$6:$AS$1005,1),"")</f>
        <v/>
      </c>
      <c r="BC29" s="56">
        <f>IF(ISNUMBER($R29),1,0)</f>
        <v>1</v>
      </c>
      <c r="BD29" s="55">
        <f>IF(ISNUMBER($U29),$U29*$V29,"")</f>
        <v>0</v>
      </c>
      <c r="BE29" s="56">
        <f>IF($AM29=0,"",IFERROR(MATCH($AF29&amp;"|"&amp;UPPER(TRIM($E29)),Lists!$A$6:$A$205,0),0))</f>
        <v>47</v>
      </c>
      <c r="BF29" s="56">
        <f>IF($AM29=0,"",IFERROR(MATCH($AF29,Settings!$B$14:$B$18,0),IFERROR(MATCH(Settings!$C$6,Settings!$B$14:$B$18,0),1)))</f>
        <v>5</v>
      </c>
      <c r="BG29" s="58" t="str">
        <f>IF($AM29=0,"",IF(NOT(ISNUMBER($I29)),"No stop; ","")&amp;IF(AND(ISNUMBER($H29),ISNUMBER($I29)),IF(OR(AND($F29&lt;&gt;"Short",$I29&gt;=$H29),AND($F29="Short",$I29&lt;=$H29)),"Stop on wrong side; ",""),"")&amp;IF($F29="","No direction; ","")&amp;IF(AND(ISNUMBER(Settings!$C$22),ISNUMBER($V29)),IF($V29&gt;Settings!$C$22,"Risk over max $; ",""),"")&amp;IF(AND(ISNUMBER(Settings!$C$23),ISNUMBER($V29),ISNUMBER($AP29),IFERROR(N(INDEX(Accounts!$E$7:$E$16,MATCH($C29,Accounts!$B$7:$B$16,0))),0)&gt;0),IF($V29&gt;Settings!$C$23*($AP29-N($Q29)),"Risk over max %; ",""),"")&amp;IF(AND(ISNUMBER(Settings!$C$24),ISNUMBER($N29)),IF($N29&gt;Settings!$C$24,"Leverage over max; ",""),"")&amp;IF(AND(ISNUMBER(Settings!$C$27),ISNUMBER($T29)),IF($T29&lt;Settings!$C$27,"R:R below min; ",""),"")&amp;IF(ISNUMBER(Settings!$C$25),IF(COUNTIFS($A$6:$A29,$A29,$AM$6:$AM29,1)&gt;Settings!$C$25,"Over max trades/day; ",""),"")&amp;IF(ISNUMBER(Settings!$C$26),IF(SUMIFS($Q$5:$Q28,$A$5:$A28,$A29)&lt;=-Settings!$C$26,"Traded after daily max loss; ",""),"")&amp;IF(AND($AG29="",NOT(ISNUMBER($O29))),"Symbol not in Instruments; ","")&amp;IF(AND($AH29="",NOT(ISNUMBER($O29))),"Forex cross: type Gross P&amp;L; ",""))</f>
        <v/>
      </c>
      <c r="BH29" s="56">
        <f>IF(ISNUMBER($Q29),1,0)</f>
        <v>1</v>
      </c>
      <c r="BI29" s="56">
        <f>IF($Y29="",0,1)</f>
        <v>1</v>
      </c>
      <c r="BJ29" s="56">
        <f>IF($AB29="",0,1)</f>
        <v>0</v>
      </c>
      <c r="BK29" s="56">
        <f>IF(AND($BH29=1,$W29&lt;&gt;"OK"),1,0)</f>
        <v>0</v>
      </c>
      <c r="BL29" s="55">
        <f>IF(N($AZ29)=0,0,IFERROR(INDEX($AT$6:$AT$1005,MATCH($AZ29,$AY$6:$AY$1005,0)),0))</f>
        <v>526.65188</v>
      </c>
      <c r="BM29" s="56">
        <f>IF(ISNUMBER(SEARCH("daily max loss",$BG29)),1,0)</f>
        <v>0</v>
      </c>
    </row>
    <row r="30" ht="30" customHeight="1">
      <c r="A30" s="38" t="n">
        <v>46297</v>
      </c>
      <c r="B30" s="39" t="n">
        <v>0.4034722222222222</v>
      </c>
      <c r="C30" s="40" t="inlineStr">
        <is>
          <t>Prop Eval 50K</t>
        </is>
      </c>
      <c r="D30" s="41" t="n"/>
      <c r="E30" s="41" t="inlineStr">
        <is>
          <t>MNQ</t>
        </is>
      </c>
      <c r="F30" s="41" t="inlineStr">
        <is>
          <t>Short</t>
        </is>
      </c>
      <c r="G30" s="41" t="n">
        <v>2</v>
      </c>
      <c r="H30" s="42" t="n">
        <v>29900</v>
      </c>
      <c r="I30" s="42" t="n">
        <v>29930</v>
      </c>
      <c r="J30" s="42" t="n">
        <v>29840</v>
      </c>
      <c r="K30" s="42" t="n">
        <v>29842.5</v>
      </c>
      <c r="L30" s="41" t="inlineStr">
        <is>
          <t>Limit</t>
        </is>
      </c>
      <c r="M30" s="41" t="inlineStr">
        <is>
          <t>Manual</t>
        </is>
      </c>
      <c r="N30" s="41" t="n"/>
      <c r="O30" s="43" t="n"/>
      <c r="P30" s="43" t="n"/>
      <c r="Q30" s="44">
        <f>IF($AM30=0,"",IF(ISNUMBER($AK30),$AK30-N($AL30),""))</f>
        <v>228</v>
      </c>
      <c r="R30" s="45">
        <f>IF(OR($Q30="",NOT(ISNUMBER($V30))),"",$AK30/$V30)</f>
        <v>1.91666666666667</v>
      </c>
      <c r="S30" s="46" t="str">
        <f>IF($Q30="","",IF(AND(ISNUMBER($R30),ABS(N($R30))&lt;N(Settings!$C$8)),"Scratch",IF($Q30&gt;0,"Win",IF($Q30&lt;0,"Loss","Scratch"))))</f>
        <v>Win</v>
      </c>
      <c r="T30" s="47">
        <f>IF(OR($AM30=0,NOT(ISNUMBER($H30)),NOT(ISNUMBER($I30)),NOT(ISNUMBER($J30))),"",IF($H30=$I30,"",ROUND(ABS($J30-$H30)/ABS($H30-$I30),6)))</f>
        <v>2</v>
      </c>
      <c r="U30" s="48">
        <f>IF(OR($S30&lt;&gt;"Win",NOT(ISNUMBER($T30)),NOT(ISNUMBER($R30))),"",MAX(0,$T30-$R30))</f>
        <v>0.0833333333333333</v>
      </c>
      <c r="V30" s="49">
        <f>IF(OR($AM30=0,NOT(ISNUMBER($H30)),NOT(ISNUMBER($I30)),NOT(ISNUMBER($G30))),"",IF(OR($AG30="",$AH30=""),"",IF(ROUND(ABS($H30-$I30)*ABS($G30)*$AG30*$AH30,6)=0,"",ROUND(ABS($H30-$I30)*ABS($G30)*$AG30*$AH30,6))))</f>
        <v>120</v>
      </c>
      <c r="W30" s="50" t="str">
        <f>IF($AM30=0,"",IF($BG30="","OK",LEFT($BG30,LEN($BG30)-2)))</f>
        <v>OK</v>
      </c>
      <c r="X30" s="41" t="inlineStr">
        <is>
          <t>NY Open</t>
        </is>
      </c>
      <c r="Y30" s="40" t="inlineStr">
        <is>
          <t>Range Fade</t>
        </is>
      </c>
      <c r="Z30" s="41" t="inlineStr">
        <is>
          <t>Yes</t>
        </is>
      </c>
      <c r="AA30" s="41" t="inlineStr">
        <is>
          <t>Calm</t>
        </is>
      </c>
      <c r="AB30" s="40" t="n"/>
      <c r="AC30" s="51" t="inlineStr">
        <is>
          <t>Range high rejection</t>
        </is>
      </c>
      <c r="AD30" s="51" t="inlineStr">
        <is>
          <t>Closed just before target.</t>
        </is>
      </c>
      <c r="AE30" s="40" t="n"/>
      <c r="AF30" s="52" t="str">
        <f>IF($AM30=0,"",IF($D30&lt;&gt;"",$D30,IF(IFERROR(INDEX(Accounts!$C$7:$C$16,MATCH($C30,Accounts!$B$7:$B$16,0))&amp;"","")&lt;&gt;"",INDEX(Accounts!$C$7:$C$16,MATCH($C30,Accounts!$B$7:$B$16,0)),Settings!$C$6)))</f>
        <v>Futures</v>
      </c>
      <c r="AG30" s="53">
        <f>IF($AM30=0,"",IF(AND($BE30&gt;0,N(INDEX(Instruments!$D$6:$D$205,MAX(1,$BE30)))&gt;0),INDEX(Instruments!$D$6:$D$205,MAX(1,$BE30)),IF(N(INDEX(Settings!$D$14:$D$18,$BF30))&gt;0,INDEX(Settings!$D$14:$D$18,$BF30),"")))</f>
        <v>2</v>
      </c>
      <c r="AH30" s="54">
        <f>IF($AM30=0,"",IF($AF30&lt;&gt;"Forex",1,IF(MID(UPPER(SUBSTITUTE(TRIM($E30),"/","")),4,3)=UPPER(TRIM(Settings!$C$7)),1,IF(LEFT(UPPER(SUBSTITUTE(TRIM($E30),"/","")),3)=UPPER(TRIM(Settings!$C$7)),IF(AND(ISNUMBER($K30),N($K30)&lt;&gt;0),1/$K30,""),""))))</f>
        <v>1</v>
      </c>
      <c r="AI30" s="55">
        <f>IF($AM30=0,"",IF(OR(NOT(ISNUMBER($H30)),NOT(ISNUMBER($K30)),NOT(ISNUMBER($G30)),$AG30="",$AH30=""),"",ROUND(($K30-$H30)*IF($F30="Short",-1,1)*$G30*$AG30*$AH30,6)))</f>
        <v>230</v>
      </c>
      <c r="AJ30" s="55">
        <f>IF($AM30=0,"",IF(INDEX(Settings!$E$14:$E$18,$BF30)="% of notional",IF(OR($AG30="",NOT(ISNUMBER($H30)),NOT(ISNUMBER($G30))),"",ROUND(ABS($H30*$G30*$AG30*N($AH30))*IF($L30="Limit",N(INDEX(Settings!$G$14:$G$18,$BF30)),N(INDEX(Settings!$H$14:$H$18,$BF30)))+IF(ISNUMBER($K30),ABS($K30*$G30*$AG30*N($AH30))*IF($M30="Target",N(INDEX(Settings!$G$14:$G$18,$BF30)),N(INDEX(Settings!$H$14:$H$18,$BF30))),0),6)),IF(NOT(ISNUMBER($G30)),"",ROUND(ABS($G30)*2*IF(AND($BE30&gt;0,ISNUMBER(INDEX(Instruments!$G$6:$G$205,MAX(1,$BE30)))),INDEX(Instruments!$G$6:$G$205,MAX(1,$BE30)),N(INDEX(Settings!$F$14:$F$18,$BF30))),6))))</f>
        <v>2</v>
      </c>
      <c r="AK30" s="55">
        <f>IF($AM30=0,"",IF(ISNUMBER($O30),$O30,$AI30))</f>
        <v>230</v>
      </c>
      <c r="AL30" s="55">
        <f>IF($AM30=0,"",IF(ISNUMBER($P30),$P30,N($AJ30)))</f>
        <v>2</v>
      </c>
      <c r="AM30" s="56">
        <f>IF(AND($A30&lt;&gt;"",$E30&lt;&gt;"",OR(AND(ISNUMBER($G30),ISNUMBER($H30),ISNUMBER($K30)),ISNUMBER($O30))),1,0)</f>
        <v>1</v>
      </c>
      <c r="AN30" s="57">
        <f>IF($A30="","",$A30-WEEKDAY($A30,3))</f>
        <v>46293</v>
      </c>
      <c r="AO30" s="56">
        <f>IF($A30="","",WEEKDAY($A30,2))</f>
        <v>5</v>
      </c>
      <c r="AP30" s="55">
        <f>IF(OR($AM30=0,$C30=""),"",IFERROR(N(INDEX(Accounts!$E$7:$E$16,MATCH($C30,Accounts!$B$7:$B$16,0))),0)+SUMIFS($Q$6:$Q30,$C$6:$C30,$C30))</f>
        <v>50700</v>
      </c>
      <c r="AQ30" s="55">
        <f>IF(OR($AM30=0,$C30=""),"",SUMIFS($Q$6:$Q$1005,$C$6:$C$1005,$C30,$A$6:$A$1005,$A30))</f>
        <v>228</v>
      </c>
      <c r="AR30" s="55">
        <f>IF(OR($AM30=0,$C30=""),"",IFERROR(N(INDEX(Accounts!$E$7:$E$16,MATCH($C30,Accounts!$B$7:$B$16,0))),0)+SUMIFS($Q$6:$Q$1005,$C$6:$C$1005,$C30,$A$6:$A$1005,"&lt;="&amp;$A30))</f>
        <v>50700</v>
      </c>
      <c r="AS30" s="56">
        <f>IF(OR($AM30=0,$Q30=""),0,IF(AND($A30&gt;=Lists!$W$6,$A30&lt;=Lists!$W$7,OR(Dashboard!$D$6="All accounts",$C30=Dashboard!$D$6),OR(Dashboard!$D$7="All markets",$AF30=Dashboard!$D$7)),1,0))</f>
        <v>1</v>
      </c>
      <c r="AT30" s="55">
        <f>IF($AS30=1,N(AT29)+$Q30,N(AT29))</f>
        <v>852.79588</v>
      </c>
      <c r="AU30" s="55">
        <f>MAX(N(AU29),$AT30)</f>
        <v>916.75188</v>
      </c>
      <c r="AV30" s="55">
        <f>$AT30-$AU30</f>
        <v>-63.956</v>
      </c>
      <c r="AW30" s="56">
        <f>IF($AS30=1,IF($S30="Win",N(AW29)+1,IF($S30="Loss",0,N(AW29))),N(AW29))</f>
        <v>2</v>
      </c>
      <c r="AX30" s="56">
        <f>IF($AS30=1,IF($S30="Loss",N(AX29)+1,IF($S30="Win",0,N(AX29))),N(AX29))</f>
        <v>0</v>
      </c>
      <c r="AY30" s="56">
        <f>IF($AS30=1,COUNTIF($AS$6:$AS30,1),"")</f>
        <v>25</v>
      </c>
      <c r="AZ30" s="56">
        <f>MIN(24,N(Lists!$W$8))</f>
        <v>24</v>
      </c>
      <c r="BA30" s="56">
        <f>IF($AS30=1,IF(COUNTIFS($A$6:$A30,$A30,$AS$6:$AS30,1)=1,1,0),0)</f>
        <v>1</v>
      </c>
      <c r="BB30" s="55">
        <f>IF($BA30=1,SUMIFS($Q$6:$Q$1005,$A$6:$A$1005,$A30,$AS$6:$AS$1005,1),"")</f>
        <v>228</v>
      </c>
      <c r="BC30" s="56">
        <f>IF(ISNUMBER($R30),1,0)</f>
        <v>1</v>
      </c>
      <c r="BD30" s="55">
        <f>IF(ISNUMBER($U30),$U30*$V30,"")</f>
        <v>9.99999999999999</v>
      </c>
      <c r="BE30" s="56">
        <f>IF($AM30=0,"",IFERROR(MATCH($AF30&amp;"|"&amp;UPPER(TRIM($E30)),Lists!$A$6:$A$205,0),0))</f>
        <v>3</v>
      </c>
      <c r="BF30" s="56">
        <f>IF($AM30=0,"",IFERROR(MATCH($AF30,Settings!$B$14:$B$18,0),IFERROR(MATCH(Settings!$C$6,Settings!$B$14:$B$18,0),1)))</f>
        <v>1</v>
      </c>
      <c r="BG30" s="58" t="str">
        <f>IF($AM30=0,"",IF(NOT(ISNUMBER($I30)),"No stop; ","")&amp;IF(AND(ISNUMBER($H30),ISNUMBER($I30)),IF(OR(AND($F30&lt;&gt;"Short",$I30&gt;=$H30),AND($F30="Short",$I30&lt;=$H30)),"Stop on wrong side; ",""),"")&amp;IF($F30="","No direction; ","")&amp;IF(AND(ISNUMBER(Settings!$C$22),ISNUMBER($V30)),IF($V30&gt;Settings!$C$22,"Risk over max $; ",""),"")&amp;IF(AND(ISNUMBER(Settings!$C$23),ISNUMBER($V30),ISNUMBER($AP30),IFERROR(N(INDEX(Accounts!$E$7:$E$16,MATCH($C30,Accounts!$B$7:$B$16,0))),0)&gt;0),IF($V30&gt;Settings!$C$23*($AP30-N($Q30)),"Risk over max %; ",""),"")&amp;IF(AND(ISNUMBER(Settings!$C$24),ISNUMBER($N30)),IF($N30&gt;Settings!$C$24,"Leverage over max; ",""),"")&amp;IF(AND(ISNUMBER(Settings!$C$27),ISNUMBER($T30)),IF($T30&lt;Settings!$C$27,"R:R below min; ",""),"")&amp;IF(ISNUMBER(Settings!$C$25),IF(COUNTIFS($A$6:$A30,$A30,$AM$6:$AM30,1)&gt;Settings!$C$25,"Over max trades/day; ",""),"")&amp;IF(ISNUMBER(Settings!$C$26),IF(SUMIFS($Q$5:$Q29,$A$5:$A29,$A30)&lt;=-Settings!$C$26,"Traded after daily max loss; ",""),"")&amp;IF(AND($AG30="",NOT(ISNUMBER($O30))),"Symbol not in Instruments; ","")&amp;IF(AND($AH30="",NOT(ISNUMBER($O30))),"Forex cross: type Gross P&amp;L; ",""))</f>
        <v/>
      </c>
      <c r="BH30" s="56">
        <f>IF(ISNUMBER($Q30),1,0)</f>
        <v>1</v>
      </c>
      <c r="BI30" s="56">
        <f>IF($Y30="",0,1)</f>
        <v>1</v>
      </c>
      <c r="BJ30" s="56">
        <f>IF($AB30="",0,1)</f>
        <v>0</v>
      </c>
      <c r="BK30" s="56">
        <f>IF(AND($BH30=1,$W30&lt;&gt;"OK"),1,0)</f>
        <v>0</v>
      </c>
      <c r="BL30" s="55">
        <f>IF(N($AZ30)=0,0,IFERROR(INDEX($AT$6:$AT$1005,MATCH($AZ30,$AY$6:$AY$1005,0)),0))</f>
        <v>624.79588</v>
      </c>
      <c r="BM30" s="56">
        <f>IF(ISNUMBER(SEARCH("daily max loss",$BG30)),1,0)</f>
        <v>0</v>
      </c>
    </row>
    <row r="31" ht="30" customHeight="1">
      <c r="A31" s="38" t="n">
        <v>46300</v>
      </c>
      <c r="B31" s="39" t="n">
        <v>0.4006944444444445</v>
      </c>
      <c r="C31" s="40" t="inlineStr">
        <is>
          <t>Prop Eval 50K</t>
        </is>
      </c>
      <c r="D31" s="41" t="n"/>
      <c r="E31" s="41" t="inlineStr">
        <is>
          <t>MNQ</t>
        </is>
      </c>
      <c r="F31" s="41" t="inlineStr">
        <is>
          <t>Long</t>
        </is>
      </c>
      <c r="G31" s="41" t="n">
        <v>2</v>
      </c>
      <c r="H31" s="42" t="n">
        <v>29750</v>
      </c>
      <c r="I31" s="42" t="n">
        <v>29720</v>
      </c>
      <c r="J31" s="42" t="n">
        <v>29810</v>
      </c>
      <c r="K31" s="42" t="n">
        <v>29810</v>
      </c>
      <c r="L31" s="41" t="inlineStr">
        <is>
          <t>Limit</t>
        </is>
      </c>
      <c r="M31" s="41" t="inlineStr">
        <is>
          <t>Target</t>
        </is>
      </c>
      <c r="N31" s="41" t="n"/>
      <c r="O31" s="43" t="n"/>
      <c r="P31" s="43" t="n"/>
      <c r="Q31" s="44">
        <f>IF($AM31=0,"",IF(ISNUMBER($AK31),$AK31-N($AL31),""))</f>
        <v>238</v>
      </c>
      <c r="R31" s="45">
        <f>IF(OR($Q31="",NOT(ISNUMBER($V31))),"",$AK31/$V31)</f>
        <v>2</v>
      </c>
      <c r="S31" s="46" t="str">
        <f>IF($Q31="","",IF(AND(ISNUMBER($R31),ABS(N($R31))&lt;N(Settings!$C$8)),"Scratch",IF($Q31&gt;0,"Win",IF($Q31&lt;0,"Loss","Scratch"))))</f>
        <v>Win</v>
      </c>
      <c r="T31" s="47">
        <f>IF(OR($AM31=0,NOT(ISNUMBER($H31)),NOT(ISNUMBER($I31)),NOT(ISNUMBER($J31))),"",IF($H31=$I31,"",ROUND(ABS($J31-$H31)/ABS($H31-$I31),6)))</f>
        <v>2</v>
      </c>
      <c r="U31" s="48">
        <f>IF(OR($S31&lt;&gt;"Win",NOT(ISNUMBER($T31)),NOT(ISNUMBER($R31))),"",MAX(0,$T31-$R31))</f>
        <v>0</v>
      </c>
      <c r="V31" s="49">
        <f>IF(OR($AM31=0,NOT(ISNUMBER($H31)),NOT(ISNUMBER($I31)),NOT(ISNUMBER($G31))),"",IF(OR($AG31="",$AH31=""),"",IF(ROUND(ABS($H31-$I31)*ABS($G31)*$AG31*$AH31,6)=0,"",ROUND(ABS($H31-$I31)*ABS($G31)*$AG31*$AH31,6))))</f>
        <v>120</v>
      </c>
      <c r="W31" s="50" t="str">
        <f>IF($AM31=0,"",IF($BG31="","OK",LEFT($BG31,LEN($BG31)-2)))</f>
        <v>OK</v>
      </c>
      <c r="X31" s="41" t="inlineStr">
        <is>
          <t>NY Open</t>
        </is>
      </c>
      <c r="Y31" s="40" t="inlineStr">
        <is>
          <t>Breakout &amp; Retest</t>
        </is>
      </c>
      <c r="Z31" s="41" t="inlineStr">
        <is>
          <t>Yes</t>
        </is>
      </c>
      <c r="AA31" s="41" t="inlineStr">
        <is>
          <t>Calm</t>
        </is>
      </c>
      <c r="AB31" s="40" t="n"/>
      <c r="AC31" s="51" t="inlineStr">
        <is>
          <t>Breakout and retest of Friday's high</t>
        </is>
      </c>
      <c r="AD31" s="51" t="inlineStr">
        <is>
          <t>Clean.</t>
        </is>
      </c>
      <c r="AE31" s="40" t="n"/>
      <c r="AF31" s="52" t="str">
        <f>IF($AM31=0,"",IF($D31&lt;&gt;"",$D31,IF(IFERROR(INDEX(Accounts!$C$7:$C$16,MATCH($C31,Accounts!$B$7:$B$16,0))&amp;"","")&lt;&gt;"",INDEX(Accounts!$C$7:$C$16,MATCH($C31,Accounts!$B$7:$B$16,0)),Settings!$C$6)))</f>
        <v>Futures</v>
      </c>
      <c r="AG31" s="53">
        <f>IF($AM31=0,"",IF(AND($BE31&gt;0,N(INDEX(Instruments!$D$6:$D$205,MAX(1,$BE31)))&gt;0),INDEX(Instruments!$D$6:$D$205,MAX(1,$BE31)),IF(N(INDEX(Settings!$D$14:$D$18,$BF31))&gt;0,INDEX(Settings!$D$14:$D$18,$BF31),"")))</f>
        <v>2</v>
      </c>
      <c r="AH31" s="54">
        <f>IF($AM31=0,"",IF($AF31&lt;&gt;"Forex",1,IF(MID(UPPER(SUBSTITUTE(TRIM($E31),"/","")),4,3)=UPPER(TRIM(Settings!$C$7)),1,IF(LEFT(UPPER(SUBSTITUTE(TRIM($E31),"/","")),3)=UPPER(TRIM(Settings!$C$7)),IF(AND(ISNUMBER($K31),N($K31)&lt;&gt;0),1/$K31,""),""))))</f>
        <v>1</v>
      </c>
      <c r="AI31" s="55">
        <f>IF($AM31=0,"",IF(OR(NOT(ISNUMBER($H31)),NOT(ISNUMBER($K31)),NOT(ISNUMBER($G31)),$AG31="",$AH31=""),"",ROUND(($K31-$H31)*IF($F31="Short",-1,1)*$G31*$AG31*$AH31,6)))</f>
        <v>240</v>
      </c>
      <c r="AJ31" s="55">
        <f>IF($AM31=0,"",IF(INDEX(Settings!$E$14:$E$18,$BF31)="% of notional",IF(OR($AG31="",NOT(ISNUMBER($H31)),NOT(ISNUMBER($G31))),"",ROUND(ABS($H31*$G31*$AG31*N($AH31))*IF($L31="Limit",N(INDEX(Settings!$G$14:$G$18,$BF31)),N(INDEX(Settings!$H$14:$H$18,$BF31)))+IF(ISNUMBER($K31),ABS($K31*$G31*$AG31*N($AH31))*IF($M31="Target",N(INDEX(Settings!$G$14:$G$18,$BF31)),N(INDEX(Settings!$H$14:$H$18,$BF31))),0),6)),IF(NOT(ISNUMBER($G31)),"",ROUND(ABS($G31)*2*IF(AND($BE31&gt;0,ISNUMBER(INDEX(Instruments!$G$6:$G$205,MAX(1,$BE31)))),INDEX(Instruments!$G$6:$G$205,MAX(1,$BE31)),N(INDEX(Settings!$F$14:$F$18,$BF31))),6))))</f>
        <v>2</v>
      </c>
      <c r="AK31" s="55">
        <f>IF($AM31=0,"",IF(ISNUMBER($O31),$O31,$AI31))</f>
        <v>240</v>
      </c>
      <c r="AL31" s="55">
        <f>IF($AM31=0,"",IF(ISNUMBER($P31),$P31,N($AJ31)))</f>
        <v>2</v>
      </c>
      <c r="AM31" s="56">
        <f>IF(AND($A31&lt;&gt;"",$E31&lt;&gt;"",OR(AND(ISNUMBER($G31),ISNUMBER($H31),ISNUMBER($K31)),ISNUMBER($O31))),1,0)</f>
        <v>1</v>
      </c>
      <c r="AN31" s="57">
        <f>IF($A31="","",$A31-WEEKDAY($A31,3))</f>
        <v>46300</v>
      </c>
      <c r="AO31" s="56">
        <f>IF($A31="","",WEEKDAY($A31,2))</f>
        <v>1</v>
      </c>
      <c r="AP31" s="55">
        <f>IF(OR($AM31=0,$C31=""),"",IFERROR(N(INDEX(Accounts!$E$7:$E$16,MATCH($C31,Accounts!$B$7:$B$16,0))),0)+SUMIFS($Q$6:$Q31,$C$6:$C31,$C31))</f>
        <v>50938</v>
      </c>
      <c r="AQ31" s="55">
        <f>IF(OR($AM31=0,$C31=""),"",SUMIFS($Q$6:$Q$1005,$C$6:$C$1005,$C31,$A$6:$A$1005,$A31))</f>
        <v>238</v>
      </c>
      <c r="AR31" s="55">
        <f>IF(OR($AM31=0,$C31=""),"",IFERROR(N(INDEX(Accounts!$E$7:$E$16,MATCH($C31,Accounts!$B$7:$B$16,0))),0)+SUMIFS($Q$6:$Q$1005,$C$6:$C$1005,$C31,$A$6:$A$1005,"&lt;="&amp;$A31))</f>
        <v>50938</v>
      </c>
      <c r="AS31" s="56">
        <f>IF(OR($AM31=0,$Q31=""),0,IF(AND($A31&gt;=Lists!$W$6,$A31&lt;=Lists!$W$7,OR(Dashboard!$D$6="All accounts",$C31=Dashboard!$D$6),OR(Dashboard!$D$7="All markets",$AF31=Dashboard!$D$7)),1,0))</f>
        <v>1</v>
      </c>
      <c r="AT31" s="55">
        <f>IF($AS31=1,N(AT30)+$Q31,N(AT30))</f>
        <v>1090.79588</v>
      </c>
      <c r="AU31" s="55">
        <f>MAX(N(AU30),$AT31)</f>
        <v>1090.79588</v>
      </c>
      <c r="AV31" s="55">
        <f>$AT31-$AU31</f>
        <v>0</v>
      </c>
      <c r="AW31" s="56">
        <f>IF($AS31=1,IF($S31="Win",N(AW30)+1,IF($S31="Loss",0,N(AW30))),N(AW30))</f>
        <v>3</v>
      </c>
      <c r="AX31" s="56">
        <f>IF($AS31=1,IF($S31="Loss",N(AX30)+1,IF($S31="Win",0,N(AX30))),N(AX30))</f>
        <v>0</v>
      </c>
      <c r="AY31" s="56">
        <f>IF($AS31=1,COUNTIF($AS$6:$AS31,1),"")</f>
        <v>26</v>
      </c>
      <c r="AZ31" s="56">
        <f>MIN(25,N(Lists!$W$8))</f>
        <v>25</v>
      </c>
      <c r="BA31" s="56">
        <f>IF($AS31=1,IF(COUNTIFS($A$6:$A31,$A31,$AS$6:$AS31,1)=1,1,0),0)</f>
        <v>1</v>
      </c>
      <c r="BB31" s="55">
        <f>IF($BA31=1,SUMIFS($Q$6:$Q$1005,$A$6:$A$1005,$A31,$AS$6:$AS$1005,1),"")</f>
        <v>285.311</v>
      </c>
      <c r="BC31" s="56">
        <f>IF(ISNUMBER($R31),1,0)</f>
        <v>1</v>
      </c>
      <c r="BD31" s="55">
        <f>IF(ISNUMBER($U31),$U31*$V31,"")</f>
        <v>0</v>
      </c>
      <c r="BE31" s="56">
        <f>IF($AM31=0,"",IFERROR(MATCH($AF31&amp;"|"&amp;UPPER(TRIM($E31)),Lists!$A$6:$A$205,0),0))</f>
        <v>3</v>
      </c>
      <c r="BF31" s="56">
        <f>IF($AM31=0,"",IFERROR(MATCH($AF31,Settings!$B$14:$B$18,0),IFERROR(MATCH(Settings!$C$6,Settings!$B$14:$B$18,0),1)))</f>
        <v>1</v>
      </c>
      <c r="BG31" s="58" t="str">
        <f>IF($AM31=0,"",IF(NOT(ISNUMBER($I31)),"No stop; ","")&amp;IF(AND(ISNUMBER($H31),ISNUMBER($I31)),IF(OR(AND($F31&lt;&gt;"Short",$I31&gt;=$H31),AND($F31="Short",$I31&lt;=$H31)),"Stop on wrong side; ",""),"")&amp;IF($F31="","No direction; ","")&amp;IF(AND(ISNUMBER(Settings!$C$22),ISNUMBER($V31)),IF($V31&gt;Settings!$C$22,"Risk over max $; ",""),"")&amp;IF(AND(ISNUMBER(Settings!$C$23),ISNUMBER($V31),ISNUMBER($AP31),IFERROR(N(INDEX(Accounts!$E$7:$E$16,MATCH($C31,Accounts!$B$7:$B$16,0))),0)&gt;0),IF($V31&gt;Settings!$C$23*($AP31-N($Q31)),"Risk over max %; ",""),"")&amp;IF(AND(ISNUMBER(Settings!$C$24),ISNUMBER($N31)),IF($N31&gt;Settings!$C$24,"Leverage over max; ",""),"")&amp;IF(AND(ISNUMBER(Settings!$C$27),ISNUMBER($T31)),IF($T31&lt;Settings!$C$27,"R:R below min; ",""),"")&amp;IF(ISNUMBER(Settings!$C$25),IF(COUNTIFS($A$6:$A31,$A31,$AM$6:$AM31,1)&gt;Settings!$C$25,"Over max trades/day; ",""),"")&amp;IF(ISNUMBER(Settings!$C$26),IF(SUMIFS($Q$5:$Q30,$A$5:$A30,$A31)&lt;=-Settings!$C$26,"Traded after daily max loss; ",""),"")&amp;IF(AND($AG31="",NOT(ISNUMBER($O31))),"Symbol not in Instruments; ","")&amp;IF(AND($AH31="",NOT(ISNUMBER($O31))),"Forex cross: type Gross P&amp;L; ",""))</f>
        <v/>
      </c>
      <c r="BH31" s="56">
        <f>IF(ISNUMBER($Q31),1,0)</f>
        <v>1</v>
      </c>
      <c r="BI31" s="56">
        <f>IF($Y31="",0,1)</f>
        <v>1</v>
      </c>
      <c r="BJ31" s="56">
        <f>IF($AB31="",0,1)</f>
        <v>0</v>
      </c>
      <c r="BK31" s="56">
        <f>IF(AND($BH31=1,$W31&lt;&gt;"OK"),1,0)</f>
        <v>0</v>
      </c>
      <c r="BL31" s="55">
        <f>IF(N($AZ31)=0,0,IFERROR(INDEX($AT$6:$AT$1005,MATCH($AZ31,$AY$6:$AY$1005,0)),0))</f>
        <v>852.79588</v>
      </c>
      <c r="BM31" s="56">
        <f>IF(ISNUMBER(SEARCH("daily max loss",$BG31)),1,0)</f>
        <v>0</v>
      </c>
    </row>
    <row r="32" ht="30" customHeight="1">
      <c r="A32" s="38" t="n">
        <v>46300</v>
      </c>
      <c r="B32" s="39" t="n">
        <v>0.6458333333333334</v>
      </c>
      <c r="C32" s="40" t="inlineStr">
        <is>
          <t>Crypto Main</t>
        </is>
      </c>
      <c r="D32" s="41" t="n"/>
      <c r="E32" s="41" t="inlineStr">
        <is>
          <t>BTCUSDT</t>
        </is>
      </c>
      <c r="F32" s="41" t="inlineStr">
        <is>
          <t>Long</t>
        </is>
      </c>
      <c r="G32" s="41" t="n">
        <v>0.1</v>
      </c>
      <c r="H32" s="42" t="n">
        <v>63800</v>
      </c>
      <c r="I32" s="42" t="n">
        <v>63300</v>
      </c>
      <c r="J32" s="42" t="n">
        <v>64800</v>
      </c>
      <c r="K32" s="42" t="n">
        <v>64350</v>
      </c>
      <c r="L32" s="41" t="inlineStr">
        <is>
          <t>Market</t>
        </is>
      </c>
      <c r="M32" s="41" t="inlineStr">
        <is>
          <t>Manual</t>
        </is>
      </c>
      <c r="N32" s="41" t="n">
        <v>20</v>
      </c>
      <c r="O32" s="43" t="n"/>
      <c r="P32" s="43" t="n"/>
      <c r="Q32" s="44">
        <f>IF($AM32=0,"",IF(ISNUMBER($AK32),$AK32-N($AL32),""))</f>
        <v>47.311</v>
      </c>
      <c r="R32" s="45">
        <f>IF(OR($Q32="",NOT(ISNUMBER($V32))),"",$AK32/$V32)</f>
        <v>1.1</v>
      </c>
      <c r="S32" s="46" t="str">
        <f>IF($Q32="","",IF(AND(ISNUMBER($R32),ABS(N($R32))&lt;N(Settings!$C$8)),"Scratch",IF($Q32&gt;0,"Win",IF($Q32&lt;0,"Loss","Scratch"))))</f>
        <v>Win</v>
      </c>
      <c r="T32" s="47">
        <f>IF(OR($AM32=0,NOT(ISNUMBER($H32)),NOT(ISNUMBER($I32)),NOT(ISNUMBER($J32))),"",IF($H32=$I32,"",ROUND(ABS($J32-$H32)/ABS($H32-$I32),6)))</f>
        <v>2</v>
      </c>
      <c r="U32" s="48">
        <f>IF(OR($S32&lt;&gt;"Win",NOT(ISNUMBER($T32)),NOT(ISNUMBER($R32))),"",MAX(0,$T32-$R32))</f>
        <v>0.9</v>
      </c>
      <c r="V32" s="49">
        <f>IF(OR($AM32=0,NOT(ISNUMBER($H32)),NOT(ISNUMBER($I32)),NOT(ISNUMBER($G32))),"",IF(OR($AG32="",$AH32=""),"",IF(ROUND(ABS($H32-$I32)*ABS($G32)*$AG32*$AH32,6)=0,"",ROUND(ABS($H32-$I32)*ABS($G32)*$AG32*$AH32,6))))</f>
        <v>50</v>
      </c>
      <c r="W32" s="50" t="str">
        <f>IF($AM32=0,"",IF($BG32="","OK",LEFT($BG32,LEN($BG32)-2)))</f>
        <v>OK</v>
      </c>
      <c r="X32" s="41" t="inlineStr">
        <is>
          <t>US</t>
        </is>
      </c>
      <c r="Y32" s="40" t="inlineStr">
        <is>
          <t>Trend Pullback</t>
        </is>
      </c>
      <c r="Z32" s="41" t="inlineStr">
        <is>
          <t>No</t>
        </is>
      </c>
      <c r="AA32" s="41" t="inlineStr">
        <is>
          <t>Anxious</t>
        </is>
      </c>
      <c r="AB32" s="40" t="inlineStr">
        <is>
          <t>Took profit too early</t>
        </is>
      </c>
      <c r="AC32" s="51" t="inlineStr">
        <is>
          <t>Pullback in uptrend</t>
        </is>
      </c>
      <c r="AD32" s="51" t="inlineStr">
        <is>
          <t>Market entry + early exit = taker fees twice.</t>
        </is>
      </c>
      <c r="AE32" s="40" t="n"/>
      <c r="AF32" s="52" t="str">
        <f>IF($AM32=0,"",IF($D32&lt;&gt;"",$D32,IF(IFERROR(INDEX(Accounts!$C$7:$C$16,MATCH($C32,Accounts!$B$7:$B$16,0))&amp;"","")&lt;&gt;"",INDEX(Accounts!$C$7:$C$16,MATCH($C32,Accounts!$B$7:$B$16,0)),Settings!$C$6)))</f>
        <v>Crypto</v>
      </c>
      <c r="AG32" s="53">
        <f>IF($AM32=0,"",IF(AND($BE32&gt;0,N(INDEX(Instruments!$D$6:$D$205,MAX(1,$BE32)))&gt;0),INDEX(Instruments!$D$6:$D$205,MAX(1,$BE32)),IF(N(INDEX(Settings!$D$14:$D$18,$BF32))&gt;0,INDEX(Settings!$D$14:$D$18,$BF32),"")))</f>
        <v>1</v>
      </c>
      <c r="AH32" s="54">
        <f>IF($AM32=0,"",IF($AF32&lt;&gt;"Forex",1,IF(MID(UPPER(SUBSTITUTE(TRIM($E32),"/","")),4,3)=UPPER(TRIM(Settings!$C$7)),1,IF(LEFT(UPPER(SUBSTITUTE(TRIM($E32),"/","")),3)=UPPER(TRIM(Settings!$C$7)),IF(AND(ISNUMBER($K32),N($K32)&lt;&gt;0),1/$K32,""),""))))</f>
        <v>1</v>
      </c>
      <c r="AI32" s="55">
        <f>IF($AM32=0,"",IF(OR(NOT(ISNUMBER($H32)),NOT(ISNUMBER($K32)),NOT(ISNUMBER($G32)),$AG32="",$AH32=""),"",ROUND(($K32-$H32)*IF($F32="Short",-1,1)*$G32*$AG32*$AH32,6)))</f>
        <v>55</v>
      </c>
      <c r="AJ32" s="55">
        <f>IF($AM32=0,"",IF(INDEX(Settings!$E$14:$E$18,$BF32)="% of notional",IF(OR($AG32="",NOT(ISNUMBER($H32)),NOT(ISNUMBER($G32))),"",ROUND(ABS($H32*$G32*$AG32*N($AH32))*IF($L32="Limit",N(INDEX(Settings!$G$14:$G$18,$BF32)),N(INDEX(Settings!$H$14:$H$18,$BF32)))+IF(ISNUMBER($K32),ABS($K32*$G32*$AG32*N($AH32))*IF($M32="Target",N(INDEX(Settings!$G$14:$G$18,$BF32)),N(INDEX(Settings!$H$14:$H$18,$BF32))),0),6)),IF(NOT(ISNUMBER($G32)),"",ROUND(ABS($G32)*2*IF(AND($BE32&gt;0,ISNUMBER(INDEX(Instruments!$G$6:$G$205,MAX(1,$BE32)))),INDEX(Instruments!$G$6:$G$205,MAX(1,$BE32)),N(INDEX(Settings!$F$14:$F$18,$BF32))),6))))</f>
        <v>7.689</v>
      </c>
      <c r="AK32" s="55">
        <f>IF($AM32=0,"",IF(ISNUMBER($O32),$O32,$AI32))</f>
        <v>55</v>
      </c>
      <c r="AL32" s="55">
        <f>IF($AM32=0,"",IF(ISNUMBER($P32),$P32,N($AJ32)))</f>
        <v>7.689</v>
      </c>
      <c r="AM32" s="56">
        <f>IF(AND($A32&lt;&gt;"",$E32&lt;&gt;"",OR(AND(ISNUMBER($G32),ISNUMBER($H32),ISNUMBER($K32)),ISNUMBER($O32))),1,0)</f>
        <v>1</v>
      </c>
      <c r="AN32" s="57">
        <f>IF($A32="","",$A32-WEEKDAY($A32,3))</f>
        <v>46300</v>
      </c>
      <c r="AO32" s="56">
        <f>IF($A32="","",WEEKDAY($A32,2))</f>
        <v>1</v>
      </c>
      <c r="AP32" s="55">
        <f>IF(OR($AM32=0,$C32=""),"",IFERROR(N(INDEX(Accounts!$E$7:$E$16,MATCH($C32,Accounts!$B$7:$B$16,0))),0)+SUMIFS($Q$6:$Q32,$C$6:$C32,$C32))</f>
        <v>5200.10688</v>
      </c>
      <c r="AQ32" s="55">
        <f>IF(OR($AM32=0,$C32=""),"",SUMIFS($Q$6:$Q$1005,$C$6:$C$1005,$C32,$A$6:$A$1005,$A32))</f>
        <v>47.311</v>
      </c>
      <c r="AR32" s="55">
        <f>IF(OR($AM32=0,$C32=""),"",IFERROR(N(INDEX(Accounts!$E$7:$E$16,MATCH($C32,Accounts!$B$7:$B$16,0))),0)+SUMIFS($Q$6:$Q$1005,$C$6:$C$1005,$C32,$A$6:$A$1005,"&lt;="&amp;$A32))</f>
        <v>5200.10688</v>
      </c>
      <c r="AS32" s="56">
        <f>IF(OR($AM32=0,$Q32=""),0,IF(AND($A32&gt;=Lists!$W$6,$A32&lt;=Lists!$W$7,OR(Dashboard!$D$6="All accounts",$C32=Dashboard!$D$6),OR(Dashboard!$D$7="All markets",$AF32=Dashboard!$D$7)),1,0))</f>
        <v>1</v>
      </c>
      <c r="AT32" s="55">
        <f>IF($AS32=1,N(AT31)+$Q32,N(AT31))</f>
        <v>1138.10688</v>
      </c>
      <c r="AU32" s="55">
        <f>MAX(N(AU31),$AT32)</f>
        <v>1138.10688</v>
      </c>
      <c r="AV32" s="55">
        <f>$AT32-$AU32</f>
        <v>0</v>
      </c>
      <c r="AW32" s="56">
        <f>IF($AS32=1,IF($S32="Win",N(AW31)+1,IF($S32="Loss",0,N(AW31))),N(AW31))</f>
        <v>4</v>
      </c>
      <c r="AX32" s="56">
        <f>IF($AS32=1,IF($S32="Loss",N(AX31)+1,IF($S32="Win",0,N(AX31))),N(AX31))</f>
        <v>0</v>
      </c>
      <c r="AY32" s="56">
        <f>IF($AS32=1,COUNTIF($AS$6:$AS32,1),"")</f>
        <v>27</v>
      </c>
      <c r="AZ32" s="56">
        <f>MIN(26,N(Lists!$W$8))</f>
        <v>26</v>
      </c>
      <c r="BA32" s="56">
        <f>IF($AS32=1,IF(COUNTIFS($A$6:$A32,$A32,$AS$6:$AS32,1)=1,1,0),0)</f>
        <v>0</v>
      </c>
      <c r="BB32" s="55" t="str">
        <f>IF($BA32=1,SUMIFS($Q$6:$Q$1005,$A$6:$A$1005,$A32,$AS$6:$AS$1005,1),"")</f>
        <v/>
      </c>
      <c r="BC32" s="56">
        <f>IF(ISNUMBER($R32),1,0)</f>
        <v>1</v>
      </c>
      <c r="BD32" s="55">
        <f>IF(ISNUMBER($U32),$U32*$V32,"")</f>
        <v>45</v>
      </c>
      <c r="BE32" s="56">
        <f>IF($AM32=0,"",IFERROR(MATCH($AF32&amp;"|"&amp;UPPER(TRIM($E32)),Lists!$A$6:$A$205,0),0))</f>
        <v>46</v>
      </c>
      <c r="BF32" s="56">
        <f>IF($AM32=0,"",IFERROR(MATCH($AF32,Settings!$B$14:$B$18,0),IFERROR(MATCH(Settings!$C$6,Settings!$B$14:$B$18,0),1)))</f>
        <v>5</v>
      </c>
      <c r="BG32" s="58" t="str">
        <f>IF($AM32=0,"",IF(NOT(ISNUMBER($I32)),"No stop; ","")&amp;IF(AND(ISNUMBER($H32),ISNUMBER($I32)),IF(OR(AND($F32&lt;&gt;"Short",$I32&gt;=$H32),AND($F32="Short",$I32&lt;=$H32)),"Stop on wrong side; ",""),"")&amp;IF($F32="","No direction; ","")&amp;IF(AND(ISNUMBER(Settings!$C$22),ISNUMBER($V32)),IF($V32&gt;Settings!$C$22,"Risk over max $; ",""),"")&amp;IF(AND(ISNUMBER(Settings!$C$23),ISNUMBER($V32),ISNUMBER($AP32),IFERROR(N(INDEX(Accounts!$E$7:$E$16,MATCH($C32,Accounts!$B$7:$B$16,0))),0)&gt;0),IF($V32&gt;Settings!$C$23*($AP32-N($Q32)),"Risk over max %; ",""),"")&amp;IF(AND(ISNUMBER(Settings!$C$24),ISNUMBER($N32)),IF($N32&gt;Settings!$C$24,"Leverage over max; ",""),"")&amp;IF(AND(ISNUMBER(Settings!$C$27),ISNUMBER($T32)),IF($T32&lt;Settings!$C$27,"R:R below min; ",""),"")&amp;IF(ISNUMBER(Settings!$C$25),IF(COUNTIFS($A$6:$A32,$A32,$AM$6:$AM32,1)&gt;Settings!$C$25,"Over max trades/day; ",""),"")&amp;IF(ISNUMBER(Settings!$C$26),IF(SUMIFS($Q$5:$Q31,$A$5:$A31,$A32)&lt;=-Settings!$C$26,"Traded after daily max loss; ",""),"")&amp;IF(AND($AG32="",NOT(ISNUMBER($O32))),"Symbol not in Instruments; ","")&amp;IF(AND($AH32="",NOT(ISNUMBER($O32))),"Forex cross: type Gross P&amp;L; ",""))</f>
        <v/>
      </c>
      <c r="BH32" s="56">
        <f>IF(ISNUMBER($Q32),1,0)</f>
        <v>1</v>
      </c>
      <c r="BI32" s="56">
        <f>IF($Y32="",0,1)</f>
        <v>1</v>
      </c>
      <c r="BJ32" s="56">
        <f>IF($AB32="",0,1)</f>
        <v>1</v>
      </c>
      <c r="BK32" s="56">
        <f>IF(AND($BH32=1,$W32&lt;&gt;"OK"),1,0)</f>
        <v>0</v>
      </c>
      <c r="BL32" s="55">
        <f>IF(N($AZ32)=0,0,IFERROR(INDEX($AT$6:$AT$1005,MATCH($AZ32,$AY$6:$AY$1005,0)),0))</f>
        <v>1090.79588</v>
      </c>
      <c r="BM32" s="56">
        <f>IF(ISNUMBER(SEARCH("daily max loss",$BG32)),1,0)</f>
        <v>0</v>
      </c>
    </row>
    <row r="33" ht="30" customHeight="1">
      <c r="A33" s="38" t="n">
        <v>46301</v>
      </c>
      <c r="B33" s="39" t="n">
        <v>0.425</v>
      </c>
      <c r="C33" s="40" t="inlineStr">
        <is>
          <t>Prop Eval 50K</t>
        </is>
      </c>
      <c r="D33" s="41" t="n"/>
      <c r="E33" s="41" t="inlineStr">
        <is>
          <t>MGC</t>
        </is>
      </c>
      <c r="F33" s="41" t="inlineStr">
        <is>
          <t>Short</t>
        </is>
      </c>
      <c r="G33" s="41" t="n">
        <v>1</v>
      </c>
      <c r="H33" s="42" t="n">
        <v>4066</v>
      </c>
      <c r="I33" s="42" t="n">
        <v>4072</v>
      </c>
      <c r="J33" s="42" t="n">
        <v>4054</v>
      </c>
      <c r="K33" s="42" t="n">
        <v>4061</v>
      </c>
      <c r="L33" s="41" t="inlineStr">
        <is>
          <t>Limit</t>
        </is>
      </c>
      <c r="M33" s="41" t="inlineStr">
        <is>
          <t>Manual</t>
        </is>
      </c>
      <c r="N33" s="41" t="n"/>
      <c r="O33" s="43" t="n"/>
      <c r="P33" s="43" t="n"/>
      <c r="Q33" s="44">
        <f>IF($AM33=0,"",IF(ISNUMBER($AK33),$AK33-N($AL33),""))</f>
        <v>49</v>
      </c>
      <c r="R33" s="45">
        <f>IF(OR($Q33="",NOT(ISNUMBER($V33))),"",$AK33/$V33)</f>
        <v>0.833333333333333</v>
      </c>
      <c r="S33" s="46" t="str">
        <f>IF($Q33="","",IF(AND(ISNUMBER($R33),ABS(N($R33))&lt;N(Settings!$C$8)),"Scratch",IF($Q33&gt;0,"Win",IF($Q33&lt;0,"Loss","Scratch"))))</f>
        <v>Win</v>
      </c>
      <c r="T33" s="47">
        <f>IF(OR($AM33=0,NOT(ISNUMBER($H33)),NOT(ISNUMBER($I33)),NOT(ISNUMBER($J33))),"",IF($H33=$I33,"",ROUND(ABS($J33-$H33)/ABS($H33-$I33),6)))</f>
        <v>2</v>
      </c>
      <c r="U33" s="48">
        <f>IF(OR($S33&lt;&gt;"Win",NOT(ISNUMBER($T33)),NOT(ISNUMBER($R33))),"",MAX(0,$T33-$R33))</f>
        <v>1.16666666666667</v>
      </c>
      <c r="V33" s="49">
        <f>IF(OR($AM33=0,NOT(ISNUMBER($H33)),NOT(ISNUMBER($I33)),NOT(ISNUMBER($G33))),"",IF(OR($AG33="",$AH33=""),"",IF(ROUND(ABS($H33-$I33)*ABS($G33)*$AG33*$AH33,6)=0,"",ROUND(ABS($H33-$I33)*ABS($G33)*$AG33*$AH33,6))))</f>
        <v>60</v>
      </c>
      <c r="W33" s="50" t="str">
        <f>IF($AM33=0,"",IF($BG33="","OK",LEFT($BG33,LEN($BG33)-2)))</f>
        <v>OK</v>
      </c>
      <c r="X33" s="41" t="inlineStr">
        <is>
          <t>NY Open</t>
        </is>
      </c>
      <c r="Y33" s="40" t="inlineStr">
        <is>
          <t>Trend Pullback</t>
        </is>
      </c>
      <c r="Z33" s="41" t="inlineStr">
        <is>
          <t>No</t>
        </is>
      </c>
      <c r="AA33" s="41" t="inlineStr">
        <is>
          <t>Anxious</t>
        </is>
      </c>
      <c r="AB33" s="40" t="inlineStr">
        <is>
          <t>Took profit too early</t>
        </is>
      </c>
      <c r="AC33" s="51" t="inlineStr">
        <is>
          <t>Downtrend pullback to the 20 EMA</t>
        </is>
      </c>
      <c r="AD33" s="51" t="inlineStr">
        <is>
          <t>Took +5 instead of +12. Again.</t>
        </is>
      </c>
      <c r="AE33" s="40" t="n"/>
      <c r="AF33" s="52" t="str">
        <f>IF($AM33=0,"",IF($D33&lt;&gt;"",$D33,IF(IFERROR(INDEX(Accounts!$C$7:$C$16,MATCH($C33,Accounts!$B$7:$B$16,0))&amp;"","")&lt;&gt;"",INDEX(Accounts!$C$7:$C$16,MATCH($C33,Accounts!$B$7:$B$16,0)),Settings!$C$6)))</f>
        <v>Futures</v>
      </c>
      <c r="AG33" s="53">
        <f>IF($AM33=0,"",IF(AND($BE33&gt;0,N(INDEX(Instruments!$D$6:$D$205,MAX(1,$BE33)))&gt;0),INDEX(Instruments!$D$6:$D$205,MAX(1,$BE33)),IF(N(INDEX(Settings!$D$14:$D$18,$BF33))&gt;0,INDEX(Settings!$D$14:$D$18,$BF33),"")))</f>
        <v>10</v>
      </c>
      <c r="AH33" s="54">
        <f>IF($AM33=0,"",IF($AF33&lt;&gt;"Forex",1,IF(MID(UPPER(SUBSTITUTE(TRIM($E33),"/","")),4,3)=UPPER(TRIM(Settings!$C$7)),1,IF(LEFT(UPPER(SUBSTITUTE(TRIM($E33),"/","")),3)=UPPER(TRIM(Settings!$C$7)),IF(AND(ISNUMBER($K33),N($K33)&lt;&gt;0),1/$K33,""),""))))</f>
        <v>1</v>
      </c>
      <c r="AI33" s="55">
        <f>IF($AM33=0,"",IF(OR(NOT(ISNUMBER($H33)),NOT(ISNUMBER($K33)),NOT(ISNUMBER($G33)),$AG33="",$AH33=""),"",ROUND(($K33-$H33)*IF($F33="Short",-1,1)*$G33*$AG33*$AH33,6)))</f>
        <v>50</v>
      </c>
      <c r="AJ33" s="55">
        <f>IF($AM33=0,"",IF(INDEX(Settings!$E$14:$E$18,$BF33)="% of notional",IF(OR($AG33="",NOT(ISNUMBER($H33)),NOT(ISNUMBER($G33))),"",ROUND(ABS($H33*$G33*$AG33*N($AH33))*IF($L33="Limit",N(INDEX(Settings!$G$14:$G$18,$BF33)),N(INDEX(Settings!$H$14:$H$18,$BF33)))+IF(ISNUMBER($K33),ABS($K33*$G33*$AG33*N($AH33))*IF($M33="Target",N(INDEX(Settings!$G$14:$G$18,$BF33)),N(INDEX(Settings!$H$14:$H$18,$BF33))),0),6)),IF(NOT(ISNUMBER($G33)),"",ROUND(ABS($G33)*2*IF(AND($BE33&gt;0,ISNUMBER(INDEX(Instruments!$G$6:$G$205,MAX(1,$BE33)))),INDEX(Instruments!$G$6:$G$205,MAX(1,$BE33)),N(INDEX(Settings!$F$14:$F$18,$BF33))),6))))</f>
        <v>1</v>
      </c>
      <c r="AK33" s="55">
        <f>IF($AM33=0,"",IF(ISNUMBER($O33),$O33,$AI33))</f>
        <v>50</v>
      </c>
      <c r="AL33" s="55">
        <f>IF($AM33=0,"",IF(ISNUMBER($P33),$P33,N($AJ33)))</f>
        <v>1</v>
      </c>
      <c r="AM33" s="56">
        <f>IF(AND($A33&lt;&gt;"",$E33&lt;&gt;"",OR(AND(ISNUMBER($G33),ISNUMBER($H33),ISNUMBER($K33)),ISNUMBER($O33))),1,0)</f>
        <v>1</v>
      </c>
      <c r="AN33" s="57">
        <f>IF($A33="","",$A33-WEEKDAY($A33,3))</f>
        <v>46300</v>
      </c>
      <c r="AO33" s="56">
        <f>IF($A33="","",WEEKDAY($A33,2))</f>
        <v>2</v>
      </c>
      <c r="AP33" s="55">
        <f>IF(OR($AM33=0,$C33=""),"",IFERROR(N(INDEX(Accounts!$E$7:$E$16,MATCH($C33,Accounts!$B$7:$B$16,0))),0)+SUMIFS($Q$6:$Q33,$C$6:$C33,$C33))</f>
        <v>50987</v>
      </c>
      <c r="AQ33" s="55">
        <f>IF(OR($AM33=0,$C33=""),"",SUMIFS($Q$6:$Q$1005,$C$6:$C$1005,$C33,$A$6:$A$1005,$A33))</f>
        <v>49</v>
      </c>
      <c r="AR33" s="55">
        <f>IF(OR($AM33=0,$C33=""),"",IFERROR(N(INDEX(Accounts!$E$7:$E$16,MATCH($C33,Accounts!$B$7:$B$16,0))),0)+SUMIFS($Q$6:$Q$1005,$C$6:$C$1005,$C33,$A$6:$A$1005,"&lt;="&amp;$A33))</f>
        <v>50987</v>
      </c>
      <c r="AS33" s="56">
        <f>IF(OR($AM33=0,$Q33=""),0,IF(AND($A33&gt;=Lists!$W$6,$A33&lt;=Lists!$W$7,OR(Dashboard!$D$6="All accounts",$C33=Dashboard!$D$6),OR(Dashboard!$D$7="All markets",$AF33=Dashboard!$D$7)),1,0))</f>
        <v>1</v>
      </c>
      <c r="AT33" s="55">
        <f>IF($AS33=1,N(AT32)+$Q33,N(AT32))</f>
        <v>1187.10688</v>
      </c>
      <c r="AU33" s="55">
        <f>MAX(N(AU32),$AT33)</f>
        <v>1187.10688</v>
      </c>
      <c r="AV33" s="55">
        <f>$AT33-$AU33</f>
        <v>0</v>
      </c>
      <c r="AW33" s="56">
        <f>IF($AS33=1,IF($S33="Win",N(AW32)+1,IF($S33="Loss",0,N(AW32))),N(AW32))</f>
        <v>5</v>
      </c>
      <c r="AX33" s="56">
        <f>IF($AS33=1,IF($S33="Loss",N(AX32)+1,IF($S33="Win",0,N(AX32))),N(AX32))</f>
        <v>0</v>
      </c>
      <c r="AY33" s="56">
        <f>IF($AS33=1,COUNTIF($AS$6:$AS33,1),"")</f>
        <v>28</v>
      </c>
      <c r="AZ33" s="56">
        <f>MIN(27,N(Lists!$W$8))</f>
        <v>27</v>
      </c>
      <c r="BA33" s="56">
        <f>IF($AS33=1,IF(COUNTIFS($A$6:$A33,$A33,$AS$6:$AS33,1)=1,1,0),0)</f>
        <v>1</v>
      </c>
      <c r="BB33" s="55">
        <f>IF($BA33=1,SUMIFS($Q$6:$Q$1005,$A$6:$A$1005,$A33,$AS$6:$AS$1005,1),"")</f>
        <v>49</v>
      </c>
      <c r="BC33" s="56">
        <f>IF(ISNUMBER($R33),1,0)</f>
        <v>1</v>
      </c>
      <c r="BD33" s="55">
        <f>IF(ISNUMBER($U33),$U33*$V33,"")</f>
        <v>70</v>
      </c>
      <c r="BE33" s="56">
        <f>IF($AM33=0,"",IFERROR(MATCH($AF33&amp;"|"&amp;UPPER(TRIM($E33)),Lists!$A$6:$A$205,0),0))</f>
        <v>14</v>
      </c>
      <c r="BF33" s="56">
        <f>IF($AM33=0,"",IFERROR(MATCH($AF33,Settings!$B$14:$B$18,0),IFERROR(MATCH(Settings!$C$6,Settings!$B$14:$B$18,0),1)))</f>
        <v>1</v>
      </c>
      <c r="BG33" s="58" t="str">
        <f>IF($AM33=0,"",IF(NOT(ISNUMBER($I33)),"No stop; ","")&amp;IF(AND(ISNUMBER($H33),ISNUMBER($I33)),IF(OR(AND($F33&lt;&gt;"Short",$I33&gt;=$H33),AND($F33="Short",$I33&lt;=$H33)),"Stop on wrong side; ",""),"")&amp;IF($F33="","No direction; ","")&amp;IF(AND(ISNUMBER(Settings!$C$22),ISNUMBER($V33)),IF($V33&gt;Settings!$C$22,"Risk over max $; ",""),"")&amp;IF(AND(ISNUMBER(Settings!$C$23),ISNUMBER($V33),ISNUMBER($AP33),IFERROR(N(INDEX(Accounts!$E$7:$E$16,MATCH($C33,Accounts!$B$7:$B$16,0))),0)&gt;0),IF($V33&gt;Settings!$C$23*($AP33-N($Q33)),"Risk over max %; ",""),"")&amp;IF(AND(ISNUMBER(Settings!$C$24),ISNUMBER($N33)),IF($N33&gt;Settings!$C$24,"Leverage over max; ",""),"")&amp;IF(AND(ISNUMBER(Settings!$C$27),ISNUMBER($T33)),IF($T33&lt;Settings!$C$27,"R:R below min; ",""),"")&amp;IF(ISNUMBER(Settings!$C$25),IF(COUNTIFS($A$6:$A33,$A33,$AM$6:$AM33,1)&gt;Settings!$C$25,"Over max trades/day; ",""),"")&amp;IF(ISNUMBER(Settings!$C$26),IF(SUMIFS($Q$5:$Q32,$A$5:$A32,$A33)&lt;=-Settings!$C$26,"Traded after daily max loss; ",""),"")&amp;IF(AND($AG33="",NOT(ISNUMBER($O33))),"Symbol not in Instruments; ","")&amp;IF(AND($AH33="",NOT(ISNUMBER($O33))),"Forex cross: type Gross P&amp;L; ",""))</f>
        <v/>
      </c>
      <c r="BH33" s="56">
        <f>IF(ISNUMBER($Q33),1,0)</f>
        <v>1</v>
      </c>
      <c r="BI33" s="56">
        <f>IF($Y33="",0,1)</f>
        <v>1</v>
      </c>
      <c r="BJ33" s="56">
        <f>IF($AB33="",0,1)</f>
        <v>1</v>
      </c>
      <c r="BK33" s="56">
        <f>IF(AND($BH33=1,$W33&lt;&gt;"OK"),1,0)</f>
        <v>0</v>
      </c>
      <c r="BL33" s="55">
        <f>IF(N($AZ33)=0,0,IFERROR(INDEX($AT$6:$AT$1005,MATCH($AZ33,$AY$6:$AY$1005,0)),0))</f>
        <v>1138.10688</v>
      </c>
      <c r="BM33" s="56">
        <f>IF(ISNUMBER(SEARCH("daily max loss",$BG33)),1,0)</f>
        <v>0</v>
      </c>
    </row>
    <row r="34" ht="18" customHeight="1">
      <c r="A34" s="38" t="n"/>
      <c r="B34" s="39" t="n"/>
      <c r="C34" s="40" t="n"/>
      <c r="D34" s="41" t="n"/>
      <c r="E34" s="41" t="n"/>
      <c r="F34" s="41" t="n"/>
      <c r="G34" s="41" t="n"/>
      <c r="H34" s="42" t="n"/>
      <c r="I34" s="42" t="n"/>
      <c r="J34" s="42" t="n"/>
      <c r="K34" s="42" t="n"/>
      <c r="L34" s="41" t="n"/>
      <c r="M34" s="41" t="n"/>
      <c r="N34" s="41" t="n"/>
      <c r="O34" s="43" t="n"/>
      <c r="P34" s="43" t="n"/>
      <c r="Q34" s="44" t="str">
        <f>IF($AM34=0,"",IF(ISNUMBER($AK34),$AK34-N($AL34),""))</f>
        <v/>
      </c>
      <c r="R34" s="45" t="str">
        <f>IF(OR($Q34="",NOT(ISNUMBER($V34))),"",$AK34/$V34)</f>
        <v/>
      </c>
      <c r="S34" s="46" t="str">
        <f>IF($Q34="","",IF(AND(ISNUMBER($R34),ABS(N($R34))&lt;N(Settings!$C$8)),"Scratch",IF($Q34&gt;0,"Win",IF($Q34&lt;0,"Loss","Scratch"))))</f>
        <v/>
      </c>
      <c r="T34" s="47" t="str">
        <f>IF(OR($AM34=0,NOT(ISNUMBER($H34)),NOT(ISNUMBER($I34)),NOT(ISNUMBER($J34))),"",IF($H34=$I34,"",ROUND(ABS($J34-$H34)/ABS($H34-$I34),6)))</f>
        <v/>
      </c>
      <c r="U34" s="48" t="str">
        <f>IF(OR($S34&lt;&gt;"Win",NOT(ISNUMBER($T34)),NOT(ISNUMBER($R34))),"",MAX(0,$T34-$R34))</f>
        <v/>
      </c>
      <c r="V34" s="49" t="str">
        <f>IF(OR($AM34=0,NOT(ISNUMBER($H34)),NOT(ISNUMBER($I34)),NOT(ISNUMBER($G34))),"",IF(OR($AG34="",$AH34=""),"",IF(ROUND(ABS($H34-$I34)*ABS($G34)*$AG34*$AH34,6)=0,"",ROUND(ABS($H34-$I34)*ABS($G34)*$AG34*$AH34,6))))</f>
        <v/>
      </c>
      <c r="W34" s="50" t="str">
        <f>IF($AM34=0,"",IF($BG34="","OK",LEFT($BG34,LEN($BG34)-2)))</f>
        <v/>
      </c>
      <c r="X34" s="41" t="n"/>
      <c r="Y34" s="40" t="n"/>
      <c r="Z34" s="41" t="n"/>
      <c r="AA34" s="41" t="n"/>
      <c r="AB34" s="40" t="n"/>
      <c r="AC34" s="51" t="n"/>
      <c r="AD34" s="51" t="n"/>
      <c r="AE34" s="40" t="n"/>
      <c r="AF34" s="52" t="str">
        <f>IF($AM34=0,"",IF($D34&lt;&gt;"",$D34,IF(IFERROR(INDEX(Accounts!$C$7:$C$16,MATCH($C34,Accounts!$B$7:$B$16,0))&amp;"","")&lt;&gt;"",INDEX(Accounts!$C$7:$C$16,MATCH($C34,Accounts!$B$7:$B$16,0)),Settings!$C$6)))</f>
        <v/>
      </c>
      <c r="AG34" s="53" t="str">
        <f>IF($AM34=0,"",IF(AND($BE34&gt;0,N(INDEX(Instruments!$D$6:$D$205,MAX(1,$BE34)))&gt;0),INDEX(Instruments!$D$6:$D$205,MAX(1,$BE34)),IF(N(INDEX(Settings!$D$14:$D$18,$BF34))&gt;0,INDEX(Settings!$D$14:$D$18,$BF34),"")))</f>
        <v/>
      </c>
      <c r="AH34" s="54" t="str">
        <f>IF($AM34=0,"",IF($AF34&lt;&gt;"Forex",1,IF(MID(UPPER(SUBSTITUTE(TRIM($E34),"/","")),4,3)=UPPER(TRIM(Settings!$C$7)),1,IF(LEFT(UPPER(SUBSTITUTE(TRIM($E34),"/","")),3)=UPPER(TRIM(Settings!$C$7)),IF(AND(ISNUMBER($K34),N($K34)&lt;&gt;0),1/$K34,""),""))))</f>
        <v/>
      </c>
      <c r="AI34" s="55" t="str">
        <f>IF($AM34=0,"",IF(OR(NOT(ISNUMBER($H34)),NOT(ISNUMBER($K34)),NOT(ISNUMBER($G34)),$AG34="",$AH34=""),"",ROUND(($K34-$H34)*IF($F34="Short",-1,1)*$G34*$AG34*$AH34,6)))</f>
        <v/>
      </c>
      <c r="AJ34" s="55" t="str">
        <f>IF($AM34=0,"",IF(INDEX(Settings!$E$14:$E$18,$BF34)="% of notional",IF(OR($AG34="",NOT(ISNUMBER($H34)),NOT(ISNUMBER($G34))),"",ROUND(ABS($H34*$G34*$AG34*N($AH34))*IF($L34="Limit",N(INDEX(Settings!$G$14:$G$18,$BF34)),N(INDEX(Settings!$H$14:$H$18,$BF34)))+IF(ISNUMBER($K34),ABS($K34*$G34*$AG34*N($AH34))*IF($M34="Target",N(INDEX(Settings!$G$14:$G$18,$BF34)),N(INDEX(Settings!$H$14:$H$18,$BF34))),0),6)),IF(NOT(ISNUMBER($G34)),"",ROUND(ABS($G34)*2*IF(AND($BE34&gt;0,ISNUMBER(INDEX(Instruments!$G$6:$G$205,MAX(1,$BE34)))),INDEX(Instruments!$G$6:$G$205,MAX(1,$BE34)),N(INDEX(Settings!$F$14:$F$18,$BF34))),6))))</f>
        <v/>
      </c>
      <c r="AK34" s="55" t="str">
        <f>IF($AM34=0,"",IF(ISNUMBER($O34),$O34,$AI34))</f>
        <v/>
      </c>
      <c r="AL34" s="55" t="str">
        <f>IF($AM34=0,"",IF(ISNUMBER($P34),$P34,N($AJ34)))</f>
        <v/>
      </c>
      <c r="AM34" s="56">
        <f>IF(AND($A34&lt;&gt;"",$E34&lt;&gt;"",OR(AND(ISNUMBER($G34),ISNUMBER($H34),ISNUMBER($K34)),ISNUMBER($O34))),1,0)</f>
        <v>0</v>
      </c>
      <c r="AN34" s="57" t="str">
        <f>IF($A34="","",$A34-WEEKDAY($A34,3))</f>
        <v/>
      </c>
      <c r="AO34" s="56" t="str">
        <f>IF($A34="","",WEEKDAY($A34,2))</f>
        <v/>
      </c>
      <c r="AP34" s="55" t="str">
        <f>IF(OR($AM34=0,$C34=""),"",IFERROR(N(INDEX(Accounts!$E$7:$E$16,MATCH($C34,Accounts!$B$7:$B$16,0))),0)+SUMIFS($Q$6:$Q34,$C$6:$C34,$C34))</f>
        <v/>
      </c>
      <c r="AQ34" s="55" t="str">
        <f>IF(OR($AM34=0,$C34=""),"",SUMIFS($Q$6:$Q$1005,$C$6:$C$1005,$C34,$A$6:$A$1005,$A34))</f>
        <v/>
      </c>
      <c r="AR34" s="55" t="str">
        <f>IF(OR($AM34=0,$C34=""),"",IFERROR(N(INDEX(Accounts!$E$7:$E$16,MATCH($C34,Accounts!$B$7:$B$16,0))),0)+SUMIFS($Q$6:$Q$1005,$C$6:$C$1005,$C34,$A$6:$A$1005,"&lt;="&amp;$A34))</f>
        <v/>
      </c>
      <c r="AS34" s="56">
        <f>IF(OR($AM34=0,$Q34=""),0,IF(AND($A34&gt;=Lists!$W$6,$A34&lt;=Lists!$W$7,OR(Dashboard!$D$6="All accounts",$C34=Dashboard!$D$6),OR(Dashboard!$D$7="All markets",$AF34=Dashboard!$D$7)),1,0))</f>
        <v>0</v>
      </c>
      <c r="AT34" s="55">
        <f>IF($AS34=1,N(AT33)+$Q34,N(AT33))</f>
        <v>1187.10688</v>
      </c>
      <c r="AU34" s="55">
        <f>MAX(N(AU33),$AT34)</f>
        <v>1187.10688</v>
      </c>
      <c r="AV34" s="55">
        <f>$AT34-$AU34</f>
        <v>0</v>
      </c>
      <c r="AW34" s="56">
        <f>IF($AS34=1,IF($S34="Win",N(AW33)+1,IF($S34="Loss",0,N(AW33))),N(AW33))</f>
        <v>5</v>
      </c>
      <c r="AX34" s="56">
        <f>IF($AS34=1,IF($S34="Loss",N(AX33)+1,IF($S34="Win",0,N(AX33))),N(AX33))</f>
        <v>0</v>
      </c>
      <c r="AY34" s="56" t="str">
        <f>IF($AS34=1,COUNTIF($AS$6:$AS34,1),"")</f>
        <v/>
      </c>
      <c r="AZ34" s="56">
        <f>MIN(28,N(Lists!$W$8))</f>
        <v>28</v>
      </c>
      <c r="BA34" s="56">
        <f>IF($AS34=1,IF(COUNTIFS($A$6:$A34,$A34,$AS$6:$AS34,1)=1,1,0),0)</f>
        <v>0</v>
      </c>
      <c r="BB34" s="55" t="str">
        <f>IF($BA34=1,SUMIFS($Q$6:$Q$1005,$A$6:$A$1005,$A34,$AS$6:$AS$1005,1),"")</f>
        <v/>
      </c>
      <c r="BC34" s="56">
        <f>IF(ISNUMBER($R34),1,0)</f>
        <v>0</v>
      </c>
      <c r="BD34" s="55" t="str">
        <f>IF(ISNUMBER($U34),$U34*$V34,"")</f>
        <v/>
      </c>
      <c r="BE34" s="56" t="str">
        <f>IF($AM34=0,"",IFERROR(MATCH($AF34&amp;"|"&amp;UPPER(TRIM($E34)),Lists!$A$6:$A$205,0),0))</f>
        <v/>
      </c>
      <c r="BF34" s="56" t="str">
        <f>IF($AM34=0,"",IFERROR(MATCH($AF34,Settings!$B$14:$B$18,0),IFERROR(MATCH(Settings!$C$6,Settings!$B$14:$B$18,0),1)))</f>
        <v/>
      </c>
      <c r="BG34" s="58" t="str">
        <f>IF($AM34=0,"",IF(NOT(ISNUMBER($I34)),"No stop; ","")&amp;IF(AND(ISNUMBER($H34),ISNUMBER($I34)),IF(OR(AND($F34&lt;&gt;"Short",$I34&gt;=$H34),AND($F34="Short",$I34&lt;=$H34)),"Stop on wrong side; ",""),"")&amp;IF($F34="","No direction; ","")&amp;IF(AND(ISNUMBER(Settings!$C$22),ISNUMBER($V34)),IF($V34&gt;Settings!$C$22,"Risk over max $; ",""),"")&amp;IF(AND(ISNUMBER(Settings!$C$23),ISNUMBER($V34),ISNUMBER($AP34),IFERROR(N(INDEX(Accounts!$E$7:$E$16,MATCH($C34,Accounts!$B$7:$B$16,0))),0)&gt;0),IF($V34&gt;Settings!$C$23*($AP34-N($Q34)),"Risk over max %; ",""),"")&amp;IF(AND(ISNUMBER(Settings!$C$24),ISNUMBER($N34)),IF($N34&gt;Settings!$C$24,"Leverage over max; ",""),"")&amp;IF(AND(ISNUMBER(Settings!$C$27),ISNUMBER($T34)),IF($T34&lt;Settings!$C$27,"R:R below min; ",""),"")&amp;IF(ISNUMBER(Settings!$C$25),IF(COUNTIFS($A$6:$A34,$A34,$AM$6:$AM34,1)&gt;Settings!$C$25,"Over max trades/day; ",""),"")&amp;IF(ISNUMBER(Settings!$C$26),IF(SUMIFS($Q$5:$Q33,$A$5:$A33,$A34)&lt;=-Settings!$C$26,"Traded after daily max loss; ",""),"")&amp;IF(AND($AG34="",NOT(ISNUMBER($O34))),"Symbol not in Instruments; ","")&amp;IF(AND($AH34="",NOT(ISNUMBER($O34))),"Forex cross: type Gross P&amp;L; ",""))</f>
        <v/>
      </c>
      <c r="BH34" s="56">
        <f>IF(ISNUMBER($Q34),1,0)</f>
        <v>0</v>
      </c>
      <c r="BI34" s="56">
        <f>IF($Y34="",0,1)</f>
        <v>0</v>
      </c>
      <c r="BJ34" s="56">
        <f>IF($AB34="",0,1)</f>
        <v>0</v>
      </c>
      <c r="BK34" s="56">
        <f>IF(AND($BH34=1,$W34&lt;&gt;"OK"),1,0)</f>
        <v>0</v>
      </c>
      <c r="BL34" s="55">
        <f>IF(N($AZ34)=0,0,IFERROR(INDEX($AT$6:$AT$1005,MATCH($AZ34,$AY$6:$AY$1005,0)),0))</f>
        <v>1187.10688</v>
      </c>
      <c r="BM34" s="56">
        <f>IF(ISNUMBER(SEARCH("daily max loss",$BG34)),1,0)</f>
        <v>0</v>
      </c>
    </row>
    <row r="35" ht="18" customHeight="1">
      <c r="A35" s="38" t="n"/>
      <c r="B35" s="39" t="n"/>
      <c r="C35" s="40" t="n"/>
      <c r="D35" s="41" t="n"/>
      <c r="E35" s="41" t="n"/>
      <c r="F35" s="41" t="n"/>
      <c r="G35" s="41" t="n"/>
      <c r="H35" s="42" t="n"/>
      <c r="I35" s="42" t="n"/>
      <c r="J35" s="42" t="n"/>
      <c r="K35" s="42" t="n"/>
      <c r="L35" s="41" t="n"/>
      <c r="M35" s="41" t="n"/>
      <c r="N35" s="41" t="n"/>
      <c r="O35" s="43" t="n"/>
      <c r="P35" s="43" t="n"/>
      <c r="Q35" s="44" t="str">
        <f>IF($AM35=0,"",IF(ISNUMBER($AK35),$AK35-N($AL35),""))</f>
        <v/>
      </c>
      <c r="R35" s="45" t="str">
        <f>IF(OR($Q35="",NOT(ISNUMBER($V35))),"",$AK35/$V35)</f>
        <v/>
      </c>
      <c r="S35" s="46" t="str">
        <f>IF($Q35="","",IF(AND(ISNUMBER($R35),ABS(N($R35))&lt;N(Settings!$C$8)),"Scratch",IF($Q35&gt;0,"Win",IF($Q35&lt;0,"Loss","Scratch"))))</f>
        <v/>
      </c>
      <c r="T35" s="47" t="str">
        <f>IF(OR($AM35=0,NOT(ISNUMBER($H35)),NOT(ISNUMBER($I35)),NOT(ISNUMBER($J35))),"",IF($H35=$I35,"",ROUND(ABS($J35-$H35)/ABS($H35-$I35),6)))</f>
        <v/>
      </c>
      <c r="U35" s="48" t="str">
        <f>IF(OR($S35&lt;&gt;"Win",NOT(ISNUMBER($T35)),NOT(ISNUMBER($R35))),"",MAX(0,$T35-$R35))</f>
        <v/>
      </c>
      <c r="V35" s="49" t="str">
        <f>IF(OR($AM35=0,NOT(ISNUMBER($H35)),NOT(ISNUMBER($I35)),NOT(ISNUMBER($G35))),"",IF(OR($AG35="",$AH35=""),"",IF(ROUND(ABS($H35-$I35)*ABS($G35)*$AG35*$AH35,6)=0,"",ROUND(ABS($H35-$I35)*ABS($G35)*$AG35*$AH35,6))))</f>
        <v/>
      </c>
      <c r="W35" s="50" t="str">
        <f>IF($AM35=0,"",IF($BG35="","OK",LEFT($BG35,LEN($BG35)-2)))</f>
        <v/>
      </c>
      <c r="X35" s="41" t="n"/>
      <c r="Y35" s="40" t="n"/>
      <c r="Z35" s="41" t="n"/>
      <c r="AA35" s="41" t="n"/>
      <c r="AB35" s="40" t="n"/>
      <c r="AC35" s="51" t="n"/>
      <c r="AD35" s="51" t="n"/>
      <c r="AE35" s="40" t="n"/>
      <c r="AF35" s="52" t="str">
        <f>IF($AM35=0,"",IF($D35&lt;&gt;"",$D35,IF(IFERROR(INDEX(Accounts!$C$7:$C$16,MATCH($C35,Accounts!$B$7:$B$16,0))&amp;"","")&lt;&gt;"",INDEX(Accounts!$C$7:$C$16,MATCH($C35,Accounts!$B$7:$B$16,0)),Settings!$C$6)))</f>
        <v/>
      </c>
      <c r="AG35" s="53" t="str">
        <f>IF($AM35=0,"",IF(AND($BE35&gt;0,N(INDEX(Instruments!$D$6:$D$205,MAX(1,$BE35)))&gt;0),INDEX(Instruments!$D$6:$D$205,MAX(1,$BE35)),IF(N(INDEX(Settings!$D$14:$D$18,$BF35))&gt;0,INDEX(Settings!$D$14:$D$18,$BF35),"")))</f>
        <v/>
      </c>
      <c r="AH35" s="54" t="str">
        <f>IF($AM35=0,"",IF($AF35&lt;&gt;"Forex",1,IF(MID(UPPER(SUBSTITUTE(TRIM($E35),"/","")),4,3)=UPPER(TRIM(Settings!$C$7)),1,IF(LEFT(UPPER(SUBSTITUTE(TRIM($E35),"/","")),3)=UPPER(TRIM(Settings!$C$7)),IF(AND(ISNUMBER($K35),N($K35)&lt;&gt;0),1/$K35,""),""))))</f>
        <v/>
      </c>
      <c r="AI35" s="55" t="str">
        <f>IF($AM35=0,"",IF(OR(NOT(ISNUMBER($H35)),NOT(ISNUMBER($K35)),NOT(ISNUMBER($G35)),$AG35="",$AH35=""),"",ROUND(($K35-$H35)*IF($F35="Short",-1,1)*$G35*$AG35*$AH35,6)))</f>
        <v/>
      </c>
      <c r="AJ35" s="55" t="str">
        <f>IF($AM35=0,"",IF(INDEX(Settings!$E$14:$E$18,$BF35)="% of notional",IF(OR($AG35="",NOT(ISNUMBER($H35)),NOT(ISNUMBER($G35))),"",ROUND(ABS($H35*$G35*$AG35*N($AH35))*IF($L35="Limit",N(INDEX(Settings!$G$14:$G$18,$BF35)),N(INDEX(Settings!$H$14:$H$18,$BF35)))+IF(ISNUMBER($K35),ABS($K35*$G35*$AG35*N($AH35))*IF($M35="Target",N(INDEX(Settings!$G$14:$G$18,$BF35)),N(INDEX(Settings!$H$14:$H$18,$BF35))),0),6)),IF(NOT(ISNUMBER($G35)),"",ROUND(ABS($G35)*2*IF(AND($BE35&gt;0,ISNUMBER(INDEX(Instruments!$G$6:$G$205,MAX(1,$BE35)))),INDEX(Instruments!$G$6:$G$205,MAX(1,$BE35)),N(INDEX(Settings!$F$14:$F$18,$BF35))),6))))</f>
        <v/>
      </c>
      <c r="AK35" s="55" t="str">
        <f>IF($AM35=0,"",IF(ISNUMBER($O35),$O35,$AI35))</f>
        <v/>
      </c>
      <c r="AL35" s="55" t="str">
        <f>IF($AM35=0,"",IF(ISNUMBER($P35),$P35,N($AJ35)))</f>
        <v/>
      </c>
      <c r="AM35" s="56">
        <f>IF(AND($A35&lt;&gt;"",$E35&lt;&gt;"",OR(AND(ISNUMBER($G35),ISNUMBER($H35),ISNUMBER($K35)),ISNUMBER($O35))),1,0)</f>
        <v>0</v>
      </c>
      <c r="AN35" s="57" t="str">
        <f>IF($A35="","",$A35-WEEKDAY($A35,3))</f>
        <v/>
      </c>
      <c r="AO35" s="56" t="str">
        <f>IF($A35="","",WEEKDAY($A35,2))</f>
        <v/>
      </c>
      <c r="AP35" s="55" t="str">
        <f>IF(OR($AM35=0,$C35=""),"",IFERROR(N(INDEX(Accounts!$E$7:$E$16,MATCH($C35,Accounts!$B$7:$B$16,0))),0)+SUMIFS($Q$6:$Q35,$C$6:$C35,$C35))</f>
        <v/>
      </c>
      <c r="AQ35" s="55" t="str">
        <f>IF(OR($AM35=0,$C35=""),"",SUMIFS($Q$6:$Q$1005,$C$6:$C$1005,$C35,$A$6:$A$1005,$A35))</f>
        <v/>
      </c>
      <c r="AR35" s="55" t="str">
        <f>IF(OR($AM35=0,$C35=""),"",IFERROR(N(INDEX(Accounts!$E$7:$E$16,MATCH($C35,Accounts!$B$7:$B$16,0))),0)+SUMIFS($Q$6:$Q$1005,$C$6:$C$1005,$C35,$A$6:$A$1005,"&lt;="&amp;$A35))</f>
        <v/>
      </c>
      <c r="AS35" s="56">
        <f>IF(OR($AM35=0,$Q35=""),0,IF(AND($A35&gt;=Lists!$W$6,$A35&lt;=Lists!$W$7,OR(Dashboard!$D$6="All accounts",$C35=Dashboard!$D$6),OR(Dashboard!$D$7="All markets",$AF35=Dashboard!$D$7)),1,0))</f>
        <v>0</v>
      </c>
      <c r="AT35" s="55">
        <f>IF($AS35=1,N(AT34)+$Q35,N(AT34))</f>
        <v>1187.10688</v>
      </c>
      <c r="AU35" s="55">
        <f>MAX(N(AU34),$AT35)</f>
        <v>1187.10688</v>
      </c>
      <c r="AV35" s="55">
        <f>$AT35-$AU35</f>
        <v>0</v>
      </c>
      <c r="AW35" s="56">
        <f>IF($AS35=1,IF($S35="Win",N(AW34)+1,IF($S35="Loss",0,N(AW34))),N(AW34))</f>
        <v>5</v>
      </c>
      <c r="AX35" s="56">
        <f>IF($AS35=1,IF($S35="Loss",N(AX34)+1,IF($S35="Win",0,N(AX34))),N(AX34))</f>
        <v>0</v>
      </c>
      <c r="AY35" s="56" t="str">
        <f>IF($AS35=1,COUNTIF($AS$6:$AS35,1),"")</f>
        <v/>
      </c>
      <c r="AZ35" s="56">
        <f>MIN(29,N(Lists!$W$8))</f>
        <v>28</v>
      </c>
      <c r="BA35" s="56">
        <f>IF($AS35=1,IF(COUNTIFS($A$6:$A35,$A35,$AS$6:$AS35,1)=1,1,0),0)</f>
        <v>0</v>
      </c>
      <c r="BB35" s="55" t="str">
        <f>IF($BA35=1,SUMIFS($Q$6:$Q$1005,$A$6:$A$1005,$A35,$AS$6:$AS$1005,1),"")</f>
        <v/>
      </c>
      <c r="BC35" s="56">
        <f>IF(ISNUMBER($R35),1,0)</f>
        <v>0</v>
      </c>
      <c r="BD35" s="55" t="str">
        <f>IF(ISNUMBER($U35),$U35*$V35,"")</f>
        <v/>
      </c>
      <c r="BE35" s="56" t="str">
        <f>IF($AM35=0,"",IFERROR(MATCH($AF35&amp;"|"&amp;UPPER(TRIM($E35)),Lists!$A$6:$A$205,0),0))</f>
        <v/>
      </c>
      <c r="BF35" s="56" t="str">
        <f>IF($AM35=0,"",IFERROR(MATCH($AF35,Settings!$B$14:$B$18,0),IFERROR(MATCH(Settings!$C$6,Settings!$B$14:$B$18,0),1)))</f>
        <v/>
      </c>
      <c r="BG35" s="58" t="str">
        <f>IF($AM35=0,"",IF(NOT(ISNUMBER($I35)),"No stop; ","")&amp;IF(AND(ISNUMBER($H35),ISNUMBER($I35)),IF(OR(AND($F35&lt;&gt;"Short",$I35&gt;=$H35),AND($F35="Short",$I35&lt;=$H35)),"Stop on wrong side; ",""),"")&amp;IF($F35="","No direction; ","")&amp;IF(AND(ISNUMBER(Settings!$C$22),ISNUMBER($V35)),IF($V35&gt;Settings!$C$22,"Risk over max $; ",""),"")&amp;IF(AND(ISNUMBER(Settings!$C$23),ISNUMBER($V35),ISNUMBER($AP35),IFERROR(N(INDEX(Accounts!$E$7:$E$16,MATCH($C35,Accounts!$B$7:$B$16,0))),0)&gt;0),IF($V35&gt;Settings!$C$23*($AP35-N($Q35)),"Risk over max %; ",""),"")&amp;IF(AND(ISNUMBER(Settings!$C$24),ISNUMBER($N35)),IF($N35&gt;Settings!$C$24,"Leverage over max; ",""),"")&amp;IF(AND(ISNUMBER(Settings!$C$27),ISNUMBER($T35)),IF($T35&lt;Settings!$C$27,"R:R below min; ",""),"")&amp;IF(ISNUMBER(Settings!$C$25),IF(COUNTIFS($A$6:$A35,$A35,$AM$6:$AM35,1)&gt;Settings!$C$25,"Over max trades/day; ",""),"")&amp;IF(ISNUMBER(Settings!$C$26),IF(SUMIFS($Q$5:$Q34,$A$5:$A34,$A35)&lt;=-Settings!$C$26,"Traded after daily max loss; ",""),"")&amp;IF(AND($AG35="",NOT(ISNUMBER($O35))),"Symbol not in Instruments; ","")&amp;IF(AND($AH35="",NOT(ISNUMBER($O35))),"Forex cross: type Gross P&amp;L; ",""))</f>
        <v/>
      </c>
      <c r="BH35" s="56">
        <f>IF(ISNUMBER($Q35),1,0)</f>
        <v>0</v>
      </c>
      <c r="BI35" s="56">
        <f>IF($Y35="",0,1)</f>
        <v>0</v>
      </c>
      <c r="BJ35" s="56">
        <f>IF($AB35="",0,1)</f>
        <v>0</v>
      </c>
      <c r="BK35" s="56">
        <f>IF(AND($BH35=1,$W35&lt;&gt;"OK"),1,0)</f>
        <v>0</v>
      </c>
      <c r="BL35" s="55">
        <f>IF(N($AZ35)=0,0,IFERROR(INDEX($AT$6:$AT$1005,MATCH($AZ35,$AY$6:$AY$1005,0)),0))</f>
        <v>1187.10688</v>
      </c>
      <c r="BM35" s="56">
        <f>IF(ISNUMBER(SEARCH("daily max loss",$BG35)),1,0)</f>
        <v>0</v>
      </c>
    </row>
    <row r="36" ht="18" customHeight="1">
      <c r="A36" s="38" t="n"/>
      <c r="B36" s="39" t="n"/>
      <c r="C36" s="40" t="n"/>
      <c r="D36" s="41" t="n"/>
      <c r="E36" s="41" t="n"/>
      <c r="F36" s="41" t="n"/>
      <c r="G36" s="41" t="n"/>
      <c r="H36" s="42" t="n"/>
      <c r="I36" s="42" t="n"/>
      <c r="J36" s="42" t="n"/>
      <c r="K36" s="42" t="n"/>
      <c r="L36" s="41" t="n"/>
      <c r="M36" s="41" t="n"/>
      <c r="N36" s="41" t="n"/>
      <c r="O36" s="43" t="n"/>
      <c r="P36" s="43" t="n"/>
      <c r="Q36" s="44" t="str">
        <f>IF($AM36=0,"",IF(ISNUMBER($AK36),$AK36-N($AL36),""))</f>
        <v/>
      </c>
      <c r="R36" s="45" t="str">
        <f>IF(OR($Q36="",NOT(ISNUMBER($V36))),"",$AK36/$V36)</f>
        <v/>
      </c>
      <c r="S36" s="46" t="str">
        <f>IF($Q36="","",IF(AND(ISNUMBER($R36),ABS(N($R36))&lt;N(Settings!$C$8)),"Scratch",IF($Q36&gt;0,"Win",IF($Q36&lt;0,"Loss","Scratch"))))</f>
        <v/>
      </c>
      <c r="T36" s="47" t="str">
        <f>IF(OR($AM36=0,NOT(ISNUMBER($H36)),NOT(ISNUMBER($I36)),NOT(ISNUMBER($J36))),"",IF($H36=$I36,"",ROUND(ABS($J36-$H36)/ABS($H36-$I36),6)))</f>
        <v/>
      </c>
      <c r="U36" s="48" t="str">
        <f>IF(OR($S36&lt;&gt;"Win",NOT(ISNUMBER($T36)),NOT(ISNUMBER($R36))),"",MAX(0,$T36-$R36))</f>
        <v/>
      </c>
      <c r="V36" s="49" t="str">
        <f>IF(OR($AM36=0,NOT(ISNUMBER($H36)),NOT(ISNUMBER($I36)),NOT(ISNUMBER($G36))),"",IF(OR($AG36="",$AH36=""),"",IF(ROUND(ABS($H36-$I36)*ABS($G36)*$AG36*$AH36,6)=0,"",ROUND(ABS($H36-$I36)*ABS($G36)*$AG36*$AH36,6))))</f>
        <v/>
      </c>
      <c r="W36" s="50" t="str">
        <f>IF($AM36=0,"",IF($BG36="","OK",LEFT($BG36,LEN($BG36)-2)))</f>
        <v/>
      </c>
      <c r="X36" s="41" t="n"/>
      <c r="Y36" s="40" t="n"/>
      <c r="Z36" s="41" t="n"/>
      <c r="AA36" s="41" t="n"/>
      <c r="AB36" s="40" t="n"/>
      <c r="AC36" s="51" t="n"/>
      <c r="AD36" s="51" t="n"/>
      <c r="AE36" s="40" t="n"/>
      <c r="AF36" s="52" t="str">
        <f>IF($AM36=0,"",IF($D36&lt;&gt;"",$D36,IF(IFERROR(INDEX(Accounts!$C$7:$C$16,MATCH($C36,Accounts!$B$7:$B$16,0))&amp;"","")&lt;&gt;"",INDEX(Accounts!$C$7:$C$16,MATCH($C36,Accounts!$B$7:$B$16,0)),Settings!$C$6)))</f>
        <v/>
      </c>
      <c r="AG36" s="53" t="str">
        <f>IF($AM36=0,"",IF(AND($BE36&gt;0,N(INDEX(Instruments!$D$6:$D$205,MAX(1,$BE36)))&gt;0),INDEX(Instruments!$D$6:$D$205,MAX(1,$BE36)),IF(N(INDEX(Settings!$D$14:$D$18,$BF36))&gt;0,INDEX(Settings!$D$14:$D$18,$BF36),"")))</f>
        <v/>
      </c>
      <c r="AH36" s="54" t="str">
        <f>IF($AM36=0,"",IF($AF36&lt;&gt;"Forex",1,IF(MID(UPPER(SUBSTITUTE(TRIM($E36),"/","")),4,3)=UPPER(TRIM(Settings!$C$7)),1,IF(LEFT(UPPER(SUBSTITUTE(TRIM($E36),"/","")),3)=UPPER(TRIM(Settings!$C$7)),IF(AND(ISNUMBER($K36),N($K36)&lt;&gt;0),1/$K36,""),""))))</f>
        <v/>
      </c>
      <c r="AI36" s="55" t="str">
        <f>IF($AM36=0,"",IF(OR(NOT(ISNUMBER($H36)),NOT(ISNUMBER($K36)),NOT(ISNUMBER($G36)),$AG36="",$AH36=""),"",ROUND(($K36-$H36)*IF($F36="Short",-1,1)*$G36*$AG36*$AH36,6)))</f>
        <v/>
      </c>
      <c r="AJ36" s="55" t="str">
        <f>IF($AM36=0,"",IF(INDEX(Settings!$E$14:$E$18,$BF36)="% of notional",IF(OR($AG36="",NOT(ISNUMBER($H36)),NOT(ISNUMBER($G36))),"",ROUND(ABS($H36*$G36*$AG36*N($AH36))*IF($L36="Limit",N(INDEX(Settings!$G$14:$G$18,$BF36)),N(INDEX(Settings!$H$14:$H$18,$BF36)))+IF(ISNUMBER($K36),ABS($K36*$G36*$AG36*N($AH36))*IF($M36="Target",N(INDEX(Settings!$G$14:$G$18,$BF36)),N(INDEX(Settings!$H$14:$H$18,$BF36))),0),6)),IF(NOT(ISNUMBER($G36)),"",ROUND(ABS($G36)*2*IF(AND($BE36&gt;0,ISNUMBER(INDEX(Instruments!$G$6:$G$205,MAX(1,$BE36)))),INDEX(Instruments!$G$6:$G$205,MAX(1,$BE36)),N(INDEX(Settings!$F$14:$F$18,$BF36))),6))))</f>
        <v/>
      </c>
      <c r="AK36" s="55" t="str">
        <f>IF($AM36=0,"",IF(ISNUMBER($O36),$O36,$AI36))</f>
        <v/>
      </c>
      <c r="AL36" s="55" t="str">
        <f>IF($AM36=0,"",IF(ISNUMBER($P36),$P36,N($AJ36)))</f>
        <v/>
      </c>
      <c r="AM36" s="56">
        <f>IF(AND($A36&lt;&gt;"",$E36&lt;&gt;"",OR(AND(ISNUMBER($G36),ISNUMBER($H36),ISNUMBER($K36)),ISNUMBER($O36))),1,0)</f>
        <v>0</v>
      </c>
      <c r="AN36" s="57" t="str">
        <f>IF($A36="","",$A36-WEEKDAY($A36,3))</f>
        <v/>
      </c>
      <c r="AO36" s="56" t="str">
        <f>IF($A36="","",WEEKDAY($A36,2))</f>
        <v/>
      </c>
      <c r="AP36" s="55" t="str">
        <f>IF(OR($AM36=0,$C36=""),"",IFERROR(N(INDEX(Accounts!$E$7:$E$16,MATCH($C36,Accounts!$B$7:$B$16,0))),0)+SUMIFS($Q$6:$Q36,$C$6:$C36,$C36))</f>
        <v/>
      </c>
      <c r="AQ36" s="55" t="str">
        <f>IF(OR($AM36=0,$C36=""),"",SUMIFS($Q$6:$Q$1005,$C$6:$C$1005,$C36,$A$6:$A$1005,$A36))</f>
        <v/>
      </c>
      <c r="AR36" s="55" t="str">
        <f>IF(OR($AM36=0,$C36=""),"",IFERROR(N(INDEX(Accounts!$E$7:$E$16,MATCH($C36,Accounts!$B$7:$B$16,0))),0)+SUMIFS($Q$6:$Q$1005,$C$6:$C$1005,$C36,$A$6:$A$1005,"&lt;="&amp;$A36))</f>
        <v/>
      </c>
      <c r="AS36" s="56">
        <f>IF(OR($AM36=0,$Q36=""),0,IF(AND($A36&gt;=Lists!$W$6,$A36&lt;=Lists!$W$7,OR(Dashboard!$D$6="All accounts",$C36=Dashboard!$D$6),OR(Dashboard!$D$7="All markets",$AF36=Dashboard!$D$7)),1,0))</f>
        <v>0</v>
      </c>
      <c r="AT36" s="55">
        <f>IF($AS36=1,N(AT35)+$Q36,N(AT35))</f>
        <v>1187.10688</v>
      </c>
      <c r="AU36" s="55">
        <f>MAX(N(AU35),$AT36)</f>
        <v>1187.10688</v>
      </c>
      <c r="AV36" s="55">
        <f>$AT36-$AU36</f>
        <v>0</v>
      </c>
      <c r="AW36" s="56">
        <f>IF($AS36=1,IF($S36="Win",N(AW35)+1,IF($S36="Loss",0,N(AW35))),N(AW35))</f>
        <v>5</v>
      </c>
      <c r="AX36" s="56">
        <f>IF($AS36=1,IF($S36="Loss",N(AX35)+1,IF($S36="Win",0,N(AX35))),N(AX35))</f>
        <v>0</v>
      </c>
      <c r="AY36" s="56" t="str">
        <f>IF($AS36=1,COUNTIF($AS$6:$AS36,1),"")</f>
        <v/>
      </c>
      <c r="AZ36" s="56">
        <f>MIN(30,N(Lists!$W$8))</f>
        <v>28</v>
      </c>
      <c r="BA36" s="56">
        <f>IF($AS36=1,IF(COUNTIFS($A$6:$A36,$A36,$AS$6:$AS36,1)=1,1,0),0)</f>
        <v>0</v>
      </c>
      <c r="BB36" s="55" t="str">
        <f>IF($BA36=1,SUMIFS($Q$6:$Q$1005,$A$6:$A$1005,$A36,$AS$6:$AS$1005,1),"")</f>
        <v/>
      </c>
      <c r="BC36" s="56">
        <f>IF(ISNUMBER($R36),1,0)</f>
        <v>0</v>
      </c>
      <c r="BD36" s="55" t="str">
        <f>IF(ISNUMBER($U36),$U36*$V36,"")</f>
        <v/>
      </c>
      <c r="BE36" s="56" t="str">
        <f>IF($AM36=0,"",IFERROR(MATCH($AF36&amp;"|"&amp;UPPER(TRIM($E36)),Lists!$A$6:$A$205,0),0))</f>
        <v/>
      </c>
      <c r="BF36" s="56" t="str">
        <f>IF($AM36=0,"",IFERROR(MATCH($AF36,Settings!$B$14:$B$18,0),IFERROR(MATCH(Settings!$C$6,Settings!$B$14:$B$18,0),1)))</f>
        <v/>
      </c>
      <c r="BG36" s="58" t="str">
        <f>IF($AM36=0,"",IF(NOT(ISNUMBER($I36)),"No stop; ","")&amp;IF(AND(ISNUMBER($H36),ISNUMBER($I36)),IF(OR(AND($F36&lt;&gt;"Short",$I36&gt;=$H36),AND($F36="Short",$I36&lt;=$H36)),"Stop on wrong side; ",""),"")&amp;IF($F36="","No direction; ","")&amp;IF(AND(ISNUMBER(Settings!$C$22),ISNUMBER($V36)),IF($V36&gt;Settings!$C$22,"Risk over max $; ",""),"")&amp;IF(AND(ISNUMBER(Settings!$C$23),ISNUMBER($V36),ISNUMBER($AP36),IFERROR(N(INDEX(Accounts!$E$7:$E$16,MATCH($C36,Accounts!$B$7:$B$16,0))),0)&gt;0),IF($V36&gt;Settings!$C$23*($AP36-N($Q36)),"Risk over max %; ",""),"")&amp;IF(AND(ISNUMBER(Settings!$C$24),ISNUMBER($N36)),IF($N36&gt;Settings!$C$24,"Leverage over max; ",""),"")&amp;IF(AND(ISNUMBER(Settings!$C$27),ISNUMBER($T36)),IF($T36&lt;Settings!$C$27,"R:R below min; ",""),"")&amp;IF(ISNUMBER(Settings!$C$25),IF(COUNTIFS($A$6:$A36,$A36,$AM$6:$AM36,1)&gt;Settings!$C$25,"Over max trades/day; ",""),"")&amp;IF(ISNUMBER(Settings!$C$26),IF(SUMIFS($Q$5:$Q35,$A$5:$A35,$A36)&lt;=-Settings!$C$26,"Traded after daily max loss; ",""),"")&amp;IF(AND($AG36="",NOT(ISNUMBER($O36))),"Symbol not in Instruments; ","")&amp;IF(AND($AH36="",NOT(ISNUMBER($O36))),"Forex cross: type Gross P&amp;L; ",""))</f>
        <v/>
      </c>
      <c r="BH36" s="56">
        <f>IF(ISNUMBER($Q36),1,0)</f>
        <v>0</v>
      </c>
      <c r="BI36" s="56">
        <f>IF($Y36="",0,1)</f>
        <v>0</v>
      </c>
      <c r="BJ36" s="56">
        <f>IF($AB36="",0,1)</f>
        <v>0</v>
      </c>
      <c r="BK36" s="56">
        <f>IF(AND($BH36=1,$W36&lt;&gt;"OK"),1,0)</f>
        <v>0</v>
      </c>
      <c r="BL36" s="55">
        <f>IF(N($AZ36)=0,0,IFERROR(INDEX($AT$6:$AT$1005,MATCH($AZ36,$AY$6:$AY$1005,0)),0))</f>
        <v>1187.10688</v>
      </c>
      <c r="BM36" s="56">
        <f>IF(ISNUMBER(SEARCH("daily max loss",$BG36)),1,0)</f>
        <v>0</v>
      </c>
    </row>
    <row r="37" ht="18" customHeight="1">
      <c r="A37" s="38" t="n"/>
      <c r="B37" s="39" t="n"/>
      <c r="C37" s="40" t="n"/>
      <c r="D37" s="41" t="n"/>
      <c r="E37" s="41" t="n"/>
      <c r="F37" s="41" t="n"/>
      <c r="G37" s="41" t="n"/>
      <c r="H37" s="42" t="n"/>
      <c r="I37" s="42" t="n"/>
      <c r="J37" s="42" t="n"/>
      <c r="K37" s="42" t="n"/>
      <c r="L37" s="41" t="n"/>
      <c r="M37" s="41" t="n"/>
      <c r="N37" s="41" t="n"/>
      <c r="O37" s="43" t="n"/>
      <c r="P37" s="43" t="n"/>
      <c r="Q37" s="44" t="str">
        <f>IF($AM37=0,"",IF(ISNUMBER($AK37),$AK37-N($AL37),""))</f>
        <v/>
      </c>
      <c r="R37" s="45" t="str">
        <f>IF(OR($Q37="",NOT(ISNUMBER($V37))),"",$AK37/$V37)</f>
        <v/>
      </c>
      <c r="S37" s="46" t="str">
        <f>IF($Q37="","",IF(AND(ISNUMBER($R37),ABS(N($R37))&lt;N(Settings!$C$8)),"Scratch",IF($Q37&gt;0,"Win",IF($Q37&lt;0,"Loss","Scratch"))))</f>
        <v/>
      </c>
      <c r="T37" s="47" t="str">
        <f>IF(OR($AM37=0,NOT(ISNUMBER($H37)),NOT(ISNUMBER($I37)),NOT(ISNUMBER($J37))),"",IF($H37=$I37,"",ROUND(ABS($J37-$H37)/ABS($H37-$I37),6)))</f>
        <v/>
      </c>
      <c r="U37" s="48" t="str">
        <f>IF(OR($S37&lt;&gt;"Win",NOT(ISNUMBER($T37)),NOT(ISNUMBER($R37))),"",MAX(0,$T37-$R37))</f>
        <v/>
      </c>
      <c r="V37" s="49" t="str">
        <f>IF(OR($AM37=0,NOT(ISNUMBER($H37)),NOT(ISNUMBER($I37)),NOT(ISNUMBER($G37))),"",IF(OR($AG37="",$AH37=""),"",IF(ROUND(ABS($H37-$I37)*ABS($G37)*$AG37*$AH37,6)=0,"",ROUND(ABS($H37-$I37)*ABS($G37)*$AG37*$AH37,6))))</f>
        <v/>
      </c>
      <c r="W37" s="50" t="str">
        <f>IF($AM37=0,"",IF($BG37="","OK",LEFT($BG37,LEN($BG37)-2)))</f>
        <v/>
      </c>
      <c r="X37" s="41" t="n"/>
      <c r="Y37" s="40" t="n"/>
      <c r="Z37" s="41" t="n"/>
      <c r="AA37" s="41" t="n"/>
      <c r="AB37" s="40" t="n"/>
      <c r="AC37" s="51" t="n"/>
      <c r="AD37" s="51" t="n"/>
      <c r="AE37" s="40" t="n"/>
      <c r="AF37" s="52" t="str">
        <f>IF($AM37=0,"",IF($D37&lt;&gt;"",$D37,IF(IFERROR(INDEX(Accounts!$C$7:$C$16,MATCH($C37,Accounts!$B$7:$B$16,0))&amp;"","")&lt;&gt;"",INDEX(Accounts!$C$7:$C$16,MATCH($C37,Accounts!$B$7:$B$16,0)),Settings!$C$6)))</f>
        <v/>
      </c>
      <c r="AG37" s="53" t="str">
        <f>IF($AM37=0,"",IF(AND($BE37&gt;0,N(INDEX(Instruments!$D$6:$D$205,MAX(1,$BE37)))&gt;0),INDEX(Instruments!$D$6:$D$205,MAX(1,$BE37)),IF(N(INDEX(Settings!$D$14:$D$18,$BF37))&gt;0,INDEX(Settings!$D$14:$D$18,$BF37),"")))</f>
        <v/>
      </c>
      <c r="AH37" s="54" t="str">
        <f>IF($AM37=0,"",IF($AF37&lt;&gt;"Forex",1,IF(MID(UPPER(SUBSTITUTE(TRIM($E37),"/","")),4,3)=UPPER(TRIM(Settings!$C$7)),1,IF(LEFT(UPPER(SUBSTITUTE(TRIM($E37),"/","")),3)=UPPER(TRIM(Settings!$C$7)),IF(AND(ISNUMBER($K37),N($K37)&lt;&gt;0),1/$K37,""),""))))</f>
        <v/>
      </c>
      <c r="AI37" s="55" t="str">
        <f>IF($AM37=0,"",IF(OR(NOT(ISNUMBER($H37)),NOT(ISNUMBER($K37)),NOT(ISNUMBER($G37)),$AG37="",$AH37=""),"",ROUND(($K37-$H37)*IF($F37="Short",-1,1)*$G37*$AG37*$AH37,6)))</f>
        <v/>
      </c>
      <c r="AJ37" s="55" t="str">
        <f>IF($AM37=0,"",IF(INDEX(Settings!$E$14:$E$18,$BF37)="% of notional",IF(OR($AG37="",NOT(ISNUMBER($H37)),NOT(ISNUMBER($G37))),"",ROUND(ABS($H37*$G37*$AG37*N($AH37))*IF($L37="Limit",N(INDEX(Settings!$G$14:$G$18,$BF37)),N(INDEX(Settings!$H$14:$H$18,$BF37)))+IF(ISNUMBER($K37),ABS($K37*$G37*$AG37*N($AH37))*IF($M37="Target",N(INDEX(Settings!$G$14:$G$18,$BF37)),N(INDEX(Settings!$H$14:$H$18,$BF37))),0),6)),IF(NOT(ISNUMBER($G37)),"",ROUND(ABS($G37)*2*IF(AND($BE37&gt;0,ISNUMBER(INDEX(Instruments!$G$6:$G$205,MAX(1,$BE37)))),INDEX(Instruments!$G$6:$G$205,MAX(1,$BE37)),N(INDEX(Settings!$F$14:$F$18,$BF37))),6))))</f>
        <v/>
      </c>
      <c r="AK37" s="55" t="str">
        <f>IF($AM37=0,"",IF(ISNUMBER($O37),$O37,$AI37))</f>
        <v/>
      </c>
      <c r="AL37" s="55" t="str">
        <f>IF($AM37=0,"",IF(ISNUMBER($P37),$P37,N($AJ37)))</f>
        <v/>
      </c>
      <c r="AM37" s="56">
        <f>IF(AND($A37&lt;&gt;"",$E37&lt;&gt;"",OR(AND(ISNUMBER($G37),ISNUMBER($H37),ISNUMBER($K37)),ISNUMBER($O37))),1,0)</f>
        <v>0</v>
      </c>
      <c r="AN37" s="57" t="str">
        <f>IF($A37="","",$A37-WEEKDAY($A37,3))</f>
        <v/>
      </c>
      <c r="AO37" s="56" t="str">
        <f>IF($A37="","",WEEKDAY($A37,2))</f>
        <v/>
      </c>
      <c r="AP37" s="55" t="str">
        <f>IF(OR($AM37=0,$C37=""),"",IFERROR(N(INDEX(Accounts!$E$7:$E$16,MATCH($C37,Accounts!$B$7:$B$16,0))),0)+SUMIFS($Q$6:$Q37,$C$6:$C37,$C37))</f>
        <v/>
      </c>
      <c r="AQ37" s="55" t="str">
        <f>IF(OR($AM37=0,$C37=""),"",SUMIFS($Q$6:$Q$1005,$C$6:$C$1005,$C37,$A$6:$A$1005,$A37))</f>
        <v/>
      </c>
      <c r="AR37" s="55" t="str">
        <f>IF(OR($AM37=0,$C37=""),"",IFERROR(N(INDEX(Accounts!$E$7:$E$16,MATCH($C37,Accounts!$B$7:$B$16,0))),0)+SUMIFS($Q$6:$Q$1005,$C$6:$C$1005,$C37,$A$6:$A$1005,"&lt;="&amp;$A37))</f>
        <v/>
      </c>
      <c r="AS37" s="56">
        <f>IF(OR($AM37=0,$Q37=""),0,IF(AND($A37&gt;=Lists!$W$6,$A37&lt;=Lists!$W$7,OR(Dashboard!$D$6="All accounts",$C37=Dashboard!$D$6),OR(Dashboard!$D$7="All markets",$AF37=Dashboard!$D$7)),1,0))</f>
        <v>0</v>
      </c>
      <c r="AT37" s="55">
        <f>IF($AS37=1,N(AT36)+$Q37,N(AT36))</f>
        <v>1187.10688</v>
      </c>
      <c r="AU37" s="55">
        <f>MAX(N(AU36),$AT37)</f>
        <v>1187.10688</v>
      </c>
      <c r="AV37" s="55">
        <f>$AT37-$AU37</f>
        <v>0</v>
      </c>
      <c r="AW37" s="56">
        <f>IF($AS37=1,IF($S37="Win",N(AW36)+1,IF($S37="Loss",0,N(AW36))),N(AW36))</f>
        <v>5</v>
      </c>
      <c r="AX37" s="56">
        <f>IF($AS37=1,IF($S37="Loss",N(AX36)+1,IF($S37="Win",0,N(AX36))),N(AX36))</f>
        <v>0</v>
      </c>
      <c r="AY37" s="56" t="str">
        <f>IF($AS37=1,COUNTIF($AS$6:$AS37,1),"")</f>
        <v/>
      </c>
      <c r="AZ37" s="56">
        <f>MIN(31,N(Lists!$W$8))</f>
        <v>28</v>
      </c>
      <c r="BA37" s="56">
        <f>IF($AS37=1,IF(COUNTIFS($A$6:$A37,$A37,$AS$6:$AS37,1)=1,1,0),0)</f>
        <v>0</v>
      </c>
      <c r="BB37" s="55" t="str">
        <f>IF($BA37=1,SUMIFS($Q$6:$Q$1005,$A$6:$A$1005,$A37,$AS$6:$AS$1005,1),"")</f>
        <v/>
      </c>
      <c r="BC37" s="56">
        <f>IF(ISNUMBER($R37),1,0)</f>
        <v>0</v>
      </c>
      <c r="BD37" s="55" t="str">
        <f>IF(ISNUMBER($U37),$U37*$V37,"")</f>
        <v/>
      </c>
      <c r="BE37" s="56" t="str">
        <f>IF($AM37=0,"",IFERROR(MATCH($AF37&amp;"|"&amp;UPPER(TRIM($E37)),Lists!$A$6:$A$205,0),0))</f>
        <v/>
      </c>
      <c r="BF37" s="56" t="str">
        <f>IF($AM37=0,"",IFERROR(MATCH($AF37,Settings!$B$14:$B$18,0),IFERROR(MATCH(Settings!$C$6,Settings!$B$14:$B$18,0),1)))</f>
        <v/>
      </c>
      <c r="BG37" s="58" t="str">
        <f>IF($AM37=0,"",IF(NOT(ISNUMBER($I37)),"No stop; ","")&amp;IF(AND(ISNUMBER($H37),ISNUMBER($I37)),IF(OR(AND($F37&lt;&gt;"Short",$I37&gt;=$H37),AND($F37="Short",$I37&lt;=$H37)),"Stop on wrong side; ",""),"")&amp;IF($F37="","No direction; ","")&amp;IF(AND(ISNUMBER(Settings!$C$22),ISNUMBER($V37)),IF($V37&gt;Settings!$C$22,"Risk over max $; ",""),"")&amp;IF(AND(ISNUMBER(Settings!$C$23),ISNUMBER($V37),ISNUMBER($AP37),IFERROR(N(INDEX(Accounts!$E$7:$E$16,MATCH($C37,Accounts!$B$7:$B$16,0))),0)&gt;0),IF($V37&gt;Settings!$C$23*($AP37-N($Q37)),"Risk over max %; ",""),"")&amp;IF(AND(ISNUMBER(Settings!$C$24),ISNUMBER($N37)),IF($N37&gt;Settings!$C$24,"Leverage over max; ",""),"")&amp;IF(AND(ISNUMBER(Settings!$C$27),ISNUMBER($T37)),IF($T37&lt;Settings!$C$27,"R:R below min; ",""),"")&amp;IF(ISNUMBER(Settings!$C$25),IF(COUNTIFS($A$6:$A37,$A37,$AM$6:$AM37,1)&gt;Settings!$C$25,"Over max trades/day; ",""),"")&amp;IF(ISNUMBER(Settings!$C$26),IF(SUMIFS($Q$5:$Q36,$A$5:$A36,$A37)&lt;=-Settings!$C$26,"Traded after daily max loss; ",""),"")&amp;IF(AND($AG37="",NOT(ISNUMBER($O37))),"Symbol not in Instruments; ","")&amp;IF(AND($AH37="",NOT(ISNUMBER($O37))),"Forex cross: type Gross P&amp;L; ",""))</f>
        <v/>
      </c>
      <c r="BH37" s="56">
        <f>IF(ISNUMBER($Q37),1,0)</f>
        <v>0</v>
      </c>
      <c r="BI37" s="56">
        <f>IF($Y37="",0,1)</f>
        <v>0</v>
      </c>
      <c r="BJ37" s="56">
        <f>IF($AB37="",0,1)</f>
        <v>0</v>
      </c>
      <c r="BK37" s="56">
        <f>IF(AND($BH37=1,$W37&lt;&gt;"OK"),1,0)</f>
        <v>0</v>
      </c>
      <c r="BL37" s="55">
        <f>IF(N($AZ37)=0,0,IFERROR(INDEX($AT$6:$AT$1005,MATCH($AZ37,$AY$6:$AY$1005,0)),0))</f>
        <v>1187.10688</v>
      </c>
      <c r="BM37" s="56">
        <f>IF(ISNUMBER(SEARCH("daily max loss",$BG37)),1,0)</f>
        <v>0</v>
      </c>
    </row>
    <row r="38" ht="18" customHeight="1">
      <c r="A38" s="38" t="n"/>
      <c r="B38" s="39" t="n"/>
      <c r="C38" s="40" t="n"/>
      <c r="D38" s="41" t="n"/>
      <c r="E38" s="41" t="n"/>
      <c r="F38" s="41" t="n"/>
      <c r="G38" s="41" t="n"/>
      <c r="H38" s="42" t="n"/>
      <c r="I38" s="42" t="n"/>
      <c r="J38" s="42" t="n"/>
      <c r="K38" s="42" t="n"/>
      <c r="L38" s="41" t="n"/>
      <c r="M38" s="41" t="n"/>
      <c r="N38" s="41" t="n"/>
      <c r="O38" s="43" t="n"/>
      <c r="P38" s="43" t="n"/>
      <c r="Q38" s="44" t="str">
        <f>IF($AM38=0,"",IF(ISNUMBER($AK38),$AK38-N($AL38),""))</f>
        <v/>
      </c>
      <c r="R38" s="45" t="str">
        <f>IF(OR($Q38="",NOT(ISNUMBER($V38))),"",$AK38/$V38)</f>
        <v/>
      </c>
      <c r="S38" s="46" t="str">
        <f>IF($Q38="","",IF(AND(ISNUMBER($R38),ABS(N($R38))&lt;N(Settings!$C$8)),"Scratch",IF($Q38&gt;0,"Win",IF($Q38&lt;0,"Loss","Scratch"))))</f>
        <v/>
      </c>
      <c r="T38" s="47" t="str">
        <f>IF(OR($AM38=0,NOT(ISNUMBER($H38)),NOT(ISNUMBER($I38)),NOT(ISNUMBER($J38))),"",IF($H38=$I38,"",ROUND(ABS($J38-$H38)/ABS($H38-$I38),6)))</f>
        <v/>
      </c>
      <c r="U38" s="48" t="str">
        <f>IF(OR($S38&lt;&gt;"Win",NOT(ISNUMBER($T38)),NOT(ISNUMBER($R38))),"",MAX(0,$T38-$R38))</f>
        <v/>
      </c>
      <c r="V38" s="49" t="str">
        <f>IF(OR($AM38=0,NOT(ISNUMBER($H38)),NOT(ISNUMBER($I38)),NOT(ISNUMBER($G38))),"",IF(OR($AG38="",$AH38=""),"",IF(ROUND(ABS($H38-$I38)*ABS($G38)*$AG38*$AH38,6)=0,"",ROUND(ABS($H38-$I38)*ABS($G38)*$AG38*$AH38,6))))</f>
        <v/>
      </c>
      <c r="W38" s="50" t="str">
        <f>IF($AM38=0,"",IF($BG38="","OK",LEFT($BG38,LEN($BG38)-2)))</f>
        <v/>
      </c>
      <c r="X38" s="41" t="n"/>
      <c r="Y38" s="40" t="n"/>
      <c r="Z38" s="41" t="n"/>
      <c r="AA38" s="41" t="n"/>
      <c r="AB38" s="40" t="n"/>
      <c r="AC38" s="51" t="n"/>
      <c r="AD38" s="51" t="n"/>
      <c r="AE38" s="40" t="n"/>
      <c r="AF38" s="52" t="str">
        <f>IF($AM38=0,"",IF($D38&lt;&gt;"",$D38,IF(IFERROR(INDEX(Accounts!$C$7:$C$16,MATCH($C38,Accounts!$B$7:$B$16,0))&amp;"","")&lt;&gt;"",INDEX(Accounts!$C$7:$C$16,MATCH($C38,Accounts!$B$7:$B$16,0)),Settings!$C$6)))</f>
        <v/>
      </c>
      <c r="AG38" s="53" t="str">
        <f>IF($AM38=0,"",IF(AND($BE38&gt;0,N(INDEX(Instruments!$D$6:$D$205,MAX(1,$BE38)))&gt;0),INDEX(Instruments!$D$6:$D$205,MAX(1,$BE38)),IF(N(INDEX(Settings!$D$14:$D$18,$BF38))&gt;0,INDEX(Settings!$D$14:$D$18,$BF38),"")))</f>
        <v/>
      </c>
      <c r="AH38" s="54" t="str">
        <f>IF($AM38=0,"",IF($AF38&lt;&gt;"Forex",1,IF(MID(UPPER(SUBSTITUTE(TRIM($E38),"/","")),4,3)=UPPER(TRIM(Settings!$C$7)),1,IF(LEFT(UPPER(SUBSTITUTE(TRIM($E38),"/","")),3)=UPPER(TRIM(Settings!$C$7)),IF(AND(ISNUMBER($K38),N($K38)&lt;&gt;0),1/$K38,""),""))))</f>
        <v/>
      </c>
      <c r="AI38" s="55" t="str">
        <f>IF($AM38=0,"",IF(OR(NOT(ISNUMBER($H38)),NOT(ISNUMBER($K38)),NOT(ISNUMBER($G38)),$AG38="",$AH38=""),"",ROUND(($K38-$H38)*IF($F38="Short",-1,1)*$G38*$AG38*$AH38,6)))</f>
        <v/>
      </c>
      <c r="AJ38" s="55" t="str">
        <f>IF($AM38=0,"",IF(INDEX(Settings!$E$14:$E$18,$BF38)="% of notional",IF(OR($AG38="",NOT(ISNUMBER($H38)),NOT(ISNUMBER($G38))),"",ROUND(ABS($H38*$G38*$AG38*N($AH38))*IF($L38="Limit",N(INDEX(Settings!$G$14:$G$18,$BF38)),N(INDEX(Settings!$H$14:$H$18,$BF38)))+IF(ISNUMBER($K38),ABS($K38*$G38*$AG38*N($AH38))*IF($M38="Target",N(INDEX(Settings!$G$14:$G$18,$BF38)),N(INDEX(Settings!$H$14:$H$18,$BF38))),0),6)),IF(NOT(ISNUMBER($G38)),"",ROUND(ABS($G38)*2*IF(AND($BE38&gt;0,ISNUMBER(INDEX(Instruments!$G$6:$G$205,MAX(1,$BE38)))),INDEX(Instruments!$G$6:$G$205,MAX(1,$BE38)),N(INDEX(Settings!$F$14:$F$18,$BF38))),6))))</f>
        <v/>
      </c>
      <c r="AK38" s="55" t="str">
        <f>IF($AM38=0,"",IF(ISNUMBER($O38),$O38,$AI38))</f>
        <v/>
      </c>
      <c r="AL38" s="55" t="str">
        <f>IF($AM38=0,"",IF(ISNUMBER($P38),$P38,N($AJ38)))</f>
        <v/>
      </c>
      <c r="AM38" s="56">
        <f>IF(AND($A38&lt;&gt;"",$E38&lt;&gt;"",OR(AND(ISNUMBER($G38),ISNUMBER($H38),ISNUMBER($K38)),ISNUMBER($O38))),1,0)</f>
        <v>0</v>
      </c>
      <c r="AN38" s="57" t="str">
        <f>IF($A38="","",$A38-WEEKDAY($A38,3))</f>
        <v/>
      </c>
      <c r="AO38" s="56" t="str">
        <f>IF($A38="","",WEEKDAY($A38,2))</f>
        <v/>
      </c>
      <c r="AP38" s="55" t="str">
        <f>IF(OR($AM38=0,$C38=""),"",IFERROR(N(INDEX(Accounts!$E$7:$E$16,MATCH($C38,Accounts!$B$7:$B$16,0))),0)+SUMIFS($Q$6:$Q38,$C$6:$C38,$C38))</f>
        <v/>
      </c>
      <c r="AQ38" s="55" t="str">
        <f>IF(OR($AM38=0,$C38=""),"",SUMIFS($Q$6:$Q$1005,$C$6:$C$1005,$C38,$A$6:$A$1005,$A38))</f>
        <v/>
      </c>
      <c r="AR38" s="55" t="str">
        <f>IF(OR($AM38=0,$C38=""),"",IFERROR(N(INDEX(Accounts!$E$7:$E$16,MATCH($C38,Accounts!$B$7:$B$16,0))),0)+SUMIFS($Q$6:$Q$1005,$C$6:$C$1005,$C38,$A$6:$A$1005,"&lt;="&amp;$A38))</f>
        <v/>
      </c>
      <c r="AS38" s="56">
        <f>IF(OR($AM38=0,$Q38=""),0,IF(AND($A38&gt;=Lists!$W$6,$A38&lt;=Lists!$W$7,OR(Dashboard!$D$6="All accounts",$C38=Dashboard!$D$6),OR(Dashboard!$D$7="All markets",$AF38=Dashboard!$D$7)),1,0))</f>
        <v>0</v>
      </c>
      <c r="AT38" s="55">
        <f>IF($AS38=1,N(AT37)+$Q38,N(AT37))</f>
        <v>1187.10688</v>
      </c>
      <c r="AU38" s="55">
        <f>MAX(N(AU37),$AT38)</f>
        <v>1187.10688</v>
      </c>
      <c r="AV38" s="55">
        <f>$AT38-$AU38</f>
        <v>0</v>
      </c>
      <c r="AW38" s="56">
        <f>IF($AS38=1,IF($S38="Win",N(AW37)+1,IF($S38="Loss",0,N(AW37))),N(AW37))</f>
        <v>5</v>
      </c>
      <c r="AX38" s="56">
        <f>IF($AS38=1,IF($S38="Loss",N(AX37)+1,IF($S38="Win",0,N(AX37))),N(AX37))</f>
        <v>0</v>
      </c>
      <c r="AY38" s="56" t="str">
        <f>IF($AS38=1,COUNTIF($AS$6:$AS38,1),"")</f>
        <v/>
      </c>
      <c r="AZ38" s="56">
        <f>MIN(32,N(Lists!$W$8))</f>
        <v>28</v>
      </c>
      <c r="BA38" s="56">
        <f>IF($AS38=1,IF(COUNTIFS($A$6:$A38,$A38,$AS$6:$AS38,1)=1,1,0),0)</f>
        <v>0</v>
      </c>
      <c r="BB38" s="55" t="str">
        <f>IF($BA38=1,SUMIFS($Q$6:$Q$1005,$A$6:$A$1005,$A38,$AS$6:$AS$1005,1),"")</f>
        <v/>
      </c>
      <c r="BC38" s="56">
        <f>IF(ISNUMBER($R38),1,0)</f>
        <v>0</v>
      </c>
      <c r="BD38" s="55" t="str">
        <f>IF(ISNUMBER($U38),$U38*$V38,"")</f>
        <v/>
      </c>
      <c r="BE38" s="56" t="str">
        <f>IF($AM38=0,"",IFERROR(MATCH($AF38&amp;"|"&amp;UPPER(TRIM($E38)),Lists!$A$6:$A$205,0),0))</f>
        <v/>
      </c>
      <c r="BF38" s="56" t="str">
        <f>IF($AM38=0,"",IFERROR(MATCH($AF38,Settings!$B$14:$B$18,0),IFERROR(MATCH(Settings!$C$6,Settings!$B$14:$B$18,0),1)))</f>
        <v/>
      </c>
      <c r="BG38" s="58" t="str">
        <f>IF($AM38=0,"",IF(NOT(ISNUMBER($I38)),"No stop; ","")&amp;IF(AND(ISNUMBER($H38),ISNUMBER($I38)),IF(OR(AND($F38&lt;&gt;"Short",$I38&gt;=$H38),AND($F38="Short",$I38&lt;=$H38)),"Stop on wrong side; ",""),"")&amp;IF($F38="","No direction; ","")&amp;IF(AND(ISNUMBER(Settings!$C$22),ISNUMBER($V38)),IF($V38&gt;Settings!$C$22,"Risk over max $; ",""),"")&amp;IF(AND(ISNUMBER(Settings!$C$23),ISNUMBER($V38),ISNUMBER($AP38),IFERROR(N(INDEX(Accounts!$E$7:$E$16,MATCH($C38,Accounts!$B$7:$B$16,0))),0)&gt;0),IF($V38&gt;Settings!$C$23*($AP38-N($Q38)),"Risk over max %; ",""),"")&amp;IF(AND(ISNUMBER(Settings!$C$24),ISNUMBER($N38)),IF($N38&gt;Settings!$C$24,"Leverage over max; ",""),"")&amp;IF(AND(ISNUMBER(Settings!$C$27),ISNUMBER($T38)),IF($T38&lt;Settings!$C$27,"R:R below min; ",""),"")&amp;IF(ISNUMBER(Settings!$C$25),IF(COUNTIFS($A$6:$A38,$A38,$AM$6:$AM38,1)&gt;Settings!$C$25,"Over max trades/day; ",""),"")&amp;IF(ISNUMBER(Settings!$C$26),IF(SUMIFS($Q$5:$Q37,$A$5:$A37,$A38)&lt;=-Settings!$C$26,"Traded after daily max loss; ",""),"")&amp;IF(AND($AG38="",NOT(ISNUMBER($O38))),"Symbol not in Instruments; ","")&amp;IF(AND($AH38="",NOT(ISNUMBER($O38))),"Forex cross: type Gross P&amp;L; ",""))</f>
        <v/>
      </c>
      <c r="BH38" s="56">
        <f>IF(ISNUMBER($Q38),1,0)</f>
        <v>0</v>
      </c>
      <c r="BI38" s="56">
        <f>IF($Y38="",0,1)</f>
        <v>0</v>
      </c>
      <c r="BJ38" s="56">
        <f>IF($AB38="",0,1)</f>
        <v>0</v>
      </c>
      <c r="BK38" s="56">
        <f>IF(AND($BH38=1,$W38&lt;&gt;"OK"),1,0)</f>
        <v>0</v>
      </c>
      <c r="BL38" s="55">
        <f>IF(N($AZ38)=0,0,IFERROR(INDEX($AT$6:$AT$1005,MATCH($AZ38,$AY$6:$AY$1005,0)),0))</f>
        <v>1187.10688</v>
      </c>
      <c r="BM38" s="56">
        <f>IF(ISNUMBER(SEARCH("daily max loss",$BG38)),1,0)</f>
        <v>0</v>
      </c>
    </row>
    <row r="39" ht="18" customHeight="1">
      <c r="A39" s="38" t="n"/>
      <c r="B39" s="39" t="n"/>
      <c r="C39" s="40" t="n"/>
      <c r="D39" s="41" t="n"/>
      <c r="E39" s="41" t="n"/>
      <c r="F39" s="41" t="n"/>
      <c r="G39" s="41" t="n"/>
      <c r="H39" s="42" t="n"/>
      <c r="I39" s="42" t="n"/>
      <c r="J39" s="42" t="n"/>
      <c r="K39" s="42" t="n"/>
      <c r="L39" s="41" t="n"/>
      <c r="M39" s="41" t="n"/>
      <c r="N39" s="41" t="n"/>
      <c r="O39" s="43" t="n"/>
      <c r="P39" s="43" t="n"/>
      <c r="Q39" s="44" t="str">
        <f>IF($AM39=0,"",IF(ISNUMBER($AK39),$AK39-N($AL39),""))</f>
        <v/>
      </c>
      <c r="R39" s="45" t="str">
        <f>IF(OR($Q39="",NOT(ISNUMBER($V39))),"",$AK39/$V39)</f>
        <v/>
      </c>
      <c r="S39" s="46" t="str">
        <f>IF($Q39="","",IF(AND(ISNUMBER($R39),ABS(N($R39))&lt;N(Settings!$C$8)),"Scratch",IF($Q39&gt;0,"Win",IF($Q39&lt;0,"Loss","Scratch"))))</f>
        <v/>
      </c>
      <c r="T39" s="47" t="str">
        <f>IF(OR($AM39=0,NOT(ISNUMBER($H39)),NOT(ISNUMBER($I39)),NOT(ISNUMBER($J39))),"",IF($H39=$I39,"",ROUND(ABS($J39-$H39)/ABS($H39-$I39),6)))</f>
        <v/>
      </c>
      <c r="U39" s="48" t="str">
        <f>IF(OR($S39&lt;&gt;"Win",NOT(ISNUMBER($T39)),NOT(ISNUMBER($R39))),"",MAX(0,$T39-$R39))</f>
        <v/>
      </c>
      <c r="V39" s="49" t="str">
        <f>IF(OR($AM39=0,NOT(ISNUMBER($H39)),NOT(ISNUMBER($I39)),NOT(ISNUMBER($G39))),"",IF(OR($AG39="",$AH39=""),"",IF(ROUND(ABS($H39-$I39)*ABS($G39)*$AG39*$AH39,6)=0,"",ROUND(ABS($H39-$I39)*ABS($G39)*$AG39*$AH39,6))))</f>
        <v/>
      </c>
      <c r="W39" s="50" t="str">
        <f>IF($AM39=0,"",IF($BG39="","OK",LEFT($BG39,LEN($BG39)-2)))</f>
        <v/>
      </c>
      <c r="X39" s="41" t="n"/>
      <c r="Y39" s="40" t="n"/>
      <c r="Z39" s="41" t="n"/>
      <c r="AA39" s="41" t="n"/>
      <c r="AB39" s="40" t="n"/>
      <c r="AC39" s="51" t="n"/>
      <c r="AD39" s="51" t="n"/>
      <c r="AE39" s="40" t="n"/>
      <c r="AF39" s="52" t="str">
        <f>IF($AM39=0,"",IF($D39&lt;&gt;"",$D39,IF(IFERROR(INDEX(Accounts!$C$7:$C$16,MATCH($C39,Accounts!$B$7:$B$16,0))&amp;"","")&lt;&gt;"",INDEX(Accounts!$C$7:$C$16,MATCH($C39,Accounts!$B$7:$B$16,0)),Settings!$C$6)))</f>
        <v/>
      </c>
      <c r="AG39" s="53" t="str">
        <f>IF($AM39=0,"",IF(AND($BE39&gt;0,N(INDEX(Instruments!$D$6:$D$205,MAX(1,$BE39)))&gt;0),INDEX(Instruments!$D$6:$D$205,MAX(1,$BE39)),IF(N(INDEX(Settings!$D$14:$D$18,$BF39))&gt;0,INDEX(Settings!$D$14:$D$18,$BF39),"")))</f>
        <v/>
      </c>
      <c r="AH39" s="54" t="str">
        <f>IF($AM39=0,"",IF($AF39&lt;&gt;"Forex",1,IF(MID(UPPER(SUBSTITUTE(TRIM($E39),"/","")),4,3)=UPPER(TRIM(Settings!$C$7)),1,IF(LEFT(UPPER(SUBSTITUTE(TRIM($E39),"/","")),3)=UPPER(TRIM(Settings!$C$7)),IF(AND(ISNUMBER($K39),N($K39)&lt;&gt;0),1/$K39,""),""))))</f>
        <v/>
      </c>
      <c r="AI39" s="55" t="str">
        <f>IF($AM39=0,"",IF(OR(NOT(ISNUMBER($H39)),NOT(ISNUMBER($K39)),NOT(ISNUMBER($G39)),$AG39="",$AH39=""),"",ROUND(($K39-$H39)*IF($F39="Short",-1,1)*$G39*$AG39*$AH39,6)))</f>
        <v/>
      </c>
      <c r="AJ39" s="55" t="str">
        <f>IF($AM39=0,"",IF(INDEX(Settings!$E$14:$E$18,$BF39)="% of notional",IF(OR($AG39="",NOT(ISNUMBER($H39)),NOT(ISNUMBER($G39))),"",ROUND(ABS($H39*$G39*$AG39*N($AH39))*IF($L39="Limit",N(INDEX(Settings!$G$14:$G$18,$BF39)),N(INDEX(Settings!$H$14:$H$18,$BF39)))+IF(ISNUMBER($K39),ABS($K39*$G39*$AG39*N($AH39))*IF($M39="Target",N(INDEX(Settings!$G$14:$G$18,$BF39)),N(INDEX(Settings!$H$14:$H$18,$BF39))),0),6)),IF(NOT(ISNUMBER($G39)),"",ROUND(ABS($G39)*2*IF(AND($BE39&gt;0,ISNUMBER(INDEX(Instruments!$G$6:$G$205,MAX(1,$BE39)))),INDEX(Instruments!$G$6:$G$205,MAX(1,$BE39)),N(INDEX(Settings!$F$14:$F$18,$BF39))),6))))</f>
        <v/>
      </c>
      <c r="AK39" s="55" t="str">
        <f>IF($AM39=0,"",IF(ISNUMBER($O39),$O39,$AI39))</f>
        <v/>
      </c>
      <c r="AL39" s="55" t="str">
        <f>IF($AM39=0,"",IF(ISNUMBER($P39),$P39,N($AJ39)))</f>
        <v/>
      </c>
      <c r="AM39" s="56">
        <f>IF(AND($A39&lt;&gt;"",$E39&lt;&gt;"",OR(AND(ISNUMBER($G39),ISNUMBER($H39),ISNUMBER($K39)),ISNUMBER($O39))),1,0)</f>
        <v>0</v>
      </c>
      <c r="AN39" s="57" t="str">
        <f>IF($A39="","",$A39-WEEKDAY($A39,3))</f>
        <v/>
      </c>
      <c r="AO39" s="56" t="str">
        <f>IF($A39="","",WEEKDAY($A39,2))</f>
        <v/>
      </c>
      <c r="AP39" s="55" t="str">
        <f>IF(OR($AM39=0,$C39=""),"",IFERROR(N(INDEX(Accounts!$E$7:$E$16,MATCH($C39,Accounts!$B$7:$B$16,0))),0)+SUMIFS($Q$6:$Q39,$C$6:$C39,$C39))</f>
        <v/>
      </c>
      <c r="AQ39" s="55" t="str">
        <f>IF(OR($AM39=0,$C39=""),"",SUMIFS($Q$6:$Q$1005,$C$6:$C$1005,$C39,$A$6:$A$1005,$A39))</f>
        <v/>
      </c>
      <c r="AR39" s="55" t="str">
        <f>IF(OR($AM39=0,$C39=""),"",IFERROR(N(INDEX(Accounts!$E$7:$E$16,MATCH($C39,Accounts!$B$7:$B$16,0))),0)+SUMIFS($Q$6:$Q$1005,$C$6:$C$1005,$C39,$A$6:$A$1005,"&lt;="&amp;$A39))</f>
        <v/>
      </c>
      <c r="AS39" s="56">
        <f>IF(OR($AM39=0,$Q39=""),0,IF(AND($A39&gt;=Lists!$W$6,$A39&lt;=Lists!$W$7,OR(Dashboard!$D$6="All accounts",$C39=Dashboard!$D$6),OR(Dashboard!$D$7="All markets",$AF39=Dashboard!$D$7)),1,0))</f>
        <v>0</v>
      </c>
      <c r="AT39" s="55">
        <f>IF($AS39=1,N(AT38)+$Q39,N(AT38))</f>
        <v>1187.10688</v>
      </c>
      <c r="AU39" s="55">
        <f>MAX(N(AU38),$AT39)</f>
        <v>1187.10688</v>
      </c>
      <c r="AV39" s="55">
        <f>$AT39-$AU39</f>
        <v>0</v>
      </c>
      <c r="AW39" s="56">
        <f>IF($AS39=1,IF($S39="Win",N(AW38)+1,IF($S39="Loss",0,N(AW38))),N(AW38))</f>
        <v>5</v>
      </c>
      <c r="AX39" s="56">
        <f>IF($AS39=1,IF($S39="Loss",N(AX38)+1,IF($S39="Win",0,N(AX38))),N(AX38))</f>
        <v>0</v>
      </c>
      <c r="AY39" s="56" t="str">
        <f>IF($AS39=1,COUNTIF($AS$6:$AS39,1),"")</f>
        <v/>
      </c>
      <c r="AZ39" s="56">
        <f>MIN(33,N(Lists!$W$8))</f>
        <v>28</v>
      </c>
      <c r="BA39" s="56">
        <f>IF($AS39=1,IF(COUNTIFS($A$6:$A39,$A39,$AS$6:$AS39,1)=1,1,0),0)</f>
        <v>0</v>
      </c>
      <c r="BB39" s="55" t="str">
        <f>IF($BA39=1,SUMIFS($Q$6:$Q$1005,$A$6:$A$1005,$A39,$AS$6:$AS$1005,1),"")</f>
        <v/>
      </c>
      <c r="BC39" s="56">
        <f>IF(ISNUMBER($R39),1,0)</f>
        <v>0</v>
      </c>
      <c r="BD39" s="55" t="str">
        <f>IF(ISNUMBER($U39),$U39*$V39,"")</f>
        <v/>
      </c>
      <c r="BE39" s="56" t="str">
        <f>IF($AM39=0,"",IFERROR(MATCH($AF39&amp;"|"&amp;UPPER(TRIM($E39)),Lists!$A$6:$A$205,0),0))</f>
        <v/>
      </c>
      <c r="BF39" s="56" t="str">
        <f>IF($AM39=0,"",IFERROR(MATCH($AF39,Settings!$B$14:$B$18,0),IFERROR(MATCH(Settings!$C$6,Settings!$B$14:$B$18,0),1)))</f>
        <v/>
      </c>
      <c r="BG39" s="58" t="str">
        <f>IF($AM39=0,"",IF(NOT(ISNUMBER($I39)),"No stop; ","")&amp;IF(AND(ISNUMBER($H39),ISNUMBER($I39)),IF(OR(AND($F39&lt;&gt;"Short",$I39&gt;=$H39),AND($F39="Short",$I39&lt;=$H39)),"Stop on wrong side; ",""),"")&amp;IF($F39="","No direction; ","")&amp;IF(AND(ISNUMBER(Settings!$C$22),ISNUMBER($V39)),IF($V39&gt;Settings!$C$22,"Risk over max $; ",""),"")&amp;IF(AND(ISNUMBER(Settings!$C$23),ISNUMBER($V39),ISNUMBER($AP39),IFERROR(N(INDEX(Accounts!$E$7:$E$16,MATCH($C39,Accounts!$B$7:$B$16,0))),0)&gt;0),IF($V39&gt;Settings!$C$23*($AP39-N($Q39)),"Risk over max %; ",""),"")&amp;IF(AND(ISNUMBER(Settings!$C$24),ISNUMBER($N39)),IF($N39&gt;Settings!$C$24,"Leverage over max; ",""),"")&amp;IF(AND(ISNUMBER(Settings!$C$27),ISNUMBER($T39)),IF($T39&lt;Settings!$C$27,"R:R below min; ",""),"")&amp;IF(ISNUMBER(Settings!$C$25),IF(COUNTIFS($A$6:$A39,$A39,$AM$6:$AM39,1)&gt;Settings!$C$25,"Over max trades/day; ",""),"")&amp;IF(ISNUMBER(Settings!$C$26),IF(SUMIFS($Q$5:$Q38,$A$5:$A38,$A39)&lt;=-Settings!$C$26,"Traded after daily max loss; ",""),"")&amp;IF(AND($AG39="",NOT(ISNUMBER($O39))),"Symbol not in Instruments; ","")&amp;IF(AND($AH39="",NOT(ISNUMBER($O39))),"Forex cross: type Gross P&amp;L; ",""))</f>
        <v/>
      </c>
      <c r="BH39" s="56">
        <f>IF(ISNUMBER($Q39),1,0)</f>
        <v>0</v>
      </c>
      <c r="BI39" s="56">
        <f>IF($Y39="",0,1)</f>
        <v>0</v>
      </c>
      <c r="BJ39" s="56">
        <f>IF($AB39="",0,1)</f>
        <v>0</v>
      </c>
      <c r="BK39" s="56">
        <f>IF(AND($BH39=1,$W39&lt;&gt;"OK"),1,0)</f>
        <v>0</v>
      </c>
      <c r="BL39" s="55">
        <f>IF(N($AZ39)=0,0,IFERROR(INDEX($AT$6:$AT$1005,MATCH($AZ39,$AY$6:$AY$1005,0)),0))</f>
        <v>1187.10688</v>
      </c>
      <c r="BM39" s="56">
        <f>IF(ISNUMBER(SEARCH("daily max loss",$BG39)),1,0)</f>
        <v>0</v>
      </c>
    </row>
    <row r="40" ht="18" customHeight="1">
      <c r="A40" s="38" t="n"/>
      <c r="B40" s="39" t="n"/>
      <c r="C40" s="40" t="n"/>
      <c r="D40" s="41" t="n"/>
      <c r="E40" s="41" t="n"/>
      <c r="F40" s="41" t="n"/>
      <c r="G40" s="41" t="n"/>
      <c r="H40" s="42" t="n"/>
      <c r="I40" s="42" t="n"/>
      <c r="J40" s="42" t="n"/>
      <c r="K40" s="42" t="n"/>
      <c r="L40" s="41" t="n"/>
      <c r="M40" s="41" t="n"/>
      <c r="N40" s="41" t="n"/>
      <c r="O40" s="43" t="n"/>
      <c r="P40" s="43" t="n"/>
      <c r="Q40" s="44" t="str">
        <f>IF($AM40=0,"",IF(ISNUMBER($AK40),$AK40-N($AL40),""))</f>
        <v/>
      </c>
      <c r="R40" s="45" t="str">
        <f>IF(OR($Q40="",NOT(ISNUMBER($V40))),"",$AK40/$V40)</f>
        <v/>
      </c>
      <c r="S40" s="46" t="str">
        <f>IF($Q40="","",IF(AND(ISNUMBER($R40),ABS(N($R40))&lt;N(Settings!$C$8)),"Scratch",IF($Q40&gt;0,"Win",IF($Q40&lt;0,"Loss","Scratch"))))</f>
        <v/>
      </c>
      <c r="T40" s="47" t="str">
        <f>IF(OR($AM40=0,NOT(ISNUMBER($H40)),NOT(ISNUMBER($I40)),NOT(ISNUMBER($J40))),"",IF($H40=$I40,"",ROUND(ABS($J40-$H40)/ABS($H40-$I40),6)))</f>
        <v/>
      </c>
      <c r="U40" s="48" t="str">
        <f>IF(OR($S40&lt;&gt;"Win",NOT(ISNUMBER($T40)),NOT(ISNUMBER($R40))),"",MAX(0,$T40-$R40))</f>
        <v/>
      </c>
      <c r="V40" s="49" t="str">
        <f>IF(OR($AM40=0,NOT(ISNUMBER($H40)),NOT(ISNUMBER($I40)),NOT(ISNUMBER($G40))),"",IF(OR($AG40="",$AH40=""),"",IF(ROUND(ABS($H40-$I40)*ABS($G40)*$AG40*$AH40,6)=0,"",ROUND(ABS($H40-$I40)*ABS($G40)*$AG40*$AH40,6))))</f>
        <v/>
      </c>
      <c r="W40" s="50" t="str">
        <f>IF($AM40=0,"",IF($BG40="","OK",LEFT($BG40,LEN($BG40)-2)))</f>
        <v/>
      </c>
      <c r="X40" s="41" t="n"/>
      <c r="Y40" s="40" t="n"/>
      <c r="Z40" s="41" t="n"/>
      <c r="AA40" s="41" t="n"/>
      <c r="AB40" s="40" t="n"/>
      <c r="AC40" s="51" t="n"/>
      <c r="AD40" s="51" t="n"/>
      <c r="AE40" s="40" t="n"/>
      <c r="AF40" s="52" t="str">
        <f>IF($AM40=0,"",IF($D40&lt;&gt;"",$D40,IF(IFERROR(INDEX(Accounts!$C$7:$C$16,MATCH($C40,Accounts!$B$7:$B$16,0))&amp;"","")&lt;&gt;"",INDEX(Accounts!$C$7:$C$16,MATCH($C40,Accounts!$B$7:$B$16,0)),Settings!$C$6)))</f>
        <v/>
      </c>
      <c r="AG40" s="53" t="str">
        <f>IF($AM40=0,"",IF(AND($BE40&gt;0,N(INDEX(Instruments!$D$6:$D$205,MAX(1,$BE40)))&gt;0),INDEX(Instruments!$D$6:$D$205,MAX(1,$BE40)),IF(N(INDEX(Settings!$D$14:$D$18,$BF40))&gt;0,INDEX(Settings!$D$14:$D$18,$BF40),"")))</f>
        <v/>
      </c>
      <c r="AH40" s="54" t="str">
        <f>IF($AM40=0,"",IF($AF40&lt;&gt;"Forex",1,IF(MID(UPPER(SUBSTITUTE(TRIM($E40),"/","")),4,3)=UPPER(TRIM(Settings!$C$7)),1,IF(LEFT(UPPER(SUBSTITUTE(TRIM($E40),"/","")),3)=UPPER(TRIM(Settings!$C$7)),IF(AND(ISNUMBER($K40),N($K40)&lt;&gt;0),1/$K40,""),""))))</f>
        <v/>
      </c>
      <c r="AI40" s="55" t="str">
        <f>IF($AM40=0,"",IF(OR(NOT(ISNUMBER($H40)),NOT(ISNUMBER($K40)),NOT(ISNUMBER($G40)),$AG40="",$AH40=""),"",ROUND(($K40-$H40)*IF($F40="Short",-1,1)*$G40*$AG40*$AH40,6)))</f>
        <v/>
      </c>
      <c r="AJ40" s="55" t="str">
        <f>IF($AM40=0,"",IF(INDEX(Settings!$E$14:$E$18,$BF40)="% of notional",IF(OR($AG40="",NOT(ISNUMBER($H40)),NOT(ISNUMBER($G40))),"",ROUND(ABS($H40*$G40*$AG40*N($AH40))*IF($L40="Limit",N(INDEX(Settings!$G$14:$G$18,$BF40)),N(INDEX(Settings!$H$14:$H$18,$BF40)))+IF(ISNUMBER($K40),ABS($K40*$G40*$AG40*N($AH40))*IF($M40="Target",N(INDEX(Settings!$G$14:$G$18,$BF40)),N(INDEX(Settings!$H$14:$H$18,$BF40))),0),6)),IF(NOT(ISNUMBER($G40)),"",ROUND(ABS($G40)*2*IF(AND($BE40&gt;0,ISNUMBER(INDEX(Instruments!$G$6:$G$205,MAX(1,$BE40)))),INDEX(Instruments!$G$6:$G$205,MAX(1,$BE40)),N(INDEX(Settings!$F$14:$F$18,$BF40))),6))))</f>
        <v/>
      </c>
      <c r="AK40" s="55" t="str">
        <f>IF($AM40=0,"",IF(ISNUMBER($O40),$O40,$AI40))</f>
        <v/>
      </c>
      <c r="AL40" s="55" t="str">
        <f>IF($AM40=0,"",IF(ISNUMBER($P40),$P40,N($AJ40)))</f>
        <v/>
      </c>
      <c r="AM40" s="56">
        <f>IF(AND($A40&lt;&gt;"",$E40&lt;&gt;"",OR(AND(ISNUMBER($G40),ISNUMBER($H40),ISNUMBER($K40)),ISNUMBER($O40))),1,0)</f>
        <v>0</v>
      </c>
      <c r="AN40" s="57" t="str">
        <f>IF($A40="","",$A40-WEEKDAY($A40,3))</f>
        <v/>
      </c>
      <c r="AO40" s="56" t="str">
        <f>IF($A40="","",WEEKDAY($A40,2))</f>
        <v/>
      </c>
      <c r="AP40" s="55" t="str">
        <f>IF(OR($AM40=0,$C40=""),"",IFERROR(N(INDEX(Accounts!$E$7:$E$16,MATCH($C40,Accounts!$B$7:$B$16,0))),0)+SUMIFS($Q$6:$Q40,$C$6:$C40,$C40))</f>
        <v/>
      </c>
      <c r="AQ40" s="55" t="str">
        <f>IF(OR($AM40=0,$C40=""),"",SUMIFS($Q$6:$Q$1005,$C$6:$C$1005,$C40,$A$6:$A$1005,$A40))</f>
        <v/>
      </c>
      <c r="AR40" s="55" t="str">
        <f>IF(OR($AM40=0,$C40=""),"",IFERROR(N(INDEX(Accounts!$E$7:$E$16,MATCH($C40,Accounts!$B$7:$B$16,0))),0)+SUMIFS($Q$6:$Q$1005,$C$6:$C$1005,$C40,$A$6:$A$1005,"&lt;="&amp;$A40))</f>
        <v/>
      </c>
      <c r="AS40" s="56">
        <f>IF(OR($AM40=0,$Q40=""),0,IF(AND($A40&gt;=Lists!$W$6,$A40&lt;=Lists!$W$7,OR(Dashboard!$D$6="All accounts",$C40=Dashboard!$D$6),OR(Dashboard!$D$7="All markets",$AF40=Dashboard!$D$7)),1,0))</f>
        <v>0</v>
      </c>
      <c r="AT40" s="55">
        <f>IF($AS40=1,N(AT39)+$Q40,N(AT39))</f>
        <v>1187.10688</v>
      </c>
      <c r="AU40" s="55">
        <f>MAX(N(AU39),$AT40)</f>
        <v>1187.10688</v>
      </c>
      <c r="AV40" s="55">
        <f>$AT40-$AU40</f>
        <v>0</v>
      </c>
      <c r="AW40" s="56">
        <f>IF($AS40=1,IF($S40="Win",N(AW39)+1,IF($S40="Loss",0,N(AW39))),N(AW39))</f>
        <v>5</v>
      </c>
      <c r="AX40" s="56">
        <f>IF($AS40=1,IF($S40="Loss",N(AX39)+1,IF($S40="Win",0,N(AX39))),N(AX39))</f>
        <v>0</v>
      </c>
      <c r="AY40" s="56" t="str">
        <f>IF($AS40=1,COUNTIF($AS$6:$AS40,1),"")</f>
        <v/>
      </c>
      <c r="AZ40" s="56">
        <f>MIN(34,N(Lists!$W$8))</f>
        <v>28</v>
      </c>
      <c r="BA40" s="56">
        <f>IF($AS40=1,IF(COUNTIFS($A$6:$A40,$A40,$AS$6:$AS40,1)=1,1,0),0)</f>
        <v>0</v>
      </c>
      <c r="BB40" s="55" t="str">
        <f>IF($BA40=1,SUMIFS($Q$6:$Q$1005,$A$6:$A$1005,$A40,$AS$6:$AS$1005,1),"")</f>
        <v/>
      </c>
      <c r="BC40" s="56">
        <f>IF(ISNUMBER($R40),1,0)</f>
        <v>0</v>
      </c>
      <c r="BD40" s="55" t="str">
        <f>IF(ISNUMBER($U40),$U40*$V40,"")</f>
        <v/>
      </c>
      <c r="BE40" s="56" t="str">
        <f>IF($AM40=0,"",IFERROR(MATCH($AF40&amp;"|"&amp;UPPER(TRIM($E40)),Lists!$A$6:$A$205,0),0))</f>
        <v/>
      </c>
      <c r="BF40" s="56" t="str">
        <f>IF($AM40=0,"",IFERROR(MATCH($AF40,Settings!$B$14:$B$18,0),IFERROR(MATCH(Settings!$C$6,Settings!$B$14:$B$18,0),1)))</f>
        <v/>
      </c>
      <c r="BG40" s="58" t="str">
        <f>IF($AM40=0,"",IF(NOT(ISNUMBER($I40)),"No stop; ","")&amp;IF(AND(ISNUMBER($H40),ISNUMBER($I40)),IF(OR(AND($F40&lt;&gt;"Short",$I40&gt;=$H40),AND($F40="Short",$I40&lt;=$H40)),"Stop on wrong side; ",""),"")&amp;IF($F40="","No direction; ","")&amp;IF(AND(ISNUMBER(Settings!$C$22),ISNUMBER($V40)),IF($V40&gt;Settings!$C$22,"Risk over max $; ",""),"")&amp;IF(AND(ISNUMBER(Settings!$C$23),ISNUMBER($V40),ISNUMBER($AP40),IFERROR(N(INDEX(Accounts!$E$7:$E$16,MATCH($C40,Accounts!$B$7:$B$16,0))),0)&gt;0),IF($V40&gt;Settings!$C$23*($AP40-N($Q40)),"Risk over max %; ",""),"")&amp;IF(AND(ISNUMBER(Settings!$C$24),ISNUMBER($N40)),IF($N40&gt;Settings!$C$24,"Leverage over max; ",""),"")&amp;IF(AND(ISNUMBER(Settings!$C$27),ISNUMBER($T40)),IF($T40&lt;Settings!$C$27,"R:R below min; ",""),"")&amp;IF(ISNUMBER(Settings!$C$25),IF(COUNTIFS($A$6:$A40,$A40,$AM$6:$AM40,1)&gt;Settings!$C$25,"Over max trades/day; ",""),"")&amp;IF(ISNUMBER(Settings!$C$26),IF(SUMIFS($Q$5:$Q39,$A$5:$A39,$A40)&lt;=-Settings!$C$26,"Traded after daily max loss; ",""),"")&amp;IF(AND($AG40="",NOT(ISNUMBER($O40))),"Symbol not in Instruments; ","")&amp;IF(AND($AH40="",NOT(ISNUMBER($O40))),"Forex cross: type Gross P&amp;L; ",""))</f>
        <v/>
      </c>
      <c r="BH40" s="56">
        <f>IF(ISNUMBER($Q40),1,0)</f>
        <v>0</v>
      </c>
      <c r="BI40" s="56">
        <f>IF($Y40="",0,1)</f>
        <v>0</v>
      </c>
      <c r="BJ40" s="56">
        <f>IF($AB40="",0,1)</f>
        <v>0</v>
      </c>
      <c r="BK40" s="56">
        <f>IF(AND($BH40=1,$W40&lt;&gt;"OK"),1,0)</f>
        <v>0</v>
      </c>
      <c r="BL40" s="55">
        <f>IF(N($AZ40)=0,0,IFERROR(INDEX($AT$6:$AT$1005,MATCH($AZ40,$AY$6:$AY$1005,0)),0))</f>
        <v>1187.10688</v>
      </c>
      <c r="BM40" s="56">
        <f>IF(ISNUMBER(SEARCH("daily max loss",$BG40)),1,0)</f>
        <v>0</v>
      </c>
    </row>
    <row r="41" ht="18" customHeight="1">
      <c r="A41" s="38" t="n"/>
      <c r="B41" s="39" t="n"/>
      <c r="C41" s="40" t="n"/>
      <c r="D41" s="41" t="n"/>
      <c r="E41" s="41" t="n"/>
      <c r="F41" s="41" t="n"/>
      <c r="G41" s="41" t="n"/>
      <c r="H41" s="42" t="n"/>
      <c r="I41" s="42" t="n"/>
      <c r="J41" s="42" t="n"/>
      <c r="K41" s="42" t="n"/>
      <c r="L41" s="41" t="n"/>
      <c r="M41" s="41" t="n"/>
      <c r="N41" s="41" t="n"/>
      <c r="O41" s="43" t="n"/>
      <c r="P41" s="43" t="n"/>
      <c r="Q41" s="44" t="str">
        <f>IF($AM41=0,"",IF(ISNUMBER($AK41),$AK41-N($AL41),""))</f>
        <v/>
      </c>
      <c r="R41" s="45" t="str">
        <f>IF(OR($Q41="",NOT(ISNUMBER($V41))),"",$AK41/$V41)</f>
        <v/>
      </c>
      <c r="S41" s="46" t="str">
        <f>IF($Q41="","",IF(AND(ISNUMBER($R41),ABS(N($R41))&lt;N(Settings!$C$8)),"Scratch",IF($Q41&gt;0,"Win",IF($Q41&lt;0,"Loss","Scratch"))))</f>
        <v/>
      </c>
      <c r="T41" s="47" t="str">
        <f>IF(OR($AM41=0,NOT(ISNUMBER($H41)),NOT(ISNUMBER($I41)),NOT(ISNUMBER($J41))),"",IF($H41=$I41,"",ROUND(ABS($J41-$H41)/ABS($H41-$I41),6)))</f>
        <v/>
      </c>
      <c r="U41" s="48" t="str">
        <f>IF(OR($S41&lt;&gt;"Win",NOT(ISNUMBER($T41)),NOT(ISNUMBER($R41))),"",MAX(0,$T41-$R41))</f>
        <v/>
      </c>
      <c r="V41" s="49" t="str">
        <f>IF(OR($AM41=0,NOT(ISNUMBER($H41)),NOT(ISNUMBER($I41)),NOT(ISNUMBER($G41))),"",IF(OR($AG41="",$AH41=""),"",IF(ROUND(ABS($H41-$I41)*ABS($G41)*$AG41*$AH41,6)=0,"",ROUND(ABS($H41-$I41)*ABS($G41)*$AG41*$AH41,6))))</f>
        <v/>
      </c>
      <c r="W41" s="50" t="str">
        <f>IF($AM41=0,"",IF($BG41="","OK",LEFT($BG41,LEN($BG41)-2)))</f>
        <v/>
      </c>
      <c r="X41" s="41" t="n"/>
      <c r="Y41" s="40" t="n"/>
      <c r="Z41" s="41" t="n"/>
      <c r="AA41" s="41" t="n"/>
      <c r="AB41" s="40" t="n"/>
      <c r="AC41" s="51" t="n"/>
      <c r="AD41" s="51" t="n"/>
      <c r="AE41" s="40" t="n"/>
      <c r="AF41" s="52" t="str">
        <f>IF($AM41=0,"",IF($D41&lt;&gt;"",$D41,IF(IFERROR(INDEX(Accounts!$C$7:$C$16,MATCH($C41,Accounts!$B$7:$B$16,0))&amp;"","")&lt;&gt;"",INDEX(Accounts!$C$7:$C$16,MATCH($C41,Accounts!$B$7:$B$16,0)),Settings!$C$6)))</f>
        <v/>
      </c>
      <c r="AG41" s="53" t="str">
        <f>IF($AM41=0,"",IF(AND($BE41&gt;0,N(INDEX(Instruments!$D$6:$D$205,MAX(1,$BE41)))&gt;0),INDEX(Instruments!$D$6:$D$205,MAX(1,$BE41)),IF(N(INDEX(Settings!$D$14:$D$18,$BF41))&gt;0,INDEX(Settings!$D$14:$D$18,$BF41),"")))</f>
        <v/>
      </c>
      <c r="AH41" s="54" t="str">
        <f>IF($AM41=0,"",IF($AF41&lt;&gt;"Forex",1,IF(MID(UPPER(SUBSTITUTE(TRIM($E41),"/","")),4,3)=UPPER(TRIM(Settings!$C$7)),1,IF(LEFT(UPPER(SUBSTITUTE(TRIM($E41),"/","")),3)=UPPER(TRIM(Settings!$C$7)),IF(AND(ISNUMBER($K41),N($K41)&lt;&gt;0),1/$K41,""),""))))</f>
        <v/>
      </c>
      <c r="AI41" s="55" t="str">
        <f>IF($AM41=0,"",IF(OR(NOT(ISNUMBER($H41)),NOT(ISNUMBER($K41)),NOT(ISNUMBER($G41)),$AG41="",$AH41=""),"",ROUND(($K41-$H41)*IF($F41="Short",-1,1)*$G41*$AG41*$AH41,6)))</f>
        <v/>
      </c>
      <c r="AJ41" s="55" t="str">
        <f>IF($AM41=0,"",IF(INDEX(Settings!$E$14:$E$18,$BF41)="% of notional",IF(OR($AG41="",NOT(ISNUMBER($H41)),NOT(ISNUMBER($G41))),"",ROUND(ABS($H41*$G41*$AG41*N($AH41))*IF($L41="Limit",N(INDEX(Settings!$G$14:$G$18,$BF41)),N(INDEX(Settings!$H$14:$H$18,$BF41)))+IF(ISNUMBER($K41),ABS($K41*$G41*$AG41*N($AH41))*IF($M41="Target",N(INDEX(Settings!$G$14:$G$18,$BF41)),N(INDEX(Settings!$H$14:$H$18,$BF41))),0),6)),IF(NOT(ISNUMBER($G41)),"",ROUND(ABS($G41)*2*IF(AND($BE41&gt;0,ISNUMBER(INDEX(Instruments!$G$6:$G$205,MAX(1,$BE41)))),INDEX(Instruments!$G$6:$G$205,MAX(1,$BE41)),N(INDEX(Settings!$F$14:$F$18,$BF41))),6))))</f>
        <v/>
      </c>
      <c r="AK41" s="55" t="str">
        <f>IF($AM41=0,"",IF(ISNUMBER($O41),$O41,$AI41))</f>
        <v/>
      </c>
      <c r="AL41" s="55" t="str">
        <f>IF($AM41=0,"",IF(ISNUMBER($P41),$P41,N($AJ41)))</f>
        <v/>
      </c>
      <c r="AM41" s="56">
        <f>IF(AND($A41&lt;&gt;"",$E41&lt;&gt;"",OR(AND(ISNUMBER($G41),ISNUMBER($H41),ISNUMBER($K41)),ISNUMBER($O41))),1,0)</f>
        <v>0</v>
      </c>
      <c r="AN41" s="57" t="str">
        <f>IF($A41="","",$A41-WEEKDAY($A41,3))</f>
        <v/>
      </c>
      <c r="AO41" s="56" t="str">
        <f>IF($A41="","",WEEKDAY($A41,2))</f>
        <v/>
      </c>
      <c r="AP41" s="55" t="str">
        <f>IF(OR($AM41=0,$C41=""),"",IFERROR(N(INDEX(Accounts!$E$7:$E$16,MATCH($C41,Accounts!$B$7:$B$16,0))),0)+SUMIFS($Q$6:$Q41,$C$6:$C41,$C41))</f>
        <v/>
      </c>
      <c r="AQ41" s="55" t="str">
        <f>IF(OR($AM41=0,$C41=""),"",SUMIFS($Q$6:$Q$1005,$C$6:$C$1005,$C41,$A$6:$A$1005,$A41))</f>
        <v/>
      </c>
      <c r="AR41" s="55" t="str">
        <f>IF(OR($AM41=0,$C41=""),"",IFERROR(N(INDEX(Accounts!$E$7:$E$16,MATCH($C41,Accounts!$B$7:$B$16,0))),0)+SUMIFS($Q$6:$Q$1005,$C$6:$C$1005,$C41,$A$6:$A$1005,"&lt;="&amp;$A41))</f>
        <v/>
      </c>
      <c r="AS41" s="56">
        <f>IF(OR($AM41=0,$Q41=""),0,IF(AND($A41&gt;=Lists!$W$6,$A41&lt;=Lists!$W$7,OR(Dashboard!$D$6="All accounts",$C41=Dashboard!$D$6),OR(Dashboard!$D$7="All markets",$AF41=Dashboard!$D$7)),1,0))</f>
        <v>0</v>
      </c>
      <c r="AT41" s="55">
        <f>IF($AS41=1,N(AT40)+$Q41,N(AT40))</f>
        <v>1187.10688</v>
      </c>
      <c r="AU41" s="55">
        <f>MAX(N(AU40),$AT41)</f>
        <v>1187.10688</v>
      </c>
      <c r="AV41" s="55">
        <f>$AT41-$AU41</f>
        <v>0</v>
      </c>
      <c r="AW41" s="56">
        <f>IF($AS41=1,IF($S41="Win",N(AW40)+1,IF($S41="Loss",0,N(AW40))),N(AW40))</f>
        <v>5</v>
      </c>
      <c r="AX41" s="56">
        <f>IF($AS41=1,IF($S41="Loss",N(AX40)+1,IF($S41="Win",0,N(AX40))),N(AX40))</f>
        <v>0</v>
      </c>
      <c r="AY41" s="56" t="str">
        <f>IF($AS41=1,COUNTIF($AS$6:$AS41,1),"")</f>
        <v/>
      </c>
      <c r="AZ41" s="56">
        <f>MIN(35,N(Lists!$W$8))</f>
        <v>28</v>
      </c>
      <c r="BA41" s="56">
        <f>IF($AS41=1,IF(COUNTIFS($A$6:$A41,$A41,$AS$6:$AS41,1)=1,1,0),0)</f>
        <v>0</v>
      </c>
      <c r="BB41" s="55" t="str">
        <f>IF($BA41=1,SUMIFS($Q$6:$Q$1005,$A$6:$A$1005,$A41,$AS$6:$AS$1005,1),"")</f>
        <v/>
      </c>
      <c r="BC41" s="56">
        <f>IF(ISNUMBER($R41),1,0)</f>
        <v>0</v>
      </c>
      <c r="BD41" s="55" t="str">
        <f>IF(ISNUMBER($U41),$U41*$V41,"")</f>
        <v/>
      </c>
      <c r="BE41" s="56" t="str">
        <f>IF($AM41=0,"",IFERROR(MATCH($AF41&amp;"|"&amp;UPPER(TRIM($E41)),Lists!$A$6:$A$205,0),0))</f>
        <v/>
      </c>
      <c r="BF41" s="56" t="str">
        <f>IF($AM41=0,"",IFERROR(MATCH($AF41,Settings!$B$14:$B$18,0),IFERROR(MATCH(Settings!$C$6,Settings!$B$14:$B$18,0),1)))</f>
        <v/>
      </c>
      <c r="BG41" s="58" t="str">
        <f>IF($AM41=0,"",IF(NOT(ISNUMBER($I41)),"No stop; ","")&amp;IF(AND(ISNUMBER($H41),ISNUMBER($I41)),IF(OR(AND($F41&lt;&gt;"Short",$I41&gt;=$H41),AND($F41="Short",$I41&lt;=$H41)),"Stop on wrong side; ",""),"")&amp;IF($F41="","No direction; ","")&amp;IF(AND(ISNUMBER(Settings!$C$22),ISNUMBER($V41)),IF($V41&gt;Settings!$C$22,"Risk over max $; ",""),"")&amp;IF(AND(ISNUMBER(Settings!$C$23),ISNUMBER($V41),ISNUMBER($AP41),IFERROR(N(INDEX(Accounts!$E$7:$E$16,MATCH($C41,Accounts!$B$7:$B$16,0))),0)&gt;0),IF($V41&gt;Settings!$C$23*($AP41-N($Q41)),"Risk over max %; ",""),"")&amp;IF(AND(ISNUMBER(Settings!$C$24),ISNUMBER($N41)),IF($N41&gt;Settings!$C$24,"Leverage over max; ",""),"")&amp;IF(AND(ISNUMBER(Settings!$C$27),ISNUMBER($T41)),IF($T41&lt;Settings!$C$27,"R:R below min; ",""),"")&amp;IF(ISNUMBER(Settings!$C$25),IF(COUNTIFS($A$6:$A41,$A41,$AM$6:$AM41,1)&gt;Settings!$C$25,"Over max trades/day; ",""),"")&amp;IF(ISNUMBER(Settings!$C$26),IF(SUMIFS($Q$5:$Q40,$A$5:$A40,$A41)&lt;=-Settings!$C$26,"Traded after daily max loss; ",""),"")&amp;IF(AND($AG41="",NOT(ISNUMBER($O41))),"Symbol not in Instruments; ","")&amp;IF(AND($AH41="",NOT(ISNUMBER($O41))),"Forex cross: type Gross P&amp;L; ",""))</f>
        <v/>
      </c>
      <c r="BH41" s="56">
        <f>IF(ISNUMBER($Q41),1,0)</f>
        <v>0</v>
      </c>
      <c r="BI41" s="56">
        <f>IF($Y41="",0,1)</f>
        <v>0</v>
      </c>
      <c r="BJ41" s="56">
        <f>IF($AB41="",0,1)</f>
        <v>0</v>
      </c>
      <c r="BK41" s="56">
        <f>IF(AND($BH41=1,$W41&lt;&gt;"OK"),1,0)</f>
        <v>0</v>
      </c>
      <c r="BL41" s="55">
        <f>IF(N($AZ41)=0,0,IFERROR(INDEX($AT$6:$AT$1005,MATCH($AZ41,$AY$6:$AY$1005,0)),0))</f>
        <v>1187.10688</v>
      </c>
      <c r="BM41" s="56">
        <f>IF(ISNUMBER(SEARCH("daily max loss",$BG41)),1,0)</f>
        <v>0</v>
      </c>
    </row>
    <row r="42" ht="18" customHeight="1">
      <c r="A42" s="38" t="n"/>
      <c r="B42" s="39" t="n"/>
      <c r="C42" s="40" t="n"/>
      <c r="D42" s="41" t="n"/>
      <c r="E42" s="41" t="n"/>
      <c r="F42" s="41" t="n"/>
      <c r="G42" s="41" t="n"/>
      <c r="H42" s="42" t="n"/>
      <c r="I42" s="42" t="n"/>
      <c r="J42" s="42" t="n"/>
      <c r="K42" s="42" t="n"/>
      <c r="L42" s="41" t="n"/>
      <c r="M42" s="41" t="n"/>
      <c r="N42" s="41" t="n"/>
      <c r="O42" s="43" t="n"/>
      <c r="P42" s="43" t="n"/>
      <c r="Q42" s="44" t="str">
        <f>IF($AM42=0,"",IF(ISNUMBER($AK42),$AK42-N($AL42),""))</f>
        <v/>
      </c>
      <c r="R42" s="45" t="str">
        <f>IF(OR($Q42="",NOT(ISNUMBER($V42))),"",$AK42/$V42)</f>
        <v/>
      </c>
      <c r="S42" s="46" t="str">
        <f>IF($Q42="","",IF(AND(ISNUMBER($R42),ABS(N($R42))&lt;N(Settings!$C$8)),"Scratch",IF($Q42&gt;0,"Win",IF($Q42&lt;0,"Loss","Scratch"))))</f>
        <v/>
      </c>
      <c r="T42" s="47" t="str">
        <f>IF(OR($AM42=0,NOT(ISNUMBER($H42)),NOT(ISNUMBER($I42)),NOT(ISNUMBER($J42))),"",IF($H42=$I42,"",ROUND(ABS($J42-$H42)/ABS($H42-$I42),6)))</f>
        <v/>
      </c>
      <c r="U42" s="48" t="str">
        <f>IF(OR($S42&lt;&gt;"Win",NOT(ISNUMBER($T42)),NOT(ISNUMBER($R42))),"",MAX(0,$T42-$R42))</f>
        <v/>
      </c>
      <c r="V42" s="49" t="str">
        <f>IF(OR($AM42=0,NOT(ISNUMBER($H42)),NOT(ISNUMBER($I42)),NOT(ISNUMBER($G42))),"",IF(OR($AG42="",$AH42=""),"",IF(ROUND(ABS($H42-$I42)*ABS($G42)*$AG42*$AH42,6)=0,"",ROUND(ABS($H42-$I42)*ABS($G42)*$AG42*$AH42,6))))</f>
        <v/>
      </c>
      <c r="W42" s="50" t="str">
        <f>IF($AM42=0,"",IF($BG42="","OK",LEFT($BG42,LEN($BG42)-2)))</f>
        <v/>
      </c>
      <c r="X42" s="41" t="n"/>
      <c r="Y42" s="40" t="n"/>
      <c r="Z42" s="41" t="n"/>
      <c r="AA42" s="41" t="n"/>
      <c r="AB42" s="40" t="n"/>
      <c r="AC42" s="51" t="n"/>
      <c r="AD42" s="51" t="n"/>
      <c r="AE42" s="40" t="n"/>
      <c r="AF42" s="52" t="str">
        <f>IF($AM42=0,"",IF($D42&lt;&gt;"",$D42,IF(IFERROR(INDEX(Accounts!$C$7:$C$16,MATCH($C42,Accounts!$B$7:$B$16,0))&amp;"","")&lt;&gt;"",INDEX(Accounts!$C$7:$C$16,MATCH($C42,Accounts!$B$7:$B$16,0)),Settings!$C$6)))</f>
        <v/>
      </c>
      <c r="AG42" s="53" t="str">
        <f>IF($AM42=0,"",IF(AND($BE42&gt;0,N(INDEX(Instruments!$D$6:$D$205,MAX(1,$BE42)))&gt;0),INDEX(Instruments!$D$6:$D$205,MAX(1,$BE42)),IF(N(INDEX(Settings!$D$14:$D$18,$BF42))&gt;0,INDEX(Settings!$D$14:$D$18,$BF42),"")))</f>
        <v/>
      </c>
      <c r="AH42" s="54" t="str">
        <f>IF($AM42=0,"",IF($AF42&lt;&gt;"Forex",1,IF(MID(UPPER(SUBSTITUTE(TRIM($E42),"/","")),4,3)=UPPER(TRIM(Settings!$C$7)),1,IF(LEFT(UPPER(SUBSTITUTE(TRIM($E42),"/","")),3)=UPPER(TRIM(Settings!$C$7)),IF(AND(ISNUMBER($K42),N($K42)&lt;&gt;0),1/$K42,""),""))))</f>
        <v/>
      </c>
      <c r="AI42" s="55" t="str">
        <f>IF($AM42=0,"",IF(OR(NOT(ISNUMBER($H42)),NOT(ISNUMBER($K42)),NOT(ISNUMBER($G42)),$AG42="",$AH42=""),"",ROUND(($K42-$H42)*IF($F42="Short",-1,1)*$G42*$AG42*$AH42,6)))</f>
        <v/>
      </c>
      <c r="AJ42" s="55" t="str">
        <f>IF($AM42=0,"",IF(INDEX(Settings!$E$14:$E$18,$BF42)="% of notional",IF(OR($AG42="",NOT(ISNUMBER($H42)),NOT(ISNUMBER($G42))),"",ROUND(ABS($H42*$G42*$AG42*N($AH42))*IF($L42="Limit",N(INDEX(Settings!$G$14:$G$18,$BF42)),N(INDEX(Settings!$H$14:$H$18,$BF42)))+IF(ISNUMBER($K42),ABS($K42*$G42*$AG42*N($AH42))*IF($M42="Target",N(INDEX(Settings!$G$14:$G$18,$BF42)),N(INDEX(Settings!$H$14:$H$18,$BF42))),0),6)),IF(NOT(ISNUMBER($G42)),"",ROUND(ABS($G42)*2*IF(AND($BE42&gt;0,ISNUMBER(INDEX(Instruments!$G$6:$G$205,MAX(1,$BE42)))),INDEX(Instruments!$G$6:$G$205,MAX(1,$BE42)),N(INDEX(Settings!$F$14:$F$18,$BF42))),6))))</f>
        <v/>
      </c>
      <c r="AK42" s="55" t="str">
        <f>IF($AM42=0,"",IF(ISNUMBER($O42),$O42,$AI42))</f>
        <v/>
      </c>
      <c r="AL42" s="55" t="str">
        <f>IF($AM42=0,"",IF(ISNUMBER($P42),$P42,N($AJ42)))</f>
        <v/>
      </c>
      <c r="AM42" s="56">
        <f>IF(AND($A42&lt;&gt;"",$E42&lt;&gt;"",OR(AND(ISNUMBER($G42),ISNUMBER($H42),ISNUMBER($K42)),ISNUMBER($O42))),1,0)</f>
        <v>0</v>
      </c>
      <c r="AN42" s="57" t="str">
        <f>IF($A42="","",$A42-WEEKDAY($A42,3))</f>
        <v/>
      </c>
      <c r="AO42" s="56" t="str">
        <f>IF($A42="","",WEEKDAY($A42,2))</f>
        <v/>
      </c>
      <c r="AP42" s="55" t="str">
        <f>IF(OR($AM42=0,$C42=""),"",IFERROR(N(INDEX(Accounts!$E$7:$E$16,MATCH($C42,Accounts!$B$7:$B$16,0))),0)+SUMIFS($Q$6:$Q42,$C$6:$C42,$C42))</f>
        <v/>
      </c>
      <c r="AQ42" s="55" t="str">
        <f>IF(OR($AM42=0,$C42=""),"",SUMIFS($Q$6:$Q$1005,$C$6:$C$1005,$C42,$A$6:$A$1005,$A42))</f>
        <v/>
      </c>
      <c r="AR42" s="55" t="str">
        <f>IF(OR($AM42=0,$C42=""),"",IFERROR(N(INDEX(Accounts!$E$7:$E$16,MATCH($C42,Accounts!$B$7:$B$16,0))),0)+SUMIFS($Q$6:$Q$1005,$C$6:$C$1005,$C42,$A$6:$A$1005,"&lt;="&amp;$A42))</f>
        <v/>
      </c>
      <c r="AS42" s="56">
        <f>IF(OR($AM42=0,$Q42=""),0,IF(AND($A42&gt;=Lists!$W$6,$A42&lt;=Lists!$W$7,OR(Dashboard!$D$6="All accounts",$C42=Dashboard!$D$6),OR(Dashboard!$D$7="All markets",$AF42=Dashboard!$D$7)),1,0))</f>
        <v>0</v>
      </c>
      <c r="AT42" s="55">
        <f>IF($AS42=1,N(AT41)+$Q42,N(AT41))</f>
        <v>1187.10688</v>
      </c>
      <c r="AU42" s="55">
        <f>MAX(N(AU41),$AT42)</f>
        <v>1187.10688</v>
      </c>
      <c r="AV42" s="55">
        <f>$AT42-$AU42</f>
        <v>0</v>
      </c>
      <c r="AW42" s="56">
        <f>IF($AS42=1,IF($S42="Win",N(AW41)+1,IF($S42="Loss",0,N(AW41))),N(AW41))</f>
        <v>5</v>
      </c>
      <c r="AX42" s="56">
        <f>IF($AS42=1,IF($S42="Loss",N(AX41)+1,IF($S42="Win",0,N(AX41))),N(AX41))</f>
        <v>0</v>
      </c>
      <c r="AY42" s="56" t="str">
        <f>IF($AS42=1,COUNTIF($AS$6:$AS42,1),"")</f>
        <v/>
      </c>
      <c r="AZ42" s="56">
        <f>MIN(36,N(Lists!$W$8))</f>
        <v>28</v>
      </c>
      <c r="BA42" s="56">
        <f>IF($AS42=1,IF(COUNTIFS($A$6:$A42,$A42,$AS$6:$AS42,1)=1,1,0),0)</f>
        <v>0</v>
      </c>
      <c r="BB42" s="55" t="str">
        <f>IF($BA42=1,SUMIFS($Q$6:$Q$1005,$A$6:$A$1005,$A42,$AS$6:$AS$1005,1),"")</f>
        <v/>
      </c>
      <c r="BC42" s="56">
        <f>IF(ISNUMBER($R42),1,0)</f>
        <v>0</v>
      </c>
      <c r="BD42" s="55" t="str">
        <f>IF(ISNUMBER($U42),$U42*$V42,"")</f>
        <v/>
      </c>
      <c r="BE42" s="56" t="str">
        <f>IF($AM42=0,"",IFERROR(MATCH($AF42&amp;"|"&amp;UPPER(TRIM($E42)),Lists!$A$6:$A$205,0),0))</f>
        <v/>
      </c>
      <c r="BF42" s="56" t="str">
        <f>IF($AM42=0,"",IFERROR(MATCH($AF42,Settings!$B$14:$B$18,0),IFERROR(MATCH(Settings!$C$6,Settings!$B$14:$B$18,0),1)))</f>
        <v/>
      </c>
      <c r="BG42" s="58" t="str">
        <f>IF($AM42=0,"",IF(NOT(ISNUMBER($I42)),"No stop; ","")&amp;IF(AND(ISNUMBER($H42),ISNUMBER($I42)),IF(OR(AND($F42&lt;&gt;"Short",$I42&gt;=$H42),AND($F42="Short",$I42&lt;=$H42)),"Stop on wrong side; ",""),"")&amp;IF($F42="","No direction; ","")&amp;IF(AND(ISNUMBER(Settings!$C$22),ISNUMBER($V42)),IF($V42&gt;Settings!$C$22,"Risk over max $; ",""),"")&amp;IF(AND(ISNUMBER(Settings!$C$23),ISNUMBER($V42),ISNUMBER($AP42),IFERROR(N(INDEX(Accounts!$E$7:$E$16,MATCH($C42,Accounts!$B$7:$B$16,0))),0)&gt;0),IF($V42&gt;Settings!$C$23*($AP42-N($Q42)),"Risk over max %; ",""),"")&amp;IF(AND(ISNUMBER(Settings!$C$24),ISNUMBER($N42)),IF($N42&gt;Settings!$C$24,"Leverage over max; ",""),"")&amp;IF(AND(ISNUMBER(Settings!$C$27),ISNUMBER($T42)),IF($T42&lt;Settings!$C$27,"R:R below min; ",""),"")&amp;IF(ISNUMBER(Settings!$C$25),IF(COUNTIFS($A$6:$A42,$A42,$AM$6:$AM42,1)&gt;Settings!$C$25,"Over max trades/day; ",""),"")&amp;IF(ISNUMBER(Settings!$C$26),IF(SUMIFS($Q$5:$Q41,$A$5:$A41,$A42)&lt;=-Settings!$C$26,"Traded after daily max loss; ",""),"")&amp;IF(AND($AG42="",NOT(ISNUMBER($O42))),"Symbol not in Instruments; ","")&amp;IF(AND($AH42="",NOT(ISNUMBER($O42))),"Forex cross: type Gross P&amp;L; ",""))</f>
        <v/>
      </c>
      <c r="BH42" s="56">
        <f>IF(ISNUMBER($Q42),1,0)</f>
        <v>0</v>
      </c>
      <c r="BI42" s="56">
        <f>IF($Y42="",0,1)</f>
        <v>0</v>
      </c>
      <c r="BJ42" s="56">
        <f>IF($AB42="",0,1)</f>
        <v>0</v>
      </c>
      <c r="BK42" s="56">
        <f>IF(AND($BH42=1,$W42&lt;&gt;"OK"),1,0)</f>
        <v>0</v>
      </c>
      <c r="BL42" s="55">
        <f>IF(N($AZ42)=0,0,IFERROR(INDEX($AT$6:$AT$1005,MATCH($AZ42,$AY$6:$AY$1005,0)),0))</f>
        <v>1187.10688</v>
      </c>
      <c r="BM42" s="56">
        <f>IF(ISNUMBER(SEARCH("daily max loss",$BG42)),1,0)</f>
        <v>0</v>
      </c>
    </row>
    <row r="43" ht="18" customHeight="1">
      <c r="A43" s="38" t="n"/>
      <c r="B43" s="39" t="n"/>
      <c r="C43" s="40" t="n"/>
      <c r="D43" s="41" t="n"/>
      <c r="E43" s="41" t="n"/>
      <c r="F43" s="41" t="n"/>
      <c r="G43" s="41" t="n"/>
      <c r="H43" s="42" t="n"/>
      <c r="I43" s="42" t="n"/>
      <c r="J43" s="42" t="n"/>
      <c r="K43" s="42" t="n"/>
      <c r="L43" s="41" t="n"/>
      <c r="M43" s="41" t="n"/>
      <c r="N43" s="41" t="n"/>
      <c r="O43" s="43" t="n"/>
      <c r="P43" s="43" t="n"/>
      <c r="Q43" s="44" t="str">
        <f>IF($AM43=0,"",IF(ISNUMBER($AK43),$AK43-N($AL43),""))</f>
        <v/>
      </c>
      <c r="R43" s="45" t="str">
        <f>IF(OR($Q43="",NOT(ISNUMBER($V43))),"",$AK43/$V43)</f>
        <v/>
      </c>
      <c r="S43" s="46" t="str">
        <f>IF($Q43="","",IF(AND(ISNUMBER($R43),ABS(N($R43))&lt;N(Settings!$C$8)),"Scratch",IF($Q43&gt;0,"Win",IF($Q43&lt;0,"Loss","Scratch"))))</f>
        <v/>
      </c>
      <c r="T43" s="47" t="str">
        <f>IF(OR($AM43=0,NOT(ISNUMBER($H43)),NOT(ISNUMBER($I43)),NOT(ISNUMBER($J43))),"",IF($H43=$I43,"",ROUND(ABS($J43-$H43)/ABS($H43-$I43),6)))</f>
        <v/>
      </c>
      <c r="U43" s="48" t="str">
        <f>IF(OR($S43&lt;&gt;"Win",NOT(ISNUMBER($T43)),NOT(ISNUMBER($R43))),"",MAX(0,$T43-$R43))</f>
        <v/>
      </c>
      <c r="V43" s="49" t="str">
        <f>IF(OR($AM43=0,NOT(ISNUMBER($H43)),NOT(ISNUMBER($I43)),NOT(ISNUMBER($G43))),"",IF(OR($AG43="",$AH43=""),"",IF(ROUND(ABS($H43-$I43)*ABS($G43)*$AG43*$AH43,6)=0,"",ROUND(ABS($H43-$I43)*ABS($G43)*$AG43*$AH43,6))))</f>
        <v/>
      </c>
      <c r="W43" s="50" t="str">
        <f>IF($AM43=0,"",IF($BG43="","OK",LEFT($BG43,LEN($BG43)-2)))</f>
        <v/>
      </c>
      <c r="X43" s="41" t="n"/>
      <c r="Y43" s="40" t="n"/>
      <c r="Z43" s="41" t="n"/>
      <c r="AA43" s="41" t="n"/>
      <c r="AB43" s="40" t="n"/>
      <c r="AC43" s="51" t="n"/>
      <c r="AD43" s="51" t="n"/>
      <c r="AE43" s="40" t="n"/>
      <c r="AF43" s="52" t="str">
        <f>IF($AM43=0,"",IF($D43&lt;&gt;"",$D43,IF(IFERROR(INDEX(Accounts!$C$7:$C$16,MATCH($C43,Accounts!$B$7:$B$16,0))&amp;"","")&lt;&gt;"",INDEX(Accounts!$C$7:$C$16,MATCH($C43,Accounts!$B$7:$B$16,0)),Settings!$C$6)))</f>
        <v/>
      </c>
      <c r="AG43" s="53" t="str">
        <f>IF($AM43=0,"",IF(AND($BE43&gt;0,N(INDEX(Instruments!$D$6:$D$205,MAX(1,$BE43)))&gt;0),INDEX(Instruments!$D$6:$D$205,MAX(1,$BE43)),IF(N(INDEX(Settings!$D$14:$D$18,$BF43))&gt;0,INDEX(Settings!$D$14:$D$18,$BF43),"")))</f>
        <v/>
      </c>
      <c r="AH43" s="54" t="str">
        <f>IF($AM43=0,"",IF($AF43&lt;&gt;"Forex",1,IF(MID(UPPER(SUBSTITUTE(TRIM($E43),"/","")),4,3)=UPPER(TRIM(Settings!$C$7)),1,IF(LEFT(UPPER(SUBSTITUTE(TRIM($E43),"/","")),3)=UPPER(TRIM(Settings!$C$7)),IF(AND(ISNUMBER($K43),N($K43)&lt;&gt;0),1/$K43,""),""))))</f>
        <v/>
      </c>
      <c r="AI43" s="55" t="str">
        <f>IF($AM43=0,"",IF(OR(NOT(ISNUMBER($H43)),NOT(ISNUMBER($K43)),NOT(ISNUMBER($G43)),$AG43="",$AH43=""),"",ROUND(($K43-$H43)*IF($F43="Short",-1,1)*$G43*$AG43*$AH43,6)))</f>
        <v/>
      </c>
      <c r="AJ43" s="55" t="str">
        <f>IF($AM43=0,"",IF(INDEX(Settings!$E$14:$E$18,$BF43)="% of notional",IF(OR($AG43="",NOT(ISNUMBER($H43)),NOT(ISNUMBER($G43))),"",ROUND(ABS($H43*$G43*$AG43*N($AH43))*IF($L43="Limit",N(INDEX(Settings!$G$14:$G$18,$BF43)),N(INDEX(Settings!$H$14:$H$18,$BF43)))+IF(ISNUMBER($K43),ABS($K43*$G43*$AG43*N($AH43))*IF($M43="Target",N(INDEX(Settings!$G$14:$G$18,$BF43)),N(INDEX(Settings!$H$14:$H$18,$BF43))),0),6)),IF(NOT(ISNUMBER($G43)),"",ROUND(ABS($G43)*2*IF(AND($BE43&gt;0,ISNUMBER(INDEX(Instruments!$G$6:$G$205,MAX(1,$BE43)))),INDEX(Instruments!$G$6:$G$205,MAX(1,$BE43)),N(INDEX(Settings!$F$14:$F$18,$BF43))),6))))</f>
        <v/>
      </c>
      <c r="AK43" s="55" t="str">
        <f>IF($AM43=0,"",IF(ISNUMBER($O43),$O43,$AI43))</f>
        <v/>
      </c>
      <c r="AL43" s="55" t="str">
        <f>IF($AM43=0,"",IF(ISNUMBER($P43),$P43,N($AJ43)))</f>
        <v/>
      </c>
      <c r="AM43" s="56">
        <f>IF(AND($A43&lt;&gt;"",$E43&lt;&gt;"",OR(AND(ISNUMBER($G43),ISNUMBER($H43),ISNUMBER($K43)),ISNUMBER($O43))),1,0)</f>
        <v>0</v>
      </c>
      <c r="AN43" s="57" t="str">
        <f>IF($A43="","",$A43-WEEKDAY($A43,3))</f>
        <v/>
      </c>
      <c r="AO43" s="56" t="str">
        <f>IF($A43="","",WEEKDAY($A43,2))</f>
        <v/>
      </c>
      <c r="AP43" s="55" t="str">
        <f>IF(OR($AM43=0,$C43=""),"",IFERROR(N(INDEX(Accounts!$E$7:$E$16,MATCH($C43,Accounts!$B$7:$B$16,0))),0)+SUMIFS($Q$6:$Q43,$C$6:$C43,$C43))</f>
        <v/>
      </c>
      <c r="AQ43" s="55" t="str">
        <f>IF(OR($AM43=0,$C43=""),"",SUMIFS($Q$6:$Q$1005,$C$6:$C$1005,$C43,$A$6:$A$1005,$A43))</f>
        <v/>
      </c>
      <c r="AR43" s="55" t="str">
        <f>IF(OR($AM43=0,$C43=""),"",IFERROR(N(INDEX(Accounts!$E$7:$E$16,MATCH($C43,Accounts!$B$7:$B$16,0))),0)+SUMIFS($Q$6:$Q$1005,$C$6:$C$1005,$C43,$A$6:$A$1005,"&lt;="&amp;$A43))</f>
        <v/>
      </c>
      <c r="AS43" s="56">
        <f>IF(OR($AM43=0,$Q43=""),0,IF(AND($A43&gt;=Lists!$W$6,$A43&lt;=Lists!$W$7,OR(Dashboard!$D$6="All accounts",$C43=Dashboard!$D$6),OR(Dashboard!$D$7="All markets",$AF43=Dashboard!$D$7)),1,0))</f>
        <v>0</v>
      </c>
      <c r="AT43" s="55">
        <f>IF($AS43=1,N(AT42)+$Q43,N(AT42))</f>
        <v>1187.10688</v>
      </c>
      <c r="AU43" s="55">
        <f>MAX(N(AU42),$AT43)</f>
        <v>1187.10688</v>
      </c>
      <c r="AV43" s="55">
        <f>$AT43-$AU43</f>
        <v>0</v>
      </c>
      <c r="AW43" s="56">
        <f>IF($AS43=1,IF($S43="Win",N(AW42)+1,IF($S43="Loss",0,N(AW42))),N(AW42))</f>
        <v>5</v>
      </c>
      <c r="AX43" s="56">
        <f>IF($AS43=1,IF($S43="Loss",N(AX42)+1,IF($S43="Win",0,N(AX42))),N(AX42))</f>
        <v>0</v>
      </c>
      <c r="AY43" s="56" t="str">
        <f>IF($AS43=1,COUNTIF($AS$6:$AS43,1),"")</f>
        <v/>
      </c>
      <c r="AZ43" s="56">
        <f>MIN(37,N(Lists!$W$8))</f>
        <v>28</v>
      </c>
      <c r="BA43" s="56">
        <f>IF($AS43=1,IF(COUNTIFS($A$6:$A43,$A43,$AS$6:$AS43,1)=1,1,0),0)</f>
        <v>0</v>
      </c>
      <c r="BB43" s="55" t="str">
        <f>IF($BA43=1,SUMIFS($Q$6:$Q$1005,$A$6:$A$1005,$A43,$AS$6:$AS$1005,1),"")</f>
        <v/>
      </c>
      <c r="BC43" s="56">
        <f>IF(ISNUMBER($R43),1,0)</f>
        <v>0</v>
      </c>
      <c r="BD43" s="55" t="str">
        <f>IF(ISNUMBER($U43),$U43*$V43,"")</f>
        <v/>
      </c>
      <c r="BE43" s="56" t="str">
        <f>IF($AM43=0,"",IFERROR(MATCH($AF43&amp;"|"&amp;UPPER(TRIM($E43)),Lists!$A$6:$A$205,0),0))</f>
        <v/>
      </c>
      <c r="BF43" s="56" t="str">
        <f>IF($AM43=0,"",IFERROR(MATCH($AF43,Settings!$B$14:$B$18,0),IFERROR(MATCH(Settings!$C$6,Settings!$B$14:$B$18,0),1)))</f>
        <v/>
      </c>
      <c r="BG43" s="58" t="str">
        <f>IF($AM43=0,"",IF(NOT(ISNUMBER($I43)),"No stop; ","")&amp;IF(AND(ISNUMBER($H43),ISNUMBER($I43)),IF(OR(AND($F43&lt;&gt;"Short",$I43&gt;=$H43),AND($F43="Short",$I43&lt;=$H43)),"Stop on wrong side; ",""),"")&amp;IF($F43="","No direction; ","")&amp;IF(AND(ISNUMBER(Settings!$C$22),ISNUMBER($V43)),IF($V43&gt;Settings!$C$22,"Risk over max $; ",""),"")&amp;IF(AND(ISNUMBER(Settings!$C$23),ISNUMBER($V43),ISNUMBER($AP43),IFERROR(N(INDEX(Accounts!$E$7:$E$16,MATCH($C43,Accounts!$B$7:$B$16,0))),0)&gt;0),IF($V43&gt;Settings!$C$23*($AP43-N($Q43)),"Risk over max %; ",""),"")&amp;IF(AND(ISNUMBER(Settings!$C$24),ISNUMBER($N43)),IF($N43&gt;Settings!$C$24,"Leverage over max; ",""),"")&amp;IF(AND(ISNUMBER(Settings!$C$27),ISNUMBER($T43)),IF($T43&lt;Settings!$C$27,"R:R below min; ",""),"")&amp;IF(ISNUMBER(Settings!$C$25),IF(COUNTIFS($A$6:$A43,$A43,$AM$6:$AM43,1)&gt;Settings!$C$25,"Over max trades/day; ",""),"")&amp;IF(ISNUMBER(Settings!$C$26),IF(SUMIFS($Q$5:$Q42,$A$5:$A42,$A43)&lt;=-Settings!$C$26,"Traded after daily max loss; ",""),"")&amp;IF(AND($AG43="",NOT(ISNUMBER($O43))),"Symbol not in Instruments; ","")&amp;IF(AND($AH43="",NOT(ISNUMBER($O43))),"Forex cross: type Gross P&amp;L; ",""))</f>
        <v/>
      </c>
      <c r="BH43" s="56">
        <f>IF(ISNUMBER($Q43),1,0)</f>
        <v>0</v>
      </c>
      <c r="BI43" s="56">
        <f>IF($Y43="",0,1)</f>
        <v>0</v>
      </c>
      <c r="BJ43" s="56">
        <f>IF($AB43="",0,1)</f>
        <v>0</v>
      </c>
      <c r="BK43" s="56">
        <f>IF(AND($BH43=1,$W43&lt;&gt;"OK"),1,0)</f>
        <v>0</v>
      </c>
      <c r="BL43" s="55">
        <f>IF(N($AZ43)=0,0,IFERROR(INDEX($AT$6:$AT$1005,MATCH($AZ43,$AY$6:$AY$1005,0)),0))</f>
        <v>1187.10688</v>
      </c>
      <c r="BM43" s="56">
        <f>IF(ISNUMBER(SEARCH("daily max loss",$BG43)),1,0)</f>
        <v>0</v>
      </c>
    </row>
    <row r="44" ht="18" customHeight="1">
      <c r="A44" s="38" t="n"/>
      <c r="B44" s="39" t="n"/>
      <c r="C44" s="40" t="n"/>
      <c r="D44" s="41" t="n"/>
      <c r="E44" s="41" t="n"/>
      <c r="F44" s="41" t="n"/>
      <c r="G44" s="41" t="n"/>
      <c r="H44" s="42" t="n"/>
      <c r="I44" s="42" t="n"/>
      <c r="J44" s="42" t="n"/>
      <c r="K44" s="42" t="n"/>
      <c r="L44" s="41" t="n"/>
      <c r="M44" s="41" t="n"/>
      <c r="N44" s="41" t="n"/>
      <c r="O44" s="43" t="n"/>
      <c r="P44" s="43" t="n"/>
      <c r="Q44" s="44" t="str">
        <f>IF($AM44=0,"",IF(ISNUMBER($AK44),$AK44-N($AL44),""))</f>
        <v/>
      </c>
      <c r="R44" s="45" t="str">
        <f>IF(OR($Q44="",NOT(ISNUMBER($V44))),"",$AK44/$V44)</f>
        <v/>
      </c>
      <c r="S44" s="46" t="str">
        <f>IF($Q44="","",IF(AND(ISNUMBER($R44),ABS(N($R44))&lt;N(Settings!$C$8)),"Scratch",IF($Q44&gt;0,"Win",IF($Q44&lt;0,"Loss","Scratch"))))</f>
        <v/>
      </c>
      <c r="T44" s="47" t="str">
        <f>IF(OR($AM44=0,NOT(ISNUMBER($H44)),NOT(ISNUMBER($I44)),NOT(ISNUMBER($J44))),"",IF($H44=$I44,"",ROUND(ABS($J44-$H44)/ABS($H44-$I44),6)))</f>
        <v/>
      </c>
      <c r="U44" s="48" t="str">
        <f>IF(OR($S44&lt;&gt;"Win",NOT(ISNUMBER($T44)),NOT(ISNUMBER($R44))),"",MAX(0,$T44-$R44))</f>
        <v/>
      </c>
      <c r="V44" s="49" t="str">
        <f>IF(OR($AM44=0,NOT(ISNUMBER($H44)),NOT(ISNUMBER($I44)),NOT(ISNUMBER($G44))),"",IF(OR($AG44="",$AH44=""),"",IF(ROUND(ABS($H44-$I44)*ABS($G44)*$AG44*$AH44,6)=0,"",ROUND(ABS($H44-$I44)*ABS($G44)*$AG44*$AH44,6))))</f>
        <v/>
      </c>
      <c r="W44" s="50" t="str">
        <f>IF($AM44=0,"",IF($BG44="","OK",LEFT($BG44,LEN($BG44)-2)))</f>
        <v/>
      </c>
      <c r="X44" s="41" t="n"/>
      <c r="Y44" s="40" t="n"/>
      <c r="Z44" s="41" t="n"/>
      <c r="AA44" s="41" t="n"/>
      <c r="AB44" s="40" t="n"/>
      <c r="AC44" s="51" t="n"/>
      <c r="AD44" s="51" t="n"/>
      <c r="AE44" s="40" t="n"/>
      <c r="AF44" s="52" t="str">
        <f>IF($AM44=0,"",IF($D44&lt;&gt;"",$D44,IF(IFERROR(INDEX(Accounts!$C$7:$C$16,MATCH($C44,Accounts!$B$7:$B$16,0))&amp;"","")&lt;&gt;"",INDEX(Accounts!$C$7:$C$16,MATCH($C44,Accounts!$B$7:$B$16,0)),Settings!$C$6)))</f>
        <v/>
      </c>
      <c r="AG44" s="53" t="str">
        <f>IF($AM44=0,"",IF(AND($BE44&gt;0,N(INDEX(Instruments!$D$6:$D$205,MAX(1,$BE44)))&gt;0),INDEX(Instruments!$D$6:$D$205,MAX(1,$BE44)),IF(N(INDEX(Settings!$D$14:$D$18,$BF44))&gt;0,INDEX(Settings!$D$14:$D$18,$BF44),"")))</f>
        <v/>
      </c>
      <c r="AH44" s="54" t="str">
        <f>IF($AM44=0,"",IF($AF44&lt;&gt;"Forex",1,IF(MID(UPPER(SUBSTITUTE(TRIM($E44),"/","")),4,3)=UPPER(TRIM(Settings!$C$7)),1,IF(LEFT(UPPER(SUBSTITUTE(TRIM($E44),"/","")),3)=UPPER(TRIM(Settings!$C$7)),IF(AND(ISNUMBER($K44),N($K44)&lt;&gt;0),1/$K44,""),""))))</f>
        <v/>
      </c>
      <c r="AI44" s="55" t="str">
        <f>IF($AM44=0,"",IF(OR(NOT(ISNUMBER($H44)),NOT(ISNUMBER($K44)),NOT(ISNUMBER($G44)),$AG44="",$AH44=""),"",ROUND(($K44-$H44)*IF($F44="Short",-1,1)*$G44*$AG44*$AH44,6)))</f>
        <v/>
      </c>
      <c r="AJ44" s="55" t="str">
        <f>IF($AM44=0,"",IF(INDEX(Settings!$E$14:$E$18,$BF44)="% of notional",IF(OR($AG44="",NOT(ISNUMBER($H44)),NOT(ISNUMBER($G44))),"",ROUND(ABS($H44*$G44*$AG44*N($AH44))*IF($L44="Limit",N(INDEX(Settings!$G$14:$G$18,$BF44)),N(INDEX(Settings!$H$14:$H$18,$BF44)))+IF(ISNUMBER($K44),ABS($K44*$G44*$AG44*N($AH44))*IF($M44="Target",N(INDEX(Settings!$G$14:$G$18,$BF44)),N(INDEX(Settings!$H$14:$H$18,$BF44))),0),6)),IF(NOT(ISNUMBER($G44)),"",ROUND(ABS($G44)*2*IF(AND($BE44&gt;0,ISNUMBER(INDEX(Instruments!$G$6:$G$205,MAX(1,$BE44)))),INDEX(Instruments!$G$6:$G$205,MAX(1,$BE44)),N(INDEX(Settings!$F$14:$F$18,$BF44))),6))))</f>
        <v/>
      </c>
      <c r="AK44" s="55" t="str">
        <f>IF($AM44=0,"",IF(ISNUMBER($O44),$O44,$AI44))</f>
        <v/>
      </c>
      <c r="AL44" s="55" t="str">
        <f>IF($AM44=0,"",IF(ISNUMBER($P44),$P44,N($AJ44)))</f>
        <v/>
      </c>
      <c r="AM44" s="56">
        <f>IF(AND($A44&lt;&gt;"",$E44&lt;&gt;"",OR(AND(ISNUMBER($G44),ISNUMBER($H44),ISNUMBER($K44)),ISNUMBER($O44))),1,0)</f>
        <v>0</v>
      </c>
      <c r="AN44" s="57" t="str">
        <f>IF($A44="","",$A44-WEEKDAY($A44,3))</f>
        <v/>
      </c>
      <c r="AO44" s="56" t="str">
        <f>IF($A44="","",WEEKDAY($A44,2))</f>
        <v/>
      </c>
      <c r="AP44" s="55" t="str">
        <f>IF(OR($AM44=0,$C44=""),"",IFERROR(N(INDEX(Accounts!$E$7:$E$16,MATCH($C44,Accounts!$B$7:$B$16,0))),0)+SUMIFS($Q$6:$Q44,$C$6:$C44,$C44))</f>
        <v/>
      </c>
      <c r="AQ44" s="55" t="str">
        <f>IF(OR($AM44=0,$C44=""),"",SUMIFS($Q$6:$Q$1005,$C$6:$C$1005,$C44,$A$6:$A$1005,$A44))</f>
        <v/>
      </c>
      <c r="AR44" s="55" t="str">
        <f>IF(OR($AM44=0,$C44=""),"",IFERROR(N(INDEX(Accounts!$E$7:$E$16,MATCH($C44,Accounts!$B$7:$B$16,0))),0)+SUMIFS($Q$6:$Q$1005,$C$6:$C$1005,$C44,$A$6:$A$1005,"&lt;="&amp;$A44))</f>
        <v/>
      </c>
      <c r="AS44" s="56">
        <f>IF(OR($AM44=0,$Q44=""),0,IF(AND($A44&gt;=Lists!$W$6,$A44&lt;=Lists!$W$7,OR(Dashboard!$D$6="All accounts",$C44=Dashboard!$D$6),OR(Dashboard!$D$7="All markets",$AF44=Dashboard!$D$7)),1,0))</f>
        <v>0</v>
      </c>
      <c r="AT44" s="55">
        <f>IF($AS44=1,N(AT43)+$Q44,N(AT43))</f>
        <v>1187.10688</v>
      </c>
      <c r="AU44" s="55">
        <f>MAX(N(AU43),$AT44)</f>
        <v>1187.10688</v>
      </c>
      <c r="AV44" s="55">
        <f>$AT44-$AU44</f>
        <v>0</v>
      </c>
      <c r="AW44" s="56">
        <f>IF($AS44=1,IF($S44="Win",N(AW43)+1,IF($S44="Loss",0,N(AW43))),N(AW43))</f>
        <v>5</v>
      </c>
      <c r="AX44" s="56">
        <f>IF($AS44=1,IF($S44="Loss",N(AX43)+1,IF($S44="Win",0,N(AX43))),N(AX43))</f>
        <v>0</v>
      </c>
      <c r="AY44" s="56" t="str">
        <f>IF($AS44=1,COUNTIF($AS$6:$AS44,1),"")</f>
        <v/>
      </c>
      <c r="AZ44" s="56">
        <f>MIN(38,N(Lists!$W$8))</f>
        <v>28</v>
      </c>
      <c r="BA44" s="56">
        <f>IF($AS44=1,IF(COUNTIFS($A$6:$A44,$A44,$AS$6:$AS44,1)=1,1,0),0)</f>
        <v>0</v>
      </c>
      <c r="BB44" s="55" t="str">
        <f>IF($BA44=1,SUMIFS($Q$6:$Q$1005,$A$6:$A$1005,$A44,$AS$6:$AS$1005,1),"")</f>
        <v/>
      </c>
      <c r="BC44" s="56">
        <f>IF(ISNUMBER($R44),1,0)</f>
        <v>0</v>
      </c>
      <c r="BD44" s="55" t="str">
        <f>IF(ISNUMBER($U44),$U44*$V44,"")</f>
        <v/>
      </c>
      <c r="BE44" s="56" t="str">
        <f>IF($AM44=0,"",IFERROR(MATCH($AF44&amp;"|"&amp;UPPER(TRIM($E44)),Lists!$A$6:$A$205,0),0))</f>
        <v/>
      </c>
      <c r="BF44" s="56" t="str">
        <f>IF($AM44=0,"",IFERROR(MATCH($AF44,Settings!$B$14:$B$18,0),IFERROR(MATCH(Settings!$C$6,Settings!$B$14:$B$18,0),1)))</f>
        <v/>
      </c>
      <c r="BG44" s="58" t="str">
        <f>IF($AM44=0,"",IF(NOT(ISNUMBER($I44)),"No stop; ","")&amp;IF(AND(ISNUMBER($H44),ISNUMBER($I44)),IF(OR(AND($F44&lt;&gt;"Short",$I44&gt;=$H44),AND($F44="Short",$I44&lt;=$H44)),"Stop on wrong side; ",""),"")&amp;IF($F44="","No direction; ","")&amp;IF(AND(ISNUMBER(Settings!$C$22),ISNUMBER($V44)),IF($V44&gt;Settings!$C$22,"Risk over max $; ",""),"")&amp;IF(AND(ISNUMBER(Settings!$C$23),ISNUMBER($V44),ISNUMBER($AP44),IFERROR(N(INDEX(Accounts!$E$7:$E$16,MATCH($C44,Accounts!$B$7:$B$16,0))),0)&gt;0),IF($V44&gt;Settings!$C$23*($AP44-N($Q44)),"Risk over max %; ",""),"")&amp;IF(AND(ISNUMBER(Settings!$C$24),ISNUMBER($N44)),IF($N44&gt;Settings!$C$24,"Leverage over max; ",""),"")&amp;IF(AND(ISNUMBER(Settings!$C$27),ISNUMBER($T44)),IF($T44&lt;Settings!$C$27,"R:R below min; ",""),"")&amp;IF(ISNUMBER(Settings!$C$25),IF(COUNTIFS($A$6:$A44,$A44,$AM$6:$AM44,1)&gt;Settings!$C$25,"Over max trades/day; ",""),"")&amp;IF(ISNUMBER(Settings!$C$26),IF(SUMIFS($Q$5:$Q43,$A$5:$A43,$A44)&lt;=-Settings!$C$26,"Traded after daily max loss; ",""),"")&amp;IF(AND($AG44="",NOT(ISNUMBER($O44))),"Symbol not in Instruments; ","")&amp;IF(AND($AH44="",NOT(ISNUMBER($O44))),"Forex cross: type Gross P&amp;L; ",""))</f>
        <v/>
      </c>
      <c r="BH44" s="56">
        <f>IF(ISNUMBER($Q44),1,0)</f>
        <v>0</v>
      </c>
      <c r="BI44" s="56">
        <f>IF($Y44="",0,1)</f>
        <v>0</v>
      </c>
      <c r="BJ44" s="56">
        <f>IF($AB44="",0,1)</f>
        <v>0</v>
      </c>
      <c r="BK44" s="56">
        <f>IF(AND($BH44=1,$W44&lt;&gt;"OK"),1,0)</f>
        <v>0</v>
      </c>
      <c r="BL44" s="55">
        <f>IF(N($AZ44)=0,0,IFERROR(INDEX($AT$6:$AT$1005,MATCH($AZ44,$AY$6:$AY$1005,0)),0))</f>
        <v>1187.10688</v>
      </c>
      <c r="BM44" s="56">
        <f>IF(ISNUMBER(SEARCH("daily max loss",$BG44)),1,0)</f>
        <v>0</v>
      </c>
    </row>
    <row r="45" ht="18" customHeight="1">
      <c r="A45" s="38" t="n"/>
      <c r="B45" s="39" t="n"/>
      <c r="C45" s="40" t="n"/>
      <c r="D45" s="41" t="n"/>
      <c r="E45" s="41" t="n"/>
      <c r="F45" s="41" t="n"/>
      <c r="G45" s="41" t="n"/>
      <c r="H45" s="42" t="n"/>
      <c r="I45" s="42" t="n"/>
      <c r="J45" s="42" t="n"/>
      <c r="K45" s="42" t="n"/>
      <c r="L45" s="41" t="n"/>
      <c r="M45" s="41" t="n"/>
      <c r="N45" s="41" t="n"/>
      <c r="O45" s="43" t="n"/>
      <c r="P45" s="43" t="n"/>
      <c r="Q45" s="44" t="str">
        <f>IF($AM45=0,"",IF(ISNUMBER($AK45),$AK45-N($AL45),""))</f>
        <v/>
      </c>
      <c r="R45" s="45" t="str">
        <f>IF(OR($Q45="",NOT(ISNUMBER($V45))),"",$AK45/$V45)</f>
        <v/>
      </c>
      <c r="S45" s="46" t="str">
        <f>IF($Q45="","",IF(AND(ISNUMBER($R45),ABS(N($R45))&lt;N(Settings!$C$8)),"Scratch",IF($Q45&gt;0,"Win",IF($Q45&lt;0,"Loss","Scratch"))))</f>
        <v/>
      </c>
      <c r="T45" s="47" t="str">
        <f>IF(OR($AM45=0,NOT(ISNUMBER($H45)),NOT(ISNUMBER($I45)),NOT(ISNUMBER($J45))),"",IF($H45=$I45,"",ROUND(ABS($J45-$H45)/ABS($H45-$I45),6)))</f>
        <v/>
      </c>
      <c r="U45" s="48" t="str">
        <f>IF(OR($S45&lt;&gt;"Win",NOT(ISNUMBER($T45)),NOT(ISNUMBER($R45))),"",MAX(0,$T45-$R45))</f>
        <v/>
      </c>
      <c r="V45" s="49" t="str">
        <f>IF(OR($AM45=0,NOT(ISNUMBER($H45)),NOT(ISNUMBER($I45)),NOT(ISNUMBER($G45))),"",IF(OR($AG45="",$AH45=""),"",IF(ROUND(ABS($H45-$I45)*ABS($G45)*$AG45*$AH45,6)=0,"",ROUND(ABS($H45-$I45)*ABS($G45)*$AG45*$AH45,6))))</f>
        <v/>
      </c>
      <c r="W45" s="50" t="str">
        <f>IF($AM45=0,"",IF($BG45="","OK",LEFT($BG45,LEN($BG45)-2)))</f>
        <v/>
      </c>
      <c r="X45" s="41" t="n"/>
      <c r="Y45" s="40" t="n"/>
      <c r="Z45" s="41" t="n"/>
      <c r="AA45" s="41" t="n"/>
      <c r="AB45" s="40" t="n"/>
      <c r="AC45" s="51" t="n"/>
      <c r="AD45" s="51" t="n"/>
      <c r="AE45" s="40" t="n"/>
      <c r="AF45" s="52" t="str">
        <f>IF($AM45=0,"",IF($D45&lt;&gt;"",$D45,IF(IFERROR(INDEX(Accounts!$C$7:$C$16,MATCH($C45,Accounts!$B$7:$B$16,0))&amp;"","")&lt;&gt;"",INDEX(Accounts!$C$7:$C$16,MATCH($C45,Accounts!$B$7:$B$16,0)),Settings!$C$6)))</f>
        <v/>
      </c>
      <c r="AG45" s="53" t="str">
        <f>IF($AM45=0,"",IF(AND($BE45&gt;0,N(INDEX(Instruments!$D$6:$D$205,MAX(1,$BE45)))&gt;0),INDEX(Instruments!$D$6:$D$205,MAX(1,$BE45)),IF(N(INDEX(Settings!$D$14:$D$18,$BF45))&gt;0,INDEX(Settings!$D$14:$D$18,$BF45),"")))</f>
        <v/>
      </c>
      <c r="AH45" s="54" t="str">
        <f>IF($AM45=0,"",IF($AF45&lt;&gt;"Forex",1,IF(MID(UPPER(SUBSTITUTE(TRIM($E45),"/","")),4,3)=UPPER(TRIM(Settings!$C$7)),1,IF(LEFT(UPPER(SUBSTITUTE(TRIM($E45),"/","")),3)=UPPER(TRIM(Settings!$C$7)),IF(AND(ISNUMBER($K45),N($K45)&lt;&gt;0),1/$K45,""),""))))</f>
        <v/>
      </c>
      <c r="AI45" s="55" t="str">
        <f>IF($AM45=0,"",IF(OR(NOT(ISNUMBER($H45)),NOT(ISNUMBER($K45)),NOT(ISNUMBER($G45)),$AG45="",$AH45=""),"",ROUND(($K45-$H45)*IF($F45="Short",-1,1)*$G45*$AG45*$AH45,6)))</f>
        <v/>
      </c>
      <c r="AJ45" s="55" t="str">
        <f>IF($AM45=0,"",IF(INDEX(Settings!$E$14:$E$18,$BF45)="% of notional",IF(OR($AG45="",NOT(ISNUMBER($H45)),NOT(ISNUMBER($G45))),"",ROUND(ABS($H45*$G45*$AG45*N($AH45))*IF($L45="Limit",N(INDEX(Settings!$G$14:$G$18,$BF45)),N(INDEX(Settings!$H$14:$H$18,$BF45)))+IF(ISNUMBER($K45),ABS($K45*$G45*$AG45*N($AH45))*IF($M45="Target",N(INDEX(Settings!$G$14:$G$18,$BF45)),N(INDEX(Settings!$H$14:$H$18,$BF45))),0),6)),IF(NOT(ISNUMBER($G45)),"",ROUND(ABS($G45)*2*IF(AND($BE45&gt;0,ISNUMBER(INDEX(Instruments!$G$6:$G$205,MAX(1,$BE45)))),INDEX(Instruments!$G$6:$G$205,MAX(1,$BE45)),N(INDEX(Settings!$F$14:$F$18,$BF45))),6))))</f>
        <v/>
      </c>
      <c r="AK45" s="55" t="str">
        <f>IF($AM45=0,"",IF(ISNUMBER($O45),$O45,$AI45))</f>
        <v/>
      </c>
      <c r="AL45" s="55" t="str">
        <f>IF($AM45=0,"",IF(ISNUMBER($P45),$P45,N($AJ45)))</f>
        <v/>
      </c>
      <c r="AM45" s="56">
        <f>IF(AND($A45&lt;&gt;"",$E45&lt;&gt;"",OR(AND(ISNUMBER($G45),ISNUMBER($H45),ISNUMBER($K45)),ISNUMBER($O45))),1,0)</f>
        <v>0</v>
      </c>
      <c r="AN45" s="57" t="str">
        <f>IF($A45="","",$A45-WEEKDAY($A45,3))</f>
        <v/>
      </c>
      <c r="AO45" s="56" t="str">
        <f>IF($A45="","",WEEKDAY($A45,2))</f>
        <v/>
      </c>
      <c r="AP45" s="55" t="str">
        <f>IF(OR($AM45=0,$C45=""),"",IFERROR(N(INDEX(Accounts!$E$7:$E$16,MATCH($C45,Accounts!$B$7:$B$16,0))),0)+SUMIFS($Q$6:$Q45,$C$6:$C45,$C45))</f>
        <v/>
      </c>
      <c r="AQ45" s="55" t="str">
        <f>IF(OR($AM45=0,$C45=""),"",SUMIFS($Q$6:$Q$1005,$C$6:$C$1005,$C45,$A$6:$A$1005,$A45))</f>
        <v/>
      </c>
      <c r="AR45" s="55" t="str">
        <f>IF(OR($AM45=0,$C45=""),"",IFERROR(N(INDEX(Accounts!$E$7:$E$16,MATCH($C45,Accounts!$B$7:$B$16,0))),0)+SUMIFS($Q$6:$Q$1005,$C$6:$C$1005,$C45,$A$6:$A$1005,"&lt;="&amp;$A45))</f>
        <v/>
      </c>
      <c r="AS45" s="56">
        <f>IF(OR($AM45=0,$Q45=""),0,IF(AND($A45&gt;=Lists!$W$6,$A45&lt;=Lists!$W$7,OR(Dashboard!$D$6="All accounts",$C45=Dashboard!$D$6),OR(Dashboard!$D$7="All markets",$AF45=Dashboard!$D$7)),1,0))</f>
        <v>0</v>
      </c>
      <c r="AT45" s="55">
        <f>IF($AS45=1,N(AT44)+$Q45,N(AT44))</f>
        <v>1187.10688</v>
      </c>
      <c r="AU45" s="55">
        <f>MAX(N(AU44),$AT45)</f>
        <v>1187.10688</v>
      </c>
      <c r="AV45" s="55">
        <f>$AT45-$AU45</f>
        <v>0</v>
      </c>
      <c r="AW45" s="56">
        <f>IF($AS45=1,IF($S45="Win",N(AW44)+1,IF($S45="Loss",0,N(AW44))),N(AW44))</f>
        <v>5</v>
      </c>
      <c r="AX45" s="56">
        <f>IF($AS45=1,IF($S45="Loss",N(AX44)+1,IF($S45="Win",0,N(AX44))),N(AX44))</f>
        <v>0</v>
      </c>
      <c r="AY45" s="56" t="str">
        <f>IF($AS45=1,COUNTIF($AS$6:$AS45,1),"")</f>
        <v/>
      </c>
      <c r="AZ45" s="56">
        <f>MIN(39,N(Lists!$W$8))</f>
        <v>28</v>
      </c>
      <c r="BA45" s="56">
        <f>IF($AS45=1,IF(COUNTIFS($A$6:$A45,$A45,$AS$6:$AS45,1)=1,1,0),0)</f>
        <v>0</v>
      </c>
      <c r="BB45" s="55" t="str">
        <f>IF($BA45=1,SUMIFS($Q$6:$Q$1005,$A$6:$A$1005,$A45,$AS$6:$AS$1005,1),"")</f>
        <v/>
      </c>
      <c r="BC45" s="56">
        <f>IF(ISNUMBER($R45),1,0)</f>
        <v>0</v>
      </c>
      <c r="BD45" s="55" t="str">
        <f>IF(ISNUMBER($U45),$U45*$V45,"")</f>
        <v/>
      </c>
      <c r="BE45" s="56" t="str">
        <f>IF($AM45=0,"",IFERROR(MATCH($AF45&amp;"|"&amp;UPPER(TRIM($E45)),Lists!$A$6:$A$205,0),0))</f>
        <v/>
      </c>
      <c r="BF45" s="56" t="str">
        <f>IF($AM45=0,"",IFERROR(MATCH($AF45,Settings!$B$14:$B$18,0),IFERROR(MATCH(Settings!$C$6,Settings!$B$14:$B$18,0),1)))</f>
        <v/>
      </c>
      <c r="BG45" s="58" t="str">
        <f>IF($AM45=0,"",IF(NOT(ISNUMBER($I45)),"No stop; ","")&amp;IF(AND(ISNUMBER($H45),ISNUMBER($I45)),IF(OR(AND($F45&lt;&gt;"Short",$I45&gt;=$H45),AND($F45="Short",$I45&lt;=$H45)),"Stop on wrong side; ",""),"")&amp;IF($F45="","No direction; ","")&amp;IF(AND(ISNUMBER(Settings!$C$22),ISNUMBER($V45)),IF($V45&gt;Settings!$C$22,"Risk over max $; ",""),"")&amp;IF(AND(ISNUMBER(Settings!$C$23),ISNUMBER($V45),ISNUMBER($AP45),IFERROR(N(INDEX(Accounts!$E$7:$E$16,MATCH($C45,Accounts!$B$7:$B$16,0))),0)&gt;0),IF($V45&gt;Settings!$C$23*($AP45-N($Q45)),"Risk over max %; ",""),"")&amp;IF(AND(ISNUMBER(Settings!$C$24),ISNUMBER($N45)),IF($N45&gt;Settings!$C$24,"Leverage over max; ",""),"")&amp;IF(AND(ISNUMBER(Settings!$C$27),ISNUMBER($T45)),IF($T45&lt;Settings!$C$27,"R:R below min; ",""),"")&amp;IF(ISNUMBER(Settings!$C$25),IF(COUNTIFS($A$6:$A45,$A45,$AM$6:$AM45,1)&gt;Settings!$C$25,"Over max trades/day; ",""),"")&amp;IF(ISNUMBER(Settings!$C$26),IF(SUMIFS($Q$5:$Q44,$A$5:$A44,$A45)&lt;=-Settings!$C$26,"Traded after daily max loss; ",""),"")&amp;IF(AND($AG45="",NOT(ISNUMBER($O45))),"Symbol not in Instruments; ","")&amp;IF(AND($AH45="",NOT(ISNUMBER($O45))),"Forex cross: type Gross P&amp;L; ",""))</f>
        <v/>
      </c>
      <c r="BH45" s="56">
        <f>IF(ISNUMBER($Q45),1,0)</f>
        <v>0</v>
      </c>
      <c r="BI45" s="56">
        <f>IF($Y45="",0,1)</f>
        <v>0</v>
      </c>
      <c r="BJ45" s="56">
        <f>IF($AB45="",0,1)</f>
        <v>0</v>
      </c>
      <c r="BK45" s="56">
        <f>IF(AND($BH45=1,$W45&lt;&gt;"OK"),1,0)</f>
        <v>0</v>
      </c>
      <c r="BL45" s="55">
        <f>IF(N($AZ45)=0,0,IFERROR(INDEX($AT$6:$AT$1005,MATCH($AZ45,$AY$6:$AY$1005,0)),0))</f>
        <v>1187.10688</v>
      </c>
      <c r="BM45" s="56">
        <f>IF(ISNUMBER(SEARCH("daily max loss",$BG45)),1,0)</f>
        <v>0</v>
      </c>
    </row>
    <row r="46" ht="18" customHeight="1">
      <c r="A46" s="38" t="n"/>
      <c r="B46" s="39" t="n"/>
      <c r="C46" s="40" t="n"/>
      <c r="D46" s="41" t="n"/>
      <c r="E46" s="41" t="n"/>
      <c r="F46" s="41" t="n"/>
      <c r="G46" s="41" t="n"/>
      <c r="H46" s="42" t="n"/>
      <c r="I46" s="42" t="n"/>
      <c r="J46" s="42" t="n"/>
      <c r="K46" s="42" t="n"/>
      <c r="L46" s="41" t="n"/>
      <c r="M46" s="41" t="n"/>
      <c r="N46" s="41" t="n"/>
      <c r="O46" s="43" t="n"/>
      <c r="P46" s="43" t="n"/>
      <c r="Q46" s="44" t="str">
        <f>IF($AM46=0,"",IF(ISNUMBER($AK46),$AK46-N($AL46),""))</f>
        <v/>
      </c>
      <c r="R46" s="45" t="str">
        <f>IF(OR($Q46="",NOT(ISNUMBER($V46))),"",$AK46/$V46)</f>
        <v/>
      </c>
      <c r="S46" s="46" t="str">
        <f>IF($Q46="","",IF(AND(ISNUMBER($R46),ABS(N($R46))&lt;N(Settings!$C$8)),"Scratch",IF($Q46&gt;0,"Win",IF($Q46&lt;0,"Loss","Scratch"))))</f>
        <v/>
      </c>
      <c r="T46" s="47" t="str">
        <f>IF(OR($AM46=0,NOT(ISNUMBER($H46)),NOT(ISNUMBER($I46)),NOT(ISNUMBER($J46))),"",IF($H46=$I46,"",ROUND(ABS($J46-$H46)/ABS($H46-$I46),6)))</f>
        <v/>
      </c>
      <c r="U46" s="48" t="str">
        <f>IF(OR($S46&lt;&gt;"Win",NOT(ISNUMBER($T46)),NOT(ISNUMBER($R46))),"",MAX(0,$T46-$R46))</f>
        <v/>
      </c>
      <c r="V46" s="49" t="str">
        <f>IF(OR($AM46=0,NOT(ISNUMBER($H46)),NOT(ISNUMBER($I46)),NOT(ISNUMBER($G46))),"",IF(OR($AG46="",$AH46=""),"",IF(ROUND(ABS($H46-$I46)*ABS($G46)*$AG46*$AH46,6)=0,"",ROUND(ABS($H46-$I46)*ABS($G46)*$AG46*$AH46,6))))</f>
        <v/>
      </c>
      <c r="W46" s="50" t="str">
        <f>IF($AM46=0,"",IF($BG46="","OK",LEFT($BG46,LEN($BG46)-2)))</f>
        <v/>
      </c>
      <c r="X46" s="41" t="n"/>
      <c r="Y46" s="40" t="n"/>
      <c r="Z46" s="41" t="n"/>
      <c r="AA46" s="41" t="n"/>
      <c r="AB46" s="40" t="n"/>
      <c r="AC46" s="51" t="n"/>
      <c r="AD46" s="51" t="n"/>
      <c r="AE46" s="40" t="n"/>
      <c r="AF46" s="52" t="str">
        <f>IF($AM46=0,"",IF($D46&lt;&gt;"",$D46,IF(IFERROR(INDEX(Accounts!$C$7:$C$16,MATCH($C46,Accounts!$B$7:$B$16,0))&amp;"","")&lt;&gt;"",INDEX(Accounts!$C$7:$C$16,MATCH($C46,Accounts!$B$7:$B$16,0)),Settings!$C$6)))</f>
        <v/>
      </c>
      <c r="AG46" s="53" t="str">
        <f>IF($AM46=0,"",IF(AND($BE46&gt;0,N(INDEX(Instruments!$D$6:$D$205,MAX(1,$BE46)))&gt;0),INDEX(Instruments!$D$6:$D$205,MAX(1,$BE46)),IF(N(INDEX(Settings!$D$14:$D$18,$BF46))&gt;0,INDEX(Settings!$D$14:$D$18,$BF46),"")))</f>
        <v/>
      </c>
      <c r="AH46" s="54" t="str">
        <f>IF($AM46=0,"",IF($AF46&lt;&gt;"Forex",1,IF(MID(UPPER(SUBSTITUTE(TRIM($E46),"/","")),4,3)=UPPER(TRIM(Settings!$C$7)),1,IF(LEFT(UPPER(SUBSTITUTE(TRIM($E46),"/","")),3)=UPPER(TRIM(Settings!$C$7)),IF(AND(ISNUMBER($K46),N($K46)&lt;&gt;0),1/$K46,""),""))))</f>
        <v/>
      </c>
      <c r="AI46" s="55" t="str">
        <f>IF($AM46=0,"",IF(OR(NOT(ISNUMBER($H46)),NOT(ISNUMBER($K46)),NOT(ISNUMBER($G46)),$AG46="",$AH46=""),"",ROUND(($K46-$H46)*IF($F46="Short",-1,1)*$G46*$AG46*$AH46,6)))</f>
        <v/>
      </c>
      <c r="AJ46" s="55" t="str">
        <f>IF($AM46=0,"",IF(INDEX(Settings!$E$14:$E$18,$BF46)="% of notional",IF(OR($AG46="",NOT(ISNUMBER($H46)),NOT(ISNUMBER($G46))),"",ROUND(ABS($H46*$G46*$AG46*N($AH46))*IF($L46="Limit",N(INDEX(Settings!$G$14:$G$18,$BF46)),N(INDEX(Settings!$H$14:$H$18,$BF46)))+IF(ISNUMBER($K46),ABS($K46*$G46*$AG46*N($AH46))*IF($M46="Target",N(INDEX(Settings!$G$14:$G$18,$BF46)),N(INDEX(Settings!$H$14:$H$18,$BF46))),0),6)),IF(NOT(ISNUMBER($G46)),"",ROUND(ABS($G46)*2*IF(AND($BE46&gt;0,ISNUMBER(INDEX(Instruments!$G$6:$G$205,MAX(1,$BE46)))),INDEX(Instruments!$G$6:$G$205,MAX(1,$BE46)),N(INDEX(Settings!$F$14:$F$18,$BF46))),6))))</f>
        <v/>
      </c>
      <c r="AK46" s="55" t="str">
        <f>IF($AM46=0,"",IF(ISNUMBER($O46),$O46,$AI46))</f>
        <v/>
      </c>
      <c r="AL46" s="55" t="str">
        <f>IF($AM46=0,"",IF(ISNUMBER($P46),$P46,N($AJ46)))</f>
        <v/>
      </c>
      <c r="AM46" s="56">
        <f>IF(AND($A46&lt;&gt;"",$E46&lt;&gt;"",OR(AND(ISNUMBER($G46),ISNUMBER($H46),ISNUMBER($K46)),ISNUMBER($O46))),1,0)</f>
        <v>0</v>
      </c>
      <c r="AN46" s="57" t="str">
        <f>IF($A46="","",$A46-WEEKDAY($A46,3))</f>
        <v/>
      </c>
      <c r="AO46" s="56" t="str">
        <f>IF($A46="","",WEEKDAY($A46,2))</f>
        <v/>
      </c>
      <c r="AP46" s="55" t="str">
        <f>IF(OR($AM46=0,$C46=""),"",IFERROR(N(INDEX(Accounts!$E$7:$E$16,MATCH($C46,Accounts!$B$7:$B$16,0))),0)+SUMIFS($Q$6:$Q46,$C$6:$C46,$C46))</f>
        <v/>
      </c>
      <c r="AQ46" s="55" t="str">
        <f>IF(OR($AM46=0,$C46=""),"",SUMIFS($Q$6:$Q$1005,$C$6:$C$1005,$C46,$A$6:$A$1005,$A46))</f>
        <v/>
      </c>
      <c r="AR46" s="55" t="str">
        <f>IF(OR($AM46=0,$C46=""),"",IFERROR(N(INDEX(Accounts!$E$7:$E$16,MATCH($C46,Accounts!$B$7:$B$16,0))),0)+SUMIFS($Q$6:$Q$1005,$C$6:$C$1005,$C46,$A$6:$A$1005,"&lt;="&amp;$A46))</f>
        <v/>
      </c>
      <c r="AS46" s="56">
        <f>IF(OR($AM46=0,$Q46=""),0,IF(AND($A46&gt;=Lists!$W$6,$A46&lt;=Lists!$W$7,OR(Dashboard!$D$6="All accounts",$C46=Dashboard!$D$6),OR(Dashboard!$D$7="All markets",$AF46=Dashboard!$D$7)),1,0))</f>
        <v>0</v>
      </c>
      <c r="AT46" s="55">
        <f>IF($AS46=1,N(AT45)+$Q46,N(AT45))</f>
        <v>1187.10688</v>
      </c>
      <c r="AU46" s="55">
        <f>MAX(N(AU45),$AT46)</f>
        <v>1187.10688</v>
      </c>
      <c r="AV46" s="55">
        <f>$AT46-$AU46</f>
        <v>0</v>
      </c>
      <c r="AW46" s="56">
        <f>IF($AS46=1,IF($S46="Win",N(AW45)+1,IF($S46="Loss",0,N(AW45))),N(AW45))</f>
        <v>5</v>
      </c>
      <c r="AX46" s="56">
        <f>IF($AS46=1,IF($S46="Loss",N(AX45)+1,IF($S46="Win",0,N(AX45))),N(AX45))</f>
        <v>0</v>
      </c>
      <c r="AY46" s="56" t="str">
        <f>IF($AS46=1,COUNTIF($AS$6:$AS46,1),"")</f>
        <v/>
      </c>
      <c r="AZ46" s="56">
        <f>MIN(40,N(Lists!$W$8))</f>
        <v>28</v>
      </c>
      <c r="BA46" s="56">
        <f>IF($AS46=1,IF(COUNTIFS($A$6:$A46,$A46,$AS$6:$AS46,1)=1,1,0),0)</f>
        <v>0</v>
      </c>
      <c r="BB46" s="55" t="str">
        <f>IF($BA46=1,SUMIFS($Q$6:$Q$1005,$A$6:$A$1005,$A46,$AS$6:$AS$1005,1),"")</f>
        <v/>
      </c>
      <c r="BC46" s="56">
        <f>IF(ISNUMBER($R46),1,0)</f>
        <v>0</v>
      </c>
      <c r="BD46" s="55" t="str">
        <f>IF(ISNUMBER($U46),$U46*$V46,"")</f>
        <v/>
      </c>
      <c r="BE46" s="56" t="str">
        <f>IF($AM46=0,"",IFERROR(MATCH($AF46&amp;"|"&amp;UPPER(TRIM($E46)),Lists!$A$6:$A$205,0),0))</f>
        <v/>
      </c>
      <c r="BF46" s="56" t="str">
        <f>IF($AM46=0,"",IFERROR(MATCH($AF46,Settings!$B$14:$B$18,0),IFERROR(MATCH(Settings!$C$6,Settings!$B$14:$B$18,0),1)))</f>
        <v/>
      </c>
      <c r="BG46" s="58" t="str">
        <f>IF($AM46=0,"",IF(NOT(ISNUMBER($I46)),"No stop; ","")&amp;IF(AND(ISNUMBER($H46),ISNUMBER($I46)),IF(OR(AND($F46&lt;&gt;"Short",$I46&gt;=$H46),AND($F46="Short",$I46&lt;=$H46)),"Stop on wrong side; ",""),"")&amp;IF($F46="","No direction; ","")&amp;IF(AND(ISNUMBER(Settings!$C$22),ISNUMBER($V46)),IF($V46&gt;Settings!$C$22,"Risk over max $; ",""),"")&amp;IF(AND(ISNUMBER(Settings!$C$23),ISNUMBER($V46),ISNUMBER($AP46),IFERROR(N(INDEX(Accounts!$E$7:$E$16,MATCH($C46,Accounts!$B$7:$B$16,0))),0)&gt;0),IF($V46&gt;Settings!$C$23*($AP46-N($Q46)),"Risk over max %; ",""),"")&amp;IF(AND(ISNUMBER(Settings!$C$24),ISNUMBER($N46)),IF($N46&gt;Settings!$C$24,"Leverage over max; ",""),"")&amp;IF(AND(ISNUMBER(Settings!$C$27),ISNUMBER($T46)),IF($T46&lt;Settings!$C$27,"R:R below min; ",""),"")&amp;IF(ISNUMBER(Settings!$C$25),IF(COUNTIFS($A$6:$A46,$A46,$AM$6:$AM46,1)&gt;Settings!$C$25,"Over max trades/day; ",""),"")&amp;IF(ISNUMBER(Settings!$C$26),IF(SUMIFS($Q$5:$Q45,$A$5:$A45,$A46)&lt;=-Settings!$C$26,"Traded after daily max loss; ",""),"")&amp;IF(AND($AG46="",NOT(ISNUMBER($O46))),"Symbol not in Instruments; ","")&amp;IF(AND($AH46="",NOT(ISNUMBER($O46))),"Forex cross: type Gross P&amp;L; ",""))</f>
        <v/>
      </c>
      <c r="BH46" s="56">
        <f>IF(ISNUMBER($Q46),1,0)</f>
        <v>0</v>
      </c>
      <c r="BI46" s="56">
        <f>IF($Y46="",0,1)</f>
        <v>0</v>
      </c>
      <c r="BJ46" s="56">
        <f>IF($AB46="",0,1)</f>
        <v>0</v>
      </c>
      <c r="BK46" s="56">
        <f>IF(AND($BH46=1,$W46&lt;&gt;"OK"),1,0)</f>
        <v>0</v>
      </c>
      <c r="BL46" s="55">
        <f>IF(N($AZ46)=0,0,IFERROR(INDEX($AT$6:$AT$1005,MATCH($AZ46,$AY$6:$AY$1005,0)),0))</f>
        <v>1187.10688</v>
      </c>
      <c r="BM46" s="56">
        <f>IF(ISNUMBER(SEARCH("daily max loss",$BG46)),1,0)</f>
        <v>0</v>
      </c>
    </row>
    <row r="47" ht="18" customHeight="1">
      <c r="A47" s="38" t="n"/>
      <c r="B47" s="39" t="n"/>
      <c r="C47" s="40" t="n"/>
      <c r="D47" s="41" t="n"/>
      <c r="E47" s="41" t="n"/>
      <c r="F47" s="41" t="n"/>
      <c r="G47" s="41" t="n"/>
      <c r="H47" s="42" t="n"/>
      <c r="I47" s="42" t="n"/>
      <c r="J47" s="42" t="n"/>
      <c r="K47" s="42" t="n"/>
      <c r="L47" s="41" t="n"/>
      <c r="M47" s="41" t="n"/>
      <c r="N47" s="41" t="n"/>
      <c r="O47" s="43" t="n"/>
      <c r="P47" s="43" t="n"/>
      <c r="Q47" s="44" t="str">
        <f>IF($AM47=0,"",IF(ISNUMBER($AK47),$AK47-N($AL47),""))</f>
        <v/>
      </c>
      <c r="R47" s="45" t="str">
        <f>IF(OR($Q47="",NOT(ISNUMBER($V47))),"",$AK47/$V47)</f>
        <v/>
      </c>
      <c r="S47" s="46" t="str">
        <f>IF($Q47="","",IF(AND(ISNUMBER($R47),ABS(N($R47))&lt;N(Settings!$C$8)),"Scratch",IF($Q47&gt;0,"Win",IF($Q47&lt;0,"Loss","Scratch"))))</f>
        <v/>
      </c>
      <c r="T47" s="47" t="str">
        <f>IF(OR($AM47=0,NOT(ISNUMBER($H47)),NOT(ISNUMBER($I47)),NOT(ISNUMBER($J47))),"",IF($H47=$I47,"",ROUND(ABS($J47-$H47)/ABS($H47-$I47),6)))</f>
        <v/>
      </c>
      <c r="U47" s="48" t="str">
        <f>IF(OR($S47&lt;&gt;"Win",NOT(ISNUMBER($T47)),NOT(ISNUMBER($R47))),"",MAX(0,$T47-$R47))</f>
        <v/>
      </c>
      <c r="V47" s="49" t="str">
        <f>IF(OR($AM47=0,NOT(ISNUMBER($H47)),NOT(ISNUMBER($I47)),NOT(ISNUMBER($G47))),"",IF(OR($AG47="",$AH47=""),"",IF(ROUND(ABS($H47-$I47)*ABS($G47)*$AG47*$AH47,6)=0,"",ROUND(ABS($H47-$I47)*ABS($G47)*$AG47*$AH47,6))))</f>
        <v/>
      </c>
      <c r="W47" s="50" t="str">
        <f>IF($AM47=0,"",IF($BG47="","OK",LEFT($BG47,LEN($BG47)-2)))</f>
        <v/>
      </c>
      <c r="X47" s="41" t="n"/>
      <c r="Y47" s="40" t="n"/>
      <c r="Z47" s="41" t="n"/>
      <c r="AA47" s="41" t="n"/>
      <c r="AB47" s="40" t="n"/>
      <c r="AC47" s="51" t="n"/>
      <c r="AD47" s="51" t="n"/>
      <c r="AE47" s="40" t="n"/>
      <c r="AF47" s="52" t="str">
        <f>IF($AM47=0,"",IF($D47&lt;&gt;"",$D47,IF(IFERROR(INDEX(Accounts!$C$7:$C$16,MATCH($C47,Accounts!$B$7:$B$16,0))&amp;"","")&lt;&gt;"",INDEX(Accounts!$C$7:$C$16,MATCH($C47,Accounts!$B$7:$B$16,0)),Settings!$C$6)))</f>
        <v/>
      </c>
      <c r="AG47" s="53" t="str">
        <f>IF($AM47=0,"",IF(AND($BE47&gt;0,N(INDEX(Instruments!$D$6:$D$205,MAX(1,$BE47)))&gt;0),INDEX(Instruments!$D$6:$D$205,MAX(1,$BE47)),IF(N(INDEX(Settings!$D$14:$D$18,$BF47))&gt;0,INDEX(Settings!$D$14:$D$18,$BF47),"")))</f>
        <v/>
      </c>
      <c r="AH47" s="54" t="str">
        <f>IF($AM47=0,"",IF($AF47&lt;&gt;"Forex",1,IF(MID(UPPER(SUBSTITUTE(TRIM($E47),"/","")),4,3)=UPPER(TRIM(Settings!$C$7)),1,IF(LEFT(UPPER(SUBSTITUTE(TRIM($E47),"/","")),3)=UPPER(TRIM(Settings!$C$7)),IF(AND(ISNUMBER($K47),N($K47)&lt;&gt;0),1/$K47,""),""))))</f>
        <v/>
      </c>
      <c r="AI47" s="55" t="str">
        <f>IF($AM47=0,"",IF(OR(NOT(ISNUMBER($H47)),NOT(ISNUMBER($K47)),NOT(ISNUMBER($G47)),$AG47="",$AH47=""),"",ROUND(($K47-$H47)*IF($F47="Short",-1,1)*$G47*$AG47*$AH47,6)))</f>
        <v/>
      </c>
      <c r="AJ47" s="55" t="str">
        <f>IF($AM47=0,"",IF(INDEX(Settings!$E$14:$E$18,$BF47)="% of notional",IF(OR($AG47="",NOT(ISNUMBER($H47)),NOT(ISNUMBER($G47))),"",ROUND(ABS($H47*$G47*$AG47*N($AH47))*IF($L47="Limit",N(INDEX(Settings!$G$14:$G$18,$BF47)),N(INDEX(Settings!$H$14:$H$18,$BF47)))+IF(ISNUMBER($K47),ABS($K47*$G47*$AG47*N($AH47))*IF($M47="Target",N(INDEX(Settings!$G$14:$G$18,$BF47)),N(INDEX(Settings!$H$14:$H$18,$BF47))),0),6)),IF(NOT(ISNUMBER($G47)),"",ROUND(ABS($G47)*2*IF(AND($BE47&gt;0,ISNUMBER(INDEX(Instruments!$G$6:$G$205,MAX(1,$BE47)))),INDEX(Instruments!$G$6:$G$205,MAX(1,$BE47)),N(INDEX(Settings!$F$14:$F$18,$BF47))),6))))</f>
        <v/>
      </c>
      <c r="AK47" s="55" t="str">
        <f>IF($AM47=0,"",IF(ISNUMBER($O47),$O47,$AI47))</f>
        <v/>
      </c>
      <c r="AL47" s="55" t="str">
        <f>IF($AM47=0,"",IF(ISNUMBER($P47),$P47,N($AJ47)))</f>
        <v/>
      </c>
      <c r="AM47" s="56">
        <f>IF(AND($A47&lt;&gt;"",$E47&lt;&gt;"",OR(AND(ISNUMBER($G47),ISNUMBER($H47),ISNUMBER($K47)),ISNUMBER($O47))),1,0)</f>
        <v>0</v>
      </c>
      <c r="AN47" s="57" t="str">
        <f>IF($A47="","",$A47-WEEKDAY($A47,3))</f>
        <v/>
      </c>
      <c r="AO47" s="56" t="str">
        <f>IF($A47="","",WEEKDAY($A47,2))</f>
        <v/>
      </c>
      <c r="AP47" s="55" t="str">
        <f>IF(OR($AM47=0,$C47=""),"",IFERROR(N(INDEX(Accounts!$E$7:$E$16,MATCH($C47,Accounts!$B$7:$B$16,0))),0)+SUMIFS($Q$6:$Q47,$C$6:$C47,$C47))</f>
        <v/>
      </c>
      <c r="AQ47" s="55" t="str">
        <f>IF(OR($AM47=0,$C47=""),"",SUMIFS($Q$6:$Q$1005,$C$6:$C$1005,$C47,$A$6:$A$1005,$A47))</f>
        <v/>
      </c>
      <c r="AR47" s="55" t="str">
        <f>IF(OR($AM47=0,$C47=""),"",IFERROR(N(INDEX(Accounts!$E$7:$E$16,MATCH($C47,Accounts!$B$7:$B$16,0))),0)+SUMIFS($Q$6:$Q$1005,$C$6:$C$1005,$C47,$A$6:$A$1005,"&lt;="&amp;$A47))</f>
        <v/>
      </c>
      <c r="AS47" s="56">
        <f>IF(OR($AM47=0,$Q47=""),0,IF(AND($A47&gt;=Lists!$W$6,$A47&lt;=Lists!$W$7,OR(Dashboard!$D$6="All accounts",$C47=Dashboard!$D$6),OR(Dashboard!$D$7="All markets",$AF47=Dashboard!$D$7)),1,0))</f>
        <v>0</v>
      </c>
      <c r="AT47" s="55">
        <f>IF($AS47=1,N(AT46)+$Q47,N(AT46))</f>
        <v>1187.10688</v>
      </c>
      <c r="AU47" s="55">
        <f>MAX(N(AU46),$AT47)</f>
        <v>1187.10688</v>
      </c>
      <c r="AV47" s="55">
        <f>$AT47-$AU47</f>
        <v>0</v>
      </c>
      <c r="AW47" s="56">
        <f>IF($AS47=1,IF($S47="Win",N(AW46)+1,IF($S47="Loss",0,N(AW46))),N(AW46))</f>
        <v>5</v>
      </c>
      <c r="AX47" s="56">
        <f>IF($AS47=1,IF($S47="Loss",N(AX46)+1,IF($S47="Win",0,N(AX46))),N(AX46))</f>
        <v>0</v>
      </c>
      <c r="AY47" s="56" t="str">
        <f>IF($AS47=1,COUNTIF($AS$6:$AS47,1),"")</f>
        <v/>
      </c>
      <c r="AZ47" s="56">
        <f>MIN(41,N(Lists!$W$8))</f>
        <v>28</v>
      </c>
      <c r="BA47" s="56">
        <f>IF($AS47=1,IF(COUNTIFS($A$6:$A47,$A47,$AS$6:$AS47,1)=1,1,0),0)</f>
        <v>0</v>
      </c>
      <c r="BB47" s="55" t="str">
        <f>IF($BA47=1,SUMIFS($Q$6:$Q$1005,$A$6:$A$1005,$A47,$AS$6:$AS$1005,1),"")</f>
        <v/>
      </c>
      <c r="BC47" s="56">
        <f>IF(ISNUMBER($R47),1,0)</f>
        <v>0</v>
      </c>
      <c r="BD47" s="55" t="str">
        <f>IF(ISNUMBER($U47),$U47*$V47,"")</f>
        <v/>
      </c>
      <c r="BE47" s="56" t="str">
        <f>IF($AM47=0,"",IFERROR(MATCH($AF47&amp;"|"&amp;UPPER(TRIM($E47)),Lists!$A$6:$A$205,0),0))</f>
        <v/>
      </c>
      <c r="BF47" s="56" t="str">
        <f>IF($AM47=0,"",IFERROR(MATCH($AF47,Settings!$B$14:$B$18,0),IFERROR(MATCH(Settings!$C$6,Settings!$B$14:$B$18,0),1)))</f>
        <v/>
      </c>
      <c r="BG47" s="58" t="str">
        <f>IF($AM47=0,"",IF(NOT(ISNUMBER($I47)),"No stop; ","")&amp;IF(AND(ISNUMBER($H47),ISNUMBER($I47)),IF(OR(AND($F47&lt;&gt;"Short",$I47&gt;=$H47),AND($F47="Short",$I47&lt;=$H47)),"Stop on wrong side; ",""),"")&amp;IF($F47="","No direction; ","")&amp;IF(AND(ISNUMBER(Settings!$C$22),ISNUMBER($V47)),IF($V47&gt;Settings!$C$22,"Risk over max $; ",""),"")&amp;IF(AND(ISNUMBER(Settings!$C$23),ISNUMBER($V47),ISNUMBER($AP47),IFERROR(N(INDEX(Accounts!$E$7:$E$16,MATCH($C47,Accounts!$B$7:$B$16,0))),0)&gt;0),IF($V47&gt;Settings!$C$23*($AP47-N($Q47)),"Risk over max %; ",""),"")&amp;IF(AND(ISNUMBER(Settings!$C$24),ISNUMBER($N47)),IF($N47&gt;Settings!$C$24,"Leverage over max; ",""),"")&amp;IF(AND(ISNUMBER(Settings!$C$27),ISNUMBER($T47)),IF($T47&lt;Settings!$C$27,"R:R below min; ",""),"")&amp;IF(ISNUMBER(Settings!$C$25),IF(COUNTIFS($A$6:$A47,$A47,$AM$6:$AM47,1)&gt;Settings!$C$25,"Over max trades/day; ",""),"")&amp;IF(ISNUMBER(Settings!$C$26),IF(SUMIFS($Q$5:$Q46,$A$5:$A46,$A47)&lt;=-Settings!$C$26,"Traded after daily max loss; ",""),"")&amp;IF(AND($AG47="",NOT(ISNUMBER($O47))),"Symbol not in Instruments; ","")&amp;IF(AND($AH47="",NOT(ISNUMBER($O47))),"Forex cross: type Gross P&amp;L; ",""))</f>
        <v/>
      </c>
      <c r="BH47" s="56">
        <f>IF(ISNUMBER($Q47),1,0)</f>
        <v>0</v>
      </c>
      <c r="BI47" s="56">
        <f>IF($Y47="",0,1)</f>
        <v>0</v>
      </c>
      <c r="BJ47" s="56">
        <f>IF($AB47="",0,1)</f>
        <v>0</v>
      </c>
      <c r="BK47" s="56">
        <f>IF(AND($BH47=1,$W47&lt;&gt;"OK"),1,0)</f>
        <v>0</v>
      </c>
      <c r="BL47" s="55">
        <f>IF(N($AZ47)=0,0,IFERROR(INDEX($AT$6:$AT$1005,MATCH($AZ47,$AY$6:$AY$1005,0)),0))</f>
        <v>1187.10688</v>
      </c>
      <c r="BM47" s="56">
        <f>IF(ISNUMBER(SEARCH("daily max loss",$BG47)),1,0)</f>
        <v>0</v>
      </c>
    </row>
    <row r="48" ht="18" customHeight="1">
      <c r="A48" s="38" t="n"/>
      <c r="B48" s="39" t="n"/>
      <c r="C48" s="40" t="n"/>
      <c r="D48" s="41" t="n"/>
      <c r="E48" s="41" t="n"/>
      <c r="F48" s="41" t="n"/>
      <c r="G48" s="41" t="n"/>
      <c r="H48" s="42" t="n"/>
      <c r="I48" s="42" t="n"/>
      <c r="J48" s="42" t="n"/>
      <c r="K48" s="42" t="n"/>
      <c r="L48" s="41" t="n"/>
      <c r="M48" s="41" t="n"/>
      <c r="N48" s="41" t="n"/>
      <c r="O48" s="43" t="n"/>
      <c r="P48" s="43" t="n"/>
      <c r="Q48" s="44" t="str">
        <f>IF($AM48=0,"",IF(ISNUMBER($AK48),$AK48-N($AL48),""))</f>
        <v/>
      </c>
      <c r="R48" s="45" t="str">
        <f>IF(OR($Q48="",NOT(ISNUMBER($V48))),"",$AK48/$V48)</f>
        <v/>
      </c>
      <c r="S48" s="46" t="str">
        <f>IF($Q48="","",IF(AND(ISNUMBER($R48),ABS(N($R48))&lt;N(Settings!$C$8)),"Scratch",IF($Q48&gt;0,"Win",IF($Q48&lt;0,"Loss","Scratch"))))</f>
        <v/>
      </c>
      <c r="T48" s="47" t="str">
        <f>IF(OR($AM48=0,NOT(ISNUMBER($H48)),NOT(ISNUMBER($I48)),NOT(ISNUMBER($J48))),"",IF($H48=$I48,"",ROUND(ABS($J48-$H48)/ABS($H48-$I48),6)))</f>
        <v/>
      </c>
      <c r="U48" s="48" t="str">
        <f>IF(OR($S48&lt;&gt;"Win",NOT(ISNUMBER($T48)),NOT(ISNUMBER($R48))),"",MAX(0,$T48-$R48))</f>
        <v/>
      </c>
      <c r="V48" s="49" t="str">
        <f>IF(OR($AM48=0,NOT(ISNUMBER($H48)),NOT(ISNUMBER($I48)),NOT(ISNUMBER($G48))),"",IF(OR($AG48="",$AH48=""),"",IF(ROUND(ABS($H48-$I48)*ABS($G48)*$AG48*$AH48,6)=0,"",ROUND(ABS($H48-$I48)*ABS($G48)*$AG48*$AH48,6))))</f>
        <v/>
      </c>
      <c r="W48" s="50" t="str">
        <f>IF($AM48=0,"",IF($BG48="","OK",LEFT($BG48,LEN($BG48)-2)))</f>
        <v/>
      </c>
      <c r="X48" s="41" t="n"/>
      <c r="Y48" s="40" t="n"/>
      <c r="Z48" s="41" t="n"/>
      <c r="AA48" s="41" t="n"/>
      <c r="AB48" s="40" t="n"/>
      <c r="AC48" s="51" t="n"/>
      <c r="AD48" s="51" t="n"/>
      <c r="AE48" s="40" t="n"/>
      <c r="AF48" s="52" t="str">
        <f>IF($AM48=0,"",IF($D48&lt;&gt;"",$D48,IF(IFERROR(INDEX(Accounts!$C$7:$C$16,MATCH($C48,Accounts!$B$7:$B$16,0))&amp;"","")&lt;&gt;"",INDEX(Accounts!$C$7:$C$16,MATCH($C48,Accounts!$B$7:$B$16,0)),Settings!$C$6)))</f>
        <v/>
      </c>
      <c r="AG48" s="53" t="str">
        <f>IF($AM48=0,"",IF(AND($BE48&gt;0,N(INDEX(Instruments!$D$6:$D$205,MAX(1,$BE48)))&gt;0),INDEX(Instruments!$D$6:$D$205,MAX(1,$BE48)),IF(N(INDEX(Settings!$D$14:$D$18,$BF48))&gt;0,INDEX(Settings!$D$14:$D$18,$BF48),"")))</f>
        <v/>
      </c>
      <c r="AH48" s="54" t="str">
        <f>IF($AM48=0,"",IF($AF48&lt;&gt;"Forex",1,IF(MID(UPPER(SUBSTITUTE(TRIM($E48),"/","")),4,3)=UPPER(TRIM(Settings!$C$7)),1,IF(LEFT(UPPER(SUBSTITUTE(TRIM($E48),"/","")),3)=UPPER(TRIM(Settings!$C$7)),IF(AND(ISNUMBER($K48),N($K48)&lt;&gt;0),1/$K48,""),""))))</f>
        <v/>
      </c>
      <c r="AI48" s="55" t="str">
        <f>IF($AM48=0,"",IF(OR(NOT(ISNUMBER($H48)),NOT(ISNUMBER($K48)),NOT(ISNUMBER($G48)),$AG48="",$AH48=""),"",ROUND(($K48-$H48)*IF($F48="Short",-1,1)*$G48*$AG48*$AH48,6)))</f>
        <v/>
      </c>
      <c r="AJ48" s="55" t="str">
        <f>IF($AM48=0,"",IF(INDEX(Settings!$E$14:$E$18,$BF48)="% of notional",IF(OR($AG48="",NOT(ISNUMBER($H48)),NOT(ISNUMBER($G48))),"",ROUND(ABS($H48*$G48*$AG48*N($AH48))*IF($L48="Limit",N(INDEX(Settings!$G$14:$G$18,$BF48)),N(INDEX(Settings!$H$14:$H$18,$BF48)))+IF(ISNUMBER($K48),ABS($K48*$G48*$AG48*N($AH48))*IF($M48="Target",N(INDEX(Settings!$G$14:$G$18,$BF48)),N(INDEX(Settings!$H$14:$H$18,$BF48))),0),6)),IF(NOT(ISNUMBER($G48)),"",ROUND(ABS($G48)*2*IF(AND($BE48&gt;0,ISNUMBER(INDEX(Instruments!$G$6:$G$205,MAX(1,$BE48)))),INDEX(Instruments!$G$6:$G$205,MAX(1,$BE48)),N(INDEX(Settings!$F$14:$F$18,$BF48))),6))))</f>
        <v/>
      </c>
      <c r="AK48" s="55" t="str">
        <f>IF($AM48=0,"",IF(ISNUMBER($O48),$O48,$AI48))</f>
        <v/>
      </c>
      <c r="AL48" s="55" t="str">
        <f>IF($AM48=0,"",IF(ISNUMBER($P48),$P48,N($AJ48)))</f>
        <v/>
      </c>
      <c r="AM48" s="56">
        <f>IF(AND($A48&lt;&gt;"",$E48&lt;&gt;"",OR(AND(ISNUMBER($G48),ISNUMBER($H48),ISNUMBER($K48)),ISNUMBER($O48))),1,0)</f>
        <v>0</v>
      </c>
      <c r="AN48" s="57" t="str">
        <f>IF($A48="","",$A48-WEEKDAY($A48,3))</f>
        <v/>
      </c>
      <c r="AO48" s="56" t="str">
        <f>IF($A48="","",WEEKDAY($A48,2))</f>
        <v/>
      </c>
      <c r="AP48" s="55" t="str">
        <f>IF(OR($AM48=0,$C48=""),"",IFERROR(N(INDEX(Accounts!$E$7:$E$16,MATCH($C48,Accounts!$B$7:$B$16,0))),0)+SUMIFS($Q$6:$Q48,$C$6:$C48,$C48))</f>
        <v/>
      </c>
      <c r="AQ48" s="55" t="str">
        <f>IF(OR($AM48=0,$C48=""),"",SUMIFS($Q$6:$Q$1005,$C$6:$C$1005,$C48,$A$6:$A$1005,$A48))</f>
        <v/>
      </c>
      <c r="AR48" s="55" t="str">
        <f>IF(OR($AM48=0,$C48=""),"",IFERROR(N(INDEX(Accounts!$E$7:$E$16,MATCH($C48,Accounts!$B$7:$B$16,0))),0)+SUMIFS($Q$6:$Q$1005,$C$6:$C$1005,$C48,$A$6:$A$1005,"&lt;="&amp;$A48))</f>
        <v/>
      </c>
      <c r="AS48" s="56">
        <f>IF(OR($AM48=0,$Q48=""),0,IF(AND($A48&gt;=Lists!$W$6,$A48&lt;=Lists!$W$7,OR(Dashboard!$D$6="All accounts",$C48=Dashboard!$D$6),OR(Dashboard!$D$7="All markets",$AF48=Dashboard!$D$7)),1,0))</f>
        <v>0</v>
      </c>
      <c r="AT48" s="55">
        <f>IF($AS48=1,N(AT47)+$Q48,N(AT47))</f>
        <v>1187.10688</v>
      </c>
      <c r="AU48" s="55">
        <f>MAX(N(AU47),$AT48)</f>
        <v>1187.10688</v>
      </c>
      <c r="AV48" s="55">
        <f>$AT48-$AU48</f>
        <v>0</v>
      </c>
      <c r="AW48" s="56">
        <f>IF($AS48=1,IF($S48="Win",N(AW47)+1,IF($S48="Loss",0,N(AW47))),N(AW47))</f>
        <v>5</v>
      </c>
      <c r="AX48" s="56">
        <f>IF($AS48=1,IF($S48="Loss",N(AX47)+1,IF($S48="Win",0,N(AX47))),N(AX47))</f>
        <v>0</v>
      </c>
      <c r="AY48" s="56" t="str">
        <f>IF($AS48=1,COUNTIF($AS$6:$AS48,1),"")</f>
        <v/>
      </c>
      <c r="AZ48" s="56">
        <f>MIN(42,N(Lists!$W$8))</f>
        <v>28</v>
      </c>
      <c r="BA48" s="56">
        <f>IF($AS48=1,IF(COUNTIFS($A$6:$A48,$A48,$AS$6:$AS48,1)=1,1,0),0)</f>
        <v>0</v>
      </c>
      <c r="BB48" s="55" t="str">
        <f>IF($BA48=1,SUMIFS($Q$6:$Q$1005,$A$6:$A$1005,$A48,$AS$6:$AS$1005,1),"")</f>
        <v/>
      </c>
      <c r="BC48" s="56">
        <f>IF(ISNUMBER($R48),1,0)</f>
        <v>0</v>
      </c>
      <c r="BD48" s="55" t="str">
        <f>IF(ISNUMBER($U48),$U48*$V48,"")</f>
        <v/>
      </c>
      <c r="BE48" s="56" t="str">
        <f>IF($AM48=0,"",IFERROR(MATCH($AF48&amp;"|"&amp;UPPER(TRIM($E48)),Lists!$A$6:$A$205,0),0))</f>
        <v/>
      </c>
      <c r="BF48" s="56" t="str">
        <f>IF($AM48=0,"",IFERROR(MATCH($AF48,Settings!$B$14:$B$18,0),IFERROR(MATCH(Settings!$C$6,Settings!$B$14:$B$18,0),1)))</f>
        <v/>
      </c>
      <c r="BG48" s="58" t="str">
        <f>IF($AM48=0,"",IF(NOT(ISNUMBER($I48)),"No stop; ","")&amp;IF(AND(ISNUMBER($H48),ISNUMBER($I48)),IF(OR(AND($F48&lt;&gt;"Short",$I48&gt;=$H48),AND($F48="Short",$I48&lt;=$H48)),"Stop on wrong side; ",""),"")&amp;IF($F48="","No direction; ","")&amp;IF(AND(ISNUMBER(Settings!$C$22),ISNUMBER($V48)),IF($V48&gt;Settings!$C$22,"Risk over max $; ",""),"")&amp;IF(AND(ISNUMBER(Settings!$C$23),ISNUMBER($V48),ISNUMBER($AP48),IFERROR(N(INDEX(Accounts!$E$7:$E$16,MATCH($C48,Accounts!$B$7:$B$16,0))),0)&gt;0),IF($V48&gt;Settings!$C$23*($AP48-N($Q48)),"Risk over max %; ",""),"")&amp;IF(AND(ISNUMBER(Settings!$C$24),ISNUMBER($N48)),IF($N48&gt;Settings!$C$24,"Leverage over max; ",""),"")&amp;IF(AND(ISNUMBER(Settings!$C$27),ISNUMBER($T48)),IF($T48&lt;Settings!$C$27,"R:R below min; ",""),"")&amp;IF(ISNUMBER(Settings!$C$25),IF(COUNTIFS($A$6:$A48,$A48,$AM$6:$AM48,1)&gt;Settings!$C$25,"Over max trades/day; ",""),"")&amp;IF(ISNUMBER(Settings!$C$26),IF(SUMIFS($Q$5:$Q47,$A$5:$A47,$A48)&lt;=-Settings!$C$26,"Traded after daily max loss; ",""),"")&amp;IF(AND($AG48="",NOT(ISNUMBER($O48))),"Symbol not in Instruments; ","")&amp;IF(AND($AH48="",NOT(ISNUMBER($O48))),"Forex cross: type Gross P&amp;L; ",""))</f>
        <v/>
      </c>
      <c r="BH48" s="56">
        <f>IF(ISNUMBER($Q48),1,0)</f>
        <v>0</v>
      </c>
      <c r="BI48" s="56">
        <f>IF($Y48="",0,1)</f>
        <v>0</v>
      </c>
      <c r="BJ48" s="56">
        <f>IF($AB48="",0,1)</f>
        <v>0</v>
      </c>
      <c r="BK48" s="56">
        <f>IF(AND($BH48=1,$W48&lt;&gt;"OK"),1,0)</f>
        <v>0</v>
      </c>
      <c r="BL48" s="55">
        <f>IF(N($AZ48)=0,0,IFERROR(INDEX($AT$6:$AT$1005,MATCH($AZ48,$AY$6:$AY$1005,0)),0))</f>
        <v>1187.10688</v>
      </c>
      <c r="BM48" s="56">
        <f>IF(ISNUMBER(SEARCH("daily max loss",$BG48)),1,0)</f>
        <v>0</v>
      </c>
    </row>
    <row r="49" ht="18" customHeight="1">
      <c r="A49" s="38" t="n"/>
      <c r="B49" s="39" t="n"/>
      <c r="C49" s="40" t="n"/>
      <c r="D49" s="41" t="n"/>
      <c r="E49" s="41" t="n"/>
      <c r="F49" s="41" t="n"/>
      <c r="G49" s="41" t="n"/>
      <c r="H49" s="42" t="n"/>
      <c r="I49" s="42" t="n"/>
      <c r="J49" s="42" t="n"/>
      <c r="K49" s="42" t="n"/>
      <c r="L49" s="41" t="n"/>
      <c r="M49" s="41" t="n"/>
      <c r="N49" s="41" t="n"/>
      <c r="O49" s="43" t="n"/>
      <c r="P49" s="43" t="n"/>
      <c r="Q49" s="44" t="str">
        <f>IF($AM49=0,"",IF(ISNUMBER($AK49),$AK49-N($AL49),""))</f>
        <v/>
      </c>
      <c r="R49" s="45" t="str">
        <f>IF(OR($Q49="",NOT(ISNUMBER($V49))),"",$AK49/$V49)</f>
        <v/>
      </c>
      <c r="S49" s="46" t="str">
        <f>IF($Q49="","",IF(AND(ISNUMBER($R49),ABS(N($R49))&lt;N(Settings!$C$8)),"Scratch",IF($Q49&gt;0,"Win",IF($Q49&lt;0,"Loss","Scratch"))))</f>
        <v/>
      </c>
      <c r="T49" s="47" t="str">
        <f>IF(OR($AM49=0,NOT(ISNUMBER($H49)),NOT(ISNUMBER($I49)),NOT(ISNUMBER($J49))),"",IF($H49=$I49,"",ROUND(ABS($J49-$H49)/ABS($H49-$I49),6)))</f>
        <v/>
      </c>
      <c r="U49" s="48" t="str">
        <f>IF(OR($S49&lt;&gt;"Win",NOT(ISNUMBER($T49)),NOT(ISNUMBER($R49))),"",MAX(0,$T49-$R49))</f>
        <v/>
      </c>
      <c r="V49" s="49" t="str">
        <f>IF(OR($AM49=0,NOT(ISNUMBER($H49)),NOT(ISNUMBER($I49)),NOT(ISNUMBER($G49))),"",IF(OR($AG49="",$AH49=""),"",IF(ROUND(ABS($H49-$I49)*ABS($G49)*$AG49*$AH49,6)=0,"",ROUND(ABS($H49-$I49)*ABS($G49)*$AG49*$AH49,6))))</f>
        <v/>
      </c>
      <c r="W49" s="50" t="str">
        <f>IF($AM49=0,"",IF($BG49="","OK",LEFT($BG49,LEN($BG49)-2)))</f>
        <v/>
      </c>
      <c r="X49" s="41" t="n"/>
      <c r="Y49" s="40" t="n"/>
      <c r="Z49" s="41" t="n"/>
      <c r="AA49" s="41" t="n"/>
      <c r="AB49" s="40" t="n"/>
      <c r="AC49" s="51" t="n"/>
      <c r="AD49" s="51" t="n"/>
      <c r="AE49" s="40" t="n"/>
      <c r="AF49" s="52" t="str">
        <f>IF($AM49=0,"",IF($D49&lt;&gt;"",$D49,IF(IFERROR(INDEX(Accounts!$C$7:$C$16,MATCH($C49,Accounts!$B$7:$B$16,0))&amp;"","")&lt;&gt;"",INDEX(Accounts!$C$7:$C$16,MATCH($C49,Accounts!$B$7:$B$16,0)),Settings!$C$6)))</f>
        <v/>
      </c>
      <c r="AG49" s="53" t="str">
        <f>IF($AM49=0,"",IF(AND($BE49&gt;0,N(INDEX(Instruments!$D$6:$D$205,MAX(1,$BE49)))&gt;0),INDEX(Instruments!$D$6:$D$205,MAX(1,$BE49)),IF(N(INDEX(Settings!$D$14:$D$18,$BF49))&gt;0,INDEX(Settings!$D$14:$D$18,$BF49),"")))</f>
        <v/>
      </c>
      <c r="AH49" s="54" t="str">
        <f>IF($AM49=0,"",IF($AF49&lt;&gt;"Forex",1,IF(MID(UPPER(SUBSTITUTE(TRIM($E49),"/","")),4,3)=UPPER(TRIM(Settings!$C$7)),1,IF(LEFT(UPPER(SUBSTITUTE(TRIM($E49),"/","")),3)=UPPER(TRIM(Settings!$C$7)),IF(AND(ISNUMBER($K49),N($K49)&lt;&gt;0),1/$K49,""),""))))</f>
        <v/>
      </c>
      <c r="AI49" s="55" t="str">
        <f>IF($AM49=0,"",IF(OR(NOT(ISNUMBER($H49)),NOT(ISNUMBER($K49)),NOT(ISNUMBER($G49)),$AG49="",$AH49=""),"",ROUND(($K49-$H49)*IF($F49="Short",-1,1)*$G49*$AG49*$AH49,6)))</f>
        <v/>
      </c>
      <c r="AJ49" s="55" t="str">
        <f>IF($AM49=0,"",IF(INDEX(Settings!$E$14:$E$18,$BF49)="% of notional",IF(OR($AG49="",NOT(ISNUMBER($H49)),NOT(ISNUMBER($G49))),"",ROUND(ABS($H49*$G49*$AG49*N($AH49))*IF($L49="Limit",N(INDEX(Settings!$G$14:$G$18,$BF49)),N(INDEX(Settings!$H$14:$H$18,$BF49)))+IF(ISNUMBER($K49),ABS($K49*$G49*$AG49*N($AH49))*IF($M49="Target",N(INDEX(Settings!$G$14:$G$18,$BF49)),N(INDEX(Settings!$H$14:$H$18,$BF49))),0),6)),IF(NOT(ISNUMBER($G49)),"",ROUND(ABS($G49)*2*IF(AND($BE49&gt;0,ISNUMBER(INDEX(Instruments!$G$6:$G$205,MAX(1,$BE49)))),INDEX(Instruments!$G$6:$G$205,MAX(1,$BE49)),N(INDEX(Settings!$F$14:$F$18,$BF49))),6))))</f>
        <v/>
      </c>
      <c r="AK49" s="55" t="str">
        <f>IF($AM49=0,"",IF(ISNUMBER($O49),$O49,$AI49))</f>
        <v/>
      </c>
      <c r="AL49" s="55" t="str">
        <f>IF($AM49=0,"",IF(ISNUMBER($P49),$P49,N($AJ49)))</f>
        <v/>
      </c>
      <c r="AM49" s="56">
        <f>IF(AND($A49&lt;&gt;"",$E49&lt;&gt;"",OR(AND(ISNUMBER($G49),ISNUMBER($H49),ISNUMBER($K49)),ISNUMBER($O49))),1,0)</f>
        <v>0</v>
      </c>
      <c r="AN49" s="57" t="str">
        <f>IF($A49="","",$A49-WEEKDAY($A49,3))</f>
        <v/>
      </c>
      <c r="AO49" s="56" t="str">
        <f>IF($A49="","",WEEKDAY($A49,2))</f>
        <v/>
      </c>
      <c r="AP49" s="55" t="str">
        <f>IF(OR($AM49=0,$C49=""),"",IFERROR(N(INDEX(Accounts!$E$7:$E$16,MATCH($C49,Accounts!$B$7:$B$16,0))),0)+SUMIFS($Q$6:$Q49,$C$6:$C49,$C49))</f>
        <v/>
      </c>
      <c r="AQ49" s="55" t="str">
        <f>IF(OR($AM49=0,$C49=""),"",SUMIFS($Q$6:$Q$1005,$C$6:$C$1005,$C49,$A$6:$A$1005,$A49))</f>
        <v/>
      </c>
      <c r="AR49" s="55" t="str">
        <f>IF(OR($AM49=0,$C49=""),"",IFERROR(N(INDEX(Accounts!$E$7:$E$16,MATCH($C49,Accounts!$B$7:$B$16,0))),0)+SUMIFS($Q$6:$Q$1005,$C$6:$C$1005,$C49,$A$6:$A$1005,"&lt;="&amp;$A49))</f>
        <v/>
      </c>
      <c r="AS49" s="56">
        <f>IF(OR($AM49=0,$Q49=""),0,IF(AND($A49&gt;=Lists!$W$6,$A49&lt;=Lists!$W$7,OR(Dashboard!$D$6="All accounts",$C49=Dashboard!$D$6),OR(Dashboard!$D$7="All markets",$AF49=Dashboard!$D$7)),1,0))</f>
        <v>0</v>
      </c>
      <c r="AT49" s="55">
        <f>IF($AS49=1,N(AT48)+$Q49,N(AT48))</f>
        <v>1187.10688</v>
      </c>
      <c r="AU49" s="55">
        <f>MAX(N(AU48),$AT49)</f>
        <v>1187.10688</v>
      </c>
      <c r="AV49" s="55">
        <f>$AT49-$AU49</f>
        <v>0</v>
      </c>
      <c r="AW49" s="56">
        <f>IF($AS49=1,IF($S49="Win",N(AW48)+1,IF($S49="Loss",0,N(AW48))),N(AW48))</f>
        <v>5</v>
      </c>
      <c r="AX49" s="56">
        <f>IF($AS49=1,IF($S49="Loss",N(AX48)+1,IF($S49="Win",0,N(AX48))),N(AX48))</f>
        <v>0</v>
      </c>
      <c r="AY49" s="56" t="str">
        <f>IF($AS49=1,COUNTIF($AS$6:$AS49,1),"")</f>
        <v/>
      </c>
      <c r="AZ49" s="56">
        <f>MIN(43,N(Lists!$W$8))</f>
        <v>28</v>
      </c>
      <c r="BA49" s="56">
        <f>IF($AS49=1,IF(COUNTIFS($A$6:$A49,$A49,$AS$6:$AS49,1)=1,1,0),0)</f>
        <v>0</v>
      </c>
      <c r="BB49" s="55" t="str">
        <f>IF($BA49=1,SUMIFS($Q$6:$Q$1005,$A$6:$A$1005,$A49,$AS$6:$AS$1005,1),"")</f>
        <v/>
      </c>
      <c r="BC49" s="56">
        <f>IF(ISNUMBER($R49),1,0)</f>
        <v>0</v>
      </c>
      <c r="BD49" s="55" t="str">
        <f>IF(ISNUMBER($U49),$U49*$V49,"")</f>
        <v/>
      </c>
      <c r="BE49" s="56" t="str">
        <f>IF($AM49=0,"",IFERROR(MATCH($AF49&amp;"|"&amp;UPPER(TRIM($E49)),Lists!$A$6:$A$205,0),0))</f>
        <v/>
      </c>
      <c r="BF49" s="56" t="str">
        <f>IF($AM49=0,"",IFERROR(MATCH($AF49,Settings!$B$14:$B$18,0),IFERROR(MATCH(Settings!$C$6,Settings!$B$14:$B$18,0),1)))</f>
        <v/>
      </c>
      <c r="BG49" s="58" t="str">
        <f>IF($AM49=0,"",IF(NOT(ISNUMBER($I49)),"No stop; ","")&amp;IF(AND(ISNUMBER($H49),ISNUMBER($I49)),IF(OR(AND($F49&lt;&gt;"Short",$I49&gt;=$H49),AND($F49="Short",$I49&lt;=$H49)),"Stop on wrong side; ",""),"")&amp;IF($F49="","No direction; ","")&amp;IF(AND(ISNUMBER(Settings!$C$22),ISNUMBER($V49)),IF($V49&gt;Settings!$C$22,"Risk over max $; ",""),"")&amp;IF(AND(ISNUMBER(Settings!$C$23),ISNUMBER($V49),ISNUMBER($AP49),IFERROR(N(INDEX(Accounts!$E$7:$E$16,MATCH($C49,Accounts!$B$7:$B$16,0))),0)&gt;0),IF($V49&gt;Settings!$C$23*($AP49-N($Q49)),"Risk over max %; ",""),"")&amp;IF(AND(ISNUMBER(Settings!$C$24),ISNUMBER($N49)),IF($N49&gt;Settings!$C$24,"Leverage over max; ",""),"")&amp;IF(AND(ISNUMBER(Settings!$C$27),ISNUMBER($T49)),IF($T49&lt;Settings!$C$27,"R:R below min; ",""),"")&amp;IF(ISNUMBER(Settings!$C$25),IF(COUNTIFS($A$6:$A49,$A49,$AM$6:$AM49,1)&gt;Settings!$C$25,"Over max trades/day; ",""),"")&amp;IF(ISNUMBER(Settings!$C$26),IF(SUMIFS($Q$5:$Q48,$A$5:$A48,$A49)&lt;=-Settings!$C$26,"Traded after daily max loss; ",""),"")&amp;IF(AND($AG49="",NOT(ISNUMBER($O49))),"Symbol not in Instruments; ","")&amp;IF(AND($AH49="",NOT(ISNUMBER($O49))),"Forex cross: type Gross P&amp;L; ",""))</f>
        <v/>
      </c>
      <c r="BH49" s="56">
        <f>IF(ISNUMBER($Q49),1,0)</f>
        <v>0</v>
      </c>
      <c r="BI49" s="56">
        <f>IF($Y49="",0,1)</f>
        <v>0</v>
      </c>
      <c r="BJ49" s="56">
        <f>IF($AB49="",0,1)</f>
        <v>0</v>
      </c>
      <c r="BK49" s="56">
        <f>IF(AND($BH49=1,$W49&lt;&gt;"OK"),1,0)</f>
        <v>0</v>
      </c>
      <c r="BL49" s="55">
        <f>IF(N($AZ49)=0,0,IFERROR(INDEX($AT$6:$AT$1005,MATCH($AZ49,$AY$6:$AY$1005,0)),0))</f>
        <v>1187.10688</v>
      </c>
      <c r="BM49" s="56">
        <f>IF(ISNUMBER(SEARCH("daily max loss",$BG49)),1,0)</f>
        <v>0</v>
      </c>
    </row>
    <row r="50" ht="18" customHeight="1">
      <c r="A50" s="38" t="n"/>
      <c r="B50" s="39" t="n"/>
      <c r="C50" s="40" t="n"/>
      <c r="D50" s="41" t="n"/>
      <c r="E50" s="41" t="n"/>
      <c r="F50" s="41" t="n"/>
      <c r="G50" s="41" t="n"/>
      <c r="H50" s="42" t="n"/>
      <c r="I50" s="42" t="n"/>
      <c r="J50" s="42" t="n"/>
      <c r="K50" s="42" t="n"/>
      <c r="L50" s="41" t="n"/>
      <c r="M50" s="41" t="n"/>
      <c r="N50" s="41" t="n"/>
      <c r="O50" s="43" t="n"/>
      <c r="P50" s="43" t="n"/>
      <c r="Q50" s="44" t="str">
        <f>IF($AM50=0,"",IF(ISNUMBER($AK50),$AK50-N($AL50),""))</f>
        <v/>
      </c>
      <c r="R50" s="45" t="str">
        <f>IF(OR($Q50="",NOT(ISNUMBER($V50))),"",$AK50/$V50)</f>
        <v/>
      </c>
      <c r="S50" s="46" t="str">
        <f>IF($Q50="","",IF(AND(ISNUMBER($R50),ABS(N($R50))&lt;N(Settings!$C$8)),"Scratch",IF($Q50&gt;0,"Win",IF($Q50&lt;0,"Loss","Scratch"))))</f>
        <v/>
      </c>
      <c r="T50" s="47" t="str">
        <f>IF(OR($AM50=0,NOT(ISNUMBER($H50)),NOT(ISNUMBER($I50)),NOT(ISNUMBER($J50))),"",IF($H50=$I50,"",ROUND(ABS($J50-$H50)/ABS($H50-$I50),6)))</f>
        <v/>
      </c>
      <c r="U50" s="48" t="str">
        <f>IF(OR($S50&lt;&gt;"Win",NOT(ISNUMBER($T50)),NOT(ISNUMBER($R50))),"",MAX(0,$T50-$R50))</f>
        <v/>
      </c>
      <c r="V50" s="49" t="str">
        <f>IF(OR($AM50=0,NOT(ISNUMBER($H50)),NOT(ISNUMBER($I50)),NOT(ISNUMBER($G50))),"",IF(OR($AG50="",$AH50=""),"",IF(ROUND(ABS($H50-$I50)*ABS($G50)*$AG50*$AH50,6)=0,"",ROUND(ABS($H50-$I50)*ABS($G50)*$AG50*$AH50,6))))</f>
        <v/>
      </c>
      <c r="W50" s="50" t="str">
        <f>IF($AM50=0,"",IF($BG50="","OK",LEFT($BG50,LEN($BG50)-2)))</f>
        <v/>
      </c>
      <c r="X50" s="41" t="n"/>
      <c r="Y50" s="40" t="n"/>
      <c r="Z50" s="41" t="n"/>
      <c r="AA50" s="41" t="n"/>
      <c r="AB50" s="40" t="n"/>
      <c r="AC50" s="51" t="n"/>
      <c r="AD50" s="51" t="n"/>
      <c r="AE50" s="40" t="n"/>
      <c r="AF50" s="52" t="str">
        <f>IF($AM50=0,"",IF($D50&lt;&gt;"",$D50,IF(IFERROR(INDEX(Accounts!$C$7:$C$16,MATCH($C50,Accounts!$B$7:$B$16,0))&amp;"","")&lt;&gt;"",INDEX(Accounts!$C$7:$C$16,MATCH($C50,Accounts!$B$7:$B$16,0)),Settings!$C$6)))</f>
        <v/>
      </c>
      <c r="AG50" s="53" t="str">
        <f>IF($AM50=0,"",IF(AND($BE50&gt;0,N(INDEX(Instruments!$D$6:$D$205,MAX(1,$BE50)))&gt;0),INDEX(Instruments!$D$6:$D$205,MAX(1,$BE50)),IF(N(INDEX(Settings!$D$14:$D$18,$BF50))&gt;0,INDEX(Settings!$D$14:$D$18,$BF50),"")))</f>
        <v/>
      </c>
      <c r="AH50" s="54" t="str">
        <f>IF($AM50=0,"",IF($AF50&lt;&gt;"Forex",1,IF(MID(UPPER(SUBSTITUTE(TRIM($E50),"/","")),4,3)=UPPER(TRIM(Settings!$C$7)),1,IF(LEFT(UPPER(SUBSTITUTE(TRIM($E50),"/","")),3)=UPPER(TRIM(Settings!$C$7)),IF(AND(ISNUMBER($K50),N($K50)&lt;&gt;0),1/$K50,""),""))))</f>
        <v/>
      </c>
      <c r="AI50" s="55" t="str">
        <f>IF($AM50=0,"",IF(OR(NOT(ISNUMBER($H50)),NOT(ISNUMBER($K50)),NOT(ISNUMBER($G50)),$AG50="",$AH50=""),"",ROUND(($K50-$H50)*IF($F50="Short",-1,1)*$G50*$AG50*$AH50,6)))</f>
        <v/>
      </c>
      <c r="AJ50" s="55" t="str">
        <f>IF($AM50=0,"",IF(INDEX(Settings!$E$14:$E$18,$BF50)="% of notional",IF(OR($AG50="",NOT(ISNUMBER($H50)),NOT(ISNUMBER($G50))),"",ROUND(ABS($H50*$G50*$AG50*N($AH50))*IF($L50="Limit",N(INDEX(Settings!$G$14:$G$18,$BF50)),N(INDEX(Settings!$H$14:$H$18,$BF50)))+IF(ISNUMBER($K50),ABS($K50*$G50*$AG50*N($AH50))*IF($M50="Target",N(INDEX(Settings!$G$14:$G$18,$BF50)),N(INDEX(Settings!$H$14:$H$18,$BF50))),0),6)),IF(NOT(ISNUMBER($G50)),"",ROUND(ABS($G50)*2*IF(AND($BE50&gt;0,ISNUMBER(INDEX(Instruments!$G$6:$G$205,MAX(1,$BE50)))),INDEX(Instruments!$G$6:$G$205,MAX(1,$BE50)),N(INDEX(Settings!$F$14:$F$18,$BF50))),6))))</f>
        <v/>
      </c>
      <c r="AK50" s="55" t="str">
        <f>IF($AM50=0,"",IF(ISNUMBER($O50),$O50,$AI50))</f>
        <v/>
      </c>
      <c r="AL50" s="55" t="str">
        <f>IF($AM50=0,"",IF(ISNUMBER($P50),$P50,N($AJ50)))</f>
        <v/>
      </c>
      <c r="AM50" s="56">
        <f>IF(AND($A50&lt;&gt;"",$E50&lt;&gt;"",OR(AND(ISNUMBER($G50),ISNUMBER($H50),ISNUMBER($K50)),ISNUMBER($O50))),1,0)</f>
        <v>0</v>
      </c>
      <c r="AN50" s="57" t="str">
        <f>IF($A50="","",$A50-WEEKDAY($A50,3))</f>
        <v/>
      </c>
      <c r="AO50" s="56" t="str">
        <f>IF($A50="","",WEEKDAY($A50,2))</f>
        <v/>
      </c>
      <c r="AP50" s="55" t="str">
        <f>IF(OR($AM50=0,$C50=""),"",IFERROR(N(INDEX(Accounts!$E$7:$E$16,MATCH($C50,Accounts!$B$7:$B$16,0))),0)+SUMIFS($Q$6:$Q50,$C$6:$C50,$C50))</f>
        <v/>
      </c>
      <c r="AQ50" s="55" t="str">
        <f>IF(OR($AM50=0,$C50=""),"",SUMIFS($Q$6:$Q$1005,$C$6:$C$1005,$C50,$A$6:$A$1005,$A50))</f>
        <v/>
      </c>
      <c r="AR50" s="55" t="str">
        <f>IF(OR($AM50=0,$C50=""),"",IFERROR(N(INDEX(Accounts!$E$7:$E$16,MATCH($C50,Accounts!$B$7:$B$16,0))),0)+SUMIFS($Q$6:$Q$1005,$C$6:$C$1005,$C50,$A$6:$A$1005,"&lt;="&amp;$A50))</f>
        <v/>
      </c>
      <c r="AS50" s="56">
        <f>IF(OR($AM50=0,$Q50=""),0,IF(AND($A50&gt;=Lists!$W$6,$A50&lt;=Lists!$W$7,OR(Dashboard!$D$6="All accounts",$C50=Dashboard!$D$6),OR(Dashboard!$D$7="All markets",$AF50=Dashboard!$D$7)),1,0))</f>
        <v>0</v>
      </c>
      <c r="AT50" s="55">
        <f>IF($AS50=1,N(AT49)+$Q50,N(AT49))</f>
        <v>1187.10688</v>
      </c>
      <c r="AU50" s="55">
        <f>MAX(N(AU49),$AT50)</f>
        <v>1187.10688</v>
      </c>
      <c r="AV50" s="55">
        <f>$AT50-$AU50</f>
        <v>0</v>
      </c>
      <c r="AW50" s="56">
        <f>IF($AS50=1,IF($S50="Win",N(AW49)+1,IF($S50="Loss",0,N(AW49))),N(AW49))</f>
        <v>5</v>
      </c>
      <c r="AX50" s="56">
        <f>IF($AS50=1,IF($S50="Loss",N(AX49)+1,IF($S50="Win",0,N(AX49))),N(AX49))</f>
        <v>0</v>
      </c>
      <c r="AY50" s="56" t="str">
        <f>IF($AS50=1,COUNTIF($AS$6:$AS50,1),"")</f>
        <v/>
      </c>
      <c r="AZ50" s="56">
        <f>MIN(44,N(Lists!$W$8))</f>
        <v>28</v>
      </c>
      <c r="BA50" s="56">
        <f>IF($AS50=1,IF(COUNTIFS($A$6:$A50,$A50,$AS$6:$AS50,1)=1,1,0),0)</f>
        <v>0</v>
      </c>
      <c r="BB50" s="55" t="str">
        <f>IF($BA50=1,SUMIFS($Q$6:$Q$1005,$A$6:$A$1005,$A50,$AS$6:$AS$1005,1),"")</f>
        <v/>
      </c>
      <c r="BC50" s="56">
        <f>IF(ISNUMBER($R50),1,0)</f>
        <v>0</v>
      </c>
      <c r="BD50" s="55" t="str">
        <f>IF(ISNUMBER($U50),$U50*$V50,"")</f>
        <v/>
      </c>
      <c r="BE50" s="56" t="str">
        <f>IF($AM50=0,"",IFERROR(MATCH($AF50&amp;"|"&amp;UPPER(TRIM($E50)),Lists!$A$6:$A$205,0),0))</f>
        <v/>
      </c>
      <c r="BF50" s="56" t="str">
        <f>IF($AM50=0,"",IFERROR(MATCH($AF50,Settings!$B$14:$B$18,0),IFERROR(MATCH(Settings!$C$6,Settings!$B$14:$B$18,0),1)))</f>
        <v/>
      </c>
      <c r="BG50" s="58" t="str">
        <f>IF($AM50=0,"",IF(NOT(ISNUMBER($I50)),"No stop; ","")&amp;IF(AND(ISNUMBER($H50),ISNUMBER($I50)),IF(OR(AND($F50&lt;&gt;"Short",$I50&gt;=$H50),AND($F50="Short",$I50&lt;=$H50)),"Stop on wrong side; ",""),"")&amp;IF($F50="","No direction; ","")&amp;IF(AND(ISNUMBER(Settings!$C$22),ISNUMBER($V50)),IF($V50&gt;Settings!$C$22,"Risk over max $; ",""),"")&amp;IF(AND(ISNUMBER(Settings!$C$23),ISNUMBER($V50),ISNUMBER($AP50),IFERROR(N(INDEX(Accounts!$E$7:$E$16,MATCH($C50,Accounts!$B$7:$B$16,0))),0)&gt;0),IF($V50&gt;Settings!$C$23*($AP50-N($Q50)),"Risk over max %; ",""),"")&amp;IF(AND(ISNUMBER(Settings!$C$24),ISNUMBER($N50)),IF($N50&gt;Settings!$C$24,"Leverage over max; ",""),"")&amp;IF(AND(ISNUMBER(Settings!$C$27),ISNUMBER($T50)),IF($T50&lt;Settings!$C$27,"R:R below min; ",""),"")&amp;IF(ISNUMBER(Settings!$C$25),IF(COUNTIFS($A$6:$A50,$A50,$AM$6:$AM50,1)&gt;Settings!$C$25,"Over max trades/day; ",""),"")&amp;IF(ISNUMBER(Settings!$C$26),IF(SUMIFS($Q$5:$Q49,$A$5:$A49,$A50)&lt;=-Settings!$C$26,"Traded after daily max loss; ",""),"")&amp;IF(AND($AG50="",NOT(ISNUMBER($O50))),"Symbol not in Instruments; ","")&amp;IF(AND($AH50="",NOT(ISNUMBER($O50))),"Forex cross: type Gross P&amp;L; ",""))</f>
        <v/>
      </c>
      <c r="BH50" s="56">
        <f>IF(ISNUMBER($Q50),1,0)</f>
        <v>0</v>
      </c>
      <c r="BI50" s="56">
        <f>IF($Y50="",0,1)</f>
        <v>0</v>
      </c>
      <c r="BJ50" s="56">
        <f>IF($AB50="",0,1)</f>
        <v>0</v>
      </c>
      <c r="BK50" s="56">
        <f>IF(AND($BH50=1,$W50&lt;&gt;"OK"),1,0)</f>
        <v>0</v>
      </c>
      <c r="BL50" s="55">
        <f>IF(N($AZ50)=0,0,IFERROR(INDEX($AT$6:$AT$1005,MATCH($AZ50,$AY$6:$AY$1005,0)),0))</f>
        <v>1187.10688</v>
      </c>
      <c r="BM50" s="56">
        <f>IF(ISNUMBER(SEARCH("daily max loss",$BG50)),1,0)</f>
        <v>0</v>
      </c>
    </row>
    <row r="51" ht="18" customHeight="1">
      <c r="A51" s="38" t="n"/>
      <c r="B51" s="39" t="n"/>
      <c r="C51" s="40" t="n"/>
      <c r="D51" s="41" t="n"/>
      <c r="E51" s="41" t="n"/>
      <c r="F51" s="41" t="n"/>
      <c r="G51" s="41" t="n"/>
      <c r="H51" s="42" t="n"/>
      <c r="I51" s="42" t="n"/>
      <c r="J51" s="42" t="n"/>
      <c r="K51" s="42" t="n"/>
      <c r="L51" s="41" t="n"/>
      <c r="M51" s="41" t="n"/>
      <c r="N51" s="41" t="n"/>
      <c r="O51" s="43" t="n"/>
      <c r="P51" s="43" t="n"/>
      <c r="Q51" s="44" t="str">
        <f>IF($AM51=0,"",IF(ISNUMBER($AK51),$AK51-N($AL51),""))</f>
        <v/>
      </c>
      <c r="R51" s="45" t="str">
        <f>IF(OR($Q51="",NOT(ISNUMBER($V51))),"",$AK51/$V51)</f>
        <v/>
      </c>
      <c r="S51" s="46" t="str">
        <f>IF($Q51="","",IF(AND(ISNUMBER($R51),ABS(N($R51))&lt;N(Settings!$C$8)),"Scratch",IF($Q51&gt;0,"Win",IF($Q51&lt;0,"Loss","Scratch"))))</f>
        <v/>
      </c>
      <c r="T51" s="47" t="str">
        <f>IF(OR($AM51=0,NOT(ISNUMBER($H51)),NOT(ISNUMBER($I51)),NOT(ISNUMBER($J51))),"",IF($H51=$I51,"",ROUND(ABS($J51-$H51)/ABS($H51-$I51),6)))</f>
        <v/>
      </c>
      <c r="U51" s="48" t="str">
        <f>IF(OR($S51&lt;&gt;"Win",NOT(ISNUMBER($T51)),NOT(ISNUMBER($R51))),"",MAX(0,$T51-$R51))</f>
        <v/>
      </c>
      <c r="V51" s="49" t="str">
        <f>IF(OR($AM51=0,NOT(ISNUMBER($H51)),NOT(ISNUMBER($I51)),NOT(ISNUMBER($G51))),"",IF(OR($AG51="",$AH51=""),"",IF(ROUND(ABS($H51-$I51)*ABS($G51)*$AG51*$AH51,6)=0,"",ROUND(ABS($H51-$I51)*ABS($G51)*$AG51*$AH51,6))))</f>
        <v/>
      </c>
      <c r="W51" s="50" t="str">
        <f>IF($AM51=0,"",IF($BG51="","OK",LEFT($BG51,LEN($BG51)-2)))</f>
        <v/>
      </c>
      <c r="X51" s="41" t="n"/>
      <c r="Y51" s="40" t="n"/>
      <c r="Z51" s="41" t="n"/>
      <c r="AA51" s="41" t="n"/>
      <c r="AB51" s="40" t="n"/>
      <c r="AC51" s="51" t="n"/>
      <c r="AD51" s="51" t="n"/>
      <c r="AE51" s="40" t="n"/>
      <c r="AF51" s="52" t="str">
        <f>IF($AM51=0,"",IF($D51&lt;&gt;"",$D51,IF(IFERROR(INDEX(Accounts!$C$7:$C$16,MATCH($C51,Accounts!$B$7:$B$16,0))&amp;"","")&lt;&gt;"",INDEX(Accounts!$C$7:$C$16,MATCH($C51,Accounts!$B$7:$B$16,0)),Settings!$C$6)))</f>
        <v/>
      </c>
      <c r="AG51" s="53" t="str">
        <f>IF($AM51=0,"",IF(AND($BE51&gt;0,N(INDEX(Instruments!$D$6:$D$205,MAX(1,$BE51)))&gt;0),INDEX(Instruments!$D$6:$D$205,MAX(1,$BE51)),IF(N(INDEX(Settings!$D$14:$D$18,$BF51))&gt;0,INDEX(Settings!$D$14:$D$18,$BF51),"")))</f>
        <v/>
      </c>
      <c r="AH51" s="54" t="str">
        <f>IF($AM51=0,"",IF($AF51&lt;&gt;"Forex",1,IF(MID(UPPER(SUBSTITUTE(TRIM($E51),"/","")),4,3)=UPPER(TRIM(Settings!$C$7)),1,IF(LEFT(UPPER(SUBSTITUTE(TRIM($E51),"/","")),3)=UPPER(TRIM(Settings!$C$7)),IF(AND(ISNUMBER($K51),N($K51)&lt;&gt;0),1/$K51,""),""))))</f>
        <v/>
      </c>
      <c r="AI51" s="55" t="str">
        <f>IF($AM51=0,"",IF(OR(NOT(ISNUMBER($H51)),NOT(ISNUMBER($K51)),NOT(ISNUMBER($G51)),$AG51="",$AH51=""),"",ROUND(($K51-$H51)*IF($F51="Short",-1,1)*$G51*$AG51*$AH51,6)))</f>
        <v/>
      </c>
      <c r="AJ51" s="55" t="str">
        <f>IF($AM51=0,"",IF(INDEX(Settings!$E$14:$E$18,$BF51)="% of notional",IF(OR($AG51="",NOT(ISNUMBER($H51)),NOT(ISNUMBER($G51))),"",ROUND(ABS($H51*$G51*$AG51*N($AH51))*IF($L51="Limit",N(INDEX(Settings!$G$14:$G$18,$BF51)),N(INDEX(Settings!$H$14:$H$18,$BF51)))+IF(ISNUMBER($K51),ABS($K51*$G51*$AG51*N($AH51))*IF($M51="Target",N(INDEX(Settings!$G$14:$G$18,$BF51)),N(INDEX(Settings!$H$14:$H$18,$BF51))),0),6)),IF(NOT(ISNUMBER($G51)),"",ROUND(ABS($G51)*2*IF(AND($BE51&gt;0,ISNUMBER(INDEX(Instruments!$G$6:$G$205,MAX(1,$BE51)))),INDEX(Instruments!$G$6:$G$205,MAX(1,$BE51)),N(INDEX(Settings!$F$14:$F$18,$BF51))),6))))</f>
        <v/>
      </c>
      <c r="AK51" s="55" t="str">
        <f>IF($AM51=0,"",IF(ISNUMBER($O51),$O51,$AI51))</f>
        <v/>
      </c>
      <c r="AL51" s="55" t="str">
        <f>IF($AM51=0,"",IF(ISNUMBER($P51),$P51,N($AJ51)))</f>
        <v/>
      </c>
      <c r="AM51" s="56">
        <f>IF(AND($A51&lt;&gt;"",$E51&lt;&gt;"",OR(AND(ISNUMBER($G51),ISNUMBER($H51),ISNUMBER($K51)),ISNUMBER($O51))),1,0)</f>
        <v>0</v>
      </c>
      <c r="AN51" s="57" t="str">
        <f>IF($A51="","",$A51-WEEKDAY($A51,3))</f>
        <v/>
      </c>
      <c r="AO51" s="56" t="str">
        <f>IF($A51="","",WEEKDAY($A51,2))</f>
        <v/>
      </c>
      <c r="AP51" s="55" t="str">
        <f>IF(OR($AM51=0,$C51=""),"",IFERROR(N(INDEX(Accounts!$E$7:$E$16,MATCH($C51,Accounts!$B$7:$B$16,0))),0)+SUMIFS($Q$6:$Q51,$C$6:$C51,$C51))</f>
        <v/>
      </c>
      <c r="AQ51" s="55" t="str">
        <f>IF(OR($AM51=0,$C51=""),"",SUMIFS($Q$6:$Q$1005,$C$6:$C$1005,$C51,$A$6:$A$1005,$A51))</f>
        <v/>
      </c>
      <c r="AR51" s="55" t="str">
        <f>IF(OR($AM51=0,$C51=""),"",IFERROR(N(INDEX(Accounts!$E$7:$E$16,MATCH($C51,Accounts!$B$7:$B$16,0))),0)+SUMIFS($Q$6:$Q$1005,$C$6:$C$1005,$C51,$A$6:$A$1005,"&lt;="&amp;$A51))</f>
        <v/>
      </c>
      <c r="AS51" s="56">
        <f>IF(OR($AM51=0,$Q51=""),0,IF(AND($A51&gt;=Lists!$W$6,$A51&lt;=Lists!$W$7,OR(Dashboard!$D$6="All accounts",$C51=Dashboard!$D$6),OR(Dashboard!$D$7="All markets",$AF51=Dashboard!$D$7)),1,0))</f>
        <v>0</v>
      </c>
      <c r="AT51" s="55">
        <f>IF($AS51=1,N(AT50)+$Q51,N(AT50))</f>
        <v>1187.10688</v>
      </c>
      <c r="AU51" s="55">
        <f>MAX(N(AU50),$AT51)</f>
        <v>1187.10688</v>
      </c>
      <c r="AV51" s="55">
        <f>$AT51-$AU51</f>
        <v>0</v>
      </c>
      <c r="AW51" s="56">
        <f>IF($AS51=1,IF($S51="Win",N(AW50)+1,IF($S51="Loss",0,N(AW50))),N(AW50))</f>
        <v>5</v>
      </c>
      <c r="AX51" s="56">
        <f>IF($AS51=1,IF($S51="Loss",N(AX50)+1,IF($S51="Win",0,N(AX50))),N(AX50))</f>
        <v>0</v>
      </c>
      <c r="AY51" s="56" t="str">
        <f>IF($AS51=1,COUNTIF($AS$6:$AS51,1),"")</f>
        <v/>
      </c>
      <c r="AZ51" s="56">
        <f>MIN(45,N(Lists!$W$8))</f>
        <v>28</v>
      </c>
      <c r="BA51" s="56">
        <f>IF($AS51=1,IF(COUNTIFS($A$6:$A51,$A51,$AS$6:$AS51,1)=1,1,0),0)</f>
        <v>0</v>
      </c>
      <c r="BB51" s="55" t="str">
        <f>IF($BA51=1,SUMIFS($Q$6:$Q$1005,$A$6:$A$1005,$A51,$AS$6:$AS$1005,1),"")</f>
        <v/>
      </c>
      <c r="BC51" s="56">
        <f>IF(ISNUMBER($R51),1,0)</f>
        <v>0</v>
      </c>
      <c r="BD51" s="55" t="str">
        <f>IF(ISNUMBER($U51),$U51*$V51,"")</f>
        <v/>
      </c>
      <c r="BE51" s="56" t="str">
        <f>IF($AM51=0,"",IFERROR(MATCH($AF51&amp;"|"&amp;UPPER(TRIM($E51)),Lists!$A$6:$A$205,0),0))</f>
        <v/>
      </c>
      <c r="BF51" s="56" t="str">
        <f>IF($AM51=0,"",IFERROR(MATCH($AF51,Settings!$B$14:$B$18,0),IFERROR(MATCH(Settings!$C$6,Settings!$B$14:$B$18,0),1)))</f>
        <v/>
      </c>
      <c r="BG51" s="58" t="str">
        <f>IF($AM51=0,"",IF(NOT(ISNUMBER($I51)),"No stop; ","")&amp;IF(AND(ISNUMBER($H51),ISNUMBER($I51)),IF(OR(AND($F51&lt;&gt;"Short",$I51&gt;=$H51),AND($F51="Short",$I51&lt;=$H51)),"Stop on wrong side; ",""),"")&amp;IF($F51="","No direction; ","")&amp;IF(AND(ISNUMBER(Settings!$C$22),ISNUMBER($V51)),IF($V51&gt;Settings!$C$22,"Risk over max $; ",""),"")&amp;IF(AND(ISNUMBER(Settings!$C$23),ISNUMBER($V51),ISNUMBER($AP51),IFERROR(N(INDEX(Accounts!$E$7:$E$16,MATCH($C51,Accounts!$B$7:$B$16,0))),0)&gt;0),IF($V51&gt;Settings!$C$23*($AP51-N($Q51)),"Risk over max %; ",""),"")&amp;IF(AND(ISNUMBER(Settings!$C$24),ISNUMBER($N51)),IF($N51&gt;Settings!$C$24,"Leverage over max; ",""),"")&amp;IF(AND(ISNUMBER(Settings!$C$27),ISNUMBER($T51)),IF($T51&lt;Settings!$C$27,"R:R below min; ",""),"")&amp;IF(ISNUMBER(Settings!$C$25),IF(COUNTIFS($A$6:$A51,$A51,$AM$6:$AM51,1)&gt;Settings!$C$25,"Over max trades/day; ",""),"")&amp;IF(ISNUMBER(Settings!$C$26),IF(SUMIFS($Q$5:$Q50,$A$5:$A50,$A51)&lt;=-Settings!$C$26,"Traded after daily max loss; ",""),"")&amp;IF(AND($AG51="",NOT(ISNUMBER($O51))),"Symbol not in Instruments; ","")&amp;IF(AND($AH51="",NOT(ISNUMBER($O51))),"Forex cross: type Gross P&amp;L; ",""))</f>
        <v/>
      </c>
      <c r="BH51" s="56">
        <f>IF(ISNUMBER($Q51),1,0)</f>
        <v>0</v>
      </c>
      <c r="BI51" s="56">
        <f>IF($Y51="",0,1)</f>
        <v>0</v>
      </c>
      <c r="BJ51" s="56">
        <f>IF($AB51="",0,1)</f>
        <v>0</v>
      </c>
      <c r="BK51" s="56">
        <f>IF(AND($BH51=1,$W51&lt;&gt;"OK"),1,0)</f>
        <v>0</v>
      </c>
      <c r="BL51" s="55">
        <f>IF(N($AZ51)=0,0,IFERROR(INDEX($AT$6:$AT$1005,MATCH($AZ51,$AY$6:$AY$1005,0)),0))</f>
        <v>1187.10688</v>
      </c>
      <c r="BM51" s="56">
        <f>IF(ISNUMBER(SEARCH("daily max loss",$BG51)),1,0)</f>
        <v>0</v>
      </c>
    </row>
    <row r="52" ht="18" customHeight="1">
      <c r="A52" s="38" t="n"/>
      <c r="B52" s="39" t="n"/>
      <c r="C52" s="40" t="n"/>
      <c r="D52" s="41" t="n"/>
      <c r="E52" s="41" t="n"/>
      <c r="F52" s="41" t="n"/>
      <c r="G52" s="41" t="n"/>
      <c r="H52" s="42" t="n"/>
      <c r="I52" s="42" t="n"/>
      <c r="J52" s="42" t="n"/>
      <c r="K52" s="42" t="n"/>
      <c r="L52" s="41" t="n"/>
      <c r="M52" s="41" t="n"/>
      <c r="N52" s="41" t="n"/>
      <c r="O52" s="43" t="n"/>
      <c r="P52" s="43" t="n"/>
      <c r="Q52" s="44" t="str">
        <f>IF($AM52=0,"",IF(ISNUMBER($AK52),$AK52-N($AL52),""))</f>
        <v/>
      </c>
      <c r="R52" s="45" t="str">
        <f>IF(OR($Q52="",NOT(ISNUMBER($V52))),"",$AK52/$V52)</f>
        <v/>
      </c>
      <c r="S52" s="46" t="str">
        <f>IF($Q52="","",IF(AND(ISNUMBER($R52),ABS(N($R52))&lt;N(Settings!$C$8)),"Scratch",IF($Q52&gt;0,"Win",IF($Q52&lt;0,"Loss","Scratch"))))</f>
        <v/>
      </c>
      <c r="T52" s="47" t="str">
        <f>IF(OR($AM52=0,NOT(ISNUMBER($H52)),NOT(ISNUMBER($I52)),NOT(ISNUMBER($J52))),"",IF($H52=$I52,"",ROUND(ABS($J52-$H52)/ABS($H52-$I52),6)))</f>
        <v/>
      </c>
      <c r="U52" s="48" t="str">
        <f>IF(OR($S52&lt;&gt;"Win",NOT(ISNUMBER($T52)),NOT(ISNUMBER($R52))),"",MAX(0,$T52-$R52))</f>
        <v/>
      </c>
      <c r="V52" s="49" t="str">
        <f>IF(OR($AM52=0,NOT(ISNUMBER($H52)),NOT(ISNUMBER($I52)),NOT(ISNUMBER($G52))),"",IF(OR($AG52="",$AH52=""),"",IF(ROUND(ABS($H52-$I52)*ABS($G52)*$AG52*$AH52,6)=0,"",ROUND(ABS($H52-$I52)*ABS($G52)*$AG52*$AH52,6))))</f>
        <v/>
      </c>
      <c r="W52" s="50" t="str">
        <f>IF($AM52=0,"",IF($BG52="","OK",LEFT($BG52,LEN($BG52)-2)))</f>
        <v/>
      </c>
      <c r="X52" s="41" t="n"/>
      <c r="Y52" s="40" t="n"/>
      <c r="Z52" s="41" t="n"/>
      <c r="AA52" s="41" t="n"/>
      <c r="AB52" s="40" t="n"/>
      <c r="AC52" s="51" t="n"/>
      <c r="AD52" s="51" t="n"/>
      <c r="AE52" s="40" t="n"/>
      <c r="AF52" s="52" t="str">
        <f>IF($AM52=0,"",IF($D52&lt;&gt;"",$D52,IF(IFERROR(INDEX(Accounts!$C$7:$C$16,MATCH($C52,Accounts!$B$7:$B$16,0))&amp;"","")&lt;&gt;"",INDEX(Accounts!$C$7:$C$16,MATCH($C52,Accounts!$B$7:$B$16,0)),Settings!$C$6)))</f>
        <v/>
      </c>
      <c r="AG52" s="53" t="str">
        <f>IF($AM52=0,"",IF(AND($BE52&gt;0,N(INDEX(Instruments!$D$6:$D$205,MAX(1,$BE52)))&gt;0),INDEX(Instruments!$D$6:$D$205,MAX(1,$BE52)),IF(N(INDEX(Settings!$D$14:$D$18,$BF52))&gt;0,INDEX(Settings!$D$14:$D$18,$BF52),"")))</f>
        <v/>
      </c>
      <c r="AH52" s="54" t="str">
        <f>IF($AM52=0,"",IF($AF52&lt;&gt;"Forex",1,IF(MID(UPPER(SUBSTITUTE(TRIM($E52),"/","")),4,3)=UPPER(TRIM(Settings!$C$7)),1,IF(LEFT(UPPER(SUBSTITUTE(TRIM($E52),"/","")),3)=UPPER(TRIM(Settings!$C$7)),IF(AND(ISNUMBER($K52),N($K52)&lt;&gt;0),1/$K52,""),""))))</f>
        <v/>
      </c>
      <c r="AI52" s="55" t="str">
        <f>IF($AM52=0,"",IF(OR(NOT(ISNUMBER($H52)),NOT(ISNUMBER($K52)),NOT(ISNUMBER($G52)),$AG52="",$AH52=""),"",ROUND(($K52-$H52)*IF($F52="Short",-1,1)*$G52*$AG52*$AH52,6)))</f>
        <v/>
      </c>
      <c r="AJ52" s="55" t="str">
        <f>IF($AM52=0,"",IF(INDEX(Settings!$E$14:$E$18,$BF52)="% of notional",IF(OR($AG52="",NOT(ISNUMBER($H52)),NOT(ISNUMBER($G52))),"",ROUND(ABS($H52*$G52*$AG52*N($AH52))*IF($L52="Limit",N(INDEX(Settings!$G$14:$G$18,$BF52)),N(INDEX(Settings!$H$14:$H$18,$BF52)))+IF(ISNUMBER($K52),ABS($K52*$G52*$AG52*N($AH52))*IF($M52="Target",N(INDEX(Settings!$G$14:$G$18,$BF52)),N(INDEX(Settings!$H$14:$H$18,$BF52))),0),6)),IF(NOT(ISNUMBER($G52)),"",ROUND(ABS($G52)*2*IF(AND($BE52&gt;0,ISNUMBER(INDEX(Instruments!$G$6:$G$205,MAX(1,$BE52)))),INDEX(Instruments!$G$6:$G$205,MAX(1,$BE52)),N(INDEX(Settings!$F$14:$F$18,$BF52))),6))))</f>
        <v/>
      </c>
      <c r="AK52" s="55" t="str">
        <f>IF($AM52=0,"",IF(ISNUMBER($O52),$O52,$AI52))</f>
        <v/>
      </c>
      <c r="AL52" s="55" t="str">
        <f>IF($AM52=0,"",IF(ISNUMBER($P52),$P52,N($AJ52)))</f>
        <v/>
      </c>
      <c r="AM52" s="56">
        <f>IF(AND($A52&lt;&gt;"",$E52&lt;&gt;"",OR(AND(ISNUMBER($G52),ISNUMBER($H52),ISNUMBER($K52)),ISNUMBER($O52))),1,0)</f>
        <v>0</v>
      </c>
      <c r="AN52" s="57" t="str">
        <f>IF($A52="","",$A52-WEEKDAY($A52,3))</f>
        <v/>
      </c>
      <c r="AO52" s="56" t="str">
        <f>IF($A52="","",WEEKDAY($A52,2))</f>
        <v/>
      </c>
      <c r="AP52" s="55" t="str">
        <f>IF(OR($AM52=0,$C52=""),"",IFERROR(N(INDEX(Accounts!$E$7:$E$16,MATCH($C52,Accounts!$B$7:$B$16,0))),0)+SUMIFS($Q$6:$Q52,$C$6:$C52,$C52))</f>
        <v/>
      </c>
      <c r="AQ52" s="55" t="str">
        <f>IF(OR($AM52=0,$C52=""),"",SUMIFS($Q$6:$Q$1005,$C$6:$C$1005,$C52,$A$6:$A$1005,$A52))</f>
        <v/>
      </c>
      <c r="AR52" s="55" t="str">
        <f>IF(OR($AM52=0,$C52=""),"",IFERROR(N(INDEX(Accounts!$E$7:$E$16,MATCH($C52,Accounts!$B$7:$B$16,0))),0)+SUMIFS($Q$6:$Q$1005,$C$6:$C$1005,$C52,$A$6:$A$1005,"&lt;="&amp;$A52))</f>
        <v/>
      </c>
      <c r="AS52" s="56">
        <f>IF(OR($AM52=0,$Q52=""),0,IF(AND($A52&gt;=Lists!$W$6,$A52&lt;=Lists!$W$7,OR(Dashboard!$D$6="All accounts",$C52=Dashboard!$D$6),OR(Dashboard!$D$7="All markets",$AF52=Dashboard!$D$7)),1,0))</f>
        <v>0</v>
      </c>
      <c r="AT52" s="55">
        <f>IF($AS52=1,N(AT51)+$Q52,N(AT51))</f>
        <v>1187.10688</v>
      </c>
      <c r="AU52" s="55">
        <f>MAX(N(AU51),$AT52)</f>
        <v>1187.10688</v>
      </c>
      <c r="AV52" s="55">
        <f>$AT52-$AU52</f>
        <v>0</v>
      </c>
      <c r="AW52" s="56">
        <f>IF($AS52=1,IF($S52="Win",N(AW51)+1,IF($S52="Loss",0,N(AW51))),N(AW51))</f>
        <v>5</v>
      </c>
      <c r="AX52" s="56">
        <f>IF($AS52=1,IF($S52="Loss",N(AX51)+1,IF($S52="Win",0,N(AX51))),N(AX51))</f>
        <v>0</v>
      </c>
      <c r="AY52" s="56" t="str">
        <f>IF($AS52=1,COUNTIF($AS$6:$AS52,1),"")</f>
        <v/>
      </c>
      <c r="AZ52" s="56">
        <f>MIN(46,N(Lists!$W$8))</f>
        <v>28</v>
      </c>
      <c r="BA52" s="56">
        <f>IF($AS52=1,IF(COUNTIFS($A$6:$A52,$A52,$AS$6:$AS52,1)=1,1,0),0)</f>
        <v>0</v>
      </c>
      <c r="BB52" s="55" t="str">
        <f>IF($BA52=1,SUMIFS($Q$6:$Q$1005,$A$6:$A$1005,$A52,$AS$6:$AS$1005,1),"")</f>
        <v/>
      </c>
      <c r="BC52" s="56">
        <f>IF(ISNUMBER($R52),1,0)</f>
        <v>0</v>
      </c>
      <c r="BD52" s="55" t="str">
        <f>IF(ISNUMBER($U52),$U52*$V52,"")</f>
        <v/>
      </c>
      <c r="BE52" s="56" t="str">
        <f>IF($AM52=0,"",IFERROR(MATCH($AF52&amp;"|"&amp;UPPER(TRIM($E52)),Lists!$A$6:$A$205,0),0))</f>
        <v/>
      </c>
      <c r="BF52" s="56" t="str">
        <f>IF($AM52=0,"",IFERROR(MATCH($AF52,Settings!$B$14:$B$18,0),IFERROR(MATCH(Settings!$C$6,Settings!$B$14:$B$18,0),1)))</f>
        <v/>
      </c>
      <c r="BG52" s="58" t="str">
        <f>IF($AM52=0,"",IF(NOT(ISNUMBER($I52)),"No stop; ","")&amp;IF(AND(ISNUMBER($H52),ISNUMBER($I52)),IF(OR(AND($F52&lt;&gt;"Short",$I52&gt;=$H52),AND($F52="Short",$I52&lt;=$H52)),"Stop on wrong side; ",""),"")&amp;IF($F52="","No direction; ","")&amp;IF(AND(ISNUMBER(Settings!$C$22),ISNUMBER($V52)),IF($V52&gt;Settings!$C$22,"Risk over max $; ",""),"")&amp;IF(AND(ISNUMBER(Settings!$C$23),ISNUMBER($V52),ISNUMBER($AP52),IFERROR(N(INDEX(Accounts!$E$7:$E$16,MATCH($C52,Accounts!$B$7:$B$16,0))),0)&gt;0),IF($V52&gt;Settings!$C$23*($AP52-N($Q52)),"Risk over max %; ",""),"")&amp;IF(AND(ISNUMBER(Settings!$C$24),ISNUMBER($N52)),IF($N52&gt;Settings!$C$24,"Leverage over max; ",""),"")&amp;IF(AND(ISNUMBER(Settings!$C$27),ISNUMBER($T52)),IF($T52&lt;Settings!$C$27,"R:R below min; ",""),"")&amp;IF(ISNUMBER(Settings!$C$25),IF(COUNTIFS($A$6:$A52,$A52,$AM$6:$AM52,1)&gt;Settings!$C$25,"Over max trades/day; ",""),"")&amp;IF(ISNUMBER(Settings!$C$26),IF(SUMIFS($Q$5:$Q51,$A$5:$A51,$A52)&lt;=-Settings!$C$26,"Traded after daily max loss; ",""),"")&amp;IF(AND($AG52="",NOT(ISNUMBER($O52))),"Symbol not in Instruments; ","")&amp;IF(AND($AH52="",NOT(ISNUMBER($O52))),"Forex cross: type Gross P&amp;L; ",""))</f>
        <v/>
      </c>
      <c r="BH52" s="56">
        <f>IF(ISNUMBER($Q52),1,0)</f>
        <v>0</v>
      </c>
      <c r="BI52" s="56">
        <f>IF($Y52="",0,1)</f>
        <v>0</v>
      </c>
      <c r="BJ52" s="56">
        <f>IF($AB52="",0,1)</f>
        <v>0</v>
      </c>
      <c r="BK52" s="56">
        <f>IF(AND($BH52=1,$W52&lt;&gt;"OK"),1,0)</f>
        <v>0</v>
      </c>
      <c r="BL52" s="55">
        <f>IF(N($AZ52)=0,0,IFERROR(INDEX($AT$6:$AT$1005,MATCH($AZ52,$AY$6:$AY$1005,0)),0))</f>
        <v>1187.10688</v>
      </c>
      <c r="BM52" s="56">
        <f>IF(ISNUMBER(SEARCH("daily max loss",$BG52)),1,0)</f>
        <v>0</v>
      </c>
    </row>
    <row r="53" ht="18" customHeight="1">
      <c r="A53" s="38" t="n"/>
      <c r="B53" s="39" t="n"/>
      <c r="C53" s="40" t="n"/>
      <c r="D53" s="41" t="n"/>
      <c r="E53" s="41" t="n"/>
      <c r="F53" s="41" t="n"/>
      <c r="G53" s="41" t="n"/>
      <c r="H53" s="42" t="n"/>
      <c r="I53" s="42" t="n"/>
      <c r="J53" s="42" t="n"/>
      <c r="K53" s="42" t="n"/>
      <c r="L53" s="41" t="n"/>
      <c r="M53" s="41" t="n"/>
      <c r="N53" s="41" t="n"/>
      <c r="O53" s="43" t="n"/>
      <c r="P53" s="43" t="n"/>
      <c r="Q53" s="44" t="str">
        <f>IF($AM53=0,"",IF(ISNUMBER($AK53),$AK53-N($AL53),""))</f>
        <v/>
      </c>
      <c r="R53" s="45" t="str">
        <f>IF(OR($Q53="",NOT(ISNUMBER($V53))),"",$AK53/$V53)</f>
        <v/>
      </c>
      <c r="S53" s="46" t="str">
        <f>IF($Q53="","",IF(AND(ISNUMBER($R53),ABS(N($R53))&lt;N(Settings!$C$8)),"Scratch",IF($Q53&gt;0,"Win",IF($Q53&lt;0,"Loss","Scratch"))))</f>
        <v/>
      </c>
      <c r="T53" s="47" t="str">
        <f>IF(OR($AM53=0,NOT(ISNUMBER($H53)),NOT(ISNUMBER($I53)),NOT(ISNUMBER($J53))),"",IF($H53=$I53,"",ROUND(ABS($J53-$H53)/ABS($H53-$I53),6)))</f>
        <v/>
      </c>
      <c r="U53" s="48" t="str">
        <f>IF(OR($S53&lt;&gt;"Win",NOT(ISNUMBER($T53)),NOT(ISNUMBER($R53))),"",MAX(0,$T53-$R53))</f>
        <v/>
      </c>
      <c r="V53" s="49" t="str">
        <f>IF(OR($AM53=0,NOT(ISNUMBER($H53)),NOT(ISNUMBER($I53)),NOT(ISNUMBER($G53))),"",IF(OR($AG53="",$AH53=""),"",IF(ROUND(ABS($H53-$I53)*ABS($G53)*$AG53*$AH53,6)=0,"",ROUND(ABS($H53-$I53)*ABS($G53)*$AG53*$AH53,6))))</f>
        <v/>
      </c>
      <c r="W53" s="50" t="str">
        <f>IF($AM53=0,"",IF($BG53="","OK",LEFT($BG53,LEN($BG53)-2)))</f>
        <v/>
      </c>
      <c r="X53" s="41" t="n"/>
      <c r="Y53" s="40" t="n"/>
      <c r="Z53" s="41" t="n"/>
      <c r="AA53" s="41" t="n"/>
      <c r="AB53" s="40" t="n"/>
      <c r="AC53" s="51" t="n"/>
      <c r="AD53" s="51" t="n"/>
      <c r="AE53" s="40" t="n"/>
      <c r="AF53" s="52" t="str">
        <f>IF($AM53=0,"",IF($D53&lt;&gt;"",$D53,IF(IFERROR(INDEX(Accounts!$C$7:$C$16,MATCH($C53,Accounts!$B$7:$B$16,0))&amp;"","")&lt;&gt;"",INDEX(Accounts!$C$7:$C$16,MATCH($C53,Accounts!$B$7:$B$16,0)),Settings!$C$6)))</f>
        <v/>
      </c>
      <c r="AG53" s="53" t="str">
        <f>IF($AM53=0,"",IF(AND($BE53&gt;0,N(INDEX(Instruments!$D$6:$D$205,MAX(1,$BE53)))&gt;0),INDEX(Instruments!$D$6:$D$205,MAX(1,$BE53)),IF(N(INDEX(Settings!$D$14:$D$18,$BF53))&gt;0,INDEX(Settings!$D$14:$D$18,$BF53),"")))</f>
        <v/>
      </c>
      <c r="AH53" s="54" t="str">
        <f>IF($AM53=0,"",IF($AF53&lt;&gt;"Forex",1,IF(MID(UPPER(SUBSTITUTE(TRIM($E53),"/","")),4,3)=UPPER(TRIM(Settings!$C$7)),1,IF(LEFT(UPPER(SUBSTITUTE(TRIM($E53),"/","")),3)=UPPER(TRIM(Settings!$C$7)),IF(AND(ISNUMBER($K53),N($K53)&lt;&gt;0),1/$K53,""),""))))</f>
        <v/>
      </c>
      <c r="AI53" s="55" t="str">
        <f>IF($AM53=0,"",IF(OR(NOT(ISNUMBER($H53)),NOT(ISNUMBER($K53)),NOT(ISNUMBER($G53)),$AG53="",$AH53=""),"",ROUND(($K53-$H53)*IF($F53="Short",-1,1)*$G53*$AG53*$AH53,6)))</f>
        <v/>
      </c>
      <c r="AJ53" s="55" t="str">
        <f>IF($AM53=0,"",IF(INDEX(Settings!$E$14:$E$18,$BF53)="% of notional",IF(OR($AG53="",NOT(ISNUMBER($H53)),NOT(ISNUMBER($G53))),"",ROUND(ABS($H53*$G53*$AG53*N($AH53))*IF($L53="Limit",N(INDEX(Settings!$G$14:$G$18,$BF53)),N(INDEX(Settings!$H$14:$H$18,$BF53)))+IF(ISNUMBER($K53),ABS($K53*$G53*$AG53*N($AH53))*IF($M53="Target",N(INDEX(Settings!$G$14:$G$18,$BF53)),N(INDEX(Settings!$H$14:$H$18,$BF53))),0),6)),IF(NOT(ISNUMBER($G53)),"",ROUND(ABS($G53)*2*IF(AND($BE53&gt;0,ISNUMBER(INDEX(Instruments!$G$6:$G$205,MAX(1,$BE53)))),INDEX(Instruments!$G$6:$G$205,MAX(1,$BE53)),N(INDEX(Settings!$F$14:$F$18,$BF53))),6))))</f>
        <v/>
      </c>
      <c r="AK53" s="55" t="str">
        <f>IF($AM53=0,"",IF(ISNUMBER($O53),$O53,$AI53))</f>
        <v/>
      </c>
      <c r="AL53" s="55" t="str">
        <f>IF($AM53=0,"",IF(ISNUMBER($P53),$P53,N($AJ53)))</f>
        <v/>
      </c>
      <c r="AM53" s="56">
        <f>IF(AND($A53&lt;&gt;"",$E53&lt;&gt;"",OR(AND(ISNUMBER($G53),ISNUMBER($H53),ISNUMBER($K53)),ISNUMBER($O53))),1,0)</f>
        <v>0</v>
      </c>
      <c r="AN53" s="57" t="str">
        <f>IF($A53="","",$A53-WEEKDAY($A53,3))</f>
        <v/>
      </c>
      <c r="AO53" s="56" t="str">
        <f>IF($A53="","",WEEKDAY($A53,2))</f>
        <v/>
      </c>
      <c r="AP53" s="55" t="str">
        <f>IF(OR($AM53=0,$C53=""),"",IFERROR(N(INDEX(Accounts!$E$7:$E$16,MATCH($C53,Accounts!$B$7:$B$16,0))),0)+SUMIFS($Q$6:$Q53,$C$6:$C53,$C53))</f>
        <v/>
      </c>
      <c r="AQ53" s="55" t="str">
        <f>IF(OR($AM53=0,$C53=""),"",SUMIFS($Q$6:$Q$1005,$C$6:$C$1005,$C53,$A$6:$A$1005,$A53))</f>
        <v/>
      </c>
      <c r="AR53" s="55" t="str">
        <f>IF(OR($AM53=0,$C53=""),"",IFERROR(N(INDEX(Accounts!$E$7:$E$16,MATCH($C53,Accounts!$B$7:$B$16,0))),0)+SUMIFS($Q$6:$Q$1005,$C$6:$C$1005,$C53,$A$6:$A$1005,"&lt;="&amp;$A53))</f>
        <v/>
      </c>
      <c r="AS53" s="56">
        <f>IF(OR($AM53=0,$Q53=""),0,IF(AND($A53&gt;=Lists!$W$6,$A53&lt;=Lists!$W$7,OR(Dashboard!$D$6="All accounts",$C53=Dashboard!$D$6),OR(Dashboard!$D$7="All markets",$AF53=Dashboard!$D$7)),1,0))</f>
        <v>0</v>
      </c>
      <c r="AT53" s="55">
        <f>IF($AS53=1,N(AT52)+$Q53,N(AT52))</f>
        <v>1187.10688</v>
      </c>
      <c r="AU53" s="55">
        <f>MAX(N(AU52),$AT53)</f>
        <v>1187.10688</v>
      </c>
      <c r="AV53" s="55">
        <f>$AT53-$AU53</f>
        <v>0</v>
      </c>
      <c r="AW53" s="56">
        <f>IF($AS53=1,IF($S53="Win",N(AW52)+1,IF($S53="Loss",0,N(AW52))),N(AW52))</f>
        <v>5</v>
      </c>
      <c r="AX53" s="56">
        <f>IF($AS53=1,IF($S53="Loss",N(AX52)+1,IF($S53="Win",0,N(AX52))),N(AX52))</f>
        <v>0</v>
      </c>
      <c r="AY53" s="56" t="str">
        <f>IF($AS53=1,COUNTIF($AS$6:$AS53,1),"")</f>
        <v/>
      </c>
      <c r="AZ53" s="56">
        <f>MIN(47,N(Lists!$W$8))</f>
        <v>28</v>
      </c>
      <c r="BA53" s="56">
        <f>IF($AS53=1,IF(COUNTIFS($A$6:$A53,$A53,$AS$6:$AS53,1)=1,1,0),0)</f>
        <v>0</v>
      </c>
      <c r="BB53" s="55" t="str">
        <f>IF($BA53=1,SUMIFS($Q$6:$Q$1005,$A$6:$A$1005,$A53,$AS$6:$AS$1005,1),"")</f>
        <v/>
      </c>
      <c r="BC53" s="56">
        <f>IF(ISNUMBER($R53),1,0)</f>
        <v>0</v>
      </c>
      <c r="BD53" s="55" t="str">
        <f>IF(ISNUMBER($U53),$U53*$V53,"")</f>
        <v/>
      </c>
      <c r="BE53" s="56" t="str">
        <f>IF($AM53=0,"",IFERROR(MATCH($AF53&amp;"|"&amp;UPPER(TRIM($E53)),Lists!$A$6:$A$205,0),0))</f>
        <v/>
      </c>
      <c r="BF53" s="56" t="str">
        <f>IF($AM53=0,"",IFERROR(MATCH($AF53,Settings!$B$14:$B$18,0),IFERROR(MATCH(Settings!$C$6,Settings!$B$14:$B$18,0),1)))</f>
        <v/>
      </c>
      <c r="BG53" s="58" t="str">
        <f>IF($AM53=0,"",IF(NOT(ISNUMBER($I53)),"No stop; ","")&amp;IF(AND(ISNUMBER($H53),ISNUMBER($I53)),IF(OR(AND($F53&lt;&gt;"Short",$I53&gt;=$H53),AND($F53="Short",$I53&lt;=$H53)),"Stop on wrong side; ",""),"")&amp;IF($F53="","No direction; ","")&amp;IF(AND(ISNUMBER(Settings!$C$22),ISNUMBER($V53)),IF($V53&gt;Settings!$C$22,"Risk over max $; ",""),"")&amp;IF(AND(ISNUMBER(Settings!$C$23),ISNUMBER($V53),ISNUMBER($AP53),IFERROR(N(INDEX(Accounts!$E$7:$E$16,MATCH($C53,Accounts!$B$7:$B$16,0))),0)&gt;0),IF($V53&gt;Settings!$C$23*($AP53-N($Q53)),"Risk over max %; ",""),"")&amp;IF(AND(ISNUMBER(Settings!$C$24),ISNUMBER($N53)),IF($N53&gt;Settings!$C$24,"Leverage over max; ",""),"")&amp;IF(AND(ISNUMBER(Settings!$C$27),ISNUMBER($T53)),IF($T53&lt;Settings!$C$27,"R:R below min; ",""),"")&amp;IF(ISNUMBER(Settings!$C$25),IF(COUNTIFS($A$6:$A53,$A53,$AM$6:$AM53,1)&gt;Settings!$C$25,"Over max trades/day; ",""),"")&amp;IF(ISNUMBER(Settings!$C$26),IF(SUMIFS($Q$5:$Q52,$A$5:$A52,$A53)&lt;=-Settings!$C$26,"Traded after daily max loss; ",""),"")&amp;IF(AND($AG53="",NOT(ISNUMBER($O53))),"Symbol not in Instruments; ","")&amp;IF(AND($AH53="",NOT(ISNUMBER($O53))),"Forex cross: type Gross P&amp;L; ",""))</f>
        <v/>
      </c>
      <c r="BH53" s="56">
        <f>IF(ISNUMBER($Q53),1,0)</f>
        <v>0</v>
      </c>
      <c r="BI53" s="56">
        <f>IF($Y53="",0,1)</f>
        <v>0</v>
      </c>
      <c r="BJ53" s="56">
        <f>IF($AB53="",0,1)</f>
        <v>0</v>
      </c>
      <c r="BK53" s="56">
        <f>IF(AND($BH53=1,$W53&lt;&gt;"OK"),1,0)</f>
        <v>0</v>
      </c>
      <c r="BL53" s="55">
        <f>IF(N($AZ53)=0,0,IFERROR(INDEX($AT$6:$AT$1005,MATCH($AZ53,$AY$6:$AY$1005,0)),0))</f>
        <v>1187.10688</v>
      </c>
      <c r="BM53" s="56">
        <f>IF(ISNUMBER(SEARCH("daily max loss",$BG53)),1,0)</f>
        <v>0</v>
      </c>
    </row>
    <row r="54" ht="18" customHeight="1">
      <c r="A54" s="38" t="n"/>
      <c r="B54" s="39" t="n"/>
      <c r="C54" s="40" t="n"/>
      <c r="D54" s="41" t="n"/>
      <c r="E54" s="41" t="n"/>
      <c r="F54" s="41" t="n"/>
      <c r="G54" s="41" t="n"/>
      <c r="H54" s="42" t="n"/>
      <c r="I54" s="42" t="n"/>
      <c r="J54" s="42" t="n"/>
      <c r="K54" s="42" t="n"/>
      <c r="L54" s="41" t="n"/>
      <c r="M54" s="41" t="n"/>
      <c r="N54" s="41" t="n"/>
      <c r="O54" s="43" t="n"/>
      <c r="P54" s="43" t="n"/>
      <c r="Q54" s="44" t="str">
        <f>IF($AM54=0,"",IF(ISNUMBER($AK54),$AK54-N($AL54),""))</f>
        <v/>
      </c>
      <c r="R54" s="45" t="str">
        <f>IF(OR($Q54="",NOT(ISNUMBER($V54))),"",$AK54/$V54)</f>
        <v/>
      </c>
      <c r="S54" s="46" t="str">
        <f>IF($Q54="","",IF(AND(ISNUMBER($R54),ABS(N($R54))&lt;N(Settings!$C$8)),"Scratch",IF($Q54&gt;0,"Win",IF($Q54&lt;0,"Loss","Scratch"))))</f>
        <v/>
      </c>
      <c r="T54" s="47" t="str">
        <f>IF(OR($AM54=0,NOT(ISNUMBER($H54)),NOT(ISNUMBER($I54)),NOT(ISNUMBER($J54))),"",IF($H54=$I54,"",ROUND(ABS($J54-$H54)/ABS($H54-$I54),6)))</f>
        <v/>
      </c>
      <c r="U54" s="48" t="str">
        <f>IF(OR($S54&lt;&gt;"Win",NOT(ISNUMBER($T54)),NOT(ISNUMBER($R54))),"",MAX(0,$T54-$R54))</f>
        <v/>
      </c>
      <c r="V54" s="49" t="str">
        <f>IF(OR($AM54=0,NOT(ISNUMBER($H54)),NOT(ISNUMBER($I54)),NOT(ISNUMBER($G54))),"",IF(OR($AG54="",$AH54=""),"",IF(ROUND(ABS($H54-$I54)*ABS($G54)*$AG54*$AH54,6)=0,"",ROUND(ABS($H54-$I54)*ABS($G54)*$AG54*$AH54,6))))</f>
        <v/>
      </c>
      <c r="W54" s="50" t="str">
        <f>IF($AM54=0,"",IF($BG54="","OK",LEFT($BG54,LEN($BG54)-2)))</f>
        <v/>
      </c>
      <c r="X54" s="41" t="n"/>
      <c r="Y54" s="40" t="n"/>
      <c r="Z54" s="41" t="n"/>
      <c r="AA54" s="41" t="n"/>
      <c r="AB54" s="40" t="n"/>
      <c r="AC54" s="51" t="n"/>
      <c r="AD54" s="51" t="n"/>
      <c r="AE54" s="40" t="n"/>
      <c r="AF54" s="52" t="str">
        <f>IF($AM54=0,"",IF($D54&lt;&gt;"",$D54,IF(IFERROR(INDEX(Accounts!$C$7:$C$16,MATCH($C54,Accounts!$B$7:$B$16,0))&amp;"","")&lt;&gt;"",INDEX(Accounts!$C$7:$C$16,MATCH($C54,Accounts!$B$7:$B$16,0)),Settings!$C$6)))</f>
        <v/>
      </c>
      <c r="AG54" s="53" t="str">
        <f>IF($AM54=0,"",IF(AND($BE54&gt;0,N(INDEX(Instruments!$D$6:$D$205,MAX(1,$BE54)))&gt;0),INDEX(Instruments!$D$6:$D$205,MAX(1,$BE54)),IF(N(INDEX(Settings!$D$14:$D$18,$BF54))&gt;0,INDEX(Settings!$D$14:$D$18,$BF54),"")))</f>
        <v/>
      </c>
      <c r="AH54" s="54" t="str">
        <f>IF($AM54=0,"",IF($AF54&lt;&gt;"Forex",1,IF(MID(UPPER(SUBSTITUTE(TRIM($E54),"/","")),4,3)=UPPER(TRIM(Settings!$C$7)),1,IF(LEFT(UPPER(SUBSTITUTE(TRIM($E54),"/","")),3)=UPPER(TRIM(Settings!$C$7)),IF(AND(ISNUMBER($K54),N($K54)&lt;&gt;0),1/$K54,""),""))))</f>
        <v/>
      </c>
      <c r="AI54" s="55" t="str">
        <f>IF($AM54=0,"",IF(OR(NOT(ISNUMBER($H54)),NOT(ISNUMBER($K54)),NOT(ISNUMBER($G54)),$AG54="",$AH54=""),"",ROUND(($K54-$H54)*IF($F54="Short",-1,1)*$G54*$AG54*$AH54,6)))</f>
        <v/>
      </c>
      <c r="AJ54" s="55" t="str">
        <f>IF($AM54=0,"",IF(INDEX(Settings!$E$14:$E$18,$BF54)="% of notional",IF(OR($AG54="",NOT(ISNUMBER($H54)),NOT(ISNUMBER($G54))),"",ROUND(ABS($H54*$G54*$AG54*N($AH54))*IF($L54="Limit",N(INDEX(Settings!$G$14:$G$18,$BF54)),N(INDEX(Settings!$H$14:$H$18,$BF54)))+IF(ISNUMBER($K54),ABS($K54*$G54*$AG54*N($AH54))*IF($M54="Target",N(INDEX(Settings!$G$14:$G$18,$BF54)),N(INDEX(Settings!$H$14:$H$18,$BF54))),0),6)),IF(NOT(ISNUMBER($G54)),"",ROUND(ABS($G54)*2*IF(AND($BE54&gt;0,ISNUMBER(INDEX(Instruments!$G$6:$G$205,MAX(1,$BE54)))),INDEX(Instruments!$G$6:$G$205,MAX(1,$BE54)),N(INDEX(Settings!$F$14:$F$18,$BF54))),6))))</f>
        <v/>
      </c>
      <c r="AK54" s="55" t="str">
        <f>IF($AM54=0,"",IF(ISNUMBER($O54),$O54,$AI54))</f>
        <v/>
      </c>
      <c r="AL54" s="55" t="str">
        <f>IF($AM54=0,"",IF(ISNUMBER($P54),$P54,N($AJ54)))</f>
        <v/>
      </c>
      <c r="AM54" s="56">
        <f>IF(AND($A54&lt;&gt;"",$E54&lt;&gt;"",OR(AND(ISNUMBER($G54),ISNUMBER($H54),ISNUMBER($K54)),ISNUMBER($O54))),1,0)</f>
        <v>0</v>
      </c>
      <c r="AN54" s="57" t="str">
        <f>IF($A54="","",$A54-WEEKDAY($A54,3))</f>
        <v/>
      </c>
      <c r="AO54" s="56" t="str">
        <f>IF($A54="","",WEEKDAY($A54,2))</f>
        <v/>
      </c>
      <c r="AP54" s="55" t="str">
        <f>IF(OR($AM54=0,$C54=""),"",IFERROR(N(INDEX(Accounts!$E$7:$E$16,MATCH($C54,Accounts!$B$7:$B$16,0))),0)+SUMIFS($Q$6:$Q54,$C$6:$C54,$C54))</f>
        <v/>
      </c>
      <c r="AQ54" s="55" t="str">
        <f>IF(OR($AM54=0,$C54=""),"",SUMIFS($Q$6:$Q$1005,$C$6:$C$1005,$C54,$A$6:$A$1005,$A54))</f>
        <v/>
      </c>
      <c r="AR54" s="55" t="str">
        <f>IF(OR($AM54=0,$C54=""),"",IFERROR(N(INDEX(Accounts!$E$7:$E$16,MATCH($C54,Accounts!$B$7:$B$16,0))),0)+SUMIFS($Q$6:$Q$1005,$C$6:$C$1005,$C54,$A$6:$A$1005,"&lt;="&amp;$A54))</f>
        <v/>
      </c>
      <c r="AS54" s="56">
        <f>IF(OR($AM54=0,$Q54=""),0,IF(AND($A54&gt;=Lists!$W$6,$A54&lt;=Lists!$W$7,OR(Dashboard!$D$6="All accounts",$C54=Dashboard!$D$6),OR(Dashboard!$D$7="All markets",$AF54=Dashboard!$D$7)),1,0))</f>
        <v>0</v>
      </c>
      <c r="AT54" s="55">
        <f>IF($AS54=1,N(AT53)+$Q54,N(AT53))</f>
        <v>1187.10688</v>
      </c>
      <c r="AU54" s="55">
        <f>MAX(N(AU53),$AT54)</f>
        <v>1187.10688</v>
      </c>
      <c r="AV54" s="55">
        <f>$AT54-$AU54</f>
        <v>0</v>
      </c>
      <c r="AW54" s="56">
        <f>IF($AS54=1,IF($S54="Win",N(AW53)+1,IF($S54="Loss",0,N(AW53))),N(AW53))</f>
        <v>5</v>
      </c>
      <c r="AX54" s="56">
        <f>IF($AS54=1,IF($S54="Loss",N(AX53)+1,IF($S54="Win",0,N(AX53))),N(AX53))</f>
        <v>0</v>
      </c>
      <c r="AY54" s="56" t="str">
        <f>IF($AS54=1,COUNTIF($AS$6:$AS54,1),"")</f>
        <v/>
      </c>
      <c r="AZ54" s="56">
        <f>MIN(48,N(Lists!$W$8))</f>
        <v>28</v>
      </c>
      <c r="BA54" s="56">
        <f>IF($AS54=1,IF(COUNTIFS($A$6:$A54,$A54,$AS$6:$AS54,1)=1,1,0),0)</f>
        <v>0</v>
      </c>
      <c r="BB54" s="55" t="str">
        <f>IF($BA54=1,SUMIFS($Q$6:$Q$1005,$A$6:$A$1005,$A54,$AS$6:$AS$1005,1),"")</f>
        <v/>
      </c>
      <c r="BC54" s="56">
        <f>IF(ISNUMBER($R54),1,0)</f>
        <v>0</v>
      </c>
      <c r="BD54" s="55" t="str">
        <f>IF(ISNUMBER($U54),$U54*$V54,"")</f>
        <v/>
      </c>
      <c r="BE54" s="56" t="str">
        <f>IF($AM54=0,"",IFERROR(MATCH($AF54&amp;"|"&amp;UPPER(TRIM($E54)),Lists!$A$6:$A$205,0),0))</f>
        <v/>
      </c>
      <c r="BF54" s="56" t="str">
        <f>IF($AM54=0,"",IFERROR(MATCH($AF54,Settings!$B$14:$B$18,0),IFERROR(MATCH(Settings!$C$6,Settings!$B$14:$B$18,0),1)))</f>
        <v/>
      </c>
      <c r="BG54" s="58" t="str">
        <f>IF($AM54=0,"",IF(NOT(ISNUMBER($I54)),"No stop; ","")&amp;IF(AND(ISNUMBER($H54),ISNUMBER($I54)),IF(OR(AND($F54&lt;&gt;"Short",$I54&gt;=$H54),AND($F54="Short",$I54&lt;=$H54)),"Stop on wrong side; ",""),"")&amp;IF($F54="","No direction; ","")&amp;IF(AND(ISNUMBER(Settings!$C$22),ISNUMBER($V54)),IF($V54&gt;Settings!$C$22,"Risk over max $; ",""),"")&amp;IF(AND(ISNUMBER(Settings!$C$23),ISNUMBER($V54),ISNUMBER($AP54),IFERROR(N(INDEX(Accounts!$E$7:$E$16,MATCH($C54,Accounts!$B$7:$B$16,0))),0)&gt;0),IF($V54&gt;Settings!$C$23*($AP54-N($Q54)),"Risk over max %; ",""),"")&amp;IF(AND(ISNUMBER(Settings!$C$24),ISNUMBER($N54)),IF($N54&gt;Settings!$C$24,"Leverage over max; ",""),"")&amp;IF(AND(ISNUMBER(Settings!$C$27),ISNUMBER($T54)),IF($T54&lt;Settings!$C$27,"R:R below min; ",""),"")&amp;IF(ISNUMBER(Settings!$C$25),IF(COUNTIFS($A$6:$A54,$A54,$AM$6:$AM54,1)&gt;Settings!$C$25,"Over max trades/day; ",""),"")&amp;IF(ISNUMBER(Settings!$C$26),IF(SUMIFS($Q$5:$Q53,$A$5:$A53,$A54)&lt;=-Settings!$C$26,"Traded after daily max loss; ",""),"")&amp;IF(AND($AG54="",NOT(ISNUMBER($O54))),"Symbol not in Instruments; ","")&amp;IF(AND($AH54="",NOT(ISNUMBER($O54))),"Forex cross: type Gross P&amp;L; ",""))</f>
        <v/>
      </c>
      <c r="BH54" s="56">
        <f>IF(ISNUMBER($Q54),1,0)</f>
        <v>0</v>
      </c>
      <c r="BI54" s="56">
        <f>IF($Y54="",0,1)</f>
        <v>0</v>
      </c>
      <c r="BJ54" s="56">
        <f>IF($AB54="",0,1)</f>
        <v>0</v>
      </c>
      <c r="BK54" s="56">
        <f>IF(AND($BH54=1,$W54&lt;&gt;"OK"),1,0)</f>
        <v>0</v>
      </c>
      <c r="BL54" s="55">
        <f>IF(N($AZ54)=0,0,IFERROR(INDEX($AT$6:$AT$1005,MATCH($AZ54,$AY$6:$AY$1005,0)),0))</f>
        <v>1187.10688</v>
      </c>
      <c r="BM54" s="56">
        <f>IF(ISNUMBER(SEARCH("daily max loss",$BG54)),1,0)</f>
        <v>0</v>
      </c>
    </row>
    <row r="55" ht="18" customHeight="1">
      <c r="A55" s="38" t="n"/>
      <c r="B55" s="39" t="n"/>
      <c r="C55" s="40" t="n"/>
      <c r="D55" s="41" t="n"/>
      <c r="E55" s="41" t="n"/>
      <c r="F55" s="41" t="n"/>
      <c r="G55" s="41" t="n"/>
      <c r="H55" s="42" t="n"/>
      <c r="I55" s="42" t="n"/>
      <c r="J55" s="42" t="n"/>
      <c r="K55" s="42" t="n"/>
      <c r="L55" s="41" t="n"/>
      <c r="M55" s="41" t="n"/>
      <c r="N55" s="41" t="n"/>
      <c r="O55" s="43" t="n"/>
      <c r="P55" s="43" t="n"/>
      <c r="Q55" s="44" t="str">
        <f>IF($AM55=0,"",IF(ISNUMBER($AK55),$AK55-N($AL55),""))</f>
        <v/>
      </c>
      <c r="R55" s="45" t="str">
        <f>IF(OR($Q55="",NOT(ISNUMBER($V55))),"",$AK55/$V55)</f>
        <v/>
      </c>
      <c r="S55" s="46" t="str">
        <f>IF($Q55="","",IF(AND(ISNUMBER($R55),ABS(N($R55))&lt;N(Settings!$C$8)),"Scratch",IF($Q55&gt;0,"Win",IF($Q55&lt;0,"Loss","Scratch"))))</f>
        <v/>
      </c>
      <c r="T55" s="47" t="str">
        <f>IF(OR($AM55=0,NOT(ISNUMBER($H55)),NOT(ISNUMBER($I55)),NOT(ISNUMBER($J55))),"",IF($H55=$I55,"",ROUND(ABS($J55-$H55)/ABS($H55-$I55),6)))</f>
        <v/>
      </c>
      <c r="U55" s="48" t="str">
        <f>IF(OR($S55&lt;&gt;"Win",NOT(ISNUMBER($T55)),NOT(ISNUMBER($R55))),"",MAX(0,$T55-$R55))</f>
        <v/>
      </c>
      <c r="V55" s="49" t="str">
        <f>IF(OR($AM55=0,NOT(ISNUMBER($H55)),NOT(ISNUMBER($I55)),NOT(ISNUMBER($G55))),"",IF(OR($AG55="",$AH55=""),"",IF(ROUND(ABS($H55-$I55)*ABS($G55)*$AG55*$AH55,6)=0,"",ROUND(ABS($H55-$I55)*ABS($G55)*$AG55*$AH55,6))))</f>
        <v/>
      </c>
      <c r="W55" s="50" t="str">
        <f>IF($AM55=0,"",IF($BG55="","OK",LEFT($BG55,LEN($BG55)-2)))</f>
        <v/>
      </c>
      <c r="X55" s="41" t="n"/>
      <c r="Y55" s="40" t="n"/>
      <c r="Z55" s="41" t="n"/>
      <c r="AA55" s="41" t="n"/>
      <c r="AB55" s="40" t="n"/>
      <c r="AC55" s="51" t="n"/>
      <c r="AD55" s="51" t="n"/>
      <c r="AE55" s="40" t="n"/>
      <c r="AF55" s="52" t="str">
        <f>IF($AM55=0,"",IF($D55&lt;&gt;"",$D55,IF(IFERROR(INDEX(Accounts!$C$7:$C$16,MATCH($C55,Accounts!$B$7:$B$16,0))&amp;"","")&lt;&gt;"",INDEX(Accounts!$C$7:$C$16,MATCH($C55,Accounts!$B$7:$B$16,0)),Settings!$C$6)))</f>
        <v/>
      </c>
      <c r="AG55" s="53" t="str">
        <f>IF($AM55=0,"",IF(AND($BE55&gt;0,N(INDEX(Instruments!$D$6:$D$205,MAX(1,$BE55)))&gt;0),INDEX(Instruments!$D$6:$D$205,MAX(1,$BE55)),IF(N(INDEX(Settings!$D$14:$D$18,$BF55))&gt;0,INDEX(Settings!$D$14:$D$18,$BF55),"")))</f>
        <v/>
      </c>
      <c r="AH55" s="54" t="str">
        <f>IF($AM55=0,"",IF($AF55&lt;&gt;"Forex",1,IF(MID(UPPER(SUBSTITUTE(TRIM($E55),"/","")),4,3)=UPPER(TRIM(Settings!$C$7)),1,IF(LEFT(UPPER(SUBSTITUTE(TRIM($E55),"/","")),3)=UPPER(TRIM(Settings!$C$7)),IF(AND(ISNUMBER($K55),N($K55)&lt;&gt;0),1/$K55,""),""))))</f>
        <v/>
      </c>
      <c r="AI55" s="55" t="str">
        <f>IF($AM55=0,"",IF(OR(NOT(ISNUMBER($H55)),NOT(ISNUMBER($K55)),NOT(ISNUMBER($G55)),$AG55="",$AH55=""),"",ROUND(($K55-$H55)*IF($F55="Short",-1,1)*$G55*$AG55*$AH55,6)))</f>
        <v/>
      </c>
      <c r="AJ55" s="55" t="str">
        <f>IF($AM55=0,"",IF(INDEX(Settings!$E$14:$E$18,$BF55)="% of notional",IF(OR($AG55="",NOT(ISNUMBER($H55)),NOT(ISNUMBER($G55))),"",ROUND(ABS($H55*$G55*$AG55*N($AH55))*IF($L55="Limit",N(INDEX(Settings!$G$14:$G$18,$BF55)),N(INDEX(Settings!$H$14:$H$18,$BF55)))+IF(ISNUMBER($K55),ABS($K55*$G55*$AG55*N($AH55))*IF($M55="Target",N(INDEX(Settings!$G$14:$G$18,$BF55)),N(INDEX(Settings!$H$14:$H$18,$BF55))),0),6)),IF(NOT(ISNUMBER($G55)),"",ROUND(ABS($G55)*2*IF(AND($BE55&gt;0,ISNUMBER(INDEX(Instruments!$G$6:$G$205,MAX(1,$BE55)))),INDEX(Instruments!$G$6:$G$205,MAX(1,$BE55)),N(INDEX(Settings!$F$14:$F$18,$BF55))),6))))</f>
        <v/>
      </c>
      <c r="AK55" s="55" t="str">
        <f>IF($AM55=0,"",IF(ISNUMBER($O55),$O55,$AI55))</f>
        <v/>
      </c>
      <c r="AL55" s="55" t="str">
        <f>IF($AM55=0,"",IF(ISNUMBER($P55),$P55,N($AJ55)))</f>
        <v/>
      </c>
      <c r="AM55" s="56">
        <f>IF(AND($A55&lt;&gt;"",$E55&lt;&gt;"",OR(AND(ISNUMBER($G55),ISNUMBER($H55),ISNUMBER($K55)),ISNUMBER($O55))),1,0)</f>
        <v>0</v>
      </c>
      <c r="AN55" s="57" t="str">
        <f>IF($A55="","",$A55-WEEKDAY($A55,3))</f>
        <v/>
      </c>
      <c r="AO55" s="56" t="str">
        <f>IF($A55="","",WEEKDAY($A55,2))</f>
        <v/>
      </c>
      <c r="AP55" s="55" t="str">
        <f>IF(OR($AM55=0,$C55=""),"",IFERROR(N(INDEX(Accounts!$E$7:$E$16,MATCH($C55,Accounts!$B$7:$B$16,0))),0)+SUMIFS($Q$6:$Q55,$C$6:$C55,$C55))</f>
        <v/>
      </c>
      <c r="AQ55" s="55" t="str">
        <f>IF(OR($AM55=0,$C55=""),"",SUMIFS($Q$6:$Q$1005,$C$6:$C$1005,$C55,$A$6:$A$1005,$A55))</f>
        <v/>
      </c>
      <c r="AR55" s="55" t="str">
        <f>IF(OR($AM55=0,$C55=""),"",IFERROR(N(INDEX(Accounts!$E$7:$E$16,MATCH($C55,Accounts!$B$7:$B$16,0))),0)+SUMIFS($Q$6:$Q$1005,$C$6:$C$1005,$C55,$A$6:$A$1005,"&lt;="&amp;$A55))</f>
        <v/>
      </c>
      <c r="AS55" s="56">
        <f>IF(OR($AM55=0,$Q55=""),0,IF(AND($A55&gt;=Lists!$W$6,$A55&lt;=Lists!$W$7,OR(Dashboard!$D$6="All accounts",$C55=Dashboard!$D$6),OR(Dashboard!$D$7="All markets",$AF55=Dashboard!$D$7)),1,0))</f>
        <v>0</v>
      </c>
      <c r="AT55" s="55">
        <f>IF($AS55=1,N(AT54)+$Q55,N(AT54))</f>
        <v>1187.10688</v>
      </c>
      <c r="AU55" s="55">
        <f>MAX(N(AU54),$AT55)</f>
        <v>1187.10688</v>
      </c>
      <c r="AV55" s="55">
        <f>$AT55-$AU55</f>
        <v>0</v>
      </c>
      <c r="AW55" s="56">
        <f>IF($AS55=1,IF($S55="Win",N(AW54)+1,IF($S55="Loss",0,N(AW54))),N(AW54))</f>
        <v>5</v>
      </c>
      <c r="AX55" s="56">
        <f>IF($AS55=1,IF($S55="Loss",N(AX54)+1,IF($S55="Win",0,N(AX54))),N(AX54))</f>
        <v>0</v>
      </c>
      <c r="AY55" s="56" t="str">
        <f>IF($AS55=1,COUNTIF($AS$6:$AS55,1),"")</f>
        <v/>
      </c>
      <c r="AZ55" s="56">
        <f>MIN(49,N(Lists!$W$8))</f>
        <v>28</v>
      </c>
      <c r="BA55" s="56">
        <f>IF($AS55=1,IF(COUNTIFS($A$6:$A55,$A55,$AS$6:$AS55,1)=1,1,0),0)</f>
        <v>0</v>
      </c>
      <c r="BB55" s="55" t="str">
        <f>IF($BA55=1,SUMIFS($Q$6:$Q$1005,$A$6:$A$1005,$A55,$AS$6:$AS$1005,1),"")</f>
        <v/>
      </c>
      <c r="BC55" s="56">
        <f>IF(ISNUMBER($R55),1,0)</f>
        <v>0</v>
      </c>
      <c r="BD55" s="55" t="str">
        <f>IF(ISNUMBER($U55),$U55*$V55,"")</f>
        <v/>
      </c>
      <c r="BE55" s="56" t="str">
        <f>IF($AM55=0,"",IFERROR(MATCH($AF55&amp;"|"&amp;UPPER(TRIM($E55)),Lists!$A$6:$A$205,0),0))</f>
        <v/>
      </c>
      <c r="BF55" s="56" t="str">
        <f>IF($AM55=0,"",IFERROR(MATCH($AF55,Settings!$B$14:$B$18,0),IFERROR(MATCH(Settings!$C$6,Settings!$B$14:$B$18,0),1)))</f>
        <v/>
      </c>
      <c r="BG55" s="58" t="str">
        <f>IF($AM55=0,"",IF(NOT(ISNUMBER($I55)),"No stop; ","")&amp;IF(AND(ISNUMBER($H55),ISNUMBER($I55)),IF(OR(AND($F55&lt;&gt;"Short",$I55&gt;=$H55),AND($F55="Short",$I55&lt;=$H55)),"Stop on wrong side; ",""),"")&amp;IF($F55="","No direction; ","")&amp;IF(AND(ISNUMBER(Settings!$C$22),ISNUMBER($V55)),IF($V55&gt;Settings!$C$22,"Risk over max $; ",""),"")&amp;IF(AND(ISNUMBER(Settings!$C$23),ISNUMBER($V55),ISNUMBER($AP55),IFERROR(N(INDEX(Accounts!$E$7:$E$16,MATCH($C55,Accounts!$B$7:$B$16,0))),0)&gt;0),IF($V55&gt;Settings!$C$23*($AP55-N($Q55)),"Risk over max %; ",""),"")&amp;IF(AND(ISNUMBER(Settings!$C$24),ISNUMBER($N55)),IF($N55&gt;Settings!$C$24,"Leverage over max; ",""),"")&amp;IF(AND(ISNUMBER(Settings!$C$27),ISNUMBER($T55)),IF($T55&lt;Settings!$C$27,"R:R below min; ",""),"")&amp;IF(ISNUMBER(Settings!$C$25),IF(COUNTIFS($A$6:$A55,$A55,$AM$6:$AM55,1)&gt;Settings!$C$25,"Over max trades/day; ",""),"")&amp;IF(ISNUMBER(Settings!$C$26),IF(SUMIFS($Q$5:$Q54,$A$5:$A54,$A55)&lt;=-Settings!$C$26,"Traded after daily max loss; ",""),"")&amp;IF(AND($AG55="",NOT(ISNUMBER($O55))),"Symbol not in Instruments; ","")&amp;IF(AND($AH55="",NOT(ISNUMBER($O55))),"Forex cross: type Gross P&amp;L; ",""))</f>
        <v/>
      </c>
      <c r="BH55" s="56">
        <f>IF(ISNUMBER($Q55),1,0)</f>
        <v>0</v>
      </c>
      <c r="BI55" s="56">
        <f>IF($Y55="",0,1)</f>
        <v>0</v>
      </c>
      <c r="BJ55" s="56">
        <f>IF($AB55="",0,1)</f>
        <v>0</v>
      </c>
      <c r="BK55" s="56">
        <f>IF(AND($BH55=1,$W55&lt;&gt;"OK"),1,0)</f>
        <v>0</v>
      </c>
      <c r="BL55" s="55">
        <f>IF(N($AZ55)=0,0,IFERROR(INDEX($AT$6:$AT$1005,MATCH($AZ55,$AY$6:$AY$1005,0)),0))</f>
        <v>1187.10688</v>
      </c>
      <c r="BM55" s="56">
        <f>IF(ISNUMBER(SEARCH("daily max loss",$BG55)),1,0)</f>
        <v>0</v>
      </c>
    </row>
    <row r="56" ht="18" customHeight="1">
      <c r="A56" s="38" t="n"/>
      <c r="B56" s="39" t="n"/>
      <c r="C56" s="40" t="n"/>
      <c r="D56" s="41" t="n"/>
      <c r="E56" s="41" t="n"/>
      <c r="F56" s="41" t="n"/>
      <c r="G56" s="41" t="n"/>
      <c r="H56" s="42" t="n"/>
      <c r="I56" s="42" t="n"/>
      <c r="J56" s="42" t="n"/>
      <c r="K56" s="42" t="n"/>
      <c r="L56" s="41" t="n"/>
      <c r="M56" s="41" t="n"/>
      <c r="N56" s="41" t="n"/>
      <c r="O56" s="43" t="n"/>
      <c r="P56" s="43" t="n"/>
      <c r="Q56" s="44" t="str">
        <f>IF($AM56=0,"",IF(ISNUMBER($AK56),$AK56-N($AL56),""))</f>
        <v/>
      </c>
      <c r="R56" s="45" t="str">
        <f>IF(OR($Q56="",NOT(ISNUMBER($V56))),"",$AK56/$V56)</f>
        <v/>
      </c>
      <c r="S56" s="46" t="str">
        <f>IF($Q56="","",IF(AND(ISNUMBER($R56),ABS(N($R56))&lt;N(Settings!$C$8)),"Scratch",IF($Q56&gt;0,"Win",IF($Q56&lt;0,"Loss","Scratch"))))</f>
        <v/>
      </c>
      <c r="T56" s="47" t="str">
        <f>IF(OR($AM56=0,NOT(ISNUMBER($H56)),NOT(ISNUMBER($I56)),NOT(ISNUMBER($J56))),"",IF($H56=$I56,"",ROUND(ABS($J56-$H56)/ABS($H56-$I56),6)))</f>
        <v/>
      </c>
      <c r="U56" s="48" t="str">
        <f>IF(OR($S56&lt;&gt;"Win",NOT(ISNUMBER($T56)),NOT(ISNUMBER($R56))),"",MAX(0,$T56-$R56))</f>
        <v/>
      </c>
      <c r="V56" s="49" t="str">
        <f>IF(OR($AM56=0,NOT(ISNUMBER($H56)),NOT(ISNUMBER($I56)),NOT(ISNUMBER($G56))),"",IF(OR($AG56="",$AH56=""),"",IF(ROUND(ABS($H56-$I56)*ABS($G56)*$AG56*$AH56,6)=0,"",ROUND(ABS($H56-$I56)*ABS($G56)*$AG56*$AH56,6))))</f>
        <v/>
      </c>
      <c r="W56" s="50" t="str">
        <f>IF($AM56=0,"",IF($BG56="","OK",LEFT($BG56,LEN($BG56)-2)))</f>
        <v/>
      </c>
      <c r="X56" s="41" t="n"/>
      <c r="Y56" s="40" t="n"/>
      <c r="Z56" s="41" t="n"/>
      <c r="AA56" s="41" t="n"/>
      <c r="AB56" s="40" t="n"/>
      <c r="AC56" s="51" t="n"/>
      <c r="AD56" s="51" t="n"/>
      <c r="AE56" s="40" t="n"/>
      <c r="AF56" s="52" t="str">
        <f>IF($AM56=0,"",IF($D56&lt;&gt;"",$D56,IF(IFERROR(INDEX(Accounts!$C$7:$C$16,MATCH($C56,Accounts!$B$7:$B$16,0))&amp;"","")&lt;&gt;"",INDEX(Accounts!$C$7:$C$16,MATCH($C56,Accounts!$B$7:$B$16,0)),Settings!$C$6)))</f>
        <v/>
      </c>
      <c r="AG56" s="53" t="str">
        <f>IF($AM56=0,"",IF(AND($BE56&gt;0,N(INDEX(Instruments!$D$6:$D$205,MAX(1,$BE56)))&gt;0),INDEX(Instruments!$D$6:$D$205,MAX(1,$BE56)),IF(N(INDEX(Settings!$D$14:$D$18,$BF56))&gt;0,INDEX(Settings!$D$14:$D$18,$BF56),"")))</f>
        <v/>
      </c>
      <c r="AH56" s="54" t="str">
        <f>IF($AM56=0,"",IF($AF56&lt;&gt;"Forex",1,IF(MID(UPPER(SUBSTITUTE(TRIM($E56),"/","")),4,3)=UPPER(TRIM(Settings!$C$7)),1,IF(LEFT(UPPER(SUBSTITUTE(TRIM($E56),"/","")),3)=UPPER(TRIM(Settings!$C$7)),IF(AND(ISNUMBER($K56),N($K56)&lt;&gt;0),1/$K56,""),""))))</f>
        <v/>
      </c>
      <c r="AI56" s="55" t="str">
        <f>IF($AM56=0,"",IF(OR(NOT(ISNUMBER($H56)),NOT(ISNUMBER($K56)),NOT(ISNUMBER($G56)),$AG56="",$AH56=""),"",ROUND(($K56-$H56)*IF($F56="Short",-1,1)*$G56*$AG56*$AH56,6)))</f>
        <v/>
      </c>
      <c r="AJ56" s="55" t="str">
        <f>IF($AM56=0,"",IF(INDEX(Settings!$E$14:$E$18,$BF56)="% of notional",IF(OR($AG56="",NOT(ISNUMBER($H56)),NOT(ISNUMBER($G56))),"",ROUND(ABS($H56*$G56*$AG56*N($AH56))*IF($L56="Limit",N(INDEX(Settings!$G$14:$G$18,$BF56)),N(INDEX(Settings!$H$14:$H$18,$BF56)))+IF(ISNUMBER($K56),ABS($K56*$G56*$AG56*N($AH56))*IF($M56="Target",N(INDEX(Settings!$G$14:$G$18,$BF56)),N(INDEX(Settings!$H$14:$H$18,$BF56))),0),6)),IF(NOT(ISNUMBER($G56)),"",ROUND(ABS($G56)*2*IF(AND($BE56&gt;0,ISNUMBER(INDEX(Instruments!$G$6:$G$205,MAX(1,$BE56)))),INDEX(Instruments!$G$6:$G$205,MAX(1,$BE56)),N(INDEX(Settings!$F$14:$F$18,$BF56))),6))))</f>
        <v/>
      </c>
      <c r="AK56" s="55" t="str">
        <f>IF($AM56=0,"",IF(ISNUMBER($O56),$O56,$AI56))</f>
        <v/>
      </c>
      <c r="AL56" s="55" t="str">
        <f>IF($AM56=0,"",IF(ISNUMBER($P56),$P56,N($AJ56)))</f>
        <v/>
      </c>
      <c r="AM56" s="56">
        <f>IF(AND($A56&lt;&gt;"",$E56&lt;&gt;"",OR(AND(ISNUMBER($G56),ISNUMBER($H56),ISNUMBER($K56)),ISNUMBER($O56))),1,0)</f>
        <v>0</v>
      </c>
      <c r="AN56" s="57" t="str">
        <f>IF($A56="","",$A56-WEEKDAY($A56,3))</f>
        <v/>
      </c>
      <c r="AO56" s="56" t="str">
        <f>IF($A56="","",WEEKDAY($A56,2))</f>
        <v/>
      </c>
      <c r="AP56" s="55" t="str">
        <f>IF(OR($AM56=0,$C56=""),"",IFERROR(N(INDEX(Accounts!$E$7:$E$16,MATCH($C56,Accounts!$B$7:$B$16,0))),0)+SUMIFS($Q$6:$Q56,$C$6:$C56,$C56))</f>
        <v/>
      </c>
      <c r="AQ56" s="55" t="str">
        <f>IF(OR($AM56=0,$C56=""),"",SUMIFS($Q$6:$Q$1005,$C$6:$C$1005,$C56,$A$6:$A$1005,$A56))</f>
        <v/>
      </c>
      <c r="AR56" s="55" t="str">
        <f>IF(OR($AM56=0,$C56=""),"",IFERROR(N(INDEX(Accounts!$E$7:$E$16,MATCH($C56,Accounts!$B$7:$B$16,0))),0)+SUMIFS($Q$6:$Q$1005,$C$6:$C$1005,$C56,$A$6:$A$1005,"&lt;="&amp;$A56))</f>
        <v/>
      </c>
      <c r="AS56" s="56">
        <f>IF(OR($AM56=0,$Q56=""),0,IF(AND($A56&gt;=Lists!$W$6,$A56&lt;=Lists!$W$7,OR(Dashboard!$D$6="All accounts",$C56=Dashboard!$D$6),OR(Dashboard!$D$7="All markets",$AF56=Dashboard!$D$7)),1,0))</f>
        <v>0</v>
      </c>
      <c r="AT56" s="55">
        <f>IF($AS56=1,N(AT55)+$Q56,N(AT55))</f>
        <v>1187.10688</v>
      </c>
      <c r="AU56" s="55">
        <f>MAX(N(AU55),$AT56)</f>
        <v>1187.10688</v>
      </c>
      <c r="AV56" s="55">
        <f>$AT56-$AU56</f>
        <v>0</v>
      </c>
      <c r="AW56" s="56">
        <f>IF($AS56=1,IF($S56="Win",N(AW55)+1,IF($S56="Loss",0,N(AW55))),N(AW55))</f>
        <v>5</v>
      </c>
      <c r="AX56" s="56">
        <f>IF($AS56=1,IF($S56="Loss",N(AX55)+1,IF($S56="Win",0,N(AX55))),N(AX55))</f>
        <v>0</v>
      </c>
      <c r="AY56" s="56" t="str">
        <f>IF($AS56=1,COUNTIF($AS$6:$AS56,1),"")</f>
        <v/>
      </c>
      <c r="AZ56" s="56">
        <f>MIN(50,N(Lists!$W$8))</f>
        <v>28</v>
      </c>
      <c r="BA56" s="56">
        <f>IF($AS56=1,IF(COUNTIFS($A$6:$A56,$A56,$AS$6:$AS56,1)=1,1,0),0)</f>
        <v>0</v>
      </c>
      <c r="BB56" s="55" t="str">
        <f>IF($BA56=1,SUMIFS($Q$6:$Q$1005,$A$6:$A$1005,$A56,$AS$6:$AS$1005,1),"")</f>
        <v/>
      </c>
      <c r="BC56" s="56">
        <f>IF(ISNUMBER($R56),1,0)</f>
        <v>0</v>
      </c>
      <c r="BD56" s="55" t="str">
        <f>IF(ISNUMBER($U56),$U56*$V56,"")</f>
        <v/>
      </c>
      <c r="BE56" s="56" t="str">
        <f>IF($AM56=0,"",IFERROR(MATCH($AF56&amp;"|"&amp;UPPER(TRIM($E56)),Lists!$A$6:$A$205,0),0))</f>
        <v/>
      </c>
      <c r="BF56" s="56" t="str">
        <f>IF($AM56=0,"",IFERROR(MATCH($AF56,Settings!$B$14:$B$18,0),IFERROR(MATCH(Settings!$C$6,Settings!$B$14:$B$18,0),1)))</f>
        <v/>
      </c>
      <c r="BG56" s="58" t="str">
        <f>IF($AM56=0,"",IF(NOT(ISNUMBER($I56)),"No stop; ","")&amp;IF(AND(ISNUMBER($H56),ISNUMBER($I56)),IF(OR(AND($F56&lt;&gt;"Short",$I56&gt;=$H56),AND($F56="Short",$I56&lt;=$H56)),"Stop on wrong side; ",""),"")&amp;IF($F56="","No direction; ","")&amp;IF(AND(ISNUMBER(Settings!$C$22),ISNUMBER($V56)),IF($V56&gt;Settings!$C$22,"Risk over max $; ",""),"")&amp;IF(AND(ISNUMBER(Settings!$C$23),ISNUMBER($V56),ISNUMBER($AP56),IFERROR(N(INDEX(Accounts!$E$7:$E$16,MATCH($C56,Accounts!$B$7:$B$16,0))),0)&gt;0),IF($V56&gt;Settings!$C$23*($AP56-N($Q56)),"Risk over max %; ",""),"")&amp;IF(AND(ISNUMBER(Settings!$C$24),ISNUMBER($N56)),IF($N56&gt;Settings!$C$24,"Leverage over max; ",""),"")&amp;IF(AND(ISNUMBER(Settings!$C$27),ISNUMBER($T56)),IF($T56&lt;Settings!$C$27,"R:R below min; ",""),"")&amp;IF(ISNUMBER(Settings!$C$25),IF(COUNTIFS($A$6:$A56,$A56,$AM$6:$AM56,1)&gt;Settings!$C$25,"Over max trades/day; ",""),"")&amp;IF(ISNUMBER(Settings!$C$26),IF(SUMIFS($Q$5:$Q55,$A$5:$A55,$A56)&lt;=-Settings!$C$26,"Traded after daily max loss; ",""),"")&amp;IF(AND($AG56="",NOT(ISNUMBER($O56))),"Symbol not in Instruments; ","")&amp;IF(AND($AH56="",NOT(ISNUMBER($O56))),"Forex cross: type Gross P&amp;L; ",""))</f>
        <v/>
      </c>
      <c r="BH56" s="56">
        <f>IF(ISNUMBER($Q56),1,0)</f>
        <v>0</v>
      </c>
      <c r="BI56" s="56">
        <f>IF($Y56="",0,1)</f>
        <v>0</v>
      </c>
      <c r="BJ56" s="56">
        <f>IF($AB56="",0,1)</f>
        <v>0</v>
      </c>
      <c r="BK56" s="56">
        <f>IF(AND($BH56=1,$W56&lt;&gt;"OK"),1,0)</f>
        <v>0</v>
      </c>
      <c r="BL56" s="55">
        <f>IF(N($AZ56)=0,0,IFERROR(INDEX($AT$6:$AT$1005,MATCH($AZ56,$AY$6:$AY$1005,0)),0))</f>
        <v>1187.10688</v>
      </c>
      <c r="BM56" s="56">
        <f>IF(ISNUMBER(SEARCH("daily max loss",$BG56)),1,0)</f>
        <v>0</v>
      </c>
    </row>
    <row r="57" ht="18" customHeight="1">
      <c r="A57" s="38" t="n"/>
      <c r="B57" s="39" t="n"/>
      <c r="C57" s="40" t="n"/>
      <c r="D57" s="41" t="n"/>
      <c r="E57" s="41" t="n"/>
      <c r="F57" s="41" t="n"/>
      <c r="G57" s="41" t="n"/>
      <c r="H57" s="42" t="n"/>
      <c r="I57" s="42" t="n"/>
      <c r="J57" s="42" t="n"/>
      <c r="K57" s="42" t="n"/>
      <c r="L57" s="41" t="n"/>
      <c r="M57" s="41" t="n"/>
      <c r="N57" s="41" t="n"/>
      <c r="O57" s="43" t="n"/>
      <c r="P57" s="43" t="n"/>
      <c r="Q57" s="44" t="str">
        <f>IF($AM57=0,"",IF(ISNUMBER($AK57),$AK57-N($AL57),""))</f>
        <v/>
      </c>
      <c r="R57" s="45" t="str">
        <f>IF(OR($Q57="",NOT(ISNUMBER($V57))),"",$AK57/$V57)</f>
        <v/>
      </c>
      <c r="S57" s="46" t="str">
        <f>IF($Q57="","",IF(AND(ISNUMBER($R57),ABS(N($R57))&lt;N(Settings!$C$8)),"Scratch",IF($Q57&gt;0,"Win",IF($Q57&lt;0,"Loss","Scratch"))))</f>
        <v/>
      </c>
      <c r="T57" s="47" t="str">
        <f>IF(OR($AM57=0,NOT(ISNUMBER($H57)),NOT(ISNUMBER($I57)),NOT(ISNUMBER($J57))),"",IF($H57=$I57,"",ROUND(ABS($J57-$H57)/ABS($H57-$I57),6)))</f>
        <v/>
      </c>
      <c r="U57" s="48" t="str">
        <f>IF(OR($S57&lt;&gt;"Win",NOT(ISNUMBER($T57)),NOT(ISNUMBER($R57))),"",MAX(0,$T57-$R57))</f>
        <v/>
      </c>
      <c r="V57" s="49" t="str">
        <f>IF(OR($AM57=0,NOT(ISNUMBER($H57)),NOT(ISNUMBER($I57)),NOT(ISNUMBER($G57))),"",IF(OR($AG57="",$AH57=""),"",IF(ROUND(ABS($H57-$I57)*ABS($G57)*$AG57*$AH57,6)=0,"",ROUND(ABS($H57-$I57)*ABS($G57)*$AG57*$AH57,6))))</f>
        <v/>
      </c>
      <c r="W57" s="50" t="str">
        <f>IF($AM57=0,"",IF($BG57="","OK",LEFT($BG57,LEN($BG57)-2)))</f>
        <v/>
      </c>
      <c r="X57" s="41" t="n"/>
      <c r="Y57" s="40" t="n"/>
      <c r="Z57" s="41" t="n"/>
      <c r="AA57" s="41" t="n"/>
      <c r="AB57" s="40" t="n"/>
      <c r="AC57" s="51" t="n"/>
      <c r="AD57" s="51" t="n"/>
      <c r="AE57" s="40" t="n"/>
      <c r="AF57" s="52" t="str">
        <f>IF($AM57=0,"",IF($D57&lt;&gt;"",$D57,IF(IFERROR(INDEX(Accounts!$C$7:$C$16,MATCH($C57,Accounts!$B$7:$B$16,0))&amp;"","")&lt;&gt;"",INDEX(Accounts!$C$7:$C$16,MATCH($C57,Accounts!$B$7:$B$16,0)),Settings!$C$6)))</f>
        <v/>
      </c>
      <c r="AG57" s="53" t="str">
        <f>IF($AM57=0,"",IF(AND($BE57&gt;0,N(INDEX(Instruments!$D$6:$D$205,MAX(1,$BE57)))&gt;0),INDEX(Instruments!$D$6:$D$205,MAX(1,$BE57)),IF(N(INDEX(Settings!$D$14:$D$18,$BF57))&gt;0,INDEX(Settings!$D$14:$D$18,$BF57),"")))</f>
        <v/>
      </c>
      <c r="AH57" s="54" t="str">
        <f>IF($AM57=0,"",IF($AF57&lt;&gt;"Forex",1,IF(MID(UPPER(SUBSTITUTE(TRIM($E57),"/","")),4,3)=UPPER(TRIM(Settings!$C$7)),1,IF(LEFT(UPPER(SUBSTITUTE(TRIM($E57),"/","")),3)=UPPER(TRIM(Settings!$C$7)),IF(AND(ISNUMBER($K57),N($K57)&lt;&gt;0),1/$K57,""),""))))</f>
        <v/>
      </c>
      <c r="AI57" s="55" t="str">
        <f>IF($AM57=0,"",IF(OR(NOT(ISNUMBER($H57)),NOT(ISNUMBER($K57)),NOT(ISNUMBER($G57)),$AG57="",$AH57=""),"",ROUND(($K57-$H57)*IF($F57="Short",-1,1)*$G57*$AG57*$AH57,6)))</f>
        <v/>
      </c>
      <c r="AJ57" s="55" t="str">
        <f>IF($AM57=0,"",IF(INDEX(Settings!$E$14:$E$18,$BF57)="% of notional",IF(OR($AG57="",NOT(ISNUMBER($H57)),NOT(ISNUMBER($G57))),"",ROUND(ABS($H57*$G57*$AG57*N($AH57))*IF($L57="Limit",N(INDEX(Settings!$G$14:$G$18,$BF57)),N(INDEX(Settings!$H$14:$H$18,$BF57)))+IF(ISNUMBER($K57),ABS($K57*$G57*$AG57*N($AH57))*IF($M57="Target",N(INDEX(Settings!$G$14:$G$18,$BF57)),N(INDEX(Settings!$H$14:$H$18,$BF57))),0),6)),IF(NOT(ISNUMBER($G57)),"",ROUND(ABS($G57)*2*IF(AND($BE57&gt;0,ISNUMBER(INDEX(Instruments!$G$6:$G$205,MAX(1,$BE57)))),INDEX(Instruments!$G$6:$G$205,MAX(1,$BE57)),N(INDEX(Settings!$F$14:$F$18,$BF57))),6))))</f>
        <v/>
      </c>
      <c r="AK57" s="55" t="str">
        <f>IF($AM57=0,"",IF(ISNUMBER($O57),$O57,$AI57))</f>
        <v/>
      </c>
      <c r="AL57" s="55" t="str">
        <f>IF($AM57=0,"",IF(ISNUMBER($P57),$P57,N($AJ57)))</f>
        <v/>
      </c>
      <c r="AM57" s="56">
        <f>IF(AND($A57&lt;&gt;"",$E57&lt;&gt;"",OR(AND(ISNUMBER($G57),ISNUMBER($H57),ISNUMBER($K57)),ISNUMBER($O57))),1,0)</f>
        <v>0</v>
      </c>
      <c r="AN57" s="57" t="str">
        <f>IF($A57="","",$A57-WEEKDAY($A57,3))</f>
        <v/>
      </c>
      <c r="AO57" s="56" t="str">
        <f>IF($A57="","",WEEKDAY($A57,2))</f>
        <v/>
      </c>
      <c r="AP57" s="55" t="str">
        <f>IF(OR($AM57=0,$C57=""),"",IFERROR(N(INDEX(Accounts!$E$7:$E$16,MATCH($C57,Accounts!$B$7:$B$16,0))),0)+SUMIFS($Q$6:$Q57,$C$6:$C57,$C57))</f>
        <v/>
      </c>
      <c r="AQ57" s="55" t="str">
        <f>IF(OR($AM57=0,$C57=""),"",SUMIFS($Q$6:$Q$1005,$C$6:$C$1005,$C57,$A$6:$A$1005,$A57))</f>
        <v/>
      </c>
      <c r="AR57" s="55" t="str">
        <f>IF(OR($AM57=0,$C57=""),"",IFERROR(N(INDEX(Accounts!$E$7:$E$16,MATCH($C57,Accounts!$B$7:$B$16,0))),0)+SUMIFS($Q$6:$Q$1005,$C$6:$C$1005,$C57,$A$6:$A$1005,"&lt;="&amp;$A57))</f>
        <v/>
      </c>
      <c r="AS57" s="56">
        <f>IF(OR($AM57=0,$Q57=""),0,IF(AND($A57&gt;=Lists!$W$6,$A57&lt;=Lists!$W$7,OR(Dashboard!$D$6="All accounts",$C57=Dashboard!$D$6),OR(Dashboard!$D$7="All markets",$AF57=Dashboard!$D$7)),1,0))</f>
        <v>0</v>
      </c>
      <c r="AT57" s="55">
        <f>IF($AS57=1,N(AT56)+$Q57,N(AT56))</f>
        <v>1187.10688</v>
      </c>
      <c r="AU57" s="55">
        <f>MAX(N(AU56),$AT57)</f>
        <v>1187.10688</v>
      </c>
      <c r="AV57" s="55">
        <f>$AT57-$AU57</f>
        <v>0</v>
      </c>
      <c r="AW57" s="56">
        <f>IF($AS57=1,IF($S57="Win",N(AW56)+1,IF($S57="Loss",0,N(AW56))),N(AW56))</f>
        <v>5</v>
      </c>
      <c r="AX57" s="56">
        <f>IF($AS57=1,IF($S57="Loss",N(AX56)+1,IF($S57="Win",0,N(AX56))),N(AX56))</f>
        <v>0</v>
      </c>
      <c r="AY57" s="56" t="str">
        <f>IF($AS57=1,COUNTIF($AS$6:$AS57,1),"")</f>
        <v/>
      </c>
      <c r="AZ57" s="56">
        <f>MIN(51,N(Lists!$W$8))</f>
        <v>28</v>
      </c>
      <c r="BA57" s="56">
        <f>IF($AS57=1,IF(COUNTIFS($A$6:$A57,$A57,$AS$6:$AS57,1)=1,1,0),0)</f>
        <v>0</v>
      </c>
      <c r="BB57" s="55" t="str">
        <f>IF($BA57=1,SUMIFS($Q$6:$Q$1005,$A$6:$A$1005,$A57,$AS$6:$AS$1005,1),"")</f>
        <v/>
      </c>
      <c r="BC57" s="56">
        <f>IF(ISNUMBER($R57),1,0)</f>
        <v>0</v>
      </c>
      <c r="BD57" s="55" t="str">
        <f>IF(ISNUMBER($U57),$U57*$V57,"")</f>
        <v/>
      </c>
      <c r="BE57" s="56" t="str">
        <f>IF($AM57=0,"",IFERROR(MATCH($AF57&amp;"|"&amp;UPPER(TRIM($E57)),Lists!$A$6:$A$205,0),0))</f>
        <v/>
      </c>
      <c r="BF57" s="56" t="str">
        <f>IF($AM57=0,"",IFERROR(MATCH($AF57,Settings!$B$14:$B$18,0),IFERROR(MATCH(Settings!$C$6,Settings!$B$14:$B$18,0),1)))</f>
        <v/>
      </c>
      <c r="BG57" s="58" t="str">
        <f>IF($AM57=0,"",IF(NOT(ISNUMBER($I57)),"No stop; ","")&amp;IF(AND(ISNUMBER($H57),ISNUMBER($I57)),IF(OR(AND($F57&lt;&gt;"Short",$I57&gt;=$H57),AND($F57="Short",$I57&lt;=$H57)),"Stop on wrong side; ",""),"")&amp;IF($F57="","No direction; ","")&amp;IF(AND(ISNUMBER(Settings!$C$22),ISNUMBER($V57)),IF($V57&gt;Settings!$C$22,"Risk over max $; ",""),"")&amp;IF(AND(ISNUMBER(Settings!$C$23),ISNUMBER($V57),ISNUMBER($AP57),IFERROR(N(INDEX(Accounts!$E$7:$E$16,MATCH($C57,Accounts!$B$7:$B$16,0))),0)&gt;0),IF($V57&gt;Settings!$C$23*($AP57-N($Q57)),"Risk over max %; ",""),"")&amp;IF(AND(ISNUMBER(Settings!$C$24),ISNUMBER($N57)),IF($N57&gt;Settings!$C$24,"Leverage over max; ",""),"")&amp;IF(AND(ISNUMBER(Settings!$C$27),ISNUMBER($T57)),IF($T57&lt;Settings!$C$27,"R:R below min; ",""),"")&amp;IF(ISNUMBER(Settings!$C$25),IF(COUNTIFS($A$6:$A57,$A57,$AM$6:$AM57,1)&gt;Settings!$C$25,"Over max trades/day; ",""),"")&amp;IF(ISNUMBER(Settings!$C$26),IF(SUMIFS($Q$5:$Q56,$A$5:$A56,$A57)&lt;=-Settings!$C$26,"Traded after daily max loss; ",""),"")&amp;IF(AND($AG57="",NOT(ISNUMBER($O57))),"Symbol not in Instruments; ","")&amp;IF(AND($AH57="",NOT(ISNUMBER($O57))),"Forex cross: type Gross P&amp;L; ",""))</f>
        <v/>
      </c>
      <c r="BH57" s="56">
        <f>IF(ISNUMBER($Q57),1,0)</f>
        <v>0</v>
      </c>
      <c r="BI57" s="56">
        <f>IF($Y57="",0,1)</f>
        <v>0</v>
      </c>
      <c r="BJ57" s="56">
        <f>IF($AB57="",0,1)</f>
        <v>0</v>
      </c>
      <c r="BK57" s="56">
        <f>IF(AND($BH57=1,$W57&lt;&gt;"OK"),1,0)</f>
        <v>0</v>
      </c>
      <c r="BL57" s="55">
        <f>IF(N($AZ57)=0,0,IFERROR(INDEX($AT$6:$AT$1005,MATCH($AZ57,$AY$6:$AY$1005,0)),0))</f>
        <v>1187.10688</v>
      </c>
      <c r="BM57" s="56">
        <f>IF(ISNUMBER(SEARCH("daily max loss",$BG57)),1,0)</f>
        <v>0</v>
      </c>
    </row>
    <row r="58" ht="18" customHeight="1">
      <c r="A58" s="38" t="n"/>
      <c r="B58" s="39" t="n"/>
      <c r="C58" s="40" t="n"/>
      <c r="D58" s="41" t="n"/>
      <c r="E58" s="41" t="n"/>
      <c r="F58" s="41" t="n"/>
      <c r="G58" s="41" t="n"/>
      <c r="H58" s="42" t="n"/>
      <c r="I58" s="42" t="n"/>
      <c r="J58" s="42" t="n"/>
      <c r="K58" s="42" t="n"/>
      <c r="L58" s="41" t="n"/>
      <c r="M58" s="41" t="n"/>
      <c r="N58" s="41" t="n"/>
      <c r="O58" s="43" t="n"/>
      <c r="P58" s="43" t="n"/>
      <c r="Q58" s="44" t="str">
        <f>IF($AM58=0,"",IF(ISNUMBER($AK58),$AK58-N($AL58),""))</f>
        <v/>
      </c>
      <c r="R58" s="45" t="str">
        <f>IF(OR($Q58="",NOT(ISNUMBER($V58))),"",$AK58/$V58)</f>
        <v/>
      </c>
      <c r="S58" s="46" t="str">
        <f>IF($Q58="","",IF(AND(ISNUMBER($R58),ABS(N($R58))&lt;N(Settings!$C$8)),"Scratch",IF($Q58&gt;0,"Win",IF($Q58&lt;0,"Loss","Scratch"))))</f>
        <v/>
      </c>
      <c r="T58" s="47" t="str">
        <f>IF(OR($AM58=0,NOT(ISNUMBER($H58)),NOT(ISNUMBER($I58)),NOT(ISNUMBER($J58))),"",IF($H58=$I58,"",ROUND(ABS($J58-$H58)/ABS($H58-$I58),6)))</f>
        <v/>
      </c>
      <c r="U58" s="48" t="str">
        <f>IF(OR($S58&lt;&gt;"Win",NOT(ISNUMBER($T58)),NOT(ISNUMBER($R58))),"",MAX(0,$T58-$R58))</f>
        <v/>
      </c>
      <c r="V58" s="49" t="str">
        <f>IF(OR($AM58=0,NOT(ISNUMBER($H58)),NOT(ISNUMBER($I58)),NOT(ISNUMBER($G58))),"",IF(OR($AG58="",$AH58=""),"",IF(ROUND(ABS($H58-$I58)*ABS($G58)*$AG58*$AH58,6)=0,"",ROUND(ABS($H58-$I58)*ABS($G58)*$AG58*$AH58,6))))</f>
        <v/>
      </c>
      <c r="W58" s="50" t="str">
        <f>IF($AM58=0,"",IF($BG58="","OK",LEFT($BG58,LEN($BG58)-2)))</f>
        <v/>
      </c>
      <c r="X58" s="41" t="n"/>
      <c r="Y58" s="40" t="n"/>
      <c r="Z58" s="41" t="n"/>
      <c r="AA58" s="41" t="n"/>
      <c r="AB58" s="40" t="n"/>
      <c r="AC58" s="51" t="n"/>
      <c r="AD58" s="51" t="n"/>
      <c r="AE58" s="40" t="n"/>
      <c r="AF58" s="52" t="str">
        <f>IF($AM58=0,"",IF($D58&lt;&gt;"",$D58,IF(IFERROR(INDEX(Accounts!$C$7:$C$16,MATCH($C58,Accounts!$B$7:$B$16,0))&amp;"","")&lt;&gt;"",INDEX(Accounts!$C$7:$C$16,MATCH($C58,Accounts!$B$7:$B$16,0)),Settings!$C$6)))</f>
        <v/>
      </c>
      <c r="AG58" s="53" t="str">
        <f>IF($AM58=0,"",IF(AND($BE58&gt;0,N(INDEX(Instruments!$D$6:$D$205,MAX(1,$BE58)))&gt;0),INDEX(Instruments!$D$6:$D$205,MAX(1,$BE58)),IF(N(INDEX(Settings!$D$14:$D$18,$BF58))&gt;0,INDEX(Settings!$D$14:$D$18,$BF58),"")))</f>
        <v/>
      </c>
      <c r="AH58" s="54" t="str">
        <f>IF($AM58=0,"",IF($AF58&lt;&gt;"Forex",1,IF(MID(UPPER(SUBSTITUTE(TRIM($E58),"/","")),4,3)=UPPER(TRIM(Settings!$C$7)),1,IF(LEFT(UPPER(SUBSTITUTE(TRIM($E58),"/","")),3)=UPPER(TRIM(Settings!$C$7)),IF(AND(ISNUMBER($K58),N($K58)&lt;&gt;0),1/$K58,""),""))))</f>
        <v/>
      </c>
      <c r="AI58" s="55" t="str">
        <f>IF($AM58=0,"",IF(OR(NOT(ISNUMBER($H58)),NOT(ISNUMBER($K58)),NOT(ISNUMBER($G58)),$AG58="",$AH58=""),"",ROUND(($K58-$H58)*IF($F58="Short",-1,1)*$G58*$AG58*$AH58,6)))</f>
        <v/>
      </c>
      <c r="AJ58" s="55" t="str">
        <f>IF($AM58=0,"",IF(INDEX(Settings!$E$14:$E$18,$BF58)="% of notional",IF(OR($AG58="",NOT(ISNUMBER($H58)),NOT(ISNUMBER($G58))),"",ROUND(ABS($H58*$G58*$AG58*N($AH58))*IF($L58="Limit",N(INDEX(Settings!$G$14:$G$18,$BF58)),N(INDEX(Settings!$H$14:$H$18,$BF58)))+IF(ISNUMBER($K58),ABS($K58*$G58*$AG58*N($AH58))*IF($M58="Target",N(INDEX(Settings!$G$14:$G$18,$BF58)),N(INDEX(Settings!$H$14:$H$18,$BF58))),0),6)),IF(NOT(ISNUMBER($G58)),"",ROUND(ABS($G58)*2*IF(AND($BE58&gt;0,ISNUMBER(INDEX(Instruments!$G$6:$G$205,MAX(1,$BE58)))),INDEX(Instruments!$G$6:$G$205,MAX(1,$BE58)),N(INDEX(Settings!$F$14:$F$18,$BF58))),6))))</f>
        <v/>
      </c>
      <c r="AK58" s="55" t="str">
        <f>IF($AM58=0,"",IF(ISNUMBER($O58),$O58,$AI58))</f>
        <v/>
      </c>
      <c r="AL58" s="55" t="str">
        <f>IF($AM58=0,"",IF(ISNUMBER($P58),$P58,N($AJ58)))</f>
        <v/>
      </c>
      <c r="AM58" s="56">
        <f>IF(AND($A58&lt;&gt;"",$E58&lt;&gt;"",OR(AND(ISNUMBER($G58),ISNUMBER($H58),ISNUMBER($K58)),ISNUMBER($O58))),1,0)</f>
        <v>0</v>
      </c>
      <c r="AN58" s="57" t="str">
        <f>IF($A58="","",$A58-WEEKDAY($A58,3))</f>
        <v/>
      </c>
      <c r="AO58" s="56" t="str">
        <f>IF($A58="","",WEEKDAY($A58,2))</f>
        <v/>
      </c>
      <c r="AP58" s="55" t="str">
        <f>IF(OR($AM58=0,$C58=""),"",IFERROR(N(INDEX(Accounts!$E$7:$E$16,MATCH($C58,Accounts!$B$7:$B$16,0))),0)+SUMIFS($Q$6:$Q58,$C$6:$C58,$C58))</f>
        <v/>
      </c>
      <c r="AQ58" s="55" t="str">
        <f>IF(OR($AM58=0,$C58=""),"",SUMIFS($Q$6:$Q$1005,$C$6:$C$1005,$C58,$A$6:$A$1005,$A58))</f>
        <v/>
      </c>
      <c r="AR58" s="55" t="str">
        <f>IF(OR($AM58=0,$C58=""),"",IFERROR(N(INDEX(Accounts!$E$7:$E$16,MATCH($C58,Accounts!$B$7:$B$16,0))),0)+SUMIFS($Q$6:$Q$1005,$C$6:$C$1005,$C58,$A$6:$A$1005,"&lt;="&amp;$A58))</f>
        <v/>
      </c>
      <c r="AS58" s="56">
        <f>IF(OR($AM58=0,$Q58=""),0,IF(AND($A58&gt;=Lists!$W$6,$A58&lt;=Lists!$W$7,OR(Dashboard!$D$6="All accounts",$C58=Dashboard!$D$6),OR(Dashboard!$D$7="All markets",$AF58=Dashboard!$D$7)),1,0))</f>
        <v>0</v>
      </c>
      <c r="AT58" s="55">
        <f>IF($AS58=1,N(AT57)+$Q58,N(AT57))</f>
        <v>1187.10688</v>
      </c>
      <c r="AU58" s="55">
        <f>MAX(N(AU57),$AT58)</f>
        <v>1187.10688</v>
      </c>
      <c r="AV58" s="55">
        <f>$AT58-$AU58</f>
        <v>0</v>
      </c>
      <c r="AW58" s="56">
        <f>IF($AS58=1,IF($S58="Win",N(AW57)+1,IF($S58="Loss",0,N(AW57))),N(AW57))</f>
        <v>5</v>
      </c>
      <c r="AX58" s="56">
        <f>IF($AS58=1,IF($S58="Loss",N(AX57)+1,IF($S58="Win",0,N(AX57))),N(AX57))</f>
        <v>0</v>
      </c>
      <c r="AY58" s="56" t="str">
        <f>IF($AS58=1,COUNTIF($AS$6:$AS58,1),"")</f>
        <v/>
      </c>
      <c r="AZ58" s="56">
        <f>MIN(52,N(Lists!$W$8))</f>
        <v>28</v>
      </c>
      <c r="BA58" s="56">
        <f>IF($AS58=1,IF(COUNTIFS($A$6:$A58,$A58,$AS$6:$AS58,1)=1,1,0),0)</f>
        <v>0</v>
      </c>
      <c r="BB58" s="55" t="str">
        <f>IF($BA58=1,SUMIFS($Q$6:$Q$1005,$A$6:$A$1005,$A58,$AS$6:$AS$1005,1),"")</f>
        <v/>
      </c>
      <c r="BC58" s="56">
        <f>IF(ISNUMBER($R58),1,0)</f>
        <v>0</v>
      </c>
      <c r="BD58" s="55" t="str">
        <f>IF(ISNUMBER($U58),$U58*$V58,"")</f>
        <v/>
      </c>
      <c r="BE58" s="56" t="str">
        <f>IF($AM58=0,"",IFERROR(MATCH($AF58&amp;"|"&amp;UPPER(TRIM($E58)),Lists!$A$6:$A$205,0),0))</f>
        <v/>
      </c>
      <c r="BF58" s="56" t="str">
        <f>IF($AM58=0,"",IFERROR(MATCH($AF58,Settings!$B$14:$B$18,0),IFERROR(MATCH(Settings!$C$6,Settings!$B$14:$B$18,0),1)))</f>
        <v/>
      </c>
      <c r="BG58" s="58" t="str">
        <f>IF($AM58=0,"",IF(NOT(ISNUMBER($I58)),"No stop; ","")&amp;IF(AND(ISNUMBER($H58),ISNUMBER($I58)),IF(OR(AND($F58&lt;&gt;"Short",$I58&gt;=$H58),AND($F58="Short",$I58&lt;=$H58)),"Stop on wrong side; ",""),"")&amp;IF($F58="","No direction; ","")&amp;IF(AND(ISNUMBER(Settings!$C$22),ISNUMBER($V58)),IF($V58&gt;Settings!$C$22,"Risk over max $; ",""),"")&amp;IF(AND(ISNUMBER(Settings!$C$23),ISNUMBER($V58),ISNUMBER($AP58),IFERROR(N(INDEX(Accounts!$E$7:$E$16,MATCH($C58,Accounts!$B$7:$B$16,0))),0)&gt;0),IF($V58&gt;Settings!$C$23*($AP58-N($Q58)),"Risk over max %; ",""),"")&amp;IF(AND(ISNUMBER(Settings!$C$24),ISNUMBER($N58)),IF($N58&gt;Settings!$C$24,"Leverage over max; ",""),"")&amp;IF(AND(ISNUMBER(Settings!$C$27),ISNUMBER($T58)),IF($T58&lt;Settings!$C$27,"R:R below min; ",""),"")&amp;IF(ISNUMBER(Settings!$C$25),IF(COUNTIFS($A$6:$A58,$A58,$AM$6:$AM58,1)&gt;Settings!$C$25,"Over max trades/day; ",""),"")&amp;IF(ISNUMBER(Settings!$C$26),IF(SUMIFS($Q$5:$Q57,$A$5:$A57,$A58)&lt;=-Settings!$C$26,"Traded after daily max loss; ",""),"")&amp;IF(AND($AG58="",NOT(ISNUMBER($O58))),"Symbol not in Instruments; ","")&amp;IF(AND($AH58="",NOT(ISNUMBER($O58))),"Forex cross: type Gross P&amp;L; ",""))</f>
        <v/>
      </c>
      <c r="BH58" s="56">
        <f>IF(ISNUMBER($Q58),1,0)</f>
        <v>0</v>
      </c>
      <c r="BI58" s="56">
        <f>IF($Y58="",0,1)</f>
        <v>0</v>
      </c>
      <c r="BJ58" s="56">
        <f>IF($AB58="",0,1)</f>
        <v>0</v>
      </c>
      <c r="BK58" s="56">
        <f>IF(AND($BH58=1,$W58&lt;&gt;"OK"),1,0)</f>
        <v>0</v>
      </c>
      <c r="BL58" s="55">
        <f>IF(N($AZ58)=0,0,IFERROR(INDEX($AT$6:$AT$1005,MATCH($AZ58,$AY$6:$AY$1005,0)),0))</f>
        <v>1187.10688</v>
      </c>
      <c r="BM58" s="56">
        <f>IF(ISNUMBER(SEARCH("daily max loss",$BG58)),1,0)</f>
        <v>0</v>
      </c>
    </row>
    <row r="59" ht="18" customHeight="1">
      <c r="A59" s="38" t="n"/>
      <c r="B59" s="39" t="n"/>
      <c r="C59" s="40" t="n"/>
      <c r="D59" s="41" t="n"/>
      <c r="E59" s="41" t="n"/>
      <c r="F59" s="41" t="n"/>
      <c r="G59" s="41" t="n"/>
      <c r="H59" s="42" t="n"/>
      <c r="I59" s="42" t="n"/>
      <c r="J59" s="42" t="n"/>
      <c r="K59" s="42" t="n"/>
      <c r="L59" s="41" t="n"/>
      <c r="M59" s="41" t="n"/>
      <c r="N59" s="41" t="n"/>
      <c r="O59" s="43" t="n"/>
      <c r="P59" s="43" t="n"/>
      <c r="Q59" s="44" t="str">
        <f>IF($AM59=0,"",IF(ISNUMBER($AK59),$AK59-N($AL59),""))</f>
        <v/>
      </c>
      <c r="R59" s="45" t="str">
        <f>IF(OR($Q59="",NOT(ISNUMBER($V59))),"",$AK59/$V59)</f>
        <v/>
      </c>
      <c r="S59" s="46" t="str">
        <f>IF($Q59="","",IF(AND(ISNUMBER($R59),ABS(N($R59))&lt;N(Settings!$C$8)),"Scratch",IF($Q59&gt;0,"Win",IF($Q59&lt;0,"Loss","Scratch"))))</f>
        <v/>
      </c>
      <c r="T59" s="47" t="str">
        <f>IF(OR($AM59=0,NOT(ISNUMBER($H59)),NOT(ISNUMBER($I59)),NOT(ISNUMBER($J59))),"",IF($H59=$I59,"",ROUND(ABS($J59-$H59)/ABS($H59-$I59),6)))</f>
        <v/>
      </c>
      <c r="U59" s="48" t="str">
        <f>IF(OR($S59&lt;&gt;"Win",NOT(ISNUMBER($T59)),NOT(ISNUMBER($R59))),"",MAX(0,$T59-$R59))</f>
        <v/>
      </c>
      <c r="V59" s="49" t="str">
        <f>IF(OR($AM59=0,NOT(ISNUMBER($H59)),NOT(ISNUMBER($I59)),NOT(ISNUMBER($G59))),"",IF(OR($AG59="",$AH59=""),"",IF(ROUND(ABS($H59-$I59)*ABS($G59)*$AG59*$AH59,6)=0,"",ROUND(ABS($H59-$I59)*ABS($G59)*$AG59*$AH59,6))))</f>
        <v/>
      </c>
      <c r="W59" s="50" t="str">
        <f>IF($AM59=0,"",IF($BG59="","OK",LEFT($BG59,LEN($BG59)-2)))</f>
        <v/>
      </c>
      <c r="X59" s="41" t="n"/>
      <c r="Y59" s="40" t="n"/>
      <c r="Z59" s="41" t="n"/>
      <c r="AA59" s="41" t="n"/>
      <c r="AB59" s="40" t="n"/>
      <c r="AC59" s="51" t="n"/>
      <c r="AD59" s="51" t="n"/>
      <c r="AE59" s="40" t="n"/>
      <c r="AF59" s="52" t="str">
        <f>IF($AM59=0,"",IF($D59&lt;&gt;"",$D59,IF(IFERROR(INDEX(Accounts!$C$7:$C$16,MATCH($C59,Accounts!$B$7:$B$16,0))&amp;"","")&lt;&gt;"",INDEX(Accounts!$C$7:$C$16,MATCH($C59,Accounts!$B$7:$B$16,0)),Settings!$C$6)))</f>
        <v/>
      </c>
      <c r="AG59" s="53" t="str">
        <f>IF($AM59=0,"",IF(AND($BE59&gt;0,N(INDEX(Instruments!$D$6:$D$205,MAX(1,$BE59)))&gt;0),INDEX(Instruments!$D$6:$D$205,MAX(1,$BE59)),IF(N(INDEX(Settings!$D$14:$D$18,$BF59))&gt;0,INDEX(Settings!$D$14:$D$18,$BF59),"")))</f>
        <v/>
      </c>
      <c r="AH59" s="54" t="str">
        <f>IF($AM59=0,"",IF($AF59&lt;&gt;"Forex",1,IF(MID(UPPER(SUBSTITUTE(TRIM($E59),"/","")),4,3)=UPPER(TRIM(Settings!$C$7)),1,IF(LEFT(UPPER(SUBSTITUTE(TRIM($E59),"/","")),3)=UPPER(TRIM(Settings!$C$7)),IF(AND(ISNUMBER($K59),N($K59)&lt;&gt;0),1/$K59,""),""))))</f>
        <v/>
      </c>
      <c r="AI59" s="55" t="str">
        <f>IF($AM59=0,"",IF(OR(NOT(ISNUMBER($H59)),NOT(ISNUMBER($K59)),NOT(ISNUMBER($G59)),$AG59="",$AH59=""),"",ROUND(($K59-$H59)*IF($F59="Short",-1,1)*$G59*$AG59*$AH59,6)))</f>
        <v/>
      </c>
      <c r="AJ59" s="55" t="str">
        <f>IF($AM59=0,"",IF(INDEX(Settings!$E$14:$E$18,$BF59)="% of notional",IF(OR($AG59="",NOT(ISNUMBER($H59)),NOT(ISNUMBER($G59))),"",ROUND(ABS($H59*$G59*$AG59*N($AH59))*IF($L59="Limit",N(INDEX(Settings!$G$14:$G$18,$BF59)),N(INDEX(Settings!$H$14:$H$18,$BF59)))+IF(ISNUMBER($K59),ABS($K59*$G59*$AG59*N($AH59))*IF($M59="Target",N(INDEX(Settings!$G$14:$G$18,$BF59)),N(INDEX(Settings!$H$14:$H$18,$BF59))),0),6)),IF(NOT(ISNUMBER($G59)),"",ROUND(ABS($G59)*2*IF(AND($BE59&gt;0,ISNUMBER(INDEX(Instruments!$G$6:$G$205,MAX(1,$BE59)))),INDEX(Instruments!$G$6:$G$205,MAX(1,$BE59)),N(INDEX(Settings!$F$14:$F$18,$BF59))),6))))</f>
        <v/>
      </c>
      <c r="AK59" s="55" t="str">
        <f>IF($AM59=0,"",IF(ISNUMBER($O59),$O59,$AI59))</f>
        <v/>
      </c>
      <c r="AL59" s="55" t="str">
        <f>IF($AM59=0,"",IF(ISNUMBER($P59),$P59,N($AJ59)))</f>
        <v/>
      </c>
      <c r="AM59" s="56">
        <f>IF(AND($A59&lt;&gt;"",$E59&lt;&gt;"",OR(AND(ISNUMBER($G59),ISNUMBER($H59),ISNUMBER($K59)),ISNUMBER($O59))),1,0)</f>
        <v>0</v>
      </c>
      <c r="AN59" s="57" t="str">
        <f>IF($A59="","",$A59-WEEKDAY($A59,3))</f>
        <v/>
      </c>
      <c r="AO59" s="56" t="str">
        <f>IF($A59="","",WEEKDAY($A59,2))</f>
        <v/>
      </c>
      <c r="AP59" s="55" t="str">
        <f>IF(OR($AM59=0,$C59=""),"",IFERROR(N(INDEX(Accounts!$E$7:$E$16,MATCH($C59,Accounts!$B$7:$B$16,0))),0)+SUMIFS($Q$6:$Q59,$C$6:$C59,$C59))</f>
        <v/>
      </c>
      <c r="AQ59" s="55" t="str">
        <f>IF(OR($AM59=0,$C59=""),"",SUMIFS($Q$6:$Q$1005,$C$6:$C$1005,$C59,$A$6:$A$1005,$A59))</f>
        <v/>
      </c>
      <c r="AR59" s="55" t="str">
        <f>IF(OR($AM59=0,$C59=""),"",IFERROR(N(INDEX(Accounts!$E$7:$E$16,MATCH($C59,Accounts!$B$7:$B$16,0))),0)+SUMIFS($Q$6:$Q$1005,$C$6:$C$1005,$C59,$A$6:$A$1005,"&lt;="&amp;$A59))</f>
        <v/>
      </c>
      <c r="AS59" s="56">
        <f>IF(OR($AM59=0,$Q59=""),0,IF(AND($A59&gt;=Lists!$W$6,$A59&lt;=Lists!$W$7,OR(Dashboard!$D$6="All accounts",$C59=Dashboard!$D$6),OR(Dashboard!$D$7="All markets",$AF59=Dashboard!$D$7)),1,0))</f>
        <v>0</v>
      </c>
      <c r="AT59" s="55">
        <f>IF($AS59=1,N(AT58)+$Q59,N(AT58))</f>
        <v>1187.10688</v>
      </c>
      <c r="AU59" s="55">
        <f>MAX(N(AU58),$AT59)</f>
        <v>1187.10688</v>
      </c>
      <c r="AV59" s="55">
        <f>$AT59-$AU59</f>
        <v>0</v>
      </c>
      <c r="AW59" s="56">
        <f>IF($AS59=1,IF($S59="Win",N(AW58)+1,IF($S59="Loss",0,N(AW58))),N(AW58))</f>
        <v>5</v>
      </c>
      <c r="AX59" s="56">
        <f>IF($AS59=1,IF($S59="Loss",N(AX58)+1,IF($S59="Win",0,N(AX58))),N(AX58))</f>
        <v>0</v>
      </c>
      <c r="AY59" s="56" t="str">
        <f>IF($AS59=1,COUNTIF($AS$6:$AS59,1),"")</f>
        <v/>
      </c>
      <c r="AZ59" s="56">
        <f>MIN(53,N(Lists!$W$8))</f>
        <v>28</v>
      </c>
      <c r="BA59" s="56">
        <f>IF($AS59=1,IF(COUNTIFS($A$6:$A59,$A59,$AS$6:$AS59,1)=1,1,0),0)</f>
        <v>0</v>
      </c>
      <c r="BB59" s="55" t="str">
        <f>IF($BA59=1,SUMIFS($Q$6:$Q$1005,$A$6:$A$1005,$A59,$AS$6:$AS$1005,1),"")</f>
        <v/>
      </c>
      <c r="BC59" s="56">
        <f>IF(ISNUMBER($R59),1,0)</f>
        <v>0</v>
      </c>
      <c r="BD59" s="55" t="str">
        <f>IF(ISNUMBER($U59),$U59*$V59,"")</f>
        <v/>
      </c>
      <c r="BE59" s="56" t="str">
        <f>IF($AM59=0,"",IFERROR(MATCH($AF59&amp;"|"&amp;UPPER(TRIM($E59)),Lists!$A$6:$A$205,0),0))</f>
        <v/>
      </c>
      <c r="BF59" s="56" t="str">
        <f>IF($AM59=0,"",IFERROR(MATCH($AF59,Settings!$B$14:$B$18,0),IFERROR(MATCH(Settings!$C$6,Settings!$B$14:$B$18,0),1)))</f>
        <v/>
      </c>
      <c r="BG59" s="58" t="str">
        <f>IF($AM59=0,"",IF(NOT(ISNUMBER($I59)),"No stop; ","")&amp;IF(AND(ISNUMBER($H59),ISNUMBER($I59)),IF(OR(AND($F59&lt;&gt;"Short",$I59&gt;=$H59),AND($F59="Short",$I59&lt;=$H59)),"Stop on wrong side; ",""),"")&amp;IF($F59="","No direction; ","")&amp;IF(AND(ISNUMBER(Settings!$C$22),ISNUMBER($V59)),IF($V59&gt;Settings!$C$22,"Risk over max $; ",""),"")&amp;IF(AND(ISNUMBER(Settings!$C$23),ISNUMBER($V59),ISNUMBER($AP59),IFERROR(N(INDEX(Accounts!$E$7:$E$16,MATCH($C59,Accounts!$B$7:$B$16,0))),0)&gt;0),IF($V59&gt;Settings!$C$23*($AP59-N($Q59)),"Risk over max %; ",""),"")&amp;IF(AND(ISNUMBER(Settings!$C$24),ISNUMBER($N59)),IF($N59&gt;Settings!$C$24,"Leverage over max; ",""),"")&amp;IF(AND(ISNUMBER(Settings!$C$27),ISNUMBER($T59)),IF($T59&lt;Settings!$C$27,"R:R below min; ",""),"")&amp;IF(ISNUMBER(Settings!$C$25),IF(COUNTIFS($A$6:$A59,$A59,$AM$6:$AM59,1)&gt;Settings!$C$25,"Over max trades/day; ",""),"")&amp;IF(ISNUMBER(Settings!$C$26),IF(SUMIFS($Q$5:$Q58,$A$5:$A58,$A59)&lt;=-Settings!$C$26,"Traded after daily max loss; ",""),"")&amp;IF(AND($AG59="",NOT(ISNUMBER($O59))),"Symbol not in Instruments; ","")&amp;IF(AND($AH59="",NOT(ISNUMBER($O59))),"Forex cross: type Gross P&amp;L; ",""))</f>
        <v/>
      </c>
      <c r="BH59" s="56">
        <f>IF(ISNUMBER($Q59),1,0)</f>
        <v>0</v>
      </c>
      <c r="BI59" s="56">
        <f>IF($Y59="",0,1)</f>
        <v>0</v>
      </c>
      <c r="BJ59" s="56">
        <f>IF($AB59="",0,1)</f>
        <v>0</v>
      </c>
      <c r="BK59" s="56">
        <f>IF(AND($BH59=1,$W59&lt;&gt;"OK"),1,0)</f>
        <v>0</v>
      </c>
      <c r="BL59" s="55">
        <f>IF(N($AZ59)=0,0,IFERROR(INDEX($AT$6:$AT$1005,MATCH($AZ59,$AY$6:$AY$1005,0)),0))</f>
        <v>1187.10688</v>
      </c>
      <c r="BM59" s="56">
        <f>IF(ISNUMBER(SEARCH("daily max loss",$BG59)),1,0)</f>
        <v>0</v>
      </c>
    </row>
    <row r="60" ht="18" customHeight="1">
      <c r="A60" s="38" t="n"/>
      <c r="B60" s="39" t="n"/>
      <c r="C60" s="40" t="n"/>
      <c r="D60" s="41" t="n"/>
      <c r="E60" s="41" t="n"/>
      <c r="F60" s="41" t="n"/>
      <c r="G60" s="41" t="n"/>
      <c r="H60" s="42" t="n"/>
      <c r="I60" s="42" t="n"/>
      <c r="J60" s="42" t="n"/>
      <c r="K60" s="42" t="n"/>
      <c r="L60" s="41" t="n"/>
      <c r="M60" s="41" t="n"/>
      <c r="N60" s="41" t="n"/>
      <c r="O60" s="43" t="n"/>
      <c r="P60" s="43" t="n"/>
      <c r="Q60" s="44" t="str">
        <f>IF($AM60=0,"",IF(ISNUMBER($AK60),$AK60-N($AL60),""))</f>
        <v/>
      </c>
      <c r="R60" s="45" t="str">
        <f>IF(OR($Q60="",NOT(ISNUMBER($V60))),"",$AK60/$V60)</f>
        <v/>
      </c>
      <c r="S60" s="46" t="str">
        <f>IF($Q60="","",IF(AND(ISNUMBER($R60),ABS(N($R60))&lt;N(Settings!$C$8)),"Scratch",IF($Q60&gt;0,"Win",IF($Q60&lt;0,"Loss","Scratch"))))</f>
        <v/>
      </c>
      <c r="T60" s="47" t="str">
        <f>IF(OR($AM60=0,NOT(ISNUMBER($H60)),NOT(ISNUMBER($I60)),NOT(ISNUMBER($J60))),"",IF($H60=$I60,"",ROUND(ABS($J60-$H60)/ABS($H60-$I60),6)))</f>
        <v/>
      </c>
      <c r="U60" s="48" t="str">
        <f>IF(OR($S60&lt;&gt;"Win",NOT(ISNUMBER($T60)),NOT(ISNUMBER($R60))),"",MAX(0,$T60-$R60))</f>
        <v/>
      </c>
      <c r="V60" s="49" t="str">
        <f>IF(OR($AM60=0,NOT(ISNUMBER($H60)),NOT(ISNUMBER($I60)),NOT(ISNUMBER($G60))),"",IF(OR($AG60="",$AH60=""),"",IF(ROUND(ABS($H60-$I60)*ABS($G60)*$AG60*$AH60,6)=0,"",ROUND(ABS($H60-$I60)*ABS($G60)*$AG60*$AH60,6))))</f>
        <v/>
      </c>
      <c r="W60" s="50" t="str">
        <f>IF($AM60=0,"",IF($BG60="","OK",LEFT($BG60,LEN($BG60)-2)))</f>
        <v/>
      </c>
      <c r="X60" s="41" t="n"/>
      <c r="Y60" s="40" t="n"/>
      <c r="Z60" s="41" t="n"/>
      <c r="AA60" s="41" t="n"/>
      <c r="AB60" s="40" t="n"/>
      <c r="AC60" s="51" t="n"/>
      <c r="AD60" s="51" t="n"/>
      <c r="AE60" s="40" t="n"/>
      <c r="AF60" s="52" t="str">
        <f>IF($AM60=0,"",IF($D60&lt;&gt;"",$D60,IF(IFERROR(INDEX(Accounts!$C$7:$C$16,MATCH($C60,Accounts!$B$7:$B$16,0))&amp;"","")&lt;&gt;"",INDEX(Accounts!$C$7:$C$16,MATCH($C60,Accounts!$B$7:$B$16,0)),Settings!$C$6)))</f>
        <v/>
      </c>
      <c r="AG60" s="53" t="str">
        <f>IF($AM60=0,"",IF(AND($BE60&gt;0,N(INDEX(Instruments!$D$6:$D$205,MAX(1,$BE60)))&gt;0),INDEX(Instruments!$D$6:$D$205,MAX(1,$BE60)),IF(N(INDEX(Settings!$D$14:$D$18,$BF60))&gt;0,INDEX(Settings!$D$14:$D$18,$BF60),"")))</f>
        <v/>
      </c>
      <c r="AH60" s="54" t="str">
        <f>IF($AM60=0,"",IF($AF60&lt;&gt;"Forex",1,IF(MID(UPPER(SUBSTITUTE(TRIM($E60),"/","")),4,3)=UPPER(TRIM(Settings!$C$7)),1,IF(LEFT(UPPER(SUBSTITUTE(TRIM($E60),"/","")),3)=UPPER(TRIM(Settings!$C$7)),IF(AND(ISNUMBER($K60),N($K60)&lt;&gt;0),1/$K60,""),""))))</f>
        <v/>
      </c>
      <c r="AI60" s="55" t="str">
        <f>IF($AM60=0,"",IF(OR(NOT(ISNUMBER($H60)),NOT(ISNUMBER($K60)),NOT(ISNUMBER($G60)),$AG60="",$AH60=""),"",ROUND(($K60-$H60)*IF($F60="Short",-1,1)*$G60*$AG60*$AH60,6)))</f>
        <v/>
      </c>
      <c r="AJ60" s="55" t="str">
        <f>IF($AM60=0,"",IF(INDEX(Settings!$E$14:$E$18,$BF60)="% of notional",IF(OR($AG60="",NOT(ISNUMBER($H60)),NOT(ISNUMBER($G60))),"",ROUND(ABS($H60*$G60*$AG60*N($AH60))*IF($L60="Limit",N(INDEX(Settings!$G$14:$G$18,$BF60)),N(INDEX(Settings!$H$14:$H$18,$BF60)))+IF(ISNUMBER($K60),ABS($K60*$G60*$AG60*N($AH60))*IF($M60="Target",N(INDEX(Settings!$G$14:$G$18,$BF60)),N(INDEX(Settings!$H$14:$H$18,$BF60))),0),6)),IF(NOT(ISNUMBER($G60)),"",ROUND(ABS($G60)*2*IF(AND($BE60&gt;0,ISNUMBER(INDEX(Instruments!$G$6:$G$205,MAX(1,$BE60)))),INDEX(Instruments!$G$6:$G$205,MAX(1,$BE60)),N(INDEX(Settings!$F$14:$F$18,$BF60))),6))))</f>
        <v/>
      </c>
      <c r="AK60" s="55" t="str">
        <f>IF($AM60=0,"",IF(ISNUMBER($O60),$O60,$AI60))</f>
        <v/>
      </c>
      <c r="AL60" s="55" t="str">
        <f>IF($AM60=0,"",IF(ISNUMBER($P60),$P60,N($AJ60)))</f>
        <v/>
      </c>
      <c r="AM60" s="56">
        <f>IF(AND($A60&lt;&gt;"",$E60&lt;&gt;"",OR(AND(ISNUMBER($G60),ISNUMBER($H60),ISNUMBER($K60)),ISNUMBER($O60))),1,0)</f>
        <v>0</v>
      </c>
      <c r="AN60" s="57" t="str">
        <f>IF($A60="","",$A60-WEEKDAY($A60,3))</f>
        <v/>
      </c>
      <c r="AO60" s="56" t="str">
        <f>IF($A60="","",WEEKDAY($A60,2))</f>
        <v/>
      </c>
      <c r="AP60" s="55" t="str">
        <f>IF(OR($AM60=0,$C60=""),"",IFERROR(N(INDEX(Accounts!$E$7:$E$16,MATCH($C60,Accounts!$B$7:$B$16,0))),0)+SUMIFS($Q$6:$Q60,$C$6:$C60,$C60))</f>
        <v/>
      </c>
      <c r="AQ60" s="55" t="str">
        <f>IF(OR($AM60=0,$C60=""),"",SUMIFS($Q$6:$Q$1005,$C$6:$C$1005,$C60,$A$6:$A$1005,$A60))</f>
        <v/>
      </c>
      <c r="AR60" s="55" t="str">
        <f>IF(OR($AM60=0,$C60=""),"",IFERROR(N(INDEX(Accounts!$E$7:$E$16,MATCH($C60,Accounts!$B$7:$B$16,0))),0)+SUMIFS($Q$6:$Q$1005,$C$6:$C$1005,$C60,$A$6:$A$1005,"&lt;="&amp;$A60))</f>
        <v/>
      </c>
      <c r="AS60" s="56">
        <f>IF(OR($AM60=0,$Q60=""),0,IF(AND($A60&gt;=Lists!$W$6,$A60&lt;=Lists!$W$7,OR(Dashboard!$D$6="All accounts",$C60=Dashboard!$D$6),OR(Dashboard!$D$7="All markets",$AF60=Dashboard!$D$7)),1,0))</f>
        <v>0</v>
      </c>
      <c r="AT60" s="55">
        <f>IF($AS60=1,N(AT59)+$Q60,N(AT59))</f>
        <v>1187.10688</v>
      </c>
      <c r="AU60" s="55">
        <f>MAX(N(AU59),$AT60)</f>
        <v>1187.10688</v>
      </c>
      <c r="AV60" s="55">
        <f>$AT60-$AU60</f>
        <v>0</v>
      </c>
      <c r="AW60" s="56">
        <f>IF($AS60=1,IF($S60="Win",N(AW59)+1,IF($S60="Loss",0,N(AW59))),N(AW59))</f>
        <v>5</v>
      </c>
      <c r="AX60" s="56">
        <f>IF($AS60=1,IF($S60="Loss",N(AX59)+1,IF($S60="Win",0,N(AX59))),N(AX59))</f>
        <v>0</v>
      </c>
      <c r="AY60" s="56" t="str">
        <f>IF($AS60=1,COUNTIF($AS$6:$AS60,1),"")</f>
        <v/>
      </c>
      <c r="AZ60" s="56">
        <f>MIN(54,N(Lists!$W$8))</f>
        <v>28</v>
      </c>
      <c r="BA60" s="56">
        <f>IF($AS60=1,IF(COUNTIFS($A$6:$A60,$A60,$AS$6:$AS60,1)=1,1,0),0)</f>
        <v>0</v>
      </c>
      <c r="BB60" s="55" t="str">
        <f>IF($BA60=1,SUMIFS($Q$6:$Q$1005,$A$6:$A$1005,$A60,$AS$6:$AS$1005,1),"")</f>
        <v/>
      </c>
      <c r="BC60" s="56">
        <f>IF(ISNUMBER($R60),1,0)</f>
        <v>0</v>
      </c>
      <c r="BD60" s="55" t="str">
        <f>IF(ISNUMBER($U60),$U60*$V60,"")</f>
        <v/>
      </c>
      <c r="BE60" s="56" t="str">
        <f>IF($AM60=0,"",IFERROR(MATCH($AF60&amp;"|"&amp;UPPER(TRIM($E60)),Lists!$A$6:$A$205,0),0))</f>
        <v/>
      </c>
      <c r="BF60" s="56" t="str">
        <f>IF($AM60=0,"",IFERROR(MATCH($AF60,Settings!$B$14:$B$18,0),IFERROR(MATCH(Settings!$C$6,Settings!$B$14:$B$18,0),1)))</f>
        <v/>
      </c>
      <c r="BG60" s="58" t="str">
        <f>IF($AM60=0,"",IF(NOT(ISNUMBER($I60)),"No stop; ","")&amp;IF(AND(ISNUMBER($H60),ISNUMBER($I60)),IF(OR(AND($F60&lt;&gt;"Short",$I60&gt;=$H60),AND($F60="Short",$I60&lt;=$H60)),"Stop on wrong side; ",""),"")&amp;IF($F60="","No direction; ","")&amp;IF(AND(ISNUMBER(Settings!$C$22),ISNUMBER($V60)),IF($V60&gt;Settings!$C$22,"Risk over max $; ",""),"")&amp;IF(AND(ISNUMBER(Settings!$C$23),ISNUMBER($V60),ISNUMBER($AP60),IFERROR(N(INDEX(Accounts!$E$7:$E$16,MATCH($C60,Accounts!$B$7:$B$16,0))),0)&gt;0),IF($V60&gt;Settings!$C$23*($AP60-N($Q60)),"Risk over max %; ",""),"")&amp;IF(AND(ISNUMBER(Settings!$C$24),ISNUMBER($N60)),IF($N60&gt;Settings!$C$24,"Leverage over max; ",""),"")&amp;IF(AND(ISNUMBER(Settings!$C$27),ISNUMBER($T60)),IF($T60&lt;Settings!$C$27,"R:R below min; ",""),"")&amp;IF(ISNUMBER(Settings!$C$25),IF(COUNTIFS($A$6:$A60,$A60,$AM$6:$AM60,1)&gt;Settings!$C$25,"Over max trades/day; ",""),"")&amp;IF(ISNUMBER(Settings!$C$26),IF(SUMIFS($Q$5:$Q59,$A$5:$A59,$A60)&lt;=-Settings!$C$26,"Traded after daily max loss; ",""),"")&amp;IF(AND($AG60="",NOT(ISNUMBER($O60))),"Symbol not in Instruments; ","")&amp;IF(AND($AH60="",NOT(ISNUMBER($O60))),"Forex cross: type Gross P&amp;L; ",""))</f>
        <v/>
      </c>
      <c r="BH60" s="56">
        <f>IF(ISNUMBER($Q60),1,0)</f>
        <v>0</v>
      </c>
      <c r="BI60" s="56">
        <f>IF($Y60="",0,1)</f>
        <v>0</v>
      </c>
      <c r="BJ60" s="56">
        <f>IF($AB60="",0,1)</f>
        <v>0</v>
      </c>
      <c r="BK60" s="56">
        <f>IF(AND($BH60=1,$W60&lt;&gt;"OK"),1,0)</f>
        <v>0</v>
      </c>
      <c r="BL60" s="55">
        <f>IF(N($AZ60)=0,0,IFERROR(INDEX($AT$6:$AT$1005,MATCH($AZ60,$AY$6:$AY$1005,0)),0))</f>
        <v>1187.10688</v>
      </c>
      <c r="BM60" s="56">
        <f>IF(ISNUMBER(SEARCH("daily max loss",$BG60)),1,0)</f>
        <v>0</v>
      </c>
    </row>
    <row r="61" ht="18" customHeight="1">
      <c r="A61" s="38" t="n"/>
      <c r="B61" s="39" t="n"/>
      <c r="C61" s="40" t="n"/>
      <c r="D61" s="41" t="n"/>
      <c r="E61" s="41" t="n"/>
      <c r="F61" s="41" t="n"/>
      <c r="G61" s="41" t="n"/>
      <c r="H61" s="42" t="n"/>
      <c r="I61" s="42" t="n"/>
      <c r="J61" s="42" t="n"/>
      <c r="K61" s="42" t="n"/>
      <c r="L61" s="41" t="n"/>
      <c r="M61" s="41" t="n"/>
      <c r="N61" s="41" t="n"/>
      <c r="O61" s="43" t="n"/>
      <c r="P61" s="43" t="n"/>
      <c r="Q61" s="44" t="str">
        <f>IF($AM61=0,"",IF(ISNUMBER($AK61),$AK61-N($AL61),""))</f>
        <v/>
      </c>
      <c r="R61" s="45" t="str">
        <f>IF(OR($Q61="",NOT(ISNUMBER($V61))),"",$AK61/$V61)</f>
        <v/>
      </c>
      <c r="S61" s="46" t="str">
        <f>IF($Q61="","",IF(AND(ISNUMBER($R61),ABS(N($R61))&lt;N(Settings!$C$8)),"Scratch",IF($Q61&gt;0,"Win",IF($Q61&lt;0,"Loss","Scratch"))))</f>
        <v/>
      </c>
      <c r="T61" s="47" t="str">
        <f>IF(OR($AM61=0,NOT(ISNUMBER($H61)),NOT(ISNUMBER($I61)),NOT(ISNUMBER($J61))),"",IF($H61=$I61,"",ROUND(ABS($J61-$H61)/ABS($H61-$I61),6)))</f>
        <v/>
      </c>
      <c r="U61" s="48" t="str">
        <f>IF(OR($S61&lt;&gt;"Win",NOT(ISNUMBER($T61)),NOT(ISNUMBER($R61))),"",MAX(0,$T61-$R61))</f>
        <v/>
      </c>
      <c r="V61" s="49" t="str">
        <f>IF(OR($AM61=0,NOT(ISNUMBER($H61)),NOT(ISNUMBER($I61)),NOT(ISNUMBER($G61))),"",IF(OR($AG61="",$AH61=""),"",IF(ROUND(ABS($H61-$I61)*ABS($G61)*$AG61*$AH61,6)=0,"",ROUND(ABS($H61-$I61)*ABS($G61)*$AG61*$AH61,6))))</f>
        <v/>
      </c>
      <c r="W61" s="50" t="str">
        <f>IF($AM61=0,"",IF($BG61="","OK",LEFT($BG61,LEN($BG61)-2)))</f>
        <v/>
      </c>
      <c r="X61" s="41" t="n"/>
      <c r="Y61" s="40" t="n"/>
      <c r="Z61" s="41" t="n"/>
      <c r="AA61" s="41" t="n"/>
      <c r="AB61" s="40" t="n"/>
      <c r="AC61" s="51" t="n"/>
      <c r="AD61" s="51" t="n"/>
      <c r="AE61" s="40" t="n"/>
      <c r="AF61" s="52" t="str">
        <f>IF($AM61=0,"",IF($D61&lt;&gt;"",$D61,IF(IFERROR(INDEX(Accounts!$C$7:$C$16,MATCH($C61,Accounts!$B$7:$B$16,0))&amp;"","")&lt;&gt;"",INDEX(Accounts!$C$7:$C$16,MATCH($C61,Accounts!$B$7:$B$16,0)),Settings!$C$6)))</f>
        <v/>
      </c>
      <c r="AG61" s="53" t="str">
        <f>IF($AM61=0,"",IF(AND($BE61&gt;0,N(INDEX(Instruments!$D$6:$D$205,MAX(1,$BE61)))&gt;0),INDEX(Instruments!$D$6:$D$205,MAX(1,$BE61)),IF(N(INDEX(Settings!$D$14:$D$18,$BF61))&gt;0,INDEX(Settings!$D$14:$D$18,$BF61),"")))</f>
        <v/>
      </c>
      <c r="AH61" s="54" t="str">
        <f>IF($AM61=0,"",IF($AF61&lt;&gt;"Forex",1,IF(MID(UPPER(SUBSTITUTE(TRIM($E61),"/","")),4,3)=UPPER(TRIM(Settings!$C$7)),1,IF(LEFT(UPPER(SUBSTITUTE(TRIM($E61),"/","")),3)=UPPER(TRIM(Settings!$C$7)),IF(AND(ISNUMBER($K61),N($K61)&lt;&gt;0),1/$K61,""),""))))</f>
        <v/>
      </c>
      <c r="AI61" s="55" t="str">
        <f>IF($AM61=0,"",IF(OR(NOT(ISNUMBER($H61)),NOT(ISNUMBER($K61)),NOT(ISNUMBER($G61)),$AG61="",$AH61=""),"",ROUND(($K61-$H61)*IF($F61="Short",-1,1)*$G61*$AG61*$AH61,6)))</f>
        <v/>
      </c>
      <c r="AJ61" s="55" t="str">
        <f>IF($AM61=0,"",IF(INDEX(Settings!$E$14:$E$18,$BF61)="% of notional",IF(OR($AG61="",NOT(ISNUMBER($H61)),NOT(ISNUMBER($G61))),"",ROUND(ABS($H61*$G61*$AG61*N($AH61))*IF($L61="Limit",N(INDEX(Settings!$G$14:$G$18,$BF61)),N(INDEX(Settings!$H$14:$H$18,$BF61)))+IF(ISNUMBER($K61),ABS($K61*$G61*$AG61*N($AH61))*IF($M61="Target",N(INDEX(Settings!$G$14:$G$18,$BF61)),N(INDEX(Settings!$H$14:$H$18,$BF61))),0),6)),IF(NOT(ISNUMBER($G61)),"",ROUND(ABS($G61)*2*IF(AND($BE61&gt;0,ISNUMBER(INDEX(Instruments!$G$6:$G$205,MAX(1,$BE61)))),INDEX(Instruments!$G$6:$G$205,MAX(1,$BE61)),N(INDEX(Settings!$F$14:$F$18,$BF61))),6))))</f>
        <v/>
      </c>
      <c r="AK61" s="55" t="str">
        <f>IF($AM61=0,"",IF(ISNUMBER($O61),$O61,$AI61))</f>
        <v/>
      </c>
      <c r="AL61" s="55" t="str">
        <f>IF($AM61=0,"",IF(ISNUMBER($P61),$P61,N($AJ61)))</f>
        <v/>
      </c>
      <c r="AM61" s="56">
        <f>IF(AND($A61&lt;&gt;"",$E61&lt;&gt;"",OR(AND(ISNUMBER($G61),ISNUMBER($H61),ISNUMBER($K61)),ISNUMBER($O61))),1,0)</f>
        <v>0</v>
      </c>
      <c r="AN61" s="57" t="str">
        <f>IF($A61="","",$A61-WEEKDAY($A61,3))</f>
        <v/>
      </c>
      <c r="AO61" s="56" t="str">
        <f>IF($A61="","",WEEKDAY($A61,2))</f>
        <v/>
      </c>
      <c r="AP61" s="55" t="str">
        <f>IF(OR($AM61=0,$C61=""),"",IFERROR(N(INDEX(Accounts!$E$7:$E$16,MATCH($C61,Accounts!$B$7:$B$16,0))),0)+SUMIFS($Q$6:$Q61,$C$6:$C61,$C61))</f>
        <v/>
      </c>
      <c r="AQ61" s="55" t="str">
        <f>IF(OR($AM61=0,$C61=""),"",SUMIFS($Q$6:$Q$1005,$C$6:$C$1005,$C61,$A$6:$A$1005,$A61))</f>
        <v/>
      </c>
      <c r="AR61" s="55" t="str">
        <f>IF(OR($AM61=0,$C61=""),"",IFERROR(N(INDEX(Accounts!$E$7:$E$16,MATCH($C61,Accounts!$B$7:$B$16,0))),0)+SUMIFS($Q$6:$Q$1005,$C$6:$C$1005,$C61,$A$6:$A$1005,"&lt;="&amp;$A61))</f>
        <v/>
      </c>
      <c r="AS61" s="56">
        <f>IF(OR($AM61=0,$Q61=""),0,IF(AND($A61&gt;=Lists!$W$6,$A61&lt;=Lists!$W$7,OR(Dashboard!$D$6="All accounts",$C61=Dashboard!$D$6),OR(Dashboard!$D$7="All markets",$AF61=Dashboard!$D$7)),1,0))</f>
        <v>0</v>
      </c>
      <c r="AT61" s="55">
        <f>IF($AS61=1,N(AT60)+$Q61,N(AT60))</f>
        <v>1187.10688</v>
      </c>
      <c r="AU61" s="55">
        <f>MAX(N(AU60),$AT61)</f>
        <v>1187.10688</v>
      </c>
      <c r="AV61" s="55">
        <f>$AT61-$AU61</f>
        <v>0</v>
      </c>
      <c r="AW61" s="56">
        <f>IF($AS61=1,IF($S61="Win",N(AW60)+1,IF($S61="Loss",0,N(AW60))),N(AW60))</f>
        <v>5</v>
      </c>
      <c r="AX61" s="56">
        <f>IF($AS61=1,IF($S61="Loss",N(AX60)+1,IF($S61="Win",0,N(AX60))),N(AX60))</f>
        <v>0</v>
      </c>
      <c r="AY61" s="56" t="str">
        <f>IF($AS61=1,COUNTIF($AS$6:$AS61,1),"")</f>
        <v/>
      </c>
      <c r="AZ61" s="56">
        <f>MIN(55,N(Lists!$W$8))</f>
        <v>28</v>
      </c>
      <c r="BA61" s="56">
        <f>IF($AS61=1,IF(COUNTIFS($A$6:$A61,$A61,$AS$6:$AS61,1)=1,1,0),0)</f>
        <v>0</v>
      </c>
      <c r="BB61" s="55" t="str">
        <f>IF($BA61=1,SUMIFS($Q$6:$Q$1005,$A$6:$A$1005,$A61,$AS$6:$AS$1005,1),"")</f>
        <v/>
      </c>
      <c r="BC61" s="56">
        <f>IF(ISNUMBER($R61),1,0)</f>
        <v>0</v>
      </c>
      <c r="BD61" s="55" t="str">
        <f>IF(ISNUMBER($U61),$U61*$V61,"")</f>
        <v/>
      </c>
      <c r="BE61" s="56" t="str">
        <f>IF($AM61=0,"",IFERROR(MATCH($AF61&amp;"|"&amp;UPPER(TRIM($E61)),Lists!$A$6:$A$205,0),0))</f>
        <v/>
      </c>
      <c r="BF61" s="56" t="str">
        <f>IF($AM61=0,"",IFERROR(MATCH($AF61,Settings!$B$14:$B$18,0),IFERROR(MATCH(Settings!$C$6,Settings!$B$14:$B$18,0),1)))</f>
        <v/>
      </c>
      <c r="BG61" s="58" t="str">
        <f>IF($AM61=0,"",IF(NOT(ISNUMBER($I61)),"No stop; ","")&amp;IF(AND(ISNUMBER($H61),ISNUMBER($I61)),IF(OR(AND($F61&lt;&gt;"Short",$I61&gt;=$H61),AND($F61="Short",$I61&lt;=$H61)),"Stop on wrong side; ",""),"")&amp;IF($F61="","No direction; ","")&amp;IF(AND(ISNUMBER(Settings!$C$22),ISNUMBER($V61)),IF($V61&gt;Settings!$C$22,"Risk over max $; ",""),"")&amp;IF(AND(ISNUMBER(Settings!$C$23),ISNUMBER($V61),ISNUMBER($AP61),IFERROR(N(INDEX(Accounts!$E$7:$E$16,MATCH($C61,Accounts!$B$7:$B$16,0))),0)&gt;0),IF($V61&gt;Settings!$C$23*($AP61-N($Q61)),"Risk over max %; ",""),"")&amp;IF(AND(ISNUMBER(Settings!$C$24),ISNUMBER($N61)),IF($N61&gt;Settings!$C$24,"Leverage over max; ",""),"")&amp;IF(AND(ISNUMBER(Settings!$C$27),ISNUMBER($T61)),IF($T61&lt;Settings!$C$27,"R:R below min; ",""),"")&amp;IF(ISNUMBER(Settings!$C$25),IF(COUNTIFS($A$6:$A61,$A61,$AM$6:$AM61,1)&gt;Settings!$C$25,"Over max trades/day; ",""),"")&amp;IF(ISNUMBER(Settings!$C$26),IF(SUMIFS($Q$5:$Q60,$A$5:$A60,$A61)&lt;=-Settings!$C$26,"Traded after daily max loss; ",""),"")&amp;IF(AND($AG61="",NOT(ISNUMBER($O61))),"Symbol not in Instruments; ","")&amp;IF(AND($AH61="",NOT(ISNUMBER($O61))),"Forex cross: type Gross P&amp;L; ",""))</f>
        <v/>
      </c>
      <c r="BH61" s="56">
        <f>IF(ISNUMBER($Q61),1,0)</f>
        <v>0</v>
      </c>
      <c r="BI61" s="56">
        <f>IF($Y61="",0,1)</f>
        <v>0</v>
      </c>
      <c r="BJ61" s="56">
        <f>IF($AB61="",0,1)</f>
        <v>0</v>
      </c>
      <c r="BK61" s="56">
        <f>IF(AND($BH61=1,$W61&lt;&gt;"OK"),1,0)</f>
        <v>0</v>
      </c>
      <c r="BL61" s="55">
        <f>IF(N($AZ61)=0,0,IFERROR(INDEX($AT$6:$AT$1005,MATCH($AZ61,$AY$6:$AY$1005,0)),0))</f>
        <v>1187.10688</v>
      </c>
      <c r="BM61" s="56">
        <f>IF(ISNUMBER(SEARCH("daily max loss",$BG61)),1,0)</f>
        <v>0</v>
      </c>
    </row>
    <row r="62" ht="18" customHeight="1">
      <c r="A62" s="38" t="n"/>
      <c r="B62" s="39" t="n"/>
      <c r="C62" s="40" t="n"/>
      <c r="D62" s="41" t="n"/>
      <c r="E62" s="41" t="n"/>
      <c r="F62" s="41" t="n"/>
      <c r="G62" s="41" t="n"/>
      <c r="H62" s="42" t="n"/>
      <c r="I62" s="42" t="n"/>
      <c r="J62" s="42" t="n"/>
      <c r="K62" s="42" t="n"/>
      <c r="L62" s="41" t="n"/>
      <c r="M62" s="41" t="n"/>
      <c r="N62" s="41" t="n"/>
      <c r="O62" s="43" t="n"/>
      <c r="P62" s="43" t="n"/>
      <c r="Q62" s="44" t="str">
        <f>IF($AM62=0,"",IF(ISNUMBER($AK62),$AK62-N($AL62),""))</f>
        <v/>
      </c>
      <c r="R62" s="45" t="str">
        <f>IF(OR($Q62="",NOT(ISNUMBER($V62))),"",$AK62/$V62)</f>
        <v/>
      </c>
      <c r="S62" s="46" t="str">
        <f>IF($Q62="","",IF(AND(ISNUMBER($R62),ABS(N($R62))&lt;N(Settings!$C$8)),"Scratch",IF($Q62&gt;0,"Win",IF($Q62&lt;0,"Loss","Scratch"))))</f>
        <v/>
      </c>
      <c r="T62" s="47" t="str">
        <f>IF(OR($AM62=0,NOT(ISNUMBER($H62)),NOT(ISNUMBER($I62)),NOT(ISNUMBER($J62))),"",IF($H62=$I62,"",ROUND(ABS($J62-$H62)/ABS($H62-$I62),6)))</f>
        <v/>
      </c>
      <c r="U62" s="48" t="str">
        <f>IF(OR($S62&lt;&gt;"Win",NOT(ISNUMBER($T62)),NOT(ISNUMBER($R62))),"",MAX(0,$T62-$R62))</f>
        <v/>
      </c>
      <c r="V62" s="49" t="str">
        <f>IF(OR($AM62=0,NOT(ISNUMBER($H62)),NOT(ISNUMBER($I62)),NOT(ISNUMBER($G62))),"",IF(OR($AG62="",$AH62=""),"",IF(ROUND(ABS($H62-$I62)*ABS($G62)*$AG62*$AH62,6)=0,"",ROUND(ABS($H62-$I62)*ABS($G62)*$AG62*$AH62,6))))</f>
        <v/>
      </c>
      <c r="W62" s="50" t="str">
        <f>IF($AM62=0,"",IF($BG62="","OK",LEFT($BG62,LEN($BG62)-2)))</f>
        <v/>
      </c>
      <c r="X62" s="41" t="n"/>
      <c r="Y62" s="40" t="n"/>
      <c r="Z62" s="41" t="n"/>
      <c r="AA62" s="41" t="n"/>
      <c r="AB62" s="40" t="n"/>
      <c r="AC62" s="51" t="n"/>
      <c r="AD62" s="51" t="n"/>
      <c r="AE62" s="40" t="n"/>
      <c r="AF62" s="52" t="str">
        <f>IF($AM62=0,"",IF($D62&lt;&gt;"",$D62,IF(IFERROR(INDEX(Accounts!$C$7:$C$16,MATCH($C62,Accounts!$B$7:$B$16,0))&amp;"","")&lt;&gt;"",INDEX(Accounts!$C$7:$C$16,MATCH($C62,Accounts!$B$7:$B$16,0)),Settings!$C$6)))</f>
        <v/>
      </c>
      <c r="AG62" s="53" t="str">
        <f>IF($AM62=0,"",IF(AND($BE62&gt;0,N(INDEX(Instruments!$D$6:$D$205,MAX(1,$BE62)))&gt;0),INDEX(Instruments!$D$6:$D$205,MAX(1,$BE62)),IF(N(INDEX(Settings!$D$14:$D$18,$BF62))&gt;0,INDEX(Settings!$D$14:$D$18,$BF62),"")))</f>
        <v/>
      </c>
      <c r="AH62" s="54" t="str">
        <f>IF($AM62=0,"",IF($AF62&lt;&gt;"Forex",1,IF(MID(UPPER(SUBSTITUTE(TRIM($E62),"/","")),4,3)=UPPER(TRIM(Settings!$C$7)),1,IF(LEFT(UPPER(SUBSTITUTE(TRIM($E62),"/","")),3)=UPPER(TRIM(Settings!$C$7)),IF(AND(ISNUMBER($K62),N($K62)&lt;&gt;0),1/$K62,""),""))))</f>
        <v/>
      </c>
      <c r="AI62" s="55" t="str">
        <f>IF($AM62=0,"",IF(OR(NOT(ISNUMBER($H62)),NOT(ISNUMBER($K62)),NOT(ISNUMBER($G62)),$AG62="",$AH62=""),"",ROUND(($K62-$H62)*IF($F62="Short",-1,1)*$G62*$AG62*$AH62,6)))</f>
        <v/>
      </c>
      <c r="AJ62" s="55" t="str">
        <f>IF($AM62=0,"",IF(INDEX(Settings!$E$14:$E$18,$BF62)="% of notional",IF(OR($AG62="",NOT(ISNUMBER($H62)),NOT(ISNUMBER($G62))),"",ROUND(ABS($H62*$G62*$AG62*N($AH62))*IF($L62="Limit",N(INDEX(Settings!$G$14:$G$18,$BF62)),N(INDEX(Settings!$H$14:$H$18,$BF62)))+IF(ISNUMBER($K62),ABS($K62*$G62*$AG62*N($AH62))*IF($M62="Target",N(INDEX(Settings!$G$14:$G$18,$BF62)),N(INDEX(Settings!$H$14:$H$18,$BF62))),0),6)),IF(NOT(ISNUMBER($G62)),"",ROUND(ABS($G62)*2*IF(AND($BE62&gt;0,ISNUMBER(INDEX(Instruments!$G$6:$G$205,MAX(1,$BE62)))),INDEX(Instruments!$G$6:$G$205,MAX(1,$BE62)),N(INDEX(Settings!$F$14:$F$18,$BF62))),6))))</f>
        <v/>
      </c>
      <c r="AK62" s="55" t="str">
        <f>IF($AM62=0,"",IF(ISNUMBER($O62),$O62,$AI62))</f>
        <v/>
      </c>
      <c r="AL62" s="55" t="str">
        <f>IF($AM62=0,"",IF(ISNUMBER($P62),$P62,N($AJ62)))</f>
        <v/>
      </c>
      <c r="AM62" s="56">
        <f>IF(AND($A62&lt;&gt;"",$E62&lt;&gt;"",OR(AND(ISNUMBER($G62),ISNUMBER($H62),ISNUMBER($K62)),ISNUMBER($O62))),1,0)</f>
        <v>0</v>
      </c>
      <c r="AN62" s="57" t="str">
        <f>IF($A62="","",$A62-WEEKDAY($A62,3))</f>
        <v/>
      </c>
      <c r="AO62" s="56" t="str">
        <f>IF($A62="","",WEEKDAY($A62,2))</f>
        <v/>
      </c>
      <c r="AP62" s="55" t="str">
        <f>IF(OR($AM62=0,$C62=""),"",IFERROR(N(INDEX(Accounts!$E$7:$E$16,MATCH($C62,Accounts!$B$7:$B$16,0))),0)+SUMIFS($Q$6:$Q62,$C$6:$C62,$C62))</f>
        <v/>
      </c>
      <c r="AQ62" s="55" t="str">
        <f>IF(OR($AM62=0,$C62=""),"",SUMIFS($Q$6:$Q$1005,$C$6:$C$1005,$C62,$A$6:$A$1005,$A62))</f>
        <v/>
      </c>
      <c r="AR62" s="55" t="str">
        <f>IF(OR($AM62=0,$C62=""),"",IFERROR(N(INDEX(Accounts!$E$7:$E$16,MATCH($C62,Accounts!$B$7:$B$16,0))),0)+SUMIFS($Q$6:$Q$1005,$C$6:$C$1005,$C62,$A$6:$A$1005,"&lt;="&amp;$A62))</f>
        <v/>
      </c>
      <c r="AS62" s="56">
        <f>IF(OR($AM62=0,$Q62=""),0,IF(AND($A62&gt;=Lists!$W$6,$A62&lt;=Lists!$W$7,OR(Dashboard!$D$6="All accounts",$C62=Dashboard!$D$6),OR(Dashboard!$D$7="All markets",$AF62=Dashboard!$D$7)),1,0))</f>
        <v>0</v>
      </c>
      <c r="AT62" s="55">
        <f>IF($AS62=1,N(AT61)+$Q62,N(AT61))</f>
        <v>1187.10688</v>
      </c>
      <c r="AU62" s="55">
        <f>MAX(N(AU61),$AT62)</f>
        <v>1187.10688</v>
      </c>
      <c r="AV62" s="55">
        <f>$AT62-$AU62</f>
        <v>0</v>
      </c>
      <c r="AW62" s="56">
        <f>IF($AS62=1,IF($S62="Win",N(AW61)+1,IF($S62="Loss",0,N(AW61))),N(AW61))</f>
        <v>5</v>
      </c>
      <c r="AX62" s="56">
        <f>IF($AS62=1,IF($S62="Loss",N(AX61)+1,IF($S62="Win",0,N(AX61))),N(AX61))</f>
        <v>0</v>
      </c>
      <c r="AY62" s="56" t="str">
        <f>IF($AS62=1,COUNTIF($AS$6:$AS62,1),"")</f>
        <v/>
      </c>
      <c r="AZ62" s="56">
        <f>MIN(56,N(Lists!$W$8))</f>
        <v>28</v>
      </c>
      <c r="BA62" s="56">
        <f>IF($AS62=1,IF(COUNTIFS($A$6:$A62,$A62,$AS$6:$AS62,1)=1,1,0),0)</f>
        <v>0</v>
      </c>
      <c r="BB62" s="55" t="str">
        <f>IF($BA62=1,SUMIFS($Q$6:$Q$1005,$A$6:$A$1005,$A62,$AS$6:$AS$1005,1),"")</f>
        <v/>
      </c>
      <c r="BC62" s="56">
        <f>IF(ISNUMBER($R62),1,0)</f>
        <v>0</v>
      </c>
      <c r="BD62" s="55" t="str">
        <f>IF(ISNUMBER($U62),$U62*$V62,"")</f>
        <v/>
      </c>
      <c r="BE62" s="56" t="str">
        <f>IF($AM62=0,"",IFERROR(MATCH($AF62&amp;"|"&amp;UPPER(TRIM($E62)),Lists!$A$6:$A$205,0),0))</f>
        <v/>
      </c>
      <c r="BF62" s="56" t="str">
        <f>IF($AM62=0,"",IFERROR(MATCH($AF62,Settings!$B$14:$B$18,0),IFERROR(MATCH(Settings!$C$6,Settings!$B$14:$B$18,0),1)))</f>
        <v/>
      </c>
      <c r="BG62" s="58" t="str">
        <f>IF($AM62=0,"",IF(NOT(ISNUMBER($I62)),"No stop; ","")&amp;IF(AND(ISNUMBER($H62),ISNUMBER($I62)),IF(OR(AND($F62&lt;&gt;"Short",$I62&gt;=$H62),AND($F62="Short",$I62&lt;=$H62)),"Stop on wrong side; ",""),"")&amp;IF($F62="","No direction; ","")&amp;IF(AND(ISNUMBER(Settings!$C$22),ISNUMBER($V62)),IF($V62&gt;Settings!$C$22,"Risk over max $; ",""),"")&amp;IF(AND(ISNUMBER(Settings!$C$23),ISNUMBER($V62),ISNUMBER($AP62),IFERROR(N(INDEX(Accounts!$E$7:$E$16,MATCH($C62,Accounts!$B$7:$B$16,0))),0)&gt;0),IF($V62&gt;Settings!$C$23*($AP62-N($Q62)),"Risk over max %; ",""),"")&amp;IF(AND(ISNUMBER(Settings!$C$24),ISNUMBER($N62)),IF($N62&gt;Settings!$C$24,"Leverage over max; ",""),"")&amp;IF(AND(ISNUMBER(Settings!$C$27),ISNUMBER($T62)),IF($T62&lt;Settings!$C$27,"R:R below min; ",""),"")&amp;IF(ISNUMBER(Settings!$C$25),IF(COUNTIFS($A$6:$A62,$A62,$AM$6:$AM62,1)&gt;Settings!$C$25,"Over max trades/day; ",""),"")&amp;IF(ISNUMBER(Settings!$C$26),IF(SUMIFS($Q$5:$Q61,$A$5:$A61,$A62)&lt;=-Settings!$C$26,"Traded after daily max loss; ",""),"")&amp;IF(AND($AG62="",NOT(ISNUMBER($O62))),"Symbol not in Instruments; ","")&amp;IF(AND($AH62="",NOT(ISNUMBER($O62))),"Forex cross: type Gross P&amp;L; ",""))</f>
        <v/>
      </c>
      <c r="BH62" s="56">
        <f>IF(ISNUMBER($Q62),1,0)</f>
        <v>0</v>
      </c>
      <c r="BI62" s="56">
        <f>IF($Y62="",0,1)</f>
        <v>0</v>
      </c>
      <c r="BJ62" s="56">
        <f>IF($AB62="",0,1)</f>
        <v>0</v>
      </c>
      <c r="BK62" s="56">
        <f>IF(AND($BH62=1,$W62&lt;&gt;"OK"),1,0)</f>
        <v>0</v>
      </c>
      <c r="BL62" s="55">
        <f>IF(N($AZ62)=0,0,IFERROR(INDEX($AT$6:$AT$1005,MATCH($AZ62,$AY$6:$AY$1005,0)),0))</f>
        <v>1187.10688</v>
      </c>
      <c r="BM62" s="56">
        <f>IF(ISNUMBER(SEARCH("daily max loss",$BG62)),1,0)</f>
        <v>0</v>
      </c>
    </row>
    <row r="63" ht="18" customHeight="1">
      <c r="A63" s="38" t="n"/>
      <c r="B63" s="39" t="n"/>
      <c r="C63" s="40" t="n"/>
      <c r="D63" s="41" t="n"/>
      <c r="E63" s="41" t="n"/>
      <c r="F63" s="41" t="n"/>
      <c r="G63" s="41" t="n"/>
      <c r="H63" s="42" t="n"/>
      <c r="I63" s="42" t="n"/>
      <c r="J63" s="42" t="n"/>
      <c r="K63" s="42" t="n"/>
      <c r="L63" s="41" t="n"/>
      <c r="M63" s="41" t="n"/>
      <c r="N63" s="41" t="n"/>
      <c r="O63" s="43" t="n"/>
      <c r="P63" s="43" t="n"/>
      <c r="Q63" s="44" t="str">
        <f>IF($AM63=0,"",IF(ISNUMBER($AK63),$AK63-N($AL63),""))</f>
        <v/>
      </c>
      <c r="R63" s="45" t="str">
        <f>IF(OR($Q63="",NOT(ISNUMBER($V63))),"",$AK63/$V63)</f>
        <v/>
      </c>
      <c r="S63" s="46" t="str">
        <f>IF($Q63="","",IF(AND(ISNUMBER($R63),ABS(N($R63))&lt;N(Settings!$C$8)),"Scratch",IF($Q63&gt;0,"Win",IF($Q63&lt;0,"Loss","Scratch"))))</f>
        <v/>
      </c>
      <c r="T63" s="47" t="str">
        <f>IF(OR($AM63=0,NOT(ISNUMBER($H63)),NOT(ISNUMBER($I63)),NOT(ISNUMBER($J63))),"",IF($H63=$I63,"",ROUND(ABS($J63-$H63)/ABS($H63-$I63),6)))</f>
        <v/>
      </c>
      <c r="U63" s="48" t="str">
        <f>IF(OR($S63&lt;&gt;"Win",NOT(ISNUMBER($T63)),NOT(ISNUMBER($R63))),"",MAX(0,$T63-$R63))</f>
        <v/>
      </c>
      <c r="V63" s="49" t="str">
        <f>IF(OR($AM63=0,NOT(ISNUMBER($H63)),NOT(ISNUMBER($I63)),NOT(ISNUMBER($G63))),"",IF(OR($AG63="",$AH63=""),"",IF(ROUND(ABS($H63-$I63)*ABS($G63)*$AG63*$AH63,6)=0,"",ROUND(ABS($H63-$I63)*ABS($G63)*$AG63*$AH63,6))))</f>
        <v/>
      </c>
      <c r="W63" s="50" t="str">
        <f>IF($AM63=0,"",IF($BG63="","OK",LEFT($BG63,LEN($BG63)-2)))</f>
        <v/>
      </c>
      <c r="X63" s="41" t="n"/>
      <c r="Y63" s="40" t="n"/>
      <c r="Z63" s="41" t="n"/>
      <c r="AA63" s="41" t="n"/>
      <c r="AB63" s="40" t="n"/>
      <c r="AC63" s="51" t="n"/>
      <c r="AD63" s="51" t="n"/>
      <c r="AE63" s="40" t="n"/>
      <c r="AF63" s="52" t="str">
        <f>IF($AM63=0,"",IF($D63&lt;&gt;"",$D63,IF(IFERROR(INDEX(Accounts!$C$7:$C$16,MATCH($C63,Accounts!$B$7:$B$16,0))&amp;"","")&lt;&gt;"",INDEX(Accounts!$C$7:$C$16,MATCH($C63,Accounts!$B$7:$B$16,0)),Settings!$C$6)))</f>
        <v/>
      </c>
      <c r="AG63" s="53" t="str">
        <f>IF($AM63=0,"",IF(AND($BE63&gt;0,N(INDEX(Instruments!$D$6:$D$205,MAX(1,$BE63)))&gt;0),INDEX(Instruments!$D$6:$D$205,MAX(1,$BE63)),IF(N(INDEX(Settings!$D$14:$D$18,$BF63))&gt;0,INDEX(Settings!$D$14:$D$18,$BF63),"")))</f>
        <v/>
      </c>
      <c r="AH63" s="54" t="str">
        <f>IF($AM63=0,"",IF($AF63&lt;&gt;"Forex",1,IF(MID(UPPER(SUBSTITUTE(TRIM($E63),"/","")),4,3)=UPPER(TRIM(Settings!$C$7)),1,IF(LEFT(UPPER(SUBSTITUTE(TRIM($E63),"/","")),3)=UPPER(TRIM(Settings!$C$7)),IF(AND(ISNUMBER($K63),N($K63)&lt;&gt;0),1/$K63,""),""))))</f>
        <v/>
      </c>
      <c r="AI63" s="55" t="str">
        <f>IF($AM63=0,"",IF(OR(NOT(ISNUMBER($H63)),NOT(ISNUMBER($K63)),NOT(ISNUMBER($G63)),$AG63="",$AH63=""),"",ROUND(($K63-$H63)*IF($F63="Short",-1,1)*$G63*$AG63*$AH63,6)))</f>
        <v/>
      </c>
      <c r="AJ63" s="55" t="str">
        <f>IF($AM63=0,"",IF(INDEX(Settings!$E$14:$E$18,$BF63)="% of notional",IF(OR($AG63="",NOT(ISNUMBER($H63)),NOT(ISNUMBER($G63))),"",ROUND(ABS($H63*$G63*$AG63*N($AH63))*IF($L63="Limit",N(INDEX(Settings!$G$14:$G$18,$BF63)),N(INDEX(Settings!$H$14:$H$18,$BF63)))+IF(ISNUMBER($K63),ABS($K63*$G63*$AG63*N($AH63))*IF($M63="Target",N(INDEX(Settings!$G$14:$G$18,$BF63)),N(INDEX(Settings!$H$14:$H$18,$BF63))),0),6)),IF(NOT(ISNUMBER($G63)),"",ROUND(ABS($G63)*2*IF(AND($BE63&gt;0,ISNUMBER(INDEX(Instruments!$G$6:$G$205,MAX(1,$BE63)))),INDEX(Instruments!$G$6:$G$205,MAX(1,$BE63)),N(INDEX(Settings!$F$14:$F$18,$BF63))),6))))</f>
        <v/>
      </c>
      <c r="AK63" s="55" t="str">
        <f>IF($AM63=0,"",IF(ISNUMBER($O63),$O63,$AI63))</f>
        <v/>
      </c>
      <c r="AL63" s="55" t="str">
        <f>IF($AM63=0,"",IF(ISNUMBER($P63),$P63,N($AJ63)))</f>
        <v/>
      </c>
      <c r="AM63" s="56">
        <f>IF(AND($A63&lt;&gt;"",$E63&lt;&gt;"",OR(AND(ISNUMBER($G63),ISNUMBER($H63),ISNUMBER($K63)),ISNUMBER($O63))),1,0)</f>
        <v>0</v>
      </c>
      <c r="AN63" s="57" t="str">
        <f>IF($A63="","",$A63-WEEKDAY($A63,3))</f>
        <v/>
      </c>
      <c r="AO63" s="56" t="str">
        <f>IF($A63="","",WEEKDAY($A63,2))</f>
        <v/>
      </c>
      <c r="AP63" s="55" t="str">
        <f>IF(OR($AM63=0,$C63=""),"",IFERROR(N(INDEX(Accounts!$E$7:$E$16,MATCH($C63,Accounts!$B$7:$B$16,0))),0)+SUMIFS($Q$6:$Q63,$C$6:$C63,$C63))</f>
        <v/>
      </c>
      <c r="AQ63" s="55" t="str">
        <f>IF(OR($AM63=0,$C63=""),"",SUMIFS($Q$6:$Q$1005,$C$6:$C$1005,$C63,$A$6:$A$1005,$A63))</f>
        <v/>
      </c>
      <c r="AR63" s="55" t="str">
        <f>IF(OR($AM63=0,$C63=""),"",IFERROR(N(INDEX(Accounts!$E$7:$E$16,MATCH($C63,Accounts!$B$7:$B$16,0))),0)+SUMIFS($Q$6:$Q$1005,$C$6:$C$1005,$C63,$A$6:$A$1005,"&lt;="&amp;$A63))</f>
        <v/>
      </c>
      <c r="AS63" s="56">
        <f>IF(OR($AM63=0,$Q63=""),0,IF(AND($A63&gt;=Lists!$W$6,$A63&lt;=Lists!$W$7,OR(Dashboard!$D$6="All accounts",$C63=Dashboard!$D$6),OR(Dashboard!$D$7="All markets",$AF63=Dashboard!$D$7)),1,0))</f>
        <v>0</v>
      </c>
      <c r="AT63" s="55">
        <f>IF($AS63=1,N(AT62)+$Q63,N(AT62))</f>
        <v>1187.10688</v>
      </c>
      <c r="AU63" s="55">
        <f>MAX(N(AU62),$AT63)</f>
        <v>1187.10688</v>
      </c>
      <c r="AV63" s="55">
        <f>$AT63-$AU63</f>
        <v>0</v>
      </c>
      <c r="AW63" s="56">
        <f>IF($AS63=1,IF($S63="Win",N(AW62)+1,IF($S63="Loss",0,N(AW62))),N(AW62))</f>
        <v>5</v>
      </c>
      <c r="AX63" s="56">
        <f>IF($AS63=1,IF($S63="Loss",N(AX62)+1,IF($S63="Win",0,N(AX62))),N(AX62))</f>
        <v>0</v>
      </c>
      <c r="AY63" s="56" t="str">
        <f>IF($AS63=1,COUNTIF($AS$6:$AS63,1),"")</f>
        <v/>
      </c>
      <c r="AZ63" s="56">
        <f>MIN(57,N(Lists!$W$8))</f>
        <v>28</v>
      </c>
      <c r="BA63" s="56">
        <f>IF($AS63=1,IF(COUNTIFS($A$6:$A63,$A63,$AS$6:$AS63,1)=1,1,0),0)</f>
        <v>0</v>
      </c>
      <c r="BB63" s="55" t="str">
        <f>IF($BA63=1,SUMIFS($Q$6:$Q$1005,$A$6:$A$1005,$A63,$AS$6:$AS$1005,1),"")</f>
        <v/>
      </c>
      <c r="BC63" s="56">
        <f>IF(ISNUMBER($R63),1,0)</f>
        <v>0</v>
      </c>
      <c r="BD63" s="55" t="str">
        <f>IF(ISNUMBER($U63),$U63*$V63,"")</f>
        <v/>
      </c>
      <c r="BE63" s="56" t="str">
        <f>IF($AM63=0,"",IFERROR(MATCH($AF63&amp;"|"&amp;UPPER(TRIM($E63)),Lists!$A$6:$A$205,0),0))</f>
        <v/>
      </c>
      <c r="BF63" s="56" t="str">
        <f>IF($AM63=0,"",IFERROR(MATCH($AF63,Settings!$B$14:$B$18,0),IFERROR(MATCH(Settings!$C$6,Settings!$B$14:$B$18,0),1)))</f>
        <v/>
      </c>
      <c r="BG63" s="58" t="str">
        <f>IF($AM63=0,"",IF(NOT(ISNUMBER($I63)),"No stop; ","")&amp;IF(AND(ISNUMBER($H63),ISNUMBER($I63)),IF(OR(AND($F63&lt;&gt;"Short",$I63&gt;=$H63),AND($F63="Short",$I63&lt;=$H63)),"Stop on wrong side; ",""),"")&amp;IF($F63="","No direction; ","")&amp;IF(AND(ISNUMBER(Settings!$C$22),ISNUMBER($V63)),IF($V63&gt;Settings!$C$22,"Risk over max $; ",""),"")&amp;IF(AND(ISNUMBER(Settings!$C$23),ISNUMBER($V63),ISNUMBER($AP63),IFERROR(N(INDEX(Accounts!$E$7:$E$16,MATCH($C63,Accounts!$B$7:$B$16,0))),0)&gt;0),IF($V63&gt;Settings!$C$23*($AP63-N($Q63)),"Risk over max %; ",""),"")&amp;IF(AND(ISNUMBER(Settings!$C$24),ISNUMBER($N63)),IF($N63&gt;Settings!$C$24,"Leverage over max; ",""),"")&amp;IF(AND(ISNUMBER(Settings!$C$27),ISNUMBER($T63)),IF($T63&lt;Settings!$C$27,"R:R below min; ",""),"")&amp;IF(ISNUMBER(Settings!$C$25),IF(COUNTIFS($A$6:$A63,$A63,$AM$6:$AM63,1)&gt;Settings!$C$25,"Over max trades/day; ",""),"")&amp;IF(ISNUMBER(Settings!$C$26),IF(SUMIFS($Q$5:$Q62,$A$5:$A62,$A63)&lt;=-Settings!$C$26,"Traded after daily max loss; ",""),"")&amp;IF(AND($AG63="",NOT(ISNUMBER($O63))),"Symbol not in Instruments; ","")&amp;IF(AND($AH63="",NOT(ISNUMBER($O63))),"Forex cross: type Gross P&amp;L; ",""))</f>
        <v/>
      </c>
      <c r="BH63" s="56">
        <f>IF(ISNUMBER($Q63),1,0)</f>
        <v>0</v>
      </c>
      <c r="BI63" s="56">
        <f>IF($Y63="",0,1)</f>
        <v>0</v>
      </c>
      <c r="BJ63" s="56">
        <f>IF($AB63="",0,1)</f>
        <v>0</v>
      </c>
      <c r="BK63" s="56">
        <f>IF(AND($BH63=1,$W63&lt;&gt;"OK"),1,0)</f>
        <v>0</v>
      </c>
      <c r="BL63" s="55">
        <f>IF(N($AZ63)=0,0,IFERROR(INDEX($AT$6:$AT$1005,MATCH($AZ63,$AY$6:$AY$1005,0)),0))</f>
        <v>1187.10688</v>
      </c>
      <c r="BM63" s="56">
        <f>IF(ISNUMBER(SEARCH("daily max loss",$BG63)),1,0)</f>
        <v>0</v>
      </c>
    </row>
    <row r="64" ht="18" customHeight="1">
      <c r="A64" s="38" t="n"/>
      <c r="B64" s="39" t="n"/>
      <c r="C64" s="40" t="n"/>
      <c r="D64" s="41" t="n"/>
      <c r="E64" s="41" t="n"/>
      <c r="F64" s="41" t="n"/>
      <c r="G64" s="41" t="n"/>
      <c r="H64" s="42" t="n"/>
      <c r="I64" s="42" t="n"/>
      <c r="J64" s="42" t="n"/>
      <c r="K64" s="42" t="n"/>
      <c r="L64" s="41" t="n"/>
      <c r="M64" s="41" t="n"/>
      <c r="N64" s="41" t="n"/>
      <c r="O64" s="43" t="n"/>
      <c r="P64" s="43" t="n"/>
      <c r="Q64" s="44" t="str">
        <f>IF($AM64=0,"",IF(ISNUMBER($AK64),$AK64-N($AL64),""))</f>
        <v/>
      </c>
      <c r="R64" s="45" t="str">
        <f>IF(OR($Q64="",NOT(ISNUMBER($V64))),"",$AK64/$V64)</f>
        <v/>
      </c>
      <c r="S64" s="46" t="str">
        <f>IF($Q64="","",IF(AND(ISNUMBER($R64),ABS(N($R64))&lt;N(Settings!$C$8)),"Scratch",IF($Q64&gt;0,"Win",IF($Q64&lt;0,"Loss","Scratch"))))</f>
        <v/>
      </c>
      <c r="T64" s="47" t="str">
        <f>IF(OR($AM64=0,NOT(ISNUMBER($H64)),NOT(ISNUMBER($I64)),NOT(ISNUMBER($J64))),"",IF($H64=$I64,"",ROUND(ABS($J64-$H64)/ABS($H64-$I64),6)))</f>
        <v/>
      </c>
      <c r="U64" s="48" t="str">
        <f>IF(OR($S64&lt;&gt;"Win",NOT(ISNUMBER($T64)),NOT(ISNUMBER($R64))),"",MAX(0,$T64-$R64))</f>
        <v/>
      </c>
      <c r="V64" s="49" t="str">
        <f>IF(OR($AM64=0,NOT(ISNUMBER($H64)),NOT(ISNUMBER($I64)),NOT(ISNUMBER($G64))),"",IF(OR($AG64="",$AH64=""),"",IF(ROUND(ABS($H64-$I64)*ABS($G64)*$AG64*$AH64,6)=0,"",ROUND(ABS($H64-$I64)*ABS($G64)*$AG64*$AH64,6))))</f>
        <v/>
      </c>
      <c r="W64" s="50" t="str">
        <f>IF($AM64=0,"",IF($BG64="","OK",LEFT($BG64,LEN($BG64)-2)))</f>
        <v/>
      </c>
      <c r="X64" s="41" t="n"/>
      <c r="Y64" s="40" t="n"/>
      <c r="Z64" s="41" t="n"/>
      <c r="AA64" s="41" t="n"/>
      <c r="AB64" s="40" t="n"/>
      <c r="AC64" s="51" t="n"/>
      <c r="AD64" s="51" t="n"/>
      <c r="AE64" s="40" t="n"/>
      <c r="AF64" s="52" t="str">
        <f>IF($AM64=0,"",IF($D64&lt;&gt;"",$D64,IF(IFERROR(INDEX(Accounts!$C$7:$C$16,MATCH($C64,Accounts!$B$7:$B$16,0))&amp;"","")&lt;&gt;"",INDEX(Accounts!$C$7:$C$16,MATCH($C64,Accounts!$B$7:$B$16,0)),Settings!$C$6)))</f>
        <v/>
      </c>
      <c r="AG64" s="53" t="str">
        <f>IF($AM64=0,"",IF(AND($BE64&gt;0,N(INDEX(Instruments!$D$6:$D$205,MAX(1,$BE64)))&gt;0),INDEX(Instruments!$D$6:$D$205,MAX(1,$BE64)),IF(N(INDEX(Settings!$D$14:$D$18,$BF64))&gt;0,INDEX(Settings!$D$14:$D$18,$BF64),"")))</f>
        <v/>
      </c>
      <c r="AH64" s="54" t="str">
        <f>IF($AM64=0,"",IF($AF64&lt;&gt;"Forex",1,IF(MID(UPPER(SUBSTITUTE(TRIM($E64),"/","")),4,3)=UPPER(TRIM(Settings!$C$7)),1,IF(LEFT(UPPER(SUBSTITUTE(TRIM($E64),"/","")),3)=UPPER(TRIM(Settings!$C$7)),IF(AND(ISNUMBER($K64),N($K64)&lt;&gt;0),1/$K64,""),""))))</f>
        <v/>
      </c>
      <c r="AI64" s="55" t="str">
        <f>IF($AM64=0,"",IF(OR(NOT(ISNUMBER($H64)),NOT(ISNUMBER($K64)),NOT(ISNUMBER($G64)),$AG64="",$AH64=""),"",ROUND(($K64-$H64)*IF($F64="Short",-1,1)*$G64*$AG64*$AH64,6)))</f>
        <v/>
      </c>
      <c r="AJ64" s="55" t="str">
        <f>IF($AM64=0,"",IF(INDEX(Settings!$E$14:$E$18,$BF64)="% of notional",IF(OR($AG64="",NOT(ISNUMBER($H64)),NOT(ISNUMBER($G64))),"",ROUND(ABS($H64*$G64*$AG64*N($AH64))*IF($L64="Limit",N(INDEX(Settings!$G$14:$G$18,$BF64)),N(INDEX(Settings!$H$14:$H$18,$BF64)))+IF(ISNUMBER($K64),ABS($K64*$G64*$AG64*N($AH64))*IF($M64="Target",N(INDEX(Settings!$G$14:$G$18,$BF64)),N(INDEX(Settings!$H$14:$H$18,$BF64))),0),6)),IF(NOT(ISNUMBER($G64)),"",ROUND(ABS($G64)*2*IF(AND($BE64&gt;0,ISNUMBER(INDEX(Instruments!$G$6:$G$205,MAX(1,$BE64)))),INDEX(Instruments!$G$6:$G$205,MAX(1,$BE64)),N(INDEX(Settings!$F$14:$F$18,$BF64))),6))))</f>
        <v/>
      </c>
      <c r="AK64" s="55" t="str">
        <f>IF($AM64=0,"",IF(ISNUMBER($O64),$O64,$AI64))</f>
        <v/>
      </c>
      <c r="AL64" s="55" t="str">
        <f>IF($AM64=0,"",IF(ISNUMBER($P64),$P64,N($AJ64)))</f>
        <v/>
      </c>
      <c r="AM64" s="56">
        <f>IF(AND($A64&lt;&gt;"",$E64&lt;&gt;"",OR(AND(ISNUMBER($G64),ISNUMBER($H64),ISNUMBER($K64)),ISNUMBER($O64))),1,0)</f>
        <v>0</v>
      </c>
      <c r="AN64" s="57" t="str">
        <f>IF($A64="","",$A64-WEEKDAY($A64,3))</f>
        <v/>
      </c>
      <c r="AO64" s="56" t="str">
        <f>IF($A64="","",WEEKDAY($A64,2))</f>
        <v/>
      </c>
      <c r="AP64" s="55" t="str">
        <f>IF(OR($AM64=0,$C64=""),"",IFERROR(N(INDEX(Accounts!$E$7:$E$16,MATCH($C64,Accounts!$B$7:$B$16,0))),0)+SUMIFS($Q$6:$Q64,$C$6:$C64,$C64))</f>
        <v/>
      </c>
      <c r="AQ64" s="55" t="str">
        <f>IF(OR($AM64=0,$C64=""),"",SUMIFS($Q$6:$Q$1005,$C$6:$C$1005,$C64,$A$6:$A$1005,$A64))</f>
        <v/>
      </c>
      <c r="AR64" s="55" t="str">
        <f>IF(OR($AM64=0,$C64=""),"",IFERROR(N(INDEX(Accounts!$E$7:$E$16,MATCH($C64,Accounts!$B$7:$B$16,0))),0)+SUMIFS($Q$6:$Q$1005,$C$6:$C$1005,$C64,$A$6:$A$1005,"&lt;="&amp;$A64))</f>
        <v/>
      </c>
      <c r="AS64" s="56">
        <f>IF(OR($AM64=0,$Q64=""),0,IF(AND($A64&gt;=Lists!$W$6,$A64&lt;=Lists!$W$7,OR(Dashboard!$D$6="All accounts",$C64=Dashboard!$D$6),OR(Dashboard!$D$7="All markets",$AF64=Dashboard!$D$7)),1,0))</f>
        <v>0</v>
      </c>
      <c r="AT64" s="55">
        <f>IF($AS64=1,N(AT63)+$Q64,N(AT63))</f>
        <v>1187.10688</v>
      </c>
      <c r="AU64" s="55">
        <f>MAX(N(AU63),$AT64)</f>
        <v>1187.10688</v>
      </c>
      <c r="AV64" s="55">
        <f>$AT64-$AU64</f>
        <v>0</v>
      </c>
      <c r="AW64" s="56">
        <f>IF($AS64=1,IF($S64="Win",N(AW63)+1,IF($S64="Loss",0,N(AW63))),N(AW63))</f>
        <v>5</v>
      </c>
      <c r="AX64" s="56">
        <f>IF($AS64=1,IF($S64="Loss",N(AX63)+1,IF($S64="Win",0,N(AX63))),N(AX63))</f>
        <v>0</v>
      </c>
      <c r="AY64" s="56" t="str">
        <f>IF($AS64=1,COUNTIF($AS$6:$AS64,1),"")</f>
        <v/>
      </c>
      <c r="AZ64" s="56">
        <f>MIN(58,N(Lists!$W$8))</f>
        <v>28</v>
      </c>
      <c r="BA64" s="56">
        <f>IF($AS64=1,IF(COUNTIFS($A$6:$A64,$A64,$AS$6:$AS64,1)=1,1,0),0)</f>
        <v>0</v>
      </c>
      <c r="BB64" s="55" t="str">
        <f>IF($BA64=1,SUMIFS($Q$6:$Q$1005,$A$6:$A$1005,$A64,$AS$6:$AS$1005,1),"")</f>
        <v/>
      </c>
      <c r="BC64" s="56">
        <f>IF(ISNUMBER($R64),1,0)</f>
        <v>0</v>
      </c>
      <c r="BD64" s="55" t="str">
        <f>IF(ISNUMBER($U64),$U64*$V64,"")</f>
        <v/>
      </c>
      <c r="BE64" s="56" t="str">
        <f>IF($AM64=0,"",IFERROR(MATCH($AF64&amp;"|"&amp;UPPER(TRIM($E64)),Lists!$A$6:$A$205,0),0))</f>
        <v/>
      </c>
      <c r="BF64" s="56" t="str">
        <f>IF($AM64=0,"",IFERROR(MATCH($AF64,Settings!$B$14:$B$18,0),IFERROR(MATCH(Settings!$C$6,Settings!$B$14:$B$18,0),1)))</f>
        <v/>
      </c>
      <c r="BG64" s="58" t="str">
        <f>IF($AM64=0,"",IF(NOT(ISNUMBER($I64)),"No stop; ","")&amp;IF(AND(ISNUMBER($H64),ISNUMBER($I64)),IF(OR(AND($F64&lt;&gt;"Short",$I64&gt;=$H64),AND($F64="Short",$I64&lt;=$H64)),"Stop on wrong side; ",""),"")&amp;IF($F64="","No direction; ","")&amp;IF(AND(ISNUMBER(Settings!$C$22),ISNUMBER($V64)),IF($V64&gt;Settings!$C$22,"Risk over max $; ",""),"")&amp;IF(AND(ISNUMBER(Settings!$C$23),ISNUMBER($V64),ISNUMBER($AP64),IFERROR(N(INDEX(Accounts!$E$7:$E$16,MATCH($C64,Accounts!$B$7:$B$16,0))),0)&gt;0),IF($V64&gt;Settings!$C$23*($AP64-N($Q64)),"Risk over max %; ",""),"")&amp;IF(AND(ISNUMBER(Settings!$C$24),ISNUMBER($N64)),IF($N64&gt;Settings!$C$24,"Leverage over max; ",""),"")&amp;IF(AND(ISNUMBER(Settings!$C$27),ISNUMBER($T64)),IF($T64&lt;Settings!$C$27,"R:R below min; ",""),"")&amp;IF(ISNUMBER(Settings!$C$25),IF(COUNTIFS($A$6:$A64,$A64,$AM$6:$AM64,1)&gt;Settings!$C$25,"Over max trades/day; ",""),"")&amp;IF(ISNUMBER(Settings!$C$26),IF(SUMIFS($Q$5:$Q63,$A$5:$A63,$A64)&lt;=-Settings!$C$26,"Traded after daily max loss; ",""),"")&amp;IF(AND($AG64="",NOT(ISNUMBER($O64))),"Symbol not in Instruments; ","")&amp;IF(AND($AH64="",NOT(ISNUMBER($O64))),"Forex cross: type Gross P&amp;L; ",""))</f>
        <v/>
      </c>
      <c r="BH64" s="56">
        <f>IF(ISNUMBER($Q64),1,0)</f>
        <v>0</v>
      </c>
      <c r="BI64" s="56">
        <f>IF($Y64="",0,1)</f>
        <v>0</v>
      </c>
      <c r="BJ64" s="56">
        <f>IF($AB64="",0,1)</f>
        <v>0</v>
      </c>
      <c r="BK64" s="56">
        <f>IF(AND($BH64=1,$W64&lt;&gt;"OK"),1,0)</f>
        <v>0</v>
      </c>
      <c r="BL64" s="55">
        <f>IF(N($AZ64)=0,0,IFERROR(INDEX($AT$6:$AT$1005,MATCH($AZ64,$AY$6:$AY$1005,0)),0))</f>
        <v>1187.10688</v>
      </c>
      <c r="BM64" s="56">
        <f>IF(ISNUMBER(SEARCH("daily max loss",$BG64)),1,0)</f>
        <v>0</v>
      </c>
    </row>
    <row r="65" ht="18" customHeight="1">
      <c r="A65" s="38" t="n"/>
      <c r="B65" s="39" t="n"/>
      <c r="C65" s="40" t="n"/>
      <c r="D65" s="41" t="n"/>
      <c r="E65" s="41" t="n"/>
      <c r="F65" s="41" t="n"/>
      <c r="G65" s="41" t="n"/>
      <c r="H65" s="42" t="n"/>
      <c r="I65" s="42" t="n"/>
      <c r="J65" s="42" t="n"/>
      <c r="K65" s="42" t="n"/>
      <c r="L65" s="41" t="n"/>
      <c r="M65" s="41" t="n"/>
      <c r="N65" s="41" t="n"/>
      <c r="O65" s="43" t="n"/>
      <c r="P65" s="43" t="n"/>
      <c r="Q65" s="44" t="str">
        <f>IF($AM65=0,"",IF(ISNUMBER($AK65),$AK65-N($AL65),""))</f>
        <v/>
      </c>
      <c r="R65" s="45" t="str">
        <f>IF(OR($Q65="",NOT(ISNUMBER($V65))),"",$AK65/$V65)</f>
        <v/>
      </c>
      <c r="S65" s="46" t="str">
        <f>IF($Q65="","",IF(AND(ISNUMBER($R65),ABS(N($R65))&lt;N(Settings!$C$8)),"Scratch",IF($Q65&gt;0,"Win",IF($Q65&lt;0,"Loss","Scratch"))))</f>
        <v/>
      </c>
      <c r="T65" s="47" t="str">
        <f>IF(OR($AM65=0,NOT(ISNUMBER($H65)),NOT(ISNUMBER($I65)),NOT(ISNUMBER($J65))),"",IF($H65=$I65,"",ROUND(ABS($J65-$H65)/ABS($H65-$I65),6)))</f>
        <v/>
      </c>
      <c r="U65" s="48" t="str">
        <f>IF(OR($S65&lt;&gt;"Win",NOT(ISNUMBER($T65)),NOT(ISNUMBER($R65))),"",MAX(0,$T65-$R65))</f>
        <v/>
      </c>
      <c r="V65" s="49" t="str">
        <f>IF(OR($AM65=0,NOT(ISNUMBER($H65)),NOT(ISNUMBER($I65)),NOT(ISNUMBER($G65))),"",IF(OR($AG65="",$AH65=""),"",IF(ROUND(ABS($H65-$I65)*ABS($G65)*$AG65*$AH65,6)=0,"",ROUND(ABS($H65-$I65)*ABS($G65)*$AG65*$AH65,6))))</f>
        <v/>
      </c>
      <c r="W65" s="50" t="str">
        <f>IF($AM65=0,"",IF($BG65="","OK",LEFT($BG65,LEN($BG65)-2)))</f>
        <v/>
      </c>
      <c r="X65" s="41" t="n"/>
      <c r="Y65" s="40" t="n"/>
      <c r="Z65" s="41" t="n"/>
      <c r="AA65" s="41" t="n"/>
      <c r="AB65" s="40" t="n"/>
      <c r="AC65" s="51" t="n"/>
      <c r="AD65" s="51" t="n"/>
      <c r="AE65" s="40" t="n"/>
      <c r="AF65" s="52" t="str">
        <f>IF($AM65=0,"",IF($D65&lt;&gt;"",$D65,IF(IFERROR(INDEX(Accounts!$C$7:$C$16,MATCH($C65,Accounts!$B$7:$B$16,0))&amp;"","")&lt;&gt;"",INDEX(Accounts!$C$7:$C$16,MATCH($C65,Accounts!$B$7:$B$16,0)),Settings!$C$6)))</f>
        <v/>
      </c>
      <c r="AG65" s="53" t="str">
        <f>IF($AM65=0,"",IF(AND($BE65&gt;0,N(INDEX(Instruments!$D$6:$D$205,MAX(1,$BE65)))&gt;0),INDEX(Instruments!$D$6:$D$205,MAX(1,$BE65)),IF(N(INDEX(Settings!$D$14:$D$18,$BF65))&gt;0,INDEX(Settings!$D$14:$D$18,$BF65),"")))</f>
        <v/>
      </c>
      <c r="AH65" s="54" t="str">
        <f>IF($AM65=0,"",IF($AF65&lt;&gt;"Forex",1,IF(MID(UPPER(SUBSTITUTE(TRIM($E65),"/","")),4,3)=UPPER(TRIM(Settings!$C$7)),1,IF(LEFT(UPPER(SUBSTITUTE(TRIM($E65),"/","")),3)=UPPER(TRIM(Settings!$C$7)),IF(AND(ISNUMBER($K65),N($K65)&lt;&gt;0),1/$K65,""),""))))</f>
        <v/>
      </c>
      <c r="AI65" s="55" t="str">
        <f>IF($AM65=0,"",IF(OR(NOT(ISNUMBER($H65)),NOT(ISNUMBER($K65)),NOT(ISNUMBER($G65)),$AG65="",$AH65=""),"",ROUND(($K65-$H65)*IF($F65="Short",-1,1)*$G65*$AG65*$AH65,6)))</f>
        <v/>
      </c>
      <c r="AJ65" s="55" t="str">
        <f>IF($AM65=0,"",IF(INDEX(Settings!$E$14:$E$18,$BF65)="% of notional",IF(OR($AG65="",NOT(ISNUMBER($H65)),NOT(ISNUMBER($G65))),"",ROUND(ABS($H65*$G65*$AG65*N($AH65))*IF($L65="Limit",N(INDEX(Settings!$G$14:$G$18,$BF65)),N(INDEX(Settings!$H$14:$H$18,$BF65)))+IF(ISNUMBER($K65),ABS($K65*$G65*$AG65*N($AH65))*IF($M65="Target",N(INDEX(Settings!$G$14:$G$18,$BF65)),N(INDEX(Settings!$H$14:$H$18,$BF65))),0),6)),IF(NOT(ISNUMBER($G65)),"",ROUND(ABS($G65)*2*IF(AND($BE65&gt;0,ISNUMBER(INDEX(Instruments!$G$6:$G$205,MAX(1,$BE65)))),INDEX(Instruments!$G$6:$G$205,MAX(1,$BE65)),N(INDEX(Settings!$F$14:$F$18,$BF65))),6))))</f>
        <v/>
      </c>
      <c r="AK65" s="55" t="str">
        <f>IF($AM65=0,"",IF(ISNUMBER($O65),$O65,$AI65))</f>
        <v/>
      </c>
      <c r="AL65" s="55" t="str">
        <f>IF($AM65=0,"",IF(ISNUMBER($P65),$P65,N($AJ65)))</f>
        <v/>
      </c>
      <c r="AM65" s="56">
        <f>IF(AND($A65&lt;&gt;"",$E65&lt;&gt;"",OR(AND(ISNUMBER($G65),ISNUMBER($H65),ISNUMBER($K65)),ISNUMBER($O65))),1,0)</f>
        <v>0</v>
      </c>
      <c r="AN65" s="57" t="str">
        <f>IF($A65="","",$A65-WEEKDAY($A65,3))</f>
        <v/>
      </c>
      <c r="AO65" s="56" t="str">
        <f>IF($A65="","",WEEKDAY($A65,2))</f>
        <v/>
      </c>
      <c r="AP65" s="55" t="str">
        <f>IF(OR($AM65=0,$C65=""),"",IFERROR(N(INDEX(Accounts!$E$7:$E$16,MATCH($C65,Accounts!$B$7:$B$16,0))),0)+SUMIFS($Q$6:$Q65,$C$6:$C65,$C65))</f>
        <v/>
      </c>
      <c r="AQ65" s="55" t="str">
        <f>IF(OR($AM65=0,$C65=""),"",SUMIFS($Q$6:$Q$1005,$C$6:$C$1005,$C65,$A$6:$A$1005,$A65))</f>
        <v/>
      </c>
      <c r="AR65" s="55" t="str">
        <f>IF(OR($AM65=0,$C65=""),"",IFERROR(N(INDEX(Accounts!$E$7:$E$16,MATCH($C65,Accounts!$B$7:$B$16,0))),0)+SUMIFS($Q$6:$Q$1005,$C$6:$C$1005,$C65,$A$6:$A$1005,"&lt;="&amp;$A65))</f>
        <v/>
      </c>
      <c r="AS65" s="56">
        <f>IF(OR($AM65=0,$Q65=""),0,IF(AND($A65&gt;=Lists!$W$6,$A65&lt;=Lists!$W$7,OR(Dashboard!$D$6="All accounts",$C65=Dashboard!$D$6),OR(Dashboard!$D$7="All markets",$AF65=Dashboard!$D$7)),1,0))</f>
        <v>0</v>
      </c>
      <c r="AT65" s="55">
        <f>IF($AS65=1,N(AT64)+$Q65,N(AT64))</f>
        <v>1187.10688</v>
      </c>
      <c r="AU65" s="55">
        <f>MAX(N(AU64),$AT65)</f>
        <v>1187.10688</v>
      </c>
      <c r="AV65" s="55">
        <f>$AT65-$AU65</f>
        <v>0</v>
      </c>
      <c r="AW65" s="56">
        <f>IF($AS65=1,IF($S65="Win",N(AW64)+1,IF($S65="Loss",0,N(AW64))),N(AW64))</f>
        <v>5</v>
      </c>
      <c r="AX65" s="56">
        <f>IF($AS65=1,IF($S65="Loss",N(AX64)+1,IF($S65="Win",0,N(AX64))),N(AX64))</f>
        <v>0</v>
      </c>
      <c r="AY65" s="56" t="str">
        <f>IF($AS65=1,COUNTIF($AS$6:$AS65,1),"")</f>
        <v/>
      </c>
      <c r="AZ65" s="56">
        <f>MIN(59,N(Lists!$W$8))</f>
        <v>28</v>
      </c>
      <c r="BA65" s="56">
        <f>IF($AS65=1,IF(COUNTIFS($A$6:$A65,$A65,$AS$6:$AS65,1)=1,1,0),0)</f>
        <v>0</v>
      </c>
      <c r="BB65" s="55" t="str">
        <f>IF($BA65=1,SUMIFS($Q$6:$Q$1005,$A$6:$A$1005,$A65,$AS$6:$AS$1005,1),"")</f>
        <v/>
      </c>
      <c r="BC65" s="56">
        <f>IF(ISNUMBER($R65),1,0)</f>
        <v>0</v>
      </c>
      <c r="BD65" s="55" t="str">
        <f>IF(ISNUMBER($U65),$U65*$V65,"")</f>
        <v/>
      </c>
      <c r="BE65" s="56" t="str">
        <f>IF($AM65=0,"",IFERROR(MATCH($AF65&amp;"|"&amp;UPPER(TRIM($E65)),Lists!$A$6:$A$205,0),0))</f>
        <v/>
      </c>
      <c r="BF65" s="56" t="str">
        <f>IF($AM65=0,"",IFERROR(MATCH($AF65,Settings!$B$14:$B$18,0),IFERROR(MATCH(Settings!$C$6,Settings!$B$14:$B$18,0),1)))</f>
        <v/>
      </c>
      <c r="BG65" s="58" t="str">
        <f>IF($AM65=0,"",IF(NOT(ISNUMBER($I65)),"No stop; ","")&amp;IF(AND(ISNUMBER($H65),ISNUMBER($I65)),IF(OR(AND($F65&lt;&gt;"Short",$I65&gt;=$H65),AND($F65="Short",$I65&lt;=$H65)),"Stop on wrong side; ",""),"")&amp;IF($F65="","No direction; ","")&amp;IF(AND(ISNUMBER(Settings!$C$22),ISNUMBER($V65)),IF($V65&gt;Settings!$C$22,"Risk over max $; ",""),"")&amp;IF(AND(ISNUMBER(Settings!$C$23),ISNUMBER($V65),ISNUMBER($AP65),IFERROR(N(INDEX(Accounts!$E$7:$E$16,MATCH($C65,Accounts!$B$7:$B$16,0))),0)&gt;0),IF($V65&gt;Settings!$C$23*($AP65-N($Q65)),"Risk over max %; ",""),"")&amp;IF(AND(ISNUMBER(Settings!$C$24),ISNUMBER($N65)),IF($N65&gt;Settings!$C$24,"Leverage over max; ",""),"")&amp;IF(AND(ISNUMBER(Settings!$C$27),ISNUMBER($T65)),IF($T65&lt;Settings!$C$27,"R:R below min; ",""),"")&amp;IF(ISNUMBER(Settings!$C$25),IF(COUNTIFS($A$6:$A65,$A65,$AM$6:$AM65,1)&gt;Settings!$C$25,"Over max trades/day; ",""),"")&amp;IF(ISNUMBER(Settings!$C$26),IF(SUMIFS($Q$5:$Q64,$A$5:$A64,$A65)&lt;=-Settings!$C$26,"Traded after daily max loss; ",""),"")&amp;IF(AND($AG65="",NOT(ISNUMBER($O65))),"Symbol not in Instruments; ","")&amp;IF(AND($AH65="",NOT(ISNUMBER($O65))),"Forex cross: type Gross P&amp;L; ",""))</f>
        <v/>
      </c>
      <c r="BH65" s="56">
        <f>IF(ISNUMBER($Q65),1,0)</f>
        <v>0</v>
      </c>
      <c r="BI65" s="56">
        <f>IF($Y65="",0,1)</f>
        <v>0</v>
      </c>
      <c r="BJ65" s="56">
        <f>IF($AB65="",0,1)</f>
        <v>0</v>
      </c>
      <c r="BK65" s="56">
        <f>IF(AND($BH65=1,$W65&lt;&gt;"OK"),1,0)</f>
        <v>0</v>
      </c>
      <c r="BL65" s="55">
        <f>IF(N($AZ65)=0,0,IFERROR(INDEX($AT$6:$AT$1005,MATCH($AZ65,$AY$6:$AY$1005,0)),0))</f>
        <v>1187.10688</v>
      </c>
      <c r="BM65" s="56">
        <f>IF(ISNUMBER(SEARCH("daily max loss",$BG65)),1,0)</f>
        <v>0</v>
      </c>
    </row>
    <row r="66" ht="18" customHeight="1">
      <c r="A66" s="38" t="n"/>
      <c r="B66" s="39" t="n"/>
      <c r="C66" s="40" t="n"/>
      <c r="D66" s="41" t="n"/>
      <c r="E66" s="41" t="n"/>
      <c r="F66" s="41" t="n"/>
      <c r="G66" s="41" t="n"/>
      <c r="H66" s="42" t="n"/>
      <c r="I66" s="42" t="n"/>
      <c r="J66" s="42" t="n"/>
      <c r="K66" s="42" t="n"/>
      <c r="L66" s="41" t="n"/>
      <c r="M66" s="41" t="n"/>
      <c r="N66" s="41" t="n"/>
      <c r="O66" s="43" t="n"/>
      <c r="P66" s="43" t="n"/>
      <c r="Q66" s="44" t="str">
        <f>IF($AM66=0,"",IF(ISNUMBER($AK66),$AK66-N($AL66),""))</f>
        <v/>
      </c>
      <c r="R66" s="45" t="str">
        <f>IF(OR($Q66="",NOT(ISNUMBER($V66))),"",$AK66/$V66)</f>
        <v/>
      </c>
      <c r="S66" s="46" t="str">
        <f>IF($Q66="","",IF(AND(ISNUMBER($R66),ABS(N($R66))&lt;N(Settings!$C$8)),"Scratch",IF($Q66&gt;0,"Win",IF($Q66&lt;0,"Loss","Scratch"))))</f>
        <v/>
      </c>
      <c r="T66" s="47" t="str">
        <f>IF(OR($AM66=0,NOT(ISNUMBER($H66)),NOT(ISNUMBER($I66)),NOT(ISNUMBER($J66))),"",IF($H66=$I66,"",ROUND(ABS($J66-$H66)/ABS($H66-$I66),6)))</f>
        <v/>
      </c>
      <c r="U66" s="48" t="str">
        <f>IF(OR($S66&lt;&gt;"Win",NOT(ISNUMBER($T66)),NOT(ISNUMBER($R66))),"",MAX(0,$T66-$R66))</f>
        <v/>
      </c>
      <c r="V66" s="49" t="str">
        <f>IF(OR($AM66=0,NOT(ISNUMBER($H66)),NOT(ISNUMBER($I66)),NOT(ISNUMBER($G66))),"",IF(OR($AG66="",$AH66=""),"",IF(ROUND(ABS($H66-$I66)*ABS($G66)*$AG66*$AH66,6)=0,"",ROUND(ABS($H66-$I66)*ABS($G66)*$AG66*$AH66,6))))</f>
        <v/>
      </c>
      <c r="W66" s="50" t="str">
        <f>IF($AM66=0,"",IF($BG66="","OK",LEFT($BG66,LEN($BG66)-2)))</f>
        <v/>
      </c>
      <c r="X66" s="41" t="n"/>
      <c r="Y66" s="40" t="n"/>
      <c r="Z66" s="41" t="n"/>
      <c r="AA66" s="41" t="n"/>
      <c r="AB66" s="40" t="n"/>
      <c r="AC66" s="51" t="n"/>
      <c r="AD66" s="51" t="n"/>
      <c r="AE66" s="40" t="n"/>
      <c r="AF66" s="52" t="str">
        <f>IF($AM66=0,"",IF($D66&lt;&gt;"",$D66,IF(IFERROR(INDEX(Accounts!$C$7:$C$16,MATCH($C66,Accounts!$B$7:$B$16,0))&amp;"","")&lt;&gt;"",INDEX(Accounts!$C$7:$C$16,MATCH($C66,Accounts!$B$7:$B$16,0)),Settings!$C$6)))</f>
        <v/>
      </c>
      <c r="AG66" s="53" t="str">
        <f>IF($AM66=0,"",IF(AND($BE66&gt;0,N(INDEX(Instruments!$D$6:$D$205,MAX(1,$BE66)))&gt;0),INDEX(Instruments!$D$6:$D$205,MAX(1,$BE66)),IF(N(INDEX(Settings!$D$14:$D$18,$BF66))&gt;0,INDEX(Settings!$D$14:$D$18,$BF66),"")))</f>
        <v/>
      </c>
      <c r="AH66" s="54" t="str">
        <f>IF($AM66=0,"",IF($AF66&lt;&gt;"Forex",1,IF(MID(UPPER(SUBSTITUTE(TRIM($E66),"/","")),4,3)=UPPER(TRIM(Settings!$C$7)),1,IF(LEFT(UPPER(SUBSTITUTE(TRIM($E66),"/","")),3)=UPPER(TRIM(Settings!$C$7)),IF(AND(ISNUMBER($K66),N($K66)&lt;&gt;0),1/$K66,""),""))))</f>
        <v/>
      </c>
      <c r="AI66" s="55" t="str">
        <f>IF($AM66=0,"",IF(OR(NOT(ISNUMBER($H66)),NOT(ISNUMBER($K66)),NOT(ISNUMBER($G66)),$AG66="",$AH66=""),"",ROUND(($K66-$H66)*IF($F66="Short",-1,1)*$G66*$AG66*$AH66,6)))</f>
        <v/>
      </c>
      <c r="AJ66" s="55" t="str">
        <f>IF($AM66=0,"",IF(INDEX(Settings!$E$14:$E$18,$BF66)="% of notional",IF(OR($AG66="",NOT(ISNUMBER($H66)),NOT(ISNUMBER($G66))),"",ROUND(ABS($H66*$G66*$AG66*N($AH66))*IF($L66="Limit",N(INDEX(Settings!$G$14:$G$18,$BF66)),N(INDEX(Settings!$H$14:$H$18,$BF66)))+IF(ISNUMBER($K66),ABS($K66*$G66*$AG66*N($AH66))*IF($M66="Target",N(INDEX(Settings!$G$14:$G$18,$BF66)),N(INDEX(Settings!$H$14:$H$18,$BF66))),0),6)),IF(NOT(ISNUMBER($G66)),"",ROUND(ABS($G66)*2*IF(AND($BE66&gt;0,ISNUMBER(INDEX(Instruments!$G$6:$G$205,MAX(1,$BE66)))),INDEX(Instruments!$G$6:$G$205,MAX(1,$BE66)),N(INDEX(Settings!$F$14:$F$18,$BF66))),6))))</f>
        <v/>
      </c>
      <c r="AK66" s="55" t="str">
        <f>IF($AM66=0,"",IF(ISNUMBER($O66),$O66,$AI66))</f>
        <v/>
      </c>
      <c r="AL66" s="55" t="str">
        <f>IF($AM66=0,"",IF(ISNUMBER($P66),$P66,N($AJ66)))</f>
        <v/>
      </c>
      <c r="AM66" s="56">
        <f>IF(AND($A66&lt;&gt;"",$E66&lt;&gt;"",OR(AND(ISNUMBER($G66),ISNUMBER($H66),ISNUMBER($K66)),ISNUMBER($O66))),1,0)</f>
        <v>0</v>
      </c>
      <c r="AN66" s="57" t="str">
        <f>IF($A66="","",$A66-WEEKDAY($A66,3))</f>
        <v/>
      </c>
      <c r="AO66" s="56" t="str">
        <f>IF($A66="","",WEEKDAY($A66,2))</f>
        <v/>
      </c>
      <c r="AP66" s="55" t="str">
        <f>IF(OR($AM66=0,$C66=""),"",IFERROR(N(INDEX(Accounts!$E$7:$E$16,MATCH($C66,Accounts!$B$7:$B$16,0))),0)+SUMIFS($Q$6:$Q66,$C$6:$C66,$C66))</f>
        <v/>
      </c>
      <c r="AQ66" s="55" t="str">
        <f>IF(OR($AM66=0,$C66=""),"",SUMIFS($Q$6:$Q$1005,$C$6:$C$1005,$C66,$A$6:$A$1005,$A66))</f>
        <v/>
      </c>
      <c r="AR66" s="55" t="str">
        <f>IF(OR($AM66=0,$C66=""),"",IFERROR(N(INDEX(Accounts!$E$7:$E$16,MATCH($C66,Accounts!$B$7:$B$16,0))),0)+SUMIFS($Q$6:$Q$1005,$C$6:$C$1005,$C66,$A$6:$A$1005,"&lt;="&amp;$A66))</f>
        <v/>
      </c>
      <c r="AS66" s="56">
        <f>IF(OR($AM66=0,$Q66=""),0,IF(AND($A66&gt;=Lists!$W$6,$A66&lt;=Lists!$W$7,OR(Dashboard!$D$6="All accounts",$C66=Dashboard!$D$6),OR(Dashboard!$D$7="All markets",$AF66=Dashboard!$D$7)),1,0))</f>
        <v>0</v>
      </c>
      <c r="AT66" s="55">
        <f>IF($AS66=1,N(AT65)+$Q66,N(AT65))</f>
        <v>1187.10688</v>
      </c>
      <c r="AU66" s="55">
        <f>MAX(N(AU65),$AT66)</f>
        <v>1187.10688</v>
      </c>
      <c r="AV66" s="55">
        <f>$AT66-$AU66</f>
        <v>0</v>
      </c>
      <c r="AW66" s="56">
        <f>IF($AS66=1,IF($S66="Win",N(AW65)+1,IF($S66="Loss",0,N(AW65))),N(AW65))</f>
        <v>5</v>
      </c>
      <c r="AX66" s="56">
        <f>IF($AS66=1,IF($S66="Loss",N(AX65)+1,IF($S66="Win",0,N(AX65))),N(AX65))</f>
        <v>0</v>
      </c>
      <c r="AY66" s="56" t="str">
        <f>IF($AS66=1,COUNTIF($AS$6:$AS66,1),"")</f>
        <v/>
      </c>
      <c r="AZ66" s="56">
        <f>MIN(60,N(Lists!$W$8))</f>
        <v>28</v>
      </c>
      <c r="BA66" s="56">
        <f>IF($AS66=1,IF(COUNTIFS($A$6:$A66,$A66,$AS$6:$AS66,1)=1,1,0),0)</f>
        <v>0</v>
      </c>
      <c r="BB66" s="55" t="str">
        <f>IF($BA66=1,SUMIFS($Q$6:$Q$1005,$A$6:$A$1005,$A66,$AS$6:$AS$1005,1),"")</f>
        <v/>
      </c>
      <c r="BC66" s="56">
        <f>IF(ISNUMBER($R66),1,0)</f>
        <v>0</v>
      </c>
      <c r="BD66" s="55" t="str">
        <f>IF(ISNUMBER($U66),$U66*$V66,"")</f>
        <v/>
      </c>
      <c r="BE66" s="56" t="str">
        <f>IF($AM66=0,"",IFERROR(MATCH($AF66&amp;"|"&amp;UPPER(TRIM($E66)),Lists!$A$6:$A$205,0),0))</f>
        <v/>
      </c>
      <c r="BF66" s="56" t="str">
        <f>IF($AM66=0,"",IFERROR(MATCH($AF66,Settings!$B$14:$B$18,0),IFERROR(MATCH(Settings!$C$6,Settings!$B$14:$B$18,0),1)))</f>
        <v/>
      </c>
      <c r="BG66" s="58" t="str">
        <f>IF($AM66=0,"",IF(NOT(ISNUMBER($I66)),"No stop; ","")&amp;IF(AND(ISNUMBER($H66),ISNUMBER($I66)),IF(OR(AND($F66&lt;&gt;"Short",$I66&gt;=$H66),AND($F66="Short",$I66&lt;=$H66)),"Stop on wrong side; ",""),"")&amp;IF($F66="","No direction; ","")&amp;IF(AND(ISNUMBER(Settings!$C$22),ISNUMBER($V66)),IF($V66&gt;Settings!$C$22,"Risk over max $; ",""),"")&amp;IF(AND(ISNUMBER(Settings!$C$23),ISNUMBER($V66),ISNUMBER($AP66),IFERROR(N(INDEX(Accounts!$E$7:$E$16,MATCH($C66,Accounts!$B$7:$B$16,0))),0)&gt;0),IF($V66&gt;Settings!$C$23*($AP66-N($Q66)),"Risk over max %; ",""),"")&amp;IF(AND(ISNUMBER(Settings!$C$24),ISNUMBER($N66)),IF($N66&gt;Settings!$C$24,"Leverage over max; ",""),"")&amp;IF(AND(ISNUMBER(Settings!$C$27),ISNUMBER($T66)),IF($T66&lt;Settings!$C$27,"R:R below min; ",""),"")&amp;IF(ISNUMBER(Settings!$C$25),IF(COUNTIFS($A$6:$A66,$A66,$AM$6:$AM66,1)&gt;Settings!$C$25,"Over max trades/day; ",""),"")&amp;IF(ISNUMBER(Settings!$C$26),IF(SUMIFS($Q$5:$Q65,$A$5:$A65,$A66)&lt;=-Settings!$C$26,"Traded after daily max loss; ",""),"")&amp;IF(AND($AG66="",NOT(ISNUMBER($O66))),"Symbol not in Instruments; ","")&amp;IF(AND($AH66="",NOT(ISNUMBER($O66))),"Forex cross: type Gross P&amp;L; ",""))</f>
        <v/>
      </c>
      <c r="BH66" s="56">
        <f>IF(ISNUMBER($Q66),1,0)</f>
        <v>0</v>
      </c>
      <c r="BI66" s="56">
        <f>IF($Y66="",0,1)</f>
        <v>0</v>
      </c>
      <c r="BJ66" s="56">
        <f>IF($AB66="",0,1)</f>
        <v>0</v>
      </c>
      <c r="BK66" s="56">
        <f>IF(AND($BH66=1,$W66&lt;&gt;"OK"),1,0)</f>
        <v>0</v>
      </c>
      <c r="BL66" s="55">
        <f>IF(N($AZ66)=0,0,IFERROR(INDEX($AT$6:$AT$1005,MATCH($AZ66,$AY$6:$AY$1005,0)),0))</f>
        <v>1187.10688</v>
      </c>
      <c r="BM66" s="56">
        <f>IF(ISNUMBER(SEARCH("daily max loss",$BG66)),1,0)</f>
        <v>0</v>
      </c>
    </row>
    <row r="67" ht="18" customHeight="1">
      <c r="A67" s="38" t="n"/>
      <c r="B67" s="39" t="n"/>
      <c r="C67" s="40" t="n"/>
      <c r="D67" s="41" t="n"/>
      <c r="E67" s="41" t="n"/>
      <c r="F67" s="41" t="n"/>
      <c r="G67" s="41" t="n"/>
      <c r="H67" s="42" t="n"/>
      <c r="I67" s="42" t="n"/>
      <c r="J67" s="42" t="n"/>
      <c r="K67" s="42" t="n"/>
      <c r="L67" s="41" t="n"/>
      <c r="M67" s="41" t="n"/>
      <c r="N67" s="41" t="n"/>
      <c r="O67" s="43" t="n"/>
      <c r="P67" s="43" t="n"/>
      <c r="Q67" s="44" t="str">
        <f>IF($AM67=0,"",IF(ISNUMBER($AK67),$AK67-N($AL67),""))</f>
        <v/>
      </c>
      <c r="R67" s="45" t="str">
        <f>IF(OR($Q67="",NOT(ISNUMBER($V67))),"",$AK67/$V67)</f>
        <v/>
      </c>
      <c r="S67" s="46" t="str">
        <f>IF($Q67="","",IF(AND(ISNUMBER($R67),ABS(N($R67))&lt;N(Settings!$C$8)),"Scratch",IF($Q67&gt;0,"Win",IF($Q67&lt;0,"Loss","Scratch"))))</f>
        <v/>
      </c>
      <c r="T67" s="47" t="str">
        <f>IF(OR($AM67=0,NOT(ISNUMBER($H67)),NOT(ISNUMBER($I67)),NOT(ISNUMBER($J67))),"",IF($H67=$I67,"",ROUND(ABS($J67-$H67)/ABS($H67-$I67),6)))</f>
        <v/>
      </c>
      <c r="U67" s="48" t="str">
        <f>IF(OR($S67&lt;&gt;"Win",NOT(ISNUMBER($T67)),NOT(ISNUMBER($R67))),"",MAX(0,$T67-$R67))</f>
        <v/>
      </c>
      <c r="V67" s="49" t="str">
        <f>IF(OR($AM67=0,NOT(ISNUMBER($H67)),NOT(ISNUMBER($I67)),NOT(ISNUMBER($G67))),"",IF(OR($AG67="",$AH67=""),"",IF(ROUND(ABS($H67-$I67)*ABS($G67)*$AG67*$AH67,6)=0,"",ROUND(ABS($H67-$I67)*ABS($G67)*$AG67*$AH67,6))))</f>
        <v/>
      </c>
      <c r="W67" s="50" t="str">
        <f>IF($AM67=0,"",IF($BG67="","OK",LEFT($BG67,LEN($BG67)-2)))</f>
        <v/>
      </c>
      <c r="X67" s="41" t="n"/>
      <c r="Y67" s="40" t="n"/>
      <c r="Z67" s="41" t="n"/>
      <c r="AA67" s="41" t="n"/>
      <c r="AB67" s="40" t="n"/>
      <c r="AC67" s="51" t="n"/>
      <c r="AD67" s="51" t="n"/>
      <c r="AE67" s="40" t="n"/>
      <c r="AF67" s="52" t="str">
        <f>IF($AM67=0,"",IF($D67&lt;&gt;"",$D67,IF(IFERROR(INDEX(Accounts!$C$7:$C$16,MATCH($C67,Accounts!$B$7:$B$16,0))&amp;"","")&lt;&gt;"",INDEX(Accounts!$C$7:$C$16,MATCH($C67,Accounts!$B$7:$B$16,0)),Settings!$C$6)))</f>
        <v/>
      </c>
      <c r="AG67" s="53" t="str">
        <f>IF($AM67=0,"",IF(AND($BE67&gt;0,N(INDEX(Instruments!$D$6:$D$205,MAX(1,$BE67)))&gt;0),INDEX(Instruments!$D$6:$D$205,MAX(1,$BE67)),IF(N(INDEX(Settings!$D$14:$D$18,$BF67))&gt;0,INDEX(Settings!$D$14:$D$18,$BF67),"")))</f>
        <v/>
      </c>
      <c r="AH67" s="54" t="str">
        <f>IF($AM67=0,"",IF($AF67&lt;&gt;"Forex",1,IF(MID(UPPER(SUBSTITUTE(TRIM($E67),"/","")),4,3)=UPPER(TRIM(Settings!$C$7)),1,IF(LEFT(UPPER(SUBSTITUTE(TRIM($E67),"/","")),3)=UPPER(TRIM(Settings!$C$7)),IF(AND(ISNUMBER($K67),N($K67)&lt;&gt;0),1/$K67,""),""))))</f>
        <v/>
      </c>
      <c r="AI67" s="55" t="str">
        <f>IF($AM67=0,"",IF(OR(NOT(ISNUMBER($H67)),NOT(ISNUMBER($K67)),NOT(ISNUMBER($G67)),$AG67="",$AH67=""),"",ROUND(($K67-$H67)*IF($F67="Short",-1,1)*$G67*$AG67*$AH67,6)))</f>
        <v/>
      </c>
      <c r="AJ67" s="55" t="str">
        <f>IF($AM67=0,"",IF(INDEX(Settings!$E$14:$E$18,$BF67)="% of notional",IF(OR($AG67="",NOT(ISNUMBER($H67)),NOT(ISNUMBER($G67))),"",ROUND(ABS($H67*$G67*$AG67*N($AH67))*IF($L67="Limit",N(INDEX(Settings!$G$14:$G$18,$BF67)),N(INDEX(Settings!$H$14:$H$18,$BF67)))+IF(ISNUMBER($K67),ABS($K67*$G67*$AG67*N($AH67))*IF($M67="Target",N(INDEX(Settings!$G$14:$G$18,$BF67)),N(INDEX(Settings!$H$14:$H$18,$BF67))),0),6)),IF(NOT(ISNUMBER($G67)),"",ROUND(ABS($G67)*2*IF(AND($BE67&gt;0,ISNUMBER(INDEX(Instruments!$G$6:$G$205,MAX(1,$BE67)))),INDEX(Instruments!$G$6:$G$205,MAX(1,$BE67)),N(INDEX(Settings!$F$14:$F$18,$BF67))),6))))</f>
        <v/>
      </c>
      <c r="AK67" s="55" t="str">
        <f>IF($AM67=0,"",IF(ISNUMBER($O67),$O67,$AI67))</f>
        <v/>
      </c>
      <c r="AL67" s="55" t="str">
        <f>IF($AM67=0,"",IF(ISNUMBER($P67),$P67,N($AJ67)))</f>
        <v/>
      </c>
      <c r="AM67" s="56">
        <f>IF(AND($A67&lt;&gt;"",$E67&lt;&gt;"",OR(AND(ISNUMBER($G67),ISNUMBER($H67),ISNUMBER($K67)),ISNUMBER($O67))),1,0)</f>
        <v>0</v>
      </c>
      <c r="AN67" s="57" t="str">
        <f>IF($A67="","",$A67-WEEKDAY($A67,3))</f>
        <v/>
      </c>
      <c r="AO67" s="56" t="str">
        <f>IF($A67="","",WEEKDAY($A67,2))</f>
        <v/>
      </c>
      <c r="AP67" s="55" t="str">
        <f>IF(OR($AM67=0,$C67=""),"",IFERROR(N(INDEX(Accounts!$E$7:$E$16,MATCH($C67,Accounts!$B$7:$B$16,0))),0)+SUMIFS($Q$6:$Q67,$C$6:$C67,$C67))</f>
        <v/>
      </c>
      <c r="AQ67" s="55" t="str">
        <f>IF(OR($AM67=0,$C67=""),"",SUMIFS($Q$6:$Q$1005,$C$6:$C$1005,$C67,$A$6:$A$1005,$A67))</f>
        <v/>
      </c>
      <c r="AR67" s="55" t="str">
        <f>IF(OR($AM67=0,$C67=""),"",IFERROR(N(INDEX(Accounts!$E$7:$E$16,MATCH($C67,Accounts!$B$7:$B$16,0))),0)+SUMIFS($Q$6:$Q$1005,$C$6:$C$1005,$C67,$A$6:$A$1005,"&lt;="&amp;$A67))</f>
        <v/>
      </c>
      <c r="AS67" s="56">
        <f>IF(OR($AM67=0,$Q67=""),0,IF(AND($A67&gt;=Lists!$W$6,$A67&lt;=Lists!$W$7,OR(Dashboard!$D$6="All accounts",$C67=Dashboard!$D$6),OR(Dashboard!$D$7="All markets",$AF67=Dashboard!$D$7)),1,0))</f>
        <v>0</v>
      </c>
      <c r="AT67" s="55">
        <f>IF($AS67=1,N(AT66)+$Q67,N(AT66))</f>
        <v>1187.10688</v>
      </c>
      <c r="AU67" s="55">
        <f>MAX(N(AU66),$AT67)</f>
        <v>1187.10688</v>
      </c>
      <c r="AV67" s="55">
        <f>$AT67-$AU67</f>
        <v>0</v>
      </c>
      <c r="AW67" s="56">
        <f>IF($AS67=1,IF($S67="Win",N(AW66)+1,IF($S67="Loss",0,N(AW66))),N(AW66))</f>
        <v>5</v>
      </c>
      <c r="AX67" s="56">
        <f>IF($AS67=1,IF($S67="Loss",N(AX66)+1,IF($S67="Win",0,N(AX66))),N(AX66))</f>
        <v>0</v>
      </c>
      <c r="AY67" s="56" t="str">
        <f>IF($AS67=1,COUNTIF($AS$6:$AS67,1),"")</f>
        <v/>
      </c>
      <c r="AZ67" s="56">
        <f>MIN(61,N(Lists!$W$8))</f>
        <v>28</v>
      </c>
      <c r="BA67" s="56">
        <f>IF($AS67=1,IF(COUNTIFS($A$6:$A67,$A67,$AS$6:$AS67,1)=1,1,0),0)</f>
        <v>0</v>
      </c>
      <c r="BB67" s="55" t="str">
        <f>IF($BA67=1,SUMIFS($Q$6:$Q$1005,$A$6:$A$1005,$A67,$AS$6:$AS$1005,1),"")</f>
        <v/>
      </c>
      <c r="BC67" s="56">
        <f>IF(ISNUMBER($R67),1,0)</f>
        <v>0</v>
      </c>
      <c r="BD67" s="55" t="str">
        <f>IF(ISNUMBER($U67),$U67*$V67,"")</f>
        <v/>
      </c>
      <c r="BE67" s="56" t="str">
        <f>IF($AM67=0,"",IFERROR(MATCH($AF67&amp;"|"&amp;UPPER(TRIM($E67)),Lists!$A$6:$A$205,0),0))</f>
        <v/>
      </c>
      <c r="BF67" s="56" t="str">
        <f>IF($AM67=0,"",IFERROR(MATCH($AF67,Settings!$B$14:$B$18,0),IFERROR(MATCH(Settings!$C$6,Settings!$B$14:$B$18,0),1)))</f>
        <v/>
      </c>
      <c r="BG67" s="58" t="str">
        <f>IF($AM67=0,"",IF(NOT(ISNUMBER($I67)),"No stop; ","")&amp;IF(AND(ISNUMBER($H67),ISNUMBER($I67)),IF(OR(AND($F67&lt;&gt;"Short",$I67&gt;=$H67),AND($F67="Short",$I67&lt;=$H67)),"Stop on wrong side; ",""),"")&amp;IF($F67="","No direction; ","")&amp;IF(AND(ISNUMBER(Settings!$C$22),ISNUMBER($V67)),IF($V67&gt;Settings!$C$22,"Risk over max $; ",""),"")&amp;IF(AND(ISNUMBER(Settings!$C$23),ISNUMBER($V67),ISNUMBER($AP67),IFERROR(N(INDEX(Accounts!$E$7:$E$16,MATCH($C67,Accounts!$B$7:$B$16,0))),0)&gt;0),IF($V67&gt;Settings!$C$23*($AP67-N($Q67)),"Risk over max %; ",""),"")&amp;IF(AND(ISNUMBER(Settings!$C$24),ISNUMBER($N67)),IF($N67&gt;Settings!$C$24,"Leverage over max; ",""),"")&amp;IF(AND(ISNUMBER(Settings!$C$27),ISNUMBER($T67)),IF($T67&lt;Settings!$C$27,"R:R below min; ",""),"")&amp;IF(ISNUMBER(Settings!$C$25),IF(COUNTIFS($A$6:$A67,$A67,$AM$6:$AM67,1)&gt;Settings!$C$25,"Over max trades/day; ",""),"")&amp;IF(ISNUMBER(Settings!$C$26),IF(SUMIFS($Q$5:$Q66,$A$5:$A66,$A67)&lt;=-Settings!$C$26,"Traded after daily max loss; ",""),"")&amp;IF(AND($AG67="",NOT(ISNUMBER($O67))),"Symbol not in Instruments; ","")&amp;IF(AND($AH67="",NOT(ISNUMBER($O67))),"Forex cross: type Gross P&amp;L; ",""))</f>
        <v/>
      </c>
      <c r="BH67" s="56">
        <f>IF(ISNUMBER($Q67),1,0)</f>
        <v>0</v>
      </c>
      <c r="BI67" s="56">
        <f>IF($Y67="",0,1)</f>
        <v>0</v>
      </c>
      <c r="BJ67" s="56">
        <f>IF($AB67="",0,1)</f>
        <v>0</v>
      </c>
      <c r="BK67" s="56">
        <f>IF(AND($BH67=1,$W67&lt;&gt;"OK"),1,0)</f>
        <v>0</v>
      </c>
      <c r="BL67" s="55">
        <f>IF(N($AZ67)=0,0,IFERROR(INDEX($AT$6:$AT$1005,MATCH($AZ67,$AY$6:$AY$1005,0)),0))</f>
        <v>1187.10688</v>
      </c>
      <c r="BM67" s="56">
        <f>IF(ISNUMBER(SEARCH("daily max loss",$BG67)),1,0)</f>
        <v>0</v>
      </c>
    </row>
    <row r="68" ht="18" customHeight="1">
      <c r="A68" s="38" t="n"/>
      <c r="B68" s="39" t="n"/>
      <c r="C68" s="40" t="n"/>
      <c r="D68" s="41" t="n"/>
      <c r="E68" s="41" t="n"/>
      <c r="F68" s="41" t="n"/>
      <c r="G68" s="41" t="n"/>
      <c r="H68" s="42" t="n"/>
      <c r="I68" s="42" t="n"/>
      <c r="J68" s="42" t="n"/>
      <c r="K68" s="42" t="n"/>
      <c r="L68" s="41" t="n"/>
      <c r="M68" s="41" t="n"/>
      <c r="N68" s="41" t="n"/>
      <c r="O68" s="43" t="n"/>
      <c r="P68" s="43" t="n"/>
      <c r="Q68" s="44" t="str">
        <f>IF($AM68=0,"",IF(ISNUMBER($AK68),$AK68-N($AL68),""))</f>
        <v/>
      </c>
      <c r="R68" s="45" t="str">
        <f>IF(OR($Q68="",NOT(ISNUMBER($V68))),"",$AK68/$V68)</f>
        <v/>
      </c>
      <c r="S68" s="46" t="str">
        <f>IF($Q68="","",IF(AND(ISNUMBER($R68),ABS(N($R68))&lt;N(Settings!$C$8)),"Scratch",IF($Q68&gt;0,"Win",IF($Q68&lt;0,"Loss","Scratch"))))</f>
        <v/>
      </c>
      <c r="T68" s="47" t="str">
        <f>IF(OR($AM68=0,NOT(ISNUMBER($H68)),NOT(ISNUMBER($I68)),NOT(ISNUMBER($J68))),"",IF($H68=$I68,"",ROUND(ABS($J68-$H68)/ABS($H68-$I68),6)))</f>
        <v/>
      </c>
      <c r="U68" s="48" t="str">
        <f>IF(OR($S68&lt;&gt;"Win",NOT(ISNUMBER($T68)),NOT(ISNUMBER($R68))),"",MAX(0,$T68-$R68))</f>
        <v/>
      </c>
      <c r="V68" s="49" t="str">
        <f>IF(OR($AM68=0,NOT(ISNUMBER($H68)),NOT(ISNUMBER($I68)),NOT(ISNUMBER($G68))),"",IF(OR($AG68="",$AH68=""),"",IF(ROUND(ABS($H68-$I68)*ABS($G68)*$AG68*$AH68,6)=0,"",ROUND(ABS($H68-$I68)*ABS($G68)*$AG68*$AH68,6))))</f>
        <v/>
      </c>
      <c r="W68" s="50" t="str">
        <f>IF($AM68=0,"",IF($BG68="","OK",LEFT($BG68,LEN($BG68)-2)))</f>
        <v/>
      </c>
      <c r="X68" s="41" t="n"/>
      <c r="Y68" s="40" t="n"/>
      <c r="Z68" s="41" t="n"/>
      <c r="AA68" s="41" t="n"/>
      <c r="AB68" s="40" t="n"/>
      <c r="AC68" s="51" t="n"/>
      <c r="AD68" s="51" t="n"/>
      <c r="AE68" s="40" t="n"/>
      <c r="AF68" s="52" t="str">
        <f>IF($AM68=0,"",IF($D68&lt;&gt;"",$D68,IF(IFERROR(INDEX(Accounts!$C$7:$C$16,MATCH($C68,Accounts!$B$7:$B$16,0))&amp;"","")&lt;&gt;"",INDEX(Accounts!$C$7:$C$16,MATCH($C68,Accounts!$B$7:$B$16,0)),Settings!$C$6)))</f>
        <v/>
      </c>
      <c r="AG68" s="53" t="str">
        <f>IF($AM68=0,"",IF(AND($BE68&gt;0,N(INDEX(Instruments!$D$6:$D$205,MAX(1,$BE68)))&gt;0),INDEX(Instruments!$D$6:$D$205,MAX(1,$BE68)),IF(N(INDEX(Settings!$D$14:$D$18,$BF68))&gt;0,INDEX(Settings!$D$14:$D$18,$BF68),"")))</f>
        <v/>
      </c>
      <c r="AH68" s="54" t="str">
        <f>IF($AM68=0,"",IF($AF68&lt;&gt;"Forex",1,IF(MID(UPPER(SUBSTITUTE(TRIM($E68),"/","")),4,3)=UPPER(TRIM(Settings!$C$7)),1,IF(LEFT(UPPER(SUBSTITUTE(TRIM($E68),"/","")),3)=UPPER(TRIM(Settings!$C$7)),IF(AND(ISNUMBER($K68),N($K68)&lt;&gt;0),1/$K68,""),""))))</f>
        <v/>
      </c>
      <c r="AI68" s="55" t="str">
        <f>IF($AM68=0,"",IF(OR(NOT(ISNUMBER($H68)),NOT(ISNUMBER($K68)),NOT(ISNUMBER($G68)),$AG68="",$AH68=""),"",ROUND(($K68-$H68)*IF($F68="Short",-1,1)*$G68*$AG68*$AH68,6)))</f>
        <v/>
      </c>
      <c r="AJ68" s="55" t="str">
        <f>IF($AM68=0,"",IF(INDEX(Settings!$E$14:$E$18,$BF68)="% of notional",IF(OR($AG68="",NOT(ISNUMBER($H68)),NOT(ISNUMBER($G68))),"",ROUND(ABS($H68*$G68*$AG68*N($AH68))*IF($L68="Limit",N(INDEX(Settings!$G$14:$G$18,$BF68)),N(INDEX(Settings!$H$14:$H$18,$BF68)))+IF(ISNUMBER($K68),ABS($K68*$G68*$AG68*N($AH68))*IF($M68="Target",N(INDEX(Settings!$G$14:$G$18,$BF68)),N(INDEX(Settings!$H$14:$H$18,$BF68))),0),6)),IF(NOT(ISNUMBER($G68)),"",ROUND(ABS($G68)*2*IF(AND($BE68&gt;0,ISNUMBER(INDEX(Instruments!$G$6:$G$205,MAX(1,$BE68)))),INDEX(Instruments!$G$6:$G$205,MAX(1,$BE68)),N(INDEX(Settings!$F$14:$F$18,$BF68))),6))))</f>
        <v/>
      </c>
      <c r="AK68" s="55" t="str">
        <f>IF($AM68=0,"",IF(ISNUMBER($O68),$O68,$AI68))</f>
        <v/>
      </c>
      <c r="AL68" s="55" t="str">
        <f>IF($AM68=0,"",IF(ISNUMBER($P68),$P68,N($AJ68)))</f>
        <v/>
      </c>
      <c r="AM68" s="56">
        <f>IF(AND($A68&lt;&gt;"",$E68&lt;&gt;"",OR(AND(ISNUMBER($G68),ISNUMBER($H68),ISNUMBER($K68)),ISNUMBER($O68))),1,0)</f>
        <v>0</v>
      </c>
      <c r="AN68" s="57" t="str">
        <f>IF($A68="","",$A68-WEEKDAY($A68,3))</f>
        <v/>
      </c>
      <c r="AO68" s="56" t="str">
        <f>IF($A68="","",WEEKDAY($A68,2))</f>
        <v/>
      </c>
      <c r="AP68" s="55" t="str">
        <f>IF(OR($AM68=0,$C68=""),"",IFERROR(N(INDEX(Accounts!$E$7:$E$16,MATCH($C68,Accounts!$B$7:$B$16,0))),0)+SUMIFS($Q$6:$Q68,$C$6:$C68,$C68))</f>
        <v/>
      </c>
      <c r="AQ68" s="55" t="str">
        <f>IF(OR($AM68=0,$C68=""),"",SUMIFS($Q$6:$Q$1005,$C$6:$C$1005,$C68,$A$6:$A$1005,$A68))</f>
        <v/>
      </c>
      <c r="AR68" s="55" t="str">
        <f>IF(OR($AM68=0,$C68=""),"",IFERROR(N(INDEX(Accounts!$E$7:$E$16,MATCH($C68,Accounts!$B$7:$B$16,0))),0)+SUMIFS($Q$6:$Q$1005,$C$6:$C$1005,$C68,$A$6:$A$1005,"&lt;="&amp;$A68))</f>
        <v/>
      </c>
      <c r="AS68" s="56">
        <f>IF(OR($AM68=0,$Q68=""),0,IF(AND($A68&gt;=Lists!$W$6,$A68&lt;=Lists!$W$7,OR(Dashboard!$D$6="All accounts",$C68=Dashboard!$D$6),OR(Dashboard!$D$7="All markets",$AF68=Dashboard!$D$7)),1,0))</f>
        <v>0</v>
      </c>
      <c r="AT68" s="55">
        <f>IF($AS68=1,N(AT67)+$Q68,N(AT67))</f>
        <v>1187.10688</v>
      </c>
      <c r="AU68" s="55">
        <f>MAX(N(AU67),$AT68)</f>
        <v>1187.10688</v>
      </c>
      <c r="AV68" s="55">
        <f>$AT68-$AU68</f>
        <v>0</v>
      </c>
      <c r="AW68" s="56">
        <f>IF($AS68=1,IF($S68="Win",N(AW67)+1,IF($S68="Loss",0,N(AW67))),N(AW67))</f>
        <v>5</v>
      </c>
      <c r="AX68" s="56">
        <f>IF($AS68=1,IF($S68="Loss",N(AX67)+1,IF($S68="Win",0,N(AX67))),N(AX67))</f>
        <v>0</v>
      </c>
      <c r="AY68" s="56" t="str">
        <f>IF($AS68=1,COUNTIF($AS$6:$AS68,1),"")</f>
        <v/>
      </c>
      <c r="AZ68" s="56">
        <f>MIN(62,N(Lists!$W$8))</f>
        <v>28</v>
      </c>
      <c r="BA68" s="56">
        <f>IF($AS68=1,IF(COUNTIFS($A$6:$A68,$A68,$AS$6:$AS68,1)=1,1,0),0)</f>
        <v>0</v>
      </c>
      <c r="BB68" s="55" t="str">
        <f>IF($BA68=1,SUMIFS($Q$6:$Q$1005,$A$6:$A$1005,$A68,$AS$6:$AS$1005,1),"")</f>
        <v/>
      </c>
      <c r="BC68" s="56">
        <f>IF(ISNUMBER($R68),1,0)</f>
        <v>0</v>
      </c>
      <c r="BD68" s="55" t="str">
        <f>IF(ISNUMBER($U68),$U68*$V68,"")</f>
        <v/>
      </c>
      <c r="BE68" s="56" t="str">
        <f>IF($AM68=0,"",IFERROR(MATCH($AF68&amp;"|"&amp;UPPER(TRIM($E68)),Lists!$A$6:$A$205,0),0))</f>
        <v/>
      </c>
      <c r="BF68" s="56" t="str">
        <f>IF($AM68=0,"",IFERROR(MATCH($AF68,Settings!$B$14:$B$18,0),IFERROR(MATCH(Settings!$C$6,Settings!$B$14:$B$18,0),1)))</f>
        <v/>
      </c>
      <c r="BG68" s="58" t="str">
        <f>IF($AM68=0,"",IF(NOT(ISNUMBER($I68)),"No stop; ","")&amp;IF(AND(ISNUMBER($H68),ISNUMBER($I68)),IF(OR(AND($F68&lt;&gt;"Short",$I68&gt;=$H68),AND($F68="Short",$I68&lt;=$H68)),"Stop on wrong side; ",""),"")&amp;IF($F68="","No direction; ","")&amp;IF(AND(ISNUMBER(Settings!$C$22),ISNUMBER($V68)),IF($V68&gt;Settings!$C$22,"Risk over max $; ",""),"")&amp;IF(AND(ISNUMBER(Settings!$C$23),ISNUMBER($V68),ISNUMBER($AP68),IFERROR(N(INDEX(Accounts!$E$7:$E$16,MATCH($C68,Accounts!$B$7:$B$16,0))),0)&gt;0),IF($V68&gt;Settings!$C$23*($AP68-N($Q68)),"Risk over max %; ",""),"")&amp;IF(AND(ISNUMBER(Settings!$C$24),ISNUMBER($N68)),IF($N68&gt;Settings!$C$24,"Leverage over max; ",""),"")&amp;IF(AND(ISNUMBER(Settings!$C$27),ISNUMBER($T68)),IF($T68&lt;Settings!$C$27,"R:R below min; ",""),"")&amp;IF(ISNUMBER(Settings!$C$25),IF(COUNTIFS($A$6:$A68,$A68,$AM$6:$AM68,1)&gt;Settings!$C$25,"Over max trades/day; ",""),"")&amp;IF(ISNUMBER(Settings!$C$26),IF(SUMIFS($Q$5:$Q67,$A$5:$A67,$A68)&lt;=-Settings!$C$26,"Traded after daily max loss; ",""),"")&amp;IF(AND($AG68="",NOT(ISNUMBER($O68))),"Symbol not in Instruments; ","")&amp;IF(AND($AH68="",NOT(ISNUMBER($O68))),"Forex cross: type Gross P&amp;L; ",""))</f>
        <v/>
      </c>
      <c r="BH68" s="56">
        <f>IF(ISNUMBER($Q68),1,0)</f>
        <v>0</v>
      </c>
      <c r="BI68" s="56">
        <f>IF($Y68="",0,1)</f>
        <v>0</v>
      </c>
      <c r="BJ68" s="56">
        <f>IF($AB68="",0,1)</f>
        <v>0</v>
      </c>
      <c r="BK68" s="56">
        <f>IF(AND($BH68=1,$W68&lt;&gt;"OK"),1,0)</f>
        <v>0</v>
      </c>
      <c r="BL68" s="55">
        <f>IF(N($AZ68)=0,0,IFERROR(INDEX($AT$6:$AT$1005,MATCH($AZ68,$AY$6:$AY$1005,0)),0))</f>
        <v>1187.10688</v>
      </c>
      <c r="BM68" s="56">
        <f>IF(ISNUMBER(SEARCH("daily max loss",$BG68)),1,0)</f>
        <v>0</v>
      </c>
    </row>
    <row r="69" ht="18" customHeight="1">
      <c r="A69" s="38" t="n"/>
      <c r="B69" s="39" t="n"/>
      <c r="C69" s="40" t="n"/>
      <c r="D69" s="41" t="n"/>
      <c r="E69" s="41" t="n"/>
      <c r="F69" s="41" t="n"/>
      <c r="G69" s="41" t="n"/>
      <c r="H69" s="42" t="n"/>
      <c r="I69" s="42" t="n"/>
      <c r="J69" s="42" t="n"/>
      <c r="K69" s="42" t="n"/>
      <c r="L69" s="41" t="n"/>
      <c r="M69" s="41" t="n"/>
      <c r="N69" s="41" t="n"/>
      <c r="O69" s="43" t="n"/>
      <c r="P69" s="43" t="n"/>
      <c r="Q69" s="44" t="str">
        <f>IF($AM69=0,"",IF(ISNUMBER($AK69),$AK69-N($AL69),""))</f>
        <v/>
      </c>
      <c r="R69" s="45" t="str">
        <f>IF(OR($Q69="",NOT(ISNUMBER($V69))),"",$AK69/$V69)</f>
        <v/>
      </c>
      <c r="S69" s="46" t="str">
        <f>IF($Q69="","",IF(AND(ISNUMBER($R69),ABS(N($R69))&lt;N(Settings!$C$8)),"Scratch",IF($Q69&gt;0,"Win",IF($Q69&lt;0,"Loss","Scratch"))))</f>
        <v/>
      </c>
      <c r="T69" s="47" t="str">
        <f>IF(OR($AM69=0,NOT(ISNUMBER($H69)),NOT(ISNUMBER($I69)),NOT(ISNUMBER($J69))),"",IF($H69=$I69,"",ROUND(ABS($J69-$H69)/ABS($H69-$I69),6)))</f>
        <v/>
      </c>
      <c r="U69" s="48" t="str">
        <f>IF(OR($S69&lt;&gt;"Win",NOT(ISNUMBER($T69)),NOT(ISNUMBER($R69))),"",MAX(0,$T69-$R69))</f>
        <v/>
      </c>
      <c r="V69" s="49" t="str">
        <f>IF(OR($AM69=0,NOT(ISNUMBER($H69)),NOT(ISNUMBER($I69)),NOT(ISNUMBER($G69))),"",IF(OR($AG69="",$AH69=""),"",IF(ROUND(ABS($H69-$I69)*ABS($G69)*$AG69*$AH69,6)=0,"",ROUND(ABS($H69-$I69)*ABS($G69)*$AG69*$AH69,6))))</f>
        <v/>
      </c>
      <c r="W69" s="50" t="str">
        <f>IF($AM69=0,"",IF($BG69="","OK",LEFT($BG69,LEN($BG69)-2)))</f>
        <v/>
      </c>
      <c r="X69" s="41" t="n"/>
      <c r="Y69" s="40" t="n"/>
      <c r="Z69" s="41" t="n"/>
      <c r="AA69" s="41" t="n"/>
      <c r="AB69" s="40" t="n"/>
      <c r="AC69" s="51" t="n"/>
      <c r="AD69" s="51" t="n"/>
      <c r="AE69" s="40" t="n"/>
      <c r="AF69" s="52" t="str">
        <f>IF($AM69=0,"",IF($D69&lt;&gt;"",$D69,IF(IFERROR(INDEX(Accounts!$C$7:$C$16,MATCH($C69,Accounts!$B$7:$B$16,0))&amp;"","")&lt;&gt;"",INDEX(Accounts!$C$7:$C$16,MATCH($C69,Accounts!$B$7:$B$16,0)),Settings!$C$6)))</f>
        <v/>
      </c>
      <c r="AG69" s="53" t="str">
        <f>IF($AM69=0,"",IF(AND($BE69&gt;0,N(INDEX(Instruments!$D$6:$D$205,MAX(1,$BE69)))&gt;0),INDEX(Instruments!$D$6:$D$205,MAX(1,$BE69)),IF(N(INDEX(Settings!$D$14:$D$18,$BF69))&gt;0,INDEX(Settings!$D$14:$D$18,$BF69),"")))</f>
        <v/>
      </c>
      <c r="AH69" s="54" t="str">
        <f>IF($AM69=0,"",IF($AF69&lt;&gt;"Forex",1,IF(MID(UPPER(SUBSTITUTE(TRIM($E69),"/","")),4,3)=UPPER(TRIM(Settings!$C$7)),1,IF(LEFT(UPPER(SUBSTITUTE(TRIM($E69),"/","")),3)=UPPER(TRIM(Settings!$C$7)),IF(AND(ISNUMBER($K69),N($K69)&lt;&gt;0),1/$K69,""),""))))</f>
        <v/>
      </c>
      <c r="AI69" s="55" t="str">
        <f>IF($AM69=0,"",IF(OR(NOT(ISNUMBER($H69)),NOT(ISNUMBER($K69)),NOT(ISNUMBER($G69)),$AG69="",$AH69=""),"",ROUND(($K69-$H69)*IF($F69="Short",-1,1)*$G69*$AG69*$AH69,6)))</f>
        <v/>
      </c>
      <c r="AJ69" s="55" t="str">
        <f>IF($AM69=0,"",IF(INDEX(Settings!$E$14:$E$18,$BF69)="% of notional",IF(OR($AG69="",NOT(ISNUMBER($H69)),NOT(ISNUMBER($G69))),"",ROUND(ABS($H69*$G69*$AG69*N($AH69))*IF($L69="Limit",N(INDEX(Settings!$G$14:$G$18,$BF69)),N(INDEX(Settings!$H$14:$H$18,$BF69)))+IF(ISNUMBER($K69),ABS($K69*$G69*$AG69*N($AH69))*IF($M69="Target",N(INDEX(Settings!$G$14:$G$18,$BF69)),N(INDEX(Settings!$H$14:$H$18,$BF69))),0),6)),IF(NOT(ISNUMBER($G69)),"",ROUND(ABS($G69)*2*IF(AND($BE69&gt;0,ISNUMBER(INDEX(Instruments!$G$6:$G$205,MAX(1,$BE69)))),INDEX(Instruments!$G$6:$G$205,MAX(1,$BE69)),N(INDEX(Settings!$F$14:$F$18,$BF69))),6))))</f>
        <v/>
      </c>
      <c r="AK69" s="55" t="str">
        <f>IF($AM69=0,"",IF(ISNUMBER($O69),$O69,$AI69))</f>
        <v/>
      </c>
      <c r="AL69" s="55" t="str">
        <f>IF($AM69=0,"",IF(ISNUMBER($P69),$P69,N($AJ69)))</f>
        <v/>
      </c>
      <c r="AM69" s="56">
        <f>IF(AND($A69&lt;&gt;"",$E69&lt;&gt;"",OR(AND(ISNUMBER($G69),ISNUMBER($H69),ISNUMBER($K69)),ISNUMBER($O69))),1,0)</f>
        <v>0</v>
      </c>
      <c r="AN69" s="57" t="str">
        <f>IF($A69="","",$A69-WEEKDAY($A69,3))</f>
        <v/>
      </c>
      <c r="AO69" s="56" t="str">
        <f>IF($A69="","",WEEKDAY($A69,2))</f>
        <v/>
      </c>
      <c r="AP69" s="55" t="str">
        <f>IF(OR($AM69=0,$C69=""),"",IFERROR(N(INDEX(Accounts!$E$7:$E$16,MATCH($C69,Accounts!$B$7:$B$16,0))),0)+SUMIFS($Q$6:$Q69,$C$6:$C69,$C69))</f>
        <v/>
      </c>
      <c r="AQ69" s="55" t="str">
        <f>IF(OR($AM69=0,$C69=""),"",SUMIFS($Q$6:$Q$1005,$C$6:$C$1005,$C69,$A$6:$A$1005,$A69))</f>
        <v/>
      </c>
      <c r="AR69" s="55" t="str">
        <f>IF(OR($AM69=0,$C69=""),"",IFERROR(N(INDEX(Accounts!$E$7:$E$16,MATCH($C69,Accounts!$B$7:$B$16,0))),0)+SUMIFS($Q$6:$Q$1005,$C$6:$C$1005,$C69,$A$6:$A$1005,"&lt;="&amp;$A69))</f>
        <v/>
      </c>
      <c r="AS69" s="56">
        <f>IF(OR($AM69=0,$Q69=""),0,IF(AND($A69&gt;=Lists!$W$6,$A69&lt;=Lists!$W$7,OR(Dashboard!$D$6="All accounts",$C69=Dashboard!$D$6),OR(Dashboard!$D$7="All markets",$AF69=Dashboard!$D$7)),1,0))</f>
        <v>0</v>
      </c>
      <c r="AT69" s="55">
        <f>IF($AS69=1,N(AT68)+$Q69,N(AT68))</f>
        <v>1187.10688</v>
      </c>
      <c r="AU69" s="55">
        <f>MAX(N(AU68),$AT69)</f>
        <v>1187.10688</v>
      </c>
      <c r="AV69" s="55">
        <f>$AT69-$AU69</f>
        <v>0</v>
      </c>
      <c r="AW69" s="56">
        <f>IF($AS69=1,IF($S69="Win",N(AW68)+1,IF($S69="Loss",0,N(AW68))),N(AW68))</f>
        <v>5</v>
      </c>
      <c r="AX69" s="56">
        <f>IF($AS69=1,IF($S69="Loss",N(AX68)+1,IF($S69="Win",0,N(AX68))),N(AX68))</f>
        <v>0</v>
      </c>
      <c r="AY69" s="56" t="str">
        <f>IF($AS69=1,COUNTIF($AS$6:$AS69,1),"")</f>
        <v/>
      </c>
      <c r="AZ69" s="56">
        <f>MIN(63,N(Lists!$W$8))</f>
        <v>28</v>
      </c>
      <c r="BA69" s="56">
        <f>IF($AS69=1,IF(COUNTIFS($A$6:$A69,$A69,$AS$6:$AS69,1)=1,1,0),0)</f>
        <v>0</v>
      </c>
      <c r="BB69" s="55" t="str">
        <f>IF($BA69=1,SUMIFS($Q$6:$Q$1005,$A$6:$A$1005,$A69,$AS$6:$AS$1005,1),"")</f>
        <v/>
      </c>
      <c r="BC69" s="56">
        <f>IF(ISNUMBER($R69),1,0)</f>
        <v>0</v>
      </c>
      <c r="BD69" s="55" t="str">
        <f>IF(ISNUMBER($U69),$U69*$V69,"")</f>
        <v/>
      </c>
      <c r="BE69" s="56" t="str">
        <f>IF($AM69=0,"",IFERROR(MATCH($AF69&amp;"|"&amp;UPPER(TRIM($E69)),Lists!$A$6:$A$205,0),0))</f>
        <v/>
      </c>
      <c r="BF69" s="56" t="str">
        <f>IF($AM69=0,"",IFERROR(MATCH($AF69,Settings!$B$14:$B$18,0),IFERROR(MATCH(Settings!$C$6,Settings!$B$14:$B$18,0),1)))</f>
        <v/>
      </c>
      <c r="BG69" s="58" t="str">
        <f>IF($AM69=0,"",IF(NOT(ISNUMBER($I69)),"No stop; ","")&amp;IF(AND(ISNUMBER($H69),ISNUMBER($I69)),IF(OR(AND($F69&lt;&gt;"Short",$I69&gt;=$H69),AND($F69="Short",$I69&lt;=$H69)),"Stop on wrong side; ",""),"")&amp;IF($F69="","No direction; ","")&amp;IF(AND(ISNUMBER(Settings!$C$22),ISNUMBER($V69)),IF($V69&gt;Settings!$C$22,"Risk over max $; ",""),"")&amp;IF(AND(ISNUMBER(Settings!$C$23),ISNUMBER($V69),ISNUMBER($AP69),IFERROR(N(INDEX(Accounts!$E$7:$E$16,MATCH($C69,Accounts!$B$7:$B$16,0))),0)&gt;0),IF($V69&gt;Settings!$C$23*($AP69-N($Q69)),"Risk over max %; ",""),"")&amp;IF(AND(ISNUMBER(Settings!$C$24),ISNUMBER($N69)),IF($N69&gt;Settings!$C$24,"Leverage over max; ",""),"")&amp;IF(AND(ISNUMBER(Settings!$C$27),ISNUMBER($T69)),IF($T69&lt;Settings!$C$27,"R:R below min; ",""),"")&amp;IF(ISNUMBER(Settings!$C$25),IF(COUNTIFS($A$6:$A69,$A69,$AM$6:$AM69,1)&gt;Settings!$C$25,"Over max trades/day; ",""),"")&amp;IF(ISNUMBER(Settings!$C$26),IF(SUMIFS($Q$5:$Q68,$A$5:$A68,$A69)&lt;=-Settings!$C$26,"Traded after daily max loss; ",""),"")&amp;IF(AND($AG69="",NOT(ISNUMBER($O69))),"Symbol not in Instruments; ","")&amp;IF(AND($AH69="",NOT(ISNUMBER($O69))),"Forex cross: type Gross P&amp;L; ",""))</f>
        <v/>
      </c>
      <c r="BH69" s="56">
        <f>IF(ISNUMBER($Q69),1,0)</f>
        <v>0</v>
      </c>
      <c r="BI69" s="56">
        <f>IF($Y69="",0,1)</f>
        <v>0</v>
      </c>
      <c r="BJ69" s="56">
        <f>IF($AB69="",0,1)</f>
        <v>0</v>
      </c>
      <c r="BK69" s="56">
        <f>IF(AND($BH69=1,$W69&lt;&gt;"OK"),1,0)</f>
        <v>0</v>
      </c>
      <c r="BL69" s="55">
        <f>IF(N($AZ69)=0,0,IFERROR(INDEX($AT$6:$AT$1005,MATCH($AZ69,$AY$6:$AY$1005,0)),0))</f>
        <v>1187.10688</v>
      </c>
      <c r="BM69" s="56">
        <f>IF(ISNUMBER(SEARCH("daily max loss",$BG69)),1,0)</f>
        <v>0</v>
      </c>
    </row>
    <row r="70" ht="18" customHeight="1">
      <c r="A70" s="38" t="n"/>
      <c r="B70" s="39" t="n"/>
      <c r="C70" s="40" t="n"/>
      <c r="D70" s="41" t="n"/>
      <c r="E70" s="41" t="n"/>
      <c r="F70" s="41" t="n"/>
      <c r="G70" s="41" t="n"/>
      <c r="H70" s="42" t="n"/>
      <c r="I70" s="42" t="n"/>
      <c r="J70" s="42" t="n"/>
      <c r="K70" s="42" t="n"/>
      <c r="L70" s="41" t="n"/>
      <c r="M70" s="41" t="n"/>
      <c r="N70" s="41" t="n"/>
      <c r="O70" s="43" t="n"/>
      <c r="P70" s="43" t="n"/>
      <c r="Q70" s="44" t="str">
        <f>IF($AM70=0,"",IF(ISNUMBER($AK70),$AK70-N($AL70),""))</f>
        <v/>
      </c>
      <c r="R70" s="45" t="str">
        <f>IF(OR($Q70="",NOT(ISNUMBER($V70))),"",$AK70/$V70)</f>
        <v/>
      </c>
      <c r="S70" s="46" t="str">
        <f>IF($Q70="","",IF(AND(ISNUMBER($R70),ABS(N($R70))&lt;N(Settings!$C$8)),"Scratch",IF($Q70&gt;0,"Win",IF($Q70&lt;0,"Loss","Scratch"))))</f>
        <v/>
      </c>
      <c r="T70" s="47" t="str">
        <f>IF(OR($AM70=0,NOT(ISNUMBER($H70)),NOT(ISNUMBER($I70)),NOT(ISNUMBER($J70))),"",IF($H70=$I70,"",ROUND(ABS($J70-$H70)/ABS($H70-$I70),6)))</f>
        <v/>
      </c>
      <c r="U70" s="48" t="str">
        <f>IF(OR($S70&lt;&gt;"Win",NOT(ISNUMBER($T70)),NOT(ISNUMBER($R70))),"",MAX(0,$T70-$R70))</f>
        <v/>
      </c>
      <c r="V70" s="49" t="str">
        <f>IF(OR($AM70=0,NOT(ISNUMBER($H70)),NOT(ISNUMBER($I70)),NOT(ISNUMBER($G70))),"",IF(OR($AG70="",$AH70=""),"",IF(ROUND(ABS($H70-$I70)*ABS($G70)*$AG70*$AH70,6)=0,"",ROUND(ABS($H70-$I70)*ABS($G70)*$AG70*$AH70,6))))</f>
        <v/>
      </c>
      <c r="W70" s="50" t="str">
        <f>IF($AM70=0,"",IF($BG70="","OK",LEFT($BG70,LEN($BG70)-2)))</f>
        <v/>
      </c>
      <c r="X70" s="41" t="n"/>
      <c r="Y70" s="40" t="n"/>
      <c r="Z70" s="41" t="n"/>
      <c r="AA70" s="41" t="n"/>
      <c r="AB70" s="40" t="n"/>
      <c r="AC70" s="51" t="n"/>
      <c r="AD70" s="51" t="n"/>
      <c r="AE70" s="40" t="n"/>
      <c r="AF70" s="52" t="str">
        <f>IF($AM70=0,"",IF($D70&lt;&gt;"",$D70,IF(IFERROR(INDEX(Accounts!$C$7:$C$16,MATCH($C70,Accounts!$B$7:$B$16,0))&amp;"","")&lt;&gt;"",INDEX(Accounts!$C$7:$C$16,MATCH($C70,Accounts!$B$7:$B$16,0)),Settings!$C$6)))</f>
        <v/>
      </c>
      <c r="AG70" s="53" t="str">
        <f>IF($AM70=0,"",IF(AND($BE70&gt;0,N(INDEX(Instruments!$D$6:$D$205,MAX(1,$BE70)))&gt;0),INDEX(Instruments!$D$6:$D$205,MAX(1,$BE70)),IF(N(INDEX(Settings!$D$14:$D$18,$BF70))&gt;0,INDEX(Settings!$D$14:$D$18,$BF70),"")))</f>
        <v/>
      </c>
      <c r="AH70" s="54" t="str">
        <f>IF($AM70=0,"",IF($AF70&lt;&gt;"Forex",1,IF(MID(UPPER(SUBSTITUTE(TRIM($E70),"/","")),4,3)=UPPER(TRIM(Settings!$C$7)),1,IF(LEFT(UPPER(SUBSTITUTE(TRIM($E70),"/","")),3)=UPPER(TRIM(Settings!$C$7)),IF(AND(ISNUMBER($K70),N($K70)&lt;&gt;0),1/$K70,""),""))))</f>
        <v/>
      </c>
      <c r="AI70" s="55" t="str">
        <f>IF($AM70=0,"",IF(OR(NOT(ISNUMBER($H70)),NOT(ISNUMBER($K70)),NOT(ISNUMBER($G70)),$AG70="",$AH70=""),"",ROUND(($K70-$H70)*IF($F70="Short",-1,1)*$G70*$AG70*$AH70,6)))</f>
        <v/>
      </c>
      <c r="AJ70" s="55" t="str">
        <f>IF($AM70=0,"",IF(INDEX(Settings!$E$14:$E$18,$BF70)="% of notional",IF(OR($AG70="",NOT(ISNUMBER($H70)),NOT(ISNUMBER($G70))),"",ROUND(ABS($H70*$G70*$AG70*N($AH70))*IF($L70="Limit",N(INDEX(Settings!$G$14:$G$18,$BF70)),N(INDEX(Settings!$H$14:$H$18,$BF70)))+IF(ISNUMBER($K70),ABS($K70*$G70*$AG70*N($AH70))*IF($M70="Target",N(INDEX(Settings!$G$14:$G$18,$BF70)),N(INDEX(Settings!$H$14:$H$18,$BF70))),0),6)),IF(NOT(ISNUMBER($G70)),"",ROUND(ABS($G70)*2*IF(AND($BE70&gt;0,ISNUMBER(INDEX(Instruments!$G$6:$G$205,MAX(1,$BE70)))),INDEX(Instruments!$G$6:$G$205,MAX(1,$BE70)),N(INDEX(Settings!$F$14:$F$18,$BF70))),6))))</f>
        <v/>
      </c>
      <c r="AK70" s="55" t="str">
        <f>IF($AM70=0,"",IF(ISNUMBER($O70),$O70,$AI70))</f>
        <v/>
      </c>
      <c r="AL70" s="55" t="str">
        <f>IF($AM70=0,"",IF(ISNUMBER($P70),$P70,N($AJ70)))</f>
        <v/>
      </c>
      <c r="AM70" s="56">
        <f>IF(AND($A70&lt;&gt;"",$E70&lt;&gt;"",OR(AND(ISNUMBER($G70),ISNUMBER($H70),ISNUMBER($K70)),ISNUMBER($O70))),1,0)</f>
        <v>0</v>
      </c>
      <c r="AN70" s="57" t="str">
        <f>IF($A70="","",$A70-WEEKDAY($A70,3))</f>
        <v/>
      </c>
      <c r="AO70" s="56" t="str">
        <f>IF($A70="","",WEEKDAY($A70,2))</f>
        <v/>
      </c>
      <c r="AP70" s="55" t="str">
        <f>IF(OR($AM70=0,$C70=""),"",IFERROR(N(INDEX(Accounts!$E$7:$E$16,MATCH($C70,Accounts!$B$7:$B$16,0))),0)+SUMIFS($Q$6:$Q70,$C$6:$C70,$C70))</f>
        <v/>
      </c>
      <c r="AQ70" s="55" t="str">
        <f>IF(OR($AM70=0,$C70=""),"",SUMIFS($Q$6:$Q$1005,$C$6:$C$1005,$C70,$A$6:$A$1005,$A70))</f>
        <v/>
      </c>
      <c r="AR70" s="55" t="str">
        <f>IF(OR($AM70=0,$C70=""),"",IFERROR(N(INDEX(Accounts!$E$7:$E$16,MATCH($C70,Accounts!$B$7:$B$16,0))),0)+SUMIFS($Q$6:$Q$1005,$C$6:$C$1005,$C70,$A$6:$A$1005,"&lt;="&amp;$A70))</f>
        <v/>
      </c>
      <c r="AS70" s="56">
        <f>IF(OR($AM70=0,$Q70=""),0,IF(AND($A70&gt;=Lists!$W$6,$A70&lt;=Lists!$W$7,OR(Dashboard!$D$6="All accounts",$C70=Dashboard!$D$6),OR(Dashboard!$D$7="All markets",$AF70=Dashboard!$D$7)),1,0))</f>
        <v>0</v>
      </c>
      <c r="AT70" s="55">
        <f>IF($AS70=1,N(AT69)+$Q70,N(AT69))</f>
        <v>1187.10688</v>
      </c>
      <c r="AU70" s="55">
        <f>MAX(N(AU69),$AT70)</f>
        <v>1187.10688</v>
      </c>
      <c r="AV70" s="55">
        <f>$AT70-$AU70</f>
        <v>0</v>
      </c>
      <c r="AW70" s="56">
        <f>IF($AS70=1,IF($S70="Win",N(AW69)+1,IF($S70="Loss",0,N(AW69))),N(AW69))</f>
        <v>5</v>
      </c>
      <c r="AX70" s="56">
        <f>IF($AS70=1,IF($S70="Loss",N(AX69)+1,IF($S70="Win",0,N(AX69))),N(AX69))</f>
        <v>0</v>
      </c>
      <c r="AY70" s="56" t="str">
        <f>IF($AS70=1,COUNTIF($AS$6:$AS70,1),"")</f>
        <v/>
      </c>
      <c r="AZ70" s="56">
        <f>MIN(64,N(Lists!$W$8))</f>
        <v>28</v>
      </c>
      <c r="BA70" s="56">
        <f>IF($AS70=1,IF(COUNTIFS($A$6:$A70,$A70,$AS$6:$AS70,1)=1,1,0),0)</f>
        <v>0</v>
      </c>
      <c r="BB70" s="55" t="str">
        <f>IF($BA70=1,SUMIFS($Q$6:$Q$1005,$A$6:$A$1005,$A70,$AS$6:$AS$1005,1),"")</f>
        <v/>
      </c>
      <c r="BC70" s="56">
        <f>IF(ISNUMBER($R70),1,0)</f>
        <v>0</v>
      </c>
      <c r="BD70" s="55" t="str">
        <f>IF(ISNUMBER($U70),$U70*$V70,"")</f>
        <v/>
      </c>
      <c r="BE70" s="56" t="str">
        <f>IF($AM70=0,"",IFERROR(MATCH($AF70&amp;"|"&amp;UPPER(TRIM($E70)),Lists!$A$6:$A$205,0),0))</f>
        <v/>
      </c>
      <c r="BF70" s="56" t="str">
        <f>IF($AM70=0,"",IFERROR(MATCH($AF70,Settings!$B$14:$B$18,0),IFERROR(MATCH(Settings!$C$6,Settings!$B$14:$B$18,0),1)))</f>
        <v/>
      </c>
      <c r="BG70" s="58" t="str">
        <f>IF($AM70=0,"",IF(NOT(ISNUMBER($I70)),"No stop; ","")&amp;IF(AND(ISNUMBER($H70),ISNUMBER($I70)),IF(OR(AND($F70&lt;&gt;"Short",$I70&gt;=$H70),AND($F70="Short",$I70&lt;=$H70)),"Stop on wrong side; ",""),"")&amp;IF($F70="","No direction; ","")&amp;IF(AND(ISNUMBER(Settings!$C$22),ISNUMBER($V70)),IF($V70&gt;Settings!$C$22,"Risk over max $; ",""),"")&amp;IF(AND(ISNUMBER(Settings!$C$23),ISNUMBER($V70),ISNUMBER($AP70),IFERROR(N(INDEX(Accounts!$E$7:$E$16,MATCH($C70,Accounts!$B$7:$B$16,0))),0)&gt;0),IF($V70&gt;Settings!$C$23*($AP70-N($Q70)),"Risk over max %; ",""),"")&amp;IF(AND(ISNUMBER(Settings!$C$24),ISNUMBER($N70)),IF($N70&gt;Settings!$C$24,"Leverage over max; ",""),"")&amp;IF(AND(ISNUMBER(Settings!$C$27),ISNUMBER($T70)),IF($T70&lt;Settings!$C$27,"R:R below min; ",""),"")&amp;IF(ISNUMBER(Settings!$C$25),IF(COUNTIFS($A$6:$A70,$A70,$AM$6:$AM70,1)&gt;Settings!$C$25,"Over max trades/day; ",""),"")&amp;IF(ISNUMBER(Settings!$C$26),IF(SUMIFS($Q$5:$Q69,$A$5:$A69,$A70)&lt;=-Settings!$C$26,"Traded after daily max loss; ",""),"")&amp;IF(AND($AG70="",NOT(ISNUMBER($O70))),"Symbol not in Instruments; ","")&amp;IF(AND($AH70="",NOT(ISNUMBER($O70))),"Forex cross: type Gross P&amp;L; ",""))</f>
        <v/>
      </c>
      <c r="BH70" s="56">
        <f>IF(ISNUMBER($Q70),1,0)</f>
        <v>0</v>
      </c>
      <c r="BI70" s="56">
        <f>IF($Y70="",0,1)</f>
        <v>0</v>
      </c>
      <c r="BJ70" s="56">
        <f>IF($AB70="",0,1)</f>
        <v>0</v>
      </c>
      <c r="BK70" s="56">
        <f>IF(AND($BH70=1,$W70&lt;&gt;"OK"),1,0)</f>
        <v>0</v>
      </c>
      <c r="BL70" s="55">
        <f>IF(N($AZ70)=0,0,IFERROR(INDEX($AT$6:$AT$1005,MATCH($AZ70,$AY$6:$AY$1005,0)),0))</f>
        <v>1187.10688</v>
      </c>
      <c r="BM70" s="56">
        <f>IF(ISNUMBER(SEARCH("daily max loss",$BG70)),1,0)</f>
        <v>0</v>
      </c>
    </row>
    <row r="71" ht="18" customHeight="1">
      <c r="A71" s="38" t="n"/>
      <c r="B71" s="39" t="n"/>
      <c r="C71" s="40" t="n"/>
      <c r="D71" s="41" t="n"/>
      <c r="E71" s="41" t="n"/>
      <c r="F71" s="41" t="n"/>
      <c r="G71" s="41" t="n"/>
      <c r="H71" s="42" t="n"/>
      <c r="I71" s="42" t="n"/>
      <c r="J71" s="42" t="n"/>
      <c r="K71" s="42" t="n"/>
      <c r="L71" s="41" t="n"/>
      <c r="M71" s="41" t="n"/>
      <c r="N71" s="41" t="n"/>
      <c r="O71" s="43" t="n"/>
      <c r="P71" s="43" t="n"/>
      <c r="Q71" s="44" t="str">
        <f>IF($AM71=0,"",IF(ISNUMBER($AK71),$AK71-N($AL71),""))</f>
        <v/>
      </c>
      <c r="R71" s="45" t="str">
        <f>IF(OR($Q71="",NOT(ISNUMBER($V71))),"",$AK71/$V71)</f>
        <v/>
      </c>
      <c r="S71" s="46" t="str">
        <f>IF($Q71="","",IF(AND(ISNUMBER($R71),ABS(N($R71))&lt;N(Settings!$C$8)),"Scratch",IF($Q71&gt;0,"Win",IF($Q71&lt;0,"Loss","Scratch"))))</f>
        <v/>
      </c>
      <c r="T71" s="47" t="str">
        <f>IF(OR($AM71=0,NOT(ISNUMBER($H71)),NOT(ISNUMBER($I71)),NOT(ISNUMBER($J71))),"",IF($H71=$I71,"",ROUND(ABS($J71-$H71)/ABS($H71-$I71),6)))</f>
        <v/>
      </c>
      <c r="U71" s="48" t="str">
        <f>IF(OR($S71&lt;&gt;"Win",NOT(ISNUMBER($T71)),NOT(ISNUMBER($R71))),"",MAX(0,$T71-$R71))</f>
        <v/>
      </c>
      <c r="V71" s="49" t="str">
        <f>IF(OR($AM71=0,NOT(ISNUMBER($H71)),NOT(ISNUMBER($I71)),NOT(ISNUMBER($G71))),"",IF(OR($AG71="",$AH71=""),"",IF(ROUND(ABS($H71-$I71)*ABS($G71)*$AG71*$AH71,6)=0,"",ROUND(ABS($H71-$I71)*ABS($G71)*$AG71*$AH71,6))))</f>
        <v/>
      </c>
      <c r="W71" s="50" t="str">
        <f>IF($AM71=0,"",IF($BG71="","OK",LEFT($BG71,LEN($BG71)-2)))</f>
        <v/>
      </c>
      <c r="X71" s="41" t="n"/>
      <c r="Y71" s="40" t="n"/>
      <c r="Z71" s="41" t="n"/>
      <c r="AA71" s="41" t="n"/>
      <c r="AB71" s="40" t="n"/>
      <c r="AC71" s="51" t="n"/>
      <c r="AD71" s="51" t="n"/>
      <c r="AE71" s="40" t="n"/>
      <c r="AF71" s="52" t="str">
        <f>IF($AM71=0,"",IF($D71&lt;&gt;"",$D71,IF(IFERROR(INDEX(Accounts!$C$7:$C$16,MATCH($C71,Accounts!$B$7:$B$16,0))&amp;"","")&lt;&gt;"",INDEX(Accounts!$C$7:$C$16,MATCH($C71,Accounts!$B$7:$B$16,0)),Settings!$C$6)))</f>
        <v/>
      </c>
      <c r="AG71" s="53" t="str">
        <f>IF($AM71=0,"",IF(AND($BE71&gt;0,N(INDEX(Instruments!$D$6:$D$205,MAX(1,$BE71)))&gt;0),INDEX(Instruments!$D$6:$D$205,MAX(1,$BE71)),IF(N(INDEX(Settings!$D$14:$D$18,$BF71))&gt;0,INDEX(Settings!$D$14:$D$18,$BF71),"")))</f>
        <v/>
      </c>
      <c r="AH71" s="54" t="str">
        <f>IF($AM71=0,"",IF($AF71&lt;&gt;"Forex",1,IF(MID(UPPER(SUBSTITUTE(TRIM($E71),"/","")),4,3)=UPPER(TRIM(Settings!$C$7)),1,IF(LEFT(UPPER(SUBSTITUTE(TRIM($E71),"/","")),3)=UPPER(TRIM(Settings!$C$7)),IF(AND(ISNUMBER($K71),N($K71)&lt;&gt;0),1/$K71,""),""))))</f>
        <v/>
      </c>
      <c r="AI71" s="55" t="str">
        <f>IF($AM71=0,"",IF(OR(NOT(ISNUMBER($H71)),NOT(ISNUMBER($K71)),NOT(ISNUMBER($G71)),$AG71="",$AH71=""),"",ROUND(($K71-$H71)*IF($F71="Short",-1,1)*$G71*$AG71*$AH71,6)))</f>
        <v/>
      </c>
      <c r="AJ71" s="55" t="str">
        <f>IF($AM71=0,"",IF(INDEX(Settings!$E$14:$E$18,$BF71)="% of notional",IF(OR($AG71="",NOT(ISNUMBER($H71)),NOT(ISNUMBER($G71))),"",ROUND(ABS($H71*$G71*$AG71*N($AH71))*IF($L71="Limit",N(INDEX(Settings!$G$14:$G$18,$BF71)),N(INDEX(Settings!$H$14:$H$18,$BF71)))+IF(ISNUMBER($K71),ABS($K71*$G71*$AG71*N($AH71))*IF($M71="Target",N(INDEX(Settings!$G$14:$G$18,$BF71)),N(INDEX(Settings!$H$14:$H$18,$BF71))),0),6)),IF(NOT(ISNUMBER($G71)),"",ROUND(ABS($G71)*2*IF(AND($BE71&gt;0,ISNUMBER(INDEX(Instruments!$G$6:$G$205,MAX(1,$BE71)))),INDEX(Instruments!$G$6:$G$205,MAX(1,$BE71)),N(INDEX(Settings!$F$14:$F$18,$BF71))),6))))</f>
        <v/>
      </c>
      <c r="AK71" s="55" t="str">
        <f>IF($AM71=0,"",IF(ISNUMBER($O71),$O71,$AI71))</f>
        <v/>
      </c>
      <c r="AL71" s="55" t="str">
        <f>IF($AM71=0,"",IF(ISNUMBER($P71),$P71,N($AJ71)))</f>
        <v/>
      </c>
      <c r="AM71" s="56">
        <f>IF(AND($A71&lt;&gt;"",$E71&lt;&gt;"",OR(AND(ISNUMBER($G71),ISNUMBER($H71),ISNUMBER($K71)),ISNUMBER($O71))),1,0)</f>
        <v>0</v>
      </c>
      <c r="AN71" s="57" t="str">
        <f>IF($A71="","",$A71-WEEKDAY($A71,3))</f>
        <v/>
      </c>
      <c r="AO71" s="56" t="str">
        <f>IF($A71="","",WEEKDAY($A71,2))</f>
        <v/>
      </c>
      <c r="AP71" s="55" t="str">
        <f>IF(OR($AM71=0,$C71=""),"",IFERROR(N(INDEX(Accounts!$E$7:$E$16,MATCH($C71,Accounts!$B$7:$B$16,0))),0)+SUMIFS($Q$6:$Q71,$C$6:$C71,$C71))</f>
        <v/>
      </c>
      <c r="AQ71" s="55" t="str">
        <f>IF(OR($AM71=0,$C71=""),"",SUMIFS($Q$6:$Q$1005,$C$6:$C$1005,$C71,$A$6:$A$1005,$A71))</f>
        <v/>
      </c>
      <c r="AR71" s="55" t="str">
        <f>IF(OR($AM71=0,$C71=""),"",IFERROR(N(INDEX(Accounts!$E$7:$E$16,MATCH($C71,Accounts!$B$7:$B$16,0))),0)+SUMIFS($Q$6:$Q$1005,$C$6:$C$1005,$C71,$A$6:$A$1005,"&lt;="&amp;$A71))</f>
        <v/>
      </c>
      <c r="AS71" s="56">
        <f>IF(OR($AM71=0,$Q71=""),0,IF(AND($A71&gt;=Lists!$W$6,$A71&lt;=Lists!$W$7,OR(Dashboard!$D$6="All accounts",$C71=Dashboard!$D$6),OR(Dashboard!$D$7="All markets",$AF71=Dashboard!$D$7)),1,0))</f>
        <v>0</v>
      </c>
      <c r="AT71" s="55">
        <f>IF($AS71=1,N(AT70)+$Q71,N(AT70))</f>
        <v>1187.10688</v>
      </c>
      <c r="AU71" s="55">
        <f>MAX(N(AU70),$AT71)</f>
        <v>1187.10688</v>
      </c>
      <c r="AV71" s="55">
        <f>$AT71-$AU71</f>
        <v>0</v>
      </c>
      <c r="AW71" s="56">
        <f>IF($AS71=1,IF($S71="Win",N(AW70)+1,IF($S71="Loss",0,N(AW70))),N(AW70))</f>
        <v>5</v>
      </c>
      <c r="AX71" s="56">
        <f>IF($AS71=1,IF($S71="Loss",N(AX70)+1,IF($S71="Win",0,N(AX70))),N(AX70))</f>
        <v>0</v>
      </c>
      <c r="AY71" s="56" t="str">
        <f>IF($AS71=1,COUNTIF($AS$6:$AS71,1),"")</f>
        <v/>
      </c>
      <c r="AZ71" s="56">
        <f>MIN(65,N(Lists!$W$8))</f>
        <v>28</v>
      </c>
      <c r="BA71" s="56">
        <f>IF($AS71=1,IF(COUNTIFS($A$6:$A71,$A71,$AS$6:$AS71,1)=1,1,0),0)</f>
        <v>0</v>
      </c>
      <c r="BB71" s="55" t="str">
        <f>IF($BA71=1,SUMIFS($Q$6:$Q$1005,$A$6:$A$1005,$A71,$AS$6:$AS$1005,1),"")</f>
        <v/>
      </c>
      <c r="BC71" s="56">
        <f>IF(ISNUMBER($R71),1,0)</f>
        <v>0</v>
      </c>
      <c r="BD71" s="55" t="str">
        <f>IF(ISNUMBER($U71),$U71*$V71,"")</f>
        <v/>
      </c>
      <c r="BE71" s="56" t="str">
        <f>IF($AM71=0,"",IFERROR(MATCH($AF71&amp;"|"&amp;UPPER(TRIM($E71)),Lists!$A$6:$A$205,0),0))</f>
        <v/>
      </c>
      <c r="BF71" s="56" t="str">
        <f>IF($AM71=0,"",IFERROR(MATCH($AF71,Settings!$B$14:$B$18,0),IFERROR(MATCH(Settings!$C$6,Settings!$B$14:$B$18,0),1)))</f>
        <v/>
      </c>
      <c r="BG71" s="58" t="str">
        <f>IF($AM71=0,"",IF(NOT(ISNUMBER($I71)),"No stop; ","")&amp;IF(AND(ISNUMBER($H71),ISNUMBER($I71)),IF(OR(AND($F71&lt;&gt;"Short",$I71&gt;=$H71),AND($F71="Short",$I71&lt;=$H71)),"Stop on wrong side; ",""),"")&amp;IF($F71="","No direction; ","")&amp;IF(AND(ISNUMBER(Settings!$C$22),ISNUMBER($V71)),IF($V71&gt;Settings!$C$22,"Risk over max $; ",""),"")&amp;IF(AND(ISNUMBER(Settings!$C$23),ISNUMBER($V71),ISNUMBER($AP71),IFERROR(N(INDEX(Accounts!$E$7:$E$16,MATCH($C71,Accounts!$B$7:$B$16,0))),0)&gt;0),IF($V71&gt;Settings!$C$23*($AP71-N($Q71)),"Risk over max %; ",""),"")&amp;IF(AND(ISNUMBER(Settings!$C$24),ISNUMBER($N71)),IF($N71&gt;Settings!$C$24,"Leverage over max; ",""),"")&amp;IF(AND(ISNUMBER(Settings!$C$27),ISNUMBER($T71)),IF($T71&lt;Settings!$C$27,"R:R below min; ",""),"")&amp;IF(ISNUMBER(Settings!$C$25),IF(COUNTIFS($A$6:$A71,$A71,$AM$6:$AM71,1)&gt;Settings!$C$25,"Over max trades/day; ",""),"")&amp;IF(ISNUMBER(Settings!$C$26),IF(SUMIFS($Q$5:$Q70,$A$5:$A70,$A71)&lt;=-Settings!$C$26,"Traded after daily max loss; ",""),"")&amp;IF(AND($AG71="",NOT(ISNUMBER($O71))),"Symbol not in Instruments; ","")&amp;IF(AND($AH71="",NOT(ISNUMBER($O71))),"Forex cross: type Gross P&amp;L; ",""))</f>
        <v/>
      </c>
      <c r="BH71" s="56">
        <f>IF(ISNUMBER($Q71),1,0)</f>
        <v>0</v>
      </c>
      <c r="BI71" s="56">
        <f>IF($Y71="",0,1)</f>
        <v>0</v>
      </c>
      <c r="BJ71" s="56">
        <f>IF($AB71="",0,1)</f>
        <v>0</v>
      </c>
      <c r="BK71" s="56">
        <f>IF(AND($BH71=1,$W71&lt;&gt;"OK"),1,0)</f>
        <v>0</v>
      </c>
      <c r="BL71" s="55">
        <f>IF(N($AZ71)=0,0,IFERROR(INDEX($AT$6:$AT$1005,MATCH($AZ71,$AY$6:$AY$1005,0)),0))</f>
        <v>1187.10688</v>
      </c>
      <c r="BM71" s="56">
        <f>IF(ISNUMBER(SEARCH("daily max loss",$BG71)),1,0)</f>
        <v>0</v>
      </c>
    </row>
    <row r="72" ht="18" customHeight="1">
      <c r="A72" s="38" t="n"/>
      <c r="B72" s="39" t="n"/>
      <c r="C72" s="40" t="n"/>
      <c r="D72" s="41" t="n"/>
      <c r="E72" s="41" t="n"/>
      <c r="F72" s="41" t="n"/>
      <c r="G72" s="41" t="n"/>
      <c r="H72" s="42" t="n"/>
      <c r="I72" s="42" t="n"/>
      <c r="J72" s="42" t="n"/>
      <c r="K72" s="42" t="n"/>
      <c r="L72" s="41" t="n"/>
      <c r="M72" s="41" t="n"/>
      <c r="N72" s="41" t="n"/>
      <c r="O72" s="43" t="n"/>
      <c r="P72" s="43" t="n"/>
      <c r="Q72" s="44" t="str">
        <f>IF($AM72=0,"",IF(ISNUMBER($AK72),$AK72-N($AL72),""))</f>
        <v/>
      </c>
      <c r="R72" s="45" t="str">
        <f>IF(OR($Q72="",NOT(ISNUMBER($V72))),"",$AK72/$V72)</f>
        <v/>
      </c>
      <c r="S72" s="46" t="str">
        <f>IF($Q72="","",IF(AND(ISNUMBER($R72),ABS(N($R72))&lt;N(Settings!$C$8)),"Scratch",IF($Q72&gt;0,"Win",IF($Q72&lt;0,"Loss","Scratch"))))</f>
        <v/>
      </c>
      <c r="T72" s="47" t="str">
        <f>IF(OR($AM72=0,NOT(ISNUMBER($H72)),NOT(ISNUMBER($I72)),NOT(ISNUMBER($J72))),"",IF($H72=$I72,"",ROUND(ABS($J72-$H72)/ABS($H72-$I72),6)))</f>
        <v/>
      </c>
      <c r="U72" s="48" t="str">
        <f>IF(OR($S72&lt;&gt;"Win",NOT(ISNUMBER($T72)),NOT(ISNUMBER($R72))),"",MAX(0,$T72-$R72))</f>
        <v/>
      </c>
      <c r="V72" s="49" t="str">
        <f>IF(OR($AM72=0,NOT(ISNUMBER($H72)),NOT(ISNUMBER($I72)),NOT(ISNUMBER($G72))),"",IF(OR($AG72="",$AH72=""),"",IF(ROUND(ABS($H72-$I72)*ABS($G72)*$AG72*$AH72,6)=0,"",ROUND(ABS($H72-$I72)*ABS($G72)*$AG72*$AH72,6))))</f>
        <v/>
      </c>
      <c r="W72" s="50" t="str">
        <f>IF($AM72=0,"",IF($BG72="","OK",LEFT($BG72,LEN($BG72)-2)))</f>
        <v/>
      </c>
      <c r="X72" s="41" t="n"/>
      <c r="Y72" s="40" t="n"/>
      <c r="Z72" s="41" t="n"/>
      <c r="AA72" s="41" t="n"/>
      <c r="AB72" s="40" t="n"/>
      <c r="AC72" s="51" t="n"/>
      <c r="AD72" s="51" t="n"/>
      <c r="AE72" s="40" t="n"/>
      <c r="AF72" s="52" t="str">
        <f>IF($AM72=0,"",IF($D72&lt;&gt;"",$D72,IF(IFERROR(INDEX(Accounts!$C$7:$C$16,MATCH($C72,Accounts!$B$7:$B$16,0))&amp;"","")&lt;&gt;"",INDEX(Accounts!$C$7:$C$16,MATCH($C72,Accounts!$B$7:$B$16,0)),Settings!$C$6)))</f>
        <v/>
      </c>
      <c r="AG72" s="53" t="str">
        <f>IF($AM72=0,"",IF(AND($BE72&gt;0,N(INDEX(Instruments!$D$6:$D$205,MAX(1,$BE72)))&gt;0),INDEX(Instruments!$D$6:$D$205,MAX(1,$BE72)),IF(N(INDEX(Settings!$D$14:$D$18,$BF72))&gt;0,INDEX(Settings!$D$14:$D$18,$BF72),"")))</f>
        <v/>
      </c>
      <c r="AH72" s="54" t="str">
        <f>IF($AM72=0,"",IF($AF72&lt;&gt;"Forex",1,IF(MID(UPPER(SUBSTITUTE(TRIM($E72),"/","")),4,3)=UPPER(TRIM(Settings!$C$7)),1,IF(LEFT(UPPER(SUBSTITUTE(TRIM($E72),"/","")),3)=UPPER(TRIM(Settings!$C$7)),IF(AND(ISNUMBER($K72),N($K72)&lt;&gt;0),1/$K72,""),""))))</f>
        <v/>
      </c>
      <c r="AI72" s="55" t="str">
        <f>IF($AM72=0,"",IF(OR(NOT(ISNUMBER($H72)),NOT(ISNUMBER($K72)),NOT(ISNUMBER($G72)),$AG72="",$AH72=""),"",ROUND(($K72-$H72)*IF($F72="Short",-1,1)*$G72*$AG72*$AH72,6)))</f>
        <v/>
      </c>
      <c r="AJ72" s="55" t="str">
        <f>IF($AM72=0,"",IF(INDEX(Settings!$E$14:$E$18,$BF72)="% of notional",IF(OR($AG72="",NOT(ISNUMBER($H72)),NOT(ISNUMBER($G72))),"",ROUND(ABS($H72*$G72*$AG72*N($AH72))*IF($L72="Limit",N(INDEX(Settings!$G$14:$G$18,$BF72)),N(INDEX(Settings!$H$14:$H$18,$BF72)))+IF(ISNUMBER($K72),ABS($K72*$G72*$AG72*N($AH72))*IF($M72="Target",N(INDEX(Settings!$G$14:$G$18,$BF72)),N(INDEX(Settings!$H$14:$H$18,$BF72))),0),6)),IF(NOT(ISNUMBER($G72)),"",ROUND(ABS($G72)*2*IF(AND($BE72&gt;0,ISNUMBER(INDEX(Instruments!$G$6:$G$205,MAX(1,$BE72)))),INDEX(Instruments!$G$6:$G$205,MAX(1,$BE72)),N(INDEX(Settings!$F$14:$F$18,$BF72))),6))))</f>
        <v/>
      </c>
      <c r="AK72" s="55" t="str">
        <f>IF($AM72=0,"",IF(ISNUMBER($O72),$O72,$AI72))</f>
        <v/>
      </c>
      <c r="AL72" s="55" t="str">
        <f>IF($AM72=0,"",IF(ISNUMBER($P72),$P72,N($AJ72)))</f>
        <v/>
      </c>
      <c r="AM72" s="56">
        <f>IF(AND($A72&lt;&gt;"",$E72&lt;&gt;"",OR(AND(ISNUMBER($G72),ISNUMBER($H72),ISNUMBER($K72)),ISNUMBER($O72))),1,0)</f>
        <v>0</v>
      </c>
      <c r="AN72" s="57" t="str">
        <f>IF($A72="","",$A72-WEEKDAY($A72,3))</f>
        <v/>
      </c>
      <c r="AO72" s="56" t="str">
        <f>IF($A72="","",WEEKDAY($A72,2))</f>
        <v/>
      </c>
      <c r="AP72" s="55" t="str">
        <f>IF(OR($AM72=0,$C72=""),"",IFERROR(N(INDEX(Accounts!$E$7:$E$16,MATCH($C72,Accounts!$B$7:$B$16,0))),0)+SUMIFS($Q$6:$Q72,$C$6:$C72,$C72))</f>
        <v/>
      </c>
      <c r="AQ72" s="55" t="str">
        <f>IF(OR($AM72=0,$C72=""),"",SUMIFS($Q$6:$Q$1005,$C$6:$C$1005,$C72,$A$6:$A$1005,$A72))</f>
        <v/>
      </c>
      <c r="AR72" s="55" t="str">
        <f>IF(OR($AM72=0,$C72=""),"",IFERROR(N(INDEX(Accounts!$E$7:$E$16,MATCH($C72,Accounts!$B$7:$B$16,0))),0)+SUMIFS($Q$6:$Q$1005,$C$6:$C$1005,$C72,$A$6:$A$1005,"&lt;="&amp;$A72))</f>
        <v/>
      </c>
      <c r="AS72" s="56">
        <f>IF(OR($AM72=0,$Q72=""),0,IF(AND($A72&gt;=Lists!$W$6,$A72&lt;=Lists!$W$7,OR(Dashboard!$D$6="All accounts",$C72=Dashboard!$D$6),OR(Dashboard!$D$7="All markets",$AF72=Dashboard!$D$7)),1,0))</f>
        <v>0</v>
      </c>
      <c r="AT72" s="55">
        <f>IF($AS72=1,N(AT71)+$Q72,N(AT71))</f>
        <v>1187.10688</v>
      </c>
      <c r="AU72" s="55">
        <f>MAX(N(AU71),$AT72)</f>
        <v>1187.10688</v>
      </c>
      <c r="AV72" s="55">
        <f>$AT72-$AU72</f>
        <v>0</v>
      </c>
      <c r="AW72" s="56">
        <f>IF($AS72=1,IF($S72="Win",N(AW71)+1,IF($S72="Loss",0,N(AW71))),N(AW71))</f>
        <v>5</v>
      </c>
      <c r="AX72" s="56">
        <f>IF($AS72=1,IF($S72="Loss",N(AX71)+1,IF($S72="Win",0,N(AX71))),N(AX71))</f>
        <v>0</v>
      </c>
      <c r="AY72" s="56" t="str">
        <f>IF($AS72=1,COUNTIF($AS$6:$AS72,1),"")</f>
        <v/>
      </c>
      <c r="AZ72" s="56">
        <f>MIN(66,N(Lists!$W$8))</f>
        <v>28</v>
      </c>
      <c r="BA72" s="56">
        <f>IF($AS72=1,IF(COUNTIFS($A$6:$A72,$A72,$AS$6:$AS72,1)=1,1,0),0)</f>
        <v>0</v>
      </c>
      <c r="BB72" s="55" t="str">
        <f>IF($BA72=1,SUMIFS($Q$6:$Q$1005,$A$6:$A$1005,$A72,$AS$6:$AS$1005,1),"")</f>
        <v/>
      </c>
      <c r="BC72" s="56">
        <f>IF(ISNUMBER($R72),1,0)</f>
        <v>0</v>
      </c>
      <c r="BD72" s="55" t="str">
        <f>IF(ISNUMBER($U72),$U72*$V72,"")</f>
        <v/>
      </c>
      <c r="BE72" s="56" t="str">
        <f>IF($AM72=0,"",IFERROR(MATCH($AF72&amp;"|"&amp;UPPER(TRIM($E72)),Lists!$A$6:$A$205,0),0))</f>
        <v/>
      </c>
      <c r="BF72" s="56" t="str">
        <f>IF($AM72=0,"",IFERROR(MATCH($AF72,Settings!$B$14:$B$18,0),IFERROR(MATCH(Settings!$C$6,Settings!$B$14:$B$18,0),1)))</f>
        <v/>
      </c>
      <c r="BG72" s="58" t="str">
        <f>IF($AM72=0,"",IF(NOT(ISNUMBER($I72)),"No stop; ","")&amp;IF(AND(ISNUMBER($H72),ISNUMBER($I72)),IF(OR(AND($F72&lt;&gt;"Short",$I72&gt;=$H72),AND($F72="Short",$I72&lt;=$H72)),"Stop on wrong side; ",""),"")&amp;IF($F72="","No direction; ","")&amp;IF(AND(ISNUMBER(Settings!$C$22),ISNUMBER($V72)),IF($V72&gt;Settings!$C$22,"Risk over max $; ",""),"")&amp;IF(AND(ISNUMBER(Settings!$C$23),ISNUMBER($V72),ISNUMBER($AP72),IFERROR(N(INDEX(Accounts!$E$7:$E$16,MATCH($C72,Accounts!$B$7:$B$16,0))),0)&gt;0),IF($V72&gt;Settings!$C$23*($AP72-N($Q72)),"Risk over max %; ",""),"")&amp;IF(AND(ISNUMBER(Settings!$C$24),ISNUMBER($N72)),IF($N72&gt;Settings!$C$24,"Leverage over max; ",""),"")&amp;IF(AND(ISNUMBER(Settings!$C$27),ISNUMBER($T72)),IF($T72&lt;Settings!$C$27,"R:R below min; ",""),"")&amp;IF(ISNUMBER(Settings!$C$25),IF(COUNTIFS($A$6:$A72,$A72,$AM$6:$AM72,1)&gt;Settings!$C$25,"Over max trades/day; ",""),"")&amp;IF(ISNUMBER(Settings!$C$26),IF(SUMIFS($Q$5:$Q71,$A$5:$A71,$A72)&lt;=-Settings!$C$26,"Traded after daily max loss; ",""),"")&amp;IF(AND($AG72="",NOT(ISNUMBER($O72))),"Symbol not in Instruments; ","")&amp;IF(AND($AH72="",NOT(ISNUMBER($O72))),"Forex cross: type Gross P&amp;L; ",""))</f>
        <v/>
      </c>
      <c r="BH72" s="56">
        <f>IF(ISNUMBER($Q72),1,0)</f>
        <v>0</v>
      </c>
      <c r="BI72" s="56">
        <f>IF($Y72="",0,1)</f>
        <v>0</v>
      </c>
      <c r="BJ72" s="56">
        <f>IF($AB72="",0,1)</f>
        <v>0</v>
      </c>
      <c r="BK72" s="56">
        <f>IF(AND($BH72=1,$W72&lt;&gt;"OK"),1,0)</f>
        <v>0</v>
      </c>
      <c r="BL72" s="55">
        <f>IF(N($AZ72)=0,0,IFERROR(INDEX($AT$6:$AT$1005,MATCH($AZ72,$AY$6:$AY$1005,0)),0))</f>
        <v>1187.10688</v>
      </c>
      <c r="BM72" s="56">
        <f>IF(ISNUMBER(SEARCH("daily max loss",$BG72)),1,0)</f>
        <v>0</v>
      </c>
    </row>
    <row r="73" ht="18" customHeight="1">
      <c r="A73" s="38" t="n"/>
      <c r="B73" s="39" t="n"/>
      <c r="C73" s="40" t="n"/>
      <c r="D73" s="41" t="n"/>
      <c r="E73" s="41" t="n"/>
      <c r="F73" s="41" t="n"/>
      <c r="G73" s="41" t="n"/>
      <c r="H73" s="42" t="n"/>
      <c r="I73" s="42" t="n"/>
      <c r="J73" s="42" t="n"/>
      <c r="K73" s="42" t="n"/>
      <c r="L73" s="41" t="n"/>
      <c r="M73" s="41" t="n"/>
      <c r="N73" s="41" t="n"/>
      <c r="O73" s="43" t="n"/>
      <c r="P73" s="43" t="n"/>
      <c r="Q73" s="44" t="str">
        <f>IF($AM73=0,"",IF(ISNUMBER($AK73),$AK73-N($AL73),""))</f>
        <v/>
      </c>
      <c r="R73" s="45" t="str">
        <f>IF(OR($Q73="",NOT(ISNUMBER($V73))),"",$AK73/$V73)</f>
        <v/>
      </c>
      <c r="S73" s="46" t="str">
        <f>IF($Q73="","",IF(AND(ISNUMBER($R73),ABS(N($R73))&lt;N(Settings!$C$8)),"Scratch",IF($Q73&gt;0,"Win",IF($Q73&lt;0,"Loss","Scratch"))))</f>
        <v/>
      </c>
      <c r="T73" s="47" t="str">
        <f>IF(OR($AM73=0,NOT(ISNUMBER($H73)),NOT(ISNUMBER($I73)),NOT(ISNUMBER($J73))),"",IF($H73=$I73,"",ROUND(ABS($J73-$H73)/ABS($H73-$I73),6)))</f>
        <v/>
      </c>
      <c r="U73" s="48" t="str">
        <f>IF(OR($S73&lt;&gt;"Win",NOT(ISNUMBER($T73)),NOT(ISNUMBER($R73))),"",MAX(0,$T73-$R73))</f>
        <v/>
      </c>
      <c r="V73" s="49" t="str">
        <f>IF(OR($AM73=0,NOT(ISNUMBER($H73)),NOT(ISNUMBER($I73)),NOT(ISNUMBER($G73))),"",IF(OR($AG73="",$AH73=""),"",IF(ROUND(ABS($H73-$I73)*ABS($G73)*$AG73*$AH73,6)=0,"",ROUND(ABS($H73-$I73)*ABS($G73)*$AG73*$AH73,6))))</f>
        <v/>
      </c>
      <c r="W73" s="50" t="str">
        <f>IF($AM73=0,"",IF($BG73="","OK",LEFT($BG73,LEN($BG73)-2)))</f>
        <v/>
      </c>
      <c r="X73" s="41" t="n"/>
      <c r="Y73" s="40" t="n"/>
      <c r="Z73" s="41" t="n"/>
      <c r="AA73" s="41" t="n"/>
      <c r="AB73" s="40" t="n"/>
      <c r="AC73" s="51" t="n"/>
      <c r="AD73" s="51" t="n"/>
      <c r="AE73" s="40" t="n"/>
      <c r="AF73" s="52" t="str">
        <f>IF($AM73=0,"",IF($D73&lt;&gt;"",$D73,IF(IFERROR(INDEX(Accounts!$C$7:$C$16,MATCH($C73,Accounts!$B$7:$B$16,0))&amp;"","")&lt;&gt;"",INDEX(Accounts!$C$7:$C$16,MATCH($C73,Accounts!$B$7:$B$16,0)),Settings!$C$6)))</f>
        <v/>
      </c>
      <c r="AG73" s="53" t="str">
        <f>IF($AM73=0,"",IF(AND($BE73&gt;0,N(INDEX(Instruments!$D$6:$D$205,MAX(1,$BE73)))&gt;0),INDEX(Instruments!$D$6:$D$205,MAX(1,$BE73)),IF(N(INDEX(Settings!$D$14:$D$18,$BF73))&gt;0,INDEX(Settings!$D$14:$D$18,$BF73),"")))</f>
        <v/>
      </c>
      <c r="AH73" s="54" t="str">
        <f>IF($AM73=0,"",IF($AF73&lt;&gt;"Forex",1,IF(MID(UPPER(SUBSTITUTE(TRIM($E73),"/","")),4,3)=UPPER(TRIM(Settings!$C$7)),1,IF(LEFT(UPPER(SUBSTITUTE(TRIM($E73),"/","")),3)=UPPER(TRIM(Settings!$C$7)),IF(AND(ISNUMBER($K73),N($K73)&lt;&gt;0),1/$K73,""),""))))</f>
        <v/>
      </c>
      <c r="AI73" s="55" t="str">
        <f>IF($AM73=0,"",IF(OR(NOT(ISNUMBER($H73)),NOT(ISNUMBER($K73)),NOT(ISNUMBER($G73)),$AG73="",$AH73=""),"",ROUND(($K73-$H73)*IF($F73="Short",-1,1)*$G73*$AG73*$AH73,6)))</f>
        <v/>
      </c>
      <c r="AJ73" s="55" t="str">
        <f>IF($AM73=0,"",IF(INDEX(Settings!$E$14:$E$18,$BF73)="% of notional",IF(OR($AG73="",NOT(ISNUMBER($H73)),NOT(ISNUMBER($G73))),"",ROUND(ABS($H73*$G73*$AG73*N($AH73))*IF($L73="Limit",N(INDEX(Settings!$G$14:$G$18,$BF73)),N(INDEX(Settings!$H$14:$H$18,$BF73)))+IF(ISNUMBER($K73),ABS($K73*$G73*$AG73*N($AH73))*IF($M73="Target",N(INDEX(Settings!$G$14:$G$18,$BF73)),N(INDEX(Settings!$H$14:$H$18,$BF73))),0),6)),IF(NOT(ISNUMBER($G73)),"",ROUND(ABS($G73)*2*IF(AND($BE73&gt;0,ISNUMBER(INDEX(Instruments!$G$6:$G$205,MAX(1,$BE73)))),INDEX(Instruments!$G$6:$G$205,MAX(1,$BE73)),N(INDEX(Settings!$F$14:$F$18,$BF73))),6))))</f>
        <v/>
      </c>
      <c r="AK73" s="55" t="str">
        <f>IF($AM73=0,"",IF(ISNUMBER($O73),$O73,$AI73))</f>
        <v/>
      </c>
      <c r="AL73" s="55" t="str">
        <f>IF($AM73=0,"",IF(ISNUMBER($P73),$P73,N($AJ73)))</f>
        <v/>
      </c>
      <c r="AM73" s="56">
        <f>IF(AND($A73&lt;&gt;"",$E73&lt;&gt;"",OR(AND(ISNUMBER($G73),ISNUMBER($H73),ISNUMBER($K73)),ISNUMBER($O73))),1,0)</f>
        <v>0</v>
      </c>
      <c r="AN73" s="57" t="str">
        <f>IF($A73="","",$A73-WEEKDAY($A73,3))</f>
        <v/>
      </c>
      <c r="AO73" s="56" t="str">
        <f>IF($A73="","",WEEKDAY($A73,2))</f>
        <v/>
      </c>
      <c r="AP73" s="55" t="str">
        <f>IF(OR($AM73=0,$C73=""),"",IFERROR(N(INDEX(Accounts!$E$7:$E$16,MATCH($C73,Accounts!$B$7:$B$16,0))),0)+SUMIFS($Q$6:$Q73,$C$6:$C73,$C73))</f>
        <v/>
      </c>
      <c r="AQ73" s="55" t="str">
        <f>IF(OR($AM73=0,$C73=""),"",SUMIFS($Q$6:$Q$1005,$C$6:$C$1005,$C73,$A$6:$A$1005,$A73))</f>
        <v/>
      </c>
      <c r="AR73" s="55" t="str">
        <f>IF(OR($AM73=0,$C73=""),"",IFERROR(N(INDEX(Accounts!$E$7:$E$16,MATCH($C73,Accounts!$B$7:$B$16,0))),0)+SUMIFS($Q$6:$Q$1005,$C$6:$C$1005,$C73,$A$6:$A$1005,"&lt;="&amp;$A73))</f>
        <v/>
      </c>
      <c r="AS73" s="56">
        <f>IF(OR($AM73=0,$Q73=""),0,IF(AND($A73&gt;=Lists!$W$6,$A73&lt;=Lists!$W$7,OR(Dashboard!$D$6="All accounts",$C73=Dashboard!$D$6),OR(Dashboard!$D$7="All markets",$AF73=Dashboard!$D$7)),1,0))</f>
        <v>0</v>
      </c>
      <c r="AT73" s="55">
        <f>IF($AS73=1,N(AT72)+$Q73,N(AT72))</f>
        <v>1187.10688</v>
      </c>
      <c r="AU73" s="55">
        <f>MAX(N(AU72),$AT73)</f>
        <v>1187.10688</v>
      </c>
      <c r="AV73" s="55">
        <f>$AT73-$AU73</f>
        <v>0</v>
      </c>
      <c r="AW73" s="56">
        <f>IF($AS73=1,IF($S73="Win",N(AW72)+1,IF($S73="Loss",0,N(AW72))),N(AW72))</f>
        <v>5</v>
      </c>
      <c r="AX73" s="56">
        <f>IF($AS73=1,IF($S73="Loss",N(AX72)+1,IF($S73="Win",0,N(AX72))),N(AX72))</f>
        <v>0</v>
      </c>
      <c r="AY73" s="56" t="str">
        <f>IF($AS73=1,COUNTIF($AS$6:$AS73,1),"")</f>
        <v/>
      </c>
      <c r="AZ73" s="56">
        <f>MIN(67,N(Lists!$W$8))</f>
        <v>28</v>
      </c>
      <c r="BA73" s="56">
        <f>IF($AS73=1,IF(COUNTIFS($A$6:$A73,$A73,$AS$6:$AS73,1)=1,1,0),0)</f>
        <v>0</v>
      </c>
      <c r="BB73" s="55" t="str">
        <f>IF($BA73=1,SUMIFS($Q$6:$Q$1005,$A$6:$A$1005,$A73,$AS$6:$AS$1005,1),"")</f>
        <v/>
      </c>
      <c r="BC73" s="56">
        <f>IF(ISNUMBER($R73),1,0)</f>
        <v>0</v>
      </c>
      <c r="BD73" s="55" t="str">
        <f>IF(ISNUMBER($U73),$U73*$V73,"")</f>
        <v/>
      </c>
      <c r="BE73" s="56" t="str">
        <f>IF($AM73=0,"",IFERROR(MATCH($AF73&amp;"|"&amp;UPPER(TRIM($E73)),Lists!$A$6:$A$205,0),0))</f>
        <v/>
      </c>
      <c r="BF73" s="56" t="str">
        <f>IF($AM73=0,"",IFERROR(MATCH($AF73,Settings!$B$14:$B$18,0),IFERROR(MATCH(Settings!$C$6,Settings!$B$14:$B$18,0),1)))</f>
        <v/>
      </c>
      <c r="BG73" s="58" t="str">
        <f>IF($AM73=0,"",IF(NOT(ISNUMBER($I73)),"No stop; ","")&amp;IF(AND(ISNUMBER($H73),ISNUMBER($I73)),IF(OR(AND($F73&lt;&gt;"Short",$I73&gt;=$H73),AND($F73="Short",$I73&lt;=$H73)),"Stop on wrong side; ",""),"")&amp;IF($F73="","No direction; ","")&amp;IF(AND(ISNUMBER(Settings!$C$22),ISNUMBER($V73)),IF($V73&gt;Settings!$C$22,"Risk over max $; ",""),"")&amp;IF(AND(ISNUMBER(Settings!$C$23),ISNUMBER($V73),ISNUMBER($AP73),IFERROR(N(INDEX(Accounts!$E$7:$E$16,MATCH($C73,Accounts!$B$7:$B$16,0))),0)&gt;0),IF($V73&gt;Settings!$C$23*($AP73-N($Q73)),"Risk over max %; ",""),"")&amp;IF(AND(ISNUMBER(Settings!$C$24),ISNUMBER($N73)),IF($N73&gt;Settings!$C$24,"Leverage over max; ",""),"")&amp;IF(AND(ISNUMBER(Settings!$C$27),ISNUMBER($T73)),IF($T73&lt;Settings!$C$27,"R:R below min; ",""),"")&amp;IF(ISNUMBER(Settings!$C$25),IF(COUNTIFS($A$6:$A73,$A73,$AM$6:$AM73,1)&gt;Settings!$C$25,"Over max trades/day; ",""),"")&amp;IF(ISNUMBER(Settings!$C$26),IF(SUMIFS($Q$5:$Q72,$A$5:$A72,$A73)&lt;=-Settings!$C$26,"Traded after daily max loss; ",""),"")&amp;IF(AND($AG73="",NOT(ISNUMBER($O73))),"Symbol not in Instruments; ","")&amp;IF(AND($AH73="",NOT(ISNUMBER($O73))),"Forex cross: type Gross P&amp;L; ",""))</f>
        <v/>
      </c>
      <c r="BH73" s="56">
        <f>IF(ISNUMBER($Q73),1,0)</f>
        <v>0</v>
      </c>
      <c r="BI73" s="56">
        <f>IF($Y73="",0,1)</f>
        <v>0</v>
      </c>
      <c r="BJ73" s="56">
        <f>IF($AB73="",0,1)</f>
        <v>0</v>
      </c>
      <c r="BK73" s="56">
        <f>IF(AND($BH73=1,$W73&lt;&gt;"OK"),1,0)</f>
        <v>0</v>
      </c>
      <c r="BL73" s="55">
        <f>IF(N($AZ73)=0,0,IFERROR(INDEX($AT$6:$AT$1005,MATCH($AZ73,$AY$6:$AY$1005,0)),0))</f>
        <v>1187.10688</v>
      </c>
      <c r="BM73" s="56">
        <f>IF(ISNUMBER(SEARCH("daily max loss",$BG73)),1,0)</f>
        <v>0</v>
      </c>
    </row>
    <row r="74" ht="18" customHeight="1">
      <c r="A74" s="38" t="n"/>
      <c r="B74" s="39" t="n"/>
      <c r="C74" s="40" t="n"/>
      <c r="D74" s="41" t="n"/>
      <c r="E74" s="41" t="n"/>
      <c r="F74" s="41" t="n"/>
      <c r="G74" s="41" t="n"/>
      <c r="H74" s="42" t="n"/>
      <c r="I74" s="42" t="n"/>
      <c r="J74" s="42" t="n"/>
      <c r="K74" s="42" t="n"/>
      <c r="L74" s="41" t="n"/>
      <c r="M74" s="41" t="n"/>
      <c r="N74" s="41" t="n"/>
      <c r="O74" s="43" t="n"/>
      <c r="P74" s="43" t="n"/>
      <c r="Q74" s="44" t="str">
        <f>IF($AM74=0,"",IF(ISNUMBER($AK74),$AK74-N($AL74),""))</f>
        <v/>
      </c>
      <c r="R74" s="45" t="str">
        <f>IF(OR($Q74="",NOT(ISNUMBER($V74))),"",$AK74/$V74)</f>
        <v/>
      </c>
      <c r="S74" s="46" t="str">
        <f>IF($Q74="","",IF(AND(ISNUMBER($R74),ABS(N($R74))&lt;N(Settings!$C$8)),"Scratch",IF($Q74&gt;0,"Win",IF($Q74&lt;0,"Loss","Scratch"))))</f>
        <v/>
      </c>
      <c r="T74" s="47" t="str">
        <f>IF(OR($AM74=0,NOT(ISNUMBER($H74)),NOT(ISNUMBER($I74)),NOT(ISNUMBER($J74))),"",IF($H74=$I74,"",ROUND(ABS($J74-$H74)/ABS($H74-$I74),6)))</f>
        <v/>
      </c>
      <c r="U74" s="48" t="str">
        <f>IF(OR($S74&lt;&gt;"Win",NOT(ISNUMBER($T74)),NOT(ISNUMBER($R74))),"",MAX(0,$T74-$R74))</f>
        <v/>
      </c>
      <c r="V74" s="49" t="str">
        <f>IF(OR($AM74=0,NOT(ISNUMBER($H74)),NOT(ISNUMBER($I74)),NOT(ISNUMBER($G74))),"",IF(OR($AG74="",$AH74=""),"",IF(ROUND(ABS($H74-$I74)*ABS($G74)*$AG74*$AH74,6)=0,"",ROUND(ABS($H74-$I74)*ABS($G74)*$AG74*$AH74,6))))</f>
        <v/>
      </c>
      <c r="W74" s="50" t="str">
        <f>IF($AM74=0,"",IF($BG74="","OK",LEFT($BG74,LEN($BG74)-2)))</f>
        <v/>
      </c>
      <c r="X74" s="41" t="n"/>
      <c r="Y74" s="40" t="n"/>
      <c r="Z74" s="41" t="n"/>
      <c r="AA74" s="41" t="n"/>
      <c r="AB74" s="40" t="n"/>
      <c r="AC74" s="51" t="n"/>
      <c r="AD74" s="51" t="n"/>
      <c r="AE74" s="40" t="n"/>
      <c r="AF74" s="52" t="str">
        <f>IF($AM74=0,"",IF($D74&lt;&gt;"",$D74,IF(IFERROR(INDEX(Accounts!$C$7:$C$16,MATCH($C74,Accounts!$B$7:$B$16,0))&amp;"","")&lt;&gt;"",INDEX(Accounts!$C$7:$C$16,MATCH($C74,Accounts!$B$7:$B$16,0)),Settings!$C$6)))</f>
        <v/>
      </c>
      <c r="AG74" s="53" t="str">
        <f>IF($AM74=0,"",IF(AND($BE74&gt;0,N(INDEX(Instruments!$D$6:$D$205,MAX(1,$BE74)))&gt;0),INDEX(Instruments!$D$6:$D$205,MAX(1,$BE74)),IF(N(INDEX(Settings!$D$14:$D$18,$BF74))&gt;0,INDEX(Settings!$D$14:$D$18,$BF74),"")))</f>
        <v/>
      </c>
      <c r="AH74" s="54" t="str">
        <f>IF($AM74=0,"",IF($AF74&lt;&gt;"Forex",1,IF(MID(UPPER(SUBSTITUTE(TRIM($E74),"/","")),4,3)=UPPER(TRIM(Settings!$C$7)),1,IF(LEFT(UPPER(SUBSTITUTE(TRIM($E74),"/","")),3)=UPPER(TRIM(Settings!$C$7)),IF(AND(ISNUMBER($K74),N($K74)&lt;&gt;0),1/$K74,""),""))))</f>
        <v/>
      </c>
      <c r="AI74" s="55" t="str">
        <f>IF($AM74=0,"",IF(OR(NOT(ISNUMBER($H74)),NOT(ISNUMBER($K74)),NOT(ISNUMBER($G74)),$AG74="",$AH74=""),"",ROUND(($K74-$H74)*IF($F74="Short",-1,1)*$G74*$AG74*$AH74,6)))</f>
        <v/>
      </c>
      <c r="AJ74" s="55" t="str">
        <f>IF($AM74=0,"",IF(INDEX(Settings!$E$14:$E$18,$BF74)="% of notional",IF(OR($AG74="",NOT(ISNUMBER($H74)),NOT(ISNUMBER($G74))),"",ROUND(ABS($H74*$G74*$AG74*N($AH74))*IF($L74="Limit",N(INDEX(Settings!$G$14:$G$18,$BF74)),N(INDEX(Settings!$H$14:$H$18,$BF74)))+IF(ISNUMBER($K74),ABS($K74*$G74*$AG74*N($AH74))*IF($M74="Target",N(INDEX(Settings!$G$14:$G$18,$BF74)),N(INDEX(Settings!$H$14:$H$18,$BF74))),0),6)),IF(NOT(ISNUMBER($G74)),"",ROUND(ABS($G74)*2*IF(AND($BE74&gt;0,ISNUMBER(INDEX(Instruments!$G$6:$G$205,MAX(1,$BE74)))),INDEX(Instruments!$G$6:$G$205,MAX(1,$BE74)),N(INDEX(Settings!$F$14:$F$18,$BF74))),6))))</f>
        <v/>
      </c>
      <c r="AK74" s="55" t="str">
        <f>IF($AM74=0,"",IF(ISNUMBER($O74),$O74,$AI74))</f>
        <v/>
      </c>
      <c r="AL74" s="55" t="str">
        <f>IF($AM74=0,"",IF(ISNUMBER($P74),$P74,N($AJ74)))</f>
        <v/>
      </c>
      <c r="AM74" s="56">
        <f>IF(AND($A74&lt;&gt;"",$E74&lt;&gt;"",OR(AND(ISNUMBER($G74),ISNUMBER($H74),ISNUMBER($K74)),ISNUMBER($O74))),1,0)</f>
        <v>0</v>
      </c>
      <c r="AN74" s="57" t="str">
        <f>IF($A74="","",$A74-WEEKDAY($A74,3))</f>
        <v/>
      </c>
      <c r="AO74" s="56" t="str">
        <f>IF($A74="","",WEEKDAY($A74,2))</f>
        <v/>
      </c>
      <c r="AP74" s="55" t="str">
        <f>IF(OR($AM74=0,$C74=""),"",IFERROR(N(INDEX(Accounts!$E$7:$E$16,MATCH($C74,Accounts!$B$7:$B$16,0))),0)+SUMIFS($Q$6:$Q74,$C$6:$C74,$C74))</f>
        <v/>
      </c>
      <c r="AQ74" s="55" t="str">
        <f>IF(OR($AM74=0,$C74=""),"",SUMIFS($Q$6:$Q$1005,$C$6:$C$1005,$C74,$A$6:$A$1005,$A74))</f>
        <v/>
      </c>
      <c r="AR74" s="55" t="str">
        <f>IF(OR($AM74=0,$C74=""),"",IFERROR(N(INDEX(Accounts!$E$7:$E$16,MATCH($C74,Accounts!$B$7:$B$16,0))),0)+SUMIFS($Q$6:$Q$1005,$C$6:$C$1005,$C74,$A$6:$A$1005,"&lt;="&amp;$A74))</f>
        <v/>
      </c>
      <c r="AS74" s="56">
        <f>IF(OR($AM74=0,$Q74=""),0,IF(AND($A74&gt;=Lists!$W$6,$A74&lt;=Lists!$W$7,OR(Dashboard!$D$6="All accounts",$C74=Dashboard!$D$6),OR(Dashboard!$D$7="All markets",$AF74=Dashboard!$D$7)),1,0))</f>
        <v>0</v>
      </c>
      <c r="AT74" s="55">
        <f>IF($AS74=1,N(AT73)+$Q74,N(AT73))</f>
        <v>1187.10688</v>
      </c>
      <c r="AU74" s="55">
        <f>MAX(N(AU73),$AT74)</f>
        <v>1187.10688</v>
      </c>
      <c r="AV74" s="55">
        <f>$AT74-$AU74</f>
        <v>0</v>
      </c>
      <c r="AW74" s="56">
        <f>IF($AS74=1,IF($S74="Win",N(AW73)+1,IF($S74="Loss",0,N(AW73))),N(AW73))</f>
        <v>5</v>
      </c>
      <c r="AX74" s="56">
        <f>IF($AS74=1,IF($S74="Loss",N(AX73)+1,IF($S74="Win",0,N(AX73))),N(AX73))</f>
        <v>0</v>
      </c>
      <c r="AY74" s="56" t="str">
        <f>IF($AS74=1,COUNTIF($AS$6:$AS74,1),"")</f>
        <v/>
      </c>
      <c r="AZ74" s="56">
        <f>MIN(68,N(Lists!$W$8))</f>
        <v>28</v>
      </c>
      <c r="BA74" s="56">
        <f>IF($AS74=1,IF(COUNTIFS($A$6:$A74,$A74,$AS$6:$AS74,1)=1,1,0),0)</f>
        <v>0</v>
      </c>
      <c r="BB74" s="55" t="str">
        <f>IF($BA74=1,SUMIFS($Q$6:$Q$1005,$A$6:$A$1005,$A74,$AS$6:$AS$1005,1),"")</f>
        <v/>
      </c>
      <c r="BC74" s="56">
        <f>IF(ISNUMBER($R74),1,0)</f>
        <v>0</v>
      </c>
      <c r="BD74" s="55" t="str">
        <f>IF(ISNUMBER($U74),$U74*$V74,"")</f>
        <v/>
      </c>
      <c r="BE74" s="56" t="str">
        <f>IF($AM74=0,"",IFERROR(MATCH($AF74&amp;"|"&amp;UPPER(TRIM($E74)),Lists!$A$6:$A$205,0),0))</f>
        <v/>
      </c>
      <c r="BF74" s="56" t="str">
        <f>IF($AM74=0,"",IFERROR(MATCH($AF74,Settings!$B$14:$B$18,0),IFERROR(MATCH(Settings!$C$6,Settings!$B$14:$B$18,0),1)))</f>
        <v/>
      </c>
      <c r="BG74" s="58" t="str">
        <f>IF($AM74=0,"",IF(NOT(ISNUMBER($I74)),"No stop; ","")&amp;IF(AND(ISNUMBER($H74),ISNUMBER($I74)),IF(OR(AND($F74&lt;&gt;"Short",$I74&gt;=$H74),AND($F74="Short",$I74&lt;=$H74)),"Stop on wrong side; ",""),"")&amp;IF($F74="","No direction; ","")&amp;IF(AND(ISNUMBER(Settings!$C$22),ISNUMBER($V74)),IF($V74&gt;Settings!$C$22,"Risk over max $; ",""),"")&amp;IF(AND(ISNUMBER(Settings!$C$23),ISNUMBER($V74),ISNUMBER($AP74),IFERROR(N(INDEX(Accounts!$E$7:$E$16,MATCH($C74,Accounts!$B$7:$B$16,0))),0)&gt;0),IF($V74&gt;Settings!$C$23*($AP74-N($Q74)),"Risk over max %; ",""),"")&amp;IF(AND(ISNUMBER(Settings!$C$24),ISNUMBER($N74)),IF($N74&gt;Settings!$C$24,"Leverage over max; ",""),"")&amp;IF(AND(ISNUMBER(Settings!$C$27),ISNUMBER($T74)),IF($T74&lt;Settings!$C$27,"R:R below min; ",""),"")&amp;IF(ISNUMBER(Settings!$C$25),IF(COUNTIFS($A$6:$A74,$A74,$AM$6:$AM74,1)&gt;Settings!$C$25,"Over max trades/day; ",""),"")&amp;IF(ISNUMBER(Settings!$C$26),IF(SUMIFS($Q$5:$Q73,$A$5:$A73,$A74)&lt;=-Settings!$C$26,"Traded after daily max loss; ",""),"")&amp;IF(AND($AG74="",NOT(ISNUMBER($O74))),"Symbol not in Instruments; ","")&amp;IF(AND($AH74="",NOT(ISNUMBER($O74))),"Forex cross: type Gross P&amp;L; ",""))</f>
        <v/>
      </c>
      <c r="BH74" s="56">
        <f>IF(ISNUMBER($Q74),1,0)</f>
        <v>0</v>
      </c>
      <c r="BI74" s="56">
        <f>IF($Y74="",0,1)</f>
        <v>0</v>
      </c>
      <c r="BJ74" s="56">
        <f>IF($AB74="",0,1)</f>
        <v>0</v>
      </c>
      <c r="BK74" s="56">
        <f>IF(AND($BH74=1,$W74&lt;&gt;"OK"),1,0)</f>
        <v>0</v>
      </c>
      <c r="BL74" s="55">
        <f>IF(N($AZ74)=0,0,IFERROR(INDEX($AT$6:$AT$1005,MATCH($AZ74,$AY$6:$AY$1005,0)),0))</f>
        <v>1187.10688</v>
      </c>
      <c r="BM74" s="56">
        <f>IF(ISNUMBER(SEARCH("daily max loss",$BG74)),1,0)</f>
        <v>0</v>
      </c>
    </row>
    <row r="75" ht="18" customHeight="1">
      <c r="A75" s="38" t="n"/>
      <c r="B75" s="39" t="n"/>
      <c r="C75" s="40" t="n"/>
      <c r="D75" s="41" t="n"/>
      <c r="E75" s="41" t="n"/>
      <c r="F75" s="41" t="n"/>
      <c r="G75" s="41" t="n"/>
      <c r="H75" s="42" t="n"/>
      <c r="I75" s="42" t="n"/>
      <c r="J75" s="42" t="n"/>
      <c r="K75" s="42" t="n"/>
      <c r="L75" s="41" t="n"/>
      <c r="M75" s="41" t="n"/>
      <c r="N75" s="41" t="n"/>
      <c r="O75" s="43" t="n"/>
      <c r="P75" s="43" t="n"/>
      <c r="Q75" s="44" t="str">
        <f>IF($AM75=0,"",IF(ISNUMBER($AK75),$AK75-N($AL75),""))</f>
        <v/>
      </c>
      <c r="R75" s="45" t="str">
        <f>IF(OR($Q75="",NOT(ISNUMBER($V75))),"",$AK75/$V75)</f>
        <v/>
      </c>
      <c r="S75" s="46" t="str">
        <f>IF($Q75="","",IF(AND(ISNUMBER($R75),ABS(N($R75))&lt;N(Settings!$C$8)),"Scratch",IF($Q75&gt;0,"Win",IF($Q75&lt;0,"Loss","Scratch"))))</f>
        <v/>
      </c>
      <c r="T75" s="47" t="str">
        <f>IF(OR($AM75=0,NOT(ISNUMBER($H75)),NOT(ISNUMBER($I75)),NOT(ISNUMBER($J75))),"",IF($H75=$I75,"",ROUND(ABS($J75-$H75)/ABS($H75-$I75),6)))</f>
        <v/>
      </c>
      <c r="U75" s="48" t="str">
        <f>IF(OR($S75&lt;&gt;"Win",NOT(ISNUMBER($T75)),NOT(ISNUMBER($R75))),"",MAX(0,$T75-$R75))</f>
        <v/>
      </c>
      <c r="V75" s="49" t="str">
        <f>IF(OR($AM75=0,NOT(ISNUMBER($H75)),NOT(ISNUMBER($I75)),NOT(ISNUMBER($G75))),"",IF(OR($AG75="",$AH75=""),"",IF(ROUND(ABS($H75-$I75)*ABS($G75)*$AG75*$AH75,6)=0,"",ROUND(ABS($H75-$I75)*ABS($G75)*$AG75*$AH75,6))))</f>
        <v/>
      </c>
      <c r="W75" s="50" t="str">
        <f>IF($AM75=0,"",IF($BG75="","OK",LEFT($BG75,LEN($BG75)-2)))</f>
        <v/>
      </c>
      <c r="X75" s="41" t="n"/>
      <c r="Y75" s="40" t="n"/>
      <c r="Z75" s="41" t="n"/>
      <c r="AA75" s="41" t="n"/>
      <c r="AB75" s="40" t="n"/>
      <c r="AC75" s="51" t="n"/>
      <c r="AD75" s="51" t="n"/>
      <c r="AE75" s="40" t="n"/>
      <c r="AF75" s="52" t="str">
        <f>IF($AM75=0,"",IF($D75&lt;&gt;"",$D75,IF(IFERROR(INDEX(Accounts!$C$7:$C$16,MATCH($C75,Accounts!$B$7:$B$16,0))&amp;"","")&lt;&gt;"",INDEX(Accounts!$C$7:$C$16,MATCH($C75,Accounts!$B$7:$B$16,0)),Settings!$C$6)))</f>
        <v/>
      </c>
      <c r="AG75" s="53" t="str">
        <f>IF($AM75=0,"",IF(AND($BE75&gt;0,N(INDEX(Instruments!$D$6:$D$205,MAX(1,$BE75)))&gt;0),INDEX(Instruments!$D$6:$D$205,MAX(1,$BE75)),IF(N(INDEX(Settings!$D$14:$D$18,$BF75))&gt;0,INDEX(Settings!$D$14:$D$18,$BF75),"")))</f>
        <v/>
      </c>
      <c r="AH75" s="54" t="str">
        <f>IF($AM75=0,"",IF($AF75&lt;&gt;"Forex",1,IF(MID(UPPER(SUBSTITUTE(TRIM($E75),"/","")),4,3)=UPPER(TRIM(Settings!$C$7)),1,IF(LEFT(UPPER(SUBSTITUTE(TRIM($E75),"/","")),3)=UPPER(TRIM(Settings!$C$7)),IF(AND(ISNUMBER($K75),N($K75)&lt;&gt;0),1/$K75,""),""))))</f>
        <v/>
      </c>
      <c r="AI75" s="55" t="str">
        <f>IF($AM75=0,"",IF(OR(NOT(ISNUMBER($H75)),NOT(ISNUMBER($K75)),NOT(ISNUMBER($G75)),$AG75="",$AH75=""),"",ROUND(($K75-$H75)*IF($F75="Short",-1,1)*$G75*$AG75*$AH75,6)))</f>
        <v/>
      </c>
      <c r="AJ75" s="55" t="str">
        <f>IF($AM75=0,"",IF(INDEX(Settings!$E$14:$E$18,$BF75)="% of notional",IF(OR($AG75="",NOT(ISNUMBER($H75)),NOT(ISNUMBER($G75))),"",ROUND(ABS($H75*$G75*$AG75*N($AH75))*IF($L75="Limit",N(INDEX(Settings!$G$14:$G$18,$BF75)),N(INDEX(Settings!$H$14:$H$18,$BF75)))+IF(ISNUMBER($K75),ABS($K75*$G75*$AG75*N($AH75))*IF($M75="Target",N(INDEX(Settings!$G$14:$G$18,$BF75)),N(INDEX(Settings!$H$14:$H$18,$BF75))),0),6)),IF(NOT(ISNUMBER($G75)),"",ROUND(ABS($G75)*2*IF(AND($BE75&gt;0,ISNUMBER(INDEX(Instruments!$G$6:$G$205,MAX(1,$BE75)))),INDEX(Instruments!$G$6:$G$205,MAX(1,$BE75)),N(INDEX(Settings!$F$14:$F$18,$BF75))),6))))</f>
        <v/>
      </c>
      <c r="AK75" s="55" t="str">
        <f>IF($AM75=0,"",IF(ISNUMBER($O75),$O75,$AI75))</f>
        <v/>
      </c>
      <c r="AL75" s="55" t="str">
        <f>IF($AM75=0,"",IF(ISNUMBER($P75),$P75,N($AJ75)))</f>
        <v/>
      </c>
      <c r="AM75" s="56">
        <f>IF(AND($A75&lt;&gt;"",$E75&lt;&gt;"",OR(AND(ISNUMBER($G75),ISNUMBER($H75),ISNUMBER($K75)),ISNUMBER($O75))),1,0)</f>
        <v>0</v>
      </c>
      <c r="AN75" s="57" t="str">
        <f>IF($A75="","",$A75-WEEKDAY($A75,3))</f>
        <v/>
      </c>
      <c r="AO75" s="56" t="str">
        <f>IF($A75="","",WEEKDAY($A75,2))</f>
        <v/>
      </c>
      <c r="AP75" s="55" t="str">
        <f>IF(OR($AM75=0,$C75=""),"",IFERROR(N(INDEX(Accounts!$E$7:$E$16,MATCH($C75,Accounts!$B$7:$B$16,0))),0)+SUMIFS($Q$6:$Q75,$C$6:$C75,$C75))</f>
        <v/>
      </c>
      <c r="AQ75" s="55" t="str">
        <f>IF(OR($AM75=0,$C75=""),"",SUMIFS($Q$6:$Q$1005,$C$6:$C$1005,$C75,$A$6:$A$1005,$A75))</f>
        <v/>
      </c>
      <c r="AR75" s="55" t="str">
        <f>IF(OR($AM75=0,$C75=""),"",IFERROR(N(INDEX(Accounts!$E$7:$E$16,MATCH($C75,Accounts!$B$7:$B$16,0))),0)+SUMIFS($Q$6:$Q$1005,$C$6:$C$1005,$C75,$A$6:$A$1005,"&lt;="&amp;$A75))</f>
        <v/>
      </c>
      <c r="AS75" s="56">
        <f>IF(OR($AM75=0,$Q75=""),0,IF(AND($A75&gt;=Lists!$W$6,$A75&lt;=Lists!$W$7,OR(Dashboard!$D$6="All accounts",$C75=Dashboard!$D$6),OR(Dashboard!$D$7="All markets",$AF75=Dashboard!$D$7)),1,0))</f>
        <v>0</v>
      </c>
      <c r="AT75" s="55">
        <f>IF($AS75=1,N(AT74)+$Q75,N(AT74))</f>
        <v>1187.10688</v>
      </c>
      <c r="AU75" s="55">
        <f>MAX(N(AU74),$AT75)</f>
        <v>1187.10688</v>
      </c>
      <c r="AV75" s="55">
        <f>$AT75-$AU75</f>
        <v>0</v>
      </c>
      <c r="AW75" s="56">
        <f>IF($AS75=1,IF($S75="Win",N(AW74)+1,IF($S75="Loss",0,N(AW74))),N(AW74))</f>
        <v>5</v>
      </c>
      <c r="AX75" s="56">
        <f>IF($AS75=1,IF($S75="Loss",N(AX74)+1,IF($S75="Win",0,N(AX74))),N(AX74))</f>
        <v>0</v>
      </c>
      <c r="AY75" s="56" t="str">
        <f>IF($AS75=1,COUNTIF($AS$6:$AS75,1),"")</f>
        <v/>
      </c>
      <c r="AZ75" s="56">
        <f>MIN(69,N(Lists!$W$8))</f>
        <v>28</v>
      </c>
      <c r="BA75" s="56">
        <f>IF($AS75=1,IF(COUNTIFS($A$6:$A75,$A75,$AS$6:$AS75,1)=1,1,0),0)</f>
        <v>0</v>
      </c>
      <c r="BB75" s="55" t="str">
        <f>IF($BA75=1,SUMIFS($Q$6:$Q$1005,$A$6:$A$1005,$A75,$AS$6:$AS$1005,1),"")</f>
        <v/>
      </c>
      <c r="BC75" s="56">
        <f>IF(ISNUMBER($R75),1,0)</f>
        <v>0</v>
      </c>
      <c r="BD75" s="55" t="str">
        <f>IF(ISNUMBER($U75),$U75*$V75,"")</f>
        <v/>
      </c>
      <c r="BE75" s="56" t="str">
        <f>IF($AM75=0,"",IFERROR(MATCH($AF75&amp;"|"&amp;UPPER(TRIM($E75)),Lists!$A$6:$A$205,0),0))</f>
        <v/>
      </c>
      <c r="BF75" s="56" t="str">
        <f>IF($AM75=0,"",IFERROR(MATCH($AF75,Settings!$B$14:$B$18,0),IFERROR(MATCH(Settings!$C$6,Settings!$B$14:$B$18,0),1)))</f>
        <v/>
      </c>
      <c r="BG75" s="58" t="str">
        <f>IF($AM75=0,"",IF(NOT(ISNUMBER($I75)),"No stop; ","")&amp;IF(AND(ISNUMBER($H75),ISNUMBER($I75)),IF(OR(AND($F75&lt;&gt;"Short",$I75&gt;=$H75),AND($F75="Short",$I75&lt;=$H75)),"Stop on wrong side; ",""),"")&amp;IF($F75="","No direction; ","")&amp;IF(AND(ISNUMBER(Settings!$C$22),ISNUMBER($V75)),IF($V75&gt;Settings!$C$22,"Risk over max $; ",""),"")&amp;IF(AND(ISNUMBER(Settings!$C$23),ISNUMBER($V75),ISNUMBER($AP75),IFERROR(N(INDEX(Accounts!$E$7:$E$16,MATCH($C75,Accounts!$B$7:$B$16,0))),0)&gt;0),IF($V75&gt;Settings!$C$23*($AP75-N($Q75)),"Risk over max %; ",""),"")&amp;IF(AND(ISNUMBER(Settings!$C$24),ISNUMBER($N75)),IF($N75&gt;Settings!$C$24,"Leverage over max; ",""),"")&amp;IF(AND(ISNUMBER(Settings!$C$27),ISNUMBER($T75)),IF($T75&lt;Settings!$C$27,"R:R below min; ",""),"")&amp;IF(ISNUMBER(Settings!$C$25),IF(COUNTIFS($A$6:$A75,$A75,$AM$6:$AM75,1)&gt;Settings!$C$25,"Over max trades/day; ",""),"")&amp;IF(ISNUMBER(Settings!$C$26),IF(SUMIFS($Q$5:$Q74,$A$5:$A74,$A75)&lt;=-Settings!$C$26,"Traded after daily max loss; ",""),"")&amp;IF(AND($AG75="",NOT(ISNUMBER($O75))),"Symbol not in Instruments; ","")&amp;IF(AND($AH75="",NOT(ISNUMBER($O75))),"Forex cross: type Gross P&amp;L; ",""))</f>
        <v/>
      </c>
      <c r="BH75" s="56">
        <f>IF(ISNUMBER($Q75),1,0)</f>
        <v>0</v>
      </c>
      <c r="BI75" s="56">
        <f>IF($Y75="",0,1)</f>
        <v>0</v>
      </c>
      <c r="BJ75" s="56">
        <f>IF($AB75="",0,1)</f>
        <v>0</v>
      </c>
      <c r="BK75" s="56">
        <f>IF(AND($BH75=1,$W75&lt;&gt;"OK"),1,0)</f>
        <v>0</v>
      </c>
      <c r="BL75" s="55">
        <f>IF(N($AZ75)=0,0,IFERROR(INDEX($AT$6:$AT$1005,MATCH($AZ75,$AY$6:$AY$1005,0)),0))</f>
        <v>1187.10688</v>
      </c>
      <c r="BM75" s="56">
        <f>IF(ISNUMBER(SEARCH("daily max loss",$BG75)),1,0)</f>
        <v>0</v>
      </c>
    </row>
    <row r="76" ht="18" customHeight="1">
      <c r="A76" s="38" t="n"/>
      <c r="B76" s="39" t="n"/>
      <c r="C76" s="40" t="n"/>
      <c r="D76" s="41" t="n"/>
      <c r="E76" s="41" t="n"/>
      <c r="F76" s="41" t="n"/>
      <c r="G76" s="41" t="n"/>
      <c r="H76" s="42" t="n"/>
      <c r="I76" s="42" t="n"/>
      <c r="J76" s="42" t="n"/>
      <c r="K76" s="42" t="n"/>
      <c r="L76" s="41" t="n"/>
      <c r="M76" s="41" t="n"/>
      <c r="N76" s="41" t="n"/>
      <c r="O76" s="43" t="n"/>
      <c r="P76" s="43" t="n"/>
      <c r="Q76" s="44" t="str">
        <f>IF($AM76=0,"",IF(ISNUMBER($AK76),$AK76-N($AL76),""))</f>
        <v/>
      </c>
      <c r="R76" s="45" t="str">
        <f>IF(OR($Q76="",NOT(ISNUMBER($V76))),"",$AK76/$V76)</f>
        <v/>
      </c>
      <c r="S76" s="46" t="str">
        <f>IF($Q76="","",IF(AND(ISNUMBER($R76),ABS(N($R76))&lt;N(Settings!$C$8)),"Scratch",IF($Q76&gt;0,"Win",IF($Q76&lt;0,"Loss","Scratch"))))</f>
        <v/>
      </c>
      <c r="T76" s="47" t="str">
        <f>IF(OR($AM76=0,NOT(ISNUMBER($H76)),NOT(ISNUMBER($I76)),NOT(ISNUMBER($J76))),"",IF($H76=$I76,"",ROUND(ABS($J76-$H76)/ABS($H76-$I76),6)))</f>
        <v/>
      </c>
      <c r="U76" s="48" t="str">
        <f>IF(OR($S76&lt;&gt;"Win",NOT(ISNUMBER($T76)),NOT(ISNUMBER($R76))),"",MAX(0,$T76-$R76))</f>
        <v/>
      </c>
      <c r="V76" s="49" t="str">
        <f>IF(OR($AM76=0,NOT(ISNUMBER($H76)),NOT(ISNUMBER($I76)),NOT(ISNUMBER($G76))),"",IF(OR($AG76="",$AH76=""),"",IF(ROUND(ABS($H76-$I76)*ABS($G76)*$AG76*$AH76,6)=0,"",ROUND(ABS($H76-$I76)*ABS($G76)*$AG76*$AH76,6))))</f>
        <v/>
      </c>
      <c r="W76" s="50" t="str">
        <f>IF($AM76=0,"",IF($BG76="","OK",LEFT($BG76,LEN($BG76)-2)))</f>
        <v/>
      </c>
      <c r="X76" s="41" t="n"/>
      <c r="Y76" s="40" t="n"/>
      <c r="Z76" s="41" t="n"/>
      <c r="AA76" s="41" t="n"/>
      <c r="AB76" s="40" t="n"/>
      <c r="AC76" s="51" t="n"/>
      <c r="AD76" s="51" t="n"/>
      <c r="AE76" s="40" t="n"/>
      <c r="AF76" s="52" t="str">
        <f>IF($AM76=0,"",IF($D76&lt;&gt;"",$D76,IF(IFERROR(INDEX(Accounts!$C$7:$C$16,MATCH($C76,Accounts!$B$7:$B$16,0))&amp;"","")&lt;&gt;"",INDEX(Accounts!$C$7:$C$16,MATCH($C76,Accounts!$B$7:$B$16,0)),Settings!$C$6)))</f>
        <v/>
      </c>
      <c r="AG76" s="53" t="str">
        <f>IF($AM76=0,"",IF(AND($BE76&gt;0,N(INDEX(Instruments!$D$6:$D$205,MAX(1,$BE76)))&gt;0),INDEX(Instruments!$D$6:$D$205,MAX(1,$BE76)),IF(N(INDEX(Settings!$D$14:$D$18,$BF76))&gt;0,INDEX(Settings!$D$14:$D$18,$BF76),"")))</f>
        <v/>
      </c>
      <c r="AH76" s="54" t="str">
        <f>IF($AM76=0,"",IF($AF76&lt;&gt;"Forex",1,IF(MID(UPPER(SUBSTITUTE(TRIM($E76),"/","")),4,3)=UPPER(TRIM(Settings!$C$7)),1,IF(LEFT(UPPER(SUBSTITUTE(TRIM($E76),"/","")),3)=UPPER(TRIM(Settings!$C$7)),IF(AND(ISNUMBER($K76),N($K76)&lt;&gt;0),1/$K76,""),""))))</f>
        <v/>
      </c>
      <c r="AI76" s="55" t="str">
        <f>IF($AM76=0,"",IF(OR(NOT(ISNUMBER($H76)),NOT(ISNUMBER($K76)),NOT(ISNUMBER($G76)),$AG76="",$AH76=""),"",ROUND(($K76-$H76)*IF($F76="Short",-1,1)*$G76*$AG76*$AH76,6)))</f>
        <v/>
      </c>
      <c r="AJ76" s="55" t="str">
        <f>IF($AM76=0,"",IF(INDEX(Settings!$E$14:$E$18,$BF76)="% of notional",IF(OR($AG76="",NOT(ISNUMBER($H76)),NOT(ISNUMBER($G76))),"",ROUND(ABS($H76*$G76*$AG76*N($AH76))*IF($L76="Limit",N(INDEX(Settings!$G$14:$G$18,$BF76)),N(INDEX(Settings!$H$14:$H$18,$BF76)))+IF(ISNUMBER($K76),ABS($K76*$G76*$AG76*N($AH76))*IF($M76="Target",N(INDEX(Settings!$G$14:$G$18,$BF76)),N(INDEX(Settings!$H$14:$H$18,$BF76))),0),6)),IF(NOT(ISNUMBER($G76)),"",ROUND(ABS($G76)*2*IF(AND($BE76&gt;0,ISNUMBER(INDEX(Instruments!$G$6:$G$205,MAX(1,$BE76)))),INDEX(Instruments!$G$6:$G$205,MAX(1,$BE76)),N(INDEX(Settings!$F$14:$F$18,$BF76))),6))))</f>
        <v/>
      </c>
      <c r="AK76" s="55" t="str">
        <f>IF($AM76=0,"",IF(ISNUMBER($O76),$O76,$AI76))</f>
        <v/>
      </c>
      <c r="AL76" s="55" t="str">
        <f>IF($AM76=0,"",IF(ISNUMBER($P76),$P76,N($AJ76)))</f>
        <v/>
      </c>
      <c r="AM76" s="56">
        <f>IF(AND($A76&lt;&gt;"",$E76&lt;&gt;"",OR(AND(ISNUMBER($G76),ISNUMBER($H76),ISNUMBER($K76)),ISNUMBER($O76))),1,0)</f>
        <v>0</v>
      </c>
      <c r="AN76" s="57" t="str">
        <f>IF($A76="","",$A76-WEEKDAY($A76,3))</f>
        <v/>
      </c>
      <c r="AO76" s="56" t="str">
        <f>IF($A76="","",WEEKDAY($A76,2))</f>
        <v/>
      </c>
      <c r="AP76" s="55" t="str">
        <f>IF(OR($AM76=0,$C76=""),"",IFERROR(N(INDEX(Accounts!$E$7:$E$16,MATCH($C76,Accounts!$B$7:$B$16,0))),0)+SUMIFS($Q$6:$Q76,$C$6:$C76,$C76))</f>
        <v/>
      </c>
      <c r="AQ76" s="55" t="str">
        <f>IF(OR($AM76=0,$C76=""),"",SUMIFS($Q$6:$Q$1005,$C$6:$C$1005,$C76,$A$6:$A$1005,$A76))</f>
        <v/>
      </c>
      <c r="AR76" s="55" t="str">
        <f>IF(OR($AM76=0,$C76=""),"",IFERROR(N(INDEX(Accounts!$E$7:$E$16,MATCH($C76,Accounts!$B$7:$B$16,0))),0)+SUMIFS($Q$6:$Q$1005,$C$6:$C$1005,$C76,$A$6:$A$1005,"&lt;="&amp;$A76))</f>
        <v/>
      </c>
      <c r="AS76" s="56">
        <f>IF(OR($AM76=0,$Q76=""),0,IF(AND($A76&gt;=Lists!$W$6,$A76&lt;=Lists!$W$7,OR(Dashboard!$D$6="All accounts",$C76=Dashboard!$D$6),OR(Dashboard!$D$7="All markets",$AF76=Dashboard!$D$7)),1,0))</f>
        <v>0</v>
      </c>
      <c r="AT76" s="55">
        <f>IF($AS76=1,N(AT75)+$Q76,N(AT75))</f>
        <v>1187.10688</v>
      </c>
      <c r="AU76" s="55">
        <f>MAX(N(AU75),$AT76)</f>
        <v>1187.10688</v>
      </c>
      <c r="AV76" s="55">
        <f>$AT76-$AU76</f>
        <v>0</v>
      </c>
      <c r="AW76" s="56">
        <f>IF($AS76=1,IF($S76="Win",N(AW75)+1,IF($S76="Loss",0,N(AW75))),N(AW75))</f>
        <v>5</v>
      </c>
      <c r="AX76" s="56">
        <f>IF($AS76=1,IF($S76="Loss",N(AX75)+1,IF($S76="Win",0,N(AX75))),N(AX75))</f>
        <v>0</v>
      </c>
      <c r="AY76" s="56" t="str">
        <f>IF($AS76=1,COUNTIF($AS$6:$AS76,1),"")</f>
        <v/>
      </c>
      <c r="AZ76" s="56">
        <f>MIN(70,N(Lists!$W$8))</f>
        <v>28</v>
      </c>
      <c r="BA76" s="56">
        <f>IF($AS76=1,IF(COUNTIFS($A$6:$A76,$A76,$AS$6:$AS76,1)=1,1,0),0)</f>
        <v>0</v>
      </c>
      <c r="BB76" s="55" t="str">
        <f>IF($BA76=1,SUMIFS($Q$6:$Q$1005,$A$6:$A$1005,$A76,$AS$6:$AS$1005,1),"")</f>
        <v/>
      </c>
      <c r="BC76" s="56">
        <f>IF(ISNUMBER($R76),1,0)</f>
        <v>0</v>
      </c>
      <c r="BD76" s="55" t="str">
        <f>IF(ISNUMBER($U76),$U76*$V76,"")</f>
        <v/>
      </c>
      <c r="BE76" s="56" t="str">
        <f>IF($AM76=0,"",IFERROR(MATCH($AF76&amp;"|"&amp;UPPER(TRIM($E76)),Lists!$A$6:$A$205,0),0))</f>
        <v/>
      </c>
      <c r="BF76" s="56" t="str">
        <f>IF($AM76=0,"",IFERROR(MATCH($AF76,Settings!$B$14:$B$18,0),IFERROR(MATCH(Settings!$C$6,Settings!$B$14:$B$18,0),1)))</f>
        <v/>
      </c>
      <c r="BG76" s="58" t="str">
        <f>IF($AM76=0,"",IF(NOT(ISNUMBER($I76)),"No stop; ","")&amp;IF(AND(ISNUMBER($H76),ISNUMBER($I76)),IF(OR(AND($F76&lt;&gt;"Short",$I76&gt;=$H76),AND($F76="Short",$I76&lt;=$H76)),"Stop on wrong side; ",""),"")&amp;IF($F76="","No direction; ","")&amp;IF(AND(ISNUMBER(Settings!$C$22),ISNUMBER($V76)),IF($V76&gt;Settings!$C$22,"Risk over max $; ",""),"")&amp;IF(AND(ISNUMBER(Settings!$C$23),ISNUMBER($V76),ISNUMBER($AP76),IFERROR(N(INDEX(Accounts!$E$7:$E$16,MATCH($C76,Accounts!$B$7:$B$16,0))),0)&gt;0),IF($V76&gt;Settings!$C$23*($AP76-N($Q76)),"Risk over max %; ",""),"")&amp;IF(AND(ISNUMBER(Settings!$C$24),ISNUMBER($N76)),IF($N76&gt;Settings!$C$24,"Leverage over max; ",""),"")&amp;IF(AND(ISNUMBER(Settings!$C$27),ISNUMBER($T76)),IF($T76&lt;Settings!$C$27,"R:R below min; ",""),"")&amp;IF(ISNUMBER(Settings!$C$25),IF(COUNTIFS($A$6:$A76,$A76,$AM$6:$AM76,1)&gt;Settings!$C$25,"Over max trades/day; ",""),"")&amp;IF(ISNUMBER(Settings!$C$26),IF(SUMIFS($Q$5:$Q75,$A$5:$A75,$A76)&lt;=-Settings!$C$26,"Traded after daily max loss; ",""),"")&amp;IF(AND($AG76="",NOT(ISNUMBER($O76))),"Symbol not in Instruments; ","")&amp;IF(AND($AH76="",NOT(ISNUMBER($O76))),"Forex cross: type Gross P&amp;L; ",""))</f>
        <v/>
      </c>
      <c r="BH76" s="56">
        <f>IF(ISNUMBER($Q76),1,0)</f>
        <v>0</v>
      </c>
      <c r="BI76" s="56">
        <f>IF($Y76="",0,1)</f>
        <v>0</v>
      </c>
      <c r="BJ76" s="56">
        <f>IF($AB76="",0,1)</f>
        <v>0</v>
      </c>
      <c r="BK76" s="56">
        <f>IF(AND($BH76=1,$W76&lt;&gt;"OK"),1,0)</f>
        <v>0</v>
      </c>
      <c r="BL76" s="55">
        <f>IF(N($AZ76)=0,0,IFERROR(INDEX($AT$6:$AT$1005,MATCH($AZ76,$AY$6:$AY$1005,0)),0))</f>
        <v>1187.10688</v>
      </c>
      <c r="BM76" s="56">
        <f>IF(ISNUMBER(SEARCH("daily max loss",$BG76)),1,0)</f>
        <v>0</v>
      </c>
    </row>
    <row r="77" ht="18" customHeight="1">
      <c r="A77" s="38" t="n"/>
      <c r="B77" s="39" t="n"/>
      <c r="C77" s="40" t="n"/>
      <c r="D77" s="41" t="n"/>
      <c r="E77" s="41" t="n"/>
      <c r="F77" s="41" t="n"/>
      <c r="G77" s="41" t="n"/>
      <c r="H77" s="42" t="n"/>
      <c r="I77" s="42" t="n"/>
      <c r="J77" s="42" t="n"/>
      <c r="K77" s="42" t="n"/>
      <c r="L77" s="41" t="n"/>
      <c r="M77" s="41" t="n"/>
      <c r="N77" s="41" t="n"/>
      <c r="O77" s="43" t="n"/>
      <c r="P77" s="43" t="n"/>
      <c r="Q77" s="44" t="str">
        <f>IF($AM77=0,"",IF(ISNUMBER($AK77),$AK77-N($AL77),""))</f>
        <v/>
      </c>
      <c r="R77" s="45" t="str">
        <f>IF(OR($Q77="",NOT(ISNUMBER($V77))),"",$AK77/$V77)</f>
        <v/>
      </c>
      <c r="S77" s="46" t="str">
        <f>IF($Q77="","",IF(AND(ISNUMBER($R77),ABS(N($R77))&lt;N(Settings!$C$8)),"Scratch",IF($Q77&gt;0,"Win",IF($Q77&lt;0,"Loss","Scratch"))))</f>
        <v/>
      </c>
      <c r="T77" s="47" t="str">
        <f>IF(OR($AM77=0,NOT(ISNUMBER($H77)),NOT(ISNUMBER($I77)),NOT(ISNUMBER($J77))),"",IF($H77=$I77,"",ROUND(ABS($J77-$H77)/ABS($H77-$I77),6)))</f>
        <v/>
      </c>
      <c r="U77" s="48" t="str">
        <f>IF(OR($S77&lt;&gt;"Win",NOT(ISNUMBER($T77)),NOT(ISNUMBER($R77))),"",MAX(0,$T77-$R77))</f>
        <v/>
      </c>
      <c r="V77" s="49" t="str">
        <f>IF(OR($AM77=0,NOT(ISNUMBER($H77)),NOT(ISNUMBER($I77)),NOT(ISNUMBER($G77))),"",IF(OR($AG77="",$AH77=""),"",IF(ROUND(ABS($H77-$I77)*ABS($G77)*$AG77*$AH77,6)=0,"",ROUND(ABS($H77-$I77)*ABS($G77)*$AG77*$AH77,6))))</f>
        <v/>
      </c>
      <c r="W77" s="50" t="str">
        <f>IF($AM77=0,"",IF($BG77="","OK",LEFT($BG77,LEN($BG77)-2)))</f>
        <v/>
      </c>
      <c r="X77" s="41" t="n"/>
      <c r="Y77" s="40" t="n"/>
      <c r="Z77" s="41" t="n"/>
      <c r="AA77" s="41" t="n"/>
      <c r="AB77" s="40" t="n"/>
      <c r="AC77" s="51" t="n"/>
      <c r="AD77" s="51" t="n"/>
      <c r="AE77" s="40" t="n"/>
      <c r="AF77" s="52" t="str">
        <f>IF($AM77=0,"",IF($D77&lt;&gt;"",$D77,IF(IFERROR(INDEX(Accounts!$C$7:$C$16,MATCH($C77,Accounts!$B$7:$B$16,0))&amp;"","")&lt;&gt;"",INDEX(Accounts!$C$7:$C$16,MATCH($C77,Accounts!$B$7:$B$16,0)),Settings!$C$6)))</f>
        <v/>
      </c>
      <c r="AG77" s="53" t="str">
        <f>IF($AM77=0,"",IF(AND($BE77&gt;0,N(INDEX(Instruments!$D$6:$D$205,MAX(1,$BE77)))&gt;0),INDEX(Instruments!$D$6:$D$205,MAX(1,$BE77)),IF(N(INDEX(Settings!$D$14:$D$18,$BF77))&gt;0,INDEX(Settings!$D$14:$D$18,$BF77),"")))</f>
        <v/>
      </c>
      <c r="AH77" s="54" t="str">
        <f>IF($AM77=0,"",IF($AF77&lt;&gt;"Forex",1,IF(MID(UPPER(SUBSTITUTE(TRIM($E77),"/","")),4,3)=UPPER(TRIM(Settings!$C$7)),1,IF(LEFT(UPPER(SUBSTITUTE(TRIM($E77),"/","")),3)=UPPER(TRIM(Settings!$C$7)),IF(AND(ISNUMBER($K77),N($K77)&lt;&gt;0),1/$K77,""),""))))</f>
        <v/>
      </c>
      <c r="AI77" s="55" t="str">
        <f>IF($AM77=0,"",IF(OR(NOT(ISNUMBER($H77)),NOT(ISNUMBER($K77)),NOT(ISNUMBER($G77)),$AG77="",$AH77=""),"",ROUND(($K77-$H77)*IF($F77="Short",-1,1)*$G77*$AG77*$AH77,6)))</f>
        <v/>
      </c>
      <c r="AJ77" s="55" t="str">
        <f>IF($AM77=0,"",IF(INDEX(Settings!$E$14:$E$18,$BF77)="% of notional",IF(OR($AG77="",NOT(ISNUMBER($H77)),NOT(ISNUMBER($G77))),"",ROUND(ABS($H77*$G77*$AG77*N($AH77))*IF($L77="Limit",N(INDEX(Settings!$G$14:$G$18,$BF77)),N(INDEX(Settings!$H$14:$H$18,$BF77)))+IF(ISNUMBER($K77),ABS($K77*$G77*$AG77*N($AH77))*IF($M77="Target",N(INDEX(Settings!$G$14:$G$18,$BF77)),N(INDEX(Settings!$H$14:$H$18,$BF77))),0),6)),IF(NOT(ISNUMBER($G77)),"",ROUND(ABS($G77)*2*IF(AND($BE77&gt;0,ISNUMBER(INDEX(Instruments!$G$6:$G$205,MAX(1,$BE77)))),INDEX(Instruments!$G$6:$G$205,MAX(1,$BE77)),N(INDEX(Settings!$F$14:$F$18,$BF77))),6))))</f>
        <v/>
      </c>
      <c r="AK77" s="55" t="str">
        <f>IF($AM77=0,"",IF(ISNUMBER($O77),$O77,$AI77))</f>
        <v/>
      </c>
      <c r="AL77" s="55" t="str">
        <f>IF($AM77=0,"",IF(ISNUMBER($P77),$P77,N($AJ77)))</f>
        <v/>
      </c>
      <c r="AM77" s="56">
        <f>IF(AND($A77&lt;&gt;"",$E77&lt;&gt;"",OR(AND(ISNUMBER($G77),ISNUMBER($H77),ISNUMBER($K77)),ISNUMBER($O77))),1,0)</f>
        <v>0</v>
      </c>
      <c r="AN77" s="57" t="str">
        <f>IF($A77="","",$A77-WEEKDAY($A77,3))</f>
        <v/>
      </c>
      <c r="AO77" s="56" t="str">
        <f>IF($A77="","",WEEKDAY($A77,2))</f>
        <v/>
      </c>
      <c r="AP77" s="55" t="str">
        <f>IF(OR($AM77=0,$C77=""),"",IFERROR(N(INDEX(Accounts!$E$7:$E$16,MATCH($C77,Accounts!$B$7:$B$16,0))),0)+SUMIFS($Q$6:$Q77,$C$6:$C77,$C77))</f>
        <v/>
      </c>
      <c r="AQ77" s="55" t="str">
        <f>IF(OR($AM77=0,$C77=""),"",SUMIFS($Q$6:$Q$1005,$C$6:$C$1005,$C77,$A$6:$A$1005,$A77))</f>
        <v/>
      </c>
      <c r="AR77" s="55" t="str">
        <f>IF(OR($AM77=0,$C77=""),"",IFERROR(N(INDEX(Accounts!$E$7:$E$16,MATCH($C77,Accounts!$B$7:$B$16,0))),0)+SUMIFS($Q$6:$Q$1005,$C$6:$C$1005,$C77,$A$6:$A$1005,"&lt;="&amp;$A77))</f>
        <v/>
      </c>
      <c r="AS77" s="56">
        <f>IF(OR($AM77=0,$Q77=""),0,IF(AND($A77&gt;=Lists!$W$6,$A77&lt;=Lists!$W$7,OR(Dashboard!$D$6="All accounts",$C77=Dashboard!$D$6),OR(Dashboard!$D$7="All markets",$AF77=Dashboard!$D$7)),1,0))</f>
        <v>0</v>
      </c>
      <c r="AT77" s="55">
        <f>IF($AS77=1,N(AT76)+$Q77,N(AT76))</f>
        <v>1187.10688</v>
      </c>
      <c r="AU77" s="55">
        <f>MAX(N(AU76),$AT77)</f>
        <v>1187.10688</v>
      </c>
      <c r="AV77" s="55">
        <f>$AT77-$AU77</f>
        <v>0</v>
      </c>
      <c r="AW77" s="56">
        <f>IF($AS77=1,IF($S77="Win",N(AW76)+1,IF($S77="Loss",0,N(AW76))),N(AW76))</f>
        <v>5</v>
      </c>
      <c r="AX77" s="56">
        <f>IF($AS77=1,IF($S77="Loss",N(AX76)+1,IF($S77="Win",0,N(AX76))),N(AX76))</f>
        <v>0</v>
      </c>
      <c r="AY77" s="56" t="str">
        <f>IF($AS77=1,COUNTIF($AS$6:$AS77,1),"")</f>
        <v/>
      </c>
      <c r="AZ77" s="56">
        <f>MIN(71,N(Lists!$W$8))</f>
        <v>28</v>
      </c>
      <c r="BA77" s="56">
        <f>IF($AS77=1,IF(COUNTIFS($A$6:$A77,$A77,$AS$6:$AS77,1)=1,1,0),0)</f>
        <v>0</v>
      </c>
      <c r="BB77" s="55" t="str">
        <f>IF($BA77=1,SUMIFS($Q$6:$Q$1005,$A$6:$A$1005,$A77,$AS$6:$AS$1005,1),"")</f>
        <v/>
      </c>
      <c r="BC77" s="56">
        <f>IF(ISNUMBER($R77),1,0)</f>
        <v>0</v>
      </c>
      <c r="BD77" s="55" t="str">
        <f>IF(ISNUMBER($U77),$U77*$V77,"")</f>
        <v/>
      </c>
      <c r="BE77" s="56" t="str">
        <f>IF($AM77=0,"",IFERROR(MATCH($AF77&amp;"|"&amp;UPPER(TRIM($E77)),Lists!$A$6:$A$205,0),0))</f>
        <v/>
      </c>
      <c r="BF77" s="56" t="str">
        <f>IF($AM77=0,"",IFERROR(MATCH($AF77,Settings!$B$14:$B$18,0),IFERROR(MATCH(Settings!$C$6,Settings!$B$14:$B$18,0),1)))</f>
        <v/>
      </c>
      <c r="BG77" s="58" t="str">
        <f>IF($AM77=0,"",IF(NOT(ISNUMBER($I77)),"No stop; ","")&amp;IF(AND(ISNUMBER($H77),ISNUMBER($I77)),IF(OR(AND($F77&lt;&gt;"Short",$I77&gt;=$H77),AND($F77="Short",$I77&lt;=$H77)),"Stop on wrong side; ",""),"")&amp;IF($F77="","No direction; ","")&amp;IF(AND(ISNUMBER(Settings!$C$22),ISNUMBER($V77)),IF($V77&gt;Settings!$C$22,"Risk over max $; ",""),"")&amp;IF(AND(ISNUMBER(Settings!$C$23),ISNUMBER($V77),ISNUMBER($AP77),IFERROR(N(INDEX(Accounts!$E$7:$E$16,MATCH($C77,Accounts!$B$7:$B$16,0))),0)&gt;0),IF($V77&gt;Settings!$C$23*($AP77-N($Q77)),"Risk over max %; ",""),"")&amp;IF(AND(ISNUMBER(Settings!$C$24),ISNUMBER($N77)),IF($N77&gt;Settings!$C$24,"Leverage over max; ",""),"")&amp;IF(AND(ISNUMBER(Settings!$C$27),ISNUMBER($T77)),IF($T77&lt;Settings!$C$27,"R:R below min; ",""),"")&amp;IF(ISNUMBER(Settings!$C$25),IF(COUNTIFS($A$6:$A77,$A77,$AM$6:$AM77,1)&gt;Settings!$C$25,"Over max trades/day; ",""),"")&amp;IF(ISNUMBER(Settings!$C$26),IF(SUMIFS($Q$5:$Q76,$A$5:$A76,$A77)&lt;=-Settings!$C$26,"Traded after daily max loss; ",""),"")&amp;IF(AND($AG77="",NOT(ISNUMBER($O77))),"Symbol not in Instruments; ","")&amp;IF(AND($AH77="",NOT(ISNUMBER($O77))),"Forex cross: type Gross P&amp;L; ",""))</f>
        <v/>
      </c>
      <c r="BH77" s="56">
        <f>IF(ISNUMBER($Q77),1,0)</f>
        <v>0</v>
      </c>
      <c r="BI77" s="56">
        <f>IF($Y77="",0,1)</f>
        <v>0</v>
      </c>
      <c r="BJ77" s="56">
        <f>IF($AB77="",0,1)</f>
        <v>0</v>
      </c>
      <c r="BK77" s="56">
        <f>IF(AND($BH77=1,$W77&lt;&gt;"OK"),1,0)</f>
        <v>0</v>
      </c>
      <c r="BL77" s="55">
        <f>IF(N($AZ77)=0,0,IFERROR(INDEX($AT$6:$AT$1005,MATCH($AZ77,$AY$6:$AY$1005,0)),0))</f>
        <v>1187.10688</v>
      </c>
      <c r="BM77" s="56">
        <f>IF(ISNUMBER(SEARCH("daily max loss",$BG77)),1,0)</f>
        <v>0</v>
      </c>
    </row>
    <row r="78" ht="18" customHeight="1">
      <c r="A78" s="38" t="n"/>
      <c r="B78" s="39" t="n"/>
      <c r="C78" s="40" t="n"/>
      <c r="D78" s="41" t="n"/>
      <c r="E78" s="41" t="n"/>
      <c r="F78" s="41" t="n"/>
      <c r="G78" s="41" t="n"/>
      <c r="H78" s="42" t="n"/>
      <c r="I78" s="42" t="n"/>
      <c r="J78" s="42" t="n"/>
      <c r="K78" s="42" t="n"/>
      <c r="L78" s="41" t="n"/>
      <c r="M78" s="41" t="n"/>
      <c r="N78" s="41" t="n"/>
      <c r="O78" s="43" t="n"/>
      <c r="P78" s="43" t="n"/>
      <c r="Q78" s="44" t="str">
        <f>IF($AM78=0,"",IF(ISNUMBER($AK78),$AK78-N($AL78),""))</f>
        <v/>
      </c>
      <c r="R78" s="45" t="str">
        <f>IF(OR($Q78="",NOT(ISNUMBER($V78))),"",$AK78/$V78)</f>
        <v/>
      </c>
      <c r="S78" s="46" t="str">
        <f>IF($Q78="","",IF(AND(ISNUMBER($R78),ABS(N($R78))&lt;N(Settings!$C$8)),"Scratch",IF($Q78&gt;0,"Win",IF($Q78&lt;0,"Loss","Scratch"))))</f>
        <v/>
      </c>
      <c r="T78" s="47" t="str">
        <f>IF(OR($AM78=0,NOT(ISNUMBER($H78)),NOT(ISNUMBER($I78)),NOT(ISNUMBER($J78))),"",IF($H78=$I78,"",ROUND(ABS($J78-$H78)/ABS($H78-$I78),6)))</f>
        <v/>
      </c>
      <c r="U78" s="48" t="str">
        <f>IF(OR($S78&lt;&gt;"Win",NOT(ISNUMBER($T78)),NOT(ISNUMBER($R78))),"",MAX(0,$T78-$R78))</f>
        <v/>
      </c>
      <c r="V78" s="49" t="str">
        <f>IF(OR($AM78=0,NOT(ISNUMBER($H78)),NOT(ISNUMBER($I78)),NOT(ISNUMBER($G78))),"",IF(OR($AG78="",$AH78=""),"",IF(ROUND(ABS($H78-$I78)*ABS($G78)*$AG78*$AH78,6)=0,"",ROUND(ABS($H78-$I78)*ABS($G78)*$AG78*$AH78,6))))</f>
        <v/>
      </c>
      <c r="W78" s="50" t="str">
        <f>IF($AM78=0,"",IF($BG78="","OK",LEFT($BG78,LEN($BG78)-2)))</f>
        <v/>
      </c>
      <c r="X78" s="41" t="n"/>
      <c r="Y78" s="40" t="n"/>
      <c r="Z78" s="41" t="n"/>
      <c r="AA78" s="41" t="n"/>
      <c r="AB78" s="40" t="n"/>
      <c r="AC78" s="51" t="n"/>
      <c r="AD78" s="51" t="n"/>
      <c r="AE78" s="40" t="n"/>
      <c r="AF78" s="52" t="str">
        <f>IF($AM78=0,"",IF($D78&lt;&gt;"",$D78,IF(IFERROR(INDEX(Accounts!$C$7:$C$16,MATCH($C78,Accounts!$B$7:$B$16,0))&amp;"","")&lt;&gt;"",INDEX(Accounts!$C$7:$C$16,MATCH($C78,Accounts!$B$7:$B$16,0)),Settings!$C$6)))</f>
        <v/>
      </c>
      <c r="AG78" s="53" t="str">
        <f>IF($AM78=0,"",IF(AND($BE78&gt;0,N(INDEX(Instruments!$D$6:$D$205,MAX(1,$BE78)))&gt;0),INDEX(Instruments!$D$6:$D$205,MAX(1,$BE78)),IF(N(INDEX(Settings!$D$14:$D$18,$BF78))&gt;0,INDEX(Settings!$D$14:$D$18,$BF78),"")))</f>
        <v/>
      </c>
      <c r="AH78" s="54" t="str">
        <f>IF($AM78=0,"",IF($AF78&lt;&gt;"Forex",1,IF(MID(UPPER(SUBSTITUTE(TRIM($E78),"/","")),4,3)=UPPER(TRIM(Settings!$C$7)),1,IF(LEFT(UPPER(SUBSTITUTE(TRIM($E78),"/","")),3)=UPPER(TRIM(Settings!$C$7)),IF(AND(ISNUMBER($K78),N($K78)&lt;&gt;0),1/$K78,""),""))))</f>
        <v/>
      </c>
      <c r="AI78" s="55" t="str">
        <f>IF($AM78=0,"",IF(OR(NOT(ISNUMBER($H78)),NOT(ISNUMBER($K78)),NOT(ISNUMBER($G78)),$AG78="",$AH78=""),"",ROUND(($K78-$H78)*IF($F78="Short",-1,1)*$G78*$AG78*$AH78,6)))</f>
        <v/>
      </c>
      <c r="AJ78" s="55" t="str">
        <f>IF($AM78=0,"",IF(INDEX(Settings!$E$14:$E$18,$BF78)="% of notional",IF(OR($AG78="",NOT(ISNUMBER($H78)),NOT(ISNUMBER($G78))),"",ROUND(ABS($H78*$G78*$AG78*N($AH78))*IF($L78="Limit",N(INDEX(Settings!$G$14:$G$18,$BF78)),N(INDEX(Settings!$H$14:$H$18,$BF78)))+IF(ISNUMBER($K78),ABS($K78*$G78*$AG78*N($AH78))*IF($M78="Target",N(INDEX(Settings!$G$14:$G$18,$BF78)),N(INDEX(Settings!$H$14:$H$18,$BF78))),0),6)),IF(NOT(ISNUMBER($G78)),"",ROUND(ABS($G78)*2*IF(AND($BE78&gt;0,ISNUMBER(INDEX(Instruments!$G$6:$G$205,MAX(1,$BE78)))),INDEX(Instruments!$G$6:$G$205,MAX(1,$BE78)),N(INDEX(Settings!$F$14:$F$18,$BF78))),6))))</f>
        <v/>
      </c>
      <c r="AK78" s="55" t="str">
        <f>IF($AM78=0,"",IF(ISNUMBER($O78),$O78,$AI78))</f>
        <v/>
      </c>
      <c r="AL78" s="55" t="str">
        <f>IF($AM78=0,"",IF(ISNUMBER($P78),$P78,N($AJ78)))</f>
        <v/>
      </c>
      <c r="AM78" s="56">
        <f>IF(AND($A78&lt;&gt;"",$E78&lt;&gt;"",OR(AND(ISNUMBER($G78),ISNUMBER($H78),ISNUMBER($K78)),ISNUMBER($O78))),1,0)</f>
        <v>0</v>
      </c>
      <c r="AN78" s="57" t="str">
        <f>IF($A78="","",$A78-WEEKDAY($A78,3))</f>
        <v/>
      </c>
      <c r="AO78" s="56" t="str">
        <f>IF($A78="","",WEEKDAY($A78,2))</f>
        <v/>
      </c>
      <c r="AP78" s="55" t="str">
        <f>IF(OR($AM78=0,$C78=""),"",IFERROR(N(INDEX(Accounts!$E$7:$E$16,MATCH($C78,Accounts!$B$7:$B$16,0))),0)+SUMIFS($Q$6:$Q78,$C$6:$C78,$C78))</f>
        <v/>
      </c>
      <c r="AQ78" s="55" t="str">
        <f>IF(OR($AM78=0,$C78=""),"",SUMIFS($Q$6:$Q$1005,$C$6:$C$1005,$C78,$A$6:$A$1005,$A78))</f>
        <v/>
      </c>
      <c r="AR78" s="55" t="str">
        <f>IF(OR($AM78=0,$C78=""),"",IFERROR(N(INDEX(Accounts!$E$7:$E$16,MATCH($C78,Accounts!$B$7:$B$16,0))),0)+SUMIFS($Q$6:$Q$1005,$C$6:$C$1005,$C78,$A$6:$A$1005,"&lt;="&amp;$A78))</f>
        <v/>
      </c>
      <c r="AS78" s="56">
        <f>IF(OR($AM78=0,$Q78=""),0,IF(AND($A78&gt;=Lists!$W$6,$A78&lt;=Lists!$W$7,OR(Dashboard!$D$6="All accounts",$C78=Dashboard!$D$6),OR(Dashboard!$D$7="All markets",$AF78=Dashboard!$D$7)),1,0))</f>
        <v>0</v>
      </c>
      <c r="AT78" s="55">
        <f>IF($AS78=1,N(AT77)+$Q78,N(AT77))</f>
        <v>1187.10688</v>
      </c>
      <c r="AU78" s="55">
        <f>MAX(N(AU77),$AT78)</f>
        <v>1187.10688</v>
      </c>
      <c r="AV78" s="55">
        <f>$AT78-$AU78</f>
        <v>0</v>
      </c>
      <c r="AW78" s="56">
        <f>IF($AS78=1,IF($S78="Win",N(AW77)+1,IF($S78="Loss",0,N(AW77))),N(AW77))</f>
        <v>5</v>
      </c>
      <c r="AX78" s="56">
        <f>IF($AS78=1,IF($S78="Loss",N(AX77)+1,IF($S78="Win",0,N(AX77))),N(AX77))</f>
        <v>0</v>
      </c>
      <c r="AY78" s="56" t="str">
        <f>IF($AS78=1,COUNTIF($AS$6:$AS78,1),"")</f>
        <v/>
      </c>
      <c r="AZ78" s="56">
        <f>MIN(72,N(Lists!$W$8))</f>
        <v>28</v>
      </c>
      <c r="BA78" s="56">
        <f>IF($AS78=1,IF(COUNTIFS($A$6:$A78,$A78,$AS$6:$AS78,1)=1,1,0),0)</f>
        <v>0</v>
      </c>
      <c r="BB78" s="55" t="str">
        <f>IF($BA78=1,SUMIFS($Q$6:$Q$1005,$A$6:$A$1005,$A78,$AS$6:$AS$1005,1),"")</f>
        <v/>
      </c>
      <c r="BC78" s="56">
        <f>IF(ISNUMBER($R78),1,0)</f>
        <v>0</v>
      </c>
      <c r="BD78" s="55" t="str">
        <f>IF(ISNUMBER($U78),$U78*$V78,"")</f>
        <v/>
      </c>
      <c r="BE78" s="56" t="str">
        <f>IF($AM78=0,"",IFERROR(MATCH($AF78&amp;"|"&amp;UPPER(TRIM($E78)),Lists!$A$6:$A$205,0),0))</f>
        <v/>
      </c>
      <c r="BF78" s="56" t="str">
        <f>IF($AM78=0,"",IFERROR(MATCH($AF78,Settings!$B$14:$B$18,0),IFERROR(MATCH(Settings!$C$6,Settings!$B$14:$B$18,0),1)))</f>
        <v/>
      </c>
      <c r="BG78" s="58" t="str">
        <f>IF($AM78=0,"",IF(NOT(ISNUMBER($I78)),"No stop; ","")&amp;IF(AND(ISNUMBER($H78),ISNUMBER($I78)),IF(OR(AND($F78&lt;&gt;"Short",$I78&gt;=$H78),AND($F78="Short",$I78&lt;=$H78)),"Stop on wrong side; ",""),"")&amp;IF($F78="","No direction; ","")&amp;IF(AND(ISNUMBER(Settings!$C$22),ISNUMBER($V78)),IF($V78&gt;Settings!$C$22,"Risk over max $; ",""),"")&amp;IF(AND(ISNUMBER(Settings!$C$23),ISNUMBER($V78),ISNUMBER($AP78),IFERROR(N(INDEX(Accounts!$E$7:$E$16,MATCH($C78,Accounts!$B$7:$B$16,0))),0)&gt;0),IF($V78&gt;Settings!$C$23*($AP78-N($Q78)),"Risk over max %; ",""),"")&amp;IF(AND(ISNUMBER(Settings!$C$24),ISNUMBER($N78)),IF($N78&gt;Settings!$C$24,"Leverage over max; ",""),"")&amp;IF(AND(ISNUMBER(Settings!$C$27),ISNUMBER($T78)),IF($T78&lt;Settings!$C$27,"R:R below min; ",""),"")&amp;IF(ISNUMBER(Settings!$C$25),IF(COUNTIFS($A$6:$A78,$A78,$AM$6:$AM78,1)&gt;Settings!$C$25,"Over max trades/day; ",""),"")&amp;IF(ISNUMBER(Settings!$C$26),IF(SUMIFS($Q$5:$Q77,$A$5:$A77,$A78)&lt;=-Settings!$C$26,"Traded after daily max loss; ",""),"")&amp;IF(AND($AG78="",NOT(ISNUMBER($O78))),"Symbol not in Instruments; ","")&amp;IF(AND($AH78="",NOT(ISNUMBER($O78))),"Forex cross: type Gross P&amp;L; ",""))</f>
        <v/>
      </c>
      <c r="BH78" s="56">
        <f>IF(ISNUMBER($Q78),1,0)</f>
        <v>0</v>
      </c>
      <c r="BI78" s="56">
        <f>IF($Y78="",0,1)</f>
        <v>0</v>
      </c>
      <c r="BJ78" s="56">
        <f>IF($AB78="",0,1)</f>
        <v>0</v>
      </c>
      <c r="BK78" s="56">
        <f>IF(AND($BH78=1,$W78&lt;&gt;"OK"),1,0)</f>
        <v>0</v>
      </c>
      <c r="BL78" s="55">
        <f>IF(N($AZ78)=0,0,IFERROR(INDEX($AT$6:$AT$1005,MATCH($AZ78,$AY$6:$AY$1005,0)),0))</f>
        <v>1187.10688</v>
      </c>
      <c r="BM78" s="56">
        <f>IF(ISNUMBER(SEARCH("daily max loss",$BG78)),1,0)</f>
        <v>0</v>
      </c>
    </row>
    <row r="79" ht="18" customHeight="1">
      <c r="A79" s="38" t="n"/>
      <c r="B79" s="39" t="n"/>
      <c r="C79" s="40" t="n"/>
      <c r="D79" s="41" t="n"/>
      <c r="E79" s="41" t="n"/>
      <c r="F79" s="41" t="n"/>
      <c r="G79" s="41" t="n"/>
      <c r="H79" s="42" t="n"/>
      <c r="I79" s="42" t="n"/>
      <c r="J79" s="42" t="n"/>
      <c r="K79" s="42" t="n"/>
      <c r="L79" s="41" t="n"/>
      <c r="M79" s="41" t="n"/>
      <c r="N79" s="41" t="n"/>
      <c r="O79" s="43" t="n"/>
      <c r="P79" s="43" t="n"/>
      <c r="Q79" s="44" t="str">
        <f>IF($AM79=0,"",IF(ISNUMBER($AK79),$AK79-N($AL79),""))</f>
        <v/>
      </c>
      <c r="R79" s="45" t="str">
        <f>IF(OR($Q79="",NOT(ISNUMBER($V79))),"",$AK79/$V79)</f>
        <v/>
      </c>
      <c r="S79" s="46" t="str">
        <f>IF($Q79="","",IF(AND(ISNUMBER($R79),ABS(N($R79))&lt;N(Settings!$C$8)),"Scratch",IF($Q79&gt;0,"Win",IF($Q79&lt;0,"Loss","Scratch"))))</f>
        <v/>
      </c>
      <c r="T79" s="47" t="str">
        <f>IF(OR($AM79=0,NOT(ISNUMBER($H79)),NOT(ISNUMBER($I79)),NOT(ISNUMBER($J79))),"",IF($H79=$I79,"",ROUND(ABS($J79-$H79)/ABS($H79-$I79),6)))</f>
        <v/>
      </c>
      <c r="U79" s="48" t="str">
        <f>IF(OR($S79&lt;&gt;"Win",NOT(ISNUMBER($T79)),NOT(ISNUMBER($R79))),"",MAX(0,$T79-$R79))</f>
        <v/>
      </c>
      <c r="V79" s="49" t="str">
        <f>IF(OR($AM79=0,NOT(ISNUMBER($H79)),NOT(ISNUMBER($I79)),NOT(ISNUMBER($G79))),"",IF(OR($AG79="",$AH79=""),"",IF(ROUND(ABS($H79-$I79)*ABS($G79)*$AG79*$AH79,6)=0,"",ROUND(ABS($H79-$I79)*ABS($G79)*$AG79*$AH79,6))))</f>
        <v/>
      </c>
      <c r="W79" s="50" t="str">
        <f>IF($AM79=0,"",IF($BG79="","OK",LEFT($BG79,LEN($BG79)-2)))</f>
        <v/>
      </c>
      <c r="X79" s="41" t="n"/>
      <c r="Y79" s="40" t="n"/>
      <c r="Z79" s="41" t="n"/>
      <c r="AA79" s="41" t="n"/>
      <c r="AB79" s="40" t="n"/>
      <c r="AC79" s="51" t="n"/>
      <c r="AD79" s="51" t="n"/>
      <c r="AE79" s="40" t="n"/>
      <c r="AF79" s="52" t="str">
        <f>IF($AM79=0,"",IF($D79&lt;&gt;"",$D79,IF(IFERROR(INDEX(Accounts!$C$7:$C$16,MATCH($C79,Accounts!$B$7:$B$16,0))&amp;"","")&lt;&gt;"",INDEX(Accounts!$C$7:$C$16,MATCH($C79,Accounts!$B$7:$B$16,0)),Settings!$C$6)))</f>
        <v/>
      </c>
      <c r="AG79" s="53" t="str">
        <f>IF($AM79=0,"",IF(AND($BE79&gt;0,N(INDEX(Instruments!$D$6:$D$205,MAX(1,$BE79)))&gt;0),INDEX(Instruments!$D$6:$D$205,MAX(1,$BE79)),IF(N(INDEX(Settings!$D$14:$D$18,$BF79))&gt;0,INDEX(Settings!$D$14:$D$18,$BF79),"")))</f>
        <v/>
      </c>
      <c r="AH79" s="54" t="str">
        <f>IF($AM79=0,"",IF($AF79&lt;&gt;"Forex",1,IF(MID(UPPER(SUBSTITUTE(TRIM($E79),"/","")),4,3)=UPPER(TRIM(Settings!$C$7)),1,IF(LEFT(UPPER(SUBSTITUTE(TRIM($E79),"/","")),3)=UPPER(TRIM(Settings!$C$7)),IF(AND(ISNUMBER($K79),N($K79)&lt;&gt;0),1/$K79,""),""))))</f>
        <v/>
      </c>
      <c r="AI79" s="55" t="str">
        <f>IF($AM79=0,"",IF(OR(NOT(ISNUMBER($H79)),NOT(ISNUMBER($K79)),NOT(ISNUMBER($G79)),$AG79="",$AH79=""),"",ROUND(($K79-$H79)*IF($F79="Short",-1,1)*$G79*$AG79*$AH79,6)))</f>
        <v/>
      </c>
      <c r="AJ79" s="55" t="str">
        <f>IF($AM79=0,"",IF(INDEX(Settings!$E$14:$E$18,$BF79)="% of notional",IF(OR($AG79="",NOT(ISNUMBER($H79)),NOT(ISNUMBER($G79))),"",ROUND(ABS($H79*$G79*$AG79*N($AH79))*IF($L79="Limit",N(INDEX(Settings!$G$14:$G$18,$BF79)),N(INDEX(Settings!$H$14:$H$18,$BF79)))+IF(ISNUMBER($K79),ABS($K79*$G79*$AG79*N($AH79))*IF($M79="Target",N(INDEX(Settings!$G$14:$G$18,$BF79)),N(INDEX(Settings!$H$14:$H$18,$BF79))),0),6)),IF(NOT(ISNUMBER($G79)),"",ROUND(ABS($G79)*2*IF(AND($BE79&gt;0,ISNUMBER(INDEX(Instruments!$G$6:$G$205,MAX(1,$BE79)))),INDEX(Instruments!$G$6:$G$205,MAX(1,$BE79)),N(INDEX(Settings!$F$14:$F$18,$BF79))),6))))</f>
        <v/>
      </c>
      <c r="AK79" s="55" t="str">
        <f>IF($AM79=0,"",IF(ISNUMBER($O79),$O79,$AI79))</f>
        <v/>
      </c>
      <c r="AL79" s="55" t="str">
        <f>IF($AM79=0,"",IF(ISNUMBER($P79),$P79,N($AJ79)))</f>
        <v/>
      </c>
      <c r="AM79" s="56">
        <f>IF(AND($A79&lt;&gt;"",$E79&lt;&gt;"",OR(AND(ISNUMBER($G79),ISNUMBER($H79),ISNUMBER($K79)),ISNUMBER($O79))),1,0)</f>
        <v>0</v>
      </c>
      <c r="AN79" s="57" t="str">
        <f>IF($A79="","",$A79-WEEKDAY($A79,3))</f>
        <v/>
      </c>
      <c r="AO79" s="56" t="str">
        <f>IF($A79="","",WEEKDAY($A79,2))</f>
        <v/>
      </c>
      <c r="AP79" s="55" t="str">
        <f>IF(OR($AM79=0,$C79=""),"",IFERROR(N(INDEX(Accounts!$E$7:$E$16,MATCH($C79,Accounts!$B$7:$B$16,0))),0)+SUMIFS($Q$6:$Q79,$C$6:$C79,$C79))</f>
        <v/>
      </c>
      <c r="AQ79" s="55" t="str">
        <f>IF(OR($AM79=0,$C79=""),"",SUMIFS($Q$6:$Q$1005,$C$6:$C$1005,$C79,$A$6:$A$1005,$A79))</f>
        <v/>
      </c>
      <c r="AR79" s="55" t="str">
        <f>IF(OR($AM79=0,$C79=""),"",IFERROR(N(INDEX(Accounts!$E$7:$E$16,MATCH($C79,Accounts!$B$7:$B$16,0))),0)+SUMIFS($Q$6:$Q$1005,$C$6:$C$1005,$C79,$A$6:$A$1005,"&lt;="&amp;$A79))</f>
        <v/>
      </c>
      <c r="AS79" s="56">
        <f>IF(OR($AM79=0,$Q79=""),0,IF(AND($A79&gt;=Lists!$W$6,$A79&lt;=Lists!$W$7,OR(Dashboard!$D$6="All accounts",$C79=Dashboard!$D$6),OR(Dashboard!$D$7="All markets",$AF79=Dashboard!$D$7)),1,0))</f>
        <v>0</v>
      </c>
      <c r="AT79" s="55">
        <f>IF($AS79=1,N(AT78)+$Q79,N(AT78))</f>
        <v>1187.10688</v>
      </c>
      <c r="AU79" s="55">
        <f>MAX(N(AU78),$AT79)</f>
        <v>1187.10688</v>
      </c>
      <c r="AV79" s="55">
        <f>$AT79-$AU79</f>
        <v>0</v>
      </c>
      <c r="AW79" s="56">
        <f>IF($AS79=1,IF($S79="Win",N(AW78)+1,IF($S79="Loss",0,N(AW78))),N(AW78))</f>
        <v>5</v>
      </c>
      <c r="AX79" s="56">
        <f>IF($AS79=1,IF($S79="Loss",N(AX78)+1,IF($S79="Win",0,N(AX78))),N(AX78))</f>
        <v>0</v>
      </c>
      <c r="AY79" s="56" t="str">
        <f>IF($AS79=1,COUNTIF($AS$6:$AS79,1),"")</f>
        <v/>
      </c>
      <c r="AZ79" s="56">
        <f>MIN(73,N(Lists!$W$8))</f>
        <v>28</v>
      </c>
      <c r="BA79" s="56">
        <f>IF($AS79=1,IF(COUNTIFS($A$6:$A79,$A79,$AS$6:$AS79,1)=1,1,0),0)</f>
        <v>0</v>
      </c>
      <c r="BB79" s="55" t="str">
        <f>IF($BA79=1,SUMIFS($Q$6:$Q$1005,$A$6:$A$1005,$A79,$AS$6:$AS$1005,1),"")</f>
        <v/>
      </c>
      <c r="BC79" s="56">
        <f>IF(ISNUMBER($R79),1,0)</f>
        <v>0</v>
      </c>
      <c r="BD79" s="55" t="str">
        <f>IF(ISNUMBER($U79),$U79*$V79,"")</f>
        <v/>
      </c>
      <c r="BE79" s="56" t="str">
        <f>IF($AM79=0,"",IFERROR(MATCH($AF79&amp;"|"&amp;UPPER(TRIM($E79)),Lists!$A$6:$A$205,0),0))</f>
        <v/>
      </c>
      <c r="BF79" s="56" t="str">
        <f>IF($AM79=0,"",IFERROR(MATCH($AF79,Settings!$B$14:$B$18,0),IFERROR(MATCH(Settings!$C$6,Settings!$B$14:$B$18,0),1)))</f>
        <v/>
      </c>
      <c r="BG79" s="58" t="str">
        <f>IF($AM79=0,"",IF(NOT(ISNUMBER($I79)),"No stop; ","")&amp;IF(AND(ISNUMBER($H79),ISNUMBER($I79)),IF(OR(AND($F79&lt;&gt;"Short",$I79&gt;=$H79),AND($F79="Short",$I79&lt;=$H79)),"Stop on wrong side; ",""),"")&amp;IF($F79="","No direction; ","")&amp;IF(AND(ISNUMBER(Settings!$C$22),ISNUMBER($V79)),IF($V79&gt;Settings!$C$22,"Risk over max $; ",""),"")&amp;IF(AND(ISNUMBER(Settings!$C$23),ISNUMBER($V79),ISNUMBER($AP79),IFERROR(N(INDEX(Accounts!$E$7:$E$16,MATCH($C79,Accounts!$B$7:$B$16,0))),0)&gt;0),IF($V79&gt;Settings!$C$23*($AP79-N($Q79)),"Risk over max %; ",""),"")&amp;IF(AND(ISNUMBER(Settings!$C$24),ISNUMBER($N79)),IF($N79&gt;Settings!$C$24,"Leverage over max; ",""),"")&amp;IF(AND(ISNUMBER(Settings!$C$27),ISNUMBER($T79)),IF($T79&lt;Settings!$C$27,"R:R below min; ",""),"")&amp;IF(ISNUMBER(Settings!$C$25),IF(COUNTIFS($A$6:$A79,$A79,$AM$6:$AM79,1)&gt;Settings!$C$25,"Over max trades/day; ",""),"")&amp;IF(ISNUMBER(Settings!$C$26),IF(SUMIFS($Q$5:$Q78,$A$5:$A78,$A79)&lt;=-Settings!$C$26,"Traded after daily max loss; ",""),"")&amp;IF(AND($AG79="",NOT(ISNUMBER($O79))),"Symbol not in Instruments; ","")&amp;IF(AND($AH79="",NOT(ISNUMBER($O79))),"Forex cross: type Gross P&amp;L; ",""))</f>
        <v/>
      </c>
      <c r="BH79" s="56">
        <f>IF(ISNUMBER($Q79),1,0)</f>
        <v>0</v>
      </c>
      <c r="BI79" s="56">
        <f>IF($Y79="",0,1)</f>
        <v>0</v>
      </c>
      <c r="BJ79" s="56">
        <f>IF($AB79="",0,1)</f>
        <v>0</v>
      </c>
      <c r="BK79" s="56">
        <f>IF(AND($BH79=1,$W79&lt;&gt;"OK"),1,0)</f>
        <v>0</v>
      </c>
      <c r="BL79" s="55">
        <f>IF(N($AZ79)=0,0,IFERROR(INDEX($AT$6:$AT$1005,MATCH($AZ79,$AY$6:$AY$1005,0)),0))</f>
        <v>1187.10688</v>
      </c>
      <c r="BM79" s="56">
        <f>IF(ISNUMBER(SEARCH("daily max loss",$BG79)),1,0)</f>
        <v>0</v>
      </c>
    </row>
    <row r="80" ht="18" customHeight="1">
      <c r="A80" s="38" t="n"/>
      <c r="B80" s="39" t="n"/>
      <c r="C80" s="40" t="n"/>
      <c r="D80" s="41" t="n"/>
      <c r="E80" s="41" t="n"/>
      <c r="F80" s="41" t="n"/>
      <c r="G80" s="41" t="n"/>
      <c r="H80" s="42" t="n"/>
      <c r="I80" s="42" t="n"/>
      <c r="J80" s="42" t="n"/>
      <c r="K80" s="42" t="n"/>
      <c r="L80" s="41" t="n"/>
      <c r="M80" s="41" t="n"/>
      <c r="N80" s="41" t="n"/>
      <c r="O80" s="43" t="n"/>
      <c r="P80" s="43" t="n"/>
      <c r="Q80" s="44" t="str">
        <f>IF($AM80=0,"",IF(ISNUMBER($AK80),$AK80-N($AL80),""))</f>
        <v/>
      </c>
      <c r="R80" s="45" t="str">
        <f>IF(OR($Q80="",NOT(ISNUMBER($V80))),"",$AK80/$V80)</f>
        <v/>
      </c>
      <c r="S80" s="46" t="str">
        <f>IF($Q80="","",IF(AND(ISNUMBER($R80),ABS(N($R80))&lt;N(Settings!$C$8)),"Scratch",IF($Q80&gt;0,"Win",IF($Q80&lt;0,"Loss","Scratch"))))</f>
        <v/>
      </c>
      <c r="T80" s="47" t="str">
        <f>IF(OR($AM80=0,NOT(ISNUMBER($H80)),NOT(ISNUMBER($I80)),NOT(ISNUMBER($J80))),"",IF($H80=$I80,"",ROUND(ABS($J80-$H80)/ABS($H80-$I80),6)))</f>
        <v/>
      </c>
      <c r="U80" s="48" t="str">
        <f>IF(OR($S80&lt;&gt;"Win",NOT(ISNUMBER($T80)),NOT(ISNUMBER($R80))),"",MAX(0,$T80-$R80))</f>
        <v/>
      </c>
      <c r="V80" s="49" t="str">
        <f>IF(OR($AM80=0,NOT(ISNUMBER($H80)),NOT(ISNUMBER($I80)),NOT(ISNUMBER($G80))),"",IF(OR($AG80="",$AH80=""),"",IF(ROUND(ABS($H80-$I80)*ABS($G80)*$AG80*$AH80,6)=0,"",ROUND(ABS($H80-$I80)*ABS($G80)*$AG80*$AH80,6))))</f>
        <v/>
      </c>
      <c r="W80" s="50" t="str">
        <f>IF($AM80=0,"",IF($BG80="","OK",LEFT($BG80,LEN($BG80)-2)))</f>
        <v/>
      </c>
      <c r="X80" s="41" t="n"/>
      <c r="Y80" s="40" t="n"/>
      <c r="Z80" s="41" t="n"/>
      <c r="AA80" s="41" t="n"/>
      <c r="AB80" s="40" t="n"/>
      <c r="AC80" s="51" t="n"/>
      <c r="AD80" s="51" t="n"/>
      <c r="AE80" s="40" t="n"/>
      <c r="AF80" s="52" t="str">
        <f>IF($AM80=0,"",IF($D80&lt;&gt;"",$D80,IF(IFERROR(INDEX(Accounts!$C$7:$C$16,MATCH($C80,Accounts!$B$7:$B$16,0))&amp;"","")&lt;&gt;"",INDEX(Accounts!$C$7:$C$16,MATCH($C80,Accounts!$B$7:$B$16,0)),Settings!$C$6)))</f>
        <v/>
      </c>
      <c r="AG80" s="53" t="str">
        <f>IF($AM80=0,"",IF(AND($BE80&gt;0,N(INDEX(Instruments!$D$6:$D$205,MAX(1,$BE80)))&gt;0),INDEX(Instruments!$D$6:$D$205,MAX(1,$BE80)),IF(N(INDEX(Settings!$D$14:$D$18,$BF80))&gt;0,INDEX(Settings!$D$14:$D$18,$BF80),"")))</f>
        <v/>
      </c>
      <c r="AH80" s="54" t="str">
        <f>IF($AM80=0,"",IF($AF80&lt;&gt;"Forex",1,IF(MID(UPPER(SUBSTITUTE(TRIM($E80),"/","")),4,3)=UPPER(TRIM(Settings!$C$7)),1,IF(LEFT(UPPER(SUBSTITUTE(TRIM($E80),"/","")),3)=UPPER(TRIM(Settings!$C$7)),IF(AND(ISNUMBER($K80),N($K80)&lt;&gt;0),1/$K80,""),""))))</f>
        <v/>
      </c>
      <c r="AI80" s="55" t="str">
        <f>IF($AM80=0,"",IF(OR(NOT(ISNUMBER($H80)),NOT(ISNUMBER($K80)),NOT(ISNUMBER($G80)),$AG80="",$AH80=""),"",ROUND(($K80-$H80)*IF($F80="Short",-1,1)*$G80*$AG80*$AH80,6)))</f>
        <v/>
      </c>
      <c r="AJ80" s="55" t="str">
        <f>IF($AM80=0,"",IF(INDEX(Settings!$E$14:$E$18,$BF80)="% of notional",IF(OR($AG80="",NOT(ISNUMBER($H80)),NOT(ISNUMBER($G80))),"",ROUND(ABS($H80*$G80*$AG80*N($AH80))*IF($L80="Limit",N(INDEX(Settings!$G$14:$G$18,$BF80)),N(INDEX(Settings!$H$14:$H$18,$BF80)))+IF(ISNUMBER($K80),ABS($K80*$G80*$AG80*N($AH80))*IF($M80="Target",N(INDEX(Settings!$G$14:$G$18,$BF80)),N(INDEX(Settings!$H$14:$H$18,$BF80))),0),6)),IF(NOT(ISNUMBER($G80)),"",ROUND(ABS($G80)*2*IF(AND($BE80&gt;0,ISNUMBER(INDEX(Instruments!$G$6:$G$205,MAX(1,$BE80)))),INDEX(Instruments!$G$6:$G$205,MAX(1,$BE80)),N(INDEX(Settings!$F$14:$F$18,$BF80))),6))))</f>
        <v/>
      </c>
      <c r="AK80" s="55" t="str">
        <f>IF($AM80=0,"",IF(ISNUMBER($O80),$O80,$AI80))</f>
        <v/>
      </c>
      <c r="AL80" s="55" t="str">
        <f>IF($AM80=0,"",IF(ISNUMBER($P80),$P80,N($AJ80)))</f>
        <v/>
      </c>
      <c r="AM80" s="56">
        <f>IF(AND($A80&lt;&gt;"",$E80&lt;&gt;"",OR(AND(ISNUMBER($G80),ISNUMBER($H80),ISNUMBER($K80)),ISNUMBER($O80))),1,0)</f>
        <v>0</v>
      </c>
      <c r="AN80" s="57" t="str">
        <f>IF($A80="","",$A80-WEEKDAY($A80,3))</f>
        <v/>
      </c>
      <c r="AO80" s="56" t="str">
        <f>IF($A80="","",WEEKDAY($A80,2))</f>
        <v/>
      </c>
      <c r="AP80" s="55" t="str">
        <f>IF(OR($AM80=0,$C80=""),"",IFERROR(N(INDEX(Accounts!$E$7:$E$16,MATCH($C80,Accounts!$B$7:$B$16,0))),0)+SUMIFS($Q$6:$Q80,$C$6:$C80,$C80))</f>
        <v/>
      </c>
      <c r="AQ80" s="55" t="str">
        <f>IF(OR($AM80=0,$C80=""),"",SUMIFS($Q$6:$Q$1005,$C$6:$C$1005,$C80,$A$6:$A$1005,$A80))</f>
        <v/>
      </c>
      <c r="AR80" s="55" t="str">
        <f>IF(OR($AM80=0,$C80=""),"",IFERROR(N(INDEX(Accounts!$E$7:$E$16,MATCH($C80,Accounts!$B$7:$B$16,0))),0)+SUMIFS($Q$6:$Q$1005,$C$6:$C$1005,$C80,$A$6:$A$1005,"&lt;="&amp;$A80))</f>
        <v/>
      </c>
      <c r="AS80" s="56">
        <f>IF(OR($AM80=0,$Q80=""),0,IF(AND($A80&gt;=Lists!$W$6,$A80&lt;=Lists!$W$7,OR(Dashboard!$D$6="All accounts",$C80=Dashboard!$D$6),OR(Dashboard!$D$7="All markets",$AF80=Dashboard!$D$7)),1,0))</f>
        <v>0</v>
      </c>
      <c r="AT80" s="55">
        <f>IF($AS80=1,N(AT79)+$Q80,N(AT79))</f>
        <v>1187.10688</v>
      </c>
      <c r="AU80" s="55">
        <f>MAX(N(AU79),$AT80)</f>
        <v>1187.10688</v>
      </c>
      <c r="AV80" s="55">
        <f>$AT80-$AU80</f>
        <v>0</v>
      </c>
      <c r="AW80" s="56">
        <f>IF($AS80=1,IF($S80="Win",N(AW79)+1,IF($S80="Loss",0,N(AW79))),N(AW79))</f>
        <v>5</v>
      </c>
      <c r="AX80" s="56">
        <f>IF($AS80=1,IF($S80="Loss",N(AX79)+1,IF($S80="Win",0,N(AX79))),N(AX79))</f>
        <v>0</v>
      </c>
      <c r="AY80" s="56" t="str">
        <f>IF($AS80=1,COUNTIF($AS$6:$AS80,1),"")</f>
        <v/>
      </c>
      <c r="AZ80" s="56">
        <f>MIN(74,N(Lists!$W$8))</f>
        <v>28</v>
      </c>
      <c r="BA80" s="56">
        <f>IF($AS80=1,IF(COUNTIFS($A$6:$A80,$A80,$AS$6:$AS80,1)=1,1,0),0)</f>
        <v>0</v>
      </c>
      <c r="BB80" s="55" t="str">
        <f>IF($BA80=1,SUMIFS($Q$6:$Q$1005,$A$6:$A$1005,$A80,$AS$6:$AS$1005,1),"")</f>
        <v/>
      </c>
      <c r="BC80" s="56">
        <f>IF(ISNUMBER($R80),1,0)</f>
        <v>0</v>
      </c>
      <c r="BD80" s="55" t="str">
        <f>IF(ISNUMBER($U80),$U80*$V80,"")</f>
        <v/>
      </c>
      <c r="BE80" s="56" t="str">
        <f>IF($AM80=0,"",IFERROR(MATCH($AF80&amp;"|"&amp;UPPER(TRIM($E80)),Lists!$A$6:$A$205,0),0))</f>
        <v/>
      </c>
      <c r="BF80" s="56" t="str">
        <f>IF($AM80=0,"",IFERROR(MATCH($AF80,Settings!$B$14:$B$18,0),IFERROR(MATCH(Settings!$C$6,Settings!$B$14:$B$18,0),1)))</f>
        <v/>
      </c>
      <c r="BG80" s="58" t="str">
        <f>IF($AM80=0,"",IF(NOT(ISNUMBER($I80)),"No stop; ","")&amp;IF(AND(ISNUMBER($H80),ISNUMBER($I80)),IF(OR(AND($F80&lt;&gt;"Short",$I80&gt;=$H80),AND($F80="Short",$I80&lt;=$H80)),"Stop on wrong side; ",""),"")&amp;IF($F80="","No direction; ","")&amp;IF(AND(ISNUMBER(Settings!$C$22),ISNUMBER($V80)),IF($V80&gt;Settings!$C$22,"Risk over max $; ",""),"")&amp;IF(AND(ISNUMBER(Settings!$C$23),ISNUMBER($V80),ISNUMBER($AP80),IFERROR(N(INDEX(Accounts!$E$7:$E$16,MATCH($C80,Accounts!$B$7:$B$16,0))),0)&gt;0),IF($V80&gt;Settings!$C$23*($AP80-N($Q80)),"Risk over max %; ",""),"")&amp;IF(AND(ISNUMBER(Settings!$C$24),ISNUMBER($N80)),IF($N80&gt;Settings!$C$24,"Leverage over max; ",""),"")&amp;IF(AND(ISNUMBER(Settings!$C$27),ISNUMBER($T80)),IF($T80&lt;Settings!$C$27,"R:R below min; ",""),"")&amp;IF(ISNUMBER(Settings!$C$25),IF(COUNTIFS($A$6:$A80,$A80,$AM$6:$AM80,1)&gt;Settings!$C$25,"Over max trades/day; ",""),"")&amp;IF(ISNUMBER(Settings!$C$26),IF(SUMIFS($Q$5:$Q79,$A$5:$A79,$A80)&lt;=-Settings!$C$26,"Traded after daily max loss; ",""),"")&amp;IF(AND($AG80="",NOT(ISNUMBER($O80))),"Symbol not in Instruments; ","")&amp;IF(AND($AH80="",NOT(ISNUMBER($O80))),"Forex cross: type Gross P&amp;L; ",""))</f>
        <v/>
      </c>
      <c r="BH80" s="56">
        <f>IF(ISNUMBER($Q80),1,0)</f>
        <v>0</v>
      </c>
      <c r="BI80" s="56">
        <f>IF($Y80="",0,1)</f>
        <v>0</v>
      </c>
      <c r="BJ80" s="56">
        <f>IF($AB80="",0,1)</f>
        <v>0</v>
      </c>
      <c r="BK80" s="56">
        <f>IF(AND($BH80=1,$W80&lt;&gt;"OK"),1,0)</f>
        <v>0</v>
      </c>
      <c r="BL80" s="55">
        <f>IF(N($AZ80)=0,0,IFERROR(INDEX($AT$6:$AT$1005,MATCH($AZ80,$AY$6:$AY$1005,0)),0))</f>
        <v>1187.10688</v>
      </c>
      <c r="BM80" s="56">
        <f>IF(ISNUMBER(SEARCH("daily max loss",$BG80)),1,0)</f>
        <v>0</v>
      </c>
    </row>
    <row r="81" ht="18" customHeight="1">
      <c r="A81" s="38" t="n"/>
      <c r="B81" s="39" t="n"/>
      <c r="C81" s="40" t="n"/>
      <c r="D81" s="41" t="n"/>
      <c r="E81" s="41" t="n"/>
      <c r="F81" s="41" t="n"/>
      <c r="G81" s="41" t="n"/>
      <c r="H81" s="42" t="n"/>
      <c r="I81" s="42" t="n"/>
      <c r="J81" s="42" t="n"/>
      <c r="K81" s="42" t="n"/>
      <c r="L81" s="41" t="n"/>
      <c r="M81" s="41" t="n"/>
      <c r="N81" s="41" t="n"/>
      <c r="O81" s="43" t="n"/>
      <c r="P81" s="43" t="n"/>
      <c r="Q81" s="44" t="str">
        <f>IF($AM81=0,"",IF(ISNUMBER($AK81),$AK81-N($AL81),""))</f>
        <v/>
      </c>
      <c r="R81" s="45" t="str">
        <f>IF(OR($Q81="",NOT(ISNUMBER($V81))),"",$AK81/$V81)</f>
        <v/>
      </c>
      <c r="S81" s="46" t="str">
        <f>IF($Q81="","",IF(AND(ISNUMBER($R81),ABS(N($R81))&lt;N(Settings!$C$8)),"Scratch",IF($Q81&gt;0,"Win",IF($Q81&lt;0,"Loss","Scratch"))))</f>
        <v/>
      </c>
      <c r="T81" s="47" t="str">
        <f>IF(OR($AM81=0,NOT(ISNUMBER($H81)),NOT(ISNUMBER($I81)),NOT(ISNUMBER($J81))),"",IF($H81=$I81,"",ROUND(ABS($J81-$H81)/ABS($H81-$I81),6)))</f>
        <v/>
      </c>
      <c r="U81" s="48" t="str">
        <f>IF(OR($S81&lt;&gt;"Win",NOT(ISNUMBER($T81)),NOT(ISNUMBER($R81))),"",MAX(0,$T81-$R81))</f>
        <v/>
      </c>
      <c r="V81" s="49" t="str">
        <f>IF(OR($AM81=0,NOT(ISNUMBER($H81)),NOT(ISNUMBER($I81)),NOT(ISNUMBER($G81))),"",IF(OR($AG81="",$AH81=""),"",IF(ROUND(ABS($H81-$I81)*ABS($G81)*$AG81*$AH81,6)=0,"",ROUND(ABS($H81-$I81)*ABS($G81)*$AG81*$AH81,6))))</f>
        <v/>
      </c>
      <c r="W81" s="50" t="str">
        <f>IF($AM81=0,"",IF($BG81="","OK",LEFT($BG81,LEN($BG81)-2)))</f>
        <v/>
      </c>
      <c r="X81" s="41" t="n"/>
      <c r="Y81" s="40" t="n"/>
      <c r="Z81" s="41" t="n"/>
      <c r="AA81" s="41" t="n"/>
      <c r="AB81" s="40" t="n"/>
      <c r="AC81" s="51" t="n"/>
      <c r="AD81" s="51" t="n"/>
      <c r="AE81" s="40" t="n"/>
      <c r="AF81" s="52" t="str">
        <f>IF($AM81=0,"",IF($D81&lt;&gt;"",$D81,IF(IFERROR(INDEX(Accounts!$C$7:$C$16,MATCH($C81,Accounts!$B$7:$B$16,0))&amp;"","")&lt;&gt;"",INDEX(Accounts!$C$7:$C$16,MATCH($C81,Accounts!$B$7:$B$16,0)),Settings!$C$6)))</f>
        <v/>
      </c>
      <c r="AG81" s="53" t="str">
        <f>IF($AM81=0,"",IF(AND($BE81&gt;0,N(INDEX(Instruments!$D$6:$D$205,MAX(1,$BE81)))&gt;0),INDEX(Instruments!$D$6:$D$205,MAX(1,$BE81)),IF(N(INDEX(Settings!$D$14:$D$18,$BF81))&gt;0,INDEX(Settings!$D$14:$D$18,$BF81),"")))</f>
        <v/>
      </c>
      <c r="AH81" s="54" t="str">
        <f>IF($AM81=0,"",IF($AF81&lt;&gt;"Forex",1,IF(MID(UPPER(SUBSTITUTE(TRIM($E81),"/","")),4,3)=UPPER(TRIM(Settings!$C$7)),1,IF(LEFT(UPPER(SUBSTITUTE(TRIM($E81),"/","")),3)=UPPER(TRIM(Settings!$C$7)),IF(AND(ISNUMBER($K81),N($K81)&lt;&gt;0),1/$K81,""),""))))</f>
        <v/>
      </c>
      <c r="AI81" s="55" t="str">
        <f>IF($AM81=0,"",IF(OR(NOT(ISNUMBER($H81)),NOT(ISNUMBER($K81)),NOT(ISNUMBER($G81)),$AG81="",$AH81=""),"",ROUND(($K81-$H81)*IF($F81="Short",-1,1)*$G81*$AG81*$AH81,6)))</f>
        <v/>
      </c>
      <c r="AJ81" s="55" t="str">
        <f>IF($AM81=0,"",IF(INDEX(Settings!$E$14:$E$18,$BF81)="% of notional",IF(OR($AG81="",NOT(ISNUMBER($H81)),NOT(ISNUMBER($G81))),"",ROUND(ABS($H81*$G81*$AG81*N($AH81))*IF($L81="Limit",N(INDEX(Settings!$G$14:$G$18,$BF81)),N(INDEX(Settings!$H$14:$H$18,$BF81)))+IF(ISNUMBER($K81),ABS($K81*$G81*$AG81*N($AH81))*IF($M81="Target",N(INDEX(Settings!$G$14:$G$18,$BF81)),N(INDEX(Settings!$H$14:$H$18,$BF81))),0),6)),IF(NOT(ISNUMBER($G81)),"",ROUND(ABS($G81)*2*IF(AND($BE81&gt;0,ISNUMBER(INDEX(Instruments!$G$6:$G$205,MAX(1,$BE81)))),INDEX(Instruments!$G$6:$G$205,MAX(1,$BE81)),N(INDEX(Settings!$F$14:$F$18,$BF81))),6))))</f>
        <v/>
      </c>
      <c r="AK81" s="55" t="str">
        <f>IF($AM81=0,"",IF(ISNUMBER($O81),$O81,$AI81))</f>
        <v/>
      </c>
      <c r="AL81" s="55" t="str">
        <f>IF($AM81=0,"",IF(ISNUMBER($P81),$P81,N($AJ81)))</f>
        <v/>
      </c>
      <c r="AM81" s="56">
        <f>IF(AND($A81&lt;&gt;"",$E81&lt;&gt;"",OR(AND(ISNUMBER($G81),ISNUMBER($H81),ISNUMBER($K81)),ISNUMBER($O81))),1,0)</f>
        <v>0</v>
      </c>
      <c r="AN81" s="57" t="str">
        <f>IF($A81="","",$A81-WEEKDAY($A81,3))</f>
        <v/>
      </c>
      <c r="AO81" s="56" t="str">
        <f>IF($A81="","",WEEKDAY($A81,2))</f>
        <v/>
      </c>
      <c r="AP81" s="55" t="str">
        <f>IF(OR($AM81=0,$C81=""),"",IFERROR(N(INDEX(Accounts!$E$7:$E$16,MATCH($C81,Accounts!$B$7:$B$16,0))),0)+SUMIFS($Q$6:$Q81,$C$6:$C81,$C81))</f>
        <v/>
      </c>
      <c r="AQ81" s="55" t="str">
        <f>IF(OR($AM81=0,$C81=""),"",SUMIFS($Q$6:$Q$1005,$C$6:$C$1005,$C81,$A$6:$A$1005,$A81))</f>
        <v/>
      </c>
      <c r="AR81" s="55" t="str">
        <f>IF(OR($AM81=0,$C81=""),"",IFERROR(N(INDEX(Accounts!$E$7:$E$16,MATCH($C81,Accounts!$B$7:$B$16,0))),0)+SUMIFS($Q$6:$Q$1005,$C$6:$C$1005,$C81,$A$6:$A$1005,"&lt;="&amp;$A81))</f>
        <v/>
      </c>
      <c r="AS81" s="56">
        <f>IF(OR($AM81=0,$Q81=""),0,IF(AND($A81&gt;=Lists!$W$6,$A81&lt;=Lists!$W$7,OR(Dashboard!$D$6="All accounts",$C81=Dashboard!$D$6),OR(Dashboard!$D$7="All markets",$AF81=Dashboard!$D$7)),1,0))</f>
        <v>0</v>
      </c>
      <c r="AT81" s="55">
        <f>IF($AS81=1,N(AT80)+$Q81,N(AT80))</f>
        <v>1187.10688</v>
      </c>
      <c r="AU81" s="55">
        <f>MAX(N(AU80),$AT81)</f>
        <v>1187.10688</v>
      </c>
      <c r="AV81" s="55">
        <f>$AT81-$AU81</f>
        <v>0</v>
      </c>
      <c r="AW81" s="56">
        <f>IF($AS81=1,IF($S81="Win",N(AW80)+1,IF($S81="Loss",0,N(AW80))),N(AW80))</f>
        <v>5</v>
      </c>
      <c r="AX81" s="56">
        <f>IF($AS81=1,IF($S81="Loss",N(AX80)+1,IF($S81="Win",0,N(AX80))),N(AX80))</f>
        <v>0</v>
      </c>
      <c r="AY81" s="56" t="str">
        <f>IF($AS81=1,COUNTIF($AS$6:$AS81,1),"")</f>
        <v/>
      </c>
      <c r="AZ81" s="56">
        <f>MIN(75,N(Lists!$W$8))</f>
        <v>28</v>
      </c>
      <c r="BA81" s="56">
        <f>IF($AS81=1,IF(COUNTIFS($A$6:$A81,$A81,$AS$6:$AS81,1)=1,1,0),0)</f>
        <v>0</v>
      </c>
      <c r="BB81" s="55" t="str">
        <f>IF($BA81=1,SUMIFS($Q$6:$Q$1005,$A$6:$A$1005,$A81,$AS$6:$AS$1005,1),"")</f>
        <v/>
      </c>
      <c r="BC81" s="56">
        <f>IF(ISNUMBER($R81),1,0)</f>
        <v>0</v>
      </c>
      <c r="BD81" s="55" t="str">
        <f>IF(ISNUMBER($U81),$U81*$V81,"")</f>
        <v/>
      </c>
      <c r="BE81" s="56" t="str">
        <f>IF($AM81=0,"",IFERROR(MATCH($AF81&amp;"|"&amp;UPPER(TRIM($E81)),Lists!$A$6:$A$205,0),0))</f>
        <v/>
      </c>
      <c r="BF81" s="56" t="str">
        <f>IF($AM81=0,"",IFERROR(MATCH($AF81,Settings!$B$14:$B$18,0),IFERROR(MATCH(Settings!$C$6,Settings!$B$14:$B$18,0),1)))</f>
        <v/>
      </c>
      <c r="BG81" s="58" t="str">
        <f>IF($AM81=0,"",IF(NOT(ISNUMBER($I81)),"No stop; ","")&amp;IF(AND(ISNUMBER($H81),ISNUMBER($I81)),IF(OR(AND($F81&lt;&gt;"Short",$I81&gt;=$H81),AND($F81="Short",$I81&lt;=$H81)),"Stop on wrong side; ",""),"")&amp;IF($F81="","No direction; ","")&amp;IF(AND(ISNUMBER(Settings!$C$22),ISNUMBER($V81)),IF($V81&gt;Settings!$C$22,"Risk over max $; ",""),"")&amp;IF(AND(ISNUMBER(Settings!$C$23),ISNUMBER($V81),ISNUMBER($AP81),IFERROR(N(INDEX(Accounts!$E$7:$E$16,MATCH($C81,Accounts!$B$7:$B$16,0))),0)&gt;0),IF($V81&gt;Settings!$C$23*($AP81-N($Q81)),"Risk over max %; ",""),"")&amp;IF(AND(ISNUMBER(Settings!$C$24),ISNUMBER($N81)),IF($N81&gt;Settings!$C$24,"Leverage over max; ",""),"")&amp;IF(AND(ISNUMBER(Settings!$C$27),ISNUMBER($T81)),IF($T81&lt;Settings!$C$27,"R:R below min; ",""),"")&amp;IF(ISNUMBER(Settings!$C$25),IF(COUNTIFS($A$6:$A81,$A81,$AM$6:$AM81,1)&gt;Settings!$C$25,"Over max trades/day; ",""),"")&amp;IF(ISNUMBER(Settings!$C$26),IF(SUMIFS($Q$5:$Q80,$A$5:$A80,$A81)&lt;=-Settings!$C$26,"Traded after daily max loss; ",""),"")&amp;IF(AND($AG81="",NOT(ISNUMBER($O81))),"Symbol not in Instruments; ","")&amp;IF(AND($AH81="",NOT(ISNUMBER($O81))),"Forex cross: type Gross P&amp;L; ",""))</f>
        <v/>
      </c>
      <c r="BH81" s="56">
        <f>IF(ISNUMBER($Q81),1,0)</f>
        <v>0</v>
      </c>
      <c r="BI81" s="56">
        <f>IF($Y81="",0,1)</f>
        <v>0</v>
      </c>
      <c r="BJ81" s="56">
        <f>IF($AB81="",0,1)</f>
        <v>0</v>
      </c>
      <c r="BK81" s="56">
        <f>IF(AND($BH81=1,$W81&lt;&gt;"OK"),1,0)</f>
        <v>0</v>
      </c>
      <c r="BL81" s="55">
        <f>IF(N($AZ81)=0,0,IFERROR(INDEX($AT$6:$AT$1005,MATCH($AZ81,$AY$6:$AY$1005,0)),0))</f>
        <v>1187.10688</v>
      </c>
      <c r="BM81" s="56">
        <f>IF(ISNUMBER(SEARCH("daily max loss",$BG81)),1,0)</f>
        <v>0</v>
      </c>
    </row>
    <row r="82" ht="18" customHeight="1">
      <c r="A82" s="38" t="n"/>
      <c r="B82" s="39" t="n"/>
      <c r="C82" s="40" t="n"/>
      <c r="D82" s="41" t="n"/>
      <c r="E82" s="41" t="n"/>
      <c r="F82" s="41" t="n"/>
      <c r="G82" s="41" t="n"/>
      <c r="H82" s="42" t="n"/>
      <c r="I82" s="42" t="n"/>
      <c r="J82" s="42" t="n"/>
      <c r="K82" s="42" t="n"/>
      <c r="L82" s="41" t="n"/>
      <c r="M82" s="41" t="n"/>
      <c r="N82" s="41" t="n"/>
      <c r="O82" s="43" t="n"/>
      <c r="P82" s="43" t="n"/>
      <c r="Q82" s="44" t="str">
        <f>IF($AM82=0,"",IF(ISNUMBER($AK82),$AK82-N($AL82),""))</f>
        <v/>
      </c>
      <c r="R82" s="45" t="str">
        <f>IF(OR($Q82="",NOT(ISNUMBER($V82))),"",$AK82/$V82)</f>
        <v/>
      </c>
      <c r="S82" s="46" t="str">
        <f>IF($Q82="","",IF(AND(ISNUMBER($R82),ABS(N($R82))&lt;N(Settings!$C$8)),"Scratch",IF($Q82&gt;0,"Win",IF($Q82&lt;0,"Loss","Scratch"))))</f>
        <v/>
      </c>
      <c r="T82" s="47" t="str">
        <f>IF(OR($AM82=0,NOT(ISNUMBER($H82)),NOT(ISNUMBER($I82)),NOT(ISNUMBER($J82))),"",IF($H82=$I82,"",ROUND(ABS($J82-$H82)/ABS($H82-$I82),6)))</f>
        <v/>
      </c>
      <c r="U82" s="48" t="str">
        <f>IF(OR($S82&lt;&gt;"Win",NOT(ISNUMBER($T82)),NOT(ISNUMBER($R82))),"",MAX(0,$T82-$R82))</f>
        <v/>
      </c>
      <c r="V82" s="49" t="str">
        <f>IF(OR($AM82=0,NOT(ISNUMBER($H82)),NOT(ISNUMBER($I82)),NOT(ISNUMBER($G82))),"",IF(OR($AG82="",$AH82=""),"",IF(ROUND(ABS($H82-$I82)*ABS($G82)*$AG82*$AH82,6)=0,"",ROUND(ABS($H82-$I82)*ABS($G82)*$AG82*$AH82,6))))</f>
        <v/>
      </c>
      <c r="W82" s="50" t="str">
        <f>IF($AM82=0,"",IF($BG82="","OK",LEFT($BG82,LEN($BG82)-2)))</f>
        <v/>
      </c>
      <c r="X82" s="41" t="n"/>
      <c r="Y82" s="40" t="n"/>
      <c r="Z82" s="41" t="n"/>
      <c r="AA82" s="41" t="n"/>
      <c r="AB82" s="40" t="n"/>
      <c r="AC82" s="51" t="n"/>
      <c r="AD82" s="51" t="n"/>
      <c r="AE82" s="40" t="n"/>
      <c r="AF82" s="52" t="str">
        <f>IF($AM82=0,"",IF($D82&lt;&gt;"",$D82,IF(IFERROR(INDEX(Accounts!$C$7:$C$16,MATCH($C82,Accounts!$B$7:$B$16,0))&amp;"","")&lt;&gt;"",INDEX(Accounts!$C$7:$C$16,MATCH($C82,Accounts!$B$7:$B$16,0)),Settings!$C$6)))</f>
        <v/>
      </c>
      <c r="AG82" s="53" t="str">
        <f>IF($AM82=0,"",IF(AND($BE82&gt;0,N(INDEX(Instruments!$D$6:$D$205,MAX(1,$BE82)))&gt;0),INDEX(Instruments!$D$6:$D$205,MAX(1,$BE82)),IF(N(INDEX(Settings!$D$14:$D$18,$BF82))&gt;0,INDEX(Settings!$D$14:$D$18,$BF82),"")))</f>
        <v/>
      </c>
      <c r="AH82" s="54" t="str">
        <f>IF($AM82=0,"",IF($AF82&lt;&gt;"Forex",1,IF(MID(UPPER(SUBSTITUTE(TRIM($E82),"/","")),4,3)=UPPER(TRIM(Settings!$C$7)),1,IF(LEFT(UPPER(SUBSTITUTE(TRIM($E82),"/","")),3)=UPPER(TRIM(Settings!$C$7)),IF(AND(ISNUMBER($K82),N($K82)&lt;&gt;0),1/$K82,""),""))))</f>
        <v/>
      </c>
      <c r="AI82" s="55" t="str">
        <f>IF($AM82=0,"",IF(OR(NOT(ISNUMBER($H82)),NOT(ISNUMBER($K82)),NOT(ISNUMBER($G82)),$AG82="",$AH82=""),"",ROUND(($K82-$H82)*IF($F82="Short",-1,1)*$G82*$AG82*$AH82,6)))</f>
        <v/>
      </c>
      <c r="AJ82" s="55" t="str">
        <f>IF($AM82=0,"",IF(INDEX(Settings!$E$14:$E$18,$BF82)="% of notional",IF(OR($AG82="",NOT(ISNUMBER($H82)),NOT(ISNUMBER($G82))),"",ROUND(ABS($H82*$G82*$AG82*N($AH82))*IF($L82="Limit",N(INDEX(Settings!$G$14:$G$18,$BF82)),N(INDEX(Settings!$H$14:$H$18,$BF82)))+IF(ISNUMBER($K82),ABS($K82*$G82*$AG82*N($AH82))*IF($M82="Target",N(INDEX(Settings!$G$14:$G$18,$BF82)),N(INDEX(Settings!$H$14:$H$18,$BF82))),0),6)),IF(NOT(ISNUMBER($G82)),"",ROUND(ABS($G82)*2*IF(AND($BE82&gt;0,ISNUMBER(INDEX(Instruments!$G$6:$G$205,MAX(1,$BE82)))),INDEX(Instruments!$G$6:$G$205,MAX(1,$BE82)),N(INDEX(Settings!$F$14:$F$18,$BF82))),6))))</f>
        <v/>
      </c>
      <c r="AK82" s="55" t="str">
        <f>IF($AM82=0,"",IF(ISNUMBER($O82),$O82,$AI82))</f>
        <v/>
      </c>
      <c r="AL82" s="55" t="str">
        <f>IF($AM82=0,"",IF(ISNUMBER($P82),$P82,N($AJ82)))</f>
        <v/>
      </c>
      <c r="AM82" s="56">
        <f>IF(AND($A82&lt;&gt;"",$E82&lt;&gt;"",OR(AND(ISNUMBER($G82),ISNUMBER($H82),ISNUMBER($K82)),ISNUMBER($O82))),1,0)</f>
        <v>0</v>
      </c>
      <c r="AN82" s="57" t="str">
        <f>IF($A82="","",$A82-WEEKDAY($A82,3))</f>
        <v/>
      </c>
      <c r="AO82" s="56" t="str">
        <f>IF($A82="","",WEEKDAY($A82,2))</f>
        <v/>
      </c>
      <c r="AP82" s="55" t="str">
        <f>IF(OR($AM82=0,$C82=""),"",IFERROR(N(INDEX(Accounts!$E$7:$E$16,MATCH($C82,Accounts!$B$7:$B$16,0))),0)+SUMIFS($Q$6:$Q82,$C$6:$C82,$C82))</f>
        <v/>
      </c>
      <c r="AQ82" s="55" t="str">
        <f>IF(OR($AM82=0,$C82=""),"",SUMIFS($Q$6:$Q$1005,$C$6:$C$1005,$C82,$A$6:$A$1005,$A82))</f>
        <v/>
      </c>
      <c r="AR82" s="55" t="str">
        <f>IF(OR($AM82=0,$C82=""),"",IFERROR(N(INDEX(Accounts!$E$7:$E$16,MATCH($C82,Accounts!$B$7:$B$16,0))),0)+SUMIFS($Q$6:$Q$1005,$C$6:$C$1005,$C82,$A$6:$A$1005,"&lt;="&amp;$A82))</f>
        <v/>
      </c>
      <c r="AS82" s="56">
        <f>IF(OR($AM82=0,$Q82=""),0,IF(AND($A82&gt;=Lists!$W$6,$A82&lt;=Lists!$W$7,OR(Dashboard!$D$6="All accounts",$C82=Dashboard!$D$6),OR(Dashboard!$D$7="All markets",$AF82=Dashboard!$D$7)),1,0))</f>
        <v>0</v>
      </c>
      <c r="AT82" s="55">
        <f>IF($AS82=1,N(AT81)+$Q82,N(AT81))</f>
        <v>1187.10688</v>
      </c>
      <c r="AU82" s="55">
        <f>MAX(N(AU81),$AT82)</f>
        <v>1187.10688</v>
      </c>
      <c r="AV82" s="55">
        <f>$AT82-$AU82</f>
        <v>0</v>
      </c>
      <c r="AW82" s="56">
        <f>IF($AS82=1,IF($S82="Win",N(AW81)+1,IF($S82="Loss",0,N(AW81))),N(AW81))</f>
        <v>5</v>
      </c>
      <c r="AX82" s="56">
        <f>IF($AS82=1,IF($S82="Loss",N(AX81)+1,IF($S82="Win",0,N(AX81))),N(AX81))</f>
        <v>0</v>
      </c>
      <c r="AY82" s="56" t="str">
        <f>IF($AS82=1,COUNTIF($AS$6:$AS82,1),"")</f>
        <v/>
      </c>
      <c r="AZ82" s="56">
        <f>MIN(76,N(Lists!$W$8))</f>
        <v>28</v>
      </c>
      <c r="BA82" s="56">
        <f>IF($AS82=1,IF(COUNTIFS($A$6:$A82,$A82,$AS$6:$AS82,1)=1,1,0),0)</f>
        <v>0</v>
      </c>
      <c r="BB82" s="55" t="str">
        <f>IF($BA82=1,SUMIFS($Q$6:$Q$1005,$A$6:$A$1005,$A82,$AS$6:$AS$1005,1),"")</f>
        <v/>
      </c>
      <c r="BC82" s="56">
        <f>IF(ISNUMBER($R82),1,0)</f>
        <v>0</v>
      </c>
      <c r="BD82" s="55" t="str">
        <f>IF(ISNUMBER($U82),$U82*$V82,"")</f>
        <v/>
      </c>
      <c r="BE82" s="56" t="str">
        <f>IF($AM82=0,"",IFERROR(MATCH($AF82&amp;"|"&amp;UPPER(TRIM($E82)),Lists!$A$6:$A$205,0),0))</f>
        <v/>
      </c>
      <c r="BF82" s="56" t="str">
        <f>IF($AM82=0,"",IFERROR(MATCH($AF82,Settings!$B$14:$B$18,0),IFERROR(MATCH(Settings!$C$6,Settings!$B$14:$B$18,0),1)))</f>
        <v/>
      </c>
      <c r="BG82" s="58" t="str">
        <f>IF($AM82=0,"",IF(NOT(ISNUMBER($I82)),"No stop; ","")&amp;IF(AND(ISNUMBER($H82),ISNUMBER($I82)),IF(OR(AND($F82&lt;&gt;"Short",$I82&gt;=$H82),AND($F82="Short",$I82&lt;=$H82)),"Stop on wrong side; ",""),"")&amp;IF($F82="","No direction; ","")&amp;IF(AND(ISNUMBER(Settings!$C$22),ISNUMBER($V82)),IF($V82&gt;Settings!$C$22,"Risk over max $; ",""),"")&amp;IF(AND(ISNUMBER(Settings!$C$23),ISNUMBER($V82),ISNUMBER($AP82),IFERROR(N(INDEX(Accounts!$E$7:$E$16,MATCH($C82,Accounts!$B$7:$B$16,0))),0)&gt;0),IF($V82&gt;Settings!$C$23*($AP82-N($Q82)),"Risk over max %; ",""),"")&amp;IF(AND(ISNUMBER(Settings!$C$24),ISNUMBER($N82)),IF($N82&gt;Settings!$C$24,"Leverage over max; ",""),"")&amp;IF(AND(ISNUMBER(Settings!$C$27),ISNUMBER($T82)),IF($T82&lt;Settings!$C$27,"R:R below min; ",""),"")&amp;IF(ISNUMBER(Settings!$C$25),IF(COUNTIFS($A$6:$A82,$A82,$AM$6:$AM82,1)&gt;Settings!$C$25,"Over max trades/day; ",""),"")&amp;IF(ISNUMBER(Settings!$C$26),IF(SUMIFS($Q$5:$Q81,$A$5:$A81,$A82)&lt;=-Settings!$C$26,"Traded after daily max loss; ",""),"")&amp;IF(AND($AG82="",NOT(ISNUMBER($O82))),"Symbol not in Instruments; ","")&amp;IF(AND($AH82="",NOT(ISNUMBER($O82))),"Forex cross: type Gross P&amp;L; ",""))</f>
        <v/>
      </c>
      <c r="BH82" s="56">
        <f>IF(ISNUMBER($Q82),1,0)</f>
        <v>0</v>
      </c>
      <c r="BI82" s="56">
        <f>IF($Y82="",0,1)</f>
        <v>0</v>
      </c>
      <c r="BJ82" s="56">
        <f>IF($AB82="",0,1)</f>
        <v>0</v>
      </c>
      <c r="BK82" s="56">
        <f>IF(AND($BH82=1,$W82&lt;&gt;"OK"),1,0)</f>
        <v>0</v>
      </c>
      <c r="BL82" s="55">
        <f>IF(N($AZ82)=0,0,IFERROR(INDEX($AT$6:$AT$1005,MATCH($AZ82,$AY$6:$AY$1005,0)),0))</f>
        <v>1187.10688</v>
      </c>
      <c r="BM82" s="56">
        <f>IF(ISNUMBER(SEARCH("daily max loss",$BG82)),1,0)</f>
        <v>0</v>
      </c>
    </row>
    <row r="83" ht="18" customHeight="1">
      <c r="A83" s="38" t="n"/>
      <c r="B83" s="39" t="n"/>
      <c r="C83" s="40" t="n"/>
      <c r="D83" s="41" t="n"/>
      <c r="E83" s="41" t="n"/>
      <c r="F83" s="41" t="n"/>
      <c r="G83" s="41" t="n"/>
      <c r="H83" s="42" t="n"/>
      <c r="I83" s="42" t="n"/>
      <c r="J83" s="42" t="n"/>
      <c r="K83" s="42" t="n"/>
      <c r="L83" s="41" t="n"/>
      <c r="M83" s="41" t="n"/>
      <c r="N83" s="41" t="n"/>
      <c r="O83" s="43" t="n"/>
      <c r="P83" s="43" t="n"/>
      <c r="Q83" s="44" t="str">
        <f>IF($AM83=0,"",IF(ISNUMBER($AK83),$AK83-N($AL83),""))</f>
        <v/>
      </c>
      <c r="R83" s="45" t="str">
        <f>IF(OR($Q83="",NOT(ISNUMBER($V83))),"",$AK83/$V83)</f>
        <v/>
      </c>
      <c r="S83" s="46" t="str">
        <f>IF($Q83="","",IF(AND(ISNUMBER($R83),ABS(N($R83))&lt;N(Settings!$C$8)),"Scratch",IF($Q83&gt;0,"Win",IF($Q83&lt;0,"Loss","Scratch"))))</f>
        <v/>
      </c>
      <c r="T83" s="47" t="str">
        <f>IF(OR($AM83=0,NOT(ISNUMBER($H83)),NOT(ISNUMBER($I83)),NOT(ISNUMBER($J83))),"",IF($H83=$I83,"",ROUND(ABS($J83-$H83)/ABS($H83-$I83),6)))</f>
        <v/>
      </c>
      <c r="U83" s="48" t="str">
        <f>IF(OR($S83&lt;&gt;"Win",NOT(ISNUMBER($T83)),NOT(ISNUMBER($R83))),"",MAX(0,$T83-$R83))</f>
        <v/>
      </c>
      <c r="V83" s="49" t="str">
        <f>IF(OR($AM83=0,NOT(ISNUMBER($H83)),NOT(ISNUMBER($I83)),NOT(ISNUMBER($G83))),"",IF(OR($AG83="",$AH83=""),"",IF(ROUND(ABS($H83-$I83)*ABS($G83)*$AG83*$AH83,6)=0,"",ROUND(ABS($H83-$I83)*ABS($G83)*$AG83*$AH83,6))))</f>
        <v/>
      </c>
      <c r="W83" s="50" t="str">
        <f>IF($AM83=0,"",IF($BG83="","OK",LEFT($BG83,LEN($BG83)-2)))</f>
        <v/>
      </c>
      <c r="X83" s="41" t="n"/>
      <c r="Y83" s="40" t="n"/>
      <c r="Z83" s="41" t="n"/>
      <c r="AA83" s="41" t="n"/>
      <c r="AB83" s="40" t="n"/>
      <c r="AC83" s="51" t="n"/>
      <c r="AD83" s="51" t="n"/>
      <c r="AE83" s="40" t="n"/>
      <c r="AF83" s="52" t="str">
        <f>IF($AM83=0,"",IF($D83&lt;&gt;"",$D83,IF(IFERROR(INDEX(Accounts!$C$7:$C$16,MATCH($C83,Accounts!$B$7:$B$16,0))&amp;"","")&lt;&gt;"",INDEX(Accounts!$C$7:$C$16,MATCH($C83,Accounts!$B$7:$B$16,0)),Settings!$C$6)))</f>
        <v/>
      </c>
      <c r="AG83" s="53" t="str">
        <f>IF($AM83=0,"",IF(AND($BE83&gt;0,N(INDEX(Instruments!$D$6:$D$205,MAX(1,$BE83)))&gt;0),INDEX(Instruments!$D$6:$D$205,MAX(1,$BE83)),IF(N(INDEX(Settings!$D$14:$D$18,$BF83))&gt;0,INDEX(Settings!$D$14:$D$18,$BF83),"")))</f>
        <v/>
      </c>
      <c r="AH83" s="54" t="str">
        <f>IF($AM83=0,"",IF($AF83&lt;&gt;"Forex",1,IF(MID(UPPER(SUBSTITUTE(TRIM($E83),"/","")),4,3)=UPPER(TRIM(Settings!$C$7)),1,IF(LEFT(UPPER(SUBSTITUTE(TRIM($E83),"/","")),3)=UPPER(TRIM(Settings!$C$7)),IF(AND(ISNUMBER($K83),N($K83)&lt;&gt;0),1/$K83,""),""))))</f>
        <v/>
      </c>
      <c r="AI83" s="55" t="str">
        <f>IF($AM83=0,"",IF(OR(NOT(ISNUMBER($H83)),NOT(ISNUMBER($K83)),NOT(ISNUMBER($G83)),$AG83="",$AH83=""),"",ROUND(($K83-$H83)*IF($F83="Short",-1,1)*$G83*$AG83*$AH83,6)))</f>
        <v/>
      </c>
      <c r="AJ83" s="55" t="str">
        <f>IF($AM83=0,"",IF(INDEX(Settings!$E$14:$E$18,$BF83)="% of notional",IF(OR($AG83="",NOT(ISNUMBER($H83)),NOT(ISNUMBER($G83))),"",ROUND(ABS($H83*$G83*$AG83*N($AH83))*IF($L83="Limit",N(INDEX(Settings!$G$14:$G$18,$BF83)),N(INDEX(Settings!$H$14:$H$18,$BF83)))+IF(ISNUMBER($K83),ABS($K83*$G83*$AG83*N($AH83))*IF($M83="Target",N(INDEX(Settings!$G$14:$G$18,$BF83)),N(INDEX(Settings!$H$14:$H$18,$BF83))),0),6)),IF(NOT(ISNUMBER($G83)),"",ROUND(ABS($G83)*2*IF(AND($BE83&gt;0,ISNUMBER(INDEX(Instruments!$G$6:$G$205,MAX(1,$BE83)))),INDEX(Instruments!$G$6:$G$205,MAX(1,$BE83)),N(INDEX(Settings!$F$14:$F$18,$BF83))),6))))</f>
        <v/>
      </c>
      <c r="AK83" s="55" t="str">
        <f>IF($AM83=0,"",IF(ISNUMBER($O83),$O83,$AI83))</f>
        <v/>
      </c>
      <c r="AL83" s="55" t="str">
        <f>IF($AM83=0,"",IF(ISNUMBER($P83),$P83,N($AJ83)))</f>
        <v/>
      </c>
      <c r="AM83" s="56">
        <f>IF(AND($A83&lt;&gt;"",$E83&lt;&gt;"",OR(AND(ISNUMBER($G83),ISNUMBER($H83),ISNUMBER($K83)),ISNUMBER($O83))),1,0)</f>
        <v>0</v>
      </c>
      <c r="AN83" s="57" t="str">
        <f>IF($A83="","",$A83-WEEKDAY($A83,3))</f>
        <v/>
      </c>
      <c r="AO83" s="56" t="str">
        <f>IF($A83="","",WEEKDAY($A83,2))</f>
        <v/>
      </c>
      <c r="AP83" s="55" t="str">
        <f>IF(OR($AM83=0,$C83=""),"",IFERROR(N(INDEX(Accounts!$E$7:$E$16,MATCH($C83,Accounts!$B$7:$B$16,0))),0)+SUMIFS($Q$6:$Q83,$C$6:$C83,$C83))</f>
        <v/>
      </c>
      <c r="AQ83" s="55" t="str">
        <f>IF(OR($AM83=0,$C83=""),"",SUMIFS($Q$6:$Q$1005,$C$6:$C$1005,$C83,$A$6:$A$1005,$A83))</f>
        <v/>
      </c>
      <c r="AR83" s="55" t="str">
        <f>IF(OR($AM83=0,$C83=""),"",IFERROR(N(INDEX(Accounts!$E$7:$E$16,MATCH($C83,Accounts!$B$7:$B$16,0))),0)+SUMIFS($Q$6:$Q$1005,$C$6:$C$1005,$C83,$A$6:$A$1005,"&lt;="&amp;$A83))</f>
        <v/>
      </c>
      <c r="AS83" s="56">
        <f>IF(OR($AM83=0,$Q83=""),0,IF(AND($A83&gt;=Lists!$W$6,$A83&lt;=Lists!$W$7,OR(Dashboard!$D$6="All accounts",$C83=Dashboard!$D$6),OR(Dashboard!$D$7="All markets",$AF83=Dashboard!$D$7)),1,0))</f>
        <v>0</v>
      </c>
      <c r="AT83" s="55">
        <f>IF($AS83=1,N(AT82)+$Q83,N(AT82))</f>
        <v>1187.10688</v>
      </c>
      <c r="AU83" s="55">
        <f>MAX(N(AU82),$AT83)</f>
        <v>1187.10688</v>
      </c>
      <c r="AV83" s="55">
        <f>$AT83-$AU83</f>
        <v>0</v>
      </c>
      <c r="AW83" s="56">
        <f>IF($AS83=1,IF($S83="Win",N(AW82)+1,IF($S83="Loss",0,N(AW82))),N(AW82))</f>
        <v>5</v>
      </c>
      <c r="AX83" s="56">
        <f>IF($AS83=1,IF($S83="Loss",N(AX82)+1,IF($S83="Win",0,N(AX82))),N(AX82))</f>
        <v>0</v>
      </c>
      <c r="AY83" s="56" t="str">
        <f>IF($AS83=1,COUNTIF($AS$6:$AS83,1),"")</f>
        <v/>
      </c>
      <c r="AZ83" s="56">
        <f>MIN(77,N(Lists!$W$8))</f>
        <v>28</v>
      </c>
      <c r="BA83" s="56">
        <f>IF($AS83=1,IF(COUNTIFS($A$6:$A83,$A83,$AS$6:$AS83,1)=1,1,0),0)</f>
        <v>0</v>
      </c>
      <c r="BB83" s="55" t="str">
        <f>IF($BA83=1,SUMIFS($Q$6:$Q$1005,$A$6:$A$1005,$A83,$AS$6:$AS$1005,1),"")</f>
        <v/>
      </c>
      <c r="BC83" s="56">
        <f>IF(ISNUMBER($R83),1,0)</f>
        <v>0</v>
      </c>
      <c r="BD83" s="55" t="str">
        <f>IF(ISNUMBER($U83),$U83*$V83,"")</f>
        <v/>
      </c>
      <c r="BE83" s="56" t="str">
        <f>IF($AM83=0,"",IFERROR(MATCH($AF83&amp;"|"&amp;UPPER(TRIM($E83)),Lists!$A$6:$A$205,0),0))</f>
        <v/>
      </c>
      <c r="BF83" s="56" t="str">
        <f>IF($AM83=0,"",IFERROR(MATCH($AF83,Settings!$B$14:$B$18,0),IFERROR(MATCH(Settings!$C$6,Settings!$B$14:$B$18,0),1)))</f>
        <v/>
      </c>
      <c r="BG83" s="58" t="str">
        <f>IF($AM83=0,"",IF(NOT(ISNUMBER($I83)),"No stop; ","")&amp;IF(AND(ISNUMBER($H83),ISNUMBER($I83)),IF(OR(AND($F83&lt;&gt;"Short",$I83&gt;=$H83),AND($F83="Short",$I83&lt;=$H83)),"Stop on wrong side; ",""),"")&amp;IF($F83="","No direction; ","")&amp;IF(AND(ISNUMBER(Settings!$C$22),ISNUMBER($V83)),IF($V83&gt;Settings!$C$22,"Risk over max $; ",""),"")&amp;IF(AND(ISNUMBER(Settings!$C$23),ISNUMBER($V83),ISNUMBER($AP83),IFERROR(N(INDEX(Accounts!$E$7:$E$16,MATCH($C83,Accounts!$B$7:$B$16,0))),0)&gt;0),IF($V83&gt;Settings!$C$23*($AP83-N($Q83)),"Risk over max %; ",""),"")&amp;IF(AND(ISNUMBER(Settings!$C$24),ISNUMBER($N83)),IF($N83&gt;Settings!$C$24,"Leverage over max; ",""),"")&amp;IF(AND(ISNUMBER(Settings!$C$27),ISNUMBER($T83)),IF($T83&lt;Settings!$C$27,"R:R below min; ",""),"")&amp;IF(ISNUMBER(Settings!$C$25),IF(COUNTIFS($A$6:$A83,$A83,$AM$6:$AM83,1)&gt;Settings!$C$25,"Over max trades/day; ",""),"")&amp;IF(ISNUMBER(Settings!$C$26),IF(SUMIFS($Q$5:$Q82,$A$5:$A82,$A83)&lt;=-Settings!$C$26,"Traded after daily max loss; ",""),"")&amp;IF(AND($AG83="",NOT(ISNUMBER($O83))),"Symbol not in Instruments; ","")&amp;IF(AND($AH83="",NOT(ISNUMBER($O83))),"Forex cross: type Gross P&amp;L; ",""))</f>
        <v/>
      </c>
      <c r="BH83" s="56">
        <f>IF(ISNUMBER($Q83),1,0)</f>
        <v>0</v>
      </c>
      <c r="BI83" s="56">
        <f>IF($Y83="",0,1)</f>
        <v>0</v>
      </c>
      <c r="BJ83" s="56">
        <f>IF($AB83="",0,1)</f>
        <v>0</v>
      </c>
      <c r="BK83" s="56">
        <f>IF(AND($BH83=1,$W83&lt;&gt;"OK"),1,0)</f>
        <v>0</v>
      </c>
      <c r="BL83" s="55">
        <f>IF(N($AZ83)=0,0,IFERROR(INDEX($AT$6:$AT$1005,MATCH($AZ83,$AY$6:$AY$1005,0)),0))</f>
        <v>1187.10688</v>
      </c>
      <c r="BM83" s="56">
        <f>IF(ISNUMBER(SEARCH("daily max loss",$BG83)),1,0)</f>
        <v>0</v>
      </c>
    </row>
    <row r="84" ht="18" customHeight="1">
      <c r="A84" s="38" t="n"/>
      <c r="B84" s="39" t="n"/>
      <c r="C84" s="40" t="n"/>
      <c r="D84" s="41" t="n"/>
      <c r="E84" s="41" t="n"/>
      <c r="F84" s="41" t="n"/>
      <c r="G84" s="41" t="n"/>
      <c r="H84" s="42" t="n"/>
      <c r="I84" s="42" t="n"/>
      <c r="J84" s="42" t="n"/>
      <c r="K84" s="42" t="n"/>
      <c r="L84" s="41" t="n"/>
      <c r="M84" s="41" t="n"/>
      <c r="N84" s="41" t="n"/>
      <c r="O84" s="43" t="n"/>
      <c r="P84" s="43" t="n"/>
      <c r="Q84" s="44" t="str">
        <f>IF($AM84=0,"",IF(ISNUMBER($AK84),$AK84-N($AL84),""))</f>
        <v/>
      </c>
      <c r="R84" s="45" t="str">
        <f>IF(OR($Q84="",NOT(ISNUMBER($V84))),"",$AK84/$V84)</f>
        <v/>
      </c>
      <c r="S84" s="46" t="str">
        <f>IF($Q84="","",IF(AND(ISNUMBER($R84),ABS(N($R84))&lt;N(Settings!$C$8)),"Scratch",IF($Q84&gt;0,"Win",IF($Q84&lt;0,"Loss","Scratch"))))</f>
        <v/>
      </c>
      <c r="T84" s="47" t="str">
        <f>IF(OR($AM84=0,NOT(ISNUMBER($H84)),NOT(ISNUMBER($I84)),NOT(ISNUMBER($J84))),"",IF($H84=$I84,"",ROUND(ABS($J84-$H84)/ABS($H84-$I84),6)))</f>
        <v/>
      </c>
      <c r="U84" s="48" t="str">
        <f>IF(OR($S84&lt;&gt;"Win",NOT(ISNUMBER($T84)),NOT(ISNUMBER($R84))),"",MAX(0,$T84-$R84))</f>
        <v/>
      </c>
      <c r="V84" s="49" t="str">
        <f>IF(OR($AM84=0,NOT(ISNUMBER($H84)),NOT(ISNUMBER($I84)),NOT(ISNUMBER($G84))),"",IF(OR($AG84="",$AH84=""),"",IF(ROUND(ABS($H84-$I84)*ABS($G84)*$AG84*$AH84,6)=0,"",ROUND(ABS($H84-$I84)*ABS($G84)*$AG84*$AH84,6))))</f>
        <v/>
      </c>
      <c r="W84" s="50" t="str">
        <f>IF($AM84=0,"",IF($BG84="","OK",LEFT($BG84,LEN($BG84)-2)))</f>
        <v/>
      </c>
      <c r="X84" s="41" t="n"/>
      <c r="Y84" s="40" t="n"/>
      <c r="Z84" s="41" t="n"/>
      <c r="AA84" s="41" t="n"/>
      <c r="AB84" s="40" t="n"/>
      <c r="AC84" s="51" t="n"/>
      <c r="AD84" s="51" t="n"/>
      <c r="AE84" s="40" t="n"/>
      <c r="AF84" s="52" t="str">
        <f>IF($AM84=0,"",IF($D84&lt;&gt;"",$D84,IF(IFERROR(INDEX(Accounts!$C$7:$C$16,MATCH($C84,Accounts!$B$7:$B$16,0))&amp;"","")&lt;&gt;"",INDEX(Accounts!$C$7:$C$16,MATCH($C84,Accounts!$B$7:$B$16,0)),Settings!$C$6)))</f>
        <v/>
      </c>
      <c r="AG84" s="53" t="str">
        <f>IF($AM84=0,"",IF(AND($BE84&gt;0,N(INDEX(Instruments!$D$6:$D$205,MAX(1,$BE84)))&gt;0),INDEX(Instruments!$D$6:$D$205,MAX(1,$BE84)),IF(N(INDEX(Settings!$D$14:$D$18,$BF84))&gt;0,INDEX(Settings!$D$14:$D$18,$BF84),"")))</f>
        <v/>
      </c>
      <c r="AH84" s="54" t="str">
        <f>IF($AM84=0,"",IF($AF84&lt;&gt;"Forex",1,IF(MID(UPPER(SUBSTITUTE(TRIM($E84),"/","")),4,3)=UPPER(TRIM(Settings!$C$7)),1,IF(LEFT(UPPER(SUBSTITUTE(TRIM($E84),"/","")),3)=UPPER(TRIM(Settings!$C$7)),IF(AND(ISNUMBER($K84),N($K84)&lt;&gt;0),1/$K84,""),""))))</f>
        <v/>
      </c>
      <c r="AI84" s="55" t="str">
        <f>IF($AM84=0,"",IF(OR(NOT(ISNUMBER($H84)),NOT(ISNUMBER($K84)),NOT(ISNUMBER($G84)),$AG84="",$AH84=""),"",ROUND(($K84-$H84)*IF($F84="Short",-1,1)*$G84*$AG84*$AH84,6)))</f>
        <v/>
      </c>
      <c r="AJ84" s="55" t="str">
        <f>IF($AM84=0,"",IF(INDEX(Settings!$E$14:$E$18,$BF84)="% of notional",IF(OR($AG84="",NOT(ISNUMBER($H84)),NOT(ISNUMBER($G84))),"",ROUND(ABS($H84*$G84*$AG84*N($AH84))*IF($L84="Limit",N(INDEX(Settings!$G$14:$G$18,$BF84)),N(INDEX(Settings!$H$14:$H$18,$BF84)))+IF(ISNUMBER($K84),ABS($K84*$G84*$AG84*N($AH84))*IF($M84="Target",N(INDEX(Settings!$G$14:$G$18,$BF84)),N(INDEX(Settings!$H$14:$H$18,$BF84))),0),6)),IF(NOT(ISNUMBER($G84)),"",ROUND(ABS($G84)*2*IF(AND($BE84&gt;0,ISNUMBER(INDEX(Instruments!$G$6:$G$205,MAX(1,$BE84)))),INDEX(Instruments!$G$6:$G$205,MAX(1,$BE84)),N(INDEX(Settings!$F$14:$F$18,$BF84))),6))))</f>
        <v/>
      </c>
      <c r="AK84" s="55" t="str">
        <f>IF($AM84=0,"",IF(ISNUMBER($O84),$O84,$AI84))</f>
        <v/>
      </c>
      <c r="AL84" s="55" t="str">
        <f>IF($AM84=0,"",IF(ISNUMBER($P84),$P84,N($AJ84)))</f>
        <v/>
      </c>
      <c r="AM84" s="56">
        <f>IF(AND($A84&lt;&gt;"",$E84&lt;&gt;"",OR(AND(ISNUMBER($G84),ISNUMBER($H84),ISNUMBER($K84)),ISNUMBER($O84))),1,0)</f>
        <v>0</v>
      </c>
      <c r="AN84" s="57" t="str">
        <f>IF($A84="","",$A84-WEEKDAY($A84,3))</f>
        <v/>
      </c>
      <c r="AO84" s="56" t="str">
        <f>IF($A84="","",WEEKDAY($A84,2))</f>
        <v/>
      </c>
      <c r="AP84" s="55" t="str">
        <f>IF(OR($AM84=0,$C84=""),"",IFERROR(N(INDEX(Accounts!$E$7:$E$16,MATCH($C84,Accounts!$B$7:$B$16,0))),0)+SUMIFS($Q$6:$Q84,$C$6:$C84,$C84))</f>
        <v/>
      </c>
      <c r="AQ84" s="55" t="str">
        <f>IF(OR($AM84=0,$C84=""),"",SUMIFS($Q$6:$Q$1005,$C$6:$C$1005,$C84,$A$6:$A$1005,$A84))</f>
        <v/>
      </c>
      <c r="AR84" s="55" t="str">
        <f>IF(OR($AM84=0,$C84=""),"",IFERROR(N(INDEX(Accounts!$E$7:$E$16,MATCH($C84,Accounts!$B$7:$B$16,0))),0)+SUMIFS($Q$6:$Q$1005,$C$6:$C$1005,$C84,$A$6:$A$1005,"&lt;="&amp;$A84))</f>
        <v/>
      </c>
      <c r="AS84" s="56">
        <f>IF(OR($AM84=0,$Q84=""),0,IF(AND($A84&gt;=Lists!$W$6,$A84&lt;=Lists!$W$7,OR(Dashboard!$D$6="All accounts",$C84=Dashboard!$D$6),OR(Dashboard!$D$7="All markets",$AF84=Dashboard!$D$7)),1,0))</f>
        <v>0</v>
      </c>
      <c r="AT84" s="55">
        <f>IF($AS84=1,N(AT83)+$Q84,N(AT83))</f>
        <v>1187.10688</v>
      </c>
      <c r="AU84" s="55">
        <f>MAX(N(AU83),$AT84)</f>
        <v>1187.10688</v>
      </c>
      <c r="AV84" s="55">
        <f>$AT84-$AU84</f>
        <v>0</v>
      </c>
      <c r="AW84" s="56">
        <f>IF($AS84=1,IF($S84="Win",N(AW83)+1,IF($S84="Loss",0,N(AW83))),N(AW83))</f>
        <v>5</v>
      </c>
      <c r="AX84" s="56">
        <f>IF($AS84=1,IF($S84="Loss",N(AX83)+1,IF($S84="Win",0,N(AX83))),N(AX83))</f>
        <v>0</v>
      </c>
      <c r="AY84" s="56" t="str">
        <f>IF($AS84=1,COUNTIF($AS$6:$AS84,1),"")</f>
        <v/>
      </c>
      <c r="AZ84" s="56">
        <f>MIN(78,N(Lists!$W$8))</f>
        <v>28</v>
      </c>
      <c r="BA84" s="56">
        <f>IF($AS84=1,IF(COUNTIFS($A$6:$A84,$A84,$AS$6:$AS84,1)=1,1,0),0)</f>
        <v>0</v>
      </c>
      <c r="BB84" s="55" t="str">
        <f>IF($BA84=1,SUMIFS($Q$6:$Q$1005,$A$6:$A$1005,$A84,$AS$6:$AS$1005,1),"")</f>
        <v/>
      </c>
      <c r="BC84" s="56">
        <f>IF(ISNUMBER($R84),1,0)</f>
        <v>0</v>
      </c>
      <c r="BD84" s="55" t="str">
        <f>IF(ISNUMBER($U84),$U84*$V84,"")</f>
        <v/>
      </c>
      <c r="BE84" s="56" t="str">
        <f>IF($AM84=0,"",IFERROR(MATCH($AF84&amp;"|"&amp;UPPER(TRIM($E84)),Lists!$A$6:$A$205,0),0))</f>
        <v/>
      </c>
      <c r="BF84" s="56" t="str">
        <f>IF($AM84=0,"",IFERROR(MATCH($AF84,Settings!$B$14:$B$18,0),IFERROR(MATCH(Settings!$C$6,Settings!$B$14:$B$18,0),1)))</f>
        <v/>
      </c>
      <c r="BG84" s="58" t="str">
        <f>IF($AM84=0,"",IF(NOT(ISNUMBER($I84)),"No stop; ","")&amp;IF(AND(ISNUMBER($H84),ISNUMBER($I84)),IF(OR(AND($F84&lt;&gt;"Short",$I84&gt;=$H84),AND($F84="Short",$I84&lt;=$H84)),"Stop on wrong side; ",""),"")&amp;IF($F84="","No direction; ","")&amp;IF(AND(ISNUMBER(Settings!$C$22),ISNUMBER($V84)),IF($V84&gt;Settings!$C$22,"Risk over max $; ",""),"")&amp;IF(AND(ISNUMBER(Settings!$C$23),ISNUMBER($V84),ISNUMBER($AP84),IFERROR(N(INDEX(Accounts!$E$7:$E$16,MATCH($C84,Accounts!$B$7:$B$16,0))),0)&gt;0),IF($V84&gt;Settings!$C$23*($AP84-N($Q84)),"Risk over max %; ",""),"")&amp;IF(AND(ISNUMBER(Settings!$C$24),ISNUMBER($N84)),IF($N84&gt;Settings!$C$24,"Leverage over max; ",""),"")&amp;IF(AND(ISNUMBER(Settings!$C$27),ISNUMBER($T84)),IF($T84&lt;Settings!$C$27,"R:R below min; ",""),"")&amp;IF(ISNUMBER(Settings!$C$25),IF(COUNTIFS($A$6:$A84,$A84,$AM$6:$AM84,1)&gt;Settings!$C$25,"Over max trades/day; ",""),"")&amp;IF(ISNUMBER(Settings!$C$26),IF(SUMIFS($Q$5:$Q83,$A$5:$A83,$A84)&lt;=-Settings!$C$26,"Traded after daily max loss; ",""),"")&amp;IF(AND($AG84="",NOT(ISNUMBER($O84))),"Symbol not in Instruments; ","")&amp;IF(AND($AH84="",NOT(ISNUMBER($O84))),"Forex cross: type Gross P&amp;L; ",""))</f>
        <v/>
      </c>
      <c r="BH84" s="56">
        <f>IF(ISNUMBER($Q84),1,0)</f>
        <v>0</v>
      </c>
      <c r="BI84" s="56">
        <f>IF($Y84="",0,1)</f>
        <v>0</v>
      </c>
      <c r="BJ84" s="56">
        <f>IF($AB84="",0,1)</f>
        <v>0</v>
      </c>
      <c r="BK84" s="56">
        <f>IF(AND($BH84=1,$W84&lt;&gt;"OK"),1,0)</f>
        <v>0</v>
      </c>
      <c r="BL84" s="55">
        <f>IF(N($AZ84)=0,0,IFERROR(INDEX($AT$6:$AT$1005,MATCH($AZ84,$AY$6:$AY$1005,0)),0))</f>
        <v>1187.10688</v>
      </c>
      <c r="BM84" s="56">
        <f>IF(ISNUMBER(SEARCH("daily max loss",$BG84)),1,0)</f>
        <v>0</v>
      </c>
    </row>
    <row r="85" ht="18" customHeight="1">
      <c r="A85" s="38" t="n"/>
      <c r="B85" s="39" t="n"/>
      <c r="C85" s="40" t="n"/>
      <c r="D85" s="41" t="n"/>
      <c r="E85" s="41" t="n"/>
      <c r="F85" s="41" t="n"/>
      <c r="G85" s="41" t="n"/>
      <c r="H85" s="42" t="n"/>
      <c r="I85" s="42" t="n"/>
      <c r="J85" s="42" t="n"/>
      <c r="K85" s="42" t="n"/>
      <c r="L85" s="41" t="n"/>
      <c r="M85" s="41" t="n"/>
      <c r="N85" s="41" t="n"/>
      <c r="O85" s="43" t="n"/>
      <c r="P85" s="43" t="n"/>
      <c r="Q85" s="44" t="str">
        <f>IF($AM85=0,"",IF(ISNUMBER($AK85),$AK85-N($AL85),""))</f>
        <v/>
      </c>
      <c r="R85" s="45" t="str">
        <f>IF(OR($Q85="",NOT(ISNUMBER($V85))),"",$AK85/$V85)</f>
        <v/>
      </c>
      <c r="S85" s="46" t="str">
        <f>IF($Q85="","",IF(AND(ISNUMBER($R85),ABS(N($R85))&lt;N(Settings!$C$8)),"Scratch",IF($Q85&gt;0,"Win",IF($Q85&lt;0,"Loss","Scratch"))))</f>
        <v/>
      </c>
      <c r="T85" s="47" t="str">
        <f>IF(OR($AM85=0,NOT(ISNUMBER($H85)),NOT(ISNUMBER($I85)),NOT(ISNUMBER($J85))),"",IF($H85=$I85,"",ROUND(ABS($J85-$H85)/ABS($H85-$I85),6)))</f>
        <v/>
      </c>
      <c r="U85" s="48" t="str">
        <f>IF(OR($S85&lt;&gt;"Win",NOT(ISNUMBER($T85)),NOT(ISNUMBER($R85))),"",MAX(0,$T85-$R85))</f>
        <v/>
      </c>
      <c r="V85" s="49" t="str">
        <f>IF(OR($AM85=0,NOT(ISNUMBER($H85)),NOT(ISNUMBER($I85)),NOT(ISNUMBER($G85))),"",IF(OR($AG85="",$AH85=""),"",IF(ROUND(ABS($H85-$I85)*ABS($G85)*$AG85*$AH85,6)=0,"",ROUND(ABS($H85-$I85)*ABS($G85)*$AG85*$AH85,6))))</f>
        <v/>
      </c>
      <c r="W85" s="50" t="str">
        <f>IF($AM85=0,"",IF($BG85="","OK",LEFT($BG85,LEN($BG85)-2)))</f>
        <v/>
      </c>
      <c r="X85" s="41" t="n"/>
      <c r="Y85" s="40" t="n"/>
      <c r="Z85" s="41" t="n"/>
      <c r="AA85" s="41" t="n"/>
      <c r="AB85" s="40" t="n"/>
      <c r="AC85" s="51" t="n"/>
      <c r="AD85" s="51" t="n"/>
      <c r="AE85" s="40" t="n"/>
      <c r="AF85" s="52" t="str">
        <f>IF($AM85=0,"",IF($D85&lt;&gt;"",$D85,IF(IFERROR(INDEX(Accounts!$C$7:$C$16,MATCH($C85,Accounts!$B$7:$B$16,0))&amp;"","")&lt;&gt;"",INDEX(Accounts!$C$7:$C$16,MATCH($C85,Accounts!$B$7:$B$16,0)),Settings!$C$6)))</f>
        <v/>
      </c>
      <c r="AG85" s="53" t="str">
        <f>IF($AM85=0,"",IF(AND($BE85&gt;0,N(INDEX(Instruments!$D$6:$D$205,MAX(1,$BE85)))&gt;0),INDEX(Instruments!$D$6:$D$205,MAX(1,$BE85)),IF(N(INDEX(Settings!$D$14:$D$18,$BF85))&gt;0,INDEX(Settings!$D$14:$D$18,$BF85),"")))</f>
        <v/>
      </c>
      <c r="AH85" s="54" t="str">
        <f>IF($AM85=0,"",IF($AF85&lt;&gt;"Forex",1,IF(MID(UPPER(SUBSTITUTE(TRIM($E85),"/","")),4,3)=UPPER(TRIM(Settings!$C$7)),1,IF(LEFT(UPPER(SUBSTITUTE(TRIM($E85),"/","")),3)=UPPER(TRIM(Settings!$C$7)),IF(AND(ISNUMBER($K85),N($K85)&lt;&gt;0),1/$K85,""),""))))</f>
        <v/>
      </c>
      <c r="AI85" s="55" t="str">
        <f>IF($AM85=0,"",IF(OR(NOT(ISNUMBER($H85)),NOT(ISNUMBER($K85)),NOT(ISNUMBER($G85)),$AG85="",$AH85=""),"",ROUND(($K85-$H85)*IF($F85="Short",-1,1)*$G85*$AG85*$AH85,6)))</f>
        <v/>
      </c>
      <c r="AJ85" s="55" t="str">
        <f>IF($AM85=0,"",IF(INDEX(Settings!$E$14:$E$18,$BF85)="% of notional",IF(OR($AG85="",NOT(ISNUMBER($H85)),NOT(ISNUMBER($G85))),"",ROUND(ABS($H85*$G85*$AG85*N($AH85))*IF($L85="Limit",N(INDEX(Settings!$G$14:$G$18,$BF85)),N(INDEX(Settings!$H$14:$H$18,$BF85)))+IF(ISNUMBER($K85),ABS($K85*$G85*$AG85*N($AH85))*IF($M85="Target",N(INDEX(Settings!$G$14:$G$18,$BF85)),N(INDEX(Settings!$H$14:$H$18,$BF85))),0),6)),IF(NOT(ISNUMBER($G85)),"",ROUND(ABS($G85)*2*IF(AND($BE85&gt;0,ISNUMBER(INDEX(Instruments!$G$6:$G$205,MAX(1,$BE85)))),INDEX(Instruments!$G$6:$G$205,MAX(1,$BE85)),N(INDEX(Settings!$F$14:$F$18,$BF85))),6))))</f>
        <v/>
      </c>
      <c r="AK85" s="55" t="str">
        <f>IF($AM85=0,"",IF(ISNUMBER($O85),$O85,$AI85))</f>
        <v/>
      </c>
      <c r="AL85" s="55" t="str">
        <f>IF($AM85=0,"",IF(ISNUMBER($P85),$P85,N($AJ85)))</f>
        <v/>
      </c>
      <c r="AM85" s="56">
        <f>IF(AND($A85&lt;&gt;"",$E85&lt;&gt;"",OR(AND(ISNUMBER($G85),ISNUMBER($H85),ISNUMBER($K85)),ISNUMBER($O85))),1,0)</f>
        <v>0</v>
      </c>
      <c r="AN85" s="57" t="str">
        <f>IF($A85="","",$A85-WEEKDAY($A85,3))</f>
        <v/>
      </c>
      <c r="AO85" s="56" t="str">
        <f>IF($A85="","",WEEKDAY($A85,2))</f>
        <v/>
      </c>
      <c r="AP85" s="55" t="str">
        <f>IF(OR($AM85=0,$C85=""),"",IFERROR(N(INDEX(Accounts!$E$7:$E$16,MATCH($C85,Accounts!$B$7:$B$16,0))),0)+SUMIFS($Q$6:$Q85,$C$6:$C85,$C85))</f>
        <v/>
      </c>
      <c r="AQ85" s="55" t="str">
        <f>IF(OR($AM85=0,$C85=""),"",SUMIFS($Q$6:$Q$1005,$C$6:$C$1005,$C85,$A$6:$A$1005,$A85))</f>
        <v/>
      </c>
      <c r="AR85" s="55" t="str">
        <f>IF(OR($AM85=0,$C85=""),"",IFERROR(N(INDEX(Accounts!$E$7:$E$16,MATCH($C85,Accounts!$B$7:$B$16,0))),0)+SUMIFS($Q$6:$Q$1005,$C$6:$C$1005,$C85,$A$6:$A$1005,"&lt;="&amp;$A85))</f>
        <v/>
      </c>
      <c r="AS85" s="56">
        <f>IF(OR($AM85=0,$Q85=""),0,IF(AND($A85&gt;=Lists!$W$6,$A85&lt;=Lists!$W$7,OR(Dashboard!$D$6="All accounts",$C85=Dashboard!$D$6),OR(Dashboard!$D$7="All markets",$AF85=Dashboard!$D$7)),1,0))</f>
        <v>0</v>
      </c>
      <c r="AT85" s="55">
        <f>IF($AS85=1,N(AT84)+$Q85,N(AT84))</f>
        <v>1187.10688</v>
      </c>
      <c r="AU85" s="55">
        <f>MAX(N(AU84),$AT85)</f>
        <v>1187.10688</v>
      </c>
      <c r="AV85" s="55">
        <f>$AT85-$AU85</f>
        <v>0</v>
      </c>
      <c r="AW85" s="56">
        <f>IF($AS85=1,IF($S85="Win",N(AW84)+1,IF($S85="Loss",0,N(AW84))),N(AW84))</f>
        <v>5</v>
      </c>
      <c r="AX85" s="56">
        <f>IF($AS85=1,IF($S85="Loss",N(AX84)+1,IF($S85="Win",0,N(AX84))),N(AX84))</f>
        <v>0</v>
      </c>
      <c r="AY85" s="56" t="str">
        <f>IF($AS85=1,COUNTIF($AS$6:$AS85,1),"")</f>
        <v/>
      </c>
      <c r="AZ85" s="56">
        <f>MIN(79,N(Lists!$W$8))</f>
        <v>28</v>
      </c>
      <c r="BA85" s="56">
        <f>IF($AS85=1,IF(COUNTIFS($A$6:$A85,$A85,$AS$6:$AS85,1)=1,1,0),0)</f>
        <v>0</v>
      </c>
      <c r="BB85" s="55" t="str">
        <f>IF($BA85=1,SUMIFS($Q$6:$Q$1005,$A$6:$A$1005,$A85,$AS$6:$AS$1005,1),"")</f>
        <v/>
      </c>
      <c r="BC85" s="56">
        <f>IF(ISNUMBER($R85),1,0)</f>
        <v>0</v>
      </c>
      <c r="BD85" s="55" t="str">
        <f>IF(ISNUMBER($U85),$U85*$V85,"")</f>
        <v/>
      </c>
      <c r="BE85" s="56" t="str">
        <f>IF($AM85=0,"",IFERROR(MATCH($AF85&amp;"|"&amp;UPPER(TRIM($E85)),Lists!$A$6:$A$205,0),0))</f>
        <v/>
      </c>
      <c r="BF85" s="56" t="str">
        <f>IF($AM85=0,"",IFERROR(MATCH($AF85,Settings!$B$14:$B$18,0),IFERROR(MATCH(Settings!$C$6,Settings!$B$14:$B$18,0),1)))</f>
        <v/>
      </c>
      <c r="BG85" s="58" t="str">
        <f>IF($AM85=0,"",IF(NOT(ISNUMBER($I85)),"No stop; ","")&amp;IF(AND(ISNUMBER($H85),ISNUMBER($I85)),IF(OR(AND($F85&lt;&gt;"Short",$I85&gt;=$H85),AND($F85="Short",$I85&lt;=$H85)),"Stop on wrong side; ",""),"")&amp;IF($F85="","No direction; ","")&amp;IF(AND(ISNUMBER(Settings!$C$22),ISNUMBER($V85)),IF($V85&gt;Settings!$C$22,"Risk over max $; ",""),"")&amp;IF(AND(ISNUMBER(Settings!$C$23),ISNUMBER($V85),ISNUMBER($AP85),IFERROR(N(INDEX(Accounts!$E$7:$E$16,MATCH($C85,Accounts!$B$7:$B$16,0))),0)&gt;0),IF($V85&gt;Settings!$C$23*($AP85-N($Q85)),"Risk over max %; ",""),"")&amp;IF(AND(ISNUMBER(Settings!$C$24),ISNUMBER($N85)),IF($N85&gt;Settings!$C$24,"Leverage over max; ",""),"")&amp;IF(AND(ISNUMBER(Settings!$C$27),ISNUMBER($T85)),IF($T85&lt;Settings!$C$27,"R:R below min; ",""),"")&amp;IF(ISNUMBER(Settings!$C$25),IF(COUNTIFS($A$6:$A85,$A85,$AM$6:$AM85,1)&gt;Settings!$C$25,"Over max trades/day; ",""),"")&amp;IF(ISNUMBER(Settings!$C$26),IF(SUMIFS($Q$5:$Q84,$A$5:$A84,$A85)&lt;=-Settings!$C$26,"Traded after daily max loss; ",""),"")&amp;IF(AND($AG85="",NOT(ISNUMBER($O85))),"Symbol not in Instruments; ","")&amp;IF(AND($AH85="",NOT(ISNUMBER($O85))),"Forex cross: type Gross P&amp;L; ",""))</f>
        <v/>
      </c>
      <c r="BH85" s="56">
        <f>IF(ISNUMBER($Q85),1,0)</f>
        <v>0</v>
      </c>
      <c r="BI85" s="56">
        <f>IF($Y85="",0,1)</f>
        <v>0</v>
      </c>
      <c r="BJ85" s="56">
        <f>IF($AB85="",0,1)</f>
        <v>0</v>
      </c>
      <c r="BK85" s="56">
        <f>IF(AND($BH85=1,$W85&lt;&gt;"OK"),1,0)</f>
        <v>0</v>
      </c>
      <c r="BL85" s="55">
        <f>IF(N($AZ85)=0,0,IFERROR(INDEX($AT$6:$AT$1005,MATCH($AZ85,$AY$6:$AY$1005,0)),0))</f>
        <v>1187.10688</v>
      </c>
      <c r="BM85" s="56">
        <f>IF(ISNUMBER(SEARCH("daily max loss",$BG85)),1,0)</f>
        <v>0</v>
      </c>
    </row>
    <row r="86" ht="18" customHeight="1">
      <c r="A86" s="38" t="n"/>
      <c r="B86" s="39" t="n"/>
      <c r="C86" s="40" t="n"/>
      <c r="D86" s="41" t="n"/>
      <c r="E86" s="41" t="n"/>
      <c r="F86" s="41" t="n"/>
      <c r="G86" s="41" t="n"/>
      <c r="H86" s="42" t="n"/>
      <c r="I86" s="42" t="n"/>
      <c r="J86" s="42" t="n"/>
      <c r="K86" s="42" t="n"/>
      <c r="L86" s="41" t="n"/>
      <c r="M86" s="41" t="n"/>
      <c r="N86" s="41" t="n"/>
      <c r="O86" s="43" t="n"/>
      <c r="P86" s="43" t="n"/>
      <c r="Q86" s="44" t="str">
        <f>IF($AM86=0,"",IF(ISNUMBER($AK86),$AK86-N($AL86),""))</f>
        <v/>
      </c>
      <c r="R86" s="45" t="str">
        <f>IF(OR($Q86="",NOT(ISNUMBER($V86))),"",$AK86/$V86)</f>
        <v/>
      </c>
      <c r="S86" s="46" t="str">
        <f>IF($Q86="","",IF(AND(ISNUMBER($R86),ABS(N($R86))&lt;N(Settings!$C$8)),"Scratch",IF($Q86&gt;0,"Win",IF($Q86&lt;0,"Loss","Scratch"))))</f>
        <v/>
      </c>
      <c r="T86" s="47" t="str">
        <f>IF(OR($AM86=0,NOT(ISNUMBER($H86)),NOT(ISNUMBER($I86)),NOT(ISNUMBER($J86))),"",IF($H86=$I86,"",ROUND(ABS($J86-$H86)/ABS($H86-$I86),6)))</f>
        <v/>
      </c>
      <c r="U86" s="48" t="str">
        <f>IF(OR($S86&lt;&gt;"Win",NOT(ISNUMBER($T86)),NOT(ISNUMBER($R86))),"",MAX(0,$T86-$R86))</f>
        <v/>
      </c>
      <c r="V86" s="49" t="str">
        <f>IF(OR($AM86=0,NOT(ISNUMBER($H86)),NOT(ISNUMBER($I86)),NOT(ISNUMBER($G86))),"",IF(OR($AG86="",$AH86=""),"",IF(ROUND(ABS($H86-$I86)*ABS($G86)*$AG86*$AH86,6)=0,"",ROUND(ABS($H86-$I86)*ABS($G86)*$AG86*$AH86,6))))</f>
        <v/>
      </c>
      <c r="W86" s="50" t="str">
        <f>IF($AM86=0,"",IF($BG86="","OK",LEFT($BG86,LEN($BG86)-2)))</f>
        <v/>
      </c>
      <c r="X86" s="41" t="n"/>
      <c r="Y86" s="40" t="n"/>
      <c r="Z86" s="41" t="n"/>
      <c r="AA86" s="41" t="n"/>
      <c r="AB86" s="40" t="n"/>
      <c r="AC86" s="51" t="n"/>
      <c r="AD86" s="51" t="n"/>
      <c r="AE86" s="40" t="n"/>
      <c r="AF86" s="52" t="str">
        <f>IF($AM86=0,"",IF($D86&lt;&gt;"",$D86,IF(IFERROR(INDEX(Accounts!$C$7:$C$16,MATCH($C86,Accounts!$B$7:$B$16,0))&amp;"","")&lt;&gt;"",INDEX(Accounts!$C$7:$C$16,MATCH($C86,Accounts!$B$7:$B$16,0)),Settings!$C$6)))</f>
        <v/>
      </c>
      <c r="AG86" s="53" t="str">
        <f>IF($AM86=0,"",IF(AND($BE86&gt;0,N(INDEX(Instruments!$D$6:$D$205,MAX(1,$BE86)))&gt;0),INDEX(Instruments!$D$6:$D$205,MAX(1,$BE86)),IF(N(INDEX(Settings!$D$14:$D$18,$BF86))&gt;0,INDEX(Settings!$D$14:$D$18,$BF86),"")))</f>
        <v/>
      </c>
      <c r="AH86" s="54" t="str">
        <f>IF($AM86=0,"",IF($AF86&lt;&gt;"Forex",1,IF(MID(UPPER(SUBSTITUTE(TRIM($E86),"/","")),4,3)=UPPER(TRIM(Settings!$C$7)),1,IF(LEFT(UPPER(SUBSTITUTE(TRIM($E86),"/","")),3)=UPPER(TRIM(Settings!$C$7)),IF(AND(ISNUMBER($K86),N($K86)&lt;&gt;0),1/$K86,""),""))))</f>
        <v/>
      </c>
      <c r="AI86" s="55" t="str">
        <f>IF($AM86=0,"",IF(OR(NOT(ISNUMBER($H86)),NOT(ISNUMBER($K86)),NOT(ISNUMBER($G86)),$AG86="",$AH86=""),"",ROUND(($K86-$H86)*IF($F86="Short",-1,1)*$G86*$AG86*$AH86,6)))</f>
        <v/>
      </c>
      <c r="AJ86" s="55" t="str">
        <f>IF($AM86=0,"",IF(INDEX(Settings!$E$14:$E$18,$BF86)="% of notional",IF(OR($AG86="",NOT(ISNUMBER($H86)),NOT(ISNUMBER($G86))),"",ROUND(ABS($H86*$G86*$AG86*N($AH86))*IF($L86="Limit",N(INDEX(Settings!$G$14:$G$18,$BF86)),N(INDEX(Settings!$H$14:$H$18,$BF86)))+IF(ISNUMBER($K86),ABS($K86*$G86*$AG86*N($AH86))*IF($M86="Target",N(INDEX(Settings!$G$14:$G$18,$BF86)),N(INDEX(Settings!$H$14:$H$18,$BF86))),0),6)),IF(NOT(ISNUMBER($G86)),"",ROUND(ABS($G86)*2*IF(AND($BE86&gt;0,ISNUMBER(INDEX(Instruments!$G$6:$G$205,MAX(1,$BE86)))),INDEX(Instruments!$G$6:$G$205,MAX(1,$BE86)),N(INDEX(Settings!$F$14:$F$18,$BF86))),6))))</f>
        <v/>
      </c>
      <c r="AK86" s="55" t="str">
        <f>IF($AM86=0,"",IF(ISNUMBER($O86),$O86,$AI86))</f>
        <v/>
      </c>
      <c r="AL86" s="55" t="str">
        <f>IF($AM86=0,"",IF(ISNUMBER($P86),$P86,N($AJ86)))</f>
        <v/>
      </c>
      <c r="AM86" s="56">
        <f>IF(AND($A86&lt;&gt;"",$E86&lt;&gt;"",OR(AND(ISNUMBER($G86),ISNUMBER($H86),ISNUMBER($K86)),ISNUMBER($O86))),1,0)</f>
        <v>0</v>
      </c>
      <c r="AN86" s="57" t="str">
        <f>IF($A86="","",$A86-WEEKDAY($A86,3))</f>
        <v/>
      </c>
      <c r="AO86" s="56" t="str">
        <f>IF($A86="","",WEEKDAY($A86,2))</f>
        <v/>
      </c>
      <c r="AP86" s="55" t="str">
        <f>IF(OR($AM86=0,$C86=""),"",IFERROR(N(INDEX(Accounts!$E$7:$E$16,MATCH($C86,Accounts!$B$7:$B$16,0))),0)+SUMIFS($Q$6:$Q86,$C$6:$C86,$C86))</f>
        <v/>
      </c>
      <c r="AQ86" s="55" t="str">
        <f>IF(OR($AM86=0,$C86=""),"",SUMIFS($Q$6:$Q$1005,$C$6:$C$1005,$C86,$A$6:$A$1005,$A86))</f>
        <v/>
      </c>
      <c r="AR86" s="55" t="str">
        <f>IF(OR($AM86=0,$C86=""),"",IFERROR(N(INDEX(Accounts!$E$7:$E$16,MATCH($C86,Accounts!$B$7:$B$16,0))),0)+SUMIFS($Q$6:$Q$1005,$C$6:$C$1005,$C86,$A$6:$A$1005,"&lt;="&amp;$A86))</f>
        <v/>
      </c>
      <c r="AS86" s="56">
        <f>IF(OR($AM86=0,$Q86=""),0,IF(AND($A86&gt;=Lists!$W$6,$A86&lt;=Lists!$W$7,OR(Dashboard!$D$6="All accounts",$C86=Dashboard!$D$6),OR(Dashboard!$D$7="All markets",$AF86=Dashboard!$D$7)),1,0))</f>
        <v>0</v>
      </c>
      <c r="AT86" s="55">
        <f>IF($AS86=1,N(AT85)+$Q86,N(AT85))</f>
        <v>1187.10688</v>
      </c>
      <c r="AU86" s="55">
        <f>MAX(N(AU85),$AT86)</f>
        <v>1187.10688</v>
      </c>
      <c r="AV86" s="55">
        <f>$AT86-$AU86</f>
        <v>0</v>
      </c>
      <c r="AW86" s="56">
        <f>IF($AS86=1,IF($S86="Win",N(AW85)+1,IF($S86="Loss",0,N(AW85))),N(AW85))</f>
        <v>5</v>
      </c>
      <c r="AX86" s="56">
        <f>IF($AS86=1,IF($S86="Loss",N(AX85)+1,IF($S86="Win",0,N(AX85))),N(AX85))</f>
        <v>0</v>
      </c>
      <c r="AY86" s="56" t="str">
        <f>IF($AS86=1,COUNTIF($AS$6:$AS86,1),"")</f>
        <v/>
      </c>
      <c r="AZ86" s="56">
        <f>MIN(80,N(Lists!$W$8))</f>
        <v>28</v>
      </c>
      <c r="BA86" s="56">
        <f>IF($AS86=1,IF(COUNTIFS($A$6:$A86,$A86,$AS$6:$AS86,1)=1,1,0),0)</f>
        <v>0</v>
      </c>
      <c r="BB86" s="55" t="str">
        <f>IF($BA86=1,SUMIFS($Q$6:$Q$1005,$A$6:$A$1005,$A86,$AS$6:$AS$1005,1),"")</f>
        <v/>
      </c>
      <c r="BC86" s="56">
        <f>IF(ISNUMBER($R86),1,0)</f>
        <v>0</v>
      </c>
      <c r="BD86" s="55" t="str">
        <f>IF(ISNUMBER($U86),$U86*$V86,"")</f>
        <v/>
      </c>
      <c r="BE86" s="56" t="str">
        <f>IF($AM86=0,"",IFERROR(MATCH($AF86&amp;"|"&amp;UPPER(TRIM($E86)),Lists!$A$6:$A$205,0),0))</f>
        <v/>
      </c>
      <c r="BF86" s="56" t="str">
        <f>IF($AM86=0,"",IFERROR(MATCH($AF86,Settings!$B$14:$B$18,0),IFERROR(MATCH(Settings!$C$6,Settings!$B$14:$B$18,0),1)))</f>
        <v/>
      </c>
      <c r="BG86" s="58" t="str">
        <f>IF($AM86=0,"",IF(NOT(ISNUMBER($I86)),"No stop; ","")&amp;IF(AND(ISNUMBER($H86),ISNUMBER($I86)),IF(OR(AND($F86&lt;&gt;"Short",$I86&gt;=$H86),AND($F86="Short",$I86&lt;=$H86)),"Stop on wrong side; ",""),"")&amp;IF($F86="","No direction; ","")&amp;IF(AND(ISNUMBER(Settings!$C$22),ISNUMBER($V86)),IF($V86&gt;Settings!$C$22,"Risk over max $; ",""),"")&amp;IF(AND(ISNUMBER(Settings!$C$23),ISNUMBER($V86),ISNUMBER($AP86),IFERROR(N(INDEX(Accounts!$E$7:$E$16,MATCH($C86,Accounts!$B$7:$B$16,0))),0)&gt;0),IF($V86&gt;Settings!$C$23*($AP86-N($Q86)),"Risk over max %; ",""),"")&amp;IF(AND(ISNUMBER(Settings!$C$24),ISNUMBER($N86)),IF($N86&gt;Settings!$C$24,"Leverage over max; ",""),"")&amp;IF(AND(ISNUMBER(Settings!$C$27),ISNUMBER($T86)),IF($T86&lt;Settings!$C$27,"R:R below min; ",""),"")&amp;IF(ISNUMBER(Settings!$C$25),IF(COUNTIFS($A$6:$A86,$A86,$AM$6:$AM86,1)&gt;Settings!$C$25,"Over max trades/day; ",""),"")&amp;IF(ISNUMBER(Settings!$C$26),IF(SUMIFS($Q$5:$Q85,$A$5:$A85,$A86)&lt;=-Settings!$C$26,"Traded after daily max loss; ",""),"")&amp;IF(AND($AG86="",NOT(ISNUMBER($O86))),"Symbol not in Instruments; ","")&amp;IF(AND($AH86="",NOT(ISNUMBER($O86))),"Forex cross: type Gross P&amp;L; ",""))</f>
        <v/>
      </c>
      <c r="BH86" s="56">
        <f>IF(ISNUMBER($Q86),1,0)</f>
        <v>0</v>
      </c>
      <c r="BI86" s="56">
        <f>IF($Y86="",0,1)</f>
        <v>0</v>
      </c>
      <c r="BJ86" s="56">
        <f>IF($AB86="",0,1)</f>
        <v>0</v>
      </c>
      <c r="BK86" s="56">
        <f>IF(AND($BH86=1,$W86&lt;&gt;"OK"),1,0)</f>
        <v>0</v>
      </c>
      <c r="BL86" s="55">
        <f>IF(N($AZ86)=0,0,IFERROR(INDEX($AT$6:$AT$1005,MATCH($AZ86,$AY$6:$AY$1005,0)),0))</f>
        <v>1187.10688</v>
      </c>
      <c r="BM86" s="56">
        <f>IF(ISNUMBER(SEARCH("daily max loss",$BG86)),1,0)</f>
        <v>0</v>
      </c>
    </row>
    <row r="87" ht="18" customHeight="1">
      <c r="A87" s="38" t="n"/>
      <c r="B87" s="39" t="n"/>
      <c r="C87" s="40" t="n"/>
      <c r="D87" s="41" t="n"/>
      <c r="E87" s="41" t="n"/>
      <c r="F87" s="41" t="n"/>
      <c r="G87" s="41" t="n"/>
      <c r="H87" s="42" t="n"/>
      <c r="I87" s="42" t="n"/>
      <c r="J87" s="42" t="n"/>
      <c r="K87" s="42" t="n"/>
      <c r="L87" s="41" t="n"/>
      <c r="M87" s="41" t="n"/>
      <c r="N87" s="41" t="n"/>
      <c r="O87" s="43" t="n"/>
      <c r="P87" s="43" t="n"/>
      <c r="Q87" s="44" t="str">
        <f>IF($AM87=0,"",IF(ISNUMBER($AK87),$AK87-N($AL87),""))</f>
        <v/>
      </c>
      <c r="R87" s="45" t="str">
        <f>IF(OR($Q87="",NOT(ISNUMBER($V87))),"",$AK87/$V87)</f>
        <v/>
      </c>
      <c r="S87" s="46" t="str">
        <f>IF($Q87="","",IF(AND(ISNUMBER($R87),ABS(N($R87))&lt;N(Settings!$C$8)),"Scratch",IF($Q87&gt;0,"Win",IF($Q87&lt;0,"Loss","Scratch"))))</f>
        <v/>
      </c>
      <c r="T87" s="47" t="str">
        <f>IF(OR($AM87=0,NOT(ISNUMBER($H87)),NOT(ISNUMBER($I87)),NOT(ISNUMBER($J87))),"",IF($H87=$I87,"",ROUND(ABS($J87-$H87)/ABS($H87-$I87),6)))</f>
        <v/>
      </c>
      <c r="U87" s="48" t="str">
        <f>IF(OR($S87&lt;&gt;"Win",NOT(ISNUMBER($T87)),NOT(ISNUMBER($R87))),"",MAX(0,$T87-$R87))</f>
        <v/>
      </c>
      <c r="V87" s="49" t="str">
        <f>IF(OR($AM87=0,NOT(ISNUMBER($H87)),NOT(ISNUMBER($I87)),NOT(ISNUMBER($G87))),"",IF(OR($AG87="",$AH87=""),"",IF(ROUND(ABS($H87-$I87)*ABS($G87)*$AG87*$AH87,6)=0,"",ROUND(ABS($H87-$I87)*ABS($G87)*$AG87*$AH87,6))))</f>
        <v/>
      </c>
      <c r="W87" s="50" t="str">
        <f>IF($AM87=0,"",IF($BG87="","OK",LEFT($BG87,LEN($BG87)-2)))</f>
        <v/>
      </c>
      <c r="X87" s="41" t="n"/>
      <c r="Y87" s="40" t="n"/>
      <c r="Z87" s="41" t="n"/>
      <c r="AA87" s="41" t="n"/>
      <c r="AB87" s="40" t="n"/>
      <c r="AC87" s="51" t="n"/>
      <c r="AD87" s="51" t="n"/>
      <c r="AE87" s="40" t="n"/>
      <c r="AF87" s="52" t="str">
        <f>IF($AM87=0,"",IF($D87&lt;&gt;"",$D87,IF(IFERROR(INDEX(Accounts!$C$7:$C$16,MATCH($C87,Accounts!$B$7:$B$16,0))&amp;"","")&lt;&gt;"",INDEX(Accounts!$C$7:$C$16,MATCH($C87,Accounts!$B$7:$B$16,0)),Settings!$C$6)))</f>
        <v/>
      </c>
      <c r="AG87" s="53" t="str">
        <f>IF($AM87=0,"",IF(AND($BE87&gt;0,N(INDEX(Instruments!$D$6:$D$205,MAX(1,$BE87)))&gt;0),INDEX(Instruments!$D$6:$D$205,MAX(1,$BE87)),IF(N(INDEX(Settings!$D$14:$D$18,$BF87))&gt;0,INDEX(Settings!$D$14:$D$18,$BF87),"")))</f>
        <v/>
      </c>
      <c r="AH87" s="54" t="str">
        <f>IF($AM87=0,"",IF($AF87&lt;&gt;"Forex",1,IF(MID(UPPER(SUBSTITUTE(TRIM($E87),"/","")),4,3)=UPPER(TRIM(Settings!$C$7)),1,IF(LEFT(UPPER(SUBSTITUTE(TRIM($E87),"/","")),3)=UPPER(TRIM(Settings!$C$7)),IF(AND(ISNUMBER($K87),N($K87)&lt;&gt;0),1/$K87,""),""))))</f>
        <v/>
      </c>
      <c r="AI87" s="55" t="str">
        <f>IF($AM87=0,"",IF(OR(NOT(ISNUMBER($H87)),NOT(ISNUMBER($K87)),NOT(ISNUMBER($G87)),$AG87="",$AH87=""),"",ROUND(($K87-$H87)*IF($F87="Short",-1,1)*$G87*$AG87*$AH87,6)))</f>
        <v/>
      </c>
      <c r="AJ87" s="55" t="str">
        <f>IF($AM87=0,"",IF(INDEX(Settings!$E$14:$E$18,$BF87)="% of notional",IF(OR($AG87="",NOT(ISNUMBER($H87)),NOT(ISNUMBER($G87))),"",ROUND(ABS($H87*$G87*$AG87*N($AH87))*IF($L87="Limit",N(INDEX(Settings!$G$14:$G$18,$BF87)),N(INDEX(Settings!$H$14:$H$18,$BF87)))+IF(ISNUMBER($K87),ABS($K87*$G87*$AG87*N($AH87))*IF($M87="Target",N(INDEX(Settings!$G$14:$G$18,$BF87)),N(INDEX(Settings!$H$14:$H$18,$BF87))),0),6)),IF(NOT(ISNUMBER($G87)),"",ROUND(ABS($G87)*2*IF(AND($BE87&gt;0,ISNUMBER(INDEX(Instruments!$G$6:$G$205,MAX(1,$BE87)))),INDEX(Instruments!$G$6:$G$205,MAX(1,$BE87)),N(INDEX(Settings!$F$14:$F$18,$BF87))),6))))</f>
        <v/>
      </c>
      <c r="AK87" s="55" t="str">
        <f>IF($AM87=0,"",IF(ISNUMBER($O87),$O87,$AI87))</f>
        <v/>
      </c>
      <c r="AL87" s="55" t="str">
        <f>IF($AM87=0,"",IF(ISNUMBER($P87),$P87,N($AJ87)))</f>
        <v/>
      </c>
      <c r="AM87" s="56">
        <f>IF(AND($A87&lt;&gt;"",$E87&lt;&gt;"",OR(AND(ISNUMBER($G87),ISNUMBER($H87),ISNUMBER($K87)),ISNUMBER($O87))),1,0)</f>
        <v>0</v>
      </c>
      <c r="AN87" s="57" t="str">
        <f>IF($A87="","",$A87-WEEKDAY($A87,3))</f>
        <v/>
      </c>
      <c r="AO87" s="56" t="str">
        <f>IF($A87="","",WEEKDAY($A87,2))</f>
        <v/>
      </c>
      <c r="AP87" s="55" t="str">
        <f>IF(OR($AM87=0,$C87=""),"",IFERROR(N(INDEX(Accounts!$E$7:$E$16,MATCH($C87,Accounts!$B$7:$B$16,0))),0)+SUMIFS($Q$6:$Q87,$C$6:$C87,$C87))</f>
        <v/>
      </c>
      <c r="AQ87" s="55" t="str">
        <f>IF(OR($AM87=0,$C87=""),"",SUMIFS($Q$6:$Q$1005,$C$6:$C$1005,$C87,$A$6:$A$1005,$A87))</f>
        <v/>
      </c>
      <c r="AR87" s="55" t="str">
        <f>IF(OR($AM87=0,$C87=""),"",IFERROR(N(INDEX(Accounts!$E$7:$E$16,MATCH($C87,Accounts!$B$7:$B$16,0))),0)+SUMIFS($Q$6:$Q$1005,$C$6:$C$1005,$C87,$A$6:$A$1005,"&lt;="&amp;$A87))</f>
        <v/>
      </c>
      <c r="AS87" s="56">
        <f>IF(OR($AM87=0,$Q87=""),0,IF(AND($A87&gt;=Lists!$W$6,$A87&lt;=Lists!$W$7,OR(Dashboard!$D$6="All accounts",$C87=Dashboard!$D$6),OR(Dashboard!$D$7="All markets",$AF87=Dashboard!$D$7)),1,0))</f>
        <v>0</v>
      </c>
      <c r="AT87" s="55">
        <f>IF($AS87=1,N(AT86)+$Q87,N(AT86))</f>
        <v>1187.10688</v>
      </c>
      <c r="AU87" s="55">
        <f>MAX(N(AU86),$AT87)</f>
        <v>1187.10688</v>
      </c>
      <c r="AV87" s="55">
        <f>$AT87-$AU87</f>
        <v>0</v>
      </c>
      <c r="AW87" s="56">
        <f>IF($AS87=1,IF($S87="Win",N(AW86)+1,IF($S87="Loss",0,N(AW86))),N(AW86))</f>
        <v>5</v>
      </c>
      <c r="AX87" s="56">
        <f>IF($AS87=1,IF($S87="Loss",N(AX86)+1,IF($S87="Win",0,N(AX86))),N(AX86))</f>
        <v>0</v>
      </c>
      <c r="AY87" s="56" t="str">
        <f>IF($AS87=1,COUNTIF($AS$6:$AS87,1),"")</f>
        <v/>
      </c>
      <c r="AZ87" s="56">
        <f>MIN(81,N(Lists!$W$8))</f>
        <v>28</v>
      </c>
      <c r="BA87" s="56">
        <f>IF($AS87=1,IF(COUNTIFS($A$6:$A87,$A87,$AS$6:$AS87,1)=1,1,0),0)</f>
        <v>0</v>
      </c>
      <c r="BB87" s="55" t="str">
        <f>IF($BA87=1,SUMIFS($Q$6:$Q$1005,$A$6:$A$1005,$A87,$AS$6:$AS$1005,1),"")</f>
        <v/>
      </c>
      <c r="BC87" s="56">
        <f>IF(ISNUMBER($R87),1,0)</f>
        <v>0</v>
      </c>
      <c r="BD87" s="55" t="str">
        <f>IF(ISNUMBER($U87),$U87*$V87,"")</f>
        <v/>
      </c>
      <c r="BE87" s="56" t="str">
        <f>IF($AM87=0,"",IFERROR(MATCH($AF87&amp;"|"&amp;UPPER(TRIM($E87)),Lists!$A$6:$A$205,0),0))</f>
        <v/>
      </c>
      <c r="BF87" s="56" t="str">
        <f>IF($AM87=0,"",IFERROR(MATCH($AF87,Settings!$B$14:$B$18,0),IFERROR(MATCH(Settings!$C$6,Settings!$B$14:$B$18,0),1)))</f>
        <v/>
      </c>
      <c r="BG87" s="58" t="str">
        <f>IF($AM87=0,"",IF(NOT(ISNUMBER($I87)),"No stop; ","")&amp;IF(AND(ISNUMBER($H87),ISNUMBER($I87)),IF(OR(AND($F87&lt;&gt;"Short",$I87&gt;=$H87),AND($F87="Short",$I87&lt;=$H87)),"Stop on wrong side; ",""),"")&amp;IF($F87="","No direction; ","")&amp;IF(AND(ISNUMBER(Settings!$C$22),ISNUMBER($V87)),IF($V87&gt;Settings!$C$22,"Risk over max $; ",""),"")&amp;IF(AND(ISNUMBER(Settings!$C$23),ISNUMBER($V87),ISNUMBER($AP87),IFERROR(N(INDEX(Accounts!$E$7:$E$16,MATCH($C87,Accounts!$B$7:$B$16,0))),0)&gt;0),IF($V87&gt;Settings!$C$23*($AP87-N($Q87)),"Risk over max %; ",""),"")&amp;IF(AND(ISNUMBER(Settings!$C$24),ISNUMBER($N87)),IF($N87&gt;Settings!$C$24,"Leverage over max; ",""),"")&amp;IF(AND(ISNUMBER(Settings!$C$27),ISNUMBER($T87)),IF($T87&lt;Settings!$C$27,"R:R below min; ",""),"")&amp;IF(ISNUMBER(Settings!$C$25),IF(COUNTIFS($A$6:$A87,$A87,$AM$6:$AM87,1)&gt;Settings!$C$25,"Over max trades/day; ",""),"")&amp;IF(ISNUMBER(Settings!$C$26),IF(SUMIFS($Q$5:$Q86,$A$5:$A86,$A87)&lt;=-Settings!$C$26,"Traded after daily max loss; ",""),"")&amp;IF(AND($AG87="",NOT(ISNUMBER($O87))),"Symbol not in Instruments; ","")&amp;IF(AND($AH87="",NOT(ISNUMBER($O87))),"Forex cross: type Gross P&amp;L; ",""))</f>
        <v/>
      </c>
      <c r="BH87" s="56">
        <f>IF(ISNUMBER($Q87),1,0)</f>
        <v>0</v>
      </c>
      <c r="BI87" s="56">
        <f>IF($Y87="",0,1)</f>
        <v>0</v>
      </c>
      <c r="BJ87" s="56">
        <f>IF($AB87="",0,1)</f>
        <v>0</v>
      </c>
      <c r="BK87" s="56">
        <f>IF(AND($BH87=1,$W87&lt;&gt;"OK"),1,0)</f>
        <v>0</v>
      </c>
      <c r="BL87" s="55">
        <f>IF(N($AZ87)=0,0,IFERROR(INDEX($AT$6:$AT$1005,MATCH($AZ87,$AY$6:$AY$1005,0)),0))</f>
        <v>1187.10688</v>
      </c>
      <c r="BM87" s="56">
        <f>IF(ISNUMBER(SEARCH("daily max loss",$BG87)),1,0)</f>
        <v>0</v>
      </c>
    </row>
    <row r="88" ht="18" customHeight="1">
      <c r="A88" s="38" t="n"/>
      <c r="B88" s="39" t="n"/>
      <c r="C88" s="40" t="n"/>
      <c r="D88" s="41" t="n"/>
      <c r="E88" s="41" t="n"/>
      <c r="F88" s="41" t="n"/>
      <c r="G88" s="41" t="n"/>
      <c r="H88" s="42" t="n"/>
      <c r="I88" s="42" t="n"/>
      <c r="J88" s="42" t="n"/>
      <c r="K88" s="42" t="n"/>
      <c r="L88" s="41" t="n"/>
      <c r="M88" s="41" t="n"/>
      <c r="N88" s="41" t="n"/>
      <c r="O88" s="43" t="n"/>
      <c r="P88" s="43" t="n"/>
      <c r="Q88" s="44" t="str">
        <f>IF($AM88=0,"",IF(ISNUMBER($AK88),$AK88-N($AL88),""))</f>
        <v/>
      </c>
      <c r="R88" s="45" t="str">
        <f>IF(OR($Q88="",NOT(ISNUMBER($V88))),"",$AK88/$V88)</f>
        <v/>
      </c>
      <c r="S88" s="46" t="str">
        <f>IF($Q88="","",IF(AND(ISNUMBER($R88),ABS(N($R88))&lt;N(Settings!$C$8)),"Scratch",IF($Q88&gt;0,"Win",IF($Q88&lt;0,"Loss","Scratch"))))</f>
        <v/>
      </c>
      <c r="T88" s="47" t="str">
        <f>IF(OR($AM88=0,NOT(ISNUMBER($H88)),NOT(ISNUMBER($I88)),NOT(ISNUMBER($J88))),"",IF($H88=$I88,"",ROUND(ABS($J88-$H88)/ABS($H88-$I88),6)))</f>
        <v/>
      </c>
      <c r="U88" s="48" t="str">
        <f>IF(OR($S88&lt;&gt;"Win",NOT(ISNUMBER($T88)),NOT(ISNUMBER($R88))),"",MAX(0,$T88-$R88))</f>
        <v/>
      </c>
      <c r="V88" s="49" t="str">
        <f>IF(OR($AM88=0,NOT(ISNUMBER($H88)),NOT(ISNUMBER($I88)),NOT(ISNUMBER($G88))),"",IF(OR($AG88="",$AH88=""),"",IF(ROUND(ABS($H88-$I88)*ABS($G88)*$AG88*$AH88,6)=0,"",ROUND(ABS($H88-$I88)*ABS($G88)*$AG88*$AH88,6))))</f>
        <v/>
      </c>
      <c r="W88" s="50" t="str">
        <f>IF($AM88=0,"",IF($BG88="","OK",LEFT($BG88,LEN($BG88)-2)))</f>
        <v/>
      </c>
      <c r="X88" s="41" t="n"/>
      <c r="Y88" s="40" t="n"/>
      <c r="Z88" s="41" t="n"/>
      <c r="AA88" s="41" t="n"/>
      <c r="AB88" s="40" t="n"/>
      <c r="AC88" s="51" t="n"/>
      <c r="AD88" s="51" t="n"/>
      <c r="AE88" s="40" t="n"/>
      <c r="AF88" s="52" t="str">
        <f>IF($AM88=0,"",IF($D88&lt;&gt;"",$D88,IF(IFERROR(INDEX(Accounts!$C$7:$C$16,MATCH($C88,Accounts!$B$7:$B$16,0))&amp;"","")&lt;&gt;"",INDEX(Accounts!$C$7:$C$16,MATCH($C88,Accounts!$B$7:$B$16,0)),Settings!$C$6)))</f>
        <v/>
      </c>
      <c r="AG88" s="53" t="str">
        <f>IF($AM88=0,"",IF(AND($BE88&gt;0,N(INDEX(Instruments!$D$6:$D$205,MAX(1,$BE88)))&gt;0),INDEX(Instruments!$D$6:$D$205,MAX(1,$BE88)),IF(N(INDEX(Settings!$D$14:$D$18,$BF88))&gt;0,INDEX(Settings!$D$14:$D$18,$BF88),"")))</f>
        <v/>
      </c>
      <c r="AH88" s="54" t="str">
        <f>IF($AM88=0,"",IF($AF88&lt;&gt;"Forex",1,IF(MID(UPPER(SUBSTITUTE(TRIM($E88),"/","")),4,3)=UPPER(TRIM(Settings!$C$7)),1,IF(LEFT(UPPER(SUBSTITUTE(TRIM($E88),"/","")),3)=UPPER(TRIM(Settings!$C$7)),IF(AND(ISNUMBER($K88),N($K88)&lt;&gt;0),1/$K88,""),""))))</f>
        <v/>
      </c>
      <c r="AI88" s="55" t="str">
        <f>IF($AM88=0,"",IF(OR(NOT(ISNUMBER($H88)),NOT(ISNUMBER($K88)),NOT(ISNUMBER($G88)),$AG88="",$AH88=""),"",ROUND(($K88-$H88)*IF($F88="Short",-1,1)*$G88*$AG88*$AH88,6)))</f>
        <v/>
      </c>
      <c r="AJ88" s="55" t="str">
        <f>IF($AM88=0,"",IF(INDEX(Settings!$E$14:$E$18,$BF88)="% of notional",IF(OR($AG88="",NOT(ISNUMBER($H88)),NOT(ISNUMBER($G88))),"",ROUND(ABS($H88*$G88*$AG88*N($AH88))*IF($L88="Limit",N(INDEX(Settings!$G$14:$G$18,$BF88)),N(INDEX(Settings!$H$14:$H$18,$BF88)))+IF(ISNUMBER($K88),ABS($K88*$G88*$AG88*N($AH88))*IF($M88="Target",N(INDEX(Settings!$G$14:$G$18,$BF88)),N(INDEX(Settings!$H$14:$H$18,$BF88))),0),6)),IF(NOT(ISNUMBER($G88)),"",ROUND(ABS($G88)*2*IF(AND($BE88&gt;0,ISNUMBER(INDEX(Instruments!$G$6:$G$205,MAX(1,$BE88)))),INDEX(Instruments!$G$6:$G$205,MAX(1,$BE88)),N(INDEX(Settings!$F$14:$F$18,$BF88))),6))))</f>
        <v/>
      </c>
      <c r="AK88" s="55" t="str">
        <f>IF($AM88=0,"",IF(ISNUMBER($O88),$O88,$AI88))</f>
        <v/>
      </c>
      <c r="AL88" s="55" t="str">
        <f>IF($AM88=0,"",IF(ISNUMBER($P88),$P88,N($AJ88)))</f>
        <v/>
      </c>
      <c r="AM88" s="56">
        <f>IF(AND($A88&lt;&gt;"",$E88&lt;&gt;"",OR(AND(ISNUMBER($G88),ISNUMBER($H88),ISNUMBER($K88)),ISNUMBER($O88))),1,0)</f>
        <v>0</v>
      </c>
      <c r="AN88" s="57" t="str">
        <f>IF($A88="","",$A88-WEEKDAY($A88,3))</f>
        <v/>
      </c>
      <c r="AO88" s="56" t="str">
        <f>IF($A88="","",WEEKDAY($A88,2))</f>
        <v/>
      </c>
      <c r="AP88" s="55" t="str">
        <f>IF(OR($AM88=0,$C88=""),"",IFERROR(N(INDEX(Accounts!$E$7:$E$16,MATCH($C88,Accounts!$B$7:$B$16,0))),0)+SUMIFS($Q$6:$Q88,$C$6:$C88,$C88))</f>
        <v/>
      </c>
      <c r="AQ88" s="55" t="str">
        <f>IF(OR($AM88=0,$C88=""),"",SUMIFS($Q$6:$Q$1005,$C$6:$C$1005,$C88,$A$6:$A$1005,$A88))</f>
        <v/>
      </c>
      <c r="AR88" s="55" t="str">
        <f>IF(OR($AM88=0,$C88=""),"",IFERROR(N(INDEX(Accounts!$E$7:$E$16,MATCH($C88,Accounts!$B$7:$B$16,0))),0)+SUMIFS($Q$6:$Q$1005,$C$6:$C$1005,$C88,$A$6:$A$1005,"&lt;="&amp;$A88))</f>
        <v/>
      </c>
      <c r="AS88" s="56">
        <f>IF(OR($AM88=0,$Q88=""),0,IF(AND($A88&gt;=Lists!$W$6,$A88&lt;=Lists!$W$7,OR(Dashboard!$D$6="All accounts",$C88=Dashboard!$D$6),OR(Dashboard!$D$7="All markets",$AF88=Dashboard!$D$7)),1,0))</f>
        <v>0</v>
      </c>
      <c r="AT88" s="55">
        <f>IF($AS88=1,N(AT87)+$Q88,N(AT87))</f>
        <v>1187.10688</v>
      </c>
      <c r="AU88" s="55">
        <f>MAX(N(AU87),$AT88)</f>
        <v>1187.10688</v>
      </c>
      <c r="AV88" s="55">
        <f>$AT88-$AU88</f>
        <v>0</v>
      </c>
      <c r="AW88" s="56">
        <f>IF($AS88=1,IF($S88="Win",N(AW87)+1,IF($S88="Loss",0,N(AW87))),N(AW87))</f>
        <v>5</v>
      </c>
      <c r="AX88" s="56">
        <f>IF($AS88=1,IF($S88="Loss",N(AX87)+1,IF($S88="Win",0,N(AX87))),N(AX87))</f>
        <v>0</v>
      </c>
      <c r="AY88" s="56" t="str">
        <f>IF($AS88=1,COUNTIF($AS$6:$AS88,1),"")</f>
        <v/>
      </c>
      <c r="AZ88" s="56">
        <f>MIN(82,N(Lists!$W$8))</f>
        <v>28</v>
      </c>
      <c r="BA88" s="56">
        <f>IF($AS88=1,IF(COUNTIFS($A$6:$A88,$A88,$AS$6:$AS88,1)=1,1,0),0)</f>
        <v>0</v>
      </c>
      <c r="BB88" s="55" t="str">
        <f>IF($BA88=1,SUMIFS($Q$6:$Q$1005,$A$6:$A$1005,$A88,$AS$6:$AS$1005,1),"")</f>
        <v/>
      </c>
      <c r="BC88" s="56">
        <f>IF(ISNUMBER($R88),1,0)</f>
        <v>0</v>
      </c>
      <c r="BD88" s="55" t="str">
        <f>IF(ISNUMBER($U88),$U88*$V88,"")</f>
        <v/>
      </c>
      <c r="BE88" s="56" t="str">
        <f>IF($AM88=0,"",IFERROR(MATCH($AF88&amp;"|"&amp;UPPER(TRIM($E88)),Lists!$A$6:$A$205,0),0))</f>
        <v/>
      </c>
      <c r="BF88" s="56" t="str">
        <f>IF($AM88=0,"",IFERROR(MATCH($AF88,Settings!$B$14:$B$18,0),IFERROR(MATCH(Settings!$C$6,Settings!$B$14:$B$18,0),1)))</f>
        <v/>
      </c>
      <c r="BG88" s="58" t="str">
        <f>IF($AM88=0,"",IF(NOT(ISNUMBER($I88)),"No stop; ","")&amp;IF(AND(ISNUMBER($H88),ISNUMBER($I88)),IF(OR(AND($F88&lt;&gt;"Short",$I88&gt;=$H88),AND($F88="Short",$I88&lt;=$H88)),"Stop on wrong side; ",""),"")&amp;IF($F88="","No direction; ","")&amp;IF(AND(ISNUMBER(Settings!$C$22),ISNUMBER($V88)),IF($V88&gt;Settings!$C$22,"Risk over max $; ",""),"")&amp;IF(AND(ISNUMBER(Settings!$C$23),ISNUMBER($V88),ISNUMBER($AP88),IFERROR(N(INDEX(Accounts!$E$7:$E$16,MATCH($C88,Accounts!$B$7:$B$16,0))),0)&gt;0),IF($V88&gt;Settings!$C$23*($AP88-N($Q88)),"Risk over max %; ",""),"")&amp;IF(AND(ISNUMBER(Settings!$C$24),ISNUMBER($N88)),IF($N88&gt;Settings!$C$24,"Leverage over max; ",""),"")&amp;IF(AND(ISNUMBER(Settings!$C$27),ISNUMBER($T88)),IF($T88&lt;Settings!$C$27,"R:R below min; ",""),"")&amp;IF(ISNUMBER(Settings!$C$25),IF(COUNTIFS($A$6:$A88,$A88,$AM$6:$AM88,1)&gt;Settings!$C$25,"Over max trades/day; ",""),"")&amp;IF(ISNUMBER(Settings!$C$26),IF(SUMIFS($Q$5:$Q87,$A$5:$A87,$A88)&lt;=-Settings!$C$26,"Traded after daily max loss; ",""),"")&amp;IF(AND($AG88="",NOT(ISNUMBER($O88))),"Symbol not in Instruments; ","")&amp;IF(AND($AH88="",NOT(ISNUMBER($O88))),"Forex cross: type Gross P&amp;L; ",""))</f>
        <v/>
      </c>
      <c r="BH88" s="56">
        <f>IF(ISNUMBER($Q88),1,0)</f>
        <v>0</v>
      </c>
      <c r="BI88" s="56">
        <f>IF($Y88="",0,1)</f>
        <v>0</v>
      </c>
      <c r="BJ88" s="56">
        <f>IF($AB88="",0,1)</f>
        <v>0</v>
      </c>
      <c r="BK88" s="56">
        <f>IF(AND($BH88=1,$W88&lt;&gt;"OK"),1,0)</f>
        <v>0</v>
      </c>
      <c r="BL88" s="55">
        <f>IF(N($AZ88)=0,0,IFERROR(INDEX($AT$6:$AT$1005,MATCH($AZ88,$AY$6:$AY$1005,0)),0))</f>
        <v>1187.10688</v>
      </c>
      <c r="BM88" s="56">
        <f>IF(ISNUMBER(SEARCH("daily max loss",$BG88)),1,0)</f>
        <v>0</v>
      </c>
    </row>
    <row r="89" ht="18" customHeight="1">
      <c r="A89" s="38" t="n"/>
      <c r="B89" s="39" t="n"/>
      <c r="C89" s="40" t="n"/>
      <c r="D89" s="41" t="n"/>
      <c r="E89" s="41" t="n"/>
      <c r="F89" s="41" t="n"/>
      <c r="G89" s="41" t="n"/>
      <c r="H89" s="42" t="n"/>
      <c r="I89" s="42" t="n"/>
      <c r="J89" s="42" t="n"/>
      <c r="K89" s="42" t="n"/>
      <c r="L89" s="41" t="n"/>
      <c r="M89" s="41" t="n"/>
      <c r="N89" s="41" t="n"/>
      <c r="O89" s="43" t="n"/>
      <c r="P89" s="43" t="n"/>
      <c r="Q89" s="44" t="str">
        <f>IF($AM89=0,"",IF(ISNUMBER($AK89),$AK89-N($AL89),""))</f>
        <v/>
      </c>
      <c r="R89" s="45" t="str">
        <f>IF(OR($Q89="",NOT(ISNUMBER($V89))),"",$AK89/$V89)</f>
        <v/>
      </c>
      <c r="S89" s="46" t="str">
        <f>IF($Q89="","",IF(AND(ISNUMBER($R89),ABS(N($R89))&lt;N(Settings!$C$8)),"Scratch",IF($Q89&gt;0,"Win",IF($Q89&lt;0,"Loss","Scratch"))))</f>
        <v/>
      </c>
      <c r="T89" s="47" t="str">
        <f>IF(OR($AM89=0,NOT(ISNUMBER($H89)),NOT(ISNUMBER($I89)),NOT(ISNUMBER($J89))),"",IF($H89=$I89,"",ROUND(ABS($J89-$H89)/ABS($H89-$I89),6)))</f>
        <v/>
      </c>
      <c r="U89" s="48" t="str">
        <f>IF(OR($S89&lt;&gt;"Win",NOT(ISNUMBER($T89)),NOT(ISNUMBER($R89))),"",MAX(0,$T89-$R89))</f>
        <v/>
      </c>
      <c r="V89" s="49" t="str">
        <f>IF(OR($AM89=0,NOT(ISNUMBER($H89)),NOT(ISNUMBER($I89)),NOT(ISNUMBER($G89))),"",IF(OR($AG89="",$AH89=""),"",IF(ROUND(ABS($H89-$I89)*ABS($G89)*$AG89*$AH89,6)=0,"",ROUND(ABS($H89-$I89)*ABS($G89)*$AG89*$AH89,6))))</f>
        <v/>
      </c>
      <c r="W89" s="50" t="str">
        <f>IF($AM89=0,"",IF($BG89="","OK",LEFT($BG89,LEN($BG89)-2)))</f>
        <v/>
      </c>
      <c r="X89" s="41" t="n"/>
      <c r="Y89" s="40" t="n"/>
      <c r="Z89" s="41" t="n"/>
      <c r="AA89" s="41" t="n"/>
      <c r="AB89" s="40" t="n"/>
      <c r="AC89" s="51" t="n"/>
      <c r="AD89" s="51" t="n"/>
      <c r="AE89" s="40" t="n"/>
      <c r="AF89" s="52" t="str">
        <f>IF($AM89=0,"",IF($D89&lt;&gt;"",$D89,IF(IFERROR(INDEX(Accounts!$C$7:$C$16,MATCH($C89,Accounts!$B$7:$B$16,0))&amp;"","")&lt;&gt;"",INDEX(Accounts!$C$7:$C$16,MATCH($C89,Accounts!$B$7:$B$16,0)),Settings!$C$6)))</f>
        <v/>
      </c>
      <c r="AG89" s="53" t="str">
        <f>IF($AM89=0,"",IF(AND($BE89&gt;0,N(INDEX(Instruments!$D$6:$D$205,MAX(1,$BE89)))&gt;0),INDEX(Instruments!$D$6:$D$205,MAX(1,$BE89)),IF(N(INDEX(Settings!$D$14:$D$18,$BF89))&gt;0,INDEX(Settings!$D$14:$D$18,$BF89),"")))</f>
        <v/>
      </c>
      <c r="AH89" s="54" t="str">
        <f>IF($AM89=0,"",IF($AF89&lt;&gt;"Forex",1,IF(MID(UPPER(SUBSTITUTE(TRIM($E89),"/","")),4,3)=UPPER(TRIM(Settings!$C$7)),1,IF(LEFT(UPPER(SUBSTITUTE(TRIM($E89),"/","")),3)=UPPER(TRIM(Settings!$C$7)),IF(AND(ISNUMBER($K89),N($K89)&lt;&gt;0),1/$K89,""),""))))</f>
        <v/>
      </c>
      <c r="AI89" s="55" t="str">
        <f>IF($AM89=0,"",IF(OR(NOT(ISNUMBER($H89)),NOT(ISNUMBER($K89)),NOT(ISNUMBER($G89)),$AG89="",$AH89=""),"",ROUND(($K89-$H89)*IF($F89="Short",-1,1)*$G89*$AG89*$AH89,6)))</f>
        <v/>
      </c>
      <c r="AJ89" s="55" t="str">
        <f>IF($AM89=0,"",IF(INDEX(Settings!$E$14:$E$18,$BF89)="% of notional",IF(OR($AG89="",NOT(ISNUMBER($H89)),NOT(ISNUMBER($G89))),"",ROUND(ABS($H89*$G89*$AG89*N($AH89))*IF($L89="Limit",N(INDEX(Settings!$G$14:$G$18,$BF89)),N(INDEX(Settings!$H$14:$H$18,$BF89)))+IF(ISNUMBER($K89),ABS($K89*$G89*$AG89*N($AH89))*IF($M89="Target",N(INDEX(Settings!$G$14:$G$18,$BF89)),N(INDEX(Settings!$H$14:$H$18,$BF89))),0),6)),IF(NOT(ISNUMBER($G89)),"",ROUND(ABS($G89)*2*IF(AND($BE89&gt;0,ISNUMBER(INDEX(Instruments!$G$6:$G$205,MAX(1,$BE89)))),INDEX(Instruments!$G$6:$G$205,MAX(1,$BE89)),N(INDEX(Settings!$F$14:$F$18,$BF89))),6))))</f>
        <v/>
      </c>
      <c r="AK89" s="55" t="str">
        <f>IF($AM89=0,"",IF(ISNUMBER($O89),$O89,$AI89))</f>
        <v/>
      </c>
      <c r="AL89" s="55" t="str">
        <f>IF($AM89=0,"",IF(ISNUMBER($P89),$P89,N($AJ89)))</f>
        <v/>
      </c>
      <c r="AM89" s="56">
        <f>IF(AND($A89&lt;&gt;"",$E89&lt;&gt;"",OR(AND(ISNUMBER($G89),ISNUMBER($H89),ISNUMBER($K89)),ISNUMBER($O89))),1,0)</f>
        <v>0</v>
      </c>
      <c r="AN89" s="57" t="str">
        <f>IF($A89="","",$A89-WEEKDAY($A89,3))</f>
        <v/>
      </c>
      <c r="AO89" s="56" t="str">
        <f>IF($A89="","",WEEKDAY($A89,2))</f>
        <v/>
      </c>
      <c r="AP89" s="55" t="str">
        <f>IF(OR($AM89=0,$C89=""),"",IFERROR(N(INDEX(Accounts!$E$7:$E$16,MATCH($C89,Accounts!$B$7:$B$16,0))),0)+SUMIFS($Q$6:$Q89,$C$6:$C89,$C89))</f>
        <v/>
      </c>
      <c r="AQ89" s="55" t="str">
        <f>IF(OR($AM89=0,$C89=""),"",SUMIFS($Q$6:$Q$1005,$C$6:$C$1005,$C89,$A$6:$A$1005,$A89))</f>
        <v/>
      </c>
      <c r="AR89" s="55" t="str">
        <f>IF(OR($AM89=0,$C89=""),"",IFERROR(N(INDEX(Accounts!$E$7:$E$16,MATCH($C89,Accounts!$B$7:$B$16,0))),0)+SUMIFS($Q$6:$Q$1005,$C$6:$C$1005,$C89,$A$6:$A$1005,"&lt;="&amp;$A89))</f>
        <v/>
      </c>
      <c r="AS89" s="56">
        <f>IF(OR($AM89=0,$Q89=""),0,IF(AND($A89&gt;=Lists!$W$6,$A89&lt;=Lists!$W$7,OR(Dashboard!$D$6="All accounts",$C89=Dashboard!$D$6),OR(Dashboard!$D$7="All markets",$AF89=Dashboard!$D$7)),1,0))</f>
        <v>0</v>
      </c>
      <c r="AT89" s="55">
        <f>IF($AS89=1,N(AT88)+$Q89,N(AT88))</f>
        <v>1187.10688</v>
      </c>
      <c r="AU89" s="55">
        <f>MAX(N(AU88),$AT89)</f>
        <v>1187.10688</v>
      </c>
      <c r="AV89" s="55">
        <f>$AT89-$AU89</f>
        <v>0</v>
      </c>
      <c r="AW89" s="56">
        <f>IF($AS89=1,IF($S89="Win",N(AW88)+1,IF($S89="Loss",0,N(AW88))),N(AW88))</f>
        <v>5</v>
      </c>
      <c r="AX89" s="56">
        <f>IF($AS89=1,IF($S89="Loss",N(AX88)+1,IF($S89="Win",0,N(AX88))),N(AX88))</f>
        <v>0</v>
      </c>
      <c r="AY89" s="56" t="str">
        <f>IF($AS89=1,COUNTIF($AS$6:$AS89,1),"")</f>
        <v/>
      </c>
      <c r="AZ89" s="56">
        <f>MIN(83,N(Lists!$W$8))</f>
        <v>28</v>
      </c>
      <c r="BA89" s="56">
        <f>IF($AS89=1,IF(COUNTIFS($A$6:$A89,$A89,$AS$6:$AS89,1)=1,1,0),0)</f>
        <v>0</v>
      </c>
      <c r="BB89" s="55" t="str">
        <f>IF($BA89=1,SUMIFS($Q$6:$Q$1005,$A$6:$A$1005,$A89,$AS$6:$AS$1005,1),"")</f>
        <v/>
      </c>
      <c r="BC89" s="56">
        <f>IF(ISNUMBER($R89),1,0)</f>
        <v>0</v>
      </c>
      <c r="BD89" s="55" t="str">
        <f>IF(ISNUMBER($U89),$U89*$V89,"")</f>
        <v/>
      </c>
      <c r="BE89" s="56" t="str">
        <f>IF($AM89=0,"",IFERROR(MATCH($AF89&amp;"|"&amp;UPPER(TRIM($E89)),Lists!$A$6:$A$205,0),0))</f>
        <v/>
      </c>
      <c r="BF89" s="56" t="str">
        <f>IF($AM89=0,"",IFERROR(MATCH($AF89,Settings!$B$14:$B$18,0),IFERROR(MATCH(Settings!$C$6,Settings!$B$14:$B$18,0),1)))</f>
        <v/>
      </c>
      <c r="BG89" s="58" t="str">
        <f>IF($AM89=0,"",IF(NOT(ISNUMBER($I89)),"No stop; ","")&amp;IF(AND(ISNUMBER($H89),ISNUMBER($I89)),IF(OR(AND($F89&lt;&gt;"Short",$I89&gt;=$H89),AND($F89="Short",$I89&lt;=$H89)),"Stop on wrong side; ",""),"")&amp;IF($F89="","No direction; ","")&amp;IF(AND(ISNUMBER(Settings!$C$22),ISNUMBER($V89)),IF($V89&gt;Settings!$C$22,"Risk over max $; ",""),"")&amp;IF(AND(ISNUMBER(Settings!$C$23),ISNUMBER($V89),ISNUMBER($AP89),IFERROR(N(INDEX(Accounts!$E$7:$E$16,MATCH($C89,Accounts!$B$7:$B$16,0))),0)&gt;0),IF($V89&gt;Settings!$C$23*($AP89-N($Q89)),"Risk over max %; ",""),"")&amp;IF(AND(ISNUMBER(Settings!$C$24),ISNUMBER($N89)),IF($N89&gt;Settings!$C$24,"Leverage over max; ",""),"")&amp;IF(AND(ISNUMBER(Settings!$C$27),ISNUMBER($T89)),IF($T89&lt;Settings!$C$27,"R:R below min; ",""),"")&amp;IF(ISNUMBER(Settings!$C$25),IF(COUNTIFS($A$6:$A89,$A89,$AM$6:$AM89,1)&gt;Settings!$C$25,"Over max trades/day; ",""),"")&amp;IF(ISNUMBER(Settings!$C$26),IF(SUMIFS($Q$5:$Q88,$A$5:$A88,$A89)&lt;=-Settings!$C$26,"Traded after daily max loss; ",""),"")&amp;IF(AND($AG89="",NOT(ISNUMBER($O89))),"Symbol not in Instruments; ","")&amp;IF(AND($AH89="",NOT(ISNUMBER($O89))),"Forex cross: type Gross P&amp;L; ",""))</f>
        <v/>
      </c>
      <c r="BH89" s="56">
        <f>IF(ISNUMBER($Q89),1,0)</f>
        <v>0</v>
      </c>
      <c r="BI89" s="56">
        <f>IF($Y89="",0,1)</f>
        <v>0</v>
      </c>
      <c r="BJ89" s="56">
        <f>IF($AB89="",0,1)</f>
        <v>0</v>
      </c>
      <c r="BK89" s="56">
        <f>IF(AND($BH89=1,$W89&lt;&gt;"OK"),1,0)</f>
        <v>0</v>
      </c>
      <c r="BL89" s="55">
        <f>IF(N($AZ89)=0,0,IFERROR(INDEX($AT$6:$AT$1005,MATCH($AZ89,$AY$6:$AY$1005,0)),0))</f>
        <v>1187.10688</v>
      </c>
      <c r="BM89" s="56">
        <f>IF(ISNUMBER(SEARCH("daily max loss",$BG89)),1,0)</f>
        <v>0</v>
      </c>
    </row>
    <row r="90" ht="18" customHeight="1">
      <c r="A90" s="38" t="n"/>
      <c r="B90" s="39" t="n"/>
      <c r="C90" s="40" t="n"/>
      <c r="D90" s="41" t="n"/>
      <c r="E90" s="41" t="n"/>
      <c r="F90" s="41" t="n"/>
      <c r="G90" s="41" t="n"/>
      <c r="H90" s="42" t="n"/>
      <c r="I90" s="42" t="n"/>
      <c r="J90" s="42" t="n"/>
      <c r="K90" s="42" t="n"/>
      <c r="L90" s="41" t="n"/>
      <c r="M90" s="41" t="n"/>
      <c r="N90" s="41" t="n"/>
      <c r="O90" s="43" t="n"/>
      <c r="P90" s="43" t="n"/>
      <c r="Q90" s="44" t="str">
        <f>IF($AM90=0,"",IF(ISNUMBER($AK90),$AK90-N($AL90),""))</f>
        <v/>
      </c>
      <c r="R90" s="45" t="str">
        <f>IF(OR($Q90="",NOT(ISNUMBER($V90))),"",$AK90/$V90)</f>
        <v/>
      </c>
      <c r="S90" s="46" t="str">
        <f>IF($Q90="","",IF(AND(ISNUMBER($R90),ABS(N($R90))&lt;N(Settings!$C$8)),"Scratch",IF($Q90&gt;0,"Win",IF($Q90&lt;0,"Loss","Scratch"))))</f>
        <v/>
      </c>
      <c r="T90" s="47" t="str">
        <f>IF(OR($AM90=0,NOT(ISNUMBER($H90)),NOT(ISNUMBER($I90)),NOT(ISNUMBER($J90))),"",IF($H90=$I90,"",ROUND(ABS($J90-$H90)/ABS($H90-$I90),6)))</f>
        <v/>
      </c>
      <c r="U90" s="48" t="str">
        <f>IF(OR($S90&lt;&gt;"Win",NOT(ISNUMBER($T90)),NOT(ISNUMBER($R90))),"",MAX(0,$T90-$R90))</f>
        <v/>
      </c>
      <c r="V90" s="49" t="str">
        <f>IF(OR($AM90=0,NOT(ISNUMBER($H90)),NOT(ISNUMBER($I90)),NOT(ISNUMBER($G90))),"",IF(OR($AG90="",$AH90=""),"",IF(ROUND(ABS($H90-$I90)*ABS($G90)*$AG90*$AH90,6)=0,"",ROUND(ABS($H90-$I90)*ABS($G90)*$AG90*$AH90,6))))</f>
        <v/>
      </c>
      <c r="W90" s="50" t="str">
        <f>IF($AM90=0,"",IF($BG90="","OK",LEFT($BG90,LEN($BG90)-2)))</f>
        <v/>
      </c>
      <c r="X90" s="41" t="n"/>
      <c r="Y90" s="40" t="n"/>
      <c r="Z90" s="41" t="n"/>
      <c r="AA90" s="41" t="n"/>
      <c r="AB90" s="40" t="n"/>
      <c r="AC90" s="51" t="n"/>
      <c r="AD90" s="51" t="n"/>
      <c r="AE90" s="40" t="n"/>
      <c r="AF90" s="52" t="str">
        <f>IF($AM90=0,"",IF($D90&lt;&gt;"",$D90,IF(IFERROR(INDEX(Accounts!$C$7:$C$16,MATCH($C90,Accounts!$B$7:$B$16,0))&amp;"","")&lt;&gt;"",INDEX(Accounts!$C$7:$C$16,MATCH($C90,Accounts!$B$7:$B$16,0)),Settings!$C$6)))</f>
        <v/>
      </c>
      <c r="AG90" s="53" t="str">
        <f>IF($AM90=0,"",IF(AND($BE90&gt;0,N(INDEX(Instruments!$D$6:$D$205,MAX(1,$BE90)))&gt;0),INDEX(Instruments!$D$6:$D$205,MAX(1,$BE90)),IF(N(INDEX(Settings!$D$14:$D$18,$BF90))&gt;0,INDEX(Settings!$D$14:$D$18,$BF90),"")))</f>
        <v/>
      </c>
      <c r="AH90" s="54" t="str">
        <f>IF($AM90=0,"",IF($AF90&lt;&gt;"Forex",1,IF(MID(UPPER(SUBSTITUTE(TRIM($E90),"/","")),4,3)=UPPER(TRIM(Settings!$C$7)),1,IF(LEFT(UPPER(SUBSTITUTE(TRIM($E90),"/","")),3)=UPPER(TRIM(Settings!$C$7)),IF(AND(ISNUMBER($K90),N($K90)&lt;&gt;0),1/$K90,""),""))))</f>
        <v/>
      </c>
      <c r="AI90" s="55" t="str">
        <f>IF($AM90=0,"",IF(OR(NOT(ISNUMBER($H90)),NOT(ISNUMBER($K90)),NOT(ISNUMBER($G90)),$AG90="",$AH90=""),"",ROUND(($K90-$H90)*IF($F90="Short",-1,1)*$G90*$AG90*$AH90,6)))</f>
        <v/>
      </c>
      <c r="AJ90" s="55" t="str">
        <f>IF($AM90=0,"",IF(INDEX(Settings!$E$14:$E$18,$BF90)="% of notional",IF(OR($AG90="",NOT(ISNUMBER($H90)),NOT(ISNUMBER($G90))),"",ROUND(ABS($H90*$G90*$AG90*N($AH90))*IF($L90="Limit",N(INDEX(Settings!$G$14:$G$18,$BF90)),N(INDEX(Settings!$H$14:$H$18,$BF90)))+IF(ISNUMBER($K90),ABS($K90*$G90*$AG90*N($AH90))*IF($M90="Target",N(INDEX(Settings!$G$14:$G$18,$BF90)),N(INDEX(Settings!$H$14:$H$18,$BF90))),0),6)),IF(NOT(ISNUMBER($G90)),"",ROUND(ABS($G90)*2*IF(AND($BE90&gt;0,ISNUMBER(INDEX(Instruments!$G$6:$G$205,MAX(1,$BE90)))),INDEX(Instruments!$G$6:$G$205,MAX(1,$BE90)),N(INDEX(Settings!$F$14:$F$18,$BF90))),6))))</f>
        <v/>
      </c>
      <c r="AK90" s="55" t="str">
        <f>IF($AM90=0,"",IF(ISNUMBER($O90),$O90,$AI90))</f>
        <v/>
      </c>
      <c r="AL90" s="55" t="str">
        <f>IF($AM90=0,"",IF(ISNUMBER($P90),$P90,N($AJ90)))</f>
        <v/>
      </c>
      <c r="AM90" s="56">
        <f>IF(AND($A90&lt;&gt;"",$E90&lt;&gt;"",OR(AND(ISNUMBER($G90),ISNUMBER($H90),ISNUMBER($K90)),ISNUMBER($O90))),1,0)</f>
        <v>0</v>
      </c>
      <c r="AN90" s="57" t="str">
        <f>IF($A90="","",$A90-WEEKDAY($A90,3))</f>
        <v/>
      </c>
      <c r="AO90" s="56" t="str">
        <f>IF($A90="","",WEEKDAY($A90,2))</f>
        <v/>
      </c>
      <c r="AP90" s="55" t="str">
        <f>IF(OR($AM90=0,$C90=""),"",IFERROR(N(INDEX(Accounts!$E$7:$E$16,MATCH($C90,Accounts!$B$7:$B$16,0))),0)+SUMIFS($Q$6:$Q90,$C$6:$C90,$C90))</f>
        <v/>
      </c>
      <c r="AQ90" s="55" t="str">
        <f>IF(OR($AM90=0,$C90=""),"",SUMIFS($Q$6:$Q$1005,$C$6:$C$1005,$C90,$A$6:$A$1005,$A90))</f>
        <v/>
      </c>
      <c r="AR90" s="55" t="str">
        <f>IF(OR($AM90=0,$C90=""),"",IFERROR(N(INDEX(Accounts!$E$7:$E$16,MATCH($C90,Accounts!$B$7:$B$16,0))),0)+SUMIFS($Q$6:$Q$1005,$C$6:$C$1005,$C90,$A$6:$A$1005,"&lt;="&amp;$A90))</f>
        <v/>
      </c>
      <c r="AS90" s="56">
        <f>IF(OR($AM90=0,$Q90=""),0,IF(AND($A90&gt;=Lists!$W$6,$A90&lt;=Lists!$W$7,OR(Dashboard!$D$6="All accounts",$C90=Dashboard!$D$6),OR(Dashboard!$D$7="All markets",$AF90=Dashboard!$D$7)),1,0))</f>
        <v>0</v>
      </c>
      <c r="AT90" s="55">
        <f>IF($AS90=1,N(AT89)+$Q90,N(AT89))</f>
        <v>1187.10688</v>
      </c>
      <c r="AU90" s="55">
        <f>MAX(N(AU89),$AT90)</f>
        <v>1187.10688</v>
      </c>
      <c r="AV90" s="55">
        <f>$AT90-$AU90</f>
        <v>0</v>
      </c>
      <c r="AW90" s="56">
        <f>IF($AS90=1,IF($S90="Win",N(AW89)+1,IF($S90="Loss",0,N(AW89))),N(AW89))</f>
        <v>5</v>
      </c>
      <c r="AX90" s="56">
        <f>IF($AS90=1,IF($S90="Loss",N(AX89)+1,IF($S90="Win",0,N(AX89))),N(AX89))</f>
        <v>0</v>
      </c>
      <c r="AY90" s="56" t="str">
        <f>IF($AS90=1,COUNTIF($AS$6:$AS90,1),"")</f>
        <v/>
      </c>
      <c r="AZ90" s="56">
        <f>MIN(84,N(Lists!$W$8))</f>
        <v>28</v>
      </c>
      <c r="BA90" s="56">
        <f>IF($AS90=1,IF(COUNTIFS($A$6:$A90,$A90,$AS$6:$AS90,1)=1,1,0),0)</f>
        <v>0</v>
      </c>
      <c r="BB90" s="55" t="str">
        <f>IF($BA90=1,SUMIFS($Q$6:$Q$1005,$A$6:$A$1005,$A90,$AS$6:$AS$1005,1),"")</f>
        <v/>
      </c>
      <c r="BC90" s="56">
        <f>IF(ISNUMBER($R90),1,0)</f>
        <v>0</v>
      </c>
      <c r="BD90" s="55" t="str">
        <f>IF(ISNUMBER($U90),$U90*$V90,"")</f>
        <v/>
      </c>
      <c r="BE90" s="56" t="str">
        <f>IF($AM90=0,"",IFERROR(MATCH($AF90&amp;"|"&amp;UPPER(TRIM($E90)),Lists!$A$6:$A$205,0),0))</f>
        <v/>
      </c>
      <c r="BF90" s="56" t="str">
        <f>IF($AM90=0,"",IFERROR(MATCH($AF90,Settings!$B$14:$B$18,0),IFERROR(MATCH(Settings!$C$6,Settings!$B$14:$B$18,0),1)))</f>
        <v/>
      </c>
      <c r="BG90" s="58" t="str">
        <f>IF($AM90=0,"",IF(NOT(ISNUMBER($I90)),"No stop; ","")&amp;IF(AND(ISNUMBER($H90),ISNUMBER($I90)),IF(OR(AND($F90&lt;&gt;"Short",$I90&gt;=$H90),AND($F90="Short",$I90&lt;=$H90)),"Stop on wrong side; ",""),"")&amp;IF($F90="","No direction; ","")&amp;IF(AND(ISNUMBER(Settings!$C$22),ISNUMBER($V90)),IF($V90&gt;Settings!$C$22,"Risk over max $; ",""),"")&amp;IF(AND(ISNUMBER(Settings!$C$23),ISNUMBER($V90),ISNUMBER($AP90),IFERROR(N(INDEX(Accounts!$E$7:$E$16,MATCH($C90,Accounts!$B$7:$B$16,0))),0)&gt;0),IF($V90&gt;Settings!$C$23*($AP90-N($Q90)),"Risk over max %; ",""),"")&amp;IF(AND(ISNUMBER(Settings!$C$24),ISNUMBER($N90)),IF($N90&gt;Settings!$C$24,"Leverage over max; ",""),"")&amp;IF(AND(ISNUMBER(Settings!$C$27),ISNUMBER($T90)),IF($T90&lt;Settings!$C$27,"R:R below min; ",""),"")&amp;IF(ISNUMBER(Settings!$C$25),IF(COUNTIFS($A$6:$A90,$A90,$AM$6:$AM90,1)&gt;Settings!$C$25,"Over max trades/day; ",""),"")&amp;IF(ISNUMBER(Settings!$C$26),IF(SUMIFS($Q$5:$Q89,$A$5:$A89,$A90)&lt;=-Settings!$C$26,"Traded after daily max loss; ",""),"")&amp;IF(AND($AG90="",NOT(ISNUMBER($O90))),"Symbol not in Instruments; ","")&amp;IF(AND($AH90="",NOT(ISNUMBER($O90))),"Forex cross: type Gross P&amp;L; ",""))</f>
        <v/>
      </c>
      <c r="BH90" s="56">
        <f>IF(ISNUMBER($Q90),1,0)</f>
        <v>0</v>
      </c>
      <c r="BI90" s="56">
        <f>IF($Y90="",0,1)</f>
        <v>0</v>
      </c>
      <c r="BJ90" s="56">
        <f>IF($AB90="",0,1)</f>
        <v>0</v>
      </c>
      <c r="BK90" s="56">
        <f>IF(AND($BH90=1,$W90&lt;&gt;"OK"),1,0)</f>
        <v>0</v>
      </c>
      <c r="BL90" s="55">
        <f>IF(N($AZ90)=0,0,IFERROR(INDEX($AT$6:$AT$1005,MATCH($AZ90,$AY$6:$AY$1005,0)),0))</f>
        <v>1187.10688</v>
      </c>
      <c r="BM90" s="56">
        <f>IF(ISNUMBER(SEARCH("daily max loss",$BG90)),1,0)</f>
        <v>0</v>
      </c>
    </row>
    <row r="91" ht="18" customHeight="1">
      <c r="A91" s="38" t="n"/>
      <c r="B91" s="39" t="n"/>
      <c r="C91" s="40" t="n"/>
      <c r="D91" s="41" t="n"/>
      <c r="E91" s="41" t="n"/>
      <c r="F91" s="41" t="n"/>
      <c r="G91" s="41" t="n"/>
      <c r="H91" s="42" t="n"/>
      <c r="I91" s="42" t="n"/>
      <c r="J91" s="42" t="n"/>
      <c r="K91" s="42" t="n"/>
      <c r="L91" s="41" t="n"/>
      <c r="M91" s="41" t="n"/>
      <c r="N91" s="41" t="n"/>
      <c r="O91" s="43" t="n"/>
      <c r="P91" s="43" t="n"/>
      <c r="Q91" s="44" t="str">
        <f>IF($AM91=0,"",IF(ISNUMBER($AK91),$AK91-N($AL91),""))</f>
        <v/>
      </c>
      <c r="R91" s="45" t="str">
        <f>IF(OR($Q91="",NOT(ISNUMBER($V91))),"",$AK91/$V91)</f>
        <v/>
      </c>
      <c r="S91" s="46" t="str">
        <f>IF($Q91="","",IF(AND(ISNUMBER($R91),ABS(N($R91))&lt;N(Settings!$C$8)),"Scratch",IF($Q91&gt;0,"Win",IF($Q91&lt;0,"Loss","Scratch"))))</f>
        <v/>
      </c>
      <c r="T91" s="47" t="str">
        <f>IF(OR($AM91=0,NOT(ISNUMBER($H91)),NOT(ISNUMBER($I91)),NOT(ISNUMBER($J91))),"",IF($H91=$I91,"",ROUND(ABS($J91-$H91)/ABS($H91-$I91),6)))</f>
        <v/>
      </c>
      <c r="U91" s="48" t="str">
        <f>IF(OR($S91&lt;&gt;"Win",NOT(ISNUMBER($T91)),NOT(ISNUMBER($R91))),"",MAX(0,$T91-$R91))</f>
        <v/>
      </c>
      <c r="V91" s="49" t="str">
        <f>IF(OR($AM91=0,NOT(ISNUMBER($H91)),NOT(ISNUMBER($I91)),NOT(ISNUMBER($G91))),"",IF(OR($AG91="",$AH91=""),"",IF(ROUND(ABS($H91-$I91)*ABS($G91)*$AG91*$AH91,6)=0,"",ROUND(ABS($H91-$I91)*ABS($G91)*$AG91*$AH91,6))))</f>
        <v/>
      </c>
      <c r="W91" s="50" t="str">
        <f>IF($AM91=0,"",IF($BG91="","OK",LEFT($BG91,LEN($BG91)-2)))</f>
        <v/>
      </c>
      <c r="X91" s="41" t="n"/>
      <c r="Y91" s="40" t="n"/>
      <c r="Z91" s="41" t="n"/>
      <c r="AA91" s="41" t="n"/>
      <c r="AB91" s="40" t="n"/>
      <c r="AC91" s="51" t="n"/>
      <c r="AD91" s="51" t="n"/>
      <c r="AE91" s="40" t="n"/>
      <c r="AF91" s="52" t="str">
        <f>IF($AM91=0,"",IF($D91&lt;&gt;"",$D91,IF(IFERROR(INDEX(Accounts!$C$7:$C$16,MATCH($C91,Accounts!$B$7:$B$16,0))&amp;"","")&lt;&gt;"",INDEX(Accounts!$C$7:$C$16,MATCH($C91,Accounts!$B$7:$B$16,0)),Settings!$C$6)))</f>
        <v/>
      </c>
      <c r="AG91" s="53" t="str">
        <f>IF($AM91=0,"",IF(AND($BE91&gt;0,N(INDEX(Instruments!$D$6:$D$205,MAX(1,$BE91)))&gt;0),INDEX(Instruments!$D$6:$D$205,MAX(1,$BE91)),IF(N(INDEX(Settings!$D$14:$D$18,$BF91))&gt;0,INDEX(Settings!$D$14:$D$18,$BF91),"")))</f>
        <v/>
      </c>
      <c r="AH91" s="54" t="str">
        <f>IF($AM91=0,"",IF($AF91&lt;&gt;"Forex",1,IF(MID(UPPER(SUBSTITUTE(TRIM($E91),"/","")),4,3)=UPPER(TRIM(Settings!$C$7)),1,IF(LEFT(UPPER(SUBSTITUTE(TRIM($E91),"/","")),3)=UPPER(TRIM(Settings!$C$7)),IF(AND(ISNUMBER($K91),N($K91)&lt;&gt;0),1/$K91,""),""))))</f>
        <v/>
      </c>
      <c r="AI91" s="55" t="str">
        <f>IF($AM91=0,"",IF(OR(NOT(ISNUMBER($H91)),NOT(ISNUMBER($K91)),NOT(ISNUMBER($G91)),$AG91="",$AH91=""),"",ROUND(($K91-$H91)*IF($F91="Short",-1,1)*$G91*$AG91*$AH91,6)))</f>
        <v/>
      </c>
      <c r="AJ91" s="55" t="str">
        <f>IF($AM91=0,"",IF(INDEX(Settings!$E$14:$E$18,$BF91)="% of notional",IF(OR($AG91="",NOT(ISNUMBER($H91)),NOT(ISNUMBER($G91))),"",ROUND(ABS($H91*$G91*$AG91*N($AH91))*IF($L91="Limit",N(INDEX(Settings!$G$14:$G$18,$BF91)),N(INDEX(Settings!$H$14:$H$18,$BF91)))+IF(ISNUMBER($K91),ABS($K91*$G91*$AG91*N($AH91))*IF($M91="Target",N(INDEX(Settings!$G$14:$G$18,$BF91)),N(INDEX(Settings!$H$14:$H$18,$BF91))),0),6)),IF(NOT(ISNUMBER($G91)),"",ROUND(ABS($G91)*2*IF(AND($BE91&gt;0,ISNUMBER(INDEX(Instruments!$G$6:$G$205,MAX(1,$BE91)))),INDEX(Instruments!$G$6:$G$205,MAX(1,$BE91)),N(INDEX(Settings!$F$14:$F$18,$BF91))),6))))</f>
        <v/>
      </c>
      <c r="AK91" s="55" t="str">
        <f>IF($AM91=0,"",IF(ISNUMBER($O91),$O91,$AI91))</f>
        <v/>
      </c>
      <c r="AL91" s="55" t="str">
        <f>IF($AM91=0,"",IF(ISNUMBER($P91),$P91,N($AJ91)))</f>
        <v/>
      </c>
      <c r="AM91" s="56">
        <f>IF(AND($A91&lt;&gt;"",$E91&lt;&gt;"",OR(AND(ISNUMBER($G91),ISNUMBER($H91),ISNUMBER($K91)),ISNUMBER($O91))),1,0)</f>
        <v>0</v>
      </c>
      <c r="AN91" s="57" t="str">
        <f>IF($A91="","",$A91-WEEKDAY($A91,3))</f>
        <v/>
      </c>
      <c r="AO91" s="56" t="str">
        <f>IF($A91="","",WEEKDAY($A91,2))</f>
        <v/>
      </c>
      <c r="AP91" s="55" t="str">
        <f>IF(OR($AM91=0,$C91=""),"",IFERROR(N(INDEX(Accounts!$E$7:$E$16,MATCH($C91,Accounts!$B$7:$B$16,0))),0)+SUMIFS($Q$6:$Q91,$C$6:$C91,$C91))</f>
        <v/>
      </c>
      <c r="AQ91" s="55" t="str">
        <f>IF(OR($AM91=0,$C91=""),"",SUMIFS($Q$6:$Q$1005,$C$6:$C$1005,$C91,$A$6:$A$1005,$A91))</f>
        <v/>
      </c>
      <c r="AR91" s="55" t="str">
        <f>IF(OR($AM91=0,$C91=""),"",IFERROR(N(INDEX(Accounts!$E$7:$E$16,MATCH($C91,Accounts!$B$7:$B$16,0))),0)+SUMIFS($Q$6:$Q$1005,$C$6:$C$1005,$C91,$A$6:$A$1005,"&lt;="&amp;$A91))</f>
        <v/>
      </c>
      <c r="AS91" s="56">
        <f>IF(OR($AM91=0,$Q91=""),0,IF(AND($A91&gt;=Lists!$W$6,$A91&lt;=Lists!$W$7,OR(Dashboard!$D$6="All accounts",$C91=Dashboard!$D$6),OR(Dashboard!$D$7="All markets",$AF91=Dashboard!$D$7)),1,0))</f>
        <v>0</v>
      </c>
      <c r="AT91" s="55">
        <f>IF($AS91=1,N(AT90)+$Q91,N(AT90))</f>
        <v>1187.10688</v>
      </c>
      <c r="AU91" s="55">
        <f>MAX(N(AU90),$AT91)</f>
        <v>1187.10688</v>
      </c>
      <c r="AV91" s="55">
        <f>$AT91-$AU91</f>
        <v>0</v>
      </c>
      <c r="AW91" s="56">
        <f>IF($AS91=1,IF($S91="Win",N(AW90)+1,IF($S91="Loss",0,N(AW90))),N(AW90))</f>
        <v>5</v>
      </c>
      <c r="AX91" s="56">
        <f>IF($AS91=1,IF($S91="Loss",N(AX90)+1,IF($S91="Win",0,N(AX90))),N(AX90))</f>
        <v>0</v>
      </c>
      <c r="AY91" s="56" t="str">
        <f>IF($AS91=1,COUNTIF($AS$6:$AS91,1),"")</f>
        <v/>
      </c>
      <c r="AZ91" s="56">
        <f>MIN(85,N(Lists!$W$8))</f>
        <v>28</v>
      </c>
      <c r="BA91" s="56">
        <f>IF($AS91=1,IF(COUNTIFS($A$6:$A91,$A91,$AS$6:$AS91,1)=1,1,0),0)</f>
        <v>0</v>
      </c>
      <c r="BB91" s="55" t="str">
        <f>IF($BA91=1,SUMIFS($Q$6:$Q$1005,$A$6:$A$1005,$A91,$AS$6:$AS$1005,1),"")</f>
        <v/>
      </c>
      <c r="BC91" s="56">
        <f>IF(ISNUMBER($R91),1,0)</f>
        <v>0</v>
      </c>
      <c r="BD91" s="55" t="str">
        <f>IF(ISNUMBER($U91),$U91*$V91,"")</f>
        <v/>
      </c>
      <c r="BE91" s="56" t="str">
        <f>IF($AM91=0,"",IFERROR(MATCH($AF91&amp;"|"&amp;UPPER(TRIM($E91)),Lists!$A$6:$A$205,0),0))</f>
        <v/>
      </c>
      <c r="BF91" s="56" t="str">
        <f>IF($AM91=0,"",IFERROR(MATCH($AF91,Settings!$B$14:$B$18,0),IFERROR(MATCH(Settings!$C$6,Settings!$B$14:$B$18,0),1)))</f>
        <v/>
      </c>
      <c r="BG91" s="58" t="str">
        <f>IF($AM91=0,"",IF(NOT(ISNUMBER($I91)),"No stop; ","")&amp;IF(AND(ISNUMBER($H91),ISNUMBER($I91)),IF(OR(AND($F91&lt;&gt;"Short",$I91&gt;=$H91),AND($F91="Short",$I91&lt;=$H91)),"Stop on wrong side; ",""),"")&amp;IF($F91="","No direction; ","")&amp;IF(AND(ISNUMBER(Settings!$C$22),ISNUMBER($V91)),IF($V91&gt;Settings!$C$22,"Risk over max $; ",""),"")&amp;IF(AND(ISNUMBER(Settings!$C$23),ISNUMBER($V91),ISNUMBER($AP91),IFERROR(N(INDEX(Accounts!$E$7:$E$16,MATCH($C91,Accounts!$B$7:$B$16,0))),0)&gt;0),IF($V91&gt;Settings!$C$23*($AP91-N($Q91)),"Risk over max %; ",""),"")&amp;IF(AND(ISNUMBER(Settings!$C$24),ISNUMBER($N91)),IF($N91&gt;Settings!$C$24,"Leverage over max; ",""),"")&amp;IF(AND(ISNUMBER(Settings!$C$27),ISNUMBER($T91)),IF($T91&lt;Settings!$C$27,"R:R below min; ",""),"")&amp;IF(ISNUMBER(Settings!$C$25),IF(COUNTIFS($A$6:$A91,$A91,$AM$6:$AM91,1)&gt;Settings!$C$25,"Over max trades/day; ",""),"")&amp;IF(ISNUMBER(Settings!$C$26),IF(SUMIFS($Q$5:$Q90,$A$5:$A90,$A91)&lt;=-Settings!$C$26,"Traded after daily max loss; ",""),"")&amp;IF(AND($AG91="",NOT(ISNUMBER($O91))),"Symbol not in Instruments; ","")&amp;IF(AND($AH91="",NOT(ISNUMBER($O91))),"Forex cross: type Gross P&amp;L; ",""))</f>
        <v/>
      </c>
      <c r="BH91" s="56">
        <f>IF(ISNUMBER($Q91),1,0)</f>
        <v>0</v>
      </c>
      <c r="BI91" s="56">
        <f>IF($Y91="",0,1)</f>
        <v>0</v>
      </c>
      <c r="BJ91" s="56">
        <f>IF($AB91="",0,1)</f>
        <v>0</v>
      </c>
      <c r="BK91" s="56">
        <f>IF(AND($BH91=1,$W91&lt;&gt;"OK"),1,0)</f>
        <v>0</v>
      </c>
      <c r="BL91" s="55">
        <f>IF(N($AZ91)=0,0,IFERROR(INDEX($AT$6:$AT$1005,MATCH($AZ91,$AY$6:$AY$1005,0)),0))</f>
        <v>1187.10688</v>
      </c>
      <c r="BM91" s="56">
        <f>IF(ISNUMBER(SEARCH("daily max loss",$BG91)),1,0)</f>
        <v>0</v>
      </c>
    </row>
    <row r="92" ht="18" customHeight="1">
      <c r="A92" s="38" t="n"/>
      <c r="B92" s="39" t="n"/>
      <c r="C92" s="40" t="n"/>
      <c r="D92" s="41" t="n"/>
      <c r="E92" s="41" t="n"/>
      <c r="F92" s="41" t="n"/>
      <c r="G92" s="41" t="n"/>
      <c r="H92" s="42" t="n"/>
      <c r="I92" s="42" t="n"/>
      <c r="J92" s="42" t="n"/>
      <c r="K92" s="42" t="n"/>
      <c r="L92" s="41" t="n"/>
      <c r="M92" s="41" t="n"/>
      <c r="N92" s="41" t="n"/>
      <c r="O92" s="43" t="n"/>
      <c r="P92" s="43" t="n"/>
      <c r="Q92" s="44" t="str">
        <f>IF($AM92=0,"",IF(ISNUMBER($AK92),$AK92-N($AL92),""))</f>
        <v/>
      </c>
      <c r="R92" s="45" t="str">
        <f>IF(OR($Q92="",NOT(ISNUMBER($V92))),"",$AK92/$V92)</f>
        <v/>
      </c>
      <c r="S92" s="46" t="str">
        <f>IF($Q92="","",IF(AND(ISNUMBER($R92),ABS(N($R92))&lt;N(Settings!$C$8)),"Scratch",IF($Q92&gt;0,"Win",IF($Q92&lt;0,"Loss","Scratch"))))</f>
        <v/>
      </c>
      <c r="T92" s="47" t="str">
        <f>IF(OR($AM92=0,NOT(ISNUMBER($H92)),NOT(ISNUMBER($I92)),NOT(ISNUMBER($J92))),"",IF($H92=$I92,"",ROUND(ABS($J92-$H92)/ABS($H92-$I92),6)))</f>
        <v/>
      </c>
      <c r="U92" s="48" t="str">
        <f>IF(OR($S92&lt;&gt;"Win",NOT(ISNUMBER($T92)),NOT(ISNUMBER($R92))),"",MAX(0,$T92-$R92))</f>
        <v/>
      </c>
      <c r="V92" s="49" t="str">
        <f>IF(OR($AM92=0,NOT(ISNUMBER($H92)),NOT(ISNUMBER($I92)),NOT(ISNUMBER($G92))),"",IF(OR($AG92="",$AH92=""),"",IF(ROUND(ABS($H92-$I92)*ABS($G92)*$AG92*$AH92,6)=0,"",ROUND(ABS($H92-$I92)*ABS($G92)*$AG92*$AH92,6))))</f>
        <v/>
      </c>
      <c r="W92" s="50" t="str">
        <f>IF($AM92=0,"",IF($BG92="","OK",LEFT($BG92,LEN($BG92)-2)))</f>
        <v/>
      </c>
      <c r="X92" s="41" t="n"/>
      <c r="Y92" s="40" t="n"/>
      <c r="Z92" s="41" t="n"/>
      <c r="AA92" s="41" t="n"/>
      <c r="AB92" s="40" t="n"/>
      <c r="AC92" s="51" t="n"/>
      <c r="AD92" s="51" t="n"/>
      <c r="AE92" s="40" t="n"/>
      <c r="AF92" s="52" t="str">
        <f>IF($AM92=0,"",IF($D92&lt;&gt;"",$D92,IF(IFERROR(INDEX(Accounts!$C$7:$C$16,MATCH($C92,Accounts!$B$7:$B$16,0))&amp;"","")&lt;&gt;"",INDEX(Accounts!$C$7:$C$16,MATCH($C92,Accounts!$B$7:$B$16,0)),Settings!$C$6)))</f>
        <v/>
      </c>
      <c r="AG92" s="53" t="str">
        <f>IF($AM92=0,"",IF(AND($BE92&gt;0,N(INDEX(Instruments!$D$6:$D$205,MAX(1,$BE92)))&gt;0),INDEX(Instruments!$D$6:$D$205,MAX(1,$BE92)),IF(N(INDEX(Settings!$D$14:$D$18,$BF92))&gt;0,INDEX(Settings!$D$14:$D$18,$BF92),"")))</f>
        <v/>
      </c>
      <c r="AH92" s="54" t="str">
        <f>IF($AM92=0,"",IF($AF92&lt;&gt;"Forex",1,IF(MID(UPPER(SUBSTITUTE(TRIM($E92),"/","")),4,3)=UPPER(TRIM(Settings!$C$7)),1,IF(LEFT(UPPER(SUBSTITUTE(TRIM($E92),"/","")),3)=UPPER(TRIM(Settings!$C$7)),IF(AND(ISNUMBER($K92),N($K92)&lt;&gt;0),1/$K92,""),""))))</f>
        <v/>
      </c>
      <c r="AI92" s="55" t="str">
        <f>IF($AM92=0,"",IF(OR(NOT(ISNUMBER($H92)),NOT(ISNUMBER($K92)),NOT(ISNUMBER($G92)),$AG92="",$AH92=""),"",ROUND(($K92-$H92)*IF($F92="Short",-1,1)*$G92*$AG92*$AH92,6)))</f>
        <v/>
      </c>
      <c r="AJ92" s="55" t="str">
        <f>IF($AM92=0,"",IF(INDEX(Settings!$E$14:$E$18,$BF92)="% of notional",IF(OR($AG92="",NOT(ISNUMBER($H92)),NOT(ISNUMBER($G92))),"",ROUND(ABS($H92*$G92*$AG92*N($AH92))*IF($L92="Limit",N(INDEX(Settings!$G$14:$G$18,$BF92)),N(INDEX(Settings!$H$14:$H$18,$BF92)))+IF(ISNUMBER($K92),ABS($K92*$G92*$AG92*N($AH92))*IF($M92="Target",N(INDEX(Settings!$G$14:$G$18,$BF92)),N(INDEX(Settings!$H$14:$H$18,$BF92))),0),6)),IF(NOT(ISNUMBER($G92)),"",ROUND(ABS($G92)*2*IF(AND($BE92&gt;0,ISNUMBER(INDEX(Instruments!$G$6:$G$205,MAX(1,$BE92)))),INDEX(Instruments!$G$6:$G$205,MAX(1,$BE92)),N(INDEX(Settings!$F$14:$F$18,$BF92))),6))))</f>
        <v/>
      </c>
      <c r="AK92" s="55" t="str">
        <f>IF($AM92=0,"",IF(ISNUMBER($O92),$O92,$AI92))</f>
        <v/>
      </c>
      <c r="AL92" s="55" t="str">
        <f>IF($AM92=0,"",IF(ISNUMBER($P92),$P92,N($AJ92)))</f>
        <v/>
      </c>
      <c r="AM92" s="56">
        <f>IF(AND($A92&lt;&gt;"",$E92&lt;&gt;"",OR(AND(ISNUMBER($G92),ISNUMBER($H92),ISNUMBER($K92)),ISNUMBER($O92))),1,0)</f>
        <v>0</v>
      </c>
      <c r="AN92" s="57" t="str">
        <f>IF($A92="","",$A92-WEEKDAY($A92,3))</f>
        <v/>
      </c>
      <c r="AO92" s="56" t="str">
        <f>IF($A92="","",WEEKDAY($A92,2))</f>
        <v/>
      </c>
      <c r="AP92" s="55" t="str">
        <f>IF(OR($AM92=0,$C92=""),"",IFERROR(N(INDEX(Accounts!$E$7:$E$16,MATCH($C92,Accounts!$B$7:$B$16,0))),0)+SUMIFS($Q$6:$Q92,$C$6:$C92,$C92))</f>
        <v/>
      </c>
      <c r="AQ92" s="55" t="str">
        <f>IF(OR($AM92=0,$C92=""),"",SUMIFS($Q$6:$Q$1005,$C$6:$C$1005,$C92,$A$6:$A$1005,$A92))</f>
        <v/>
      </c>
      <c r="AR92" s="55" t="str">
        <f>IF(OR($AM92=0,$C92=""),"",IFERROR(N(INDEX(Accounts!$E$7:$E$16,MATCH($C92,Accounts!$B$7:$B$16,0))),0)+SUMIFS($Q$6:$Q$1005,$C$6:$C$1005,$C92,$A$6:$A$1005,"&lt;="&amp;$A92))</f>
        <v/>
      </c>
      <c r="AS92" s="56">
        <f>IF(OR($AM92=0,$Q92=""),0,IF(AND($A92&gt;=Lists!$W$6,$A92&lt;=Lists!$W$7,OR(Dashboard!$D$6="All accounts",$C92=Dashboard!$D$6),OR(Dashboard!$D$7="All markets",$AF92=Dashboard!$D$7)),1,0))</f>
        <v>0</v>
      </c>
      <c r="AT92" s="55">
        <f>IF($AS92=1,N(AT91)+$Q92,N(AT91))</f>
        <v>1187.10688</v>
      </c>
      <c r="AU92" s="55">
        <f>MAX(N(AU91),$AT92)</f>
        <v>1187.10688</v>
      </c>
      <c r="AV92" s="55">
        <f>$AT92-$AU92</f>
        <v>0</v>
      </c>
      <c r="AW92" s="56">
        <f>IF($AS92=1,IF($S92="Win",N(AW91)+1,IF($S92="Loss",0,N(AW91))),N(AW91))</f>
        <v>5</v>
      </c>
      <c r="AX92" s="56">
        <f>IF($AS92=1,IF($S92="Loss",N(AX91)+1,IF($S92="Win",0,N(AX91))),N(AX91))</f>
        <v>0</v>
      </c>
      <c r="AY92" s="56" t="str">
        <f>IF($AS92=1,COUNTIF($AS$6:$AS92,1),"")</f>
        <v/>
      </c>
      <c r="AZ92" s="56">
        <f>MIN(86,N(Lists!$W$8))</f>
        <v>28</v>
      </c>
      <c r="BA92" s="56">
        <f>IF($AS92=1,IF(COUNTIFS($A$6:$A92,$A92,$AS$6:$AS92,1)=1,1,0),0)</f>
        <v>0</v>
      </c>
      <c r="BB92" s="55" t="str">
        <f>IF($BA92=1,SUMIFS($Q$6:$Q$1005,$A$6:$A$1005,$A92,$AS$6:$AS$1005,1),"")</f>
        <v/>
      </c>
      <c r="BC92" s="56">
        <f>IF(ISNUMBER($R92),1,0)</f>
        <v>0</v>
      </c>
      <c r="BD92" s="55" t="str">
        <f>IF(ISNUMBER($U92),$U92*$V92,"")</f>
        <v/>
      </c>
      <c r="BE92" s="56" t="str">
        <f>IF($AM92=0,"",IFERROR(MATCH($AF92&amp;"|"&amp;UPPER(TRIM($E92)),Lists!$A$6:$A$205,0),0))</f>
        <v/>
      </c>
      <c r="BF92" s="56" t="str">
        <f>IF($AM92=0,"",IFERROR(MATCH($AF92,Settings!$B$14:$B$18,0),IFERROR(MATCH(Settings!$C$6,Settings!$B$14:$B$18,0),1)))</f>
        <v/>
      </c>
      <c r="BG92" s="58" t="str">
        <f>IF($AM92=0,"",IF(NOT(ISNUMBER($I92)),"No stop; ","")&amp;IF(AND(ISNUMBER($H92),ISNUMBER($I92)),IF(OR(AND($F92&lt;&gt;"Short",$I92&gt;=$H92),AND($F92="Short",$I92&lt;=$H92)),"Stop on wrong side; ",""),"")&amp;IF($F92="","No direction; ","")&amp;IF(AND(ISNUMBER(Settings!$C$22),ISNUMBER($V92)),IF($V92&gt;Settings!$C$22,"Risk over max $; ",""),"")&amp;IF(AND(ISNUMBER(Settings!$C$23),ISNUMBER($V92),ISNUMBER($AP92),IFERROR(N(INDEX(Accounts!$E$7:$E$16,MATCH($C92,Accounts!$B$7:$B$16,0))),0)&gt;0),IF($V92&gt;Settings!$C$23*($AP92-N($Q92)),"Risk over max %; ",""),"")&amp;IF(AND(ISNUMBER(Settings!$C$24),ISNUMBER($N92)),IF($N92&gt;Settings!$C$24,"Leverage over max; ",""),"")&amp;IF(AND(ISNUMBER(Settings!$C$27),ISNUMBER($T92)),IF($T92&lt;Settings!$C$27,"R:R below min; ",""),"")&amp;IF(ISNUMBER(Settings!$C$25),IF(COUNTIFS($A$6:$A92,$A92,$AM$6:$AM92,1)&gt;Settings!$C$25,"Over max trades/day; ",""),"")&amp;IF(ISNUMBER(Settings!$C$26),IF(SUMIFS($Q$5:$Q91,$A$5:$A91,$A92)&lt;=-Settings!$C$26,"Traded after daily max loss; ",""),"")&amp;IF(AND($AG92="",NOT(ISNUMBER($O92))),"Symbol not in Instruments; ","")&amp;IF(AND($AH92="",NOT(ISNUMBER($O92))),"Forex cross: type Gross P&amp;L; ",""))</f>
        <v/>
      </c>
      <c r="BH92" s="56">
        <f>IF(ISNUMBER($Q92),1,0)</f>
        <v>0</v>
      </c>
      <c r="BI92" s="56">
        <f>IF($Y92="",0,1)</f>
        <v>0</v>
      </c>
      <c r="BJ92" s="56">
        <f>IF($AB92="",0,1)</f>
        <v>0</v>
      </c>
      <c r="BK92" s="56">
        <f>IF(AND($BH92=1,$W92&lt;&gt;"OK"),1,0)</f>
        <v>0</v>
      </c>
      <c r="BL92" s="55">
        <f>IF(N($AZ92)=0,0,IFERROR(INDEX($AT$6:$AT$1005,MATCH($AZ92,$AY$6:$AY$1005,0)),0))</f>
        <v>1187.10688</v>
      </c>
      <c r="BM92" s="56">
        <f>IF(ISNUMBER(SEARCH("daily max loss",$BG92)),1,0)</f>
        <v>0</v>
      </c>
    </row>
    <row r="93" ht="18" customHeight="1">
      <c r="A93" s="38" t="n"/>
      <c r="B93" s="39" t="n"/>
      <c r="C93" s="40" t="n"/>
      <c r="D93" s="41" t="n"/>
      <c r="E93" s="41" t="n"/>
      <c r="F93" s="41" t="n"/>
      <c r="G93" s="41" t="n"/>
      <c r="H93" s="42" t="n"/>
      <c r="I93" s="42" t="n"/>
      <c r="J93" s="42" t="n"/>
      <c r="K93" s="42" t="n"/>
      <c r="L93" s="41" t="n"/>
      <c r="M93" s="41" t="n"/>
      <c r="N93" s="41" t="n"/>
      <c r="O93" s="43" t="n"/>
      <c r="P93" s="43" t="n"/>
      <c r="Q93" s="44" t="str">
        <f>IF($AM93=0,"",IF(ISNUMBER($AK93),$AK93-N($AL93),""))</f>
        <v/>
      </c>
      <c r="R93" s="45" t="str">
        <f>IF(OR($Q93="",NOT(ISNUMBER($V93))),"",$AK93/$V93)</f>
        <v/>
      </c>
      <c r="S93" s="46" t="str">
        <f>IF($Q93="","",IF(AND(ISNUMBER($R93),ABS(N($R93))&lt;N(Settings!$C$8)),"Scratch",IF($Q93&gt;0,"Win",IF($Q93&lt;0,"Loss","Scratch"))))</f>
        <v/>
      </c>
      <c r="T93" s="47" t="str">
        <f>IF(OR($AM93=0,NOT(ISNUMBER($H93)),NOT(ISNUMBER($I93)),NOT(ISNUMBER($J93))),"",IF($H93=$I93,"",ROUND(ABS($J93-$H93)/ABS($H93-$I93),6)))</f>
        <v/>
      </c>
      <c r="U93" s="48" t="str">
        <f>IF(OR($S93&lt;&gt;"Win",NOT(ISNUMBER($T93)),NOT(ISNUMBER($R93))),"",MAX(0,$T93-$R93))</f>
        <v/>
      </c>
      <c r="V93" s="49" t="str">
        <f>IF(OR($AM93=0,NOT(ISNUMBER($H93)),NOT(ISNUMBER($I93)),NOT(ISNUMBER($G93))),"",IF(OR($AG93="",$AH93=""),"",IF(ROUND(ABS($H93-$I93)*ABS($G93)*$AG93*$AH93,6)=0,"",ROUND(ABS($H93-$I93)*ABS($G93)*$AG93*$AH93,6))))</f>
        <v/>
      </c>
      <c r="W93" s="50" t="str">
        <f>IF($AM93=0,"",IF($BG93="","OK",LEFT($BG93,LEN($BG93)-2)))</f>
        <v/>
      </c>
      <c r="X93" s="41" t="n"/>
      <c r="Y93" s="40" t="n"/>
      <c r="Z93" s="41" t="n"/>
      <c r="AA93" s="41" t="n"/>
      <c r="AB93" s="40" t="n"/>
      <c r="AC93" s="51" t="n"/>
      <c r="AD93" s="51" t="n"/>
      <c r="AE93" s="40" t="n"/>
      <c r="AF93" s="52" t="str">
        <f>IF($AM93=0,"",IF($D93&lt;&gt;"",$D93,IF(IFERROR(INDEX(Accounts!$C$7:$C$16,MATCH($C93,Accounts!$B$7:$B$16,0))&amp;"","")&lt;&gt;"",INDEX(Accounts!$C$7:$C$16,MATCH($C93,Accounts!$B$7:$B$16,0)),Settings!$C$6)))</f>
        <v/>
      </c>
      <c r="AG93" s="53" t="str">
        <f>IF($AM93=0,"",IF(AND($BE93&gt;0,N(INDEX(Instruments!$D$6:$D$205,MAX(1,$BE93)))&gt;0),INDEX(Instruments!$D$6:$D$205,MAX(1,$BE93)),IF(N(INDEX(Settings!$D$14:$D$18,$BF93))&gt;0,INDEX(Settings!$D$14:$D$18,$BF93),"")))</f>
        <v/>
      </c>
      <c r="AH93" s="54" t="str">
        <f>IF($AM93=0,"",IF($AF93&lt;&gt;"Forex",1,IF(MID(UPPER(SUBSTITUTE(TRIM($E93),"/","")),4,3)=UPPER(TRIM(Settings!$C$7)),1,IF(LEFT(UPPER(SUBSTITUTE(TRIM($E93),"/","")),3)=UPPER(TRIM(Settings!$C$7)),IF(AND(ISNUMBER($K93),N($K93)&lt;&gt;0),1/$K93,""),""))))</f>
        <v/>
      </c>
      <c r="AI93" s="55" t="str">
        <f>IF($AM93=0,"",IF(OR(NOT(ISNUMBER($H93)),NOT(ISNUMBER($K93)),NOT(ISNUMBER($G93)),$AG93="",$AH93=""),"",ROUND(($K93-$H93)*IF($F93="Short",-1,1)*$G93*$AG93*$AH93,6)))</f>
        <v/>
      </c>
      <c r="AJ93" s="55" t="str">
        <f>IF($AM93=0,"",IF(INDEX(Settings!$E$14:$E$18,$BF93)="% of notional",IF(OR($AG93="",NOT(ISNUMBER($H93)),NOT(ISNUMBER($G93))),"",ROUND(ABS($H93*$G93*$AG93*N($AH93))*IF($L93="Limit",N(INDEX(Settings!$G$14:$G$18,$BF93)),N(INDEX(Settings!$H$14:$H$18,$BF93)))+IF(ISNUMBER($K93),ABS($K93*$G93*$AG93*N($AH93))*IF($M93="Target",N(INDEX(Settings!$G$14:$G$18,$BF93)),N(INDEX(Settings!$H$14:$H$18,$BF93))),0),6)),IF(NOT(ISNUMBER($G93)),"",ROUND(ABS($G93)*2*IF(AND($BE93&gt;0,ISNUMBER(INDEX(Instruments!$G$6:$G$205,MAX(1,$BE93)))),INDEX(Instruments!$G$6:$G$205,MAX(1,$BE93)),N(INDEX(Settings!$F$14:$F$18,$BF93))),6))))</f>
        <v/>
      </c>
      <c r="AK93" s="55" t="str">
        <f>IF($AM93=0,"",IF(ISNUMBER($O93),$O93,$AI93))</f>
        <v/>
      </c>
      <c r="AL93" s="55" t="str">
        <f>IF($AM93=0,"",IF(ISNUMBER($P93),$P93,N($AJ93)))</f>
        <v/>
      </c>
      <c r="AM93" s="56">
        <f>IF(AND($A93&lt;&gt;"",$E93&lt;&gt;"",OR(AND(ISNUMBER($G93),ISNUMBER($H93),ISNUMBER($K93)),ISNUMBER($O93))),1,0)</f>
        <v>0</v>
      </c>
      <c r="AN93" s="57" t="str">
        <f>IF($A93="","",$A93-WEEKDAY($A93,3))</f>
        <v/>
      </c>
      <c r="AO93" s="56" t="str">
        <f>IF($A93="","",WEEKDAY($A93,2))</f>
        <v/>
      </c>
      <c r="AP93" s="55" t="str">
        <f>IF(OR($AM93=0,$C93=""),"",IFERROR(N(INDEX(Accounts!$E$7:$E$16,MATCH($C93,Accounts!$B$7:$B$16,0))),0)+SUMIFS($Q$6:$Q93,$C$6:$C93,$C93))</f>
        <v/>
      </c>
      <c r="AQ93" s="55" t="str">
        <f>IF(OR($AM93=0,$C93=""),"",SUMIFS($Q$6:$Q$1005,$C$6:$C$1005,$C93,$A$6:$A$1005,$A93))</f>
        <v/>
      </c>
      <c r="AR93" s="55" t="str">
        <f>IF(OR($AM93=0,$C93=""),"",IFERROR(N(INDEX(Accounts!$E$7:$E$16,MATCH($C93,Accounts!$B$7:$B$16,0))),0)+SUMIFS($Q$6:$Q$1005,$C$6:$C$1005,$C93,$A$6:$A$1005,"&lt;="&amp;$A93))</f>
        <v/>
      </c>
      <c r="AS93" s="56">
        <f>IF(OR($AM93=0,$Q93=""),0,IF(AND($A93&gt;=Lists!$W$6,$A93&lt;=Lists!$W$7,OR(Dashboard!$D$6="All accounts",$C93=Dashboard!$D$6),OR(Dashboard!$D$7="All markets",$AF93=Dashboard!$D$7)),1,0))</f>
        <v>0</v>
      </c>
      <c r="AT93" s="55">
        <f>IF($AS93=1,N(AT92)+$Q93,N(AT92))</f>
        <v>1187.10688</v>
      </c>
      <c r="AU93" s="55">
        <f>MAX(N(AU92),$AT93)</f>
        <v>1187.10688</v>
      </c>
      <c r="AV93" s="55">
        <f>$AT93-$AU93</f>
        <v>0</v>
      </c>
      <c r="AW93" s="56">
        <f>IF($AS93=1,IF($S93="Win",N(AW92)+1,IF($S93="Loss",0,N(AW92))),N(AW92))</f>
        <v>5</v>
      </c>
      <c r="AX93" s="56">
        <f>IF($AS93=1,IF($S93="Loss",N(AX92)+1,IF($S93="Win",0,N(AX92))),N(AX92))</f>
        <v>0</v>
      </c>
      <c r="AY93" s="56" t="str">
        <f>IF($AS93=1,COUNTIF($AS$6:$AS93,1),"")</f>
        <v/>
      </c>
      <c r="AZ93" s="56">
        <f>MIN(87,N(Lists!$W$8))</f>
        <v>28</v>
      </c>
      <c r="BA93" s="56">
        <f>IF($AS93=1,IF(COUNTIFS($A$6:$A93,$A93,$AS$6:$AS93,1)=1,1,0),0)</f>
        <v>0</v>
      </c>
      <c r="BB93" s="55" t="str">
        <f>IF($BA93=1,SUMIFS($Q$6:$Q$1005,$A$6:$A$1005,$A93,$AS$6:$AS$1005,1),"")</f>
        <v/>
      </c>
      <c r="BC93" s="56">
        <f>IF(ISNUMBER($R93),1,0)</f>
        <v>0</v>
      </c>
      <c r="BD93" s="55" t="str">
        <f>IF(ISNUMBER($U93),$U93*$V93,"")</f>
        <v/>
      </c>
      <c r="BE93" s="56" t="str">
        <f>IF($AM93=0,"",IFERROR(MATCH($AF93&amp;"|"&amp;UPPER(TRIM($E93)),Lists!$A$6:$A$205,0),0))</f>
        <v/>
      </c>
      <c r="BF93" s="56" t="str">
        <f>IF($AM93=0,"",IFERROR(MATCH($AF93,Settings!$B$14:$B$18,0),IFERROR(MATCH(Settings!$C$6,Settings!$B$14:$B$18,0),1)))</f>
        <v/>
      </c>
      <c r="BG93" s="58" t="str">
        <f>IF($AM93=0,"",IF(NOT(ISNUMBER($I93)),"No stop; ","")&amp;IF(AND(ISNUMBER($H93),ISNUMBER($I93)),IF(OR(AND($F93&lt;&gt;"Short",$I93&gt;=$H93),AND($F93="Short",$I93&lt;=$H93)),"Stop on wrong side; ",""),"")&amp;IF($F93="","No direction; ","")&amp;IF(AND(ISNUMBER(Settings!$C$22),ISNUMBER($V93)),IF($V93&gt;Settings!$C$22,"Risk over max $; ",""),"")&amp;IF(AND(ISNUMBER(Settings!$C$23),ISNUMBER($V93),ISNUMBER($AP93),IFERROR(N(INDEX(Accounts!$E$7:$E$16,MATCH($C93,Accounts!$B$7:$B$16,0))),0)&gt;0),IF($V93&gt;Settings!$C$23*($AP93-N($Q93)),"Risk over max %; ",""),"")&amp;IF(AND(ISNUMBER(Settings!$C$24),ISNUMBER($N93)),IF($N93&gt;Settings!$C$24,"Leverage over max; ",""),"")&amp;IF(AND(ISNUMBER(Settings!$C$27),ISNUMBER($T93)),IF($T93&lt;Settings!$C$27,"R:R below min; ",""),"")&amp;IF(ISNUMBER(Settings!$C$25),IF(COUNTIFS($A$6:$A93,$A93,$AM$6:$AM93,1)&gt;Settings!$C$25,"Over max trades/day; ",""),"")&amp;IF(ISNUMBER(Settings!$C$26),IF(SUMIFS($Q$5:$Q92,$A$5:$A92,$A93)&lt;=-Settings!$C$26,"Traded after daily max loss; ",""),"")&amp;IF(AND($AG93="",NOT(ISNUMBER($O93))),"Symbol not in Instruments; ","")&amp;IF(AND($AH93="",NOT(ISNUMBER($O93))),"Forex cross: type Gross P&amp;L; ",""))</f>
        <v/>
      </c>
      <c r="BH93" s="56">
        <f>IF(ISNUMBER($Q93),1,0)</f>
        <v>0</v>
      </c>
      <c r="BI93" s="56">
        <f>IF($Y93="",0,1)</f>
        <v>0</v>
      </c>
      <c r="BJ93" s="56">
        <f>IF($AB93="",0,1)</f>
        <v>0</v>
      </c>
      <c r="BK93" s="56">
        <f>IF(AND($BH93=1,$W93&lt;&gt;"OK"),1,0)</f>
        <v>0</v>
      </c>
      <c r="BL93" s="55">
        <f>IF(N($AZ93)=0,0,IFERROR(INDEX($AT$6:$AT$1005,MATCH($AZ93,$AY$6:$AY$1005,0)),0))</f>
        <v>1187.10688</v>
      </c>
      <c r="BM93" s="56">
        <f>IF(ISNUMBER(SEARCH("daily max loss",$BG93)),1,0)</f>
        <v>0</v>
      </c>
    </row>
    <row r="94" ht="18" customHeight="1">
      <c r="A94" s="38" t="n"/>
      <c r="B94" s="39" t="n"/>
      <c r="C94" s="40" t="n"/>
      <c r="D94" s="41" t="n"/>
      <c r="E94" s="41" t="n"/>
      <c r="F94" s="41" t="n"/>
      <c r="G94" s="41" t="n"/>
      <c r="H94" s="42" t="n"/>
      <c r="I94" s="42" t="n"/>
      <c r="J94" s="42" t="n"/>
      <c r="K94" s="42" t="n"/>
      <c r="L94" s="41" t="n"/>
      <c r="M94" s="41" t="n"/>
      <c r="N94" s="41" t="n"/>
      <c r="O94" s="43" t="n"/>
      <c r="P94" s="43" t="n"/>
      <c r="Q94" s="44" t="str">
        <f>IF($AM94=0,"",IF(ISNUMBER($AK94),$AK94-N($AL94),""))</f>
        <v/>
      </c>
      <c r="R94" s="45" t="str">
        <f>IF(OR($Q94="",NOT(ISNUMBER($V94))),"",$AK94/$V94)</f>
        <v/>
      </c>
      <c r="S94" s="46" t="str">
        <f>IF($Q94="","",IF(AND(ISNUMBER($R94),ABS(N($R94))&lt;N(Settings!$C$8)),"Scratch",IF($Q94&gt;0,"Win",IF($Q94&lt;0,"Loss","Scratch"))))</f>
        <v/>
      </c>
      <c r="T94" s="47" t="str">
        <f>IF(OR($AM94=0,NOT(ISNUMBER($H94)),NOT(ISNUMBER($I94)),NOT(ISNUMBER($J94))),"",IF($H94=$I94,"",ROUND(ABS($J94-$H94)/ABS($H94-$I94),6)))</f>
        <v/>
      </c>
      <c r="U94" s="48" t="str">
        <f>IF(OR($S94&lt;&gt;"Win",NOT(ISNUMBER($T94)),NOT(ISNUMBER($R94))),"",MAX(0,$T94-$R94))</f>
        <v/>
      </c>
      <c r="V94" s="49" t="str">
        <f>IF(OR($AM94=0,NOT(ISNUMBER($H94)),NOT(ISNUMBER($I94)),NOT(ISNUMBER($G94))),"",IF(OR($AG94="",$AH94=""),"",IF(ROUND(ABS($H94-$I94)*ABS($G94)*$AG94*$AH94,6)=0,"",ROUND(ABS($H94-$I94)*ABS($G94)*$AG94*$AH94,6))))</f>
        <v/>
      </c>
      <c r="W94" s="50" t="str">
        <f>IF($AM94=0,"",IF($BG94="","OK",LEFT($BG94,LEN($BG94)-2)))</f>
        <v/>
      </c>
      <c r="X94" s="41" t="n"/>
      <c r="Y94" s="40" t="n"/>
      <c r="Z94" s="41" t="n"/>
      <c r="AA94" s="41" t="n"/>
      <c r="AB94" s="40" t="n"/>
      <c r="AC94" s="51" t="n"/>
      <c r="AD94" s="51" t="n"/>
      <c r="AE94" s="40" t="n"/>
      <c r="AF94" s="52" t="str">
        <f>IF($AM94=0,"",IF($D94&lt;&gt;"",$D94,IF(IFERROR(INDEX(Accounts!$C$7:$C$16,MATCH($C94,Accounts!$B$7:$B$16,0))&amp;"","")&lt;&gt;"",INDEX(Accounts!$C$7:$C$16,MATCH($C94,Accounts!$B$7:$B$16,0)),Settings!$C$6)))</f>
        <v/>
      </c>
      <c r="AG94" s="53" t="str">
        <f>IF($AM94=0,"",IF(AND($BE94&gt;0,N(INDEX(Instruments!$D$6:$D$205,MAX(1,$BE94)))&gt;0),INDEX(Instruments!$D$6:$D$205,MAX(1,$BE94)),IF(N(INDEX(Settings!$D$14:$D$18,$BF94))&gt;0,INDEX(Settings!$D$14:$D$18,$BF94),"")))</f>
        <v/>
      </c>
      <c r="AH94" s="54" t="str">
        <f>IF($AM94=0,"",IF($AF94&lt;&gt;"Forex",1,IF(MID(UPPER(SUBSTITUTE(TRIM($E94),"/","")),4,3)=UPPER(TRIM(Settings!$C$7)),1,IF(LEFT(UPPER(SUBSTITUTE(TRIM($E94),"/","")),3)=UPPER(TRIM(Settings!$C$7)),IF(AND(ISNUMBER($K94),N($K94)&lt;&gt;0),1/$K94,""),""))))</f>
        <v/>
      </c>
      <c r="AI94" s="55" t="str">
        <f>IF($AM94=0,"",IF(OR(NOT(ISNUMBER($H94)),NOT(ISNUMBER($K94)),NOT(ISNUMBER($G94)),$AG94="",$AH94=""),"",ROUND(($K94-$H94)*IF($F94="Short",-1,1)*$G94*$AG94*$AH94,6)))</f>
        <v/>
      </c>
      <c r="AJ94" s="55" t="str">
        <f>IF($AM94=0,"",IF(INDEX(Settings!$E$14:$E$18,$BF94)="% of notional",IF(OR($AG94="",NOT(ISNUMBER($H94)),NOT(ISNUMBER($G94))),"",ROUND(ABS($H94*$G94*$AG94*N($AH94))*IF($L94="Limit",N(INDEX(Settings!$G$14:$G$18,$BF94)),N(INDEX(Settings!$H$14:$H$18,$BF94)))+IF(ISNUMBER($K94),ABS($K94*$G94*$AG94*N($AH94))*IF($M94="Target",N(INDEX(Settings!$G$14:$G$18,$BF94)),N(INDEX(Settings!$H$14:$H$18,$BF94))),0),6)),IF(NOT(ISNUMBER($G94)),"",ROUND(ABS($G94)*2*IF(AND($BE94&gt;0,ISNUMBER(INDEX(Instruments!$G$6:$G$205,MAX(1,$BE94)))),INDEX(Instruments!$G$6:$G$205,MAX(1,$BE94)),N(INDEX(Settings!$F$14:$F$18,$BF94))),6))))</f>
        <v/>
      </c>
      <c r="AK94" s="55" t="str">
        <f>IF($AM94=0,"",IF(ISNUMBER($O94),$O94,$AI94))</f>
        <v/>
      </c>
      <c r="AL94" s="55" t="str">
        <f>IF($AM94=0,"",IF(ISNUMBER($P94),$P94,N($AJ94)))</f>
        <v/>
      </c>
      <c r="AM94" s="56">
        <f>IF(AND($A94&lt;&gt;"",$E94&lt;&gt;"",OR(AND(ISNUMBER($G94),ISNUMBER($H94),ISNUMBER($K94)),ISNUMBER($O94))),1,0)</f>
        <v>0</v>
      </c>
      <c r="AN94" s="57" t="str">
        <f>IF($A94="","",$A94-WEEKDAY($A94,3))</f>
        <v/>
      </c>
      <c r="AO94" s="56" t="str">
        <f>IF($A94="","",WEEKDAY($A94,2))</f>
        <v/>
      </c>
      <c r="AP94" s="55" t="str">
        <f>IF(OR($AM94=0,$C94=""),"",IFERROR(N(INDEX(Accounts!$E$7:$E$16,MATCH($C94,Accounts!$B$7:$B$16,0))),0)+SUMIFS($Q$6:$Q94,$C$6:$C94,$C94))</f>
        <v/>
      </c>
      <c r="AQ94" s="55" t="str">
        <f>IF(OR($AM94=0,$C94=""),"",SUMIFS($Q$6:$Q$1005,$C$6:$C$1005,$C94,$A$6:$A$1005,$A94))</f>
        <v/>
      </c>
      <c r="AR94" s="55" t="str">
        <f>IF(OR($AM94=0,$C94=""),"",IFERROR(N(INDEX(Accounts!$E$7:$E$16,MATCH($C94,Accounts!$B$7:$B$16,0))),0)+SUMIFS($Q$6:$Q$1005,$C$6:$C$1005,$C94,$A$6:$A$1005,"&lt;="&amp;$A94))</f>
        <v/>
      </c>
      <c r="AS94" s="56">
        <f>IF(OR($AM94=0,$Q94=""),0,IF(AND($A94&gt;=Lists!$W$6,$A94&lt;=Lists!$W$7,OR(Dashboard!$D$6="All accounts",$C94=Dashboard!$D$6),OR(Dashboard!$D$7="All markets",$AF94=Dashboard!$D$7)),1,0))</f>
        <v>0</v>
      </c>
      <c r="AT94" s="55">
        <f>IF($AS94=1,N(AT93)+$Q94,N(AT93))</f>
        <v>1187.10688</v>
      </c>
      <c r="AU94" s="55">
        <f>MAX(N(AU93),$AT94)</f>
        <v>1187.10688</v>
      </c>
      <c r="AV94" s="55">
        <f>$AT94-$AU94</f>
        <v>0</v>
      </c>
      <c r="AW94" s="56">
        <f>IF($AS94=1,IF($S94="Win",N(AW93)+1,IF($S94="Loss",0,N(AW93))),N(AW93))</f>
        <v>5</v>
      </c>
      <c r="AX94" s="56">
        <f>IF($AS94=1,IF($S94="Loss",N(AX93)+1,IF($S94="Win",0,N(AX93))),N(AX93))</f>
        <v>0</v>
      </c>
      <c r="AY94" s="56" t="str">
        <f>IF($AS94=1,COUNTIF($AS$6:$AS94,1),"")</f>
        <v/>
      </c>
      <c r="AZ94" s="56">
        <f>MIN(88,N(Lists!$W$8))</f>
        <v>28</v>
      </c>
      <c r="BA94" s="56">
        <f>IF($AS94=1,IF(COUNTIFS($A$6:$A94,$A94,$AS$6:$AS94,1)=1,1,0),0)</f>
        <v>0</v>
      </c>
      <c r="BB94" s="55" t="str">
        <f>IF($BA94=1,SUMIFS($Q$6:$Q$1005,$A$6:$A$1005,$A94,$AS$6:$AS$1005,1),"")</f>
        <v/>
      </c>
      <c r="BC94" s="56">
        <f>IF(ISNUMBER($R94),1,0)</f>
        <v>0</v>
      </c>
      <c r="BD94" s="55" t="str">
        <f>IF(ISNUMBER($U94),$U94*$V94,"")</f>
        <v/>
      </c>
      <c r="BE94" s="56" t="str">
        <f>IF($AM94=0,"",IFERROR(MATCH($AF94&amp;"|"&amp;UPPER(TRIM($E94)),Lists!$A$6:$A$205,0),0))</f>
        <v/>
      </c>
      <c r="BF94" s="56" t="str">
        <f>IF($AM94=0,"",IFERROR(MATCH($AF94,Settings!$B$14:$B$18,0),IFERROR(MATCH(Settings!$C$6,Settings!$B$14:$B$18,0),1)))</f>
        <v/>
      </c>
      <c r="BG94" s="58" t="str">
        <f>IF($AM94=0,"",IF(NOT(ISNUMBER($I94)),"No stop; ","")&amp;IF(AND(ISNUMBER($H94),ISNUMBER($I94)),IF(OR(AND($F94&lt;&gt;"Short",$I94&gt;=$H94),AND($F94="Short",$I94&lt;=$H94)),"Stop on wrong side; ",""),"")&amp;IF($F94="","No direction; ","")&amp;IF(AND(ISNUMBER(Settings!$C$22),ISNUMBER($V94)),IF($V94&gt;Settings!$C$22,"Risk over max $; ",""),"")&amp;IF(AND(ISNUMBER(Settings!$C$23),ISNUMBER($V94),ISNUMBER($AP94),IFERROR(N(INDEX(Accounts!$E$7:$E$16,MATCH($C94,Accounts!$B$7:$B$16,0))),0)&gt;0),IF($V94&gt;Settings!$C$23*($AP94-N($Q94)),"Risk over max %; ",""),"")&amp;IF(AND(ISNUMBER(Settings!$C$24),ISNUMBER($N94)),IF($N94&gt;Settings!$C$24,"Leverage over max; ",""),"")&amp;IF(AND(ISNUMBER(Settings!$C$27),ISNUMBER($T94)),IF($T94&lt;Settings!$C$27,"R:R below min; ",""),"")&amp;IF(ISNUMBER(Settings!$C$25),IF(COUNTIFS($A$6:$A94,$A94,$AM$6:$AM94,1)&gt;Settings!$C$25,"Over max trades/day; ",""),"")&amp;IF(ISNUMBER(Settings!$C$26),IF(SUMIFS($Q$5:$Q93,$A$5:$A93,$A94)&lt;=-Settings!$C$26,"Traded after daily max loss; ",""),"")&amp;IF(AND($AG94="",NOT(ISNUMBER($O94))),"Symbol not in Instruments; ","")&amp;IF(AND($AH94="",NOT(ISNUMBER($O94))),"Forex cross: type Gross P&amp;L; ",""))</f>
        <v/>
      </c>
      <c r="BH94" s="56">
        <f>IF(ISNUMBER($Q94),1,0)</f>
        <v>0</v>
      </c>
      <c r="BI94" s="56">
        <f>IF($Y94="",0,1)</f>
        <v>0</v>
      </c>
      <c r="BJ94" s="56">
        <f>IF($AB94="",0,1)</f>
        <v>0</v>
      </c>
      <c r="BK94" s="56">
        <f>IF(AND($BH94=1,$W94&lt;&gt;"OK"),1,0)</f>
        <v>0</v>
      </c>
      <c r="BL94" s="55">
        <f>IF(N($AZ94)=0,0,IFERROR(INDEX($AT$6:$AT$1005,MATCH($AZ94,$AY$6:$AY$1005,0)),0))</f>
        <v>1187.10688</v>
      </c>
      <c r="BM94" s="56">
        <f>IF(ISNUMBER(SEARCH("daily max loss",$BG94)),1,0)</f>
        <v>0</v>
      </c>
    </row>
    <row r="95" ht="18" customHeight="1">
      <c r="A95" s="38" t="n"/>
      <c r="B95" s="39" t="n"/>
      <c r="C95" s="40" t="n"/>
      <c r="D95" s="41" t="n"/>
      <c r="E95" s="41" t="n"/>
      <c r="F95" s="41" t="n"/>
      <c r="G95" s="41" t="n"/>
      <c r="H95" s="42" t="n"/>
      <c r="I95" s="42" t="n"/>
      <c r="J95" s="42" t="n"/>
      <c r="K95" s="42" t="n"/>
      <c r="L95" s="41" t="n"/>
      <c r="M95" s="41" t="n"/>
      <c r="N95" s="41" t="n"/>
      <c r="O95" s="43" t="n"/>
      <c r="P95" s="43" t="n"/>
      <c r="Q95" s="44" t="str">
        <f>IF($AM95=0,"",IF(ISNUMBER($AK95),$AK95-N($AL95),""))</f>
        <v/>
      </c>
      <c r="R95" s="45" t="str">
        <f>IF(OR($Q95="",NOT(ISNUMBER($V95))),"",$AK95/$V95)</f>
        <v/>
      </c>
      <c r="S95" s="46" t="str">
        <f>IF($Q95="","",IF(AND(ISNUMBER($R95),ABS(N($R95))&lt;N(Settings!$C$8)),"Scratch",IF($Q95&gt;0,"Win",IF($Q95&lt;0,"Loss","Scratch"))))</f>
        <v/>
      </c>
      <c r="T95" s="47" t="str">
        <f>IF(OR($AM95=0,NOT(ISNUMBER($H95)),NOT(ISNUMBER($I95)),NOT(ISNUMBER($J95))),"",IF($H95=$I95,"",ROUND(ABS($J95-$H95)/ABS($H95-$I95),6)))</f>
        <v/>
      </c>
      <c r="U95" s="48" t="str">
        <f>IF(OR($S95&lt;&gt;"Win",NOT(ISNUMBER($T95)),NOT(ISNUMBER($R95))),"",MAX(0,$T95-$R95))</f>
        <v/>
      </c>
      <c r="V95" s="49" t="str">
        <f>IF(OR($AM95=0,NOT(ISNUMBER($H95)),NOT(ISNUMBER($I95)),NOT(ISNUMBER($G95))),"",IF(OR($AG95="",$AH95=""),"",IF(ROUND(ABS($H95-$I95)*ABS($G95)*$AG95*$AH95,6)=0,"",ROUND(ABS($H95-$I95)*ABS($G95)*$AG95*$AH95,6))))</f>
        <v/>
      </c>
      <c r="W95" s="50" t="str">
        <f>IF($AM95=0,"",IF($BG95="","OK",LEFT($BG95,LEN($BG95)-2)))</f>
        <v/>
      </c>
      <c r="X95" s="41" t="n"/>
      <c r="Y95" s="40" t="n"/>
      <c r="Z95" s="41" t="n"/>
      <c r="AA95" s="41" t="n"/>
      <c r="AB95" s="40" t="n"/>
      <c r="AC95" s="51" t="n"/>
      <c r="AD95" s="51" t="n"/>
      <c r="AE95" s="40" t="n"/>
      <c r="AF95" s="52" t="str">
        <f>IF($AM95=0,"",IF($D95&lt;&gt;"",$D95,IF(IFERROR(INDEX(Accounts!$C$7:$C$16,MATCH($C95,Accounts!$B$7:$B$16,0))&amp;"","")&lt;&gt;"",INDEX(Accounts!$C$7:$C$16,MATCH($C95,Accounts!$B$7:$B$16,0)),Settings!$C$6)))</f>
        <v/>
      </c>
      <c r="AG95" s="53" t="str">
        <f>IF($AM95=0,"",IF(AND($BE95&gt;0,N(INDEX(Instruments!$D$6:$D$205,MAX(1,$BE95)))&gt;0),INDEX(Instruments!$D$6:$D$205,MAX(1,$BE95)),IF(N(INDEX(Settings!$D$14:$D$18,$BF95))&gt;0,INDEX(Settings!$D$14:$D$18,$BF95),"")))</f>
        <v/>
      </c>
      <c r="AH95" s="54" t="str">
        <f>IF($AM95=0,"",IF($AF95&lt;&gt;"Forex",1,IF(MID(UPPER(SUBSTITUTE(TRIM($E95),"/","")),4,3)=UPPER(TRIM(Settings!$C$7)),1,IF(LEFT(UPPER(SUBSTITUTE(TRIM($E95),"/","")),3)=UPPER(TRIM(Settings!$C$7)),IF(AND(ISNUMBER($K95),N($K95)&lt;&gt;0),1/$K95,""),""))))</f>
        <v/>
      </c>
      <c r="AI95" s="55" t="str">
        <f>IF($AM95=0,"",IF(OR(NOT(ISNUMBER($H95)),NOT(ISNUMBER($K95)),NOT(ISNUMBER($G95)),$AG95="",$AH95=""),"",ROUND(($K95-$H95)*IF($F95="Short",-1,1)*$G95*$AG95*$AH95,6)))</f>
        <v/>
      </c>
      <c r="AJ95" s="55" t="str">
        <f>IF($AM95=0,"",IF(INDEX(Settings!$E$14:$E$18,$BF95)="% of notional",IF(OR($AG95="",NOT(ISNUMBER($H95)),NOT(ISNUMBER($G95))),"",ROUND(ABS($H95*$G95*$AG95*N($AH95))*IF($L95="Limit",N(INDEX(Settings!$G$14:$G$18,$BF95)),N(INDEX(Settings!$H$14:$H$18,$BF95)))+IF(ISNUMBER($K95),ABS($K95*$G95*$AG95*N($AH95))*IF($M95="Target",N(INDEX(Settings!$G$14:$G$18,$BF95)),N(INDEX(Settings!$H$14:$H$18,$BF95))),0),6)),IF(NOT(ISNUMBER($G95)),"",ROUND(ABS($G95)*2*IF(AND($BE95&gt;0,ISNUMBER(INDEX(Instruments!$G$6:$G$205,MAX(1,$BE95)))),INDEX(Instruments!$G$6:$G$205,MAX(1,$BE95)),N(INDEX(Settings!$F$14:$F$18,$BF95))),6))))</f>
        <v/>
      </c>
      <c r="AK95" s="55" t="str">
        <f>IF($AM95=0,"",IF(ISNUMBER($O95),$O95,$AI95))</f>
        <v/>
      </c>
      <c r="AL95" s="55" t="str">
        <f>IF($AM95=0,"",IF(ISNUMBER($P95),$P95,N($AJ95)))</f>
        <v/>
      </c>
      <c r="AM95" s="56">
        <f>IF(AND($A95&lt;&gt;"",$E95&lt;&gt;"",OR(AND(ISNUMBER($G95),ISNUMBER($H95),ISNUMBER($K95)),ISNUMBER($O95))),1,0)</f>
        <v>0</v>
      </c>
      <c r="AN95" s="57" t="str">
        <f>IF($A95="","",$A95-WEEKDAY($A95,3))</f>
        <v/>
      </c>
      <c r="AO95" s="56" t="str">
        <f>IF($A95="","",WEEKDAY($A95,2))</f>
        <v/>
      </c>
      <c r="AP95" s="55" t="str">
        <f>IF(OR($AM95=0,$C95=""),"",IFERROR(N(INDEX(Accounts!$E$7:$E$16,MATCH($C95,Accounts!$B$7:$B$16,0))),0)+SUMIFS($Q$6:$Q95,$C$6:$C95,$C95))</f>
        <v/>
      </c>
      <c r="AQ95" s="55" t="str">
        <f>IF(OR($AM95=0,$C95=""),"",SUMIFS($Q$6:$Q$1005,$C$6:$C$1005,$C95,$A$6:$A$1005,$A95))</f>
        <v/>
      </c>
      <c r="AR95" s="55" t="str">
        <f>IF(OR($AM95=0,$C95=""),"",IFERROR(N(INDEX(Accounts!$E$7:$E$16,MATCH($C95,Accounts!$B$7:$B$16,0))),0)+SUMIFS($Q$6:$Q$1005,$C$6:$C$1005,$C95,$A$6:$A$1005,"&lt;="&amp;$A95))</f>
        <v/>
      </c>
      <c r="AS95" s="56">
        <f>IF(OR($AM95=0,$Q95=""),0,IF(AND($A95&gt;=Lists!$W$6,$A95&lt;=Lists!$W$7,OR(Dashboard!$D$6="All accounts",$C95=Dashboard!$D$6),OR(Dashboard!$D$7="All markets",$AF95=Dashboard!$D$7)),1,0))</f>
        <v>0</v>
      </c>
      <c r="AT95" s="55">
        <f>IF($AS95=1,N(AT94)+$Q95,N(AT94))</f>
        <v>1187.10688</v>
      </c>
      <c r="AU95" s="55">
        <f>MAX(N(AU94),$AT95)</f>
        <v>1187.10688</v>
      </c>
      <c r="AV95" s="55">
        <f>$AT95-$AU95</f>
        <v>0</v>
      </c>
      <c r="AW95" s="56">
        <f>IF($AS95=1,IF($S95="Win",N(AW94)+1,IF($S95="Loss",0,N(AW94))),N(AW94))</f>
        <v>5</v>
      </c>
      <c r="AX95" s="56">
        <f>IF($AS95=1,IF($S95="Loss",N(AX94)+1,IF($S95="Win",0,N(AX94))),N(AX94))</f>
        <v>0</v>
      </c>
      <c r="AY95" s="56" t="str">
        <f>IF($AS95=1,COUNTIF($AS$6:$AS95,1),"")</f>
        <v/>
      </c>
      <c r="AZ95" s="56">
        <f>MIN(89,N(Lists!$W$8))</f>
        <v>28</v>
      </c>
      <c r="BA95" s="56">
        <f>IF($AS95=1,IF(COUNTIFS($A$6:$A95,$A95,$AS$6:$AS95,1)=1,1,0),0)</f>
        <v>0</v>
      </c>
      <c r="BB95" s="55" t="str">
        <f>IF($BA95=1,SUMIFS($Q$6:$Q$1005,$A$6:$A$1005,$A95,$AS$6:$AS$1005,1),"")</f>
        <v/>
      </c>
      <c r="BC95" s="56">
        <f>IF(ISNUMBER($R95),1,0)</f>
        <v>0</v>
      </c>
      <c r="BD95" s="55" t="str">
        <f>IF(ISNUMBER($U95),$U95*$V95,"")</f>
        <v/>
      </c>
      <c r="BE95" s="56" t="str">
        <f>IF($AM95=0,"",IFERROR(MATCH($AF95&amp;"|"&amp;UPPER(TRIM($E95)),Lists!$A$6:$A$205,0),0))</f>
        <v/>
      </c>
      <c r="BF95" s="56" t="str">
        <f>IF($AM95=0,"",IFERROR(MATCH($AF95,Settings!$B$14:$B$18,0),IFERROR(MATCH(Settings!$C$6,Settings!$B$14:$B$18,0),1)))</f>
        <v/>
      </c>
      <c r="BG95" s="58" t="str">
        <f>IF($AM95=0,"",IF(NOT(ISNUMBER($I95)),"No stop; ","")&amp;IF(AND(ISNUMBER($H95),ISNUMBER($I95)),IF(OR(AND($F95&lt;&gt;"Short",$I95&gt;=$H95),AND($F95="Short",$I95&lt;=$H95)),"Stop on wrong side; ",""),"")&amp;IF($F95="","No direction; ","")&amp;IF(AND(ISNUMBER(Settings!$C$22),ISNUMBER($V95)),IF($V95&gt;Settings!$C$22,"Risk over max $; ",""),"")&amp;IF(AND(ISNUMBER(Settings!$C$23),ISNUMBER($V95),ISNUMBER($AP95),IFERROR(N(INDEX(Accounts!$E$7:$E$16,MATCH($C95,Accounts!$B$7:$B$16,0))),0)&gt;0),IF($V95&gt;Settings!$C$23*($AP95-N($Q95)),"Risk over max %; ",""),"")&amp;IF(AND(ISNUMBER(Settings!$C$24),ISNUMBER($N95)),IF($N95&gt;Settings!$C$24,"Leverage over max; ",""),"")&amp;IF(AND(ISNUMBER(Settings!$C$27),ISNUMBER($T95)),IF($T95&lt;Settings!$C$27,"R:R below min; ",""),"")&amp;IF(ISNUMBER(Settings!$C$25),IF(COUNTIFS($A$6:$A95,$A95,$AM$6:$AM95,1)&gt;Settings!$C$25,"Over max trades/day; ",""),"")&amp;IF(ISNUMBER(Settings!$C$26),IF(SUMIFS($Q$5:$Q94,$A$5:$A94,$A95)&lt;=-Settings!$C$26,"Traded after daily max loss; ",""),"")&amp;IF(AND($AG95="",NOT(ISNUMBER($O95))),"Symbol not in Instruments; ","")&amp;IF(AND($AH95="",NOT(ISNUMBER($O95))),"Forex cross: type Gross P&amp;L; ",""))</f>
        <v/>
      </c>
      <c r="BH95" s="56">
        <f>IF(ISNUMBER($Q95),1,0)</f>
        <v>0</v>
      </c>
      <c r="BI95" s="56">
        <f>IF($Y95="",0,1)</f>
        <v>0</v>
      </c>
      <c r="BJ95" s="56">
        <f>IF($AB95="",0,1)</f>
        <v>0</v>
      </c>
      <c r="BK95" s="56">
        <f>IF(AND($BH95=1,$W95&lt;&gt;"OK"),1,0)</f>
        <v>0</v>
      </c>
      <c r="BL95" s="55">
        <f>IF(N($AZ95)=0,0,IFERROR(INDEX($AT$6:$AT$1005,MATCH($AZ95,$AY$6:$AY$1005,0)),0))</f>
        <v>1187.10688</v>
      </c>
      <c r="BM95" s="56">
        <f>IF(ISNUMBER(SEARCH("daily max loss",$BG95)),1,0)</f>
        <v>0</v>
      </c>
    </row>
    <row r="96" ht="18" customHeight="1">
      <c r="A96" s="38" t="n"/>
      <c r="B96" s="39" t="n"/>
      <c r="C96" s="40" t="n"/>
      <c r="D96" s="41" t="n"/>
      <c r="E96" s="41" t="n"/>
      <c r="F96" s="41" t="n"/>
      <c r="G96" s="41" t="n"/>
      <c r="H96" s="42" t="n"/>
      <c r="I96" s="42" t="n"/>
      <c r="J96" s="42" t="n"/>
      <c r="K96" s="42" t="n"/>
      <c r="L96" s="41" t="n"/>
      <c r="M96" s="41" t="n"/>
      <c r="N96" s="41" t="n"/>
      <c r="O96" s="43" t="n"/>
      <c r="P96" s="43" t="n"/>
      <c r="Q96" s="44" t="str">
        <f>IF($AM96=0,"",IF(ISNUMBER($AK96),$AK96-N($AL96),""))</f>
        <v/>
      </c>
      <c r="R96" s="45" t="str">
        <f>IF(OR($Q96="",NOT(ISNUMBER($V96))),"",$AK96/$V96)</f>
        <v/>
      </c>
      <c r="S96" s="46" t="str">
        <f>IF($Q96="","",IF(AND(ISNUMBER($R96),ABS(N($R96))&lt;N(Settings!$C$8)),"Scratch",IF($Q96&gt;0,"Win",IF($Q96&lt;0,"Loss","Scratch"))))</f>
        <v/>
      </c>
      <c r="T96" s="47" t="str">
        <f>IF(OR($AM96=0,NOT(ISNUMBER($H96)),NOT(ISNUMBER($I96)),NOT(ISNUMBER($J96))),"",IF($H96=$I96,"",ROUND(ABS($J96-$H96)/ABS($H96-$I96),6)))</f>
        <v/>
      </c>
      <c r="U96" s="48" t="str">
        <f>IF(OR($S96&lt;&gt;"Win",NOT(ISNUMBER($T96)),NOT(ISNUMBER($R96))),"",MAX(0,$T96-$R96))</f>
        <v/>
      </c>
      <c r="V96" s="49" t="str">
        <f>IF(OR($AM96=0,NOT(ISNUMBER($H96)),NOT(ISNUMBER($I96)),NOT(ISNUMBER($G96))),"",IF(OR($AG96="",$AH96=""),"",IF(ROUND(ABS($H96-$I96)*ABS($G96)*$AG96*$AH96,6)=0,"",ROUND(ABS($H96-$I96)*ABS($G96)*$AG96*$AH96,6))))</f>
        <v/>
      </c>
      <c r="W96" s="50" t="str">
        <f>IF($AM96=0,"",IF($BG96="","OK",LEFT($BG96,LEN($BG96)-2)))</f>
        <v/>
      </c>
      <c r="X96" s="41" t="n"/>
      <c r="Y96" s="40" t="n"/>
      <c r="Z96" s="41" t="n"/>
      <c r="AA96" s="41" t="n"/>
      <c r="AB96" s="40" t="n"/>
      <c r="AC96" s="51" t="n"/>
      <c r="AD96" s="51" t="n"/>
      <c r="AE96" s="40" t="n"/>
      <c r="AF96" s="52" t="str">
        <f>IF($AM96=0,"",IF($D96&lt;&gt;"",$D96,IF(IFERROR(INDEX(Accounts!$C$7:$C$16,MATCH($C96,Accounts!$B$7:$B$16,0))&amp;"","")&lt;&gt;"",INDEX(Accounts!$C$7:$C$16,MATCH($C96,Accounts!$B$7:$B$16,0)),Settings!$C$6)))</f>
        <v/>
      </c>
      <c r="AG96" s="53" t="str">
        <f>IF($AM96=0,"",IF(AND($BE96&gt;0,N(INDEX(Instruments!$D$6:$D$205,MAX(1,$BE96)))&gt;0),INDEX(Instruments!$D$6:$D$205,MAX(1,$BE96)),IF(N(INDEX(Settings!$D$14:$D$18,$BF96))&gt;0,INDEX(Settings!$D$14:$D$18,$BF96),"")))</f>
        <v/>
      </c>
      <c r="AH96" s="54" t="str">
        <f>IF($AM96=0,"",IF($AF96&lt;&gt;"Forex",1,IF(MID(UPPER(SUBSTITUTE(TRIM($E96),"/","")),4,3)=UPPER(TRIM(Settings!$C$7)),1,IF(LEFT(UPPER(SUBSTITUTE(TRIM($E96),"/","")),3)=UPPER(TRIM(Settings!$C$7)),IF(AND(ISNUMBER($K96),N($K96)&lt;&gt;0),1/$K96,""),""))))</f>
        <v/>
      </c>
      <c r="AI96" s="55" t="str">
        <f>IF($AM96=0,"",IF(OR(NOT(ISNUMBER($H96)),NOT(ISNUMBER($K96)),NOT(ISNUMBER($G96)),$AG96="",$AH96=""),"",ROUND(($K96-$H96)*IF($F96="Short",-1,1)*$G96*$AG96*$AH96,6)))</f>
        <v/>
      </c>
      <c r="AJ96" s="55" t="str">
        <f>IF($AM96=0,"",IF(INDEX(Settings!$E$14:$E$18,$BF96)="% of notional",IF(OR($AG96="",NOT(ISNUMBER($H96)),NOT(ISNUMBER($G96))),"",ROUND(ABS($H96*$G96*$AG96*N($AH96))*IF($L96="Limit",N(INDEX(Settings!$G$14:$G$18,$BF96)),N(INDEX(Settings!$H$14:$H$18,$BF96)))+IF(ISNUMBER($K96),ABS($K96*$G96*$AG96*N($AH96))*IF($M96="Target",N(INDEX(Settings!$G$14:$G$18,$BF96)),N(INDEX(Settings!$H$14:$H$18,$BF96))),0),6)),IF(NOT(ISNUMBER($G96)),"",ROUND(ABS($G96)*2*IF(AND($BE96&gt;0,ISNUMBER(INDEX(Instruments!$G$6:$G$205,MAX(1,$BE96)))),INDEX(Instruments!$G$6:$G$205,MAX(1,$BE96)),N(INDEX(Settings!$F$14:$F$18,$BF96))),6))))</f>
        <v/>
      </c>
      <c r="AK96" s="55" t="str">
        <f>IF($AM96=0,"",IF(ISNUMBER($O96),$O96,$AI96))</f>
        <v/>
      </c>
      <c r="AL96" s="55" t="str">
        <f>IF($AM96=0,"",IF(ISNUMBER($P96),$P96,N($AJ96)))</f>
        <v/>
      </c>
      <c r="AM96" s="56">
        <f>IF(AND($A96&lt;&gt;"",$E96&lt;&gt;"",OR(AND(ISNUMBER($G96),ISNUMBER($H96),ISNUMBER($K96)),ISNUMBER($O96))),1,0)</f>
        <v>0</v>
      </c>
      <c r="AN96" s="57" t="str">
        <f>IF($A96="","",$A96-WEEKDAY($A96,3))</f>
        <v/>
      </c>
      <c r="AO96" s="56" t="str">
        <f>IF($A96="","",WEEKDAY($A96,2))</f>
        <v/>
      </c>
      <c r="AP96" s="55" t="str">
        <f>IF(OR($AM96=0,$C96=""),"",IFERROR(N(INDEX(Accounts!$E$7:$E$16,MATCH($C96,Accounts!$B$7:$B$16,0))),0)+SUMIFS($Q$6:$Q96,$C$6:$C96,$C96))</f>
        <v/>
      </c>
      <c r="AQ96" s="55" t="str">
        <f>IF(OR($AM96=0,$C96=""),"",SUMIFS($Q$6:$Q$1005,$C$6:$C$1005,$C96,$A$6:$A$1005,$A96))</f>
        <v/>
      </c>
      <c r="AR96" s="55" t="str">
        <f>IF(OR($AM96=0,$C96=""),"",IFERROR(N(INDEX(Accounts!$E$7:$E$16,MATCH($C96,Accounts!$B$7:$B$16,0))),0)+SUMIFS($Q$6:$Q$1005,$C$6:$C$1005,$C96,$A$6:$A$1005,"&lt;="&amp;$A96))</f>
        <v/>
      </c>
      <c r="AS96" s="56">
        <f>IF(OR($AM96=0,$Q96=""),0,IF(AND($A96&gt;=Lists!$W$6,$A96&lt;=Lists!$W$7,OR(Dashboard!$D$6="All accounts",$C96=Dashboard!$D$6),OR(Dashboard!$D$7="All markets",$AF96=Dashboard!$D$7)),1,0))</f>
        <v>0</v>
      </c>
      <c r="AT96" s="55">
        <f>IF($AS96=1,N(AT95)+$Q96,N(AT95))</f>
        <v>1187.10688</v>
      </c>
      <c r="AU96" s="55">
        <f>MAX(N(AU95),$AT96)</f>
        <v>1187.10688</v>
      </c>
      <c r="AV96" s="55">
        <f>$AT96-$AU96</f>
        <v>0</v>
      </c>
      <c r="AW96" s="56">
        <f>IF($AS96=1,IF($S96="Win",N(AW95)+1,IF($S96="Loss",0,N(AW95))),N(AW95))</f>
        <v>5</v>
      </c>
      <c r="AX96" s="56">
        <f>IF($AS96=1,IF($S96="Loss",N(AX95)+1,IF($S96="Win",0,N(AX95))),N(AX95))</f>
        <v>0</v>
      </c>
      <c r="AY96" s="56" t="str">
        <f>IF($AS96=1,COUNTIF($AS$6:$AS96,1),"")</f>
        <v/>
      </c>
      <c r="AZ96" s="56">
        <f>MIN(90,N(Lists!$W$8))</f>
        <v>28</v>
      </c>
      <c r="BA96" s="56">
        <f>IF($AS96=1,IF(COUNTIFS($A$6:$A96,$A96,$AS$6:$AS96,1)=1,1,0),0)</f>
        <v>0</v>
      </c>
      <c r="BB96" s="55" t="str">
        <f>IF($BA96=1,SUMIFS($Q$6:$Q$1005,$A$6:$A$1005,$A96,$AS$6:$AS$1005,1),"")</f>
        <v/>
      </c>
      <c r="BC96" s="56">
        <f>IF(ISNUMBER($R96),1,0)</f>
        <v>0</v>
      </c>
      <c r="BD96" s="55" t="str">
        <f>IF(ISNUMBER($U96),$U96*$V96,"")</f>
        <v/>
      </c>
      <c r="BE96" s="56" t="str">
        <f>IF($AM96=0,"",IFERROR(MATCH($AF96&amp;"|"&amp;UPPER(TRIM($E96)),Lists!$A$6:$A$205,0),0))</f>
        <v/>
      </c>
      <c r="BF96" s="56" t="str">
        <f>IF($AM96=0,"",IFERROR(MATCH($AF96,Settings!$B$14:$B$18,0),IFERROR(MATCH(Settings!$C$6,Settings!$B$14:$B$18,0),1)))</f>
        <v/>
      </c>
      <c r="BG96" s="58" t="str">
        <f>IF($AM96=0,"",IF(NOT(ISNUMBER($I96)),"No stop; ","")&amp;IF(AND(ISNUMBER($H96),ISNUMBER($I96)),IF(OR(AND($F96&lt;&gt;"Short",$I96&gt;=$H96),AND($F96="Short",$I96&lt;=$H96)),"Stop on wrong side; ",""),"")&amp;IF($F96="","No direction; ","")&amp;IF(AND(ISNUMBER(Settings!$C$22),ISNUMBER($V96)),IF($V96&gt;Settings!$C$22,"Risk over max $; ",""),"")&amp;IF(AND(ISNUMBER(Settings!$C$23),ISNUMBER($V96),ISNUMBER($AP96),IFERROR(N(INDEX(Accounts!$E$7:$E$16,MATCH($C96,Accounts!$B$7:$B$16,0))),0)&gt;0),IF($V96&gt;Settings!$C$23*($AP96-N($Q96)),"Risk over max %; ",""),"")&amp;IF(AND(ISNUMBER(Settings!$C$24),ISNUMBER($N96)),IF($N96&gt;Settings!$C$24,"Leverage over max; ",""),"")&amp;IF(AND(ISNUMBER(Settings!$C$27),ISNUMBER($T96)),IF($T96&lt;Settings!$C$27,"R:R below min; ",""),"")&amp;IF(ISNUMBER(Settings!$C$25),IF(COUNTIFS($A$6:$A96,$A96,$AM$6:$AM96,1)&gt;Settings!$C$25,"Over max trades/day; ",""),"")&amp;IF(ISNUMBER(Settings!$C$26),IF(SUMIFS($Q$5:$Q95,$A$5:$A95,$A96)&lt;=-Settings!$C$26,"Traded after daily max loss; ",""),"")&amp;IF(AND($AG96="",NOT(ISNUMBER($O96))),"Symbol not in Instruments; ","")&amp;IF(AND($AH96="",NOT(ISNUMBER($O96))),"Forex cross: type Gross P&amp;L; ",""))</f>
        <v/>
      </c>
      <c r="BH96" s="56">
        <f>IF(ISNUMBER($Q96),1,0)</f>
        <v>0</v>
      </c>
      <c r="BI96" s="56">
        <f>IF($Y96="",0,1)</f>
        <v>0</v>
      </c>
      <c r="BJ96" s="56">
        <f>IF($AB96="",0,1)</f>
        <v>0</v>
      </c>
      <c r="BK96" s="56">
        <f>IF(AND($BH96=1,$W96&lt;&gt;"OK"),1,0)</f>
        <v>0</v>
      </c>
      <c r="BL96" s="55">
        <f>IF(N($AZ96)=0,0,IFERROR(INDEX($AT$6:$AT$1005,MATCH($AZ96,$AY$6:$AY$1005,0)),0))</f>
        <v>1187.10688</v>
      </c>
      <c r="BM96" s="56">
        <f>IF(ISNUMBER(SEARCH("daily max loss",$BG96)),1,0)</f>
        <v>0</v>
      </c>
    </row>
    <row r="97" ht="18" customHeight="1">
      <c r="A97" s="38" t="n"/>
      <c r="B97" s="39" t="n"/>
      <c r="C97" s="40" t="n"/>
      <c r="D97" s="41" t="n"/>
      <c r="E97" s="41" t="n"/>
      <c r="F97" s="41" t="n"/>
      <c r="G97" s="41" t="n"/>
      <c r="H97" s="42" t="n"/>
      <c r="I97" s="42" t="n"/>
      <c r="J97" s="42" t="n"/>
      <c r="K97" s="42" t="n"/>
      <c r="L97" s="41" t="n"/>
      <c r="M97" s="41" t="n"/>
      <c r="N97" s="41" t="n"/>
      <c r="O97" s="43" t="n"/>
      <c r="P97" s="43" t="n"/>
      <c r="Q97" s="44" t="str">
        <f>IF($AM97=0,"",IF(ISNUMBER($AK97),$AK97-N($AL97),""))</f>
        <v/>
      </c>
      <c r="R97" s="45" t="str">
        <f>IF(OR($Q97="",NOT(ISNUMBER($V97))),"",$AK97/$V97)</f>
        <v/>
      </c>
      <c r="S97" s="46" t="str">
        <f>IF($Q97="","",IF(AND(ISNUMBER($R97),ABS(N($R97))&lt;N(Settings!$C$8)),"Scratch",IF($Q97&gt;0,"Win",IF($Q97&lt;0,"Loss","Scratch"))))</f>
        <v/>
      </c>
      <c r="T97" s="47" t="str">
        <f>IF(OR($AM97=0,NOT(ISNUMBER($H97)),NOT(ISNUMBER($I97)),NOT(ISNUMBER($J97))),"",IF($H97=$I97,"",ROUND(ABS($J97-$H97)/ABS($H97-$I97),6)))</f>
        <v/>
      </c>
      <c r="U97" s="48" t="str">
        <f>IF(OR($S97&lt;&gt;"Win",NOT(ISNUMBER($T97)),NOT(ISNUMBER($R97))),"",MAX(0,$T97-$R97))</f>
        <v/>
      </c>
      <c r="V97" s="49" t="str">
        <f>IF(OR($AM97=0,NOT(ISNUMBER($H97)),NOT(ISNUMBER($I97)),NOT(ISNUMBER($G97))),"",IF(OR($AG97="",$AH97=""),"",IF(ROUND(ABS($H97-$I97)*ABS($G97)*$AG97*$AH97,6)=0,"",ROUND(ABS($H97-$I97)*ABS($G97)*$AG97*$AH97,6))))</f>
        <v/>
      </c>
      <c r="W97" s="50" t="str">
        <f>IF($AM97=0,"",IF($BG97="","OK",LEFT($BG97,LEN($BG97)-2)))</f>
        <v/>
      </c>
      <c r="X97" s="41" t="n"/>
      <c r="Y97" s="40" t="n"/>
      <c r="Z97" s="41" t="n"/>
      <c r="AA97" s="41" t="n"/>
      <c r="AB97" s="40" t="n"/>
      <c r="AC97" s="51" t="n"/>
      <c r="AD97" s="51" t="n"/>
      <c r="AE97" s="40" t="n"/>
      <c r="AF97" s="52" t="str">
        <f>IF($AM97=0,"",IF($D97&lt;&gt;"",$D97,IF(IFERROR(INDEX(Accounts!$C$7:$C$16,MATCH($C97,Accounts!$B$7:$B$16,0))&amp;"","")&lt;&gt;"",INDEX(Accounts!$C$7:$C$16,MATCH($C97,Accounts!$B$7:$B$16,0)),Settings!$C$6)))</f>
        <v/>
      </c>
      <c r="AG97" s="53" t="str">
        <f>IF($AM97=0,"",IF(AND($BE97&gt;0,N(INDEX(Instruments!$D$6:$D$205,MAX(1,$BE97)))&gt;0),INDEX(Instruments!$D$6:$D$205,MAX(1,$BE97)),IF(N(INDEX(Settings!$D$14:$D$18,$BF97))&gt;0,INDEX(Settings!$D$14:$D$18,$BF97),"")))</f>
        <v/>
      </c>
      <c r="AH97" s="54" t="str">
        <f>IF($AM97=0,"",IF($AF97&lt;&gt;"Forex",1,IF(MID(UPPER(SUBSTITUTE(TRIM($E97),"/","")),4,3)=UPPER(TRIM(Settings!$C$7)),1,IF(LEFT(UPPER(SUBSTITUTE(TRIM($E97),"/","")),3)=UPPER(TRIM(Settings!$C$7)),IF(AND(ISNUMBER($K97),N($K97)&lt;&gt;0),1/$K97,""),""))))</f>
        <v/>
      </c>
      <c r="AI97" s="55" t="str">
        <f>IF($AM97=0,"",IF(OR(NOT(ISNUMBER($H97)),NOT(ISNUMBER($K97)),NOT(ISNUMBER($G97)),$AG97="",$AH97=""),"",ROUND(($K97-$H97)*IF($F97="Short",-1,1)*$G97*$AG97*$AH97,6)))</f>
        <v/>
      </c>
      <c r="AJ97" s="55" t="str">
        <f>IF($AM97=0,"",IF(INDEX(Settings!$E$14:$E$18,$BF97)="% of notional",IF(OR($AG97="",NOT(ISNUMBER($H97)),NOT(ISNUMBER($G97))),"",ROUND(ABS($H97*$G97*$AG97*N($AH97))*IF($L97="Limit",N(INDEX(Settings!$G$14:$G$18,$BF97)),N(INDEX(Settings!$H$14:$H$18,$BF97)))+IF(ISNUMBER($K97),ABS($K97*$G97*$AG97*N($AH97))*IF($M97="Target",N(INDEX(Settings!$G$14:$G$18,$BF97)),N(INDEX(Settings!$H$14:$H$18,$BF97))),0),6)),IF(NOT(ISNUMBER($G97)),"",ROUND(ABS($G97)*2*IF(AND($BE97&gt;0,ISNUMBER(INDEX(Instruments!$G$6:$G$205,MAX(1,$BE97)))),INDEX(Instruments!$G$6:$G$205,MAX(1,$BE97)),N(INDEX(Settings!$F$14:$F$18,$BF97))),6))))</f>
        <v/>
      </c>
      <c r="AK97" s="55" t="str">
        <f>IF($AM97=0,"",IF(ISNUMBER($O97),$O97,$AI97))</f>
        <v/>
      </c>
      <c r="AL97" s="55" t="str">
        <f>IF($AM97=0,"",IF(ISNUMBER($P97),$P97,N($AJ97)))</f>
        <v/>
      </c>
      <c r="AM97" s="56">
        <f>IF(AND($A97&lt;&gt;"",$E97&lt;&gt;"",OR(AND(ISNUMBER($G97),ISNUMBER($H97),ISNUMBER($K97)),ISNUMBER($O97))),1,0)</f>
        <v>0</v>
      </c>
      <c r="AN97" s="57" t="str">
        <f>IF($A97="","",$A97-WEEKDAY($A97,3))</f>
        <v/>
      </c>
      <c r="AO97" s="56" t="str">
        <f>IF($A97="","",WEEKDAY($A97,2))</f>
        <v/>
      </c>
      <c r="AP97" s="55" t="str">
        <f>IF(OR($AM97=0,$C97=""),"",IFERROR(N(INDEX(Accounts!$E$7:$E$16,MATCH($C97,Accounts!$B$7:$B$16,0))),0)+SUMIFS($Q$6:$Q97,$C$6:$C97,$C97))</f>
        <v/>
      </c>
      <c r="AQ97" s="55" t="str">
        <f>IF(OR($AM97=0,$C97=""),"",SUMIFS($Q$6:$Q$1005,$C$6:$C$1005,$C97,$A$6:$A$1005,$A97))</f>
        <v/>
      </c>
      <c r="AR97" s="55" t="str">
        <f>IF(OR($AM97=0,$C97=""),"",IFERROR(N(INDEX(Accounts!$E$7:$E$16,MATCH($C97,Accounts!$B$7:$B$16,0))),0)+SUMIFS($Q$6:$Q$1005,$C$6:$C$1005,$C97,$A$6:$A$1005,"&lt;="&amp;$A97))</f>
        <v/>
      </c>
      <c r="AS97" s="56">
        <f>IF(OR($AM97=0,$Q97=""),0,IF(AND($A97&gt;=Lists!$W$6,$A97&lt;=Lists!$W$7,OR(Dashboard!$D$6="All accounts",$C97=Dashboard!$D$6),OR(Dashboard!$D$7="All markets",$AF97=Dashboard!$D$7)),1,0))</f>
        <v>0</v>
      </c>
      <c r="AT97" s="55">
        <f>IF($AS97=1,N(AT96)+$Q97,N(AT96))</f>
        <v>1187.10688</v>
      </c>
      <c r="AU97" s="55">
        <f>MAX(N(AU96),$AT97)</f>
        <v>1187.10688</v>
      </c>
      <c r="AV97" s="55">
        <f>$AT97-$AU97</f>
        <v>0</v>
      </c>
      <c r="AW97" s="56">
        <f>IF($AS97=1,IF($S97="Win",N(AW96)+1,IF($S97="Loss",0,N(AW96))),N(AW96))</f>
        <v>5</v>
      </c>
      <c r="AX97" s="56">
        <f>IF($AS97=1,IF($S97="Loss",N(AX96)+1,IF($S97="Win",0,N(AX96))),N(AX96))</f>
        <v>0</v>
      </c>
      <c r="AY97" s="56" t="str">
        <f>IF($AS97=1,COUNTIF($AS$6:$AS97,1),"")</f>
        <v/>
      </c>
      <c r="AZ97" s="56">
        <f>MIN(91,N(Lists!$W$8))</f>
        <v>28</v>
      </c>
      <c r="BA97" s="56">
        <f>IF($AS97=1,IF(COUNTIFS($A$6:$A97,$A97,$AS$6:$AS97,1)=1,1,0),0)</f>
        <v>0</v>
      </c>
      <c r="BB97" s="55" t="str">
        <f>IF($BA97=1,SUMIFS($Q$6:$Q$1005,$A$6:$A$1005,$A97,$AS$6:$AS$1005,1),"")</f>
        <v/>
      </c>
      <c r="BC97" s="56">
        <f>IF(ISNUMBER($R97),1,0)</f>
        <v>0</v>
      </c>
      <c r="BD97" s="55" t="str">
        <f>IF(ISNUMBER($U97),$U97*$V97,"")</f>
        <v/>
      </c>
      <c r="BE97" s="56" t="str">
        <f>IF($AM97=0,"",IFERROR(MATCH($AF97&amp;"|"&amp;UPPER(TRIM($E97)),Lists!$A$6:$A$205,0),0))</f>
        <v/>
      </c>
      <c r="BF97" s="56" t="str">
        <f>IF($AM97=0,"",IFERROR(MATCH($AF97,Settings!$B$14:$B$18,0),IFERROR(MATCH(Settings!$C$6,Settings!$B$14:$B$18,0),1)))</f>
        <v/>
      </c>
      <c r="BG97" s="58" t="str">
        <f>IF($AM97=0,"",IF(NOT(ISNUMBER($I97)),"No stop; ","")&amp;IF(AND(ISNUMBER($H97),ISNUMBER($I97)),IF(OR(AND($F97&lt;&gt;"Short",$I97&gt;=$H97),AND($F97="Short",$I97&lt;=$H97)),"Stop on wrong side; ",""),"")&amp;IF($F97="","No direction; ","")&amp;IF(AND(ISNUMBER(Settings!$C$22),ISNUMBER($V97)),IF($V97&gt;Settings!$C$22,"Risk over max $; ",""),"")&amp;IF(AND(ISNUMBER(Settings!$C$23),ISNUMBER($V97),ISNUMBER($AP97),IFERROR(N(INDEX(Accounts!$E$7:$E$16,MATCH($C97,Accounts!$B$7:$B$16,0))),0)&gt;0),IF($V97&gt;Settings!$C$23*($AP97-N($Q97)),"Risk over max %; ",""),"")&amp;IF(AND(ISNUMBER(Settings!$C$24),ISNUMBER($N97)),IF($N97&gt;Settings!$C$24,"Leverage over max; ",""),"")&amp;IF(AND(ISNUMBER(Settings!$C$27),ISNUMBER($T97)),IF($T97&lt;Settings!$C$27,"R:R below min; ",""),"")&amp;IF(ISNUMBER(Settings!$C$25),IF(COUNTIFS($A$6:$A97,$A97,$AM$6:$AM97,1)&gt;Settings!$C$25,"Over max trades/day; ",""),"")&amp;IF(ISNUMBER(Settings!$C$26),IF(SUMIFS($Q$5:$Q96,$A$5:$A96,$A97)&lt;=-Settings!$C$26,"Traded after daily max loss; ",""),"")&amp;IF(AND($AG97="",NOT(ISNUMBER($O97))),"Symbol not in Instruments; ","")&amp;IF(AND($AH97="",NOT(ISNUMBER($O97))),"Forex cross: type Gross P&amp;L; ",""))</f>
        <v/>
      </c>
      <c r="BH97" s="56">
        <f>IF(ISNUMBER($Q97),1,0)</f>
        <v>0</v>
      </c>
      <c r="BI97" s="56">
        <f>IF($Y97="",0,1)</f>
        <v>0</v>
      </c>
      <c r="BJ97" s="56">
        <f>IF($AB97="",0,1)</f>
        <v>0</v>
      </c>
      <c r="BK97" s="56">
        <f>IF(AND($BH97=1,$W97&lt;&gt;"OK"),1,0)</f>
        <v>0</v>
      </c>
      <c r="BL97" s="55">
        <f>IF(N($AZ97)=0,0,IFERROR(INDEX($AT$6:$AT$1005,MATCH($AZ97,$AY$6:$AY$1005,0)),0))</f>
        <v>1187.10688</v>
      </c>
      <c r="BM97" s="56">
        <f>IF(ISNUMBER(SEARCH("daily max loss",$BG97)),1,0)</f>
        <v>0</v>
      </c>
    </row>
    <row r="98" ht="18" customHeight="1">
      <c r="A98" s="38" t="n"/>
      <c r="B98" s="39" t="n"/>
      <c r="C98" s="40" t="n"/>
      <c r="D98" s="41" t="n"/>
      <c r="E98" s="41" t="n"/>
      <c r="F98" s="41" t="n"/>
      <c r="G98" s="41" t="n"/>
      <c r="H98" s="42" t="n"/>
      <c r="I98" s="42" t="n"/>
      <c r="J98" s="42" t="n"/>
      <c r="K98" s="42" t="n"/>
      <c r="L98" s="41" t="n"/>
      <c r="M98" s="41" t="n"/>
      <c r="N98" s="41" t="n"/>
      <c r="O98" s="43" t="n"/>
      <c r="P98" s="43" t="n"/>
      <c r="Q98" s="44" t="str">
        <f>IF($AM98=0,"",IF(ISNUMBER($AK98),$AK98-N($AL98),""))</f>
        <v/>
      </c>
      <c r="R98" s="45" t="str">
        <f>IF(OR($Q98="",NOT(ISNUMBER($V98))),"",$AK98/$V98)</f>
        <v/>
      </c>
      <c r="S98" s="46" t="str">
        <f>IF($Q98="","",IF(AND(ISNUMBER($R98),ABS(N($R98))&lt;N(Settings!$C$8)),"Scratch",IF($Q98&gt;0,"Win",IF($Q98&lt;0,"Loss","Scratch"))))</f>
        <v/>
      </c>
      <c r="T98" s="47" t="str">
        <f>IF(OR($AM98=0,NOT(ISNUMBER($H98)),NOT(ISNUMBER($I98)),NOT(ISNUMBER($J98))),"",IF($H98=$I98,"",ROUND(ABS($J98-$H98)/ABS($H98-$I98),6)))</f>
        <v/>
      </c>
      <c r="U98" s="48" t="str">
        <f>IF(OR($S98&lt;&gt;"Win",NOT(ISNUMBER($T98)),NOT(ISNUMBER($R98))),"",MAX(0,$T98-$R98))</f>
        <v/>
      </c>
      <c r="V98" s="49" t="str">
        <f>IF(OR($AM98=0,NOT(ISNUMBER($H98)),NOT(ISNUMBER($I98)),NOT(ISNUMBER($G98))),"",IF(OR($AG98="",$AH98=""),"",IF(ROUND(ABS($H98-$I98)*ABS($G98)*$AG98*$AH98,6)=0,"",ROUND(ABS($H98-$I98)*ABS($G98)*$AG98*$AH98,6))))</f>
        <v/>
      </c>
      <c r="W98" s="50" t="str">
        <f>IF($AM98=0,"",IF($BG98="","OK",LEFT($BG98,LEN($BG98)-2)))</f>
        <v/>
      </c>
      <c r="X98" s="41" t="n"/>
      <c r="Y98" s="40" t="n"/>
      <c r="Z98" s="41" t="n"/>
      <c r="AA98" s="41" t="n"/>
      <c r="AB98" s="40" t="n"/>
      <c r="AC98" s="51" t="n"/>
      <c r="AD98" s="51" t="n"/>
      <c r="AE98" s="40" t="n"/>
      <c r="AF98" s="52" t="str">
        <f>IF($AM98=0,"",IF($D98&lt;&gt;"",$D98,IF(IFERROR(INDEX(Accounts!$C$7:$C$16,MATCH($C98,Accounts!$B$7:$B$16,0))&amp;"","")&lt;&gt;"",INDEX(Accounts!$C$7:$C$16,MATCH($C98,Accounts!$B$7:$B$16,0)),Settings!$C$6)))</f>
        <v/>
      </c>
      <c r="AG98" s="53" t="str">
        <f>IF($AM98=0,"",IF(AND($BE98&gt;0,N(INDEX(Instruments!$D$6:$D$205,MAX(1,$BE98)))&gt;0),INDEX(Instruments!$D$6:$D$205,MAX(1,$BE98)),IF(N(INDEX(Settings!$D$14:$D$18,$BF98))&gt;0,INDEX(Settings!$D$14:$D$18,$BF98),"")))</f>
        <v/>
      </c>
      <c r="AH98" s="54" t="str">
        <f>IF($AM98=0,"",IF($AF98&lt;&gt;"Forex",1,IF(MID(UPPER(SUBSTITUTE(TRIM($E98),"/","")),4,3)=UPPER(TRIM(Settings!$C$7)),1,IF(LEFT(UPPER(SUBSTITUTE(TRIM($E98),"/","")),3)=UPPER(TRIM(Settings!$C$7)),IF(AND(ISNUMBER($K98),N($K98)&lt;&gt;0),1/$K98,""),""))))</f>
        <v/>
      </c>
      <c r="AI98" s="55" t="str">
        <f>IF($AM98=0,"",IF(OR(NOT(ISNUMBER($H98)),NOT(ISNUMBER($K98)),NOT(ISNUMBER($G98)),$AG98="",$AH98=""),"",ROUND(($K98-$H98)*IF($F98="Short",-1,1)*$G98*$AG98*$AH98,6)))</f>
        <v/>
      </c>
      <c r="AJ98" s="55" t="str">
        <f>IF($AM98=0,"",IF(INDEX(Settings!$E$14:$E$18,$BF98)="% of notional",IF(OR($AG98="",NOT(ISNUMBER($H98)),NOT(ISNUMBER($G98))),"",ROUND(ABS($H98*$G98*$AG98*N($AH98))*IF($L98="Limit",N(INDEX(Settings!$G$14:$G$18,$BF98)),N(INDEX(Settings!$H$14:$H$18,$BF98)))+IF(ISNUMBER($K98),ABS($K98*$G98*$AG98*N($AH98))*IF($M98="Target",N(INDEX(Settings!$G$14:$G$18,$BF98)),N(INDEX(Settings!$H$14:$H$18,$BF98))),0),6)),IF(NOT(ISNUMBER($G98)),"",ROUND(ABS($G98)*2*IF(AND($BE98&gt;0,ISNUMBER(INDEX(Instruments!$G$6:$G$205,MAX(1,$BE98)))),INDEX(Instruments!$G$6:$G$205,MAX(1,$BE98)),N(INDEX(Settings!$F$14:$F$18,$BF98))),6))))</f>
        <v/>
      </c>
      <c r="AK98" s="55" t="str">
        <f>IF($AM98=0,"",IF(ISNUMBER($O98),$O98,$AI98))</f>
        <v/>
      </c>
      <c r="AL98" s="55" t="str">
        <f>IF($AM98=0,"",IF(ISNUMBER($P98),$P98,N($AJ98)))</f>
        <v/>
      </c>
      <c r="AM98" s="56">
        <f>IF(AND($A98&lt;&gt;"",$E98&lt;&gt;"",OR(AND(ISNUMBER($G98),ISNUMBER($H98),ISNUMBER($K98)),ISNUMBER($O98))),1,0)</f>
        <v>0</v>
      </c>
      <c r="AN98" s="57" t="str">
        <f>IF($A98="","",$A98-WEEKDAY($A98,3))</f>
        <v/>
      </c>
      <c r="AO98" s="56" t="str">
        <f>IF($A98="","",WEEKDAY($A98,2))</f>
        <v/>
      </c>
      <c r="AP98" s="55" t="str">
        <f>IF(OR($AM98=0,$C98=""),"",IFERROR(N(INDEX(Accounts!$E$7:$E$16,MATCH($C98,Accounts!$B$7:$B$16,0))),0)+SUMIFS($Q$6:$Q98,$C$6:$C98,$C98))</f>
        <v/>
      </c>
      <c r="AQ98" s="55" t="str">
        <f>IF(OR($AM98=0,$C98=""),"",SUMIFS($Q$6:$Q$1005,$C$6:$C$1005,$C98,$A$6:$A$1005,$A98))</f>
        <v/>
      </c>
      <c r="AR98" s="55" t="str">
        <f>IF(OR($AM98=0,$C98=""),"",IFERROR(N(INDEX(Accounts!$E$7:$E$16,MATCH($C98,Accounts!$B$7:$B$16,0))),0)+SUMIFS($Q$6:$Q$1005,$C$6:$C$1005,$C98,$A$6:$A$1005,"&lt;="&amp;$A98))</f>
        <v/>
      </c>
      <c r="AS98" s="56">
        <f>IF(OR($AM98=0,$Q98=""),0,IF(AND($A98&gt;=Lists!$W$6,$A98&lt;=Lists!$W$7,OR(Dashboard!$D$6="All accounts",$C98=Dashboard!$D$6),OR(Dashboard!$D$7="All markets",$AF98=Dashboard!$D$7)),1,0))</f>
        <v>0</v>
      </c>
      <c r="AT98" s="55">
        <f>IF($AS98=1,N(AT97)+$Q98,N(AT97))</f>
        <v>1187.10688</v>
      </c>
      <c r="AU98" s="55">
        <f>MAX(N(AU97),$AT98)</f>
        <v>1187.10688</v>
      </c>
      <c r="AV98" s="55">
        <f>$AT98-$AU98</f>
        <v>0</v>
      </c>
      <c r="AW98" s="56">
        <f>IF($AS98=1,IF($S98="Win",N(AW97)+1,IF($S98="Loss",0,N(AW97))),N(AW97))</f>
        <v>5</v>
      </c>
      <c r="AX98" s="56">
        <f>IF($AS98=1,IF($S98="Loss",N(AX97)+1,IF($S98="Win",0,N(AX97))),N(AX97))</f>
        <v>0</v>
      </c>
      <c r="AY98" s="56" t="str">
        <f>IF($AS98=1,COUNTIF($AS$6:$AS98,1),"")</f>
        <v/>
      </c>
      <c r="AZ98" s="56">
        <f>MIN(92,N(Lists!$W$8))</f>
        <v>28</v>
      </c>
      <c r="BA98" s="56">
        <f>IF($AS98=1,IF(COUNTIFS($A$6:$A98,$A98,$AS$6:$AS98,1)=1,1,0),0)</f>
        <v>0</v>
      </c>
      <c r="BB98" s="55" t="str">
        <f>IF($BA98=1,SUMIFS($Q$6:$Q$1005,$A$6:$A$1005,$A98,$AS$6:$AS$1005,1),"")</f>
        <v/>
      </c>
      <c r="BC98" s="56">
        <f>IF(ISNUMBER($R98),1,0)</f>
        <v>0</v>
      </c>
      <c r="BD98" s="55" t="str">
        <f>IF(ISNUMBER($U98),$U98*$V98,"")</f>
        <v/>
      </c>
      <c r="BE98" s="56" t="str">
        <f>IF($AM98=0,"",IFERROR(MATCH($AF98&amp;"|"&amp;UPPER(TRIM($E98)),Lists!$A$6:$A$205,0),0))</f>
        <v/>
      </c>
      <c r="BF98" s="56" t="str">
        <f>IF($AM98=0,"",IFERROR(MATCH($AF98,Settings!$B$14:$B$18,0),IFERROR(MATCH(Settings!$C$6,Settings!$B$14:$B$18,0),1)))</f>
        <v/>
      </c>
      <c r="BG98" s="58" t="str">
        <f>IF($AM98=0,"",IF(NOT(ISNUMBER($I98)),"No stop; ","")&amp;IF(AND(ISNUMBER($H98),ISNUMBER($I98)),IF(OR(AND($F98&lt;&gt;"Short",$I98&gt;=$H98),AND($F98="Short",$I98&lt;=$H98)),"Stop on wrong side; ",""),"")&amp;IF($F98="","No direction; ","")&amp;IF(AND(ISNUMBER(Settings!$C$22),ISNUMBER($V98)),IF($V98&gt;Settings!$C$22,"Risk over max $; ",""),"")&amp;IF(AND(ISNUMBER(Settings!$C$23),ISNUMBER($V98),ISNUMBER($AP98),IFERROR(N(INDEX(Accounts!$E$7:$E$16,MATCH($C98,Accounts!$B$7:$B$16,0))),0)&gt;0),IF($V98&gt;Settings!$C$23*($AP98-N($Q98)),"Risk over max %; ",""),"")&amp;IF(AND(ISNUMBER(Settings!$C$24),ISNUMBER($N98)),IF($N98&gt;Settings!$C$24,"Leverage over max; ",""),"")&amp;IF(AND(ISNUMBER(Settings!$C$27),ISNUMBER($T98)),IF($T98&lt;Settings!$C$27,"R:R below min; ",""),"")&amp;IF(ISNUMBER(Settings!$C$25),IF(COUNTIFS($A$6:$A98,$A98,$AM$6:$AM98,1)&gt;Settings!$C$25,"Over max trades/day; ",""),"")&amp;IF(ISNUMBER(Settings!$C$26),IF(SUMIFS($Q$5:$Q97,$A$5:$A97,$A98)&lt;=-Settings!$C$26,"Traded after daily max loss; ",""),"")&amp;IF(AND($AG98="",NOT(ISNUMBER($O98))),"Symbol not in Instruments; ","")&amp;IF(AND($AH98="",NOT(ISNUMBER($O98))),"Forex cross: type Gross P&amp;L; ",""))</f>
        <v/>
      </c>
      <c r="BH98" s="56">
        <f>IF(ISNUMBER($Q98),1,0)</f>
        <v>0</v>
      </c>
      <c r="BI98" s="56">
        <f>IF($Y98="",0,1)</f>
        <v>0</v>
      </c>
      <c r="BJ98" s="56">
        <f>IF($AB98="",0,1)</f>
        <v>0</v>
      </c>
      <c r="BK98" s="56">
        <f>IF(AND($BH98=1,$W98&lt;&gt;"OK"),1,0)</f>
        <v>0</v>
      </c>
      <c r="BL98" s="55">
        <f>IF(N($AZ98)=0,0,IFERROR(INDEX($AT$6:$AT$1005,MATCH($AZ98,$AY$6:$AY$1005,0)),0))</f>
        <v>1187.10688</v>
      </c>
      <c r="BM98" s="56">
        <f>IF(ISNUMBER(SEARCH("daily max loss",$BG98)),1,0)</f>
        <v>0</v>
      </c>
    </row>
    <row r="99" ht="18" customHeight="1">
      <c r="A99" s="38" t="n"/>
      <c r="B99" s="39" t="n"/>
      <c r="C99" s="40" t="n"/>
      <c r="D99" s="41" t="n"/>
      <c r="E99" s="41" t="n"/>
      <c r="F99" s="41" t="n"/>
      <c r="G99" s="41" t="n"/>
      <c r="H99" s="42" t="n"/>
      <c r="I99" s="42" t="n"/>
      <c r="J99" s="42" t="n"/>
      <c r="K99" s="42" t="n"/>
      <c r="L99" s="41" t="n"/>
      <c r="M99" s="41" t="n"/>
      <c r="N99" s="41" t="n"/>
      <c r="O99" s="43" t="n"/>
      <c r="P99" s="43" t="n"/>
      <c r="Q99" s="44" t="str">
        <f>IF($AM99=0,"",IF(ISNUMBER($AK99),$AK99-N($AL99),""))</f>
        <v/>
      </c>
      <c r="R99" s="45" t="str">
        <f>IF(OR($Q99="",NOT(ISNUMBER($V99))),"",$AK99/$V99)</f>
        <v/>
      </c>
      <c r="S99" s="46" t="str">
        <f>IF($Q99="","",IF(AND(ISNUMBER($R99),ABS(N($R99))&lt;N(Settings!$C$8)),"Scratch",IF($Q99&gt;0,"Win",IF($Q99&lt;0,"Loss","Scratch"))))</f>
        <v/>
      </c>
      <c r="T99" s="47" t="str">
        <f>IF(OR($AM99=0,NOT(ISNUMBER($H99)),NOT(ISNUMBER($I99)),NOT(ISNUMBER($J99))),"",IF($H99=$I99,"",ROUND(ABS($J99-$H99)/ABS($H99-$I99),6)))</f>
        <v/>
      </c>
      <c r="U99" s="48" t="str">
        <f>IF(OR($S99&lt;&gt;"Win",NOT(ISNUMBER($T99)),NOT(ISNUMBER($R99))),"",MAX(0,$T99-$R99))</f>
        <v/>
      </c>
      <c r="V99" s="49" t="str">
        <f>IF(OR($AM99=0,NOT(ISNUMBER($H99)),NOT(ISNUMBER($I99)),NOT(ISNUMBER($G99))),"",IF(OR($AG99="",$AH99=""),"",IF(ROUND(ABS($H99-$I99)*ABS($G99)*$AG99*$AH99,6)=0,"",ROUND(ABS($H99-$I99)*ABS($G99)*$AG99*$AH99,6))))</f>
        <v/>
      </c>
      <c r="W99" s="50" t="str">
        <f>IF($AM99=0,"",IF($BG99="","OK",LEFT($BG99,LEN($BG99)-2)))</f>
        <v/>
      </c>
      <c r="X99" s="41" t="n"/>
      <c r="Y99" s="40" t="n"/>
      <c r="Z99" s="41" t="n"/>
      <c r="AA99" s="41" t="n"/>
      <c r="AB99" s="40" t="n"/>
      <c r="AC99" s="51" t="n"/>
      <c r="AD99" s="51" t="n"/>
      <c r="AE99" s="40" t="n"/>
      <c r="AF99" s="52" t="str">
        <f>IF($AM99=0,"",IF($D99&lt;&gt;"",$D99,IF(IFERROR(INDEX(Accounts!$C$7:$C$16,MATCH($C99,Accounts!$B$7:$B$16,0))&amp;"","")&lt;&gt;"",INDEX(Accounts!$C$7:$C$16,MATCH($C99,Accounts!$B$7:$B$16,0)),Settings!$C$6)))</f>
        <v/>
      </c>
      <c r="AG99" s="53" t="str">
        <f>IF($AM99=0,"",IF(AND($BE99&gt;0,N(INDEX(Instruments!$D$6:$D$205,MAX(1,$BE99)))&gt;0),INDEX(Instruments!$D$6:$D$205,MAX(1,$BE99)),IF(N(INDEX(Settings!$D$14:$D$18,$BF99))&gt;0,INDEX(Settings!$D$14:$D$18,$BF99),"")))</f>
        <v/>
      </c>
      <c r="AH99" s="54" t="str">
        <f>IF($AM99=0,"",IF($AF99&lt;&gt;"Forex",1,IF(MID(UPPER(SUBSTITUTE(TRIM($E99),"/","")),4,3)=UPPER(TRIM(Settings!$C$7)),1,IF(LEFT(UPPER(SUBSTITUTE(TRIM($E99),"/","")),3)=UPPER(TRIM(Settings!$C$7)),IF(AND(ISNUMBER($K99),N($K99)&lt;&gt;0),1/$K99,""),""))))</f>
        <v/>
      </c>
      <c r="AI99" s="55" t="str">
        <f>IF($AM99=0,"",IF(OR(NOT(ISNUMBER($H99)),NOT(ISNUMBER($K99)),NOT(ISNUMBER($G99)),$AG99="",$AH99=""),"",ROUND(($K99-$H99)*IF($F99="Short",-1,1)*$G99*$AG99*$AH99,6)))</f>
        <v/>
      </c>
      <c r="AJ99" s="55" t="str">
        <f>IF($AM99=0,"",IF(INDEX(Settings!$E$14:$E$18,$BF99)="% of notional",IF(OR($AG99="",NOT(ISNUMBER($H99)),NOT(ISNUMBER($G99))),"",ROUND(ABS($H99*$G99*$AG99*N($AH99))*IF($L99="Limit",N(INDEX(Settings!$G$14:$G$18,$BF99)),N(INDEX(Settings!$H$14:$H$18,$BF99)))+IF(ISNUMBER($K99),ABS($K99*$G99*$AG99*N($AH99))*IF($M99="Target",N(INDEX(Settings!$G$14:$G$18,$BF99)),N(INDEX(Settings!$H$14:$H$18,$BF99))),0),6)),IF(NOT(ISNUMBER($G99)),"",ROUND(ABS($G99)*2*IF(AND($BE99&gt;0,ISNUMBER(INDEX(Instruments!$G$6:$G$205,MAX(1,$BE99)))),INDEX(Instruments!$G$6:$G$205,MAX(1,$BE99)),N(INDEX(Settings!$F$14:$F$18,$BF99))),6))))</f>
        <v/>
      </c>
      <c r="AK99" s="55" t="str">
        <f>IF($AM99=0,"",IF(ISNUMBER($O99),$O99,$AI99))</f>
        <v/>
      </c>
      <c r="AL99" s="55" t="str">
        <f>IF($AM99=0,"",IF(ISNUMBER($P99),$P99,N($AJ99)))</f>
        <v/>
      </c>
      <c r="AM99" s="56">
        <f>IF(AND($A99&lt;&gt;"",$E99&lt;&gt;"",OR(AND(ISNUMBER($G99),ISNUMBER($H99),ISNUMBER($K99)),ISNUMBER($O99))),1,0)</f>
        <v>0</v>
      </c>
      <c r="AN99" s="57" t="str">
        <f>IF($A99="","",$A99-WEEKDAY($A99,3))</f>
        <v/>
      </c>
      <c r="AO99" s="56" t="str">
        <f>IF($A99="","",WEEKDAY($A99,2))</f>
        <v/>
      </c>
      <c r="AP99" s="55" t="str">
        <f>IF(OR($AM99=0,$C99=""),"",IFERROR(N(INDEX(Accounts!$E$7:$E$16,MATCH($C99,Accounts!$B$7:$B$16,0))),0)+SUMIFS($Q$6:$Q99,$C$6:$C99,$C99))</f>
        <v/>
      </c>
      <c r="AQ99" s="55" t="str">
        <f>IF(OR($AM99=0,$C99=""),"",SUMIFS($Q$6:$Q$1005,$C$6:$C$1005,$C99,$A$6:$A$1005,$A99))</f>
        <v/>
      </c>
      <c r="AR99" s="55" t="str">
        <f>IF(OR($AM99=0,$C99=""),"",IFERROR(N(INDEX(Accounts!$E$7:$E$16,MATCH($C99,Accounts!$B$7:$B$16,0))),0)+SUMIFS($Q$6:$Q$1005,$C$6:$C$1005,$C99,$A$6:$A$1005,"&lt;="&amp;$A99))</f>
        <v/>
      </c>
      <c r="AS99" s="56">
        <f>IF(OR($AM99=0,$Q99=""),0,IF(AND($A99&gt;=Lists!$W$6,$A99&lt;=Lists!$W$7,OR(Dashboard!$D$6="All accounts",$C99=Dashboard!$D$6),OR(Dashboard!$D$7="All markets",$AF99=Dashboard!$D$7)),1,0))</f>
        <v>0</v>
      </c>
      <c r="AT99" s="55">
        <f>IF($AS99=1,N(AT98)+$Q99,N(AT98))</f>
        <v>1187.10688</v>
      </c>
      <c r="AU99" s="55">
        <f>MAX(N(AU98),$AT99)</f>
        <v>1187.10688</v>
      </c>
      <c r="AV99" s="55">
        <f>$AT99-$AU99</f>
        <v>0</v>
      </c>
      <c r="AW99" s="56">
        <f>IF($AS99=1,IF($S99="Win",N(AW98)+1,IF($S99="Loss",0,N(AW98))),N(AW98))</f>
        <v>5</v>
      </c>
      <c r="AX99" s="56">
        <f>IF($AS99=1,IF($S99="Loss",N(AX98)+1,IF($S99="Win",0,N(AX98))),N(AX98))</f>
        <v>0</v>
      </c>
      <c r="AY99" s="56" t="str">
        <f>IF($AS99=1,COUNTIF($AS$6:$AS99,1),"")</f>
        <v/>
      </c>
      <c r="AZ99" s="56">
        <f>MIN(93,N(Lists!$W$8))</f>
        <v>28</v>
      </c>
      <c r="BA99" s="56">
        <f>IF($AS99=1,IF(COUNTIFS($A$6:$A99,$A99,$AS$6:$AS99,1)=1,1,0),0)</f>
        <v>0</v>
      </c>
      <c r="BB99" s="55" t="str">
        <f>IF($BA99=1,SUMIFS($Q$6:$Q$1005,$A$6:$A$1005,$A99,$AS$6:$AS$1005,1),"")</f>
        <v/>
      </c>
      <c r="BC99" s="56">
        <f>IF(ISNUMBER($R99),1,0)</f>
        <v>0</v>
      </c>
      <c r="BD99" s="55" t="str">
        <f>IF(ISNUMBER($U99),$U99*$V99,"")</f>
        <v/>
      </c>
      <c r="BE99" s="56" t="str">
        <f>IF($AM99=0,"",IFERROR(MATCH($AF99&amp;"|"&amp;UPPER(TRIM($E99)),Lists!$A$6:$A$205,0),0))</f>
        <v/>
      </c>
      <c r="BF99" s="56" t="str">
        <f>IF($AM99=0,"",IFERROR(MATCH($AF99,Settings!$B$14:$B$18,0),IFERROR(MATCH(Settings!$C$6,Settings!$B$14:$B$18,0),1)))</f>
        <v/>
      </c>
      <c r="BG99" s="58" t="str">
        <f>IF($AM99=0,"",IF(NOT(ISNUMBER($I99)),"No stop; ","")&amp;IF(AND(ISNUMBER($H99),ISNUMBER($I99)),IF(OR(AND($F99&lt;&gt;"Short",$I99&gt;=$H99),AND($F99="Short",$I99&lt;=$H99)),"Stop on wrong side; ",""),"")&amp;IF($F99="","No direction; ","")&amp;IF(AND(ISNUMBER(Settings!$C$22),ISNUMBER($V99)),IF($V99&gt;Settings!$C$22,"Risk over max $; ",""),"")&amp;IF(AND(ISNUMBER(Settings!$C$23),ISNUMBER($V99),ISNUMBER($AP99),IFERROR(N(INDEX(Accounts!$E$7:$E$16,MATCH($C99,Accounts!$B$7:$B$16,0))),0)&gt;0),IF($V99&gt;Settings!$C$23*($AP99-N($Q99)),"Risk over max %; ",""),"")&amp;IF(AND(ISNUMBER(Settings!$C$24),ISNUMBER($N99)),IF($N99&gt;Settings!$C$24,"Leverage over max; ",""),"")&amp;IF(AND(ISNUMBER(Settings!$C$27),ISNUMBER($T99)),IF($T99&lt;Settings!$C$27,"R:R below min; ",""),"")&amp;IF(ISNUMBER(Settings!$C$25),IF(COUNTIFS($A$6:$A99,$A99,$AM$6:$AM99,1)&gt;Settings!$C$25,"Over max trades/day; ",""),"")&amp;IF(ISNUMBER(Settings!$C$26),IF(SUMIFS($Q$5:$Q98,$A$5:$A98,$A99)&lt;=-Settings!$C$26,"Traded after daily max loss; ",""),"")&amp;IF(AND($AG99="",NOT(ISNUMBER($O99))),"Symbol not in Instruments; ","")&amp;IF(AND($AH99="",NOT(ISNUMBER($O99))),"Forex cross: type Gross P&amp;L; ",""))</f>
        <v/>
      </c>
      <c r="BH99" s="56">
        <f>IF(ISNUMBER($Q99),1,0)</f>
        <v>0</v>
      </c>
      <c r="BI99" s="56">
        <f>IF($Y99="",0,1)</f>
        <v>0</v>
      </c>
      <c r="BJ99" s="56">
        <f>IF($AB99="",0,1)</f>
        <v>0</v>
      </c>
      <c r="BK99" s="56">
        <f>IF(AND($BH99=1,$W99&lt;&gt;"OK"),1,0)</f>
        <v>0</v>
      </c>
      <c r="BL99" s="55">
        <f>IF(N($AZ99)=0,0,IFERROR(INDEX($AT$6:$AT$1005,MATCH($AZ99,$AY$6:$AY$1005,0)),0))</f>
        <v>1187.10688</v>
      </c>
      <c r="BM99" s="56">
        <f>IF(ISNUMBER(SEARCH("daily max loss",$BG99)),1,0)</f>
        <v>0</v>
      </c>
    </row>
    <row r="100" ht="18" customHeight="1">
      <c r="A100" s="38" t="n"/>
      <c r="B100" s="39" t="n"/>
      <c r="C100" s="40" t="n"/>
      <c r="D100" s="41" t="n"/>
      <c r="E100" s="41" t="n"/>
      <c r="F100" s="41" t="n"/>
      <c r="G100" s="41" t="n"/>
      <c r="H100" s="42" t="n"/>
      <c r="I100" s="42" t="n"/>
      <c r="J100" s="42" t="n"/>
      <c r="K100" s="42" t="n"/>
      <c r="L100" s="41" t="n"/>
      <c r="M100" s="41" t="n"/>
      <c r="N100" s="41" t="n"/>
      <c r="O100" s="43" t="n"/>
      <c r="P100" s="43" t="n"/>
      <c r="Q100" s="44" t="str">
        <f>IF($AM100=0,"",IF(ISNUMBER($AK100),$AK100-N($AL100),""))</f>
        <v/>
      </c>
      <c r="R100" s="45" t="str">
        <f>IF(OR($Q100="",NOT(ISNUMBER($V100))),"",$AK100/$V100)</f>
        <v/>
      </c>
      <c r="S100" s="46" t="str">
        <f>IF($Q100="","",IF(AND(ISNUMBER($R100),ABS(N($R100))&lt;N(Settings!$C$8)),"Scratch",IF($Q100&gt;0,"Win",IF($Q100&lt;0,"Loss","Scratch"))))</f>
        <v/>
      </c>
      <c r="T100" s="47" t="str">
        <f>IF(OR($AM100=0,NOT(ISNUMBER($H100)),NOT(ISNUMBER($I100)),NOT(ISNUMBER($J100))),"",IF($H100=$I100,"",ROUND(ABS($J100-$H100)/ABS($H100-$I100),6)))</f>
        <v/>
      </c>
      <c r="U100" s="48" t="str">
        <f>IF(OR($S100&lt;&gt;"Win",NOT(ISNUMBER($T100)),NOT(ISNUMBER($R100))),"",MAX(0,$T100-$R100))</f>
        <v/>
      </c>
      <c r="V100" s="49" t="str">
        <f>IF(OR($AM100=0,NOT(ISNUMBER($H100)),NOT(ISNUMBER($I100)),NOT(ISNUMBER($G100))),"",IF(OR($AG100="",$AH100=""),"",IF(ROUND(ABS($H100-$I100)*ABS($G100)*$AG100*$AH100,6)=0,"",ROUND(ABS($H100-$I100)*ABS($G100)*$AG100*$AH100,6))))</f>
        <v/>
      </c>
      <c r="W100" s="50" t="str">
        <f>IF($AM100=0,"",IF($BG100="","OK",LEFT($BG100,LEN($BG100)-2)))</f>
        <v/>
      </c>
      <c r="X100" s="41" t="n"/>
      <c r="Y100" s="40" t="n"/>
      <c r="Z100" s="41" t="n"/>
      <c r="AA100" s="41" t="n"/>
      <c r="AB100" s="40" t="n"/>
      <c r="AC100" s="51" t="n"/>
      <c r="AD100" s="51" t="n"/>
      <c r="AE100" s="40" t="n"/>
      <c r="AF100" s="52" t="str">
        <f>IF($AM100=0,"",IF($D100&lt;&gt;"",$D100,IF(IFERROR(INDEX(Accounts!$C$7:$C$16,MATCH($C100,Accounts!$B$7:$B$16,0))&amp;"","")&lt;&gt;"",INDEX(Accounts!$C$7:$C$16,MATCH($C100,Accounts!$B$7:$B$16,0)),Settings!$C$6)))</f>
        <v/>
      </c>
      <c r="AG100" s="53" t="str">
        <f>IF($AM100=0,"",IF(AND($BE100&gt;0,N(INDEX(Instruments!$D$6:$D$205,MAX(1,$BE100)))&gt;0),INDEX(Instruments!$D$6:$D$205,MAX(1,$BE100)),IF(N(INDEX(Settings!$D$14:$D$18,$BF100))&gt;0,INDEX(Settings!$D$14:$D$18,$BF100),"")))</f>
        <v/>
      </c>
      <c r="AH100" s="54" t="str">
        <f>IF($AM100=0,"",IF($AF100&lt;&gt;"Forex",1,IF(MID(UPPER(SUBSTITUTE(TRIM($E100),"/","")),4,3)=UPPER(TRIM(Settings!$C$7)),1,IF(LEFT(UPPER(SUBSTITUTE(TRIM($E100),"/","")),3)=UPPER(TRIM(Settings!$C$7)),IF(AND(ISNUMBER($K100),N($K100)&lt;&gt;0),1/$K100,""),""))))</f>
        <v/>
      </c>
      <c r="AI100" s="55" t="str">
        <f>IF($AM100=0,"",IF(OR(NOT(ISNUMBER($H100)),NOT(ISNUMBER($K100)),NOT(ISNUMBER($G100)),$AG100="",$AH100=""),"",ROUND(($K100-$H100)*IF($F100="Short",-1,1)*$G100*$AG100*$AH100,6)))</f>
        <v/>
      </c>
      <c r="AJ100" s="55" t="str">
        <f>IF($AM100=0,"",IF(INDEX(Settings!$E$14:$E$18,$BF100)="% of notional",IF(OR($AG100="",NOT(ISNUMBER($H100)),NOT(ISNUMBER($G100))),"",ROUND(ABS($H100*$G100*$AG100*N($AH100))*IF($L100="Limit",N(INDEX(Settings!$G$14:$G$18,$BF100)),N(INDEX(Settings!$H$14:$H$18,$BF100)))+IF(ISNUMBER($K100),ABS($K100*$G100*$AG100*N($AH100))*IF($M100="Target",N(INDEX(Settings!$G$14:$G$18,$BF100)),N(INDEX(Settings!$H$14:$H$18,$BF100))),0),6)),IF(NOT(ISNUMBER($G100)),"",ROUND(ABS($G100)*2*IF(AND($BE100&gt;0,ISNUMBER(INDEX(Instruments!$G$6:$G$205,MAX(1,$BE100)))),INDEX(Instruments!$G$6:$G$205,MAX(1,$BE100)),N(INDEX(Settings!$F$14:$F$18,$BF100))),6))))</f>
        <v/>
      </c>
      <c r="AK100" s="55" t="str">
        <f>IF($AM100=0,"",IF(ISNUMBER($O100),$O100,$AI100))</f>
        <v/>
      </c>
      <c r="AL100" s="55" t="str">
        <f>IF($AM100=0,"",IF(ISNUMBER($P100),$P100,N($AJ100)))</f>
        <v/>
      </c>
      <c r="AM100" s="56">
        <f>IF(AND($A100&lt;&gt;"",$E100&lt;&gt;"",OR(AND(ISNUMBER($G100),ISNUMBER($H100),ISNUMBER($K100)),ISNUMBER($O100))),1,0)</f>
        <v>0</v>
      </c>
      <c r="AN100" s="57" t="str">
        <f>IF($A100="","",$A100-WEEKDAY($A100,3))</f>
        <v/>
      </c>
      <c r="AO100" s="56" t="str">
        <f>IF($A100="","",WEEKDAY($A100,2))</f>
        <v/>
      </c>
      <c r="AP100" s="55" t="str">
        <f>IF(OR($AM100=0,$C100=""),"",IFERROR(N(INDEX(Accounts!$E$7:$E$16,MATCH($C100,Accounts!$B$7:$B$16,0))),0)+SUMIFS($Q$6:$Q100,$C$6:$C100,$C100))</f>
        <v/>
      </c>
      <c r="AQ100" s="55" t="str">
        <f>IF(OR($AM100=0,$C100=""),"",SUMIFS($Q$6:$Q$1005,$C$6:$C$1005,$C100,$A$6:$A$1005,$A100))</f>
        <v/>
      </c>
      <c r="AR100" s="55" t="str">
        <f>IF(OR($AM100=0,$C100=""),"",IFERROR(N(INDEX(Accounts!$E$7:$E$16,MATCH($C100,Accounts!$B$7:$B$16,0))),0)+SUMIFS($Q$6:$Q$1005,$C$6:$C$1005,$C100,$A$6:$A$1005,"&lt;="&amp;$A100))</f>
        <v/>
      </c>
      <c r="AS100" s="56">
        <f>IF(OR($AM100=0,$Q100=""),0,IF(AND($A100&gt;=Lists!$W$6,$A100&lt;=Lists!$W$7,OR(Dashboard!$D$6="All accounts",$C100=Dashboard!$D$6),OR(Dashboard!$D$7="All markets",$AF100=Dashboard!$D$7)),1,0))</f>
        <v>0</v>
      </c>
      <c r="AT100" s="55">
        <f>IF($AS100=1,N(AT99)+$Q100,N(AT99))</f>
        <v>1187.10688</v>
      </c>
      <c r="AU100" s="55">
        <f>MAX(N(AU99),$AT100)</f>
        <v>1187.10688</v>
      </c>
      <c r="AV100" s="55">
        <f>$AT100-$AU100</f>
        <v>0</v>
      </c>
      <c r="AW100" s="56">
        <f>IF($AS100=1,IF($S100="Win",N(AW99)+1,IF($S100="Loss",0,N(AW99))),N(AW99))</f>
        <v>5</v>
      </c>
      <c r="AX100" s="56">
        <f>IF($AS100=1,IF($S100="Loss",N(AX99)+1,IF($S100="Win",0,N(AX99))),N(AX99))</f>
        <v>0</v>
      </c>
      <c r="AY100" s="56" t="str">
        <f>IF($AS100=1,COUNTIF($AS$6:$AS100,1),"")</f>
        <v/>
      </c>
      <c r="AZ100" s="56">
        <f>MIN(94,N(Lists!$W$8))</f>
        <v>28</v>
      </c>
      <c r="BA100" s="56">
        <f>IF($AS100=1,IF(COUNTIFS($A$6:$A100,$A100,$AS$6:$AS100,1)=1,1,0),0)</f>
        <v>0</v>
      </c>
      <c r="BB100" s="55" t="str">
        <f>IF($BA100=1,SUMIFS($Q$6:$Q$1005,$A$6:$A$1005,$A100,$AS$6:$AS$1005,1),"")</f>
        <v/>
      </c>
      <c r="BC100" s="56">
        <f>IF(ISNUMBER($R100),1,0)</f>
        <v>0</v>
      </c>
      <c r="BD100" s="55" t="str">
        <f>IF(ISNUMBER($U100),$U100*$V100,"")</f>
        <v/>
      </c>
      <c r="BE100" s="56" t="str">
        <f>IF($AM100=0,"",IFERROR(MATCH($AF100&amp;"|"&amp;UPPER(TRIM($E100)),Lists!$A$6:$A$205,0),0))</f>
        <v/>
      </c>
      <c r="BF100" s="56" t="str">
        <f>IF($AM100=0,"",IFERROR(MATCH($AF100,Settings!$B$14:$B$18,0),IFERROR(MATCH(Settings!$C$6,Settings!$B$14:$B$18,0),1)))</f>
        <v/>
      </c>
      <c r="BG100" s="58" t="str">
        <f>IF($AM100=0,"",IF(NOT(ISNUMBER($I100)),"No stop; ","")&amp;IF(AND(ISNUMBER($H100),ISNUMBER($I100)),IF(OR(AND($F100&lt;&gt;"Short",$I100&gt;=$H100),AND($F100="Short",$I100&lt;=$H100)),"Stop on wrong side; ",""),"")&amp;IF($F100="","No direction; ","")&amp;IF(AND(ISNUMBER(Settings!$C$22),ISNUMBER($V100)),IF($V100&gt;Settings!$C$22,"Risk over max $; ",""),"")&amp;IF(AND(ISNUMBER(Settings!$C$23),ISNUMBER($V100),ISNUMBER($AP100),IFERROR(N(INDEX(Accounts!$E$7:$E$16,MATCH($C100,Accounts!$B$7:$B$16,0))),0)&gt;0),IF($V100&gt;Settings!$C$23*($AP100-N($Q100)),"Risk over max %; ",""),"")&amp;IF(AND(ISNUMBER(Settings!$C$24),ISNUMBER($N100)),IF($N100&gt;Settings!$C$24,"Leverage over max; ",""),"")&amp;IF(AND(ISNUMBER(Settings!$C$27),ISNUMBER($T100)),IF($T100&lt;Settings!$C$27,"R:R below min; ",""),"")&amp;IF(ISNUMBER(Settings!$C$25),IF(COUNTIFS($A$6:$A100,$A100,$AM$6:$AM100,1)&gt;Settings!$C$25,"Over max trades/day; ",""),"")&amp;IF(ISNUMBER(Settings!$C$26),IF(SUMIFS($Q$5:$Q99,$A$5:$A99,$A100)&lt;=-Settings!$C$26,"Traded after daily max loss; ",""),"")&amp;IF(AND($AG100="",NOT(ISNUMBER($O100))),"Symbol not in Instruments; ","")&amp;IF(AND($AH100="",NOT(ISNUMBER($O100))),"Forex cross: type Gross P&amp;L; ",""))</f>
        <v/>
      </c>
      <c r="BH100" s="56">
        <f>IF(ISNUMBER($Q100),1,0)</f>
        <v>0</v>
      </c>
      <c r="BI100" s="56">
        <f>IF($Y100="",0,1)</f>
        <v>0</v>
      </c>
      <c r="BJ100" s="56">
        <f>IF($AB100="",0,1)</f>
        <v>0</v>
      </c>
      <c r="BK100" s="56">
        <f>IF(AND($BH100=1,$W100&lt;&gt;"OK"),1,0)</f>
        <v>0</v>
      </c>
      <c r="BL100" s="55">
        <f>IF(N($AZ100)=0,0,IFERROR(INDEX($AT$6:$AT$1005,MATCH($AZ100,$AY$6:$AY$1005,0)),0))</f>
        <v>1187.10688</v>
      </c>
      <c r="BM100" s="56">
        <f>IF(ISNUMBER(SEARCH("daily max loss",$BG100)),1,0)</f>
        <v>0</v>
      </c>
    </row>
    <row r="101" ht="18" customHeight="1">
      <c r="A101" s="38" t="n"/>
      <c r="B101" s="39" t="n"/>
      <c r="C101" s="40" t="n"/>
      <c r="D101" s="41" t="n"/>
      <c r="E101" s="41" t="n"/>
      <c r="F101" s="41" t="n"/>
      <c r="G101" s="41" t="n"/>
      <c r="H101" s="42" t="n"/>
      <c r="I101" s="42" t="n"/>
      <c r="J101" s="42" t="n"/>
      <c r="K101" s="42" t="n"/>
      <c r="L101" s="41" t="n"/>
      <c r="M101" s="41" t="n"/>
      <c r="N101" s="41" t="n"/>
      <c r="O101" s="43" t="n"/>
      <c r="P101" s="43" t="n"/>
      <c r="Q101" s="44" t="str">
        <f>IF($AM101=0,"",IF(ISNUMBER($AK101),$AK101-N($AL101),""))</f>
        <v/>
      </c>
      <c r="R101" s="45" t="str">
        <f>IF(OR($Q101="",NOT(ISNUMBER($V101))),"",$AK101/$V101)</f>
        <v/>
      </c>
      <c r="S101" s="46" t="str">
        <f>IF($Q101="","",IF(AND(ISNUMBER($R101),ABS(N($R101))&lt;N(Settings!$C$8)),"Scratch",IF($Q101&gt;0,"Win",IF($Q101&lt;0,"Loss","Scratch"))))</f>
        <v/>
      </c>
      <c r="T101" s="47" t="str">
        <f>IF(OR($AM101=0,NOT(ISNUMBER($H101)),NOT(ISNUMBER($I101)),NOT(ISNUMBER($J101))),"",IF($H101=$I101,"",ROUND(ABS($J101-$H101)/ABS($H101-$I101),6)))</f>
        <v/>
      </c>
      <c r="U101" s="48" t="str">
        <f>IF(OR($S101&lt;&gt;"Win",NOT(ISNUMBER($T101)),NOT(ISNUMBER($R101))),"",MAX(0,$T101-$R101))</f>
        <v/>
      </c>
      <c r="V101" s="49" t="str">
        <f>IF(OR($AM101=0,NOT(ISNUMBER($H101)),NOT(ISNUMBER($I101)),NOT(ISNUMBER($G101))),"",IF(OR($AG101="",$AH101=""),"",IF(ROUND(ABS($H101-$I101)*ABS($G101)*$AG101*$AH101,6)=0,"",ROUND(ABS($H101-$I101)*ABS($G101)*$AG101*$AH101,6))))</f>
        <v/>
      </c>
      <c r="W101" s="50" t="str">
        <f>IF($AM101=0,"",IF($BG101="","OK",LEFT($BG101,LEN($BG101)-2)))</f>
        <v/>
      </c>
      <c r="X101" s="41" t="n"/>
      <c r="Y101" s="40" t="n"/>
      <c r="Z101" s="41" t="n"/>
      <c r="AA101" s="41" t="n"/>
      <c r="AB101" s="40" t="n"/>
      <c r="AC101" s="51" t="n"/>
      <c r="AD101" s="51" t="n"/>
      <c r="AE101" s="40" t="n"/>
      <c r="AF101" s="52" t="str">
        <f>IF($AM101=0,"",IF($D101&lt;&gt;"",$D101,IF(IFERROR(INDEX(Accounts!$C$7:$C$16,MATCH($C101,Accounts!$B$7:$B$16,0))&amp;"","")&lt;&gt;"",INDEX(Accounts!$C$7:$C$16,MATCH($C101,Accounts!$B$7:$B$16,0)),Settings!$C$6)))</f>
        <v/>
      </c>
      <c r="AG101" s="53" t="str">
        <f>IF($AM101=0,"",IF(AND($BE101&gt;0,N(INDEX(Instruments!$D$6:$D$205,MAX(1,$BE101)))&gt;0),INDEX(Instruments!$D$6:$D$205,MAX(1,$BE101)),IF(N(INDEX(Settings!$D$14:$D$18,$BF101))&gt;0,INDEX(Settings!$D$14:$D$18,$BF101),"")))</f>
        <v/>
      </c>
      <c r="AH101" s="54" t="str">
        <f>IF($AM101=0,"",IF($AF101&lt;&gt;"Forex",1,IF(MID(UPPER(SUBSTITUTE(TRIM($E101),"/","")),4,3)=UPPER(TRIM(Settings!$C$7)),1,IF(LEFT(UPPER(SUBSTITUTE(TRIM($E101),"/","")),3)=UPPER(TRIM(Settings!$C$7)),IF(AND(ISNUMBER($K101),N($K101)&lt;&gt;0),1/$K101,""),""))))</f>
        <v/>
      </c>
      <c r="AI101" s="55" t="str">
        <f>IF($AM101=0,"",IF(OR(NOT(ISNUMBER($H101)),NOT(ISNUMBER($K101)),NOT(ISNUMBER($G101)),$AG101="",$AH101=""),"",ROUND(($K101-$H101)*IF($F101="Short",-1,1)*$G101*$AG101*$AH101,6)))</f>
        <v/>
      </c>
      <c r="AJ101" s="55" t="str">
        <f>IF($AM101=0,"",IF(INDEX(Settings!$E$14:$E$18,$BF101)="% of notional",IF(OR($AG101="",NOT(ISNUMBER($H101)),NOT(ISNUMBER($G101))),"",ROUND(ABS($H101*$G101*$AG101*N($AH101))*IF($L101="Limit",N(INDEX(Settings!$G$14:$G$18,$BF101)),N(INDEX(Settings!$H$14:$H$18,$BF101)))+IF(ISNUMBER($K101),ABS($K101*$G101*$AG101*N($AH101))*IF($M101="Target",N(INDEX(Settings!$G$14:$G$18,$BF101)),N(INDEX(Settings!$H$14:$H$18,$BF101))),0),6)),IF(NOT(ISNUMBER($G101)),"",ROUND(ABS($G101)*2*IF(AND($BE101&gt;0,ISNUMBER(INDEX(Instruments!$G$6:$G$205,MAX(1,$BE101)))),INDEX(Instruments!$G$6:$G$205,MAX(1,$BE101)),N(INDEX(Settings!$F$14:$F$18,$BF101))),6))))</f>
        <v/>
      </c>
      <c r="AK101" s="55" t="str">
        <f>IF($AM101=0,"",IF(ISNUMBER($O101),$O101,$AI101))</f>
        <v/>
      </c>
      <c r="AL101" s="55" t="str">
        <f>IF($AM101=0,"",IF(ISNUMBER($P101),$P101,N($AJ101)))</f>
        <v/>
      </c>
      <c r="AM101" s="56">
        <f>IF(AND($A101&lt;&gt;"",$E101&lt;&gt;"",OR(AND(ISNUMBER($G101),ISNUMBER($H101),ISNUMBER($K101)),ISNUMBER($O101))),1,0)</f>
        <v>0</v>
      </c>
      <c r="AN101" s="57" t="str">
        <f>IF($A101="","",$A101-WEEKDAY($A101,3))</f>
        <v/>
      </c>
      <c r="AO101" s="56" t="str">
        <f>IF($A101="","",WEEKDAY($A101,2))</f>
        <v/>
      </c>
      <c r="AP101" s="55" t="str">
        <f>IF(OR($AM101=0,$C101=""),"",IFERROR(N(INDEX(Accounts!$E$7:$E$16,MATCH($C101,Accounts!$B$7:$B$16,0))),0)+SUMIFS($Q$6:$Q101,$C$6:$C101,$C101))</f>
        <v/>
      </c>
      <c r="AQ101" s="55" t="str">
        <f>IF(OR($AM101=0,$C101=""),"",SUMIFS($Q$6:$Q$1005,$C$6:$C$1005,$C101,$A$6:$A$1005,$A101))</f>
        <v/>
      </c>
      <c r="AR101" s="55" t="str">
        <f>IF(OR($AM101=0,$C101=""),"",IFERROR(N(INDEX(Accounts!$E$7:$E$16,MATCH($C101,Accounts!$B$7:$B$16,0))),0)+SUMIFS($Q$6:$Q$1005,$C$6:$C$1005,$C101,$A$6:$A$1005,"&lt;="&amp;$A101))</f>
        <v/>
      </c>
      <c r="AS101" s="56">
        <f>IF(OR($AM101=0,$Q101=""),0,IF(AND($A101&gt;=Lists!$W$6,$A101&lt;=Lists!$W$7,OR(Dashboard!$D$6="All accounts",$C101=Dashboard!$D$6),OR(Dashboard!$D$7="All markets",$AF101=Dashboard!$D$7)),1,0))</f>
        <v>0</v>
      </c>
      <c r="AT101" s="55">
        <f>IF($AS101=1,N(AT100)+$Q101,N(AT100))</f>
        <v>1187.10688</v>
      </c>
      <c r="AU101" s="55">
        <f>MAX(N(AU100),$AT101)</f>
        <v>1187.10688</v>
      </c>
      <c r="AV101" s="55">
        <f>$AT101-$AU101</f>
        <v>0</v>
      </c>
      <c r="AW101" s="56">
        <f>IF($AS101=1,IF($S101="Win",N(AW100)+1,IF($S101="Loss",0,N(AW100))),N(AW100))</f>
        <v>5</v>
      </c>
      <c r="AX101" s="56">
        <f>IF($AS101=1,IF($S101="Loss",N(AX100)+1,IF($S101="Win",0,N(AX100))),N(AX100))</f>
        <v>0</v>
      </c>
      <c r="AY101" s="56" t="str">
        <f>IF($AS101=1,COUNTIF($AS$6:$AS101,1),"")</f>
        <v/>
      </c>
      <c r="AZ101" s="56">
        <f>MIN(95,N(Lists!$W$8))</f>
        <v>28</v>
      </c>
      <c r="BA101" s="56">
        <f>IF($AS101=1,IF(COUNTIFS($A$6:$A101,$A101,$AS$6:$AS101,1)=1,1,0),0)</f>
        <v>0</v>
      </c>
      <c r="BB101" s="55" t="str">
        <f>IF($BA101=1,SUMIFS($Q$6:$Q$1005,$A$6:$A$1005,$A101,$AS$6:$AS$1005,1),"")</f>
        <v/>
      </c>
      <c r="BC101" s="56">
        <f>IF(ISNUMBER($R101),1,0)</f>
        <v>0</v>
      </c>
      <c r="BD101" s="55" t="str">
        <f>IF(ISNUMBER($U101),$U101*$V101,"")</f>
        <v/>
      </c>
      <c r="BE101" s="56" t="str">
        <f>IF($AM101=0,"",IFERROR(MATCH($AF101&amp;"|"&amp;UPPER(TRIM($E101)),Lists!$A$6:$A$205,0),0))</f>
        <v/>
      </c>
      <c r="BF101" s="56" t="str">
        <f>IF($AM101=0,"",IFERROR(MATCH($AF101,Settings!$B$14:$B$18,0),IFERROR(MATCH(Settings!$C$6,Settings!$B$14:$B$18,0),1)))</f>
        <v/>
      </c>
      <c r="BG101" s="58" t="str">
        <f>IF($AM101=0,"",IF(NOT(ISNUMBER($I101)),"No stop; ","")&amp;IF(AND(ISNUMBER($H101),ISNUMBER($I101)),IF(OR(AND($F101&lt;&gt;"Short",$I101&gt;=$H101),AND($F101="Short",$I101&lt;=$H101)),"Stop on wrong side; ",""),"")&amp;IF($F101="","No direction; ","")&amp;IF(AND(ISNUMBER(Settings!$C$22),ISNUMBER($V101)),IF($V101&gt;Settings!$C$22,"Risk over max $; ",""),"")&amp;IF(AND(ISNUMBER(Settings!$C$23),ISNUMBER($V101),ISNUMBER($AP101),IFERROR(N(INDEX(Accounts!$E$7:$E$16,MATCH($C101,Accounts!$B$7:$B$16,0))),0)&gt;0),IF($V101&gt;Settings!$C$23*($AP101-N($Q101)),"Risk over max %; ",""),"")&amp;IF(AND(ISNUMBER(Settings!$C$24),ISNUMBER($N101)),IF($N101&gt;Settings!$C$24,"Leverage over max; ",""),"")&amp;IF(AND(ISNUMBER(Settings!$C$27),ISNUMBER($T101)),IF($T101&lt;Settings!$C$27,"R:R below min; ",""),"")&amp;IF(ISNUMBER(Settings!$C$25),IF(COUNTIFS($A$6:$A101,$A101,$AM$6:$AM101,1)&gt;Settings!$C$25,"Over max trades/day; ",""),"")&amp;IF(ISNUMBER(Settings!$C$26),IF(SUMIFS($Q$5:$Q100,$A$5:$A100,$A101)&lt;=-Settings!$C$26,"Traded after daily max loss; ",""),"")&amp;IF(AND($AG101="",NOT(ISNUMBER($O101))),"Symbol not in Instruments; ","")&amp;IF(AND($AH101="",NOT(ISNUMBER($O101))),"Forex cross: type Gross P&amp;L; ",""))</f>
        <v/>
      </c>
      <c r="BH101" s="56">
        <f>IF(ISNUMBER($Q101),1,0)</f>
        <v>0</v>
      </c>
      <c r="BI101" s="56">
        <f>IF($Y101="",0,1)</f>
        <v>0</v>
      </c>
      <c r="BJ101" s="56">
        <f>IF($AB101="",0,1)</f>
        <v>0</v>
      </c>
      <c r="BK101" s="56">
        <f>IF(AND($BH101=1,$W101&lt;&gt;"OK"),1,0)</f>
        <v>0</v>
      </c>
      <c r="BL101" s="55">
        <f>IF(N($AZ101)=0,0,IFERROR(INDEX($AT$6:$AT$1005,MATCH($AZ101,$AY$6:$AY$1005,0)),0))</f>
        <v>1187.10688</v>
      </c>
      <c r="BM101" s="56">
        <f>IF(ISNUMBER(SEARCH("daily max loss",$BG101)),1,0)</f>
        <v>0</v>
      </c>
    </row>
    <row r="102" ht="18" customHeight="1">
      <c r="A102" s="38" t="n"/>
      <c r="B102" s="39" t="n"/>
      <c r="C102" s="40" t="n"/>
      <c r="D102" s="41" t="n"/>
      <c r="E102" s="41" t="n"/>
      <c r="F102" s="41" t="n"/>
      <c r="G102" s="41" t="n"/>
      <c r="H102" s="42" t="n"/>
      <c r="I102" s="42" t="n"/>
      <c r="J102" s="42" t="n"/>
      <c r="K102" s="42" t="n"/>
      <c r="L102" s="41" t="n"/>
      <c r="M102" s="41" t="n"/>
      <c r="N102" s="41" t="n"/>
      <c r="O102" s="43" t="n"/>
      <c r="P102" s="43" t="n"/>
      <c r="Q102" s="44" t="str">
        <f>IF($AM102=0,"",IF(ISNUMBER($AK102),$AK102-N($AL102),""))</f>
        <v/>
      </c>
      <c r="R102" s="45" t="str">
        <f>IF(OR($Q102="",NOT(ISNUMBER($V102))),"",$AK102/$V102)</f>
        <v/>
      </c>
      <c r="S102" s="46" t="str">
        <f>IF($Q102="","",IF(AND(ISNUMBER($R102),ABS(N($R102))&lt;N(Settings!$C$8)),"Scratch",IF($Q102&gt;0,"Win",IF($Q102&lt;0,"Loss","Scratch"))))</f>
        <v/>
      </c>
      <c r="T102" s="47" t="str">
        <f>IF(OR($AM102=0,NOT(ISNUMBER($H102)),NOT(ISNUMBER($I102)),NOT(ISNUMBER($J102))),"",IF($H102=$I102,"",ROUND(ABS($J102-$H102)/ABS($H102-$I102),6)))</f>
        <v/>
      </c>
      <c r="U102" s="48" t="str">
        <f>IF(OR($S102&lt;&gt;"Win",NOT(ISNUMBER($T102)),NOT(ISNUMBER($R102))),"",MAX(0,$T102-$R102))</f>
        <v/>
      </c>
      <c r="V102" s="49" t="str">
        <f>IF(OR($AM102=0,NOT(ISNUMBER($H102)),NOT(ISNUMBER($I102)),NOT(ISNUMBER($G102))),"",IF(OR($AG102="",$AH102=""),"",IF(ROUND(ABS($H102-$I102)*ABS($G102)*$AG102*$AH102,6)=0,"",ROUND(ABS($H102-$I102)*ABS($G102)*$AG102*$AH102,6))))</f>
        <v/>
      </c>
      <c r="W102" s="50" t="str">
        <f>IF($AM102=0,"",IF($BG102="","OK",LEFT($BG102,LEN($BG102)-2)))</f>
        <v/>
      </c>
      <c r="X102" s="41" t="n"/>
      <c r="Y102" s="40" t="n"/>
      <c r="Z102" s="41" t="n"/>
      <c r="AA102" s="41" t="n"/>
      <c r="AB102" s="40" t="n"/>
      <c r="AC102" s="51" t="n"/>
      <c r="AD102" s="51" t="n"/>
      <c r="AE102" s="40" t="n"/>
      <c r="AF102" s="52" t="str">
        <f>IF($AM102=0,"",IF($D102&lt;&gt;"",$D102,IF(IFERROR(INDEX(Accounts!$C$7:$C$16,MATCH($C102,Accounts!$B$7:$B$16,0))&amp;"","")&lt;&gt;"",INDEX(Accounts!$C$7:$C$16,MATCH($C102,Accounts!$B$7:$B$16,0)),Settings!$C$6)))</f>
        <v/>
      </c>
      <c r="AG102" s="53" t="str">
        <f>IF($AM102=0,"",IF(AND($BE102&gt;0,N(INDEX(Instruments!$D$6:$D$205,MAX(1,$BE102)))&gt;0),INDEX(Instruments!$D$6:$D$205,MAX(1,$BE102)),IF(N(INDEX(Settings!$D$14:$D$18,$BF102))&gt;0,INDEX(Settings!$D$14:$D$18,$BF102),"")))</f>
        <v/>
      </c>
      <c r="AH102" s="54" t="str">
        <f>IF($AM102=0,"",IF($AF102&lt;&gt;"Forex",1,IF(MID(UPPER(SUBSTITUTE(TRIM($E102),"/","")),4,3)=UPPER(TRIM(Settings!$C$7)),1,IF(LEFT(UPPER(SUBSTITUTE(TRIM($E102),"/","")),3)=UPPER(TRIM(Settings!$C$7)),IF(AND(ISNUMBER($K102),N($K102)&lt;&gt;0),1/$K102,""),""))))</f>
        <v/>
      </c>
      <c r="AI102" s="55" t="str">
        <f>IF($AM102=0,"",IF(OR(NOT(ISNUMBER($H102)),NOT(ISNUMBER($K102)),NOT(ISNUMBER($G102)),$AG102="",$AH102=""),"",ROUND(($K102-$H102)*IF($F102="Short",-1,1)*$G102*$AG102*$AH102,6)))</f>
        <v/>
      </c>
      <c r="AJ102" s="55" t="str">
        <f>IF($AM102=0,"",IF(INDEX(Settings!$E$14:$E$18,$BF102)="% of notional",IF(OR($AG102="",NOT(ISNUMBER($H102)),NOT(ISNUMBER($G102))),"",ROUND(ABS($H102*$G102*$AG102*N($AH102))*IF($L102="Limit",N(INDEX(Settings!$G$14:$G$18,$BF102)),N(INDEX(Settings!$H$14:$H$18,$BF102)))+IF(ISNUMBER($K102),ABS($K102*$G102*$AG102*N($AH102))*IF($M102="Target",N(INDEX(Settings!$G$14:$G$18,$BF102)),N(INDEX(Settings!$H$14:$H$18,$BF102))),0),6)),IF(NOT(ISNUMBER($G102)),"",ROUND(ABS($G102)*2*IF(AND($BE102&gt;0,ISNUMBER(INDEX(Instruments!$G$6:$G$205,MAX(1,$BE102)))),INDEX(Instruments!$G$6:$G$205,MAX(1,$BE102)),N(INDEX(Settings!$F$14:$F$18,$BF102))),6))))</f>
        <v/>
      </c>
      <c r="AK102" s="55" t="str">
        <f>IF($AM102=0,"",IF(ISNUMBER($O102),$O102,$AI102))</f>
        <v/>
      </c>
      <c r="AL102" s="55" t="str">
        <f>IF($AM102=0,"",IF(ISNUMBER($P102),$P102,N($AJ102)))</f>
        <v/>
      </c>
      <c r="AM102" s="56">
        <f>IF(AND($A102&lt;&gt;"",$E102&lt;&gt;"",OR(AND(ISNUMBER($G102),ISNUMBER($H102),ISNUMBER($K102)),ISNUMBER($O102))),1,0)</f>
        <v>0</v>
      </c>
      <c r="AN102" s="57" t="str">
        <f>IF($A102="","",$A102-WEEKDAY($A102,3))</f>
        <v/>
      </c>
      <c r="AO102" s="56" t="str">
        <f>IF($A102="","",WEEKDAY($A102,2))</f>
        <v/>
      </c>
      <c r="AP102" s="55" t="str">
        <f>IF(OR($AM102=0,$C102=""),"",IFERROR(N(INDEX(Accounts!$E$7:$E$16,MATCH($C102,Accounts!$B$7:$B$16,0))),0)+SUMIFS($Q$6:$Q102,$C$6:$C102,$C102))</f>
        <v/>
      </c>
      <c r="AQ102" s="55" t="str">
        <f>IF(OR($AM102=0,$C102=""),"",SUMIFS($Q$6:$Q$1005,$C$6:$C$1005,$C102,$A$6:$A$1005,$A102))</f>
        <v/>
      </c>
      <c r="AR102" s="55" t="str">
        <f>IF(OR($AM102=0,$C102=""),"",IFERROR(N(INDEX(Accounts!$E$7:$E$16,MATCH($C102,Accounts!$B$7:$B$16,0))),0)+SUMIFS($Q$6:$Q$1005,$C$6:$C$1005,$C102,$A$6:$A$1005,"&lt;="&amp;$A102))</f>
        <v/>
      </c>
      <c r="AS102" s="56">
        <f>IF(OR($AM102=0,$Q102=""),0,IF(AND($A102&gt;=Lists!$W$6,$A102&lt;=Lists!$W$7,OR(Dashboard!$D$6="All accounts",$C102=Dashboard!$D$6),OR(Dashboard!$D$7="All markets",$AF102=Dashboard!$D$7)),1,0))</f>
        <v>0</v>
      </c>
      <c r="AT102" s="55">
        <f>IF($AS102=1,N(AT101)+$Q102,N(AT101))</f>
        <v>1187.10688</v>
      </c>
      <c r="AU102" s="55">
        <f>MAX(N(AU101),$AT102)</f>
        <v>1187.10688</v>
      </c>
      <c r="AV102" s="55">
        <f>$AT102-$AU102</f>
        <v>0</v>
      </c>
      <c r="AW102" s="56">
        <f>IF($AS102=1,IF($S102="Win",N(AW101)+1,IF($S102="Loss",0,N(AW101))),N(AW101))</f>
        <v>5</v>
      </c>
      <c r="AX102" s="56">
        <f>IF($AS102=1,IF($S102="Loss",N(AX101)+1,IF($S102="Win",0,N(AX101))),N(AX101))</f>
        <v>0</v>
      </c>
      <c r="AY102" s="56" t="str">
        <f>IF($AS102=1,COUNTIF($AS$6:$AS102,1),"")</f>
        <v/>
      </c>
      <c r="AZ102" s="56">
        <f>MIN(96,N(Lists!$W$8))</f>
        <v>28</v>
      </c>
      <c r="BA102" s="56">
        <f>IF($AS102=1,IF(COUNTIFS($A$6:$A102,$A102,$AS$6:$AS102,1)=1,1,0),0)</f>
        <v>0</v>
      </c>
      <c r="BB102" s="55" t="str">
        <f>IF($BA102=1,SUMIFS($Q$6:$Q$1005,$A$6:$A$1005,$A102,$AS$6:$AS$1005,1),"")</f>
        <v/>
      </c>
      <c r="BC102" s="56">
        <f>IF(ISNUMBER($R102),1,0)</f>
        <v>0</v>
      </c>
      <c r="BD102" s="55" t="str">
        <f>IF(ISNUMBER($U102),$U102*$V102,"")</f>
        <v/>
      </c>
      <c r="BE102" s="56" t="str">
        <f>IF($AM102=0,"",IFERROR(MATCH($AF102&amp;"|"&amp;UPPER(TRIM($E102)),Lists!$A$6:$A$205,0),0))</f>
        <v/>
      </c>
      <c r="BF102" s="56" t="str">
        <f>IF($AM102=0,"",IFERROR(MATCH($AF102,Settings!$B$14:$B$18,0),IFERROR(MATCH(Settings!$C$6,Settings!$B$14:$B$18,0),1)))</f>
        <v/>
      </c>
      <c r="BG102" s="58" t="str">
        <f>IF($AM102=0,"",IF(NOT(ISNUMBER($I102)),"No stop; ","")&amp;IF(AND(ISNUMBER($H102),ISNUMBER($I102)),IF(OR(AND($F102&lt;&gt;"Short",$I102&gt;=$H102),AND($F102="Short",$I102&lt;=$H102)),"Stop on wrong side; ",""),"")&amp;IF($F102="","No direction; ","")&amp;IF(AND(ISNUMBER(Settings!$C$22),ISNUMBER($V102)),IF($V102&gt;Settings!$C$22,"Risk over max $; ",""),"")&amp;IF(AND(ISNUMBER(Settings!$C$23),ISNUMBER($V102),ISNUMBER($AP102),IFERROR(N(INDEX(Accounts!$E$7:$E$16,MATCH($C102,Accounts!$B$7:$B$16,0))),0)&gt;0),IF($V102&gt;Settings!$C$23*($AP102-N($Q102)),"Risk over max %; ",""),"")&amp;IF(AND(ISNUMBER(Settings!$C$24),ISNUMBER($N102)),IF($N102&gt;Settings!$C$24,"Leverage over max; ",""),"")&amp;IF(AND(ISNUMBER(Settings!$C$27),ISNUMBER($T102)),IF($T102&lt;Settings!$C$27,"R:R below min; ",""),"")&amp;IF(ISNUMBER(Settings!$C$25),IF(COUNTIFS($A$6:$A102,$A102,$AM$6:$AM102,1)&gt;Settings!$C$25,"Over max trades/day; ",""),"")&amp;IF(ISNUMBER(Settings!$C$26),IF(SUMIFS($Q$5:$Q101,$A$5:$A101,$A102)&lt;=-Settings!$C$26,"Traded after daily max loss; ",""),"")&amp;IF(AND($AG102="",NOT(ISNUMBER($O102))),"Symbol not in Instruments; ","")&amp;IF(AND($AH102="",NOT(ISNUMBER($O102))),"Forex cross: type Gross P&amp;L; ",""))</f>
        <v/>
      </c>
      <c r="BH102" s="56">
        <f>IF(ISNUMBER($Q102),1,0)</f>
        <v>0</v>
      </c>
      <c r="BI102" s="56">
        <f>IF($Y102="",0,1)</f>
        <v>0</v>
      </c>
      <c r="BJ102" s="56">
        <f>IF($AB102="",0,1)</f>
        <v>0</v>
      </c>
      <c r="BK102" s="56">
        <f>IF(AND($BH102=1,$W102&lt;&gt;"OK"),1,0)</f>
        <v>0</v>
      </c>
      <c r="BL102" s="55">
        <f>IF(N($AZ102)=0,0,IFERROR(INDEX($AT$6:$AT$1005,MATCH($AZ102,$AY$6:$AY$1005,0)),0))</f>
        <v>1187.10688</v>
      </c>
      <c r="BM102" s="56">
        <f>IF(ISNUMBER(SEARCH("daily max loss",$BG102)),1,0)</f>
        <v>0</v>
      </c>
    </row>
    <row r="103" ht="18" customHeight="1">
      <c r="A103" s="38" t="n"/>
      <c r="B103" s="39" t="n"/>
      <c r="C103" s="40" t="n"/>
      <c r="D103" s="41" t="n"/>
      <c r="E103" s="41" t="n"/>
      <c r="F103" s="41" t="n"/>
      <c r="G103" s="41" t="n"/>
      <c r="H103" s="42" t="n"/>
      <c r="I103" s="42" t="n"/>
      <c r="J103" s="42" t="n"/>
      <c r="K103" s="42" t="n"/>
      <c r="L103" s="41" t="n"/>
      <c r="M103" s="41" t="n"/>
      <c r="N103" s="41" t="n"/>
      <c r="O103" s="43" t="n"/>
      <c r="P103" s="43" t="n"/>
      <c r="Q103" s="44" t="str">
        <f>IF($AM103=0,"",IF(ISNUMBER($AK103),$AK103-N($AL103),""))</f>
        <v/>
      </c>
      <c r="R103" s="45" t="str">
        <f>IF(OR($Q103="",NOT(ISNUMBER($V103))),"",$AK103/$V103)</f>
        <v/>
      </c>
      <c r="S103" s="46" t="str">
        <f>IF($Q103="","",IF(AND(ISNUMBER($R103),ABS(N($R103))&lt;N(Settings!$C$8)),"Scratch",IF($Q103&gt;0,"Win",IF($Q103&lt;0,"Loss","Scratch"))))</f>
        <v/>
      </c>
      <c r="T103" s="47" t="str">
        <f>IF(OR($AM103=0,NOT(ISNUMBER($H103)),NOT(ISNUMBER($I103)),NOT(ISNUMBER($J103))),"",IF($H103=$I103,"",ROUND(ABS($J103-$H103)/ABS($H103-$I103),6)))</f>
        <v/>
      </c>
      <c r="U103" s="48" t="str">
        <f>IF(OR($S103&lt;&gt;"Win",NOT(ISNUMBER($T103)),NOT(ISNUMBER($R103))),"",MAX(0,$T103-$R103))</f>
        <v/>
      </c>
      <c r="V103" s="49" t="str">
        <f>IF(OR($AM103=0,NOT(ISNUMBER($H103)),NOT(ISNUMBER($I103)),NOT(ISNUMBER($G103))),"",IF(OR($AG103="",$AH103=""),"",IF(ROUND(ABS($H103-$I103)*ABS($G103)*$AG103*$AH103,6)=0,"",ROUND(ABS($H103-$I103)*ABS($G103)*$AG103*$AH103,6))))</f>
        <v/>
      </c>
      <c r="W103" s="50" t="str">
        <f>IF($AM103=0,"",IF($BG103="","OK",LEFT($BG103,LEN($BG103)-2)))</f>
        <v/>
      </c>
      <c r="X103" s="41" t="n"/>
      <c r="Y103" s="40" t="n"/>
      <c r="Z103" s="41" t="n"/>
      <c r="AA103" s="41" t="n"/>
      <c r="AB103" s="40" t="n"/>
      <c r="AC103" s="51" t="n"/>
      <c r="AD103" s="51" t="n"/>
      <c r="AE103" s="40" t="n"/>
      <c r="AF103" s="52" t="str">
        <f>IF($AM103=0,"",IF($D103&lt;&gt;"",$D103,IF(IFERROR(INDEX(Accounts!$C$7:$C$16,MATCH($C103,Accounts!$B$7:$B$16,0))&amp;"","")&lt;&gt;"",INDEX(Accounts!$C$7:$C$16,MATCH($C103,Accounts!$B$7:$B$16,0)),Settings!$C$6)))</f>
        <v/>
      </c>
      <c r="AG103" s="53" t="str">
        <f>IF($AM103=0,"",IF(AND($BE103&gt;0,N(INDEX(Instruments!$D$6:$D$205,MAX(1,$BE103)))&gt;0),INDEX(Instruments!$D$6:$D$205,MAX(1,$BE103)),IF(N(INDEX(Settings!$D$14:$D$18,$BF103))&gt;0,INDEX(Settings!$D$14:$D$18,$BF103),"")))</f>
        <v/>
      </c>
      <c r="AH103" s="54" t="str">
        <f>IF($AM103=0,"",IF($AF103&lt;&gt;"Forex",1,IF(MID(UPPER(SUBSTITUTE(TRIM($E103),"/","")),4,3)=UPPER(TRIM(Settings!$C$7)),1,IF(LEFT(UPPER(SUBSTITUTE(TRIM($E103),"/","")),3)=UPPER(TRIM(Settings!$C$7)),IF(AND(ISNUMBER($K103),N($K103)&lt;&gt;0),1/$K103,""),""))))</f>
        <v/>
      </c>
      <c r="AI103" s="55" t="str">
        <f>IF($AM103=0,"",IF(OR(NOT(ISNUMBER($H103)),NOT(ISNUMBER($K103)),NOT(ISNUMBER($G103)),$AG103="",$AH103=""),"",ROUND(($K103-$H103)*IF($F103="Short",-1,1)*$G103*$AG103*$AH103,6)))</f>
        <v/>
      </c>
      <c r="AJ103" s="55" t="str">
        <f>IF($AM103=0,"",IF(INDEX(Settings!$E$14:$E$18,$BF103)="% of notional",IF(OR($AG103="",NOT(ISNUMBER($H103)),NOT(ISNUMBER($G103))),"",ROUND(ABS($H103*$G103*$AG103*N($AH103))*IF($L103="Limit",N(INDEX(Settings!$G$14:$G$18,$BF103)),N(INDEX(Settings!$H$14:$H$18,$BF103)))+IF(ISNUMBER($K103),ABS($K103*$G103*$AG103*N($AH103))*IF($M103="Target",N(INDEX(Settings!$G$14:$G$18,$BF103)),N(INDEX(Settings!$H$14:$H$18,$BF103))),0),6)),IF(NOT(ISNUMBER($G103)),"",ROUND(ABS($G103)*2*IF(AND($BE103&gt;0,ISNUMBER(INDEX(Instruments!$G$6:$G$205,MAX(1,$BE103)))),INDEX(Instruments!$G$6:$G$205,MAX(1,$BE103)),N(INDEX(Settings!$F$14:$F$18,$BF103))),6))))</f>
        <v/>
      </c>
      <c r="AK103" s="55" t="str">
        <f>IF($AM103=0,"",IF(ISNUMBER($O103),$O103,$AI103))</f>
        <v/>
      </c>
      <c r="AL103" s="55" t="str">
        <f>IF($AM103=0,"",IF(ISNUMBER($P103),$P103,N($AJ103)))</f>
        <v/>
      </c>
      <c r="AM103" s="56">
        <f>IF(AND($A103&lt;&gt;"",$E103&lt;&gt;"",OR(AND(ISNUMBER($G103),ISNUMBER($H103),ISNUMBER($K103)),ISNUMBER($O103))),1,0)</f>
        <v>0</v>
      </c>
      <c r="AN103" s="57" t="str">
        <f>IF($A103="","",$A103-WEEKDAY($A103,3))</f>
        <v/>
      </c>
      <c r="AO103" s="56" t="str">
        <f>IF($A103="","",WEEKDAY($A103,2))</f>
        <v/>
      </c>
      <c r="AP103" s="55" t="str">
        <f>IF(OR($AM103=0,$C103=""),"",IFERROR(N(INDEX(Accounts!$E$7:$E$16,MATCH($C103,Accounts!$B$7:$B$16,0))),0)+SUMIFS($Q$6:$Q103,$C$6:$C103,$C103))</f>
        <v/>
      </c>
      <c r="AQ103" s="55" t="str">
        <f>IF(OR($AM103=0,$C103=""),"",SUMIFS($Q$6:$Q$1005,$C$6:$C$1005,$C103,$A$6:$A$1005,$A103))</f>
        <v/>
      </c>
      <c r="AR103" s="55" t="str">
        <f>IF(OR($AM103=0,$C103=""),"",IFERROR(N(INDEX(Accounts!$E$7:$E$16,MATCH($C103,Accounts!$B$7:$B$16,0))),0)+SUMIFS($Q$6:$Q$1005,$C$6:$C$1005,$C103,$A$6:$A$1005,"&lt;="&amp;$A103))</f>
        <v/>
      </c>
      <c r="AS103" s="56">
        <f>IF(OR($AM103=0,$Q103=""),0,IF(AND($A103&gt;=Lists!$W$6,$A103&lt;=Lists!$W$7,OR(Dashboard!$D$6="All accounts",$C103=Dashboard!$D$6),OR(Dashboard!$D$7="All markets",$AF103=Dashboard!$D$7)),1,0))</f>
        <v>0</v>
      </c>
      <c r="AT103" s="55">
        <f>IF($AS103=1,N(AT102)+$Q103,N(AT102))</f>
        <v>1187.10688</v>
      </c>
      <c r="AU103" s="55">
        <f>MAX(N(AU102),$AT103)</f>
        <v>1187.10688</v>
      </c>
      <c r="AV103" s="55">
        <f>$AT103-$AU103</f>
        <v>0</v>
      </c>
      <c r="AW103" s="56">
        <f>IF($AS103=1,IF($S103="Win",N(AW102)+1,IF($S103="Loss",0,N(AW102))),N(AW102))</f>
        <v>5</v>
      </c>
      <c r="AX103" s="56">
        <f>IF($AS103=1,IF($S103="Loss",N(AX102)+1,IF($S103="Win",0,N(AX102))),N(AX102))</f>
        <v>0</v>
      </c>
      <c r="AY103" s="56" t="str">
        <f>IF($AS103=1,COUNTIF($AS$6:$AS103,1),"")</f>
        <v/>
      </c>
      <c r="AZ103" s="56">
        <f>MIN(97,N(Lists!$W$8))</f>
        <v>28</v>
      </c>
      <c r="BA103" s="56">
        <f>IF($AS103=1,IF(COUNTIFS($A$6:$A103,$A103,$AS$6:$AS103,1)=1,1,0),0)</f>
        <v>0</v>
      </c>
      <c r="BB103" s="55" t="str">
        <f>IF($BA103=1,SUMIFS($Q$6:$Q$1005,$A$6:$A$1005,$A103,$AS$6:$AS$1005,1),"")</f>
        <v/>
      </c>
      <c r="BC103" s="56">
        <f>IF(ISNUMBER($R103),1,0)</f>
        <v>0</v>
      </c>
      <c r="BD103" s="55" t="str">
        <f>IF(ISNUMBER($U103),$U103*$V103,"")</f>
        <v/>
      </c>
      <c r="BE103" s="56" t="str">
        <f>IF($AM103=0,"",IFERROR(MATCH($AF103&amp;"|"&amp;UPPER(TRIM($E103)),Lists!$A$6:$A$205,0),0))</f>
        <v/>
      </c>
      <c r="BF103" s="56" t="str">
        <f>IF($AM103=0,"",IFERROR(MATCH($AF103,Settings!$B$14:$B$18,0),IFERROR(MATCH(Settings!$C$6,Settings!$B$14:$B$18,0),1)))</f>
        <v/>
      </c>
      <c r="BG103" s="58" t="str">
        <f>IF($AM103=0,"",IF(NOT(ISNUMBER($I103)),"No stop; ","")&amp;IF(AND(ISNUMBER($H103),ISNUMBER($I103)),IF(OR(AND($F103&lt;&gt;"Short",$I103&gt;=$H103),AND($F103="Short",$I103&lt;=$H103)),"Stop on wrong side; ",""),"")&amp;IF($F103="","No direction; ","")&amp;IF(AND(ISNUMBER(Settings!$C$22),ISNUMBER($V103)),IF($V103&gt;Settings!$C$22,"Risk over max $; ",""),"")&amp;IF(AND(ISNUMBER(Settings!$C$23),ISNUMBER($V103),ISNUMBER($AP103),IFERROR(N(INDEX(Accounts!$E$7:$E$16,MATCH($C103,Accounts!$B$7:$B$16,0))),0)&gt;0),IF($V103&gt;Settings!$C$23*($AP103-N($Q103)),"Risk over max %; ",""),"")&amp;IF(AND(ISNUMBER(Settings!$C$24),ISNUMBER($N103)),IF($N103&gt;Settings!$C$24,"Leverage over max; ",""),"")&amp;IF(AND(ISNUMBER(Settings!$C$27),ISNUMBER($T103)),IF($T103&lt;Settings!$C$27,"R:R below min; ",""),"")&amp;IF(ISNUMBER(Settings!$C$25),IF(COUNTIFS($A$6:$A103,$A103,$AM$6:$AM103,1)&gt;Settings!$C$25,"Over max trades/day; ",""),"")&amp;IF(ISNUMBER(Settings!$C$26),IF(SUMIFS($Q$5:$Q102,$A$5:$A102,$A103)&lt;=-Settings!$C$26,"Traded after daily max loss; ",""),"")&amp;IF(AND($AG103="",NOT(ISNUMBER($O103))),"Symbol not in Instruments; ","")&amp;IF(AND($AH103="",NOT(ISNUMBER($O103))),"Forex cross: type Gross P&amp;L; ",""))</f>
        <v/>
      </c>
      <c r="BH103" s="56">
        <f>IF(ISNUMBER($Q103),1,0)</f>
        <v>0</v>
      </c>
      <c r="BI103" s="56">
        <f>IF($Y103="",0,1)</f>
        <v>0</v>
      </c>
      <c r="BJ103" s="56">
        <f>IF($AB103="",0,1)</f>
        <v>0</v>
      </c>
      <c r="BK103" s="56">
        <f>IF(AND($BH103=1,$W103&lt;&gt;"OK"),1,0)</f>
        <v>0</v>
      </c>
      <c r="BL103" s="55">
        <f>IF(N($AZ103)=0,0,IFERROR(INDEX($AT$6:$AT$1005,MATCH($AZ103,$AY$6:$AY$1005,0)),0))</f>
        <v>1187.10688</v>
      </c>
      <c r="BM103" s="56">
        <f>IF(ISNUMBER(SEARCH("daily max loss",$BG103)),1,0)</f>
        <v>0</v>
      </c>
    </row>
    <row r="104" ht="18" customHeight="1">
      <c r="A104" s="38" t="n"/>
      <c r="B104" s="39" t="n"/>
      <c r="C104" s="40" t="n"/>
      <c r="D104" s="41" t="n"/>
      <c r="E104" s="41" t="n"/>
      <c r="F104" s="41" t="n"/>
      <c r="G104" s="41" t="n"/>
      <c r="H104" s="42" t="n"/>
      <c r="I104" s="42" t="n"/>
      <c r="J104" s="42" t="n"/>
      <c r="K104" s="42" t="n"/>
      <c r="L104" s="41" t="n"/>
      <c r="M104" s="41" t="n"/>
      <c r="N104" s="41" t="n"/>
      <c r="O104" s="43" t="n"/>
      <c r="P104" s="43" t="n"/>
      <c r="Q104" s="44" t="str">
        <f>IF($AM104=0,"",IF(ISNUMBER($AK104),$AK104-N($AL104),""))</f>
        <v/>
      </c>
      <c r="R104" s="45" t="str">
        <f>IF(OR($Q104="",NOT(ISNUMBER($V104))),"",$AK104/$V104)</f>
        <v/>
      </c>
      <c r="S104" s="46" t="str">
        <f>IF($Q104="","",IF(AND(ISNUMBER($R104),ABS(N($R104))&lt;N(Settings!$C$8)),"Scratch",IF($Q104&gt;0,"Win",IF($Q104&lt;0,"Loss","Scratch"))))</f>
        <v/>
      </c>
      <c r="T104" s="47" t="str">
        <f>IF(OR($AM104=0,NOT(ISNUMBER($H104)),NOT(ISNUMBER($I104)),NOT(ISNUMBER($J104))),"",IF($H104=$I104,"",ROUND(ABS($J104-$H104)/ABS($H104-$I104),6)))</f>
        <v/>
      </c>
      <c r="U104" s="48" t="str">
        <f>IF(OR($S104&lt;&gt;"Win",NOT(ISNUMBER($T104)),NOT(ISNUMBER($R104))),"",MAX(0,$T104-$R104))</f>
        <v/>
      </c>
      <c r="V104" s="49" t="str">
        <f>IF(OR($AM104=0,NOT(ISNUMBER($H104)),NOT(ISNUMBER($I104)),NOT(ISNUMBER($G104))),"",IF(OR($AG104="",$AH104=""),"",IF(ROUND(ABS($H104-$I104)*ABS($G104)*$AG104*$AH104,6)=0,"",ROUND(ABS($H104-$I104)*ABS($G104)*$AG104*$AH104,6))))</f>
        <v/>
      </c>
      <c r="W104" s="50" t="str">
        <f>IF($AM104=0,"",IF($BG104="","OK",LEFT($BG104,LEN($BG104)-2)))</f>
        <v/>
      </c>
      <c r="X104" s="41" t="n"/>
      <c r="Y104" s="40" t="n"/>
      <c r="Z104" s="41" t="n"/>
      <c r="AA104" s="41" t="n"/>
      <c r="AB104" s="40" t="n"/>
      <c r="AC104" s="51" t="n"/>
      <c r="AD104" s="51" t="n"/>
      <c r="AE104" s="40" t="n"/>
      <c r="AF104" s="52" t="str">
        <f>IF($AM104=0,"",IF($D104&lt;&gt;"",$D104,IF(IFERROR(INDEX(Accounts!$C$7:$C$16,MATCH($C104,Accounts!$B$7:$B$16,0))&amp;"","")&lt;&gt;"",INDEX(Accounts!$C$7:$C$16,MATCH($C104,Accounts!$B$7:$B$16,0)),Settings!$C$6)))</f>
        <v/>
      </c>
      <c r="AG104" s="53" t="str">
        <f>IF($AM104=0,"",IF(AND($BE104&gt;0,N(INDEX(Instruments!$D$6:$D$205,MAX(1,$BE104)))&gt;0),INDEX(Instruments!$D$6:$D$205,MAX(1,$BE104)),IF(N(INDEX(Settings!$D$14:$D$18,$BF104))&gt;0,INDEX(Settings!$D$14:$D$18,$BF104),"")))</f>
        <v/>
      </c>
      <c r="AH104" s="54" t="str">
        <f>IF($AM104=0,"",IF($AF104&lt;&gt;"Forex",1,IF(MID(UPPER(SUBSTITUTE(TRIM($E104),"/","")),4,3)=UPPER(TRIM(Settings!$C$7)),1,IF(LEFT(UPPER(SUBSTITUTE(TRIM($E104),"/","")),3)=UPPER(TRIM(Settings!$C$7)),IF(AND(ISNUMBER($K104),N($K104)&lt;&gt;0),1/$K104,""),""))))</f>
        <v/>
      </c>
      <c r="AI104" s="55" t="str">
        <f>IF($AM104=0,"",IF(OR(NOT(ISNUMBER($H104)),NOT(ISNUMBER($K104)),NOT(ISNUMBER($G104)),$AG104="",$AH104=""),"",ROUND(($K104-$H104)*IF($F104="Short",-1,1)*$G104*$AG104*$AH104,6)))</f>
        <v/>
      </c>
      <c r="AJ104" s="55" t="str">
        <f>IF($AM104=0,"",IF(INDEX(Settings!$E$14:$E$18,$BF104)="% of notional",IF(OR($AG104="",NOT(ISNUMBER($H104)),NOT(ISNUMBER($G104))),"",ROUND(ABS($H104*$G104*$AG104*N($AH104))*IF($L104="Limit",N(INDEX(Settings!$G$14:$G$18,$BF104)),N(INDEX(Settings!$H$14:$H$18,$BF104)))+IF(ISNUMBER($K104),ABS($K104*$G104*$AG104*N($AH104))*IF($M104="Target",N(INDEX(Settings!$G$14:$G$18,$BF104)),N(INDEX(Settings!$H$14:$H$18,$BF104))),0),6)),IF(NOT(ISNUMBER($G104)),"",ROUND(ABS($G104)*2*IF(AND($BE104&gt;0,ISNUMBER(INDEX(Instruments!$G$6:$G$205,MAX(1,$BE104)))),INDEX(Instruments!$G$6:$G$205,MAX(1,$BE104)),N(INDEX(Settings!$F$14:$F$18,$BF104))),6))))</f>
        <v/>
      </c>
      <c r="AK104" s="55" t="str">
        <f>IF($AM104=0,"",IF(ISNUMBER($O104),$O104,$AI104))</f>
        <v/>
      </c>
      <c r="AL104" s="55" t="str">
        <f>IF($AM104=0,"",IF(ISNUMBER($P104),$P104,N($AJ104)))</f>
        <v/>
      </c>
      <c r="AM104" s="56">
        <f>IF(AND($A104&lt;&gt;"",$E104&lt;&gt;"",OR(AND(ISNUMBER($G104),ISNUMBER($H104),ISNUMBER($K104)),ISNUMBER($O104))),1,0)</f>
        <v>0</v>
      </c>
      <c r="AN104" s="57" t="str">
        <f>IF($A104="","",$A104-WEEKDAY($A104,3))</f>
        <v/>
      </c>
      <c r="AO104" s="56" t="str">
        <f>IF($A104="","",WEEKDAY($A104,2))</f>
        <v/>
      </c>
      <c r="AP104" s="55" t="str">
        <f>IF(OR($AM104=0,$C104=""),"",IFERROR(N(INDEX(Accounts!$E$7:$E$16,MATCH($C104,Accounts!$B$7:$B$16,0))),0)+SUMIFS($Q$6:$Q104,$C$6:$C104,$C104))</f>
        <v/>
      </c>
      <c r="AQ104" s="55" t="str">
        <f>IF(OR($AM104=0,$C104=""),"",SUMIFS($Q$6:$Q$1005,$C$6:$C$1005,$C104,$A$6:$A$1005,$A104))</f>
        <v/>
      </c>
      <c r="AR104" s="55" t="str">
        <f>IF(OR($AM104=0,$C104=""),"",IFERROR(N(INDEX(Accounts!$E$7:$E$16,MATCH($C104,Accounts!$B$7:$B$16,0))),0)+SUMIFS($Q$6:$Q$1005,$C$6:$C$1005,$C104,$A$6:$A$1005,"&lt;="&amp;$A104))</f>
        <v/>
      </c>
      <c r="AS104" s="56">
        <f>IF(OR($AM104=0,$Q104=""),0,IF(AND($A104&gt;=Lists!$W$6,$A104&lt;=Lists!$W$7,OR(Dashboard!$D$6="All accounts",$C104=Dashboard!$D$6),OR(Dashboard!$D$7="All markets",$AF104=Dashboard!$D$7)),1,0))</f>
        <v>0</v>
      </c>
      <c r="AT104" s="55">
        <f>IF($AS104=1,N(AT103)+$Q104,N(AT103))</f>
        <v>1187.10688</v>
      </c>
      <c r="AU104" s="55">
        <f>MAX(N(AU103),$AT104)</f>
        <v>1187.10688</v>
      </c>
      <c r="AV104" s="55">
        <f>$AT104-$AU104</f>
        <v>0</v>
      </c>
      <c r="AW104" s="56">
        <f>IF($AS104=1,IF($S104="Win",N(AW103)+1,IF($S104="Loss",0,N(AW103))),N(AW103))</f>
        <v>5</v>
      </c>
      <c r="AX104" s="56">
        <f>IF($AS104=1,IF($S104="Loss",N(AX103)+1,IF($S104="Win",0,N(AX103))),N(AX103))</f>
        <v>0</v>
      </c>
      <c r="AY104" s="56" t="str">
        <f>IF($AS104=1,COUNTIF($AS$6:$AS104,1),"")</f>
        <v/>
      </c>
      <c r="AZ104" s="56">
        <f>MIN(98,N(Lists!$W$8))</f>
        <v>28</v>
      </c>
      <c r="BA104" s="56">
        <f>IF($AS104=1,IF(COUNTIFS($A$6:$A104,$A104,$AS$6:$AS104,1)=1,1,0),0)</f>
        <v>0</v>
      </c>
      <c r="BB104" s="55" t="str">
        <f>IF($BA104=1,SUMIFS($Q$6:$Q$1005,$A$6:$A$1005,$A104,$AS$6:$AS$1005,1),"")</f>
        <v/>
      </c>
      <c r="BC104" s="56">
        <f>IF(ISNUMBER($R104),1,0)</f>
        <v>0</v>
      </c>
      <c r="BD104" s="55" t="str">
        <f>IF(ISNUMBER($U104),$U104*$V104,"")</f>
        <v/>
      </c>
      <c r="BE104" s="56" t="str">
        <f>IF($AM104=0,"",IFERROR(MATCH($AF104&amp;"|"&amp;UPPER(TRIM($E104)),Lists!$A$6:$A$205,0),0))</f>
        <v/>
      </c>
      <c r="BF104" s="56" t="str">
        <f>IF($AM104=0,"",IFERROR(MATCH($AF104,Settings!$B$14:$B$18,0),IFERROR(MATCH(Settings!$C$6,Settings!$B$14:$B$18,0),1)))</f>
        <v/>
      </c>
      <c r="BG104" s="58" t="str">
        <f>IF($AM104=0,"",IF(NOT(ISNUMBER($I104)),"No stop; ","")&amp;IF(AND(ISNUMBER($H104),ISNUMBER($I104)),IF(OR(AND($F104&lt;&gt;"Short",$I104&gt;=$H104),AND($F104="Short",$I104&lt;=$H104)),"Stop on wrong side; ",""),"")&amp;IF($F104="","No direction; ","")&amp;IF(AND(ISNUMBER(Settings!$C$22),ISNUMBER($V104)),IF($V104&gt;Settings!$C$22,"Risk over max $; ",""),"")&amp;IF(AND(ISNUMBER(Settings!$C$23),ISNUMBER($V104),ISNUMBER($AP104),IFERROR(N(INDEX(Accounts!$E$7:$E$16,MATCH($C104,Accounts!$B$7:$B$16,0))),0)&gt;0),IF($V104&gt;Settings!$C$23*($AP104-N($Q104)),"Risk over max %; ",""),"")&amp;IF(AND(ISNUMBER(Settings!$C$24),ISNUMBER($N104)),IF($N104&gt;Settings!$C$24,"Leverage over max; ",""),"")&amp;IF(AND(ISNUMBER(Settings!$C$27),ISNUMBER($T104)),IF($T104&lt;Settings!$C$27,"R:R below min; ",""),"")&amp;IF(ISNUMBER(Settings!$C$25),IF(COUNTIFS($A$6:$A104,$A104,$AM$6:$AM104,1)&gt;Settings!$C$25,"Over max trades/day; ",""),"")&amp;IF(ISNUMBER(Settings!$C$26),IF(SUMIFS($Q$5:$Q103,$A$5:$A103,$A104)&lt;=-Settings!$C$26,"Traded after daily max loss; ",""),"")&amp;IF(AND($AG104="",NOT(ISNUMBER($O104))),"Symbol not in Instruments; ","")&amp;IF(AND($AH104="",NOT(ISNUMBER($O104))),"Forex cross: type Gross P&amp;L; ",""))</f>
        <v/>
      </c>
      <c r="BH104" s="56">
        <f>IF(ISNUMBER($Q104),1,0)</f>
        <v>0</v>
      </c>
      <c r="BI104" s="56">
        <f>IF($Y104="",0,1)</f>
        <v>0</v>
      </c>
      <c r="BJ104" s="56">
        <f>IF($AB104="",0,1)</f>
        <v>0</v>
      </c>
      <c r="BK104" s="56">
        <f>IF(AND($BH104=1,$W104&lt;&gt;"OK"),1,0)</f>
        <v>0</v>
      </c>
      <c r="BL104" s="55">
        <f>IF(N($AZ104)=0,0,IFERROR(INDEX($AT$6:$AT$1005,MATCH($AZ104,$AY$6:$AY$1005,0)),0))</f>
        <v>1187.10688</v>
      </c>
      <c r="BM104" s="56">
        <f>IF(ISNUMBER(SEARCH("daily max loss",$BG104)),1,0)</f>
        <v>0</v>
      </c>
    </row>
    <row r="105" ht="18" customHeight="1">
      <c r="A105" s="38" t="n"/>
      <c r="B105" s="39" t="n"/>
      <c r="C105" s="40" t="n"/>
      <c r="D105" s="41" t="n"/>
      <c r="E105" s="41" t="n"/>
      <c r="F105" s="41" t="n"/>
      <c r="G105" s="41" t="n"/>
      <c r="H105" s="42" t="n"/>
      <c r="I105" s="42" t="n"/>
      <c r="J105" s="42" t="n"/>
      <c r="K105" s="42" t="n"/>
      <c r="L105" s="41" t="n"/>
      <c r="M105" s="41" t="n"/>
      <c r="N105" s="41" t="n"/>
      <c r="O105" s="43" t="n"/>
      <c r="P105" s="43" t="n"/>
      <c r="Q105" s="44" t="str">
        <f>IF($AM105=0,"",IF(ISNUMBER($AK105),$AK105-N($AL105),""))</f>
        <v/>
      </c>
      <c r="R105" s="45" t="str">
        <f>IF(OR($Q105="",NOT(ISNUMBER($V105))),"",$AK105/$V105)</f>
        <v/>
      </c>
      <c r="S105" s="46" t="str">
        <f>IF($Q105="","",IF(AND(ISNUMBER($R105),ABS(N($R105))&lt;N(Settings!$C$8)),"Scratch",IF($Q105&gt;0,"Win",IF($Q105&lt;0,"Loss","Scratch"))))</f>
        <v/>
      </c>
      <c r="T105" s="47" t="str">
        <f>IF(OR($AM105=0,NOT(ISNUMBER($H105)),NOT(ISNUMBER($I105)),NOT(ISNUMBER($J105))),"",IF($H105=$I105,"",ROUND(ABS($J105-$H105)/ABS($H105-$I105),6)))</f>
        <v/>
      </c>
      <c r="U105" s="48" t="str">
        <f>IF(OR($S105&lt;&gt;"Win",NOT(ISNUMBER($T105)),NOT(ISNUMBER($R105))),"",MAX(0,$T105-$R105))</f>
        <v/>
      </c>
      <c r="V105" s="49" t="str">
        <f>IF(OR($AM105=0,NOT(ISNUMBER($H105)),NOT(ISNUMBER($I105)),NOT(ISNUMBER($G105))),"",IF(OR($AG105="",$AH105=""),"",IF(ROUND(ABS($H105-$I105)*ABS($G105)*$AG105*$AH105,6)=0,"",ROUND(ABS($H105-$I105)*ABS($G105)*$AG105*$AH105,6))))</f>
        <v/>
      </c>
      <c r="W105" s="50" t="str">
        <f>IF($AM105=0,"",IF($BG105="","OK",LEFT($BG105,LEN($BG105)-2)))</f>
        <v/>
      </c>
      <c r="X105" s="41" t="n"/>
      <c r="Y105" s="40" t="n"/>
      <c r="Z105" s="41" t="n"/>
      <c r="AA105" s="41" t="n"/>
      <c r="AB105" s="40" t="n"/>
      <c r="AC105" s="51" t="n"/>
      <c r="AD105" s="51" t="n"/>
      <c r="AE105" s="40" t="n"/>
      <c r="AF105" s="52" t="str">
        <f>IF($AM105=0,"",IF($D105&lt;&gt;"",$D105,IF(IFERROR(INDEX(Accounts!$C$7:$C$16,MATCH($C105,Accounts!$B$7:$B$16,0))&amp;"","")&lt;&gt;"",INDEX(Accounts!$C$7:$C$16,MATCH($C105,Accounts!$B$7:$B$16,0)),Settings!$C$6)))</f>
        <v/>
      </c>
      <c r="AG105" s="53" t="str">
        <f>IF($AM105=0,"",IF(AND($BE105&gt;0,N(INDEX(Instruments!$D$6:$D$205,MAX(1,$BE105)))&gt;0),INDEX(Instruments!$D$6:$D$205,MAX(1,$BE105)),IF(N(INDEX(Settings!$D$14:$D$18,$BF105))&gt;0,INDEX(Settings!$D$14:$D$18,$BF105),"")))</f>
        <v/>
      </c>
      <c r="AH105" s="54" t="str">
        <f>IF($AM105=0,"",IF($AF105&lt;&gt;"Forex",1,IF(MID(UPPER(SUBSTITUTE(TRIM($E105),"/","")),4,3)=UPPER(TRIM(Settings!$C$7)),1,IF(LEFT(UPPER(SUBSTITUTE(TRIM($E105),"/","")),3)=UPPER(TRIM(Settings!$C$7)),IF(AND(ISNUMBER($K105),N($K105)&lt;&gt;0),1/$K105,""),""))))</f>
        <v/>
      </c>
      <c r="AI105" s="55" t="str">
        <f>IF($AM105=0,"",IF(OR(NOT(ISNUMBER($H105)),NOT(ISNUMBER($K105)),NOT(ISNUMBER($G105)),$AG105="",$AH105=""),"",ROUND(($K105-$H105)*IF($F105="Short",-1,1)*$G105*$AG105*$AH105,6)))</f>
        <v/>
      </c>
      <c r="AJ105" s="55" t="str">
        <f>IF($AM105=0,"",IF(INDEX(Settings!$E$14:$E$18,$BF105)="% of notional",IF(OR($AG105="",NOT(ISNUMBER($H105)),NOT(ISNUMBER($G105))),"",ROUND(ABS($H105*$G105*$AG105*N($AH105))*IF($L105="Limit",N(INDEX(Settings!$G$14:$G$18,$BF105)),N(INDEX(Settings!$H$14:$H$18,$BF105)))+IF(ISNUMBER($K105),ABS($K105*$G105*$AG105*N($AH105))*IF($M105="Target",N(INDEX(Settings!$G$14:$G$18,$BF105)),N(INDEX(Settings!$H$14:$H$18,$BF105))),0),6)),IF(NOT(ISNUMBER($G105)),"",ROUND(ABS($G105)*2*IF(AND($BE105&gt;0,ISNUMBER(INDEX(Instruments!$G$6:$G$205,MAX(1,$BE105)))),INDEX(Instruments!$G$6:$G$205,MAX(1,$BE105)),N(INDEX(Settings!$F$14:$F$18,$BF105))),6))))</f>
        <v/>
      </c>
      <c r="AK105" s="55" t="str">
        <f>IF($AM105=0,"",IF(ISNUMBER($O105),$O105,$AI105))</f>
        <v/>
      </c>
      <c r="AL105" s="55" t="str">
        <f>IF($AM105=0,"",IF(ISNUMBER($P105),$P105,N($AJ105)))</f>
        <v/>
      </c>
      <c r="AM105" s="56">
        <f>IF(AND($A105&lt;&gt;"",$E105&lt;&gt;"",OR(AND(ISNUMBER($G105),ISNUMBER($H105),ISNUMBER($K105)),ISNUMBER($O105))),1,0)</f>
        <v>0</v>
      </c>
      <c r="AN105" s="57" t="str">
        <f>IF($A105="","",$A105-WEEKDAY($A105,3))</f>
        <v/>
      </c>
      <c r="AO105" s="56" t="str">
        <f>IF($A105="","",WEEKDAY($A105,2))</f>
        <v/>
      </c>
      <c r="AP105" s="55" t="str">
        <f>IF(OR($AM105=0,$C105=""),"",IFERROR(N(INDEX(Accounts!$E$7:$E$16,MATCH($C105,Accounts!$B$7:$B$16,0))),0)+SUMIFS($Q$6:$Q105,$C$6:$C105,$C105))</f>
        <v/>
      </c>
      <c r="AQ105" s="55" t="str">
        <f>IF(OR($AM105=0,$C105=""),"",SUMIFS($Q$6:$Q$1005,$C$6:$C$1005,$C105,$A$6:$A$1005,$A105))</f>
        <v/>
      </c>
      <c r="AR105" s="55" t="str">
        <f>IF(OR($AM105=0,$C105=""),"",IFERROR(N(INDEX(Accounts!$E$7:$E$16,MATCH($C105,Accounts!$B$7:$B$16,0))),0)+SUMIFS($Q$6:$Q$1005,$C$6:$C$1005,$C105,$A$6:$A$1005,"&lt;="&amp;$A105))</f>
        <v/>
      </c>
      <c r="AS105" s="56">
        <f>IF(OR($AM105=0,$Q105=""),0,IF(AND($A105&gt;=Lists!$W$6,$A105&lt;=Lists!$W$7,OR(Dashboard!$D$6="All accounts",$C105=Dashboard!$D$6),OR(Dashboard!$D$7="All markets",$AF105=Dashboard!$D$7)),1,0))</f>
        <v>0</v>
      </c>
      <c r="AT105" s="55">
        <f>IF($AS105=1,N(AT104)+$Q105,N(AT104))</f>
        <v>1187.10688</v>
      </c>
      <c r="AU105" s="55">
        <f>MAX(N(AU104),$AT105)</f>
        <v>1187.10688</v>
      </c>
      <c r="AV105" s="55">
        <f>$AT105-$AU105</f>
        <v>0</v>
      </c>
      <c r="AW105" s="56">
        <f>IF($AS105=1,IF($S105="Win",N(AW104)+1,IF($S105="Loss",0,N(AW104))),N(AW104))</f>
        <v>5</v>
      </c>
      <c r="AX105" s="56">
        <f>IF($AS105=1,IF($S105="Loss",N(AX104)+1,IF($S105="Win",0,N(AX104))),N(AX104))</f>
        <v>0</v>
      </c>
      <c r="AY105" s="56" t="str">
        <f>IF($AS105=1,COUNTIF($AS$6:$AS105,1),"")</f>
        <v/>
      </c>
      <c r="AZ105" s="56">
        <f>MIN(99,N(Lists!$W$8))</f>
        <v>28</v>
      </c>
      <c r="BA105" s="56">
        <f>IF($AS105=1,IF(COUNTIFS($A$6:$A105,$A105,$AS$6:$AS105,1)=1,1,0),0)</f>
        <v>0</v>
      </c>
      <c r="BB105" s="55" t="str">
        <f>IF($BA105=1,SUMIFS($Q$6:$Q$1005,$A$6:$A$1005,$A105,$AS$6:$AS$1005,1),"")</f>
        <v/>
      </c>
      <c r="BC105" s="56">
        <f>IF(ISNUMBER($R105),1,0)</f>
        <v>0</v>
      </c>
      <c r="BD105" s="55" t="str">
        <f>IF(ISNUMBER($U105),$U105*$V105,"")</f>
        <v/>
      </c>
      <c r="BE105" s="56" t="str">
        <f>IF($AM105=0,"",IFERROR(MATCH($AF105&amp;"|"&amp;UPPER(TRIM($E105)),Lists!$A$6:$A$205,0),0))</f>
        <v/>
      </c>
      <c r="BF105" s="56" t="str">
        <f>IF($AM105=0,"",IFERROR(MATCH($AF105,Settings!$B$14:$B$18,0),IFERROR(MATCH(Settings!$C$6,Settings!$B$14:$B$18,0),1)))</f>
        <v/>
      </c>
      <c r="BG105" s="58" t="str">
        <f>IF($AM105=0,"",IF(NOT(ISNUMBER($I105)),"No stop; ","")&amp;IF(AND(ISNUMBER($H105),ISNUMBER($I105)),IF(OR(AND($F105&lt;&gt;"Short",$I105&gt;=$H105),AND($F105="Short",$I105&lt;=$H105)),"Stop on wrong side; ",""),"")&amp;IF($F105="","No direction; ","")&amp;IF(AND(ISNUMBER(Settings!$C$22),ISNUMBER($V105)),IF($V105&gt;Settings!$C$22,"Risk over max $; ",""),"")&amp;IF(AND(ISNUMBER(Settings!$C$23),ISNUMBER($V105),ISNUMBER($AP105),IFERROR(N(INDEX(Accounts!$E$7:$E$16,MATCH($C105,Accounts!$B$7:$B$16,0))),0)&gt;0),IF($V105&gt;Settings!$C$23*($AP105-N($Q105)),"Risk over max %; ",""),"")&amp;IF(AND(ISNUMBER(Settings!$C$24),ISNUMBER($N105)),IF($N105&gt;Settings!$C$24,"Leverage over max; ",""),"")&amp;IF(AND(ISNUMBER(Settings!$C$27),ISNUMBER($T105)),IF($T105&lt;Settings!$C$27,"R:R below min; ",""),"")&amp;IF(ISNUMBER(Settings!$C$25),IF(COUNTIFS($A$6:$A105,$A105,$AM$6:$AM105,1)&gt;Settings!$C$25,"Over max trades/day; ",""),"")&amp;IF(ISNUMBER(Settings!$C$26),IF(SUMIFS($Q$5:$Q104,$A$5:$A104,$A105)&lt;=-Settings!$C$26,"Traded after daily max loss; ",""),"")&amp;IF(AND($AG105="",NOT(ISNUMBER($O105))),"Symbol not in Instruments; ","")&amp;IF(AND($AH105="",NOT(ISNUMBER($O105))),"Forex cross: type Gross P&amp;L; ",""))</f>
        <v/>
      </c>
      <c r="BH105" s="56">
        <f>IF(ISNUMBER($Q105),1,0)</f>
        <v>0</v>
      </c>
      <c r="BI105" s="56">
        <f>IF($Y105="",0,1)</f>
        <v>0</v>
      </c>
      <c r="BJ105" s="56">
        <f>IF($AB105="",0,1)</f>
        <v>0</v>
      </c>
      <c r="BK105" s="56">
        <f>IF(AND($BH105=1,$W105&lt;&gt;"OK"),1,0)</f>
        <v>0</v>
      </c>
      <c r="BL105" s="55">
        <f>IF(N($AZ105)=0,0,IFERROR(INDEX($AT$6:$AT$1005,MATCH($AZ105,$AY$6:$AY$1005,0)),0))</f>
        <v>1187.10688</v>
      </c>
      <c r="BM105" s="56">
        <f>IF(ISNUMBER(SEARCH("daily max loss",$BG105)),1,0)</f>
        <v>0</v>
      </c>
    </row>
    <row r="106" ht="18" customHeight="1">
      <c r="A106" s="38" t="n"/>
      <c r="B106" s="39" t="n"/>
      <c r="C106" s="40" t="n"/>
      <c r="D106" s="41" t="n"/>
      <c r="E106" s="41" t="n"/>
      <c r="F106" s="41" t="n"/>
      <c r="G106" s="41" t="n"/>
      <c r="H106" s="42" t="n"/>
      <c r="I106" s="42" t="n"/>
      <c r="J106" s="42" t="n"/>
      <c r="K106" s="42" t="n"/>
      <c r="L106" s="41" t="n"/>
      <c r="M106" s="41" t="n"/>
      <c r="N106" s="41" t="n"/>
      <c r="O106" s="43" t="n"/>
      <c r="P106" s="43" t="n"/>
      <c r="Q106" s="44" t="str">
        <f>IF($AM106=0,"",IF(ISNUMBER($AK106),$AK106-N($AL106),""))</f>
        <v/>
      </c>
      <c r="R106" s="45" t="str">
        <f>IF(OR($Q106="",NOT(ISNUMBER($V106))),"",$AK106/$V106)</f>
        <v/>
      </c>
      <c r="S106" s="46" t="str">
        <f>IF($Q106="","",IF(AND(ISNUMBER($R106),ABS(N($R106))&lt;N(Settings!$C$8)),"Scratch",IF($Q106&gt;0,"Win",IF($Q106&lt;0,"Loss","Scratch"))))</f>
        <v/>
      </c>
      <c r="T106" s="47" t="str">
        <f>IF(OR($AM106=0,NOT(ISNUMBER($H106)),NOT(ISNUMBER($I106)),NOT(ISNUMBER($J106))),"",IF($H106=$I106,"",ROUND(ABS($J106-$H106)/ABS($H106-$I106),6)))</f>
        <v/>
      </c>
      <c r="U106" s="48" t="str">
        <f>IF(OR($S106&lt;&gt;"Win",NOT(ISNUMBER($T106)),NOT(ISNUMBER($R106))),"",MAX(0,$T106-$R106))</f>
        <v/>
      </c>
      <c r="V106" s="49" t="str">
        <f>IF(OR($AM106=0,NOT(ISNUMBER($H106)),NOT(ISNUMBER($I106)),NOT(ISNUMBER($G106))),"",IF(OR($AG106="",$AH106=""),"",IF(ROUND(ABS($H106-$I106)*ABS($G106)*$AG106*$AH106,6)=0,"",ROUND(ABS($H106-$I106)*ABS($G106)*$AG106*$AH106,6))))</f>
        <v/>
      </c>
      <c r="W106" s="50" t="str">
        <f>IF($AM106=0,"",IF($BG106="","OK",LEFT($BG106,LEN($BG106)-2)))</f>
        <v/>
      </c>
      <c r="X106" s="41" t="n"/>
      <c r="Y106" s="40" t="n"/>
      <c r="Z106" s="41" t="n"/>
      <c r="AA106" s="41" t="n"/>
      <c r="AB106" s="40" t="n"/>
      <c r="AC106" s="51" t="n"/>
      <c r="AD106" s="51" t="n"/>
      <c r="AE106" s="40" t="n"/>
      <c r="AF106" s="52" t="str">
        <f>IF($AM106=0,"",IF($D106&lt;&gt;"",$D106,IF(IFERROR(INDEX(Accounts!$C$7:$C$16,MATCH($C106,Accounts!$B$7:$B$16,0))&amp;"","")&lt;&gt;"",INDEX(Accounts!$C$7:$C$16,MATCH($C106,Accounts!$B$7:$B$16,0)),Settings!$C$6)))</f>
        <v/>
      </c>
      <c r="AG106" s="53" t="str">
        <f>IF($AM106=0,"",IF(AND($BE106&gt;0,N(INDEX(Instruments!$D$6:$D$205,MAX(1,$BE106)))&gt;0),INDEX(Instruments!$D$6:$D$205,MAX(1,$BE106)),IF(N(INDEX(Settings!$D$14:$D$18,$BF106))&gt;0,INDEX(Settings!$D$14:$D$18,$BF106),"")))</f>
        <v/>
      </c>
      <c r="AH106" s="54" t="str">
        <f>IF($AM106=0,"",IF($AF106&lt;&gt;"Forex",1,IF(MID(UPPER(SUBSTITUTE(TRIM($E106),"/","")),4,3)=UPPER(TRIM(Settings!$C$7)),1,IF(LEFT(UPPER(SUBSTITUTE(TRIM($E106),"/","")),3)=UPPER(TRIM(Settings!$C$7)),IF(AND(ISNUMBER($K106),N($K106)&lt;&gt;0),1/$K106,""),""))))</f>
        <v/>
      </c>
      <c r="AI106" s="55" t="str">
        <f>IF($AM106=0,"",IF(OR(NOT(ISNUMBER($H106)),NOT(ISNUMBER($K106)),NOT(ISNUMBER($G106)),$AG106="",$AH106=""),"",ROUND(($K106-$H106)*IF($F106="Short",-1,1)*$G106*$AG106*$AH106,6)))</f>
        <v/>
      </c>
      <c r="AJ106" s="55" t="str">
        <f>IF($AM106=0,"",IF(INDEX(Settings!$E$14:$E$18,$BF106)="% of notional",IF(OR($AG106="",NOT(ISNUMBER($H106)),NOT(ISNUMBER($G106))),"",ROUND(ABS($H106*$G106*$AG106*N($AH106))*IF($L106="Limit",N(INDEX(Settings!$G$14:$G$18,$BF106)),N(INDEX(Settings!$H$14:$H$18,$BF106)))+IF(ISNUMBER($K106),ABS($K106*$G106*$AG106*N($AH106))*IF($M106="Target",N(INDEX(Settings!$G$14:$G$18,$BF106)),N(INDEX(Settings!$H$14:$H$18,$BF106))),0),6)),IF(NOT(ISNUMBER($G106)),"",ROUND(ABS($G106)*2*IF(AND($BE106&gt;0,ISNUMBER(INDEX(Instruments!$G$6:$G$205,MAX(1,$BE106)))),INDEX(Instruments!$G$6:$G$205,MAX(1,$BE106)),N(INDEX(Settings!$F$14:$F$18,$BF106))),6))))</f>
        <v/>
      </c>
      <c r="AK106" s="55" t="str">
        <f>IF($AM106=0,"",IF(ISNUMBER($O106),$O106,$AI106))</f>
        <v/>
      </c>
      <c r="AL106" s="55" t="str">
        <f>IF($AM106=0,"",IF(ISNUMBER($P106),$P106,N($AJ106)))</f>
        <v/>
      </c>
      <c r="AM106" s="56">
        <f>IF(AND($A106&lt;&gt;"",$E106&lt;&gt;"",OR(AND(ISNUMBER($G106),ISNUMBER($H106),ISNUMBER($K106)),ISNUMBER($O106))),1,0)</f>
        <v>0</v>
      </c>
      <c r="AN106" s="57" t="str">
        <f>IF($A106="","",$A106-WEEKDAY($A106,3))</f>
        <v/>
      </c>
      <c r="AO106" s="56" t="str">
        <f>IF($A106="","",WEEKDAY($A106,2))</f>
        <v/>
      </c>
      <c r="AP106" s="55" t="str">
        <f>IF(OR($AM106=0,$C106=""),"",IFERROR(N(INDEX(Accounts!$E$7:$E$16,MATCH($C106,Accounts!$B$7:$B$16,0))),0)+SUMIFS($Q$6:$Q106,$C$6:$C106,$C106))</f>
        <v/>
      </c>
      <c r="AQ106" s="55" t="str">
        <f>IF(OR($AM106=0,$C106=""),"",SUMIFS($Q$6:$Q$1005,$C$6:$C$1005,$C106,$A$6:$A$1005,$A106))</f>
        <v/>
      </c>
      <c r="AR106" s="55" t="str">
        <f>IF(OR($AM106=0,$C106=""),"",IFERROR(N(INDEX(Accounts!$E$7:$E$16,MATCH($C106,Accounts!$B$7:$B$16,0))),0)+SUMIFS($Q$6:$Q$1005,$C$6:$C$1005,$C106,$A$6:$A$1005,"&lt;="&amp;$A106))</f>
        <v/>
      </c>
      <c r="AS106" s="56">
        <f>IF(OR($AM106=0,$Q106=""),0,IF(AND($A106&gt;=Lists!$W$6,$A106&lt;=Lists!$W$7,OR(Dashboard!$D$6="All accounts",$C106=Dashboard!$D$6),OR(Dashboard!$D$7="All markets",$AF106=Dashboard!$D$7)),1,0))</f>
        <v>0</v>
      </c>
      <c r="AT106" s="55">
        <f>IF($AS106=1,N(AT105)+$Q106,N(AT105))</f>
        <v>1187.10688</v>
      </c>
      <c r="AU106" s="55">
        <f>MAX(N(AU105),$AT106)</f>
        <v>1187.10688</v>
      </c>
      <c r="AV106" s="55">
        <f>$AT106-$AU106</f>
        <v>0</v>
      </c>
      <c r="AW106" s="56">
        <f>IF($AS106=1,IF($S106="Win",N(AW105)+1,IF($S106="Loss",0,N(AW105))),N(AW105))</f>
        <v>5</v>
      </c>
      <c r="AX106" s="56">
        <f>IF($AS106=1,IF($S106="Loss",N(AX105)+1,IF($S106="Win",0,N(AX105))),N(AX105))</f>
        <v>0</v>
      </c>
      <c r="AY106" s="56" t="str">
        <f>IF($AS106=1,COUNTIF($AS$6:$AS106,1),"")</f>
        <v/>
      </c>
      <c r="AZ106" s="56">
        <f>MIN(100,N(Lists!$W$8))</f>
        <v>28</v>
      </c>
      <c r="BA106" s="56">
        <f>IF($AS106=1,IF(COUNTIFS($A$6:$A106,$A106,$AS$6:$AS106,1)=1,1,0),0)</f>
        <v>0</v>
      </c>
      <c r="BB106" s="55" t="str">
        <f>IF($BA106=1,SUMIFS($Q$6:$Q$1005,$A$6:$A$1005,$A106,$AS$6:$AS$1005,1),"")</f>
        <v/>
      </c>
      <c r="BC106" s="56">
        <f>IF(ISNUMBER($R106),1,0)</f>
        <v>0</v>
      </c>
      <c r="BD106" s="55" t="str">
        <f>IF(ISNUMBER($U106),$U106*$V106,"")</f>
        <v/>
      </c>
      <c r="BE106" s="56" t="str">
        <f>IF($AM106=0,"",IFERROR(MATCH($AF106&amp;"|"&amp;UPPER(TRIM($E106)),Lists!$A$6:$A$205,0),0))</f>
        <v/>
      </c>
      <c r="BF106" s="56" t="str">
        <f>IF($AM106=0,"",IFERROR(MATCH($AF106,Settings!$B$14:$B$18,0),IFERROR(MATCH(Settings!$C$6,Settings!$B$14:$B$18,0),1)))</f>
        <v/>
      </c>
      <c r="BG106" s="58" t="str">
        <f>IF($AM106=0,"",IF(NOT(ISNUMBER($I106)),"No stop; ","")&amp;IF(AND(ISNUMBER($H106),ISNUMBER($I106)),IF(OR(AND($F106&lt;&gt;"Short",$I106&gt;=$H106),AND($F106="Short",$I106&lt;=$H106)),"Stop on wrong side; ",""),"")&amp;IF($F106="","No direction; ","")&amp;IF(AND(ISNUMBER(Settings!$C$22),ISNUMBER($V106)),IF($V106&gt;Settings!$C$22,"Risk over max $; ",""),"")&amp;IF(AND(ISNUMBER(Settings!$C$23),ISNUMBER($V106),ISNUMBER($AP106),IFERROR(N(INDEX(Accounts!$E$7:$E$16,MATCH($C106,Accounts!$B$7:$B$16,0))),0)&gt;0),IF($V106&gt;Settings!$C$23*($AP106-N($Q106)),"Risk over max %; ",""),"")&amp;IF(AND(ISNUMBER(Settings!$C$24),ISNUMBER($N106)),IF($N106&gt;Settings!$C$24,"Leverage over max; ",""),"")&amp;IF(AND(ISNUMBER(Settings!$C$27),ISNUMBER($T106)),IF($T106&lt;Settings!$C$27,"R:R below min; ",""),"")&amp;IF(ISNUMBER(Settings!$C$25),IF(COUNTIFS($A$6:$A106,$A106,$AM$6:$AM106,1)&gt;Settings!$C$25,"Over max trades/day; ",""),"")&amp;IF(ISNUMBER(Settings!$C$26),IF(SUMIFS($Q$5:$Q105,$A$5:$A105,$A106)&lt;=-Settings!$C$26,"Traded after daily max loss; ",""),"")&amp;IF(AND($AG106="",NOT(ISNUMBER($O106))),"Symbol not in Instruments; ","")&amp;IF(AND($AH106="",NOT(ISNUMBER($O106))),"Forex cross: type Gross P&amp;L; ",""))</f>
        <v/>
      </c>
      <c r="BH106" s="56">
        <f>IF(ISNUMBER($Q106),1,0)</f>
        <v>0</v>
      </c>
      <c r="BI106" s="56">
        <f>IF($Y106="",0,1)</f>
        <v>0</v>
      </c>
      <c r="BJ106" s="56">
        <f>IF($AB106="",0,1)</f>
        <v>0</v>
      </c>
      <c r="BK106" s="56">
        <f>IF(AND($BH106=1,$W106&lt;&gt;"OK"),1,0)</f>
        <v>0</v>
      </c>
      <c r="BL106" s="55">
        <f>IF(N($AZ106)=0,0,IFERROR(INDEX($AT$6:$AT$1005,MATCH($AZ106,$AY$6:$AY$1005,0)),0))</f>
        <v>1187.10688</v>
      </c>
      <c r="BM106" s="56">
        <f>IF(ISNUMBER(SEARCH("daily max loss",$BG106)),1,0)</f>
        <v>0</v>
      </c>
    </row>
    <row r="107" ht="18" customHeight="1">
      <c r="A107" s="38" t="n"/>
      <c r="B107" s="39" t="n"/>
      <c r="C107" s="40" t="n"/>
      <c r="D107" s="41" t="n"/>
      <c r="E107" s="41" t="n"/>
      <c r="F107" s="41" t="n"/>
      <c r="G107" s="41" t="n"/>
      <c r="H107" s="42" t="n"/>
      <c r="I107" s="42" t="n"/>
      <c r="J107" s="42" t="n"/>
      <c r="K107" s="42" t="n"/>
      <c r="L107" s="41" t="n"/>
      <c r="M107" s="41" t="n"/>
      <c r="N107" s="41" t="n"/>
      <c r="O107" s="43" t="n"/>
      <c r="P107" s="43" t="n"/>
      <c r="Q107" s="44" t="str">
        <f>IF($AM107=0,"",IF(ISNUMBER($AK107),$AK107-N($AL107),""))</f>
        <v/>
      </c>
      <c r="R107" s="45" t="str">
        <f>IF(OR($Q107="",NOT(ISNUMBER($V107))),"",$AK107/$V107)</f>
        <v/>
      </c>
      <c r="S107" s="46" t="str">
        <f>IF($Q107="","",IF(AND(ISNUMBER($R107),ABS(N($R107))&lt;N(Settings!$C$8)),"Scratch",IF($Q107&gt;0,"Win",IF($Q107&lt;0,"Loss","Scratch"))))</f>
        <v/>
      </c>
      <c r="T107" s="47" t="str">
        <f>IF(OR($AM107=0,NOT(ISNUMBER($H107)),NOT(ISNUMBER($I107)),NOT(ISNUMBER($J107))),"",IF($H107=$I107,"",ROUND(ABS($J107-$H107)/ABS($H107-$I107),6)))</f>
        <v/>
      </c>
      <c r="U107" s="48" t="str">
        <f>IF(OR($S107&lt;&gt;"Win",NOT(ISNUMBER($T107)),NOT(ISNUMBER($R107))),"",MAX(0,$T107-$R107))</f>
        <v/>
      </c>
      <c r="V107" s="49" t="str">
        <f>IF(OR($AM107=0,NOT(ISNUMBER($H107)),NOT(ISNUMBER($I107)),NOT(ISNUMBER($G107))),"",IF(OR($AG107="",$AH107=""),"",IF(ROUND(ABS($H107-$I107)*ABS($G107)*$AG107*$AH107,6)=0,"",ROUND(ABS($H107-$I107)*ABS($G107)*$AG107*$AH107,6))))</f>
        <v/>
      </c>
      <c r="W107" s="50" t="str">
        <f>IF($AM107=0,"",IF($BG107="","OK",LEFT($BG107,LEN($BG107)-2)))</f>
        <v/>
      </c>
      <c r="X107" s="41" t="n"/>
      <c r="Y107" s="40" t="n"/>
      <c r="Z107" s="41" t="n"/>
      <c r="AA107" s="41" t="n"/>
      <c r="AB107" s="40" t="n"/>
      <c r="AC107" s="51" t="n"/>
      <c r="AD107" s="51" t="n"/>
      <c r="AE107" s="40" t="n"/>
      <c r="AF107" s="52" t="str">
        <f>IF($AM107=0,"",IF($D107&lt;&gt;"",$D107,IF(IFERROR(INDEX(Accounts!$C$7:$C$16,MATCH($C107,Accounts!$B$7:$B$16,0))&amp;"","")&lt;&gt;"",INDEX(Accounts!$C$7:$C$16,MATCH($C107,Accounts!$B$7:$B$16,0)),Settings!$C$6)))</f>
        <v/>
      </c>
      <c r="AG107" s="53" t="str">
        <f>IF($AM107=0,"",IF(AND($BE107&gt;0,N(INDEX(Instruments!$D$6:$D$205,MAX(1,$BE107)))&gt;0),INDEX(Instruments!$D$6:$D$205,MAX(1,$BE107)),IF(N(INDEX(Settings!$D$14:$D$18,$BF107))&gt;0,INDEX(Settings!$D$14:$D$18,$BF107),"")))</f>
        <v/>
      </c>
      <c r="AH107" s="54" t="str">
        <f>IF($AM107=0,"",IF($AF107&lt;&gt;"Forex",1,IF(MID(UPPER(SUBSTITUTE(TRIM($E107),"/","")),4,3)=UPPER(TRIM(Settings!$C$7)),1,IF(LEFT(UPPER(SUBSTITUTE(TRIM($E107),"/","")),3)=UPPER(TRIM(Settings!$C$7)),IF(AND(ISNUMBER($K107),N($K107)&lt;&gt;0),1/$K107,""),""))))</f>
        <v/>
      </c>
      <c r="AI107" s="55" t="str">
        <f>IF($AM107=0,"",IF(OR(NOT(ISNUMBER($H107)),NOT(ISNUMBER($K107)),NOT(ISNUMBER($G107)),$AG107="",$AH107=""),"",ROUND(($K107-$H107)*IF($F107="Short",-1,1)*$G107*$AG107*$AH107,6)))</f>
        <v/>
      </c>
      <c r="AJ107" s="55" t="str">
        <f>IF($AM107=0,"",IF(INDEX(Settings!$E$14:$E$18,$BF107)="% of notional",IF(OR($AG107="",NOT(ISNUMBER($H107)),NOT(ISNUMBER($G107))),"",ROUND(ABS($H107*$G107*$AG107*N($AH107))*IF($L107="Limit",N(INDEX(Settings!$G$14:$G$18,$BF107)),N(INDEX(Settings!$H$14:$H$18,$BF107)))+IF(ISNUMBER($K107),ABS($K107*$G107*$AG107*N($AH107))*IF($M107="Target",N(INDEX(Settings!$G$14:$G$18,$BF107)),N(INDEX(Settings!$H$14:$H$18,$BF107))),0),6)),IF(NOT(ISNUMBER($G107)),"",ROUND(ABS($G107)*2*IF(AND($BE107&gt;0,ISNUMBER(INDEX(Instruments!$G$6:$G$205,MAX(1,$BE107)))),INDEX(Instruments!$G$6:$G$205,MAX(1,$BE107)),N(INDEX(Settings!$F$14:$F$18,$BF107))),6))))</f>
        <v/>
      </c>
      <c r="AK107" s="55" t="str">
        <f>IF($AM107=0,"",IF(ISNUMBER($O107),$O107,$AI107))</f>
        <v/>
      </c>
      <c r="AL107" s="55" t="str">
        <f>IF($AM107=0,"",IF(ISNUMBER($P107),$P107,N($AJ107)))</f>
        <v/>
      </c>
      <c r="AM107" s="56">
        <f>IF(AND($A107&lt;&gt;"",$E107&lt;&gt;"",OR(AND(ISNUMBER($G107),ISNUMBER($H107),ISNUMBER($K107)),ISNUMBER($O107))),1,0)</f>
        <v>0</v>
      </c>
      <c r="AN107" s="57" t="str">
        <f>IF($A107="","",$A107-WEEKDAY($A107,3))</f>
        <v/>
      </c>
      <c r="AO107" s="56" t="str">
        <f>IF($A107="","",WEEKDAY($A107,2))</f>
        <v/>
      </c>
      <c r="AP107" s="55" t="str">
        <f>IF(OR($AM107=0,$C107=""),"",IFERROR(N(INDEX(Accounts!$E$7:$E$16,MATCH($C107,Accounts!$B$7:$B$16,0))),0)+SUMIFS($Q$6:$Q107,$C$6:$C107,$C107))</f>
        <v/>
      </c>
      <c r="AQ107" s="55" t="str">
        <f>IF(OR($AM107=0,$C107=""),"",SUMIFS($Q$6:$Q$1005,$C$6:$C$1005,$C107,$A$6:$A$1005,$A107))</f>
        <v/>
      </c>
      <c r="AR107" s="55" t="str">
        <f>IF(OR($AM107=0,$C107=""),"",IFERROR(N(INDEX(Accounts!$E$7:$E$16,MATCH($C107,Accounts!$B$7:$B$16,0))),0)+SUMIFS($Q$6:$Q$1005,$C$6:$C$1005,$C107,$A$6:$A$1005,"&lt;="&amp;$A107))</f>
        <v/>
      </c>
      <c r="AS107" s="56">
        <f>IF(OR($AM107=0,$Q107=""),0,IF(AND($A107&gt;=Lists!$W$6,$A107&lt;=Lists!$W$7,OR(Dashboard!$D$6="All accounts",$C107=Dashboard!$D$6),OR(Dashboard!$D$7="All markets",$AF107=Dashboard!$D$7)),1,0))</f>
        <v>0</v>
      </c>
      <c r="AT107" s="55">
        <f>IF($AS107=1,N(AT106)+$Q107,N(AT106))</f>
        <v>1187.10688</v>
      </c>
      <c r="AU107" s="55">
        <f>MAX(N(AU106),$AT107)</f>
        <v>1187.10688</v>
      </c>
      <c r="AV107" s="55">
        <f>$AT107-$AU107</f>
        <v>0</v>
      </c>
      <c r="AW107" s="56">
        <f>IF($AS107=1,IF($S107="Win",N(AW106)+1,IF($S107="Loss",0,N(AW106))),N(AW106))</f>
        <v>5</v>
      </c>
      <c r="AX107" s="56">
        <f>IF($AS107=1,IF($S107="Loss",N(AX106)+1,IF($S107="Win",0,N(AX106))),N(AX106))</f>
        <v>0</v>
      </c>
      <c r="AY107" s="56" t="str">
        <f>IF($AS107=1,COUNTIF($AS$6:$AS107,1),"")</f>
        <v/>
      </c>
      <c r="AZ107" s="56">
        <f>MIN(101,N(Lists!$W$8))</f>
        <v>28</v>
      </c>
      <c r="BA107" s="56">
        <f>IF($AS107=1,IF(COUNTIFS($A$6:$A107,$A107,$AS$6:$AS107,1)=1,1,0),0)</f>
        <v>0</v>
      </c>
      <c r="BB107" s="55" t="str">
        <f>IF($BA107=1,SUMIFS($Q$6:$Q$1005,$A$6:$A$1005,$A107,$AS$6:$AS$1005,1),"")</f>
        <v/>
      </c>
      <c r="BC107" s="56">
        <f>IF(ISNUMBER($R107),1,0)</f>
        <v>0</v>
      </c>
      <c r="BD107" s="55" t="str">
        <f>IF(ISNUMBER($U107),$U107*$V107,"")</f>
        <v/>
      </c>
      <c r="BE107" s="56" t="str">
        <f>IF($AM107=0,"",IFERROR(MATCH($AF107&amp;"|"&amp;UPPER(TRIM($E107)),Lists!$A$6:$A$205,0),0))</f>
        <v/>
      </c>
      <c r="BF107" s="56" t="str">
        <f>IF($AM107=0,"",IFERROR(MATCH($AF107,Settings!$B$14:$B$18,0),IFERROR(MATCH(Settings!$C$6,Settings!$B$14:$B$18,0),1)))</f>
        <v/>
      </c>
      <c r="BG107" s="58" t="str">
        <f>IF($AM107=0,"",IF(NOT(ISNUMBER($I107)),"No stop; ","")&amp;IF(AND(ISNUMBER($H107),ISNUMBER($I107)),IF(OR(AND($F107&lt;&gt;"Short",$I107&gt;=$H107),AND($F107="Short",$I107&lt;=$H107)),"Stop on wrong side; ",""),"")&amp;IF($F107="","No direction; ","")&amp;IF(AND(ISNUMBER(Settings!$C$22),ISNUMBER($V107)),IF($V107&gt;Settings!$C$22,"Risk over max $; ",""),"")&amp;IF(AND(ISNUMBER(Settings!$C$23),ISNUMBER($V107),ISNUMBER($AP107),IFERROR(N(INDEX(Accounts!$E$7:$E$16,MATCH($C107,Accounts!$B$7:$B$16,0))),0)&gt;0),IF($V107&gt;Settings!$C$23*($AP107-N($Q107)),"Risk over max %; ",""),"")&amp;IF(AND(ISNUMBER(Settings!$C$24),ISNUMBER($N107)),IF($N107&gt;Settings!$C$24,"Leverage over max; ",""),"")&amp;IF(AND(ISNUMBER(Settings!$C$27),ISNUMBER($T107)),IF($T107&lt;Settings!$C$27,"R:R below min; ",""),"")&amp;IF(ISNUMBER(Settings!$C$25),IF(COUNTIFS($A$6:$A107,$A107,$AM$6:$AM107,1)&gt;Settings!$C$25,"Over max trades/day; ",""),"")&amp;IF(ISNUMBER(Settings!$C$26),IF(SUMIFS($Q$5:$Q106,$A$5:$A106,$A107)&lt;=-Settings!$C$26,"Traded after daily max loss; ",""),"")&amp;IF(AND($AG107="",NOT(ISNUMBER($O107))),"Symbol not in Instruments; ","")&amp;IF(AND($AH107="",NOT(ISNUMBER($O107))),"Forex cross: type Gross P&amp;L; ",""))</f>
        <v/>
      </c>
      <c r="BH107" s="56">
        <f>IF(ISNUMBER($Q107),1,0)</f>
        <v>0</v>
      </c>
      <c r="BI107" s="56">
        <f>IF($Y107="",0,1)</f>
        <v>0</v>
      </c>
      <c r="BJ107" s="56">
        <f>IF($AB107="",0,1)</f>
        <v>0</v>
      </c>
      <c r="BK107" s="56">
        <f>IF(AND($BH107=1,$W107&lt;&gt;"OK"),1,0)</f>
        <v>0</v>
      </c>
      <c r="BL107" s="55">
        <f>IF(N($AZ107)=0,0,IFERROR(INDEX($AT$6:$AT$1005,MATCH($AZ107,$AY$6:$AY$1005,0)),0))</f>
        <v>1187.10688</v>
      </c>
      <c r="BM107" s="56">
        <f>IF(ISNUMBER(SEARCH("daily max loss",$BG107)),1,0)</f>
        <v>0</v>
      </c>
    </row>
    <row r="108" ht="18" customHeight="1">
      <c r="A108" s="38" t="n"/>
      <c r="B108" s="39" t="n"/>
      <c r="C108" s="40" t="n"/>
      <c r="D108" s="41" t="n"/>
      <c r="E108" s="41" t="n"/>
      <c r="F108" s="41" t="n"/>
      <c r="G108" s="41" t="n"/>
      <c r="H108" s="42" t="n"/>
      <c r="I108" s="42" t="n"/>
      <c r="J108" s="42" t="n"/>
      <c r="K108" s="42" t="n"/>
      <c r="L108" s="41" t="n"/>
      <c r="M108" s="41" t="n"/>
      <c r="N108" s="41" t="n"/>
      <c r="O108" s="43" t="n"/>
      <c r="P108" s="43" t="n"/>
      <c r="Q108" s="44" t="str">
        <f>IF($AM108=0,"",IF(ISNUMBER($AK108),$AK108-N($AL108),""))</f>
        <v/>
      </c>
      <c r="R108" s="45" t="str">
        <f>IF(OR($Q108="",NOT(ISNUMBER($V108))),"",$AK108/$V108)</f>
        <v/>
      </c>
      <c r="S108" s="46" t="str">
        <f>IF($Q108="","",IF(AND(ISNUMBER($R108),ABS(N($R108))&lt;N(Settings!$C$8)),"Scratch",IF($Q108&gt;0,"Win",IF($Q108&lt;0,"Loss","Scratch"))))</f>
        <v/>
      </c>
      <c r="T108" s="47" t="str">
        <f>IF(OR($AM108=0,NOT(ISNUMBER($H108)),NOT(ISNUMBER($I108)),NOT(ISNUMBER($J108))),"",IF($H108=$I108,"",ROUND(ABS($J108-$H108)/ABS($H108-$I108),6)))</f>
        <v/>
      </c>
      <c r="U108" s="48" t="str">
        <f>IF(OR($S108&lt;&gt;"Win",NOT(ISNUMBER($T108)),NOT(ISNUMBER($R108))),"",MAX(0,$T108-$R108))</f>
        <v/>
      </c>
      <c r="V108" s="49" t="str">
        <f>IF(OR($AM108=0,NOT(ISNUMBER($H108)),NOT(ISNUMBER($I108)),NOT(ISNUMBER($G108))),"",IF(OR($AG108="",$AH108=""),"",IF(ROUND(ABS($H108-$I108)*ABS($G108)*$AG108*$AH108,6)=0,"",ROUND(ABS($H108-$I108)*ABS($G108)*$AG108*$AH108,6))))</f>
        <v/>
      </c>
      <c r="W108" s="50" t="str">
        <f>IF($AM108=0,"",IF($BG108="","OK",LEFT($BG108,LEN($BG108)-2)))</f>
        <v/>
      </c>
      <c r="X108" s="41" t="n"/>
      <c r="Y108" s="40" t="n"/>
      <c r="Z108" s="41" t="n"/>
      <c r="AA108" s="41" t="n"/>
      <c r="AB108" s="40" t="n"/>
      <c r="AC108" s="51" t="n"/>
      <c r="AD108" s="51" t="n"/>
      <c r="AE108" s="40" t="n"/>
      <c r="AF108" s="52" t="str">
        <f>IF($AM108=0,"",IF($D108&lt;&gt;"",$D108,IF(IFERROR(INDEX(Accounts!$C$7:$C$16,MATCH($C108,Accounts!$B$7:$B$16,0))&amp;"","")&lt;&gt;"",INDEX(Accounts!$C$7:$C$16,MATCH($C108,Accounts!$B$7:$B$16,0)),Settings!$C$6)))</f>
        <v/>
      </c>
      <c r="AG108" s="53" t="str">
        <f>IF($AM108=0,"",IF(AND($BE108&gt;0,N(INDEX(Instruments!$D$6:$D$205,MAX(1,$BE108)))&gt;0),INDEX(Instruments!$D$6:$D$205,MAX(1,$BE108)),IF(N(INDEX(Settings!$D$14:$D$18,$BF108))&gt;0,INDEX(Settings!$D$14:$D$18,$BF108),"")))</f>
        <v/>
      </c>
      <c r="AH108" s="54" t="str">
        <f>IF($AM108=0,"",IF($AF108&lt;&gt;"Forex",1,IF(MID(UPPER(SUBSTITUTE(TRIM($E108),"/","")),4,3)=UPPER(TRIM(Settings!$C$7)),1,IF(LEFT(UPPER(SUBSTITUTE(TRIM($E108),"/","")),3)=UPPER(TRIM(Settings!$C$7)),IF(AND(ISNUMBER($K108),N($K108)&lt;&gt;0),1/$K108,""),""))))</f>
        <v/>
      </c>
      <c r="AI108" s="55" t="str">
        <f>IF($AM108=0,"",IF(OR(NOT(ISNUMBER($H108)),NOT(ISNUMBER($K108)),NOT(ISNUMBER($G108)),$AG108="",$AH108=""),"",ROUND(($K108-$H108)*IF($F108="Short",-1,1)*$G108*$AG108*$AH108,6)))</f>
        <v/>
      </c>
      <c r="AJ108" s="55" t="str">
        <f>IF($AM108=0,"",IF(INDEX(Settings!$E$14:$E$18,$BF108)="% of notional",IF(OR($AG108="",NOT(ISNUMBER($H108)),NOT(ISNUMBER($G108))),"",ROUND(ABS($H108*$G108*$AG108*N($AH108))*IF($L108="Limit",N(INDEX(Settings!$G$14:$G$18,$BF108)),N(INDEX(Settings!$H$14:$H$18,$BF108)))+IF(ISNUMBER($K108),ABS($K108*$G108*$AG108*N($AH108))*IF($M108="Target",N(INDEX(Settings!$G$14:$G$18,$BF108)),N(INDEX(Settings!$H$14:$H$18,$BF108))),0),6)),IF(NOT(ISNUMBER($G108)),"",ROUND(ABS($G108)*2*IF(AND($BE108&gt;0,ISNUMBER(INDEX(Instruments!$G$6:$G$205,MAX(1,$BE108)))),INDEX(Instruments!$G$6:$G$205,MAX(1,$BE108)),N(INDEX(Settings!$F$14:$F$18,$BF108))),6))))</f>
        <v/>
      </c>
      <c r="AK108" s="55" t="str">
        <f>IF($AM108=0,"",IF(ISNUMBER($O108),$O108,$AI108))</f>
        <v/>
      </c>
      <c r="AL108" s="55" t="str">
        <f>IF($AM108=0,"",IF(ISNUMBER($P108),$P108,N($AJ108)))</f>
        <v/>
      </c>
      <c r="AM108" s="56">
        <f>IF(AND($A108&lt;&gt;"",$E108&lt;&gt;"",OR(AND(ISNUMBER($G108),ISNUMBER($H108),ISNUMBER($K108)),ISNUMBER($O108))),1,0)</f>
        <v>0</v>
      </c>
      <c r="AN108" s="57" t="str">
        <f>IF($A108="","",$A108-WEEKDAY($A108,3))</f>
        <v/>
      </c>
      <c r="AO108" s="56" t="str">
        <f>IF($A108="","",WEEKDAY($A108,2))</f>
        <v/>
      </c>
      <c r="AP108" s="55" t="str">
        <f>IF(OR($AM108=0,$C108=""),"",IFERROR(N(INDEX(Accounts!$E$7:$E$16,MATCH($C108,Accounts!$B$7:$B$16,0))),0)+SUMIFS($Q$6:$Q108,$C$6:$C108,$C108))</f>
        <v/>
      </c>
      <c r="AQ108" s="55" t="str">
        <f>IF(OR($AM108=0,$C108=""),"",SUMIFS($Q$6:$Q$1005,$C$6:$C$1005,$C108,$A$6:$A$1005,$A108))</f>
        <v/>
      </c>
      <c r="AR108" s="55" t="str">
        <f>IF(OR($AM108=0,$C108=""),"",IFERROR(N(INDEX(Accounts!$E$7:$E$16,MATCH($C108,Accounts!$B$7:$B$16,0))),0)+SUMIFS($Q$6:$Q$1005,$C$6:$C$1005,$C108,$A$6:$A$1005,"&lt;="&amp;$A108))</f>
        <v/>
      </c>
      <c r="AS108" s="56">
        <f>IF(OR($AM108=0,$Q108=""),0,IF(AND($A108&gt;=Lists!$W$6,$A108&lt;=Lists!$W$7,OR(Dashboard!$D$6="All accounts",$C108=Dashboard!$D$6),OR(Dashboard!$D$7="All markets",$AF108=Dashboard!$D$7)),1,0))</f>
        <v>0</v>
      </c>
      <c r="AT108" s="55">
        <f>IF($AS108=1,N(AT107)+$Q108,N(AT107))</f>
        <v>1187.10688</v>
      </c>
      <c r="AU108" s="55">
        <f>MAX(N(AU107),$AT108)</f>
        <v>1187.10688</v>
      </c>
      <c r="AV108" s="55">
        <f>$AT108-$AU108</f>
        <v>0</v>
      </c>
      <c r="AW108" s="56">
        <f>IF($AS108=1,IF($S108="Win",N(AW107)+1,IF($S108="Loss",0,N(AW107))),N(AW107))</f>
        <v>5</v>
      </c>
      <c r="AX108" s="56">
        <f>IF($AS108=1,IF($S108="Loss",N(AX107)+1,IF($S108="Win",0,N(AX107))),N(AX107))</f>
        <v>0</v>
      </c>
      <c r="AY108" s="56" t="str">
        <f>IF($AS108=1,COUNTIF($AS$6:$AS108,1),"")</f>
        <v/>
      </c>
      <c r="AZ108" s="56">
        <f>MIN(102,N(Lists!$W$8))</f>
        <v>28</v>
      </c>
      <c r="BA108" s="56">
        <f>IF($AS108=1,IF(COUNTIFS($A$6:$A108,$A108,$AS$6:$AS108,1)=1,1,0),0)</f>
        <v>0</v>
      </c>
      <c r="BB108" s="55" t="str">
        <f>IF($BA108=1,SUMIFS($Q$6:$Q$1005,$A$6:$A$1005,$A108,$AS$6:$AS$1005,1),"")</f>
        <v/>
      </c>
      <c r="BC108" s="56">
        <f>IF(ISNUMBER($R108),1,0)</f>
        <v>0</v>
      </c>
      <c r="BD108" s="55" t="str">
        <f>IF(ISNUMBER($U108),$U108*$V108,"")</f>
        <v/>
      </c>
      <c r="BE108" s="56" t="str">
        <f>IF($AM108=0,"",IFERROR(MATCH($AF108&amp;"|"&amp;UPPER(TRIM($E108)),Lists!$A$6:$A$205,0),0))</f>
        <v/>
      </c>
      <c r="BF108" s="56" t="str">
        <f>IF($AM108=0,"",IFERROR(MATCH($AF108,Settings!$B$14:$B$18,0),IFERROR(MATCH(Settings!$C$6,Settings!$B$14:$B$18,0),1)))</f>
        <v/>
      </c>
      <c r="BG108" s="58" t="str">
        <f>IF($AM108=0,"",IF(NOT(ISNUMBER($I108)),"No stop; ","")&amp;IF(AND(ISNUMBER($H108),ISNUMBER($I108)),IF(OR(AND($F108&lt;&gt;"Short",$I108&gt;=$H108),AND($F108="Short",$I108&lt;=$H108)),"Stop on wrong side; ",""),"")&amp;IF($F108="","No direction; ","")&amp;IF(AND(ISNUMBER(Settings!$C$22),ISNUMBER($V108)),IF($V108&gt;Settings!$C$22,"Risk over max $; ",""),"")&amp;IF(AND(ISNUMBER(Settings!$C$23),ISNUMBER($V108),ISNUMBER($AP108),IFERROR(N(INDEX(Accounts!$E$7:$E$16,MATCH($C108,Accounts!$B$7:$B$16,0))),0)&gt;0),IF($V108&gt;Settings!$C$23*($AP108-N($Q108)),"Risk over max %; ",""),"")&amp;IF(AND(ISNUMBER(Settings!$C$24),ISNUMBER($N108)),IF($N108&gt;Settings!$C$24,"Leverage over max; ",""),"")&amp;IF(AND(ISNUMBER(Settings!$C$27),ISNUMBER($T108)),IF($T108&lt;Settings!$C$27,"R:R below min; ",""),"")&amp;IF(ISNUMBER(Settings!$C$25),IF(COUNTIFS($A$6:$A108,$A108,$AM$6:$AM108,1)&gt;Settings!$C$25,"Over max trades/day; ",""),"")&amp;IF(ISNUMBER(Settings!$C$26),IF(SUMIFS($Q$5:$Q107,$A$5:$A107,$A108)&lt;=-Settings!$C$26,"Traded after daily max loss; ",""),"")&amp;IF(AND($AG108="",NOT(ISNUMBER($O108))),"Symbol not in Instruments; ","")&amp;IF(AND($AH108="",NOT(ISNUMBER($O108))),"Forex cross: type Gross P&amp;L; ",""))</f>
        <v/>
      </c>
      <c r="BH108" s="56">
        <f>IF(ISNUMBER($Q108),1,0)</f>
        <v>0</v>
      </c>
      <c r="BI108" s="56">
        <f>IF($Y108="",0,1)</f>
        <v>0</v>
      </c>
      <c r="BJ108" s="56">
        <f>IF($AB108="",0,1)</f>
        <v>0</v>
      </c>
      <c r="BK108" s="56">
        <f>IF(AND($BH108=1,$W108&lt;&gt;"OK"),1,0)</f>
        <v>0</v>
      </c>
      <c r="BL108" s="55">
        <f>IF(N($AZ108)=0,0,IFERROR(INDEX($AT$6:$AT$1005,MATCH($AZ108,$AY$6:$AY$1005,0)),0))</f>
        <v>1187.10688</v>
      </c>
      <c r="BM108" s="56">
        <f>IF(ISNUMBER(SEARCH("daily max loss",$BG108)),1,0)</f>
        <v>0</v>
      </c>
    </row>
    <row r="109" ht="18" customHeight="1">
      <c r="A109" s="38" t="n"/>
      <c r="B109" s="39" t="n"/>
      <c r="C109" s="40" t="n"/>
      <c r="D109" s="41" t="n"/>
      <c r="E109" s="41" t="n"/>
      <c r="F109" s="41" t="n"/>
      <c r="G109" s="41" t="n"/>
      <c r="H109" s="42" t="n"/>
      <c r="I109" s="42" t="n"/>
      <c r="J109" s="42" t="n"/>
      <c r="K109" s="42" t="n"/>
      <c r="L109" s="41" t="n"/>
      <c r="M109" s="41" t="n"/>
      <c r="N109" s="41" t="n"/>
      <c r="O109" s="43" t="n"/>
      <c r="P109" s="43" t="n"/>
      <c r="Q109" s="44" t="str">
        <f>IF($AM109=0,"",IF(ISNUMBER($AK109),$AK109-N($AL109),""))</f>
        <v/>
      </c>
      <c r="R109" s="45" t="str">
        <f>IF(OR($Q109="",NOT(ISNUMBER($V109))),"",$AK109/$V109)</f>
        <v/>
      </c>
      <c r="S109" s="46" t="str">
        <f>IF($Q109="","",IF(AND(ISNUMBER($R109),ABS(N($R109))&lt;N(Settings!$C$8)),"Scratch",IF($Q109&gt;0,"Win",IF($Q109&lt;0,"Loss","Scratch"))))</f>
        <v/>
      </c>
      <c r="T109" s="47" t="str">
        <f>IF(OR($AM109=0,NOT(ISNUMBER($H109)),NOT(ISNUMBER($I109)),NOT(ISNUMBER($J109))),"",IF($H109=$I109,"",ROUND(ABS($J109-$H109)/ABS($H109-$I109),6)))</f>
        <v/>
      </c>
      <c r="U109" s="48" t="str">
        <f>IF(OR($S109&lt;&gt;"Win",NOT(ISNUMBER($T109)),NOT(ISNUMBER($R109))),"",MAX(0,$T109-$R109))</f>
        <v/>
      </c>
      <c r="V109" s="49" t="str">
        <f>IF(OR($AM109=0,NOT(ISNUMBER($H109)),NOT(ISNUMBER($I109)),NOT(ISNUMBER($G109))),"",IF(OR($AG109="",$AH109=""),"",IF(ROUND(ABS($H109-$I109)*ABS($G109)*$AG109*$AH109,6)=0,"",ROUND(ABS($H109-$I109)*ABS($G109)*$AG109*$AH109,6))))</f>
        <v/>
      </c>
      <c r="W109" s="50" t="str">
        <f>IF($AM109=0,"",IF($BG109="","OK",LEFT($BG109,LEN($BG109)-2)))</f>
        <v/>
      </c>
      <c r="X109" s="41" t="n"/>
      <c r="Y109" s="40" t="n"/>
      <c r="Z109" s="41" t="n"/>
      <c r="AA109" s="41" t="n"/>
      <c r="AB109" s="40" t="n"/>
      <c r="AC109" s="51" t="n"/>
      <c r="AD109" s="51" t="n"/>
      <c r="AE109" s="40" t="n"/>
      <c r="AF109" s="52" t="str">
        <f>IF($AM109=0,"",IF($D109&lt;&gt;"",$D109,IF(IFERROR(INDEX(Accounts!$C$7:$C$16,MATCH($C109,Accounts!$B$7:$B$16,0))&amp;"","")&lt;&gt;"",INDEX(Accounts!$C$7:$C$16,MATCH($C109,Accounts!$B$7:$B$16,0)),Settings!$C$6)))</f>
        <v/>
      </c>
      <c r="AG109" s="53" t="str">
        <f>IF($AM109=0,"",IF(AND($BE109&gt;0,N(INDEX(Instruments!$D$6:$D$205,MAX(1,$BE109)))&gt;0),INDEX(Instruments!$D$6:$D$205,MAX(1,$BE109)),IF(N(INDEX(Settings!$D$14:$D$18,$BF109))&gt;0,INDEX(Settings!$D$14:$D$18,$BF109),"")))</f>
        <v/>
      </c>
      <c r="AH109" s="54" t="str">
        <f>IF($AM109=0,"",IF($AF109&lt;&gt;"Forex",1,IF(MID(UPPER(SUBSTITUTE(TRIM($E109),"/","")),4,3)=UPPER(TRIM(Settings!$C$7)),1,IF(LEFT(UPPER(SUBSTITUTE(TRIM($E109),"/","")),3)=UPPER(TRIM(Settings!$C$7)),IF(AND(ISNUMBER($K109),N($K109)&lt;&gt;0),1/$K109,""),""))))</f>
        <v/>
      </c>
      <c r="AI109" s="55" t="str">
        <f>IF($AM109=0,"",IF(OR(NOT(ISNUMBER($H109)),NOT(ISNUMBER($K109)),NOT(ISNUMBER($G109)),$AG109="",$AH109=""),"",ROUND(($K109-$H109)*IF($F109="Short",-1,1)*$G109*$AG109*$AH109,6)))</f>
        <v/>
      </c>
      <c r="AJ109" s="55" t="str">
        <f>IF($AM109=0,"",IF(INDEX(Settings!$E$14:$E$18,$BF109)="% of notional",IF(OR($AG109="",NOT(ISNUMBER($H109)),NOT(ISNUMBER($G109))),"",ROUND(ABS($H109*$G109*$AG109*N($AH109))*IF($L109="Limit",N(INDEX(Settings!$G$14:$G$18,$BF109)),N(INDEX(Settings!$H$14:$H$18,$BF109)))+IF(ISNUMBER($K109),ABS($K109*$G109*$AG109*N($AH109))*IF($M109="Target",N(INDEX(Settings!$G$14:$G$18,$BF109)),N(INDEX(Settings!$H$14:$H$18,$BF109))),0),6)),IF(NOT(ISNUMBER($G109)),"",ROUND(ABS($G109)*2*IF(AND($BE109&gt;0,ISNUMBER(INDEX(Instruments!$G$6:$G$205,MAX(1,$BE109)))),INDEX(Instruments!$G$6:$G$205,MAX(1,$BE109)),N(INDEX(Settings!$F$14:$F$18,$BF109))),6))))</f>
        <v/>
      </c>
      <c r="AK109" s="55" t="str">
        <f>IF($AM109=0,"",IF(ISNUMBER($O109),$O109,$AI109))</f>
        <v/>
      </c>
      <c r="AL109" s="55" t="str">
        <f>IF($AM109=0,"",IF(ISNUMBER($P109),$P109,N($AJ109)))</f>
        <v/>
      </c>
      <c r="AM109" s="56">
        <f>IF(AND($A109&lt;&gt;"",$E109&lt;&gt;"",OR(AND(ISNUMBER($G109),ISNUMBER($H109),ISNUMBER($K109)),ISNUMBER($O109))),1,0)</f>
        <v>0</v>
      </c>
      <c r="AN109" s="57" t="str">
        <f>IF($A109="","",$A109-WEEKDAY($A109,3))</f>
        <v/>
      </c>
      <c r="AO109" s="56" t="str">
        <f>IF($A109="","",WEEKDAY($A109,2))</f>
        <v/>
      </c>
      <c r="AP109" s="55" t="str">
        <f>IF(OR($AM109=0,$C109=""),"",IFERROR(N(INDEX(Accounts!$E$7:$E$16,MATCH($C109,Accounts!$B$7:$B$16,0))),0)+SUMIFS($Q$6:$Q109,$C$6:$C109,$C109))</f>
        <v/>
      </c>
      <c r="AQ109" s="55" t="str">
        <f>IF(OR($AM109=0,$C109=""),"",SUMIFS($Q$6:$Q$1005,$C$6:$C$1005,$C109,$A$6:$A$1005,$A109))</f>
        <v/>
      </c>
      <c r="AR109" s="55" t="str">
        <f>IF(OR($AM109=0,$C109=""),"",IFERROR(N(INDEX(Accounts!$E$7:$E$16,MATCH($C109,Accounts!$B$7:$B$16,0))),0)+SUMIFS($Q$6:$Q$1005,$C$6:$C$1005,$C109,$A$6:$A$1005,"&lt;="&amp;$A109))</f>
        <v/>
      </c>
      <c r="AS109" s="56">
        <f>IF(OR($AM109=0,$Q109=""),0,IF(AND($A109&gt;=Lists!$W$6,$A109&lt;=Lists!$W$7,OR(Dashboard!$D$6="All accounts",$C109=Dashboard!$D$6),OR(Dashboard!$D$7="All markets",$AF109=Dashboard!$D$7)),1,0))</f>
        <v>0</v>
      </c>
      <c r="AT109" s="55">
        <f>IF($AS109=1,N(AT108)+$Q109,N(AT108))</f>
        <v>1187.10688</v>
      </c>
      <c r="AU109" s="55">
        <f>MAX(N(AU108),$AT109)</f>
        <v>1187.10688</v>
      </c>
      <c r="AV109" s="55">
        <f>$AT109-$AU109</f>
        <v>0</v>
      </c>
      <c r="AW109" s="56">
        <f>IF($AS109=1,IF($S109="Win",N(AW108)+1,IF($S109="Loss",0,N(AW108))),N(AW108))</f>
        <v>5</v>
      </c>
      <c r="AX109" s="56">
        <f>IF($AS109=1,IF($S109="Loss",N(AX108)+1,IF($S109="Win",0,N(AX108))),N(AX108))</f>
        <v>0</v>
      </c>
      <c r="AY109" s="56" t="str">
        <f>IF($AS109=1,COUNTIF($AS$6:$AS109,1),"")</f>
        <v/>
      </c>
      <c r="AZ109" s="56">
        <f>MIN(103,N(Lists!$W$8))</f>
        <v>28</v>
      </c>
      <c r="BA109" s="56">
        <f>IF($AS109=1,IF(COUNTIFS($A$6:$A109,$A109,$AS$6:$AS109,1)=1,1,0),0)</f>
        <v>0</v>
      </c>
      <c r="BB109" s="55" t="str">
        <f>IF($BA109=1,SUMIFS($Q$6:$Q$1005,$A$6:$A$1005,$A109,$AS$6:$AS$1005,1),"")</f>
        <v/>
      </c>
      <c r="BC109" s="56">
        <f>IF(ISNUMBER($R109),1,0)</f>
        <v>0</v>
      </c>
      <c r="BD109" s="55" t="str">
        <f>IF(ISNUMBER($U109),$U109*$V109,"")</f>
        <v/>
      </c>
      <c r="BE109" s="56" t="str">
        <f>IF($AM109=0,"",IFERROR(MATCH($AF109&amp;"|"&amp;UPPER(TRIM($E109)),Lists!$A$6:$A$205,0),0))</f>
        <v/>
      </c>
      <c r="BF109" s="56" t="str">
        <f>IF($AM109=0,"",IFERROR(MATCH($AF109,Settings!$B$14:$B$18,0),IFERROR(MATCH(Settings!$C$6,Settings!$B$14:$B$18,0),1)))</f>
        <v/>
      </c>
      <c r="BG109" s="58" t="str">
        <f>IF($AM109=0,"",IF(NOT(ISNUMBER($I109)),"No stop; ","")&amp;IF(AND(ISNUMBER($H109),ISNUMBER($I109)),IF(OR(AND($F109&lt;&gt;"Short",$I109&gt;=$H109),AND($F109="Short",$I109&lt;=$H109)),"Stop on wrong side; ",""),"")&amp;IF($F109="","No direction; ","")&amp;IF(AND(ISNUMBER(Settings!$C$22),ISNUMBER($V109)),IF($V109&gt;Settings!$C$22,"Risk over max $; ",""),"")&amp;IF(AND(ISNUMBER(Settings!$C$23),ISNUMBER($V109),ISNUMBER($AP109),IFERROR(N(INDEX(Accounts!$E$7:$E$16,MATCH($C109,Accounts!$B$7:$B$16,0))),0)&gt;0),IF($V109&gt;Settings!$C$23*($AP109-N($Q109)),"Risk over max %; ",""),"")&amp;IF(AND(ISNUMBER(Settings!$C$24),ISNUMBER($N109)),IF($N109&gt;Settings!$C$24,"Leverage over max; ",""),"")&amp;IF(AND(ISNUMBER(Settings!$C$27),ISNUMBER($T109)),IF($T109&lt;Settings!$C$27,"R:R below min; ",""),"")&amp;IF(ISNUMBER(Settings!$C$25),IF(COUNTIFS($A$6:$A109,$A109,$AM$6:$AM109,1)&gt;Settings!$C$25,"Over max trades/day; ",""),"")&amp;IF(ISNUMBER(Settings!$C$26),IF(SUMIFS($Q$5:$Q108,$A$5:$A108,$A109)&lt;=-Settings!$C$26,"Traded after daily max loss; ",""),"")&amp;IF(AND($AG109="",NOT(ISNUMBER($O109))),"Symbol not in Instruments; ","")&amp;IF(AND($AH109="",NOT(ISNUMBER($O109))),"Forex cross: type Gross P&amp;L; ",""))</f>
        <v/>
      </c>
      <c r="BH109" s="56">
        <f>IF(ISNUMBER($Q109),1,0)</f>
        <v>0</v>
      </c>
      <c r="BI109" s="56">
        <f>IF($Y109="",0,1)</f>
        <v>0</v>
      </c>
      <c r="BJ109" s="56">
        <f>IF($AB109="",0,1)</f>
        <v>0</v>
      </c>
      <c r="BK109" s="56">
        <f>IF(AND($BH109=1,$W109&lt;&gt;"OK"),1,0)</f>
        <v>0</v>
      </c>
      <c r="BL109" s="55">
        <f>IF(N($AZ109)=0,0,IFERROR(INDEX($AT$6:$AT$1005,MATCH($AZ109,$AY$6:$AY$1005,0)),0))</f>
        <v>1187.10688</v>
      </c>
      <c r="BM109" s="56">
        <f>IF(ISNUMBER(SEARCH("daily max loss",$BG109)),1,0)</f>
        <v>0</v>
      </c>
    </row>
    <row r="110" ht="18" customHeight="1">
      <c r="A110" s="38" t="n"/>
      <c r="B110" s="39" t="n"/>
      <c r="C110" s="40" t="n"/>
      <c r="D110" s="41" t="n"/>
      <c r="E110" s="41" t="n"/>
      <c r="F110" s="41" t="n"/>
      <c r="G110" s="41" t="n"/>
      <c r="H110" s="42" t="n"/>
      <c r="I110" s="42" t="n"/>
      <c r="J110" s="42" t="n"/>
      <c r="K110" s="42" t="n"/>
      <c r="L110" s="41" t="n"/>
      <c r="M110" s="41" t="n"/>
      <c r="N110" s="41" t="n"/>
      <c r="O110" s="43" t="n"/>
      <c r="P110" s="43" t="n"/>
      <c r="Q110" s="44" t="str">
        <f>IF($AM110=0,"",IF(ISNUMBER($AK110),$AK110-N($AL110),""))</f>
        <v/>
      </c>
      <c r="R110" s="45" t="str">
        <f>IF(OR($Q110="",NOT(ISNUMBER($V110))),"",$AK110/$V110)</f>
        <v/>
      </c>
      <c r="S110" s="46" t="str">
        <f>IF($Q110="","",IF(AND(ISNUMBER($R110),ABS(N($R110))&lt;N(Settings!$C$8)),"Scratch",IF($Q110&gt;0,"Win",IF($Q110&lt;0,"Loss","Scratch"))))</f>
        <v/>
      </c>
      <c r="T110" s="47" t="str">
        <f>IF(OR($AM110=0,NOT(ISNUMBER($H110)),NOT(ISNUMBER($I110)),NOT(ISNUMBER($J110))),"",IF($H110=$I110,"",ROUND(ABS($J110-$H110)/ABS($H110-$I110),6)))</f>
        <v/>
      </c>
      <c r="U110" s="48" t="str">
        <f>IF(OR($S110&lt;&gt;"Win",NOT(ISNUMBER($T110)),NOT(ISNUMBER($R110))),"",MAX(0,$T110-$R110))</f>
        <v/>
      </c>
      <c r="V110" s="49" t="str">
        <f>IF(OR($AM110=0,NOT(ISNUMBER($H110)),NOT(ISNUMBER($I110)),NOT(ISNUMBER($G110))),"",IF(OR($AG110="",$AH110=""),"",IF(ROUND(ABS($H110-$I110)*ABS($G110)*$AG110*$AH110,6)=0,"",ROUND(ABS($H110-$I110)*ABS($G110)*$AG110*$AH110,6))))</f>
        <v/>
      </c>
      <c r="W110" s="50" t="str">
        <f>IF($AM110=0,"",IF($BG110="","OK",LEFT($BG110,LEN($BG110)-2)))</f>
        <v/>
      </c>
      <c r="X110" s="41" t="n"/>
      <c r="Y110" s="40" t="n"/>
      <c r="Z110" s="41" t="n"/>
      <c r="AA110" s="41" t="n"/>
      <c r="AB110" s="40" t="n"/>
      <c r="AC110" s="51" t="n"/>
      <c r="AD110" s="51" t="n"/>
      <c r="AE110" s="40" t="n"/>
      <c r="AF110" s="52" t="str">
        <f>IF($AM110=0,"",IF($D110&lt;&gt;"",$D110,IF(IFERROR(INDEX(Accounts!$C$7:$C$16,MATCH($C110,Accounts!$B$7:$B$16,0))&amp;"","")&lt;&gt;"",INDEX(Accounts!$C$7:$C$16,MATCH($C110,Accounts!$B$7:$B$16,0)),Settings!$C$6)))</f>
        <v/>
      </c>
      <c r="AG110" s="53" t="str">
        <f>IF($AM110=0,"",IF(AND($BE110&gt;0,N(INDEX(Instruments!$D$6:$D$205,MAX(1,$BE110)))&gt;0),INDEX(Instruments!$D$6:$D$205,MAX(1,$BE110)),IF(N(INDEX(Settings!$D$14:$D$18,$BF110))&gt;0,INDEX(Settings!$D$14:$D$18,$BF110),"")))</f>
        <v/>
      </c>
      <c r="AH110" s="54" t="str">
        <f>IF($AM110=0,"",IF($AF110&lt;&gt;"Forex",1,IF(MID(UPPER(SUBSTITUTE(TRIM($E110),"/","")),4,3)=UPPER(TRIM(Settings!$C$7)),1,IF(LEFT(UPPER(SUBSTITUTE(TRIM($E110),"/","")),3)=UPPER(TRIM(Settings!$C$7)),IF(AND(ISNUMBER($K110),N($K110)&lt;&gt;0),1/$K110,""),""))))</f>
        <v/>
      </c>
      <c r="AI110" s="55" t="str">
        <f>IF($AM110=0,"",IF(OR(NOT(ISNUMBER($H110)),NOT(ISNUMBER($K110)),NOT(ISNUMBER($G110)),$AG110="",$AH110=""),"",ROUND(($K110-$H110)*IF($F110="Short",-1,1)*$G110*$AG110*$AH110,6)))</f>
        <v/>
      </c>
      <c r="AJ110" s="55" t="str">
        <f>IF($AM110=0,"",IF(INDEX(Settings!$E$14:$E$18,$BF110)="% of notional",IF(OR($AG110="",NOT(ISNUMBER($H110)),NOT(ISNUMBER($G110))),"",ROUND(ABS($H110*$G110*$AG110*N($AH110))*IF($L110="Limit",N(INDEX(Settings!$G$14:$G$18,$BF110)),N(INDEX(Settings!$H$14:$H$18,$BF110)))+IF(ISNUMBER($K110),ABS($K110*$G110*$AG110*N($AH110))*IF($M110="Target",N(INDEX(Settings!$G$14:$G$18,$BF110)),N(INDEX(Settings!$H$14:$H$18,$BF110))),0),6)),IF(NOT(ISNUMBER($G110)),"",ROUND(ABS($G110)*2*IF(AND($BE110&gt;0,ISNUMBER(INDEX(Instruments!$G$6:$G$205,MAX(1,$BE110)))),INDEX(Instruments!$G$6:$G$205,MAX(1,$BE110)),N(INDEX(Settings!$F$14:$F$18,$BF110))),6))))</f>
        <v/>
      </c>
      <c r="AK110" s="55" t="str">
        <f>IF($AM110=0,"",IF(ISNUMBER($O110),$O110,$AI110))</f>
        <v/>
      </c>
      <c r="AL110" s="55" t="str">
        <f>IF($AM110=0,"",IF(ISNUMBER($P110),$P110,N($AJ110)))</f>
        <v/>
      </c>
      <c r="AM110" s="56">
        <f>IF(AND($A110&lt;&gt;"",$E110&lt;&gt;"",OR(AND(ISNUMBER($G110),ISNUMBER($H110),ISNUMBER($K110)),ISNUMBER($O110))),1,0)</f>
        <v>0</v>
      </c>
      <c r="AN110" s="57" t="str">
        <f>IF($A110="","",$A110-WEEKDAY($A110,3))</f>
        <v/>
      </c>
      <c r="AO110" s="56" t="str">
        <f>IF($A110="","",WEEKDAY($A110,2))</f>
        <v/>
      </c>
      <c r="AP110" s="55" t="str">
        <f>IF(OR($AM110=0,$C110=""),"",IFERROR(N(INDEX(Accounts!$E$7:$E$16,MATCH($C110,Accounts!$B$7:$B$16,0))),0)+SUMIFS($Q$6:$Q110,$C$6:$C110,$C110))</f>
        <v/>
      </c>
      <c r="AQ110" s="55" t="str">
        <f>IF(OR($AM110=0,$C110=""),"",SUMIFS($Q$6:$Q$1005,$C$6:$C$1005,$C110,$A$6:$A$1005,$A110))</f>
        <v/>
      </c>
      <c r="AR110" s="55" t="str">
        <f>IF(OR($AM110=0,$C110=""),"",IFERROR(N(INDEX(Accounts!$E$7:$E$16,MATCH($C110,Accounts!$B$7:$B$16,0))),0)+SUMIFS($Q$6:$Q$1005,$C$6:$C$1005,$C110,$A$6:$A$1005,"&lt;="&amp;$A110))</f>
        <v/>
      </c>
      <c r="AS110" s="56">
        <f>IF(OR($AM110=0,$Q110=""),0,IF(AND($A110&gt;=Lists!$W$6,$A110&lt;=Lists!$W$7,OR(Dashboard!$D$6="All accounts",$C110=Dashboard!$D$6),OR(Dashboard!$D$7="All markets",$AF110=Dashboard!$D$7)),1,0))</f>
        <v>0</v>
      </c>
      <c r="AT110" s="55">
        <f>IF($AS110=1,N(AT109)+$Q110,N(AT109))</f>
        <v>1187.10688</v>
      </c>
      <c r="AU110" s="55">
        <f>MAX(N(AU109),$AT110)</f>
        <v>1187.10688</v>
      </c>
      <c r="AV110" s="55">
        <f>$AT110-$AU110</f>
        <v>0</v>
      </c>
      <c r="AW110" s="56">
        <f>IF($AS110=1,IF($S110="Win",N(AW109)+1,IF($S110="Loss",0,N(AW109))),N(AW109))</f>
        <v>5</v>
      </c>
      <c r="AX110" s="56">
        <f>IF($AS110=1,IF($S110="Loss",N(AX109)+1,IF($S110="Win",0,N(AX109))),N(AX109))</f>
        <v>0</v>
      </c>
      <c r="AY110" s="56" t="str">
        <f>IF($AS110=1,COUNTIF($AS$6:$AS110,1),"")</f>
        <v/>
      </c>
      <c r="AZ110" s="56">
        <f>MIN(104,N(Lists!$W$8))</f>
        <v>28</v>
      </c>
      <c r="BA110" s="56">
        <f>IF($AS110=1,IF(COUNTIFS($A$6:$A110,$A110,$AS$6:$AS110,1)=1,1,0),0)</f>
        <v>0</v>
      </c>
      <c r="BB110" s="55" t="str">
        <f>IF($BA110=1,SUMIFS($Q$6:$Q$1005,$A$6:$A$1005,$A110,$AS$6:$AS$1005,1),"")</f>
        <v/>
      </c>
      <c r="BC110" s="56">
        <f>IF(ISNUMBER($R110),1,0)</f>
        <v>0</v>
      </c>
      <c r="BD110" s="55" t="str">
        <f>IF(ISNUMBER($U110),$U110*$V110,"")</f>
        <v/>
      </c>
      <c r="BE110" s="56" t="str">
        <f>IF($AM110=0,"",IFERROR(MATCH($AF110&amp;"|"&amp;UPPER(TRIM($E110)),Lists!$A$6:$A$205,0),0))</f>
        <v/>
      </c>
      <c r="BF110" s="56" t="str">
        <f>IF($AM110=0,"",IFERROR(MATCH($AF110,Settings!$B$14:$B$18,0),IFERROR(MATCH(Settings!$C$6,Settings!$B$14:$B$18,0),1)))</f>
        <v/>
      </c>
      <c r="BG110" s="58" t="str">
        <f>IF($AM110=0,"",IF(NOT(ISNUMBER($I110)),"No stop; ","")&amp;IF(AND(ISNUMBER($H110),ISNUMBER($I110)),IF(OR(AND($F110&lt;&gt;"Short",$I110&gt;=$H110),AND($F110="Short",$I110&lt;=$H110)),"Stop on wrong side; ",""),"")&amp;IF($F110="","No direction; ","")&amp;IF(AND(ISNUMBER(Settings!$C$22),ISNUMBER($V110)),IF($V110&gt;Settings!$C$22,"Risk over max $; ",""),"")&amp;IF(AND(ISNUMBER(Settings!$C$23),ISNUMBER($V110),ISNUMBER($AP110),IFERROR(N(INDEX(Accounts!$E$7:$E$16,MATCH($C110,Accounts!$B$7:$B$16,0))),0)&gt;0),IF($V110&gt;Settings!$C$23*($AP110-N($Q110)),"Risk over max %; ",""),"")&amp;IF(AND(ISNUMBER(Settings!$C$24),ISNUMBER($N110)),IF($N110&gt;Settings!$C$24,"Leverage over max; ",""),"")&amp;IF(AND(ISNUMBER(Settings!$C$27),ISNUMBER($T110)),IF($T110&lt;Settings!$C$27,"R:R below min; ",""),"")&amp;IF(ISNUMBER(Settings!$C$25),IF(COUNTIFS($A$6:$A110,$A110,$AM$6:$AM110,1)&gt;Settings!$C$25,"Over max trades/day; ",""),"")&amp;IF(ISNUMBER(Settings!$C$26),IF(SUMIFS($Q$5:$Q109,$A$5:$A109,$A110)&lt;=-Settings!$C$26,"Traded after daily max loss; ",""),"")&amp;IF(AND($AG110="",NOT(ISNUMBER($O110))),"Symbol not in Instruments; ","")&amp;IF(AND($AH110="",NOT(ISNUMBER($O110))),"Forex cross: type Gross P&amp;L; ",""))</f>
        <v/>
      </c>
      <c r="BH110" s="56">
        <f>IF(ISNUMBER($Q110),1,0)</f>
        <v>0</v>
      </c>
      <c r="BI110" s="56">
        <f>IF($Y110="",0,1)</f>
        <v>0</v>
      </c>
      <c r="BJ110" s="56">
        <f>IF($AB110="",0,1)</f>
        <v>0</v>
      </c>
      <c r="BK110" s="56">
        <f>IF(AND($BH110=1,$W110&lt;&gt;"OK"),1,0)</f>
        <v>0</v>
      </c>
      <c r="BL110" s="55">
        <f>IF(N($AZ110)=0,0,IFERROR(INDEX($AT$6:$AT$1005,MATCH($AZ110,$AY$6:$AY$1005,0)),0))</f>
        <v>1187.10688</v>
      </c>
      <c r="BM110" s="56">
        <f>IF(ISNUMBER(SEARCH("daily max loss",$BG110)),1,0)</f>
        <v>0</v>
      </c>
    </row>
    <row r="111" ht="18" customHeight="1">
      <c r="A111" s="38" t="n"/>
      <c r="B111" s="39" t="n"/>
      <c r="C111" s="40" t="n"/>
      <c r="D111" s="41" t="n"/>
      <c r="E111" s="41" t="n"/>
      <c r="F111" s="41" t="n"/>
      <c r="G111" s="41" t="n"/>
      <c r="H111" s="42" t="n"/>
      <c r="I111" s="42" t="n"/>
      <c r="J111" s="42" t="n"/>
      <c r="K111" s="42" t="n"/>
      <c r="L111" s="41" t="n"/>
      <c r="M111" s="41" t="n"/>
      <c r="N111" s="41" t="n"/>
      <c r="O111" s="43" t="n"/>
      <c r="P111" s="43" t="n"/>
      <c r="Q111" s="44" t="str">
        <f>IF($AM111=0,"",IF(ISNUMBER($AK111),$AK111-N($AL111),""))</f>
        <v/>
      </c>
      <c r="R111" s="45" t="str">
        <f>IF(OR($Q111="",NOT(ISNUMBER($V111))),"",$AK111/$V111)</f>
        <v/>
      </c>
      <c r="S111" s="46" t="str">
        <f>IF($Q111="","",IF(AND(ISNUMBER($R111),ABS(N($R111))&lt;N(Settings!$C$8)),"Scratch",IF($Q111&gt;0,"Win",IF($Q111&lt;0,"Loss","Scratch"))))</f>
        <v/>
      </c>
      <c r="T111" s="47" t="str">
        <f>IF(OR($AM111=0,NOT(ISNUMBER($H111)),NOT(ISNUMBER($I111)),NOT(ISNUMBER($J111))),"",IF($H111=$I111,"",ROUND(ABS($J111-$H111)/ABS($H111-$I111),6)))</f>
        <v/>
      </c>
      <c r="U111" s="48" t="str">
        <f>IF(OR($S111&lt;&gt;"Win",NOT(ISNUMBER($T111)),NOT(ISNUMBER($R111))),"",MAX(0,$T111-$R111))</f>
        <v/>
      </c>
      <c r="V111" s="49" t="str">
        <f>IF(OR($AM111=0,NOT(ISNUMBER($H111)),NOT(ISNUMBER($I111)),NOT(ISNUMBER($G111))),"",IF(OR($AG111="",$AH111=""),"",IF(ROUND(ABS($H111-$I111)*ABS($G111)*$AG111*$AH111,6)=0,"",ROUND(ABS($H111-$I111)*ABS($G111)*$AG111*$AH111,6))))</f>
        <v/>
      </c>
      <c r="W111" s="50" t="str">
        <f>IF($AM111=0,"",IF($BG111="","OK",LEFT($BG111,LEN($BG111)-2)))</f>
        <v/>
      </c>
      <c r="X111" s="41" t="n"/>
      <c r="Y111" s="40" t="n"/>
      <c r="Z111" s="41" t="n"/>
      <c r="AA111" s="41" t="n"/>
      <c r="AB111" s="40" t="n"/>
      <c r="AC111" s="51" t="n"/>
      <c r="AD111" s="51" t="n"/>
      <c r="AE111" s="40" t="n"/>
      <c r="AF111" s="52" t="str">
        <f>IF($AM111=0,"",IF($D111&lt;&gt;"",$D111,IF(IFERROR(INDEX(Accounts!$C$7:$C$16,MATCH($C111,Accounts!$B$7:$B$16,0))&amp;"","")&lt;&gt;"",INDEX(Accounts!$C$7:$C$16,MATCH($C111,Accounts!$B$7:$B$16,0)),Settings!$C$6)))</f>
        <v/>
      </c>
      <c r="AG111" s="53" t="str">
        <f>IF($AM111=0,"",IF(AND($BE111&gt;0,N(INDEX(Instruments!$D$6:$D$205,MAX(1,$BE111)))&gt;0),INDEX(Instruments!$D$6:$D$205,MAX(1,$BE111)),IF(N(INDEX(Settings!$D$14:$D$18,$BF111))&gt;0,INDEX(Settings!$D$14:$D$18,$BF111),"")))</f>
        <v/>
      </c>
      <c r="AH111" s="54" t="str">
        <f>IF($AM111=0,"",IF($AF111&lt;&gt;"Forex",1,IF(MID(UPPER(SUBSTITUTE(TRIM($E111),"/","")),4,3)=UPPER(TRIM(Settings!$C$7)),1,IF(LEFT(UPPER(SUBSTITUTE(TRIM($E111),"/","")),3)=UPPER(TRIM(Settings!$C$7)),IF(AND(ISNUMBER($K111),N($K111)&lt;&gt;0),1/$K111,""),""))))</f>
        <v/>
      </c>
      <c r="AI111" s="55" t="str">
        <f>IF($AM111=0,"",IF(OR(NOT(ISNUMBER($H111)),NOT(ISNUMBER($K111)),NOT(ISNUMBER($G111)),$AG111="",$AH111=""),"",ROUND(($K111-$H111)*IF($F111="Short",-1,1)*$G111*$AG111*$AH111,6)))</f>
        <v/>
      </c>
      <c r="AJ111" s="55" t="str">
        <f>IF($AM111=0,"",IF(INDEX(Settings!$E$14:$E$18,$BF111)="% of notional",IF(OR($AG111="",NOT(ISNUMBER($H111)),NOT(ISNUMBER($G111))),"",ROUND(ABS($H111*$G111*$AG111*N($AH111))*IF($L111="Limit",N(INDEX(Settings!$G$14:$G$18,$BF111)),N(INDEX(Settings!$H$14:$H$18,$BF111)))+IF(ISNUMBER($K111),ABS($K111*$G111*$AG111*N($AH111))*IF($M111="Target",N(INDEX(Settings!$G$14:$G$18,$BF111)),N(INDEX(Settings!$H$14:$H$18,$BF111))),0),6)),IF(NOT(ISNUMBER($G111)),"",ROUND(ABS($G111)*2*IF(AND($BE111&gt;0,ISNUMBER(INDEX(Instruments!$G$6:$G$205,MAX(1,$BE111)))),INDEX(Instruments!$G$6:$G$205,MAX(1,$BE111)),N(INDEX(Settings!$F$14:$F$18,$BF111))),6))))</f>
        <v/>
      </c>
      <c r="AK111" s="55" t="str">
        <f>IF($AM111=0,"",IF(ISNUMBER($O111),$O111,$AI111))</f>
        <v/>
      </c>
      <c r="AL111" s="55" t="str">
        <f>IF($AM111=0,"",IF(ISNUMBER($P111),$P111,N($AJ111)))</f>
        <v/>
      </c>
      <c r="AM111" s="56">
        <f>IF(AND($A111&lt;&gt;"",$E111&lt;&gt;"",OR(AND(ISNUMBER($G111),ISNUMBER($H111),ISNUMBER($K111)),ISNUMBER($O111))),1,0)</f>
        <v>0</v>
      </c>
      <c r="AN111" s="57" t="str">
        <f>IF($A111="","",$A111-WEEKDAY($A111,3))</f>
        <v/>
      </c>
      <c r="AO111" s="56" t="str">
        <f>IF($A111="","",WEEKDAY($A111,2))</f>
        <v/>
      </c>
      <c r="AP111" s="55" t="str">
        <f>IF(OR($AM111=0,$C111=""),"",IFERROR(N(INDEX(Accounts!$E$7:$E$16,MATCH($C111,Accounts!$B$7:$B$16,0))),0)+SUMIFS($Q$6:$Q111,$C$6:$C111,$C111))</f>
        <v/>
      </c>
      <c r="AQ111" s="55" t="str">
        <f>IF(OR($AM111=0,$C111=""),"",SUMIFS($Q$6:$Q$1005,$C$6:$C$1005,$C111,$A$6:$A$1005,$A111))</f>
        <v/>
      </c>
      <c r="AR111" s="55" t="str">
        <f>IF(OR($AM111=0,$C111=""),"",IFERROR(N(INDEX(Accounts!$E$7:$E$16,MATCH($C111,Accounts!$B$7:$B$16,0))),0)+SUMIFS($Q$6:$Q$1005,$C$6:$C$1005,$C111,$A$6:$A$1005,"&lt;="&amp;$A111))</f>
        <v/>
      </c>
      <c r="AS111" s="56">
        <f>IF(OR($AM111=0,$Q111=""),0,IF(AND($A111&gt;=Lists!$W$6,$A111&lt;=Lists!$W$7,OR(Dashboard!$D$6="All accounts",$C111=Dashboard!$D$6),OR(Dashboard!$D$7="All markets",$AF111=Dashboard!$D$7)),1,0))</f>
        <v>0</v>
      </c>
      <c r="AT111" s="55">
        <f>IF($AS111=1,N(AT110)+$Q111,N(AT110))</f>
        <v>1187.10688</v>
      </c>
      <c r="AU111" s="55">
        <f>MAX(N(AU110),$AT111)</f>
        <v>1187.10688</v>
      </c>
      <c r="AV111" s="55">
        <f>$AT111-$AU111</f>
        <v>0</v>
      </c>
      <c r="AW111" s="56">
        <f>IF($AS111=1,IF($S111="Win",N(AW110)+1,IF($S111="Loss",0,N(AW110))),N(AW110))</f>
        <v>5</v>
      </c>
      <c r="AX111" s="56">
        <f>IF($AS111=1,IF($S111="Loss",N(AX110)+1,IF($S111="Win",0,N(AX110))),N(AX110))</f>
        <v>0</v>
      </c>
      <c r="AY111" s="56" t="str">
        <f>IF($AS111=1,COUNTIF($AS$6:$AS111,1),"")</f>
        <v/>
      </c>
      <c r="AZ111" s="56">
        <f>MIN(105,N(Lists!$W$8))</f>
        <v>28</v>
      </c>
      <c r="BA111" s="56">
        <f>IF($AS111=1,IF(COUNTIFS($A$6:$A111,$A111,$AS$6:$AS111,1)=1,1,0),0)</f>
        <v>0</v>
      </c>
      <c r="BB111" s="55" t="str">
        <f>IF($BA111=1,SUMIFS($Q$6:$Q$1005,$A$6:$A$1005,$A111,$AS$6:$AS$1005,1),"")</f>
        <v/>
      </c>
      <c r="BC111" s="56">
        <f>IF(ISNUMBER($R111),1,0)</f>
        <v>0</v>
      </c>
      <c r="BD111" s="55" t="str">
        <f>IF(ISNUMBER($U111),$U111*$V111,"")</f>
        <v/>
      </c>
      <c r="BE111" s="56" t="str">
        <f>IF($AM111=0,"",IFERROR(MATCH($AF111&amp;"|"&amp;UPPER(TRIM($E111)),Lists!$A$6:$A$205,0),0))</f>
        <v/>
      </c>
      <c r="BF111" s="56" t="str">
        <f>IF($AM111=0,"",IFERROR(MATCH($AF111,Settings!$B$14:$B$18,0),IFERROR(MATCH(Settings!$C$6,Settings!$B$14:$B$18,0),1)))</f>
        <v/>
      </c>
      <c r="BG111" s="58" t="str">
        <f>IF($AM111=0,"",IF(NOT(ISNUMBER($I111)),"No stop; ","")&amp;IF(AND(ISNUMBER($H111),ISNUMBER($I111)),IF(OR(AND($F111&lt;&gt;"Short",$I111&gt;=$H111),AND($F111="Short",$I111&lt;=$H111)),"Stop on wrong side; ",""),"")&amp;IF($F111="","No direction; ","")&amp;IF(AND(ISNUMBER(Settings!$C$22),ISNUMBER($V111)),IF($V111&gt;Settings!$C$22,"Risk over max $; ",""),"")&amp;IF(AND(ISNUMBER(Settings!$C$23),ISNUMBER($V111),ISNUMBER($AP111),IFERROR(N(INDEX(Accounts!$E$7:$E$16,MATCH($C111,Accounts!$B$7:$B$16,0))),0)&gt;0),IF($V111&gt;Settings!$C$23*($AP111-N($Q111)),"Risk over max %; ",""),"")&amp;IF(AND(ISNUMBER(Settings!$C$24),ISNUMBER($N111)),IF($N111&gt;Settings!$C$24,"Leverage over max; ",""),"")&amp;IF(AND(ISNUMBER(Settings!$C$27),ISNUMBER($T111)),IF($T111&lt;Settings!$C$27,"R:R below min; ",""),"")&amp;IF(ISNUMBER(Settings!$C$25),IF(COUNTIFS($A$6:$A111,$A111,$AM$6:$AM111,1)&gt;Settings!$C$25,"Over max trades/day; ",""),"")&amp;IF(ISNUMBER(Settings!$C$26),IF(SUMIFS($Q$5:$Q110,$A$5:$A110,$A111)&lt;=-Settings!$C$26,"Traded after daily max loss; ",""),"")&amp;IF(AND($AG111="",NOT(ISNUMBER($O111))),"Symbol not in Instruments; ","")&amp;IF(AND($AH111="",NOT(ISNUMBER($O111))),"Forex cross: type Gross P&amp;L; ",""))</f>
        <v/>
      </c>
      <c r="BH111" s="56">
        <f>IF(ISNUMBER($Q111),1,0)</f>
        <v>0</v>
      </c>
      <c r="BI111" s="56">
        <f>IF($Y111="",0,1)</f>
        <v>0</v>
      </c>
      <c r="BJ111" s="56">
        <f>IF($AB111="",0,1)</f>
        <v>0</v>
      </c>
      <c r="BK111" s="56">
        <f>IF(AND($BH111=1,$W111&lt;&gt;"OK"),1,0)</f>
        <v>0</v>
      </c>
      <c r="BL111" s="55">
        <f>IF(N($AZ111)=0,0,IFERROR(INDEX($AT$6:$AT$1005,MATCH($AZ111,$AY$6:$AY$1005,0)),0))</f>
        <v>1187.10688</v>
      </c>
      <c r="BM111" s="56">
        <f>IF(ISNUMBER(SEARCH("daily max loss",$BG111)),1,0)</f>
        <v>0</v>
      </c>
    </row>
    <row r="112" ht="18" customHeight="1">
      <c r="A112" s="38" t="n"/>
      <c r="B112" s="39" t="n"/>
      <c r="C112" s="40" t="n"/>
      <c r="D112" s="41" t="n"/>
      <c r="E112" s="41" t="n"/>
      <c r="F112" s="41" t="n"/>
      <c r="G112" s="41" t="n"/>
      <c r="H112" s="42" t="n"/>
      <c r="I112" s="42" t="n"/>
      <c r="J112" s="42" t="n"/>
      <c r="K112" s="42" t="n"/>
      <c r="L112" s="41" t="n"/>
      <c r="M112" s="41" t="n"/>
      <c r="N112" s="41" t="n"/>
      <c r="O112" s="43" t="n"/>
      <c r="P112" s="43" t="n"/>
      <c r="Q112" s="44" t="str">
        <f>IF($AM112=0,"",IF(ISNUMBER($AK112),$AK112-N($AL112),""))</f>
        <v/>
      </c>
      <c r="R112" s="45" t="str">
        <f>IF(OR($Q112="",NOT(ISNUMBER($V112))),"",$AK112/$V112)</f>
        <v/>
      </c>
      <c r="S112" s="46" t="str">
        <f>IF($Q112="","",IF(AND(ISNUMBER($R112),ABS(N($R112))&lt;N(Settings!$C$8)),"Scratch",IF($Q112&gt;0,"Win",IF($Q112&lt;0,"Loss","Scratch"))))</f>
        <v/>
      </c>
      <c r="T112" s="47" t="str">
        <f>IF(OR($AM112=0,NOT(ISNUMBER($H112)),NOT(ISNUMBER($I112)),NOT(ISNUMBER($J112))),"",IF($H112=$I112,"",ROUND(ABS($J112-$H112)/ABS($H112-$I112),6)))</f>
        <v/>
      </c>
      <c r="U112" s="48" t="str">
        <f>IF(OR($S112&lt;&gt;"Win",NOT(ISNUMBER($T112)),NOT(ISNUMBER($R112))),"",MAX(0,$T112-$R112))</f>
        <v/>
      </c>
      <c r="V112" s="49" t="str">
        <f>IF(OR($AM112=0,NOT(ISNUMBER($H112)),NOT(ISNUMBER($I112)),NOT(ISNUMBER($G112))),"",IF(OR($AG112="",$AH112=""),"",IF(ROUND(ABS($H112-$I112)*ABS($G112)*$AG112*$AH112,6)=0,"",ROUND(ABS($H112-$I112)*ABS($G112)*$AG112*$AH112,6))))</f>
        <v/>
      </c>
      <c r="W112" s="50" t="str">
        <f>IF($AM112=0,"",IF($BG112="","OK",LEFT($BG112,LEN($BG112)-2)))</f>
        <v/>
      </c>
      <c r="X112" s="41" t="n"/>
      <c r="Y112" s="40" t="n"/>
      <c r="Z112" s="41" t="n"/>
      <c r="AA112" s="41" t="n"/>
      <c r="AB112" s="40" t="n"/>
      <c r="AC112" s="51" t="n"/>
      <c r="AD112" s="51" t="n"/>
      <c r="AE112" s="40" t="n"/>
      <c r="AF112" s="52" t="str">
        <f>IF($AM112=0,"",IF($D112&lt;&gt;"",$D112,IF(IFERROR(INDEX(Accounts!$C$7:$C$16,MATCH($C112,Accounts!$B$7:$B$16,0))&amp;"","")&lt;&gt;"",INDEX(Accounts!$C$7:$C$16,MATCH($C112,Accounts!$B$7:$B$16,0)),Settings!$C$6)))</f>
        <v/>
      </c>
      <c r="AG112" s="53" t="str">
        <f>IF($AM112=0,"",IF(AND($BE112&gt;0,N(INDEX(Instruments!$D$6:$D$205,MAX(1,$BE112)))&gt;0),INDEX(Instruments!$D$6:$D$205,MAX(1,$BE112)),IF(N(INDEX(Settings!$D$14:$D$18,$BF112))&gt;0,INDEX(Settings!$D$14:$D$18,$BF112),"")))</f>
        <v/>
      </c>
      <c r="AH112" s="54" t="str">
        <f>IF($AM112=0,"",IF($AF112&lt;&gt;"Forex",1,IF(MID(UPPER(SUBSTITUTE(TRIM($E112),"/","")),4,3)=UPPER(TRIM(Settings!$C$7)),1,IF(LEFT(UPPER(SUBSTITUTE(TRIM($E112),"/","")),3)=UPPER(TRIM(Settings!$C$7)),IF(AND(ISNUMBER($K112),N($K112)&lt;&gt;0),1/$K112,""),""))))</f>
        <v/>
      </c>
      <c r="AI112" s="55" t="str">
        <f>IF($AM112=0,"",IF(OR(NOT(ISNUMBER($H112)),NOT(ISNUMBER($K112)),NOT(ISNUMBER($G112)),$AG112="",$AH112=""),"",ROUND(($K112-$H112)*IF($F112="Short",-1,1)*$G112*$AG112*$AH112,6)))</f>
        <v/>
      </c>
      <c r="AJ112" s="55" t="str">
        <f>IF($AM112=0,"",IF(INDEX(Settings!$E$14:$E$18,$BF112)="% of notional",IF(OR($AG112="",NOT(ISNUMBER($H112)),NOT(ISNUMBER($G112))),"",ROUND(ABS($H112*$G112*$AG112*N($AH112))*IF($L112="Limit",N(INDEX(Settings!$G$14:$G$18,$BF112)),N(INDEX(Settings!$H$14:$H$18,$BF112)))+IF(ISNUMBER($K112),ABS($K112*$G112*$AG112*N($AH112))*IF($M112="Target",N(INDEX(Settings!$G$14:$G$18,$BF112)),N(INDEX(Settings!$H$14:$H$18,$BF112))),0),6)),IF(NOT(ISNUMBER($G112)),"",ROUND(ABS($G112)*2*IF(AND($BE112&gt;0,ISNUMBER(INDEX(Instruments!$G$6:$G$205,MAX(1,$BE112)))),INDEX(Instruments!$G$6:$G$205,MAX(1,$BE112)),N(INDEX(Settings!$F$14:$F$18,$BF112))),6))))</f>
        <v/>
      </c>
      <c r="AK112" s="55" t="str">
        <f>IF($AM112=0,"",IF(ISNUMBER($O112),$O112,$AI112))</f>
        <v/>
      </c>
      <c r="AL112" s="55" t="str">
        <f>IF($AM112=0,"",IF(ISNUMBER($P112),$P112,N($AJ112)))</f>
        <v/>
      </c>
      <c r="AM112" s="56">
        <f>IF(AND($A112&lt;&gt;"",$E112&lt;&gt;"",OR(AND(ISNUMBER($G112),ISNUMBER($H112),ISNUMBER($K112)),ISNUMBER($O112))),1,0)</f>
        <v>0</v>
      </c>
      <c r="AN112" s="57" t="str">
        <f>IF($A112="","",$A112-WEEKDAY($A112,3))</f>
        <v/>
      </c>
      <c r="AO112" s="56" t="str">
        <f>IF($A112="","",WEEKDAY($A112,2))</f>
        <v/>
      </c>
      <c r="AP112" s="55" t="str">
        <f>IF(OR($AM112=0,$C112=""),"",IFERROR(N(INDEX(Accounts!$E$7:$E$16,MATCH($C112,Accounts!$B$7:$B$16,0))),0)+SUMIFS($Q$6:$Q112,$C$6:$C112,$C112))</f>
        <v/>
      </c>
      <c r="AQ112" s="55" t="str">
        <f>IF(OR($AM112=0,$C112=""),"",SUMIFS($Q$6:$Q$1005,$C$6:$C$1005,$C112,$A$6:$A$1005,$A112))</f>
        <v/>
      </c>
      <c r="AR112" s="55" t="str">
        <f>IF(OR($AM112=0,$C112=""),"",IFERROR(N(INDEX(Accounts!$E$7:$E$16,MATCH($C112,Accounts!$B$7:$B$16,0))),0)+SUMIFS($Q$6:$Q$1005,$C$6:$C$1005,$C112,$A$6:$A$1005,"&lt;="&amp;$A112))</f>
        <v/>
      </c>
      <c r="AS112" s="56">
        <f>IF(OR($AM112=0,$Q112=""),0,IF(AND($A112&gt;=Lists!$W$6,$A112&lt;=Lists!$W$7,OR(Dashboard!$D$6="All accounts",$C112=Dashboard!$D$6),OR(Dashboard!$D$7="All markets",$AF112=Dashboard!$D$7)),1,0))</f>
        <v>0</v>
      </c>
      <c r="AT112" s="55">
        <f>IF($AS112=1,N(AT111)+$Q112,N(AT111))</f>
        <v>1187.10688</v>
      </c>
      <c r="AU112" s="55">
        <f>MAX(N(AU111),$AT112)</f>
        <v>1187.10688</v>
      </c>
      <c r="AV112" s="55">
        <f>$AT112-$AU112</f>
        <v>0</v>
      </c>
      <c r="AW112" s="56">
        <f>IF($AS112=1,IF($S112="Win",N(AW111)+1,IF($S112="Loss",0,N(AW111))),N(AW111))</f>
        <v>5</v>
      </c>
      <c r="AX112" s="56">
        <f>IF($AS112=1,IF($S112="Loss",N(AX111)+1,IF($S112="Win",0,N(AX111))),N(AX111))</f>
        <v>0</v>
      </c>
      <c r="AY112" s="56" t="str">
        <f>IF($AS112=1,COUNTIF($AS$6:$AS112,1),"")</f>
        <v/>
      </c>
      <c r="AZ112" s="56">
        <f>MIN(106,N(Lists!$W$8))</f>
        <v>28</v>
      </c>
      <c r="BA112" s="56">
        <f>IF($AS112=1,IF(COUNTIFS($A$6:$A112,$A112,$AS$6:$AS112,1)=1,1,0),0)</f>
        <v>0</v>
      </c>
      <c r="BB112" s="55" t="str">
        <f>IF($BA112=1,SUMIFS($Q$6:$Q$1005,$A$6:$A$1005,$A112,$AS$6:$AS$1005,1),"")</f>
        <v/>
      </c>
      <c r="BC112" s="56">
        <f>IF(ISNUMBER($R112),1,0)</f>
        <v>0</v>
      </c>
      <c r="BD112" s="55" t="str">
        <f>IF(ISNUMBER($U112),$U112*$V112,"")</f>
        <v/>
      </c>
      <c r="BE112" s="56" t="str">
        <f>IF($AM112=0,"",IFERROR(MATCH($AF112&amp;"|"&amp;UPPER(TRIM($E112)),Lists!$A$6:$A$205,0),0))</f>
        <v/>
      </c>
      <c r="BF112" s="56" t="str">
        <f>IF($AM112=0,"",IFERROR(MATCH($AF112,Settings!$B$14:$B$18,0),IFERROR(MATCH(Settings!$C$6,Settings!$B$14:$B$18,0),1)))</f>
        <v/>
      </c>
      <c r="BG112" s="58" t="str">
        <f>IF($AM112=0,"",IF(NOT(ISNUMBER($I112)),"No stop; ","")&amp;IF(AND(ISNUMBER($H112),ISNUMBER($I112)),IF(OR(AND($F112&lt;&gt;"Short",$I112&gt;=$H112),AND($F112="Short",$I112&lt;=$H112)),"Stop on wrong side; ",""),"")&amp;IF($F112="","No direction; ","")&amp;IF(AND(ISNUMBER(Settings!$C$22),ISNUMBER($V112)),IF($V112&gt;Settings!$C$22,"Risk over max $; ",""),"")&amp;IF(AND(ISNUMBER(Settings!$C$23),ISNUMBER($V112),ISNUMBER($AP112),IFERROR(N(INDEX(Accounts!$E$7:$E$16,MATCH($C112,Accounts!$B$7:$B$16,0))),0)&gt;0),IF($V112&gt;Settings!$C$23*($AP112-N($Q112)),"Risk over max %; ",""),"")&amp;IF(AND(ISNUMBER(Settings!$C$24),ISNUMBER($N112)),IF($N112&gt;Settings!$C$24,"Leverage over max; ",""),"")&amp;IF(AND(ISNUMBER(Settings!$C$27),ISNUMBER($T112)),IF($T112&lt;Settings!$C$27,"R:R below min; ",""),"")&amp;IF(ISNUMBER(Settings!$C$25),IF(COUNTIFS($A$6:$A112,$A112,$AM$6:$AM112,1)&gt;Settings!$C$25,"Over max trades/day; ",""),"")&amp;IF(ISNUMBER(Settings!$C$26),IF(SUMIFS($Q$5:$Q111,$A$5:$A111,$A112)&lt;=-Settings!$C$26,"Traded after daily max loss; ",""),"")&amp;IF(AND($AG112="",NOT(ISNUMBER($O112))),"Symbol not in Instruments; ","")&amp;IF(AND($AH112="",NOT(ISNUMBER($O112))),"Forex cross: type Gross P&amp;L; ",""))</f>
        <v/>
      </c>
      <c r="BH112" s="56">
        <f>IF(ISNUMBER($Q112),1,0)</f>
        <v>0</v>
      </c>
      <c r="BI112" s="56">
        <f>IF($Y112="",0,1)</f>
        <v>0</v>
      </c>
      <c r="BJ112" s="56">
        <f>IF($AB112="",0,1)</f>
        <v>0</v>
      </c>
      <c r="BK112" s="56">
        <f>IF(AND($BH112=1,$W112&lt;&gt;"OK"),1,0)</f>
        <v>0</v>
      </c>
      <c r="BL112" s="55">
        <f>IF(N($AZ112)=0,0,IFERROR(INDEX($AT$6:$AT$1005,MATCH($AZ112,$AY$6:$AY$1005,0)),0))</f>
        <v>1187.10688</v>
      </c>
      <c r="BM112" s="56">
        <f>IF(ISNUMBER(SEARCH("daily max loss",$BG112)),1,0)</f>
        <v>0</v>
      </c>
    </row>
    <row r="113" ht="18" customHeight="1">
      <c r="A113" s="38" t="n"/>
      <c r="B113" s="39" t="n"/>
      <c r="C113" s="40" t="n"/>
      <c r="D113" s="41" t="n"/>
      <c r="E113" s="41" t="n"/>
      <c r="F113" s="41" t="n"/>
      <c r="G113" s="41" t="n"/>
      <c r="H113" s="42" t="n"/>
      <c r="I113" s="42" t="n"/>
      <c r="J113" s="42" t="n"/>
      <c r="K113" s="42" t="n"/>
      <c r="L113" s="41" t="n"/>
      <c r="M113" s="41" t="n"/>
      <c r="N113" s="41" t="n"/>
      <c r="O113" s="43" t="n"/>
      <c r="P113" s="43" t="n"/>
      <c r="Q113" s="44" t="str">
        <f>IF($AM113=0,"",IF(ISNUMBER($AK113),$AK113-N($AL113),""))</f>
        <v/>
      </c>
      <c r="R113" s="45" t="str">
        <f>IF(OR($Q113="",NOT(ISNUMBER($V113))),"",$AK113/$V113)</f>
        <v/>
      </c>
      <c r="S113" s="46" t="str">
        <f>IF($Q113="","",IF(AND(ISNUMBER($R113),ABS(N($R113))&lt;N(Settings!$C$8)),"Scratch",IF($Q113&gt;0,"Win",IF($Q113&lt;0,"Loss","Scratch"))))</f>
        <v/>
      </c>
      <c r="T113" s="47" t="str">
        <f>IF(OR($AM113=0,NOT(ISNUMBER($H113)),NOT(ISNUMBER($I113)),NOT(ISNUMBER($J113))),"",IF($H113=$I113,"",ROUND(ABS($J113-$H113)/ABS($H113-$I113),6)))</f>
        <v/>
      </c>
      <c r="U113" s="48" t="str">
        <f>IF(OR($S113&lt;&gt;"Win",NOT(ISNUMBER($T113)),NOT(ISNUMBER($R113))),"",MAX(0,$T113-$R113))</f>
        <v/>
      </c>
      <c r="V113" s="49" t="str">
        <f>IF(OR($AM113=0,NOT(ISNUMBER($H113)),NOT(ISNUMBER($I113)),NOT(ISNUMBER($G113))),"",IF(OR($AG113="",$AH113=""),"",IF(ROUND(ABS($H113-$I113)*ABS($G113)*$AG113*$AH113,6)=0,"",ROUND(ABS($H113-$I113)*ABS($G113)*$AG113*$AH113,6))))</f>
        <v/>
      </c>
      <c r="W113" s="50" t="str">
        <f>IF($AM113=0,"",IF($BG113="","OK",LEFT($BG113,LEN($BG113)-2)))</f>
        <v/>
      </c>
      <c r="X113" s="41" t="n"/>
      <c r="Y113" s="40" t="n"/>
      <c r="Z113" s="41" t="n"/>
      <c r="AA113" s="41" t="n"/>
      <c r="AB113" s="40" t="n"/>
      <c r="AC113" s="51" t="n"/>
      <c r="AD113" s="51" t="n"/>
      <c r="AE113" s="40" t="n"/>
      <c r="AF113" s="52" t="str">
        <f>IF($AM113=0,"",IF($D113&lt;&gt;"",$D113,IF(IFERROR(INDEX(Accounts!$C$7:$C$16,MATCH($C113,Accounts!$B$7:$B$16,0))&amp;"","")&lt;&gt;"",INDEX(Accounts!$C$7:$C$16,MATCH($C113,Accounts!$B$7:$B$16,0)),Settings!$C$6)))</f>
        <v/>
      </c>
      <c r="AG113" s="53" t="str">
        <f>IF($AM113=0,"",IF(AND($BE113&gt;0,N(INDEX(Instruments!$D$6:$D$205,MAX(1,$BE113)))&gt;0),INDEX(Instruments!$D$6:$D$205,MAX(1,$BE113)),IF(N(INDEX(Settings!$D$14:$D$18,$BF113))&gt;0,INDEX(Settings!$D$14:$D$18,$BF113),"")))</f>
        <v/>
      </c>
      <c r="AH113" s="54" t="str">
        <f>IF($AM113=0,"",IF($AF113&lt;&gt;"Forex",1,IF(MID(UPPER(SUBSTITUTE(TRIM($E113),"/","")),4,3)=UPPER(TRIM(Settings!$C$7)),1,IF(LEFT(UPPER(SUBSTITUTE(TRIM($E113),"/","")),3)=UPPER(TRIM(Settings!$C$7)),IF(AND(ISNUMBER($K113),N($K113)&lt;&gt;0),1/$K113,""),""))))</f>
        <v/>
      </c>
      <c r="AI113" s="55" t="str">
        <f>IF($AM113=0,"",IF(OR(NOT(ISNUMBER($H113)),NOT(ISNUMBER($K113)),NOT(ISNUMBER($G113)),$AG113="",$AH113=""),"",ROUND(($K113-$H113)*IF($F113="Short",-1,1)*$G113*$AG113*$AH113,6)))</f>
        <v/>
      </c>
      <c r="AJ113" s="55" t="str">
        <f>IF($AM113=0,"",IF(INDEX(Settings!$E$14:$E$18,$BF113)="% of notional",IF(OR($AG113="",NOT(ISNUMBER($H113)),NOT(ISNUMBER($G113))),"",ROUND(ABS($H113*$G113*$AG113*N($AH113))*IF($L113="Limit",N(INDEX(Settings!$G$14:$G$18,$BF113)),N(INDEX(Settings!$H$14:$H$18,$BF113)))+IF(ISNUMBER($K113),ABS($K113*$G113*$AG113*N($AH113))*IF($M113="Target",N(INDEX(Settings!$G$14:$G$18,$BF113)),N(INDEX(Settings!$H$14:$H$18,$BF113))),0),6)),IF(NOT(ISNUMBER($G113)),"",ROUND(ABS($G113)*2*IF(AND($BE113&gt;0,ISNUMBER(INDEX(Instruments!$G$6:$G$205,MAX(1,$BE113)))),INDEX(Instruments!$G$6:$G$205,MAX(1,$BE113)),N(INDEX(Settings!$F$14:$F$18,$BF113))),6))))</f>
        <v/>
      </c>
      <c r="AK113" s="55" t="str">
        <f>IF($AM113=0,"",IF(ISNUMBER($O113),$O113,$AI113))</f>
        <v/>
      </c>
      <c r="AL113" s="55" t="str">
        <f>IF($AM113=0,"",IF(ISNUMBER($P113),$P113,N($AJ113)))</f>
        <v/>
      </c>
      <c r="AM113" s="56">
        <f>IF(AND($A113&lt;&gt;"",$E113&lt;&gt;"",OR(AND(ISNUMBER($G113),ISNUMBER($H113),ISNUMBER($K113)),ISNUMBER($O113))),1,0)</f>
        <v>0</v>
      </c>
      <c r="AN113" s="57" t="str">
        <f>IF($A113="","",$A113-WEEKDAY($A113,3))</f>
        <v/>
      </c>
      <c r="AO113" s="56" t="str">
        <f>IF($A113="","",WEEKDAY($A113,2))</f>
        <v/>
      </c>
      <c r="AP113" s="55" t="str">
        <f>IF(OR($AM113=0,$C113=""),"",IFERROR(N(INDEX(Accounts!$E$7:$E$16,MATCH($C113,Accounts!$B$7:$B$16,0))),0)+SUMIFS($Q$6:$Q113,$C$6:$C113,$C113))</f>
        <v/>
      </c>
      <c r="AQ113" s="55" t="str">
        <f>IF(OR($AM113=0,$C113=""),"",SUMIFS($Q$6:$Q$1005,$C$6:$C$1005,$C113,$A$6:$A$1005,$A113))</f>
        <v/>
      </c>
      <c r="AR113" s="55" t="str">
        <f>IF(OR($AM113=0,$C113=""),"",IFERROR(N(INDEX(Accounts!$E$7:$E$16,MATCH($C113,Accounts!$B$7:$B$16,0))),0)+SUMIFS($Q$6:$Q$1005,$C$6:$C$1005,$C113,$A$6:$A$1005,"&lt;="&amp;$A113))</f>
        <v/>
      </c>
      <c r="AS113" s="56">
        <f>IF(OR($AM113=0,$Q113=""),0,IF(AND($A113&gt;=Lists!$W$6,$A113&lt;=Lists!$W$7,OR(Dashboard!$D$6="All accounts",$C113=Dashboard!$D$6),OR(Dashboard!$D$7="All markets",$AF113=Dashboard!$D$7)),1,0))</f>
        <v>0</v>
      </c>
      <c r="AT113" s="55">
        <f>IF($AS113=1,N(AT112)+$Q113,N(AT112))</f>
        <v>1187.10688</v>
      </c>
      <c r="AU113" s="55">
        <f>MAX(N(AU112),$AT113)</f>
        <v>1187.10688</v>
      </c>
      <c r="AV113" s="55">
        <f>$AT113-$AU113</f>
        <v>0</v>
      </c>
      <c r="AW113" s="56">
        <f>IF($AS113=1,IF($S113="Win",N(AW112)+1,IF($S113="Loss",0,N(AW112))),N(AW112))</f>
        <v>5</v>
      </c>
      <c r="AX113" s="56">
        <f>IF($AS113=1,IF($S113="Loss",N(AX112)+1,IF($S113="Win",0,N(AX112))),N(AX112))</f>
        <v>0</v>
      </c>
      <c r="AY113" s="56" t="str">
        <f>IF($AS113=1,COUNTIF($AS$6:$AS113,1),"")</f>
        <v/>
      </c>
      <c r="AZ113" s="56">
        <f>MIN(107,N(Lists!$W$8))</f>
        <v>28</v>
      </c>
      <c r="BA113" s="56">
        <f>IF($AS113=1,IF(COUNTIFS($A$6:$A113,$A113,$AS$6:$AS113,1)=1,1,0),0)</f>
        <v>0</v>
      </c>
      <c r="BB113" s="55" t="str">
        <f>IF($BA113=1,SUMIFS($Q$6:$Q$1005,$A$6:$A$1005,$A113,$AS$6:$AS$1005,1),"")</f>
        <v/>
      </c>
      <c r="BC113" s="56">
        <f>IF(ISNUMBER($R113),1,0)</f>
        <v>0</v>
      </c>
      <c r="BD113" s="55" t="str">
        <f>IF(ISNUMBER($U113),$U113*$V113,"")</f>
        <v/>
      </c>
      <c r="BE113" s="56" t="str">
        <f>IF($AM113=0,"",IFERROR(MATCH($AF113&amp;"|"&amp;UPPER(TRIM($E113)),Lists!$A$6:$A$205,0),0))</f>
        <v/>
      </c>
      <c r="BF113" s="56" t="str">
        <f>IF($AM113=0,"",IFERROR(MATCH($AF113,Settings!$B$14:$B$18,0),IFERROR(MATCH(Settings!$C$6,Settings!$B$14:$B$18,0),1)))</f>
        <v/>
      </c>
      <c r="BG113" s="58" t="str">
        <f>IF($AM113=0,"",IF(NOT(ISNUMBER($I113)),"No stop; ","")&amp;IF(AND(ISNUMBER($H113),ISNUMBER($I113)),IF(OR(AND($F113&lt;&gt;"Short",$I113&gt;=$H113),AND($F113="Short",$I113&lt;=$H113)),"Stop on wrong side; ",""),"")&amp;IF($F113="","No direction; ","")&amp;IF(AND(ISNUMBER(Settings!$C$22),ISNUMBER($V113)),IF($V113&gt;Settings!$C$22,"Risk over max $; ",""),"")&amp;IF(AND(ISNUMBER(Settings!$C$23),ISNUMBER($V113),ISNUMBER($AP113),IFERROR(N(INDEX(Accounts!$E$7:$E$16,MATCH($C113,Accounts!$B$7:$B$16,0))),0)&gt;0),IF($V113&gt;Settings!$C$23*($AP113-N($Q113)),"Risk over max %; ",""),"")&amp;IF(AND(ISNUMBER(Settings!$C$24),ISNUMBER($N113)),IF($N113&gt;Settings!$C$24,"Leverage over max; ",""),"")&amp;IF(AND(ISNUMBER(Settings!$C$27),ISNUMBER($T113)),IF($T113&lt;Settings!$C$27,"R:R below min; ",""),"")&amp;IF(ISNUMBER(Settings!$C$25),IF(COUNTIFS($A$6:$A113,$A113,$AM$6:$AM113,1)&gt;Settings!$C$25,"Over max trades/day; ",""),"")&amp;IF(ISNUMBER(Settings!$C$26),IF(SUMIFS($Q$5:$Q112,$A$5:$A112,$A113)&lt;=-Settings!$C$26,"Traded after daily max loss; ",""),"")&amp;IF(AND($AG113="",NOT(ISNUMBER($O113))),"Symbol not in Instruments; ","")&amp;IF(AND($AH113="",NOT(ISNUMBER($O113))),"Forex cross: type Gross P&amp;L; ",""))</f>
        <v/>
      </c>
      <c r="BH113" s="56">
        <f>IF(ISNUMBER($Q113),1,0)</f>
        <v>0</v>
      </c>
      <c r="BI113" s="56">
        <f>IF($Y113="",0,1)</f>
        <v>0</v>
      </c>
      <c r="BJ113" s="56">
        <f>IF($AB113="",0,1)</f>
        <v>0</v>
      </c>
      <c r="BK113" s="56">
        <f>IF(AND($BH113=1,$W113&lt;&gt;"OK"),1,0)</f>
        <v>0</v>
      </c>
      <c r="BL113" s="55">
        <f>IF(N($AZ113)=0,0,IFERROR(INDEX($AT$6:$AT$1005,MATCH($AZ113,$AY$6:$AY$1005,0)),0))</f>
        <v>1187.10688</v>
      </c>
      <c r="BM113" s="56">
        <f>IF(ISNUMBER(SEARCH("daily max loss",$BG113)),1,0)</f>
        <v>0</v>
      </c>
    </row>
    <row r="114" ht="18" customHeight="1">
      <c r="A114" s="38" t="n"/>
      <c r="B114" s="39" t="n"/>
      <c r="C114" s="40" t="n"/>
      <c r="D114" s="41" t="n"/>
      <c r="E114" s="41" t="n"/>
      <c r="F114" s="41" t="n"/>
      <c r="G114" s="41" t="n"/>
      <c r="H114" s="42" t="n"/>
      <c r="I114" s="42" t="n"/>
      <c r="J114" s="42" t="n"/>
      <c r="K114" s="42" t="n"/>
      <c r="L114" s="41" t="n"/>
      <c r="M114" s="41" t="n"/>
      <c r="N114" s="41" t="n"/>
      <c r="O114" s="43" t="n"/>
      <c r="P114" s="43" t="n"/>
      <c r="Q114" s="44" t="str">
        <f>IF($AM114=0,"",IF(ISNUMBER($AK114),$AK114-N($AL114),""))</f>
        <v/>
      </c>
      <c r="R114" s="45" t="str">
        <f>IF(OR($Q114="",NOT(ISNUMBER($V114))),"",$AK114/$V114)</f>
        <v/>
      </c>
      <c r="S114" s="46" t="str">
        <f>IF($Q114="","",IF(AND(ISNUMBER($R114),ABS(N($R114))&lt;N(Settings!$C$8)),"Scratch",IF($Q114&gt;0,"Win",IF($Q114&lt;0,"Loss","Scratch"))))</f>
        <v/>
      </c>
      <c r="T114" s="47" t="str">
        <f>IF(OR($AM114=0,NOT(ISNUMBER($H114)),NOT(ISNUMBER($I114)),NOT(ISNUMBER($J114))),"",IF($H114=$I114,"",ROUND(ABS($J114-$H114)/ABS($H114-$I114),6)))</f>
        <v/>
      </c>
      <c r="U114" s="48" t="str">
        <f>IF(OR($S114&lt;&gt;"Win",NOT(ISNUMBER($T114)),NOT(ISNUMBER($R114))),"",MAX(0,$T114-$R114))</f>
        <v/>
      </c>
      <c r="V114" s="49" t="str">
        <f>IF(OR($AM114=0,NOT(ISNUMBER($H114)),NOT(ISNUMBER($I114)),NOT(ISNUMBER($G114))),"",IF(OR($AG114="",$AH114=""),"",IF(ROUND(ABS($H114-$I114)*ABS($G114)*$AG114*$AH114,6)=0,"",ROUND(ABS($H114-$I114)*ABS($G114)*$AG114*$AH114,6))))</f>
        <v/>
      </c>
      <c r="W114" s="50" t="str">
        <f>IF($AM114=0,"",IF($BG114="","OK",LEFT($BG114,LEN($BG114)-2)))</f>
        <v/>
      </c>
      <c r="X114" s="41" t="n"/>
      <c r="Y114" s="40" t="n"/>
      <c r="Z114" s="41" t="n"/>
      <c r="AA114" s="41" t="n"/>
      <c r="AB114" s="40" t="n"/>
      <c r="AC114" s="51" t="n"/>
      <c r="AD114" s="51" t="n"/>
      <c r="AE114" s="40" t="n"/>
      <c r="AF114" s="52" t="str">
        <f>IF($AM114=0,"",IF($D114&lt;&gt;"",$D114,IF(IFERROR(INDEX(Accounts!$C$7:$C$16,MATCH($C114,Accounts!$B$7:$B$16,0))&amp;"","")&lt;&gt;"",INDEX(Accounts!$C$7:$C$16,MATCH($C114,Accounts!$B$7:$B$16,0)),Settings!$C$6)))</f>
        <v/>
      </c>
      <c r="AG114" s="53" t="str">
        <f>IF($AM114=0,"",IF(AND($BE114&gt;0,N(INDEX(Instruments!$D$6:$D$205,MAX(1,$BE114)))&gt;0),INDEX(Instruments!$D$6:$D$205,MAX(1,$BE114)),IF(N(INDEX(Settings!$D$14:$D$18,$BF114))&gt;0,INDEX(Settings!$D$14:$D$18,$BF114),"")))</f>
        <v/>
      </c>
      <c r="AH114" s="54" t="str">
        <f>IF($AM114=0,"",IF($AF114&lt;&gt;"Forex",1,IF(MID(UPPER(SUBSTITUTE(TRIM($E114),"/","")),4,3)=UPPER(TRIM(Settings!$C$7)),1,IF(LEFT(UPPER(SUBSTITUTE(TRIM($E114),"/","")),3)=UPPER(TRIM(Settings!$C$7)),IF(AND(ISNUMBER($K114),N($K114)&lt;&gt;0),1/$K114,""),""))))</f>
        <v/>
      </c>
      <c r="AI114" s="55" t="str">
        <f>IF($AM114=0,"",IF(OR(NOT(ISNUMBER($H114)),NOT(ISNUMBER($K114)),NOT(ISNUMBER($G114)),$AG114="",$AH114=""),"",ROUND(($K114-$H114)*IF($F114="Short",-1,1)*$G114*$AG114*$AH114,6)))</f>
        <v/>
      </c>
      <c r="AJ114" s="55" t="str">
        <f>IF($AM114=0,"",IF(INDEX(Settings!$E$14:$E$18,$BF114)="% of notional",IF(OR($AG114="",NOT(ISNUMBER($H114)),NOT(ISNUMBER($G114))),"",ROUND(ABS($H114*$G114*$AG114*N($AH114))*IF($L114="Limit",N(INDEX(Settings!$G$14:$G$18,$BF114)),N(INDEX(Settings!$H$14:$H$18,$BF114)))+IF(ISNUMBER($K114),ABS($K114*$G114*$AG114*N($AH114))*IF($M114="Target",N(INDEX(Settings!$G$14:$G$18,$BF114)),N(INDEX(Settings!$H$14:$H$18,$BF114))),0),6)),IF(NOT(ISNUMBER($G114)),"",ROUND(ABS($G114)*2*IF(AND($BE114&gt;0,ISNUMBER(INDEX(Instruments!$G$6:$G$205,MAX(1,$BE114)))),INDEX(Instruments!$G$6:$G$205,MAX(1,$BE114)),N(INDEX(Settings!$F$14:$F$18,$BF114))),6))))</f>
        <v/>
      </c>
      <c r="AK114" s="55" t="str">
        <f>IF($AM114=0,"",IF(ISNUMBER($O114),$O114,$AI114))</f>
        <v/>
      </c>
      <c r="AL114" s="55" t="str">
        <f>IF($AM114=0,"",IF(ISNUMBER($P114),$P114,N($AJ114)))</f>
        <v/>
      </c>
      <c r="AM114" s="56">
        <f>IF(AND($A114&lt;&gt;"",$E114&lt;&gt;"",OR(AND(ISNUMBER($G114),ISNUMBER($H114),ISNUMBER($K114)),ISNUMBER($O114))),1,0)</f>
        <v>0</v>
      </c>
      <c r="AN114" s="57" t="str">
        <f>IF($A114="","",$A114-WEEKDAY($A114,3))</f>
        <v/>
      </c>
      <c r="AO114" s="56" t="str">
        <f>IF($A114="","",WEEKDAY($A114,2))</f>
        <v/>
      </c>
      <c r="AP114" s="55" t="str">
        <f>IF(OR($AM114=0,$C114=""),"",IFERROR(N(INDEX(Accounts!$E$7:$E$16,MATCH($C114,Accounts!$B$7:$B$16,0))),0)+SUMIFS($Q$6:$Q114,$C$6:$C114,$C114))</f>
        <v/>
      </c>
      <c r="AQ114" s="55" t="str">
        <f>IF(OR($AM114=0,$C114=""),"",SUMIFS($Q$6:$Q$1005,$C$6:$C$1005,$C114,$A$6:$A$1005,$A114))</f>
        <v/>
      </c>
      <c r="AR114" s="55" t="str">
        <f>IF(OR($AM114=0,$C114=""),"",IFERROR(N(INDEX(Accounts!$E$7:$E$16,MATCH($C114,Accounts!$B$7:$B$16,0))),0)+SUMIFS($Q$6:$Q$1005,$C$6:$C$1005,$C114,$A$6:$A$1005,"&lt;="&amp;$A114))</f>
        <v/>
      </c>
      <c r="AS114" s="56">
        <f>IF(OR($AM114=0,$Q114=""),0,IF(AND($A114&gt;=Lists!$W$6,$A114&lt;=Lists!$W$7,OR(Dashboard!$D$6="All accounts",$C114=Dashboard!$D$6),OR(Dashboard!$D$7="All markets",$AF114=Dashboard!$D$7)),1,0))</f>
        <v>0</v>
      </c>
      <c r="AT114" s="55">
        <f>IF($AS114=1,N(AT113)+$Q114,N(AT113))</f>
        <v>1187.10688</v>
      </c>
      <c r="AU114" s="55">
        <f>MAX(N(AU113),$AT114)</f>
        <v>1187.10688</v>
      </c>
      <c r="AV114" s="55">
        <f>$AT114-$AU114</f>
        <v>0</v>
      </c>
      <c r="AW114" s="56">
        <f>IF($AS114=1,IF($S114="Win",N(AW113)+1,IF($S114="Loss",0,N(AW113))),N(AW113))</f>
        <v>5</v>
      </c>
      <c r="AX114" s="56">
        <f>IF($AS114=1,IF($S114="Loss",N(AX113)+1,IF($S114="Win",0,N(AX113))),N(AX113))</f>
        <v>0</v>
      </c>
      <c r="AY114" s="56" t="str">
        <f>IF($AS114=1,COUNTIF($AS$6:$AS114,1),"")</f>
        <v/>
      </c>
      <c r="AZ114" s="56">
        <f>MIN(108,N(Lists!$W$8))</f>
        <v>28</v>
      </c>
      <c r="BA114" s="56">
        <f>IF($AS114=1,IF(COUNTIFS($A$6:$A114,$A114,$AS$6:$AS114,1)=1,1,0),0)</f>
        <v>0</v>
      </c>
      <c r="BB114" s="55" t="str">
        <f>IF($BA114=1,SUMIFS($Q$6:$Q$1005,$A$6:$A$1005,$A114,$AS$6:$AS$1005,1),"")</f>
        <v/>
      </c>
      <c r="BC114" s="56">
        <f>IF(ISNUMBER($R114),1,0)</f>
        <v>0</v>
      </c>
      <c r="BD114" s="55" t="str">
        <f>IF(ISNUMBER($U114),$U114*$V114,"")</f>
        <v/>
      </c>
      <c r="BE114" s="56" t="str">
        <f>IF($AM114=0,"",IFERROR(MATCH($AF114&amp;"|"&amp;UPPER(TRIM($E114)),Lists!$A$6:$A$205,0),0))</f>
        <v/>
      </c>
      <c r="BF114" s="56" t="str">
        <f>IF($AM114=0,"",IFERROR(MATCH($AF114,Settings!$B$14:$B$18,0),IFERROR(MATCH(Settings!$C$6,Settings!$B$14:$B$18,0),1)))</f>
        <v/>
      </c>
      <c r="BG114" s="58" t="str">
        <f>IF($AM114=0,"",IF(NOT(ISNUMBER($I114)),"No stop; ","")&amp;IF(AND(ISNUMBER($H114),ISNUMBER($I114)),IF(OR(AND($F114&lt;&gt;"Short",$I114&gt;=$H114),AND($F114="Short",$I114&lt;=$H114)),"Stop on wrong side; ",""),"")&amp;IF($F114="","No direction; ","")&amp;IF(AND(ISNUMBER(Settings!$C$22),ISNUMBER($V114)),IF($V114&gt;Settings!$C$22,"Risk over max $; ",""),"")&amp;IF(AND(ISNUMBER(Settings!$C$23),ISNUMBER($V114),ISNUMBER($AP114),IFERROR(N(INDEX(Accounts!$E$7:$E$16,MATCH($C114,Accounts!$B$7:$B$16,0))),0)&gt;0),IF($V114&gt;Settings!$C$23*($AP114-N($Q114)),"Risk over max %; ",""),"")&amp;IF(AND(ISNUMBER(Settings!$C$24),ISNUMBER($N114)),IF($N114&gt;Settings!$C$24,"Leverage over max; ",""),"")&amp;IF(AND(ISNUMBER(Settings!$C$27),ISNUMBER($T114)),IF($T114&lt;Settings!$C$27,"R:R below min; ",""),"")&amp;IF(ISNUMBER(Settings!$C$25),IF(COUNTIFS($A$6:$A114,$A114,$AM$6:$AM114,1)&gt;Settings!$C$25,"Over max trades/day; ",""),"")&amp;IF(ISNUMBER(Settings!$C$26),IF(SUMIFS($Q$5:$Q113,$A$5:$A113,$A114)&lt;=-Settings!$C$26,"Traded after daily max loss; ",""),"")&amp;IF(AND($AG114="",NOT(ISNUMBER($O114))),"Symbol not in Instruments; ","")&amp;IF(AND($AH114="",NOT(ISNUMBER($O114))),"Forex cross: type Gross P&amp;L; ",""))</f>
        <v/>
      </c>
      <c r="BH114" s="56">
        <f>IF(ISNUMBER($Q114),1,0)</f>
        <v>0</v>
      </c>
      <c r="BI114" s="56">
        <f>IF($Y114="",0,1)</f>
        <v>0</v>
      </c>
      <c r="BJ114" s="56">
        <f>IF($AB114="",0,1)</f>
        <v>0</v>
      </c>
      <c r="BK114" s="56">
        <f>IF(AND($BH114=1,$W114&lt;&gt;"OK"),1,0)</f>
        <v>0</v>
      </c>
      <c r="BL114" s="55">
        <f>IF(N($AZ114)=0,0,IFERROR(INDEX($AT$6:$AT$1005,MATCH($AZ114,$AY$6:$AY$1005,0)),0))</f>
        <v>1187.10688</v>
      </c>
      <c r="BM114" s="56">
        <f>IF(ISNUMBER(SEARCH("daily max loss",$BG114)),1,0)</f>
        <v>0</v>
      </c>
    </row>
    <row r="115" ht="18" customHeight="1">
      <c r="A115" s="38" t="n"/>
      <c r="B115" s="39" t="n"/>
      <c r="C115" s="40" t="n"/>
      <c r="D115" s="41" t="n"/>
      <c r="E115" s="41" t="n"/>
      <c r="F115" s="41" t="n"/>
      <c r="G115" s="41" t="n"/>
      <c r="H115" s="42" t="n"/>
      <c r="I115" s="42" t="n"/>
      <c r="J115" s="42" t="n"/>
      <c r="K115" s="42" t="n"/>
      <c r="L115" s="41" t="n"/>
      <c r="M115" s="41" t="n"/>
      <c r="N115" s="41" t="n"/>
      <c r="O115" s="43" t="n"/>
      <c r="P115" s="43" t="n"/>
      <c r="Q115" s="44" t="str">
        <f>IF($AM115=0,"",IF(ISNUMBER($AK115),$AK115-N($AL115),""))</f>
        <v/>
      </c>
      <c r="R115" s="45" t="str">
        <f>IF(OR($Q115="",NOT(ISNUMBER($V115))),"",$AK115/$V115)</f>
        <v/>
      </c>
      <c r="S115" s="46" t="str">
        <f>IF($Q115="","",IF(AND(ISNUMBER($R115),ABS(N($R115))&lt;N(Settings!$C$8)),"Scratch",IF($Q115&gt;0,"Win",IF($Q115&lt;0,"Loss","Scratch"))))</f>
        <v/>
      </c>
      <c r="T115" s="47" t="str">
        <f>IF(OR($AM115=0,NOT(ISNUMBER($H115)),NOT(ISNUMBER($I115)),NOT(ISNUMBER($J115))),"",IF($H115=$I115,"",ROUND(ABS($J115-$H115)/ABS($H115-$I115),6)))</f>
        <v/>
      </c>
      <c r="U115" s="48" t="str">
        <f>IF(OR($S115&lt;&gt;"Win",NOT(ISNUMBER($T115)),NOT(ISNUMBER($R115))),"",MAX(0,$T115-$R115))</f>
        <v/>
      </c>
      <c r="V115" s="49" t="str">
        <f>IF(OR($AM115=0,NOT(ISNUMBER($H115)),NOT(ISNUMBER($I115)),NOT(ISNUMBER($G115))),"",IF(OR($AG115="",$AH115=""),"",IF(ROUND(ABS($H115-$I115)*ABS($G115)*$AG115*$AH115,6)=0,"",ROUND(ABS($H115-$I115)*ABS($G115)*$AG115*$AH115,6))))</f>
        <v/>
      </c>
      <c r="W115" s="50" t="str">
        <f>IF($AM115=0,"",IF($BG115="","OK",LEFT($BG115,LEN($BG115)-2)))</f>
        <v/>
      </c>
      <c r="X115" s="41" t="n"/>
      <c r="Y115" s="40" t="n"/>
      <c r="Z115" s="41" t="n"/>
      <c r="AA115" s="41" t="n"/>
      <c r="AB115" s="40" t="n"/>
      <c r="AC115" s="51" t="n"/>
      <c r="AD115" s="51" t="n"/>
      <c r="AE115" s="40" t="n"/>
      <c r="AF115" s="52" t="str">
        <f>IF($AM115=0,"",IF($D115&lt;&gt;"",$D115,IF(IFERROR(INDEX(Accounts!$C$7:$C$16,MATCH($C115,Accounts!$B$7:$B$16,0))&amp;"","")&lt;&gt;"",INDEX(Accounts!$C$7:$C$16,MATCH($C115,Accounts!$B$7:$B$16,0)),Settings!$C$6)))</f>
        <v/>
      </c>
      <c r="AG115" s="53" t="str">
        <f>IF($AM115=0,"",IF(AND($BE115&gt;0,N(INDEX(Instruments!$D$6:$D$205,MAX(1,$BE115)))&gt;0),INDEX(Instruments!$D$6:$D$205,MAX(1,$BE115)),IF(N(INDEX(Settings!$D$14:$D$18,$BF115))&gt;0,INDEX(Settings!$D$14:$D$18,$BF115),"")))</f>
        <v/>
      </c>
      <c r="AH115" s="54" t="str">
        <f>IF($AM115=0,"",IF($AF115&lt;&gt;"Forex",1,IF(MID(UPPER(SUBSTITUTE(TRIM($E115),"/","")),4,3)=UPPER(TRIM(Settings!$C$7)),1,IF(LEFT(UPPER(SUBSTITUTE(TRIM($E115),"/","")),3)=UPPER(TRIM(Settings!$C$7)),IF(AND(ISNUMBER($K115),N($K115)&lt;&gt;0),1/$K115,""),""))))</f>
        <v/>
      </c>
      <c r="AI115" s="55" t="str">
        <f>IF($AM115=0,"",IF(OR(NOT(ISNUMBER($H115)),NOT(ISNUMBER($K115)),NOT(ISNUMBER($G115)),$AG115="",$AH115=""),"",ROUND(($K115-$H115)*IF($F115="Short",-1,1)*$G115*$AG115*$AH115,6)))</f>
        <v/>
      </c>
      <c r="AJ115" s="55" t="str">
        <f>IF($AM115=0,"",IF(INDEX(Settings!$E$14:$E$18,$BF115)="% of notional",IF(OR($AG115="",NOT(ISNUMBER($H115)),NOT(ISNUMBER($G115))),"",ROUND(ABS($H115*$G115*$AG115*N($AH115))*IF($L115="Limit",N(INDEX(Settings!$G$14:$G$18,$BF115)),N(INDEX(Settings!$H$14:$H$18,$BF115)))+IF(ISNUMBER($K115),ABS($K115*$G115*$AG115*N($AH115))*IF($M115="Target",N(INDEX(Settings!$G$14:$G$18,$BF115)),N(INDEX(Settings!$H$14:$H$18,$BF115))),0),6)),IF(NOT(ISNUMBER($G115)),"",ROUND(ABS($G115)*2*IF(AND($BE115&gt;0,ISNUMBER(INDEX(Instruments!$G$6:$G$205,MAX(1,$BE115)))),INDEX(Instruments!$G$6:$G$205,MAX(1,$BE115)),N(INDEX(Settings!$F$14:$F$18,$BF115))),6))))</f>
        <v/>
      </c>
      <c r="AK115" s="55" t="str">
        <f>IF($AM115=0,"",IF(ISNUMBER($O115),$O115,$AI115))</f>
        <v/>
      </c>
      <c r="AL115" s="55" t="str">
        <f>IF($AM115=0,"",IF(ISNUMBER($P115),$P115,N($AJ115)))</f>
        <v/>
      </c>
      <c r="AM115" s="56">
        <f>IF(AND($A115&lt;&gt;"",$E115&lt;&gt;"",OR(AND(ISNUMBER($G115),ISNUMBER($H115),ISNUMBER($K115)),ISNUMBER($O115))),1,0)</f>
        <v>0</v>
      </c>
      <c r="AN115" s="57" t="str">
        <f>IF($A115="","",$A115-WEEKDAY($A115,3))</f>
        <v/>
      </c>
      <c r="AO115" s="56" t="str">
        <f>IF($A115="","",WEEKDAY($A115,2))</f>
        <v/>
      </c>
      <c r="AP115" s="55" t="str">
        <f>IF(OR($AM115=0,$C115=""),"",IFERROR(N(INDEX(Accounts!$E$7:$E$16,MATCH($C115,Accounts!$B$7:$B$16,0))),0)+SUMIFS($Q$6:$Q115,$C$6:$C115,$C115))</f>
        <v/>
      </c>
      <c r="AQ115" s="55" t="str">
        <f>IF(OR($AM115=0,$C115=""),"",SUMIFS($Q$6:$Q$1005,$C$6:$C$1005,$C115,$A$6:$A$1005,$A115))</f>
        <v/>
      </c>
      <c r="AR115" s="55" t="str">
        <f>IF(OR($AM115=0,$C115=""),"",IFERROR(N(INDEX(Accounts!$E$7:$E$16,MATCH($C115,Accounts!$B$7:$B$16,0))),0)+SUMIFS($Q$6:$Q$1005,$C$6:$C$1005,$C115,$A$6:$A$1005,"&lt;="&amp;$A115))</f>
        <v/>
      </c>
      <c r="AS115" s="56">
        <f>IF(OR($AM115=0,$Q115=""),0,IF(AND($A115&gt;=Lists!$W$6,$A115&lt;=Lists!$W$7,OR(Dashboard!$D$6="All accounts",$C115=Dashboard!$D$6),OR(Dashboard!$D$7="All markets",$AF115=Dashboard!$D$7)),1,0))</f>
        <v>0</v>
      </c>
      <c r="AT115" s="55">
        <f>IF($AS115=1,N(AT114)+$Q115,N(AT114))</f>
        <v>1187.10688</v>
      </c>
      <c r="AU115" s="55">
        <f>MAX(N(AU114),$AT115)</f>
        <v>1187.10688</v>
      </c>
      <c r="AV115" s="55">
        <f>$AT115-$AU115</f>
        <v>0</v>
      </c>
      <c r="AW115" s="56">
        <f>IF($AS115=1,IF($S115="Win",N(AW114)+1,IF($S115="Loss",0,N(AW114))),N(AW114))</f>
        <v>5</v>
      </c>
      <c r="AX115" s="56">
        <f>IF($AS115=1,IF($S115="Loss",N(AX114)+1,IF($S115="Win",0,N(AX114))),N(AX114))</f>
        <v>0</v>
      </c>
      <c r="AY115" s="56" t="str">
        <f>IF($AS115=1,COUNTIF($AS$6:$AS115,1),"")</f>
        <v/>
      </c>
      <c r="AZ115" s="56">
        <f>MIN(109,N(Lists!$W$8))</f>
        <v>28</v>
      </c>
      <c r="BA115" s="56">
        <f>IF($AS115=1,IF(COUNTIFS($A$6:$A115,$A115,$AS$6:$AS115,1)=1,1,0),0)</f>
        <v>0</v>
      </c>
      <c r="BB115" s="55" t="str">
        <f>IF($BA115=1,SUMIFS($Q$6:$Q$1005,$A$6:$A$1005,$A115,$AS$6:$AS$1005,1),"")</f>
        <v/>
      </c>
      <c r="BC115" s="56">
        <f>IF(ISNUMBER($R115),1,0)</f>
        <v>0</v>
      </c>
      <c r="BD115" s="55" t="str">
        <f>IF(ISNUMBER($U115),$U115*$V115,"")</f>
        <v/>
      </c>
      <c r="BE115" s="56" t="str">
        <f>IF($AM115=0,"",IFERROR(MATCH($AF115&amp;"|"&amp;UPPER(TRIM($E115)),Lists!$A$6:$A$205,0),0))</f>
        <v/>
      </c>
      <c r="BF115" s="56" t="str">
        <f>IF($AM115=0,"",IFERROR(MATCH($AF115,Settings!$B$14:$B$18,0),IFERROR(MATCH(Settings!$C$6,Settings!$B$14:$B$18,0),1)))</f>
        <v/>
      </c>
      <c r="BG115" s="58" t="str">
        <f>IF($AM115=0,"",IF(NOT(ISNUMBER($I115)),"No stop; ","")&amp;IF(AND(ISNUMBER($H115),ISNUMBER($I115)),IF(OR(AND($F115&lt;&gt;"Short",$I115&gt;=$H115),AND($F115="Short",$I115&lt;=$H115)),"Stop on wrong side; ",""),"")&amp;IF($F115="","No direction; ","")&amp;IF(AND(ISNUMBER(Settings!$C$22),ISNUMBER($V115)),IF($V115&gt;Settings!$C$22,"Risk over max $; ",""),"")&amp;IF(AND(ISNUMBER(Settings!$C$23),ISNUMBER($V115),ISNUMBER($AP115),IFERROR(N(INDEX(Accounts!$E$7:$E$16,MATCH($C115,Accounts!$B$7:$B$16,0))),0)&gt;0),IF($V115&gt;Settings!$C$23*($AP115-N($Q115)),"Risk over max %; ",""),"")&amp;IF(AND(ISNUMBER(Settings!$C$24),ISNUMBER($N115)),IF($N115&gt;Settings!$C$24,"Leverage over max; ",""),"")&amp;IF(AND(ISNUMBER(Settings!$C$27),ISNUMBER($T115)),IF($T115&lt;Settings!$C$27,"R:R below min; ",""),"")&amp;IF(ISNUMBER(Settings!$C$25),IF(COUNTIFS($A$6:$A115,$A115,$AM$6:$AM115,1)&gt;Settings!$C$25,"Over max trades/day; ",""),"")&amp;IF(ISNUMBER(Settings!$C$26),IF(SUMIFS($Q$5:$Q114,$A$5:$A114,$A115)&lt;=-Settings!$C$26,"Traded after daily max loss; ",""),"")&amp;IF(AND($AG115="",NOT(ISNUMBER($O115))),"Symbol not in Instruments; ","")&amp;IF(AND($AH115="",NOT(ISNUMBER($O115))),"Forex cross: type Gross P&amp;L; ",""))</f>
        <v/>
      </c>
      <c r="BH115" s="56">
        <f>IF(ISNUMBER($Q115),1,0)</f>
        <v>0</v>
      </c>
      <c r="BI115" s="56">
        <f>IF($Y115="",0,1)</f>
        <v>0</v>
      </c>
      <c r="BJ115" s="56">
        <f>IF($AB115="",0,1)</f>
        <v>0</v>
      </c>
      <c r="BK115" s="56">
        <f>IF(AND($BH115=1,$W115&lt;&gt;"OK"),1,0)</f>
        <v>0</v>
      </c>
      <c r="BL115" s="55">
        <f>IF(N($AZ115)=0,0,IFERROR(INDEX($AT$6:$AT$1005,MATCH($AZ115,$AY$6:$AY$1005,0)),0))</f>
        <v>1187.10688</v>
      </c>
      <c r="BM115" s="56">
        <f>IF(ISNUMBER(SEARCH("daily max loss",$BG115)),1,0)</f>
        <v>0</v>
      </c>
    </row>
    <row r="116" ht="18" customHeight="1">
      <c r="A116" s="38" t="n"/>
      <c r="B116" s="39" t="n"/>
      <c r="C116" s="40" t="n"/>
      <c r="D116" s="41" t="n"/>
      <c r="E116" s="41" t="n"/>
      <c r="F116" s="41" t="n"/>
      <c r="G116" s="41" t="n"/>
      <c r="H116" s="42" t="n"/>
      <c r="I116" s="42" t="n"/>
      <c r="J116" s="42" t="n"/>
      <c r="K116" s="42" t="n"/>
      <c r="L116" s="41" t="n"/>
      <c r="M116" s="41" t="n"/>
      <c r="N116" s="41" t="n"/>
      <c r="O116" s="43" t="n"/>
      <c r="P116" s="43" t="n"/>
      <c r="Q116" s="44" t="str">
        <f>IF($AM116=0,"",IF(ISNUMBER($AK116),$AK116-N($AL116),""))</f>
        <v/>
      </c>
      <c r="R116" s="45" t="str">
        <f>IF(OR($Q116="",NOT(ISNUMBER($V116))),"",$AK116/$V116)</f>
        <v/>
      </c>
      <c r="S116" s="46" t="str">
        <f>IF($Q116="","",IF(AND(ISNUMBER($R116),ABS(N($R116))&lt;N(Settings!$C$8)),"Scratch",IF($Q116&gt;0,"Win",IF($Q116&lt;0,"Loss","Scratch"))))</f>
        <v/>
      </c>
      <c r="T116" s="47" t="str">
        <f>IF(OR($AM116=0,NOT(ISNUMBER($H116)),NOT(ISNUMBER($I116)),NOT(ISNUMBER($J116))),"",IF($H116=$I116,"",ROUND(ABS($J116-$H116)/ABS($H116-$I116),6)))</f>
        <v/>
      </c>
      <c r="U116" s="48" t="str">
        <f>IF(OR($S116&lt;&gt;"Win",NOT(ISNUMBER($T116)),NOT(ISNUMBER($R116))),"",MAX(0,$T116-$R116))</f>
        <v/>
      </c>
      <c r="V116" s="49" t="str">
        <f>IF(OR($AM116=0,NOT(ISNUMBER($H116)),NOT(ISNUMBER($I116)),NOT(ISNUMBER($G116))),"",IF(OR($AG116="",$AH116=""),"",IF(ROUND(ABS($H116-$I116)*ABS($G116)*$AG116*$AH116,6)=0,"",ROUND(ABS($H116-$I116)*ABS($G116)*$AG116*$AH116,6))))</f>
        <v/>
      </c>
      <c r="W116" s="50" t="str">
        <f>IF($AM116=0,"",IF($BG116="","OK",LEFT($BG116,LEN($BG116)-2)))</f>
        <v/>
      </c>
      <c r="X116" s="41" t="n"/>
      <c r="Y116" s="40" t="n"/>
      <c r="Z116" s="41" t="n"/>
      <c r="AA116" s="41" t="n"/>
      <c r="AB116" s="40" t="n"/>
      <c r="AC116" s="51" t="n"/>
      <c r="AD116" s="51" t="n"/>
      <c r="AE116" s="40" t="n"/>
      <c r="AF116" s="52" t="str">
        <f>IF($AM116=0,"",IF($D116&lt;&gt;"",$D116,IF(IFERROR(INDEX(Accounts!$C$7:$C$16,MATCH($C116,Accounts!$B$7:$B$16,0))&amp;"","")&lt;&gt;"",INDEX(Accounts!$C$7:$C$16,MATCH($C116,Accounts!$B$7:$B$16,0)),Settings!$C$6)))</f>
        <v/>
      </c>
      <c r="AG116" s="53" t="str">
        <f>IF($AM116=0,"",IF(AND($BE116&gt;0,N(INDEX(Instruments!$D$6:$D$205,MAX(1,$BE116)))&gt;0),INDEX(Instruments!$D$6:$D$205,MAX(1,$BE116)),IF(N(INDEX(Settings!$D$14:$D$18,$BF116))&gt;0,INDEX(Settings!$D$14:$D$18,$BF116),"")))</f>
        <v/>
      </c>
      <c r="AH116" s="54" t="str">
        <f>IF($AM116=0,"",IF($AF116&lt;&gt;"Forex",1,IF(MID(UPPER(SUBSTITUTE(TRIM($E116),"/","")),4,3)=UPPER(TRIM(Settings!$C$7)),1,IF(LEFT(UPPER(SUBSTITUTE(TRIM($E116),"/","")),3)=UPPER(TRIM(Settings!$C$7)),IF(AND(ISNUMBER($K116),N($K116)&lt;&gt;0),1/$K116,""),""))))</f>
        <v/>
      </c>
      <c r="AI116" s="55" t="str">
        <f>IF($AM116=0,"",IF(OR(NOT(ISNUMBER($H116)),NOT(ISNUMBER($K116)),NOT(ISNUMBER($G116)),$AG116="",$AH116=""),"",ROUND(($K116-$H116)*IF($F116="Short",-1,1)*$G116*$AG116*$AH116,6)))</f>
        <v/>
      </c>
      <c r="AJ116" s="55" t="str">
        <f>IF($AM116=0,"",IF(INDEX(Settings!$E$14:$E$18,$BF116)="% of notional",IF(OR($AG116="",NOT(ISNUMBER($H116)),NOT(ISNUMBER($G116))),"",ROUND(ABS($H116*$G116*$AG116*N($AH116))*IF($L116="Limit",N(INDEX(Settings!$G$14:$G$18,$BF116)),N(INDEX(Settings!$H$14:$H$18,$BF116)))+IF(ISNUMBER($K116),ABS($K116*$G116*$AG116*N($AH116))*IF($M116="Target",N(INDEX(Settings!$G$14:$G$18,$BF116)),N(INDEX(Settings!$H$14:$H$18,$BF116))),0),6)),IF(NOT(ISNUMBER($G116)),"",ROUND(ABS($G116)*2*IF(AND($BE116&gt;0,ISNUMBER(INDEX(Instruments!$G$6:$G$205,MAX(1,$BE116)))),INDEX(Instruments!$G$6:$G$205,MAX(1,$BE116)),N(INDEX(Settings!$F$14:$F$18,$BF116))),6))))</f>
        <v/>
      </c>
      <c r="AK116" s="55" t="str">
        <f>IF($AM116=0,"",IF(ISNUMBER($O116),$O116,$AI116))</f>
        <v/>
      </c>
      <c r="AL116" s="55" t="str">
        <f>IF($AM116=0,"",IF(ISNUMBER($P116),$P116,N($AJ116)))</f>
        <v/>
      </c>
      <c r="AM116" s="56">
        <f>IF(AND($A116&lt;&gt;"",$E116&lt;&gt;"",OR(AND(ISNUMBER($G116),ISNUMBER($H116),ISNUMBER($K116)),ISNUMBER($O116))),1,0)</f>
        <v>0</v>
      </c>
      <c r="AN116" s="57" t="str">
        <f>IF($A116="","",$A116-WEEKDAY($A116,3))</f>
        <v/>
      </c>
      <c r="AO116" s="56" t="str">
        <f>IF($A116="","",WEEKDAY($A116,2))</f>
        <v/>
      </c>
      <c r="AP116" s="55" t="str">
        <f>IF(OR($AM116=0,$C116=""),"",IFERROR(N(INDEX(Accounts!$E$7:$E$16,MATCH($C116,Accounts!$B$7:$B$16,0))),0)+SUMIFS($Q$6:$Q116,$C$6:$C116,$C116))</f>
        <v/>
      </c>
      <c r="AQ116" s="55" t="str">
        <f>IF(OR($AM116=0,$C116=""),"",SUMIFS($Q$6:$Q$1005,$C$6:$C$1005,$C116,$A$6:$A$1005,$A116))</f>
        <v/>
      </c>
      <c r="AR116" s="55" t="str">
        <f>IF(OR($AM116=0,$C116=""),"",IFERROR(N(INDEX(Accounts!$E$7:$E$16,MATCH($C116,Accounts!$B$7:$B$16,0))),0)+SUMIFS($Q$6:$Q$1005,$C$6:$C$1005,$C116,$A$6:$A$1005,"&lt;="&amp;$A116))</f>
        <v/>
      </c>
      <c r="AS116" s="56">
        <f>IF(OR($AM116=0,$Q116=""),0,IF(AND($A116&gt;=Lists!$W$6,$A116&lt;=Lists!$W$7,OR(Dashboard!$D$6="All accounts",$C116=Dashboard!$D$6),OR(Dashboard!$D$7="All markets",$AF116=Dashboard!$D$7)),1,0))</f>
        <v>0</v>
      </c>
      <c r="AT116" s="55">
        <f>IF($AS116=1,N(AT115)+$Q116,N(AT115))</f>
        <v>1187.10688</v>
      </c>
      <c r="AU116" s="55">
        <f>MAX(N(AU115),$AT116)</f>
        <v>1187.10688</v>
      </c>
      <c r="AV116" s="55">
        <f>$AT116-$AU116</f>
        <v>0</v>
      </c>
      <c r="AW116" s="56">
        <f>IF($AS116=1,IF($S116="Win",N(AW115)+1,IF($S116="Loss",0,N(AW115))),N(AW115))</f>
        <v>5</v>
      </c>
      <c r="AX116" s="56">
        <f>IF($AS116=1,IF($S116="Loss",N(AX115)+1,IF($S116="Win",0,N(AX115))),N(AX115))</f>
        <v>0</v>
      </c>
      <c r="AY116" s="56" t="str">
        <f>IF($AS116=1,COUNTIF($AS$6:$AS116,1),"")</f>
        <v/>
      </c>
      <c r="AZ116" s="56">
        <f>MIN(110,N(Lists!$W$8))</f>
        <v>28</v>
      </c>
      <c r="BA116" s="56">
        <f>IF($AS116=1,IF(COUNTIFS($A$6:$A116,$A116,$AS$6:$AS116,1)=1,1,0),0)</f>
        <v>0</v>
      </c>
      <c r="BB116" s="55" t="str">
        <f>IF($BA116=1,SUMIFS($Q$6:$Q$1005,$A$6:$A$1005,$A116,$AS$6:$AS$1005,1),"")</f>
        <v/>
      </c>
      <c r="BC116" s="56">
        <f>IF(ISNUMBER($R116),1,0)</f>
        <v>0</v>
      </c>
      <c r="BD116" s="55" t="str">
        <f>IF(ISNUMBER($U116),$U116*$V116,"")</f>
        <v/>
      </c>
      <c r="BE116" s="56" t="str">
        <f>IF($AM116=0,"",IFERROR(MATCH($AF116&amp;"|"&amp;UPPER(TRIM($E116)),Lists!$A$6:$A$205,0),0))</f>
        <v/>
      </c>
      <c r="BF116" s="56" t="str">
        <f>IF($AM116=0,"",IFERROR(MATCH($AF116,Settings!$B$14:$B$18,0),IFERROR(MATCH(Settings!$C$6,Settings!$B$14:$B$18,0),1)))</f>
        <v/>
      </c>
      <c r="BG116" s="58" t="str">
        <f>IF($AM116=0,"",IF(NOT(ISNUMBER($I116)),"No stop; ","")&amp;IF(AND(ISNUMBER($H116),ISNUMBER($I116)),IF(OR(AND($F116&lt;&gt;"Short",$I116&gt;=$H116),AND($F116="Short",$I116&lt;=$H116)),"Stop on wrong side; ",""),"")&amp;IF($F116="","No direction; ","")&amp;IF(AND(ISNUMBER(Settings!$C$22),ISNUMBER($V116)),IF($V116&gt;Settings!$C$22,"Risk over max $; ",""),"")&amp;IF(AND(ISNUMBER(Settings!$C$23),ISNUMBER($V116),ISNUMBER($AP116),IFERROR(N(INDEX(Accounts!$E$7:$E$16,MATCH($C116,Accounts!$B$7:$B$16,0))),0)&gt;0),IF($V116&gt;Settings!$C$23*($AP116-N($Q116)),"Risk over max %; ",""),"")&amp;IF(AND(ISNUMBER(Settings!$C$24),ISNUMBER($N116)),IF($N116&gt;Settings!$C$24,"Leverage over max; ",""),"")&amp;IF(AND(ISNUMBER(Settings!$C$27),ISNUMBER($T116)),IF($T116&lt;Settings!$C$27,"R:R below min; ",""),"")&amp;IF(ISNUMBER(Settings!$C$25),IF(COUNTIFS($A$6:$A116,$A116,$AM$6:$AM116,1)&gt;Settings!$C$25,"Over max trades/day; ",""),"")&amp;IF(ISNUMBER(Settings!$C$26),IF(SUMIFS($Q$5:$Q115,$A$5:$A115,$A116)&lt;=-Settings!$C$26,"Traded after daily max loss; ",""),"")&amp;IF(AND($AG116="",NOT(ISNUMBER($O116))),"Symbol not in Instruments; ","")&amp;IF(AND($AH116="",NOT(ISNUMBER($O116))),"Forex cross: type Gross P&amp;L; ",""))</f>
        <v/>
      </c>
      <c r="BH116" s="56">
        <f>IF(ISNUMBER($Q116),1,0)</f>
        <v>0</v>
      </c>
      <c r="BI116" s="56">
        <f>IF($Y116="",0,1)</f>
        <v>0</v>
      </c>
      <c r="BJ116" s="56">
        <f>IF($AB116="",0,1)</f>
        <v>0</v>
      </c>
      <c r="BK116" s="56">
        <f>IF(AND($BH116=1,$W116&lt;&gt;"OK"),1,0)</f>
        <v>0</v>
      </c>
      <c r="BL116" s="55">
        <f>IF(N($AZ116)=0,0,IFERROR(INDEX($AT$6:$AT$1005,MATCH($AZ116,$AY$6:$AY$1005,0)),0))</f>
        <v>1187.10688</v>
      </c>
      <c r="BM116" s="56">
        <f>IF(ISNUMBER(SEARCH("daily max loss",$BG116)),1,0)</f>
        <v>0</v>
      </c>
    </row>
    <row r="117" ht="18" customHeight="1">
      <c r="A117" s="38" t="n"/>
      <c r="B117" s="39" t="n"/>
      <c r="C117" s="40" t="n"/>
      <c r="D117" s="41" t="n"/>
      <c r="E117" s="41" t="n"/>
      <c r="F117" s="41" t="n"/>
      <c r="G117" s="41" t="n"/>
      <c r="H117" s="42" t="n"/>
      <c r="I117" s="42" t="n"/>
      <c r="J117" s="42" t="n"/>
      <c r="K117" s="42" t="n"/>
      <c r="L117" s="41" t="n"/>
      <c r="M117" s="41" t="n"/>
      <c r="N117" s="41" t="n"/>
      <c r="O117" s="43" t="n"/>
      <c r="P117" s="43" t="n"/>
      <c r="Q117" s="44" t="str">
        <f>IF($AM117=0,"",IF(ISNUMBER($AK117),$AK117-N($AL117),""))</f>
        <v/>
      </c>
      <c r="R117" s="45" t="str">
        <f>IF(OR($Q117="",NOT(ISNUMBER($V117))),"",$AK117/$V117)</f>
        <v/>
      </c>
      <c r="S117" s="46" t="str">
        <f>IF($Q117="","",IF(AND(ISNUMBER($R117),ABS(N($R117))&lt;N(Settings!$C$8)),"Scratch",IF($Q117&gt;0,"Win",IF($Q117&lt;0,"Loss","Scratch"))))</f>
        <v/>
      </c>
      <c r="T117" s="47" t="str">
        <f>IF(OR($AM117=0,NOT(ISNUMBER($H117)),NOT(ISNUMBER($I117)),NOT(ISNUMBER($J117))),"",IF($H117=$I117,"",ROUND(ABS($J117-$H117)/ABS($H117-$I117),6)))</f>
        <v/>
      </c>
      <c r="U117" s="48" t="str">
        <f>IF(OR($S117&lt;&gt;"Win",NOT(ISNUMBER($T117)),NOT(ISNUMBER($R117))),"",MAX(0,$T117-$R117))</f>
        <v/>
      </c>
      <c r="V117" s="49" t="str">
        <f>IF(OR($AM117=0,NOT(ISNUMBER($H117)),NOT(ISNUMBER($I117)),NOT(ISNUMBER($G117))),"",IF(OR($AG117="",$AH117=""),"",IF(ROUND(ABS($H117-$I117)*ABS($G117)*$AG117*$AH117,6)=0,"",ROUND(ABS($H117-$I117)*ABS($G117)*$AG117*$AH117,6))))</f>
        <v/>
      </c>
      <c r="W117" s="50" t="str">
        <f>IF($AM117=0,"",IF($BG117="","OK",LEFT($BG117,LEN($BG117)-2)))</f>
        <v/>
      </c>
      <c r="X117" s="41" t="n"/>
      <c r="Y117" s="40" t="n"/>
      <c r="Z117" s="41" t="n"/>
      <c r="AA117" s="41" t="n"/>
      <c r="AB117" s="40" t="n"/>
      <c r="AC117" s="51" t="n"/>
      <c r="AD117" s="51" t="n"/>
      <c r="AE117" s="40" t="n"/>
      <c r="AF117" s="52" t="str">
        <f>IF($AM117=0,"",IF($D117&lt;&gt;"",$D117,IF(IFERROR(INDEX(Accounts!$C$7:$C$16,MATCH($C117,Accounts!$B$7:$B$16,0))&amp;"","")&lt;&gt;"",INDEX(Accounts!$C$7:$C$16,MATCH($C117,Accounts!$B$7:$B$16,0)),Settings!$C$6)))</f>
        <v/>
      </c>
      <c r="AG117" s="53" t="str">
        <f>IF($AM117=0,"",IF(AND($BE117&gt;0,N(INDEX(Instruments!$D$6:$D$205,MAX(1,$BE117)))&gt;0),INDEX(Instruments!$D$6:$D$205,MAX(1,$BE117)),IF(N(INDEX(Settings!$D$14:$D$18,$BF117))&gt;0,INDEX(Settings!$D$14:$D$18,$BF117),"")))</f>
        <v/>
      </c>
      <c r="AH117" s="54" t="str">
        <f>IF($AM117=0,"",IF($AF117&lt;&gt;"Forex",1,IF(MID(UPPER(SUBSTITUTE(TRIM($E117),"/","")),4,3)=UPPER(TRIM(Settings!$C$7)),1,IF(LEFT(UPPER(SUBSTITUTE(TRIM($E117),"/","")),3)=UPPER(TRIM(Settings!$C$7)),IF(AND(ISNUMBER($K117),N($K117)&lt;&gt;0),1/$K117,""),""))))</f>
        <v/>
      </c>
      <c r="AI117" s="55" t="str">
        <f>IF($AM117=0,"",IF(OR(NOT(ISNUMBER($H117)),NOT(ISNUMBER($K117)),NOT(ISNUMBER($G117)),$AG117="",$AH117=""),"",ROUND(($K117-$H117)*IF($F117="Short",-1,1)*$G117*$AG117*$AH117,6)))</f>
        <v/>
      </c>
      <c r="AJ117" s="55" t="str">
        <f>IF($AM117=0,"",IF(INDEX(Settings!$E$14:$E$18,$BF117)="% of notional",IF(OR($AG117="",NOT(ISNUMBER($H117)),NOT(ISNUMBER($G117))),"",ROUND(ABS($H117*$G117*$AG117*N($AH117))*IF($L117="Limit",N(INDEX(Settings!$G$14:$G$18,$BF117)),N(INDEX(Settings!$H$14:$H$18,$BF117)))+IF(ISNUMBER($K117),ABS($K117*$G117*$AG117*N($AH117))*IF($M117="Target",N(INDEX(Settings!$G$14:$G$18,$BF117)),N(INDEX(Settings!$H$14:$H$18,$BF117))),0),6)),IF(NOT(ISNUMBER($G117)),"",ROUND(ABS($G117)*2*IF(AND($BE117&gt;0,ISNUMBER(INDEX(Instruments!$G$6:$G$205,MAX(1,$BE117)))),INDEX(Instruments!$G$6:$G$205,MAX(1,$BE117)),N(INDEX(Settings!$F$14:$F$18,$BF117))),6))))</f>
        <v/>
      </c>
      <c r="AK117" s="55" t="str">
        <f>IF($AM117=0,"",IF(ISNUMBER($O117),$O117,$AI117))</f>
        <v/>
      </c>
      <c r="AL117" s="55" t="str">
        <f>IF($AM117=0,"",IF(ISNUMBER($P117),$P117,N($AJ117)))</f>
        <v/>
      </c>
      <c r="AM117" s="56">
        <f>IF(AND($A117&lt;&gt;"",$E117&lt;&gt;"",OR(AND(ISNUMBER($G117),ISNUMBER($H117),ISNUMBER($K117)),ISNUMBER($O117))),1,0)</f>
        <v>0</v>
      </c>
      <c r="AN117" s="57" t="str">
        <f>IF($A117="","",$A117-WEEKDAY($A117,3))</f>
        <v/>
      </c>
      <c r="AO117" s="56" t="str">
        <f>IF($A117="","",WEEKDAY($A117,2))</f>
        <v/>
      </c>
      <c r="AP117" s="55" t="str">
        <f>IF(OR($AM117=0,$C117=""),"",IFERROR(N(INDEX(Accounts!$E$7:$E$16,MATCH($C117,Accounts!$B$7:$B$16,0))),0)+SUMIFS($Q$6:$Q117,$C$6:$C117,$C117))</f>
        <v/>
      </c>
      <c r="AQ117" s="55" t="str">
        <f>IF(OR($AM117=0,$C117=""),"",SUMIFS($Q$6:$Q$1005,$C$6:$C$1005,$C117,$A$6:$A$1005,$A117))</f>
        <v/>
      </c>
      <c r="AR117" s="55" t="str">
        <f>IF(OR($AM117=0,$C117=""),"",IFERROR(N(INDEX(Accounts!$E$7:$E$16,MATCH($C117,Accounts!$B$7:$B$16,0))),0)+SUMIFS($Q$6:$Q$1005,$C$6:$C$1005,$C117,$A$6:$A$1005,"&lt;="&amp;$A117))</f>
        <v/>
      </c>
      <c r="AS117" s="56">
        <f>IF(OR($AM117=0,$Q117=""),0,IF(AND($A117&gt;=Lists!$W$6,$A117&lt;=Lists!$W$7,OR(Dashboard!$D$6="All accounts",$C117=Dashboard!$D$6),OR(Dashboard!$D$7="All markets",$AF117=Dashboard!$D$7)),1,0))</f>
        <v>0</v>
      </c>
      <c r="AT117" s="55">
        <f>IF($AS117=1,N(AT116)+$Q117,N(AT116))</f>
        <v>1187.10688</v>
      </c>
      <c r="AU117" s="55">
        <f>MAX(N(AU116),$AT117)</f>
        <v>1187.10688</v>
      </c>
      <c r="AV117" s="55">
        <f>$AT117-$AU117</f>
        <v>0</v>
      </c>
      <c r="AW117" s="56">
        <f>IF($AS117=1,IF($S117="Win",N(AW116)+1,IF($S117="Loss",0,N(AW116))),N(AW116))</f>
        <v>5</v>
      </c>
      <c r="AX117" s="56">
        <f>IF($AS117=1,IF($S117="Loss",N(AX116)+1,IF($S117="Win",0,N(AX116))),N(AX116))</f>
        <v>0</v>
      </c>
      <c r="AY117" s="56" t="str">
        <f>IF($AS117=1,COUNTIF($AS$6:$AS117,1),"")</f>
        <v/>
      </c>
      <c r="AZ117" s="56">
        <f>MIN(111,N(Lists!$W$8))</f>
        <v>28</v>
      </c>
      <c r="BA117" s="56">
        <f>IF($AS117=1,IF(COUNTIFS($A$6:$A117,$A117,$AS$6:$AS117,1)=1,1,0),0)</f>
        <v>0</v>
      </c>
      <c r="BB117" s="55" t="str">
        <f>IF($BA117=1,SUMIFS($Q$6:$Q$1005,$A$6:$A$1005,$A117,$AS$6:$AS$1005,1),"")</f>
        <v/>
      </c>
      <c r="BC117" s="56">
        <f>IF(ISNUMBER($R117),1,0)</f>
        <v>0</v>
      </c>
      <c r="BD117" s="55" t="str">
        <f>IF(ISNUMBER($U117),$U117*$V117,"")</f>
        <v/>
      </c>
      <c r="BE117" s="56" t="str">
        <f>IF($AM117=0,"",IFERROR(MATCH($AF117&amp;"|"&amp;UPPER(TRIM($E117)),Lists!$A$6:$A$205,0),0))</f>
        <v/>
      </c>
      <c r="BF117" s="56" t="str">
        <f>IF($AM117=0,"",IFERROR(MATCH($AF117,Settings!$B$14:$B$18,0),IFERROR(MATCH(Settings!$C$6,Settings!$B$14:$B$18,0),1)))</f>
        <v/>
      </c>
      <c r="BG117" s="58" t="str">
        <f>IF($AM117=0,"",IF(NOT(ISNUMBER($I117)),"No stop; ","")&amp;IF(AND(ISNUMBER($H117),ISNUMBER($I117)),IF(OR(AND($F117&lt;&gt;"Short",$I117&gt;=$H117),AND($F117="Short",$I117&lt;=$H117)),"Stop on wrong side; ",""),"")&amp;IF($F117="","No direction; ","")&amp;IF(AND(ISNUMBER(Settings!$C$22),ISNUMBER($V117)),IF($V117&gt;Settings!$C$22,"Risk over max $; ",""),"")&amp;IF(AND(ISNUMBER(Settings!$C$23),ISNUMBER($V117),ISNUMBER($AP117),IFERROR(N(INDEX(Accounts!$E$7:$E$16,MATCH($C117,Accounts!$B$7:$B$16,0))),0)&gt;0),IF($V117&gt;Settings!$C$23*($AP117-N($Q117)),"Risk over max %; ",""),"")&amp;IF(AND(ISNUMBER(Settings!$C$24),ISNUMBER($N117)),IF($N117&gt;Settings!$C$24,"Leverage over max; ",""),"")&amp;IF(AND(ISNUMBER(Settings!$C$27),ISNUMBER($T117)),IF($T117&lt;Settings!$C$27,"R:R below min; ",""),"")&amp;IF(ISNUMBER(Settings!$C$25),IF(COUNTIFS($A$6:$A117,$A117,$AM$6:$AM117,1)&gt;Settings!$C$25,"Over max trades/day; ",""),"")&amp;IF(ISNUMBER(Settings!$C$26),IF(SUMIFS($Q$5:$Q116,$A$5:$A116,$A117)&lt;=-Settings!$C$26,"Traded after daily max loss; ",""),"")&amp;IF(AND($AG117="",NOT(ISNUMBER($O117))),"Symbol not in Instruments; ","")&amp;IF(AND($AH117="",NOT(ISNUMBER($O117))),"Forex cross: type Gross P&amp;L; ",""))</f>
        <v/>
      </c>
      <c r="BH117" s="56">
        <f>IF(ISNUMBER($Q117),1,0)</f>
        <v>0</v>
      </c>
      <c r="BI117" s="56">
        <f>IF($Y117="",0,1)</f>
        <v>0</v>
      </c>
      <c r="BJ117" s="56">
        <f>IF($AB117="",0,1)</f>
        <v>0</v>
      </c>
      <c r="BK117" s="56">
        <f>IF(AND($BH117=1,$W117&lt;&gt;"OK"),1,0)</f>
        <v>0</v>
      </c>
      <c r="BL117" s="55">
        <f>IF(N($AZ117)=0,0,IFERROR(INDEX($AT$6:$AT$1005,MATCH($AZ117,$AY$6:$AY$1005,0)),0))</f>
        <v>1187.10688</v>
      </c>
      <c r="BM117" s="56">
        <f>IF(ISNUMBER(SEARCH("daily max loss",$BG117)),1,0)</f>
        <v>0</v>
      </c>
    </row>
    <row r="118" ht="18" customHeight="1">
      <c r="A118" s="38" t="n"/>
      <c r="B118" s="39" t="n"/>
      <c r="C118" s="40" t="n"/>
      <c r="D118" s="41" t="n"/>
      <c r="E118" s="41" t="n"/>
      <c r="F118" s="41" t="n"/>
      <c r="G118" s="41" t="n"/>
      <c r="H118" s="42" t="n"/>
      <c r="I118" s="42" t="n"/>
      <c r="J118" s="42" t="n"/>
      <c r="K118" s="42" t="n"/>
      <c r="L118" s="41" t="n"/>
      <c r="M118" s="41" t="n"/>
      <c r="N118" s="41" t="n"/>
      <c r="O118" s="43" t="n"/>
      <c r="P118" s="43" t="n"/>
      <c r="Q118" s="44" t="str">
        <f>IF($AM118=0,"",IF(ISNUMBER($AK118),$AK118-N($AL118),""))</f>
        <v/>
      </c>
      <c r="R118" s="45" t="str">
        <f>IF(OR($Q118="",NOT(ISNUMBER($V118))),"",$AK118/$V118)</f>
        <v/>
      </c>
      <c r="S118" s="46" t="str">
        <f>IF($Q118="","",IF(AND(ISNUMBER($R118),ABS(N($R118))&lt;N(Settings!$C$8)),"Scratch",IF($Q118&gt;0,"Win",IF($Q118&lt;0,"Loss","Scratch"))))</f>
        <v/>
      </c>
      <c r="T118" s="47" t="str">
        <f>IF(OR($AM118=0,NOT(ISNUMBER($H118)),NOT(ISNUMBER($I118)),NOT(ISNUMBER($J118))),"",IF($H118=$I118,"",ROUND(ABS($J118-$H118)/ABS($H118-$I118),6)))</f>
        <v/>
      </c>
      <c r="U118" s="48" t="str">
        <f>IF(OR($S118&lt;&gt;"Win",NOT(ISNUMBER($T118)),NOT(ISNUMBER($R118))),"",MAX(0,$T118-$R118))</f>
        <v/>
      </c>
      <c r="V118" s="49" t="str">
        <f>IF(OR($AM118=0,NOT(ISNUMBER($H118)),NOT(ISNUMBER($I118)),NOT(ISNUMBER($G118))),"",IF(OR($AG118="",$AH118=""),"",IF(ROUND(ABS($H118-$I118)*ABS($G118)*$AG118*$AH118,6)=0,"",ROUND(ABS($H118-$I118)*ABS($G118)*$AG118*$AH118,6))))</f>
        <v/>
      </c>
      <c r="W118" s="50" t="str">
        <f>IF($AM118=0,"",IF($BG118="","OK",LEFT($BG118,LEN($BG118)-2)))</f>
        <v/>
      </c>
      <c r="X118" s="41" t="n"/>
      <c r="Y118" s="40" t="n"/>
      <c r="Z118" s="41" t="n"/>
      <c r="AA118" s="41" t="n"/>
      <c r="AB118" s="40" t="n"/>
      <c r="AC118" s="51" t="n"/>
      <c r="AD118" s="51" t="n"/>
      <c r="AE118" s="40" t="n"/>
      <c r="AF118" s="52" t="str">
        <f>IF($AM118=0,"",IF($D118&lt;&gt;"",$D118,IF(IFERROR(INDEX(Accounts!$C$7:$C$16,MATCH($C118,Accounts!$B$7:$B$16,0))&amp;"","")&lt;&gt;"",INDEX(Accounts!$C$7:$C$16,MATCH($C118,Accounts!$B$7:$B$16,0)),Settings!$C$6)))</f>
        <v/>
      </c>
      <c r="AG118" s="53" t="str">
        <f>IF($AM118=0,"",IF(AND($BE118&gt;0,N(INDEX(Instruments!$D$6:$D$205,MAX(1,$BE118)))&gt;0),INDEX(Instruments!$D$6:$D$205,MAX(1,$BE118)),IF(N(INDEX(Settings!$D$14:$D$18,$BF118))&gt;0,INDEX(Settings!$D$14:$D$18,$BF118),"")))</f>
        <v/>
      </c>
      <c r="AH118" s="54" t="str">
        <f>IF($AM118=0,"",IF($AF118&lt;&gt;"Forex",1,IF(MID(UPPER(SUBSTITUTE(TRIM($E118),"/","")),4,3)=UPPER(TRIM(Settings!$C$7)),1,IF(LEFT(UPPER(SUBSTITUTE(TRIM($E118),"/","")),3)=UPPER(TRIM(Settings!$C$7)),IF(AND(ISNUMBER($K118),N($K118)&lt;&gt;0),1/$K118,""),""))))</f>
        <v/>
      </c>
      <c r="AI118" s="55" t="str">
        <f>IF($AM118=0,"",IF(OR(NOT(ISNUMBER($H118)),NOT(ISNUMBER($K118)),NOT(ISNUMBER($G118)),$AG118="",$AH118=""),"",ROUND(($K118-$H118)*IF($F118="Short",-1,1)*$G118*$AG118*$AH118,6)))</f>
        <v/>
      </c>
      <c r="AJ118" s="55" t="str">
        <f>IF($AM118=0,"",IF(INDEX(Settings!$E$14:$E$18,$BF118)="% of notional",IF(OR($AG118="",NOT(ISNUMBER($H118)),NOT(ISNUMBER($G118))),"",ROUND(ABS($H118*$G118*$AG118*N($AH118))*IF($L118="Limit",N(INDEX(Settings!$G$14:$G$18,$BF118)),N(INDEX(Settings!$H$14:$H$18,$BF118)))+IF(ISNUMBER($K118),ABS($K118*$G118*$AG118*N($AH118))*IF($M118="Target",N(INDEX(Settings!$G$14:$G$18,$BF118)),N(INDEX(Settings!$H$14:$H$18,$BF118))),0),6)),IF(NOT(ISNUMBER($G118)),"",ROUND(ABS($G118)*2*IF(AND($BE118&gt;0,ISNUMBER(INDEX(Instruments!$G$6:$G$205,MAX(1,$BE118)))),INDEX(Instruments!$G$6:$G$205,MAX(1,$BE118)),N(INDEX(Settings!$F$14:$F$18,$BF118))),6))))</f>
        <v/>
      </c>
      <c r="AK118" s="55" t="str">
        <f>IF($AM118=0,"",IF(ISNUMBER($O118),$O118,$AI118))</f>
        <v/>
      </c>
      <c r="AL118" s="55" t="str">
        <f>IF($AM118=0,"",IF(ISNUMBER($P118),$P118,N($AJ118)))</f>
        <v/>
      </c>
      <c r="AM118" s="56">
        <f>IF(AND($A118&lt;&gt;"",$E118&lt;&gt;"",OR(AND(ISNUMBER($G118),ISNUMBER($H118),ISNUMBER($K118)),ISNUMBER($O118))),1,0)</f>
        <v>0</v>
      </c>
      <c r="AN118" s="57" t="str">
        <f>IF($A118="","",$A118-WEEKDAY($A118,3))</f>
        <v/>
      </c>
      <c r="AO118" s="56" t="str">
        <f>IF($A118="","",WEEKDAY($A118,2))</f>
        <v/>
      </c>
      <c r="AP118" s="55" t="str">
        <f>IF(OR($AM118=0,$C118=""),"",IFERROR(N(INDEX(Accounts!$E$7:$E$16,MATCH($C118,Accounts!$B$7:$B$16,0))),0)+SUMIFS($Q$6:$Q118,$C$6:$C118,$C118))</f>
        <v/>
      </c>
      <c r="AQ118" s="55" t="str">
        <f>IF(OR($AM118=0,$C118=""),"",SUMIFS($Q$6:$Q$1005,$C$6:$C$1005,$C118,$A$6:$A$1005,$A118))</f>
        <v/>
      </c>
      <c r="AR118" s="55" t="str">
        <f>IF(OR($AM118=0,$C118=""),"",IFERROR(N(INDEX(Accounts!$E$7:$E$16,MATCH($C118,Accounts!$B$7:$B$16,0))),0)+SUMIFS($Q$6:$Q$1005,$C$6:$C$1005,$C118,$A$6:$A$1005,"&lt;="&amp;$A118))</f>
        <v/>
      </c>
      <c r="AS118" s="56">
        <f>IF(OR($AM118=0,$Q118=""),0,IF(AND($A118&gt;=Lists!$W$6,$A118&lt;=Lists!$W$7,OR(Dashboard!$D$6="All accounts",$C118=Dashboard!$D$6),OR(Dashboard!$D$7="All markets",$AF118=Dashboard!$D$7)),1,0))</f>
        <v>0</v>
      </c>
      <c r="AT118" s="55">
        <f>IF($AS118=1,N(AT117)+$Q118,N(AT117))</f>
        <v>1187.10688</v>
      </c>
      <c r="AU118" s="55">
        <f>MAX(N(AU117),$AT118)</f>
        <v>1187.10688</v>
      </c>
      <c r="AV118" s="55">
        <f>$AT118-$AU118</f>
        <v>0</v>
      </c>
      <c r="AW118" s="56">
        <f>IF($AS118=1,IF($S118="Win",N(AW117)+1,IF($S118="Loss",0,N(AW117))),N(AW117))</f>
        <v>5</v>
      </c>
      <c r="AX118" s="56">
        <f>IF($AS118=1,IF($S118="Loss",N(AX117)+1,IF($S118="Win",0,N(AX117))),N(AX117))</f>
        <v>0</v>
      </c>
      <c r="AY118" s="56" t="str">
        <f>IF($AS118=1,COUNTIF($AS$6:$AS118,1),"")</f>
        <v/>
      </c>
      <c r="AZ118" s="56">
        <f>MIN(112,N(Lists!$W$8))</f>
        <v>28</v>
      </c>
      <c r="BA118" s="56">
        <f>IF($AS118=1,IF(COUNTIFS($A$6:$A118,$A118,$AS$6:$AS118,1)=1,1,0),0)</f>
        <v>0</v>
      </c>
      <c r="BB118" s="55" t="str">
        <f>IF($BA118=1,SUMIFS($Q$6:$Q$1005,$A$6:$A$1005,$A118,$AS$6:$AS$1005,1),"")</f>
        <v/>
      </c>
      <c r="BC118" s="56">
        <f>IF(ISNUMBER($R118),1,0)</f>
        <v>0</v>
      </c>
      <c r="BD118" s="55" t="str">
        <f>IF(ISNUMBER($U118),$U118*$V118,"")</f>
        <v/>
      </c>
      <c r="BE118" s="56" t="str">
        <f>IF($AM118=0,"",IFERROR(MATCH($AF118&amp;"|"&amp;UPPER(TRIM($E118)),Lists!$A$6:$A$205,0),0))</f>
        <v/>
      </c>
      <c r="BF118" s="56" t="str">
        <f>IF($AM118=0,"",IFERROR(MATCH($AF118,Settings!$B$14:$B$18,0),IFERROR(MATCH(Settings!$C$6,Settings!$B$14:$B$18,0),1)))</f>
        <v/>
      </c>
      <c r="BG118" s="58" t="str">
        <f>IF($AM118=0,"",IF(NOT(ISNUMBER($I118)),"No stop; ","")&amp;IF(AND(ISNUMBER($H118),ISNUMBER($I118)),IF(OR(AND($F118&lt;&gt;"Short",$I118&gt;=$H118),AND($F118="Short",$I118&lt;=$H118)),"Stop on wrong side; ",""),"")&amp;IF($F118="","No direction; ","")&amp;IF(AND(ISNUMBER(Settings!$C$22),ISNUMBER($V118)),IF($V118&gt;Settings!$C$22,"Risk over max $; ",""),"")&amp;IF(AND(ISNUMBER(Settings!$C$23),ISNUMBER($V118),ISNUMBER($AP118),IFERROR(N(INDEX(Accounts!$E$7:$E$16,MATCH($C118,Accounts!$B$7:$B$16,0))),0)&gt;0),IF($V118&gt;Settings!$C$23*($AP118-N($Q118)),"Risk over max %; ",""),"")&amp;IF(AND(ISNUMBER(Settings!$C$24),ISNUMBER($N118)),IF($N118&gt;Settings!$C$24,"Leverage over max; ",""),"")&amp;IF(AND(ISNUMBER(Settings!$C$27),ISNUMBER($T118)),IF($T118&lt;Settings!$C$27,"R:R below min; ",""),"")&amp;IF(ISNUMBER(Settings!$C$25),IF(COUNTIFS($A$6:$A118,$A118,$AM$6:$AM118,1)&gt;Settings!$C$25,"Over max trades/day; ",""),"")&amp;IF(ISNUMBER(Settings!$C$26),IF(SUMIFS($Q$5:$Q117,$A$5:$A117,$A118)&lt;=-Settings!$C$26,"Traded after daily max loss; ",""),"")&amp;IF(AND($AG118="",NOT(ISNUMBER($O118))),"Symbol not in Instruments; ","")&amp;IF(AND($AH118="",NOT(ISNUMBER($O118))),"Forex cross: type Gross P&amp;L; ",""))</f>
        <v/>
      </c>
      <c r="BH118" s="56">
        <f>IF(ISNUMBER($Q118),1,0)</f>
        <v>0</v>
      </c>
      <c r="BI118" s="56">
        <f>IF($Y118="",0,1)</f>
        <v>0</v>
      </c>
      <c r="BJ118" s="56">
        <f>IF($AB118="",0,1)</f>
        <v>0</v>
      </c>
      <c r="BK118" s="56">
        <f>IF(AND($BH118=1,$W118&lt;&gt;"OK"),1,0)</f>
        <v>0</v>
      </c>
      <c r="BL118" s="55">
        <f>IF(N($AZ118)=0,0,IFERROR(INDEX($AT$6:$AT$1005,MATCH($AZ118,$AY$6:$AY$1005,0)),0))</f>
        <v>1187.10688</v>
      </c>
      <c r="BM118" s="56">
        <f>IF(ISNUMBER(SEARCH("daily max loss",$BG118)),1,0)</f>
        <v>0</v>
      </c>
    </row>
    <row r="119" ht="18" customHeight="1">
      <c r="A119" s="38" t="n"/>
      <c r="B119" s="39" t="n"/>
      <c r="C119" s="40" t="n"/>
      <c r="D119" s="41" t="n"/>
      <c r="E119" s="41" t="n"/>
      <c r="F119" s="41" t="n"/>
      <c r="G119" s="41" t="n"/>
      <c r="H119" s="42" t="n"/>
      <c r="I119" s="42" t="n"/>
      <c r="J119" s="42" t="n"/>
      <c r="K119" s="42" t="n"/>
      <c r="L119" s="41" t="n"/>
      <c r="M119" s="41" t="n"/>
      <c r="N119" s="41" t="n"/>
      <c r="O119" s="43" t="n"/>
      <c r="P119" s="43" t="n"/>
      <c r="Q119" s="44" t="str">
        <f>IF($AM119=0,"",IF(ISNUMBER($AK119),$AK119-N($AL119),""))</f>
        <v/>
      </c>
      <c r="R119" s="45" t="str">
        <f>IF(OR($Q119="",NOT(ISNUMBER($V119))),"",$AK119/$V119)</f>
        <v/>
      </c>
      <c r="S119" s="46" t="str">
        <f>IF($Q119="","",IF(AND(ISNUMBER($R119),ABS(N($R119))&lt;N(Settings!$C$8)),"Scratch",IF($Q119&gt;0,"Win",IF($Q119&lt;0,"Loss","Scratch"))))</f>
        <v/>
      </c>
      <c r="T119" s="47" t="str">
        <f>IF(OR($AM119=0,NOT(ISNUMBER($H119)),NOT(ISNUMBER($I119)),NOT(ISNUMBER($J119))),"",IF($H119=$I119,"",ROUND(ABS($J119-$H119)/ABS($H119-$I119),6)))</f>
        <v/>
      </c>
      <c r="U119" s="48" t="str">
        <f>IF(OR($S119&lt;&gt;"Win",NOT(ISNUMBER($T119)),NOT(ISNUMBER($R119))),"",MAX(0,$T119-$R119))</f>
        <v/>
      </c>
      <c r="V119" s="49" t="str">
        <f>IF(OR($AM119=0,NOT(ISNUMBER($H119)),NOT(ISNUMBER($I119)),NOT(ISNUMBER($G119))),"",IF(OR($AG119="",$AH119=""),"",IF(ROUND(ABS($H119-$I119)*ABS($G119)*$AG119*$AH119,6)=0,"",ROUND(ABS($H119-$I119)*ABS($G119)*$AG119*$AH119,6))))</f>
        <v/>
      </c>
      <c r="W119" s="50" t="str">
        <f>IF($AM119=0,"",IF($BG119="","OK",LEFT($BG119,LEN($BG119)-2)))</f>
        <v/>
      </c>
      <c r="X119" s="41" t="n"/>
      <c r="Y119" s="40" t="n"/>
      <c r="Z119" s="41" t="n"/>
      <c r="AA119" s="41" t="n"/>
      <c r="AB119" s="40" t="n"/>
      <c r="AC119" s="51" t="n"/>
      <c r="AD119" s="51" t="n"/>
      <c r="AE119" s="40" t="n"/>
      <c r="AF119" s="52" t="str">
        <f>IF($AM119=0,"",IF($D119&lt;&gt;"",$D119,IF(IFERROR(INDEX(Accounts!$C$7:$C$16,MATCH($C119,Accounts!$B$7:$B$16,0))&amp;"","")&lt;&gt;"",INDEX(Accounts!$C$7:$C$16,MATCH($C119,Accounts!$B$7:$B$16,0)),Settings!$C$6)))</f>
        <v/>
      </c>
      <c r="AG119" s="53" t="str">
        <f>IF($AM119=0,"",IF(AND($BE119&gt;0,N(INDEX(Instruments!$D$6:$D$205,MAX(1,$BE119)))&gt;0),INDEX(Instruments!$D$6:$D$205,MAX(1,$BE119)),IF(N(INDEX(Settings!$D$14:$D$18,$BF119))&gt;0,INDEX(Settings!$D$14:$D$18,$BF119),"")))</f>
        <v/>
      </c>
      <c r="AH119" s="54" t="str">
        <f>IF($AM119=0,"",IF($AF119&lt;&gt;"Forex",1,IF(MID(UPPER(SUBSTITUTE(TRIM($E119),"/","")),4,3)=UPPER(TRIM(Settings!$C$7)),1,IF(LEFT(UPPER(SUBSTITUTE(TRIM($E119),"/","")),3)=UPPER(TRIM(Settings!$C$7)),IF(AND(ISNUMBER($K119),N($K119)&lt;&gt;0),1/$K119,""),""))))</f>
        <v/>
      </c>
      <c r="AI119" s="55" t="str">
        <f>IF($AM119=0,"",IF(OR(NOT(ISNUMBER($H119)),NOT(ISNUMBER($K119)),NOT(ISNUMBER($G119)),$AG119="",$AH119=""),"",ROUND(($K119-$H119)*IF($F119="Short",-1,1)*$G119*$AG119*$AH119,6)))</f>
        <v/>
      </c>
      <c r="AJ119" s="55" t="str">
        <f>IF($AM119=0,"",IF(INDEX(Settings!$E$14:$E$18,$BF119)="% of notional",IF(OR($AG119="",NOT(ISNUMBER($H119)),NOT(ISNUMBER($G119))),"",ROUND(ABS($H119*$G119*$AG119*N($AH119))*IF($L119="Limit",N(INDEX(Settings!$G$14:$G$18,$BF119)),N(INDEX(Settings!$H$14:$H$18,$BF119)))+IF(ISNUMBER($K119),ABS($K119*$G119*$AG119*N($AH119))*IF($M119="Target",N(INDEX(Settings!$G$14:$G$18,$BF119)),N(INDEX(Settings!$H$14:$H$18,$BF119))),0),6)),IF(NOT(ISNUMBER($G119)),"",ROUND(ABS($G119)*2*IF(AND($BE119&gt;0,ISNUMBER(INDEX(Instruments!$G$6:$G$205,MAX(1,$BE119)))),INDEX(Instruments!$G$6:$G$205,MAX(1,$BE119)),N(INDEX(Settings!$F$14:$F$18,$BF119))),6))))</f>
        <v/>
      </c>
      <c r="AK119" s="55" t="str">
        <f>IF($AM119=0,"",IF(ISNUMBER($O119),$O119,$AI119))</f>
        <v/>
      </c>
      <c r="AL119" s="55" t="str">
        <f>IF($AM119=0,"",IF(ISNUMBER($P119),$P119,N($AJ119)))</f>
        <v/>
      </c>
      <c r="AM119" s="56">
        <f>IF(AND($A119&lt;&gt;"",$E119&lt;&gt;"",OR(AND(ISNUMBER($G119),ISNUMBER($H119),ISNUMBER($K119)),ISNUMBER($O119))),1,0)</f>
        <v>0</v>
      </c>
      <c r="AN119" s="57" t="str">
        <f>IF($A119="","",$A119-WEEKDAY($A119,3))</f>
        <v/>
      </c>
      <c r="AO119" s="56" t="str">
        <f>IF($A119="","",WEEKDAY($A119,2))</f>
        <v/>
      </c>
      <c r="AP119" s="55" t="str">
        <f>IF(OR($AM119=0,$C119=""),"",IFERROR(N(INDEX(Accounts!$E$7:$E$16,MATCH($C119,Accounts!$B$7:$B$16,0))),0)+SUMIFS($Q$6:$Q119,$C$6:$C119,$C119))</f>
        <v/>
      </c>
      <c r="AQ119" s="55" t="str">
        <f>IF(OR($AM119=0,$C119=""),"",SUMIFS($Q$6:$Q$1005,$C$6:$C$1005,$C119,$A$6:$A$1005,$A119))</f>
        <v/>
      </c>
      <c r="AR119" s="55" t="str">
        <f>IF(OR($AM119=0,$C119=""),"",IFERROR(N(INDEX(Accounts!$E$7:$E$16,MATCH($C119,Accounts!$B$7:$B$16,0))),0)+SUMIFS($Q$6:$Q$1005,$C$6:$C$1005,$C119,$A$6:$A$1005,"&lt;="&amp;$A119))</f>
        <v/>
      </c>
      <c r="AS119" s="56">
        <f>IF(OR($AM119=0,$Q119=""),0,IF(AND($A119&gt;=Lists!$W$6,$A119&lt;=Lists!$W$7,OR(Dashboard!$D$6="All accounts",$C119=Dashboard!$D$6),OR(Dashboard!$D$7="All markets",$AF119=Dashboard!$D$7)),1,0))</f>
        <v>0</v>
      </c>
      <c r="AT119" s="55">
        <f>IF($AS119=1,N(AT118)+$Q119,N(AT118))</f>
        <v>1187.10688</v>
      </c>
      <c r="AU119" s="55">
        <f>MAX(N(AU118),$AT119)</f>
        <v>1187.10688</v>
      </c>
      <c r="AV119" s="55">
        <f>$AT119-$AU119</f>
        <v>0</v>
      </c>
      <c r="AW119" s="56">
        <f>IF($AS119=1,IF($S119="Win",N(AW118)+1,IF($S119="Loss",0,N(AW118))),N(AW118))</f>
        <v>5</v>
      </c>
      <c r="AX119" s="56">
        <f>IF($AS119=1,IF($S119="Loss",N(AX118)+1,IF($S119="Win",0,N(AX118))),N(AX118))</f>
        <v>0</v>
      </c>
      <c r="AY119" s="56" t="str">
        <f>IF($AS119=1,COUNTIF($AS$6:$AS119,1),"")</f>
        <v/>
      </c>
      <c r="AZ119" s="56">
        <f>MIN(113,N(Lists!$W$8))</f>
        <v>28</v>
      </c>
      <c r="BA119" s="56">
        <f>IF($AS119=1,IF(COUNTIFS($A$6:$A119,$A119,$AS$6:$AS119,1)=1,1,0),0)</f>
        <v>0</v>
      </c>
      <c r="BB119" s="55" t="str">
        <f>IF($BA119=1,SUMIFS($Q$6:$Q$1005,$A$6:$A$1005,$A119,$AS$6:$AS$1005,1),"")</f>
        <v/>
      </c>
      <c r="BC119" s="56">
        <f>IF(ISNUMBER($R119),1,0)</f>
        <v>0</v>
      </c>
      <c r="BD119" s="55" t="str">
        <f>IF(ISNUMBER($U119),$U119*$V119,"")</f>
        <v/>
      </c>
      <c r="BE119" s="56" t="str">
        <f>IF($AM119=0,"",IFERROR(MATCH($AF119&amp;"|"&amp;UPPER(TRIM($E119)),Lists!$A$6:$A$205,0),0))</f>
        <v/>
      </c>
      <c r="BF119" s="56" t="str">
        <f>IF($AM119=0,"",IFERROR(MATCH($AF119,Settings!$B$14:$B$18,0),IFERROR(MATCH(Settings!$C$6,Settings!$B$14:$B$18,0),1)))</f>
        <v/>
      </c>
      <c r="BG119" s="58" t="str">
        <f>IF($AM119=0,"",IF(NOT(ISNUMBER($I119)),"No stop; ","")&amp;IF(AND(ISNUMBER($H119),ISNUMBER($I119)),IF(OR(AND($F119&lt;&gt;"Short",$I119&gt;=$H119),AND($F119="Short",$I119&lt;=$H119)),"Stop on wrong side; ",""),"")&amp;IF($F119="","No direction; ","")&amp;IF(AND(ISNUMBER(Settings!$C$22),ISNUMBER($V119)),IF($V119&gt;Settings!$C$22,"Risk over max $; ",""),"")&amp;IF(AND(ISNUMBER(Settings!$C$23),ISNUMBER($V119),ISNUMBER($AP119),IFERROR(N(INDEX(Accounts!$E$7:$E$16,MATCH($C119,Accounts!$B$7:$B$16,0))),0)&gt;0),IF($V119&gt;Settings!$C$23*($AP119-N($Q119)),"Risk over max %; ",""),"")&amp;IF(AND(ISNUMBER(Settings!$C$24),ISNUMBER($N119)),IF($N119&gt;Settings!$C$24,"Leverage over max; ",""),"")&amp;IF(AND(ISNUMBER(Settings!$C$27),ISNUMBER($T119)),IF($T119&lt;Settings!$C$27,"R:R below min; ",""),"")&amp;IF(ISNUMBER(Settings!$C$25),IF(COUNTIFS($A$6:$A119,$A119,$AM$6:$AM119,1)&gt;Settings!$C$25,"Over max trades/day; ",""),"")&amp;IF(ISNUMBER(Settings!$C$26),IF(SUMIFS($Q$5:$Q118,$A$5:$A118,$A119)&lt;=-Settings!$C$26,"Traded after daily max loss; ",""),"")&amp;IF(AND($AG119="",NOT(ISNUMBER($O119))),"Symbol not in Instruments; ","")&amp;IF(AND($AH119="",NOT(ISNUMBER($O119))),"Forex cross: type Gross P&amp;L; ",""))</f>
        <v/>
      </c>
      <c r="BH119" s="56">
        <f>IF(ISNUMBER($Q119),1,0)</f>
        <v>0</v>
      </c>
      <c r="BI119" s="56">
        <f>IF($Y119="",0,1)</f>
        <v>0</v>
      </c>
      <c r="BJ119" s="56">
        <f>IF($AB119="",0,1)</f>
        <v>0</v>
      </c>
      <c r="BK119" s="56">
        <f>IF(AND($BH119=1,$W119&lt;&gt;"OK"),1,0)</f>
        <v>0</v>
      </c>
      <c r="BL119" s="55">
        <f>IF(N($AZ119)=0,0,IFERROR(INDEX($AT$6:$AT$1005,MATCH($AZ119,$AY$6:$AY$1005,0)),0))</f>
        <v>1187.10688</v>
      </c>
      <c r="BM119" s="56">
        <f>IF(ISNUMBER(SEARCH("daily max loss",$BG119)),1,0)</f>
        <v>0</v>
      </c>
    </row>
    <row r="120" ht="18" customHeight="1">
      <c r="A120" s="38" t="n"/>
      <c r="B120" s="39" t="n"/>
      <c r="C120" s="40" t="n"/>
      <c r="D120" s="41" t="n"/>
      <c r="E120" s="41" t="n"/>
      <c r="F120" s="41" t="n"/>
      <c r="G120" s="41" t="n"/>
      <c r="H120" s="42" t="n"/>
      <c r="I120" s="42" t="n"/>
      <c r="J120" s="42" t="n"/>
      <c r="K120" s="42" t="n"/>
      <c r="L120" s="41" t="n"/>
      <c r="M120" s="41" t="n"/>
      <c r="N120" s="41" t="n"/>
      <c r="O120" s="43" t="n"/>
      <c r="P120" s="43" t="n"/>
      <c r="Q120" s="44" t="str">
        <f>IF($AM120=0,"",IF(ISNUMBER($AK120),$AK120-N($AL120),""))</f>
        <v/>
      </c>
      <c r="R120" s="45" t="str">
        <f>IF(OR($Q120="",NOT(ISNUMBER($V120))),"",$AK120/$V120)</f>
        <v/>
      </c>
      <c r="S120" s="46" t="str">
        <f>IF($Q120="","",IF(AND(ISNUMBER($R120),ABS(N($R120))&lt;N(Settings!$C$8)),"Scratch",IF($Q120&gt;0,"Win",IF($Q120&lt;0,"Loss","Scratch"))))</f>
        <v/>
      </c>
      <c r="T120" s="47" t="str">
        <f>IF(OR($AM120=0,NOT(ISNUMBER($H120)),NOT(ISNUMBER($I120)),NOT(ISNUMBER($J120))),"",IF($H120=$I120,"",ROUND(ABS($J120-$H120)/ABS($H120-$I120),6)))</f>
        <v/>
      </c>
      <c r="U120" s="48" t="str">
        <f>IF(OR($S120&lt;&gt;"Win",NOT(ISNUMBER($T120)),NOT(ISNUMBER($R120))),"",MAX(0,$T120-$R120))</f>
        <v/>
      </c>
      <c r="V120" s="49" t="str">
        <f>IF(OR($AM120=0,NOT(ISNUMBER($H120)),NOT(ISNUMBER($I120)),NOT(ISNUMBER($G120))),"",IF(OR($AG120="",$AH120=""),"",IF(ROUND(ABS($H120-$I120)*ABS($G120)*$AG120*$AH120,6)=0,"",ROUND(ABS($H120-$I120)*ABS($G120)*$AG120*$AH120,6))))</f>
        <v/>
      </c>
      <c r="W120" s="50" t="str">
        <f>IF($AM120=0,"",IF($BG120="","OK",LEFT($BG120,LEN($BG120)-2)))</f>
        <v/>
      </c>
      <c r="X120" s="41" t="n"/>
      <c r="Y120" s="40" t="n"/>
      <c r="Z120" s="41" t="n"/>
      <c r="AA120" s="41" t="n"/>
      <c r="AB120" s="40" t="n"/>
      <c r="AC120" s="51" t="n"/>
      <c r="AD120" s="51" t="n"/>
      <c r="AE120" s="40" t="n"/>
      <c r="AF120" s="52" t="str">
        <f>IF($AM120=0,"",IF($D120&lt;&gt;"",$D120,IF(IFERROR(INDEX(Accounts!$C$7:$C$16,MATCH($C120,Accounts!$B$7:$B$16,0))&amp;"","")&lt;&gt;"",INDEX(Accounts!$C$7:$C$16,MATCH($C120,Accounts!$B$7:$B$16,0)),Settings!$C$6)))</f>
        <v/>
      </c>
      <c r="AG120" s="53" t="str">
        <f>IF($AM120=0,"",IF(AND($BE120&gt;0,N(INDEX(Instruments!$D$6:$D$205,MAX(1,$BE120)))&gt;0),INDEX(Instruments!$D$6:$D$205,MAX(1,$BE120)),IF(N(INDEX(Settings!$D$14:$D$18,$BF120))&gt;0,INDEX(Settings!$D$14:$D$18,$BF120),"")))</f>
        <v/>
      </c>
      <c r="AH120" s="54" t="str">
        <f>IF($AM120=0,"",IF($AF120&lt;&gt;"Forex",1,IF(MID(UPPER(SUBSTITUTE(TRIM($E120),"/","")),4,3)=UPPER(TRIM(Settings!$C$7)),1,IF(LEFT(UPPER(SUBSTITUTE(TRIM($E120),"/","")),3)=UPPER(TRIM(Settings!$C$7)),IF(AND(ISNUMBER($K120),N($K120)&lt;&gt;0),1/$K120,""),""))))</f>
        <v/>
      </c>
      <c r="AI120" s="55" t="str">
        <f>IF($AM120=0,"",IF(OR(NOT(ISNUMBER($H120)),NOT(ISNUMBER($K120)),NOT(ISNUMBER($G120)),$AG120="",$AH120=""),"",ROUND(($K120-$H120)*IF($F120="Short",-1,1)*$G120*$AG120*$AH120,6)))</f>
        <v/>
      </c>
      <c r="AJ120" s="55" t="str">
        <f>IF($AM120=0,"",IF(INDEX(Settings!$E$14:$E$18,$BF120)="% of notional",IF(OR($AG120="",NOT(ISNUMBER($H120)),NOT(ISNUMBER($G120))),"",ROUND(ABS($H120*$G120*$AG120*N($AH120))*IF($L120="Limit",N(INDEX(Settings!$G$14:$G$18,$BF120)),N(INDEX(Settings!$H$14:$H$18,$BF120)))+IF(ISNUMBER($K120),ABS($K120*$G120*$AG120*N($AH120))*IF($M120="Target",N(INDEX(Settings!$G$14:$G$18,$BF120)),N(INDEX(Settings!$H$14:$H$18,$BF120))),0),6)),IF(NOT(ISNUMBER($G120)),"",ROUND(ABS($G120)*2*IF(AND($BE120&gt;0,ISNUMBER(INDEX(Instruments!$G$6:$G$205,MAX(1,$BE120)))),INDEX(Instruments!$G$6:$G$205,MAX(1,$BE120)),N(INDEX(Settings!$F$14:$F$18,$BF120))),6))))</f>
        <v/>
      </c>
      <c r="AK120" s="55" t="str">
        <f>IF($AM120=0,"",IF(ISNUMBER($O120),$O120,$AI120))</f>
        <v/>
      </c>
      <c r="AL120" s="55" t="str">
        <f>IF($AM120=0,"",IF(ISNUMBER($P120),$P120,N($AJ120)))</f>
        <v/>
      </c>
      <c r="AM120" s="56">
        <f>IF(AND($A120&lt;&gt;"",$E120&lt;&gt;"",OR(AND(ISNUMBER($G120),ISNUMBER($H120),ISNUMBER($K120)),ISNUMBER($O120))),1,0)</f>
        <v>0</v>
      </c>
      <c r="AN120" s="57" t="str">
        <f>IF($A120="","",$A120-WEEKDAY($A120,3))</f>
        <v/>
      </c>
      <c r="AO120" s="56" t="str">
        <f>IF($A120="","",WEEKDAY($A120,2))</f>
        <v/>
      </c>
      <c r="AP120" s="55" t="str">
        <f>IF(OR($AM120=0,$C120=""),"",IFERROR(N(INDEX(Accounts!$E$7:$E$16,MATCH($C120,Accounts!$B$7:$B$16,0))),0)+SUMIFS($Q$6:$Q120,$C$6:$C120,$C120))</f>
        <v/>
      </c>
      <c r="AQ120" s="55" t="str">
        <f>IF(OR($AM120=0,$C120=""),"",SUMIFS($Q$6:$Q$1005,$C$6:$C$1005,$C120,$A$6:$A$1005,$A120))</f>
        <v/>
      </c>
      <c r="AR120" s="55" t="str">
        <f>IF(OR($AM120=0,$C120=""),"",IFERROR(N(INDEX(Accounts!$E$7:$E$16,MATCH($C120,Accounts!$B$7:$B$16,0))),0)+SUMIFS($Q$6:$Q$1005,$C$6:$C$1005,$C120,$A$6:$A$1005,"&lt;="&amp;$A120))</f>
        <v/>
      </c>
      <c r="AS120" s="56">
        <f>IF(OR($AM120=0,$Q120=""),0,IF(AND($A120&gt;=Lists!$W$6,$A120&lt;=Lists!$W$7,OR(Dashboard!$D$6="All accounts",$C120=Dashboard!$D$6),OR(Dashboard!$D$7="All markets",$AF120=Dashboard!$D$7)),1,0))</f>
        <v>0</v>
      </c>
      <c r="AT120" s="55">
        <f>IF($AS120=1,N(AT119)+$Q120,N(AT119))</f>
        <v>1187.10688</v>
      </c>
      <c r="AU120" s="55">
        <f>MAX(N(AU119),$AT120)</f>
        <v>1187.10688</v>
      </c>
      <c r="AV120" s="55">
        <f>$AT120-$AU120</f>
        <v>0</v>
      </c>
      <c r="AW120" s="56">
        <f>IF($AS120=1,IF($S120="Win",N(AW119)+1,IF($S120="Loss",0,N(AW119))),N(AW119))</f>
        <v>5</v>
      </c>
      <c r="AX120" s="56">
        <f>IF($AS120=1,IF($S120="Loss",N(AX119)+1,IF($S120="Win",0,N(AX119))),N(AX119))</f>
        <v>0</v>
      </c>
      <c r="AY120" s="56" t="str">
        <f>IF($AS120=1,COUNTIF($AS$6:$AS120,1),"")</f>
        <v/>
      </c>
      <c r="AZ120" s="56">
        <f>MIN(114,N(Lists!$W$8))</f>
        <v>28</v>
      </c>
      <c r="BA120" s="56">
        <f>IF($AS120=1,IF(COUNTIFS($A$6:$A120,$A120,$AS$6:$AS120,1)=1,1,0),0)</f>
        <v>0</v>
      </c>
      <c r="BB120" s="55" t="str">
        <f>IF($BA120=1,SUMIFS($Q$6:$Q$1005,$A$6:$A$1005,$A120,$AS$6:$AS$1005,1),"")</f>
        <v/>
      </c>
      <c r="BC120" s="56">
        <f>IF(ISNUMBER($R120),1,0)</f>
        <v>0</v>
      </c>
      <c r="BD120" s="55" t="str">
        <f>IF(ISNUMBER($U120),$U120*$V120,"")</f>
        <v/>
      </c>
      <c r="BE120" s="56" t="str">
        <f>IF($AM120=0,"",IFERROR(MATCH($AF120&amp;"|"&amp;UPPER(TRIM($E120)),Lists!$A$6:$A$205,0),0))</f>
        <v/>
      </c>
      <c r="BF120" s="56" t="str">
        <f>IF($AM120=0,"",IFERROR(MATCH($AF120,Settings!$B$14:$B$18,0),IFERROR(MATCH(Settings!$C$6,Settings!$B$14:$B$18,0),1)))</f>
        <v/>
      </c>
      <c r="BG120" s="58" t="str">
        <f>IF($AM120=0,"",IF(NOT(ISNUMBER($I120)),"No stop; ","")&amp;IF(AND(ISNUMBER($H120),ISNUMBER($I120)),IF(OR(AND($F120&lt;&gt;"Short",$I120&gt;=$H120),AND($F120="Short",$I120&lt;=$H120)),"Stop on wrong side; ",""),"")&amp;IF($F120="","No direction; ","")&amp;IF(AND(ISNUMBER(Settings!$C$22),ISNUMBER($V120)),IF($V120&gt;Settings!$C$22,"Risk over max $; ",""),"")&amp;IF(AND(ISNUMBER(Settings!$C$23),ISNUMBER($V120),ISNUMBER($AP120),IFERROR(N(INDEX(Accounts!$E$7:$E$16,MATCH($C120,Accounts!$B$7:$B$16,0))),0)&gt;0),IF($V120&gt;Settings!$C$23*($AP120-N($Q120)),"Risk over max %; ",""),"")&amp;IF(AND(ISNUMBER(Settings!$C$24),ISNUMBER($N120)),IF($N120&gt;Settings!$C$24,"Leverage over max; ",""),"")&amp;IF(AND(ISNUMBER(Settings!$C$27),ISNUMBER($T120)),IF($T120&lt;Settings!$C$27,"R:R below min; ",""),"")&amp;IF(ISNUMBER(Settings!$C$25),IF(COUNTIFS($A$6:$A120,$A120,$AM$6:$AM120,1)&gt;Settings!$C$25,"Over max trades/day; ",""),"")&amp;IF(ISNUMBER(Settings!$C$26),IF(SUMIFS($Q$5:$Q119,$A$5:$A119,$A120)&lt;=-Settings!$C$26,"Traded after daily max loss; ",""),"")&amp;IF(AND($AG120="",NOT(ISNUMBER($O120))),"Symbol not in Instruments; ","")&amp;IF(AND($AH120="",NOT(ISNUMBER($O120))),"Forex cross: type Gross P&amp;L; ",""))</f>
        <v/>
      </c>
      <c r="BH120" s="56">
        <f>IF(ISNUMBER($Q120),1,0)</f>
        <v>0</v>
      </c>
      <c r="BI120" s="56">
        <f>IF($Y120="",0,1)</f>
        <v>0</v>
      </c>
      <c r="BJ120" s="56">
        <f>IF($AB120="",0,1)</f>
        <v>0</v>
      </c>
      <c r="BK120" s="56">
        <f>IF(AND($BH120=1,$W120&lt;&gt;"OK"),1,0)</f>
        <v>0</v>
      </c>
      <c r="BL120" s="55">
        <f>IF(N($AZ120)=0,0,IFERROR(INDEX($AT$6:$AT$1005,MATCH($AZ120,$AY$6:$AY$1005,0)),0))</f>
        <v>1187.10688</v>
      </c>
      <c r="BM120" s="56">
        <f>IF(ISNUMBER(SEARCH("daily max loss",$BG120)),1,0)</f>
        <v>0</v>
      </c>
    </row>
    <row r="121" ht="18" customHeight="1">
      <c r="A121" s="38" t="n"/>
      <c r="B121" s="39" t="n"/>
      <c r="C121" s="40" t="n"/>
      <c r="D121" s="41" t="n"/>
      <c r="E121" s="41" t="n"/>
      <c r="F121" s="41" t="n"/>
      <c r="G121" s="41" t="n"/>
      <c r="H121" s="42" t="n"/>
      <c r="I121" s="42" t="n"/>
      <c r="J121" s="42" t="n"/>
      <c r="K121" s="42" t="n"/>
      <c r="L121" s="41" t="n"/>
      <c r="M121" s="41" t="n"/>
      <c r="N121" s="41" t="n"/>
      <c r="O121" s="43" t="n"/>
      <c r="P121" s="43" t="n"/>
      <c r="Q121" s="44" t="str">
        <f>IF($AM121=0,"",IF(ISNUMBER($AK121),$AK121-N($AL121),""))</f>
        <v/>
      </c>
      <c r="R121" s="45" t="str">
        <f>IF(OR($Q121="",NOT(ISNUMBER($V121))),"",$AK121/$V121)</f>
        <v/>
      </c>
      <c r="S121" s="46" t="str">
        <f>IF($Q121="","",IF(AND(ISNUMBER($R121),ABS(N($R121))&lt;N(Settings!$C$8)),"Scratch",IF($Q121&gt;0,"Win",IF($Q121&lt;0,"Loss","Scratch"))))</f>
        <v/>
      </c>
      <c r="T121" s="47" t="str">
        <f>IF(OR($AM121=0,NOT(ISNUMBER($H121)),NOT(ISNUMBER($I121)),NOT(ISNUMBER($J121))),"",IF($H121=$I121,"",ROUND(ABS($J121-$H121)/ABS($H121-$I121),6)))</f>
        <v/>
      </c>
      <c r="U121" s="48" t="str">
        <f>IF(OR($S121&lt;&gt;"Win",NOT(ISNUMBER($T121)),NOT(ISNUMBER($R121))),"",MAX(0,$T121-$R121))</f>
        <v/>
      </c>
      <c r="V121" s="49" t="str">
        <f>IF(OR($AM121=0,NOT(ISNUMBER($H121)),NOT(ISNUMBER($I121)),NOT(ISNUMBER($G121))),"",IF(OR($AG121="",$AH121=""),"",IF(ROUND(ABS($H121-$I121)*ABS($G121)*$AG121*$AH121,6)=0,"",ROUND(ABS($H121-$I121)*ABS($G121)*$AG121*$AH121,6))))</f>
        <v/>
      </c>
      <c r="W121" s="50" t="str">
        <f>IF($AM121=0,"",IF($BG121="","OK",LEFT($BG121,LEN($BG121)-2)))</f>
        <v/>
      </c>
      <c r="X121" s="41" t="n"/>
      <c r="Y121" s="40" t="n"/>
      <c r="Z121" s="41" t="n"/>
      <c r="AA121" s="41" t="n"/>
      <c r="AB121" s="40" t="n"/>
      <c r="AC121" s="51" t="n"/>
      <c r="AD121" s="51" t="n"/>
      <c r="AE121" s="40" t="n"/>
      <c r="AF121" s="52" t="str">
        <f>IF($AM121=0,"",IF($D121&lt;&gt;"",$D121,IF(IFERROR(INDEX(Accounts!$C$7:$C$16,MATCH($C121,Accounts!$B$7:$B$16,0))&amp;"","")&lt;&gt;"",INDEX(Accounts!$C$7:$C$16,MATCH($C121,Accounts!$B$7:$B$16,0)),Settings!$C$6)))</f>
        <v/>
      </c>
      <c r="AG121" s="53" t="str">
        <f>IF($AM121=0,"",IF(AND($BE121&gt;0,N(INDEX(Instruments!$D$6:$D$205,MAX(1,$BE121)))&gt;0),INDEX(Instruments!$D$6:$D$205,MAX(1,$BE121)),IF(N(INDEX(Settings!$D$14:$D$18,$BF121))&gt;0,INDEX(Settings!$D$14:$D$18,$BF121),"")))</f>
        <v/>
      </c>
      <c r="AH121" s="54" t="str">
        <f>IF($AM121=0,"",IF($AF121&lt;&gt;"Forex",1,IF(MID(UPPER(SUBSTITUTE(TRIM($E121),"/","")),4,3)=UPPER(TRIM(Settings!$C$7)),1,IF(LEFT(UPPER(SUBSTITUTE(TRIM($E121),"/","")),3)=UPPER(TRIM(Settings!$C$7)),IF(AND(ISNUMBER($K121),N($K121)&lt;&gt;0),1/$K121,""),""))))</f>
        <v/>
      </c>
      <c r="AI121" s="55" t="str">
        <f>IF($AM121=0,"",IF(OR(NOT(ISNUMBER($H121)),NOT(ISNUMBER($K121)),NOT(ISNUMBER($G121)),$AG121="",$AH121=""),"",ROUND(($K121-$H121)*IF($F121="Short",-1,1)*$G121*$AG121*$AH121,6)))</f>
        <v/>
      </c>
      <c r="AJ121" s="55" t="str">
        <f>IF($AM121=0,"",IF(INDEX(Settings!$E$14:$E$18,$BF121)="% of notional",IF(OR($AG121="",NOT(ISNUMBER($H121)),NOT(ISNUMBER($G121))),"",ROUND(ABS($H121*$G121*$AG121*N($AH121))*IF($L121="Limit",N(INDEX(Settings!$G$14:$G$18,$BF121)),N(INDEX(Settings!$H$14:$H$18,$BF121)))+IF(ISNUMBER($K121),ABS($K121*$G121*$AG121*N($AH121))*IF($M121="Target",N(INDEX(Settings!$G$14:$G$18,$BF121)),N(INDEX(Settings!$H$14:$H$18,$BF121))),0),6)),IF(NOT(ISNUMBER($G121)),"",ROUND(ABS($G121)*2*IF(AND($BE121&gt;0,ISNUMBER(INDEX(Instruments!$G$6:$G$205,MAX(1,$BE121)))),INDEX(Instruments!$G$6:$G$205,MAX(1,$BE121)),N(INDEX(Settings!$F$14:$F$18,$BF121))),6))))</f>
        <v/>
      </c>
      <c r="AK121" s="55" t="str">
        <f>IF($AM121=0,"",IF(ISNUMBER($O121),$O121,$AI121))</f>
        <v/>
      </c>
      <c r="AL121" s="55" t="str">
        <f>IF($AM121=0,"",IF(ISNUMBER($P121),$P121,N($AJ121)))</f>
        <v/>
      </c>
      <c r="AM121" s="56">
        <f>IF(AND($A121&lt;&gt;"",$E121&lt;&gt;"",OR(AND(ISNUMBER($G121),ISNUMBER($H121),ISNUMBER($K121)),ISNUMBER($O121))),1,0)</f>
        <v>0</v>
      </c>
      <c r="AN121" s="57" t="str">
        <f>IF($A121="","",$A121-WEEKDAY($A121,3))</f>
        <v/>
      </c>
      <c r="AO121" s="56" t="str">
        <f>IF($A121="","",WEEKDAY($A121,2))</f>
        <v/>
      </c>
      <c r="AP121" s="55" t="str">
        <f>IF(OR($AM121=0,$C121=""),"",IFERROR(N(INDEX(Accounts!$E$7:$E$16,MATCH($C121,Accounts!$B$7:$B$16,0))),0)+SUMIFS($Q$6:$Q121,$C$6:$C121,$C121))</f>
        <v/>
      </c>
      <c r="AQ121" s="55" t="str">
        <f>IF(OR($AM121=0,$C121=""),"",SUMIFS($Q$6:$Q$1005,$C$6:$C$1005,$C121,$A$6:$A$1005,$A121))</f>
        <v/>
      </c>
      <c r="AR121" s="55" t="str">
        <f>IF(OR($AM121=0,$C121=""),"",IFERROR(N(INDEX(Accounts!$E$7:$E$16,MATCH($C121,Accounts!$B$7:$B$16,0))),0)+SUMIFS($Q$6:$Q$1005,$C$6:$C$1005,$C121,$A$6:$A$1005,"&lt;="&amp;$A121))</f>
        <v/>
      </c>
      <c r="AS121" s="56">
        <f>IF(OR($AM121=0,$Q121=""),0,IF(AND($A121&gt;=Lists!$W$6,$A121&lt;=Lists!$W$7,OR(Dashboard!$D$6="All accounts",$C121=Dashboard!$D$6),OR(Dashboard!$D$7="All markets",$AF121=Dashboard!$D$7)),1,0))</f>
        <v>0</v>
      </c>
      <c r="AT121" s="55">
        <f>IF($AS121=1,N(AT120)+$Q121,N(AT120))</f>
        <v>1187.10688</v>
      </c>
      <c r="AU121" s="55">
        <f>MAX(N(AU120),$AT121)</f>
        <v>1187.10688</v>
      </c>
      <c r="AV121" s="55">
        <f>$AT121-$AU121</f>
        <v>0</v>
      </c>
      <c r="AW121" s="56">
        <f>IF($AS121=1,IF($S121="Win",N(AW120)+1,IF($S121="Loss",0,N(AW120))),N(AW120))</f>
        <v>5</v>
      </c>
      <c r="AX121" s="56">
        <f>IF($AS121=1,IF($S121="Loss",N(AX120)+1,IF($S121="Win",0,N(AX120))),N(AX120))</f>
        <v>0</v>
      </c>
      <c r="AY121" s="56" t="str">
        <f>IF($AS121=1,COUNTIF($AS$6:$AS121,1),"")</f>
        <v/>
      </c>
      <c r="AZ121" s="56">
        <f>MIN(115,N(Lists!$W$8))</f>
        <v>28</v>
      </c>
      <c r="BA121" s="56">
        <f>IF($AS121=1,IF(COUNTIFS($A$6:$A121,$A121,$AS$6:$AS121,1)=1,1,0),0)</f>
        <v>0</v>
      </c>
      <c r="BB121" s="55" t="str">
        <f>IF($BA121=1,SUMIFS($Q$6:$Q$1005,$A$6:$A$1005,$A121,$AS$6:$AS$1005,1),"")</f>
        <v/>
      </c>
      <c r="BC121" s="56">
        <f>IF(ISNUMBER($R121),1,0)</f>
        <v>0</v>
      </c>
      <c r="BD121" s="55" t="str">
        <f>IF(ISNUMBER($U121),$U121*$V121,"")</f>
        <v/>
      </c>
      <c r="BE121" s="56" t="str">
        <f>IF($AM121=0,"",IFERROR(MATCH($AF121&amp;"|"&amp;UPPER(TRIM($E121)),Lists!$A$6:$A$205,0),0))</f>
        <v/>
      </c>
      <c r="BF121" s="56" t="str">
        <f>IF($AM121=0,"",IFERROR(MATCH($AF121,Settings!$B$14:$B$18,0),IFERROR(MATCH(Settings!$C$6,Settings!$B$14:$B$18,0),1)))</f>
        <v/>
      </c>
      <c r="BG121" s="58" t="str">
        <f>IF($AM121=0,"",IF(NOT(ISNUMBER($I121)),"No stop; ","")&amp;IF(AND(ISNUMBER($H121),ISNUMBER($I121)),IF(OR(AND($F121&lt;&gt;"Short",$I121&gt;=$H121),AND($F121="Short",$I121&lt;=$H121)),"Stop on wrong side; ",""),"")&amp;IF($F121="","No direction; ","")&amp;IF(AND(ISNUMBER(Settings!$C$22),ISNUMBER($V121)),IF($V121&gt;Settings!$C$22,"Risk over max $; ",""),"")&amp;IF(AND(ISNUMBER(Settings!$C$23),ISNUMBER($V121),ISNUMBER($AP121),IFERROR(N(INDEX(Accounts!$E$7:$E$16,MATCH($C121,Accounts!$B$7:$B$16,0))),0)&gt;0),IF($V121&gt;Settings!$C$23*($AP121-N($Q121)),"Risk over max %; ",""),"")&amp;IF(AND(ISNUMBER(Settings!$C$24),ISNUMBER($N121)),IF($N121&gt;Settings!$C$24,"Leverage over max; ",""),"")&amp;IF(AND(ISNUMBER(Settings!$C$27),ISNUMBER($T121)),IF($T121&lt;Settings!$C$27,"R:R below min; ",""),"")&amp;IF(ISNUMBER(Settings!$C$25),IF(COUNTIFS($A$6:$A121,$A121,$AM$6:$AM121,1)&gt;Settings!$C$25,"Over max trades/day; ",""),"")&amp;IF(ISNUMBER(Settings!$C$26),IF(SUMIFS($Q$5:$Q120,$A$5:$A120,$A121)&lt;=-Settings!$C$26,"Traded after daily max loss; ",""),"")&amp;IF(AND($AG121="",NOT(ISNUMBER($O121))),"Symbol not in Instruments; ","")&amp;IF(AND($AH121="",NOT(ISNUMBER($O121))),"Forex cross: type Gross P&amp;L; ",""))</f>
        <v/>
      </c>
      <c r="BH121" s="56">
        <f>IF(ISNUMBER($Q121),1,0)</f>
        <v>0</v>
      </c>
      <c r="BI121" s="56">
        <f>IF($Y121="",0,1)</f>
        <v>0</v>
      </c>
      <c r="BJ121" s="56">
        <f>IF($AB121="",0,1)</f>
        <v>0</v>
      </c>
      <c r="BK121" s="56">
        <f>IF(AND($BH121=1,$W121&lt;&gt;"OK"),1,0)</f>
        <v>0</v>
      </c>
      <c r="BL121" s="55">
        <f>IF(N($AZ121)=0,0,IFERROR(INDEX($AT$6:$AT$1005,MATCH($AZ121,$AY$6:$AY$1005,0)),0))</f>
        <v>1187.10688</v>
      </c>
      <c r="BM121" s="56">
        <f>IF(ISNUMBER(SEARCH("daily max loss",$BG121)),1,0)</f>
        <v>0</v>
      </c>
    </row>
    <row r="122" ht="18" customHeight="1">
      <c r="A122" s="38" t="n"/>
      <c r="B122" s="39" t="n"/>
      <c r="C122" s="40" t="n"/>
      <c r="D122" s="41" t="n"/>
      <c r="E122" s="41" t="n"/>
      <c r="F122" s="41" t="n"/>
      <c r="G122" s="41" t="n"/>
      <c r="H122" s="42" t="n"/>
      <c r="I122" s="42" t="n"/>
      <c r="J122" s="42" t="n"/>
      <c r="K122" s="42" t="n"/>
      <c r="L122" s="41" t="n"/>
      <c r="M122" s="41" t="n"/>
      <c r="N122" s="41" t="n"/>
      <c r="O122" s="43" t="n"/>
      <c r="P122" s="43" t="n"/>
      <c r="Q122" s="44" t="str">
        <f>IF($AM122=0,"",IF(ISNUMBER($AK122),$AK122-N($AL122),""))</f>
        <v/>
      </c>
      <c r="R122" s="45" t="str">
        <f>IF(OR($Q122="",NOT(ISNUMBER($V122))),"",$AK122/$V122)</f>
        <v/>
      </c>
      <c r="S122" s="46" t="str">
        <f>IF($Q122="","",IF(AND(ISNUMBER($R122),ABS(N($R122))&lt;N(Settings!$C$8)),"Scratch",IF($Q122&gt;0,"Win",IF($Q122&lt;0,"Loss","Scratch"))))</f>
        <v/>
      </c>
      <c r="T122" s="47" t="str">
        <f>IF(OR($AM122=0,NOT(ISNUMBER($H122)),NOT(ISNUMBER($I122)),NOT(ISNUMBER($J122))),"",IF($H122=$I122,"",ROUND(ABS($J122-$H122)/ABS($H122-$I122),6)))</f>
        <v/>
      </c>
      <c r="U122" s="48" t="str">
        <f>IF(OR($S122&lt;&gt;"Win",NOT(ISNUMBER($T122)),NOT(ISNUMBER($R122))),"",MAX(0,$T122-$R122))</f>
        <v/>
      </c>
      <c r="V122" s="49" t="str">
        <f>IF(OR($AM122=0,NOT(ISNUMBER($H122)),NOT(ISNUMBER($I122)),NOT(ISNUMBER($G122))),"",IF(OR($AG122="",$AH122=""),"",IF(ROUND(ABS($H122-$I122)*ABS($G122)*$AG122*$AH122,6)=0,"",ROUND(ABS($H122-$I122)*ABS($G122)*$AG122*$AH122,6))))</f>
        <v/>
      </c>
      <c r="W122" s="50" t="str">
        <f>IF($AM122=0,"",IF($BG122="","OK",LEFT($BG122,LEN($BG122)-2)))</f>
        <v/>
      </c>
      <c r="X122" s="41" t="n"/>
      <c r="Y122" s="40" t="n"/>
      <c r="Z122" s="41" t="n"/>
      <c r="AA122" s="41" t="n"/>
      <c r="AB122" s="40" t="n"/>
      <c r="AC122" s="51" t="n"/>
      <c r="AD122" s="51" t="n"/>
      <c r="AE122" s="40" t="n"/>
      <c r="AF122" s="52" t="str">
        <f>IF($AM122=0,"",IF($D122&lt;&gt;"",$D122,IF(IFERROR(INDEX(Accounts!$C$7:$C$16,MATCH($C122,Accounts!$B$7:$B$16,0))&amp;"","")&lt;&gt;"",INDEX(Accounts!$C$7:$C$16,MATCH($C122,Accounts!$B$7:$B$16,0)),Settings!$C$6)))</f>
        <v/>
      </c>
      <c r="AG122" s="53" t="str">
        <f>IF($AM122=0,"",IF(AND($BE122&gt;0,N(INDEX(Instruments!$D$6:$D$205,MAX(1,$BE122)))&gt;0),INDEX(Instruments!$D$6:$D$205,MAX(1,$BE122)),IF(N(INDEX(Settings!$D$14:$D$18,$BF122))&gt;0,INDEX(Settings!$D$14:$D$18,$BF122),"")))</f>
        <v/>
      </c>
      <c r="AH122" s="54" t="str">
        <f>IF($AM122=0,"",IF($AF122&lt;&gt;"Forex",1,IF(MID(UPPER(SUBSTITUTE(TRIM($E122),"/","")),4,3)=UPPER(TRIM(Settings!$C$7)),1,IF(LEFT(UPPER(SUBSTITUTE(TRIM($E122),"/","")),3)=UPPER(TRIM(Settings!$C$7)),IF(AND(ISNUMBER($K122),N($K122)&lt;&gt;0),1/$K122,""),""))))</f>
        <v/>
      </c>
      <c r="AI122" s="55" t="str">
        <f>IF($AM122=0,"",IF(OR(NOT(ISNUMBER($H122)),NOT(ISNUMBER($K122)),NOT(ISNUMBER($G122)),$AG122="",$AH122=""),"",ROUND(($K122-$H122)*IF($F122="Short",-1,1)*$G122*$AG122*$AH122,6)))</f>
        <v/>
      </c>
      <c r="AJ122" s="55" t="str">
        <f>IF($AM122=0,"",IF(INDEX(Settings!$E$14:$E$18,$BF122)="% of notional",IF(OR($AG122="",NOT(ISNUMBER($H122)),NOT(ISNUMBER($G122))),"",ROUND(ABS($H122*$G122*$AG122*N($AH122))*IF($L122="Limit",N(INDEX(Settings!$G$14:$G$18,$BF122)),N(INDEX(Settings!$H$14:$H$18,$BF122)))+IF(ISNUMBER($K122),ABS($K122*$G122*$AG122*N($AH122))*IF($M122="Target",N(INDEX(Settings!$G$14:$G$18,$BF122)),N(INDEX(Settings!$H$14:$H$18,$BF122))),0),6)),IF(NOT(ISNUMBER($G122)),"",ROUND(ABS($G122)*2*IF(AND($BE122&gt;0,ISNUMBER(INDEX(Instruments!$G$6:$G$205,MAX(1,$BE122)))),INDEX(Instruments!$G$6:$G$205,MAX(1,$BE122)),N(INDEX(Settings!$F$14:$F$18,$BF122))),6))))</f>
        <v/>
      </c>
      <c r="AK122" s="55" t="str">
        <f>IF($AM122=0,"",IF(ISNUMBER($O122),$O122,$AI122))</f>
        <v/>
      </c>
      <c r="AL122" s="55" t="str">
        <f>IF($AM122=0,"",IF(ISNUMBER($P122),$P122,N($AJ122)))</f>
        <v/>
      </c>
      <c r="AM122" s="56">
        <f>IF(AND($A122&lt;&gt;"",$E122&lt;&gt;"",OR(AND(ISNUMBER($G122),ISNUMBER($H122),ISNUMBER($K122)),ISNUMBER($O122))),1,0)</f>
        <v>0</v>
      </c>
      <c r="AN122" s="57" t="str">
        <f>IF($A122="","",$A122-WEEKDAY($A122,3))</f>
        <v/>
      </c>
      <c r="AO122" s="56" t="str">
        <f>IF($A122="","",WEEKDAY($A122,2))</f>
        <v/>
      </c>
      <c r="AP122" s="55" t="str">
        <f>IF(OR($AM122=0,$C122=""),"",IFERROR(N(INDEX(Accounts!$E$7:$E$16,MATCH($C122,Accounts!$B$7:$B$16,0))),0)+SUMIFS($Q$6:$Q122,$C$6:$C122,$C122))</f>
        <v/>
      </c>
      <c r="AQ122" s="55" t="str">
        <f>IF(OR($AM122=0,$C122=""),"",SUMIFS($Q$6:$Q$1005,$C$6:$C$1005,$C122,$A$6:$A$1005,$A122))</f>
        <v/>
      </c>
      <c r="AR122" s="55" t="str">
        <f>IF(OR($AM122=0,$C122=""),"",IFERROR(N(INDEX(Accounts!$E$7:$E$16,MATCH($C122,Accounts!$B$7:$B$16,0))),0)+SUMIFS($Q$6:$Q$1005,$C$6:$C$1005,$C122,$A$6:$A$1005,"&lt;="&amp;$A122))</f>
        <v/>
      </c>
      <c r="AS122" s="56">
        <f>IF(OR($AM122=0,$Q122=""),0,IF(AND($A122&gt;=Lists!$W$6,$A122&lt;=Lists!$W$7,OR(Dashboard!$D$6="All accounts",$C122=Dashboard!$D$6),OR(Dashboard!$D$7="All markets",$AF122=Dashboard!$D$7)),1,0))</f>
        <v>0</v>
      </c>
      <c r="AT122" s="55">
        <f>IF($AS122=1,N(AT121)+$Q122,N(AT121))</f>
        <v>1187.10688</v>
      </c>
      <c r="AU122" s="55">
        <f>MAX(N(AU121),$AT122)</f>
        <v>1187.10688</v>
      </c>
      <c r="AV122" s="55">
        <f>$AT122-$AU122</f>
        <v>0</v>
      </c>
      <c r="AW122" s="56">
        <f>IF($AS122=1,IF($S122="Win",N(AW121)+1,IF($S122="Loss",0,N(AW121))),N(AW121))</f>
        <v>5</v>
      </c>
      <c r="AX122" s="56">
        <f>IF($AS122=1,IF($S122="Loss",N(AX121)+1,IF($S122="Win",0,N(AX121))),N(AX121))</f>
        <v>0</v>
      </c>
      <c r="AY122" s="56" t="str">
        <f>IF($AS122=1,COUNTIF($AS$6:$AS122,1),"")</f>
        <v/>
      </c>
      <c r="AZ122" s="56">
        <f>MIN(116,N(Lists!$W$8))</f>
        <v>28</v>
      </c>
      <c r="BA122" s="56">
        <f>IF($AS122=1,IF(COUNTIFS($A$6:$A122,$A122,$AS$6:$AS122,1)=1,1,0),0)</f>
        <v>0</v>
      </c>
      <c r="BB122" s="55" t="str">
        <f>IF($BA122=1,SUMIFS($Q$6:$Q$1005,$A$6:$A$1005,$A122,$AS$6:$AS$1005,1),"")</f>
        <v/>
      </c>
      <c r="BC122" s="56">
        <f>IF(ISNUMBER($R122),1,0)</f>
        <v>0</v>
      </c>
      <c r="BD122" s="55" t="str">
        <f>IF(ISNUMBER($U122),$U122*$V122,"")</f>
        <v/>
      </c>
      <c r="BE122" s="56" t="str">
        <f>IF($AM122=0,"",IFERROR(MATCH($AF122&amp;"|"&amp;UPPER(TRIM($E122)),Lists!$A$6:$A$205,0),0))</f>
        <v/>
      </c>
      <c r="BF122" s="56" t="str">
        <f>IF($AM122=0,"",IFERROR(MATCH($AF122,Settings!$B$14:$B$18,0),IFERROR(MATCH(Settings!$C$6,Settings!$B$14:$B$18,0),1)))</f>
        <v/>
      </c>
      <c r="BG122" s="58" t="str">
        <f>IF($AM122=0,"",IF(NOT(ISNUMBER($I122)),"No stop; ","")&amp;IF(AND(ISNUMBER($H122),ISNUMBER($I122)),IF(OR(AND($F122&lt;&gt;"Short",$I122&gt;=$H122),AND($F122="Short",$I122&lt;=$H122)),"Stop on wrong side; ",""),"")&amp;IF($F122="","No direction; ","")&amp;IF(AND(ISNUMBER(Settings!$C$22),ISNUMBER($V122)),IF($V122&gt;Settings!$C$22,"Risk over max $; ",""),"")&amp;IF(AND(ISNUMBER(Settings!$C$23),ISNUMBER($V122),ISNUMBER($AP122),IFERROR(N(INDEX(Accounts!$E$7:$E$16,MATCH($C122,Accounts!$B$7:$B$16,0))),0)&gt;0),IF($V122&gt;Settings!$C$23*($AP122-N($Q122)),"Risk over max %; ",""),"")&amp;IF(AND(ISNUMBER(Settings!$C$24),ISNUMBER($N122)),IF($N122&gt;Settings!$C$24,"Leverage over max; ",""),"")&amp;IF(AND(ISNUMBER(Settings!$C$27),ISNUMBER($T122)),IF($T122&lt;Settings!$C$27,"R:R below min; ",""),"")&amp;IF(ISNUMBER(Settings!$C$25),IF(COUNTIFS($A$6:$A122,$A122,$AM$6:$AM122,1)&gt;Settings!$C$25,"Over max trades/day; ",""),"")&amp;IF(ISNUMBER(Settings!$C$26),IF(SUMIFS($Q$5:$Q121,$A$5:$A121,$A122)&lt;=-Settings!$C$26,"Traded after daily max loss; ",""),"")&amp;IF(AND($AG122="",NOT(ISNUMBER($O122))),"Symbol not in Instruments; ","")&amp;IF(AND($AH122="",NOT(ISNUMBER($O122))),"Forex cross: type Gross P&amp;L; ",""))</f>
        <v/>
      </c>
      <c r="BH122" s="56">
        <f>IF(ISNUMBER($Q122),1,0)</f>
        <v>0</v>
      </c>
      <c r="BI122" s="56">
        <f>IF($Y122="",0,1)</f>
        <v>0</v>
      </c>
      <c r="BJ122" s="56">
        <f>IF($AB122="",0,1)</f>
        <v>0</v>
      </c>
      <c r="BK122" s="56">
        <f>IF(AND($BH122=1,$W122&lt;&gt;"OK"),1,0)</f>
        <v>0</v>
      </c>
      <c r="BL122" s="55">
        <f>IF(N($AZ122)=0,0,IFERROR(INDEX($AT$6:$AT$1005,MATCH($AZ122,$AY$6:$AY$1005,0)),0))</f>
        <v>1187.10688</v>
      </c>
      <c r="BM122" s="56">
        <f>IF(ISNUMBER(SEARCH("daily max loss",$BG122)),1,0)</f>
        <v>0</v>
      </c>
    </row>
    <row r="123" ht="18" customHeight="1">
      <c r="A123" s="38" t="n"/>
      <c r="B123" s="39" t="n"/>
      <c r="C123" s="40" t="n"/>
      <c r="D123" s="41" t="n"/>
      <c r="E123" s="41" t="n"/>
      <c r="F123" s="41" t="n"/>
      <c r="G123" s="41" t="n"/>
      <c r="H123" s="42" t="n"/>
      <c r="I123" s="42" t="n"/>
      <c r="J123" s="42" t="n"/>
      <c r="K123" s="42" t="n"/>
      <c r="L123" s="41" t="n"/>
      <c r="M123" s="41" t="n"/>
      <c r="N123" s="41" t="n"/>
      <c r="O123" s="43" t="n"/>
      <c r="P123" s="43" t="n"/>
      <c r="Q123" s="44" t="str">
        <f>IF($AM123=0,"",IF(ISNUMBER($AK123),$AK123-N($AL123),""))</f>
        <v/>
      </c>
      <c r="R123" s="45" t="str">
        <f>IF(OR($Q123="",NOT(ISNUMBER($V123))),"",$AK123/$V123)</f>
        <v/>
      </c>
      <c r="S123" s="46" t="str">
        <f>IF($Q123="","",IF(AND(ISNUMBER($R123),ABS(N($R123))&lt;N(Settings!$C$8)),"Scratch",IF($Q123&gt;0,"Win",IF($Q123&lt;0,"Loss","Scratch"))))</f>
        <v/>
      </c>
      <c r="T123" s="47" t="str">
        <f>IF(OR($AM123=0,NOT(ISNUMBER($H123)),NOT(ISNUMBER($I123)),NOT(ISNUMBER($J123))),"",IF($H123=$I123,"",ROUND(ABS($J123-$H123)/ABS($H123-$I123),6)))</f>
        <v/>
      </c>
      <c r="U123" s="48" t="str">
        <f>IF(OR($S123&lt;&gt;"Win",NOT(ISNUMBER($T123)),NOT(ISNUMBER($R123))),"",MAX(0,$T123-$R123))</f>
        <v/>
      </c>
      <c r="V123" s="49" t="str">
        <f>IF(OR($AM123=0,NOT(ISNUMBER($H123)),NOT(ISNUMBER($I123)),NOT(ISNUMBER($G123))),"",IF(OR($AG123="",$AH123=""),"",IF(ROUND(ABS($H123-$I123)*ABS($G123)*$AG123*$AH123,6)=0,"",ROUND(ABS($H123-$I123)*ABS($G123)*$AG123*$AH123,6))))</f>
        <v/>
      </c>
      <c r="W123" s="50" t="str">
        <f>IF($AM123=0,"",IF($BG123="","OK",LEFT($BG123,LEN($BG123)-2)))</f>
        <v/>
      </c>
      <c r="X123" s="41" t="n"/>
      <c r="Y123" s="40" t="n"/>
      <c r="Z123" s="41" t="n"/>
      <c r="AA123" s="41" t="n"/>
      <c r="AB123" s="40" t="n"/>
      <c r="AC123" s="51" t="n"/>
      <c r="AD123" s="51" t="n"/>
      <c r="AE123" s="40" t="n"/>
      <c r="AF123" s="52" t="str">
        <f>IF($AM123=0,"",IF($D123&lt;&gt;"",$D123,IF(IFERROR(INDEX(Accounts!$C$7:$C$16,MATCH($C123,Accounts!$B$7:$B$16,0))&amp;"","")&lt;&gt;"",INDEX(Accounts!$C$7:$C$16,MATCH($C123,Accounts!$B$7:$B$16,0)),Settings!$C$6)))</f>
        <v/>
      </c>
      <c r="AG123" s="53" t="str">
        <f>IF($AM123=0,"",IF(AND($BE123&gt;0,N(INDEX(Instruments!$D$6:$D$205,MAX(1,$BE123)))&gt;0),INDEX(Instruments!$D$6:$D$205,MAX(1,$BE123)),IF(N(INDEX(Settings!$D$14:$D$18,$BF123))&gt;0,INDEX(Settings!$D$14:$D$18,$BF123),"")))</f>
        <v/>
      </c>
      <c r="AH123" s="54" t="str">
        <f>IF($AM123=0,"",IF($AF123&lt;&gt;"Forex",1,IF(MID(UPPER(SUBSTITUTE(TRIM($E123),"/","")),4,3)=UPPER(TRIM(Settings!$C$7)),1,IF(LEFT(UPPER(SUBSTITUTE(TRIM($E123),"/","")),3)=UPPER(TRIM(Settings!$C$7)),IF(AND(ISNUMBER($K123),N($K123)&lt;&gt;0),1/$K123,""),""))))</f>
        <v/>
      </c>
      <c r="AI123" s="55" t="str">
        <f>IF($AM123=0,"",IF(OR(NOT(ISNUMBER($H123)),NOT(ISNUMBER($K123)),NOT(ISNUMBER($G123)),$AG123="",$AH123=""),"",ROUND(($K123-$H123)*IF($F123="Short",-1,1)*$G123*$AG123*$AH123,6)))</f>
        <v/>
      </c>
      <c r="AJ123" s="55" t="str">
        <f>IF($AM123=0,"",IF(INDEX(Settings!$E$14:$E$18,$BF123)="% of notional",IF(OR($AG123="",NOT(ISNUMBER($H123)),NOT(ISNUMBER($G123))),"",ROUND(ABS($H123*$G123*$AG123*N($AH123))*IF($L123="Limit",N(INDEX(Settings!$G$14:$G$18,$BF123)),N(INDEX(Settings!$H$14:$H$18,$BF123)))+IF(ISNUMBER($K123),ABS($K123*$G123*$AG123*N($AH123))*IF($M123="Target",N(INDEX(Settings!$G$14:$G$18,$BF123)),N(INDEX(Settings!$H$14:$H$18,$BF123))),0),6)),IF(NOT(ISNUMBER($G123)),"",ROUND(ABS($G123)*2*IF(AND($BE123&gt;0,ISNUMBER(INDEX(Instruments!$G$6:$G$205,MAX(1,$BE123)))),INDEX(Instruments!$G$6:$G$205,MAX(1,$BE123)),N(INDEX(Settings!$F$14:$F$18,$BF123))),6))))</f>
        <v/>
      </c>
      <c r="AK123" s="55" t="str">
        <f>IF($AM123=0,"",IF(ISNUMBER($O123),$O123,$AI123))</f>
        <v/>
      </c>
      <c r="AL123" s="55" t="str">
        <f>IF($AM123=0,"",IF(ISNUMBER($P123),$P123,N($AJ123)))</f>
        <v/>
      </c>
      <c r="AM123" s="56">
        <f>IF(AND($A123&lt;&gt;"",$E123&lt;&gt;"",OR(AND(ISNUMBER($G123),ISNUMBER($H123),ISNUMBER($K123)),ISNUMBER($O123))),1,0)</f>
        <v>0</v>
      </c>
      <c r="AN123" s="57" t="str">
        <f>IF($A123="","",$A123-WEEKDAY($A123,3))</f>
        <v/>
      </c>
      <c r="AO123" s="56" t="str">
        <f>IF($A123="","",WEEKDAY($A123,2))</f>
        <v/>
      </c>
      <c r="AP123" s="55" t="str">
        <f>IF(OR($AM123=0,$C123=""),"",IFERROR(N(INDEX(Accounts!$E$7:$E$16,MATCH($C123,Accounts!$B$7:$B$16,0))),0)+SUMIFS($Q$6:$Q123,$C$6:$C123,$C123))</f>
        <v/>
      </c>
      <c r="AQ123" s="55" t="str">
        <f>IF(OR($AM123=0,$C123=""),"",SUMIFS($Q$6:$Q$1005,$C$6:$C$1005,$C123,$A$6:$A$1005,$A123))</f>
        <v/>
      </c>
      <c r="AR123" s="55" t="str">
        <f>IF(OR($AM123=0,$C123=""),"",IFERROR(N(INDEX(Accounts!$E$7:$E$16,MATCH($C123,Accounts!$B$7:$B$16,0))),0)+SUMIFS($Q$6:$Q$1005,$C$6:$C$1005,$C123,$A$6:$A$1005,"&lt;="&amp;$A123))</f>
        <v/>
      </c>
      <c r="AS123" s="56">
        <f>IF(OR($AM123=0,$Q123=""),0,IF(AND($A123&gt;=Lists!$W$6,$A123&lt;=Lists!$W$7,OR(Dashboard!$D$6="All accounts",$C123=Dashboard!$D$6),OR(Dashboard!$D$7="All markets",$AF123=Dashboard!$D$7)),1,0))</f>
        <v>0</v>
      </c>
      <c r="AT123" s="55">
        <f>IF($AS123=1,N(AT122)+$Q123,N(AT122))</f>
        <v>1187.10688</v>
      </c>
      <c r="AU123" s="55">
        <f>MAX(N(AU122),$AT123)</f>
        <v>1187.10688</v>
      </c>
      <c r="AV123" s="55">
        <f>$AT123-$AU123</f>
        <v>0</v>
      </c>
      <c r="AW123" s="56">
        <f>IF($AS123=1,IF($S123="Win",N(AW122)+1,IF($S123="Loss",0,N(AW122))),N(AW122))</f>
        <v>5</v>
      </c>
      <c r="AX123" s="56">
        <f>IF($AS123=1,IF($S123="Loss",N(AX122)+1,IF($S123="Win",0,N(AX122))),N(AX122))</f>
        <v>0</v>
      </c>
      <c r="AY123" s="56" t="str">
        <f>IF($AS123=1,COUNTIF($AS$6:$AS123,1),"")</f>
        <v/>
      </c>
      <c r="AZ123" s="56">
        <f>MIN(117,N(Lists!$W$8))</f>
        <v>28</v>
      </c>
      <c r="BA123" s="56">
        <f>IF($AS123=1,IF(COUNTIFS($A$6:$A123,$A123,$AS$6:$AS123,1)=1,1,0),0)</f>
        <v>0</v>
      </c>
      <c r="BB123" s="55" t="str">
        <f>IF($BA123=1,SUMIFS($Q$6:$Q$1005,$A$6:$A$1005,$A123,$AS$6:$AS$1005,1),"")</f>
        <v/>
      </c>
      <c r="BC123" s="56">
        <f>IF(ISNUMBER($R123),1,0)</f>
        <v>0</v>
      </c>
      <c r="BD123" s="55" t="str">
        <f>IF(ISNUMBER($U123),$U123*$V123,"")</f>
        <v/>
      </c>
      <c r="BE123" s="56" t="str">
        <f>IF($AM123=0,"",IFERROR(MATCH($AF123&amp;"|"&amp;UPPER(TRIM($E123)),Lists!$A$6:$A$205,0),0))</f>
        <v/>
      </c>
      <c r="BF123" s="56" t="str">
        <f>IF($AM123=0,"",IFERROR(MATCH($AF123,Settings!$B$14:$B$18,0),IFERROR(MATCH(Settings!$C$6,Settings!$B$14:$B$18,0),1)))</f>
        <v/>
      </c>
      <c r="BG123" s="58" t="str">
        <f>IF($AM123=0,"",IF(NOT(ISNUMBER($I123)),"No stop; ","")&amp;IF(AND(ISNUMBER($H123),ISNUMBER($I123)),IF(OR(AND($F123&lt;&gt;"Short",$I123&gt;=$H123),AND($F123="Short",$I123&lt;=$H123)),"Stop on wrong side; ",""),"")&amp;IF($F123="","No direction; ","")&amp;IF(AND(ISNUMBER(Settings!$C$22),ISNUMBER($V123)),IF($V123&gt;Settings!$C$22,"Risk over max $; ",""),"")&amp;IF(AND(ISNUMBER(Settings!$C$23),ISNUMBER($V123),ISNUMBER($AP123),IFERROR(N(INDEX(Accounts!$E$7:$E$16,MATCH($C123,Accounts!$B$7:$B$16,0))),0)&gt;0),IF($V123&gt;Settings!$C$23*($AP123-N($Q123)),"Risk over max %; ",""),"")&amp;IF(AND(ISNUMBER(Settings!$C$24),ISNUMBER($N123)),IF($N123&gt;Settings!$C$24,"Leverage over max; ",""),"")&amp;IF(AND(ISNUMBER(Settings!$C$27),ISNUMBER($T123)),IF($T123&lt;Settings!$C$27,"R:R below min; ",""),"")&amp;IF(ISNUMBER(Settings!$C$25),IF(COUNTIFS($A$6:$A123,$A123,$AM$6:$AM123,1)&gt;Settings!$C$25,"Over max trades/day; ",""),"")&amp;IF(ISNUMBER(Settings!$C$26),IF(SUMIFS($Q$5:$Q122,$A$5:$A122,$A123)&lt;=-Settings!$C$26,"Traded after daily max loss; ",""),"")&amp;IF(AND($AG123="",NOT(ISNUMBER($O123))),"Symbol not in Instruments; ","")&amp;IF(AND($AH123="",NOT(ISNUMBER($O123))),"Forex cross: type Gross P&amp;L; ",""))</f>
        <v/>
      </c>
      <c r="BH123" s="56">
        <f>IF(ISNUMBER($Q123),1,0)</f>
        <v>0</v>
      </c>
      <c r="BI123" s="56">
        <f>IF($Y123="",0,1)</f>
        <v>0</v>
      </c>
      <c r="BJ123" s="56">
        <f>IF($AB123="",0,1)</f>
        <v>0</v>
      </c>
      <c r="BK123" s="56">
        <f>IF(AND($BH123=1,$W123&lt;&gt;"OK"),1,0)</f>
        <v>0</v>
      </c>
      <c r="BL123" s="55">
        <f>IF(N($AZ123)=0,0,IFERROR(INDEX($AT$6:$AT$1005,MATCH($AZ123,$AY$6:$AY$1005,0)),0))</f>
        <v>1187.10688</v>
      </c>
      <c r="BM123" s="56">
        <f>IF(ISNUMBER(SEARCH("daily max loss",$BG123)),1,0)</f>
        <v>0</v>
      </c>
    </row>
    <row r="124" ht="18" customHeight="1">
      <c r="A124" s="38" t="n"/>
      <c r="B124" s="39" t="n"/>
      <c r="C124" s="40" t="n"/>
      <c r="D124" s="41" t="n"/>
      <c r="E124" s="41" t="n"/>
      <c r="F124" s="41" t="n"/>
      <c r="G124" s="41" t="n"/>
      <c r="H124" s="42" t="n"/>
      <c r="I124" s="42" t="n"/>
      <c r="J124" s="42" t="n"/>
      <c r="K124" s="42" t="n"/>
      <c r="L124" s="41" t="n"/>
      <c r="M124" s="41" t="n"/>
      <c r="N124" s="41" t="n"/>
      <c r="O124" s="43" t="n"/>
      <c r="P124" s="43" t="n"/>
      <c r="Q124" s="44" t="str">
        <f>IF($AM124=0,"",IF(ISNUMBER($AK124),$AK124-N($AL124),""))</f>
        <v/>
      </c>
      <c r="R124" s="45" t="str">
        <f>IF(OR($Q124="",NOT(ISNUMBER($V124))),"",$AK124/$V124)</f>
        <v/>
      </c>
      <c r="S124" s="46" t="str">
        <f>IF($Q124="","",IF(AND(ISNUMBER($R124),ABS(N($R124))&lt;N(Settings!$C$8)),"Scratch",IF($Q124&gt;0,"Win",IF($Q124&lt;0,"Loss","Scratch"))))</f>
        <v/>
      </c>
      <c r="T124" s="47" t="str">
        <f>IF(OR($AM124=0,NOT(ISNUMBER($H124)),NOT(ISNUMBER($I124)),NOT(ISNUMBER($J124))),"",IF($H124=$I124,"",ROUND(ABS($J124-$H124)/ABS($H124-$I124),6)))</f>
        <v/>
      </c>
      <c r="U124" s="48" t="str">
        <f>IF(OR($S124&lt;&gt;"Win",NOT(ISNUMBER($T124)),NOT(ISNUMBER($R124))),"",MAX(0,$T124-$R124))</f>
        <v/>
      </c>
      <c r="V124" s="49" t="str">
        <f>IF(OR($AM124=0,NOT(ISNUMBER($H124)),NOT(ISNUMBER($I124)),NOT(ISNUMBER($G124))),"",IF(OR($AG124="",$AH124=""),"",IF(ROUND(ABS($H124-$I124)*ABS($G124)*$AG124*$AH124,6)=0,"",ROUND(ABS($H124-$I124)*ABS($G124)*$AG124*$AH124,6))))</f>
        <v/>
      </c>
      <c r="W124" s="50" t="str">
        <f>IF($AM124=0,"",IF($BG124="","OK",LEFT($BG124,LEN($BG124)-2)))</f>
        <v/>
      </c>
      <c r="X124" s="41" t="n"/>
      <c r="Y124" s="40" t="n"/>
      <c r="Z124" s="41" t="n"/>
      <c r="AA124" s="41" t="n"/>
      <c r="AB124" s="40" t="n"/>
      <c r="AC124" s="51" t="n"/>
      <c r="AD124" s="51" t="n"/>
      <c r="AE124" s="40" t="n"/>
      <c r="AF124" s="52" t="str">
        <f>IF($AM124=0,"",IF($D124&lt;&gt;"",$D124,IF(IFERROR(INDEX(Accounts!$C$7:$C$16,MATCH($C124,Accounts!$B$7:$B$16,0))&amp;"","")&lt;&gt;"",INDEX(Accounts!$C$7:$C$16,MATCH($C124,Accounts!$B$7:$B$16,0)),Settings!$C$6)))</f>
        <v/>
      </c>
      <c r="AG124" s="53" t="str">
        <f>IF($AM124=0,"",IF(AND($BE124&gt;0,N(INDEX(Instruments!$D$6:$D$205,MAX(1,$BE124)))&gt;0),INDEX(Instruments!$D$6:$D$205,MAX(1,$BE124)),IF(N(INDEX(Settings!$D$14:$D$18,$BF124))&gt;0,INDEX(Settings!$D$14:$D$18,$BF124),"")))</f>
        <v/>
      </c>
      <c r="AH124" s="54" t="str">
        <f>IF($AM124=0,"",IF($AF124&lt;&gt;"Forex",1,IF(MID(UPPER(SUBSTITUTE(TRIM($E124),"/","")),4,3)=UPPER(TRIM(Settings!$C$7)),1,IF(LEFT(UPPER(SUBSTITUTE(TRIM($E124),"/","")),3)=UPPER(TRIM(Settings!$C$7)),IF(AND(ISNUMBER($K124),N($K124)&lt;&gt;0),1/$K124,""),""))))</f>
        <v/>
      </c>
      <c r="AI124" s="55" t="str">
        <f>IF($AM124=0,"",IF(OR(NOT(ISNUMBER($H124)),NOT(ISNUMBER($K124)),NOT(ISNUMBER($G124)),$AG124="",$AH124=""),"",ROUND(($K124-$H124)*IF($F124="Short",-1,1)*$G124*$AG124*$AH124,6)))</f>
        <v/>
      </c>
      <c r="AJ124" s="55" t="str">
        <f>IF($AM124=0,"",IF(INDEX(Settings!$E$14:$E$18,$BF124)="% of notional",IF(OR($AG124="",NOT(ISNUMBER($H124)),NOT(ISNUMBER($G124))),"",ROUND(ABS($H124*$G124*$AG124*N($AH124))*IF($L124="Limit",N(INDEX(Settings!$G$14:$G$18,$BF124)),N(INDEX(Settings!$H$14:$H$18,$BF124)))+IF(ISNUMBER($K124),ABS($K124*$G124*$AG124*N($AH124))*IF($M124="Target",N(INDEX(Settings!$G$14:$G$18,$BF124)),N(INDEX(Settings!$H$14:$H$18,$BF124))),0),6)),IF(NOT(ISNUMBER($G124)),"",ROUND(ABS($G124)*2*IF(AND($BE124&gt;0,ISNUMBER(INDEX(Instruments!$G$6:$G$205,MAX(1,$BE124)))),INDEX(Instruments!$G$6:$G$205,MAX(1,$BE124)),N(INDEX(Settings!$F$14:$F$18,$BF124))),6))))</f>
        <v/>
      </c>
      <c r="AK124" s="55" t="str">
        <f>IF($AM124=0,"",IF(ISNUMBER($O124),$O124,$AI124))</f>
        <v/>
      </c>
      <c r="AL124" s="55" t="str">
        <f>IF($AM124=0,"",IF(ISNUMBER($P124),$P124,N($AJ124)))</f>
        <v/>
      </c>
      <c r="AM124" s="56">
        <f>IF(AND($A124&lt;&gt;"",$E124&lt;&gt;"",OR(AND(ISNUMBER($G124),ISNUMBER($H124),ISNUMBER($K124)),ISNUMBER($O124))),1,0)</f>
        <v>0</v>
      </c>
      <c r="AN124" s="57" t="str">
        <f>IF($A124="","",$A124-WEEKDAY($A124,3))</f>
        <v/>
      </c>
      <c r="AO124" s="56" t="str">
        <f>IF($A124="","",WEEKDAY($A124,2))</f>
        <v/>
      </c>
      <c r="AP124" s="55" t="str">
        <f>IF(OR($AM124=0,$C124=""),"",IFERROR(N(INDEX(Accounts!$E$7:$E$16,MATCH($C124,Accounts!$B$7:$B$16,0))),0)+SUMIFS($Q$6:$Q124,$C$6:$C124,$C124))</f>
        <v/>
      </c>
      <c r="AQ124" s="55" t="str">
        <f>IF(OR($AM124=0,$C124=""),"",SUMIFS($Q$6:$Q$1005,$C$6:$C$1005,$C124,$A$6:$A$1005,$A124))</f>
        <v/>
      </c>
      <c r="AR124" s="55" t="str">
        <f>IF(OR($AM124=0,$C124=""),"",IFERROR(N(INDEX(Accounts!$E$7:$E$16,MATCH($C124,Accounts!$B$7:$B$16,0))),0)+SUMIFS($Q$6:$Q$1005,$C$6:$C$1005,$C124,$A$6:$A$1005,"&lt;="&amp;$A124))</f>
        <v/>
      </c>
      <c r="AS124" s="56">
        <f>IF(OR($AM124=0,$Q124=""),0,IF(AND($A124&gt;=Lists!$W$6,$A124&lt;=Lists!$W$7,OR(Dashboard!$D$6="All accounts",$C124=Dashboard!$D$6),OR(Dashboard!$D$7="All markets",$AF124=Dashboard!$D$7)),1,0))</f>
        <v>0</v>
      </c>
      <c r="AT124" s="55">
        <f>IF($AS124=1,N(AT123)+$Q124,N(AT123))</f>
        <v>1187.10688</v>
      </c>
      <c r="AU124" s="55">
        <f>MAX(N(AU123),$AT124)</f>
        <v>1187.10688</v>
      </c>
      <c r="AV124" s="55">
        <f>$AT124-$AU124</f>
        <v>0</v>
      </c>
      <c r="AW124" s="56">
        <f>IF($AS124=1,IF($S124="Win",N(AW123)+1,IF($S124="Loss",0,N(AW123))),N(AW123))</f>
        <v>5</v>
      </c>
      <c r="AX124" s="56">
        <f>IF($AS124=1,IF($S124="Loss",N(AX123)+1,IF($S124="Win",0,N(AX123))),N(AX123))</f>
        <v>0</v>
      </c>
      <c r="AY124" s="56" t="str">
        <f>IF($AS124=1,COUNTIF($AS$6:$AS124,1),"")</f>
        <v/>
      </c>
      <c r="AZ124" s="56">
        <f>MIN(118,N(Lists!$W$8))</f>
        <v>28</v>
      </c>
      <c r="BA124" s="56">
        <f>IF($AS124=1,IF(COUNTIFS($A$6:$A124,$A124,$AS$6:$AS124,1)=1,1,0),0)</f>
        <v>0</v>
      </c>
      <c r="BB124" s="55" t="str">
        <f>IF($BA124=1,SUMIFS($Q$6:$Q$1005,$A$6:$A$1005,$A124,$AS$6:$AS$1005,1),"")</f>
        <v/>
      </c>
      <c r="BC124" s="56">
        <f>IF(ISNUMBER($R124),1,0)</f>
        <v>0</v>
      </c>
      <c r="BD124" s="55" t="str">
        <f>IF(ISNUMBER($U124),$U124*$V124,"")</f>
        <v/>
      </c>
      <c r="BE124" s="56" t="str">
        <f>IF($AM124=0,"",IFERROR(MATCH($AF124&amp;"|"&amp;UPPER(TRIM($E124)),Lists!$A$6:$A$205,0),0))</f>
        <v/>
      </c>
      <c r="BF124" s="56" t="str">
        <f>IF($AM124=0,"",IFERROR(MATCH($AF124,Settings!$B$14:$B$18,0),IFERROR(MATCH(Settings!$C$6,Settings!$B$14:$B$18,0),1)))</f>
        <v/>
      </c>
      <c r="BG124" s="58" t="str">
        <f>IF($AM124=0,"",IF(NOT(ISNUMBER($I124)),"No stop; ","")&amp;IF(AND(ISNUMBER($H124),ISNUMBER($I124)),IF(OR(AND($F124&lt;&gt;"Short",$I124&gt;=$H124),AND($F124="Short",$I124&lt;=$H124)),"Stop on wrong side; ",""),"")&amp;IF($F124="","No direction; ","")&amp;IF(AND(ISNUMBER(Settings!$C$22),ISNUMBER($V124)),IF($V124&gt;Settings!$C$22,"Risk over max $; ",""),"")&amp;IF(AND(ISNUMBER(Settings!$C$23),ISNUMBER($V124),ISNUMBER($AP124),IFERROR(N(INDEX(Accounts!$E$7:$E$16,MATCH($C124,Accounts!$B$7:$B$16,0))),0)&gt;0),IF($V124&gt;Settings!$C$23*($AP124-N($Q124)),"Risk over max %; ",""),"")&amp;IF(AND(ISNUMBER(Settings!$C$24),ISNUMBER($N124)),IF($N124&gt;Settings!$C$24,"Leverage over max; ",""),"")&amp;IF(AND(ISNUMBER(Settings!$C$27),ISNUMBER($T124)),IF($T124&lt;Settings!$C$27,"R:R below min; ",""),"")&amp;IF(ISNUMBER(Settings!$C$25),IF(COUNTIFS($A$6:$A124,$A124,$AM$6:$AM124,1)&gt;Settings!$C$25,"Over max trades/day; ",""),"")&amp;IF(ISNUMBER(Settings!$C$26),IF(SUMIFS($Q$5:$Q123,$A$5:$A123,$A124)&lt;=-Settings!$C$26,"Traded after daily max loss; ",""),"")&amp;IF(AND($AG124="",NOT(ISNUMBER($O124))),"Symbol not in Instruments; ","")&amp;IF(AND($AH124="",NOT(ISNUMBER($O124))),"Forex cross: type Gross P&amp;L; ",""))</f>
        <v/>
      </c>
      <c r="BH124" s="56">
        <f>IF(ISNUMBER($Q124),1,0)</f>
        <v>0</v>
      </c>
      <c r="BI124" s="56">
        <f>IF($Y124="",0,1)</f>
        <v>0</v>
      </c>
      <c r="BJ124" s="56">
        <f>IF($AB124="",0,1)</f>
        <v>0</v>
      </c>
      <c r="BK124" s="56">
        <f>IF(AND($BH124=1,$W124&lt;&gt;"OK"),1,0)</f>
        <v>0</v>
      </c>
      <c r="BL124" s="55">
        <f>IF(N($AZ124)=0,0,IFERROR(INDEX($AT$6:$AT$1005,MATCH($AZ124,$AY$6:$AY$1005,0)),0))</f>
        <v>1187.10688</v>
      </c>
      <c r="BM124" s="56">
        <f>IF(ISNUMBER(SEARCH("daily max loss",$BG124)),1,0)</f>
        <v>0</v>
      </c>
    </row>
    <row r="125" ht="18" customHeight="1">
      <c r="A125" s="38" t="n"/>
      <c r="B125" s="39" t="n"/>
      <c r="C125" s="40" t="n"/>
      <c r="D125" s="41" t="n"/>
      <c r="E125" s="41" t="n"/>
      <c r="F125" s="41" t="n"/>
      <c r="G125" s="41" t="n"/>
      <c r="H125" s="42" t="n"/>
      <c r="I125" s="42" t="n"/>
      <c r="J125" s="42" t="n"/>
      <c r="K125" s="42" t="n"/>
      <c r="L125" s="41" t="n"/>
      <c r="M125" s="41" t="n"/>
      <c r="N125" s="41" t="n"/>
      <c r="O125" s="43" t="n"/>
      <c r="P125" s="43" t="n"/>
      <c r="Q125" s="44" t="str">
        <f>IF($AM125=0,"",IF(ISNUMBER($AK125),$AK125-N($AL125),""))</f>
        <v/>
      </c>
      <c r="R125" s="45" t="str">
        <f>IF(OR($Q125="",NOT(ISNUMBER($V125))),"",$AK125/$V125)</f>
        <v/>
      </c>
      <c r="S125" s="46" t="str">
        <f>IF($Q125="","",IF(AND(ISNUMBER($R125),ABS(N($R125))&lt;N(Settings!$C$8)),"Scratch",IF($Q125&gt;0,"Win",IF($Q125&lt;0,"Loss","Scratch"))))</f>
        <v/>
      </c>
      <c r="T125" s="47" t="str">
        <f>IF(OR($AM125=0,NOT(ISNUMBER($H125)),NOT(ISNUMBER($I125)),NOT(ISNUMBER($J125))),"",IF($H125=$I125,"",ROUND(ABS($J125-$H125)/ABS($H125-$I125),6)))</f>
        <v/>
      </c>
      <c r="U125" s="48" t="str">
        <f>IF(OR($S125&lt;&gt;"Win",NOT(ISNUMBER($T125)),NOT(ISNUMBER($R125))),"",MAX(0,$T125-$R125))</f>
        <v/>
      </c>
      <c r="V125" s="49" t="str">
        <f>IF(OR($AM125=0,NOT(ISNUMBER($H125)),NOT(ISNUMBER($I125)),NOT(ISNUMBER($G125))),"",IF(OR($AG125="",$AH125=""),"",IF(ROUND(ABS($H125-$I125)*ABS($G125)*$AG125*$AH125,6)=0,"",ROUND(ABS($H125-$I125)*ABS($G125)*$AG125*$AH125,6))))</f>
        <v/>
      </c>
      <c r="W125" s="50" t="str">
        <f>IF($AM125=0,"",IF($BG125="","OK",LEFT($BG125,LEN($BG125)-2)))</f>
        <v/>
      </c>
      <c r="X125" s="41" t="n"/>
      <c r="Y125" s="40" t="n"/>
      <c r="Z125" s="41" t="n"/>
      <c r="AA125" s="41" t="n"/>
      <c r="AB125" s="40" t="n"/>
      <c r="AC125" s="51" t="n"/>
      <c r="AD125" s="51" t="n"/>
      <c r="AE125" s="40" t="n"/>
      <c r="AF125" s="52" t="str">
        <f>IF($AM125=0,"",IF($D125&lt;&gt;"",$D125,IF(IFERROR(INDEX(Accounts!$C$7:$C$16,MATCH($C125,Accounts!$B$7:$B$16,0))&amp;"","")&lt;&gt;"",INDEX(Accounts!$C$7:$C$16,MATCH($C125,Accounts!$B$7:$B$16,0)),Settings!$C$6)))</f>
        <v/>
      </c>
      <c r="AG125" s="53" t="str">
        <f>IF($AM125=0,"",IF(AND($BE125&gt;0,N(INDEX(Instruments!$D$6:$D$205,MAX(1,$BE125)))&gt;0),INDEX(Instruments!$D$6:$D$205,MAX(1,$BE125)),IF(N(INDEX(Settings!$D$14:$D$18,$BF125))&gt;0,INDEX(Settings!$D$14:$D$18,$BF125),"")))</f>
        <v/>
      </c>
      <c r="AH125" s="54" t="str">
        <f>IF($AM125=0,"",IF($AF125&lt;&gt;"Forex",1,IF(MID(UPPER(SUBSTITUTE(TRIM($E125),"/","")),4,3)=UPPER(TRIM(Settings!$C$7)),1,IF(LEFT(UPPER(SUBSTITUTE(TRIM($E125),"/","")),3)=UPPER(TRIM(Settings!$C$7)),IF(AND(ISNUMBER($K125),N($K125)&lt;&gt;0),1/$K125,""),""))))</f>
        <v/>
      </c>
      <c r="AI125" s="55" t="str">
        <f>IF($AM125=0,"",IF(OR(NOT(ISNUMBER($H125)),NOT(ISNUMBER($K125)),NOT(ISNUMBER($G125)),$AG125="",$AH125=""),"",ROUND(($K125-$H125)*IF($F125="Short",-1,1)*$G125*$AG125*$AH125,6)))</f>
        <v/>
      </c>
      <c r="AJ125" s="55" t="str">
        <f>IF($AM125=0,"",IF(INDEX(Settings!$E$14:$E$18,$BF125)="% of notional",IF(OR($AG125="",NOT(ISNUMBER($H125)),NOT(ISNUMBER($G125))),"",ROUND(ABS($H125*$G125*$AG125*N($AH125))*IF($L125="Limit",N(INDEX(Settings!$G$14:$G$18,$BF125)),N(INDEX(Settings!$H$14:$H$18,$BF125)))+IF(ISNUMBER($K125),ABS($K125*$G125*$AG125*N($AH125))*IF($M125="Target",N(INDEX(Settings!$G$14:$G$18,$BF125)),N(INDEX(Settings!$H$14:$H$18,$BF125))),0),6)),IF(NOT(ISNUMBER($G125)),"",ROUND(ABS($G125)*2*IF(AND($BE125&gt;0,ISNUMBER(INDEX(Instruments!$G$6:$G$205,MAX(1,$BE125)))),INDEX(Instruments!$G$6:$G$205,MAX(1,$BE125)),N(INDEX(Settings!$F$14:$F$18,$BF125))),6))))</f>
        <v/>
      </c>
      <c r="AK125" s="55" t="str">
        <f>IF($AM125=0,"",IF(ISNUMBER($O125),$O125,$AI125))</f>
        <v/>
      </c>
      <c r="AL125" s="55" t="str">
        <f>IF($AM125=0,"",IF(ISNUMBER($P125),$P125,N($AJ125)))</f>
        <v/>
      </c>
      <c r="AM125" s="56">
        <f>IF(AND($A125&lt;&gt;"",$E125&lt;&gt;"",OR(AND(ISNUMBER($G125),ISNUMBER($H125),ISNUMBER($K125)),ISNUMBER($O125))),1,0)</f>
        <v>0</v>
      </c>
      <c r="AN125" s="57" t="str">
        <f>IF($A125="","",$A125-WEEKDAY($A125,3))</f>
        <v/>
      </c>
      <c r="AO125" s="56" t="str">
        <f>IF($A125="","",WEEKDAY($A125,2))</f>
        <v/>
      </c>
      <c r="AP125" s="55" t="str">
        <f>IF(OR($AM125=0,$C125=""),"",IFERROR(N(INDEX(Accounts!$E$7:$E$16,MATCH($C125,Accounts!$B$7:$B$16,0))),0)+SUMIFS($Q$6:$Q125,$C$6:$C125,$C125))</f>
        <v/>
      </c>
      <c r="AQ125" s="55" t="str">
        <f>IF(OR($AM125=0,$C125=""),"",SUMIFS($Q$6:$Q$1005,$C$6:$C$1005,$C125,$A$6:$A$1005,$A125))</f>
        <v/>
      </c>
      <c r="AR125" s="55" t="str">
        <f>IF(OR($AM125=0,$C125=""),"",IFERROR(N(INDEX(Accounts!$E$7:$E$16,MATCH($C125,Accounts!$B$7:$B$16,0))),0)+SUMIFS($Q$6:$Q$1005,$C$6:$C$1005,$C125,$A$6:$A$1005,"&lt;="&amp;$A125))</f>
        <v/>
      </c>
      <c r="AS125" s="56">
        <f>IF(OR($AM125=0,$Q125=""),0,IF(AND($A125&gt;=Lists!$W$6,$A125&lt;=Lists!$W$7,OR(Dashboard!$D$6="All accounts",$C125=Dashboard!$D$6),OR(Dashboard!$D$7="All markets",$AF125=Dashboard!$D$7)),1,0))</f>
        <v>0</v>
      </c>
      <c r="AT125" s="55">
        <f>IF($AS125=1,N(AT124)+$Q125,N(AT124))</f>
        <v>1187.10688</v>
      </c>
      <c r="AU125" s="55">
        <f>MAX(N(AU124),$AT125)</f>
        <v>1187.10688</v>
      </c>
      <c r="AV125" s="55">
        <f>$AT125-$AU125</f>
        <v>0</v>
      </c>
      <c r="AW125" s="56">
        <f>IF($AS125=1,IF($S125="Win",N(AW124)+1,IF($S125="Loss",0,N(AW124))),N(AW124))</f>
        <v>5</v>
      </c>
      <c r="AX125" s="56">
        <f>IF($AS125=1,IF($S125="Loss",N(AX124)+1,IF($S125="Win",0,N(AX124))),N(AX124))</f>
        <v>0</v>
      </c>
      <c r="AY125" s="56" t="str">
        <f>IF($AS125=1,COUNTIF($AS$6:$AS125,1),"")</f>
        <v/>
      </c>
      <c r="AZ125" s="56">
        <f>MIN(119,N(Lists!$W$8))</f>
        <v>28</v>
      </c>
      <c r="BA125" s="56">
        <f>IF($AS125=1,IF(COUNTIFS($A$6:$A125,$A125,$AS$6:$AS125,1)=1,1,0),0)</f>
        <v>0</v>
      </c>
      <c r="BB125" s="55" t="str">
        <f>IF($BA125=1,SUMIFS($Q$6:$Q$1005,$A$6:$A$1005,$A125,$AS$6:$AS$1005,1),"")</f>
        <v/>
      </c>
      <c r="BC125" s="56">
        <f>IF(ISNUMBER($R125),1,0)</f>
        <v>0</v>
      </c>
      <c r="BD125" s="55" t="str">
        <f>IF(ISNUMBER($U125),$U125*$V125,"")</f>
        <v/>
      </c>
      <c r="BE125" s="56" t="str">
        <f>IF($AM125=0,"",IFERROR(MATCH($AF125&amp;"|"&amp;UPPER(TRIM($E125)),Lists!$A$6:$A$205,0),0))</f>
        <v/>
      </c>
      <c r="BF125" s="56" t="str">
        <f>IF($AM125=0,"",IFERROR(MATCH($AF125,Settings!$B$14:$B$18,0),IFERROR(MATCH(Settings!$C$6,Settings!$B$14:$B$18,0),1)))</f>
        <v/>
      </c>
      <c r="BG125" s="58" t="str">
        <f>IF($AM125=0,"",IF(NOT(ISNUMBER($I125)),"No stop; ","")&amp;IF(AND(ISNUMBER($H125),ISNUMBER($I125)),IF(OR(AND($F125&lt;&gt;"Short",$I125&gt;=$H125),AND($F125="Short",$I125&lt;=$H125)),"Stop on wrong side; ",""),"")&amp;IF($F125="","No direction; ","")&amp;IF(AND(ISNUMBER(Settings!$C$22),ISNUMBER($V125)),IF($V125&gt;Settings!$C$22,"Risk over max $; ",""),"")&amp;IF(AND(ISNUMBER(Settings!$C$23),ISNUMBER($V125),ISNUMBER($AP125),IFERROR(N(INDEX(Accounts!$E$7:$E$16,MATCH($C125,Accounts!$B$7:$B$16,0))),0)&gt;0),IF($V125&gt;Settings!$C$23*($AP125-N($Q125)),"Risk over max %; ",""),"")&amp;IF(AND(ISNUMBER(Settings!$C$24),ISNUMBER($N125)),IF($N125&gt;Settings!$C$24,"Leverage over max; ",""),"")&amp;IF(AND(ISNUMBER(Settings!$C$27),ISNUMBER($T125)),IF($T125&lt;Settings!$C$27,"R:R below min; ",""),"")&amp;IF(ISNUMBER(Settings!$C$25),IF(COUNTIFS($A$6:$A125,$A125,$AM$6:$AM125,1)&gt;Settings!$C$25,"Over max trades/day; ",""),"")&amp;IF(ISNUMBER(Settings!$C$26),IF(SUMIFS($Q$5:$Q124,$A$5:$A124,$A125)&lt;=-Settings!$C$26,"Traded after daily max loss; ",""),"")&amp;IF(AND($AG125="",NOT(ISNUMBER($O125))),"Symbol not in Instruments; ","")&amp;IF(AND($AH125="",NOT(ISNUMBER($O125))),"Forex cross: type Gross P&amp;L; ",""))</f>
        <v/>
      </c>
      <c r="BH125" s="56">
        <f>IF(ISNUMBER($Q125),1,0)</f>
        <v>0</v>
      </c>
      <c r="BI125" s="56">
        <f>IF($Y125="",0,1)</f>
        <v>0</v>
      </c>
      <c r="BJ125" s="56">
        <f>IF($AB125="",0,1)</f>
        <v>0</v>
      </c>
      <c r="BK125" s="56">
        <f>IF(AND($BH125=1,$W125&lt;&gt;"OK"),1,0)</f>
        <v>0</v>
      </c>
      <c r="BL125" s="55">
        <f>IF(N($AZ125)=0,0,IFERROR(INDEX($AT$6:$AT$1005,MATCH($AZ125,$AY$6:$AY$1005,0)),0))</f>
        <v>1187.10688</v>
      </c>
      <c r="BM125" s="56">
        <f>IF(ISNUMBER(SEARCH("daily max loss",$BG125)),1,0)</f>
        <v>0</v>
      </c>
    </row>
    <row r="126" ht="18" customHeight="1">
      <c r="A126" s="38" t="n"/>
      <c r="B126" s="39" t="n"/>
      <c r="C126" s="40" t="n"/>
      <c r="D126" s="41" t="n"/>
      <c r="E126" s="41" t="n"/>
      <c r="F126" s="41" t="n"/>
      <c r="G126" s="41" t="n"/>
      <c r="H126" s="42" t="n"/>
      <c r="I126" s="42" t="n"/>
      <c r="J126" s="42" t="n"/>
      <c r="K126" s="42" t="n"/>
      <c r="L126" s="41" t="n"/>
      <c r="M126" s="41" t="n"/>
      <c r="N126" s="41" t="n"/>
      <c r="O126" s="43" t="n"/>
      <c r="P126" s="43" t="n"/>
      <c r="Q126" s="44" t="str">
        <f>IF($AM126=0,"",IF(ISNUMBER($AK126),$AK126-N($AL126),""))</f>
        <v/>
      </c>
      <c r="R126" s="45" t="str">
        <f>IF(OR($Q126="",NOT(ISNUMBER($V126))),"",$AK126/$V126)</f>
        <v/>
      </c>
      <c r="S126" s="46" t="str">
        <f>IF($Q126="","",IF(AND(ISNUMBER($R126),ABS(N($R126))&lt;N(Settings!$C$8)),"Scratch",IF($Q126&gt;0,"Win",IF($Q126&lt;0,"Loss","Scratch"))))</f>
        <v/>
      </c>
      <c r="T126" s="47" t="str">
        <f>IF(OR($AM126=0,NOT(ISNUMBER($H126)),NOT(ISNUMBER($I126)),NOT(ISNUMBER($J126))),"",IF($H126=$I126,"",ROUND(ABS($J126-$H126)/ABS($H126-$I126),6)))</f>
        <v/>
      </c>
      <c r="U126" s="48" t="str">
        <f>IF(OR($S126&lt;&gt;"Win",NOT(ISNUMBER($T126)),NOT(ISNUMBER($R126))),"",MAX(0,$T126-$R126))</f>
        <v/>
      </c>
      <c r="V126" s="49" t="str">
        <f>IF(OR($AM126=0,NOT(ISNUMBER($H126)),NOT(ISNUMBER($I126)),NOT(ISNUMBER($G126))),"",IF(OR($AG126="",$AH126=""),"",IF(ROUND(ABS($H126-$I126)*ABS($G126)*$AG126*$AH126,6)=0,"",ROUND(ABS($H126-$I126)*ABS($G126)*$AG126*$AH126,6))))</f>
        <v/>
      </c>
      <c r="W126" s="50" t="str">
        <f>IF($AM126=0,"",IF($BG126="","OK",LEFT($BG126,LEN($BG126)-2)))</f>
        <v/>
      </c>
      <c r="X126" s="41" t="n"/>
      <c r="Y126" s="40" t="n"/>
      <c r="Z126" s="41" t="n"/>
      <c r="AA126" s="41" t="n"/>
      <c r="AB126" s="40" t="n"/>
      <c r="AC126" s="51" t="n"/>
      <c r="AD126" s="51" t="n"/>
      <c r="AE126" s="40" t="n"/>
      <c r="AF126" s="52" t="str">
        <f>IF($AM126=0,"",IF($D126&lt;&gt;"",$D126,IF(IFERROR(INDEX(Accounts!$C$7:$C$16,MATCH($C126,Accounts!$B$7:$B$16,0))&amp;"","")&lt;&gt;"",INDEX(Accounts!$C$7:$C$16,MATCH($C126,Accounts!$B$7:$B$16,0)),Settings!$C$6)))</f>
        <v/>
      </c>
      <c r="AG126" s="53" t="str">
        <f>IF($AM126=0,"",IF(AND($BE126&gt;0,N(INDEX(Instruments!$D$6:$D$205,MAX(1,$BE126)))&gt;0),INDEX(Instruments!$D$6:$D$205,MAX(1,$BE126)),IF(N(INDEX(Settings!$D$14:$D$18,$BF126))&gt;0,INDEX(Settings!$D$14:$D$18,$BF126),"")))</f>
        <v/>
      </c>
      <c r="AH126" s="54" t="str">
        <f>IF($AM126=0,"",IF($AF126&lt;&gt;"Forex",1,IF(MID(UPPER(SUBSTITUTE(TRIM($E126),"/","")),4,3)=UPPER(TRIM(Settings!$C$7)),1,IF(LEFT(UPPER(SUBSTITUTE(TRIM($E126),"/","")),3)=UPPER(TRIM(Settings!$C$7)),IF(AND(ISNUMBER($K126),N($K126)&lt;&gt;0),1/$K126,""),""))))</f>
        <v/>
      </c>
      <c r="AI126" s="55" t="str">
        <f>IF($AM126=0,"",IF(OR(NOT(ISNUMBER($H126)),NOT(ISNUMBER($K126)),NOT(ISNUMBER($G126)),$AG126="",$AH126=""),"",ROUND(($K126-$H126)*IF($F126="Short",-1,1)*$G126*$AG126*$AH126,6)))</f>
        <v/>
      </c>
      <c r="AJ126" s="55" t="str">
        <f>IF($AM126=0,"",IF(INDEX(Settings!$E$14:$E$18,$BF126)="% of notional",IF(OR($AG126="",NOT(ISNUMBER($H126)),NOT(ISNUMBER($G126))),"",ROUND(ABS($H126*$G126*$AG126*N($AH126))*IF($L126="Limit",N(INDEX(Settings!$G$14:$G$18,$BF126)),N(INDEX(Settings!$H$14:$H$18,$BF126)))+IF(ISNUMBER($K126),ABS($K126*$G126*$AG126*N($AH126))*IF($M126="Target",N(INDEX(Settings!$G$14:$G$18,$BF126)),N(INDEX(Settings!$H$14:$H$18,$BF126))),0),6)),IF(NOT(ISNUMBER($G126)),"",ROUND(ABS($G126)*2*IF(AND($BE126&gt;0,ISNUMBER(INDEX(Instruments!$G$6:$G$205,MAX(1,$BE126)))),INDEX(Instruments!$G$6:$G$205,MAX(1,$BE126)),N(INDEX(Settings!$F$14:$F$18,$BF126))),6))))</f>
        <v/>
      </c>
      <c r="AK126" s="55" t="str">
        <f>IF($AM126=0,"",IF(ISNUMBER($O126),$O126,$AI126))</f>
        <v/>
      </c>
      <c r="AL126" s="55" t="str">
        <f>IF($AM126=0,"",IF(ISNUMBER($P126),$P126,N($AJ126)))</f>
        <v/>
      </c>
      <c r="AM126" s="56">
        <f>IF(AND($A126&lt;&gt;"",$E126&lt;&gt;"",OR(AND(ISNUMBER($G126),ISNUMBER($H126),ISNUMBER($K126)),ISNUMBER($O126))),1,0)</f>
        <v>0</v>
      </c>
      <c r="AN126" s="57" t="str">
        <f>IF($A126="","",$A126-WEEKDAY($A126,3))</f>
        <v/>
      </c>
      <c r="AO126" s="56" t="str">
        <f>IF($A126="","",WEEKDAY($A126,2))</f>
        <v/>
      </c>
      <c r="AP126" s="55" t="str">
        <f>IF(OR($AM126=0,$C126=""),"",IFERROR(N(INDEX(Accounts!$E$7:$E$16,MATCH($C126,Accounts!$B$7:$B$16,0))),0)+SUMIFS($Q$6:$Q126,$C$6:$C126,$C126))</f>
        <v/>
      </c>
      <c r="AQ126" s="55" t="str">
        <f>IF(OR($AM126=0,$C126=""),"",SUMIFS($Q$6:$Q$1005,$C$6:$C$1005,$C126,$A$6:$A$1005,$A126))</f>
        <v/>
      </c>
      <c r="AR126" s="55" t="str">
        <f>IF(OR($AM126=0,$C126=""),"",IFERROR(N(INDEX(Accounts!$E$7:$E$16,MATCH($C126,Accounts!$B$7:$B$16,0))),0)+SUMIFS($Q$6:$Q$1005,$C$6:$C$1005,$C126,$A$6:$A$1005,"&lt;="&amp;$A126))</f>
        <v/>
      </c>
      <c r="AS126" s="56">
        <f>IF(OR($AM126=0,$Q126=""),0,IF(AND($A126&gt;=Lists!$W$6,$A126&lt;=Lists!$W$7,OR(Dashboard!$D$6="All accounts",$C126=Dashboard!$D$6),OR(Dashboard!$D$7="All markets",$AF126=Dashboard!$D$7)),1,0))</f>
        <v>0</v>
      </c>
      <c r="AT126" s="55">
        <f>IF($AS126=1,N(AT125)+$Q126,N(AT125))</f>
        <v>1187.10688</v>
      </c>
      <c r="AU126" s="55">
        <f>MAX(N(AU125),$AT126)</f>
        <v>1187.10688</v>
      </c>
      <c r="AV126" s="55">
        <f>$AT126-$AU126</f>
        <v>0</v>
      </c>
      <c r="AW126" s="56">
        <f>IF($AS126=1,IF($S126="Win",N(AW125)+1,IF($S126="Loss",0,N(AW125))),N(AW125))</f>
        <v>5</v>
      </c>
      <c r="AX126" s="56">
        <f>IF($AS126=1,IF($S126="Loss",N(AX125)+1,IF($S126="Win",0,N(AX125))),N(AX125))</f>
        <v>0</v>
      </c>
      <c r="AY126" s="56" t="str">
        <f>IF($AS126=1,COUNTIF($AS$6:$AS126,1),"")</f>
        <v/>
      </c>
      <c r="AZ126" s="56">
        <f>MIN(120,N(Lists!$W$8))</f>
        <v>28</v>
      </c>
      <c r="BA126" s="56">
        <f>IF($AS126=1,IF(COUNTIFS($A$6:$A126,$A126,$AS$6:$AS126,1)=1,1,0),0)</f>
        <v>0</v>
      </c>
      <c r="BB126" s="55" t="str">
        <f>IF($BA126=1,SUMIFS($Q$6:$Q$1005,$A$6:$A$1005,$A126,$AS$6:$AS$1005,1),"")</f>
        <v/>
      </c>
      <c r="BC126" s="56">
        <f>IF(ISNUMBER($R126),1,0)</f>
        <v>0</v>
      </c>
      <c r="BD126" s="55" t="str">
        <f>IF(ISNUMBER($U126),$U126*$V126,"")</f>
        <v/>
      </c>
      <c r="BE126" s="56" t="str">
        <f>IF($AM126=0,"",IFERROR(MATCH($AF126&amp;"|"&amp;UPPER(TRIM($E126)),Lists!$A$6:$A$205,0),0))</f>
        <v/>
      </c>
      <c r="BF126" s="56" t="str">
        <f>IF($AM126=0,"",IFERROR(MATCH($AF126,Settings!$B$14:$B$18,0),IFERROR(MATCH(Settings!$C$6,Settings!$B$14:$B$18,0),1)))</f>
        <v/>
      </c>
      <c r="BG126" s="58" t="str">
        <f>IF($AM126=0,"",IF(NOT(ISNUMBER($I126)),"No stop; ","")&amp;IF(AND(ISNUMBER($H126),ISNUMBER($I126)),IF(OR(AND($F126&lt;&gt;"Short",$I126&gt;=$H126),AND($F126="Short",$I126&lt;=$H126)),"Stop on wrong side; ",""),"")&amp;IF($F126="","No direction; ","")&amp;IF(AND(ISNUMBER(Settings!$C$22),ISNUMBER($V126)),IF($V126&gt;Settings!$C$22,"Risk over max $; ",""),"")&amp;IF(AND(ISNUMBER(Settings!$C$23),ISNUMBER($V126),ISNUMBER($AP126),IFERROR(N(INDEX(Accounts!$E$7:$E$16,MATCH($C126,Accounts!$B$7:$B$16,0))),0)&gt;0),IF($V126&gt;Settings!$C$23*($AP126-N($Q126)),"Risk over max %; ",""),"")&amp;IF(AND(ISNUMBER(Settings!$C$24),ISNUMBER($N126)),IF($N126&gt;Settings!$C$24,"Leverage over max; ",""),"")&amp;IF(AND(ISNUMBER(Settings!$C$27),ISNUMBER($T126)),IF($T126&lt;Settings!$C$27,"R:R below min; ",""),"")&amp;IF(ISNUMBER(Settings!$C$25),IF(COUNTIFS($A$6:$A126,$A126,$AM$6:$AM126,1)&gt;Settings!$C$25,"Over max trades/day; ",""),"")&amp;IF(ISNUMBER(Settings!$C$26),IF(SUMIFS($Q$5:$Q125,$A$5:$A125,$A126)&lt;=-Settings!$C$26,"Traded after daily max loss; ",""),"")&amp;IF(AND($AG126="",NOT(ISNUMBER($O126))),"Symbol not in Instruments; ","")&amp;IF(AND($AH126="",NOT(ISNUMBER($O126))),"Forex cross: type Gross P&amp;L; ",""))</f>
        <v/>
      </c>
      <c r="BH126" s="56">
        <f>IF(ISNUMBER($Q126),1,0)</f>
        <v>0</v>
      </c>
      <c r="BI126" s="56">
        <f>IF($Y126="",0,1)</f>
        <v>0</v>
      </c>
      <c r="BJ126" s="56">
        <f>IF($AB126="",0,1)</f>
        <v>0</v>
      </c>
      <c r="BK126" s="56">
        <f>IF(AND($BH126=1,$W126&lt;&gt;"OK"),1,0)</f>
        <v>0</v>
      </c>
      <c r="BL126" s="55">
        <f>IF(N($AZ126)=0,0,IFERROR(INDEX($AT$6:$AT$1005,MATCH($AZ126,$AY$6:$AY$1005,0)),0))</f>
        <v>1187.10688</v>
      </c>
      <c r="BM126" s="56">
        <f>IF(ISNUMBER(SEARCH("daily max loss",$BG126)),1,0)</f>
        <v>0</v>
      </c>
    </row>
    <row r="127" ht="18" customHeight="1">
      <c r="A127" s="38" t="n"/>
      <c r="B127" s="39" t="n"/>
      <c r="C127" s="40" t="n"/>
      <c r="D127" s="41" t="n"/>
      <c r="E127" s="41" t="n"/>
      <c r="F127" s="41" t="n"/>
      <c r="G127" s="41" t="n"/>
      <c r="H127" s="42" t="n"/>
      <c r="I127" s="42" t="n"/>
      <c r="J127" s="42" t="n"/>
      <c r="K127" s="42" t="n"/>
      <c r="L127" s="41" t="n"/>
      <c r="M127" s="41" t="n"/>
      <c r="N127" s="41" t="n"/>
      <c r="O127" s="43" t="n"/>
      <c r="P127" s="43" t="n"/>
      <c r="Q127" s="44" t="str">
        <f>IF($AM127=0,"",IF(ISNUMBER($AK127),$AK127-N($AL127),""))</f>
        <v/>
      </c>
      <c r="R127" s="45" t="str">
        <f>IF(OR($Q127="",NOT(ISNUMBER($V127))),"",$AK127/$V127)</f>
        <v/>
      </c>
      <c r="S127" s="46" t="str">
        <f>IF($Q127="","",IF(AND(ISNUMBER($R127),ABS(N($R127))&lt;N(Settings!$C$8)),"Scratch",IF($Q127&gt;0,"Win",IF($Q127&lt;0,"Loss","Scratch"))))</f>
        <v/>
      </c>
      <c r="T127" s="47" t="str">
        <f>IF(OR($AM127=0,NOT(ISNUMBER($H127)),NOT(ISNUMBER($I127)),NOT(ISNUMBER($J127))),"",IF($H127=$I127,"",ROUND(ABS($J127-$H127)/ABS($H127-$I127),6)))</f>
        <v/>
      </c>
      <c r="U127" s="48" t="str">
        <f>IF(OR($S127&lt;&gt;"Win",NOT(ISNUMBER($T127)),NOT(ISNUMBER($R127))),"",MAX(0,$T127-$R127))</f>
        <v/>
      </c>
      <c r="V127" s="49" t="str">
        <f>IF(OR($AM127=0,NOT(ISNUMBER($H127)),NOT(ISNUMBER($I127)),NOT(ISNUMBER($G127))),"",IF(OR($AG127="",$AH127=""),"",IF(ROUND(ABS($H127-$I127)*ABS($G127)*$AG127*$AH127,6)=0,"",ROUND(ABS($H127-$I127)*ABS($G127)*$AG127*$AH127,6))))</f>
        <v/>
      </c>
      <c r="W127" s="50" t="str">
        <f>IF($AM127=0,"",IF($BG127="","OK",LEFT($BG127,LEN($BG127)-2)))</f>
        <v/>
      </c>
      <c r="X127" s="41" t="n"/>
      <c r="Y127" s="40" t="n"/>
      <c r="Z127" s="41" t="n"/>
      <c r="AA127" s="41" t="n"/>
      <c r="AB127" s="40" t="n"/>
      <c r="AC127" s="51" t="n"/>
      <c r="AD127" s="51" t="n"/>
      <c r="AE127" s="40" t="n"/>
      <c r="AF127" s="52" t="str">
        <f>IF($AM127=0,"",IF($D127&lt;&gt;"",$D127,IF(IFERROR(INDEX(Accounts!$C$7:$C$16,MATCH($C127,Accounts!$B$7:$B$16,0))&amp;"","")&lt;&gt;"",INDEX(Accounts!$C$7:$C$16,MATCH($C127,Accounts!$B$7:$B$16,0)),Settings!$C$6)))</f>
        <v/>
      </c>
      <c r="AG127" s="53" t="str">
        <f>IF($AM127=0,"",IF(AND($BE127&gt;0,N(INDEX(Instruments!$D$6:$D$205,MAX(1,$BE127)))&gt;0),INDEX(Instruments!$D$6:$D$205,MAX(1,$BE127)),IF(N(INDEX(Settings!$D$14:$D$18,$BF127))&gt;0,INDEX(Settings!$D$14:$D$18,$BF127),"")))</f>
        <v/>
      </c>
      <c r="AH127" s="54" t="str">
        <f>IF($AM127=0,"",IF($AF127&lt;&gt;"Forex",1,IF(MID(UPPER(SUBSTITUTE(TRIM($E127),"/","")),4,3)=UPPER(TRIM(Settings!$C$7)),1,IF(LEFT(UPPER(SUBSTITUTE(TRIM($E127),"/","")),3)=UPPER(TRIM(Settings!$C$7)),IF(AND(ISNUMBER($K127),N($K127)&lt;&gt;0),1/$K127,""),""))))</f>
        <v/>
      </c>
      <c r="AI127" s="55" t="str">
        <f>IF($AM127=0,"",IF(OR(NOT(ISNUMBER($H127)),NOT(ISNUMBER($K127)),NOT(ISNUMBER($G127)),$AG127="",$AH127=""),"",ROUND(($K127-$H127)*IF($F127="Short",-1,1)*$G127*$AG127*$AH127,6)))</f>
        <v/>
      </c>
      <c r="AJ127" s="55" t="str">
        <f>IF($AM127=0,"",IF(INDEX(Settings!$E$14:$E$18,$BF127)="% of notional",IF(OR($AG127="",NOT(ISNUMBER($H127)),NOT(ISNUMBER($G127))),"",ROUND(ABS($H127*$G127*$AG127*N($AH127))*IF($L127="Limit",N(INDEX(Settings!$G$14:$G$18,$BF127)),N(INDEX(Settings!$H$14:$H$18,$BF127)))+IF(ISNUMBER($K127),ABS($K127*$G127*$AG127*N($AH127))*IF($M127="Target",N(INDEX(Settings!$G$14:$G$18,$BF127)),N(INDEX(Settings!$H$14:$H$18,$BF127))),0),6)),IF(NOT(ISNUMBER($G127)),"",ROUND(ABS($G127)*2*IF(AND($BE127&gt;0,ISNUMBER(INDEX(Instruments!$G$6:$G$205,MAX(1,$BE127)))),INDEX(Instruments!$G$6:$G$205,MAX(1,$BE127)),N(INDEX(Settings!$F$14:$F$18,$BF127))),6))))</f>
        <v/>
      </c>
      <c r="AK127" s="55" t="str">
        <f>IF($AM127=0,"",IF(ISNUMBER($O127),$O127,$AI127))</f>
        <v/>
      </c>
      <c r="AL127" s="55" t="str">
        <f>IF($AM127=0,"",IF(ISNUMBER($P127),$P127,N($AJ127)))</f>
        <v/>
      </c>
      <c r="AM127" s="56">
        <f>IF(AND($A127&lt;&gt;"",$E127&lt;&gt;"",OR(AND(ISNUMBER($G127),ISNUMBER($H127),ISNUMBER($K127)),ISNUMBER($O127))),1,0)</f>
        <v>0</v>
      </c>
      <c r="AN127" s="57" t="str">
        <f>IF($A127="","",$A127-WEEKDAY($A127,3))</f>
        <v/>
      </c>
      <c r="AO127" s="56" t="str">
        <f>IF($A127="","",WEEKDAY($A127,2))</f>
        <v/>
      </c>
      <c r="AP127" s="55" t="str">
        <f>IF(OR($AM127=0,$C127=""),"",IFERROR(N(INDEX(Accounts!$E$7:$E$16,MATCH($C127,Accounts!$B$7:$B$16,0))),0)+SUMIFS($Q$6:$Q127,$C$6:$C127,$C127))</f>
        <v/>
      </c>
      <c r="AQ127" s="55" t="str">
        <f>IF(OR($AM127=0,$C127=""),"",SUMIFS($Q$6:$Q$1005,$C$6:$C$1005,$C127,$A$6:$A$1005,$A127))</f>
        <v/>
      </c>
      <c r="AR127" s="55" t="str">
        <f>IF(OR($AM127=0,$C127=""),"",IFERROR(N(INDEX(Accounts!$E$7:$E$16,MATCH($C127,Accounts!$B$7:$B$16,0))),0)+SUMIFS($Q$6:$Q$1005,$C$6:$C$1005,$C127,$A$6:$A$1005,"&lt;="&amp;$A127))</f>
        <v/>
      </c>
      <c r="AS127" s="56">
        <f>IF(OR($AM127=0,$Q127=""),0,IF(AND($A127&gt;=Lists!$W$6,$A127&lt;=Lists!$W$7,OR(Dashboard!$D$6="All accounts",$C127=Dashboard!$D$6),OR(Dashboard!$D$7="All markets",$AF127=Dashboard!$D$7)),1,0))</f>
        <v>0</v>
      </c>
      <c r="AT127" s="55">
        <f>IF($AS127=1,N(AT126)+$Q127,N(AT126))</f>
        <v>1187.10688</v>
      </c>
      <c r="AU127" s="55">
        <f>MAX(N(AU126),$AT127)</f>
        <v>1187.10688</v>
      </c>
      <c r="AV127" s="55">
        <f>$AT127-$AU127</f>
        <v>0</v>
      </c>
      <c r="AW127" s="56">
        <f>IF($AS127=1,IF($S127="Win",N(AW126)+1,IF($S127="Loss",0,N(AW126))),N(AW126))</f>
        <v>5</v>
      </c>
      <c r="AX127" s="56">
        <f>IF($AS127=1,IF($S127="Loss",N(AX126)+1,IF($S127="Win",0,N(AX126))),N(AX126))</f>
        <v>0</v>
      </c>
      <c r="AY127" s="56" t="str">
        <f>IF($AS127=1,COUNTIF($AS$6:$AS127,1),"")</f>
        <v/>
      </c>
      <c r="AZ127" s="56">
        <f>MIN(121,N(Lists!$W$8))</f>
        <v>28</v>
      </c>
      <c r="BA127" s="56">
        <f>IF($AS127=1,IF(COUNTIFS($A$6:$A127,$A127,$AS$6:$AS127,1)=1,1,0),0)</f>
        <v>0</v>
      </c>
      <c r="BB127" s="55" t="str">
        <f>IF($BA127=1,SUMIFS($Q$6:$Q$1005,$A$6:$A$1005,$A127,$AS$6:$AS$1005,1),"")</f>
        <v/>
      </c>
      <c r="BC127" s="56">
        <f>IF(ISNUMBER($R127),1,0)</f>
        <v>0</v>
      </c>
      <c r="BD127" s="55" t="str">
        <f>IF(ISNUMBER($U127),$U127*$V127,"")</f>
        <v/>
      </c>
      <c r="BE127" s="56" t="str">
        <f>IF($AM127=0,"",IFERROR(MATCH($AF127&amp;"|"&amp;UPPER(TRIM($E127)),Lists!$A$6:$A$205,0),0))</f>
        <v/>
      </c>
      <c r="BF127" s="56" t="str">
        <f>IF($AM127=0,"",IFERROR(MATCH($AF127,Settings!$B$14:$B$18,0),IFERROR(MATCH(Settings!$C$6,Settings!$B$14:$B$18,0),1)))</f>
        <v/>
      </c>
      <c r="BG127" s="58" t="str">
        <f>IF($AM127=0,"",IF(NOT(ISNUMBER($I127)),"No stop; ","")&amp;IF(AND(ISNUMBER($H127),ISNUMBER($I127)),IF(OR(AND($F127&lt;&gt;"Short",$I127&gt;=$H127),AND($F127="Short",$I127&lt;=$H127)),"Stop on wrong side; ",""),"")&amp;IF($F127="","No direction; ","")&amp;IF(AND(ISNUMBER(Settings!$C$22),ISNUMBER($V127)),IF($V127&gt;Settings!$C$22,"Risk over max $; ",""),"")&amp;IF(AND(ISNUMBER(Settings!$C$23),ISNUMBER($V127),ISNUMBER($AP127),IFERROR(N(INDEX(Accounts!$E$7:$E$16,MATCH($C127,Accounts!$B$7:$B$16,0))),0)&gt;0),IF($V127&gt;Settings!$C$23*($AP127-N($Q127)),"Risk over max %; ",""),"")&amp;IF(AND(ISNUMBER(Settings!$C$24),ISNUMBER($N127)),IF($N127&gt;Settings!$C$24,"Leverage over max; ",""),"")&amp;IF(AND(ISNUMBER(Settings!$C$27),ISNUMBER($T127)),IF($T127&lt;Settings!$C$27,"R:R below min; ",""),"")&amp;IF(ISNUMBER(Settings!$C$25),IF(COUNTIFS($A$6:$A127,$A127,$AM$6:$AM127,1)&gt;Settings!$C$25,"Over max trades/day; ",""),"")&amp;IF(ISNUMBER(Settings!$C$26),IF(SUMIFS($Q$5:$Q126,$A$5:$A126,$A127)&lt;=-Settings!$C$26,"Traded after daily max loss; ",""),"")&amp;IF(AND($AG127="",NOT(ISNUMBER($O127))),"Symbol not in Instruments; ","")&amp;IF(AND($AH127="",NOT(ISNUMBER($O127))),"Forex cross: type Gross P&amp;L; ",""))</f>
        <v/>
      </c>
      <c r="BH127" s="56">
        <f>IF(ISNUMBER($Q127),1,0)</f>
        <v>0</v>
      </c>
      <c r="BI127" s="56">
        <f>IF($Y127="",0,1)</f>
        <v>0</v>
      </c>
      <c r="BJ127" s="56">
        <f>IF($AB127="",0,1)</f>
        <v>0</v>
      </c>
      <c r="BK127" s="56">
        <f>IF(AND($BH127=1,$W127&lt;&gt;"OK"),1,0)</f>
        <v>0</v>
      </c>
      <c r="BL127" s="55">
        <f>IF(N($AZ127)=0,0,IFERROR(INDEX($AT$6:$AT$1005,MATCH($AZ127,$AY$6:$AY$1005,0)),0))</f>
        <v>1187.10688</v>
      </c>
      <c r="BM127" s="56">
        <f>IF(ISNUMBER(SEARCH("daily max loss",$BG127)),1,0)</f>
        <v>0</v>
      </c>
    </row>
    <row r="128" ht="18" customHeight="1">
      <c r="A128" s="38" t="n"/>
      <c r="B128" s="39" t="n"/>
      <c r="C128" s="40" t="n"/>
      <c r="D128" s="41" t="n"/>
      <c r="E128" s="41" t="n"/>
      <c r="F128" s="41" t="n"/>
      <c r="G128" s="41" t="n"/>
      <c r="H128" s="42" t="n"/>
      <c r="I128" s="42" t="n"/>
      <c r="J128" s="42" t="n"/>
      <c r="K128" s="42" t="n"/>
      <c r="L128" s="41" t="n"/>
      <c r="M128" s="41" t="n"/>
      <c r="N128" s="41" t="n"/>
      <c r="O128" s="43" t="n"/>
      <c r="P128" s="43" t="n"/>
      <c r="Q128" s="44" t="str">
        <f>IF($AM128=0,"",IF(ISNUMBER($AK128),$AK128-N($AL128),""))</f>
        <v/>
      </c>
      <c r="R128" s="45" t="str">
        <f>IF(OR($Q128="",NOT(ISNUMBER($V128))),"",$AK128/$V128)</f>
        <v/>
      </c>
      <c r="S128" s="46" t="str">
        <f>IF($Q128="","",IF(AND(ISNUMBER($R128),ABS(N($R128))&lt;N(Settings!$C$8)),"Scratch",IF($Q128&gt;0,"Win",IF($Q128&lt;0,"Loss","Scratch"))))</f>
        <v/>
      </c>
      <c r="T128" s="47" t="str">
        <f>IF(OR($AM128=0,NOT(ISNUMBER($H128)),NOT(ISNUMBER($I128)),NOT(ISNUMBER($J128))),"",IF($H128=$I128,"",ROUND(ABS($J128-$H128)/ABS($H128-$I128),6)))</f>
        <v/>
      </c>
      <c r="U128" s="48" t="str">
        <f>IF(OR($S128&lt;&gt;"Win",NOT(ISNUMBER($T128)),NOT(ISNUMBER($R128))),"",MAX(0,$T128-$R128))</f>
        <v/>
      </c>
      <c r="V128" s="49" t="str">
        <f>IF(OR($AM128=0,NOT(ISNUMBER($H128)),NOT(ISNUMBER($I128)),NOT(ISNUMBER($G128))),"",IF(OR($AG128="",$AH128=""),"",IF(ROUND(ABS($H128-$I128)*ABS($G128)*$AG128*$AH128,6)=0,"",ROUND(ABS($H128-$I128)*ABS($G128)*$AG128*$AH128,6))))</f>
        <v/>
      </c>
      <c r="W128" s="50" t="str">
        <f>IF($AM128=0,"",IF($BG128="","OK",LEFT($BG128,LEN($BG128)-2)))</f>
        <v/>
      </c>
      <c r="X128" s="41" t="n"/>
      <c r="Y128" s="40" t="n"/>
      <c r="Z128" s="41" t="n"/>
      <c r="AA128" s="41" t="n"/>
      <c r="AB128" s="40" t="n"/>
      <c r="AC128" s="51" t="n"/>
      <c r="AD128" s="51" t="n"/>
      <c r="AE128" s="40" t="n"/>
      <c r="AF128" s="52" t="str">
        <f>IF($AM128=0,"",IF($D128&lt;&gt;"",$D128,IF(IFERROR(INDEX(Accounts!$C$7:$C$16,MATCH($C128,Accounts!$B$7:$B$16,0))&amp;"","")&lt;&gt;"",INDEX(Accounts!$C$7:$C$16,MATCH($C128,Accounts!$B$7:$B$16,0)),Settings!$C$6)))</f>
        <v/>
      </c>
      <c r="AG128" s="53" t="str">
        <f>IF($AM128=0,"",IF(AND($BE128&gt;0,N(INDEX(Instruments!$D$6:$D$205,MAX(1,$BE128)))&gt;0),INDEX(Instruments!$D$6:$D$205,MAX(1,$BE128)),IF(N(INDEX(Settings!$D$14:$D$18,$BF128))&gt;0,INDEX(Settings!$D$14:$D$18,$BF128),"")))</f>
        <v/>
      </c>
      <c r="AH128" s="54" t="str">
        <f>IF($AM128=0,"",IF($AF128&lt;&gt;"Forex",1,IF(MID(UPPER(SUBSTITUTE(TRIM($E128),"/","")),4,3)=UPPER(TRIM(Settings!$C$7)),1,IF(LEFT(UPPER(SUBSTITUTE(TRIM($E128),"/","")),3)=UPPER(TRIM(Settings!$C$7)),IF(AND(ISNUMBER($K128),N($K128)&lt;&gt;0),1/$K128,""),""))))</f>
        <v/>
      </c>
      <c r="AI128" s="55" t="str">
        <f>IF($AM128=0,"",IF(OR(NOT(ISNUMBER($H128)),NOT(ISNUMBER($K128)),NOT(ISNUMBER($G128)),$AG128="",$AH128=""),"",ROUND(($K128-$H128)*IF($F128="Short",-1,1)*$G128*$AG128*$AH128,6)))</f>
        <v/>
      </c>
      <c r="AJ128" s="55" t="str">
        <f>IF($AM128=0,"",IF(INDEX(Settings!$E$14:$E$18,$BF128)="% of notional",IF(OR($AG128="",NOT(ISNUMBER($H128)),NOT(ISNUMBER($G128))),"",ROUND(ABS($H128*$G128*$AG128*N($AH128))*IF($L128="Limit",N(INDEX(Settings!$G$14:$G$18,$BF128)),N(INDEX(Settings!$H$14:$H$18,$BF128)))+IF(ISNUMBER($K128),ABS($K128*$G128*$AG128*N($AH128))*IF($M128="Target",N(INDEX(Settings!$G$14:$G$18,$BF128)),N(INDEX(Settings!$H$14:$H$18,$BF128))),0),6)),IF(NOT(ISNUMBER($G128)),"",ROUND(ABS($G128)*2*IF(AND($BE128&gt;0,ISNUMBER(INDEX(Instruments!$G$6:$G$205,MAX(1,$BE128)))),INDEX(Instruments!$G$6:$G$205,MAX(1,$BE128)),N(INDEX(Settings!$F$14:$F$18,$BF128))),6))))</f>
        <v/>
      </c>
      <c r="AK128" s="55" t="str">
        <f>IF($AM128=0,"",IF(ISNUMBER($O128),$O128,$AI128))</f>
        <v/>
      </c>
      <c r="AL128" s="55" t="str">
        <f>IF($AM128=0,"",IF(ISNUMBER($P128),$P128,N($AJ128)))</f>
        <v/>
      </c>
      <c r="AM128" s="56">
        <f>IF(AND($A128&lt;&gt;"",$E128&lt;&gt;"",OR(AND(ISNUMBER($G128),ISNUMBER($H128),ISNUMBER($K128)),ISNUMBER($O128))),1,0)</f>
        <v>0</v>
      </c>
      <c r="AN128" s="57" t="str">
        <f>IF($A128="","",$A128-WEEKDAY($A128,3))</f>
        <v/>
      </c>
      <c r="AO128" s="56" t="str">
        <f>IF($A128="","",WEEKDAY($A128,2))</f>
        <v/>
      </c>
      <c r="AP128" s="55" t="str">
        <f>IF(OR($AM128=0,$C128=""),"",IFERROR(N(INDEX(Accounts!$E$7:$E$16,MATCH($C128,Accounts!$B$7:$B$16,0))),0)+SUMIFS($Q$6:$Q128,$C$6:$C128,$C128))</f>
        <v/>
      </c>
      <c r="AQ128" s="55" t="str">
        <f>IF(OR($AM128=0,$C128=""),"",SUMIFS($Q$6:$Q$1005,$C$6:$C$1005,$C128,$A$6:$A$1005,$A128))</f>
        <v/>
      </c>
      <c r="AR128" s="55" t="str">
        <f>IF(OR($AM128=0,$C128=""),"",IFERROR(N(INDEX(Accounts!$E$7:$E$16,MATCH($C128,Accounts!$B$7:$B$16,0))),0)+SUMIFS($Q$6:$Q$1005,$C$6:$C$1005,$C128,$A$6:$A$1005,"&lt;="&amp;$A128))</f>
        <v/>
      </c>
      <c r="AS128" s="56">
        <f>IF(OR($AM128=0,$Q128=""),0,IF(AND($A128&gt;=Lists!$W$6,$A128&lt;=Lists!$W$7,OR(Dashboard!$D$6="All accounts",$C128=Dashboard!$D$6),OR(Dashboard!$D$7="All markets",$AF128=Dashboard!$D$7)),1,0))</f>
        <v>0</v>
      </c>
      <c r="AT128" s="55">
        <f>IF($AS128=1,N(AT127)+$Q128,N(AT127))</f>
        <v>1187.10688</v>
      </c>
      <c r="AU128" s="55">
        <f>MAX(N(AU127),$AT128)</f>
        <v>1187.10688</v>
      </c>
      <c r="AV128" s="55">
        <f>$AT128-$AU128</f>
        <v>0</v>
      </c>
      <c r="AW128" s="56">
        <f>IF($AS128=1,IF($S128="Win",N(AW127)+1,IF($S128="Loss",0,N(AW127))),N(AW127))</f>
        <v>5</v>
      </c>
      <c r="AX128" s="56">
        <f>IF($AS128=1,IF($S128="Loss",N(AX127)+1,IF($S128="Win",0,N(AX127))),N(AX127))</f>
        <v>0</v>
      </c>
      <c r="AY128" s="56" t="str">
        <f>IF($AS128=1,COUNTIF($AS$6:$AS128,1),"")</f>
        <v/>
      </c>
      <c r="AZ128" s="56">
        <f>MIN(122,N(Lists!$W$8))</f>
        <v>28</v>
      </c>
      <c r="BA128" s="56">
        <f>IF($AS128=1,IF(COUNTIFS($A$6:$A128,$A128,$AS$6:$AS128,1)=1,1,0),0)</f>
        <v>0</v>
      </c>
      <c r="BB128" s="55" t="str">
        <f>IF($BA128=1,SUMIFS($Q$6:$Q$1005,$A$6:$A$1005,$A128,$AS$6:$AS$1005,1),"")</f>
        <v/>
      </c>
      <c r="BC128" s="56">
        <f>IF(ISNUMBER($R128),1,0)</f>
        <v>0</v>
      </c>
      <c r="BD128" s="55" t="str">
        <f>IF(ISNUMBER($U128),$U128*$V128,"")</f>
        <v/>
      </c>
      <c r="BE128" s="56" t="str">
        <f>IF($AM128=0,"",IFERROR(MATCH($AF128&amp;"|"&amp;UPPER(TRIM($E128)),Lists!$A$6:$A$205,0),0))</f>
        <v/>
      </c>
      <c r="BF128" s="56" t="str">
        <f>IF($AM128=0,"",IFERROR(MATCH($AF128,Settings!$B$14:$B$18,0),IFERROR(MATCH(Settings!$C$6,Settings!$B$14:$B$18,0),1)))</f>
        <v/>
      </c>
      <c r="BG128" s="58" t="str">
        <f>IF($AM128=0,"",IF(NOT(ISNUMBER($I128)),"No stop; ","")&amp;IF(AND(ISNUMBER($H128),ISNUMBER($I128)),IF(OR(AND($F128&lt;&gt;"Short",$I128&gt;=$H128),AND($F128="Short",$I128&lt;=$H128)),"Stop on wrong side; ",""),"")&amp;IF($F128="","No direction; ","")&amp;IF(AND(ISNUMBER(Settings!$C$22),ISNUMBER($V128)),IF($V128&gt;Settings!$C$22,"Risk over max $; ",""),"")&amp;IF(AND(ISNUMBER(Settings!$C$23),ISNUMBER($V128),ISNUMBER($AP128),IFERROR(N(INDEX(Accounts!$E$7:$E$16,MATCH($C128,Accounts!$B$7:$B$16,0))),0)&gt;0),IF($V128&gt;Settings!$C$23*($AP128-N($Q128)),"Risk over max %; ",""),"")&amp;IF(AND(ISNUMBER(Settings!$C$24),ISNUMBER($N128)),IF($N128&gt;Settings!$C$24,"Leverage over max; ",""),"")&amp;IF(AND(ISNUMBER(Settings!$C$27),ISNUMBER($T128)),IF($T128&lt;Settings!$C$27,"R:R below min; ",""),"")&amp;IF(ISNUMBER(Settings!$C$25),IF(COUNTIFS($A$6:$A128,$A128,$AM$6:$AM128,1)&gt;Settings!$C$25,"Over max trades/day; ",""),"")&amp;IF(ISNUMBER(Settings!$C$26),IF(SUMIFS($Q$5:$Q127,$A$5:$A127,$A128)&lt;=-Settings!$C$26,"Traded after daily max loss; ",""),"")&amp;IF(AND($AG128="",NOT(ISNUMBER($O128))),"Symbol not in Instruments; ","")&amp;IF(AND($AH128="",NOT(ISNUMBER($O128))),"Forex cross: type Gross P&amp;L; ",""))</f>
        <v/>
      </c>
      <c r="BH128" s="56">
        <f>IF(ISNUMBER($Q128),1,0)</f>
        <v>0</v>
      </c>
      <c r="BI128" s="56">
        <f>IF($Y128="",0,1)</f>
        <v>0</v>
      </c>
      <c r="BJ128" s="56">
        <f>IF($AB128="",0,1)</f>
        <v>0</v>
      </c>
      <c r="BK128" s="56">
        <f>IF(AND($BH128=1,$W128&lt;&gt;"OK"),1,0)</f>
        <v>0</v>
      </c>
      <c r="BL128" s="55">
        <f>IF(N($AZ128)=0,0,IFERROR(INDEX($AT$6:$AT$1005,MATCH($AZ128,$AY$6:$AY$1005,0)),0))</f>
        <v>1187.10688</v>
      </c>
      <c r="BM128" s="56">
        <f>IF(ISNUMBER(SEARCH("daily max loss",$BG128)),1,0)</f>
        <v>0</v>
      </c>
    </row>
    <row r="129" ht="18" customHeight="1">
      <c r="A129" s="38" t="n"/>
      <c r="B129" s="39" t="n"/>
      <c r="C129" s="40" t="n"/>
      <c r="D129" s="41" t="n"/>
      <c r="E129" s="41" t="n"/>
      <c r="F129" s="41" t="n"/>
      <c r="G129" s="41" t="n"/>
      <c r="H129" s="42" t="n"/>
      <c r="I129" s="42" t="n"/>
      <c r="J129" s="42" t="n"/>
      <c r="K129" s="42" t="n"/>
      <c r="L129" s="41" t="n"/>
      <c r="M129" s="41" t="n"/>
      <c r="N129" s="41" t="n"/>
      <c r="O129" s="43" t="n"/>
      <c r="P129" s="43" t="n"/>
      <c r="Q129" s="44" t="str">
        <f>IF($AM129=0,"",IF(ISNUMBER($AK129),$AK129-N($AL129),""))</f>
        <v/>
      </c>
      <c r="R129" s="45" t="str">
        <f>IF(OR($Q129="",NOT(ISNUMBER($V129))),"",$AK129/$V129)</f>
        <v/>
      </c>
      <c r="S129" s="46" t="str">
        <f>IF($Q129="","",IF(AND(ISNUMBER($R129),ABS(N($R129))&lt;N(Settings!$C$8)),"Scratch",IF($Q129&gt;0,"Win",IF($Q129&lt;0,"Loss","Scratch"))))</f>
        <v/>
      </c>
      <c r="T129" s="47" t="str">
        <f>IF(OR($AM129=0,NOT(ISNUMBER($H129)),NOT(ISNUMBER($I129)),NOT(ISNUMBER($J129))),"",IF($H129=$I129,"",ROUND(ABS($J129-$H129)/ABS($H129-$I129),6)))</f>
        <v/>
      </c>
      <c r="U129" s="48" t="str">
        <f>IF(OR($S129&lt;&gt;"Win",NOT(ISNUMBER($T129)),NOT(ISNUMBER($R129))),"",MAX(0,$T129-$R129))</f>
        <v/>
      </c>
      <c r="V129" s="49" t="str">
        <f>IF(OR($AM129=0,NOT(ISNUMBER($H129)),NOT(ISNUMBER($I129)),NOT(ISNUMBER($G129))),"",IF(OR($AG129="",$AH129=""),"",IF(ROUND(ABS($H129-$I129)*ABS($G129)*$AG129*$AH129,6)=0,"",ROUND(ABS($H129-$I129)*ABS($G129)*$AG129*$AH129,6))))</f>
        <v/>
      </c>
      <c r="W129" s="50" t="str">
        <f>IF($AM129=0,"",IF($BG129="","OK",LEFT($BG129,LEN($BG129)-2)))</f>
        <v/>
      </c>
      <c r="X129" s="41" t="n"/>
      <c r="Y129" s="40" t="n"/>
      <c r="Z129" s="41" t="n"/>
      <c r="AA129" s="41" t="n"/>
      <c r="AB129" s="40" t="n"/>
      <c r="AC129" s="51" t="n"/>
      <c r="AD129" s="51" t="n"/>
      <c r="AE129" s="40" t="n"/>
      <c r="AF129" s="52" t="str">
        <f>IF($AM129=0,"",IF($D129&lt;&gt;"",$D129,IF(IFERROR(INDEX(Accounts!$C$7:$C$16,MATCH($C129,Accounts!$B$7:$B$16,0))&amp;"","")&lt;&gt;"",INDEX(Accounts!$C$7:$C$16,MATCH($C129,Accounts!$B$7:$B$16,0)),Settings!$C$6)))</f>
        <v/>
      </c>
      <c r="AG129" s="53" t="str">
        <f>IF($AM129=0,"",IF(AND($BE129&gt;0,N(INDEX(Instruments!$D$6:$D$205,MAX(1,$BE129)))&gt;0),INDEX(Instruments!$D$6:$D$205,MAX(1,$BE129)),IF(N(INDEX(Settings!$D$14:$D$18,$BF129))&gt;0,INDEX(Settings!$D$14:$D$18,$BF129),"")))</f>
        <v/>
      </c>
      <c r="AH129" s="54" t="str">
        <f>IF($AM129=0,"",IF($AF129&lt;&gt;"Forex",1,IF(MID(UPPER(SUBSTITUTE(TRIM($E129),"/","")),4,3)=UPPER(TRIM(Settings!$C$7)),1,IF(LEFT(UPPER(SUBSTITUTE(TRIM($E129),"/","")),3)=UPPER(TRIM(Settings!$C$7)),IF(AND(ISNUMBER($K129),N($K129)&lt;&gt;0),1/$K129,""),""))))</f>
        <v/>
      </c>
      <c r="AI129" s="55" t="str">
        <f>IF($AM129=0,"",IF(OR(NOT(ISNUMBER($H129)),NOT(ISNUMBER($K129)),NOT(ISNUMBER($G129)),$AG129="",$AH129=""),"",ROUND(($K129-$H129)*IF($F129="Short",-1,1)*$G129*$AG129*$AH129,6)))</f>
        <v/>
      </c>
      <c r="AJ129" s="55" t="str">
        <f>IF($AM129=0,"",IF(INDEX(Settings!$E$14:$E$18,$BF129)="% of notional",IF(OR($AG129="",NOT(ISNUMBER($H129)),NOT(ISNUMBER($G129))),"",ROUND(ABS($H129*$G129*$AG129*N($AH129))*IF($L129="Limit",N(INDEX(Settings!$G$14:$G$18,$BF129)),N(INDEX(Settings!$H$14:$H$18,$BF129)))+IF(ISNUMBER($K129),ABS($K129*$G129*$AG129*N($AH129))*IF($M129="Target",N(INDEX(Settings!$G$14:$G$18,$BF129)),N(INDEX(Settings!$H$14:$H$18,$BF129))),0),6)),IF(NOT(ISNUMBER($G129)),"",ROUND(ABS($G129)*2*IF(AND($BE129&gt;0,ISNUMBER(INDEX(Instruments!$G$6:$G$205,MAX(1,$BE129)))),INDEX(Instruments!$G$6:$G$205,MAX(1,$BE129)),N(INDEX(Settings!$F$14:$F$18,$BF129))),6))))</f>
        <v/>
      </c>
      <c r="AK129" s="55" t="str">
        <f>IF($AM129=0,"",IF(ISNUMBER($O129),$O129,$AI129))</f>
        <v/>
      </c>
      <c r="AL129" s="55" t="str">
        <f>IF($AM129=0,"",IF(ISNUMBER($P129),$P129,N($AJ129)))</f>
        <v/>
      </c>
      <c r="AM129" s="56">
        <f>IF(AND($A129&lt;&gt;"",$E129&lt;&gt;"",OR(AND(ISNUMBER($G129),ISNUMBER($H129),ISNUMBER($K129)),ISNUMBER($O129))),1,0)</f>
        <v>0</v>
      </c>
      <c r="AN129" s="57" t="str">
        <f>IF($A129="","",$A129-WEEKDAY($A129,3))</f>
        <v/>
      </c>
      <c r="AO129" s="56" t="str">
        <f>IF($A129="","",WEEKDAY($A129,2))</f>
        <v/>
      </c>
      <c r="AP129" s="55" t="str">
        <f>IF(OR($AM129=0,$C129=""),"",IFERROR(N(INDEX(Accounts!$E$7:$E$16,MATCH($C129,Accounts!$B$7:$B$16,0))),0)+SUMIFS($Q$6:$Q129,$C$6:$C129,$C129))</f>
        <v/>
      </c>
      <c r="AQ129" s="55" t="str">
        <f>IF(OR($AM129=0,$C129=""),"",SUMIFS($Q$6:$Q$1005,$C$6:$C$1005,$C129,$A$6:$A$1005,$A129))</f>
        <v/>
      </c>
      <c r="AR129" s="55" t="str">
        <f>IF(OR($AM129=0,$C129=""),"",IFERROR(N(INDEX(Accounts!$E$7:$E$16,MATCH($C129,Accounts!$B$7:$B$16,0))),0)+SUMIFS($Q$6:$Q$1005,$C$6:$C$1005,$C129,$A$6:$A$1005,"&lt;="&amp;$A129))</f>
        <v/>
      </c>
      <c r="AS129" s="56">
        <f>IF(OR($AM129=0,$Q129=""),0,IF(AND($A129&gt;=Lists!$W$6,$A129&lt;=Lists!$W$7,OR(Dashboard!$D$6="All accounts",$C129=Dashboard!$D$6),OR(Dashboard!$D$7="All markets",$AF129=Dashboard!$D$7)),1,0))</f>
        <v>0</v>
      </c>
      <c r="AT129" s="55">
        <f>IF($AS129=1,N(AT128)+$Q129,N(AT128))</f>
        <v>1187.10688</v>
      </c>
      <c r="AU129" s="55">
        <f>MAX(N(AU128),$AT129)</f>
        <v>1187.10688</v>
      </c>
      <c r="AV129" s="55">
        <f>$AT129-$AU129</f>
        <v>0</v>
      </c>
      <c r="AW129" s="56">
        <f>IF($AS129=1,IF($S129="Win",N(AW128)+1,IF($S129="Loss",0,N(AW128))),N(AW128))</f>
        <v>5</v>
      </c>
      <c r="AX129" s="56">
        <f>IF($AS129=1,IF($S129="Loss",N(AX128)+1,IF($S129="Win",0,N(AX128))),N(AX128))</f>
        <v>0</v>
      </c>
      <c r="AY129" s="56" t="str">
        <f>IF($AS129=1,COUNTIF($AS$6:$AS129,1),"")</f>
        <v/>
      </c>
      <c r="AZ129" s="56">
        <f>MIN(123,N(Lists!$W$8))</f>
        <v>28</v>
      </c>
      <c r="BA129" s="56">
        <f>IF($AS129=1,IF(COUNTIFS($A$6:$A129,$A129,$AS$6:$AS129,1)=1,1,0),0)</f>
        <v>0</v>
      </c>
      <c r="BB129" s="55" t="str">
        <f>IF($BA129=1,SUMIFS($Q$6:$Q$1005,$A$6:$A$1005,$A129,$AS$6:$AS$1005,1),"")</f>
        <v/>
      </c>
      <c r="BC129" s="56">
        <f>IF(ISNUMBER($R129),1,0)</f>
        <v>0</v>
      </c>
      <c r="BD129" s="55" t="str">
        <f>IF(ISNUMBER($U129),$U129*$V129,"")</f>
        <v/>
      </c>
      <c r="BE129" s="56" t="str">
        <f>IF($AM129=0,"",IFERROR(MATCH($AF129&amp;"|"&amp;UPPER(TRIM($E129)),Lists!$A$6:$A$205,0),0))</f>
        <v/>
      </c>
      <c r="BF129" s="56" t="str">
        <f>IF($AM129=0,"",IFERROR(MATCH($AF129,Settings!$B$14:$B$18,0),IFERROR(MATCH(Settings!$C$6,Settings!$B$14:$B$18,0),1)))</f>
        <v/>
      </c>
      <c r="BG129" s="58" t="str">
        <f>IF($AM129=0,"",IF(NOT(ISNUMBER($I129)),"No stop; ","")&amp;IF(AND(ISNUMBER($H129),ISNUMBER($I129)),IF(OR(AND($F129&lt;&gt;"Short",$I129&gt;=$H129),AND($F129="Short",$I129&lt;=$H129)),"Stop on wrong side; ",""),"")&amp;IF($F129="","No direction; ","")&amp;IF(AND(ISNUMBER(Settings!$C$22),ISNUMBER($V129)),IF($V129&gt;Settings!$C$22,"Risk over max $; ",""),"")&amp;IF(AND(ISNUMBER(Settings!$C$23),ISNUMBER($V129),ISNUMBER($AP129),IFERROR(N(INDEX(Accounts!$E$7:$E$16,MATCH($C129,Accounts!$B$7:$B$16,0))),0)&gt;0),IF($V129&gt;Settings!$C$23*($AP129-N($Q129)),"Risk over max %; ",""),"")&amp;IF(AND(ISNUMBER(Settings!$C$24),ISNUMBER($N129)),IF($N129&gt;Settings!$C$24,"Leverage over max; ",""),"")&amp;IF(AND(ISNUMBER(Settings!$C$27),ISNUMBER($T129)),IF($T129&lt;Settings!$C$27,"R:R below min; ",""),"")&amp;IF(ISNUMBER(Settings!$C$25),IF(COUNTIFS($A$6:$A129,$A129,$AM$6:$AM129,1)&gt;Settings!$C$25,"Over max trades/day; ",""),"")&amp;IF(ISNUMBER(Settings!$C$26),IF(SUMIFS($Q$5:$Q128,$A$5:$A128,$A129)&lt;=-Settings!$C$26,"Traded after daily max loss; ",""),"")&amp;IF(AND($AG129="",NOT(ISNUMBER($O129))),"Symbol not in Instruments; ","")&amp;IF(AND($AH129="",NOT(ISNUMBER($O129))),"Forex cross: type Gross P&amp;L; ",""))</f>
        <v/>
      </c>
      <c r="BH129" s="56">
        <f>IF(ISNUMBER($Q129),1,0)</f>
        <v>0</v>
      </c>
      <c r="BI129" s="56">
        <f>IF($Y129="",0,1)</f>
        <v>0</v>
      </c>
      <c r="BJ129" s="56">
        <f>IF($AB129="",0,1)</f>
        <v>0</v>
      </c>
      <c r="BK129" s="56">
        <f>IF(AND($BH129=1,$W129&lt;&gt;"OK"),1,0)</f>
        <v>0</v>
      </c>
      <c r="BL129" s="55">
        <f>IF(N($AZ129)=0,0,IFERROR(INDEX($AT$6:$AT$1005,MATCH($AZ129,$AY$6:$AY$1005,0)),0))</f>
        <v>1187.10688</v>
      </c>
      <c r="BM129" s="56">
        <f>IF(ISNUMBER(SEARCH("daily max loss",$BG129)),1,0)</f>
        <v>0</v>
      </c>
    </row>
    <row r="130" ht="18" customHeight="1">
      <c r="A130" s="38" t="n"/>
      <c r="B130" s="39" t="n"/>
      <c r="C130" s="40" t="n"/>
      <c r="D130" s="41" t="n"/>
      <c r="E130" s="41" t="n"/>
      <c r="F130" s="41" t="n"/>
      <c r="G130" s="41" t="n"/>
      <c r="H130" s="42" t="n"/>
      <c r="I130" s="42" t="n"/>
      <c r="J130" s="42" t="n"/>
      <c r="K130" s="42" t="n"/>
      <c r="L130" s="41" t="n"/>
      <c r="M130" s="41" t="n"/>
      <c r="N130" s="41" t="n"/>
      <c r="O130" s="43" t="n"/>
      <c r="P130" s="43" t="n"/>
      <c r="Q130" s="44" t="str">
        <f>IF($AM130=0,"",IF(ISNUMBER($AK130),$AK130-N($AL130),""))</f>
        <v/>
      </c>
      <c r="R130" s="45" t="str">
        <f>IF(OR($Q130="",NOT(ISNUMBER($V130))),"",$AK130/$V130)</f>
        <v/>
      </c>
      <c r="S130" s="46" t="str">
        <f>IF($Q130="","",IF(AND(ISNUMBER($R130),ABS(N($R130))&lt;N(Settings!$C$8)),"Scratch",IF($Q130&gt;0,"Win",IF($Q130&lt;0,"Loss","Scratch"))))</f>
        <v/>
      </c>
      <c r="T130" s="47" t="str">
        <f>IF(OR($AM130=0,NOT(ISNUMBER($H130)),NOT(ISNUMBER($I130)),NOT(ISNUMBER($J130))),"",IF($H130=$I130,"",ROUND(ABS($J130-$H130)/ABS($H130-$I130),6)))</f>
        <v/>
      </c>
      <c r="U130" s="48" t="str">
        <f>IF(OR($S130&lt;&gt;"Win",NOT(ISNUMBER($T130)),NOT(ISNUMBER($R130))),"",MAX(0,$T130-$R130))</f>
        <v/>
      </c>
      <c r="V130" s="49" t="str">
        <f>IF(OR($AM130=0,NOT(ISNUMBER($H130)),NOT(ISNUMBER($I130)),NOT(ISNUMBER($G130))),"",IF(OR($AG130="",$AH130=""),"",IF(ROUND(ABS($H130-$I130)*ABS($G130)*$AG130*$AH130,6)=0,"",ROUND(ABS($H130-$I130)*ABS($G130)*$AG130*$AH130,6))))</f>
        <v/>
      </c>
      <c r="W130" s="50" t="str">
        <f>IF($AM130=0,"",IF($BG130="","OK",LEFT($BG130,LEN($BG130)-2)))</f>
        <v/>
      </c>
      <c r="X130" s="41" t="n"/>
      <c r="Y130" s="40" t="n"/>
      <c r="Z130" s="41" t="n"/>
      <c r="AA130" s="41" t="n"/>
      <c r="AB130" s="40" t="n"/>
      <c r="AC130" s="51" t="n"/>
      <c r="AD130" s="51" t="n"/>
      <c r="AE130" s="40" t="n"/>
      <c r="AF130" s="52" t="str">
        <f>IF($AM130=0,"",IF($D130&lt;&gt;"",$D130,IF(IFERROR(INDEX(Accounts!$C$7:$C$16,MATCH($C130,Accounts!$B$7:$B$16,0))&amp;"","")&lt;&gt;"",INDEX(Accounts!$C$7:$C$16,MATCH($C130,Accounts!$B$7:$B$16,0)),Settings!$C$6)))</f>
        <v/>
      </c>
      <c r="AG130" s="53" t="str">
        <f>IF($AM130=0,"",IF(AND($BE130&gt;0,N(INDEX(Instruments!$D$6:$D$205,MAX(1,$BE130)))&gt;0),INDEX(Instruments!$D$6:$D$205,MAX(1,$BE130)),IF(N(INDEX(Settings!$D$14:$D$18,$BF130))&gt;0,INDEX(Settings!$D$14:$D$18,$BF130),"")))</f>
        <v/>
      </c>
      <c r="AH130" s="54" t="str">
        <f>IF($AM130=0,"",IF($AF130&lt;&gt;"Forex",1,IF(MID(UPPER(SUBSTITUTE(TRIM($E130),"/","")),4,3)=UPPER(TRIM(Settings!$C$7)),1,IF(LEFT(UPPER(SUBSTITUTE(TRIM($E130),"/","")),3)=UPPER(TRIM(Settings!$C$7)),IF(AND(ISNUMBER($K130),N($K130)&lt;&gt;0),1/$K130,""),""))))</f>
        <v/>
      </c>
      <c r="AI130" s="55" t="str">
        <f>IF($AM130=0,"",IF(OR(NOT(ISNUMBER($H130)),NOT(ISNUMBER($K130)),NOT(ISNUMBER($G130)),$AG130="",$AH130=""),"",ROUND(($K130-$H130)*IF($F130="Short",-1,1)*$G130*$AG130*$AH130,6)))</f>
        <v/>
      </c>
      <c r="AJ130" s="55" t="str">
        <f>IF($AM130=0,"",IF(INDEX(Settings!$E$14:$E$18,$BF130)="% of notional",IF(OR($AG130="",NOT(ISNUMBER($H130)),NOT(ISNUMBER($G130))),"",ROUND(ABS($H130*$G130*$AG130*N($AH130))*IF($L130="Limit",N(INDEX(Settings!$G$14:$G$18,$BF130)),N(INDEX(Settings!$H$14:$H$18,$BF130)))+IF(ISNUMBER($K130),ABS($K130*$G130*$AG130*N($AH130))*IF($M130="Target",N(INDEX(Settings!$G$14:$G$18,$BF130)),N(INDEX(Settings!$H$14:$H$18,$BF130))),0),6)),IF(NOT(ISNUMBER($G130)),"",ROUND(ABS($G130)*2*IF(AND($BE130&gt;0,ISNUMBER(INDEX(Instruments!$G$6:$G$205,MAX(1,$BE130)))),INDEX(Instruments!$G$6:$G$205,MAX(1,$BE130)),N(INDEX(Settings!$F$14:$F$18,$BF130))),6))))</f>
        <v/>
      </c>
      <c r="AK130" s="55" t="str">
        <f>IF($AM130=0,"",IF(ISNUMBER($O130),$O130,$AI130))</f>
        <v/>
      </c>
      <c r="AL130" s="55" t="str">
        <f>IF($AM130=0,"",IF(ISNUMBER($P130),$P130,N($AJ130)))</f>
        <v/>
      </c>
      <c r="AM130" s="56">
        <f>IF(AND($A130&lt;&gt;"",$E130&lt;&gt;"",OR(AND(ISNUMBER($G130),ISNUMBER($H130),ISNUMBER($K130)),ISNUMBER($O130))),1,0)</f>
        <v>0</v>
      </c>
      <c r="AN130" s="57" t="str">
        <f>IF($A130="","",$A130-WEEKDAY($A130,3))</f>
        <v/>
      </c>
      <c r="AO130" s="56" t="str">
        <f>IF($A130="","",WEEKDAY($A130,2))</f>
        <v/>
      </c>
      <c r="AP130" s="55" t="str">
        <f>IF(OR($AM130=0,$C130=""),"",IFERROR(N(INDEX(Accounts!$E$7:$E$16,MATCH($C130,Accounts!$B$7:$B$16,0))),0)+SUMIFS($Q$6:$Q130,$C$6:$C130,$C130))</f>
        <v/>
      </c>
      <c r="AQ130" s="55" t="str">
        <f>IF(OR($AM130=0,$C130=""),"",SUMIFS($Q$6:$Q$1005,$C$6:$C$1005,$C130,$A$6:$A$1005,$A130))</f>
        <v/>
      </c>
      <c r="AR130" s="55" t="str">
        <f>IF(OR($AM130=0,$C130=""),"",IFERROR(N(INDEX(Accounts!$E$7:$E$16,MATCH($C130,Accounts!$B$7:$B$16,0))),0)+SUMIFS($Q$6:$Q$1005,$C$6:$C$1005,$C130,$A$6:$A$1005,"&lt;="&amp;$A130))</f>
        <v/>
      </c>
      <c r="AS130" s="56">
        <f>IF(OR($AM130=0,$Q130=""),0,IF(AND($A130&gt;=Lists!$W$6,$A130&lt;=Lists!$W$7,OR(Dashboard!$D$6="All accounts",$C130=Dashboard!$D$6),OR(Dashboard!$D$7="All markets",$AF130=Dashboard!$D$7)),1,0))</f>
        <v>0</v>
      </c>
      <c r="AT130" s="55">
        <f>IF($AS130=1,N(AT129)+$Q130,N(AT129))</f>
        <v>1187.10688</v>
      </c>
      <c r="AU130" s="55">
        <f>MAX(N(AU129),$AT130)</f>
        <v>1187.10688</v>
      </c>
      <c r="AV130" s="55">
        <f>$AT130-$AU130</f>
        <v>0</v>
      </c>
      <c r="AW130" s="56">
        <f>IF($AS130=1,IF($S130="Win",N(AW129)+1,IF($S130="Loss",0,N(AW129))),N(AW129))</f>
        <v>5</v>
      </c>
      <c r="AX130" s="56">
        <f>IF($AS130=1,IF($S130="Loss",N(AX129)+1,IF($S130="Win",0,N(AX129))),N(AX129))</f>
        <v>0</v>
      </c>
      <c r="AY130" s="56" t="str">
        <f>IF($AS130=1,COUNTIF($AS$6:$AS130,1),"")</f>
        <v/>
      </c>
      <c r="AZ130" s="56">
        <f>MIN(124,N(Lists!$W$8))</f>
        <v>28</v>
      </c>
      <c r="BA130" s="56">
        <f>IF($AS130=1,IF(COUNTIFS($A$6:$A130,$A130,$AS$6:$AS130,1)=1,1,0),0)</f>
        <v>0</v>
      </c>
      <c r="BB130" s="55" t="str">
        <f>IF($BA130=1,SUMIFS($Q$6:$Q$1005,$A$6:$A$1005,$A130,$AS$6:$AS$1005,1),"")</f>
        <v/>
      </c>
      <c r="BC130" s="56">
        <f>IF(ISNUMBER($R130),1,0)</f>
        <v>0</v>
      </c>
      <c r="BD130" s="55" t="str">
        <f>IF(ISNUMBER($U130),$U130*$V130,"")</f>
        <v/>
      </c>
      <c r="BE130" s="56" t="str">
        <f>IF($AM130=0,"",IFERROR(MATCH($AF130&amp;"|"&amp;UPPER(TRIM($E130)),Lists!$A$6:$A$205,0),0))</f>
        <v/>
      </c>
      <c r="BF130" s="56" t="str">
        <f>IF($AM130=0,"",IFERROR(MATCH($AF130,Settings!$B$14:$B$18,0),IFERROR(MATCH(Settings!$C$6,Settings!$B$14:$B$18,0),1)))</f>
        <v/>
      </c>
      <c r="BG130" s="58" t="str">
        <f>IF($AM130=0,"",IF(NOT(ISNUMBER($I130)),"No stop; ","")&amp;IF(AND(ISNUMBER($H130),ISNUMBER($I130)),IF(OR(AND($F130&lt;&gt;"Short",$I130&gt;=$H130),AND($F130="Short",$I130&lt;=$H130)),"Stop on wrong side; ",""),"")&amp;IF($F130="","No direction; ","")&amp;IF(AND(ISNUMBER(Settings!$C$22),ISNUMBER($V130)),IF($V130&gt;Settings!$C$22,"Risk over max $; ",""),"")&amp;IF(AND(ISNUMBER(Settings!$C$23),ISNUMBER($V130),ISNUMBER($AP130),IFERROR(N(INDEX(Accounts!$E$7:$E$16,MATCH($C130,Accounts!$B$7:$B$16,0))),0)&gt;0),IF($V130&gt;Settings!$C$23*($AP130-N($Q130)),"Risk over max %; ",""),"")&amp;IF(AND(ISNUMBER(Settings!$C$24),ISNUMBER($N130)),IF($N130&gt;Settings!$C$24,"Leverage over max; ",""),"")&amp;IF(AND(ISNUMBER(Settings!$C$27),ISNUMBER($T130)),IF($T130&lt;Settings!$C$27,"R:R below min; ",""),"")&amp;IF(ISNUMBER(Settings!$C$25),IF(COUNTIFS($A$6:$A130,$A130,$AM$6:$AM130,1)&gt;Settings!$C$25,"Over max trades/day; ",""),"")&amp;IF(ISNUMBER(Settings!$C$26),IF(SUMIFS($Q$5:$Q129,$A$5:$A129,$A130)&lt;=-Settings!$C$26,"Traded after daily max loss; ",""),"")&amp;IF(AND($AG130="",NOT(ISNUMBER($O130))),"Symbol not in Instruments; ","")&amp;IF(AND($AH130="",NOT(ISNUMBER($O130))),"Forex cross: type Gross P&amp;L; ",""))</f>
        <v/>
      </c>
      <c r="BH130" s="56">
        <f>IF(ISNUMBER($Q130),1,0)</f>
        <v>0</v>
      </c>
      <c r="BI130" s="56">
        <f>IF($Y130="",0,1)</f>
        <v>0</v>
      </c>
      <c r="BJ130" s="56">
        <f>IF($AB130="",0,1)</f>
        <v>0</v>
      </c>
      <c r="BK130" s="56">
        <f>IF(AND($BH130=1,$W130&lt;&gt;"OK"),1,0)</f>
        <v>0</v>
      </c>
      <c r="BL130" s="55">
        <f>IF(N($AZ130)=0,0,IFERROR(INDEX($AT$6:$AT$1005,MATCH($AZ130,$AY$6:$AY$1005,0)),0))</f>
        <v>1187.10688</v>
      </c>
      <c r="BM130" s="56">
        <f>IF(ISNUMBER(SEARCH("daily max loss",$BG130)),1,0)</f>
        <v>0</v>
      </c>
    </row>
    <row r="131" ht="18" customHeight="1">
      <c r="A131" s="38" t="n"/>
      <c r="B131" s="39" t="n"/>
      <c r="C131" s="40" t="n"/>
      <c r="D131" s="41" t="n"/>
      <c r="E131" s="41" t="n"/>
      <c r="F131" s="41" t="n"/>
      <c r="G131" s="41" t="n"/>
      <c r="H131" s="42" t="n"/>
      <c r="I131" s="42" t="n"/>
      <c r="J131" s="42" t="n"/>
      <c r="K131" s="42" t="n"/>
      <c r="L131" s="41" t="n"/>
      <c r="M131" s="41" t="n"/>
      <c r="N131" s="41" t="n"/>
      <c r="O131" s="43" t="n"/>
      <c r="P131" s="43" t="n"/>
      <c r="Q131" s="44" t="str">
        <f>IF($AM131=0,"",IF(ISNUMBER($AK131),$AK131-N($AL131),""))</f>
        <v/>
      </c>
      <c r="R131" s="45" t="str">
        <f>IF(OR($Q131="",NOT(ISNUMBER($V131))),"",$AK131/$V131)</f>
        <v/>
      </c>
      <c r="S131" s="46" t="str">
        <f>IF($Q131="","",IF(AND(ISNUMBER($R131),ABS(N($R131))&lt;N(Settings!$C$8)),"Scratch",IF($Q131&gt;0,"Win",IF($Q131&lt;0,"Loss","Scratch"))))</f>
        <v/>
      </c>
      <c r="T131" s="47" t="str">
        <f>IF(OR($AM131=0,NOT(ISNUMBER($H131)),NOT(ISNUMBER($I131)),NOT(ISNUMBER($J131))),"",IF($H131=$I131,"",ROUND(ABS($J131-$H131)/ABS($H131-$I131),6)))</f>
        <v/>
      </c>
      <c r="U131" s="48" t="str">
        <f>IF(OR($S131&lt;&gt;"Win",NOT(ISNUMBER($T131)),NOT(ISNUMBER($R131))),"",MAX(0,$T131-$R131))</f>
        <v/>
      </c>
      <c r="V131" s="49" t="str">
        <f>IF(OR($AM131=0,NOT(ISNUMBER($H131)),NOT(ISNUMBER($I131)),NOT(ISNUMBER($G131))),"",IF(OR($AG131="",$AH131=""),"",IF(ROUND(ABS($H131-$I131)*ABS($G131)*$AG131*$AH131,6)=0,"",ROUND(ABS($H131-$I131)*ABS($G131)*$AG131*$AH131,6))))</f>
        <v/>
      </c>
      <c r="W131" s="50" t="str">
        <f>IF($AM131=0,"",IF($BG131="","OK",LEFT($BG131,LEN($BG131)-2)))</f>
        <v/>
      </c>
      <c r="X131" s="41" t="n"/>
      <c r="Y131" s="40" t="n"/>
      <c r="Z131" s="41" t="n"/>
      <c r="AA131" s="41" t="n"/>
      <c r="AB131" s="40" t="n"/>
      <c r="AC131" s="51" t="n"/>
      <c r="AD131" s="51" t="n"/>
      <c r="AE131" s="40" t="n"/>
      <c r="AF131" s="52" t="str">
        <f>IF($AM131=0,"",IF($D131&lt;&gt;"",$D131,IF(IFERROR(INDEX(Accounts!$C$7:$C$16,MATCH($C131,Accounts!$B$7:$B$16,0))&amp;"","")&lt;&gt;"",INDEX(Accounts!$C$7:$C$16,MATCH($C131,Accounts!$B$7:$B$16,0)),Settings!$C$6)))</f>
        <v/>
      </c>
      <c r="AG131" s="53" t="str">
        <f>IF($AM131=0,"",IF(AND($BE131&gt;0,N(INDEX(Instruments!$D$6:$D$205,MAX(1,$BE131)))&gt;0),INDEX(Instruments!$D$6:$D$205,MAX(1,$BE131)),IF(N(INDEX(Settings!$D$14:$D$18,$BF131))&gt;0,INDEX(Settings!$D$14:$D$18,$BF131),"")))</f>
        <v/>
      </c>
      <c r="AH131" s="54" t="str">
        <f>IF($AM131=0,"",IF($AF131&lt;&gt;"Forex",1,IF(MID(UPPER(SUBSTITUTE(TRIM($E131),"/","")),4,3)=UPPER(TRIM(Settings!$C$7)),1,IF(LEFT(UPPER(SUBSTITUTE(TRIM($E131),"/","")),3)=UPPER(TRIM(Settings!$C$7)),IF(AND(ISNUMBER($K131),N($K131)&lt;&gt;0),1/$K131,""),""))))</f>
        <v/>
      </c>
      <c r="AI131" s="55" t="str">
        <f>IF($AM131=0,"",IF(OR(NOT(ISNUMBER($H131)),NOT(ISNUMBER($K131)),NOT(ISNUMBER($G131)),$AG131="",$AH131=""),"",ROUND(($K131-$H131)*IF($F131="Short",-1,1)*$G131*$AG131*$AH131,6)))</f>
        <v/>
      </c>
      <c r="AJ131" s="55" t="str">
        <f>IF($AM131=0,"",IF(INDEX(Settings!$E$14:$E$18,$BF131)="% of notional",IF(OR($AG131="",NOT(ISNUMBER($H131)),NOT(ISNUMBER($G131))),"",ROUND(ABS($H131*$G131*$AG131*N($AH131))*IF($L131="Limit",N(INDEX(Settings!$G$14:$G$18,$BF131)),N(INDEX(Settings!$H$14:$H$18,$BF131)))+IF(ISNUMBER($K131),ABS($K131*$G131*$AG131*N($AH131))*IF($M131="Target",N(INDEX(Settings!$G$14:$G$18,$BF131)),N(INDEX(Settings!$H$14:$H$18,$BF131))),0),6)),IF(NOT(ISNUMBER($G131)),"",ROUND(ABS($G131)*2*IF(AND($BE131&gt;0,ISNUMBER(INDEX(Instruments!$G$6:$G$205,MAX(1,$BE131)))),INDEX(Instruments!$G$6:$G$205,MAX(1,$BE131)),N(INDEX(Settings!$F$14:$F$18,$BF131))),6))))</f>
        <v/>
      </c>
      <c r="AK131" s="55" t="str">
        <f>IF($AM131=0,"",IF(ISNUMBER($O131),$O131,$AI131))</f>
        <v/>
      </c>
      <c r="AL131" s="55" t="str">
        <f>IF($AM131=0,"",IF(ISNUMBER($P131),$P131,N($AJ131)))</f>
        <v/>
      </c>
      <c r="AM131" s="56">
        <f>IF(AND($A131&lt;&gt;"",$E131&lt;&gt;"",OR(AND(ISNUMBER($G131),ISNUMBER($H131),ISNUMBER($K131)),ISNUMBER($O131))),1,0)</f>
        <v>0</v>
      </c>
      <c r="AN131" s="57" t="str">
        <f>IF($A131="","",$A131-WEEKDAY($A131,3))</f>
        <v/>
      </c>
      <c r="AO131" s="56" t="str">
        <f>IF($A131="","",WEEKDAY($A131,2))</f>
        <v/>
      </c>
      <c r="AP131" s="55" t="str">
        <f>IF(OR($AM131=0,$C131=""),"",IFERROR(N(INDEX(Accounts!$E$7:$E$16,MATCH($C131,Accounts!$B$7:$B$16,0))),0)+SUMIFS($Q$6:$Q131,$C$6:$C131,$C131))</f>
        <v/>
      </c>
      <c r="AQ131" s="55" t="str">
        <f>IF(OR($AM131=0,$C131=""),"",SUMIFS($Q$6:$Q$1005,$C$6:$C$1005,$C131,$A$6:$A$1005,$A131))</f>
        <v/>
      </c>
      <c r="AR131" s="55" t="str">
        <f>IF(OR($AM131=0,$C131=""),"",IFERROR(N(INDEX(Accounts!$E$7:$E$16,MATCH($C131,Accounts!$B$7:$B$16,0))),0)+SUMIFS($Q$6:$Q$1005,$C$6:$C$1005,$C131,$A$6:$A$1005,"&lt;="&amp;$A131))</f>
        <v/>
      </c>
      <c r="AS131" s="56">
        <f>IF(OR($AM131=0,$Q131=""),0,IF(AND($A131&gt;=Lists!$W$6,$A131&lt;=Lists!$W$7,OR(Dashboard!$D$6="All accounts",$C131=Dashboard!$D$6),OR(Dashboard!$D$7="All markets",$AF131=Dashboard!$D$7)),1,0))</f>
        <v>0</v>
      </c>
      <c r="AT131" s="55">
        <f>IF($AS131=1,N(AT130)+$Q131,N(AT130))</f>
        <v>1187.10688</v>
      </c>
      <c r="AU131" s="55">
        <f>MAX(N(AU130),$AT131)</f>
        <v>1187.10688</v>
      </c>
      <c r="AV131" s="55">
        <f>$AT131-$AU131</f>
        <v>0</v>
      </c>
      <c r="AW131" s="56">
        <f>IF($AS131=1,IF($S131="Win",N(AW130)+1,IF($S131="Loss",0,N(AW130))),N(AW130))</f>
        <v>5</v>
      </c>
      <c r="AX131" s="56">
        <f>IF($AS131=1,IF($S131="Loss",N(AX130)+1,IF($S131="Win",0,N(AX130))),N(AX130))</f>
        <v>0</v>
      </c>
      <c r="AY131" s="56" t="str">
        <f>IF($AS131=1,COUNTIF($AS$6:$AS131,1),"")</f>
        <v/>
      </c>
      <c r="AZ131" s="56">
        <f>MIN(125,N(Lists!$W$8))</f>
        <v>28</v>
      </c>
      <c r="BA131" s="56">
        <f>IF($AS131=1,IF(COUNTIFS($A$6:$A131,$A131,$AS$6:$AS131,1)=1,1,0),0)</f>
        <v>0</v>
      </c>
      <c r="BB131" s="55" t="str">
        <f>IF($BA131=1,SUMIFS($Q$6:$Q$1005,$A$6:$A$1005,$A131,$AS$6:$AS$1005,1),"")</f>
        <v/>
      </c>
      <c r="BC131" s="56">
        <f>IF(ISNUMBER($R131),1,0)</f>
        <v>0</v>
      </c>
      <c r="BD131" s="55" t="str">
        <f>IF(ISNUMBER($U131),$U131*$V131,"")</f>
        <v/>
      </c>
      <c r="BE131" s="56" t="str">
        <f>IF($AM131=0,"",IFERROR(MATCH($AF131&amp;"|"&amp;UPPER(TRIM($E131)),Lists!$A$6:$A$205,0),0))</f>
        <v/>
      </c>
      <c r="BF131" s="56" t="str">
        <f>IF($AM131=0,"",IFERROR(MATCH($AF131,Settings!$B$14:$B$18,0),IFERROR(MATCH(Settings!$C$6,Settings!$B$14:$B$18,0),1)))</f>
        <v/>
      </c>
      <c r="BG131" s="58" t="str">
        <f>IF($AM131=0,"",IF(NOT(ISNUMBER($I131)),"No stop; ","")&amp;IF(AND(ISNUMBER($H131),ISNUMBER($I131)),IF(OR(AND($F131&lt;&gt;"Short",$I131&gt;=$H131),AND($F131="Short",$I131&lt;=$H131)),"Stop on wrong side; ",""),"")&amp;IF($F131="","No direction; ","")&amp;IF(AND(ISNUMBER(Settings!$C$22),ISNUMBER($V131)),IF($V131&gt;Settings!$C$22,"Risk over max $; ",""),"")&amp;IF(AND(ISNUMBER(Settings!$C$23),ISNUMBER($V131),ISNUMBER($AP131),IFERROR(N(INDEX(Accounts!$E$7:$E$16,MATCH($C131,Accounts!$B$7:$B$16,0))),0)&gt;0),IF($V131&gt;Settings!$C$23*($AP131-N($Q131)),"Risk over max %; ",""),"")&amp;IF(AND(ISNUMBER(Settings!$C$24),ISNUMBER($N131)),IF($N131&gt;Settings!$C$24,"Leverage over max; ",""),"")&amp;IF(AND(ISNUMBER(Settings!$C$27),ISNUMBER($T131)),IF($T131&lt;Settings!$C$27,"R:R below min; ",""),"")&amp;IF(ISNUMBER(Settings!$C$25),IF(COUNTIFS($A$6:$A131,$A131,$AM$6:$AM131,1)&gt;Settings!$C$25,"Over max trades/day; ",""),"")&amp;IF(ISNUMBER(Settings!$C$26),IF(SUMIFS($Q$5:$Q130,$A$5:$A130,$A131)&lt;=-Settings!$C$26,"Traded after daily max loss; ",""),"")&amp;IF(AND($AG131="",NOT(ISNUMBER($O131))),"Symbol not in Instruments; ","")&amp;IF(AND($AH131="",NOT(ISNUMBER($O131))),"Forex cross: type Gross P&amp;L; ",""))</f>
        <v/>
      </c>
      <c r="BH131" s="56">
        <f>IF(ISNUMBER($Q131),1,0)</f>
        <v>0</v>
      </c>
      <c r="BI131" s="56">
        <f>IF($Y131="",0,1)</f>
        <v>0</v>
      </c>
      <c r="BJ131" s="56">
        <f>IF($AB131="",0,1)</f>
        <v>0</v>
      </c>
      <c r="BK131" s="56">
        <f>IF(AND($BH131=1,$W131&lt;&gt;"OK"),1,0)</f>
        <v>0</v>
      </c>
      <c r="BL131" s="55">
        <f>IF(N($AZ131)=0,0,IFERROR(INDEX($AT$6:$AT$1005,MATCH($AZ131,$AY$6:$AY$1005,0)),0))</f>
        <v>1187.10688</v>
      </c>
      <c r="BM131" s="56">
        <f>IF(ISNUMBER(SEARCH("daily max loss",$BG131)),1,0)</f>
        <v>0</v>
      </c>
    </row>
    <row r="132" ht="18" customHeight="1">
      <c r="A132" s="38" t="n"/>
      <c r="B132" s="39" t="n"/>
      <c r="C132" s="40" t="n"/>
      <c r="D132" s="41" t="n"/>
      <c r="E132" s="41" t="n"/>
      <c r="F132" s="41" t="n"/>
      <c r="G132" s="41" t="n"/>
      <c r="H132" s="42" t="n"/>
      <c r="I132" s="42" t="n"/>
      <c r="J132" s="42" t="n"/>
      <c r="K132" s="42" t="n"/>
      <c r="L132" s="41" t="n"/>
      <c r="M132" s="41" t="n"/>
      <c r="N132" s="41" t="n"/>
      <c r="O132" s="43" t="n"/>
      <c r="P132" s="43" t="n"/>
      <c r="Q132" s="44" t="str">
        <f>IF($AM132=0,"",IF(ISNUMBER($AK132),$AK132-N($AL132),""))</f>
        <v/>
      </c>
      <c r="R132" s="45" t="str">
        <f>IF(OR($Q132="",NOT(ISNUMBER($V132))),"",$AK132/$V132)</f>
        <v/>
      </c>
      <c r="S132" s="46" t="str">
        <f>IF($Q132="","",IF(AND(ISNUMBER($R132),ABS(N($R132))&lt;N(Settings!$C$8)),"Scratch",IF($Q132&gt;0,"Win",IF($Q132&lt;0,"Loss","Scratch"))))</f>
        <v/>
      </c>
      <c r="T132" s="47" t="str">
        <f>IF(OR($AM132=0,NOT(ISNUMBER($H132)),NOT(ISNUMBER($I132)),NOT(ISNUMBER($J132))),"",IF($H132=$I132,"",ROUND(ABS($J132-$H132)/ABS($H132-$I132),6)))</f>
        <v/>
      </c>
      <c r="U132" s="48" t="str">
        <f>IF(OR($S132&lt;&gt;"Win",NOT(ISNUMBER($T132)),NOT(ISNUMBER($R132))),"",MAX(0,$T132-$R132))</f>
        <v/>
      </c>
      <c r="V132" s="49" t="str">
        <f>IF(OR($AM132=0,NOT(ISNUMBER($H132)),NOT(ISNUMBER($I132)),NOT(ISNUMBER($G132))),"",IF(OR($AG132="",$AH132=""),"",IF(ROUND(ABS($H132-$I132)*ABS($G132)*$AG132*$AH132,6)=0,"",ROUND(ABS($H132-$I132)*ABS($G132)*$AG132*$AH132,6))))</f>
        <v/>
      </c>
      <c r="W132" s="50" t="str">
        <f>IF($AM132=0,"",IF($BG132="","OK",LEFT($BG132,LEN($BG132)-2)))</f>
        <v/>
      </c>
      <c r="X132" s="41" t="n"/>
      <c r="Y132" s="40" t="n"/>
      <c r="Z132" s="41" t="n"/>
      <c r="AA132" s="41" t="n"/>
      <c r="AB132" s="40" t="n"/>
      <c r="AC132" s="51" t="n"/>
      <c r="AD132" s="51" t="n"/>
      <c r="AE132" s="40" t="n"/>
      <c r="AF132" s="52" t="str">
        <f>IF($AM132=0,"",IF($D132&lt;&gt;"",$D132,IF(IFERROR(INDEX(Accounts!$C$7:$C$16,MATCH($C132,Accounts!$B$7:$B$16,0))&amp;"","")&lt;&gt;"",INDEX(Accounts!$C$7:$C$16,MATCH($C132,Accounts!$B$7:$B$16,0)),Settings!$C$6)))</f>
        <v/>
      </c>
      <c r="AG132" s="53" t="str">
        <f>IF($AM132=0,"",IF(AND($BE132&gt;0,N(INDEX(Instruments!$D$6:$D$205,MAX(1,$BE132)))&gt;0),INDEX(Instruments!$D$6:$D$205,MAX(1,$BE132)),IF(N(INDEX(Settings!$D$14:$D$18,$BF132))&gt;0,INDEX(Settings!$D$14:$D$18,$BF132),"")))</f>
        <v/>
      </c>
      <c r="AH132" s="54" t="str">
        <f>IF($AM132=0,"",IF($AF132&lt;&gt;"Forex",1,IF(MID(UPPER(SUBSTITUTE(TRIM($E132),"/","")),4,3)=UPPER(TRIM(Settings!$C$7)),1,IF(LEFT(UPPER(SUBSTITUTE(TRIM($E132),"/","")),3)=UPPER(TRIM(Settings!$C$7)),IF(AND(ISNUMBER($K132),N($K132)&lt;&gt;0),1/$K132,""),""))))</f>
        <v/>
      </c>
      <c r="AI132" s="55" t="str">
        <f>IF($AM132=0,"",IF(OR(NOT(ISNUMBER($H132)),NOT(ISNUMBER($K132)),NOT(ISNUMBER($G132)),$AG132="",$AH132=""),"",ROUND(($K132-$H132)*IF($F132="Short",-1,1)*$G132*$AG132*$AH132,6)))</f>
        <v/>
      </c>
      <c r="AJ132" s="55" t="str">
        <f>IF($AM132=0,"",IF(INDEX(Settings!$E$14:$E$18,$BF132)="% of notional",IF(OR($AG132="",NOT(ISNUMBER($H132)),NOT(ISNUMBER($G132))),"",ROUND(ABS($H132*$G132*$AG132*N($AH132))*IF($L132="Limit",N(INDEX(Settings!$G$14:$G$18,$BF132)),N(INDEX(Settings!$H$14:$H$18,$BF132)))+IF(ISNUMBER($K132),ABS($K132*$G132*$AG132*N($AH132))*IF($M132="Target",N(INDEX(Settings!$G$14:$G$18,$BF132)),N(INDEX(Settings!$H$14:$H$18,$BF132))),0),6)),IF(NOT(ISNUMBER($G132)),"",ROUND(ABS($G132)*2*IF(AND($BE132&gt;0,ISNUMBER(INDEX(Instruments!$G$6:$G$205,MAX(1,$BE132)))),INDEX(Instruments!$G$6:$G$205,MAX(1,$BE132)),N(INDEX(Settings!$F$14:$F$18,$BF132))),6))))</f>
        <v/>
      </c>
      <c r="AK132" s="55" t="str">
        <f>IF($AM132=0,"",IF(ISNUMBER($O132),$O132,$AI132))</f>
        <v/>
      </c>
      <c r="AL132" s="55" t="str">
        <f>IF($AM132=0,"",IF(ISNUMBER($P132),$P132,N($AJ132)))</f>
        <v/>
      </c>
      <c r="AM132" s="56">
        <f>IF(AND($A132&lt;&gt;"",$E132&lt;&gt;"",OR(AND(ISNUMBER($G132),ISNUMBER($H132),ISNUMBER($K132)),ISNUMBER($O132))),1,0)</f>
        <v>0</v>
      </c>
      <c r="AN132" s="57" t="str">
        <f>IF($A132="","",$A132-WEEKDAY($A132,3))</f>
        <v/>
      </c>
      <c r="AO132" s="56" t="str">
        <f>IF($A132="","",WEEKDAY($A132,2))</f>
        <v/>
      </c>
      <c r="AP132" s="55" t="str">
        <f>IF(OR($AM132=0,$C132=""),"",IFERROR(N(INDEX(Accounts!$E$7:$E$16,MATCH($C132,Accounts!$B$7:$B$16,0))),0)+SUMIFS($Q$6:$Q132,$C$6:$C132,$C132))</f>
        <v/>
      </c>
      <c r="AQ132" s="55" t="str">
        <f>IF(OR($AM132=0,$C132=""),"",SUMIFS($Q$6:$Q$1005,$C$6:$C$1005,$C132,$A$6:$A$1005,$A132))</f>
        <v/>
      </c>
      <c r="AR132" s="55" t="str">
        <f>IF(OR($AM132=0,$C132=""),"",IFERROR(N(INDEX(Accounts!$E$7:$E$16,MATCH($C132,Accounts!$B$7:$B$16,0))),0)+SUMIFS($Q$6:$Q$1005,$C$6:$C$1005,$C132,$A$6:$A$1005,"&lt;="&amp;$A132))</f>
        <v/>
      </c>
      <c r="AS132" s="56">
        <f>IF(OR($AM132=0,$Q132=""),0,IF(AND($A132&gt;=Lists!$W$6,$A132&lt;=Lists!$W$7,OR(Dashboard!$D$6="All accounts",$C132=Dashboard!$D$6),OR(Dashboard!$D$7="All markets",$AF132=Dashboard!$D$7)),1,0))</f>
        <v>0</v>
      </c>
      <c r="AT132" s="55">
        <f>IF($AS132=1,N(AT131)+$Q132,N(AT131))</f>
        <v>1187.10688</v>
      </c>
      <c r="AU132" s="55">
        <f>MAX(N(AU131),$AT132)</f>
        <v>1187.10688</v>
      </c>
      <c r="AV132" s="55">
        <f>$AT132-$AU132</f>
        <v>0</v>
      </c>
      <c r="AW132" s="56">
        <f>IF($AS132=1,IF($S132="Win",N(AW131)+1,IF($S132="Loss",0,N(AW131))),N(AW131))</f>
        <v>5</v>
      </c>
      <c r="AX132" s="56">
        <f>IF($AS132=1,IF($S132="Loss",N(AX131)+1,IF($S132="Win",0,N(AX131))),N(AX131))</f>
        <v>0</v>
      </c>
      <c r="AY132" s="56" t="str">
        <f>IF($AS132=1,COUNTIF($AS$6:$AS132,1),"")</f>
        <v/>
      </c>
      <c r="AZ132" s="56">
        <f>MIN(126,N(Lists!$W$8))</f>
        <v>28</v>
      </c>
      <c r="BA132" s="56">
        <f>IF($AS132=1,IF(COUNTIFS($A$6:$A132,$A132,$AS$6:$AS132,1)=1,1,0),0)</f>
        <v>0</v>
      </c>
      <c r="BB132" s="55" t="str">
        <f>IF($BA132=1,SUMIFS($Q$6:$Q$1005,$A$6:$A$1005,$A132,$AS$6:$AS$1005,1),"")</f>
        <v/>
      </c>
      <c r="BC132" s="56">
        <f>IF(ISNUMBER($R132),1,0)</f>
        <v>0</v>
      </c>
      <c r="BD132" s="55" t="str">
        <f>IF(ISNUMBER($U132),$U132*$V132,"")</f>
        <v/>
      </c>
      <c r="BE132" s="56" t="str">
        <f>IF($AM132=0,"",IFERROR(MATCH($AF132&amp;"|"&amp;UPPER(TRIM($E132)),Lists!$A$6:$A$205,0),0))</f>
        <v/>
      </c>
      <c r="BF132" s="56" t="str">
        <f>IF($AM132=0,"",IFERROR(MATCH($AF132,Settings!$B$14:$B$18,0),IFERROR(MATCH(Settings!$C$6,Settings!$B$14:$B$18,0),1)))</f>
        <v/>
      </c>
      <c r="BG132" s="58" t="str">
        <f>IF($AM132=0,"",IF(NOT(ISNUMBER($I132)),"No stop; ","")&amp;IF(AND(ISNUMBER($H132),ISNUMBER($I132)),IF(OR(AND($F132&lt;&gt;"Short",$I132&gt;=$H132),AND($F132="Short",$I132&lt;=$H132)),"Stop on wrong side; ",""),"")&amp;IF($F132="","No direction; ","")&amp;IF(AND(ISNUMBER(Settings!$C$22),ISNUMBER($V132)),IF($V132&gt;Settings!$C$22,"Risk over max $; ",""),"")&amp;IF(AND(ISNUMBER(Settings!$C$23),ISNUMBER($V132),ISNUMBER($AP132),IFERROR(N(INDEX(Accounts!$E$7:$E$16,MATCH($C132,Accounts!$B$7:$B$16,0))),0)&gt;0),IF($V132&gt;Settings!$C$23*($AP132-N($Q132)),"Risk over max %; ",""),"")&amp;IF(AND(ISNUMBER(Settings!$C$24),ISNUMBER($N132)),IF($N132&gt;Settings!$C$24,"Leverage over max; ",""),"")&amp;IF(AND(ISNUMBER(Settings!$C$27),ISNUMBER($T132)),IF($T132&lt;Settings!$C$27,"R:R below min; ",""),"")&amp;IF(ISNUMBER(Settings!$C$25),IF(COUNTIFS($A$6:$A132,$A132,$AM$6:$AM132,1)&gt;Settings!$C$25,"Over max trades/day; ",""),"")&amp;IF(ISNUMBER(Settings!$C$26),IF(SUMIFS($Q$5:$Q131,$A$5:$A131,$A132)&lt;=-Settings!$C$26,"Traded after daily max loss; ",""),"")&amp;IF(AND($AG132="",NOT(ISNUMBER($O132))),"Symbol not in Instruments; ","")&amp;IF(AND($AH132="",NOT(ISNUMBER($O132))),"Forex cross: type Gross P&amp;L; ",""))</f>
        <v/>
      </c>
      <c r="BH132" s="56">
        <f>IF(ISNUMBER($Q132),1,0)</f>
        <v>0</v>
      </c>
      <c r="BI132" s="56">
        <f>IF($Y132="",0,1)</f>
        <v>0</v>
      </c>
      <c r="BJ132" s="56">
        <f>IF($AB132="",0,1)</f>
        <v>0</v>
      </c>
      <c r="BK132" s="56">
        <f>IF(AND($BH132=1,$W132&lt;&gt;"OK"),1,0)</f>
        <v>0</v>
      </c>
      <c r="BL132" s="55">
        <f>IF(N($AZ132)=0,0,IFERROR(INDEX($AT$6:$AT$1005,MATCH($AZ132,$AY$6:$AY$1005,0)),0))</f>
        <v>1187.10688</v>
      </c>
      <c r="BM132" s="56">
        <f>IF(ISNUMBER(SEARCH("daily max loss",$BG132)),1,0)</f>
        <v>0</v>
      </c>
    </row>
    <row r="133" ht="18" customHeight="1">
      <c r="A133" s="38" t="n"/>
      <c r="B133" s="39" t="n"/>
      <c r="C133" s="40" t="n"/>
      <c r="D133" s="41" t="n"/>
      <c r="E133" s="41" t="n"/>
      <c r="F133" s="41" t="n"/>
      <c r="G133" s="41" t="n"/>
      <c r="H133" s="42" t="n"/>
      <c r="I133" s="42" t="n"/>
      <c r="J133" s="42" t="n"/>
      <c r="K133" s="42" t="n"/>
      <c r="L133" s="41" t="n"/>
      <c r="M133" s="41" t="n"/>
      <c r="N133" s="41" t="n"/>
      <c r="O133" s="43" t="n"/>
      <c r="P133" s="43" t="n"/>
      <c r="Q133" s="44" t="str">
        <f>IF($AM133=0,"",IF(ISNUMBER($AK133),$AK133-N($AL133),""))</f>
        <v/>
      </c>
      <c r="R133" s="45" t="str">
        <f>IF(OR($Q133="",NOT(ISNUMBER($V133))),"",$AK133/$V133)</f>
        <v/>
      </c>
      <c r="S133" s="46" t="str">
        <f>IF($Q133="","",IF(AND(ISNUMBER($R133),ABS(N($R133))&lt;N(Settings!$C$8)),"Scratch",IF($Q133&gt;0,"Win",IF($Q133&lt;0,"Loss","Scratch"))))</f>
        <v/>
      </c>
      <c r="T133" s="47" t="str">
        <f>IF(OR($AM133=0,NOT(ISNUMBER($H133)),NOT(ISNUMBER($I133)),NOT(ISNUMBER($J133))),"",IF($H133=$I133,"",ROUND(ABS($J133-$H133)/ABS($H133-$I133),6)))</f>
        <v/>
      </c>
      <c r="U133" s="48" t="str">
        <f>IF(OR($S133&lt;&gt;"Win",NOT(ISNUMBER($T133)),NOT(ISNUMBER($R133))),"",MAX(0,$T133-$R133))</f>
        <v/>
      </c>
      <c r="V133" s="49" t="str">
        <f>IF(OR($AM133=0,NOT(ISNUMBER($H133)),NOT(ISNUMBER($I133)),NOT(ISNUMBER($G133))),"",IF(OR($AG133="",$AH133=""),"",IF(ROUND(ABS($H133-$I133)*ABS($G133)*$AG133*$AH133,6)=0,"",ROUND(ABS($H133-$I133)*ABS($G133)*$AG133*$AH133,6))))</f>
        <v/>
      </c>
      <c r="W133" s="50" t="str">
        <f>IF($AM133=0,"",IF($BG133="","OK",LEFT($BG133,LEN($BG133)-2)))</f>
        <v/>
      </c>
      <c r="X133" s="41" t="n"/>
      <c r="Y133" s="40" t="n"/>
      <c r="Z133" s="41" t="n"/>
      <c r="AA133" s="41" t="n"/>
      <c r="AB133" s="40" t="n"/>
      <c r="AC133" s="51" t="n"/>
      <c r="AD133" s="51" t="n"/>
      <c r="AE133" s="40" t="n"/>
      <c r="AF133" s="52" t="str">
        <f>IF($AM133=0,"",IF($D133&lt;&gt;"",$D133,IF(IFERROR(INDEX(Accounts!$C$7:$C$16,MATCH($C133,Accounts!$B$7:$B$16,0))&amp;"","")&lt;&gt;"",INDEX(Accounts!$C$7:$C$16,MATCH($C133,Accounts!$B$7:$B$16,0)),Settings!$C$6)))</f>
        <v/>
      </c>
      <c r="AG133" s="53" t="str">
        <f>IF($AM133=0,"",IF(AND($BE133&gt;0,N(INDEX(Instruments!$D$6:$D$205,MAX(1,$BE133)))&gt;0),INDEX(Instruments!$D$6:$D$205,MAX(1,$BE133)),IF(N(INDEX(Settings!$D$14:$D$18,$BF133))&gt;0,INDEX(Settings!$D$14:$D$18,$BF133),"")))</f>
        <v/>
      </c>
      <c r="AH133" s="54" t="str">
        <f>IF($AM133=0,"",IF($AF133&lt;&gt;"Forex",1,IF(MID(UPPER(SUBSTITUTE(TRIM($E133),"/","")),4,3)=UPPER(TRIM(Settings!$C$7)),1,IF(LEFT(UPPER(SUBSTITUTE(TRIM($E133),"/","")),3)=UPPER(TRIM(Settings!$C$7)),IF(AND(ISNUMBER($K133),N($K133)&lt;&gt;0),1/$K133,""),""))))</f>
        <v/>
      </c>
      <c r="AI133" s="55" t="str">
        <f>IF($AM133=0,"",IF(OR(NOT(ISNUMBER($H133)),NOT(ISNUMBER($K133)),NOT(ISNUMBER($G133)),$AG133="",$AH133=""),"",ROUND(($K133-$H133)*IF($F133="Short",-1,1)*$G133*$AG133*$AH133,6)))</f>
        <v/>
      </c>
      <c r="AJ133" s="55" t="str">
        <f>IF($AM133=0,"",IF(INDEX(Settings!$E$14:$E$18,$BF133)="% of notional",IF(OR($AG133="",NOT(ISNUMBER($H133)),NOT(ISNUMBER($G133))),"",ROUND(ABS($H133*$G133*$AG133*N($AH133))*IF($L133="Limit",N(INDEX(Settings!$G$14:$G$18,$BF133)),N(INDEX(Settings!$H$14:$H$18,$BF133)))+IF(ISNUMBER($K133),ABS($K133*$G133*$AG133*N($AH133))*IF($M133="Target",N(INDEX(Settings!$G$14:$G$18,$BF133)),N(INDEX(Settings!$H$14:$H$18,$BF133))),0),6)),IF(NOT(ISNUMBER($G133)),"",ROUND(ABS($G133)*2*IF(AND($BE133&gt;0,ISNUMBER(INDEX(Instruments!$G$6:$G$205,MAX(1,$BE133)))),INDEX(Instruments!$G$6:$G$205,MAX(1,$BE133)),N(INDEX(Settings!$F$14:$F$18,$BF133))),6))))</f>
        <v/>
      </c>
      <c r="AK133" s="55" t="str">
        <f>IF($AM133=0,"",IF(ISNUMBER($O133),$O133,$AI133))</f>
        <v/>
      </c>
      <c r="AL133" s="55" t="str">
        <f>IF($AM133=0,"",IF(ISNUMBER($P133),$P133,N($AJ133)))</f>
        <v/>
      </c>
      <c r="AM133" s="56">
        <f>IF(AND($A133&lt;&gt;"",$E133&lt;&gt;"",OR(AND(ISNUMBER($G133),ISNUMBER($H133),ISNUMBER($K133)),ISNUMBER($O133))),1,0)</f>
        <v>0</v>
      </c>
      <c r="AN133" s="57" t="str">
        <f>IF($A133="","",$A133-WEEKDAY($A133,3))</f>
        <v/>
      </c>
      <c r="AO133" s="56" t="str">
        <f>IF($A133="","",WEEKDAY($A133,2))</f>
        <v/>
      </c>
      <c r="AP133" s="55" t="str">
        <f>IF(OR($AM133=0,$C133=""),"",IFERROR(N(INDEX(Accounts!$E$7:$E$16,MATCH($C133,Accounts!$B$7:$B$16,0))),0)+SUMIFS($Q$6:$Q133,$C$6:$C133,$C133))</f>
        <v/>
      </c>
      <c r="AQ133" s="55" t="str">
        <f>IF(OR($AM133=0,$C133=""),"",SUMIFS($Q$6:$Q$1005,$C$6:$C$1005,$C133,$A$6:$A$1005,$A133))</f>
        <v/>
      </c>
      <c r="AR133" s="55" t="str">
        <f>IF(OR($AM133=0,$C133=""),"",IFERROR(N(INDEX(Accounts!$E$7:$E$16,MATCH($C133,Accounts!$B$7:$B$16,0))),0)+SUMIFS($Q$6:$Q$1005,$C$6:$C$1005,$C133,$A$6:$A$1005,"&lt;="&amp;$A133))</f>
        <v/>
      </c>
      <c r="AS133" s="56">
        <f>IF(OR($AM133=0,$Q133=""),0,IF(AND($A133&gt;=Lists!$W$6,$A133&lt;=Lists!$W$7,OR(Dashboard!$D$6="All accounts",$C133=Dashboard!$D$6),OR(Dashboard!$D$7="All markets",$AF133=Dashboard!$D$7)),1,0))</f>
        <v>0</v>
      </c>
      <c r="AT133" s="55">
        <f>IF($AS133=1,N(AT132)+$Q133,N(AT132))</f>
        <v>1187.10688</v>
      </c>
      <c r="AU133" s="55">
        <f>MAX(N(AU132),$AT133)</f>
        <v>1187.10688</v>
      </c>
      <c r="AV133" s="55">
        <f>$AT133-$AU133</f>
        <v>0</v>
      </c>
      <c r="AW133" s="56">
        <f>IF($AS133=1,IF($S133="Win",N(AW132)+1,IF($S133="Loss",0,N(AW132))),N(AW132))</f>
        <v>5</v>
      </c>
      <c r="AX133" s="56">
        <f>IF($AS133=1,IF($S133="Loss",N(AX132)+1,IF($S133="Win",0,N(AX132))),N(AX132))</f>
        <v>0</v>
      </c>
      <c r="AY133" s="56" t="str">
        <f>IF($AS133=1,COUNTIF($AS$6:$AS133,1),"")</f>
        <v/>
      </c>
      <c r="AZ133" s="56">
        <f>MIN(127,N(Lists!$W$8))</f>
        <v>28</v>
      </c>
      <c r="BA133" s="56">
        <f>IF($AS133=1,IF(COUNTIFS($A$6:$A133,$A133,$AS$6:$AS133,1)=1,1,0),0)</f>
        <v>0</v>
      </c>
      <c r="BB133" s="55" t="str">
        <f>IF($BA133=1,SUMIFS($Q$6:$Q$1005,$A$6:$A$1005,$A133,$AS$6:$AS$1005,1),"")</f>
        <v/>
      </c>
      <c r="BC133" s="56">
        <f>IF(ISNUMBER($R133),1,0)</f>
        <v>0</v>
      </c>
      <c r="BD133" s="55" t="str">
        <f>IF(ISNUMBER($U133),$U133*$V133,"")</f>
        <v/>
      </c>
      <c r="BE133" s="56" t="str">
        <f>IF($AM133=0,"",IFERROR(MATCH($AF133&amp;"|"&amp;UPPER(TRIM($E133)),Lists!$A$6:$A$205,0),0))</f>
        <v/>
      </c>
      <c r="BF133" s="56" t="str">
        <f>IF($AM133=0,"",IFERROR(MATCH($AF133,Settings!$B$14:$B$18,0),IFERROR(MATCH(Settings!$C$6,Settings!$B$14:$B$18,0),1)))</f>
        <v/>
      </c>
      <c r="BG133" s="58" t="str">
        <f>IF($AM133=0,"",IF(NOT(ISNUMBER($I133)),"No stop; ","")&amp;IF(AND(ISNUMBER($H133),ISNUMBER($I133)),IF(OR(AND($F133&lt;&gt;"Short",$I133&gt;=$H133),AND($F133="Short",$I133&lt;=$H133)),"Stop on wrong side; ",""),"")&amp;IF($F133="","No direction; ","")&amp;IF(AND(ISNUMBER(Settings!$C$22),ISNUMBER($V133)),IF($V133&gt;Settings!$C$22,"Risk over max $; ",""),"")&amp;IF(AND(ISNUMBER(Settings!$C$23),ISNUMBER($V133),ISNUMBER($AP133),IFERROR(N(INDEX(Accounts!$E$7:$E$16,MATCH($C133,Accounts!$B$7:$B$16,0))),0)&gt;0),IF($V133&gt;Settings!$C$23*($AP133-N($Q133)),"Risk over max %; ",""),"")&amp;IF(AND(ISNUMBER(Settings!$C$24),ISNUMBER($N133)),IF($N133&gt;Settings!$C$24,"Leverage over max; ",""),"")&amp;IF(AND(ISNUMBER(Settings!$C$27),ISNUMBER($T133)),IF($T133&lt;Settings!$C$27,"R:R below min; ",""),"")&amp;IF(ISNUMBER(Settings!$C$25),IF(COUNTIFS($A$6:$A133,$A133,$AM$6:$AM133,1)&gt;Settings!$C$25,"Over max trades/day; ",""),"")&amp;IF(ISNUMBER(Settings!$C$26),IF(SUMIFS($Q$5:$Q132,$A$5:$A132,$A133)&lt;=-Settings!$C$26,"Traded after daily max loss; ",""),"")&amp;IF(AND($AG133="",NOT(ISNUMBER($O133))),"Symbol not in Instruments; ","")&amp;IF(AND($AH133="",NOT(ISNUMBER($O133))),"Forex cross: type Gross P&amp;L; ",""))</f>
        <v/>
      </c>
      <c r="BH133" s="56">
        <f>IF(ISNUMBER($Q133),1,0)</f>
        <v>0</v>
      </c>
      <c r="BI133" s="56">
        <f>IF($Y133="",0,1)</f>
        <v>0</v>
      </c>
      <c r="BJ133" s="56">
        <f>IF($AB133="",0,1)</f>
        <v>0</v>
      </c>
      <c r="BK133" s="56">
        <f>IF(AND($BH133=1,$W133&lt;&gt;"OK"),1,0)</f>
        <v>0</v>
      </c>
      <c r="BL133" s="55">
        <f>IF(N($AZ133)=0,0,IFERROR(INDEX($AT$6:$AT$1005,MATCH($AZ133,$AY$6:$AY$1005,0)),0))</f>
        <v>1187.10688</v>
      </c>
      <c r="BM133" s="56">
        <f>IF(ISNUMBER(SEARCH("daily max loss",$BG133)),1,0)</f>
        <v>0</v>
      </c>
    </row>
    <row r="134" ht="18" customHeight="1">
      <c r="A134" s="38" t="n"/>
      <c r="B134" s="39" t="n"/>
      <c r="C134" s="40" t="n"/>
      <c r="D134" s="41" t="n"/>
      <c r="E134" s="41" t="n"/>
      <c r="F134" s="41" t="n"/>
      <c r="G134" s="41" t="n"/>
      <c r="H134" s="42" t="n"/>
      <c r="I134" s="42" t="n"/>
      <c r="J134" s="42" t="n"/>
      <c r="K134" s="42" t="n"/>
      <c r="L134" s="41" t="n"/>
      <c r="M134" s="41" t="n"/>
      <c r="N134" s="41" t="n"/>
      <c r="O134" s="43" t="n"/>
      <c r="P134" s="43" t="n"/>
      <c r="Q134" s="44" t="str">
        <f>IF($AM134=0,"",IF(ISNUMBER($AK134),$AK134-N($AL134),""))</f>
        <v/>
      </c>
      <c r="R134" s="45" t="str">
        <f>IF(OR($Q134="",NOT(ISNUMBER($V134))),"",$AK134/$V134)</f>
        <v/>
      </c>
      <c r="S134" s="46" t="str">
        <f>IF($Q134="","",IF(AND(ISNUMBER($R134),ABS(N($R134))&lt;N(Settings!$C$8)),"Scratch",IF($Q134&gt;0,"Win",IF($Q134&lt;0,"Loss","Scratch"))))</f>
        <v/>
      </c>
      <c r="T134" s="47" t="str">
        <f>IF(OR($AM134=0,NOT(ISNUMBER($H134)),NOT(ISNUMBER($I134)),NOT(ISNUMBER($J134))),"",IF($H134=$I134,"",ROUND(ABS($J134-$H134)/ABS($H134-$I134),6)))</f>
        <v/>
      </c>
      <c r="U134" s="48" t="str">
        <f>IF(OR($S134&lt;&gt;"Win",NOT(ISNUMBER($T134)),NOT(ISNUMBER($R134))),"",MAX(0,$T134-$R134))</f>
        <v/>
      </c>
      <c r="V134" s="49" t="str">
        <f>IF(OR($AM134=0,NOT(ISNUMBER($H134)),NOT(ISNUMBER($I134)),NOT(ISNUMBER($G134))),"",IF(OR($AG134="",$AH134=""),"",IF(ROUND(ABS($H134-$I134)*ABS($G134)*$AG134*$AH134,6)=0,"",ROUND(ABS($H134-$I134)*ABS($G134)*$AG134*$AH134,6))))</f>
        <v/>
      </c>
      <c r="W134" s="50" t="str">
        <f>IF($AM134=0,"",IF($BG134="","OK",LEFT($BG134,LEN($BG134)-2)))</f>
        <v/>
      </c>
      <c r="X134" s="41" t="n"/>
      <c r="Y134" s="40" t="n"/>
      <c r="Z134" s="41" t="n"/>
      <c r="AA134" s="41" t="n"/>
      <c r="AB134" s="40" t="n"/>
      <c r="AC134" s="51" t="n"/>
      <c r="AD134" s="51" t="n"/>
      <c r="AE134" s="40" t="n"/>
      <c r="AF134" s="52" t="str">
        <f>IF($AM134=0,"",IF($D134&lt;&gt;"",$D134,IF(IFERROR(INDEX(Accounts!$C$7:$C$16,MATCH($C134,Accounts!$B$7:$B$16,0))&amp;"","")&lt;&gt;"",INDEX(Accounts!$C$7:$C$16,MATCH($C134,Accounts!$B$7:$B$16,0)),Settings!$C$6)))</f>
        <v/>
      </c>
      <c r="AG134" s="53" t="str">
        <f>IF($AM134=0,"",IF(AND($BE134&gt;0,N(INDEX(Instruments!$D$6:$D$205,MAX(1,$BE134)))&gt;0),INDEX(Instruments!$D$6:$D$205,MAX(1,$BE134)),IF(N(INDEX(Settings!$D$14:$D$18,$BF134))&gt;0,INDEX(Settings!$D$14:$D$18,$BF134),"")))</f>
        <v/>
      </c>
      <c r="AH134" s="54" t="str">
        <f>IF($AM134=0,"",IF($AF134&lt;&gt;"Forex",1,IF(MID(UPPER(SUBSTITUTE(TRIM($E134),"/","")),4,3)=UPPER(TRIM(Settings!$C$7)),1,IF(LEFT(UPPER(SUBSTITUTE(TRIM($E134),"/","")),3)=UPPER(TRIM(Settings!$C$7)),IF(AND(ISNUMBER($K134),N($K134)&lt;&gt;0),1/$K134,""),""))))</f>
        <v/>
      </c>
      <c r="AI134" s="55" t="str">
        <f>IF($AM134=0,"",IF(OR(NOT(ISNUMBER($H134)),NOT(ISNUMBER($K134)),NOT(ISNUMBER($G134)),$AG134="",$AH134=""),"",ROUND(($K134-$H134)*IF($F134="Short",-1,1)*$G134*$AG134*$AH134,6)))</f>
        <v/>
      </c>
      <c r="AJ134" s="55" t="str">
        <f>IF($AM134=0,"",IF(INDEX(Settings!$E$14:$E$18,$BF134)="% of notional",IF(OR($AG134="",NOT(ISNUMBER($H134)),NOT(ISNUMBER($G134))),"",ROUND(ABS($H134*$G134*$AG134*N($AH134))*IF($L134="Limit",N(INDEX(Settings!$G$14:$G$18,$BF134)),N(INDEX(Settings!$H$14:$H$18,$BF134)))+IF(ISNUMBER($K134),ABS($K134*$G134*$AG134*N($AH134))*IF($M134="Target",N(INDEX(Settings!$G$14:$G$18,$BF134)),N(INDEX(Settings!$H$14:$H$18,$BF134))),0),6)),IF(NOT(ISNUMBER($G134)),"",ROUND(ABS($G134)*2*IF(AND($BE134&gt;0,ISNUMBER(INDEX(Instruments!$G$6:$G$205,MAX(1,$BE134)))),INDEX(Instruments!$G$6:$G$205,MAX(1,$BE134)),N(INDEX(Settings!$F$14:$F$18,$BF134))),6))))</f>
        <v/>
      </c>
      <c r="AK134" s="55" t="str">
        <f>IF($AM134=0,"",IF(ISNUMBER($O134),$O134,$AI134))</f>
        <v/>
      </c>
      <c r="AL134" s="55" t="str">
        <f>IF($AM134=0,"",IF(ISNUMBER($P134),$P134,N($AJ134)))</f>
        <v/>
      </c>
      <c r="AM134" s="56">
        <f>IF(AND($A134&lt;&gt;"",$E134&lt;&gt;"",OR(AND(ISNUMBER($G134),ISNUMBER($H134),ISNUMBER($K134)),ISNUMBER($O134))),1,0)</f>
        <v>0</v>
      </c>
      <c r="AN134" s="57" t="str">
        <f>IF($A134="","",$A134-WEEKDAY($A134,3))</f>
        <v/>
      </c>
      <c r="AO134" s="56" t="str">
        <f>IF($A134="","",WEEKDAY($A134,2))</f>
        <v/>
      </c>
      <c r="AP134" s="55" t="str">
        <f>IF(OR($AM134=0,$C134=""),"",IFERROR(N(INDEX(Accounts!$E$7:$E$16,MATCH($C134,Accounts!$B$7:$B$16,0))),0)+SUMIFS($Q$6:$Q134,$C$6:$C134,$C134))</f>
        <v/>
      </c>
      <c r="AQ134" s="55" t="str">
        <f>IF(OR($AM134=0,$C134=""),"",SUMIFS($Q$6:$Q$1005,$C$6:$C$1005,$C134,$A$6:$A$1005,$A134))</f>
        <v/>
      </c>
      <c r="AR134" s="55" t="str">
        <f>IF(OR($AM134=0,$C134=""),"",IFERROR(N(INDEX(Accounts!$E$7:$E$16,MATCH($C134,Accounts!$B$7:$B$16,0))),0)+SUMIFS($Q$6:$Q$1005,$C$6:$C$1005,$C134,$A$6:$A$1005,"&lt;="&amp;$A134))</f>
        <v/>
      </c>
      <c r="AS134" s="56">
        <f>IF(OR($AM134=0,$Q134=""),0,IF(AND($A134&gt;=Lists!$W$6,$A134&lt;=Lists!$W$7,OR(Dashboard!$D$6="All accounts",$C134=Dashboard!$D$6),OR(Dashboard!$D$7="All markets",$AF134=Dashboard!$D$7)),1,0))</f>
        <v>0</v>
      </c>
      <c r="AT134" s="55">
        <f>IF($AS134=1,N(AT133)+$Q134,N(AT133))</f>
        <v>1187.10688</v>
      </c>
      <c r="AU134" s="55">
        <f>MAX(N(AU133),$AT134)</f>
        <v>1187.10688</v>
      </c>
      <c r="AV134" s="55">
        <f>$AT134-$AU134</f>
        <v>0</v>
      </c>
      <c r="AW134" s="56">
        <f>IF($AS134=1,IF($S134="Win",N(AW133)+1,IF($S134="Loss",0,N(AW133))),N(AW133))</f>
        <v>5</v>
      </c>
      <c r="AX134" s="56">
        <f>IF($AS134=1,IF($S134="Loss",N(AX133)+1,IF($S134="Win",0,N(AX133))),N(AX133))</f>
        <v>0</v>
      </c>
      <c r="AY134" s="56" t="str">
        <f>IF($AS134=1,COUNTIF($AS$6:$AS134,1),"")</f>
        <v/>
      </c>
      <c r="AZ134" s="56">
        <f>MIN(128,N(Lists!$W$8))</f>
        <v>28</v>
      </c>
      <c r="BA134" s="56">
        <f>IF($AS134=1,IF(COUNTIFS($A$6:$A134,$A134,$AS$6:$AS134,1)=1,1,0),0)</f>
        <v>0</v>
      </c>
      <c r="BB134" s="55" t="str">
        <f>IF($BA134=1,SUMIFS($Q$6:$Q$1005,$A$6:$A$1005,$A134,$AS$6:$AS$1005,1),"")</f>
        <v/>
      </c>
      <c r="BC134" s="56">
        <f>IF(ISNUMBER($R134),1,0)</f>
        <v>0</v>
      </c>
      <c r="BD134" s="55" t="str">
        <f>IF(ISNUMBER($U134),$U134*$V134,"")</f>
        <v/>
      </c>
      <c r="BE134" s="56" t="str">
        <f>IF($AM134=0,"",IFERROR(MATCH($AF134&amp;"|"&amp;UPPER(TRIM($E134)),Lists!$A$6:$A$205,0),0))</f>
        <v/>
      </c>
      <c r="BF134" s="56" t="str">
        <f>IF($AM134=0,"",IFERROR(MATCH($AF134,Settings!$B$14:$B$18,0),IFERROR(MATCH(Settings!$C$6,Settings!$B$14:$B$18,0),1)))</f>
        <v/>
      </c>
      <c r="BG134" s="58" t="str">
        <f>IF($AM134=0,"",IF(NOT(ISNUMBER($I134)),"No stop; ","")&amp;IF(AND(ISNUMBER($H134),ISNUMBER($I134)),IF(OR(AND($F134&lt;&gt;"Short",$I134&gt;=$H134),AND($F134="Short",$I134&lt;=$H134)),"Stop on wrong side; ",""),"")&amp;IF($F134="","No direction; ","")&amp;IF(AND(ISNUMBER(Settings!$C$22),ISNUMBER($V134)),IF($V134&gt;Settings!$C$22,"Risk over max $; ",""),"")&amp;IF(AND(ISNUMBER(Settings!$C$23),ISNUMBER($V134),ISNUMBER($AP134),IFERROR(N(INDEX(Accounts!$E$7:$E$16,MATCH($C134,Accounts!$B$7:$B$16,0))),0)&gt;0),IF($V134&gt;Settings!$C$23*($AP134-N($Q134)),"Risk over max %; ",""),"")&amp;IF(AND(ISNUMBER(Settings!$C$24),ISNUMBER($N134)),IF($N134&gt;Settings!$C$24,"Leverage over max; ",""),"")&amp;IF(AND(ISNUMBER(Settings!$C$27),ISNUMBER($T134)),IF($T134&lt;Settings!$C$27,"R:R below min; ",""),"")&amp;IF(ISNUMBER(Settings!$C$25),IF(COUNTIFS($A$6:$A134,$A134,$AM$6:$AM134,1)&gt;Settings!$C$25,"Over max trades/day; ",""),"")&amp;IF(ISNUMBER(Settings!$C$26),IF(SUMIFS($Q$5:$Q133,$A$5:$A133,$A134)&lt;=-Settings!$C$26,"Traded after daily max loss; ",""),"")&amp;IF(AND($AG134="",NOT(ISNUMBER($O134))),"Symbol not in Instruments; ","")&amp;IF(AND($AH134="",NOT(ISNUMBER($O134))),"Forex cross: type Gross P&amp;L; ",""))</f>
        <v/>
      </c>
      <c r="BH134" s="56">
        <f>IF(ISNUMBER($Q134),1,0)</f>
        <v>0</v>
      </c>
      <c r="BI134" s="56">
        <f>IF($Y134="",0,1)</f>
        <v>0</v>
      </c>
      <c r="BJ134" s="56">
        <f>IF($AB134="",0,1)</f>
        <v>0</v>
      </c>
      <c r="BK134" s="56">
        <f>IF(AND($BH134=1,$W134&lt;&gt;"OK"),1,0)</f>
        <v>0</v>
      </c>
      <c r="BL134" s="55">
        <f>IF(N($AZ134)=0,0,IFERROR(INDEX($AT$6:$AT$1005,MATCH($AZ134,$AY$6:$AY$1005,0)),0))</f>
        <v>1187.10688</v>
      </c>
      <c r="BM134" s="56">
        <f>IF(ISNUMBER(SEARCH("daily max loss",$BG134)),1,0)</f>
        <v>0</v>
      </c>
    </row>
    <row r="135" ht="18" customHeight="1">
      <c r="A135" s="38" t="n"/>
      <c r="B135" s="39" t="n"/>
      <c r="C135" s="40" t="n"/>
      <c r="D135" s="41" t="n"/>
      <c r="E135" s="41" t="n"/>
      <c r="F135" s="41" t="n"/>
      <c r="G135" s="41" t="n"/>
      <c r="H135" s="42" t="n"/>
      <c r="I135" s="42" t="n"/>
      <c r="J135" s="42" t="n"/>
      <c r="K135" s="42" t="n"/>
      <c r="L135" s="41" t="n"/>
      <c r="M135" s="41" t="n"/>
      <c r="N135" s="41" t="n"/>
      <c r="O135" s="43" t="n"/>
      <c r="P135" s="43" t="n"/>
      <c r="Q135" s="44" t="str">
        <f>IF($AM135=0,"",IF(ISNUMBER($AK135),$AK135-N($AL135),""))</f>
        <v/>
      </c>
      <c r="R135" s="45" t="str">
        <f>IF(OR($Q135="",NOT(ISNUMBER($V135))),"",$AK135/$V135)</f>
        <v/>
      </c>
      <c r="S135" s="46" t="str">
        <f>IF($Q135="","",IF(AND(ISNUMBER($R135),ABS(N($R135))&lt;N(Settings!$C$8)),"Scratch",IF($Q135&gt;0,"Win",IF($Q135&lt;0,"Loss","Scratch"))))</f>
        <v/>
      </c>
      <c r="T135" s="47" t="str">
        <f>IF(OR($AM135=0,NOT(ISNUMBER($H135)),NOT(ISNUMBER($I135)),NOT(ISNUMBER($J135))),"",IF($H135=$I135,"",ROUND(ABS($J135-$H135)/ABS($H135-$I135),6)))</f>
        <v/>
      </c>
      <c r="U135" s="48" t="str">
        <f>IF(OR($S135&lt;&gt;"Win",NOT(ISNUMBER($T135)),NOT(ISNUMBER($R135))),"",MAX(0,$T135-$R135))</f>
        <v/>
      </c>
      <c r="V135" s="49" t="str">
        <f>IF(OR($AM135=0,NOT(ISNUMBER($H135)),NOT(ISNUMBER($I135)),NOT(ISNUMBER($G135))),"",IF(OR($AG135="",$AH135=""),"",IF(ROUND(ABS($H135-$I135)*ABS($G135)*$AG135*$AH135,6)=0,"",ROUND(ABS($H135-$I135)*ABS($G135)*$AG135*$AH135,6))))</f>
        <v/>
      </c>
      <c r="W135" s="50" t="str">
        <f>IF($AM135=0,"",IF($BG135="","OK",LEFT($BG135,LEN($BG135)-2)))</f>
        <v/>
      </c>
      <c r="X135" s="41" t="n"/>
      <c r="Y135" s="40" t="n"/>
      <c r="Z135" s="41" t="n"/>
      <c r="AA135" s="41" t="n"/>
      <c r="AB135" s="40" t="n"/>
      <c r="AC135" s="51" t="n"/>
      <c r="AD135" s="51" t="n"/>
      <c r="AE135" s="40" t="n"/>
      <c r="AF135" s="52" t="str">
        <f>IF($AM135=0,"",IF($D135&lt;&gt;"",$D135,IF(IFERROR(INDEX(Accounts!$C$7:$C$16,MATCH($C135,Accounts!$B$7:$B$16,0))&amp;"","")&lt;&gt;"",INDEX(Accounts!$C$7:$C$16,MATCH($C135,Accounts!$B$7:$B$16,0)),Settings!$C$6)))</f>
        <v/>
      </c>
      <c r="AG135" s="53" t="str">
        <f>IF($AM135=0,"",IF(AND($BE135&gt;0,N(INDEX(Instruments!$D$6:$D$205,MAX(1,$BE135)))&gt;0),INDEX(Instruments!$D$6:$D$205,MAX(1,$BE135)),IF(N(INDEX(Settings!$D$14:$D$18,$BF135))&gt;0,INDEX(Settings!$D$14:$D$18,$BF135),"")))</f>
        <v/>
      </c>
      <c r="AH135" s="54" t="str">
        <f>IF($AM135=0,"",IF($AF135&lt;&gt;"Forex",1,IF(MID(UPPER(SUBSTITUTE(TRIM($E135),"/","")),4,3)=UPPER(TRIM(Settings!$C$7)),1,IF(LEFT(UPPER(SUBSTITUTE(TRIM($E135),"/","")),3)=UPPER(TRIM(Settings!$C$7)),IF(AND(ISNUMBER($K135),N($K135)&lt;&gt;0),1/$K135,""),""))))</f>
        <v/>
      </c>
      <c r="AI135" s="55" t="str">
        <f>IF($AM135=0,"",IF(OR(NOT(ISNUMBER($H135)),NOT(ISNUMBER($K135)),NOT(ISNUMBER($G135)),$AG135="",$AH135=""),"",ROUND(($K135-$H135)*IF($F135="Short",-1,1)*$G135*$AG135*$AH135,6)))</f>
        <v/>
      </c>
      <c r="AJ135" s="55" t="str">
        <f>IF($AM135=0,"",IF(INDEX(Settings!$E$14:$E$18,$BF135)="% of notional",IF(OR($AG135="",NOT(ISNUMBER($H135)),NOT(ISNUMBER($G135))),"",ROUND(ABS($H135*$G135*$AG135*N($AH135))*IF($L135="Limit",N(INDEX(Settings!$G$14:$G$18,$BF135)),N(INDEX(Settings!$H$14:$H$18,$BF135)))+IF(ISNUMBER($K135),ABS($K135*$G135*$AG135*N($AH135))*IF($M135="Target",N(INDEX(Settings!$G$14:$G$18,$BF135)),N(INDEX(Settings!$H$14:$H$18,$BF135))),0),6)),IF(NOT(ISNUMBER($G135)),"",ROUND(ABS($G135)*2*IF(AND($BE135&gt;0,ISNUMBER(INDEX(Instruments!$G$6:$G$205,MAX(1,$BE135)))),INDEX(Instruments!$G$6:$G$205,MAX(1,$BE135)),N(INDEX(Settings!$F$14:$F$18,$BF135))),6))))</f>
        <v/>
      </c>
      <c r="AK135" s="55" t="str">
        <f>IF($AM135=0,"",IF(ISNUMBER($O135),$O135,$AI135))</f>
        <v/>
      </c>
      <c r="AL135" s="55" t="str">
        <f>IF($AM135=0,"",IF(ISNUMBER($P135),$P135,N($AJ135)))</f>
        <v/>
      </c>
      <c r="AM135" s="56">
        <f>IF(AND($A135&lt;&gt;"",$E135&lt;&gt;"",OR(AND(ISNUMBER($G135),ISNUMBER($H135),ISNUMBER($K135)),ISNUMBER($O135))),1,0)</f>
        <v>0</v>
      </c>
      <c r="AN135" s="57" t="str">
        <f>IF($A135="","",$A135-WEEKDAY($A135,3))</f>
        <v/>
      </c>
      <c r="AO135" s="56" t="str">
        <f>IF($A135="","",WEEKDAY($A135,2))</f>
        <v/>
      </c>
      <c r="AP135" s="55" t="str">
        <f>IF(OR($AM135=0,$C135=""),"",IFERROR(N(INDEX(Accounts!$E$7:$E$16,MATCH($C135,Accounts!$B$7:$B$16,0))),0)+SUMIFS($Q$6:$Q135,$C$6:$C135,$C135))</f>
        <v/>
      </c>
      <c r="AQ135" s="55" t="str">
        <f>IF(OR($AM135=0,$C135=""),"",SUMIFS($Q$6:$Q$1005,$C$6:$C$1005,$C135,$A$6:$A$1005,$A135))</f>
        <v/>
      </c>
      <c r="AR135" s="55" t="str">
        <f>IF(OR($AM135=0,$C135=""),"",IFERROR(N(INDEX(Accounts!$E$7:$E$16,MATCH($C135,Accounts!$B$7:$B$16,0))),0)+SUMIFS($Q$6:$Q$1005,$C$6:$C$1005,$C135,$A$6:$A$1005,"&lt;="&amp;$A135))</f>
        <v/>
      </c>
      <c r="AS135" s="56">
        <f>IF(OR($AM135=0,$Q135=""),0,IF(AND($A135&gt;=Lists!$W$6,$A135&lt;=Lists!$W$7,OR(Dashboard!$D$6="All accounts",$C135=Dashboard!$D$6),OR(Dashboard!$D$7="All markets",$AF135=Dashboard!$D$7)),1,0))</f>
        <v>0</v>
      </c>
      <c r="AT135" s="55">
        <f>IF($AS135=1,N(AT134)+$Q135,N(AT134))</f>
        <v>1187.10688</v>
      </c>
      <c r="AU135" s="55">
        <f>MAX(N(AU134),$AT135)</f>
        <v>1187.10688</v>
      </c>
      <c r="AV135" s="55">
        <f>$AT135-$AU135</f>
        <v>0</v>
      </c>
      <c r="AW135" s="56">
        <f>IF($AS135=1,IF($S135="Win",N(AW134)+1,IF($S135="Loss",0,N(AW134))),N(AW134))</f>
        <v>5</v>
      </c>
      <c r="AX135" s="56">
        <f>IF($AS135=1,IF($S135="Loss",N(AX134)+1,IF($S135="Win",0,N(AX134))),N(AX134))</f>
        <v>0</v>
      </c>
      <c r="AY135" s="56" t="str">
        <f>IF($AS135=1,COUNTIF($AS$6:$AS135,1),"")</f>
        <v/>
      </c>
      <c r="AZ135" s="56">
        <f>MIN(129,N(Lists!$W$8))</f>
        <v>28</v>
      </c>
      <c r="BA135" s="56">
        <f>IF($AS135=1,IF(COUNTIFS($A$6:$A135,$A135,$AS$6:$AS135,1)=1,1,0),0)</f>
        <v>0</v>
      </c>
      <c r="BB135" s="55" t="str">
        <f>IF($BA135=1,SUMIFS($Q$6:$Q$1005,$A$6:$A$1005,$A135,$AS$6:$AS$1005,1),"")</f>
        <v/>
      </c>
      <c r="BC135" s="56">
        <f>IF(ISNUMBER($R135),1,0)</f>
        <v>0</v>
      </c>
      <c r="BD135" s="55" t="str">
        <f>IF(ISNUMBER($U135),$U135*$V135,"")</f>
        <v/>
      </c>
      <c r="BE135" s="56" t="str">
        <f>IF($AM135=0,"",IFERROR(MATCH($AF135&amp;"|"&amp;UPPER(TRIM($E135)),Lists!$A$6:$A$205,0),0))</f>
        <v/>
      </c>
      <c r="BF135" s="56" t="str">
        <f>IF($AM135=0,"",IFERROR(MATCH($AF135,Settings!$B$14:$B$18,0),IFERROR(MATCH(Settings!$C$6,Settings!$B$14:$B$18,0),1)))</f>
        <v/>
      </c>
      <c r="BG135" s="58" t="str">
        <f>IF($AM135=0,"",IF(NOT(ISNUMBER($I135)),"No stop; ","")&amp;IF(AND(ISNUMBER($H135),ISNUMBER($I135)),IF(OR(AND($F135&lt;&gt;"Short",$I135&gt;=$H135),AND($F135="Short",$I135&lt;=$H135)),"Stop on wrong side; ",""),"")&amp;IF($F135="","No direction; ","")&amp;IF(AND(ISNUMBER(Settings!$C$22),ISNUMBER($V135)),IF($V135&gt;Settings!$C$22,"Risk over max $; ",""),"")&amp;IF(AND(ISNUMBER(Settings!$C$23),ISNUMBER($V135),ISNUMBER($AP135),IFERROR(N(INDEX(Accounts!$E$7:$E$16,MATCH($C135,Accounts!$B$7:$B$16,0))),0)&gt;0),IF($V135&gt;Settings!$C$23*($AP135-N($Q135)),"Risk over max %; ",""),"")&amp;IF(AND(ISNUMBER(Settings!$C$24),ISNUMBER($N135)),IF($N135&gt;Settings!$C$24,"Leverage over max; ",""),"")&amp;IF(AND(ISNUMBER(Settings!$C$27),ISNUMBER($T135)),IF($T135&lt;Settings!$C$27,"R:R below min; ",""),"")&amp;IF(ISNUMBER(Settings!$C$25),IF(COUNTIFS($A$6:$A135,$A135,$AM$6:$AM135,1)&gt;Settings!$C$25,"Over max trades/day; ",""),"")&amp;IF(ISNUMBER(Settings!$C$26),IF(SUMIFS($Q$5:$Q134,$A$5:$A134,$A135)&lt;=-Settings!$C$26,"Traded after daily max loss; ",""),"")&amp;IF(AND($AG135="",NOT(ISNUMBER($O135))),"Symbol not in Instruments; ","")&amp;IF(AND($AH135="",NOT(ISNUMBER($O135))),"Forex cross: type Gross P&amp;L; ",""))</f>
        <v/>
      </c>
      <c r="BH135" s="56">
        <f>IF(ISNUMBER($Q135),1,0)</f>
        <v>0</v>
      </c>
      <c r="BI135" s="56">
        <f>IF($Y135="",0,1)</f>
        <v>0</v>
      </c>
      <c r="BJ135" s="56">
        <f>IF($AB135="",0,1)</f>
        <v>0</v>
      </c>
      <c r="BK135" s="56">
        <f>IF(AND($BH135=1,$W135&lt;&gt;"OK"),1,0)</f>
        <v>0</v>
      </c>
      <c r="BL135" s="55">
        <f>IF(N($AZ135)=0,0,IFERROR(INDEX($AT$6:$AT$1005,MATCH($AZ135,$AY$6:$AY$1005,0)),0))</f>
        <v>1187.10688</v>
      </c>
      <c r="BM135" s="56">
        <f>IF(ISNUMBER(SEARCH("daily max loss",$BG135)),1,0)</f>
        <v>0</v>
      </c>
    </row>
    <row r="136" ht="18" customHeight="1">
      <c r="A136" s="38" t="n"/>
      <c r="B136" s="39" t="n"/>
      <c r="C136" s="40" t="n"/>
      <c r="D136" s="41" t="n"/>
      <c r="E136" s="41" t="n"/>
      <c r="F136" s="41" t="n"/>
      <c r="G136" s="41" t="n"/>
      <c r="H136" s="42" t="n"/>
      <c r="I136" s="42" t="n"/>
      <c r="J136" s="42" t="n"/>
      <c r="K136" s="42" t="n"/>
      <c r="L136" s="41" t="n"/>
      <c r="M136" s="41" t="n"/>
      <c r="N136" s="41" t="n"/>
      <c r="O136" s="43" t="n"/>
      <c r="P136" s="43" t="n"/>
      <c r="Q136" s="44" t="str">
        <f>IF($AM136=0,"",IF(ISNUMBER($AK136),$AK136-N($AL136),""))</f>
        <v/>
      </c>
      <c r="R136" s="45" t="str">
        <f>IF(OR($Q136="",NOT(ISNUMBER($V136))),"",$AK136/$V136)</f>
        <v/>
      </c>
      <c r="S136" s="46" t="str">
        <f>IF($Q136="","",IF(AND(ISNUMBER($R136),ABS(N($R136))&lt;N(Settings!$C$8)),"Scratch",IF($Q136&gt;0,"Win",IF($Q136&lt;0,"Loss","Scratch"))))</f>
        <v/>
      </c>
      <c r="T136" s="47" t="str">
        <f>IF(OR($AM136=0,NOT(ISNUMBER($H136)),NOT(ISNUMBER($I136)),NOT(ISNUMBER($J136))),"",IF($H136=$I136,"",ROUND(ABS($J136-$H136)/ABS($H136-$I136),6)))</f>
        <v/>
      </c>
      <c r="U136" s="48" t="str">
        <f>IF(OR($S136&lt;&gt;"Win",NOT(ISNUMBER($T136)),NOT(ISNUMBER($R136))),"",MAX(0,$T136-$R136))</f>
        <v/>
      </c>
      <c r="V136" s="49" t="str">
        <f>IF(OR($AM136=0,NOT(ISNUMBER($H136)),NOT(ISNUMBER($I136)),NOT(ISNUMBER($G136))),"",IF(OR($AG136="",$AH136=""),"",IF(ROUND(ABS($H136-$I136)*ABS($G136)*$AG136*$AH136,6)=0,"",ROUND(ABS($H136-$I136)*ABS($G136)*$AG136*$AH136,6))))</f>
        <v/>
      </c>
      <c r="W136" s="50" t="str">
        <f>IF($AM136=0,"",IF($BG136="","OK",LEFT($BG136,LEN($BG136)-2)))</f>
        <v/>
      </c>
      <c r="X136" s="41" t="n"/>
      <c r="Y136" s="40" t="n"/>
      <c r="Z136" s="41" t="n"/>
      <c r="AA136" s="41" t="n"/>
      <c r="AB136" s="40" t="n"/>
      <c r="AC136" s="51" t="n"/>
      <c r="AD136" s="51" t="n"/>
      <c r="AE136" s="40" t="n"/>
      <c r="AF136" s="52" t="str">
        <f>IF($AM136=0,"",IF($D136&lt;&gt;"",$D136,IF(IFERROR(INDEX(Accounts!$C$7:$C$16,MATCH($C136,Accounts!$B$7:$B$16,0))&amp;"","")&lt;&gt;"",INDEX(Accounts!$C$7:$C$16,MATCH($C136,Accounts!$B$7:$B$16,0)),Settings!$C$6)))</f>
        <v/>
      </c>
      <c r="AG136" s="53" t="str">
        <f>IF($AM136=0,"",IF(AND($BE136&gt;0,N(INDEX(Instruments!$D$6:$D$205,MAX(1,$BE136)))&gt;0),INDEX(Instruments!$D$6:$D$205,MAX(1,$BE136)),IF(N(INDEX(Settings!$D$14:$D$18,$BF136))&gt;0,INDEX(Settings!$D$14:$D$18,$BF136),"")))</f>
        <v/>
      </c>
      <c r="AH136" s="54" t="str">
        <f>IF($AM136=0,"",IF($AF136&lt;&gt;"Forex",1,IF(MID(UPPER(SUBSTITUTE(TRIM($E136),"/","")),4,3)=UPPER(TRIM(Settings!$C$7)),1,IF(LEFT(UPPER(SUBSTITUTE(TRIM($E136),"/","")),3)=UPPER(TRIM(Settings!$C$7)),IF(AND(ISNUMBER($K136),N($K136)&lt;&gt;0),1/$K136,""),""))))</f>
        <v/>
      </c>
      <c r="AI136" s="55" t="str">
        <f>IF($AM136=0,"",IF(OR(NOT(ISNUMBER($H136)),NOT(ISNUMBER($K136)),NOT(ISNUMBER($G136)),$AG136="",$AH136=""),"",ROUND(($K136-$H136)*IF($F136="Short",-1,1)*$G136*$AG136*$AH136,6)))</f>
        <v/>
      </c>
      <c r="AJ136" s="55" t="str">
        <f>IF($AM136=0,"",IF(INDEX(Settings!$E$14:$E$18,$BF136)="% of notional",IF(OR($AG136="",NOT(ISNUMBER($H136)),NOT(ISNUMBER($G136))),"",ROUND(ABS($H136*$G136*$AG136*N($AH136))*IF($L136="Limit",N(INDEX(Settings!$G$14:$G$18,$BF136)),N(INDEX(Settings!$H$14:$H$18,$BF136)))+IF(ISNUMBER($K136),ABS($K136*$G136*$AG136*N($AH136))*IF($M136="Target",N(INDEX(Settings!$G$14:$G$18,$BF136)),N(INDEX(Settings!$H$14:$H$18,$BF136))),0),6)),IF(NOT(ISNUMBER($G136)),"",ROUND(ABS($G136)*2*IF(AND($BE136&gt;0,ISNUMBER(INDEX(Instruments!$G$6:$G$205,MAX(1,$BE136)))),INDEX(Instruments!$G$6:$G$205,MAX(1,$BE136)),N(INDEX(Settings!$F$14:$F$18,$BF136))),6))))</f>
        <v/>
      </c>
      <c r="AK136" s="55" t="str">
        <f>IF($AM136=0,"",IF(ISNUMBER($O136),$O136,$AI136))</f>
        <v/>
      </c>
      <c r="AL136" s="55" t="str">
        <f>IF($AM136=0,"",IF(ISNUMBER($P136),$P136,N($AJ136)))</f>
        <v/>
      </c>
      <c r="AM136" s="56">
        <f>IF(AND($A136&lt;&gt;"",$E136&lt;&gt;"",OR(AND(ISNUMBER($G136),ISNUMBER($H136),ISNUMBER($K136)),ISNUMBER($O136))),1,0)</f>
        <v>0</v>
      </c>
      <c r="AN136" s="57" t="str">
        <f>IF($A136="","",$A136-WEEKDAY($A136,3))</f>
        <v/>
      </c>
      <c r="AO136" s="56" t="str">
        <f>IF($A136="","",WEEKDAY($A136,2))</f>
        <v/>
      </c>
      <c r="AP136" s="55" t="str">
        <f>IF(OR($AM136=0,$C136=""),"",IFERROR(N(INDEX(Accounts!$E$7:$E$16,MATCH($C136,Accounts!$B$7:$B$16,0))),0)+SUMIFS($Q$6:$Q136,$C$6:$C136,$C136))</f>
        <v/>
      </c>
      <c r="AQ136" s="55" t="str">
        <f>IF(OR($AM136=0,$C136=""),"",SUMIFS($Q$6:$Q$1005,$C$6:$C$1005,$C136,$A$6:$A$1005,$A136))</f>
        <v/>
      </c>
      <c r="AR136" s="55" t="str">
        <f>IF(OR($AM136=0,$C136=""),"",IFERROR(N(INDEX(Accounts!$E$7:$E$16,MATCH($C136,Accounts!$B$7:$B$16,0))),0)+SUMIFS($Q$6:$Q$1005,$C$6:$C$1005,$C136,$A$6:$A$1005,"&lt;="&amp;$A136))</f>
        <v/>
      </c>
      <c r="AS136" s="56">
        <f>IF(OR($AM136=0,$Q136=""),0,IF(AND($A136&gt;=Lists!$W$6,$A136&lt;=Lists!$W$7,OR(Dashboard!$D$6="All accounts",$C136=Dashboard!$D$6),OR(Dashboard!$D$7="All markets",$AF136=Dashboard!$D$7)),1,0))</f>
        <v>0</v>
      </c>
      <c r="AT136" s="55">
        <f>IF($AS136=1,N(AT135)+$Q136,N(AT135))</f>
        <v>1187.10688</v>
      </c>
      <c r="AU136" s="55">
        <f>MAX(N(AU135),$AT136)</f>
        <v>1187.10688</v>
      </c>
      <c r="AV136" s="55">
        <f>$AT136-$AU136</f>
        <v>0</v>
      </c>
      <c r="AW136" s="56">
        <f>IF($AS136=1,IF($S136="Win",N(AW135)+1,IF($S136="Loss",0,N(AW135))),N(AW135))</f>
        <v>5</v>
      </c>
      <c r="AX136" s="56">
        <f>IF($AS136=1,IF($S136="Loss",N(AX135)+1,IF($S136="Win",0,N(AX135))),N(AX135))</f>
        <v>0</v>
      </c>
      <c r="AY136" s="56" t="str">
        <f>IF($AS136=1,COUNTIF($AS$6:$AS136,1),"")</f>
        <v/>
      </c>
      <c r="AZ136" s="56">
        <f>MIN(130,N(Lists!$W$8))</f>
        <v>28</v>
      </c>
      <c r="BA136" s="56">
        <f>IF($AS136=1,IF(COUNTIFS($A$6:$A136,$A136,$AS$6:$AS136,1)=1,1,0),0)</f>
        <v>0</v>
      </c>
      <c r="BB136" s="55" t="str">
        <f>IF($BA136=1,SUMIFS($Q$6:$Q$1005,$A$6:$A$1005,$A136,$AS$6:$AS$1005,1),"")</f>
        <v/>
      </c>
      <c r="BC136" s="56">
        <f>IF(ISNUMBER($R136),1,0)</f>
        <v>0</v>
      </c>
      <c r="BD136" s="55" t="str">
        <f>IF(ISNUMBER($U136),$U136*$V136,"")</f>
        <v/>
      </c>
      <c r="BE136" s="56" t="str">
        <f>IF($AM136=0,"",IFERROR(MATCH($AF136&amp;"|"&amp;UPPER(TRIM($E136)),Lists!$A$6:$A$205,0),0))</f>
        <v/>
      </c>
      <c r="BF136" s="56" t="str">
        <f>IF($AM136=0,"",IFERROR(MATCH($AF136,Settings!$B$14:$B$18,0),IFERROR(MATCH(Settings!$C$6,Settings!$B$14:$B$18,0),1)))</f>
        <v/>
      </c>
      <c r="BG136" s="58" t="str">
        <f>IF($AM136=0,"",IF(NOT(ISNUMBER($I136)),"No stop; ","")&amp;IF(AND(ISNUMBER($H136),ISNUMBER($I136)),IF(OR(AND($F136&lt;&gt;"Short",$I136&gt;=$H136),AND($F136="Short",$I136&lt;=$H136)),"Stop on wrong side; ",""),"")&amp;IF($F136="","No direction; ","")&amp;IF(AND(ISNUMBER(Settings!$C$22),ISNUMBER($V136)),IF($V136&gt;Settings!$C$22,"Risk over max $; ",""),"")&amp;IF(AND(ISNUMBER(Settings!$C$23),ISNUMBER($V136),ISNUMBER($AP136),IFERROR(N(INDEX(Accounts!$E$7:$E$16,MATCH($C136,Accounts!$B$7:$B$16,0))),0)&gt;0),IF($V136&gt;Settings!$C$23*($AP136-N($Q136)),"Risk over max %; ",""),"")&amp;IF(AND(ISNUMBER(Settings!$C$24),ISNUMBER($N136)),IF($N136&gt;Settings!$C$24,"Leverage over max; ",""),"")&amp;IF(AND(ISNUMBER(Settings!$C$27),ISNUMBER($T136)),IF($T136&lt;Settings!$C$27,"R:R below min; ",""),"")&amp;IF(ISNUMBER(Settings!$C$25),IF(COUNTIFS($A$6:$A136,$A136,$AM$6:$AM136,1)&gt;Settings!$C$25,"Over max trades/day; ",""),"")&amp;IF(ISNUMBER(Settings!$C$26),IF(SUMIFS($Q$5:$Q135,$A$5:$A135,$A136)&lt;=-Settings!$C$26,"Traded after daily max loss; ",""),"")&amp;IF(AND($AG136="",NOT(ISNUMBER($O136))),"Symbol not in Instruments; ","")&amp;IF(AND($AH136="",NOT(ISNUMBER($O136))),"Forex cross: type Gross P&amp;L; ",""))</f>
        <v/>
      </c>
      <c r="BH136" s="56">
        <f>IF(ISNUMBER($Q136),1,0)</f>
        <v>0</v>
      </c>
      <c r="BI136" s="56">
        <f>IF($Y136="",0,1)</f>
        <v>0</v>
      </c>
      <c r="BJ136" s="56">
        <f>IF($AB136="",0,1)</f>
        <v>0</v>
      </c>
      <c r="BK136" s="56">
        <f>IF(AND($BH136=1,$W136&lt;&gt;"OK"),1,0)</f>
        <v>0</v>
      </c>
      <c r="BL136" s="55">
        <f>IF(N($AZ136)=0,0,IFERROR(INDEX($AT$6:$AT$1005,MATCH($AZ136,$AY$6:$AY$1005,0)),0))</f>
        <v>1187.10688</v>
      </c>
      <c r="BM136" s="56">
        <f>IF(ISNUMBER(SEARCH("daily max loss",$BG136)),1,0)</f>
        <v>0</v>
      </c>
    </row>
    <row r="137" ht="18" customHeight="1">
      <c r="A137" s="38" t="n"/>
      <c r="B137" s="39" t="n"/>
      <c r="C137" s="40" t="n"/>
      <c r="D137" s="41" t="n"/>
      <c r="E137" s="41" t="n"/>
      <c r="F137" s="41" t="n"/>
      <c r="G137" s="41" t="n"/>
      <c r="H137" s="42" t="n"/>
      <c r="I137" s="42" t="n"/>
      <c r="J137" s="42" t="n"/>
      <c r="K137" s="42" t="n"/>
      <c r="L137" s="41" t="n"/>
      <c r="M137" s="41" t="n"/>
      <c r="N137" s="41" t="n"/>
      <c r="O137" s="43" t="n"/>
      <c r="P137" s="43" t="n"/>
      <c r="Q137" s="44" t="str">
        <f>IF($AM137=0,"",IF(ISNUMBER($AK137),$AK137-N($AL137),""))</f>
        <v/>
      </c>
      <c r="R137" s="45" t="str">
        <f>IF(OR($Q137="",NOT(ISNUMBER($V137))),"",$AK137/$V137)</f>
        <v/>
      </c>
      <c r="S137" s="46" t="str">
        <f>IF($Q137="","",IF(AND(ISNUMBER($R137),ABS(N($R137))&lt;N(Settings!$C$8)),"Scratch",IF($Q137&gt;0,"Win",IF($Q137&lt;0,"Loss","Scratch"))))</f>
        <v/>
      </c>
      <c r="T137" s="47" t="str">
        <f>IF(OR($AM137=0,NOT(ISNUMBER($H137)),NOT(ISNUMBER($I137)),NOT(ISNUMBER($J137))),"",IF($H137=$I137,"",ROUND(ABS($J137-$H137)/ABS($H137-$I137),6)))</f>
        <v/>
      </c>
      <c r="U137" s="48" t="str">
        <f>IF(OR($S137&lt;&gt;"Win",NOT(ISNUMBER($T137)),NOT(ISNUMBER($R137))),"",MAX(0,$T137-$R137))</f>
        <v/>
      </c>
      <c r="V137" s="49" t="str">
        <f>IF(OR($AM137=0,NOT(ISNUMBER($H137)),NOT(ISNUMBER($I137)),NOT(ISNUMBER($G137))),"",IF(OR($AG137="",$AH137=""),"",IF(ROUND(ABS($H137-$I137)*ABS($G137)*$AG137*$AH137,6)=0,"",ROUND(ABS($H137-$I137)*ABS($G137)*$AG137*$AH137,6))))</f>
        <v/>
      </c>
      <c r="W137" s="50" t="str">
        <f>IF($AM137=0,"",IF($BG137="","OK",LEFT($BG137,LEN($BG137)-2)))</f>
        <v/>
      </c>
      <c r="X137" s="41" t="n"/>
      <c r="Y137" s="40" t="n"/>
      <c r="Z137" s="41" t="n"/>
      <c r="AA137" s="41" t="n"/>
      <c r="AB137" s="40" t="n"/>
      <c r="AC137" s="51" t="n"/>
      <c r="AD137" s="51" t="n"/>
      <c r="AE137" s="40" t="n"/>
      <c r="AF137" s="52" t="str">
        <f>IF($AM137=0,"",IF($D137&lt;&gt;"",$D137,IF(IFERROR(INDEX(Accounts!$C$7:$C$16,MATCH($C137,Accounts!$B$7:$B$16,0))&amp;"","")&lt;&gt;"",INDEX(Accounts!$C$7:$C$16,MATCH($C137,Accounts!$B$7:$B$16,0)),Settings!$C$6)))</f>
        <v/>
      </c>
      <c r="AG137" s="53" t="str">
        <f>IF($AM137=0,"",IF(AND($BE137&gt;0,N(INDEX(Instruments!$D$6:$D$205,MAX(1,$BE137)))&gt;0),INDEX(Instruments!$D$6:$D$205,MAX(1,$BE137)),IF(N(INDEX(Settings!$D$14:$D$18,$BF137))&gt;0,INDEX(Settings!$D$14:$D$18,$BF137),"")))</f>
        <v/>
      </c>
      <c r="AH137" s="54" t="str">
        <f>IF($AM137=0,"",IF($AF137&lt;&gt;"Forex",1,IF(MID(UPPER(SUBSTITUTE(TRIM($E137),"/","")),4,3)=UPPER(TRIM(Settings!$C$7)),1,IF(LEFT(UPPER(SUBSTITUTE(TRIM($E137),"/","")),3)=UPPER(TRIM(Settings!$C$7)),IF(AND(ISNUMBER($K137),N($K137)&lt;&gt;0),1/$K137,""),""))))</f>
        <v/>
      </c>
      <c r="AI137" s="55" t="str">
        <f>IF($AM137=0,"",IF(OR(NOT(ISNUMBER($H137)),NOT(ISNUMBER($K137)),NOT(ISNUMBER($G137)),$AG137="",$AH137=""),"",ROUND(($K137-$H137)*IF($F137="Short",-1,1)*$G137*$AG137*$AH137,6)))</f>
        <v/>
      </c>
      <c r="AJ137" s="55" t="str">
        <f>IF($AM137=0,"",IF(INDEX(Settings!$E$14:$E$18,$BF137)="% of notional",IF(OR($AG137="",NOT(ISNUMBER($H137)),NOT(ISNUMBER($G137))),"",ROUND(ABS($H137*$G137*$AG137*N($AH137))*IF($L137="Limit",N(INDEX(Settings!$G$14:$G$18,$BF137)),N(INDEX(Settings!$H$14:$H$18,$BF137)))+IF(ISNUMBER($K137),ABS($K137*$G137*$AG137*N($AH137))*IF($M137="Target",N(INDEX(Settings!$G$14:$G$18,$BF137)),N(INDEX(Settings!$H$14:$H$18,$BF137))),0),6)),IF(NOT(ISNUMBER($G137)),"",ROUND(ABS($G137)*2*IF(AND($BE137&gt;0,ISNUMBER(INDEX(Instruments!$G$6:$G$205,MAX(1,$BE137)))),INDEX(Instruments!$G$6:$G$205,MAX(1,$BE137)),N(INDEX(Settings!$F$14:$F$18,$BF137))),6))))</f>
        <v/>
      </c>
      <c r="AK137" s="55" t="str">
        <f>IF($AM137=0,"",IF(ISNUMBER($O137),$O137,$AI137))</f>
        <v/>
      </c>
      <c r="AL137" s="55" t="str">
        <f>IF($AM137=0,"",IF(ISNUMBER($P137),$P137,N($AJ137)))</f>
        <v/>
      </c>
      <c r="AM137" s="56">
        <f>IF(AND($A137&lt;&gt;"",$E137&lt;&gt;"",OR(AND(ISNUMBER($G137),ISNUMBER($H137),ISNUMBER($K137)),ISNUMBER($O137))),1,0)</f>
        <v>0</v>
      </c>
      <c r="AN137" s="57" t="str">
        <f>IF($A137="","",$A137-WEEKDAY($A137,3))</f>
        <v/>
      </c>
      <c r="AO137" s="56" t="str">
        <f>IF($A137="","",WEEKDAY($A137,2))</f>
        <v/>
      </c>
      <c r="AP137" s="55" t="str">
        <f>IF(OR($AM137=0,$C137=""),"",IFERROR(N(INDEX(Accounts!$E$7:$E$16,MATCH($C137,Accounts!$B$7:$B$16,0))),0)+SUMIFS($Q$6:$Q137,$C$6:$C137,$C137))</f>
        <v/>
      </c>
      <c r="AQ137" s="55" t="str">
        <f>IF(OR($AM137=0,$C137=""),"",SUMIFS($Q$6:$Q$1005,$C$6:$C$1005,$C137,$A$6:$A$1005,$A137))</f>
        <v/>
      </c>
      <c r="AR137" s="55" t="str">
        <f>IF(OR($AM137=0,$C137=""),"",IFERROR(N(INDEX(Accounts!$E$7:$E$16,MATCH($C137,Accounts!$B$7:$B$16,0))),0)+SUMIFS($Q$6:$Q$1005,$C$6:$C$1005,$C137,$A$6:$A$1005,"&lt;="&amp;$A137))</f>
        <v/>
      </c>
      <c r="AS137" s="56">
        <f>IF(OR($AM137=0,$Q137=""),0,IF(AND($A137&gt;=Lists!$W$6,$A137&lt;=Lists!$W$7,OR(Dashboard!$D$6="All accounts",$C137=Dashboard!$D$6),OR(Dashboard!$D$7="All markets",$AF137=Dashboard!$D$7)),1,0))</f>
        <v>0</v>
      </c>
      <c r="AT137" s="55">
        <f>IF($AS137=1,N(AT136)+$Q137,N(AT136))</f>
        <v>1187.10688</v>
      </c>
      <c r="AU137" s="55">
        <f>MAX(N(AU136),$AT137)</f>
        <v>1187.10688</v>
      </c>
      <c r="AV137" s="55">
        <f>$AT137-$AU137</f>
        <v>0</v>
      </c>
      <c r="AW137" s="56">
        <f>IF($AS137=1,IF($S137="Win",N(AW136)+1,IF($S137="Loss",0,N(AW136))),N(AW136))</f>
        <v>5</v>
      </c>
      <c r="AX137" s="56">
        <f>IF($AS137=1,IF($S137="Loss",N(AX136)+1,IF($S137="Win",0,N(AX136))),N(AX136))</f>
        <v>0</v>
      </c>
      <c r="AY137" s="56" t="str">
        <f>IF($AS137=1,COUNTIF($AS$6:$AS137,1),"")</f>
        <v/>
      </c>
      <c r="AZ137" s="56">
        <f>MIN(131,N(Lists!$W$8))</f>
        <v>28</v>
      </c>
      <c r="BA137" s="56">
        <f>IF($AS137=1,IF(COUNTIFS($A$6:$A137,$A137,$AS$6:$AS137,1)=1,1,0),0)</f>
        <v>0</v>
      </c>
      <c r="BB137" s="55" t="str">
        <f>IF($BA137=1,SUMIFS($Q$6:$Q$1005,$A$6:$A$1005,$A137,$AS$6:$AS$1005,1),"")</f>
        <v/>
      </c>
      <c r="BC137" s="56">
        <f>IF(ISNUMBER($R137),1,0)</f>
        <v>0</v>
      </c>
      <c r="BD137" s="55" t="str">
        <f>IF(ISNUMBER($U137),$U137*$V137,"")</f>
        <v/>
      </c>
      <c r="BE137" s="56" t="str">
        <f>IF($AM137=0,"",IFERROR(MATCH($AF137&amp;"|"&amp;UPPER(TRIM($E137)),Lists!$A$6:$A$205,0),0))</f>
        <v/>
      </c>
      <c r="BF137" s="56" t="str">
        <f>IF($AM137=0,"",IFERROR(MATCH($AF137,Settings!$B$14:$B$18,0),IFERROR(MATCH(Settings!$C$6,Settings!$B$14:$B$18,0),1)))</f>
        <v/>
      </c>
      <c r="BG137" s="58" t="str">
        <f>IF($AM137=0,"",IF(NOT(ISNUMBER($I137)),"No stop; ","")&amp;IF(AND(ISNUMBER($H137),ISNUMBER($I137)),IF(OR(AND($F137&lt;&gt;"Short",$I137&gt;=$H137),AND($F137="Short",$I137&lt;=$H137)),"Stop on wrong side; ",""),"")&amp;IF($F137="","No direction; ","")&amp;IF(AND(ISNUMBER(Settings!$C$22),ISNUMBER($V137)),IF($V137&gt;Settings!$C$22,"Risk over max $; ",""),"")&amp;IF(AND(ISNUMBER(Settings!$C$23),ISNUMBER($V137),ISNUMBER($AP137),IFERROR(N(INDEX(Accounts!$E$7:$E$16,MATCH($C137,Accounts!$B$7:$B$16,0))),0)&gt;0),IF($V137&gt;Settings!$C$23*($AP137-N($Q137)),"Risk over max %; ",""),"")&amp;IF(AND(ISNUMBER(Settings!$C$24),ISNUMBER($N137)),IF($N137&gt;Settings!$C$24,"Leverage over max; ",""),"")&amp;IF(AND(ISNUMBER(Settings!$C$27),ISNUMBER($T137)),IF($T137&lt;Settings!$C$27,"R:R below min; ",""),"")&amp;IF(ISNUMBER(Settings!$C$25),IF(COUNTIFS($A$6:$A137,$A137,$AM$6:$AM137,1)&gt;Settings!$C$25,"Over max trades/day; ",""),"")&amp;IF(ISNUMBER(Settings!$C$26),IF(SUMIFS($Q$5:$Q136,$A$5:$A136,$A137)&lt;=-Settings!$C$26,"Traded after daily max loss; ",""),"")&amp;IF(AND($AG137="",NOT(ISNUMBER($O137))),"Symbol not in Instruments; ","")&amp;IF(AND($AH137="",NOT(ISNUMBER($O137))),"Forex cross: type Gross P&amp;L; ",""))</f>
        <v/>
      </c>
      <c r="BH137" s="56">
        <f>IF(ISNUMBER($Q137),1,0)</f>
        <v>0</v>
      </c>
      <c r="BI137" s="56">
        <f>IF($Y137="",0,1)</f>
        <v>0</v>
      </c>
      <c r="BJ137" s="56">
        <f>IF($AB137="",0,1)</f>
        <v>0</v>
      </c>
      <c r="BK137" s="56">
        <f>IF(AND($BH137=1,$W137&lt;&gt;"OK"),1,0)</f>
        <v>0</v>
      </c>
      <c r="BL137" s="55">
        <f>IF(N($AZ137)=0,0,IFERROR(INDEX($AT$6:$AT$1005,MATCH($AZ137,$AY$6:$AY$1005,0)),0))</f>
        <v>1187.10688</v>
      </c>
      <c r="BM137" s="56">
        <f>IF(ISNUMBER(SEARCH("daily max loss",$BG137)),1,0)</f>
        <v>0</v>
      </c>
    </row>
    <row r="138" ht="18" customHeight="1">
      <c r="A138" s="38" t="n"/>
      <c r="B138" s="39" t="n"/>
      <c r="C138" s="40" t="n"/>
      <c r="D138" s="41" t="n"/>
      <c r="E138" s="41" t="n"/>
      <c r="F138" s="41" t="n"/>
      <c r="G138" s="41" t="n"/>
      <c r="H138" s="42" t="n"/>
      <c r="I138" s="42" t="n"/>
      <c r="J138" s="42" t="n"/>
      <c r="K138" s="42" t="n"/>
      <c r="L138" s="41" t="n"/>
      <c r="M138" s="41" t="n"/>
      <c r="N138" s="41" t="n"/>
      <c r="O138" s="43" t="n"/>
      <c r="P138" s="43" t="n"/>
      <c r="Q138" s="44" t="str">
        <f>IF($AM138=0,"",IF(ISNUMBER($AK138),$AK138-N($AL138),""))</f>
        <v/>
      </c>
      <c r="R138" s="45" t="str">
        <f>IF(OR($Q138="",NOT(ISNUMBER($V138))),"",$AK138/$V138)</f>
        <v/>
      </c>
      <c r="S138" s="46" t="str">
        <f>IF($Q138="","",IF(AND(ISNUMBER($R138),ABS(N($R138))&lt;N(Settings!$C$8)),"Scratch",IF($Q138&gt;0,"Win",IF($Q138&lt;0,"Loss","Scratch"))))</f>
        <v/>
      </c>
      <c r="T138" s="47" t="str">
        <f>IF(OR($AM138=0,NOT(ISNUMBER($H138)),NOT(ISNUMBER($I138)),NOT(ISNUMBER($J138))),"",IF($H138=$I138,"",ROUND(ABS($J138-$H138)/ABS($H138-$I138),6)))</f>
        <v/>
      </c>
      <c r="U138" s="48" t="str">
        <f>IF(OR($S138&lt;&gt;"Win",NOT(ISNUMBER($T138)),NOT(ISNUMBER($R138))),"",MAX(0,$T138-$R138))</f>
        <v/>
      </c>
      <c r="V138" s="49" t="str">
        <f>IF(OR($AM138=0,NOT(ISNUMBER($H138)),NOT(ISNUMBER($I138)),NOT(ISNUMBER($G138))),"",IF(OR($AG138="",$AH138=""),"",IF(ROUND(ABS($H138-$I138)*ABS($G138)*$AG138*$AH138,6)=0,"",ROUND(ABS($H138-$I138)*ABS($G138)*$AG138*$AH138,6))))</f>
        <v/>
      </c>
      <c r="W138" s="50" t="str">
        <f>IF($AM138=0,"",IF($BG138="","OK",LEFT($BG138,LEN($BG138)-2)))</f>
        <v/>
      </c>
      <c r="X138" s="41" t="n"/>
      <c r="Y138" s="40" t="n"/>
      <c r="Z138" s="41" t="n"/>
      <c r="AA138" s="41" t="n"/>
      <c r="AB138" s="40" t="n"/>
      <c r="AC138" s="51" t="n"/>
      <c r="AD138" s="51" t="n"/>
      <c r="AE138" s="40" t="n"/>
      <c r="AF138" s="52" t="str">
        <f>IF($AM138=0,"",IF($D138&lt;&gt;"",$D138,IF(IFERROR(INDEX(Accounts!$C$7:$C$16,MATCH($C138,Accounts!$B$7:$B$16,0))&amp;"","")&lt;&gt;"",INDEX(Accounts!$C$7:$C$16,MATCH($C138,Accounts!$B$7:$B$16,0)),Settings!$C$6)))</f>
        <v/>
      </c>
      <c r="AG138" s="53" t="str">
        <f>IF($AM138=0,"",IF(AND($BE138&gt;0,N(INDEX(Instruments!$D$6:$D$205,MAX(1,$BE138)))&gt;0),INDEX(Instruments!$D$6:$D$205,MAX(1,$BE138)),IF(N(INDEX(Settings!$D$14:$D$18,$BF138))&gt;0,INDEX(Settings!$D$14:$D$18,$BF138),"")))</f>
        <v/>
      </c>
      <c r="AH138" s="54" t="str">
        <f>IF($AM138=0,"",IF($AF138&lt;&gt;"Forex",1,IF(MID(UPPER(SUBSTITUTE(TRIM($E138),"/","")),4,3)=UPPER(TRIM(Settings!$C$7)),1,IF(LEFT(UPPER(SUBSTITUTE(TRIM($E138),"/","")),3)=UPPER(TRIM(Settings!$C$7)),IF(AND(ISNUMBER($K138),N($K138)&lt;&gt;0),1/$K138,""),""))))</f>
        <v/>
      </c>
      <c r="AI138" s="55" t="str">
        <f>IF($AM138=0,"",IF(OR(NOT(ISNUMBER($H138)),NOT(ISNUMBER($K138)),NOT(ISNUMBER($G138)),$AG138="",$AH138=""),"",ROUND(($K138-$H138)*IF($F138="Short",-1,1)*$G138*$AG138*$AH138,6)))</f>
        <v/>
      </c>
      <c r="AJ138" s="55" t="str">
        <f>IF($AM138=0,"",IF(INDEX(Settings!$E$14:$E$18,$BF138)="% of notional",IF(OR($AG138="",NOT(ISNUMBER($H138)),NOT(ISNUMBER($G138))),"",ROUND(ABS($H138*$G138*$AG138*N($AH138))*IF($L138="Limit",N(INDEX(Settings!$G$14:$G$18,$BF138)),N(INDEX(Settings!$H$14:$H$18,$BF138)))+IF(ISNUMBER($K138),ABS($K138*$G138*$AG138*N($AH138))*IF($M138="Target",N(INDEX(Settings!$G$14:$G$18,$BF138)),N(INDEX(Settings!$H$14:$H$18,$BF138))),0),6)),IF(NOT(ISNUMBER($G138)),"",ROUND(ABS($G138)*2*IF(AND($BE138&gt;0,ISNUMBER(INDEX(Instruments!$G$6:$G$205,MAX(1,$BE138)))),INDEX(Instruments!$G$6:$G$205,MAX(1,$BE138)),N(INDEX(Settings!$F$14:$F$18,$BF138))),6))))</f>
        <v/>
      </c>
      <c r="AK138" s="55" t="str">
        <f>IF($AM138=0,"",IF(ISNUMBER($O138),$O138,$AI138))</f>
        <v/>
      </c>
      <c r="AL138" s="55" t="str">
        <f>IF($AM138=0,"",IF(ISNUMBER($P138),$P138,N($AJ138)))</f>
        <v/>
      </c>
      <c r="AM138" s="56">
        <f>IF(AND($A138&lt;&gt;"",$E138&lt;&gt;"",OR(AND(ISNUMBER($G138),ISNUMBER($H138),ISNUMBER($K138)),ISNUMBER($O138))),1,0)</f>
        <v>0</v>
      </c>
      <c r="AN138" s="57" t="str">
        <f>IF($A138="","",$A138-WEEKDAY($A138,3))</f>
        <v/>
      </c>
      <c r="AO138" s="56" t="str">
        <f>IF($A138="","",WEEKDAY($A138,2))</f>
        <v/>
      </c>
      <c r="AP138" s="55" t="str">
        <f>IF(OR($AM138=0,$C138=""),"",IFERROR(N(INDEX(Accounts!$E$7:$E$16,MATCH($C138,Accounts!$B$7:$B$16,0))),0)+SUMIFS($Q$6:$Q138,$C$6:$C138,$C138))</f>
        <v/>
      </c>
      <c r="AQ138" s="55" t="str">
        <f>IF(OR($AM138=0,$C138=""),"",SUMIFS($Q$6:$Q$1005,$C$6:$C$1005,$C138,$A$6:$A$1005,$A138))</f>
        <v/>
      </c>
      <c r="AR138" s="55" t="str">
        <f>IF(OR($AM138=0,$C138=""),"",IFERROR(N(INDEX(Accounts!$E$7:$E$16,MATCH($C138,Accounts!$B$7:$B$16,0))),0)+SUMIFS($Q$6:$Q$1005,$C$6:$C$1005,$C138,$A$6:$A$1005,"&lt;="&amp;$A138))</f>
        <v/>
      </c>
      <c r="AS138" s="56">
        <f>IF(OR($AM138=0,$Q138=""),0,IF(AND($A138&gt;=Lists!$W$6,$A138&lt;=Lists!$W$7,OR(Dashboard!$D$6="All accounts",$C138=Dashboard!$D$6),OR(Dashboard!$D$7="All markets",$AF138=Dashboard!$D$7)),1,0))</f>
        <v>0</v>
      </c>
      <c r="AT138" s="55">
        <f>IF($AS138=1,N(AT137)+$Q138,N(AT137))</f>
        <v>1187.10688</v>
      </c>
      <c r="AU138" s="55">
        <f>MAX(N(AU137),$AT138)</f>
        <v>1187.10688</v>
      </c>
      <c r="AV138" s="55">
        <f>$AT138-$AU138</f>
        <v>0</v>
      </c>
      <c r="AW138" s="56">
        <f>IF($AS138=1,IF($S138="Win",N(AW137)+1,IF($S138="Loss",0,N(AW137))),N(AW137))</f>
        <v>5</v>
      </c>
      <c r="AX138" s="56">
        <f>IF($AS138=1,IF($S138="Loss",N(AX137)+1,IF($S138="Win",0,N(AX137))),N(AX137))</f>
        <v>0</v>
      </c>
      <c r="AY138" s="56" t="str">
        <f>IF($AS138=1,COUNTIF($AS$6:$AS138,1),"")</f>
        <v/>
      </c>
      <c r="AZ138" s="56">
        <f>MIN(132,N(Lists!$W$8))</f>
        <v>28</v>
      </c>
      <c r="BA138" s="56">
        <f>IF($AS138=1,IF(COUNTIFS($A$6:$A138,$A138,$AS$6:$AS138,1)=1,1,0),0)</f>
        <v>0</v>
      </c>
      <c r="BB138" s="55" t="str">
        <f>IF($BA138=1,SUMIFS($Q$6:$Q$1005,$A$6:$A$1005,$A138,$AS$6:$AS$1005,1),"")</f>
        <v/>
      </c>
      <c r="BC138" s="56">
        <f>IF(ISNUMBER($R138),1,0)</f>
        <v>0</v>
      </c>
      <c r="BD138" s="55" t="str">
        <f>IF(ISNUMBER($U138),$U138*$V138,"")</f>
        <v/>
      </c>
      <c r="BE138" s="56" t="str">
        <f>IF($AM138=0,"",IFERROR(MATCH($AF138&amp;"|"&amp;UPPER(TRIM($E138)),Lists!$A$6:$A$205,0),0))</f>
        <v/>
      </c>
      <c r="BF138" s="56" t="str">
        <f>IF($AM138=0,"",IFERROR(MATCH($AF138,Settings!$B$14:$B$18,0),IFERROR(MATCH(Settings!$C$6,Settings!$B$14:$B$18,0),1)))</f>
        <v/>
      </c>
      <c r="BG138" s="58" t="str">
        <f>IF($AM138=0,"",IF(NOT(ISNUMBER($I138)),"No stop; ","")&amp;IF(AND(ISNUMBER($H138),ISNUMBER($I138)),IF(OR(AND($F138&lt;&gt;"Short",$I138&gt;=$H138),AND($F138="Short",$I138&lt;=$H138)),"Stop on wrong side; ",""),"")&amp;IF($F138="","No direction; ","")&amp;IF(AND(ISNUMBER(Settings!$C$22),ISNUMBER($V138)),IF($V138&gt;Settings!$C$22,"Risk over max $; ",""),"")&amp;IF(AND(ISNUMBER(Settings!$C$23),ISNUMBER($V138),ISNUMBER($AP138),IFERROR(N(INDEX(Accounts!$E$7:$E$16,MATCH($C138,Accounts!$B$7:$B$16,0))),0)&gt;0),IF($V138&gt;Settings!$C$23*($AP138-N($Q138)),"Risk over max %; ",""),"")&amp;IF(AND(ISNUMBER(Settings!$C$24),ISNUMBER($N138)),IF($N138&gt;Settings!$C$24,"Leverage over max; ",""),"")&amp;IF(AND(ISNUMBER(Settings!$C$27),ISNUMBER($T138)),IF($T138&lt;Settings!$C$27,"R:R below min; ",""),"")&amp;IF(ISNUMBER(Settings!$C$25),IF(COUNTIFS($A$6:$A138,$A138,$AM$6:$AM138,1)&gt;Settings!$C$25,"Over max trades/day; ",""),"")&amp;IF(ISNUMBER(Settings!$C$26),IF(SUMIFS($Q$5:$Q137,$A$5:$A137,$A138)&lt;=-Settings!$C$26,"Traded after daily max loss; ",""),"")&amp;IF(AND($AG138="",NOT(ISNUMBER($O138))),"Symbol not in Instruments; ","")&amp;IF(AND($AH138="",NOT(ISNUMBER($O138))),"Forex cross: type Gross P&amp;L; ",""))</f>
        <v/>
      </c>
      <c r="BH138" s="56">
        <f>IF(ISNUMBER($Q138),1,0)</f>
        <v>0</v>
      </c>
      <c r="BI138" s="56">
        <f>IF($Y138="",0,1)</f>
        <v>0</v>
      </c>
      <c r="BJ138" s="56">
        <f>IF($AB138="",0,1)</f>
        <v>0</v>
      </c>
      <c r="BK138" s="56">
        <f>IF(AND($BH138=1,$W138&lt;&gt;"OK"),1,0)</f>
        <v>0</v>
      </c>
      <c r="BL138" s="55">
        <f>IF(N($AZ138)=0,0,IFERROR(INDEX($AT$6:$AT$1005,MATCH($AZ138,$AY$6:$AY$1005,0)),0))</f>
        <v>1187.10688</v>
      </c>
      <c r="BM138" s="56">
        <f>IF(ISNUMBER(SEARCH("daily max loss",$BG138)),1,0)</f>
        <v>0</v>
      </c>
    </row>
    <row r="139" ht="18" customHeight="1">
      <c r="A139" s="38" t="n"/>
      <c r="B139" s="39" t="n"/>
      <c r="C139" s="40" t="n"/>
      <c r="D139" s="41" t="n"/>
      <c r="E139" s="41" t="n"/>
      <c r="F139" s="41" t="n"/>
      <c r="G139" s="41" t="n"/>
      <c r="H139" s="42" t="n"/>
      <c r="I139" s="42" t="n"/>
      <c r="J139" s="42" t="n"/>
      <c r="K139" s="42" t="n"/>
      <c r="L139" s="41" t="n"/>
      <c r="M139" s="41" t="n"/>
      <c r="N139" s="41" t="n"/>
      <c r="O139" s="43" t="n"/>
      <c r="P139" s="43" t="n"/>
      <c r="Q139" s="44" t="str">
        <f>IF($AM139=0,"",IF(ISNUMBER($AK139),$AK139-N($AL139),""))</f>
        <v/>
      </c>
      <c r="R139" s="45" t="str">
        <f>IF(OR($Q139="",NOT(ISNUMBER($V139))),"",$AK139/$V139)</f>
        <v/>
      </c>
      <c r="S139" s="46" t="str">
        <f>IF($Q139="","",IF(AND(ISNUMBER($R139),ABS(N($R139))&lt;N(Settings!$C$8)),"Scratch",IF($Q139&gt;0,"Win",IF($Q139&lt;0,"Loss","Scratch"))))</f>
        <v/>
      </c>
      <c r="T139" s="47" t="str">
        <f>IF(OR($AM139=0,NOT(ISNUMBER($H139)),NOT(ISNUMBER($I139)),NOT(ISNUMBER($J139))),"",IF($H139=$I139,"",ROUND(ABS($J139-$H139)/ABS($H139-$I139),6)))</f>
        <v/>
      </c>
      <c r="U139" s="48" t="str">
        <f>IF(OR($S139&lt;&gt;"Win",NOT(ISNUMBER($T139)),NOT(ISNUMBER($R139))),"",MAX(0,$T139-$R139))</f>
        <v/>
      </c>
      <c r="V139" s="49" t="str">
        <f>IF(OR($AM139=0,NOT(ISNUMBER($H139)),NOT(ISNUMBER($I139)),NOT(ISNUMBER($G139))),"",IF(OR($AG139="",$AH139=""),"",IF(ROUND(ABS($H139-$I139)*ABS($G139)*$AG139*$AH139,6)=0,"",ROUND(ABS($H139-$I139)*ABS($G139)*$AG139*$AH139,6))))</f>
        <v/>
      </c>
      <c r="W139" s="50" t="str">
        <f>IF($AM139=0,"",IF($BG139="","OK",LEFT($BG139,LEN($BG139)-2)))</f>
        <v/>
      </c>
      <c r="X139" s="41" t="n"/>
      <c r="Y139" s="40" t="n"/>
      <c r="Z139" s="41" t="n"/>
      <c r="AA139" s="41" t="n"/>
      <c r="AB139" s="40" t="n"/>
      <c r="AC139" s="51" t="n"/>
      <c r="AD139" s="51" t="n"/>
      <c r="AE139" s="40" t="n"/>
      <c r="AF139" s="52" t="str">
        <f>IF($AM139=0,"",IF($D139&lt;&gt;"",$D139,IF(IFERROR(INDEX(Accounts!$C$7:$C$16,MATCH($C139,Accounts!$B$7:$B$16,0))&amp;"","")&lt;&gt;"",INDEX(Accounts!$C$7:$C$16,MATCH($C139,Accounts!$B$7:$B$16,0)),Settings!$C$6)))</f>
        <v/>
      </c>
      <c r="AG139" s="53" t="str">
        <f>IF($AM139=0,"",IF(AND($BE139&gt;0,N(INDEX(Instruments!$D$6:$D$205,MAX(1,$BE139)))&gt;0),INDEX(Instruments!$D$6:$D$205,MAX(1,$BE139)),IF(N(INDEX(Settings!$D$14:$D$18,$BF139))&gt;0,INDEX(Settings!$D$14:$D$18,$BF139),"")))</f>
        <v/>
      </c>
      <c r="AH139" s="54" t="str">
        <f>IF($AM139=0,"",IF($AF139&lt;&gt;"Forex",1,IF(MID(UPPER(SUBSTITUTE(TRIM($E139),"/","")),4,3)=UPPER(TRIM(Settings!$C$7)),1,IF(LEFT(UPPER(SUBSTITUTE(TRIM($E139),"/","")),3)=UPPER(TRIM(Settings!$C$7)),IF(AND(ISNUMBER($K139),N($K139)&lt;&gt;0),1/$K139,""),""))))</f>
        <v/>
      </c>
      <c r="AI139" s="55" t="str">
        <f>IF($AM139=0,"",IF(OR(NOT(ISNUMBER($H139)),NOT(ISNUMBER($K139)),NOT(ISNUMBER($G139)),$AG139="",$AH139=""),"",ROUND(($K139-$H139)*IF($F139="Short",-1,1)*$G139*$AG139*$AH139,6)))</f>
        <v/>
      </c>
      <c r="AJ139" s="55" t="str">
        <f>IF($AM139=0,"",IF(INDEX(Settings!$E$14:$E$18,$BF139)="% of notional",IF(OR($AG139="",NOT(ISNUMBER($H139)),NOT(ISNUMBER($G139))),"",ROUND(ABS($H139*$G139*$AG139*N($AH139))*IF($L139="Limit",N(INDEX(Settings!$G$14:$G$18,$BF139)),N(INDEX(Settings!$H$14:$H$18,$BF139)))+IF(ISNUMBER($K139),ABS($K139*$G139*$AG139*N($AH139))*IF($M139="Target",N(INDEX(Settings!$G$14:$G$18,$BF139)),N(INDEX(Settings!$H$14:$H$18,$BF139))),0),6)),IF(NOT(ISNUMBER($G139)),"",ROUND(ABS($G139)*2*IF(AND($BE139&gt;0,ISNUMBER(INDEX(Instruments!$G$6:$G$205,MAX(1,$BE139)))),INDEX(Instruments!$G$6:$G$205,MAX(1,$BE139)),N(INDEX(Settings!$F$14:$F$18,$BF139))),6))))</f>
        <v/>
      </c>
      <c r="AK139" s="55" t="str">
        <f>IF($AM139=0,"",IF(ISNUMBER($O139),$O139,$AI139))</f>
        <v/>
      </c>
      <c r="AL139" s="55" t="str">
        <f>IF($AM139=0,"",IF(ISNUMBER($P139),$P139,N($AJ139)))</f>
        <v/>
      </c>
      <c r="AM139" s="56">
        <f>IF(AND($A139&lt;&gt;"",$E139&lt;&gt;"",OR(AND(ISNUMBER($G139),ISNUMBER($H139),ISNUMBER($K139)),ISNUMBER($O139))),1,0)</f>
        <v>0</v>
      </c>
      <c r="AN139" s="57" t="str">
        <f>IF($A139="","",$A139-WEEKDAY($A139,3))</f>
        <v/>
      </c>
      <c r="AO139" s="56" t="str">
        <f>IF($A139="","",WEEKDAY($A139,2))</f>
        <v/>
      </c>
      <c r="AP139" s="55" t="str">
        <f>IF(OR($AM139=0,$C139=""),"",IFERROR(N(INDEX(Accounts!$E$7:$E$16,MATCH($C139,Accounts!$B$7:$B$16,0))),0)+SUMIFS($Q$6:$Q139,$C$6:$C139,$C139))</f>
        <v/>
      </c>
      <c r="AQ139" s="55" t="str">
        <f>IF(OR($AM139=0,$C139=""),"",SUMIFS($Q$6:$Q$1005,$C$6:$C$1005,$C139,$A$6:$A$1005,$A139))</f>
        <v/>
      </c>
      <c r="AR139" s="55" t="str">
        <f>IF(OR($AM139=0,$C139=""),"",IFERROR(N(INDEX(Accounts!$E$7:$E$16,MATCH($C139,Accounts!$B$7:$B$16,0))),0)+SUMIFS($Q$6:$Q$1005,$C$6:$C$1005,$C139,$A$6:$A$1005,"&lt;="&amp;$A139))</f>
        <v/>
      </c>
      <c r="AS139" s="56">
        <f>IF(OR($AM139=0,$Q139=""),0,IF(AND($A139&gt;=Lists!$W$6,$A139&lt;=Lists!$W$7,OR(Dashboard!$D$6="All accounts",$C139=Dashboard!$D$6),OR(Dashboard!$D$7="All markets",$AF139=Dashboard!$D$7)),1,0))</f>
        <v>0</v>
      </c>
      <c r="AT139" s="55">
        <f>IF($AS139=1,N(AT138)+$Q139,N(AT138))</f>
        <v>1187.10688</v>
      </c>
      <c r="AU139" s="55">
        <f>MAX(N(AU138),$AT139)</f>
        <v>1187.10688</v>
      </c>
      <c r="AV139" s="55">
        <f>$AT139-$AU139</f>
        <v>0</v>
      </c>
      <c r="AW139" s="56">
        <f>IF($AS139=1,IF($S139="Win",N(AW138)+1,IF($S139="Loss",0,N(AW138))),N(AW138))</f>
        <v>5</v>
      </c>
      <c r="AX139" s="56">
        <f>IF($AS139=1,IF($S139="Loss",N(AX138)+1,IF($S139="Win",0,N(AX138))),N(AX138))</f>
        <v>0</v>
      </c>
      <c r="AY139" s="56" t="str">
        <f>IF($AS139=1,COUNTIF($AS$6:$AS139,1),"")</f>
        <v/>
      </c>
      <c r="AZ139" s="56">
        <f>MIN(133,N(Lists!$W$8))</f>
        <v>28</v>
      </c>
      <c r="BA139" s="56">
        <f>IF($AS139=1,IF(COUNTIFS($A$6:$A139,$A139,$AS$6:$AS139,1)=1,1,0),0)</f>
        <v>0</v>
      </c>
      <c r="BB139" s="55" t="str">
        <f>IF($BA139=1,SUMIFS($Q$6:$Q$1005,$A$6:$A$1005,$A139,$AS$6:$AS$1005,1),"")</f>
        <v/>
      </c>
      <c r="BC139" s="56">
        <f>IF(ISNUMBER($R139),1,0)</f>
        <v>0</v>
      </c>
      <c r="BD139" s="55" t="str">
        <f>IF(ISNUMBER($U139),$U139*$V139,"")</f>
        <v/>
      </c>
      <c r="BE139" s="56" t="str">
        <f>IF($AM139=0,"",IFERROR(MATCH($AF139&amp;"|"&amp;UPPER(TRIM($E139)),Lists!$A$6:$A$205,0),0))</f>
        <v/>
      </c>
      <c r="BF139" s="56" t="str">
        <f>IF($AM139=0,"",IFERROR(MATCH($AF139,Settings!$B$14:$B$18,0),IFERROR(MATCH(Settings!$C$6,Settings!$B$14:$B$18,0),1)))</f>
        <v/>
      </c>
      <c r="BG139" s="58" t="str">
        <f>IF($AM139=0,"",IF(NOT(ISNUMBER($I139)),"No stop; ","")&amp;IF(AND(ISNUMBER($H139),ISNUMBER($I139)),IF(OR(AND($F139&lt;&gt;"Short",$I139&gt;=$H139),AND($F139="Short",$I139&lt;=$H139)),"Stop on wrong side; ",""),"")&amp;IF($F139="","No direction; ","")&amp;IF(AND(ISNUMBER(Settings!$C$22),ISNUMBER($V139)),IF($V139&gt;Settings!$C$22,"Risk over max $; ",""),"")&amp;IF(AND(ISNUMBER(Settings!$C$23),ISNUMBER($V139),ISNUMBER($AP139),IFERROR(N(INDEX(Accounts!$E$7:$E$16,MATCH($C139,Accounts!$B$7:$B$16,0))),0)&gt;0),IF($V139&gt;Settings!$C$23*($AP139-N($Q139)),"Risk over max %; ",""),"")&amp;IF(AND(ISNUMBER(Settings!$C$24),ISNUMBER($N139)),IF($N139&gt;Settings!$C$24,"Leverage over max; ",""),"")&amp;IF(AND(ISNUMBER(Settings!$C$27),ISNUMBER($T139)),IF($T139&lt;Settings!$C$27,"R:R below min; ",""),"")&amp;IF(ISNUMBER(Settings!$C$25),IF(COUNTIFS($A$6:$A139,$A139,$AM$6:$AM139,1)&gt;Settings!$C$25,"Over max trades/day; ",""),"")&amp;IF(ISNUMBER(Settings!$C$26),IF(SUMIFS($Q$5:$Q138,$A$5:$A138,$A139)&lt;=-Settings!$C$26,"Traded after daily max loss; ",""),"")&amp;IF(AND($AG139="",NOT(ISNUMBER($O139))),"Symbol not in Instruments; ","")&amp;IF(AND($AH139="",NOT(ISNUMBER($O139))),"Forex cross: type Gross P&amp;L; ",""))</f>
        <v/>
      </c>
      <c r="BH139" s="56">
        <f>IF(ISNUMBER($Q139),1,0)</f>
        <v>0</v>
      </c>
      <c r="BI139" s="56">
        <f>IF($Y139="",0,1)</f>
        <v>0</v>
      </c>
      <c r="BJ139" s="56">
        <f>IF($AB139="",0,1)</f>
        <v>0</v>
      </c>
      <c r="BK139" s="56">
        <f>IF(AND($BH139=1,$W139&lt;&gt;"OK"),1,0)</f>
        <v>0</v>
      </c>
      <c r="BL139" s="55">
        <f>IF(N($AZ139)=0,0,IFERROR(INDEX($AT$6:$AT$1005,MATCH($AZ139,$AY$6:$AY$1005,0)),0))</f>
        <v>1187.10688</v>
      </c>
      <c r="BM139" s="56">
        <f>IF(ISNUMBER(SEARCH("daily max loss",$BG139)),1,0)</f>
        <v>0</v>
      </c>
    </row>
    <row r="140" ht="18" customHeight="1">
      <c r="A140" s="38" t="n"/>
      <c r="B140" s="39" t="n"/>
      <c r="C140" s="40" t="n"/>
      <c r="D140" s="41" t="n"/>
      <c r="E140" s="41" t="n"/>
      <c r="F140" s="41" t="n"/>
      <c r="G140" s="41" t="n"/>
      <c r="H140" s="42" t="n"/>
      <c r="I140" s="42" t="n"/>
      <c r="J140" s="42" t="n"/>
      <c r="K140" s="42" t="n"/>
      <c r="L140" s="41" t="n"/>
      <c r="M140" s="41" t="n"/>
      <c r="N140" s="41" t="n"/>
      <c r="O140" s="43" t="n"/>
      <c r="P140" s="43" t="n"/>
      <c r="Q140" s="44" t="str">
        <f>IF($AM140=0,"",IF(ISNUMBER($AK140),$AK140-N($AL140),""))</f>
        <v/>
      </c>
      <c r="R140" s="45" t="str">
        <f>IF(OR($Q140="",NOT(ISNUMBER($V140))),"",$AK140/$V140)</f>
        <v/>
      </c>
      <c r="S140" s="46" t="str">
        <f>IF($Q140="","",IF(AND(ISNUMBER($R140),ABS(N($R140))&lt;N(Settings!$C$8)),"Scratch",IF($Q140&gt;0,"Win",IF($Q140&lt;0,"Loss","Scratch"))))</f>
        <v/>
      </c>
      <c r="T140" s="47" t="str">
        <f>IF(OR($AM140=0,NOT(ISNUMBER($H140)),NOT(ISNUMBER($I140)),NOT(ISNUMBER($J140))),"",IF($H140=$I140,"",ROUND(ABS($J140-$H140)/ABS($H140-$I140),6)))</f>
        <v/>
      </c>
      <c r="U140" s="48" t="str">
        <f>IF(OR($S140&lt;&gt;"Win",NOT(ISNUMBER($T140)),NOT(ISNUMBER($R140))),"",MAX(0,$T140-$R140))</f>
        <v/>
      </c>
      <c r="V140" s="49" t="str">
        <f>IF(OR($AM140=0,NOT(ISNUMBER($H140)),NOT(ISNUMBER($I140)),NOT(ISNUMBER($G140))),"",IF(OR($AG140="",$AH140=""),"",IF(ROUND(ABS($H140-$I140)*ABS($G140)*$AG140*$AH140,6)=0,"",ROUND(ABS($H140-$I140)*ABS($G140)*$AG140*$AH140,6))))</f>
        <v/>
      </c>
      <c r="W140" s="50" t="str">
        <f>IF($AM140=0,"",IF($BG140="","OK",LEFT($BG140,LEN($BG140)-2)))</f>
        <v/>
      </c>
      <c r="X140" s="41" t="n"/>
      <c r="Y140" s="40" t="n"/>
      <c r="Z140" s="41" t="n"/>
      <c r="AA140" s="41" t="n"/>
      <c r="AB140" s="40" t="n"/>
      <c r="AC140" s="51" t="n"/>
      <c r="AD140" s="51" t="n"/>
      <c r="AE140" s="40" t="n"/>
      <c r="AF140" s="52" t="str">
        <f>IF($AM140=0,"",IF($D140&lt;&gt;"",$D140,IF(IFERROR(INDEX(Accounts!$C$7:$C$16,MATCH($C140,Accounts!$B$7:$B$16,0))&amp;"","")&lt;&gt;"",INDEX(Accounts!$C$7:$C$16,MATCH($C140,Accounts!$B$7:$B$16,0)),Settings!$C$6)))</f>
        <v/>
      </c>
      <c r="AG140" s="53" t="str">
        <f>IF($AM140=0,"",IF(AND($BE140&gt;0,N(INDEX(Instruments!$D$6:$D$205,MAX(1,$BE140)))&gt;0),INDEX(Instruments!$D$6:$D$205,MAX(1,$BE140)),IF(N(INDEX(Settings!$D$14:$D$18,$BF140))&gt;0,INDEX(Settings!$D$14:$D$18,$BF140),"")))</f>
        <v/>
      </c>
      <c r="AH140" s="54" t="str">
        <f>IF($AM140=0,"",IF($AF140&lt;&gt;"Forex",1,IF(MID(UPPER(SUBSTITUTE(TRIM($E140),"/","")),4,3)=UPPER(TRIM(Settings!$C$7)),1,IF(LEFT(UPPER(SUBSTITUTE(TRIM($E140),"/","")),3)=UPPER(TRIM(Settings!$C$7)),IF(AND(ISNUMBER($K140),N($K140)&lt;&gt;0),1/$K140,""),""))))</f>
        <v/>
      </c>
      <c r="AI140" s="55" t="str">
        <f>IF($AM140=0,"",IF(OR(NOT(ISNUMBER($H140)),NOT(ISNUMBER($K140)),NOT(ISNUMBER($G140)),$AG140="",$AH140=""),"",ROUND(($K140-$H140)*IF($F140="Short",-1,1)*$G140*$AG140*$AH140,6)))</f>
        <v/>
      </c>
      <c r="AJ140" s="55" t="str">
        <f>IF($AM140=0,"",IF(INDEX(Settings!$E$14:$E$18,$BF140)="% of notional",IF(OR($AG140="",NOT(ISNUMBER($H140)),NOT(ISNUMBER($G140))),"",ROUND(ABS($H140*$G140*$AG140*N($AH140))*IF($L140="Limit",N(INDEX(Settings!$G$14:$G$18,$BF140)),N(INDEX(Settings!$H$14:$H$18,$BF140)))+IF(ISNUMBER($K140),ABS($K140*$G140*$AG140*N($AH140))*IF($M140="Target",N(INDEX(Settings!$G$14:$G$18,$BF140)),N(INDEX(Settings!$H$14:$H$18,$BF140))),0),6)),IF(NOT(ISNUMBER($G140)),"",ROUND(ABS($G140)*2*IF(AND($BE140&gt;0,ISNUMBER(INDEX(Instruments!$G$6:$G$205,MAX(1,$BE140)))),INDEX(Instruments!$G$6:$G$205,MAX(1,$BE140)),N(INDEX(Settings!$F$14:$F$18,$BF140))),6))))</f>
        <v/>
      </c>
      <c r="AK140" s="55" t="str">
        <f>IF($AM140=0,"",IF(ISNUMBER($O140),$O140,$AI140))</f>
        <v/>
      </c>
      <c r="AL140" s="55" t="str">
        <f>IF($AM140=0,"",IF(ISNUMBER($P140),$P140,N($AJ140)))</f>
        <v/>
      </c>
      <c r="AM140" s="56">
        <f>IF(AND($A140&lt;&gt;"",$E140&lt;&gt;"",OR(AND(ISNUMBER($G140),ISNUMBER($H140),ISNUMBER($K140)),ISNUMBER($O140))),1,0)</f>
        <v>0</v>
      </c>
      <c r="AN140" s="57" t="str">
        <f>IF($A140="","",$A140-WEEKDAY($A140,3))</f>
        <v/>
      </c>
      <c r="AO140" s="56" t="str">
        <f>IF($A140="","",WEEKDAY($A140,2))</f>
        <v/>
      </c>
      <c r="AP140" s="55" t="str">
        <f>IF(OR($AM140=0,$C140=""),"",IFERROR(N(INDEX(Accounts!$E$7:$E$16,MATCH($C140,Accounts!$B$7:$B$16,0))),0)+SUMIFS($Q$6:$Q140,$C$6:$C140,$C140))</f>
        <v/>
      </c>
      <c r="AQ140" s="55" t="str">
        <f>IF(OR($AM140=0,$C140=""),"",SUMIFS($Q$6:$Q$1005,$C$6:$C$1005,$C140,$A$6:$A$1005,$A140))</f>
        <v/>
      </c>
      <c r="AR140" s="55" t="str">
        <f>IF(OR($AM140=0,$C140=""),"",IFERROR(N(INDEX(Accounts!$E$7:$E$16,MATCH($C140,Accounts!$B$7:$B$16,0))),0)+SUMIFS($Q$6:$Q$1005,$C$6:$C$1005,$C140,$A$6:$A$1005,"&lt;="&amp;$A140))</f>
        <v/>
      </c>
      <c r="AS140" s="56">
        <f>IF(OR($AM140=0,$Q140=""),0,IF(AND($A140&gt;=Lists!$W$6,$A140&lt;=Lists!$W$7,OR(Dashboard!$D$6="All accounts",$C140=Dashboard!$D$6),OR(Dashboard!$D$7="All markets",$AF140=Dashboard!$D$7)),1,0))</f>
        <v>0</v>
      </c>
      <c r="AT140" s="55">
        <f>IF($AS140=1,N(AT139)+$Q140,N(AT139))</f>
        <v>1187.10688</v>
      </c>
      <c r="AU140" s="55">
        <f>MAX(N(AU139),$AT140)</f>
        <v>1187.10688</v>
      </c>
      <c r="AV140" s="55">
        <f>$AT140-$AU140</f>
        <v>0</v>
      </c>
      <c r="AW140" s="56">
        <f>IF($AS140=1,IF($S140="Win",N(AW139)+1,IF($S140="Loss",0,N(AW139))),N(AW139))</f>
        <v>5</v>
      </c>
      <c r="AX140" s="56">
        <f>IF($AS140=1,IF($S140="Loss",N(AX139)+1,IF($S140="Win",0,N(AX139))),N(AX139))</f>
        <v>0</v>
      </c>
      <c r="AY140" s="56" t="str">
        <f>IF($AS140=1,COUNTIF($AS$6:$AS140,1),"")</f>
        <v/>
      </c>
      <c r="AZ140" s="56">
        <f>MIN(134,N(Lists!$W$8))</f>
        <v>28</v>
      </c>
      <c r="BA140" s="56">
        <f>IF($AS140=1,IF(COUNTIFS($A$6:$A140,$A140,$AS$6:$AS140,1)=1,1,0),0)</f>
        <v>0</v>
      </c>
      <c r="BB140" s="55" t="str">
        <f>IF($BA140=1,SUMIFS($Q$6:$Q$1005,$A$6:$A$1005,$A140,$AS$6:$AS$1005,1),"")</f>
        <v/>
      </c>
      <c r="BC140" s="56">
        <f>IF(ISNUMBER($R140),1,0)</f>
        <v>0</v>
      </c>
      <c r="BD140" s="55" t="str">
        <f>IF(ISNUMBER($U140),$U140*$V140,"")</f>
        <v/>
      </c>
      <c r="BE140" s="56" t="str">
        <f>IF($AM140=0,"",IFERROR(MATCH($AF140&amp;"|"&amp;UPPER(TRIM($E140)),Lists!$A$6:$A$205,0),0))</f>
        <v/>
      </c>
      <c r="BF140" s="56" t="str">
        <f>IF($AM140=0,"",IFERROR(MATCH($AF140,Settings!$B$14:$B$18,0),IFERROR(MATCH(Settings!$C$6,Settings!$B$14:$B$18,0),1)))</f>
        <v/>
      </c>
      <c r="BG140" s="58" t="str">
        <f>IF($AM140=0,"",IF(NOT(ISNUMBER($I140)),"No stop; ","")&amp;IF(AND(ISNUMBER($H140),ISNUMBER($I140)),IF(OR(AND($F140&lt;&gt;"Short",$I140&gt;=$H140),AND($F140="Short",$I140&lt;=$H140)),"Stop on wrong side; ",""),"")&amp;IF($F140="","No direction; ","")&amp;IF(AND(ISNUMBER(Settings!$C$22),ISNUMBER($V140)),IF($V140&gt;Settings!$C$22,"Risk over max $; ",""),"")&amp;IF(AND(ISNUMBER(Settings!$C$23),ISNUMBER($V140),ISNUMBER($AP140),IFERROR(N(INDEX(Accounts!$E$7:$E$16,MATCH($C140,Accounts!$B$7:$B$16,0))),0)&gt;0),IF($V140&gt;Settings!$C$23*($AP140-N($Q140)),"Risk over max %; ",""),"")&amp;IF(AND(ISNUMBER(Settings!$C$24),ISNUMBER($N140)),IF($N140&gt;Settings!$C$24,"Leverage over max; ",""),"")&amp;IF(AND(ISNUMBER(Settings!$C$27),ISNUMBER($T140)),IF($T140&lt;Settings!$C$27,"R:R below min; ",""),"")&amp;IF(ISNUMBER(Settings!$C$25),IF(COUNTIFS($A$6:$A140,$A140,$AM$6:$AM140,1)&gt;Settings!$C$25,"Over max trades/day; ",""),"")&amp;IF(ISNUMBER(Settings!$C$26),IF(SUMIFS($Q$5:$Q139,$A$5:$A139,$A140)&lt;=-Settings!$C$26,"Traded after daily max loss; ",""),"")&amp;IF(AND($AG140="",NOT(ISNUMBER($O140))),"Symbol not in Instruments; ","")&amp;IF(AND($AH140="",NOT(ISNUMBER($O140))),"Forex cross: type Gross P&amp;L; ",""))</f>
        <v/>
      </c>
      <c r="BH140" s="56">
        <f>IF(ISNUMBER($Q140),1,0)</f>
        <v>0</v>
      </c>
      <c r="BI140" s="56">
        <f>IF($Y140="",0,1)</f>
        <v>0</v>
      </c>
      <c r="BJ140" s="56">
        <f>IF($AB140="",0,1)</f>
        <v>0</v>
      </c>
      <c r="BK140" s="56">
        <f>IF(AND($BH140=1,$W140&lt;&gt;"OK"),1,0)</f>
        <v>0</v>
      </c>
      <c r="BL140" s="55">
        <f>IF(N($AZ140)=0,0,IFERROR(INDEX($AT$6:$AT$1005,MATCH($AZ140,$AY$6:$AY$1005,0)),0))</f>
        <v>1187.10688</v>
      </c>
      <c r="BM140" s="56">
        <f>IF(ISNUMBER(SEARCH("daily max loss",$BG140)),1,0)</f>
        <v>0</v>
      </c>
    </row>
    <row r="141" ht="18" customHeight="1">
      <c r="A141" s="38" t="n"/>
      <c r="B141" s="39" t="n"/>
      <c r="C141" s="40" t="n"/>
      <c r="D141" s="41" t="n"/>
      <c r="E141" s="41" t="n"/>
      <c r="F141" s="41" t="n"/>
      <c r="G141" s="41" t="n"/>
      <c r="H141" s="42" t="n"/>
      <c r="I141" s="42" t="n"/>
      <c r="J141" s="42" t="n"/>
      <c r="K141" s="42" t="n"/>
      <c r="L141" s="41" t="n"/>
      <c r="M141" s="41" t="n"/>
      <c r="N141" s="41" t="n"/>
      <c r="O141" s="43" t="n"/>
      <c r="P141" s="43" t="n"/>
      <c r="Q141" s="44" t="str">
        <f>IF($AM141=0,"",IF(ISNUMBER($AK141),$AK141-N($AL141),""))</f>
        <v/>
      </c>
      <c r="R141" s="45" t="str">
        <f>IF(OR($Q141="",NOT(ISNUMBER($V141))),"",$AK141/$V141)</f>
        <v/>
      </c>
      <c r="S141" s="46" t="str">
        <f>IF($Q141="","",IF(AND(ISNUMBER($R141),ABS(N($R141))&lt;N(Settings!$C$8)),"Scratch",IF($Q141&gt;0,"Win",IF($Q141&lt;0,"Loss","Scratch"))))</f>
        <v/>
      </c>
      <c r="T141" s="47" t="str">
        <f>IF(OR($AM141=0,NOT(ISNUMBER($H141)),NOT(ISNUMBER($I141)),NOT(ISNUMBER($J141))),"",IF($H141=$I141,"",ROUND(ABS($J141-$H141)/ABS($H141-$I141),6)))</f>
        <v/>
      </c>
      <c r="U141" s="48" t="str">
        <f>IF(OR($S141&lt;&gt;"Win",NOT(ISNUMBER($T141)),NOT(ISNUMBER($R141))),"",MAX(0,$T141-$R141))</f>
        <v/>
      </c>
      <c r="V141" s="49" t="str">
        <f>IF(OR($AM141=0,NOT(ISNUMBER($H141)),NOT(ISNUMBER($I141)),NOT(ISNUMBER($G141))),"",IF(OR($AG141="",$AH141=""),"",IF(ROUND(ABS($H141-$I141)*ABS($G141)*$AG141*$AH141,6)=0,"",ROUND(ABS($H141-$I141)*ABS($G141)*$AG141*$AH141,6))))</f>
        <v/>
      </c>
      <c r="W141" s="50" t="str">
        <f>IF($AM141=0,"",IF($BG141="","OK",LEFT($BG141,LEN($BG141)-2)))</f>
        <v/>
      </c>
      <c r="X141" s="41" t="n"/>
      <c r="Y141" s="40" t="n"/>
      <c r="Z141" s="41" t="n"/>
      <c r="AA141" s="41" t="n"/>
      <c r="AB141" s="40" t="n"/>
      <c r="AC141" s="51" t="n"/>
      <c r="AD141" s="51" t="n"/>
      <c r="AE141" s="40" t="n"/>
      <c r="AF141" s="52" t="str">
        <f>IF($AM141=0,"",IF($D141&lt;&gt;"",$D141,IF(IFERROR(INDEX(Accounts!$C$7:$C$16,MATCH($C141,Accounts!$B$7:$B$16,0))&amp;"","")&lt;&gt;"",INDEX(Accounts!$C$7:$C$16,MATCH($C141,Accounts!$B$7:$B$16,0)),Settings!$C$6)))</f>
        <v/>
      </c>
      <c r="AG141" s="53" t="str">
        <f>IF($AM141=0,"",IF(AND($BE141&gt;0,N(INDEX(Instruments!$D$6:$D$205,MAX(1,$BE141)))&gt;0),INDEX(Instruments!$D$6:$D$205,MAX(1,$BE141)),IF(N(INDEX(Settings!$D$14:$D$18,$BF141))&gt;0,INDEX(Settings!$D$14:$D$18,$BF141),"")))</f>
        <v/>
      </c>
      <c r="AH141" s="54" t="str">
        <f>IF($AM141=0,"",IF($AF141&lt;&gt;"Forex",1,IF(MID(UPPER(SUBSTITUTE(TRIM($E141),"/","")),4,3)=UPPER(TRIM(Settings!$C$7)),1,IF(LEFT(UPPER(SUBSTITUTE(TRIM($E141),"/","")),3)=UPPER(TRIM(Settings!$C$7)),IF(AND(ISNUMBER($K141),N($K141)&lt;&gt;0),1/$K141,""),""))))</f>
        <v/>
      </c>
      <c r="AI141" s="55" t="str">
        <f>IF($AM141=0,"",IF(OR(NOT(ISNUMBER($H141)),NOT(ISNUMBER($K141)),NOT(ISNUMBER($G141)),$AG141="",$AH141=""),"",ROUND(($K141-$H141)*IF($F141="Short",-1,1)*$G141*$AG141*$AH141,6)))</f>
        <v/>
      </c>
      <c r="AJ141" s="55" t="str">
        <f>IF($AM141=0,"",IF(INDEX(Settings!$E$14:$E$18,$BF141)="% of notional",IF(OR($AG141="",NOT(ISNUMBER($H141)),NOT(ISNUMBER($G141))),"",ROUND(ABS($H141*$G141*$AG141*N($AH141))*IF($L141="Limit",N(INDEX(Settings!$G$14:$G$18,$BF141)),N(INDEX(Settings!$H$14:$H$18,$BF141)))+IF(ISNUMBER($K141),ABS($K141*$G141*$AG141*N($AH141))*IF($M141="Target",N(INDEX(Settings!$G$14:$G$18,$BF141)),N(INDEX(Settings!$H$14:$H$18,$BF141))),0),6)),IF(NOT(ISNUMBER($G141)),"",ROUND(ABS($G141)*2*IF(AND($BE141&gt;0,ISNUMBER(INDEX(Instruments!$G$6:$G$205,MAX(1,$BE141)))),INDEX(Instruments!$G$6:$G$205,MAX(1,$BE141)),N(INDEX(Settings!$F$14:$F$18,$BF141))),6))))</f>
        <v/>
      </c>
      <c r="AK141" s="55" t="str">
        <f>IF($AM141=0,"",IF(ISNUMBER($O141),$O141,$AI141))</f>
        <v/>
      </c>
      <c r="AL141" s="55" t="str">
        <f>IF($AM141=0,"",IF(ISNUMBER($P141),$P141,N($AJ141)))</f>
        <v/>
      </c>
      <c r="AM141" s="56">
        <f>IF(AND($A141&lt;&gt;"",$E141&lt;&gt;"",OR(AND(ISNUMBER($G141),ISNUMBER($H141),ISNUMBER($K141)),ISNUMBER($O141))),1,0)</f>
        <v>0</v>
      </c>
      <c r="AN141" s="57" t="str">
        <f>IF($A141="","",$A141-WEEKDAY($A141,3))</f>
        <v/>
      </c>
      <c r="AO141" s="56" t="str">
        <f>IF($A141="","",WEEKDAY($A141,2))</f>
        <v/>
      </c>
      <c r="AP141" s="55" t="str">
        <f>IF(OR($AM141=0,$C141=""),"",IFERROR(N(INDEX(Accounts!$E$7:$E$16,MATCH($C141,Accounts!$B$7:$B$16,0))),0)+SUMIFS($Q$6:$Q141,$C$6:$C141,$C141))</f>
        <v/>
      </c>
      <c r="AQ141" s="55" t="str">
        <f>IF(OR($AM141=0,$C141=""),"",SUMIFS($Q$6:$Q$1005,$C$6:$C$1005,$C141,$A$6:$A$1005,$A141))</f>
        <v/>
      </c>
      <c r="AR141" s="55" t="str">
        <f>IF(OR($AM141=0,$C141=""),"",IFERROR(N(INDEX(Accounts!$E$7:$E$16,MATCH($C141,Accounts!$B$7:$B$16,0))),0)+SUMIFS($Q$6:$Q$1005,$C$6:$C$1005,$C141,$A$6:$A$1005,"&lt;="&amp;$A141))</f>
        <v/>
      </c>
      <c r="AS141" s="56">
        <f>IF(OR($AM141=0,$Q141=""),0,IF(AND($A141&gt;=Lists!$W$6,$A141&lt;=Lists!$W$7,OR(Dashboard!$D$6="All accounts",$C141=Dashboard!$D$6),OR(Dashboard!$D$7="All markets",$AF141=Dashboard!$D$7)),1,0))</f>
        <v>0</v>
      </c>
      <c r="AT141" s="55">
        <f>IF($AS141=1,N(AT140)+$Q141,N(AT140))</f>
        <v>1187.10688</v>
      </c>
      <c r="AU141" s="55">
        <f>MAX(N(AU140),$AT141)</f>
        <v>1187.10688</v>
      </c>
      <c r="AV141" s="55">
        <f>$AT141-$AU141</f>
        <v>0</v>
      </c>
      <c r="AW141" s="56">
        <f>IF($AS141=1,IF($S141="Win",N(AW140)+1,IF($S141="Loss",0,N(AW140))),N(AW140))</f>
        <v>5</v>
      </c>
      <c r="AX141" s="56">
        <f>IF($AS141=1,IF($S141="Loss",N(AX140)+1,IF($S141="Win",0,N(AX140))),N(AX140))</f>
        <v>0</v>
      </c>
      <c r="AY141" s="56" t="str">
        <f>IF($AS141=1,COUNTIF($AS$6:$AS141,1),"")</f>
        <v/>
      </c>
      <c r="AZ141" s="56">
        <f>MIN(135,N(Lists!$W$8))</f>
        <v>28</v>
      </c>
      <c r="BA141" s="56">
        <f>IF($AS141=1,IF(COUNTIFS($A$6:$A141,$A141,$AS$6:$AS141,1)=1,1,0),0)</f>
        <v>0</v>
      </c>
      <c r="BB141" s="55" t="str">
        <f>IF($BA141=1,SUMIFS($Q$6:$Q$1005,$A$6:$A$1005,$A141,$AS$6:$AS$1005,1),"")</f>
        <v/>
      </c>
      <c r="BC141" s="56">
        <f>IF(ISNUMBER($R141),1,0)</f>
        <v>0</v>
      </c>
      <c r="BD141" s="55" t="str">
        <f>IF(ISNUMBER($U141),$U141*$V141,"")</f>
        <v/>
      </c>
      <c r="BE141" s="56" t="str">
        <f>IF($AM141=0,"",IFERROR(MATCH($AF141&amp;"|"&amp;UPPER(TRIM($E141)),Lists!$A$6:$A$205,0),0))</f>
        <v/>
      </c>
      <c r="BF141" s="56" t="str">
        <f>IF($AM141=0,"",IFERROR(MATCH($AF141,Settings!$B$14:$B$18,0),IFERROR(MATCH(Settings!$C$6,Settings!$B$14:$B$18,0),1)))</f>
        <v/>
      </c>
      <c r="BG141" s="58" t="str">
        <f>IF($AM141=0,"",IF(NOT(ISNUMBER($I141)),"No stop; ","")&amp;IF(AND(ISNUMBER($H141),ISNUMBER($I141)),IF(OR(AND($F141&lt;&gt;"Short",$I141&gt;=$H141),AND($F141="Short",$I141&lt;=$H141)),"Stop on wrong side; ",""),"")&amp;IF($F141="","No direction; ","")&amp;IF(AND(ISNUMBER(Settings!$C$22),ISNUMBER($V141)),IF($V141&gt;Settings!$C$22,"Risk over max $; ",""),"")&amp;IF(AND(ISNUMBER(Settings!$C$23),ISNUMBER($V141),ISNUMBER($AP141),IFERROR(N(INDEX(Accounts!$E$7:$E$16,MATCH($C141,Accounts!$B$7:$B$16,0))),0)&gt;0),IF($V141&gt;Settings!$C$23*($AP141-N($Q141)),"Risk over max %; ",""),"")&amp;IF(AND(ISNUMBER(Settings!$C$24),ISNUMBER($N141)),IF($N141&gt;Settings!$C$24,"Leverage over max; ",""),"")&amp;IF(AND(ISNUMBER(Settings!$C$27),ISNUMBER($T141)),IF($T141&lt;Settings!$C$27,"R:R below min; ",""),"")&amp;IF(ISNUMBER(Settings!$C$25),IF(COUNTIFS($A$6:$A141,$A141,$AM$6:$AM141,1)&gt;Settings!$C$25,"Over max trades/day; ",""),"")&amp;IF(ISNUMBER(Settings!$C$26),IF(SUMIFS($Q$5:$Q140,$A$5:$A140,$A141)&lt;=-Settings!$C$26,"Traded after daily max loss; ",""),"")&amp;IF(AND($AG141="",NOT(ISNUMBER($O141))),"Symbol not in Instruments; ","")&amp;IF(AND($AH141="",NOT(ISNUMBER($O141))),"Forex cross: type Gross P&amp;L; ",""))</f>
        <v/>
      </c>
      <c r="BH141" s="56">
        <f>IF(ISNUMBER($Q141),1,0)</f>
        <v>0</v>
      </c>
      <c r="BI141" s="56">
        <f>IF($Y141="",0,1)</f>
        <v>0</v>
      </c>
      <c r="BJ141" s="56">
        <f>IF($AB141="",0,1)</f>
        <v>0</v>
      </c>
      <c r="BK141" s="56">
        <f>IF(AND($BH141=1,$W141&lt;&gt;"OK"),1,0)</f>
        <v>0</v>
      </c>
      <c r="BL141" s="55">
        <f>IF(N($AZ141)=0,0,IFERROR(INDEX($AT$6:$AT$1005,MATCH($AZ141,$AY$6:$AY$1005,0)),0))</f>
        <v>1187.10688</v>
      </c>
      <c r="BM141" s="56">
        <f>IF(ISNUMBER(SEARCH("daily max loss",$BG141)),1,0)</f>
        <v>0</v>
      </c>
    </row>
    <row r="142" ht="18" customHeight="1">
      <c r="A142" s="38" t="n"/>
      <c r="B142" s="39" t="n"/>
      <c r="C142" s="40" t="n"/>
      <c r="D142" s="41" t="n"/>
      <c r="E142" s="41" t="n"/>
      <c r="F142" s="41" t="n"/>
      <c r="G142" s="41" t="n"/>
      <c r="H142" s="42" t="n"/>
      <c r="I142" s="42" t="n"/>
      <c r="J142" s="42" t="n"/>
      <c r="K142" s="42" t="n"/>
      <c r="L142" s="41" t="n"/>
      <c r="M142" s="41" t="n"/>
      <c r="N142" s="41" t="n"/>
      <c r="O142" s="43" t="n"/>
      <c r="P142" s="43" t="n"/>
      <c r="Q142" s="44" t="str">
        <f>IF($AM142=0,"",IF(ISNUMBER($AK142),$AK142-N($AL142),""))</f>
        <v/>
      </c>
      <c r="R142" s="45" t="str">
        <f>IF(OR($Q142="",NOT(ISNUMBER($V142))),"",$AK142/$V142)</f>
        <v/>
      </c>
      <c r="S142" s="46" t="str">
        <f>IF($Q142="","",IF(AND(ISNUMBER($R142),ABS(N($R142))&lt;N(Settings!$C$8)),"Scratch",IF($Q142&gt;0,"Win",IF($Q142&lt;0,"Loss","Scratch"))))</f>
        <v/>
      </c>
      <c r="T142" s="47" t="str">
        <f>IF(OR($AM142=0,NOT(ISNUMBER($H142)),NOT(ISNUMBER($I142)),NOT(ISNUMBER($J142))),"",IF($H142=$I142,"",ROUND(ABS($J142-$H142)/ABS($H142-$I142),6)))</f>
        <v/>
      </c>
      <c r="U142" s="48" t="str">
        <f>IF(OR($S142&lt;&gt;"Win",NOT(ISNUMBER($T142)),NOT(ISNUMBER($R142))),"",MAX(0,$T142-$R142))</f>
        <v/>
      </c>
      <c r="V142" s="49" t="str">
        <f>IF(OR($AM142=0,NOT(ISNUMBER($H142)),NOT(ISNUMBER($I142)),NOT(ISNUMBER($G142))),"",IF(OR($AG142="",$AH142=""),"",IF(ROUND(ABS($H142-$I142)*ABS($G142)*$AG142*$AH142,6)=0,"",ROUND(ABS($H142-$I142)*ABS($G142)*$AG142*$AH142,6))))</f>
        <v/>
      </c>
      <c r="W142" s="50" t="str">
        <f>IF($AM142=0,"",IF($BG142="","OK",LEFT($BG142,LEN($BG142)-2)))</f>
        <v/>
      </c>
      <c r="X142" s="41" t="n"/>
      <c r="Y142" s="40" t="n"/>
      <c r="Z142" s="41" t="n"/>
      <c r="AA142" s="41" t="n"/>
      <c r="AB142" s="40" t="n"/>
      <c r="AC142" s="51" t="n"/>
      <c r="AD142" s="51" t="n"/>
      <c r="AE142" s="40" t="n"/>
      <c r="AF142" s="52" t="str">
        <f>IF($AM142=0,"",IF($D142&lt;&gt;"",$D142,IF(IFERROR(INDEX(Accounts!$C$7:$C$16,MATCH($C142,Accounts!$B$7:$B$16,0))&amp;"","")&lt;&gt;"",INDEX(Accounts!$C$7:$C$16,MATCH($C142,Accounts!$B$7:$B$16,0)),Settings!$C$6)))</f>
        <v/>
      </c>
      <c r="AG142" s="53" t="str">
        <f>IF($AM142=0,"",IF(AND($BE142&gt;0,N(INDEX(Instruments!$D$6:$D$205,MAX(1,$BE142)))&gt;0),INDEX(Instruments!$D$6:$D$205,MAX(1,$BE142)),IF(N(INDEX(Settings!$D$14:$D$18,$BF142))&gt;0,INDEX(Settings!$D$14:$D$18,$BF142),"")))</f>
        <v/>
      </c>
      <c r="AH142" s="54" t="str">
        <f>IF($AM142=0,"",IF($AF142&lt;&gt;"Forex",1,IF(MID(UPPER(SUBSTITUTE(TRIM($E142),"/","")),4,3)=UPPER(TRIM(Settings!$C$7)),1,IF(LEFT(UPPER(SUBSTITUTE(TRIM($E142),"/","")),3)=UPPER(TRIM(Settings!$C$7)),IF(AND(ISNUMBER($K142),N($K142)&lt;&gt;0),1/$K142,""),""))))</f>
        <v/>
      </c>
      <c r="AI142" s="55" t="str">
        <f>IF($AM142=0,"",IF(OR(NOT(ISNUMBER($H142)),NOT(ISNUMBER($K142)),NOT(ISNUMBER($G142)),$AG142="",$AH142=""),"",ROUND(($K142-$H142)*IF($F142="Short",-1,1)*$G142*$AG142*$AH142,6)))</f>
        <v/>
      </c>
      <c r="AJ142" s="55" t="str">
        <f>IF($AM142=0,"",IF(INDEX(Settings!$E$14:$E$18,$BF142)="% of notional",IF(OR($AG142="",NOT(ISNUMBER($H142)),NOT(ISNUMBER($G142))),"",ROUND(ABS($H142*$G142*$AG142*N($AH142))*IF($L142="Limit",N(INDEX(Settings!$G$14:$G$18,$BF142)),N(INDEX(Settings!$H$14:$H$18,$BF142)))+IF(ISNUMBER($K142),ABS($K142*$G142*$AG142*N($AH142))*IF($M142="Target",N(INDEX(Settings!$G$14:$G$18,$BF142)),N(INDEX(Settings!$H$14:$H$18,$BF142))),0),6)),IF(NOT(ISNUMBER($G142)),"",ROUND(ABS($G142)*2*IF(AND($BE142&gt;0,ISNUMBER(INDEX(Instruments!$G$6:$G$205,MAX(1,$BE142)))),INDEX(Instruments!$G$6:$G$205,MAX(1,$BE142)),N(INDEX(Settings!$F$14:$F$18,$BF142))),6))))</f>
        <v/>
      </c>
      <c r="AK142" s="55" t="str">
        <f>IF($AM142=0,"",IF(ISNUMBER($O142),$O142,$AI142))</f>
        <v/>
      </c>
      <c r="AL142" s="55" t="str">
        <f>IF($AM142=0,"",IF(ISNUMBER($P142),$P142,N($AJ142)))</f>
        <v/>
      </c>
      <c r="AM142" s="56">
        <f>IF(AND($A142&lt;&gt;"",$E142&lt;&gt;"",OR(AND(ISNUMBER($G142),ISNUMBER($H142),ISNUMBER($K142)),ISNUMBER($O142))),1,0)</f>
        <v>0</v>
      </c>
      <c r="AN142" s="57" t="str">
        <f>IF($A142="","",$A142-WEEKDAY($A142,3))</f>
        <v/>
      </c>
      <c r="AO142" s="56" t="str">
        <f>IF($A142="","",WEEKDAY($A142,2))</f>
        <v/>
      </c>
      <c r="AP142" s="55" t="str">
        <f>IF(OR($AM142=0,$C142=""),"",IFERROR(N(INDEX(Accounts!$E$7:$E$16,MATCH($C142,Accounts!$B$7:$B$16,0))),0)+SUMIFS($Q$6:$Q142,$C$6:$C142,$C142))</f>
        <v/>
      </c>
      <c r="AQ142" s="55" t="str">
        <f>IF(OR($AM142=0,$C142=""),"",SUMIFS($Q$6:$Q$1005,$C$6:$C$1005,$C142,$A$6:$A$1005,$A142))</f>
        <v/>
      </c>
      <c r="AR142" s="55" t="str">
        <f>IF(OR($AM142=0,$C142=""),"",IFERROR(N(INDEX(Accounts!$E$7:$E$16,MATCH($C142,Accounts!$B$7:$B$16,0))),0)+SUMIFS($Q$6:$Q$1005,$C$6:$C$1005,$C142,$A$6:$A$1005,"&lt;="&amp;$A142))</f>
        <v/>
      </c>
      <c r="AS142" s="56">
        <f>IF(OR($AM142=0,$Q142=""),0,IF(AND($A142&gt;=Lists!$W$6,$A142&lt;=Lists!$W$7,OR(Dashboard!$D$6="All accounts",$C142=Dashboard!$D$6),OR(Dashboard!$D$7="All markets",$AF142=Dashboard!$D$7)),1,0))</f>
        <v>0</v>
      </c>
      <c r="AT142" s="55">
        <f>IF($AS142=1,N(AT141)+$Q142,N(AT141))</f>
        <v>1187.10688</v>
      </c>
      <c r="AU142" s="55">
        <f>MAX(N(AU141),$AT142)</f>
        <v>1187.10688</v>
      </c>
      <c r="AV142" s="55">
        <f>$AT142-$AU142</f>
        <v>0</v>
      </c>
      <c r="AW142" s="56">
        <f>IF($AS142=1,IF($S142="Win",N(AW141)+1,IF($S142="Loss",0,N(AW141))),N(AW141))</f>
        <v>5</v>
      </c>
      <c r="AX142" s="56">
        <f>IF($AS142=1,IF($S142="Loss",N(AX141)+1,IF($S142="Win",0,N(AX141))),N(AX141))</f>
        <v>0</v>
      </c>
      <c r="AY142" s="56" t="str">
        <f>IF($AS142=1,COUNTIF($AS$6:$AS142,1),"")</f>
        <v/>
      </c>
      <c r="AZ142" s="56">
        <f>MIN(136,N(Lists!$W$8))</f>
        <v>28</v>
      </c>
      <c r="BA142" s="56">
        <f>IF($AS142=1,IF(COUNTIFS($A$6:$A142,$A142,$AS$6:$AS142,1)=1,1,0),0)</f>
        <v>0</v>
      </c>
      <c r="BB142" s="55" t="str">
        <f>IF($BA142=1,SUMIFS($Q$6:$Q$1005,$A$6:$A$1005,$A142,$AS$6:$AS$1005,1),"")</f>
        <v/>
      </c>
      <c r="BC142" s="56">
        <f>IF(ISNUMBER($R142),1,0)</f>
        <v>0</v>
      </c>
      <c r="BD142" s="55" t="str">
        <f>IF(ISNUMBER($U142),$U142*$V142,"")</f>
        <v/>
      </c>
      <c r="BE142" s="56" t="str">
        <f>IF($AM142=0,"",IFERROR(MATCH($AF142&amp;"|"&amp;UPPER(TRIM($E142)),Lists!$A$6:$A$205,0),0))</f>
        <v/>
      </c>
      <c r="BF142" s="56" t="str">
        <f>IF($AM142=0,"",IFERROR(MATCH($AF142,Settings!$B$14:$B$18,0),IFERROR(MATCH(Settings!$C$6,Settings!$B$14:$B$18,0),1)))</f>
        <v/>
      </c>
      <c r="BG142" s="58" t="str">
        <f>IF($AM142=0,"",IF(NOT(ISNUMBER($I142)),"No stop; ","")&amp;IF(AND(ISNUMBER($H142),ISNUMBER($I142)),IF(OR(AND($F142&lt;&gt;"Short",$I142&gt;=$H142),AND($F142="Short",$I142&lt;=$H142)),"Stop on wrong side; ",""),"")&amp;IF($F142="","No direction; ","")&amp;IF(AND(ISNUMBER(Settings!$C$22),ISNUMBER($V142)),IF($V142&gt;Settings!$C$22,"Risk over max $; ",""),"")&amp;IF(AND(ISNUMBER(Settings!$C$23),ISNUMBER($V142),ISNUMBER($AP142),IFERROR(N(INDEX(Accounts!$E$7:$E$16,MATCH($C142,Accounts!$B$7:$B$16,0))),0)&gt;0),IF($V142&gt;Settings!$C$23*($AP142-N($Q142)),"Risk over max %; ",""),"")&amp;IF(AND(ISNUMBER(Settings!$C$24),ISNUMBER($N142)),IF($N142&gt;Settings!$C$24,"Leverage over max; ",""),"")&amp;IF(AND(ISNUMBER(Settings!$C$27),ISNUMBER($T142)),IF($T142&lt;Settings!$C$27,"R:R below min; ",""),"")&amp;IF(ISNUMBER(Settings!$C$25),IF(COUNTIFS($A$6:$A142,$A142,$AM$6:$AM142,1)&gt;Settings!$C$25,"Over max trades/day; ",""),"")&amp;IF(ISNUMBER(Settings!$C$26),IF(SUMIFS($Q$5:$Q141,$A$5:$A141,$A142)&lt;=-Settings!$C$26,"Traded after daily max loss; ",""),"")&amp;IF(AND($AG142="",NOT(ISNUMBER($O142))),"Symbol not in Instruments; ","")&amp;IF(AND($AH142="",NOT(ISNUMBER($O142))),"Forex cross: type Gross P&amp;L; ",""))</f>
        <v/>
      </c>
      <c r="BH142" s="56">
        <f>IF(ISNUMBER($Q142),1,0)</f>
        <v>0</v>
      </c>
      <c r="BI142" s="56">
        <f>IF($Y142="",0,1)</f>
        <v>0</v>
      </c>
      <c r="BJ142" s="56">
        <f>IF($AB142="",0,1)</f>
        <v>0</v>
      </c>
      <c r="BK142" s="56">
        <f>IF(AND($BH142=1,$W142&lt;&gt;"OK"),1,0)</f>
        <v>0</v>
      </c>
      <c r="BL142" s="55">
        <f>IF(N($AZ142)=0,0,IFERROR(INDEX($AT$6:$AT$1005,MATCH($AZ142,$AY$6:$AY$1005,0)),0))</f>
        <v>1187.10688</v>
      </c>
      <c r="BM142" s="56">
        <f>IF(ISNUMBER(SEARCH("daily max loss",$BG142)),1,0)</f>
        <v>0</v>
      </c>
    </row>
    <row r="143" ht="18" customHeight="1">
      <c r="A143" s="38" t="n"/>
      <c r="B143" s="39" t="n"/>
      <c r="C143" s="40" t="n"/>
      <c r="D143" s="41" t="n"/>
      <c r="E143" s="41" t="n"/>
      <c r="F143" s="41" t="n"/>
      <c r="G143" s="41" t="n"/>
      <c r="H143" s="42" t="n"/>
      <c r="I143" s="42" t="n"/>
      <c r="J143" s="42" t="n"/>
      <c r="K143" s="42" t="n"/>
      <c r="L143" s="41" t="n"/>
      <c r="M143" s="41" t="n"/>
      <c r="N143" s="41" t="n"/>
      <c r="O143" s="43" t="n"/>
      <c r="P143" s="43" t="n"/>
      <c r="Q143" s="44" t="str">
        <f>IF($AM143=0,"",IF(ISNUMBER($AK143),$AK143-N($AL143),""))</f>
        <v/>
      </c>
      <c r="R143" s="45" t="str">
        <f>IF(OR($Q143="",NOT(ISNUMBER($V143))),"",$AK143/$V143)</f>
        <v/>
      </c>
      <c r="S143" s="46" t="str">
        <f>IF($Q143="","",IF(AND(ISNUMBER($R143),ABS(N($R143))&lt;N(Settings!$C$8)),"Scratch",IF($Q143&gt;0,"Win",IF($Q143&lt;0,"Loss","Scratch"))))</f>
        <v/>
      </c>
      <c r="T143" s="47" t="str">
        <f>IF(OR($AM143=0,NOT(ISNUMBER($H143)),NOT(ISNUMBER($I143)),NOT(ISNUMBER($J143))),"",IF($H143=$I143,"",ROUND(ABS($J143-$H143)/ABS($H143-$I143),6)))</f>
        <v/>
      </c>
      <c r="U143" s="48" t="str">
        <f>IF(OR($S143&lt;&gt;"Win",NOT(ISNUMBER($T143)),NOT(ISNUMBER($R143))),"",MAX(0,$T143-$R143))</f>
        <v/>
      </c>
      <c r="V143" s="49" t="str">
        <f>IF(OR($AM143=0,NOT(ISNUMBER($H143)),NOT(ISNUMBER($I143)),NOT(ISNUMBER($G143))),"",IF(OR($AG143="",$AH143=""),"",IF(ROUND(ABS($H143-$I143)*ABS($G143)*$AG143*$AH143,6)=0,"",ROUND(ABS($H143-$I143)*ABS($G143)*$AG143*$AH143,6))))</f>
        <v/>
      </c>
      <c r="W143" s="50" t="str">
        <f>IF($AM143=0,"",IF($BG143="","OK",LEFT($BG143,LEN($BG143)-2)))</f>
        <v/>
      </c>
      <c r="X143" s="41" t="n"/>
      <c r="Y143" s="40" t="n"/>
      <c r="Z143" s="41" t="n"/>
      <c r="AA143" s="41" t="n"/>
      <c r="AB143" s="40" t="n"/>
      <c r="AC143" s="51" t="n"/>
      <c r="AD143" s="51" t="n"/>
      <c r="AE143" s="40" t="n"/>
      <c r="AF143" s="52" t="str">
        <f>IF($AM143=0,"",IF($D143&lt;&gt;"",$D143,IF(IFERROR(INDEX(Accounts!$C$7:$C$16,MATCH($C143,Accounts!$B$7:$B$16,0))&amp;"","")&lt;&gt;"",INDEX(Accounts!$C$7:$C$16,MATCH($C143,Accounts!$B$7:$B$16,0)),Settings!$C$6)))</f>
        <v/>
      </c>
      <c r="AG143" s="53" t="str">
        <f>IF($AM143=0,"",IF(AND($BE143&gt;0,N(INDEX(Instruments!$D$6:$D$205,MAX(1,$BE143)))&gt;0),INDEX(Instruments!$D$6:$D$205,MAX(1,$BE143)),IF(N(INDEX(Settings!$D$14:$D$18,$BF143))&gt;0,INDEX(Settings!$D$14:$D$18,$BF143),"")))</f>
        <v/>
      </c>
      <c r="AH143" s="54" t="str">
        <f>IF($AM143=0,"",IF($AF143&lt;&gt;"Forex",1,IF(MID(UPPER(SUBSTITUTE(TRIM($E143),"/","")),4,3)=UPPER(TRIM(Settings!$C$7)),1,IF(LEFT(UPPER(SUBSTITUTE(TRIM($E143),"/","")),3)=UPPER(TRIM(Settings!$C$7)),IF(AND(ISNUMBER($K143),N($K143)&lt;&gt;0),1/$K143,""),""))))</f>
        <v/>
      </c>
      <c r="AI143" s="55" t="str">
        <f>IF($AM143=0,"",IF(OR(NOT(ISNUMBER($H143)),NOT(ISNUMBER($K143)),NOT(ISNUMBER($G143)),$AG143="",$AH143=""),"",ROUND(($K143-$H143)*IF($F143="Short",-1,1)*$G143*$AG143*$AH143,6)))</f>
        <v/>
      </c>
      <c r="AJ143" s="55" t="str">
        <f>IF($AM143=0,"",IF(INDEX(Settings!$E$14:$E$18,$BF143)="% of notional",IF(OR($AG143="",NOT(ISNUMBER($H143)),NOT(ISNUMBER($G143))),"",ROUND(ABS($H143*$G143*$AG143*N($AH143))*IF($L143="Limit",N(INDEX(Settings!$G$14:$G$18,$BF143)),N(INDEX(Settings!$H$14:$H$18,$BF143)))+IF(ISNUMBER($K143),ABS($K143*$G143*$AG143*N($AH143))*IF($M143="Target",N(INDEX(Settings!$G$14:$G$18,$BF143)),N(INDEX(Settings!$H$14:$H$18,$BF143))),0),6)),IF(NOT(ISNUMBER($G143)),"",ROUND(ABS($G143)*2*IF(AND($BE143&gt;0,ISNUMBER(INDEX(Instruments!$G$6:$G$205,MAX(1,$BE143)))),INDEX(Instruments!$G$6:$G$205,MAX(1,$BE143)),N(INDEX(Settings!$F$14:$F$18,$BF143))),6))))</f>
        <v/>
      </c>
      <c r="AK143" s="55" t="str">
        <f>IF($AM143=0,"",IF(ISNUMBER($O143),$O143,$AI143))</f>
        <v/>
      </c>
      <c r="AL143" s="55" t="str">
        <f>IF($AM143=0,"",IF(ISNUMBER($P143),$P143,N($AJ143)))</f>
        <v/>
      </c>
      <c r="AM143" s="56">
        <f>IF(AND($A143&lt;&gt;"",$E143&lt;&gt;"",OR(AND(ISNUMBER($G143),ISNUMBER($H143),ISNUMBER($K143)),ISNUMBER($O143))),1,0)</f>
        <v>0</v>
      </c>
      <c r="AN143" s="57" t="str">
        <f>IF($A143="","",$A143-WEEKDAY($A143,3))</f>
        <v/>
      </c>
      <c r="AO143" s="56" t="str">
        <f>IF($A143="","",WEEKDAY($A143,2))</f>
        <v/>
      </c>
      <c r="AP143" s="55" t="str">
        <f>IF(OR($AM143=0,$C143=""),"",IFERROR(N(INDEX(Accounts!$E$7:$E$16,MATCH($C143,Accounts!$B$7:$B$16,0))),0)+SUMIFS($Q$6:$Q143,$C$6:$C143,$C143))</f>
        <v/>
      </c>
      <c r="AQ143" s="55" t="str">
        <f>IF(OR($AM143=0,$C143=""),"",SUMIFS($Q$6:$Q$1005,$C$6:$C$1005,$C143,$A$6:$A$1005,$A143))</f>
        <v/>
      </c>
      <c r="AR143" s="55" t="str">
        <f>IF(OR($AM143=0,$C143=""),"",IFERROR(N(INDEX(Accounts!$E$7:$E$16,MATCH($C143,Accounts!$B$7:$B$16,0))),0)+SUMIFS($Q$6:$Q$1005,$C$6:$C$1005,$C143,$A$6:$A$1005,"&lt;="&amp;$A143))</f>
        <v/>
      </c>
      <c r="AS143" s="56">
        <f>IF(OR($AM143=0,$Q143=""),0,IF(AND($A143&gt;=Lists!$W$6,$A143&lt;=Lists!$W$7,OR(Dashboard!$D$6="All accounts",$C143=Dashboard!$D$6),OR(Dashboard!$D$7="All markets",$AF143=Dashboard!$D$7)),1,0))</f>
        <v>0</v>
      </c>
      <c r="AT143" s="55">
        <f>IF($AS143=1,N(AT142)+$Q143,N(AT142))</f>
        <v>1187.10688</v>
      </c>
      <c r="AU143" s="55">
        <f>MAX(N(AU142),$AT143)</f>
        <v>1187.10688</v>
      </c>
      <c r="AV143" s="55">
        <f>$AT143-$AU143</f>
        <v>0</v>
      </c>
      <c r="AW143" s="56">
        <f>IF($AS143=1,IF($S143="Win",N(AW142)+1,IF($S143="Loss",0,N(AW142))),N(AW142))</f>
        <v>5</v>
      </c>
      <c r="AX143" s="56">
        <f>IF($AS143=1,IF($S143="Loss",N(AX142)+1,IF($S143="Win",0,N(AX142))),N(AX142))</f>
        <v>0</v>
      </c>
      <c r="AY143" s="56" t="str">
        <f>IF($AS143=1,COUNTIF($AS$6:$AS143,1),"")</f>
        <v/>
      </c>
      <c r="AZ143" s="56">
        <f>MIN(137,N(Lists!$W$8))</f>
        <v>28</v>
      </c>
      <c r="BA143" s="56">
        <f>IF($AS143=1,IF(COUNTIFS($A$6:$A143,$A143,$AS$6:$AS143,1)=1,1,0),0)</f>
        <v>0</v>
      </c>
      <c r="BB143" s="55" t="str">
        <f>IF($BA143=1,SUMIFS($Q$6:$Q$1005,$A$6:$A$1005,$A143,$AS$6:$AS$1005,1),"")</f>
        <v/>
      </c>
      <c r="BC143" s="56">
        <f>IF(ISNUMBER($R143),1,0)</f>
        <v>0</v>
      </c>
      <c r="BD143" s="55" t="str">
        <f>IF(ISNUMBER($U143),$U143*$V143,"")</f>
        <v/>
      </c>
      <c r="BE143" s="56" t="str">
        <f>IF($AM143=0,"",IFERROR(MATCH($AF143&amp;"|"&amp;UPPER(TRIM($E143)),Lists!$A$6:$A$205,0),0))</f>
        <v/>
      </c>
      <c r="BF143" s="56" t="str">
        <f>IF($AM143=0,"",IFERROR(MATCH($AF143,Settings!$B$14:$B$18,0),IFERROR(MATCH(Settings!$C$6,Settings!$B$14:$B$18,0),1)))</f>
        <v/>
      </c>
      <c r="BG143" s="58" t="str">
        <f>IF($AM143=0,"",IF(NOT(ISNUMBER($I143)),"No stop; ","")&amp;IF(AND(ISNUMBER($H143),ISNUMBER($I143)),IF(OR(AND($F143&lt;&gt;"Short",$I143&gt;=$H143),AND($F143="Short",$I143&lt;=$H143)),"Stop on wrong side; ",""),"")&amp;IF($F143="","No direction; ","")&amp;IF(AND(ISNUMBER(Settings!$C$22),ISNUMBER($V143)),IF($V143&gt;Settings!$C$22,"Risk over max $; ",""),"")&amp;IF(AND(ISNUMBER(Settings!$C$23),ISNUMBER($V143),ISNUMBER($AP143),IFERROR(N(INDEX(Accounts!$E$7:$E$16,MATCH($C143,Accounts!$B$7:$B$16,0))),0)&gt;0),IF($V143&gt;Settings!$C$23*($AP143-N($Q143)),"Risk over max %; ",""),"")&amp;IF(AND(ISNUMBER(Settings!$C$24),ISNUMBER($N143)),IF($N143&gt;Settings!$C$24,"Leverage over max; ",""),"")&amp;IF(AND(ISNUMBER(Settings!$C$27),ISNUMBER($T143)),IF($T143&lt;Settings!$C$27,"R:R below min; ",""),"")&amp;IF(ISNUMBER(Settings!$C$25),IF(COUNTIFS($A$6:$A143,$A143,$AM$6:$AM143,1)&gt;Settings!$C$25,"Over max trades/day; ",""),"")&amp;IF(ISNUMBER(Settings!$C$26),IF(SUMIFS($Q$5:$Q142,$A$5:$A142,$A143)&lt;=-Settings!$C$26,"Traded after daily max loss; ",""),"")&amp;IF(AND($AG143="",NOT(ISNUMBER($O143))),"Symbol not in Instruments; ","")&amp;IF(AND($AH143="",NOT(ISNUMBER($O143))),"Forex cross: type Gross P&amp;L; ",""))</f>
        <v/>
      </c>
      <c r="BH143" s="56">
        <f>IF(ISNUMBER($Q143),1,0)</f>
        <v>0</v>
      </c>
      <c r="BI143" s="56">
        <f>IF($Y143="",0,1)</f>
        <v>0</v>
      </c>
      <c r="BJ143" s="56">
        <f>IF($AB143="",0,1)</f>
        <v>0</v>
      </c>
      <c r="BK143" s="56">
        <f>IF(AND($BH143=1,$W143&lt;&gt;"OK"),1,0)</f>
        <v>0</v>
      </c>
      <c r="BL143" s="55">
        <f>IF(N($AZ143)=0,0,IFERROR(INDEX($AT$6:$AT$1005,MATCH($AZ143,$AY$6:$AY$1005,0)),0))</f>
        <v>1187.10688</v>
      </c>
      <c r="BM143" s="56">
        <f>IF(ISNUMBER(SEARCH("daily max loss",$BG143)),1,0)</f>
        <v>0</v>
      </c>
    </row>
    <row r="144" ht="18" customHeight="1">
      <c r="A144" s="38" t="n"/>
      <c r="B144" s="39" t="n"/>
      <c r="C144" s="40" t="n"/>
      <c r="D144" s="41" t="n"/>
      <c r="E144" s="41" t="n"/>
      <c r="F144" s="41" t="n"/>
      <c r="G144" s="41" t="n"/>
      <c r="H144" s="42" t="n"/>
      <c r="I144" s="42" t="n"/>
      <c r="J144" s="42" t="n"/>
      <c r="K144" s="42" t="n"/>
      <c r="L144" s="41" t="n"/>
      <c r="M144" s="41" t="n"/>
      <c r="N144" s="41" t="n"/>
      <c r="O144" s="43" t="n"/>
      <c r="P144" s="43" t="n"/>
      <c r="Q144" s="44" t="str">
        <f>IF($AM144=0,"",IF(ISNUMBER($AK144),$AK144-N($AL144),""))</f>
        <v/>
      </c>
      <c r="R144" s="45" t="str">
        <f>IF(OR($Q144="",NOT(ISNUMBER($V144))),"",$AK144/$V144)</f>
        <v/>
      </c>
      <c r="S144" s="46" t="str">
        <f>IF($Q144="","",IF(AND(ISNUMBER($R144),ABS(N($R144))&lt;N(Settings!$C$8)),"Scratch",IF($Q144&gt;0,"Win",IF($Q144&lt;0,"Loss","Scratch"))))</f>
        <v/>
      </c>
      <c r="T144" s="47" t="str">
        <f>IF(OR($AM144=0,NOT(ISNUMBER($H144)),NOT(ISNUMBER($I144)),NOT(ISNUMBER($J144))),"",IF($H144=$I144,"",ROUND(ABS($J144-$H144)/ABS($H144-$I144),6)))</f>
        <v/>
      </c>
      <c r="U144" s="48" t="str">
        <f>IF(OR($S144&lt;&gt;"Win",NOT(ISNUMBER($T144)),NOT(ISNUMBER($R144))),"",MAX(0,$T144-$R144))</f>
        <v/>
      </c>
      <c r="V144" s="49" t="str">
        <f>IF(OR($AM144=0,NOT(ISNUMBER($H144)),NOT(ISNUMBER($I144)),NOT(ISNUMBER($G144))),"",IF(OR($AG144="",$AH144=""),"",IF(ROUND(ABS($H144-$I144)*ABS($G144)*$AG144*$AH144,6)=0,"",ROUND(ABS($H144-$I144)*ABS($G144)*$AG144*$AH144,6))))</f>
        <v/>
      </c>
      <c r="W144" s="50" t="str">
        <f>IF($AM144=0,"",IF($BG144="","OK",LEFT($BG144,LEN($BG144)-2)))</f>
        <v/>
      </c>
      <c r="X144" s="41" t="n"/>
      <c r="Y144" s="40" t="n"/>
      <c r="Z144" s="41" t="n"/>
      <c r="AA144" s="41" t="n"/>
      <c r="AB144" s="40" t="n"/>
      <c r="AC144" s="51" t="n"/>
      <c r="AD144" s="51" t="n"/>
      <c r="AE144" s="40" t="n"/>
      <c r="AF144" s="52" t="str">
        <f>IF($AM144=0,"",IF($D144&lt;&gt;"",$D144,IF(IFERROR(INDEX(Accounts!$C$7:$C$16,MATCH($C144,Accounts!$B$7:$B$16,0))&amp;"","")&lt;&gt;"",INDEX(Accounts!$C$7:$C$16,MATCH($C144,Accounts!$B$7:$B$16,0)),Settings!$C$6)))</f>
        <v/>
      </c>
      <c r="AG144" s="53" t="str">
        <f>IF($AM144=0,"",IF(AND($BE144&gt;0,N(INDEX(Instruments!$D$6:$D$205,MAX(1,$BE144)))&gt;0),INDEX(Instruments!$D$6:$D$205,MAX(1,$BE144)),IF(N(INDEX(Settings!$D$14:$D$18,$BF144))&gt;0,INDEX(Settings!$D$14:$D$18,$BF144),"")))</f>
        <v/>
      </c>
      <c r="AH144" s="54" t="str">
        <f>IF($AM144=0,"",IF($AF144&lt;&gt;"Forex",1,IF(MID(UPPER(SUBSTITUTE(TRIM($E144),"/","")),4,3)=UPPER(TRIM(Settings!$C$7)),1,IF(LEFT(UPPER(SUBSTITUTE(TRIM($E144),"/","")),3)=UPPER(TRIM(Settings!$C$7)),IF(AND(ISNUMBER($K144),N($K144)&lt;&gt;0),1/$K144,""),""))))</f>
        <v/>
      </c>
      <c r="AI144" s="55" t="str">
        <f>IF($AM144=0,"",IF(OR(NOT(ISNUMBER($H144)),NOT(ISNUMBER($K144)),NOT(ISNUMBER($G144)),$AG144="",$AH144=""),"",ROUND(($K144-$H144)*IF($F144="Short",-1,1)*$G144*$AG144*$AH144,6)))</f>
        <v/>
      </c>
      <c r="AJ144" s="55" t="str">
        <f>IF($AM144=0,"",IF(INDEX(Settings!$E$14:$E$18,$BF144)="% of notional",IF(OR($AG144="",NOT(ISNUMBER($H144)),NOT(ISNUMBER($G144))),"",ROUND(ABS($H144*$G144*$AG144*N($AH144))*IF($L144="Limit",N(INDEX(Settings!$G$14:$G$18,$BF144)),N(INDEX(Settings!$H$14:$H$18,$BF144)))+IF(ISNUMBER($K144),ABS($K144*$G144*$AG144*N($AH144))*IF($M144="Target",N(INDEX(Settings!$G$14:$G$18,$BF144)),N(INDEX(Settings!$H$14:$H$18,$BF144))),0),6)),IF(NOT(ISNUMBER($G144)),"",ROUND(ABS($G144)*2*IF(AND($BE144&gt;0,ISNUMBER(INDEX(Instruments!$G$6:$G$205,MAX(1,$BE144)))),INDEX(Instruments!$G$6:$G$205,MAX(1,$BE144)),N(INDEX(Settings!$F$14:$F$18,$BF144))),6))))</f>
        <v/>
      </c>
      <c r="AK144" s="55" t="str">
        <f>IF($AM144=0,"",IF(ISNUMBER($O144),$O144,$AI144))</f>
        <v/>
      </c>
      <c r="AL144" s="55" t="str">
        <f>IF($AM144=0,"",IF(ISNUMBER($P144),$P144,N($AJ144)))</f>
        <v/>
      </c>
      <c r="AM144" s="56">
        <f>IF(AND($A144&lt;&gt;"",$E144&lt;&gt;"",OR(AND(ISNUMBER($G144),ISNUMBER($H144),ISNUMBER($K144)),ISNUMBER($O144))),1,0)</f>
        <v>0</v>
      </c>
      <c r="AN144" s="57" t="str">
        <f>IF($A144="","",$A144-WEEKDAY($A144,3))</f>
        <v/>
      </c>
      <c r="AO144" s="56" t="str">
        <f>IF($A144="","",WEEKDAY($A144,2))</f>
        <v/>
      </c>
      <c r="AP144" s="55" t="str">
        <f>IF(OR($AM144=0,$C144=""),"",IFERROR(N(INDEX(Accounts!$E$7:$E$16,MATCH($C144,Accounts!$B$7:$B$16,0))),0)+SUMIFS($Q$6:$Q144,$C$6:$C144,$C144))</f>
        <v/>
      </c>
      <c r="AQ144" s="55" t="str">
        <f>IF(OR($AM144=0,$C144=""),"",SUMIFS($Q$6:$Q$1005,$C$6:$C$1005,$C144,$A$6:$A$1005,$A144))</f>
        <v/>
      </c>
      <c r="AR144" s="55" t="str">
        <f>IF(OR($AM144=0,$C144=""),"",IFERROR(N(INDEX(Accounts!$E$7:$E$16,MATCH($C144,Accounts!$B$7:$B$16,0))),0)+SUMIFS($Q$6:$Q$1005,$C$6:$C$1005,$C144,$A$6:$A$1005,"&lt;="&amp;$A144))</f>
        <v/>
      </c>
      <c r="AS144" s="56">
        <f>IF(OR($AM144=0,$Q144=""),0,IF(AND($A144&gt;=Lists!$W$6,$A144&lt;=Lists!$W$7,OR(Dashboard!$D$6="All accounts",$C144=Dashboard!$D$6),OR(Dashboard!$D$7="All markets",$AF144=Dashboard!$D$7)),1,0))</f>
        <v>0</v>
      </c>
      <c r="AT144" s="55">
        <f>IF($AS144=1,N(AT143)+$Q144,N(AT143))</f>
        <v>1187.10688</v>
      </c>
      <c r="AU144" s="55">
        <f>MAX(N(AU143),$AT144)</f>
        <v>1187.10688</v>
      </c>
      <c r="AV144" s="55">
        <f>$AT144-$AU144</f>
        <v>0</v>
      </c>
      <c r="AW144" s="56">
        <f>IF($AS144=1,IF($S144="Win",N(AW143)+1,IF($S144="Loss",0,N(AW143))),N(AW143))</f>
        <v>5</v>
      </c>
      <c r="AX144" s="56">
        <f>IF($AS144=1,IF($S144="Loss",N(AX143)+1,IF($S144="Win",0,N(AX143))),N(AX143))</f>
        <v>0</v>
      </c>
      <c r="AY144" s="56" t="str">
        <f>IF($AS144=1,COUNTIF($AS$6:$AS144,1),"")</f>
        <v/>
      </c>
      <c r="AZ144" s="56">
        <f>MIN(138,N(Lists!$W$8))</f>
        <v>28</v>
      </c>
      <c r="BA144" s="56">
        <f>IF($AS144=1,IF(COUNTIFS($A$6:$A144,$A144,$AS$6:$AS144,1)=1,1,0),0)</f>
        <v>0</v>
      </c>
      <c r="BB144" s="55" t="str">
        <f>IF($BA144=1,SUMIFS($Q$6:$Q$1005,$A$6:$A$1005,$A144,$AS$6:$AS$1005,1),"")</f>
        <v/>
      </c>
      <c r="BC144" s="56">
        <f>IF(ISNUMBER($R144),1,0)</f>
        <v>0</v>
      </c>
      <c r="BD144" s="55" t="str">
        <f>IF(ISNUMBER($U144),$U144*$V144,"")</f>
        <v/>
      </c>
      <c r="BE144" s="56" t="str">
        <f>IF($AM144=0,"",IFERROR(MATCH($AF144&amp;"|"&amp;UPPER(TRIM($E144)),Lists!$A$6:$A$205,0),0))</f>
        <v/>
      </c>
      <c r="BF144" s="56" t="str">
        <f>IF($AM144=0,"",IFERROR(MATCH($AF144,Settings!$B$14:$B$18,0),IFERROR(MATCH(Settings!$C$6,Settings!$B$14:$B$18,0),1)))</f>
        <v/>
      </c>
      <c r="BG144" s="58" t="str">
        <f>IF($AM144=0,"",IF(NOT(ISNUMBER($I144)),"No stop; ","")&amp;IF(AND(ISNUMBER($H144),ISNUMBER($I144)),IF(OR(AND($F144&lt;&gt;"Short",$I144&gt;=$H144),AND($F144="Short",$I144&lt;=$H144)),"Stop on wrong side; ",""),"")&amp;IF($F144="","No direction; ","")&amp;IF(AND(ISNUMBER(Settings!$C$22),ISNUMBER($V144)),IF($V144&gt;Settings!$C$22,"Risk over max $; ",""),"")&amp;IF(AND(ISNUMBER(Settings!$C$23),ISNUMBER($V144),ISNUMBER($AP144),IFERROR(N(INDEX(Accounts!$E$7:$E$16,MATCH($C144,Accounts!$B$7:$B$16,0))),0)&gt;0),IF($V144&gt;Settings!$C$23*($AP144-N($Q144)),"Risk over max %; ",""),"")&amp;IF(AND(ISNUMBER(Settings!$C$24),ISNUMBER($N144)),IF($N144&gt;Settings!$C$24,"Leverage over max; ",""),"")&amp;IF(AND(ISNUMBER(Settings!$C$27),ISNUMBER($T144)),IF($T144&lt;Settings!$C$27,"R:R below min; ",""),"")&amp;IF(ISNUMBER(Settings!$C$25),IF(COUNTIFS($A$6:$A144,$A144,$AM$6:$AM144,1)&gt;Settings!$C$25,"Over max trades/day; ",""),"")&amp;IF(ISNUMBER(Settings!$C$26),IF(SUMIFS($Q$5:$Q143,$A$5:$A143,$A144)&lt;=-Settings!$C$26,"Traded after daily max loss; ",""),"")&amp;IF(AND($AG144="",NOT(ISNUMBER($O144))),"Symbol not in Instruments; ","")&amp;IF(AND($AH144="",NOT(ISNUMBER($O144))),"Forex cross: type Gross P&amp;L; ",""))</f>
        <v/>
      </c>
      <c r="BH144" s="56">
        <f>IF(ISNUMBER($Q144),1,0)</f>
        <v>0</v>
      </c>
      <c r="BI144" s="56">
        <f>IF($Y144="",0,1)</f>
        <v>0</v>
      </c>
      <c r="BJ144" s="56">
        <f>IF($AB144="",0,1)</f>
        <v>0</v>
      </c>
      <c r="BK144" s="56">
        <f>IF(AND($BH144=1,$W144&lt;&gt;"OK"),1,0)</f>
        <v>0</v>
      </c>
      <c r="BL144" s="55">
        <f>IF(N($AZ144)=0,0,IFERROR(INDEX($AT$6:$AT$1005,MATCH($AZ144,$AY$6:$AY$1005,0)),0))</f>
        <v>1187.10688</v>
      </c>
      <c r="BM144" s="56">
        <f>IF(ISNUMBER(SEARCH("daily max loss",$BG144)),1,0)</f>
        <v>0</v>
      </c>
    </row>
    <row r="145" ht="18" customHeight="1">
      <c r="A145" s="38" t="n"/>
      <c r="B145" s="39" t="n"/>
      <c r="C145" s="40" t="n"/>
      <c r="D145" s="41" t="n"/>
      <c r="E145" s="41" t="n"/>
      <c r="F145" s="41" t="n"/>
      <c r="G145" s="41" t="n"/>
      <c r="H145" s="42" t="n"/>
      <c r="I145" s="42" t="n"/>
      <c r="J145" s="42" t="n"/>
      <c r="K145" s="42" t="n"/>
      <c r="L145" s="41" t="n"/>
      <c r="M145" s="41" t="n"/>
      <c r="N145" s="41" t="n"/>
      <c r="O145" s="43" t="n"/>
      <c r="P145" s="43" t="n"/>
      <c r="Q145" s="44" t="str">
        <f>IF($AM145=0,"",IF(ISNUMBER($AK145),$AK145-N($AL145),""))</f>
        <v/>
      </c>
      <c r="R145" s="45" t="str">
        <f>IF(OR($Q145="",NOT(ISNUMBER($V145))),"",$AK145/$V145)</f>
        <v/>
      </c>
      <c r="S145" s="46" t="str">
        <f>IF($Q145="","",IF(AND(ISNUMBER($R145),ABS(N($R145))&lt;N(Settings!$C$8)),"Scratch",IF($Q145&gt;0,"Win",IF($Q145&lt;0,"Loss","Scratch"))))</f>
        <v/>
      </c>
      <c r="T145" s="47" t="str">
        <f>IF(OR($AM145=0,NOT(ISNUMBER($H145)),NOT(ISNUMBER($I145)),NOT(ISNUMBER($J145))),"",IF($H145=$I145,"",ROUND(ABS($J145-$H145)/ABS($H145-$I145),6)))</f>
        <v/>
      </c>
      <c r="U145" s="48" t="str">
        <f>IF(OR($S145&lt;&gt;"Win",NOT(ISNUMBER($T145)),NOT(ISNUMBER($R145))),"",MAX(0,$T145-$R145))</f>
        <v/>
      </c>
      <c r="V145" s="49" t="str">
        <f>IF(OR($AM145=0,NOT(ISNUMBER($H145)),NOT(ISNUMBER($I145)),NOT(ISNUMBER($G145))),"",IF(OR($AG145="",$AH145=""),"",IF(ROUND(ABS($H145-$I145)*ABS($G145)*$AG145*$AH145,6)=0,"",ROUND(ABS($H145-$I145)*ABS($G145)*$AG145*$AH145,6))))</f>
        <v/>
      </c>
      <c r="W145" s="50" t="str">
        <f>IF($AM145=0,"",IF($BG145="","OK",LEFT($BG145,LEN($BG145)-2)))</f>
        <v/>
      </c>
      <c r="X145" s="41" t="n"/>
      <c r="Y145" s="40" t="n"/>
      <c r="Z145" s="41" t="n"/>
      <c r="AA145" s="41" t="n"/>
      <c r="AB145" s="40" t="n"/>
      <c r="AC145" s="51" t="n"/>
      <c r="AD145" s="51" t="n"/>
      <c r="AE145" s="40" t="n"/>
      <c r="AF145" s="52" t="str">
        <f>IF($AM145=0,"",IF($D145&lt;&gt;"",$D145,IF(IFERROR(INDEX(Accounts!$C$7:$C$16,MATCH($C145,Accounts!$B$7:$B$16,0))&amp;"","")&lt;&gt;"",INDEX(Accounts!$C$7:$C$16,MATCH($C145,Accounts!$B$7:$B$16,0)),Settings!$C$6)))</f>
        <v/>
      </c>
      <c r="AG145" s="53" t="str">
        <f>IF($AM145=0,"",IF(AND($BE145&gt;0,N(INDEX(Instruments!$D$6:$D$205,MAX(1,$BE145)))&gt;0),INDEX(Instruments!$D$6:$D$205,MAX(1,$BE145)),IF(N(INDEX(Settings!$D$14:$D$18,$BF145))&gt;0,INDEX(Settings!$D$14:$D$18,$BF145),"")))</f>
        <v/>
      </c>
      <c r="AH145" s="54" t="str">
        <f>IF($AM145=0,"",IF($AF145&lt;&gt;"Forex",1,IF(MID(UPPER(SUBSTITUTE(TRIM($E145),"/","")),4,3)=UPPER(TRIM(Settings!$C$7)),1,IF(LEFT(UPPER(SUBSTITUTE(TRIM($E145),"/","")),3)=UPPER(TRIM(Settings!$C$7)),IF(AND(ISNUMBER($K145),N($K145)&lt;&gt;0),1/$K145,""),""))))</f>
        <v/>
      </c>
      <c r="AI145" s="55" t="str">
        <f>IF($AM145=0,"",IF(OR(NOT(ISNUMBER($H145)),NOT(ISNUMBER($K145)),NOT(ISNUMBER($G145)),$AG145="",$AH145=""),"",ROUND(($K145-$H145)*IF($F145="Short",-1,1)*$G145*$AG145*$AH145,6)))</f>
        <v/>
      </c>
      <c r="AJ145" s="55" t="str">
        <f>IF($AM145=0,"",IF(INDEX(Settings!$E$14:$E$18,$BF145)="% of notional",IF(OR($AG145="",NOT(ISNUMBER($H145)),NOT(ISNUMBER($G145))),"",ROUND(ABS($H145*$G145*$AG145*N($AH145))*IF($L145="Limit",N(INDEX(Settings!$G$14:$G$18,$BF145)),N(INDEX(Settings!$H$14:$H$18,$BF145)))+IF(ISNUMBER($K145),ABS($K145*$G145*$AG145*N($AH145))*IF($M145="Target",N(INDEX(Settings!$G$14:$G$18,$BF145)),N(INDEX(Settings!$H$14:$H$18,$BF145))),0),6)),IF(NOT(ISNUMBER($G145)),"",ROUND(ABS($G145)*2*IF(AND($BE145&gt;0,ISNUMBER(INDEX(Instruments!$G$6:$G$205,MAX(1,$BE145)))),INDEX(Instruments!$G$6:$G$205,MAX(1,$BE145)),N(INDEX(Settings!$F$14:$F$18,$BF145))),6))))</f>
        <v/>
      </c>
      <c r="AK145" s="55" t="str">
        <f>IF($AM145=0,"",IF(ISNUMBER($O145),$O145,$AI145))</f>
        <v/>
      </c>
      <c r="AL145" s="55" t="str">
        <f>IF($AM145=0,"",IF(ISNUMBER($P145),$P145,N($AJ145)))</f>
        <v/>
      </c>
      <c r="AM145" s="56">
        <f>IF(AND($A145&lt;&gt;"",$E145&lt;&gt;"",OR(AND(ISNUMBER($G145),ISNUMBER($H145),ISNUMBER($K145)),ISNUMBER($O145))),1,0)</f>
        <v>0</v>
      </c>
      <c r="AN145" s="57" t="str">
        <f>IF($A145="","",$A145-WEEKDAY($A145,3))</f>
        <v/>
      </c>
      <c r="AO145" s="56" t="str">
        <f>IF($A145="","",WEEKDAY($A145,2))</f>
        <v/>
      </c>
      <c r="AP145" s="55" t="str">
        <f>IF(OR($AM145=0,$C145=""),"",IFERROR(N(INDEX(Accounts!$E$7:$E$16,MATCH($C145,Accounts!$B$7:$B$16,0))),0)+SUMIFS($Q$6:$Q145,$C$6:$C145,$C145))</f>
        <v/>
      </c>
      <c r="AQ145" s="55" t="str">
        <f>IF(OR($AM145=0,$C145=""),"",SUMIFS($Q$6:$Q$1005,$C$6:$C$1005,$C145,$A$6:$A$1005,$A145))</f>
        <v/>
      </c>
      <c r="AR145" s="55" t="str">
        <f>IF(OR($AM145=0,$C145=""),"",IFERROR(N(INDEX(Accounts!$E$7:$E$16,MATCH($C145,Accounts!$B$7:$B$16,0))),0)+SUMIFS($Q$6:$Q$1005,$C$6:$C$1005,$C145,$A$6:$A$1005,"&lt;="&amp;$A145))</f>
        <v/>
      </c>
      <c r="AS145" s="56">
        <f>IF(OR($AM145=0,$Q145=""),0,IF(AND($A145&gt;=Lists!$W$6,$A145&lt;=Lists!$W$7,OR(Dashboard!$D$6="All accounts",$C145=Dashboard!$D$6),OR(Dashboard!$D$7="All markets",$AF145=Dashboard!$D$7)),1,0))</f>
        <v>0</v>
      </c>
      <c r="AT145" s="55">
        <f>IF($AS145=1,N(AT144)+$Q145,N(AT144))</f>
        <v>1187.10688</v>
      </c>
      <c r="AU145" s="55">
        <f>MAX(N(AU144),$AT145)</f>
        <v>1187.10688</v>
      </c>
      <c r="AV145" s="55">
        <f>$AT145-$AU145</f>
        <v>0</v>
      </c>
      <c r="AW145" s="56">
        <f>IF($AS145=1,IF($S145="Win",N(AW144)+1,IF($S145="Loss",0,N(AW144))),N(AW144))</f>
        <v>5</v>
      </c>
      <c r="AX145" s="56">
        <f>IF($AS145=1,IF($S145="Loss",N(AX144)+1,IF($S145="Win",0,N(AX144))),N(AX144))</f>
        <v>0</v>
      </c>
      <c r="AY145" s="56" t="str">
        <f>IF($AS145=1,COUNTIF($AS$6:$AS145,1),"")</f>
        <v/>
      </c>
      <c r="AZ145" s="56">
        <f>MIN(139,N(Lists!$W$8))</f>
        <v>28</v>
      </c>
      <c r="BA145" s="56">
        <f>IF($AS145=1,IF(COUNTIFS($A$6:$A145,$A145,$AS$6:$AS145,1)=1,1,0),0)</f>
        <v>0</v>
      </c>
      <c r="BB145" s="55" t="str">
        <f>IF($BA145=1,SUMIFS($Q$6:$Q$1005,$A$6:$A$1005,$A145,$AS$6:$AS$1005,1),"")</f>
        <v/>
      </c>
      <c r="BC145" s="56">
        <f>IF(ISNUMBER($R145),1,0)</f>
        <v>0</v>
      </c>
      <c r="BD145" s="55" t="str">
        <f>IF(ISNUMBER($U145),$U145*$V145,"")</f>
        <v/>
      </c>
      <c r="BE145" s="56" t="str">
        <f>IF($AM145=0,"",IFERROR(MATCH($AF145&amp;"|"&amp;UPPER(TRIM($E145)),Lists!$A$6:$A$205,0),0))</f>
        <v/>
      </c>
      <c r="BF145" s="56" t="str">
        <f>IF($AM145=0,"",IFERROR(MATCH($AF145,Settings!$B$14:$B$18,0),IFERROR(MATCH(Settings!$C$6,Settings!$B$14:$B$18,0),1)))</f>
        <v/>
      </c>
      <c r="BG145" s="58" t="str">
        <f>IF($AM145=0,"",IF(NOT(ISNUMBER($I145)),"No stop; ","")&amp;IF(AND(ISNUMBER($H145),ISNUMBER($I145)),IF(OR(AND($F145&lt;&gt;"Short",$I145&gt;=$H145),AND($F145="Short",$I145&lt;=$H145)),"Stop on wrong side; ",""),"")&amp;IF($F145="","No direction; ","")&amp;IF(AND(ISNUMBER(Settings!$C$22),ISNUMBER($V145)),IF($V145&gt;Settings!$C$22,"Risk over max $; ",""),"")&amp;IF(AND(ISNUMBER(Settings!$C$23),ISNUMBER($V145),ISNUMBER($AP145),IFERROR(N(INDEX(Accounts!$E$7:$E$16,MATCH($C145,Accounts!$B$7:$B$16,0))),0)&gt;0),IF($V145&gt;Settings!$C$23*($AP145-N($Q145)),"Risk over max %; ",""),"")&amp;IF(AND(ISNUMBER(Settings!$C$24),ISNUMBER($N145)),IF($N145&gt;Settings!$C$24,"Leverage over max; ",""),"")&amp;IF(AND(ISNUMBER(Settings!$C$27),ISNUMBER($T145)),IF($T145&lt;Settings!$C$27,"R:R below min; ",""),"")&amp;IF(ISNUMBER(Settings!$C$25),IF(COUNTIFS($A$6:$A145,$A145,$AM$6:$AM145,1)&gt;Settings!$C$25,"Over max trades/day; ",""),"")&amp;IF(ISNUMBER(Settings!$C$26),IF(SUMIFS($Q$5:$Q144,$A$5:$A144,$A145)&lt;=-Settings!$C$26,"Traded after daily max loss; ",""),"")&amp;IF(AND($AG145="",NOT(ISNUMBER($O145))),"Symbol not in Instruments; ","")&amp;IF(AND($AH145="",NOT(ISNUMBER($O145))),"Forex cross: type Gross P&amp;L; ",""))</f>
        <v/>
      </c>
      <c r="BH145" s="56">
        <f>IF(ISNUMBER($Q145),1,0)</f>
        <v>0</v>
      </c>
      <c r="BI145" s="56">
        <f>IF($Y145="",0,1)</f>
        <v>0</v>
      </c>
      <c r="BJ145" s="56">
        <f>IF($AB145="",0,1)</f>
        <v>0</v>
      </c>
      <c r="BK145" s="56">
        <f>IF(AND($BH145=1,$W145&lt;&gt;"OK"),1,0)</f>
        <v>0</v>
      </c>
      <c r="BL145" s="55">
        <f>IF(N($AZ145)=0,0,IFERROR(INDEX($AT$6:$AT$1005,MATCH($AZ145,$AY$6:$AY$1005,0)),0))</f>
        <v>1187.10688</v>
      </c>
      <c r="BM145" s="56">
        <f>IF(ISNUMBER(SEARCH("daily max loss",$BG145)),1,0)</f>
        <v>0</v>
      </c>
    </row>
    <row r="146" ht="18" customHeight="1">
      <c r="A146" s="38" t="n"/>
      <c r="B146" s="39" t="n"/>
      <c r="C146" s="40" t="n"/>
      <c r="D146" s="41" t="n"/>
      <c r="E146" s="41" t="n"/>
      <c r="F146" s="41" t="n"/>
      <c r="G146" s="41" t="n"/>
      <c r="H146" s="42" t="n"/>
      <c r="I146" s="42" t="n"/>
      <c r="J146" s="42" t="n"/>
      <c r="K146" s="42" t="n"/>
      <c r="L146" s="41" t="n"/>
      <c r="M146" s="41" t="n"/>
      <c r="N146" s="41" t="n"/>
      <c r="O146" s="43" t="n"/>
      <c r="P146" s="43" t="n"/>
      <c r="Q146" s="44" t="str">
        <f>IF($AM146=0,"",IF(ISNUMBER($AK146),$AK146-N($AL146),""))</f>
        <v/>
      </c>
      <c r="R146" s="45" t="str">
        <f>IF(OR($Q146="",NOT(ISNUMBER($V146))),"",$AK146/$V146)</f>
        <v/>
      </c>
      <c r="S146" s="46" t="str">
        <f>IF($Q146="","",IF(AND(ISNUMBER($R146),ABS(N($R146))&lt;N(Settings!$C$8)),"Scratch",IF($Q146&gt;0,"Win",IF($Q146&lt;0,"Loss","Scratch"))))</f>
        <v/>
      </c>
      <c r="T146" s="47" t="str">
        <f>IF(OR($AM146=0,NOT(ISNUMBER($H146)),NOT(ISNUMBER($I146)),NOT(ISNUMBER($J146))),"",IF($H146=$I146,"",ROUND(ABS($J146-$H146)/ABS($H146-$I146),6)))</f>
        <v/>
      </c>
      <c r="U146" s="48" t="str">
        <f>IF(OR($S146&lt;&gt;"Win",NOT(ISNUMBER($T146)),NOT(ISNUMBER($R146))),"",MAX(0,$T146-$R146))</f>
        <v/>
      </c>
      <c r="V146" s="49" t="str">
        <f>IF(OR($AM146=0,NOT(ISNUMBER($H146)),NOT(ISNUMBER($I146)),NOT(ISNUMBER($G146))),"",IF(OR($AG146="",$AH146=""),"",IF(ROUND(ABS($H146-$I146)*ABS($G146)*$AG146*$AH146,6)=0,"",ROUND(ABS($H146-$I146)*ABS($G146)*$AG146*$AH146,6))))</f>
        <v/>
      </c>
      <c r="W146" s="50" t="str">
        <f>IF($AM146=0,"",IF($BG146="","OK",LEFT($BG146,LEN($BG146)-2)))</f>
        <v/>
      </c>
      <c r="X146" s="41" t="n"/>
      <c r="Y146" s="40" t="n"/>
      <c r="Z146" s="41" t="n"/>
      <c r="AA146" s="41" t="n"/>
      <c r="AB146" s="40" t="n"/>
      <c r="AC146" s="51" t="n"/>
      <c r="AD146" s="51" t="n"/>
      <c r="AE146" s="40" t="n"/>
      <c r="AF146" s="52" t="str">
        <f>IF($AM146=0,"",IF($D146&lt;&gt;"",$D146,IF(IFERROR(INDEX(Accounts!$C$7:$C$16,MATCH($C146,Accounts!$B$7:$B$16,0))&amp;"","")&lt;&gt;"",INDEX(Accounts!$C$7:$C$16,MATCH($C146,Accounts!$B$7:$B$16,0)),Settings!$C$6)))</f>
        <v/>
      </c>
      <c r="AG146" s="53" t="str">
        <f>IF($AM146=0,"",IF(AND($BE146&gt;0,N(INDEX(Instruments!$D$6:$D$205,MAX(1,$BE146)))&gt;0),INDEX(Instruments!$D$6:$D$205,MAX(1,$BE146)),IF(N(INDEX(Settings!$D$14:$D$18,$BF146))&gt;0,INDEX(Settings!$D$14:$D$18,$BF146),"")))</f>
        <v/>
      </c>
      <c r="AH146" s="54" t="str">
        <f>IF($AM146=0,"",IF($AF146&lt;&gt;"Forex",1,IF(MID(UPPER(SUBSTITUTE(TRIM($E146),"/","")),4,3)=UPPER(TRIM(Settings!$C$7)),1,IF(LEFT(UPPER(SUBSTITUTE(TRIM($E146),"/","")),3)=UPPER(TRIM(Settings!$C$7)),IF(AND(ISNUMBER($K146),N($K146)&lt;&gt;0),1/$K146,""),""))))</f>
        <v/>
      </c>
      <c r="AI146" s="55" t="str">
        <f>IF($AM146=0,"",IF(OR(NOT(ISNUMBER($H146)),NOT(ISNUMBER($K146)),NOT(ISNUMBER($G146)),$AG146="",$AH146=""),"",ROUND(($K146-$H146)*IF($F146="Short",-1,1)*$G146*$AG146*$AH146,6)))</f>
        <v/>
      </c>
      <c r="AJ146" s="55" t="str">
        <f>IF($AM146=0,"",IF(INDEX(Settings!$E$14:$E$18,$BF146)="% of notional",IF(OR($AG146="",NOT(ISNUMBER($H146)),NOT(ISNUMBER($G146))),"",ROUND(ABS($H146*$G146*$AG146*N($AH146))*IF($L146="Limit",N(INDEX(Settings!$G$14:$G$18,$BF146)),N(INDEX(Settings!$H$14:$H$18,$BF146)))+IF(ISNUMBER($K146),ABS($K146*$G146*$AG146*N($AH146))*IF($M146="Target",N(INDEX(Settings!$G$14:$G$18,$BF146)),N(INDEX(Settings!$H$14:$H$18,$BF146))),0),6)),IF(NOT(ISNUMBER($G146)),"",ROUND(ABS($G146)*2*IF(AND($BE146&gt;0,ISNUMBER(INDEX(Instruments!$G$6:$G$205,MAX(1,$BE146)))),INDEX(Instruments!$G$6:$G$205,MAX(1,$BE146)),N(INDEX(Settings!$F$14:$F$18,$BF146))),6))))</f>
        <v/>
      </c>
      <c r="AK146" s="55" t="str">
        <f>IF($AM146=0,"",IF(ISNUMBER($O146),$O146,$AI146))</f>
        <v/>
      </c>
      <c r="AL146" s="55" t="str">
        <f>IF($AM146=0,"",IF(ISNUMBER($P146),$P146,N($AJ146)))</f>
        <v/>
      </c>
      <c r="AM146" s="56">
        <f>IF(AND($A146&lt;&gt;"",$E146&lt;&gt;"",OR(AND(ISNUMBER($G146),ISNUMBER($H146),ISNUMBER($K146)),ISNUMBER($O146))),1,0)</f>
        <v>0</v>
      </c>
      <c r="AN146" s="57" t="str">
        <f>IF($A146="","",$A146-WEEKDAY($A146,3))</f>
        <v/>
      </c>
      <c r="AO146" s="56" t="str">
        <f>IF($A146="","",WEEKDAY($A146,2))</f>
        <v/>
      </c>
      <c r="AP146" s="55" t="str">
        <f>IF(OR($AM146=0,$C146=""),"",IFERROR(N(INDEX(Accounts!$E$7:$E$16,MATCH($C146,Accounts!$B$7:$B$16,0))),0)+SUMIFS($Q$6:$Q146,$C$6:$C146,$C146))</f>
        <v/>
      </c>
      <c r="AQ146" s="55" t="str">
        <f>IF(OR($AM146=0,$C146=""),"",SUMIFS($Q$6:$Q$1005,$C$6:$C$1005,$C146,$A$6:$A$1005,$A146))</f>
        <v/>
      </c>
      <c r="AR146" s="55" t="str">
        <f>IF(OR($AM146=0,$C146=""),"",IFERROR(N(INDEX(Accounts!$E$7:$E$16,MATCH($C146,Accounts!$B$7:$B$16,0))),0)+SUMIFS($Q$6:$Q$1005,$C$6:$C$1005,$C146,$A$6:$A$1005,"&lt;="&amp;$A146))</f>
        <v/>
      </c>
      <c r="AS146" s="56">
        <f>IF(OR($AM146=0,$Q146=""),0,IF(AND($A146&gt;=Lists!$W$6,$A146&lt;=Lists!$W$7,OR(Dashboard!$D$6="All accounts",$C146=Dashboard!$D$6),OR(Dashboard!$D$7="All markets",$AF146=Dashboard!$D$7)),1,0))</f>
        <v>0</v>
      </c>
      <c r="AT146" s="55">
        <f>IF($AS146=1,N(AT145)+$Q146,N(AT145))</f>
        <v>1187.10688</v>
      </c>
      <c r="AU146" s="55">
        <f>MAX(N(AU145),$AT146)</f>
        <v>1187.10688</v>
      </c>
      <c r="AV146" s="55">
        <f>$AT146-$AU146</f>
        <v>0</v>
      </c>
      <c r="AW146" s="56">
        <f>IF($AS146=1,IF($S146="Win",N(AW145)+1,IF($S146="Loss",0,N(AW145))),N(AW145))</f>
        <v>5</v>
      </c>
      <c r="AX146" s="56">
        <f>IF($AS146=1,IF($S146="Loss",N(AX145)+1,IF($S146="Win",0,N(AX145))),N(AX145))</f>
        <v>0</v>
      </c>
      <c r="AY146" s="56" t="str">
        <f>IF($AS146=1,COUNTIF($AS$6:$AS146,1),"")</f>
        <v/>
      </c>
      <c r="AZ146" s="56">
        <f>MIN(140,N(Lists!$W$8))</f>
        <v>28</v>
      </c>
      <c r="BA146" s="56">
        <f>IF($AS146=1,IF(COUNTIFS($A$6:$A146,$A146,$AS$6:$AS146,1)=1,1,0),0)</f>
        <v>0</v>
      </c>
      <c r="BB146" s="55" t="str">
        <f>IF($BA146=1,SUMIFS($Q$6:$Q$1005,$A$6:$A$1005,$A146,$AS$6:$AS$1005,1),"")</f>
        <v/>
      </c>
      <c r="BC146" s="56">
        <f>IF(ISNUMBER($R146),1,0)</f>
        <v>0</v>
      </c>
      <c r="BD146" s="55" t="str">
        <f>IF(ISNUMBER($U146),$U146*$V146,"")</f>
        <v/>
      </c>
      <c r="BE146" s="56" t="str">
        <f>IF($AM146=0,"",IFERROR(MATCH($AF146&amp;"|"&amp;UPPER(TRIM($E146)),Lists!$A$6:$A$205,0),0))</f>
        <v/>
      </c>
      <c r="BF146" s="56" t="str">
        <f>IF($AM146=0,"",IFERROR(MATCH($AF146,Settings!$B$14:$B$18,0),IFERROR(MATCH(Settings!$C$6,Settings!$B$14:$B$18,0),1)))</f>
        <v/>
      </c>
      <c r="BG146" s="58" t="str">
        <f>IF($AM146=0,"",IF(NOT(ISNUMBER($I146)),"No stop; ","")&amp;IF(AND(ISNUMBER($H146),ISNUMBER($I146)),IF(OR(AND($F146&lt;&gt;"Short",$I146&gt;=$H146),AND($F146="Short",$I146&lt;=$H146)),"Stop on wrong side; ",""),"")&amp;IF($F146="","No direction; ","")&amp;IF(AND(ISNUMBER(Settings!$C$22),ISNUMBER($V146)),IF($V146&gt;Settings!$C$22,"Risk over max $; ",""),"")&amp;IF(AND(ISNUMBER(Settings!$C$23),ISNUMBER($V146),ISNUMBER($AP146),IFERROR(N(INDEX(Accounts!$E$7:$E$16,MATCH($C146,Accounts!$B$7:$B$16,0))),0)&gt;0),IF($V146&gt;Settings!$C$23*($AP146-N($Q146)),"Risk over max %; ",""),"")&amp;IF(AND(ISNUMBER(Settings!$C$24),ISNUMBER($N146)),IF($N146&gt;Settings!$C$24,"Leverage over max; ",""),"")&amp;IF(AND(ISNUMBER(Settings!$C$27),ISNUMBER($T146)),IF($T146&lt;Settings!$C$27,"R:R below min; ",""),"")&amp;IF(ISNUMBER(Settings!$C$25),IF(COUNTIFS($A$6:$A146,$A146,$AM$6:$AM146,1)&gt;Settings!$C$25,"Over max trades/day; ",""),"")&amp;IF(ISNUMBER(Settings!$C$26),IF(SUMIFS($Q$5:$Q145,$A$5:$A145,$A146)&lt;=-Settings!$C$26,"Traded after daily max loss; ",""),"")&amp;IF(AND($AG146="",NOT(ISNUMBER($O146))),"Symbol not in Instruments; ","")&amp;IF(AND($AH146="",NOT(ISNUMBER($O146))),"Forex cross: type Gross P&amp;L; ",""))</f>
        <v/>
      </c>
      <c r="BH146" s="56">
        <f>IF(ISNUMBER($Q146),1,0)</f>
        <v>0</v>
      </c>
      <c r="BI146" s="56">
        <f>IF($Y146="",0,1)</f>
        <v>0</v>
      </c>
      <c r="BJ146" s="56">
        <f>IF($AB146="",0,1)</f>
        <v>0</v>
      </c>
      <c r="BK146" s="56">
        <f>IF(AND($BH146=1,$W146&lt;&gt;"OK"),1,0)</f>
        <v>0</v>
      </c>
      <c r="BL146" s="55">
        <f>IF(N($AZ146)=0,0,IFERROR(INDEX($AT$6:$AT$1005,MATCH($AZ146,$AY$6:$AY$1005,0)),0))</f>
        <v>1187.10688</v>
      </c>
      <c r="BM146" s="56">
        <f>IF(ISNUMBER(SEARCH("daily max loss",$BG146)),1,0)</f>
        <v>0</v>
      </c>
    </row>
    <row r="147" ht="18" customHeight="1">
      <c r="A147" s="38" t="n"/>
      <c r="B147" s="39" t="n"/>
      <c r="C147" s="40" t="n"/>
      <c r="D147" s="41" t="n"/>
      <c r="E147" s="41" t="n"/>
      <c r="F147" s="41" t="n"/>
      <c r="G147" s="41" t="n"/>
      <c r="H147" s="42" t="n"/>
      <c r="I147" s="42" t="n"/>
      <c r="J147" s="42" t="n"/>
      <c r="K147" s="42" t="n"/>
      <c r="L147" s="41" t="n"/>
      <c r="M147" s="41" t="n"/>
      <c r="N147" s="41" t="n"/>
      <c r="O147" s="43" t="n"/>
      <c r="P147" s="43" t="n"/>
      <c r="Q147" s="44" t="str">
        <f>IF($AM147=0,"",IF(ISNUMBER($AK147),$AK147-N($AL147),""))</f>
        <v/>
      </c>
      <c r="R147" s="45" t="str">
        <f>IF(OR($Q147="",NOT(ISNUMBER($V147))),"",$AK147/$V147)</f>
        <v/>
      </c>
      <c r="S147" s="46" t="str">
        <f>IF($Q147="","",IF(AND(ISNUMBER($R147),ABS(N($R147))&lt;N(Settings!$C$8)),"Scratch",IF($Q147&gt;0,"Win",IF($Q147&lt;0,"Loss","Scratch"))))</f>
        <v/>
      </c>
      <c r="T147" s="47" t="str">
        <f>IF(OR($AM147=0,NOT(ISNUMBER($H147)),NOT(ISNUMBER($I147)),NOT(ISNUMBER($J147))),"",IF($H147=$I147,"",ROUND(ABS($J147-$H147)/ABS($H147-$I147),6)))</f>
        <v/>
      </c>
      <c r="U147" s="48" t="str">
        <f>IF(OR($S147&lt;&gt;"Win",NOT(ISNUMBER($T147)),NOT(ISNUMBER($R147))),"",MAX(0,$T147-$R147))</f>
        <v/>
      </c>
      <c r="V147" s="49" t="str">
        <f>IF(OR($AM147=0,NOT(ISNUMBER($H147)),NOT(ISNUMBER($I147)),NOT(ISNUMBER($G147))),"",IF(OR($AG147="",$AH147=""),"",IF(ROUND(ABS($H147-$I147)*ABS($G147)*$AG147*$AH147,6)=0,"",ROUND(ABS($H147-$I147)*ABS($G147)*$AG147*$AH147,6))))</f>
        <v/>
      </c>
      <c r="W147" s="50" t="str">
        <f>IF($AM147=0,"",IF($BG147="","OK",LEFT($BG147,LEN($BG147)-2)))</f>
        <v/>
      </c>
      <c r="X147" s="41" t="n"/>
      <c r="Y147" s="40" t="n"/>
      <c r="Z147" s="41" t="n"/>
      <c r="AA147" s="41" t="n"/>
      <c r="AB147" s="40" t="n"/>
      <c r="AC147" s="51" t="n"/>
      <c r="AD147" s="51" t="n"/>
      <c r="AE147" s="40" t="n"/>
      <c r="AF147" s="52" t="str">
        <f>IF($AM147=0,"",IF($D147&lt;&gt;"",$D147,IF(IFERROR(INDEX(Accounts!$C$7:$C$16,MATCH($C147,Accounts!$B$7:$B$16,0))&amp;"","")&lt;&gt;"",INDEX(Accounts!$C$7:$C$16,MATCH($C147,Accounts!$B$7:$B$16,0)),Settings!$C$6)))</f>
        <v/>
      </c>
      <c r="AG147" s="53" t="str">
        <f>IF($AM147=0,"",IF(AND($BE147&gt;0,N(INDEX(Instruments!$D$6:$D$205,MAX(1,$BE147)))&gt;0),INDEX(Instruments!$D$6:$D$205,MAX(1,$BE147)),IF(N(INDEX(Settings!$D$14:$D$18,$BF147))&gt;0,INDEX(Settings!$D$14:$D$18,$BF147),"")))</f>
        <v/>
      </c>
      <c r="AH147" s="54" t="str">
        <f>IF($AM147=0,"",IF($AF147&lt;&gt;"Forex",1,IF(MID(UPPER(SUBSTITUTE(TRIM($E147),"/","")),4,3)=UPPER(TRIM(Settings!$C$7)),1,IF(LEFT(UPPER(SUBSTITUTE(TRIM($E147),"/","")),3)=UPPER(TRIM(Settings!$C$7)),IF(AND(ISNUMBER($K147),N($K147)&lt;&gt;0),1/$K147,""),""))))</f>
        <v/>
      </c>
      <c r="AI147" s="55" t="str">
        <f>IF($AM147=0,"",IF(OR(NOT(ISNUMBER($H147)),NOT(ISNUMBER($K147)),NOT(ISNUMBER($G147)),$AG147="",$AH147=""),"",ROUND(($K147-$H147)*IF($F147="Short",-1,1)*$G147*$AG147*$AH147,6)))</f>
        <v/>
      </c>
      <c r="AJ147" s="55" t="str">
        <f>IF($AM147=0,"",IF(INDEX(Settings!$E$14:$E$18,$BF147)="% of notional",IF(OR($AG147="",NOT(ISNUMBER($H147)),NOT(ISNUMBER($G147))),"",ROUND(ABS($H147*$G147*$AG147*N($AH147))*IF($L147="Limit",N(INDEX(Settings!$G$14:$G$18,$BF147)),N(INDEX(Settings!$H$14:$H$18,$BF147)))+IF(ISNUMBER($K147),ABS($K147*$G147*$AG147*N($AH147))*IF($M147="Target",N(INDEX(Settings!$G$14:$G$18,$BF147)),N(INDEX(Settings!$H$14:$H$18,$BF147))),0),6)),IF(NOT(ISNUMBER($G147)),"",ROUND(ABS($G147)*2*IF(AND($BE147&gt;0,ISNUMBER(INDEX(Instruments!$G$6:$G$205,MAX(1,$BE147)))),INDEX(Instruments!$G$6:$G$205,MAX(1,$BE147)),N(INDEX(Settings!$F$14:$F$18,$BF147))),6))))</f>
        <v/>
      </c>
      <c r="AK147" s="55" t="str">
        <f>IF($AM147=0,"",IF(ISNUMBER($O147),$O147,$AI147))</f>
        <v/>
      </c>
      <c r="AL147" s="55" t="str">
        <f>IF($AM147=0,"",IF(ISNUMBER($P147),$P147,N($AJ147)))</f>
        <v/>
      </c>
      <c r="AM147" s="56">
        <f>IF(AND($A147&lt;&gt;"",$E147&lt;&gt;"",OR(AND(ISNUMBER($G147),ISNUMBER($H147),ISNUMBER($K147)),ISNUMBER($O147))),1,0)</f>
        <v>0</v>
      </c>
      <c r="AN147" s="57" t="str">
        <f>IF($A147="","",$A147-WEEKDAY($A147,3))</f>
        <v/>
      </c>
      <c r="AO147" s="56" t="str">
        <f>IF($A147="","",WEEKDAY($A147,2))</f>
        <v/>
      </c>
      <c r="AP147" s="55" t="str">
        <f>IF(OR($AM147=0,$C147=""),"",IFERROR(N(INDEX(Accounts!$E$7:$E$16,MATCH($C147,Accounts!$B$7:$B$16,0))),0)+SUMIFS($Q$6:$Q147,$C$6:$C147,$C147))</f>
        <v/>
      </c>
      <c r="AQ147" s="55" t="str">
        <f>IF(OR($AM147=0,$C147=""),"",SUMIFS($Q$6:$Q$1005,$C$6:$C$1005,$C147,$A$6:$A$1005,$A147))</f>
        <v/>
      </c>
      <c r="AR147" s="55" t="str">
        <f>IF(OR($AM147=0,$C147=""),"",IFERROR(N(INDEX(Accounts!$E$7:$E$16,MATCH($C147,Accounts!$B$7:$B$16,0))),0)+SUMIFS($Q$6:$Q$1005,$C$6:$C$1005,$C147,$A$6:$A$1005,"&lt;="&amp;$A147))</f>
        <v/>
      </c>
      <c r="AS147" s="56">
        <f>IF(OR($AM147=0,$Q147=""),0,IF(AND($A147&gt;=Lists!$W$6,$A147&lt;=Lists!$W$7,OR(Dashboard!$D$6="All accounts",$C147=Dashboard!$D$6),OR(Dashboard!$D$7="All markets",$AF147=Dashboard!$D$7)),1,0))</f>
        <v>0</v>
      </c>
      <c r="AT147" s="55">
        <f>IF($AS147=1,N(AT146)+$Q147,N(AT146))</f>
        <v>1187.10688</v>
      </c>
      <c r="AU147" s="55">
        <f>MAX(N(AU146),$AT147)</f>
        <v>1187.10688</v>
      </c>
      <c r="AV147" s="55">
        <f>$AT147-$AU147</f>
        <v>0</v>
      </c>
      <c r="AW147" s="56">
        <f>IF($AS147=1,IF($S147="Win",N(AW146)+1,IF($S147="Loss",0,N(AW146))),N(AW146))</f>
        <v>5</v>
      </c>
      <c r="AX147" s="56">
        <f>IF($AS147=1,IF($S147="Loss",N(AX146)+1,IF($S147="Win",0,N(AX146))),N(AX146))</f>
        <v>0</v>
      </c>
      <c r="AY147" s="56" t="str">
        <f>IF($AS147=1,COUNTIF($AS$6:$AS147,1),"")</f>
        <v/>
      </c>
      <c r="AZ147" s="56">
        <f>MIN(141,N(Lists!$W$8))</f>
        <v>28</v>
      </c>
      <c r="BA147" s="56">
        <f>IF($AS147=1,IF(COUNTIFS($A$6:$A147,$A147,$AS$6:$AS147,1)=1,1,0),0)</f>
        <v>0</v>
      </c>
      <c r="BB147" s="55" t="str">
        <f>IF($BA147=1,SUMIFS($Q$6:$Q$1005,$A$6:$A$1005,$A147,$AS$6:$AS$1005,1),"")</f>
        <v/>
      </c>
      <c r="BC147" s="56">
        <f>IF(ISNUMBER($R147),1,0)</f>
        <v>0</v>
      </c>
      <c r="BD147" s="55" t="str">
        <f>IF(ISNUMBER($U147),$U147*$V147,"")</f>
        <v/>
      </c>
      <c r="BE147" s="56" t="str">
        <f>IF($AM147=0,"",IFERROR(MATCH($AF147&amp;"|"&amp;UPPER(TRIM($E147)),Lists!$A$6:$A$205,0),0))</f>
        <v/>
      </c>
      <c r="BF147" s="56" t="str">
        <f>IF($AM147=0,"",IFERROR(MATCH($AF147,Settings!$B$14:$B$18,0),IFERROR(MATCH(Settings!$C$6,Settings!$B$14:$B$18,0),1)))</f>
        <v/>
      </c>
      <c r="BG147" s="58" t="str">
        <f>IF($AM147=0,"",IF(NOT(ISNUMBER($I147)),"No stop; ","")&amp;IF(AND(ISNUMBER($H147),ISNUMBER($I147)),IF(OR(AND($F147&lt;&gt;"Short",$I147&gt;=$H147),AND($F147="Short",$I147&lt;=$H147)),"Stop on wrong side; ",""),"")&amp;IF($F147="","No direction; ","")&amp;IF(AND(ISNUMBER(Settings!$C$22),ISNUMBER($V147)),IF($V147&gt;Settings!$C$22,"Risk over max $; ",""),"")&amp;IF(AND(ISNUMBER(Settings!$C$23),ISNUMBER($V147),ISNUMBER($AP147),IFERROR(N(INDEX(Accounts!$E$7:$E$16,MATCH($C147,Accounts!$B$7:$B$16,0))),0)&gt;0),IF($V147&gt;Settings!$C$23*($AP147-N($Q147)),"Risk over max %; ",""),"")&amp;IF(AND(ISNUMBER(Settings!$C$24),ISNUMBER($N147)),IF($N147&gt;Settings!$C$24,"Leverage over max; ",""),"")&amp;IF(AND(ISNUMBER(Settings!$C$27),ISNUMBER($T147)),IF($T147&lt;Settings!$C$27,"R:R below min; ",""),"")&amp;IF(ISNUMBER(Settings!$C$25),IF(COUNTIFS($A$6:$A147,$A147,$AM$6:$AM147,1)&gt;Settings!$C$25,"Over max trades/day; ",""),"")&amp;IF(ISNUMBER(Settings!$C$26),IF(SUMIFS($Q$5:$Q146,$A$5:$A146,$A147)&lt;=-Settings!$C$26,"Traded after daily max loss; ",""),"")&amp;IF(AND($AG147="",NOT(ISNUMBER($O147))),"Symbol not in Instruments; ","")&amp;IF(AND($AH147="",NOT(ISNUMBER($O147))),"Forex cross: type Gross P&amp;L; ",""))</f>
        <v/>
      </c>
      <c r="BH147" s="56">
        <f>IF(ISNUMBER($Q147),1,0)</f>
        <v>0</v>
      </c>
      <c r="BI147" s="56">
        <f>IF($Y147="",0,1)</f>
        <v>0</v>
      </c>
      <c r="BJ147" s="56">
        <f>IF($AB147="",0,1)</f>
        <v>0</v>
      </c>
      <c r="BK147" s="56">
        <f>IF(AND($BH147=1,$W147&lt;&gt;"OK"),1,0)</f>
        <v>0</v>
      </c>
      <c r="BL147" s="55">
        <f>IF(N($AZ147)=0,0,IFERROR(INDEX($AT$6:$AT$1005,MATCH($AZ147,$AY$6:$AY$1005,0)),0))</f>
        <v>1187.10688</v>
      </c>
      <c r="BM147" s="56">
        <f>IF(ISNUMBER(SEARCH("daily max loss",$BG147)),1,0)</f>
        <v>0</v>
      </c>
    </row>
    <row r="148" ht="18" customHeight="1">
      <c r="A148" s="38" t="n"/>
      <c r="B148" s="39" t="n"/>
      <c r="C148" s="40" t="n"/>
      <c r="D148" s="41" t="n"/>
      <c r="E148" s="41" t="n"/>
      <c r="F148" s="41" t="n"/>
      <c r="G148" s="41" t="n"/>
      <c r="H148" s="42" t="n"/>
      <c r="I148" s="42" t="n"/>
      <c r="J148" s="42" t="n"/>
      <c r="K148" s="42" t="n"/>
      <c r="L148" s="41" t="n"/>
      <c r="M148" s="41" t="n"/>
      <c r="N148" s="41" t="n"/>
      <c r="O148" s="43" t="n"/>
      <c r="P148" s="43" t="n"/>
      <c r="Q148" s="44" t="str">
        <f>IF($AM148=0,"",IF(ISNUMBER($AK148),$AK148-N($AL148),""))</f>
        <v/>
      </c>
      <c r="R148" s="45" t="str">
        <f>IF(OR($Q148="",NOT(ISNUMBER($V148))),"",$AK148/$V148)</f>
        <v/>
      </c>
      <c r="S148" s="46" t="str">
        <f>IF($Q148="","",IF(AND(ISNUMBER($R148),ABS(N($R148))&lt;N(Settings!$C$8)),"Scratch",IF($Q148&gt;0,"Win",IF($Q148&lt;0,"Loss","Scratch"))))</f>
        <v/>
      </c>
      <c r="T148" s="47" t="str">
        <f>IF(OR($AM148=0,NOT(ISNUMBER($H148)),NOT(ISNUMBER($I148)),NOT(ISNUMBER($J148))),"",IF($H148=$I148,"",ROUND(ABS($J148-$H148)/ABS($H148-$I148),6)))</f>
        <v/>
      </c>
      <c r="U148" s="48" t="str">
        <f>IF(OR($S148&lt;&gt;"Win",NOT(ISNUMBER($T148)),NOT(ISNUMBER($R148))),"",MAX(0,$T148-$R148))</f>
        <v/>
      </c>
      <c r="V148" s="49" t="str">
        <f>IF(OR($AM148=0,NOT(ISNUMBER($H148)),NOT(ISNUMBER($I148)),NOT(ISNUMBER($G148))),"",IF(OR($AG148="",$AH148=""),"",IF(ROUND(ABS($H148-$I148)*ABS($G148)*$AG148*$AH148,6)=0,"",ROUND(ABS($H148-$I148)*ABS($G148)*$AG148*$AH148,6))))</f>
        <v/>
      </c>
      <c r="W148" s="50" t="str">
        <f>IF($AM148=0,"",IF($BG148="","OK",LEFT($BG148,LEN($BG148)-2)))</f>
        <v/>
      </c>
      <c r="X148" s="41" t="n"/>
      <c r="Y148" s="40" t="n"/>
      <c r="Z148" s="41" t="n"/>
      <c r="AA148" s="41" t="n"/>
      <c r="AB148" s="40" t="n"/>
      <c r="AC148" s="51" t="n"/>
      <c r="AD148" s="51" t="n"/>
      <c r="AE148" s="40" t="n"/>
      <c r="AF148" s="52" t="str">
        <f>IF($AM148=0,"",IF($D148&lt;&gt;"",$D148,IF(IFERROR(INDEX(Accounts!$C$7:$C$16,MATCH($C148,Accounts!$B$7:$B$16,0))&amp;"","")&lt;&gt;"",INDEX(Accounts!$C$7:$C$16,MATCH($C148,Accounts!$B$7:$B$16,0)),Settings!$C$6)))</f>
        <v/>
      </c>
      <c r="AG148" s="53" t="str">
        <f>IF($AM148=0,"",IF(AND($BE148&gt;0,N(INDEX(Instruments!$D$6:$D$205,MAX(1,$BE148)))&gt;0),INDEX(Instruments!$D$6:$D$205,MAX(1,$BE148)),IF(N(INDEX(Settings!$D$14:$D$18,$BF148))&gt;0,INDEX(Settings!$D$14:$D$18,$BF148),"")))</f>
        <v/>
      </c>
      <c r="AH148" s="54" t="str">
        <f>IF($AM148=0,"",IF($AF148&lt;&gt;"Forex",1,IF(MID(UPPER(SUBSTITUTE(TRIM($E148),"/","")),4,3)=UPPER(TRIM(Settings!$C$7)),1,IF(LEFT(UPPER(SUBSTITUTE(TRIM($E148),"/","")),3)=UPPER(TRIM(Settings!$C$7)),IF(AND(ISNUMBER($K148),N($K148)&lt;&gt;0),1/$K148,""),""))))</f>
        <v/>
      </c>
      <c r="AI148" s="55" t="str">
        <f>IF($AM148=0,"",IF(OR(NOT(ISNUMBER($H148)),NOT(ISNUMBER($K148)),NOT(ISNUMBER($G148)),$AG148="",$AH148=""),"",ROUND(($K148-$H148)*IF($F148="Short",-1,1)*$G148*$AG148*$AH148,6)))</f>
        <v/>
      </c>
      <c r="AJ148" s="55" t="str">
        <f>IF($AM148=0,"",IF(INDEX(Settings!$E$14:$E$18,$BF148)="% of notional",IF(OR($AG148="",NOT(ISNUMBER($H148)),NOT(ISNUMBER($G148))),"",ROUND(ABS($H148*$G148*$AG148*N($AH148))*IF($L148="Limit",N(INDEX(Settings!$G$14:$G$18,$BF148)),N(INDEX(Settings!$H$14:$H$18,$BF148)))+IF(ISNUMBER($K148),ABS($K148*$G148*$AG148*N($AH148))*IF($M148="Target",N(INDEX(Settings!$G$14:$G$18,$BF148)),N(INDEX(Settings!$H$14:$H$18,$BF148))),0),6)),IF(NOT(ISNUMBER($G148)),"",ROUND(ABS($G148)*2*IF(AND($BE148&gt;0,ISNUMBER(INDEX(Instruments!$G$6:$G$205,MAX(1,$BE148)))),INDEX(Instruments!$G$6:$G$205,MAX(1,$BE148)),N(INDEX(Settings!$F$14:$F$18,$BF148))),6))))</f>
        <v/>
      </c>
      <c r="AK148" s="55" t="str">
        <f>IF($AM148=0,"",IF(ISNUMBER($O148),$O148,$AI148))</f>
        <v/>
      </c>
      <c r="AL148" s="55" t="str">
        <f>IF($AM148=0,"",IF(ISNUMBER($P148),$P148,N($AJ148)))</f>
        <v/>
      </c>
      <c r="AM148" s="56">
        <f>IF(AND($A148&lt;&gt;"",$E148&lt;&gt;"",OR(AND(ISNUMBER($G148),ISNUMBER($H148),ISNUMBER($K148)),ISNUMBER($O148))),1,0)</f>
        <v>0</v>
      </c>
      <c r="AN148" s="57" t="str">
        <f>IF($A148="","",$A148-WEEKDAY($A148,3))</f>
        <v/>
      </c>
      <c r="AO148" s="56" t="str">
        <f>IF($A148="","",WEEKDAY($A148,2))</f>
        <v/>
      </c>
      <c r="AP148" s="55" t="str">
        <f>IF(OR($AM148=0,$C148=""),"",IFERROR(N(INDEX(Accounts!$E$7:$E$16,MATCH($C148,Accounts!$B$7:$B$16,0))),0)+SUMIFS($Q$6:$Q148,$C$6:$C148,$C148))</f>
        <v/>
      </c>
      <c r="AQ148" s="55" t="str">
        <f>IF(OR($AM148=0,$C148=""),"",SUMIFS($Q$6:$Q$1005,$C$6:$C$1005,$C148,$A$6:$A$1005,$A148))</f>
        <v/>
      </c>
      <c r="AR148" s="55" t="str">
        <f>IF(OR($AM148=0,$C148=""),"",IFERROR(N(INDEX(Accounts!$E$7:$E$16,MATCH($C148,Accounts!$B$7:$B$16,0))),0)+SUMIFS($Q$6:$Q$1005,$C$6:$C$1005,$C148,$A$6:$A$1005,"&lt;="&amp;$A148))</f>
        <v/>
      </c>
      <c r="AS148" s="56">
        <f>IF(OR($AM148=0,$Q148=""),0,IF(AND($A148&gt;=Lists!$W$6,$A148&lt;=Lists!$W$7,OR(Dashboard!$D$6="All accounts",$C148=Dashboard!$D$6),OR(Dashboard!$D$7="All markets",$AF148=Dashboard!$D$7)),1,0))</f>
        <v>0</v>
      </c>
      <c r="AT148" s="55">
        <f>IF($AS148=1,N(AT147)+$Q148,N(AT147))</f>
        <v>1187.10688</v>
      </c>
      <c r="AU148" s="55">
        <f>MAX(N(AU147),$AT148)</f>
        <v>1187.10688</v>
      </c>
      <c r="AV148" s="55">
        <f>$AT148-$AU148</f>
        <v>0</v>
      </c>
      <c r="AW148" s="56">
        <f>IF($AS148=1,IF($S148="Win",N(AW147)+1,IF($S148="Loss",0,N(AW147))),N(AW147))</f>
        <v>5</v>
      </c>
      <c r="AX148" s="56">
        <f>IF($AS148=1,IF($S148="Loss",N(AX147)+1,IF($S148="Win",0,N(AX147))),N(AX147))</f>
        <v>0</v>
      </c>
      <c r="AY148" s="56" t="str">
        <f>IF($AS148=1,COUNTIF($AS$6:$AS148,1),"")</f>
        <v/>
      </c>
      <c r="AZ148" s="56">
        <f>MIN(142,N(Lists!$W$8))</f>
        <v>28</v>
      </c>
      <c r="BA148" s="56">
        <f>IF($AS148=1,IF(COUNTIFS($A$6:$A148,$A148,$AS$6:$AS148,1)=1,1,0),0)</f>
        <v>0</v>
      </c>
      <c r="BB148" s="55" t="str">
        <f>IF($BA148=1,SUMIFS($Q$6:$Q$1005,$A$6:$A$1005,$A148,$AS$6:$AS$1005,1),"")</f>
        <v/>
      </c>
      <c r="BC148" s="56">
        <f>IF(ISNUMBER($R148),1,0)</f>
        <v>0</v>
      </c>
      <c r="BD148" s="55" t="str">
        <f>IF(ISNUMBER($U148),$U148*$V148,"")</f>
        <v/>
      </c>
      <c r="BE148" s="56" t="str">
        <f>IF($AM148=0,"",IFERROR(MATCH($AF148&amp;"|"&amp;UPPER(TRIM($E148)),Lists!$A$6:$A$205,0),0))</f>
        <v/>
      </c>
      <c r="BF148" s="56" t="str">
        <f>IF($AM148=0,"",IFERROR(MATCH($AF148,Settings!$B$14:$B$18,0),IFERROR(MATCH(Settings!$C$6,Settings!$B$14:$B$18,0),1)))</f>
        <v/>
      </c>
      <c r="BG148" s="58" t="str">
        <f>IF($AM148=0,"",IF(NOT(ISNUMBER($I148)),"No stop; ","")&amp;IF(AND(ISNUMBER($H148),ISNUMBER($I148)),IF(OR(AND($F148&lt;&gt;"Short",$I148&gt;=$H148),AND($F148="Short",$I148&lt;=$H148)),"Stop on wrong side; ",""),"")&amp;IF($F148="","No direction; ","")&amp;IF(AND(ISNUMBER(Settings!$C$22),ISNUMBER($V148)),IF($V148&gt;Settings!$C$22,"Risk over max $; ",""),"")&amp;IF(AND(ISNUMBER(Settings!$C$23),ISNUMBER($V148),ISNUMBER($AP148),IFERROR(N(INDEX(Accounts!$E$7:$E$16,MATCH($C148,Accounts!$B$7:$B$16,0))),0)&gt;0),IF($V148&gt;Settings!$C$23*($AP148-N($Q148)),"Risk over max %; ",""),"")&amp;IF(AND(ISNUMBER(Settings!$C$24),ISNUMBER($N148)),IF($N148&gt;Settings!$C$24,"Leverage over max; ",""),"")&amp;IF(AND(ISNUMBER(Settings!$C$27),ISNUMBER($T148)),IF($T148&lt;Settings!$C$27,"R:R below min; ",""),"")&amp;IF(ISNUMBER(Settings!$C$25),IF(COUNTIFS($A$6:$A148,$A148,$AM$6:$AM148,1)&gt;Settings!$C$25,"Over max trades/day; ",""),"")&amp;IF(ISNUMBER(Settings!$C$26),IF(SUMIFS($Q$5:$Q147,$A$5:$A147,$A148)&lt;=-Settings!$C$26,"Traded after daily max loss; ",""),"")&amp;IF(AND($AG148="",NOT(ISNUMBER($O148))),"Symbol not in Instruments; ","")&amp;IF(AND($AH148="",NOT(ISNUMBER($O148))),"Forex cross: type Gross P&amp;L; ",""))</f>
        <v/>
      </c>
      <c r="BH148" s="56">
        <f>IF(ISNUMBER($Q148),1,0)</f>
        <v>0</v>
      </c>
      <c r="BI148" s="56">
        <f>IF($Y148="",0,1)</f>
        <v>0</v>
      </c>
      <c r="BJ148" s="56">
        <f>IF($AB148="",0,1)</f>
        <v>0</v>
      </c>
      <c r="BK148" s="56">
        <f>IF(AND($BH148=1,$W148&lt;&gt;"OK"),1,0)</f>
        <v>0</v>
      </c>
      <c r="BL148" s="55">
        <f>IF(N($AZ148)=0,0,IFERROR(INDEX($AT$6:$AT$1005,MATCH($AZ148,$AY$6:$AY$1005,0)),0))</f>
        <v>1187.10688</v>
      </c>
      <c r="BM148" s="56">
        <f>IF(ISNUMBER(SEARCH("daily max loss",$BG148)),1,0)</f>
        <v>0</v>
      </c>
    </row>
    <row r="149" ht="18" customHeight="1">
      <c r="A149" s="38" t="n"/>
      <c r="B149" s="39" t="n"/>
      <c r="C149" s="40" t="n"/>
      <c r="D149" s="41" t="n"/>
      <c r="E149" s="41" t="n"/>
      <c r="F149" s="41" t="n"/>
      <c r="G149" s="41" t="n"/>
      <c r="H149" s="42" t="n"/>
      <c r="I149" s="42" t="n"/>
      <c r="J149" s="42" t="n"/>
      <c r="K149" s="42" t="n"/>
      <c r="L149" s="41" t="n"/>
      <c r="M149" s="41" t="n"/>
      <c r="N149" s="41" t="n"/>
      <c r="O149" s="43" t="n"/>
      <c r="P149" s="43" t="n"/>
      <c r="Q149" s="44" t="str">
        <f>IF($AM149=0,"",IF(ISNUMBER($AK149),$AK149-N($AL149),""))</f>
        <v/>
      </c>
      <c r="R149" s="45" t="str">
        <f>IF(OR($Q149="",NOT(ISNUMBER($V149))),"",$AK149/$V149)</f>
        <v/>
      </c>
      <c r="S149" s="46" t="str">
        <f>IF($Q149="","",IF(AND(ISNUMBER($R149),ABS(N($R149))&lt;N(Settings!$C$8)),"Scratch",IF($Q149&gt;0,"Win",IF($Q149&lt;0,"Loss","Scratch"))))</f>
        <v/>
      </c>
      <c r="T149" s="47" t="str">
        <f>IF(OR($AM149=0,NOT(ISNUMBER($H149)),NOT(ISNUMBER($I149)),NOT(ISNUMBER($J149))),"",IF($H149=$I149,"",ROUND(ABS($J149-$H149)/ABS($H149-$I149),6)))</f>
        <v/>
      </c>
      <c r="U149" s="48" t="str">
        <f>IF(OR($S149&lt;&gt;"Win",NOT(ISNUMBER($T149)),NOT(ISNUMBER($R149))),"",MAX(0,$T149-$R149))</f>
        <v/>
      </c>
      <c r="V149" s="49" t="str">
        <f>IF(OR($AM149=0,NOT(ISNUMBER($H149)),NOT(ISNUMBER($I149)),NOT(ISNUMBER($G149))),"",IF(OR($AG149="",$AH149=""),"",IF(ROUND(ABS($H149-$I149)*ABS($G149)*$AG149*$AH149,6)=0,"",ROUND(ABS($H149-$I149)*ABS($G149)*$AG149*$AH149,6))))</f>
        <v/>
      </c>
      <c r="W149" s="50" t="str">
        <f>IF($AM149=0,"",IF($BG149="","OK",LEFT($BG149,LEN($BG149)-2)))</f>
        <v/>
      </c>
      <c r="X149" s="41" t="n"/>
      <c r="Y149" s="40" t="n"/>
      <c r="Z149" s="41" t="n"/>
      <c r="AA149" s="41" t="n"/>
      <c r="AB149" s="40" t="n"/>
      <c r="AC149" s="51" t="n"/>
      <c r="AD149" s="51" t="n"/>
      <c r="AE149" s="40" t="n"/>
      <c r="AF149" s="52" t="str">
        <f>IF($AM149=0,"",IF($D149&lt;&gt;"",$D149,IF(IFERROR(INDEX(Accounts!$C$7:$C$16,MATCH($C149,Accounts!$B$7:$B$16,0))&amp;"","")&lt;&gt;"",INDEX(Accounts!$C$7:$C$16,MATCH($C149,Accounts!$B$7:$B$16,0)),Settings!$C$6)))</f>
        <v/>
      </c>
      <c r="AG149" s="53" t="str">
        <f>IF($AM149=0,"",IF(AND($BE149&gt;0,N(INDEX(Instruments!$D$6:$D$205,MAX(1,$BE149)))&gt;0),INDEX(Instruments!$D$6:$D$205,MAX(1,$BE149)),IF(N(INDEX(Settings!$D$14:$D$18,$BF149))&gt;0,INDEX(Settings!$D$14:$D$18,$BF149),"")))</f>
        <v/>
      </c>
      <c r="AH149" s="54" t="str">
        <f>IF($AM149=0,"",IF($AF149&lt;&gt;"Forex",1,IF(MID(UPPER(SUBSTITUTE(TRIM($E149),"/","")),4,3)=UPPER(TRIM(Settings!$C$7)),1,IF(LEFT(UPPER(SUBSTITUTE(TRIM($E149),"/","")),3)=UPPER(TRIM(Settings!$C$7)),IF(AND(ISNUMBER($K149),N($K149)&lt;&gt;0),1/$K149,""),""))))</f>
        <v/>
      </c>
      <c r="AI149" s="55" t="str">
        <f>IF($AM149=0,"",IF(OR(NOT(ISNUMBER($H149)),NOT(ISNUMBER($K149)),NOT(ISNUMBER($G149)),$AG149="",$AH149=""),"",ROUND(($K149-$H149)*IF($F149="Short",-1,1)*$G149*$AG149*$AH149,6)))</f>
        <v/>
      </c>
      <c r="AJ149" s="55" t="str">
        <f>IF($AM149=0,"",IF(INDEX(Settings!$E$14:$E$18,$BF149)="% of notional",IF(OR($AG149="",NOT(ISNUMBER($H149)),NOT(ISNUMBER($G149))),"",ROUND(ABS($H149*$G149*$AG149*N($AH149))*IF($L149="Limit",N(INDEX(Settings!$G$14:$G$18,$BF149)),N(INDEX(Settings!$H$14:$H$18,$BF149)))+IF(ISNUMBER($K149),ABS($K149*$G149*$AG149*N($AH149))*IF($M149="Target",N(INDEX(Settings!$G$14:$G$18,$BF149)),N(INDEX(Settings!$H$14:$H$18,$BF149))),0),6)),IF(NOT(ISNUMBER($G149)),"",ROUND(ABS($G149)*2*IF(AND($BE149&gt;0,ISNUMBER(INDEX(Instruments!$G$6:$G$205,MAX(1,$BE149)))),INDEX(Instruments!$G$6:$G$205,MAX(1,$BE149)),N(INDEX(Settings!$F$14:$F$18,$BF149))),6))))</f>
        <v/>
      </c>
      <c r="AK149" s="55" t="str">
        <f>IF($AM149=0,"",IF(ISNUMBER($O149),$O149,$AI149))</f>
        <v/>
      </c>
      <c r="AL149" s="55" t="str">
        <f>IF($AM149=0,"",IF(ISNUMBER($P149),$P149,N($AJ149)))</f>
        <v/>
      </c>
      <c r="AM149" s="56">
        <f>IF(AND($A149&lt;&gt;"",$E149&lt;&gt;"",OR(AND(ISNUMBER($G149),ISNUMBER($H149),ISNUMBER($K149)),ISNUMBER($O149))),1,0)</f>
        <v>0</v>
      </c>
      <c r="AN149" s="57" t="str">
        <f>IF($A149="","",$A149-WEEKDAY($A149,3))</f>
        <v/>
      </c>
      <c r="AO149" s="56" t="str">
        <f>IF($A149="","",WEEKDAY($A149,2))</f>
        <v/>
      </c>
      <c r="AP149" s="55" t="str">
        <f>IF(OR($AM149=0,$C149=""),"",IFERROR(N(INDEX(Accounts!$E$7:$E$16,MATCH($C149,Accounts!$B$7:$B$16,0))),0)+SUMIFS($Q$6:$Q149,$C$6:$C149,$C149))</f>
        <v/>
      </c>
      <c r="AQ149" s="55" t="str">
        <f>IF(OR($AM149=0,$C149=""),"",SUMIFS($Q$6:$Q$1005,$C$6:$C$1005,$C149,$A$6:$A$1005,$A149))</f>
        <v/>
      </c>
      <c r="AR149" s="55" t="str">
        <f>IF(OR($AM149=0,$C149=""),"",IFERROR(N(INDEX(Accounts!$E$7:$E$16,MATCH($C149,Accounts!$B$7:$B$16,0))),0)+SUMIFS($Q$6:$Q$1005,$C$6:$C$1005,$C149,$A$6:$A$1005,"&lt;="&amp;$A149))</f>
        <v/>
      </c>
      <c r="AS149" s="56">
        <f>IF(OR($AM149=0,$Q149=""),0,IF(AND($A149&gt;=Lists!$W$6,$A149&lt;=Lists!$W$7,OR(Dashboard!$D$6="All accounts",$C149=Dashboard!$D$6),OR(Dashboard!$D$7="All markets",$AF149=Dashboard!$D$7)),1,0))</f>
        <v>0</v>
      </c>
      <c r="AT149" s="55">
        <f>IF($AS149=1,N(AT148)+$Q149,N(AT148))</f>
        <v>1187.10688</v>
      </c>
      <c r="AU149" s="55">
        <f>MAX(N(AU148),$AT149)</f>
        <v>1187.10688</v>
      </c>
      <c r="AV149" s="55">
        <f>$AT149-$AU149</f>
        <v>0</v>
      </c>
      <c r="AW149" s="56">
        <f>IF($AS149=1,IF($S149="Win",N(AW148)+1,IF($S149="Loss",0,N(AW148))),N(AW148))</f>
        <v>5</v>
      </c>
      <c r="AX149" s="56">
        <f>IF($AS149=1,IF($S149="Loss",N(AX148)+1,IF($S149="Win",0,N(AX148))),N(AX148))</f>
        <v>0</v>
      </c>
      <c r="AY149" s="56" t="str">
        <f>IF($AS149=1,COUNTIF($AS$6:$AS149,1),"")</f>
        <v/>
      </c>
      <c r="AZ149" s="56">
        <f>MIN(143,N(Lists!$W$8))</f>
        <v>28</v>
      </c>
      <c r="BA149" s="56">
        <f>IF($AS149=1,IF(COUNTIFS($A$6:$A149,$A149,$AS$6:$AS149,1)=1,1,0),0)</f>
        <v>0</v>
      </c>
      <c r="BB149" s="55" t="str">
        <f>IF($BA149=1,SUMIFS($Q$6:$Q$1005,$A$6:$A$1005,$A149,$AS$6:$AS$1005,1),"")</f>
        <v/>
      </c>
      <c r="BC149" s="56">
        <f>IF(ISNUMBER($R149),1,0)</f>
        <v>0</v>
      </c>
      <c r="BD149" s="55" t="str">
        <f>IF(ISNUMBER($U149),$U149*$V149,"")</f>
        <v/>
      </c>
      <c r="BE149" s="56" t="str">
        <f>IF($AM149=0,"",IFERROR(MATCH($AF149&amp;"|"&amp;UPPER(TRIM($E149)),Lists!$A$6:$A$205,0),0))</f>
        <v/>
      </c>
      <c r="BF149" s="56" t="str">
        <f>IF($AM149=0,"",IFERROR(MATCH($AF149,Settings!$B$14:$B$18,0),IFERROR(MATCH(Settings!$C$6,Settings!$B$14:$B$18,0),1)))</f>
        <v/>
      </c>
      <c r="BG149" s="58" t="str">
        <f>IF($AM149=0,"",IF(NOT(ISNUMBER($I149)),"No stop; ","")&amp;IF(AND(ISNUMBER($H149),ISNUMBER($I149)),IF(OR(AND($F149&lt;&gt;"Short",$I149&gt;=$H149),AND($F149="Short",$I149&lt;=$H149)),"Stop on wrong side; ",""),"")&amp;IF($F149="","No direction; ","")&amp;IF(AND(ISNUMBER(Settings!$C$22),ISNUMBER($V149)),IF($V149&gt;Settings!$C$22,"Risk over max $; ",""),"")&amp;IF(AND(ISNUMBER(Settings!$C$23),ISNUMBER($V149),ISNUMBER($AP149),IFERROR(N(INDEX(Accounts!$E$7:$E$16,MATCH($C149,Accounts!$B$7:$B$16,0))),0)&gt;0),IF($V149&gt;Settings!$C$23*($AP149-N($Q149)),"Risk over max %; ",""),"")&amp;IF(AND(ISNUMBER(Settings!$C$24),ISNUMBER($N149)),IF($N149&gt;Settings!$C$24,"Leverage over max; ",""),"")&amp;IF(AND(ISNUMBER(Settings!$C$27),ISNUMBER($T149)),IF($T149&lt;Settings!$C$27,"R:R below min; ",""),"")&amp;IF(ISNUMBER(Settings!$C$25),IF(COUNTIFS($A$6:$A149,$A149,$AM$6:$AM149,1)&gt;Settings!$C$25,"Over max trades/day; ",""),"")&amp;IF(ISNUMBER(Settings!$C$26),IF(SUMIFS($Q$5:$Q148,$A$5:$A148,$A149)&lt;=-Settings!$C$26,"Traded after daily max loss; ",""),"")&amp;IF(AND($AG149="",NOT(ISNUMBER($O149))),"Symbol not in Instruments; ","")&amp;IF(AND($AH149="",NOT(ISNUMBER($O149))),"Forex cross: type Gross P&amp;L; ",""))</f>
        <v/>
      </c>
      <c r="BH149" s="56">
        <f>IF(ISNUMBER($Q149),1,0)</f>
        <v>0</v>
      </c>
      <c r="BI149" s="56">
        <f>IF($Y149="",0,1)</f>
        <v>0</v>
      </c>
      <c r="BJ149" s="56">
        <f>IF($AB149="",0,1)</f>
        <v>0</v>
      </c>
      <c r="BK149" s="56">
        <f>IF(AND($BH149=1,$W149&lt;&gt;"OK"),1,0)</f>
        <v>0</v>
      </c>
      <c r="BL149" s="55">
        <f>IF(N($AZ149)=0,0,IFERROR(INDEX($AT$6:$AT$1005,MATCH($AZ149,$AY$6:$AY$1005,0)),0))</f>
        <v>1187.10688</v>
      </c>
      <c r="BM149" s="56">
        <f>IF(ISNUMBER(SEARCH("daily max loss",$BG149)),1,0)</f>
        <v>0</v>
      </c>
    </row>
    <row r="150" ht="18" customHeight="1">
      <c r="A150" s="38" t="n"/>
      <c r="B150" s="39" t="n"/>
      <c r="C150" s="40" t="n"/>
      <c r="D150" s="41" t="n"/>
      <c r="E150" s="41" t="n"/>
      <c r="F150" s="41" t="n"/>
      <c r="G150" s="41" t="n"/>
      <c r="H150" s="42" t="n"/>
      <c r="I150" s="42" t="n"/>
      <c r="J150" s="42" t="n"/>
      <c r="K150" s="42" t="n"/>
      <c r="L150" s="41" t="n"/>
      <c r="M150" s="41" t="n"/>
      <c r="N150" s="41" t="n"/>
      <c r="O150" s="43" t="n"/>
      <c r="P150" s="43" t="n"/>
      <c r="Q150" s="44" t="str">
        <f>IF($AM150=0,"",IF(ISNUMBER($AK150),$AK150-N($AL150),""))</f>
        <v/>
      </c>
      <c r="R150" s="45" t="str">
        <f>IF(OR($Q150="",NOT(ISNUMBER($V150))),"",$AK150/$V150)</f>
        <v/>
      </c>
      <c r="S150" s="46" t="str">
        <f>IF($Q150="","",IF(AND(ISNUMBER($R150),ABS(N($R150))&lt;N(Settings!$C$8)),"Scratch",IF($Q150&gt;0,"Win",IF($Q150&lt;0,"Loss","Scratch"))))</f>
        <v/>
      </c>
      <c r="T150" s="47" t="str">
        <f>IF(OR($AM150=0,NOT(ISNUMBER($H150)),NOT(ISNUMBER($I150)),NOT(ISNUMBER($J150))),"",IF($H150=$I150,"",ROUND(ABS($J150-$H150)/ABS($H150-$I150),6)))</f>
        <v/>
      </c>
      <c r="U150" s="48" t="str">
        <f>IF(OR($S150&lt;&gt;"Win",NOT(ISNUMBER($T150)),NOT(ISNUMBER($R150))),"",MAX(0,$T150-$R150))</f>
        <v/>
      </c>
      <c r="V150" s="49" t="str">
        <f>IF(OR($AM150=0,NOT(ISNUMBER($H150)),NOT(ISNUMBER($I150)),NOT(ISNUMBER($G150))),"",IF(OR($AG150="",$AH150=""),"",IF(ROUND(ABS($H150-$I150)*ABS($G150)*$AG150*$AH150,6)=0,"",ROUND(ABS($H150-$I150)*ABS($G150)*$AG150*$AH150,6))))</f>
        <v/>
      </c>
      <c r="W150" s="50" t="str">
        <f>IF($AM150=0,"",IF($BG150="","OK",LEFT($BG150,LEN($BG150)-2)))</f>
        <v/>
      </c>
      <c r="X150" s="41" t="n"/>
      <c r="Y150" s="40" t="n"/>
      <c r="Z150" s="41" t="n"/>
      <c r="AA150" s="41" t="n"/>
      <c r="AB150" s="40" t="n"/>
      <c r="AC150" s="51" t="n"/>
      <c r="AD150" s="51" t="n"/>
      <c r="AE150" s="40" t="n"/>
      <c r="AF150" s="52" t="str">
        <f>IF($AM150=0,"",IF($D150&lt;&gt;"",$D150,IF(IFERROR(INDEX(Accounts!$C$7:$C$16,MATCH($C150,Accounts!$B$7:$B$16,0))&amp;"","")&lt;&gt;"",INDEX(Accounts!$C$7:$C$16,MATCH($C150,Accounts!$B$7:$B$16,0)),Settings!$C$6)))</f>
        <v/>
      </c>
      <c r="AG150" s="53" t="str">
        <f>IF($AM150=0,"",IF(AND($BE150&gt;0,N(INDEX(Instruments!$D$6:$D$205,MAX(1,$BE150)))&gt;0),INDEX(Instruments!$D$6:$D$205,MAX(1,$BE150)),IF(N(INDEX(Settings!$D$14:$D$18,$BF150))&gt;0,INDEX(Settings!$D$14:$D$18,$BF150),"")))</f>
        <v/>
      </c>
      <c r="AH150" s="54" t="str">
        <f>IF($AM150=0,"",IF($AF150&lt;&gt;"Forex",1,IF(MID(UPPER(SUBSTITUTE(TRIM($E150),"/","")),4,3)=UPPER(TRIM(Settings!$C$7)),1,IF(LEFT(UPPER(SUBSTITUTE(TRIM($E150),"/","")),3)=UPPER(TRIM(Settings!$C$7)),IF(AND(ISNUMBER($K150),N($K150)&lt;&gt;0),1/$K150,""),""))))</f>
        <v/>
      </c>
      <c r="AI150" s="55" t="str">
        <f>IF($AM150=0,"",IF(OR(NOT(ISNUMBER($H150)),NOT(ISNUMBER($K150)),NOT(ISNUMBER($G150)),$AG150="",$AH150=""),"",ROUND(($K150-$H150)*IF($F150="Short",-1,1)*$G150*$AG150*$AH150,6)))</f>
        <v/>
      </c>
      <c r="AJ150" s="55" t="str">
        <f>IF($AM150=0,"",IF(INDEX(Settings!$E$14:$E$18,$BF150)="% of notional",IF(OR($AG150="",NOT(ISNUMBER($H150)),NOT(ISNUMBER($G150))),"",ROUND(ABS($H150*$G150*$AG150*N($AH150))*IF($L150="Limit",N(INDEX(Settings!$G$14:$G$18,$BF150)),N(INDEX(Settings!$H$14:$H$18,$BF150)))+IF(ISNUMBER($K150),ABS($K150*$G150*$AG150*N($AH150))*IF($M150="Target",N(INDEX(Settings!$G$14:$G$18,$BF150)),N(INDEX(Settings!$H$14:$H$18,$BF150))),0),6)),IF(NOT(ISNUMBER($G150)),"",ROUND(ABS($G150)*2*IF(AND($BE150&gt;0,ISNUMBER(INDEX(Instruments!$G$6:$G$205,MAX(1,$BE150)))),INDEX(Instruments!$G$6:$G$205,MAX(1,$BE150)),N(INDEX(Settings!$F$14:$F$18,$BF150))),6))))</f>
        <v/>
      </c>
      <c r="AK150" s="55" t="str">
        <f>IF($AM150=0,"",IF(ISNUMBER($O150),$O150,$AI150))</f>
        <v/>
      </c>
      <c r="AL150" s="55" t="str">
        <f>IF($AM150=0,"",IF(ISNUMBER($P150),$P150,N($AJ150)))</f>
        <v/>
      </c>
      <c r="AM150" s="56">
        <f>IF(AND($A150&lt;&gt;"",$E150&lt;&gt;"",OR(AND(ISNUMBER($G150),ISNUMBER($H150),ISNUMBER($K150)),ISNUMBER($O150))),1,0)</f>
        <v>0</v>
      </c>
      <c r="AN150" s="57" t="str">
        <f>IF($A150="","",$A150-WEEKDAY($A150,3))</f>
        <v/>
      </c>
      <c r="AO150" s="56" t="str">
        <f>IF($A150="","",WEEKDAY($A150,2))</f>
        <v/>
      </c>
      <c r="AP150" s="55" t="str">
        <f>IF(OR($AM150=0,$C150=""),"",IFERROR(N(INDEX(Accounts!$E$7:$E$16,MATCH($C150,Accounts!$B$7:$B$16,0))),0)+SUMIFS($Q$6:$Q150,$C$6:$C150,$C150))</f>
        <v/>
      </c>
      <c r="AQ150" s="55" t="str">
        <f>IF(OR($AM150=0,$C150=""),"",SUMIFS($Q$6:$Q$1005,$C$6:$C$1005,$C150,$A$6:$A$1005,$A150))</f>
        <v/>
      </c>
      <c r="AR150" s="55" t="str">
        <f>IF(OR($AM150=0,$C150=""),"",IFERROR(N(INDEX(Accounts!$E$7:$E$16,MATCH($C150,Accounts!$B$7:$B$16,0))),0)+SUMIFS($Q$6:$Q$1005,$C$6:$C$1005,$C150,$A$6:$A$1005,"&lt;="&amp;$A150))</f>
        <v/>
      </c>
      <c r="AS150" s="56">
        <f>IF(OR($AM150=0,$Q150=""),0,IF(AND($A150&gt;=Lists!$W$6,$A150&lt;=Lists!$W$7,OR(Dashboard!$D$6="All accounts",$C150=Dashboard!$D$6),OR(Dashboard!$D$7="All markets",$AF150=Dashboard!$D$7)),1,0))</f>
        <v>0</v>
      </c>
      <c r="AT150" s="55">
        <f>IF($AS150=1,N(AT149)+$Q150,N(AT149))</f>
        <v>1187.10688</v>
      </c>
      <c r="AU150" s="55">
        <f>MAX(N(AU149),$AT150)</f>
        <v>1187.10688</v>
      </c>
      <c r="AV150" s="55">
        <f>$AT150-$AU150</f>
        <v>0</v>
      </c>
      <c r="AW150" s="56">
        <f>IF($AS150=1,IF($S150="Win",N(AW149)+1,IF($S150="Loss",0,N(AW149))),N(AW149))</f>
        <v>5</v>
      </c>
      <c r="AX150" s="56">
        <f>IF($AS150=1,IF($S150="Loss",N(AX149)+1,IF($S150="Win",0,N(AX149))),N(AX149))</f>
        <v>0</v>
      </c>
      <c r="AY150" s="56" t="str">
        <f>IF($AS150=1,COUNTIF($AS$6:$AS150,1),"")</f>
        <v/>
      </c>
      <c r="AZ150" s="56">
        <f>MIN(144,N(Lists!$W$8))</f>
        <v>28</v>
      </c>
      <c r="BA150" s="56">
        <f>IF($AS150=1,IF(COUNTIFS($A$6:$A150,$A150,$AS$6:$AS150,1)=1,1,0),0)</f>
        <v>0</v>
      </c>
      <c r="BB150" s="55" t="str">
        <f>IF($BA150=1,SUMIFS($Q$6:$Q$1005,$A$6:$A$1005,$A150,$AS$6:$AS$1005,1),"")</f>
        <v/>
      </c>
      <c r="BC150" s="56">
        <f>IF(ISNUMBER($R150),1,0)</f>
        <v>0</v>
      </c>
      <c r="BD150" s="55" t="str">
        <f>IF(ISNUMBER($U150),$U150*$V150,"")</f>
        <v/>
      </c>
      <c r="BE150" s="56" t="str">
        <f>IF($AM150=0,"",IFERROR(MATCH($AF150&amp;"|"&amp;UPPER(TRIM($E150)),Lists!$A$6:$A$205,0),0))</f>
        <v/>
      </c>
      <c r="BF150" s="56" t="str">
        <f>IF($AM150=0,"",IFERROR(MATCH($AF150,Settings!$B$14:$B$18,0),IFERROR(MATCH(Settings!$C$6,Settings!$B$14:$B$18,0),1)))</f>
        <v/>
      </c>
      <c r="BG150" s="58" t="str">
        <f>IF($AM150=0,"",IF(NOT(ISNUMBER($I150)),"No stop; ","")&amp;IF(AND(ISNUMBER($H150),ISNUMBER($I150)),IF(OR(AND($F150&lt;&gt;"Short",$I150&gt;=$H150),AND($F150="Short",$I150&lt;=$H150)),"Stop on wrong side; ",""),"")&amp;IF($F150="","No direction; ","")&amp;IF(AND(ISNUMBER(Settings!$C$22),ISNUMBER($V150)),IF($V150&gt;Settings!$C$22,"Risk over max $; ",""),"")&amp;IF(AND(ISNUMBER(Settings!$C$23),ISNUMBER($V150),ISNUMBER($AP150),IFERROR(N(INDEX(Accounts!$E$7:$E$16,MATCH($C150,Accounts!$B$7:$B$16,0))),0)&gt;0),IF($V150&gt;Settings!$C$23*($AP150-N($Q150)),"Risk over max %; ",""),"")&amp;IF(AND(ISNUMBER(Settings!$C$24),ISNUMBER($N150)),IF($N150&gt;Settings!$C$24,"Leverage over max; ",""),"")&amp;IF(AND(ISNUMBER(Settings!$C$27),ISNUMBER($T150)),IF($T150&lt;Settings!$C$27,"R:R below min; ",""),"")&amp;IF(ISNUMBER(Settings!$C$25),IF(COUNTIFS($A$6:$A150,$A150,$AM$6:$AM150,1)&gt;Settings!$C$25,"Over max trades/day; ",""),"")&amp;IF(ISNUMBER(Settings!$C$26),IF(SUMIFS($Q$5:$Q149,$A$5:$A149,$A150)&lt;=-Settings!$C$26,"Traded after daily max loss; ",""),"")&amp;IF(AND($AG150="",NOT(ISNUMBER($O150))),"Symbol not in Instruments; ","")&amp;IF(AND($AH150="",NOT(ISNUMBER($O150))),"Forex cross: type Gross P&amp;L; ",""))</f>
        <v/>
      </c>
      <c r="BH150" s="56">
        <f>IF(ISNUMBER($Q150),1,0)</f>
        <v>0</v>
      </c>
      <c r="BI150" s="56">
        <f>IF($Y150="",0,1)</f>
        <v>0</v>
      </c>
      <c r="BJ150" s="56">
        <f>IF($AB150="",0,1)</f>
        <v>0</v>
      </c>
      <c r="BK150" s="56">
        <f>IF(AND($BH150=1,$W150&lt;&gt;"OK"),1,0)</f>
        <v>0</v>
      </c>
      <c r="BL150" s="55">
        <f>IF(N($AZ150)=0,0,IFERROR(INDEX($AT$6:$AT$1005,MATCH($AZ150,$AY$6:$AY$1005,0)),0))</f>
        <v>1187.10688</v>
      </c>
      <c r="BM150" s="56">
        <f>IF(ISNUMBER(SEARCH("daily max loss",$BG150)),1,0)</f>
        <v>0</v>
      </c>
    </row>
    <row r="151" ht="18" customHeight="1">
      <c r="A151" s="38" t="n"/>
      <c r="B151" s="39" t="n"/>
      <c r="C151" s="40" t="n"/>
      <c r="D151" s="41" t="n"/>
      <c r="E151" s="41" t="n"/>
      <c r="F151" s="41" t="n"/>
      <c r="G151" s="41" t="n"/>
      <c r="H151" s="42" t="n"/>
      <c r="I151" s="42" t="n"/>
      <c r="J151" s="42" t="n"/>
      <c r="K151" s="42" t="n"/>
      <c r="L151" s="41" t="n"/>
      <c r="M151" s="41" t="n"/>
      <c r="N151" s="41" t="n"/>
      <c r="O151" s="43" t="n"/>
      <c r="P151" s="43" t="n"/>
      <c r="Q151" s="44" t="str">
        <f>IF($AM151=0,"",IF(ISNUMBER($AK151),$AK151-N($AL151),""))</f>
        <v/>
      </c>
      <c r="R151" s="45" t="str">
        <f>IF(OR($Q151="",NOT(ISNUMBER($V151))),"",$AK151/$V151)</f>
        <v/>
      </c>
      <c r="S151" s="46" t="str">
        <f>IF($Q151="","",IF(AND(ISNUMBER($R151),ABS(N($R151))&lt;N(Settings!$C$8)),"Scratch",IF($Q151&gt;0,"Win",IF($Q151&lt;0,"Loss","Scratch"))))</f>
        <v/>
      </c>
      <c r="T151" s="47" t="str">
        <f>IF(OR($AM151=0,NOT(ISNUMBER($H151)),NOT(ISNUMBER($I151)),NOT(ISNUMBER($J151))),"",IF($H151=$I151,"",ROUND(ABS($J151-$H151)/ABS($H151-$I151),6)))</f>
        <v/>
      </c>
      <c r="U151" s="48" t="str">
        <f>IF(OR($S151&lt;&gt;"Win",NOT(ISNUMBER($T151)),NOT(ISNUMBER($R151))),"",MAX(0,$T151-$R151))</f>
        <v/>
      </c>
      <c r="V151" s="49" t="str">
        <f>IF(OR($AM151=0,NOT(ISNUMBER($H151)),NOT(ISNUMBER($I151)),NOT(ISNUMBER($G151))),"",IF(OR($AG151="",$AH151=""),"",IF(ROUND(ABS($H151-$I151)*ABS($G151)*$AG151*$AH151,6)=0,"",ROUND(ABS($H151-$I151)*ABS($G151)*$AG151*$AH151,6))))</f>
        <v/>
      </c>
      <c r="W151" s="50" t="str">
        <f>IF($AM151=0,"",IF($BG151="","OK",LEFT($BG151,LEN($BG151)-2)))</f>
        <v/>
      </c>
      <c r="X151" s="41" t="n"/>
      <c r="Y151" s="40" t="n"/>
      <c r="Z151" s="41" t="n"/>
      <c r="AA151" s="41" t="n"/>
      <c r="AB151" s="40" t="n"/>
      <c r="AC151" s="51" t="n"/>
      <c r="AD151" s="51" t="n"/>
      <c r="AE151" s="40" t="n"/>
      <c r="AF151" s="52" t="str">
        <f>IF($AM151=0,"",IF($D151&lt;&gt;"",$D151,IF(IFERROR(INDEX(Accounts!$C$7:$C$16,MATCH($C151,Accounts!$B$7:$B$16,0))&amp;"","")&lt;&gt;"",INDEX(Accounts!$C$7:$C$16,MATCH($C151,Accounts!$B$7:$B$16,0)),Settings!$C$6)))</f>
        <v/>
      </c>
      <c r="AG151" s="53" t="str">
        <f>IF($AM151=0,"",IF(AND($BE151&gt;0,N(INDEX(Instruments!$D$6:$D$205,MAX(1,$BE151)))&gt;0),INDEX(Instruments!$D$6:$D$205,MAX(1,$BE151)),IF(N(INDEX(Settings!$D$14:$D$18,$BF151))&gt;0,INDEX(Settings!$D$14:$D$18,$BF151),"")))</f>
        <v/>
      </c>
      <c r="AH151" s="54" t="str">
        <f>IF($AM151=0,"",IF($AF151&lt;&gt;"Forex",1,IF(MID(UPPER(SUBSTITUTE(TRIM($E151),"/","")),4,3)=UPPER(TRIM(Settings!$C$7)),1,IF(LEFT(UPPER(SUBSTITUTE(TRIM($E151),"/","")),3)=UPPER(TRIM(Settings!$C$7)),IF(AND(ISNUMBER($K151),N($K151)&lt;&gt;0),1/$K151,""),""))))</f>
        <v/>
      </c>
      <c r="AI151" s="55" t="str">
        <f>IF($AM151=0,"",IF(OR(NOT(ISNUMBER($H151)),NOT(ISNUMBER($K151)),NOT(ISNUMBER($G151)),$AG151="",$AH151=""),"",ROUND(($K151-$H151)*IF($F151="Short",-1,1)*$G151*$AG151*$AH151,6)))</f>
        <v/>
      </c>
      <c r="AJ151" s="55" t="str">
        <f>IF($AM151=0,"",IF(INDEX(Settings!$E$14:$E$18,$BF151)="% of notional",IF(OR($AG151="",NOT(ISNUMBER($H151)),NOT(ISNUMBER($G151))),"",ROUND(ABS($H151*$G151*$AG151*N($AH151))*IF($L151="Limit",N(INDEX(Settings!$G$14:$G$18,$BF151)),N(INDEX(Settings!$H$14:$H$18,$BF151)))+IF(ISNUMBER($K151),ABS($K151*$G151*$AG151*N($AH151))*IF($M151="Target",N(INDEX(Settings!$G$14:$G$18,$BF151)),N(INDEX(Settings!$H$14:$H$18,$BF151))),0),6)),IF(NOT(ISNUMBER($G151)),"",ROUND(ABS($G151)*2*IF(AND($BE151&gt;0,ISNUMBER(INDEX(Instruments!$G$6:$G$205,MAX(1,$BE151)))),INDEX(Instruments!$G$6:$G$205,MAX(1,$BE151)),N(INDEX(Settings!$F$14:$F$18,$BF151))),6))))</f>
        <v/>
      </c>
      <c r="AK151" s="55" t="str">
        <f>IF($AM151=0,"",IF(ISNUMBER($O151),$O151,$AI151))</f>
        <v/>
      </c>
      <c r="AL151" s="55" t="str">
        <f>IF($AM151=0,"",IF(ISNUMBER($P151),$P151,N($AJ151)))</f>
        <v/>
      </c>
      <c r="AM151" s="56">
        <f>IF(AND($A151&lt;&gt;"",$E151&lt;&gt;"",OR(AND(ISNUMBER($G151),ISNUMBER($H151),ISNUMBER($K151)),ISNUMBER($O151))),1,0)</f>
        <v>0</v>
      </c>
      <c r="AN151" s="57" t="str">
        <f>IF($A151="","",$A151-WEEKDAY($A151,3))</f>
        <v/>
      </c>
      <c r="AO151" s="56" t="str">
        <f>IF($A151="","",WEEKDAY($A151,2))</f>
        <v/>
      </c>
      <c r="AP151" s="55" t="str">
        <f>IF(OR($AM151=0,$C151=""),"",IFERROR(N(INDEX(Accounts!$E$7:$E$16,MATCH($C151,Accounts!$B$7:$B$16,0))),0)+SUMIFS($Q$6:$Q151,$C$6:$C151,$C151))</f>
        <v/>
      </c>
      <c r="AQ151" s="55" t="str">
        <f>IF(OR($AM151=0,$C151=""),"",SUMIFS($Q$6:$Q$1005,$C$6:$C$1005,$C151,$A$6:$A$1005,$A151))</f>
        <v/>
      </c>
      <c r="AR151" s="55" t="str">
        <f>IF(OR($AM151=0,$C151=""),"",IFERROR(N(INDEX(Accounts!$E$7:$E$16,MATCH($C151,Accounts!$B$7:$B$16,0))),0)+SUMIFS($Q$6:$Q$1005,$C$6:$C$1005,$C151,$A$6:$A$1005,"&lt;="&amp;$A151))</f>
        <v/>
      </c>
      <c r="AS151" s="56">
        <f>IF(OR($AM151=0,$Q151=""),0,IF(AND($A151&gt;=Lists!$W$6,$A151&lt;=Lists!$W$7,OR(Dashboard!$D$6="All accounts",$C151=Dashboard!$D$6),OR(Dashboard!$D$7="All markets",$AF151=Dashboard!$D$7)),1,0))</f>
        <v>0</v>
      </c>
      <c r="AT151" s="55">
        <f>IF($AS151=1,N(AT150)+$Q151,N(AT150))</f>
        <v>1187.10688</v>
      </c>
      <c r="AU151" s="55">
        <f>MAX(N(AU150),$AT151)</f>
        <v>1187.10688</v>
      </c>
      <c r="AV151" s="55">
        <f>$AT151-$AU151</f>
        <v>0</v>
      </c>
      <c r="AW151" s="56">
        <f>IF($AS151=1,IF($S151="Win",N(AW150)+1,IF($S151="Loss",0,N(AW150))),N(AW150))</f>
        <v>5</v>
      </c>
      <c r="AX151" s="56">
        <f>IF($AS151=1,IF($S151="Loss",N(AX150)+1,IF($S151="Win",0,N(AX150))),N(AX150))</f>
        <v>0</v>
      </c>
      <c r="AY151" s="56" t="str">
        <f>IF($AS151=1,COUNTIF($AS$6:$AS151,1),"")</f>
        <v/>
      </c>
      <c r="AZ151" s="56">
        <f>MIN(145,N(Lists!$W$8))</f>
        <v>28</v>
      </c>
      <c r="BA151" s="56">
        <f>IF($AS151=1,IF(COUNTIFS($A$6:$A151,$A151,$AS$6:$AS151,1)=1,1,0),0)</f>
        <v>0</v>
      </c>
      <c r="BB151" s="55" t="str">
        <f>IF($BA151=1,SUMIFS($Q$6:$Q$1005,$A$6:$A$1005,$A151,$AS$6:$AS$1005,1),"")</f>
        <v/>
      </c>
      <c r="BC151" s="56">
        <f>IF(ISNUMBER($R151),1,0)</f>
        <v>0</v>
      </c>
      <c r="BD151" s="55" t="str">
        <f>IF(ISNUMBER($U151),$U151*$V151,"")</f>
        <v/>
      </c>
      <c r="BE151" s="56" t="str">
        <f>IF($AM151=0,"",IFERROR(MATCH($AF151&amp;"|"&amp;UPPER(TRIM($E151)),Lists!$A$6:$A$205,0),0))</f>
        <v/>
      </c>
      <c r="BF151" s="56" t="str">
        <f>IF($AM151=0,"",IFERROR(MATCH($AF151,Settings!$B$14:$B$18,0),IFERROR(MATCH(Settings!$C$6,Settings!$B$14:$B$18,0),1)))</f>
        <v/>
      </c>
      <c r="BG151" s="58" t="str">
        <f>IF($AM151=0,"",IF(NOT(ISNUMBER($I151)),"No stop; ","")&amp;IF(AND(ISNUMBER($H151),ISNUMBER($I151)),IF(OR(AND($F151&lt;&gt;"Short",$I151&gt;=$H151),AND($F151="Short",$I151&lt;=$H151)),"Stop on wrong side; ",""),"")&amp;IF($F151="","No direction; ","")&amp;IF(AND(ISNUMBER(Settings!$C$22),ISNUMBER($V151)),IF($V151&gt;Settings!$C$22,"Risk over max $; ",""),"")&amp;IF(AND(ISNUMBER(Settings!$C$23),ISNUMBER($V151),ISNUMBER($AP151),IFERROR(N(INDEX(Accounts!$E$7:$E$16,MATCH($C151,Accounts!$B$7:$B$16,0))),0)&gt;0),IF($V151&gt;Settings!$C$23*($AP151-N($Q151)),"Risk over max %; ",""),"")&amp;IF(AND(ISNUMBER(Settings!$C$24),ISNUMBER($N151)),IF($N151&gt;Settings!$C$24,"Leverage over max; ",""),"")&amp;IF(AND(ISNUMBER(Settings!$C$27),ISNUMBER($T151)),IF($T151&lt;Settings!$C$27,"R:R below min; ",""),"")&amp;IF(ISNUMBER(Settings!$C$25),IF(COUNTIFS($A$6:$A151,$A151,$AM$6:$AM151,1)&gt;Settings!$C$25,"Over max trades/day; ",""),"")&amp;IF(ISNUMBER(Settings!$C$26),IF(SUMIFS($Q$5:$Q150,$A$5:$A150,$A151)&lt;=-Settings!$C$26,"Traded after daily max loss; ",""),"")&amp;IF(AND($AG151="",NOT(ISNUMBER($O151))),"Symbol not in Instruments; ","")&amp;IF(AND($AH151="",NOT(ISNUMBER($O151))),"Forex cross: type Gross P&amp;L; ",""))</f>
        <v/>
      </c>
      <c r="BH151" s="56">
        <f>IF(ISNUMBER($Q151),1,0)</f>
        <v>0</v>
      </c>
      <c r="BI151" s="56">
        <f>IF($Y151="",0,1)</f>
        <v>0</v>
      </c>
      <c r="BJ151" s="56">
        <f>IF($AB151="",0,1)</f>
        <v>0</v>
      </c>
      <c r="BK151" s="56">
        <f>IF(AND($BH151=1,$W151&lt;&gt;"OK"),1,0)</f>
        <v>0</v>
      </c>
      <c r="BL151" s="55">
        <f>IF(N($AZ151)=0,0,IFERROR(INDEX($AT$6:$AT$1005,MATCH($AZ151,$AY$6:$AY$1005,0)),0))</f>
        <v>1187.10688</v>
      </c>
      <c r="BM151" s="56">
        <f>IF(ISNUMBER(SEARCH("daily max loss",$BG151)),1,0)</f>
        <v>0</v>
      </c>
    </row>
    <row r="152" ht="18" customHeight="1">
      <c r="A152" s="38" t="n"/>
      <c r="B152" s="39" t="n"/>
      <c r="C152" s="40" t="n"/>
      <c r="D152" s="41" t="n"/>
      <c r="E152" s="41" t="n"/>
      <c r="F152" s="41" t="n"/>
      <c r="G152" s="41" t="n"/>
      <c r="H152" s="42" t="n"/>
      <c r="I152" s="42" t="n"/>
      <c r="J152" s="42" t="n"/>
      <c r="K152" s="42" t="n"/>
      <c r="L152" s="41" t="n"/>
      <c r="M152" s="41" t="n"/>
      <c r="N152" s="41" t="n"/>
      <c r="O152" s="43" t="n"/>
      <c r="P152" s="43" t="n"/>
      <c r="Q152" s="44" t="str">
        <f>IF($AM152=0,"",IF(ISNUMBER($AK152),$AK152-N($AL152),""))</f>
        <v/>
      </c>
      <c r="R152" s="45" t="str">
        <f>IF(OR($Q152="",NOT(ISNUMBER($V152))),"",$AK152/$V152)</f>
        <v/>
      </c>
      <c r="S152" s="46" t="str">
        <f>IF($Q152="","",IF(AND(ISNUMBER($R152),ABS(N($R152))&lt;N(Settings!$C$8)),"Scratch",IF($Q152&gt;0,"Win",IF($Q152&lt;0,"Loss","Scratch"))))</f>
        <v/>
      </c>
      <c r="T152" s="47" t="str">
        <f>IF(OR($AM152=0,NOT(ISNUMBER($H152)),NOT(ISNUMBER($I152)),NOT(ISNUMBER($J152))),"",IF($H152=$I152,"",ROUND(ABS($J152-$H152)/ABS($H152-$I152),6)))</f>
        <v/>
      </c>
      <c r="U152" s="48" t="str">
        <f>IF(OR($S152&lt;&gt;"Win",NOT(ISNUMBER($T152)),NOT(ISNUMBER($R152))),"",MAX(0,$T152-$R152))</f>
        <v/>
      </c>
      <c r="V152" s="49" t="str">
        <f>IF(OR($AM152=0,NOT(ISNUMBER($H152)),NOT(ISNUMBER($I152)),NOT(ISNUMBER($G152))),"",IF(OR($AG152="",$AH152=""),"",IF(ROUND(ABS($H152-$I152)*ABS($G152)*$AG152*$AH152,6)=0,"",ROUND(ABS($H152-$I152)*ABS($G152)*$AG152*$AH152,6))))</f>
        <v/>
      </c>
      <c r="W152" s="50" t="str">
        <f>IF($AM152=0,"",IF($BG152="","OK",LEFT($BG152,LEN($BG152)-2)))</f>
        <v/>
      </c>
      <c r="X152" s="41" t="n"/>
      <c r="Y152" s="40" t="n"/>
      <c r="Z152" s="41" t="n"/>
      <c r="AA152" s="41" t="n"/>
      <c r="AB152" s="40" t="n"/>
      <c r="AC152" s="51" t="n"/>
      <c r="AD152" s="51" t="n"/>
      <c r="AE152" s="40" t="n"/>
      <c r="AF152" s="52" t="str">
        <f>IF($AM152=0,"",IF($D152&lt;&gt;"",$D152,IF(IFERROR(INDEX(Accounts!$C$7:$C$16,MATCH($C152,Accounts!$B$7:$B$16,0))&amp;"","")&lt;&gt;"",INDEX(Accounts!$C$7:$C$16,MATCH($C152,Accounts!$B$7:$B$16,0)),Settings!$C$6)))</f>
        <v/>
      </c>
      <c r="AG152" s="53" t="str">
        <f>IF($AM152=0,"",IF(AND($BE152&gt;0,N(INDEX(Instruments!$D$6:$D$205,MAX(1,$BE152)))&gt;0),INDEX(Instruments!$D$6:$D$205,MAX(1,$BE152)),IF(N(INDEX(Settings!$D$14:$D$18,$BF152))&gt;0,INDEX(Settings!$D$14:$D$18,$BF152),"")))</f>
        <v/>
      </c>
      <c r="AH152" s="54" t="str">
        <f>IF($AM152=0,"",IF($AF152&lt;&gt;"Forex",1,IF(MID(UPPER(SUBSTITUTE(TRIM($E152),"/","")),4,3)=UPPER(TRIM(Settings!$C$7)),1,IF(LEFT(UPPER(SUBSTITUTE(TRIM($E152),"/","")),3)=UPPER(TRIM(Settings!$C$7)),IF(AND(ISNUMBER($K152),N($K152)&lt;&gt;0),1/$K152,""),""))))</f>
        <v/>
      </c>
      <c r="AI152" s="55" t="str">
        <f>IF($AM152=0,"",IF(OR(NOT(ISNUMBER($H152)),NOT(ISNUMBER($K152)),NOT(ISNUMBER($G152)),$AG152="",$AH152=""),"",ROUND(($K152-$H152)*IF($F152="Short",-1,1)*$G152*$AG152*$AH152,6)))</f>
        <v/>
      </c>
      <c r="AJ152" s="55" t="str">
        <f>IF($AM152=0,"",IF(INDEX(Settings!$E$14:$E$18,$BF152)="% of notional",IF(OR($AG152="",NOT(ISNUMBER($H152)),NOT(ISNUMBER($G152))),"",ROUND(ABS($H152*$G152*$AG152*N($AH152))*IF($L152="Limit",N(INDEX(Settings!$G$14:$G$18,$BF152)),N(INDEX(Settings!$H$14:$H$18,$BF152)))+IF(ISNUMBER($K152),ABS($K152*$G152*$AG152*N($AH152))*IF($M152="Target",N(INDEX(Settings!$G$14:$G$18,$BF152)),N(INDEX(Settings!$H$14:$H$18,$BF152))),0),6)),IF(NOT(ISNUMBER($G152)),"",ROUND(ABS($G152)*2*IF(AND($BE152&gt;0,ISNUMBER(INDEX(Instruments!$G$6:$G$205,MAX(1,$BE152)))),INDEX(Instruments!$G$6:$G$205,MAX(1,$BE152)),N(INDEX(Settings!$F$14:$F$18,$BF152))),6))))</f>
        <v/>
      </c>
      <c r="AK152" s="55" t="str">
        <f>IF($AM152=0,"",IF(ISNUMBER($O152),$O152,$AI152))</f>
        <v/>
      </c>
      <c r="AL152" s="55" t="str">
        <f>IF($AM152=0,"",IF(ISNUMBER($P152),$P152,N($AJ152)))</f>
        <v/>
      </c>
      <c r="AM152" s="56">
        <f>IF(AND($A152&lt;&gt;"",$E152&lt;&gt;"",OR(AND(ISNUMBER($G152),ISNUMBER($H152),ISNUMBER($K152)),ISNUMBER($O152))),1,0)</f>
        <v>0</v>
      </c>
      <c r="AN152" s="57" t="str">
        <f>IF($A152="","",$A152-WEEKDAY($A152,3))</f>
        <v/>
      </c>
      <c r="AO152" s="56" t="str">
        <f>IF($A152="","",WEEKDAY($A152,2))</f>
        <v/>
      </c>
      <c r="AP152" s="55" t="str">
        <f>IF(OR($AM152=0,$C152=""),"",IFERROR(N(INDEX(Accounts!$E$7:$E$16,MATCH($C152,Accounts!$B$7:$B$16,0))),0)+SUMIFS($Q$6:$Q152,$C$6:$C152,$C152))</f>
        <v/>
      </c>
      <c r="AQ152" s="55" t="str">
        <f>IF(OR($AM152=0,$C152=""),"",SUMIFS($Q$6:$Q$1005,$C$6:$C$1005,$C152,$A$6:$A$1005,$A152))</f>
        <v/>
      </c>
      <c r="AR152" s="55" t="str">
        <f>IF(OR($AM152=0,$C152=""),"",IFERROR(N(INDEX(Accounts!$E$7:$E$16,MATCH($C152,Accounts!$B$7:$B$16,0))),0)+SUMIFS($Q$6:$Q$1005,$C$6:$C$1005,$C152,$A$6:$A$1005,"&lt;="&amp;$A152))</f>
        <v/>
      </c>
      <c r="AS152" s="56">
        <f>IF(OR($AM152=0,$Q152=""),0,IF(AND($A152&gt;=Lists!$W$6,$A152&lt;=Lists!$W$7,OR(Dashboard!$D$6="All accounts",$C152=Dashboard!$D$6),OR(Dashboard!$D$7="All markets",$AF152=Dashboard!$D$7)),1,0))</f>
        <v>0</v>
      </c>
      <c r="AT152" s="55">
        <f>IF($AS152=1,N(AT151)+$Q152,N(AT151))</f>
        <v>1187.10688</v>
      </c>
      <c r="AU152" s="55">
        <f>MAX(N(AU151),$AT152)</f>
        <v>1187.10688</v>
      </c>
      <c r="AV152" s="55">
        <f>$AT152-$AU152</f>
        <v>0</v>
      </c>
      <c r="AW152" s="56">
        <f>IF($AS152=1,IF($S152="Win",N(AW151)+1,IF($S152="Loss",0,N(AW151))),N(AW151))</f>
        <v>5</v>
      </c>
      <c r="AX152" s="56">
        <f>IF($AS152=1,IF($S152="Loss",N(AX151)+1,IF($S152="Win",0,N(AX151))),N(AX151))</f>
        <v>0</v>
      </c>
      <c r="AY152" s="56" t="str">
        <f>IF($AS152=1,COUNTIF($AS$6:$AS152,1),"")</f>
        <v/>
      </c>
      <c r="AZ152" s="56">
        <f>MIN(146,N(Lists!$W$8))</f>
        <v>28</v>
      </c>
      <c r="BA152" s="56">
        <f>IF($AS152=1,IF(COUNTIFS($A$6:$A152,$A152,$AS$6:$AS152,1)=1,1,0),0)</f>
        <v>0</v>
      </c>
      <c r="BB152" s="55" t="str">
        <f>IF($BA152=1,SUMIFS($Q$6:$Q$1005,$A$6:$A$1005,$A152,$AS$6:$AS$1005,1),"")</f>
        <v/>
      </c>
      <c r="BC152" s="56">
        <f>IF(ISNUMBER($R152),1,0)</f>
        <v>0</v>
      </c>
      <c r="BD152" s="55" t="str">
        <f>IF(ISNUMBER($U152),$U152*$V152,"")</f>
        <v/>
      </c>
      <c r="BE152" s="56" t="str">
        <f>IF($AM152=0,"",IFERROR(MATCH($AF152&amp;"|"&amp;UPPER(TRIM($E152)),Lists!$A$6:$A$205,0),0))</f>
        <v/>
      </c>
      <c r="BF152" s="56" t="str">
        <f>IF($AM152=0,"",IFERROR(MATCH($AF152,Settings!$B$14:$B$18,0),IFERROR(MATCH(Settings!$C$6,Settings!$B$14:$B$18,0),1)))</f>
        <v/>
      </c>
      <c r="BG152" s="58" t="str">
        <f>IF($AM152=0,"",IF(NOT(ISNUMBER($I152)),"No stop; ","")&amp;IF(AND(ISNUMBER($H152),ISNUMBER($I152)),IF(OR(AND($F152&lt;&gt;"Short",$I152&gt;=$H152),AND($F152="Short",$I152&lt;=$H152)),"Stop on wrong side; ",""),"")&amp;IF($F152="","No direction; ","")&amp;IF(AND(ISNUMBER(Settings!$C$22),ISNUMBER($V152)),IF($V152&gt;Settings!$C$22,"Risk over max $; ",""),"")&amp;IF(AND(ISNUMBER(Settings!$C$23),ISNUMBER($V152),ISNUMBER($AP152),IFERROR(N(INDEX(Accounts!$E$7:$E$16,MATCH($C152,Accounts!$B$7:$B$16,0))),0)&gt;0),IF($V152&gt;Settings!$C$23*($AP152-N($Q152)),"Risk over max %; ",""),"")&amp;IF(AND(ISNUMBER(Settings!$C$24),ISNUMBER($N152)),IF($N152&gt;Settings!$C$24,"Leverage over max; ",""),"")&amp;IF(AND(ISNUMBER(Settings!$C$27),ISNUMBER($T152)),IF($T152&lt;Settings!$C$27,"R:R below min; ",""),"")&amp;IF(ISNUMBER(Settings!$C$25),IF(COUNTIFS($A$6:$A152,$A152,$AM$6:$AM152,1)&gt;Settings!$C$25,"Over max trades/day; ",""),"")&amp;IF(ISNUMBER(Settings!$C$26),IF(SUMIFS($Q$5:$Q151,$A$5:$A151,$A152)&lt;=-Settings!$C$26,"Traded after daily max loss; ",""),"")&amp;IF(AND($AG152="",NOT(ISNUMBER($O152))),"Symbol not in Instruments; ","")&amp;IF(AND($AH152="",NOT(ISNUMBER($O152))),"Forex cross: type Gross P&amp;L; ",""))</f>
        <v/>
      </c>
      <c r="BH152" s="56">
        <f>IF(ISNUMBER($Q152),1,0)</f>
        <v>0</v>
      </c>
      <c r="BI152" s="56">
        <f>IF($Y152="",0,1)</f>
        <v>0</v>
      </c>
      <c r="BJ152" s="56">
        <f>IF($AB152="",0,1)</f>
        <v>0</v>
      </c>
      <c r="BK152" s="56">
        <f>IF(AND($BH152=1,$W152&lt;&gt;"OK"),1,0)</f>
        <v>0</v>
      </c>
      <c r="BL152" s="55">
        <f>IF(N($AZ152)=0,0,IFERROR(INDEX($AT$6:$AT$1005,MATCH($AZ152,$AY$6:$AY$1005,0)),0))</f>
        <v>1187.10688</v>
      </c>
      <c r="BM152" s="56">
        <f>IF(ISNUMBER(SEARCH("daily max loss",$BG152)),1,0)</f>
        <v>0</v>
      </c>
    </row>
    <row r="153" ht="18" customHeight="1">
      <c r="A153" s="38" t="n"/>
      <c r="B153" s="39" t="n"/>
      <c r="C153" s="40" t="n"/>
      <c r="D153" s="41" t="n"/>
      <c r="E153" s="41" t="n"/>
      <c r="F153" s="41" t="n"/>
      <c r="G153" s="41" t="n"/>
      <c r="H153" s="42" t="n"/>
      <c r="I153" s="42" t="n"/>
      <c r="J153" s="42" t="n"/>
      <c r="K153" s="42" t="n"/>
      <c r="L153" s="41" t="n"/>
      <c r="M153" s="41" t="n"/>
      <c r="N153" s="41" t="n"/>
      <c r="O153" s="43" t="n"/>
      <c r="P153" s="43" t="n"/>
      <c r="Q153" s="44" t="str">
        <f>IF($AM153=0,"",IF(ISNUMBER($AK153),$AK153-N($AL153),""))</f>
        <v/>
      </c>
      <c r="R153" s="45" t="str">
        <f>IF(OR($Q153="",NOT(ISNUMBER($V153))),"",$AK153/$V153)</f>
        <v/>
      </c>
      <c r="S153" s="46" t="str">
        <f>IF($Q153="","",IF(AND(ISNUMBER($R153),ABS(N($R153))&lt;N(Settings!$C$8)),"Scratch",IF($Q153&gt;0,"Win",IF($Q153&lt;0,"Loss","Scratch"))))</f>
        <v/>
      </c>
      <c r="T153" s="47" t="str">
        <f>IF(OR($AM153=0,NOT(ISNUMBER($H153)),NOT(ISNUMBER($I153)),NOT(ISNUMBER($J153))),"",IF($H153=$I153,"",ROUND(ABS($J153-$H153)/ABS($H153-$I153),6)))</f>
        <v/>
      </c>
      <c r="U153" s="48" t="str">
        <f>IF(OR($S153&lt;&gt;"Win",NOT(ISNUMBER($T153)),NOT(ISNUMBER($R153))),"",MAX(0,$T153-$R153))</f>
        <v/>
      </c>
      <c r="V153" s="49" t="str">
        <f>IF(OR($AM153=0,NOT(ISNUMBER($H153)),NOT(ISNUMBER($I153)),NOT(ISNUMBER($G153))),"",IF(OR($AG153="",$AH153=""),"",IF(ROUND(ABS($H153-$I153)*ABS($G153)*$AG153*$AH153,6)=0,"",ROUND(ABS($H153-$I153)*ABS($G153)*$AG153*$AH153,6))))</f>
        <v/>
      </c>
      <c r="W153" s="50" t="str">
        <f>IF($AM153=0,"",IF($BG153="","OK",LEFT($BG153,LEN($BG153)-2)))</f>
        <v/>
      </c>
      <c r="X153" s="41" t="n"/>
      <c r="Y153" s="40" t="n"/>
      <c r="Z153" s="41" t="n"/>
      <c r="AA153" s="41" t="n"/>
      <c r="AB153" s="40" t="n"/>
      <c r="AC153" s="51" t="n"/>
      <c r="AD153" s="51" t="n"/>
      <c r="AE153" s="40" t="n"/>
      <c r="AF153" s="52" t="str">
        <f>IF($AM153=0,"",IF($D153&lt;&gt;"",$D153,IF(IFERROR(INDEX(Accounts!$C$7:$C$16,MATCH($C153,Accounts!$B$7:$B$16,0))&amp;"","")&lt;&gt;"",INDEX(Accounts!$C$7:$C$16,MATCH($C153,Accounts!$B$7:$B$16,0)),Settings!$C$6)))</f>
        <v/>
      </c>
      <c r="AG153" s="53" t="str">
        <f>IF($AM153=0,"",IF(AND($BE153&gt;0,N(INDEX(Instruments!$D$6:$D$205,MAX(1,$BE153)))&gt;0),INDEX(Instruments!$D$6:$D$205,MAX(1,$BE153)),IF(N(INDEX(Settings!$D$14:$D$18,$BF153))&gt;0,INDEX(Settings!$D$14:$D$18,$BF153),"")))</f>
        <v/>
      </c>
      <c r="AH153" s="54" t="str">
        <f>IF($AM153=0,"",IF($AF153&lt;&gt;"Forex",1,IF(MID(UPPER(SUBSTITUTE(TRIM($E153),"/","")),4,3)=UPPER(TRIM(Settings!$C$7)),1,IF(LEFT(UPPER(SUBSTITUTE(TRIM($E153),"/","")),3)=UPPER(TRIM(Settings!$C$7)),IF(AND(ISNUMBER($K153),N($K153)&lt;&gt;0),1/$K153,""),""))))</f>
        <v/>
      </c>
      <c r="AI153" s="55" t="str">
        <f>IF($AM153=0,"",IF(OR(NOT(ISNUMBER($H153)),NOT(ISNUMBER($K153)),NOT(ISNUMBER($G153)),$AG153="",$AH153=""),"",ROUND(($K153-$H153)*IF($F153="Short",-1,1)*$G153*$AG153*$AH153,6)))</f>
        <v/>
      </c>
      <c r="AJ153" s="55" t="str">
        <f>IF($AM153=0,"",IF(INDEX(Settings!$E$14:$E$18,$BF153)="% of notional",IF(OR($AG153="",NOT(ISNUMBER($H153)),NOT(ISNUMBER($G153))),"",ROUND(ABS($H153*$G153*$AG153*N($AH153))*IF($L153="Limit",N(INDEX(Settings!$G$14:$G$18,$BF153)),N(INDEX(Settings!$H$14:$H$18,$BF153)))+IF(ISNUMBER($K153),ABS($K153*$G153*$AG153*N($AH153))*IF($M153="Target",N(INDEX(Settings!$G$14:$G$18,$BF153)),N(INDEX(Settings!$H$14:$H$18,$BF153))),0),6)),IF(NOT(ISNUMBER($G153)),"",ROUND(ABS($G153)*2*IF(AND($BE153&gt;0,ISNUMBER(INDEX(Instruments!$G$6:$G$205,MAX(1,$BE153)))),INDEX(Instruments!$G$6:$G$205,MAX(1,$BE153)),N(INDEX(Settings!$F$14:$F$18,$BF153))),6))))</f>
        <v/>
      </c>
      <c r="AK153" s="55" t="str">
        <f>IF($AM153=0,"",IF(ISNUMBER($O153),$O153,$AI153))</f>
        <v/>
      </c>
      <c r="AL153" s="55" t="str">
        <f>IF($AM153=0,"",IF(ISNUMBER($P153),$P153,N($AJ153)))</f>
        <v/>
      </c>
      <c r="AM153" s="56">
        <f>IF(AND($A153&lt;&gt;"",$E153&lt;&gt;"",OR(AND(ISNUMBER($G153),ISNUMBER($H153),ISNUMBER($K153)),ISNUMBER($O153))),1,0)</f>
        <v>0</v>
      </c>
      <c r="AN153" s="57" t="str">
        <f>IF($A153="","",$A153-WEEKDAY($A153,3))</f>
        <v/>
      </c>
      <c r="AO153" s="56" t="str">
        <f>IF($A153="","",WEEKDAY($A153,2))</f>
        <v/>
      </c>
      <c r="AP153" s="55" t="str">
        <f>IF(OR($AM153=0,$C153=""),"",IFERROR(N(INDEX(Accounts!$E$7:$E$16,MATCH($C153,Accounts!$B$7:$B$16,0))),0)+SUMIFS($Q$6:$Q153,$C$6:$C153,$C153))</f>
        <v/>
      </c>
      <c r="AQ153" s="55" t="str">
        <f>IF(OR($AM153=0,$C153=""),"",SUMIFS($Q$6:$Q$1005,$C$6:$C$1005,$C153,$A$6:$A$1005,$A153))</f>
        <v/>
      </c>
      <c r="AR153" s="55" t="str">
        <f>IF(OR($AM153=0,$C153=""),"",IFERROR(N(INDEX(Accounts!$E$7:$E$16,MATCH($C153,Accounts!$B$7:$B$16,0))),0)+SUMIFS($Q$6:$Q$1005,$C$6:$C$1005,$C153,$A$6:$A$1005,"&lt;="&amp;$A153))</f>
        <v/>
      </c>
      <c r="AS153" s="56">
        <f>IF(OR($AM153=0,$Q153=""),0,IF(AND($A153&gt;=Lists!$W$6,$A153&lt;=Lists!$W$7,OR(Dashboard!$D$6="All accounts",$C153=Dashboard!$D$6),OR(Dashboard!$D$7="All markets",$AF153=Dashboard!$D$7)),1,0))</f>
        <v>0</v>
      </c>
      <c r="AT153" s="55">
        <f>IF($AS153=1,N(AT152)+$Q153,N(AT152))</f>
        <v>1187.10688</v>
      </c>
      <c r="AU153" s="55">
        <f>MAX(N(AU152),$AT153)</f>
        <v>1187.10688</v>
      </c>
      <c r="AV153" s="55">
        <f>$AT153-$AU153</f>
        <v>0</v>
      </c>
      <c r="AW153" s="56">
        <f>IF($AS153=1,IF($S153="Win",N(AW152)+1,IF($S153="Loss",0,N(AW152))),N(AW152))</f>
        <v>5</v>
      </c>
      <c r="AX153" s="56">
        <f>IF($AS153=1,IF($S153="Loss",N(AX152)+1,IF($S153="Win",0,N(AX152))),N(AX152))</f>
        <v>0</v>
      </c>
      <c r="AY153" s="56" t="str">
        <f>IF($AS153=1,COUNTIF($AS$6:$AS153,1),"")</f>
        <v/>
      </c>
      <c r="AZ153" s="56">
        <f>MIN(147,N(Lists!$W$8))</f>
        <v>28</v>
      </c>
      <c r="BA153" s="56">
        <f>IF($AS153=1,IF(COUNTIFS($A$6:$A153,$A153,$AS$6:$AS153,1)=1,1,0),0)</f>
        <v>0</v>
      </c>
      <c r="BB153" s="55" t="str">
        <f>IF($BA153=1,SUMIFS($Q$6:$Q$1005,$A$6:$A$1005,$A153,$AS$6:$AS$1005,1),"")</f>
        <v/>
      </c>
      <c r="BC153" s="56">
        <f>IF(ISNUMBER($R153),1,0)</f>
        <v>0</v>
      </c>
      <c r="BD153" s="55" t="str">
        <f>IF(ISNUMBER($U153),$U153*$V153,"")</f>
        <v/>
      </c>
      <c r="BE153" s="56" t="str">
        <f>IF($AM153=0,"",IFERROR(MATCH($AF153&amp;"|"&amp;UPPER(TRIM($E153)),Lists!$A$6:$A$205,0),0))</f>
        <v/>
      </c>
      <c r="BF153" s="56" t="str">
        <f>IF($AM153=0,"",IFERROR(MATCH($AF153,Settings!$B$14:$B$18,0),IFERROR(MATCH(Settings!$C$6,Settings!$B$14:$B$18,0),1)))</f>
        <v/>
      </c>
      <c r="BG153" s="58" t="str">
        <f>IF($AM153=0,"",IF(NOT(ISNUMBER($I153)),"No stop; ","")&amp;IF(AND(ISNUMBER($H153),ISNUMBER($I153)),IF(OR(AND($F153&lt;&gt;"Short",$I153&gt;=$H153),AND($F153="Short",$I153&lt;=$H153)),"Stop on wrong side; ",""),"")&amp;IF($F153="","No direction; ","")&amp;IF(AND(ISNUMBER(Settings!$C$22),ISNUMBER($V153)),IF($V153&gt;Settings!$C$22,"Risk over max $; ",""),"")&amp;IF(AND(ISNUMBER(Settings!$C$23),ISNUMBER($V153),ISNUMBER($AP153),IFERROR(N(INDEX(Accounts!$E$7:$E$16,MATCH($C153,Accounts!$B$7:$B$16,0))),0)&gt;0),IF($V153&gt;Settings!$C$23*($AP153-N($Q153)),"Risk over max %; ",""),"")&amp;IF(AND(ISNUMBER(Settings!$C$24),ISNUMBER($N153)),IF($N153&gt;Settings!$C$24,"Leverage over max; ",""),"")&amp;IF(AND(ISNUMBER(Settings!$C$27),ISNUMBER($T153)),IF($T153&lt;Settings!$C$27,"R:R below min; ",""),"")&amp;IF(ISNUMBER(Settings!$C$25),IF(COUNTIFS($A$6:$A153,$A153,$AM$6:$AM153,1)&gt;Settings!$C$25,"Over max trades/day; ",""),"")&amp;IF(ISNUMBER(Settings!$C$26),IF(SUMIFS($Q$5:$Q152,$A$5:$A152,$A153)&lt;=-Settings!$C$26,"Traded after daily max loss; ",""),"")&amp;IF(AND($AG153="",NOT(ISNUMBER($O153))),"Symbol not in Instruments; ","")&amp;IF(AND($AH153="",NOT(ISNUMBER($O153))),"Forex cross: type Gross P&amp;L; ",""))</f>
        <v/>
      </c>
      <c r="BH153" s="56">
        <f>IF(ISNUMBER($Q153),1,0)</f>
        <v>0</v>
      </c>
      <c r="BI153" s="56">
        <f>IF($Y153="",0,1)</f>
        <v>0</v>
      </c>
      <c r="BJ153" s="56">
        <f>IF($AB153="",0,1)</f>
        <v>0</v>
      </c>
      <c r="BK153" s="56">
        <f>IF(AND($BH153=1,$W153&lt;&gt;"OK"),1,0)</f>
        <v>0</v>
      </c>
      <c r="BL153" s="55">
        <f>IF(N($AZ153)=0,0,IFERROR(INDEX($AT$6:$AT$1005,MATCH($AZ153,$AY$6:$AY$1005,0)),0))</f>
        <v>1187.10688</v>
      </c>
      <c r="BM153" s="56">
        <f>IF(ISNUMBER(SEARCH("daily max loss",$BG153)),1,0)</f>
        <v>0</v>
      </c>
    </row>
    <row r="154" ht="18" customHeight="1">
      <c r="A154" s="38" t="n"/>
      <c r="B154" s="39" t="n"/>
      <c r="C154" s="40" t="n"/>
      <c r="D154" s="41" t="n"/>
      <c r="E154" s="41" t="n"/>
      <c r="F154" s="41" t="n"/>
      <c r="G154" s="41" t="n"/>
      <c r="H154" s="42" t="n"/>
      <c r="I154" s="42" t="n"/>
      <c r="J154" s="42" t="n"/>
      <c r="K154" s="42" t="n"/>
      <c r="L154" s="41" t="n"/>
      <c r="M154" s="41" t="n"/>
      <c r="N154" s="41" t="n"/>
      <c r="O154" s="43" t="n"/>
      <c r="P154" s="43" t="n"/>
      <c r="Q154" s="44" t="str">
        <f>IF($AM154=0,"",IF(ISNUMBER($AK154),$AK154-N($AL154),""))</f>
        <v/>
      </c>
      <c r="R154" s="45" t="str">
        <f>IF(OR($Q154="",NOT(ISNUMBER($V154))),"",$AK154/$V154)</f>
        <v/>
      </c>
      <c r="S154" s="46" t="str">
        <f>IF($Q154="","",IF(AND(ISNUMBER($R154),ABS(N($R154))&lt;N(Settings!$C$8)),"Scratch",IF($Q154&gt;0,"Win",IF($Q154&lt;0,"Loss","Scratch"))))</f>
        <v/>
      </c>
      <c r="T154" s="47" t="str">
        <f>IF(OR($AM154=0,NOT(ISNUMBER($H154)),NOT(ISNUMBER($I154)),NOT(ISNUMBER($J154))),"",IF($H154=$I154,"",ROUND(ABS($J154-$H154)/ABS($H154-$I154),6)))</f>
        <v/>
      </c>
      <c r="U154" s="48" t="str">
        <f>IF(OR($S154&lt;&gt;"Win",NOT(ISNUMBER($T154)),NOT(ISNUMBER($R154))),"",MAX(0,$T154-$R154))</f>
        <v/>
      </c>
      <c r="V154" s="49" t="str">
        <f>IF(OR($AM154=0,NOT(ISNUMBER($H154)),NOT(ISNUMBER($I154)),NOT(ISNUMBER($G154))),"",IF(OR($AG154="",$AH154=""),"",IF(ROUND(ABS($H154-$I154)*ABS($G154)*$AG154*$AH154,6)=0,"",ROUND(ABS($H154-$I154)*ABS($G154)*$AG154*$AH154,6))))</f>
        <v/>
      </c>
      <c r="W154" s="50" t="str">
        <f>IF($AM154=0,"",IF($BG154="","OK",LEFT($BG154,LEN($BG154)-2)))</f>
        <v/>
      </c>
      <c r="X154" s="41" t="n"/>
      <c r="Y154" s="40" t="n"/>
      <c r="Z154" s="41" t="n"/>
      <c r="AA154" s="41" t="n"/>
      <c r="AB154" s="40" t="n"/>
      <c r="AC154" s="51" t="n"/>
      <c r="AD154" s="51" t="n"/>
      <c r="AE154" s="40" t="n"/>
      <c r="AF154" s="52" t="str">
        <f>IF($AM154=0,"",IF($D154&lt;&gt;"",$D154,IF(IFERROR(INDEX(Accounts!$C$7:$C$16,MATCH($C154,Accounts!$B$7:$B$16,0))&amp;"","")&lt;&gt;"",INDEX(Accounts!$C$7:$C$16,MATCH($C154,Accounts!$B$7:$B$16,0)),Settings!$C$6)))</f>
        <v/>
      </c>
      <c r="AG154" s="53" t="str">
        <f>IF($AM154=0,"",IF(AND($BE154&gt;0,N(INDEX(Instruments!$D$6:$D$205,MAX(1,$BE154)))&gt;0),INDEX(Instruments!$D$6:$D$205,MAX(1,$BE154)),IF(N(INDEX(Settings!$D$14:$D$18,$BF154))&gt;0,INDEX(Settings!$D$14:$D$18,$BF154),"")))</f>
        <v/>
      </c>
      <c r="AH154" s="54" t="str">
        <f>IF($AM154=0,"",IF($AF154&lt;&gt;"Forex",1,IF(MID(UPPER(SUBSTITUTE(TRIM($E154),"/","")),4,3)=UPPER(TRIM(Settings!$C$7)),1,IF(LEFT(UPPER(SUBSTITUTE(TRIM($E154),"/","")),3)=UPPER(TRIM(Settings!$C$7)),IF(AND(ISNUMBER($K154),N($K154)&lt;&gt;0),1/$K154,""),""))))</f>
        <v/>
      </c>
      <c r="AI154" s="55" t="str">
        <f>IF($AM154=0,"",IF(OR(NOT(ISNUMBER($H154)),NOT(ISNUMBER($K154)),NOT(ISNUMBER($G154)),$AG154="",$AH154=""),"",ROUND(($K154-$H154)*IF($F154="Short",-1,1)*$G154*$AG154*$AH154,6)))</f>
        <v/>
      </c>
      <c r="AJ154" s="55" t="str">
        <f>IF($AM154=0,"",IF(INDEX(Settings!$E$14:$E$18,$BF154)="% of notional",IF(OR($AG154="",NOT(ISNUMBER($H154)),NOT(ISNUMBER($G154))),"",ROUND(ABS($H154*$G154*$AG154*N($AH154))*IF($L154="Limit",N(INDEX(Settings!$G$14:$G$18,$BF154)),N(INDEX(Settings!$H$14:$H$18,$BF154)))+IF(ISNUMBER($K154),ABS($K154*$G154*$AG154*N($AH154))*IF($M154="Target",N(INDEX(Settings!$G$14:$G$18,$BF154)),N(INDEX(Settings!$H$14:$H$18,$BF154))),0),6)),IF(NOT(ISNUMBER($G154)),"",ROUND(ABS($G154)*2*IF(AND($BE154&gt;0,ISNUMBER(INDEX(Instruments!$G$6:$G$205,MAX(1,$BE154)))),INDEX(Instruments!$G$6:$G$205,MAX(1,$BE154)),N(INDEX(Settings!$F$14:$F$18,$BF154))),6))))</f>
        <v/>
      </c>
      <c r="AK154" s="55" t="str">
        <f>IF($AM154=0,"",IF(ISNUMBER($O154),$O154,$AI154))</f>
        <v/>
      </c>
      <c r="AL154" s="55" t="str">
        <f>IF($AM154=0,"",IF(ISNUMBER($P154),$P154,N($AJ154)))</f>
        <v/>
      </c>
      <c r="AM154" s="56">
        <f>IF(AND($A154&lt;&gt;"",$E154&lt;&gt;"",OR(AND(ISNUMBER($G154),ISNUMBER($H154),ISNUMBER($K154)),ISNUMBER($O154))),1,0)</f>
        <v>0</v>
      </c>
      <c r="AN154" s="57" t="str">
        <f>IF($A154="","",$A154-WEEKDAY($A154,3))</f>
        <v/>
      </c>
      <c r="AO154" s="56" t="str">
        <f>IF($A154="","",WEEKDAY($A154,2))</f>
        <v/>
      </c>
      <c r="AP154" s="55" t="str">
        <f>IF(OR($AM154=0,$C154=""),"",IFERROR(N(INDEX(Accounts!$E$7:$E$16,MATCH($C154,Accounts!$B$7:$B$16,0))),0)+SUMIFS($Q$6:$Q154,$C$6:$C154,$C154))</f>
        <v/>
      </c>
      <c r="AQ154" s="55" t="str">
        <f>IF(OR($AM154=0,$C154=""),"",SUMIFS($Q$6:$Q$1005,$C$6:$C$1005,$C154,$A$6:$A$1005,$A154))</f>
        <v/>
      </c>
      <c r="AR154" s="55" t="str">
        <f>IF(OR($AM154=0,$C154=""),"",IFERROR(N(INDEX(Accounts!$E$7:$E$16,MATCH($C154,Accounts!$B$7:$B$16,0))),0)+SUMIFS($Q$6:$Q$1005,$C$6:$C$1005,$C154,$A$6:$A$1005,"&lt;="&amp;$A154))</f>
        <v/>
      </c>
      <c r="AS154" s="56">
        <f>IF(OR($AM154=0,$Q154=""),0,IF(AND($A154&gt;=Lists!$W$6,$A154&lt;=Lists!$W$7,OR(Dashboard!$D$6="All accounts",$C154=Dashboard!$D$6),OR(Dashboard!$D$7="All markets",$AF154=Dashboard!$D$7)),1,0))</f>
        <v>0</v>
      </c>
      <c r="AT154" s="55">
        <f>IF($AS154=1,N(AT153)+$Q154,N(AT153))</f>
        <v>1187.10688</v>
      </c>
      <c r="AU154" s="55">
        <f>MAX(N(AU153),$AT154)</f>
        <v>1187.10688</v>
      </c>
      <c r="AV154" s="55">
        <f>$AT154-$AU154</f>
        <v>0</v>
      </c>
      <c r="AW154" s="56">
        <f>IF($AS154=1,IF($S154="Win",N(AW153)+1,IF($S154="Loss",0,N(AW153))),N(AW153))</f>
        <v>5</v>
      </c>
      <c r="AX154" s="56">
        <f>IF($AS154=1,IF($S154="Loss",N(AX153)+1,IF($S154="Win",0,N(AX153))),N(AX153))</f>
        <v>0</v>
      </c>
      <c r="AY154" s="56" t="str">
        <f>IF($AS154=1,COUNTIF($AS$6:$AS154,1),"")</f>
        <v/>
      </c>
      <c r="AZ154" s="56">
        <f>MIN(148,N(Lists!$W$8))</f>
        <v>28</v>
      </c>
      <c r="BA154" s="56">
        <f>IF($AS154=1,IF(COUNTIFS($A$6:$A154,$A154,$AS$6:$AS154,1)=1,1,0),0)</f>
        <v>0</v>
      </c>
      <c r="BB154" s="55" t="str">
        <f>IF($BA154=1,SUMIFS($Q$6:$Q$1005,$A$6:$A$1005,$A154,$AS$6:$AS$1005,1),"")</f>
        <v/>
      </c>
      <c r="BC154" s="56">
        <f>IF(ISNUMBER($R154),1,0)</f>
        <v>0</v>
      </c>
      <c r="BD154" s="55" t="str">
        <f>IF(ISNUMBER($U154),$U154*$V154,"")</f>
        <v/>
      </c>
      <c r="BE154" s="56" t="str">
        <f>IF($AM154=0,"",IFERROR(MATCH($AF154&amp;"|"&amp;UPPER(TRIM($E154)),Lists!$A$6:$A$205,0),0))</f>
        <v/>
      </c>
      <c r="BF154" s="56" t="str">
        <f>IF($AM154=0,"",IFERROR(MATCH($AF154,Settings!$B$14:$B$18,0),IFERROR(MATCH(Settings!$C$6,Settings!$B$14:$B$18,0),1)))</f>
        <v/>
      </c>
      <c r="BG154" s="58" t="str">
        <f>IF($AM154=0,"",IF(NOT(ISNUMBER($I154)),"No stop; ","")&amp;IF(AND(ISNUMBER($H154),ISNUMBER($I154)),IF(OR(AND($F154&lt;&gt;"Short",$I154&gt;=$H154),AND($F154="Short",$I154&lt;=$H154)),"Stop on wrong side; ",""),"")&amp;IF($F154="","No direction; ","")&amp;IF(AND(ISNUMBER(Settings!$C$22),ISNUMBER($V154)),IF($V154&gt;Settings!$C$22,"Risk over max $; ",""),"")&amp;IF(AND(ISNUMBER(Settings!$C$23),ISNUMBER($V154),ISNUMBER($AP154),IFERROR(N(INDEX(Accounts!$E$7:$E$16,MATCH($C154,Accounts!$B$7:$B$16,0))),0)&gt;0),IF($V154&gt;Settings!$C$23*($AP154-N($Q154)),"Risk over max %; ",""),"")&amp;IF(AND(ISNUMBER(Settings!$C$24),ISNUMBER($N154)),IF($N154&gt;Settings!$C$24,"Leverage over max; ",""),"")&amp;IF(AND(ISNUMBER(Settings!$C$27),ISNUMBER($T154)),IF($T154&lt;Settings!$C$27,"R:R below min; ",""),"")&amp;IF(ISNUMBER(Settings!$C$25),IF(COUNTIFS($A$6:$A154,$A154,$AM$6:$AM154,1)&gt;Settings!$C$25,"Over max trades/day; ",""),"")&amp;IF(ISNUMBER(Settings!$C$26),IF(SUMIFS($Q$5:$Q153,$A$5:$A153,$A154)&lt;=-Settings!$C$26,"Traded after daily max loss; ",""),"")&amp;IF(AND($AG154="",NOT(ISNUMBER($O154))),"Symbol not in Instruments; ","")&amp;IF(AND($AH154="",NOT(ISNUMBER($O154))),"Forex cross: type Gross P&amp;L; ",""))</f>
        <v/>
      </c>
      <c r="BH154" s="56">
        <f>IF(ISNUMBER($Q154),1,0)</f>
        <v>0</v>
      </c>
      <c r="BI154" s="56">
        <f>IF($Y154="",0,1)</f>
        <v>0</v>
      </c>
      <c r="BJ154" s="56">
        <f>IF($AB154="",0,1)</f>
        <v>0</v>
      </c>
      <c r="BK154" s="56">
        <f>IF(AND($BH154=1,$W154&lt;&gt;"OK"),1,0)</f>
        <v>0</v>
      </c>
      <c r="BL154" s="55">
        <f>IF(N($AZ154)=0,0,IFERROR(INDEX($AT$6:$AT$1005,MATCH($AZ154,$AY$6:$AY$1005,0)),0))</f>
        <v>1187.10688</v>
      </c>
      <c r="BM154" s="56">
        <f>IF(ISNUMBER(SEARCH("daily max loss",$BG154)),1,0)</f>
        <v>0</v>
      </c>
    </row>
    <row r="155" ht="18" customHeight="1">
      <c r="A155" s="38" t="n"/>
      <c r="B155" s="39" t="n"/>
      <c r="C155" s="40" t="n"/>
      <c r="D155" s="41" t="n"/>
      <c r="E155" s="41" t="n"/>
      <c r="F155" s="41" t="n"/>
      <c r="G155" s="41" t="n"/>
      <c r="H155" s="42" t="n"/>
      <c r="I155" s="42" t="n"/>
      <c r="J155" s="42" t="n"/>
      <c r="K155" s="42" t="n"/>
      <c r="L155" s="41" t="n"/>
      <c r="M155" s="41" t="n"/>
      <c r="N155" s="41" t="n"/>
      <c r="O155" s="43" t="n"/>
      <c r="P155" s="43" t="n"/>
      <c r="Q155" s="44" t="str">
        <f>IF($AM155=0,"",IF(ISNUMBER($AK155),$AK155-N($AL155),""))</f>
        <v/>
      </c>
      <c r="R155" s="45" t="str">
        <f>IF(OR($Q155="",NOT(ISNUMBER($V155))),"",$AK155/$V155)</f>
        <v/>
      </c>
      <c r="S155" s="46" t="str">
        <f>IF($Q155="","",IF(AND(ISNUMBER($R155),ABS(N($R155))&lt;N(Settings!$C$8)),"Scratch",IF($Q155&gt;0,"Win",IF($Q155&lt;0,"Loss","Scratch"))))</f>
        <v/>
      </c>
      <c r="T155" s="47" t="str">
        <f>IF(OR($AM155=0,NOT(ISNUMBER($H155)),NOT(ISNUMBER($I155)),NOT(ISNUMBER($J155))),"",IF($H155=$I155,"",ROUND(ABS($J155-$H155)/ABS($H155-$I155),6)))</f>
        <v/>
      </c>
      <c r="U155" s="48" t="str">
        <f>IF(OR($S155&lt;&gt;"Win",NOT(ISNUMBER($T155)),NOT(ISNUMBER($R155))),"",MAX(0,$T155-$R155))</f>
        <v/>
      </c>
      <c r="V155" s="49" t="str">
        <f>IF(OR($AM155=0,NOT(ISNUMBER($H155)),NOT(ISNUMBER($I155)),NOT(ISNUMBER($G155))),"",IF(OR($AG155="",$AH155=""),"",IF(ROUND(ABS($H155-$I155)*ABS($G155)*$AG155*$AH155,6)=0,"",ROUND(ABS($H155-$I155)*ABS($G155)*$AG155*$AH155,6))))</f>
        <v/>
      </c>
      <c r="W155" s="50" t="str">
        <f>IF($AM155=0,"",IF($BG155="","OK",LEFT($BG155,LEN($BG155)-2)))</f>
        <v/>
      </c>
      <c r="X155" s="41" t="n"/>
      <c r="Y155" s="40" t="n"/>
      <c r="Z155" s="41" t="n"/>
      <c r="AA155" s="41" t="n"/>
      <c r="AB155" s="40" t="n"/>
      <c r="AC155" s="51" t="n"/>
      <c r="AD155" s="51" t="n"/>
      <c r="AE155" s="40" t="n"/>
      <c r="AF155" s="52" t="str">
        <f>IF($AM155=0,"",IF($D155&lt;&gt;"",$D155,IF(IFERROR(INDEX(Accounts!$C$7:$C$16,MATCH($C155,Accounts!$B$7:$B$16,0))&amp;"","")&lt;&gt;"",INDEX(Accounts!$C$7:$C$16,MATCH($C155,Accounts!$B$7:$B$16,0)),Settings!$C$6)))</f>
        <v/>
      </c>
      <c r="AG155" s="53" t="str">
        <f>IF($AM155=0,"",IF(AND($BE155&gt;0,N(INDEX(Instruments!$D$6:$D$205,MAX(1,$BE155)))&gt;0),INDEX(Instruments!$D$6:$D$205,MAX(1,$BE155)),IF(N(INDEX(Settings!$D$14:$D$18,$BF155))&gt;0,INDEX(Settings!$D$14:$D$18,$BF155),"")))</f>
        <v/>
      </c>
      <c r="AH155" s="54" t="str">
        <f>IF($AM155=0,"",IF($AF155&lt;&gt;"Forex",1,IF(MID(UPPER(SUBSTITUTE(TRIM($E155),"/","")),4,3)=UPPER(TRIM(Settings!$C$7)),1,IF(LEFT(UPPER(SUBSTITUTE(TRIM($E155),"/","")),3)=UPPER(TRIM(Settings!$C$7)),IF(AND(ISNUMBER($K155),N($K155)&lt;&gt;0),1/$K155,""),""))))</f>
        <v/>
      </c>
      <c r="AI155" s="55" t="str">
        <f>IF($AM155=0,"",IF(OR(NOT(ISNUMBER($H155)),NOT(ISNUMBER($K155)),NOT(ISNUMBER($G155)),$AG155="",$AH155=""),"",ROUND(($K155-$H155)*IF($F155="Short",-1,1)*$G155*$AG155*$AH155,6)))</f>
        <v/>
      </c>
      <c r="AJ155" s="55" t="str">
        <f>IF($AM155=0,"",IF(INDEX(Settings!$E$14:$E$18,$BF155)="% of notional",IF(OR($AG155="",NOT(ISNUMBER($H155)),NOT(ISNUMBER($G155))),"",ROUND(ABS($H155*$G155*$AG155*N($AH155))*IF($L155="Limit",N(INDEX(Settings!$G$14:$G$18,$BF155)),N(INDEX(Settings!$H$14:$H$18,$BF155)))+IF(ISNUMBER($K155),ABS($K155*$G155*$AG155*N($AH155))*IF($M155="Target",N(INDEX(Settings!$G$14:$G$18,$BF155)),N(INDEX(Settings!$H$14:$H$18,$BF155))),0),6)),IF(NOT(ISNUMBER($G155)),"",ROUND(ABS($G155)*2*IF(AND($BE155&gt;0,ISNUMBER(INDEX(Instruments!$G$6:$G$205,MAX(1,$BE155)))),INDEX(Instruments!$G$6:$G$205,MAX(1,$BE155)),N(INDEX(Settings!$F$14:$F$18,$BF155))),6))))</f>
        <v/>
      </c>
      <c r="AK155" s="55" t="str">
        <f>IF($AM155=0,"",IF(ISNUMBER($O155),$O155,$AI155))</f>
        <v/>
      </c>
      <c r="AL155" s="55" t="str">
        <f>IF($AM155=0,"",IF(ISNUMBER($P155),$P155,N($AJ155)))</f>
        <v/>
      </c>
      <c r="AM155" s="56">
        <f>IF(AND($A155&lt;&gt;"",$E155&lt;&gt;"",OR(AND(ISNUMBER($G155),ISNUMBER($H155),ISNUMBER($K155)),ISNUMBER($O155))),1,0)</f>
        <v>0</v>
      </c>
      <c r="AN155" s="57" t="str">
        <f>IF($A155="","",$A155-WEEKDAY($A155,3))</f>
        <v/>
      </c>
      <c r="AO155" s="56" t="str">
        <f>IF($A155="","",WEEKDAY($A155,2))</f>
        <v/>
      </c>
      <c r="AP155" s="55" t="str">
        <f>IF(OR($AM155=0,$C155=""),"",IFERROR(N(INDEX(Accounts!$E$7:$E$16,MATCH($C155,Accounts!$B$7:$B$16,0))),0)+SUMIFS($Q$6:$Q155,$C$6:$C155,$C155))</f>
        <v/>
      </c>
      <c r="AQ155" s="55" t="str">
        <f>IF(OR($AM155=0,$C155=""),"",SUMIFS($Q$6:$Q$1005,$C$6:$C$1005,$C155,$A$6:$A$1005,$A155))</f>
        <v/>
      </c>
      <c r="AR155" s="55" t="str">
        <f>IF(OR($AM155=0,$C155=""),"",IFERROR(N(INDEX(Accounts!$E$7:$E$16,MATCH($C155,Accounts!$B$7:$B$16,0))),0)+SUMIFS($Q$6:$Q$1005,$C$6:$C$1005,$C155,$A$6:$A$1005,"&lt;="&amp;$A155))</f>
        <v/>
      </c>
      <c r="AS155" s="56">
        <f>IF(OR($AM155=0,$Q155=""),0,IF(AND($A155&gt;=Lists!$W$6,$A155&lt;=Lists!$W$7,OR(Dashboard!$D$6="All accounts",$C155=Dashboard!$D$6),OR(Dashboard!$D$7="All markets",$AF155=Dashboard!$D$7)),1,0))</f>
        <v>0</v>
      </c>
      <c r="AT155" s="55">
        <f>IF($AS155=1,N(AT154)+$Q155,N(AT154))</f>
        <v>1187.10688</v>
      </c>
      <c r="AU155" s="55">
        <f>MAX(N(AU154),$AT155)</f>
        <v>1187.10688</v>
      </c>
      <c r="AV155" s="55">
        <f>$AT155-$AU155</f>
        <v>0</v>
      </c>
      <c r="AW155" s="56">
        <f>IF($AS155=1,IF($S155="Win",N(AW154)+1,IF($S155="Loss",0,N(AW154))),N(AW154))</f>
        <v>5</v>
      </c>
      <c r="AX155" s="56">
        <f>IF($AS155=1,IF($S155="Loss",N(AX154)+1,IF($S155="Win",0,N(AX154))),N(AX154))</f>
        <v>0</v>
      </c>
      <c r="AY155" s="56" t="str">
        <f>IF($AS155=1,COUNTIF($AS$6:$AS155,1),"")</f>
        <v/>
      </c>
      <c r="AZ155" s="56">
        <f>MIN(149,N(Lists!$W$8))</f>
        <v>28</v>
      </c>
      <c r="BA155" s="56">
        <f>IF($AS155=1,IF(COUNTIFS($A$6:$A155,$A155,$AS$6:$AS155,1)=1,1,0),0)</f>
        <v>0</v>
      </c>
      <c r="BB155" s="55" t="str">
        <f>IF($BA155=1,SUMIFS($Q$6:$Q$1005,$A$6:$A$1005,$A155,$AS$6:$AS$1005,1),"")</f>
        <v/>
      </c>
      <c r="BC155" s="56">
        <f>IF(ISNUMBER($R155),1,0)</f>
        <v>0</v>
      </c>
      <c r="BD155" s="55" t="str">
        <f>IF(ISNUMBER($U155),$U155*$V155,"")</f>
        <v/>
      </c>
      <c r="BE155" s="56" t="str">
        <f>IF($AM155=0,"",IFERROR(MATCH($AF155&amp;"|"&amp;UPPER(TRIM($E155)),Lists!$A$6:$A$205,0),0))</f>
        <v/>
      </c>
      <c r="BF155" s="56" t="str">
        <f>IF($AM155=0,"",IFERROR(MATCH($AF155,Settings!$B$14:$B$18,0),IFERROR(MATCH(Settings!$C$6,Settings!$B$14:$B$18,0),1)))</f>
        <v/>
      </c>
      <c r="BG155" s="58" t="str">
        <f>IF($AM155=0,"",IF(NOT(ISNUMBER($I155)),"No stop; ","")&amp;IF(AND(ISNUMBER($H155),ISNUMBER($I155)),IF(OR(AND($F155&lt;&gt;"Short",$I155&gt;=$H155),AND($F155="Short",$I155&lt;=$H155)),"Stop on wrong side; ",""),"")&amp;IF($F155="","No direction; ","")&amp;IF(AND(ISNUMBER(Settings!$C$22),ISNUMBER($V155)),IF($V155&gt;Settings!$C$22,"Risk over max $; ",""),"")&amp;IF(AND(ISNUMBER(Settings!$C$23),ISNUMBER($V155),ISNUMBER($AP155),IFERROR(N(INDEX(Accounts!$E$7:$E$16,MATCH($C155,Accounts!$B$7:$B$16,0))),0)&gt;0),IF($V155&gt;Settings!$C$23*($AP155-N($Q155)),"Risk over max %; ",""),"")&amp;IF(AND(ISNUMBER(Settings!$C$24),ISNUMBER($N155)),IF($N155&gt;Settings!$C$24,"Leverage over max; ",""),"")&amp;IF(AND(ISNUMBER(Settings!$C$27),ISNUMBER($T155)),IF($T155&lt;Settings!$C$27,"R:R below min; ",""),"")&amp;IF(ISNUMBER(Settings!$C$25),IF(COUNTIFS($A$6:$A155,$A155,$AM$6:$AM155,1)&gt;Settings!$C$25,"Over max trades/day; ",""),"")&amp;IF(ISNUMBER(Settings!$C$26),IF(SUMIFS($Q$5:$Q154,$A$5:$A154,$A155)&lt;=-Settings!$C$26,"Traded after daily max loss; ",""),"")&amp;IF(AND($AG155="",NOT(ISNUMBER($O155))),"Symbol not in Instruments; ","")&amp;IF(AND($AH155="",NOT(ISNUMBER($O155))),"Forex cross: type Gross P&amp;L; ",""))</f>
        <v/>
      </c>
      <c r="BH155" s="56">
        <f>IF(ISNUMBER($Q155),1,0)</f>
        <v>0</v>
      </c>
      <c r="BI155" s="56">
        <f>IF($Y155="",0,1)</f>
        <v>0</v>
      </c>
      <c r="BJ155" s="56">
        <f>IF($AB155="",0,1)</f>
        <v>0</v>
      </c>
      <c r="BK155" s="56">
        <f>IF(AND($BH155=1,$W155&lt;&gt;"OK"),1,0)</f>
        <v>0</v>
      </c>
      <c r="BL155" s="55">
        <f>IF(N($AZ155)=0,0,IFERROR(INDEX($AT$6:$AT$1005,MATCH($AZ155,$AY$6:$AY$1005,0)),0))</f>
        <v>1187.10688</v>
      </c>
      <c r="BM155" s="56">
        <f>IF(ISNUMBER(SEARCH("daily max loss",$BG155)),1,0)</f>
        <v>0</v>
      </c>
    </row>
    <row r="156" ht="18" customHeight="1">
      <c r="A156" s="38" t="n"/>
      <c r="B156" s="39" t="n"/>
      <c r="C156" s="40" t="n"/>
      <c r="D156" s="41" t="n"/>
      <c r="E156" s="41" t="n"/>
      <c r="F156" s="41" t="n"/>
      <c r="G156" s="41" t="n"/>
      <c r="H156" s="42" t="n"/>
      <c r="I156" s="42" t="n"/>
      <c r="J156" s="42" t="n"/>
      <c r="K156" s="42" t="n"/>
      <c r="L156" s="41" t="n"/>
      <c r="M156" s="41" t="n"/>
      <c r="N156" s="41" t="n"/>
      <c r="O156" s="43" t="n"/>
      <c r="P156" s="43" t="n"/>
      <c r="Q156" s="44" t="str">
        <f>IF($AM156=0,"",IF(ISNUMBER($AK156),$AK156-N($AL156),""))</f>
        <v/>
      </c>
      <c r="R156" s="45" t="str">
        <f>IF(OR($Q156="",NOT(ISNUMBER($V156))),"",$AK156/$V156)</f>
        <v/>
      </c>
      <c r="S156" s="46" t="str">
        <f>IF($Q156="","",IF(AND(ISNUMBER($R156),ABS(N($R156))&lt;N(Settings!$C$8)),"Scratch",IF($Q156&gt;0,"Win",IF($Q156&lt;0,"Loss","Scratch"))))</f>
        <v/>
      </c>
      <c r="T156" s="47" t="str">
        <f>IF(OR($AM156=0,NOT(ISNUMBER($H156)),NOT(ISNUMBER($I156)),NOT(ISNUMBER($J156))),"",IF($H156=$I156,"",ROUND(ABS($J156-$H156)/ABS($H156-$I156),6)))</f>
        <v/>
      </c>
      <c r="U156" s="48" t="str">
        <f>IF(OR($S156&lt;&gt;"Win",NOT(ISNUMBER($T156)),NOT(ISNUMBER($R156))),"",MAX(0,$T156-$R156))</f>
        <v/>
      </c>
      <c r="V156" s="49" t="str">
        <f>IF(OR($AM156=0,NOT(ISNUMBER($H156)),NOT(ISNUMBER($I156)),NOT(ISNUMBER($G156))),"",IF(OR($AG156="",$AH156=""),"",IF(ROUND(ABS($H156-$I156)*ABS($G156)*$AG156*$AH156,6)=0,"",ROUND(ABS($H156-$I156)*ABS($G156)*$AG156*$AH156,6))))</f>
        <v/>
      </c>
      <c r="W156" s="50" t="str">
        <f>IF($AM156=0,"",IF($BG156="","OK",LEFT($BG156,LEN($BG156)-2)))</f>
        <v/>
      </c>
      <c r="X156" s="41" t="n"/>
      <c r="Y156" s="40" t="n"/>
      <c r="Z156" s="41" t="n"/>
      <c r="AA156" s="41" t="n"/>
      <c r="AB156" s="40" t="n"/>
      <c r="AC156" s="51" t="n"/>
      <c r="AD156" s="51" t="n"/>
      <c r="AE156" s="40" t="n"/>
      <c r="AF156" s="52" t="str">
        <f>IF($AM156=0,"",IF($D156&lt;&gt;"",$D156,IF(IFERROR(INDEX(Accounts!$C$7:$C$16,MATCH($C156,Accounts!$B$7:$B$16,0))&amp;"","")&lt;&gt;"",INDEX(Accounts!$C$7:$C$16,MATCH($C156,Accounts!$B$7:$B$16,0)),Settings!$C$6)))</f>
        <v/>
      </c>
      <c r="AG156" s="53" t="str">
        <f>IF($AM156=0,"",IF(AND($BE156&gt;0,N(INDEX(Instruments!$D$6:$D$205,MAX(1,$BE156)))&gt;0),INDEX(Instruments!$D$6:$D$205,MAX(1,$BE156)),IF(N(INDEX(Settings!$D$14:$D$18,$BF156))&gt;0,INDEX(Settings!$D$14:$D$18,$BF156),"")))</f>
        <v/>
      </c>
      <c r="AH156" s="54" t="str">
        <f>IF($AM156=0,"",IF($AF156&lt;&gt;"Forex",1,IF(MID(UPPER(SUBSTITUTE(TRIM($E156),"/","")),4,3)=UPPER(TRIM(Settings!$C$7)),1,IF(LEFT(UPPER(SUBSTITUTE(TRIM($E156),"/","")),3)=UPPER(TRIM(Settings!$C$7)),IF(AND(ISNUMBER($K156),N($K156)&lt;&gt;0),1/$K156,""),""))))</f>
        <v/>
      </c>
      <c r="AI156" s="55" t="str">
        <f>IF($AM156=0,"",IF(OR(NOT(ISNUMBER($H156)),NOT(ISNUMBER($K156)),NOT(ISNUMBER($G156)),$AG156="",$AH156=""),"",ROUND(($K156-$H156)*IF($F156="Short",-1,1)*$G156*$AG156*$AH156,6)))</f>
        <v/>
      </c>
      <c r="AJ156" s="55" t="str">
        <f>IF($AM156=0,"",IF(INDEX(Settings!$E$14:$E$18,$BF156)="% of notional",IF(OR($AG156="",NOT(ISNUMBER($H156)),NOT(ISNUMBER($G156))),"",ROUND(ABS($H156*$G156*$AG156*N($AH156))*IF($L156="Limit",N(INDEX(Settings!$G$14:$G$18,$BF156)),N(INDEX(Settings!$H$14:$H$18,$BF156)))+IF(ISNUMBER($K156),ABS($K156*$G156*$AG156*N($AH156))*IF($M156="Target",N(INDEX(Settings!$G$14:$G$18,$BF156)),N(INDEX(Settings!$H$14:$H$18,$BF156))),0),6)),IF(NOT(ISNUMBER($G156)),"",ROUND(ABS($G156)*2*IF(AND($BE156&gt;0,ISNUMBER(INDEX(Instruments!$G$6:$G$205,MAX(1,$BE156)))),INDEX(Instruments!$G$6:$G$205,MAX(1,$BE156)),N(INDEX(Settings!$F$14:$F$18,$BF156))),6))))</f>
        <v/>
      </c>
      <c r="AK156" s="55" t="str">
        <f>IF($AM156=0,"",IF(ISNUMBER($O156),$O156,$AI156))</f>
        <v/>
      </c>
      <c r="AL156" s="55" t="str">
        <f>IF($AM156=0,"",IF(ISNUMBER($P156),$P156,N($AJ156)))</f>
        <v/>
      </c>
      <c r="AM156" s="56">
        <f>IF(AND($A156&lt;&gt;"",$E156&lt;&gt;"",OR(AND(ISNUMBER($G156),ISNUMBER($H156),ISNUMBER($K156)),ISNUMBER($O156))),1,0)</f>
        <v>0</v>
      </c>
      <c r="AN156" s="57" t="str">
        <f>IF($A156="","",$A156-WEEKDAY($A156,3))</f>
        <v/>
      </c>
      <c r="AO156" s="56" t="str">
        <f>IF($A156="","",WEEKDAY($A156,2))</f>
        <v/>
      </c>
      <c r="AP156" s="55" t="str">
        <f>IF(OR($AM156=0,$C156=""),"",IFERROR(N(INDEX(Accounts!$E$7:$E$16,MATCH($C156,Accounts!$B$7:$B$16,0))),0)+SUMIFS($Q$6:$Q156,$C$6:$C156,$C156))</f>
        <v/>
      </c>
      <c r="AQ156" s="55" t="str">
        <f>IF(OR($AM156=0,$C156=""),"",SUMIFS($Q$6:$Q$1005,$C$6:$C$1005,$C156,$A$6:$A$1005,$A156))</f>
        <v/>
      </c>
      <c r="AR156" s="55" t="str">
        <f>IF(OR($AM156=0,$C156=""),"",IFERROR(N(INDEX(Accounts!$E$7:$E$16,MATCH($C156,Accounts!$B$7:$B$16,0))),0)+SUMIFS($Q$6:$Q$1005,$C$6:$C$1005,$C156,$A$6:$A$1005,"&lt;="&amp;$A156))</f>
        <v/>
      </c>
      <c r="AS156" s="56">
        <f>IF(OR($AM156=0,$Q156=""),0,IF(AND($A156&gt;=Lists!$W$6,$A156&lt;=Lists!$W$7,OR(Dashboard!$D$6="All accounts",$C156=Dashboard!$D$6),OR(Dashboard!$D$7="All markets",$AF156=Dashboard!$D$7)),1,0))</f>
        <v>0</v>
      </c>
      <c r="AT156" s="55">
        <f>IF($AS156=1,N(AT155)+$Q156,N(AT155))</f>
        <v>1187.10688</v>
      </c>
      <c r="AU156" s="55">
        <f>MAX(N(AU155),$AT156)</f>
        <v>1187.10688</v>
      </c>
      <c r="AV156" s="55">
        <f>$AT156-$AU156</f>
        <v>0</v>
      </c>
      <c r="AW156" s="56">
        <f>IF($AS156=1,IF($S156="Win",N(AW155)+1,IF($S156="Loss",0,N(AW155))),N(AW155))</f>
        <v>5</v>
      </c>
      <c r="AX156" s="56">
        <f>IF($AS156=1,IF($S156="Loss",N(AX155)+1,IF($S156="Win",0,N(AX155))),N(AX155))</f>
        <v>0</v>
      </c>
      <c r="AY156" s="56" t="str">
        <f>IF($AS156=1,COUNTIF($AS$6:$AS156,1),"")</f>
        <v/>
      </c>
      <c r="AZ156" s="56">
        <f>MIN(150,N(Lists!$W$8))</f>
        <v>28</v>
      </c>
      <c r="BA156" s="56">
        <f>IF($AS156=1,IF(COUNTIFS($A$6:$A156,$A156,$AS$6:$AS156,1)=1,1,0),0)</f>
        <v>0</v>
      </c>
      <c r="BB156" s="55" t="str">
        <f>IF($BA156=1,SUMIFS($Q$6:$Q$1005,$A$6:$A$1005,$A156,$AS$6:$AS$1005,1),"")</f>
        <v/>
      </c>
      <c r="BC156" s="56">
        <f>IF(ISNUMBER($R156),1,0)</f>
        <v>0</v>
      </c>
      <c r="BD156" s="55" t="str">
        <f>IF(ISNUMBER($U156),$U156*$V156,"")</f>
        <v/>
      </c>
      <c r="BE156" s="56" t="str">
        <f>IF($AM156=0,"",IFERROR(MATCH($AF156&amp;"|"&amp;UPPER(TRIM($E156)),Lists!$A$6:$A$205,0),0))</f>
        <v/>
      </c>
      <c r="BF156" s="56" t="str">
        <f>IF($AM156=0,"",IFERROR(MATCH($AF156,Settings!$B$14:$B$18,0),IFERROR(MATCH(Settings!$C$6,Settings!$B$14:$B$18,0),1)))</f>
        <v/>
      </c>
      <c r="BG156" s="58" t="str">
        <f>IF($AM156=0,"",IF(NOT(ISNUMBER($I156)),"No stop; ","")&amp;IF(AND(ISNUMBER($H156),ISNUMBER($I156)),IF(OR(AND($F156&lt;&gt;"Short",$I156&gt;=$H156),AND($F156="Short",$I156&lt;=$H156)),"Stop on wrong side; ",""),"")&amp;IF($F156="","No direction; ","")&amp;IF(AND(ISNUMBER(Settings!$C$22),ISNUMBER($V156)),IF($V156&gt;Settings!$C$22,"Risk over max $; ",""),"")&amp;IF(AND(ISNUMBER(Settings!$C$23),ISNUMBER($V156),ISNUMBER($AP156),IFERROR(N(INDEX(Accounts!$E$7:$E$16,MATCH($C156,Accounts!$B$7:$B$16,0))),0)&gt;0),IF($V156&gt;Settings!$C$23*($AP156-N($Q156)),"Risk over max %; ",""),"")&amp;IF(AND(ISNUMBER(Settings!$C$24),ISNUMBER($N156)),IF($N156&gt;Settings!$C$24,"Leverage over max; ",""),"")&amp;IF(AND(ISNUMBER(Settings!$C$27),ISNUMBER($T156)),IF($T156&lt;Settings!$C$27,"R:R below min; ",""),"")&amp;IF(ISNUMBER(Settings!$C$25),IF(COUNTIFS($A$6:$A156,$A156,$AM$6:$AM156,1)&gt;Settings!$C$25,"Over max trades/day; ",""),"")&amp;IF(ISNUMBER(Settings!$C$26),IF(SUMIFS($Q$5:$Q155,$A$5:$A155,$A156)&lt;=-Settings!$C$26,"Traded after daily max loss; ",""),"")&amp;IF(AND($AG156="",NOT(ISNUMBER($O156))),"Symbol not in Instruments; ","")&amp;IF(AND($AH156="",NOT(ISNUMBER($O156))),"Forex cross: type Gross P&amp;L; ",""))</f>
        <v/>
      </c>
      <c r="BH156" s="56">
        <f>IF(ISNUMBER($Q156),1,0)</f>
        <v>0</v>
      </c>
      <c r="BI156" s="56">
        <f>IF($Y156="",0,1)</f>
        <v>0</v>
      </c>
      <c r="BJ156" s="56">
        <f>IF($AB156="",0,1)</f>
        <v>0</v>
      </c>
      <c r="BK156" s="56">
        <f>IF(AND($BH156=1,$W156&lt;&gt;"OK"),1,0)</f>
        <v>0</v>
      </c>
      <c r="BL156" s="55">
        <f>IF(N($AZ156)=0,0,IFERROR(INDEX($AT$6:$AT$1005,MATCH($AZ156,$AY$6:$AY$1005,0)),0))</f>
        <v>1187.10688</v>
      </c>
      <c r="BM156" s="56">
        <f>IF(ISNUMBER(SEARCH("daily max loss",$BG156)),1,0)</f>
        <v>0</v>
      </c>
    </row>
    <row r="157" ht="18" customHeight="1">
      <c r="A157" s="38" t="n"/>
      <c r="B157" s="39" t="n"/>
      <c r="C157" s="40" t="n"/>
      <c r="D157" s="41" t="n"/>
      <c r="E157" s="41" t="n"/>
      <c r="F157" s="41" t="n"/>
      <c r="G157" s="41" t="n"/>
      <c r="H157" s="42" t="n"/>
      <c r="I157" s="42" t="n"/>
      <c r="J157" s="42" t="n"/>
      <c r="K157" s="42" t="n"/>
      <c r="L157" s="41" t="n"/>
      <c r="M157" s="41" t="n"/>
      <c r="N157" s="41" t="n"/>
      <c r="O157" s="43" t="n"/>
      <c r="P157" s="43" t="n"/>
      <c r="Q157" s="44" t="str">
        <f>IF($AM157=0,"",IF(ISNUMBER($AK157),$AK157-N($AL157),""))</f>
        <v/>
      </c>
      <c r="R157" s="45" t="str">
        <f>IF(OR($Q157="",NOT(ISNUMBER($V157))),"",$AK157/$V157)</f>
        <v/>
      </c>
      <c r="S157" s="46" t="str">
        <f>IF($Q157="","",IF(AND(ISNUMBER($R157),ABS(N($R157))&lt;N(Settings!$C$8)),"Scratch",IF($Q157&gt;0,"Win",IF($Q157&lt;0,"Loss","Scratch"))))</f>
        <v/>
      </c>
      <c r="T157" s="47" t="str">
        <f>IF(OR($AM157=0,NOT(ISNUMBER($H157)),NOT(ISNUMBER($I157)),NOT(ISNUMBER($J157))),"",IF($H157=$I157,"",ROUND(ABS($J157-$H157)/ABS($H157-$I157),6)))</f>
        <v/>
      </c>
      <c r="U157" s="48" t="str">
        <f>IF(OR($S157&lt;&gt;"Win",NOT(ISNUMBER($T157)),NOT(ISNUMBER($R157))),"",MAX(0,$T157-$R157))</f>
        <v/>
      </c>
      <c r="V157" s="49" t="str">
        <f>IF(OR($AM157=0,NOT(ISNUMBER($H157)),NOT(ISNUMBER($I157)),NOT(ISNUMBER($G157))),"",IF(OR($AG157="",$AH157=""),"",IF(ROUND(ABS($H157-$I157)*ABS($G157)*$AG157*$AH157,6)=0,"",ROUND(ABS($H157-$I157)*ABS($G157)*$AG157*$AH157,6))))</f>
        <v/>
      </c>
      <c r="W157" s="50" t="str">
        <f>IF($AM157=0,"",IF($BG157="","OK",LEFT($BG157,LEN($BG157)-2)))</f>
        <v/>
      </c>
      <c r="X157" s="41" t="n"/>
      <c r="Y157" s="40" t="n"/>
      <c r="Z157" s="41" t="n"/>
      <c r="AA157" s="41" t="n"/>
      <c r="AB157" s="40" t="n"/>
      <c r="AC157" s="51" t="n"/>
      <c r="AD157" s="51" t="n"/>
      <c r="AE157" s="40" t="n"/>
      <c r="AF157" s="52" t="str">
        <f>IF($AM157=0,"",IF($D157&lt;&gt;"",$D157,IF(IFERROR(INDEX(Accounts!$C$7:$C$16,MATCH($C157,Accounts!$B$7:$B$16,0))&amp;"","")&lt;&gt;"",INDEX(Accounts!$C$7:$C$16,MATCH($C157,Accounts!$B$7:$B$16,0)),Settings!$C$6)))</f>
        <v/>
      </c>
      <c r="AG157" s="53" t="str">
        <f>IF($AM157=0,"",IF(AND($BE157&gt;0,N(INDEX(Instruments!$D$6:$D$205,MAX(1,$BE157)))&gt;0),INDEX(Instruments!$D$6:$D$205,MAX(1,$BE157)),IF(N(INDEX(Settings!$D$14:$D$18,$BF157))&gt;0,INDEX(Settings!$D$14:$D$18,$BF157),"")))</f>
        <v/>
      </c>
      <c r="AH157" s="54" t="str">
        <f>IF($AM157=0,"",IF($AF157&lt;&gt;"Forex",1,IF(MID(UPPER(SUBSTITUTE(TRIM($E157),"/","")),4,3)=UPPER(TRIM(Settings!$C$7)),1,IF(LEFT(UPPER(SUBSTITUTE(TRIM($E157),"/","")),3)=UPPER(TRIM(Settings!$C$7)),IF(AND(ISNUMBER($K157),N($K157)&lt;&gt;0),1/$K157,""),""))))</f>
        <v/>
      </c>
      <c r="AI157" s="55" t="str">
        <f>IF($AM157=0,"",IF(OR(NOT(ISNUMBER($H157)),NOT(ISNUMBER($K157)),NOT(ISNUMBER($G157)),$AG157="",$AH157=""),"",ROUND(($K157-$H157)*IF($F157="Short",-1,1)*$G157*$AG157*$AH157,6)))</f>
        <v/>
      </c>
      <c r="AJ157" s="55" t="str">
        <f>IF($AM157=0,"",IF(INDEX(Settings!$E$14:$E$18,$BF157)="% of notional",IF(OR($AG157="",NOT(ISNUMBER($H157)),NOT(ISNUMBER($G157))),"",ROUND(ABS($H157*$G157*$AG157*N($AH157))*IF($L157="Limit",N(INDEX(Settings!$G$14:$G$18,$BF157)),N(INDEX(Settings!$H$14:$H$18,$BF157)))+IF(ISNUMBER($K157),ABS($K157*$G157*$AG157*N($AH157))*IF($M157="Target",N(INDEX(Settings!$G$14:$G$18,$BF157)),N(INDEX(Settings!$H$14:$H$18,$BF157))),0),6)),IF(NOT(ISNUMBER($G157)),"",ROUND(ABS($G157)*2*IF(AND($BE157&gt;0,ISNUMBER(INDEX(Instruments!$G$6:$G$205,MAX(1,$BE157)))),INDEX(Instruments!$G$6:$G$205,MAX(1,$BE157)),N(INDEX(Settings!$F$14:$F$18,$BF157))),6))))</f>
        <v/>
      </c>
      <c r="AK157" s="55" t="str">
        <f>IF($AM157=0,"",IF(ISNUMBER($O157),$O157,$AI157))</f>
        <v/>
      </c>
      <c r="AL157" s="55" t="str">
        <f>IF($AM157=0,"",IF(ISNUMBER($P157),$P157,N($AJ157)))</f>
        <v/>
      </c>
      <c r="AM157" s="56">
        <f>IF(AND($A157&lt;&gt;"",$E157&lt;&gt;"",OR(AND(ISNUMBER($G157),ISNUMBER($H157),ISNUMBER($K157)),ISNUMBER($O157))),1,0)</f>
        <v>0</v>
      </c>
      <c r="AN157" s="57" t="str">
        <f>IF($A157="","",$A157-WEEKDAY($A157,3))</f>
        <v/>
      </c>
      <c r="AO157" s="56" t="str">
        <f>IF($A157="","",WEEKDAY($A157,2))</f>
        <v/>
      </c>
      <c r="AP157" s="55" t="str">
        <f>IF(OR($AM157=0,$C157=""),"",IFERROR(N(INDEX(Accounts!$E$7:$E$16,MATCH($C157,Accounts!$B$7:$B$16,0))),0)+SUMIFS($Q$6:$Q157,$C$6:$C157,$C157))</f>
        <v/>
      </c>
      <c r="AQ157" s="55" t="str">
        <f>IF(OR($AM157=0,$C157=""),"",SUMIFS($Q$6:$Q$1005,$C$6:$C$1005,$C157,$A$6:$A$1005,$A157))</f>
        <v/>
      </c>
      <c r="AR157" s="55" t="str">
        <f>IF(OR($AM157=0,$C157=""),"",IFERROR(N(INDEX(Accounts!$E$7:$E$16,MATCH($C157,Accounts!$B$7:$B$16,0))),0)+SUMIFS($Q$6:$Q$1005,$C$6:$C$1005,$C157,$A$6:$A$1005,"&lt;="&amp;$A157))</f>
        <v/>
      </c>
      <c r="AS157" s="56">
        <f>IF(OR($AM157=0,$Q157=""),0,IF(AND($A157&gt;=Lists!$W$6,$A157&lt;=Lists!$W$7,OR(Dashboard!$D$6="All accounts",$C157=Dashboard!$D$6),OR(Dashboard!$D$7="All markets",$AF157=Dashboard!$D$7)),1,0))</f>
        <v>0</v>
      </c>
      <c r="AT157" s="55">
        <f>IF($AS157=1,N(AT156)+$Q157,N(AT156))</f>
        <v>1187.10688</v>
      </c>
      <c r="AU157" s="55">
        <f>MAX(N(AU156),$AT157)</f>
        <v>1187.10688</v>
      </c>
      <c r="AV157" s="55">
        <f>$AT157-$AU157</f>
        <v>0</v>
      </c>
      <c r="AW157" s="56">
        <f>IF($AS157=1,IF($S157="Win",N(AW156)+1,IF($S157="Loss",0,N(AW156))),N(AW156))</f>
        <v>5</v>
      </c>
      <c r="AX157" s="56">
        <f>IF($AS157=1,IF($S157="Loss",N(AX156)+1,IF($S157="Win",0,N(AX156))),N(AX156))</f>
        <v>0</v>
      </c>
      <c r="AY157" s="56" t="str">
        <f>IF($AS157=1,COUNTIF($AS$6:$AS157,1),"")</f>
        <v/>
      </c>
      <c r="AZ157" s="56">
        <f>MIN(151,N(Lists!$W$8))</f>
        <v>28</v>
      </c>
      <c r="BA157" s="56">
        <f>IF($AS157=1,IF(COUNTIFS($A$6:$A157,$A157,$AS$6:$AS157,1)=1,1,0),0)</f>
        <v>0</v>
      </c>
      <c r="BB157" s="55" t="str">
        <f>IF($BA157=1,SUMIFS($Q$6:$Q$1005,$A$6:$A$1005,$A157,$AS$6:$AS$1005,1),"")</f>
        <v/>
      </c>
      <c r="BC157" s="56">
        <f>IF(ISNUMBER($R157),1,0)</f>
        <v>0</v>
      </c>
      <c r="BD157" s="55" t="str">
        <f>IF(ISNUMBER($U157),$U157*$V157,"")</f>
        <v/>
      </c>
      <c r="BE157" s="56" t="str">
        <f>IF($AM157=0,"",IFERROR(MATCH($AF157&amp;"|"&amp;UPPER(TRIM($E157)),Lists!$A$6:$A$205,0),0))</f>
        <v/>
      </c>
      <c r="BF157" s="56" t="str">
        <f>IF($AM157=0,"",IFERROR(MATCH($AF157,Settings!$B$14:$B$18,0),IFERROR(MATCH(Settings!$C$6,Settings!$B$14:$B$18,0),1)))</f>
        <v/>
      </c>
      <c r="BG157" s="58" t="str">
        <f>IF($AM157=0,"",IF(NOT(ISNUMBER($I157)),"No stop; ","")&amp;IF(AND(ISNUMBER($H157),ISNUMBER($I157)),IF(OR(AND($F157&lt;&gt;"Short",$I157&gt;=$H157),AND($F157="Short",$I157&lt;=$H157)),"Stop on wrong side; ",""),"")&amp;IF($F157="","No direction; ","")&amp;IF(AND(ISNUMBER(Settings!$C$22),ISNUMBER($V157)),IF($V157&gt;Settings!$C$22,"Risk over max $; ",""),"")&amp;IF(AND(ISNUMBER(Settings!$C$23),ISNUMBER($V157),ISNUMBER($AP157),IFERROR(N(INDEX(Accounts!$E$7:$E$16,MATCH($C157,Accounts!$B$7:$B$16,0))),0)&gt;0),IF($V157&gt;Settings!$C$23*($AP157-N($Q157)),"Risk over max %; ",""),"")&amp;IF(AND(ISNUMBER(Settings!$C$24),ISNUMBER($N157)),IF($N157&gt;Settings!$C$24,"Leverage over max; ",""),"")&amp;IF(AND(ISNUMBER(Settings!$C$27),ISNUMBER($T157)),IF($T157&lt;Settings!$C$27,"R:R below min; ",""),"")&amp;IF(ISNUMBER(Settings!$C$25),IF(COUNTIFS($A$6:$A157,$A157,$AM$6:$AM157,1)&gt;Settings!$C$25,"Over max trades/day; ",""),"")&amp;IF(ISNUMBER(Settings!$C$26),IF(SUMIFS($Q$5:$Q156,$A$5:$A156,$A157)&lt;=-Settings!$C$26,"Traded after daily max loss; ",""),"")&amp;IF(AND($AG157="",NOT(ISNUMBER($O157))),"Symbol not in Instruments; ","")&amp;IF(AND($AH157="",NOT(ISNUMBER($O157))),"Forex cross: type Gross P&amp;L; ",""))</f>
        <v/>
      </c>
      <c r="BH157" s="56">
        <f>IF(ISNUMBER($Q157),1,0)</f>
        <v>0</v>
      </c>
      <c r="BI157" s="56">
        <f>IF($Y157="",0,1)</f>
        <v>0</v>
      </c>
      <c r="BJ157" s="56">
        <f>IF($AB157="",0,1)</f>
        <v>0</v>
      </c>
      <c r="BK157" s="56">
        <f>IF(AND($BH157=1,$W157&lt;&gt;"OK"),1,0)</f>
        <v>0</v>
      </c>
      <c r="BL157" s="55">
        <f>IF(N($AZ157)=0,0,IFERROR(INDEX($AT$6:$AT$1005,MATCH($AZ157,$AY$6:$AY$1005,0)),0))</f>
        <v>1187.10688</v>
      </c>
      <c r="BM157" s="56">
        <f>IF(ISNUMBER(SEARCH("daily max loss",$BG157)),1,0)</f>
        <v>0</v>
      </c>
    </row>
    <row r="158" ht="18" customHeight="1">
      <c r="A158" s="38" t="n"/>
      <c r="B158" s="39" t="n"/>
      <c r="C158" s="40" t="n"/>
      <c r="D158" s="41" t="n"/>
      <c r="E158" s="41" t="n"/>
      <c r="F158" s="41" t="n"/>
      <c r="G158" s="41" t="n"/>
      <c r="H158" s="42" t="n"/>
      <c r="I158" s="42" t="n"/>
      <c r="J158" s="42" t="n"/>
      <c r="K158" s="42" t="n"/>
      <c r="L158" s="41" t="n"/>
      <c r="M158" s="41" t="n"/>
      <c r="N158" s="41" t="n"/>
      <c r="O158" s="43" t="n"/>
      <c r="P158" s="43" t="n"/>
      <c r="Q158" s="44" t="str">
        <f>IF($AM158=0,"",IF(ISNUMBER($AK158),$AK158-N($AL158),""))</f>
        <v/>
      </c>
      <c r="R158" s="45" t="str">
        <f>IF(OR($Q158="",NOT(ISNUMBER($V158))),"",$AK158/$V158)</f>
        <v/>
      </c>
      <c r="S158" s="46" t="str">
        <f>IF($Q158="","",IF(AND(ISNUMBER($R158),ABS(N($R158))&lt;N(Settings!$C$8)),"Scratch",IF($Q158&gt;0,"Win",IF($Q158&lt;0,"Loss","Scratch"))))</f>
        <v/>
      </c>
      <c r="T158" s="47" t="str">
        <f>IF(OR($AM158=0,NOT(ISNUMBER($H158)),NOT(ISNUMBER($I158)),NOT(ISNUMBER($J158))),"",IF($H158=$I158,"",ROUND(ABS($J158-$H158)/ABS($H158-$I158),6)))</f>
        <v/>
      </c>
      <c r="U158" s="48" t="str">
        <f>IF(OR($S158&lt;&gt;"Win",NOT(ISNUMBER($T158)),NOT(ISNUMBER($R158))),"",MAX(0,$T158-$R158))</f>
        <v/>
      </c>
      <c r="V158" s="49" t="str">
        <f>IF(OR($AM158=0,NOT(ISNUMBER($H158)),NOT(ISNUMBER($I158)),NOT(ISNUMBER($G158))),"",IF(OR($AG158="",$AH158=""),"",IF(ROUND(ABS($H158-$I158)*ABS($G158)*$AG158*$AH158,6)=0,"",ROUND(ABS($H158-$I158)*ABS($G158)*$AG158*$AH158,6))))</f>
        <v/>
      </c>
      <c r="W158" s="50" t="str">
        <f>IF($AM158=0,"",IF($BG158="","OK",LEFT($BG158,LEN($BG158)-2)))</f>
        <v/>
      </c>
      <c r="X158" s="41" t="n"/>
      <c r="Y158" s="40" t="n"/>
      <c r="Z158" s="41" t="n"/>
      <c r="AA158" s="41" t="n"/>
      <c r="AB158" s="40" t="n"/>
      <c r="AC158" s="51" t="n"/>
      <c r="AD158" s="51" t="n"/>
      <c r="AE158" s="40" t="n"/>
      <c r="AF158" s="52" t="str">
        <f>IF($AM158=0,"",IF($D158&lt;&gt;"",$D158,IF(IFERROR(INDEX(Accounts!$C$7:$C$16,MATCH($C158,Accounts!$B$7:$B$16,0))&amp;"","")&lt;&gt;"",INDEX(Accounts!$C$7:$C$16,MATCH($C158,Accounts!$B$7:$B$16,0)),Settings!$C$6)))</f>
        <v/>
      </c>
      <c r="AG158" s="53" t="str">
        <f>IF($AM158=0,"",IF(AND($BE158&gt;0,N(INDEX(Instruments!$D$6:$D$205,MAX(1,$BE158)))&gt;0),INDEX(Instruments!$D$6:$D$205,MAX(1,$BE158)),IF(N(INDEX(Settings!$D$14:$D$18,$BF158))&gt;0,INDEX(Settings!$D$14:$D$18,$BF158),"")))</f>
        <v/>
      </c>
      <c r="AH158" s="54" t="str">
        <f>IF($AM158=0,"",IF($AF158&lt;&gt;"Forex",1,IF(MID(UPPER(SUBSTITUTE(TRIM($E158),"/","")),4,3)=UPPER(TRIM(Settings!$C$7)),1,IF(LEFT(UPPER(SUBSTITUTE(TRIM($E158),"/","")),3)=UPPER(TRIM(Settings!$C$7)),IF(AND(ISNUMBER($K158),N($K158)&lt;&gt;0),1/$K158,""),""))))</f>
        <v/>
      </c>
      <c r="AI158" s="55" t="str">
        <f>IF($AM158=0,"",IF(OR(NOT(ISNUMBER($H158)),NOT(ISNUMBER($K158)),NOT(ISNUMBER($G158)),$AG158="",$AH158=""),"",ROUND(($K158-$H158)*IF($F158="Short",-1,1)*$G158*$AG158*$AH158,6)))</f>
        <v/>
      </c>
      <c r="AJ158" s="55" t="str">
        <f>IF($AM158=0,"",IF(INDEX(Settings!$E$14:$E$18,$BF158)="% of notional",IF(OR($AG158="",NOT(ISNUMBER($H158)),NOT(ISNUMBER($G158))),"",ROUND(ABS($H158*$G158*$AG158*N($AH158))*IF($L158="Limit",N(INDEX(Settings!$G$14:$G$18,$BF158)),N(INDEX(Settings!$H$14:$H$18,$BF158)))+IF(ISNUMBER($K158),ABS($K158*$G158*$AG158*N($AH158))*IF($M158="Target",N(INDEX(Settings!$G$14:$G$18,$BF158)),N(INDEX(Settings!$H$14:$H$18,$BF158))),0),6)),IF(NOT(ISNUMBER($G158)),"",ROUND(ABS($G158)*2*IF(AND($BE158&gt;0,ISNUMBER(INDEX(Instruments!$G$6:$G$205,MAX(1,$BE158)))),INDEX(Instruments!$G$6:$G$205,MAX(1,$BE158)),N(INDEX(Settings!$F$14:$F$18,$BF158))),6))))</f>
        <v/>
      </c>
      <c r="AK158" s="55" t="str">
        <f>IF($AM158=0,"",IF(ISNUMBER($O158),$O158,$AI158))</f>
        <v/>
      </c>
      <c r="AL158" s="55" t="str">
        <f>IF($AM158=0,"",IF(ISNUMBER($P158),$P158,N($AJ158)))</f>
        <v/>
      </c>
      <c r="AM158" s="56">
        <f>IF(AND($A158&lt;&gt;"",$E158&lt;&gt;"",OR(AND(ISNUMBER($G158),ISNUMBER($H158),ISNUMBER($K158)),ISNUMBER($O158))),1,0)</f>
        <v>0</v>
      </c>
      <c r="AN158" s="57" t="str">
        <f>IF($A158="","",$A158-WEEKDAY($A158,3))</f>
        <v/>
      </c>
      <c r="AO158" s="56" t="str">
        <f>IF($A158="","",WEEKDAY($A158,2))</f>
        <v/>
      </c>
      <c r="AP158" s="55" t="str">
        <f>IF(OR($AM158=0,$C158=""),"",IFERROR(N(INDEX(Accounts!$E$7:$E$16,MATCH($C158,Accounts!$B$7:$B$16,0))),0)+SUMIFS($Q$6:$Q158,$C$6:$C158,$C158))</f>
        <v/>
      </c>
      <c r="AQ158" s="55" t="str">
        <f>IF(OR($AM158=0,$C158=""),"",SUMIFS($Q$6:$Q$1005,$C$6:$C$1005,$C158,$A$6:$A$1005,$A158))</f>
        <v/>
      </c>
      <c r="AR158" s="55" t="str">
        <f>IF(OR($AM158=0,$C158=""),"",IFERROR(N(INDEX(Accounts!$E$7:$E$16,MATCH($C158,Accounts!$B$7:$B$16,0))),0)+SUMIFS($Q$6:$Q$1005,$C$6:$C$1005,$C158,$A$6:$A$1005,"&lt;="&amp;$A158))</f>
        <v/>
      </c>
      <c r="AS158" s="56">
        <f>IF(OR($AM158=0,$Q158=""),0,IF(AND($A158&gt;=Lists!$W$6,$A158&lt;=Lists!$W$7,OR(Dashboard!$D$6="All accounts",$C158=Dashboard!$D$6),OR(Dashboard!$D$7="All markets",$AF158=Dashboard!$D$7)),1,0))</f>
        <v>0</v>
      </c>
      <c r="AT158" s="55">
        <f>IF($AS158=1,N(AT157)+$Q158,N(AT157))</f>
        <v>1187.10688</v>
      </c>
      <c r="AU158" s="55">
        <f>MAX(N(AU157),$AT158)</f>
        <v>1187.10688</v>
      </c>
      <c r="AV158" s="55">
        <f>$AT158-$AU158</f>
        <v>0</v>
      </c>
      <c r="AW158" s="56">
        <f>IF($AS158=1,IF($S158="Win",N(AW157)+1,IF($S158="Loss",0,N(AW157))),N(AW157))</f>
        <v>5</v>
      </c>
      <c r="AX158" s="56">
        <f>IF($AS158=1,IF($S158="Loss",N(AX157)+1,IF($S158="Win",0,N(AX157))),N(AX157))</f>
        <v>0</v>
      </c>
      <c r="AY158" s="56" t="str">
        <f>IF($AS158=1,COUNTIF($AS$6:$AS158,1),"")</f>
        <v/>
      </c>
      <c r="AZ158" s="56">
        <f>MIN(152,N(Lists!$W$8))</f>
        <v>28</v>
      </c>
      <c r="BA158" s="56">
        <f>IF($AS158=1,IF(COUNTIFS($A$6:$A158,$A158,$AS$6:$AS158,1)=1,1,0),0)</f>
        <v>0</v>
      </c>
      <c r="BB158" s="55" t="str">
        <f>IF($BA158=1,SUMIFS($Q$6:$Q$1005,$A$6:$A$1005,$A158,$AS$6:$AS$1005,1),"")</f>
        <v/>
      </c>
      <c r="BC158" s="56">
        <f>IF(ISNUMBER($R158),1,0)</f>
        <v>0</v>
      </c>
      <c r="BD158" s="55" t="str">
        <f>IF(ISNUMBER($U158),$U158*$V158,"")</f>
        <v/>
      </c>
      <c r="BE158" s="56" t="str">
        <f>IF($AM158=0,"",IFERROR(MATCH($AF158&amp;"|"&amp;UPPER(TRIM($E158)),Lists!$A$6:$A$205,0),0))</f>
        <v/>
      </c>
      <c r="BF158" s="56" t="str">
        <f>IF($AM158=0,"",IFERROR(MATCH($AF158,Settings!$B$14:$B$18,0),IFERROR(MATCH(Settings!$C$6,Settings!$B$14:$B$18,0),1)))</f>
        <v/>
      </c>
      <c r="BG158" s="58" t="str">
        <f>IF($AM158=0,"",IF(NOT(ISNUMBER($I158)),"No stop; ","")&amp;IF(AND(ISNUMBER($H158),ISNUMBER($I158)),IF(OR(AND($F158&lt;&gt;"Short",$I158&gt;=$H158),AND($F158="Short",$I158&lt;=$H158)),"Stop on wrong side; ",""),"")&amp;IF($F158="","No direction; ","")&amp;IF(AND(ISNUMBER(Settings!$C$22),ISNUMBER($V158)),IF($V158&gt;Settings!$C$22,"Risk over max $; ",""),"")&amp;IF(AND(ISNUMBER(Settings!$C$23),ISNUMBER($V158),ISNUMBER($AP158),IFERROR(N(INDEX(Accounts!$E$7:$E$16,MATCH($C158,Accounts!$B$7:$B$16,0))),0)&gt;0),IF($V158&gt;Settings!$C$23*($AP158-N($Q158)),"Risk over max %; ",""),"")&amp;IF(AND(ISNUMBER(Settings!$C$24),ISNUMBER($N158)),IF($N158&gt;Settings!$C$24,"Leverage over max; ",""),"")&amp;IF(AND(ISNUMBER(Settings!$C$27),ISNUMBER($T158)),IF($T158&lt;Settings!$C$27,"R:R below min; ",""),"")&amp;IF(ISNUMBER(Settings!$C$25),IF(COUNTIFS($A$6:$A158,$A158,$AM$6:$AM158,1)&gt;Settings!$C$25,"Over max trades/day; ",""),"")&amp;IF(ISNUMBER(Settings!$C$26),IF(SUMIFS($Q$5:$Q157,$A$5:$A157,$A158)&lt;=-Settings!$C$26,"Traded after daily max loss; ",""),"")&amp;IF(AND($AG158="",NOT(ISNUMBER($O158))),"Symbol not in Instruments; ","")&amp;IF(AND($AH158="",NOT(ISNUMBER($O158))),"Forex cross: type Gross P&amp;L; ",""))</f>
        <v/>
      </c>
      <c r="BH158" s="56">
        <f>IF(ISNUMBER($Q158),1,0)</f>
        <v>0</v>
      </c>
      <c r="BI158" s="56">
        <f>IF($Y158="",0,1)</f>
        <v>0</v>
      </c>
      <c r="BJ158" s="56">
        <f>IF($AB158="",0,1)</f>
        <v>0</v>
      </c>
      <c r="BK158" s="56">
        <f>IF(AND($BH158=1,$W158&lt;&gt;"OK"),1,0)</f>
        <v>0</v>
      </c>
      <c r="BL158" s="55">
        <f>IF(N($AZ158)=0,0,IFERROR(INDEX($AT$6:$AT$1005,MATCH($AZ158,$AY$6:$AY$1005,0)),0))</f>
        <v>1187.10688</v>
      </c>
      <c r="BM158" s="56">
        <f>IF(ISNUMBER(SEARCH("daily max loss",$BG158)),1,0)</f>
        <v>0</v>
      </c>
    </row>
    <row r="159" ht="18" customHeight="1">
      <c r="A159" s="38" t="n"/>
      <c r="B159" s="39" t="n"/>
      <c r="C159" s="40" t="n"/>
      <c r="D159" s="41" t="n"/>
      <c r="E159" s="41" t="n"/>
      <c r="F159" s="41" t="n"/>
      <c r="G159" s="41" t="n"/>
      <c r="H159" s="42" t="n"/>
      <c r="I159" s="42" t="n"/>
      <c r="J159" s="42" t="n"/>
      <c r="K159" s="42" t="n"/>
      <c r="L159" s="41" t="n"/>
      <c r="M159" s="41" t="n"/>
      <c r="N159" s="41" t="n"/>
      <c r="O159" s="43" t="n"/>
      <c r="P159" s="43" t="n"/>
      <c r="Q159" s="44" t="str">
        <f>IF($AM159=0,"",IF(ISNUMBER($AK159),$AK159-N($AL159),""))</f>
        <v/>
      </c>
      <c r="R159" s="45" t="str">
        <f>IF(OR($Q159="",NOT(ISNUMBER($V159))),"",$AK159/$V159)</f>
        <v/>
      </c>
      <c r="S159" s="46" t="str">
        <f>IF($Q159="","",IF(AND(ISNUMBER($R159),ABS(N($R159))&lt;N(Settings!$C$8)),"Scratch",IF($Q159&gt;0,"Win",IF($Q159&lt;0,"Loss","Scratch"))))</f>
        <v/>
      </c>
      <c r="T159" s="47" t="str">
        <f>IF(OR($AM159=0,NOT(ISNUMBER($H159)),NOT(ISNUMBER($I159)),NOT(ISNUMBER($J159))),"",IF($H159=$I159,"",ROUND(ABS($J159-$H159)/ABS($H159-$I159),6)))</f>
        <v/>
      </c>
      <c r="U159" s="48" t="str">
        <f>IF(OR($S159&lt;&gt;"Win",NOT(ISNUMBER($T159)),NOT(ISNUMBER($R159))),"",MAX(0,$T159-$R159))</f>
        <v/>
      </c>
      <c r="V159" s="49" t="str">
        <f>IF(OR($AM159=0,NOT(ISNUMBER($H159)),NOT(ISNUMBER($I159)),NOT(ISNUMBER($G159))),"",IF(OR($AG159="",$AH159=""),"",IF(ROUND(ABS($H159-$I159)*ABS($G159)*$AG159*$AH159,6)=0,"",ROUND(ABS($H159-$I159)*ABS($G159)*$AG159*$AH159,6))))</f>
        <v/>
      </c>
      <c r="W159" s="50" t="str">
        <f>IF($AM159=0,"",IF($BG159="","OK",LEFT($BG159,LEN($BG159)-2)))</f>
        <v/>
      </c>
      <c r="X159" s="41" t="n"/>
      <c r="Y159" s="40" t="n"/>
      <c r="Z159" s="41" t="n"/>
      <c r="AA159" s="41" t="n"/>
      <c r="AB159" s="40" t="n"/>
      <c r="AC159" s="51" t="n"/>
      <c r="AD159" s="51" t="n"/>
      <c r="AE159" s="40" t="n"/>
      <c r="AF159" s="52" t="str">
        <f>IF($AM159=0,"",IF($D159&lt;&gt;"",$D159,IF(IFERROR(INDEX(Accounts!$C$7:$C$16,MATCH($C159,Accounts!$B$7:$B$16,0))&amp;"","")&lt;&gt;"",INDEX(Accounts!$C$7:$C$16,MATCH($C159,Accounts!$B$7:$B$16,0)),Settings!$C$6)))</f>
        <v/>
      </c>
      <c r="AG159" s="53" t="str">
        <f>IF($AM159=0,"",IF(AND($BE159&gt;0,N(INDEX(Instruments!$D$6:$D$205,MAX(1,$BE159)))&gt;0),INDEX(Instruments!$D$6:$D$205,MAX(1,$BE159)),IF(N(INDEX(Settings!$D$14:$D$18,$BF159))&gt;0,INDEX(Settings!$D$14:$D$18,$BF159),"")))</f>
        <v/>
      </c>
      <c r="AH159" s="54" t="str">
        <f>IF($AM159=0,"",IF($AF159&lt;&gt;"Forex",1,IF(MID(UPPER(SUBSTITUTE(TRIM($E159),"/","")),4,3)=UPPER(TRIM(Settings!$C$7)),1,IF(LEFT(UPPER(SUBSTITUTE(TRIM($E159),"/","")),3)=UPPER(TRIM(Settings!$C$7)),IF(AND(ISNUMBER($K159),N($K159)&lt;&gt;0),1/$K159,""),""))))</f>
        <v/>
      </c>
      <c r="AI159" s="55" t="str">
        <f>IF($AM159=0,"",IF(OR(NOT(ISNUMBER($H159)),NOT(ISNUMBER($K159)),NOT(ISNUMBER($G159)),$AG159="",$AH159=""),"",ROUND(($K159-$H159)*IF($F159="Short",-1,1)*$G159*$AG159*$AH159,6)))</f>
        <v/>
      </c>
      <c r="AJ159" s="55" t="str">
        <f>IF($AM159=0,"",IF(INDEX(Settings!$E$14:$E$18,$BF159)="% of notional",IF(OR($AG159="",NOT(ISNUMBER($H159)),NOT(ISNUMBER($G159))),"",ROUND(ABS($H159*$G159*$AG159*N($AH159))*IF($L159="Limit",N(INDEX(Settings!$G$14:$G$18,$BF159)),N(INDEX(Settings!$H$14:$H$18,$BF159)))+IF(ISNUMBER($K159),ABS($K159*$G159*$AG159*N($AH159))*IF($M159="Target",N(INDEX(Settings!$G$14:$G$18,$BF159)),N(INDEX(Settings!$H$14:$H$18,$BF159))),0),6)),IF(NOT(ISNUMBER($G159)),"",ROUND(ABS($G159)*2*IF(AND($BE159&gt;0,ISNUMBER(INDEX(Instruments!$G$6:$G$205,MAX(1,$BE159)))),INDEX(Instruments!$G$6:$G$205,MAX(1,$BE159)),N(INDEX(Settings!$F$14:$F$18,$BF159))),6))))</f>
        <v/>
      </c>
      <c r="AK159" s="55" t="str">
        <f>IF($AM159=0,"",IF(ISNUMBER($O159),$O159,$AI159))</f>
        <v/>
      </c>
      <c r="AL159" s="55" t="str">
        <f>IF($AM159=0,"",IF(ISNUMBER($P159),$P159,N($AJ159)))</f>
        <v/>
      </c>
      <c r="AM159" s="56">
        <f>IF(AND($A159&lt;&gt;"",$E159&lt;&gt;"",OR(AND(ISNUMBER($G159),ISNUMBER($H159),ISNUMBER($K159)),ISNUMBER($O159))),1,0)</f>
        <v>0</v>
      </c>
      <c r="AN159" s="57" t="str">
        <f>IF($A159="","",$A159-WEEKDAY($A159,3))</f>
        <v/>
      </c>
      <c r="AO159" s="56" t="str">
        <f>IF($A159="","",WEEKDAY($A159,2))</f>
        <v/>
      </c>
      <c r="AP159" s="55" t="str">
        <f>IF(OR($AM159=0,$C159=""),"",IFERROR(N(INDEX(Accounts!$E$7:$E$16,MATCH($C159,Accounts!$B$7:$B$16,0))),0)+SUMIFS($Q$6:$Q159,$C$6:$C159,$C159))</f>
        <v/>
      </c>
      <c r="AQ159" s="55" t="str">
        <f>IF(OR($AM159=0,$C159=""),"",SUMIFS($Q$6:$Q$1005,$C$6:$C$1005,$C159,$A$6:$A$1005,$A159))</f>
        <v/>
      </c>
      <c r="AR159" s="55" t="str">
        <f>IF(OR($AM159=0,$C159=""),"",IFERROR(N(INDEX(Accounts!$E$7:$E$16,MATCH($C159,Accounts!$B$7:$B$16,0))),0)+SUMIFS($Q$6:$Q$1005,$C$6:$C$1005,$C159,$A$6:$A$1005,"&lt;="&amp;$A159))</f>
        <v/>
      </c>
      <c r="AS159" s="56">
        <f>IF(OR($AM159=0,$Q159=""),0,IF(AND($A159&gt;=Lists!$W$6,$A159&lt;=Lists!$W$7,OR(Dashboard!$D$6="All accounts",$C159=Dashboard!$D$6),OR(Dashboard!$D$7="All markets",$AF159=Dashboard!$D$7)),1,0))</f>
        <v>0</v>
      </c>
      <c r="AT159" s="55">
        <f>IF($AS159=1,N(AT158)+$Q159,N(AT158))</f>
        <v>1187.10688</v>
      </c>
      <c r="AU159" s="55">
        <f>MAX(N(AU158),$AT159)</f>
        <v>1187.10688</v>
      </c>
      <c r="AV159" s="55">
        <f>$AT159-$AU159</f>
        <v>0</v>
      </c>
      <c r="AW159" s="56">
        <f>IF($AS159=1,IF($S159="Win",N(AW158)+1,IF($S159="Loss",0,N(AW158))),N(AW158))</f>
        <v>5</v>
      </c>
      <c r="AX159" s="56">
        <f>IF($AS159=1,IF($S159="Loss",N(AX158)+1,IF($S159="Win",0,N(AX158))),N(AX158))</f>
        <v>0</v>
      </c>
      <c r="AY159" s="56" t="str">
        <f>IF($AS159=1,COUNTIF($AS$6:$AS159,1),"")</f>
        <v/>
      </c>
      <c r="AZ159" s="56">
        <f>MIN(153,N(Lists!$W$8))</f>
        <v>28</v>
      </c>
      <c r="BA159" s="56">
        <f>IF($AS159=1,IF(COUNTIFS($A$6:$A159,$A159,$AS$6:$AS159,1)=1,1,0),0)</f>
        <v>0</v>
      </c>
      <c r="BB159" s="55" t="str">
        <f>IF($BA159=1,SUMIFS($Q$6:$Q$1005,$A$6:$A$1005,$A159,$AS$6:$AS$1005,1),"")</f>
        <v/>
      </c>
      <c r="BC159" s="56">
        <f>IF(ISNUMBER($R159),1,0)</f>
        <v>0</v>
      </c>
      <c r="BD159" s="55" t="str">
        <f>IF(ISNUMBER($U159),$U159*$V159,"")</f>
        <v/>
      </c>
      <c r="BE159" s="56" t="str">
        <f>IF($AM159=0,"",IFERROR(MATCH($AF159&amp;"|"&amp;UPPER(TRIM($E159)),Lists!$A$6:$A$205,0),0))</f>
        <v/>
      </c>
      <c r="BF159" s="56" t="str">
        <f>IF($AM159=0,"",IFERROR(MATCH($AF159,Settings!$B$14:$B$18,0),IFERROR(MATCH(Settings!$C$6,Settings!$B$14:$B$18,0),1)))</f>
        <v/>
      </c>
      <c r="BG159" s="58" t="str">
        <f>IF($AM159=0,"",IF(NOT(ISNUMBER($I159)),"No stop; ","")&amp;IF(AND(ISNUMBER($H159),ISNUMBER($I159)),IF(OR(AND($F159&lt;&gt;"Short",$I159&gt;=$H159),AND($F159="Short",$I159&lt;=$H159)),"Stop on wrong side; ",""),"")&amp;IF($F159="","No direction; ","")&amp;IF(AND(ISNUMBER(Settings!$C$22),ISNUMBER($V159)),IF($V159&gt;Settings!$C$22,"Risk over max $; ",""),"")&amp;IF(AND(ISNUMBER(Settings!$C$23),ISNUMBER($V159),ISNUMBER($AP159),IFERROR(N(INDEX(Accounts!$E$7:$E$16,MATCH($C159,Accounts!$B$7:$B$16,0))),0)&gt;0),IF($V159&gt;Settings!$C$23*($AP159-N($Q159)),"Risk over max %; ",""),"")&amp;IF(AND(ISNUMBER(Settings!$C$24),ISNUMBER($N159)),IF($N159&gt;Settings!$C$24,"Leverage over max; ",""),"")&amp;IF(AND(ISNUMBER(Settings!$C$27),ISNUMBER($T159)),IF($T159&lt;Settings!$C$27,"R:R below min; ",""),"")&amp;IF(ISNUMBER(Settings!$C$25),IF(COUNTIFS($A$6:$A159,$A159,$AM$6:$AM159,1)&gt;Settings!$C$25,"Over max trades/day; ",""),"")&amp;IF(ISNUMBER(Settings!$C$26),IF(SUMIFS($Q$5:$Q158,$A$5:$A158,$A159)&lt;=-Settings!$C$26,"Traded after daily max loss; ",""),"")&amp;IF(AND($AG159="",NOT(ISNUMBER($O159))),"Symbol not in Instruments; ","")&amp;IF(AND($AH159="",NOT(ISNUMBER($O159))),"Forex cross: type Gross P&amp;L; ",""))</f>
        <v/>
      </c>
      <c r="BH159" s="56">
        <f>IF(ISNUMBER($Q159),1,0)</f>
        <v>0</v>
      </c>
      <c r="BI159" s="56">
        <f>IF($Y159="",0,1)</f>
        <v>0</v>
      </c>
      <c r="BJ159" s="56">
        <f>IF($AB159="",0,1)</f>
        <v>0</v>
      </c>
      <c r="BK159" s="56">
        <f>IF(AND($BH159=1,$W159&lt;&gt;"OK"),1,0)</f>
        <v>0</v>
      </c>
      <c r="BL159" s="55">
        <f>IF(N($AZ159)=0,0,IFERROR(INDEX($AT$6:$AT$1005,MATCH($AZ159,$AY$6:$AY$1005,0)),0))</f>
        <v>1187.10688</v>
      </c>
      <c r="BM159" s="56">
        <f>IF(ISNUMBER(SEARCH("daily max loss",$BG159)),1,0)</f>
        <v>0</v>
      </c>
    </row>
    <row r="160" ht="18" customHeight="1">
      <c r="A160" s="38" t="n"/>
      <c r="B160" s="39" t="n"/>
      <c r="C160" s="40" t="n"/>
      <c r="D160" s="41" t="n"/>
      <c r="E160" s="41" t="n"/>
      <c r="F160" s="41" t="n"/>
      <c r="G160" s="41" t="n"/>
      <c r="H160" s="42" t="n"/>
      <c r="I160" s="42" t="n"/>
      <c r="J160" s="42" t="n"/>
      <c r="K160" s="42" t="n"/>
      <c r="L160" s="41" t="n"/>
      <c r="M160" s="41" t="n"/>
      <c r="N160" s="41" t="n"/>
      <c r="O160" s="43" t="n"/>
      <c r="P160" s="43" t="n"/>
      <c r="Q160" s="44" t="str">
        <f>IF($AM160=0,"",IF(ISNUMBER($AK160),$AK160-N($AL160),""))</f>
        <v/>
      </c>
      <c r="R160" s="45" t="str">
        <f>IF(OR($Q160="",NOT(ISNUMBER($V160))),"",$AK160/$V160)</f>
        <v/>
      </c>
      <c r="S160" s="46" t="str">
        <f>IF($Q160="","",IF(AND(ISNUMBER($R160),ABS(N($R160))&lt;N(Settings!$C$8)),"Scratch",IF($Q160&gt;0,"Win",IF($Q160&lt;0,"Loss","Scratch"))))</f>
        <v/>
      </c>
      <c r="T160" s="47" t="str">
        <f>IF(OR($AM160=0,NOT(ISNUMBER($H160)),NOT(ISNUMBER($I160)),NOT(ISNUMBER($J160))),"",IF($H160=$I160,"",ROUND(ABS($J160-$H160)/ABS($H160-$I160),6)))</f>
        <v/>
      </c>
      <c r="U160" s="48" t="str">
        <f>IF(OR($S160&lt;&gt;"Win",NOT(ISNUMBER($T160)),NOT(ISNUMBER($R160))),"",MAX(0,$T160-$R160))</f>
        <v/>
      </c>
      <c r="V160" s="49" t="str">
        <f>IF(OR($AM160=0,NOT(ISNUMBER($H160)),NOT(ISNUMBER($I160)),NOT(ISNUMBER($G160))),"",IF(OR($AG160="",$AH160=""),"",IF(ROUND(ABS($H160-$I160)*ABS($G160)*$AG160*$AH160,6)=0,"",ROUND(ABS($H160-$I160)*ABS($G160)*$AG160*$AH160,6))))</f>
        <v/>
      </c>
      <c r="W160" s="50" t="str">
        <f>IF($AM160=0,"",IF($BG160="","OK",LEFT($BG160,LEN($BG160)-2)))</f>
        <v/>
      </c>
      <c r="X160" s="41" t="n"/>
      <c r="Y160" s="40" t="n"/>
      <c r="Z160" s="41" t="n"/>
      <c r="AA160" s="41" t="n"/>
      <c r="AB160" s="40" t="n"/>
      <c r="AC160" s="51" t="n"/>
      <c r="AD160" s="51" t="n"/>
      <c r="AE160" s="40" t="n"/>
      <c r="AF160" s="52" t="str">
        <f>IF($AM160=0,"",IF($D160&lt;&gt;"",$D160,IF(IFERROR(INDEX(Accounts!$C$7:$C$16,MATCH($C160,Accounts!$B$7:$B$16,0))&amp;"","")&lt;&gt;"",INDEX(Accounts!$C$7:$C$16,MATCH($C160,Accounts!$B$7:$B$16,0)),Settings!$C$6)))</f>
        <v/>
      </c>
      <c r="AG160" s="53" t="str">
        <f>IF($AM160=0,"",IF(AND($BE160&gt;0,N(INDEX(Instruments!$D$6:$D$205,MAX(1,$BE160)))&gt;0),INDEX(Instruments!$D$6:$D$205,MAX(1,$BE160)),IF(N(INDEX(Settings!$D$14:$D$18,$BF160))&gt;0,INDEX(Settings!$D$14:$D$18,$BF160),"")))</f>
        <v/>
      </c>
      <c r="AH160" s="54" t="str">
        <f>IF($AM160=0,"",IF($AF160&lt;&gt;"Forex",1,IF(MID(UPPER(SUBSTITUTE(TRIM($E160),"/","")),4,3)=UPPER(TRIM(Settings!$C$7)),1,IF(LEFT(UPPER(SUBSTITUTE(TRIM($E160),"/","")),3)=UPPER(TRIM(Settings!$C$7)),IF(AND(ISNUMBER($K160),N($K160)&lt;&gt;0),1/$K160,""),""))))</f>
        <v/>
      </c>
      <c r="AI160" s="55" t="str">
        <f>IF($AM160=0,"",IF(OR(NOT(ISNUMBER($H160)),NOT(ISNUMBER($K160)),NOT(ISNUMBER($G160)),$AG160="",$AH160=""),"",ROUND(($K160-$H160)*IF($F160="Short",-1,1)*$G160*$AG160*$AH160,6)))</f>
        <v/>
      </c>
      <c r="AJ160" s="55" t="str">
        <f>IF($AM160=0,"",IF(INDEX(Settings!$E$14:$E$18,$BF160)="% of notional",IF(OR($AG160="",NOT(ISNUMBER($H160)),NOT(ISNUMBER($G160))),"",ROUND(ABS($H160*$G160*$AG160*N($AH160))*IF($L160="Limit",N(INDEX(Settings!$G$14:$G$18,$BF160)),N(INDEX(Settings!$H$14:$H$18,$BF160)))+IF(ISNUMBER($K160),ABS($K160*$G160*$AG160*N($AH160))*IF($M160="Target",N(INDEX(Settings!$G$14:$G$18,$BF160)),N(INDEX(Settings!$H$14:$H$18,$BF160))),0),6)),IF(NOT(ISNUMBER($G160)),"",ROUND(ABS($G160)*2*IF(AND($BE160&gt;0,ISNUMBER(INDEX(Instruments!$G$6:$G$205,MAX(1,$BE160)))),INDEX(Instruments!$G$6:$G$205,MAX(1,$BE160)),N(INDEX(Settings!$F$14:$F$18,$BF160))),6))))</f>
        <v/>
      </c>
      <c r="AK160" s="55" t="str">
        <f>IF($AM160=0,"",IF(ISNUMBER($O160),$O160,$AI160))</f>
        <v/>
      </c>
      <c r="AL160" s="55" t="str">
        <f>IF($AM160=0,"",IF(ISNUMBER($P160),$P160,N($AJ160)))</f>
        <v/>
      </c>
      <c r="AM160" s="56">
        <f>IF(AND($A160&lt;&gt;"",$E160&lt;&gt;"",OR(AND(ISNUMBER($G160),ISNUMBER($H160),ISNUMBER($K160)),ISNUMBER($O160))),1,0)</f>
        <v>0</v>
      </c>
      <c r="AN160" s="57" t="str">
        <f>IF($A160="","",$A160-WEEKDAY($A160,3))</f>
        <v/>
      </c>
      <c r="AO160" s="56" t="str">
        <f>IF($A160="","",WEEKDAY($A160,2))</f>
        <v/>
      </c>
      <c r="AP160" s="55" t="str">
        <f>IF(OR($AM160=0,$C160=""),"",IFERROR(N(INDEX(Accounts!$E$7:$E$16,MATCH($C160,Accounts!$B$7:$B$16,0))),0)+SUMIFS($Q$6:$Q160,$C$6:$C160,$C160))</f>
        <v/>
      </c>
      <c r="AQ160" s="55" t="str">
        <f>IF(OR($AM160=0,$C160=""),"",SUMIFS($Q$6:$Q$1005,$C$6:$C$1005,$C160,$A$6:$A$1005,$A160))</f>
        <v/>
      </c>
      <c r="AR160" s="55" t="str">
        <f>IF(OR($AM160=0,$C160=""),"",IFERROR(N(INDEX(Accounts!$E$7:$E$16,MATCH($C160,Accounts!$B$7:$B$16,0))),0)+SUMIFS($Q$6:$Q$1005,$C$6:$C$1005,$C160,$A$6:$A$1005,"&lt;="&amp;$A160))</f>
        <v/>
      </c>
      <c r="AS160" s="56">
        <f>IF(OR($AM160=0,$Q160=""),0,IF(AND($A160&gt;=Lists!$W$6,$A160&lt;=Lists!$W$7,OR(Dashboard!$D$6="All accounts",$C160=Dashboard!$D$6),OR(Dashboard!$D$7="All markets",$AF160=Dashboard!$D$7)),1,0))</f>
        <v>0</v>
      </c>
      <c r="AT160" s="55">
        <f>IF($AS160=1,N(AT159)+$Q160,N(AT159))</f>
        <v>1187.10688</v>
      </c>
      <c r="AU160" s="55">
        <f>MAX(N(AU159),$AT160)</f>
        <v>1187.10688</v>
      </c>
      <c r="AV160" s="55">
        <f>$AT160-$AU160</f>
        <v>0</v>
      </c>
      <c r="AW160" s="56">
        <f>IF($AS160=1,IF($S160="Win",N(AW159)+1,IF($S160="Loss",0,N(AW159))),N(AW159))</f>
        <v>5</v>
      </c>
      <c r="AX160" s="56">
        <f>IF($AS160=1,IF($S160="Loss",N(AX159)+1,IF($S160="Win",0,N(AX159))),N(AX159))</f>
        <v>0</v>
      </c>
      <c r="AY160" s="56" t="str">
        <f>IF($AS160=1,COUNTIF($AS$6:$AS160,1),"")</f>
        <v/>
      </c>
      <c r="AZ160" s="56">
        <f>MIN(154,N(Lists!$W$8))</f>
        <v>28</v>
      </c>
      <c r="BA160" s="56">
        <f>IF($AS160=1,IF(COUNTIFS($A$6:$A160,$A160,$AS$6:$AS160,1)=1,1,0),0)</f>
        <v>0</v>
      </c>
      <c r="BB160" s="55" t="str">
        <f>IF($BA160=1,SUMIFS($Q$6:$Q$1005,$A$6:$A$1005,$A160,$AS$6:$AS$1005,1),"")</f>
        <v/>
      </c>
      <c r="BC160" s="56">
        <f>IF(ISNUMBER($R160),1,0)</f>
        <v>0</v>
      </c>
      <c r="BD160" s="55" t="str">
        <f>IF(ISNUMBER($U160),$U160*$V160,"")</f>
        <v/>
      </c>
      <c r="BE160" s="56" t="str">
        <f>IF($AM160=0,"",IFERROR(MATCH($AF160&amp;"|"&amp;UPPER(TRIM($E160)),Lists!$A$6:$A$205,0),0))</f>
        <v/>
      </c>
      <c r="BF160" s="56" t="str">
        <f>IF($AM160=0,"",IFERROR(MATCH($AF160,Settings!$B$14:$B$18,0),IFERROR(MATCH(Settings!$C$6,Settings!$B$14:$B$18,0),1)))</f>
        <v/>
      </c>
      <c r="BG160" s="58" t="str">
        <f>IF($AM160=0,"",IF(NOT(ISNUMBER($I160)),"No stop; ","")&amp;IF(AND(ISNUMBER($H160),ISNUMBER($I160)),IF(OR(AND($F160&lt;&gt;"Short",$I160&gt;=$H160),AND($F160="Short",$I160&lt;=$H160)),"Stop on wrong side; ",""),"")&amp;IF($F160="","No direction; ","")&amp;IF(AND(ISNUMBER(Settings!$C$22),ISNUMBER($V160)),IF($V160&gt;Settings!$C$22,"Risk over max $; ",""),"")&amp;IF(AND(ISNUMBER(Settings!$C$23),ISNUMBER($V160),ISNUMBER($AP160),IFERROR(N(INDEX(Accounts!$E$7:$E$16,MATCH($C160,Accounts!$B$7:$B$16,0))),0)&gt;0),IF($V160&gt;Settings!$C$23*($AP160-N($Q160)),"Risk over max %; ",""),"")&amp;IF(AND(ISNUMBER(Settings!$C$24),ISNUMBER($N160)),IF($N160&gt;Settings!$C$24,"Leverage over max; ",""),"")&amp;IF(AND(ISNUMBER(Settings!$C$27),ISNUMBER($T160)),IF($T160&lt;Settings!$C$27,"R:R below min; ",""),"")&amp;IF(ISNUMBER(Settings!$C$25),IF(COUNTIFS($A$6:$A160,$A160,$AM$6:$AM160,1)&gt;Settings!$C$25,"Over max trades/day; ",""),"")&amp;IF(ISNUMBER(Settings!$C$26),IF(SUMIFS($Q$5:$Q159,$A$5:$A159,$A160)&lt;=-Settings!$C$26,"Traded after daily max loss; ",""),"")&amp;IF(AND($AG160="",NOT(ISNUMBER($O160))),"Symbol not in Instruments; ","")&amp;IF(AND($AH160="",NOT(ISNUMBER($O160))),"Forex cross: type Gross P&amp;L; ",""))</f>
        <v/>
      </c>
      <c r="BH160" s="56">
        <f>IF(ISNUMBER($Q160),1,0)</f>
        <v>0</v>
      </c>
      <c r="BI160" s="56">
        <f>IF($Y160="",0,1)</f>
        <v>0</v>
      </c>
      <c r="BJ160" s="56">
        <f>IF($AB160="",0,1)</f>
        <v>0</v>
      </c>
      <c r="BK160" s="56">
        <f>IF(AND($BH160=1,$W160&lt;&gt;"OK"),1,0)</f>
        <v>0</v>
      </c>
      <c r="BL160" s="55">
        <f>IF(N($AZ160)=0,0,IFERROR(INDEX($AT$6:$AT$1005,MATCH($AZ160,$AY$6:$AY$1005,0)),0))</f>
        <v>1187.10688</v>
      </c>
      <c r="BM160" s="56">
        <f>IF(ISNUMBER(SEARCH("daily max loss",$BG160)),1,0)</f>
        <v>0</v>
      </c>
    </row>
    <row r="161" ht="18" customHeight="1">
      <c r="A161" s="38" t="n"/>
      <c r="B161" s="39" t="n"/>
      <c r="C161" s="40" t="n"/>
      <c r="D161" s="41" t="n"/>
      <c r="E161" s="41" t="n"/>
      <c r="F161" s="41" t="n"/>
      <c r="G161" s="41" t="n"/>
      <c r="H161" s="42" t="n"/>
      <c r="I161" s="42" t="n"/>
      <c r="J161" s="42" t="n"/>
      <c r="K161" s="42" t="n"/>
      <c r="L161" s="41" t="n"/>
      <c r="M161" s="41" t="n"/>
      <c r="N161" s="41" t="n"/>
      <c r="O161" s="43" t="n"/>
      <c r="P161" s="43" t="n"/>
      <c r="Q161" s="44" t="str">
        <f>IF($AM161=0,"",IF(ISNUMBER($AK161),$AK161-N($AL161),""))</f>
        <v/>
      </c>
      <c r="R161" s="45" t="str">
        <f>IF(OR($Q161="",NOT(ISNUMBER($V161))),"",$AK161/$V161)</f>
        <v/>
      </c>
      <c r="S161" s="46" t="str">
        <f>IF($Q161="","",IF(AND(ISNUMBER($R161),ABS(N($R161))&lt;N(Settings!$C$8)),"Scratch",IF($Q161&gt;0,"Win",IF($Q161&lt;0,"Loss","Scratch"))))</f>
        <v/>
      </c>
      <c r="T161" s="47" t="str">
        <f>IF(OR($AM161=0,NOT(ISNUMBER($H161)),NOT(ISNUMBER($I161)),NOT(ISNUMBER($J161))),"",IF($H161=$I161,"",ROUND(ABS($J161-$H161)/ABS($H161-$I161),6)))</f>
        <v/>
      </c>
      <c r="U161" s="48" t="str">
        <f>IF(OR($S161&lt;&gt;"Win",NOT(ISNUMBER($T161)),NOT(ISNUMBER($R161))),"",MAX(0,$T161-$R161))</f>
        <v/>
      </c>
      <c r="V161" s="49" t="str">
        <f>IF(OR($AM161=0,NOT(ISNUMBER($H161)),NOT(ISNUMBER($I161)),NOT(ISNUMBER($G161))),"",IF(OR($AG161="",$AH161=""),"",IF(ROUND(ABS($H161-$I161)*ABS($G161)*$AG161*$AH161,6)=0,"",ROUND(ABS($H161-$I161)*ABS($G161)*$AG161*$AH161,6))))</f>
        <v/>
      </c>
      <c r="W161" s="50" t="str">
        <f>IF($AM161=0,"",IF($BG161="","OK",LEFT($BG161,LEN($BG161)-2)))</f>
        <v/>
      </c>
      <c r="X161" s="41" t="n"/>
      <c r="Y161" s="40" t="n"/>
      <c r="Z161" s="41" t="n"/>
      <c r="AA161" s="41" t="n"/>
      <c r="AB161" s="40" t="n"/>
      <c r="AC161" s="51" t="n"/>
      <c r="AD161" s="51" t="n"/>
      <c r="AE161" s="40" t="n"/>
      <c r="AF161" s="52" t="str">
        <f>IF($AM161=0,"",IF($D161&lt;&gt;"",$D161,IF(IFERROR(INDEX(Accounts!$C$7:$C$16,MATCH($C161,Accounts!$B$7:$B$16,0))&amp;"","")&lt;&gt;"",INDEX(Accounts!$C$7:$C$16,MATCH($C161,Accounts!$B$7:$B$16,0)),Settings!$C$6)))</f>
        <v/>
      </c>
      <c r="AG161" s="53" t="str">
        <f>IF($AM161=0,"",IF(AND($BE161&gt;0,N(INDEX(Instruments!$D$6:$D$205,MAX(1,$BE161)))&gt;0),INDEX(Instruments!$D$6:$D$205,MAX(1,$BE161)),IF(N(INDEX(Settings!$D$14:$D$18,$BF161))&gt;0,INDEX(Settings!$D$14:$D$18,$BF161),"")))</f>
        <v/>
      </c>
      <c r="AH161" s="54" t="str">
        <f>IF($AM161=0,"",IF($AF161&lt;&gt;"Forex",1,IF(MID(UPPER(SUBSTITUTE(TRIM($E161),"/","")),4,3)=UPPER(TRIM(Settings!$C$7)),1,IF(LEFT(UPPER(SUBSTITUTE(TRIM($E161),"/","")),3)=UPPER(TRIM(Settings!$C$7)),IF(AND(ISNUMBER($K161),N($K161)&lt;&gt;0),1/$K161,""),""))))</f>
        <v/>
      </c>
      <c r="AI161" s="55" t="str">
        <f>IF($AM161=0,"",IF(OR(NOT(ISNUMBER($H161)),NOT(ISNUMBER($K161)),NOT(ISNUMBER($G161)),$AG161="",$AH161=""),"",ROUND(($K161-$H161)*IF($F161="Short",-1,1)*$G161*$AG161*$AH161,6)))</f>
        <v/>
      </c>
      <c r="AJ161" s="55" t="str">
        <f>IF($AM161=0,"",IF(INDEX(Settings!$E$14:$E$18,$BF161)="% of notional",IF(OR($AG161="",NOT(ISNUMBER($H161)),NOT(ISNUMBER($G161))),"",ROUND(ABS($H161*$G161*$AG161*N($AH161))*IF($L161="Limit",N(INDEX(Settings!$G$14:$G$18,$BF161)),N(INDEX(Settings!$H$14:$H$18,$BF161)))+IF(ISNUMBER($K161),ABS($K161*$G161*$AG161*N($AH161))*IF($M161="Target",N(INDEX(Settings!$G$14:$G$18,$BF161)),N(INDEX(Settings!$H$14:$H$18,$BF161))),0),6)),IF(NOT(ISNUMBER($G161)),"",ROUND(ABS($G161)*2*IF(AND($BE161&gt;0,ISNUMBER(INDEX(Instruments!$G$6:$G$205,MAX(1,$BE161)))),INDEX(Instruments!$G$6:$G$205,MAX(1,$BE161)),N(INDEX(Settings!$F$14:$F$18,$BF161))),6))))</f>
        <v/>
      </c>
      <c r="AK161" s="55" t="str">
        <f>IF($AM161=0,"",IF(ISNUMBER($O161),$O161,$AI161))</f>
        <v/>
      </c>
      <c r="AL161" s="55" t="str">
        <f>IF($AM161=0,"",IF(ISNUMBER($P161),$P161,N($AJ161)))</f>
        <v/>
      </c>
      <c r="AM161" s="56">
        <f>IF(AND($A161&lt;&gt;"",$E161&lt;&gt;"",OR(AND(ISNUMBER($G161),ISNUMBER($H161),ISNUMBER($K161)),ISNUMBER($O161))),1,0)</f>
        <v>0</v>
      </c>
      <c r="AN161" s="57" t="str">
        <f>IF($A161="","",$A161-WEEKDAY($A161,3))</f>
        <v/>
      </c>
      <c r="AO161" s="56" t="str">
        <f>IF($A161="","",WEEKDAY($A161,2))</f>
        <v/>
      </c>
      <c r="AP161" s="55" t="str">
        <f>IF(OR($AM161=0,$C161=""),"",IFERROR(N(INDEX(Accounts!$E$7:$E$16,MATCH($C161,Accounts!$B$7:$B$16,0))),0)+SUMIFS($Q$6:$Q161,$C$6:$C161,$C161))</f>
        <v/>
      </c>
      <c r="AQ161" s="55" t="str">
        <f>IF(OR($AM161=0,$C161=""),"",SUMIFS($Q$6:$Q$1005,$C$6:$C$1005,$C161,$A$6:$A$1005,$A161))</f>
        <v/>
      </c>
      <c r="AR161" s="55" t="str">
        <f>IF(OR($AM161=0,$C161=""),"",IFERROR(N(INDEX(Accounts!$E$7:$E$16,MATCH($C161,Accounts!$B$7:$B$16,0))),0)+SUMIFS($Q$6:$Q$1005,$C$6:$C$1005,$C161,$A$6:$A$1005,"&lt;="&amp;$A161))</f>
        <v/>
      </c>
      <c r="AS161" s="56">
        <f>IF(OR($AM161=0,$Q161=""),0,IF(AND($A161&gt;=Lists!$W$6,$A161&lt;=Lists!$W$7,OR(Dashboard!$D$6="All accounts",$C161=Dashboard!$D$6),OR(Dashboard!$D$7="All markets",$AF161=Dashboard!$D$7)),1,0))</f>
        <v>0</v>
      </c>
      <c r="AT161" s="55">
        <f>IF($AS161=1,N(AT160)+$Q161,N(AT160))</f>
        <v>1187.10688</v>
      </c>
      <c r="AU161" s="55">
        <f>MAX(N(AU160),$AT161)</f>
        <v>1187.10688</v>
      </c>
      <c r="AV161" s="55">
        <f>$AT161-$AU161</f>
        <v>0</v>
      </c>
      <c r="AW161" s="56">
        <f>IF($AS161=1,IF($S161="Win",N(AW160)+1,IF($S161="Loss",0,N(AW160))),N(AW160))</f>
        <v>5</v>
      </c>
      <c r="AX161" s="56">
        <f>IF($AS161=1,IF($S161="Loss",N(AX160)+1,IF($S161="Win",0,N(AX160))),N(AX160))</f>
        <v>0</v>
      </c>
      <c r="AY161" s="56" t="str">
        <f>IF($AS161=1,COUNTIF($AS$6:$AS161,1),"")</f>
        <v/>
      </c>
      <c r="AZ161" s="56">
        <f>MIN(155,N(Lists!$W$8))</f>
        <v>28</v>
      </c>
      <c r="BA161" s="56">
        <f>IF($AS161=1,IF(COUNTIFS($A$6:$A161,$A161,$AS$6:$AS161,1)=1,1,0),0)</f>
        <v>0</v>
      </c>
      <c r="BB161" s="55" t="str">
        <f>IF($BA161=1,SUMIFS($Q$6:$Q$1005,$A$6:$A$1005,$A161,$AS$6:$AS$1005,1),"")</f>
        <v/>
      </c>
      <c r="BC161" s="56">
        <f>IF(ISNUMBER($R161),1,0)</f>
        <v>0</v>
      </c>
      <c r="BD161" s="55" t="str">
        <f>IF(ISNUMBER($U161),$U161*$V161,"")</f>
        <v/>
      </c>
      <c r="BE161" s="56" t="str">
        <f>IF($AM161=0,"",IFERROR(MATCH($AF161&amp;"|"&amp;UPPER(TRIM($E161)),Lists!$A$6:$A$205,0),0))</f>
        <v/>
      </c>
      <c r="BF161" s="56" t="str">
        <f>IF($AM161=0,"",IFERROR(MATCH($AF161,Settings!$B$14:$B$18,0),IFERROR(MATCH(Settings!$C$6,Settings!$B$14:$B$18,0),1)))</f>
        <v/>
      </c>
      <c r="BG161" s="58" t="str">
        <f>IF($AM161=0,"",IF(NOT(ISNUMBER($I161)),"No stop; ","")&amp;IF(AND(ISNUMBER($H161),ISNUMBER($I161)),IF(OR(AND($F161&lt;&gt;"Short",$I161&gt;=$H161),AND($F161="Short",$I161&lt;=$H161)),"Stop on wrong side; ",""),"")&amp;IF($F161="","No direction; ","")&amp;IF(AND(ISNUMBER(Settings!$C$22),ISNUMBER($V161)),IF($V161&gt;Settings!$C$22,"Risk over max $; ",""),"")&amp;IF(AND(ISNUMBER(Settings!$C$23),ISNUMBER($V161),ISNUMBER($AP161),IFERROR(N(INDEX(Accounts!$E$7:$E$16,MATCH($C161,Accounts!$B$7:$B$16,0))),0)&gt;0),IF($V161&gt;Settings!$C$23*($AP161-N($Q161)),"Risk over max %; ",""),"")&amp;IF(AND(ISNUMBER(Settings!$C$24),ISNUMBER($N161)),IF($N161&gt;Settings!$C$24,"Leverage over max; ",""),"")&amp;IF(AND(ISNUMBER(Settings!$C$27),ISNUMBER($T161)),IF($T161&lt;Settings!$C$27,"R:R below min; ",""),"")&amp;IF(ISNUMBER(Settings!$C$25),IF(COUNTIFS($A$6:$A161,$A161,$AM$6:$AM161,1)&gt;Settings!$C$25,"Over max trades/day; ",""),"")&amp;IF(ISNUMBER(Settings!$C$26),IF(SUMIFS($Q$5:$Q160,$A$5:$A160,$A161)&lt;=-Settings!$C$26,"Traded after daily max loss; ",""),"")&amp;IF(AND($AG161="",NOT(ISNUMBER($O161))),"Symbol not in Instruments; ","")&amp;IF(AND($AH161="",NOT(ISNUMBER($O161))),"Forex cross: type Gross P&amp;L; ",""))</f>
        <v/>
      </c>
      <c r="BH161" s="56">
        <f>IF(ISNUMBER($Q161),1,0)</f>
        <v>0</v>
      </c>
      <c r="BI161" s="56">
        <f>IF($Y161="",0,1)</f>
        <v>0</v>
      </c>
      <c r="BJ161" s="56">
        <f>IF($AB161="",0,1)</f>
        <v>0</v>
      </c>
      <c r="BK161" s="56">
        <f>IF(AND($BH161=1,$W161&lt;&gt;"OK"),1,0)</f>
        <v>0</v>
      </c>
      <c r="BL161" s="55">
        <f>IF(N($AZ161)=0,0,IFERROR(INDEX($AT$6:$AT$1005,MATCH($AZ161,$AY$6:$AY$1005,0)),0))</f>
        <v>1187.10688</v>
      </c>
      <c r="BM161" s="56">
        <f>IF(ISNUMBER(SEARCH("daily max loss",$BG161)),1,0)</f>
        <v>0</v>
      </c>
    </row>
    <row r="162" ht="18" customHeight="1">
      <c r="A162" s="38" t="n"/>
      <c r="B162" s="39" t="n"/>
      <c r="C162" s="40" t="n"/>
      <c r="D162" s="41" t="n"/>
      <c r="E162" s="41" t="n"/>
      <c r="F162" s="41" t="n"/>
      <c r="G162" s="41" t="n"/>
      <c r="H162" s="42" t="n"/>
      <c r="I162" s="42" t="n"/>
      <c r="J162" s="42" t="n"/>
      <c r="K162" s="42" t="n"/>
      <c r="L162" s="41" t="n"/>
      <c r="M162" s="41" t="n"/>
      <c r="N162" s="41" t="n"/>
      <c r="O162" s="43" t="n"/>
      <c r="P162" s="43" t="n"/>
      <c r="Q162" s="44" t="str">
        <f>IF($AM162=0,"",IF(ISNUMBER($AK162),$AK162-N($AL162),""))</f>
        <v/>
      </c>
      <c r="R162" s="45" t="str">
        <f>IF(OR($Q162="",NOT(ISNUMBER($V162))),"",$AK162/$V162)</f>
        <v/>
      </c>
      <c r="S162" s="46" t="str">
        <f>IF($Q162="","",IF(AND(ISNUMBER($R162),ABS(N($R162))&lt;N(Settings!$C$8)),"Scratch",IF($Q162&gt;0,"Win",IF($Q162&lt;0,"Loss","Scratch"))))</f>
        <v/>
      </c>
      <c r="T162" s="47" t="str">
        <f>IF(OR($AM162=0,NOT(ISNUMBER($H162)),NOT(ISNUMBER($I162)),NOT(ISNUMBER($J162))),"",IF($H162=$I162,"",ROUND(ABS($J162-$H162)/ABS($H162-$I162),6)))</f>
        <v/>
      </c>
      <c r="U162" s="48" t="str">
        <f>IF(OR($S162&lt;&gt;"Win",NOT(ISNUMBER($T162)),NOT(ISNUMBER($R162))),"",MAX(0,$T162-$R162))</f>
        <v/>
      </c>
      <c r="V162" s="49" t="str">
        <f>IF(OR($AM162=0,NOT(ISNUMBER($H162)),NOT(ISNUMBER($I162)),NOT(ISNUMBER($G162))),"",IF(OR($AG162="",$AH162=""),"",IF(ROUND(ABS($H162-$I162)*ABS($G162)*$AG162*$AH162,6)=0,"",ROUND(ABS($H162-$I162)*ABS($G162)*$AG162*$AH162,6))))</f>
        <v/>
      </c>
      <c r="W162" s="50" t="str">
        <f>IF($AM162=0,"",IF($BG162="","OK",LEFT($BG162,LEN($BG162)-2)))</f>
        <v/>
      </c>
      <c r="X162" s="41" t="n"/>
      <c r="Y162" s="40" t="n"/>
      <c r="Z162" s="41" t="n"/>
      <c r="AA162" s="41" t="n"/>
      <c r="AB162" s="40" t="n"/>
      <c r="AC162" s="51" t="n"/>
      <c r="AD162" s="51" t="n"/>
      <c r="AE162" s="40" t="n"/>
      <c r="AF162" s="52" t="str">
        <f>IF($AM162=0,"",IF($D162&lt;&gt;"",$D162,IF(IFERROR(INDEX(Accounts!$C$7:$C$16,MATCH($C162,Accounts!$B$7:$B$16,0))&amp;"","")&lt;&gt;"",INDEX(Accounts!$C$7:$C$16,MATCH($C162,Accounts!$B$7:$B$16,0)),Settings!$C$6)))</f>
        <v/>
      </c>
      <c r="AG162" s="53" t="str">
        <f>IF($AM162=0,"",IF(AND($BE162&gt;0,N(INDEX(Instruments!$D$6:$D$205,MAX(1,$BE162)))&gt;0),INDEX(Instruments!$D$6:$D$205,MAX(1,$BE162)),IF(N(INDEX(Settings!$D$14:$D$18,$BF162))&gt;0,INDEX(Settings!$D$14:$D$18,$BF162),"")))</f>
        <v/>
      </c>
      <c r="AH162" s="54" t="str">
        <f>IF($AM162=0,"",IF($AF162&lt;&gt;"Forex",1,IF(MID(UPPER(SUBSTITUTE(TRIM($E162),"/","")),4,3)=UPPER(TRIM(Settings!$C$7)),1,IF(LEFT(UPPER(SUBSTITUTE(TRIM($E162),"/","")),3)=UPPER(TRIM(Settings!$C$7)),IF(AND(ISNUMBER($K162),N($K162)&lt;&gt;0),1/$K162,""),""))))</f>
        <v/>
      </c>
      <c r="AI162" s="55" t="str">
        <f>IF($AM162=0,"",IF(OR(NOT(ISNUMBER($H162)),NOT(ISNUMBER($K162)),NOT(ISNUMBER($G162)),$AG162="",$AH162=""),"",ROUND(($K162-$H162)*IF($F162="Short",-1,1)*$G162*$AG162*$AH162,6)))</f>
        <v/>
      </c>
      <c r="AJ162" s="55" t="str">
        <f>IF($AM162=0,"",IF(INDEX(Settings!$E$14:$E$18,$BF162)="% of notional",IF(OR($AG162="",NOT(ISNUMBER($H162)),NOT(ISNUMBER($G162))),"",ROUND(ABS($H162*$G162*$AG162*N($AH162))*IF($L162="Limit",N(INDEX(Settings!$G$14:$G$18,$BF162)),N(INDEX(Settings!$H$14:$H$18,$BF162)))+IF(ISNUMBER($K162),ABS($K162*$G162*$AG162*N($AH162))*IF($M162="Target",N(INDEX(Settings!$G$14:$G$18,$BF162)),N(INDEX(Settings!$H$14:$H$18,$BF162))),0),6)),IF(NOT(ISNUMBER($G162)),"",ROUND(ABS($G162)*2*IF(AND($BE162&gt;0,ISNUMBER(INDEX(Instruments!$G$6:$G$205,MAX(1,$BE162)))),INDEX(Instruments!$G$6:$G$205,MAX(1,$BE162)),N(INDEX(Settings!$F$14:$F$18,$BF162))),6))))</f>
        <v/>
      </c>
      <c r="AK162" s="55" t="str">
        <f>IF($AM162=0,"",IF(ISNUMBER($O162),$O162,$AI162))</f>
        <v/>
      </c>
      <c r="AL162" s="55" t="str">
        <f>IF($AM162=0,"",IF(ISNUMBER($P162),$P162,N($AJ162)))</f>
        <v/>
      </c>
      <c r="AM162" s="56">
        <f>IF(AND($A162&lt;&gt;"",$E162&lt;&gt;"",OR(AND(ISNUMBER($G162),ISNUMBER($H162),ISNUMBER($K162)),ISNUMBER($O162))),1,0)</f>
        <v>0</v>
      </c>
      <c r="AN162" s="57" t="str">
        <f>IF($A162="","",$A162-WEEKDAY($A162,3))</f>
        <v/>
      </c>
      <c r="AO162" s="56" t="str">
        <f>IF($A162="","",WEEKDAY($A162,2))</f>
        <v/>
      </c>
      <c r="AP162" s="55" t="str">
        <f>IF(OR($AM162=0,$C162=""),"",IFERROR(N(INDEX(Accounts!$E$7:$E$16,MATCH($C162,Accounts!$B$7:$B$16,0))),0)+SUMIFS($Q$6:$Q162,$C$6:$C162,$C162))</f>
        <v/>
      </c>
      <c r="AQ162" s="55" t="str">
        <f>IF(OR($AM162=0,$C162=""),"",SUMIFS($Q$6:$Q$1005,$C$6:$C$1005,$C162,$A$6:$A$1005,$A162))</f>
        <v/>
      </c>
      <c r="AR162" s="55" t="str">
        <f>IF(OR($AM162=0,$C162=""),"",IFERROR(N(INDEX(Accounts!$E$7:$E$16,MATCH($C162,Accounts!$B$7:$B$16,0))),0)+SUMIFS($Q$6:$Q$1005,$C$6:$C$1005,$C162,$A$6:$A$1005,"&lt;="&amp;$A162))</f>
        <v/>
      </c>
      <c r="AS162" s="56">
        <f>IF(OR($AM162=0,$Q162=""),0,IF(AND($A162&gt;=Lists!$W$6,$A162&lt;=Lists!$W$7,OR(Dashboard!$D$6="All accounts",$C162=Dashboard!$D$6),OR(Dashboard!$D$7="All markets",$AF162=Dashboard!$D$7)),1,0))</f>
        <v>0</v>
      </c>
      <c r="AT162" s="55">
        <f>IF($AS162=1,N(AT161)+$Q162,N(AT161))</f>
        <v>1187.10688</v>
      </c>
      <c r="AU162" s="55">
        <f>MAX(N(AU161),$AT162)</f>
        <v>1187.10688</v>
      </c>
      <c r="AV162" s="55">
        <f>$AT162-$AU162</f>
        <v>0</v>
      </c>
      <c r="AW162" s="56">
        <f>IF($AS162=1,IF($S162="Win",N(AW161)+1,IF($S162="Loss",0,N(AW161))),N(AW161))</f>
        <v>5</v>
      </c>
      <c r="AX162" s="56">
        <f>IF($AS162=1,IF($S162="Loss",N(AX161)+1,IF($S162="Win",0,N(AX161))),N(AX161))</f>
        <v>0</v>
      </c>
      <c r="AY162" s="56" t="str">
        <f>IF($AS162=1,COUNTIF($AS$6:$AS162,1),"")</f>
        <v/>
      </c>
      <c r="AZ162" s="56">
        <f>MIN(156,N(Lists!$W$8))</f>
        <v>28</v>
      </c>
      <c r="BA162" s="56">
        <f>IF($AS162=1,IF(COUNTIFS($A$6:$A162,$A162,$AS$6:$AS162,1)=1,1,0),0)</f>
        <v>0</v>
      </c>
      <c r="BB162" s="55" t="str">
        <f>IF($BA162=1,SUMIFS($Q$6:$Q$1005,$A$6:$A$1005,$A162,$AS$6:$AS$1005,1),"")</f>
        <v/>
      </c>
      <c r="BC162" s="56">
        <f>IF(ISNUMBER($R162),1,0)</f>
        <v>0</v>
      </c>
      <c r="BD162" s="55" t="str">
        <f>IF(ISNUMBER($U162),$U162*$V162,"")</f>
        <v/>
      </c>
      <c r="BE162" s="56" t="str">
        <f>IF($AM162=0,"",IFERROR(MATCH($AF162&amp;"|"&amp;UPPER(TRIM($E162)),Lists!$A$6:$A$205,0),0))</f>
        <v/>
      </c>
      <c r="BF162" s="56" t="str">
        <f>IF($AM162=0,"",IFERROR(MATCH($AF162,Settings!$B$14:$B$18,0),IFERROR(MATCH(Settings!$C$6,Settings!$B$14:$B$18,0),1)))</f>
        <v/>
      </c>
      <c r="BG162" s="58" t="str">
        <f>IF($AM162=0,"",IF(NOT(ISNUMBER($I162)),"No stop; ","")&amp;IF(AND(ISNUMBER($H162),ISNUMBER($I162)),IF(OR(AND($F162&lt;&gt;"Short",$I162&gt;=$H162),AND($F162="Short",$I162&lt;=$H162)),"Stop on wrong side; ",""),"")&amp;IF($F162="","No direction; ","")&amp;IF(AND(ISNUMBER(Settings!$C$22),ISNUMBER($V162)),IF($V162&gt;Settings!$C$22,"Risk over max $; ",""),"")&amp;IF(AND(ISNUMBER(Settings!$C$23),ISNUMBER($V162),ISNUMBER($AP162),IFERROR(N(INDEX(Accounts!$E$7:$E$16,MATCH($C162,Accounts!$B$7:$B$16,0))),0)&gt;0),IF($V162&gt;Settings!$C$23*($AP162-N($Q162)),"Risk over max %; ",""),"")&amp;IF(AND(ISNUMBER(Settings!$C$24),ISNUMBER($N162)),IF($N162&gt;Settings!$C$24,"Leverage over max; ",""),"")&amp;IF(AND(ISNUMBER(Settings!$C$27),ISNUMBER($T162)),IF($T162&lt;Settings!$C$27,"R:R below min; ",""),"")&amp;IF(ISNUMBER(Settings!$C$25),IF(COUNTIFS($A$6:$A162,$A162,$AM$6:$AM162,1)&gt;Settings!$C$25,"Over max trades/day; ",""),"")&amp;IF(ISNUMBER(Settings!$C$26),IF(SUMIFS($Q$5:$Q161,$A$5:$A161,$A162)&lt;=-Settings!$C$26,"Traded after daily max loss; ",""),"")&amp;IF(AND($AG162="",NOT(ISNUMBER($O162))),"Symbol not in Instruments; ","")&amp;IF(AND($AH162="",NOT(ISNUMBER($O162))),"Forex cross: type Gross P&amp;L; ",""))</f>
        <v/>
      </c>
      <c r="BH162" s="56">
        <f>IF(ISNUMBER($Q162),1,0)</f>
        <v>0</v>
      </c>
      <c r="BI162" s="56">
        <f>IF($Y162="",0,1)</f>
        <v>0</v>
      </c>
      <c r="BJ162" s="56">
        <f>IF($AB162="",0,1)</f>
        <v>0</v>
      </c>
      <c r="BK162" s="56">
        <f>IF(AND($BH162=1,$W162&lt;&gt;"OK"),1,0)</f>
        <v>0</v>
      </c>
      <c r="BL162" s="55">
        <f>IF(N($AZ162)=0,0,IFERROR(INDEX($AT$6:$AT$1005,MATCH($AZ162,$AY$6:$AY$1005,0)),0))</f>
        <v>1187.10688</v>
      </c>
      <c r="BM162" s="56">
        <f>IF(ISNUMBER(SEARCH("daily max loss",$BG162)),1,0)</f>
        <v>0</v>
      </c>
    </row>
    <row r="163" ht="18" customHeight="1">
      <c r="A163" s="38" t="n"/>
      <c r="B163" s="39" t="n"/>
      <c r="C163" s="40" t="n"/>
      <c r="D163" s="41" t="n"/>
      <c r="E163" s="41" t="n"/>
      <c r="F163" s="41" t="n"/>
      <c r="G163" s="41" t="n"/>
      <c r="H163" s="42" t="n"/>
      <c r="I163" s="42" t="n"/>
      <c r="J163" s="42" t="n"/>
      <c r="K163" s="42" t="n"/>
      <c r="L163" s="41" t="n"/>
      <c r="M163" s="41" t="n"/>
      <c r="N163" s="41" t="n"/>
      <c r="O163" s="43" t="n"/>
      <c r="P163" s="43" t="n"/>
      <c r="Q163" s="44" t="str">
        <f>IF($AM163=0,"",IF(ISNUMBER($AK163),$AK163-N($AL163),""))</f>
        <v/>
      </c>
      <c r="R163" s="45" t="str">
        <f>IF(OR($Q163="",NOT(ISNUMBER($V163))),"",$AK163/$V163)</f>
        <v/>
      </c>
      <c r="S163" s="46" t="str">
        <f>IF($Q163="","",IF(AND(ISNUMBER($R163),ABS(N($R163))&lt;N(Settings!$C$8)),"Scratch",IF($Q163&gt;0,"Win",IF($Q163&lt;0,"Loss","Scratch"))))</f>
        <v/>
      </c>
      <c r="T163" s="47" t="str">
        <f>IF(OR($AM163=0,NOT(ISNUMBER($H163)),NOT(ISNUMBER($I163)),NOT(ISNUMBER($J163))),"",IF($H163=$I163,"",ROUND(ABS($J163-$H163)/ABS($H163-$I163),6)))</f>
        <v/>
      </c>
      <c r="U163" s="48" t="str">
        <f>IF(OR($S163&lt;&gt;"Win",NOT(ISNUMBER($T163)),NOT(ISNUMBER($R163))),"",MAX(0,$T163-$R163))</f>
        <v/>
      </c>
      <c r="V163" s="49" t="str">
        <f>IF(OR($AM163=0,NOT(ISNUMBER($H163)),NOT(ISNUMBER($I163)),NOT(ISNUMBER($G163))),"",IF(OR($AG163="",$AH163=""),"",IF(ROUND(ABS($H163-$I163)*ABS($G163)*$AG163*$AH163,6)=0,"",ROUND(ABS($H163-$I163)*ABS($G163)*$AG163*$AH163,6))))</f>
        <v/>
      </c>
      <c r="W163" s="50" t="str">
        <f>IF($AM163=0,"",IF($BG163="","OK",LEFT($BG163,LEN($BG163)-2)))</f>
        <v/>
      </c>
      <c r="X163" s="41" t="n"/>
      <c r="Y163" s="40" t="n"/>
      <c r="Z163" s="41" t="n"/>
      <c r="AA163" s="41" t="n"/>
      <c r="AB163" s="40" t="n"/>
      <c r="AC163" s="51" t="n"/>
      <c r="AD163" s="51" t="n"/>
      <c r="AE163" s="40" t="n"/>
      <c r="AF163" s="52" t="str">
        <f>IF($AM163=0,"",IF($D163&lt;&gt;"",$D163,IF(IFERROR(INDEX(Accounts!$C$7:$C$16,MATCH($C163,Accounts!$B$7:$B$16,0))&amp;"","")&lt;&gt;"",INDEX(Accounts!$C$7:$C$16,MATCH($C163,Accounts!$B$7:$B$16,0)),Settings!$C$6)))</f>
        <v/>
      </c>
      <c r="AG163" s="53" t="str">
        <f>IF($AM163=0,"",IF(AND($BE163&gt;0,N(INDEX(Instruments!$D$6:$D$205,MAX(1,$BE163)))&gt;0),INDEX(Instruments!$D$6:$D$205,MAX(1,$BE163)),IF(N(INDEX(Settings!$D$14:$D$18,$BF163))&gt;0,INDEX(Settings!$D$14:$D$18,$BF163),"")))</f>
        <v/>
      </c>
      <c r="AH163" s="54" t="str">
        <f>IF($AM163=0,"",IF($AF163&lt;&gt;"Forex",1,IF(MID(UPPER(SUBSTITUTE(TRIM($E163),"/","")),4,3)=UPPER(TRIM(Settings!$C$7)),1,IF(LEFT(UPPER(SUBSTITUTE(TRIM($E163),"/","")),3)=UPPER(TRIM(Settings!$C$7)),IF(AND(ISNUMBER($K163),N($K163)&lt;&gt;0),1/$K163,""),""))))</f>
        <v/>
      </c>
      <c r="AI163" s="55" t="str">
        <f>IF($AM163=0,"",IF(OR(NOT(ISNUMBER($H163)),NOT(ISNUMBER($K163)),NOT(ISNUMBER($G163)),$AG163="",$AH163=""),"",ROUND(($K163-$H163)*IF($F163="Short",-1,1)*$G163*$AG163*$AH163,6)))</f>
        <v/>
      </c>
      <c r="AJ163" s="55" t="str">
        <f>IF($AM163=0,"",IF(INDEX(Settings!$E$14:$E$18,$BF163)="% of notional",IF(OR($AG163="",NOT(ISNUMBER($H163)),NOT(ISNUMBER($G163))),"",ROUND(ABS($H163*$G163*$AG163*N($AH163))*IF($L163="Limit",N(INDEX(Settings!$G$14:$G$18,$BF163)),N(INDEX(Settings!$H$14:$H$18,$BF163)))+IF(ISNUMBER($K163),ABS($K163*$G163*$AG163*N($AH163))*IF($M163="Target",N(INDEX(Settings!$G$14:$G$18,$BF163)),N(INDEX(Settings!$H$14:$H$18,$BF163))),0),6)),IF(NOT(ISNUMBER($G163)),"",ROUND(ABS($G163)*2*IF(AND($BE163&gt;0,ISNUMBER(INDEX(Instruments!$G$6:$G$205,MAX(1,$BE163)))),INDEX(Instruments!$G$6:$G$205,MAX(1,$BE163)),N(INDEX(Settings!$F$14:$F$18,$BF163))),6))))</f>
        <v/>
      </c>
      <c r="AK163" s="55" t="str">
        <f>IF($AM163=0,"",IF(ISNUMBER($O163),$O163,$AI163))</f>
        <v/>
      </c>
      <c r="AL163" s="55" t="str">
        <f>IF($AM163=0,"",IF(ISNUMBER($P163),$P163,N($AJ163)))</f>
        <v/>
      </c>
      <c r="AM163" s="56">
        <f>IF(AND($A163&lt;&gt;"",$E163&lt;&gt;"",OR(AND(ISNUMBER($G163),ISNUMBER($H163),ISNUMBER($K163)),ISNUMBER($O163))),1,0)</f>
        <v>0</v>
      </c>
      <c r="AN163" s="57" t="str">
        <f>IF($A163="","",$A163-WEEKDAY($A163,3))</f>
        <v/>
      </c>
      <c r="AO163" s="56" t="str">
        <f>IF($A163="","",WEEKDAY($A163,2))</f>
        <v/>
      </c>
      <c r="AP163" s="55" t="str">
        <f>IF(OR($AM163=0,$C163=""),"",IFERROR(N(INDEX(Accounts!$E$7:$E$16,MATCH($C163,Accounts!$B$7:$B$16,0))),0)+SUMIFS($Q$6:$Q163,$C$6:$C163,$C163))</f>
        <v/>
      </c>
      <c r="AQ163" s="55" t="str">
        <f>IF(OR($AM163=0,$C163=""),"",SUMIFS($Q$6:$Q$1005,$C$6:$C$1005,$C163,$A$6:$A$1005,$A163))</f>
        <v/>
      </c>
      <c r="AR163" s="55" t="str">
        <f>IF(OR($AM163=0,$C163=""),"",IFERROR(N(INDEX(Accounts!$E$7:$E$16,MATCH($C163,Accounts!$B$7:$B$16,0))),0)+SUMIFS($Q$6:$Q$1005,$C$6:$C$1005,$C163,$A$6:$A$1005,"&lt;="&amp;$A163))</f>
        <v/>
      </c>
      <c r="AS163" s="56">
        <f>IF(OR($AM163=0,$Q163=""),0,IF(AND($A163&gt;=Lists!$W$6,$A163&lt;=Lists!$W$7,OR(Dashboard!$D$6="All accounts",$C163=Dashboard!$D$6),OR(Dashboard!$D$7="All markets",$AF163=Dashboard!$D$7)),1,0))</f>
        <v>0</v>
      </c>
      <c r="AT163" s="55">
        <f>IF($AS163=1,N(AT162)+$Q163,N(AT162))</f>
        <v>1187.10688</v>
      </c>
      <c r="AU163" s="55">
        <f>MAX(N(AU162),$AT163)</f>
        <v>1187.10688</v>
      </c>
      <c r="AV163" s="55">
        <f>$AT163-$AU163</f>
        <v>0</v>
      </c>
      <c r="AW163" s="56">
        <f>IF($AS163=1,IF($S163="Win",N(AW162)+1,IF($S163="Loss",0,N(AW162))),N(AW162))</f>
        <v>5</v>
      </c>
      <c r="AX163" s="56">
        <f>IF($AS163=1,IF($S163="Loss",N(AX162)+1,IF($S163="Win",0,N(AX162))),N(AX162))</f>
        <v>0</v>
      </c>
      <c r="AY163" s="56" t="str">
        <f>IF($AS163=1,COUNTIF($AS$6:$AS163,1),"")</f>
        <v/>
      </c>
      <c r="AZ163" s="56">
        <f>MIN(157,N(Lists!$W$8))</f>
        <v>28</v>
      </c>
      <c r="BA163" s="56">
        <f>IF($AS163=1,IF(COUNTIFS($A$6:$A163,$A163,$AS$6:$AS163,1)=1,1,0),0)</f>
        <v>0</v>
      </c>
      <c r="BB163" s="55" t="str">
        <f>IF($BA163=1,SUMIFS($Q$6:$Q$1005,$A$6:$A$1005,$A163,$AS$6:$AS$1005,1),"")</f>
        <v/>
      </c>
      <c r="BC163" s="56">
        <f>IF(ISNUMBER($R163),1,0)</f>
        <v>0</v>
      </c>
      <c r="BD163" s="55" t="str">
        <f>IF(ISNUMBER($U163),$U163*$V163,"")</f>
        <v/>
      </c>
      <c r="BE163" s="56" t="str">
        <f>IF($AM163=0,"",IFERROR(MATCH($AF163&amp;"|"&amp;UPPER(TRIM($E163)),Lists!$A$6:$A$205,0),0))</f>
        <v/>
      </c>
      <c r="BF163" s="56" t="str">
        <f>IF($AM163=0,"",IFERROR(MATCH($AF163,Settings!$B$14:$B$18,0),IFERROR(MATCH(Settings!$C$6,Settings!$B$14:$B$18,0),1)))</f>
        <v/>
      </c>
      <c r="BG163" s="58" t="str">
        <f>IF($AM163=0,"",IF(NOT(ISNUMBER($I163)),"No stop; ","")&amp;IF(AND(ISNUMBER($H163),ISNUMBER($I163)),IF(OR(AND($F163&lt;&gt;"Short",$I163&gt;=$H163),AND($F163="Short",$I163&lt;=$H163)),"Stop on wrong side; ",""),"")&amp;IF($F163="","No direction; ","")&amp;IF(AND(ISNUMBER(Settings!$C$22),ISNUMBER($V163)),IF($V163&gt;Settings!$C$22,"Risk over max $; ",""),"")&amp;IF(AND(ISNUMBER(Settings!$C$23),ISNUMBER($V163),ISNUMBER($AP163),IFERROR(N(INDEX(Accounts!$E$7:$E$16,MATCH($C163,Accounts!$B$7:$B$16,0))),0)&gt;0),IF($V163&gt;Settings!$C$23*($AP163-N($Q163)),"Risk over max %; ",""),"")&amp;IF(AND(ISNUMBER(Settings!$C$24),ISNUMBER($N163)),IF($N163&gt;Settings!$C$24,"Leverage over max; ",""),"")&amp;IF(AND(ISNUMBER(Settings!$C$27),ISNUMBER($T163)),IF($T163&lt;Settings!$C$27,"R:R below min; ",""),"")&amp;IF(ISNUMBER(Settings!$C$25),IF(COUNTIFS($A$6:$A163,$A163,$AM$6:$AM163,1)&gt;Settings!$C$25,"Over max trades/day; ",""),"")&amp;IF(ISNUMBER(Settings!$C$26),IF(SUMIFS($Q$5:$Q162,$A$5:$A162,$A163)&lt;=-Settings!$C$26,"Traded after daily max loss; ",""),"")&amp;IF(AND($AG163="",NOT(ISNUMBER($O163))),"Symbol not in Instruments; ","")&amp;IF(AND($AH163="",NOT(ISNUMBER($O163))),"Forex cross: type Gross P&amp;L; ",""))</f>
        <v/>
      </c>
      <c r="BH163" s="56">
        <f>IF(ISNUMBER($Q163),1,0)</f>
        <v>0</v>
      </c>
      <c r="BI163" s="56">
        <f>IF($Y163="",0,1)</f>
        <v>0</v>
      </c>
      <c r="BJ163" s="56">
        <f>IF($AB163="",0,1)</f>
        <v>0</v>
      </c>
      <c r="BK163" s="56">
        <f>IF(AND($BH163=1,$W163&lt;&gt;"OK"),1,0)</f>
        <v>0</v>
      </c>
      <c r="BL163" s="55">
        <f>IF(N($AZ163)=0,0,IFERROR(INDEX($AT$6:$AT$1005,MATCH($AZ163,$AY$6:$AY$1005,0)),0))</f>
        <v>1187.10688</v>
      </c>
      <c r="BM163" s="56">
        <f>IF(ISNUMBER(SEARCH("daily max loss",$BG163)),1,0)</f>
        <v>0</v>
      </c>
    </row>
    <row r="164" ht="18" customHeight="1">
      <c r="A164" s="38" t="n"/>
      <c r="B164" s="39" t="n"/>
      <c r="C164" s="40" t="n"/>
      <c r="D164" s="41" t="n"/>
      <c r="E164" s="41" t="n"/>
      <c r="F164" s="41" t="n"/>
      <c r="G164" s="41" t="n"/>
      <c r="H164" s="42" t="n"/>
      <c r="I164" s="42" t="n"/>
      <c r="J164" s="42" t="n"/>
      <c r="K164" s="42" t="n"/>
      <c r="L164" s="41" t="n"/>
      <c r="M164" s="41" t="n"/>
      <c r="N164" s="41" t="n"/>
      <c r="O164" s="43" t="n"/>
      <c r="P164" s="43" t="n"/>
      <c r="Q164" s="44" t="str">
        <f>IF($AM164=0,"",IF(ISNUMBER($AK164),$AK164-N($AL164),""))</f>
        <v/>
      </c>
      <c r="R164" s="45" t="str">
        <f>IF(OR($Q164="",NOT(ISNUMBER($V164))),"",$AK164/$V164)</f>
        <v/>
      </c>
      <c r="S164" s="46" t="str">
        <f>IF($Q164="","",IF(AND(ISNUMBER($R164),ABS(N($R164))&lt;N(Settings!$C$8)),"Scratch",IF($Q164&gt;0,"Win",IF($Q164&lt;0,"Loss","Scratch"))))</f>
        <v/>
      </c>
      <c r="T164" s="47" t="str">
        <f>IF(OR($AM164=0,NOT(ISNUMBER($H164)),NOT(ISNUMBER($I164)),NOT(ISNUMBER($J164))),"",IF($H164=$I164,"",ROUND(ABS($J164-$H164)/ABS($H164-$I164),6)))</f>
        <v/>
      </c>
      <c r="U164" s="48" t="str">
        <f>IF(OR($S164&lt;&gt;"Win",NOT(ISNUMBER($T164)),NOT(ISNUMBER($R164))),"",MAX(0,$T164-$R164))</f>
        <v/>
      </c>
      <c r="V164" s="49" t="str">
        <f>IF(OR($AM164=0,NOT(ISNUMBER($H164)),NOT(ISNUMBER($I164)),NOT(ISNUMBER($G164))),"",IF(OR($AG164="",$AH164=""),"",IF(ROUND(ABS($H164-$I164)*ABS($G164)*$AG164*$AH164,6)=0,"",ROUND(ABS($H164-$I164)*ABS($G164)*$AG164*$AH164,6))))</f>
        <v/>
      </c>
      <c r="W164" s="50" t="str">
        <f>IF($AM164=0,"",IF($BG164="","OK",LEFT($BG164,LEN($BG164)-2)))</f>
        <v/>
      </c>
      <c r="X164" s="41" t="n"/>
      <c r="Y164" s="40" t="n"/>
      <c r="Z164" s="41" t="n"/>
      <c r="AA164" s="41" t="n"/>
      <c r="AB164" s="40" t="n"/>
      <c r="AC164" s="51" t="n"/>
      <c r="AD164" s="51" t="n"/>
      <c r="AE164" s="40" t="n"/>
      <c r="AF164" s="52" t="str">
        <f>IF($AM164=0,"",IF($D164&lt;&gt;"",$D164,IF(IFERROR(INDEX(Accounts!$C$7:$C$16,MATCH($C164,Accounts!$B$7:$B$16,0))&amp;"","")&lt;&gt;"",INDEX(Accounts!$C$7:$C$16,MATCH($C164,Accounts!$B$7:$B$16,0)),Settings!$C$6)))</f>
        <v/>
      </c>
      <c r="AG164" s="53" t="str">
        <f>IF($AM164=0,"",IF(AND($BE164&gt;0,N(INDEX(Instruments!$D$6:$D$205,MAX(1,$BE164)))&gt;0),INDEX(Instruments!$D$6:$D$205,MAX(1,$BE164)),IF(N(INDEX(Settings!$D$14:$D$18,$BF164))&gt;0,INDEX(Settings!$D$14:$D$18,$BF164),"")))</f>
        <v/>
      </c>
      <c r="AH164" s="54" t="str">
        <f>IF($AM164=0,"",IF($AF164&lt;&gt;"Forex",1,IF(MID(UPPER(SUBSTITUTE(TRIM($E164),"/","")),4,3)=UPPER(TRIM(Settings!$C$7)),1,IF(LEFT(UPPER(SUBSTITUTE(TRIM($E164),"/","")),3)=UPPER(TRIM(Settings!$C$7)),IF(AND(ISNUMBER($K164),N($K164)&lt;&gt;0),1/$K164,""),""))))</f>
        <v/>
      </c>
      <c r="AI164" s="55" t="str">
        <f>IF($AM164=0,"",IF(OR(NOT(ISNUMBER($H164)),NOT(ISNUMBER($K164)),NOT(ISNUMBER($G164)),$AG164="",$AH164=""),"",ROUND(($K164-$H164)*IF($F164="Short",-1,1)*$G164*$AG164*$AH164,6)))</f>
        <v/>
      </c>
      <c r="AJ164" s="55" t="str">
        <f>IF($AM164=0,"",IF(INDEX(Settings!$E$14:$E$18,$BF164)="% of notional",IF(OR($AG164="",NOT(ISNUMBER($H164)),NOT(ISNUMBER($G164))),"",ROUND(ABS($H164*$G164*$AG164*N($AH164))*IF($L164="Limit",N(INDEX(Settings!$G$14:$G$18,$BF164)),N(INDEX(Settings!$H$14:$H$18,$BF164)))+IF(ISNUMBER($K164),ABS($K164*$G164*$AG164*N($AH164))*IF($M164="Target",N(INDEX(Settings!$G$14:$G$18,$BF164)),N(INDEX(Settings!$H$14:$H$18,$BF164))),0),6)),IF(NOT(ISNUMBER($G164)),"",ROUND(ABS($G164)*2*IF(AND($BE164&gt;0,ISNUMBER(INDEX(Instruments!$G$6:$G$205,MAX(1,$BE164)))),INDEX(Instruments!$G$6:$G$205,MAX(1,$BE164)),N(INDEX(Settings!$F$14:$F$18,$BF164))),6))))</f>
        <v/>
      </c>
      <c r="AK164" s="55" t="str">
        <f>IF($AM164=0,"",IF(ISNUMBER($O164),$O164,$AI164))</f>
        <v/>
      </c>
      <c r="AL164" s="55" t="str">
        <f>IF($AM164=0,"",IF(ISNUMBER($P164),$P164,N($AJ164)))</f>
        <v/>
      </c>
      <c r="AM164" s="56">
        <f>IF(AND($A164&lt;&gt;"",$E164&lt;&gt;"",OR(AND(ISNUMBER($G164),ISNUMBER($H164),ISNUMBER($K164)),ISNUMBER($O164))),1,0)</f>
        <v>0</v>
      </c>
      <c r="AN164" s="57" t="str">
        <f>IF($A164="","",$A164-WEEKDAY($A164,3))</f>
        <v/>
      </c>
      <c r="AO164" s="56" t="str">
        <f>IF($A164="","",WEEKDAY($A164,2))</f>
        <v/>
      </c>
      <c r="AP164" s="55" t="str">
        <f>IF(OR($AM164=0,$C164=""),"",IFERROR(N(INDEX(Accounts!$E$7:$E$16,MATCH($C164,Accounts!$B$7:$B$16,0))),0)+SUMIFS($Q$6:$Q164,$C$6:$C164,$C164))</f>
        <v/>
      </c>
      <c r="AQ164" s="55" t="str">
        <f>IF(OR($AM164=0,$C164=""),"",SUMIFS($Q$6:$Q$1005,$C$6:$C$1005,$C164,$A$6:$A$1005,$A164))</f>
        <v/>
      </c>
      <c r="AR164" s="55" t="str">
        <f>IF(OR($AM164=0,$C164=""),"",IFERROR(N(INDEX(Accounts!$E$7:$E$16,MATCH($C164,Accounts!$B$7:$B$16,0))),0)+SUMIFS($Q$6:$Q$1005,$C$6:$C$1005,$C164,$A$6:$A$1005,"&lt;="&amp;$A164))</f>
        <v/>
      </c>
      <c r="AS164" s="56">
        <f>IF(OR($AM164=0,$Q164=""),0,IF(AND($A164&gt;=Lists!$W$6,$A164&lt;=Lists!$W$7,OR(Dashboard!$D$6="All accounts",$C164=Dashboard!$D$6),OR(Dashboard!$D$7="All markets",$AF164=Dashboard!$D$7)),1,0))</f>
        <v>0</v>
      </c>
      <c r="AT164" s="55">
        <f>IF($AS164=1,N(AT163)+$Q164,N(AT163))</f>
        <v>1187.10688</v>
      </c>
      <c r="AU164" s="55">
        <f>MAX(N(AU163),$AT164)</f>
        <v>1187.10688</v>
      </c>
      <c r="AV164" s="55">
        <f>$AT164-$AU164</f>
        <v>0</v>
      </c>
      <c r="AW164" s="56">
        <f>IF($AS164=1,IF($S164="Win",N(AW163)+1,IF($S164="Loss",0,N(AW163))),N(AW163))</f>
        <v>5</v>
      </c>
      <c r="AX164" s="56">
        <f>IF($AS164=1,IF($S164="Loss",N(AX163)+1,IF($S164="Win",0,N(AX163))),N(AX163))</f>
        <v>0</v>
      </c>
      <c r="AY164" s="56" t="str">
        <f>IF($AS164=1,COUNTIF($AS$6:$AS164,1),"")</f>
        <v/>
      </c>
      <c r="AZ164" s="56">
        <f>MIN(158,N(Lists!$W$8))</f>
        <v>28</v>
      </c>
      <c r="BA164" s="56">
        <f>IF($AS164=1,IF(COUNTIFS($A$6:$A164,$A164,$AS$6:$AS164,1)=1,1,0),0)</f>
        <v>0</v>
      </c>
      <c r="BB164" s="55" t="str">
        <f>IF($BA164=1,SUMIFS($Q$6:$Q$1005,$A$6:$A$1005,$A164,$AS$6:$AS$1005,1),"")</f>
        <v/>
      </c>
      <c r="BC164" s="56">
        <f>IF(ISNUMBER($R164),1,0)</f>
        <v>0</v>
      </c>
      <c r="BD164" s="55" t="str">
        <f>IF(ISNUMBER($U164),$U164*$V164,"")</f>
        <v/>
      </c>
      <c r="BE164" s="56" t="str">
        <f>IF($AM164=0,"",IFERROR(MATCH($AF164&amp;"|"&amp;UPPER(TRIM($E164)),Lists!$A$6:$A$205,0),0))</f>
        <v/>
      </c>
      <c r="BF164" s="56" t="str">
        <f>IF($AM164=0,"",IFERROR(MATCH($AF164,Settings!$B$14:$B$18,0),IFERROR(MATCH(Settings!$C$6,Settings!$B$14:$B$18,0),1)))</f>
        <v/>
      </c>
      <c r="BG164" s="58" t="str">
        <f>IF($AM164=0,"",IF(NOT(ISNUMBER($I164)),"No stop; ","")&amp;IF(AND(ISNUMBER($H164),ISNUMBER($I164)),IF(OR(AND($F164&lt;&gt;"Short",$I164&gt;=$H164),AND($F164="Short",$I164&lt;=$H164)),"Stop on wrong side; ",""),"")&amp;IF($F164="","No direction; ","")&amp;IF(AND(ISNUMBER(Settings!$C$22),ISNUMBER($V164)),IF($V164&gt;Settings!$C$22,"Risk over max $; ",""),"")&amp;IF(AND(ISNUMBER(Settings!$C$23),ISNUMBER($V164),ISNUMBER($AP164),IFERROR(N(INDEX(Accounts!$E$7:$E$16,MATCH($C164,Accounts!$B$7:$B$16,0))),0)&gt;0),IF($V164&gt;Settings!$C$23*($AP164-N($Q164)),"Risk over max %; ",""),"")&amp;IF(AND(ISNUMBER(Settings!$C$24),ISNUMBER($N164)),IF($N164&gt;Settings!$C$24,"Leverage over max; ",""),"")&amp;IF(AND(ISNUMBER(Settings!$C$27),ISNUMBER($T164)),IF($T164&lt;Settings!$C$27,"R:R below min; ",""),"")&amp;IF(ISNUMBER(Settings!$C$25),IF(COUNTIFS($A$6:$A164,$A164,$AM$6:$AM164,1)&gt;Settings!$C$25,"Over max trades/day; ",""),"")&amp;IF(ISNUMBER(Settings!$C$26),IF(SUMIFS($Q$5:$Q163,$A$5:$A163,$A164)&lt;=-Settings!$C$26,"Traded after daily max loss; ",""),"")&amp;IF(AND($AG164="",NOT(ISNUMBER($O164))),"Symbol not in Instruments; ","")&amp;IF(AND($AH164="",NOT(ISNUMBER($O164))),"Forex cross: type Gross P&amp;L; ",""))</f>
        <v/>
      </c>
      <c r="BH164" s="56">
        <f>IF(ISNUMBER($Q164),1,0)</f>
        <v>0</v>
      </c>
      <c r="BI164" s="56">
        <f>IF($Y164="",0,1)</f>
        <v>0</v>
      </c>
      <c r="BJ164" s="56">
        <f>IF($AB164="",0,1)</f>
        <v>0</v>
      </c>
      <c r="BK164" s="56">
        <f>IF(AND($BH164=1,$W164&lt;&gt;"OK"),1,0)</f>
        <v>0</v>
      </c>
      <c r="BL164" s="55">
        <f>IF(N($AZ164)=0,0,IFERROR(INDEX($AT$6:$AT$1005,MATCH($AZ164,$AY$6:$AY$1005,0)),0))</f>
        <v>1187.10688</v>
      </c>
      <c r="BM164" s="56">
        <f>IF(ISNUMBER(SEARCH("daily max loss",$BG164)),1,0)</f>
        <v>0</v>
      </c>
    </row>
    <row r="165" ht="18" customHeight="1">
      <c r="A165" s="38" t="n"/>
      <c r="B165" s="39" t="n"/>
      <c r="C165" s="40" t="n"/>
      <c r="D165" s="41" t="n"/>
      <c r="E165" s="41" t="n"/>
      <c r="F165" s="41" t="n"/>
      <c r="G165" s="41" t="n"/>
      <c r="H165" s="42" t="n"/>
      <c r="I165" s="42" t="n"/>
      <c r="J165" s="42" t="n"/>
      <c r="K165" s="42" t="n"/>
      <c r="L165" s="41" t="n"/>
      <c r="M165" s="41" t="n"/>
      <c r="N165" s="41" t="n"/>
      <c r="O165" s="43" t="n"/>
      <c r="P165" s="43" t="n"/>
      <c r="Q165" s="44" t="str">
        <f>IF($AM165=0,"",IF(ISNUMBER($AK165),$AK165-N($AL165),""))</f>
        <v/>
      </c>
      <c r="R165" s="45" t="str">
        <f>IF(OR($Q165="",NOT(ISNUMBER($V165))),"",$AK165/$V165)</f>
        <v/>
      </c>
      <c r="S165" s="46" t="str">
        <f>IF($Q165="","",IF(AND(ISNUMBER($R165),ABS(N($R165))&lt;N(Settings!$C$8)),"Scratch",IF($Q165&gt;0,"Win",IF($Q165&lt;0,"Loss","Scratch"))))</f>
        <v/>
      </c>
      <c r="T165" s="47" t="str">
        <f>IF(OR($AM165=0,NOT(ISNUMBER($H165)),NOT(ISNUMBER($I165)),NOT(ISNUMBER($J165))),"",IF($H165=$I165,"",ROUND(ABS($J165-$H165)/ABS($H165-$I165),6)))</f>
        <v/>
      </c>
      <c r="U165" s="48" t="str">
        <f>IF(OR($S165&lt;&gt;"Win",NOT(ISNUMBER($T165)),NOT(ISNUMBER($R165))),"",MAX(0,$T165-$R165))</f>
        <v/>
      </c>
      <c r="V165" s="49" t="str">
        <f>IF(OR($AM165=0,NOT(ISNUMBER($H165)),NOT(ISNUMBER($I165)),NOT(ISNUMBER($G165))),"",IF(OR($AG165="",$AH165=""),"",IF(ROUND(ABS($H165-$I165)*ABS($G165)*$AG165*$AH165,6)=0,"",ROUND(ABS($H165-$I165)*ABS($G165)*$AG165*$AH165,6))))</f>
        <v/>
      </c>
      <c r="W165" s="50" t="str">
        <f>IF($AM165=0,"",IF($BG165="","OK",LEFT($BG165,LEN($BG165)-2)))</f>
        <v/>
      </c>
      <c r="X165" s="41" t="n"/>
      <c r="Y165" s="40" t="n"/>
      <c r="Z165" s="41" t="n"/>
      <c r="AA165" s="41" t="n"/>
      <c r="AB165" s="40" t="n"/>
      <c r="AC165" s="51" t="n"/>
      <c r="AD165" s="51" t="n"/>
      <c r="AE165" s="40" t="n"/>
      <c r="AF165" s="52" t="str">
        <f>IF($AM165=0,"",IF($D165&lt;&gt;"",$D165,IF(IFERROR(INDEX(Accounts!$C$7:$C$16,MATCH($C165,Accounts!$B$7:$B$16,0))&amp;"","")&lt;&gt;"",INDEX(Accounts!$C$7:$C$16,MATCH($C165,Accounts!$B$7:$B$16,0)),Settings!$C$6)))</f>
        <v/>
      </c>
      <c r="AG165" s="53" t="str">
        <f>IF($AM165=0,"",IF(AND($BE165&gt;0,N(INDEX(Instruments!$D$6:$D$205,MAX(1,$BE165)))&gt;0),INDEX(Instruments!$D$6:$D$205,MAX(1,$BE165)),IF(N(INDEX(Settings!$D$14:$D$18,$BF165))&gt;0,INDEX(Settings!$D$14:$D$18,$BF165),"")))</f>
        <v/>
      </c>
      <c r="AH165" s="54" t="str">
        <f>IF($AM165=0,"",IF($AF165&lt;&gt;"Forex",1,IF(MID(UPPER(SUBSTITUTE(TRIM($E165),"/","")),4,3)=UPPER(TRIM(Settings!$C$7)),1,IF(LEFT(UPPER(SUBSTITUTE(TRIM($E165),"/","")),3)=UPPER(TRIM(Settings!$C$7)),IF(AND(ISNUMBER($K165),N($K165)&lt;&gt;0),1/$K165,""),""))))</f>
        <v/>
      </c>
      <c r="AI165" s="55" t="str">
        <f>IF($AM165=0,"",IF(OR(NOT(ISNUMBER($H165)),NOT(ISNUMBER($K165)),NOT(ISNUMBER($G165)),$AG165="",$AH165=""),"",ROUND(($K165-$H165)*IF($F165="Short",-1,1)*$G165*$AG165*$AH165,6)))</f>
        <v/>
      </c>
      <c r="AJ165" s="55" t="str">
        <f>IF($AM165=0,"",IF(INDEX(Settings!$E$14:$E$18,$BF165)="% of notional",IF(OR($AG165="",NOT(ISNUMBER($H165)),NOT(ISNUMBER($G165))),"",ROUND(ABS($H165*$G165*$AG165*N($AH165))*IF($L165="Limit",N(INDEX(Settings!$G$14:$G$18,$BF165)),N(INDEX(Settings!$H$14:$H$18,$BF165)))+IF(ISNUMBER($K165),ABS($K165*$G165*$AG165*N($AH165))*IF($M165="Target",N(INDEX(Settings!$G$14:$G$18,$BF165)),N(INDEX(Settings!$H$14:$H$18,$BF165))),0),6)),IF(NOT(ISNUMBER($G165)),"",ROUND(ABS($G165)*2*IF(AND($BE165&gt;0,ISNUMBER(INDEX(Instruments!$G$6:$G$205,MAX(1,$BE165)))),INDEX(Instruments!$G$6:$G$205,MAX(1,$BE165)),N(INDEX(Settings!$F$14:$F$18,$BF165))),6))))</f>
        <v/>
      </c>
      <c r="AK165" s="55" t="str">
        <f>IF($AM165=0,"",IF(ISNUMBER($O165),$O165,$AI165))</f>
        <v/>
      </c>
      <c r="AL165" s="55" t="str">
        <f>IF($AM165=0,"",IF(ISNUMBER($P165),$P165,N($AJ165)))</f>
        <v/>
      </c>
      <c r="AM165" s="56">
        <f>IF(AND($A165&lt;&gt;"",$E165&lt;&gt;"",OR(AND(ISNUMBER($G165),ISNUMBER($H165),ISNUMBER($K165)),ISNUMBER($O165))),1,0)</f>
        <v>0</v>
      </c>
      <c r="AN165" s="57" t="str">
        <f>IF($A165="","",$A165-WEEKDAY($A165,3))</f>
        <v/>
      </c>
      <c r="AO165" s="56" t="str">
        <f>IF($A165="","",WEEKDAY($A165,2))</f>
        <v/>
      </c>
      <c r="AP165" s="55" t="str">
        <f>IF(OR($AM165=0,$C165=""),"",IFERROR(N(INDEX(Accounts!$E$7:$E$16,MATCH($C165,Accounts!$B$7:$B$16,0))),0)+SUMIFS($Q$6:$Q165,$C$6:$C165,$C165))</f>
        <v/>
      </c>
      <c r="AQ165" s="55" t="str">
        <f>IF(OR($AM165=0,$C165=""),"",SUMIFS($Q$6:$Q$1005,$C$6:$C$1005,$C165,$A$6:$A$1005,$A165))</f>
        <v/>
      </c>
      <c r="AR165" s="55" t="str">
        <f>IF(OR($AM165=0,$C165=""),"",IFERROR(N(INDEX(Accounts!$E$7:$E$16,MATCH($C165,Accounts!$B$7:$B$16,0))),0)+SUMIFS($Q$6:$Q$1005,$C$6:$C$1005,$C165,$A$6:$A$1005,"&lt;="&amp;$A165))</f>
        <v/>
      </c>
      <c r="AS165" s="56">
        <f>IF(OR($AM165=0,$Q165=""),0,IF(AND($A165&gt;=Lists!$W$6,$A165&lt;=Lists!$W$7,OR(Dashboard!$D$6="All accounts",$C165=Dashboard!$D$6),OR(Dashboard!$D$7="All markets",$AF165=Dashboard!$D$7)),1,0))</f>
        <v>0</v>
      </c>
      <c r="AT165" s="55">
        <f>IF($AS165=1,N(AT164)+$Q165,N(AT164))</f>
        <v>1187.10688</v>
      </c>
      <c r="AU165" s="55">
        <f>MAX(N(AU164),$AT165)</f>
        <v>1187.10688</v>
      </c>
      <c r="AV165" s="55">
        <f>$AT165-$AU165</f>
        <v>0</v>
      </c>
      <c r="AW165" s="56">
        <f>IF($AS165=1,IF($S165="Win",N(AW164)+1,IF($S165="Loss",0,N(AW164))),N(AW164))</f>
        <v>5</v>
      </c>
      <c r="AX165" s="56">
        <f>IF($AS165=1,IF($S165="Loss",N(AX164)+1,IF($S165="Win",0,N(AX164))),N(AX164))</f>
        <v>0</v>
      </c>
      <c r="AY165" s="56" t="str">
        <f>IF($AS165=1,COUNTIF($AS$6:$AS165,1),"")</f>
        <v/>
      </c>
      <c r="AZ165" s="56">
        <f>MIN(159,N(Lists!$W$8))</f>
        <v>28</v>
      </c>
      <c r="BA165" s="56">
        <f>IF($AS165=1,IF(COUNTIFS($A$6:$A165,$A165,$AS$6:$AS165,1)=1,1,0),0)</f>
        <v>0</v>
      </c>
      <c r="BB165" s="55" t="str">
        <f>IF($BA165=1,SUMIFS($Q$6:$Q$1005,$A$6:$A$1005,$A165,$AS$6:$AS$1005,1),"")</f>
        <v/>
      </c>
      <c r="BC165" s="56">
        <f>IF(ISNUMBER($R165),1,0)</f>
        <v>0</v>
      </c>
      <c r="BD165" s="55" t="str">
        <f>IF(ISNUMBER($U165),$U165*$V165,"")</f>
        <v/>
      </c>
      <c r="BE165" s="56" t="str">
        <f>IF($AM165=0,"",IFERROR(MATCH($AF165&amp;"|"&amp;UPPER(TRIM($E165)),Lists!$A$6:$A$205,0),0))</f>
        <v/>
      </c>
      <c r="BF165" s="56" t="str">
        <f>IF($AM165=0,"",IFERROR(MATCH($AF165,Settings!$B$14:$B$18,0),IFERROR(MATCH(Settings!$C$6,Settings!$B$14:$B$18,0),1)))</f>
        <v/>
      </c>
      <c r="BG165" s="58" t="str">
        <f>IF($AM165=0,"",IF(NOT(ISNUMBER($I165)),"No stop; ","")&amp;IF(AND(ISNUMBER($H165),ISNUMBER($I165)),IF(OR(AND($F165&lt;&gt;"Short",$I165&gt;=$H165),AND($F165="Short",$I165&lt;=$H165)),"Stop on wrong side; ",""),"")&amp;IF($F165="","No direction; ","")&amp;IF(AND(ISNUMBER(Settings!$C$22),ISNUMBER($V165)),IF($V165&gt;Settings!$C$22,"Risk over max $; ",""),"")&amp;IF(AND(ISNUMBER(Settings!$C$23),ISNUMBER($V165),ISNUMBER($AP165),IFERROR(N(INDEX(Accounts!$E$7:$E$16,MATCH($C165,Accounts!$B$7:$B$16,0))),0)&gt;0),IF($V165&gt;Settings!$C$23*($AP165-N($Q165)),"Risk over max %; ",""),"")&amp;IF(AND(ISNUMBER(Settings!$C$24),ISNUMBER($N165)),IF($N165&gt;Settings!$C$24,"Leverage over max; ",""),"")&amp;IF(AND(ISNUMBER(Settings!$C$27),ISNUMBER($T165)),IF($T165&lt;Settings!$C$27,"R:R below min; ",""),"")&amp;IF(ISNUMBER(Settings!$C$25),IF(COUNTIFS($A$6:$A165,$A165,$AM$6:$AM165,1)&gt;Settings!$C$25,"Over max trades/day; ",""),"")&amp;IF(ISNUMBER(Settings!$C$26),IF(SUMIFS($Q$5:$Q164,$A$5:$A164,$A165)&lt;=-Settings!$C$26,"Traded after daily max loss; ",""),"")&amp;IF(AND($AG165="",NOT(ISNUMBER($O165))),"Symbol not in Instruments; ","")&amp;IF(AND($AH165="",NOT(ISNUMBER($O165))),"Forex cross: type Gross P&amp;L; ",""))</f>
        <v/>
      </c>
      <c r="BH165" s="56">
        <f>IF(ISNUMBER($Q165),1,0)</f>
        <v>0</v>
      </c>
      <c r="BI165" s="56">
        <f>IF($Y165="",0,1)</f>
        <v>0</v>
      </c>
      <c r="BJ165" s="56">
        <f>IF($AB165="",0,1)</f>
        <v>0</v>
      </c>
      <c r="BK165" s="56">
        <f>IF(AND($BH165=1,$W165&lt;&gt;"OK"),1,0)</f>
        <v>0</v>
      </c>
      <c r="BL165" s="55">
        <f>IF(N($AZ165)=0,0,IFERROR(INDEX($AT$6:$AT$1005,MATCH($AZ165,$AY$6:$AY$1005,0)),0))</f>
        <v>1187.10688</v>
      </c>
      <c r="BM165" s="56">
        <f>IF(ISNUMBER(SEARCH("daily max loss",$BG165)),1,0)</f>
        <v>0</v>
      </c>
    </row>
    <row r="166" ht="18" customHeight="1">
      <c r="A166" s="38" t="n"/>
      <c r="B166" s="39" t="n"/>
      <c r="C166" s="40" t="n"/>
      <c r="D166" s="41" t="n"/>
      <c r="E166" s="41" t="n"/>
      <c r="F166" s="41" t="n"/>
      <c r="G166" s="41" t="n"/>
      <c r="H166" s="42" t="n"/>
      <c r="I166" s="42" t="n"/>
      <c r="J166" s="42" t="n"/>
      <c r="K166" s="42" t="n"/>
      <c r="L166" s="41" t="n"/>
      <c r="M166" s="41" t="n"/>
      <c r="N166" s="41" t="n"/>
      <c r="O166" s="43" t="n"/>
      <c r="P166" s="43" t="n"/>
      <c r="Q166" s="44" t="str">
        <f>IF($AM166=0,"",IF(ISNUMBER($AK166),$AK166-N($AL166),""))</f>
        <v/>
      </c>
      <c r="R166" s="45" t="str">
        <f>IF(OR($Q166="",NOT(ISNUMBER($V166))),"",$AK166/$V166)</f>
        <v/>
      </c>
      <c r="S166" s="46" t="str">
        <f>IF($Q166="","",IF(AND(ISNUMBER($R166),ABS(N($R166))&lt;N(Settings!$C$8)),"Scratch",IF($Q166&gt;0,"Win",IF($Q166&lt;0,"Loss","Scratch"))))</f>
        <v/>
      </c>
      <c r="T166" s="47" t="str">
        <f>IF(OR($AM166=0,NOT(ISNUMBER($H166)),NOT(ISNUMBER($I166)),NOT(ISNUMBER($J166))),"",IF($H166=$I166,"",ROUND(ABS($J166-$H166)/ABS($H166-$I166),6)))</f>
        <v/>
      </c>
      <c r="U166" s="48" t="str">
        <f>IF(OR($S166&lt;&gt;"Win",NOT(ISNUMBER($T166)),NOT(ISNUMBER($R166))),"",MAX(0,$T166-$R166))</f>
        <v/>
      </c>
      <c r="V166" s="49" t="str">
        <f>IF(OR($AM166=0,NOT(ISNUMBER($H166)),NOT(ISNUMBER($I166)),NOT(ISNUMBER($G166))),"",IF(OR($AG166="",$AH166=""),"",IF(ROUND(ABS($H166-$I166)*ABS($G166)*$AG166*$AH166,6)=0,"",ROUND(ABS($H166-$I166)*ABS($G166)*$AG166*$AH166,6))))</f>
        <v/>
      </c>
      <c r="W166" s="50" t="str">
        <f>IF($AM166=0,"",IF($BG166="","OK",LEFT($BG166,LEN($BG166)-2)))</f>
        <v/>
      </c>
      <c r="X166" s="41" t="n"/>
      <c r="Y166" s="40" t="n"/>
      <c r="Z166" s="41" t="n"/>
      <c r="AA166" s="41" t="n"/>
      <c r="AB166" s="40" t="n"/>
      <c r="AC166" s="51" t="n"/>
      <c r="AD166" s="51" t="n"/>
      <c r="AE166" s="40" t="n"/>
      <c r="AF166" s="52" t="str">
        <f>IF($AM166=0,"",IF($D166&lt;&gt;"",$D166,IF(IFERROR(INDEX(Accounts!$C$7:$C$16,MATCH($C166,Accounts!$B$7:$B$16,0))&amp;"","")&lt;&gt;"",INDEX(Accounts!$C$7:$C$16,MATCH($C166,Accounts!$B$7:$B$16,0)),Settings!$C$6)))</f>
        <v/>
      </c>
      <c r="AG166" s="53" t="str">
        <f>IF($AM166=0,"",IF(AND($BE166&gt;0,N(INDEX(Instruments!$D$6:$D$205,MAX(1,$BE166)))&gt;0),INDEX(Instruments!$D$6:$D$205,MAX(1,$BE166)),IF(N(INDEX(Settings!$D$14:$D$18,$BF166))&gt;0,INDEX(Settings!$D$14:$D$18,$BF166),"")))</f>
        <v/>
      </c>
      <c r="AH166" s="54" t="str">
        <f>IF($AM166=0,"",IF($AF166&lt;&gt;"Forex",1,IF(MID(UPPER(SUBSTITUTE(TRIM($E166),"/","")),4,3)=UPPER(TRIM(Settings!$C$7)),1,IF(LEFT(UPPER(SUBSTITUTE(TRIM($E166),"/","")),3)=UPPER(TRIM(Settings!$C$7)),IF(AND(ISNUMBER($K166),N($K166)&lt;&gt;0),1/$K166,""),""))))</f>
        <v/>
      </c>
      <c r="AI166" s="55" t="str">
        <f>IF($AM166=0,"",IF(OR(NOT(ISNUMBER($H166)),NOT(ISNUMBER($K166)),NOT(ISNUMBER($G166)),$AG166="",$AH166=""),"",ROUND(($K166-$H166)*IF($F166="Short",-1,1)*$G166*$AG166*$AH166,6)))</f>
        <v/>
      </c>
      <c r="AJ166" s="55" t="str">
        <f>IF($AM166=0,"",IF(INDEX(Settings!$E$14:$E$18,$BF166)="% of notional",IF(OR($AG166="",NOT(ISNUMBER($H166)),NOT(ISNUMBER($G166))),"",ROUND(ABS($H166*$G166*$AG166*N($AH166))*IF($L166="Limit",N(INDEX(Settings!$G$14:$G$18,$BF166)),N(INDEX(Settings!$H$14:$H$18,$BF166)))+IF(ISNUMBER($K166),ABS($K166*$G166*$AG166*N($AH166))*IF($M166="Target",N(INDEX(Settings!$G$14:$G$18,$BF166)),N(INDEX(Settings!$H$14:$H$18,$BF166))),0),6)),IF(NOT(ISNUMBER($G166)),"",ROUND(ABS($G166)*2*IF(AND($BE166&gt;0,ISNUMBER(INDEX(Instruments!$G$6:$G$205,MAX(1,$BE166)))),INDEX(Instruments!$G$6:$G$205,MAX(1,$BE166)),N(INDEX(Settings!$F$14:$F$18,$BF166))),6))))</f>
        <v/>
      </c>
      <c r="AK166" s="55" t="str">
        <f>IF($AM166=0,"",IF(ISNUMBER($O166),$O166,$AI166))</f>
        <v/>
      </c>
      <c r="AL166" s="55" t="str">
        <f>IF($AM166=0,"",IF(ISNUMBER($P166),$P166,N($AJ166)))</f>
        <v/>
      </c>
      <c r="AM166" s="56">
        <f>IF(AND($A166&lt;&gt;"",$E166&lt;&gt;"",OR(AND(ISNUMBER($G166),ISNUMBER($H166),ISNUMBER($K166)),ISNUMBER($O166))),1,0)</f>
        <v>0</v>
      </c>
      <c r="AN166" s="57" t="str">
        <f>IF($A166="","",$A166-WEEKDAY($A166,3))</f>
        <v/>
      </c>
      <c r="AO166" s="56" t="str">
        <f>IF($A166="","",WEEKDAY($A166,2))</f>
        <v/>
      </c>
      <c r="AP166" s="55" t="str">
        <f>IF(OR($AM166=0,$C166=""),"",IFERROR(N(INDEX(Accounts!$E$7:$E$16,MATCH($C166,Accounts!$B$7:$B$16,0))),0)+SUMIFS($Q$6:$Q166,$C$6:$C166,$C166))</f>
        <v/>
      </c>
      <c r="AQ166" s="55" t="str">
        <f>IF(OR($AM166=0,$C166=""),"",SUMIFS($Q$6:$Q$1005,$C$6:$C$1005,$C166,$A$6:$A$1005,$A166))</f>
        <v/>
      </c>
      <c r="AR166" s="55" t="str">
        <f>IF(OR($AM166=0,$C166=""),"",IFERROR(N(INDEX(Accounts!$E$7:$E$16,MATCH($C166,Accounts!$B$7:$B$16,0))),0)+SUMIFS($Q$6:$Q$1005,$C$6:$C$1005,$C166,$A$6:$A$1005,"&lt;="&amp;$A166))</f>
        <v/>
      </c>
      <c r="AS166" s="56">
        <f>IF(OR($AM166=0,$Q166=""),0,IF(AND($A166&gt;=Lists!$W$6,$A166&lt;=Lists!$W$7,OR(Dashboard!$D$6="All accounts",$C166=Dashboard!$D$6),OR(Dashboard!$D$7="All markets",$AF166=Dashboard!$D$7)),1,0))</f>
        <v>0</v>
      </c>
      <c r="AT166" s="55">
        <f>IF($AS166=1,N(AT165)+$Q166,N(AT165))</f>
        <v>1187.10688</v>
      </c>
      <c r="AU166" s="55">
        <f>MAX(N(AU165),$AT166)</f>
        <v>1187.10688</v>
      </c>
      <c r="AV166" s="55">
        <f>$AT166-$AU166</f>
        <v>0</v>
      </c>
      <c r="AW166" s="56">
        <f>IF($AS166=1,IF($S166="Win",N(AW165)+1,IF($S166="Loss",0,N(AW165))),N(AW165))</f>
        <v>5</v>
      </c>
      <c r="AX166" s="56">
        <f>IF($AS166=1,IF($S166="Loss",N(AX165)+1,IF($S166="Win",0,N(AX165))),N(AX165))</f>
        <v>0</v>
      </c>
      <c r="AY166" s="56" t="str">
        <f>IF($AS166=1,COUNTIF($AS$6:$AS166,1),"")</f>
        <v/>
      </c>
      <c r="AZ166" s="56">
        <f>MIN(160,N(Lists!$W$8))</f>
        <v>28</v>
      </c>
      <c r="BA166" s="56">
        <f>IF($AS166=1,IF(COUNTIFS($A$6:$A166,$A166,$AS$6:$AS166,1)=1,1,0),0)</f>
        <v>0</v>
      </c>
      <c r="BB166" s="55" t="str">
        <f>IF($BA166=1,SUMIFS($Q$6:$Q$1005,$A$6:$A$1005,$A166,$AS$6:$AS$1005,1),"")</f>
        <v/>
      </c>
      <c r="BC166" s="56">
        <f>IF(ISNUMBER($R166),1,0)</f>
        <v>0</v>
      </c>
      <c r="BD166" s="55" t="str">
        <f>IF(ISNUMBER($U166),$U166*$V166,"")</f>
        <v/>
      </c>
      <c r="BE166" s="56" t="str">
        <f>IF($AM166=0,"",IFERROR(MATCH($AF166&amp;"|"&amp;UPPER(TRIM($E166)),Lists!$A$6:$A$205,0),0))</f>
        <v/>
      </c>
      <c r="BF166" s="56" t="str">
        <f>IF($AM166=0,"",IFERROR(MATCH($AF166,Settings!$B$14:$B$18,0),IFERROR(MATCH(Settings!$C$6,Settings!$B$14:$B$18,0),1)))</f>
        <v/>
      </c>
      <c r="BG166" s="58" t="str">
        <f>IF($AM166=0,"",IF(NOT(ISNUMBER($I166)),"No stop; ","")&amp;IF(AND(ISNUMBER($H166),ISNUMBER($I166)),IF(OR(AND($F166&lt;&gt;"Short",$I166&gt;=$H166),AND($F166="Short",$I166&lt;=$H166)),"Stop on wrong side; ",""),"")&amp;IF($F166="","No direction; ","")&amp;IF(AND(ISNUMBER(Settings!$C$22),ISNUMBER($V166)),IF($V166&gt;Settings!$C$22,"Risk over max $; ",""),"")&amp;IF(AND(ISNUMBER(Settings!$C$23),ISNUMBER($V166),ISNUMBER($AP166),IFERROR(N(INDEX(Accounts!$E$7:$E$16,MATCH($C166,Accounts!$B$7:$B$16,0))),0)&gt;0),IF($V166&gt;Settings!$C$23*($AP166-N($Q166)),"Risk over max %; ",""),"")&amp;IF(AND(ISNUMBER(Settings!$C$24),ISNUMBER($N166)),IF($N166&gt;Settings!$C$24,"Leverage over max; ",""),"")&amp;IF(AND(ISNUMBER(Settings!$C$27),ISNUMBER($T166)),IF($T166&lt;Settings!$C$27,"R:R below min; ",""),"")&amp;IF(ISNUMBER(Settings!$C$25),IF(COUNTIFS($A$6:$A166,$A166,$AM$6:$AM166,1)&gt;Settings!$C$25,"Over max trades/day; ",""),"")&amp;IF(ISNUMBER(Settings!$C$26),IF(SUMIFS($Q$5:$Q165,$A$5:$A165,$A166)&lt;=-Settings!$C$26,"Traded after daily max loss; ",""),"")&amp;IF(AND($AG166="",NOT(ISNUMBER($O166))),"Symbol not in Instruments; ","")&amp;IF(AND($AH166="",NOT(ISNUMBER($O166))),"Forex cross: type Gross P&amp;L; ",""))</f>
        <v/>
      </c>
      <c r="BH166" s="56">
        <f>IF(ISNUMBER($Q166),1,0)</f>
        <v>0</v>
      </c>
      <c r="BI166" s="56">
        <f>IF($Y166="",0,1)</f>
        <v>0</v>
      </c>
      <c r="BJ166" s="56">
        <f>IF($AB166="",0,1)</f>
        <v>0</v>
      </c>
      <c r="BK166" s="56">
        <f>IF(AND($BH166=1,$W166&lt;&gt;"OK"),1,0)</f>
        <v>0</v>
      </c>
      <c r="BL166" s="55">
        <f>IF(N($AZ166)=0,0,IFERROR(INDEX($AT$6:$AT$1005,MATCH($AZ166,$AY$6:$AY$1005,0)),0))</f>
        <v>1187.10688</v>
      </c>
      <c r="BM166" s="56">
        <f>IF(ISNUMBER(SEARCH("daily max loss",$BG166)),1,0)</f>
        <v>0</v>
      </c>
    </row>
    <row r="167" ht="18" customHeight="1">
      <c r="A167" s="38" t="n"/>
      <c r="B167" s="39" t="n"/>
      <c r="C167" s="40" t="n"/>
      <c r="D167" s="41" t="n"/>
      <c r="E167" s="41" t="n"/>
      <c r="F167" s="41" t="n"/>
      <c r="G167" s="41" t="n"/>
      <c r="H167" s="42" t="n"/>
      <c r="I167" s="42" t="n"/>
      <c r="J167" s="42" t="n"/>
      <c r="K167" s="42" t="n"/>
      <c r="L167" s="41" t="n"/>
      <c r="M167" s="41" t="n"/>
      <c r="N167" s="41" t="n"/>
      <c r="O167" s="43" t="n"/>
      <c r="P167" s="43" t="n"/>
      <c r="Q167" s="44" t="str">
        <f>IF($AM167=0,"",IF(ISNUMBER($AK167),$AK167-N($AL167),""))</f>
        <v/>
      </c>
      <c r="R167" s="45" t="str">
        <f>IF(OR($Q167="",NOT(ISNUMBER($V167))),"",$AK167/$V167)</f>
        <v/>
      </c>
      <c r="S167" s="46" t="str">
        <f>IF($Q167="","",IF(AND(ISNUMBER($R167),ABS(N($R167))&lt;N(Settings!$C$8)),"Scratch",IF($Q167&gt;0,"Win",IF($Q167&lt;0,"Loss","Scratch"))))</f>
        <v/>
      </c>
      <c r="T167" s="47" t="str">
        <f>IF(OR($AM167=0,NOT(ISNUMBER($H167)),NOT(ISNUMBER($I167)),NOT(ISNUMBER($J167))),"",IF($H167=$I167,"",ROUND(ABS($J167-$H167)/ABS($H167-$I167),6)))</f>
        <v/>
      </c>
      <c r="U167" s="48" t="str">
        <f>IF(OR($S167&lt;&gt;"Win",NOT(ISNUMBER($T167)),NOT(ISNUMBER($R167))),"",MAX(0,$T167-$R167))</f>
        <v/>
      </c>
      <c r="V167" s="49" t="str">
        <f>IF(OR($AM167=0,NOT(ISNUMBER($H167)),NOT(ISNUMBER($I167)),NOT(ISNUMBER($G167))),"",IF(OR($AG167="",$AH167=""),"",IF(ROUND(ABS($H167-$I167)*ABS($G167)*$AG167*$AH167,6)=0,"",ROUND(ABS($H167-$I167)*ABS($G167)*$AG167*$AH167,6))))</f>
        <v/>
      </c>
      <c r="W167" s="50" t="str">
        <f>IF($AM167=0,"",IF($BG167="","OK",LEFT($BG167,LEN($BG167)-2)))</f>
        <v/>
      </c>
      <c r="X167" s="41" t="n"/>
      <c r="Y167" s="40" t="n"/>
      <c r="Z167" s="41" t="n"/>
      <c r="AA167" s="41" t="n"/>
      <c r="AB167" s="40" t="n"/>
      <c r="AC167" s="51" t="n"/>
      <c r="AD167" s="51" t="n"/>
      <c r="AE167" s="40" t="n"/>
      <c r="AF167" s="52" t="str">
        <f>IF($AM167=0,"",IF($D167&lt;&gt;"",$D167,IF(IFERROR(INDEX(Accounts!$C$7:$C$16,MATCH($C167,Accounts!$B$7:$B$16,0))&amp;"","")&lt;&gt;"",INDEX(Accounts!$C$7:$C$16,MATCH($C167,Accounts!$B$7:$B$16,0)),Settings!$C$6)))</f>
        <v/>
      </c>
      <c r="AG167" s="53" t="str">
        <f>IF($AM167=0,"",IF(AND($BE167&gt;0,N(INDEX(Instruments!$D$6:$D$205,MAX(1,$BE167)))&gt;0),INDEX(Instruments!$D$6:$D$205,MAX(1,$BE167)),IF(N(INDEX(Settings!$D$14:$D$18,$BF167))&gt;0,INDEX(Settings!$D$14:$D$18,$BF167),"")))</f>
        <v/>
      </c>
      <c r="AH167" s="54" t="str">
        <f>IF($AM167=0,"",IF($AF167&lt;&gt;"Forex",1,IF(MID(UPPER(SUBSTITUTE(TRIM($E167),"/","")),4,3)=UPPER(TRIM(Settings!$C$7)),1,IF(LEFT(UPPER(SUBSTITUTE(TRIM($E167),"/","")),3)=UPPER(TRIM(Settings!$C$7)),IF(AND(ISNUMBER($K167),N($K167)&lt;&gt;0),1/$K167,""),""))))</f>
        <v/>
      </c>
      <c r="AI167" s="55" t="str">
        <f>IF($AM167=0,"",IF(OR(NOT(ISNUMBER($H167)),NOT(ISNUMBER($K167)),NOT(ISNUMBER($G167)),$AG167="",$AH167=""),"",ROUND(($K167-$H167)*IF($F167="Short",-1,1)*$G167*$AG167*$AH167,6)))</f>
        <v/>
      </c>
      <c r="AJ167" s="55" t="str">
        <f>IF($AM167=0,"",IF(INDEX(Settings!$E$14:$E$18,$BF167)="% of notional",IF(OR($AG167="",NOT(ISNUMBER($H167)),NOT(ISNUMBER($G167))),"",ROUND(ABS($H167*$G167*$AG167*N($AH167))*IF($L167="Limit",N(INDEX(Settings!$G$14:$G$18,$BF167)),N(INDEX(Settings!$H$14:$H$18,$BF167)))+IF(ISNUMBER($K167),ABS($K167*$G167*$AG167*N($AH167))*IF($M167="Target",N(INDEX(Settings!$G$14:$G$18,$BF167)),N(INDEX(Settings!$H$14:$H$18,$BF167))),0),6)),IF(NOT(ISNUMBER($G167)),"",ROUND(ABS($G167)*2*IF(AND($BE167&gt;0,ISNUMBER(INDEX(Instruments!$G$6:$G$205,MAX(1,$BE167)))),INDEX(Instruments!$G$6:$G$205,MAX(1,$BE167)),N(INDEX(Settings!$F$14:$F$18,$BF167))),6))))</f>
        <v/>
      </c>
      <c r="AK167" s="55" t="str">
        <f>IF($AM167=0,"",IF(ISNUMBER($O167),$O167,$AI167))</f>
        <v/>
      </c>
      <c r="AL167" s="55" t="str">
        <f>IF($AM167=0,"",IF(ISNUMBER($P167),$P167,N($AJ167)))</f>
        <v/>
      </c>
      <c r="AM167" s="56">
        <f>IF(AND($A167&lt;&gt;"",$E167&lt;&gt;"",OR(AND(ISNUMBER($G167),ISNUMBER($H167),ISNUMBER($K167)),ISNUMBER($O167))),1,0)</f>
        <v>0</v>
      </c>
      <c r="AN167" s="57" t="str">
        <f>IF($A167="","",$A167-WEEKDAY($A167,3))</f>
        <v/>
      </c>
      <c r="AO167" s="56" t="str">
        <f>IF($A167="","",WEEKDAY($A167,2))</f>
        <v/>
      </c>
      <c r="AP167" s="55" t="str">
        <f>IF(OR($AM167=0,$C167=""),"",IFERROR(N(INDEX(Accounts!$E$7:$E$16,MATCH($C167,Accounts!$B$7:$B$16,0))),0)+SUMIFS($Q$6:$Q167,$C$6:$C167,$C167))</f>
        <v/>
      </c>
      <c r="AQ167" s="55" t="str">
        <f>IF(OR($AM167=0,$C167=""),"",SUMIFS($Q$6:$Q$1005,$C$6:$C$1005,$C167,$A$6:$A$1005,$A167))</f>
        <v/>
      </c>
      <c r="AR167" s="55" t="str">
        <f>IF(OR($AM167=0,$C167=""),"",IFERROR(N(INDEX(Accounts!$E$7:$E$16,MATCH($C167,Accounts!$B$7:$B$16,0))),0)+SUMIFS($Q$6:$Q$1005,$C$6:$C$1005,$C167,$A$6:$A$1005,"&lt;="&amp;$A167))</f>
        <v/>
      </c>
      <c r="AS167" s="56">
        <f>IF(OR($AM167=0,$Q167=""),0,IF(AND($A167&gt;=Lists!$W$6,$A167&lt;=Lists!$W$7,OR(Dashboard!$D$6="All accounts",$C167=Dashboard!$D$6),OR(Dashboard!$D$7="All markets",$AF167=Dashboard!$D$7)),1,0))</f>
        <v>0</v>
      </c>
      <c r="AT167" s="55">
        <f>IF($AS167=1,N(AT166)+$Q167,N(AT166))</f>
        <v>1187.10688</v>
      </c>
      <c r="AU167" s="55">
        <f>MAX(N(AU166),$AT167)</f>
        <v>1187.10688</v>
      </c>
      <c r="AV167" s="55">
        <f>$AT167-$AU167</f>
        <v>0</v>
      </c>
      <c r="AW167" s="56">
        <f>IF($AS167=1,IF($S167="Win",N(AW166)+1,IF($S167="Loss",0,N(AW166))),N(AW166))</f>
        <v>5</v>
      </c>
      <c r="AX167" s="56">
        <f>IF($AS167=1,IF($S167="Loss",N(AX166)+1,IF($S167="Win",0,N(AX166))),N(AX166))</f>
        <v>0</v>
      </c>
      <c r="AY167" s="56" t="str">
        <f>IF($AS167=1,COUNTIF($AS$6:$AS167,1),"")</f>
        <v/>
      </c>
      <c r="AZ167" s="56">
        <f>MIN(161,N(Lists!$W$8))</f>
        <v>28</v>
      </c>
      <c r="BA167" s="56">
        <f>IF($AS167=1,IF(COUNTIFS($A$6:$A167,$A167,$AS$6:$AS167,1)=1,1,0),0)</f>
        <v>0</v>
      </c>
      <c r="BB167" s="55" t="str">
        <f>IF($BA167=1,SUMIFS($Q$6:$Q$1005,$A$6:$A$1005,$A167,$AS$6:$AS$1005,1),"")</f>
        <v/>
      </c>
      <c r="BC167" s="56">
        <f>IF(ISNUMBER($R167),1,0)</f>
        <v>0</v>
      </c>
      <c r="BD167" s="55" t="str">
        <f>IF(ISNUMBER($U167),$U167*$V167,"")</f>
        <v/>
      </c>
      <c r="BE167" s="56" t="str">
        <f>IF($AM167=0,"",IFERROR(MATCH($AF167&amp;"|"&amp;UPPER(TRIM($E167)),Lists!$A$6:$A$205,0),0))</f>
        <v/>
      </c>
      <c r="BF167" s="56" t="str">
        <f>IF($AM167=0,"",IFERROR(MATCH($AF167,Settings!$B$14:$B$18,0),IFERROR(MATCH(Settings!$C$6,Settings!$B$14:$B$18,0),1)))</f>
        <v/>
      </c>
      <c r="BG167" s="58" t="str">
        <f>IF($AM167=0,"",IF(NOT(ISNUMBER($I167)),"No stop; ","")&amp;IF(AND(ISNUMBER($H167),ISNUMBER($I167)),IF(OR(AND($F167&lt;&gt;"Short",$I167&gt;=$H167),AND($F167="Short",$I167&lt;=$H167)),"Stop on wrong side; ",""),"")&amp;IF($F167="","No direction; ","")&amp;IF(AND(ISNUMBER(Settings!$C$22),ISNUMBER($V167)),IF($V167&gt;Settings!$C$22,"Risk over max $; ",""),"")&amp;IF(AND(ISNUMBER(Settings!$C$23),ISNUMBER($V167),ISNUMBER($AP167),IFERROR(N(INDEX(Accounts!$E$7:$E$16,MATCH($C167,Accounts!$B$7:$B$16,0))),0)&gt;0),IF($V167&gt;Settings!$C$23*($AP167-N($Q167)),"Risk over max %; ",""),"")&amp;IF(AND(ISNUMBER(Settings!$C$24),ISNUMBER($N167)),IF($N167&gt;Settings!$C$24,"Leverage over max; ",""),"")&amp;IF(AND(ISNUMBER(Settings!$C$27),ISNUMBER($T167)),IF($T167&lt;Settings!$C$27,"R:R below min; ",""),"")&amp;IF(ISNUMBER(Settings!$C$25),IF(COUNTIFS($A$6:$A167,$A167,$AM$6:$AM167,1)&gt;Settings!$C$25,"Over max trades/day; ",""),"")&amp;IF(ISNUMBER(Settings!$C$26),IF(SUMIFS($Q$5:$Q166,$A$5:$A166,$A167)&lt;=-Settings!$C$26,"Traded after daily max loss; ",""),"")&amp;IF(AND($AG167="",NOT(ISNUMBER($O167))),"Symbol not in Instruments; ","")&amp;IF(AND($AH167="",NOT(ISNUMBER($O167))),"Forex cross: type Gross P&amp;L; ",""))</f>
        <v/>
      </c>
      <c r="BH167" s="56">
        <f>IF(ISNUMBER($Q167),1,0)</f>
        <v>0</v>
      </c>
      <c r="BI167" s="56">
        <f>IF($Y167="",0,1)</f>
        <v>0</v>
      </c>
      <c r="BJ167" s="56">
        <f>IF($AB167="",0,1)</f>
        <v>0</v>
      </c>
      <c r="BK167" s="56">
        <f>IF(AND($BH167=1,$W167&lt;&gt;"OK"),1,0)</f>
        <v>0</v>
      </c>
      <c r="BL167" s="55">
        <f>IF(N($AZ167)=0,0,IFERROR(INDEX($AT$6:$AT$1005,MATCH($AZ167,$AY$6:$AY$1005,0)),0))</f>
        <v>1187.10688</v>
      </c>
      <c r="BM167" s="56">
        <f>IF(ISNUMBER(SEARCH("daily max loss",$BG167)),1,0)</f>
        <v>0</v>
      </c>
    </row>
    <row r="168" ht="18" customHeight="1">
      <c r="A168" s="38" t="n"/>
      <c r="B168" s="39" t="n"/>
      <c r="C168" s="40" t="n"/>
      <c r="D168" s="41" t="n"/>
      <c r="E168" s="41" t="n"/>
      <c r="F168" s="41" t="n"/>
      <c r="G168" s="41" t="n"/>
      <c r="H168" s="42" t="n"/>
      <c r="I168" s="42" t="n"/>
      <c r="J168" s="42" t="n"/>
      <c r="K168" s="42" t="n"/>
      <c r="L168" s="41" t="n"/>
      <c r="M168" s="41" t="n"/>
      <c r="N168" s="41" t="n"/>
      <c r="O168" s="43" t="n"/>
      <c r="P168" s="43" t="n"/>
      <c r="Q168" s="44" t="str">
        <f>IF($AM168=0,"",IF(ISNUMBER($AK168),$AK168-N($AL168),""))</f>
        <v/>
      </c>
      <c r="R168" s="45" t="str">
        <f>IF(OR($Q168="",NOT(ISNUMBER($V168))),"",$AK168/$V168)</f>
        <v/>
      </c>
      <c r="S168" s="46" t="str">
        <f>IF($Q168="","",IF(AND(ISNUMBER($R168),ABS(N($R168))&lt;N(Settings!$C$8)),"Scratch",IF($Q168&gt;0,"Win",IF($Q168&lt;0,"Loss","Scratch"))))</f>
        <v/>
      </c>
      <c r="T168" s="47" t="str">
        <f>IF(OR($AM168=0,NOT(ISNUMBER($H168)),NOT(ISNUMBER($I168)),NOT(ISNUMBER($J168))),"",IF($H168=$I168,"",ROUND(ABS($J168-$H168)/ABS($H168-$I168),6)))</f>
        <v/>
      </c>
      <c r="U168" s="48" t="str">
        <f>IF(OR($S168&lt;&gt;"Win",NOT(ISNUMBER($T168)),NOT(ISNUMBER($R168))),"",MAX(0,$T168-$R168))</f>
        <v/>
      </c>
      <c r="V168" s="49" t="str">
        <f>IF(OR($AM168=0,NOT(ISNUMBER($H168)),NOT(ISNUMBER($I168)),NOT(ISNUMBER($G168))),"",IF(OR($AG168="",$AH168=""),"",IF(ROUND(ABS($H168-$I168)*ABS($G168)*$AG168*$AH168,6)=0,"",ROUND(ABS($H168-$I168)*ABS($G168)*$AG168*$AH168,6))))</f>
        <v/>
      </c>
      <c r="W168" s="50" t="str">
        <f>IF($AM168=0,"",IF($BG168="","OK",LEFT($BG168,LEN($BG168)-2)))</f>
        <v/>
      </c>
      <c r="X168" s="41" t="n"/>
      <c r="Y168" s="40" t="n"/>
      <c r="Z168" s="41" t="n"/>
      <c r="AA168" s="41" t="n"/>
      <c r="AB168" s="40" t="n"/>
      <c r="AC168" s="51" t="n"/>
      <c r="AD168" s="51" t="n"/>
      <c r="AE168" s="40" t="n"/>
      <c r="AF168" s="52" t="str">
        <f>IF($AM168=0,"",IF($D168&lt;&gt;"",$D168,IF(IFERROR(INDEX(Accounts!$C$7:$C$16,MATCH($C168,Accounts!$B$7:$B$16,0))&amp;"","")&lt;&gt;"",INDEX(Accounts!$C$7:$C$16,MATCH($C168,Accounts!$B$7:$B$16,0)),Settings!$C$6)))</f>
        <v/>
      </c>
      <c r="AG168" s="53" t="str">
        <f>IF($AM168=0,"",IF(AND($BE168&gt;0,N(INDEX(Instruments!$D$6:$D$205,MAX(1,$BE168)))&gt;0),INDEX(Instruments!$D$6:$D$205,MAX(1,$BE168)),IF(N(INDEX(Settings!$D$14:$D$18,$BF168))&gt;0,INDEX(Settings!$D$14:$D$18,$BF168),"")))</f>
        <v/>
      </c>
      <c r="AH168" s="54" t="str">
        <f>IF($AM168=0,"",IF($AF168&lt;&gt;"Forex",1,IF(MID(UPPER(SUBSTITUTE(TRIM($E168),"/","")),4,3)=UPPER(TRIM(Settings!$C$7)),1,IF(LEFT(UPPER(SUBSTITUTE(TRIM($E168),"/","")),3)=UPPER(TRIM(Settings!$C$7)),IF(AND(ISNUMBER($K168),N($K168)&lt;&gt;0),1/$K168,""),""))))</f>
        <v/>
      </c>
      <c r="AI168" s="55" t="str">
        <f>IF($AM168=0,"",IF(OR(NOT(ISNUMBER($H168)),NOT(ISNUMBER($K168)),NOT(ISNUMBER($G168)),$AG168="",$AH168=""),"",ROUND(($K168-$H168)*IF($F168="Short",-1,1)*$G168*$AG168*$AH168,6)))</f>
        <v/>
      </c>
      <c r="AJ168" s="55" t="str">
        <f>IF($AM168=0,"",IF(INDEX(Settings!$E$14:$E$18,$BF168)="% of notional",IF(OR($AG168="",NOT(ISNUMBER($H168)),NOT(ISNUMBER($G168))),"",ROUND(ABS($H168*$G168*$AG168*N($AH168))*IF($L168="Limit",N(INDEX(Settings!$G$14:$G$18,$BF168)),N(INDEX(Settings!$H$14:$H$18,$BF168)))+IF(ISNUMBER($K168),ABS($K168*$G168*$AG168*N($AH168))*IF($M168="Target",N(INDEX(Settings!$G$14:$G$18,$BF168)),N(INDEX(Settings!$H$14:$H$18,$BF168))),0),6)),IF(NOT(ISNUMBER($G168)),"",ROUND(ABS($G168)*2*IF(AND($BE168&gt;0,ISNUMBER(INDEX(Instruments!$G$6:$G$205,MAX(1,$BE168)))),INDEX(Instruments!$G$6:$G$205,MAX(1,$BE168)),N(INDEX(Settings!$F$14:$F$18,$BF168))),6))))</f>
        <v/>
      </c>
      <c r="AK168" s="55" t="str">
        <f>IF($AM168=0,"",IF(ISNUMBER($O168),$O168,$AI168))</f>
        <v/>
      </c>
      <c r="AL168" s="55" t="str">
        <f>IF($AM168=0,"",IF(ISNUMBER($P168),$P168,N($AJ168)))</f>
        <v/>
      </c>
      <c r="AM168" s="56">
        <f>IF(AND($A168&lt;&gt;"",$E168&lt;&gt;"",OR(AND(ISNUMBER($G168),ISNUMBER($H168),ISNUMBER($K168)),ISNUMBER($O168))),1,0)</f>
        <v>0</v>
      </c>
      <c r="AN168" s="57" t="str">
        <f>IF($A168="","",$A168-WEEKDAY($A168,3))</f>
        <v/>
      </c>
      <c r="AO168" s="56" t="str">
        <f>IF($A168="","",WEEKDAY($A168,2))</f>
        <v/>
      </c>
      <c r="AP168" s="55" t="str">
        <f>IF(OR($AM168=0,$C168=""),"",IFERROR(N(INDEX(Accounts!$E$7:$E$16,MATCH($C168,Accounts!$B$7:$B$16,0))),0)+SUMIFS($Q$6:$Q168,$C$6:$C168,$C168))</f>
        <v/>
      </c>
      <c r="AQ168" s="55" t="str">
        <f>IF(OR($AM168=0,$C168=""),"",SUMIFS($Q$6:$Q$1005,$C$6:$C$1005,$C168,$A$6:$A$1005,$A168))</f>
        <v/>
      </c>
      <c r="AR168" s="55" t="str">
        <f>IF(OR($AM168=0,$C168=""),"",IFERROR(N(INDEX(Accounts!$E$7:$E$16,MATCH($C168,Accounts!$B$7:$B$16,0))),0)+SUMIFS($Q$6:$Q$1005,$C$6:$C$1005,$C168,$A$6:$A$1005,"&lt;="&amp;$A168))</f>
        <v/>
      </c>
      <c r="AS168" s="56">
        <f>IF(OR($AM168=0,$Q168=""),0,IF(AND($A168&gt;=Lists!$W$6,$A168&lt;=Lists!$W$7,OR(Dashboard!$D$6="All accounts",$C168=Dashboard!$D$6),OR(Dashboard!$D$7="All markets",$AF168=Dashboard!$D$7)),1,0))</f>
        <v>0</v>
      </c>
      <c r="AT168" s="55">
        <f>IF($AS168=1,N(AT167)+$Q168,N(AT167))</f>
        <v>1187.10688</v>
      </c>
      <c r="AU168" s="55">
        <f>MAX(N(AU167),$AT168)</f>
        <v>1187.10688</v>
      </c>
      <c r="AV168" s="55">
        <f>$AT168-$AU168</f>
        <v>0</v>
      </c>
      <c r="AW168" s="56">
        <f>IF($AS168=1,IF($S168="Win",N(AW167)+1,IF($S168="Loss",0,N(AW167))),N(AW167))</f>
        <v>5</v>
      </c>
      <c r="AX168" s="56">
        <f>IF($AS168=1,IF($S168="Loss",N(AX167)+1,IF($S168="Win",0,N(AX167))),N(AX167))</f>
        <v>0</v>
      </c>
      <c r="AY168" s="56" t="str">
        <f>IF($AS168=1,COUNTIF($AS$6:$AS168,1),"")</f>
        <v/>
      </c>
      <c r="AZ168" s="56">
        <f>MIN(162,N(Lists!$W$8))</f>
        <v>28</v>
      </c>
      <c r="BA168" s="56">
        <f>IF($AS168=1,IF(COUNTIFS($A$6:$A168,$A168,$AS$6:$AS168,1)=1,1,0),0)</f>
        <v>0</v>
      </c>
      <c r="BB168" s="55" t="str">
        <f>IF($BA168=1,SUMIFS($Q$6:$Q$1005,$A$6:$A$1005,$A168,$AS$6:$AS$1005,1),"")</f>
        <v/>
      </c>
      <c r="BC168" s="56">
        <f>IF(ISNUMBER($R168),1,0)</f>
        <v>0</v>
      </c>
      <c r="BD168" s="55" t="str">
        <f>IF(ISNUMBER($U168),$U168*$V168,"")</f>
        <v/>
      </c>
      <c r="BE168" s="56" t="str">
        <f>IF($AM168=0,"",IFERROR(MATCH($AF168&amp;"|"&amp;UPPER(TRIM($E168)),Lists!$A$6:$A$205,0),0))</f>
        <v/>
      </c>
      <c r="BF168" s="56" t="str">
        <f>IF($AM168=0,"",IFERROR(MATCH($AF168,Settings!$B$14:$B$18,0),IFERROR(MATCH(Settings!$C$6,Settings!$B$14:$B$18,0),1)))</f>
        <v/>
      </c>
      <c r="BG168" s="58" t="str">
        <f>IF($AM168=0,"",IF(NOT(ISNUMBER($I168)),"No stop; ","")&amp;IF(AND(ISNUMBER($H168),ISNUMBER($I168)),IF(OR(AND($F168&lt;&gt;"Short",$I168&gt;=$H168),AND($F168="Short",$I168&lt;=$H168)),"Stop on wrong side; ",""),"")&amp;IF($F168="","No direction; ","")&amp;IF(AND(ISNUMBER(Settings!$C$22),ISNUMBER($V168)),IF($V168&gt;Settings!$C$22,"Risk over max $; ",""),"")&amp;IF(AND(ISNUMBER(Settings!$C$23),ISNUMBER($V168),ISNUMBER($AP168),IFERROR(N(INDEX(Accounts!$E$7:$E$16,MATCH($C168,Accounts!$B$7:$B$16,0))),0)&gt;0),IF($V168&gt;Settings!$C$23*($AP168-N($Q168)),"Risk over max %; ",""),"")&amp;IF(AND(ISNUMBER(Settings!$C$24),ISNUMBER($N168)),IF($N168&gt;Settings!$C$24,"Leverage over max; ",""),"")&amp;IF(AND(ISNUMBER(Settings!$C$27),ISNUMBER($T168)),IF($T168&lt;Settings!$C$27,"R:R below min; ",""),"")&amp;IF(ISNUMBER(Settings!$C$25),IF(COUNTIFS($A$6:$A168,$A168,$AM$6:$AM168,1)&gt;Settings!$C$25,"Over max trades/day; ",""),"")&amp;IF(ISNUMBER(Settings!$C$26),IF(SUMIFS($Q$5:$Q167,$A$5:$A167,$A168)&lt;=-Settings!$C$26,"Traded after daily max loss; ",""),"")&amp;IF(AND($AG168="",NOT(ISNUMBER($O168))),"Symbol not in Instruments; ","")&amp;IF(AND($AH168="",NOT(ISNUMBER($O168))),"Forex cross: type Gross P&amp;L; ",""))</f>
        <v/>
      </c>
      <c r="BH168" s="56">
        <f>IF(ISNUMBER($Q168),1,0)</f>
        <v>0</v>
      </c>
      <c r="BI168" s="56">
        <f>IF($Y168="",0,1)</f>
        <v>0</v>
      </c>
      <c r="BJ168" s="56">
        <f>IF($AB168="",0,1)</f>
        <v>0</v>
      </c>
      <c r="BK168" s="56">
        <f>IF(AND($BH168=1,$W168&lt;&gt;"OK"),1,0)</f>
        <v>0</v>
      </c>
      <c r="BL168" s="55">
        <f>IF(N($AZ168)=0,0,IFERROR(INDEX($AT$6:$AT$1005,MATCH($AZ168,$AY$6:$AY$1005,0)),0))</f>
        <v>1187.10688</v>
      </c>
      <c r="BM168" s="56">
        <f>IF(ISNUMBER(SEARCH("daily max loss",$BG168)),1,0)</f>
        <v>0</v>
      </c>
    </row>
    <row r="169" ht="18" customHeight="1">
      <c r="A169" s="38" t="n"/>
      <c r="B169" s="39" t="n"/>
      <c r="C169" s="40" t="n"/>
      <c r="D169" s="41" t="n"/>
      <c r="E169" s="41" t="n"/>
      <c r="F169" s="41" t="n"/>
      <c r="G169" s="41" t="n"/>
      <c r="H169" s="42" t="n"/>
      <c r="I169" s="42" t="n"/>
      <c r="J169" s="42" t="n"/>
      <c r="K169" s="42" t="n"/>
      <c r="L169" s="41" t="n"/>
      <c r="M169" s="41" t="n"/>
      <c r="N169" s="41" t="n"/>
      <c r="O169" s="43" t="n"/>
      <c r="P169" s="43" t="n"/>
      <c r="Q169" s="44" t="str">
        <f>IF($AM169=0,"",IF(ISNUMBER($AK169),$AK169-N($AL169),""))</f>
        <v/>
      </c>
      <c r="R169" s="45" t="str">
        <f>IF(OR($Q169="",NOT(ISNUMBER($V169))),"",$AK169/$V169)</f>
        <v/>
      </c>
      <c r="S169" s="46" t="str">
        <f>IF($Q169="","",IF(AND(ISNUMBER($R169),ABS(N($R169))&lt;N(Settings!$C$8)),"Scratch",IF($Q169&gt;0,"Win",IF($Q169&lt;0,"Loss","Scratch"))))</f>
        <v/>
      </c>
      <c r="T169" s="47" t="str">
        <f>IF(OR($AM169=0,NOT(ISNUMBER($H169)),NOT(ISNUMBER($I169)),NOT(ISNUMBER($J169))),"",IF($H169=$I169,"",ROUND(ABS($J169-$H169)/ABS($H169-$I169),6)))</f>
        <v/>
      </c>
      <c r="U169" s="48" t="str">
        <f>IF(OR($S169&lt;&gt;"Win",NOT(ISNUMBER($T169)),NOT(ISNUMBER($R169))),"",MAX(0,$T169-$R169))</f>
        <v/>
      </c>
      <c r="V169" s="49" t="str">
        <f>IF(OR($AM169=0,NOT(ISNUMBER($H169)),NOT(ISNUMBER($I169)),NOT(ISNUMBER($G169))),"",IF(OR($AG169="",$AH169=""),"",IF(ROUND(ABS($H169-$I169)*ABS($G169)*$AG169*$AH169,6)=0,"",ROUND(ABS($H169-$I169)*ABS($G169)*$AG169*$AH169,6))))</f>
        <v/>
      </c>
      <c r="W169" s="50" t="str">
        <f>IF($AM169=0,"",IF($BG169="","OK",LEFT($BG169,LEN($BG169)-2)))</f>
        <v/>
      </c>
      <c r="X169" s="41" t="n"/>
      <c r="Y169" s="40" t="n"/>
      <c r="Z169" s="41" t="n"/>
      <c r="AA169" s="41" t="n"/>
      <c r="AB169" s="40" t="n"/>
      <c r="AC169" s="51" t="n"/>
      <c r="AD169" s="51" t="n"/>
      <c r="AE169" s="40" t="n"/>
      <c r="AF169" s="52" t="str">
        <f>IF($AM169=0,"",IF($D169&lt;&gt;"",$D169,IF(IFERROR(INDEX(Accounts!$C$7:$C$16,MATCH($C169,Accounts!$B$7:$B$16,0))&amp;"","")&lt;&gt;"",INDEX(Accounts!$C$7:$C$16,MATCH($C169,Accounts!$B$7:$B$16,0)),Settings!$C$6)))</f>
        <v/>
      </c>
      <c r="AG169" s="53" t="str">
        <f>IF($AM169=0,"",IF(AND($BE169&gt;0,N(INDEX(Instruments!$D$6:$D$205,MAX(1,$BE169)))&gt;0),INDEX(Instruments!$D$6:$D$205,MAX(1,$BE169)),IF(N(INDEX(Settings!$D$14:$D$18,$BF169))&gt;0,INDEX(Settings!$D$14:$D$18,$BF169),"")))</f>
        <v/>
      </c>
      <c r="AH169" s="54" t="str">
        <f>IF($AM169=0,"",IF($AF169&lt;&gt;"Forex",1,IF(MID(UPPER(SUBSTITUTE(TRIM($E169),"/","")),4,3)=UPPER(TRIM(Settings!$C$7)),1,IF(LEFT(UPPER(SUBSTITUTE(TRIM($E169),"/","")),3)=UPPER(TRIM(Settings!$C$7)),IF(AND(ISNUMBER($K169),N($K169)&lt;&gt;0),1/$K169,""),""))))</f>
        <v/>
      </c>
      <c r="AI169" s="55" t="str">
        <f>IF($AM169=0,"",IF(OR(NOT(ISNUMBER($H169)),NOT(ISNUMBER($K169)),NOT(ISNUMBER($G169)),$AG169="",$AH169=""),"",ROUND(($K169-$H169)*IF($F169="Short",-1,1)*$G169*$AG169*$AH169,6)))</f>
        <v/>
      </c>
      <c r="AJ169" s="55" t="str">
        <f>IF($AM169=0,"",IF(INDEX(Settings!$E$14:$E$18,$BF169)="% of notional",IF(OR($AG169="",NOT(ISNUMBER($H169)),NOT(ISNUMBER($G169))),"",ROUND(ABS($H169*$G169*$AG169*N($AH169))*IF($L169="Limit",N(INDEX(Settings!$G$14:$G$18,$BF169)),N(INDEX(Settings!$H$14:$H$18,$BF169)))+IF(ISNUMBER($K169),ABS($K169*$G169*$AG169*N($AH169))*IF($M169="Target",N(INDEX(Settings!$G$14:$G$18,$BF169)),N(INDEX(Settings!$H$14:$H$18,$BF169))),0),6)),IF(NOT(ISNUMBER($G169)),"",ROUND(ABS($G169)*2*IF(AND($BE169&gt;0,ISNUMBER(INDEX(Instruments!$G$6:$G$205,MAX(1,$BE169)))),INDEX(Instruments!$G$6:$G$205,MAX(1,$BE169)),N(INDEX(Settings!$F$14:$F$18,$BF169))),6))))</f>
        <v/>
      </c>
      <c r="AK169" s="55" t="str">
        <f>IF($AM169=0,"",IF(ISNUMBER($O169),$O169,$AI169))</f>
        <v/>
      </c>
      <c r="AL169" s="55" t="str">
        <f>IF($AM169=0,"",IF(ISNUMBER($P169),$P169,N($AJ169)))</f>
        <v/>
      </c>
      <c r="AM169" s="56">
        <f>IF(AND($A169&lt;&gt;"",$E169&lt;&gt;"",OR(AND(ISNUMBER($G169),ISNUMBER($H169),ISNUMBER($K169)),ISNUMBER($O169))),1,0)</f>
        <v>0</v>
      </c>
      <c r="AN169" s="57" t="str">
        <f>IF($A169="","",$A169-WEEKDAY($A169,3))</f>
        <v/>
      </c>
      <c r="AO169" s="56" t="str">
        <f>IF($A169="","",WEEKDAY($A169,2))</f>
        <v/>
      </c>
      <c r="AP169" s="55" t="str">
        <f>IF(OR($AM169=0,$C169=""),"",IFERROR(N(INDEX(Accounts!$E$7:$E$16,MATCH($C169,Accounts!$B$7:$B$16,0))),0)+SUMIFS($Q$6:$Q169,$C$6:$C169,$C169))</f>
        <v/>
      </c>
      <c r="AQ169" s="55" t="str">
        <f>IF(OR($AM169=0,$C169=""),"",SUMIFS($Q$6:$Q$1005,$C$6:$C$1005,$C169,$A$6:$A$1005,$A169))</f>
        <v/>
      </c>
      <c r="AR169" s="55" t="str">
        <f>IF(OR($AM169=0,$C169=""),"",IFERROR(N(INDEX(Accounts!$E$7:$E$16,MATCH($C169,Accounts!$B$7:$B$16,0))),0)+SUMIFS($Q$6:$Q$1005,$C$6:$C$1005,$C169,$A$6:$A$1005,"&lt;="&amp;$A169))</f>
        <v/>
      </c>
      <c r="AS169" s="56">
        <f>IF(OR($AM169=0,$Q169=""),0,IF(AND($A169&gt;=Lists!$W$6,$A169&lt;=Lists!$W$7,OR(Dashboard!$D$6="All accounts",$C169=Dashboard!$D$6),OR(Dashboard!$D$7="All markets",$AF169=Dashboard!$D$7)),1,0))</f>
        <v>0</v>
      </c>
      <c r="AT169" s="55">
        <f>IF($AS169=1,N(AT168)+$Q169,N(AT168))</f>
        <v>1187.10688</v>
      </c>
      <c r="AU169" s="55">
        <f>MAX(N(AU168),$AT169)</f>
        <v>1187.10688</v>
      </c>
      <c r="AV169" s="55">
        <f>$AT169-$AU169</f>
        <v>0</v>
      </c>
      <c r="AW169" s="56">
        <f>IF($AS169=1,IF($S169="Win",N(AW168)+1,IF($S169="Loss",0,N(AW168))),N(AW168))</f>
        <v>5</v>
      </c>
      <c r="AX169" s="56">
        <f>IF($AS169=1,IF($S169="Loss",N(AX168)+1,IF($S169="Win",0,N(AX168))),N(AX168))</f>
        <v>0</v>
      </c>
      <c r="AY169" s="56" t="str">
        <f>IF($AS169=1,COUNTIF($AS$6:$AS169,1),"")</f>
        <v/>
      </c>
      <c r="AZ169" s="56">
        <f>MIN(163,N(Lists!$W$8))</f>
        <v>28</v>
      </c>
      <c r="BA169" s="56">
        <f>IF($AS169=1,IF(COUNTIFS($A$6:$A169,$A169,$AS$6:$AS169,1)=1,1,0),0)</f>
        <v>0</v>
      </c>
      <c r="BB169" s="55" t="str">
        <f>IF($BA169=1,SUMIFS($Q$6:$Q$1005,$A$6:$A$1005,$A169,$AS$6:$AS$1005,1),"")</f>
        <v/>
      </c>
      <c r="BC169" s="56">
        <f>IF(ISNUMBER($R169),1,0)</f>
        <v>0</v>
      </c>
      <c r="BD169" s="55" t="str">
        <f>IF(ISNUMBER($U169),$U169*$V169,"")</f>
        <v/>
      </c>
      <c r="BE169" s="56" t="str">
        <f>IF($AM169=0,"",IFERROR(MATCH($AF169&amp;"|"&amp;UPPER(TRIM($E169)),Lists!$A$6:$A$205,0),0))</f>
        <v/>
      </c>
      <c r="BF169" s="56" t="str">
        <f>IF($AM169=0,"",IFERROR(MATCH($AF169,Settings!$B$14:$B$18,0),IFERROR(MATCH(Settings!$C$6,Settings!$B$14:$B$18,0),1)))</f>
        <v/>
      </c>
      <c r="BG169" s="58" t="str">
        <f>IF($AM169=0,"",IF(NOT(ISNUMBER($I169)),"No stop; ","")&amp;IF(AND(ISNUMBER($H169),ISNUMBER($I169)),IF(OR(AND($F169&lt;&gt;"Short",$I169&gt;=$H169),AND($F169="Short",$I169&lt;=$H169)),"Stop on wrong side; ",""),"")&amp;IF($F169="","No direction; ","")&amp;IF(AND(ISNUMBER(Settings!$C$22),ISNUMBER($V169)),IF($V169&gt;Settings!$C$22,"Risk over max $; ",""),"")&amp;IF(AND(ISNUMBER(Settings!$C$23),ISNUMBER($V169),ISNUMBER($AP169),IFERROR(N(INDEX(Accounts!$E$7:$E$16,MATCH($C169,Accounts!$B$7:$B$16,0))),0)&gt;0),IF($V169&gt;Settings!$C$23*($AP169-N($Q169)),"Risk over max %; ",""),"")&amp;IF(AND(ISNUMBER(Settings!$C$24),ISNUMBER($N169)),IF($N169&gt;Settings!$C$24,"Leverage over max; ",""),"")&amp;IF(AND(ISNUMBER(Settings!$C$27),ISNUMBER($T169)),IF($T169&lt;Settings!$C$27,"R:R below min; ",""),"")&amp;IF(ISNUMBER(Settings!$C$25),IF(COUNTIFS($A$6:$A169,$A169,$AM$6:$AM169,1)&gt;Settings!$C$25,"Over max trades/day; ",""),"")&amp;IF(ISNUMBER(Settings!$C$26),IF(SUMIFS($Q$5:$Q168,$A$5:$A168,$A169)&lt;=-Settings!$C$26,"Traded after daily max loss; ",""),"")&amp;IF(AND($AG169="",NOT(ISNUMBER($O169))),"Symbol not in Instruments; ","")&amp;IF(AND($AH169="",NOT(ISNUMBER($O169))),"Forex cross: type Gross P&amp;L; ",""))</f>
        <v/>
      </c>
      <c r="BH169" s="56">
        <f>IF(ISNUMBER($Q169),1,0)</f>
        <v>0</v>
      </c>
      <c r="BI169" s="56">
        <f>IF($Y169="",0,1)</f>
        <v>0</v>
      </c>
      <c r="BJ169" s="56">
        <f>IF($AB169="",0,1)</f>
        <v>0</v>
      </c>
      <c r="BK169" s="56">
        <f>IF(AND($BH169=1,$W169&lt;&gt;"OK"),1,0)</f>
        <v>0</v>
      </c>
      <c r="BL169" s="55">
        <f>IF(N($AZ169)=0,0,IFERROR(INDEX($AT$6:$AT$1005,MATCH($AZ169,$AY$6:$AY$1005,0)),0))</f>
        <v>1187.10688</v>
      </c>
      <c r="BM169" s="56">
        <f>IF(ISNUMBER(SEARCH("daily max loss",$BG169)),1,0)</f>
        <v>0</v>
      </c>
    </row>
    <row r="170" ht="18" customHeight="1">
      <c r="A170" s="38" t="n"/>
      <c r="B170" s="39" t="n"/>
      <c r="C170" s="40" t="n"/>
      <c r="D170" s="41" t="n"/>
      <c r="E170" s="41" t="n"/>
      <c r="F170" s="41" t="n"/>
      <c r="G170" s="41" t="n"/>
      <c r="H170" s="42" t="n"/>
      <c r="I170" s="42" t="n"/>
      <c r="J170" s="42" t="n"/>
      <c r="K170" s="42" t="n"/>
      <c r="L170" s="41" t="n"/>
      <c r="M170" s="41" t="n"/>
      <c r="N170" s="41" t="n"/>
      <c r="O170" s="43" t="n"/>
      <c r="P170" s="43" t="n"/>
      <c r="Q170" s="44" t="str">
        <f>IF($AM170=0,"",IF(ISNUMBER($AK170),$AK170-N($AL170),""))</f>
        <v/>
      </c>
      <c r="R170" s="45" t="str">
        <f>IF(OR($Q170="",NOT(ISNUMBER($V170))),"",$AK170/$V170)</f>
        <v/>
      </c>
      <c r="S170" s="46" t="str">
        <f>IF($Q170="","",IF(AND(ISNUMBER($R170),ABS(N($R170))&lt;N(Settings!$C$8)),"Scratch",IF($Q170&gt;0,"Win",IF($Q170&lt;0,"Loss","Scratch"))))</f>
        <v/>
      </c>
      <c r="T170" s="47" t="str">
        <f>IF(OR($AM170=0,NOT(ISNUMBER($H170)),NOT(ISNUMBER($I170)),NOT(ISNUMBER($J170))),"",IF($H170=$I170,"",ROUND(ABS($J170-$H170)/ABS($H170-$I170),6)))</f>
        <v/>
      </c>
      <c r="U170" s="48" t="str">
        <f>IF(OR($S170&lt;&gt;"Win",NOT(ISNUMBER($T170)),NOT(ISNUMBER($R170))),"",MAX(0,$T170-$R170))</f>
        <v/>
      </c>
      <c r="V170" s="49" t="str">
        <f>IF(OR($AM170=0,NOT(ISNUMBER($H170)),NOT(ISNUMBER($I170)),NOT(ISNUMBER($G170))),"",IF(OR($AG170="",$AH170=""),"",IF(ROUND(ABS($H170-$I170)*ABS($G170)*$AG170*$AH170,6)=0,"",ROUND(ABS($H170-$I170)*ABS($G170)*$AG170*$AH170,6))))</f>
        <v/>
      </c>
      <c r="W170" s="50" t="str">
        <f>IF($AM170=0,"",IF($BG170="","OK",LEFT($BG170,LEN($BG170)-2)))</f>
        <v/>
      </c>
      <c r="X170" s="41" t="n"/>
      <c r="Y170" s="40" t="n"/>
      <c r="Z170" s="41" t="n"/>
      <c r="AA170" s="41" t="n"/>
      <c r="AB170" s="40" t="n"/>
      <c r="AC170" s="51" t="n"/>
      <c r="AD170" s="51" t="n"/>
      <c r="AE170" s="40" t="n"/>
      <c r="AF170" s="52" t="str">
        <f>IF($AM170=0,"",IF($D170&lt;&gt;"",$D170,IF(IFERROR(INDEX(Accounts!$C$7:$C$16,MATCH($C170,Accounts!$B$7:$B$16,0))&amp;"","")&lt;&gt;"",INDEX(Accounts!$C$7:$C$16,MATCH($C170,Accounts!$B$7:$B$16,0)),Settings!$C$6)))</f>
        <v/>
      </c>
      <c r="AG170" s="53" t="str">
        <f>IF($AM170=0,"",IF(AND($BE170&gt;0,N(INDEX(Instruments!$D$6:$D$205,MAX(1,$BE170)))&gt;0),INDEX(Instruments!$D$6:$D$205,MAX(1,$BE170)),IF(N(INDEX(Settings!$D$14:$D$18,$BF170))&gt;0,INDEX(Settings!$D$14:$D$18,$BF170),"")))</f>
        <v/>
      </c>
      <c r="AH170" s="54" t="str">
        <f>IF($AM170=0,"",IF($AF170&lt;&gt;"Forex",1,IF(MID(UPPER(SUBSTITUTE(TRIM($E170),"/","")),4,3)=UPPER(TRIM(Settings!$C$7)),1,IF(LEFT(UPPER(SUBSTITUTE(TRIM($E170),"/","")),3)=UPPER(TRIM(Settings!$C$7)),IF(AND(ISNUMBER($K170),N($K170)&lt;&gt;0),1/$K170,""),""))))</f>
        <v/>
      </c>
      <c r="AI170" s="55" t="str">
        <f>IF($AM170=0,"",IF(OR(NOT(ISNUMBER($H170)),NOT(ISNUMBER($K170)),NOT(ISNUMBER($G170)),$AG170="",$AH170=""),"",ROUND(($K170-$H170)*IF($F170="Short",-1,1)*$G170*$AG170*$AH170,6)))</f>
        <v/>
      </c>
      <c r="AJ170" s="55" t="str">
        <f>IF($AM170=0,"",IF(INDEX(Settings!$E$14:$E$18,$BF170)="% of notional",IF(OR($AG170="",NOT(ISNUMBER($H170)),NOT(ISNUMBER($G170))),"",ROUND(ABS($H170*$G170*$AG170*N($AH170))*IF($L170="Limit",N(INDEX(Settings!$G$14:$G$18,$BF170)),N(INDEX(Settings!$H$14:$H$18,$BF170)))+IF(ISNUMBER($K170),ABS($K170*$G170*$AG170*N($AH170))*IF($M170="Target",N(INDEX(Settings!$G$14:$G$18,$BF170)),N(INDEX(Settings!$H$14:$H$18,$BF170))),0),6)),IF(NOT(ISNUMBER($G170)),"",ROUND(ABS($G170)*2*IF(AND($BE170&gt;0,ISNUMBER(INDEX(Instruments!$G$6:$G$205,MAX(1,$BE170)))),INDEX(Instruments!$G$6:$G$205,MAX(1,$BE170)),N(INDEX(Settings!$F$14:$F$18,$BF170))),6))))</f>
        <v/>
      </c>
      <c r="AK170" s="55" t="str">
        <f>IF($AM170=0,"",IF(ISNUMBER($O170),$O170,$AI170))</f>
        <v/>
      </c>
      <c r="AL170" s="55" t="str">
        <f>IF($AM170=0,"",IF(ISNUMBER($P170),$P170,N($AJ170)))</f>
        <v/>
      </c>
      <c r="AM170" s="56">
        <f>IF(AND($A170&lt;&gt;"",$E170&lt;&gt;"",OR(AND(ISNUMBER($G170),ISNUMBER($H170),ISNUMBER($K170)),ISNUMBER($O170))),1,0)</f>
        <v>0</v>
      </c>
      <c r="AN170" s="57" t="str">
        <f>IF($A170="","",$A170-WEEKDAY($A170,3))</f>
        <v/>
      </c>
      <c r="AO170" s="56" t="str">
        <f>IF($A170="","",WEEKDAY($A170,2))</f>
        <v/>
      </c>
      <c r="AP170" s="55" t="str">
        <f>IF(OR($AM170=0,$C170=""),"",IFERROR(N(INDEX(Accounts!$E$7:$E$16,MATCH($C170,Accounts!$B$7:$B$16,0))),0)+SUMIFS($Q$6:$Q170,$C$6:$C170,$C170))</f>
        <v/>
      </c>
      <c r="AQ170" s="55" t="str">
        <f>IF(OR($AM170=0,$C170=""),"",SUMIFS($Q$6:$Q$1005,$C$6:$C$1005,$C170,$A$6:$A$1005,$A170))</f>
        <v/>
      </c>
      <c r="AR170" s="55" t="str">
        <f>IF(OR($AM170=0,$C170=""),"",IFERROR(N(INDEX(Accounts!$E$7:$E$16,MATCH($C170,Accounts!$B$7:$B$16,0))),0)+SUMIFS($Q$6:$Q$1005,$C$6:$C$1005,$C170,$A$6:$A$1005,"&lt;="&amp;$A170))</f>
        <v/>
      </c>
      <c r="AS170" s="56">
        <f>IF(OR($AM170=0,$Q170=""),0,IF(AND($A170&gt;=Lists!$W$6,$A170&lt;=Lists!$W$7,OR(Dashboard!$D$6="All accounts",$C170=Dashboard!$D$6),OR(Dashboard!$D$7="All markets",$AF170=Dashboard!$D$7)),1,0))</f>
        <v>0</v>
      </c>
      <c r="AT170" s="55">
        <f>IF($AS170=1,N(AT169)+$Q170,N(AT169))</f>
        <v>1187.10688</v>
      </c>
      <c r="AU170" s="55">
        <f>MAX(N(AU169),$AT170)</f>
        <v>1187.10688</v>
      </c>
      <c r="AV170" s="55">
        <f>$AT170-$AU170</f>
        <v>0</v>
      </c>
      <c r="AW170" s="56">
        <f>IF($AS170=1,IF($S170="Win",N(AW169)+1,IF($S170="Loss",0,N(AW169))),N(AW169))</f>
        <v>5</v>
      </c>
      <c r="AX170" s="56">
        <f>IF($AS170=1,IF($S170="Loss",N(AX169)+1,IF($S170="Win",0,N(AX169))),N(AX169))</f>
        <v>0</v>
      </c>
      <c r="AY170" s="56" t="str">
        <f>IF($AS170=1,COUNTIF($AS$6:$AS170,1),"")</f>
        <v/>
      </c>
      <c r="AZ170" s="56">
        <f>MIN(164,N(Lists!$W$8))</f>
        <v>28</v>
      </c>
      <c r="BA170" s="56">
        <f>IF($AS170=1,IF(COUNTIFS($A$6:$A170,$A170,$AS$6:$AS170,1)=1,1,0),0)</f>
        <v>0</v>
      </c>
      <c r="BB170" s="55" t="str">
        <f>IF($BA170=1,SUMIFS($Q$6:$Q$1005,$A$6:$A$1005,$A170,$AS$6:$AS$1005,1),"")</f>
        <v/>
      </c>
      <c r="BC170" s="56">
        <f>IF(ISNUMBER($R170),1,0)</f>
        <v>0</v>
      </c>
      <c r="BD170" s="55" t="str">
        <f>IF(ISNUMBER($U170),$U170*$V170,"")</f>
        <v/>
      </c>
      <c r="BE170" s="56" t="str">
        <f>IF($AM170=0,"",IFERROR(MATCH($AF170&amp;"|"&amp;UPPER(TRIM($E170)),Lists!$A$6:$A$205,0),0))</f>
        <v/>
      </c>
      <c r="BF170" s="56" t="str">
        <f>IF($AM170=0,"",IFERROR(MATCH($AF170,Settings!$B$14:$B$18,0),IFERROR(MATCH(Settings!$C$6,Settings!$B$14:$B$18,0),1)))</f>
        <v/>
      </c>
      <c r="BG170" s="58" t="str">
        <f>IF($AM170=0,"",IF(NOT(ISNUMBER($I170)),"No stop; ","")&amp;IF(AND(ISNUMBER($H170),ISNUMBER($I170)),IF(OR(AND($F170&lt;&gt;"Short",$I170&gt;=$H170),AND($F170="Short",$I170&lt;=$H170)),"Stop on wrong side; ",""),"")&amp;IF($F170="","No direction; ","")&amp;IF(AND(ISNUMBER(Settings!$C$22),ISNUMBER($V170)),IF($V170&gt;Settings!$C$22,"Risk over max $; ",""),"")&amp;IF(AND(ISNUMBER(Settings!$C$23),ISNUMBER($V170),ISNUMBER($AP170),IFERROR(N(INDEX(Accounts!$E$7:$E$16,MATCH($C170,Accounts!$B$7:$B$16,0))),0)&gt;0),IF($V170&gt;Settings!$C$23*($AP170-N($Q170)),"Risk over max %; ",""),"")&amp;IF(AND(ISNUMBER(Settings!$C$24),ISNUMBER($N170)),IF($N170&gt;Settings!$C$24,"Leverage over max; ",""),"")&amp;IF(AND(ISNUMBER(Settings!$C$27),ISNUMBER($T170)),IF($T170&lt;Settings!$C$27,"R:R below min; ",""),"")&amp;IF(ISNUMBER(Settings!$C$25),IF(COUNTIFS($A$6:$A170,$A170,$AM$6:$AM170,1)&gt;Settings!$C$25,"Over max trades/day; ",""),"")&amp;IF(ISNUMBER(Settings!$C$26),IF(SUMIFS($Q$5:$Q169,$A$5:$A169,$A170)&lt;=-Settings!$C$26,"Traded after daily max loss; ",""),"")&amp;IF(AND($AG170="",NOT(ISNUMBER($O170))),"Symbol not in Instruments; ","")&amp;IF(AND($AH170="",NOT(ISNUMBER($O170))),"Forex cross: type Gross P&amp;L; ",""))</f>
        <v/>
      </c>
      <c r="BH170" s="56">
        <f>IF(ISNUMBER($Q170),1,0)</f>
        <v>0</v>
      </c>
      <c r="BI170" s="56">
        <f>IF($Y170="",0,1)</f>
        <v>0</v>
      </c>
      <c r="BJ170" s="56">
        <f>IF($AB170="",0,1)</f>
        <v>0</v>
      </c>
      <c r="BK170" s="56">
        <f>IF(AND($BH170=1,$W170&lt;&gt;"OK"),1,0)</f>
        <v>0</v>
      </c>
      <c r="BL170" s="55">
        <f>IF(N($AZ170)=0,0,IFERROR(INDEX($AT$6:$AT$1005,MATCH($AZ170,$AY$6:$AY$1005,0)),0))</f>
        <v>1187.10688</v>
      </c>
      <c r="BM170" s="56">
        <f>IF(ISNUMBER(SEARCH("daily max loss",$BG170)),1,0)</f>
        <v>0</v>
      </c>
    </row>
    <row r="171" ht="18" customHeight="1">
      <c r="A171" s="38" t="n"/>
      <c r="B171" s="39" t="n"/>
      <c r="C171" s="40" t="n"/>
      <c r="D171" s="41" t="n"/>
      <c r="E171" s="41" t="n"/>
      <c r="F171" s="41" t="n"/>
      <c r="G171" s="41" t="n"/>
      <c r="H171" s="42" t="n"/>
      <c r="I171" s="42" t="n"/>
      <c r="J171" s="42" t="n"/>
      <c r="K171" s="42" t="n"/>
      <c r="L171" s="41" t="n"/>
      <c r="M171" s="41" t="n"/>
      <c r="N171" s="41" t="n"/>
      <c r="O171" s="43" t="n"/>
      <c r="P171" s="43" t="n"/>
      <c r="Q171" s="44" t="str">
        <f>IF($AM171=0,"",IF(ISNUMBER($AK171),$AK171-N($AL171),""))</f>
        <v/>
      </c>
      <c r="R171" s="45" t="str">
        <f>IF(OR($Q171="",NOT(ISNUMBER($V171))),"",$AK171/$V171)</f>
        <v/>
      </c>
      <c r="S171" s="46" t="str">
        <f>IF($Q171="","",IF(AND(ISNUMBER($R171),ABS(N($R171))&lt;N(Settings!$C$8)),"Scratch",IF($Q171&gt;0,"Win",IF($Q171&lt;0,"Loss","Scratch"))))</f>
        <v/>
      </c>
      <c r="T171" s="47" t="str">
        <f>IF(OR($AM171=0,NOT(ISNUMBER($H171)),NOT(ISNUMBER($I171)),NOT(ISNUMBER($J171))),"",IF($H171=$I171,"",ROUND(ABS($J171-$H171)/ABS($H171-$I171),6)))</f>
        <v/>
      </c>
      <c r="U171" s="48" t="str">
        <f>IF(OR($S171&lt;&gt;"Win",NOT(ISNUMBER($T171)),NOT(ISNUMBER($R171))),"",MAX(0,$T171-$R171))</f>
        <v/>
      </c>
      <c r="V171" s="49" t="str">
        <f>IF(OR($AM171=0,NOT(ISNUMBER($H171)),NOT(ISNUMBER($I171)),NOT(ISNUMBER($G171))),"",IF(OR($AG171="",$AH171=""),"",IF(ROUND(ABS($H171-$I171)*ABS($G171)*$AG171*$AH171,6)=0,"",ROUND(ABS($H171-$I171)*ABS($G171)*$AG171*$AH171,6))))</f>
        <v/>
      </c>
      <c r="W171" s="50" t="str">
        <f>IF($AM171=0,"",IF($BG171="","OK",LEFT($BG171,LEN($BG171)-2)))</f>
        <v/>
      </c>
      <c r="X171" s="41" t="n"/>
      <c r="Y171" s="40" t="n"/>
      <c r="Z171" s="41" t="n"/>
      <c r="AA171" s="41" t="n"/>
      <c r="AB171" s="40" t="n"/>
      <c r="AC171" s="51" t="n"/>
      <c r="AD171" s="51" t="n"/>
      <c r="AE171" s="40" t="n"/>
      <c r="AF171" s="52" t="str">
        <f>IF($AM171=0,"",IF($D171&lt;&gt;"",$D171,IF(IFERROR(INDEX(Accounts!$C$7:$C$16,MATCH($C171,Accounts!$B$7:$B$16,0))&amp;"","")&lt;&gt;"",INDEX(Accounts!$C$7:$C$16,MATCH($C171,Accounts!$B$7:$B$16,0)),Settings!$C$6)))</f>
        <v/>
      </c>
      <c r="AG171" s="53" t="str">
        <f>IF($AM171=0,"",IF(AND($BE171&gt;0,N(INDEX(Instruments!$D$6:$D$205,MAX(1,$BE171)))&gt;0),INDEX(Instruments!$D$6:$D$205,MAX(1,$BE171)),IF(N(INDEX(Settings!$D$14:$D$18,$BF171))&gt;0,INDEX(Settings!$D$14:$D$18,$BF171),"")))</f>
        <v/>
      </c>
      <c r="AH171" s="54" t="str">
        <f>IF($AM171=0,"",IF($AF171&lt;&gt;"Forex",1,IF(MID(UPPER(SUBSTITUTE(TRIM($E171),"/","")),4,3)=UPPER(TRIM(Settings!$C$7)),1,IF(LEFT(UPPER(SUBSTITUTE(TRIM($E171),"/","")),3)=UPPER(TRIM(Settings!$C$7)),IF(AND(ISNUMBER($K171),N($K171)&lt;&gt;0),1/$K171,""),""))))</f>
        <v/>
      </c>
      <c r="AI171" s="55" t="str">
        <f>IF($AM171=0,"",IF(OR(NOT(ISNUMBER($H171)),NOT(ISNUMBER($K171)),NOT(ISNUMBER($G171)),$AG171="",$AH171=""),"",ROUND(($K171-$H171)*IF($F171="Short",-1,1)*$G171*$AG171*$AH171,6)))</f>
        <v/>
      </c>
      <c r="AJ171" s="55" t="str">
        <f>IF($AM171=0,"",IF(INDEX(Settings!$E$14:$E$18,$BF171)="% of notional",IF(OR($AG171="",NOT(ISNUMBER($H171)),NOT(ISNUMBER($G171))),"",ROUND(ABS($H171*$G171*$AG171*N($AH171))*IF($L171="Limit",N(INDEX(Settings!$G$14:$G$18,$BF171)),N(INDEX(Settings!$H$14:$H$18,$BF171)))+IF(ISNUMBER($K171),ABS($K171*$G171*$AG171*N($AH171))*IF($M171="Target",N(INDEX(Settings!$G$14:$G$18,$BF171)),N(INDEX(Settings!$H$14:$H$18,$BF171))),0),6)),IF(NOT(ISNUMBER($G171)),"",ROUND(ABS($G171)*2*IF(AND($BE171&gt;0,ISNUMBER(INDEX(Instruments!$G$6:$G$205,MAX(1,$BE171)))),INDEX(Instruments!$G$6:$G$205,MAX(1,$BE171)),N(INDEX(Settings!$F$14:$F$18,$BF171))),6))))</f>
        <v/>
      </c>
      <c r="AK171" s="55" t="str">
        <f>IF($AM171=0,"",IF(ISNUMBER($O171),$O171,$AI171))</f>
        <v/>
      </c>
      <c r="AL171" s="55" t="str">
        <f>IF($AM171=0,"",IF(ISNUMBER($P171),$P171,N($AJ171)))</f>
        <v/>
      </c>
      <c r="AM171" s="56">
        <f>IF(AND($A171&lt;&gt;"",$E171&lt;&gt;"",OR(AND(ISNUMBER($G171),ISNUMBER($H171),ISNUMBER($K171)),ISNUMBER($O171))),1,0)</f>
        <v>0</v>
      </c>
      <c r="AN171" s="57" t="str">
        <f>IF($A171="","",$A171-WEEKDAY($A171,3))</f>
        <v/>
      </c>
      <c r="AO171" s="56" t="str">
        <f>IF($A171="","",WEEKDAY($A171,2))</f>
        <v/>
      </c>
      <c r="AP171" s="55" t="str">
        <f>IF(OR($AM171=0,$C171=""),"",IFERROR(N(INDEX(Accounts!$E$7:$E$16,MATCH($C171,Accounts!$B$7:$B$16,0))),0)+SUMIFS($Q$6:$Q171,$C$6:$C171,$C171))</f>
        <v/>
      </c>
      <c r="AQ171" s="55" t="str">
        <f>IF(OR($AM171=0,$C171=""),"",SUMIFS($Q$6:$Q$1005,$C$6:$C$1005,$C171,$A$6:$A$1005,$A171))</f>
        <v/>
      </c>
      <c r="AR171" s="55" t="str">
        <f>IF(OR($AM171=0,$C171=""),"",IFERROR(N(INDEX(Accounts!$E$7:$E$16,MATCH($C171,Accounts!$B$7:$B$16,0))),0)+SUMIFS($Q$6:$Q$1005,$C$6:$C$1005,$C171,$A$6:$A$1005,"&lt;="&amp;$A171))</f>
        <v/>
      </c>
      <c r="AS171" s="56">
        <f>IF(OR($AM171=0,$Q171=""),0,IF(AND($A171&gt;=Lists!$W$6,$A171&lt;=Lists!$W$7,OR(Dashboard!$D$6="All accounts",$C171=Dashboard!$D$6),OR(Dashboard!$D$7="All markets",$AF171=Dashboard!$D$7)),1,0))</f>
        <v>0</v>
      </c>
      <c r="AT171" s="55">
        <f>IF($AS171=1,N(AT170)+$Q171,N(AT170))</f>
        <v>1187.10688</v>
      </c>
      <c r="AU171" s="55">
        <f>MAX(N(AU170),$AT171)</f>
        <v>1187.10688</v>
      </c>
      <c r="AV171" s="55">
        <f>$AT171-$AU171</f>
        <v>0</v>
      </c>
      <c r="AW171" s="56">
        <f>IF($AS171=1,IF($S171="Win",N(AW170)+1,IF($S171="Loss",0,N(AW170))),N(AW170))</f>
        <v>5</v>
      </c>
      <c r="AX171" s="56">
        <f>IF($AS171=1,IF($S171="Loss",N(AX170)+1,IF($S171="Win",0,N(AX170))),N(AX170))</f>
        <v>0</v>
      </c>
      <c r="AY171" s="56" t="str">
        <f>IF($AS171=1,COUNTIF($AS$6:$AS171,1),"")</f>
        <v/>
      </c>
      <c r="AZ171" s="56">
        <f>MIN(165,N(Lists!$W$8))</f>
        <v>28</v>
      </c>
      <c r="BA171" s="56">
        <f>IF($AS171=1,IF(COUNTIFS($A$6:$A171,$A171,$AS$6:$AS171,1)=1,1,0),0)</f>
        <v>0</v>
      </c>
      <c r="BB171" s="55" t="str">
        <f>IF($BA171=1,SUMIFS($Q$6:$Q$1005,$A$6:$A$1005,$A171,$AS$6:$AS$1005,1),"")</f>
        <v/>
      </c>
      <c r="BC171" s="56">
        <f>IF(ISNUMBER($R171),1,0)</f>
        <v>0</v>
      </c>
      <c r="BD171" s="55" t="str">
        <f>IF(ISNUMBER($U171),$U171*$V171,"")</f>
        <v/>
      </c>
      <c r="BE171" s="56" t="str">
        <f>IF($AM171=0,"",IFERROR(MATCH($AF171&amp;"|"&amp;UPPER(TRIM($E171)),Lists!$A$6:$A$205,0),0))</f>
        <v/>
      </c>
      <c r="BF171" s="56" t="str">
        <f>IF($AM171=0,"",IFERROR(MATCH($AF171,Settings!$B$14:$B$18,0),IFERROR(MATCH(Settings!$C$6,Settings!$B$14:$B$18,0),1)))</f>
        <v/>
      </c>
      <c r="BG171" s="58" t="str">
        <f>IF($AM171=0,"",IF(NOT(ISNUMBER($I171)),"No stop; ","")&amp;IF(AND(ISNUMBER($H171),ISNUMBER($I171)),IF(OR(AND($F171&lt;&gt;"Short",$I171&gt;=$H171),AND($F171="Short",$I171&lt;=$H171)),"Stop on wrong side; ",""),"")&amp;IF($F171="","No direction; ","")&amp;IF(AND(ISNUMBER(Settings!$C$22),ISNUMBER($V171)),IF($V171&gt;Settings!$C$22,"Risk over max $; ",""),"")&amp;IF(AND(ISNUMBER(Settings!$C$23),ISNUMBER($V171),ISNUMBER($AP171),IFERROR(N(INDEX(Accounts!$E$7:$E$16,MATCH($C171,Accounts!$B$7:$B$16,0))),0)&gt;0),IF($V171&gt;Settings!$C$23*($AP171-N($Q171)),"Risk over max %; ",""),"")&amp;IF(AND(ISNUMBER(Settings!$C$24),ISNUMBER($N171)),IF($N171&gt;Settings!$C$24,"Leverage over max; ",""),"")&amp;IF(AND(ISNUMBER(Settings!$C$27),ISNUMBER($T171)),IF($T171&lt;Settings!$C$27,"R:R below min; ",""),"")&amp;IF(ISNUMBER(Settings!$C$25),IF(COUNTIFS($A$6:$A171,$A171,$AM$6:$AM171,1)&gt;Settings!$C$25,"Over max trades/day; ",""),"")&amp;IF(ISNUMBER(Settings!$C$26),IF(SUMIFS($Q$5:$Q170,$A$5:$A170,$A171)&lt;=-Settings!$C$26,"Traded after daily max loss; ",""),"")&amp;IF(AND($AG171="",NOT(ISNUMBER($O171))),"Symbol not in Instruments; ","")&amp;IF(AND($AH171="",NOT(ISNUMBER($O171))),"Forex cross: type Gross P&amp;L; ",""))</f>
        <v/>
      </c>
      <c r="BH171" s="56">
        <f>IF(ISNUMBER($Q171),1,0)</f>
        <v>0</v>
      </c>
      <c r="BI171" s="56">
        <f>IF($Y171="",0,1)</f>
        <v>0</v>
      </c>
      <c r="BJ171" s="56">
        <f>IF($AB171="",0,1)</f>
        <v>0</v>
      </c>
      <c r="BK171" s="56">
        <f>IF(AND($BH171=1,$W171&lt;&gt;"OK"),1,0)</f>
        <v>0</v>
      </c>
      <c r="BL171" s="55">
        <f>IF(N($AZ171)=0,0,IFERROR(INDEX($AT$6:$AT$1005,MATCH($AZ171,$AY$6:$AY$1005,0)),0))</f>
        <v>1187.10688</v>
      </c>
      <c r="BM171" s="56">
        <f>IF(ISNUMBER(SEARCH("daily max loss",$BG171)),1,0)</f>
        <v>0</v>
      </c>
    </row>
    <row r="172" ht="18" customHeight="1">
      <c r="A172" s="38" t="n"/>
      <c r="B172" s="39" t="n"/>
      <c r="C172" s="40" t="n"/>
      <c r="D172" s="41" t="n"/>
      <c r="E172" s="41" t="n"/>
      <c r="F172" s="41" t="n"/>
      <c r="G172" s="41" t="n"/>
      <c r="H172" s="42" t="n"/>
      <c r="I172" s="42" t="n"/>
      <c r="J172" s="42" t="n"/>
      <c r="K172" s="42" t="n"/>
      <c r="L172" s="41" t="n"/>
      <c r="M172" s="41" t="n"/>
      <c r="N172" s="41" t="n"/>
      <c r="O172" s="43" t="n"/>
      <c r="P172" s="43" t="n"/>
      <c r="Q172" s="44" t="str">
        <f>IF($AM172=0,"",IF(ISNUMBER($AK172),$AK172-N($AL172),""))</f>
        <v/>
      </c>
      <c r="R172" s="45" t="str">
        <f>IF(OR($Q172="",NOT(ISNUMBER($V172))),"",$AK172/$V172)</f>
        <v/>
      </c>
      <c r="S172" s="46" t="str">
        <f>IF($Q172="","",IF(AND(ISNUMBER($R172),ABS(N($R172))&lt;N(Settings!$C$8)),"Scratch",IF($Q172&gt;0,"Win",IF($Q172&lt;0,"Loss","Scratch"))))</f>
        <v/>
      </c>
      <c r="T172" s="47" t="str">
        <f>IF(OR($AM172=0,NOT(ISNUMBER($H172)),NOT(ISNUMBER($I172)),NOT(ISNUMBER($J172))),"",IF($H172=$I172,"",ROUND(ABS($J172-$H172)/ABS($H172-$I172),6)))</f>
        <v/>
      </c>
      <c r="U172" s="48" t="str">
        <f>IF(OR($S172&lt;&gt;"Win",NOT(ISNUMBER($T172)),NOT(ISNUMBER($R172))),"",MAX(0,$T172-$R172))</f>
        <v/>
      </c>
      <c r="V172" s="49" t="str">
        <f>IF(OR($AM172=0,NOT(ISNUMBER($H172)),NOT(ISNUMBER($I172)),NOT(ISNUMBER($G172))),"",IF(OR($AG172="",$AH172=""),"",IF(ROUND(ABS($H172-$I172)*ABS($G172)*$AG172*$AH172,6)=0,"",ROUND(ABS($H172-$I172)*ABS($G172)*$AG172*$AH172,6))))</f>
        <v/>
      </c>
      <c r="W172" s="50" t="str">
        <f>IF($AM172=0,"",IF($BG172="","OK",LEFT($BG172,LEN($BG172)-2)))</f>
        <v/>
      </c>
      <c r="X172" s="41" t="n"/>
      <c r="Y172" s="40" t="n"/>
      <c r="Z172" s="41" t="n"/>
      <c r="AA172" s="41" t="n"/>
      <c r="AB172" s="40" t="n"/>
      <c r="AC172" s="51" t="n"/>
      <c r="AD172" s="51" t="n"/>
      <c r="AE172" s="40" t="n"/>
      <c r="AF172" s="52" t="str">
        <f>IF($AM172=0,"",IF($D172&lt;&gt;"",$D172,IF(IFERROR(INDEX(Accounts!$C$7:$C$16,MATCH($C172,Accounts!$B$7:$B$16,0))&amp;"","")&lt;&gt;"",INDEX(Accounts!$C$7:$C$16,MATCH($C172,Accounts!$B$7:$B$16,0)),Settings!$C$6)))</f>
        <v/>
      </c>
      <c r="AG172" s="53" t="str">
        <f>IF($AM172=0,"",IF(AND($BE172&gt;0,N(INDEX(Instruments!$D$6:$D$205,MAX(1,$BE172)))&gt;0),INDEX(Instruments!$D$6:$D$205,MAX(1,$BE172)),IF(N(INDEX(Settings!$D$14:$D$18,$BF172))&gt;0,INDEX(Settings!$D$14:$D$18,$BF172),"")))</f>
        <v/>
      </c>
      <c r="AH172" s="54" t="str">
        <f>IF($AM172=0,"",IF($AF172&lt;&gt;"Forex",1,IF(MID(UPPER(SUBSTITUTE(TRIM($E172),"/","")),4,3)=UPPER(TRIM(Settings!$C$7)),1,IF(LEFT(UPPER(SUBSTITUTE(TRIM($E172),"/","")),3)=UPPER(TRIM(Settings!$C$7)),IF(AND(ISNUMBER($K172),N($K172)&lt;&gt;0),1/$K172,""),""))))</f>
        <v/>
      </c>
      <c r="AI172" s="55" t="str">
        <f>IF($AM172=0,"",IF(OR(NOT(ISNUMBER($H172)),NOT(ISNUMBER($K172)),NOT(ISNUMBER($G172)),$AG172="",$AH172=""),"",ROUND(($K172-$H172)*IF($F172="Short",-1,1)*$G172*$AG172*$AH172,6)))</f>
        <v/>
      </c>
      <c r="AJ172" s="55" t="str">
        <f>IF($AM172=0,"",IF(INDEX(Settings!$E$14:$E$18,$BF172)="% of notional",IF(OR($AG172="",NOT(ISNUMBER($H172)),NOT(ISNUMBER($G172))),"",ROUND(ABS($H172*$G172*$AG172*N($AH172))*IF($L172="Limit",N(INDEX(Settings!$G$14:$G$18,$BF172)),N(INDEX(Settings!$H$14:$H$18,$BF172)))+IF(ISNUMBER($K172),ABS($K172*$G172*$AG172*N($AH172))*IF($M172="Target",N(INDEX(Settings!$G$14:$G$18,$BF172)),N(INDEX(Settings!$H$14:$H$18,$BF172))),0),6)),IF(NOT(ISNUMBER($G172)),"",ROUND(ABS($G172)*2*IF(AND($BE172&gt;0,ISNUMBER(INDEX(Instruments!$G$6:$G$205,MAX(1,$BE172)))),INDEX(Instruments!$G$6:$G$205,MAX(1,$BE172)),N(INDEX(Settings!$F$14:$F$18,$BF172))),6))))</f>
        <v/>
      </c>
      <c r="AK172" s="55" t="str">
        <f>IF($AM172=0,"",IF(ISNUMBER($O172),$O172,$AI172))</f>
        <v/>
      </c>
      <c r="AL172" s="55" t="str">
        <f>IF($AM172=0,"",IF(ISNUMBER($P172),$P172,N($AJ172)))</f>
        <v/>
      </c>
      <c r="AM172" s="56">
        <f>IF(AND($A172&lt;&gt;"",$E172&lt;&gt;"",OR(AND(ISNUMBER($G172),ISNUMBER($H172),ISNUMBER($K172)),ISNUMBER($O172))),1,0)</f>
        <v>0</v>
      </c>
      <c r="AN172" s="57" t="str">
        <f>IF($A172="","",$A172-WEEKDAY($A172,3))</f>
        <v/>
      </c>
      <c r="AO172" s="56" t="str">
        <f>IF($A172="","",WEEKDAY($A172,2))</f>
        <v/>
      </c>
      <c r="AP172" s="55" t="str">
        <f>IF(OR($AM172=0,$C172=""),"",IFERROR(N(INDEX(Accounts!$E$7:$E$16,MATCH($C172,Accounts!$B$7:$B$16,0))),0)+SUMIFS($Q$6:$Q172,$C$6:$C172,$C172))</f>
        <v/>
      </c>
      <c r="AQ172" s="55" t="str">
        <f>IF(OR($AM172=0,$C172=""),"",SUMIFS($Q$6:$Q$1005,$C$6:$C$1005,$C172,$A$6:$A$1005,$A172))</f>
        <v/>
      </c>
      <c r="AR172" s="55" t="str">
        <f>IF(OR($AM172=0,$C172=""),"",IFERROR(N(INDEX(Accounts!$E$7:$E$16,MATCH($C172,Accounts!$B$7:$B$16,0))),0)+SUMIFS($Q$6:$Q$1005,$C$6:$C$1005,$C172,$A$6:$A$1005,"&lt;="&amp;$A172))</f>
        <v/>
      </c>
      <c r="AS172" s="56">
        <f>IF(OR($AM172=0,$Q172=""),0,IF(AND($A172&gt;=Lists!$W$6,$A172&lt;=Lists!$W$7,OR(Dashboard!$D$6="All accounts",$C172=Dashboard!$D$6),OR(Dashboard!$D$7="All markets",$AF172=Dashboard!$D$7)),1,0))</f>
        <v>0</v>
      </c>
      <c r="AT172" s="55">
        <f>IF($AS172=1,N(AT171)+$Q172,N(AT171))</f>
        <v>1187.10688</v>
      </c>
      <c r="AU172" s="55">
        <f>MAX(N(AU171),$AT172)</f>
        <v>1187.10688</v>
      </c>
      <c r="AV172" s="55">
        <f>$AT172-$AU172</f>
        <v>0</v>
      </c>
      <c r="AW172" s="56">
        <f>IF($AS172=1,IF($S172="Win",N(AW171)+1,IF($S172="Loss",0,N(AW171))),N(AW171))</f>
        <v>5</v>
      </c>
      <c r="AX172" s="56">
        <f>IF($AS172=1,IF($S172="Loss",N(AX171)+1,IF($S172="Win",0,N(AX171))),N(AX171))</f>
        <v>0</v>
      </c>
      <c r="AY172" s="56" t="str">
        <f>IF($AS172=1,COUNTIF($AS$6:$AS172,1),"")</f>
        <v/>
      </c>
      <c r="AZ172" s="56">
        <f>MIN(166,N(Lists!$W$8))</f>
        <v>28</v>
      </c>
      <c r="BA172" s="56">
        <f>IF($AS172=1,IF(COUNTIFS($A$6:$A172,$A172,$AS$6:$AS172,1)=1,1,0),0)</f>
        <v>0</v>
      </c>
      <c r="BB172" s="55" t="str">
        <f>IF($BA172=1,SUMIFS($Q$6:$Q$1005,$A$6:$A$1005,$A172,$AS$6:$AS$1005,1),"")</f>
        <v/>
      </c>
      <c r="BC172" s="56">
        <f>IF(ISNUMBER($R172),1,0)</f>
        <v>0</v>
      </c>
      <c r="BD172" s="55" t="str">
        <f>IF(ISNUMBER($U172),$U172*$V172,"")</f>
        <v/>
      </c>
      <c r="BE172" s="56" t="str">
        <f>IF($AM172=0,"",IFERROR(MATCH($AF172&amp;"|"&amp;UPPER(TRIM($E172)),Lists!$A$6:$A$205,0),0))</f>
        <v/>
      </c>
      <c r="BF172" s="56" t="str">
        <f>IF($AM172=0,"",IFERROR(MATCH($AF172,Settings!$B$14:$B$18,0),IFERROR(MATCH(Settings!$C$6,Settings!$B$14:$B$18,0),1)))</f>
        <v/>
      </c>
      <c r="BG172" s="58" t="str">
        <f>IF($AM172=0,"",IF(NOT(ISNUMBER($I172)),"No stop; ","")&amp;IF(AND(ISNUMBER($H172),ISNUMBER($I172)),IF(OR(AND($F172&lt;&gt;"Short",$I172&gt;=$H172),AND($F172="Short",$I172&lt;=$H172)),"Stop on wrong side; ",""),"")&amp;IF($F172="","No direction; ","")&amp;IF(AND(ISNUMBER(Settings!$C$22),ISNUMBER($V172)),IF($V172&gt;Settings!$C$22,"Risk over max $; ",""),"")&amp;IF(AND(ISNUMBER(Settings!$C$23),ISNUMBER($V172),ISNUMBER($AP172),IFERROR(N(INDEX(Accounts!$E$7:$E$16,MATCH($C172,Accounts!$B$7:$B$16,0))),0)&gt;0),IF($V172&gt;Settings!$C$23*($AP172-N($Q172)),"Risk over max %; ",""),"")&amp;IF(AND(ISNUMBER(Settings!$C$24),ISNUMBER($N172)),IF($N172&gt;Settings!$C$24,"Leverage over max; ",""),"")&amp;IF(AND(ISNUMBER(Settings!$C$27),ISNUMBER($T172)),IF($T172&lt;Settings!$C$27,"R:R below min; ",""),"")&amp;IF(ISNUMBER(Settings!$C$25),IF(COUNTIFS($A$6:$A172,$A172,$AM$6:$AM172,1)&gt;Settings!$C$25,"Over max trades/day; ",""),"")&amp;IF(ISNUMBER(Settings!$C$26),IF(SUMIFS($Q$5:$Q171,$A$5:$A171,$A172)&lt;=-Settings!$C$26,"Traded after daily max loss; ",""),"")&amp;IF(AND($AG172="",NOT(ISNUMBER($O172))),"Symbol not in Instruments; ","")&amp;IF(AND($AH172="",NOT(ISNUMBER($O172))),"Forex cross: type Gross P&amp;L; ",""))</f>
        <v/>
      </c>
      <c r="BH172" s="56">
        <f>IF(ISNUMBER($Q172),1,0)</f>
        <v>0</v>
      </c>
      <c r="BI172" s="56">
        <f>IF($Y172="",0,1)</f>
        <v>0</v>
      </c>
      <c r="BJ172" s="56">
        <f>IF($AB172="",0,1)</f>
        <v>0</v>
      </c>
      <c r="BK172" s="56">
        <f>IF(AND($BH172=1,$W172&lt;&gt;"OK"),1,0)</f>
        <v>0</v>
      </c>
      <c r="BL172" s="55">
        <f>IF(N($AZ172)=0,0,IFERROR(INDEX($AT$6:$AT$1005,MATCH($AZ172,$AY$6:$AY$1005,0)),0))</f>
        <v>1187.10688</v>
      </c>
      <c r="BM172" s="56">
        <f>IF(ISNUMBER(SEARCH("daily max loss",$BG172)),1,0)</f>
        <v>0</v>
      </c>
    </row>
    <row r="173" ht="18" customHeight="1">
      <c r="A173" s="38" t="n"/>
      <c r="B173" s="39" t="n"/>
      <c r="C173" s="40" t="n"/>
      <c r="D173" s="41" t="n"/>
      <c r="E173" s="41" t="n"/>
      <c r="F173" s="41" t="n"/>
      <c r="G173" s="41" t="n"/>
      <c r="H173" s="42" t="n"/>
      <c r="I173" s="42" t="n"/>
      <c r="J173" s="42" t="n"/>
      <c r="K173" s="42" t="n"/>
      <c r="L173" s="41" t="n"/>
      <c r="M173" s="41" t="n"/>
      <c r="N173" s="41" t="n"/>
      <c r="O173" s="43" t="n"/>
      <c r="P173" s="43" t="n"/>
      <c r="Q173" s="44" t="str">
        <f>IF($AM173=0,"",IF(ISNUMBER($AK173),$AK173-N($AL173),""))</f>
        <v/>
      </c>
      <c r="R173" s="45" t="str">
        <f>IF(OR($Q173="",NOT(ISNUMBER($V173))),"",$AK173/$V173)</f>
        <v/>
      </c>
      <c r="S173" s="46" t="str">
        <f>IF($Q173="","",IF(AND(ISNUMBER($R173),ABS(N($R173))&lt;N(Settings!$C$8)),"Scratch",IF($Q173&gt;0,"Win",IF($Q173&lt;0,"Loss","Scratch"))))</f>
        <v/>
      </c>
      <c r="T173" s="47" t="str">
        <f>IF(OR($AM173=0,NOT(ISNUMBER($H173)),NOT(ISNUMBER($I173)),NOT(ISNUMBER($J173))),"",IF($H173=$I173,"",ROUND(ABS($J173-$H173)/ABS($H173-$I173),6)))</f>
        <v/>
      </c>
      <c r="U173" s="48" t="str">
        <f>IF(OR($S173&lt;&gt;"Win",NOT(ISNUMBER($T173)),NOT(ISNUMBER($R173))),"",MAX(0,$T173-$R173))</f>
        <v/>
      </c>
      <c r="V173" s="49" t="str">
        <f>IF(OR($AM173=0,NOT(ISNUMBER($H173)),NOT(ISNUMBER($I173)),NOT(ISNUMBER($G173))),"",IF(OR($AG173="",$AH173=""),"",IF(ROUND(ABS($H173-$I173)*ABS($G173)*$AG173*$AH173,6)=0,"",ROUND(ABS($H173-$I173)*ABS($G173)*$AG173*$AH173,6))))</f>
        <v/>
      </c>
      <c r="W173" s="50" t="str">
        <f>IF($AM173=0,"",IF($BG173="","OK",LEFT($BG173,LEN($BG173)-2)))</f>
        <v/>
      </c>
      <c r="X173" s="41" t="n"/>
      <c r="Y173" s="40" t="n"/>
      <c r="Z173" s="41" t="n"/>
      <c r="AA173" s="41" t="n"/>
      <c r="AB173" s="40" t="n"/>
      <c r="AC173" s="51" t="n"/>
      <c r="AD173" s="51" t="n"/>
      <c r="AE173" s="40" t="n"/>
      <c r="AF173" s="52" t="str">
        <f>IF($AM173=0,"",IF($D173&lt;&gt;"",$D173,IF(IFERROR(INDEX(Accounts!$C$7:$C$16,MATCH($C173,Accounts!$B$7:$B$16,0))&amp;"","")&lt;&gt;"",INDEX(Accounts!$C$7:$C$16,MATCH($C173,Accounts!$B$7:$B$16,0)),Settings!$C$6)))</f>
        <v/>
      </c>
      <c r="AG173" s="53" t="str">
        <f>IF($AM173=0,"",IF(AND($BE173&gt;0,N(INDEX(Instruments!$D$6:$D$205,MAX(1,$BE173)))&gt;0),INDEX(Instruments!$D$6:$D$205,MAX(1,$BE173)),IF(N(INDEX(Settings!$D$14:$D$18,$BF173))&gt;0,INDEX(Settings!$D$14:$D$18,$BF173),"")))</f>
        <v/>
      </c>
      <c r="AH173" s="54" t="str">
        <f>IF($AM173=0,"",IF($AF173&lt;&gt;"Forex",1,IF(MID(UPPER(SUBSTITUTE(TRIM($E173),"/","")),4,3)=UPPER(TRIM(Settings!$C$7)),1,IF(LEFT(UPPER(SUBSTITUTE(TRIM($E173),"/","")),3)=UPPER(TRIM(Settings!$C$7)),IF(AND(ISNUMBER($K173),N($K173)&lt;&gt;0),1/$K173,""),""))))</f>
        <v/>
      </c>
      <c r="AI173" s="55" t="str">
        <f>IF($AM173=0,"",IF(OR(NOT(ISNUMBER($H173)),NOT(ISNUMBER($K173)),NOT(ISNUMBER($G173)),$AG173="",$AH173=""),"",ROUND(($K173-$H173)*IF($F173="Short",-1,1)*$G173*$AG173*$AH173,6)))</f>
        <v/>
      </c>
      <c r="AJ173" s="55" t="str">
        <f>IF($AM173=0,"",IF(INDEX(Settings!$E$14:$E$18,$BF173)="% of notional",IF(OR($AG173="",NOT(ISNUMBER($H173)),NOT(ISNUMBER($G173))),"",ROUND(ABS($H173*$G173*$AG173*N($AH173))*IF($L173="Limit",N(INDEX(Settings!$G$14:$G$18,$BF173)),N(INDEX(Settings!$H$14:$H$18,$BF173)))+IF(ISNUMBER($K173),ABS($K173*$G173*$AG173*N($AH173))*IF($M173="Target",N(INDEX(Settings!$G$14:$G$18,$BF173)),N(INDEX(Settings!$H$14:$H$18,$BF173))),0),6)),IF(NOT(ISNUMBER($G173)),"",ROUND(ABS($G173)*2*IF(AND($BE173&gt;0,ISNUMBER(INDEX(Instruments!$G$6:$G$205,MAX(1,$BE173)))),INDEX(Instruments!$G$6:$G$205,MAX(1,$BE173)),N(INDEX(Settings!$F$14:$F$18,$BF173))),6))))</f>
        <v/>
      </c>
      <c r="AK173" s="55" t="str">
        <f>IF($AM173=0,"",IF(ISNUMBER($O173),$O173,$AI173))</f>
        <v/>
      </c>
      <c r="AL173" s="55" t="str">
        <f>IF($AM173=0,"",IF(ISNUMBER($P173),$P173,N($AJ173)))</f>
        <v/>
      </c>
      <c r="AM173" s="56">
        <f>IF(AND($A173&lt;&gt;"",$E173&lt;&gt;"",OR(AND(ISNUMBER($G173),ISNUMBER($H173),ISNUMBER($K173)),ISNUMBER($O173))),1,0)</f>
        <v>0</v>
      </c>
      <c r="AN173" s="57" t="str">
        <f>IF($A173="","",$A173-WEEKDAY($A173,3))</f>
        <v/>
      </c>
      <c r="AO173" s="56" t="str">
        <f>IF($A173="","",WEEKDAY($A173,2))</f>
        <v/>
      </c>
      <c r="AP173" s="55" t="str">
        <f>IF(OR($AM173=0,$C173=""),"",IFERROR(N(INDEX(Accounts!$E$7:$E$16,MATCH($C173,Accounts!$B$7:$B$16,0))),0)+SUMIFS($Q$6:$Q173,$C$6:$C173,$C173))</f>
        <v/>
      </c>
      <c r="AQ173" s="55" t="str">
        <f>IF(OR($AM173=0,$C173=""),"",SUMIFS($Q$6:$Q$1005,$C$6:$C$1005,$C173,$A$6:$A$1005,$A173))</f>
        <v/>
      </c>
      <c r="AR173" s="55" t="str">
        <f>IF(OR($AM173=0,$C173=""),"",IFERROR(N(INDEX(Accounts!$E$7:$E$16,MATCH($C173,Accounts!$B$7:$B$16,0))),0)+SUMIFS($Q$6:$Q$1005,$C$6:$C$1005,$C173,$A$6:$A$1005,"&lt;="&amp;$A173))</f>
        <v/>
      </c>
      <c r="AS173" s="56">
        <f>IF(OR($AM173=0,$Q173=""),0,IF(AND($A173&gt;=Lists!$W$6,$A173&lt;=Lists!$W$7,OR(Dashboard!$D$6="All accounts",$C173=Dashboard!$D$6),OR(Dashboard!$D$7="All markets",$AF173=Dashboard!$D$7)),1,0))</f>
        <v>0</v>
      </c>
      <c r="AT173" s="55">
        <f>IF($AS173=1,N(AT172)+$Q173,N(AT172))</f>
        <v>1187.10688</v>
      </c>
      <c r="AU173" s="55">
        <f>MAX(N(AU172),$AT173)</f>
        <v>1187.10688</v>
      </c>
      <c r="AV173" s="55">
        <f>$AT173-$AU173</f>
        <v>0</v>
      </c>
      <c r="AW173" s="56">
        <f>IF($AS173=1,IF($S173="Win",N(AW172)+1,IF($S173="Loss",0,N(AW172))),N(AW172))</f>
        <v>5</v>
      </c>
      <c r="AX173" s="56">
        <f>IF($AS173=1,IF($S173="Loss",N(AX172)+1,IF($S173="Win",0,N(AX172))),N(AX172))</f>
        <v>0</v>
      </c>
      <c r="AY173" s="56" t="str">
        <f>IF($AS173=1,COUNTIF($AS$6:$AS173,1),"")</f>
        <v/>
      </c>
      <c r="AZ173" s="56">
        <f>MIN(167,N(Lists!$W$8))</f>
        <v>28</v>
      </c>
      <c r="BA173" s="56">
        <f>IF($AS173=1,IF(COUNTIFS($A$6:$A173,$A173,$AS$6:$AS173,1)=1,1,0),0)</f>
        <v>0</v>
      </c>
      <c r="BB173" s="55" t="str">
        <f>IF($BA173=1,SUMIFS($Q$6:$Q$1005,$A$6:$A$1005,$A173,$AS$6:$AS$1005,1),"")</f>
        <v/>
      </c>
      <c r="BC173" s="56">
        <f>IF(ISNUMBER($R173),1,0)</f>
        <v>0</v>
      </c>
      <c r="BD173" s="55" t="str">
        <f>IF(ISNUMBER($U173),$U173*$V173,"")</f>
        <v/>
      </c>
      <c r="BE173" s="56" t="str">
        <f>IF($AM173=0,"",IFERROR(MATCH($AF173&amp;"|"&amp;UPPER(TRIM($E173)),Lists!$A$6:$A$205,0),0))</f>
        <v/>
      </c>
      <c r="BF173" s="56" t="str">
        <f>IF($AM173=0,"",IFERROR(MATCH($AF173,Settings!$B$14:$B$18,0),IFERROR(MATCH(Settings!$C$6,Settings!$B$14:$B$18,0),1)))</f>
        <v/>
      </c>
      <c r="BG173" s="58" t="str">
        <f>IF($AM173=0,"",IF(NOT(ISNUMBER($I173)),"No stop; ","")&amp;IF(AND(ISNUMBER($H173),ISNUMBER($I173)),IF(OR(AND($F173&lt;&gt;"Short",$I173&gt;=$H173),AND($F173="Short",$I173&lt;=$H173)),"Stop on wrong side; ",""),"")&amp;IF($F173="","No direction; ","")&amp;IF(AND(ISNUMBER(Settings!$C$22),ISNUMBER($V173)),IF($V173&gt;Settings!$C$22,"Risk over max $; ",""),"")&amp;IF(AND(ISNUMBER(Settings!$C$23),ISNUMBER($V173),ISNUMBER($AP173),IFERROR(N(INDEX(Accounts!$E$7:$E$16,MATCH($C173,Accounts!$B$7:$B$16,0))),0)&gt;0),IF($V173&gt;Settings!$C$23*($AP173-N($Q173)),"Risk over max %; ",""),"")&amp;IF(AND(ISNUMBER(Settings!$C$24),ISNUMBER($N173)),IF($N173&gt;Settings!$C$24,"Leverage over max; ",""),"")&amp;IF(AND(ISNUMBER(Settings!$C$27),ISNUMBER($T173)),IF($T173&lt;Settings!$C$27,"R:R below min; ",""),"")&amp;IF(ISNUMBER(Settings!$C$25),IF(COUNTIFS($A$6:$A173,$A173,$AM$6:$AM173,1)&gt;Settings!$C$25,"Over max trades/day; ",""),"")&amp;IF(ISNUMBER(Settings!$C$26),IF(SUMIFS($Q$5:$Q172,$A$5:$A172,$A173)&lt;=-Settings!$C$26,"Traded after daily max loss; ",""),"")&amp;IF(AND($AG173="",NOT(ISNUMBER($O173))),"Symbol not in Instruments; ","")&amp;IF(AND($AH173="",NOT(ISNUMBER($O173))),"Forex cross: type Gross P&amp;L; ",""))</f>
        <v/>
      </c>
      <c r="BH173" s="56">
        <f>IF(ISNUMBER($Q173),1,0)</f>
        <v>0</v>
      </c>
      <c r="BI173" s="56">
        <f>IF($Y173="",0,1)</f>
        <v>0</v>
      </c>
      <c r="BJ173" s="56">
        <f>IF($AB173="",0,1)</f>
        <v>0</v>
      </c>
      <c r="BK173" s="56">
        <f>IF(AND($BH173=1,$W173&lt;&gt;"OK"),1,0)</f>
        <v>0</v>
      </c>
      <c r="BL173" s="55">
        <f>IF(N($AZ173)=0,0,IFERROR(INDEX($AT$6:$AT$1005,MATCH($AZ173,$AY$6:$AY$1005,0)),0))</f>
        <v>1187.10688</v>
      </c>
      <c r="BM173" s="56">
        <f>IF(ISNUMBER(SEARCH("daily max loss",$BG173)),1,0)</f>
        <v>0</v>
      </c>
    </row>
    <row r="174" ht="18" customHeight="1">
      <c r="A174" s="38" t="n"/>
      <c r="B174" s="39" t="n"/>
      <c r="C174" s="40" t="n"/>
      <c r="D174" s="41" t="n"/>
      <c r="E174" s="41" t="n"/>
      <c r="F174" s="41" t="n"/>
      <c r="G174" s="41" t="n"/>
      <c r="H174" s="42" t="n"/>
      <c r="I174" s="42" t="n"/>
      <c r="J174" s="42" t="n"/>
      <c r="K174" s="42" t="n"/>
      <c r="L174" s="41" t="n"/>
      <c r="M174" s="41" t="n"/>
      <c r="N174" s="41" t="n"/>
      <c r="O174" s="43" t="n"/>
      <c r="P174" s="43" t="n"/>
      <c r="Q174" s="44" t="str">
        <f>IF($AM174=0,"",IF(ISNUMBER($AK174),$AK174-N($AL174),""))</f>
        <v/>
      </c>
      <c r="R174" s="45" t="str">
        <f>IF(OR($Q174="",NOT(ISNUMBER($V174))),"",$AK174/$V174)</f>
        <v/>
      </c>
      <c r="S174" s="46" t="str">
        <f>IF($Q174="","",IF(AND(ISNUMBER($R174),ABS(N($R174))&lt;N(Settings!$C$8)),"Scratch",IF($Q174&gt;0,"Win",IF($Q174&lt;0,"Loss","Scratch"))))</f>
        <v/>
      </c>
      <c r="T174" s="47" t="str">
        <f>IF(OR($AM174=0,NOT(ISNUMBER($H174)),NOT(ISNUMBER($I174)),NOT(ISNUMBER($J174))),"",IF($H174=$I174,"",ROUND(ABS($J174-$H174)/ABS($H174-$I174),6)))</f>
        <v/>
      </c>
      <c r="U174" s="48" t="str">
        <f>IF(OR($S174&lt;&gt;"Win",NOT(ISNUMBER($T174)),NOT(ISNUMBER($R174))),"",MAX(0,$T174-$R174))</f>
        <v/>
      </c>
      <c r="V174" s="49" t="str">
        <f>IF(OR($AM174=0,NOT(ISNUMBER($H174)),NOT(ISNUMBER($I174)),NOT(ISNUMBER($G174))),"",IF(OR($AG174="",$AH174=""),"",IF(ROUND(ABS($H174-$I174)*ABS($G174)*$AG174*$AH174,6)=0,"",ROUND(ABS($H174-$I174)*ABS($G174)*$AG174*$AH174,6))))</f>
        <v/>
      </c>
      <c r="W174" s="50" t="str">
        <f>IF($AM174=0,"",IF($BG174="","OK",LEFT($BG174,LEN($BG174)-2)))</f>
        <v/>
      </c>
      <c r="X174" s="41" t="n"/>
      <c r="Y174" s="40" t="n"/>
      <c r="Z174" s="41" t="n"/>
      <c r="AA174" s="41" t="n"/>
      <c r="AB174" s="40" t="n"/>
      <c r="AC174" s="51" t="n"/>
      <c r="AD174" s="51" t="n"/>
      <c r="AE174" s="40" t="n"/>
      <c r="AF174" s="52" t="str">
        <f>IF($AM174=0,"",IF($D174&lt;&gt;"",$D174,IF(IFERROR(INDEX(Accounts!$C$7:$C$16,MATCH($C174,Accounts!$B$7:$B$16,0))&amp;"","")&lt;&gt;"",INDEX(Accounts!$C$7:$C$16,MATCH($C174,Accounts!$B$7:$B$16,0)),Settings!$C$6)))</f>
        <v/>
      </c>
      <c r="AG174" s="53" t="str">
        <f>IF($AM174=0,"",IF(AND($BE174&gt;0,N(INDEX(Instruments!$D$6:$D$205,MAX(1,$BE174)))&gt;0),INDEX(Instruments!$D$6:$D$205,MAX(1,$BE174)),IF(N(INDEX(Settings!$D$14:$D$18,$BF174))&gt;0,INDEX(Settings!$D$14:$D$18,$BF174),"")))</f>
        <v/>
      </c>
      <c r="AH174" s="54" t="str">
        <f>IF($AM174=0,"",IF($AF174&lt;&gt;"Forex",1,IF(MID(UPPER(SUBSTITUTE(TRIM($E174),"/","")),4,3)=UPPER(TRIM(Settings!$C$7)),1,IF(LEFT(UPPER(SUBSTITUTE(TRIM($E174),"/","")),3)=UPPER(TRIM(Settings!$C$7)),IF(AND(ISNUMBER($K174),N($K174)&lt;&gt;0),1/$K174,""),""))))</f>
        <v/>
      </c>
      <c r="AI174" s="55" t="str">
        <f>IF($AM174=0,"",IF(OR(NOT(ISNUMBER($H174)),NOT(ISNUMBER($K174)),NOT(ISNUMBER($G174)),$AG174="",$AH174=""),"",ROUND(($K174-$H174)*IF($F174="Short",-1,1)*$G174*$AG174*$AH174,6)))</f>
        <v/>
      </c>
      <c r="AJ174" s="55" t="str">
        <f>IF($AM174=0,"",IF(INDEX(Settings!$E$14:$E$18,$BF174)="% of notional",IF(OR($AG174="",NOT(ISNUMBER($H174)),NOT(ISNUMBER($G174))),"",ROUND(ABS($H174*$G174*$AG174*N($AH174))*IF($L174="Limit",N(INDEX(Settings!$G$14:$G$18,$BF174)),N(INDEX(Settings!$H$14:$H$18,$BF174)))+IF(ISNUMBER($K174),ABS($K174*$G174*$AG174*N($AH174))*IF($M174="Target",N(INDEX(Settings!$G$14:$G$18,$BF174)),N(INDEX(Settings!$H$14:$H$18,$BF174))),0),6)),IF(NOT(ISNUMBER($G174)),"",ROUND(ABS($G174)*2*IF(AND($BE174&gt;0,ISNUMBER(INDEX(Instruments!$G$6:$G$205,MAX(1,$BE174)))),INDEX(Instruments!$G$6:$G$205,MAX(1,$BE174)),N(INDEX(Settings!$F$14:$F$18,$BF174))),6))))</f>
        <v/>
      </c>
      <c r="AK174" s="55" t="str">
        <f>IF($AM174=0,"",IF(ISNUMBER($O174),$O174,$AI174))</f>
        <v/>
      </c>
      <c r="AL174" s="55" t="str">
        <f>IF($AM174=0,"",IF(ISNUMBER($P174),$P174,N($AJ174)))</f>
        <v/>
      </c>
      <c r="AM174" s="56">
        <f>IF(AND($A174&lt;&gt;"",$E174&lt;&gt;"",OR(AND(ISNUMBER($G174),ISNUMBER($H174),ISNUMBER($K174)),ISNUMBER($O174))),1,0)</f>
        <v>0</v>
      </c>
      <c r="AN174" s="57" t="str">
        <f>IF($A174="","",$A174-WEEKDAY($A174,3))</f>
        <v/>
      </c>
      <c r="AO174" s="56" t="str">
        <f>IF($A174="","",WEEKDAY($A174,2))</f>
        <v/>
      </c>
      <c r="AP174" s="55" t="str">
        <f>IF(OR($AM174=0,$C174=""),"",IFERROR(N(INDEX(Accounts!$E$7:$E$16,MATCH($C174,Accounts!$B$7:$B$16,0))),0)+SUMIFS($Q$6:$Q174,$C$6:$C174,$C174))</f>
        <v/>
      </c>
      <c r="AQ174" s="55" t="str">
        <f>IF(OR($AM174=0,$C174=""),"",SUMIFS($Q$6:$Q$1005,$C$6:$C$1005,$C174,$A$6:$A$1005,$A174))</f>
        <v/>
      </c>
      <c r="AR174" s="55" t="str">
        <f>IF(OR($AM174=0,$C174=""),"",IFERROR(N(INDEX(Accounts!$E$7:$E$16,MATCH($C174,Accounts!$B$7:$B$16,0))),0)+SUMIFS($Q$6:$Q$1005,$C$6:$C$1005,$C174,$A$6:$A$1005,"&lt;="&amp;$A174))</f>
        <v/>
      </c>
      <c r="AS174" s="56">
        <f>IF(OR($AM174=0,$Q174=""),0,IF(AND($A174&gt;=Lists!$W$6,$A174&lt;=Lists!$W$7,OR(Dashboard!$D$6="All accounts",$C174=Dashboard!$D$6),OR(Dashboard!$D$7="All markets",$AF174=Dashboard!$D$7)),1,0))</f>
        <v>0</v>
      </c>
      <c r="AT174" s="55">
        <f>IF($AS174=1,N(AT173)+$Q174,N(AT173))</f>
        <v>1187.10688</v>
      </c>
      <c r="AU174" s="55">
        <f>MAX(N(AU173),$AT174)</f>
        <v>1187.10688</v>
      </c>
      <c r="AV174" s="55">
        <f>$AT174-$AU174</f>
        <v>0</v>
      </c>
      <c r="AW174" s="56">
        <f>IF($AS174=1,IF($S174="Win",N(AW173)+1,IF($S174="Loss",0,N(AW173))),N(AW173))</f>
        <v>5</v>
      </c>
      <c r="AX174" s="56">
        <f>IF($AS174=1,IF($S174="Loss",N(AX173)+1,IF($S174="Win",0,N(AX173))),N(AX173))</f>
        <v>0</v>
      </c>
      <c r="AY174" s="56" t="str">
        <f>IF($AS174=1,COUNTIF($AS$6:$AS174,1),"")</f>
        <v/>
      </c>
      <c r="AZ174" s="56">
        <f>MIN(168,N(Lists!$W$8))</f>
        <v>28</v>
      </c>
      <c r="BA174" s="56">
        <f>IF($AS174=1,IF(COUNTIFS($A$6:$A174,$A174,$AS$6:$AS174,1)=1,1,0),0)</f>
        <v>0</v>
      </c>
      <c r="BB174" s="55" t="str">
        <f>IF($BA174=1,SUMIFS($Q$6:$Q$1005,$A$6:$A$1005,$A174,$AS$6:$AS$1005,1),"")</f>
        <v/>
      </c>
      <c r="BC174" s="56">
        <f>IF(ISNUMBER($R174),1,0)</f>
        <v>0</v>
      </c>
      <c r="BD174" s="55" t="str">
        <f>IF(ISNUMBER($U174),$U174*$V174,"")</f>
        <v/>
      </c>
      <c r="BE174" s="56" t="str">
        <f>IF($AM174=0,"",IFERROR(MATCH($AF174&amp;"|"&amp;UPPER(TRIM($E174)),Lists!$A$6:$A$205,0),0))</f>
        <v/>
      </c>
      <c r="BF174" s="56" t="str">
        <f>IF($AM174=0,"",IFERROR(MATCH($AF174,Settings!$B$14:$B$18,0),IFERROR(MATCH(Settings!$C$6,Settings!$B$14:$B$18,0),1)))</f>
        <v/>
      </c>
      <c r="BG174" s="58" t="str">
        <f>IF($AM174=0,"",IF(NOT(ISNUMBER($I174)),"No stop; ","")&amp;IF(AND(ISNUMBER($H174),ISNUMBER($I174)),IF(OR(AND($F174&lt;&gt;"Short",$I174&gt;=$H174),AND($F174="Short",$I174&lt;=$H174)),"Stop on wrong side; ",""),"")&amp;IF($F174="","No direction; ","")&amp;IF(AND(ISNUMBER(Settings!$C$22),ISNUMBER($V174)),IF($V174&gt;Settings!$C$22,"Risk over max $; ",""),"")&amp;IF(AND(ISNUMBER(Settings!$C$23),ISNUMBER($V174),ISNUMBER($AP174),IFERROR(N(INDEX(Accounts!$E$7:$E$16,MATCH($C174,Accounts!$B$7:$B$16,0))),0)&gt;0),IF($V174&gt;Settings!$C$23*($AP174-N($Q174)),"Risk over max %; ",""),"")&amp;IF(AND(ISNUMBER(Settings!$C$24),ISNUMBER($N174)),IF($N174&gt;Settings!$C$24,"Leverage over max; ",""),"")&amp;IF(AND(ISNUMBER(Settings!$C$27),ISNUMBER($T174)),IF($T174&lt;Settings!$C$27,"R:R below min; ",""),"")&amp;IF(ISNUMBER(Settings!$C$25),IF(COUNTIFS($A$6:$A174,$A174,$AM$6:$AM174,1)&gt;Settings!$C$25,"Over max trades/day; ",""),"")&amp;IF(ISNUMBER(Settings!$C$26),IF(SUMIFS($Q$5:$Q173,$A$5:$A173,$A174)&lt;=-Settings!$C$26,"Traded after daily max loss; ",""),"")&amp;IF(AND($AG174="",NOT(ISNUMBER($O174))),"Symbol not in Instruments; ","")&amp;IF(AND($AH174="",NOT(ISNUMBER($O174))),"Forex cross: type Gross P&amp;L; ",""))</f>
        <v/>
      </c>
      <c r="BH174" s="56">
        <f>IF(ISNUMBER($Q174),1,0)</f>
        <v>0</v>
      </c>
      <c r="BI174" s="56">
        <f>IF($Y174="",0,1)</f>
        <v>0</v>
      </c>
      <c r="BJ174" s="56">
        <f>IF($AB174="",0,1)</f>
        <v>0</v>
      </c>
      <c r="BK174" s="56">
        <f>IF(AND($BH174=1,$W174&lt;&gt;"OK"),1,0)</f>
        <v>0</v>
      </c>
      <c r="BL174" s="55">
        <f>IF(N($AZ174)=0,0,IFERROR(INDEX($AT$6:$AT$1005,MATCH($AZ174,$AY$6:$AY$1005,0)),0))</f>
        <v>1187.10688</v>
      </c>
      <c r="BM174" s="56">
        <f>IF(ISNUMBER(SEARCH("daily max loss",$BG174)),1,0)</f>
        <v>0</v>
      </c>
    </row>
    <row r="175" ht="18" customHeight="1">
      <c r="A175" s="38" t="n"/>
      <c r="B175" s="39" t="n"/>
      <c r="C175" s="40" t="n"/>
      <c r="D175" s="41" t="n"/>
      <c r="E175" s="41" t="n"/>
      <c r="F175" s="41" t="n"/>
      <c r="G175" s="41" t="n"/>
      <c r="H175" s="42" t="n"/>
      <c r="I175" s="42" t="n"/>
      <c r="J175" s="42" t="n"/>
      <c r="K175" s="42" t="n"/>
      <c r="L175" s="41" t="n"/>
      <c r="M175" s="41" t="n"/>
      <c r="N175" s="41" t="n"/>
      <c r="O175" s="43" t="n"/>
      <c r="P175" s="43" t="n"/>
      <c r="Q175" s="44" t="str">
        <f>IF($AM175=0,"",IF(ISNUMBER($AK175),$AK175-N($AL175),""))</f>
        <v/>
      </c>
      <c r="R175" s="45" t="str">
        <f>IF(OR($Q175="",NOT(ISNUMBER($V175))),"",$AK175/$V175)</f>
        <v/>
      </c>
      <c r="S175" s="46" t="str">
        <f>IF($Q175="","",IF(AND(ISNUMBER($R175),ABS(N($R175))&lt;N(Settings!$C$8)),"Scratch",IF($Q175&gt;0,"Win",IF($Q175&lt;0,"Loss","Scratch"))))</f>
        <v/>
      </c>
      <c r="T175" s="47" t="str">
        <f>IF(OR($AM175=0,NOT(ISNUMBER($H175)),NOT(ISNUMBER($I175)),NOT(ISNUMBER($J175))),"",IF($H175=$I175,"",ROUND(ABS($J175-$H175)/ABS($H175-$I175),6)))</f>
        <v/>
      </c>
      <c r="U175" s="48" t="str">
        <f>IF(OR($S175&lt;&gt;"Win",NOT(ISNUMBER($T175)),NOT(ISNUMBER($R175))),"",MAX(0,$T175-$R175))</f>
        <v/>
      </c>
      <c r="V175" s="49" t="str">
        <f>IF(OR($AM175=0,NOT(ISNUMBER($H175)),NOT(ISNUMBER($I175)),NOT(ISNUMBER($G175))),"",IF(OR($AG175="",$AH175=""),"",IF(ROUND(ABS($H175-$I175)*ABS($G175)*$AG175*$AH175,6)=0,"",ROUND(ABS($H175-$I175)*ABS($G175)*$AG175*$AH175,6))))</f>
        <v/>
      </c>
      <c r="W175" s="50" t="str">
        <f>IF($AM175=0,"",IF($BG175="","OK",LEFT($BG175,LEN($BG175)-2)))</f>
        <v/>
      </c>
      <c r="X175" s="41" t="n"/>
      <c r="Y175" s="40" t="n"/>
      <c r="Z175" s="41" t="n"/>
      <c r="AA175" s="41" t="n"/>
      <c r="AB175" s="40" t="n"/>
      <c r="AC175" s="51" t="n"/>
      <c r="AD175" s="51" t="n"/>
      <c r="AE175" s="40" t="n"/>
      <c r="AF175" s="52" t="str">
        <f>IF($AM175=0,"",IF($D175&lt;&gt;"",$D175,IF(IFERROR(INDEX(Accounts!$C$7:$C$16,MATCH($C175,Accounts!$B$7:$B$16,0))&amp;"","")&lt;&gt;"",INDEX(Accounts!$C$7:$C$16,MATCH($C175,Accounts!$B$7:$B$16,0)),Settings!$C$6)))</f>
        <v/>
      </c>
      <c r="AG175" s="53" t="str">
        <f>IF($AM175=0,"",IF(AND($BE175&gt;0,N(INDEX(Instruments!$D$6:$D$205,MAX(1,$BE175)))&gt;0),INDEX(Instruments!$D$6:$D$205,MAX(1,$BE175)),IF(N(INDEX(Settings!$D$14:$D$18,$BF175))&gt;0,INDEX(Settings!$D$14:$D$18,$BF175),"")))</f>
        <v/>
      </c>
      <c r="AH175" s="54" t="str">
        <f>IF($AM175=0,"",IF($AF175&lt;&gt;"Forex",1,IF(MID(UPPER(SUBSTITUTE(TRIM($E175),"/","")),4,3)=UPPER(TRIM(Settings!$C$7)),1,IF(LEFT(UPPER(SUBSTITUTE(TRIM($E175),"/","")),3)=UPPER(TRIM(Settings!$C$7)),IF(AND(ISNUMBER($K175),N($K175)&lt;&gt;0),1/$K175,""),""))))</f>
        <v/>
      </c>
      <c r="AI175" s="55" t="str">
        <f>IF($AM175=0,"",IF(OR(NOT(ISNUMBER($H175)),NOT(ISNUMBER($K175)),NOT(ISNUMBER($G175)),$AG175="",$AH175=""),"",ROUND(($K175-$H175)*IF($F175="Short",-1,1)*$G175*$AG175*$AH175,6)))</f>
        <v/>
      </c>
      <c r="AJ175" s="55" t="str">
        <f>IF($AM175=0,"",IF(INDEX(Settings!$E$14:$E$18,$BF175)="% of notional",IF(OR($AG175="",NOT(ISNUMBER($H175)),NOT(ISNUMBER($G175))),"",ROUND(ABS($H175*$G175*$AG175*N($AH175))*IF($L175="Limit",N(INDEX(Settings!$G$14:$G$18,$BF175)),N(INDEX(Settings!$H$14:$H$18,$BF175)))+IF(ISNUMBER($K175),ABS($K175*$G175*$AG175*N($AH175))*IF($M175="Target",N(INDEX(Settings!$G$14:$G$18,$BF175)),N(INDEX(Settings!$H$14:$H$18,$BF175))),0),6)),IF(NOT(ISNUMBER($G175)),"",ROUND(ABS($G175)*2*IF(AND($BE175&gt;0,ISNUMBER(INDEX(Instruments!$G$6:$G$205,MAX(1,$BE175)))),INDEX(Instruments!$G$6:$G$205,MAX(1,$BE175)),N(INDEX(Settings!$F$14:$F$18,$BF175))),6))))</f>
        <v/>
      </c>
      <c r="AK175" s="55" t="str">
        <f>IF($AM175=0,"",IF(ISNUMBER($O175),$O175,$AI175))</f>
        <v/>
      </c>
      <c r="AL175" s="55" t="str">
        <f>IF($AM175=0,"",IF(ISNUMBER($P175),$P175,N($AJ175)))</f>
        <v/>
      </c>
      <c r="AM175" s="56">
        <f>IF(AND($A175&lt;&gt;"",$E175&lt;&gt;"",OR(AND(ISNUMBER($G175),ISNUMBER($H175),ISNUMBER($K175)),ISNUMBER($O175))),1,0)</f>
        <v>0</v>
      </c>
      <c r="AN175" s="57" t="str">
        <f>IF($A175="","",$A175-WEEKDAY($A175,3))</f>
        <v/>
      </c>
      <c r="AO175" s="56" t="str">
        <f>IF($A175="","",WEEKDAY($A175,2))</f>
        <v/>
      </c>
      <c r="AP175" s="55" t="str">
        <f>IF(OR($AM175=0,$C175=""),"",IFERROR(N(INDEX(Accounts!$E$7:$E$16,MATCH($C175,Accounts!$B$7:$B$16,0))),0)+SUMIFS($Q$6:$Q175,$C$6:$C175,$C175))</f>
        <v/>
      </c>
      <c r="AQ175" s="55" t="str">
        <f>IF(OR($AM175=0,$C175=""),"",SUMIFS($Q$6:$Q$1005,$C$6:$C$1005,$C175,$A$6:$A$1005,$A175))</f>
        <v/>
      </c>
      <c r="AR175" s="55" t="str">
        <f>IF(OR($AM175=0,$C175=""),"",IFERROR(N(INDEX(Accounts!$E$7:$E$16,MATCH($C175,Accounts!$B$7:$B$16,0))),0)+SUMIFS($Q$6:$Q$1005,$C$6:$C$1005,$C175,$A$6:$A$1005,"&lt;="&amp;$A175))</f>
        <v/>
      </c>
      <c r="AS175" s="56">
        <f>IF(OR($AM175=0,$Q175=""),0,IF(AND($A175&gt;=Lists!$W$6,$A175&lt;=Lists!$W$7,OR(Dashboard!$D$6="All accounts",$C175=Dashboard!$D$6),OR(Dashboard!$D$7="All markets",$AF175=Dashboard!$D$7)),1,0))</f>
        <v>0</v>
      </c>
      <c r="AT175" s="55">
        <f>IF($AS175=1,N(AT174)+$Q175,N(AT174))</f>
        <v>1187.10688</v>
      </c>
      <c r="AU175" s="55">
        <f>MAX(N(AU174),$AT175)</f>
        <v>1187.10688</v>
      </c>
      <c r="AV175" s="55">
        <f>$AT175-$AU175</f>
        <v>0</v>
      </c>
      <c r="AW175" s="56">
        <f>IF($AS175=1,IF($S175="Win",N(AW174)+1,IF($S175="Loss",0,N(AW174))),N(AW174))</f>
        <v>5</v>
      </c>
      <c r="AX175" s="56">
        <f>IF($AS175=1,IF($S175="Loss",N(AX174)+1,IF($S175="Win",0,N(AX174))),N(AX174))</f>
        <v>0</v>
      </c>
      <c r="AY175" s="56" t="str">
        <f>IF($AS175=1,COUNTIF($AS$6:$AS175,1),"")</f>
        <v/>
      </c>
      <c r="AZ175" s="56">
        <f>MIN(169,N(Lists!$W$8))</f>
        <v>28</v>
      </c>
      <c r="BA175" s="56">
        <f>IF($AS175=1,IF(COUNTIFS($A$6:$A175,$A175,$AS$6:$AS175,1)=1,1,0),0)</f>
        <v>0</v>
      </c>
      <c r="BB175" s="55" t="str">
        <f>IF($BA175=1,SUMIFS($Q$6:$Q$1005,$A$6:$A$1005,$A175,$AS$6:$AS$1005,1),"")</f>
        <v/>
      </c>
      <c r="BC175" s="56">
        <f>IF(ISNUMBER($R175),1,0)</f>
        <v>0</v>
      </c>
      <c r="BD175" s="55" t="str">
        <f>IF(ISNUMBER($U175),$U175*$V175,"")</f>
        <v/>
      </c>
      <c r="BE175" s="56" t="str">
        <f>IF($AM175=0,"",IFERROR(MATCH($AF175&amp;"|"&amp;UPPER(TRIM($E175)),Lists!$A$6:$A$205,0),0))</f>
        <v/>
      </c>
      <c r="BF175" s="56" t="str">
        <f>IF($AM175=0,"",IFERROR(MATCH($AF175,Settings!$B$14:$B$18,0),IFERROR(MATCH(Settings!$C$6,Settings!$B$14:$B$18,0),1)))</f>
        <v/>
      </c>
      <c r="BG175" s="58" t="str">
        <f>IF($AM175=0,"",IF(NOT(ISNUMBER($I175)),"No stop; ","")&amp;IF(AND(ISNUMBER($H175),ISNUMBER($I175)),IF(OR(AND($F175&lt;&gt;"Short",$I175&gt;=$H175),AND($F175="Short",$I175&lt;=$H175)),"Stop on wrong side; ",""),"")&amp;IF($F175="","No direction; ","")&amp;IF(AND(ISNUMBER(Settings!$C$22),ISNUMBER($V175)),IF($V175&gt;Settings!$C$22,"Risk over max $; ",""),"")&amp;IF(AND(ISNUMBER(Settings!$C$23),ISNUMBER($V175),ISNUMBER($AP175),IFERROR(N(INDEX(Accounts!$E$7:$E$16,MATCH($C175,Accounts!$B$7:$B$16,0))),0)&gt;0),IF($V175&gt;Settings!$C$23*($AP175-N($Q175)),"Risk over max %; ",""),"")&amp;IF(AND(ISNUMBER(Settings!$C$24),ISNUMBER($N175)),IF($N175&gt;Settings!$C$24,"Leverage over max; ",""),"")&amp;IF(AND(ISNUMBER(Settings!$C$27),ISNUMBER($T175)),IF($T175&lt;Settings!$C$27,"R:R below min; ",""),"")&amp;IF(ISNUMBER(Settings!$C$25),IF(COUNTIFS($A$6:$A175,$A175,$AM$6:$AM175,1)&gt;Settings!$C$25,"Over max trades/day; ",""),"")&amp;IF(ISNUMBER(Settings!$C$26),IF(SUMIFS($Q$5:$Q174,$A$5:$A174,$A175)&lt;=-Settings!$C$26,"Traded after daily max loss; ",""),"")&amp;IF(AND($AG175="",NOT(ISNUMBER($O175))),"Symbol not in Instruments; ","")&amp;IF(AND($AH175="",NOT(ISNUMBER($O175))),"Forex cross: type Gross P&amp;L; ",""))</f>
        <v/>
      </c>
      <c r="BH175" s="56">
        <f>IF(ISNUMBER($Q175),1,0)</f>
        <v>0</v>
      </c>
      <c r="BI175" s="56">
        <f>IF($Y175="",0,1)</f>
        <v>0</v>
      </c>
      <c r="BJ175" s="56">
        <f>IF($AB175="",0,1)</f>
        <v>0</v>
      </c>
      <c r="BK175" s="56">
        <f>IF(AND($BH175=1,$W175&lt;&gt;"OK"),1,0)</f>
        <v>0</v>
      </c>
      <c r="BL175" s="55">
        <f>IF(N($AZ175)=0,0,IFERROR(INDEX($AT$6:$AT$1005,MATCH($AZ175,$AY$6:$AY$1005,0)),0))</f>
        <v>1187.10688</v>
      </c>
      <c r="BM175" s="56">
        <f>IF(ISNUMBER(SEARCH("daily max loss",$BG175)),1,0)</f>
        <v>0</v>
      </c>
    </row>
    <row r="176" ht="18" customHeight="1">
      <c r="A176" s="38" t="n"/>
      <c r="B176" s="39" t="n"/>
      <c r="C176" s="40" t="n"/>
      <c r="D176" s="41" t="n"/>
      <c r="E176" s="41" t="n"/>
      <c r="F176" s="41" t="n"/>
      <c r="G176" s="41" t="n"/>
      <c r="H176" s="42" t="n"/>
      <c r="I176" s="42" t="n"/>
      <c r="J176" s="42" t="n"/>
      <c r="K176" s="42" t="n"/>
      <c r="L176" s="41" t="n"/>
      <c r="M176" s="41" t="n"/>
      <c r="N176" s="41" t="n"/>
      <c r="O176" s="43" t="n"/>
      <c r="P176" s="43" t="n"/>
      <c r="Q176" s="44" t="str">
        <f>IF($AM176=0,"",IF(ISNUMBER($AK176),$AK176-N($AL176),""))</f>
        <v/>
      </c>
      <c r="R176" s="45" t="str">
        <f>IF(OR($Q176="",NOT(ISNUMBER($V176))),"",$AK176/$V176)</f>
        <v/>
      </c>
      <c r="S176" s="46" t="str">
        <f>IF($Q176="","",IF(AND(ISNUMBER($R176),ABS(N($R176))&lt;N(Settings!$C$8)),"Scratch",IF($Q176&gt;0,"Win",IF($Q176&lt;0,"Loss","Scratch"))))</f>
        <v/>
      </c>
      <c r="T176" s="47" t="str">
        <f>IF(OR($AM176=0,NOT(ISNUMBER($H176)),NOT(ISNUMBER($I176)),NOT(ISNUMBER($J176))),"",IF($H176=$I176,"",ROUND(ABS($J176-$H176)/ABS($H176-$I176),6)))</f>
        <v/>
      </c>
      <c r="U176" s="48" t="str">
        <f>IF(OR($S176&lt;&gt;"Win",NOT(ISNUMBER($T176)),NOT(ISNUMBER($R176))),"",MAX(0,$T176-$R176))</f>
        <v/>
      </c>
      <c r="V176" s="49" t="str">
        <f>IF(OR($AM176=0,NOT(ISNUMBER($H176)),NOT(ISNUMBER($I176)),NOT(ISNUMBER($G176))),"",IF(OR($AG176="",$AH176=""),"",IF(ROUND(ABS($H176-$I176)*ABS($G176)*$AG176*$AH176,6)=0,"",ROUND(ABS($H176-$I176)*ABS($G176)*$AG176*$AH176,6))))</f>
        <v/>
      </c>
      <c r="W176" s="50" t="str">
        <f>IF($AM176=0,"",IF($BG176="","OK",LEFT($BG176,LEN($BG176)-2)))</f>
        <v/>
      </c>
      <c r="X176" s="41" t="n"/>
      <c r="Y176" s="40" t="n"/>
      <c r="Z176" s="41" t="n"/>
      <c r="AA176" s="41" t="n"/>
      <c r="AB176" s="40" t="n"/>
      <c r="AC176" s="51" t="n"/>
      <c r="AD176" s="51" t="n"/>
      <c r="AE176" s="40" t="n"/>
      <c r="AF176" s="52" t="str">
        <f>IF($AM176=0,"",IF($D176&lt;&gt;"",$D176,IF(IFERROR(INDEX(Accounts!$C$7:$C$16,MATCH($C176,Accounts!$B$7:$B$16,0))&amp;"","")&lt;&gt;"",INDEX(Accounts!$C$7:$C$16,MATCH($C176,Accounts!$B$7:$B$16,0)),Settings!$C$6)))</f>
        <v/>
      </c>
      <c r="AG176" s="53" t="str">
        <f>IF($AM176=0,"",IF(AND($BE176&gt;0,N(INDEX(Instruments!$D$6:$D$205,MAX(1,$BE176)))&gt;0),INDEX(Instruments!$D$6:$D$205,MAX(1,$BE176)),IF(N(INDEX(Settings!$D$14:$D$18,$BF176))&gt;0,INDEX(Settings!$D$14:$D$18,$BF176),"")))</f>
        <v/>
      </c>
      <c r="AH176" s="54" t="str">
        <f>IF($AM176=0,"",IF($AF176&lt;&gt;"Forex",1,IF(MID(UPPER(SUBSTITUTE(TRIM($E176),"/","")),4,3)=UPPER(TRIM(Settings!$C$7)),1,IF(LEFT(UPPER(SUBSTITUTE(TRIM($E176),"/","")),3)=UPPER(TRIM(Settings!$C$7)),IF(AND(ISNUMBER($K176),N($K176)&lt;&gt;0),1/$K176,""),""))))</f>
        <v/>
      </c>
      <c r="AI176" s="55" t="str">
        <f>IF($AM176=0,"",IF(OR(NOT(ISNUMBER($H176)),NOT(ISNUMBER($K176)),NOT(ISNUMBER($G176)),$AG176="",$AH176=""),"",ROUND(($K176-$H176)*IF($F176="Short",-1,1)*$G176*$AG176*$AH176,6)))</f>
        <v/>
      </c>
      <c r="AJ176" s="55" t="str">
        <f>IF($AM176=0,"",IF(INDEX(Settings!$E$14:$E$18,$BF176)="% of notional",IF(OR($AG176="",NOT(ISNUMBER($H176)),NOT(ISNUMBER($G176))),"",ROUND(ABS($H176*$G176*$AG176*N($AH176))*IF($L176="Limit",N(INDEX(Settings!$G$14:$G$18,$BF176)),N(INDEX(Settings!$H$14:$H$18,$BF176)))+IF(ISNUMBER($K176),ABS($K176*$G176*$AG176*N($AH176))*IF($M176="Target",N(INDEX(Settings!$G$14:$G$18,$BF176)),N(INDEX(Settings!$H$14:$H$18,$BF176))),0),6)),IF(NOT(ISNUMBER($G176)),"",ROUND(ABS($G176)*2*IF(AND($BE176&gt;0,ISNUMBER(INDEX(Instruments!$G$6:$G$205,MAX(1,$BE176)))),INDEX(Instruments!$G$6:$G$205,MAX(1,$BE176)),N(INDEX(Settings!$F$14:$F$18,$BF176))),6))))</f>
        <v/>
      </c>
      <c r="AK176" s="55" t="str">
        <f>IF($AM176=0,"",IF(ISNUMBER($O176),$O176,$AI176))</f>
        <v/>
      </c>
      <c r="AL176" s="55" t="str">
        <f>IF($AM176=0,"",IF(ISNUMBER($P176),$P176,N($AJ176)))</f>
        <v/>
      </c>
      <c r="AM176" s="56">
        <f>IF(AND($A176&lt;&gt;"",$E176&lt;&gt;"",OR(AND(ISNUMBER($G176),ISNUMBER($H176),ISNUMBER($K176)),ISNUMBER($O176))),1,0)</f>
        <v>0</v>
      </c>
      <c r="AN176" s="57" t="str">
        <f>IF($A176="","",$A176-WEEKDAY($A176,3))</f>
        <v/>
      </c>
      <c r="AO176" s="56" t="str">
        <f>IF($A176="","",WEEKDAY($A176,2))</f>
        <v/>
      </c>
      <c r="AP176" s="55" t="str">
        <f>IF(OR($AM176=0,$C176=""),"",IFERROR(N(INDEX(Accounts!$E$7:$E$16,MATCH($C176,Accounts!$B$7:$B$16,0))),0)+SUMIFS($Q$6:$Q176,$C$6:$C176,$C176))</f>
        <v/>
      </c>
      <c r="AQ176" s="55" t="str">
        <f>IF(OR($AM176=0,$C176=""),"",SUMIFS($Q$6:$Q$1005,$C$6:$C$1005,$C176,$A$6:$A$1005,$A176))</f>
        <v/>
      </c>
      <c r="AR176" s="55" t="str">
        <f>IF(OR($AM176=0,$C176=""),"",IFERROR(N(INDEX(Accounts!$E$7:$E$16,MATCH($C176,Accounts!$B$7:$B$16,0))),0)+SUMIFS($Q$6:$Q$1005,$C$6:$C$1005,$C176,$A$6:$A$1005,"&lt;="&amp;$A176))</f>
        <v/>
      </c>
      <c r="AS176" s="56">
        <f>IF(OR($AM176=0,$Q176=""),0,IF(AND($A176&gt;=Lists!$W$6,$A176&lt;=Lists!$W$7,OR(Dashboard!$D$6="All accounts",$C176=Dashboard!$D$6),OR(Dashboard!$D$7="All markets",$AF176=Dashboard!$D$7)),1,0))</f>
        <v>0</v>
      </c>
      <c r="AT176" s="55">
        <f>IF($AS176=1,N(AT175)+$Q176,N(AT175))</f>
        <v>1187.10688</v>
      </c>
      <c r="AU176" s="55">
        <f>MAX(N(AU175),$AT176)</f>
        <v>1187.10688</v>
      </c>
      <c r="AV176" s="55">
        <f>$AT176-$AU176</f>
        <v>0</v>
      </c>
      <c r="AW176" s="56">
        <f>IF($AS176=1,IF($S176="Win",N(AW175)+1,IF($S176="Loss",0,N(AW175))),N(AW175))</f>
        <v>5</v>
      </c>
      <c r="AX176" s="56">
        <f>IF($AS176=1,IF($S176="Loss",N(AX175)+1,IF($S176="Win",0,N(AX175))),N(AX175))</f>
        <v>0</v>
      </c>
      <c r="AY176" s="56" t="str">
        <f>IF($AS176=1,COUNTIF($AS$6:$AS176,1),"")</f>
        <v/>
      </c>
      <c r="AZ176" s="56">
        <f>MIN(170,N(Lists!$W$8))</f>
        <v>28</v>
      </c>
      <c r="BA176" s="56">
        <f>IF($AS176=1,IF(COUNTIFS($A$6:$A176,$A176,$AS$6:$AS176,1)=1,1,0),0)</f>
        <v>0</v>
      </c>
      <c r="BB176" s="55" t="str">
        <f>IF($BA176=1,SUMIFS($Q$6:$Q$1005,$A$6:$A$1005,$A176,$AS$6:$AS$1005,1),"")</f>
        <v/>
      </c>
      <c r="BC176" s="56">
        <f>IF(ISNUMBER($R176),1,0)</f>
        <v>0</v>
      </c>
      <c r="BD176" s="55" t="str">
        <f>IF(ISNUMBER($U176),$U176*$V176,"")</f>
        <v/>
      </c>
      <c r="BE176" s="56" t="str">
        <f>IF($AM176=0,"",IFERROR(MATCH($AF176&amp;"|"&amp;UPPER(TRIM($E176)),Lists!$A$6:$A$205,0),0))</f>
        <v/>
      </c>
      <c r="BF176" s="56" t="str">
        <f>IF($AM176=0,"",IFERROR(MATCH($AF176,Settings!$B$14:$B$18,0),IFERROR(MATCH(Settings!$C$6,Settings!$B$14:$B$18,0),1)))</f>
        <v/>
      </c>
      <c r="BG176" s="58" t="str">
        <f>IF($AM176=0,"",IF(NOT(ISNUMBER($I176)),"No stop; ","")&amp;IF(AND(ISNUMBER($H176),ISNUMBER($I176)),IF(OR(AND($F176&lt;&gt;"Short",$I176&gt;=$H176),AND($F176="Short",$I176&lt;=$H176)),"Stop on wrong side; ",""),"")&amp;IF($F176="","No direction; ","")&amp;IF(AND(ISNUMBER(Settings!$C$22),ISNUMBER($V176)),IF($V176&gt;Settings!$C$22,"Risk over max $; ",""),"")&amp;IF(AND(ISNUMBER(Settings!$C$23),ISNUMBER($V176),ISNUMBER($AP176),IFERROR(N(INDEX(Accounts!$E$7:$E$16,MATCH($C176,Accounts!$B$7:$B$16,0))),0)&gt;0),IF($V176&gt;Settings!$C$23*($AP176-N($Q176)),"Risk over max %; ",""),"")&amp;IF(AND(ISNUMBER(Settings!$C$24),ISNUMBER($N176)),IF($N176&gt;Settings!$C$24,"Leverage over max; ",""),"")&amp;IF(AND(ISNUMBER(Settings!$C$27),ISNUMBER($T176)),IF($T176&lt;Settings!$C$27,"R:R below min; ",""),"")&amp;IF(ISNUMBER(Settings!$C$25),IF(COUNTIFS($A$6:$A176,$A176,$AM$6:$AM176,1)&gt;Settings!$C$25,"Over max trades/day; ",""),"")&amp;IF(ISNUMBER(Settings!$C$26),IF(SUMIFS($Q$5:$Q175,$A$5:$A175,$A176)&lt;=-Settings!$C$26,"Traded after daily max loss; ",""),"")&amp;IF(AND($AG176="",NOT(ISNUMBER($O176))),"Symbol not in Instruments; ","")&amp;IF(AND($AH176="",NOT(ISNUMBER($O176))),"Forex cross: type Gross P&amp;L; ",""))</f>
        <v/>
      </c>
      <c r="BH176" s="56">
        <f>IF(ISNUMBER($Q176),1,0)</f>
        <v>0</v>
      </c>
      <c r="BI176" s="56">
        <f>IF($Y176="",0,1)</f>
        <v>0</v>
      </c>
      <c r="BJ176" s="56">
        <f>IF($AB176="",0,1)</f>
        <v>0</v>
      </c>
      <c r="BK176" s="56">
        <f>IF(AND($BH176=1,$W176&lt;&gt;"OK"),1,0)</f>
        <v>0</v>
      </c>
      <c r="BL176" s="55">
        <f>IF(N($AZ176)=0,0,IFERROR(INDEX($AT$6:$AT$1005,MATCH($AZ176,$AY$6:$AY$1005,0)),0))</f>
        <v>1187.10688</v>
      </c>
      <c r="BM176" s="56">
        <f>IF(ISNUMBER(SEARCH("daily max loss",$BG176)),1,0)</f>
        <v>0</v>
      </c>
    </row>
    <row r="177" ht="18" customHeight="1">
      <c r="A177" s="38" t="n"/>
      <c r="B177" s="39" t="n"/>
      <c r="C177" s="40" t="n"/>
      <c r="D177" s="41" t="n"/>
      <c r="E177" s="41" t="n"/>
      <c r="F177" s="41" t="n"/>
      <c r="G177" s="41" t="n"/>
      <c r="H177" s="42" t="n"/>
      <c r="I177" s="42" t="n"/>
      <c r="J177" s="42" t="n"/>
      <c r="K177" s="42" t="n"/>
      <c r="L177" s="41" t="n"/>
      <c r="M177" s="41" t="n"/>
      <c r="N177" s="41" t="n"/>
      <c r="O177" s="43" t="n"/>
      <c r="P177" s="43" t="n"/>
      <c r="Q177" s="44" t="str">
        <f>IF($AM177=0,"",IF(ISNUMBER($AK177),$AK177-N($AL177),""))</f>
        <v/>
      </c>
      <c r="R177" s="45" t="str">
        <f>IF(OR($Q177="",NOT(ISNUMBER($V177))),"",$AK177/$V177)</f>
        <v/>
      </c>
      <c r="S177" s="46" t="str">
        <f>IF($Q177="","",IF(AND(ISNUMBER($R177),ABS(N($R177))&lt;N(Settings!$C$8)),"Scratch",IF($Q177&gt;0,"Win",IF($Q177&lt;0,"Loss","Scratch"))))</f>
        <v/>
      </c>
      <c r="T177" s="47" t="str">
        <f>IF(OR($AM177=0,NOT(ISNUMBER($H177)),NOT(ISNUMBER($I177)),NOT(ISNUMBER($J177))),"",IF($H177=$I177,"",ROUND(ABS($J177-$H177)/ABS($H177-$I177),6)))</f>
        <v/>
      </c>
      <c r="U177" s="48" t="str">
        <f>IF(OR($S177&lt;&gt;"Win",NOT(ISNUMBER($T177)),NOT(ISNUMBER($R177))),"",MAX(0,$T177-$R177))</f>
        <v/>
      </c>
      <c r="V177" s="49" t="str">
        <f>IF(OR($AM177=0,NOT(ISNUMBER($H177)),NOT(ISNUMBER($I177)),NOT(ISNUMBER($G177))),"",IF(OR($AG177="",$AH177=""),"",IF(ROUND(ABS($H177-$I177)*ABS($G177)*$AG177*$AH177,6)=0,"",ROUND(ABS($H177-$I177)*ABS($G177)*$AG177*$AH177,6))))</f>
        <v/>
      </c>
      <c r="W177" s="50" t="str">
        <f>IF($AM177=0,"",IF($BG177="","OK",LEFT($BG177,LEN($BG177)-2)))</f>
        <v/>
      </c>
      <c r="X177" s="41" t="n"/>
      <c r="Y177" s="40" t="n"/>
      <c r="Z177" s="41" t="n"/>
      <c r="AA177" s="41" t="n"/>
      <c r="AB177" s="40" t="n"/>
      <c r="AC177" s="51" t="n"/>
      <c r="AD177" s="51" t="n"/>
      <c r="AE177" s="40" t="n"/>
      <c r="AF177" s="52" t="str">
        <f>IF($AM177=0,"",IF($D177&lt;&gt;"",$D177,IF(IFERROR(INDEX(Accounts!$C$7:$C$16,MATCH($C177,Accounts!$B$7:$B$16,0))&amp;"","")&lt;&gt;"",INDEX(Accounts!$C$7:$C$16,MATCH($C177,Accounts!$B$7:$B$16,0)),Settings!$C$6)))</f>
        <v/>
      </c>
      <c r="AG177" s="53" t="str">
        <f>IF($AM177=0,"",IF(AND($BE177&gt;0,N(INDEX(Instruments!$D$6:$D$205,MAX(1,$BE177)))&gt;0),INDEX(Instruments!$D$6:$D$205,MAX(1,$BE177)),IF(N(INDEX(Settings!$D$14:$D$18,$BF177))&gt;0,INDEX(Settings!$D$14:$D$18,$BF177),"")))</f>
        <v/>
      </c>
      <c r="AH177" s="54" t="str">
        <f>IF($AM177=0,"",IF($AF177&lt;&gt;"Forex",1,IF(MID(UPPER(SUBSTITUTE(TRIM($E177),"/","")),4,3)=UPPER(TRIM(Settings!$C$7)),1,IF(LEFT(UPPER(SUBSTITUTE(TRIM($E177),"/","")),3)=UPPER(TRIM(Settings!$C$7)),IF(AND(ISNUMBER($K177),N($K177)&lt;&gt;0),1/$K177,""),""))))</f>
        <v/>
      </c>
      <c r="AI177" s="55" t="str">
        <f>IF($AM177=0,"",IF(OR(NOT(ISNUMBER($H177)),NOT(ISNUMBER($K177)),NOT(ISNUMBER($G177)),$AG177="",$AH177=""),"",ROUND(($K177-$H177)*IF($F177="Short",-1,1)*$G177*$AG177*$AH177,6)))</f>
        <v/>
      </c>
      <c r="AJ177" s="55" t="str">
        <f>IF($AM177=0,"",IF(INDEX(Settings!$E$14:$E$18,$BF177)="% of notional",IF(OR($AG177="",NOT(ISNUMBER($H177)),NOT(ISNUMBER($G177))),"",ROUND(ABS($H177*$G177*$AG177*N($AH177))*IF($L177="Limit",N(INDEX(Settings!$G$14:$G$18,$BF177)),N(INDEX(Settings!$H$14:$H$18,$BF177)))+IF(ISNUMBER($K177),ABS($K177*$G177*$AG177*N($AH177))*IF($M177="Target",N(INDEX(Settings!$G$14:$G$18,$BF177)),N(INDEX(Settings!$H$14:$H$18,$BF177))),0),6)),IF(NOT(ISNUMBER($G177)),"",ROUND(ABS($G177)*2*IF(AND($BE177&gt;0,ISNUMBER(INDEX(Instruments!$G$6:$G$205,MAX(1,$BE177)))),INDEX(Instruments!$G$6:$G$205,MAX(1,$BE177)),N(INDEX(Settings!$F$14:$F$18,$BF177))),6))))</f>
        <v/>
      </c>
      <c r="AK177" s="55" t="str">
        <f>IF($AM177=0,"",IF(ISNUMBER($O177),$O177,$AI177))</f>
        <v/>
      </c>
      <c r="AL177" s="55" t="str">
        <f>IF($AM177=0,"",IF(ISNUMBER($P177),$P177,N($AJ177)))</f>
        <v/>
      </c>
      <c r="AM177" s="56">
        <f>IF(AND($A177&lt;&gt;"",$E177&lt;&gt;"",OR(AND(ISNUMBER($G177),ISNUMBER($H177),ISNUMBER($K177)),ISNUMBER($O177))),1,0)</f>
        <v>0</v>
      </c>
      <c r="AN177" s="57" t="str">
        <f>IF($A177="","",$A177-WEEKDAY($A177,3))</f>
        <v/>
      </c>
      <c r="AO177" s="56" t="str">
        <f>IF($A177="","",WEEKDAY($A177,2))</f>
        <v/>
      </c>
      <c r="AP177" s="55" t="str">
        <f>IF(OR($AM177=0,$C177=""),"",IFERROR(N(INDEX(Accounts!$E$7:$E$16,MATCH($C177,Accounts!$B$7:$B$16,0))),0)+SUMIFS($Q$6:$Q177,$C$6:$C177,$C177))</f>
        <v/>
      </c>
      <c r="AQ177" s="55" t="str">
        <f>IF(OR($AM177=0,$C177=""),"",SUMIFS($Q$6:$Q$1005,$C$6:$C$1005,$C177,$A$6:$A$1005,$A177))</f>
        <v/>
      </c>
      <c r="AR177" s="55" t="str">
        <f>IF(OR($AM177=0,$C177=""),"",IFERROR(N(INDEX(Accounts!$E$7:$E$16,MATCH($C177,Accounts!$B$7:$B$16,0))),0)+SUMIFS($Q$6:$Q$1005,$C$6:$C$1005,$C177,$A$6:$A$1005,"&lt;="&amp;$A177))</f>
        <v/>
      </c>
      <c r="AS177" s="56">
        <f>IF(OR($AM177=0,$Q177=""),0,IF(AND($A177&gt;=Lists!$W$6,$A177&lt;=Lists!$W$7,OR(Dashboard!$D$6="All accounts",$C177=Dashboard!$D$6),OR(Dashboard!$D$7="All markets",$AF177=Dashboard!$D$7)),1,0))</f>
        <v>0</v>
      </c>
      <c r="AT177" s="55">
        <f>IF($AS177=1,N(AT176)+$Q177,N(AT176))</f>
        <v>1187.10688</v>
      </c>
      <c r="AU177" s="55">
        <f>MAX(N(AU176),$AT177)</f>
        <v>1187.10688</v>
      </c>
      <c r="AV177" s="55">
        <f>$AT177-$AU177</f>
        <v>0</v>
      </c>
      <c r="AW177" s="56">
        <f>IF($AS177=1,IF($S177="Win",N(AW176)+1,IF($S177="Loss",0,N(AW176))),N(AW176))</f>
        <v>5</v>
      </c>
      <c r="AX177" s="56">
        <f>IF($AS177=1,IF($S177="Loss",N(AX176)+1,IF($S177="Win",0,N(AX176))),N(AX176))</f>
        <v>0</v>
      </c>
      <c r="AY177" s="56" t="str">
        <f>IF($AS177=1,COUNTIF($AS$6:$AS177,1),"")</f>
        <v/>
      </c>
      <c r="AZ177" s="56">
        <f>MIN(171,N(Lists!$W$8))</f>
        <v>28</v>
      </c>
      <c r="BA177" s="56">
        <f>IF($AS177=1,IF(COUNTIFS($A$6:$A177,$A177,$AS$6:$AS177,1)=1,1,0),0)</f>
        <v>0</v>
      </c>
      <c r="BB177" s="55" t="str">
        <f>IF($BA177=1,SUMIFS($Q$6:$Q$1005,$A$6:$A$1005,$A177,$AS$6:$AS$1005,1),"")</f>
        <v/>
      </c>
      <c r="BC177" s="56">
        <f>IF(ISNUMBER($R177),1,0)</f>
        <v>0</v>
      </c>
      <c r="BD177" s="55" t="str">
        <f>IF(ISNUMBER($U177),$U177*$V177,"")</f>
        <v/>
      </c>
      <c r="BE177" s="56" t="str">
        <f>IF($AM177=0,"",IFERROR(MATCH($AF177&amp;"|"&amp;UPPER(TRIM($E177)),Lists!$A$6:$A$205,0),0))</f>
        <v/>
      </c>
      <c r="BF177" s="56" t="str">
        <f>IF($AM177=0,"",IFERROR(MATCH($AF177,Settings!$B$14:$B$18,0),IFERROR(MATCH(Settings!$C$6,Settings!$B$14:$B$18,0),1)))</f>
        <v/>
      </c>
      <c r="BG177" s="58" t="str">
        <f>IF($AM177=0,"",IF(NOT(ISNUMBER($I177)),"No stop; ","")&amp;IF(AND(ISNUMBER($H177),ISNUMBER($I177)),IF(OR(AND($F177&lt;&gt;"Short",$I177&gt;=$H177),AND($F177="Short",$I177&lt;=$H177)),"Stop on wrong side; ",""),"")&amp;IF($F177="","No direction; ","")&amp;IF(AND(ISNUMBER(Settings!$C$22),ISNUMBER($V177)),IF($V177&gt;Settings!$C$22,"Risk over max $; ",""),"")&amp;IF(AND(ISNUMBER(Settings!$C$23),ISNUMBER($V177),ISNUMBER($AP177),IFERROR(N(INDEX(Accounts!$E$7:$E$16,MATCH($C177,Accounts!$B$7:$B$16,0))),0)&gt;0),IF($V177&gt;Settings!$C$23*($AP177-N($Q177)),"Risk over max %; ",""),"")&amp;IF(AND(ISNUMBER(Settings!$C$24),ISNUMBER($N177)),IF($N177&gt;Settings!$C$24,"Leverage over max; ",""),"")&amp;IF(AND(ISNUMBER(Settings!$C$27),ISNUMBER($T177)),IF($T177&lt;Settings!$C$27,"R:R below min; ",""),"")&amp;IF(ISNUMBER(Settings!$C$25),IF(COUNTIFS($A$6:$A177,$A177,$AM$6:$AM177,1)&gt;Settings!$C$25,"Over max trades/day; ",""),"")&amp;IF(ISNUMBER(Settings!$C$26),IF(SUMIFS($Q$5:$Q176,$A$5:$A176,$A177)&lt;=-Settings!$C$26,"Traded after daily max loss; ",""),"")&amp;IF(AND($AG177="",NOT(ISNUMBER($O177))),"Symbol not in Instruments; ","")&amp;IF(AND($AH177="",NOT(ISNUMBER($O177))),"Forex cross: type Gross P&amp;L; ",""))</f>
        <v/>
      </c>
      <c r="BH177" s="56">
        <f>IF(ISNUMBER($Q177),1,0)</f>
        <v>0</v>
      </c>
      <c r="BI177" s="56">
        <f>IF($Y177="",0,1)</f>
        <v>0</v>
      </c>
      <c r="BJ177" s="56">
        <f>IF($AB177="",0,1)</f>
        <v>0</v>
      </c>
      <c r="BK177" s="56">
        <f>IF(AND($BH177=1,$W177&lt;&gt;"OK"),1,0)</f>
        <v>0</v>
      </c>
      <c r="BL177" s="55">
        <f>IF(N($AZ177)=0,0,IFERROR(INDEX($AT$6:$AT$1005,MATCH($AZ177,$AY$6:$AY$1005,0)),0))</f>
        <v>1187.10688</v>
      </c>
      <c r="BM177" s="56">
        <f>IF(ISNUMBER(SEARCH("daily max loss",$BG177)),1,0)</f>
        <v>0</v>
      </c>
    </row>
    <row r="178" ht="18" customHeight="1">
      <c r="A178" s="38" t="n"/>
      <c r="B178" s="39" t="n"/>
      <c r="C178" s="40" t="n"/>
      <c r="D178" s="41" t="n"/>
      <c r="E178" s="41" t="n"/>
      <c r="F178" s="41" t="n"/>
      <c r="G178" s="41" t="n"/>
      <c r="H178" s="42" t="n"/>
      <c r="I178" s="42" t="n"/>
      <c r="J178" s="42" t="n"/>
      <c r="K178" s="42" t="n"/>
      <c r="L178" s="41" t="n"/>
      <c r="M178" s="41" t="n"/>
      <c r="N178" s="41" t="n"/>
      <c r="O178" s="43" t="n"/>
      <c r="P178" s="43" t="n"/>
      <c r="Q178" s="44" t="str">
        <f>IF($AM178=0,"",IF(ISNUMBER($AK178),$AK178-N($AL178),""))</f>
        <v/>
      </c>
      <c r="R178" s="45" t="str">
        <f>IF(OR($Q178="",NOT(ISNUMBER($V178))),"",$AK178/$V178)</f>
        <v/>
      </c>
      <c r="S178" s="46" t="str">
        <f>IF($Q178="","",IF(AND(ISNUMBER($R178),ABS(N($R178))&lt;N(Settings!$C$8)),"Scratch",IF($Q178&gt;0,"Win",IF($Q178&lt;0,"Loss","Scratch"))))</f>
        <v/>
      </c>
      <c r="T178" s="47" t="str">
        <f>IF(OR($AM178=0,NOT(ISNUMBER($H178)),NOT(ISNUMBER($I178)),NOT(ISNUMBER($J178))),"",IF($H178=$I178,"",ROUND(ABS($J178-$H178)/ABS($H178-$I178),6)))</f>
        <v/>
      </c>
      <c r="U178" s="48" t="str">
        <f>IF(OR($S178&lt;&gt;"Win",NOT(ISNUMBER($T178)),NOT(ISNUMBER($R178))),"",MAX(0,$T178-$R178))</f>
        <v/>
      </c>
      <c r="V178" s="49" t="str">
        <f>IF(OR($AM178=0,NOT(ISNUMBER($H178)),NOT(ISNUMBER($I178)),NOT(ISNUMBER($G178))),"",IF(OR($AG178="",$AH178=""),"",IF(ROUND(ABS($H178-$I178)*ABS($G178)*$AG178*$AH178,6)=0,"",ROUND(ABS($H178-$I178)*ABS($G178)*$AG178*$AH178,6))))</f>
        <v/>
      </c>
      <c r="W178" s="50" t="str">
        <f>IF($AM178=0,"",IF($BG178="","OK",LEFT($BG178,LEN($BG178)-2)))</f>
        <v/>
      </c>
      <c r="X178" s="41" t="n"/>
      <c r="Y178" s="40" t="n"/>
      <c r="Z178" s="41" t="n"/>
      <c r="AA178" s="41" t="n"/>
      <c r="AB178" s="40" t="n"/>
      <c r="AC178" s="51" t="n"/>
      <c r="AD178" s="51" t="n"/>
      <c r="AE178" s="40" t="n"/>
      <c r="AF178" s="52" t="str">
        <f>IF($AM178=0,"",IF($D178&lt;&gt;"",$D178,IF(IFERROR(INDEX(Accounts!$C$7:$C$16,MATCH($C178,Accounts!$B$7:$B$16,0))&amp;"","")&lt;&gt;"",INDEX(Accounts!$C$7:$C$16,MATCH($C178,Accounts!$B$7:$B$16,0)),Settings!$C$6)))</f>
        <v/>
      </c>
      <c r="AG178" s="53" t="str">
        <f>IF($AM178=0,"",IF(AND($BE178&gt;0,N(INDEX(Instruments!$D$6:$D$205,MAX(1,$BE178)))&gt;0),INDEX(Instruments!$D$6:$D$205,MAX(1,$BE178)),IF(N(INDEX(Settings!$D$14:$D$18,$BF178))&gt;0,INDEX(Settings!$D$14:$D$18,$BF178),"")))</f>
        <v/>
      </c>
      <c r="AH178" s="54" t="str">
        <f>IF($AM178=0,"",IF($AF178&lt;&gt;"Forex",1,IF(MID(UPPER(SUBSTITUTE(TRIM($E178),"/","")),4,3)=UPPER(TRIM(Settings!$C$7)),1,IF(LEFT(UPPER(SUBSTITUTE(TRIM($E178),"/","")),3)=UPPER(TRIM(Settings!$C$7)),IF(AND(ISNUMBER($K178),N($K178)&lt;&gt;0),1/$K178,""),""))))</f>
        <v/>
      </c>
      <c r="AI178" s="55" t="str">
        <f>IF($AM178=0,"",IF(OR(NOT(ISNUMBER($H178)),NOT(ISNUMBER($K178)),NOT(ISNUMBER($G178)),$AG178="",$AH178=""),"",ROUND(($K178-$H178)*IF($F178="Short",-1,1)*$G178*$AG178*$AH178,6)))</f>
        <v/>
      </c>
      <c r="AJ178" s="55" t="str">
        <f>IF($AM178=0,"",IF(INDEX(Settings!$E$14:$E$18,$BF178)="% of notional",IF(OR($AG178="",NOT(ISNUMBER($H178)),NOT(ISNUMBER($G178))),"",ROUND(ABS($H178*$G178*$AG178*N($AH178))*IF($L178="Limit",N(INDEX(Settings!$G$14:$G$18,$BF178)),N(INDEX(Settings!$H$14:$H$18,$BF178)))+IF(ISNUMBER($K178),ABS($K178*$G178*$AG178*N($AH178))*IF($M178="Target",N(INDEX(Settings!$G$14:$G$18,$BF178)),N(INDEX(Settings!$H$14:$H$18,$BF178))),0),6)),IF(NOT(ISNUMBER($G178)),"",ROUND(ABS($G178)*2*IF(AND($BE178&gt;0,ISNUMBER(INDEX(Instruments!$G$6:$G$205,MAX(1,$BE178)))),INDEX(Instruments!$G$6:$G$205,MAX(1,$BE178)),N(INDEX(Settings!$F$14:$F$18,$BF178))),6))))</f>
        <v/>
      </c>
      <c r="AK178" s="55" t="str">
        <f>IF($AM178=0,"",IF(ISNUMBER($O178),$O178,$AI178))</f>
        <v/>
      </c>
      <c r="AL178" s="55" t="str">
        <f>IF($AM178=0,"",IF(ISNUMBER($P178),$P178,N($AJ178)))</f>
        <v/>
      </c>
      <c r="AM178" s="56">
        <f>IF(AND($A178&lt;&gt;"",$E178&lt;&gt;"",OR(AND(ISNUMBER($G178),ISNUMBER($H178),ISNUMBER($K178)),ISNUMBER($O178))),1,0)</f>
        <v>0</v>
      </c>
      <c r="AN178" s="57" t="str">
        <f>IF($A178="","",$A178-WEEKDAY($A178,3))</f>
        <v/>
      </c>
      <c r="AO178" s="56" t="str">
        <f>IF($A178="","",WEEKDAY($A178,2))</f>
        <v/>
      </c>
      <c r="AP178" s="55" t="str">
        <f>IF(OR($AM178=0,$C178=""),"",IFERROR(N(INDEX(Accounts!$E$7:$E$16,MATCH($C178,Accounts!$B$7:$B$16,0))),0)+SUMIFS($Q$6:$Q178,$C$6:$C178,$C178))</f>
        <v/>
      </c>
      <c r="AQ178" s="55" t="str">
        <f>IF(OR($AM178=0,$C178=""),"",SUMIFS($Q$6:$Q$1005,$C$6:$C$1005,$C178,$A$6:$A$1005,$A178))</f>
        <v/>
      </c>
      <c r="AR178" s="55" t="str">
        <f>IF(OR($AM178=0,$C178=""),"",IFERROR(N(INDEX(Accounts!$E$7:$E$16,MATCH($C178,Accounts!$B$7:$B$16,0))),0)+SUMIFS($Q$6:$Q$1005,$C$6:$C$1005,$C178,$A$6:$A$1005,"&lt;="&amp;$A178))</f>
        <v/>
      </c>
      <c r="AS178" s="56">
        <f>IF(OR($AM178=0,$Q178=""),0,IF(AND($A178&gt;=Lists!$W$6,$A178&lt;=Lists!$W$7,OR(Dashboard!$D$6="All accounts",$C178=Dashboard!$D$6),OR(Dashboard!$D$7="All markets",$AF178=Dashboard!$D$7)),1,0))</f>
        <v>0</v>
      </c>
      <c r="AT178" s="55">
        <f>IF($AS178=1,N(AT177)+$Q178,N(AT177))</f>
        <v>1187.10688</v>
      </c>
      <c r="AU178" s="55">
        <f>MAX(N(AU177),$AT178)</f>
        <v>1187.10688</v>
      </c>
      <c r="AV178" s="55">
        <f>$AT178-$AU178</f>
        <v>0</v>
      </c>
      <c r="AW178" s="56">
        <f>IF($AS178=1,IF($S178="Win",N(AW177)+1,IF($S178="Loss",0,N(AW177))),N(AW177))</f>
        <v>5</v>
      </c>
      <c r="AX178" s="56">
        <f>IF($AS178=1,IF($S178="Loss",N(AX177)+1,IF($S178="Win",0,N(AX177))),N(AX177))</f>
        <v>0</v>
      </c>
      <c r="AY178" s="56" t="str">
        <f>IF($AS178=1,COUNTIF($AS$6:$AS178,1),"")</f>
        <v/>
      </c>
      <c r="AZ178" s="56">
        <f>MIN(172,N(Lists!$W$8))</f>
        <v>28</v>
      </c>
      <c r="BA178" s="56">
        <f>IF($AS178=1,IF(COUNTIFS($A$6:$A178,$A178,$AS$6:$AS178,1)=1,1,0),0)</f>
        <v>0</v>
      </c>
      <c r="BB178" s="55" t="str">
        <f>IF($BA178=1,SUMIFS($Q$6:$Q$1005,$A$6:$A$1005,$A178,$AS$6:$AS$1005,1),"")</f>
        <v/>
      </c>
      <c r="BC178" s="56">
        <f>IF(ISNUMBER($R178),1,0)</f>
        <v>0</v>
      </c>
      <c r="BD178" s="55" t="str">
        <f>IF(ISNUMBER($U178),$U178*$V178,"")</f>
        <v/>
      </c>
      <c r="BE178" s="56" t="str">
        <f>IF($AM178=0,"",IFERROR(MATCH($AF178&amp;"|"&amp;UPPER(TRIM($E178)),Lists!$A$6:$A$205,0),0))</f>
        <v/>
      </c>
      <c r="BF178" s="56" t="str">
        <f>IF($AM178=0,"",IFERROR(MATCH($AF178,Settings!$B$14:$B$18,0),IFERROR(MATCH(Settings!$C$6,Settings!$B$14:$B$18,0),1)))</f>
        <v/>
      </c>
      <c r="BG178" s="58" t="str">
        <f>IF($AM178=0,"",IF(NOT(ISNUMBER($I178)),"No stop; ","")&amp;IF(AND(ISNUMBER($H178),ISNUMBER($I178)),IF(OR(AND($F178&lt;&gt;"Short",$I178&gt;=$H178),AND($F178="Short",$I178&lt;=$H178)),"Stop on wrong side; ",""),"")&amp;IF($F178="","No direction; ","")&amp;IF(AND(ISNUMBER(Settings!$C$22),ISNUMBER($V178)),IF($V178&gt;Settings!$C$22,"Risk over max $; ",""),"")&amp;IF(AND(ISNUMBER(Settings!$C$23),ISNUMBER($V178),ISNUMBER($AP178),IFERROR(N(INDEX(Accounts!$E$7:$E$16,MATCH($C178,Accounts!$B$7:$B$16,0))),0)&gt;0),IF($V178&gt;Settings!$C$23*($AP178-N($Q178)),"Risk over max %; ",""),"")&amp;IF(AND(ISNUMBER(Settings!$C$24),ISNUMBER($N178)),IF($N178&gt;Settings!$C$24,"Leverage over max; ",""),"")&amp;IF(AND(ISNUMBER(Settings!$C$27),ISNUMBER($T178)),IF($T178&lt;Settings!$C$27,"R:R below min; ",""),"")&amp;IF(ISNUMBER(Settings!$C$25),IF(COUNTIFS($A$6:$A178,$A178,$AM$6:$AM178,1)&gt;Settings!$C$25,"Over max trades/day; ",""),"")&amp;IF(ISNUMBER(Settings!$C$26),IF(SUMIFS($Q$5:$Q177,$A$5:$A177,$A178)&lt;=-Settings!$C$26,"Traded after daily max loss; ",""),"")&amp;IF(AND($AG178="",NOT(ISNUMBER($O178))),"Symbol not in Instruments; ","")&amp;IF(AND($AH178="",NOT(ISNUMBER($O178))),"Forex cross: type Gross P&amp;L; ",""))</f>
        <v/>
      </c>
      <c r="BH178" s="56">
        <f>IF(ISNUMBER($Q178),1,0)</f>
        <v>0</v>
      </c>
      <c r="BI178" s="56">
        <f>IF($Y178="",0,1)</f>
        <v>0</v>
      </c>
      <c r="BJ178" s="56">
        <f>IF($AB178="",0,1)</f>
        <v>0</v>
      </c>
      <c r="BK178" s="56">
        <f>IF(AND($BH178=1,$W178&lt;&gt;"OK"),1,0)</f>
        <v>0</v>
      </c>
      <c r="BL178" s="55">
        <f>IF(N($AZ178)=0,0,IFERROR(INDEX($AT$6:$AT$1005,MATCH($AZ178,$AY$6:$AY$1005,0)),0))</f>
        <v>1187.10688</v>
      </c>
      <c r="BM178" s="56">
        <f>IF(ISNUMBER(SEARCH("daily max loss",$BG178)),1,0)</f>
        <v>0</v>
      </c>
    </row>
    <row r="179" ht="18" customHeight="1">
      <c r="A179" s="38" t="n"/>
      <c r="B179" s="39" t="n"/>
      <c r="C179" s="40" t="n"/>
      <c r="D179" s="41" t="n"/>
      <c r="E179" s="41" t="n"/>
      <c r="F179" s="41" t="n"/>
      <c r="G179" s="41" t="n"/>
      <c r="H179" s="42" t="n"/>
      <c r="I179" s="42" t="n"/>
      <c r="J179" s="42" t="n"/>
      <c r="K179" s="42" t="n"/>
      <c r="L179" s="41" t="n"/>
      <c r="M179" s="41" t="n"/>
      <c r="N179" s="41" t="n"/>
      <c r="O179" s="43" t="n"/>
      <c r="P179" s="43" t="n"/>
      <c r="Q179" s="44" t="str">
        <f>IF($AM179=0,"",IF(ISNUMBER($AK179),$AK179-N($AL179),""))</f>
        <v/>
      </c>
      <c r="R179" s="45" t="str">
        <f>IF(OR($Q179="",NOT(ISNUMBER($V179))),"",$AK179/$V179)</f>
        <v/>
      </c>
      <c r="S179" s="46" t="str">
        <f>IF($Q179="","",IF(AND(ISNUMBER($R179),ABS(N($R179))&lt;N(Settings!$C$8)),"Scratch",IF($Q179&gt;0,"Win",IF($Q179&lt;0,"Loss","Scratch"))))</f>
        <v/>
      </c>
      <c r="T179" s="47" t="str">
        <f>IF(OR($AM179=0,NOT(ISNUMBER($H179)),NOT(ISNUMBER($I179)),NOT(ISNUMBER($J179))),"",IF($H179=$I179,"",ROUND(ABS($J179-$H179)/ABS($H179-$I179),6)))</f>
        <v/>
      </c>
      <c r="U179" s="48" t="str">
        <f>IF(OR($S179&lt;&gt;"Win",NOT(ISNUMBER($T179)),NOT(ISNUMBER($R179))),"",MAX(0,$T179-$R179))</f>
        <v/>
      </c>
      <c r="V179" s="49" t="str">
        <f>IF(OR($AM179=0,NOT(ISNUMBER($H179)),NOT(ISNUMBER($I179)),NOT(ISNUMBER($G179))),"",IF(OR($AG179="",$AH179=""),"",IF(ROUND(ABS($H179-$I179)*ABS($G179)*$AG179*$AH179,6)=0,"",ROUND(ABS($H179-$I179)*ABS($G179)*$AG179*$AH179,6))))</f>
        <v/>
      </c>
      <c r="W179" s="50" t="str">
        <f>IF($AM179=0,"",IF($BG179="","OK",LEFT($BG179,LEN($BG179)-2)))</f>
        <v/>
      </c>
      <c r="X179" s="41" t="n"/>
      <c r="Y179" s="40" t="n"/>
      <c r="Z179" s="41" t="n"/>
      <c r="AA179" s="41" t="n"/>
      <c r="AB179" s="40" t="n"/>
      <c r="AC179" s="51" t="n"/>
      <c r="AD179" s="51" t="n"/>
      <c r="AE179" s="40" t="n"/>
      <c r="AF179" s="52" t="str">
        <f>IF($AM179=0,"",IF($D179&lt;&gt;"",$D179,IF(IFERROR(INDEX(Accounts!$C$7:$C$16,MATCH($C179,Accounts!$B$7:$B$16,0))&amp;"","")&lt;&gt;"",INDEX(Accounts!$C$7:$C$16,MATCH($C179,Accounts!$B$7:$B$16,0)),Settings!$C$6)))</f>
        <v/>
      </c>
      <c r="AG179" s="53" t="str">
        <f>IF($AM179=0,"",IF(AND($BE179&gt;0,N(INDEX(Instruments!$D$6:$D$205,MAX(1,$BE179)))&gt;0),INDEX(Instruments!$D$6:$D$205,MAX(1,$BE179)),IF(N(INDEX(Settings!$D$14:$D$18,$BF179))&gt;0,INDEX(Settings!$D$14:$D$18,$BF179),"")))</f>
        <v/>
      </c>
      <c r="AH179" s="54" t="str">
        <f>IF($AM179=0,"",IF($AF179&lt;&gt;"Forex",1,IF(MID(UPPER(SUBSTITUTE(TRIM($E179),"/","")),4,3)=UPPER(TRIM(Settings!$C$7)),1,IF(LEFT(UPPER(SUBSTITUTE(TRIM($E179),"/","")),3)=UPPER(TRIM(Settings!$C$7)),IF(AND(ISNUMBER($K179),N($K179)&lt;&gt;0),1/$K179,""),""))))</f>
        <v/>
      </c>
      <c r="AI179" s="55" t="str">
        <f>IF($AM179=0,"",IF(OR(NOT(ISNUMBER($H179)),NOT(ISNUMBER($K179)),NOT(ISNUMBER($G179)),$AG179="",$AH179=""),"",ROUND(($K179-$H179)*IF($F179="Short",-1,1)*$G179*$AG179*$AH179,6)))</f>
        <v/>
      </c>
      <c r="AJ179" s="55" t="str">
        <f>IF($AM179=0,"",IF(INDEX(Settings!$E$14:$E$18,$BF179)="% of notional",IF(OR($AG179="",NOT(ISNUMBER($H179)),NOT(ISNUMBER($G179))),"",ROUND(ABS($H179*$G179*$AG179*N($AH179))*IF($L179="Limit",N(INDEX(Settings!$G$14:$G$18,$BF179)),N(INDEX(Settings!$H$14:$H$18,$BF179)))+IF(ISNUMBER($K179),ABS($K179*$G179*$AG179*N($AH179))*IF($M179="Target",N(INDEX(Settings!$G$14:$G$18,$BF179)),N(INDEX(Settings!$H$14:$H$18,$BF179))),0),6)),IF(NOT(ISNUMBER($G179)),"",ROUND(ABS($G179)*2*IF(AND($BE179&gt;0,ISNUMBER(INDEX(Instruments!$G$6:$G$205,MAX(1,$BE179)))),INDEX(Instruments!$G$6:$G$205,MAX(1,$BE179)),N(INDEX(Settings!$F$14:$F$18,$BF179))),6))))</f>
        <v/>
      </c>
      <c r="AK179" s="55" t="str">
        <f>IF($AM179=0,"",IF(ISNUMBER($O179),$O179,$AI179))</f>
        <v/>
      </c>
      <c r="AL179" s="55" t="str">
        <f>IF($AM179=0,"",IF(ISNUMBER($P179),$P179,N($AJ179)))</f>
        <v/>
      </c>
      <c r="AM179" s="56">
        <f>IF(AND($A179&lt;&gt;"",$E179&lt;&gt;"",OR(AND(ISNUMBER($G179),ISNUMBER($H179),ISNUMBER($K179)),ISNUMBER($O179))),1,0)</f>
        <v>0</v>
      </c>
      <c r="AN179" s="57" t="str">
        <f>IF($A179="","",$A179-WEEKDAY($A179,3))</f>
        <v/>
      </c>
      <c r="AO179" s="56" t="str">
        <f>IF($A179="","",WEEKDAY($A179,2))</f>
        <v/>
      </c>
      <c r="AP179" s="55" t="str">
        <f>IF(OR($AM179=0,$C179=""),"",IFERROR(N(INDEX(Accounts!$E$7:$E$16,MATCH($C179,Accounts!$B$7:$B$16,0))),0)+SUMIFS($Q$6:$Q179,$C$6:$C179,$C179))</f>
        <v/>
      </c>
      <c r="AQ179" s="55" t="str">
        <f>IF(OR($AM179=0,$C179=""),"",SUMIFS($Q$6:$Q$1005,$C$6:$C$1005,$C179,$A$6:$A$1005,$A179))</f>
        <v/>
      </c>
      <c r="AR179" s="55" t="str">
        <f>IF(OR($AM179=0,$C179=""),"",IFERROR(N(INDEX(Accounts!$E$7:$E$16,MATCH($C179,Accounts!$B$7:$B$16,0))),0)+SUMIFS($Q$6:$Q$1005,$C$6:$C$1005,$C179,$A$6:$A$1005,"&lt;="&amp;$A179))</f>
        <v/>
      </c>
      <c r="AS179" s="56">
        <f>IF(OR($AM179=0,$Q179=""),0,IF(AND($A179&gt;=Lists!$W$6,$A179&lt;=Lists!$W$7,OR(Dashboard!$D$6="All accounts",$C179=Dashboard!$D$6),OR(Dashboard!$D$7="All markets",$AF179=Dashboard!$D$7)),1,0))</f>
        <v>0</v>
      </c>
      <c r="AT179" s="55">
        <f>IF($AS179=1,N(AT178)+$Q179,N(AT178))</f>
        <v>1187.10688</v>
      </c>
      <c r="AU179" s="55">
        <f>MAX(N(AU178),$AT179)</f>
        <v>1187.10688</v>
      </c>
      <c r="AV179" s="55">
        <f>$AT179-$AU179</f>
        <v>0</v>
      </c>
      <c r="AW179" s="56">
        <f>IF($AS179=1,IF($S179="Win",N(AW178)+1,IF($S179="Loss",0,N(AW178))),N(AW178))</f>
        <v>5</v>
      </c>
      <c r="AX179" s="56">
        <f>IF($AS179=1,IF($S179="Loss",N(AX178)+1,IF($S179="Win",0,N(AX178))),N(AX178))</f>
        <v>0</v>
      </c>
      <c r="AY179" s="56" t="str">
        <f>IF($AS179=1,COUNTIF($AS$6:$AS179,1),"")</f>
        <v/>
      </c>
      <c r="AZ179" s="56">
        <f>MIN(173,N(Lists!$W$8))</f>
        <v>28</v>
      </c>
      <c r="BA179" s="56">
        <f>IF($AS179=1,IF(COUNTIFS($A$6:$A179,$A179,$AS$6:$AS179,1)=1,1,0),0)</f>
        <v>0</v>
      </c>
      <c r="BB179" s="55" t="str">
        <f>IF($BA179=1,SUMIFS($Q$6:$Q$1005,$A$6:$A$1005,$A179,$AS$6:$AS$1005,1),"")</f>
        <v/>
      </c>
      <c r="BC179" s="56">
        <f>IF(ISNUMBER($R179),1,0)</f>
        <v>0</v>
      </c>
      <c r="BD179" s="55" t="str">
        <f>IF(ISNUMBER($U179),$U179*$V179,"")</f>
        <v/>
      </c>
      <c r="BE179" s="56" t="str">
        <f>IF($AM179=0,"",IFERROR(MATCH($AF179&amp;"|"&amp;UPPER(TRIM($E179)),Lists!$A$6:$A$205,0),0))</f>
        <v/>
      </c>
      <c r="BF179" s="56" t="str">
        <f>IF($AM179=0,"",IFERROR(MATCH($AF179,Settings!$B$14:$B$18,0),IFERROR(MATCH(Settings!$C$6,Settings!$B$14:$B$18,0),1)))</f>
        <v/>
      </c>
      <c r="BG179" s="58" t="str">
        <f>IF($AM179=0,"",IF(NOT(ISNUMBER($I179)),"No stop; ","")&amp;IF(AND(ISNUMBER($H179),ISNUMBER($I179)),IF(OR(AND($F179&lt;&gt;"Short",$I179&gt;=$H179),AND($F179="Short",$I179&lt;=$H179)),"Stop on wrong side; ",""),"")&amp;IF($F179="","No direction; ","")&amp;IF(AND(ISNUMBER(Settings!$C$22),ISNUMBER($V179)),IF($V179&gt;Settings!$C$22,"Risk over max $; ",""),"")&amp;IF(AND(ISNUMBER(Settings!$C$23),ISNUMBER($V179),ISNUMBER($AP179),IFERROR(N(INDEX(Accounts!$E$7:$E$16,MATCH($C179,Accounts!$B$7:$B$16,0))),0)&gt;0),IF($V179&gt;Settings!$C$23*($AP179-N($Q179)),"Risk over max %; ",""),"")&amp;IF(AND(ISNUMBER(Settings!$C$24),ISNUMBER($N179)),IF($N179&gt;Settings!$C$24,"Leverage over max; ",""),"")&amp;IF(AND(ISNUMBER(Settings!$C$27),ISNUMBER($T179)),IF($T179&lt;Settings!$C$27,"R:R below min; ",""),"")&amp;IF(ISNUMBER(Settings!$C$25),IF(COUNTIFS($A$6:$A179,$A179,$AM$6:$AM179,1)&gt;Settings!$C$25,"Over max trades/day; ",""),"")&amp;IF(ISNUMBER(Settings!$C$26),IF(SUMIFS($Q$5:$Q178,$A$5:$A178,$A179)&lt;=-Settings!$C$26,"Traded after daily max loss; ",""),"")&amp;IF(AND($AG179="",NOT(ISNUMBER($O179))),"Symbol not in Instruments; ","")&amp;IF(AND($AH179="",NOT(ISNUMBER($O179))),"Forex cross: type Gross P&amp;L; ",""))</f>
        <v/>
      </c>
      <c r="BH179" s="56">
        <f>IF(ISNUMBER($Q179),1,0)</f>
        <v>0</v>
      </c>
      <c r="BI179" s="56">
        <f>IF($Y179="",0,1)</f>
        <v>0</v>
      </c>
      <c r="BJ179" s="56">
        <f>IF($AB179="",0,1)</f>
        <v>0</v>
      </c>
      <c r="BK179" s="56">
        <f>IF(AND($BH179=1,$W179&lt;&gt;"OK"),1,0)</f>
        <v>0</v>
      </c>
      <c r="BL179" s="55">
        <f>IF(N($AZ179)=0,0,IFERROR(INDEX($AT$6:$AT$1005,MATCH($AZ179,$AY$6:$AY$1005,0)),0))</f>
        <v>1187.10688</v>
      </c>
      <c r="BM179" s="56">
        <f>IF(ISNUMBER(SEARCH("daily max loss",$BG179)),1,0)</f>
        <v>0</v>
      </c>
    </row>
    <row r="180" ht="18" customHeight="1">
      <c r="A180" s="38" t="n"/>
      <c r="B180" s="39" t="n"/>
      <c r="C180" s="40" t="n"/>
      <c r="D180" s="41" t="n"/>
      <c r="E180" s="41" t="n"/>
      <c r="F180" s="41" t="n"/>
      <c r="G180" s="41" t="n"/>
      <c r="H180" s="42" t="n"/>
      <c r="I180" s="42" t="n"/>
      <c r="J180" s="42" t="n"/>
      <c r="K180" s="42" t="n"/>
      <c r="L180" s="41" t="n"/>
      <c r="M180" s="41" t="n"/>
      <c r="N180" s="41" t="n"/>
      <c r="O180" s="43" t="n"/>
      <c r="P180" s="43" t="n"/>
      <c r="Q180" s="44" t="str">
        <f>IF($AM180=0,"",IF(ISNUMBER($AK180),$AK180-N($AL180),""))</f>
        <v/>
      </c>
      <c r="R180" s="45" t="str">
        <f>IF(OR($Q180="",NOT(ISNUMBER($V180))),"",$AK180/$V180)</f>
        <v/>
      </c>
      <c r="S180" s="46" t="str">
        <f>IF($Q180="","",IF(AND(ISNUMBER($R180),ABS(N($R180))&lt;N(Settings!$C$8)),"Scratch",IF($Q180&gt;0,"Win",IF($Q180&lt;0,"Loss","Scratch"))))</f>
        <v/>
      </c>
      <c r="T180" s="47" t="str">
        <f>IF(OR($AM180=0,NOT(ISNUMBER($H180)),NOT(ISNUMBER($I180)),NOT(ISNUMBER($J180))),"",IF($H180=$I180,"",ROUND(ABS($J180-$H180)/ABS($H180-$I180),6)))</f>
        <v/>
      </c>
      <c r="U180" s="48" t="str">
        <f>IF(OR($S180&lt;&gt;"Win",NOT(ISNUMBER($T180)),NOT(ISNUMBER($R180))),"",MAX(0,$T180-$R180))</f>
        <v/>
      </c>
      <c r="V180" s="49" t="str">
        <f>IF(OR($AM180=0,NOT(ISNUMBER($H180)),NOT(ISNUMBER($I180)),NOT(ISNUMBER($G180))),"",IF(OR($AG180="",$AH180=""),"",IF(ROUND(ABS($H180-$I180)*ABS($G180)*$AG180*$AH180,6)=0,"",ROUND(ABS($H180-$I180)*ABS($G180)*$AG180*$AH180,6))))</f>
        <v/>
      </c>
      <c r="W180" s="50" t="str">
        <f>IF($AM180=0,"",IF($BG180="","OK",LEFT($BG180,LEN($BG180)-2)))</f>
        <v/>
      </c>
      <c r="X180" s="41" t="n"/>
      <c r="Y180" s="40" t="n"/>
      <c r="Z180" s="41" t="n"/>
      <c r="AA180" s="41" t="n"/>
      <c r="AB180" s="40" t="n"/>
      <c r="AC180" s="51" t="n"/>
      <c r="AD180" s="51" t="n"/>
      <c r="AE180" s="40" t="n"/>
      <c r="AF180" s="52" t="str">
        <f>IF($AM180=0,"",IF($D180&lt;&gt;"",$D180,IF(IFERROR(INDEX(Accounts!$C$7:$C$16,MATCH($C180,Accounts!$B$7:$B$16,0))&amp;"","")&lt;&gt;"",INDEX(Accounts!$C$7:$C$16,MATCH($C180,Accounts!$B$7:$B$16,0)),Settings!$C$6)))</f>
        <v/>
      </c>
      <c r="AG180" s="53" t="str">
        <f>IF($AM180=0,"",IF(AND($BE180&gt;0,N(INDEX(Instruments!$D$6:$D$205,MAX(1,$BE180)))&gt;0),INDEX(Instruments!$D$6:$D$205,MAX(1,$BE180)),IF(N(INDEX(Settings!$D$14:$D$18,$BF180))&gt;0,INDEX(Settings!$D$14:$D$18,$BF180),"")))</f>
        <v/>
      </c>
      <c r="AH180" s="54" t="str">
        <f>IF($AM180=0,"",IF($AF180&lt;&gt;"Forex",1,IF(MID(UPPER(SUBSTITUTE(TRIM($E180),"/","")),4,3)=UPPER(TRIM(Settings!$C$7)),1,IF(LEFT(UPPER(SUBSTITUTE(TRIM($E180),"/","")),3)=UPPER(TRIM(Settings!$C$7)),IF(AND(ISNUMBER($K180),N($K180)&lt;&gt;0),1/$K180,""),""))))</f>
        <v/>
      </c>
      <c r="AI180" s="55" t="str">
        <f>IF($AM180=0,"",IF(OR(NOT(ISNUMBER($H180)),NOT(ISNUMBER($K180)),NOT(ISNUMBER($G180)),$AG180="",$AH180=""),"",ROUND(($K180-$H180)*IF($F180="Short",-1,1)*$G180*$AG180*$AH180,6)))</f>
        <v/>
      </c>
      <c r="AJ180" s="55" t="str">
        <f>IF($AM180=0,"",IF(INDEX(Settings!$E$14:$E$18,$BF180)="% of notional",IF(OR($AG180="",NOT(ISNUMBER($H180)),NOT(ISNUMBER($G180))),"",ROUND(ABS($H180*$G180*$AG180*N($AH180))*IF($L180="Limit",N(INDEX(Settings!$G$14:$G$18,$BF180)),N(INDEX(Settings!$H$14:$H$18,$BF180)))+IF(ISNUMBER($K180),ABS($K180*$G180*$AG180*N($AH180))*IF($M180="Target",N(INDEX(Settings!$G$14:$G$18,$BF180)),N(INDEX(Settings!$H$14:$H$18,$BF180))),0),6)),IF(NOT(ISNUMBER($G180)),"",ROUND(ABS($G180)*2*IF(AND($BE180&gt;0,ISNUMBER(INDEX(Instruments!$G$6:$G$205,MAX(1,$BE180)))),INDEX(Instruments!$G$6:$G$205,MAX(1,$BE180)),N(INDEX(Settings!$F$14:$F$18,$BF180))),6))))</f>
        <v/>
      </c>
      <c r="AK180" s="55" t="str">
        <f>IF($AM180=0,"",IF(ISNUMBER($O180),$O180,$AI180))</f>
        <v/>
      </c>
      <c r="AL180" s="55" t="str">
        <f>IF($AM180=0,"",IF(ISNUMBER($P180),$P180,N($AJ180)))</f>
        <v/>
      </c>
      <c r="AM180" s="56">
        <f>IF(AND($A180&lt;&gt;"",$E180&lt;&gt;"",OR(AND(ISNUMBER($G180),ISNUMBER($H180),ISNUMBER($K180)),ISNUMBER($O180))),1,0)</f>
        <v>0</v>
      </c>
      <c r="AN180" s="57" t="str">
        <f>IF($A180="","",$A180-WEEKDAY($A180,3))</f>
        <v/>
      </c>
      <c r="AO180" s="56" t="str">
        <f>IF($A180="","",WEEKDAY($A180,2))</f>
        <v/>
      </c>
      <c r="AP180" s="55" t="str">
        <f>IF(OR($AM180=0,$C180=""),"",IFERROR(N(INDEX(Accounts!$E$7:$E$16,MATCH($C180,Accounts!$B$7:$B$16,0))),0)+SUMIFS($Q$6:$Q180,$C$6:$C180,$C180))</f>
        <v/>
      </c>
      <c r="AQ180" s="55" t="str">
        <f>IF(OR($AM180=0,$C180=""),"",SUMIFS($Q$6:$Q$1005,$C$6:$C$1005,$C180,$A$6:$A$1005,$A180))</f>
        <v/>
      </c>
      <c r="AR180" s="55" t="str">
        <f>IF(OR($AM180=0,$C180=""),"",IFERROR(N(INDEX(Accounts!$E$7:$E$16,MATCH($C180,Accounts!$B$7:$B$16,0))),0)+SUMIFS($Q$6:$Q$1005,$C$6:$C$1005,$C180,$A$6:$A$1005,"&lt;="&amp;$A180))</f>
        <v/>
      </c>
      <c r="AS180" s="56">
        <f>IF(OR($AM180=0,$Q180=""),0,IF(AND($A180&gt;=Lists!$W$6,$A180&lt;=Lists!$W$7,OR(Dashboard!$D$6="All accounts",$C180=Dashboard!$D$6),OR(Dashboard!$D$7="All markets",$AF180=Dashboard!$D$7)),1,0))</f>
        <v>0</v>
      </c>
      <c r="AT180" s="55">
        <f>IF($AS180=1,N(AT179)+$Q180,N(AT179))</f>
        <v>1187.10688</v>
      </c>
      <c r="AU180" s="55">
        <f>MAX(N(AU179),$AT180)</f>
        <v>1187.10688</v>
      </c>
      <c r="AV180" s="55">
        <f>$AT180-$AU180</f>
        <v>0</v>
      </c>
      <c r="AW180" s="56">
        <f>IF($AS180=1,IF($S180="Win",N(AW179)+1,IF($S180="Loss",0,N(AW179))),N(AW179))</f>
        <v>5</v>
      </c>
      <c r="AX180" s="56">
        <f>IF($AS180=1,IF($S180="Loss",N(AX179)+1,IF($S180="Win",0,N(AX179))),N(AX179))</f>
        <v>0</v>
      </c>
      <c r="AY180" s="56" t="str">
        <f>IF($AS180=1,COUNTIF($AS$6:$AS180,1),"")</f>
        <v/>
      </c>
      <c r="AZ180" s="56">
        <f>MIN(174,N(Lists!$W$8))</f>
        <v>28</v>
      </c>
      <c r="BA180" s="56">
        <f>IF($AS180=1,IF(COUNTIFS($A$6:$A180,$A180,$AS$6:$AS180,1)=1,1,0),0)</f>
        <v>0</v>
      </c>
      <c r="BB180" s="55" t="str">
        <f>IF($BA180=1,SUMIFS($Q$6:$Q$1005,$A$6:$A$1005,$A180,$AS$6:$AS$1005,1),"")</f>
        <v/>
      </c>
      <c r="BC180" s="56">
        <f>IF(ISNUMBER($R180),1,0)</f>
        <v>0</v>
      </c>
      <c r="BD180" s="55" t="str">
        <f>IF(ISNUMBER($U180),$U180*$V180,"")</f>
        <v/>
      </c>
      <c r="BE180" s="56" t="str">
        <f>IF($AM180=0,"",IFERROR(MATCH($AF180&amp;"|"&amp;UPPER(TRIM($E180)),Lists!$A$6:$A$205,0),0))</f>
        <v/>
      </c>
      <c r="BF180" s="56" t="str">
        <f>IF($AM180=0,"",IFERROR(MATCH($AF180,Settings!$B$14:$B$18,0),IFERROR(MATCH(Settings!$C$6,Settings!$B$14:$B$18,0),1)))</f>
        <v/>
      </c>
      <c r="BG180" s="58" t="str">
        <f>IF($AM180=0,"",IF(NOT(ISNUMBER($I180)),"No stop; ","")&amp;IF(AND(ISNUMBER($H180),ISNUMBER($I180)),IF(OR(AND($F180&lt;&gt;"Short",$I180&gt;=$H180),AND($F180="Short",$I180&lt;=$H180)),"Stop on wrong side; ",""),"")&amp;IF($F180="","No direction; ","")&amp;IF(AND(ISNUMBER(Settings!$C$22),ISNUMBER($V180)),IF($V180&gt;Settings!$C$22,"Risk over max $; ",""),"")&amp;IF(AND(ISNUMBER(Settings!$C$23),ISNUMBER($V180),ISNUMBER($AP180),IFERROR(N(INDEX(Accounts!$E$7:$E$16,MATCH($C180,Accounts!$B$7:$B$16,0))),0)&gt;0),IF($V180&gt;Settings!$C$23*($AP180-N($Q180)),"Risk over max %; ",""),"")&amp;IF(AND(ISNUMBER(Settings!$C$24),ISNUMBER($N180)),IF($N180&gt;Settings!$C$24,"Leverage over max; ",""),"")&amp;IF(AND(ISNUMBER(Settings!$C$27),ISNUMBER($T180)),IF($T180&lt;Settings!$C$27,"R:R below min; ",""),"")&amp;IF(ISNUMBER(Settings!$C$25),IF(COUNTIFS($A$6:$A180,$A180,$AM$6:$AM180,1)&gt;Settings!$C$25,"Over max trades/day; ",""),"")&amp;IF(ISNUMBER(Settings!$C$26),IF(SUMIFS($Q$5:$Q179,$A$5:$A179,$A180)&lt;=-Settings!$C$26,"Traded after daily max loss; ",""),"")&amp;IF(AND($AG180="",NOT(ISNUMBER($O180))),"Symbol not in Instruments; ","")&amp;IF(AND($AH180="",NOT(ISNUMBER($O180))),"Forex cross: type Gross P&amp;L; ",""))</f>
        <v/>
      </c>
      <c r="BH180" s="56">
        <f>IF(ISNUMBER($Q180),1,0)</f>
        <v>0</v>
      </c>
      <c r="BI180" s="56">
        <f>IF($Y180="",0,1)</f>
        <v>0</v>
      </c>
      <c r="BJ180" s="56">
        <f>IF($AB180="",0,1)</f>
        <v>0</v>
      </c>
      <c r="BK180" s="56">
        <f>IF(AND($BH180=1,$W180&lt;&gt;"OK"),1,0)</f>
        <v>0</v>
      </c>
      <c r="BL180" s="55">
        <f>IF(N($AZ180)=0,0,IFERROR(INDEX($AT$6:$AT$1005,MATCH($AZ180,$AY$6:$AY$1005,0)),0))</f>
        <v>1187.10688</v>
      </c>
      <c r="BM180" s="56">
        <f>IF(ISNUMBER(SEARCH("daily max loss",$BG180)),1,0)</f>
        <v>0</v>
      </c>
    </row>
    <row r="181" ht="18" customHeight="1">
      <c r="A181" s="38" t="n"/>
      <c r="B181" s="39" t="n"/>
      <c r="C181" s="40" t="n"/>
      <c r="D181" s="41" t="n"/>
      <c r="E181" s="41" t="n"/>
      <c r="F181" s="41" t="n"/>
      <c r="G181" s="41" t="n"/>
      <c r="H181" s="42" t="n"/>
      <c r="I181" s="42" t="n"/>
      <c r="J181" s="42" t="n"/>
      <c r="K181" s="42" t="n"/>
      <c r="L181" s="41" t="n"/>
      <c r="M181" s="41" t="n"/>
      <c r="N181" s="41" t="n"/>
      <c r="O181" s="43" t="n"/>
      <c r="P181" s="43" t="n"/>
      <c r="Q181" s="44" t="str">
        <f>IF($AM181=0,"",IF(ISNUMBER($AK181),$AK181-N($AL181),""))</f>
        <v/>
      </c>
      <c r="R181" s="45" t="str">
        <f>IF(OR($Q181="",NOT(ISNUMBER($V181))),"",$AK181/$V181)</f>
        <v/>
      </c>
      <c r="S181" s="46" t="str">
        <f>IF($Q181="","",IF(AND(ISNUMBER($R181),ABS(N($R181))&lt;N(Settings!$C$8)),"Scratch",IF($Q181&gt;0,"Win",IF($Q181&lt;0,"Loss","Scratch"))))</f>
        <v/>
      </c>
      <c r="T181" s="47" t="str">
        <f>IF(OR($AM181=0,NOT(ISNUMBER($H181)),NOT(ISNUMBER($I181)),NOT(ISNUMBER($J181))),"",IF($H181=$I181,"",ROUND(ABS($J181-$H181)/ABS($H181-$I181),6)))</f>
        <v/>
      </c>
      <c r="U181" s="48" t="str">
        <f>IF(OR($S181&lt;&gt;"Win",NOT(ISNUMBER($T181)),NOT(ISNUMBER($R181))),"",MAX(0,$T181-$R181))</f>
        <v/>
      </c>
      <c r="V181" s="49" t="str">
        <f>IF(OR($AM181=0,NOT(ISNUMBER($H181)),NOT(ISNUMBER($I181)),NOT(ISNUMBER($G181))),"",IF(OR($AG181="",$AH181=""),"",IF(ROUND(ABS($H181-$I181)*ABS($G181)*$AG181*$AH181,6)=0,"",ROUND(ABS($H181-$I181)*ABS($G181)*$AG181*$AH181,6))))</f>
        <v/>
      </c>
      <c r="W181" s="50" t="str">
        <f>IF($AM181=0,"",IF($BG181="","OK",LEFT($BG181,LEN($BG181)-2)))</f>
        <v/>
      </c>
      <c r="X181" s="41" t="n"/>
      <c r="Y181" s="40" t="n"/>
      <c r="Z181" s="41" t="n"/>
      <c r="AA181" s="41" t="n"/>
      <c r="AB181" s="40" t="n"/>
      <c r="AC181" s="51" t="n"/>
      <c r="AD181" s="51" t="n"/>
      <c r="AE181" s="40" t="n"/>
      <c r="AF181" s="52" t="str">
        <f>IF($AM181=0,"",IF($D181&lt;&gt;"",$D181,IF(IFERROR(INDEX(Accounts!$C$7:$C$16,MATCH($C181,Accounts!$B$7:$B$16,0))&amp;"","")&lt;&gt;"",INDEX(Accounts!$C$7:$C$16,MATCH($C181,Accounts!$B$7:$B$16,0)),Settings!$C$6)))</f>
        <v/>
      </c>
      <c r="AG181" s="53" t="str">
        <f>IF($AM181=0,"",IF(AND($BE181&gt;0,N(INDEX(Instruments!$D$6:$D$205,MAX(1,$BE181)))&gt;0),INDEX(Instruments!$D$6:$D$205,MAX(1,$BE181)),IF(N(INDEX(Settings!$D$14:$D$18,$BF181))&gt;0,INDEX(Settings!$D$14:$D$18,$BF181),"")))</f>
        <v/>
      </c>
      <c r="AH181" s="54" t="str">
        <f>IF($AM181=0,"",IF($AF181&lt;&gt;"Forex",1,IF(MID(UPPER(SUBSTITUTE(TRIM($E181),"/","")),4,3)=UPPER(TRIM(Settings!$C$7)),1,IF(LEFT(UPPER(SUBSTITUTE(TRIM($E181),"/","")),3)=UPPER(TRIM(Settings!$C$7)),IF(AND(ISNUMBER($K181),N($K181)&lt;&gt;0),1/$K181,""),""))))</f>
        <v/>
      </c>
      <c r="AI181" s="55" t="str">
        <f>IF($AM181=0,"",IF(OR(NOT(ISNUMBER($H181)),NOT(ISNUMBER($K181)),NOT(ISNUMBER($G181)),$AG181="",$AH181=""),"",ROUND(($K181-$H181)*IF($F181="Short",-1,1)*$G181*$AG181*$AH181,6)))</f>
        <v/>
      </c>
      <c r="AJ181" s="55" t="str">
        <f>IF($AM181=0,"",IF(INDEX(Settings!$E$14:$E$18,$BF181)="% of notional",IF(OR($AG181="",NOT(ISNUMBER($H181)),NOT(ISNUMBER($G181))),"",ROUND(ABS($H181*$G181*$AG181*N($AH181))*IF($L181="Limit",N(INDEX(Settings!$G$14:$G$18,$BF181)),N(INDEX(Settings!$H$14:$H$18,$BF181)))+IF(ISNUMBER($K181),ABS($K181*$G181*$AG181*N($AH181))*IF($M181="Target",N(INDEX(Settings!$G$14:$G$18,$BF181)),N(INDEX(Settings!$H$14:$H$18,$BF181))),0),6)),IF(NOT(ISNUMBER($G181)),"",ROUND(ABS($G181)*2*IF(AND($BE181&gt;0,ISNUMBER(INDEX(Instruments!$G$6:$G$205,MAX(1,$BE181)))),INDEX(Instruments!$G$6:$G$205,MAX(1,$BE181)),N(INDEX(Settings!$F$14:$F$18,$BF181))),6))))</f>
        <v/>
      </c>
      <c r="AK181" s="55" t="str">
        <f>IF($AM181=0,"",IF(ISNUMBER($O181),$O181,$AI181))</f>
        <v/>
      </c>
      <c r="AL181" s="55" t="str">
        <f>IF($AM181=0,"",IF(ISNUMBER($P181),$P181,N($AJ181)))</f>
        <v/>
      </c>
      <c r="AM181" s="56">
        <f>IF(AND($A181&lt;&gt;"",$E181&lt;&gt;"",OR(AND(ISNUMBER($G181),ISNUMBER($H181),ISNUMBER($K181)),ISNUMBER($O181))),1,0)</f>
        <v>0</v>
      </c>
      <c r="AN181" s="57" t="str">
        <f>IF($A181="","",$A181-WEEKDAY($A181,3))</f>
        <v/>
      </c>
      <c r="AO181" s="56" t="str">
        <f>IF($A181="","",WEEKDAY($A181,2))</f>
        <v/>
      </c>
      <c r="AP181" s="55" t="str">
        <f>IF(OR($AM181=0,$C181=""),"",IFERROR(N(INDEX(Accounts!$E$7:$E$16,MATCH($C181,Accounts!$B$7:$B$16,0))),0)+SUMIFS($Q$6:$Q181,$C$6:$C181,$C181))</f>
        <v/>
      </c>
      <c r="AQ181" s="55" t="str">
        <f>IF(OR($AM181=0,$C181=""),"",SUMIFS($Q$6:$Q$1005,$C$6:$C$1005,$C181,$A$6:$A$1005,$A181))</f>
        <v/>
      </c>
      <c r="AR181" s="55" t="str">
        <f>IF(OR($AM181=0,$C181=""),"",IFERROR(N(INDEX(Accounts!$E$7:$E$16,MATCH($C181,Accounts!$B$7:$B$16,0))),0)+SUMIFS($Q$6:$Q$1005,$C$6:$C$1005,$C181,$A$6:$A$1005,"&lt;="&amp;$A181))</f>
        <v/>
      </c>
      <c r="AS181" s="56">
        <f>IF(OR($AM181=0,$Q181=""),0,IF(AND($A181&gt;=Lists!$W$6,$A181&lt;=Lists!$W$7,OR(Dashboard!$D$6="All accounts",$C181=Dashboard!$D$6),OR(Dashboard!$D$7="All markets",$AF181=Dashboard!$D$7)),1,0))</f>
        <v>0</v>
      </c>
      <c r="AT181" s="55">
        <f>IF($AS181=1,N(AT180)+$Q181,N(AT180))</f>
        <v>1187.10688</v>
      </c>
      <c r="AU181" s="55">
        <f>MAX(N(AU180),$AT181)</f>
        <v>1187.10688</v>
      </c>
      <c r="AV181" s="55">
        <f>$AT181-$AU181</f>
        <v>0</v>
      </c>
      <c r="AW181" s="56">
        <f>IF($AS181=1,IF($S181="Win",N(AW180)+1,IF($S181="Loss",0,N(AW180))),N(AW180))</f>
        <v>5</v>
      </c>
      <c r="AX181" s="56">
        <f>IF($AS181=1,IF($S181="Loss",N(AX180)+1,IF($S181="Win",0,N(AX180))),N(AX180))</f>
        <v>0</v>
      </c>
      <c r="AY181" s="56" t="str">
        <f>IF($AS181=1,COUNTIF($AS$6:$AS181,1),"")</f>
        <v/>
      </c>
      <c r="AZ181" s="56">
        <f>MIN(175,N(Lists!$W$8))</f>
        <v>28</v>
      </c>
      <c r="BA181" s="56">
        <f>IF($AS181=1,IF(COUNTIFS($A$6:$A181,$A181,$AS$6:$AS181,1)=1,1,0),0)</f>
        <v>0</v>
      </c>
      <c r="BB181" s="55" t="str">
        <f>IF($BA181=1,SUMIFS($Q$6:$Q$1005,$A$6:$A$1005,$A181,$AS$6:$AS$1005,1),"")</f>
        <v/>
      </c>
      <c r="BC181" s="56">
        <f>IF(ISNUMBER($R181),1,0)</f>
        <v>0</v>
      </c>
      <c r="BD181" s="55" t="str">
        <f>IF(ISNUMBER($U181),$U181*$V181,"")</f>
        <v/>
      </c>
      <c r="BE181" s="56" t="str">
        <f>IF($AM181=0,"",IFERROR(MATCH($AF181&amp;"|"&amp;UPPER(TRIM($E181)),Lists!$A$6:$A$205,0),0))</f>
        <v/>
      </c>
      <c r="BF181" s="56" t="str">
        <f>IF($AM181=0,"",IFERROR(MATCH($AF181,Settings!$B$14:$B$18,0),IFERROR(MATCH(Settings!$C$6,Settings!$B$14:$B$18,0),1)))</f>
        <v/>
      </c>
      <c r="BG181" s="58" t="str">
        <f>IF($AM181=0,"",IF(NOT(ISNUMBER($I181)),"No stop; ","")&amp;IF(AND(ISNUMBER($H181),ISNUMBER($I181)),IF(OR(AND($F181&lt;&gt;"Short",$I181&gt;=$H181),AND($F181="Short",$I181&lt;=$H181)),"Stop on wrong side; ",""),"")&amp;IF($F181="","No direction; ","")&amp;IF(AND(ISNUMBER(Settings!$C$22),ISNUMBER($V181)),IF($V181&gt;Settings!$C$22,"Risk over max $; ",""),"")&amp;IF(AND(ISNUMBER(Settings!$C$23),ISNUMBER($V181),ISNUMBER($AP181),IFERROR(N(INDEX(Accounts!$E$7:$E$16,MATCH($C181,Accounts!$B$7:$B$16,0))),0)&gt;0),IF($V181&gt;Settings!$C$23*($AP181-N($Q181)),"Risk over max %; ",""),"")&amp;IF(AND(ISNUMBER(Settings!$C$24),ISNUMBER($N181)),IF($N181&gt;Settings!$C$24,"Leverage over max; ",""),"")&amp;IF(AND(ISNUMBER(Settings!$C$27),ISNUMBER($T181)),IF($T181&lt;Settings!$C$27,"R:R below min; ",""),"")&amp;IF(ISNUMBER(Settings!$C$25),IF(COUNTIFS($A$6:$A181,$A181,$AM$6:$AM181,1)&gt;Settings!$C$25,"Over max trades/day; ",""),"")&amp;IF(ISNUMBER(Settings!$C$26),IF(SUMIFS($Q$5:$Q180,$A$5:$A180,$A181)&lt;=-Settings!$C$26,"Traded after daily max loss; ",""),"")&amp;IF(AND($AG181="",NOT(ISNUMBER($O181))),"Symbol not in Instruments; ","")&amp;IF(AND($AH181="",NOT(ISNUMBER($O181))),"Forex cross: type Gross P&amp;L; ",""))</f>
        <v/>
      </c>
      <c r="BH181" s="56">
        <f>IF(ISNUMBER($Q181),1,0)</f>
        <v>0</v>
      </c>
      <c r="BI181" s="56">
        <f>IF($Y181="",0,1)</f>
        <v>0</v>
      </c>
      <c r="BJ181" s="56">
        <f>IF($AB181="",0,1)</f>
        <v>0</v>
      </c>
      <c r="BK181" s="56">
        <f>IF(AND($BH181=1,$W181&lt;&gt;"OK"),1,0)</f>
        <v>0</v>
      </c>
      <c r="BL181" s="55">
        <f>IF(N($AZ181)=0,0,IFERROR(INDEX($AT$6:$AT$1005,MATCH($AZ181,$AY$6:$AY$1005,0)),0))</f>
        <v>1187.10688</v>
      </c>
      <c r="BM181" s="56">
        <f>IF(ISNUMBER(SEARCH("daily max loss",$BG181)),1,0)</f>
        <v>0</v>
      </c>
    </row>
    <row r="182" ht="18" customHeight="1">
      <c r="A182" s="38" t="n"/>
      <c r="B182" s="39" t="n"/>
      <c r="C182" s="40" t="n"/>
      <c r="D182" s="41" t="n"/>
      <c r="E182" s="41" t="n"/>
      <c r="F182" s="41" t="n"/>
      <c r="G182" s="41" t="n"/>
      <c r="H182" s="42" t="n"/>
      <c r="I182" s="42" t="n"/>
      <c r="J182" s="42" t="n"/>
      <c r="K182" s="42" t="n"/>
      <c r="L182" s="41" t="n"/>
      <c r="M182" s="41" t="n"/>
      <c r="N182" s="41" t="n"/>
      <c r="O182" s="43" t="n"/>
      <c r="P182" s="43" t="n"/>
      <c r="Q182" s="44" t="str">
        <f>IF($AM182=0,"",IF(ISNUMBER($AK182),$AK182-N($AL182),""))</f>
        <v/>
      </c>
      <c r="R182" s="45" t="str">
        <f>IF(OR($Q182="",NOT(ISNUMBER($V182))),"",$AK182/$V182)</f>
        <v/>
      </c>
      <c r="S182" s="46" t="str">
        <f>IF($Q182="","",IF(AND(ISNUMBER($R182),ABS(N($R182))&lt;N(Settings!$C$8)),"Scratch",IF($Q182&gt;0,"Win",IF($Q182&lt;0,"Loss","Scratch"))))</f>
        <v/>
      </c>
      <c r="T182" s="47" t="str">
        <f>IF(OR($AM182=0,NOT(ISNUMBER($H182)),NOT(ISNUMBER($I182)),NOT(ISNUMBER($J182))),"",IF($H182=$I182,"",ROUND(ABS($J182-$H182)/ABS($H182-$I182),6)))</f>
        <v/>
      </c>
      <c r="U182" s="48" t="str">
        <f>IF(OR($S182&lt;&gt;"Win",NOT(ISNUMBER($T182)),NOT(ISNUMBER($R182))),"",MAX(0,$T182-$R182))</f>
        <v/>
      </c>
      <c r="V182" s="49" t="str">
        <f>IF(OR($AM182=0,NOT(ISNUMBER($H182)),NOT(ISNUMBER($I182)),NOT(ISNUMBER($G182))),"",IF(OR($AG182="",$AH182=""),"",IF(ROUND(ABS($H182-$I182)*ABS($G182)*$AG182*$AH182,6)=0,"",ROUND(ABS($H182-$I182)*ABS($G182)*$AG182*$AH182,6))))</f>
        <v/>
      </c>
      <c r="W182" s="50" t="str">
        <f>IF($AM182=0,"",IF($BG182="","OK",LEFT($BG182,LEN($BG182)-2)))</f>
        <v/>
      </c>
      <c r="X182" s="41" t="n"/>
      <c r="Y182" s="40" t="n"/>
      <c r="Z182" s="41" t="n"/>
      <c r="AA182" s="41" t="n"/>
      <c r="AB182" s="40" t="n"/>
      <c r="AC182" s="51" t="n"/>
      <c r="AD182" s="51" t="n"/>
      <c r="AE182" s="40" t="n"/>
      <c r="AF182" s="52" t="str">
        <f>IF($AM182=0,"",IF($D182&lt;&gt;"",$D182,IF(IFERROR(INDEX(Accounts!$C$7:$C$16,MATCH($C182,Accounts!$B$7:$B$16,0))&amp;"","")&lt;&gt;"",INDEX(Accounts!$C$7:$C$16,MATCH($C182,Accounts!$B$7:$B$16,0)),Settings!$C$6)))</f>
        <v/>
      </c>
      <c r="AG182" s="53" t="str">
        <f>IF($AM182=0,"",IF(AND($BE182&gt;0,N(INDEX(Instruments!$D$6:$D$205,MAX(1,$BE182)))&gt;0),INDEX(Instruments!$D$6:$D$205,MAX(1,$BE182)),IF(N(INDEX(Settings!$D$14:$D$18,$BF182))&gt;0,INDEX(Settings!$D$14:$D$18,$BF182),"")))</f>
        <v/>
      </c>
      <c r="AH182" s="54" t="str">
        <f>IF($AM182=0,"",IF($AF182&lt;&gt;"Forex",1,IF(MID(UPPER(SUBSTITUTE(TRIM($E182),"/","")),4,3)=UPPER(TRIM(Settings!$C$7)),1,IF(LEFT(UPPER(SUBSTITUTE(TRIM($E182),"/","")),3)=UPPER(TRIM(Settings!$C$7)),IF(AND(ISNUMBER($K182),N($K182)&lt;&gt;0),1/$K182,""),""))))</f>
        <v/>
      </c>
      <c r="AI182" s="55" t="str">
        <f>IF($AM182=0,"",IF(OR(NOT(ISNUMBER($H182)),NOT(ISNUMBER($K182)),NOT(ISNUMBER($G182)),$AG182="",$AH182=""),"",ROUND(($K182-$H182)*IF($F182="Short",-1,1)*$G182*$AG182*$AH182,6)))</f>
        <v/>
      </c>
      <c r="AJ182" s="55" t="str">
        <f>IF($AM182=0,"",IF(INDEX(Settings!$E$14:$E$18,$BF182)="% of notional",IF(OR($AG182="",NOT(ISNUMBER($H182)),NOT(ISNUMBER($G182))),"",ROUND(ABS($H182*$G182*$AG182*N($AH182))*IF($L182="Limit",N(INDEX(Settings!$G$14:$G$18,$BF182)),N(INDEX(Settings!$H$14:$H$18,$BF182)))+IF(ISNUMBER($K182),ABS($K182*$G182*$AG182*N($AH182))*IF($M182="Target",N(INDEX(Settings!$G$14:$G$18,$BF182)),N(INDEX(Settings!$H$14:$H$18,$BF182))),0),6)),IF(NOT(ISNUMBER($G182)),"",ROUND(ABS($G182)*2*IF(AND($BE182&gt;0,ISNUMBER(INDEX(Instruments!$G$6:$G$205,MAX(1,$BE182)))),INDEX(Instruments!$G$6:$G$205,MAX(1,$BE182)),N(INDEX(Settings!$F$14:$F$18,$BF182))),6))))</f>
        <v/>
      </c>
      <c r="AK182" s="55" t="str">
        <f>IF($AM182=0,"",IF(ISNUMBER($O182),$O182,$AI182))</f>
        <v/>
      </c>
      <c r="AL182" s="55" t="str">
        <f>IF($AM182=0,"",IF(ISNUMBER($P182),$P182,N($AJ182)))</f>
        <v/>
      </c>
      <c r="AM182" s="56">
        <f>IF(AND($A182&lt;&gt;"",$E182&lt;&gt;"",OR(AND(ISNUMBER($G182),ISNUMBER($H182),ISNUMBER($K182)),ISNUMBER($O182))),1,0)</f>
        <v>0</v>
      </c>
      <c r="AN182" s="57" t="str">
        <f>IF($A182="","",$A182-WEEKDAY($A182,3))</f>
        <v/>
      </c>
      <c r="AO182" s="56" t="str">
        <f>IF($A182="","",WEEKDAY($A182,2))</f>
        <v/>
      </c>
      <c r="AP182" s="55" t="str">
        <f>IF(OR($AM182=0,$C182=""),"",IFERROR(N(INDEX(Accounts!$E$7:$E$16,MATCH($C182,Accounts!$B$7:$B$16,0))),0)+SUMIFS($Q$6:$Q182,$C$6:$C182,$C182))</f>
        <v/>
      </c>
      <c r="AQ182" s="55" t="str">
        <f>IF(OR($AM182=0,$C182=""),"",SUMIFS($Q$6:$Q$1005,$C$6:$C$1005,$C182,$A$6:$A$1005,$A182))</f>
        <v/>
      </c>
      <c r="AR182" s="55" t="str">
        <f>IF(OR($AM182=0,$C182=""),"",IFERROR(N(INDEX(Accounts!$E$7:$E$16,MATCH($C182,Accounts!$B$7:$B$16,0))),0)+SUMIFS($Q$6:$Q$1005,$C$6:$C$1005,$C182,$A$6:$A$1005,"&lt;="&amp;$A182))</f>
        <v/>
      </c>
      <c r="AS182" s="56">
        <f>IF(OR($AM182=0,$Q182=""),0,IF(AND($A182&gt;=Lists!$W$6,$A182&lt;=Lists!$W$7,OR(Dashboard!$D$6="All accounts",$C182=Dashboard!$D$6),OR(Dashboard!$D$7="All markets",$AF182=Dashboard!$D$7)),1,0))</f>
        <v>0</v>
      </c>
      <c r="AT182" s="55">
        <f>IF($AS182=1,N(AT181)+$Q182,N(AT181))</f>
        <v>1187.10688</v>
      </c>
      <c r="AU182" s="55">
        <f>MAX(N(AU181),$AT182)</f>
        <v>1187.10688</v>
      </c>
      <c r="AV182" s="55">
        <f>$AT182-$AU182</f>
        <v>0</v>
      </c>
      <c r="AW182" s="56">
        <f>IF($AS182=1,IF($S182="Win",N(AW181)+1,IF($S182="Loss",0,N(AW181))),N(AW181))</f>
        <v>5</v>
      </c>
      <c r="AX182" s="56">
        <f>IF($AS182=1,IF($S182="Loss",N(AX181)+1,IF($S182="Win",0,N(AX181))),N(AX181))</f>
        <v>0</v>
      </c>
      <c r="AY182" s="56" t="str">
        <f>IF($AS182=1,COUNTIF($AS$6:$AS182,1),"")</f>
        <v/>
      </c>
      <c r="AZ182" s="56">
        <f>MIN(176,N(Lists!$W$8))</f>
        <v>28</v>
      </c>
      <c r="BA182" s="56">
        <f>IF($AS182=1,IF(COUNTIFS($A$6:$A182,$A182,$AS$6:$AS182,1)=1,1,0),0)</f>
        <v>0</v>
      </c>
      <c r="BB182" s="55" t="str">
        <f>IF($BA182=1,SUMIFS($Q$6:$Q$1005,$A$6:$A$1005,$A182,$AS$6:$AS$1005,1),"")</f>
        <v/>
      </c>
      <c r="BC182" s="56">
        <f>IF(ISNUMBER($R182),1,0)</f>
        <v>0</v>
      </c>
      <c r="BD182" s="55" t="str">
        <f>IF(ISNUMBER($U182),$U182*$V182,"")</f>
        <v/>
      </c>
      <c r="BE182" s="56" t="str">
        <f>IF($AM182=0,"",IFERROR(MATCH($AF182&amp;"|"&amp;UPPER(TRIM($E182)),Lists!$A$6:$A$205,0),0))</f>
        <v/>
      </c>
      <c r="BF182" s="56" t="str">
        <f>IF($AM182=0,"",IFERROR(MATCH($AF182,Settings!$B$14:$B$18,0),IFERROR(MATCH(Settings!$C$6,Settings!$B$14:$B$18,0),1)))</f>
        <v/>
      </c>
      <c r="BG182" s="58" t="str">
        <f>IF($AM182=0,"",IF(NOT(ISNUMBER($I182)),"No stop; ","")&amp;IF(AND(ISNUMBER($H182),ISNUMBER($I182)),IF(OR(AND($F182&lt;&gt;"Short",$I182&gt;=$H182),AND($F182="Short",$I182&lt;=$H182)),"Stop on wrong side; ",""),"")&amp;IF($F182="","No direction; ","")&amp;IF(AND(ISNUMBER(Settings!$C$22),ISNUMBER($V182)),IF($V182&gt;Settings!$C$22,"Risk over max $; ",""),"")&amp;IF(AND(ISNUMBER(Settings!$C$23),ISNUMBER($V182),ISNUMBER($AP182),IFERROR(N(INDEX(Accounts!$E$7:$E$16,MATCH($C182,Accounts!$B$7:$B$16,0))),0)&gt;0),IF($V182&gt;Settings!$C$23*($AP182-N($Q182)),"Risk over max %; ",""),"")&amp;IF(AND(ISNUMBER(Settings!$C$24),ISNUMBER($N182)),IF($N182&gt;Settings!$C$24,"Leverage over max; ",""),"")&amp;IF(AND(ISNUMBER(Settings!$C$27),ISNUMBER($T182)),IF($T182&lt;Settings!$C$27,"R:R below min; ",""),"")&amp;IF(ISNUMBER(Settings!$C$25),IF(COUNTIFS($A$6:$A182,$A182,$AM$6:$AM182,1)&gt;Settings!$C$25,"Over max trades/day; ",""),"")&amp;IF(ISNUMBER(Settings!$C$26),IF(SUMIFS($Q$5:$Q181,$A$5:$A181,$A182)&lt;=-Settings!$C$26,"Traded after daily max loss; ",""),"")&amp;IF(AND($AG182="",NOT(ISNUMBER($O182))),"Symbol not in Instruments; ","")&amp;IF(AND($AH182="",NOT(ISNUMBER($O182))),"Forex cross: type Gross P&amp;L; ",""))</f>
        <v/>
      </c>
      <c r="BH182" s="56">
        <f>IF(ISNUMBER($Q182),1,0)</f>
        <v>0</v>
      </c>
      <c r="BI182" s="56">
        <f>IF($Y182="",0,1)</f>
        <v>0</v>
      </c>
      <c r="BJ182" s="56">
        <f>IF($AB182="",0,1)</f>
        <v>0</v>
      </c>
      <c r="BK182" s="56">
        <f>IF(AND($BH182=1,$W182&lt;&gt;"OK"),1,0)</f>
        <v>0</v>
      </c>
      <c r="BL182" s="55">
        <f>IF(N($AZ182)=0,0,IFERROR(INDEX($AT$6:$AT$1005,MATCH($AZ182,$AY$6:$AY$1005,0)),0))</f>
        <v>1187.10688</v>
      </c>
      <c r="BM182" s="56">
        <f>IF(ISNUMBER(SEARCH("daily max loss",$BG182)),1,0)</f>
        <v>0</v>
      </c>
    </row>
    <row r="183" ht="18" customHeight="1">
      <c r="A183" s="38" t="n"/>
      <c r="B183" s="39" t="n"/>
      <c r="C183" s="40" t="n"/>
      <c r="D183" s="41" t="n"/>
      <c r="E183" s="41" t="n"/>
      <c r="F183" s="41" t="n"/>
      <c r="G183" s="41" t="n"/>
      <c r="H183" s="42" t="n"/>
      <c r="I183" s="42" t="n"/>
      <c r="J183" s="42" t="n"/>
      <c r="K183" s="42" t="n"/>
      <c r="L183" s="41" t="n"/>
      <c r="M183" s="41" t="n"/>
      <c r="N183" s="41" t="n"/>
      <c r="O183" s="43" t="n"/>
      <c r="P183" s="43" t="n"/>
      <c r="Q183" s="44" t="str">
        <f>IF($AM183=0,"",IF(ISNUMBER($AK183),$AK183-N($AL183),""))</f>
        <v/>
      </c>
      <c r="R183" s="45" t="str">
        <f>IF(OR($Q183="",NOT(ISNUMBER($V183))),"",$AK183/$V183)</f>
        <v/>
      </c>
      <c r="S183" s="46" t="str">
        <f>IF($Q183="","",IF(AND(ISNUMBER($R183),ABS(N($R183))&lt;N(Settings!$C$8)),"Scratch",IF($Q183&gt;0,"Win",IF($Q183&lt;0,"Loss","Scratch"))))</f>
        <v/>
      </c>
      <c r="T183" s="47" t="str">
        <f>IF(OR($AM183=0,NOT(ISNUMBER($H183)),NOT(ISNUMBER($I183)),NOT(ISNUMBER($J183))),"",IF($H183=$I183,"",ROUND(ABS($J183-$H183)/ABS($H183-$I183),6)))</f>
        <v/>
      </c>
      <c r="U183" s="48" t="str">
        <f>IF(OR($S183&lt;&gt;"Win",NOT(ISNUMBER($T183)),NOT(ISNUMBER($R183))),"",MAX(0,$T183-$R183))</f>
        <v/>
      </c>
      <c r="V183" s="49" t="str">
        <f>IF(OR($AM183=0,NOT(ISNUMBER($H183)),NOT(ISNUMBER($I183)),NOT(ISNUMBER($G183))),"",IF(OR($AG183="",$AH183=""),"",IF(ROUND(ABS($H183-$I183)*ABS($G183)*$AG183*$AH183,6)=0,"",ROUND(ABS($H183-$I183)*ABS($G183)*$AG183*$AH183,6))))</f>
        <v/>
      </c>
      <c r="W183" s="50" t="str">
        <f>IF($AM183=0,"",IF($BG183="","OK",LEFT($BG183,LEN($BG183)-2)))</f>
        <v/>
      </c>
      <c r="X183" s="41" t="n"/>
      <c r="Y183" s="40" t="n"/>
      <c r="Z183" s="41" t="n"/>
      <c r="AA183" s="41" t="n"/>
      <c r="AB183" s="40" t="n"/>
      <c r="AC183" s="51" t="n"/>
      <c r="AD183" s="51" t="n"/>
      <c r="AE183" s="40" t="n"/>
      <c r="AF183" s="52" t="str">
        <f>IF($AM183=0,"",IF($D183&lt;&gt;"",$D183,IF(IFERROR(INDEX(Accounts!$C$7:$C$16,MATCH($C183,Accounts!$B$7:$B$16,0))&amp;"","")&lt;&gt;"",INDEX(Accounts!$C$7:$C$16,MATCH($C183,Accounts!$B$7:$B$16,0)),Settings!$C$6)))</f>
        <v/>
      </c>
      <c r="AG183" s="53" t="str">
        <f>IF($AM183=0,"",IF(AND($BE183&gt;0,N(INDEX(Instruments!$D$6:$D$205,MAX(1,$BE183)))&gt;0),INDEX(Instruments!$D$6:$D$205,MAX(1,$BE183)),IF(N(INDEX(Settings!$D$14:$D$18,$BF183))&gt;0,INDEX(Settings!$D$14:$D$18,$BF183),"")))</f>
        <v/>
      </c>
      <c r="AH183" s="54" t="str">
        <f>IF($AM183=0,"",IF($AF183&lt;&gt;"Forex",1,IF(MID(UPPER(SUBSTITUTE(TRIM($E183),"/","")),4,3)=UPPER(TRIM(Settings!$C$7)),1,IF(LEFT(UPPER(SUBSTITUTE(TRIM($E183),"/","")),3)=UPPER(TRIM(Settings!$C$7)),IF(AND(ISNUMBER($K183),N($K183)&lt;&gt;0),1/$K183,""),""))))</f>
        <v/>
      </c>
      <c r="AI183" s="55" t="str">
        <f>IF($AM183=0,"",IF(OR(NOT(ISNUMBER($H183)),NOT(ISNUMBER($K183)),NOT(ISNUMBER($G183)),$AG183="",$AH183=""),"",ROUND(($K183-$H183)*IF($F183="Short",-1,1)*$G183*$AG183*$AH183,6)))</f>
        <v/>
      </c>
      <c r="AJ183" s="55" t="str">
        <f>IF($AM183=0,"",IF(INDEX(Settings!$E$14:$E$18,$BF183)="% of notional",IF(OR($AG183="",NOT(ISNUMBER($H183)),NOT(ISNUMBER($G183))),"",ROUND(ABS($H183*$G183*$AG183*N($AH183))*IF($L183="Limit",N(INDEX(Settings!$G$14:$G$18,$BF183)),N(INDEX(Settings!$H$14:$H$18,$BF183)))+IF(ISNUMBER($K183),ABS($K183*$G183*$AG183*N($AH183))*IF($M183="Target",N(INDEX(Settings!$G$14:$G$18,$BF183)),N(INDEX(Settings!$H$14:$H$18,$BF183))),0),6)),IF(NOT(ISNUMBER($G183)),"",ROUND(ABS($G183)*2*IF(AND($BE183&gt;0,ISNUMBER(INDEX(Instruments!$G$6:$G$205,MAX(1,$BE183)))),INDEX(Instruments!$G$6:$G$205,MAX(1,$BE183)),N(INDEX(Settings!$F$14:$F$18,$BF183))),6))))</f>
        <v/>
      </c>
      <c r="AK183" s="55" t="str">
        <f>IF($AM183=0,"",IF(ISNUMBER($O183),$O183,$AI183))</f>
        <v/>
      </c>
      <c r="AL183" s="55" t="str">
        <f>IF($AM183=0,"",IF(ISNUMBER($P183),$P183,N($AJ183)))</f>
        <v/>
      </c>
      <c r="AM183" s="56">
        <f>IF(AND($A183&lt;&gt;"",$E183&lt;&gt;"",OR(AND(ISNUMBER($G183),ISNUMBER($H183),ISNUMBER($K183)),ISNUMBER($O183))),1,0)</f>
        <v>0</v>
      </c>
      <c r="AN183" s="57" t="str">
        <f>IF($A183="","",$A183-WEEKDAY($A183,3))</f>
        <v/>
      </c>
      <c r="AO183" s="56" t="str">
        <f>IF($A183="","",WEEKDAY($A183,2))</f>
        <v/>
      </c>
      <c r="AP183" s="55" t="str">
        <f>IF(OR($AM183=0,$C183=""),"",IFERROR(N(INDEX(Accounts!$E$7:$E$16,MATCH($C183,Accounts!$B$7:$B$16,0))),0)+SUMIFS($Q$6:$Q183,$C$6:$C183,$C183))</f>
        <v/>
      </c>
      <c r="AQ183" s="55" t="str">
        <f>IF(OR($AM183=0,$C183=""),"",SUMIFS($Q$6:$Q$1005,$C$6:$C$1005,$C183,$A$6:$A$1005,$A183))</f>
        <v/>
      </c>
      <c r="AR183" s="55" t="str">
        <f>IF(OR($AM183=0,$C183=""),"",IFERROR(N(INDEX(Accounts!$E$7:$E$16,MATCH($C183,Accounts!$B$7:$B$16,0))),0)+SUMIFS($Q$6:$Q$1005,$C$6:$C$1005,$C183,$A$6:$A$1005,"&lt;="&amp;$A183))</f>
        <v/>
      </c>
      <c r="AS183" s="56">
        <f>IF(OR($AM183=0,$Q183=""),0,IF(AND($A183&gt;=Lists!$W$6,$A183&lt;=Lists!$W$7,OR(Dashboard!$D$6="All accounts",$C183=Dashboard!$D$6),OR(Dashboard!$D$7="All markets",$AF183=Dashboard!$D$7)),1,0))</f>
        <v>0</v>
      </c>
      <c r="AT183" s="55">
        <f>IF($AS183=1,N(AT182)+$Q183,N(AT182))</f>
        <v>1187.10688</v>
      </c>
      <c r="AU183" s="55">
        <f>MAX(N(AU182),$AT183)</f>
        <v>1187.10688</v>
      </c>
      <c r="AV183" s="55">
        <f>$AT183-$AU183</f>
        <v>0</v>
      </c>
      <c r="AW183" s="56">
        <f>IF($AS183=1,IF($S183="Win",N(AW182)+1,IF($S183="Loss",0,N(AW182))),N(AW182))</f>
        <v>5</v>
      </c>
      <c r="AX183" s="56">
        <f>IF($AS183=1,IF($S183="Loss",N(AX182)+1,IF($S183="Win",0,N(AX182))),N(AX182))</f>
        <v>0</v>
      </c>
      <c r="AY183" s="56" t="str">
        <f>IF($AS183=1,COUNTIF($AS$6:$AS183,1),"")</f>
        <v/>
      </c>
      <c r="AZ183" s="56">
        <f>MIN(177,N(Lists!$W$8))</f>
        <v>28</v>
      </c>
      <c r="BA183" s="56">
        <f>IF($AS183=1,IF(COUNTIFS($A$6:$A183,$A183,$AS$6:$AS183,1)=1,1,0),0)</f>
        <v>0</v>
      </c>
      <c r="BB183" s="55" t="str">
        <f>IF($BA183=1,SUMIFS($Q$6:$Q$1005,$A$6:$A$1005,$A183,$AS$6:$AS$1005,1),"")</f>
        <v/>
      </c>
      <c r="BC183" s="56">
        <f>IF(ISNUMBER($R183),1,0)</f>
        <v>0</v>
      </c>
      <c r="BD183" s="55" t="str">
        <f>IF(ISNUMBER($U183),$U183*$V183,"")</f>
        <v/>
      </c>
      <c r="BE183" s="56" t="str">
        <f>IF($AM183=0,"",IFERROR(MATCH($AF183&amp;"|"&amp;UPPER(TRIM($E183)),Lists!$A$6:$A$205,0),0))</f>
        <v/>
      </c>
      <c r="BF183" s="56" t="str">
        <f>IF($AM183=0,"",IFERROR(MATCH($AF183,Settings!$B$14:$B$18,0),IFERROR(MATCH(Settings!$C$6,Settings!$B$14:$B$18,0),1)))</f>
        <v/>
      </c>
      <c r="BG183" s="58" t="str">
        <f>IF($AM183=0,"",IF(NOT(ISNUMBER($I183)),"No stop; ","")&amp;IF(AND(ISNUMBER($H183),ISNUMBER($I183)),IF(OR(AND($F183&lt;&gt;"Short",$I183&gt;=$H183),AND($F183="Short",$I183&lt;=$H183)),"Stop on wrong side; ",""),"")&amp;IF($F183="","No direction; ","")&amp;IF(AND(ISNUMBER(Settings!$C$22),ISNUMBER($V183)),IF($V183&gt;Settings!$C$22,"Risk over max $; ",""),"")&amp;IF(AND(ISNUMBER(Settings!$C$23),ISNUMBER($V183),ISNUMBER($AP183),IFERROR(N(INDEX(Accounts!$E$7:$E$16,MATCH($C183,Accounts!$B$7:$B$16,0))),0)&gt;0),IF($V183&gt;Settings!$C$23*($AP183-N($Q183)),"Risk over max %; ",""),"")&amp;IF(AND(ISNUMBER(Settings!$C$24),ISNUMBER($N183)),IF($N183&gt;Settings!$C$24,"Leverage over max; ",""),"")&amp;IF(AND(ISNUMBER(Settings!$C$27),ISNUMBER($T183)),IF($T183&lt;Settings!$C$27,"R:R below min; ",""),"")&amp;IF(ISNUMBER(Settings!$C$25),IF(COUNTIFS($A$6:$A183,$A183,$AM$6:$AM183,1)&gt;Settings!$C$25,"Over max trades/day; ",""),"")&amp;IF(ISNUMBER(Settings!$C$26),IF(SUMIFS($Q$5:$Q182,$A$5:$A182,$A183)&lt;=-Settings!$C$26,"Traded after daily max loss; ",""),"")&amp;IF(AND($AG183="",NOT(ISNUMBER($O183))),"Symbol not in Instruments; ","")&amp;IF(AND($AH183="",NOT(ISNUMBER($O183))),"Forex cross: type Gross P&amp;L; ",""))</f>
        <v/>
      </c>
      <c r="BH183" s="56">
        <f>IF(ISNUMBER($Q183),1,0)</f>
        <v>0</v>
      </c>
      <c r="BI183" s="56">
        <f>IF($Y183="",0,1)</f>
        <v>0</v>
      </c>
      <c r="BJ183" s="56">
        <f>IF($AB183="",0,1)</f>
        <v>0</v>
      </c>
      <c r="BK183" s="56">
        <f>IF(AND($BH183=1,$W183&lt;&gt;"OK"),1,0)</f>
        <v>0</v>
      </c>
      <c r="BL183" s="55">
        <f>IF(N($AZ183)=0,0,IFERROR(INDEX($AT$6:$AT$1005,MATCH($AZ183,$AY$6:$AY$1005,0)),0))</f>
        <v>1187.10688</v>
      </c>
      <c r="BM183" s="56">
        <f>IF(ISNUMBER(SEARCH("daily max loss",$BG183)),1,0)</f>
        <v>0</v>
      </c>
    </row>
    <row r="184" ht="18" customHeight="1">
      <c r="A184" s="38" t="n"/>
      <c r="B184" s="39" t="n"/>
      <c r="C184" s="40" t="n"/>
      <c r="D184" s="41" t="n"/>
      <c r="E184" s="41" t="n"/>
      <c r="F184" s="41" t="n"/>
      <c r="G184" s="41" t="n"/>
      <c r="H184" s="42" t="n"/>
      <c r="I184" s="42" t="n"/>
      <c r="J184" s="42" t="n"/>
      <c r="K184" s="42" t="n"/>
      <c r="L184" s="41" t="n"/>
      <c r="M184" s="41" t="n"/>
      <c r="N184" s="41" t="n"/>
      <c r="O184" s="43" t="n"/>
      <c r="P184" s="43" t="n"/>
      <c r="Q184" s="44" t="str">
        <f>IF($AM184=0,"",IF(ISNUMBER($AK184),$AK184-N($AL184),""))</f>
        <v/>
      </c>
      <c r="R184" s="45" t="str">
        <f>IF(OR($Q184="",NOT(ISNUMBER($V184))),"",$AK184/$V184)</f>
        <v/>
      </c>
      <c r="S184" s="46" t="str">
        <f>IF($Q184="","",IF(AND(ISNUMBER($R184),ABS(N($R184))&lt;N(Settings!$C$8)),"Scratch",IF($Q184&gt;0,"Win",IF($Q184&lt;0,"Loss","Scratch"))))</f>
        <v/>
      </c>
      <c r="T184" s="47" t="str">
        <f>IF(OR($AM184=0,NOT(ISNUMBER($H184)),NOT(ISNUMBER($I184)),NOT(ISNUMBER($J184))),"",IF($H184=$I184,"",ROUND(ABS($J184-$H184)/ABS($H184-$I184),6)))</f>
        <v/>
      </c>
      <c r="U184" s="48" t="str">
        <f>IF(OR($S184&lt;&gt;"Win",NOT(ISNUMBER($T184)),NOT(ISNUMBER($R184))),"",MAX(0,$T184-$R184))</f>
        <v/>
      </c>
      <c r="V184" s="49" t="str">
        <f>IF(OR($AM184=0,NOT(ISNUMBER($H184)),NOT(ISNUMBER($I184)),NOT(ISNUMBER($G184))),"",IF(OR($AG184="",$AH184=""),"",IF(ROUND(ABS($H184-$I184)*ABS($G184)*$AG184*$AH184,6)=0,"",ROUND(ABS($H184-$I184)*ABS($G184)*$AG184*$AH184,6))))</f>
        <v/>
      </c>
      <c r="W184" s="50" t="str">
        <f>IF($AM184=0,"",IF($BG184="","OK",LEFT($BG184,LEN($BG184)-2)))</f>
        <v/>
      </c>
      <c r="X184" s="41" t="n"/>
      <c r="Y184" s="40" t="n"/>
      <c r="Z184" s="41" t="n"/>
      <c r="AA184" s="41" t="n"/>
      <c r="AB184" s="40" t="n"/>
      <c r="AC184" s="51" t="n"/>
      <c r="AD184" s="51" t="n"/>
      <c r="AE184" s="40" t="n"/>
      <c r="AF184" s="52" t="str">
        <f>IF($AM184=0,"",IF($D184&lt;&gt;"",$D184,IF(IFERROR(INDEX(Accounts!$C$7:$C$16,MATCH($C184,Accounts!$B$7:$B$16,0))&amp;"","")&lt;&gt;"",INDEX(Accounts!$C$7:$C$16,MATCH($C184,Accounts!$B$7:$B$16,0)),Settings!$C$6)))</f>
        <v/>
      </c>
      <c r="AG184" s="53" t="str">
        <f>IF($AM184=0,"",IF(AND($BE184&gt;0,N(INDEX(Instruments!$D$6:$D$205,MAX(1,$BE184)))&gt;0),INDEX(Instruments!$D$6:$D$205,MAX(1,$BE184)),IF(N(INDEX(Settings!$D$14:$D$18,$BF184))&gt;0,INDEX(Settings!$D$14:$D$18,$BF184),"")))</f>
        <v/>
      </c>
      <c r="AH184" s="54" t="str">
        <f>IF($AM184=0,"",IF($AF184&lt;&gt;"Forex",1,IF(MID(UPPER(SUBSTITUTE(TRIM($E184),"/","")),4,3)=UPPER(TRIM(Settings!$C$7)),1,IF(LEFT(UPPER(SUBSTITUTE(TRIM($E184),"/","")),3)=UPPER(TRIM(Settings!$C$7)),IF(AND(ISNUMBER($K184),N($K184)&lt;&gt;0),1/$K184,""),""))))</f>
        <v/>
      </c>
      <c r="AI184" s="55" t="str">
        <f>IF($AM184=0,"",IF(OR(NOT(ISNUMBER($H184)),NOT(ISNUMBER($K184)),NOT(ISNUMBER($G184)),$AG184="",$AH184=""),"",ROUND(($K184-$H184)*IF($F184="Short",-1,1)*$G184*$AG184*$AH184,6)))</f>
        <v/>
      </c>
      <c r="AJ184" s="55" t="str">
        <f>IF($AM184=0,"",IF(INDEX(Settings!$E$14:$E$18,$BF184)="% of notional",IF(OR($AG184="",NOT(ISNUMBER($H184)),NOT(ISNUMBER($G184))),"",ROUND(ABS($H184*$G184*$AG184*N($AH184))*IF($L184="Limit",N(INDEX(Settings!$G$14:$G$18,$BF184)),N(INDEX(Settings!$H$14:$H$18,$BF184)))+IF(ISNUMBER($K184),ABS($K184*$G184*$AG184*N($AH184))*IF($M184="Target",N(INDEX(Settings!$G$14:$G$18,$BF184)),N(INDEX(Settings!$H$14:$H$18,$BF184))),0),6)),IF(NOT(ISNUMBER($G184)),"",ROUND(ABS($G184)*2*IF(AND($BE184&gt;0,ISNUMBER(INDEX(Instruments!$G$6:$G$205,MAX(1,$BE184)))),INDEX(Instruments!$G$6:$G$205,MAX(1,$BE184)),N(INDEX(Settings!$F$14:$F$18,$BF184))),6))))</f>
        <v/>
      </c>
      <c r="AK184" s="55" t="str">
        <f>IF($AM184=0,"",IF(ISNUMBER($O184),$O184,$AI184))</f>
        <v/>
      </c>
      <c r="AL184" s="55" t="str">
        <f>IF($AM184=0,"",IF(ISNUMBER($P184),$P184,N($AJ184)))</f>
        <v/>
      </c>
      <c r="AM184" s="56">
        <f>IF(AND($A184&lt;&gt;"",$E184&lt;&gt;"",OR(AND(ISNUMBER($G184),ISNUMBER($H184),ISNUMBER($K184)),ISNUMBER($O184))),1,0)</f>
        <v>0</v>
      </c>
      <c r="AN184" s="57" t="str">
        <f>IF($A184="","",$A184-WEEKDAY($A184,3))</f>
        <v/>
      </c>
      <c r="AO184" s="56" t="str">
        <f>IF($A184="","",WEEKDAY($A184,2))</f>
        <v/>
      </c>
      <c r="AP184" s="55" t="str">
        <f>IF(OR($AM184=0,$C184=""),"",IFERROR(N(INDEX(Accounts!$E$7:$E$16,MATCH($C184,Accounts!$B$7:$B$16,0))),0)+SUMIFS($Q$6:$Q184,$C$6:$C184,$C184))</f>
        <v/>
      </c>
      <c r="AQ184" s="55" t="str">
        <f>IF(OR($AM184=0,$C184=""),"",SUMIFS($Q$6:$Q$1005,$C$6:$C$1005,$C184,$A$6:$A$1005,$A184))</f>
        <v/>
      </c>
      <c r="AR184" s="55" t="str">
        <f>IF(OR($AM184=0,$C184=""),"",IFERROR(N(INDEX(Accounts!$E$7:$E$16,MATCH($C184,Accounts!$B$7:$B$16,0))),0)+SUMIFS($Q$6:$Q$1005,$C$6:$C$1005,$C184,$A$6:$A$1005,"&lt;="&amp;$A184))</f>
        <v/>
      </c>
      <c r="AS184" s="56">
        <f>IF(OR($AM184=0,$Q184=""),0,IF(AND($A184&gt;=Lists!$W$6,$A184&lt;=Lists!$W$7,OR(Dashboard!$D$6="All accounts",$C184=Dashboard!$D$6),OR(Dashboard!$D$7="All markets",$AF184=Dashboard!$D$7)),1,0))</f>
        <v>0</v>
      </c>
      <c r="AT184" s="55">
        <f>IF($AS184=1,N(AT183)+$Q184,N(AT183))</f>
        <v>1187.10688</v>
      </c>
      <c r="AU184" s="55">
        <f>MAX(N(AU183),$AT184)</f>
        <v>1187.10688</v>
      </c>
      <c r="AV184" s="55">
        <f>$AT184-$AU184</f>
        <v>0</v>
      </c>
      <c r="AW184" s="56">
        <f>IF($AS184=1,IF($S184="Win",N(AW183)+1,IF($S184="Loss",0,N(AW183))),N(AW183))</f>
        <v>5</v>
      </c>
      <c r="AX184" s="56">
        <f>IF($AS184=1,IF($S184="Loss",N(AX183)+1,IF($S184="Win",0,N(AX183))),N(AX183))</f>
        <v>0</v>
      </c>
      <c r="AY184" s="56" t="str">
        <f>IF($AS184=1,COUNTIF($AS$6:$AS184,1),"")</f>
        <v/>
      </c>
      <c r="AZ184" s="56">
        <f>MIN(178,N(Lists!$W$8))</f>
        <v>28</v>
      </c>
      <c r="BA184" s="56">
        <f>IF($AS184=1,IF(COUNTIFS($A$6:$A184,$A184,$AS$6:$AS184,1)=1,1,0),0)</f>
        <v>0</v>
      </c>
      <c r="BB184" s="55" t="str">
        <f>IF($BA184=1,SUMIFS($Q$6:$Q$1005,$A$6:$A$1005,$A184,$AS$6:$AS$1005,1),"")</f>
        <v/>
      </c>
      <c r="BC184" s="56">
        <f>IF(ISNUMBER($R184),1,0)</f>
        <v>0</v>
      </c>
      <c r="BD184" s="55" t="str">
        <f>IF(ISNUMBER($U184),$U184*$V184,"")</f>
        <v/>
      </c>
      <c r="BE184" s="56" t="str">
        <f>IF($AM184=0,"",IFERROR(MATCH($AF184&amp;"|"&amp;UPPER(TRIM($E184)),Lists!$A$6:$A$205,0),0))</f>
        <v/>
      </c>
      <c r="BF184" s="56" t="str">
        <f>IF($AM184=0,"",IFERROR(MATCH($AF184,Settings!$B$14:$B$18,0),IFERROR(MATCH(Settings!$C$6,Settings!$B$14:$B$18,0),1)))</f>
        <v/>
      </c>
      <c r="BG184" s="58" t="str">
        <f>IF($AM184=0,"",IF(NOT(ISNUMBER($I184)),"No stop; ","")&amp;IF(AND(ISNUMBER($H184),ISNUMBER($I184)),IF(OR(AND($F184&lt;&gt;"Short",$I184&gt;=$H184),AND($F184="Short",$I184&lt;=$H184)),"Stop on wrong side; ",""),"")&amp;IF($F184="","No direction; ","")&amp;IF(AND(ISNUMBER(Settings!$C$22),ISNUMBER($V184)),IF($V184&gt;Settings!$C$22,"Risk over max $; ",""),"")&amp;IF(AND(ISNUMBER(Settings!$C$23),ISNUMBER($V184),ISNUMBER($AP184),IFERROR(N(INDEX(Accounts!$E$7:$E$16,MATCH($C184,Accounts!$B$7:$B$16,0))),0)&gt;0),IF($V184&gt;Settings!$C$23*($AP184-N($Q184)),"Risk over max %; ",""),"")&amp;IF(AND(ISNUMBER(Settings!$C$24),ISNUMBER($N184)),IF($N184&gt;Settings!$C$24,"Leverage over max; ",""),"")&amp;IF(AND(ISNUMBER(Settings!$C$27),ISNUMBER($T184)),IF($T184&lt;Settings!$C$27,"R:R below min; ",""),"")&amp;IF(ISNUMBER(Settings!$C$25),IF(COUNTIFS($A$6:$A184,$A184,$AM$6:$AM184,1)&gt;Settings!$C$25,"Over max trades/day; ",""),"")&amp;IF(ISNUMBER(Settings!$C$26),IF(SUMIFS($Q$5:$Q183,$A$5:$A183,$A184)&lt;=-Settings!$C$26,"Traded after daily max loss; ",""),"")&amp;IF(AND($AG184="",NOT(ISNUMBER($O184))),"Symbol not in Instruments; ","")&amp;IF(AND($AH184="",NOT(ISNUMBER($O184))),"Forex cross: type Gross P&amp;L; ",""))</f>
        <v/>
      </c>
      <c r="BH184" s="56">
        <f>IF(ISNUMBER($Q184),1,0)</f>
        <v>0</v>
      </c>
      <c r="BI184" s="56">
        <f>IF($Y184="",0,1)</f>
        <v>0</v>
      </c>
      <c r="BJ184" s="56">
        <f>IF($AB184="",0,1)</f>
        <v>0</v>
      </c>
      <c r="BK184" s="56">
        <f>IF(AND($BH184=1,$W184&lt;&gt;"OK"),1,0)</f>
        <v>0</v>
      </c>
      <c r="BL184" s="55">
        <f>IF(N($AZ184)=0,0,IFERROR(INDEX($AT$6:$AT$1005,MATCH($AZ184,$AY$6:$AY$1005,0)),0))</f>
        <v>1187.10688</v>
      </c>
      <c r="BM184" s="56">
        <f>IF(ISNUMBER(SEARCH("daily max loss",$BG184)),1,0)</f>
        <v>0</v>
      </c>
    </row>
    <row r="185" ht="18" customHeight="1">
      <c r="A185" s="38" t="n"/>
      <c r="B185" s="39" t="n"/>
      <c r="C185" s="40" t="n"/>
      <c r="D185" s="41" t="n"/>
      <c r="E185" s="41" t="n"/>
      <c r="F185" s="41" t="n"/>
      <c r="G185" s="41" t="n"/>
      <c r="H185" s="42" t="n"/>
      <c r="I185" s="42" t="n"/>
      <c r="J185" s="42" t="n"/>
      <c r="K185" s="42" t="n"/>
      <c r="L185" s="41" t="n"/>
      <c r="M185" s="41" t="n"/>
      <c r="N185" s="41" t="n"/>
      <c r="O185" s="43" t="n"/>
      <c r="P185" s="43" t="n"/>
      <c r="Q185" s="44" t="str">
        <f>IF($AM185=0,"",IF(ISNUMBER($AK185),$AK185-N($AL185),""))</f>
        <v/>
      </c>
      <c r="R185" s="45" t="str">
        <f>IF(OR($Q185="",NOT(ISNUMBER($V185))),"",$AK185/$V185)</f>
        <v/>
      </c>
      <c r="S185" s="46" t="str">
        <f>IF($Q185="","",IF(AND(ISNUMBER($R185),ABS(N($R185))&lt;N(Settings!$C$8)),"Scratch",IF($Q185&gt;0,"Win",IF($Q185&lt;0,"Loss","Scratch"))))</f>
        <v/>
      </c>
      <c r="T185" s="47" t="str">
        <f>IF(OR($AM185=0,NOT(ISNUMBER($H185)),NOT(ISNUMBER($I185)),NOT(ISNUMBER($J185))),"",IF($H185=$I185,"",ROUND(ABS($J185-$H185)/ABS($H185-$I185),6)))</f>
        <v/>
      </c>
      <c r="U185" s="48" t="str">
        <f>IF(OR($S185&lt;&gt;"Win",NOT(ISNUMBER($T185)),NOT(ISNUMBER($R185))),"",MAX(0,$T185-$R185))</f>
        <v/>
      </c>
      <c r="V185" s="49" t="str">
        <f>IF(OR($AM185=0,NOT(ISNUMBER($H185)),NOT(ISNUMBER($I185)),NOT(ISNUMBER($G185))),"",IF(OR($AG185="",$AH185=""),"",IF(ROUND(ABS($H185-$I185)*ABS($G185)*$AG185*$AH185,6)=0,"",ROUND(ABS($H185-$I185)*ABS($G185)*$AG185*$AH185,6))))</f>
        <v/>
      </c>
      <c r="W185" s="50" t="str">
        <f>IF($AM185=0,"",IF($BG185="","OK",LEFT($BG185,LEN($BG185)-2)))</f>
        <v/>
      </c>
      <c r="X185" s="41" t="n"/>
      <c r="Y185" s="40" t="n"/>
      <c r="Z185" s="41" t="n"/>
      <c r="AA185" s="41" t="n"/>
      <c r="AB185" s="40" t="n"/>
      <c r="AC185" s="51" t="n"/>
      <c r="AD185" s="51" t="n"/>
      <c r="AE185" s="40" t="n"/>
      <c r="AF185" s="52" t="str">
        <f>IF($AM185=0,"",IF($D185&lt;&gt;"",$D185,IF(IFERROR(INDEX(Accounts!$C$7:$C$16,MATCH($C185,Accounts!$B$7:$B$16,0))&amp;"","")&lt;&gt;"",INDEX(Accounts!$C$7:$C$16,MATCH($C185,Accounts!$B$7:$B$16,0)),Settings!$C$6)))</f>
        <v/>
      </c>
      <c r="AG185" s="53" t="str">
        <f>IF($AM185=0,"",IF(AND($BE185&gt;0,N(INDEX(Instruments!$D$6:$D$205,MAX(1,$BE185)))&gt;0),INDEX(Instruments!$D$6:$D$205,MAX(1,$BE185)),IF(N(INDEX(Settings!$D$14:$D$18,$BF185))&gt;0,INDEX(Settings!$D$14:$D$18,$BF185),"")))</f>
        <v/>
      </c>
      <c r="AH185" s="54" t="str">
        <f>IF($AM185=0,"",IF($AF185&lt;&gt;"Forex",1,IF(MID(UPPER(SUBSTITUTE(TRIM($E185),"/","")),4,3)=UPPER(TRIM(Settings!$C$7)),1,IF(LEFT(UPPER(SUBSTITUTE(TRIM($E185),"/","")),3)=UPPER(TRIM(Settings!$C$7)),IF(AND(ISNUMBER($K185),N($K185)&lt;&gt;0),1/$K185,""),""))))</f>
        <v/>
      </c>
      <c r="AI185" s="55" t="str">
        <f>IF($AM185=0,"",IF(OR(NOT(ISNUMBER($H185)),NOT(ISNUMBER($K185)),NOT(ISNUMBER($G185)),$AG185="",$AH185=""),"",ROUND(($K185-$H185)*IF($F185="Short",-1,1)*$G185*$AG185*$AH185,6)))</f>
        <v/>
      </c>
      <c r="AJ185" s="55" t="str">
        <f>IF($AM185=0,"",IF(INDEX(Settings!$E$14:$E$18,$BF185)="% of notional",IF(OR($AG185="",NOT(ISNUMBER($H185)),NOT(ISNUMBER($G185))),"",ROUND(ABS($H185*$G185*$AG185*N($AH185))*IF($L185="Limit",N(INDEX(Settings!$G$14:$G$18,$BF185)),N(INDEX(Settings!$H$14:$H$18,$BF185)))+IF(ISNUMBER($K185),ABS($K185*$G185*$AG185*N($AH185))*IF($M185="Target",N(INDEX(Settings!$G$14:$G$18,$BF185)),N(INDEX(Settings!$H$14:$H$18,$BF185))),0),6)),IF(NOT(ISNUMBER($G185)),"",ROUND(ABS($G185)*2*IF(AND($BE185&gt;0,ISNUMBER(INDEX(Instruments!$G$6:$G$205,MAX(1,$BE185)))),INDEX(Instruments!$G$6:$G$205,MAX(1,$BE185)),N(INDEX(Settings!$F$14:$F$18,$BF185))),6))))</f>
        <v/>
      </c>
      <c r="AK185" s="55" t="str">
        <f>IF($AM185=0,"",IF(ISNUMBER($O185),$O185,$AI185))</f>
        <v/>
      </c>
      <c r="AL185" s="55" t="str">
        <f>IF($AM185=0,"",IF(ISNUMBER($P185),$P185,N($AJ185)))</f>
        <v/>
      </c>
      <c r="AM185" s="56">
        <f>IF(AND($A185&lt;&gt;"",$E185&lt;&gt;"",OR(AND(ISNUMBER($G185),ISNUMBER($H185),ISNUMBER($K185)),ISNUMBER($O185))),1,0)</f>
        <v>0</v>
      </c>
      <c r="AN185" s="57" t="str">
        <f>IF($A185="","",$A185-WEEKDAY($A185,3))</f>
        <v/>
      </c>
      <c r="AO185" s="56" t="str">
        <f>IF($A185="","",WEEKDAY($A185,2))</f>
        <v/>
      </c>
      <c r="AP185" s="55" t="str">
        <f>IF(OR($AM185=0,$C185=""),"",IFERROR(N(INDEX(Accounts!$E$7:$E$16,MATCH($C185,Accounts!$B$7:$B$16,0))),0)+SUMIFS($Q$6:$Q185,$C$6:$C185,$C185))</f>
        <v/>
      </c>
      <c r="AQ185" s="55" t="str">
        <f>IF(OR($AM185=0,$C185=""),"",SUMIFS($Q$6:$Q$1005,$C$6:$C$1005,$C185,$A$6:$A$1005,$A185))</f>
        <v/>
      </c>
      <c r="AR185" s="55" t="str">
        <f>IF(OR($AM185=0,$C185=""),"",IFERROR(N(INDEX(Accounts!$E$7:$E$16,MATCH($C185,Accounts!$B$7:$B$16,0))),0)+SUMIFS($Q$6:$Q$1005,$C$6:$C$1005,$C185,$A$6:$A$1005,"&lt;="&amp;$A185))</f>
        <v/>
      </c>
      <c r="AS185" s="56">
        <f>IF(OR($AM185=0,$Q185=""),0,IF(AND($A185&gt;=Lists!$W$6,$A185&lt;=Lists!$W$7,OR(Dashboard!$D$6="All accounts",$C185=Dashboard!$D$6),OR(Dashboard!$D$7="All markets",$AF185=Dashboard!$D$7)),1,0))</f>
        <v>0</v>
      </c>
      <c r="AT185" s="55">
        <f>IF($AS185=1,N(AT184)+$Q185,N(AT184))</f>
        <v>1187.10688</v>
      </c>
      <c r="AU185" s="55">
        <f>MAX(N(AU184),$AT185)</f>
        <v>1187.10688</v>
      </c>
      <c r="AV185" s="55">
        <f>$AT185-$AU185</f>
        <v>0</v>
      </c>
      <c r="AW185" s="56">
        <f>IF($AS185=1,IF($S185="Win",N(AW184)+1,IF($S185="Loss",0,N(AW184))),N(AW184))</f>
        <v>5</v>
      </c>
      <c r="AX185" s="56">
        <f>IF($AS185=1,IF($S185="Loss",N(AX184)+1,IF($S185="Win",0,N(AX184))),N(AX184))</f>
        <v>0</v>
      </c>
      <c r="AY185" s="56" t="str">
        <f>IF($AS185=1,COUNTIF($AS$6:$AS185,1),"")</f>
        <v/>
      </c>
      <c r="AZ185" s="56">
        <f>MIN(179,N(Lists!$W$8))</f>
        <v>28</v>
      </c>
      <c r="BA185" s="56">
        <f>IF($AS185=1,IF(COUNTIFS($A$6:$A185,$A185,$AS$6:$AS185,1)=1,1,0),0)</f>
        <v>0</v>
      </c>
      <c r="BB185" s="55" t="str">
        <f>IF($BA185=1,SUMIFS($Q$6:$Q$1005,$A$6:$A$1005,$A185,$AS$6:$AS$1005,1),"")</f>
        <v/>
      </c>
      <c r="BC185" s="56">
        <f>IF(ISNUMBER($R185),1,0)</f>
        <v>0</v>
      </c>
      <c r="BD185" s="55" t="str">
        <f>IF(ISNUMBER($U185),$U185*$V185,"")</f>
        <v/>
      </c>
      <c r="BE185" s="56" t="str">
        <f>IF($AM185=0,"",IFERROR(MATCH($AF185&amp;"|"&amp;UPPER(TRIM($E185)),Lists!$A$6:$A$205,0),0))</f>
        <v/>
      </c>
      <c r="BF185" s="56" t="str">
        <f>IF($AM185=0,"",IFERROR(MATCH($AF185,Settings!$B$14:$B$18,0),IFERROR(MATCH(Settings!$C$6,Settings!$B$14:$B$18,0),1)))</f>
        <v/>
      </c>
      <c r="BG185" s="58" t="str">
        <f>IF($AM185=0,"",IF(NOT(ISNUMBER($I185)),"No stop; ","")&amp;IF(AND(ISNUMBER($H185),ISNUMBER($I185)),IF(OR(AND($F185&lt;&gt;"Short",$I185&gt;=$H185),AND($F185="Short",$I185&lt;=$H185)),"Stop on wrong side; ",""),"")&amp;IF($F185="","No direction; ","")&amp;IF(AND(ISNUMBER(Settings!$C$22),ISNUMBER($V185)),IF($V185&gt;Settings!$C$22,"Risk over max $; ",""),"")&amp;IF(AND(ISNUMBER(Settings!$C$23),ISNUMBER($V185),ISNUMBER($AP185),IFERROR(N(INDEX(Accounts!$E$7:$E$16,MATCH($C185,Accounts!$B$7:$B$16,0))),0)&gt;0),IF($V185&gt;Settings!$C$23*($AP185-N($Q185)),"Risk over max %; ",""),"")&amp;IF(AND(ISNUMBER(Settings!$C$24),ISNUMBER($N185)),IF($N185&gt;Settings!$C$24,"Leverage over max; ",""),"")&amp;IF(AND(ISNUMBER(Settings!$C$27),ISNUMBER($T185)),IF($T185&lt;Settings!$C$27,"R:R below min; ",""),"")&amp;IF(ISNUMBER(Settings!$C$25),IF(COUNTIFS($A$6:$A185,$A185,$AM$6:$AM185,1)&gt;Settings!$C$25,"Over max trades/day; ",""),"")&amp;IF(ISNUMBER(Settings!$C$26),IF(SUMIFS($Q$5:$Q184,$A$5:$A184,$A185)&lt;=-Settings!$C$26,"Traded after daily max loss; ",""),"")&amp;IF(AND($AG185="",NOT(ISNUMBER($O185))),"Symbol not in Instruments; ","")&amp;IF(AND($AH185="",NOT(ISNUMBER($O185))),"Forex cross: type Gross P&amp;L; ",""))</f>
        <v/>
      </c>
      <c r="BH185" s="56">
        <f>IF(ISNUMBER($Q185),1,0)</f>
        <v>0</v>
      </c>
      <c r="BI185" s="56">
        <f>IF($Y185="",0,1)</f>
        <v>0</v>
      </c>
      <c r="BJ185" s="56">
        <f>IF($AB185="",0,1)</f>
        <v>0</v>
      </c>
      <c r="BK185" s="56">
        <f>IF(AND($BH185=1,$W185&lt;&gt;"OK"),1,0)</f>
        <v>0</v>
      </c>
      <c r="BL185" s="55">
        <f>IF(N($AZ185)=0,0,IFERROR(INDEX($AT$6:$AT$1005,MATCH($AZ185,$AY$6:$AY$1005,0)),0))</f>
        <v>1187.10688</v>
      </c>
      <c r="BM185" s="56">
        <f>IF(ISNUMBER(SEARCH("daily max loss",$BG185)),1,0)</f>
        <v>0</v>
      </c>
    </row>
    <row r="186" ht="18" customHeight="1">
      <c r="A186" s="38" t="n"/>
      <c r="B186" s="39" t="n"/>
      <c r="C186" s="40" t="n"/>
      <c r="D186" s="41" t="n"/>
      <c r="E186" s="41" t="n"/>
      <c r="F186" s="41" t="n"/>
      <c r="G186" s="41" t="n"/>
      <c r="H186" s="42" t="n"/>
      <c r="I186" s="42" t="n"/>
      <c r="J186" s="42" t="n"/>
      <c r="K186" s="42" t="n"/>
      <c r="L186" s="41" t="n"/>
      <c r="M186" s="41" t="n"/>
      <c r="N186" s="41" t="n"/>
      <c r="O186" s="43" t="n"/>
      <c r="P186" s="43" t="n"/>
      <c r="Q186" s="44" t="str">
        <f>IF($AM186=0,"",IF(ISNUMBER($AK186),$AK186-N($AL186),""))</f>
        <v/>
      </c>
      <c r="R186" s="45" t="str">
        <f>IF(OR($Q186="",NOT(ISNUMBER($V186))),"",$AK186/$V186)</f>
        <v/>
      </c>
      <c r="S186" s="46" t="str">
        <f>IF($Q186="","",IF(AND(ISNUMBER($R186),ABS(N($R186))&lt;N(Settings!$C$8)),"Scratch",IF($Q186&gt;0,"Win",IF($Q186&lt;0,"Loss","Scratch"))))</f>
        <v/>
      </c>
      <c r="T186" s="47" t="str">
        <f>IF(OR($AM186=0,NOT(ISNUMBER($H186)),NOT(ISNUMBER($I186)),NOT(ISNUMBER($J186))),"",IF($H186=$I186,"",ROUND(ABS($J186-$H186)/ABS($H186-$I186),6)))</f>
        <v/>
      </c>
      <c r="U186" s="48" t="str">
        <f>IF(OR($S186&lt;&gt;"Win",NOT(ISNUMBER($T186)),NOT(ISNUMBER($R186))),"",MAX(0,$T186-$R186))</f>
        <v/>
      </c>
      <c r="V186" s="49" t="str">
        <f>IF(OR($AM186=0,NOT(ISNUMBER($H186)),NOT(ISNUMBER($I186)),NOT(ISNUMBER($G186))),"",IF(OR($AG186="",$AH186=""),"",IF(ROUND(ABS($H186-$I186)*ABS($G186)*$AG186*$AH186,6)=0,"",ROUND(ABS($H186-$I186)*ABS($G186)*$AG186*$AH186,6))))</f>
        <v/>
      </c>
      <c r="W186" s="50" t="str">
        <f>IF($AM186=0,"",IF($BG186="","OK",LEFT($BG186,LEN($BG186)-2)))</f>
        <v/>
      </c>
      <c r="X186" s="41" t="n"/>
      <c r="Y186" s="40" t="n"/>
      <c r="Z186" s="41" t="n"/>
      <c r="AA186" s="41" t="n"/>
      <c r="AB186" s="40" t="n"/>
      <c r="AC186" s="51" t="n"/>
      <c r="AD186" s="51" t="n"/>
      <c r="AE186" s="40" t="n"/>
      <c r="AF186" s="52" t="str">
        <f>IF($AM186=0,"",IF($D186&lt;&gt;"",$D186,IF(IFERROR(INDEX(Accounts!$C$7:$C$16,MATCH($C186,Accounts!$B$7:$B$16,0))&amp;"","")&lt;&gt;"",INDEX(Accounts!$C$7:$C$16,MATCH($C186,Accounts!$B$7:$B$16,0)),Settings!$C$6)))</f>
        <v/>
      </c>
      <c r="AG186" s="53" t="str">
        <f>IF($AM186=0,"",IF(AND($BE186&gt;0,N(INDEX(Instruments!$D$6:$D$205,MAX(1,$BE186)))&gt;0),INDEX(Instruments!$D$6:$D$205,MAX(1,$BE186)),IF(N(INDEX(Settings!$D$14:$D$18,$BF186))&gt;0,INDEX(Settings!$D$14:$D$18,$BF186),"")))</f>
        <v/>
      </c>
      <c r="AH186" s="54" t="str">
        <f>IF($AM186=0,"",IF($AF186&lt;&gt;"Forex",1,IF(MID(UPPER(SUBSTITUTE(TRIM($E186),"/","")),4,3)=UPPER(TRIM(Settings!$C$7)),1,IF(LEFT(UPPER(SUBSTITUTE(TRIM($E186),"/","")),3)=UPPER(TRIM(Settings!$C$7)),IF(AND(ISNUMBER($K186),N($K186)&lt;&gt;0),1/$K186,""),""))))</f>
        <v/>
      </c>
      <c r="AI186" s="55" t="str">
        <f>IF($AM186=0,"",IF(OR(NOT(ISNUMBER($H186)),NOT(ISNUMBER($K186)),NOT(ISNUMBER($G186)),$AG186="",$AH186=""),"",ROUND(($K186-$H186)*IF($F186="Short",-1,1)*$G186*$AG186*$AH186,6)))</f>
        <v/>
      </c>
      <c r="AJ186" s="55" t="str">
        <f>IF($AM186=0,"",IF(INDEX(Settings!$E$14:$E$18,$BF186)="% of notional",IF(OR($AG186="",NOT(ISNUMBER($H186)),NOT(ISNUMBER($G186))),"",ROUND(ABS($H186*$G186*$AG186*N($AH186))*IF($L186="Limit",N(INDEX(Settings!$G$14:$G$18,$BF186)),N(INDEX(Settings!$H$14:$H$18,$BF186)))+IF(ISNUMBER($K186),ABS($K186*$G186*$AG186*N($AH186))*IF($M186="Target",N(INDEX(Settings!$G$14:$G$18,$BF186)),N(INDEX(Settings!$H$14:$H$18,$BF186))),0),6)),IF(NOT(ISNUMBER($G186)),"",ROUND(ABS($G186)*2*IF(AND($BE186&gt;0,ISNUMBER(INDEX(Instruments!$G$6:$G$205,MAX(1,$BE186)))),INDEX(Instruments!$G$6:$G$205,MAX(1,$BE186)),N(INDEX(Settings!$F$14:$F$18,$BF186))),6))))</f>
        <v/>
      </c>
      <c r="AK186" s="55" t="str">
        <f>IF($AM186=0,"",IF(ISNUMBER($O186),$O186,$AI186))</f>
        <v/>
      </c>
      <c r="AL186" s="55" t="str">
        <f>IF($AM186=0,"",IF(ISNUMBER($P186),$P186,N($AJ186)))</f>
        <v/>
      </c>
      <c r="AM186" s="56">
        <f>IF(AND($A186&lt;&gt;"",$E186&lt;&gt;"",OR(AND(ISNUMBER($G186),ISNUMBER($H186),ISNUMBER($K186)),ISNUMBER($O186))),1,0)</f>
        <v>0</v>
      </c>
      <c r="AN186" s="57" t="str">
        <f>IF($A186="","",$A186-WEEKDAY($A186,3))</f>
        <v/>
      </c>
      <c r="AO186" s="56" t="str">
        <f>IF($A186="","",WEEKDAY($A186,2))</f>
        <v/>
      </c>
      <c r="AP186" s="55" t="str">
        <f>IF(OR($AM186=0,$C186=""),"",IFERROR(N(INDEX(Accounts!$E$7:$E$16,MATCH($C186,Accounts!$B$7:$B$16,0))),0)+SUMIFS($Q$6:$Q186,$C$6:$C186,$C186))</f>
        <v/>
      </c>
      <c r="AQ186" s="55" t="str">
        <f>IF(OR($AM186=0,$C186=""),"",SUMIFS($Q$6:$Q$1005,$C$6:$C$1005,$C186,$A$6:$A$1005,$A186))</f>
        <v/>
      </c>
      <c r="AR186" s="55" t="str">
        <f>IF(OR($AM186=0,$C186=""),"",IFERROR(N(INDEX(Accounts!$E$7:$E$16,MATCH($C186,Accounts!$B$7:$B$16,0))),0)+SUMIFS($Q$6:$Q$1005,$C$6:$C$1005,$C186,$A$6:$A$1005,"&lt;="&amp;$A186))</f>
        <v/>
      </c>
      <c r="AS186" s="56">
        <f>IF(OR($AM186=0,$Q186=""),0,IF(AND($A186&gt;=Lists!$W$6,$A186&lt;=Lists!$W$7,OR(Dashboard!$D$6="All accounts",$C186=Dashboard!$D$6),OR(Dashboard!$D$7="All markets",$AF186=Dashboard!$D$7)),1,0))</f>
        <v>0</v>
      </c>
      <c r="AT186" s="55">
        <f>IF($AS186=1,N(AT185)+$Q186,N(AT185))</f>
        <v>1187.10688</v>
      </c>
      <c r="AU186" s="55">
        <f>MAX(N(AU185),$AT186)</f>
        <v>1187.10688</v>
      </c>
      <c r="AV186" s="55">
        <f>$AT186-$AU186</f>
        <v>0</v>
      </c>
      <c r="AW186" s="56">
        <f>IF($AS186=1,IF($S186="Win",N(AW185)+1,IF($S186="Loss",0,N(AW185))),N(AW185))</f>
        <v>5</v>
      </c>
      <c r="AX186" s="56">
        <f>IF($AS186=1,IF($S186="Loss",N(AX185)+1,IF($S186="Win",0,N(AX185))),N(AX185))</f>
        <v>0</v>
      </c>
      <c r="AY186" s="56" t="str">
        <f>IF($AS186=1,COUNTIF($AS$6:$AS186,1),"")</f>
        <v/>
      </c>
      <c r="AZ186" s="56">
        <f>MIN(180,N(Lists!$W$8))</f>
        <v>28</v>
      </c>
      <c r="BA186" s="56">
        <f>IF($AS186=1,IF(COUNTIFS($A$6:$A186,$A186,$AS$6:$AS186,1)=1,1,0),0)</f>
        <v>0</v>
      </c>
      <c r="BB186" s="55" t="str">
        <f>IF($BA186=1,SUMIFS($Q$6:$Q$1005,$A$6:$A$1005,$A186,$AS$6:$AS$1005,1),"")</f>
        <v/>
      </c>
      <c r="BC186" s="56">
        <f>IF(ISNUMBER($R186),1,0)</f>
        <v>0</v>
      </c>
      <c r="BD186" s="55" t="str">
        <f>IF(ISNUMBER($U186),$U186*$V186,"")</f>
        <v/>
      </c>
      <c r="BE186" s="56" t="str">
        <f>IF($AM186=0,"",IFERROR(MATCH($AF186&amp;"|"&amp;UPPER(TRIM($E186)),Lists!$A$6:$A$205,0),0))</f>
        <v/>
      </c>
      <c r="BF186" s="56" t="str">
        <f>IF($AM186=0,"",IFERROR(MATCH($AF186,Settings!$B$14:$B$18,0),IFERROR(MATCH(Settings!$C$6,Settings!$B$14:$B$18,0),1)))</f>
        <v/>
      </c>
      <c r="BG186" s="58" t="str">
        <f>IF($AM186=0,"",IF(NOT(ISNUMBER($I186)),"No stop; ","")&amp;IF(AND(ISNUMBER($H186),ISNUMBER($I186)),IF(OR(AND($F186&lt;&gt;"Short",$I186&gt;=$H186),AND($F186="Short",$I186&lt;=$H186)),"Stop on wrong side; ",""),"")&amp;IF($F186="","No direction; ","")&amp;IF(AND(ISNUMBER(Settings!$C$22),ISNUMBER($V186)),IF($V186&gt;Settings!$C$22,"Risk over max $; ",""),"")&amp;IF(AND(ISNUMBER(Settings!$C$23),ISNUMBER($V186),ISNUMBER($AP186),IFERROR(N(INDEX(Accounts!$E$7:$E$16,MATCH($C186,Accounts!$B$7:$B$16,0))),0)&gt;0),IF($V186&gt;Settings!$C$23*($AP186-N($Q186)),"Risk over max %; ",""),"")&amp;IF(AND(ISNUMBER(Settings!$C$24),ISNUMBER($N186)),IF($N186&gt;Settings!$C$24,"Leverage over max; ",""),"")&amp;IF(AND(ISNUMBER(Settings!$C$27),ISNUMBER($T186)),IF($T186&lt;Settings!$C$27,"R:R below min; ",""),"")&amp;IF(ISNUMBER(Settings!$C$25),IF(COUNTIFS($A$6:$A186,$A186,$AM$6:$AM186,1)&gt;Settings!$C$25,"Over max trades/day; ",""),"")&amp;IF(ISNUMBER(Settings!$C$26),IF(SUMIFS($Q$5:$Q185,$A$5:$A185,$A186)&lt;=-Settings!$C$26,"Traded after daily max loss; ",""),"")&amp;IF(AND($AG186="",NOT(ISNUMBER($O186))),"Symbol not in Instruments; ","")&amp;IF(AND($AH186="",NOT(ISNUMBER($O186))),"Forex cross: type Gross P&amp;L; ",""))</f>
        <v/>
      </c>
      <c r="BH186" s="56">
        <f>IF(ISNUMBER($Q186),1,0)</f>
        <v>0</v>
      </c>
      <c r="BI186" s="56">
        <f>IF($Y186="",0,1)</f>
        <v>0</v>
      </c>
      <c r="BJ186" s="56">
        <f>IF($AB186="",0,1)</f>
        <v>0</v>
      </c>
      <c r="BK186" s="56">
        <f>IF(AND($BH186=1,$W186&lt;&gt;"OK"),1,0)</f>
        <v>0</v>
      </c>
      <c r="BL186" s="55">
        <f>IF(N($AZ186)=0,0,IFERROR(INDEX($AT$6:$AT$1005,MATCH($AZ186,$AY$6:$AY$1005,0)),0))</f>
        <v>1187.10688</v>
      </c>
      <c r="BM186" s="56">
        <f>IF(ISNUMBER(SEARCH("daily max loss",$BG186)),1,0)</f>
        <v>0</v>
      </c>
    </row>
    <row r="187" ht="18" customHeight="1">
      <c r="A187" s="38" t="n"/>
      <c r="B187" s="39" t="n"/>
      <c r="C187" s="40" t="n"/>
      <c r="D187" s="41" t="n"/>
      <c r="E187" s="41" t="n"/>
      <c r="F187" s="41" t="n"/>
      <c r="G187" s="41" t="n"/>
      <c r="H187" s="42" t="n"/>
      <c r="I187" s="42" t="n"/>
      <c r="J187" s="42" t="n"/>
      <c r="K187" s="42" t="n"/>
      <c r="L187" s="41" t="n"/>
      <c r="M187" s="41" t="n"/>
      <c r="N187" s="41" t="n"/>
      <c r="O187" s="43" t="n"/>
      <c r="P187" s="43" t="n"/>
      <c r="Q187" s="44" t="str">
        <f>IF($AM187=0,"",IF(ISNUMBER($AK187),$AK187-N($AL187),""))</f>
        <v/>
      </c>
      <c r="R187" s="45" t="str">
        <f>IF(OR($Q187="",NOT(ISNUMBER($V187))),"",$AK187/$V187)</f>
        <v/>
      </c>
      <c r="S187" s="46" t="str">
        <f>IF($Q187="","",IF(AND(ISNUMBER($R187),ABS(N($R187))&lt;N(Settings!$C$8)),"Scratch",IF($Q187&gt;0,"Win",IF($Q187&lt;0,"Loss","Scratch"))))</f>
        <v/>
      </c>
      <c r="T187" s="47" t="str">
        <f>IF(OR($AM187=0,NOT(ISNUMBER($H187)),NOT(ISNUMBER($I187)),NOT(ISNUMBER($J187))),"",IF($H187=$I187,"",ROUND(ABS($J187-$H187)/ABS($H187-$I187),6)))</f>
        <v/>
      </c>
      <c r="U187" s="48" t="str">
        <f>IF(OR($S187&lt;&gt;"Win",NOT(ISNUMBER($T187)),NOT(ISNUMBER($R187))),"",MAX(0,$T187-$R187))</f>
        <v/>
      </c>
      <c r="V187" s="49" t="str">
        <f>IF(OR($AM187=0,NOT(ISNUMBER($H187)),NOT(ISNUMBER($I187)),NOT(ISNUMBER($G187))),"",IF(OR($AG187="",$AH187=""),"",IF(ROUND(ABS($H187-$I187)*ABS($G187)*$AG187*$AH187,6)=0,"",ROUND(ABS($H187-$I187)*ABS($G187)*$AG187*$AH187,6))))</f>
        <v/>
      </c>
      <c r="W187" s="50" t="str">
        <f>IF($AM187=0,"",IF($BG187="","OK",LEFT($BG187,LEN($BG187)-2)))</f>
        <v/>
      </c>
      <c r="X187" s="41" t="n"/>
      <c r="Y187" s="40" t="n"/>
      <c r="Z187" s="41" t="n"/>
      <c r="AA187" s="41" t="n"/>
      <c r="AB187" s="40" t="n"/>
      <c r="AC187" s="51" t="n"/>
      <c r="AD187" s="51" t="n"/>
      <c r="AE187" s="40" t="n"/>
      <c r="AF187" s="52" t="str">
        <f>IF($AM187=0,"",IF($D187&lt;&gt;"",$D187,IF(IFERROR(INDEX(Accounts!$C$7:$C$16,MATCH($C187,Accounts!$B$7:$B$16,0))&amp;"","")&lt;&gt;"",INDEX(Accounts!$C$7:$C$16,MATCH($C187,Accounts!$B$7:$B$16,0)),Settings!$C$6)))</f>
        <v/>
      </c>
      <c r="AG187" s="53" t="str">
        <f>IF($AM187=0,"",IF(AND($BE187&gt;0,N(INDEX(Instruments!$D$6:$D$205,MAX(1,$BE187)))&gt;0),INDEX(Instruments!$D$6:$D$205,MAX(1,$BE187)),IF(N(INDEX(Settings!$D$14:$D$18,$BF187))&gt;0,INDEX(Settings!$D$14:$D$18,$BF187),"")))</f>
        <v/>
      </c>
      <c r="AH187" s="54" t="str">
        <f>IF($AM187=0,"",IF($AF187&lt;&gt;"Forex",1,IF(MID(UPPER(SUBSTITUTE(TRIM($E187),"/","")),4,3)=UPPER(TRIM(Settings!$C$7)),1,IF(LEFT(UPPER(SUBSTITUTE(TRIM($E187),"/","")),3)=UPPER(TRIM(Settings!$C$7)),IF(AND(ISNUMBER($K187),N($K187)&lt;&gt;0),1/$K187,""),""))))</f>
        <v/>
      </c>
      <c r="AI187" s="55" t="str">
        <f>IF($AM187=0,"",IF(OR(NOT(ISNUMBER($H187)),NOT(ISNUMBER($K187)),NOT(ISNUMBER($G187)),$AG187="",$AH187=""),"",ROUND(($K187-$H187)*IF($F187="Short",-1,1)*$G187*$AG187*$AH187,6)))</f>
        <v/>
      </c>
      <c r="AJ187" s="55" t="str">
        <f>IF($AM187=0,"",IF(INDEX(Settings!$E$14:$E$18,$BF187)="% of notional",IF(OR($AG187="",NOT(ISNUMBER($H187)),NOT(ISNUMBER($G187))),"",ROUND(ABS($H187*$G187*$AG187*N($AH187))*IF($L187="Limit",N(INDEX(Settings!$G$14:$G$18,$BF187)),N(INDEX(Settings!$H$14:$H$18,$BF187)))+IF(ISNUMBER($K187),ABS($K187*$G187*$AG187*N($AH187))*IF($M187="Target",N(INDEX(Settings!$G$14:$G$18,$BF187)),N(INDEX(Settings!$H$14:$H$18,$BF187))),0),6)),IF(NOT(ISNUMBER($G187)),"",ROUND(ABS($G187)*2*IF(AND($BE187&gt;0,ISNUMBER(INDEX(Instruments!$G$6:$G$205,MAX(1,$BE187)))),INDEX(Instruments!$G$6:$G$205,MAX(1,$BE187)),N(INDEX(Settings!$F$14:$F$18,$BF187))),6))))</f>
        <v/>
      </c>
      <c r="AK187" s="55" t="str">
        <f>IF($AM187=0,"",IF(ISNUMBER($O187),$O187,$AI187))</f>
        <v/>
      </c>
      <c r="AL187" s="55" t="str">
        <f>IF($AM187=0,"",IF(ISNUMBER($P187),$P187,N($AJ187)))</f>
        <v/>
      </c>
      <c r="AM187" s="56">
        <f>IF(AND($A187&lt;&gt;"",$E187&lt;&gt;"",OR(AND(ISNUMBER($G187),ISNUMBER($H187),ISNUMBER($K187)),ISNUMBER($O187))),1,0)</f>
        <v>0</v>
      </c>
      <c r="AN187" s="57" t="str">
        <f>IF($A187="","",$A187-WEEKDAY($A187,3))</f>
        <v/>
      </c>
      <c r="AO187" s="56" t="str">
        <f>IF($A187="","",WEEKDAY($A187,2))</f>
        <v/>
      </c>
      <c r="AP187" s="55" t="str">
        <f>IF(OR($AM187=0,$C187=""),"",IFERROR(N(INDEX(Accounts!$E$7:$E$16,MATCH($C187,Accounts!$B$7:$B$16,0))),0)+SUMIFS($Q$6:$Q187,$C$6:$C187,$C187))</f>
        <v/>
      </c>
      <c r="AQ187" s="55" t="str">
        <f>IF(OR($AM187=0,$C187=""),"",SUMIFS($Q$6:$Q$1005,$C$6:$C$1005,$C187,$A$6:$A$1005,$A187))</f>
        <v/>
      </c>
      <c r="AR187" s="55" t="str">
        <f>IF(OR($AM187=0,$C187=""),"",IFERROR(N(INDEX(Accounts!$E$7:$E$16,MATCH($C187,Accounts!$B$7:$B$16,0))),0)+SUMIFS($Q$6:$Q$1005,$C$6:$C$1005,$C187,$A$6:$A$1005,"&lt;="&amp;$A187))</f>
        <v/>
      </c>
      <c r="AS187" s="56">
        <f>IF(OR($AM187=0,$Q187=""),0,IF(AND($A187&gt;=Lists!$W$6,$A187&lt;=Lists!$W$7,OR(Dashboard!$D$6="All accounts",$C187=Dashboard!$D$6),OR(Dashboard!$D$7="All markets",$AF187=Dashboard!$D$7)),1,0))</f>
        <v>0</v>
      </c>
      <c r="AT187" s="55">
        <f>IF($AS187=1,N(AT186)+$Q187,N(AT186))</f>
        <v>1187.10688</v>
      </c>
      <c r="AU187" s="55">
        <f>MAX(N(AU186),$AT187)</f>
        <v>1187.10688</v>
      </c>
      <c r="AV187" s="55">
        <f>$AT187-$AU187</f>
        <v>0</v>
      </c>
      <c r="AW187" s="56">
        <f>IF($AS187=1,IF($S187="Win",N(AW186)+1,IF($S187="Loss",0,N(AW186))),N(AW186))</f>
        <v>5</v>
      </c>
      <c r="AX187" s="56">
        <f>IF($AS187=1,IF($S187="Loss",N(AX186)+1,IF($S187="Win",0,N(AX186))),N(AX186))</f>
        <v>0</v>
      </c>
      <c r="AY187" s="56" t="str">
        <f>IF($AS187=1,COUNTIF($AS$6:$AS187,1),"")</f>
        <v/>
      </c>
      <c r="AZ187" s="56">
        <f>MIN(181,N(Lists!$W$8))</f>
        <v>28</v>
      </c>
      <c r="BA187" s="56">
        <f>IF($AS187=1,IF(COUNTIFS($A$6:$A187,$A187,$AS$6:$AS187,1)=1,1,0),0)</f>
        <v>0</v>
      </c>
      <c r="BB187" s="55" t="str">
        <f>IF($BA187=1,SUMIFS($Q$6:$Q$1005,$A$6:$A$1005,$A187,$AS$6:$AS$1005,1),"")</f>
        <v/>
      </c>
      <c r="BC187" s="56">
        <f>IF(ISNUMBER($R187),1,0)</f>
        <v>0</v>
      </c>
      <c r="BD187" s="55" t="str">
        <f>IF(ISNUMBER($U187),$U187*$V187,"")</f>
        <v/>
      </c>
      <c r="BE187" s="56" t="str">
        <f>IF($AM187=0,"",IFERROR(MATCH($AF187&amp;"|"&amp;UPPER(TRIM($E187)),Lists!$A$6:$A$205,0),0))</f>
        <v/>
      </c>
      <c r="BF187" s="56" t="str">
        <f>IF($AM187=0,"",IFERROR(MATCH($AF187,Settings!$B$14:$B$18,0),IFERROR(MATCH(Settings!$C$6,Settings!$B$14:$B$18,0),1)))</f>
        <v/>
      </c>
      <c r="BG187" s="58" t="str">
        <f>IF($AM187=0,"",IF(NOT(ISNUMBER($I187)),"No stop; ","")&amp;IF(AND(ISNUMBER($H187),ISNUMBER($I187)),IF(OR(AND($F187&lt;&gt;"Short",$I187&gt;=$H187),AND($F187="Short",$I187&lt;=$H187)),"Stop on wrong side; ",""),"")&amp;IF($F187="","No direction; ","")&amp;IF(AND(ISNUMBER(Settings!$C$22),ISNUMBER($V187)),IF($V187&gt;Settings!$C$22,"Risk over max $; ",""),"")&amp;IF(AND(ISNUMBER(Settings!$C$23),ISNUMBER($V187),ISNUMBER($AP187),IFERROR(N(INDEX(Accounts!$E$7:$E$16,MATCH($C187,Accounts!$B$7:$B$16,0))),0)&gt;0),IF($V187&gt;Settings!$C$23*($AP187-N($Q187)),"Risk over max %; ",""),"")&amp;IF(AND(ISNUMBER(Settings!$C$24),ISNUMBER($N187)),IF($N187&gt;Settings!$C$24,"Leverage over max; ",""),"")&amp;IF(AND(ISNUMBER(Settings!$C$27),ISNUMBER($T187)),IF($T187&lt;Settings!$C$27,"R:R below min; ",""),"")&amp;IF(ISNUMBER(Settings!$C$25),IF(COUNTIFS($A$6:$A187,$A187,$AM$6:$AM187,1)&gt;Settings!$C$25,"Over max trades/day; ",""),"")&amp;IF(ISNUMBER(Settings!$C$26),IF(SUMIFS($Q$5:$Q186,$A$5:$A186,$A187)&lt;=-Settings!$C$26,"Traded after daily max loss; ",""),"")&amp;IF(AND($AG187="",NOT(ISNUMBER($O187))),"Symbol not in Instruments; ","")&amp;IF(AND($AH187="",NOT(ISNUMBER($O187))),"Forex cross: type Gross P&amp;L; ",""))</f>
        <v/>
      </c>
      <c r="BH187" s="56">
        <f>IF(ISNUMBER($Q187),1,0)</f>
        <v>0</v>
      </c>
      <c r="BI187" s="56">
        <f>IF($Y187="",0,1)</f>
        <v>0</v>
      </c>
      <c r="BJ187" s="56">
        <f>IF($AB187="",0,1)</f>
        <v>0</v>
      </c>
      <c r="BK187" s="56">
        <f>IF(AND($BH187=1,$W187&lt;&gt;"OK"),1,0)</f>
        <v>0</v>
      </c>
      <c r="BL187" s="55">
        <f>IF(N($AZ187)=0,0,IFERROR(INDEX($AT$6:$AT$1005,MATCH($AZ187,$AY$6:$AY$1005,0)),0))</f>
        <v>1187.10688</v>
      </c>
      <c r="BM187" s="56">
        <f>IF(ISNUMBER(SEARCH("daily max loss",$BG187)),1,0)</f>
        <v>0</v>
      </c>
    </row>
    <row r="188" ht="18" customHeight="1">
      <c r="A188" s="38" t="n"/>
      <c r="B188" s="39" t="n"/>
      <c r="C188" s="40" t="n"/>
      <c r="D188" s="41" t="n"/>
      <c r="E188" s="41" t="n"/>
      <c r="F188" s="41" t="n"/>
      <c r="G188" s="41" t="n"/>
      <c r="H188" s="42" t="n"/>
      <c r="I188" s="42" t="n"/>
      <c r="J188" s="42" t="n"/>
      <c r="K188" s="42" t="n"/>
      <c r="L188" s="41" t="n"/>
      <c r="M188" s="41" t="n"/>
      <c r="N188" s="41" t="n"/>
      <c r="O188" s="43" t="n"/>
      <c r="P188" s="43" t="n"/>
      <c r="Q188" s="44" t="str">
        <f>IF($AM188=0,"",IF(ISNUMBER($AK188),$AK188-N($AL188),""))</f>
        <v/>
      </c>
      <c r="R188" s="45" t="str">
        <f>IF(OR($Q188="",NOT(ISNUMBER($V188))),"",$AK188/$V188)</f>
        <v/>
      </c>
      <c r="S188" s="46" t="str">
        <f>IF($Q188="","",IF(AND(ISNUMBER($R188),ABS(N($R188))&lt;N(Settings!$C$8)),"Scratch",IF($Q188&gt;0,"Win",IF($Q188&lt;0,"Loss","Scratch"))))</f>
        <v/>
      </c>
      <c r="T188" s="47" t="str">
        <f>IF(OR($AM188=0,NOT(ISNUMBER($H188)),NOT(ISNUMBER($I188)),NOT(ISNUMBER($J188))),"",IF($H188=$I188,"",ROUND(ABS($J188-$H188)/ABS($H188-$I188),6)))</f>
        <v/>
      </c>
      <c r="U188" s="48" t="str">
        <f>IF(OR($S188&lt;&gt;"Win",NOT(ISNUMBER($T188)),NOT(ISNUMBER($R188))),"",MAX(0,$T188-$R188))</f>
        <v/>
      </c>
      <c r="V188" s="49" t="str">
        <f>IF(OR($AM188=0,NOT(ISNUMBER($H188)),NOT(ISNUMBER($I188)),NOT(ISNUMBER($G188))),"",IF(OR($AG188="",$AH188=""),"",IF(ROUND(ABS($H188-$I188)*ABS($G188)*$AG188*$AH188,6)=0,"",ROUND(ABS($H188-$I188)*ABS($G188)*$AG188*$AH188,6))))</f>
        <v/>
      </c>
      <c r="W188" s="50" t="str">
        <f>IF($AM188=0,"",IF($BG188="","OK",LEFT($BG188,LEN($BG188)-2)))</f>
        <v/>
      </c>
      <c r="X188" s="41" t="n"/>
      <c r="Y188" s="40" t="n"/>
      <c r="Z188" s="41" t="n"/>
      <c r="AA188" s="41" t="n"/>
      <c r="AB188" s="40" t="n"/>
      <c r="AC188" s="51" t="n"/>
      <c r="AD188" s="51" t="n"/>
      <c r="AE188" s="40" t="n"/>
      <c r="AF188" s="52" t="str">
        <f>IF($AM188=0,"",IF($D188&lt;&gt;"",$D188,IF(IFERROR(INDEX(Accounts!$C$7:$C$16,MATCH($C188,Accounts!$B$7:$B$16,0))&amp;"","")&lt;&gt;"",INDEX(Accounts!$C$7:$C$16,MATCH($C188,Accounts!$B$7:$B$16,0)),Settings!$C$6)))</f>
        <v/>
      </c>
      <c r="AG188" s="53" t="str">
        <f>IF($AM188=0,"",IF(AND($BE188&gt;0,N(INDEX(Instruments!$D$6:$D$205,MAX(1,$BE188)))&gt;0),INDEX(Instruments!$D$6:$D$205,MAX(1,$BE188)),IF(N(INDEX(Settings!$D$14:$D$18,$BF188))&gt;0,INDEX(Settings!$D$14:$D$18,$BF188),"")))</f>
        <v/>
      </c>
      <c r="AH188" s="54" t="str">
        <f>IF($AM188=0,"",IF($AF188&lt;&gt;"Forex",1,IF(MID(UPPER(SUBSTITUTE(TRIM($E188),"/","")),4,3)=UPPER(TRIM(Settings!$C$7)),1,IF(LEFT(UPPER(SUBSTITUTE(TRIM($E188),"/","")),3)=UPPER(TRIM(Settings!$C$7)),IF(AND(ISNUMBER($K188),N($K188)&lt;&gt;0),1/$K188,""),""))))</f>
        <v/>
      </c>
      <c r="AI188" s="55" t="str">
        <f>IF($AM188=0,"",IF(OR(NOT(ISNUMBER($H188)),NOT(ISNUMBER($K188)),NOT(ISNUMBER($G188)),$AG188="",$AH188=""),"",ROUND(($K188-$H188)*IF($F188="Short",-1,1)*$G188*$AG188*$AH188,6)))</f>
        <v/>
      </c>
      <c r="AJ188" s="55" t="str">
        <f>IF($AM188=0,"",IF(INDEX(Settings!$E$14:$E$18,$BF188)="% of notional",IF(OR($AG188="",NOT(ISNUMBER($H188)),NOT(ISNUMBER($G188))),"",ROUND(ABS($H188*$G188*$AG188*N($AH188))*IF($L188="Limit",N(INDEX(Settings!$G$14:$G$18,$BF188)),N(INDEX(Settings!$H$14:$H$18,$BF188)))+IF(ISNUMBER($K188),ABS($K188*$G188*$AG188*N($AH188))*IF($M188="Target",N(INDEX(Settings!$G$14:$G$18,$BF188)),N(INDEX(Settings!$H$14:$H$18,$BF188))),0),6)),IF(NOT(ISNUMBER($G188)),"",ROUND(ABS($G188)*2*IF(AND($BE188&gt;0,ISNUMBER(INDEX(Instruments!$G$6:$G$205,MAX(1,$BE188)))),INDEX(Instruments!$G$6:$G$205,MAX(1,$BE188)),N(INDEX(Settings!$F$14:$F$18,$BF188))),6))))</f>
        <v/>
      </c>
      <c r="AK188" s="55" t="str">
        <f>IF($AM188=0,"",IF(ISNUMBER($O188),$O188,$AI188))</f>
        <v/>
      </c>
      <c r="AL188" s="55" t="str">
        <f>IF($AM188=0,"",IF(ISNUMBER($P188),$P188,N($AJ188)))</f>
        <v/>
      </c>
      <c r="AM188" s="56">
        <f>IF(AND($A188&lt;&gt;"",$E188&lt;&gt;"",OR(AND(ISNUMBER($G188),ISNUMBER($H188),ISNUMBER($K188)),ISNUMBER($O188))),1,0)</f>
        <v>0</v>
      </c>
      <c r="AN188" s="57" t="str">
        <f>IF($A188="","",$A188-WEEKDAY($A188,3))</f>
        <v/>
      </c>
      <c r="AO188" s="56" t="str">
        <f>IF($A188="","",WEEKDAY($A188,2))</f>
        <v/>
      </c>
      <c r="AP188" s="55" t="str">
        <f>IF(OR($AM188=0,$C188=""),"",IFERROR(N(INDEX(Accounts!$E$7:$E$16,MATCH($C188,Accounts!$B$7:$B$16,0))),0)+SUMIFS($Q$6:$Q188,$C$6:$C188,$C188))</f>
        <v/>
      </c>
      <c r="AQ188" s="55" t="str">
        <f>IF(OR($AM188=0,$C188=""),"",SUMIFS($Q$6:$Q$1005,$C$6:$C$1005,$C188,$A$6:$A$1005,$A188))</f>
        <v/>
      </c>
      <c r="AR188" s="55" t="str">
        <f>IF(OR($AM188=0,$C188=""),"",IFERROR(N(INDEX(Accounts!$E$7:$E$16,MATCH($C188,Accounts!$B$7:$B$16,0))),0)+SUMIFS($Q$6:$Q$1005,$C$6:$C$1005,$C188,$A$6:$A$1005,"&lt;="&amp;$A188))</f>
        <v/>
      </c>
      <c r="AS188" s="56">
        <f>IF(OR($AM188=0,$Q188=""),0,IF(AND($A188&gt;=Lists!$W$6,$A188&lt;=Lists!$W$7,OR(Dashboard!$D$6="All accounts",$C188=Dashboard!$D$6),OR(Dashboard!$D$7="All markets",$AF188=Dashboard!$D$7)),1,0))</f>
        <v>0</v>
      </c>
      <c r="AT188" s="55">
        <f>IF($AS188=1,N(AT187)+$Q188,N(AT187))</f>
        <v>1187.10688</v>
      </c>
      <c r="AU188" s="55">
        <f>MAX(N(AU187),$AT188)</f>
        <v>1187.10688</v>
      </c>
      <c r="AV188" s="55">
        <f>$AT188-$AU188</f>
        <v>0</v>
      </c>
      <c r="AW188" s="56">
        <f>IF($AS188=1,IF($S188="Win",N(AW187)+1,IF($S188="Loss",0,N(AW187))),N(AW187))</f>
        <v>5</v>
      </c>
      <c r="AX188" s="56">
        <f>IF($AS188=1,IF($S188="Loss",N(AX187)+1,IF($S188="Win",0,N(AX187))),N(AX187))</f>
        <v>0</v>
      </c>
      <c r="AY188" s="56" t="str">
        <f>IF($AS188=1,COUNTIF($AS$6:$AS188,1),"")</f>
        <v/>
      </c>
      <c r="AZ188" s="56">
        <f>MIN(182,N(Lists!$W$8))</f>
        <v>28</v>
      </c>
      <c r="BA188" s="56">
        <f>IF($AS188=1,IF(COUNTIFS($A$6:$A188,$A188,$AS$6:$AS188,1)=1,1,0),0)</f>
        <v>0</v>
      </c>
      <c r="BB188" s="55" t="str">
        <f>IF($BA188=1,SUMIFS($Q$6:$Q$1005,$A$6:$A$1005,$A188,$AS$6:$AS$1005,1),"")</f>
        <v/>
      </c>
      <c r="BC188" s="56">
        <f>IF(ISNUMBER($R188),1,0)</f>
        <v>0</v>
      </c>
      <c r="BD188" s="55" t="str">
        <f>IF(ISNUMBER($U188),$U188*$V188,"")</f>
        <v/>
      </c>
      <c r="BE188" s="56" t="str">
        <f>IF($AM188=0,"",IFERROR(MATCH($AF188&amp;"|"&amp;UPPER(TRIM($E188)),Lists!$A$6:$A$205,0),0))</f>
        <v/>
      </c>
      <c r="BF188" s="56" t="str">
        <f>IF($AM188=0,"",IFERROR(MATCH($AF188,Settings!$B$14:$B$18,0),IFERROR(MATCH(Settings!$C$6,Settings!$B$14:$B$18,0),1)))</f>
        <v/>
      </c>
      <c r="BG188" s="58" t="str">
        <f>IF($AM188=0,"",IF(NOT(ISNUMBER($I188)),"No stop; ","")&amp;IF(AND(ISNUMBER($H188),ISNUMBER($I188)),IF(OR(AND($F188&lt;&gt;"Short",$I188&gt;=$H188),AND($F188="Short",$I188&lt;=$H188)),"Stop on wrong side; ",""),"")&amp;IF($F188="","No direction; ","")&amp;IF(AND(ISNUMBER(Settings!$C$22),ISNUMBER($V188)),IF($V188&gt;Settings!$C$22,"Risk over max $; ",""),"")&amp;IF(AND(ISNUMBER(Settings!$C$23),ISNUMBER($V188),ISNUMBER($AP188),IFERROR(N(INDEX(Accounts!$E$7:$E$16,MATCH($C188,Accounts!$B$7:$B$16,0))),0)&gt;0),IF($V188&gt;Settings!$C$23*($AP188-N($Q188)),"Risk over max %; ",""),"")&amp;IF(AND(ISNUMBER(Settings!$C$24),ISNUMBER($N188)),IF($N188&gt;Settings!$C$24,"Leverage over max; ",""),"")&amp;IF(AND(ISNUMBER(Settings!$C$27),ISNUMBER($T188)),IF($T188&lt;Settings!$C$27,"R:R below min; ",""),"")&amp;IF(ISNUMBER(Settings!$C$25),IF(COUNTIFS($A$6:$A188,$A188,$AM$6:$AM188,1)&gt;Settings!$C$25,"Over max trades/day; ",""),"")&amp;IF(ISNUMBER(Settings!$C$26),IF(SUMIFS($Q$5:$Q187,$A$5:$A187,$A188)&lt;=-Settings!$C$26,"Traded after daily max loss; ",""),"")&amp;IF(AND($AG188="",NOT(ISNUMBER($O188))),"Symbol not in Instruments; ","")&amp;IF(AND($AH188="",NOT(ISNUMBER($O188))),"Forex cross: type Gross P&amp;L; ",""))</f>
        <v/>
      </c>
      <c r="BH188" s="56">
        <f>IF(ISNUMBER($Q188),1,0)</f>
        <v>0</v>
      </c>
      <c r="BI188" s="56">
        <f>IF($Y188="",0,1)</f>
        <v>0</v>
      </c>
      <c r="BJ188" s="56">
        <f>IF($AB188="",0,1)</f>
        <v>0</v>
      </c>
      <c r="BK188" s="56">
        <f>IF(AND($BH188=1,$W188&lt;&gt;"OK"),1,0)</f>
        <v>0</v>
      </c>
      <c r="BL188" s="55">
        <f>IF(N($AZ188)=0,0,IFERROR(INDEX($AT$6:$AT$1005,MATCH($AZ188,$AY$6:$AY$1005,0)),0))</f>
        <v>1187.10688</v>
      </c>
      <c r="BM188" s="56">
        <f>IF(ISNUMBER(SEARCH("daily max loss",$BG188)),1,0)</f>
        <v>0</v>
      </c>
    </row>
    <row r="189" ht="18" customHeight="1">
      <c r="A189" s="38" t="n"/>
      <c r="B189" s="39" t="n"/>
      <c r="C189" s="40" t="n"/>
      <c r="D189" s="41" t="n"/>
      <c r="E189" s="41" t="n"/>
      <c r="F189" s="41" t="n"/>
      <c r="G189" s="41" t="n"/>
      <c r="H189" s="42" t="n"/>
      <c r="I189" s="42" t="n"/>
      <c r="J189" s="42" t="n"/>
      <c r="K189" s="42" t="n"/>
      <c r="L189" s="41" t="n"/>
      <c r="M189" s="41" t="n"/>
      <c r="N189" s="41" t="n"/>
      <c r="O189" s="43" t="n"/>
      <c r="P189" s="43" t="n"/>
      <c r="Q189" s="44" t="str">
        <f>IF($AM189=0,"",IF(ISNUMBER($AK189),$AK189-N($AL189),""))</f>
        <v/>
      </c>
      <c r="R189" s="45" t="str">
        <f>IF(OR($Q189="",NOT(ISNUMBER($V189))),"",$AK189/$V189)</f>
        <v/>
      </c>
      <c r="S189" s="46" t="str">
        <f>IF($Q189="","",IF(AND(ISNUMBER($R189),ABS(N($R189))&lt;N(Settings!$C$8)),"Scratch",IF($Q189&gt;0,"Win",IF($Q189&lt;0,"Loss","Scratch"))))</f>
        <v/>
      </c>
      <c r="T189" s="47" t="str">
        <f>IF(OR($AM189=0,NOT(ISNUMBER($H189)),NOT(ISNUMBER($I189)),NOT(ISNUMBER($J189))),"",IF($H189=$I189,"",ROUND(ABS($J189-$H189)/ABS($H189-$I189),6)))</f>
        <v/>
      </c>
      <c r="U189" s="48" t="str">
        <f>IF(OR($S189&lt;&gt;"Win",NOT(ISNUMBER($T189)),NOT(ISNUMBER($R189))),"",MAX(0,$T189-$R189))</f>
        <v/>
      </c>
      <c r="V189" s="49" t="str">
        <f>IF(OR($AM189=0,NOT(ISNUMBER($H189)),NOT(ISNUMBER($I189)),NOT(ISNUMBER($G189))),"",IF(OR($AG189="",$AH189=""),"",IF(ROUND(ABS($H189-$I189)*ABS($G189)*$AG189*$AH189,6)=0,"",ROUND(ABS($H189-$I189)*ABS($G189)*$AG189*$AH189,6))))</f>
        <v/>
      </c>
      <c r="W189" s="50" t="str">
        <f>IF($AM189=0,"",IF($BG189="","OK",LEFT($BG189,LEN($BG189)-2)))</f>
        <v/>
      </c>
      <c r="X189" s="41" t="n"/>
      <c r="Y189" s="40" t="n"/>
      <c r="Z189" s="41" t="n"/>
      <c r="AA189" s="41" t="n"/>
      <c r="AB189" s="40" t="n"/>
      <c r="AC189" s="51" t="n"/>
      <c r="AD189" s="51" t="n"/>
      <c r="AE189" s="40" t="n"/>
      <c r="AF189" s="52" t="str">
        <f>IF($AM189=0,"",IF($D189&lt;&gt;"",$D189,IF(IFERROR(INDEX(Accounts!$C$7:$C$16,MATCH($C189,Accounts!$B$7:$B$16,0))&amp;"","")&lt;&gt;"",INDEX(Accounts!$C$7:$C$16,MATCH($C189,Accounts!$B$7:$B$16,0)),Settings!$C$6)))</f>
        <v/>
      </c>
      <c r="AG189" s="53" t="str">
        <f>IF($AM189=0,"",IF(AND($BE189&gt;0,N(INDEX(Instruments!$D$6:$D$205,MAX(1,$BE189)))&gt;0),INDEX(Instruments!$D$6:$D$205,MAX(1,$BE189)),IF(N(INDEX(Settings!$D$14:$D$18,$BF189))&gt;0,INDEX(Settings!$D$14:$D$18,$BF189),"")))</f>
        <v/>
      </c>
      <c r="AH189" s="54" t="str">
        <f>IF($AM189=0,"",IF($AF189&lt;&gt;"Forex",1,IF(MID(UPPER(SUBSTITUTE(TRIM($E189),"/","")),4,3)=UPPER(TRIM(Settings!$C$7)),1,IF(LEFT(UPPER(SUBSTITUTE(TRIM($E189),"/","")),3)=UPPER(TRIM(Settings!$C$7)),IF(AND(ISNUMBER($K189),N($K189)&lt;&gt;0),1/$K189,""),""))))</f>
        <v/>
      </c>
      <c r="AI189" s="55" t="str">
        <f>IF($AM189=0,"",IF(OR(NOT(ISNUMBER($H189)),NOT(ISNUMBER($K189)),NOT(ISNUMBER($G189)),$AG189="",$AH189=""),"",ROUND(($K189-$H189)*IF($F189="Short",-1,1)*$G189*$AG189*$AH189,6)))</f>
        <v/>
      </c>
      <c r="AJ189" s="55" t="str">
        <f>IF($AM189=0,"",IF(INDEX(Settings!$E$14:$E$18,$BF189)="% of notional",IF(OR($AG189="",NOT(ISNUMBER($H189)),NOT(ISNUMBER($G189))),"",ROUND(ABS($H189*$G189*$AG189*N($AH189))*IF($L189="Limit",N(INDEX(Settings!$G$14:$G$18,$BF189)),N(INDEX(Settings!$H$14:$H$18,$BF189)))+IF(ISNUMBER($K189),ABS($K189*$G189*$AG189*N($AH189))*IF($M189="Target",N(INDEX(Settings!$G$14:$G$18,$BF189)),N(INDEX(Settings!$H$14:$H$18,$BF189))),0),6)),IF(NOT(ISNUMBER($G189)),"",ROUND(ABS($G189)*2*IF(AND($BE189&gt;0,ISNUMBER(INDEX(Instruments!$G$6:$G$205,MAX(1,$BE189)))),INDEX(Instruments!$G$6:$G$205,MAX(1,$BE189)),N(INDEX(Settings!$F$14:$F$18,$BF189))),6))))</f>
        <v/>
      </c>
      <c r="AK189" s="55" t="str">
        <f>IF($AM189=0,"",IF(ISNUMBER($O189),$O189,$AI189))</f>
        <v/>
      </c>
      <c r="AL189" s="55" t="str">
        <f>IF($AM189=0,"",IF(ISNUMBER($P189),$P189,N($AJ189)))</f>
        <v/>
      </c>
      <c r="AM189" s="56">
        <f>IF(AND($A189&lt;&gt;"",$E189&lt;&gt;"",OR(AND(ISNUMBER($G189),ISNUMBER($H189),ISNUMBER($K189)),ISNUMBER($O189))),1,0)</f>
        <v>0</v>
      </c>
      <c r="AN189" s="57" t="str">
        <f>IF($A189="","",$A189-WEEKDAY($A189,3))</f>
        <v/>
      </c>
      <c r="AO189" s="56" t="str">
        <f>IF($A189="","",WEEKDAY($A189,2))</f>
        <v/>
      </c>
      <c r="AP189" s="55" t="str">
        <f>IF(OR($AM189=0,$C189=""),"",IFERROR(N(INDEX(Accounts!$E$7:$E$16,MATCH($C189,Accounts!$B$7:$B$16,0))),0)+SUMIFS($Q$6:$Q189,$C$6:$C189,$C189))</f>
        <v/>
      </c>
      <c r="AQ189" s="55" t="str">
        <f>IF(OR($AM189=0,$C189=""),"",SUMIFS($Q$6:$Q$1005,$C$6:$C$1005,$C189,$A$6:$A$1005,$A189))</f>
        <v/>
      </c>
      <c r="AR189" s="55" t="str">
        <f>IF(OR($AM189=0,$C189=""),"",IFERROR(N(INDEX(Accounts!$E$7:$E$16,MATCH($C189,Accounts!$B$7:$B$16,0))),0)+SUMIFS($Q$6:$Q$1005,$C$6:$C$1005,$C189,$A$6:$A$1005,"&lt;="&amp;$A189))</f>
        <v/>
      </c>
      <c r="AS189" s="56">
        <f>IF(OR($AM189=0,$Q189=""),0,IF(AND($A189&gt;=Lists!$W$6,$A189&lt;=Lists!$W$7,OR(Dashboard!$D$6="All accounts",$C189=Dashboard!$D$6),OR(Dashboard!$D$7="All markets",$AF189=Dashboard!$D$7)),1,0))</f>
        <v>0</v>
      </c>
      <c r="AT189" s="55">
        <f>IF($AS189=1,N(AT188)+$Q189,N(AT188))</f>
        <v>1187.10688</v>
      </c>
      <c r="AU189" s="55">
        <f>MAX(N(AU188),$AT189)</f>
        <v>1187.10688</v>
      </c>
      <c r="AV189" s="55">
        <f>$AT189-$AU189</f>
        <v>0</v>
      </c>
      <c r="AW189" s="56">
        <f>IF($AS189=1,IF($S189="Win",N(AW188)+1,IF($S189="Loss",0,N(AW188))),N(AW188))</f>
        <v>5</v>
      </c>
      <c r="AX189" s="56">
        <f>IF($AS189=1,IF($S189="Loss",N(AX188)+1,IF($S189="Win",0,N(AX188))),N(AX188))</f>
        <v>0</v>
      </c>
      <c r="AY189" s="56" t="str">
        <f>IF($AS189=1,COUNTIF($AS$6:$AS189,1),"")</f>
        <v/>
      </c>
      <c r="AZ189" s="56">
        <f>MIN(183,N(Lists!$W$8))</f>
        <v>28</v>
      </c>
      <c r="BA189" s="56">
        <f>IF($AS189=1,IF(COUNTIFS($A$6:$A189,$A189,$AS$6:$AS189,1)=1,1,0),0)</f>
        <v>0</v>
      </c>
      <c r="BB189" s="55" t="str">
        <f>IF($BA189=1,SUMIFS($Q$6:$Q$1005,$A$6:$A$1005,$A189,$AS$6:$AS$1005,1),"")</f>
        <v/>
      </c>
      <c r="BC189" s="56">
        <f>IF(ISNUMBER($R189),1,0)</f>
        <v>0</v>
      </c>
      <c r="BD189" s="55" t="str">
        <f>IF(ISNUMBER($U189),$U189*$V189,"")</f>
        <v/>
      </c>
      <c r="BE189" s="56" t="str">
        <f>IF($AM189=0,"",IFERROR(MATCH($AF189&amp;"|"&amp;UPPER(TRIM($E189)),Lists!$A$6:$A$205,0),0))</f>
        <v/>
      </c>
      <c r="BF189" s="56" t="str">
        <f>IF($AM189=0,"",IFERROR(MATCH($AF189,Settings!$B$14:$B$18,0),IFERROR(MATCH(Settings!$C$6,Settings!$B$14:$B$18,0),1)))</f>
        <v/>
      </c>
      <c r="BG189" s="58" t="str">
        <f>IF($AM189=0,"",IF(NOT(ISNUMBER($I189)),"No stop; ","")&amp;IF(AND(ISNUMBER($H189),ISNUMBER($I189)),IF(OR(AND($F189&lt;&gt;"Short",$I189&gt;=$H189),AND($F189="Short",$I189&lt;=$H189)),"Stop on wrong side; ",""),"")&amp;IF($F189="","No direction; ","")&amp;IF(AND(ISNUMBER(Settings!$C$22),ISNUMBER($V189)),IF($V189&gt;Settings!$C$22,"Risk over max $; ",""),"")&amp;IF(AND(ISNUMBER(Settings!$C$23),ISNUMBER($V189),ISNUMBER($AP189),IFERROR(N(INDEX(Accounts!$E$7:$E$16,MATCH($C189,Accounts!$B$7:$B$16,0))),0)&gt;0),IF($V189&gt;Settings!$C$23*($AP189-N($Q189)),"Risk over max %; ",""),"")&amp;IF(AND(ISNUMBER(Settings!$C$24),ISNUMBER($N189)),IF($N189&gt;Settings!$C$24,"Leverage over max; ",""),"")&amp;IF(AND(ISNUMBER(Settings!$C$27),ISNUMBER($T189)),IF($T189&lt;Settings!$C$27,"R:R below min; ",""),"")&amp;IF(ISNUMBER(Settings!$C$25),IF(COUNTIFS($A$6:$A189,$A189,$AM$6:$AM189,1)&gt;Settings!$C$25,"Over max trades/day; ",""),"")&amp;IF(ISNUMBER(Settings!$C$26),IF(SUMIFS($Q$5:$Q188,$A$5:$A188,$A189)&lt;=-Settings!$C$26,"Traded after daily max loss; ",""),"")&amp;IF(AND($AG189="",NOT(ISNUMBER($O189))),"Symbol not in Instruments; ","")&amp;IF(AND($AH189="",NOT(ISNUMBER($O189))),"Forex cross: type Gross P&amp;L; ",""))</f>
        <v/>
      </c>
      <c r="BH189" s="56">
        <f>IF(ISNUMBER($Q189),1,0)</f>
        <v>0</v>
      </c>
      <c r="BI189" s="56">
        <f>IF($Y189="",0,1)</f>
        <v>0</v>
      </c>
      <c r="BJ189" s="56">
        <f>IF($AB189="",0,1)</f>
        <v>0</v>
      </c>
      <c r="BK189" s="56">
        <f>IF(AND($BH189=1,$W189&lt;&gt;"OK"),1,0)</f>
        <v>0</v>
      </c>
      <c r="BL189" s="55">
        <f>IF(N($AZ189)=0,0,IFERROR(INDEX($AT$6:$AT$1005,MATCH($AZ189,$AY$6:$AY$1005,0)),0))</f>
        <v>1187.10688</v>
      </c>
      <c r="BM189" s="56">
        <f>IF(ISNUMBER(SEARCH("daily max loss",$BG189)),1,0)</f>
        <v>0</v>
      </c>
    </row>
    <row r="190" ht="18" customHeight="1">
      <c r="A190" s="38" t="n"/>
      <c r="B190" s="39" t="n"/>
      <c r="C190" s="40" t="n"/>
      <c r="D190" s="41" t="n"/>
      <c r="E190" s="41" t="n"/>
      <c r="F190" s="41" t="n"/>
      <c r="G190" s="41" t="n"/>
      <c r="H190" s="42" t="n"/>
      <c r="I190" s="42" t="n"/>
      <c r="J190" s="42" t="n"/>
      <c r="K190" s="42" t="n"/>
      <c r="L190" s="41" t="n"/>
      <c r="M190" s="41" t="n"/>
      <c r="N190" s="41" t="n"/>
      <c r="O190" s="43" t="n"/>
      <c r="P190" s="43" t="n"/>
      <c r="Q190" s="44" t="str">
        <f>IF($AM190=0,"",IF(ISNUMBER($AK190),$AK190-N($AL190),""))</f>
        <v/>
      </c>
      <c r="R190" s="45" t="str">
        <f>IF(OR($Q190="",NOT(ISNUMBER($V190))),"",$AK190/$V190)</f>
        <v/>
      </c>
      <c r="S190" s="46" t="str">
        <f>IF($Q190="","",IF(AND(ISNUMBER($R190),ABS(N($R190))&lt;N(Settings!$C$8)),"Scratch",IF($Q190&gt;0,"Win",IF($Q190&lt;0,"Loss","Scratch"))))</f>
        <v/>
      </c>
      <c r="T190" s="47" t="str">
        <f>IF(OR($AM190=0,NOT(ISNUMBER($H190)),NOT(ISNUMBER($I190)),NOT(ISNUMBER($J190))),"",IF($H190=$I190,"",ROUND(ABS($J190-$H190)/ABS($H190-$I190),6)))</f>
        <v/>
      </c>
      <c r="U190" s="48" t="str">
        <f>IF(OR($S190&lt;&gt;"Win",NOT(ISNUMBER($T190)),NOT(ISNUMBER($R190))),"",MAX(0,$T190-$R190))</f>
        <v/>
      </c>
      <c r="V190" s="49" t="str">
        <f>IF(OR($AM190=0,NOT(ISNUMBER($H190)),NOT(ISNUMBER($I190)),NOT(ISNUMBER($G190))),"",IF(OR($AG190="",$AH190=""),"",IF(ROUND(ABS($H190-$I190)*ABS($G190)*$AG190*$AH190,6)=0,"",ROUND(ABS($H190-$I190)*ABS($G190)*$AG190*$AH190,6))))</f>
        <v/>
      </c>
      <c r="W190" s="50" t="str">
        <f>IF($AM190=0,"",IF($BG190="","OK",LEFT($BG190,LEN($BG190)-2)))</f>
        <v/>
      </c>
      <c r="X190" s="41" t="n"/>
      <c r="Y190" s="40" t="n"/>
      <c r="Z190" s="41" t="n"/>
      <c r="AA190" s="41" t="n"/>
      <c r="AB190" s="40" t="n"/>
      <c r="AC190" s="51" t="n"/>
      <c r="AD190" s="51" t="n"/>
      <c r="AE190" s="40" t="n"/>
      <c r="AF190" s="52" t="str">
        <f>IF($AM190=0,"",IF($D190&lt;&gt;"",$D190,IF(IFERROR(INDEX(Accounts!$C$7:$C$16,MATCH($C190,Accounts!$B$7:$B$16,0))&amp;"","")&lt;&gt;"",INDEX(Accounts!$C$7:$C$16,MATCH($C190,Accounts!$B$7:$B$16,0)),Settings!$C$6)))</f>
        <v/>
      </c>
      <c r="AG190" s="53" t="str">
        <f>IF($AM190=0,"",IF(AND($BE190&gt;0,N(INDEX(Instruments!$D$6:$D$205,MAX(1,$BE190)))&gt;0),INDEX(Instruments!$D$6:$D$205,MAX(1,$BE190)),IF(N(INDEX(Settings!$D$14:$D$18,$BF190))&gt;0,INDEX(Settings!$D$14:$D$18,$BF190),"")))</f>
        <v/>
      </c>
      <c r="AH190" s="54" t="str">
        <f>IF($AM190=0,"",IF($AF190&lt;&gt;"Forex",1,IF(MID(UPPER(SUBSTITUTE(TRIM($E190),"/","")),4,3)=UPPER(TRIM(Settings!$C$7)),1,IF(LEFT(UPPER(SUBSTITUTE(TRIM($E190),"/","")),3)=UPPER(TRIM(Settings!$C$7)),IF(AND(ISNUMBER($K190),N($K190)&lt;&gt;0),1/$K190,""),""))))</f>
        <v/>
      </c>
      <c r="AI190" s="55" t="str">
        <f>IF($AM190=0,"",IF(OR(NOT(ISNUMBER($H190)),NOT(ISNUMBER($K190)),NOT(ISNUMBER($G190)),$AG190="",$AH190=""),"",ROUND(($K190-$H190)*IF($F190="Short",-1,1)*$G190*$AG190*$AH190,6)))</f>
        <v/>
      </c>
      <c r="AJ190" s="55" t="str">
        <f>IF($AM190=0,"",IF(INDEX(Settings!$E$14:$E$18,$BF190)="% of notional",IF(OR($AG190="",NOT(ISNUMBER($H190)),NOT(ISNUMBER($G190))),"",ROUND(ABS($H190*$G190*$AG190*N($AH190))*IF($L190="Limit",N(INDEX(Settings!$G$14:$G$18,$BF190)),N(INDEX(Settings!$H$14:$H$18,$BF190)))+IF(ISNUMBER($K190),ABS($K190*$G190*$AG190*N($AH190))*IF($M190="Target",N(INDEX(Settings!$G$14:$G$18,$BF190)),N(INDEX(Settings!$H$14:$H$18,$BF190))),0),6)),IF(NOT(ISNUMBER($G190)),"",ROUND(ABS($G190)*2*IF(AND($BE190&gt;0,ISNUMBER(INDEX(Instruments!$G$6:$G$205,MAX(1,$BE190)))),INDEX(Instruments!$G$6:$G$205,MAX(1,$BE190)),N(INDEX(Settings!$F$14:$F$18,$BF190))),6))))</f>
        <v/>
      </c>
      <c r="AK190" s="55" t="str">
        <f>IF($AM190=0,"",IF(ISNUMBER($O190),$O190,$AI190))</f>
        <v/>
      </c>
      <c r="AL190" s="55" t="str">
        <f>IF($AM190=0,"",IF(ISNUMBER($P190),$P190,N($AJ190)))</f>
        <v/>
      </c>
      <c r="AM190" s="56">
        <f>IF(AND($A190&lt;&gt;"",$E190&lt;&gt;"",OR(AND(ISNUMBER($G190),ISNUMBER($H190),ISNUMBER($K190)),ISNUMBER($O190))),1,0)</f>
        <v>0</v>
      </c>
      <c r="AN190" s="57" t="str">
        <f>IF($A190="","",$A190-WEEKDAY($A190,3))</f>
        <v/>
      </c>
      <c r="AO190" s="56" t="str">
        <f>IF($A190="","",WEEKDAY($A190,2))</f>
        <v/>
      </c>
      <c r="AP190" s="55" t="str">
        <f>IF(OR($AM190=0,$C190=""),"",IFERROR(N(INDEX(Accounts!$E$7:$E$16,MATCH($C190,Accounts!$B$7:$B$16,0))),0)+SUMIFS($Q$6:$Q190,$C$6:$C190,$C190))</f>
        <v/>
      </c>
      <c r="AQ190" s="55" t="str">
        <f>IF(OR($AM190=0,$C190=""),"",SUMIFS($Q$6:$Q$1005,$C$6:$C$1005,$C190,$A$6:$A$1005,$A190))</f>
        <v/>
      </c>
      <c r="AR190" s="55" t="str">
        <f>IF(OR($AM190=0,$C190=""),"",IFERROR(N(INDEX(Accounts!$E$7:$E$16,MATCH($C190,Accounts!$B$7:$B$16,0))),0)+SUMIFS($Q$6:$Q$1005,$C$6:$C$1005,$C190,$A$6:$A$1005,"&lt;="&amp;$A190))</f>
        <v/>
      </c>
      <c r="AS190" s="56">
        <f>IF(OR($AM190=0,$Q190=""),0,IF(AND($A190&gt;=Lists!$W$6,$A190&lt;=Lists!$W$7,OR(Dashboard!$D$6="All accounts",$C190=Dashboard!$D$6),OR(Dashboard!$D$7="All markets",$AF190=Dashboard!$D$7)),1,0))</f>
        <v>0</v>
      </c>
      <c r="AT190" s="55">
        <f>IF($AS190=1,N(AT189)+$Q190,N(AT189))</f>
        <v>1187.10688</v>
      </c>
      <c r="AU190" s="55">
        <f>MAX(N(AU189),$AT190)</f>
        <v>1187.10688</v>
      </c>
      <c r="AV190" s="55">
        <f>$AT190-$AU190</f>
        <v>0</v>
      </c>
      <c r="AW190" s="56">
        <f>IF($AS190=1,IF($S190="Win",N(AW189)+1,IF($S190="Loss",0,N(AW189))),N(AW189))</f>
        <v>5</v>
      </c>
      <c r="AX190" s="56">
        <f>IF($AS190=1,IF($S190="Loss",N(AX189)+1,IF($S190="Win",0,N(AX189))),N(AX189))</f>
        <v>0</v>
      </c>
      <c r="AY190" s="56" t="str">
        <f>IF($AS190=1,COUNTIF($AS$6:$AS190,1),"")</f>
        <v/>
      </c>
      <c r="AZ190" s="56">
        <f>MIN(184,N(Lists!$W$8))</f>
        <v>28</v>
      </c>
      <c r="BA190" s="56">
        <f>IF($AS190=1,IF(COUNTIFS($A$6:$A190,$A190,$AS$6:$AS190,1)=1,1,0),0)</f>
        <v>0</v>
      </c>
      <c r="BB190" s="55" t="str">
        <f>IF($BA190=1,SUMIFS($Q$6:$Q$1005,$A$6:$A$1005,$A190,$AS$6:$AS$1005,1),"")</f>
        <v/>
      </c>
      <c r="BC190" s="56">
        <f>IF(ISNUMBER($R190),1,0)</f>
        <v>0</v>
      </c>
      <c r="BD190" s="55" t="str">
        <f>IF(ISNUMBER($U190),$U190*$V190,"")</f>
        <v/>
      </c>
      <c r="BE190" s="56" t="str">
        <f>IF($AM190=0,"",IFERROR(MATCH($AF190&amp;"|"&amp;UPPER(TRIM($E190)),Lists!$A$6:$A$205,0),0))</f>
        <v/>
      </c>
      <c r="BF190" s="56" t="str">
        <f>IF($AM190=0,"",IFERROR(MATCH($AF190,Settings!$B$14:$B$18,0),IFERROR(MATCH(Settings!$C$6,Settings!$B$14:$B$18,0),1)))</f>
        <v/>
      </c>
      <c r="BG190" s="58" t="str">
        <f>IF($AM190=0,"",IF(NOT(ISNUMBER($I190)),"No stop; ","")&amp;IF(AND(ISNUMBER($H190),ISNUMBER($I190)),IF(OR(AND($F190&lt;&gt;"Short",$I190&gt;=$H190),AND($F190="Short",$I190&lt;=$H190)),"Stop on wrong side; ",""),"")&amp;IF($F190="","No direction; ","")&amp;IF(AND(ISNUMBER(Settings!$C$22),ISNUMBER($V190)),IF($V190&gt;Settings!$C$22,"Risk over max $; ",""),"")&amp;IF(AND(ISNUMBER(Settings!$C$23),ISNUMBER($V190),ISNUMBER($AP190),IFERROR(N(INDEX(Accounts!$E$7:$E$16,MATCH($C190,Accounts!$B$7:$B$16,0))),0)&gt;0),IF($V190&gt;Settings!$C$23*($AP190-N($Q190)),"Risk over max %; ",""),"")&amp;IF(AND(ISNUMBER(Settings!$C$24),ISNUMBER($N190)),IF($N190&gt;Settings!$C$24,"Leverage over max; ",""),"")&amp;IF(AND(ISNUMBER(Settings!$C$27),ISNUMBER($T190)),IF($T190&lt;Settings!$C$27,"R:R below min; ",""),"")&amp;IF(ISNUMBER(Settings!$C$25),IF(COUNTIFS($A$6:$A190,$A190,$AM$6:$AM190,1)&gt;Settings!$C$25,"Over max trades/day; ",""),"")&amp;IF(ISNUMBER(Settings!$C$26),IF(SUMIFS($Q$5:$Q189,$A$5:$A189,$A190)&lt;=-Settings!$C$26,"Traded after daily max loss; ",""),"")&amp;IF(AND($AG190="",NOT(ISNUMBER($O190))),"Symbol not in Instruments; ","")&amp;IF(AND($AH190="",NOT(ISNUMBER($O190))),"Forex cross: type Gross P&amp;L; ",""))</f>
        <v/>
      </c>
      <c r="BH190" s="56">
        <f>IF(ISNUMBER($Q190),1,0)</f>
        <v>0</v>
      </c>
      <c r="BI190" s="56">
        <f>IF($Y190="",0,1)</f>
        <v>0</v>
      </c>
      <c r="BJ190" s="56">
        <f>IF($AB190="",0,1)</f>
        <v>0</v>
      </c>
      <c r="BK190" s="56">
        <f>IF(AND($BH190=1,$W190&lt;&gt;"OK"),1,0)</f>
        <v>0</v>
      </c>
      <c r="BL190" s="55">
        <f>IF(N($AZ190)=0,0,IFERROR(INDEX($AT$6:$AT$1005,MATCH($AZ190,$AY$6:$AY$1005,0)),0))</f>
        <v>1187.10688</v>
      </c>
      <c r="BM190" s="56">
        <f>IF(ISNUMBER(SEARCH("daily max loss",$BG190)),1,0)</f>
        <v>0</v>
      </c>
    </row>
    <row r="191" ht="18" customHeight="1">
      <c r="A191" s="38" t="n"/>
      <c r="B191" s="39" t="n"/>
      <c r="C191" s="40" t="n"/>
      <c r="D191" s="41" t="n"/>
      <c r="E191" s="41" t="n"/>
      <c r="F191" s="41" t="n"/>
      <c r="G191" s="41" t="n"/>
      <c r="H191" s="42" t="n"/>
      <c r="I191" s="42" t="n"/>
      <c r="J191" s="42" t="n"/>
      <c r="K191" s="42" t="n"/>
      <c r="L191" s="41" t="n"/>
      <c r="M191" s="41" t="n"/>
      <c r="N191" s="41" t="n"/>
      <c r="O191" s="43" t="n"/>
      <c r="P191" s="43" t="n"/>
      <c r="Q191" s="44" t="str">
        <f>IF($AM191=0,"",IF(ISNUMBER($AK191),$AK191-N($AL191),""))</f>
        <v/>
      </c>
      <c r="R191" s="45" t="str">
        <f>IF(OR($Q191="",NOT(ISNUMBER($V191))),"",$AK191/$V191)</f>
        <v/>
      </c>
      <c r="S191" s="46" t="str">
        <f>IF($Q191="","",IF(AND(ISNUMBER($R191),ABS(N($R191))&lt;N(Settings!$C$8)),"Scratch",IF($Q191&gt;0,"Win",IF($Q191&lt;0,"Loss","Scratch"))))</f>
        <v/>
      </c>
      <c r="T191" s="47" t="str">
        <f>IF(OR($AM191=0,NOT(ISNUMBER($H191)),NOT(ISNUMBER($I191)),NOT(ISNUMBER($J191))),"",IF($H191=$I191,"",ROUND(ABS($J191-$H191)/ABS($H191-$I191),6)))</f>
        <v/>
      </c>
      <c r="U191" s="48" t="str">
        <f>IF(OR($S191&lt;&gt;"Win",NOT(ISNUMBER($T191)),NOT(ISNUMBER($R191))),"",MAX(0,$T191-$R191))</f>
        <v/>
      </c>
      <c r="V191" s="49" t="str">
        <f>IF(OR($AM191=0,NOT(ISNUMBER($H191)),NOT(ISNUMBER($I191)),NOT(ISNUMBER($G191))),"",IF(OR($AG191="",$AH191=""),"",IF(ROUND(ABS($H191-$I191)*ABS($G191)*$AG191*$AH191,6)=0,"",ROUND(ABS($H191-$I191)*ABS($G191)*$AG191*$AH191,6))))</f>
        <v/>
      </c>
      <c r="W191" s="50" t="str">
        <f>IF($AM191=0,"",IF($BG191="","OK",LEFT($BG191,LEN($BG191)-2)))</f>
        <v/>
      </c>
      <c r="X191" s="41" t="n"/>
      <c r="Y191" s="40" t="n"/>
      <c r="Z191" s="41" t="n"/>
      <c r="AA191" s="41" t="n"/>
      <c r="AB191" s="40" t="n"/>
      <c r="AC191" s="51" t="n"/>
      <c r="AD191" s="51" t="n"/>
      <c r="AE191" s="40" t="n"/>
      <c r="AF191" s="52" t="str">
        <f>IF($AM191=0,"",IF($D191&lt;&gt;"",$D191,IF(IFERROR(INDEX(Accounts!$C$7:$C$16,MATCH($C191,Accounts!$B$7:$B$16,0))&amp;"","")&lt;&gt;"",INDEX(Accounts!$C$7:$C$16,MATCH($C191,Accounts!$B$7:$B$16,0)),Settings!$C$6)))</f>
        <v/>
      </c>
      <c r="AG191" s="53" t="str">
        <f>IF($AM191=0,"",IF(AND($BE191&gt;0,N(INDEX(Instruments!$D$6:$D$205,MAX(1,$BE191)))&gt;0),INDEX(Instruments!$D$6:$D$205,MAX(1,$BE191)),IF(N(INDEX(Settings!$D$14:$D$18,$BF191))&gt;0,INDEX(Settings!$D$14:$D$18,$BF191),"")))</f>
        <v/>
      </c>
      <c r="AH191" s="54" t="str">
        <f>IF($AM191=0,"",IF($AF191&lt;&gt;"Forex",1,IF(MID(UPPER(SUBSTITUTE(TRIM($E191),"/","")),4,3)=UPPER(TRIM(Settings!$C$7)),1,IF(LEFT(UPPER(SUBSTITUTE(TRIM($E191),"/","")),3)=UPPER(TRIM(Settings!$C$7)),IF(AND(ISNUMBER($K191),N($K191)&lt;&gt;0),1/$K191,""),""))))</f>
        <v/>
      </c>
      <c r="AI191" s="55" t="str">
        <f>IF($AM191=0,"",IF(OR(NOT(ISNUMBER($H191)),NOT(ISNUMBER($K191)),NOT(ISNUMBER($G191)),$AG191="",$AH191=""),"",ROUND(($K191-$H191)*IF($F191="Short",-1,1)*$G191*$AG191*$AH191,6)))</f>
        <v/>
      </c>
      <c r="AJ191" s="55" t="str">
        <f>IF($AM191=0,"",IF(INDEX(Settings!$E$14:$E$18,$BF191)="% of notional",IF(OR($AG191="",NOT(ISNUMBER($H191)),NOT(ISNUMBER($G191))),"",ROUND(ABS($H191*$G191*$AG191*N($AH191))*IF($L191="Limit",N(INDEX(Settings!$G$14:$G$18,$BF191)),N(INDEX(Settings!$H$14:$H$18,$BF191)))+IF(ISNUMBER($K191),ABS($K191*$G191*$AG191*N($AH191))*IF($M191="Target",N(INDEX(Settings!$G$14:$G$18,$BF191)),N(INDEX(Settings!$H$14:$H$18,$BF191))),0),6)),IF(NOT(ISNUMBER($G191)),"",ROUND(ABS($G191)*2*IF(AND($BE191&gt;0,ISNUMBER(INDEX(Instruments!$G$6:$G$205,MAX(1,$BE191)))),INDEX(Instruments!$G$6:$G$205,MAX(1,$BE191)),N(INDEX(Settings!$F$14:$F$18,$BF191))),6))))</f>
        <v/>
      </c>
      <c r="AK191" s="55" t="str">
        <f>IF($AM191=0,"",IF(ISNUMBER($O191),$O191,$AI191))</f>
        <v/>
      </c>
      <c r="AL191" s="55" t="str">
        <f>IF($AM191=0,"",IF(ISNUMBER($P191),$P191,N($AJ191)))</f>
        <v/>
      </c>
      <c r="AM191" s="56">
        <f>IF(AND($A191&lt;&gt;"",$E191&lt;&gt;"",OR(AND(ISNUMBER($G191),ISNUMBER($H191),ISNUMBER($K191)),ISNUMBER($O191))),1,0)</f>
        <v>0</v>
      </c>
      <c r="AN191" s="57" t="str">
        <f>IF($A191="","",$A191-WEEKDAY($A191,3))</f>
        <v/>
      </c>
      <c r="AO191" s="56" t="str">
        <f>IF($A191="","",WEEKDAY($A191,2))</f>
        <v/>
      </c>
      <c r="AP191" s="55" t="str">
        <f>IF(OR($AM191=0,$C191=""),"",IFERROR(N(INDEX(Accounts!$E$7:$E$16,MATCH($C191,Accounts!$B$7:$B$16,0))),0)+SUMIFS($Q$6:$Q191,$C$6:$C191,$C191))</f>
        <v/>
      </c>
      <c r="AQ191" s="55" t="str">
        <f>IF(OR($AM191=0,$C191=""),"",SUMIFS($Q$6:$Q$1005,$C$6:$C$1005,$C191,$A$6:$A$1005,$A191))</f>
        <v/>
      </c>
      <c r="AR191" s="55" t="str">
        <f>IF(OR($AM191=0,$C191=""),"",IFERROR(N(INDEX(Accounts!$E$7:$E$16,MATCH($C191,Accounts!$B$7:$B$16,0))),0)+SUMIFS($Q$6:$Q$1005,$C$6:$C$1005,$C191,$A$6:$A$1005,"&lt;="&amp;$A191))</f>
        <v/>
      </c>
      <c r="AS191" s="56">
        <f>IF(OR($AM191=0,$Q191=""),0,IF(AND($A191&gt;=Lists!$W$6,$A191&lt;=Lists!$W$7,OR(Dashboard!$D$6="All accounts",$C191=Dashboard!$D$6),OR(Dashboard!$D$7="All markets",$AF191=Dashboard!$D$7)),1,0))</f>
        <v>0</v>
      </c>
      <c r="AT191" s="55">
        <f>IF($AS191=1,N(AT190)+$Q191,N(AT190))</f>
        <v>1187.10688</v>
      </c>
      <c r="AU191" s="55">
        <f>MAX(N(AU190),$AT191)</f>
        <v>1187.10688</v>
      </c>
      <c r="AV191" s="55">
        <f>$AT191-$AU191</f>
        <v>0</v>
      </c>
      <c r="AW191" s="56">
        <f>IF($AS191=1,IF($S191="Win",N(AW190)+1,IF($S191="Loss",0,N(AW190))),N(AW190))</f>
        <v>5</v>
      </c>
      <c r="AX191" s="56">
        <f>IF($AS191=1,IF($S191="Loss",N(AX190)+1,IF($S191="Win",0,N(AX190))),N(AX190))</f>
        <v>0</v>
      </c>
      <c r="AY191" s="56" t="str">
        <f>IF($AS191=1,COUNTIF($AS$6:$AS191,1),"")</f>
        <v/>
      </c>
      <c r="AZ191" s="56">
        <f>MIN(185,N(Lists!$W$8))</f>
        <v>28</v>
      </c>
      <c r="BA191" s="56">
        <f>IF($AS191=1,IF(COUNTIFS($A$6:$A191,$A191,$AS$6:$AS191,1)=1,1,0),0)</f>
        <v>0</v>
      </c>
      <c r="BB191" s="55" t="str">
        <f>IF($BA191=1,SUMIFS($Q$6:$Q$1005,$A$6:$A$1005,$A191,$AS$6:$AS$1005,1),"")</f>
        <v/>
      </c>
      <c r="BC191" s="56">
        <f>IF(ISNUMBER($R191),1,0)</f>
        <v>0</v>
      </c>
      <c r="BD191" s="55" t="str">
        <f>IF(ISNUMBER($U191),$U191*$V191,"")</f>
        <v/>
      </c>
      <c r="BE191" s="56" t="str">
        <f>IF($AM191=0,"",IFERROR(MATCH($AF191&amp;"|"&amp;UPPER(TRIM($E191)),Lists!$A$6:$A$205,0),0))</f>
        <v/>
      </c>
      <c r="BF191" s="56" t="str">
        <f>IF($AM191=0,"",IFERROR(MATCH($AF191,Settings!$B$14:$B$18,0),IFERROR(MATCH(Settings!$C$6,Settings!$B$14:$B$18,0),1)))</f>
        <v/>
      </c>
      <c r="BG191" s="58" t="str">
        <f>IF($AM191=0,"",IF(NOT(ISNUMBER($I191)),"No stop; ","")&amp;IF(AND(ISNUMBER($H191),ISNUMBER($I191)),IF(OR(AND($F191&lt;&gt;"Short",$I191&gt;=$H191),AND($F191="Short",$I191&lt;=$H191)),"Stop on wrong side; ",""),"")&amp;IF($F191="","No direction; ","")&amp;IF(AND(ISNUMBER(Settings!$C$22),ISNUMBER($V191)),IF($V191&gt;Settings!$C$22,"Risk over max $; ",""),"")&amp;IF(AND(ISNUMBER(Settings!$C$23),ISNUMBER($V191),ISNUMBER($AP191),IFERROR(N(INDEX(Accounts!$E$7:$E$16,MATCH($C191,Accounts!$B$7:$B$16,0))),0)&gt;0),IF($V191&gt;Settings!$C$23*($AP191-N($Q191)),"Risk over max %; ",""),"")&amp;IF(AND(ISNUMBER(Settings!$C$24),ISNUMBER($N191)),IF($N191&gt;Settings!$C$24,"Leverage over max; ",""),"")&amp;IF(AND(ISNUMBER(Settings!$C$27),ISNUMBER($T191)),IF($T191&lt;Settings!$C$27,"R:R below min; ",""),"")&amp;IF(ISNUMBER(Settings!$C$25),IF(COUNTIFS($A$6:$A191,$A191,$AM$6:$AM191,1)&gt;Settings!$C$25,"Over max trades/day; ",""),"")&amp;IF(ISNUMBER(Settings!$C$26),IF(SUMIFS($Q$5:$Q190,$A$5:$A190,$A191)&lt;=-Settings!$C$26,"Traded after daily max loss; ",""),"")&amp;IF(AND($AG191="",NOT(ISNUMBER($O191))),"Symbol not in Instruments; ","")&amp;IF(AND($AH191="",NOT(ISNUMBER($O191))),"Forex cross: type Gross P&amp;L; ",""))</f>
        <v/>
      </c>
      <c r="BH191" s="56">
        <f>IF(ISNUMBER($Q191),1,0)</f>
        <v>0</v>
      </c>
      <c r="BI191" s="56">
        <f>IF($Y191="",0,1)</f>
        <v>0</v>
      </c>
      <c r="BJ191" s="56">
        <f>IF($AB191="",0,1)</f>
        <v>0</v>
      </c>
      <c r="BK191" s="56">
        <f>IF(AND($BH191=1,$W191&lt;&gt;"OK"),1,0)</f>
        <v>0</v>
      </c>
      <c r="BL191" s="55">
        <f>IF(N($AZ191)=0,0,IFERROR(INDEX($AT$6:$AT$1005,MATCH($AZ191,$AY$6:$AY$1005,0)),0))</f>
        <v>1187.10688</v>
      </c>
      <c r="BM191" s="56">
        <f>IF(ISNUMBER(SEARCH("daily max loss",$BG191)),1,0)</f>
        <v>0</v>
      </c>
    </row>
    <row r="192" ht="18" customHeight="1">
      <c r="A192" s="38" t="n"/>
      <c r="B192" s="39" t="n"/>
      <c r="C192" s="40" t="n"/>
      <c r="D192" s="41" t="n"/>
      <c r="E192" s="41" t="n"/>
      <c r="F192" s="41" t="n"/>
      <c r="G192" s="41" t="n"/>
      <c r="H192" s="42" t="n"/>
      <c r="I192" s="42" t="n"/>
      <c r="J192" s="42" t="n"/>
      <c r="K192" s="42" t="n"/>
      <c r="L192" s="41" t="n"/>
      <c r="M192" s="41" t="n"/>
      <c r="N192" s="41" t="n"/>
      <c r="O192" s="43" t="n"/>
      <c r="P192" s="43" t="n"/>
      <c r="Q192" s="44" t="str">
        <f>IF($AM192=0,"",IF(ISNUMBER($AK192),$AK192-N($AL192),""))</f>
        <v/>
      </c>
      <c r="R192" s="45" t="str">
        <f>IF(OR($Q192="",NOT(ISNUMBER($V192))),"",$AK192/$V192)</f>
        <v/>
      </c>
      <c r="S192" s="46" t="str">
        <f>IF($Q192="","",IF(AND(ISNUMBER($R192),ABS(N($R192))&lt;N(Settings!$C$8)),"Scratch",IF($Q192&gt;0,"Win",IF($Q192&lt;0,"Loss","Scratch"))))</f>
        <v/>
      </c>
      <c r="T192" s="47" t="str">
        <f>IF(OR($AM192=0,NOT(ISNUMBER($H192)),NOT(ISNUMBER($I192)),NOT(ISNUMBER($J192))),"",IF($H192=$I192,"",ROUND(ABS($J192-$H192)/ABS($H192-$I192),6)))</f>
        <v/>
      </c>
      <c r="U192" s="48" t="str">
        <f>IF(OR($S192&lt;&gt;"Win",NOT(ISNUMBER($T192)),NOT(ISNUMBER($R192))),"",MAX(0,$T192-$R192))</f>
        <v/>
      </c>
      <c r="V192" s="49" t="str">
        <f>IF(OR($AM192=0,NOT(ISNUMBER($H192)),NOT(ISNUMBER($I192)),NOT(ISNUMBER($G192))),"",IF(OR($AG192="",$AH192=""),"",IF(ROUND(ABS($H192-$I192)*ABS($G192)*$AG192*$AH192,6)=0,"",ROUND(ABS($H192-$I192)*ABS($G192)*$AG192*$AH192,6))))</f>
        <v/>
      </c>
      <c r="W192" s="50" t="str">
        <f>IF($AM192=0,"",IF($BG192="","OK",LEFT($BG192,LEN($BG192)-2)))</f>
        <v/>
      </c>
      <c r="X192" s="41" t="n"/>
      <c r="Y192" s="40" t="n"/>
      <c r="Z192" s="41" t="n"/>
      <c r="AA192" s="41" t="n"/>
      <c r="AB192" s="40" t="n"/>
      <c r="AC192" s="51" t="n"/>
      <c r="AD192" s="51" t="n"/>
      <c r="AE192" s="40" t="n"/>
      <c r="AF192" s="52" t="str">
        <f>IF($AM192=0,"",IF($D192&lt;&gt;"",$D192,IF(IFERROR(INDEX(Accounts!$C$7:$C$16,MATCH($C192,Accounts!$B$7:$B$16,0))&amp;"","")&lt;&gt;"",INDEX(Accounts!$C$7:$C$16,MATCH($C192,Accounts!$B$7:$B$16,0)),Settings!$C$6)))</f>
        <v/>
      </c>
      <c r="AG192" s="53" t="str">
        <f>IF($AM192=0,"",IF(AND($BE192&gt;0,N(INDEX(Instruments!$D$6:$D$205,MAX(1,$BE192)))&gt;0),INDEX(Instruments!$D$6:$D$205,MAX(1,$BE192)),IF(N(INDEX(Settings!$D$14:$D$18,$BF192))&gt;0,INDEX(Settings!$D$14:$D$18,$BF192),"")))</f>
        <v/>
      </c>
      <c r="AH192" s="54" t="str">
        <f>IF($AM192=0,"",IF($AF192&lt;&gt;"Forex",1,IF(MID(UPPER(SUBSTITUTE(TRIM($E192),"/","")),4,3)=UPPER(TRIM(Settings!$C$7)),1,IF(LEFT(UPPER(SUBSTITUTE(TRIM($E192),"/","")),3)=UPPER(TRIM(Settings!$C$7)),IF(AND(ISNUMBER($K192),N($K192)&lt;&gt;0),1/$K192,""),""))))</f>
        <v/>
      </c>
      <c r="AI192" s="55" t="str">
        <f>IF($AM192=0,"",IF(OR(NOT(ISNUMBER($H192)),NOT(ISNUMBER($K192)),NOT(ISNUMBER($G192)),$AG192="",$AH192=""),"",ROUND(($K192-$H192)*IF($F192="Short",-1,1)*$G192*$AG192*$AH192,6)))</f>
        <v/>
      </c>
      <c r="AJ192" s="55" t="str">
        <f>IF($AM192=0,"",IF(INDEX(Settings!$E$14:$E$18,$BF192)="% of notional",IF(OR($AG192="",NOT(ISNUMBER($H192)),NOT(ISNUMBER($G192))),"",ROUND(ABS($H192*$G192*$AG192*N($AH192))*IF($L192="Limit",N(INDEX(Settings!$G$14:$G$18,$BF192)),N(INDEX(Settings!$H$14:$H$18,$BF192)))+IF(ISNUMBER($K192),ABS($K192*$G192*$AG192*N($AH192))*IF($M192="Target",N(INDEX(Settings!$G$14:$G$18,$BF192)),N(INDEX(Settings!$H$14:$H$18,$BF192))),0),6)),IF(NOT(ISNUMBER($G192)),"",ROUND(ABS($G192)*2*IF(AND($BE192&gt;0,ISNUMBER(INDEX(Instruments!$G$6:$G$205,MAX(1,$BE192)))),INDEX(Instruments!$G$6:$G$205,MAX(1,$BE192)),N(INDEX(Settings!$F$14:$F$18,$BF192))),6))))</f>
        <v/>
      </c>
      <c r="AK192" s="55" t="str">
        <f>IF($AM192=0,"",IF(ISNUMBER($O192),$O192,$AI192))</f>
        <v/>
      </c>
      <c r="AL192" s="55" t="str">
        <f>IF($AM192=0,"",IF(ISNUMBER($P192),$P192,N($AJ192)))</f>
        <v/>
      </c>
      <c r="AM192" s="56">
        <f>IF(AND($A192&lt;&gt;"",$E192&lt;&gt;"",OR(AND(ISNUMBER($G192),ISNUMBER($H192),ISNUMBER($K192)),ISNUMBER($O192))),1,0)</f>
        <v>0</v>
      </c>
      <c r="AN192" s="57" t="str">
        <f>IF($A192="","",$A192-WEEKDAY($A192,3))</f>
        <v/>
      </c>
      <c r="AO192" s="56" t="str">
        <f>IF($A192="","",WEEKDAY($A192,2))</f>
        <v/>
      </c>
      <c r="AP192" s="55" t="str">
        <f>IF(OR($AM192=0,$C192=""),"",IFERROR(N(INDEX(Accounts!$E$7:$E$16,MATCH($C192,Accounts!$B$7:$B$16,0))),0)+SUMIFS($Q$6:$Q192,$C$6:$C192,$C192))</f>
        <v/>
      </c>
      <c r="AQ192" s="55" t="str">
        <f>IF(OR($AM192=0,$C192=""),"",SUMIFS($Q$6:$Q$1005,$C$6:$C$1005,$C192,$A$6:$A$1005,$A192))</f>
        <v/>
      </c>
      <c r="AR192" s="55" t="str">
        <f>IF(OR($AM192=0,$C192=""),"",IFERROR(N(INDEX(Accounts!$E$7:$E$16,MATCH($C192,Accounts!$B$7:$B$16,0))),0)+SUMIFS($Q$6:$Q$1005,$C$6:$C$1005,$C192,$A$6:$A$1005,"&lt;="&amp;$A192))</f>
        <v/>
      </c>
      <c r="AS192" s="56">
        <f>IF(OR($AM192=0,$Q192=""),0,IF(AND($A192&gt;=Lists!$W$6,$A192&lt;=Lists!$W$7,OR(Dashboard!$D$6="All accounts",$C192=Dashboard!$D$6),OR(Dashboard!$D$7="All markets",$AF192=Dashboard!$D$7)),1,0))</f>
        <v>0</v>
      </c>
      <c r="AT192" s="55">
        <f>IF($AS192=1,N(AT191)+$Q192,N(AT191))</f>
        <v>1187.10688</v>
      </c>
      <c r="AU192" s="55">
        <f>MAX(N(AU191),$AT192)</f>
        <v>1187.10688</v>
      </c>
      <c r="AV192" s="55">
        <f>$AT192-$AU192</f>
        <v>0</v>
      </c>
      <c r="AW192" s="56">
        <f>IF($AS192=1,IF($S192="Win",N(AW191)+1,IF($S192="Loss",0,N(AW191))),N(AW191))</f>
        <v>5</v>
      </c>
      <c r="AX192" s="56">
        <f>IF($AS192=1,IF($S192="Loss",N(AX191)+1,IF($S192="Win",0,N(AX191))),N(AX191))</f>
        <v>0</v>
      </c>
      <c r="AY192" s="56" t="str">
        <f>IF($AS192=1,COUNTIF($AS$6:$AS192,1),"")</f>
        <v/>
      </c>
      <c r="AZ192" s="56">
        <f>MIN(186,N(Lists!$W$8))</f>
        <v>28</v>
      </c>
      <c r="BA192" s="56">
        <f>IF($AS192=1,IF(COUNTIFS($A$6:$A192,$A192,$AS$6:$AS192,1)=1,1,0),0)</f>
        <v>0</v>
      </c>
      <c r="BB192" s="55" t="str">
        <f>IF($BA192=1,SUMIFS($Q$6:$Q$1005,$A$6:$A$1005,$A192,$AS$6:$AS$1005,1),"")</f>
        <v/>
      </c>
      <c r="BC192" s="56">
        <f>IF(ISNUMBER($R192),1,0)</f>
        <v>0</v>
      </c>
      <c r="BD192" s="55" t="str">
        <f>IF(ISNUMBER($U192),$U192*$V192,"")</f>
        <v/>
      </c>
      <c r="BE192" s="56" t="str">
        <f>IF($AM192=0,"",IFERROR(MATCH($AF192&amp;"|"&amp;UPPER(TRIM($E192)),Lists!$A$6:$A$205,0),0))</f>
        <v/>
      </c>
      <c r="BF192" s="56" t="str">
        <f>IF($AM192=0,"",IFERROR(MATCH($AF192,Settings!$B$14:$B$18,0),IFERROR(MATCH(Settings!$C$6,Settings!$B$14:$B$18,0),1)))</f>
        <v/>
      </c>
      <c r="BG192" s="58" t="str">
        <f>IF($AM192=0,"",IF(NOT(ISNUMBER($I192)),"No stop; ","")&amp;IF(AND(ISNUMBER($H192),ISNUMBER($I192)),IF(OR(AND($F192&lt;&gt;"Short",$I192&gt;=$H192),AND($F192="Short",$I192&lt;=$H192)),"Stop on wrong side; ",""),"")&amp;IF($F192="","No direction; ","")&amp;IF(AND(ISNUMBER(Settings!$C$22),ISNUMBER($V192)),IF($V192&gt;Settings!$C$22,"Risk over max $; ",""),"")&amp;IF(AND(ISNUMBER(Settings!$C$23),ISNUMBER($V192),ISNUMBER($AP192),IFERROR(N(INDEX(Accounts!$E$7:$E$16,MATCH($C192,Accounts!$B$7:$B$16,0))),0)&gt;0),IF($V192&gt;Settings!$C$23*($AP192-N($Q192)),"Risk over max %; ",""),"")&amp;IF(AND(ISNUMBER(Settings!$C$24),ISNUMBER($N192)),IF($N192&gt;Settings!$C$24,"Leverage over max; ",""),"")&amp;IF(AND(ISNUMBER(Settings!$C$27),ISNUMBER($T192)),IF($T192&lt;Settings!$C$27,"R:R below min; ",""),"")&amp;IF(ISNUMBER(Settings!$C$25),IF(COUNTIFS($A$6:$A192,$A192,$AM$6:$AM192,1)&gt;Settings!$C$25,"Over max trades/day; ",""),"")&amp;IF(ISNUMBER(Settings!$C$26),IF(SUMIFS($Q$5:$Q191,$A$5:$A191,$A192)&lt;=-Settings!$C$26,"Traded after daily max loss; ",""),"")&amp;IF(AND($AG192="",NOT(ISNUMBER($O192))),"Symbol not in Instruments; ","")&amp;IF(AND($AH192="",NOT(ISNUMBER($O192))),"Forex cross: type Gross P&amp;L; ",""))</f>
        <v/>
      </c>
      <c r="BH192" s="56">
        <f>IF(ISNUMBER($Q192),1,0)</f>
        <v>0</v>
      </c>
      <c r="BI192" s="56">
        <f>IF($Y192="",0,1)</f>
        <v>0</v>
      </c>
      <c r="BJ192" s="56">
        <f>IF($AB192="",0,1)</f>
        <v>0</v>
      </c>
      <c r="BK192" s="56">
        <f>IF(AND($BH192=1,$W192&lt;&gt;"OK"),1,0)</f>
        <v>0</v>
      </c>
      <c r="BL192" s="55">
        <f>IF(N($AZ192)=0,0,IFERROR(INDEX($AT$6:$AT$1005,MATCH($AZ192,$AY$6:$AY$1005,0)),0))</f>
        <v>1187.10688</v>
      </c>
      <c r="BM192" s="56">
        <f>IF(ISNUMBER(SEARCH("daily max loss",$BG192)),1,0)</f>
        <v>0</v>
      </c>
    </row>
    <row r="193" ht="18" customHeight="1">
      <c r="A193" s="38" t="n"/>
      <c r="B193" s="39" t="n"/>
      <c r="C193" s="40" t="n"/>
      <c r="D193" s="41" t="n"/>
      <c r="E193" s="41" t="n"/>
      <c r="F193" s="41" t="n"/>
      <c r="G193" s="41" t="n"/>
      <c r="H193" s="42" t="n"/>
      <c r="I193" s="42" t="n"/>
      <c r="J193" s="42" t="n"/>
      <c r="K193" s="42" t="n"/>
      <c r="L193" s="41" t="n"/>
      <c r="M193" s="41" t="n"/>
      <c r="N193" s="41" t="n"/>
      <c r="O193" s="43" t="n"/>
      <c r="P193" s="43" t="n"/>
      <c r="Q193" s="44" t="str">
        <f>IF($AM193=0,"",IF(ISNUMBER($AK193),$AK193-N($AL193),""))</f>
        <v/>
      </c>
      <c r="R193" s="45" t="str">
        <f>IF(OR($Q193="",NOT(ISNUMBER($V193))),"",$AK193/$V193)</f>
        <v/>
      </c>
      <c r="S193" s="46" t="str">
        <f>IF($Q193="","",IF(AND(ISNUMBER($R193),ABS(N($R193))&lt;N(Settings!$C$8)),"Scratch",IF($Q193&gt;0,"Win",IF($Q193&lt;0,"Loss","Scratch"))))</f>
        <v/>
      </c>
      <c r="T193" s="47" t="str">
        <f>IF(OR($AM193=0,NOT(ISNUMBER($H193)),NOT(ISNUMBER($I193)),NOT(ISNUMBER($J193))),"",IF($H193=$I193,"",ROUND(ABS($J193-$H193)/ABS($H193-$I193),6)))</f>
        <v/>
      </c>
      <c r="U193" s="48" t="str">
        <f>IF(OR($S193&lt;&gt;"Win",NOT(ISNUMBER($T193)),NOT(ISNUMBER($R193))),"",MAX(0,$T193-$R193))</f>
        <v/>
      </c>
      <c r="V193" s="49" t="str">
        <f>IF(OR($AM193=0,NOT(ISNUMBER($H193)),NOT(ISNUMBER($I193)),NOT(ISNUMBER($G193))),"",IF(OR($AG193="",$AH193=""),"",IF(ROUND(ABS($H193-$I193)*ABS($G193)*$AG193*$AH193,6)=0,"",ROUND(ABS($H193-$I193)*ABS($G193)*$AG193*$AH193,6))))</f>
        <v/>
      </c>
      <c r="W193" s="50" t="str">
        <f>IF($AM193=0,"",IF($BG193="","OK",LEFT($BG193,LEN($BG193)-2)))</f>
        <v/>
      </c>
      <c r="X193" s="41" t="n"/>
      <c r="Y193" s="40" t="n"/>
      <c r="Z193" s="41" t="n"/>
      <c r="AA193" s="41" t="n"/>
      <c r="AB193" s="40" t="n"/>
      <c r="AC193" s="51" t="n"/>
      <c r="AD193" s="51" t="n"/>
      <c r="AE193" s="40" t="n"/>
      <c r="AF193" s="52" t="str">
        <f>IF($AM193=0,"",IF($D193&lt;&gt;"",$D193,IF(IFERROR(INDEX(Accounts!$C$7:$C$16,MATCH($C193,Accounts!$B$7:$B$16,0))&amp;"","")&lt;&gt;"",INDEX(Accounts!$C$7:$C$16,MATCH($C193,Accounts!$B$7:$B$16,0)),Settings!$C$6)))</f>
        <v/>
      </c>
      <c r="AG193" s="53" t="str">
        <f>IF($AM193=0,"",IF(AND($BE193&gt;0,N(INDEX(Instruments!$D$6:$D$205,MAX(1,$BE193)))&gt;0),INDEX(Instruments!$D$6:$D$205,MAX(1,$BE193)),IF(N(INDEX(Settings!$D$14:$D$18,$BF193))&gt;0,INDEX(Settings!$D$14:$D$18,$BF193),"")))</f>
        <v/>
      </c>
      <c r="AH193" s="54" t="str">
        <f>IF($AM193=0,"",IF($AF193&lt;&gt;"Forex",1,IF(MID(UPPER(SUBSTITUTE(TRIM($E193),"/","")),4,3)=UPPER(TRIM(Settings!$C$7)),1,IF(LEFT(UPPER(SUBSTITUTE(TRIM($E193),"/","")),3)=UPPER(TRIM(Settings!$C$7)),IF(AND(ISNUMBER($K193),N($K193)&lt;&gt;0),1/$K193,""),""))))</f>
        <v/>
      </c>
      <c r="AI193" s="55" t="str">
        <f>IF($AM193=0,"",IF(OR(NOT(ISNUMBER($H193)),NOT(ISNUMBER($K193)),NOT(ISNUMBER($G193)),$AG193="",$AH193=""),"",ROUND(($K193-$H193)*IF($F193="Short",-1,1)*$G193*$AG193*$AH193,6)))</f>
        <v/>
      </c>
      <c r="AJ193" s="55" t="str">
        <f>IF($AM193=0,"",IF(INDEX(Settings!$E$14:$E$18,$BF193)="% of notional",IF(OR($AG193="",NOT(ISNUMBER($H193)),NOT(ISNUMBER($G193))),"",ROUND(ABS($H193*$G193*$AG193*N($AH193))*IF($L193="Limit",N(INDEX(Settings!$G$14:$G$18,$BF193)),N(INDEX(Settings!$H$14:$H$18,$BF193)))+IF(ISNUMBER($K193),ABS($K193*$G193*$AG193*N($AH193))*IF($M193="Target",N(INDEX(Settings!$G$14:$G$18,$BF193)),N(INDEX(Settings!$H$14:$H$18,$BF193))),0),6)),IF(NOT(ISNUMBER($G193)),"",ROUND(ABS($G193)*2*IF(AND($BE193&gt;0,ISNUMBER(INDEX(Instruments!$G$6:$G$205,MAX(1,$BE193)))),INDEX(Instruments!$G$6:$G$205,MAX(1,$BE193)),N(INDEX(Settings!$F$14:$F$18,$BF193))),6))))</f>
        <v/>
      </c>
      <c r="AK193" s="55" t="str">
        <f>IF($AM193=0,"",IF(ISNUMBER($O193),$O193,$AI193))</f>
        <v/>
      </c>
      <c r="AL193" s="55" t="str">
        <f>IF($AM193=0,"",IF(ISNUMBER($P193),$P193,N($AJ193)))</f>
        <v/>
      </c>
      <c r="AM193" s="56">
        <f>IF(AND($A193&lt;&gt;"",$E193&lt;&gt;"",OR(AND(ISNUMBER($G193),ISNUMBER($H193),ISNUMBER($K193)),ISNUMBER($O193))),1,0)</f>
        <v>0</v>
      </c>
      <c r="AN193" s="57" t="str">
        <f>IF($A193="","",$A193-WEEKDAY($A193,3))</f>
        <v/>
      </c>
      <c r="AO193" s="56" t="str">
        <f>IF($A193="","",WEEKDAY($A193,2))</f>
        <v/>
      </c>
      <c r="AP193" s="55" t="str">
        <f>IF(OR($AM193=0,$C193=""),"",IFERROR(N(INDEX(Accounts!$E$7:$E$16,MATCH($C193,Accounts!$B$7:$B$16,0))),0)+SUMIFS($Q$6:$Q193,$C$6:$C193,$C193))</f>
        <v/>
      </c>
      <c r="AQ193" s="55" t="str">
        <f>IF(OR($AM193=0,$C193=""),"",SUMIFS($Q$6:$Q$1005,$C$6:$C$1005,$C193,$A$6:$A$1005,$A193))</f>
        <v/>
      </c>
      <c r="AR193" s="55" t="str">
        <f>IF(OR($AM193=0,$C193=""),"",IFERROR(N(INDEX(Accounts!$E$7:$E$16,MATCH($C193,Accounts!$B$7:$B$16,0))),0)+SUMIFS($Q$6:$Q$1005,$C$6:$C$1005,$C193,$A$6:$A$1005,"&lt;="&amp;$A193))</f>
        <v/>
      </c>
      <c r="AS193" s="56">
        <f>IF(OR($AM193=0,$Q193=""),0,IF(AND($A193&gt;=Lists!$W$6,$A193&lt;=Lists!$W$7,OR(Dashboard!$D$6="All accounts",$C193=Dashboard!$D$6),OR(Dashboard!$D$7="All markets",$AF193=Dashboard!$D$7)),1,0))</f>
        <v>0</v>
      </c>
      <c r="AT193" s="55">
        <f>IF($AS193=1,N(AT192)+$Q193,N(AT192))</f>
        <v>1187.10688</v>
      </c>
      <c r="AU193" s="55">
        <f>MAX(N(AU192),$AT193)</f>
        <v>1187.10688</v>
      </c>
      <c r="AV193" s="55">
        <f>$AT193-$AU193</f>
        <v>0</v>
      </c>
      <c r="AW193" s="56">
        <f>IF($AS193=1,IF($S193="Win",N(AW192)+1,IF($S193="Loss",0,N(AW192))),N(AW192))</f>
        <v>5</v>
      </c>
      <c r="AX193" s="56">
        <f>IF($AS193=1,IF($S193="Loss",N(AX192)+1,IF($S193="Win",0,N(AX192))),N(AX192))</f>
        <v>0</v>
      </c>
      <c r="AY193" s="56" t="str">
        <f>IF($AS193=1,COUNTIF($AS$6:$AS193,1),"")</f>
        <v/>
      </c>
      <c r="AZ193" s="56">
        <f>MIN(187,N(Lists!$W$8))</f>
        <v>28</v>
      </c>
      <c r="BA193" s="56">
        <f>IF($AS193=1,IF(COUNTIFS($A$6:$A193,$A193,$AS$6:$AS193,1)=1,1,0),0)</f>
        <v>0</v>
      </c>
      <c r="BB193" s="55" t="str">
        <f>IF($BA193=1,SUMIFS($Q$6:$Q$1005,$A$6:$A$1005,$A193,$AS$6:$AS$1005,1),"")</f>
        <v/>
      </c>
      <c r="BC193" s="56">
        <f>IF(ISNUMBER($R193),1,0)</f>
        <v>0</v>
      </c>
      <c r="BD193" s="55" t="str">
        <f>IF(ISNUMBER($U193),$U193*$V193,"")</f>
        <v/>
      </c>
      <c r="BE193" s="56" t="str">
        <f>IF($AM193=0,"",IFERROR(MATCH($AF193&amp;"|"&amp;UPPER(TRIM($E193)),Lists!$A$6:$A$205,0),0))</f>
        <v/>
      </c>
      <c r="BF193" s="56" t="str">
        <f>IF($AM193=0,"",IFERROR(MATCH($AF193,Settings!$B$14:$B$18,0),IFERROR(MATCH(Settings!$C$6,Settings!$B$14:$B$18,0),1)))</f>
        <v/>
      </c>
      <c r="BG193" s="58" t="str">
        <f>IF($AM193=0,"",IF(NOT(ISNUMBER($I193)),"No stop; ","")&amp;IF(AND(ISNUMBER($H193),ISNUMBER($I193)),IF(OR(AND($F193&lt;&gt;"Short",$I193&gt;=$H193),AND($F193="Short",$I193&lt;=$H193)),"Stop on wrong side; ",""),"")&amp;IF($F193="","No direction; ","")&amp;IF(AND(ISNUMBER(Settings!$C$22),ISNUMBER($V193)),IF($V193&gt;Settings!$C$22,"Risk over max $; ",""),"")&amp;IF(AND(ISNUMBER(Settings!$C$23),ISNUMBER($V193),ISNUMBER($AP193),IFERROR(N(INDEX(Accounts!$E$7:$E$16,MATCH($C193,Accounts!$B$7:$B$16,0))),0)&gt;0),IF($V193&gt;Settings!$C$23*($AP193-N($Q193)),"Risk over max %; ",""),"")&amp;IF(AND(ISNUMBER(Settings!$C$24),ISNUMBER($N193)),IF($N193&gt;Settings!$C$24,"Leverage over max; ",""),"")&amp;IF(AND(ISNUMBER(Settings!$C$27),ISNUMBER($T193)),IF($T193&lt;Settings!$C$27,"R:R below min; ",""),"")&amp;IF(ISNUMBER(Settings!$C$25),IF(COUNTIFS($A$6:$A193,$A193,$AM$6:$AM193,1)&gt;Settings!$C$25,"Over max trades/day; ",""),"")&amp;IF(ISNUMBER(Settings!$C$26),IF(SUMIFS($Q$5:$Q192,$A$5:$A192,$A193)&lt;=-Settings!$C$26,"Traded after daily max loss; ",""),"")&amp;IF(AND($AG193="",NOT(ISNUMBER($O193))),"Symbol not in Instruments; ","")&amp;IF(AND($AH193="",NOT(ISNUMBER($O193))),"Forex cross: type Gross P&amp;L; ",""))</f>
        <v/>
      </c>
      <c r="BH193" s="56">
        <f>IF(ISNUMBER($Q193),1,0)</f>
        <v>0</v>
      </c>
      <c r="BI193" s="56">
        <f>IF($Y193="",0,1)</f>
        <v>0</v>
      </c>
      <c r="BJ193" s="56">
        <f>IF($AB193="",0,1)</f>
        <v>0</v>
      </c>
      <c r="BK193" s="56">
        <f>IF(AND($BH193=1,$W193&lt;&gt;"OK"),1,0)</f>
        <v>0</v>
      </c>
      <c r="BL193" s="55">
        <f>IF(N($AZ193)=0,0,IFERROR(INDEX($AT$6:$AT$1005,MATCH($AZ193,$AY$6:$AY$1005,0)),0))</f>
        <v>1187.10688</v>
      </c>
      <c r="BM193" s="56">
        <f>IF(ISNUMBER(SEARCH("daily max loss",$BG193)),1,0)</f>
        <v>0</v>
      </c>
    </row>
    <row r="194" ht="18" customHeight="1">
      <c r="A194" s="38" t="n"/>
      <c r="B194" s="39" t="n"/>
      <c r="C194" s="40" t="n"/>
      <c r="D194" s="41" t="n"/>
      <c r="E194" s="41" t="n"/>
      <c r="F194" s="41" t="n"/>
      <c r="G194" s="41" t="n"/>
      <c r="H194" s="42" t="n"/>
      <c r="I194" s="42" t="n"/>
      <c r="J194" s="42" t="n"/>
      <c r="K194" s="42" t="n"/>
      <c r="L194" s="41" t="n"/>
      <c r="M194" s="41" t="n"/>
      <c r="N194" s="41" t="n"/>
      <c r="O194" s="43" t="n"/>
      <c r="P194" s="43" t="n"/>
      <c r="Q194" s="44" t="str">
        <f>IF($AM194=0,"",IF(ISNUMBER($AK194),$AK194-N($AL194),""))</f>
        <v/>
      </c>
      <c r="R194" s="45" t="str">
        <f>IF(OR($Q194="",NOT(ISNUMBER($V194))),"",$AK194/$V194)</f>
        <v/>
      </c>
      <c r="S194" s="46" t="str">
        <f>IF($Q194="","",IF(AND(ISNUMBER($R194),ABS(N($R194))&lt;N(Settings!$C$8)),"Scratch",IF($Q194&gt;0,"Win",IF($Q194&lt;0,"Loss","Scratch"))))</f>
        <v/>
      </c>
      <c r="T194" s="47" t="str">
        <f>IF(OR($AM194=0,NOT(ISNUMBER($H194)),NOT(ISNUMBER($I194)),NOT(ISNUMBER($J194))),"",IF($H194=$I194,"",ROUND(ABS($J194-$H194)/ABS($H194-$I194),6)))</f>
        <v/>
      </c>
      <c r="U194" s="48" t="str">
        <f>IF(OR($S194&lt;&gt;"Win",NOT(ISNUMBER($T194)),NOT(ISNUMBER($R194))),"",MAX(0,$T194-$R194))</f>
        <v/>
      </c>
      <c r="V194" s="49" t="str">
        <f>IF(OR($AM194=0,NOT(ISNUMBER($H194)),NOT(ISNUMBER($I194)),NOT(ISNUMBER($G194))),"",IF(OR($AG194="",$AH194=""),"",IF(ROUND(ABS($H194-$I194)*ABS($G194)*$AG194*$AH194,6)=0,"",ROUND(ABS($H194-$I194)*ABS($G194)*$AG194*$AH194,6))))</f>
        <v/>
      </c>
      <c r="W194" s="50" t="str">
        <f>IF($AM194=0,"",IF($BG194="","OK",LEFT($BG194,LEN($BG194)-2)))</f>
        <v/>
      </c>
      <c r="X194" s="41" t="n"/>
      <c r="Y194" s="40" t="n"/>
      <c r="Z194" s="41" t="n"/>
      <c r="AA194" s="41" t="n"/>
      <c r="AB194" s="40" t="n"/>
      <c r="AC194" s="51" t="n"/>
      <c r="AD194" s="51" t="n"/>
      <c r="AE194" s="40" t="n"/>
      <c r="AF194" s="52" t="str">
        <f>IF($AM194=0,"",IF($D194&lt;&gt;"",$D194,IF(IFERROR(INDEX(Accounts!$C$7:$C$16,MATCH($C194,Accounts!$B$7:$B$16,0))&amp;"","")&lt;&gt;"",INDEX(Accounts!$C$7:$C$16,MATCH($C194,Accounts!$B$7:$B$16,0)),Settings!$C$6)))</f>
        <v/>
      </c>
      <c r="AG194" s="53" t="str">
        <f>IF($AM194=0,"",IF(AND($BE194&gt;0,N(INDEX(Instruments!$D$6:$D$205,MAX(1,$BE194)))&gt;0),INDEX(Instruments!$D$6:$D$205,MAX(1,$BE194)),IF(N(INDEX(Settings!$D$14:$D$18,$BF194))&gt;0,INDEX(Settings!$D$14:$D$18,$BF194),"")))</f>
        <v/>
      </c>
      <c r="AH194" s="54" t="str">
        <f>IF($AM194=0,"",IF($AF194&lt;&gt;"Forex",1,IF(MID(UPPER(SUBSTITUTE(TRIM($E194),"/","")),4,3)=UPPER(TRIM(Settings!$C$7)),1,IF(LEFT(UPPER(SUBSTITUTE(TRIM($E194),"/","")),3)=UPPER(TRIM(Settings!$C$7)),IF(AND(ISNUMBER($K194),N($K194)&lt;&gt;0),1/$K194,""),""))))</f>
        <v/>
      </c>
      <c r="AI194" s="55" t="str">
        <f>IF($AM194=0,"",IF(OR(NOT(ISNUMBER($H194)),NOT(ISNUMBER($K194)),NOT(ISNUMBER($G194)),$AG194="",$AH194=""),"",ROUND(($K194-$H194)*IF($F194="Short",-1,1)*$G194*$AG194*$AH194,6)))</f>
        <v/>
      </c>
      <c r="AJ194" s="55" t="str">
        <f>IF($AM194=0,"",IF(INDEX(Settings!$E$14:$E$18,$BF194)="% of notional",IF(OR($AG194="",NOT(ISNUMBER($H194)),NOT(ISNUMBER($G194))),"",ROUND(ABS($H194*$G194*$AG194*N($AH194))*IF($L194="Limit",N(INDEX(Settings!$G$14:$G$18,$BF194)),N(INDEX(Settings!$H$14:$H$18,$BF194)))+IF(ISNUMBER($K194),ABS($K194*$G194*$AG194*N($AH194))*IF($M194="Target",N(INDEX(Settings!$G$14:$G$18,$BF194)),N(INDEX(Settings!$H$14:$H$18,$BF194))),0),6)),IF(NOT(ISNUMBER($G194)),"",ROUND(ABS($G194)*2*IF(AND($BE194&gt;0,ISNUMBER(INDEX(Instruments!$G$6:$G$205,MAX(1,$BE194)))),INDEX(Instruments!$G$6:$G$205,MAX(1,$BE194)),N(INDEX(Settings!$F$14:$F$18,$BF194))),6))))</f>
        <v/>
      </c>
      <c r="AK194" s="55" t="str">
        <f>IF($AM194=0,"",IF(ISNUMBER($O194),$O194,$AI194))</f>
        <v/>
      </c>
      <c r="AL194" s="55" t="str">
        <f>IF($AM194=0,"",IF(ISNUMBER($P194),$P194,N($AJ194)))</f>
        <v/>
      </c>
      <c r="AM194" s="56">
        <f>IF(AND($A194&lt;&gt;"",$E194&lt;&gt;"",OR(AND(ISNUMBER($G194),ISNUMBER($H194),ISNUMBER($K194)),ISNUMBER($O194))),1,0)</f>
        <v>0</v>
      </c>
      <c r="AN194" s="57" t="str">
        <f>IF($A194="","",$A194-WEEKDAY($A194,3))</f>
        <v/>
      </c>
      <c r="AO194" s="56" t="str">
        <f>IF($A194="","",WEEKDAY($A194,2))</f>
        <v/>
      </c>
      <c r="AP194" s="55" t="str">
        <f>IF(OR($AM194=0,$C194=""),"",IFERROR(N(INDEX(Accounts!$E$7:$E$16,MATCH($C194,Accounts!$B$7:$B$16,0))),0)+SUMIFS($Q$6:$Q194,$C$6:$C194,$C194))</f>
        <v/>
      </c>
      <c r="AQ194" s="55" t="str">
        <f>IF(OR($AM194=0,$C194=""),"",SUMIFS($Q$6:$Q$1005,$C$6:$C$1005,$C194,$A$6:$A$1005,$A194))</f>
        <v/>
      </c>
      <c r="AR194" s="55" t="str">
        <f>IF(OR($AM194=0,$C194=""),"",IFERROR(N(INDEX(Accounts!$E$7:$E$16,MATCH($C194,Accounts!$B$7:$B$16,0))),0)+SUMIFS($Q$6:$Q$1005,$C$6:$C$1005,$C194,$A$6:$A$1005,"&lt;="&amp;$A194))</f>
        <v/>
      </c>
      <c r="AS194" s="56">
        <f>IF(OR($AM194=0,$Q194=""),0,IF(AND($A194&gt;=Lists!$W$6,$A194&lt;=Lists!$W$7,OR(Dashboard!$D$6="All accounts",$C194=Dashboard!$D$6),OR(Dashboard!$D$7="All markets",$AF194=Dashboard!$D$7)),1,0))</f>
        <v>0</v>
      </c>
      <c r="AT194" s="55">
        <f>IF($AS194=1,N(AT193)+$Q194,N(AT193))</f>
        <v>1187.10688</v>
      </c>
      <c r="AU194" s="55">
        <f>MAX(N(AU193),$AT194)</f>
        <v>1187.10688</v>
      </c>
      <c r="AV194" s="55">
        <f>$AT194-$AU194</f>
        <v>0</v>
      </c>
      <c r="AW194" s="56">
        <f>IF($AS194=1,IF($S194="Win",N(AW193)+1,IF($S194="Loss",0,N(AW193))),N(AW193))</f>
        <v>5</v>
      </c>
      <c r="AX194" s="56">
        <f>IF($AS194=1,IF($S194="Loss",N(AX193)+1,IF($S194="Win",0,N(AX193))),N(AX193))</f>
        <v>0</v>
      </c>
      <c r="AY194" s="56" t="str">
        <f>IF($AS194=1,COUNTIF($AS$6:$AS194,1),"")</f>
        <v/>
      </c>
      <c r="AZ194" s="56">
        <f>MIN(188,N(Lists!$W$8))</f>
        <v>28</v>
      </c>
      <c r="BA194" s="56">
        <f>IF($AS194=1,IF(COUNTIFS($A$6:$A194,$A194,$AS$6:$AS194,1)=1,1,0),0)</f>
        <v>0</v>
      </c>
      <c r="BB194" s="55" t="str">
        <f>IF($BA194=1,SUMIFS($Q$6:$Q$1005,$A$6:$A$1005,$A194,$AS$6:$AS$1005,1),"")</f>
        <v/>
      </c>
      <c r="BC194" s="56">
        <f>IF(ISNUMBER($R194),1,0)</f>
        <v>0</v>
      </c>
      <c r="BD194" s="55" t="str">
        <f>IF(ISNUMBER($U194),$U194*$V194,"")</f>
        <v/>
      </c>
      <c r="BE194" s="56" t="str">
        <f>IF($AM194=0,"",IFERROR(MATCH($AF194&amp;"|"&amp;UPPER(TRIM($E194)),Lists!$A$6:$A$205,0),0))</f>
        <v/>
      </c>
      <c r="BF194" s="56" t="str">
        <f>IF($AM194=0,"",IFERROR(MATCH($AF194,Settings!$B$14:$B$18,0),IFERROR(MATCH(Settings!$C$6,Settings!$B$14:$B$18,0),1)))</f>
        <v/>
      </c>
      <c r="BG194" s="58" t="str">
        <f>IF($AM194=0,"",IF(NOT(ISNUMBER($I194)),"No stop; ","")&amp;IF(AND(ISNUMBER($H194),ISNUMBER($I194)),IF(OR(AND($F194&lt;&gt;"Short",$I194&gt;=$H194),AND($F194="Short",$I194&lt;=$H194)),"Stop on wrong side; ",""),"")&amp;IF($F194="","No direction; ","")&amp;IF(AND(ISNUMBER(Settings!$C$22),ISNUMBER($V194)),IF($V194&gt;Settings!$C$22,"Risk over max $; ",""),"")&amp;IF(AND(ISNUMBER(Settings!$C$23),ISNUMBER($V194),ISNUMBER($AP194),IFERROR(N(INDEX(Accounts!$E$7:$E$16,MATCH($C194,Accounts!$B$7:$B$16,0))),0)&gt;0),IF($V194&gt;Settings!$C$23*($AP194-N($Q194)),"Risk over max %; ",""),"")&amp;IF(AND(ISNUMBER(Settings!$C$24),ISNUMBER($N194)),IF($N194&gt;Settings!$C$24,"Leverage over max; ",""),"")&amp;IF(AND(ISNUMBER(Settings!$C$27),ISNUMBER($T194)),IF($T194&lt;Settings!$C$27,"R:R below min; ",""),"")&amp;IF(ISNUMBER(Settings!$C$25),IF(COUNTIFS($A$6:$A194,$A194,$AM$6:$AM194,1)&gt;Settings!$C$25,"Over max trades/day; ",""),"")&amp;IF(ISNUMBER(Settings!$C$26),IF(SUMIFS($Q$5:$Q193,$A$5:$A193,$A194)&lt;=-Settings!$C$26,"Traded after daily max loss; ",""),"")&amp;IF(AND($AG194="",NOT(ISNUMBER($O194))),"Symbol not in Instruments; ","")&amp;IF(AND($AH194="",NOT(ISNUMBER($O194))),"Forex cross: type Gross P&amp;L; ",""))</f>
        <v/>
      </c>
      <c r="BH194" s="56">
        <f>IF(ISNUMBER($Q194),1,0)</f>
        <v>0</v>
      </c>
      <c r="BI194" s="56">
        <f>IF($Y194="",0,1)</f>
        <v>0</v>
      </c>
      <c r="BJ194" s="56">
        <f>IF($AB194="",0,1)</f>
        <v>0</v>
      </c>
      <c r="BK194" s="56">
        <f>IF(AND($BH194=1,$W194&lt;&gt;"OK"),1,0)</f>
        <v>0</v>
      </c>
      <c r="BL194" s="55">
        <f>IF(N($AZ194)=0,0,IFERROR(INDEX($AT$6:$AT$1005,MATCH($AZ194,$AY$6:$AY$1005,0)),0))</f>
        <v>1187.10688</v>
      </c>
      <c r="BM194" s="56">
        <f>IF(ISNUMBER(SEARCH("daily max loss",$BG194)),1,0)</f>
        <v>0</v>
      </c>
    </row>
    <row r="195" ht="18" customHeight="1">
      <c r="A195" s="38" t="n"/>
      <c r="B195" s="39" t="n"/>
      <c r="C195" s="40" t="n"/>
      <c r="D195" s="41" t="n"/>
      <c r="E195" s="41" t="n"/>
      <c r="F195" s="41" t="n"/>
      <c r="G195" s="41" t="n"/>
      <c r="H195" s="42" t="n"/>
      <c r="I195" s="42" t="n"/>
      <c r="J195" s="42" t="n"/>
      <c r="K195" s="42" t="n"/>
      <c r="L195" s="41" t="n"/>
      <c r="M195" s="41" t="n"/>
      <c r="N195" s="41" t="n"/>
      <c r="O195" s="43" t="n"/>
      <c r="P195" s="43" t="n"/>
      <c r="Q195" s="44" t="str">
        <f>IF($AM195=0,"",IF(ISNUMBER($AK195),$AK195-N($AL195),""))</f>
        <v/>
      </c>
      <c r="R195" s="45" t="str">
        <f>IF(OR($Q195="",NOT(ISNUMBER($V195))),"",$AK195/$V195)</f>
        <v/>
      </c>
      <c r="S195" s="46" t="str">
        <f>IF($Q195="","",IF(AND(ISNUMBER($R195),ABS(N($R195))&lt;N(Settings!$C$8)),"Scratch",IF($Q195&gt;0,"Win",IF($Q195&lt;0,"Loss","Scratch"))))</f>
        <v/>
      </c>
      <c r="T195" s="47" t="str">
        <f>IF(OR($AM195=0,NOT(ISNUMBER($H195)),NOT(ISNUMBER($I195)),NOT(ISNUMBER($J195))),"",IF($H195=$I195,"",ROUND(ABS($J195-$H195)/ABS($H195-$I195),6)))</f>
        <v/>
      </c>
      <c r="U195" s="48" t="str">
        <f>IF(OR($S195&lt;&gt;"Win",NOT(ISNUMBER($T195)),NOT(ISNUMBER($R195))),"",MAX(0,$T195-$R195))</f>
        <v/>
      </c>
      <c r="V195" s="49" t="str">
        <f>IF(OR($AM195=0,NOT(ISNUMBER($H195)),NOT(ISNUMBER($I195)),NOT(ISNUMBER($G195))),"",IF(OR($AG195="",$AH195=""),"",IF(ROUND(ABS($H195-$I195)*ABS($G195)*$AG195*$AH195,6)=0,"",ROUND(ABS($H195-$I195)*ABS($G195)*$AG195*$AH195,6))))</f>
        <v/>
      </c>
      <c r="W195" s="50" t="str">
        <f>IF($AM195=0,"",IF($BG195="","OK",LEFT($BG195,LEN($BG195)-2)))</f>
        <v/>
      </c>
      <c r="X195" s="41" t="n"/>
      <c r="Y195" s="40" t="n"/>
      <c r="Z195" s="41" t="n"/>
      <c r="AA195" s="41" t="n"/>
      <c r="AB195" s="40" t="n"/>
      <c r="AC195" s="51" t="n"/>
      <c r="AD195" s="51" t="n"/>
      <c r="AE195" s="40" t="n"/>
      <c r="AF195" s="52" t="str">
        <f>IF($AM195=0,"",IF($D195&lt;&gt;"",$D195,IF(IFERROR(INDEX(Accounts!$C$7:$C$16,MATCH($C195,Accounts!$B$7:$B$16,0))&amp;"","")&lt;&gt;"",INDEX(Accounts!$C$7:$C$16,MATCH($C195,Accounts!$B$7:$B$16,0)),Settings!$C$6)))</f>
        <v/>
      </c>
      <c r="AG195" s="53" t="str">
        <f>IF($AM195=0,"",IF(AND($BE195&gt;0,N(INDEX(Instruments!$D$6:$D$205,MAX(1,$BE195)))&gt;0),INDEX(Instruments!$D$6:$D$205,MAX(1,$BE195)),IF(N(INDEX(Settings!$D$14:$D$18,$BF195))&gt;0,INDEX(Settings!$D$14:$D$18,$BF195),"")))</f>
        <v/>
      </c>
      <c r="AH195" s="54" t="str">
        <f>IF($AM195=0,"",IF($AF195&lt;&gt;"Forex",1,IF(MID(UPPER(SUBSTITUTE(TRIM($E195),"/","")),4,3)=UPPER(TRIM(Settings!$C$7)),1,IF(LEFT(UPPER(SUBSTITUTE(TRIM($E195),"/","")),3)=UPPER(TRIM(Settings!$C$7)),IF(AND(ISNUMBER($K195),N($K195)&lt;&gt;0),1/$K195,""),""))))</f>
        <v/>
      </c>
      <c r="AI195" s="55" t="str">
        <f>IF($AM195=0,"",IF(OR(NOT(ISNUMBER($H195)),NOT(ISNUMBER($K195)),NOT(ISNUMBER($G195)),$AG195="",$AH195=""),"",ROUND(($K195-$H195)*IF($F195="Short",-1,1)*$G195*$AG195*$AH195,6)))</f>
        <v/>
      </c>
      <c r="AJ195" s="55" t="str">
        <f>IF($AM195=0,"",IF(INDEX(Settings!$E$14:$E$18,$BF195)="% of notional",IF(OR($AG195="",NOT(ISNUMBER($H195)),NOT(ISNUMBER($G195))),"",ROUND(ABS($H195*$G195*$AG195*N($AH195))*IF($L195="Limit",N(INDEX(Settings!$G$14:$G$18,$BF195)),N(INDEX(Settings!$H$14:$H$18,$BF195)))+IF(ISNUMBER($K195),ABS($K195*$G195*$AG195*N($AH195))*IF($M195="Target",N(INDEX(Settings!$G$14:$G$18,$BF195)),N(INDEX(Settings!$H$14:$H$18,$BF195))),0),6)),IF(NOT(ISNUMBER($G195)),"",ROUND(ABS($G195)*2*IF(AND($BE195&gt;0,ISNUMBER(INDEX(Instruments!$G$6:$G$205,MAX(1,$BE195)))),INDEX(Instruments!$G$6:$G$205,MAX(1,$BE195)),N(INDEX(Settings!$F$14:$F$18,$BF195))),6))))</f>
        <v/>
      </c>
      <c r="AK195" s="55" t="str">
        <f>IF($AM195=0,"",IF(ISNUMBER($O195),$O195,$AI195))</f>
        <v/>
      </c>
      <c r="AL195" s="55" t="str">
        <f>IF($AM195=0,"",IF(ISNUMBER($P195),$P195,N($AJ195)))</f>
        <v/>
      </c>
      <c r="AM195" s="56">
        <f>IF(AND($A195&lt;&gt;"",$E195&lt;&gt;"",OR(AND(ISNUMBER($G195),ISNUMBER($H195),ISNUMBER($K195)),ISNUMBER($O195))),1,0)</f>
        <v>0</v>
      </c>
      <c r="AN195" s="57" t="str">
        <f>IF($A195="","",$A195-WEEKDAY($A195,3))</f>
        <v/>
      </c>
      <c r="AO195" s="56" t="str">
        <f>IF($A195="","",WEEKDAY($A195,2))</f>
        <v/>
      </c>
      <c r="AP195" s="55" t="str">
        <f>IF(OR($AM195=0,$C195=""),"",IFERROR(N(INDEX(Accounts!$E$7:$E$16,MATCH($C195,Accounts!$B$7:$B$16,0))),0)+SUMIFS($Q$6:$Q195,$C$6:$C195,$C195))</f>
        <v/>
      </c>
      <c r="AQ195" s="55" t="str">
        <f>IF(OR($AM195=0,$C195=""),"",SUMIFS($Q$6:$Q$1005,$C$6:$C$1005,$C195,$A$6:$A$1005,$A195))</f>
        <v/>
      </c>
      <c r="AR195" s="55" t="str">
        <f>IF(OR($AM195=0,$C195=""),"",IFERROR(N(INDEX(Accounts!$E$7:$E$16,MATCH($C195,Accounts!$B$7:$B$16,0))),0)+SUMIFS($Q$6:$Q$1005,$C$6:$C$1005,$C195,$A$6:$A$1005,"&lt;="&amp;$A195))</f>
        <v/>
      </c>
      <c r="AS195" s="56">
        <f>IF(OR($AM195=0,$Q195=""),0,IF(AND($A195&gt;=Lists!$W$6,$A195&lt;=Lists!$W$7,OR(Dashboard!$D$6="All accounts",$C195=Dashboard!$D$6),OR(Dashboard!$D$7="All markets",$AF195=Dashboard!$D$7)),1,0))</f>
        <v>0</v>
      </c>
      <c r="AT195" s="55">
        <f>IF($AS195=1,N(AT194)+$Q195,N(AT194))</f>
        <v>1187.10688</v>
      </c>
      <c r="AU195" s="55">
        <f>MAX(N(AU194),$AT195)</f>
        <v>1187.10688</v>
      </c>
      <c r="AV195" s="55">
        <f>$AT195-$AU195</f>
        <v>0</v>
      </c>
      <c r="AW195" s="56">
        <f>IF($AS195=1,IF($S195="Win",N(AW194)+1,IF($S195="Loss",0,N(AW194))),N(AW194))</f>
        <v>5</v>
      </c>
      <c r="AX195" s="56">
        <f>IF($AS195=1,IF($S195="Loss",N(AX194)+1,IF($S195="Win",0,N(AX194))),N(AX194))</f>
        <v>0</v>
      </c>
      <c r="AY195" s="56" t="str">
        <f>IF($AS195=1,COUNTIF($AS$6:$AS195,1),"")</f>
        <v/>
      </c>
      <c r="AZ195" s="56">
        <f>MIN(189,N(Lists!$W$8))</f>
        <v>28</v>
      </c>
      <c r="BA195" s="56">
        <f>IF($AS195=1,IF(COUNTIFS($A$6:$A195,$A195,$AS$6:$AS195,1)=1,1,0),0)</f>
        <v>0</v>
      </c>
      <c r="BB195" s="55" t="str">
        <f>IF($BA195=1,SUMIFS($Q$6:$Q$1005,$A$6:$A$1005,$A195,$AS$6:$AS$1005,1),"")</f>
        <v/>
      </c>
      <c r="BC195" s="56">
        <f>IF(ISNUMBER($R195),1,0)</f>
        <v>0</v>
      </c>
      <c r="BD195" s="55" t="str">
        <f>IF(ISNUMBER($U195),$U195*$V195,"")</f>
        <v/>
      </c>
      <c r="BE195" s="56" t="str">
        <f>IF($AM195=0,"",IFERROR(MATCH($AF195&amp;"|"&amp;UPPER(TRIM($E195)),Lists!$A$6:$A$205,0),0))</f>
        <v/>
      </c>
      <c r="BF195" s="56" t="str">
        <f>IF($AM195=0,"",IFERROR(MATCH($AF195,Settings!$B$14:$B$18,0),IFERROR(MATCH(Settings!$C$6,Settings!$B$14:$B$18,0),1)))</f>
        <v/>
      </c>
      <c r="BG195" s="58" t="str">
        <f>IF($AM195=0,"",IF(NOT(ISNUMBER($I195)),"No stop; ","")&amp;IF(AND(ISNUMBER($H195),ISNUMBER($I195)),IF(OR(AND($F195&lt;&gt;"Short",$I195&gt;=$H195),AND($F195="Short",$I195&lt;=$H195)),"Stop on wrong side; ",""),"")&amp;IF($F195="","No direction; ","")&amp;IF(AND(ISNUMBER(Settings!$C$22),ISNUMBER($V195)),IF($V195&gt;Settings!$C$22,"Risk over max $; ",""),"")&amp;IF(AND(ISNUMBER(Settings!$C$23),ISNUMBER($V195),ISNUMBER($AP195),IFERROR(N(INDEX(Accounts!$E$7:$E$16,MATCH($C195,Accounts!$B$7:$B$16,0))),0)&gt;0),IF($V195&gt;Settings!$C$23*($AP195-N($Q195)),"Risk over max %; ",""),"")&amp;IF(AND(ISNUMBER(Settings!$C$24),ISNUMBER($N195)),IF($N195&gt;Settings!$C$24,"Leverage over max; ",""),"")&amp;IF(AND(ISNUMBER(Settings!$C$27),ISNUMBER($T195)),IF($T195&lt;Settings!$C$27,"R:R below min; ",""),"")&amp;IF(ISNUMBER(Settings!$C$25),IF(COUNTIFS($A$6:$A195,$A195,$AM$6:$AM195,1)&gt;Settings!$C$25,"Over max trades/day; ",""),"")&amp;IF(ISNUMBER(Settings!$C$26),IF(SUMIFS($Q$5:$Q194,$A$5:$A194,$A195)&lt;=-Settings!$C$26,"Traded after daily max loss; ",""),"")&amp;IF(AND($AG195="",NOT(ISNUMBER($O195))),"Symbol not in Instruments; ","")&amp;IF(AND($AH195="",NOT(ISNUMBER($O195))),"Forex cross: type Gross P&amp;L; ",""))</f>
        <v/>
      </c>
      <c r="BH195" s="56">
        <f>IF(ISNUMBER($Q195),1,0)</f>
        <v>0</v>
      </c>
      <c r="BI195" s="56">
        <f>IF($Y195="",0,1)</f>
        <v>0</v>
      </c>
      <c r="BJ195" s="56">
        <f>IF($AB195="",0,1)</f>
        <v>0</v>
      </c>
      <c r="BK195" s="56">
        <f>IF(AND($BH195=1,$W195&lt;&gt;"OK"),1,0)</f>
        <v>0</v>
      </c>
      <c r="BL195" s="55">
        <f>IF(N($AZ195)=0,0,IFERROR(INDEX($AT$6:$AT$1005,MATCH($AZ195,$AY$6:$AY$1005,0)),0))</f>
        <v>1187.10688</v>
      </c>
      <c r="BM195" s="56">
        <f>IF(ISNUMBER(SEARCH("daily max loss",$BG195)),1,0)</f>
        <v>0</v>
      </c>
    </row>
    <row r="196" ht="18" customHeight="1">
      <c r="A196" s="38" t="n"/>
      <c r="B196" s="39" t="n"/>
      <c r="C196" s="40" t="n"/>
      <c r="D196" s="41" t="n"/>
      <c r="E196" s="41" t="n"/>
      <c r="F196" s="41" t="n"/>
      <c r="G196" s="41" t="n"/>
      <c r="H196" s="42" t="n"/>
      <c r="I196" s="42" t="n"/>
      <c r="J196" s="42" t="n"/>
      <c r="K196" s="42" t="n"/>
      <c r="L196" s="41" t="n"/>
      <c r="M196" s="41" t="n"/>
      <c r="N196" s="41" t="n"/>
      <c r="O196" s="43" t="n"/>
      <c r="P196" s="43" t="n"/>
      <c r="Q196" s="44" t="str">
        <f>IF($AM196=0,"",IF(ISNUMBER($AK196),$AK196-N($AL196),""))</f>
        <v/>
      </c>
      <c r="R196" s="45" t="str">
        <f>IF(OR($Q196="",NOT(ISNUMBER($V196))),"",$AK196/$V196)</f>
        <v/>
      </c>
      <c r="S196" s="46" t="str">
        <f>IF($Q196="","",IF(AND(ISNUMBER($R196),ABS(N($R196))&lt;N(Settings!$C$8)),"Scratch",IF($Q196&gt;0,"Win",IF($Q196&lt;0,"Loss","Scratch"))))</f>
        <v/>
      </c>
      <c r="T196" s="47" t="str">
        <f>IF(OR($AM196=0,NOT(ISNUMBER($H196)),NOT(ISNUMBER($I196)),NOT(ISNUMBER($J196))),"",IF($H196=$I196,"",ROUND(ABS($J196-$H196)/ABS($H196-$I196),6)))</f>
        <v/>
      </c>
      <c r="U196" s="48" t="str">
        <f>IF(OR($S196&lt;&gt;"Win",NOT(ISNUMBER($T196)),NOT(ISNUMBER($R196))),"",MAX(0,$T196-$R196))</f>
        <v/>
      </c>
      <c r="V196" s="49" t="str">
        <f>IF(OR($AM196=0,NOT(ISNUMBER($H196)),NOT(ISNUMBER($I196)),NOT(ISNUMBER($G196))),"",IF(OR($AG196="",$AH196=""),"",IF(ROUND(ABS($H196-$I196)*ABS($G196)*$AG196*$AH196,6)=0,"",ROUND(ABS($H196-$I196)*ABS($G196)*$AG196*$AH196,6))))</f>
        <v/>
      </c>
      <c r="W196" s="50" t="str">
        <f>IF($AM196=0,"",IF($BG196="","OK",LEFT($BG196,LEN($BG196)-2)))</f>
        <v/>
      </c>
      <c r="X196" s="41" t="n"/>
      <c r="Y196" s="40" t="n"/>
      <c r="Z196" s="41" t="n"/>
      <c r="AA196" s="41" t="n"/>
      <c r="AB196" s="40" t="n"/>
      <c r="AC196" s="51" t="n"/>
      <c r="AD196" s="51" t="n"/>
      <c r="AE196" s="40" t="n"/>
      <c r="AF196" s="52" t="str">
        <f>IF($AM196=0,"",IF($D196&lt;&gt;"",$D196,IF(IFERROR(INDEX(Accounts!$C$7:$C$16,MATCH($C196,Accounts!$B$7:$B$16,0))&amp;"","")&lt;&gt;"",INDEX(Accounts!$C$7:$C$16,MATCH($C196,Accounts!$B$7:$B$16,0)),Settings!$C$6)))</f>
        <v/>
      </c>
      <c r="AG196" s="53" t="str">
        <f>IF($AM196=0,"",IF(AND($BE196&gt;0,N(INDEX(Instruments!$D$6:$D$205,MAX(1,$BE196)))&gt;0),INDEX(Instruments!$D$6:$D$205,MAX(1,$BE196)),IF(N(INDEX(Settings!$D$14:$D$18,$BF196))&gt;0,INDEX(Settings!$D$14:$D$18,$BF196),"")))</f>
        <v/>
      </c>
      <c r="AH196" s="54" t="str">
        <f>IF($AM196=0,"",IF($AF196&lt;&gt;"Forex",1,IF(MID(UPPER(SUBSTITUTE(TRIM($E196),"/","")),4,3)=UPPER(TRIM(Settings!$C$7)),1,IF(LEFT(UPPER(SUBSTITUTE(TRIM($E196),"/","")),3)=UPPER(TRIM(Settings!$C$7)),IF(AND(ISNUMBER($K196),N($K196)&lt;&gt;0),1/$K196,""),""))))</f>
        <v/>
      </c>
      <c r="AI196" s="55" t="str">
        <f>IF($AM196=0,"",IF(OR(NOT(ISNUMBER($H196)),NOT(ISNUMBER($K196)),NOT(ISNUMBER($G196)),$AG196="",$AH196=""),"",ROUND(($K196-$H196)*IF($F196="Short",-1,1)*$G196*$AG196*$AH196,6)))</f>
        <v/>
      </c>
      <c r="AJ196" s="55" t="str">
        <f>IF($AM196=0,"",IF(INDEX(Settings!$E$14:$E$18,$BF196)="% of notional",IF(OR($AG196="",NOT(ISNUMBER($H196)),NOT(ISNUMBER($G196))),"",ROUND(ABS($H196*$G196*$AG196*N($AH196))*IF($L196="Limit",N(INDEX(Settings!$G$14:$G$18,$BF196)),N(INDEX(Settings!$H$14:$H$18,$BF196)))+IF(ISNUMBER($K196),ABS($K196*$G196*$AG196*N($AH196))*IF($M196="Target",N(INDEX(Settings!$G$14:$G$18,$BF196)),N(INDEX(Settings!$H$14:$H$18,$BF196))),0),6)),IF(NOT(ISNUMBER($G196)),"",ROUND(ABS($G196)*2*IF(AND($BE196&gt;0,ISNUMBER(INDEX(Instruments!$G$6:$G$205,MAX(1,$BE196)))),INDEX(Instruments!$G$6:$G$205,MAX(1,$BE196)),N(INDEX(Settings!$F$14:$F$18,$BF196))),6))))</f>
        <v/>
      </c>
      <c r="AK196" s="55" t="str">
        <f>IF($AM196=0,"",IF(ISNUMBER($O196),$O196,$AI196))</f>
        <v/>
      </c>
      <c r="AL196" s="55" t="str">
        <f>IF($AM196=0,"",IF(ISNUMBER($P196),$P196,N($AJ196)))</f>
        <v/>
      </c>
      <c r="AM196" s="56">
        <f>IF(AND($A196&lt;&gt;"",$E196&lt;&gt;"",OR(AND(ISNUMBER($G196),ISNUMBER($H196),ISNUMBER($K196)),ISNUMBER($O196))),1,0)</f>
        <v>0</v>
      </c>
      <c r="AN196" s="57" t="str">
        <f>IF($A196="","",$A196-WEEKDAY($A196,3))</f>
        <v/>
      </c>
      <c r="AO196" s="56" t="str">
        <f>IF($A196="","",WEEKDAY($A196,2))</f>
        <v/>
      </c>
      <c r="AP196" s="55" t="str">
        <f>IF(OR($AM196=0,$C196=""),"",IFERROR(N(INDEX(Accounts!$E$7:$E$16,MATCH($C196,Accounts!$B$7:$B$16,0))),0)+SUMIFS($Q$6:$Q196,$C$6:$C196,$C196))</f>
        <v/>
      </c>
      <c r="AQ196" s="55" t="str">
        <f>IF(OR($AM196=0,$C196=""),"",SUMIFS($Q$6:$Q$1005,$C$6:$C$1005,$C196,$A$6:$A$1005,$A196))</f>
        <v/>
      </c>
      <c r="AR196" s="55" t="str">
        <f>IF(OR($AM196=0,$C196=""),"",IFERROR(N(INDEX(Accounts!$E$7:$E$16,MATCH($C196,Accounts!$B$7:$B$16,0))),0)+SUMIFS($Q$6:$Q$1005,$C$6:$C$1005,$C196,$A$6:$A$1005,"&lt;="&amp;$A196))</f>
        <v/>
      </c>
      <c r="AS196" s="56">
        <f>IF(OR($AM196=0,$Q196=""),0,IF(AND($A196&gt;=Lists!$W$6,$A196&lt;=Lists!$W$7,OR(Dashboard!$D$6="All accounts",$C196=Dashboard!$D$6),OR(Dashboard!$D$7="All markets",$AF196=Dashboard!$D$7)),1,0))</f>
        <v>0</v>
      </c>
      <c r="AT196" s="55">
        <f>IF($AS196=1,N(AT195)+$Q196,N(AT195))</f>
        <v>1187.10688</v>
      </c>
      <c r="AU196" s="55">
        <f>MAX(N(AU195),$AT196)</f>
        <v>1187.10688</v>
      </c>
      <c r="AV196" s="55">
        <f>$AT196-$AU196</f>
        <v>0</v>
      </c>
      <c r="AW196" s="56">
        <f>IF($AS196=1,IF($S196="Win",N(AW195)+1,IF($S196="Loss",0,N(AW195))),N(AW195))</f>
        <v>5</v>
      </c>
      <c r="AX196" s="56">
        <f>IF($AS196=1,IF($S196="Loss",N(AX195)+1,IF($S196="Win",0,N(AX195))),N(AX195))</f>
        <v>0</v>
      </c>
      <c r="AY196" s="56" t="str">
        <f>IF($AS196=1,COUNTIF($AS$6:$AS196,1),"")</f>
        <v/>
      </c>
      <c r="AZ196" s="56">
        <f>MIN(190,N(Lists!$W$8))</f>
        <v>28</v>
      </c>
      <c r="BA196" s="56">
        <f>IF($AS196=1,IF(COUNTIFS($A$6:$A196,$A196,$AS$6:$AS196,1)=1,1,0),0)</f>
        <v>0</v>
      </c>
      <c r="BB196" s="55" t="str">
        <f>IF($BA196=1,SUMIFS($Q$6:$Q$1005,$A$6:$A$1005,$A196,$AS$6:$AS$1005,1),"")</f>
        <v/>
      </c>
      <c r="BC196" s="56">
        <f>IF(ISNUMBER($R196),1,0)</f>
        <v>0</v>
      </c>
      <c r="BD196" s="55" t="str">
        <f>IF(ISNUMBER($U196),$U196*$V196,"")</f>
        <v/>
      </c>
      <c r="BE196" s="56" t="str">
        <f>IF($AM196=0,"",IFERROR(MATCH($AF196&amp;"|"&amp;UPPER(TRIM($E196)),Lists!$A$6:$A$205,0),0))</f>
        <v/>
      </c>
      <c r="BF196" s="56" t="str">
        <f>IF($AM196=0,"",IFERROR(MATCH($AF196,Settings!$B$14:$B$18,0),IFERROR(MATCH(Settings!$C$6,Settings!$B$14:$B$18,0),1)))</f>
        <v/>
      </c>
      <c r="BG196" s="58" t="str">
        <f>IF($AM196=0,"",IF(NOT(ISNUMBER($I196)),"No stop; ","")&amp;IF(AND(ISNUMBER($H196),ISNUMBER($I196)),IF(OR(AND($F196&lt;&gt;"Short",$I196&gt;=$H196),AND($F196="Short",$I196&lt;=$H196)),"Stop on wrong side; ",""),"")&amp;IF($F196="","No direction; ","")&amp;IF(AND(ISNUMBER(Settings!$C$22),ISNUMBER($V196)),IF($V196&gt;Settings!$C$22,"Risk over max $; ",""),"")&amp;IF(AND(ISNUMBER(Settings!$C$23),ISNUMBER($V196),ISNUMBER($AP196),IFERROR(N(INDEX(Accounts!$E$7:$E$16,MATCH($C196,Accounts!$B$7:$B$16,0))),0)&gt;0),IF($V196&gt;Settings!$C$23*($AP196-N($Q196)),"Risk over max %; ",""),"")&amp;IF(AND(ISNUMBER(Settings!$C$24),ISNUMBER($N196)),IF($N196&gt;Settings!$C$24,"Leverage over max; ",""),"")&amp;IF(AND(ISNUMBER(Settings!$C$27),ISNUMBER($T196)),IF($T196&lt;Settings!$C$27,"R:R below min; ",""),"")&amp;IF(ISNUMBER(Settings!$C$25),IF(COUNTIFS($A$6:$A196,$A196,$AM$6:$AM196,1)&gt;Settings!$C$25,"Over max trades/day; ",""),"")&amp;IF(ISNUMBER(Settings!$C$26),IF(SUMIFS($Q$5:$Q195,$A$5:$A195,$A196)&lt;=-Settings!$C$26,"Traded after daily max loss; ",""),"")&amp;IF(AND($AG196="",NOT(ISNUMBER($O196))),"Symbol not in Instruments; ","")&amp;IF(AND($AH196="",NOT(ISNUMBER($O196))),"Forex cross: type Gross P&amp;L; ",""))</f>
        <v/>
      </c>
      <c r="BH196" s="56">
        <f>IF(ISNUMBER($Q196),1,0)</f>
        <v>0</v>
      </c>
      <c r="BI196" s="56">
        <f>IF($Y196="",0,1)</f>
        <v>0</v>
      </c>
      <c r="BJ196" s="56">
        <f>IF($AB196="",0,1)</f>
        <v>0</v>
      </c>
      <c r="BK196" s="56">
        <f>IF(AND($BH196=1,$W196&lt;&gt;"OK"),1,0)</f>
        <v>0</v>
      </c>
      <c r="BL196" s="55">
        <f>IF(N($AZ196)=0,0,IFERROR(INDEX($AT$6:$AT$1005,MATCH($AZ196,$AY$6:$AY$1005,0)),0))</f>
        <v>1187.10688</v>
      </c>
      <c r="BM196" s="56">
        <f>IF(ISNUMBER(SEARCH("daily max loss",$BG196)),1,0)</f>
        <v>0</v>
      </c>
    </row>
    <row r="197" ht="18" customHeight="1">
      <c r="A197" s="38" t="n"/>
      <c r="B197" s="39" t="n"/>
      <c r="C197" s="40" t="n"/>
      <c r="D197" s="41" t="n"/>
      <c r="E197" s="41" t="n"/>
      <c r="F197" s="41" t="n"/>
      <c r="G197" s="41" t="n"/>
      <c r="H197" s="42" t="n"/>
      <c r="I197" s="42" t="n"/>
      <c r="J197" s="42" t="n"/>
      <c r="K197" s="42" t="n"/>
      <c r="L197" s="41" t="n"/>
      <c r="M197" s="41" t="n"/>
      <c r="N197" s="41" t="n"/>
      <c r="O197" s="43" t="n"/>
      <c r="P197" s="43" t="n"/>
      <c r="Q197" s="44" t="str">
        <f>IF($AM197=0,"",IF(ISNUMBER($AK197),$AK197-N($AL197),""))</f>
        <v/>
      </c>
      <c r="R197" s="45" t="str">
        <f>IF(OR($Q197="",NOT(ISNUMBER($V197))),"",$AK197/$V197)</f>
        <v/>
      </c>
      <c r="S197" s="46" t="str">
        <f>IF($Q197="","",IF(AND(ISNUMBER($R197),ABS(N($R197))&lt;N(Settings!$C$8)),"Scratch",IF($Q197&gt;0,"Win",IF($Q197&lt;0,"Loss","Scratch"))))</f>
        <v/>
      </c>
      <c r="T197" s="47" t="str">
        <f>IF(OR($AM197=0,NOT(ISNUMBER($H197)),NOT(ISNUMBER($I197)),NOT(ISNUMBER($J197))),"",IF($H197=$I197,"",ROUND(ABS($J197-$H197)/ABS($H197-$I197),6)))</f>
        <v/>
      </c>
      <c r="U197" s="48" t="str">
        <f>IF(OR($S197&lt;&gt;"Win",NOT(ISNUMBER($T197)),NOT(ISNUMBER($R197))),"",MAX(0,$T197-$R197))</f>
        <v/>
      </c>
      <c r="V197" s="49" t="str">
        <f>IF(OR($AM197=0,NOT(ISNUMBER($H197)),NOT(ISNUMBER($I197)),NOT(ISNUMBER($G197))),"",IF(OR($AG197="",$AH197=""),"",IF(ROUND(ABS($H197-$I197)*ABS($G197)*$AG197*$AH197,6)=0,"",ROUND(ABS($H197-$I197)*ABS($G197)*$AG197*$AH197,6))))</f>
        <v/>
      </c>
      <c r="W197" s="50" t="str">
        <f>IF($AM197=0,"",IF($BG197="","OK",LEFT($BG197,LEN($BG197)-2)))</f>
        <v/>
      </c>
      <c r="X197" s="41" t="n"/>
      <c r="Y197" s="40" t="n"/>
      <c r="Z197" s="41" t="n"/>
      <c r="AA197" s="41" t="n"/>
      <c r="AB197" s="40" t="n"/>
      <c r="AC197" s="51" t="n"/>
      <c r="AD197" s="51" t="n"/>
      <c r="AE197" s="40" t="n"/>
      <c r="AF197" s="52" t="str">
        <f>IF($AM197=0,"",IF($D197&lt;&gt;"",$D197,IF(IFERROR(INDEX(Accounts!$C$7:$C$16,MATCH($C197,Accounts!$B$7:$B$16,0))&amp;"","")&lt;&gt;"",INDEX(Accounts!$C$7:$C$16,MATCH($C197,Accounts!$B$7:$B$16,0)),Settings!$C$6)))</f>
        <v/>
      </c>
      <c r="AG197" s="53" t="str">
        <f>IF($AM197=0,"",IF(AND($BE197&gt;0,N(INDEX(Instruments!$D$6:$D$205,MAX(1,$BE197)))&gt;0),INDEX(Instruments!$D$6:$D$205,MAX(1,$BE197)),IF(N(INDEX(Settings!$D$14:$D$18,$BF197))&gt;0,INDEX(Settings!$D$14:$D$18,$BF197),"")))</f>
        <v/>
      </c>
      <c r="AH197" s="54" t="str">
        <f>IF($AM197=0,"",IF($AF197&lt;&gt;"Forex",1,IF(MID(UPPER(SUBSTITUTE(TRIM($E197),"/","")),4,3)=UPPER(TRIM(Settings!$C$7)),1,IF(LEFT(UPPER(SUBSTITUTE(TRIM($E197),"/","")),3)=UPPER(TRIM(Settings!$C$7)),IF(AND(ISNUMBER($K197),N($K197)&lt;&gt;0),1/$K197,""),""))))</f>
        <v/>
      </c>
      <c r="AI197" s="55" t="str">
        <f>IF($AM197=0,"",IF(OR(NOT(ISNUMBER($H197)),NOT(ISNUMBER($K197)),NOT(ISNUMBER($G197)),$AG197="",$AH197=""),"",ROUND(($K197-$H197)*IF($F197="Short",-1,1)*$G197*$AG197*$AH197,6)))</f>
        <v/>
      </c>
      <c r="AJ197" s="55" t="str">
        <f>IF($AM197=0,"",IF(INDEX(Settings!$E$14:$E$18,$BF197)="% of notional",IF(OR($AG197="",NOT(ISNUMBER($H197)),NOT(ISNUMBER($G197))),"",ROUND(ABS($H197*$G197*$AG197*N($AH197))*IF($L197="Limit",N(INDEX(Settings!$G$14:$G$18,$BF197)),N(INDEX(Settings!$H$14:$H$18,$BF197)))+IF(ISNUMBER($K197),ABS($K197*$G197*$AG197*N($AH197))*IF($M197="Target",N(INDEX(Settings!$G$14:$G$18,$BF197)),N(INDEX(Settings!$H$14:$H$18,$BF197))),0),6)),IF(NOT(ISNUMBER($G197)),"",ROUND(ABS($G197)*2*IF(AND($BE197&gt;0,ISNUMBER(INDEX(Instruments!$G$6:$G$205,MAX(1,$BE197)))),INDEX(Instruments!$G$6:$G$205,MAX(1,$BE197)),N(INDEX(Settings!$F$14:$F$18,$BF197))),6))))</f>
        <v/>
      </c>
      <c r="AK197" s="55" t="str">
        <f>IF($AM197=0,"",IF(ISNUMBER($O197),$O197,$AI197))</f>
        <v/>
      </c>
      <c r="AL197" s="55" t="str">
        <f>IF($AM197=0,"",IF(ISNUMBER($P197),$P197,N($AJ197)))</f>
        <v/>
      </c>
      <c r="AM197" s="56">
        <f>IF(AND($A197&lt;&gt;"",$E197&lt;&gt;"",OR(AND(ISNUMBER($G197),ISNUMBER($H197),ISNUMBER($K197)),ISNUMBER($O197))),1,0)</f>
        <v>0</v>
      </c>
      <c r="AN197" s="57" t="str">
        <f>IF($A197="","",$A197-WEEKDAY($A197,3))</f>
        <v/>
      </c>
      <c r="AO197" s="56" t="str">
        <f>IF($A197="","",WEEKDAY($A197,2))</f>
        <v/>
      </c>
      <c r="AP197" s="55" t="str">
        <f>IF(OR($AM197=0,$C197=""),"",IFERROR(N(INDEX(Accounts!$E$7:$E$16,MATCH($C197,Accounts!$B$7:$B$16,0))),0)+SUMIFS($Q$6:$Q197,$C$6:$C197,$C197))</f>
        <v/>
      </c>
      <c r="AQ197" s="55" t="str">
        <f>IF(OR($AM197=0,$C197=""),"",SUMIFS($Q$6:$Q$1005,$C$6:$C$1005,$C197,$A$6:$A$1005,$A197))</f>
        <v/>
      </c>
      <c r="AR197" s="55" t="str">
        <f>IF(OR($AM197=0,$C197=""),"",IFERROR(N(INDEX(Accounts!$E$7:$E$16,MATCH($C197,Accounts!$B$7:$B$16,0))),0)+SUMIFS($Q$6:$Q$1005,$C$6:$C$1005,$C197,$A$6:$A$1005,"&lt;="&amp;$A197))</f>
        <v/>
      </c>
      <c r="AS197" s="56">
        <f>IF(OR($AM197=0,$Q197=""),0,IF(AND($A197&gt;=Lists!$W$6,$A197&lt;=Lists!$W$7,OR(Dashboard!$D$6="All accounts",$C197=Dashboard!$D$6),OR(Dashboard!$D$7="All markets",$AF197=Dashboard!$D$7)),1,0))</f>
        <v>0</v>
      </c>
      <c r="AT197" s="55">
        <f>IF($AS197=1,N(AT196)+$Q197,N(AT196))</f>
        <v>1187.10688</v>
      </c>
      <c r="AU197" s="55">
        <f>MAX(N(AU196),$AT197)</f>
        <v>1187.10688</v>
      </c>
      <c r="AV197" s="55">
        <f>$AT197-$AU197</f>
        <v>0</v>
      </c>
      <c r="AW197" s="56">
        <f>IF($AS197=1,IF($S197="Win",N(AW196)+1,IF($S197="Loss",0,N(AW196))),N(AW196))</f>
        <v>5</v>
      </c>
      <c r="AX197" s="56">
        <f>IF($AS197=1,IF($S197="Loss",N(AX196)+1,IF($S197="Win",0,N(AX196))),N(AX196))</f>
        <v>0</v>
      </c>
      <c r="AY197" s="56" t="str">
        <f>IF($AS197=1,COUNTIF($AS$6:$AS197,1),"")</f>
        <v/>
      </c>
      <c r="AZ197" s="56">
        <f>MIN(191,N(Lists!$W$8))</f>
        <v>28</v>
      </c>
      <c r="BA197" s="56">
        <f>IF($AS197=1,IF(COUNTIFS($A$6:$A197,$A197,$AS$6:$AS197,1)=1,1,0),0)</f>
        <v>0</v>
      </c>
      <c r="BB197" s="55" t="str">
        <f>IF($BA197=1,SUMIFS($Q$6:$Q$1005,$A$6:$A$1005,$A197,$AS$6:$AS$1005,1),"")</f>
        <v/>
      </c>
      <c r="BC197" s="56">
        <f>IF(ISNUMBER($R197),1,0)</f>
        <v>0</v>
      </c>
      <c r="BD197" s="55" t="str">
        <f>IF(ISNUMBER($U197),$U197*$V197,"")</f>
        <v/>
      </c>
      <c r="BE197" s="56" t="str">
        <f>IF($AM197=0,"",IFERROR(MATCH($AF197&amp;"|"&amp;UPPER(TRIM($E197)),Lists!$A$6:$A$205,0),0))</f>
        <v/>
      </c>
      <c r="BF197" s="56" t="str">
        <f>IF($AM197=0,"",IFERROR(MATCH($AF197,Settings!$B$14:$B$18,0),IFERROR(MATCH(Settings!$C$6,Settings!$B$14:$B$18,0),1)))</f>
        <v/>
      </c>
      <c r="BG197" s="58" t="str">
        <f>IF($AM197=0,"",IF(NOT(ISNUMBER($I197)),"No stop; ","")&amp;IF(AND(ISNUMBER($H197),ISNUMBER($I197)),IF(OR(AND($F197&lt;&gt;"Short",$I197&gt;=$H197),AND($F197="Short",$I197&lt;=$H197)),"Stop on wrong side; ",""),"")&amp;IF($F197="","No direction; ","")&amp;IF(AND(ISNUMBER(Settings!$C$22),ISNUMBER($V197)),IF($V197&gt;Settings!$C$22,"Risk over max $; ",""),"")&amp;IF(AND(ISNUMBER(Settings!$C$23),ISNUMBER($V197),ISNUMBER($AP197),IFERROR(N(INDEX(Accounts!$E$7:$E$16,MATCH($C197,Accounts!$B$7:$B$16,0))),0)&gt;0),IF($V197&gt;Settings!$C$23*($AP197-N($Q197)),"Risk over max %; ",""),"")&amp;IF(AND(ISNUMBER(Settings!$C$24),ISNUMBER($N197)),IF($N197&gt;Settings!$C$24,"Leverage over max; ",""),"")&amp;IF(AND(ISNUMBER(Settings!$C$27),ISNUMBER($T197)),IF($T197&lt;Settings!$C$27,"R:R below min; ",""),"")&amp;IF(ISNUMBER(Settings!$C$25),IF(COUNTIFS($A$6:$A197,$A197,$AM$6:$AM197,1)&gt;Settings!$C$25,"Over max trades/day; ",""),"")&amp;IF(ISNUMBER(Settings!$C$26),IF(SUMIFS($Q$5:$Q196,$A$5:$A196,$A197)&lt;=-Settings!$C$26,"Traded after daily max loss; ",""),"")&amp;IF(AND($AG197="",NOT(ISNUMBER($O197))),"Symbol not in Instruments; ","")&amp;IF(AND($AH197="",NOT(ISNUMBER($O197))),"Forex cross: type Gross P&amp;L; ",""))</f>
        <v/>
      </c>
      <c r="BH197" s="56">
        <f>IF(ISNUMBER($Q197),1,0)</f>
        <v>0</v>
      </c>
      <c r="BI197" s="56">
        <f>IF($Y197="",0,1)</f>
        <v>0</v>
      </c>
      <c r="BJ197" s="56">
        <f>IF($AB197="",0,1)</f>
        <v>0</v>
      </c>
      <c r="BK197" s="56">
        <f>IF(AND($BH197=1,$W197&lt;&gt;"OK"),1,0)</f>
        <v>0</v>
      </c>
      <c r="BL197" s="55">
        <f>IF(N($AZ197)=0,0,IFERROR(INDEX($AT$6:$AT$1005,MATCH($AZ197,$AY$6:$AY$1005,0)),0))</f>
        <v>1187.10688</v>
      </c>
      <c r="BM197" s="56">
        <f>IF(ISNUMBER(SEARCH("daily max loss",$BG197)),1,0)</f>
        <v>0</v>
      </c>
    </row>
    <row r="198" ht="18" customHeight="1">
      <c r="A198" s="38" t="n"/>
      <c r="B198" s="39" t="n"/>
      <c r="C198" s="40" t="n"/>
      <c r="D198" s="41" t="n"/>
      <c r="E198" s="41" t="n"/>
      <c r="F198" s="41" t="n"/>
      <c r="G198" s="41" t="n"/>
      <c r="H198" s="42" t="n"/>
      <c r="I198" s="42" t="n"/>
      <c r="J198" s="42" t="n"/>
      <c r="K198" s="42" t="n"/>
      <c r="L198" s="41" t="n"/>
      <c r="M198" s="41" t="n"/>
      <c r="N198" s="41" t="n"/>
      <c r="O198" s="43" t="n"/>
      <c r="P198" s="43" t="n"/>
      <c r="Q198" s="44" t="str">
        <f>IF($AM198=0,"",IF(ISNUMBER($AK198),$AK198-N($AL198),""))</f>
        <v/>
      </c>
      <c r="R198" s="45" t="str">
        <f>IF(OR($Q198="",NOT(ISNUMBER($V198))),"",$AK198/$V198)</f>
        <v/>
      </c>
      <c r="S198" s="46" t="str">
        <f>IF($Q198="","",IF(AND(ISNUMBER($R198),ABS(N($R198))&lt;N(Settings!$C$8)),"Scratch",IF($Q198&gt;0,"Win",IF($Q198&lt;0,"Loss","Scratch"))))</f>
        <v/>
      </c>
      <c r="T198" s="47" t="str">
        <f>IF(OR($AM198=0,NOT(ISNUMBER($H198)),NOT(ISNUMBER($I198)),NOT(ISNUMBER($J198))),"",IF($H198=$I198,"",ROUND(ABS($J198-$H198)/ABS($H198-$I198),6)))</f>
        <v/>
      </c>
      <c r="U198" s="48" t="str">
        <f>IF(OR($S198&lt;&gt;"Win",NOT(ISNUMBER($T198)),NOT(ISNUMBER($R198))),"",MAX(0,$T198-$R198))</f>
        <v/>
      </c>
      <c r="V198" s="49" t="str">
        <f>IF(OR($AM198=0,NOT(ISNUMBER($H198)),NOT(ISNUMBER($I198)),NOT(ISNUMBER($G198))),"",IF(OR($AG198="",$AH198=""),"",IF(ROUND(ABS($H198-$I198)*ABS($G198)*$AG198*$AH198,6)=0,"",ROUND(ABS($H198-$I198)*ABS($G198)*$AG198*$AH198,6))))</f>
        <v/>
      </c>
      <c r="W198" s="50" t="str">
        <f>IF($AM198=0,"",IF($BG198="","OK",LEFT($BG198,LEN($BG198)-2)))</f>
        <v/>
      </c>
      <c r="X198" s="41" t="n"/>
      <c r="Y198" s="40" t="n"/>
      <c r="Z198" s="41" t="n"/>
      <c r="AA198" s="41" t="n"/>
      <c r="AB198" s="40" t="n"/>
      <c r="AC198" s="51" t="n"/>
      <c r="AD198" s="51" t="n"/>
      <c r="AE198" s="40" t="n"/>
      <c r="AF198" s="52" t="str">
        <f>IF($AM198=0,"",IF($D198&lt;&gt;"",$D198,IF(IFERROR(INDEX(Accounts!$C$7:$C$16,MATCH($C198,Accounts!$B$7:$B$16,0))&amp;"","")&lt;&gt;"",INDEX(Accounts!$C$7:$C$16,MATCH($C198,Accounts!$B$7:$B$16,0)),Settings!$C$6)))</f>
        <v/>
      </c>
      <c r="AG198" s="53" t="str">
        <f>IF($AM198=0,"",IF(AND($BE198&gt;0,N(INDEX(Instruments!$D$6:$D$205,MAX(1,$BE198)))&gt;0),INDEX(Instruments!$D$6:$D$205,MAX(1,$BE198)),IF(N(INDEX(Settings!$D$14:$D$18,$BF198))&gt;0,INDEX(Settings!$D$14:$D$18,$BF198),"")))</f>
        <v/>
      </c>
      <c r="AH198" s="54" t="str">
        <f>IF($AM198=0,"",IF($AF198&lt;&gt;"Forex",1,IF(MID(UPPER(SUBSTITUTE(TRIM($E198),"/","")),4,3)=UPPER(TRIM(Settings!$C$7)),1,IF(LEFT(UPPER(SUBSTITUTE(TRIM($E198),"/","")),3)=UPPER(TRIM(Settings!$C$7)),IF(AND(ISNUMBER($K198),N($K198)&lt;&gt;0),1/$K198,""),""))))</f>
        <v/>
      </c>
      <c r="AI198" s="55" t="str">
        <f>IF($AM198=0,"",IF(OR(NOT(ISNUMBER($H198)),NOT(ISNUMBER($K198)),NOT(ISNUMBER($G198)),$AG198="",$AH198=""),"",ROUND(($K198-$H198)*IF($F198="Short",-1,1)*$G198*$AG198*$AH198,6)))</f>
        <v/>
      </c>
      <c r="AJ198" s="55" t="str">
        <f>IF($AM198=0,"",IF(INDEX(Settings!$E$14:$E$18,$BF198)="% of notional",IF(OR($AG198="",NOT(ISNUMBER($H198)),NOT(ISNUMBER($G198))),"",ROUND(ABS($H198*$G198*$AG198*N($AH198))*IF($L198="Limit",N(INDEX(Settings!$G$14:$G$18,$BF198)),N(INDEX(Settings!$H$14:$H$18,$BF198)))+IF(ISNUMBER($K198),ABS($K198*$G198*$AG198*N($AH198))*IF($M198="Target",N(INDEX(Settings!$G$14:$G$18,$BF198)),N(INDEX(Settings!$H$14:$H$18,$BF198))),0),6)),IF(NOT(ISNUMBER($G198)),"",ROUND(ABS($G198)*2*IF(AND($BE198&gt;0,ISNUMBER(INDEX(Instruments!$G$6:$G$205,MAX(1,$BE198)))),INDEX(Instruments!$G$6:$G$205,MAX(1,$BE198)),N(INDEX(Settings!$F$14:$F$18,$BF198))),6))))</f>
        <v/>
      </c>
      <c r="AK198" s="55" t="str">
        <f>IF($AM198=0,"",IF(ISNUMBER($O198),$O198,$AI198))</f>
        <v/>
      </c>
      <c r="AL198" s="55" t="str">
        <f>IF($AM198=0,"",IF(ISNUMBER($P198),$P198,N($AJ198)))</f>
        <v/>
      </c>
      <c r="AM198" s="56">
        <f>IF(AND($A198&lt;&gt;"",$E198&lt;&gt;"",OR(AND(ISNUMBER($G198),ISNUMBER($H198),ISNUMBER($K198)),ISNUMBER($O198))),1,0)</f>
        <v>0</v>
      </c>
      <c r="AN198" s="57" t="str">
        <f>IF($A198="","",$A198-WEEKDAY($A198,3))</f>
        <v/>
      </c>
      <c r="AO198" s="56" t="str">
        <f>IF($A198="","",WEEKDAY($A198,2))</f>
        <v/>
      </c>
      <c r="AP198" s="55" t="str">
        <f>IF(OR($AM198=0,$C198=""),"",IFERROR(N(INDEX(Accounts!$E$7:$E$16,MATCH($C198,Accounts!$B$7:$B$16,0))),0)+SUMIFS($Q$6:$Q198,$C$6:$C198,$C198))</f>
        <v/>
      </c>
      <c r="AQ198" s="55" t="str">
        <f>IF(OR($AM198=0,$C198=""),"",SUMIFS($Q$6:$Q$1005,$C$6:$C$1005,$C198,$A$6:$A$1005,$A198))</f>
        <v/>
      </c>
      <c r="AR198" s="55" t="str">
        <f>IF(OR($AM198=0,$C198=""),"",IFERROR(N(INDEX(Accounts!$E$7:$E$16,MATCH($C198,Accounts!$B$7:$B$16,0))),0)+SUMIFS($Q$6:$Q$1005,$C$6:$C$1005,$C198,$A$6:$A$1005,"&lt;="&amp;$A198))</f>
        <v/>
      </c>
      <c r="AS198" s="56">
        <f>IF(OR($AM198=0,$Q198=""),0,IF(AND($A198&gt;=Lists!$W$6,$A198&lt;=Lists!$W$7,OR(Dashboard!$D$6="All accounts",$C198=Dashboard!$D$6),OR(Dashboard!$D$7="All markets",$AF198=Dashboard!$D$7)),1,0))</f>
        <v>0</v>
      </c>
      <c r="AT198" s="55">
        <f>IF($AS198=1,N(AT197)+$Q198,N(AT197))</f>
        <v>1187.10688</v>
      </c>
      <c r="AU198" s="55">
        <f>MAX(N(AU197),$AT198)</f>
        <v>1187.10688</v>
      </c>
      <c r="AV198" s="55">
        <f>$AT198-$AU198</f>
        <v>0</v>
      </c>
      <c r="AW198" s="56">
        <f>IF($AS198=1,IF($S198="Win",N(AW197)+1,IF($S198="Loss",0,N(AW197))),N(AW197))</f>
        <v>5</v>
      </c>
      <c r="AX198" s="56">
        <f>IF($AS198=1,IF($S198="Loss",N(AX197)+1,IF($S198="Win",0,N(AX197))),N(AX197))</f>
        <v>0</v>
      </c>
      <c r="AY198" s="56" t="str">
        <f>IF($AS198=1,COUNTIF($AS$6:$AS198,1),"")</f>
        <v/>
      </c>
      <c r="AZ198" s="56">
        <f>MIN(192,N(Lists!$W$8))</f>
        <v>28</v>
      </c>
      <c r="BA198" s="56">
        <f>IF($AS198=1,IF(COUNTIFS($A$6:$A198,$A198,$AS$6:$AS198,1)=1,1,0),0)</f>
        <v>0</v>
      </c>
      <c r="BB198" s="55" t="str">
        <f>IF($BA198=1,SUMIFS($Q$6:$Q$1005,$A$6:$A$1005,$A198,$AS$6:$AS$1005,1),"")</f>
        <v/>
      </c>
      <c r="BC198" s="56">
        <f>IF(ISNUMBER($R198),1,0)</f>
        <v>0</v>
      </c>
      <c r="BD198" s="55" t="str">
        <f>IF(ISNUMBER($U198),$U198*$V198,"")</f>
        <v/>
      </c>
      <c r="BE198" s="56" t="str">
        <f>IF($AM198=0,"",IFERROR(MATCH($AF198&amp;"|"&amp;UPPER(TRIM($E198)),Lists!$A$6:$A$205,0),0))</f>
        <v/>
      </c>
      <c r="BF198" s="56" t="str">
        <f>IF($AM198=0,"",IFERROR(MATCH($AF198,Settings!$B$14:$B$18,0),IFERROR(MATCH(Settings!$C$6,Settings!$B$14:$B$18,0),1)))</f>
        <v/>
      </c>
      <c r="BG198" s="58" t="str">
        <f>IF($AM198=0,"",IF(NOT(ISNUMBER($I198)),"No stop; ","")&amp;IF(AND(ISNUMBER($H198),ISNUMBER($I198)),IF(OR(AND($F198&lt;&gt;"Short",$I198&gt;=$H198),AND($F198="Short",$I198&lt;=$H198)),"Stop on wrong side; ",""),"")&amp;IF($F198="","No direction; ","")&amp;IF(AND(ISNUMBER(Settings!$C$22),ISNUMBER($V198)),IF($V198&gt;Settings!$C$22,"Risk over max $; ",""),"")&amp;IF(AND(ISNUMBER(Settings!$C$23),ISNUMBER($V198),ISNUMBER($AP198),IFERROR(N(INDEX(Accounts!$E$7:$E$16,MATCH($C198,Accounts!$B$7:$B$16,0))),0)&gt;0),IF($V198&gt;Settings!$C$23*($AP198-N($Q198)),"Risk over max %; ",""),"")&amp;IF(AND(ISNUMBER(Settings!$C$24),ISNUMBER($N198)),IF($N198&gt;Settings!$C$24,"Leverage over max; ",""),"")&amp;IF(AND(ISNUMBER(Settings!$C$27),ISNUMBER($T198)),IF($T198&lt;Settings!$C$27,"R:R below min; ",""),"")&amp;IF(ISNUMBER(Settings!$C$25),IF(COUNTIFS($A$6:$A198,$A198,$AM$6:$AM198,1)&gt;Settings!$C$25,"Over max trades/day; ",""),"")&amp;IF(ISNUMBER(Settings!$C$26),IF(SUMIFS($Q$5:$Q197,$A$5:$A197,$A198)&lt;=-Settings!$C$26,"Traded after daily max loss; ",""),"")&amp;IF(AND($AG198="",NOT(ISNUMBER($O198))),"Symbol not in Instruments; ","")&amp;IF(AND($AH198="",NOT(ISNUMBER($O198))),"Forex cross: type Gross P&amp;L; ",""))</f>
        <v/>
      </c>
      <c r="BH198" s="56">
        <f>IF(ISNUMBER($Q198),1,0)</f>
        <v>0</v>
      </c>
      <c r="BI198" s="56">
        <f>IF($Y198="",0,1)</f>
        <v>0</v>
      </c>
      <c r="BJ198" s="56">
        <f>IF($AB198="",0,1)</f>
        <v>0</v>
      </c>
      <c r="BK198" s="56">
        <f>IF(AND($BH198=1,$W198&lt;&gt;"OK"),1,0)</f>
        <v>0</v>
      </c>
      <c r="BL198" s="55">
        <f>IF(N($AZ198)=0,0,IFERROR(INDEX($AT$6:$AT$1005,MATCH($AZ198,$AY$6:$AY$1005,0)),0))</f>
        <v>1187.10688</v>
      </c>
      <c r="BM198" s="56">
        <f>IF(ISNUMBER(SEARCH("daily max loss",$BG198)),1,0)</f>
        <v>0</v>
      </c>
    </row>
    <row r="199" ht="18" customHeight="1">
      <c r="A199" s="38" t="n"/>
      <c r="B199" s="39" t="n"/>
      <c r="C199" s="40" t="n"/>
      <c r="D199" s="41" t="n"/>
      <c r="E199" s="41" t="n"/>
      <c r="F199" s="41" t="n"/>
      <c r="G199" s="41" t="n"/>
      <c r="H199" s="42" t="n"/>
      <c r="I199" s="42" t="n"/>
      <c r="J199" s="42" t="n"/>
      <c r="K199" s="42" t="n"/>
      <c r="L199" s="41" t="n"/>
      <c r="M199" s="41" t="n"/>
      <c r="N199" s="41" t="n"/>
      <c r="O199" s="43" t="n"/>
      <c r="P199" s="43" t="n"/>
      <c r="Q199" s="44" t="str">
        <f>IF($AM199=0,"",IF(ISNUMBER($AK199),$AK199-N($AL199),""))</f>
        <v/>
      </c>
      <c r="R199" s="45" t="str">
        <f>IF(OR($Q199="",NOT(ISNUMBER($V199))),"",$AK199/$V199)</f>
        <v/>
      </c>
      <c r="S199" s="46" t="str">
        <f>IF($Q199="","",IF(AND(ISNUMBER($R199),ABS(N($R199))&lt;N(Settings!$C$8)),"Scratch",IF($Q199&gt;0,"Win",IF($Q199&lt;0,"Loss","Scratch"))))</f>
        <v/>
      </c>
      <c r="T199" s="47" t="str">
        <f>IF(OR($AM199=0,NOT(ISNUMBER($H199)),NOT(ISNUMBER($I199)),NOT(ISNUMBER($J199))),"",IF($H199=$I199,"",ROUND(ABS($J199-$H199)/ABS($H199-$I199),6)))</f>
        <v/>
      </c>
      <c r="U199" s="48" t="str">
        <f>IF(OR($S199&lt;&gt;"Win",NOT(ISNUMBER($T199)),NOT(ISNUMBER($R199))),"",MAX(0,$T199-$R199))</f>
        <v/>
      </c>
      <c r="V199" s="49" t="str">
        <f>IF(OR($AM199=0,NOT(ISNUMBER($H199)),NOT(ISNUMBER($I199)),NOT(ISNUMBER($G199))),"",IF(OR($AG199="",$AH199=""),"",IF(ROUND(ABS($H199-$I199)*ABS($G199)*$AG199*$AH199,6)=0,"",ROUND(ABS($H199-$I199)*ABS($G199)*$AG199*$AH199,6))))</f>
        <v/>
      </c>
      <c r="W199" s="50" t="str">
        <f>IF($AM199=0,"",IF($BG199="","OK",LEFT($BG199,LEN($BG199)-2)))</f>
        <v/>
      </c>
      <c r="X199" s="41" t="n"/>
      <c r="Y199" s="40" t="n"/>
      <c r="Z199" s="41" t="n"/>
      <c r="AA199" s="41" t="n"/>
      <c r="AB199" s="40" t="n"/>
      <c r="AC199" s="51" t="n"/>
      <c r="AD199" s="51" t="n"/>
      <c r="AE199" s="40" t="n"/>
      <c r="AF199" s="52" t="str">
        <f>IF($AM199=0,"",IF($D199&lt;&gt;"",$D199,IF(IFERROR(INDEX(Accounts!$C$7:$C$16,MATCH($C199,Accounts!$B$7:$B$16,0))&amp;"","")&lt;&gt;"",INDEX(Accounts!$C$7:$C$16,MATCH($C199,Accounts!$B$7:$B$16,0)),Settings!$C$6)))</f>
        <v/>
      </c>
      <c r="AG199" s="53" t="str">
        <f>IF($AM199=0,"",IF(AND($BE199&gt;0,N(INDEX(Instruments!$D$6:$D$205,MAX(1,$BE199)))&gt;0),INDEX(Instruments!$D$6:$D$205,MAX(1,$BE199)),IF(N(INDEX(Settings!$D$14:$D$18,$BF199))&gt;0,INDEX(Settings!$D$14:$D$18,$BF199),"")))</f>
        <v/>
      </c>
      <c r="AH199" s="54" t="str">
        <f>IF($AM199=0,"",IF($AF199&lt;&gt;"Forex",1,IF(MID(UPPER(SUBSTITUTE(TRIM($E199),"/","")),4,3)=UPPER(TRIM(Settings!$C$7)),1,IF(LEFT(UPPER(SUBSTITUTE(TRIM($E199),"/","")),3)=UPPER(TRIM(Settings!$C$7)),IF(AND(ISNUMBER($K199),N($K199)&lt;&gt;0),1/$K199,""),""))))</f>
        <v/>
      </c>
      <c r="AI199" s="55" t="str">
        <f>IF($AM199=0,"",IF(OR(NOT(ISNUMBER($H199)),NOT(ISNUMBER($K199)),NOT(ISNUMBER($G199)),$AG199="",$AH199=""),"",ROUND(($K199-$H199)*IF($F199="Short",-1,1)*$G199*$AG199*$AH199,6)))</f>
        <v/>
      </c>
      <c r="AJ199" s="55" t="str">
        <f>IF($AM199=0,"",IF(INDEX(Settings!$E$14:$E$18,$BF199)="% of notional",IF(OR($AG199="",NOT(ISNUMBER($H199)),NOT(ISNUMBER($G199))),"",ROUND(ABS($H199*$G199*$AG199*N($AH199))*IF($L199="Limit",N(INDEX(Settings!$G$14:$G$18,$BF199)),N(INDEX(Settings!$H$14:$H$18,$BF199)))+IF(ISNUMBER($K199),ABS($K199*$G199*$AG199*N($AH199))*IF($M199="Target",N(INDEX(Settings!$G$14:$G$18,$BF199)),N(INDEX(Settings!$H$14:$H$18,$BF199))),0),6)),IF(NOT(ISNUMBER($G199)),"",ROUND(ABS($G199)*2*IF(AND($BE199&gt;0,ISNUMBER(INDEX(Instruments!$G$6:$G$205,MAX(1,$BE199)))),INDEX(Instruments!$G$6:$G$205,MAX(1,$BE199)),N(INDEX(Settings!$F$14:$F$18,$BF199))),6))))</f>
        <v/>
      </c>
      <c r="AK199" s="55" t="str">
        <f>IF($AM199=0,"",IF(ISNUMBER($O199),$O199,$AI199))</f>
        <v/>
      </c>
      <c r="AL199" s="55" t="str">
        <f>IF($AM199=0,"",IF(ISNUMBER($P199),$P199,N($AJ199)))</f>
        <v/>
      </c>
      <c r="AM199" s="56">
        <f>IF(AND($A199&lt;&gt;"",$E199&lt;&gt;"",OR(AND(ISNUMBER($G199),ISNUMBER($H199),ISNUMBER($K199)),ISNUMBER($O199))),1,0)</f>
        <v>0</v>
      </c>
      <c r="AN199" s="57" t="str">
        <f>IF($A199="","",$A199-WEEKDAY($A199,3))</f>
        <v/>
      </c>
      <c r="AO199" s="56" t="str">
        <f>IF($A199="","",WEEKDAY($A199,2))</f>
        <v/>
      </c>
      <c r="AP199" s="55" t="str">
        <f>IF(OR($AM199=0,$C199=""),"",IFERROR(N(INDEX(Accounts!$E$7:$E$16,MATCH($C199,Accounts!$B$7:$B$16,0))),0)+SUMIFS($Q$6:$Q199,$C$6:$C199,$C199))</f>
        <v/>
      </c>
      <c r="AQ199" s="55" t="str">
        <f>IF(OR($AM199=0,$C199=""),"",SUMIFS($Q$6:$Q$1005,$C$6:$C$1005,$C199,$A$6:$A$1005,$A199))</f>
        <v/>
      </c>
      <c r="AR199" s="55" t="str">
        <f>IF(OR($AM199=0,$C199=""),"",IFERROR(N(INDEX(Accounts!$E$7:$E$16,MATCH($C199,Accounts!$B$7:$B$16,0))),0)+SUMIFS($Q$6:$Q$1005,$C$6:$C$1005,$C199,$A$6:$A$1005,"&lt;="&amp;$A199))</f>
        <v/>
      </c>
      <c r="AS199" s="56">
        <f>IF(OR($AM199=0,$Q199=""),0,IF(AND($A199&gt;=Lists!$W$6,$A199&lt;=Lists!$W$7,OR(Dashboard!$D$6="All accounts",$C199=Dashboard!$D$6),OR(Dashboard!$D$7="All markets",$AF199=Dashboard!$D$7)),1,0))</f>
        <v>0</v>
      </c>
      <c r="AT199" s="55">
        <f>IF($AS199=1,N(AT198)+$Q199,N(AT198))</f>
        <v>1187.10688</v>
      </c>
      <c r="AU199" s="55">
        <f>MAX(N(AU198),$AT199)</f>
        <v>1187.10688</v>
      </c>
      <c r="AV199" s="55">
        <f>$AT199-$AU199</f>
        <v>0</v>
      </c>
      <c r="AW199" s="56">
        <f>IF($AS199=1,IF($S199="Win",N(AW198)+1,IF($S199="Loss",0,N(AW198))),N(AW198))</f>
        <v>5</v>
      </c>
      <c r="AX199" s="56">
        <f>IF($AS199=1,IF($S199="Loss",N(AX198)+1,IF($S199="Win",0,N(AX198))),N(AX198))</f>
        <v>0</v>
      </c>
      <c r="AY199" s="56" t="str">
        <f>IF($AS199=1,COUNTIF($AS$6:$AS199,1),"")</f>
        <v/>
      </c>
      <c r="AZ199" s="56">
        <f>MIN(193,N(Lists!$W$8))</f>
        <v>28</v>
      </c>
      <c r="BA199" s="56">
        <f>IF($AS199=1,IF(COUNTIFS($A$6:$A199,$A199,$AS$6:$AS199,1)=1,1,0),0)</f>
        <v>0</v>
      </c>
      <c r="BB199" s="55" t="str">
        <f>IF($BA199=1,SUMIFS($Q$6:$Q$1005,$A$6:$A$1005,$A199,$AS$6:$AS$1005,1),"")</f>
        <v/>
      </c>
      <c r="BC199" s="56">
        <f>IF(ISNUMBER($R199),1,0)</f>
        <v>0</v>
      </c>
      <c r="BD199" s="55" t="str">
        <f>IF(ISNUMBER($U199),$U199*$V199,"")</f>
        <v/>
      </c>
      <c r="BE199" s="56" t="str">
        <f>IF($AM199=0,"",IFERROR(MATCH($AF199&amp;"|"&amp;UPPER(TRIM($E199)),Lists!$A$6:$A$205,0),0))</f>
        <v/>
      </c>
      <c r="BF199" s="56" t="str">
        <f>IF($AM199=0,"",IFERROR(MATCH($AF199,Settings!$B$14:$B$18,0),IFERROR(MATCH(Settings!$C$6,Settings!$B$14:$B$18,0),1)))</f>
        <v/>
      </c>
      <c r="BG199" s="58" t="str">
        <f>IF($AM199=0,"",IF(NOT(ISNUMBER($I199)),"No stop; ","")&amp;IF(AND(ISNUMBER($H199),ISNUMBER($I199)),IF(OR(AND($F199&lt;&gt;"Short",$I199&gt;=$H199),AND($F199="Short",$I199&lt;=$H199)),"Stop on wrong side; ",""),"")&amp;IF($F199="","No direction; ","")&amp;IF(AND(ISNUMBER(Settings!$C$22),ISNUMBER($V199)),IF($V199&gt;Settings!$C$22,"Risk over max $; ",""),"")&amp;IF(AND(ISNUMBER(Settings!$C$23),ISNUMBER($V199),ISNUMBER($AP199),IFERROR(N(INDEX(Accounts!$E$7:$E$16,MATCH($C199,Accounts!$B$7:$B$16,0))),0)&gt;0),IF($V199&gt;Settings!$C$23*($AP199-N($Q199)),"Risk over max %; ",""),"")&amp;IF(AND(ISNUMBER(Settings!$C$24),ISNUMBER($N199)),IF($N199&gt;Settings!$C$24,"Leverage over max; ",""),"")&amp;IF(AND(ISNUMBER(Settings!$C$27),ISNUMBER($T199)),IF($T199&lt;Settings!$C$27,"R:R below min; ",""),"")&amp;IF(ISNUMBER(Settings!$C$25),IF(COUNTIFS($A$6:$A199,$A199,$AM$6:$AM199,1)&gt;Settings!$C$25,"Over max trades/day; ",""),"")&amp;IF(ISNUMBER(Settings!$C$26),IF(SUMIFS($Q$5:$Q198,$A$5:$A198,$A199)&lt;=-Settings!$C$26,"Traded after daily max loss; ",""),"")&amp;IF(AND($AG199="",NOT(ISNUMBER($O199))),"Symbol not in Instruments; ","")&amp;IF(AND($AH199="",NOT(ISNUMBER($O199))),"Forex cross: type Gross P&amp;L; ",""))</f>
        <v/>
      </c>
      <c r="BH199" s="56">
        <f>IF(ISNUMBER($Q199),1,0)</f>
        <v>0</v>
      </c>
      <c r="BI199" s="56">
        <f>IF($Y199="",0,1)</f>
        <v>0</v>
      </c>
      <c r="BJ199" s="56">
        <f>IF($AB199="",0,1)</f>
        <v>0</v>
      </c>
      <c r="BK199" s="56">
        <f>IF(AND($BH199=1,$W199&lt;&gt;"OK"),1,0)</f>
        <v>0</v>
      </c>
      <c r="BL199" s="55">
        <f>IF(N($AZ199)=0,0,IFERROR(INDEX($AT$6:$AT$1005,MATCH($AZ199,$AY$6:$AY$1005,0)),0))</f>
        <v>1187.10688</v>
      </c>
      <c r="BM199" s="56">
        <f>IF(ISNUMBER(SEARCH("daily max loss",$BG199)),1,0)</f>
        <v>0</v>
      </c>
    </row>
    <row r="200" ht="18" customHeight="1">
      <c r="A200" s="38" t="n"/>
      <c r="B200" s="39" t="n"/>
      <c r="C200" s="40" t="n"/>
      <c r="D200" s="41" t="n"/>
      <c r="E200" s="41" t="n"/>
      <c r="F200" s="41" t="n"/>
      <c r="G200" s="41" t="n"/>
      <c r="H200" s="42" t="n"/>
      <c r="I200" s="42" t="n"/>
      <c r="J200" s="42" t="n"/>
      <c r="K200" s="42" t="n"/>
      <c r="L200" s="41" t="n"/>
      <c r="M200" s="41" t="n"/>
      <c r="N200" s="41" t="n"/>
      <c r="O200" s="43" t="n"/>
      <c r="P200" s="43" t="n"/>
      <c r="Q200" s="44" t="str">
        <f>IF($AM200=0,"",IF(ISNUMBER($AK200),$AK200-N($AL200),""))</f>
        <v/>
      </c>
      <c r="R200" s="45" t="str">
        <f>IF(OR($Q200="",NOT(ISNUMBER($V200))),"",$AK200/$V200)</f>
        <v/>
      </c>
      <c r="S200" s="46" t="str">
        <f>IF($Q200="","",IF(AND(ISNUMBER($R200),ABS(N($R200))&lt;N(Settings!$C$8)),"Scratch",IF($Q200&gt;0,"Win",IF($Q200&lt;0,"Loss","Scratch"))))</f>
        <v/>
      </c>
      <c r="T200" s="47" t="str">
        <f>IF(OR($AM200=0,NOT(ISNUMBER($H200)),NOT(ISNUMBER($I200)),NOT(ISNUMBER($J200))),"",IF($H200=$I200,"",ROUND(ABS($J200-$H200)/ABS($H200-$I200),6)))</f>
        <v/>
      </c>
      <c r="U200" s="48" t="str">
        <f>IF(OR($S200&lt;&gt;"Win",NOT(ISNUMBER($T200)),NOT(ISNUMBER($R200))),"",MAX(0,$T200-$R200))</f>
        <v/>
      </c>
      <c r="V200" s="49" t="str">
        <f>IF(OR($AM200=0,NOT(ISNUMBER($H200)),NOT(ISNUMBER($I200)),NOT(ISNUMBER($G200))),"",IF(OR($AG200="",$AH200=""),"",IF(ROUND(ABS($H200-$I200)*ABS($G200)*$AG200*$AH200,6)=0,"",ROUND(ABS($H200-$I200)*ABS($G200)*$AG200*$AH200,6))))</f>
        <v/>
      </c>
      <c r="W200" s="50" t="str">
        <f>IF($AM200=0,"",IF($BG200="","OK",LEFT($BG200,LEN($BG200)-2)))</f>
        <v/>
      </c>
      <c r="X200" s="41" t="n"/>
      <c r="Y200" s="40" t="n"/>
      <c r="Z200" s="41" t="n"/>
      <c r="AA200" s="41" t="n"/>
      <c r="AB200" s="40" t="n"/>
      <c r="AC200" s="51" t="n"/>
      <c r="AD200" s="51" t="n"/>
      <c r="AE200" s="40" t="n"/>
      <c r="AF200" s="52" t="str">
        <f>IF($AM200=0,"",IF($D200&lt;&gt;"",$D200,IF(IFERROR(INDEX(Accounts!$C$7:$C$16,MATCH($C200,Accounts!$B$7:$B$16,0))&amp;"","")&lt;&gt;"",INDEX(Accounts!$C$7:$C$16,MATCH($C200,Accounts!$B$7:$B$16,0)),Settings!$C$6)))</f>
        <v/>
      </c>
      <c r="AG200" s="53" t="str">
        <f>IF($AM200=0,"",IF(AND($BE200&gt;0,N(INDEX(Instruments!$D$6:$D$205,MAX(1,$BE200)))&gt;0),INDEX(Instruments!$D$6:$D$205,MAX(1,$BE200)),IF(N(INDEX(Settings!$D$14:$D$18,$BF200))&gt;0,INDEX(Settings!$D$14:$D$18,$BF200),"")))</f>
        <v/>
      </c>
      <c r="AH200" s="54" t="str">
        <f>IF($AM200=0,"",IF($AF200&lt;&gt;"Forex",1,IF(MID(UPPER(SUBSTITUTE(TRIM($E200),"/","")),4,3)=UPPER(TRIM(Settings!$C$7)),1,IF(LEFT(UPPER(SUBSTITUTE(TRIM($E200),"/","")),3)=UPPER(TRIM(Settings!$C$7)),IF(AND(ISNUMBER($K200),N($K200)&lt;&gt;0),1/$K200,""),""))))</f>
        <v/>
      </c>
      <c r="AI200" s="55" t="str">
        <f>IF($AM200=0,"",IF(OR(NOT(ISNUMBER($H200)),NOT(ISNUMBER($K200)),NOT(ISNUMBER($G200)),$AG200="",$AH200=""),"",ROUND(($K200-$H200)*IF($F200="Short",-1,1)*$G200*$AG200*$AH200,6)))</f>
        <v/>
      </c>
      <c r="AJ200" s="55" t="str">
        <f>IF($AM200=0,"",IF(INDEX(Settings!$E$14:$E$18,$BF200)="% of notional",IF(OR($AG200="",NOT(ISNUMBER($H200)),NOT(ISNUMBER($G200))),"",ROUND(ABS($H200*$G200*$AG200*N($AH200))*IF($L200="Limit",N(INDEX(Settings!$G$14:$G$18,$BF200)),N(INDEX(Settings!$H$14:$H$18,$BF200)))+IF(ISNUMBER($K200),ABS($K200*$G200*$AG200*N($AH200))*IF($M200="Target",N(INDEX(Settings!$G$14:$G$18,$BF200)),N(INDEX(Settings!$H$14:$H$18,$BF200))),0),6)),IF(NOT(ISNUMBER($G200)),"",ROUND(ABS($G200)*2*IF(AND($BE200&gt;0,ISNUMBER(INDEX(Instruments!$G$6:$G$205,MAX(1,$BE200)))),INDEX(Instruments!$G$6:$G$205,MAX(1,$BE200)),N(INDEX(Settings!$F$14:$F$18,$BF200))),6))))</f>
        <v/>
      </c>
      <c r="AK200" s="55" t="str">
        <f>IF($AM200=0,"",IF(ISNUMBER($O200),$O200,$AI200))</f>
        <v/>
      </c>
      <c r="AL200" s="55" t="str">
        <f>IF($AM200=0,"",IF(ISNUMBER($P200),$P200,N($AJ200)))</f>
        <v/>
      </c>
      <c r="AM200" s="56">
        <f>IF(AND($A200&lt;&gt;"",$E200&lt;&gt;"",OR(AND(ISNUMBER($G200),ISNUMBER($H200),ISNUMBER($K200)),ISNUMBER($O200))),1,0)</f>
        <v>0</v>
      </c>
      <c r="AN200" s="57" t="str">
        <f>IF($A200="","",$A200-WEEKDAY($A200,3))</f>
        <v/>
      </c>
      <c r="AO200" s="56" t="str">
        <f>IF($A200="","",WEEKDAY($A200,2))</f>
        <v/>
      </c>
      <c r="AP200" s="55" t="str">
        <f>IF(OR($AM200=0,$C200=""),"",IFERROR(N(INDEX(Accounts!$E$7:$E$16,MATCH($C200,Accounts!$B$7:$B$16,0))),0)+SUMIFS($Q$6:$Q200,$C$6:$C200,$C200))</f>
        <v/>
      </c>
      <c r="AQ200" s="55" t="str">
        <f>IF(OR($AM200=0,$C200=""),"",SUMIFS($Q$6:$Q$1005,$C$6:$C$1005,$C200,$A$6:$A$1005,$A200))</f>
        <v/>
      </c>
      <c r="AR200" s="55" t="str">
        <f>IF(OR($AM200=0,$C200=""),"",IFERROR(N(INDEX(Accounts!$E$7:$E$16,MATCH($C200,Accounts!$B$7:$B$16,0))),0)+SUMIFS($Q$6:$Q$1005,$C$6:$C$1005,$C200,$A$6:$A$1005,"&lt;="&amp;$A200))</f>
        <v/>
      </c>
      <c r="AS200" s="56">
        <f>IF(OR($AM200=0,$Q200=""),0,IF(AND($A200&gt;=Lists!$W$6,$A200&lt;=Lists!$W$7,OR(Dashboard!$D$6="All accounts",$C200=Dashboard!$D$6),OR(Dashboard!$D$7="All markets",$AF200=Dashboard!$D$7)),1,0))</f>
        <v>0</v>
      </c>
      <c r="AT200" s="55">
        <f>IF($AS200=1,N(AT199)+$Q200,N(AT199))</f>
        <v>1187.10688</v>
      </c>
      <c r="AU200" s="55">
        <f>MAX(N(AU199),$AT200)</f>
        <v>1187.10688</v>
      </c>
      <c r="AV200" s="55">
        <f>$AT200-$AU200</f>
        <v>0</v>
      </c>
      <c r="AW200" s="56">
        <f>IF($AS200=1,IF($S200="Win",N(AW199)+1,IF($S200="Loss",0,N(AW199))),N(AW199))</f>
        <v>5</v>
      </c>
      <c r="AX200" s="56">
        <f>IF($AS200=1,IF($S200="Loss",N(AX199)+1,IF($S200="Win",0,N(AX199))),N(AX199))</f>
        <v>0</v>
      </c>
      <c r="AY200" s="56" t="str">
        <f>IF($AS200=1,COUNTIF($AS$6:$AS200,1),"")</f>
        <v/>
      </c>
      <c r="AZ200" s="56">
        <f>MIN(194,N(Lists!$W$8))</f>
        <v>28</v>
      </c>
      <c r="BA200" s="56">
        <f>IF($AS200=1,IF(COUNTIFS($A$6:$A200,$A200,$AS$6:$AS200,1)=1,1,0),0)</f>
        <v>0</v>
      </c>
      <c r="BB200" s="55" t="str">
        <f>IF($BA200=1,SUMIFS($Q$6:$Q$1005,$A$6:$A$1005,$A200,$AS$6:$AS$1005,1),"")</f>
        <v/>
      </c>
      <c r="BC200" s="56">
        <f>IF(ISNUMBER($R200),1,0)</f>
        <v>0</v>
      </c>
      <c r="BD200" s="55" t="str">
        <f>IF(ISNUMBER($U200),$U200*$V200,"")</f>
        <v/>
      </c>
      <c r="BE200" s="56" t="str">
        <f>IF($AM200=0,"",IFERROR(MATCH($AF200&amp;"|"&amp;UPPER(TRIM($E200)),Lists!$A$6:$A$205,0),0))</f>
        <v/>
      </c>
      <c r="BF200" s="56" t="str">
        <f>IF($AM200=0,"",IFERROR(MATCH($AF200,Settings!$B$14:$B$18,0),IFERROR(MATCH(Settings!$C$6,Settings!$B$14:$B$18,0),1)))</f>
        <v/>
      </c>
      <c r="BG200" s="58" t="str">
        <f>IF($AM200=0,"",IF(NOT(ISNUMBER($I200)),"No stop; ","")&amp;IF(AND(ISNUMBER($H200),ISNUMBER($I200)),IF(OR(AND($F200&lt;&gt;"Short",$I200&gt;=$H200),AND($F200="Short",$I200&lt;=$H200)),"Stop on wrong side; ",""),"")&amp;IF($F200="","No direction; ","")&amp;IF(AND(ISNUMBER(Settings!$C$22),ISNUMBER($V200)),IF($V200&gt;Settings!$C$22,"Risk over max $; ",""),"")&amp;IF(AND(ISNUMBER(Settings!$C$23),ISNUMBER($V200),ISNUMBER($AP200),IFERROR(N(INDEX(Accounts!$E$7:$E$16,MATCH($C200,Accounts!$B$7:$B$16,0))),0)&gt;0),IF($V200&gt;Settings!$C$23*($AP200-N($Q200)),"Risk over max %; ",""),"")&amp;IF(AND(ISNUMBER(Settings!$C$24),ISNUMBER($N200)),IF($N200&gt;Settings!$C$24,"Leverage over max; ",""),"")&amp;IF(AND(ISNUMBER(Settings!$C$27),ISNUMBER($T200)),IF($T200&lt;Settings!$C$27,"R:R below min; ",""),"")&amp;IF(ISNUMBER(Settings!$C$25),IF(COUNTIFS($A$6:$A200,$A200,$AM$6:$AM200,1)&gt;Settings!$C$25,"Over max trades/day; ",""),"")&amp;IF(ISNUMBER(Settings!$C$26),IF(SUMIFS($Q$5:$Q199,$A$5:$A199,$A200)&lt;=-Settings!$C$26,"Traded after daily max loss; ",""),"")&amp;IF(AND($AG200="",NOT(ISNUMBER($O200))),"Symbol not in Instruments; ","")&amp;IF(AND($AH200="",NOT(ISNUMBER($O200))),"Forex cross: type Gross P&amp;L; ",""))</f>
        <v/>
      </c>
      <c r="BH200" s="56">
        <f>IF(ISNUMBER($Q200),1,0)</f>
        <v>0</v>
      </c>
      <c r="BI200" s="56">
        <f>IF($Y200="",0,1)</f>
        <v>0</v>
      </c>
      <c r="BJ200" s="56">
        <f>IF($AB200="",0,1)</f>
        <v>0</v>
      </c>
      <c r="BK200" s="56">
        <f>IF(AND($BH200=1,$W200&lt;&gt;"OK"),1,0)</f>
        <v>0</v>
      </c>
      <c r="BL200" s="55">
        <f>IF(N($AZ200)=0,0,IFERROR(INDEX($AT$6:$AT$1005,MATCH($AZ200,$AY$6:$AY$1005,0)),0))</f>
        <v>1187.10688</v>
      </c>
      <c r="BM200" s="56">
        <f>IF(ISNUMBER(SEARCH("daily max loss",$BG200)),1,0)</f>
        <v>0</v>
      </c>
    </row>
    <row r="201" ht="18" customHeight="1">
      <c r="A201" s="38" t="n"/>
      <c r="B201" s="39" t="n"/>
      <c r="C201" s="40" t="n"/>
      <c r="D201" s="41" t="n"/>
      <c r="E201" s="41" t="n"/>
      <c r="F201" s="41" t="n"/>
      <c r="G201" s="41" t="n"/>
      <c r="H201" s="42" t="n"/>
      <c r="I201" s="42" t="n"/>
      <c r="J201" s="42" t="n"/>
      <c r="K201" s="42" t="n"/>
      <c r="L201" s="41" t="n"/>
      <c r="M201" s="41" t="n"/>
      <c r="N201" s="41" t="n"/>
      <c r="O201" s="43" t="n"/>
      <c r="P201" s="43" t="n"/>
      <c r="Q201" s="44" t="str">
        <f>IF($AM201=0,"",IF(ISNUMBER($AK201),$AK201-N($AL201),""))</f>
        <v/>
      </c>
      <c r="R201" s="45" t="str">
        <f>IF(OR($Q201="",NOT(ISNUMBER($V201))),"",$AK201/$V201)</f>
        <v/>
      </c>
      <c r="S201" s="46" t="str">
        <f>IF($Q201="","",IF(AND(ISNUMBER($R201),ABS(N($R201))&lt;N(Settings!$C$8)),"Scratch",IF($Q201&gt;0,"Win",IF($Q201&lt;0,"Loss","Scratch"))))</f>
        <v/>
      </c>
      <c r="T201" s="47" t="str">
        <f>IF(OR($AM201=0,NOT(ISNUMBER($H201)),NOT(ISNUMBER($I201)),NOT(ISNUMBER($J201))),"",IF($H201=$I201,"",ROUND(ABS($J201-$H201)/ABS($H201-$I201),6)))</f>
        <v/>
      </c>
      <c r="U201" s="48" t="str">
        <f>IF(OR($S201&lt;&gt;"Win",NOT(ISNUMBER($T201)),NOT(ISNUMBER($R201))),"",MAX(0,$T201-$R201))</f>
        <v/>
      </c>
      <c r="V201" s="49" t="str">
        <f>IF(OR($AM201=0,NOT(ISNUMBER($H201)),NOT(ISNUMBER($I201)),NOT(ISNUMBER($G201))),"",IF(OR($AG201="",$AH201=""),"",IF(ROUND(ABS($H201-$I201)*ABS($G201)*$AG201*$AH201,6)=0,"",ROUND(ABS($H201-$I201)*ABS($G201)*$AG201*$AH201,6))))</f>
        <v/>
      </c>
      <c r="W201" s="50" t="str">
        <f>IF($AM201=0,"",IF($BG201="","OK",LEFT($BG201,LEN($BG201)-2)))</f>
        <v/>
      </c>
      <c r="X201" s="41" t="n"/>
      <c r="Y201" s="40" t="n"/>
      <c r="Z201" s="41" t="n"/>
      <c r="AA201" s="41" t="n"/>
      <c r="AB201" s="40" t="n"/>
      <c r="AC201" s="51" t="n"/>
      <c r="AD201" s="51" t="n"/>
      <c r="AE201" s="40" t="n"/>
      <c r="AF201" s="52" t="str">
        <f>IF($AM201=0,"",IF($D201&lt;&gt;"",$D201,IF(IFERROR(INDEX(Accounts!$C$7:$C$16,MATCH($C201,Accounts!$B$7:$B$16,0))&amp;"","")&lt;&gt;"",INDEX(Accounts!$C$7:$C$16,MATCH($C201,Accounts!$B$7:$B$16,0)),Settings!$C$6)))</f>
        <v/>
      </c>
      <c r="AG201" s="53" t="str">
        <f>IF($AM201=0,"",IF(AND($BE201&gt;0,N(INDEX(Instruments!$D$6:$D$205,MAX(1,$BE201)))&gt;0),INDEX(Instruments!$D$6:$D$205,MAX(1,$BE201)),IF(N(INDEX(Settings!$D$14:$D$18,$BF201))&gt;0,INDEX(Settings!$D$14:$D$18,$BF201),"")))</f>
        <v/>
      </c>
      <c r="AH201" s="54" t="str">
        <f>IF($AM201=0,"",IF($AF201&lt;&gt;"Forex",1,IF(MID(UPPER(SUBSTITUTE(TRIM($E201),"/","")),4,3)=UPPER(TRIM(Settings!$C$7)),1,IF(LEFT(UPPER(SUBSTITUTE(TRIM($E201),"/","")),3)=UPPER(TRIM(Settings!$C$7)),IF(AND(ISNUMBER($K201),N($K201)&lt;&gt;0),1/$K201,""),""))))</f>
        <v/>
      </c>
      <c r="AI201" s="55" t="str">
        <f>IF($AM201=0,"",IF(OR(NOT(ISNUMBER($H201)),NOT(ISNUMBER($K201)),NOT(ISNUMBER($G201)),$AG201="",$AH201=""),"",ROUND(($K201-$H201)*IF($F201="Short",-1,1)*$G201*$AG201*$AH201,6)))</f>
        <v/>
      </c>
      <c r="AJ201" s="55" t="str">
        <f>IF($AM201=0,"",IF(INDEX(Settings!$E$14:$E$18,$BF201)="% of notional",IF(OR($AG201="",NOT(ISNUMBER($H201)),NOT(ISNUMBER($G201))),"",ROUND(ABS($H201*$G201*$AG201*N($AH201))*IF($L201="Limit",N(INDEX(Settings!$G$14:$G$18,$BF201)),N(INDEX(Settings!$H$14:$H$18,$BF201)))+IF(ISNUMBER($K201),ABS($K201*$G201*$AG201*N($AH201))*IF($M201="Target",N(INDEX(Settings!$G$14:$G$18,$BF201)),N(INDEX(Settings!$H$14:$H$18,$BF201))),0),6)),IF(NOT(ISNUMBER($G201)),"",ROUND(ABS($G201)*2*IF(AND($BE201&gt;0,ISNUMBER(INDEX(Instruments!$G$6:$G$205,MAX(1,$BE201)))),INDEX(Instruments!$G$6:$G$205,MAX(1,$BE201)),N(INDEX(Settings!$F$14:$F$18,$BF201))),6))))</f>
        <v/>
      </c>
      <c r="AK201" s="55" t="str">
        <f>IF($AM201=0,"",IF(ISNUMBER($O201),$O201,$AI201))</f>
        <v/>
      </c>
      <c r="AL201" s="55" t="str">
        <f>IF($AM201=0,"",IF(ISNUMBER($P201),$P201,N($AJ201)))</f>
        <v/>
      </c>
      <c r="AM201" s="56">
        <f>IF(AND($A201&lt;&gt;"",$E201&lt;&gt;"",OR(AND(ISNUMBER($G201),ISNUMBER($H201),ISNUMBER($K201)),ISNUMBER($O201))),1,0)</f>
        <v>0</v>
      </c>
      <c r="AN201" s="57" t="str">
        <f>IF($A201="","",$A201-WEEKDAY($A201,3))</f>
        <v/>
      </c>
      <c r="AO201" s="56" t="str">
        <f>IF($A201="","",WEEKDAY($A201,2))</f>
        <v/>
      </c>
      <c r="AP201" s="55" t="str">
        <f>IF(OR($AM201=0,$C201=""),"",IFERROR(N(INDEX(Accounts!$E$7:$E$16,MATCH($C201,Accounts!$B$7:$B$16,0))),0)+SUMIFS($Q$6:$Q201,$C$6:$C201,$C201))</f>
        <v/>
      </c>
      <c r="AQ201" s="55" t="str">
        <f>IF(OR($AM201=0,$C201=""),"",SUMIFS($Q$6:$Q$1005,$C$6:$C$1005,$C201,$A$6:$A$1005,$A201))</f>
        <v/>
      </c>
      <c r="AR201" s="55" t="str">
        <f>IF(OR($AM201=0,$C201=""),"",IFERROR(N(INDEX(Accounts!$E$7:$E$16,MATCH($C201,Accounts!$B$7:$B$16,0))),0)+SUMIFS($Q$6:$Q$1005,$C$6:$C$1005,$C201,$A$6:$A$1005,"&lt;="&amp;$A201))</f>
        <v/>
      </c>
      <c r="AS201" s="56">
        <f>IF(OR($AM201=0,$Q201=""),0,IF(AND($A201&gt;=Lists!$W$6,$A201&lt;=Lists!$W$7,OR(Dashboard!$D$6="All accounts",$C201=Dashboard!$D$6),OR(Dashboard!$D$7="All markets",$AF201=Dashboard!$D$7)),1,0))</f>
        <v>0</v>
      </c>
      <c r="AT201" s="55">
        <f>IF($AS201=1,N(AT200)+$Q201,N(AT200))</f>
        <v>1187.10688</v>
      </c>
      <c r="AU201" s="55">
        <f>MAX(N(AU200),$AT201)</f>
        <v>1187.10688</v>
      </c>
      <c r="AV201" s="55">
        <f>$AT201-$AU201</f>
        <v>0</v>
      </c>
      <c r="AW201" s="56">
        <f>IF($AS201=1,IF($S201="Win",N(AW200)+1,IF($S201="Loss",0,N(AW200))),N(AW200))</f>
        <v>5</v>
      </c>
      <c r="AX201" s="56">
        <f>IF($AS201=1,IF($S201="Loss",N(AX200)+1,IF($S201="Win",0,N(AX200))),N(AX200))</f>
        <v>0</v>
      </c>
      <c r="AY201" s="56" t="str">
        <f>IF($AS201=1,COUNTIF($AS$6:$AS201,1),"")</f>
        <v/>
      </c>
      <c r="AZ201" s="56">
        <f>MIN(195,N(Lists!$W$8))</f>
        <v>28</v>
      </c>
      <c r="BA201" s="56">
        <f>IF($AS201=1,IF(COUNTIFS($A$6:$A201,$A201,$AS$6:$AS201,1)=1,1,0),0)</f>
        <v>0</v>
      </c>
      <c r="BB201" s="55" t="str">
        <f>IF($BA201=1,SUMIFS($Q$6:$Q$1005,$A$6:$A$1005,$A201,$AS$6:$AS$1005,1),"")</f>
        <v/>
      </c>
      <c r="BC201" s="56">
        <f>IF(ISNUMBER($R201),1,0)</f>
        <v>0</v>
      </c>
      <c r="BD201" s="55" t="str">
        <f>IF(ISNUMBER($U201),$U201*$V201,"")</f>
        <v/>
      </c>
      <c r="BE201" s="56" t="str">
        <f>IF($AM201=0,"",IFERROR(MATCH($AF201&amp;"|"&amp;UPPER(TRIM($E201)),Lists!$A$6:$A$205,0),0))</f>
        <v/>
      </c>
      <c r="BF201" s="56" t="str">
        <f>IF($AM201=0,"",IFERROR(MATCH($AF201,Settings!$B$14:$B$18,0),IFERROR(MATCH(Settings!$C$6,Settings!$B$14:$B$18,0),1)))</f>
        <v/>
      </c>
      <c r="BG201" s="58" t="str">
        <f>IF($AM201=0,"",IF(NOT(ISNUMBER($I201)),"No stop; ","")&amp;IF(AND(ISNUMBER($H201),ISNUMBER($I201)),IF(OR(AND($F201&lt;&gt;"Short",$I201&gt;=$H201),AND($F201="Short",$I201&lt;=$H201)),"Stop on wrong side; ",""),"")&amp;IF($F201="","No direction; ","")&amp;IF(AND(ISNUMBER(Settings!$C$22),ISNUMBER($V201)),IF($V201&gt;Settings!$C$22,"Risk over max $; ",""),"")&amp;IF(AND(ISNUMBER(Settings!$C$23),ISNUMBER($V201),ISNUMBER($AP201),IFERROR(N(INDEX(Accounts!$E$7:$E$16,MATCH($C201,Accounts!$B$7:$B$16,0))),0)&gt;0),IF($V201&gt;Settings!$C$23*($AP201-N($Q201)),"Risk over max %; ",""),"")&amp;IF(AND(ISNUMBER(Settings!$C$24),ISNUMBER($N201)),IF($N201&gt;Settings!$C$24,"Leverage over max; ",""),"")&amp;IF(AND(ISNUMBER(Settings!$C$27),ISNUMBER($T201)),IF($T201&lt;Settings!$C$27,"R:R below min; ",""),"")&amp;IF(ISNUMBER(Settings!$C$25),IF(COUNTIFS($A$6:$A201,$A201,$AM$6:$AM201,1)&gt;Settings!$C$25,"Over max trades/day; ",""),"")&amp;IF(ISNUMBER(Settings!$C$26),IF(SUMIFS($Q$5:$Q200,$A$5:$A200,$A201)&lt;=-Settings!$C$26,"Traded after daily max loss; ",""),"")&amp;IF(AND($AG201="",NOT(ISNUMBER($O201))),"Symbol not in Instruments; ","")&amp;IF(AND($AH201="",NOT(ISNUMBER($O201))),"Forex cross: type Gross P&amp;L; ",""))</f>
        <v/>
      </c>
      <c r="BH201" s="56">
        <f>IF(ISNUMBER($Q201),1,0)</f>
        <v>0</v>
      </c>
      <c r="BI201" s="56">
        <f>IF($Y201="",0,1)</f>
        <v>0</v>
      </c>
      <c r="BJ201" s="56">
        <f>IF($AB201="",0,1)</f>
        <v>0</v>
      </c>
      <c r="BK201" s="56">
        <f>IF(AND($BH201=1,$W201&lt;&gt;"OK"),1,0)</f>
        <v>0</v>
      </c>
      <c r="BL201" s="55">
        <f>IF(N($AZ201)=0,0,IFERROR(INDEX($AT$6:$AT$1005,MATCH($AZ201,$AY$6:$AY$1005,0)),0))</f>
        <v>1187.10688</v>
      </c>
      <c r="BM201" s="56">
        <f>IF(ISNUMBER(SEARCH("daily max loss",$BG201)),1,0)</f>
        <v>0</v>
      </c>
    </row>
    <row r="202" ht="18" customHeight="1">
      <c r="A202" s="38" t="n"/>
      <c r="B202" s="39" t="n"/>
      <c r="C202" s="40" t="n"/>
      <c r="D202" s="41" t="n"/>
      <c r="E202" s="41" t="n"/>
      <c r="F202" s="41" t="n"/>
      <c r="G202" s="41" t="n"/>
      <c r="H202" s="42" t="n"/>
      <c r="I202" s="42" t="n"/>
      <c r="J202" s="42" t="n"/>
      <c r="K202" s="42" t="n"/>
      <c r="L202" s="41" t="n"/>
      <c r="M202" s="41" t="n"/>
      <c r="N202" s="41" t="n"/>
      <c r="O202" s="43" t="n"/>
      <c r="P202" s="43" t="n"/>
      <c r="Q202" s="44" t="str">
        <f>IF($AM202=0,"",IF(ISNUMBER($AK202),$AK202-N($AL202),""))</f>
        <v/>
      </c>
      <c r="R202" s="45" t="str">
        <f>IF(OR($Q202="",NOT(ISNUMBER($V202))),"",$AK202/$V202)</f>
        <v/>
      </c>
      <c r="S202" s="46" t="str">
        <f>IF($Q202="","",IF(AND(ISNUMBER($R202),ABS(N($R202))&lt;N(Settings!$C$8)),"Scratch",IF($Q202&gt;0,"Win",IF($Q202&lt;0,"Loss","Scratch"))))</f>
        <v/>
      </c>
      <c r="T202" s="47" t="str">
        <f>IF(OR($AM202=0,NOT(ISNUMBER($H202)),NOT(ISNUMBER($I202)),NOT(ISNUMBER($J202))),"",IF($H202=$I202,"",ROUND(ABS($J202-$H202)/ABS($H202-$I202),6)))</f>
        <v/>
      </c>
      <c r="U202" s="48" t="str">
        <f>IF(OR($S202&lt;&gt;"Win",NOT(ISNUMBER($T202)),NOT(ISNUMBER($R202))),"",MAX(0,$T202-$R202))</f>
        <v/>
      </c>
      <c r="V202" s="49" t="str">
        <f>IF(OR($AM202=0,NOT(ISNUMBER($H202)),NOT(ISNUMBER($I202)),NOT(ISNUMBER($G202))),"",IF(OR($AG202="",$AH202=""),"",IF(ROUND(ABS($H202-$I202)*ABS($G202)*$AG202*$AH202,6)=0,"",ROUND(ABS($H202-$I202)*ABS($G202)*$AG202*$AH202,6))))</f>
        <v/>
      </c>
      <c r="W202" s="50" t="str">
        <f>IF($AM202=0,"",IF($BG202="","OK",LEFT($BG202,LEN($BG202)-2)))</f>
        <v/>
      </c>
      <c r="X202" s="41" t="n"/>
      <c r="Y202" s="40" t="n"/>
      <c r="Z202" s="41" t="n"/>
      <c r="AA202" s="41" t="n"/>
      <c r="AB202" s="40" t="n"/>
      <c r="AC202" s="51" t="n"/>
      <c r="AD202" s="51" t="n"/>
      <c r="AE202" s="40" t="n"/>
      <c r="AF202" s="52" t="str">
        <f>IF($AM202=0,"",IF($D202&lt;&gt;"",$D202,IF(IFERROR(INDEX(Accounts!$C$7:$C$16,MATCH($C202,Accounts!$B$7:$B$16,0))&amp;"","")&lt;&gt;"",INDEX(Accounts!$C$7:$C$16,MATCH($C202,Accounts!$B$7:$B$16,0)),Settings!$C$6)))</f>
        <v/>
      </c>
      <c r="AG202" s="53" t="str">
        <f>IF($AM202=0,"",IF(AND($BE202&gt;0,N(INDEX(Instruments!$D$6:$D$205,MAX(1,$BE202)))&gt;0),INDEX(Instruments!$D$6:$D$205,MAX(1,$BE202)),IF(N(INDEX(Settings!$D$14:$D$18,$BF202))&gt;0,INDEX(Settings!$D$14:$D$18,$BF202),"")))</f>
        <v/>
      </c>
      <c r="AH202" s="54" t="str">
        <f>IF($AM202=0,"",IF($AF202&lt;&gt;"Forex",1,IF(MID(UPPER(SUBSTITUTE(TRIM($E202),"/","")),4,3)=UPPER(TRIM(Settings!$C$7)),1,IF(LEFT(UPPER(SUBSTITUTE(TRIM($E202),"/","")),3)=UPPER(TRIM(Settings!$C$7)),IF(AND(ISNUMBER($K202),N($K202)&lt;&gt;0),1/$K202,""),""))))</f>
        <v/>
      </c>
      <c r="AI202" s="55" t="str">
        <f>IF($AM202=0,"",IF(OR(NOT(ISNUMBER($H202)),NOT(ISNUMBER($K202)),NOT(ISNUMBER($G202)),$AG202="",$AH202=""),"",ROUND(($K202-$H202)*IF($F202="Short",-1,1)*$G202*$AG202*$AH202,6)))</f>
        <v/>
      </c>
      <c r="AJ202" s="55" t="str">
        <f>IF($AM202=0,"",IF(INDEX(Settings!$E$14:$E$18,$BF202)="% of notional",IF(OR($AG202="",NOT(ISNUMBER($H202)),NOT(ISNUMBER($G202))),"",ROUND(ABS($H202*$G202*$AG202*N($AH202))*IF($L202="Limit",N(INDEX(Settings!$G$14:$G$18,$BF202)),N(INDEX(Settings!$H$14:$H$18,$BF202)))+IF(ISNUMBER($K202),ABS($K202*$G202*$AG202*N($AH202))*IF($M202="Target",N(INDEX(Settings!$G$14:$G$18,$BF202)),N(INDEX(Settings!$H$14:$H$18,$BF202))),0),6)),IF(NOT(ISNUMBER($G202)),"",ROUND(ABS($G202)*2*IF(AND($BE202&gt;0,ISNUMBER(INDEX(Instruments!$G$6:$G$205,MAX(1,$BE202)))),INDEX(Instruments!$G$6:$G$205,MAX(1,$BE202)),N(INDEX(Settings!$F$14:$F$18,$BF202))),6))))</f>
        <v/>
      </c>
      <c r="AK202" s="55" t="str">
        <f>IF($AM202=0,"",IF(ISNUMBER($O202),$O202,$AI202))</f>
        <v/>
      </c>
      <c r="AL202" s="55" t="str">
        <f>IF($AM202=0,"",IF(ISNUMBER($P202),$P202,N($AJ202)))</f>
        <v/>
      </c>
      <c r="AM202" s="56">
        <f>IF(AND($A202&lt;&gt;"",$E202&lt;&gt;"",OR(AND(ISNUMBER($G202),ISNUMBER($H202),ISNUMBER($K202)),ISNUMBER($O202))),1,0)</f>
        <v>0</v>
      </c>
      <c r="AN202" s="57" t="str">
        <f>IF($A202="","",$A202-WEEKDAY($A202,3))</f>
        <v/>
      </c>
      <c r="AO202" s="56" t="str">
        <f>IF($A202="","",WEEKDAY($A202,2))</f>
        <v/>
      </c>
      <c r="AP202" s="55" t="str">
        <f>IF(OR($AM202=0,$C202=""),"",IFERROR(N(INDEX(Accounts!$E$7:$E$16,MATCH($C202,Accounts!$B$7:$B$16,0))),0)+SUMIFS($Q$6:$Q202,$C$6:$C202,$C202))</f>
        <v/>
      </c>
      <c r="AQ202" s="55" t="str">
        <f>IF(OR($AM202=0,$C202=""),"",SUMIFS($Q$6:$Q$1005,$C$6:$C$1005,$C202,$A$6:$A$1005,$A202))</f>
        <v/>
      </c>
      <c r="AR202" s="55" t="str">
        <f>IF(OR($AM202=0,$C202=""),"",IFERROR(N(INDEX(Accounts!$E$7:$E$16,MATCH($C202,Accounts!$B$7:$B$16,0))),0)+SUMIFS($Q$6:$Q$1005,$C$6:$C$1005,$C202,$A$6:$A$1005,"&lt;="&amp;$A202))</f>
        <v/>
      </c>
      <c r="AS202" s="56">
        <f>IF(OR($AM202=0,$Q202=""),0,IF(AND($A202&gt;=Lists!$W$6,$A202&lt;=Lists!$W$7,OR(Dashboard!$D$6="All accounts",$C202=Dashboard!$D$6),OR(Dashboard!$D$7="All markets",$AF202=Dashboard!$D$7)),1,0))</f>
        <v>0</v>
      </c>
      <c r="AT202" s="55">
        <f>IF($AS202=1,N(AT201)+$Q202,N(AT201))</f>
        <v>1187.10688</v>
      </c>
      <c r="AU202" s="55">
        <f>MAX(N(AU201),$AT202)</f>
        <v>1187.10688</v>
      </c>
      <c r="AV202" s="55">
        <f>$AT202-$AU202</f>
        <v>0</v>
      </c>
      <c r="AW202" s="56">
        <f>IF($AS202=1,IF($S202="Win",N(AW201)+1,IF($S202="Loss",0,N(AW201))),N(AW201))</f>
        <v>5</v>
      </c>
      <c r="AX202" s="56">
        <f>IF($AS202=1,IF($S202="Loss",N(AX201)+1,IF($S202="Win",0,N(AX201))),N(AX201))</f>
        <v>0</v>
      </c>
      <c r="AY202" s="56" t="str">
        <f>IF($AS202=1,COUNTIF($AS$6:$AS202,1),"")</f>
        <v/>
      </c>
      <c r="AZ202" s="56">
        <f>MIN(196,N(Lists!$W$8))</f>
        <v>28</v>
      </c>
      <c r="BA202" s="56">
        <f>IF($AS202=1,IF(COUNTIFS($A$6:$A202,$A202,$AS$6:$AS202,1)=1,1,0),0)</f>
        <v>0</v>
      </c>
      <c r="BB202" s="55" t="str">
        <f>IF($BA202=1,SUMIFS($Q$6:$Q$1005,$A$6:$A$1005,$A202,$AS$6:$AS$1005,1),"")</f>
        <v/>
      </c>
      <c r="BC202" s="56">
        <f>IF(ISNUMBER($R202),1,0)</f>
        <v>0</v>
      </c>
      <c r="BD202" s="55" t="str">
        <f>IF(ISNUMBER($U202),$U202*$V202,"")</f>
        <v/>
      </c>
      <c r="BE202" s="56" t="str">
        <f>IF($AM202=0,"",IFERROR(MATCH($AF202&amp;"|"&amp;UPPER(TRIM($E202)),Lists!$A$6:$A$205,0),0))</f>
        <v/>
      </c>
      <c r="BF202" s="56" t="str">
        <f>IF($AM202=0,"",IFERROR(MATCH($AF202,Settings!$B$14:$B$18,0),IFERROR(MATCH(Settings!$C$6,Settings!$B$14:$B$18,0),1)))</f>
        <v/>
      </c>
      <c r="BG202" s="58" t="str">
        <f>IF($AM202=0,"",IF(NOT(ISNUMBER($I202)),"No stop; ","")&amp;IF(AND(ISNUMBER($H202),ISNUMBER($I202)),IF(OR(AND($F202&lt;&gt;"Short",$I202&gt;=$H202),AND($F202="Short",$I202&lt;=$H202)),"Stop on wrong side; ",""),"")&amp;IF($F202="","No direction; ","")&amp;IF(AND(ISNUMBER(Settings!$C$22),ISNUMBER($V202)),IF($V202&gt;Settings!$C$22,"Risk over max $; ",""),"")&amp;IF(AND(ISNUMBER(Settings!$C$23),ISNUMBER($V202),ISNUMBER($AP202),IFERROR(N(INDEX(Accounts!$E$7:$E$16,MATCH($C202,Accounts!$B$7:$B$16,0))),0)&gt;0),IF($V202&gt;Settings!$C$23*($AP202-N($Q202)),"Risk over max %; ",""),"")&amp;IF(AND(ISNUMBER(Settings!$C$24),ISNUMBER($N202)),IF($N202&gt;Settings!$C$24,"Leverage over max; ",""),"")&amp;IF(AND(ISNUMBER(Settings!$C$27),ISNUMBER($T202)),IF($T202&lt;Settings!$C$27,"R:R below min; ",""),"")&amp;IF(ISNUMBER(Settings!$C$25),IF(COUNTIFS($A$6:$A202,$A202,$AM$6:$AM202,1)&gt;Settings!$C$25,"Over max trades/day; ",""),"")&amp;IF(ISNUMBER(Settings!$C$26),IF(SUMIFS($Q$5:$Q201,$A$5:$A201,$A202)&lt;=-Settings!$C$26,"Traded after daily max loss; ",""),"")&amp;IF(AND($AG202="",NOT(ISNUMBER($O202))),"Symbol not in Instruments; ","")&amp;IF(AND($AH202="",NOT(ISNUMBER($O202))),"Forex cross: type Gross P&amp;L; ",""))</f>
        <v/>
      </c>
      <c r="BH202" s="56">
        <f>IF(ISNUMBER($Q202),1,0)</f>
        <v>0</v>
      </c>
      <c r="BI202" s="56">
        <f>IF($Y202="",0,1)</f>
        <v>0</v>
      </c>
      <c r="BJ202" s="56">
        <f>IF($AB202="",0,1)</f>
        <v>0</v>
      </c>
      <c r="BK202" s="56">
        <f>IF(AND($BH202=1,$W202&lt;&gt;"OK"),1,0)</f>
        <v>0</v>
      </c>
      <c r="BL202" s="55">
        <f>IF(N($AZ202)=0,0,IFERROR(INDEX($AT$6:$AT$1005,MATCH($AZ202,$AY$6:$AY$1005,0)),0))</f>
        <v>1187.10688</v>
      </c>
      <c r="BM202" s="56">
        <f>IF(ISNUMBER(SEARCH("daily max loss",$BG202)),1,0)</f>
        <v>0</v>
      </c>
    </row>
    <row r="203" ht="18" customHeight="1">
      <c r="A203" s="38" t="n"/>
      <c r="B203" s="39" t="n"/>
      <c r="C203" s="40" t="n"/>
      <c r="D203" s="41" t="n"/>
      <c r="E203" s="41" t="n"/>
      <c r="F203" s="41" t="n"/>
      <c r="G203" s="41" t="n"/>
      <c r="H203" s="42" t="n"/>
      <c r="I203" s="42" t="n"/>
      <c r="J203" s="42" t="n"/>
      <c r="K203" s="42" t="n"/>
      <c r="L203" s="41" t="n"/>
      <c r="M203" s="41" t="n"/>
      <c r="N203" s="41" t="n"/>
      <c r="O203" s="43" t="n"/>
      <c r="P203" s="43" t="n"/>
      <c r="Q203" s="44" t="str">
        <f>IF($AM203=0,"",IF(ISNUMBER($AK203),$AK203-N($AL203),""))</f>
        <v/>
      </c>
      <c r="R203" s="45" t="str">
        <f>IF(OR($Q203="",NOT(ISNUMBER($V203))),"",$AK203/$V203)</f>
        <v/>
      </c>
      <c r="S203" s="46" t="str">
        <f>IF($Q203="","",IF(AND(ISNUMBER($R203),ABS(N($R203))&lt;N(Settings!$C$8)),"Scratch",IF($Q203&gt;0,"Win",IF($Q203&lt;0,"Loss","Scratch"))))</f>
        <v/>
      </c>
      <c r="T203" s="47" t="str">
        <f>IF(OR($AM203=0,NOT(ISNUMBER($H203)),NOT(ISNUMBER($I203)),NOT(ISNUMBER($J203))),"",IF($H203=$I203,"",ROUND(ABS($J203-$H203)/ABS($H203-$I203),6)))</f>
        <v/>
      </c>
      <c r="U203" s="48" t="str">
        <f>IF(OR($S203&lt;&gt;"Win",NOT(ISNUMBER($T203)),NOT(ISNUMBER($R203))),"",MAX(0,$T203-$R203))</f>
        <v/>
      </c>
      <c r="V203" s="49" t="str">
        <f>IF(OR($AM203=0,NOT(ISNUMBER($H203)),NOT(ISNUMBER($I203)),NOT(ISNUMBER($G203))),"",IF(OR($AG203="",$AH203=""),"",IF(ROUND(ABS($H203-$I203)*ABS($G203)*$AG203*$AH203,6)=0,"",ROUND(ABS($H203-$I203)*ABS($G203)*$AG203*$AH203,6))))</f>
        <v/>
      </c>
      <c r="W203" s="50" t="str">
        <f>IF($AM203=0,"",IF($BG203="","OK",LEFT($BG203,LEN($BG203)-2)))</f>
        <v/>
      </c>
      <c r="X203" s="41" t="n"/>
      <c r="Y203" s="40" t="n"/>
      <c r="Z203" s="41" t="n"/>
      <c r="AA203" s="41" t="n"/>
      <c r="AB203" s="40" t="n"/>
      <c r="AC203" s="51" t="n"/>
      <c r="AD203" s="51" t="n"/>
      <c r="AE203" s="40" t="n"/>
      <c r="AF203" s="52" t="str">
        <f>IF($AM203=0,"",IF($D203&lt;&gt;"",$D203,IF(IFERROR(INDEX(Accounts!$C$7:$C$16,MATCH($C203,Accounts!$B$7:$B$16,0))&amp;"","")&lt;&gt;"",INDEX(Accounts!$C$7:$C$16,MATCH($C203,Accounts!$B$7:$B$16,0)),Settings!$C$6)))</f>
        <v/>
      </c>
      <c r="AG203" s="53" t="str">
        <f>IF($AM203=0,"",IF(AND($BE203&gt;0,N(INDEX(Instruments!$D$6:$D$205,MAX(1,$BE203)))&gt;0),INDEX(Instruments!$D$6:$D$205,MAX(1,$BE203)),IF(N(INDEX(Settings!$D$14:$D$18,$BF203))&gt;0,INDEX(Settings!$D$14:$D$18,$BF203),"")))</f>
        <v/>
      </c>
      <c r="AH203" s="54" t="str">
        <f>IF($AM203=0,"",IF($AF203&lt;&gt;"Forex",1,IF(MID(UPPER(SUBSTITUTE(TRIM($E203),"/","")),4,3)=UPPER(TRIM(Settings!$C$7)),1,IF(LEFT(UPPER(SUBSTITUTE(TRIM($E203),"/","")),3)=UPPER(TRIM(Settings!$C$7)),IF(AND(ISNUMBER($K203),N($K203)&lt;&gt;0),1/$K203,""),""))))</f>
        <v/>
      </c>
      <c r="AI203" s="55" t="str">
        <f>IF($AM203=0,"",IF(OR(NOT(ISNUMBER($H203)),NOT(ISNUMBER($K203)),NOT(ISNUMBER($G203)),$AG203="",$AH203=""),"",ROUND(($K203-$H203)*IF($F203="Short",-1,1)*$G203*$AG203*$AH203,6)))</f>
        <v/>
      </c>
      <c r="AJ203" s="55" t="str">
        <f>IF($AM203=0,"",IF(INDEX(Settings!$E$14:$E$18,$BF203)="% of notional",IF(OR($AG203="",NOT(ISNUMBER($H203)),NOT(ISNUMBER($G203))),"",ROUND(ABS($H203*$G203*$AG203*N($AH203))*IF($L203="Limit",N(INDEX(Settings!$G$14:$G$18,$BF203)),N(INDEX(Settings!$H$14:$H$18,$BF203)))+IF(ISNUMBER($K203),ABS($K203*$G203*$AG203*N($AH203))*IF($M203="Target",N(INDEX(Settings!$G$14:$G$18,$BF203)),N(INDEX(Settings!$H$14:$H$18,$BF203))),0),6)),IF(NOT(ISNUMBER($G203)),"",ROUND(ABS($G203)*2*IF(AND($BE203&gt;0,ISNUMBER(INDEX(Instruments!$G$6:$G$205,MAX(1,$BE203)))),INDEX(Instruments!$G$6:$G$205,MAX(1,$BE203)),N(INDEX(Settings!$F$14:$F$18,$BF203))),6))))</f>
        <v/>
      </c>
      <c r="AK203" s="55" t="str">
        <f>IF($AM203=0,"",IF(ISNUMBER($O203),$O203,$AI203))</f>
        <v/>
      </c>
      <c r="AL203" s="55" t="str">
        <f>IF($AM203=0,"",IF(ISNUMBER($P203),$P203,N($AJ203)))</f>
        <v/>
      </c>
      <c r="AM203" s="56">
        <f>IF(AND($A203&lt;&gt;"",$E203&lt;&gt;"",OR(AND(ISNUMBER($G203),ISNUMBER($H203),ISNUMBER($K203)),ISNUMBER($O203))),1,0)</f>
        <v>0</v>
      </c>
      <c r="AN203" s="57" t="str">
        <f>IF($A203="","",$A203-WEEKDAY($A203,3))</f>
        <v/>
      </c>
      <c r="AO203" s="56" t="str">
        <f>IF($A203="","",WEEKDAY($A203,2))</f>
        <v/>
      </c>
      <c r="AP203" s="55" t="str">
        <f>IF(OR($AM203=0,$C203=""),"",IFERROR(N(INDEX(Accounts!$E$7:$E$16,MATCH($C203,Accounts!$B$7:$B$16,0))),0)+SUMIFS($Q$6:$Q203,$C$6:$C203,$C203))</f>
        <v/>
      </c>
      <c r="AQ203" s="55" t="str">
        <f>IF(OR($AM203=0,$C203=""),"",SUMIFS($Q$6:$Q$1005,$C$6:$C$1005,$C203,$A$6:$A$1005,$A203))</f>
        <v/>
      </c>
      <c r="AR203" s="55" t="str">
        <f>IF(OR($AM203=0,$C203=""),"",IFERROR(N(INDEX(Accounts!$E$7:$E$16,MATCH($C203,Accounts!$B$7:$B$16,0))),0)+SUMIFS($Q$6:$Q$1005,$C$6:$C$1005,$C203,$A$6:$A$1005,"&lt;="&amp;$A203))</f>
        <v/>
      </c>
      <c r="AS203" s="56">
        <f>IF(OR($AM203=0,$Q203=""),0,IF(AND($A203&gt;=Lists!$W$6,$A203&lt;=Lists!$W$7,OR(Dashboard!$D$6="All accounts",$C203=Dashboard!$D$6),OR(Dashboard!$D$7="All markets",$AF203=Dashboard!$D$7)),1,0))</f>
        <v>0</v>
      </c>
      <c r="AT203" s="55">
        <f>IF($AS203=1,N(AT202)+$Q203,N(AT202))</f>
        <v>1187.10688</v>
      </c>
      <c r="AU203" s="55">
        <f>MAX(N(AU202),$AT203)</f>
        <v>1187.10688</v>
      </c>
      <c r="AV203" s="55">
        <f>$AT203-$AU203</f>
        <v>0</v>
      </c>
      <c r="AW203" s="56">
        <f>IF($AS203=1,IF($S203="Win",N(AW202)+1,IF($S203="Loss",0,N(AW202))),N(AW202))</f>
        <v>5</v>
      </c>
      <c r="AX203" s="56">
        <f>IF($AS203=1,IF($S203="Loss",N(AX202)+1,IF($S203="Win",0,N(AX202))),N(AX202))</f>
        <v>0</v>
      </c>
      <c r="AY203" s="56" t="str">
        <f>IF($AS203=1,COUNTIF($AS$6:$AS203,1),"")</f>
        <v/>
      </c>
      <c r="AZ203" s="56">
        <f>MIN(197,N(Lists!$W$8))</f>
        <v>28</v>
      </c>
      <c r="BA203" s="56">
        <f>IF($AS203=1,IF(COUNTIFS($A$6:$A203,$A203,$AS$6:$AS203,1)=1,1,0),0)</f>
        <v>0</v>
      </c>
      <c r="BB203" s="55" t="str">
        <f>IF($BA203=1,SUMIFS($Q$6:$Q$1005,$A$6:$A$1005,$A203,$AS$6:$AS$1005,1),"")</f>
        <v/>
      </c>
      <c r="BC203" s="56">
        <f>IF(ISNUMBER($R203),1,0)</f>
        <v>0</v>
      </c>
      <c r="BD203" s="55" t="str">
        <f>IF(ISNUMBER($U203),$U203*$V203,"")</f>
        <v/>
      </c>
      <c r="BE203" s="56" t="str">
        <f>IF($AM203=0,"",IFERROR(MATCH($AF203&amp;"|"&amp;UPPER(TRIM($E203)),Lists!$A$6:$A$205,0),0))</f>
        <v/>
      </c>
      <c r="BF203" s="56" t="str">
        <f>IF($AM203=0,"",IFERROR(MATCH($AF203,Settings!$B$14:$B$18,0),IFERROR(MATCH(Settings!$C$6,Settings!$B$14:$B$18,0),1)))</f>
        <v/>
      </c>
      <c r="BG203" s="58" t="str">
        <f>IF($AM203=0,"",IF(NOT(ISNUMBER($I203)),"No stop; ","")&amp;IF(AND(ISNUMBER($H203),ISNUMBER($I203)),IF(OR(AND($F203&lt;&gt;"Short",$I203&gt;=$H203),AND($F203="Short",$I203&lt;=$H203)),"Stop on wrong side; ",""),"")&amp;IF($F203="","No direction; ","")&amp;IF(AND(ISNUMBER(Settings!$C$22),ISNUMBER($V203)),IF($V203&gt;Settings!$C$22,"Risk over max $; ",""),"")&amp;IF(AND(ISNUMBER(Settings!$C$23),ISNUMBER($V203),ISNUMBER($AP203),IFERROR(N(INDEX(Accounts!$E$7:$E$16,MATCH($C203,Accounts!$B$7:$B$16,0))),0)&gt;0),IF($V203&gt;Settings!$C$23*($AP203-N($Q203)),"Risk over max %; ",""),"")&amp;IF(AND(ISNUMBER(Settings!$C$24),ISNUMBER($N203)),IF($N203&gt;Settings!$C$24,"Leverage over max; ",""),"")&amp;IF(AND(ISNUMBER(Settings!$C$27),ISNUMBER($T203)),IF($T203&lt;Settings!$C$27,"R:R below min; ",""),"")&amp;IF(ISNUMBER(Settings!$C$25),IF(COUNTIFS($A$6:$A203,$A203,$AM$6:$AM203,1)&gt;Settings!$C$25,"Over max trades/day; ",""),"")&amp;IF(ISNUMBER(Settings!$C$26),IF(SUMIFS($Q$5:$Q202,$A$5:$A202,$A203)&lt;=-Settings!$C$26,"Traded after daily max loss; ",""),"")&amp;IF(AND($AG203="",NOT(ISNUMBER($O203))),"Symbol not in Instruments; ","")&amp;IF(AND($AH203="",NOT(ISNUMBER($O203))),"Forex cross: type Gross P&amp;L; ",""))</f>
        <v/>
      </c>
      <c r="BH203" s="56">
        <f>IF(ISNUMBER($Q203),1,0)</f>
        <v>0</v>
      </c>
      <c r="BI203" s="56">
        <f>IF($Y203="",0,1)</f>
        <v>0</v>
      </c>
      <c r="BJ203" s="56">
        <f>IF($AB203="",0,1)</f>
        <v>0</v>
      </c>
      <c r="BK203" s="56">
        <f>IF(AND($BH203=1,$W203&lt;&gt;"OK"),1,0)</f>
        <v>0</v>
      </c>
      <c r="BL203" s="55">
        <f>IF(N($AZ203)=0,0,IFERROR(INDEX($AT$6:$AT$1005,MATCH($AZ203,$AY$6:$AY$1005,0)),0))</f>
        <v>1187.10688</v>
      </c>
      <c r="BM203" s="56">
        <f>IF(ISNUMBER(SEARCH("daily max loss",$BG203)),1,0)</f>
        <v>0</v>
      </c>
    </row>
    <row r="204" ht="18" customHeight="1">
      <c r="A204" s="38" t="n"/>
      <c r="B204" s="39" t="n"/>
      <c r="C204" s="40" t="n"/>
      <c r="D204" s="41" t="n"/>
      <c r="E204" s="41" t="n"/>
      <c r="F204" s="41" t="n"/>
      <c r="G204" s="41" t="n"/>
      <c r="H204" s="42" t="n"/>
      <c r="I204" s="42" t="n"/>
      <c r="J204" s="42" t="n"/>
      <c r="K204" s="42" t="n"/>
      <c r="L204" s="41" t="n"/>
      <c r="M204" s="41" t="n"/>
      <c r="N204" s="41" t="n"/>
      <c r="O204" s="43" t="n"/>
      <c r="P204" s="43" t="n"/>
      <c r="Q204" s="44" t="str">
        <f>IF($AM204=0,"",IF(ISNUMBER($AK204),$AK204-N($AL204),""))</f>
        <v/>
      </c>
      <c r="R204" s="45" t="str">
        <f>IF(OR($Q204="",NOT(ISNUMBER($V204))),"",$AK204/$V204)</f>
        <v/>
      </c>
      <c r="S204" s="46" t="str">
        <f>IF($Q204="","",IF(AND(ISNUMBER($R204),ABS(N($R204))&lt;N(Settings!$C$8)),"Scratch",IF($Q204&gt;0,"Win",IF($Q204&lt;0,"Loss","Scratch"))))</f>
        <v/>
      </c>
      <c r="T204" s="47" t="str">
        <f>IF(OR($AM204=0,NOT(ISNUMBER($H204)),NOT(ISNUMBER($I204)),NOT(ISNUMBER($J204))),"",IF($H204=$I204,"",ROUND(ABS($J204-$H204)/ABS($H204-$I204),6)))</f>
        <v/>
      </c>
      <c r="U204" s="48" t="str">
        <f>IF(OR($S204&lt;&gt;"Win",NOT(ISNUMBER($T204)),NOT(ISNUMBER($R204))),"",MAX(0,$T204-$R204))</f>
        <v/>
      </c>
      <c r="V204" s="49" t="str">
        <f>IF(OR($AM204=0,NOT(ISNUMBER($H204)),NOT(ISNUMBER($I204)),NOT(ISNUMBER($G204))),"",IF(OR($AG204="",$AH204=""),"",IF(ROUND(ABS($H204-$I204)*ABS($G204)*$AG204*$AH204,6)=0,"",ROUND(ABS($H204-$I204)*ABS($G204)*$AG204*$AH204,6))))</f>
        <v/>
      </c>
      <c r="W204" s="50" t="str">
        <f>IF($AM204=0,"",IF($BG204="","OK",LEFT($BG204,LEN($BG204)-2)))</f>
        <v/>
      </c>
      <c r="X204" s="41" t="n"/>
      <c r="Y204" s="40" t="n"/>
      <c r="Z204" s="41" t="n"/>
      <c r="AA204" s="41" t="n"/>
      <c r="AB204" s="40" t="n"/>
      <c r="AC204" s="51" t="n"/>
      <c r="AD204" s="51" t="n"/>
      <c r="AE204" s="40" t="n"/>
      <c r="AF204" s="52" t="str">
        <f>IF($AM204=0,"",IF($D204&lt;&gt;"",$D204,IF(IFERROR(INDEX(Accounts!$C$7:$C$16,MATCH($C204,Accounts!$B$7:$B$16,0))&amp;"","")&lt;&gt;"",INDEX(Accounts!$C$7:$C$16,MATCH($C204,Accounts!$B$7:$B$16,0)),Settings!$C$6)))</f>
        <v/>
      </c>
      <c r="AG204" s="53" t="str">
        <f>IF($AM204=0,"",IF(AND($BE204&gt;0,N(INDEX(Instruments!$D$6:$D$205,MAX(1,$BE204)))&gt;0),INDEX(Instruments!$D$6:$D$205,MAX(1,$BE204)),IF(N(INDEX(Settings!$D$14:$D$18,$BF204))&gt;0,INDEX(Settings!$D$14:$D$18,$BF204),"")))</f>
        <v/>
      </c>
      <c r="AH204" s="54" t="str">
        <f>IF($AM204=0,"",IF($AF204&lt;&gt;"Forex",1,IF(MID(UPPER(SUBSTITUTE(TRIM($E204),"/","")),4,3)=UPPER(TRIM(Settings!$C$7)),1,IF(LEFT(UPPER(SUBSTITUTE(TRIM($E204),"/","")),3)=UPPER(TRIM(Settings!$C$7)),IF(AND(ISNUMBER($K204),N($K204)&lt;&gt;0),1/$K204,""),""))))</f>
        <v/>
      </c>
      <c r="AI204" s="55" t="str">
        <f>IF($AM204=0,"",IF(OR(NOT(ISNUMBER($H204)),NOT(ISNUMBER($K204)),NOT(ISNUMBER($G204)),$AG204="",$AH204=""),"",ROUND(($K204-$H204)*IF($F204="Short",-1,1)*$G204*$AG204*$AH204,6)))</f>
        <v/>
      </c>
      <c r="AJ204" s="55" t="str">
        <f>IF($AM204=0,"",IF(INDEX(Settings!$E$14:$E$18,$BF204)="% of notional",IF(OR($AG204="",NOT(ISNUMBER($H204)),NOT(ISNUMBER($G204))),"",ROUND(ABS($H204*$G204*$AG204*N($AH204))*IF($L204="Limit",N(INDEX(Settings!$G$14:$G$18,$BF204)),N(INDEX(Settings!$H$14:$H$18,$BF204)))+IF(ISNUMBER($K204),ABS($K204*$G204*$AG204*N($AH204))*IF($M204="Target",N(INDEX(Settings!$G$14:$G$18,$BF204)),N(INDEX(Settings!$H$14:$H$18,$BF204))),0),6)),IF(NOT(ISNUMBER($G204)),"",ROUND(ABS($G204)*2*IF(AND($BE204&gt;0,ISNUMBER(INDEX(Instruments!$G$6:$G$205,MAX(1,$BE204)))),INDEX(Instruments!$G$6:$G$205,MAX(1,$BE204)),N(INDEX(Settings!$F$14:$F$18,$BF204))),6))))</f>
        <v/>
      </c>
      <c r="AK204" s="55" t="str">
        <f>IF($AM204=0,"",IF(ISNUMBER($O204),$O204,$AI204))</f>
        <v/>
      </c>
      <c r="AL204" s="55" t="str">
        <f>IF($AM204=0,"",IF(ISNUMBER($P204),$P204,N($AJ204)))</f>
        <v/>
      </c>
      <c r="AM204" s="56">
        <f>IF(AND($A204&lt;&gt;"",$E204&lt;&gt;"",OR(AND(ISNUMBER($G204),ISNUMBER($H204),ISNUMBER($K204)),ISNUMBER($O204))),1,0)</f>
        <v>0</v>
      </c>
      <c r="AN204" s="57" t="str">
        <f>IF($A204="","",$A204-WEEKDAY($A204,3))</f>
        <v/>
      </c>
      <c r="AO204" s="56" t="str">
        <f>IF($A204="","",WEEKDAY($A204,2))</f>
        <v/>
      </c>
      <c r="AP204" s="55" t="str">
        <f>IF(OR($AM204=0,$C204=""),"",IFERROR(N(INDEX(Accounts!$E$7:$E$16,MATCH($C204,Accounts!$B$7:$B$16,0))),0)+SUMIFS($Q$6:$Q204,$C$6:$C204,$C204))</f>
        <v/>
      </c>
      <c r="AQ204" s="55" t="str">
        <f>IF(OR($AM204=0,$C204=""),"",SUMIFS($Q$6:$Q$1005,$C$6:$C$1005,$C204,$A$6:$A$1005,$A204))</f>
        <v/>
      </c>
      <c r="AR204" s="55" t="str">
        <f>IF(OR($AM204=0,$C204=""),"",IFERROR(N(INDEX(Accounts!$E$7:$E$16,MATCH($C204,Accounts!$B$7:$B$16,0))),0)+SUMIFS($Q$6:$Q$1005,$C$6:$C$1005,$C204,$A$6:$A$1005,"&lt;="&amp;$A204))</f>
        <v/>
      </c>
      <c r="AS204" s="56">
        <f>IF(OR($AM204=0,$Q204=""),0,IF(AND($A204&gt;=Lists!$W$6,$A204&lt;=Lists!$W$7,OR(Dashboard!$D$6="All accounts",$C204=Dashboard!$D$6),OR(Dashboard!$D$7="All markets",$AF204=Dashboard!$D$7)),1,0))</f>
        <v>0</v>
      </c>
      <c r="AT204" s="55">
        <f>IF($AS204=1,N(AT203)+$Q204,N(AT203))</f>
        <v>1187.10688</v>
      </c>
      <c r="AU204" s="55">
        <f>MAX(N(AU203),$AT204)</f>
        <v>1187.10688</v>
      </c>
      <c r="AV204" s="55">
        <f>$AT204-$AU204</f>
        <v>0</v>
      </c>
      <c r="AW204" s="56">
        <f>IF($AS204=1,IF($S204="Win",N(AW203)+1,IF($S204="Loss",0,N(AW203))),N(AW203))</f>
        <v>5</v>
      </c>
      <c r="AX204" s="56">
        <f>IF($AS204=1,IF($S204="Loss",N(AX203)+1,IF($S204="Win",0,N(AX203))),N(AX203))</f>
        <v>0</v>
      </c>
      <c r="AY204" s="56" t="str">
        <f>IF($AS204=1,COUNTIF($AS$6:$AS204,1),"")</f>
        <v/>
      </c>
      <c r="AZ204" s="56">
        <f>MIN(198,N(Lists!$W$8))</f>
        <v>28</v>
      </c>
      <c r="BA204" s="56">
        <f>IF($AS204=1,IF(COUNTIFS($A$6:$A204,$A204,$AS$6:$AS204,1)=1,1,0),0)</f>
        <v>0</v>
      </c>
      <c r="BB204" s="55" t="str">
        <f>IF($BA204=1,SUMIFS($Q$6:$Q$1005,$A$6:$A$1005,$A204,$AS$6:$AS$1005,1),"")</f>
        <v/>
      </c>
      <c r="BC204" s="56">
        <f>IF(ISNUMBER($R204),1,0)</f>
        <v>0</v>
      </c>
      <c r="BD204" s="55" t="str">
        <f>IF(ISNUMBER($U204),$U204*$V204,"")</f>
        <v/>
      </c>
      <c r="BE204" s="56" t="str">
        <f>IF($AM204=0,"",IFERROR(MATCH($AF204&amp;"|"&amp;UPPER(TRIM($E204)),Lists!$A$6:$A$205,0),0))</f>
        <v/>
      </c>
      <c r="BF204" s="56" t="str">
        <f>IF($AM204=0,"",IFERROR(MATCH($AF204,Settings!$B$14:$B$18,0),IFERROR(MATCH(Settings!$C$6,Settings!$B$14:$B$18,0),1)))</f>
        <v/>
      </c>
      <c r="BG204" s="58" t="str">
        <f>IF($AM204=0,"",IF(NOT(ISNUMBER($I204)),"No stop; ","")&amp;IF(AND(ISNUMBER($H204),ISNUMBER($I204)),IF(OR(AND($F204&lt;&gt;"Short",$I204&gt;=$H204),AND($F204="Short",$I204&lt;=$H204)),"Stop on wrong side; ",""),"")&amp;IF($F204="","No direction; ","")&amp;IF(AND(ISNUMBER(Settings!$C$22),ISNUMBER($V204)),IF($V204&gt;Settings!$C$22,"Risk over max $; ",""),"")&amp;IF(AND(ISNUMBER(Settings!$C$23),ISNUMBER($V204),ISNUMBER($AP204),IFERROR(N(INDEX(Accounts!$E$7:$E$16,MATCH($C204,Accounts!$B$7:$B$16,0))),0)&gt;0),IF($V204&gt;Settings!$C$23*($AP204-N($Q204)),"Risk over max %; ",""),"")&amp;IF(AND(ISNUMBER(Settings!$C$24),ISNUMBER($N204)),IF($N204&gt;Settings!$C$24,"Leverage over max; ",""),"")&amp;IF(AND(ISNUMBER(Settings!$C$27),ISNUMBER($T204)),IF($T204&lt;Settings!$C$27,"R:R below min; ",""),"")&amp;IF(ISNUMBER(Settings!$C$25),IF(COUNTIFS($A$6:$A204,$A204,$AM$6:$AM204,1)&gt;Settings!$C$25,"Over max trades/day; ",""),"")&amp;IF(ISNUMBER(Settings!$C$26),IF(SUMIFS($Q$5:$Q203,$A$5:$A203,$A204)&lt;=-Settings!$C$26,"Traded after daily max loss; ",""),"")&amp;IF(AND($AG204="",NOT(ISNUMBER($O204))),"Symbol not in Instruments; ","")&amp;IF(AND($AH204="",NOT(ISNUMBER($O204))),"Forex cross: type Gross P&amp;L; ",""))</f>
        <v/>
      </c>
      <c r="BH204" s="56">
        <f>IF(ISNUMBER($Q204),1,0)</f>
        <v>0</v>
      </c>
      <c r="BI204" s="56">
        <f>IF($Y204="",0,1)</f>
        <v>0</v>
      </c>
      <c r="BJ204" s="56">
        <f>IF($AB204="",0,1)</f>
        <v>0</v>
      </c>
      <c r="BK204" s="56">
        <f>IF(AND($BH204=1,$W204&lt;&gt;"OK"),1,0)</f>
        <v>0</v>
      </c>
      <c r="BL204" s="55">
        <f>IF(N($AZ204)=0,0,IFERROR(INDEX($AT$6:$AT$1005,MATCH($AZ204,$AY$6:$AY$1005,0)),0))</f>
        <v>1187.10688</v>
      </c>
      <c r="BM204" s="56">
        <f>IF(ISNUMBER(SEARCH("daily max loss",$BG204)),1,0)</f>
        <v>0</v>
      </c>
    </row>
    <row r="205" ht="18" customHeight="1">
      <c r="A205" s="38" t="n"/>
      <c r="B205" s="39" t="n"/>
      <c r="C205" s="40" t="n"/>
      <c r="D205" s="41" t="n"/>
      <c r="E205" s="41" t="n"/>
      <c r="F205" s="41" t="n"/>
      <c r="G205" s="41" t="n"/>
      <c r="H205" s="42" t="n"/>
      <c r="I205" s="42" t="n"/>
      <c r="J205" s="42" t="n"/>
      <c r="K205" s="42" t="n"/>
      <c r="L205" s="41" t="n"/>
      <c r="M205" s="41" t="n"/>
      <c r="N205" s="41" t="n"/>
      <c r="O205" s="43" t="n"/>
      <c r="P205" s="43" t="n"/>
      <c r="Q205" s="44" t="str">
        <f>IF($AM205=0,"",IF(ISNUMBER($AK205),$AK205-N($AL205),""))</f>
        <v/>
      </c>
      <c r="R205" s="45" t="str">
        <f>IF(OR($Q205="",NOT(ISNUMBER($V205))),"",$AK205/$V205)</f>
        <v/>
      </c>
      <c r="S205" s="46" t="str">
        <f>IF($Q205="","",IF(AND(ISNUMBER($R205),ABS(N($R205))&lt;N(Settings!$C$8)),"Scratch",IF($Q205&gt;0,"Win",IF($Q205&lt;0,"Loss","Scratch"))))</f>
        <v/>
      </c>
      <c r="T205" s="47" t="str">
        <f>IF(OR($AM205=0,NOT(ISNUMBER($H205)),NOT(ISNUMBER($I205)),NOT(ISNUMBER($J205))),"",IF($H205=$I205,"",ROUND(ABS($J205-$H205)/ABS($H205-$I205),6)))</f>
        <v/>
      </c>
      <c r="U205" s="48" t="str">
        <f>IF(OR($S205&lt;&gt;"Win",NOT(ISNUMBER($T205)),NOT(ISNUMBER($R205))),"",MAX(0,$T205-$R205))</f>
        <v/>
      </c>
      <c r="V205" s="49" t="str">
        <f>IF(OR($AM205=0,NOT(ISNUMBER($H205)),NOT(ISNUMBER($I205)),NOT(ISNUMBER($G205))),"",IF(OR($AG205="",$AH205=""),"",IF(ROUND(ABS($H205-$I205)*ABS($G205)*$AG205*$AH205,6)=0,"",ROUND(ABS($H205-$I205)*ABS($G205)*$AG205*$AH205,6))))</f>
        <v/>
      </c>
      <c r="W205" s="50" t="str">
        <f>IF($AM205=0,"",IF($BG205="","OK",LEFT($BG205,LEN($BG205)-2)))</f>
        <v/>
      </c>
      <c r="X205" s="41" t="n"/>
      <c r="Y205" s="40" t="n"/>
      <c r="Z205" s="41" t="n"/>
      <c r="AA205" s="41" t="n"/>
      <c r="AB205" s="40" t="n"/>
      <c r="AC205" s="51" t="n"/>
      <c r="AD205" s="51" t="n"/>
      <c r="AE205" s="40" t="n"/>
      <c r="AF205" s="52" t="str">
        <f>IF($AM205=0,"",IF($D205&lt;&gt;"",$D205,IF(IFERROR(INDEX(Accounts!$C$7:$C$16,MATCH($C205,Accounts!$B$7:$B$16,0))&amp;"","")&lt;&gt;"",INDEX(Accounts!$C$7:$C$16,MATCH($C205,Accounts!$B$7:$B$16,0)),Settings!$C$6)))</f>
        <v/>
      </c>
      <c r="AG205" s="53" t="str">
        <f>IF($AM205=0,"",IF(AND($BE205&gt;0,N(INDEX(Instruments!$D$6:$D$205,MAX(1,$BE205)))&gt;0),INDEX(Instruments!$D$6:$D$205,MAX(1,$BE205)),IF(N(INDEX(Settings!$D$14:$D$18,$BF205))&gt;0,INDEX(Settings!$D$14:$D$18,$BF205),"")))</f>
        <v/>
      </c>
      <c r="AH205" s="54" t="str">
        <f>IF($AM205=0,"",IF($AF205&lt;&gt;"Forex",1,IF(MID(UPPER(SUBSTITUTE(TRIM($E205),"/","")),4,3)=UPPER(TRIM(Settings!$C$7)),1,IF(LEFT(UPPER(SUBSTITUTE(TRIM($E205),"/","")),3)=UPPER(TRIM(Settings!$C$7)),IF(AND(ISNUMBER($K205),N($K205)&lt;&gt;0),1/$K205,""),""))))</f>
        <v/>
      </c>
      <c r="AI205" s="55" t="str">
        <f>IF($AM205=0,"",IF(OR(NOT(ISNUMBER($H205)),NOT(ISNUMBER($K205)),NOT(ISNUMBER($G205)),$AG205="",$AH205=""),"",ROUND(($K205-$H205)*IF($F205="Short",-1,1)*$G205*$AG205*$AH205,6)))</f>
        <v/>
      </c>
      <c r="AJ205" s="55" t="str">
        <f>IF($AM205=0,"",IF(INDEX(Settings!$E$14:$E$18,$BF205)="% of notional",IF(OR($AG205="",NOT(ISNUMBER($H205)),NOT(ISNUMBER($G205))),"",ROUND(ABS($H205*$G205*$AG205*N($AH205))*IF($L205="Limit",N(INDEX(Settings!$G$14:$G$18,$BF205)),N(INDEX(Settings!$H$14:$H$18,$BF205)))+IF(ISNUMBER($K205),ABS($K205*$G205*$AG205*N($AH205))*IF($M205="Target",N(INDEX(Settings!$G$14:$G$18,$BF205)),N(INDEX(Settings!$H$14:$H$18,$BF205))),0),6)),IF(NOT(ISNUMBER($G205)),"",ROUND(ABS($G205)*2*IF(AND($BE205&gt;0,ISNUMBER(INDEX(Instruments!$G$6:$G$205,MAX(1,$BE205)))),INDEX(Instruments!$G$6:$G$205,MAX(1,$BE205)),N(INDEX(Settings!$F$14:$F$18,$BF205))),6))))</f>
        <v/>
      </c>
      <c r="AK205" s="55" t="str">
        <f>IF($AM205=0,"",IF(ISNUMBER($O205),$O205,$AI205))</f>
        <v/>
      </c>
      <c r="AL205" s="55" t="str">
        <f>IF($AM205=0,"",IF(ISNUMBER($P205),$P205,N($AJ205)))</f>
        <v/>
      </c>
      <c r="AM205" s="56">
        <f>IF(AND($A205&lt;&gt;"",$E205&lt;&gt;"",OR(AND(ISNUMBER($G205),ISNUMBER($H205),ISNUMBER($K205)),ISNUMBER($O205))),1,0)</f>
        <v>0</v>
      </c>
      <c r="AN205" s="57" t="str">
        <f>IF($A205="","",$A205-WEEKDAY($A205,3))</f>
        <v/>
      </c>
      <c r="AO205" s="56" t="str">
        <f>IF($A205="","",WEEKDAY($A205,2))</f>
        <v/>
      </c>
      <c r="AP205" s="55" t="str">
        <f>IF(OR($AM205=0,$C205=""),"",IFERROR(N(INDEX(Accounts!$E$7:$E$16,MATCH($C205,Accounts!$B$7:$B$16,0))),0)+SUMIFS($Q$6:$Q205,$C$6:$C205,$C205))</f>
        <v/>
      </c>
      <c r="AQ205" s="55" t="str">
        <f>IF(OR($AM205=0,$C205=""),"",SUMIFS($Q$6:$Q$1005,$C$6:$C$1005,$C205,$A$6:$A$1005,$A205))</f>
        <v/>
      </c>
      <c r="AR205" s="55" t="str">
        <f>IF(OR($AM205=0,$C205=""),"",IFERROR(N(INDEX(Accounts!$E$7:$E$16,MATCH($C205,Accounts!$B$7:$B$16,0))),0)+SUMIFS($Q$6:$Q$1005,$C$6:$C$1005,$C205,$A$6:$A$1005,"&lt;="&amp;$A205))</f>
        <v/>
      </c>
      <c r="AS205" s="56">
        <f>IF(OR($AM205=0,$Q205=""),0,IF(AND($A205&gt;=Lists!$W$6,$A205&lt;=Lists!$W$7,OR(Dashboard!$D$6="All accounts",$C205=Dashboard!$D$6),OR(Dashboard!$D$7="All markets",$AF205=Dashboard!$D$7)),1,0))</f>
        <v>0</v>
      </c>
      <c r="AT205" s="55">
        <f>IF($AS205=1,N(AT204)+$Q205,N(AT204))</f>
        <v>1187.10688</v>
      </c>
      <c r="AU205" s="55">
        <f>MAX(N(AU204),$AT205)</f>
        <v>1187.10688</v>
      </c>
      <c r="AV205" s="55">
        <f>$AT205-$AU205</f>
        <v>0</v>
      </c>
      <c r="AW205" s="56">
        <f>IF($AS205=1,IF($S205="Win",N(AW204)+1,IF($S205="Loss",0,N(AW204))),N(AW204))</f>
        <v>5</v>
      </c>
      <c r="AX205" s="56">
        <f>IF($AS205=1,IF($S205="Loss",N(AX204)+1,IF($S205="Win",0,N(AX204))),N(AX204))</f>
        <v>0</v>
      </c>
      <c r="AY205" s="56" t="str">
        <f>IF($AS205=1,COUNTIF($AS$6:$AS205,1),"")</f>
        <v/>
      </c>
      <c r="AZ205" s="56">
        <f>MIN(199,N(Lists!$W$8))</f>
        <v>28</v>
      </c>
      <c r="BA205" s="56">
        <f>IF($AS205=1,IF(COUNTIFS($A$6:$A205,$A205,$AS$6:$AS205,1)=1,1,0),0)</f>
        <v>0</v>
      </c>
      <c r="BB205" s="55" t="str">
        <f>IF($BA205=1,SUMIFS($Q$6:$Q$1005,$A$6:$A$1005,$A205,$AS$6:$AS$1005,1),"")</f>
        <v/>
      </c>
      <c r="BC205" s="56">
        <f>IF(ISNUMBER($R205),1,0)</f>
        <v>0</v>
      </c>
      <c r="BD205" s="55" t="str">
        <f>IF(ISNUMBER($U205),$U205*$V205,"")</f>
        <v/>
      </c>
      <c r="BE205" s="56" t="str">
        <f>IF($AM205=0,"",IFERROR(MATCH($AF205&amp;"|"&amp;UPPER(TRIM($E205)),Lists!$A$6:$A$205,0),0))</f>
        <v/>
      </c>
      <c r="BF205" s="56" t="str">
        <f>IF($AM205=0,"",IFERROR(MATCH($AF205,Settings!$B$14:$B$18,0),IFERROR(MATCH(Settings!$C$6,Settings!$B$14:$B$18,0),1)))</f>
        <v/>
      </c>
      <c r="BG205" s="58" t="str">
        <f>IF($AM205=0,"",IF(NOT(ISNUMBER($I205)),"No stop; ","")&amp;IF(AND(ISNUMBER($H205),ISNUMBER($I205)),IF(OR(AND($F205&lt;&gt;"Short",$I205&gt;=$H205),AND($F205="Short",$I205&lt;=$H205)),"Stop on wrong side; ",""),"")&amp;IF($F205="","No direction; ","")&amp;IF(AND(ISNUMBER(Settings!$C$22),ISNUMBER($V205)),IF($V205&gt;Settings!$C$22,"Risk over max $; ",""),"")&amp;IF(AND(ISNUMBER(Settings!$C$23),ISNUMBER($V205),ISNUMBER($AP205),IFERROR(N(INDEX(Accounts!$E$7:$E$16,MATCH($C205,Accounts!$B$7:$B$16,0))),0)&gt;0),IF($V205&gt;Settings!$C$23*($AP205-N($Q205)),"Risk over max %; ",""),"")&amp;IF(AND(ISNUMBER(Settings!$C$24),ISNUMBER($N205)),IF($N205&gt;Settings!$C$24,"Leverage over max; ",""),"")&amp;IF(AND(ISNUMBER(Settings!$C$27),ISNUMBER($T205)),IF($T205&lt;Settings!$C$27,"R:R below min; ",""),"")&amp;IF(ISNUMBER(Settings!$C$25),IF(COUNTIFS($A$6:$A205,$A205,$AM$6:$AM205,1)&gt;Settings!$C$25,"Over max trades/day; ",""),"")&amp;IF(ISNUMBER(Settings!$C$26),IF(SUMIFS($Q$5:$Q204,$A$5:$A204,$A205)&lt;=-Settings!$C$26,"Traded after daily max loss; ",""),"")&amp;IF(AND($AG205="",NOT(ISNUMBER($O205))),"Symbol not in Instruments; ","")&amp;IF(AND($AH205="",NOT(ISNUMBER($O205))),"Forex cross: type Gross P&amp;L; ",""))</f>
        <v/>
      </c>
      <c r="BH205" s="56">
        <f>IF(ISNUMBER($Q205),1,0)</f>
        <v>0</v>
      </c>
      <c r="BI205" s="56">
        <f>IF($Y205="",0,1)</f>
        <v>0</v>
      </c>
      <c r="BJ205" s="56">
        <f>IF($AB205="",0,1)</f>
        <v>0</v>
      </c>
      <c r="BK205" s="56">
        <f>IF(AND($BH205=1,$W205&lt;&gt;"OK"),1,0)</f>
        <v>0</v>
      </c>
      <c r="BL205" s="55">
        <f>IF(N($AZ205)=0,0,IFERROR(INDEX($AT$6:$AT$1005,MATCH($AZ205,$AY$6:$AY$1005,0)),0))</f>
        <v>1187.10688</v>
      </c>
      <c r="BM205" s="56">
        <f>IF(ISNUMBER(SEARCH("daily max loss",$BG205)),1,0)</f>
        <v>0</v>
      </c>
    </row>
    <row r="206" ht="18" customHeight="1">
      <c r="A206" s="38" t="n"/>
      <c r="B206" s="39" t="n"/>
      <c r="C206" s="40" t="n"/>
      <c r="D206" s="41" t="n"/>
      <c r="E206" s="41" t="n"/>
      <c r="F206" s="41" t="n"/>
      <c r="G206" s="41" t="n"/>
      <c r="H206" s="42" t="n"/>
      <c r="I206" s="42" t="n"/>
      <c r="J206" s="42" t="n"/>
      <c r="K206" s="42" t="n"/>
      <c r="L206" s="41" t="n"/>
      <c r="M206" s="41" t="n"/>
      <c r="N206" s="41" t="n"/>
      <c r="O206" s="43" t="n"/>
      <c r="P206" s="43" t="n"/>
      <c r="Q206" s="44" t="str">
        <f>IF($AM206=0,"",IF(ISNUMBER($AK206),$AK206-N($AL206),""))</f>
        <v/>
      </c>
      <c r="R206" s="45" t="str">
        <f>IF(OR($Q206="",NOT(ISNUMBER($V206))),"",$AK206/$V206)</f>
        <v/>
      </c>
      <c r="S206" s="46" t="str">
        <f>IF($Q206="","",IF(AND(ISNUMBER($R206),ABS(N($R206))&lt;N(Settings!$C$8)),"Scratch",IF($Q206&gt;0,"Win",IF($Q206&lt;0,"Loss","Scratch"))))</f>
        <v/>
      </c>
      <c r="T206" s="47" t="str">
        <f>IF(OR($AM206=0,NOT(ISNUMBER($H206)),NOT(ISNUMBER($I206)),NOT(ISNUMBER($J206))),"",IF($H206=$I206,"",ROUND(ABS($J206-$H206)/ABS($H206-$I206),6)))</f>
        <v/>
      </c>
      <c r="U206" s="48" t="str">
        <f>IF(OR($S206&lt;&gt;"Win",NOT(ISNUMBER($T206)),NOT(ISNUMBER($R206))),"",MAX(0,$T206-$R206))</f>
        <v/>
      </c>
      <c r="V206" s="49" t="str">
        <f>IF(OR($AM206=0,NOT(ISNUMBER($H206)),NOT(ISNUMBER($I206)),NOT(ISNUMBER($G206))),"",IF(OR($AG206="",$AH206=""),"",IF(ROUND(ABS($H206-$I206)*ABS($G206)*$AG206*$AH206,6)=0,"",ROUND(ABS($H206-$I206)*ABS($G206)*$AG206*$AH206,6))))</f>
        <v/>
      </c>
      <c r="W206" s="50" t="str">
        <f>IF($AM206=0,"",IF($BG206="","OK",LEFT($BG206,LEN($BG206)-2)))</f>
        <v/>
      </c>
      <c r="X206" s="41" t="n"/>
      <c r="Y206" s="40" t="n"/>
      <c r="Z206" s="41" t="n"/>
      <c r="AA206" s="41" t="n"/>
      <c r="AB206" s="40" t="n"/>
      <c r="AC206" s="51" t="n"/>
      <c r="AD206" s="51" t="n"/>
      <c r="AE206" s="40" t="n"/>
      <c r="AF206" s="52" t="str">
        <f>IF($AM206=0,"",IF($D206&lt;&gt;"",$D206,IF(IFERROR(INDEX(Accounts!$C$7:$C$16,MATCH($C206,Accounts!$B$7:$B$16,0))&amp;"","")&lt;&gt;"",INDEX(Accounts!$C$7:$C$16,MATCH($C206,Accounts!$B$7:$B$16,0)),Settings!$C$6)))</f>
        <v/>
      </c>
      <c r="AG206" s="53" t="str">
        <f>IF($AM206=0,"",IF(AND($BE206&gt;0,N(INDEX(Instruments!$D$6:$D$205,MAX(1,$BE206)))&gt;0),INDEX(Instruments!$D$6:$D$205,MAX(1,$BE206)),IF(N(INDEX(Settings!$D$14:$D$18,$BF206))&gt;0,INDEX(Settings!$D$14:$D$18,$BF206),"")))</f>
        <v/>
      </c>
      <c r="AH206" s="54" t="str">
        <f>IF($AM206=0,"",IF($AF206&lt;&gt;"Forex",1,IF(MID(UPPER(SUBSTITUTE(TRIM($E206),"/","")),4,3)=UPPER(TRIM(Settings!$C$7)),1,IF(LEFT(UPPER(SUBSTITUTE(TRIM($E206),"/","")),3)=UPPER(TRIM(Settings!$C$7)),IF(AND(ISNUMBER($K206),N($K206)&lt;&gt;0),1/$K206,""),""))))</f>
        <v/>
      </c>
      <c r="AI206" s="55" t="str">
        <f>IF($AM206=0,"",IF(OR(NOT(ISNUMBER($H206)),NOT(ISNUMBER($K206)),NOT(ISNUMBER($G206)),$AG206="",$AH206=""),"",ROUND(($K206-$H206)*IF($F206="Short",-1,1)*$G206*$AG206*$AH206,6)))</f>
        <v/>
      </c>
      <c r="AJ206" s="55" t="str">
        <f>IF($AM206=0,"",IF(INDEX(Settings!$E$14:$E$18,$BF206)="% of notional",IF(OR($AG206="",NOT(ISNUMBER($H206)),NOT(ISNUMBER($G206))),"",ROUND(ABS($H206*$G206*$AG206*N($AH206))*IF($L206="Limit",N(INDEX(Settings!$G$14:$G$18,$BF206)),N(INDEX(Settings!$H$14:$H$18,$BF206)))+IF(ISNUMBER($K206),ABS($K206*$G206*$AG206*N($AH206))*IF($M206="Target",N(INDEX(Settings!$G$14:$G$18,$BF206)),N(INDEX(Settings!$H$14:$H$18,$BF206))),0),6)),IF(NOT(ISNUMBER($G206)),"",ROUND(ABS($G206)*2*IF(AND($BE206&gt;0,ISNUMBER(INDEX(Instruments!$G$6:$G$205,MAX(1,$BE206)))),INDEX(Instruments!$G$6:$G$205,MAX(1,$BE206)),N(INDEX(Settings!$F$14:$F$18,$BF206))),6))))</f>
        <v/>
      </c>
      <c r="AK206" s="55" t="str">
        <f>IF($AM206=0,"",IF(ISNUMBER($O206),$O206,$AI206))</f>
        <v/>
      </c>
      <c r="AL206" s="55" t="str">
        <f>IF($AM206=0,"",IF(ISNUMBER($P206),$P206,N($AJ206)))</f>
        <v/>
      </c>
      <c r="AM206" s="56">
        <f>IF(AND($A206&lt;&gt;"",$E206&lt;&gt;"",OR(AND(ISNUMBER($G206),ISNUMBER($H206),ISNUMBER($K206)),ISNUMBER($O206))),1,0)</f>
        <v>0</v>
      </c>
      <c r="AN206" s="57" t="str">
        <f>IF($A206="","",$A206-WEEKDAY($A206,3))</f>
        <v/>
      </c>
      <c r="AO206" s="56" t="str">
        <f>IF($A206="","",WEEKDAY($A206,2))</f>
        <v/>
      </c>
      <c r="AP206" s="55" t="str">
        <f>IF(OR($AM206=0,$C206=""),"",IFERROR(N(INDEX(Accounts!$E$7:$E$16,MATCH($C206,Accounts!$B$7:$B$16,0))),0)+SUMIFS($Q$6:$Q206,$C$6:$C206,$C206))</f>
        <v/>
      </c>
      <c r="AQ206" s="55" t="str">
        <f>IF(OR($AM206=0,$C206=""),"",SUMIFS($Q$6:$Q$1005,$C$6:$C$1005,$C206,$A$6:$A$1005,$A206))</f>
        <v/>
      </c>
      <c r="AR206" s="55" t="str">
        <f>IF(OR($AM206=0,$C206=""),"",IFERROR(N(INDEX(Accounts!$E$7:$E$16,MATCH($C206,Accounts!$B$7:$B$16,0))),0)+SUMIFS($Q$6:$Q$1005,$C$6:$C$1005,$C206,$A$6:$A$1005,"&lt;="&amp;$A206))</f>
        <v/>
      </c>
      <c r="AS206" s="56">
        <f>IF(OR($AM206=0,$Q206=""),0,IF(AND($A206&gt;=Lists!$W$6,$A206&lt;=Lists!$W$7,OR(Dashboard!$D$6="All accounts",$C206=Dashboard!$D$6),OR(Dashboard!$D$7="All markets",$AF206=Dashboard!$D$7)),1,0))</f>
        <v>0</v>
      </c>
      <c r="AT206" s="55">
        <f>IF($AS206=1,N(AT205)+$Q206,N(AT205))</f>
        <v>1187.10688</v>
      </c>
      <c r="AU206" s="55">
        <f>MAX(N(AU205),$AT206)</f>
        <v>1187.10688</v>
      </c>
      <c r="AV206" s="55">
        <f>$AT206-$AU206</f>
        <v>0</v>
      </c>
      <c r="AW206" s="56">
        <f>IF($AS206=1,IF($S206="Win",N(AW205)+1,IF($S206="Loss",0,N(AW205))),N(AW205))</f>
        <v>5</v>
      </c>
      <c r="AX206" s="56">
        <f>IF($AS206=1,IF($S206="Loss",N(AX205)+1,IF($S206="Win",0,N(AX205))),N(AX205))</f>
        <v>0</v>
      </c>
      <c r="AY206" s="56" t="str">
        <f>IF($AS206=1,COUNTIF($AS$6:$AS206,1),"")</f>
        <v/>
      </c>
      <c r="AZ206" s="56">
        <f>MIN(200,N(Lists!$W$8))</f>
        <v>28</v>
      </c>
      <c r="BA206" s="56">
        <f>IF($AS206=1,IF(COUNTIFS($A$6:$A206,$A206,$AS$6:$AS206,1)=1,1,0),0)</f>
        <v>0</v>
      </c>
      <c r="BB206" s="55" t="str">
        <f>IF($BA206=1,SUMIFS($Q$6:$Q$1005,$A$6:$A$1005,$A206,$AS$6:$AS$1005,1),"")</f>
        <v/>
      </c>
      <c r="BC206" s="56">
        <f>IF(ISNUMBER($R206),1,0)</f>
        <v>0</v>
      </c>
      <c r="BD206" s="55" t="str">
        <f>IF(ISNUMBER($U206),$U206*$V206,"")</f>
        <v/>
      </c>
      <c r="BE206" s="56" t="str">
        <f>IF($AM206=0,"",IFERROR(MATCH($AF206&amp;"|"&amp;UPPER(TRIM($E206)),Lists!$A$6:$A$205,0),0))</f>
        <v/>
      </c>
      <c r="BF206" s="56" t="str">
        <f>IF($AM206=0,"",IFERROR(MATCH($AF206,Settings!$B$14:$B$18,0),IFERROR(MATCH(Settings!$C$6,Settings!$B$14:$B$18,0),1)))</f>
        <v/>
      </c>
      <c r="BG206" s="58" t="str">
        <f>IF($AM206=0,"",IF(NOT(ISNUMBER($I206)),"No stop; ","")&amp;IF(AND(ISNUMBER($H206),ISNUMBER($I206)),IF(OR(AND($F206&lt;&gt;"Short",$I206&gt;=$H206),AND($F206="Short",$I206&lt;=$H206)),"Stop on wrong side; ",""),"")&amp;IF($F206="","No direction; ","")&amp;IF(AND(ISNUMBER(Settings!$C$22),ISNUMBER($V206)),IF($V206&gt;Settings!$C$22,"Risk over max $; ",""),"")&amp;IF(AND(ISNUMBER(Settings!$C$23),ISNUMBER($V206),ISNUMBER($AP206),IFERROR(N(INDEX(Accounts!$E$7:$E$16,MATCH($C206,Accounts!$B$7:$B$16,0))),0)&gt;0),IF($V206&gt;Settings!$C$23*($AP206-N($Q206)),"Risk over max %; ",""),"")&amp;IF(AND(ISNUMBER(Settings!$C$24),ISNUMBER($N206)),IF($N206&gt;Settings!$C$24,"Leverage over max; ",""),"")&amp;IF(AND(ISNUMBER(Settings!$C$27),ISNUMBER($T206)),IF($T206&lt;Settings!$C$27,"R:R below min; ",""),"")&amp;IF(ISNUMBER(Settings!$C$25),IF(COUNTIFS($A$6:$A206,$A206,$AM$6:$AM206,1)&gt;Settings!$C$25,"Over max trades/day; ",""),"")&amp;IF(ISNUMBER(Settings!$C$26),IF(SUMIFS($Q$5:$Q205,$A$5:$A205,$A206)&lt;=-Settings!$C$26,"Traded after daily max loss; ",""),"")&amp;IF(AND($AG206="",NOT(ISNUMBER($O206))),"Symbol not in Instruments; ","")&amp;IF(AND($AH206="",NOT(ISNUMBER($O206))),"Forex cross: type Gross P&amp;L; ",""))</f>
        <v/>
      </c>
      <c r="BH206" s="56">
        <f>IF(ISNUMBER($Q206),1,0)</f>
        <v>0</v>
      </c>
      <c r="BI206" s="56">
        <f>IF($Y206="",0,1)</f>
        <v>0</v>
      </c>
      <c r="BJ206" s="56">
        <f>IF($AB206="",0,1)</f>
        <v>0</v>
      </c>
      <c r="BK206" s="56">
        <f>IF(AND($BH206=1,$W206&lt;&gt;"OK"),1,0)</f>
        <v>0</v>
      </c>
      <c r="BL206" s="55">
        <f>IF(N($AZ206)=0,0,IFERROR(INDEX($AT$6:$AT$1005,MATCH($AZ206,$AY$6:$AY$1005,0)),0))</f>
        <v>1187.10688</v>
      </c>
      <c r="BM206" s="56">
        <f>IF(ISNUMBER(SEARCH("daily max loss",$BG206)),1,0)</f>
        <v>0</v>
      </c>
    </row>
    <row r="207" ht="18" customHeight="1">
      <c r="A207" s="38" t="n"/>
      <c r="B207" s="39" t="n"/>
      <c r="C207" s="40" t="n"/>
      <c r="D207" s="41" t="n"/>
      <c r="E207" s="41" t="n"/>
      <c r="F207" s="41" t="n"/>
      <c r="G207" s="41" t="n"/>
      <c r="H207" s="42" t="n"/>
      <c r="I207" s="42" t="n"/>
      <c r="J207" s="42" t="n"/>
      <c r="K207" s="42" t="n"/>
      <c r="L207" s="41" t="n"/>
      <c r="M207" s="41" t="n"/>
      <c r="N207" s="41" t="n"/>
      <c r="O207" s="43" t="n"/>
      <c r="P207" s="43" t="n"/>
      <c r="Q207" s="44" t="str">
        <f>IF($AM207=0,"",IF(ISNUMBER($AK207),$AK207-N($AL207),""))</f>
        <v/>
      </c>
      <c r="R207" s="45" t="str">
        <f>IF(OR($Q207="",NOT(ISNUMBER($V207))),"",$AK207/$V207)</f>
        <v/>
      </c>
      <c r="S207" s="46" t="str">
        <f>IF($Q207="","",IF(AND(ISNUMBER($R207),ABS(N($R207))&lt;N(Settings!$C$8)),"Scratch",IF($Q207&gt;0,"Win",IF($Q207&lt;0,"Loss","Scratch"))))</f>
        <v/>
      </c>
      <c r="T207" s="47" t="str">
        <f>IF(OR($AM207=0,NOT(ISNUMBER($H207)),NOT(ISNUMBER($I207)),NOT(ISNUMBER($J207))),"",IF($H207=$I207,"",ROUND(ABS($J207-$H207)/ABS($H207-$I207),6)))</f>
        <v/>
      </c>
      <c r="U207" s="48" t="str">
        <f>IF(OR($S207&lt;&gt;"Win",NOT(ISNUMBER($T207)),NOT(ISNUMBER($R207))),"",MAX(0,$T207-$R207))</f>
        <v/>
      </c>
      <c r="V207" s="49" t="str">
        <f>IF(OR($AM207=0,NOT(ISNUMBER($H207)),NOT(ISNUMBER($I207)),NOT(ISNUMBER($G207))),"",IF(OR($AG207="",$AH207=""),"",IF(ROUND(ABS($H207-$I207)*ABS($G207)*$AG207*$AH207,6)=0,"",ROUND(ABS($H207-$I207)*ABS($G207)*$AG207*$AH207,6))))</f>
        <v/>
      </c>
      <c r="W207" s="50" t="str">
        <f>IF($AM207=0,"",IF($BG207="","OK",LEFT($BG207,LEN($BG207)-2)))</f>
        <v/>
      </c>
      <c r="X207" s="41" t="n"/>
      <c r="Y207" s="40" t="n"/>
      <c r="Z207" s="41" t="n"/>
      <c r="AA207" s="41" t="n"/>
      <c r="AB207" s="40" t="n"/>
      <c r="AC207" s="51" t="n"/>
      <c r="AD207" s="51" t="n"/>
      <c r="AE207" s="40" t="n"/>
      <c r="AF207" s="52" t="str">
        <f>IF($AM207=0,"",IF($D207&lt;&gt;"",$D207,IF(IFERROR(INDEX(Accounts!$C$7:$C$16,MATCH($C207,Accounts!$B$7:$B$16,0))&amp;"","")&lt;&gt;"",INDEX(Accounts!$C$7:$C$16,MATCH($C207,Accounts!$B$7:$B$16,0)),Settings!$C$6)))</f>
        <v/>
      </c>
      <c r="AG207" s="53" t="str">
        <f>IF($AM207=0,"",IF(AND($BE207&gt;0,N(INDEX(Instruments!$D$6:$D$205,MAX(1,$BE207)))&gt;0),INDEX(Instruments!$D$6:$D$205,MAX(1,$BE207)),IF(N(INDEX(Settings!$D$14:$D$18,$BF207))&gt;0,INDEX(Settings!$D$14:$D$18,$BF207),"")))</f>
        <v/>
      </c>
      <c r="AH207" s="54" t="str">
        <f>IF($AM207=0,"",IF($AF207&lt;&gt;"Forex",1,IF(MID(UPPER(SUBSTITUTE(TRIM($E207),"/","")),4,3)=UPPER(TRIM(Settings!$C$7)),1,IF(LEFT(UPPER(SUBSTITUTE(TRIM($E207),"/","")),3)=UPPER(TRIM(Settings!$C$7)),IF(AND(ISNUMBER($K207),N($K207)&lt;&gt;0),1/$K207,""),""))))</f>
        <v/>
      </c>
      <c r="AI207" s="55" t="str">
        <f>IF($AM207=0,"",IF(OR(NOT(ISNUMBER($H207)),NOT(ISNUMBER($K207)),NOT(ISNUMBER($G207)),$AG207="",$AH207=""),"",ROUND(($K207-$H207)*IF($F207="Short",-1,1)*$G207*$AG207*$AH207,6)))</f>
        <v/>
      </c>
      <c r="AJ207" s="55" t="str">
        <f>IF($AM207=0,"",IF(INDEX(Settings!$E$14:$E$18,$BF207)="% of notional",IF(OR($AG207="",NOT(ISNUMBER($H207)),NOT(ISNUMBER($G207))),"",ROUND(ABS($H207*$G207*$AG207*N($AH207))*IF($L207="Limit",N(INDEX(Settings!$G$14:$G$18,$BF207)),N(INDEX(Settings!$H$14:$H$18,$BF207)))+IF(ISNUMBER($K207),ABS($K207*$G207*$AG207*N($AH207))*IF($M207="Target",N(INDEX(Settings!$G$14:$G$18,$BF207)),N(INDEX(Settings!$H$14:$H$18,$BF207))),0),6)),IF(NOT(ISNUMBER($G207)),"",ROUND(ABS($G207)*2*IF(AND($BE207&gt;0,ISNUMBER(INDEX(Instruments!$G$6:$G$205,MAX(1,$BE207)))),INDEX(Instruments!$G$6:$G$205,MAX(1,$BE207)),N(INDEX(Settings!$F$14:$F$18,$BF207))),6))))</f>
        <v/>
      </c>
      <c r="AK207" s="55" t="str">
        <f>IF($AM207=0,"",IF(ISNUMBER($O207),$O207,$AI207))</f>
        <v/>
      </c>
      <c r="AL207" s="55" t="str">
        <f>IF($AM207=0,"",IF(ISNUMBER($P207),$P207,N($AJ207)))</f>
        <v/>
      </c>
      <c r="AM207" s="56">
        <f>IF(AND($A207&lt;&gt;"",$E207&lt;&gt;"",OR(AND(ISNUMBER($G207),ISNUMBER($H207),ISNUMBER($K207)),ISNUMBER($O207))),1,0)</f>
        <v>0</v>
      </c>
      <c r="AN207" s="57" t="str">
        <f>IF($A207="","",$A207-WEEKDAY($A207,3))</f>
        <v/>
      </c>
      <c r="AO207" s="56" t="str">
        <f>IF($A207="","",WEEKDAY($A207,2))</f>
        <v/>
      </c>
      <c r="AP207" s="55" t="str">
        <f>IF(OR($AM207=0,$C207=""),"",IFERROR(N(INDEX(Accounts!$E$7:$E$16,MATCH($C207,Accounts!$B$7:$B$16,0))),0)+SUMIFS($Q$6:$Q207,$C$6:$C207,$C207))</f>
        <v/>
      </c>
      <c r="AQ207" s="55" t="str">
        <f>IF(OR($AM207=0,$C207=""),"",SUMIFS($Q$6:$Q$1005,$C$6:$C$1005,$C207,$A$6:$A$1005,$A207))</f>
        <v/>
      </c>
      <c r="AR207" s="55" t="str">
        <f>IF(OR($AM207=0,$C207=""),"",IFERROR(N(INDEX(Accounts!$E$7:$E$16,MATCH($C207,Accounts!$B$7:$B$16,0))),0)+SUMIFS($Q$6:$Q$1005,$C$6:$C$1005,$C207,$A$6:$A$1005,"&lt;="&amp;$A207))</f>
        <v/>
      </c>
      <c r="AS207" s="56">
        <f>IF(OR($AM207=0,$Q207=""),0,IF(AND($A207&gt;=Lists!$W$6,$A207&lt;=Lists!$W$7,OR(Dashboard!$D$6="All accounts",$C207=Dashboard!$D$6),OR(Dashboard!$D$7="All markets",$AF207=Dashboard!$D$7)),1,0))</f>
        <v>0</v>
      </c>
      <c r="AT207" s="55">
        <f>IF($AS207=1,N(AT206)+$Q207,N(AT206))</f>
        <v>1187.10688</v>
      </c>
      <c r="AU207" s="55">
        <f>MAX(N(AU206),$AT207)</f>
        <v>1187.10688</v>
      </c>
      <c r="AV207" s="55">
        <f>$AT207-$AU207</f>
        <v>0</v>
      </c>
      <c r="AW207" s="56">
        <f>IF($AS207=1,IF($S207="Win",N(AW206)+1,IF($S207="Loss",0,N(AW206))),N(AW206))</f>
        <v>5</v>
      </c>
      <c r="AX207" s="56">
        <f>IF($AS207=1,IF($S207="Loss",N(AX206)+1,IF($S207="Win",0,N(AX206))),N(AX206))</f>
        <v>0</v>
      </c>
      <c r="AY207" s="56" t="str">
        <f>IF($AS207=1,COUNTIF($AS$6:$AS207,1),"")</f>
        <v/>
      </c>
      <c r="AZ207" s="56">
        <f>MIN(201,N(Lists!$W$8))</f>
        <v>28</v>
      </c>
      <c r="BA207" s="56">
        <f>IF($AS207=1,IF(COUNTIFS($A$6:$A207,$A207,$AS$6:$AS207,1)=1,1,0),0)</f>
        <v>0</v>
      </c>
      <c r="BB207" s="55" t="str">
        <f>IF($BA207=1,SUMIFS($Q$6:$Q$1005,$A$6:$A$1005,$A207,$AS$6:$AS$1005,1),"")</f>
        <v/>
      </c>
      <c r="BC207" s="56">
        <f>IF(ISNUMBER($R207),1,0)</f>
        <v>0</v>
      </c>
      <c r="BD207" s="55" t="str">
        <f>IF(ISNUMBER($U207),$U207*$V207,"")</f>
        <v/>
      </c>
      <c r="BE207" s="56" t="str">
        <f>IF($AM207=0,"",IFERROR(MATCH($AF207&amp;"|"&amp;UPPER(TRIM($E207)),Lists!$A$6:$A$205,0),0))</f>
        <v/>
      </c>
      <c r="BF207" s="56" t="str">
        <f>IF($AM207=0,"",IFERROR(MATCH($AF207,Settings!$B$14:$B$18,0),IFERROR(MATCH(Settings!$C$6,Settings!$B$14:$B$18,0),1)))</f>
        <v/>
      </c>
      <c r="BG207" s="58" t="str">
        <f>IF($AM207=0,"",IF(NOT(ISNUMBER($I207)),"No stop; ","")&amp;IF(AND(ISNUMBER($H207),ISNUMBER($I207)),IF(OR(AND($F207&lt;&gt;"Short",$I207&gt;=$H207),AND($F207="Short",$I207&lt;=$H207)),"Stop on wrong side; ",""),"")&amp;IF($F207="","No direction; ","")&amp;IF(AND(ISNUMBER(Settings!$C$22),ISNUMBER($V207)),IF($V207&gt;Settings!$C$22,"Risk over max $; ",""),"")&amp;IF(AND(ISNUMBER(Settings!$C$23),ISNUMBER($V207),ISNUMBER($AP207),IFERROR(N(INDEX(Accounts!$E$7:$E$16,MATCH($C207,Accounts!$B$7:$B$16,0))),0)&gt;0),IF($V207&gt;Settings!$C$23*($AP207-N($Q207)),"Risk over max %; ",""),"")&amp;IF(AND(ISNUMBER(Settings!$C$24),ISNUMBER($N207)),IF($N207&gt;Settings!$C$24,"Leverage over max; ",""),"")&amp;IF(AND(ISNUMBER(Settings!$C$27),ISNUMBER($T207)),IF($T207&lt;Settings!$C$27,"R:R below min; ",""),"")&amp;IF(ISNUMBER(Settings!$C$25),IF(COUNTIFS($A$6:$A207,$A207,$AM$6:$AM207,1)&gt;Settings!$C$25,"Over max trades/day; ",""),"")&amp;IF(ISNUMBER(Settings!$C$26),IF(SUMIFS($Q$5:$Q206,$A$5:$A206,$A207)&lt;=-Settings!$C$26,"Traded after daily max loss; ",""),"")&amp;IF(AND($AG207="",NOT(ISNUMBER($O207))),"Symbol not in Instruments; ","")&amp;IF(AND($AH207="",NOT(ISNUMBER($O207))),"Forex cross: type Gross P&amp;L; ",""))</f>
        <v/>
      </c>
      <c r="BH207" s="56">
        <f>IF(ISNUMBER($Q207),1,0)</f>
        <v>0</v>
      </c>
      <c r="BI207" s="56">
        <f>IF($Y207="",0,1)</f>
        <v>0</v>
      </c>
      <c r="BJ207" s="56">
        <f>IF($AB207="",0,1)</f>
        <v>0</v>
      </c>
      <c r="BK207" s="56">
        <f>IF(AND($BH207=1,$W207&lt;&gt;"OK"),1,0)</f>
        <v>0</v>
      </c>
      <c r="BL207" s="55">
        <f>IF(N($AZ207)=0,0,IFERROR(INDEX($AT$6:$AT$1005,MATCH($AZ207,$AY$6:$AY$1005,0)),0))</f>
        <v>1187.10688</v>
      </c>
      <c r="BM207" s="56">
        <f>IF(ISNUMBER(SEARCH("daily max loss",$BG207)),1,0)</f>
        <v>0</v>
      </c>
    </row>
    <row r="208" ht="18" customHeight="1">
      <c r="A208" s="38" t="n"/>
      <c r="B208" s="39" t="n"/>
      <c r="C208" s="40" t="n"/>
      <c r="D208" s="41" t="n"/>
      <c r="E208" s="41" t="n"/>
      <c r="F208" s="41" t="n"/>
      <c r="G208" s="41" t="n"/>
      <c r="H208" s="42" t="n"/>
      <c r="I208" s="42" t="n"/>
      <c r="J208" s="42" t="n"/>
      <c r="K208" s="42" t="n"/>
      <c r="L208" s="41" t="n"/>
      <c r="M208" s="41" t="n"/>
      <c r="N208" s="41" t="n"/>
      <c r="O208" s="43" t="n"/>
      <c r="P208" s="43" t="n"/>
      <c r="Q208" s="44" t="str">
        <f>IF($AM208=0,"",IF(ISNUMBER($AK208),$AK208-N($AL208),""))</f>
        <v/>
      </c>
      <c r="R208" s="45" t="str">
        <f>IF(OR($Q208="",NOT(ISNUMBER($V208))),"",$AK208/$V208)</f>
        <v/>
      </c>
      <c r="S208" s="46" t="str">
        <f>IF($Q208="","",IF(AND(ISNUMBER($R208),ABS(N($R208))&lt;N(Settings!$C$8)),"Scratch",IF($Q208&gt;0,"Win",IF($Q208&lt;0,"Loss","Scratch"))))</f>
        <v/>
      </c>
      <c r="T208" s="47" t="str">
        <f>IF(OR($AM208=0,NOT(ISNUMBER($H208)),NOT(ISNUMBER($I208)),NOT(ISNUMBER($J208))),"",IF($H208=$I208,"",ROUND(ABS($J208-$H208)/ABS($H208-$I208),6)))</f>
        <v/>
      </c>
      <c r="U208" s="48" t="str">
        <f>IF(OR($S208&lt;&gt;"Win",NOT(ISNUMBER($T208)),NOT(ISNUMBER($R208))),"",MAX(0,$T208-$R208))</f>
        <v/>
      </c>
      <c r="V208" s="49" t="str">
        <f>IF(OR($AM208=0,NOT(ISNUMBER($H208)),NOT(ISNUMBER($I208)),NOT(ISNUMBER($G208))),"",IF(OR($AG208="",$AH208=""),"",IF(ROUND(ABS($H208-$I208)*ABS($G208)*$AG208*$AH208,6)=0,"",ROUND(ABS($H208-$I208)*ABS($G208)*$AG208*$AH208,6))))</f>
        <v/>
      </c>
      <c r="W208" s="50" t="str">
        <f>IF($AM208=0,"",IF($BG208="","OK",LEFT($BG208,LEN($BG208)-2)))</f>
        <v/>
      </c>
      <c r="X208" s="41" t="n"/>
      <c r="Y208" s="40" t="n"/>
      <c r="Z208" s="41" t="n"/>
      <c r="AA208" s="41" t="n"/>
      <c r="AB208" s="40" t="n"/>
      <c r="AC208" s="51" t="n"/>
      <c r="AD208" s="51" t="n"/>
      <c r="AE208" s="40" t="n"/>
      <c r="AF208" s="52" t="str">
        <f>IF($AM208=0,"",IF($D208&lt;&gt;"",$D208,IF(IFERROR(INDEX(Accounts!$C$7:$C$16,MATCH($C208,Accounts!$B$7:$B$16,0))&amp;"","")&lt;&gt;"",INDEX(Accounts!$C$7:$C$16,MATCH($C208,Accounts!$B$7:$B$16,0)),Settings!$C$6)))</f>
        <v/>
      </c>
      <c r="AG208" s="53" t="str">
        <f>IF($AM208=0,"",IF(AND($BE208&gt;0,N(INDEX(Instruments!$D$6:$D$205,MAX(1,$BE208)))&gt;0),INDEX(Instruments!$D$6:$D$205,MAX(1,$BE208)),IF(N(INDEX(Settings!$D$14:$D$18,$BF208))&gt;0,INDEX(Settings!$D$14:$D$18,$BF208),"")))</f>
        <v/>
      </c>
      <c r="AH208" s="54" t="str">
        <f>IF($AM208=0,"",IF($AF208&lt;&gt;"Forex",1,IF(MID(UPPER(SUBSTITUTE(TRIM($E208),"/","")),4,3)=UPPER(TRIM(Settings!$C$7)),1,IF(LEFT(UPPER(SUBSTITUTE(TRIM($E208),"/","")),3)=UPPER(TRIM(Settings!$C$7)),IF(AND(ISNUMBER($K208),N($K208)&lt;&gt;0),1/$K208,""),""))))</f>
        <v/>
      </c>
      <c r="AI208" s="55" t="str">
        <f>IF($AM208=0,"",IF(OR(NOT(ISNUMBER($H208)),NOT(ISNUMBER($K208)),NOT(ISNUMBER($G208)),$AG208="",$AH208=""),"",ROUND(($K208-$H208)*IF($F208="Short",-1,1)*$G208*$AG208*$AH208,6)))</f>
        <v/>
      </c>
      <c r="AJ208" s="55" t="str">
        <f>IF($AM208=0,"",IF(INDEX(Settings!$E$14:$E$18,$BF208)="% of notional",IF(OR($AG208="",NOT(ISNUMBER($H208)),NOT(ISNUMBER($G208))),"",ROUND(ABS($H208*$G208*$AG208*N($AH208))*IF($L208="Limit",N(INDEX(Settings!$G$14:$G$18,$BF208)),N(INDEX(Settings!$H$14:$H$18,$BF208)))+IF(ISNUMBER($K208),ABS($K208*$G208*$AG208*N($AH208))*IF($M208="Target",N(INDEX(Settings!$G$14:$G$18,$BF208)),N(INDEX(Settings!$H$14:$H$18,$BF208))),0),6)),IF(NOT(ISNUMBER($G208)),"",ROUND(ABS($G208)*2*IF(AND($BE208&gt;0,ISNUMBER(INDEX(Instruments!$G$6:$G$205,MAX(1,$BE208)))),INDEX(Instruments!$G$6:$G$205,MAX(1,$BE208)),N(INDEX(Settings!$F$14:$F$18,$BF208))),6))))</f>
        <v/>
      </c>
      <c r="AK208" s="55" t="str">
        <f>IF($AM208=0,"",IF(ISNUMBER($O208),$O208,$AI208))</f>
        <v/>
      </c>
      <c r="AL208" s="55" t="str">
        <f>IF($AM208=0,"",IF(ISNUMBER($P208),$P208,N($AJ208)))</f>
        <v/>
      </c>
      <c r="AM208" s="56">
        <f>IF(AND($A208&lt;&gt;"",$E208&lt;&gt;"",OR(AND(ISNUMBER($G208),ISNUMBER($H208),ISNUMBER($K208)),ISNUMBER($O208))),1,0)</f>
        <v>0</v>
      </c>
      <c r="AN208" s="57" t="str">
        <f>IF($A208="","",$A208-WEEKDAY($A208,3))</f>
        <v/>
      </c>
      <c r="AO208" s="56" t="str">
        <f>IF($A208="","",WEEKDAY($A208,2))</f>
        <v/>
      </c>
      <c r="AP208" s="55" t="str">
        <f>IF(OR($AM208=0,$C208=""),"",IFERROR(N(INDEX(Accounts!$E$7:$E$16,MATCH($C208,Accounts!$B$7:$B$16,0))),0)+SUMIFS($Q$6:$Q208,$C$6:$C208,$C208))</f>
        <v/>
      </c>
      <c r="AQ208" s="55" t="str">
        <f>IF(OR($AM208=0,$C208=""),"",SUMIFS($Q$6:$Q$1005,$C$6:$C$1005,$C208,$A$6:$A$1005,$A208))</f>
        <v/>
      </c>
      <c r="AR208" s="55" t="str">
        <f>IF(OR($AM208=0,$C208=""),"",IFERROR(N(INDEX(Accounts!$E$7:$E$16,MATCH($C208,Accounts!$B$7:$B$16,0))),0)+SUMIFS($Q$6:$Q$1005,$C$6:$C$1005,$C208,$A$6:$A$1005,"&lt;="&amp;$A208))</f>
        <v/>
      </c>
      <c r="AS208" s="56">
        <f>IF(OR($AM208=0,$Q208=""),0,IF(AND($A208&gt;=Lists!$W$6,$A208&lt;=Lists!$W$7,OR(Dashboard!$D$6="All accounts",$C208=Dashboard!$D$6),OR(Dashboard!$D$7="All markets",$AF208=Dashboard!$D$7)),1,0))</f>
        <v>0</v>
      </c>
      <c r="AT208" s="55">
        <f>IF($AS208=1,N(AT207)+$Q208,N(AT207))</f>
        <v>1187.10688</v>
      </c>
      <c r="AU208" s="55">
        <f>MAX(N(AU207),$AT208)</f>
        <v>1187.10688</v>
      </c>
      <c r="AV208" s="55">
        <f>$AT208-$AU208</f>
        <v>0</v>
      </c>
      <c r="AW208" s="56">
        <f>IF($AS208=1,IF($S208="Win",N(AW207)+1,IF($S208="Loss",0,N(AW207))),N(AW207))</f>
        <v>5</v>
      </c>
      <c r="AX208" s="56">
        <f>IF($AS208=1,IF($S208="Loss",N(AX207)+1,IF($S208="Win",0,N(AX207))),N(AX207))</f>
        <v>0</v>
      </c>
      <c r="AY208" s="56" t="str">
        <f>IF($AS208=1,COUNTIF($AS$6:$AS208,1),"")</f>
        <v/>
      </c>
      <c r="AZ208" s="56">
        <f>MIN(202,N(Lists!$W$8))</f>
        <v>28</v>
      </c>
      <c r="BA208" s="56">
        <f>IF($AS208=1,IF(COUNTIFS($A$6:$A208,$A208,$AS$6:$AS208,1)=1,1,0),0)</f>
        <v>0</v>
      </c>
      <c r="BB208" s="55" t="str">
        <f>IF($BA208=1,SUMIFS($Q$6:$Q$1005,$A$6:$A$1005,$A208,$AS$6:$AS$1005,1),"")</f>
        <v/>
      </c>
      <c r="BC208" s="56">
        <f>IF(ISNUMBER($R208),1,0)</f>
        <v>0</v>
      </c>
      <c r="BD208" s="55" t="str">
        <f>IF(ISNUMBER($U208),$U208*$V208,"")</f>
        <v/>
      </c>
      <c r="BE208" s="56" t="str">
        <f>IF($AM208=0,"",IFERROR(MATCH($AF208&amp;"|"&amp;UPPER(TRIM($E208)),Lists!$A$6:$A$205,0),0))</f>
        <v/>
      </c>
      <c r="BF208" s="56" t="str">
        <f>IF($AM208=0,"",IFERROR(MATCH($AF208,Settings!$B$14:$B$18,0),IFERROR(MATCH(Settings!$C$6,Settings!$B$14:$B$18,0),1)))</f>
        <v/>
      </c>
      <c r="BG208" s="58" t="str">
        <f>IF($AM208=0,"",IF(NOT(ISNUMBER($I208)),"No stop; ","")&amp;IF(AND(ISNUMBER($H208),ISNUMBER($I208)),IF(OR(AND($F208&lt;&gt;"Short",$I208&gt;=$H208),AND($F208="Short",$I208&lt;=$H208)),"Stop on wrong side; ",""),"")&amp;IF($F208="","No direction; ","")&amp;IF(AND(ISNUMBER(Settings!$C$22),ISNUMBER($V208)),IF($V208&gt;Settings!$C$22,"Risk over max $; ",""),"")&amp;IF(AND(ISNUMBER(Settings!$C$23),ISNUMBER($V208),ISNUMBER($AP208),IFERROR(N(INDEX(Accounts!$E$7:$E$16,MATCH($C208,Accounts!$B$7:$B$16,0))),0)&gt;0),IF($V208&gt;Settings!$C$23*($AP208-N($Q208)),"Risk over max %; ",""),"")&amp;IF(AND(ISNUMBER(Settings!$C$24),ISNUMBER($N208)),IF($N208&gt;Settings!$C$24,"Leverage over max; ",""),"")&amp;IF(AND(ISNUMBER(Settings!$C$27),ISNUMBER($T208)),IF($T208&lt;Settings!$C$27,"R:R below min; ",""),"")&amp;IF(ISNUMBER(Settings!$C$25),IF(COUNTIFS($A$6:$A208,$A208,$AM$6:$AM208,1)&gt;Settings!$C$25,"Over max trades/day; ",""),"")&amp;IF(ISNUMBER(Settings!$C$26),IF(SUMIFS($Q$5:$Q207,$A$5:$A207,$A208)&lt;=-Settings!$C$26,"Traded after daily max loss; ",""),"")&amp;IF(AND($AG208="",NOT(ISNUMBER($O208))),"Symbol not in Instruments; ","")&amp;IF(AND($AH208="",NOT(ISNUMBER($O208))),"Forex cross: type Gross P&amp;L; ",""))</f>
        <v/>
      </c>
      <c r="BH208" s="56">
        <f>IF(ISNUMBER($Q208),1,0)</f>
        <v>0</v>
      </c>
      <c r="BI208" s="56">
        <f>IF($Y208="",0,1)</f>
        <v>0</v>
      </c>
      <c r="BJ208" s="56">
        <f>IF($AB208="",0,1)</f>
        <v>0</v>
      </c>
      <c r="BK208" s="56">
        <f>IF(AND($BH208=1,$W208&lt;&gt;"OK"),1,0)</f>
        <v>0</v>
      </c>
      <c r="BL208" s="55">
        <f>IF(N($AZ208)=0,0,IFERROR(INDEX($AT$6:$AT$1005,MATCH($AZ208,$AY$6:$AY$1005,0)),0))</f>
        <v>1187.10688</v>
      </c>
      <c r="BM208" s="56">
        <f>IF(ISNUMBER(SEARCH("daily max loss",$BG208)),1,0)</f>
        <v>0</v>
      </c>
    </row>
    <row r="209" ht="18" customHeight="1">
      <c r="A209" s="38" t="n"/>
      <c r="B209" s="39" t="n"/>
      <c r="C209" s="40" t="n"/>
      <c r="D209" s="41" t="n"/>
      <c r="E209" s="41" t="n"/>
      <c r="F209" s="41" t="n"/>
      <c r="G209" s="41" t="n"/>
      <c r="H209" s="42" t="n"/>
      <c r="I209" s="42" t="n"/>
      <c r="J209" s="42" t="n"/>
      <c r="K209" s="42" t="n"/>
      <c r="L209" s="41" t="n"/>
      <c r="M209" s="41" t="n"/>
      <c r="N209" s="41" t="n"/>
      <c r="O209" s="43" t="n"/>
      <c r="P209" s="43" t="n"/>
      <c r="Q209" s="44" t="str">
        <f>IF($AM209=0,"",IF(ISNUMBER($AK209),$AK209-N($AL209),""))</f>
        <v/>
      </c>
      <c r="R209" s="45" t="str">
        <f>IF(OR($Q209="",NOT(ISNUMBER($V209))),"",$AK209/$V209)</f>
        <v/>
      </c>
      <c r="S209" s="46" t="str">
        <f>IF($Q209="","",IF(AND(ISNUMBER($R209),ABS(N($R209))&lt;N(Settings!$C$8)),"Scratch",IF($Q209&gt;0,"Win",IF($Q209&lt;0,"Loss","Scratch"))))</f>
        <v/>
      </c>
      <c r="T209" s="47" t="str">
        <f>IF(OR($AM209=0,NOT(ISNUMBER($H209)),NOT(ISNUMBER($I209)),NOT(ISNUMBER($J209))),"",IF($H209=$I209,"",ROUND(ABS($J209-$H209)/ABS($H209-$I209),6)))</f>
        <v/>
      </c>
      <c r="U209" s="48" t="str">
        <f>IF(OR($S209&lt;&gt;"Win",NOT(ISNUMBER($T209)),NOT(ISNUMBER($R209))),"",MAX(0,$T209-$R209))</f>
        <v/>
      </c>
      <c r="V209" s="49" t="str">
        <f>IF(OR($AM209=0,NOT(ISNUMBER($H209)),NOT(ISNUMBER($I209)),NOT(ISNUMBER($G209))),"",IF(OR($AG209="",$AH209=""),"",IF(ROUND(ABS($H209-$I209)*ABS($G209)*$AG209*$AH209,6)=0,"",ROUND(ABS($H209-$I209)*ABS($G209)*$AG209*$AH209,6))))</f>
        <v/>
      </c>
      <c r="W209" s="50" t="str">
        <f>IF($AM209=0,"",IF($BG209="","OK",LEFT($BG209,LEN($BG209)-2)))</f>
        <v/>
      </c>
      <c r="X209" s="41" t="n"/>
      <c r="Y209" s="40" t="n"/>
      <c r="Z209" s="41" t="n"/>
      <c r="AA209" s="41" t="n"/>
      <c r="AB209" s="40" t="n"/>
      <c r="AC209" s="51" t="n"/>
      <c r="AD209" s="51" t="n"/>
      <c r="AE209" s="40" t="n"/>
      <c r="AF209" s="52" t="str">
        <f>IF($AM209=0,"",IF($D209&lt;&gt;"",$D209,IF(IFERROR(INDEX(Accounts!$C$7:$C$16,MATCH($C209,Accounts!$B$7:$B$16,0))&amp;"","")&lt;&gt;"",INDEX(Accounts!$C$7:$C$16,MATCH($C209,Accounts!$B$7:$B$16,0)),Settings!$C$6)))</f>
        <v/>
      </c>
      <c r="AG209" s="53" t="str">
        <f>IF($AM209=0,"",IF(AND($BE209&gt;0,N(INDEX(Instruments!$D$6:$D$205,MAX(1,$BE209)))&gt;0),INDEX(Instruments!$D$6:$D$205,MAX(1,$BE209)),IF(N(INDEX(Settings!$D$14:$D$18,$BF209))&gt;0,INDEX(Settings!$D$14:$D$18,$BF209),"")))</f>
        <v/>
      </c>
      <c r="AH209" s="54" t="str">
        <f>IF($AM209=0,"",IF($AF209&lt;&gt;"Forex",1,IF(MID(UPPER(SUBSTITUTE(TRIM($E209),"/","")),4,3)=UPPER(TRIM(Settings!$C$7)),1,IF(LEFT(UPPER(SUBSTITUTE(TRIM($E209),"/","")),3)=UPPER(TRIM(Settings!$C$7)),IF(AND(ISNUMBER($K209),N($K209)&lt;&gt;0),1/$K209,""),""))))</f>
        <v/>
      </c>
      <c r="AI209" s="55" t="str">
        <f>IF($AM209=0,"",IF(OR(NOT(ISNUMBER($H209)),NOT(ISNUMBER($K209)),NOT(ISNUMBER($G209)),$AG209="",$AH209=""),"",ROUND(($K209-$H209)*IF($F209="Short",-1,1)*$G209*$AG209*$AH209,6)))</f>
        <v/>
      </c>
      <c r="AJ209" s="55" t="str">
        <f>IF($AM209=0,"",IF(INDEX(Settings!$E$14:$E$18,$BF209)="% of notional",IF(OR($AG209="",NOT(ISNUMBER($H209)),NOT(ISNUMBER($G209))),"",ROUND(ABS($H209*$G209*$AG209*N($AH209))*IF($L209="Limit",N(INDEX(Settings!$G$14:$G$18,$BF209)),N(INDEX(Settings!$H$14:$H$18,$BF209)))+IF(ISNUMBER($K209),ABS($K209*$G209*$AG209*N($AH209))*IF($M209="Target",N(INDEX(Settings!$G$14:$G$18,$BF209)),N(INDEX(Settings!$H$14:$H$18,$BF209))),0),6)),IF(NOT(ISNUMBER($G209)),"",ROUND(ABS($G209)*2*IF(AND($BE209&gt;0,ISNUMBER(INDEX(Instruments!$G$6:$G$205,MAX(1,$BE209)))),INDEX(Instruments!$G$6:$G$205,MAX(1,$BE209)),N(INDEX(Settings!$F$14:$F$18,$BF209))),6))))</f>
        <v/>
      </c>
      <c r="AK209" s="55" t="str">
        <f>IF($AM209=0,"",IF(ISNUMBER($O209),$O209,$AI209))</f>
        <v/>
      </c>
      <c r="AL209" s="55" t="str">
        <f>IF($AM209=0,"",IF(ISNUMBER($P209),$P209,N($AJ209)))</f>
        <v/>
      </c>
      <c r="AM209" s="56">
        <f>IF(AND($A209&lt;&gt;"",$E209&lt;&gt;"",OR(AND(ISNUMBER($G209),ISNUMBER($H209),ISNUMBER($K209)),ISNUMBER($O209))),1,0)</f>
        <v>0</v>
      </c>
      <c r="AN209" s="57" t="str">
        <f>IF($A209="","",$A209-WEEKDAY($A209,3))</f>
        <v/>
      </c>
      <c r="AO209" s="56" t="str">
        <f>IF($A209="","",WEEKDAY($A209,2))</f>
        <v/>
      </c>
      <c r="AP209" s="55" t="str">
        <f>IF(OR($AM209=0,$C209=""),"",IFERROR(N(INDEX(Accounts!$E$7:$E$16,MATCH($C209,Accounts!$B$7:$B$16,0))),0)+SUMIFS($Q$6:$Q209,$C$6:$C209,$C209))</f>
        <v/>
      </c>
      <c r="AQ209" s="55" t="str">
        <f>IF(OR($AM209=0,$C209=""),"",SUMIFS($Q$6:$Q$1005,$C$6:$C$1005,$C209,$A$6:$A$1005,$A209))</f>
        <v/>
      </c>
      <c r="AR209" s="55" t="str">
        <f>IF(OR($AM209=0,$C209=""),"",IFERROR(N(INDEX(Accounts!$E$7:$E$16,MATCH($C209,Accounts!$B$7:$B$16,0))),0)+SUMIFS($Q$6:$Q$1005,$C$6:$C$1005,$C209,$A$6:$A$1005,"&lt;="&amp;$A209))</f>
        <v/>
      </c>
      <c r="AS209" s="56">
        <f>IF(OR($AM209=0,$Q209=""),0,IF(AND($A209&gt;=Lists!$W$6,$A209&lt;=Lists!$W$7,OR(Dashboard!$D$6="All accounts",$C209=Dashboard!$D$6),OR(Dashboard!$D$7="All markets",$AF209=Dashboard!$D$7)),1,0))</f>
        <v>0</v>
      </c>
      <c r="AT209" s="55">
        <f>IF($AS209=1,N(AT208)+$Q209,N(AT208))</f>
        <v>1187.10688</v>
      </c>
      <c r="AU209" s="55">
        <f>MAX(N(AU208),$AT209)</f>
        <v>1187.10688</v>
      </c>
      <c r="AV209" s="55">
        <f>$AT209-$AU209</f>
        <v>0</v>
      </c>
      <c r="AW209" s="56">
        <f>IF($AS209=1,IF($S209="Win",N(AW208)+1,IF($S209="Loss",0,N(AW208))),N(AW208))</f>
        <v>5</v>
      </c>
      <c r="AX209" s="56">
        <f>IF($AS209=1,IF($S209="Loss",N(AX208)+1,IF($S209="Win",0,N(AX208))),N(AX208))</f>
        <v>0</v>
      </c>
      <c r="AY209" s="56" t="str">
        <f>IF($AS209=1,COUNTIF($AS$6:$AS209,1),"")</f>
        <v/>
      </c>
      <c r="AZ209" s="56">
        <f>MIN(203,N(Lists!$W$8))</f>
        <v>28</v>
      </c>
      <c r="BA209" s="56">
        <f>IF($AS209=1,IF(COUNTIFS($A$6:$A209,$A209,$AS$6:$AS209,1)=1,1,0),0)</f>
        <v>0</v>
      </c>
      <c r="BB209" s="55" t="str">
        <f>IF($BA209=1,SUMIFS($Q$6:$Q$1005,$A$6:$A$1005,$A209,$AS$6:$AS$1005,1),"")</f>
        <v/>
      </c>
      <c r="BC209" s="56">
        <f>IF(ISNUMBER($R209),1,0)</f>
        <v>0</v>
      </c>
      <c r="BD209" s="55" t="str">
        <f>IF(ISNUMBER($U209),$U209*$V209,"")</f>
        <v/>
      </c>
      <c r="BE209" s="56" t="str">
        <f>IF($AM209=0,"",IFERROR(MATCH($AF209&amp;"|"&amp;UPPER(TRIM($E209)),Lists!$A$6:$A$205,0),0))</f>
        <v/>
      </c>
      <c r="BF209" s="56" t="str">
        <f>IF($AM209=0,"",IFERROR(MATCH($AF209,Settings!$B$14:$B$18,0),IFERROR(MATCH(Settings!$C$6,Settings!$B$14:$B$18,0),1)))</f>
        <v/>
      </c>
      <c r="BG209" s="58" t="str">
        <f>IF($AM209=0,"",IF(NOT(ISNUMBER($I209)),"No stop; ","")&amp;IF(AND(ISNUMBER($H209),ISNUMBER($I209)),IF(OR(AND($F209&lt;&gt;"Short",$I209&gt;=$H209),AND($F209="Short",$I209&lt;=$H209)),"Stop on wrong side; ",""),"")&amp;IF($F209="","No direction; ","")&amp;IF(AND(ISNUMBER(Settings!$C$22),ISNUMBER($V209)),IF($V209&gt;Settings!$C$22,"Risk over max $; ",""),"")&amp;IF(AND(ISNUMBER(Settings!$C$23),ISNUMBER($V209),ISNUMBER($AP209),IFERROR(N(INDEX(Accounts!$E$7:$E$16,MATCH($C209,Accounts!$B$7:$B$16,0))),0)&gt;0),IF($V209&gt;Settings!$C$23*($AP209-N($Q209)),"Risk over max %; ",""),"")&amp;IF(AND(ISNUMBER(Settings!$C$24),ISNUMBER($N209)),IF($N209&gt;Settings!$C$24,"Leverage over max; ",""),"")&amp;IF(AND(ISNUMBER(Settings!$C$27),ISNUMBER($T209)),IF($T209&lt;Settings!$C$27,"R:R below min; ",""),"")&amp;IF(ISNUMBER(Settings!$C$25),IF(COUNTIFS($A$6:$A209,$A209,$AM$6:$AM209,1)&gt;Settings!$C$25,"Over max trades/day; ",""),"")&amp;IF(ISNUMBER(Settings!$C$26),IF(SUMIFS($Q$5:$Q208,$A$5:$A208,$A209)&lt;=-Settings!$C$26,"Traded after daily max loss; ",""),"")&amp;IF(AND($AG209="",NOT(ISNUMBER($O209))),"Symbol not in Instruments; ","")&amp;IF(AND($AH209="",NOT(ISNUMBER($O209))),"Forex cross: type Gross P&amp;L; ",""))</f>
        <v/>
      </c>
      <c r="BH209" s="56">
        <f>IF(ISNUMBER($Q209),1,0)</f>
        <v>0</v>
      </c>
      <c r="BI209" s="56">
        <f>IF($Y209="",0,1)</f>
        <v>0</v>
      </c>
      <c r="BJ209" s="56">
        <f>IF($AB209="",0,1)</f>
        <v>0</v>
      </c>
      <c r="BK209" s="56">
        <f>IF(AND($BH209=1,$W209&lt;&gt;"OK"),1,0)</f>
        <v>0</v>
      </c>
      <c r="BL209" s="55">
        <f>IF(N($AZ209)=0,0,IFERROR(INDEX($AT$6:$AT$1005,MATCH($AZ209,$AY$6:$AY$1005,0)),0))</f>
        <v>1187.10688</v>
      </c>
      <c r="BM209" s="56">
        <f>IF(ISNUMBER(SEARCH("daily max loss",$BG209)),1,0)</f>
        <v>0</v>
      </c>
    </row>
    <row r="210" ht="18" customHeight="1">
      <c r="A210" s="38" t="n"/>
      <c r="B210" s="39" t="n"/>
      <c r="C210" s="40" t="n"/>
      <c r="D210" s="41" t="n"/>
      <c r="E210" s="41" t="n"/>
      <c r="F210" s="41" t="n"/>
      <c r="G210" s="41" t="n"/>
      <c r="H210" s="42" t="n"/>
      <c r="I210" s="42" t="n"/>
      <c r="J210" s="42" t="n"/>
      <c r="K210" s="42" t="n"/>
      <c r="L210" s="41" t="n"/>
      <c r="M210" s="41" t="n"/>
      <c r="N210" s="41" t="n"/>
      <c r="O210" s="43" t="n"/>
      <c r="P210" s="43" t="n"/>
      <c r="Q210" s="44" t="str">
        <f>IF($AM210=0,"",IF(ISNUMBER($AK210),$AK210-N($AL210),""))</f>
        <v/>
      </c>
      <c r="R210" s="45" t="str">
        <f>IF(OR($Q210="",NOT(ISNUMBER($V210))),"",$AK210/$V210)</f>
        <v/>
      </c>
      <c r="S210" s="46" t="str">
        <f>IF($Q210="","",IF(AND(ISNUMBER($R210),ABS(N($R210))&lt;N(Settings!$C$8)),"Scratch",IF($Q210&gt;0,"Win",IF($Q210&lt;0,"Loss","Scratch"))))</f>
        <v/>
      </c>
      <c r="T210" s="47" t="str">
        <f>IF(OR($AM210=0,NOT(ISNUMBER($H210)),NOT(ISNUMBER($I210)),NOT(ISNUMBER($J210))),"",IF($H210=$I210,"",ROUND(ABS($J210-$H210)/ABS($H210-$I210),6)))</f>
        <v/>
      </c>
      <c r="U210" s="48" t="str">
        <f>IF(OR($S210&lt;&gt;"Win",NOT(ISNUMBER($T210)),NOT(ISNUMBER($R210))),"",MAX(0,$T210-$R210))</f>
        <v/>
      </c>
      <c r="V210" s="49" t="str">
        <f>IF(OR($AM210=0,NOT(ISNUMBER($H210)),NOT(ISNUMBER($I210)),NOT(ISNUMBER($G210))),"",IF(OR($AG210="",$AH210=""),"",IF(ROUND(ABS($H210-$I210)*ABS($G210)*$AG210*$AH210,6)=0,"",ROUND(ABS($H210-$I210)*ABS($G210)*$AG210*$AH210,6))))</f>
        <v/>
      </c>
      <c r="W210" s="50" t="str">
        <f>IF($AM210=0,"",IF($BG210="","OK",LEFT($BG210,LEN($BG210)-2)))</f>
        <v/>
      </c>
      <c r="X210" s="41" t="n"/>
      <c r="Y210" s="40" t="n"/>
      <c r="Z210" s="41" t="n"/>
      <c r="AA210" s="41" t="n"/>
      <c r="AB210" s="40" t="n"/>
      <c r="AC210" s="51" t="n"/>
      <c r="AD210" s="51" t="n"/>
      <c r="AE210" s="40" t="n"/>
      <c r="AF210" s="52" t="str">
        <f>IF($AM210=0,"",IF($D210&lt;&gt;"",$D210,IF(IFERROR(INDEX(Accounts!$C$7:$C$16,MATCH($C210,Accounts!$B$7:$B$16,0))&amp;"","")&lt;&gt;"",INDEX(Accounts!$C$7:$C$16,MATCH($C210,Accounts!$B$7:$B$16,0)),Settings!$C$6)))</f>
        <v/>
      </c>
      <c r="AG210" s="53" t="str">
        <f>IF($AM210=0,"",IF(AND($BE210&gt;0,N(INDEX(Instruments!$D$6:$D$205,MAX(1,$BE210)))&gt;0),INDEX(Instruments!$D$6:$D$205,MAX(1,$BE210)),IF(N(INDEX(Settings!$D$14:$D$18,$BF210))&gt;0,INDEX(Settings!$D$14:$D$18,$BF210),"")))</f>
        <v/>
      </c>
      <c r="AH210" s="54" t="str">
        <f>IF($AM210=0,"",IF($AF210&lt;&gt;"Forex",1,IF(MID(UPPER(SUBSTITUTE(TRIM($E210),"/","")),4,3)=UPPER(TRIM(Settings!$C$7)),1,IF(LEFT(UPPER(SUBSTITUTE(TRIM($E210),"/","")),3)=UPPER(TRIM(Settings!$C$7)),IF(AND(ISNUMBER($K210),N($K210)&lt;&gt;0),1/$K210,""),""))))</f>
        <v/>
      </c>
      <c r="AI210" s="55" t="str">
        <f>IF($AM210=0,"",IF(OR(NOT(ISNUMBER($H210)),NOT(ISNUMBER($K210)),NOT(ISNUMBER($G210)),$AG210="",$AH210=""),"",ROUND(($K210-$H210)*IF($F210="Short",-1,1)*$G210*$AG210*$AH210,6)))</f>
        <v/>
      </c>
      <c r="AJ210" s="55" t="str">
        <f>IF($AM210=0,"",IF(INDEX(Settings!$E$14:$E$18,$BF210)="% of notional",IF(OR($AG210="",NOT(ISNUMBER($H210)),NOT(ISNUMBER($G210))),"",ROUND(ABS($H210*$G210*$AG210*N($AH210))*IF($L210="Limit",N(INDEX(Settings!$G$14:$G$18,$BF210)),N(INDEX(Settings!$H$14:$H$18,$BF210)))+IF(ISNUMBER($K210),ABS($K210*$G210*$AG210*N($AH210))*IF($M210="Target",N(INDEX(Settings!$G$14:$G$18,$BF210)),N(INDEX(Settings!$H$14:$H$18,$BF210))),0),6)),IF(NOT(ISNUMBER($G210)),"",ROUND(ABS($G210)*2*IF(AND($BE210&gt;0,ISNUMBER(INDEX(Instruments!$G$6:$G$205,MAX(1,$BE210)))),INDEX(Instruments!$G$6:$G$205,MAX(1,$BE210)),N(INDEX(Settings!$F$14:$F$18,$BF210))),6))))</f>
        <v/>
      </c>
      <c r="AK210" s="55" t="str">
        <f>IF($AM210=0,"",IF(ISNUMBER($O210),$O210,$AI210))</f>
        <v/>
      </c>
      <c r="AL210" s="55" t="str">
        <f>IF($AM210=0,"",IF(ISNUMBER($P210),$P210,N($AJ210)))</f>
        <v/>
      </c>
      <c r="AM210" s="56">
        <f>IF(AND($A210&lt;&gt;"",$E210&lt;&gt;"",OR(AND(ISNUMBER($G210),ISNUMBER($H210),ISNUMBER($K210)),ISNUMBER($O210))),1,0)</f>
        <v>0</v>
      </c>
      <c r="AN210" s="57" t="str">
        <f>IF($A210="","",$A210-WEEKDAY($A210,3))</f>
        <v/>
      </c>
      <c r="AO210" s="56" t="str">
        <f>IF($A210="","",WEEKDAY($A210,2))</f>
        <v/>
      </c>
      <c r="AP210" s="55" t="str">
        <f>IF(OR($AM210=0,$C210=""),"",IFERROR(N(INDEX(Accounts!$E$7:$E$16,MATCH($C210,Accounts!$B$7:$B$16,0))),0)+SUMIFS($Q$6:$Q210,$C$6:$C210,$C210))</f>
        <v/>
      </c>
      <c r="AQ210" s="55" t="str">
        <f>IF(OR($AM210=0,$C210=""),"",SUMIFS($Q$6:$Q$1005,$C$6:$C$1005,$C210,$A$6:$A$1005,$A210))</f>
        <v/>
      </c>
      <c r="AR210" s="55" t="str">
        <f>IF(OR($AM210=0,$C210=""),"",IFERROR(N(INDEX(Accounts!$E$7:$E$16,MATCH($C210,Accounts!$B$7:$B$16,0))),0)+SUMIFS($Q$6:$Q$1005,$C$6:$C$1005,$C210,$A$6:$A$1005,"&lt;="&amp;$A210))</f>
        <v/>
      </c>
      <c r="AS210" s="56">
        <f>IF(OR($AM210=0,$Q210=""),0,IF(AND($A210&gt;=Lists!$W$6,$A210&lt;=Lists!$W$7,OR(Dashboard!$D$6="All accounts",$C210=Dashboard!$D$6),OR(Dashboard!$D$7="All markets",$AF210=Dashboard!$D$7)),1,0))</f>
        <v>0</v>
      </c>
      <c r="AT210" s="55">
        <f>IF($AS210=1,N(AT209)+$Q210,N(AT209))</f>
        <v>1187.10688</v>
      </c>
      <c r="AU210" s="55">
        <f>MAX(N(AU209),$AT210)</f>
        <v>1187.10688</v>
      </c>
      <c r="AV210" s="55">
        <f>$AT210-$AU210</f>
        <v>0</v>
      </c>
      <c r="AW210" s="56">
        <f>IF($AS210=1,IF($S210="Win",N(AW209)+1,IF($S210="Loss",0,N(AW209))),N(AW209))</f>
        <v>5</v>
      </c>
      <c r="AX210" s="56">
        <f>IF($AS210=1,IF($S210="Loss",N(AX209)+1,IF($S210="Win",0,N(AX209))),N(AX209))</f>
        <v>0</v>
      </c>
      <c r="AY210" s="56" t="str">
        <f>IF($AS210=1,COUNTIF($AS$6:$AS210,1),"")</f>
        <v/>
      </c>
      <c r="AZ210" s="56">
        <f>MIN(204,N(Lists!$W$8))</f>
        <v>28</v>
      </c>
      <c r="BA210" s="56">
        <f>IF($AS210=1,IF(COUNTIFS($A$6:$A210,$A210,$AS$6:$AS210,1)=1,1,0),0)</f>
        <v>0</v>
      </c>
      <c r="BB210" s="55" t="str">
        <f>IF($BA210=1,SUMIFS($Q$6:$Q$1005,$A$6:$A$1005,$A210,$AS$6:$AS$1005,1),"")</f>
        <v/>
      </c>
      <c r="BC210" s="56">
        <f>IF(ISNUMBER($R210),1,0)</f>
        <v>0</v>
      </c>
      <c r="BD210" s="55" t="str">
        <f>IF(ISNUMBER($U210),$U210*$V210,"")</f>
        <v/>
      </c>
      <c r="BE210" s="56" t="str">
        <f>IF($AM210=0,"",IFERROR(MATCH($AF210&amp;"|"&amp;UPPER(TRIM($E210)),Lists!$A$6:$A$205,0),0))</f>
        <v/>
      </c>
      <c r="BF210" s="56" t="str">
        <f>IF($AM210=0,"",IFERROR(MATCH($AF210,Settings!$B$14:$B$18,0),IFERROR(MATCH(Settings!$C$6,Settings!$B$14:$B$18,0),1)))</f>
        <v/>
      </c>
      <c r="BG210" s="58" t="str">
        <f>IF($AM210=0,"",IF(NOT(ISNUMBER($I210)),"No stop; ","")&amp;IF(AND(ISNUMBER($H210),ISNUMBER($I210)),IF(OR(AND($F210&lt;&gt;"Short",$I210&gt;=$H210),AND($F210="Short",$I210&lt;=$H210)),"Stop on wrong side; ",""),"")&amp;IF($F210="","No direction; ","")&amp;IF(AND(ISNUMBER(Settings!$C$22),ISNUMBER($V210)),IF($V210&gt;Settings!$C$22,"Risk over max $; ",""),"")&amp;IF(AND(ISNUMBER(Settings!$C$23),ISNUMBER($V210),ISNUMBER($AP210),IFERROR(N(INDEX(Accounts!$E$7:$E$16,MATCH($C210,Accounts!$B$7:$B$16,0))),0)&gt;0),IF($V210&gt;Settings!$C$23*($AP210-N($Q210)),"Risk over max %; ",""),"")&amp;IF(AND(ISNUMBER(Settings!$C$24),ISNUMBER($N210)),IF($N210&gt;Settings!$C$24,"Leverage over max; ",""),"")&amp;IF(AND(ISNUMBER(Settings!$C$27),ISNUMBER($T210)),IF($T210&lt;Settings!$C$27,"R:R below min; ",""),"")&amp;IF(ISNUMBER(Settings!$C$25),IF(COUNTIFS($A$6:$A210,$A210,$AM$6:$AM210,1)&gt;Settings!$C$25,"Over max trades/day; ",""),"")&amp;IF(ISNUMBER(Settings!$C$26),IF(SUMIFS($Q$5:$Q209,$A$5:$A209,$A210)&lt;=-Settings!$C$26,"Traded after daily max loss; ",""),"")&amp;IF(AND($AG210="",NOT(ISNUMBER($O210))),"Symbol not in Instruments; ","")&amp;IF(AND($AH210="",NOT(ISNUMBER($O210))),"Forex cross: type Gross P&amp;L; ",""))</f>
        <v/>
      </c>
      <c r="BH210" s="56">
        <f>IF(ISNUMBER($Q210),1,0)</f>
        <v>0</v>
      </c>
      <c r="BI210" s="56">
        <f>IF($Y210="",0,1)</f>
        <v>0</v>
      </c>
      <c r="BJ210" s="56">
        <f>IF($AB210="",0,1)</f>
        <v>0</v>
      </c>
      <c r="BK210" s="56">
        <f>IF(AND($BH210=1,$W210&lt;&gt;"OK"),1,0)</f>
        <v>0</v>
      </c>
      <c r="BL210" s="55">
        <f>IF(N($AZ210)=0,0,IFERROR(INDEX($AT$6:$AT$1005,MATCH($AZ210,$AY$6:$AY$1005,0)),0))</f>
        <v>1187.10688</v>
      </c>
      <c r="BM210" s="56">
        <f>IF(ISNUMBER(SEARCH("daily max loss",$BG210)),1,0)</f>
        <v>0</v>
      </c>
    </row>
    <row r="211" ht="18" customHeight="1">
      <c r="A211" s="38" t="n"/>
      <c r="B211" s="39" t="n"/>
      <c r="C211" s="40" t="n"/>
      <c r="D211" s="41" t="n"/>
      <c r="E211" s="41" t="n"/>
      <c r="F211" s="41" t="n"/>
      <c r="G211" s="41" t="n"/>
      <c r="H211" s="42" t="n"/>
      <c r="I211" s="42" t="n"/>
      <c r="J211" s="42" t="n"/>
      <c r="K211" s="42" t="n"/>
      <c r="L211" s="41" t="n"/>
      <c r="M211" s="41" t="n"/>
      <c r="N211" s="41" t="n"/>
      <c r="O211" s="43" t="n"/>
      <c r="P211" s="43" t="n"/>
      <c r="Q211" s="44" t="str">
        <f>IF($AM211=0,"",IF(ISNUMBER($AK211),$AK211-N($AL211),""))</f>
        <v/>
      </c>
      <c r="R211" s="45" t="str">
        <f>IF(OR($Q211="",NOT(ISNUMBER($V211))),"",$AK211/$V211)</f>
        <v/>
      </c>
      <c r="S211" s="46" t="str">
        <f>IF($Q211="","",IF(AND(ISNUMBER($R211),ABS(N($R211))&lt;N(Settings!$C$8)),"Scratch",IF($Q211&gt;0,"Win",IF($Q211&lt;0,"Loss","Scratch"))))</f>
        <v/>
      </c>
      <c r="T211" s="47" t="str">
        <f>IF(OR($AM211=0,NOT(ISNUMBER($H211)),NOT(ISNUMBER($I211)),NOT(ISNUMBER($J211))),"",IF($H211=$I211,"",ROUND(ABS($J211-$H211)/ABS($H211-$I211),6)))</f>
        <v/>
      </c>
      <c r="U211" s="48" t="str">
        <f>IF(OR($S211&lt;&gt;"Win",NOT(ISNUMBER($T211)),NOT(ISNUMBER($R211))),"",MAX(0,$T211-$R211))</f>
        <v/>
      </c>
      <c r="V211" s="49" t="str">
        <f>IF(OR($AM211=0,NOT(ISNUMBER($H211)),NOT(ISNUMBER($I211)),NOT(ISNUMBER($G211))),"",IF(OR($AG211="",$AH211=""),"",IF(ROUND(ABS($H211-$I211)*ABS($G211)*$AG211*$AH211,6)=0,"",ROUND(ABS($H211-$I211)*ABS($G211)*$AG211*$AH211,6))))</f>
        <v/>
      </c>
      <c r="W211" s="50" t="str">
        <f>IF($AM211=0,"",IF($BG211="","OK",LEFT($BG211,LEN($BG211)-2)))</f>
        <v/>
      </c>
      <c r="X211" s="41" t="n"/>
      <c r="Y211" s="40" t="n"/>
      <c r="Z211" s="41" t="n"/>
      <c r="AA211" s="41" t="n"/>
      <c r="AB211" s="40" t="n"/>
      <c r="AC211" s="51" t="n"/>
      <c r="AD211" s="51" t="n"/>
      <c r="AE211" s="40" t="n"/>
      <c r="AF211" s="52" t="str">
        <f>IF($AM211=0,"",IF($D211&lt;&gt;"",$D211,IF(IFERROR(INDEX(Accounts!$C$7:$C$16,MATCH($C211,Accounts!$B$7:$B$16,0))&amp;"","")&lt;&gt;"",INDEX(Accounts!$C$7:$C$16,MATCH($C211,Accounts!$B$7:$B$16,0)),Settings!$C$6)))</f>
        <v/>
      </c>
      <c r="AG211" s="53" t="str">
        <f>IF($AM211=0,"",IF(AND($BE211&gt;0,N(INDEX(Instruments!$D$6:$D$205,MAX(1,$BE211)))&gt;0),INDEX(Instruments!$D$6:$D$205,MAX(1,$BE211)),IF(N(INDEX(Settings!$D$14:$D$18,$BF211))&gt;0,INDEX(Settings!$D$14:$D$18,$BF211),"")))</f>
        <v/>
      </c>
      <c r="AH211" s="54" t="str">
        <f>IF($AM211=0,"",IF($AF211&lt;&gt;"Forex",1,IF(MID(UPPER(SUBSTITUTE(TRIM($E211),"/","")),4,3)=UPPER(TRIM(Settings!$C$7)),1,IF(LEFT(UPPER(SUBSTITUTE(TRIM($E211),"/","")),3)=UPPER(TRIM(Settings!$C$7)),IF(AND(ISNUMBER($K211),N($K211)&lt;&gt;0),1/$K211,""),""))))</f>
        <v/>
      </c>
      <c r="AI211" s="55" t="str">
        <f>IF($AM211=0,"",IF(OR(NOT(ISNUMBER($H211)),NOT(ISNUMBER($K211)),NOT(ISNUMBER($G211)),$AG211="",$AH211=""),"",ROUND(($K211-$H211)*IF($F211="Short",-1,1)*$G211*$AG211*$AH211,6)))</f>
        <v/>
      </c>
      <c r="AJ211" s="55" t="str">
        <f>IF($AM211=0,"",IF(INDEX(Settings!$E$14:$E$18,$BF211)="% of notional",IF(OR($AG211="",NOT(ISNUMBER($H211)),NOT(ISNUMBER($G211))),"",ROUND(ABS($H211*$G211*$AG211*N($AH211))*IF($L211="Limit",N(INDEX(Settings!$G$14:$G$18,$BF211)),N(INDEX(Settings!$H$14:$H$18,$BF211)))+IF(ISNUMBER($K211),ABS($K211*$G211*$AG211*N($AH211))*IF($M211="Target",N(INDEX(Settings!$G$14:$G$18,$BF211)),N(INDEX(Settings!$H$14:$H$18,$BF211))),0),6)),IF(NOT(ISNUMBER($G211)),"",ROUND(ABS($G211)*2*IF(AND($BE211&gt;0,ISNUMBER(INDEX(Instruments!$G$6:$G$205,MAX(1,$BE211)))),INDEX(Instruments!$G$6:$G$205,MAX(1,$BE211)),N(INDEX(Settings!$F$14:$F$18,$BF211))),6))))</f>
        <v/>
      </c>
      <c r="AK211" s="55" t="str">
        <f>IF($AM211=0,"",IF(ISNUMBER($O211),$O211,$AI211))</f>
        <v/>
      </c>
      <c r="AL211" s="55" t="str">
        <f>IF($AM211=0,"",IF(ISNUMBER($P211),$P211,N($AJ211)))</f>
        <v/>
      </c>
      <c r="AM211" s="56">
        <f>IF(AND($A211&lt;&gt;"",$E211&lt;&gt;"",OR(AND(ISNUMBER($G211),ISNUMBER($H211),ISNUMBER($K211)),ISNUMBER($O211))),1,0)</f>
        <v>0</v>
      </c>
      <c r="AN211" s="57" t="str">
        <f>IF($A211="","",$A211-WEEKDAY($A211,3))</f>
        <v/>
      </c>
      <c r="AO211" s="56" t="str">
        <f>IF($A211="","",WEEKDAY($A211,2))</f>
        <v/>
      </c>
      <c r="AP211" s="55" t="str">
        <f>IF(OR($AM211=0,$C211=""),"",IFERROR(N(INDEX(Accounts!$E$7:$E$16,MATCH($C211,Accounts!$B$7:$B$16,0))),0)+SUMIFS($Q$6:$Q211,$C$6:$C211,$C211))</f>
        <v/>
      </c>
      <c r="AQ211" s="55" t="str">
        <f>IF(OR($AM211=0,$C211=""),"",SUMIFS($Q$6:$Q$1005,$C$6:$C$1005,$C211,$A$6:$A$1005,$A211))</f>
        <v/>
      </c>
      <c r="AR211" s="55" t="str">
        <f>IF(OR($AM211=0,$C211=""),"",IFERROR(N(INDEX(Accounts!$E$7:$E$16,MATCH($C211,Accounts!$B$7:$B$16,0))),0)+SUMIFS($Q$6:$Q$1005,$C$6:$C$1005,$C211,$A$6:$A$1005,"&lt;="&amp;$A211))</f>
        <v/>
      </c>
      <c r="AS211" s="56">
        <f>IF(OR($AM211=0,$Q211=""),0,IF(AND($A211&gt;=Lists!$W$6,$A211&lt;=Lists!$W$7,OR(Dashboard!$D$6="All accounts",$C211=Dashboard!$D$6),OR(Dashboard!$D$7="All markets",$AF211=Dashboard!$D$7)),1,0))</f>
        <v>0</v>
      </c>
      <c r="AT211" s="55">
        <f>IF($AS211=1,N(AT210)+$Q211,N(AT210))</f>
        <v>1187.10688</v>
      </c>
      <c r="AU211" s="55">
        <f>MAX(N(AU210),$AT211)</f>
        <v>1187.10688</v>
      </c>
      <c r="AV211" s="55">
        <f>$AT211-$AU211</f>
        <v>0</v>
      </c>
      <c r="AW211" s="56">
        <f>IF($AS211=1,IF($S211="Win",N(AW210)+1,IF($S211="Loss",0,N(AW210))),N(AW210))</f>
        <v>5</v>
      </c>
      <c r="AX211" s="56">
        <f>IF($AS211=1,IF($S211="Loss",N(AX210)+1,IF($S211="Win",0,N(AX210))),N(AX210))</f>
        <v>0</v>
      </c>
      <c r="AY211" s="56" t="str">
        <f>IF($AS211=1,COUNTIF($AS$6:$AS211,1),"")</f>
        <v/>
      </c>
      <c r="AZ211" s="56">
        <f>MIN(205,N(Lists!$W$8))</f>
        <v>28</v>
      </c>
      <c r="BA211" s="56">
        <f>IF($AS211=1,IF(COUNTIFS($A$6:$A211,$A211,$AS$6:$AS211,1)=1,1,0),0)</f>
        <v>0</v>
      </c>
      <c r="BB211" s="55" t="str">
        <f>IF($BA211=1,SUMIFS($Q$6:$Q$1005,$A$6:$A$1005,$A211,$AS$6:$AS$1005,1),"")</f>
        <v/>
      </c>
      <c r="BC211" s="56">
        <f>IF(ISNUMBER($R211),1,0)</f>
        <v>0</v>
      </c>
      <c r="BD211" s="55" t="str">
        <f>IF(ISNUMBER($U211),$U211*$V211,"")</f>
        <v/>
      </c>
      <c r="BE211" s="56" t="str">
        <f>IF($AM211=0,"",IFERROR(MATCH($AF211&amp;"|"&amp;UPPER(TRIM($E211)),Lists!$A$6:$A$205,0),0))</f>
        <v/>
      </c>
      <c r="BF211" s="56" t="str">
        <f>IF($AM211=0,"",IFERROR(MATCH($AF211,Settings!$B$14:$B$18,0),IFERROR(MATCH(Settings!$C$6,Settings!$B$14:$B$18,0),1)))</f>
        <v/>
      </c>
      <c r="BG211" s="58" t="str">
        <f>IF($AM211=0,"",IF(NOT(ISNUMBER($I211)),"No stop; ","")&amp;IF(AND(ISNUMBER($H211),ISNUMBER($I211)),IF(OR(AND($F211&lt;&gt;"Short",$I211&gt;=$H211),AND($F211="Short",$I211&lt;=$H211)),"Stop on wrong side; ",""),"")&amp;IF($F211="","No direction; ","")&amp;IF(AND(ISNUMBER(Settings!$C$22),ISNUMBER($V211)),IF($V211&gt;Settings!$C$22,"Risk over max $; ",""),"")&amp;IF(AND(ISNUMBER(Settings!$C$23),ISNUMBER($V211),ISNUMBER($AP211),IFERROR(N(INDEX(Accounts!$E$7:$E$16,MATCH($C211,Accounts!$B$7:$B$16,0))),0)&gt;0),IF($V211&gt;Settings!$C$23*($AP211-N($Q211)),"Risk over max %; ",""),"")&amp;IF(AND(ISNUMBER(Settings!$C$24),ISNUMBER($N211)),IF($N211&gt;Settings!$C$24,"Leverage over max; ",""),"")&amp;IF(AND(ISNUMBER(Settings!$C$27),ISNUMBER($T211)),IF($T211&lt;Settings!$C$27,"R:R below min; ",""),"")&amp;IF(ISNUMBER(Settings!$C$25),IF(COUNTIFS($A$6:$A211,$A211,$AM$6:$AM211,1)&gt;Settings!$C$25,"Over max trades/day; ",""),"")&amp;IF(ISNUMBER(Settings!$C$26),IF(SUMIFS($Q$5:$Q210,$A$5:$A210,$A211)&lt;=-Settings!$C$26,"Traded after daily max loss; ",""),"")&amp;IF(AND($AG211="",NOT(ISNUMBER($O211))),"Symbol not in Instruments; ","")&amp;IF(AND($AH211="",NOT(ISNUMBER($O211))),"Forex cross: type Gross P&amp;L; ",""))</f>
        <v/>
      </c>
      <c r="BH211" s="56">
        <f>IF(ISNUMBER($Q211),1,0)</f>
        <v>0</v>
      </c>
      <c r="BI211" s="56">
        <f>IF($Y211="",0,1)</f>
        <v>0</v>
      </c>
      <c r="BJ211" s="56">
        <f>IF($AB211="",0,1)</f>
        <v>0</v>
      </c>
      <c r="BK211" s="56">
        <f>IF(AND($BH211=1,$W211&lt;&gt;"OK"),1,0)</f>
        <v>0</v>
      </c>
      <c r="BL211" s="55">
        <f>IF(N($AZ211)=0,0,IFERROR(INDEX($AT$6:$AT$1005,MATCH($AZ211,$AY$6:$AY$1005,0)),0))</f>
        <v>1187.10688</v>
      </c>
      <c r="BM211" s="56">
        <f>IF(ISNUMBER(SEARCH("daily max loss",$BG211)),1,0)</f>
        <v>0</v>
      </c>
    </row>
    <row r="212" ht="18" customHeight="1">
      <c r="A212" s="38" t="n"/>
      <c r="B212" s="39" t="n"/>
      <c r="C212" s="40" t="n"/>
      <c r="D212" s="41" t="n"/>
      <c r="E212" s="41" t="n"/>
      <c r="F212" s="41" t="n"/>
      <c r="G212" s="41" t="n"/>
      <c r="H212" s="42" t="n"/>
      <c r="I212" s="42" t="n"/>
      <c r="J212" s="42" t="n"/>
      <c r="K212" s="42" t="n"/>
      <c r="L212" s="41" t="n"/>
      <c r="M212" s="41" t="n"/>
      <c r="N212" s="41" t="n"/>
      <c r="O212" s="43" t="n"/>
      <c r="P212" s="43" t="n"/>
      <c r="Q212" s="44" t="str">
        <f>IF($AM212=0,"",IF(ISNUMBER($AK212),$AK212-N($AL212),""))</f>
        <v/>
      </c>
      <c r="R212" s="45" t="str">
        <f>IF(OR($Q212="",NOT(ISNUMBER($V212))),"",$AK212/$V212)</f>
        <v/>
      </c>
      <c r="S212" s="46" t="str">
        <f>IF($Q212="","",IF(AND(ISNUMBER($R212),ABS(N($R212))&lt;N(Settings!$C$8)),"Scratch",IF($Q212&gt;0,"Win",IF($Q212&lt;0,"Loss","Scratch"))))</f>
        <v/>
      </c>
      <c r="T212" s="47" t="str">
        <f>IF(OR($AM212=0,NOT(ISNUMBER($H212)),NOT(ISNUMBER($I212)),NOT(ISNUMBER($J212))),"",IF($H212=$I212,"",ROUND(ABS($J212-$H212)/ABS($H212-$I212),6)))</f>
        <v/>
      </c>
      <c r="U212" s="48" t="str">
        <f>IF(OR($S212&lt;&gt;"Win",NOT(ISNUMBER($T212)),NOT(ISNUMBER($R212))),"",MAX(0,$T212-$R212))</f>
        <v/>
      </c>
      <c r="V212" s="49" t="str">
        <f>IF(OR($AM212=0,NOT(ISNUMBER($H212)),NOT(ISNUMBER($I212)),NOT(ISNUMBER($G212))),"",IF(OR($AG212="",$AH212=""),"",IF(ROUND(ABS($H212-$I212)*ABS($G212)*$AG212*$AH212,6)=0,"",ROUND(ABS($H212-$I212)*ABS($G212)*$AG212*$AH212,6))))</f>
        <v/>
      </c>
      <c r="W212" s="50" t="str">
        <f>IF($AM212=0,"",IF($BG212="","OK",LEFT($BG212,LEN($BG212)-2)))</f>
        <v/>
      </c>
      <c r="X212" s="41" t="n"/>
      <c r="Y212" s="40" t="n"/>
      <c r="Z212" s="41" t="n"/>
      <c r="AA212" s="41" t="n"/>
      <c r="AB212" s="40" t="n"/>
      <c r="AC212" s="51" t="n"/>
      <c r="AD212" s="51" t="n"/>
      <c r="AE212" s="40" t="n"/>
      <c r="AF212" s="52" t="str">
        <f>IF($AM212=0,"",IF($D212&lt;&gt;"",$D212,IF(IFERROR(INDEX(Accounts!$C$7:$C$16,MATCH($C212,Accounts!$B$7:$B$16,0))&amp;"","")&lt;&gt;"",INDEX(Accounts!$C$7:$C$16,MATCH($C212,Accounts!$B$7:$B$16,0)),Settings!$C$6)))</f>
        <v/>
      </c>
      <c r="AG212" s="53" t="str">
        <f>IF($AM212=0,"",IF(AND($BE212&gt;0,N(INDEX(Instruments!$D$6:$D$205,MAX(1,$BE212)))&gt;0),INDEX(Instruments!$D$6:$D$205,MAX(1,$BE212)),IF(N(INDEX(Settings!$D$14:$D$18,$BF212))&gt;0,INDEX(Settings!$D$14:$D$18,$BF212),"")))</f>
        <v/>
      </c>
      <c r="AH212" s="54" t="str">
        <f>IF($AM212=0,"",IF($AF212&lt;&gt;"Forex",1,IF(MID(UPPER(SUBSTITUTE(TRIM($E212),"/","")),4,3)=UPPER(TRIM(Settings!$C$7)),1,IF(LEFT(UPPER(SUBSTITUTE(TRIM($E212),"/","")),3)=UPPER(TRIM(Settings!$C$7)),IF(AND(ISNUMBER($K212),N($K212)&lt;&gt;0),1/$K212,""),""))))</f>
        <v/>
      </c>
      <c r="AI212" s="55" t="str">
        <f>IF($AM212=0,"",IF(OR(NOT(ISNUMBER($H212)),NOT(ISNUMBER($K212)),NOT(ISNUMBER($G212)),$AG212="",$AH212=""),"",ROUND(($K212-$H212)*IF($F212="Short",-1,1)*$G212*$AG212*$AH212,6)))</f>
        <v/>
      </c>
      <c r="AJ212" s="55" t="str">
        <f>IF($AM212=0,"",IF(INDEX(Settings!$E$14:$E$18,$BF212)="% of notional",IF(OR($AG212="",NOT(ISNUMBER($H212)),NOT(ISNUMBER($G212))),"",ROUND(ABS($H212*$G212*$AG212*N($AH212))*IF($L212="Limit",N(INDEX(Settings!$G$14:$G$18,$BF212)),N(INDEX(Settings!$H$14:$H$18,$BF212)))+IF(ISNUMBER($K212),ABS($K212*$G212*$AG212*N($AH212))*IF($M212="Target",N(INDEX(Settings!$G$14:$G$18,$BF212)),N(INDEX(Settings!$H$14:$H$18,$BF212))),0),6)),IF(NOT(ISNUMBER($G212)),"",ROUND(ABS($G212)*2*IF(AND($BE212&gt;0,ISNUMBER(INDEX(Instruments!$G$6:$G$205,MAX(1,$BE212)))),INDEX(Instruments!$G$6:$G$205,MAX(1,$BE212)),N(INDEX(Settings!$F$14:$F$18,$BF212))),6))))</f>
        <v/>
      </c>
      <c r="AK212" s="55" t="str">
        <f>IF($AM212=0,"",IF(ISNUMBER($O212),$O212,$AI212))</f>
        <v/>
      </c>
      <c r="AL212" s="55" t="str">
        <f>IF($AM212=0,"",IF(ISNUMBER($P212),$P212,N($AJ212)))</f>
        <v/>
      </c>
      <c r="AM212" s="56">
        <f>IF(AND($A212&lt;&gt;"",$E212&lt;&gt;"",OR(AND(ISNUMBER($G212),ISNUMBER($H212),ISNUMBER($K212)),ISNUMBER($O212))),1,0)</f>
        <v>0</v>
      </c>
      <c r="AN212" s="57" t="str">
        <f>IF($A212="","",$A212-WEEKDAY($A212,3))</f>
        <v/>
      </c>
      <c r="AO212" s="56" t="str">
        <f>IF($A212="","",WEEKDAY($A212,2))</f>
        <v/>
      </c>
      <c r="AP212" s="55" t="str">
        <f>IF(OR($AM212=0,$C212=""),"",IFERROR(N(INDEX(Accounts!$E$7:$E$16,MATCH($C212,Accounts!$B$7:$B$16,0))),0)+SUMIFS($Q$6:$Q212,$C$6:$C212,$C212))</f>
        <v/>
      </c>
      <c r="AQ212" s="55" t="str">
        <f>IF(OR($AM212=0,$C212=""),"",SUMIFS($Q$6:$Q$1005,$C$6:$C$1005,$C212,$A$6:$A$1005,$A212))</f>
        <v/>
      </c>
      <c r="AR212" s="55" t="str">
        <f>IF(OR($AM212=0,$C212=""),"",IFERROR(N(INDEX(Accounts!$E$7:$E$16,MATCH($C212,Accounts!$B$7:$B$16,0))),0)+SUMIFS($Q$6:$Q$1005,$C$6:$C$1005,$C212,$A$6:$A$1005,"&lt;="&amp;$A212))</f>
        <v/>
      </c>
      <c r="AS212" s="56">
        <f>IF(OR($AM212=0,$Q212=""),0,IF(AND($A212&gt;=Lists!$W$6,$A212&lt;=Lists!$W$7,OR(Dashboard!$D$6="All accounts",$C212=Dashboard!$D$6),OR(Dashboard!$D$7="All markets",$AF212=Dashboard!$D$7)),1,0))</f>
        <v>0</v>
      </c>
      <c r="AT212" s="55">
        <f>IF($AS212=1,N(AT211)+$Q212,N(AT211))</f>
        <v>1187.10688</v>
      </c>
      <c r="AU212" s="55">
        <f>MAX(N(AU211),$AT212)</f>
        <v>1187.10688</v>
      </c>
      <c r="AV212" s="55">
        <f>$AT212-$AU212</f>
        <v>0</v>
      </c>
      <c r="AW212" s="56">
        <f>IF($AS212=1,IF($S212="Win",N(AW211)+1,IF($S212="Loss",0,N(AW211))),N(AW211))</f>
        <v>5</v>
      </c>
      <c r="AX212" s="56">
        <f>IF($AS212=1,IF($S212="Loss",N(AX211)+1,IF($S212="Win",0,N(AX211))),N(AX211))</f>
        <v>0</v>
      </c>
      <c r="AY212" s="56" t="str">
        <f>IF($AS212=1,COUNTIF($AS$6:$AS212,1),"")</f>
        <v/>
      </c>
      <c r="AZ212" s="56">
        <f>MIN(206,N(Lists!$W$8))</f>
        <v>28</v>
      </c>
      <c r="BA212" s="56">
        <f>IF($AS212=1,IF(COUNTIFS($A$6:$A212,$A212,$AS$6:$AS212,1)=1,1,0),0)</f>
        <v>0</v>
      </c>
      <c r="BB212" s="55" t="str">
        <f>IF($BA212=1,SUMIFS($Q$6:$Q$1005,$A$6:$A$1005,$A212,$AS$6:$AS$1005,1),"")</f>
        <v/>
      </c>
      <c r="BC212" s="56">
        <f>IF(ISNUMBER($R212),1,0)</f>
        <v>0</v>
      </c>
      <c r="BD212" s="55" t="str">
        <f>IF(ISNUMBER($U212),$U212*$V212,"")</f>
        <v/>
      </c>
      <c r="BE212" s="56" t="str">
        <f>IF($AM212=0,"",IFERROR(MATCH($AF212&amp;"|"&amp;UPPER(TRIM($E212)),Lists!$A$6:$A$205,0),0))</f>
        <v/>
      </c>
      <c r="BF212" s="56" t="str">
        <f>IF($AM212=0,"",IFERROR(MATCH($AF212,Settings!$B$14:$B$18,0),IFERROR(MATCH(Settings!$C$6,Settings!$B$14:$B$18,0),1)))</f>
        <v/>
      </c>
      <c r="BG212" s="58" t="str">
        <f>IF($AM212=0,"",IF(NOT(ISNUMBER($I212)),"No stop; ","")&amp;IF(AND(ISNUMBER($H212),ISNUMBER($I212)),IF(OR(AND($F212&lt;&gt;"Short",$I212&gt;=$H212),AND($F212="Short",$I212&lt;=$H212)),"Stop on wrong side; ",""),"")&amp;IF($F212="","No direction; ","")&amp;IF(AND(ISNUMBER(Settings!$C$22),ISNUMBER($V212)),IF($V212&gt;Settings!$C$22,"Risk over max $; ",""),"")&amp;IF(AND(ISNUMBER(Settings!$C$23),ISNUMBER($V212),ISNUMBER($AP212),IFERROR(N(INDEX(Accounts!$E$7:$E$16,MATCH($C212,Accounts!$B$7:$B$16,0))),0)&gt;0),IF($V212&gt;Settings!$C$23*($AP212-N($Q212)),"Risk over max %; ",""),"")&amp;IF(AND(ISNUMBER(Settings!$C$24),ISNUMBER($N212)),IF($N212&gt;Settings!$C$24,"Leverage over max; ",""),"")&amp;IF(AND(ISNUMBER(Settings!$C$27),ISNUMBER($T212)),IF($T212&lt;Settings!$C$27,"R:R below min; ",""),"")&amp;IF(ISNUMBER(Settings!$C$25),IF(COUNTIFS($A$6:$A212,$A212,$AM$6:$AM212,1)&gt;Settings!$C$25,"Over max trades/day; ",""),"")&amp;IF(ISNUMBER(Settings!$C$26),IF(SUMIFS($Q$5:$Q211,$A$5:$A211,$A212)&lt;=-Settings!$C$26,"Traded after daily max loss; ",""),"")&amp;IF(AND($AG212="",NOT(ISNUMBER($O212))),"Symbol not in Instruments; ","")&amp;IF(AND($AH212="",NOT(ISNUMBER($O212))),"Forex cross: type Gross P&amp;L; ",""))</f>
        <v/>
      </c>
      <c r="BH212" s="56">
        <f>IF(ISNUMBER($Q212),1,0)</f>
        <v>0</v>
      </c>
      <c r="BI212" s="56">
        <f>IF($Y212="",0,1)</f>
        <v>0</v>
      </c>
      <c r="BJ212" s="56">
        <f>IF($AB212="",0,1)</f>
        <v>0</v>
      </c>
      <c r="BK212" s="56">
        <f>IF(AND($BH212=1,$W212&lt;&gt;"OK"),1,0)</f>
        <v>0</v>
      </c>
      <c r="BL212" s="55">
        <f>IF(N($AZ212)=0,0,IFERROR(INDEX($AT$6:$AT$1005,MATCH($AZ212,$AY$6:$AY$1005,0)),0))</f>
        <v>1187.10688</v>
      </c>
      <c r="BM212" s="56">
        <f>IF(ISNUMBER(SEARCH("daily max loss",$BG212)),1,0)</f>
        <v>0</v>
      </c>
    </row>
    <row r="213" ht="18" customHeight="1">
      <c r="A213" s="38" t="n"/>
      <c r="B213" s="39" t="n"/>
      <c r="C213" s="40" t="n"/>
      <c r="D213" s="41" t="n"/>
      <c r="E213" s="41" t="n"/>
      <c r="F213" s="41" t="n"/>
      <c r="G213" s="41" t="n"/>
      <c r="H213" s="42" t="n"/>
      <c r="I213" s="42" t="n"/>
      <c r="J213" s="42" t="n"/>
      <c r="K213" s="42" t="n"/>
      <c r="L213" s="41" t="n"/>
      <c r="M213" s="41" t="n"/>
      <c r="N213" s="41" t="n"/>
      <c r="O213" s="43" t="n"/>
      <c r="P213" s="43" t="n"/>
      <c r="Q213" s="44" t="str">
        <f>IF($AM213=0,"",IF(ISNUMBER($AK213),$AK213-N($AL213),""))</f>
        <v/>
      </c>
      <c r="R213" s="45" t="str">
        <f>IF(OR($Q213="",NOT(ISNUMBER($V213))),"",$AK213/$V213)</f>
        <v/>
      </c>
      <c r="S213" s="46" t="str">
        <f>IF($Q213="","",IF(AND(ISNUMBER($R213),ABS(N($R213))&lt;N(Settings!$C$8)),"Scratch",IF($Q213&gt;0,"Win",IF($Q213&lt;0,"Loss","Scratch"))))</f>
        <v/>
      </c>
      <c r="T213" s="47" t="str">
        <f>IF(OR($AM213=0,NOT(ISNUMBER($H213)),NOT(ISNUMBER($I213)),NOT(ISNUMBER($J213))),"",IF($H213=$I213,"",ROUND(ABS($J213-$H213)/ABS($H213-$I213),6)))</f>
        <v/>
      </c>
      <c r="U213" s="48" t="str">
        <f>IF(OR($S213&lt;&gt;"Win",NOT(ISNUMBER($T213)),NOT(ISNUMBER($R213))),"",MAX(0,$T213-$R213))</f>
        <v/>
      </c>
      <c r="V213" s="49" t="str">
        <f>IF(OR($AM213=0,NOT(ISNUMBER($H213)),NOT(ISNUMBER($I213)),NOT(ISNUMBER($G213))),"",IF(OR($AG213="",$AH213=""),"",IF(ROUND(ABS($H213-$I213)*ABS($G213)*$AG213*$AH213,6)=0,"",ROUND(ABS($H213-$I213)*ABS($G213)*$AG213*$AH213,6))))</f>
        <v/>
      </c>
      <c r="W213" s="50" t="str">
        <f>IF($AM213=0,"",IF($BG213="","OK",LEFT($BG213,LEN($BG213)-2)))</f>
        <v/>
      </c>
      <c r="X213" s="41" t="n"/>
      <c r="Y213" s="40" t="n"/>
      <c r="Z213" s="41" t="n"/>
      <c r="AA213" s="41" t="n"/>
      <c r="AB213" s="40" t="n"/>
      <c r="AC213" s="51" t="n"/>
      <c r="AD213" s="51" t="n"/>
      <c r="AE213" s="40" t="n"/>
      <c r="AF213" s="52" t="str">
        <f>IF($AM213=0,"",IF($D213&lt;&gt;"",$D213,IF(IFERROR(INDEX(Accounts!$C$7:$C$16,MATCH($C213,Accounts!$B$7:$B$16,0))&amp;"","")&lt;&gt;"",INDEX(Accounts!$C$7:$C$16,MATCH($C213,Accounts!$B$7:$B$16,0)),Settings!$C$6)))</f>
        <v/>
      </c>
      <c r="AG213" s="53" t="str">
        <f>IF($AM213=0,"",IF(AND($BE213&gt;0,N(INDEX(Instruments!$D$6:$D$205,MAX(1,$BE213)))&gt;0),INDEX(Instruments!$D$6:$D$205,MAX(1,$BE213)),IF(N(INDEX(Settings!$D$14:$D$18,$BF213))&gt;0,INDEX(Settings!$D$14:$D$18,$BF213),"")))</f>
        <v/>
      </c>
      <c r="AH213" s="54" t="str">
        <f>IF($AM213=0,"",IF($AF213&lt;&gt;"Forex",1,IF(MID(UPPER(SUBSTITUTE(TRIM($E213),"/","")),4,3)=UPPER(TRIM(Settings!$C$7)),1,IF(LEFT(UPPER(SUBSTITUTE(TRIM($E213),"/","")),3)=UPPER(TRIM(Settings!$C$7)),IF(AND(ISNUMBER($K213),N($K213)&lt;&gt;0),1/$K213,""),""))))</f>
        <v/>
      </c>
      <c r="AI213" s="55" t="str">
        <f>IF($AM213=0,"",IF(OR(NOT(ISNUMBER($H213)),NOT(ISNUMBER($K213)),NOT(ISNUMBER($G213)),$AG213="",$AH213=""),"",ROUND(($K213-$H213)*IF($F213="Short",-1,1)*$G213*$AG213*$AH213,6)))</f>
        <v/>
      </c>
      <c r="AJ213" s="55" t="str">
        <f>IF($AM213=0,"",IF(INDEX(Settings!$E$14:$E$18,$BF213)="% of notional",IF(OR($AG213="",NOT(ISNUMBER($H213)),NOT(ISNUMBER($G213))),"",ROUND(ABS($H213*$G213*$AG213*N($AH213))*IF($L213="Limit",N(INDEX(Settings!$G$14:$G$18,$BF213)),N(INDEX(Settings!$H$14:$H$18,$BF213)))+IF(ISNUMBER($K213),ABS($K213*$G213*$AG213*N($AH213))*IF($M213="Target",N(INDEX(Settings!$G$14:$G$18,$BF213)),N(INDEX(Settings!$H$14:$H$18,$BF213))),0),6)),IF(NOT(ISNUMBER($G213)),"",ROUND(ABS($G213)*2*IF(AND($BE213&gt;0,ISNUMBER(INDEX(Instruments!$G$6:$G$205,MAX(1,$BE213)))),INDEX(Instruments!$G$6:$G$205,MAX(1,$BE213)),N(INDEX(Settings!$F$14:$F$18,$BF213))),6))))</f>
        <v/>
      </c>
      <c r="AK213" s="55" t="str">
        <f>IF($AM213=0,"",IF(ISNUMBER($O213),$O213,$AI213))</f>
        <v/>
      </c>
      <c r="AL213" s="55" t="str">
        <f>IF($AM213=0,"",IF(ISNUMBER($P213),$P213,N($AJ213)))</f>
        <v/>
      </c>
      <c r="AM213" s="56">
        <f>IF(AND($A213&lt;&gt;"",$E213&lt;&gt;"",OR(AND(ISNUMBER($G213),ISNUMBER($H213),ISNUMBER($K213)),ISNUMBER($O213))),1,0)</f>
        <v>0</v>
      </c>
      <c r="AN213" s="57" t="str">
        <f>IF($A213="","",$A213-WEEKDAY($A213,3))</f>
        <v/>
      </c>
      <c r="AO213" s="56" t="str">
        <f>IF($A213="","",WEEKDAY($A213,2))</f>
        <v/>
      </c>
      <c r="AP213" s="55" t="str">
        <f>IF(OR($AM213=0,$C213=""),"",IFERROR(N(INDEX(Accounts!$E$7:$E$16,MATCH($C213,Accounts!$B$7:$B$16,0))),0)+SUMIFS($Q$6:$Q213,$C$6:$C213,$C213))</f>
        <v/>
      </c>
      <c r="AQ213" s="55" t="str">
        <f>IF(OR($AM213=0,$C213=""),"",SUMIFS($Q$6:$Q$1005,$C$6:$C$1005,$C213,$A$6:$A$1005,$A213))</f>
        <v/>
      </c>
      <c r="AR213" s="55" t="str">
        <f>IF(OR($AM213=0,$C213=""),"",IFERROR(N(INDEX(Accounts!$E$7:$E$16,MATCH($C213,Accounts!$B$7:$B$16,0))),0)+SUMIFS($Q$6:$Q$1005,$C$6:$C$1005,$C213,$A$6:$A$1005,"&lt;="&amp;$A213))</f>
        <v/>
      </c>
      <c r="AS213" s="56">
        <f>IF(OR($AM213=0,$Q213=""),0,IF(AND($A213&gt;=Lists!$W$6,$A213&lt;=Lists!$W$7,OR(Dashboard!$D$6="All accounts",$C213=Dashboard!$D$6),OR(Dashboard!$D$7="All markets",$AF213=Dashboard!$D$7)),1,0))</f>
        <v>0</v>
      </c>
      <c r="AT213" s="55">
        <f>IF($AS213=1,N(AT212)+$Q213,N(AT212))</f>
        <v>1187.10688</v>
      </c>
      <c r="AU213" s="55">
        <f>MAX(N(AU212),$AT213)</f>
        <v>1187.10688</v>
      </c>
      <c r="AV213" s="55">
        <f>$AT213-$AU213</f>
        <v>0</v>
      </c>
      <c r="AW213" s="56">
        <f>IF($AS213=1,IF($S213="Win",N(AW212)+1,IF($S213="Loss",0,N(AW212))),N(AW212))</f>
        <v>5</v>
      </c>
      <c r="AX213" s="56">
        <f>IF($AS213=1,IF($S213="Loss",N(AX212)+1,IF($S213="Win",0,N(AX212))),N(AX212))</f>
        <v>0</v>
      </c>
      <c r="AY213" s="56" t="str">
        <f>IF($AS213=1,COUNTIF($AS$6:$AS213,1),"")</f>
        <v/>
      </c>
      <c r="AZ213" s="56">
        <f>MIN(207,N(Lists!$W$8))</f>
        <v>28</v>
      </c>
      <c r="BA213" s="56">
        <f>IF($AS213=1,IF(COUNTIFS($A$6:$A213,$A213,$AS$6:$AS213,1)=1,1,0),0)</f>
        <v>0</v>
      </c>
      <c r="BB213" s="55" t="str">
        <f>IF($BA213=1,SUMIFS($Q$6:$Q$1005,$A$6:$A$1005,$A213,$AS$6:$AS$1005,1),"")</f>
        <v/>
      </c>
      <c r="BC213" s="56">
        <f>IF(ISNUMBER($R213),1,0)</f>
        <v>0</v>
      </c>
      <c r="BD213" s="55" t="str">
        <f>IF(ISNUMBER($U213),$U213*$V213,"")</f>
        <v/>
      </c>
      <c r="BE213" s="56" t="str">
        <f>IF($AM213=0,"",IFERROR(MATCH($AF213&amp;"|"&amp;UPPER(TRIM($E213)),Lists!$A$6:$A$205,0),0))</f>
        <v/>
      </c>
      <c r="BF213" s="56" t="str">
        <f>IF($AM213=0,"",IFERROR(MATCH($AF213,Settings!$B$14:$B$18,0),IFERROR(MATCH(Settings!$C$6,Settings!$B$14:$B$18,0),1)))</f>
        <v/>
      </c>
      <c r="BG213" s="58" t="str">
        <f>IF($AM213=0,"",IF(NOT(ISNUMBER($I213)),"No stop; ","")&amp;IF(AND(ISNUMBER($H213),ISNUMBER($I213)),IF(OR(AND($F213&lt;&gt;"Short",$I213&gt;=$H213),AND($F213="Short",$I213&lt;=$H213)),"Stop on wrong side; ",""),"")&amp;IF($F213="","No direction; ","")&amp;IF(AND(ISNUMBER(Settings!$C$22),ISNUMBER($V213)),IF($V213&gt;Settings!$C$22,"Risk over max $; ",""),"")&amp;IF(AND(ISNUMBER(Settings!$C$23),ISNUMBER($V213),ISNUMBER($AP213),IFERROR(N(INDEX(Accounts!$E$7:$E$16,MATCH($C213,Accounts!$B$7:$B$16,0))),0)&gt;0),IF($V213&gt;Settings!$C$23*($AP213-N($Q213)),"Risk over max %; ",""),"")&amp;IF(AND(ISNUMBER(Settings!$C$24),ISNUMBER($N213)),IF($N213&gt;Settings!$C$24,"Leverage over max; ",""),"")&amp;IF(AND(ISNUMBER(Settings!$C$27),ISNUMBER($T213)),IF($T213&lt;Settings!$C$27,"R:R below min; ",""),"")&amp;IF(ISNUMBER(Settings!$C$25),IF(COUNTIFS($A$6:$A213,$A213,$AM$6:$AM213,1)&gt;Settings!$C$25,"Over max trades/day; ",""),"")&amp;IF(ISNUMBER(Settings!$C$26),IF(SUMIFS($Q$5:$Q212,$A$5:$A212,$A213)&lt;=-Settings!$C$26,"Traded after daily max loss; ",""),"")&amp;IF(AND($AG213="",NOT(ISNUMBER($O213))),"Symbol not in Instruments; ","")&amp;IF(AND($AH213="",NOT(ISNUMBER($O213))),"Forex cross: type Gross P&amp;L; ",""))</f>
        <v/>
      </c>
      <c r="BH213" s="56">
        <f>IF(ISNUMBER($Q213),1,0)</f>
        <v>0</v>
      </c>
      <c r="BI213" s="56">
        <f>IF($Y213="",0,1)</f>
        <v>0</v>
      </c>
      <c r="BJ213" s="56">
        <f>IF($AB213="",0,1)</f>
        <v>0</v>
      </c>
      <c r="BK213" s="56">
        <f>IF(AND($BH213=1,$W213&lt;&gt;"OK"),1,0)</f>
        <v>0</v>
      </c>
      <c r="BL213" s="55">
        <f>IF(N($AZ213)=0,0,IFERROR(INDEX($AT$6:$AT$1005,MATCH($AZ213,$AY$6:$AY$1005,0)),0))</f>
        <v>1187.10688</v>
      </c>
      <c r="BM213" s="56">
        <f>IF(ISNUMBER(SEARCH("daily max loss",$BG213)),1,0)</f>
        <v>0</v>
      </c>
    </row>
    <row r="214" ht="18" customHeight="1">
      <c r="A214" s="38" t="n"/>
      <c r="B214" s="39" t="n"/>
      <c r="C214" s="40" t="n"/>
      <c r="D214" s="41" t="n"/>
      <c r="E214" s="41" t="n"/>
      <c r="F214" s="41" t="n"/>
      <c r="G214" s="41" t="n"/>
      <c r="H214" s="42" t="n"/>
      <c r="I214" s="42" t="n"/>
      <c r="J214" s="42" t="n"/>
      <c r="K214" s="42" t="n"/>
      <c r="L214" s="41" t="n"/>
      <c r="M214" s="41" t="n"/>
      <c r="N214" s="41" t="n"/>
      <c r="O214" s="43" t="n"/>
      <c r="P214" s="43" t="n"/>
      <c r="Q214" s="44" t="str">
        <f>IF($AM214=0,"",IF(ISNUMBER($AK214),$AK214-N($AL214),""))</f>
        <v/>
      </c>
      <c r="R214" s="45" t="str">
        <f>IF(OR($Q214="",NOT(ISNUMBER($V214))),"",$AK214/$V214)</f>
        <v/>
      </c>
      <c r="S214" s="46" t="str">
        <f>IF($Q214="","",IF(AND(ISNUMBER($R214),ABS(N($R214))&lt;N(Settings!$C$8)),"Scratch",IF($Q214&gt;0,"Win",IF($Q214&lt;0,"Loss","Scratch"))))</f>
        <v/>
      </c>
      <c r="T214" s="47" t="str">
        <f>IF(OR($AM214=0,NOT(ISNUMBER($H214)),NOT(ISNUMBER($I214)),NOT(ISNUMBER($J214))),"",IF($H214=$I214,"",ROUND(ABS($J214-$H214)/ABS($H214-$I214),6)))</f>
        <v/>
      </c>
      <c r="U214" s="48" t="str">
        <f>IF(OR($S214&lt;&gt;"Win",NOT(ISNUMBER($T214)),NOT(ISNUMBER($R214))),"",MAX(0,$T214-$R214))</f>
        <v/>
      </c>
      <c r="V214" s="49" t="str">
        <f>IF(OR($AM214=0,NOT(ISNUMBER($H214)),NOT(ISNUMBER($I214)),NOT(ISNUMBER($G214))),"",IF(OR($AG214="",$AH214=""),"",IF(ROUND(ABS($H214-$I214)*ABS($G214)*$AG214*$AH214,6)=0,"",ROUND(ABS($H214-$I214)*ABS($G214)*$AG214*$AH214,6))))</f>
        <v/>
      </c>
      <c r="W214" s="50" t="str">
        <f>IF($AM214=0,"",IF($BG214="","OK",LEFT($BG214,LEN($BG214)-2)))</f>
        <v/>
      </c>
      <c r="X214" s="41" t="n"/>
      <c r="Y214" s="40" t="n"/>
      <c r="Z214" s="41" t="n"/>
      <c r="AA214" s="41" t="n"/>
      <c r="AB214" s="40" t="n"/>
      <c r="AC214" s="51" t="n"/>
      <c r="AD214" s="51" t="n"/>
      <c r="AE214" s="40" t="n"/>
      <c r="AF214" s="52" t="str">
        <f>IF($AM214=0,"",IF($D214&lt;&gt;"",$D214,IF(IFERROR(INDEX(Accounts!$C$7:$C$16,MATCH($C214,Accounts!$B$7:$B$16,0))&amp;"","")&lt;&gt;"",INDEX(Accounts!$C$7:$C$16,MATCH($C214,Accounts!$B$7:$B$16,0)),Settings!$C$6)))</f>
        <v/>
      </c>
      <c r="AG214" s="53" t="str">
        <f>IF($AM214=0,"",IF(AND($BE214&gt;0,N(INDEX(Instruments!$D$6:$D$205,MAX(1,$BE214)))&gt;0),INDEX(Instruments!$D$6:$D$205,MAX(1,$BE214)),IF(N(INDEX(Settings!$D$14:$D$18,$BF214))&gt;0,INDEX(Settings!$D$14:$D$18,$BF214),"")))</f>
        <v/>
      </c>
      <c r="AH214" s="54" t="str">
        <f>IF($AM214=0,"",IF($AF214&lt;&gt;"Forex",1,IF(MID(UPPER(SUBSTITUTE(TRIM($E214),"/","")),4,3)=UPPER(TRIM(Settings!$C$7)),1,IF(LEFT(UPPER(SUBSTITUTE(TRIM($E214),"/","")),3)=UPPER(TRIM(Settings!$C$7)),IF(AND(ISNUMBER($K214),N($K214)&lt;&gt;0),1/$K214,""),""))))</f>
        <v/>
      </c>
      <c r="AI214" s="55" t="str">
        <f>IF($AM214=0,"",IF(OR(NOT(ISNUMBER($H214)),NOT(ISNUMBER($K214)),NOT(ISNUMBER($G214)),$AG214="",$AH214=""),"",ROUND(($K214-$H214)*IF($F214="Short",-1,1)*$G214*$AG214*$AH214,6)))</f>
        <v/>
      </c>
      <c r="AJ214" s="55" t="str">
        <f>IF($AM214=0,"",IF(INDEX(Settings!$E$14:$E$18,$BF214)="% of notional",IF(OR($AG214="",NOT(ISNUMBER($H214)),NOT(ISNUMBER($G214))),"",ROUND(ABS($H214*$G214*$AG214*N($AH214))*IF($L214="Limit",N(INDEX(Settings!$G$14:$G$18,$BF214)),N(INDEX(Settings!$H$14:$H$18,$BF214)))+IF(ISNUMBER($K214),ABS($K214*$G214*$AG214*N($AH214))*IF($M214="Target",N(INDEX(Settings!$G$14:$G$18,$BF214)),N(INDEX(Settings!$H$14:$H$18,$BF214))),0),6)),IF(NOT(ISNUMBER($G214)),"",ROUND(ABS($G214)*2*IF(AND($BE214&gt;0,ISNUMBER(INDEX(Instruments!$G$6:$G$205,MAX(1,$BE214)))),INDEX(Instruments!$G$6:$G$205,MAX(1,$BE214)),N(INDEX(Settings!$F$14:$F$18,$BF214))),6))))</f>
        <v/>
      </c>
      <c r="AK214" s="55" t="str">
        <f>IF($AM214=0,"",IF(ISNUMBER($O214),$O214,$AI214))</f>
        <v/>
      </c>
      <c r="AL214" s="55" t="str">
        <f>IF($AM214=0,"",IF(ISNUMBER($P214),$P214,N($AJ214)))</f>
        <v/>
      </c>
      <c r="AM214" s="56">
        <f>IF(AND($A214&lt;&gt;"",$E214&lt;&gt;"",OR(AND(ISNUMBER($G214),ISNUMBER($H214),ISNUMBER($K214)),ISNUMBER($O214))),1,0)</f>
        <v>0</v>
      </c>
      <c r="AN214" s="57" t="str">
        <f>IF($A214="","",$A214-WEEKDAY($A214,3))</f>
        <v/>
      </c>
      <c r="AO214" s="56" t="str">
        <f>IF($A214="","",WEEKDAY($A214,2))</f>
        <v/>
      </c>
      <c r="AP214" s="55" t="str">
        <f>IF(OR($AM214=0,$C214=""),"",IFERROR(N(INDEX(Accounts!$E$7:$E$16,MATCH($C214,Accounts!$B$7:$B$16,0))),0)+SUMIFS($Q$6:$Q214,$C$6:$C214,$C214))</f>
        <v/>
      </c>
      <c r="AQ214" s="55" t="str">
        <f>IF(OR($AM214=0,$C214=""),"",SUMIFS($Q$6:$Q$1005,$C$6:$C$1005,$C214,$A$6:$A$1005,$A214))</f>
        <v/>
      </c>
      <c r="AR214" s="55" t="str">
        <f>IF(OR($AM214=0,$C214=""),"",IFERROR(N(INDEX(Accounts!$E$7:$E$16,MATCH($C214,Accounts!$B$7:$B$16,0))),0)+SUMIFS($Q$6:$Q$1005,$C$6:$C$1005,$C214,$A$6:$A$1005,"&lt;="&amp;$A214))</f>
        <v/>
      </c>
      <c r="AS214" s="56">
        <f>IF(OR($AM214=0,$Q214=""),0,IF(AND($A214&gt;=Lists!$W$6,$A214&lt;=Lists!$W$7,OR(Dashboard!$D$6="All accounts",$C214=Dashboard!$D$6),OR(Dashboard!$D$7="All markets",$AF214=Dashboard!$D$7)),1,0))</f>
        <v>0</v>
      </c>
      <c r="AT214" s="55">
        <f>IF($AS214=1,N(AT213)+$Q214,N(AT213))</f>
        <v>1187.10688</v>
      </c>
      <c r="AU214" s="55">
        <f>MAX(N(AU213),$AT214)</f>
        <v>1187.10688</v>
      </c>
      <c r="AV214" s="55">
        <f>$AT214-$AU214</f>
        <v>0</v>
      </c>
      <c r="AW214" s="56">
        <f>IF($AS214=1,IF($S214="Win",N(AW213)+1,IF($S214="Loss",0,N(AW213))),N(AW213))</f>
        <v>5</v>
      </c>
      <c r="AX214" s="56">
        <f>IF($AS214=1,IF($S214="Loss",N(AX213)+1,IF($S214="Win",0,N(AX213))),N(AX213))</f>
        <v>0</v>
      </c>
      <c r="AY214" s="56" t="str">
        <f>IF($AS214=1,COUNTIF($AS$6:$AS214,1),"")</f>
        <v/>
      </c>
      <c r="AZ214" s="56">
        <f>MIN(208,N(Lists!$W$8))</f>
        <v>28</v>
      </c>
      <c r="BA214" s="56">
        <f>IF($AS214=1,IF(COUNTIFS($A$6:$A214,$A214,$AS$6:$AS214,1)=1,1,0),0)</f>
        <v>0</v>
      </c>
      <c r="BB214" s="55" t="str">
        <f>IF($BA214=1,SUMIFS($Q$6:$Q$1005,$A$6:$A$1005,$A214,$AS$6:$AS$1005,1),"")</f>
        <v/>
      </c>
      <c r="BC214" s="56">
        <f>IF(ISNUMBER($R214),1,0)</f>
        <v>0</v>
      </c>
      <c r="BD214" s="55" t="str">
        <f>IF(ISNUMBER($U214),$U214*$V214,"")</f>
        <v/>
      </c>
      <c r="BE214" s="56" t="str">
        <f>IF($AM214=0,"",IFERROR(MATCH($AF214&amp;"|"&amp;UPPER(TRIM($E214)),Lists!$A$6:$A$205,0),0))</f>
        <v/>
      </c>
      <c r="BF214" s="56" t="str">
        <f>IF($AM214=0,"",IFERROR(MATCH($AF214,Settings!$B$14:$B$18,0),IFERROR(MATCH(Settings!$C$6,Settings!$B$14:$B$18,0),1)))</f>
        <v/>
      </c>
      <c r="BG214" s="58" t="str">
        <f>IF($AM214=0,"",IF(NOT(ISNUMBER($I214)),"No stop; ","")&amp;IF(AND(ISNUMBER($H214),ISNUMBER($I214)),IF(OR(AND($F214&lt;&gt;"Short",$I214&gt;=$H214),AND($F214="Short",$I214&lt;=$H214)),"Stop on wrong side; ",""),"")&amp;IF($F214="","No direction; ","")&amp;IF(AND(ISNUMBER(Settings!$C$22),ISNUMBER($V214)),IF($V214&gt;Settings!$C$22,"Risk over max $; ",""),"")&amp;IF(AND(ISNUMBER(Settings!$C$23),ISNUMBER($V214),ISNUMBER($AP214),IFERROR(N(INDEX(Accounts!$E$7:$E$16,MATCH($C214,Accounts!$B$7:$B$16,0))),0)&gt;0),IF($V214&gt;Settings!$C$23*($AP214-N($Q214)),"Risk over max %; ",""),"")&amp;IF(AND(ISNUMBER(Settings!$C$24),ISNUMBER($N214)),IF($N214&gt;Settings!$C$24,"Leverage over max; ",""),"")&amp;IF(AND(ISNUMBER(Settings!$C$27),ISNUMBER($T214)),IF($T214&lt;Settings!$C$27,"R:R below min; ",""),"")&amp;IF(ISNUMBER(Settings!$C$25),IF(COUNTIFS($A$6:$A214,$A214,$AM$6:$AM214,1)&gt;Settings!$C$25,"Over max trades/day; ",""),"")&amp;IF(ISNUMBER(Settings!$C$26),IF(SUMIFS($Q$5:$Q213,$A$5:$A213,$A214)&lt;=-Settings!$C$26,"Traded after daily max loss; ",""),"")&amp;IF(AND($AG214="",NOT(ISNUMBER($O214))),"Symbol not in Instruments; ","")&amp;IF(AND($AH214="",NOT(ISNUMBER($O214))),"Forex cross: type Gross P&amp;L; ",""))</f>
        <v/>
      </c>
      <c r="BH214" s="56">
        <f>IF(ISNUMBER($Q214),1,0)</f>
        <v>0</v>
      </c>
      <c r="BI214" s="56">
        <f>IF($Y214="",0,1)</f>
        <v>0</v>
      </c>
      <c r="BJ214" s="56">
        <f>IF($AB214="",0,1)</f>
        <v>0</v>
      </c>
      <c r="BK214" s="56">
        <f>IF(AND($BH214=1,$W214&lt;&gt;"OK"),1,0)</f>
        <v>0</v>
      </c>
      <c r="BL214" s="55">
        <f>IF(N($AZ214)=0,0,IFERROR(INDEX($AT$6:$AT$1005,MATCH($AZ214,$AY$6:$AY$1005,0)),0))</f>
        <v>1187.10688</v>
      </c>
      <c r="BM214" s="56">
        <f>IF(ISNUMBER(SEARCH("daily max loss",$BG214)),1,0)</f>
        <v>0</v>
      </c>
    </row>
    <row r="215" ht="18" customHeight="1">
      <c r="A215" s="38" t="n"/>
      <c r="B215" s="39" t="n"/>
      <c r="C215" s="40" t="n"/>
      <c r="D215" s="41" t="n"/>
      <c r="E215" s="41" t="n"/>
      <c r="F215" s="41" t="n"/>
      <c r="G215" s="41" t="n"/>
      <c r="H215" s="42" t="n"/>
      <c r="I215" s="42" t="n"/>
      <c r="J215" s="42" t="n"/>
      <c r="K215" s="42" t="n"/>
      <c r="L215" s="41" t="n"/>
      <c r="M215" s="41" t="n"/>
      <c r="N215" s="41" t="n"/>
      <c r="O215" s="43" t="n"/>
      <c r="P215" s="43" t="n"/>
      <c r="Q215" s="44" t="str">
        <f>IF($AM215=0,"",IF(ISNUMBER($AK215),$AK215-N($AL215),""))</f>
        <v/>
      </c>
      <c r="R215" s="45" t="str">
        <f>IF(OR($Q215="",NOT(ISNUMBER($V215))),"",$AK215/$V215)</f>
        <v/>
      </c>
      <c r="S215" s="46" t="str">
        <f>IF($Q215="","",IF(AND(ISNUMBER($R215),ABS(N($R215))&lt;N(Settings!$C$8)),"Scratch",IF($Q215&gt;0,"Win",IF($Q215&lt;0,"Loss","Scratch"))))</f>
        <v/>
      </c>
      <c r="T215" s="47" t="str">
        <f>IF(OR($AM215=0,NOT(ISNUMBER($H215)),NOT(ISNUMBER($I215)),NOT(ISNUMBER($J215))),"",IF($H215=$I215,"",ROUND(ABS($J215-$H215)/ABS($H215-$I215),6)))</f>
        <v/>
      </c>
      <c r="U215" s="48" t="str">
        <f>IF(OR($S215&lt;&gt;"Win",NOT(ISNUMBER($T215)),NOT(ISNUMBER($R215))),"",MAX(0,$T215-$R215))</f>
        <v/>
      </c>
      <c r="V215" s="49" t="str">
        <f>IF(OR($AM215=0,NOT(ISNUMBER($H215)),NOT(ISNUMBER($I215)),NOT(ISNUMBER($G215))),"",IF(OR($AG215="",$AH215=""),"",IF(ROUND(ABS($H215-$I215)*ABS($G215)*$AG215*$AH215,6)=0,"",ROUND(ABS($H215-$I215)*ABS($G215)*$AG215*$AH215,6))))</f>
        <v/>
      </c>
      <c r="W215" s="50" t="str">
        <f>IF($AM215=0,"",IF($BG215="","OK",LEFT($BG215,LEN($BG215)-2)))</f>
        <v/>
      </c>
      <c r="X215" s="41" t="n"/>
      <c r="Y215" s="40" t="n"/>
      <c r="Z215" s="41" t="n"/>
      <c r="AA215" s="41" t="n"/>
      <c r="AB215" s="40" t="n"/>
      <c r="AC215" s="51" t="n"/>
      <c r="AD215" s="51" t="n"/>
      <c r="AE215" s="40" t="n"/>
      <c r="AF215" s="52" t="str">
        <f>IF($AM215=0,"",IF($D215&lt;&gt;"",$D215,IF(IFERROR(INDEX(Accounts!$C$7:$C$16,MATCH($C215,Accounts!$B$7:$B$16,0))&amp;"","")&lt;&gt;"",INDEX(Accounts!$C$7:$C$16,MATCH($C215,Accounts!$B$7:$B$16,0)),Settings!$C$6)))</f>
        <v/>
      </c>
      <c r="AG215" s="53" t="str">
        <f>IF($AM215=0,"",IF(AND($BE215&gt;0,N(INDEX(Instruments!$D$6:$D$205,MAX(1,$BE215)))&gt;0),INDEX(Instruments!$D$6:$D$205,MAX(1,$BE215)),IF(N(INDEX(Settings!$D$14:$D$18,$BF215))&gt;0,INDEX(Settings!$D$14:$D$18,$BF215),"")))</f>
        <v/>
      </c>
      <c r="AH215" s="54" t="str">
        <f>IF($AM215=0,"",IF($AF215&lt;&gt;"Forex",1,IF(MID(UPPER(SUBSTITUTE(TRIM($E215),"/","")),4,3)=UPPER(TRIM(Settings!$C$7)),1,IF(LEFT(UPPER(SUBSTITUTE(TRIM($E215),"/","")),3)=UPPER(TRIM(Settings!$C$7)),IF(AND(ISNUMBER($K215),N($K215)&lt;&gt;0),1/$K215,""),""))))</f>
        <v/>
      </c>
      <c r="AI215" s="55" t="str">
        <f>IF($AM215=0,"",IF(OR(NOT(ISNUMBER($H215)),NOT(ISNUMBER($K215)),NOT(ISNUMBER($G215)),$AG215="",$AH215=""),"",ROUND(($K215-$H215)*IF($F215="Short",-1,1)*$G215*$AG215*$AH215,6)))</f>
        <v/>
      </c>
      <c r="AJ215" s="55" t="str">
        <f>IF($AM215=0,"",IF(INDEX(Settings!$E$14:$E$18,$BF215)="% of notional",IF(OR($AG215="",NOT(ISNUMBER($H215)),NOT(ISNUMBER($G215))),"",ROUND(ABS($H215*$G215*$AG215*N($AH215))*IF($L215="Limit",N(INDEX(Settings!$G$14:$G$18,$BF215)),N(INDEX(Settings!$H$14:$H$18,$BF215)))+IF(ISNUMBER($K215),ABS($K215*$G215*$AG215*N($AH215))*IF($M215="Target",N(INDEX(Settings!$G$14:$G$18,$BF215)),N(INDEX(Settings!$H$14:$H$18,$BF215))),0),6)),IF(NOT(ISNUMBER($G215)),"",ROUND(ABS($G215)*2*IF(AND($BE215&gt;0,ISNUMBER(INDEX(Instruments!$G$6:$G$205,MAX(1,$BE215)))),INDEX(Instruments!$G$6:$G$205,MAX(1,$BE215)),N(INDEX(Settings!$F$14:$F$18,$BF215))),6))))</f>
        <v/>
      </c>
      <c r="AK215" s="55" t="str">
        <f>IF($AM215=0,"",IF(ISNUMBER($O215),$O215,$AI215))</f>
        <v/>
      </c>
      <c r="AL215" s="55" t="str">
        <f>IF($AM215=0,"",IF(ISNUMBER($P215),$P215,N($AJ215)))</f>
        <v/>
      </c>
      <c r="AM215" s="56">
        <f>IF(AND($A215&lt;&gt;"",$E215&lt;&gt;"",OR(AND(ISNUMBER($G215),ISNUMBER($H215),ISNUMBER($K215)),ISNUMBER($O215))),1,0)</f>
        <v>0</v>
      </c>
      <c r="AN215" s="57" t="str">
        <f>IF($A215="","",$A215-WEEKDAY($A215,3))</f>
        <v/>
      </c>
      <c r="AO215" s="56" t="str">
        <f>IF($A215="","",WEEKDAY($A215,2))</f>
        <v/>
      </c>
      <c r="AP215" s="55" t="str">
        <f>IF(OR($AM215=0,$C215=""),"",IFERROR(N(INDEX(Accounts!$E$7:$E$16,MATCH($C215,Accounts!$B$7:$B$16,0))),0)+SUMIFS($Q$6:$Q215,$C$6:$C215,$C215))</f>
        <v/>
      </c>
      <c r="AQ215" s="55" t="str">
        <f>IF(OR($AM215=0,$C215=""),"",SUMIFS($Q$6:$Q$1005,$C$6:$C$1005,$C215,$A$6:$A$1005,$A215))</f>
        <v/>
      </c>
      <c r="AR215" s="55" t="str">
        <f>IF(OR($AM215=0,$C215=""),"",IFERROR(N(INDEX(Accounts!$E$7:$E$16,MATCH($C215,Accounts!$B$7:$B$16,0))),0)+SUMIFS($Q$6:$Q$1005,$C$6:$C$1005,$C215,$A$6:$A$1005,"&lt;="&amp;$A215))</f>
        <v/>
      </c>
      <c r="AS215" s="56">
        <f>IF(OR($AM215=0,$Q215=""),0,IF(AND($A215&gt;=Lists!$W$6,$A215&lt;=Lists!$W$7,OR(Dashboard!$D$6="All accounts",$C215=Dashboard!$D$6),OR(Dashboard!$D$7="All markets",$AF215=Dashboard!$D$7)),1,0))</f>
        <v>0</v>
      </c>
      <c r="AT215" s="55">
        <f>IF($AS215=1,N(AT214)+$Q215,N(AT214))</f>
        <v>1187.10688</v>
      </c>
      <c r="AU215" s="55">
        <f>MAX(N(AU214),$AT215)</f>
        <v>1187.10688</v>
      </c>
      <c r="AV215" s="55">
        <f>$AT215-$AU215</f>
        <v>0</v>
      </c>
      <c r="AW215" s="56">
        <f>IF($AS215=1,IF($S215="Win",N(AW214)+1,IF($S215="Loss",0,N(AW214))),N(AW214))</f>
        <v>5</v>
      </c>
      <c r="AX215" s="56">
        <f>IF($AS215=1,IF($S215="Loss",N(AX214)+1,IF($S215="Win",0,N(AX214))),N(AX214))</f>
        <v>0</v>
      </c>
      <c r="AY215" s="56" t="str">
        <f>IF($AS215=1,COUNTIF($AS$6:$AS215,1),"")</f>
        <v/>
      </c>
      <c r="AZ215" s="56">
        <f>MIN(209,N(Lists!$W$8))</f>
        <v>28</v>
      </c>
      <c r="BA215" s="56">
        <f>IF($AS215=1,IF(COUNTIFS($A$6:$A215,$A215,$AS$6:$AS215,1)=1,1,0),0)</f>
        <v>0</v>
      </c>
      <c r="BB215" s="55" t="str">
        <f>IF($BA215=1,SUMIFS($Q$6:$Q$1005,$A$6:$A$1005,$A215,$AS$6:$AS$1005,1),"")</f>
        <v/>
      </c>
      <c r="BC215" s="56">
        <f>IF(ISNUMBER($R215),1,0)</f>
        <v>0</v>
      </c>
      <c r="BD215" s="55" t="str">
        <f>IF(ISNUMBER($U215),$U215*$V215,"")</f>
        <v/>
      </c>
      <c r="BE215" s="56" t="str">
        <f>IF($AM215=0,"",IFERROR(MATCH($AF215&amp;"|"&amp;UPPER(TRIM($E215)),Lists!$A$6:$A$205,0),0))</f>
        <v/>
      </c>
      <c r="BF215" s="56" t="str">
        <f>IF($AM215=0,"",IFERROR(MATCH($AF215,Settings!$B$14:$B$18,0),IFERROR(MATCH(Settings!$C$6,Settings!$B$14:$B$18,0),1)))</f>
        <v/>
      </c>
      <c r="BG215" s="58" t="str">
        <f>IF($AM215=0,"",IF(NOT(ISNUMBER($I215)),"No stop; ","")&amp;IF(AND(ISNUMBER($H215),ISNUMBER($I215)),IF(OR(AND($F215&lt;&gt;"Short",$I215&gt;=$H215),AND($F215="Short",$I215&lt;=$H215)),"Stop on wrong side; ",""),"")&amp;IF($F215="","No direction; ","")&amp;IF(AND(ISNUMBER(Settings!$C$22),ISNUMBER($V215)),IF($V215&gt;Settings!$C$22,"Risk over max $; ",""),"")&amp;IF(AND(ISNUMBER(Settings!$C$23),ISNUMBER($V215),ISNUMBER($AP215),IFERROR(N(INDEX(Accounts!$E$7:$E$16,MATCH($C215,Accounts!$B$7:$B$16,0))),0)&gt;0),IF($V215&gt;Settings!$C$23*($AP215-N($Q215)),"Risk over max %; ",""),"")&amp;IF(AND(ISNUMBER(Settings!$C$24),ISNUMBER($N215)),IF($N215&gt;Settings!$C$24,"Leverage over max; ",""),"")&amp;IF(AND(ISNUMBER(Settings!$C$27),ISNUMBER($T215)),IF($T215&lt;Settings!$C$27,"R:R below min; ",""),"")&amp;IF(ISNUMBER(Settings!$C$25),IF(COUNTIFS($A$6:$A215,$A215,$AM$6:$AM215,1)&gt;Settings!$C$25,"Over max trades/day; ",""),"")&amp;IF(ISNUMBER(Settings!$C$26),IF(SUMIFS($Q$5:$Q214,$A$5:$A214,$A215)&lt;=-Settings!$C$26,"Traded after daily max loss; ",""),"")&amp;IF(AND($AG215="",NOT(ISNUMBER($O215))),"Symbol not in Instruments; ","")&amp;IF(AND($AH215="",NOT(ISNUMBER($O215))),"Forex cross: type Gross P&amp;L; ",""))</f>
        <v/>
      </c>
      <c r="BH215" s="56">
        <f>IF(ISNUMBER($Q215),1,0)</f>
        <v>0</v>
      </c>
      <c r="BI215" s="56">
        <f>IF($Y215="",0,1)</f>
        <v>0</v>
      </c>
      <c r="BJ215" s="56">
        <f>IF($AB215="",0,1)</f>
        <v>0</v>
      </c>
      <c r="BK215" s="56">
        <f>IF(AND($BH215=1,$W215&lt;&gt;"OK"),1,0)</f>
        <v>0</v>
      </c>
      <c r="BL215" s="55">
        <f>IF(N($AZ215)=0,0,IFERROR(INDEX($AT$6:$AT$1005,MATCH($AZ215,$AY$6:$AY$1005,0)),0))</f>
        <v>1187.10688</v>
      </c>
      <c r="BM215" s="56">
        <f>IF(ISNUMBER(SEARCH("daily max loss",$BG215)),1,0)</f>
        <v>0</v>
      </c>
    </row>
    <row r="216" ht="18" customHeight="1">
      <c r="A216" s="38" t="n"/>
      <c r="B216" s="39" t="n"/>
      <c r="C216" s="40" t="n"/>
      <c r="D216" s="41" t="n"/>
      <c r="E216" s="41" t="n"/>
      <c r="F216" s="41" t="n"/>
      <c r="G216" s="41" t="n"/>
      <c r="H216" s="42" t="n"/>
      <c r="I216" s="42" t="n"/>
      <c r="J216" s="42" t="n"/>
      <c r="K216" s="42" t="n"/>
      <c r="L216" s="41" t="n"/>
      <c r="M216" s="41" t="n"/>
      <c r="N216" s="41" t="n"/>
      <c r="O216" s="43" t="n"/>
      <c r="P216" s="43" t="n"/>
      <c r="Q216" s="44" t="str">
        <f>IF($AM216=0,"",IF(ISNUMBER($AK216),$AK216-N($AL216),""))</f>
        <v/>
      </c>
      <c r="R216" s="45" t="str">
        <f>IF(OR($Q216="",NOT(ISNUMBER($V216))),"",$AK216/$V216)</f>
        <v/>
      </c>
      <c r="S216" s="46" t="str">
        <f>IF($Q216="","",IF(AND(ISNUMBER($R216),ABS(N($R216))&lt;N(Settings!$C$8)),"Scratch",IF($Q216&gt;0,"Win",IF($Q216&lt;0,"Loss","Scratch"))))</f>
        <v/>
      </c>
      <c r="T216" s="47" t="str">
        <f>IF(OR($AM216=0,NOT(ISNUMBER($H216)),NOT(ISNUMBER($I216)),NOT(ISNUMBER($J216))),"",IF($H216=$I216,"",ROUND(ABS($J216-$H216)/ABS($H216-$I216),6)))</f>
        <v/>
      </c>
      <c r="U216" s="48" t="str">
        <f>IF(OR($S216&lt;&gt;"Win",NOT(ISNUMBER($T216)),NOT(ISNUMBER($R216))),"",MAX(0,$T216-$R216))</f>
        <v/>
      </c>
      <c r="V216" s="49" t="str">
        <f>IF(OR($AM216=0,NOT(ISNUMBER($H216)),NOT(ISNUMBER($I216)),NOT(ISNUMBER($G216))),"",IF(OR($AG216="",$AH216=""),"",IF(ROUND(ABS($H216-$I216)*ABS($G216)*$AG216*$AH216,6)=0,"",ROUND(ABS($H216-$I216)*ABS($G216)*$AG216*$AH216,6))))</f>
        <v/>
      </c>
      <c r="W216" s="50" t="str">
        <f>IF($AM216=0,"",IF($BG216="","OK",LEFT($BG216,LEN($BG216)-2)))</f>
        <v/>
      </c>
      <c r="X216" s="41" t="n"/>
      <c r="Y216" s="40" t="n"/>
      <c r="Z216" s="41" t="n"/>
      <c r="AA216" s="41" t="n"/>
      <c r="AB216" s="40" t="n"/>
      <c r="AC216" s="51" t="n"/>
      <c r="AD216" s="51" t="n"/>
      <c r="AE216" s="40" t="n"/>
      <c r="AF216" s="52" t="str">
        <f>IF($AM216=0,"",IF($D216&lt;&gt;"",$D216,IF(IFERROR(INDEX(Accounts!$C$7:$C$16,MATCH($C216,Accounts!$B$7:$B$16,0))&amp;"","")&lt;&gt;"",INDEX(Accounts!$C$7:$C$16,MATCH($C216,Accounts!$B$7:$B$16,0)),Settings!$C$6)))</f>
        <v/>
      </c>
      <c r="AG216" s="53" t="str">
        <f>IF($AM216=0,"",IF(AND($BE216&gt;0,N(INDEX(Instruments!$D$6:$D$205,MAX(1,$BE216)))&gt;0),INDEX(Instruments!$D$6:$D$205,MAX(1,$BE216)),IF(N(INDEX(Settings!$D$14:$D$18,$BF216))&gt;0,INDEX(Settings!$D$14:$D$18,$BF216),"")))</f>
        <v/>
      </c>
      <c r="AH216" s="54" t="str">
        <f>IF($AM216=0,"",IF($AF216&lt;&gt;"Forex",1,IF(MID(UPPER(SUBSTITUTE(TRIM($E216),"/","")),4,3)=UPPER(TRIM(Settings!$C$7)),1,IF(LEFT(UPPER(SUBSTITUTE(TRIM($E216),"/","")),3)=UPPER(TRIM(Settings!$C$7)),IF(AND(ISNUMBER($K216),N($K216)&lt;&gt;0),1/$K216,""),""))))</f>
        <v/>
      </c>
      <c r="AI216" s="55" t="str">
        <f>IF($AM216=0,"",IF(OR(NOT(ISNUMBER($H216)),NOT(ISNUMBER($K216)),NOT(ISNUMBER($G216)),$AG216="",$AH216=""),"",ROUND(($K216-$H216)*IF($F216="Short",-1,1)*$G216*$AG216*$AH216,6)))</f>
        <v/>
      </c>
      <c r="AJ216" s="55" t="str">
        <f>IF($AM216=0,"",IF(INDEX(Settings!$E$14:$E$18,$BF216)="% of notional",IF(OR($AG216="",NOT(ISNUMBER($H216)),NOT(ISNUMBER($G216))),"",ROUND(ABS($H216*$G216*$AG216*N($AH216))*IF($L216="Limit",N(INDEX(Settings!$G$14:$G$18,$BF216)),N(INDEX(Settings!$H$14:$H$18,$BF216)))+IF(ISNUMBER($K216),ABS($K216*$G216*$AG216*N($AH216))*IF($M216="Target",N(INDEX(Settings!$G$14:$G$18,$BF216)),N(INDEX(Settings!$H$14:$H$18,$BF216))),0),6)),IF(NOT(ISNUMBER($G216)),"",ROUND(ABS($G216)*2*IF(AND($BE216&gt;0,ISNUMBER(INDEX(Instruments!$G$6:$G$205,MAX(1,$BE216)))),INDEX(Instruments!$G$6:$G$205,MAX(1,$BE216)),N(INDEX(Settings!$F$14:$F$18,$BF216))),6))))</f>
        <v/>
      </c>
      <c r="AK216" s="55" t="str">
        <f>IF($AM216=0,"",IF(ISNUMBER($O216),$O216,$AI216))</f>
        <v/>
      </c>
      <c r="AL216" s="55" t="str">
        <f>IF($AM216=0,"",IF(ISNUMBER($P216),$P216,N($AJ216)))</f>
        <v/>
      </c>
      <c r="AM216" s="56">
        <f>IF(AND($A216&lt;&gt;"",$E216&lt;&gt;"",OR(AND(ISNUMBER($G216),ISNUMBER($H216),ISNUMBER($K216)),ISNUMBER($O216))),1,0)</f>
        <v>0</v>
      </c>
      <c r="AN216" s="57" t="str">
        <f>IF($A216="","",$A216-WEEKDAY($A216,3))</f>
        <v/>
      </c>
      <c r="AO216" s="56" t="str">
        <f>IF($A216="","",WEEKDAY($A216,2))</f>
        <v/>
      </c>
      <c r="AP216" s="55" t="str">
        <f>IF(OR($AM216=0,$C216=""),"",IFERROR(N(INDEX(Accounts!$E$7:$E$16,MATCH($C216,Accounts!$B$7:$B$16,0))),0)+SUMIFS($Q$6:$Q216,$C$6:$C216,$C216))</f>
        <v/>
      </c>
      <c r="AQ216" s="55" t="str">
        <f>IF(OR($AM216=0,$C216=""),"",SUMIFS($Q$6:$Q$1005,$C$6:$C$1005,$C216,$A$6:$A$1005,$A216))</f>
        <v/>
      </c>
      <c r="AR216" s="55" t="str">
        <f>IF(OR($AM216=0,$C216=""),"",IFERROR(N(INDEX(Accounts!$E$7:$E$16,MATCH($C216,Accounts!$B$7:$B$16,0))),0)+SUMIFS($Q$6:$Q$1005,$C$6:$C$1005,$C216,$A$6:$A$1005,"&lt;="&amp;$A216))</f>
        <v/>
      </c>
      <c r="AS216" s="56">
        <f>IF(OR($AM216=0,$Q216=""),0,IF(AND($A216&gt;=Lists!$W$6,$A216&lt;=Lists!$W$7,OR(Dashboard!$D$6="All accounts",$C216=Dashboard!$D$6),OR(Dashboard!$D$7="All markets",$AF216=Dashboard!$D$7)),1,0))</f>
        <v>0</v>
      </c>
      <c r="AT216" s="55">
        <f>IF($AS216=1,N(AT215)+$Q216,N(AT215))</f>
        <v>1187.10688</v>
      </c>
      <c r="AU216" s="55">
        <f>MAX(N(AU215),$AT216)</f>
        <v>1187.10688</v>
      </c>
      <c r="AV216" s="55">
        <f>$AT216-$AU216</f>
        <v>0</v>
      </c>
      <c r="AW216" s="56">
        <f>IF($AS216=1,IF($S216="Win",N(AW215)+1,IF($S216="Loss",0,N(AW215))),N(AW215))</f>
        <v>5</v>
      </c>
      <c r="AX216" s="56">
        <f>IF($AS216=1,IF($S216="Loss",N(AX215)+1,IF($S216="Win",0,N(AX215))),N(AX215))</f>
        <v>0</v>
      </c>
      <c r="AY216" s="56" t="str">
        <f>IF($AS216=1,COUNTIF($AS$6:$AS216,1),"")</f>
        <v/>
      </c>
      <c r="AZ216" s="56">
        <f>MIN(210,N(Lists!$W$8))</f>
        <v>28</v>
      </c>
      <c r="BA216" s="56">
        <f>IF($AS216=1,IF(COUNTIFS($A$6:$A216,$A216,$AS$6:$AS216,1)=1,1,0),0)</f>
        <v>0</v>
      </c>
      <c r="BB216" s="55" t="str">
        <f>IF($BA216=1,SUMIFS($Q$6:$Q$1005,$A$6:$A$1005,$A216,$AS$6:$AS$1005,1),"")</f>
        <v/>
      </c>
      <c r="BC216" s="56">
        <f>IF(ISNUMBER($R216),1,0)</f>
        <v>0</v>
      </c>
      <c r="BD216" s="55" t="str">
        <f>IF(ISNUMBER($U216),$U216*$V216,"")</f>
        <v/>
      </c>
      <c r="BE216" s="56" t="str">
        <f>IF($AM216=0,"",IFERROR(MATCH($AF216&amp;"|"&amp;UPPER(TRIM($E216)),Lists!$A$6:$A$205,0),0))</f>
        <v/>
      </c>
      <c r="BF216" s="56" t="str">
        <f>IF($AM216=0,"",IFERROR(MATCH($AF216,Settings!$B$14:$B$18,0),IFERROR(MATCH(Settings!$C$6,Settings!$B$14:$B$18,0),1)))</f>
        <v/>
      </c>
      <c r="BG216" s="58" t="str">
        <f>IF($AM216=0,"",IF(NOT(ISNUMBER($I216)),"No stop; ","")&amp;IF(AND(ISNUMBER($H216),ISNUMBER($I216)),IF(OR(AND($F216&lt;&gt;"Short",$I216&gt;=$H216),AND($F216="Short",$I216&lt;=$H216)),"Stop on wrong side; ",""),"")&amp;IF($F216="","No direction; ","")&amp;IF(AND(ISNUMBER(Settings!$C$22),ISNUMBER($V216)),IF($V216&gt;Settings!$C$22,"Risk over max $; ",""),"")&amp;IF(AND(ISNUMBER(Settings!$C$23),ISNUMBER($V216),ISNUMBER($AP216),IFERROR(N(INDEX(Accounts!$E$7:$E$16,MATCH($C216,Accounts!$B$7:$B$16,0))),0)&gt;0),IF($V216&gt;Settings!$C$23*($AP216-N($Q216)),"Risk over max %; ",""),"")&amp;IF(AND(ISNUMBER(Settings!$C$24),ISNUMBER($N216)),IF($N216&gt;Settings!$C$24,"Leverage over max; ",""),"")&amp;IF(AND(ISNUMBER(Settings!$C$27),ISNUMBER($T216)),IF($T216&lt;Settings!$C$27,"R:R below min; ",""),"")&amp;IF(ISNUMBER(Settings!$C$25),IF(COUNTIFS($A$6:$A216,$A216,$AM$6:$AM216,1)&gt;Settings!$C$25,"Over max trades/day; ",""),"")&amp;IF(ISNUMBER(Settings!$C$26),IF(SUMIFS($Q$5:$Q215,$A$5:$A215,$A216)&lt;=-Settings!$C$26,"Traded after daily max loss; ",""),"")&amp;IF(AND($AG216="",NOT(ISNUMBER($O216))),"Symbol not in Instruments; ","")&amp;IF(AND($AH216="",NOT(ISNUMBER($O216))),"Forex cross: type Gross P&amp;L; ",""))</f>
        <v/>
      </c>
      <c r="BH216" s="56">
        <f>IF(ISNUMBER($Q216),1,0)</f>
        <v>0</v>
      </c>
      <c r="BI216" s="56">
        <f>IF($Y216="",0,1)</f>
        <v>0</v>
      </c>
      <c r="BJ216" s="56">
        <f>IF($AB216="",0,1)</f>
        <v>0</v>
      </c>
      <c r="BK216" s="56">
        <f>IF(AND($BH216=1,$W216&lt;&gt;"OK"),1,0)</f>
        <v>0</v>
      </c>
      <c r="BL216" s="55">
        <f>IF(N($AZ216)=0,0,IFERROR(INDEX($AT$6:$AT$1005,MATCH($AZ216,$AY$6:$AY$1005,0)),0))</f>
        <v>1187.10688</v>
      </c>
      <c r="BM216" s="56">
        <f>IF(ISNUMBER(SEARCH("daily max loss",$BG216)),1,0)</f>
        <v>0</v>
      </c>
    </row>
    <row r="217" ht="18" customHeight="1">
      <c r="A217" s="38" t="n"/>
      <c r="B217" s="39" t="n"/>
      <c r="C217" s="40" t="n"/>
      <c r="D217" s="41" t="n"/>
      <c r="E217" s="41" t="n"/>
      <c r="F217" s="41" t="n"/>
      <c r="G217" s="41" t="n"/>
      <c r="H217" s="42" t="n"/>
      <c r="I217" s="42" t="n"/>
      <c r="J217" s="42" t="n"/>
      <c r="K217" s="42" t="n"/>
      <c r="L217" s="41" t="n"/>
      <c r="M217" s="41" t="n"/>
      <c r="N217" s="41" t="n"/>
      <c r="O217" s="43" t="n"/>
      <c r="P217" s="43" t="n"/>
      <c r="Q217" s="44" t="str">
        <f>IF($AM217=0,"",IF(ISNUMBER($AK217),$AK217-N($AL217),""))</f>
        <v/>
      </c>
      <c r="R217" s="45" t="str">
        <f>IF(OR($Q217="",NOT(ISNUMBER($V217))),"",$AK217/$V217)</f>
        <v/>
      </c>
      <c r="S217" s="46" t="str">
        <f>IF($Q217="","",IF(AND(ISNUMBER($R217),ABS(N($R217))&lt;N(Settings!$C$8)),"Scratch",IF($Q217&gt;0,"Win",IF($Q217&lt;0,"Loss","Scratch"))))</f>
        <v/>
      </c>
      <c r="T217" s="47" t="str">
        <f>IF(OR($AM217=0,NOT(ISNUMBER($H217)),NOT(ISNUMBER($I217)),NOT(ISNUMBER($J217))),"",IF($H217=$I217,"",ROUND(ABS($J217-$H217)/ABS($H217-$I217),6)))</f>
        <v/>
      </c>
      <c r="U217" s="48" t="str">
        <f>IF(OR($S217&lt;&gt;"Win",NOT(ISNUMBER($T217)),NOT(ISNUMBER($R217))),"",MAX(0,$T217-$R217))</f>
        <v/>
      </c>
      <c r="V217" s="49" t="str">
        <f>IF(OR($AM217=0,NOT(ISNUMBER($H217)),NOT(ISNUMBER($I217)),NOT(ISNUMBER($G217))),"",IF(OR($AG217="",$AH217=""),"",IF(ROUND(ABS($H217-$I217)*ABS($G217)*$AG217*$AH217,6)=0,"",ROUND(ABS($H217-$I217)*ABS($G217)*$AG217*$AH217,6))))</f>
        <v/>
      </c>
      <c r="W217" s="50" t="str">
        <f>IF($AM217=0,"",IF($BG217="","OK",LEFT($BG217,LEN($BG217)-2)))</f>
        <v/>
      </c>
      <c r="X217" s="41" t="n"/>
      <c r="Y217" s="40" t="n"/>
      <c r="Z217" s="41" t="n"/>
      <c r="AA217" s="41" t="n"/>
      <c r="AB217" s="40" t="n"/>
      <c r="AC217" s="51" t="n"/>
      <c r="AD217" s="51" t="n"/>
      <c r="AE217" s="40" t="n"/>
      <c r="AF217" s="52" t="str">
        <f>IF($AM217=0,"",IF($D217&lt;&gt;"",$D217,IF(IFERROR(INDEX(Accounts!$C$7:$C$16,MATCH($C217,Accounts!$B$7:$B$16,0))&amp;"","")&lt;&gt;"",INDEX(Accounts!$C$7:$C$16,MATCH($C217,Accounts!$B$7:$B$16,0)),Settings!$C$6)))</f>
        <v/>
      </c>
      <c r="AG217" s="53" t="str">
        <f>IF($AM217=0,"",IF(AND($BE217&gt;0,N(INDEX(Instruments!$D$6:$D$205,MAX(1,$BE217)))&gt;0),INDEX(Instruments!$D$6:$D$205,MAX(1,$BE217)),IF(N(INDEX(Settings!$D$14:$D$18,$BF217))&gt;0,INDEX(Settings!$D$14:$D$18,$BF217),"")))</f>
        <v/>
      </c>
      <c r="AH217" s="54" t="str">
        <f>IF($AM217=0,"",IF($AF217&lt;&gt;"Forex",1,IF(MID(UPPER(SUBSTITUTE(TRIM($E217),"/","")),4,3)=UPPER(TRIM(Settings!$C$7)),1,IF(LEFT(UPPER(SUBSTITUTE(TRIM($E217),"/","")),3)=UPPER(TRIM(Settings!$C$7)),IF(AND(ISNUMBER($K217),N($K217)&lt;&gt;0),1/$K217,""),""))))</f>
        <v/>
      </c>
      <c r="AI217" s="55" t="str">
        <f>IF($AM217=0,"",IF(OR(NOT(ISNUMBER($H217)),NOT(ISNUMBER($K217)),NOT(ISNUMBER($G217)),$AG217="",$AH217=""),"",ROUND(($K217-$H217)*IF($F217="Short",-1,1)*$G217*$AG217*$AH217,6)))</f>
        <v/>
      </c>
      <c r="AJ217" s="55" t="str">
        <f>IF($AM217=0,"",IF(INDEX(Settings!$E$14:$E$18,$BF217)="% of notional",IF(OR($AG217="",NOT(ISNUMBER($H217)),NOT(ISNUMBER($G217))),"",ROUND(ABS($H217*$G217*$AG217*N($AH217))*IF($L217="Limit",N(INDEX(Settings!$G$14:$G$18,$BF217)),N(INDEX(Settings!$H$14:$H$18,$BF217)))+IF(ISNUMBER($K217),ABS($K217*$G217*$AG217*N($AH217))*IF($M217="Target",N(INDEX(Settings!$G$14:$G$18,$BF217)),N(INDEX(Settings!$H$14:$H$18,$BF217))),0),6)),IF(NOT(ISNUMBER($G217)),"",ROUND(ABS($G217)*2*IF(AND($BE217&gt;0,ISNUMBER(INDEX(Instruments!$G$6:$G$205,MAX(1,$BE217)))),INDEX(Instruments!$G$6:$G$205,MAX(1,$BE217)),N(INDEX(Settings!$F$14:$F$18,$BF217))),6))))</f>
        <v/>
      </c>
      <c r="AK217" s="55" t="str">
        <f>IF($AM217=0,"",IF(ISNUMBER($O217),$O217,$AI217))</f>
        <v/>
      </c>
      <c r="AL217" s="55" t="str">
        <f>IF($AM217=0,"",IF(ISNUMBER($P217),$P217,N($AJ217)))</f>
        <v/>
      </c>
      <c r="AM217" s="56">
        <f>IF(AND($A217&lt;&gt;"",$E217&lt;&gt;"",OR(AND(ISNUMBER($G217),ISNUMBER($H217),ISNUMBER($K217)),ISNUMBER($O217))),1,0)</f>
        <v>0</v>
      </c>
      <c r="AN217" s="57" t="str">
        <f>IF($A217="","",$A217-WEEKDAY($A217,3))</f>
        <v/>
      </c>
      <c r="AO217" s="56" t="str">
        <f>IF($A217="","",WEEKDAY($A217,2))</f>
        <v/>
      </c>
      <c r="AP217" s="55" t="str">
        <f>IF(OR($AM217=0,$C217=""),"",IFERROR(N(INDEX(Accounts!$E$7:$E$16,MATCH($C217,Accounts!$B$7:$B$16,0))),0)+SUMIFS($Q$6:$Q217,$C$6:$C217,$C217))</f>
        <v/>
      </c>
      <c r="AQ217" s="55" t="str">
        <f>IF(OR($AM217=0,$C217=""),"",SUMIFS($Q$6:$Q$1005,$C$6:$C$1005,$C217,$A$6:$A$1005,$A217))</f>
        <v/>
      </c>
      <c r="AR217" s="55" t="str">
        <f>IF(OR($AM217=0,$C217=""),"",IFERROR(N(INDEX(Accounts!$E$7:$E$16,MATCH($C217,Accounts!$B$7:$B$16,0))),0)+SUMIFS($Q$6:$Q$1005,$C$6:$C$1005,$C217,$A$6:$A$1005,"&lt;="&amp;$A217))</f>
        <v/>
      </c>
      <c r="AS217" s="56">
        <f>IF(OR($AM217=0,$Q217=""),0,IF(AND($A217&gt;=Lists!$W$6,$A217&lt;=Lists!$W$7,OR(Dashboard!$D$6="All accounts",$C217=Dashboard!$D$6),OR(Dashboard!$D$7="All markets",$AF217=Dashboard!$D$7)),1,0))</f>
        <v>0</v>
      </c>
      <c r="AT217" s="55">
        <f>IF($AS217=1,N(AT216)+$Q217,N(AT216))</f>
        <v>1187.10688</v>
      </c>
      <c r="AU217" s="55">
        <f>MAX(N(AU216),$AT217)</f>
        <v>1187.10688</v>
      </c>
      <c r="AV217" s="55">
        <f>$AT217-$AU217</f>
        <v>0</v>
      </c>
      <c r="AW217" s="56">
        <f>IF($AS217=1,IF($S217="Win",N(AW216)+1,IF($S217="Loss",0,N(AW216))),N(AW216))</f>
        <v>5</v>
      </c>
      <c r="AX217" s="56">
        <f>IF($AS217=1,IF($S217="Loss",N(AX216)+1,IF($S217="Win",0,N(AX216))),N(AX216))</f>
        <v>0</v>
      </c>
      <c r="AY217" s="56" t="str">
        <f>IF($AS217=1,COUNTIF($AS$6:$AS217,1),"")</f>
        <v/>
      </c>
      <c r="AZ217" s="56">
        <f>MIN(211,N(Lists!$W$8))</f>
        <v>28</v>
      </c>
      <c r="BA217" s="56">
        <f>IF($AS217=1,IF(COUNTIFS($A$6:$A217,$A217,$AS$6:$AS217,1)=1,1,0),0)</f>
        <v>0</v>
      </c>
      <c r="BB217" s="55" t="str">
        <f>IF($BA217=1,SUMIFS($Q$6:$Q$1005,$A$6:$A$1005,$A217,$AS$6:$AS$1005,1),"")</f>
        <v/>
      </c>
      <c r="BC217" s="56">
        <f>IF(ISNUMBER($R217),1,0)</f>
        <v>0</v>
      </c>
      <c r="BD217" s="55" t="str">
        <f>IF(ISNUMBER($U217),$U217*$V217,"")</f>
        <v/>
      </c>
      <c r="BE217" s="56" t="str">
        <f>IF($AM217=0,"",IFERROR(MATCH($AF217&amp;"|"&amp;UPPER(TRIM($E217)),Lists!$A$6:$A$205,0),0))</f>
        <v/>
      </c>
      <c r="BF217" s="56" t="str">
        <f>IF($AM217=0,"",IFERROR(MATCH($AF217,Settings!$B$14:$B$18,0),IFERROR(MATCH(Settings!$C$6,Settings!$B$14:$B$18,0),1)))</f>
        <v/>
      </c>
      <c r="BG217" s="58" t="str">
        <f>IF($AM217=0,"",IF(NOT(ISNUMBER($I217)),"No stop; ","")&amp;IF(AND(ISNUMBER($H217),ISNUMBER($I217)),IF(OR(AND($F217&lt;&gt;"Short",$I217&gt;=$H217),AND($F217="Short",$I217&lt;=$H217)),"Stop on wrong side; ",""),"")&amp;IF($F217="","No direction; ","")&amp;IF(AND(ISNUMBER(Settings!$C$22),ISNUMBER($V217)),IF($V217&gt;Settings!$C$22,"Risk over max $; ",""),"")&amp;IF(AND(ISNUMBER(Settings!$C$23),ISNUMBER($V217),ISNUMBER($AP217),IFERROR(N(INDEX(Accounts!$E$7:$E$16,MATCH($C217,Accounts!$B$7:$B$16,0))),0)&gt;0),IF($V217&gt;Settings!$C$23*($AP217-N($Q217)),"Risk over max %; ",""),"")&amp;IF(AND(ISNUMBER(Settings!$C$24),ISNUMBER($N217)),IF($N217&gt;Settings!$C$24,"Leverage over max; ",""),"")&amp;IF(AND(ISNUMBER(Settings!$C$27),ISNUMBER($T217)),IF($T217&lt;Settings!$C$27,"R:R below min; ",""),"")&amp;IF(ISNUMBER(Settings!$C$25),IF(COUNTIFS($A$6:$A217,$A217,$AM$6:$AM217,1)&gt;Settings!$C$25,"Over max trades/day; ",""),"")&amp;IF(ISNUMBER(Settings!$C$26),IF(SUMIFS($Q$5:$Q216,$A$5:$A216,$A217)&lt;=-Settings!$C$26,"Traded after daily max loss; ",""),"")&amp;IF(AND($AG217="",NOT(ISNUMBER($O217))),"Symbol not in Instruments; ","")&amp;IF(AND($AH217="",NOT(ISNUMBER($O217))),"Forex cross: type Gross P&amp;L; ",""))</f>
        <v/>
      </c>
      <c r="BH217" s="56">
        <f>IF(ISNUMBER($Q217),1,0)</f>
        <v>0</v>
      </c>
      <c r="BI217" s="56">
        <f>IF($Y217="",0,1)</f>
        <v>0</v>
      </c>
      <c r="BJ217" s="56">
        <f>IF($AB217="",0,1)</f>
        <v>0</v>
      </c>
      <c r="BK217" s="56">
        <f>IF(AND($BH217=1,$W217&lt;&gt;"OK"),1,0)</f>
        <v>0</v>
      </c>
      <c r="BL217" s="55">
        <f>IF(N($AZ217)=0,0,IFERROR(INDEX($AT$6:$AT$1005,MATCH($AZ217,$AY$6:$AY$1005,0)),0))</f>
        <v>1187.10688</v>
      </c>
      <c r="BM217" s="56">
        <f>IF(ISNUMBER(SEARCH("daily max loss",$BG217)),1,0)</f>
        <v>0</v>
      </c>
    </row>
    <row r="218" ht="18" customHeight="1">
      <c r="A218" s="38" t="n"/>
      <c r="B218" s="39" t="n"/>
      <c r="C218" s="40" t="n"/>
      <c r="D218" s="41" t="n"/>
      <c r="E218" s="41" t="n"/>
      <c r="F218" s="41" t="n"/>
      <c r="G218" s="41" t="n"/>
      <c r="H218" s="42" t="n"/>
      <c r="I218" s="42" t="n"/>
      <c r="J218" s="42" t="n"/>
      <c r="K218" s="42" t="n"/>
      <c r="L218" s="41" t="n"/>
      <c r="M218" s="41" t="n"/>
      <c r="N218" s="41" t="n"/>
      <c r="O218" s="43" t="n"/>
      <c r="P218" s="43" t="n"/>
      <c r="Q218" s="44" t="str">
        <f>IF($AM218=0,"",IF(ISNUMBER($AK218),$AK218-N($AL218),""))</f>
        <v/>
      </c>
      <c r="R218" s="45" t="str">
        <f>IF(OR($Q218="",NOT(ISNUMBER($V218))),"",$AK218/$V218)</f>
        <v/>
      </c>
      <c r="S218" s="46" t="str">
        <f>IF($Q218="","",IF(AND(ISNUMBER($R218),ABS(N($R218))&lt;N(Settings!$C$8)),"Scratch",IF($Q218&gt;0,"Win",IF($Q218&lt;0,"Loss","Scratch"))))</f>
        <v/>
      </c>
      <c r="T218" s="47" t="str">
        <f>IF(OR($AM218=0,NOT(ISNUMBER($H218)),NOT(ISNUMBER($I218)),NOT(ISNUMBER($J218))),"",IF($H218=$I218,"",ROUND(ABS($J218-$H218)/ABS($H218-$I218),6)))</f>
        <v/>
      </c>
      <c r="U218" s="48" t="str">
        <f>IF(OR($S218&lt;&gt;"Win",NOT(ISNUMBER($T218)),NOT(ISNUMBER($R218))),"",MAX(0,$T218-$R218))</f>
        <v/>
      </c>
      <c r="V218" s="49" t="str">
        <f>IF(OR($AM218=0,NOT(ISNUMBER($H218)),NOT(ISNUMBER($I218)),NOT(ISNUMBER($G218))),"",IF(OR($AG218="",$AH218=""),"",IF(ROUND(ABS($H218-$I218)*ABS($G218)*$AG218*$AH218,6)=0,"",ROUND(ABS($H218-$I218)*ABS($G218)*$AG218*$AH218,6))))</f>
        <v/>
      </c>
      <c r="W218" s="50" t="str">
        <f>IF($AM218=0,"",IF($BG218="","OK",LEFT($BG218,LEN($BG218)-2)))</f>
        <v/>
      </c>
      <c r="X218" s="41" t="n"/>
      <c r="Y218" s="40" t="n"/>
      <c r="Z218" s="41" t="n"/>
      <c r="AA218" s="41" t="n"/>
      <c r="AB218" s="40" t="n"/>
      <c r="AC218" s="51" t="n"/>
      <c r="AD218" s="51" t="n"/>
      <c r="AE218" s="40" t="n"/>
      <c r="AF218" s="52" t="str">
        <f>IF($AM218=0,"",IF($D218&lt;&gt;"",$D218,IF(IFERROR(INDEX(Accounts!$C$7:$C$16,MATCH($C218,Accounts!$B$7:$B$16,0))&amp;"","")&lt;&gt;"",INDEX(Accounts!$C$7:$C$16,MATCH($C218,Accounts!$B$7:$B$16,0)),Settings!$C$6)))</f>
        <v/>
      </c>
      <c r="AG218" s="53" t="str">
        <f>IF($AM218=0,"",IF(AND($BE218&gt;0,N(INDEX(Instruments!$D$6:$D$205,MAX(1,$BE218)))&gt;0),INDEX(Instruments!$D$6:$D$205,MAX(1,$BE218)),IF(N(INDEX(Settings!$D$14:$D$18,$BF218))&gt;0,INDEX(Settings!$D$14:$D$18,$BF218),"")))</f>
        <v/>
      </c>
      <c r="AH218" s="54" t="str">
        <f>IF($AM218=0,"",IF($AF218&lt;&gt;"Forex",1,IF(MID(UPPER(SUBSTITUTE(TRIM($E218),"/","")),4,3)=UPPER(TRIM(Settings!$C$7)),1,IF(LEFT(UPPER(SUBSTITUTE(TRIM($E218),"/","")),3)=UPPER(TRIM(Settings!$C$7)),IF(AND(ISNUMBER($K218),N($K218)&lt;&gt;0),1/$K218,""),""))))</f>
        <v/>
      </c>
      <c r="AI218" s="55" t="str">
        <f>IF($AM218=0,"",IF(OR(NOT(ISNUMBER($H218)),NOT(ISNUMBER($K218)),NOT(ISNUMBER($G218)),$AG218="",$AH218=""),"",ROUND(($K218-$H218)*IF($F218="Short",-1,1)*$G218*$AG218*$AH218,6)))</f>
        <v/>
      </c>
      <c r="AJ218" s="55" t="str">
        <f>IF($AM218=0,"",IF(INDEX(Settings!$E$14:$E$18,$BF218)="% of notional",IF(OR($AG218="",NOT(ISNUMBER($H218)),NOT(ISNUMBER($G218))),"",ROUND(ABS($H218*$G218*$AG218*N($AH218))*IF($L218="Limit",N(INDEX(Settings!$G$14:$G$18,$BF218)),N(INDEX(Settings!$H$14:$H$18,$BF218)))+IF(ISNUMBER($K218),ABS($K218*$G218*$AG218*N($AH218))*IF($M218="Target",N(INDEX(Settings!$G$14:$G$18,$BF218)),N(INDEX(Settings!$H$14:$H$18,$BF218))),0),6)),IF(NOT(ISNUMBER($G218)),"",ROUND(ABS($G218)*2*IF(AND($BE218&gt;0,ISNUMBER(INDEX(Instruments!$G$6:$G$205,MAX(1,$BE218)))),INDEX(Instruments!$G$6:$G$205,MAX(1,$BE218)),N(INDEX(Settings!$F$14:$F$18,$BF218))),6))))</f>
        <v/>
      </c>
      <c r="AK218" s="55" t="str">
        <f>IF($AM218=0,"",IF(ISNUMBER($O218),$O218,$AI218))</f>
        <v/>
      </c>
      <c r="AL218" s="55" t="str">
        <f>IF($AM218=0,"",IF(ISNUMBER($P218),$P218,N($AJ218)))</f>
        <v/>
      </c>
      <c r="AM218" s="56">
        <f>IF(AND($A218&lt;&gt;"",$E218&lt;&gt;"",OR(AND(ISNUMBER($G218),ISNUMBER($H218),ISNUMBER($K218)),ISNUMBER($O218))),1,0)</f>
        <v>0</v>
      </c>
      <c r="AN218" s="57" t="str">
        <f>IF($A218="","",$A218-WEEKDAY($A218,3))</f>
        <v/>
      </c>
      <c r="AO218" s="56" t="str">
        <f>IF($A218="","",WEEKDAY($A218,2))</f>
        <v/>
      </c>
      <c r="AP218" s="55" t="str">
        <f>IF(OR($AM218=0,$C218=""),"",IFERROR(N(INDEX(Accounts!$E$7:$E$16,MATCH($C218,Accounts!$B$7:$B$16,0))),0)+SUMIFS($Q$6:$Q218,$C$6:$C218,$C218))</f>
        <v/>
      </c>
      <c r="AQ218" s="55" t="str">
        <f>IF(OR($AM218=0,$C218=""),"",SUMIFS($Q$6:$Q$1005,$C$6:$C$1005,$C218,$A$6:$A$1005,$A218))</f>
        <v/>
      </c>
      <c r="AR218" s="55" t="str">
        <f>IF(OR($AM218=0,$C218=""),"",IFERROR(N(INDEX(Accounts!$E$7:$E$16,MATCH($C218,Accounts!$B$7:$B$16,0))),0)+SUMIFS($Q$6:$Q$1005,$C$6:$C$1005,$C218,$A$6:$A$1005,"&lt;="&amp;$A218))</f>
        <v/>
      </c>
      <c r="AS218" s="56">
        <f>IF(OR($AM218=0,$Q218=""),0,IF(AND($A218&gt;=Lists!$W$6,$A218&lt;=Lists!$W$7,OR(Dashboard!$D$6="All accounts",$C218=Dashboard!$D$6),OR(Dashboard!$D$7="All markets",$AF218=Dashboard!$D$7)),1,0))</f>
        <v>0</v>
      </c>
      <c r="AT218" s="55">
        <f>IF($AS218=1,N(AT217)+$Q218,N(AT217))</f>
        <v>1187.10688</v>
      </c>
      <c r="AU218" s="55">
        <f>MAX(N(AU217),$AT218)</f>
        <v>1187.10688</v>
      </c>
      <c r="AV218" s="55">
        <f>$AT218-$AU218</f>
        <v>0</v>
      </c>
      <c r="AW218" s="56">
        <f>IF($AS218=1,IF($S218="Win",N(AW217)+1,IF($S218="Loss",0,N(AW217))),N(AW217))</f>
        <v>5</v>
      </c>
      <c r="AX218" s="56">
        <f>IF($AS218=1,IF($S218="Loss",N(AX217)+1,IF($S218="Win",0,N(AX217))),N(AX217))</f>
        <v>0</v>
      </c>
      <c r="AY218" s="56" t="str">
        <f>IF($AS218=1,COUNTIF($AS$6:$AS218,1),"")</f>
        <v/>
      </c>
      <c r="AZ218" s="56">
        <f>MIN(212,N(Lists!$W$8))</f>
        <v>28</v>
      </c>
      <c r="BA218" s="56">
        <f>IF($AS218=1,IF(COUNTIFS($A$6:$A218,$A218,$AS$6:$AS218,1)=1,1,0),0)</f>
        <v>0</v>
      </c>
      <c r="BB218" s="55" t="str">
        <f>IF($BA218=1,SUMIFS($Q$6:$Q$1005,$A$6:$A$1005,$A218,$AS$6:$AS$1005,1),"")</f>
        <v/>
      </c>
      <c r="BC218" s="56">
        <f>IF(ISNUMBER($R218),1,0)</f>
        <v>0</v>
      </c>
      <c r="BD218" s="55" t="str">
        <f>IF(ISNUMBER($U218),$U218*$V218,"")</f>
        <v/>
      </c>
      <c r="BE218" s="56" t="str">
        <f>IF($AM218=0,"",IFERROR(MATCH($AF218&amp;"|"&amp;UPPER(TRIM($E218)),Lists!$A$6:$A$205,0),0))</f>
        <v/>
      </c>
      <c r="BF218" s="56" t="str">
        <f>IF($AM218=0,"",IFERROR(MATCH($AF218,Settings!$B$14:$B$18,0),IFERROR(MATCH(Settings!$C$6,Settings!$B$14:$B$18,0),1)))</f>
        <v/>
      </c>
      <c r="BG218" s="58" t="str">
        <f>IF($AM218=0,"",IF(NOT(ISNUMBER($I218)),"No stop; ","")&amp;IF(AND(ISNUMBER($H218),ISNUMBER($I218)),IF(OR(AND($F218&lt;&gt;"Short",$I218&gt;=$H218),AND($F218="Short",$I218&lt;=$H218)),"Stop on wrong side; ",""),"")&amp;IF($F218="","No direction; ","")&amp;IF(AND(ISNUMBER(Settings!$C$22),ISNUMBER($V218)),IF($V218&gt;Settings!$C$22,"Risk over max $; ",""),"")&amp;IF(AND(ISNUMBER(Settings!$C$23),ISNUMBER($V218),ISNUMBER($AP218),IFERROR(N(INDEX(Accounts!$E$7:$E$16,MATCH($C218,Accounts!$B$7:$B$16,0))),0)&gt;0),IF($V218&gt;Settings!$C$23*($AP218-N($Q218)),"Risk over max %; ",""),"")&amp;IF(AND(ISNUMBER(Settings!$C$24),ISNUMBER($N218)),IF($N218&gt;Settings!$C$24,"Leverage over max; ",""),"")&amp;IF(AND(ISNUMBER(Settings!$C$27),ISNUMBER($T218)),IF($T218&lt;Settings!$C$27,"R:R below min; ",""),"")&amp;IF(ISNUMBER(Settings!$C$25),IF(COUNTIFS($A$6:$A218,$A218,$AM$6:$AM218,1)&gt;Settings!$C$25,"Over max trades/day; ",""),"")&amp;IF(ISNUMBER(Settings!$C$26),IF(SUMIFS($Q$5:$Q217,$A$5:$A217,$A218)&lt;=-Settings!$C$26,"Traded after daily max loss; ",""),"")&amp;IF(AND($AG218="",NOT(ISNUMBER($O218))),"Symbol not in Instruments; ","")&amp;IF(AND($AH218="",NOT(ISNUMBER($O218))),"Forex cross: type Gross P&amp;L; ",""))</f>
        <v/>
      </c>
      <c r="BH218" s="56">
        <f>IF(ISNUMBER($Q218),1,0)</f>
        <v>0</v>
      </c>
      <c r="BI218" s="56">
        <f>IF($Y218="",0,1)</f>
        <v>0</v>
      </c>
      <c r="BJ218" s="56">
        <f>IF($AB218="",0,1)</f>
        <v>0</v>
      </c>
      <c r="BK218" s="56">
        <f>IF(AND($BH218=1,$W218&lt;&gt;"OK"),1,0)</f>
        <v>0</v>
      </c>
      <c r="BL218" s="55">
        <f>IF(N($AZ218)=0,0,IFERROR(INDEX($AT$6:$AT$1005,MATCH($AZ218,$AY$6:$AY$1005,0)),0))</f>
        <v>1187.10688</v>
      </c>
      <c r="BM218" s="56">
        <f>IF(ISNUMBER(SEARCH("daily max loss",$BG218)),1,0)</f>
        <v>0</v>
      </c>
    </row>
    <row r="219" ht="18" customHeight="1">
      <c r="A219" s="38" t="n"/>
      <c r="B219" s="39" t="n"/>
      <c r="C219" s="40" t="n"/>
      <c r="D219" s="41" t="n"/>
      <c r="E219" s="41" t="n"/>
      <c r="F219" s="41" t="n"/>
      <c r="G219" s="41" t="n"/>
      <c r="H219" s="42" t="n"/>
      <c r="I219" s="42" t="n"/>
      <c r="J219" s="42" t="n"/>
      <c r="K219" s="42" t="n"/>
      <c r="L219" s="41" t="n"/>
      <c r="M219" s="41" t="n"/>
      <c r="N219" s="41" t="n"/>
      <c r="O219" s="43" t="n"/>
      <c r="P219" s="43" t="n"/>
      <c r="Q219" s="44" t="str">
        <f>IF($AM219=0,"",IF(ISNUMBER($AK219),$AK219-N($AL219),""))</f>
        <v/>
      </c>
      <c r="R219" s="45" t="str">
        <f>IF(OR($Q219="",NOT(ISNUMBER($V219))),"",$AK219/$V219)</f>
        <v/>
      </c>
      <c r="S219" s="46" t="str">
        <f>IF($Q219="","",IF(AND(ISNUMBER($R219),ABS(N($R219))&lt;N(Settings!$C$8)),"Scratch",IF($Q219&gt;0,"Win",IF($Q219&lt;0,"Loss","Scratch"))))</f>
        <v/>
      </c>
      <c r="T219" s="47" t="str">
        <f>IF(OR($AM219=0,NOT(ISNUMBER($H219)),NOT(ISNUMBER($I219)),NOT(ISNUMBER($J219))),"",IF($H219=$I219,"",ROUND(ABS($J219-$H219)/ABS($H219-$I219),6)))</f>
        <v/>
      </c>
      <c r="U219" s="48" t="str">
        <f>IF(OR($S219&lt;&gt;"Win",NOT(ISNUMBER($T219)),NOT(ISNUMBER($R219))),"",MAX(0,$T219-$R219))</f>
        <v/>
      </c>
      <c r="V219" s="49" t="str">
        <f>IF(OR($AM219=0,NOT(ISNUMBER($H219)),NOT(ISNUMBER($I219)),NOT(ISNUMBER($G219))),"",IF(OR($AG219="",$AH219=""),"",IF(ROUND(ABS($H219-$I219)*ABS($G219)*$AG219*$AH219,6)=0,"",ROUND(ABS($H219-$I219)*ABS($G219)*$AG219*$AH219,6))))</f>
        <v/>
      </c>
      <c r="W219" s="50" t="str">
        <f>IF($AM219=0,"",IF($BG219="","OK",LEFT($BG219,LEN($BG219)-2)))</f>
        <v/>
      </c>
      <c r="X219" s="41" t="n"/>
      <c r="Y219" s="40" t="n"/>
      <c r="Z219" s="41" t="n"/>
      <c r="AA219" s="41" t="n"/>
      <c r="AB219" s="40" t="n"/>
      <c r="AC219" s="51" t="n"/>
      <c r="AD219" s="51" t="n"/>
      <c r="AE219" s="40" t="n"/>
      <c r="AF219" s="52" t="str">
        <f>IF($AM219=0,"",IF($D219&lt;&gt;"",$D219,IF(IFERROR(INDEX(Accounts!$C$7:$C$16,MATCH($C219,Accounts!$B$7:$B$16,0))&amp;"","")&lt;&gt;"",INDEX(Accounts!$C$7:$C$16,MATCH($C219,Accounts!$B$7:$B$16,0)),Settings!$C$6)))</f>
        <v/>
      </c>
      <c r="AG219" s="53" t="str">
        <f>IF($AM219=0,"",IF(AND($BE219&gt;0,N(INDEX(Instruments!$D$6:$D$205,MAX(1,$BE219)))&gt;0),INDEX(Instruments!$D$6:$D$205,MAX(1,$BE219)),IF(N(INDEX(Settings!$D$14:$D$18,$BF219))&gt;0,INDEX(Settings!$D$14:$D$18,$BF219),"")))</f>
        <v/>
      </c>
      <c r="AH219" s="54" t="str">
        <f>IF($AM219=0,"",IF($AF219&lt;&gt;"Forex",1,IF(MID(UPPER(SUBSTITUTE(TRIM($E219),"/","")),4,3)=UPPER(TRIM(Settings!$C$7)),1,IF(LEFT(UPPER(SUBSTITUTE(TRIM($E219),"/","")),3)=UPPER(TRIM(Settings!$C$7)),IF(AND(ISNUMBER($K219),N($K219)&lt;&gt;0),1/$K219,""),""))))</f>
        <v/>
      </c>
      <c r="AI219" s="55" t="str">
        <f>IF($AM219=0,"",IF(OR(NOT(ISNUMBER($H219)),NOT(ISNUMBER($K219)),NOT(ISNUMBER($G219)),$AG219="",$AH219=""),"",ROUND(($K219-$H219)*IF($F219="Short",-1,1)*$G219*$AG219*$AH219,6)))</f>
        <v/>
      </c>
      <c r="AJ219" s="55" t="str">
        <f>IF($AM219=0,"",IF(INDEX(Settings!$E$14:$E$18,$BF219)="% of notional",IF(OR($AG219="",NOT(ISNUMBER($H219)),NOT(ISNUMBER($G219))),"",ROUND(ABS($H219*$G219*$AG219*N($AH219))*IF($L219="Limit",N(INDEX(Settings!$G$14:$G$18,$BF219)),N(INDEX(Settings!$H$14:$H$18,$BF219)))+IF(ISNUMBER($K219),ABS($K219*$G219*$AG219*N($AH219))*IF($M219="Target",N(INDEX(Settings!$G$14:$G$18,$BF219)),N(INDEX(Settings!$H$14:$H$18,$BF219))),0),6)),IF(NOT(ISNUMBER($G219)),"",ROUND(ABS($G219)*2*IF(AND($BE219&gt;0,ISNUMBER(INDEX(Instruments!$G$6:$G$205,MAX(1,$BE219)))),INDEX(Instruments!$G$6:$G$205,MAX(1,$BE219)),N(INDEX(Settings!$F$14:$F$18,$BF219))),6))))</f>
        <v/>
      </c>
      <c r="AK219" s="55" t="str">
        <f>IF($AM219=0,"",IF(ISNUMBER($O219),$O219,$AI219))</f>
        <v/>
      </c>
      <c r="AL219" s="55" t="str">
        <f>IF($AM219=0,"",IF(ISNUMBER($P219),$P219,N($AJ219)))</f>
        <v/>
      </c>
      <c r="AM219" s="56">
        <f>IF(AND($A219&lt;&gt;"",$E219&lt;&gt;"",OR(AND(ISNUMBER($G219),ISNUMBER($H219),ISNUMBER($K219)),ISNUMBER($O219))),1,0)</f>
        <v>0</v>
      </c>
      <c r="AN219" s="57" t="str">
        <f>IF($A219="","",$A219-WEEKDAY($A219,3))</f>
        <v/>
      </c>
      <c r="AO219" s="56" t="str">
        <f>IF($A219="","",WEEKDAY($A219,2))</f>
        <v/>
      </c>
      <c r="AP219" s="55" t="str">
        <f>IF(OR($AM219=0,$C219=""),"",IFERROR(N(INDEX(Accounts!$E$7:$E$16,MATCH($C219,Accounts!$B$7:$B$16,0))),0)+SUMIFS($Q$6:$Q219,$C$6:$C219,$C219))</f>
        <v/>
      </c>
      <c r="AQ219" s="55" t="str">
        <f>IF(OR($AM219=0,$C219=""),"",SUMIFS($Q$6:$Q$1005,$C$6:$C$1005,$C219,$A$6:$A$1005,$A219))</f>
        <v/>
      </c>
      <c r="AR219" s="55" t="str">
        <f>IF(OR($AM219=0,$C219=""),"",IFERROR(N(INDEX(Accounts!$E$7:$E$16,MATCH($C219,Accounts!$B$7:$B$16,0))),0)+SUMIFS($Q$6:$Q$1005,$C$6:$C$1005,$C219,$A$6:$A$1005,"&lt;="&amp;$A219))</f>
        <v/>
      </c>
      <c r="AS219" s="56">
        <f>IF(OR($AM219=0,$Q219=""),0,IF(AND($A219&gt;=Lists!$W$6,$A219&lt;=Lists!$W$7,OR(Dashboard!$D$6="All accounts",$C219=Dashboard!$D$6),OR(Dashboard!$D$7="All markets",$AF219=Dashboard!$D$7)),1,0))</f>
        <v>0</v>
      </c>
      <c r="AT219" s="55">
        <f>IF($AS219=1,N(AT218)+$Q219,N(AT218))</f>
        <v>1187.10688</v>
      </c>
      <c r="AU219" s="55">
        <f>MAX(N(AU218),$AT219)</f>
        <v>1187.10688</v>
      </c>
      <c r="AV219" s="55">
        <f>$AT219-$AU219</f>
        <v>0</v>
      </c>
      <c r="AW219" s="56">
        <f>IF($AS219=1,IF($S219="Win",N(AW218)+1,IF($S219="Loss",0,N(AW218))),N(AW218))</f>
        <v>5</v>
      </c>
      <c r="AX219" s="56">
        <f>IF($AS219=1,IF($S219="Loss",N(AX218)+1,IF($S219="Win",0,N(AX218))),N(AX218))</f>
        <v>0</v>
      </c>
      <c r="AY219" s="56" t="str">
        <f>IF($AS219=1,COUNTIF($AS$6:$AS219,1),"")</f>
        <v/>
      </c>
      <c r="AZ219" s="56">
        <f>MIN(213,N(Lists!$W$8))</f>
        <v>28</v>
      </c>
      <c r="BA219" s="56">
        <f>IF($AS219=1,IF(COUNTIFS($A$6:$A219,$A219,$AS$6:$AS219,1)=1,1,0),0)</f>
        <v>0</v>
      </c>
      <c r="BB219" s="55" t="str">
        <f>IF($BA219=1,SUMIFS($Q$6:$Q$1005,$A$6:$A$1005,$A219,$AS$6:$AS$1005,1),"")</f>
        <v/>
      </c>
      <c r="BC219" s="56">
        <f>IF(ISNUMBER($R219),1,0)</f>
        <v>0</v>
      </c>
      <c r="BD219" s="55" t="str">
        <f>IF(ISNUMBER($U219),$U219*$V219,"")</f>
        <v/>
      </c>
      <c r="BE219" s="56" t="str">
        <f>IF($AM219=0,"",IFERROR(MATCH($AF219&amp;"|"&amp;UPPER(TRIM($E219)),Lists!$A$6:$A$205,0),0))</f>
        <v/>
      </c>
      <c r="BF219" s="56" t="str">
        <f>IF($AM219=0,"",IFERROR(MATCH($AF219,Settings!$B$14:$B$18,0),IFERROR(MATCH(Settings!$C$6,Settings!$B$14:$B$18,0),1)))</f>
        <v/>
      </c>
      <c r="BG219" s="58" t="str">
        <f>IF($AM219=0,"",IF(NOT(ISNUMBER($I219)),"No stop; ","")&amp;IF(AND(ISNUMBER($H219),ISNUMBER($I219)),IF(OR(AND($F219&lt;&gt;"Short",$I219&gt;=$H219),AND($F219="Short",$I219&lt;=$H219)),"Stop on wrong side; ",""),"")&amp;IF($F219="","No direction; ","")&amp;IF(AND(ISNUMBER(Settings!$C$22),ISNUMBER($V219)),IF($V219&gt;Settings!$C$22,"Risk over max $; ",""),"")&amp;IF(AND(ISNUMBER(Settings!$C$23),ISNUMBER($V219),ISNUMBER($AP219),IFERROR(N(INDEX(Accounts!$E$7:$E$16,MATCH($C219,Accounts!$B$7:$B$16,0))),0)&gt;0),IF($V219&gt;Settings!$C$23*($AP219-N($Q219)),"Risk over max %; ",""),"")&amp;IF(AND(ISNUMBER(Settings!$C$24),ISNUMBER($N219)),IF($N219&gt;Settings!$C$24,"Leverage over max; ",""),"")&amp;IF(AND(ISNUMBER(Settings!$C$27),ISNUMBER($T219)),IF($T219&lt;Settings!$C$27,"R:R below min; ",""),"")&amp;IF(ISNUMBER(Settings!$C$25),IF(COUNTIFS($A$6:$A219,$A219,$AM$6:$AM219,1)&gt;Settings!$C$25,"Over max trades/day; ",""),"")&amp;IF(ISNUMBER(Settings!$C$26),IF(SUMIFS($Q$5:$Q218,$A$5:$A218,$A219)&lt;=-Settings!$C$26,"Traded after daily max loss; ",""),"")&amp;IF(AND($AG219="",NOT(ISNUMBER($O219))),"Symbol not in Instruments; ","")&amp;IF(AND($AH219="",NOT(ISNUMBER($O219))),"Forex cross: type Gross P&amp;L; ",""))</f>
        <v/>
      </c>
      <c r="BH219" s="56">
        <f>IF(ISNUMBER($Q219),1,0)</f>
        <v>0</v>
      </c>
      <c r="BI219" s="56">
        <f>IF($Y219="",0,1)</f>
        <v>0</v>
      </c>
      <c r="BJ219" s="56">
        <f>IF($AB219="",0,1)</f>
        <v>0</v>
      </c>
      <c r="BK219" s="56">
        <f>IF(AND($BH219=1,$W219&lt;&gt;"OK"),1,0)</f>
        <v>0</v>
      </c>
      <c r="BL219" s="55">
        <f>IF(N($AZ219)=0,0,IFERROR(INDEX($AT$6:$AT$1005,MATCH($AZ219,$AY$6:$AY$1005,0)),0))</f>
        <v>1187.10688</v>
      </c>
      <c r="BM219" s="56">
        <f>IF(ISNUMBER(SEARCH("daily max loss",$BG219)),1,0)</f>
        <v>0</v>
      </c>
    </row>
    <row r="220" ht="18" customHeight="1">
      <c r="A220" s="38" t="n"/>
      <c r="B220" s="39" t="n"/>
      <c r="C220" s="40" t="n"/>
      <c r="D220" s="41" t="n"/>
      <c r="E220" s="41" t="n"/>
      <c r="F220" s="41" t="n"/>
      <c r="G220" s="41" t="n"/>
      <c r="H220" s="42" t="n"/>
      <c r="I220" s="42" t="n"/>
      <c r="J220" s="42" t="n"/>
      <c r="K220" s="42" t="n"/>
      <c r="L220" s="41" t="n"/>
      <c r="M220" s="41" t="n"/>
      <c r="N220" s="41" t="n"/>
      <c r="O220" s="43" t="n"/>
      <c r="P220" s="43" t="n"/>
      <c r="Q220" s="44" t="str">
        <f>IF($AM220=0,"",IF(ISNUMBER($AK220),$AK220-N($AL220),""))</f>
        <v/>
      </c>
      <c r="R220" s="45" t="str">
        <f>IF(OR($Q220="",NOT(ISNUMBER($V220))),"",$AK220/$V220)</f>
        <v/>
      </c>
      <c r="S220" s="46" t="str">
        <f>IF($Q220="","",IF(AND(ISNUMBER($R220),ABS(N($R220))&lt;N(Settings!$C$8)),"Scratch",IF($Q220&gt;0,"Win",IF($Q220&lt;0,"Loss","Scratch"))))</f>
        <v/>
      </c>
      <c r="T220" s="47" t="str">
        <f>IF(OR($AM220=0,NOT(ISNUMBER($H220)),NOT(ISNUMBER($I220)),NOT(ISNUMBER($J220))),"",IF($H220=$I220,"",ROUND(ABS($J220-$H220)/ABS($H220-$I220),6)))</f>
        <v/>
      </c>
      <c r="U220" s="48" t="str">
        <f>IF(OR($S220&lt;&gt;"Win",NOT(ISNUMBER($T220)),NOT(ISNUMBER($R220))),"",MAX(0,$T220-$R220))</f>
        <v/>
      </c>
      <c r="V220" s="49" t="str">
        <f>IF(OR($AM220=0,NOT(ISNUMBER($H220)),NOT(ISNUMBER($I220)),NOT(ISNUMBER($G220))),"",IF(OR($AG220="",$AH220=""),"",IF(ROUND(ABS($H220-$I220)*ABS($G220)*$AG220*$AH220,6)=0,"",ROUND(ABS($H220-$I220)*ABS($G220)*$AG220*$AH220,6))))</f>
        <v/>
      </c>
      <c r="W220" s="50" t="str">
        <f>IF($AM220=0,"",IF($BG220="","OK",LEFT($BG220,LEN($BG220)-2)))</f>
        <v/>
      </c>
      <c r="X220" s="41" t="n"/>
      <c r="Y220" s="40" t="n"/>
      <c r="Z220" s="41" t="n"/>
      <c r="AA220" s="41" t="n"/>
      <c r="AB220" s="40" t="n"/>
      <c r="AC220" s="51" t="n"/>
      <c r="AD220" s="51" t="n"/>
      <c r="AE220" s="40" t="n"/>
      <c r="AF220" s="52" t="str">
        <f>IF($AM220=0,"",IF($D220&lt;&gt;"",$D220,IF(IFERROR(INDEX(Accounts!$C$7:$C$16,MATCH($C220,Accounts!$B$7:$B$16,0))&amp;"","")&lt;&gt;"",INDEX(Accounts!$C$7:$C$16,MATCH($C220,Accounts!$B$7:$B$16,0)),Settings!$C$6)))</f>
        <v/>
      </c>
      <c r="AG220" s="53" t="str">
        <f>IF($AM220=0,"",IF(AND($BE220&gt;0,N(INDEX(Instruments!$D$6:$D$205,MAX(1,$BE220)))&gt;0),INDEX(Instruments!$D$6:$D$205,MAX(1,$BE220)),IF(N(INDEX(Settings!$D$14:$D$18,$BF220))&gt;0,INDEX(Settings!$D$14:$D$18,$BF220),"")))</f>
        <v/>
      </c>
      <c r="AH220" s="54" t="str">
        <f>IF($AM220=0,"",IF($AF220&lt;&gt;"Forex",1,IF(MID(UPPER(SUBSTITUTE(TRIM($E220),"/","")),4,3)=UPPER(TRIM(Settings!$C$7)),1,IF(LEFT(UPPER(SUBSTITUTE(TRIM($E220),"/","")),3)=UPPER(TRIM(Settings!$C$7)),IF(AND(ISNUMBER($K220),N($K220)&lt;&gt;0),1/$K220,""),""))))</f>
        <v/>
      </c>
      <c r="AI220" s="55" t="str">
        <f>IF($AM220=0,"",IF(OR(NOT(ISNUMBER($H220)),NOT(ISNUMBER($K220)),NOT(ISNUMBER($G220)),$AG220="",$AH220=""),"",ROUND(($K220-$H220)*IF($F220="Short",-1,1)*$G220*$AG220*$AH220,6)))</f>
        <v/>
      </c>
      <c r="AJ220" s="55" t="str">
        <f>IF($AM220=0,"",IF(INDEX(Settings!$E$14:$E$18,$BF220)="% of notional",IF(OR($AG220="",NOT(ISNUMBER($H220)),NOT(ISNUMBER($G220))),"",ROUND(ABS($H220*$G220*$AG220*N($AH220))*IF($L220="Limit",N(INDEX(Settings!$G$14:$G$18,$BF220)),N(INDEX(Settings!$H$14:$H$18,$BF220)))+IF(ISNUMBER($K220),ABS($K220*$G220*$AG220*N($AH220))*IF($M220="Target",N(INDEX(Settings!$G$14:$G$18,$BF220)),N(INDEX(Settings!$H$14:$H$18,$BF220))),0),6)),IF(NOT(ISNUMBER($G220)),"",ROUND(ABS($G220)*2*IF(AND($BE220&gt;0,ISNUMBER(INDEX(Instruments!$G$6:$G$205,MAX(1,$BE220)))),INDEX(Instruments!$G$6:$G$205,MAX(1,$BE220)),N(INDEX(Settings!$F$14:$F$18,$BF220))),6))))</f>
        <v/>
      </c>
      <c r="AK220" s="55" t="str">
        <f>IF($AM220=0,"",IF(ISNUMBER($O220),$O220,$AI220))</f>
        <v/>
      </c>
      <c r="AL220" s="55" t="str">
        <f>IF($AM220=0,"",IF(ISNUMBER($P220),$P220,N($AJ220)))</f>
        <v/>
      </c>
      <c r="AM220" s="56">
        <f>IF(AND($A220&lt;&gt;"",$E220&lt;&gt;"",OR(AND(ISNUMBER($G220),ISNUMBER($H220),ISNUMBER($K220)),ISNUMBER($O220))),1,0)</f>
        <v>0</v>
      </c>
      <c r="AN220" s="57" t="str">
        <f>IF($A220="","",$A220-WEEKDAY($A220,3))</f>
        <v/>
      </c>
      <c r="AO220" s="56" t="str">
        <f>IF($A220="","",WEEKDAY($A220,2))</f>
        <v/>
      </c>
      <c r="AP220" s="55" t="str">
        <f>IF(OR($AM220=0,$C220=""),"",IFERROR(N(INDEX(Accounts!$E$7:$E$16,MATCH($C220,Accounts!$B$7:$B$16,0))),0)+SUMIFS($Q$6:$Q220,$C$6:$C220,$C220))</f>
        <v/>
      </c>
      <c r="AQ220" s="55" t="str">
        <f>IF(OR($AM220=0,$C220=""),"",SUMIFS($Q$6:$Q$1005,$C$6:$C$1005,$C220,$A$6:$A$1005,$A220))</f>
        <v/>
      </c>
      <c r="AR220" s="55" t="str">
        <f>IF(OR($AM220=0,$C220=""),"",IFERROR(N(INDEX(Accounts!$E$7:$E$16,MATCH($C220,Accounts!$B$7:$B$16,0))),0)+SUMIFS($Q$6:$Q$1005,$C$6:$C$1005,$C220,$A$6:$A$1005,"&lt;="&amp;$A220))</f>
        <v/>
      </c>
      <c r="AS220" s="56">
        <f>IF(OR($AM220=0,$Q220=""),0,IF(AND($A220&gt;=Lists!$W$6,$A220&lt;=Lists!$W$7,OR(Dashboard!$D$6="All accounts",$C220=Dashboard!$D$6),OR(Dashboard!$D$7="All markets",$AF220=Dashboard!$D$7)),1,0))</f>
        <v>0</v>
      </c>
      <c r="AT220" s="55">
        <f>IF($AS220=1,N(AT219)+$Q220,N(AT219))</f>
        <v>1187.10688</v>
      </c>
      <c r="AU220" s="55">
        <f>MAX(N(AU219),$AT220)</f>
        <v>1187.10688</v>
      </c>
      <c r="AV220" s="55">
        <f>$AT220-$AU220</f>
        <v>0</v>
      </c>
      <c r="AW220" s="56">
        <f>IF($AS220=1,IF($S220="Win",N(AW219)+1,IF($S220="Loss",0,N(AW219))),N(AW219))</f>
        <v>5</v>
      </c>
      <c r="AX220" s="56">
        <f>IF($AS220=1,IF($S220="Loss",N(AX219)+1,IF($S220="Win",0,N(AX219))),N(AX219))</f>
        <v>0</v>
      </c>
      <c r="AY220" s="56" t="str">
        <f>IF($AS220=1,COUNTIF($AS$6:$AS220,1),"")</f>
        <v/>
      </c>
      <c r="AZ220" s="56">
        <f>MIN(214,N(Lists!$W$8))</f>
        <v>28</v>
      </c>
      <c r="BA220" s="56">
        <f>IF($AS220=1,IF(COUNTIFS($A$6:$A220,$A220,$AS$6:$AS220,1)=1,1,0),0)</f>
        <v>0</v>
      </c>
      <c r="BB220" s="55" t="str">
        <f>IF($BA220=1,SUMIFS($Q$6:$Q$1005,$A$6:$A$1005,$A220,$AS$6:$AS$1005,1),"")</f>
        <v/>
      </c>
      <c r="BC220" s="56">
        <f>IF(ISNUMBER($R220),1,0)</f>
        <v>0</v>
      </c>
      <c r="BD220" s="55" t="str">
        <f>IF(ISNUMBER($U220),$U220*$V220,"")</f>
        <v/>
      </c>
      <c r="BE220" s="56" t="str">
        <f>IF($AM220=0,"",IFERROR(MATCH($AF220&amp;"|"&amp;UPPER(TRIM($E220)),Lists!$A$6:$A$205,0),0))</f>
        <v/>
      </c>
      <c r="BF220" s="56" t="str">
        <f>IF($AM220=0,"",IFERROR(MATCH($AF220,Settings!$B$14:$B$18,0),IFERROR(MATCH(Settings!$C$6,Settings!$B$14:$B$18,0),1)))</f>
        <v/>
      </c>
      <c r="BG220" s="58" t="str">
        <f>IF($AM220=0,"",IF(NOT(ISNUMBER($I220)),"No stop; ","")&amp;IF(AND(ISNUMBER($H220),ISNUMBER($I220)),IF(OR(AND($F220&lt;&gt;"Short",$I220&gt;=$H220),AND($F220="Short",$I220&lt;=$H220)),"Stop on wrong side; ",""),"")&amp;IF($F220="","No direction; ","")&amp;IF(AND(ISNUMBER(Settings!$C$22),ISNUMBER($V220)),IF($V220&gt;Settings!$C$22,"Risk over max $; ",""),"")&amp;IF(AND(ISNUMBER(Settings!$C$23),ISNUMBER($V220),ISNUMBER($AP220),IFERROR(N(INDEX(Accounts!$E$7:$E$16,MATCH($C220,Accounts!$B$7:$B$16,0))),0)&gt;0),IF($V220&gt;Settings!$C$23*($AP220-N($Q220)),"Risk over max %; ",""),"")&amp;IF(AND(ISNUMBER(Settings!$C$24),ISNUMBER($N220)),IF($N220&gt;Settings!$C$24,"Leverage over max; ",""),"")&amp;IF(AND(ISNUMBER(Settings!$C$27),ISNUMBER($T220)),IF($T220&lt;Settings!$C$27,"R:R below min; ",""),"")&amp;IF(ISNUMBER(Settings!$C$25),IF(COUNTIFS($A$6:$A220,$A220,$AM$6:$AM220,1)&gt;Settings!$C$25,"Over max trades/day; ",""),"")&amp;IF(ISNUMBER(Settings!$C$26),IF(SUMIFS($Q$5:$Q219,$A$5:$A219,$A220)&lt;=-Settings!$C$26,"Traded after daily max loss; ",""),"")&amp;IF(AND($AG220="",NOT(ISNUMBER($O220))),"Symbol not in Instruments; ","")&amp;IF(AND($AH220="",NOT(ISNUMBER($O220))),"Forex cross: type Gross P&amp;L; ",""))</f>
        <v/>
      </c>
      <c r="BH220" s="56">
        <f>IF(ISNUMBER($Q220),1,0)</f>
        <v>0</v>
      </c>
      <c r="BI220" s="56">
        <f>IF($Y220="",0,1)</f>
        <v>0</v>
      </c>
      <c r="BJ220" s="56">
        <f>IF($AB220="",0,1)</f>
        <v>0</v>
      </c>
      <c r="BK220" s="56">
        <f>IF(AND($BH220=1,$W220&lt;&gt;"OK"),1,0)</f>
        <v>0</v>
      </c>
      <c r="BL220" s="55">
        <f>IF(N($AZ220)=0,0,IFERROR(INDEX($AT$6:$AT$1005,MATCH($AZ220,$AY$6:$AY$1005,0)),0))</f>
        <v>1187.10688</v>
      </c>
      <c r="BM220" s="56">
        <f>IF(ISNUMBER(SEARCH("daily max loss",$BG220)),1,0)</f>
        <v>0</v>
      </c>
    </row>
    <row r="221" ht="18" customHeight="1">
      <c r="A221" s="38" t="n"/>
      <c r="B221" s="39" t="n"/>
      <c r="C221" s="40" t="n"/>
      <c r="D221" s="41" t="n"/>
      <c r="E221" s="41" t="n"/>
      <c r="F221" s="41" t="n"/>
      <c r="G221" s="41" t="n"/>
      <c r="H221" s="42" t="n"/>
      <c r="I221" s="42" t="n"/>
      <c r="J221" s="42" t="n"/>
      <c r="K221" s="42" t="n"/>
      <c r="L221" s="41" t="n"/>
      <c r="M221" s="41" t="n"/>
      <c r="N221" s="41" t="n"/>
      <c r="O221" s="43" t="n"/>
      <c r="P221" s="43" t="n"/>
      <c r="Q221" s="44" t="str">
        <f>IF($AM221=0,"",IF(ISNUMBER($AK221),$AK221-N($AL221),""))</f>
        <v/>
      </c>
      <c r="R221" s="45" t="str">
        <f>IF(OR($Q221="",NOT(ISNUMBER($V221))),"",$AK221/$V221)</f>
        <v/>
      </c>
      <c r="S221" s="46" t="str">
        <f>IF($Q221="","",IF(AND(ISNUMBER($R221),ABS(N($R221))&lt;N(Settings!$C$8)),"Scratch",IF($Q221&gt;0,"Win",IF($Q221&lt;0,"Loss","Scratch"))))</f>
        <v/>
      </c>
      <c r="T221" s="47" t="str">
        <f>IF(OR($AM221=0,NOT(ISNUMBER($H221)),NOT(ISNUMBER($I221)),NOT(ISNUMBER($J221))),"",IF($H221=$I221,"",ROUND(ABS($J221-$H221)/ABS($H221-$I221),6)))</f>
        <v/>
      </c>
      <c r="U221" s="48" t="str">
        <f>IF(OR($S221&lt;&gt;"Win",NOT(ISNUMBER($T221)),NOT(ISNUMBER($R221))),"",MAX(0,$T221-$R221))</f>
        <v/>
      </c>
      <c r="V221" s="49" t="str">
        <f>IF(OR($AM221=0,NOT(ISNUMBER($H221)),NOT(ISNUMBER($I221)),NOT(ISNUMBER($G221))),"",IF(OR($AG221="",$AH221=""),"",IF(ROUND(ABS($H221-$I221)*ABS($G221)*$AG221*$AH221,6)=0,"",ROUND(ABS($H221-$I221)*ABS($G221)*$AG221*$AH221,6))))</f>
        <v/>
      </c>
      <c r="W221" s="50" t="str">
        <f>IF($AM221=0,"",IF($BG221="","OK",LEFT($BG221,LEN($BG221)-2)))</f>
        <v/>
      </c>
      <c r="X221" s="41" t="n"/>
      <c r="Y221" s="40" t="n"/>
      <c r="Z221" s="41" t="n"/>
      <c r="AA221" s="41" t="n"/>
      <c r="AB221" s="40" t="n"/>
      <c r="AC221" s="51" t="n"/>
      <c r="AD221" s="51" t="n"/>
      <c r="AE221" s="40" t="n"/>
      <c r="AF221" s="52" t="str">
        <f>IF($AM221=0,"",IF($D221&lt;&gt;"",$D221,IF(IFERROR(INDEX(Accounts!$C$7:$C$16,MATCH($C221,Accounts!$B$7:$B$16,0))&amp;"","")&lt;&gt;"",INDEX(Accounts!$C$7:$C$16,MATCH($C221,Accounts!$B$7:$B$16,0)),Settings!$C$6)))</f>
        <v/>
      </c>
      <c r="AG221" s="53" t="str">
        <f>IF($AM221=0,"",IF(AND($BE221&gt;0,N(INDEX(Instruments!$D$6:$D$205,MAX(1,$BE221)))&gt;0),INDEX(Instruments!$D$6:$D$205,MAX(1,$BE221)),IF(N(INDEX(Settings!$D$14:$D$18,$BF221))&gt;0,INDEX(Settings!$D$14:$D$18,$BF221),"")))</f>
        <v/>
      </c>
      <c r="AH221" s="54" t="str">
        <f>IF($AM221=0,"",IF($AF221&lt;&gt;"Forex",1,IF(MID(UPPER(SUBSTITUTE(TRIM($E221),"/","")),4,3)=UPPER(TRIM(Settings!$C$7)),1,IF(LEFT(UPPER(SUBSTITUTE(TRIM($E221),"/","")),3)=UPPER(TRIM(Settings!$C$7)),IF(AND(ISNUMBER($K221),N($K221)&lt;&gt;0),1/$K221,""),""))))</f>
        <v/>
      </c>
      <c r="AI221" s="55" t="str">
        <f>IF($AM221=0,"",IF(OR(NOT(ISNUMBER($H221)),NOT(ISNUMBER($K221)),NOT(ISNUMBER($G221)),$AG221="",$AH221=""),"",ROUND(($K221-$H221)*IF($F221="Short",-1,1)*$G221*$AG221*$AH221,6)))</f>
        <v/>
      </c>
      <c r="AJ221" s="55" t="str">
        <f>IF($AM221=0,"",IF(INDEX(Settings!$E$14:$E$18,$BF221)="% of notional",IF(OR($AG221="",NOT(ISNUMBER($H221)),NOT(ISNUMBER($G221))),"",ROUND(ABS($H221*$G221*$AG221*N($AH221))*IF($L221="Limit",N(INDEX(Settings!$G$14:$G$18,$BF221)),N(INDEX(Settings!$H$14:$H$18,$BF221)))+IF(ISNUMBER($K221),ABS($K221*$G221*$AG221*N($AH221))*IF($M221="Target",N(INDEX(Settings!$G$14:$G$18,$BF221)),N(INDEX(Settings!$H$14:$H$18,$BF221))),0),6)),IF(NOT(ISNUMBER($G221)),"",ROUND(ABS($G221)*2*IF(AND($BE221&gt;0,ISNUMBER(INDEX(Instruments!$G$6:$G$205,MAX(1,$BE221)))),INDEX(Instruments!$G$6:$G$205,MAX(1,$BE221)),N(INDEX(Settings!$F$14:$F$18,$BF221))),6))))</f>
        <v/>
      </c>
      <c r="AK221" s="55" t="str">
        <f>IF($AM221=0,"",IF(ISNUMBER($O221),$O221,$AI221))</f>
        <v/>
      </c>
      <c r="AL221" s="55" t="str">
        <f>IF($AM221=0,"",IF(ISNUMBER($P221),$P221,N($AJ221)))</f>
        <v/>
      </c>
      <c r="AM221" s="56">
        <f>IF(AND($A221&lt;&gt;"",$E221&lt;&gt;"",OR(AND(ISNUMBER($G221),ISNUMBER($H221),ISNUMBER($K221)),ISNUMBER($O221))),1,0)</f>
        <v>0</v>
      </c>
      <c r="AN221" s="57" t="str">
        <f>IF($A221="","",$A221-WEEKDAY($A221,3))</f>
        <v/>
      </c>
      <c r="AO221" s="56" t="str">
        <f>IF($A221="","",WEEKDAY($A221,2))</f>
        <v/>
      </c>
      <c r="AP221" s="55" t="str">
        <f>IF(OR($AM221=0,$C221=""),"",IFERROR(N(INDEX(Accounts!$E$7:$E$16,MATCH($C221,Accounts!$B$7:$B$16,0))),0)+SUMIFS($Q$6:$Q221,$C$6:$C221,$C221))</f>
        <v/>
      </c>
      <c r="AQ221" s="55" t="str">
        <f>IF(OR($AM221=0,$C221=""),"",SUMIFS($Q$6:$Q$1005,$C$6:$C$1005,$C221,$A$6:$A$1005,$A221))</f>
        <v/>
      </c>
      <c r="AR221" s="55" t="str">
        <f>IF(OR($AM221=0,$C221=""),"",IFERROR(N(INDEX(Accounts!$E$7:$E$16,MATCH($C221,Accounts!$B$7:$B$16,0))),0)+SUMIFS($Q$6:$Q$1005,$C$6:$C$1005,$C221,$A$6:$A$1005,"&lt;="&amp;$A221))</f>
        <v/>
      </c>
      <c r="AS221" s="56">
        <f>IF(OR($AM221=0,$Q221=""),0,IF(AND($A221&gt;=Lists!$W$6,$A221&lt;=Lists!$W$7,OR(Dashboard!$D$6="All accounts",$C221=Dashboard!$D$6),OR(Dashboard!$D$7="All markets",$AF221=Dashboard!$D$7)),1,0))</f>
        <v>0</v>
      </c>
      <c r="AT221" s="55">
        <f>IF($AS221=1,N(AT220)+$Q221,N(AT220))</f>
        <v>1187.10688</v>
      </c>
      <c r="AU221" s="55">
        <f>MAX(N(AU220),$AT221)</f>
        <v>1187.10688</v>
      </c>
      <c r="AV221" s="55">
        <f>$AT221-$AU221</f>
        <v>0</v>
      </c>
      <c r="AW221" s="56">
        <f>IF($AS221=1,IF($S221="Win",N(AW220)+1,IF($S221="Loss",0,N(AW220))),N(AW220))</f>
        <v>5</v>
      </c>
      <c r="AX221" s="56">
        <f>IF($AS221=1,IF($S221="Loss",N(AX220)+1,IF($S221="Win",0,N(AX220))),N(AX220))</f>
        <v>0</v>
      </c>
      <c r="AY221" s="56" t="str">
        <f>IF($AS221=1,COUNTIF($AS$6:$AS221,1),"")</f>
        <v/>
      </c>
      <c r="AZ221" s="56">
        <f>MIN(215,N(Lists!$W$8))</f>
        <v>28</v>
      </c>
      <c r="BA221" s="56">
        <f>IF($AS221=1,IF(COUNTIFS($A$6:$A221,$A221,$AS$6:$AS221,1)=1,1,0),0)</f>
        <v>0</v>
      </c>
      <c r="BB221" s="55" t="str">
        <f>IF($BA221=1,SUMIFS($Q$6:$Q$1005,$A$6:$A$1005,$A221,$AS$6:$AS$1005,1),"")</f>
        <v/>
      </c>
      <c r="BC221" s="56">
        <f>IF(ISNUMBER($R221),1,0)</f>
        <v>0</v>
      </c>
      <c r="BD221" s="55" t="str">
        <f>IF(ISNUMBER($U221),$U221*$V221,"")</f>
        <v/>
      </c>
      <c r="BE221" s="56" t="str">
        <f>IF($AM221=0,"",IFERROR(MATCH($AF221&amp;"|"&amp;UPPER(TRIM($E221)),Lists!$A$6:$A$205,0),0))</f>
        <v/>
      </c>
      <c r="BF221" s="56" t="str">
        <f>IF($AM221=0,"",IFERROR(MATCH($AF221,Settings!$B$14:$B$18,0),IFERROR(MATCH(Settings!$C$6,Settings!$B$14:$B$18,0),1)))</f>
        <v/>
      </c>
      <c r="BG221" s="58" t="str">
        <f>IF($AM221=0,"",IF(NOT(ISNUMBER($I221)),"No stop; ","")&amp;IF(AND(ISNUMBER($H221),ISNUMBER($I221)),IF(OR(AND($F221&lt;&gt;"Short",$I221&gt;=$H221),AND($F221="Short",$I221&lt;=$H221)),"Stop on wrong side; ",""),"")&amp;IF($F221="","No direction; ","")&amp;IF(AND(ISNUMBER(Settings!$C$22),ISNUMBER($V221)),IF($V221&gt;Settings!$C$22,"Risk over max $; ",""),"")&amp;IF(AND(ISNUMBER(Settings!$C$23),ISNUMBER($V221),ISNUMBER($AP221),IFERROR(N(INDEX(Accounts!$E$7:$E$16,MATCH($C221,Accounts!$B$7:$B$16,0))),0)&gt;0),IF($V221&gt;Settings!$C$23*($AP221-N($Q221)),"Risk over max %; ",""),"")&amp;IF(AND(ISNUMBER(Settings!$C$24),ISNUMBER($N221)),IF($N221&gt;Settings!$C$24,"Leverage over max; ",""),"")&amp;IF(AND(ISNUMBER(Settings!$C$27),ISNUMBER($T221)),IF($T221&lt;Settings!$C$27,"R:R below min; ",""),"")&amp;IF(ISNUMBER(Settings!$C$25),IF(COUNTIFS($A$6:$A221,$A221,$AM$6:$AM221,1)&gt;Settings!$C$25,"Over max trades/day; ",""),"")&amp;IF(ISNUMBER(Settings!$C$26),IF(SUMIFS($Q$5:$Q220,$A$5:$A220,$A221)&lt;=-Settings!$C$26,"Traded after daily max loss; ",""),"")&amp;IF(AND($AG221="",NOT(ISNUMBER($O221))),"Symbol not in Instruments; ","")&amp;IF(AND($AH221="",NOT(ISNUMBER($O221))),"Forex cross: type Gross P&amp;L; ",""))</f>
        <v/>
      </c>
      <c r="BH221" s="56">
        <f>IF(ISNUMBER($Q221),1,0)</f>
        <v>0</v>
      </c>
      <c r="BI221" s="56">
        <f>IF($Y221="",0,1)</f>
        <v>0</v>
      </c>
      <c r="BJ221" s="56">
        <f>IF($AB221="",0,1)</f>
        <v>0</v>
      </c>
      <c r="BK221" s="56">
        <f>IF(AND($BH221=1,$W221&lt;&gt;"OK"),1,0)</f>
        <v>0</v>
      </c>
      <c r="BL221" s="55">
        <f>IF(N($AZ221)=0,0,IFERROR(INDEX($AT$6:$AT$1005,MATCH($AZ221,$AY$6:$AY$1005,0)),0))</f>
        <v>1187.10688</v>
      </c>
      <c r="BM221" s="56">
        <f>IF(ISNUMBER(SEARCH("daily max loss",$BG221)),1,0)</f>
        <v>0</v>
      </c>
    </row>
    <row r="222" ht="18" customHeight="1">
      <c r="A222" s="38" t="n"/>
      <c r="B222" s="39" t="n"/>
      <c r="C222" s="40" t="n"/>
      <c r="D222" s="41" t="n"/>
      <c r="E222" s="41" t="n"/>
      <c r="F222" s="41" t="n"/>
      <c r="G222" s="41" t="n"/>
      <c r="H222" s="42" t="n"/>
      <c r="I222" s="42" t="n"/>
      <c r="J222" s="42" t="n"/>
      <c r="K222" s="42" t="n"/>
      <c r="L222" s="41" t="n"/>
      <c r="M222" s="41" t="n"/>
      <c r="N222" s="41" t="n"/>
      <c r="O222" s="43" t="n"/>
      <c r="P222" s="43" t="n"/>
      <c r="Q222" s="44" t="str">
        <f>IF($AM222=0,"",IF(ISNUMBER($AK222),$AK222-N($AL222),""))</f>
        <v/>
      </c>
      <c r="R222" s="45" t="str">
        <f>IF(OR($Q222="",NOT(ISNUMBER($V222))),"",$AK222/$V222)</f>
        <v/>
      </c>
      <c r="S222" s="46" t="str">
        <f>IF($Q222="","",IF(AND(ISNUMBER($R222),ABS(N($R222))&lt;N(Settings!$C$8)),"Scratch",IF($Q222&gt;0,"Win",IF($Q222&lt;0,"Loss","Scratch"))))</f>
        <v/>
      </c>
      <c r="T222" s="47" t="str">
        <f>IF(OR($AM222=0,NOT(ISNUMBER($H222)),NOT(ISNUMBER($I222)),NOT(ISNUMBER($J222))),"",IF($H222=$I222,"",ROUND(ABS($J222-$H222)/ABS($H222-$I222),6)))</f>
        <v/>
      </c>
      <c r="U222" s="48" t="str">
        <f>IF(OR($S222&lt;&gt;"Win",NOT(ISNUMBER($T222)),NOT(ISNUMBER($R222))),"",MAX(0,$T222-$R222))</f>
        <v/>
      </c>
      <c r="V222" s="49" t="str">
        <f>IF(OR($AM222=0,NOT(ISNUMBER($H222)),NOT(ISNUMBER($I222)),NOT(ISNUMBER($G222))),"",IF(OR($AG222="",$AH222=""),"",IF(ROUND(ABS($H222-$I222)*ABS($G222)*$AG222*$AH222,6)=0,"",ROUND(ABS($H222-$I222)*ABS($G222)*$AG222*$AH222,6))))</f>
        <v/>
      </c>
      <c r="W222" s="50" t="str">
        <f>IF($AM222=0,"",IF($BG222="","OK",LEFT($BG222,LEN($BG222)-2)))</f>
        <v/>
      </c>
      <c r="X222" s="41" t="n"/>
      <c r="Y222" s="40" t="n"/>
      <c r="Z222" s="41" t="n"/>
      <c r="AA222" s="41" t="n"/>
      <c r="AB222" s="40" t="n"/>
      <c r="AC222" s="51" t="n"/>
      <c r="AD222" s="51" t="n"/>
      <c r="AE222" s="40" t="n"/>
      <c r="AF222" s="52" t="str">
        <f>IF($AM222=0,"",IF($D222&lt;&gt;"",$D222,IF(IFERROR(INDEX(Accounts!$C$7:$C$16,MATCH($C222,Accounts!$B$7:$B$16,0))&amp;"","")&lt;&gt;"",INDEX(Accounts!$C$7:$C$16,MATCH($C222,Accounts!$B$7:$B$16,0)),Settings!$C$6)))</f>
        <v/>
      </c>
      <c r="AG222" s="53" t="str">
        <f>IF($AM222=0,"",IF(AND($BE222&gt;0,N(INDEX(Instruments!$D$6:$D$205,MAX(1,$BE222)))&gt;0),INDEX(Instruments!$D$6:$D$205,MAX(1,$BE222)),IF(N(INDEX(Settings!$D$14:$D$18,$BF222))&gt;0,INDEX(Settings!$D$14:$D$18,$BF222),"")))</f>
        <v/>
      </c>
      <c r="AH222" s="54" t="str">
        <f>IF($AM222=0,"",IF($AF222&lt;&gt;"Forex",1,IF(MID(UPPER(SUBSTITUTE(TRIM($E222),"/","")),4,3)=UPPER(TRIM(Settings!$C$7)),1,IF(LEFT(UPPER(SUBSTITUTE(TRIM($E222),"/","")),3)=UPPER(TRIM(Settings!$C$7)),IF(AND(ISNUMBER($K222),N($K222)&lt;&gt;0),1/$K222,""),""))))</f>
        <v/>
      </c>
      <c r="AI222" s="55" t="str">
        <f>IF($AM222=0,"",IF(OR(NOT(ISNUMBER($H222)),NOT(ISNUMBER($K222)),NOT(ISNUMBER($G222)),$AG222="",$AH222=""),"",ROUND(($K222-$H222)*IF($F222="Short",-1,1)*$G222*$AG222*$AH222,6)))</f>
        <v/>
      </c>
      <c r="AJ222" s="55" t="str">
        <f>IF($AM222=0,"",IF(INDEX(Settings!$E$14:$E$18,$BF222)="% of notional",IF(OR($AG222="",NOT(ISNUMBER($H222)),NOT(ISNUMBER($G222))),"",ROUND(ABS($H222*$G222*$AG222*N($AH222))*IF($L222="Limit",N(INDEX(Settings!$G$14:$G$18,$BF222)),N(INDEX(Settings!$H$14:$H$18,$BF222)))+IF(ISNUMBER($K222),ABS($K222*$G222*$AG222*N($AH222))*IF($M222="Target",N(INDEX(Settings!$G$14:$G$18,$BF222)),N(INDEX(Settings!$H$14:$H$18,$BF222))),0),6)),IF(NOT(ISNUMBER($G222)),"",ROUND(ABS($G222)*2*IF(AND($BE222&gt;0,ISNUMBER(INDEX(Instruments!$G$6:$G$205,MAX(1,$BE222)))),INDEX(Instruments!$G$6:$G$205,MAX(1,$BE222)),N(INDEX(Settings!$F$14:$F$18,$BF222))),6))))</f>
        <v/>
      </c>
      <c r="AK222" s="55" t="str">
        <f>IF($AM222=0,"",IF(ISNUMBER($O222),$O222,$AI222))</f>
        <v/>
      </c>
      <c r="AL222" s="55" t="str">
        <f>IF($AM222=0,"",IF(ISNUMBER($P222),$P222,N($AJ222)))</f>
        <v/>
      </c>
      <c r="AM222" s="56">
        <f>IF(AND($A222&lt;&gt;"",$E222&lt;&gt;"",OR(AND(ISNUMBER($G222),ISNUMBER($H222),ISNUMBER($K222)),ISNUMBER($O222))),1,0)</f>
        <v>0</v>
      </c>
      <c r="AN222" s="57" t="str">
        <f>IF($A222="","",$A222-WEEKDAY($A222,3))</f>
        <v/>
      </c>
      <c r="AO222" s="56" t="str">
        <f>IF($A222="","",WEEKDAY($A222,2))</f>
        <v/>
      </c>
      <c r="AP222" s="55" t="str">
        <f>IF(OR($AM222=0,$C222=""),"",IFERROR(N(INDEX(Accounts!$E$7:$E$16,MATCH($C222,Accounts!$B$7:$B$16,0))),0)+SUMIFS($Q$6:$Q222,$C$6:$C222,$C222))</f>
        <v/>
      </c>
      <c r="AQ222" s="55" t="str">
        <f>IF(OR($AM222=0,$C222=""),"",SUMIFS($Q$6:$Q$1005,$C$6:$C$1005,$C222,$A$6:$A$1005,$A222))</f>
        <v/>
      </c>
      <c r="AR222" s="55" t="str">
        <f>IF(OR($AM222=0,$C222=""),"",IFERROR(N(INDEX(Accounts!$E$7:$E$16,MATCH($C222,Accounts!$B$7:$B$16,0))),0)+SUMIFS($Q$6:$Q$1005,$C$6:$C$1005,$C222,$A$6:$A$1005,"&lt;="&amp;$A222))</f>
        <v/>
      </c>
      <c r="AS222" s="56">
        <f>IF(OR($AM222=0,$Q222=""),0,IF(AND($A222&gt;=Lists!$W$6,$A222&lt;=Lists!$W$7,OR(Dashboard!$D$6="All accounts",$C222=Dashboard!$D$6),OR(Dashboard!$D$7="All markets",$AF222=Dashboard!$D$7)),1,0))</f>
        <v>0</v>
      </c>
      <c r="AT222" s="55">
        <f>IF($AS222=1,N(AT221)+$Q222,N(AT221))</f>
        <v>1187.10688</v>
      </c>
      <c r="AU222" s="55">
        <f>MAX(N(AU221),$AT222)</f>
        <v>1187.10688</v>
      </c>
      <c r="AV222" s="55">
        <f>$AT222-$AU222</f>
        <v>0</v>
      </c>
      <c r="AW222" s="56">
        <f>IF($AS222=1,IF($S222="Win",N(AW221)+1,IF($S222="Loss",0,N(AW221))),N(AW221))</f>
        <v>5</v>
      </c>
      <c r="AX222" s="56">
        <f>IF($AS222=1,IF($S222="Loss",N(AX221)+1,IF($S222="Win",0,N(AX221))),N(AX221))</f>
        <v>0</v>
      </c>
      <c r="AY222" s="56" t="str">
        <f>IF($AS222=1,COUNTIF($AS$6:$AS222,1),"")</f>
        <v/>
      </c>
      <c r="AZ222" s="56">
        <f>MIN(216,N(Lists!$W$8))</f>
        <v>28</v>
      </c>
      <c r="BA222" s="56">
        <f>IF($AS222=1,IF(COUNTIFS($A$6:$A222,$A222,$AS$6:$AS222,1)=1,1,0),0)</f>
        <v>0</v>
      </c>
      <c r="BB222" s="55" t="str">
        <f>IF($BA222=1,SUMIFS($Q$6:$Q$1005,$A$6:$A$1005,$A222,$AS$6:$AS$1005,1),"")</f>
        <v/>
      </c>
      <c r="BC222" s="56">
        <f>IF(ISNUMBER($R222),1,0)</f>
        <v>0</v>
      </c>
      <c r="BD222" s="55" t="str">
        <f>IF(ISNUMBER($U222),$U222*$V222,"")</f>
        <v/>
      </c>
      <c r="BE222" s="56" t="str">
        <f>IF($AM222=0,"",IFERROR(MATCH($AF222&amp;"|"&amp;UPPER(TRIM($E222)),Lists!$A$6:$A$205,0),0))</f>
        <v/>
      </c>
      <c r="BF222" s="56" t="str">
        <f>IF($AM222=0,"",IFERROR(MATCH($AF222,Settings!$B$14:$B$18,0),IFERROR(MATCH(Settings!$C$6,Settings!$B$14:$B$18,0),1)))</f>
        <v/>
      </c>
      <c r="BG222" s="58" t="str">
        <f>IF($AM222=0,"",IF(NOT(ISNUMBER($I222)),"No stop; ","")&amp;IF(AND(ISNUMBER($H222),ISNUMBER($I222)),IF(OR(AND($F222&lt;&gt;"Short",$I222&gt;=$H222),AND($F222="Short",$I222&lt;=$H222)),"Stop on wrong side; ",""),"")&amp;IF($F222="","No direction; ","")&amp;IF(AND(ISNUMBER(Settings!$C$22),ISNUMBER($V222)),IF($V222&gt;Settings!$C$22,"Risk over max $; ",""),"")&amp;IF(AND(ISNUMBER(Settings!$C$23),ISNUMBER($V222),ISNUMBER($AP222),IFERROR(N(INDEX(Accounts!$E$7:$E$16,MATCH($C222,Accounts!$B$7:$B$16,0))),0)&gt;0),IF($V222&gt;Settings!$C$23*($AP222-N($Q222)),"Risk over max %; ",""),"")&amp;IF(AND(ISNUMBER(Settings!$C$24),ISNUMBER($N222)),IF($N222&gt;Settings!$C$24,"Leverage over max; ",""),"")&amp;IF(AND(ISNUMBER(Settings!$C$27),ISNUMBER($T222)),IF($T222&lt;Settings!$C$27,"R:R below min; ",""),"")&amp;IF(ISNUMBER(Settings!$C$25),IF(COUNTIFS($A$6:$A222,$A222,$AM$6:$AM222,1)&gt;Settings!$C$25,"Over max trades/day; ",""),"")&amp;IF(ISNUMBER(Settings!$C$26),IF(SUMIFS($Q$5:$Q221,$A$5:$A221,$A222)&lt;=-Settings!$C$26,"Traded after daily max loss; ",""),"")&amp;IF(AND($AG222="",NOT(ISNUMBER($O222))),"Symbol not in Instruments; ","")&amp;IF(AND($AH222="",NOT(ISNUMBER($O222))),"Forex cross: type Gross P&amp;L; ",""))</f>
        <v/>
      </c>
      <c r="BH222" s="56">
        <f>IF(ISNUMBER($Q222),1,0)</f>
        <v>0</v>
      </c>
      <c r="BI222" s="56">
        <f>IF($Y222="",0,1)</f>
        <v>0</v>
      </c>
      <c r="BJ222" s="56">
        <f>IF($AB222="",0,1)</f>
        <v>0</v>
      </c>
      <c r="BK222" s="56">
        <f>IF(AND($BH222=1,$W222&lt;&gt;"OK"),1,0)</f>
        <v>0</v>
      </c>
      <c r="BL222" s="55">
        <f>IF(N($AZ222)=0,0,IFERROR(INDEX($AT$6:$AT$1005,MATCH($AZ222,$AY$6:$AY$1005,0)),0))</f>
        <v>1187.10688</v>
      </c>
      <c r="BM222" s="56">
        <f>IF(ISNUMBER(SEARCH("daily max loss",$BG222)),1,0)</f>
        <v>0</v>
      </c>
    </row>
    <row r="223" ht="18" customHeight="1">
      <c r="A223" s="38" t="n"/>
      <c r="B223" s="39" t="n"/>
      <c r="C223" s="40" t="n"/>
      <c r="D223" s="41" t="n"/>
      <c r="E223" s="41" t="n"/>
      <c r="F223" s="41" t="n"/>
      <c r="G223" s="41" t="n"/>
      <c r="H223" s="42" t="n"/>
      <c r="I223" s="42" t="n"/>
      <c r="J223" s="42" t="n"/>
      <c r="K223" s="42" t="n"/>
      <c r="L223" s="41" t="n"/>
      <c r="M223" s="41" t="n"/>
      <c r="N223" s="41" t="n"/>
      <c r="O223" s="43" t="n"/>
      <c r="P223" s="43" t="n"/>
      <c r="Q223" s="44" t="str">
        <f>IF($AM223=0,"",IF(ISNUMBER($AK223),$AK223-N($AL223),""))</f>
        <v/>
      </c>
      <c r="R223" s="45" t="str">
        <f>IF(OR($Q223="",NOT(ISNUMBER($V223))),"",$AK223/$V223)</f>
        <v/>
      </c>
      <c r="S223" s="46" t="str">
        <f>IF($Q223="","",IF(AND(ISNUMBER($R223),ABS(N($R223))&lt;N(Settings!$C$8)),"Scratch",IF($Q223&gt;0,"Win",IF($Q223&lt;0,"Loss","Scratch"))))</f>
        <v/>
      </c>
      <c r="T223" s="47" t="str">
        <f>IF(OR($AM223=0,NOT(ISNUMBER($H223)),NOT(ISNUMBER($I223)),NOT(ISNUMBER($J223))),"",IF($H223=$I223,"",ROUND(ABS($J223-$H223)/ABS($H223-$I223),6)))</f>
        <v/>
      </c>
      <c r="U223" s="48" t="str">
        <f>IF(OR($S223&lt;&gt;"Win",NOT(ISNUMBER($T223)),NOT(ISNUMBER($R223))),"",MAX(0,$T223-$R223))</f>
        <v/>
      </c>
      <c r="V223" s="49" t="str">
        <f>IF(OR($AM223=0,NOT(ISNUMBER($H223)),NOT(ISNUMBER($I223)),NOT(ISNUMBER($G223))),"",IF(OR($AG223="",$AH223=""),"",IF(ROUND(ABS($H223-$I223)*ABS($G223)*$AG223*$AH223,6)=0,"",ROUND(ABS($H223-$I223)*ABS($G223)*$AG223*$AH223,6))))</f>
        <v/>
      </c>
      <c r="W223" s="50" t="str">
        <f>IF($AM223=0,"",IF($BG223="","OK",LEFT($BG223,LEN($BG223)-2)))</f>
        <v/>
      </c>
      <c r="X223" s="41" t="n"/>
      <c r="Y223" s="40" t="n"/>
      <c r="Z223" s="41" t="n"/>
      <c r="AA223" s="41" t="n"/>
      <c r="AB223" s="40" t="n"/>
      <c r="AC223" s="51" t="n"/>
      <c r="AD223" s="51" t="n"/>
      <c r="AE223" s="40" t="n"/>
      <c r="AF223" s="52" t="str">
        <f>IF($AM223=0,"",IF($D223&lt;&gt;"",$D223,IF(IFERROR(INDEX(Accounts!$C$7:$C$16,MATCH($C223,Accounts!$B$7:$B$16,0))&amp;"","")&lt;&gt;"",INDEX(Accounts!$C$7:$C$16,MATCH($C223,Accounts!$B$7:$B$16,0)),Settings!$C$6)))</f>
        <v/>
      </c>
      <c r="AG223" s="53" t="str">
        <f>IF($AM223=0,"",IF(AND($BE223&gt;0,N(INDEX(Instruments!$D$6:$D$205,MAX(1,$BE223)))&gt;0),INDEX(Instruments!$D$6:$D$205,MAX(1,$BE223)),IF(N(INDEX(Settings!$D$14:$D$18,$BF223))&gt;0,INDEX(Settings!$D$14:$D$18,$BF223),"")))</f>
        <v/>
      </c>
      <c r="AH223" s="54" t="str">
        <f>IF($AM223=0,"",IF($AF223&lt;&gt;"Forex",1,IF(MID(UPPER(SUBSTITUTE(TRIM($E223),"/","")),4,3)=UPPER(TRIM(Settings!$C$7)),1,IF(LEFT(UPPER(SUBSTITUTE(TRIM($E223),"/","")),3)=UPPER(TRIM(Settings!$C$7)),IF(AND(ISNUMBER($K223),N($K223)&lt;&gt;0),1/$K223,""),""))))</f>
        <v/>
      </c>
      <c r="AI223" s="55" t="str">
        <f>IF($AM223=0,"",IF(OR(NOT(ISNUMBER($H223)),NOT(ISNUMBER($K223)),NOT(ISNUMBER($G223)),$AG223="",$AH223=""),"",ROUND(($K223-$H223)*IF($F223="Short",-1,1)*$G223*$AG223*$AH223,6)))</f>
        <v/>
      </c>
      <c r="AJ223" s="55" t="str">
        <f>IF($AM223=0,"",IF(INDEX(Settings!$E$14:$E$18,$BF223)="% of notional",IF(OR($AG223="",NOT(ISNUMBER($H223)),NOT(ISNUMBER($G223))),"",ROUND(ABS($H223*$G223*$AG223*N($AH223))*IF($L223="Limit",N(INDEX(Settings!$G$14:$G$18,$BF223)),N(INDEX(Settings!$H$14:$H$18,$BF223)))+IF(ISNUMBER($K223),ABS($K223*$G223*$AG223*N($AH223))*IF($M223="Target",N(INDEX(Settings!$G$14:$G$18,$BF223)),N(INDEX(Settings!$H$14:$H$18,$BF223))),0),6)),IF(NOT(ISNUMBER($G223)),"",ROUND(ABS($G223)*2*IF(AND($BE223&gt;0,ISNUMBER(INDEX(Instruments!$G$6:$G$205,MAX(1,$BE223)))),INDEX(Instruments!$G$6:$G$205,MAX(1,$BE223)),N(INDEX(Settings!$F$14:$F$18,$BF223))),6))))</f>
        <v/>
      </c>
      <c r="AK223" s="55" t="str">
        <f>IF($AM223=0,"",IF(ISNUMBER($O223),$O223,$AI223))</f>
        <v/>
      </c>
      <c r="AL223" s="55" t="str">
        <f>IF($AM223=0,"",IF(ISNUMBER($P223),$P223,N($AJ223)))</f>
        <v/>
      </c>
      <c r="AM223" s="56">
        <f>IF(AND($A223&lt;&gt;"",$E223&lt;&gt;"",OR(AND(ISNUMBER($G223),ISNUMBER($H223),ISNUMBER($K223)),ISNUMBER($O223))),1,0)</f>
        <v>0</v>
      </c>
      <c r="AN223" s="57" t="str">
        <f>IF($A223="","",$A223-WEEKDAY($A223,3))</f>
        <v/>
      </c>
      <c r="AO223" s="56" t="str">
        <f>IF($A223="","",WEEKDAY($A223,2))</f>
        <v/>
      </c>
      <c r="AP223" s="55" t="str">
        <f>IF(OR($AM223=0,$C223=""),"",IFERROR(N(INDEX(Accounts!$E$7:$E$16,MATCH($C223,Accounts!$B$7:$B$16,0))),0)+SUMIFS($Q$6:$Q223,$C$6:$C223,$C223))</f>
        <v/>
      </c>
      <c r="AQ223" s="55" t="str">
        <f>IF(OR($AM223=0,$C223=""),"",SUMIFS($Q$6:$Q$1005,$C$6:$C$1005,$C223,$A$6:$A$1005,$A223))</f>
        <v/>
      </c>
      <c r="AR223" s="55" t="str">
        <f>IF(OR($AM223=0,$C223=""),"",IFERROR(N(INDEX(Accounts!$E$7:$E$16,MATCH($C223,Accounts!$B$7:$B$16,0))),0)+SUMIFS($Q$6:$Q$1005,$C$6:$C$1005,$C223,$A$6:$A$1005,"&lt;="&amp;$A223))</f>
        <v/>
      </c>
      <c r="AS223" s="56">
        <f>IF(OR($AM223=0,$Q223=""),0,IF(AND($A223&gt;=Lists!$W$6,$A223&lt;=Lists!$W$7,OR(Dashboard!$D$6="All accounts",$C223=Dashboard!$D$6),OR(Dashboard!$D$7="All markets",$AF223=Dashboard!$D$7)),1,0))</f>
        <v>0</v>
      </c>
      <c r="AT223" s="55">
        <f>IF($AS223=1,N(AT222)+$Q223,N(AT222))</f>
        <v>1187.10688</v>
      </c>
      <c r="AU223" s="55">
        <f>MAX(N(AU222),$AT223)</f>
        <v>1187.10688</v>
      </c>
      <c r="AV223" s="55">
        <f>$AT223-$AU223</f>
        <v>0</v>
      </c>
      <c r="AW223" s="56">
        <f>IF($AS223=1,IF($S223="Win",N(AW222)+1,IF($S223="Loss",0,N(AW222))),N(AW222))</f>
        <v>5</v>
      </c>
      <c r="AX223" s="56">
        <f>IF($AS223=1,IF($S223="Loss",N(AX222)+1,IF($S223="Win",0,N(AX222))),N(AX222))</f>
        <v>0</v>
      </c>
      <c r="AY223" s="56" t="str">
        <f>IF($AS223=1,COUNTIF($AS$6:$AS223,1),"")</f>
        <v/>
      </c>
      <c r="AZ223" s="56">
        <f>MIN(217,N(Lists!$W$8))</f>
        <v>28</v>
      </c>
      <c r="BA223" s="56">
        <f>IF($AS223=1,IF(COUNTIFS($A$6:$A223,$A223,$AS$6:$AS223,1)=1,1,0),0)</f>
        <v>0</v>
      </c>
      <c r="BB223" s="55" t="str">
        <f>IF($BA223=1,SUMIFS($Q$6:$Q$1005,$A$6:$A$1005,$A223,$AS$6:$AS$1005,1),"")</f>
        <v/>
      </c>
      <c r="BC223" s="56">
        <f>IF(ISNUMBER($R223),1,0)</f>
        <v>0</v>
      </c>
      <c r="BD223" s="55" t="str">
        <f>IF(ISNUMBER($U223),$U223*$V223,"")</f>
        <v/>
      </c>
      <c r="BE223" s="56" t="str">
        <f>IF($AM223=0,"",IFERROR(MATCH($AF223&amp;"|"&amp;UPPER(TRIM($E223)),Lists!$A$6:$A$205,0),0))</f>
        <v/>
      </c>
      <c r="BF223" s="56" t="str">
        <f>IF($AM223=0,"",IFERROR(MATCH($AF223,Settings!$B$14:$B$18,0),IFERROR(MATCH(Settings!$C$6,Settings!$B$14:$B$18,0),1)))</f>
        <v/>
      </c>
      <c r="BG223" s="58" t="str">
        <f>IF($AM223=0,"",IF(NOT(ISNUMBER($I223)),"No stop; ","")&amp;IF(AND(ISNUMBER($H223),ISNUMBER($I223)),IF(OR(AND($F223&lt;&gt;"Short",$I223&gt;=$H223),AND($F223="Short",$I223&lt;=$H223)),"Stop on wrong side; ",""),"")&amp;IF($F223="","No direction; ","")&amp;IF(AND(ISNUMBER(Settings!$C$22),ISNUMBER($V223)),IF($V223&gt;Settings!$C$22,"Risk over max $; ",""),"")&amp;IF(AND(ISNUMBER(Settings!$C$23),ISNUMBER($V223),ISNUMBER($AP223),IFERROR(N(INDEX(Accounts!$E$7:$E$16,MATCH($C223,Accounts!$B$7:$B$16,0))),0)&gt;0),IF($V223&gt;Settings!$C$23*($AP223-N($Q223)),"Risk over max %; ",""),"")&amp;IF(AND(ISNUMBER(Settings!$C$24),ISNUMBER($N223)),IF($N223&gt;Settings!$C$24,"Leverage over max; ",""),"")&amp;IF(AND(ISNUMBER(Settings!$C$27),ISNUMBER($T223)),IF($T223&lt;Settings!$C$27,"R:R below min; ",""),"")&amp;IF(ISNUMBER(Settings!$C$25),IF(COUNTIFS($A$6:$A223,$A223,$AM$6:$AM223,1)&gt;Settings!$C$25,"Over max trades/day; ",""),"")&amp;IF(ISNUMBER(Settings!$C$26),IF(SUMIFS($Q$5:$Q222,$A$5:$A222,$A223)&lt;=-Settings!$C$26,"Traded after daily max loss; ",""),"")&amp;IF(AND($AG223="",NOT(ISNUMBER($O223))),"Symbol not in Instruments; ","")&amp;IF(AND($AH223="",NOT(ISNUMBER($O223))),"Forex cross: type Gross P&amp;L; ",""))</f>
        <v/>
      </c>
      <c r="BH223" s="56">
        <f>IF(ISNUMBER($Q223),1,0)</f>
        <v>0</v>
      </c>
      <c r="BI223" s="56">
        <f>IF($Y223="",0,1)</f>
        <v>0</v>
      </c>
      <c r="BJ223" s="56">
        <f>IF($AB223="",0,1)</f>
        <v>0</v>
      </c>
      <c r="BK223" s="56">
        <f>IF(AND($BH223=1,$W223&lt;&gt;"OK"),1,0)</f>
        <v>0</v>
      </c>
      <c r="BL223" s="55">
        <f>IF(N($AZ223)=0,0,IFERROR(INDEX($AT$6:$AT$1005,MATCH($AZ223,$AY$6:$AY$1005,0)),0))</f>
        <v>1187.10688</v>
      </c>
      <c r="BM223" s="56">
        <f>IF(ISNUMBER(SEARCH("daily max loss",$BG223)),1,0)</f>
        <v>0</v>
      </c>
    </row>
    <row r="224" ht="18" customHeight="1">
      <c r="A224" s="38" t="n"/>
      <c r="B224" s="39" t="n"/>
      <c r="C224" s="40" t="n"/>
      <c r="D224" s="41" t="n"/>
      <c r="E224" s="41" t="n"/>
      <c r="F224" s="41" t="n"/>
      <c r="G224" s="41" t="n"/>
      <c r="H224" s="42" t="n"/>
      <c r="I224" s="42" t="n"/>
      <c r="J224" s="42" t="n"/>
      <c r="K224" s="42" t="n"/>
      <c r="L224" s="41" t="n"/>
      <c r="M224" s="41" t="n"/>
      <c r="N224" s="41" t="n"/>
      <c r="O224" s="43" t="n"/>
      <c r="P224" s="43" t="n"/>
      <c r="Q224" s="44" t="str">
        <f>IF($AM224=0,"",IF(ISNUMBER($AK224),$AK224-N($AL224),""))</f>
        <v/>
      </c>
      <c r="R224" s="45" t="str">
        <f>IF(OR($Q224="",NOT(ISNUMBER($V224))),"",$AK224/$V224)</f>
        <v/>
      </c>
      <c r="S224" s="46" t="str">
        <f>IF($Q224="","",IF(AND(ISNUMBER($R224),ABS(N($R224))&lt;N(Settings!$C$8)),"Scratch",IF($Q224&gt;0,"Win",IF($Q224&lt;0,"Loss","Scratch"))))</f>
        <v/>
      </c>
      <c r="T224" s="47" t="str">
        <f>IF(OR($AM224=0,NOT(ISNUMBER($H224)),NOT(ISNUMBER($I224)),NOT(ISNUMBER($J224))),"",IF($H224=$I224,"",ROUND(ABS($J224-$H224)/ABS($H224-$I224),6)))</f>
        <v/>
      </c>
      <c r="U224" s="48" t="str">
        <f>IF(OR($S224&lt;&gt;"Win",NOT(ISNUMBER($T224)),NOT(ISNUMBER($R224))),"",MAX(0,$T224-$R224))</f>
        <v/>
      </c>
      <c r="V224" s="49" t="str">
        <f>IF(OR($AM224=0,NOT(ISNUMBER($H224)),NOT(ISNUMBER($I224)),NOT(ISNUMBER($G224))),"",IF(OR($AG224="",$AH224=""),"",IF(ROUND(ABS($H224-$I224)*ABS($G224)*$AG224*$AH224,6)=0,"",ROUND(ABS($H224-$I224)*ABS($G224)*$AG224*$AH224,6))))</f>
        <v/>
      </c>
      <c r="W224" s="50" t="str">
        <f>IF($AM224=0,"",IF($BG224="","OK",LEFT($BG224,LEN($BG224)-2)))</f>
        <v/>
      </c>
      <c r="X224" s="41" t="n"/>
      <c r="Y224" s="40" t="n"/>
      <c r="Z224" s="41" t="n"/>
      <c r="AA224" s="41" t="n"/>
      <c r="AB224" s="40" t="n"/>
      <c r="AC224" s="51" t="n"/>
      <c r="AD224" s="51" t="n"/>
      <c r="AE224" s="40" t="n"/>
      <c r="AF224" s="52" t="str">
        <f>IF($AM224=0,"",IF($D224&lt;&gt;"",$D224,IF(IFERROR(INDEX(Accounts!$C$7:$C$16,MATCH($C224,Accounts!$B$7:$B$16,0))&amp;"","")&lt;&gt;"",INDEX(Accounts!$C$7:$C$16,MATCH($C224,Accounts!$B$7:$B$16,0)),Settings!$C$6)))</f>
        <v/>
      </c>
      <c r="AG224" s="53" t="str">
        <f>IF($AM224=0,"",IF(AND($BE224&gt;0,N(INDEX(Instruments!$D$6:$D$205,MAX(1,$BE224)))&gt;0),INDEX(Instruments!$D$6:$D$205,MAX(1,$BE224)),IF(N(INDEX(Settings!$D$14:$D$18,$BF224))&gt;0,INDEX(Settings!$D$14:$D$18,$BF224),"")))</f>
        <v/>
      </c>
      <c r="AH224" s="54" t="str">
        <f>IF($AM224=0,"",IF($AF224&lt;&gt;"Forex",1,IF(MID(UPPER(SUBSTITUTE(TRIM($E224),"/","")),4,3)=UPPER(TRIM(Settings!$C$7)),1,IF(LEFT(UPPER(SUBSTITUTE(TRIM($E224),"/","")),3)=UPPER(TRIM(Settings!$C$7)),IF(AND(ISNUMBER($K224),N($K224)&lt;&gt;0),1/$K224,""),""))))</f>
        <v/>
      </c>
      <c r="AI224" s="55" t="str">
        <f>IF($AM224=0,"",IF(OR(NOT(ISNUMBER($H224)),NOT(ISNUMBER($K224)),NOT(ISNUMBER($G224)),$AG224="",$AH224=""),"",ROUND(($K224-$H224)*IF($F224="Short",-1,1)*$G224*$AG224*$AH224,6)))</f>
        <v/>
      </c>
      <c r="AJ224" s="55" t="str">
        <f>IF($AM224=0,"",IF(INDEX(Settings!$E$14:$E$18,$BF224)="% of notional",IF(OR($AG224="",NOT(ISNUMBER($H224)),NOT(ISNUMBER($G224))),"",ROUND(ABS($H224*$G224*$AG224*N($AH224))*IF($L224="Limit",N(INDEX(Settings!$G$14:$G$18,$BF224)),N(INDEX(Settings!$H$14:$H$18,$BF224)))+IF(ISNUMBER($K224),ABS($K224*$G224*$AG224*N($AH224))*IF($M224="Target",N(INDEX(Settings!$G$14:$G$18,$BF224)),N(INDEX(Settings!$H$14:$H$18,$BF224))),0),6)),IF(NOT(ISNUMBER($G224)),"",ROUND(ABS($G224)*2*IF(AND($BE224&gt;0,ISNUMBER(INDEX(Instruments!$G$6:$G$205,MAX(1,$BE224)))),INDEX(Instruments!$G$6:$G$205,MAX(1,$BE224)),N(INDEX(Settings!$F$14:$F$18,$BF224))),6))))</f>
        <v/>
      </c>
      <c r="AK224" s="55" t="str">
        <f>IF($AM224=0,"",IF(ISNUMBER($O224),$O224,$AI224))</f>
        <v/>
      </c>
      <c r="AL224" s="55" t="str">
        <f>IF($AM224=0,"",IF(ISNUMBER($P224),$P224,N($AJ224)))</f>
        <v/>
      </c>
      <c r="AM224" s="56">
        <f>IF(AND($A224&lt;&gt;"",$E224&lt;&gt;"",OR(AND(ISNUMBER($G224),ISNUMBER($H224),ISNUMBER($K224)),ISNUMBER($O224))),1,0)</f>
        <v>0</v>
      </c>
      <c r="AN224" s="57" t="str">
        <f>IF($A224="","",$A224-WEEKDAY($A224,3))</f>
        <v/>
      </c>
      <c r="AO224" s="56" t="str">
        <f>IF($A224="","",WEEKDAY($A224,2))</f>
        <v/>
      </c>
      <c r="AP224" s="55" t="str">
        <f>IF(OR($AM224=0,$C224=""),"",IFERROR(N(INDEX(Accounts!$E$7:$E$16,MATCH($C224,Accounts!$B$7:$B$16,0))),0)+SUMIFS($Q$6:$Q224,$C$6:$C224,$C224))</f>
        <v/>
      </c>
      <c r="AQ224" s="55" t="str">
        <f>IF(OR($AM224=0,$C224=""),"",SUMIFS($Q$6:$Q$1005,$C$6:$C$1005,$C224,$A$6:$A$1005,$A224))</f>
        <v/>
      </c>
      <c r="AR224" s="55" t="str">
        <f>IF(OR($AM224=0,$C224=""),"",IFERROR(N(INDEX(Accounts!$E$7:$E$16,MATCH($C224,Accounts!$B$7:$B$16,0))),0)+SUMIFS($Q$6:$Q$1005,$C$6:$C$1005,$C224,$A$6:$A$1005,"&lt;="&amp;$A224))</f>
        <v/>
      </c>
      <c r="AS224" s="56">
        <f>IF(OR($AM224=0,$Q224=""),0,IF(AND($A224&gt;=Lists!$W$6,$A224&lt;=Lists!$W$7,OR(Dashboard!$D$6="All accounts",$C224=Dashboard!$D$6),OR(Dashboard!$D$7="All markets",$AF224=Dashboard!$D$7)),1,0))</f>
        <v>0</v>
      </c>
      <c r="AT224" s="55">
        <f>IF($AS224=1,N(AT223)+$Q224,N(AT223))</f>
        <v>1187.10688</v>
      </c>
      <c r="AU224" s="55">
        <f>MAX(N(AU223),$AT224)</f>
        <v>1187.10688</v>
      </c>
      <c r="AV224" s="55">
        <f>$AT224-$AU224</f>
        <v>0</v>
      </c>
      <c r="AW224" s="56">
        <f>IF($AS224=1,IF($S224="Win",N(AW223)+1,IF($S224="Loss",0,N(AW223))),N(AW223))</f>
        <v>5</v>
      </c>
      <c r="AX224" s="56">
        <f>IF($AS224=1,IF($S224="Loss",N(AX223)+1,IF($S224="Win",0,N(AX223))),N(AX223))</f>
        <v>0</v>
      </c>
      <c r="AY224" s="56" t="str">
        <f>IF($AS224=1,COUNTIF($AS$6:$AS224,1),"")</f>
        <v/>
      </c>
      <c r="AZ224" s="56">
        <f>MIN(218,N(Lists!$W$8))</f>
        <v>28</v>
      </c>
      <c r="BA224" s="56">
        <f>IF($AS224=1,IF(COUNTIFS($A$6:$A224,$A224,$AS$6:$AS224,1)=1,1,0),0)</f>
        <v>0</v>
      </c>
      <c r="BB224" s="55" t="str">
        <f>IF($BA224=1,SUMIFS($Q$6:$Q$1005,$A$6:$A$1005,$A224,$AS$6:$AS$1005,1),"")</f>
        <v/>
      </c>
      <c r="BC224" s="56">
        <f>IF(ISNUMBER($R224),1,0)</f>
        <v>0</v>
      </c>
      <c r="BD224" s="55" t="str">
        <f>IF(ISNUMBER($U224),$U224*$V224,"")</f>
        <v/>
      </c>
      <c r="BE224" s="56" t="str">
        <f>IF($AM224=0,"",IFERROR(MATCH($AF224&amp;"|"&amp;UPPER(TRIM($E224)),Lists!$A$6:$A$205,0),0))</f>
        <v/>
      </c>
      <c r="BF224" s="56" t="str">
        <f>IF($AM224=0,"",IFERROR(MATCH($AF224,Settings!$B$14:$B$18,0),IFERROR(MATCH(Settings!$C$6,Settings!$B$14:$B$18,0),1)))</f>
        <v/>
      </c>
      <c r="BG224" s="58" t="str">
        <f>IF($AM224=0,"",IF(NOT(ISNUMBER($I224)),"No stop; ","")&amp;IF(AND(ISNUMBER($H224),ISNUMBER($I224)),IF(OR(AND($F224&lt;&gt;"Short",$I224&gt;=$H224),AND($F224="Short",$I224&lt;=$H224)),"Stop on wrong side; ",""),"")&amp;IF($F224="","No direction; ","")&amp;IF(AND(ISNUMBER(Settings!$C$22),ISNUMBER($V224)),IF($V224&gt;Settings!$C$22,"Risk over max $; ",""),"")&amp;IF(AND(ISNUMBER(Settings!$C$23),ISNUMBER($V224),ISNUMBER($AP224),IFERROR(N(INDEX(Accounts!$E$7:$E$16,MATCH($C224,Accounts!$B$7:$B$16,0))),0)&gt;0),IF($V224&gt;Settings!$C$23*($AP224-N($Q224)),"Risk over max %; ",""),"")&amp;IF(AND(ISNUMBER(Settings!$C$24),ISNUMBER($N224)),IF($N224&gt;Settings!$C$24,"Leverage over max; ",""),"")&amp;IF(AND(ISNUMBER(Settings!$C$27),ISNUMBER($T224)),IF($T224&lt;Settings!$C$27,"R:R below min; ",""),"")&amp;IF(ISNUMBER(Settings!$C$25),IF(COUNTIFS($A$6:$A224,$A224,$AM$6:$AM224,1)&gt;Settings!$C$25,"Over max trades/day; ",""),"")&amp;IF(ISNUMBER(Settings!$C$26),IF(SUMIFS($Q$5:$Q223,$A$5:$A223,$A224)&lt;=-Settings!$C$26,"Traded after daily max loss; ",""),"")&amp;IF(AND($AG224="",NOT(ISNUMBER($O224))),"Symbol not in Instruments; ","")&amp;IF(AND($AH224="",NOT(ISNUMBER($O224))),"Forex cross: type Gross P&amp;L; ",""))</f>
        <v/>
      </c>
      <c r="BH224" s="56">
        <f>IF(ISNUMBER($Q224),1,0)</f>
        <v>0</v>
      </c>
      <c r="BI224" s="56">
        <f>IF($Y224="",0,1)</f>
        <v>0</v>
      </c>
      <c r="BJ224" s="56">
        <f>IF($AB224="",0,1)</f>
        <v>0</v>
      </c>
      <c r="BK224" s="56">
        <f>IF(AND($BH224=1,$W224&lt;&gt;"OK"),1,0)</f>
        <v>0</v>
      </c>
      <c r="BL224" s="55">
        <f>IF(N($AZ224)=0,0,IFERROR(INDEX($AT$6:$AT$1005,MATCH($AZ224,$AY$6:$AY$1005,0)),0))</f>
        <v>1187.10688</v>
      </c>
      <c r="BM224" s="56">
        <f>IF(ISNUMBER(SEARCH("daily max loss",$BG224)),1,0)</f>
        <v>0</v>
      </c>
    </row>
    <row r="225" ht="18" customHeight="1">
      <c r="A225" s="38" t="n"/>
      <c r="B225" s="39" t="n"/>
      <c r="C225" s="40" t="n"/>
      <c r="D225" s="41" t="n"/>
      <c r="E225" s="41" t="n"/>
      <c r="F225" s="41" t="n"/>
      <c r="G225" s="41" t="n"/>
      <c r="H225" s="42" t="n"/>
      <c r="I225" s="42" t="n"/>
      <c r="J225" s="42" t="n"/>
      <c r="K225" s="42" t="n"/>
      <c r="L225" s="41" t="n"/>
      <c r="M225" s="41" t="n"/>
      <c r="N225" s="41" t="n"/>
      <c r="O225" s="43" t="n"/>
      <c r="P225" s="43" t="n"/>
      <c r="Q225" s="44" t="str">
        <f>IF($AM225=0,"",IF(ISNUMBER($AK225),$AK225-N($AL225),""))</f>
        <v/>
      </c>
      <c r="R225" s="45" t="str">
        <f>IF(OR($Q225="",NOT(ISNUMBER($V225))),"",$AK225/$V225)</f>
        <v/>
      </c>
      <c r="S225" s="46" t="str">
        <f>IF($Q225="","",IF(AND(ISNUMBER($R225),ABS(N($R225))&lt;N(Settings!$C$8)),"Scratch",IF($Q225&gt;0,"Win",IF($Q225&lt;0,"Loss","Scratch"))))</f>
        <v/>
      </c>
      <c r="T225" s="47" t="str">
        <f>IF(OR($AM225=0,NOT(ISNUMBER($H225)),NOT(ISNUMBER($I225)),NOT(ISNUMBER($J225))),"",IF($H225=$I225,"",ROUND(ABS($J225-$H225)/ABS($H225-$I225),6)))</f>
        <v/>
      </c>
      <c r="U225" s="48" t="str">
        <f>IF(OR($S225&lt;&gt;"Win",NOT(ISNUMBER($T225)),NOT(ISNUMBER($R225))),"",MAX(0,$T225-$R225))</f>
        <v/>
      </c>
      <c r="V225" s="49" t="str">
        <f>IF(OR($AM225=0,NOT(ISNUMBER($H225)),NOT(ISNUMBER($I225)),NOT(ISNUMBER($G225))),"",IF(OR($AG225="",$AH225=""),"",IF(ROUND(ABS($H225-$I225)*ABS($G225)*$AG225*$AH225,6)=0,"",ROUND(ABS($H225-$I225)*ABS($G225)*$AG225*$AH225,6))))</f>
        <v/>
      </c>
      <c r="W225" s="50" t="str">
        <f>IF($AM225=0,"",IF($BG225="","OK",LEFT($BG225,LEN($BG225)-2)))</f>
        <v/>
      </c>
      <c r="X225" s="41" t="n"/>
      <c r="Y225" s="40" t="n"/>
      <c r="Z225" s="41" t="n"/>
      <c r="AA225" s="41" t="n"/>
      <c r="AB225" s="40" t="n"/>
      <c r="AC225" s="51" t="n"/>
      <c r="AD225" s="51" t="n"/>
      <c r="AE225" s="40" t="n"/>
      <c r="AF225" s="52" t="str">
        <f>IF($AM225=0,"",IF($D225&lt;&gt;"",$D225,IF(IFERROR(INDEX(Accounts!$C$7:$C$16,MATCH($C225,Accounts!$B$7:$B$16,0))&amp;"","")&lt;&gt;"",INDEX(Accounts!$C$7:$C$16,MATCH($C225,Accounts!$B$7:$B$16,0)),Settings!$C$6)))</f>
        <v/>
      </c>
      <c r="AG225" s="53" t="str">
        <f>IF($AM225=0,"",IF(AND($BE225&gt;0,N(INDEX(Instruments!$D$6:$D$205,MAX(1,$BE225)))&gt;0),INDEX(Instruments!$D$6:$D$205,MAX(1,$BE225)),IF(N(INDEX(Settings!$D$14:$D$18,$BF225))&gt;0,INDEX(Settings!$D$14:$D$18,$BF225),"")))</f>
        <v/>
      </c>
      <c r="AH225" s="54" t="str">
        <f>IF($AM225=0,"",IF($AF225&lt;&gt;"Forex",1,IF(MID(UPPER(SUBSTITUTE(TRIM($E225),"/","")),4,3)=UPPER(TRIM(Settings!$C$7)),1,IF(LEFT(UPPER(SUBSTITUTE(TRIM($E225),"/","")),3)=UPPER(TRIM(Settings!$C$7)),IF(AND(ISNUMBER($K225),N($K225)&lt;&gt;0),1/$K225,""),""))))</f>
        <v/>
      </c>
      <c r="AI225" s="55" t="str">
        <f>IF($AM225=0,"",IF(OR(NOT(ISNUMBER($H225)),NOT(ISNUMBER($K225)),NOT(ISNUMBER($G225)),$AG225="",$AH225=""),"",ROUND(($K225-$H225)*IF($F225="Short",-1,1)*$G225*$AG225*$AH225,6)))</f>
        <v/>
      </c>
      <c r="AJ225" s="55" t="str">
        <f>IF($AM225=0,"",IF(INDEX(Settings!$E$14:$E$18,$BF225)="% of notional",IF(OR($AG225="",NOT(ISNUMBER($H225)),NOT(ISNUMBER($G225))),"",ROUND(ABS($H225*$G225*$AG225*N($AH225))*IF($L225="Limit",N(INDEX(Settings!$G$14:$G$18,$BF225)),N(INDEX(Settings!$H$14:$H$18,$BF225)))+IF(ISNUMBER($K225),ABS($K225*$G225*$AG225*N($AH225))*IF($M225="Target",N(INDEX(Settings!$G$14:$G$18,$BF225)),N(INDEX(Settings!$H$14:$H$18,$BF225))),0),6)),IF(NOT(ISNUMBER($G225)),"",ROUND(ABS($G225)*2*IF(AND($BE225&gt;0,ISNUMBER(INDEX(Instruments!$G$6:$G$205,MAX(1,$BE225)))),INDEX(Instruments!$G$6:$G$205,MAX(1,$BE225)),N(INDEX(Settings!$F$14:$F$18,$BF225))),6))))</f>
        <v/>
      </c>
      <c r="AK225" s="55" t="str">
        <f>IF($AM225=0,"",IF(ISNUMBER($O225),$O225,$AI225))</f>
        <v/>
      </c>
      <c r="AL225" s="55" t="str">
        <f>IF($AM225=0,"",IF(ISNUMBER($P225),$P225,N($AJ225)))</f>
        <v/>
      </c>
      <c r="AM225" s="56">
        <f>IF(AND($A225&lt;&gt;"",$E225&lt;&gt;"",OR(AND(ISNUMBER($G225),ISNUMBER($H225),ISNUMBER($K225)),ISNUMBER($O225))),1,0)</f>
        <v>0</v>
      </c>
      <c r="AN225" s="57" t="str">
        <f>IF($A225="","",$A225-WEEKDAY($A225,3))</f>
        <v/>
      </c>
      <c r="AO225" s="56" t="str">
        <f>IF($A225="","",WEEKDAY($A225,2))</f>
        <v/>
      </c>
      <c r="AP225" s="55" t="str">
        <f>IF(OR($AM225=0,$C225=""),"",IFERROR(N(INDEX(Accounts!$E$7:$E$16,MATCH($C225,Accounts!$B$7:$B$16,0))),0)+SUMIFS($Q$6:$Q225,$C$6:$C225,$C225))</f>
        <v/>
      </c>
      <c r="AQ225" s="55" t="str">
        <f>IF(OR($AM225=0,$C225=""),"",SUMIFS($Q$6:$Q$1005,$C$6:$C$1005,$C225,$A$6:$A$1005,$A225))</f>
        <v/>
      </c>
      <c r="AR225" s="55" t="str">
        <f>IF(OR($AM225=0,$C225=""),"",IFERROR(N(INDEX(Accounts!$E$7:$E$16,MATCH($C225,Accounts!$B$7:$B$16,0))),0)+SUMIFS($Q$6:$Q$1005,$C$6:$C$1005,$C225,$A$6:$A$1005,"&lt;="&amp;$A225))</f>
        <v/>
      </c>
      <c r="AS225" s="56">
        <f>IF(OR($AM225=0,$Q225=""),0,IF(AND($A225&gt;=Lists!$W$6,$A225&lt;=Lists!$W$7,OR(Dashboard!$D$6="All accounts",$C225=Dashboard!$D$6),OR(Dashboard!$D$7="All markets",$AF225=Dashboard!$D$7)),1,0))</f>
        <v>0</v>
      </c>
      <c r="AT225" s="55">
        <f>IF($AS225=1,N(AT224)+$Q225,N(AT224))</f>
        <v>1187.10688</v>
      </c>
      <c r="AU225" s="55">
        <f>MAX(N(AU224),$AT225)</f>
        <v>1187.10688</v>
      </c>
      <c r="AV225" s="55">
        <f>$AT225-$AU225</f>
        <v>0</v>
      </c>
      <c r="AW225" s="56">
        <f>IF($AS225=1,IF($S225="Win",N(AW224)+1,IF($S225="Loss",0,N(AW224))),N(AW224))</f>
        <v>5</v>
      </c>
      <c r="AX225" s="56">
        <f>IF($AS225=1,IF($S225="Loss",N(AX224)+1,IF($S225="Win",0,N(AX224))),N(AX224))</f>
        <v>0</v>
      </c>
      <c r="AY225" s="56" t="str">
        <f>IF($AS225=1,COUNTIF($AS$6:$AS225,1),"")</f>
        <v/>
      </c>
      <c r="AZ225" s="56">
        <f>MIN(219,N(Lists!$W$8))</f>
        <v>28</v>
      </c>
      <c r="BA225" s="56">
        <f>IF($AS225=1,IF(COUNTIFS($A$6:$A225,$A225,$AS$6:$AS225,1)=1,1,0),0)</f>
        <v>0</v>
      </c>
      <c r="BB225" s="55" t="str">
        <f>IF($BA225=1,SUMIFS($Q$6:$Q$1005,$A$6:$A$1005,$A225,$AS$6:$AS$1005,1),"")</f>
        <v/>
      </c>
      <c r="BC225" s="56">
        <f>IF(ISNUMBER($R225),1,0)</f>
        <v>0</v>
      </c>
      <c r="BD225" s="55" t="str">
        <f>IF(ISNUMBER($U225),$U225*$V225,"")</f>
        <v/>
      </c>
      <c r="BE225" s="56" t="str">
        <f>IF($AM225=0,"",IFERROR(MATCH($AF225&amp;"|"&amp;UPPER(TRIM($E225)),Lists!$A$6:$A$205,0),0))</f>
        <v/>
      </c>
      <c r="BF225" s="56" t="str">
        <f>IF($AM225=0,"",IFERROR(MATCH($AF225,Settings!$B$14:$B$18,0),IFERROR(MATCH(Settings!$C$6,Settings!$B$14:$B$18,0),1)))</f>
        <v/>
      </c>
      <c r="BG225" s="58" t="str">
        <f>IF($AM225=0,"",IF(NOT(ISNUMBER($I225)),"No stop; ","")&amp;IF(AND(ISNUMBER($H225),ISNUMBER($I225)),IF(OR(AND($F225&lt;&gt;"Short",$I225&gt;=$H225),AND($F225="Short",$I225&lt;=$H225)),"Stop on wrong side; ",""),"")&amp;IF($F225="","No direction; ","")&amp;IF(AND(ISNUMBER(Settings!$C$22),ISNUMBER($V225)),IF($V225&gt;Settings!$C$22,"Risk over max $; ",""),"")&amp;IF(AND(ISNUMBER(Settings!$C$23),ISNUMBER($V225),ISNUMBER($AP225),IFERROR(N(INDEX(Accounts!$E$7:$E$16,MATCH($C225,Accounts!$B$7:$B$16,0))),0)&gt;0),IF($V225&gt;Settings!$C$23*($AP225-N($Q225)),"Risk over max %; ",""),"")&amp;IF(AND(ISNUMBER(Settings!$C$24),ISNUMBER($N225)),IF($N225&gt;Settings!$C$24,"Leverage over max; ",""),"")&amp;IF(AND(ISNUMBER(Settings!$C$27),ISNUMBER($T225)),IF($T225&lt;Settings!$C$27,"R:R below min; ",""),"")&amp;IF(ISNUMBER(Settings!$C$25),IF(COUNTIFS($A$6:$A225,$A225,$AM$6:$AM225,1)&gt;Settings!$C$25,"Over max trades/day; ",""),"")&amp;IF(ISNUMBER(Settings!$C$26),IF(SUMIFS($Q$5:$Q224,$A$5:$A224,$A225)&lt;=-Settings!$C$26,"Traded after daily max loss; ",""),"")&amp;IF(AND($AG225="",NOT(ISNUMBER($O225))),"Symbol not in Instruments; ","")&amp;IF(AND($AH225="",NOT(ISNUMBER($O225))),"Forex cross: type Gross P&amp;L; ",""))</f>
        <v/>
      </c>
      <c r="BH225" s="56">
        <f>IF(ISNUMBER($Q225),1,0)</f>
        <v>0</v>
      </c>
      <c r="BI225" s="56">
        <f>IF($Y225="",0,1)</f>
        <v>0</v>
      </c>
      <c r="BJ225" s="56">
        <f>IF($AB225="",0,1)</f>
        <v>0</v>
      </c>
      <c r="BK225" s="56">
        <f>IF(AND($BH225=1,$W225&lt;&gt;"OK"),1,0)</f>
        <v>0</v>
      </c>
      <c r="BL225" s="55">
        <f>IF(N($AZ225)=0,0,IFERROR(INDEX($AT$6:$AT$1005,MATCH($AZ225,$AY$6:$AY$1005,0)),0))</f>
        <v>1187.10688</v>
      </c>
      <c r="BM225" s="56">
        <f>IF(ISNUMBER(SEARCH("daily max loss",$BG225)),1,0)</f>
        <v>0</v>
      </c>
    </row>
    <row r="226" ht="18" customHeight="1">
      <c r="A226" s="38" t="n"/>
      <c r="B226" s="39" t="n"/>
      <c r="C226" s="40" t="n"/>
      <c r="D226" s="41" t="n"/>
      <c r="E226" s="41" t="n"/>
      <c r="F226" s="41" t="n"/>
      <c r="G226" s="41" t="n"/>
      <c r="H226" s="42" t="n"/>
      <c r="I226" s="42" t="n"/>
      <c r="J226" s="42" t="n"/>
      <c r="K226" s="42" t="n"/>
      <c r="L226" s="41" t="n"/>
      <c r="M226" s="41" t="n"/>
      <c r="N226" s="41" t="n"/>
      <c r="O226" s="43" t="n"/>
      <c r="P226" s="43" t="n"/>
      <c r="Q226" s="44" t="str">
        <f>IF($AM226=0,"",IF(ISNUMBER($AK226),$AK226-N($AL226),""))</f>
        <v/>
      </c>
      <c r="R226" s="45" t="str">
        <f>IF(OR($Q226="",NOT(ISNUMBER($V226))),"",$AK226/$V226)</f>
        <v/>
      </c>
      <c r="S226" s="46" t="str">
        <f>IF($Q226="","",IF(AND(ISNUMBER($R226),ABS(N($R226))&lt;N(Settings!$C$8)),"Scratch",IF($Q226&gt;0,"Win",IF($Q226&lt;0,"Loss","Scratch"))))</f>
        <v/>
      </c>
      <c r="T226" s="47" t="str">
        <f>IF(OR($AM226=0,NOT(ISNUMBER($H226)),NOT(ISNUMBER($I226)),NOT(ISNUMBER($J226))),"",IF($H226=$I226,"",ROUND(ABS($J226-$H226)/ABS($H226-$I226),6)))</f>
        <v/>
      </c>
      <c r="U226" s="48" t="str">
        <f>IF(OR($S226&lt;&gt;"Win",NOT(ISNUMBER($T226)),NOT(ISNUMBER($R226))),"",MAX(0,$T226-$R226))</f>
        <v/>
      </c>
      <c r="V226" s="49" t="str">
        <f>IF(OR($AM226=0,NOT(ISNUMBER($H226)),NOT(ISNUMBER($I226)),NOT(ISNUMBER($G226))),"",IF(OR($AG226="",$AH226=""),"",IF(ROUND(ABS($H226-$I226)*ABS($G226)*$AG226*$AH226,6)=0,"",ROUND(ABS($H226-$I226)*ABS($G226)*$AG226*$AH226,6))))</f>
        <v/>
      </c>
      <c r="W226" s="50" t="str">
        <f>IF($AM226=0,"",IF($BG226="","OK",LEFT($BG226,LEN($BG226)-2)))</f>
        <v/>
      </c>
      <c r="X226" s="41" t="n"/>
      <c r="Y226" s="40" t="n"/>
      <c r="Z226" s="41" t="n"/>
      <c r="AA226" s="41" t="n"/>
      <c r="AB226" s="40" t="n"/>
      <c r="AC226" s="51" t="n"/>
      <c r="AD226" s="51" t="n"/>
      <c r="AE226" s="40" t="n"/>
      <c r="AF226" s="52" t="str">
        <f>IF($AM226=0,"",IF($D226&lt;&gt;"",$D226,IF(IFERROR(INDEX(Accounts!$C$7:$C$16,MATCH($C226,Accounts!$B$7:$B$16,0))&amp;"","")&lt;&gt;"",INDEX(Accounts!$C$7:$C$16,MATCH($C226,Accounts!$B$7:$B$16,0)),Settings!$C$6)))</f>
        <v/>
      </c>
      <c r="AG226" s="53" t="str">
        <f>IF($AM226=0,"",IF(AND($BE226&gt;0,N(INDEX(Instruments!$D$6:$D$205,MAX(1,$BE226)))&gt;0),INDEX(Instruments!$D$6:$D$205,MAX(1,$BE226)),IF(N(INDEX(Settings!$D$14:$D$18,$BF226))&gt;0,INDEX(Settings!$D$14:$D$18,$BF226),"")))</f>
        <v/>
      </c>
      <c r="AH226" s="54" t="str">
        <f>IF($AM226=0,"",IF($AF226&lt;&gt;"Forex",1,IF(MID(UPPER(SUBSTITUTE(TRIM($E226),"/","")),4,3)=UPPER(TRIM(Settings!$C$7)),1,IF(LEFT(UPPER(SUBSTITUTE(TRIM($E226),"/","")),3)=UPPER(TRIM(Settings!$C$7)),IF(AND(ISNUMBER($K226),N($K226)&lt;&gt;0),1/$K226,""),""))))</f>
        <v/>
      </c>
      <c r="AI226" s="55" t="str">
        <f>IF($AM226=0,"",IF(OR(NOT(ISNUMBER($H226)),NOT(ISNUMBER($K226)),NOT(ISNUMBER($G226)),$AG226="",$AH226=""),"",ROUND(($K226-$H226)*IF($F226="Short",-1,1)*$G226*$AG226*$AH226,6)))</f>
        <v/>
      </c>
      <c r="AJ226" s="55" t="str">
        <f>IF($AM226=0,"",IF(INDEX(Settings!$E$14:$E$18,$BF226)="% of notional",IF(OR($AG226="",NOT(ISNUMBER($H226)),NOT(ISNUMBER($G226))),"",ROUND(ABS($H226*$G226*$AG226*N($AH226))*IF($L226="Limit",N(INDEX(Settings!$G$14:$G$18,$BF226)),N(INDEX(Settings!$H$14:$H$18,$BF226)))+IF(ISNUMBER($K226),ABS($K226*$G226*$AG226*N($AH226))*IF($M226="Target",N(INDEX(Settings!$G$14:$G$18,$BF226)),N(INDEX(Settings!$H$14:$H$18,$BF226))),0),6)),IF(NOT(ISNUMBER($G226)),"",ROUND(ABS($G226)*2*IF(AND($BE226&gt;0,ISNUMBER(INDEX(Instruments!$G$6:$G$205,MAX(1,$BE226)))),INDEX(Instruments!$G$6:$G$205,MAX(1,$BE226)),N(INDEX(Settings!$F$14:$F$18,$BF226))),6))))</f>
        <v/>
      </c>
      <c r="AK226" s="55" t="str">
        <f>IF($AM226=0,"",IF(ISNUMBER($O226),$O226,$AI226))</f>
        <v/>
      </c>
      <c r="AL226" s="55" t="str">
        <f>IF($AM226=0,"",IF(ISNUMBER($P226),$P226,N($AJ226)))</f>
        <v/>
      </c>
      <c r="AM226" s="56">
        <f>IF(AND($A226&lt;&gt;"",$E226&lt;&gt;"",OR(AND(ISNUMBER($G226),ISNUMBER($H226),ISNUMBER($K226)),ISNUMBER($O226))),1,0)</f>
        <v>0</v>
      </c>
      <c r="AN226" s="57" t="str">
        <f>IF($A226="","",$A226-WEEKDAY($A226,3))</f>
        <v/>
      </c>
      <c r="AO226" s="56" t="str">
        <f>IF($A226="","",WEEKDAY($A226,2))</f>
        <v/>
      </c>
      <c r="AP226" s="55" t="str">
        <f>IF(OR($AM226=0,$C226=""),"",IFERROR(N(INDEX(Accounts!$E$7:$E$16,MATCH($C226,Accounts!$B$7:$B$16,0))),0)+SUMIFS($Q$6:$Q226,$C$6:$C226,$C226))</f>
        <v/>
      </c>
      <c r="AQ226" s="55" t="str">
        <f>IF(OR($AM226=0,$C226=""),"",SUMIFS($Q$6:$Q$1005,$C$6:$C$1005,$C226,$A$6:$A$1005,$A226))</f>
        <v/>
      </c>
      <c r="AR226" s="55" t="str">
        <f>IF(OR($AM226=0,$C226=""),"",IFERROR(N(INDEX(Accounts!$E$7:$E$16,MATCH($C226,Accounts!$B$7:$B$16,0))),0)+SUMIFS($Q$6:$Q$1005,$C$6:$C$1005,$C226,$A$6:$A$1005,"&lt;="&amp;$A226))</f>
        <v/>
      </c>
      <c r="AS226" s="56">
        <f>IF(OR($AM226=0,$Q226=""),0,IF(AND($A226&gt;=Lists!$W$6,$A226&lt;=Lists!$W$7,OR(Dashboard!$D$6="All accounts",$C226=Dashboard!$D$6),OR(Dashboard!$D$7="All markets",$AF226=Dashboard!$D$7)),1,0))</f>
        <v>0</v>
      </c>
      <c r="AT226" s="55">
        <f>IF($AS226=1,N(AT225)+$Q226,N(AT225))</f>
        <v>1187.10688</v>
      </c>
      <c r="AU226" s="55">
        <f>MAX(N(AU225),$AT226)</f>
        <v>1187.10688</v>
      </c>
      <c r="AV226" s="55">
        <f>$AT226-$AU226</f>
        <v>0</v>
      </c>
      <c r="AW226" s="56">
        <f>IF($AS226=1,IF($S226="Win",N(AW225)+1,IF($S226="Loss",0,N(AW225))),N(AW225))</f>
        <v>5</v>
      </c>
      <c r="AX226" s="56">
        <f>IF($AS226=1,IF($S226="Loss",N(AX225)+1,IF($S226="Win",0,N(AX225))),N(AX225))</f>
        <v>0</v>
      </c>
      <c r="AY226" s="56" t="str">
        <f>IF($AS226=1,COUNTIF($AS$6:$AS226,1),"")</f>
        <v/>
      </c>
      <c r="AZ226" s="56">
        <f>MIN(220,N(Lists!$W$8))</f>
        <v>28</v>
      </c>
      <c r="BA226" s="56">
        <f>IF($AS226=1,IF(COUNTIFS($A$6:$A226,$A226,$AS$6:$AS226,1)=1,1,0),0)</f>
        <v>0</v>
      </c>
      <c r="BB226" s="55" t="str">
        <f>IF($BA226=1,SUMIFS($Q$6:$Q$1005,$A$6:$A$1005,$A226,$AS$6:$AS$1005,1),"")</f>
        <v/>
      </c>
      <c r="BC226" s="56">
        <f>IF(ISNUMBER($R226),1,0)</f>
        <v>0</v>
      </c>
      <c r="BD226" s="55" t="str">
        <f>IF(ISNUMBER($U226),$U226*$V226,"")</f>
        <v/>
      </c>
      <c r="BE226" s="56" t="str">
        <f>IF($AM226=0,"",IFERROR(MATCH($AF226&amp;"|"&amp;UPPER(TRIM($E226)),Lists!$A$6:$A$205,0),0))</f>
        <v/>
      </c>
      <c r="BF226" s="56" t="str">
        <f>IF($AM226=0,"",IFERROR(MATCH($AF226,Settings!$B$14:$B$18,0),IFERROR(MATCH(Settings!$C$6,Settings!$B$14:$B$18,0),1)))</f>
        <v/>
      </c>
      <c r="BG226" s="58" t="str">
        <f>IF($AM226=0,"",IF(NOT(ISNUMBER($I226)),"No stop; ","")&amp;IF(AND(ISNUMBER($H226),ISNUMBER($I226)),IF(OR(AND($F226&lt;&gt;"Short",$I226&gt;=$H226),AND($F226="Short",$I226&lt;=$H226)),"Stop on wrong side; ",""),"")&amp;IF($F226="","No direction; ","")&amp;IF(AND(ISNUMBER(Settings!$C$22),ISNUMBER($V226)),IF($V226&gt;Settings!$C$22,"Risk over max $; ",""),"")&amp;IF(AND(ISNUMBER(Settings!$C$23),ISNUMBER($V226),ISNUMBER($AP226),IFERROR(N(INDEX(Accounts!$E$7:$E$16,MATCH($C226,Accounts!$B$7:$B$16,0))),0)&gt;0),IF($V226&gt;Settings!$C$23*($AP226-N($Q226)),"Risk over max %; ",""),"")&amp;IF(AND(ISNUMBER(Settings!$C$24),ISNUMBER($N226)),IF($N226&gt;Settings!$C$24,"Leverage over max; ",""),"")&amp;IF(AND(ISNUMBER(Settings!$C$27),ISNUMBER($T226)),IF($T226&lt;Settings!$C$27,"R:R below min; ",""),"")&amp;IF(ISNUMBER(Settings!$C$25),IF(COUNTIFS($A$6:$A226,$A226,$AM$6:$AM226,1)&gt;Settings!$C$25,"Over max trades/day; ",""),"")&amp;IF(ISNUMBER(Settings!$C$26),IF(SUMIFS($Q$5:$Q225,$A$5:$A225,$A226)&lt;=-Settings!$C$26,"Traded after daily max loss; ",""),"")&amp;IF(AND($AG226="",NOT(ISNUMBER($O226))),"Symbol not in Instruments; ","")&amp;IF(AND($AH226="",NOT(ISNUMBER($O226))),"Forex cross: type Gross P&amp;L; ",""))</f>
        <v/>
      </c>
      <c r="BH226" s="56">
        <f>IF(ISNUMBER($Q226),1,0)</f>
        <v>0</v>
      </c>
      <c r="BI226" s="56">
        <f>IF($Y226="",0,1)</f>
        <v>0</v>
      </c>
      <c r="BJ226" s="56">
        <f>IF($AB226="",0,1)</f>
        <v>0</v>
      </c>
      <c r="BK226" s="56">
        <f>IF(AND($BH226=1,$W226&lt;&gt;"OK"),1,0)</f>
        <v>0</v>
      </c>
      <c r="BL226" s="55">
        <f>IF(N($AZ226)=0,0,IFERROR(INDEX($AT$6:$AT$1005,MATCH($AZ226,$AY$6:$AY$1005,0)),0))</f>
        <v>1187.10688</v>
      </c>
      <c r="BM226" s="56">
        <f>IF(ISNUMBER(SEARCH("daily max loss",$BG226)),1,0)</f>
        <v>0</v>
      </c>
    </row>
    <row r="227" ht="18" customHeight="1">
      <c r="A227" s="38" t="n"/>
      <c r="B227" s="39" t="n"/>
      <c r="C227" s="40" t="n"/>
      <c r="D227" s="41" t="n"/>
      <c r="E227" s="41" t="n"/>
      <c r="F227" s="41" t="n"/>
      <c r="G227" s="41" t="n"/>
      <c r="H227" s="42" t="n"/>
      <c r="I227" s="42" t="n"/>
      <c r="J227" s="42" t="n"/>
      <c r="K227" s="42" t="n"/>
      <c r="L227" s="41" t="n"/>
      <c r="M227" s="41" t="n"/>
      <c r="N227" s="41" t="n"/>
      <c r="O227" s="43" t="n"/>
      <c r="P227" s="43" t="n"/>
      <c r="Q227" s="44" t="str">
        <f>IF($AM227=0,"",IF(ISNUMBER($AK227),$AK227-N($AL227),""))</f>
        <v/>
      </c>
      <c r="R227" s="45" t="str">
        <f>IF(OR($Q227="",NOT(ISNUMBER($V227))),"",$AK227/$V227)</f>
        <v/>
      </c>
      <c r="S227" s="46" t="str">
        <f>IF($Q227="","",IF(AND(ISNUMBER($R227),ABS(N($R227))&lt;N(Settings!$C$8)),"Scratch",IF($Q227&gt;0,"Win",IF($Q227&lt;0,"Loss","Scratch"))))</f>
        <v/>
      </c>
      <c r="T227" s="47" t="str">
        <f>IF(OR($AM227=0,NOT(ISNUMBER($H227)),NOT(ISNUMBER($I227)),NOT(ISNUMBER($J227))),"",IF($H227=$I227,"",ROUND(ABS($J227-$H227)/ABS($H227-$I227),6)))</f>
        <v/>
      </c>
      <c r="U227" s="48" t="str">
        <f>IF(OR($S227&lt;&gt;"Win",NOT(ISNUMBER($T227)),NOT(ISNUMBER($R227))),"",MAX(0,$T227-$R227))</f>
        <v/>
      </c>
      <c r="V227" s="49" t="str">
        <f>IF(OR($AM227=0,NOT(ISNUMBER($H227)),NOT(ISNUMBER($I227)),NOT(ISNUMBER($G227))),"",IF(OR($AG227="",$AH227=""),"",IF(ROUND(ABS($H227-$I227)*ABS($G227)*$AG227*$AH227,6)=0,"",ROUND(ABS($H227-$I227)*ABS($G227)*$AG227*$AH227,6))))</f>
        <v/>
      </c>
      <c r="W227" s="50" t="str">
        <f>IF($AM227=0,"",IF($BG227="","OK",LEFT($BG227,LEN($BG227)-2)))</f>
        <v/>
      </c>
      <c r="X227" s="41" t="n"/>
      <c r="Y227" s="40" t="n"/>
      <c r="Z227" s="41" t="n"/>
      <c r="AA227" s="41" t="n"/>
      <c r="AB227" s="40" t="n"/>
      <c r="AC227" s="51" t="n"/>
      <c r="AD227" s="51" t="n"/>
      <c r="AE227" s="40" t="n"/>
      <c r="AF227" s="52" t="str">
        <f>IF($AM227=0,"",IF($D227&lt;&gt;"",$D227,IF(IFERROR(INDEX(Accounts!$C$7:$C$16,MATCH($C227,Accounts!$B$7:$B$16,0))&amp;"","")&lt;&gt;"",INDEX(Accounts!$C$7:$C$16,MATCH($C227,Accounts!$B$7:$B$16,0)),Settings!$C$6)))</f>
        <v/>
      </c>
      <c r="AG227" s="53" t="str">
        <f>IF($AM227=0,"",IF(AND($BE227&gt;0,N(INDEX(Instruments!$D$6:$D$205,MAX(1,$BE227)))&gt;0),INDEX(Instruments!$D$6:$D$205,MAX(1,$BE227)),IF(N(INDEX(Settings!$D$14:$D$18,$BF227))&gt;0,INDEX(Settings!$D$14:$D$18,$BF227),"")))</f>
        <v/>
      </c>
      <c r="AH227" s="54" t="str">
        <f>IF($AM227=0,"",IF($AF227&lt;&gt;"Forex",1,IF(MID(UPPER(SUBSTITUTE(TRIM($E227),"/","")),4,3)=UPPER(TRIM(Settings!$C$7)),1,IF(LEFT(UPPER(SUBSTITUTE(TRIM($E227),"/","")),3)=UPPER(TRIM(Settings!$C$7)),IF(AND(ISNUMBER($K227),N($K227)&lt;&gt;0),1/$K227,""),""))))</f>
        <v/>
      </c>
      <c r="AI227" s="55" t="str">
        <f>IF($AM227=0,"",IF(OR(NOT(ISNUMBER($H227)),NOT(ISNUMBER($K227)),NOT(ISNUMBER($G227)),$AG227="",$AH227=""),"",ROUND(($K227-$H227)*IF($F227="Short",-1,1)*$G227*$AG227*$AH227,6)))</f>
        <v/>
      </c>
      <c r="AJ227" s="55" t="str">
        <f>IF($AM227=0,"",IF(INDEX(Settings!$E$14:$E$18,$BF227)="% of notional",IF(OR($AG227="",NOT(ISNUMBER($H227)),NOT(ISNUMBER($G227))),"",ROUND(ABS($H227*$G227*$AG227*N($AH227))*IF($L227="Limit",N(INDEX(Settings!$G$14:$G$18,$BF227)),N(INDEX(Settings!$H$14:$H$18,$BF227)))+IF(ISNUMBER($K227),ABS($K227*$G227*$AG227*N($AH227))*IF($M227="Target",N(INDEX(Settings!$G$14:$G$18,$BF227)),N(INDEX(Settings!$H$14:$H$18,$BF227))),0),6)),IF(NOT(ISNUMBER($G227)),"",ROUND(ABS($G227)*2*IF(AND($BE227&gt;0,ISNUMBER(INDEX(Instruments!$G$6:$G$205,MAX(1,$BE227)))),INDEX(Instruments!$G$6:$G$205,MAX(1,$BE227)),N(INDEX(Settings!$F$14:$F$18,$BF227))),6))))</f>
        <v/>
      </c>
      <c r="AK227" s="55" t="str">
        <f>IF($AM227=0,"",IF(ISNUMBER($O227),$O227,$AI227))</f>
        <v/>
      </c>
      <c r="AL227" s="55" t="str">
        <f>IF($AM227=0,"",IF(ISNUMBER($P227),$P227,N($AJ227)))</f>
        <v/>
      </c>
      <c r="AM227" s="56">
        <f>IF(AND($A227&lt;&gt;"",$E227&lt;&gt;"",OR(AND(ISNUMBER($G227),ISNUMBER($H227),ISNUMBER($K227)),ISNUMBER($O227))),1,0)</f>
        <v>0</v>
      </c>
      <c r="AN227" s="57" t="str">
        <f>IF($A227="","",$A227-WEEKDAY($A227,3))</f>
        <v/>
      </c>
      <c r="AO227" s="56" t="str">
        <f>IF($A227="","",WEEKDAY($A227,2))</f>
        <v/>
      </c>
      <c r="AP227" s="55" t="str">
        <f>IF(OR($AM227=0,$C227=""),"",IFERROR(N(INDEX(Accounts!$E$7:$E$16,MATCH($C227,Accounts!$B$7:$B$16,0))),0)+SUMIFS($Q$6:$Q227,$C$6:$C227,$C227))</f>
        <v/>
      </c>
      <c r="AQ227" s="55" t="str">
        <f>IF(OR($AM227=0,$C227=""),"",SUMIFS($Q$6:$Q$1005,$C$6:$C$1005,$C227,$A$6:$A$1005,$A227))</f>
        <v/>
      </c>
      <c r="AR227" s="55" t="str">
        <f>IF(OR($AM227=0,$C227=""),"",IFERROR(N(INDEX(Accounts!$E$7:$E$16,MATCH($C227,Accounts!$B$7:$B$16,0))),0)+SUMIFS($Q$6:$Q$1005,$C$6:$C$1005,$C227,$A$6:$A$1005,"&lt;="&amp;$A227))</f>
        <v/>
      </c>
      <c r="AS227" s="56">
        <f>IF(OR($AM227=0,$Q227=""),0,IF(AND($A227&gt;=Lists!$W$6,$A227&lt;=Lists!$W$7,OR(Dashboard!$D$6="All accounts",$C227=Dashboard!$D$6),OR(Dashboard!$D$7="All markets",$AF227=Dashboard!$D$7)),1,0))</f>
        <v>0</v>
      </c>
      <c r="AT227" s="55">
        <f>IF($AS227=1,N(AT226)+$Q227,N(AT226))</f>
        <v>1187.10688</v>
      </c>
      <c r="AU227" s="55">
        <f>MAX(N(AU226),$AT227)</f>
        <v>1187.10688</v>
      </c>
      <c r="AV227" s="55">
        <f>$AT227-$AU227</f>
        <v>0</v>
      </c>
      <c r="AW227" s="56">
        <f>IF($AS227=1,IF($S227="Win",N(AW226)+1,IF($S227="Loss",0,N(AW226))),N(AW226))</f>
        <v>5</v>
      </c>
      <c r="AX227" s="56">
        <f>IF($AS227=1,IF($S227="Loss",N(AX226)+1,IF($S227="Win",0,N(AX226))),N(AX226))</f>
        <v>0</v>
      </c>
      <c r="AY227" s="56" t="str">
        <f>IF($AS227=1,COUNTIF($AS$6:$AS227,1),"")</f>
        <v/>
      </c>
      <c r="AZ227" s="56">
        <f>MIN(221,N(Lists!$W$8))</f>
        <v>28</v>
      </c>
      <c r="BA227" s="56">
        <f>IF($AS227=1,IF(COUNTIFS($A$6:$A227,$A227,$AS$6:$AS227,1)=1,1,0),0)</f>
        <v>0</v>
      </c>
      <c r="BB227" s="55" t="str">
        <f>IF($BA227=1,SUMIFS($Q$6:$Q$1005,$A$6:$A$1005,$A227,$AS$6:$AS$1005,1),"")</f>
        <v/>
      </c>
      <c r="BC227" s="56">
        <f>IF(ISNUMBER($R227),1,0)</f>
        <v>0</v>
      </c>
      <c r="BD227" s="55" t="str">
        <f>IF(ISNUMBER($U227),$U227*$V227,"")</f>
        <v/>
      </c>
      <c r="BE227" s="56" t="str">
        <f>IF($AM227=0,"",IFERROR(MATCH($AF227&amp;"|"&amp;UPPER(TRIM($E227)),Lists!$A$6:$A$205,0),0))</f>
        <v/>
      </c>
      <c r="BF227" s="56" t="str">
        <f>IF($AM227=0,"",IFERROR(MATCH($AF227,Settings!$B$14:$B$18,0),IFERROR(MATCH(Settings!$C$6,Settings!$B$14:$B$18,0),1)))</f>
        <v/>
      </c>
      <c r="BG227" s="58" t="str">
        <f>IF($AM227=0,"",IF(NOT(ISNUMBER($I227)),"No stop; ","")&amp;IF(AND(ISNUMBER($H227),ISNUMBER($I227)),IF(OR(AND($F227&lt;&gt;"Short",$I227&gt;=$H227),AND($F227="Short",$I227&lt;=$H227)),"Stop on wrong side; ",""),"")&amp;IF($F227="","No direction; ","")&amp;IF(AND(ISNUMBER(Settings!$C$22),ISNUMBER($V227)),IF($V227&gt;Settings!$C$22,"Risk over max $; ",""),"")&amp;IF(AND(ISNUMBER(Settings!$C$23),ISNUMBER($V227),ISNUMBER($AP227),IFERROR(N(INDEX(Accounts!$E$7:$E$16,MATCH($C227,Accounts!$B$7:$B$16,0))),0)&gt;0),IF($V227&gt;Settings!$C$23*($AP227-N($Q227)),"Risk over max %; ",""),"")&amp;IF(AND(ISNUMBER(Settings!$C$24),ISNUMBER($N227)),IF($N227&gt;Settings!$C$24,"Leverage over max; ",""),"")&amp;IF(AND(ISNUMBER(Settings!$C$27),ISNUMBER($T227)),IF($T227&lt;Settings!$C$27,"R:R below min; ",""),"")&amp;IF(ISNUMBER(Settings!$C$25),IF(COUNTIFS($A$6:$A227,$A227,$AM$6:$AM227,1)&gt;Settings!$C$25,"Over max trades/day; ",""),"")&amp;IF(ISNUMBER(Settings!$C$26),IF(SUMIFS($Q$5:$Q226,$A$5:$A226,$A227)&lt;=-Settings!$C$26,"Traded after daily max loss; ",""),"")&amp;IF(AND($AG227="",NOT(ISNUMBER($O227))),"Symbol not in Instruments; ","")&amp;IF(AND($AH227="",NOT(ISNUMBER($O227))),"Forex cross: type Gross P&amp;L; ",""))</f>
        <v/>
      </c>
      <c r="BH227" s="56">
        <f>IF(ISNUMBER($Q227),1,0)</f>
        <v>0</v>
      </c>
      <c r="BI227" s="56">
        <f>IF($Y227="",0,1)</f>
        <v>0</v>
      </c>
      <c r="BJ227" s="56">
        <f>IF($AB227="",0,1)</f>
        <v>0</v>
      </c>
      <c r="BK227" s="56">
        <f>IF(AND($BH227=1,$W227&lt;&gt;"OK"),1,0)</f>
        <v>0</v>
      </c>
      <c r="BL227" s="55">
        <f>IF(N($AZ227)=0,0,IFERROR(INDEX($AT$6:$AT$1005,MATCH($AZ227,$AY$6:$AY$1005,0)),0))</f>
        <v>1187.10688</v>
      </c>
      <c r="BM227" s="56">
        <f>IF(ISNUMBER(SEARCH("daily max loss",$BG227)),1,0)</f>
        <v>0</v>
      </c>
    </row>
    <row r="228" ht="18" customHeight="1">
      <c r="A228" s="38" t="n"/>
      <c r="B228" s="39" t="n"/>
      <c r="C228" s="40" t="n"/>
      <c r="D228" s="41" t="n"/>
      <c r="E228" s="41" t="n"/>
      <c r="F228" s="41" t="n"/>
      <c r="G228" s="41" t="n"/>
      <c r="H228" s="42" t="n"/>
      <c r="I228" s="42" t="n"/>
      <c r="J228" s="42" t="n"/>
      <c r="K228" s="42" t="n"/>
      <c r="L228" s="41" t="n"/>
      <c r="M228" s="41" t="n"/>
      <c r="N228" s="41" t="n"/>
      <c r="O228" s="43" t="n"/>
      <c r="P228" s="43" t="n"/>
      <c r="Q228" s="44" t="str">
        <f>IF($AM228=0,"",IF(ISNUMBER($AK228),$AK228-N($AL228),""))</f>
        <v/>
      </c>
      <c r="R228" s="45" t="str">
        <f>IF(OR($Q228="",NOT(ISNUMBER($V228))),"",$AK228/$V228)</f>
        <v/>
      </c>
      <c r="S228" s="46" t="str">
        <f>IF($Q228="","",IF(AND(ISNUMBER($R228),ABS(N($R228))&lt;N(Settings!$C$8)),"Scratch",IF($Q228&gt;0,"Win",IF($Q228&lt;0,"Loss","Scratch"))))</f>
        <v/>
      </c>
      <c r="T228" s="47" t="str">
        <f>IF(OR($AM228=0,NOT(ISNUMBER($H228)),NOT(ISNUMBER($I228)),NOT(ISNUMBER($J228))),"",IF($H228=$I228,"",ROUND(ABS($J228-$H228)/ABS($H228-$I228),6)))</f>
        <v/>
      </c>
      <c r="U228" s="48" t="str">
        <f>IF(OR($S228&lt;&gt;"Win",NOT(ISNUMBER($T228)),NOT(ISNUMBER($R228))),"",MAX(0,$T228-$R228))</f>
        <v/>
      </c>
      <c r="V228" s="49" t="str">
        <f>IF(OR($AM228=0,NOT(ISNUMBER($H228)),NOT(ISNUMBER($I228)),NOT(ISNUMBER($G228))),"",IF(OR($AG228="",$AH228=""),"",IF(ROUND(ABS($H228-$I228)*ABS($G228)*$AG228*$AH228,6)=0,"",ROUND(ABS($H228-$I228)*ABS($G228)*$AG228*$AH228,6))))</f>
        <v/>
      </c>
      <c r="W228" s="50" t="str">
        <f>IF($AM228=0,"",IF($BG228="","OK",LEFT($BG228,LEN($BG228)-2)))</f>
        <v/>
      </c>
      <c r="X228" s="41" t="n"/>
      <c r="Y228" s="40" t="n"/>
      <c r="Z228" s="41" t="n"/>
      <c r="AA228" s="41" t="n"/>
      <c r="AB228" s="40" t="n"/>
      <c r="AC228" s="51" t="n"/>
      <c r="AD228" s="51" t="n"/>
      <c r="AE228" s="40" t="n"/>
      <c r="AF228" s="52" t="str">
        <f>IF($AM228=0,"",IF($D228&lt;&gt;"",$D228,IF(IFERROR(INDEX(Accounts!$C$7:$C$16,MATCH($C228,Accounts!$B$7:$B$16,0))&amp;"","")&lt;&gt;"",INDEX(Accounts!$C$7:$C$16,MATCH($C228,Accounts!$B$7:$B$16,0)),Settings!$C$6)))</f>
        <v/>
      </c>
      <c r="AG228" s="53" t="str">
        <f>IF($AM228=0,"",IF(AND($BE228&gt;0,N(INDEX(Instruments!$D$6:$D$205,MAX(1,$BE228)))&gt;0),INDEX(Instruments!$D$6:$D$205,MAX(1,$BE228)),IF(N(INDEX(Settings!$D$14:$D$18,$BF228))&gt;0,INDEX(Settings!$D$14:$D$18,$BF228),"")))</f>
        <v/>
      </c>
      <c r="AH228" s="54" t="str">
        <f>IF($AM228=0,"",IF($AF228&lt;&gt;"Forex",1,IF(MID(UPPER(SUBSTITUTE(TRIM($E228),"/","")),4,3)=UPPER(TRIM(Settings!$C$7)),1,IF(LEFT(UPPER(SUBSTITUTE(TRIM($E228),"/","")),3)=UPPER(TRIM(Settings!$C$7)),IF(AND(ISNUMBER($K228),N($K228)&lt;&gt;0),1/$K228,""),""))))</f>
        <v/>
      </c>
      <c r="AI228" s="55" t="str">
        <f>IF($AM228=0,"",IF(OR(NOT(ISNUMBER($H228)),NOT(ISNUMBER($K228)),NOT(ISNUMBER($G228)),$AG228="",$AH228=""),"",ROUND(($K228-$H228)*IF($F228="Short",-1,1)*$G228*$AG228*$AH228,6)))</f>
        <v/>
      </c>
      <c r="AJ228" s="55" t="str">
        <f>IF($AM228=0,"",IF(INDEX(Settings!$E$14:$E$18,$BF228)="% of notional",IF(OR($AG228="",NOT(ISNUMBER($H228)),NOT(ISNUMBER($G228))),"",ROUND(ABS($H228*$G228*$AG228*N($AH228))*IF($L228="Limit",N(INDEX(Settings!$G$14:$G$18,$BF228)),N(INDEX(Settings!$H$14:$H$18,$BF228)))+IF(ISNUMBER($K228),ABS($K228*$G228*$AG228*N($AH228))*IF($M228="Target",N(INDEX(Settings!$G$14:$G$18,$BF228)),N(INDEX(Settings!$H$14:$H$18,$BF228))),0),6)),IF(NOT(ISNUMBER($G228)),"",ROUND(ABS($G228)*2*IF(AND($BE228&gt;0,ISNUMBER(INDEX(Instruments!$G$6:$G$205,MAX(1,$BE228)))),INDEX(Instruments!$G$6:$G$205,MAX(1,$BE228)),N(INDEX(Settings!$F$14:$F$18,$BF228))),6))))</f>
        <v/>
      </c>
      <c r="AK228" s="55" t="str">
        <f>IF($AM228=0,"",IF(ISNUMBER($O228),$O228,$AI228))</f>
        <v/>
      </c>
      <c r="AL228" s="55" t="str">
        <f>IF($AM228=0,"",IF(ISNUMBER($P228),$P228,N($AJ228)))</f>
        <v/>
      </c>
      <c r="AM228" s="56">
        <f>IF(AND($A228&lt;&gt;"",$E228&lt;&gt;"",OR(AND(ISNUMBER($G228),ISNUMBER($H228),ISNUMBER($K228)),ISNUMBER($O228))),1,0)</f>
        <v>0</v>
      </c>
      <c r="AN228" s="57" t="str">
        <f>IF($A228="","",$A228-WEEKDAY($A228,3))</f>
        <v/>
      </c>
      <c r="AO228" s="56" t="str">
        <f>IF($A228="","",WEEKDAY($A228,2))</f>
        <v/>
      </c>
      <c r="AP228" s="55" t="str">
        <f>IF(OR($AM228=0,$C228=""),"",IFERROR(N(INDEX(Accounts!$E$7:$E$16,MATCH($C228,Accounts!$B$7:$B$16,0))),0)+SUMIFS($Q$6:$Q228,$C$6:$C228,$C228))</f>
        <v/>
      </c>
      <c r="AQ228" s="55" t="str">
        <f>IF(OR($AM228=0,$C228=""),"",SUMIFS($Q$6:$Q$1005,$C$6:$C$1005,$C228,$A$6:$A$1005,$A228))</f>
        <v/>
      </c>
      <c r="AR228" s="55" t="str">
        <f>IF(OR($AM228=0,$C228=""),"",IFERROR(N(INDEX(Accounts!$E$7:$E$16,MATCH($C228,Accounts!$B$7:$B$16,0))),0)+SUMIFS($Q$6:$Q$1005,$C$6:$C$1005,$C228,$A$6:$A$1005,"&lt;="&amp;$A228))</f>
        <v/>
      </c>
      <c r="AS228" s="56">
        <f>IF(OR($AM228=0,$Q228=""),0,IF(AND($A228&gt;=Lists!$W$6,$A228&lt;=Lists!$W$7,OR(Dashboard!$D$6="All accounts",$C228=Dashboard!$D$6),OR(Dashboard!$D$7="All markets",$AF228=Dashboard!$D$7)),1,0))</f>
        <v>0</v>
      </c>
      <c r="AT228" s="55">
        <f>IF($AS228=1,N(AT227)+$Q228,N(AT227))</f>
        <v>1187.10688</v>
      </c>
      <c r="AU228" s="55">
        <f>MAX(N(AU227),$AT228)</f>
        <v>1187.10688</v>
      </c>
      <c r="AV228" s="55">
        <f>$AT228-$AU228</f>
        <v>0</v>
      </c>
      <c r="AW228" s="56">
        <f>IF($AS228=1,IF($S228="Win",N(AW227)+1,IF($S228="Loss",0,N(AW227))),N(AW227))</f>
        <v>5</v>
      </c>
      <c r="AX228" s="56">
        <f>IF($AS228=1,IF($S228="Loss",N(AX227)+1,IF($S228="Win",0,N(AX227))),N(AX227))</f>
        <v>0</v>
      </c>
      <c r="AY228" s="56" t="str">
        <f>IF($AS228=1,COUNTIF($AS$6:$AS228,1),"")</f>
        <v/>
      </c>
      <c r="AZ228" s="56">
        <f>MIN(222,N(Lists!$W$8))</f>
        <v>28</v>
      </c>
      <c r="BA228" s="56">
        <f>IF($AS228=1,IF(COUNTIFS($A$6:$A228,$A228,$AS$6:$AS228,1)=1,1,0),0)</f>
        <v>0</v>
      </c>
      <c r="BB228" s="55" t="str">
        <f>IF($BA228=1,SUMIFS($Q$6:$Q$1005,$A$6:$A$1005,$A228,$AS$6:$AS$1005,1),"")</f>
        <v/>
      </c>
      <c r="BC228" s="56">
        <f>IF(ISNUMBER($R228),1,0)</f>
        <v>0</v>
      </c>
      <c r="BD228" s="55" t="str">
        <f>IF(ISNUMBER($U228),$U228*$V228,"")</f>
        <v/>
      </c>
      <c r="BE228" s="56" t="str">
        <f>IF($AM228=0,"",IFERROR(MATCH($AF228&amp;"|"&amp;UPPER(TRIM($E228)),Lists!$A$6:$A$205,0),0))</f>
        <v/>
      </c>
      <c r="BF228" s="56" t="str">
        <f>IF($AM228=0,"",IFERROR(MATCH($AF228,Settings!$B$14:$B$18,0),IFERROR(MATCH(Settings!$C$6,Settings!$B$14:$B$18,0),1)))</f>
        <v/>
      </c>
      <c r="BG228" s="58" t="str">
        <f>IF($AM228=0,"",IF(NOT(ISNUMBER($I228)),"No stop; ","")&amp;IF(AND(ISNUMBER($H228),ISNUMBER($I228)),IF(OR(AND($F228&lt;&gt;"Short",$I228&gt;=$H228),AND($F228="Short",$I228&lt;=$H228)),"Stop on wrong side; ",""),"")&amp;IF($F228="","No direction; ","")&amp;IF(AND(ISNUMBER(Settings!$C$22),ISNUMBER($V228)),IF($V228&gt;Settings!$C$22,"Risk over max $; ",""),"")&amp;IF(AND(ISNUMBER(Settings!$C$23),ISNUMBER($V228),ISNUMBER($AP228),IFERROR(N(INDEX(Accounts!$E$7:$E$16,MATCH($C228,Accounts!$B$7:$B$16,0))),0)&gt;0),IF($V228&gt;Settings!$C$23*($AP228-N($Q228)),"Risk over max %; ",""),"")&amp;IF(AND(ISNUMBER(Settings!$C$24),ISNUMBER($N228)),IF($N228&gt;Settings!$C$24,"Leverage over max; ",""),"")&amp;IF(AND(ISNUMBER(Settings!$C$27),ISNUMBER($T228)),IF($T228&lt;Settings!$C$27,"R:R below min; ",""),"")&amp;IF(ISNUMBER(Settings!$C$25),IF(COUNTIFS($A$6:$A228,$A228,$AM$6:$AM228,1)&gt;Settings!$C$25,"Over max trades/day; ",""),"")&amp;IF(ISNUMBER(Settings!$C$26),IF(SUMIFS($Q$5:$Q227,$A$5:$A227,$A228)&lt;=-Settings!$C$26,"Traded after daily max loss; ",""),"")&amp;IF(AND($AG228="",NOT(ISNUMBER($O228))),"Symbol not in Instruments; ","")&amp;IF(AND($AH228="",NOT(ISNUMBER($O228))),"Forex cross: type Gross P&amp;L; ",""))</f>
        <v/>
      </c>
      <c r="BH228" s="56">
        <f>IF(ISNUMBER($Q228),1,0)</f>
        <v>0</v>
      </c>
      <c r="BI228" s="56">
        <f>IF($Y228="",0,1)</f>
        <v>0</v>
      </c>
      <c r="BJ228" s="56">
        <f>IF($AB228="",0,1)</f>
        <v>0</v>
      </c>
      <c r="BK228" s="56">
        <f>IF(AND($BH228=1,$W228&lt;&gt;"OK"),1,0)</f>
        <v>0</v>
      </c>
      <c r="BL228" s="55">
        <f>IF(N($AZ228)=0,0,IFERROR(INDEX($AT$6:$AT$1005,MATCH($AZ228,$AY$6:$AY$1005,0)),0))</f>
        <v>1187.10688</v>
      </c>
      <c r="BM228" s="56">
        <f>IF(ISNUMBER(SEARCH("daily max loss",$BG228)),1,0)</f>
        <v>0</v>
      </c>
    </row>
    <row r="229" ht="18" customHeight="1">
      <c r="A229" s="38" t="n"/>
      <c r="B229" s="39" t="n"/>
      <c r="C229" s="40" t="n"/>
      <c r="D229" s="41" t="n"/>
      <c r="E229" s="41" t="n"/>
      <c r="F229" s="41" t="n"/>
      <c r="G229" s="41" t="n"/>
      <c r="H229" s="42" t="n"/>
      <c r="I229" s="42" t="n"/>
      <c r="J229" s="42" t="n"/>
      <c r="K229" s="42" t="n"/>
      <c r="L229" s="41" t="n"/>
      <c r="M229" s="41" t="n"/>
      <c r="N229" s="41" t="n"/>
      <c r="O229" s="43" t="n"/>
      <c r="P229" s="43" t="n"/>
      <c r="Q229" s="44" t="str">
        <f>IF($AM229=0,"",IF(ISNUMBER($AK229),$AK229-N($AL229),""))</f>
        <v/>
      </c>
      <c r="R229" s="45" t="str">
        <f>IF(OR($Q229="",NOT(ISNUMBER($V229))),"",$AK229/$V229)</f>
        <v/>
      </c>
      <c r="S229" s="46" t="str">
        <f>IF($Q229="","",IF(AND(ISNUMBER($R229),ABS(N($R229))&lt;N(Settings!$C$8)),"Scratch",IF($Q229&gt;0,"Win",IF($Q229&lt;0,"Loss","Scratch"))))</f>
        <v/>
      </c>
      <c r="T229" s="47" t="str">
        <f>IF(OR($AM229=0,NOT(ISNUMBER($H229)),NOT(ISNUMBER($I229)),NOT(ISNUMBER($J229))),"",IF($H229=$I229,"",ROUND(ABS($J229-$H229)/ABS($H229-$I229),6)))</f>
        <v/>
      </c>
      <c r="U229" s="48" t="str">
        <f>IF(OR($S229&lt;&gt;"Win",NOT(ISNUMBER($T229)),NOT(ISNUMBER($R229))),"",MAX(0,$T229-$R229))</f>
        <v/>
      </c>
      <c r="V229" s="49" t="str">
        <f>IF(OR($AM229=0,NOT(ISNUMBER($H229)),NOT(ISNUMBER($I229)),NOT(ISNUMBER($G229))),"",IF(OR($AG229="",$AH229=""),"",IF(ROUND(ABS($H229-$I229)*ABS($G229)*$AG229*$AH229,6)=0,"",ROUND(ABS($H229-$I229)*ABS($G229)*$AG229*$AH229,6))))</f>
        <v/>
      </c>
      <c r="W229" s="50" t="str">
        <f>IF($AM229=0,"",IF($BG229="","OK",LEFT($BG229,LEN($BG229)-2)))</f>
        <v/>
      </c>
      <c r="X229" s="41" t="n"/>
      <c r="Y229" s="40" t="n"/>
      <c r="Z229" s="41" t="n"/>
      <c r="AA229" s="41" t="n"/>
      <c r="AB229" s="40" t="n"/>
      <c r="AC229" s="51" t="n"/>
      <c r="AD229" s="51" t="n"/>
      <c r="AE229" s="40" t="n"/>
      <c r="AF229" s="52" t="str">
        <f>IF($AM229=0,"",IF($D229&lt;&gt;"",$D229,IF(IFERROR(INDEX(Accounts!$C$7:$C$16,MATCH($C229,Accounts!$B$7:$B$16,0))&amp;"","")&lt;&gt;"",INDEX(Accounts!$C$7:$C$16,MATCH($C229,Accounts!$B$7:$B$16,0)),Settings!$C$6)))</f>
        <v/>
      </c>
      <c r="AG229" s="53" t="str">
        <f>IF($AM229=0,"",IF(AND($BE229&gt;0,N(INDEX(Instruments!$D$6:$D$205,MAX(1,$BE229)))&gt;0),INDEX(Instruments!$D$6:$D$205,MAX(1,$BE229)),IF(N(INDEX(Settings!$D$14:$D$18,$BF229))&gt;0,INDEX(Settings!$D$14:$D$18,$BF229),"")))</f>
        <v/>
      </c>
      <c r="AH229" s="54" t="str">
        <f>IF($AM229=0,"",IF($AF229&lt;&gt;"Forex",1,IF(MID(UPPER(SUBSTITUTE(TRIM($E229),"/","")),4,3)=UPPER(TRIM(Settings!$C$7)),1,IF(LEFT(UPPER(SUBSTITUTE(TRIM($E229),"/","")),3)=UPPER(TRIM(Settings!$C$7)),IF(AND(ISNUMBER($K229),N($K229)&lt;&gt;0),1/$K229,""),""))))</f>
        <v/>
      </c>
      <c r="AI229" s="55" t="str">
        <f>IF($AM229=0,"",IF(OR(NOT(ISNUMBER($H229)),NOT(ISNUMBER($K229)),NOT(ISNUMBER($G229)),$AG229="",$AH229=""),"",ROUND(($K229-$H229)*IF($F229="Short",-1,1)*$G229*$AG229*$AH229,6)))</f>
        <v/>
      </c>
      <c r="AJ229" s="55" t="str">
        <f>IF($AM229=0,"",IF(INDEX(Settings!$E$14:$E$18,$BF229)="% of notional",IF(OR($AG229="",NOT(ISNUMBER($H229)),NOT(ISNUMBER($G229))),"",ROUND(ABS($H229*$G229*$AG229*N($AH229))*IF($L229="Limit",N(INDEX(Settings!$G$14:$G$18,$BF229)),N(INDEX(Settings!$H$14:$H$18,$BF229)))+IF(ISNUMBER($K229),ABS($K229*$G229*$AG229*N($AH229))*IF($M229="Target",N(INDEX(Settings!$G$14:$G$18,$BF229)),N(INDEX(Settings!$H$14:$H$18,$BF229))),0),6)),IF(NOT(ISNUMBER($G229)),"",ROUND(ABS($G229)*2*IF(AND($BE229&gt;0,ISNUMBER(INDEX(Instruments!$G$6:$G$205,MAX(1,$BE229)))),INDEX(Instruments!$G$6:$G$205,MAX(1,$BE229)),N(INDEX(Settings!$F$14:$F$18,$BF229))),6))))</f>
        <v/>
      </c>
      <c r="AK229" s="55" t="str">
        <f>IF($AM229=0,"",IF(ISNUMBER($O229),$O229,$AI229))</f>
        <v/>
      </c>
      <c r="AL229" s="55" t="str">
        <f>IF($AM229=0,"",IF(ISNUMBER($P229),$P229,N($AJ229)))</f>
        <v/>
      </c>
      <c r="AM229" s="56">
        <f>IF(AND($A229&lt;&gt;"",$E229&lt;&gt;"",OR(AND(ISNUMBER($G229),ISNUMBER($H229),ISNUMBER($K229)),ISNUMBER($O229))),1,0)</f>
        <v>0</v>
      </c>
      <c r="AN229" s="57" t="str">
        <f>IF($A229="","",$A229-WEEKDAY($A229,3))</f>
        <v/>
      </c>
      <c r="AO229" s="56" t="str">
        <f>IF($A229="","",WEEKDAY($A229,2))</f>
        <v/>
      </c>
      <c r="AP229" s="55" t="str">
        <f>IF(OR($AM229=0,$C229=""),"",IFERROR(N(INDEX(Accounts!$E$7:$E$16,MATCH($C229,Accounts!$B$7:$B$16,0))),0)+SUMIFS($Q$6:$Q229,$C$6:$C229,$C229))</f>
        <v/>
      </c>
      <c r="AQ229" s="55" t="str">
        <f>IF(OR($AM229=0,$C229=""),"",SUMIFS($Q$6:$Q$1005,$C$6:$C$1005,$C229,$A$6:$A$1005,$A229))</f>
        <v/>
      </c>
      <c r="AR229" s="55" t="str">
        <f>IF(OR($AM229=0,$C229=""),"",IFERROR(N(INDEX(Accounts!$E$7:$E$16,MATCH($C229,Accounts!$B$7:$B$16,0))),0)+SUMIFS($Q$6:$Q$1005,$C$6:$C$1005,$C229,$A$6:$A$1005,"&lt;="&amp;$A229))</f>
        <v/>
      </c>
      <c r="AS229" s="56">
        <f>IF(OR($AM229=0,$Q229=""),0,IF(AND($A229&gt;=Lists!$W$6,$A229&lt;=Lists!$W$7,OR(Dashboard!$D$6="All accounts",$C229=Dashboard!$D$6),OR(Dashboard!$D$7="All markets",$AF229=Dashboard!$D$7)),1,0))</f>
        <v>0</v>
      </c>
      <c r="AT229" s="55">
        <f>IF($AS229=1,N(AT228)+$Q229,N(AT228))</f>
        <v>1187.10688</v>
      </c>
      <c r="AU229" s="55">
        <f>MAX(N(AU228),$AT229)</f>
        <v>1187.10688</v>
      </c>
      <c r="AV229" s="55">
        <f>$AT229-$AU229</f>
        <v>0</v>
      </c>
      <c r="AW229" s="56">
        <f>IF($AS229=1,IF($S229="Win",N(AW228)+1,IF($S229="Loss",0,N(AW228))),N(AW228))</f>
        <v>5</v>
      </c>
      <c r="AX229" s="56">
        <f>IF($AS229=1,IF($S229="Loss",N(AX228)+1,IF($S229="Win",0,N(AX228))),N(AX228))</f>
        <v>0</v>
      </c>
      <c r="AY229" s="56" t="str">
        <f>IF($AS229=1,COUNTIF($AS$6:$AS229,1),"")</f>
        <v/>
      </c>
      <c r="AZ229" s="56">
        <f>MIN(223,N(Lists!$W$8))</f>
        <v>28</v>
      </c>
      <c r="BA229" s="56">
        <f>IF($AS229=1,IF(COUNTIFS($A$6:$A229,$A229,$AS$6:$AS229,1)=1,1,0),0)</f>
        <v>0</v>
      </c>
      <c r="BB229" s="55" t="str">
        <f>IF($BA229=1,SUMIFS($Q$6:$Q$1005,$A$6:$A$1005,$A229,$AS$6:$AS$1005,1),"")</f>
        <v/>
      </c>
      <c r="BC229" s="56">
        <f>IF(ISNUMBER($R229),1,0)</f>
        <v>0</v>
      </c>
      <c r="BD229" s="55" t="str">
        <f>IF(ISNUMBER($U229),$U229*$V229,"")</f>
        <v/>
      </c>
      <c r="BE229" s="56" t="str">
        <f>IF($AM229=0,"",IFERROR(MATCH($AF229&amp;"|"&amp;UPPER(TRIM($E229)),Lists!$A$6:$A$205,0),0))</f>
        <v/>
      </c>
      <c r="BF229" s="56" t="str">
        <f>IF($AM229=0,"",IFERROR(MATCH($AF229,Settings!$B$14:$B$18,0),IFERROR(MATCH(Settings!$C$6,Settings!$B$14:$B$18,0),1)))</f>
        <v/>
      </c>
      <c r="BG229" s="58" t="str">
        <f>IF($AM229=0,"",IF(NOT(ISNUMBER($I229)),"No stop; ","")&amp;IF(AND(ISNUMBER($H229),ISNUMBER($I229)),IF(OR(AND($F229&lt;&gt;"Short",$I229&gt;=$H229),AND($F229="Short",$I229&lt;=$H229)),"Stop on wrong side; ",""),"")&amp;IF($F229="","No direction; ","")&amp;IF(AND(ISNUMBER(Settings!$C$22),ISNUMBER($V229)),IF($V229&gt;Settings!$C$22,"Risk over max $; ",""),"")&amp;IF(AND(ISNUMBER(Settings!$C$23),ISNUMBER($V229),ISNUMBER($AP229),IFERROR(N(INDEX(Accounts!$E$7:$E$16,MATCH($C229,Accounts!$B$7:$B$16,0))),0)&gt;0),IF($V229&gt;Settings!$C$23*($AP229-N($Q229)),"Risk over max %; ",""),"")&amp;IF(AND(ISNUMBER(Settings!$C$24),ISNUMBER($N229)),IF($N229&gt;Settings!$C$24,"Leverage over max; ",""),"")&amp;IF(AND(ISNUMBER(Settings!$C$27),ISNUMBER($T229)),IF($T229&lt;Settings!$C$27,"R:R below min; ",""),"")&amp;IF(ISNUMBER(Settings!$C$25),IF(COUNTIFS($A$6:$A229,$A229,$AM$6:$AM229,1)&gt;Settings!$C$25,"Over max trades/day; ",""),"")&amp;IF(ISNUMBER(Settings!$C$26),IF(SUMIFS($Q$5:$Q228,$A$5:$A228,$A229)&lt;=-Settings!$C$26,"Traded after daily max loss; ",""),"")&amp;IF(AND($AG229="",NOT(ISNUMBER($O229))),"Symbol not in Instruments; ","")&amp;IF(AND($AH229="",NOT(ISNUMBER($O229))),"Forex cross: type Gross P&amp;L; ",""))</f>
        <v/>
      </c>
      <c r="BH229" s="56">
        <f>IF(ISNUMBER($Q229),1,0)</f>
        <v>0</v>
      </c>
      <c r="BI229" s="56">
        <f>IF($Y229="",0,1)</f>
        <v>0</v>
      </c>
      <c r="BJ229" s="56">
        <f>IF($AB229="",0,1)</f>
        <v>0</v>
      </c>
      <c r="BK229" s="56">
        <f>IF(AND($BH229=1,$W229&lt;&gt;"OK"),1,0)</f>
        <v>0</v>
      </c>
      <c r="BL229" s="55">
        <f>IF(N($AZ229)=0,0,IFERROR(INDEX($AT$6:$AT$1005,MATCH($AZ229,$AY$6:$AY$1005,0)),0))</f>
        <v>1187.10688</v>
      </c>
      <c r="BM229" s="56">
        <f>IF(ISNUMBER(SEARCH("daily max loss",$BG229)),1,0)</f>
        <v>0</v>
      </c>
    </row>
    <row r="230" ht="18" customHeight="1">
      <c r="A230" s="38" t="n"/>
      <c r="B230" s="39" t="n"/>
      <c r="C230" s="40" t="n"/>
      <c r="D230" s="41" t="n"/>
      <c r="E230" s="41" t="n"/>
      <c r="F230" s="41" t="n"/>
      <c r="G230" s="41" t="n"/>
      <c r="H230" s="42" t="n"/>
      <c r="I230" s="42" t="n"/>
      <c r="J230" s="42" t="n"/>
      <c r="K230" s="42" t="n"/>
      <c r="L230" s="41" t="n"/>
      <c r="M230" s="41" t="n"/>
      <c r="N230" s="41" t="n"/>
      <c r="O230" s="43" t="n"/>
      <c r="P230" s="43" t="n"/>
      <c r="Q230" s="44" t="str">
        <f>IF($AM230=0,"",IF(ISNUMBER($AK230),$AK230-N($AL230),""))</f>
        <v/>
      </c>
      <c r="R230" s="45" t="str">
        <f>IF(OR($Q230="",NOT(ISNUMBER($V230))),"",$AK230/$V230)</f>
        <v/>
      </c>
      <c r="S230" s="46" t="str">
        <f>IF($Q230="","",IF(AND(ISNUMBER($R230),ABS(N($R230))&lt;N(Settings!$C$8)),"Scratch",IF($Q230&gt;0,"Win",IF($Q230&lt;0,"Loss","Scratch"))))</f>
        <v/>
      </c>
      <c r="T230" s="47" t="str">
        <f>IF(OR($AM230=0,NOT(ISNUMBER($H230)),NOT(ISNUMBER($I230)),NOT(ISNUMBER($J230))),"",IF($H230=$I230,"",ROUND(ABS($J230-$H230)/ABS($H230-$I230),6)))</f>
        <v/>
      </c>
      <c r="U230" s="48" t="str">
        <f>IF(OR($S230&lt;&gt;"Win",NOT(ISNUMBER($T230)),NOT(ISNUMBER($R230))),"",MAX(0,$T230-$R230))</f>
        <v/>
      </c>
      <c r="V230" s="49" t="str">
        <f>IF(OR($AM230=0,NOT(ISNUMBER($H230)),NOT(ISNUMBER($I230)),NOT(ISNUMBER($G230))),"",IF(OR($AG230="",$AH230=""),"",IF(ROUND(ABS($H230-$I230)*ABS($G230)*$AG230*$AH230,6)=0,"",ROUND(ABS($H230-$I230)*ABS($G230)*$AG230*$AH230,6))))</f>
        <v/>
      </c>
      <c r="W230" s="50" t="str">
        <f>IF($AM230=0,"",IF($BG230="","OK",LEFT($BG230,LEN($BG230)-2)))</f>
        <v/>
      </c>
      <c r="X230" s="41" t="n"/>
      <c r="Y230" s="40" t="n"/>
      <c r="Z230" s="41" t="n"/>
      <c r="AA230" s="41" t="n"/>
      <c r="AB230" s="40" t="n"/>
      <c r="AC230" s="51" t="n"/>
      <c r="AD230" s="51" t="n"/>
      <c r="AE230" s="40" t="n"/>
      <c r="AF230" s="52" t="str">
        <f>IF($AM230=0,"",IF($D230&lt;&gt;"",$D230,IF(IFERROR(INDEX(Accounts!$C$7:$C$16,MATCH($C230,Accounts!$B$7:$B$16,0))&amp;"","")&lt;&gt;"",INDEX(Accounts!$C$7:$C$16,MATCH($C230,Accounts!$B$7:$B$16,0)),Settings!$C$6)))</f>
        <v/>
      </c>
      <c r="AG230" s="53" t="str">
        <f>IF($AM230=0,"",IF(AND($BE230&gt;0,N(INDEX(Instruments!$D$6:$D$205,MAX(1,$BE230)))&gt;0),INDEX(Instruments!$D$6:$D$205,MAX(1,$BE230)),IF(N(INDEX(Settings!$D$14:$D$18,$BF230))&gt;0,INDEX(Settings!$D$14:$D$18,$BF230),"")))</f>
        <v/>
      </c>
      <c r="AH230" s="54" t="str">
        <f>IF($AM230=0,"",IF($AF230&lt;&gt;"Forex",1,IF(MID(UPPER(SUBSTITUTE(TRIM($E230),"/","")),4,3)=UPPER(TRIM(Settings!$C$7)),1,IF(LEFT(UPPER(SUBSTITUTE(TRIM($E230),"/","")),3)=UPPER(TRIM(Settings!$C$7)),IF(AND(ISNUMBER($K230),N($K230)&lt;&gt;0),1/$K230,""),""))))</f>
        <v/>
      </c>
      <c r="AI230" s="55" t="str">
        <f>IF($AM230=0,"",IF(OR(NOT(ISNUMBER($H230)),NOT(ISNUMBER($K230)),NOT(ISNUMBER($G230)),$AG230="",$AH230=""),"",ROUND(($K230-$H230)*IF($F230="Short",-1,1)*$G230*$AG230*$AH230,6)))</f>
        <v/>
      </c>
      <c r="AJ230" s="55" t="str">
        <f>IF($AM230=0,"",IF(INDEX(Settings!$E$14:$E$18,$BF230)="% of notional",IF(OR($AG230="",NOT(ISNUMBER($H230)),NOT(ISNUMBER($G230))),"",ROUND(ABS($H230*$G230*$AG230*N($AH230))*IF($L230="Limit",N(INDEX(Settings!$G$14:$G$18,$BF230)),N(INDEX(Settings!$H$14:$H$18,$BF230)))+IF(ISNUMBER($K230),ABS($K230*$G230*$AG230*N($AH230))*IF($M230="Target",N(INDEX(Settings!$G$14:$G$18,$BF230)),N(INDEX(Settings!$H$14:$H$18,$BF230))),0),6)),IF(NOT(ISNUMBER($G230)),"",ROUND(ABS($G230)*2*IF(AND($BE230&gt;0,ISNUMBER(INDEX(Instruments!$G$6:$G$205,MAX(1,$BE230)))),INDEX(Instruments!$G$6:$G$205,MAX(1,$BE230)),N(INDEX(Settings!$F$14:$F$18,$BF230))),6))))</f>
        <v/>
      </c>
      <c r="AK230" s="55" t="str">
        <f>IF($AM230=0,"",IF(ISNUMBER($O230),$O230,$AI230))</f>
        <v/>
      </c>
      <c r="AL230" s="55" t="str">
        <f>IF($AM230=0,"",IF(ISNUMBER($P230),$P230,N($AJ230)))</f>
        <v/>
      </c>
      <c r="AM230" s="56">
        <f>IF(AND($A230&lt;&gt;"",$E230&lt;&gt;"",OR(AND(ISNUMBER($G230),ISNUMBER($H230),ISNUMBER($K230)),ISNUMBER($O230))),1,0)</f>
        <v>0</v>
      </c>
      <c r="AN230" s="57" t="str">
        <f>IF($A230="","",$A230-WEEKDAY($A230,3))</f>
        <v/>
      </c>
      <c r="AO230" s="56" t="str">
        <f>IF($A230="","",WEEKDAY($A230,2))</f>
        <v/>
      </c>
      <c r="AP230" s="55" t="str">
        <f>IF(OR($AM230=0,$C230=""),"",IFERROR(N(INDEX(Accounts!$E$7:$E$16,MATCH($C230,Accounts!$B$7:$B$16,0))),0)+SUMIFS($Q$6:$Q230,$C$6:$C230,$C230))</f>
        <v/>
      </c>
      <c r="AQ230" s="55" t="str">
        <f>IF(OR($AM230=0,$C230=""),"",SUMIFS($Q$6:$Q$1005,$C$6:$C$1005,$C230,$A$6:$A$1005,$A230))</f>
        <v/>
      </c>
      <c r="AR230" s="55" t="str">
        <f>IF(OR($AM230=0,$C230=""),"",IFERROR(N(INDEX(Accounts!$E$7:$E$16,MATCH($C230,Accounts!$B$7:$B$16,0))),0)+SUMIFS($Q$6:$Q$1005,$C$6:$C$1005,$C230,$A$6:$A$1005,"&lt;="&amp;$A230))</f>
        <v/>
      </c>
      <c r="AS230" s="56">
        <f>IF(OR($AM230=0,$Q230=""),0,IF(AND($A230&gt;=Lists!$W$6,$A230&lt;=Lists!$W$7,OR(Dashboard!$D$6="All accounts",$C230=Dashboard!$D$6),OR(Dashboard!$D$7="All markets",$AF230=Dashboard!$D$7)),1,0))</f>
        <v>0</v>
      </c>
      <c r="AT230" s="55">
        <f>IF($AS230=1,N(AT229)+$Q230,N(AT229))</f>
        <v>1187.10688</v>
      </c>
      <c r="AU230" s="55">
        <f>MAX(N(AU229),$AT230)</f>
        <v>1187.10688</v>
      </c>
      <c r="AV230" s="55">
        <f>$AT230-$AU230</f>
        <v>0</v>
      </c>
      <c r="AW230" s="56">
        <f>IF($AS230=1,IF($S230="Win",N(AW229)+1,IF($S230="Loss",0,N(AW229))),N(AW229))</f>
        <v>5</v>
      </c>
      <c r="AX230" s="56">
        <f>IF($AS230=1,IF($S230="Loss",N(AX229)+1,IF($S230="Win",0,N(AX229))),N(AX229))</f>
        <v>0</v>
      </c>
      <c r="AY230" s="56" t="str">
        <f>IF($AS230=1,COUNTIF($AS$6:$AS230,1),"")</f>
        <v/>
      </c>
      <c r="AZ230" s="56">
        <f>MIN(224,N(Lists!$W$8))</f>
        <v>28</v>
      </c>
      <c r="BA230" s="56">
        <f>IF($AS230=1,IF(COUNTIFS($A$6:$A230,$A230,$AS$6:$AS230,1)=1,1,0),0)</f>
        <v>0</v>
      </c>
      <c r="BB230" s="55" t="str">
        <f>IF($BA230=1,SUMIFS($Q$6:$Q$1005,$A$6:$A$1005,$A230,$AS$6:$AS$1005,1),"")</f>
        <v/>
      </c>
      <c r="BC230" s="56">
        <f>IF(ISNUMBER($R230),1,0)</f>
        <v>0</v>
      </c>
      <c r="BD230" s="55" t="str">
        <f>IF(ISNUMBER($U230),$U230*$V230,"")</f>
        <v/>
      </c>
      <c r="BE230" s="56" t="str">
        <f>IF($AM230=0,"",IFERROR(MATCH($AF230&amp;"|"&amp;UPPER(TRIM($E230)),Lists!$A$6:$A$205,0),0))</f>
        <v/>
      </c>
      <c r="BF230" s="56" t="str">
        <f>IF($AM230=0,"",IFERROR(MATCH($AF230,Settings!$B$14:$B$18,0),IFERROR(MATCH(Settings!$C$6,Settings!$B$14:$B$18,0),1)))</f>
        <v/>
      </c>
      <c r="BG230" s="58" t="str">
        <f>IF($AM230=0,"",IF(NOT(ISNUMBER($I230)),"No stop; ","")&amp;IF(AND(ISNUMBER($H230),ISNUMBER($I230)),IF(OR(AND($F230&lt;&gt;"Short",$I230&gt;=$H230),AND($F230="Short",$I230&lt;=$H230)),"Stop on wrong side; ",""),"")&amp;IF($F230="","No direction; ","")&amp;IF(AND(ISNUMBER(Settings!$C$22),ISNUMBER($V230)),IF($V230&gt;Settings!$C$22,"Risk over max $; ",""),"")&amp;IF(AND(ISNUMBER(Settings!$C$23),ISNUMBER($V230),ISNUMBER($AP230),IFERROR(N(INDEX(Accounts!$E$7:$E$16,MATCH($C230,Accounts!$B$7:$B$16,0))),0)&gt;0),IF($V230&gt;Settings!$C$23*($AP230-N($Q230)),"Risk over max %; ",""),"")&amp;IF(AND(ISNUMBER(Settings!$C$24),ISNUMBER($N230)),IF($N230&gt;Settings!$C$24,"Leverage over max; ",""),"")&amp;IF(AND(ISNUMBER(Settings!$C$27),ISNUMBER($T230)),IF($T230&lt;Settings!$C$27,"R:R below min; ",""),"")&amp;IF(ISNUMBER(Settings!$C$25),IF(COUNTIFS($A$6:$A230,$A230,$AM$6:$AM230,1)&gt;Settings!$C$25,"Over max trades/day; ",""),"")&amp;IF(ISNUMBER(Settings!$C$26),IF(SUMIFS($Q$5:$Q229,$A$5:$A229,$A230)&lt;=-Settings!$C$26,"Traded after daily max loss; ",""),"")&amp;IF(AND($AG230="",NOT(ISNUMBER($O230))),"Symbol not in Instruments; ","")&amp;IF(AND($AH230="",NOT(ISNUMBER($O230))),"Forex cross: type Gross P&amp;L; ",""))</f>
        <v/>
      </c>
      <c r="BH230" s="56">
        <f>IF(ISNUMBER($Q230),1,0)</f>
        <v>0</v>
      </c>
      <c r="BI230" s="56">
        <f>IF($Y230="",0,1)</f>
        <v>0</v>
      </c>
      <c r="BJ230" s="56">
        <f>IF($AB230="",0,1)</f>
        <v>0</v>
      </c>
      <c r="BK230" s="56">
        <f>IF(AND($BH230=1,$W230&lt;&gt;"OK"),1,0)</f>
        <v>0</v>
      </c>
      <c r="BL230" s="55">
        <f>IF(N($AZ230)=0,0,IFERROR(INDEX($AT$6:$AT$1005,MATCH($AZ230,$AY$6:$AY$1005,0)),0))</f>
        <v>1187.10688</v>
      </c>
      <c r="BM230" s="56">
        <f>IF(ISNUMBER(SEARCH("daily max loss",$BG230)),1,0)</f>
        <v>0</v>
      </c>
    </row>
    <row r="231" ht="18" customHeight="1">
      <c r="A231" s="38" t="n"/>
      <c r="B231" s="39" t="n"/>
      <c r="C231" s="40" t="n"/>
      <c r="D231" s="41" t="n"/>
      <c r="E231" s="41" t="n"/>
      <c r="F231" s="41" t="n"/>
      <c r="G231" s="41" t="n"/>
      <c r="H231" s="42" t="n"/>
      <c r="I231" s="42" t="n"/>
      <c r="J231" s="42" t="n"/>
      <c r="K231" s="42" t="n"/>
      <c r="L231" s="41" t="n"/>
      <c r="M231" s="41" t="n"/>
      <c r="N231" s="41" t="n"/>
      <c r="O231" s="43" t="n"/>
      <c r="P231" s="43" t="n"/>
      <c r="Q231" s="44" t="str">
        <f>IF($AM231=0,"",IF(ISNUMBER($AK231),$AK231-N($AL231),""))</f>
        <v/>
      </c>
      <c r="R231" s="45" t="str">
        <f>IF(OR($Q231="",NOT(ISNUMBER($V231))),"",$AK231/$V231)</f>
        <v/>
      </c>
      <c r="S231" s="46" t="str">
        <f>IF($Q231="","",IF(AND(ISNUMBER($R231),ABS(N($R231))&lt;N(Settings!$C$8)),"Scratch",IF($Q231&gt;0,"Win",IF($Q231&lt;0,"Loss","Scratch"))))</f>
        <v/>
      </c>
      <c r="T231" s="47" t="str">
        <f>IF(OR($AM231=0,NOT(ISNUMBER($H231)),NOT(ISNUMBER($I231)),NOT(ISNUMBER($J231))),"",IF($H231=$I231,"",ROUND(ABS($J231-$H231)/ABS($H231-$I231),6)))</f>
        <v/>
      </c>
      <c r="U231" s="48" t="str">
        <f>IF(OR($S231&lt;&gt;"Win",NOT(ISNUMBER($T231)),NOT(ISNUMBER($R231))),"",MAX(0,$T231-$R231))</f>
        <v/>
      </c>
      <c r="V231" s="49" t="str">
        <f>IF(OR($AM231=0,NOT(ISNUMBER($H231)),NOT(ISNUMBER($I231)),NOT(ISNUMBER($G231))),"",IF(OR($AG231="",$AH231=""),"",IF(ROUND(ABS($H231-$I231)*ABS($G231)*$AG231*$AH231,6)=0,"",ROUND(ABS($H231-$I231)*ABS($G231)*$AG231*$AH231,6))))</f>
        <v/>
      </c>
      <c r="W231" s="50" t="str">
        <f>IF($AM231=0,"",IF($BG231="","OK",LEFT($BG231,LEN($BG231)-2)))</f>
        <v/>
      </c>
      <c r="X231" s="41" t="n"/>
      <c r="Y231" s="40" t="n"/>
      <c r="Z231" s="41" t="n"/>
      <c r="AA231" s="41" t="n"/>
      <c r="AB231" s="40" t="n"/>
      <c r="AC231" s="51" t="n"/>
      <c r="AD231" s="51" t="n"/>
      <c r="AE231" s="40" t="n"/>
      <c r="AF231" s="52" t="str">
        <f>IF($AM231=0,"",IF($D231&lt;&gt;"",$D231,IF(IFERROR(INDEX(Accounts!$C$7:$C$16,MATCH($C231,Accounts!$B$7:$B$16,0))&amp;"","")&lt;&gt;"",INDEX(Accounts!$C$7:$C$16,MATCH($C231,Accounts!$B$7:$B$16,0)),Settings!$C$6)))</f>
        <v/>
      </c>
      <c r="AG231" s="53" t="str">
        <f>IF($AM231=0,"",IF(AND($BE231&gt;0,N(INDEX(Instruments!$D$6:$D$205,MAX(1,$BE231)))&gt;0),INDEX(Instruments!$D$6:$D$205,MAX(1,$BE231)),IF(N(INDEX(Settings!$D$14:$D$18,$BF231))&gt;0,INDEX(Settings!$D$14:$D$18,$BF231),"")))</f>
        <v/>
      </c>
      <c r="AH231" s="54" t="str">
        <f>IF($AM231=0,"",IF($AF231&lt;&gt;"Forex",1,IF(MID(UPPER(SUBSTITUTE(TRIM($E231),"/","")),4,3)=UPPER(TRIM(Settings!$C$7)),1,IF(LEFT(UPPER(SUBSTITUTE(TRIM($E231),"/","")),3)=UPPER(TRIM(Settings!$C$7)),IF(AND(ISNUMBER($K231),N($K231)&lt;&gt;0),1/$K231,""),""))))</f>
        <v/>
      </c>
      <c r="AI231" s="55" t="str">
        <f>IF($AM231=0,"",IF(OR(NOT(ISNUMBER($H231)),NOT(ISNUMBER($K231)),NOT(ISNUMBER($G231)),$AG231="",$AH231=""),"",ROUND(($K231-$H231)*IF($F231="Short",-1,1)*$G231*$AG231*$AH231,6)))</f>
        <v/>
      </c>
      <c r="AJ231" s="55" t="str">
        <f>IF($AM231=0,"",IF(INDEX(Settings!$E$14:$E$18,$BF231)="% of notional",IF(OR($AG231="",NOT(ISNUMBER($H231)),NOT(ISNUMBER($G231))),"",ROUND(ABS($H231*$G231*$AG231*N($AH231))*IF($L231="Limit",N(INDEX(Settings!$G$14:$G$18,$BF231)),N(INDEX(Settings!$H$14:$H$18,$BF231)))+IF(ISNUMBER($K231),ABS($K231*$G231*$AG231*N($AH231))*IF($M231="Target",N(INDEX(Settings!$G$14:$G$18,$BF231)),N(INDEX(Settings!$H$14:$H$18,$BF231))),0),6)),IF(NOT(ISNUMBER($G231)),"",ROUND(ABS($G231)*2*IF(AND($BE231&gt;0,ISNUMBER(INDEX(Instruments!$G$6:$G$205,MAX(1,$BE231)))),INDEX(Instruments!$G$6:$G$205,MAX(1,$BE231)),N(INDEX(Settings!$F$14:$F$18,$BF231))),6))))</f>
        <v/>
      </c>
      <c r="AK231" s="55" t="str">
        <f>IF($AM231=0,"",IF(ISNUMBER($O231),$O231,$AI231))</f>
        <v/>
      </c>
      <c r="AL231" s="55" t="str">
        <f>IF($AM231=0,"",IF(ISNUMBER($P231),$P231,N($AJ231)))</f>
        <v/>
      </c>
      <c r="AM231" s="56">
        <f>IF(AND($A231&lt;&gt;"",$E231&lt;&gt;"",OR(AND(ISNUMBER($G231),ISNUMBER($H231),ISNUMBER($K231)),ISNUMBER($O231))),1,0)</f>
        <v>0</v>
      </c>
      <c r="AN231" s="57" t="str">
        <f>IF($A231="","",$A231-WEEKDAY($A231,3))</f>
        <v/>
      </c>
      <c r="AO231" s="56" t="str">
        <f>IF($A231="","",WEEKDAY($A231,2))</f>
        <v/>
      </c>
      <c r="AP231" s="55" t="str">
        <f>IF(OR($AM231=0,$C231=""),"",IFERROR(N(INDEX(Accounts!$E$7:$E$16,MATCH($C231,Accounts!$B$7:$B$16,0))),0)+SUMIFS($Q$6:$Q231,$C$6:$C231,$C231))</f>
        <v/>
      </c>
      <c r="AQ231" s="55" t="str">
        <f>IF(OR($AM231=0,$C231=""),"",SUMIFS($Q$6:$Q$1005,$C$6:$C$1005,$C231,$A$6:$A$1005,$A231))</f>
        <v/>
      </c>
      <c r="AR231" s="55" t="str">
        <f>IF(OR($AM231=0,$C231=""),"",IFERROR(N(INDEX(Accounts!$E$7:$E$16,MATCH($C231,Accounts!$B$7:$B$16,0))),0)+SUMIFS($Q$6:$Q$1005,$C$6:$C$1005,$C231,$A$6:$A$1005,"&lt;="&amp;$A231))</f>
        <v/>
      </c>
      <c r="AS231" s="56">
        <f>IF(OR($AM231=0,$Q231=""),0,IF(AND($A231&gt;=Lists!$W$6,$A231&lt;=Lists!$W$7,OR(Dashboard!$D$6="All accounts",$C231=Dashboard!$D$6),OR(Dashboard!$D$7="All markets",$AF231=Dashboard!$D$7)),1,0))</f>
        <v>0</v>
      </c>
      <c r="AT231" s="55">
        <f>IF($AS231=1,N(AT230)+$Q231,N(AT230))</f>
        <v>1187.10688</v>
      </c>
      <c r="AU231" s="55">
        <f>MAX(N(AU230),$AT231)</f>
        <v>1187.10688</v>
      </c>
      <c r="AV231" s="55">
        <f>$AT231-$AU231</f>
        <v>0</v>
      </c>
      <c r="AW231" s="56">
        <f>IF($AS231=1,IF($S231="Win",N(AW230)+1,IF($S231="Loss",0,N(AW230))),N(AW230))</f>
        <v>5</v>
      </c>
      <c r="AX231" s="56">
        <f>IF($AS231=1,IF($S231="Loss",N(AX230)+1,IF($S231="Win",0,N(AX230))),N(AX230))</f>
        <v>0</v>
      </c>
      <c r="AY231" s="56" t="str">
        <f>IF($AS231=1,COUNTIF($AS$6:$AS231,1),"")</f>
        <v/>
      </c>
      <c r="AZ231" s="56">
        <f>MIN(225,N(Lists!$W$8))</f>
        <v>28</v>
      </c>
      <c r="BA231" s="56">
        <f>IF($AS231=1,IF(COUNTIFS($A$6:$A231,$A231,$AS$6:$AS231,1)=1,1,0),0)</f>
        <v>0</v>
      </c>
      <c r="BB231" s="55" t="str">
        <f>IF($BA231=1,SUMIFS($Q$6:$Q$1005,$A$6:$A$1005,$A231,$AS$6:$AS$1005,1),"")</f>
        <v/>
      </c>
      <c r="BC231" s="56">
        <f>IF(ISNUMBER($R231),1,0)</f>
        <v>0</v>
      </c>
      <c r="BD231" s="55" t="str">
        <f>IF(ISNUMBER($U231),$U231*$V231,"")</f>
        <v/>
      </c>
      <c r="BE231" s="56" t="str">
        <f>IF($AM231=0,"",IFERROR(MATCH($AF231&amp;"|"&amp;UPPER(TRIM($E231)),Lists!$A$6:$A$205,0),0))</f>
        <v/>
      </c>
      <c r="BF231" s="56" t="str">
        <f>IF($AM231=0,"",IFERROR(MATCH($AF231,Settings!$B$14:$B$18,0),IFERROR(MATCH(Settings!$C$6,Settings!$B$14:$B$18,0),1)))</f>
        <v/>
      </c>
      <c r="BG231" s="58" t="str">
        <f>IF($AM231=0,"",IF(NOT(ISNUMBER($I231)),"No stop; ","")&amp;IF(AND(ISNUMBER($H231),ISNUMBER($I231)),IF(OR(AND($F231&lt;&gt;"Short",$I231&gt;=$H231),AND($F231="Short",$I231&lt;=$H231)),"Stop on wrong side; ",""),"")&amp;IF($F231="","No direction; ","")&amp;IF(AND(ISNUMBER(Settings!$C$22),ISNUMBER($V231)),IF($V231&gt;Settings!$C$22,"Risk over max $; ",""),"")&amp;IF(AND(ISNUMBER(Settings!$C$23),ISNUMBER($V231),ISNUMBER($AP231),IFERROR(N(INDEX(Accounts!$E$7:$E$16,MATCH($C231,Accounts!$B$7:$B$16,0))),0)&gt;0),IF($V231&gt;Settings!$C$23*($AP231-N($Q231)),"Risk over max %; ",""),"")&amp;IF(AND(ISNUMBER(Settings!$C$24),ISNUMBER($N231)),IF($N231&gt;Settings!$C$24,"Leverage over max; ",""),"")&amp;IF(AND(ISNUMBER(Settings!$C$27),ISNUMBER($T231)),IF($T231&lt;Settings!$C$27,"R:R below min; ",""),"")&amp;IF(ISNUMBER(Settings!$C$25),IF(COUNTIFS($A$6:$A231,$A231,$AM$6:$AM231,1)&gt;Settings!$C$25,"Over max trades/day; ",""),"")&amp;IF(ISNUMBER(Settings!$C$26),IF(SUMIFS($Q$5:$Q230,$A$5:$A230,$A231)&lt;=-Settings!$C$26,"Traded after daily max loss; ",""),"")&amp;IF(AND($AG231="",NOT(ISNUMBER($O231))),"Symbol not in Instruments; ","")&amp;IF(AND($AH231="",NOT(ISNUMBER($O231))),"Forex cross: type Gross P&amp;L; ",""))</f>
        <v/>
      </c>
      <c r="BH231" s="56">
        <f>IF(ISNUMBER($Q231),1,0)</f>
        <v>0</v>
      </c>
      <c r="BI231" s="56">
        <f>IF($Y231="",0,1)</f>
        <v>0</v>
      </c>
      <c r="BJ231" s="56">
        <f>IF($AB231="",0,1)</f>
        <v>0</v>
      </c>
      <c r="BK231" s="56">
        <f>IF(AND($BH231=1,$W231&lt;&gt;"OK"),1,0)</f>
        <v>0</v>
      </c>
      <c r="BL231" s="55">
        <f>IF(N($AZ231)=0,0,IFERROR(INDEX($AT$6:$AT$1005,MATCH($AZ231,$AY$6:$AY$1005,0)),0))</f>
        <v>1187.10688</v>
      </c>
      <c r="BM231" s="56">
        <f>IF(ISNUMBER(SEARCH("daily max loss",$BG231)),1,0)</f>
        <v>0</v>
      </c>
    </row>
    <row r="232" ht="18" customHeight="1">
      <c r="A232" s="38" t="n"/>
      <c r="B232" s="39" t="n"/>
      <c r="C232" s="40" t="n"/>
      <c r="D232" s="41" t="n"/>
      <c r="E232" s="41" t="n"/>
      <c r="F232" s="41" t="n"/>
      <c r="G232" s="41" t="n"/>
      <c r="H232" s="42" t="n"/>
      <c r="I232" s="42" t="n"/>
      <c r="J232" s="42" t="n"/>
      <c r="K232" s="42" t="n"/>
      <c r="L232" s="41" t="n"/>
      <c r="M232" s="41" t="n"/>
      <c r="N232" s="41" t="n"/>
      <c r="O232" s="43" t="n"/>
      <c r="P232" s="43" t="n"/>
      <c r="Q232" s="44" t="str">
        <f>IF($AM232=0,"",IF(ISNUMBER($AK232),$AK232-N($AL232),""))</f>
        <v/>
      </c>
      <c r="R232" s="45" t="str">
        <f>IF(OR($Q232="",NOT(ISNUMBER($V232))),"",$AK232/$V232)</f>
        <v/>
      </c>
      <c r="S232" s="46" t="str">
        <f>IF($Q232="","",IF(AND(ISNUMBER($R232),ABS(N($R232))&lt;N(Settings!$C$8)),"Scratch",IF($Q232&gt;0,"Win",IF($Q232&lt;0,"Loss","Scratch"))))</f>
        <v/>
      </c>
      <c r="T232" s="47" t="str">
        <f>IF(OR($AM232=0,NOT(ISNUMBER($H232)),NOT(ISNUMBER($I232)),NOT(ISNUMBER($J232))),"",IF($H232=$I232,"",ROUND(ABS($J232-$H232)/ABS($H232-$I232),6)))</f>
        <v/>
      </c>
      <c r="U232" s="48" t="str">
        <f>IF(OR($S232&lt;&gt;"Win",NOT(ISNUMBER($T232)),NOT(ISNUMBER($R232))),"",MAX(0,$T232-$R232))</f>
        <v/>
      </c>
      <c r="V232" s="49" t="str">
        <f>IF(OR($AM232=0,NOT(ISNUMBER($H232)),NOT(ISNUMBER($I232)),NOT(ISNUMBER($G232))),"",IF(OR($AG232="",$AH232=""),"",IF(ROUND(ABS($H232-$I232)*ABS($G232)*$AG232*$AH232,6)=0,"",ROUND(ABS($H232-$I232)*ABS($G232)*$AG232*$AH232,6))))</f>
        <v/>
      </c>
      <c r="W232" s="50" t="str">
        <f>IF($AM232=0,"",IF($BG232="","OK",LEFT($BG232,LEN($BG232)-2)))</f>
        <v/>
      </c>
      <c r="X232" s="41" t="n"/>
      <c r="Y232" s="40" t="n"/>
      <c r="Z232" s="41" t="n"/>
      <c r="AA232" s="41" t="n"/>
      <c r="AB232" s="40" t="n"/>
      <c r="AC232" s="51" t="n"/>
      <c r="AD232" s="51" t="n"/>
      <c r="AE232" s="40" t="n"/>
      <c r="AF232" s="52" t="str">
        <f>IF($AM232=0,"",IF($D232&lt;&gt;"",$D232,IF(IFERROR(INDEX(Accounts!$C$7:$C$16,MATCH($C232,Accounts!$B$7:$B$16,0))&amp;"","")&lt;&gt;"",INDEX(Accounts!$C$7:$C$16,MATCH($C232,Accounts!$B$7:$B$16,0)),Settings!$C$6)))</f>
        <v/>
      </c>
      <c r="AG232" s="53" t="str">
        <f>IF($AM232=0,"",IF(AND($BE232&gt;0,N(INDEX(Instruments!$D$6:$D$205,MAX(1,$BE232)))&gt;0),INDEX(Instruments!$D$6:$D$205,MAX(1,$BE232)),IF(N(INDEX(Settings!$D$14:$D$18,$BF232))&gt;0,INDEX(Settings!$D$14:$D$18,$BF232),"")))</f>
        <v/>
      </c>
      <c r="AH232" s="54" t="str">
        <f>IF($AM232=0,"",IF($AF232&lt;&gt;"Forex",1,IF(MID(UPPER(SUBSTITUTE(TRIM($E232),"/","")),4,3)=UPPER(TRIM(Settings!$C$7)),1,IF(LEFT(UPPER(SUBSTITUTE(TRIM($E232),"/","")),3)=UPPER(TRIM(Settings!$C$7)),IF(AND(ISNUMBER($K232),N($K232)&lt;&gt;0),1/$K232,""),""))))</f>
        <v/>
      </c>
      <c r="AI232" s="55" t="str">
        <f>IF($AM232=0,"",IF(OR(NOT(ISNUMBER($H232)),NOT(ISNUMBER($K232)),NOT(ISNUMBER($G232)),$AG232="",$AH232=""),"",ROUND(($K232-$H232)*IF($F232="Short",-1,1)*$G232*$AG232*$AH232,6)))</f>
        <v/>
      </c>
      <c r="AJ232" s="55" t="str">
        <f>IF($AM232=0,"",IF(INDEX(Settings!$E$14:$E$18,$BF232)="% of notional",IF(OR($AG232="",NOT(ISNUMBER($H232)),NOT(ISNUMBER($G232))),"",ROUND(ABS($H232*$G232*$AG232*N($AH232))*IF($L232="Limit",N(INDEX(Settings!$G$14:$G$18,$BF232)),N(INDEX(Settings!$H$14:$H$18,$BF232)))+IF(ISNUMBER($K232),ABS($K232*$G232*$AG232*N($AH232))*IF($M232="Target",N(INDEX(Settings!$G$14:$G$18,$BF232)),N(INDEX(Settings!$H$14:$H$18,$BF232))),0),6)),IF(NOT(ISNUMBER($G232)),"",ROUND(ABS($G232)*2*IF(AND($BE232&gt;0,ISNUMBER(INDEX(Instruments!$G$6:$G$205,MAX(1,$BE232)))),INDEX(Instruments!$G$6:$G$205,MAX(1,$BE232)),N(INDEX(Settings!$F$14:$F$18,$BF232))),6))))</f>
        <v/>
      </c>
      <c r="AK232" s="55" t="str">
        <f>IF($AM232=0,"",IF(ISNUMBER($O232),$O232,$AI232))</f>
        <v/>
      </c>
      <c r="AL232" s="55" t="str">
        <f>IF($AM232=0,"",IF(ISNUMBER($P232),$P232,N($AJ232)))</f>
        <v/>
      </c>
      <c r="AM232" s="56">
        <f>IF(AND($A232&lt;&gt;"",$E232&lt;&gt;"",OR(AND(ISNUMBER($G232),ISNUMBER($H232),ISNUMBER($K232)),ISNUMBER($O232))),1,0)</f>
        <v>0</v>
      </c>
      <c r="AN232" s="57" t="str">
        <f>IF($A232="","",$A232-WEEKDAY($A232,3))</f>
        <v/>
      </c>
      <c r="AO232" s="56" t="str">
        <f>IF($A232="","",WEEKDAY($A232,2))</f>
        <v/>
      </c>
      <c r="AP232" s="55" t="str">
        <f>IF(OR($AM232=0,$C232=""),"",IFERROR(N(INDEX(Accounts!$E$7:$E$16,MATCH($C232,Accounts!$B$7:$B$16,0))),0)+SUMIFS($Q$6:$Q232,$C$6:$C232,$C232))</f>
        <v/>
      </c>
      <c r="AQ232" s="55" t="str">
        <f>IF(OR($AM232=0,$C232=""),"",SUMIFS($Q$6:$Q$1005,$C$6:$C$1005,$C232,$A$6:$A$1005,$A232))</f>
        <v/>
      </c>
      <c r="AR232" s="55" t="str">
        <f>IF(OR($AM232=0,$C232=""),"",IFERROR(N(INDEX(Accounts!$E$7:$E$16,MATCH($C232,Accounts!$B$7:$B$16,0))),0)+SUMIFS($Q$6:$Q$1005,$C$6:$C$1005,$C232,$A$6:$A$1005,"&lt;="&amp;$A232))</f>
        <v/>
      </c>
      <c r="AS232" s="56">
        <f>IF(OR($AM232=0,$Q232=""),0,IF(AND($A232&gt;=Lists!$W$6,$A232&lt;=Lists!$W$7,OR(Dashboard!$D$6="All accounts",$C232=Dashboard!$D$6),OR(Dashboard!$D$7="All markets",$AF232=Dashboard!$D$7)),1,0))</f>
        <v>0</v>
      </c>
      <c r="AT232" s="55">
        <f>IF($AS232=1,N(AT231)+$Q232,N(AT231))</f>
        <v>1187.10688</v>
      </c>
      <c r="AU232" s="55">
        <f>MAX(N(AU231),$AT232)</f>
        <v>1187.10688</v>
      </c>
      <c r="AV232" s="55">
        <f>$AT232-$AU232</f>
        <v>0</v>
      </c>
      <c r="AW232" s="56">
        <f>IF($AS232=1,IF($S232="Win",N(AW231)+1,IF($S232="Loss",0,N(AW231))),N(AW231))</f>
        <v>5</v>
      </c>
      <c r="AX232" s="56">
        <f>IF($AS232=1,IF($S232="Loss",N(AX231)+1,IF($S232="Win",0,N(AX231))),N(AX231))</f>
        <v>0</v>
      </c>
      <c r="AY232" s="56" t="str">
        <f>IF($AS232=1,COUNTIF($AS$6:$AS232,1),"")</f>
        <v/>
      </c>
      <c r="AZ232" s="56">
        <f>MIN(226,N(Lists!$W$8))</f>
        <v>28</v>
      </c>
      <c r="BA232" s="56">
        <f>IF($AS232=1,IF(COUNTIFS($A$6:$A232,$A232,$AS$6:$AS232,1)=1,1,0),0)</f>
        <v>0</v>
      </c>
      <c r="BB232" s="55" t="str">
        <f>IF($BA232=1,SUMIFS($Q$6:$Q$1005,$A$6:$A$1005,$A232,$AS$6:$AS$1005,1),"")</f>
        <v/>
      </c>
      <c r="BC232" s="56">
        <f>IF(ISNUMBER($R232),1,0)</f>
        <v>0</v>
      </c>
      <c r="BD232" s="55" t="str">
        <f>IF(ISNUMBER($U232),$U232*$V232,"")</f>
        <v/>
      </c>
      <c r="BE232" s="56" t="str">
        <f>IF($AM232=0,"",IFERROR(MATCH($AF232&amp;"|"&amp;UPPER(TRIM($E232)),Lists!$A$6:$A$205,0),0))</f>
        <v/>
      </c>
      <c r="BF232" s="56" t="str">
        <f>IF($AM232=0,"",IFERROR(MATCH($AF232,Settings!$B$14:$B$18,0),IFERROR(MATCH(Settings!$C$6,Settings!$B$14:$B$18,0),1)))</f>
        <v/>
      </c>
      <c r="BG232" s="58" t="str">
        <f>IF($AM232=0,"",IF(NOT(ISNUMBER($I232)),"No stop; ","")&amp;IF(AND(ISNUMBER($H232),ISNUMBER($I232)),IF(OR(AND($F232&lt;&gt;"Short",$I232&gt;=$H232),AND($F232="Short",$I232&lt;=$H232)),"Stop on wrong side; ",""),"")&amp;IF($F232="","No direction; ","")&amp;IF(AND(ISNUMBER(Settings!$C$22),ISNUMBER($V232)),IF($V232&gt;Settings!$C$22,"Risk over max $; ",""),"")&amp;IF(AND(ISNUMBER(Settings!$C$23),ISNUMBER($V232),ISNUMBER($AP232),IFERROR(N(INDEX(Accounts!$E$7:$E$16,MATCH($C232,Accounts!$B$7:$B$16,0))),0)&gt;0),IF($V232&gt;Settings!$C$23*($AP232-N($Q232)),"Risk over max %; ",""),"")&amp;IF(AND(ISNUMBER(Settings!$C$24),ISNUMBER($N232)),IF($N232&gt;Settings!$C$24,"Leverage over max; ",""),"")&amp;IF(AND(ISNUMBER(Settings!$C$27),ISNUMBER($T232)),IF($T232&lt;Settings!$C$27,"R:R below min; ",""),"")&amp;IF(ISNUMBER(Settings!$C$25),IF(COUNTIFS($A$6:$A232,$A232,$AM$6:$AM232,1)&gt;Settings!$C$25,"Over max trades/day; ",""),"")&amp;IF(ISNUMBER(Settings!$C$26),IF(SUMIFS($Q$5:$Q231,$A$5:$A231,$A232)&lt;=-Settings!$C$26,"Traded after daily max loss; ",""),"")&amp;IF(AND($AG232="",NOT(ISNUMBER($O232))),"Symbol not in Instruments; ","")&amp;IF(AND($AH232="",NOT(ISNUMBER($O232))),"Forex cross: type Gross P&amp;L; ",""))</f>
        <v/>
      </c>
      <c r="BH232" s="56">
        <f>IF(ISNUMBER($Q232),1,0)</f>
        <v>0</v>
      </c>
      <c r="BI232" s="56">
        <f>IF($Y232="",0,1)</f>
        <v>0</v>
      </c>
      <c r="BJ232" s="56">
        <f>IF($AB232="",0,1)</f>
        <v>0</v>
      </c>
      <c r="BK232" s="56">
        <f>IF(AND($BH232=1,$W232&lt;&gt;"OK"),1,0)</f>
        <v>0</v>
      </c>
      <c r="BL232" s="55">
        <f>IF(N($AZ232)=0,0,IFERROR(INDEX($AT$6:$AT$1005,MATCH($AZ232,$AY$6:$AY$1005,0)),0))</f>
        <v>1187.10688</v>
      </c>
      <c r="BM232" s="56">
        <f>IF(ISNUMBER(SEARCH("daily max loss",$BG232)),1,0)</f>
        <v>0</v>
      </c>
    </row>
    <row r="233" ht="18" customHeight="1">
      <c r="A233" s="38" t="n"/>
      <c r="B233" s="39" t="n"/>
      <c r="C233" s="40" t="n"/>
      <c r="D233" s="41" t="n"/>
      <c r="E233" s="41" t="n"/>
      <c r="F233" s="41" t="n"/>
      <c r="G233" s="41" t="n"/>
      <c r="H233" s="42" t="n"/>
      <c r="I233" s="42" t="n"/>
      <c r="J233" s="42" t="n"/>
      <c r="K233" s="42" t="n"/>
      <c r="L233" s="41" t="n"/>
      <c r="M233" s="41" t="n"/>
      <c r="N233" s="41" t="n"/>
      <c r="O233" s="43" t="n"/>
      <c r="P233" s="43" t="n"/>
      <c r="Q233" s="44" t="str">
        <f>IF($AM233=0,"",IF(ISNUMBER($AK233),$AK233-N($AL233),""))</f>
        <v/>
      </c>
      <c r="R233" s="45" t="str">
        <f>IF(OR($Q233="",NOT(ISNUMBER($V233))),"",$AK233/$V233)</f>
        <v/>
      </c>
      <c r="S233" s="46" t="str">
        <f>IF($Q233="","",IF(AND(ISNUMBER($R233),ABS(N($R233))&lt;N(Settings!$C$8)),"Scratch",IF($Q233&gt;0,"Win",IF($Q233&lt;0,"Loss","Scratch"))))</f>
        <v/>
      </c>
      <c r="T233" s="47" t="str">
        <f>IF(OR($AM233=0,NOT(ISNUMBER($H233)),NOT(ISNUMBER($I233)),NOT(ISNUMBER($J233))),"",IF($H233=$I233,"",ROUND(ABS($J233-$H233)/ABS($H233-$I233),6)))</f>
        <v/>
      </c>
      <c r="U233" s="48" t="str">
        <f>IF(OR($S233&lt;&gt;"Win",NOT(ISNUMBER($T233)),NOT(ISNUMBER($R233))),"",MAX(0,$T233-$R233))</f>
        <v/>
      </c>
      <c r="V233" s="49" t="str">
        <f>IF(OR($AM233=0,NOT(ISNUMBER($H233)),NOT(ISNUMBER($I233)),NOT(ISNUMBER($G233))),"",IF(OR($AG233="",$AH233=""),"",IF(ROUND(ABS($H233-$I233)*ABS($G233)*$AG233*$AH233,6)=0,"",ROUND(ABS($H233-$I233)*ABS($G233)*$AG233*$AH233,6))))</f>
        <v/>
      </c>
      <c r="W233" s="50" t="str">
        <f>IF($AM233=0,"",IF($BG233="","OK",LEFT($BG233,LEN($BG233)-2)))</f>
        <v/>
      </c>
      <c r="X233" s="41" t="n"/>
      <c r="Y233" s="40" t="n"/>
      <c r="Z233" s="41" t="n"/>
      <c r="AA233" s="41" t="n"/>
      <c r="AB233" s="40" t="n"/>
      <c r="AC233" s="51" t="n"/>
      <c r="AD233" s="51" t="n"/>
      <c r="AE233" s="40" t="n"/>
      <c r="AF233" s="52" t="str">
        <f>IF($AM233=0,"",IF($D233&lt;&gt;"",$D233,IF(IFERROR(INDEX(Accounts!$C$7:$C$16,MATCH($C233,Accounts!$B$7:$B$16,0))&amp;"","")&lt;&gt;"",INDEX(Accounts!$C$7:$C$16,MATCH($C233,Accounts!$B$7:$B$16,0)),Settings!$C$6)))</f>
        <v/>
      </c>
      <c r="AG233" s="53" t="str">
        <f>IF($AM233=0,"",IF(AND($BE233&gt;0,N(INDEX(Instruments!$D$6:$D$205,MAX(1,$BE233)))&gt;0),INDEX(Instruments!$D$6:$D$205,MAX(1,$BE233)),IF(N(INDEX(Settings!$D$14:$D$18,$BF233))&gt;0,INDEX(Settings!$D$14:$D$18,$BF233),"")))</f>
        <v/>
      </c>
      <c r="AH233" s="54" t="str">
        <f>IF($AM233=0,"",IF($AF233&lt;&gt;"Forex",1,IF(MID(UPPER(SUBSTITUTE(TRIM($E233),"/","")),4,3)=UPPER(TRIM(Settings!$C$7)),1,IF(LEFT(UPPER(SUBSTITUTE(TRIM($E233),"/","")),3)=UPPER(TRIM(Settings!$C$7)),IF(AND(ISNUMBER($K233),N($K233)&lt;&gt;0),1/$K233,""),""))))</f>
        <v/>
      </c>
      <c r="AI233" s="55" t="str">
        <f>IF($AM233=0,"",IF(OR(NOT(ISNUMBER($H233)),NOT(ISNUMBER($K233)),NOT(ISNUMBER($G233)),$AG233="",$AH233=""),"",ROUND(($K233-$H233)*IF($F233="Short",-1,1)*$G233*$AG233*$AH233,6)))</f>
        <v/>
      </c>
      <c r="AJ233" s="55" t="str">
        <f>IF($AM233=0,"",IF(INDEX(Settings!$E$14:$E$18,$BF233)="% of notional",IF(OR($AG233="",NOT(ISNUMBER($H233)),NOT(ISNUMBER($G233))),"",ROUND(ABS($H233*$G233*$AG233*N($AH233))*IF($L233="Limit",N(INDEX(Settings!$G$14:$G$18,$BF233)),N(INDEX(Settings!$H$14:$H$18,$BF233)))+IF(ISNUMBER($K233),ABS($K233*$G233*$AG233*N($AH233))*IF($M233="Target",N(INDEX(Settings!$G$14:$G$18,$BF233)),N(INDEX(Settings!$H$14:$H$18,$BF233))),0),6)),IF(NOT(ISNUMBER($G233)),"",ROUND(ABS($G233)*2*IF(AND($BE233&gt;0,ISNUMBER(INDEX(Instruments!$G$6:$G$205,MAX(1,$BE233)))),INDEX(Instruments!$G$6:$G$205,MAX(1,$BE233)),N(INDEX(Settings!$F$14:$F$18,$BF233))),6))))</f>
        <v/>
      </c>
      <c r="AK233" s="55" t="str">
        <f>IF($AM233=0,"",IF(ISNUMBER($O233),$O233,$AI233))</f>
        <v/>
      </c>
      <c r="AL233" s="55" t="str">
        <f>IF($AM233=0,"",IF(ISNUMBER($P233),$P233,N($AJ233)))</f>
        <v/>
      </c>
      <c r="AM233" s="56">
        <f>IF(AND($A233&lt;&gt;"",$E233&lt;&gt;"",OR(AND(ISNUMBER($G233),ISNUMBER($H233),ISNUMBER($K233)),ISNUMBER($O233))),1,0)</f>
        <v>0</v>
      </c>
      <c r="AN233" s="57" t="str">
        <f>IF($A233="","",$A233-WEEKDAY($A233,3))</f>
        <v/>
      </c>
      <c r="AO233" s="56" t="str">
        <f>IF($A233="","",WEEKDAY($A233,2))</f>
        <v/>
      </c>
      <c r="AP233" s="55" t="str">
        <f>IF(OR($AM233=0,$C233=""),"",IFERROR(N(INDEX(Accounts!$E$7:$E$16,MATCH($C233,Accounts!$B$7:$B$16,0))),0)+SUMIFS($Q$6:$Q233,$C$6:$C233,$C233))</f>
        <v/>
      </c>
      <c r="AQ233" s="55" t="str">
        <f>IF(OR($AM233=0,$C233=""),"",SUMIFS($Q$6:$Q$1005,$C$6:$C$1005,$C233,$A$6:$A$1005,$A233))</f>
        <v/>
      </c>
      <c r="AR233" s="55" t="str">
        <f>IF(OR($AM233=0,$C233=""),"",IFERROR(N(INDEX(Accounts!$E$7:$E$16,MATCH($C233,Accounts!$B$7:$B$16,0))),0)+SUMIFS($Q$6:$Q$1005,$C$6:$C$1005,$C233,$A$6:$A$1005,"&lt;="&amp;$A233))</f>
        <v/>
      </c>
      <c r="AS233" s="56">
        <f>IF(OR($AM233=0,$Q233=""),0,IF(AND($A233&gt;=Lists!$W$6,$A233&lt;=Lists!$W$7,OR(Dashboard!$D$6="All accounts",$C233=Dashboard!$D$6),OR(Dashboard!$D$7="All markets",$AF233=Dashboard!$D$7)),1,0))</f>
        <v>0</v>
      </c>
      <c r="AT233" s="55">
        <f>IF($AS233=1,N(AT232)+$Q233,N(AT232))</f>
        <v>1187.10688</v>
      </c>
      <c r="AU233" s="55">
        <f>MAX(N(AU232),$AT233)</f>
        <v>1187.10688</v>
      </c>
      <c r="AV233" s="55">
        <f>$AT233-$AU233</f>
        <v>0</v>
      </c>
      <c r="AW233" s="56">
        <f>IF($AS233=1,IF($S233="Win",N(AW232)+1,IF($S233="Loss",0,N(AW232))),N(AW232))</f>
        <v>5</v>
      </c>
      <c r="AX233" s="56">
        <f>IF($AS233=1,IF($S233="Loss",N(AX232)+1,IF($S233="Win",0,N(AX232))),N(AX232))</f>
        <v>0</v>
      </c>
      <c r="AY233" s="56" t="str">
        <f>IF($AS233=1,COUNTIF($AS$6:$AS233,1),"")</f>
        <v/>
      </c>
      <c r="AZ233" s="56">
        <f>MIN(227,N(Lists!$W$8))</f>
        <v>28</v>
      </c>
      <c r="BA233" s="56">
        <f>IF($AS233=1,IF(COUNTIFS($A$6:$A233,$A233,$AS$6:$AS233,1)=1,1,0),0)</f>
        <v>0</v>
      </c>
      <c r="BB233" s="55" t="str">
        <f>IF($BA233=1,SUMIFS($Q$6:$Q$1005,$A$6:$A$1005,$A233,$AS$6:$AS$1005,1),"")</f>
        <v/>
      </c>
      <c r="BC233" s="56">
        <f>IF(ISNUMBER($R233),1,0)</f>
        <v>0</v>
      </c>
      <c r="BD233" s="55" t="str">
        <f>IF(ISNUMBER($U233),$U233*$V233,"")</f>
        <v/>
      </c>
      <c r="BE233" s="56" t="str">
        <f>IF($AM233=0,"",IFERROR(MATCH($AF233&amp;"|"&amp;UPPER(TRIM($E233)),Lists!$A$6:$A$205,0),0))</f>
        <v/>
      </c>
      <c r="BF233" s="56" t="str">
        <f>IF($AM233=0,"",IFERROR(MATCH($AF233,Settings!$B$14:$B$18,0),IFERROR(MATCH(Settings!$C$6,Settings!$B$14:$B$18,0),1)))</f>
        <v/>
      </c>
      <c r="BG233" s="58" t="str">
        <f>IF($AM233=0,"",IF(NOT(ISNUMBER($I233)),"No stop; ","")&amp;IF(AND(ISNUMBER($H233),ISNUMBER($I233)),IF(OR(AND($F233&lt;&gt;"Short",$I233&gt;=$H233),AND($F233="Short",$I233&lt;=$H233)),"Stop on wrong side; ",""),"")&amp;IF($F233="","No direction; ","")&amp;IF(AND(ISNUMBER(Settings!$C$22),ISNUMBER($V233)),IF($V233&gt;Settings!$C$22,"Risk over max $; ",""),"")&amp;IF(AND(ISNUMBER(Settings!$C$23),ISNUMBER($V233),ISNUMBER($AP233),IFERROR(N(INDEX(Accounts!$E$7:$E$16,MATCH($C233,Accounts!$B$7:$B$16,0))),0)&gt;0),IF($V233&gt;Settings!$C$23*($AP233-N($Q233)),"Risk over max %; ",""),"")&amp;IF(AND(ISNUMBER(Settings!$C$24),ISNUMBER($N233)),IF($N233&gt;Settings!$C$24,"Leverage over max; ",""),"")&amp;IF(AND(ISNUMBER(Settings!$C$27),ISNUMBER($T233)),IF($T233&lt;Settings!$C$27,"R:R below min; ",""),"")&amp;IF(ISNUMBER(Settings!$C$25),IF(COUNTIFS($A$6:$A233,$A233,$AM$6:$AM233,1)&gt;Settings!$C$25,"Over max trades/day; ",""),"")&amp;IF(ISNUMBER(Settings!$C$26),IF(SUMIFS($Q$5:$Q232,$A$5:$A232,$A233)&lt;=-Settings!$C$26,"Traded after daily max loss; ",""),"")&amp;IF(AND($AG233="",NOT(ISNUMBER($O233))),"Symbol not in Instruments; ","")&amp;IF(AND($AH233="",NOT(ISNUMBER($O233))),"Forex cross: type Gross P&amp;L; ",""))</f>
        <v/>
      </c>
      <c r="BH233" s="56">
        <f>IF(ISNUMBER($Q233),1,0)</f>
        <v>0</v>
      </c>
      <c r="BI233" s="56">
        <f>IF($Y233="",0,1)</f>
        <v>0</v>
      </c>
      <c r="BJ233" s="56">
        <f>IF($AB233="",0,1)</f>
        <v>0</v>
      </c>
      <c r="BK233" s="56">
        <f>IF(AND($BH233=1,$W233&lt;&gt;"OK"),1,0)</f>
        <v>0</v>
      </c>
      <c r="BL233" s="55">
        <f>IF(N($AZ233)=0,0,IFERROR(INDEX($AT$6:$AT$1005,MATCH($AZ233,$AY$6:$AY$1005,0)),0))</f>
        <v>1187.10688</v>
      </c>
      <c r="BM233" s="56">
        <f>IF(ISNUMBER(SEARCH("daily max loss",$BG233)),1,0)</f>
        <v>0</v>
      </c>
    </row>
    <row r="234" ht="18" customHeight="1">
      <c r="A234" s="38" t="n"/>
      <c r="B234" s="39" t="n"/>
      <c r="C234" s="40" t="n"/>
      <c r="D234" s="41" t="n"/>
      <c r="E234" s="41" t="n"/>
      <c r="F234" s="41" t="n"/>
      <c r="G234" s="41" t="n"/>
      <c r="H234" s="42" t="n"/>
      <c r="I234" s="42" t="n"/>
      <c r="J234" s="42" t="n"/>
      <c r="K234" s="42" t="n"/>
      <c r="L234" s="41" t="n"/>
      <c r="M234" s="41" t="n"/>
      <c r="N234" s="41" t="n"/>
      <c r="O234" s="43" t="n"/>
      <c r="P234" s="43" t="n"/>
      <c r="Q234" s="44" t="str">
        <f>IF($AM234=0,"",IF(ISNUMBER($AK234),$AK234-N($AL234),""))</f>
        <v/>
      </c>
      <c r="R234" s="45" t="str">
        <f>IF(OR($Q234="",NOT(ISNUMBER($V234))),"",$AK234/$V234)</f>
        <v/>
      </c>
      <c r="S234" s="46" t="str">
        <f>IF($Q234="","",IF(AND(ISNUMBER($R234),ABS(N($R234))&lt;N(Settings!$C$8)),"Scratch",IF($Q234&gt;0,"Win",IF($Q234&lt;0,"Loss","Scratch"))))</f>
        <v/>
      </c>
      <c r="T234" s="47" t="str">
        <f>IF(OR($AM234=0,NOT(ISNUMBER($H234)),NOT(ISNUMBER($I234)),NOT(ISNUMBER($J234))),"",IF($H234=$I234,"",ROUND(ABS($J234-$H234)/ABS($H234-$I234),6)))</f>
        <v/>
      </c>
      <c r="U234" s="48" t="str">
        <f>IF(OR($S234&lt;&gt;"Win",NOT(ISNUMBER($T234)),NOT(ISNUMBER($R234))),"",MAX(0,$T234-$R234))</f>
        <v/>
      </c>
      <c r="V234" s="49" t="str">
        <f>IF(OR($AM234=0,NOT(ISNUMBER($H234)),NOT(ISNUMBER($I234)),NOT(ISNUMBER($G234))),"",IF(OR($AG234="",$AH234=""),"",IF(ROUND(ABS($H234-$I234)*ABS($G234)*$AG234*$AH234,6)=0,"",ROUND(ABS($H234-$I234)*ABS($G234)*$AG234*$AH234,6))))</f>
        <v/>
      </c>
      <c r="W234" s="50" t="str">
        <f>IF($AM234=0,"",IF($BG234="","OK",LEFT($BG234,LEN($BG234)-2)))</f>
        <v/>
      </c>
      <c r="X234" s="41" t="n"/>
      <c r="Y234" s="40" t="n"/>
      <c r="Z234" s="41" t="n"/>
      <c r="AA234" s="41" t="n"/>
      <c r="AB234" s="40" t="n"/>
      <c r="AC234" s="51" t="n"/>
      <c r="AD234" s="51" t="n"/>
      <c r="AE234" s="40" t="n"/>
      <c r="AF234" s="52" t="str">
        <f>IF($AM234=0,"",IF($D234&lt;&gt;"",$D234,IF(IFERROR(INDEX(Accounts!$C$7:$C$16,MATCH($C234,Accounts!$B$7:$B$16,0))&amp;"","")&lt;&gt;"",INDEX(Accounts!$C$7:$C$16,MATCH($C234,Accounts!$B$7:$B$16,0)),Settings!$C$6)))</f>
        <v/>
      </c>
      <c r="AG234" s="53" t="str">
        <f>IF($AM234=0,"",IF(AND($BE234&gt;0,N(INDEX(Instruments!$D$6:$D$205,MAX(1,$BE234)))&gt;0),INDEX(Instruments!$D$6:$D$205,MAX(1,$BE234)),IF(N(INDEX(Settings!$D$14:$D$18,$BF234))&gt;0,INDEX(Settings!$D$14:$D$18,$BF234),"")))</f>
        <v/>
      </c>
      <c r="AH234" s="54" t="str">
        <f>IF($AM234=0,"",IF($AF234&lt;&gt;"Forex",1,IF(MID(UPPER(SUBSTITUTE(TRIM($E234),"/","")),4,3)=UPPER(TRIM(Settings!$C$7)),1,IF(LEFT(UPPER(SUBSTITUTE(TRIM($E234),"/","")),3)=UPPER(TRIM(Settings!$C$7)),IF(AND(ISNUMBER($K234),N($K234)&lt;&gt;0),1/$K234,""),""))))</f>
        <v/>
      </c>
      <c r="AI234" s="55" t="str">
        <f>IF($AM234=0,"",IF(OR(NOT(ISNUMBER($H234)),NOT(ISNUMBER($K234)),NOT(ISNUMBER($G234)),$AG234="",$AH234=""),"",ROUND(($K234-$H234)*IF($F234="Short",-1,1)*$G234*$AG234*$AH234,6)))</f>
        <v/>
      </c>
      <c r="AJ234" s="55" t="str">
        <f>IF($AM234=0,"",IF(INDEX(Settings!$E$14:$E$18,$BF234)="% of notional",IF(OR($AG234="",NOT(ISNUMBER($H234)),NOT(ISNUMBER($G234))),"",ROUND(ABS($H234*$G234*$AG234*N($AH234))*IF($L234="Limit",N(INDEX(Settings!$G$14:$G$18,$BF234)),N(INDEX(Settings!$H$14:$H$18,$BF234)))+IF(ISNUMBER($K234),ABS($K234*$G234*$AG234*N($AH234))*IF($M234="Target",N(INDEX(Settings!$G$14:$G$18,$BF234)),N(INDEX(Settings!$H$14:$H$18,$BF234))),0),6)),IF(NOT(ISNUMBER($G234)),"",ROUND(ABS($G234)*2*IF(AND($BE234&gt;0,ISNUMBER(INDEX(Instruments!$G$6:$G$205,MAX(1,$BE234)))),INDEX(Instruments!$G$6:$G$205,MAX(1,$BE234)),N(INDEX(Settings!$F$14:$F$18,$BF234))),6))))</f>
        <v/>
      </c>
      <c r="AK234" s="55" t="str">
        <f>IF($AM234=0,"",IF(ISNUMBER($O234),$O234,$AI234))</f>
        <v/>
      </c>
      <c r="AL234" s="55" t="str">
        <f>IF($AM234=0,"",IF(ISNUMBER($P234),$P234,N($AJ234)))</f>
        <v/>
      </c>
      <c r="AM234" s="56">
        <f>IF(AND($A234&lt;&gt;"",$E234&lt;&gt;"",OR(AND(ISNUMBER($G234),ISNUMBER($H234),ISNUMBER($K234)),ISNUMBER($O234))),1,0)</f>
        <v>0</v>
      </c>
      <c r="AN234" s="57" t="str">
        <f>IF($A234="","",$A234-WEEKDAY($A234,3))</f>
        <v/>
      </c>
      <c r="AO234" s="56" t="str">
        <f>IF($A234="","",WEEKDAY($A234,2))</f>
        <v/>
      </c>
      <c r="AP234" s="55" t="str">
        <f>IF(OR($AM234=0,$C234=""),"",IFERROR(N(INDEX(Accounts!$E$7:$E$16,MATCH($C234,Accounts!$B$7:$B$16,0))),0)+SUMIFS($Q$6:$Q234,$C$6:$C234,$C234))</f>
        <v/>
      </c>
      <c r="AQ234" s="55" t="str">
        <f>IF(OR($AM234=0,$C234=""),"",SUMIFS($Q$6:$Q$1005,$C$6:$C$1005,$C234,$A$6:$A$1005,$A234))</f>
        <v/>
      </c>
      <c r="AR234" s="55" t="str">
        <f>IF(OR($AM234=0,$C234=""),"",IFERROR(N(INDEX(Accounts!$E$7:$E$16,MATCH($C234,Accounts!$B$7:$B$16,0))),0)+SUMIFS($Q$6:$Q$1005,$C$6:$C$1005,$C234,$A$6:$A$1005,"&lt;="&amp;$A234))</f>
        <v/>
      </c>
      <c r="AS234" s="56">
        <f>IF(OR($AM234=0,$Q234=""),0,IF(AND($A234&gt;=Lists!$W$6,$A234&lt;=Lists!$W$7,OR(Dashboard!$D$6="All accounts",$C234=Dashboard!$D$6),OR(Dashboard!$D$7="All markets",$AF234=Dashboard!$D$7)),1,0))</f>
        <v>0</v>
      </c>
      <c r="AT234" s="55">
        <f>IF($AS234=1,N(AT233)+$Q234,N(AT233))</f>
        <v>1187.10688</v>
      </c>
      <c r="AU234" s="55">
        <f>MAX(N(AU233),$AT234)</f>
        <v>1187.10688</v>
      </c>
      <c r="AV234" s="55">
        <f>$AT234-$AU234</f>
        <v>0</v>
      </c>
      <c r="AW234" s="56">
        <f>IF($AS234=1,IF($S234="Win",N(AW233)+1,IF($S234="Loss",0,N(AW233))),N(AW233))</f>
        <v>5</v>
      </c>
      <c r="AX234" s="56">
        <f>IF($AS234=1,IF($S234="Loss",N(AX233)+1,IF($S234="Win",0,N(AX233))),N(AX233))</f>
        <v>0</v>
      </c>
      <c r="AY234" s="56" t="str">
        <f>IF($AS234=1,COUNTIF($AS$6:$AS234,1),"")</f>
        <v/>
      </c>
      <c r="AZ234" s="56">
        <f>MIN(228,N(Lists!$W$8))</f>
        <v>28</v>
      </c>
      <c r="BA234" s="56">
        <f>IF($AS234=1,IF(COUNTIFS($A$6:$A234,$A234,$AS$6:$AS234,1)=1,1,0),0)</f>
        <v>0</v>
      </c>
      <c r="BB234" s="55" t="str">
        <f>IF($BA234=1,SUMIFS($Q$6:$Q$1005,$A$6:$A$1005,$A234,$AS$6:$AS$1005,1),"")</f>
        <v/>
      </c>
      <c r="BC234" s="56">
        <f>IF(ISNUMBER($R234),1,0)</f>
        <v>0</v>
      </c>
      <c r="BD234" s="55" t="str">
        <f>IF(ISNUMBER($U234),$U234*$V234,"")</f>
        <v/>
      </c>
      <c r="BE234" s="56" t="str">
        <f>IF($AM234=0,"",IFERROR(MATCH($AF234&amp;"|"&amp;UPPER(TRIM($E234)),Lists!$A$6:$A$205,0),0))</f>
        <v/>
      </c>
      <c r="BF234" s="56" t="str">
        <f>IF($AM234=0,"",IFERROR(MATCH($AF234,Settings!$B$14:$B$18,0),IFERROR(MATCH(Settings!$C$6,Settings!$B$14:$B$18,0),1)))</f>
        <v/>
      </c>
      <c r="BG234" s="58" t="str">
        <f>IF($AM234=0,"",IF(NOT(ISNUMBER($I234)),"No stop; ","")&amp;IF(AND(ISNUMBER($H234),ISNUMBER($I234)),IF(OR(AND($F234&lt;&gt;"Short",$I234&gt;=$H234),AND($F234="Short",$I234&lt;=$H234)),"Stop on wrong side; ",""),"")&amp;IF($F234="","No direction; ","")&amp;IF(AND(ISNUMBER(Settings!$C$22),ISNUMBER($V234)),IF($V234&gt;Settings!$C$22,"Risk over max $; ",""),"")&amp;IF(AND(ISNUMBER(Settings!$C$23),ISNUMBER($V234),ISNUMBER($AP234),IFERROR(N(INDEX(Accounts!$E$7:$E$16,MATCH($C234,Accounts!$B$7:$B$16,0))),0)&gt;0),IF($V234&gt;Settings!$C$23*($AP234-N($Q234)),"Risk over max %; ",""),"")&amp;IF(AND(ISNUMBER(Settings!$C$24),ISNUMBER($N234)),IF($N234&gt;Settings!$C$24,"Leverage over max; ",""),"")&amp;IF(AND(ISNUMBER(Settings!$C$27),ISNUMBER($T234)),IF($T234&lt;Settings!$C$27,"R:R below min; ",""),"")&amp;IF(ISNUMBER(Settings!$C$25),IF(COUNTIFS($A$6:$A234,$A234,$AM$6:$AM234,1)&gt;Settings!$C$25,"Over max trades/day; ",""),"")&amp;IF(ISNUMBER(Settings!$C$26),IF(SUMIFS($Q$5:$Q233,$A$5:$A233,$A234)&lt;=-Settings!$C$26,"Traded after daily max loss; ",""),"")&amp;IF(AND($AG234="",NOT(ISNUMBER($O234))),"Symbol not in Instruments; ","")&amp;IF(AND($AH234="",NOT(ISNUMBER($O234))),"Forex cross: type Gross P&amp;L; ",""))</f>
        <v/>
      </c>
      <c r="BH234" s="56">
        <f>IF(ISNUMBER($Q234),1,0)</f>
        <v>0</v>
      </c>
      <c r="BI234" s="56">
        <f>IF($Y234="",0,1)</f>
        <v>0</v>
      </c>
      <c r="BJ234" s="56">
        <f>IF($AB234="",0,1)</f>
        <v>0</v>
      </c>
      <c r="BK234" s="56">
        <f>IF(AND($BH234=1,$W234&lt;&gt;"OK"),1,0)</f>
        <v>0</v>
      </c>
      <c r="BL234" s="55">
        <f>IF(N($AZ234)=0,0,IFERROR(INDEX($AT$6:$AT$1005,MATCH($AZ234,$AY$6:$AY$1005,0)),0))</f>
        <v>1187.10688</v>
      </c>
      <c r="BM234" s="56">
        <f>IF(ISNUMBER(SEARCH("daily max loss",$BG234)),1,0)</f>
        <v>0</v>
      </c>
    </row>
    <row r="235" ht="18" customHeight="1">
      <c r="A235" s="38" t="n"/>
      <c r="B235" s="39" t="n"/>
      <c r="C235" s="40" t="n"/>
      <c r="D235" s="41" t="n"/>
      <c r="E235" s="41" t="n"/>
      <c r="F235" s="41" t="n"/>
      <c r="G235" s="41" t="n"/>
      <c r="H235" s="42" t="n"/>
      <c r="I235" s="42" t="n"/>
      <c r="J235" s="42" t="n"/>
      <c r="K235" s="42" t="n"/>
      <c r="L235" s="41" t="n"/>
      <c r="M235" s="41" t="n"/>
      <c r="N235" s="41" t="n"/>
      <c r="O235" s="43" t="n"/>
      <c r="P235" s="43" t="n"/>
      <c r="Q235" s="44" t="str">
        <f>IF($AM235=0,"",IF(ISNUMBER($AK235),$AK235-N($AL235),""))</f>
        <v/>
      </c>
      <c r="R235" s="45" t="str">
        <f>IF(OR($Q235="",NOT(ISNUMBER($V235))),"",$AK235/$V235)</f>
        <v/>
      </c>
      <c r="S235" s="46" t="str">
        <f>IF($Q235="","",IF(AND(ISNUMBER($R235),ABS(N($R235))&lt;N(Settings!$C$8)),"Scratch",IF($Q235&gt;0,"Win",IF($Q235&lt;0,"Loss","Scratch"))))</f>
        <v/>
      </c>
      <c r="T235" s="47" t="str">
        <f>IF(OR($AM235=0,NOT(ISNUMBER($H235)),NOT(ISNUMBER($I235)),NOT(ISNUMBER($J235))),"",IF($H235=$I235,"",ROUND(ABS($J235-$H235)/ABS($H235-$I235),6)))</f>
        <v/>
      </c>
      <c r="U235" s="48" t="str">
        <f>IF(OR($S235&lt;&gt;"Win",NOT(ISNUMBER($T235)),NOT(ISNUMBER($R235))),"",MAX(0,$T235-$R235))</f>
        <v/>
      </c>
      <c r="V235" s="49" t="str">
        <f>IF(OR($AM235=0,NOT(ISNUMBER($H235)),NOT(ISNUMBER($I235)),NOT(ISNUMBER($G235))),"",IF(OR($AG235="",$AH235=""),"",IF(ROUND(ABS($H235-$I235)*ABS($G235)*$AG235*$AH235,6)=0,"",ROUND(ABS($H235-$I235)*ABS($G235)*$AG235*$AH235,6))))</f>
        <v/>
      </c>
      <c r="W235" s="50" t="str">
        <f>IF($AM235=0,"",IF($BG235="","OK",LEFT($BG235,LEN($BG235)-2)))</f>
        <v/>
      </c>
      <c r="X235" s="41" t="n"/>
      <c r="Y235" s="40" t="n"/>
      <c r="Z235" s="41" t="n"/>
      <c r="AA235" s="41" t="n"/>
      <c r="AB235" s="40" t="n"/>
      <c r="AC235" s="51" t="n"/>
      <c r="AD235" s="51" t="n"/>
      <c r="AE235" s="40" t="n"/>
      <c r="AF235" s="52" t="str">
        <f>IF($AM235=0,"",IF($D235&lt;&gt;"",$D235,IF(IFERROR(INDEX(Accounts!$C$7:$C$16,MATCH($C235,Accounts!$B$7:$B$16,0))&amp;"","")&lt;&gt;"",INDEX(Accounts!$C$7:$C$16,MATCH($C235,Accounts!$B$7:$B$16,0)),Settings!$C$6)))</f>
        <v/>
      </c>
      <c r="AG235" s="53" t="str">
        <f>IF($AM235=0,"",IF(AND($BE235&gt;0,N(INDEX(Instruments!$D$6:$D$205,MAX(1,$BE235)))&gt;0),INDEX(Instruments!$D$6:$D$205,MAX(1,$BE235)),IF(N(INDEX(Settings!$D$14:$D$18,$BF235))&gt;0,INDEX(Settings!$D$14:$D$18,$BF235),"")))</f>
        <v/>
      </c>
      <c r="AH235" s="54" t="str">
        <f>IF($AM235=0,"",IF($AF235&lt;&gt;"Forex",1,IF(MID(UPPER(SUBSTITUTE(TRIM($E235),"/","")),4,3)=UPPER(TRIM(Settings!$C$7)),1,IF(LEFT(UPPER(SUBSTITUTE(TRIM($E235),"/","")),3)=UPPER(TRIM(Settings!$C$7)),IF(AND(ISNUMBER($K235),N($K235)&lt;&gt;0),1/$K235,""),""))))</f>
        <v/>
      </c>
      <c r="AI235" s="55" t="str">
        <f>IF($AM235=0,"",IF(OR(NOT(ISNUMBER($H235)),NOT(ISNUMBER($K235)),NOT(ISNUMBER($G235)),$AG235="",$AH235=""),"",ROUND(($K235-$H235)*IF($F235="Short",-1,1)*$G235*$AG235*$AH235,6)))</f>
        <v/>
      </c>
      <c r="AJ235" s="55" t="str">
        <f>IF($AM235=0,"",IF(INDEX(Settings!$E$14:$E$18,$BF235)="% of notional",IF(OR($AG235="",NOT(ISNUMBER($H235)),NOT(ISNUMBER($G235))),"",ROUND(ABS($H235*$G235*$AG235*N($AH235))*IF($L235="Limit",N(INDEX(Settings!$G$14:$G$18,$BF235)),N(INDEX(Settings!$H$14:$H$18,$BF235)))+IF(ISNUMBER($K235),ABS($K235*$G235*$AG235*N($AH235))*IF($M235="Target",N(INDEX(Settings!$G$14:$G$18,$BF235)),N(INDEX(Settings!$H$14:$H$18,$BF235))),0),6)),IF(NOT(ISNUMBER($G235)),"",ROUND(ABS($G235)*2*IF(AND($BE235&gt;0,ISNUMBER(INDEX(Instruments!$G$6:$G$205,MAX(1,$BE235)))),INDEX(Instruments!$G$6:$G$205,MAX(1,$BE235)),N(INDEX(Settings!$F$14:$F$18,$BF235))),6))))</f>
        <v/>
      </c>
      <c r="AK235" s="55" t="str">
        <f>IF($AM235=0,"",IF(ISNUMBER($O235),$O235,$AI235))</f>
        <v/>
      </c>
      <c r="AL235" s="55" t="str">
        <f>IF($AM235=0,"",IF(ISNUMBER($P235),$P235,N($AJ235)))</f>
        <v/>
      </c>
      <c r="AM235" s="56">
        <f>IF(AND($A235&lt;&gt;"",$E235&lt;&gt;"",OR(AND(ISNUMBER($G235),ISNUMBER($H235),ISNUMBER($K235)),ISNUMBER($O235))),1,0)</f>
        <v>0</v>
      </c>
      <c r="AN235" s="57" t="str">
        <f>IF($A235="","",$A235-WEEKDAY($A235,3))</f>
        <v/>
      </c>
      <c r="AO235" s="56" t="str">
        <f>IF($A235="","",WEEKDAY($A235,2))</f>
        <v/>
      </c>
      <c r="AP235" s="55" t="str">
        <f>IF(OR($AM235=0,$C235=""),"",IFERROR(N(INDEX(Accounts!$E$7:$E$16,MATCH($C235,Accounts!$B$7:$B$16,0))),0)+SUMIFS($Q$6:$Q235,$C$6:$C235,$C235))</f>
        <v/>
      </c>
      <c r="AQ235" s="55" t="str">
        <f>IF(OR($AM235=0,$C235=""),"",SUMIFS($Q$6:$Q$1005,$C$6:$C$1005,$C235,$A$6:$A$1005,$A235))</f>
        <v/>
      </c>
      <c r="AR235" s="55" t="str">
        <f>IF(OR($AM235=0,$C235=""),"",IFERROR(N(INDEX(Accounts!$E$7:$E$16,MATCH($C235,Accounts!$B$7:$B$16,0))),0)+SUMIFS($Q$6:$Q$1005,$C$6:$C$1005,$C235,$A$6:$A$1005,"&lt;="&amp;$A235))</f>
        <v/>
      </c>
      <c r="AS235" s="56">
        <f>IF(OR($AM235=0,$Q235=""),0,IF(AND($A235&gt;=Lists!$W$6,$A235&lt;=Lists!$W$7,OR(Dashboard!$D$6="All accounts",$C235=Dashboard!$D$6),OR(Dashboard!$D$7="All markets",$AF235=Dashboard!$D$7)),1,0))</f>
        <v>0</v>
      </c>
      <c r="AT235" s="55">
        <f>IF($AS235=1,N(AT234)+$Q235,N(AT234))</f>
        <v>1187.10688</v>
      </c>
      <c r="AU235" s="55">
        <f>MAX(N(AU234),$AT235)</f>
        <v>1187.10688</v>
      </c>
      <c r="AV235" s="55">
        <f>$AT235-$AU235</f>
        <v>0</v>
      </c>
      <c r="AW235" s="56">
        <f>IF($AS235=1,IF($S235="Win",N(AW234)+1,IF($S235="Loss",0,N(AW234))),N(AW234))</f>
        <v>5</v>
      </c>
      <c r="AX235" s="56">
        <f>IF($AS235=1,IF($S235="Loss",N(AX234)+1,IF($S235="Win",0,N(AX234))),N(AX234))</f>
        <v>0</v>
      </c>
      <c r="AY235" s="56" t="str">
        <f>IF($AS235=1,COUNTIF($AS$6:$AS235,1),"")</f>
        <v/>
      </c>
      <c r="AZ235" s="56">
        <f>MIN(229,N(Lists!$W$8))</f>
        <v>28</v>
      </c>
      <c r="BA235" s="56">
        <f>IF($AS235=1,IF(COUNTIFS($A$6:$A235,$A235,$AS$6:$AS235,1)=1,1,0),0)</f>
        <v>0</v>
      </c>
      <c r="BB235" s="55" t="str">
        <f>IF($BA235=1,SUMIFS($Q$6:$Q$1005,$A$6:$A$1005,$A235,$AS$6:$AS$1005,1),"")</f>
        <v/>
      </c>
      <c r="BC235" s="56">
        <f>IF(ISNUMBER($R235),1,0)</f>
        <v>0</v>
      </c>
      <c r="BD235" s="55" t="str">
        <f>IF(ISNUMBER($U235),$U235*$V235,"")</f>
        <v/>
      </c>
      <c r="BE235" s="56" t="str">
        <f>IF($AM235=0,"",IFERROR(MATCH($AF235&amp;"|"&amp;UPPER(TRIM($E235)),Lists!$A$6:$A$205,0),0))</f>
        <v/>
      </c>
      <c r="BF235" s="56" t="str">
        <f>IF($AM235=0,"",IFERROR(MATCH($AF235,Settings!$B$14:$B$18,0),IFERROR(MATCH(Settings!$C$6,Settings!$B$14:$B$18,0),1)))</f>
        <v/>
      </c>
      <c r="BG235" s="58" t="str">
        <f>IF($AM235=0,"",IF(NOT(ISNUMBER($I235)),"No stop; ","")&amp;IF(AND(ISNUMBER($H235),ISNUMBER($I235)),IF(OR(AND($F235&lt;&gt;"Short",$I235&gt;=$H235),AND($F235="Short",$I235&lt;=$H235)),"Stop on wrong side; ",""),"")&amp;IF($F235="","No direction; ","")&amp;IF(AND(ISNUMBER(Settings!$C$22),ISNUMBER($V235)),IF($V235&gt;Settings!$C$22,"Risk over max $; ",""),"")&amp;IF(AND(ISNUMBER(Settings!$C$23),ISNUMBER($V235),ISNUMBER($AP235),IFERROR(N(INDEX(Accounts!$E$7:$E$16,MATCH($C235,Accounts!$B$7:$B$16,0))),0)&gt;0),IF($V235&gt;Settings!$C$23*($AP235-N($Q235)),"Risk over max %; ",""),"")&amp;IF(AND(ISNUMBER(Settings!$C$24),ISNUMBER($N235)),IF($N235&gt;Settings!$C$24,"Leverage over max; ",""),"")&amp;IF(AND(ISNUMBER(Settings!$C$27),ISNUMBER($T235)),IF($T235&lt;Settings!$C$27,"R:R below min; ",""),"")&amp;IF(ISNUMBER(Settings!$C$25),IF(COUNTIFS($A$6:$A235,$A235,$AM$6:$AM235,1)&gt;Settings!$C$25,"Over max trades/day; ",""),"")&amp;IF(ISNUMBER(Settings!$C$26),IF(SUMIFS($Q$5:$Q234,$A$5:$A234,$A235)&lt;=-Settings!$C$26,"Traded after daily max loss; ",""),"")&amp;IF(AND($AG235="",NOT(ISNUMBER($O235))),"Symbol not in Instruments; ","")&amp;IF(AND($AH235="",NOT(ISNUMBER($O235))),"Forex cross: type Gross P&amp;L; ",""))</f>
        <v/>
      </c>
      <c r="BH235" s="56">
        <f>IF(ISNUMBER($Q235),1,0)</f>
        <v>0</v>
      </c>
      <c r="BI235" s="56">
        <f>IF($Y235="",0,1)</f>
        <v>0</v>
      </c>
      <c r="BJ235" s="56">
        <f>IF($AB235="",0,1)</f>
        <v>0</v>
      </c>
      <c r="BK235" s="56">
        <f>IF(AND($BH235=1,$W235&lt;&gt;"OK"),1,0)</f>
        <v>0</v>
      </c>
      <c r="BL235" s="55">
        <f>IF(N($AZ235)=0,0,IFERROR(INDEX($AT$6:$AT$1005,MATCH($AZ235,$AY$6:$AY$1005,0)),0))</f>
        <v>1187.10688</v>
      </c>
      <c r="BM235" s="56">
        <f>IF(ISNUMBER(SEARCH("daily max loss",$BG235)),1,0)</f>
        <v>0</v>
      </c>
    </row>
    <row r="236" ht="18" customHeight="1">
      <c r="A236" s="38" t="n"/>
      <c r="B236" s="39" t="n"/>
      <c r="C236" s="40" t="n"/>
      <c r="D236" s="41" t="n"/>
      <c r="E236" s="41" t="n"/>
      <c r="F236" s="41" t="n"/>
      <c r="G236" s="41" t="n"/>
      <c r="H236" s="42" t="n"/>
      <c r="I236" s="42" t="n"/>
      <c r="J236" s="42" t="n"/>
      <c r="K236" s="42" t="n"/>
      <c r="L236" s="41" t="n"/>
      <c r="M236" s="41" t="n"/>
      <c r="N236" s="41" t="n"/>
      <c r="O236" s="43" t="n"/>
      <c r="P236" s="43" t="n"/>
      <c r="Q236" s="44" t="str">
        <f>IF($AM236=0,"",IF(ISNUMBER($AK236),$AK236-N($AL236),""))</f>
        <v/>
      </c>
      <c r="R236" s="45" t="str">
        <f>IF(OR($Q236="",NOT(ISNUMBER($V236))),"",$AK236/$V236)</f>
        <v/>
      </c>
      <c r="S236" s="46" t="str">
        <f>IF($Q236="","",IF(AND(ISNUMBER($R236),ABS(N($R236))&lt;N(Settings!$C$8)),"Scratch",IF($Q236&gt;0,"Win",IF($Q236&lt;0,"Loss","Scratch"))))</f>
        <v/>
      </c>
      <c r="T236" s="47" t="str">
        <f>IF(OR($AM236=0,NOT(ISNUMBER($H236)),NOT(ISNUMBER($I236)),NOT(ISNUMBER($J236))),"",IF($H236=$I236,"",ROUND(ABS($J236-$H236)/ABS($H236-$I236),6)))</f>
        <v/>
      </c>
      <c r="U236" s="48" t="str">
        <f>IF(OR($S236&lt;&gt;"Win",NOT(ISNUMBER($T236)),NOT(ISNUMBER($R236))),"",MAX(0,$T236-$R236))</f>
        <v/>
      </c>
      <c r="V236" s="49" t="str">
        <f>IF(OR($AM236=0,NOT(ISNUMBER($H236)),NOT(ISNUMBER($I236)),NOT(ISNUMBER($G236))),"",IF(OR($AG236="",$AH236=""),"",IF(ROUND(ABS($H236-$I236)*ABS($G236)*$AG236*$AH236,6)=0,"",ROUND(ABS($H236-$I236)*ABS($G236)*$AG236*$AH236,6))))</f>
        <v/>
      </c>
      <c r="W236" s="50" t="str">
        <f>IF($AM236=0,"",IF($BG236="","OK",LEFT($BG236,LEN($BG236)-2)))</f>
        <v/>
      </c>
      <c r="X236" s="41" t="n"/>
      <c r="Y236" s="40" t="n"/>
      <c r="Z236" s="41" t="n"/>
      <c r="AA236" s="41" t="n"/>
      <c r="AB236" s="40" t="n"/>
      <c r="AC236" s="51" t="n"/>
      <c r="AD236" s="51" t="n"/>
      <c r="AE236" s="40" t="n"/>
      <c r="AF236" s="52" t="str">
        <f>IF($AM236=0,"",IF($D236&lt;&gt;"",$D236,IF(IFERROR(INDEX(Accounts!$C$7:$C$16,MATCH($C236,Accounts!$B$7:$B$16,0))&amp;"","")&lt;&gt;"",INDEX(Accounts!$C$7:$C$16,MATCH($C236,Accounts!$B$7:$B$16,0)),Settings!$C$6)))</f>
        <v/>
      </c>
      <c r="AG236" s="53" t="str">
        <f>IF($AM236=0,"",IF(AND($BE236&gt;0,N(INDEX(Instruments!$D$6:$D$205,MAX(1,$BE236)))&gt;0),INDEX(Instruments!$D$6:$D$205,MAX(1,$BE236)),IF(N(INDEX(Settings!$D$14:$D$18,$BF236))&gt;0,INDEX(Settings!$D$14:$D$18,$BF236),"")))</f>
        <v/>
      </c>
      <c r="AH236" s="54" t="str">
        <f>IF($AM236=0,"",IF($AF236&lt;&gt;"Forex",1,IF(MID(UPPER(SUBSTITUTE(TRIM($E236),"/","")),4,3)=UPPER(TRIM(Settings!$C$7)),1,IF(LEFT(UPPER(SUBSTITUTE(TRIM($E236),"/","")),3)=UPPER(TRIM(Settings!$C$7)),IF(AND(ISNUMBER($K236),N($K236)&lt;&gt;0),1/$K236,""),""))))</f>
        <v/>
      </c>
      <c r="AI236" s="55" t="str">
        <f>IF($AM236=0,"",IF(OR(NOT(ISNUMBER($H236)),NOT(ISNUMBER($K236)),NOT(ISNUMBER($G236)),$AG236="",$AH236=""),"",ROUND(($K236-$H236)*IF($F236="Short",-1,1)*$G236*$AG236*$AH236,6)))</f>
        <v/>
      </c>
      <c r="AJ236" s="55" t="str">
        <f>IF($AM236=0,"",IF(INDEX(Settings!$E$14:$E$18,$BF236)="% of notional",IF(OR($AG236="",NOT(ISNUMBER($H236)),NOT(ISNUMBER($G236))),"",ROUND(ABS($H236*$G236*$AG236*N($AH236))*IF($L236="Limit",N(INDEX(Settings!$G$14:$G$18,$BF236)),N(INDEX(Settings!$H$14:$H$18,$BF236)))+IF(ISNUMBER($K236),ABS($K236*$G236*$AG236*N($AH236))*IF($M236="Target",N(INDEX(Settings!$G$14:$G$18,$BF236)),N(INDEX(Settings!$H$14:$H$18,$BF236))),0),6)),IF(NOT(ISNUMBER($G236)),"",ROUND(ABS($G236)*2*IF(AND($BE236&gt;0,ISNUMBER(INDEX(Instruments!$G$6:$G$205,MAX(1,$BE236)))),INDEX(Instruments!$G$6:$G$205,MAX(1,$BE236)),N(INDEX(Settings!$F$14:$F$18,$BF236))),6))))</f>
        <v/>
      </c>
      <c r="AK236" s="55" t="str">
        <f>IF($AM236=0,"",IF(ISNUMBER($O236),$O236,$AI236))</f>
        <v/>
      </c>
      <c r="AL236" s="55" t="str">
        <f>IF($AM236=0,"",IF(ISNUMBER($P236),$P236,N($AJ236)))</f>
        <v/>
      </c>
      <c r="AM236" s="56">
        <f>IF(AND($A236&lt;&gt;"",$E236&lt;&gt;"",OR(AND(ISNUMBER($G236),ISNUMBER($H236),ISNUMBER($K236)),ISNUMBER($O236))),1,0)</f>
        <v>0</v>
      </c>
      <c r="AN236" s="57" t="str">
        <f>IF($A236="","",$A236-WEEKDAY($A236,3))</f>
        <v/>
      </c>
      <c r="AO236" s="56" t="str">
        <f>IF($A236="","",WEEKDAY($A236,2))</f>
        <v/>
      </c>
      <c r="AP236" s="55" t="str">
        <f>IF(OR($AM236=0,$C236=""),"",IFERROR(N(INDEX(Accounts!$E$7:$E$16,MATCH($C236,Accounts!$B$7:$B$16,0))),0)+SUMIFS($Q$6:$Q236,$C$6:$C236,$C236))</f>
        <v/>
      </c>
      <c r="AQ236" s="55" t="str">
        <f>IF(OR($AM236=0,$C236=""),"",SUMIFS($Q$6:$Q$1005,$C$6:$C$1005,$C236,$A$6:$A$1005,$A236))</f>
        <v/>
      </c>
      <c r="AR236" s="55" t="str">
        <f>IF(OR($AM236=0,$C236=""),"",IFERROR(N(INDEX(Accounts!$E$7:$E$16,MATCH($C236,Accounts!$B$7:$B$16,0))),0)+SUMIFS($Q$6:$Q$1005,$C$6:$C$1005,$C236,$A$6:$A$1005,"&lt;="&amp;$A236))</f>
        <v/>
      </c>
      <c r="AS236" s="56">
        <f>IF(OR($AM236=0,$Q236=""),0,IF(AND($A236&gt;=Lists!$W$6,$A236&lt;=Lists!$W$7,OR(Dashboard!$D$6="All accounts",$C236=Dashboard!$D$6),OR(Dashboard!$D$7="All markets",$AF236=Dashboard!$D$7)),1,0))</f>
        <v>0</v>
      </c>
      <c r="AT236" s="55">
        <f>IF($AS236=1,N(AT235)+$Q236,N(AT235))</f>
        <v>1187.10688</v>
      </c>
      <c r="AU236" s="55">
        <f>MAX(N(AU235),$AT236)</f>
        <v>1187.10688</v>
      </c>
      <c r="AV236" s="55">
        <f>$AT236-$AU236</f>
        <v>0</v>
      </c>
      <c r="AW236" s="56">
        <f>IF($AS236=1,IF($S236="Win",N(AW235)+1,IF($S236="Loss",0,N(AW235))),N(AW235))</f>
        <v>5</v>
      </c>
      <c r="AX236" s="56">
        <f>IF($AS236=1,IF($S236="Loss",N(AX235)+1,IF($S236="Win",0,N(AX235))),N(AX235))</f>
        <v>0</v>
      </c>
      <c r="AY236" s="56" t="str">
        <f>IF($AS236=1,COUNTIF($AS$6:$AS236,1),"")</f>
        <v/>
      </c>
      <c r="AZ236" s="56">
        <f>MIN(230,N(Lists!$W$8))</f>
        <v>28</v>
      </c>
      <c r="BA236" s="56">
        <f>IF($AS236=1,IF(COUNTIFS($A$6:$A236,$A236,$AS$6:$AS236,1)=1,1,0),0)</f>
        <v>0</v>
      </c>
      <c r="BB236" s="55" t="str">
        <f>IF($BA236=1,SUMIFS($Q$6:$Q$1005,$A$6:$A$1005,$A236,$AS$6:$AS$1005,1),"")</f>
        <v/>
      </c>
      <c r="BC236" s="56">
        <f>IF(ISNUMBER($R236),1,0)</f>
        <v>0</v>
      </c>
      <c r="BD236" s="55" t="str">
        <f>IF(ISNUMBER($U236),$U236*$V236,"")</f>
        <v/>
      </c>
      <c r="BE236" s="56" t="str">
        <f>IF($AM236=0,"",IFERROR(MATCH($AF236&amp;"|"&amp;UPPER(TRIM($E236)),Lists!$A$6:$A$205,0),0))</f>
        <v/>
      </c>
      <c r="BF236" s="56" t="str">
        <f>IF($AM236=0,"",IFERROR(MATCH($AF236,Settings!$B$14:$B$18,0),IFERROR(MATCH(Settings!$C$6,Settings!$B$14:$B$18,0),1)))</f>
        <v/>
      </c>
      <c r="BG236" s="58" t="str">
        <f>IF($AM236=0,"",IF(NOT(ISNUMBER($I236)),"No stop; ","")&amp;IF(AND(ISNUMBER($H236),ISNUMBER($I236)),IF(OR(AND($F236&lt;&gt;"Short",$I236&gt;=$H236),AND($F236="Short",$I236&lt;=$H236)),"Stop on wrong side; ",""),"")&amp;IF($F236="","No direction; ","")&amp;IF(AND(ISNUMBER(Settings!$C$22),ISNUMBER($V236)),IF($V236&gt;Settings!$C$22,"Risk over max $; ",""),"")&amp;IF(AND(ISNUMBER(Settings!$C$23),ISNUMBER($V236),ISNUMBER($AP236),IFERROR(N(INDEX(Accounts!$E$7:$E$16,MATCH($C236,Accounts!$B$7:$B$16,0))),0)&gt;0),IF($V236&gt;Settings!$C$23*($AP236-N($Q236)),"Risk over max %; ",""),"")&amp;IF(AND(ISNUMBER(Settings!$C$24),ISNUMBER($N236)),IF($N236&gt;Settings!$C$24,"Leverage over max; ",""),"")&amp;IF(AND(ISNUMBER(Settings!$C$27),ISNUMBER($T236)),IF($T236&lt;Settings!$C$27,"R:R below min; ",""),"")&amp;IF(ISNUMBER(Settings!$C$25),IF(COUNTIFS($A$6:$A236,$A236,$AM$6:$AM236,1)&gt;Settings!$C$25,"Over max trades/day; ",""),"")&amp;IF(ISNUMBER(Settings!$C$26),IF(SUMIFS($Q$5:$Q235,$A$5:$A235,$A236)&lt;=-Settings!$C$26,"Traded after daily max loss; ",""),"")&amp;IF(AND($AG236="",NOT(ISNUMBER($O236))),"Symbol not in Instruments; ","")&amp;IF(AND($AH236="",NOT(ISNUMBER($O236))),"Forex cross: type Gross P&amp;L; ",""))</f>
        <v/>
      </c>
      <c r="BH236" s="56">
        <f>IF(ISNUMBER($Q236),1,0)</f>
        <v>0</v>
      </c>
      <c r="BI236" s="56">
        <f>IF($Y236="",0,1)</f>
        <v>0</v>
      </c>
      <c r="BJ236" s="56">
        <f>IF($AB236="",0,1)</f>
        <v>0</v>
      </c>
      <c r="BK236" s="56">
        <f>IF(AND($BH236=1,$W236&lt;&gt;"OK"),1,0)</f>
        <v>0</v>
      </c>
      <c r="BL236" s="55">
        <f>IF(N($AZ236)=0,0,IFERROR(INDEX($AT$6:$AT$1005,MATCH($AZ236,$AY$6:$AY$1005,0)),0))</f>
        <v>1187.10688</v>
      </c>
      <c r="BM236" s="56">
        <f>IF(ISNUMBER(SEARCH("daily max loss",$BG236)),1,0)</f>
        <v>0</v>
      </c>
    </row>
    <row r="237" ht="18" customHeight="1">
      <c r="A237" s="38" t="n"/>
      <c r="B237" s="39" t="n"/>
      <c r="C237" s="40" t="n"/>
      <c r="D237" s="41" t="n"/>
      <c r="E237" s="41" t="n"/>
      <c r="F237" s="41" t="n"/>
      <c r="G237" s="41" t="n"/>
      <c r="H237" s="42" t="n"/>
      <c r="I237" s="42" t="n"/>
      <c r="J237" s="42" t="n"/>
      <c r="K237" s="42" t="n"/>
      <c r="L237" s="41" t="n"/>
      <c r="M237" s="41" t="n"/>
      <c r="N237" s="41" t="n"/>
      <c r="O237" s="43" t="n"/>
      <c r="P237" s="43" t="n"/>
      <c r="Q237" s="44" t="str">
        <f>IF($AM237=0,"",IF(ISNUMBER($AK237),$AK237-N($AL237),""))</f>
        <v/>
      </c>
      <c r="R237" s="45" t="str">
        <f>IF(OR($Q237="",NOT(ISNUMBER($V237))),"",$AK237/$V237)</f>
        <v/>
      </c>
      <c r="S237" s="46" t="str">
        <f>IF($Q237="","",IF(AND(ISNUMBER($R237),ABS(N($R237))&lt;N(Settings!$C$8)),"Scratch",IF($Q237&gt;0,"Win",IF($Q237&lt;0,"Loss","Scratch"))))</f>
        <v/>
      </c>
      <c r="T237" s="47" t="str">
        <f>IF(OR($AM237=0,NOT(ISNUMBER($H237)),NOT(ISNUMBER($I237)),NOT(ISNUMBER($J237))),"",IF($H237=$I237,"",ROUND(ABS($J237-$H237)/ABS($H237-$I237),6)))</f>
        <v/>
      </c>
      <c r="U237" s="48" t="str">
        <f>IF(OR($S237&lt;&gt;"Win",NOT(ISNUMBER($T237)),NOT(ISNUMBER($R237))),"",MAX(0,$T237-$R237))</f>
        <v/>
      </c>
      <c r="V237" s="49" t="str">
        <f>IF(OR($AM237=0,NOT(ISNUMBER($H237)),NOT(ISNUMBER($I237)),NOT(ISNUMBER($G237))),"",IF(OR($AG237="",$AH237=""),"",IF(ROUND(ABS($H237-$I237)*ABS($G237)*$AG237*$AH237,6)=0,"",ROUND(ABS($H237-$I237)*ABS($G237)*$AG237*$AH237,6))))</f>
        <v/>
      </c>
      <c r="W237" s="50" t="str">
        <f>IF($AM237=0,"",IF($BG237="","OK",LEFT($BG237,LEN($BG237)-2)))</f>
        <v/>
      </c>
      <c r="X237" s="41" t="n"/>
      <c r="Y237" s="40" t="n"/>
      <c r="Z237" s="41" t="n"/>
      <c r="AA237" s="41" t="n"/>
      <c r="AB237" s="40" t="n"/>
      <c r="AC237" s="51" t="n"/>
      <c r="AD237" s="51" t="n"/>
      <c r="AE237" s="40" t="n"/>
      <c r="AF237" s="52" t="str">
        <f>IF($AM237=0,"",IF($D237&lt;&gt;"",$D237,IF(IFERROR(INDEX(Accounts!$C$7:$C$16,MATCH($C237,Accounts!$B$7:$B$16,0))&amp;"","")&lt;&gt;"",INDEX(Accounts!$C$7:$C$16,MATCH($C237,Accounts!$B$7:$B$16,0)),Settings!$C$6)))</f>
        <v/>
      </c>
      <c r="AG237" s="53" t="str">
        <f>IF($AM237=0,"",IF(AND($BE237&gt;0,N(INDEX(Instruments!$D$6:$D$205,MAX(1,$BE237)))&gt;0),INDEX(Instruments!$D$6:$D$205,MAX(1,$BE237)),IF(N(INDEX(Settings!$D$14:$D$18,$BF237))&gt;0,INDEX(Settings!$D$14:$D$18,$BF237),"")))</f>
        <v/>
      </c>
      <c r="AH237" s="54" t="str">
        <f>IF($AM237=0,"",IF($AF237&lt;&gt;"Forex",1,IF(MID(UPPER(SUBSTITUTE(TRIM($E237),"/","")),4,3)=UPPER(TRIM(Settings!$C$7)),1,IF(LEFT(UPPER(SUBSTITUTE(TRIM($E237),"/","")),3)=UPPER(TRIM(Settings!$C$7)),IF(AND(ISNUMBER($K237),N($K237)&lt;&gt;0),1/$K237,""),""))))</f>
        <v/>
      </c>
      <c r="AI237" s="55" t="str">
        <f>IF($AM237=0,"",IF(OR(NOT(ISNUMBER($H237)),NOT(ISNUMBER($K237)),NOT(ISNUMBER($G237)),$AG237="",$AH237=""),"",ROUND(($K237-$H237)*IF($F237="Short",-1,1)*$G237*$AG237*$AH237,6)))</f>
        <v/>
      </c>
      <c r="AJ237" s="55" t="str">
        <f>IF($AM237=0,"",IF(INDEX(Settings!$E$14:$E$18,$BF237)="% of notional",IF(OR($AG237="",NOT(ISNUMBER($H237)),NOT(ISNUMBER($G237))),"",ROUND(ABS($H237*$G237*$AG237*N($AH237))*IF($L237="Limit",N(INDEX(Settings!$G$14:$G$18,$BF237)),N(INDEX(Settings!$H$14:$H$18,$BF237)))+IF(ISNUMBER($K237),ABS($K237*$G237*$AG237*N($AH237))*IF($M237="Target",N(INDEX(Settings!$G$14:$G$18,$BF237)),N(INDEX(Settings!$H$14:$H$18,$BF237))),0),6)),IF(NOT(ISNUMBER($G237)),"",ROUND(ABS($G237)*2*IF(AND($BE237&gt;0,ISNUMBER(INDEX(Instruments!$G$6:$G$205,MAX(1,$BE237)))),INDEX(Instruments!$G$6:$G$205,MAX(1,$BE237)),N(INDEX(Settings!$F$14:$F$18,$BF237))),6))))</f>
        <v/>
      </c>
      <c r="AK237" s="55" t="str">
        <f>IF($AM237=0,"",IF(ISNUMBER($O237),$O237,$AI237))</f>
        <v/>
      </c>
      <c r="AL237" s="55" t="str">
        <f>IF($AM237=0,"",IF(ISNUMBER($P237),$P237,N($AJ237)))</f>
        <v/>
      </c>
      <c r="AM237" s="56">
        <f>IF(AND($A237&lt;&gt;"",$E237&lt;&gt;"",OR(AND(ISNUMBER($G237),ISNUMBER($H237),ISNUMBER($K237)),ISNUMBER($O237))),1,0)</f>
        <v>0</v>
      </c>
      <c r="AN237" s="57" t="str">
        <f>IF($A237="","",$A237-WEEKDAY($A237,3))</f>
        <v/>
      </c>
      <c r="AO237" s="56" t="str">
        <f>IF($A237="","",WEEKDAY($A237,2))</f>
        <v/>
      </c>
      <c r="AP237" s="55" t="str">
        <f>IF(OR($AM237=0,$C237=""),"",IFERROR(N(INDEX(Accounts!$E$7:$E$16,MATCH($C237,Accounts!$B$7:$B$16,0))),0)+SUMIFS($Q$6:$Q237,$C$6:$C237,$C237))</f>
        <v/>
      </c>
      <c r="AQ237" s="55" t="str">
        <f>IF(OR($AM237=0,$C237=""),"",SUMIFS($Q$6:$Q$1005,$C$6:$C$1005,$C237,$A$6:$A$1005,$A237))</f>
        <v/>
      </c>
      <c r="AR237" s="55" t="str">
        <f>IF(OR($AM237=0,$C237=""),"",IFERROR(N(INDEX(Accounts!$E$7:$E$16,MATCH($C237,Accounts!$B$7:$B$16,0))),0)+SUMIFS($Q$6:$Q$1005,$C$6:$C$1005,$C237,$A$6:$A$1005,"&lt;="&amp;$A237))</f>
        <v/>
      </c>
      <c r="AS237" s="56">
        <f>IF(OR($AM237=0,$Q237=""),0,IF(AND($A237&gt;=Lists!$W$6,$A237&lt;=Lists!$W$7,OR(Dashboard!$D$6="All accounts",$C237=Dashboard!$D$6),OR(Dashboard!$D$7="All markets",$AF237=Dashboard!$D$7)),1,0))</f>
        <v>0</v>
      </c>
      <c r="AT237" s="55">
        <f>IF($AS237=1,N(AT236)+$Q237,N(AT236))</f>
        <v>1187.10688</v>
      </c>
      <c r="AU237" s="55">
        <f>MAX(N(AU236),$AT237)</f>
        <v>1187.10688</v>
      </c>
      <c r="AV237" s="55">
        <f>$AT237-$AU237</f>
        <v>0</v>
      </c>
      <c r="AW237" s="56">
        <f>IF($AS237=1,IF($S237="Win",N(AW236)+1,IF($S237="Loss",0,N(AW236))),N(AW236))</f>
        <v>5</v>
      </c>
      <c r="AX237" s="56">
        <f>IF($AS237=1,IF($S237="Loss",N(AX236)+1,IF($S237="Win",0,N(AX236))),N(AX236))</f>
        <v>0</v>
      </c>
      <c r="AY237" s="56" t="str">
        <f>IF($AS237=1,COUNTIF($AS$6:$AS237,1),"")</f>
        <v/>
      </c>
      <c r="AZ237" s="56">
        <f>MIN(231,N(Lists!$W$8))</f>
        <v>28</v>
      </c>
      <c r="BA237" s="56">
        <f>IF($AS237=1,IF(COUNTIFS($A$6:$A237,$A237,$AS$6:$AS237,1)=1,1,0),0)</f>
        <v>0</v>
      </c>
      <c r="BB237" s="55" t="str">
        <f>IF($BA237=1,SUMIFS($Q$6:$Q$1005,$A$6:$A$1005,$A237,$AS$6:$AS$1005,1),"")</f>
        <v/>
      </c>
      <c r="BC237" s="56">
        <f>IF(ISNUMBER($R237),1,0)</f>
        <v>0</v>
      </c>
      <c r="BD237" s="55" t="str">
        <f>IF(ISNUMBER($U237),$U237*$V237,"")</f>
        <v/>
      </c>
      <c r="BE237" s="56" t="str">
        <f>IF($AM237=0,"",IFERROR(MATCH($AF237&amp;"|"&amp;UPPER(TRIM($E237)),Lists!$A$6:$A$205,0),0))</f>
        <v/>
      </c>
      <c r="BF237" s="56" t="str">
        <f>IF($AM237=0,"",IFERROR(MATCH($AF237,Settings!$B$14:$B$18,0),IFERROR(MATCH(Settings!$C$6,Settings!$B$14:$B$18,0),1)))</f>
        <v/>
      </c>
      <c r="BG237" s="58" t="str">
        <f>IF($AM237=0,"",IF(NOT(ISNUMBER($I237)),"No stop; ","")&amp;IF(AND(ISNUMBER($H237),ISNUMBER($I237)),IF(OR(AND($F237&lt;&gt;"Short",$I237&gt;=$H237),AND($F237="Short",$I237&lt;=$H237)),"Stop on wrong side; ",""),"")&amp;IF($F237="","No direction; ","")&amp;IF(AND(ISNUMBER(Settings!$C$22),ISNUMBER($V237)),IF($V237&gt;Settings!$C$22,"Risk over max $; ",""),"")&amp;IF(AND(ISNUMBER(Settings!$C$23),ISNUMBER($V237),ISNUMBER($AP237),IFERROR(N(INDEX(Accounts!$E$7:$E$16,MATCH($C237,Accounts!$B$7:$B$16,0))),0)&gt;0),IF($V237&gt;Settings!$C$23*($AP237-N($Q237)),"Risk over max %; ",""),"")&amp;IF(AND(ISNUMBER(Settings!$C$24),ISNUMBER($N237)),IF($N237&gt;Settings!$C$24,"Leverage over max; ",""),"")&amp;IF(AND(ISNUMBER(Settings!$C$27),ISNUMBER($T237)),IF($T237&lt;Settings!$C$27,"R:R below min; ",""),"")&amp;IF(ISNUMBER(Settings!$C$25),IF(COUNTIFS($A$6:$A237,$A237,$AM$6:$AM237,1)&gt;Settings!$C$25,"Over max trades/day; ",""),"")&amp;IF(ISNUMBER(Settings!$C$26),IF(SUMIFS($Q$5:$Q236,$A$5:$A236,$A237)&lt;=-Settings!$C$26,"Traded after daily max loss; ",""),"")&amp;IF(AND($AG237="",NOT(ISNUMBER($O237))),"Symbol not in Instruments; ","")&amp;IF(AND($AH237="",NOT(ISNUMBER($O237))),"Forex cross: type Gross P&amp;L; ",""))</f>
        <v/>
      </c>
      <c r="BH237" s="56">
        <f>IF(ISNUMBER($Q237),1,0)</f>
        <v>0</v>
      </c>
      <c r="BI237" s="56">
        <f>IF($Y237="",0,1)</f>
        <v>0</v>
      </c>
      <c r="BJ237" s="56">
        <f>IF($AB237="",0,1)</f>
        <v>0</v>
      </c>
      <c r="BK237" s="56">
        <f>IF(AND($BH237=1,$W237&lt;&gt;"OK"),1,0)</f>
        <v>0</v>
      </c>
      <c r="BL237" s="55">
        <f>IF(N($AZ237)=0,0,IFERROR(INDEX($AT$6:$AT$1005,MATCH($AZ237,$AY$6:$AY$1005,0)),0))</f>
        <v>1187.10688</v>
      </c>
      <c r="BM237" s="56">
        <f>IF(ISNUMBER(SEARCH("daily max loss",$BG237)),1,0)</f>
        <v>0</v>
      </c>
    </row>
    <row r="238" ht="18" customHeight="1">
      <c r="A238" s="38" t="n"/>
      <c r="B238" s="39" t="n"/>
      <c r="C238" s="40" t="n"/>
      <c r="D238" s="41" t="n"/>
      <c r="E238" s="41" t="n"/>
      <c r="F238" s="41" t="n"/>
      <c r="G238" s="41" t="n"/>
      <c r="H238" s="42" t="n"/>
      <c r="I238" s="42" t="n"/>
      <c r="J238" s="42" t="n"/>
      <c r="K238" s="42" t="n"/>
      <c r="L238" s="41" t="n"/>
      <c r="M238" s="41" t="n"/>
      <c r="N238" s="41" t="n"/>
      <c r="O238" s="43" t="n"/>
      <c r="P238" s="43" t="n"/>
      <c r="Q238" s="44" t="str">
        <f>IF($AM238=0,"",IF(ISNUMBER($AK238),$AK238-N($AL238),""))</f>
        <v/>
      </c>
      <c r="R238" s="45" t="str">
        <f>IF(OR($Q238="",NOT(ISNUMBER($V238))),"",$AK238/$V238)</f>
        <v/>
      </c>
      <c r="S238" s="46" t="str">
        <f>IF($Q238="","",IF(AND(ISNUMBER($R238),ABS(N($R238))&lt;N(Settings!$C$8)),"Scratch",IF($Q238&gt;0,"Win",IF($Q238&lt;0,"Loss","Scratch"))))</f>
        <v/>
      </c>
      <c r="T238" s="47" t="str">
        <f>IF(OR($AM238=0,NOT(ISNUMBER($H238)),NOT(ISNUMBER($I238)),NOT(ISNUMBER($J238))),"",IF($H238=$I238,"",ROUND(ABS($J238-$H238)/ABS($H238-$I238),6)))</f>
        <v/>
      </c>
      <c r="U238" s="48" t="str">
        <f>IF(OR($S238&lt;&gt;"Win",NOT(ISNUMBER($T238)),NOT(ISNUMBER($R238))),"",MAX(0,$T238-$R238))</f>
        <v/>
      </c>
      <c r="V238" s="49" t="str">
        <f>IF(OR($AM238=0,NOT(ISNUMBER($H238)),NOT(ISNUMBER($I238)),NOT(ISNUMBER($G238))),"",IF(OR($AG238="",$AH238=""),"",IF(ROUND(ABS($H238-$I238)*ABS($G238)*$AG238*$AH238,6)=0,"",ROUND(ABS($H238-$I238)*ABS($G238)*$AG238*$AH238,6))))</f>
        <v/>
      </c>
      <c r="W238" s="50" t="str">
        <f>IF($AM238=0,"",IF($BG238="","OK",LEFT($BG238,LEN($BG238)-2)))</f>
        <v/>
      </c>
      <c r="X238" s="41" t="n"/>
      <c r="Y238" s="40" t="n"/>
      <c r="Z238" s="41" t="n"/>
      <c r="AA238" s="41" t="n"/>
      <c r="AB238" s="40" t="n"/>
      <c r="AC238" s="51" t="n"/>
      <c r="AD238" s="51" t="n"/>
      <c r="AE238" s="40" t="n"/>
      <c r="AF238" s="52" t="str">
        <f>IF($AM238=0,"",IF($D238&lt;&gt;"",$D238,IF(IFERROR(INDEX(Accounts!$C$7:$C$16,MATCH($C238,Accounts!$B$7:$B$16,0))&amp;"","")&lt;&gt;"",INDEX(Accounts!$C$7:$C$16,MATCH($C238,Accounts!$B$7:$B$16,0)),Settings!$C$6)))</f>
        <v/>
      </c>
      <c r="AG238" s="53" t="str">
        <f>IF($AM238=0,"",IF(AND($BE238&gt;0,N(INDEX(Instruments!$D$6:$D$205,MAX(1,$BE238)))&gt;0),INDEX(Instruments!$D$6:$D$205,MAX(1,$BE238)),IF(N(INDEX(Settings!$D$14:$D$18,$BF238))&gt;0,INDEX(Settings!$D$14:$D$18,$BF238),"")))</f>
        <v/>
      </c>
      <c r="AH238" s="54" t="str">
        <f>IF($AM238=0,"",IF($AF238&lt;&gt;"Forex",1,IF(MID(UPPER(SUBSTITUTE(TRIM($E238),"/","")),4,3)=UPPER(TRIM(Settings!$C$7)),1,IF(LEFT(UPPER(SUBSTITUTE(TRIM($E238),"/","")),3)=UPPER(TRIM(Settings!$C$7)),IF(AND(ISNUMBER($K238),N($K238)&lt;&gt;0),1/$K238,""),""))))</f>
        <v/>
      </c>
      <c r="AI238" s="55" t="str">
        <f>IF($AM238=0,"",IF(OR(NOT(ISNUMBER($H238)),NOT(ISNUMBER($K238)),NOT(ISNUMBER($G238)),$AG238="",$AH238=""),"",ROUND(($K238-$H238)*IF($F238="Short",-1,1)*$G238*$AG238*$AH238,6)))</f>
        <v/>
      </c>
      <c r="AJ238" s="55" t="str">
        <f>IF($AM238=0,"",IF(INDEX(Settings!$E$14:$E$18,$BF238)="% of notional",IF(OR($AG238="",NOT(ISNUMBER($H238)),NOT(ISNUMBER($G238))),"",ROUND(ABS($H238*$G238*$AG238*N($AH238))*IF($L238="Limit",N(INDEX(Settings!$G$14:$G$18,$BF238)),N(INDEX(Settings!$H$14:$H$18,$BF238)))+IF(ISNUMBER($K238),ABS($K238*$G238*$AG238*N($AH238))*IF($M238="Target",N(INDEX(Settings!$G$14:$G$18,$BF238)),N(INDEX(Settings!$H$14:$H$18,$BF238))),0),6)),IF(NOT(ISNUMBER($G238)),"",ROUND(ABS($G238)*2*IF(AND($BE238&gt;0,ISNUMBER(INDEX(Instruments!$G$6:$G$205,MAX(1,$BE238)))),INDEX(Instruments!$G$6:$G$205,MAX(1,$BE238)),N(INDEX(Settings!$F$14:$F$18,$BF238))),6))))</f>
        <v/>
      </c>
      <c r="AK238" s="55" t="str">
        <f>IF($AM238=0,"",IF(ISNUMBER($O238),$O238,$AI238))</f>
        <v/>
      </c>
      <c r="AL238" s="55" t="str">
        <f>IF($AM238=0,"",IF(ISNUMBER($P238),$P238,N($AJ238)))</f>
        <v/>
      </c>
      <c r="AM238" s="56">
        <f>IF(AND($A238&lt;&gt;"",$E238&lt;&gt;"",OR(AND(ISNUMBER($G238),ISNUMBER($H238),ISNUMBER($K238)),ISNUMBER($O238))),1,0)</f>
        <v>0</v>
      </c>
      <c r="AN238" s="57" t="str">
        <f>IF($A238="","",$A238-WEEKDAY($A238,3))</f>
        <v/>
      </c>
      <c r="AO238" s="56" t="str">
        <f>IF($A238="","",WEEKDAY($A238,2))</f>
        <v/>
      </c>
      <c r="AP238" s="55" t="str">
        <f>IF(OR($AM238=0,$C238=""),"",IFERROR(N(INDEX(Accounts!$E$7:$E$16,MATCH($C238,Accounts!$B$7:$B$16,0))),0)+SUMIFS($Q$6:$Q238,$C$6:$C238,$C238))</f>
        <v/>
      </c>
      <c r="AQ238" s="55" t="str">
        <f>IF(OR($AM238=0,$C238=""),"",SUMIFS($Q$6:$Q$1005,$C$6:$C$1005,$C238,$A$6:$A$1005,$A238))</f>
        <v/>
      </c>
      <c r="AR238" s="55" t="str">
        <f>IF(OR($AM238=0,$C238=""),"",IFERROR(N(INDEX(Accounts!$E$7:$E$16,MATCH($C238,Accounts!$B$7:$B$16,0))),0)+SUMIFS($Q$6:$Q$1005,$C$6:$C$1005,$C238,$A$6:$A$1005,"&lt;="&amp;$A238))</f>
        <v/>
      </c>
      <c r="AS238" s="56">
        <f>IF(OR($AM238=0,$Q238=""),0,IF(AND($A238&gt;=Lists!$W$6,$A238&lt;=Lists!$W$7,OR(Dashboard!$D$6="All accounts",$C238=Dashboard!$D$6),OR(Dashboard!$D$7="All markets",$AF238=Dashboard!$D$7)),1,0))</f>
        <v>0</v>
      </c>
      <c r="AT238" s="55">
        <f>IF($AS238=1,N(AT237)+$Q238,N(AT237))</f>
        <v>1187.10688</v>
      </c>
      <c r="AU238" s="55">
        <f>MAX(N(AU237),$AT238)</f>
        <v>1187.10688</v>
      </c>
      <c r="AV238" s="55">
        <f>$AT238-$AU238</f>
        <v>0</v>
      </c>
      <c r="AW238" s="56">
        <f>IF($AS238=1,IF($S238="Win",N(AW237)+1,IF($S238="Loss",0,N(AW237))),N(AW237))</f>
        <v>5</v>
      </c>
      <c r="AX238" s="56">
        <f>IF($AS238=1,IF($S238="Loss",N(AX237)+1,IF($S238="Win",0,N(AX237))),N(AX237))</f>
        <v>0</v>
      </c>
      <c r="AY238" s="56" t="str">
        <f>IF($AS238=1,COUNTIF($AS$6:$AS238,1),"")</f>
        <v/>
      </c>
      <c r="AZ238" s="56">
        <f>MIN(232,N(Lists!$W$8))</f>
        <v>28</v>
      </c>
      <c r="BA238" s="56">
        <f>IF($AS238=1,IF(COUNTIFS($A$6:$A238,$A238,$AS$6:$AS238,1)=1,1,0),0)</f>
        <v>0</v>
      </c>
      <c r="BB238" s="55" t="str">
        <f>IF($BA238=1,SUMIFS($Q$6:$Q$1005,$A$6:$A$1005,$A238,$AS$6:$AS$1005,1),"")</f>
        <v/>
      </c>
      <c r="BC238" s="56">
        <f>IF(ISNUMBER($R238),1,0)</f>
        <v>0</v>
      </c>
      <c r="BD238" s="55" t="str">
        <f>IF(ISNUMBER($U238),$U238*$V238,"")</f>
        <v/>
      </c>
      <c r="BE238" s="56" t="str">
        <f>IF($AM238=0,"",IFERROR(MATCH($AF238&amp;"|"&amp;UPPER(TRIM($E238)),Lists!$A$6:$A$205,0),0))</f>
        <v/>
      </c>
      <c r="BF238" s="56" t="str">
        <f>IF($AM238=0,"",IFERROR(MATCH($AF238,Settings!$B$14:$B$18,0),IFERROR(MATCH(Settings!$C$6,Settings!$B$14:$B$18,0),1)))</f>
        <v/>
      </c>
      <c r="BG238" s="58" t="str">
        <f>IF($AM238=0,"",IF(NOT(ISNUMBER($I238)),"No stop; ","")&amp;IF(AND(ISNUMBER($H238),ISNUMBER($I238)),IF(OR(AND($F238&lt;&gt;"Short",$I238&gt;=$H238),AND($F238="Short",$I238&lt;=$H238)),"Stop on wrong side; ",""),"")&amp;IF($F238="","No direction; ","")&amp;IF(AND(ISNUMBER(Settings!$C$22),ISNUMBER($V238)),IF($V238&gt;Settings!$C$22,"Risk over max $; ",""),"")&amp;IF(AND(ISNUMBER(Settings!$C$23),ISNUMBER($V238),ISNUMBER($AP238),IFERROR(N(INDEX(Accounts!$E$7:$E$16,MATCH($C238,Accounts!$B$7:$B$16,0))),0)&gt;0),IF($V238&gt;Settings!$C$23*($AP238-N($Q238)),"Risk over max %; ",""),"")&amp;IF(AND(ISNUMBER(Settings!$C$24),ISNUMBER($N238)),IF($N238&gt;Settings!$C$24,"Leverage over max; ",""),"")&amp;IF(AND(ISNUMBER(Settings!$C$27),ISNUMBER($T238)),IF($T238&lt;Settings!$C$27,"R:R below min; ",""),"")&amp;IF(ISNUMBER(Settings!$C$25),IF(COUNTIFS($A$6:$A238,$A238,$AM$6:$AM238,1)&gt;Settings!$C$25,"Over max trades/day; ",""),"")&amp;IF(ISNUMBER(Settings!$C$26),IF(SUMIFS($Q$5:$Q237,$A$5:$A237,$A238)&lt;=-Settings!$C$26,"Traded after daily max loss; ",""),"")&amp;IF(AND($AG238="",NOT(ISNUMBER($O238))),"Symbol not in Instruments; ","")&amp;IF(AND($AH238="",NOT(ISNUMBER($O238))),"Forex cross: type Gross P&amp;L; ",""))</f>
        <v/>
      </c>
      <c r="BH238" s="56">
        <f>IF(ISNUMBER($Q238),1,0)</f>
        <v>0</v>
      </c>
      <c r="BI238" s="56">
        <f>IF($Y238="",0,1)</f>
        <v>0</v>
      </c>
      <c r="BJ238" s="56">
        <f>IF($AB238="",0,1)</f>
        <v>0</v>
      </c>
      <c r="BK238" s="56">
        <f>IF(AND($BH238=1,$W238&lt;&gt;"OK"),1,0)</f>
        <v>0</v>
      </c>
      <c r="BL238" s="55">
        <f>IF(N($AZ238)=0,0,IFERROR(INDEX($AT$6:$AT$1005,MATCH($AZ238,$AY$6:$AY$1005,0)),0))</f>
        <v>1187.10688</v>
      </c>
      <c r="BM238" s="56">
        <f>IF(ISNUMBER(SEARCH("daily max loss",$BG238)),1,0)</f>
        <v>0</v>
      </c>
    </row>
    <row r="239" ht="18" customHeight="1">
      <c r="A239" s="38" t="n"/>
      <c r="B239" s="39" t="n"/>
      <c r="C239" s="40" t="n"/>
      <c r="D239" s="41" t="n"/>
      <c r="E239" s="41" t="n"/>
      <c r="F239" s="41" t="n"/>
      <c r="G239" s="41" t="n"/>
      <c r="H239" s="42" t="n"/>
      <c r="I239" s="42" t="n"/>
      <c r="J239" s="42" t="n"/>
      <c r="K239" s="42" t="n"/>
      <c r="L239" s="41" t="n"/>
      <c r="M239" s="41" t="n"/>
      <c r="N239" s="41" t="n"/>
      <c r="O239" s="43" t="n"/>
      <c r="P239" s="43" t="n"/>
      <c r="Q239" s="44" t="str">
        <f>IF($AM239=0,"",IF(ISNUMBER($AK239),$AK239-N($AL239),""))</f>
        <v/>
      </c>
      <c r="R239" s="45" t="str">
        <f>IF(OR($Q239="",NOT(ISNUMBER($V239))),"",$AK239/$V239)</f>
        <v/>
      </c>
      <c r="S239" s="46" t="str">
        <f>IF($Q239="","",IF(AND(ISNUMBER($R239),ABS(N($R239))&lt;N(Settings!$C$8)),"Scratch",IF($Q239&gt;0,"Win",IF($Q239&lt;0,"Loss","Scratch"))))</f>
        <v/>
      </c>
      <c r="T239" s="47" t="str">
        <f>IF(OR($AM239=0,NOT(ISNUMBER($H239)),NOT(ISNUMBER($I239)),NOT(ISNUMBER($J239))),"",IF($H239=$I239,"",ROUND(ABS($J239-$H239)/ABS($H239-$I239),6)))</f>
        <v/>
      </c>
      <c r="U239" s="48" t="str">
        <f>IF(OR($S239&lt;&gt;"Win",NOT(ISNUMBER($T239)),NOT(ISNUMBER($R239))),"",MAX(0,$T239-$R239))</f>
        <v/>
      </c>
      <c r="V239" s="49" t="str">
        <f>IF(OR($AM239=0,NOT(ISNUMBER($H239)),NOT(ISNUMBER($I239)),NOT(ISNUMBER($G239))),"",IF(OR($AG239="",$AH239=""),"",IF(ROUND(ABS($H239-$I239)*ABS($G239)*$AG239*$AH239,6)=0,"",ROUND(ABS($H239-$I239)*ABS($G239)*$AG239*$AH239,6))))</f>
        <v/>
      </c>
      <c r="W239" s="50" t="str">
        <f>IF($AM239=0,"",IF($BG239="","OK",LEFT($BG239,LEN($BG239)-2)))</f>
        <v/>
      </c>
      <c r="X239" s="41" t="n"/>
      <c r="Y239" s="40" t="n"/>
      <c r="Z239" s="41" t="n"/>
      <c r="AA239" s="41" t="n"/>
      <c r="AB239" s="40" t="n"/>
      <c r="AC239" s="51" t="n"/>
      <c r="AD239" s="51" t="n"/>
      <c r="AE239" s="40" t="n"/>
      <c r="AF239" s="52" t="str">
        <f>IF($AM239=0,"",IF($D239&lt;&gt;"",$D239,IF(IFERROR(INDEX(Accounts!$C$7:$C$16,MATCH($C239,Accounts!$B$7:$B$16,0))&amp;"","")&lt;&gt;"",INDEX(Accounts!$C$7:$C$16,MATCH($C239,Accounts!$B$7:$B$16,0)),Settings!$C$6)))</f>
        <v/>
      </c>
      <c r="AG239" s="53" t="str">
        <f>IF($AM239=0,"",IF(AND($BE239&gt;0,N(INDEX(Instruments!$D$6:$D$205,MAX(1,$BE239)))&gt;0),INDEX(Instruments!$D$6:$D$205,MAX(1,$BE239)),IF(N(INDEX(Settings!$D$14:$D$18,$BF239))&gt;0,INDEX(Settings!$D$14:$D$18,$BF239),"")))</f>
        <v/>
      </c>
      <c r="AH239" s="54" t="str">
        <f>IF($AM239=0,"",IF($AF239&lt;&gt;"Forex",1,IF(MID(UPPER(SUBSTITUTE(TRIM($E239),"/","")),4,3)=UPPER(TRIM(Settings!$C$7)),1,IF(LEFT(UPPER(SUBSTITUTE(TRIM($E239),"/","")),3)=UPPER(TRIM(Settings!$C$7)),IF(AND(ISNUMBER($K239),N($K239)&lt;&gt;0),1/$K239,""),""))))</f>
        <v/>
      </c>
      <c r="AI239" s="55" t="str">
        <f>IF($AM239=0,"",IF(OR(NOT(ISNUMBER($H239)),NOT(ISNUMBER($K239)),NOT(ISNUMBER($G239)),$AG239="",$AH239=""),"",ROUND(($K239-$H239)*IF($F239="Short",-1,1)*$G239*$AG239*$AH239,6)))</f>
        <v/>
      </c>
      <c r="AJ239" s="55" t="str">
        <f>IF($AM239=0,"",IF(INDEX(Settings!$E$14:$E$18,$BF239)="% of notional",IF(OR($AG239="",NOT(ISNUMBER($H239)),NOT(ISNUMBER($G239))),"",ROUND(ABS($H239*$G239*$AG239*N($AH239))*IF($L239="Limit",N(INDEX(Settings!$G$14:$G$18,$BF239)),N(INDEX(Settings!$H$14:$H$18,$BF239)))+IF(ISNUMBER($K239),ABS($K239*$G239*$AG239*N($AH239))*IF($M239="Target",N(INDEX(Settings!$G$14:$G$18,$BF239)),N(INDEX(Settings!$H$14:$H$18,$BF239))),0),6)),IF(NOT(ISNUMBER($G239)),"",ROUND(ABS($G239)*2*IF(AND($BE239&gt;0,ISNUMBER(INDEX(Instruments!$G$6:$G$205,MAX(1,$BE239)))),INDEX(Instruments!$G$6:$G$205,MAX(1,$BE239)),N(INDEX(Settings!$F$14:$F$18,$BF239))),6))))</f>
        <v/>
      </c>
      <c r="AK239" s="55" t="str">
        <f>IF($AM239=0,"",IF(ISNUMBER($O239),$O239,$AI239))</f>
        <v/>
      </c>
      <c r="AL239" s="55" t="str">
        <f>IF($AM239=0,"",IF(ISNUMBER($P239),$P239,N($AJ239)))</f>
        <v/>
      </c>
      <c r="AM239" s="56">
        <f>IF(AND($A239&lt;&gt;"",$E239&lt;&gt;"",OR(AND(ISNUMBER($G239),ISNUMBER($H239),ISNUMBER($K239)),ISNUMBER($O239))),1,0)</f>
        <v>0</v>
      </c>
      <c r="AN239" s="57" t="str">
        <f>IF($A239="","",$A239-WEEKDAY($A239,3))</f>
        <v/>
      </c>
      <c r="AO239" s="56" t="str">
        <f>IF($A239="","",WEEKDAY($A239,2))</f>
        <v/>
      </c>
      <c r="AP239" s="55" t="str">
        <f>IF(OR($AM239=0,$C239=""),"",IFERROR(N(INDEX(Accounts!$E$7:$E$16,MATCH($C239,Accounts!$B$7:$B$16,0))),0)+SUMIFS($Q$6:$Q239,$C$6:$C239,$C239))</f>
        <v/>
      </c>
      <c r="AQ239" s="55" t="str">
        <f>IF(OR($AM239=0,$C239=""),"",SUMIFS($Q$6:$Q$1005,$C$6:$C$1005,$C239,$A$6:$A$1005,$A239))</f>
        <v/>
      </c>
      <c r="AR239" s="55" t="str">
        <f>IF(OR($AM239=0,$C239=""),"",IFERROR(N(INDEX(Accounts!$E$7:$E$16,MATCH($C239,Accounts!$B$7:$B$16,0))),0)+SUMIFS($Q$6:$Q$1005,$C$6:$C$1005,$C239,$A$6:$A$1005,"&lt;="&amp;$A239))</f>
        <v/>
      </c>
      <c r="AS239" s="56">
        <f>IF(OR($AM239=0,$Q239=""),0,IF(AND($A239&gt;=Lists!$W$6,$A239&lt;=Lists!$W$7,OR(Dashboard!$D$6="All accounts",$C239=Dashboard!$D$6),OR(Dashboard!$D$7="All markets",$AF239=Dashboard!$D$7)),1,0))</f>
        <v>0</v>
      </c>
      <c r="AT239" s="55">
        <f>IF($AS239=1,N(AT238)+$Q239,N(AT238))</f>
        <v>1187.10688</v>
      </c>
      <c r="AU239" s="55">
        <f>MAX(N(AU238),$AT239)</f>
        <v>1187.10688</v>
      </c>
      <c r="AV239" s="55">
        <f>$AT239-$AU239</f>
        <v>0</v>
      </c>
      <c r="AW239" s="56">
        <f>IF($AS239=1,IF($S239="Win",N(AW238)+1,IF($S239="Loss",0,N(AW238))),N(AW238))</f>
        <v>5</v>
      </c>
      <c r="AX239" s="56">
        <f>IF($AS239=1,IF($S239="Loss",N(AX238)+1,IF($S239="Win",0,N(AX238))),N(AX238))</f>
        <v>0</v>
      </c>
      <c r="AY239" s="56" t="str">
        <f>IF($AS239=1,COUNTIF($AS$6:$AS239,1),"")</f>
        <v/>
      </c>
      <c r="AZ239" s="56">
        <f>MIN(233,N(Lists!$W$8))</f>
        <v>28</v>
      </c>
      <c r="BA239" s="56">
        <f>IF($AS239=1,IF(COUNTIFS($A$6:$A239,$A239,$AS$6:$AS239,1)=1,1,0),0)</f>
        <v>0</v>
      </c>
      <c r="BB239" s="55" t="str">
        <f>IF($BA239=1,SUMIFS($Q$6:$Q$1005,$A$6:$A$1005,$A239,$AS$6:$AS$1005,1),"")</f>
        <v/>
      </c>
      <c r="BC239" s="56">
        <f>IF(ISNUMBER($R239),1,0)</f>
        <v>0</v>
      </c>
      <c r="BD239" s="55" t="str">
        <f>IF(ISNUMBER($U239),$U239*$V239,"")</f>
        <v/>
      </c>
      <c r="BE239" s="56" t="str">
        <f>IF($AM239=0,"",IFERROR(MATCH($AF239&amp;"|"&amp;UPPER(TRIM($E239)),Lists!$A$6:$A$205,0),0))</f>
        <v/>
      </c>
      <c r="BF239" s="56" t="str">
        <f>IF($AM239=0,"",IFERROR(MATCH($AF239,Settings!$B$14:$B$18,0),IFERROR(MATCH(Settings!$C$6,Settings!$B$14:$B$18,0),1)))</f>
        <v/>
      </c>
      <c r="BG239" s="58" t="str">
        <f>IF($AM239=0,"",IF(NOT(ISNUMBER($I239)),"No stop; ","")&amp;IF(AND(ISNUMBER($H239),ISNUMBER($I239)),IF(OR(AND($F239&lt;&gt;"Short",$I239&gt;=$H239),AND($F239="Short",$I239&lt;=$H239)),"Stop on wrong side; ",""),"")&amp;IF($F239="","No direction; ","")&amp;IF(AND(ISNUMBER(Settings!$C$22),ISNUMBER($V239)),IF($V239&gt;Settings!$C$22,"Risk over max $; ",""),"")&amp;IF(AND(ISNUMBER(Settings!$C$23),ISNUMBER($V239),ISNUMBER($AP239),IFERROR(N(INDEX(Accounts!$E$7:$E$16,MATCH($C239,Accounts!$B$7:$B$16,0))),0)&gt;0),IF($V239&gt;Settings!$C$23*($AP239-N($Q239)),"Risk over max %; ",""),"")&amp;IF(AND(ISNUMBER(Settings!$C$24),ISNUMBER($N239)),IF($N239&gt;Settings!$C$24,"Leverage over max; ",""),"")&amp;IF(AND(ISNUMBER(Settings!$C$27),ISNUMBER($T239)),IF($T239&lt;Settings!$C$27,"R:R below min; ",""),"")&amp;IF(ISNUMBER(Settings!$C$25),IF(COUNTIFS($A$6:$A239,$A239,$AM$6:$AM239,1)&gt;Settings!$C$25,"Over max trades/day; ",""),"")&amp;IF(ISNUMBER(Settings!$C$26),IF(SUMIFS($Q$5:$Q238,$A$5:$A238,$A239)&lt;=-Settings!$C$26,"Traded after daily max loss; ",""),"")&amp;IF(AND($AG239="",NOT(ISNUMBER($O239))),"Symbol not in Instruments; ","")&amp;IF(AND($AH239="",NOT(ISNUMBER($O239))),"Forex cross: type Gross P&amp;L; ",""))</f>
        <v/>
      </c>
      <c r="BH239" s="56">
        <f>IF(ISNUMBER($Q239),1,0)</f>
        <v>0</v>
      </c>
      <c r="BI239" s="56">
        <f>IF($Y239="",0,1)</f>
        <v>0</v>
      </c>
      <c r="BJ239" s="56">
        <f>IF($AB239="",0,1)</f>
        <v>0</v>
      </c>
      <c r="BK239" s="56">
        <f>IF(AND($BH239=1,$W239&lt;&gt;"OK"),1,0)</f>
        <v>0</v>
      </c>
      <c r="BL239" s="55">
        <f>IF(N($AZ239)=0,0,IFERROR(INDEX($AT$6:$AT$1005,MATCH($AZ239,$AY$6:$AY$1005,0)),0))</f>
        <v>1187.10688</v>
      </c>
      <c r="BM239" s="56">
        <f>IF(ISNUMBER(SEARCH("daily max loss",$BG239)),1,0)</f>
        <v>0</v>
      </c>
    </row>
    <row r="240" ht="18" customHeight="1">
      <c r="A240" s="38" t="n"/>
      <c r="B240" s="39" t="n"/>
      <c r="C240" s="40" t="n"/>
      <c r="D240" s="41" t="n"/>
      <c r="E240" s="41" t="n"/>
      <c r="F240" s="41" t="n"/>
      <c r="G240" s="41" t="n"/>
      <c r="H240" s="42" t="n"/>
      <c r="I240" s="42" t="n"/>
      <c r="J240" s="42" t="n"/>
      <c r="K240" s="42" t="n"/>
      <c r="L240" s="41" t="n"/>
      <c r="M240" s="41" t="n"/>
      <c r="N240" s="41" t="n"/>
      <c r="O240" s="43" t="n"/>
      <c r="P240" s="43" t="n"/>
      <c r="Q240" s="44" t="str">
        <f>IF($AM240=0,"",IF(ISNUMBER($AK240),$AK240-N($AL240),""))</f>
        <v/>
      </c>
      <c r="R240" s="45" t="str">
        <f>IF(OR($Q240="",NOT(ISNUMBER($V240))),"",$AK240/$V240)</f>
        <v/>
      </c>
      <c r="S240" s="46" t="str">
        <f>IF($Q240="","",IF(AND(ISNUMBER($R240),ABS(N($R240))&lt;N(Settings!$C$8)),"Scratch",IF($Q240&gt;0,"Win",IF($Q240&lt;0,"Loss","Scratch"))))</f>
        <v/>
      </c>
      <c r="T240" s="47" t="str">
        <f>IF(OR($AM240=0,NOT(ISNUMBER($H240)),NOT(ISNUMBER($I240)),NOT(ISNUMBER($J240))),"",IF($H240=$I240,"",ROUND(ABS($J240-$H240)/ABS($H240-$I240),6)))</f>
        <v/>
      </c>
      <c r="U240" s="48" t="str">
        <f>IF(OR($S240&lt;&gt;"Win",NOT(ISNUMBER($T240)),NOT(ISNUMBER($R240))),"",MAX(0,$T240-$R240))</f>
        <v/>
      </c>
      <c r="V240" s="49" t="str">
        <f>IF(OR($AM240=0,NOT(ISNUMBER($H240)),NOT(ISNUMBER($I240)),NOT(ISNUMBER($G240))),"",IF(OR($AG240="",$AH240=""),"",IF(ROUND(ABS($H240-$I240)*ABS($G240)*$AG240*$AH240,6)=0,"",ROUND(ABS($H240-$I240)*ABS($G240)*$AG240*$AH240,6))))</f>
        <v/>
      </c>
      <c r="W240" s="50" t="str">
        <f>IF($AM240=0,"",IF($BG240="","OK",LEFT($BG240,LEN($BG240)-2)))</f>
        <v/>
      </c>
      <c r="X240" s="41" t="n"/>
      <c r="Y240" s="40" t="n"/>
      <c r="Z240" s="41" t="n"/>
      <c r="AA240" s="41" t="n"/>
      <c r="AB240" s="40" t="n"/>
      <c r="AC240" s="51" t="n"/>
      <c r="AD240" s="51" t="n"/>
      <c r="AE240" s="40" t="n"/>
      <c r="AF240" s="52" t="str">
        <f>IF($AM240=0,"",IF($D240&lt;&gt;"",$D240,IF(IFERROR(INDEX(Accounts!$C$7:$C$16,MATCH($C240,Accounts!$B$7:$B$16,0))&amp;"","")&lt;&gt;"",INDEX(Accounts!$C$7:$C$16,MATCH($C240,Accounts!$B$7:$B$16,0)),Settings!$C$6)))</f>
        <v/>
      </c>
      <c r="AG240" s="53" t="str">
        <f>IF($AM240=0,"",IF(AND($BE240&gt;0,N(INDEX(Instruments!$D$6:$D$205,MAX(1,$BE240)))&gt;0),INDEX(Instruments!$D$6:$D$205,MAX(1,$BE240)),IF(N(INDEX(Settings!$D$14:$D$18,$BF240))&gt;0,INDEX(Settings!$D$14:$D$18,$BF240),"")))</f>
        <v/>
      </c>
      <c r="AH240" s="54" t="str">
        <f>IF($AM240=0,"",IF($AF240&lt;&gt;"Forex",1,IF(MID(UPPER(SUBSTITUTE(TRIM($E240),"/","")),4,3)=UPPER(TRIM(Settings!$C$7)),1,IF(LEFT(UPPER(SUBSTITUTE(TRIM($E240),"/","")),3)=UPPER(TRIM(Settings!$C$7)),IF(AND(ISNUMBER($K240),N($K240)&lt;&gt;0),1/$K240,""),""))))</f>
        <v/>
      </c>
      <c r="AI240" s="55" t="str">
        <f>IF($AM240=0,"",IF(OR(NOT(ISNUMBER($H240)),NOT(ISNUMBER($K240)),NOT(ISNUMBER($G240)),$AG240="",$AH240=""),"",ROUND(($K240-$H240)*IF($F240="Short",-1,1)*$G240*$AG240*$AH240,6)))</f>
        <v/>
      </c>
      <c r="AJ240" s="55" t="str">
        <f>IF($AM240=0,"",IF(INDEX(Settings!$E$14:$E$18,$BF240)="% of notional",IF(OR($AG240="",NOT(ISNUMBER($H240)),NOT(ISNUMBER($G240))),"",ROUND(ABS($H240*$G240*$AG240*N($AH240))*IF($L240="Limit",N(INDEX(Settings!$G$14:$G$18,$BF240)),N(INDEX(Settings!$H$14:$H$18,$BF240)))+IF(ISNUMBER($K240),ABS($K240*$G240*$AG240*N($AH240))*IF($M240="Target",N(INDEX(Settings!$G$14:$G$18,$BF240)),N(INDEX(Settings!$H$14:$H$18,$BF240))),0),6)),IF(NOT(ISNUMBER($G240)),"",ROUND(ABS($G240)*2*IF(AND($BE240&gt;0,ISNUMBER(INDEX(Instruments!$G$6:$G$205,MAX(1,$BE240)))),INDEX(Instruments!$G$6:$G$205,MAX(1,$BE240)),N(INDEX(Settings!$F$14:$F$18,$BF240))),6))))</f>
        <v/>
      </c>
      <c r="AK240" s="55" t="str">
        <f>IF($AM240=0,"",IF(ISNUMBER($O240),$O240,$AI240))</f>
        <v/>
      </c>
      <c r="AL240" s="55" t="str">
        <f>IF($AM240=0,"",IF(ISNUMBER($P240),$P240,N($AJ240)))</f>
        <v/>
      </c>
      <c r="AM240" s="56">
        <f>IF(AND($A240&lt;&gt;"",$E240&lt;&gt;"",OR(AND(ISNUMBER($G240),ISNUMBER($H240),ISNUMBER($K240)),ISNUMBER($O240))),1,0)</f>
        <v>0</v>
      </c>
      <c r="AN240" s="57" t="str">
        <f>IF($A240="","",$A240-WEEKDAY($A240,3))</f>
        <v/>
      </c>
      <c r="AO240" s="56" t="str">
        <f>IF($A240="","",WEEKDAY($A240,2))</f>
        <v/>
      </c>
      <c r="AP240" s="55" t="str">
        <f>IF(OR($AM240=0,$C240=""),"",IFERROR(N(INDEX(Accounts!$E$7:$E$16,MATCH($C240,Accounts!$B$7:$B$16,0))),0)+SUMIFS($Q$6:$Q240,$C$6:$C240,$C240))</f>
        <v/>
      </c>
      <c r="AQ240" s="55" t="str">
        <f>IF(OR($AM240=0,$C240=""),"",SUMIFS($Q$6:$Q$1005,$C$6:$C$1005,$C240,$A$6:$A$1005,$A240))</f>
        <v/>
      </c>
      <c r="AR240" s="55" t="str">
        <f>IF(OR($AM240=0,$C240=""),"",IFERROR(N(INDEX(Accounts!$E$7:$E$16,MATCH($C240,Accounts!$B$7:$B$16,0))),0)+SUMIFS($Q$6:$Q$1005,$C$6:$C$1005,$C240,$A$6:$A$1005,"&lt;="&amp;$A240))</f>
        <v/>
      </c>
      <c r="AS240" s="56">
        <f>IF(OR($AM240=0,$Q240=""),0,IF(AND($A240&gt;=Lists!$W$6,$A240&lt;=Lists!$W$7,OR(Dashboard!$D$6="All accounts",$C240=Dashboard!$D$6),OR(Dashboard!$D$7="All markets",$AF240=Dashboard!$D$7)),1,0))</f>
        <v>0</v>
      </c>
      <c r="AT240" s="55">
        <f>IF($AS240=1,N(AT239)+$Q240,N(AT239))</f>
        <v>1187.10688</v>
      </c>
      <c r="AU240" s="55">
        <f>MAX(N(AU239),$AT240)</f>
        <v>1187.10688</v>
      </c>
      <c r="AV240" s="55">
        <f>$AT240-$AU240</f>
        <v>0</v>
      </c>
      <c r="AW240" s="56">
        <f>IF($AS240=1,IF($S240="Win",N(AW239)+1,IF($S240="Loss",0,N(AW239))),N(AW239))</f>
        <v>5</v>
      </c>
      <c r="AX240" s="56">
        <f>IF($AS240=1,IF($S240="Loss",N(AX239)+1,IF($S240="Win",0,N(AX239))),N(AX239))</f>
        <v>0</v>
      </c>
      <c r="AY240" s="56" t="str">
        <f>IF($AS240=1,COUNTIF($AS$6:$AS240,1),"")</f>
        <v/>
      </c>
      <c r="AZ240" s="56">
        <f>MIN(234,N(Lists!$W$8))</f>
        <v>28</v>
      </c>
      <c r="BA240" s="56">
        <f>IF($AS240=1,IF(COUNTIFS($A$6:$A240,$A240,$AS$6:$AS240,1)=1,1,0),0)</f>
        <v>0</v>
      </c>
      <c r="BB240" s="55" t="str">
        <f>IF($BA240=1,SUMIFS($Q$6:$Q$1005,$A$6:$A$1005,$A240,$AS$6:$AS$1005,1),"")</f>
        <v/>
      </c>
      <c r="BC240" s="56">
        <f>IF(ISNUMBER($R240),1,0)</f>
        <v>0</v>
      </c>
      <c r="BD240" s="55" t="str">
        <f>IF(ISNUMBER($U240),$U240*$V240,"")</f>
        <v/>
      </c>
      <c r="BE240" s="56" t="str">
        <f>IF($AM240=0,"",IFERROR(MATCH($AF240&amp;"|"&amp;UPPER(TRIM($E240)),Lists!$A$6:$A$205,0),0))</f>
        <v/>
      </c>
      <c r="BF240" s="56" t="str">
        <f>IF($AM240=0,"",IFERROR(MATCH($AF240,Settings!$B$14:$B$18,0),IFERROR(MATCH(Settings!$C$6,Settings!$B$14:$B$18,0),1)))</f>
        <v/>
      </c>
      <c r="BG240" s="58" t="str">
        <f>IF($AM240=0,"",IF(NOT(ISNUMBER($I240)),"No stop; ","")&amp;IF(AND(ISNUMBER($H240),ISNUMBER($I240)),IF(OR(AND($F240&lt;&gt;"Short",$I240&gt;=$H240),AND($F240="Short",$I240&lt;=$H240)),"Stop on wrong side; ",""),"")&amp;IF($F240="","No direction; ","")&amp;IF(AND(ISNUMBER(Settings!$C$22),ISNUMBER($V240)),IF($V240&gt;Settings!$C$22,"Risk over max $; ",""),"")&amp;IF(AND(ISNUMBER(Settings!$C$23),ISNUMBER($V240),ISNUMBER($AP240),IFERROR(N(INDEX(Accounts!$E$7:$E$16,MATCH($C240,Accounts!$B$7:$B$16,0))),0)&gt;0),IF($V240&gt;Settings!$C$23*($AP240-N($Q240)),"Risk over max %; ",""),"")&amp;IF(AND(ISNUMBER(Settings!$C$24),ISNUMBER($N240)),IF($N240&gt;Settings!$C$24,"Leverage over max; ",""),"")&amp;IF(AND(ISNUMBER(Settings!$C$27),ISNUMBER($T240)),IF($T240&lt;Settings!$C$27,"R:R below min; ",""),"")&amp;IF(ISNUMBER(Settings!$C$25),IF(COUNTIFS($A$6:$A240,$A240,$AM$6:$AM240,1)&gt;Settings!$C$25,"Over max trades/day; ",""),"")&amp;IF(ISNUMBER(Settings!$C$26),IF(SUMIFS($Q$5:$Q239,$A$5:$A239,$A240)&lt;=-Settings!$C$26,"Traded after daily max loss; ",""),"")&amp;IF(AND($AG240="",NOT(ISNUMBER($O240))),"Symbol not in Instruments; ","")&amp;IF(AND($AH240="",NOT(ISNUMBER($O240))),"Forex cross: type Gross P&amp;L; ",""))</f>
        <v/>
      </c>
      <c r="BH240" s="56">
        <f>IF(ISNUMBER($Q240),1,0)</f>
        <v>0</v>
      </c>
      <c r="BI240" s="56">
        <f>IF($Y240="",0,1)</f>
        <v>0</v>
      </c>
      <c r="BJ240" s="56">
        <f>IF($AB240="",0,1)</f>
        <v>0</v>
      </c>
      <c r="BK240" s="56">
        <f>IF(AND($BH240=1,$W240&lt;&gt;"OK"),1,0)</f>
        <v>0</v>
      </c>
      <c r="BL240" s="55">
        <f>IF(N($AZ240)=0,0,IFERROR(INDEX($AT$6:$AT$1005,MATCH($AZ240,$AY$6:$AY$1005,0)),0))</f>
        <v>1187.10688</v>
      </c>
      <c r="BM240" s="56">
        <f>IF(ISNUMBER(SEARCH("daily max loss",$BG240)),1,0)</f>
        <v>0</v>
      </c>
    </row>
    <row r="241" ht="18" customHeight="1">
      <c r="A241" s="38" t="n"/>
      <c r="B241" s="39" t="n"/>
      <c r="C241" s="40" t="n"/>
      <c r="D241" s="41" t="n"/>
      <c r="E241" s="41" t="n"/>
      <c r="F241" s="41" t="n"/>
      <c r="G241" s="41" t="n"/>
      <c r="H241" s="42" t="n"/>
      <c r="I241" s="42" t="n"/>
      <c r="J241" s="42" t="n"/>
      <c r="K241" s="42" t="n"/>
      <c r="L241" s="41" t="n"/>
      <c r="M241" s="41" t="n"/>
      <c r="N241" s="41" t="n"/>
      <c r="O241" s="43" t="n"/>
      <c r="P241" s="43" t="n"/>
      <c r="Q241" s="44" t="str">
        <f>IF($AM241=0,"",IF(ISNUMBER($AK241),$AK241-N($AL241),""))</f>
        <v/>
      </c>
      <c r="R241" s="45" t="str">
        <f>IF(OR($Q241="",NOT(ISNUMBER($V241))),"",$AK241/$V241)</f>
        <v/>
      </c>
      <c r="S241" s="46" t="str">
        <f>IF($Q241="","",IF(AND(ISNUMBER($R241),ABS(N($R241))&lt;N(Settings!$C$8)),"Scratch",IF($Q241&gt;0,"Win",IF($Q241&lt;0,"Loss","Scratch"))))</f>
        <v/>
      </c>
      <c r="T241" s="47" t="str">
        <f>IF(OR($AM241=0,NOT(ISNUMBER($H241)),NOT(ISNUMBER($I241)),NOT(ISNUMBER($J241))),"",IF($H241=$I241,"",ROUND(ABS($J241-$H241)/ABS($H241-$I241),6)))</f>
        <v/>
      </c>
      <c r="U241" s="48" t="str">
        <f>IF(OR($S241&lt;&gt;"Win",NOT(ISNUMBER($T241)),NOT(ISNUMBER($R241))),"",MAX(0,$T241-$R241))</f>
        <v/>
      </c>
      <c r="V241" s="49" t="str">
        <f>IF(OR($AM241=0,NOT(ISNUMBER($H241)),NOT(ISNUMBER($I241)),NOT(ISNUMBER($G241))),"",IF(OR($AG241="",$AH241=""),"",IF(ROUND(ABS($H241-$I241)*ABS($G241)*$AG241*$AH241,6)=0,"",ROUND(ABS($H241-$I241)*ABS($G241)*$AG241*$AH241,6))))</f>
        <v/>
      </c>
      <c r="W241" s="50" t="str">
        <f>IF($AM241=0,"",IF($BG241="","OK",LEFT($BG241,LEN($BG241)-2)))</f>
        <v/>
      </c>
      <c r="X241" s="41" t="n"/>
      <c r="Y241" s="40" t="n"/>
      <c r="Z241" s="41" t="n"/>
      <c r="AA241" s="41" t="n"/>
      <c r="AB241" s="40" t="n"/>
      <c r="AC241" s="51" t="n"/>
      <c r="AD241" s="51" t="n"/>
      <c r="AE241" s="40" t="n"/>
      <c r="AF241" s="52" t="str">
        <f>IF($AM241=0,"",IF($D241&lt;&gt;"",$D241,IF(IFERROR(INDEX(Accounts!$C$7:$C$16,MATCH($C241,Accounts!$B$7:$B$16,0))&amp;"","")&lt;&gt;"",INDEX(Accounts!$C$7:$C$16,MATCH($C241,Accounts!$B$7:$B$16,0)),Settings!$C$6)))</f>
        <v/>
      </c>
      <c r="AG241" s="53" t="str">
        <f>IF($AM241=0,"",IF(AND($BE241&gt;0,N(INDEX(Instruments!$D$6:$D$205,MAX(1,$BE241)))&gt;0),INDEX(Instruments!$D$6:$D$205,MAX(1,$BE241)),IF(N(INDEX(Settings!$D$14:$D$18,$BF241))&gt;0,INDEX(Settings!$D$14:$D$18,$BF241),"")))</f>
        <v/>
      </c>
      <c r="AH241" s="54" t="str">
        <f>IF($AM241=0,"",IF($AF241&lt;&gt;"Forex",1,IF(MID(UPPER(SUBSTITUTE(TRIM($E241),"/","")),4,3)=UPPER(TRIM(Settings!$C$7)),1,IF(LEFT(UPPER(SUBSTITUTE(TRIM($E241),"/","")),3)=UPPER(TRIM(Settings!$C$7)),IF(AND(ISNUMBER($K241),N($K241)&lt;&gt;0),1/$K241,""),""))))</f>
        <v/>
      </c>
      <c r="AI241" s="55" t="str">
        <f>IF($AM241=0,"",IF(OR(NOT(ISNUMBER($H241)),NOT(ISNUMBER($K241)),NOT(ISNUMBER($G241)),$AG241="",$AH241=""),"",ROUND(($K241-$H241)*IF($F241="Short",-1,1)*$G241*$AG241*$AH241,6)))</f>
        <v/>
      </c>
      <c r="AJ241" s="55" t="str">
        <f>IF($AM241=0,"",IF(INDEX(Settings!$E$14:$E$18,$BF241)="% of notional",IF(OR($AG241="",NOT(ISNUMBER($H241)),NOT(ISNUMBER($G241))),"",ROUND(ABS($H241*$G241*$AG241*N($AH241))*IF($L241="Limit",N(INDEX(Settings!$G$14:$G$18,$BF241)),N(INDEX(Settings!$H$14:$H$18,$BF241)))+IF(ISNUMBER($K241),ABS($K241*$G241*$AG241*N($AH241))*IF($M241="Target",N(INDEX(Settings!$G$14:$G$18,$BF241)),N(INDEX(Settings!$H$14:$H$18,$BF241))),0),6)),IF(NOT(ISNUMBER($G241)),"",ROUND(ABS($G241)*2*IF(AND($BE241&gt;0,ISNUMBER(INDEX(Instruments!$G$6:$G$205,MAX(1,$BE241)))),INDEX(Instruments!$G$6:$G$205,MAX(1,$BE241)),N(INDEX(Settings!$F$14:$F$18,$BF241))),6))))</f>
        <v/>
      </c>
      <c r="AK241" s="55" t="str">
        <f>IF($AM241=0,"",IF(ISNUMBER($O241),$O241,$AI241))</f>
        <v/>
      </c>
      <c r="AL241" s="55" t="str">
        <f>IF($AM241=0,"",IF(ISNUMBER($P241),$P241,N($AJ241)))</f>
        <v/>
      </c>
      <c r="AM241" s="56">
        <f>IF(AND($A241&lt;&gt;"",$E241&lt;&gt;"",OR(AND(ISNUMBER($G241),ISNUMBER($H241),ISNUMBER($K241)),ISNUMBER($O241))),1,0)</f>
        <v>0</v>
      </c>
      <c r="AN241" s="57" t="str">
        <f>IF($A241="","",$A241-WEEKDAY($A241,3))</f>
        <v/>
      </c>
      <c r="AO241" s="56" t="str">
        <f>IF($A241="","",WEEKDAY($A241,2))</f>
        <v/>
      </c>
      <c r="AP241" s="55" t="str">
        <f>IF(OR($AM241=0,$C241=""),"",IFERROR(N(INDEX(Accounts!$E$7:$E$16,MATCH($C241,Accounts!$B$7:$B$16,0))),0)+SUMIFS($Q$6:$Q241,$C$6:$C241,$C241))</f>
        <v/>
      </c>
      <c r="AQ241" s="55" t="str">
        <f>IF(OR($AM241=0,$C241=""),"",SUMIFS($Q$6:$Q$1005,$C$6:$C$1005,$C241,$A$6:$A$1005,$A241))</f>
        <v/>
      </c>
      <c r="AR241" s="55" t="str">
        <f>IF(OR($AM241=0,$C241=""),"",IFERROR(N(INDEX(Accounts!$E$7:$E$16,MATCH($C241,Accounts!$B$7:$B$16,0))),0)+SUMIFS($Q$6:$Q$1005,$C$6:$C$1005,$C241,$A$6:$A$1005,"&lt;="&amp;$A241))</f>
        <v/>
      </c>
      <c r="AS241" s="56">
        <f>IF(OR($AM241=0,$Q241=""),0,IF(AND($A241&gt;=Lists!$W$6,$A241&lt;=Lists!$W$7,OR(Dashboard!$D$6="All accounts",$C241=Dashboard!$D$6),OR(Dashboard!$D$7="All markets",$AF241=Dashboard!$D$7)),1,0))</f>
        <v>0</v>
      </c>
      <c r="AT241" s="55">
        <f>IF($AS241=1,N(AT240)+$Q241,N(AT240))</f>
        <v>1187.10688</v>
      </c>
      <c r="AU241" s="55">
        <f>MAX(N(AU240),$AT241)</f>
        <v>1187.10688</v>
      </c>
      <c r="AV241" s="55">
        <f>$AT241-$AU241</f>
        <v>0</v>
      </c>
      <c r="AW241" s="56">
        <f>IF($AS241=1,IF($S241="Win",N(AW240)+1,IF($S241="Loss",0,N(AW240))),N(AW240))</f>
        <v>5</v>
      </c>
      <c r="AX241" s="56">
        <f>IF($AS241=1,IF($S241="Loss",N(AX240)+1,IF($S241="Win",0,N(AX240))),N(AX240))</f>
        <v>0</v>
      </c>
      <c r="AY241" s="56" t="str">
        <f>IF($AS241=1,COUNTIF($AS$6:$AS241,1),"")</f>
        <v/>
      </c>
      <c r="AZ241" s="56">
        <f>MIN(235,N(Lists!$W$8))</f>
        <v>28</v>
      </c>
      <c r="BA241" s="56">
        <f>IF($AS241=1,IF(COUNTIFS($A$6:$A241,$A241,$AS$6:$AS241,1)=1,1,0),0)</f>
        <v>0</v>
      </c>
      <c r="BB241" s="55" t="str">
        <f>IF($BA241=1,SUMIFS($Q$6:$Q$1005,$A$6:$A$1005,$A241,$AS$6:$AS$1005,1),"")</f>
        <v/>
      </c>
      <c r="BC241" s="56">
        <f>IF(ISNUMBER($R241),1,0)</f>
        <v>0</v>
      </c>
      <c r="BD241" s="55" t="str">
        <f>IF(ISNUMBER($U241),$U241*$V241,"")</f>
        <v/>
      </c>
      <c r="BE241" s="56" t="str">
        <f>IF($AM241=0,"",IFERROR(MATCH($AF241&amp;"|"&amp;UPPER(TRIM($E241)),Lists!$A$6:$A$205,0),0))</f>
        <v/>
      </c>
      <c r="BF241" s="56" t="str">
        <f>IF($AM241=0,"",IFERROR(MATCH($AF241,Settings!$B$14:$B$18,0),IFERROR(MATCH(Settings!$C$6,Settings!$B$14:$B$18,0),1)))</f>
        <v/>
      </c>
      <c r="BG241" s="58" t="str">
        <f>IF($AM241=0,"",IF(NOT(ISNUMBER($I241)),"No stop; ","")&amp;IF(AND(ISNUMBER($H241),ISNUMBER($I241)),IF(OR(AND($F241&lt;&gt;"Short",$I241&gt;=$H241),AND($F241="Short",$I241&lt;=$H241)),"Stop on wrong side; ",""),"")&amp;IF($F241="","No direction; ","")&amp;IF(AND(ISNUMBER(Settings!$C$22),ISNUMBER($V241)),IF($V241&gt;Settings!$C$22,"Risk over max $; ",""),"")&amp;IF(AND(ISNUMBER(Settings!$C$23),ISNUMBER($V241),ISNUMBER($AP241),IFERROR(N(INDEX(Accounts!$E$7:$E$16,MATCH($C241,Accounts!$B$7:$B$16,0))),0)&gt;0),IF($V241&gt;Settings!$C$23*($AP241-N($Q241)),"Risk over max %; ",""),"")&amp;IF(AND(ISNUMBER(Settings!$C$24),ISNUMBER($N241)),IF($N241&gt;Settings!$C$24,"Leverage over max; ",""),"")&amp;IF(AND(ISNUMBER(Settings!$C$27),ISNUMBER($T241)),IF($T241&lt;Settings!$C$27,"R:R below min; ",""),"")&amp;IF(ISNUMBER(Settings!$C$25),IF(COUNTIFS($A$6:$A241,$A241,$AM$6:$AM241,1)&gt;Settings!$C$25,"Over max trades/day; ",""),"")&amp;IF(ISNUMBER(Settings!$C$26),IF(SUMIFS($Q$5:$Q240,$A$5:$A240,$A241)&lt;=-Settings!$C$26,"Traded after daily max loss; ",""),"")&amp;IF(AND($AG241="",NOT(ISNUMBER($O241))),"Symbol not in Instruments; ","")&amp;IF(AND($AH241="",NOT(ISNUMBER($O241))),"Forex cross: type Gross P&amp;L; ",""))</f>
        <v/>
      </c>
      <c r="BH241" s="56">
        <f>IF(ISNUMBER($Q241),1,0)</f>
        <v>0</v>
      </c>
      <c r="BI241" s="56">
        <f>IF($Y241="",0,1)</f>
        <v>0</v>
      </c>
      <c r="BJ241" s="56">
        <f>IF($AB241="",0,1)</f>
        <v>0</v>
      </c>
      <c r="BK241" s="56">
        <f>IF(AND($BH241=1,$W241&lt;&gt;"OK"),1,0)</f>
        <v>0</v>
      </c>
      <c r="BL241" s="55">
        <f>IF(N($AZ241)=0,0,IFERROR(INDEX($AT$6:$AT$1005,MATCH($AZ241,$AY$6:$AY$1005,0)),0))</f>
        <v>1187.10688</v>
      </c>
      <c r="BM241" s="56">
        <f>IF(ISNUMBER(SEARCH("daily max loss",$BG241)),1,0)</f>
        <v>0</v>
      </c>
    </row>
    <row r="242" ht="18" customHeight="1">
      <c r="A242" s="38" t="n"/>
      <c r="B242" s="39" t="n"/>
      <c r="C242" s="40" t="n"/>
      <c r="D242" s="41" t="n"/>
      <c r="E242" s="41" t="n"/>
      <c r="F242" s="41" t="n"/>
      <c r="G242" s="41" t="n"/>
      <c r="H242" s="42" t="n"/>
      <c r="I242" s="42" t="n"/>
      <c r="J242" s="42" t="n"/>
      <c r="K242" s="42" t="n"/>
      <c r="L242" s="41" t="n"/>
      <c r="M242" s="41" t="n"/>
      <c r="N242" s="41" t="n"/>
      <c r="O242" s="43" t="n"/>
      <c r="P242" s="43" t="n"/>
      <c r="Q242" s="44" t="str">
        <f>IF($AM242=0,"",IF(ISNUMBER($AK242),$AK242-N($AL242),""))</f>
        <v/>
      </c>
      <c r="R242" s="45" t="str">
        <f>IF(OR($Q242="",NOT(ISNUMBER($V242))),"",$AK242/$V242)</f>
        <v/>
      </c>
      <c r="S242" s="46" t="str">
        <f>IF($Q242="","",IF(AND(ISNUMBER($R242),ABS(N($R242))&lt;N(Settings!$C$8)),"Scratch",IF($Q242&gt;0,"Win",IF($Q242&lt;0,"Loss","Scratch"))))</f>
        <v/>
      </c>
      <c r="T242" s="47" t="str">
        <f>IF(OR($AM242=0,NOT(ISNUMBER($H242)),NOT(ISNUMBER($I242)),NOT(ISNUMBER($J242))),"",IF($H242=$I242,"",ROUND(ABS($J242-$H242)/ABS($H242-$I242),6)))</f>
        <v/>
      </c>
      <c r="U242" s="48" t="str">
        <f>IF(OR($S242&lt;&gt;"Win",NOT(ISNUMBER($T242)),NOT(ISNUMBER($R242))),"",MAX(0,$T242-$R242))</f>
        <v/>
      </c>
      <c r="V242" s="49" t="str">
        <f>IF(OR($AM242=0,NOT(ISNUMBER($H242)),NOT(ISNUMBER($I242)),NOT(ISNUMBER($G242))),"",IF(OR($AG242="",$AH242=""),"",IF(ROUND(ABS($H242-$I242)*ABS($G242)*$AG242*$AH242,6)=0,"",ROUND(ABS($H242-$I242)*ABS($G242)*$AG242*$AH242,6))))</f>
        <v/>
      </c>
      <c r="W242" s="50" t="str">
        <f>IF($AM242=0,"",IF($BG242="","OK",LEFT($BG242,LEN($BG242)-2)))</f>
        <v/>
      </c>
      <c r="X242" s="41" t="n"/>
      <c r="Y242" s="40" t="n"/>
      <c r="Z242" s="41" t="n"/>
      <c r="AA242" s="41" t="n"/>
      <c r="AB242" s="40" t="n"/>
      <c r="AC242" s="51" t="n"/>
      <c r="AD242" s="51" t="n"/>
      <c r="AE242" s="40" t="n"/>
      <c r="AF242" s="52" t="str">
        <f>IF($AM242=0,"",IF($D242&lt;&gt;"",$D242,IF(IFERROR(INDEX(Accounts!$C$7:$C$16,MATCH($C242,Accounts!$B$7:$B$16,0))&amp;"","")&lt;&gt;"",INDEX(Accounts!$C$7:$C$16,MATCH($C242,Accounts!$B$7:$B$16,0)),Settings!$C$6)))</f>
        <v/>
      </c>
      <c r="AG242" s="53" t="str">
        <f>IF($AM242=0,"",IF(AND($BE242&gt;0,N(INDEX(Instruments!$D$6:$D$205,MAX(1,$BE242)))&gt;0),INDEX(Instruments!$D$6:$D$205,MAX(1,$BE242)),IF(N(INDEX(Settings!$D$14:$D$18,$BF242))&gt;0,INDEX(Settings!$D$14:$D$18,$BF242),"")))</f>
        <v/>
      </c>
      <c r="AH242" s="54" t="str">
        <f>IF($AM242=0,"",IF($AF242&lt;&gt;"Forex",1,IF(MID(UPPER(SUBSTITUTE(TRIM($E242),"/","")),4,3)=UPPER(TRIM(Settings!$C$7)),1,IF(LEFT(UPPER(SUBSTITUTE(TRIM($E242),"/","")),3)=UPPER(TRIM(Settings!$C$7)),IF(AND(ISNUMBER($K242),N($K242)&lt;&gt;0),1/$K242,""),""))))</f>
        <v/>
      </c>
      <c r="AI242" s="55" t="str">
        <f>IF($AM242=0,"",IF(OR(NOT(ISNUMBER($H242)),NOT(ISNUMBER($K242)),NOT(ISNUMBER($G242)),$AG242="",$AH242=""),"",ROUND(($K242-$H242)*IF($F242="Short",-1,1)*$G242*$AG242*$AH242,6)))</f>
        <v/>
      </c>
      <c r="AJ242" s="55" t="str">
        <f>IF($AM242=0,"",IF(INDEX(Settings!$E$14:$E$18,$BF242)="% of notional",IF(OR($AG242="",NOT(ISNUMBER($H242)),NOT(ISNUMBER($G242))),"",ROUND(ABS($H242*$G242*$AG242*N($AH242))*IF($L242="Limit",N(INDEX(Settings!$G$14:$G$18,$BF242)),N(INDEX(Settings!$H$14:$H$18,$BF242)))+IF(ISNUMBER($K242),ABS($K242*$G242*$AG242*N($AH242))*IF($M242="Target",N(INDEX(Settings!$G$14:$G$18,$BF242)),N(INDEX(Settings!$H$14:$H$18,$BF242))),0),6)),IF(NOT(ISNUMBER($G242)),"",ROUND(ABS($G242)*2*IF(AND($BE242&gt;0,ISNUMBER(INDEX(Instruments!$G$6:$G$205,MAX(1,$BE242)))),INDEX(Instruments!$G$6:$G$205,MAX(1,$BE242)),N(INDEX(Settings!$F$14:$F$18,$BF242))),6))))</f>
        <v/>
      </c>
      <c r="AK242" s="55" t="str">
        <f>IF($AM242=0,"",IF(ISNUMBER($O242),$O242,$AI242))</f>
        <v/>
      </c>
      <c r="AL242" s="55" t="str">
        <f>IF($AM242=0,"",IF(ISNUMBER($P242),$P242,N($AJ242)))</f>
        <v/>
      </c>
      <c r="AM242" s="56">
        <f>IF(AND($A242&lt;&gt;"",$E242&lt;&gt;"",OR(AND(ISNUMBER($G242),ISNUMBER($H242),ISNUMBER($K242)),ISNUMBER($O242))),1,0)</f>
        <v>0</v>
      </c>
      <c r="AN242" s="57" t="str">
        <f>IF($A242="","",$A242-WEEKDAY($A242,3))</f>
        <v/>
      </c>
      <c r="AO242" s="56" t="str">
        <f>IF($A242="","",WEEKDAY($A242,2))</f>
        <v/>
      </c>
      <c r="AP242" s="55" t="str">
        <f>IF(OR($AM242=0,$C242=""),"",IFERROR(N(INDEX(Accounts!$E$7:$E$16,MATCH($C242,Accounts!$B$7:$B$16,0))),0)+SUMIFS($Q$6:$Q242,$C$6:$C242,$C242))</f>
        <v/>
      </c>
      <c r="AQ242" s="55" t="str">
        <f>IF(OR($AM242=0,$C242=""),"",SUMIFS($Q$6:$Q$1005,$C$6:$C$1005,$C242,$A$6:$A$1005,$A242))</f>
        <v/>
      </c>
      <c r="AR242" s="55" t="str">
        <f>IF(OR($AM242=0,$C242=""),"",IFERROR(N(INDEX(Accounts!$E$7:$E$16,MATCH($C242,Accounts!$B$7:$B$16,0))),0)+SUMIFS($Q$6:$Q$1005,$C$6:$C$1005,$C242,$A$6:$A$1005,"&lt;="&amp;$A242))</f>
        <v/>
      </c>
      <c r="AS242" s="56">
        <f>IF(OR($AM242=0,$Q242=""),0,IF(AND($A242&gt;=Lists!$W$6,$A242&lt;=Lists!$W$7,OR(Dashboard!$D$6="All accounts",$C242=Dashboard!$D$6),OR(Dashboard!$D$7="All markets",$AF242=Dashboard!$D$7)),1,0))</f>
        <v>0</v>
      </c>
      <c r="AT242" s="55">
        <f>IF($AS242=1,N(AT241)+$Q242,N(AT241))</f>
        <v>1187.10688</v>
      </c>
      <c r="AU242" s="55">
        <f>MAX(N(AU241),$AT242)</f>
        <v>1187.10688</v>
      </c>
      <c r="AV242" s="55">
        <f>$AT242-$AU242</f>
        <v>0</v>
      </c>
      <c r="AW242" s="56">
        <f>IF($AS242=1,IF($S242="Win",N(AW241)+1,IF($S242="Loss",0,N(AW241))),N(AW241))</f>
        <v>5</v>
      </c>
      <c r="AX242" s="56">
        <f>IF($AS242=1,IF($S242="Loss",N(AX241)+1,IF($S242="Win",0,N(AX241))),N(AX241))</f>
        <v>0</v>
      </c>
      <c r="AY242" s="56" t="str">
        <f>IF($AS242=1,COUNTIF($AS$6:$AS242,1),"")</f>
        <v/>
      </c>
      <c r="AZ242" s="56">
        <f>MIN(236,N(Lists!$W$8))</f>
        <v>28</v>
      </c>
      <c r="BA242" s="56">
        <f>IF($AS242=1,IF(COUNTIFS($A$6:$A242,$A242,$AS$6:$AS242,1)=1,1,0),0)</f>
        <v>0</v>
      </c>
      <c r="BB242" s="55" t="str">
        <f>IF($BA242=1,SUMIFS($Q$6:$Q$1005,$A$6:$A$1005,$A242,$AS$6:$AS$1005,1),"")</f>
        <v/>
      </c>
      <c r="BC242" s="56">
        <f>IF(ISNUMBER($R242),1,0)</f>
        <v>0</v>
      </c>
      <c r="BD242" s="55" t="str">
        <f>IF(ISNUMBER($U242),$U242*$V242,"")</f>
        <v/>
      </c>
      <c r="BE242" s="56" t="str">
        <f>IF($AM242=0,"",IFERROR(MATCH($AF242&amp;"|"&amp;UPPER(TRIM($E242)),Lists!$A$6:$A$205,0),0))</f>
        <v/>
      </c>
      <c r="BF242" s="56" t="str">
        <f>IF($AM242=0,"",IFERROR(MATCH($AF242,Settings!$B$14:$B$18,0),IFERROR(MATCH(Settings!$C$6,Settings!$B$14:$B$18,0),1)))</f>
        <v/>
      </c>
      <c r="BG242" s="58" t="str">
        <f>IF($AM242=0,"",IF(NOT(ISNUMBER($I242)),"No stop; ","")&amp;IF(AND(ISNUMBER($H242),ISNUMBER($I242)),IF(OR(AND($F242&lt;&gt;"Short",$I242&gt;=$H242),AND($F242="Short",$I242&lt;=$H242)),"Stop on wrong side; ",""),"")&amp;IF($F242="","No direction; ","")&amp;IF(AND(ISNUMBER(Settings!$C$22),ISNUMBER($V242)),IF($V242&gt;Settings!$C$22,"Risk over max $; ",""),"")&amp;IF(AND(ISNUMBER(Settings!$C$23),ISNUMBER($V242),ISNUMBER($AP242),IFERROR(N(INDEX(Accounts!$E$7:$E$16,MATCH($C242,Accounts!$B$7:$B$16,0))),0)&gt;0),IF($V242&gt;Settings!$C$23*($AP242-N($Q242)),"Risk over max %; ",""),"")&amp;IF(AND(ISNUMBER(Settings!$C$24),ISNUMBER($N242)),IF($N242&gt;Settings!$C$24,"Leverage over max; ",""),"")&amp;IF(AND(ISNUMBER(Settings!$C$27),ISNUMBER($T242)),IF($T242&lt;Settings!$C$27,"R:R below min; ",""),"")&amp;IF(ISNUMBER(Settings!$C$25),IF(COUNTIFS($A$6:$A242,$A242,$AM$6:$AM242,1)&gt;Settings!$C$25,"Over max trades/day; ",""),"")&amp;IF(ISNUMBER(Settings!$C$26),IF(SUMIFS($Q$5:$Q241,$A$5:$A241,$A242)&lt;=-Settings!$C$26,"Traded after daily max loss; ",""),"")&amp;IF(AND($AG242="",NOT(ISNUMBER($O242))),"Symbol not in Instruments; ","")&amp;IF(AND($AH242="",NOT(ISNUMBER($O242))),"Forex cross: type Gross P&amp;L; ",""))</f>
        <v/>
      </c>
      <c r="BH242" s="56">
        <f>IF(ISNUMBER($Q242),1,0)</f>
        <v>0</v>
      </c>
      <c r="BI242" s="56">
        <f>IF($Y242="",0,1)</f>
        <v>0</v>
      </c>
      <c r="BJ242" s="56">
        <f>IF($AB242="",0,1)</f>
        <v>0</v>
      </c>
      <c r="BK242" s="56">
        <f>IF(AND($BH242=1,$W242&lt;&gt;"OK"),1,0)</f>
        <v>0</v>
      </c>
      <c r="BL242" s="55">
        <f>IF(N($AZ242)=0,0,IFERROR(INDEX($AT$6:$AT$1005,MATCH($AZ242,$AY$6:$AY$1005,0)),0))</f>
        <v>1187.10688</v>
      </c>
      <c r="BM242" s="56">
        <f>IF(ISNUMBER(SEARCH("daily max loss",$BG242)),1,0)</f>
        <v>0</v>
      </c>
    </row>
    <row r="243" ht="18" customHeight="1">
      <c r="A243" s="38" t="n"/>
      <c r="B243" s="39" t="n"/>
      <c r="C243" s="40" t="n"/>
      <c r="D243" s="41" t="n"/>
      <c r="E243" s="41" t="n"/>
      <c r="F243" s="41" t="n"/>
      <c r="G243" s="41" t="n"/>
      <c r="H243" s="42" t="n"/>
      <c r="I243" s="42" t="n"/>
      <c r="J243" s="42" t="n"/>
      <c r="K243" s="42" t="n"/>
      <c r="L243" s="41" t="n"/>
      <c r="M243" s="41" t="n"/>
      <c r="N243" s="41" t="n"/>
      <c r="O243" s="43" t="n"/>
      <c r="P243" s="43" t="n"/>
      <c r="Q243" s="44" t="str">
        <f>IF($AM243=0,"",IF(ISNUMBER($AK243),$AK243-N($AL243),""))</f>
        <v/>
      </c>
      <c r="R243" s="45" t="str">
        <f>IF(OR($Q243="",NOT(ISNUMBER($V243))),"",$AK243/$V243)</f>
        <v/>
      </c>
      <c r="S243" s="46" t="str">
        <f>IF($Q243="","",IF(AND(ISNUMBER($R243),ABS(N($R243))&lt;N(Settings!$C$8)),"Scratch",IF($Q243&gt;0,"Win",IF($Q243&lt;0,"Loss","Scratch"))))</f>
        <v/>
      </c>
      <c r="T243" s="47" t="str">
        <f>IF(OR($AM243=0,NOT(ISNUMBER($H243)),NOT(ISNUMBER($I243)),NOT(ISNUMBER($J243))),"",IF($H243=$I243,"",ROUND(ABS($J243-$H243)/ABS($H243-$I243),6)))</f>
        <v/>
      </c>
      <c r="U243" s="48" t="str">
        <f>IF(OR($S243&lt;&gt;"Win",NOT(ISNUMBER($T243)),NOT(ISNUMBER($R243))),"",MAX(0,$T243-$R243))</f>
        <v/>
      </c>
      <c r="V243" s="49" t="str">
        <f>IF(OR($AM243=0,NOT(ISNUMBER($H243)),NOT(ISNUMBER($I243)),NOT(ISNUMBER($G243))),"",IF(OR($AG243="",$AH243=""),"",IF(ROUND(ABS($H243-$I243)*ABS($G243)*$AG243*$AH243,6)=0,"",ROUND(ABS($H243-$I243)*ABS($G243)*$AG243*$AH243,6))))</f>
        <v/>
      </c>
      <c r="W243" s="50" t="str">
        <f>IF($AM243=0,"",IF($BG243="","OK",LEFT($BG243,LEN($BG243)-2)))</f>
        <v/>
      </c>
      <c r="X243" s="41" t="n"/>
      <c r="Y243" s="40" t="n"/>
      <c r="Z243" s="41" t="n"/>
      <c r="AA243" s="41" t="n"/>
      <c r="AB243" s="40" t="n"/>
      <c r="AC243" s="51" t="n"/>
      <c r="AD243" s="51" t="n"/>
      <c r="AE243" s="40" t="n"/>
      <c r="AF243" s="52" t="str">
        <f>IF($AM243=0,"",IF($D243&lt;&gt;"",$D243,IF(IFERROR(INDEX(Accounts!$C$7:$C$16,MATCH($C243,Accounts!$B$7:$B$16,0))&amp;"","")&lt;&gt;"",INDEX(Accounts!$C$7:$C$16,MATCH($C243,Accounts!$B$7:$B$16,0)),Settings!$C$6)))</f>
        <v/>
      </c>
      <c r="AG243" s="53" t="str">
        <f>IF($AM243=0,"",IF(AND($BE243&gt;0,N(INDEX(Instruments!$D$6:$D$205,MAX(1,$BE243)))&gt;0),INDEX(Instruments!$D$6:$D$205,MAX(1,$BE243)),IF(N(INDEX(Settings!$D$14:$D$18,$BF243))&gt;0,INDEX(Settings!$D$14:$D$18,$BF243),"")))</f>
        <v/>
      </c>
      <c r="AH243" s="54" t="str">
        <f>IF($AM243=0,"",IF($AF243&lt;&gt;"Forex",1,IF(MID(UPPER(SUBSTITUTE(TRIM($E243),"/","")),4,3)=UPPER(TRIM(Settings!$C$7)),1,IF(LEFT(UPPER(SUBSTITUTE(TRIM($E243),"/","")),3)=UPPER(TRIM(Settings!$C$7)),IF(AND(ISNUMBER($K243),N($K243)&lt;&gt;0),1/$K243,""),""))))</f>
        <v/>
      </c>
      <c r="AI243" s="55" t="str">
        <f>IF($AM243=0,"",IF(OR(NOT(ISNUMBER($H243)),NOT(ISNUMBER($K243)),NOT(ISNUMBER($G243)),$AG243="",$AH243=""),"",ROUND(($K243-$H243)*IF($F243="Short",-1,1)*$G243*$AG243*$AH243,6)))</f>
        <v/>
      </c>
      <c r="AJ243" s="55" t="str">
        <f>IF($AM243=0,"",IF(INDEX(Settings!$E$14:$E$18,$BF243)="% of notional",IF(OR($AG243="",NOT(ISNUMBER($H243)),NOT(ISNUMBER($G243))),"",ROUND(ABS($H243*$G243*$AG243*N($AH243))*IF($L243="Limit",N(INDEX(Settings!$G$14:$G$18,$BF243)),N(INDEX(Settings!$H$14:$H$18,$BF243)))+IF(ISNUMBER($K243),ABS($K243*$G243*$AG243*N($AH243))*IF($M243="Target",N(INDEX(Settings!$G$14:$G$18,$BF243)),N(INDEX(Settings!$H$14:$H$18,$BF243))),0),6)),IF(NOT(ISNUMBER($G243)),"",ROUND(ABS($G243)*2*IF(AND($BE243&gt;0,ISNUMBER(INDEX(Instruments!$G$6:$G$205,MAX(1,$BE243)))),INDEX(Instruments!$G$6:$G$205,MAX(1,$BE243)),N(INDEX(Settings!$F$14:$F$18,$BF243))),6))))</f>
        <v/>
      </c>
      <c r="AK243" s="55" t="str">
        <f>IF($AM243=0,"",IF(ISNUMBER($O243),$O243,$AI243))</f>
        <v/>
      </c>
      <c r="AL243" s="55" t="str">
        <f>IF($AM243=0,"",IF(ISNUMBER($P243),$P243,N($AJ243)))</f>
        <v/>
      </c>
      <c r="AM243" s="56">
        <f>IF(AND($A243&lt;&gt;"",$E243&lt;&gt;"",OR(AND(ISNUMBER($G243),ISNUMBER($H243),ISNUMBER($K243)),ISNUMBER($O243))),1,0)</f>
        <v>0</v>
      </c>
      <c r="AN243" s="57" t="str">
        <f>IF($A243="","",$A243-WEEKDAY($A243,3))</f>
        <v/>
      </c>
      <c r="AO243" s="56" t="str">
        <f>IF($A243="","",WEEKDAY($A243,2))</f>
        <v/>
      </c>
      <c r="AP243" s="55" t="str">
        <f>IF(OR($AM243=0,$C243=""),"",IFERROR(N(INDEX(Accounts!$E$7:$E$16,MATCH($C243,Accounts!$B$7:$B$16,0))),0)+SUMIFS($Q$6:$Q243,$C$6:$C243,$C243))</f>
        <v/>
      </c>
      <c r="AQ243" s="55" t="str">
        <f>IF(OR($AM243=0,$C243=""),"",SUMIFS($Q$6:$Q$1005,$C$6:$C$1005,$C243,$A$6:$A$1005,$A243))</f>
        <v/>
      </c>
      <c r="AR243" s="55" t="str">
        <f>IF(OR($AM243=0,$C243=""),"",IFERROR(N(INDEX(Accounts!$E$7:$E$16,MATCH($C243,Accounts!$B$7:$B$16,0))),0)+SUMIFS($Q$6:$Q$1005,$C$6:$C$1005,$C243,$A$6:$A$1005,"&lt;="&amp;$A243))</f>
        <v/>
      </c>
      <c r="AS243" s="56">
        <f>IF(OR($AM243=0,$Q243=""),0,IF(AND($A243&gt;=Lists!$W$6,$A243&lt;=Lists!$W$7,OR(Dashboard!$D$6="All accounts",$C243=Dashboard!$D$6),OR(Dashboard!$D$7="All markets",$AF243=Dashboard!$D$7)),1,0))</f>
        <v>0</v>
      </c>
      <c r="AT243" s="55">
        <f>IF($AS243=1,N(AT242)+$Q243,N(AT242))</f>
        <v>1187.10688</v>
      </c>
      <c r="AU243" s="55">
        <f>MAX(N(AU242),$AT243)</f>
        <v>1187.10688</v>
      </c>
      <c r="AV243" s="55">
        <f>$AT243-$AU243</f>
        <v>0</v>
      </c>
      <c r="AW243" s="56">
        <f>IF($AS243=1,IF($S243="Win",N(AW242)+1,IF($S243="Loss",0,N(AW242))),N(AW242))</f>
        <v>5</v>
      </c>
      <c r="AX243" s="56">
        <f>IF($AS243=1,IF($S243="Loss",N(AX242)+1,IF($S243="Win",0,N(AX242))),N(AX242))</f>
        <v>0</v>
      </c>
      <c r="AY243" s="56" t="str">
        <f>IF($AS243=1,COUNTIF($AS$6:$AS243,1),"")</f>
        <v/>
      </c>
      <c r="AZ243" s="56">
        <f>MIN(237,N(Lists!$W$8))</f>
        <v>28</v>
      </c>
      <c r="BA243" s="56">
        <f>IF($AS243=1,IF(COUNTIFS($A$6:$A243,$A243,$AS$6:$AS243,1)=1,1,0),0)</f>
        <v>0</v>
      </c>
      <c r="BB243" s="55" t="str">
        <f>IF($BA243=1,SUMIFS($Q$6:$Q$1005,$A$6:$A$1005,$A243,$AS$6:$AS$1005,1),"")</f>
        <v/>
      </c>
      <c r="BC243" s="56">
        <f>IF(ISNUMBER($R243),1,0)</f>
        <v>0</v>
      </c>
      <c r="BD243" s="55" t="str">
        <f>IF(ISNUMBER($U243),$U243*$V243,"")</f>
        <v/>
      </c>
      <c r="BE243" s="56" t="str">
        <f>IF($AM243=0,"",IFERROR(MATCH($AF243&amp;"|"&amp;UPPER(TRIM($E243)),Lists!$A$6:$A$205,0),0))</f>
        <v/>
      </c>
      <c r="BF243" s="56" t="str">
        <f>IF($AM243=0,"",IFERROR(MATCH($AF243,Settings!$B$14:$B$18,0),IFERROR(MATCH(Settings!$C$6,Settings!$B$14:$B$18,0),1)))</f>
        <v/>
      </c>
      <c r="BG243" s="58" t="str">
        <f>IF($AM243=0,"",IF(NOT(ISNUMBER($I243)),"No stop; ","")&amp;IF(AND(ISNUMBER($H243),ISNUMBER($I243)),IF(OR(AND($F243&lt;&gt;"Short",$I243&gt;=$H243),AND($F243="Short",$I243&lt;=$H243)),"Stop on wrong side; ",""),"")&amp;IF($F243="","No direction; ","")&amp;IF(AND(ISNUMBER(Settings!$C$22),ISNUMBER($V243)),IF($V243&gt;Settings!$C$22,"Risk over max $; ",""),"")&amp;IF(AND(ISNUMBER(Settings!$C$23),ISNUMBER($V243),ISNUMBER($AP243),IFERROR(N(INDEX(Accounts!$E$7:$E$16,MATCH($C243,Accounts!$B$7:$B$16,0))),0)&gt;0),IF($V243&gt;Settings!$C$23*($AP243-N($Q243)),"Risk over max %; ",""),"")&amp;IF(AND(ISNUMBER(Settings!$C$24),ISNUMBER($N243)),IF($N243&gt;Settings!$C$24,"Leverage over max; ",""),"")&amp;IF(AND(ISNUMBER(Settings!$C$27),ISNUMBER($T243)),IF($T243&lt;Settings!$C$27,"R:R below min; ",""),"")&amp;IF(ISNUMBER(Settings!$C$25),IF(COUNTIFS($A$6:$A243,$A243,$AM$6:$AM243,1)&gt;Settings!$C$25,"Over max trades/day; ",""),"")&amp;IF(ISNUMBER(Settings!$C$26),IF(SUMIFS($Q$5:$Q242,$A$5:$A242,$A243)&lt;=-Settings!$C$26,"Traded after daily max loss; ",""),"")&amp;IF(AND($AG243="",NOT(ISNUMBER($O243))),"Symbol not in Instruments; ","")&amp;IF(AND($AH243="",NOT(ISNUMBER($O243))),"Forex cross: type Gross P&amp;L; ",""))</f>
        <v/>
      </c>
      <c r="BH243" s="56">
        <f>IF(ISNUMBER($Q243),1,0)</f>
        <v>0</v>
      </c>
      <c r="BI243" s="56">
        <f>IF($Y243="",0,1)</f>
        <v>0</v>
      </c>
      <c r="BJ243" s="56">
        <f>IF($AB243="",0,1)</f>
        <v>0</v>
      </c>
      <c r="BK243" s="56">
        <f>IF(AND($BH243=1,$W243&lt;&gt;"OK"),1,0)</f>
        <v>0</v>
      </c>
      <c r="BL243" s="55">
        <f>IF(N($AZ243)=0,0,IFERROR(INDEX($AT$6:$AT$1005,MATCH($AZ243,$AY$6:$AY$1005,0)),0))</f>
        <v>1187.10688</v>
      </c>
      <c r="BM243" s="56">
        <f>IF(ISNUMBER(SEARCH("daily max loss",$BG243)),1,0)</f>
        <v>0</v>
      </c>
    </row>
    <row r="244" ht="18" customHeight="1">
      <c r="A244" s="38" t="n"/>
      <c r="B244" s="39" t="n"/>
      <c r="C244" s="40" t="n"/>
      <c r="D244" s="41" t="n"/>
      <c r="E244" s="41" t="n"/>
      <c r="F244" s="41" t="n"/>
      <c r="G244" s="41" t="n"/>
      <c r="H244" s="42" t="n"/>
      <c r="I244" s="42" t="n"/>
      <c r="J244" s="42" t="n"/>
      <c r="K244" s="42" t="n"/>
      <c r="L244" s="41" t="n"/>
      <c r="M244" s="41" t="n"/>
      <c r="N244" s="41" t="n"/>
      <c r="O244" s="43" t="n"/>
      <c r="P244" s="43" t="n"/>
      <c r="Q244" s="44" t="str">
        <f>IF($AM244=0,"",IF(ISNUMBER($AK244),$AK244-N($AL244),""))</f>
        <v/>
      </c>
      <c r="R244" s="45" t="str">
        <f>IF(OR($Q244="",NOT(ISNUMBER($V244))),"",$AK244/$V244)</f>
        <v/>
      </c>
      <c r="S244" s="46" t="str">
        <f>IF($Q244="","",IF(AND(ISNUMBER($R244),ABS(N($R244))&lt;N(Settings!$C$8)),"Scratch",IF($Q244&gt;0,"Win",IF($Q244&lt;0,"Loss","Scratch"))))</f>
        <v/>
      </c>
      <c r="T244" s="47" t="str">
        <f>IF(OR($AM244=0,NOT(ISNUMBER($H244)),NOT(ISNUMBER($I244)),NOT(ISNUMBER($J244))),"",IF($H244=$I244,"",ROUND(ABS($J244-$H244)/ABS($H244-$I244),6)))</f>
        <v/>
      </c>
      <c r="U244" s="48" t="str">
        <f>IF(OR($S244&lt;&gt;"Win",NOT(ISNUMBER($T244)),NOT(ISNUMBER($R244))),"",MAX(0,$T244-$R244))</f>
        <v/>
      </c>
      <c r="V244" s="49" t="str">
        <f>IF(OR($AM244=0,NOT(ISNUMBER($H244)),NOT(ISNUMBER($I244)),NOT(ISNUMBER($G244))),"",IF(OR($AG244="",$AH244=""),"",IF(ROUND(ABS($H244-$I244)*ABS($G244)*$AG244*$AH244,6)=0,"",ROUND(ABS($H244-$I244)*ABS($G244)*$AG244*$AH244,6))))</f>
        <v/>
      </c>
      <c r="W244" s="50" t="str">
        <f>IF($AM244=0,"",IF($BG244="","OK",LEFT($BG244,LEN($BG244)-2)))</f>
        <v/>
      </c>
      <c r="X244" s="41" t="n"/>
      <c r="Y244" s="40" t="n"/>
      <c r="Z244" s="41" t="n"/>
      <c r="AA244" s="41" t="n"/>
      <c r="AB244" s="40" t="n"/>
      <c r="AC244" s="51" t="n"/>
      <c r="AD244" s="51" t="n"/>
      <c r="AE244" s="40" t="n"/>
      <c r="AF244" s="52" t="str">
        <f>IF($AM244=0,"",IF($D244&lt;&gt;"",$D244,IF(IFERROR(INDEX(Accounts!$C$7:$C$16,MATCH($C244,Accounts!$B$7:$B$16,0))&amp;"","")&lt;&gt;"",INDEX(Accounts!$C$7:$C$16,MATCH($C244,Accounts!$B$7:$B$16,0)),Settings!$C$6)))</f>
        <v/>
      </c>
      <c r="AG244" s="53" t="str">
        <f>IF($AM244=0,"",IF(AND($BE244&gt;0,N(INDEX(Instruments!$D$6:$D$205,MAX(1,$BE244)))&gt;0),INDEX(Instruments!$D$6:$D$205,MAX(1,$BE244)),IF(N(INDEX(Settings!$D$14:$D$18,$BF244))&gt;0,INDEX(Settings!$D$14:$D$18,$BF244),"")))</f>
        <v/>
      </c>
      <c r="AH244" s="54" t="str">
        <f>IF($AM244=0,"",IF($AF244&lt;&gt;"Forex",1,IF(MID(UPPER(SUBSTITUTE(TRIM($E244),"/","")),4,3)=UPPER(TRIM(Settings!$C$7)),1,IF(LEFT(UPPER(SUBSTITUTE(TRIM($E244),"/","")),3)=UPPER(TRIM(Settings!$C$7)),IF(AND(ISNUMBER($K244),N($K244)&lt;&gt;0),1/$K244,""),""))))</f>
        <v/>
      </c>
      <c r="AI244" s="55" t="str">
        <f>IF($AM244=0,"",IF(OR(NOT(ISNUMBER($H244)),NOT(ISNUMBER($K244)),NOT(ISNUMBER($G244)),$AG244="",$AH244=""),"",ROUND(($K244-$H244)*IF($F244="Short",-1,1)*$G244*$AG244*$AH244,6)))</f>
        <v/>
      </c>
      <c r="AJ244" s="55" t="str">
        <f>IF($AM244=0,"",IF(INDEX(Settings!$E$14:$E$18,$BF244)="% of notional",IF(OR($AG244="",NOT(ISNUMBER($H244)),NOT(ISNUMBER($G244))),"",ROUND(ABS($H244*$G244*$AG244*N($AH244))*IF($L244="Limit",N(INDEX(Settings!$G$14:$G$18,$BF244)),N(INDEX(Settings!$H$14:$H$18,$BF244)))+IF(ISNUMBER($K244),ABS($K244*$G244*$AG244*N($AH244))*IF($M244="Target",N(INDEX(Settings!$G$14:$G$18,$BF244)),N(INDEX(Settings!$H$14:$H$18,$BF244))),0),6)),IF(NOT(ISNUMBER($G244)),"",ROUND(ABS($G244)*2*IF(AND($BE244&gt;0,ISNUMBER(INDEX(Instruments!$G$6:$G$205,MAX(1,$BE244)))),INDEX(Instruments!$G$6:$G$205,MAX(1,$BE244)),N(INDEX(Settings!$F$14:$F$18,$BF244))),6))))</f>
        <v/>
      </c>
      <c r="AK244" s="55" t="str">
        <f>IF($AM244=0,"",IF(ISNUMBER($O244),$O244,$AI244))</f>
        <v/>
      </c>
      <c r="AL244" s="55" t="str">
        <f>IF($AM244=0,"",IF(ISNUMBER($P244),$P244,N($AJ244)))</f>
        <v/>
      </c>
      <c r="AM244" s="56">
        <f>IF(AND($A244&lt;&gt;"",$E244&lt;&gt;"",OR(AND(ISNUMBER($G244),ISNUMBER($H244),ISNUMBER($K244)),ISNUMBER($O244))),1,0)</f>
        <v>0</v>
      </c>
      <c r="AN244" s="57" t="str">
        <f>IF($A244="","",$A244-WEEKDAY($A244,3))</f>
        <v/>
      </c>
      <c r="AO244" s="56" t="str">
        <f>IF($A244="","",WEEKDAY($A244,2))</f>
        <v/>
      </c>
      <c r="AP244" s="55" t="str">
        <f>IF(OR($AM244=0,$C244=""),"",IFERROR(N(INDEX(Accounts!$E$7:$E$16,MATCH($C244,Accounts!$B$7:$B$16,0))),0)+SUMIFS($Q$6:$Q244,$C$6:$C244,$C244))</f>
        <v/>
      </c>
      <c r="AQ244" s="55" t="str">
        <f>IF(OR($AM244=0,$C244=""),"",SUMIFS($Q$6:$Q$1005,$C$6:$C$1005,$C244,$A$6:$A$1005,$A244))</f>
        <v/>
      </c>
      <c r="AR244" s="55" t="str">
        <f>IF(OR($AM244=0,$C244=""),"",IFERROR(N(INDEX(Accounts!$E$7:$E$16,MATCH($C244,Accounts!$B$7:$B$16,0))),0)+SUMIFS($Q$6:$Q$1005,$C$6:$C$1005,$C244,$A$6:$A$1005,"&lt;="&amp;$A244))</f>
        <v/>
      </c>
      <c r="AS244" s="56">
        <f>IF(OR($AM244=0,$Q244=""),0,IF(AND($A244&gt;=Lists!$W$6,$A244&lt;=Lists!$W$7,OR(Dashboard!$D$6="All accounts",$C244=Dashboard!$D$6),OR(Dashboard!$D$7="All markets",$AF244=Dashboard!$D$7)),1,0))</f>
        <v>0</v>
      </c>
      <c r="AT244" s="55">
        <f>IF($AS244=1,N(AT243)+$Q244,N(AT243))</f>
        <v>1187.10688</v>
      </c>
      <c r="AU244" s="55">
        <f>MAX(N(AU243),$AT244)</f>
        <v>1187.10688</v>
      </c>
      <c r="AV244" s="55">
        <f>$AT244-$AU244</f>
        <v>0</v>
      </c>
      <c r="AW244" s="56">
        <f>IF($AS244=1,IF($S244="Win",N(AW243)+1,IF($S244="Loss",0,N(AW243))),N(AW243))</f>
        <v>5</v>
      </c>
      <c r="AX244" s="56">
        <f>IF($AS244=1,IF($S244="Loss",N(AX243)+1,IF($S244="Win",0,N(AX243))),N(AX243))</f>
        <v>0</v>
      </c>
      <c r="AY244" s="56" t="str">
        <f>IF($AS244=1,COUNTIF($AS$6:$AS244,1),"")</f>
        <v/>
      </c>
      <c r="AZ244" s="56">
        <f>MIN(238,N(Lists!$W$8))</f>
        <v>28</v>
      </c>
      <c r="BA244" s="56">
        <f>IF($AS244=1,IF(COUNTIFS($A$6:$A244,$A244,$AS$6:$AS244,1)=1,1,0),0)</f>
        <v>0</v>
      </c>
      <c r="BB244" s="55" t="str">
        <f>IF($BA244=1,SUMIFS($Q$6:$Q$1005,$A$6:$A$1005,$A244,$AS$6:$AS$1005,1),"")</f>
        <v/>
      </c>
      <c r="BC244" s="56">
        <f>IF(ISNUMBER($R244),1,0)</f>
        <v>0</v>
      </c>
      <c r="BD244" s="55" t="str">
        <f>IF(ISNUMBER($U244),$U244*$V244,"")</f>
        <v/>
      </c>
      <c r="BE244" s="56" t="str">
        <f>IF($AM244=0,"",IFERROR(MATCH($AF244&amp;"|"&amp;UPPER(TRIM($E244)),Lists!$A$6:$A$205,0),0))</f>
        <v/>
      </c>
      <c r="BF244" s="56" t="str">
        <f>IF($AM244=0,"",IFERROR(MATCH($AF244,Settings!$B$14:$B$18,0),IFERROR(MATCH(Settings!$C$6,Settings!$B$14:$B$18,0),1)))</f>
        <v/>
      </c>
      <c r="BG244" s="58" t="str">
        <f>IF($AM244=0,"",IF(NOT(ISNUMBER($I244)),"No stop; ","")&amp;IF(AND(ISNUMBER($H244),ISNUMBER($I244)),IF(OR(AND($F244&lt;&gt;"Short",$I244&gt;=$H244),AND($F244="Short",$I244&lt;=$H244)),"Stop on wrong side; ",""),"")&amp;IF($F244="","No direction; ","")&amp;IF(AND(ISNUMBER(Settings!$C$22),ISNUMBER($V244)),IF($V244&gt;Settings!$C$22,"Risk over max $; ",""),"")&amp;IF(AND(ISNUMBER(Settings!$C$23),ISNUMBER($V244),ISNUMBER($AP244),IFERROR(N(INDEX(Accounts!$E$7:$E$16,MATCH($C244,Accounts!$B$7:$B$16,0))),0)&gt;0),IF($V244&gt;Settings!$C$23*($AP244-N($Q244)),"Risk over max %; ",""),"")&amp;IF(AND(ISNUMBER(Settings!$C$24),ISNUMBER($N244)),IF($N244&gt;Settings!$C$24,"Leverage over max; ",""),"")&amp;IF(AND(ISNUMBER(Settings!$C$27),ISNUMBER($T244)),IF($T244&lt;Settings!$C$27,"R:R below min; ",""),"")&amp;IF(ISNUMBER(Settings!$C$25),IF(COUNTIFS($A$6:$A244,$A244,$AM$6:$AM244,1)&gt;Settings!$C$25,"Over max trades/day; ",""),"")&amp;IF(ISNUMBER(Settings!$C$26),IF(SUMIFS($Q$5:$Q243,$A$5:$A243,$A244)&lt;=-Settings!$C$26,"Traded after daily max loss; ",""),"")&amp;IF(AND($AG244="",NOT(ISNUMBER($O244))),"Symbol not in Instruments; ","")&amp;IF(AND($AH244="",NOT(ISNUMBER($O244))),"Forex cross: type Gross P&amp;L; ",""))</f>
        <v/>
      </c>
      <c r="BH244" s="56">
        <f>IF(ISNUMBER($Q244),1,0)</f>
        <v>0</v>
      </c>
      <c r="BI244" s="56">
        <f>IF($Y244="",0,1)</f>
        <v>0</v>
      </c>
      <c r="BJ244" s="56">
        <f>IF($AB244="",0,1)</f>
        <v>0</v>
      </c>
      <c r="BK244" s="56">
        <f>IF(AND($BH244=1,$W244&lt;&gt;"OK"),1,0)</f>
        <v>0</v>
      </c>
      <c r="BL244" s="55">
        <f>IF(N($AZ244)=0,0,IFERROR(INDEX($AT$6:$AT$1005,MATCH($AZ244,$AY$6:$AY$1005,0)),0))</f>
        <v>1187.10688</v>
      </c>
      <c r="BM244" s="56">
        <f>IF(ISNUMBER(SEARCH("daily max loss",$BG244)),1,0)</f>
        <v>0</v>
      </c>
    </row>
    <row r="245" ht="18" customHeight="1">
      <c r="A245" s="38" t="n"/>
      <c r="B245" s="39" t="n"/>
      <c r="C245" s="40" t="n"/>
      <c r="D245" s="41" t="n"/>
      <c r="E245" s="41" t="n"/>
      <c r="F245" s="41" t="n"/>
      <c r="G245" s="41" t="n"/>
      <c r="H245" s="42" t="n"/>
      <c r="I245" s="42" t="n"/>
      <c r="J245" s="42" t="n"/>
      <c r="K245" s="42" t="n"/>
      <c r="L245" s="41" t="n"/>
      <c r="M245" s="41" t="n"/>
      <c r="N245" s="41" t="n"/>
      <c r="O245" s="43" t="n"/>
      <c r="P245" s="43" t="n"/>
      <c r="Q245" s="44" t="str">
        <f>IF($AM245=0,"",IF(ISNUMBER($AK245),$AK245-N($AL245),""))</f>
        <v/>
      </c>
      <c r="R245" s="45" t="str">
        <f>IF(OR($Q245="",NOT(ISNUMBER($V245))),"",$AK245/$V245)</f>
        <v/>
      </c>
      <c r="S245" s="46" t="str">
        <f>IF($Q245="","",IF(AND(ISNUMBER($R245),ABS(N($R245))&lt;N(Settings!$C$8)),"Scratch",IF($Q245&gt;0,"Win",IF($Q245&lt;0,"Loss","Scratch"))))</f>
        <v/>
      </c>
      <c r="T245" s="47" t="str">
        <f>IF(OR($AM245=0,NOT(ISNUMBER($H245)),NOT(ISNUMBER($I245)),NOT(ISNUMBER($J245))),"",IF($H245=$I245,"",ROUND(ABS($J245-$H245)/ABS($H245-$I245),6)))</f>
        <v/>
      </c>
      <c r="U245" s="48" t="str">
        <f>IF(OR($S245&lt;&gt;"Win",NOT(ISNUMBER($T245)),NOT(ISNUMBER($R245))),"",MAX(0,$T245-$R245))</f>
        <v/>
      </c>
      <c r="V245" s="49" t="str">
        <f>IF(OR($AM245=0,NOT(ISNUMBER($H245)),NOT(ISNUMBER($I245)),NOT(ISNUMBER($G245))),"",IF(OR($AG245="",$AH245=""),"",IF(ROUND(ABS($H245-$I245)*ABS($G245)*$AG245*$AH245,6)=0,"",ROUND(ABS($H245-$I245)*ABS($G245)*$AG245*$AH245,6))))</f>
        <v/>
      </c>
      <c r="W245" s="50" t="str">
        <f>IF($AM245=0,"",IF($BG245="","OK",LEFT($BG245,LEN($BG245)-2)))</f>
        <v/>
      </c>
      <c r="X245" s="41" t="n"/>
      <c r="Y245" s="40" t="n"/>
      <c r="Z245" s="41" t="n"/>
      <c r="AA245" s="41" t="n"/>
      <c r="AB245" s="40" t="n"/>
      <c r="AC245" s="51" t="n"/>
      <c r="AD245" s="51" t="n"/>
      <c r="AE245" s="40" t="n"/>
      <c r="AF245" s="52" t="str">
        <f>IF($AM245=0,"",IF($D245&lt;&gt;"",$D245,IF(IFERROR(INDEX(Accounts!$C$7:$C$16,MATCH($C245,Accounts!$B$7:$B$16,0))&amp;"","")&lt;&gt;"",INDEX(Accounts!$C$7:$C$16,MATCH($C245,Accounts!$B$7:$B$16,0)),Settings!$C$6)))</f>
        <v/>
      </c>
      <c r="AG245" s="53" t="str">
        <f>IF($AM245=0,"",IF(AND($BE245&gt;0,N(INDEX(Instruments!$D$6:$D$205,MAX(1,$BE245)))&gt;0),INDEX(Instruments!$D$6:$D$205,MAX(1,$BE245)),IF(N(INDEX(Settings!$D$14:$D$18,$BF245))&gt;0,INDEX(Settings!$D$14:$D$18,$BF245),"")))</f>
        <v/>
      </c>
      <c r="AH245" s="54" t="str">
        <f>IF($AM245=0,"",IF($AF245&lt;&gt;"Forex",1,IF(MID(UPPER(SUBSTITUTE(TRIM($E245),"/","")),4,3)=UPPER(TRIM(Settings!$C$7)),1,IF(LEFT(UPPER(SUBSTITUTE(TRIM($E245),"/","")),3)=UPPER(TRIM(Settings!$C$7)),IF(AND(ISNUMBER($K245),N($K245)&lt;&gt;0),1/$K245,""),""))))</f>
        <v/>
      </c>
      <c r="AI245" s="55" t="str">
        <f>IF($AM245=0,"",IF(OR(NOT(ISNUMBER($H245)),NOT(ISNUMBER($K245)),NOT(ISNUMBER($G245)),$AG245="",$AH245=""),"",ROUND(($K245-$H245)*IF($F245="Short",-1,1)*$G245*$AG245*$AH245,6)))</f>
        <v/>
      </c>
      <c r="AJ245" s="55" t="str">
        <f>IF($AM245=0,"",IF(INDEX(Settings!$E$14:$E$18,$BF245)="% of notional",IF(OR($AG245="",NOT(ISNUMBER($H245)),NOT(ISNUMBER($G245))),"",ROUND(ABS($H245*$G245*$AG245*N($AH245))*IF($L245="Limit",N(INDEX(Settings!$G$14:$G$18,$BF245)),N(INDEX(Settings!$H$14:$H$18,$BF245)))+IF(ISNUMBER($K245),ABS($K245*$G245*$AG245*N($AH245))*IF($M245="Target",N(INDEX(Settings!$G$14:$G$18,$BF245)),N(INDEX(Settings!$H$14:$H$18,$BF245))),0),6)),IF(NOT(ISNUMBER($G245)),"",ROUND(ABS($G245)*2*IF(AND($BE245&gt;0,ISNUMBER(INDEX(Instruments!$G$6:$G$205,MAX(1,$BE245)))),INDEX(Instruments!$G$6:$G$205,MAX(1,$BE245)),N(INDEX(Settings!$F$14:$F$18,$BF245))),6))))</f>
        <v/>
      </c>
      <c r="AK245" s="55" t="str">
        <f>IF($AM245=0,"",IF(ISNUMBER($O245),$O245,$AI245))</f>
        <v/>
      </c>
      <c r="AL245" s="55" t="str">
        <f>IF($AM245=0,"",IF(ISNUMBER($P245),$P245,N($AJ245)))</f>
        <v/>
      </c>
      <c r="AM245" s="56">
        <f>IF(AND($A245&lt;&gt;"",$E245&lt;&gt;"",OR(AND(ISNUMBER($G245),ISNUMBER($H245),ISNUMBER($K245)),ISNUMBER($O245))),1,0)</f>
        <v>0</v>
      </c>
      <c r="AN245" s="57" t="str">
        <f>IF($A245="","",$A245-WEEKDAY($A245,3))</f>
        <v/>
      </c>
      <c r="AO245" s="56" t="str">
        <f>IF($A245="","",WEEKDAY($A245,2))</f>
        <v/>
      </c>
      <c r="AP245" s="55" t="str">
        <f>IF(OR($AM245=0,$C245=""),"",IFERROR(N(INDEX(Accounts!$E$7:$E$16,MATCH($C245,Accounts!$B$7:$B$16,0))),0)+SUMIFS($Q$6:$Q245,$C$6:$C245,$C245))</f>
        <v/>
      </c>
      <c r="AQ245" s="55" t="str">
        <f>IF(OR($AM245=0,$C245=""),"",SUMIFS($Q$6:$Q$1005,$C$6:$C$1005,$C245,$A$6:$A$1005,$A245))</f>
        <v/>
      </c>
      <c r="AR245" s="55" t="str">
        <f>IF(OR($AM245=0,$C245=""),"",IFERROR(N(INDEX(Accounts!$E$7:$E$16,MATCH($C245,Accounts!$B$7:$B$16,0))),0)+SUMIFS($Q$6:$Q$1005,$C$6:$C$1005,$C245,$A$6:$A$1005,"&lt;="&amp;$A245))</f>
        <v/>
      </c>
      <c r="AS245" s="56">
        <f>IF(OR($AM245=0,$Q245=""),0,IF(AND($A245&gt;=Lists!$W$6,$A245&lt;=Lists!$W$7,OR(Dashboard!$D$6="All accounts",$C245=Dashboard!$D$6),OR(Dashboard!$D$7="All markets",$AF245=Dashboard!$D$7)),1,0))</f>
        <v>0</v>
      </c>
      <c r="AT245" s="55">
        <f>IF($AS245=1,N(AT244)+$Q245,N(AT244))</f>
        <v>1187.10688</v>
      </c>
      <c r="AU245" s="55">
        <f>MAX(N(AU244),$AT245)</f>
        <v>1187.10688</v>
      </c>
      <c r="AV245" s="55">
        <f>$AT245-$AU245</f>
        <v>0</v>
      </c>
      <c r="AW245" s="56">
        <f>IF($AS245=1,IF($S245="Win",N(AW244)+1,IF($S245="Loss",0,N(AW244))),N(AW244))</f>
        <v>5</v>
      </c>
      <c r="AX245" s="56">
        <f>IF($AS245=1,IF($S245="Loss",N(AX244)+1,IF($S245="Win",0,N(AX244))),N(AX244))</f>
        <v>0</v>
      </c>
      <c r="AY245" s="56" t="str">
        <f>IF($AS245=1,COUNTIF($AS$6:$AS245,1),"")</f>
        <v/>
      </c>
      <c r="AZ245" s="56">
        <f>MIN(239,N(Lists!$W$8))</f>
        <v>28</v>
      </c>
      <c r="BA245" s="56">
        <f>IF($AS245=1,IF(COUNTIFS($A$6:$A245,$A245,$AS$6:$AS245,1)=1,1,0),0)</f>
        <v>0</v>
      </c>
      <c r="BB245" s="55" t="str">
        <f>IF($BA245=1,SUMIFS($Q$6:$Q$1005,$A$6:$A$1005,$A245,$AS$6:$AS$1005,1),"")</f>
        <v/>
      </c>
      <c r="BC245" s="56">
        <f>IF(ISNUMBER($R245),1,0)</f>
        <v>0</v>
      </c>
      <c r="BD245" s="55" t="str">
        <f>IF(ISNUMBER($U245),$U245*$V245,"")</f>
        <v/>
      </c>
      <c r="BE245" s="56" t="str">
        <f>IF($AM245=0,"",IFERROR(MATCH($AF245&amp;"|"&amp;UPPER(TRIM($E245)),Lists!$A$6:$A$205,0),0))</f>
        <v/>
      </c>
      <c r="BF245" s="56" t="str">
        <f>IF($AM245=0,"",IFERROR(MATCH($AF245,Settings!$B$14:$B$18,0),IFERROR(MATCH(Settings!$C$6,Settings!$B$14:$B$18,0),1)))</f>
        <v/>
      </c>
      <c r="BG245" s="58" t="str">
        <f>IF($AM245=0,"",IF(NOT(ISNUMBER($I245)),"No stop; ","")&amp;IF(AND(ISNUMBER($H245),ISNUMBER($I245)),IF(OR(AND($F245&lt;&gt;"Short",$I245&gt;=$H245),AND($F245="Short",$I245&lt;=$H245)),"Stop on wrong side; ",""),"")&amp;IF($F245="","No direction; ","")&amp;IF(AND(ISNUMBER(Settings!$C$22),ISNUMBER($V245)),IF($V245&gt;Settings!$C$22,"Risk over max $; ",""),"")&amp;IF(AND(ISNUMBER(Settings!$C$23),ISNUMBER($V245),ISNUMBER($AP245),IFERROR(N(INDEX(Accounts!$E$7:$E$16,MATCH($C245,Accounts!$B$7:$B$16,0))),0)&gt;0),IF($V245&gt;Settings!$C$23*($AP245-N($Q245)),"Risk over max %; ",""),"")&amp;IF(AND(ISNUMBER(Settings!$C$24),ISNUMBER($N245)),IF($N245&gt;Settings!$C$24,"Leverage over max; ",""),"")&amp;IF(AND(ISNUMBER(Settings!$C$27),ISNUMBER($T245)),IF($T245&lt;Settings!$C$27,"R:R below min; ",""),"")&amp;IF(ISNUMBER(Settings!$C$25),IF(COUNTIFS($A$6:$A245,$A245,$AM$6:$AM245,1)&gt;Settings!$C$25,"Over max trades/day; ",""),"")&amp;IF(ISNUMBER(Settings!$C$26),IF(SUMIFS($Q$5:$Q244,$A$5:$A244,$A245)&lt;=-Settings!$C$26,"Traded after daily max loss; ",""),"")&amp;IF(AND($AG245="",NOT(ISNUMBER($O245))),"Symbol not in Instruments; ","")&amp;IF(AND($AH245="",NOT(ISNUMBER($O245))),"Forex cross: type Gross P&amp;L; ",""))</f>
        <v/>
      </c>
      <c r="BH245" s="56">
        <f>IF(ISNUMBER($Q245),1,0)</f>
        <v>0</v>
      </c>
      <c r="BI245" s="56">
        <f>IF($Y245="",0,1)</f>
        <v>0</v>
      </c>
      <c r="BJ245" s="56">
        <f>IF($AB245="",0,1)</f>
        <v>0</v>
      </c>
      <c r="BK245" s="56">
        <f>IF(AND($BH245=1,$W245&lt;&gt;"OK"),1,0)</f>
        <v>0</v>
      </c>
      <c r="BL245" s="55">
        <f>IF(N($AZ245)=0,0,IFERROR(INDEX($AT$6:$AT$1005,MATCH($AZ245,$AY$6:$AY$1005,0)),0))</f>
        <v>1187.10688</v>
      </c>
      <c r="BM245" s="56">
        <f>IF(ISNUMBER(SEARCH("daily max loss",$BG245)),1,0)</f>
        <v>0</v>
      </c>
    </row>
    <row r="246" ht="18" customHeight="1">
      <c r="A246" s="38" t="n"/>
      <c r="B246" s="39" t="n"/>
      <c r="C246" s="40" t="n"/>
      <c r="D246" s="41" t="n"/>
      <c r="E246" s="41" t="n"/>
      <c r="F246" s="41" t="n"/>
      <c r="G246" s="41" t="n"/>
      <c r="H246" s="42" t="n"/>
      <c r="I246" s="42" t="n"/>
      <c r="J246" s="42" t="n"/>
      <c r="K246" s="42" t="n"/>
      <c r="L246" s="41" t="n"/>
      <c r="M246" s="41" t="n"/>
      <c r="N246" s="41" t="n"/>
      <c r="O246" s="43" t="n"/>
      <c r="P246" s="43" t="n"/>
      <c r="Q246" s="44" t="str">
        <f>IF($AM246=0,"",IF(ISNUMBER($AK246),$AK246-N($AL246),""))</f>
        <v/>
      </c>
      <c r="R246" s="45" t="str">
        <f>IF(OR($Q246="",NOT(ISNUMBER($V246))),"",$AK246/$V246)</f>
        <v/>
      </c>
      <c r="S246" s="46" t="str">
        <f>IF($Q246="","",IF(AND(ISNUMBER($R246),ABS(N($R246))&lt;N(Settings!$C$8)),"Scratch",IF($Q246&gt;0,"Win",IF($Q246&lt;0,"Loss","Scratch"))))</f>
        <v/>
      </c>
      <c r="T246" s="47" t="str">
        <f>IF(OR($AM246=0,NOT(ISNUMBER($H246)),NOT(ISNUMBER($I246)),NOT(ISNUMBER($J246))),"",IF($H246=$I246,"",ROUND(ABS($J246-$H246)/ABS($H246-$I246),6)))</f>
        <v/>
      </c>
      <c r="U246" s="48" t="str">
        <f>IF(OR($S246&lt;&gt;"Win",NOT(ISNUMBER($T246)),NOT(ISNUMBER($R246))),"",MAX(0,$T246-$R246))</f>
        <v/>
      </c>
      <c r="V246" s="49" t="str">
        <f>IF(OR($AM246=0,NOT(ISNUMBER($H246)),NOT(ISNUMBER($I246)),NOT(ISNUMBER($G246))),"",IF(OR($AG246="",$AH246=""),"",IF(ROUND(ABS($H246-$I246)*ABS($G246)*$AG246*$AH246,6)=0,"",ROUND(ABS($H246-$I246)*ABS($G246)*$AG246*$AH246,6))))</f>
        <v/>
      </c>
      <c r="W246" s="50" t="str">
        <f>IF($AM246=0,"",IF($BG246="","OK",LEFT($BG246,LEN($BG246)-2)))</f>
        <v/>
      </c>
      <c r="X246" s="41" t="n"/>
      <c r="Y246" s="40" t="n"/>
      <c r="Z246" s="41" t="n"/>
      <c r="AA246" s="41" t="n"/>
      <c r="AB246" s="40" t="n"/>
      <c r="AC246" s="51" t="n"/>
      <c r="AD246" s="51" t="n"/>
      <c r="AE246" s="40" t="n"/>
      <c r="AF246" s="52" t="str">
        <f>IF($AM246=0,"",IF($D246&lt;&gt;"",$D246,IF(IFERROR(INDEX(Accounts!$C$7:$C$16,MATCH($C246,Accounts!$B$7:$B$16,0))&amp;"","")&lt;&gt;"",INDEX(Accounts!$C$7:$C$16,MATCH($C246,Accounts!$B$7:$B$16,0)),Settings!$C$6)))</f>
        <v/>
      </c>
      <c r="AG246" s="53" t="str">
        <f>IF($AM246=0,"",IF(AND($BE246&gt;0,N(INDEX(Instruments!$D$6:$D$205,MAX(1,$BE246)))&gt;0),INDEX(Instruments!$D$6:$D$205,MAX(1,$BE246)),IF(N(INDEX(Settings!$D$14:$D$18,$BF246))&gt;0,INDEX(Settings!$D$14:$D$18,$BF246),"")))</f>
        <v/>
      </c>
      <c r="AH246" s="54" t="str">
        <f>IF($AM246=0,"",IF($AF246&lt;&gt;"Forex",1,IF(MID(UPPER(SUBSTITUTE(TRIM($E246),"/","")),4,3)=UPPER(TRIM(Settings!$C$7)),1,IF(LEFT(UPPER(SUBSTITUTE(TRIM($E246),"/","")),3)=UPPER(TRIM(Settings!$C$7)),IF(AND(ISNUMBER($K246),N($K246)&lt;&gt;0),1/$K246,""),""))))</f>
        <v/>
      </c>
      <c r="AI246" s="55" t="str">
        <f>IF($AM246=0,"",IF(OR(NOT(ISNUMBER($H246)),NOT(ISNUMBER($K246)),NOT(ISNUMBER($G246)),$AG246="",$AH246=""),"",ROUND(($K246-$H246)*IF($F246="Short",-1,1)*$G246*$AG246*$AH246,6)))</f>
        <v/>
      </c>
      <c r="AJ246" s="55" t="str">
        <f>IF($AM246=0,"",IF(INDEX(Settings!$E$14:$E$18,$BF246)="% of notional",IF(OR($AG246="",NOT(ISNUMBER($H246)),NOT(ISNUMBER($G246))),"",ROUND(ABS($H246*$G246*$AG246*N($AH246))*IF($L246="Limit",N(INDEX(Settings!$G$14:$G$18,$BF246)),N(INDEX(Settings!$H$14:$H$18,$BF246)))+IF(ISNUMBER($K246),ABS($K246*$G246*$AG246*N($AH246))*IF($M246="Target",N(INDEX(Settings!$G$14:$G$18,$BF246)),N(INDEX(Settings!$H$14:$H$18,$BF246))),0),6)),IF(NOT(ISNUMBER($G246)),"",ROUND(ABS($G246)*2*IF(AND($BE246&gt;0,ISNUMBER(INDEX(Instruments!$G$6:$G$205,MAX(1,$BE246)))),INDEX(Instruments!$G$6:$G$205,MAX(1,$BE246)),N(INDEX(Settings!$F$14:$F$18,$BF246))),6))))</f>
        <v/>
      </c>
      <c r="AK246" s="55" t="str">
        <f>IF($AM246=0,"",IF(ISNUMBER($O246),$O246,$AI246))</f>
        <v/>
      </c>
      <c r="AL246" s="55" t="str">
        <f>IF($AM246=0,"",IF(ISNUMBER($P246),$P246,N($AJ246)))</f>
        <v/>
      </c>
      <c r="AM246" s="56">
        <f>IF(AND($A246&lt;&gt;"",$E246&lt;&gt;"",OR(AND(ISNUMBER($G246),ISNUMBER($H246),ISNUMBER($K246)),ISNUMBER($O246))),1,0)</f>
        <v>0</v>
      </c>
      <c r="AN246" s="57" t="str">
        <f>IF($A246="","",$A246-WEEKDAY($A246,3))</f>
        <v/>
      </c>
      <c r="AO246" s="56" t="str">
        <f>IF($A246="","",WEEKDAY($A246,2))</f>
        <v/>
      </c>
      <c r="AP246" s="55" t="str">
        <f>IF(OR($AM246=0,$C246=""),"",IFERROR(N(INDEX(Accounts!$E$7:$E$16,MATCH($C246,Accounts!$B$7:$B$16,0))),0)+SUMIFS($Q$6:$Q246,$C$6:$C246,$C246))</f>
        <v/>
      </c>
      <c r="AQ246" s="55" t="str">
        <f>IF(OR($AM246=0,$C246=""),"",SUMIFS($Q$6:$Q$1005,$C$6:$C$1005,$C246,$A$6:$A$1005,$A246))</f>
        <v/>
      </c>
      <c r="AR246" s="55" t="str">
        <f>IF(OR($AM246=0,$C246=""),"",IFERROR(N(INDEX(Accounts!$E$7:$E$16,MATCH($C246,Accounts!$B$7:$B$16,0))),0)+SUMIFS($Q$6:$Q$1005,$C$6:$C$1005,$C246,$A$6:$A$1005,"&lt;="&amp;$A246))</f>
        <v/>
      </c>
      <c r="AS246" s="56">
        <f>IF(OR($AM246=0,$Q246=""),0,IF(AND($A246&gt;=Lists!$W$6,$A246&lt;=Lists!$W$7,OR(Dashboard!$D$6="All accounts",$C246=Dashboard!$D$6),OR(Dashboard!$D$7="All markets",$AF246=Dashboard!$D$7)),1,0))</f>
        <v>0</v>
      </c>
      <c r="AT246" s="55">
        <f>IF($AS246=1,N(AT245)+$Q246,N(AT245))</f>
        <v>1187.10688</v>
      </c>
      <c r="AU246" s="55">
        <f>MAX(N(AU245),$AT246)</f>
        <v>1187.10688</v>
      </c>
      <c r="AV246" s="55">
        <f>$AT246-$AU246</f>
        <v>0</v>
      </c>
      <c r="AW246" s="56">
        <f>IF($AS246=1,IF($S246="Win",N(AW245)+1,IF($S246="Loss",0,N(AW245))),N(AW245))</f>
        <v>5</v>
      </c>
      <c r="AX246" s="56">
        <f>IF($AS246=1,IF($S246="Loss",N(AX245)+1,IF($S246="Win",0,N(AX245))),N(AX245))</f>
        <v>0</v>
      </c>
      <c r="AY246" s="56" t="str">
        <f>IF($AS246=1,COUNTIF($AS$6:$AS246,1),"")</f>
        <v/>
      </c>
      <c r="AZ246" s="56">
        <f>MIN(240,N(Lists!$W$8))</f>
        <v>28</v>
      </c>
      <c r="BA246" s="56">
        <f>IF($AS246=1,IF(COUNTIFS($A$6:$A246,$A246,$AS$6:$AS246,1)=1,1,0),0)</f>
        <v>0</v>
      </c>
      <c r="BB246" s="55" t="str">
        <f>IF($BA246=1,SUMIFS($Q$6:$Q$1005,$A$6:$A$1005,$A246,$AS$6:$AS$1005,1),"")</f>
        <v/>
      </c>
      <c r="BC246" s="56">
        <f>IF(ISNUMBER($R246),1,0)</f>
        <v>0</v>
      </c>
      <c r="BD246" s="55" t="str">
        <f>IF(ISNUMBER($U246),$U246*$V246,"")</f>
        <v/>
      </c>
      <c r="BE246" s="56" t="str">
        <f>IF($AM246=0,"",IFERROR(MATCH($AF246&amp;"|"&amp;UPPER(TRIM($E246)),Lists!$A$6:$A$205,0),0))</f>
        <v/>
      </c>
      <c r="BF246" s="56" t="str">
        <f>IF($AM246=0,"",IFERROR(MATCH($AF246,Settings!$B$14:$B$18,0),IFERROR(MATCH(Settings!$C$6,Settings!$B$14:$B$18,0),1)))</f>
        <v/>
      </c>
      <c r="BG246" s="58" t="str">
        <f>IF($AM246=0,"",IF(NOT(ISNUMBER($I246)),"No stop; ","")&amp;IF(AND(ISNUMBER($H246),ISNUMBER($I246)),IF(OR(AND($F246&lt;&gt;"Short",$I246&gt;=$H246),AND($F246="Short",$I246&lt;=$H246)),"Stop on wrong side; ",""),"")&amp;IF($F246="","No direction; ","")&amp;IF(AND(ISNUMBER(Settings!$C$22),ISNUMBER($V246)),IF($V246&gt;Settings!$C$22,"Risk over max $; ",""),"")&amp;IF(AND(ISNUMBER(Settings!$C$23),ISNUMBER($V246),ISNUMBER($AP246),IFERROR(N(INDEX(Accounts!$E$7:$E$16,MATCH($C246,Accounts!$B$7:$B$16,0))),0)&gt;0),IF($V246&gt;Settings!$C$23*($AP246-N($Q246)),"Risk over max %; ",""),"")&amp;IF(AND(ISNUMBER(Settings!$C$24),ISNUMBER($N246)),IF($N246&gt;Settings!$C$24,"Leverage over max; ",""),"")&amp;IF(AND(ISNUMBER(Settings!$C$27),ISNUMBER($T246)),IF($T246&lt;Settings!$C$27,"R:R below min; ",""),"")&amp;IF(ISNUMBER(Settings!$C$25),IF(COUNTIFS($A$6:$A246,$A246,$AM$6:$AM246,1)&gt;Settings!$C$25,"Over max trades/day; ",""),"")&amp;IF(ISNUMBER(Settings!$C$26),IF(SUMIFS($Q$5:$Q245,$A$5:$A245,$A246)&lt;=-Settings!$C$26,"Traded after daily max loss; ",""),"")&amp;IF(AND($AG246="",NOT(ISNUMBER($O246))),"Symbol not in Instruments; ","")&amp;IF(AND($AH246="",NOT(ISNUMBER($O246))),"Forex cross: type Gross P&amp;L; ",""))</f>
        <v/>
      </c>
      <c r="BH246" s="56">
        <f>IF(ISNUMBER($Q246),1,0)</f>
        <v>0</v>
      </c>
      <c r="BI246" s="56">
        <f>IF($Y246="",0,1)</f>
        <v>0</v>
      </c>
      <c r="BJ246" s="56">
        <f>IF($AB246="",0,1)</f>
        <v>0</v>
      </c>
      <c r="BK246" s="56">
        <f>IF(AND($BH246=1,$W246&lt;&gt;"OK"),1,0)</f>
        <v>0</v>
      </c>
      <c r="BL246" s="55">
        <f>IF(N($AZ246)=0,0,IFERROR(INDEX($AT$6:$AT$1005,MATCH($AZ246,$AY$6:$AY$1005,0)),0))</f>
        <v>1187.10688</v>
      </c>
      <c r="BM246" s="56">
        <f>IF(ISNUMBER(SEARCH("daily max loss",$BG246)),1,0)</f>
        <v>0</v>
      </c>
    </row>
    <row r="247" ht="18" customHeight="1">
      <c r="A247" s="38" t="n"/>
      <c r="B247" s="39" t="n"/>
      <c r="C247" s="40" t="n"/>
      <c r="D247" s="41" t="n"/>
      <c r="E247" s="41" t="n"/>
      <c r="F247" s="41" t="n"/>
      <c r="G247" s="41" t="n"/>
      <c r="H247" s="42" t="n"/>
      <c r="I247" s="42" t="n"/>
      <c r="J247" s="42" t="n"/>
      <c r="K247" s="42" t="n"/>
      <c r="L247" s="41" t="n"/>
      <c r="M247" s="41" t="n"/>
      <c r="N247" s="41" t="n"/>
      <c r="O247" s="43" t="n"/>
      <c r="P247" s="43" t="n"/>
      <c r="Q247" s="44" t="str">
        <f>IF($AM247=0,"",IF(ISNUMBER($AK247),$AK247-N($AL247),""))</f>
        <v/>
      </c>
      <c r="R247" s="45" t="str">
        <f>IF(OR($Q247="",NOT(ISNUMBER($V247))),"",$AK247/$V247)</f>
        <v/>
      </c>
      <c r="S247" s="46" t="str">
        <f>IF($Q247="","",IF(AND(ISNUMBER($R247),ABS(N($R247))&lt;N(Settings!$C$8)),"Scratch",IF($Q247&gt;0,"Win",IF($Q247&lt;0,"Loss","Scratch"))))</f>
        <v/>
      </c>
      <c r="T247" s="47" t="str">
        <f>IF(OR($AM247=0,NOT(ISNUMBER($H247)),NOT(ISNUMBER($I247)),NOT(ISNUMBER($J247))),"",IF($H247=$I247,"",ROUND(ABS($J247-$H247)/ABS($H247-$I247),6)))</f>
        <v/>
      </c>
      <c r="U247" s="48" t="str">
        <f>IF(OR($S247&lt;&gt;"Win",NOT(ISNUMBER($T247)),NOT(ISNUMBER($R247))),"",MAX(0,$T247-$R247))</f>
        <v/>
      </c>
      <c r="V247" s="49" t="str">
        <f>IF(OR($AM247=0,NOT(ISNUMBER($H247)),NOT(ISNUMBER($I247)),NOT(ISNUMBER($G247))),"",IF(OR($AG247="",$AH247=""),"",IF(ROUND(ABS($H247-$I247)*ABS($G247)*$AG247*$AH247,6)=0,"",ROUND(ABS($H247-$I247)*ABS($G247)*$AG247*$AH247,6))))</f>
        <v/>
      </c>
      <c r="W247" s="50" t="str">
        <f>IF($AM247=0,"",IF($BG247="","OK",LEFT($BG247,LEN($BG247)-2)))</f>
        <v/>
      </c>
      <c r="X247" s="41" t="n"/>
      <c r="Y247" s="40" t="n"/>
      <c r="Z247" s="41" t="n"/>
      <c r="AA247" s="41" t="n"/>
      <c r="AB247" s="40" t="n"/>
      <c r="AC247" s="51" t="n"/>
      <c r="AD247" s="51" t="n"/>
      <c r="AE247" s="40" t="n"/>
      <c r="AF247" s="52" t="str">
        <f>IF($AM247=0,"",IF($D247&lt;&gt;"",$D247,IF(IFERROR(INDEX(Accounts!$C$7:$C$16,MATCH($C247,Accounts!$B$7:$B$16,0))&amp;"","")&lt;&gt;"",INDEX(Accounts!$C$7:$C$16,MATCH($C247,Accounts!$B$7:$B$16,0)),Settings!$C$6)))</f>
        <v/>
      </c>
      <c r="AG247" s="53" t="str">
        <f>IF($AM247=0,"",IF(AND($BE247&gt;0,N(INDEX(Instruments!$D$6:$D$205,MAX(1,$BE247)))&gt;0),INDEX(Instruments!$D$6:$D$205,MAX(1,$BE247)),IF(N(INDEX(Settings!$D$14:$D$18,$BF247))&gt;0,INDEX(Settings!$D$14:$D$18,$BF247),"")))</f>
        <v/>
      </c>
      <c r="AH247" s="54" t="str">
        <f>IF($AM247=0,"",IF($AF247&lt;&gt;"Forex",1,IF(MID(UPPER(SUBSTITUTE(TRIM($E247),"/","")),4,3)=UPPER(TRIM(Settings!$C$7)),1,IF(LEFT(UPPER(SUBSTITUTE(TRIM($E247),"/","")),3)=UPPER(TRIM(Settings!$C$7)),IF(AND(ISNUMBER($K247),N($K247)&lt;&gt;0),1/$K247,""),""))))</f>
        <v/>
      </c>
      <c r="AI247" s="55" t="str">
        <f>IF($AM247=0,"",IF(OR(NOT(ISNUMBER($H247)),NOT(ISNUMBER($K247)),NOT(ISNUMBER($G247)),$AG247="",$AH247=""),"",ROUND(($K247-$H247)*IF($F247="Short",-1,1)*$G247*$AG247*$AH247,6)))</f>
        <v/>
      </c>
      <c r="AJ247" s="55" t="str">
        <f>IF($AM247=0,"",IF(INDEX(Settings!$E$14:$E$18,$BF247)="% of notional",IF(OR($AG247="",NOT(ISNUMBER($H247)),NOT(ISNUMBER($G247))),"",ROUND(ABS($H247*$G247*$AG247*N($AH247))*IF($L247="Limit",N(INDEX(Settings!$G$14:$G$18,$BF247)),N(INDEX(Settings!$H$14:$H$18,$BF247)))+IF(ISNUMBER($K247),ABS($K247*$G247*$AG247*N($AH247))*IF($M247="Target",N(INDEX(Settings!$G$14:$G$18,$BF247)),N(INDEX(Settings!$H$14:$H$18,$BF247))),0),6)),IF(NOT(ISNUMBER($G247)),"",ROUND(ABS($G247)*2*IF(AND($BE247&gt;0,ISNUMBER(INDEX(Instruments!$G$6:$G$205,MAX(1,$BE247)))),INDEX(Instruments!$G$6:$G$205,MAX(1,$BE247)),N(INDEX(Settings!$F$14:$F$18,$BF247))),6))))</f>
        <v/>
      </c>
      <c r="AK247" s="55" t="str">
        <f>IF($AM247=0,"",IF(ISNUMBER($O247),$O247,$AI247))</f>
        <v/>
      </c>
      <c r="AL247" s="55" t="str">
        <f>IF($AM247=0,"",IF(ISNUMBER($P247),$P247,N($AJ247)))</f>
        <v/>
      </c>
      <c r="AM247" s="56">
        <f>IF(AND($A247&lt;&gt;"",$E247&lt;&gt;"",OR(AND(ISNUMBER($G247),ISNUMBER($H247),ISNUMBER($K247)),ISNUMBER($O247))),1,0)</f>
        <v>0</v>
      </c>
      <c r="AN247" s="57" t="str">
        <f>IF($A247="","",$A247-WEEKDAY($A247,3))</f>
        <v/>
      </c>
      <c r="AO247" s="56" t="str">
        <f>IF($A247="","",WEEKDAY($A247,2))</f>
        <v/>
      </c>
      <c r="AP247" s="55" t="str">
        <f>IF(OR($AM247=0,$C247=""),"",IFERROR(N(INDEX(Accounts!$E$7:$E$16,MATCH($C247,Accounts!$B$7:$B$16,0))),0)+SUMIFS($Q$6:$Q247,$C$6:$C247,$C247))</f>
        <v/>
      </c>
      <c r="AQ247" s="55" t="str">
        <f>IF(OR($AM247=0,$C247=""),"",SUMIFS($Q$6:$Q$1005,$C$6:$C$1005,$C247,$A$6:$A$1005,$A247))</f>
        <v/>
      </c>
      <c r="AR247" s="55" t="str">
        <f>IF(OR($AM247=0,$C247=""),"",IFERROR(N(INDEX(Accounts!$E$7:$E$16,MATCH($C247,Accounts!$B$7:$B$16,0))),0)+SUMIFS($Q$6:$Q$1005,$C$6:$C$1005,$C247,$A$6:$A$1005,"&lt;="&amp;$A247))</f>
        <v/>
      </c>
      <c r="AS247" s="56">
        <f>IF(OR($AM247=0,$Q247=""),0,IF(AND($A247&gt;=Lists!$W$6,$A247&lt;=Lists!$W$7,OR(Dashboard!$D$6="All accounts",$C247=Dashboard!$D$6),OR(Dashboard!$D$7="All markets",$AF247=Dashboard!$D$7)),1,0))</f>
        <v>0</v>
      </c>
      <c r="AT247" s="55">
        <f>IF($AS247=1,N(AT246)+$Q247,N(AT246))</f>
        <v>1187.10688</v>
      </c>
      <c r="AU247" s="55">
        <f>MAX(N(AU246),$AT247)</f>
        <v>1187.10688</v>
      </c>
      <c r="AV247" s="55">
        <f>$AT247-$AU247</f>
        <v>0</v>
      </c>
      <c r="AW247" s="56">
        <f>IF($AS247=1,IF($S247="Win",N(AW246)+1,IF($S247="Loss",0,N(AW246))),N(AW246))</f>
        <v>5</v>
      </c>
      <c r="AX247" s="56">
        <f>IF($AS247=1,IF($S247="Loss",N(AX246)+1,IF($S247="Win",0,N(AX246))),N(AX246))</f>
        <v>0</v>
      </c>
      <c r="AY247" s="56" t="str">
        <f>IF($AS247=1,COUNTIF($AS$6:$AS247,1),"")</f>
        <v/>
      </c>
      <c r="AZ247" s="56">
        <f>MIN(241,N(Lists!$W$8))</f>
        <v>28</v>
      </c>
      <c r="BA247" s="56">
        <f>IF($AS247=1,IF(COUNTIFS($A$6:$A247,$A247,$AS$6:$AS247,1)=1,1,0),0)</f>
        <v>0</v>
      </c>
      <c r="BB247" s="55" t="str">
        <f>IF($BA247=1,SUMIFS($Q$6:$Q$1005,$A$6:$A$1005,$A247,$AS$6:$AS$1005,1),"")</f>
        <v/>
      </c>
      <c r="BC247" s="56">
        <f>IF(ISNUMBER($R247),1,0)</f>
        <v>0</v>
      </c>
      <c r="BD247" s="55" t="str">
        <f>IF(ISNUMBER($U247),$U247*$V247,"")</f>
        <v/>
      </c>
      <c r="BE247" s="56" t="str">
        <f>IF($AM247=0,"",IFERROR(MATCH($AF247&amp;"|"&amp;UPPER(TRIM($E247)),Lists!$A$6:$A$205,0),0))</f>
        <v/>
      </c>
      <c r="BF247" s="56" t="str">
        <f>IF($AM247=0,"",IFERROR(MATCH($AF247,Settings!$B$14:$B$18,0),IFERROR(MATCH(Settings!$C$6,Settings!$B$14:$B$18,0),1)))</f>
        <v/>
      </c>
      <c r="BG247" s="58" t="str">
        <f>IF($AM247=0,"",IF(NOT(ISNUMBER($I247)),"No stop; ","")&amp;IF(AND(ISNUMBER($H247),ISNUMBER($I247)),IF(OR(AND($F247&lt;&gt;"Short",$I247&gt;=$H247),AND($F247="Short",$I247&lt;=$H247)),"Stop on wrong side; ",""),"")&amp;IF($F247="","No direction; ","")&amp;IF(AND(ISNUMBER(Settings!$C$22),ISNUMBER($V247)),IF($V247&gt;Settings!$C$22,"Risk over max $; ",""),"")&amp;IF(AND(ISNUMBER(Settings!$C$23),ISNUMBER($V247),ISNUMBER($AP247),IFERROR(N(INDEX(Accounts!$E$7:$E$16,MATCH($C247,Accounts!$B$7:$B$16,0))),0)&gt;0),IF($V247&gt;Settings!$C$23*($AP247-N($Q247)),"Risk over max %; ",""),"")&amp;IF(AND(ISNUMBER(Settings!$C$24),ISNUMBER($N247)),IF($N247&gt;Settings!$C$24,"Leverage over max; ",""),"")&amp;IF(AND(ISNUMBER(Settings!$C$27),ISNUMBER($T247)),IF($T247&lt;Settings!$C$27,"R:R below min; ",""),"")&amp;IF(ISNUMBER(Settings!$C$25),IF(COUNTIFS($A$6:$A247,$A247,$AM$6:$AM247,1)&gt;Settings!$C$25,"Over max trades/day; ",""),"")&amp;IF(ISNUMBER(Settings!$C$26),IF(SUMIFS($Q$5:$Q246,$A$5:$A246,$A247)&lt;=-Settings!$C$26,"Traded after daily max loss; ",""),"")&amp;IF(AND($AG247="",NOT(ISNUMBER($O247))),"Symbol not in Instruments; ","")&amp;IF(AND($AH247="",NOT(ISNUMBER($O247))),"Forex cross: type Gross P&amp;L; ",""))</f>
        <v/>
      </c>
      <c r="BH247" s="56">
        <f>IF(ISNUMBER($Q247),1,0)</f>
        <v>0</v>
      </c>
      <c r="BI247" s="56">
        <f>IF($Y247="",0,1)</f>
        <v>0</v>
      </c>
      <c r="BJ247" s="56">
        <f>IF($AB247="",0,1)</f>
        <v>0</v>
      </c>
      <c r="BK247" s="56">
        <f>IF(AND($BH247=1,$W247&lt;&gt;"OK"),1,0)</f>
        <v>0</v>
      </c>
      <c r="BL247" s="55">
        <f>IF(N($AZ247)=0,0,IFERROR(INDEX($AT$6:$AT$1005,MATCH($AZ247,$AY$6:$AY$1005,0)),0))</f>
        <v>1187.10688</v>
      </c>
      <c r="BM247" s="56">
        <f>IF(ISNUMBER(SEARCH("daily max loss",$BG247)),1,0)</f>
        <v>0</v>
      </c>
    </row>
    <row r="248" ht="18" customHeight="1">
      <c r="A248" s="38" t="n"/>
      <c r="B248" s="39" t="n"/>
      <c r="C248" s="40" t="n"/>
      <c r="D248" s="41" t="n"/>
      <c r="E248" s="41" t="n"/>
      <c r="F248" s="41" t="n"/>
      <c r="G248" s="41" t="n"/>
      <c r="H248" s="42" t="n"/>
      <c r="I248" s="42" t="n"/>
      <c r="J248" s="42" t="n"/>
      <c r="K248" s="42" t="n"/>
      <c r="L248" s="41" t="n"/>
      <c r="M248" s="41" t="n"/>
      <c r="N248" s="41" t="n"/>
      <c r="O248" s="43" t="n"/>
      <c r="P248" s="43" t="n"/>
      <c r="Q248" s="44" t="str">
        <f>IF($AM248=0,"",IF(ISNUMBER($AK248),$AK248-N($AL248),""))</f>
        <v/>
      </c>
      <c r="R248" s="45" t="str">
        <f>IF(OR($Q248="",NOT(ISNUMBER($V248))),"",$AK248/$V248)</f>
        <v/>
      </c>
      <c r="S248" s="46" t="str">
        <f>IF($Q248="","",IF(AND(ISNUMBER($R248),ABS(N($R248))&lt;N(Settings!$C$8)),"Scratch",IF($Q248&gt;0,"Win",IF($Q248&lt;0,"Loss","Scratch"))))</f>
        <v/>
      </c>
      <c r="T248" s="47" t="str">
        <f>IF(OR($AM248=0,NOT(ISNUMBER($H248)),NOT(ISNUMBER($I248)),NOT(ISNUMBER($J248))),"",IF($H248=$I248,"",ROUND(ABS($J248-$H248)/ABS($H248-$I248),6)))</f>
        <v/>
      </c>
      <c r="U248" s="48" t="str">
        <f>IF(OR($S248&lt;&gt;"Win",NOT(ISNUMBER($T248)),NOT(ISNUMBER($R248))),"",MAX(0,$T248-$R248))</f>
        <v/>
      </c>
      <c r="V248" s="49" t="str">
        <f>IF(OR($AM248=0,NOT(ISNUMBER($H248)),NOT(ISNUMBER($I248)),NOT(ISNUMBER($G248))),"",IF(OR($AG248="",$AH248=""),"",IF(ROUND(ABS($H248-$I248)*ABS($G248)*$AG248*$AH248,6)=0,"",ROUND(ABS($H248-$I248)*ABS($G248)*$AG248*$AH248,6))))</f>
        <v/>
      </c>
      <c r="W248" s="50" t="str">
        <f>IF($AM248=0,"",IF($BG248="","OK",LEFT($BG248,LEN($BG248)-2)))</f>
        <v/>
      </c>
      <c r="X248" s="41" t="n"/>
      <c r="Y248" s="40" t="n"/>
      <c r="Z248" s="41" t="n"/>
      <c r="AA248" s="41" t="n"/>
      <c r="AB248" s="40" t="n"/>
      <c r="AC248" s="51" t="n"/>
      <c r="AD248" s="51" t="n"/>
      <c r="AE248" s="40" t="n"/>
      <c r="AF248" s="52" t="str">
        <f>IF($AM248=0,"",IF($D248&lt;&gt;"",$D248,IF(IFERROR(INDEX(Accounts!$C$7:$C$16,MATCH($C248,Accounts!$B$7:$B$16,0))&amp;"","")&lt;&gt;"",INDEX(Accounts!$C$7:$C$16,MATCH($C248,Accounts!$B$7:$B$16,0)),Settings!$C$6)))</f>
        <v/>
      </c>
      <c r="AG248" s="53" t="str">
        <f>IF($AM248=0,"",IF(AND($BE248&gt;0,N(INDEX(Instruments!$D$6:$D$205,MAX(1,$BE248)))&gt;0),INDEX(Instruments!$D$6:$D$205,MAX(1,$BE248)),IF(N(INDEX(Settings!$D$14:$D$18,$BF248))&gt;0,INDEX(Settings!$D$14:$D$18,$BF248),"")))</f>
        <v/>
      </c>
      <c r="AH248" s="54" t="str">
        <f>IF($AM248=0,"",IF($AF248&lt;&gt;"Forex",1,IF(MID(UPPER(SUBSTITUTE(TRIM($E248),"/","")),4,3)=UPPER(TRIM(Settings!$C$7)),1,IF(LEFT(UPPER(SUBSTITUTE(TRIM($E248),"/","")),3)=UPPER(TRIM(Settings!$C$7)),IF(AND(ISNUMBER($K248),N($K248)&lt;&gt;0),1/$K248,""),""))))</f>
        <v/>
      </c>
      <c r="AI248" s="55" t="str">
        <f>IF($AM248=0,"",IF(OR(NOT(ISNUMBER($H248)),NOT(ISNUMBER($K248)),NOT(ISNUMBER($G248)),$AG248="",$AH248=""),"",ROUND(($K248-$H248)*IF($F248="Short",-1,1)*$G248*$AG248*$AH248,6)))</f>
        <v/>
      </c>
      <c r="AJ248" s="55" t="str">
        <f>IF($AM248=0,"",IF(INDEX(Settings!$E$14:$E$18,$BF248)="% of notional",IF(OR($AG248="",NOT(ISNUMBER($H248)),NOT(ISNUMBER($G248))),"",ROUND(ABS($H248*$G248*$AG248*N($AH248))*IF($L248="Limit",N(INDEX(Settings!$G$14:$G$18,$BF248)),N(INDEX(Settings!$H$14:$H$18,$BF248)))+IF(ISNUMBER($K248),ABS($K248*$G248*$AG248*N($AH248))*IF($M248="Target",N(INDEX(Settings!$G$14:$G$18,$BF248)),N(INDEX(Settings!$H$14:$H$18,$BF248))),0),6)),IF(NOT(ISNUMBER($G248)),"",ROUND(ABS($G248)*2*IF(AND($BE248&gt;0,ISNUMBER(INDEX(Instruments!$G$6:$G$205,MAX(1,$BE248)))),INDEX(Instruments!$G$6:$G$205,MAX(1,$BE248)),N(INDEX(Settings!$F$14:$F$18,$BF248))),6))))</f>
        <v/>
      </c>
      <c r="AK248" s="55" t="str">
        <f>IF($AM248=0,"",IF(ISNUMBER($O248),$O248,$AI248))</f>
        <v/>
      </c>
      <c r="AL248" s="55" t="str">
        <f>IF($AM248=0,"",IF(ISNUMBER($P248),$P248,N($AJ248)))</f>
        <v/>
      </c>
      <c r="AM248" s="56">
        <f>IF(AND($A248&lt;&gt;"",$E248&lt;&gt;"",OR(AND(ISNUMBER($G248),ISNUMBER($H248),ISNUMBER($K248)),ISNUMBER($O248))),1,0)</f>
        <v>0</v>
      </c>
      <c r="AN248" s="57" t="str">
        <f>IF($A248="","",$A248-WEEKDAY($A248,3))</f>
        <v/>
      </c>
      <c r="AO248" s="56" t="str">
        <f>IF($A248="","",WEEKDAY($A248,2))</f>
        <v/>
      </c>
      <c r="AP248" s="55" t="str">
        <f>IF(OR($AM248=0,$C248=""),"",IFERROR(N(INDEX(Accounts!$E$7:$E$16,MATCH($C248,Accounts!$B$7:$B$16,0))),0)+SUMIFS($Q$6:$Q248,$C$6:$C248,$C248))</f>
        <v/>
      </c>
      <c r="AQ248" s="55" t="str">
        <f>IF(OR($AM248=0,$C248=""),"",SUMIFS($Q$6:$Q$1005,$C$6:$C$1005,$C248,$A$6:$A$1005,$A248))</f>
        <v/>
      </c>
      <c r="AR248" s="55" t="str">
        <f>IF(OR($AM248=0,$C248=""),"",IFERROR(N(INDEX(Accounts!$E$7:$E$16,MATCH($C248,Accounts!$B$7:$B$16,0))),0)+SUMIFS($Q$6:$Q$1005,$C$6:$C$1005,$C248,$A$6:$A$1005,"&lt;="&amp;$A248))</f>
        <v/>
      </c>
      <c r="AS248" s="56">
        <f>IF(OR($AM248=0,$Q248=""),0,IF(AND($A248&gt;=Lists!$W$6,$A248&lt;=Lists!$W$7,OR(Dashboard!$D$6="All accounts",$C248=Dashboard!$D$6),OR(Dashboard!$D$7="All markets",$AF248=Dashboard!$D$7)),1,0))</f>
        <v>0</v>
      </c>
      <c r="AT248" s="55">
        <f>IF($AS248=1,N(AT247)+$Q248,N(AT247))</f>
        <v>1187.10688</v>
      </c>
      <c r="AU248" s="55">
        <f>MAX(N(AU247),$AT248)</f>
        <v>1187.10688</v>
      </c>
      <c r="AV248" s="55">
        <f>$AT248-$AU248</f>
        <v>0</v>
      </c>
      <c r="AW248" s="56">
        <f>IF($AS248=1,IF($S248="Win",N(AW247)+1,IF($S248="Loss",0,N(AW247))),N(AW247))</f>
        <v>5</v>
      </c>
      <c r="AX248" s="56">
        <f>IF($AS248=1,IF($S248="Loss",N(AX247)+1,IF($S248="Win",0,N(AX247))),N(AX247))</f>
        <v>0</v>
      </c>
      <c r="AY248" s="56" t="str">
        <f>IF($AS248=1,COUNTIF($AS$6:$AS248,1),"")</f>
        <v/>
      </c>
      <c r="AZ248" s="56">
        <f>MIN(242,N(Lists!$W$8))</f>
        <v>28</v>
      </c>
      <c r="BA248" s="56">
        <f>IF($AS248=1,IF(COUNTIFS($A$6:$A248,$A248,$AS$6:$AS248,1)=1,1,0),0)</f>
        <v>0</v>
      </c>
      <c r="BB248" s="55" t="str">
        <f>IF($BA248=1,SUMIFS($Q$6:$Q$1005,$A$6:$A$1005,$A248,$AS$6:$AS$1005,1),"")</f>
        <v/>
      </c>
      <c r="BC248" s="56">
        <f>IF(ISNUMBER($R248),1,0)</f>
        <v>0</v>
      </c>
      <c r="BD248" s="55" t="str">
        <f>IF(ISNUMBER($U248),$U248*$V248,"")</f>
        <v/>
      </c>
      <c r="BE248" s="56" t="str">
        <f>IF($AM248=0,"",IFERROR(MATCH($AF248&amp;"|"&amp;UPPER(TRIM($E248)),Lists!$A$6:$A$205,0),0))</f>
        <v/>
      </c>
      <c r="BF248" s="56" t="str">
        <f>IF($AM248=0,"",IFERROR(MATCH($AF248,Settings!$B$14:$B$18,0),IFERROR(MATCH(Settings!$C$6,Settings!$B$14:$B$18,0),1)))</f>
        <v/>
      </c>
      <c r="BG248" s="58" t="str">
        <f>IF($AM248=0,"",IF(NOT(ISNUMBER($I248)),"No stop; ","")&amp;IF(AND(ISNUMBER($H248),ISNUMBER($I248)),IF(OR(AND($F248&lt;&gt;"Short",$I248&gt;=$H248),AND($F248="Short",$I248&lt;=$H248)),"Stop on wrong side; ",""),"")&amp;IF($F248="","No direction; ","")&amp;IF(AND(ISNUMBER(Settings!$C$22),ISNUMBER($V248)),IF($V248&gt;Settings!$C$22,"Risk over max $; ",""),"")&amp;IF(AND(ISNUMBER(Settings!$C$23),ISNUMBER($V248),ISNUMBER($AP248),IFERROR(N(INDEX(Accounts!$E$7:$E$16,MATCH($C248,Accounts!$B$7:$B$16,0))),0)&gt;0),IF($V248&gt;Settings!$C$23*($AP248-N($Q248)),"Risk over max %; ",""),"")&amp;IF(AND(ISNUMBER(Settings!$C$24),ISNUMBER($N248)),IF($N248&gt;Settings!$C$24,"Leverage over max; ",""),"")&amp;IF(AND(ISNUMBER(Settings!$C$27),ISNUMBER($T248)),IF($T248&lt;Settings!$C$27,"R:R below min; ",""),"")&amp;IF(ISNUMBER(Settings!$C$25),IF(COUNTIFS($A$6:$A248,$A248,$AM$6:$AM248,1)&gt;Settings!$C$25,"Over max trades/day; ",""),"")&amp;IF(ISNUMBER(Settings!$C$26),IF(SUMIFS($Q$5:$Q247,$A$5:$A247,$A248)&lt;=-Settings!$C$26,"Traded after daily max loss; ",""),"")&amp;IF(AND($AG248="",NOT(ISNUMBER($O248))),"Symbol not in Instruments; ","")&amp;IF(AND($AH248="",NOT(ISNUMBER($O248))),"Forex cross: type Gross P&amp;L; ",""))</f>
        <v/>
      </c>
      <c r="BH248" s="56">
        <f>IF(ISNUMBER($Q248),1,0)</f>
        <v>0</v>
      </c>
      <c r="BI248" s="56">
        <f>IF($Y248="",0,1)</f>
        <v>0</v>
      </c>
      <c r="BJ248" s="56">
        <f>IF($AB248="",0,1)</f>
        <v>0</v>
      </c>
      <c r="BK248" s="56">
        <f>IF(AND($BH248=1,$W248&lt;&gt;"OK"),1,0)</f>
        <v>0</v>
      </c>
      <c r="BL248" s="55">
        <f>IF(N($AZ248)=0,0,IFERROR(INDEX($AT$6:$AT$1005,MATCH($AZ248,$AY$6:$AY$1005,0)),0))</f>
        <v>1187.10688</v>
      </c>
      <c r="BM248" s="56">
        <f>IF(ISNUMBER(SEARCH("daily max loss",$BG248)),1,0)</f>
        <v>0</v>
      </c>
    </row>
    <row r="249" ht="18" customHeight="1">
      <c r="A249" s="38" t="n"/>
      <c r="B249" s="39" t="n"/>
      <c r="C249" s="40" t="n"/>
      <c r="D249" s="41" t="n"/>
      <c r="E249" s="41" t="n"/>
      <c r="F249" s="41" t="n"/>
      <c r="G249" s="41" t="n"/>
      <c r="H249" s="42" t="n"/>
      <c r="I249" s="42" t="n"/>
      <c r="J249" s="42" t="n"/>
      <c r="K249" s="42" t="n"/>
      <c r="L249" s="41" t="n"/>
      <c r="M249" s="41" t="n"/>
      <c r="N249" s="41" t="n"/>
      <c r="O249" s="43" t="n"/>
      <c r="P249" s="43" t="n"/>
      <c r="Q249" s="44" t="str">
        <f>IF($AM249=0,"",IF(ISNUMBER($AK249),$AK249-N($AL249),""))</f>
        <v/>
      </c>
      <c r="R249" s="45" t="str">
        <f>IF(OR($Q249="",NOT(ISNUMBER($V249))),"",$AK249/$V249)</f>
        <v/>
      </c>
      <c r="S249" s="46" t="str">
        <f>IF($Q249="","",IF(AND(ISNUMBER($R249),ABS(N($R249))&lt;N(Settings!$C$8)),"Scratch",IF($Q249&gt;0,"Win",IF($Q249&lt;0,"Loss","Scratch"))))</f>
        <v/>
      </c>
      <c r="T249" s="47" t="str">
        <f>IF(OR($AM249=0,NOT(ISNUMBER($H249)),NOT(ISNUMBER($I249)),NOT(ISNUMBER($J249))),"",IF($H249=$I249,"",ROUND(ABS($J249-$H249)/ABS($H249-$I249),6)))</f>
        <v/>
      </c>
      <c r="U249" s="48" t="str">
        <f>IF(OR($S249&lt;&gt;"Win",NOT(ISNUMBER($T249)),NOT(ISNUMBER($R249))),"",MAX(0,$T249-$R249))</f>
        <v/>
      </c>
      <c r="V249" s="49" t="str">
        <f>IF(OR($AM249=0,NOT(ISNUMBER($H249)),NOT(ISNUMBER($I249)),NOT(ISNUMBER($G249))),"",IF(OR($AG249="",$AH249=""),"",IF(ROUND(ABS($H249-$I249)*ABS($G249)*$AG249*$AH249,6)=0,"",ROUND(ABS($H249-$I249)*ABS($G249)*$AG249*$AH249,6))))</f>
        <v/>
      </c>
      <c r="W249" s="50" t="str">
        <f>IF($AM249=0,"",IF($BG249="","OK",LEFT($BG249,LEN($BG249)-2)))</f>
        <v/>
      </c>
      <c r="X249" s="41" t="n"/>
      <c r="Y249" s="40" t="n"/>
      <c r="Z249" s="41" t="n"/>
      <c r="AA249" s="41" t="n"/>
      <c r="AB249" s="40" t="n"/>
      <c r="AC249" s="51" t="n"/>
      <c r="AD249" s="51" t="n"/>
      <c r="AE249" s="40" t="n"/>
      <c r="AF249" s="52" t="str">
        <f>IF($AM249=0,"",IF($D249&lt;&gt;"",$D249,IF(IFERROR(INDEX(Accounts!$C$7:$C$16,MATCH($C249,Accounts!$B$7:$B$16,0))&amp;"","")&lt;&gt;"",INDEX(Accounts!$C$7:$C$16,MATCH($C249,Accounts!$B$7:$B$16,0)),Settings!$C$6)))</f>
        <v/>
      </c>
      <c r="AG249" s="53" t="str">
        <f>IF($AM249=0,"",IF(AND($BE249&gt;0,N(INDEX(Instruments!$D$6:$D$205,MAX(1,$BE249)))&gt;0),INDEX(Instruments!$D$6:$D$205,MAX(1,$BE249)),IF(N(INDEX(Settings!$D$14:$D$18,$BF249))&gt;0,INDEX(Settings!$D$14:$D$18,$BF249),"")))</f>
        <v/>
      </c>
      <c r="AH249" s="54" t="str">
        <f>IF($AM249=0,"",IF($AF249&lt;&gt;"Forex",1,IF(MID(UPPER(SUBSTITUTE(TRIM($E249),"/","")),4,3)=UPPER(TRIM(Settings!$C$7)),1,IF(LEFT(UPPER(SUBSTITUTE(TRIM($E249),"/","")),3)=UPPER(TRIM(Settings!$C$7)),IF(AND(ISNUMBER($K249),N($K249)&lt;&gt;0),1/$K249,""),""))))</f>
        <v/>
      </c>
      <c r="AI249" s="55" t="str">
        <f>IF($AM249=0,"",IF(OR(NOT(ISNUMBER($H249)),NOT(ISNUMBER($K249)),NOT(ISNUMBER($G249)),$AG249="",$AH249=""),"",ROUND(($K249-$H249)*IF($F249="Short",-1,1)*$G249*$AG249*$AH249,6)))</f>
        <v/>
      </c>
      <c r="AJ249" s="55" t="str">
        <f>IF($AM249=0,"",IF(INDEX(Settings!$E$14:$E$18,$BF249)="% of notional",IF(OR($AG249="",NOT(ISNUMBER($H249)),NOT(ISNUMBER($G249))),"",ROUND(ABS($H249*$G249*$AG249*N($AH249))*IF($L249="Limit",N(INDEX(Settings!$G$14:$G$18,$BF249)),N(INDEX(Settings!$H$14:$H$18,$BF249)))+IF(ISNUMBER($K249),ABS($K249*$G249*$AG249*N($AH249))*IF($M249="Target",N(INDEX(Settings!$G$14:$G$18,$BF249)),N(INDEX(Settings!$H$14:$H$18,$BF249))),0),6)),IF(NOT(ISNUMBER($G249)),"",ROUND(ABS($G249)*2*IF(AND($BE249&gt;0,ISNUMBER(INDEX(Instruments!$G$6:$G$205,MAX(1,$BE249)))),INDEX(Instruments!$G$6:$G$205,MAX(1,$BE249)),N(INDEX(Settings!$F$14:$F$18,$BF249))),6))))</f>
        <v/>
      </c>
      <c r="AK249" s="55" t="str">
        <f>IF($AM249=0,"",IF(ISNUMBER($O249),$O249,$AI249))</f>
        <v/>
      </c>
      <c r="AL249" s="55" t="str">
        <f>IF($AM249=0,"",IF(ISNUMBER($P249),$P249,N($AJ249)))</f>
        <v/>
      </c>
      <c r="AM249" s="56">
        <f>IF(AND($A249&lt;&gt;"",$E249&lt;&gt;"",OR(AND(ISNUMBER($G249),ISNUMBER($H249),ISNUMBER($K249)),ISNUMBER($O249))),1,0)</f>
        <v>0</v>
      </c>
      <c r="AN249" s="57" t="str">
        <f>IF($A249="","",$A249-WEEKDAY($A249,3))</f>
        <v/>
      </c>
      <c r="AO249" s="56" t="str">
        <f>IF($A249="","",WEEKDAY($A249,2))</f>
        <v/>
      </c>
      <c r="AP249" s="55" t="str">
        <f>IF(OR($AM249=0,$C249=""),"",IFERROR(N(INDEX(Accounts!$E$7:$E$16,MATCH($C249,Accounts!$B$7:$B$16,0))),0)+SUMIFS($Q$6:$Q249,$C$6:$C249,$C249))</f>
        <v/>
      </c>
      <c r="AQ249" s="55" t="str">
        <f>IF(OR($AM249=0,$C249=""),"",SUMIFS($Q$6:$Q$1005,$C$6:$C$1005,$C249,$A$6:$A$1005,$A249))</f>
        <v/>
      </c>
      <c r="AR249" s="55" t="str">
        <f>IF(OR($AM249=0,$C249=""),"",IFERROR(N(INDEX(Accounts!$E$7:$E$16,MATCH($C249,Accounts!$B$7:$B$16,0))),0)+SUMIFS($Q$6:$Q$1005,$C$6:$C$1005,$C249,$A$6:$A$1005,"&lt;="&amp;$A249))</f>
        <v/>
      </c>
      <c r="AS249" s="56">
        <f>IF(OR($AM249=0,$Q249=""),0,IF(AND($A249&gt;=Lists!$W$6,$A249&lt;=Lists!$W$7,OR(Dashboard!$D$6="All accounts",$C249=Dashboard!$D$6),OR(Dashboard!$D$7="All markets",$AF249=Dashboard!$D$7)),1,0))</f>
        <v>0</v>
      </c>
      <c r="AT249" s="55">
        <f>IF($AS249=1,N(AT248)+$Q249,N(AT248))</f>
        <v>1187.10688</v>
      </c>
      <c r="AU249" s="55">
        <f>MAX(N(AU248),$AT249)</f>
        <v>1187.10688</v>
      </c>
      <c r="AV249" s="55">
        <f>$AT249-$AU249</f>
        <v>0</v>
      </c>
      <c r="AW249" s="56">
        <f>IF($AS249=1,IF($S249="Win",N(AW248)+1,IF($S249="Loss",0,N(AW248))),N(AW248))</f>
        <v>5</v>
      </c>
      <c r="AX249" s="56">
        <f>IF($AS249=1,IF($S249="Loss",N(AX248)+1,IF($S249="Win",0,N(AX248))),N(AX248))</f>
        <v>0</v>
      </c>
      <c r="AY249" s="56" t="str">
        <f>IF($AS249=1,COUNTIF($AS$6:$AS249,1),"")</f>
        <v/>
      </c>
      <c r="AZ249" s="56">
        <f>MIN(243,N(Lists!$W$8))</f>
        <v>28</v>
      </c>
      <c r="BA249" s="56">
        <f>IF($AS249=1,IF(COUNTIFS($A$6:$A249,$A249,$AS$6:$AS249,1)=1,1,0),0)</f>
        <v>0</v>
      </c>
      <c r="BB249" s="55" t="str">
        <f>IF($BA249=1,SUMIFS($Q$6:$Q$1005,$A$6:$A$1005,$A249,$AS$6:$AS$1005,1),"")</f>
        <v/>
      </c>
      <c r="BC249" s="56">
        <f>IF(ISNUMBER($R249),1,0)</f>
        <v>0</v>
      </c>
      <c r="BD249" s="55" t="str">
        <f>IF(ISNUMBER($U249),$U249*$V249,"")</f>
        <v/>
      </c>
      <c r="BE249" s="56" t="str">
        <f>IF($AM249=0,"",IFERROR(MATCH($AF249&amp;"|"&amp;UPPER(TRIM($E249)),Lists!$A$6:$A$205,0),0))</f>
        <v/>
      </c>
      <c r="BF249" s="56" t="str">
        <f>IF($AM249=0,"",IFERROR(MATCH($AF249,Settings!$B$14:$B$18,0),IFERROR(MATCH(Settings!$C$6,Settings!$B$14:$B$18,0),1)))</f>
        <v/>
      </c>
      <c r="BG249" s="58" t="str">
        <f>IF($AM249=0,"",IF(NOT(ISNUMBER($I249)),"No stop; ","")&amp;IF(AND(ISNUMBER($H249),ISNUMBER($I249)),IF(OR(AND($F249&lt;&gt;"Short",$I249&gt;=$H249),AND($F249="Short",$I249&lt;=$H249)),"Stop on wrong side; ",""),"")&amp;IF($F249="","No direction; ","")&amp;IF(AND(ISNUMBER(Settings!$C$22),ISNUMBER($V249)),IF($V249&gt;Settings!$C$22,"Risk over max $; ",""),"")&amp;IF(AND(ISNUMBER(Settings!$C$23),ISNUMBER($V249),ISNUMBER($AP249),IFERROR(N(INDEX(Accounts!$E$7:$E$16,MATCH($C249,Accounts!$B$7:$B$16,0))),0)&gt;0),IF($V249&gt;Settings!$C$23*($AP249-N($Q249)),"Risk over max %; ",""),"")&amp;IF(AND(ISNUMBER(Settings!$C$24),ISNUMBER($N249)),IF($N249&gt;Settings!$C$24,"Leverage over max; ",""),"")&amp;IF(AND(ISNUMBER(Settings!$C$27),ISNUMBER($T249)),IF($T249&lt;Settings!$C$27,"R:R below min; ",""),"")&amp;IF(ISNUMBER(Settings!$C$25),IF(COUNTIFS($A$6:$A249,$A249,$AM$6:$AM249,1)&gt;Settings!$C$25,"Over max trades/day; ",""),"")&amp;IF(ISNUMBER(Settings!$C$26),IF(SUMIFS($Q$5:$Q248,$A$5:$A248,$A249)&lt;=-Settings!$C$26,"Traded after daily max loss; ",""),"")&amp;IF(AND($AG249="",NOT(ISNUMBER($O249))),"Symbol not in Instruments; ","")&amp;IF(AND($AH249="",NOT(ISNUMBER($O249))),"Forex cross: type Gross P&amp;L; ",""))</f>
        <v/>
      </c>
      <c r="BH249" s="56">
        <f>IF(ISNUMBER($Q249),1,0)</f>
        <v>0</v>
      </c>
      <c r="BI249" s="56">
        <f>IF($Y249="",0,1)</f>
        <v>0</v>
      </c>
      <c r="BJ249" s="56">
        <f>IF($AB249="",0,1)</f>
        <v>0</v>
      </c>
      <c r="BK249" s="56">
        <f>IF(AND($BH249=1,$W249&lt;&gt;"OK"),1,0)</f>
        <v>0</v>
      </c>
      <c r="BL249" s="55">
        <f>IF(N($AZ249)=0,0,IFERROR(INDEX($AT$6:$AT$1005,MATCH($AZ249,$AY$6:$AY$1005,0)),0))</f>
        <v>1187.10688</v>
      </c>
      <c r="BM249" s="56">
        <f>IF(ISNUMBER(SEARCH("daily max loss",$BG249)),1,0)</f>
        <v>0</v>
      </c>
    </row>
    <row r="250" ht="18" customHeight="1">
      <c r="A250" s="38" t="n"/>
      <c r="B250" s="39" t="n"/>
      <c r="C250" s="40" t="n"/>
      <c r="D250" s="41" t="n"/>
      <c r="E250" s="41" t="n"/>
      <c r="F250" s="41" t="n"/>
      <c r="G250" s="41" t="n"/>
      <c r="H250" s="42" t="n"/>
      <c r="I250" s="42" t="n"/>
      <c r="J250" s="42" t="n"/>
      <c r="K250" s="42" t="n"/>
      <c r="L250" s="41" t="n"/>
      <c r="M250" s="41" t="n"/>
      <c r="N250" s="41" t="n"/>
      <c r="O250" s="43" t="n"/>
      <c r="P250" s="43" t="n"/>
      <c r="Q250" s="44" t="str">
        <f>IF($AM250=0,"",IF(ISNUMBER($AK250),$AK250-N($AL250),""))</f>
        <v/>
      </c>
      <c r="R250" s="45" t="str">
        <f>IF(OR($Q250="",NOT(ISNUMBER($V250))),"",$AK250/$V250)</f>
        <v/>
      </c>
      <c r="S250" s="46" t="str">
        <f>IF($Q250="","",IF(AND(ISNUMBER($R250),ABS(N($R250))&lt;N(Settings!$C$8)),"Scratch",IF($Q250&gt;0,"Win",IF($Q250&lt;0,"Loss","Scratch"))))</f>
        <v/>
      </c>
      <c r="T250" s="47" t="str">
        <f>IF(OR($AM250=0,NOT(ISNUMBER($H250)),NOT(ISNUMBER($I250)),NOT(ISNUMBER($J250))),"",IF($H250=$I250,"",ROUND(ABS($J250-$H250)/ABS($H250-$I250),6)))</f>
        <v/>
      </c>
      <c r="U250" s="48" t="str">
        <f>IF(OR($S250&lt;&gt;"Win",NOT(ISNUMBER($T250)),NOT(ISNUMBER($R250))),"",MAX(0,$T250-$R250))</f>
        <v/>
      </c>
      <c r="V250" s="49" t="str">
        <f>IF(OR($AM250=0,NOT(ISNUMBER($H250)),NOT(ISNUMBER($I250)),NOT(ISNUMBER($G250))),"",IF(OR($AG250="",$AH250=""),"",IF(ROUND(ABS($H250-$I250)*ABS($G250)*$AG250*$AH250,6)=0,"",ROUND(ABS($H250-$I250)*ABS($G250)*$AG250*$AH250,6))))</f>
        <v/>
      </c>
      <c r="W250" s="50" t="str">
        <f>IF($AM250=0,"",IF($BG250="","OK",LEFT($BG250,LEN($BG250)-2)))</f>
        <v/>
      </c>
      <c r="X250" s="41" t="n"/>
      <c r="Y250" s="40" t="n"/>
      <c r="Z250" s="41" t="n"/>
      <c r="AA250" s="41" t="n"/>
      <c r="AB250" s="40" t="n"/>
      <c r="AC250" s="51" t="n"/>
      <c r="AD250" s="51" t="n"/>
      <c r="AE250" s="40" t="n"/>
      <c r="AF250" s="52" t="str">
        <f>IF($AM250=0,"",IF($D250&lt;&gt;"",$D250,IF(IFERROR(INDEX(Accounts!$C$7:$C$16,MATCH($C250,Accounts!$B$7:$B$16,0))&amp;"","")&lt;&gt;"",INDEX(Accounts!$C$7:$C$16,MATCH($C250,Accounts!$B$7:$B$16,0)),Settings!$C$6)))</f>
        <v/>
      </c>
      <c r="AG250" s="53" t="str">
        <f>IF($AM250=0,"",IF(AND($BE250&gt;0,N(INDEX(Instruments!$D$6:$D$205,MAX(1,$BE250)))&gt;0),INDEX(Instruments!$D$6:$D$205,MAX(1,$BE250)),IF(N(INDEX(Settings!$D$14:$D$18,$BF250))&gt;0,INDEX(Settings!$D$14:$D$18,$BF250),"")))</f>
        <v/>
      </c>
      <c r="AH250" s="54" t="str">
        <f>IF($AM250=0,"",IF($AF250&lt;&gt;"Forex",1,IF(MID(UPPER(SUBSTITUTE(TRIM($E250),"/","")),4,3)=UPPER(TRIM(Settings!$C$7)),1,IF(LEFT(UPPER(SUBSTITUTE(TRIM($E250),"/","")),3)=UPPER(TRIM(Settings!$C$7)),IF(AND(ISNUMBER($K250),N($K250)&lt;&gt;0),1/$K250,""),""))))</f>
        <v/>
      </c>
      <c r="AI250" s="55" t="str">
        <f>IF($AM250=0,"",IF(OR(NOT(ISNUMBER($H250)),NOT(ISNUMBER($K250)),NOT(ISNUMBER($G250)),$AG250="",$AH250=""),"",ROUND(($K250-$H250)*IF($F250="Short",-1,1)*$G250*$AG250*$AH250,6)))</f>
        <v/>
      </c>
      <c r="AJ250" s="55" t="str">
        <f>IF($AM250=0,"",IF(INDEX(Settings!$E$14:$E$18,$BF250)="% of notional",IF(OR($AG250="",NOT(ISNUMBER($H250)),NOT(ISNUMBER($G250))),"",ROUND(ABS($H250*$G250*$AG250*N($AH250))*IF($L250="Limit",N(INDEX(Settings!$G$14:$G$18,$BF250)),N(INDEX(Settings!$H$14:$H$18,$BF250)))+IF(ISNUMBER($K250),ABS($K250*$G250*$AG250*N($AH250))*IF($M250="Target",N(INDEX(Settings!$G$14:$G$18,$BF250)),N(INDEX(Settings!$H$14:$H$18,$BF250))),0),6)),IF(NOT(ISNUMBER($G250)),"",ROUND(ABS($G250)*2*IF(AND($BE250&gt;0,ISNUMBER(INDEX(Instruments!$G$6:$G$205,MAX(1,$BE250)))),INDEX(Instruments!$G$6:$G$205,MAX(1,$BE250)),N(INDEX(Settings!$F$14:$F$18,$BF250))),6))))</f>
        <v/>
      </c>
      <c r="AK250" s="55" t="str">
        <f>IF($AM250=0,"",IF(ISNUMBER($O250),$O250,$AI250))</f>
        <v/>
      </c>
      <c r="AL250" s="55" t="str">
        <f>IF($AM250=0,"",IF(ISNUMBER($P250),$P250,N($AJ250)))</f>
        <v/>
      </c>
      <c r="AM250" s="56">
        <f>IF(AND($A250&lt;&gt;"",$E250&lt;&gt;"",OR(AND(ISNUMBER($G250),ISNUMBER($H250),ISNUMBER($K250)),ISNUMBER($O250))),1,0)</f>
        <v>0</v>
      </c>
      <c r="AN250" s="57" t="str">
        <f>IF($A250="","",$A250-WEEKDAY($A250,3))</f>
        <v/>
      </c>
      <c r="AO250" s="56" t="str">
        <f>IF($A250="","",WEEKDAY($A250,2))</f>
        <v/>
      </c>
      <c r="AP250" s="55" t="str">
        <f>IF(OR($AM250=0,$C250=""),"",IFERROR(N(INDEX(Accounts!$E$7:$E$16,MATCH($C250,Accounts!$B$7:$B$16,0))),0)+SUMIFS($Q$6:$Q250,$C$6:$C250,$C250))</f>
        <v/>
      </c>
      <c r="AQ250" s="55" t="str">
        <f>IF(OR($AM250=0,$C250=""),"",SUMIFS($Q$6:$Q$1005,$C$6:$C$1005,$C250,$A$6:$A$1005,$A250))</f>
        <v/>
      </c>
      <c r="AR250" s="55" t="str">
        <f>IF(OR($AM250=0,$C250=""),"",IFERROR(N(INDEX(Accounts!$E$7:$E$16,MATCH($C250,Accounts!$B$7:$B$16,0))),0)+SUMIFS($Q$6:$Q$1005,$C$6:$C$1005,$C250,$A$6:$A$1005,"&lt;="&amp;$A250))</f>
        <v/>
      </c>
      <c r="AS250" s="56">
        <f>IF(OR($AM250=0,$Q250=""),0,IF(AND($A250&gt;=Lists!$W$6,$A250&lt;=Lists!$W$7,OR(Dashboard!$D$6="All accounts",$C250=Dashboard!$D$6),OR(Dashboard!$D$7="All markets",$AF250=Dashboard!$D$7)),1,0))</f>
        <v>0</v>
      </c>
      <c r="AT250" s="55">
        <f>IF($AS250=1,N(AT249)+$Q250,N(AT249))</f>
        <v>1187.10688</v>
      </c>
      <c r="AU250" s="55">
        <f>MAX(N(AU249),$AT250)</f>
        <v>1187.10688</v>
      </c>
      <c r="AV250" s="55">
        <f>$AT250-$AU250</f>
        <v>0</v>
      </c>
      <c r="AW250" s="56">
        <f>IF($AS250=1,IF($S250="Win",N(AW249)+1,IF($S250="Loss",0,N(AW249))),N(AW249))</f>
        <v>5</v>
      </c>
      <c r="AX250" s="56">
        <f>IF($AS250=1,IF($S250="Loss",N(AX249)+1,IF($S250="Win",0,N(AX249))),N(AX249))</f>
        <v>0</v>
      </c>
      <c r="AY250" s="56" t="str">
        <f>IF($AS250=1,COUNTIF($AS$6:$AS250,1),"")</f>
        <v/>
      </c>
      <c r="AZ250" s="56">
        <f>MIN(244,N(Lists!$W$8))</f>
        <v>28</v>
      </c>
      <c r="BA250" s="56">
        <f>IF($AS250=1,IF(COUNTIFS($A$6:$A250,$A250,$AS$6:$AS250,1)=1,1,0),0)</f>
        <v>0</v>
      </c>
      <c r="BB250" s="55" t="str">
        <f>IF($BA250=1,SUMIFS($Q$6:$Q$1005,$A$6:$A$1005,$A250,$AS$6:$AS$1005,1),"")</f>
        <v/>
      </c>
      <c r="BC250" s="56">
        <f>IF(ISNUMBER($R250),1,0)</f>
        <v>0</v>
      </c>
      <c r="BD250" s="55" t="str">
        <f>IF(ISNUMBER($U250),$U250*$V250,"")</f>
        <v/>
      </c>
      <c r="BE250" s="56" t="str">
        <f>IF($AM250=0,"",IFERROR(MATCH($AF250&amp;"|"&amp;UPPER(TRIM($E250)),Lists!$A$6:$A$205,0),0))</f>
        <v/>
      </c>
      <c r="BF250" s="56" t="str">
        <f>IF($AM250=0,"",IFERROR(MATCH($AF250,Settings!$B$14:$B$18,0),IFERROR(MATCH(Settings!$C$6,Settings!$B$14:$B$18,0),1)))</f>
        <v/>
      </c>
      <c r="BG250" s="58" t="str">
        <f>IF($AM250=0,"",IF(NOT(ISNUMBER($I250)),"No stop; ","")&amp;IF(AND(ISNUMBER($H250),ISNUMBER($I250)),IF(OR(AND($F250&lt;&gt;"Short",$I250&gt;=$H250),AND($F250="Short",$I250&lt;=$H250)),"Stop on wrong side; ",""),"")&amp;IF($F250="","No direction; ","")&amp;IF(AND(ISNUMBER(Settings!$C$22),ISNUMBER($V250)),IF($V250&gt;Settings!$C$22,"Risk over max $; ",""),"")&amp;IF(AND(ISNUMBER(Settings!$C$23),ISNUMBER($V250),ISNUMBER($AP250),IFERROR(N(INDEX(Accounts!$E$7:$E$16,MATCH($C250,Accounts!$B$7:$B$16,0))),0)&gt;0),IF($V250&gt;Settings!$C$23*($AP250-N($Q250)),"Risk over max %; ",""),"")&amp;IF(AND(ISNUMBER(Settings!$C$24),ISNUMBER($N250)),IF($N250&gt;Settings!$C$24,"Leverage over max; ",""),"")&amp;IF(AND(ISNUMBER(Settings!$C$27),ISNUMBER($T250)),IF($T250&lt;Settings!$C$27,"R:R below min; ",""),"")&amp;IF(ISNUMBER(Settings!$C$25),IF(COUNTIFS($A$6:$A250,$A250,$AM$6:$AM250,1)&gt;Settings!$C$25,"Over max trades/day; ",""),"")&amp;IF(ISNUMBER(Settings!$C$26),IF(SUMIFS($Q$5:$Q249,$A$5:$A249,$A250)&lt;=-Settings!$C$26,"Traded after daily max loss; ",""),"")&amp;IF(AND($AG250="",NOT(ISNUMBER($O250))),"Symbol not in Instruments; ","")&amp;IF(AND($AH250="",NOT(ISNUMBER($O250))),"Forex cross: type Gross P&amp;L; ",""))</f>
        <v/>
      </c>
      <c r="BH250" s="56">
        <f>IF(ISNUMBER($Q250),1,0)</f>
        <v>0</v>
      </c>
      <c r="BI250" s="56">
        <f>IF($Y250="",0,1)</f>
        <v>0</v>
      </c>
      <c r="BJ250" s="56">
        <f>IF($AB250="",0,1)</f>
        <v>0</v>
      </c>
      <c r="BK250" s="56">
        <f>IF(AND($BH250=1,$W250&lt;&gt;"OK"),1,0)</f>
        <v>0</v>
      </c>
      <c r="BL250" s="55">
        <f>IF(N($AZ250)=0,0,IFERROR(INDEX($AT$6:$AT$1005,MATCH($AZ250,$AY$6:$AY$1005,0)),0))</f>
        <v>1187.10688</v>
      </c>
      <c r="BM250" s="56">
        <f>IF(ISNUMBER(SEARCH("daily max loss",$BG250)),1,0)</f>
        <v>0</v>
      </c>
    </row>
    <row r="251" ht="18" customHeight="1">
      <c r="A251" s="38" t="n"/>
      <c r="B251" s="39" t="n"/>
      <c r="C251" s="40" t="n"/>
      <c r="D251" s="41" t="n"/>
      <c r="E251" s="41" t="n"/>
      <c r="F251" s="41" t="n"/>
      <c r="G251" s="41" t="n"/>
      <c r="H251" s="42" t="n"/>
      <c r="I251" s="42" t="n"/>
      <c r="J251" s="42" t="n"/>
      <c r="K251" s="42" t="n"/>
      <c r="L251" s="41" t="n"/>
      <c r="M251" s="41" t="n"/>
      <c r="N251" s="41" t="n"/>
      <c r="O251" s="43" t="n"/>
      <c r="P251" s="43" t="n"/>
      <c r="Q251" s="44" t="str">
        <f>IF($AM251=0,"",IF(ISNUMBER($AK251),$AK251-N($AL251),""))</f>
        <v/>
      </c>
      <c r="R251" s="45" t="str">
        <f>IF(OR($Q251="",NOT(ISNUMBER($V251))),"",$AK251/$V251)</f>
        <v/>
      </c>
      <c r="S251" s="46" t="str">
        <f>IF($Q251="","",IF(AND(ISNUMBER($R251),ABS(N($R251))&lt;N(Settings!$C$8)),"Scratch",IF($Q251&gt;0,"Win",IF($Q251&lt;0,"Loss","Scratch"))))</f>
        <v/>
      </c>
      <c r="T251" s="47" t="str">
        <f>IF(OR($AM251=0,NOT(ISNUMBER($H251)),NOT(ISNUMBER($I251)),NOT(ISNUMBER($J251))),"",IF($H251=$I251,"",ROUND(ABS($J251-$H251)/ABS($H251-$I251),6)))</f>
        <v/>
      </c>
      <c r="U251" s="48" t="str">
        <f>IF(OR($S251&lt;&gt;"Win",NOT(ISNUMBER($T251)),NOT(ISNUMBER($R251))),"",MAX(0,$T251-$R251))</f>
        <v/>
      </c>
      <c r="V251" s="49" t="str">
        <f>IF(OR($AM251=0,NOT(ISNUMBER($H251)),NOT(ISNUMBER($I251)),NOT(ISNUMBER($G251))),"",IF(OR($AG251="",$AH251=""),"",IF(ROUND(ABS($H251-$I251)*ABS($G251)*$AG251*$AH251,6)=0,"",ROUND(ABS($H251-$I251)*ABS($G251)*$AG251*$AH251,6))))</f>
        <v/>
      </c>
      <c r="W251" s="50" t="str">
        <f>IF($AM251=0,"",IF($BG251="","OK",LEFT($BG251,LEN($BG251)-2)))</f>
        <v/>
      </c>
      <c r="X251" s="41" t="n"/>
      <c r="Y251" s="40" t="n"/>
      <c r="Z251" s="41" t="n"/>
      <c r="AA251" s="41" t="n"/>
      <c r="AB251" s="40" t="n"/>
      <c r="AC251" s="51" t="n"/>
      <c r="AD251" s="51" t="n"/>
      <c r="AE251" s="40" t="n"/>
      <c r="AF251" s="52" t="str">
        <f>IF($AM251=0,"",IF($D251&lt;&gt;"",$D251,IF(IFERROR(INDEX(Accounts!$C$7:$C$16,MATCH($C251,Accounts!$B$7:$B$16,0))&amp;"","")&lt;&gt;"",INDEX(Accounts!$C$7:$C$16,MATCH($C251,Accounts!$B$7:$B$16,0)),Settings!$C$6)))</f>
        <v/>
      </c>
      <c r="AG251" s="53" t="str">
        <f>IF($AM251=0,"",IF(AND($BE251&gt;0,N(INDEX(Instruments!$D$6:$D$205,MAX(1,$BE251)))&gt;0),INDEX(Instruments!$D$6:$D$205,MAX(1,$BE251)),IF(N(INDEX(Settings!$D$14:$D$18,$BF251))&gt;0,INDEX(Settings!$D$14:$D$18,$BF251),"")))</f>
        <v/>
      </c>
      <c r="AH251" s="54" t="str">
        <f>IF($AM251=0,"",IF($AF251&lt;&gt;"Forex",1,IF(MID(UPPER(SUBSTITUTE(TRIM($E251),"/","")),4,3)=UPPER(TRIM(Settings!$C$7)),1,IF(LEFT(UPPER(SUBSTITUTE(TRIM($E251),"/","")),3)=UPPER(TRIM(Settings!$C$7)),IF(AND(ISNUMBER($K251),N($K251)&lt;&gt;0),1/$K251,""),""))))</f>
        <v/>
      </c>
      <c r="AI251" s="55" t="str">
        <f>IF($AM251=0,"",IF(OR(NOT(ISNUMBER($H251)),NOT(ISNUMBER($K251)),NOT(ISNUMBER($G251)),$AG251="",$AH251=""),"",ROUND(($K251-$H251)*IF($F251="Short",-1,1)*$G251*$AG251*$AH251,6)))</f>
        <v/>
      </c>
      <c r="AJ251" s="55" t="str">
        <f>IF($AM251=0,"",IF(INDEX(Settings!$E$14:$E$18,$BF251)="% of notional",IF(OR($AG251="",NOT(ISNUMBER($H251)),NOT(ISNUMBER($G251))),"",ROUND(ABS($H251*$G251*$AG251*N($AH251))*IF($L251="Limit",N(INDEX(Settings!$G$14:$G$18,$BF251)),N(INDEX(Settings!$H$14:$H$18,$BF251)))+IF(ISNUMBER($K251),ABS($K251*$G251*$AG251*N($AH251))*IF($M251="Target",N(INDEX(Settings!$G$14:$G$18,$BF251)),N(INDEX(Settings!$H$14:$H$18,$BF251))),0),6)),IF(NOT(ISNUMBER($G251)),"",ROUND(ABS($G251)*2*IF(AND($BE251&gt;0,ISNUMBER(INDEX(Instruments!$G$6:$G$205,MAX(1,$BE251)))),INDEX(Instruments!$G$6:$G$205,MAX(1,$BE251)),N(INDEX(Settings!$F$14:$F$18,$BF251))),6))))</f>
        <v/>
      </c>
      <c r="AK251" s="55" t="str">
        <f>IF($AM251=0,"",IF(ISNUMBER($O251),$O251,$AI251))</f>
        <v/>
      </c>
      <c r="AL251" s="55" t="str">
        <f>IF($AM251=0,"",IF(ISNUMBER($P251),$P251,N($AJ251)))</f>
        <v/>
      </c>
      <c r="AM251" s="56">
        <f>IF(AND($A251&lt;&gt;"",$E251&lt;&gt;"",OR(AND(ISNUMBER($G251),ISNUMBER($H251),ISNUMBER($K251)),ISNUMBER($O251))),1,0)</f>
        <v>0</v>
      </c>
      <c r="AN251" s="57" t="str">
        <f>IF($A251="","",$A251-WEEKDAY($A251,3))</f>
        <v/>
      </c>
      <c r="AO251" s="56" t="str">
        <f>IF($A251="","",WEEKDAY($A251,2))</f>
        <v/>
      </c>
      <c r="AP251" s="55" t="str">
        <f>IF(OR($AM251=0,$C251=""),"",IFERROR(N(INDEX(Accounts!$E$7:$E$16,MATCH($C251,Accounts!$B$7:$B$16,0))),0)+SUMIFS($Q$6:$Q251,$C$6:$C251,$C251))</f>
        <v/>
      </c>
      <c r="AQ251" s="55" t="str">
        <f>IF(OR($AM251=0,$C251=""),"",SUMIFS($Q$6:$Q$1005,$C$6:$C$1005,$C251,$A$6:$A$1005,$A251))</f>
        <v/>
      </c>
      <c r="AR251" s="55" t="str">
        <f>IF(OR($AM251=0,$C251=""),"",IFERROR(N(INDEX(Accounts!$E$7:$E$16,MATCH($C251,Accounts!$B$7:$B$16,0))),0)+SUMIFS($Q$6:$Q$1005,$C$6:$C$1005,$C251,$A$6:$A$1005,"&lt;="&amp;$A251))</f>
        <v/>
      </c>
      <c r="AS251" s="56">
        <f>IF(OR($AM251=0,$Q251=""),0,IF(AND($A251&gt;=Lists!$W$6,$A251&lt;=Lists!$W$7,OR(Dashboard!$D$6="All accounts",$C251=Dashboard!$D$6),OR(Dashboard!$D$7="All markets",$AF251=Dashboard!$D$7)),1,0))</f>
        <v>0</v>
      </c>
      <c r="AT251" s="55">
        <f>IF($AS251=1,N(AT250)+$Q251,N(AT250))</f>
        <v>1187.10688</v>
      </c>
      <c r="AU251" s="55">
        <f>MAX(N(AU250),$AT251)</f>
        <v>1187.10688</v>
      </c>
      <c r="AV251" s="55">
        <f>$AT251-$AU251</f>
        <v>0</v>
      </c>
      <c r="AW251" s="56">
        <f>IF($AS251=1,IF($S251="Win",N(AW250)+1,IF($S251="Loss",0,N(AW250))),N(AW250))</f>
        <v>5</v>
      </c>
      <c r="AX251" s="56">
        <f>IF($AS251=1,IF($S251="Loss",N(AX250)+1,IF($S251="Win",0,N(AX250))),N(AX250))</f>
        <v>0</v>
      </c>
      <c r="AY251" s="56" t="str">
        <f>IF($AS251=1,COUNTIF($AS$6:$AS251,1),"")</f>
        <v/>
      </c>
      <c r="AZ251" s="56">
        <f>MIN(245,N(Lists!$W$8))</f>
        <v>28</v>
      </c>
      <c r="BA251" s="56">
        <f>IF($AS251=1,IF(COUNTIFS($A$6:$A251,$A251,$AS$6:$AS251,1)=1,1,0),0)</f>
        <v>0</v>
      </c>
      <c r="BB251" s="55" t="str">
        <f>IF($BA251=1,SUMIFS($Q$6:$Q$1005,$A$6:$A$1005,$A251,$AS$6:$AS$1005,1),"")</f>
        <v/>
      </c>
      <c r="BC251" s="56">
        <f>IF(ISNUMBER($R251),1,0)</f>
        <v>0</v>
      </c>
      <c r="BD251" s="55" t="str">
        <f>IF(ISNUMBER($U251),$U251*$V251,"")</f>
        <v/>
      </c>
      <c r="BE251" s="56" t="str">
        <f>IF($AM251=0,"",IFERROR(MATCH($AF251&amp;"|"&amp;UPPER(TRIM($E251)),Lists!$A$6:$A$205,0),0))</f>
        <v/>
      </c>
      <c r="BF251" s="56" t="str">
        <f>IF($AM251=0,"",IFERROR(MATCH($AF251,Settings!$B$14:$B$18,0),IFERROR(MATCH(Settings!$C$6,Settings!$B$14:$B$18,0),1)))</f>
        <v/>
      </c>
      <c r="BG251" s="58" t="str">
        <f>IF($AM251=0,"",IF(NOT(ISNUMBER($I251)),"No stop; ","")&amp;IF(AND(ISNUMBER($H251),ISNUMBER($I251)),IF(OR(AND($F251&lt;&gt;"Short",$I251&gt;=$H251),AND($F251="Short",$I251&lt;=$H251)),"Stop on wrong side; ",""),"")&amp;IF($F251="","No direction; ","")&amp;IF(AND(ISNUMBER(Settings!$C$22),ISNUMBER($V251)),IF($V251&gt;Settings!$C$22,"Risk over max $; ",""),"")&amp;IF(AND(ISNUMBER(Settings!$C$23),ISNUMBER($V251),ISNUMBER($AP251),IFERROR(N(INDEX(Accounts!$E$7:$E$16,MATCH($C251,Accounts!$B$7:$B$16,0))),0)&gt;0),IF($V251&gt;Settings!$C$23*($AP251-N($Q251)),"Risk over max %; ",""),"")&amp;IF(AND(ISNUMBER(Settings!$C$24),ISNUMBER($N251)),IF($N251&gt;Settings!$C$24,"Leverage over max; ",""),"")&amp;IF(AND(ISNUMBER(Settings!$C$27),ISNUMBER($T251)),IF($T251&lt;Settings!$C$27,"R:R below min; ",""),"")&amp;IF(ISNUMBER(Settings!$C$25),IF(COUNTIFS($A$6:$A251,$A251,$AM$6:$AM251,1)&gt;Settings!$C$25,"Over max trades/day; ",""),"")&amp;IF(ISNUMBER(Settings!$C$26),IF(SUMIFS($Q$5:$Q250,$A$5:$A250,$A251)&lt;=-Settings!$C$26,"Traded after daily max loss; ",""),"")&amp;IF(AND($AG251="",NOT(ISNUMBER($O251))),"Symbol not in Instruments; ","")&amp;IF(AND($AH251="",NOT(ISNUMBER($O251))),"Forex cross: type Gross P&amp;L; ",""))</f>
        <v/>
      </c>
      <c r="BH251" s="56">
        <f>IF(ISNUMBER($Q251),1,0)</f>
        <v>0</v>
      </c>
      <c r="BI251" s="56">
        <f>IF($Y251="",0,1)</f>
        <v>0</v>
      </c>
      <c r="BJ251" s="56">
        <f>IF($AB251="",0,1)</f>
        <v>0</v>
      </c>
      <c r="BK251" s="56">
        <f>IF(AND($BH251=1,$W251&lt;&gt;"OK"),1,0)</f>
        <v>0</v>
      </c>
      <c r="BL251" s="55">
        <f>IF(N($AZ251)=0,0,IFERROR(INDEX($AT$6:$AT$1005,MATCH($AZ251,$AY$6:$AY$1005,0)),0))</f>
        <v>1187.10688</v>
      </c>
      <c r="BM251" s="56">
        <f>IF(ISNUMBER(SEARCH("daily max loss",$BG251)),1,0)</f>
        <v>0</v>
      </c>
    </row>
    <row r="252" ht="18" customHeight="1">
      <c r="A252" s="38" t="n"/>
      <c r="B252" s="39" t="n"/>
      <c r="C252" s="40" t="n"/>
      <c r="D252" s="41" t="n"/>
      <c r="E252" s="41" t="n"/>
      <c r="F252" s="41" t="n"/>
      <c r="G252" s="41" t="n"/>
      <c r="H252" s="42" t="n"/>
      <c r="I252" s="42" t="n"/>
      <c r="J252" s="42" t="n"/>
      <c r="K252" s="42" t="n"/>
      <c r="L252" s="41" t="n"/>
      <c r="M252" s="41" t="n"/>
      <c r="N252" s="41" t="n"/>
      <c r="O252" s="43" t="n"/>
      <c r="P252" s="43" t="n"/>
      <c r="Q252" s="44" t="str">
        <f>IF($AM252=0,"",IF(ISNUMBER($AK252),$AK252-N($AL252),""))</f>
        <v/>
      </c>
      <c r="R252" s="45" t="str">
        <f>IF(OR($Q252="",NOT(ISNUMBER($V252))),"",$AK252/$V252)</f>
        <v/>
      </c>
      <c r="S252" s="46" t="str">
        <f>IF($Q252="","",IF(AND(ISNUMBER($R252),ABS(N($R252))&lt;N(Settings!$C$8)),"Scratch",IF($Q252&gt;0,"Win",IF($Q252&lt;0,"Loss","Scratch"))))</f>
        <v/>
      </c>
      <c r="T252" s="47" t="str">
        <f>IF(OR($AM252=0,NOT(ISNUMBER($H252)),NOT(ISNUMBER($I252)),NOT(ISNUMBER($J252))),"",IF($H252=$I252,"",ROUND(ABS($J252-$H252)/ABS($H252-$I252),6)))</f>
        <v/>
      </c>
      <c r="U252" s="48" t="str">
        <f>IF(OR($S252&lt;&gt;"Win",NOT(ISNUMBER($T252)),NOT(ISNUMBER($R252))),"",MAX(0,$T252-$R252))</f>
        <v/>
      </c>
      <c r="V252" s="49" t="str">
        <f>IF(OR($AM252=0,NOT(ISNUMBER($H252)),NOT(ISNUMBER($I252)),NOT(ISNUMBER($G252))),"",IF(OR($AG252="",$AH252=""),"",IF(ROUND(ABS($H252-$I252)*ABS($G252)*$AG252*$AH252,6)=0,"",ROUND(ABS($H252-$I252)*ABS($G252)*$AG252*$AH252,6))))</f>
        <v/>
      </c>
      <c r="W252" s="50" t="str">
        <f>IF($AM252=0,"",IF($BG252="","OK",LEFT($BG252,LEN($BG252)-2)))</f>
        <v/>
      </c>
      <c r="X252" s="41" t="n"/>
      <c r="Y252" s="40" t="n"/>
      <c r="Z252" s="41" t="n"/>
      <c r="AA252" s="41" t="n"/>
      <c r="AB252" s="40" t="n"/>
      <c r="AC252" s="51" t="n"/>
      <c r="AD252" s="51" t="n"/>
      <c r="AE252" s="40" t="n"/>
      <c r="AF252" s="52" t="str">
        <f>IF($AM252=0,"",IF($D252&lt;&gt;"",$D252,IF(IFERROR(INDEX(Accounts!$C$7:$C$16,MATCH($C252,Accounts!$B$7:$B$16,0))&amp;"","")&lt;&gt;"",INDEX(Accounts!$C$7:$C$16,MATCH($C252,Accounts!$B$7:$B$16,0)),Settings!$C$6)))</f>
        <v/>
      </c>
      <c r="AG252" s="53" t="str">
        <f>IF($AM252=0,"",IF(AND($BE252&gt;0,N(INDEX(Instruments!$D$6:$D$205,MAX(1,$BE252)))&gt;0),INDEX(Instruments!$D$6:$D$205,MAX(1,$BE252)),IF(N(INDEX(Settings!$D$14:$D$18,$BF252))&gt;0,INDEX(Settings!$D$14:$D$18,$BF252),"")))</f>
        <v/>
      </c>
      <c r="AH252" s="54" t="str">
        <f>IF($AM252=0,"",IF($AF252&lt;&gt;"Forex",1,IF(MID(UPPER(SUBSTITUTE(TRIM($E252),"/","")),4,3)=UPPER(TRIM(Settings!$C$7)),1,IF(LEFT(UPPER(SUBSTITUTE(TRIM($E252),"/","")),3)=UPPER(TRIM(Settings!$C$7)),IF(AND(ISNUMBER($K252),N($K252)&lt;&gt;0),1/$K252,""),""))))</f>
        <v/>
      </c>
      <c r="AI252" s="55" t="str">
        <f>IF($AM252=0,"",IF(OR(NOT(ISNUMBER($H252)),NOT(ISNUMBER($K252)),NOT(ISNUMBER($G252)),$AG252="",$AH252=""),"",ROUND(($K252-$H252)*IF($F252="Short",-1,1)*$G252*$AG252*$AH252,6)))</f>
        <v/>
      </c>
      <c r="AJ252" s="55" t="str">
        <f>IF($AM252=0,"",IF(INDEX(Settings!$E$14:$E$18,$BF252)="% of notional",IF(OR($AG252="",NOT(ISNUMBER($H252)),NOT(ISNUMBER($G252))),"",ROUND(ABS($H252*$G252*$AG252*N($AH252))*IF($L252="Limit",N(INDEX(Settings!$G$14:$G$18,$BF252)),N(INDEX(Settings!$H$14:$H$18,$BF252)))+IF(ISNUMBER($K252),ABS($K252*$G252*$AG252*N($AH252))*IF($M252="Target",N(INDEX(Settings!$G$14:$G$18,$BF252)),N(INDEX(Settings!$H$14:$H$18,$BF252))),0),6)),IF(NOT(ISNUMBER($G252)),"",ROUND(ABS($G252)*2*IF(AND($BE252&gt;0,ISNUMBER(INDEX(Instruments!$G$6:$G$205,MAX(1,$BE252)))),INDEX(Instruments!$G$6:$G$205,MAX(1,$BE252)),N(INDEX(Settings!$F$14:$F$18,$BF252))),6))))</f>
        <v/>
      </c>
      <c r="AK252" s="55" t="str">
        <f>IF($AM252=0,"",IF(ISNUMBER($O252),$O252,$AI252))</f>
        <v/>
      </c>
      <c r="AL252" s="55" t="str">
        <f>IF($AM252=0,"",IF(ISNUMBER($P252),$P252,N($AJ252)))</f>
        <v/>
      </c>
      <c r="AM252" s="56">
        <f>IF(AND($A252&lt;&gt;"",$E252&lt;&gt;"",OR(AND(ISNUMBER($G252),ISNUMBER($H252),ISNUMBER($K252)),ISNUMBER($O252))),1,0)</f>
        <v>0</v>
      </c>
      <c r="AN252" s="57" t="str">
        <f>IF($A252="","",$A252-WEEKDAY($A252,3))</f>
        <v/>
      </c>
      <c r="AO252" s="56" t="str">
        <f>IF($A252="","",WEEKDAY($A252,2))</f>
        <v/>
      </c>
      <c r="AP252" s="55" t="str">
        <f>IF(OR($AM252=0,$C252=""),"",IFERROR(N(INDEX(Accounts!$E$7:$E$16,MATCH($C252,Accounts!$B$7:$B$16,0))),0)+SUMIFS($Q$6:$Q252,$C$6:$C252,$C252))</f>
        <v/>
      </c>
      <c r="AQ252" s="55" t="str">
        <f>IF(OR($AM252=0,$C252=""),"",SUMIFS($Q$6:$Q$1005,$C$6:$C$1005,$C252,$A$6:$A$1005,$A252))</f>
        <v/>
      </c>
      <c r="AR252" s="55" t="str">
        <f>IF(OR($AM252=0,$C252=""),"",IFERROR(N(INDEX(Accounts!$E$7:$E$16,MATCH($C252,Accounts!$B$7:$B$16,0))),0)+SUMIFS($Q$6:$Q$1005,$C$6:$C$1005,$C252,$A$6:$A$1005,"&lt;="&amp;$A252))</f>
        <v/>
      </c>
      <c r="AS252" s="56">
        <f>IF(OR($AM252=0,$Q252=""),0,IF(AND($A252&gt;=Lists!$W$6,$A252&lt;=Lists!$W$7,OR(Dashboard!$D$6="All accounts",$C252=Dashboard!$D$6),OR(Dashboard!$D$7="All markets",$AF252=Dashboard!$D$7)),1,0))</f>
        <v>0</v>
      </c>
      <c r="AT252" s="55">
        <f>IF($AS252=1,N(AT251)+$Q252,N(AT251))</f>
        <v>1187.10688</v>
      </c>
      <c r="AU252" s="55">
        <f>MAX(N(AU251),$AT252)</f>
        <v>1187.10688</v>
      </c>
      <c r="AV252" s="55">
        <f>$AT252-$AU252</f>
        <v>0</v>
      </c>
      <c r="AW252" s="56">
        <f>IF($AS252=1,IF($S252="Win",N(AW251)+1,IF($S252="Loss",0,N(AW251))),N(AW251))</f>
        <v>5</v>
      </c>
      <c r="AX252" s="56">
        <f>IF($AS252=1,IF($S252="Loss",N(AX251)+1,IF($S252="Win",0,N(AX251))),N(AX251))</f>
        <v>0</v>
      </c>
      <c r="AY252" s="56" t="str">
        <f>IF($AS252=1,COUNTIF($AS$6:$AS252,1),"")</f>
        <v/>
      </c>
      <c r="AZ252" s="56">
        <f>MIN(246,N(Lists!$W$8))</f>
        <v>28</v>
      </c>
      <c r="BA252" s="56">
        <f>IF($AS252=1,IF(COUNTIFS($A$6:$A252,$A252,$AS$6:$AS252,1)=1,1,0),0)</f>
        <v>0</v>
      </c>
      <c r="BB252" s="55" t="str">
        <f>IF($BA252=1,SUMIFS($Q$6:$Q$1005,$A$6:$A$1005,$A252,$AS$6:$AS$1005,1),"")</f>
        <v/>
      </c>
      <c r="BC252" s="56">
        <f>IF(ISNUMBER($R252),1,0)</f>
        <v>0</v>
      </c>
      <c r="BD252" s="55" t="str">
        <f>IF(ISNUMBER($U252),$U252*$V252,"")</f>
        <v/>
      </c>
      <c r="BE252" s="56" t="str">
        <f>IF($AM252=0,"",IFERROR(MATCH($AF252&amp;"|"&amp;UPPER(TRIM($E252)),Lists!$A$6:$A$205,0),0))</f>
        <v/>
      </c>
      <c r="BF252" s="56" t="str">
        <f>IF($AM252=0,"",IFERROR(MATCH($AF252,Settings!$B$14:$B$18,0),IFERROR(MATCH(Settings!$C$6,Settings!$B$14:$B$18,0),1)))</f>
        <v/>
      </c>
      <c r="BG252" s="58" t="str">
        <f>IF($AM252=0,"",IF(NOT(ISNUMBER($I252)),"No stop; ","")&amp;IF(AND(ISNUMBER($H252),ISNUMBER($I252)),IF(OR(AND($F252&lt;&gt;"Short",$I252&gt;=$H252),AND($F252="Short",$I252&lt;=$H252)),"Stop on wrong side; ",""),"")&amp;IF($F252="","No direction; ","")&amp;IF(AND(ISNUMBER(Settings!$C$22),ISNUMBER($V252)),IF($V252&gt;Settings!$C$22,"Risk over max $; ",""),"")&amp;IF(AND(ISNUMBER(Settings!$C$23),ISNUMBER($V252),ISNUMBER($AP252),IFERROR(N(INDEX(Accounts!$E$7:$E$16,MATCH($C252,Accounts!$B$7:$B$16,0))),0)&gt;0),IF($V252&gt;Settings!$C$23*($AP252-N($Q252)),"Risk over max %; ",""),"")&amp;IF(AND(ISNUMBER(Settings!$C$24),ISNUMBER($N252)),IF($N252&gt;Settings!$C$24,"Leverage over max; ",""),"")&amp;IF(AND(ISNUMBER(Settings!$C$27),ISNUMBER($T252)),IF($T252&lt;Settings!$C$27,"R:R below min; ",""),"")&amp;IF(ISNUMBER(Settings!$C$25),IF(COUNTIFS($A$6:$A252,$A252,$AM$6:$AM252,1)&gt;Settings!$C$25,"Over max trades/day; ",""),"")&amp;IF(ISNUMBER(Settings!$C$26),IF(SUMIFS($Q$5:$Q251,$A$5:$A251,$A252)&lt;=-Settings!$C$26,"Traded after daily max loss; ",""),"")&amp;IF(AND($AG252="",NOT(ISNUMBER($O252))),"Symbol not in Instruments; ","")&amp;IF(AND($AH252="",NOT(ISNUMBER($O252))),"Forex cross: type Gross P&amp;L; ",""))</f>
        <v/>
      </c>
      <c r="BH252" s="56">
        <f>IF(ISNUMBER($Q252),1,0)</f>
        <v>0</v>
      </c>
      <c r="BI252" s="56">
        <f>IF($Y252="",0,1)</f>
        <v>0</v>
      </c>
      <c r="BJ252" s="56">
        <f>IF($AB252="",0,1)</f>
        <v>0</v>
      </c>
      <c r="BK252" s="56">
        <f>IF(AND($BH252=1,$W252&lt;&gt;"OK"),1,0)</f>
        <v>0</v>
      </c>
      <c r="BL252" s="55">
        <f>IF(N($AZ252)=0,0,IFERROR(INDEX($AT$6:$AT$1005,MATCH($AZ252,$AY$6:$AY$1005,0)),0))</f>
        <v>1187.10688</v>
      </c>
      <c r="BM252" s="56">
        <f>IF(ISNUMBER(SEARCH("daily max loss",$BG252)),1,0)</f>
        <v>0</v>
      </c>
    </row>
    <row r="253" ht="18" customHeight="1">
      <c r="A253" s="38" t="n"/>
      <c r="B253" s="39" t="n"/>
      <c r="C253" s="40" t="n"/>
      <c r="D253" s="41" t="n"/>
      <c r="E253" s="41" t="n"/>
      <c r="F253" s="41" t="n"/>
      <c r="G253" s="41" t="n"/>
      <c r="H253" s="42" t="n"/>
      <c r="I253" s="42" t="n"/>
      <c r="J253" s="42" t="n"/>
      <c r="K253" s="42" t="n"/>
      <c r="L253" s="41" t="n"/>
      <c r="M253" s="41" t="n"/>
      <c r="N253" s="41" t="n"/>
      <c r="O253" s="43" t="n"/>
      <c r="P253" s="43" t="n"/>
      <c r="Q253" s="44" t="str">
        <f>IF($AM253=0,"",IF(ISNUMBER($AK253),$AK253-N($AL253),""))</f>
        <v/>
      </c>
      <c r="R253" s="45" t="str">
        <f>IF(OR($Q253="",NOT(ISNUMBER($V253))),"",$AK253/$V253)</f>
        <v/>
      </c>
      <c r="S253" s="46" t="str">
        <f>IF($Q253="","",IF(AND(ISNUMBER($R253),ABS(N($R253))&lt;N(Settings!$C$8)),"Scratch",IF($Q253&gt;0,"Win",IF($Q253&lt;0,"Loss","Scratch"))))</f>
        <v/>
      </c>
      <c r="T253" s="47" t="str">
        <f>IF(OR($AM253=0,NOT(ISNUMBER($H253)),NOT(ISNUMBER($I253)),NOT(ISNUMBER($J253))),"",IF($H253=$I253,"",ROUND(ABS($J253-$H253)/ABS($H253-$I253),6)))</f>
        <v/>
      </c>
      <c r="U253" s="48" t="str">
        <f>IF(OR($S253&lt;&gt;"Win",NOT(ISNUMBER($T253)),NOT(ISNUMBER($R253))),"",MAX(0,$T253-$R253))</f>
        <v/>
      </c>
      <c r="V253" s="49" t="str">
        <f>IF(OR($AM253=0,NOT(ISNUMBER($H253)),NOT(ISNUMBER($I253)),NOT(ISNUMBER($G253))),"",IF(OR($AG253="",$AH253=""),"",IF(ROUND(ABS($H253-$I253)*ABS($G253)*$AG253*$AH253,6)=0,"",ROUND(ABS($H253-$I253)*ABS($G253)*$AG253*$AH253,6))))</f>
        <v/>
      </c>
      <c r="W253" s="50" t="str">
        <f>IF($AM253=0,"",IF($BG253="","OK",LEFT($BG253,LEN($BG253)-2)))</f>
        <v/>
      </c>
      <c r="X253" s="41" t="n"/>
      <c r="Y253" s="40" t="n"/>
      <c r="Z253" s="41" t="n"/>
      <c r="AA253" s="41" t="n"/>
      <c r="AB253" s="40" t="n"/>
      <c r="AC253" s="51" t="n"/>
      <c r="AD253" s="51" t="n"/>
      <c r="AE253" s="40" t="n"/>
      <c r="AF253" s="52" t="str">
        <f>IF($AM253=0,"",IF($D253&lt;&gt;"",$D253,IF(IFERROR(INDEX(Accounts!$C$7:$C$16,MATCH($C253,Accounts!$B$7:$B$16,0))&amp;"","")&lt;&gt;"",INDEX(Accounts!$C$7:$C$16,MATCH($C253,Accounts!$B$7:$B$16,0)),Settings!$C$6)))</f>
        <v/>
      </c>
      <c r="AG253" s="53" t="str">
        <f>IF($AM253=0,"",IF(AND($BE253&gt;0,N(INDEX(Instruments!$D$6:$D$205,MAX(1,$BE253)))&gt;0),INDEX(Instruments!$D$6:$D$205,MAX(1,$BE253)),IF(N(INDEX(Settings!$D$14:$D$18,$BF253))&gt;0,INDEX(Settings!$D$14:$D$18,$BF253),"")))</f>
        <v/>
      </c>
      <c r="AH253" s="54" t="str">
        <f>IF($AM253=0,"",IF($AF253&lt;&gt;"Forex",1,IF(MID(UPPER(SUBSTITUTE(TRIM($E253),"/","")),4,3)=UPPER(TRIM(Settings!$C$7)),1,IF(LEFT(UPPER(SUBSTITUTE(TRIM($E253),"/","")),3)=UPPER(TRIM(Settings!$C$7)),IF(AND(ISNUMBER($K253),N($K253)&lt;&gt;0),1/$K253,""),""))))</f>
        <v/>
      </c>
      <c r="AI253" s="55" t="str">
        <f>IF($AM253=0,"",IF(OR(NOT(ISNUMBER($H253)),NOT(ISNUMBER($K253)),NOT(ISNUMBER($G253)),$AG253="",$AH253=""),"",ROUND(($K253-$H253)*IF($F253="Short",-1,1)*$G253*$AG253*$AH253,6)))</f>
        <v/>
      </c>
      <c r="AJ253" s="55" t="str">
        <f>IF($AM253=0,"",IF(INDEX(Settings!$E$14:$E$18,$BF253)="% of notional",IF(OR($AG253="",NOT(ISNUMBER($H253)),NOT(ISNUMBER($G253))),"",ROUND(ABS($H253*$G253*$AG253*N($AH253))*IF($L253="Limit",N(INDEX(Settings!$G$14:$G$18,$BF253)),N(INDEX(Settings!$H$14:$H$18,$BF253)))+IF(ISNUMBER($K253),ABS($K253*$G253*$AG253*N($AH253))*IF($M253="Target",N(INDEX(Settings!$G$14:$G$18,$BF253)),N(INDEX(Settings!$H$14:$H$18,$BF253))),0),6)),IF(NOT(ISNUMBER($G253)),"",ROUND(ABS($G253)*2*IF(AND($BE253&gt;0,ISNUMBER(INDEX(Instruments!$G$6:$G$205,MAX(1,$BE253)))),INDEX(Instruments!$G$6:$G$205,MAX(1,$BE253)),N(INDEX(Settings!$F$14:$F$18,$BF253))),6))))</f>
        <v/>
      </c>
      <c r="AK253" s="55" t="str">
        <f>IF($AM253=0,"",IF(ISNUMBER($O253),$O253,$AI253))</f>
        <v/>
      </c>
      <c r="AL253" s="55" t="str">
        <f>IF($AM253=0,"",IF(ISNUMBER($P253),$P253,N($AJ253)))</f>
        <v/>
      </c>
      <c r="AM253" s="56">
        <f>IF(AND($A253&lt;&gt;"",$E253&lt;&gt;"",OR(AND(ISNUMBER($G253),ISNUMBER($H253),ISNUMBER($K253)),ISNUMBER($O253))),1,0)</f>
        <v>0</v>
      </c>
      <c r="AN253" s="57" t="str">
        <f>IF($A253="","",$A253-WEEKDAY($A253,3))</f>
        <v/>
      </c>
      <c r="AO253" s="56" t="str">
        <f>IF($A253="","",WEEKDAY($A253,2))</f>
        <v/>
      </c>
      <c r="AP253" s="55" t="str">
        <f>IF(OR($AM253=0,$C253=""),"",IFERROR(N(INDEX(Accounts!$E$7:$E$16,MATCH($C253,Accounts!$B$7:$B$16,0))),0)+SUMIFS($Q$6:$Q253,$C$6:$C253,$C253))</f>
        <v/>
      </c>
      <c r="AQ253" s="55" t="str">
        <f>IF(OR($AM253=0,$C253=""),"",SUMIFS($Q$6:$Q$1005,$C$6:$C$1005,$C253,$A$6:$A$1005,$A253))</f>
        <v/>
      </c>
      <c r="AR253" s="55" t="str">
        <f>IF(OR($AM253=0,$C253=""),"",IFERROR(N(INDEX(Accounts!$E$7:$E$16,MATCH($C253,Accounts!$B$7:$B$16,0))),0)+SUMIFS($Q$6:$Q$1005,$C$6:$C$1005,$C253,$A$6:$A$1005,"&lt;="&amp;$A253))</f>
        <v/>
      </c>
      <c r="AS253" s="56">
        <f>IF(OR($AM253=0,$Q253=""),0,IF(AND($A253&gt;=Lists!$W$6,$A253&lt;=Lists!$W$7,OR(Dashboard!$D$6="All accounts",$C253=Dashboard!$D$6),OR(Dashboard!$D$7="All markets",$AF253=Dashboard!$D$7)),1,0))</f>
        <v>0</v>
      </c>
      <c r="AT253" s="55">
        <f>IF($AS253=1,N(AT252)+$Q253,N(AT252))</f>
        <v>1187.10688</v>
      </c>
      <c r="AU253" s="55">
        <f>MAX(N(AU252),$AT253)</f>
        <v>1187.10688</v>
      </c>
      <c r="AV253" s="55">
        <f>$AT253-$AU253</f>
        <v>0</v>
      </c>
      <c r="AW253" s="56">
        <f>IF($AS253=1,IF($S253="Win",N(AW252)+1,IF($S253="Loss",0,N(AW252))),N(AW252))</f>
        <v>5</v>
      </c>
      <c r="AX253" s="56">
        <f>IF($AS253=1,IF($S253="Loss",N(AX252)+1,IF($S253="Win",0,N(AX252))),N(AX252))</f>
        <v>0</v>
      </c>
      <c r="AY253" s="56" t="str">
        <f>IF($AS253=1,COUNTIF($AS$6:$AS253,1),"")</f>
        <v/>
      </c>
      <c r="AZ253" s="56">
        <f>MIN(247,N(Lists!$W$8))</f>
        <v>28</v>
      </c>
      <c r="BA253" s="56">
        <f>IF($AS253=1,IF(COUNTIFS($A$6:$A253,$A253,$AS$6:$AS253,1)=1,1,0),0)</f>
        <v>0</v>
      </c>
      <c r="BB253" s="55" t="str">
        <f>IF($BA253=1,SUMIFS($Q$6:$Q$1005,$A$6:$A$1005,$A253,$AS$6:$AS$1005,1),"")</f>
        <v/>
      </c>
      <c r="BC253" s="56">
        <f>IF(ISNUMBER($R253),1,0)</f>
        <v>0</v>
      </c>
      <c r="BD253" s="55" t="str">
        <f>IF(ISNUMBER($U253),$U253*$V253,"")</f>
        <v/>
      </c>
      <c r="BE253" s="56" t="str">
        <f>IF($AM253=0,"",IFERROR(MATCH($AF253&amp;"|"&amp;UPPER(TRIM($E253)),Lists!$A$6:$A$205,0),0))</f>
        <v/>
      </c>
      <c r="BF253" s="56" t="str">
        <f>IF($AM253=0,"",IFERROR(MATCH($AF253,Settings!$B$14:$B$18,0),IFERROR(MATCH(Settings!$C$6,Settings!$B$14:$B$18,0),1)))</f>
        <v/>
      </c>
      <c r="BG253" s="58" t="str">
        <f>IF($AM253=0,"",IF(NOT(ISNUMBER($I253)),"No stop; ","")&amp;IF(AND(ISNUMBER($H253),ISNUMBER($I253)),IF(OR(AND($F253&lt;&gt;"Short",$I253&gt;=$H253),AND($F253="Short",$I253&lt;=$H253)),"Stop on wrong side; ",""),"")&amp;IF($F253="","No direction; ","")&amp;IF(AND(ISNUMBER(Settings!$C$22),ISNUMBER($V253)),IF($V253&gt;Settings!$C$22,"Risk over max $; ",""),"")&amp;IF(AND(ISNUMBER(Settings!$C$23),ISNUMBER($V253),ISNUMBER($AP253),IFERROR(N(INDEX(Accounts!$E$7:$E$16,MATCH($C253,Accounts!$B$7:$B$16,0))),0)&gt;0),IF($V253&gt;Settings!$C$23*($AP253-N($Q253)),"Risk over max %; ",""),"")&amp;IF(AND(ISNUMBER(Settings!$C$24),ISNUMBER($N253)),IF($N253&gt;Settings!$C$24,"Leverage over max; ",""),"")&amp;IF(AND(ISNUMBER(Settings!$C$27),ISNUMBER($T253)),IF($T253&lt;Settings!$C$27,"R:R below min; ",""),"")&amp;IF(ISNUMBER(Settings!$C$25),IF(COUNTIFS($A$6:$A253,$A253,$AM$6:$AM253,1)&gt;Settings!$C$25,"Over max trades/day; ",""),"")&amp;IF(ISNUMBER(Settings!$C$26),IF(SUMIFS($Q$5:$Q252,$A$5:$A252,$A253)&lt;=-Settings!$C$26,"Traded after daily max loss; ",""),"")&amp;IF(AND($AG253="",NOT(ISNUMBER($O253))),"Symbol not in Instruments; ","")&amp;IF(AND($AH253="",NOT(ISNUMBER($O253))),"Forex cross: type Gross P&amp;L; ",""))</f>
        <v/>
      </c>
      <c r="BH253" s="56">
        <f>IF(ISNUMBER($Q253),1,0)</f>
        <v>0</v>
      </c>
      <c r="BI253" s="56">
        <f>IF($Y253="",0,1)</f>
        <v>0</v>
      </c>
      <c r="BJ253" s="56">
        <f>IF($AB253="",0,1)</f>
        <v>0</v>
      </c>
      <c r="BK253" s="56">
        <f>IF(AND($BH253=1,$W253&lt;&gt;"OK"),1,0)</f>
        <v>0</v>
      </c>
      <c r="BL253" s="55">
        <f>IF(N($AZ253)=0,0,IFERROR(INDEX($AT$6:$AT$1005,MATCH($AZ253,$AY$6:$AY$1005,0)),0))</f>
        <v>1187.10688</v>
      </c>
      <c r="BM253" s="56">
        <f>IF(ISNUMBER(SEARCH("daily max loss",$BG253)),1,0)</f>
        <v>0</v>
      </c>
    </row>
    <row r="254" ht="18" customHeight="1">
      <c r="A254" s="38" t="n"/>
      <c r="B254" s="39" t="n"/>
      <c r="C254" s="40" t="n"/>
      <c r="D254" s="41" t="n"/>
      <c r="E254" s="41" t="n"/>
      <c r="F254" s="41" t="n"/>
      <c r="G254" s="41" t="n"/>
      <c r="H254" s="42" t="n"/>
      <c r="I254" s="42" t="n"/>
      <c r="J254" s="42" t="n"/>
      <c r="K254" s="42" t="n"/>
      <c r="L254" s="41" t="n"/>
      <c r="M254" s="41" t="n"/>
      <c r="N254" s="41" t="n"/>
      <c r="O254" s="43" t="n"/>
      <c r="P254" s="43" t="n"/>
      <c r="Q254" s="44" t="str">
        <f>IF($AM254=0,"",IF(ISNUMBER($AK254),$AK254-N($AL254),""))</f>
        <v/>
      </c>
      <c r="R254" s="45" t="str">
        <f>IF(OR($Q254="",NOT(ISNUMBER($V254))),"",$AK254/$V254)</f>
        <v/>
      </c>
      <c r="S254" s="46" t="str">
        <f>IF($Q254="","",IF(AND(ISNUMBER($R254),ABS(N($R254))&lt;N(Settings!$C$8)),"Scratch",IF($Q254&gt;0,"Win",IF($Q254&lt;0,"Loss","Scratch"))))</f>
        <v/>
      </c>
      <c r="T254" s="47" t="str">
        <f>IF(OR($AM254=0,NOT(ISNUMBER($H254)),NOT(ISNUMBER($I254)),NOT(ISNUMBER($J254))),"",IF($H254=$I254,"",ROUND(ABS($J254-$H254)/ABS($H254-$I254),6)))</f>
        <v/>
      </c>
      <c r="U254" s="48" t="str">
        <f>IF(OR($S254&lt;&gt;"Win",NOT(ISNUMBER($T254)),NOT(ISNUMBER($R254))),"",MAX(0,$T254-$R254))</f>
        <v/>
      </c>
      <c r="V254" s="49" t="str">
        <f>IF(OR($AM254=0,NOT(ISNUMBER($H254)),NOT(ISNUMBER($I254)),NOT(ISNUMBER($G254))),"",IF(OR($AG254="",$AH254=""),"",IF(ROUND(ABS($H254-$I254)*ABS($G254)*$AG254*$AH254,6)=0,"",ROUND(ABS($H254-$I254)*ABS($G254)*$AG254*$AH254,6))))</f>
        <v/>
      </c>
      <c r="W254" s="50" t="str">
        <f>IF($AM254=0,"",IF($BG254="","OK",LEFT($BG254,LEN($BG254)-2)))</f>
        <v/>
      </c>
      <c r="X254" s="41" t="n"/>
      <c r="Y254" s="40" t="n"/>
      <c r="Z254" s="41" t="n"/>
      <c r="AA254" s="41" t="n"/>
      <c r="AB254" s="40" t="n"/>
      <c r="AC254" s="51" t="n"/>
      <c r="AD254" s="51" t="n"/>
      <c r="AE254" s="40" t="n"/>
      <c r="AF254" s="52" t="str">
        <f>IF($AM254=0,"",IF($D254&lt;&gt;"",$D254,IF(IFERROR(INDEX(Accounts!$C$7:$C$16,MATCH($C254,Accounts!$B$7:$B$16,0))&amp;"","")&lt;&gt;"",INDEX(Accounts!$C$7:$C$16,MATCH($C254,Accounts!$B$7:$B$16,0)),Settings!$C$6)))</f>
        <v/>
      </c>
      <c r="AG254" s="53" t="str">
        <f>IF($AM254=0,"",IF(AND($BE254&gt;0,N(INDEX(Instruments!$D$6:$D$205,MAX(1,$BE254)))&gt;0),INDEX(Instruments!$D$6:$D$205,MAX(1,$BE254)),IF(N(INDEX(Settings!$D$14:$D$18,$BF254))&gt;0,INDEX(Settings!$D$14:$D$18,$BF254),"")))</f>
        <v/>
      </c>
      <c r="AH254" s="54" t="str">
        <f>IF($AM254=0,"",IF($AF254&lt;&gt;"Forex",1,IF(MID(UPPER(SUBSTITUTE(TRIM($E254),"/","")),4,3)=UPPER(TRIM(Settings!$C$7)),1,IF(LEFT(UPPER(SUBSTITUTE(TRIM($E254),"/","")),3)=UPPER(TRIM(Settings!$C$7)),IF(AND(ISNUMBER($K254),N($K254)&lt;&gt;0),1/$K254,""),""))))</f>
        <v/>
      </c>
      <c r="AI254" s="55" t="str">
        <f>IF($AM254=0,"",IF(OR(NOT(ISNUMBER($H254)),NOT(ISNUMBER($K254)),NOT(ISNUMBER($G254)),$AG254="",$AH254=""),"",ROUND(($K254-$H254)*IF($F254="Short",-1,1)*$G254*$AG254*$AH254,6)))</f>
        <v/>
      </c>
      <c r="AJ254" s="55" t="str">
        <f>IF($AM254=0,"",IF(INDEX(Settings!$E$14:$E$18,$BF254)="% of notional",IF(OR($AG254="",NOT(ISNUMBER($H254)),NOT(ISNUMBER($G254))),"",ROUND(ABS($H254*$G254*$AG254*N($AH254))*IF($L254="Limit",N(INDEX(Settings!$G$14:$G$18,$BF254)),N(INDEX(Settings!$H$14:$H$18,$BF254)))+IF(ISNUMBER($K254),ABS($K254*$G254*$AG254*N($AH254))*IF($M254="Target",N(INDEX(Settings!$G$14:$G$18,$BF254)),N(INDEX(Settings!$H$14:$H$18,$BF254))),0),6)),IF(NOT(ISNUMBER($G254)),"",ROUND(ABS($G254)*2*IF(AND($BE254&gt;0,ISNUMBER(INDEX(Instruments!$G$6:$G$205,MAX(1,$BE254)))),INDEX(Instruments!$G$6:$G$205,MAX(1,$BE254)),N(INDEX(Settings!$F$14:$F$18,$BF254))),6))))</f>
        <v/>
      </c>
      <c r="AK254" s="55" t="str">
        <f>IF($AM254=0,"",IF(ISNUMBER($O254),$O254,$AI254))</f>
        <v/>
      </c>
      <c r="AL254" s="55" t="str">
        <f>IF($AM254=0,"",IF(ISNUMBER($P254),$P254,N($AJ254)))</f>
        <v/>
      </c>
      <c r="AM254" s="56">
        <f>IF(AND($A254&lt;&gt;"",$E254&lt;&gt;"",OR(AND(ISNUMBER($G254),ISNUMBER($H254),ISNUMBER($K254)),ISNUMBER($O254))),1,0)</f>
        <v>0</v>
      </c>
      <c r="AN254" s="57" t="str">
        <f>IF($A254="","",$A254-WEEKDAY($A254,3))</f>
        <v/>
      </c>
      <c r="AO254" s="56" t="str">
        <f>IF($A254="","",WEEKDAY($A254,2))</f>
        <v/>
      </c>
      <c r="AP254" s="55" t="str">
        <f>IF(OR($AM254=0,$C254=""),"",IFERROR(N(INDEX(Accounts!$E$7:$E$16,MATCH($C254,Accounts!$B$7:$B$16,0))),0)+SUMIFS($Q$6:$Q254,$C$6:$C254,$C254))</f>
        <v/>
      </c>
      <c r="AQ254" s="55" t="str">
        <f>IF(OR($AM254=0,$C254=""),"",SUMIFS($Q$6:$Q$1005,$C$6:$C$1005,$C254,$A$6:$A$1005,$A254))</f>
        <v/>
      </c>
      <c r="AR254" s="55" t="str">
        <f>IF(OR($AM254=0,$C254=""),"",IFERROR(N(INDEX(Accounts!$E$7:$E$16,MATCH($C254,Accounts!$B$7:$B$16,0))),0)+SUMIFS($Q$6:$Q$1005,$C$6:$C$1005,$C254,$A$6:$A$1005,"&lt;="&amp;$A254))</f>
        <v/>
      </c>
      <c r="AS254" s="56">
        <f>IF(OR($AM254=0,$Q254=""),0,IF(AND($A254&gt;=Lists!$W$6,$A254&lt;=Lists!$W$7,OR(Dashboard!$D$6="All accounts",$C254=Dashboard!$D$6),OR(Dashboard!$D$7="All markets",$AF254=Dashboard!$D$7)),1,0))</f>
        <v>0</v>
      </c>
      <c r="AT254" s="55">
        <f>IF($AS254=1,N(AT253)+$Q254,N(AT253))</f>
        <v>1187.10688</v>
      </c>
      <c r="AU254" s="55">
        <f>MAX(N(AU253),$AT254)</f>
        <v>1187.10688</v>
      </c>
      <c r="AV254" s="55">
        <f>$AT254-$AU254</f>
        <v>0</v>
      </c>
      <c r="AW254" s="56">
        <f>IF($AS254=1,IF($S254="Win",N(AW253)+1,IF($S254="Loss",0,N(AW253))),N(AW253))</f>
        <v>5</v>
      </c>
      <c r="AX254" s="56">
        <f>IF($AS254=1,IF($S254="Loss",N(AX253)+1,IF($S254="Win",0,N(AX253))),N(AX253))</f>
        <v>0</v>
      </c>
      <c r="AY254" s="56" t="str">
        <f>IF($AS254=1,COUNTIF($AS$6:$AS254,1),"")</f>
        <v/>
      </c>
      <c r="AZ254" s="56">
        <f>MIN(248,N(Lists!$W$8))</f>
        <v>28</v>
      </c>
      <c r="BA254" s="56">
        <f>IF($AS254=1,IF(COUNTIFS($A$6:$A254,$A254,$AS$6:$AS254,1)=1,1,0),0)</f>
        <v>0</v>
      </c>
      <c r="BB254" s="55" t="str">
        <f>IF($BA254=1,SUMIFS($Q$6:$Q$1005,$A$6:$A$1005,$A254,$AS$6:$AS$1005,1),"")</f>
        <v/>
      </c>
      <c r="BC254" s="56">
        <f>IF(ISNUMBER($R254),1,0)</f>
        <v>0</v>
      </c>
      <c r="BD254" s="55" t="str">
        <f>IF(ISNUMBER($U254),$U254*$V254,"")</f>
        <v/>
      </c>
      <c r="BE254" s="56" t="str">
        <f>IF($AM254=0,"",IFERROR(MATCH($AF254&amp;"|"&amp;UPPER(TRIM($E254)),Lists!$A$6:$A$205,0),0))</f>
        <v/>
      </c>
      <c r="BF254" s="56" t="str">
        <f>IF($AM254=0,"",IFERROR(MATCH($AF254,Settings!$B$14:$B$18,0),IFERROR(MATCH(Settings!$C$6,Settings!$B$14:$B$18,0),1)))</f>
        <v/>
      </c>
      <c r="BG254" s="58" t="str">
        <f>IF($AM254=0,"",IF(NOT(ISNUMBER($I254)),"No stop; ","")&amp;IF(AND(ISNUMBER($H254),ISNUMBER($I254)),IF(OR(AND($F254&lt;&gt;"Short",$I254&gt;=$H254),AND($F254="Short",$I254&lt;=$H254)),"Stop on wrong side; ",""),"")&amp;IF($F254="","No direction; ","")&amp;IF(AND(ISNUMBER(Settings!$C$22),ISNUMBER($V254)),IF($V254&gt;Settings!$C$22,"Risk over max $; ",""),"")&amp;IF(AND(ISNUMBER(Settings!$C$23),ISNUMBER($V254),ISNUMBER($AP254),IFERROR(N(INDEX(Accounts!$E$7:$E$16,MATCH($C254,Accounts!$B$7:$B$16,0))),0)&gt;0),IF($V254&gt;Settings!$C$23*($AP254-N($Q254)),"Risk over max %; ",""),"")&amp;IF(AND(ISNUMBER(Settings!$C$24),ISNUMBER($N254)),IF($N254&gt;Settings!$C$24,"Leverage over max; ",""),"")&amp;IF(AND(ISNUMBER(Settings!$C$27),ISNUMBER($T254)),IF($T254&lt;Settings!$C$27,"R:R below min; ",""),"")&amp;IF(ISNUMBER(Settings!$C$25),IF(COUNTIFS($A$6:$A254,$A254,$AM$6:$AM254,1)&gt;Settings!$C$25,"Over max trades/day; ",""),"")&amp;IF(ISNUMBER(Settings!$C$26),IF(SUMIFS($Q$5:$Q253,$A$5:$A253,$A254)&lt;=-Settings!$C$26,"Traded after daily max loss; ",""),"")&amp;IF(AND($AG254="",NOT(ISNUMBER($O254))),"Symbol not in Instruments; ","")&amp;IF(AND($AH254="",NOT(ISNUMBER($O254))),"Forex cross: type Gross P&amp;L; ",""))</f>
        <v/>
      </c>
      <c r="BH254" s="56">
        <f>IF(ISNUMBER($Q254),1,0)</f>
        <v>0</v>
      </c>
      <c r="BI254" s="56">
        <f>IF($Y254="",0,1)</f>
        <v>0</v>
      </c>
      <c r="BJ254" s="56">
        <f>IF($AB254="",0,1)</f>
        <v>0</v>
      </c>
      <c r="BK254" s="56">
        <f>IF(AND($BH254=1,$W254&lt;&gt;"OK"),1,0)</f>
        <v>0</v>
      </c>
      <c r="BL254" s="55">
        <f>IF(N($AZ254)=0,0,IFERROR(INDEX($AT$6:$AT$1005,MATCH($AZ254,$AY$6:$AY$1005,0)),0))</f>
        <v>1187.10688</v>
      </c>
      <c r="BM254" s="56">
        <f>IF(ISNUMBER(SEARCH("daily max loss",$BG254)),1,0)</f>
        <v>0</v>
      </c>
    </row>
    <row r="255" ht="18" customHeight="1">
      <c r="A255" s="38" t="n"/>
      <c r="B255" s="39" t="n"/>
      <c r="C255" s="40" t="n"/>
      <c r="D255" s="41" t="n"/>
      <c r="E255" s="41" t="n"/>
      <c r="F255" s="41" t="n"/>
      <c r="G255" s="41" t="n"/>
      <c r="H255" s="42" t="n"/>
      <c r="I255" s="42" t="n"/>
      <c r="J255" s="42" t="n"/>
      <c r="K255" s="42" t="n"/>
      <c r="L255" s="41" t="n"/>
      <c r="M255" s="41" t="n"/>
      <c r="N255" s="41" t="n"/>
      <c r="O255" s="43" t="n"/>
      <c r="P255" s="43" t="n"/>
      <c r="Q255" s="44" t="str">
        <f>IF($AM255=0,"",IF(ISNUMBER($AK255),$AK255-N($AL255),""))</f>
        <v/>
      </c>
      <c r="R255" s="45" t="str">
        <f>IF(OR($Q255="",NOT(ISNUMBER($V255))),"",$AK255/$V255)</f>
        <v/>
      </c>
      <c r="S255" s="46" t="str">
        <f>IF($Q255="","",IF(AND(ISNUMBER($R255),ABS(N($R255))&lt;N(Settings!$C$8)),"Scratch",IF($Q255&gt;0,"Win",IF($Q255&lt;0,"Loss","Scratch"))))</f>
        <v/>
      </c>
      <c r="T255" s="47" t="str">
        <f>IF(OR($AM255=0,NOT(ISNUMBER($H255)),NOT(ISNUMBER($I255)),NOT(ISNUMBER($J255))),"",IF($H255=$I255,"",ROUND(ABS($J255-$H255)/ABS($H255-$I255),6)))</f>
        <v/>
      </c>
      <c r="U255" s="48" t="str">
        <f>IF(OR($S255&lt;&gt;"Win",NOT(ISNUMBER($T255)),NOT(ISNUMBER($R255))),"",MAX(0,$T255-$R255))</f>
        <v/>
      </c>
      <c r="V255" s="49" t="str">
        <f>IF(OR($AM255=0,NOT(ISNUMBER($H255)),NOT(ISNUMBER($I255)),NOT(ISNUMBER($G255))),"",IF(OR($AG255="",$AH255=""),"",IF(ROUND(ABS($H255-$I255)*ABS($G255)*$AG255*$AH255,6)=0,"",ROUND(ABS($H255-$I255)*ABS($G255)*$AG255*$AH255,6))))</f>
        <v/>
      </c>
      <c r="W255" s="50" t="str">
        <f>IF($AM255=0,"",IF($BG255="","OK",LEFT($BG255,LEN($BG255)-2)))</f>
        <v/>
      </c>
      <c r="X255" s="41" t="n"/>
      <c r="Y255" s="40" t="n"/>
      <c r="Z255" s="41" t="n"/>
      <c r="AA255" s="41" t="n"/>
      <c r="AB255" s="40" t="n"/>
      <c r="AC255" s="51" t="n"/>
      <c r="AD255" s="51" t="n"/>
      <c r="AE255" s="40" t="n"/>
      <c r="AF255" s="52" t="str">
        <f>IF($AM255=0,"",IF($D255&lt;&gt;"",$D255,IF(IFERROR(INDEX(Accounts!$C$7:$C$16,MATCH($C255,Accounts!$B$7:$B$16,0))&amp;"","")&lt;&gt;"",INDEX(Accounts!$C$7:$C$16,MATCH($C255,Accounts!$B$7:$B$16,0)),Settings!$C$6)))</f>
        <v/>
      </c>
      <c r="AG255" s="53" t="str">
        <f>IF($AM255=0,"",IF(AND($BE255&gt;0,N(INDEX(Instruments!$D$6:$D$205,MAX(1,$BE255)))&gt;0),INDEX(Instruments!$D$6:$D$205,MAX(1,$BE255)),IF(N(INDEX(Settings!$D$14:$D$18,$BF255))&gt;0,INDEX(Settings!$D$14:$D$18,$BF255),"")))</f>
        <v/>
      </c>
      <c r="AH255" s="54" t="str">
        <f>IF($AM255=0,"",IF($AF255&lt;&gt;"Forex",1,IF(MID(UPPER(SUBSTITUTE(TRIM($E255),"/","")),4,3)=UPPER(TRIM(Settings!$C$7)),1,IF(LEFT(UPPER(SUBSTITUTE(TRIM($E255),"/","")),3)=UPPER(TRIM(Settings!$C$7)),IF(AND(ISNUMBER($K255),N($K255)&lt;&gt;0),1/$K255,""),""))))</f>
        <v/>
      </c>
      <c r="AI255" s="55" t="str">
        <f>IF($AM255=0,"",IF(OR(NOT(ISNUMBER($H255)),NOT(ISNUMBER($K255)),NOT(ISNUMBER($G255)),$AG255="",$AH255=""),"",ROUND(($K255-$H255)*IF($F255="Short",-1,1)*$G255*$AG255*$AH255,6)))</f>
        <v/>
      </c>
      <c r="AJ255" s="55" t="str">
        <f>IF($AM255=0,"",IF(INDEX(Settings!$E$14:$E$18,$BF255)="% of notional",IF(OR($AG255="",NOT(ISNUMBER($H255)),NOT(ISNUMBER($G255))),"",ROUND(ABS($H255*$G255*$AG255*N($AH255))*IF($L255="Limit",N(INDEX(Settings!$G$14:$G$18,$BF255)),N(INDEX(Settings!$H$14:$H$18,$BF255)))+IF(ISNUMBER($K255),ABS($K255*$G255*$AG255*N($AH255))*IF($M255="Target",N(INDEX(Settings!$G$14:$G$18,$BF255)),N(INDEX(Settings!$H$14:$H$18,$BF255))),0),6)),IF(NOT(ISNUMBER($G255)),"",ROUND(ABS($G255)*2*IF(AND($BE255&gt;0,ISNUMBER(INDEX(Instruments!$G$6:$G$205,MAX(1,$BE255)))),INDEX(Instruments!$G$6:$G$205,MAX(1,$BE255)),N(INDEX(Settings!$F$14:$F$18,$BF255))),6))))</f>
        <v/>
      </c>
      <c r="AK255" s="55" t="str">
        <f>IF($AM255=0,"",IF(ISNUMBER($O255),$O255,$AI255))</f>
        <v/>
      </c>
      <c r="AL255" s="55" t="str">
        <f>IF($AM255=0,"",IF(ISNUMBER($P255),$P255,N($AJ255)))</f>
        <v/>
      </c>
      <c r="AM255" s="56">
        <f>IF(AND($A255&lt;&gt;"",$E255&lt;&gt;"",OR(AND(ISNUMBER($G255),ISNUMBER($H255),ISNUMBER($K255)),ISNUMBER($O255))),1,0)</f>
        <v>0</v>
      </c>
      <c r="AN255" s="57" t="str">
        <f>IF($A255="","",$A255-WEEKDAY($A255,3))</f>
        <v/>
      </c>
      <c r="AO255" s="56" t="str">
        <f>IF($A255="","",WEEKDAY($A255,2))</f>
        <v/>
      </c>
      <c r="AP255" s="55" t="str">
        <f>IF(OR($AM255=0,$C255=""),"",IFERROR(N(INDEX(Accounts!$E$7:$E$16,MATCH($C255,Accounts!$B$7:$B$16,0))),0)+SUMIFS($Q$6:$Q255,$C$6:$C255,$C255))</f>
        <v/>
      </c>
      <c r="AQ255" s="55" t="str">
        <f>IF(OR($AM255=0,$C255=""),"",SUMIFS($Q$6:$Q$1005,$C$6:$C$1005,$C255,$A$6:$A$1005,$A255))</f>
        <v/>
      </c>
      <c r="AR255" s="55" t="str">
        <f>IF(OR($AM255=0,$C255=""),"",IFERROR(N(INDEX(Accounts!$E$7:$E$16,MATCH($C255,Accounts!$B$7:$B$16,0))),0)+SUMIFS($Q$6:$Q$1005,$C$6:$C$1005,$C255,$A$6:$A$1005,"&lt;="&amp;$A255))</f>
        <v/>
      </c>
      <c r="AS255" s="56">
        <f>IF(OR($AM255=0,$Q255=""),0,IF(AND($A255&gt;=Lists!$W$6,$A255&lt;=Lists!$W$7,OR(Dashboard!$D$6="All accounts",$C255=Dashboard!$D$6),OR(Dashboard!$D$7="All markets",$AF255=Dashboard!$D$7)),1,0))</f>
        <v>0</v>
      </c>
      <c r="AT255" s="55">
        <f>IF($AS255=1,N(AT254)+$Q255,N(AT254))</f>
        <v>1187.10688</v>
      </c>
      <c r="AU255" s="55">
        <f>MAX(N(AU254),$AT255)</f>
        <v>1187.10688</v>
      </c>
      <c r="AV255" s="55">
        <f>$AT255-$AU255</f>
        <v>0</v>
      </c>
      <c r="AW255" s="56">
        <f>IF($AS255=1,IF($S255="Win",N(AW254)+1,IF($S255="Loss",0,N(AW254))),N(AW254))</f>
        <v>5</v>
      </c>
      <c r="AX255" s="56">
        <f>IF($AS255=1,IF($S255="Loss",N(AX254)+1,IF($S255="Win",0,N(AX254))),N(AX254))</f>
        <v>0</v>
      </c>
      <c r="AY255" s="56" t="str">
        <f>IF($AS255=1,COUNTIF($AS$6:$AS255,1),"")</f>
        <v/>
      </c>
      <c r="AZ255" s="56">
        <f>MIN(249,N(Lists!$W$8))</f>
        <v>28</v>
      </c>
      <c r="BA255" s="56">
        <f>IF($AS255=1,IF(COUNTIFS($A$6:$A255,$A255,$AS$6:$AS255,1)=1,1,0),0)</f>
        <v>0</v>
      </c>
      <c r="BB255" s="55" t="str">
        <f>IF($BA255=1,SUMIFS($Q$6:$Q$1005,$A$6:$A$1005,$A255,$AS$6:$AS$1005,1),"")</f>
        <v/>
      </c>
      <c r="BC255" s="56">
        <f>IF(ISNUMBER($R255),1,0)</f>
        <v>0</v>
      </c>
      <c r="BD255" s="55" t="str">
        <f>IF(ISNUMBER($U255),$U255*$V255,"")</f>
        <v/>
      </c>
      <c r="BE255" s="56" t="str">
        <f>IF($AM255=0,"",IFERROR(MATCH($AF255&amp;"|"&amp;UPPER(TRIM($E255)),Lists!$A$6:$A$205,0),0))</f>
        <v/>
      </c>
      <c r="BF255" s="56" t="str">
        <f>IF($AM255=0,"",IFERROR(MATCH($AF255,Settings!$B$14:$B$18,0),IFERROR(MATCH(Settings!$C$6,Settings!$B$14:$B$18,0),1)))</f>
        <v/>
      </c>
      <c r="BG255" s="58" t="str">
        <f>IF($AM255=0,"",IF(NOT(ISNUMBER($I255)),"No stop; ","")&amp;IF(AND(ISNUMBER($H255),ISNUMBER($I255)),IF(OR(AND($F255&lt;&gt;"Short",$I255&gt;=$H255),AND($F255="Short",$I255&lt;=$H255)),"Stop on wrong side; ",""),"")&amp;IF($F255="","No direction; ","")&amp;IF(AND(ISNUMBER(Settings!$C$22),ISNUMBER($V255)),IF($V255&gt;Settings!$C$22,"Risk over max $; ",""),"")&amp;IF(AND(ISNUMBER(Settings!$C$23),ISNUMBER($V255),ISNUMBER($AP255),IFERROR(N(INDEX(Accounts!$E$7:$E$16,MATCH($C255,Accounts!$B$7:$B$16,0))),0)&gt;0),IF($V255&gt;Settings!$C$23*($AP255-N($Q255)),"Risk over max %; ",""),"")&amp;IF(AND(ISNUMBER(Settings!$C$24),ISNUMBER($N255)),IF($N255&gt;Settings!$C$24,"Leverage over max; ",""),"")&amp;IF(AND(ISNUMBER(Settings!$C$27),ISNUMBER($T255)),IF($T255&lt;Settings!$C$27,"R:R below min; ",""),"")&amp;IF(ISNUMBER(Settings!$C$25),IF(COUNTIFS($A$6:$A255,$A255,$AM$6:$AM255,1)&gt;Settings!$C$25,"Over max trades/day; ",""),"")&amp;IF(ISNUMBER(Settings!$C$26),IF(SUMIFS($Q$5:$Q254,$A$5:$A254,$A255)&lt;=-Settings!$C$26,"Traded after daily max loss; ",""),"")&amp;IF(AND($AG255="",NOT(ISNUMBER($O255))),"Symbol not in Instruments; ","")&amp;IF(AND($AH255="",NOT(ISNUMBER($O255))),"Forex cross: type Gross P&amp;L; ",""))</f>
        <v/>
      </c>
      <c r="BH255" s="56">
        <f>IF(ISNUMBER($Q255),1,0)</f>
        <v>0</v>
      </c>
      <c r="BI255" s="56">
        <f>IF($Y255="",0,1)</f>
        <v>0</v>
      </c>
      <c r="BJ255" s="56">
        <f>IF($AB255="",0,1)</f>
        <v>0</v>
      </c>
      <c r="BK255" s="56">
        <f>IF(AND($BH255=1,$W255&lt;&gt;"OK"),1,0)</f>
        <v>0</v>
      </c>
      <c r="BL255" s="55">
        <f>IF(N($AZ255)=0,0,IFERROR(INDEX($AT$6:$AT$1005,MATCH($AZ255,$AY$6:$AY$1005,0)),0))</f>
        <v>1187.10688</v>
      </c>
      <c r="BM255" s="56">
        <f>IF(ISNUMBER(SEARCH("daily max loss",$BG255)),1,0)</f>
        <v>0</v>
      </c>
    </row>
    <row r="256" ht="18" customHeight="1">
      <c r="A256" s="38" t="n"/>
      <c r="B256" s="39" t="n"/>
      <c r="C256" s="40" t="n"/>
      <c r="D256" s="41" t="n"/>
      <c r="E256" s="41" t="n"/>
      <c r="F256" s="41" t="n"/>
      <c r="G256" s="41" t="n"/>
      <c r="H256" s="42" t="n"/>
      <c r="I256" s="42" t="n"/>
      <c r="J256" s="42" t="n"/>
      <c r="K256" s="42" t="n"/>
      <c r="L256" s="41" t="n"/>
      <c r="M256" s="41" t="n"/>
      <c r="N256" s="41" t="n"/>
      <c r="O256" s="43" t="n"/>
      <c r="P256" s="43" t="n"/>
      <c r="Q256" s="44" t="str">
        <f>IF($AM256=0,"",IF(ISNUMBER($AK256),$AK256-N($AL256),""))</f>
        <v/>
      </c>
      <c r="R256" s="45" t="str">
        <f>IF(OR($Q256="",NOT(ISNUMBER($V256))),"",$AK256/$V256)</f>
        <v/>
      </c>
      <c r="S256" s="46" t="str">
        <f>IF($Q256="","",IF(AND(ISNUMBER($R256),ABS(N($R256))&lt;N(Settings!$C$8)),"Scratch",IF($Q256&gt;0,"Win",IF($Q256&lt;0,"Loss","Scratch"))))</f>
        <v/>
      </c>
      <c r="T256" s="47" t="str">
        <f>IF(OR($AM256=0,NOT(ISNUMBER($H256)),NOT(ISNUMBER($I256)),NOT(ISNUMBER($J256))),"",IF($H256=$I256,"",ROUND(ABS($J256-$H256)/ABS($H256-$I256),6)))</f>
        <v/>
      </c>
      <c r="U256" s="48" t="str">
        <f>IF(OR($S256&lt;&gt;"Win",NOT(ISNUMBER($T256)),NOT(ISNUMBER($R256))),"",MAX(0,$T256-$R256))</f>
        <v/>
      </c>
      <c r="V256" s="49" t="str">
        <f>IF(OR($AM256=0,NOT(ISNUMBER($H256)),NOT(ISNUMBER($I256)),NOT(ISNUMBER($G256))),"",IF(OR($AG256="",$AH256=""),"",IF(ROUND(ABS($H256-$I256)*ABS($G256)*$AG256*$AH256,6)=0,"",ROUND(ABS($H256-$I256)*ABS($G256)*$AG256*$AH256,6))))</f>
        <v/>
      </c>
      <c r="W256" s="50" t="str">
        <f>IF($AM256=0,"",IF($BG256="","OK",LEFT($BG256,LEN($BG256)-2)))</f>
        <v/>
      </c>
      <c r="X256" s="41" t="n"/>
      <c r="Y256" s="40" t="n"/>
      <c r="Z256" s="41" t="n"/>
      <c r="AA256" s="41" t="n"/>
      <c r="AB256" s="40" t="n"/>
      <c r="AC256" s="51" t="n"/>
      <c r="AD256" s="51" t="n"/>
      <c r="AE256" s="40" t="n"/>
      <c r="AF256" s="52" t="str">
        <f>IF($AM256=0,"",IF($D256&lt;&gt;"",$D256,IF(IFERROR(INDEX(Accounts!$C$7:$C$16,MATCH($C256,Accounts!$B$7:$B$16,0))&amp;"","")&lt;&gt;"",INDEX(Accounts!$C$7:$C$16,MATCH($C256,Accounts!$B$7:$B$16,0)),Settings!$C$6)))</f>
        <v/>
      </c>
      <c r="AG256" s="53" t="str">
        <f>IF($AM256=0,"",IF(AND($BE256&gt;0,N(INDEX(Instruments!$D$6:$D$205,MAX(1,$BE256)))&gt;0),INDEX(Instruments!$D$6:$D$205,MAX(1,$BE256)),IF(N(INDEX(Settings!$D$14:$D$18,$BF256))&gt;0,INDEX(Settings!$D$14:$D$18,$BF256),"")))</f>
        <v/>
      </c>
      <c r="AH256" s="54" t="str">
        <f>IF($AM256=0,"",IF($AF256&lt;&gt;"Forex",1,IF(MID(UPPER(SUBSTITUTE(TRIM($E256),"/","")),4,3)=UPPER(TRIM(Settings!$C$7)),1,IF(LEFT(UPPER(SUBSTITUTE(TRIM($E256),"/","")),3)=UPPER(TRIM(Settings!$C$7)),IF(AND(ISNUMBER($K256),N($K256)&lt;&gt;0),1/$K256,""),""))))</f>
        <v/>
      </c>
      <c r="AI256" s="55" t="str">
        <f>IF($AM256=0,"",IF(OR(NOT(ISNUMBER($H256)),NOT(ISNUMBER($K256)),NOT(ISNUMBER($G256)),$AG256="",$AH256=""),"",ROUND(($K256-$H256)*IF($F256="Short",-1,1)*$G256*$AG256*$AH256,6)))</f>
        <v/>
      </c>
      <c r="AJ256" s="55" t="str">
        <f>IF($AM256=0,"",IF(INDEX(Settings!$E$14:$E$18,$BF256)="% of notional",IF(OR($AG256="",NOT(ISNUMBER($H256)),NOT(ISNUMBER($G256))),"",ROUND(ABS($H256*$G256*$AG256*N($AH256))*IF($L256="Limit",N(INDEX(Settings!$G$14:$G$18,$BF256)),N(INDEX(Settings!$H$14:$H$18,$BF256)))+IF(ISNUMBER($K256),ABS($K256*$G256*$AG256*N($AH256))*IF($M256="Target",N(INDEX(Settings!$G$14:$G$18,$BF256)),N(INDEX(Settings!$H$14:$H$18,$BF256))),0),6)),IF(NOT(ISNUMBER($G256)),"",ROUND(ABS($G256)*2*IF(AND($BE256&gt;0,ISNUMBER(INDEX(Instruments!$G$6:$G$205,MAX(1,$BE256)))),INDEX(Instruments!$G$6:$G$205,MAX(1,$BE256)),N(INDEX(Settings!$F$14:$F$18,$BF256))),6))))</f>
        <v/>
      </c>
      <c r="AK256" s="55" t="str">
        <f>IF($AM256=0,"",IF(ISNUMBER($O256),$O256,$AI256))</f>
        <v/>
      </c>
      <c r="AL256" s="55" t="str">
        <f>IF($AM256=0,"",IF(ISNUMBER($P256),$P256,N($AJ256)))</f>
        <v/>
      </c>
      <c r="AM256" s="56">
        <f>IF(AND($A256&lt;&gt;"",$E256&lt;&gt;"",OR(AND(ISNUMBER($G256),ISNUMBER($H256),ISNUMBER($K256)),ISNUMBER($O256))),1,0)</f>
        <v>0</v>
      </c>
      <c r="AN256" s="57" t="str">
        <f>IF($A256="","",$A256-WEEKDAY($A256,3))</f>
        <v/>
      </c>
      <c r="AO256" s="56" t="str">
        <f>IF($A256="","",WEEKDAY($A256,2))</f>
        <v/>
      </c>
      <c r="AP256" s="55" t="str">
        <f>IF(OR($AM256=0,$C256=""),"",IFERROR(N(INDEX(Accounts!$E$7:$E$16,MATCH($C256,Accounts!$B$7:$B$16,0))),0)+SUMIFS($Q$6:$Q256,$C$6:$C256,$C256))</f>
        <v/>
      </c>
      <c r="AQ256" s="55" t="str">
        <f>IF(OR($AM256=0,$C256=""),"",SUMIFS($Q$6:$Q$1005,$C$6:$C$1005,$C256,$A$6:$A$1005,$A256))</f>
        <v/>
      </c>
      <c r="AR256" s="55" t="str">
        <f>IF(OR($AM256=0,$C256=""),"",IFERROR(N(INDEX(Accounts!$E$7:$E$16,MATCH($C256,Accounts!$B$7:$B$16,0))),0)+SUMIFS($Q$6:$Q$1005,$C$6:$C$1005,$C256,$A$6:$A$1005,"&lt;="&amp;$A256))</f>
        <v/>
      </c>
      <c r="AS256" s="56">
        <f>IF(OR($AM256=0,$Q256=""),0,IF(AND($A256&gt;=Lists!$W$6,$A256&lt;=Lists!$W$7,OR(Dashboard!$D$6="All accounts",$C256=Dashboard!$D$6),OR(Dashboard!$D$7="All markets",$AF256=Dashboard!$D$7)),1,0))</f>
        <v>0</v>
      </c>
      <c r="AT256" s="55">
        <f>IF($AS256=1,N(AT255)+$Q256,N(AT255))</f>
        <v>1187.10688</v>
      </c>
      <c r="AU256" s="55">
        <f>MAX(N(AU255),$AT256)</f>
        <v>1187.10688</v>
      </c>
      <c r="AV256" s="55">
        <f>$AT256-$AU256</f>
        <v>0</v>
      </c>
      <c r="AW256" s="56">
        <f>IF($AS256=1,IF($S256="Win",N(AW255)+1,IF($S256="Loss",0,N(AW255))),N(AW255))</f>
        <v>5</v>
      </c>
      <c r="AX256" s="56">
        <f>IF($AS256=1,IF($S256="Loss",N(AX255)+1,IF($S256="Win",0,N(AX255))),N(AX255))</f>
        <v>0</v>
      </c>
      <c r="AY256" s="56" t="str">
        <f>IF($AS256=1,COUNTIF($AS$6:$AS256,1),"")</f>
        <v/>
      </c>
      <c r="AZ256" s="56">
        <f>MIN(250,N(Lists!$W$8))</f>
        <v>28</v>
      </c>
      <c r="BA256" s="56">
        <f>IF($AS256=1,IF(COUNTIFS($A$6:$A256,$A256,$AS$6:$AS256,1)=1,1,0),0)</f>
        <v>0</v>
      </c>
      <c r="BB256" s="55" t="str">
        <f>IF($BA256=1,SUMIFS($Q$6:$Q$1005,$A$6:$A$1005,$A256,$AS$6:$AS$1005,1),"")</f>
        <v/>
      </c>
      <c r="BC256" s="56">
        <f>IF(ISNUMBER($R256),1,0)</f>
        <v>0</v>
      </c>
      <c r="BD256" s="55" t="str">
        <f>IF(ISNUMBER($U256),$U256*$V256,"")</f>
        <v/>
      </c>
      <c r="BE256" s="56" t="str">
        <f>IF($AM256=0,"",IFERROR(MATCH($AF256&amp;"|"&amp;UPPER(TRIM($E256)),Lists!$A$6:$A$205,0),0))</f>
        <v/>
      </c>
      <c r="BF256" s="56" t="str">
        <f>IF($AM256=0,"",IFERROR(MATCH($AF256,Settings!$B$14:$B$18,0),IFERROR(MATCH(Settings!$C$6,Settings!$B$14:$B$18,0),1)))</f>
        <v/>
      </c>
      <c r="BG256" s="58" t="str">
        <f>IF($AM256=0,"",IF(NOT(ISNUMBER($I256)),"No stop; ","")&amp;IF(AND(ISNUMBER($H256),ISNUMBER($I256)),IF(OR(AND($F256&lt;&gt;"Short",$I256&gt;=$H256),AND($F256="Short",$I256&lt;=$H256)),"Stop on wrong side; ",""),"")&amp;IF($F256="","No direction; ","")&amp;IF(AND(ISNUMBER(Settings!$C$22),ISNUMBER($V256)),IF($V256&gt;Settings!$C$22,"Risk over max $; ",""),"")&amp;IF(AND(ISNUMBER(Settings!$C$23),ISNUMBER($V256),ISNUMBER($AP256),IFERROR(N(INDEX(Accounts!$E$7:$E$16,MATCH($C256,Accounts!$B$7:$B$16,0))),0)&gt;0),IF($V256&gt;Settings!$C$23*($AP256-N($Q256)),"Risk over max %; ",""),"")&amp;IF(AND(ISNUMBER(Settings!$C$24),ISNUMBER($N256)),IF($N256&gt;Settings!$C$24,"Leverage over max; ",""),"")&amp;IF(AND(ISNUMBER(Settings!$C$27),ISNUMBER($T256)),IF($T256&lt;Settings!$C$27,"R:R below min; ",""),"")&amp;IF(ISNUMBER(Settings!$C$25),IF(COUNTIFS($A$6:$A256,$A256,$AM$6:$AM256,1)&gt;Settings!$C$25,"Over max trades/day; ",""),"")&amp;IF(ISNUMBER(Settings!$C$26),IF(SUMIFS($Q$5:$Q255,$A$5:$A255,$A256)&lt;=-Settings!$C$26,"Traded after daily max loss; ",""),"")&amp;IF(AND($AG256="",NOT(ISNUMBER($O256))),"Symbol not in Instruments; ","")&amp;IF(AND($AH256="",NOT(ISNUMBER($O256))),"Forex cross: type Gross P&amp;L; ",""))</f>
        <v/>
      </c>
      <c r="BH256" s="56">
        <f>IF(ISNUMBER($Q256),1,0)</f>
        <v>0</v>
      </c>
      <c r="BI256" s="56">
        <f>IF($Y256="",0,1)</f>
        <v>0</v>
      </c>
      <c r="BJ256" s="56">
        <f>IF($AB256="",0,1)</f>
        <v>0</v>
      </c>
      <c r="BK256" s="56">
        <f>IF(AND($BH256=1,$W256&lt;&gt;"OK"),1,0)</f>
        <v>0</v>
      </c>
      <c r="BL256" s="55">
        <f>IF(N($AZ256)=0,0,IFERROR(INDEX($AT$6:$AT$1005,MATCH($AZ256,$AY$6:$AY$1005,0)),0))</f>
        <v>1187.10688</v>
      </c>
      <c r="BM256" s="56">
        <f>IF(ISNUMBER(SEARCH("daily max loss",$BG256)),1,0)</f>
        <v>0</v>
      </c>
    </row>
    <row r="257" ht="18" customHeight="1">
      <c r="A257" s="38" t="n"/>
      <c r="B257" s="39" t="n"/>
      <c r="C257" s="40" t="n"/>
      <c r="D257" s="41" t="n"/>
      <c r="E257" s="41" t="n"/>
      <c r="F257" s="41" t="n"/>
      <c r="G257" s="41" t="n"/>
      <c r="H257" s="42" t="n"/>
      <c r="I257" s="42" t="n"/>
      <c r="J257" s="42" t="n"/>
      <c r="K257" s="42" t="n"/>
      <c r="L257" s="41" t="n"/>
      <c r="M257" s="41" t="n"/>
      <c r="N257" s="41" t="n"/>
      <c r="O257" s="43" t="n"/>
      <c r="P257" s="43" t="n"/>
      <c r="Q257" s="44" t="str">
        <f>IF($AM257=0,"",IF(ISNUMBER($AK257),$AK257-N($AL257),""))</f>
        <v/>
      </c>
      <c r="R257" s="45" t="str">
        <f>IF(OR($Q257="",NOT(ISNUMBER($V257))),"",$AK257/$V257)</f>
        <v/>
      </c>
      <c r="S257" s="46" t="str">
        <f>IF($Q257="","",IF(AND(ISNUMBER($R257),ABS(N($R257))&lt;N(Settings!$C$8)),"Scratch",IF($Q257&gt;0,"Win",IF($Q257&lt;0,"Loss","Scratch"))))</f>
        <v/>
      </c>
      <c r="T257" s="47" t="str">
        <f>IF(OR($AM257=0,NOT(ISNUMBER($H257)),NOT(ISNUMBER($I257)),NOT(ISNUMBER($J257))),"",IF($H257=$I257,"",ROUND(ABS($J257-$H257)/ABS($H257-$I257),6)))</f>
        <v/>
      </c>
      <c r="U257" s="48" t="str">
        <f>IF(OR($S257&lt;&gt;"Win",NOT(ISNUMBER($T257)),NOT(ISNUMBER($R257))),"",MAX(0,$T257-$R257))</f>
        <v/>
      </c>
      <c r="V257" s="49" t="str">
        <f>IF(OR($AM257=0,NOT(ISNUMBER($H257)),NOT(ISNUMBER($I257)),NOT(ISNUMBER($G257))),"",IF(OR($AG257="",$AH257=""),"",IF(ROUND(ABS($H257-$I257)*ABS($G257)*$AG257*$AH257,6)=0,"",ROUND(ABS($H257-$I257)*ABS($G257)*$AG257*$AH257,6))))</f>
        <v/>
      </c>
      <c r="W257" s="50" t="str">
        <f>IF($AM257=0,"",IF($BG257="","OK",LEFT($BG257,LEN($BG257)-2)))</f>
        <v/>
      </c>
      <c r="X257" s="41" t="n"/>
      <c r="Y257" s="40" t="n"/>
      <c r="Z257" s="41" t="n"/>
      <c r="AA257" s="41" t="n"/>
      <c r="AB257" s="40" t="n"/>
      <c r="AC257" s="51" t="n"/>
      <c r="AD257" s="51" t="n"/>
      <c r="AE257" s="40" t="n"/>
      <c r="AF257" s="52" t="str">
        <f>IF($AM257=0,"",IF($D257&lt;&gt;"",$D257,IF(IFERROR(INDEX(Accounts!$C$7:$C$16,MATCH($C257,Accounts!$B$7:$B$16,0))&amp;"","")&lt;&gt;"",INDEX(Accounts!$C$7:$C$16,MATCH($C257,Accounts!$B$7:$B$16,0)),Settings!$C$6)))</f>
        <v/>
      </c>
      <c r="AG257" s="53" t="str">
        <f>IF($AM257=0,"",IF(AND($BE257&gt;0,N(INDEX(Instruments!$D$6:$D$205,MAX(1,$BE257)))&gt;0),INDEX(Instruments!$D$6:$D$205,MAX(1,$BE257)),IF(N(INDEX(Settings!$D$14:$D$18,$BF257))&gt;0,INDEX(Settings!$D$14:$D$18,$BF257),"")))</f>
        <v/>
      </c>
      <c r="AH257" s="54" t="str">
        <f>IF($AM257=0,"",IF($AF257&lt;&gt;"Forex",1,IF(MID(UPPER(SUBSTITUTE(TRIM($E257),"/","")),4,3)=UPPER(TRIM(Settings!$C$7)),1,IF(LEFT(UPPER(SUBSTITUTE(TRIM($E257),"/","")),3)=UPPER(TRIM(Settings!$C$7)),IF(AND(ISNUMBER($K257),N($K257)&lt;&gt;0),1/$K257,""),""))))</f>
        <v/>
      </c>
      <c r="AI257" s="55" t="str">
        <f>IF($AM257=0,"",IF(OR(NOT(ISNUMBER($H257)),NOT(ISNUMBER($K257)),NOT(ISNUMBER($G257)),$AG257="",$AH257=""),"",ROUND(($K257-$H257)*IF($F257="Short",-1,1)*$G257*$AG257*$AH257,6)))</f>
        <v/>
      </c>
      <c r="AJ257" s="55" t="str">
        <f>IF($AM257=0,"",IF(INDEX(Settings!$E$14:$E$18,$BF257)="% of notional",IF(OR($AG257="",NOT(ISNUMBER($H257)),NOT(ISNUMBER($G257))),"",ROUND(ABS($H257*$G257*$AG257*N($AH257))*IF($L257="Limit",N(INDEX(Settings!$G$14:$G$18,$BF257)),N(INDEX(Settings!$H$14:$H$18,$BF257)))+IF(ISNUMBER($K257),ABS($K257*$G257*$AG257*N($AH257))*IF($M257="Target",N(INDEX(Settings!$G$14:$G$18,$BF257)),N(INDEX(Settings!$H$14:$H$18,$BF257))),0),6)),IF(NOT(ISNUMBER($G257)),"",ROUND(ABS($G257)*2*IF(AND($BE257&gt;0,ISNUMBER(INDEX(Instruments!$G$6:$G$205,MAX(1,$BE257)))),INDEX(Instruments!$G$6:$G$205,MAX(1,$BE257)),N(INDEX(Settings!$F$14:$F$18,$BF257))),6))))</f>
        <v/>
      </c>
      <c r="AK257" s="55" t="str">
        <f>IF($AM257=0,"",IF(ISNUMBER($O257),$O257,$AI257))</f>
        <v/>
      </c>
      <c r="AL257" s="55" t="str">
        <f>IF($AM257=0,"",IF(ISNUMBER($P257),$P257,N($AJ257)))</f>
        <v/>
      </c>
      <c r="AM257" s="56">
        <f>IF(AND($A257&lt;&gt;"",$E257&lt;&gt;"",OR(AND(ISNUMBER($G257),ISNUMBER($H257),ISNUMBER($K257)),ISNUMBER($O257))),1,0)</f>
        <v>0</v>
      </c>
      <c r="AN257" s="57" t="str">
        <f>IF($A257="","",$A257-WEEKDAY($A257,3))</f>
        <v/>
      </c>
      <c r="AO257" s="56" t="str">
        <f>IF($A257="","",WEEKDAY($A257,2))</f>
        <v/>
      </c>
      <c r="AP257" s="55" t="str">
        <f>IF(OR($AM257=0,$C257=""),"",IFERROR(N(INDEX(Accounts!$E$7:$E$16,MATCH($C257,Accounts!$B$7:$B$16,0))),0)+SUMIFS($Q$6:$Q257,$C$6:$C257,$C257))</f>
        <v/>
      </c>
      <c r="AQ257" s="55" t="str">
        <f>IF(OR($AM257=0,$C257=""),"",SUMIFS($Q$6:$Q$1005,$C$6:$C$1005,$C257,$A$6:$A$1005,$A257))</f>
        <v/>
      </c>
      <c r="AR257" s="55" t="str">
        <f>IF(OR($AM257=0,$C257=""),"",IFERROR(N(INDEX(Accounts!$E$7:$E$16,MATCH($C257,Accounts!$B$7:$B$16,0))),0)+SUMIFS($Q$6:$Q$1005,$C$6:$C$1005,$C257,$A$6:$A$1005,"&lt;="&amp;$A257))</f>
        <v/>
      </c>
      <c r="AS257" s="56">
        <f>IF(OR($AM257=0,$Q257=""),0,IF(AND($A257&gt;=Lists!$W$6,$A257&lt;=Lists!$W$7,OR(Dashboard!$D$6="All accounts",$C257=Dashboard!$D$6),OR(Dashboard!$D$7="All markets",$AF257=Dashboard!$D$7)),1,0))</f>
        <v>0</v>
      </c>
      <c r="AT257" s="55">
        <f>IF($AS257=1,N(AT256)+$Q257,N(AT256))</f>
        <v>1187.10688</v>
      </c>
      <c r="AU257" s="55">
        <f>MAX(N(AU256),$AT257)</f>
        <v>1187.10688</v>
      </c>
      <c r="AV257" s="55">
        <f>$AT257-$AU257</f>
        <v>0</v>
      </c>
      <c r="AW257" s="56">
        <f>IF($AS257=1,IF($S257="Win",N(AW256)+1,IF($S257="Loss",0,N(AW256))),N(AW256))</f>
        <v>5</v>
      </c>
      <c r="AX257" s="56">
        <f>IF($AS257=1,IF($S257="Loss",N(AX256)+1,IF($S257="Win",0,N(AX256))),N(AX256))</f>
        <v>0</v>
      </c>
      <c r="AY257" s="56" t="str">
        <f>IF($AS257=1,COUNTIF($AS$6:$AS257,1),"")</f>
        <v/>
      </c>
      <c r="AZ257" s="56">
        <f>MIN(251,N(Lists!$W$8))</f>
        <v>28</v>
      </c>
      <c r="BA257" s="56">
        <f>IF($AS257=1,IF(COUNTIFS($A$6:$A257,$A257,$AS$6:$AS257,1)=1,1,0),0)</f>
        <v>0</v>
      </c>
      <c r="BB257" s="55" t="str">
        <f>IF($BA257=1,SUMIFS($Q$6:$Q$1005,$A$6:$A$1005,$A257,$AS$6:$AS$1005,1),"")</f>
        <v/>
      </c>
      <c r="BC257" s="56">
        <f>IF(ISNUMBER($R257),1,0)</f>
        <v>0</v>
      </c>
      <c r="BD257" s="55" t="str">
        <f>IF(ISNUMBER($U257),$U257*$V257,"")</f>
        <v/>
      </c>
      <c r="BE257" s="56" t="str">
        <f>IF($AM257=0,"",IFERROR(MATCH($AF257&amp;"|"&amp;UPPER(TRIM($E257)),Lists!$A$6:$A$205,0),0))</f>
        <v/>
      </c>
      <c r="BF257" s="56" t="str">
        <f>IF($AM257=0,"",IFERROR(MATCH($AF257,Settings!$B$14:$B$18,0),IFERROR(MATCH(Settings!$C$6,Settings!$B$14:$B$18,0),1)))</f>
        <v/>
      </c>
      <c r="BG257" s="58" t="str">
        <f>IF($AM257=0,"",IF(NOT(ISNUMBER($I257)),"No stop; ","")&amp;IF(AND(ISNUMBER($H257),ISNUMBER($I257)),IF(OR(AND($F257&lt;&gt;"Short",$I257&gt;=$H257),AND($F257="Short",$I257&lt;=$H257)),"Stop on wrong side; ",""),"")&amp;IF($F257="","No direction; ","")&amp;IF(AND(ISNUMBER(Settings!$C$22),ISNUMBER($V257)),IF($V257&gt;Settings!$C$22,"Risk over max $; ",""),"")&amp;IF(AND(ISNUMBER(Settings!$C$23),ISNUMBER($V257),ISNUMBER($AP257),IFERROR(N(INDEX(Accounts!$E$7:$E$16,MATCH($C257,Accounts!$B$7:$B$16,0))),0)&gt;0),IF($V257&gt;Settings!$C$23*($AP257-N($Q257)),"Risk over max %; ",""),"")&amp;IF(AND(ISNUMBER(Settings!$C$24),ISNUMBER($N257)),IF($N257&gt;Settings!$C$24,"Leverage over max; ",""),"")&amp;IF(AND(ISNUMBER(Settings!$C$27),ISNUMBER($T257)),IF($T257&lt;Settings!$C$27,"R:R below min; ",""),"")&amp;IF(ISNUMBER(Settings!$C$25),IF(COUNTIFS($A$6:$A257,$A257,$AM$6:$AM257,1)&gt;Settings!$C$25,"Over max trades/day; ",""),"")&amp;IF(ISNUMBER(Settings!$C$26),IF(SUMIFS($Q$5:$Q256,$A$5:$A256,$A257)&lt;=-Settings!$C$26,"Traded after daily max loss; ",""),"")&amp;IF(AND($AG257="",NOT(ISNUMBER($O257))),"Symbol not in Instruments; ","")&amp;IF(AND($AH257="",NOT(ISNUMBER($O257))),"Forex cross: type Gross P&amp;L; ",""))</f>
        <v/>
      </c>
      <c r="BH257" s="56">
        <f>IF(ISNUMBER($Q257),1,0)</f>
        <v>0</v>
      </c>
      <c r="BI257" s="56">
        <f>IF($Y257="",0,1)</f>
        <v>0</v>
      </c>
      <c r="BJ257" s="56">
        <f>IF($AB257="",0,1)</f>
        <v>0</v>
      </c>
      <c r="BK257" s="56">
        <f>IF(AND($BH257=1,$W257&lt;&gt;"OK"),1,0)</f>
        <v>0</v>
      </c>
      <c r="BL257" s="55">
        <f>IF(N($AZ257)=0,0,IFERROR(INDEX($AT$6:$AT$1005,MATCH($AZ257,$AY$6:$AY$1005,0)),0))</f>
        <v>1187.10688</v>
      </c>
      <c r="BM257" s="56">
        <f>IF(ISNUMBER(SEARCH("daily max loss",$BG257)),1,0)</f>
        <v>0</v>
      </c>
    </row>
    <row r="258" ht="18" customHeight="1">
      <c r="A258" s="38" t="n"/>
      <c r="B258" s="39" t="n"/>
      <c r="C258" s="40" t="n"/>
      <c r="D258" s="41" t="n"/>
      <c r="E258" s="41" t="n"/>
      <c r="F258" s="41" t="n"/>
      <c r="G258" s="41" t="n"/>
      <c r="H258" s="42" t="n"/>
      <c r="I258" s="42" t="n"/>
      <c r="J258" s="42" t="n"/>
      <c r="K258" s="42" t="n"/>
      <c r="L258" s="41" t="n"/>
      <c r="M258" s="41" t="n"/>
      <c r="N258" s="41" t="n"/>
      <c r="O258" s="43" t="n"/>
      <c r="P258" s="43" t="n"/>
      <c r="Q258" s="44" t="str">
        <f>IF($AM258=0,"",IF(ISNUMBER($AK258),$AK258-N($AL258),""))</f>
        <v/>
      </c>
      <c r="R258" s="45" t="str">
        <f>IF(OR($Q258="",NOT(ISNUMBER($V258))),"",$AK258/$V258)</f>
        <v/>
      </c>
      <c r="S258" s="46" t="str">
        <f>IF($Q258="","",IF(AND(ISNUMBER($R258),ABS(N($R258))&lt;N(Settings!$C$8)),"Scratch",IF($Q258&gt;0,"Win",IF($Q258&lt;0,"Loss","Scratch"))))</f>
        <v/>
      </c>
      <c r="T258" s="47" t="str">
        <f>IF(OR($AM258=0,NOT(ISNUMBER($H258)),NOT(ISNUMBER($I258)),NOT(ISNUMBER($J258))),"",IF($H258=$I258,"",ROUND(ABS($J258-$H258)/ABS($H258-$I258),6)))</f>
        <v/>
      </c>
      <c r="U258" s="48" t="str">
        <f>IF(OR($S258&lt;&gt;"Win",NOT(ISNUMBER($T258)),NOT(ISNUMBER($R258))),"",MAX(0,$T258-$R258))</f>
        <v/>
      </c>
      <c r="V258" s="49" t="str">
        <f>IF(OR($AM258=0,NOT(ISNUMBER($H258)),NOT(ISNUMBER($I258)),NOT(ISNUMBER($G258))),"",IF(OR($AG258="",$AH258=""),"",IF(ROUND(ABS($H258-$I258)*ABS($G258)*$AG258*$AH258,6)=0,"",ROUND(ABS($H258-$I258)*ABS($G258)*$AG258*$AH258,6))))</f>
        <v/>
      </c>
      <c r="W258" s="50" t="str">
        <f>IF($AM258=0,"",IF($BG258="","OK",LEFT($BG258,LEN($BG258)-2)))</f>
        <v/>
      </c>
      <c r="X258" s="41" t="n"/>
      <c r="Y258" s="40" t="n"/>
      <c r="Z258" s="41" t="n"/>
      <c r="AA258" s="41" t="n"/>
      <c r="AB258" s="40" t="n"/>
      <c r="AC258" s="51" t="n"/>
      <c r="AD258" s="51" t="n"/>
      <c r="AE258" s="40" t="n"/>
      <c r="AF258" s="52" t="str">
        <f>IF($AM258=0,"",IF($D258&lt;&gt;"",$D258,IF(IFERROR(INDEX(Accounts!$C$7:$C$16,MATCH($C258,Accounts!$B$7:$B$16,0))&amp;"","")&lt;&gt;"",INDEX(Accounts!$C$7:$C$16,MATCH($C258,Accounts!$B$7:$B$16,0)),Settings!$C$6)))</f>
        <v/>
      </c>
      <c r="AG258" s="53" t="str">
        <f>IF($AM258=0,"",IF(AND($BE258&gt;0,N(INDEX(Instruments!$D$6:$D$205,MAX(1,$BE258)))&gt;0),INDEX(Instruments!$D$6:$D$205,MAX(1,$BE258)),IF(N(INDEX(Settings!$D$14:$D$18,$BF258))&gt;0,INDEX(Settings!$D$14:$D$18,$BF258),"")))</f>
        <v/>
      </c>
      <c r="AH258" s="54" t="str">
        <f>IF($AM258=0,"",IF($AF258&lt;&gt;"Forex",1,IF(MID(UPPER(SUBSTITUTE(TRIM($E258),"/","")),4,3)=UPPER(TRIM(Settings!$C$7)),1,IF(LEFT(UPPER(SUBSTITUTE(TRIM($E258),"/","")),3)=UPPER(TRIM(Settings!$C$7)),IF(AND(ISNUMBER($K258),N($K258)&lt;&gt;0),1/$K258,""),""))))</f>
        <v/>
      </c>
      <c r="AI258" s="55" t="str">
        <f>IF($AM258=0,"",IF(OR(NOT(ISNUMBER($H258)),NOT(ISNUMBER($K258)),NOT(ISNUMBER($G258)),$AG258="",$AH258=""),"",ROUND(($K258-$H258)*IF($F258="Short",-1,1)*$G258*$AG258*$AH258,6)))</f>
        <v/>
      </c>
      <c r="AJ258" s="55" t="str">
        <f>IF($AM258=0,"",IF(INDEX(Settings!$E$14:$E$18,$BF258)="% of notional",IF(OR($AG258="",NOT(ISNUMBER($H258)),NOT(ISNUMBER($G258))),"",ROUND(ABS($H258*$G258*$AG258*N($AH258))*IF($L258="Limit",N(INDEX(Settings!$G$14:$G$18,$BF258)),N(INDEX(Settings!$H$14:$H$18,$BF258)))+IF(ISNUMBER($K258),ABS($K258*$G258*$AG258*N($AH258))*IF($M258="Target",N(INDEX(Settings!$G$14:$G$18,$BF258)),N(INDEX(Settings!$H$14:$H$18,$BF258))),0),6)),IF(NOT(ISNUMBER($G258)),"",ROUND(ABS($G258)*2*IF(AND($BE258&gt;0,ISNUMBER(INDEX(Instruments!$G$6:$G$205,MAX(1,$BE258)))),INDEX(Instruments!$G$6:$G$205,MAX(1,$BE258)),N(INDEX(Settings!$F$14:$F$18,$BF258))),6))))</f>
        <v/>
      </c>
      <c r="AK258" s="55" t="str">
        <f>IF($AM258=0,"",IF(ISNUMBER($O258),$O258,$AI258))</f>
        <v/>
      </c>
      <c r="AL258" s="55" t="str">
        <f>IF($AM258=0,"",IF(ISNUMBER($P258),$P258,N($AJ258)))</f>
        <v/>
      </c>
      <c r="AM258" s="56">
        <f>IF(AND($A258&lt;&gt;"",$E258&lt;&gt;"",OR(AND(ISNUMBER($G258),ISNUMBER($H258),ISNUMBER($K258)),ISNUMBER($O258))),1,0)</f>
        <v>0</v>
      </c>
      <c r="AN258" s="57" t="str">
        <f>IF($A258="","",$A258-WEEKDAY($A258,3))</f>
        <v/>
      </c>
      <c r="AO258" s="56" t="str">
        <f>IF($A258="","",WEEKDAY($A258,2))</f>
        <v/>
      </c>
      <c r="AP258" s="55" t="str">
        <f>IF(OR($AM258=0,$C258=""),"",IFERROR(N(INDEX(Accounts!$E$7:$E$16,MATCH($C258,Accounts!$B$7:$B$16,0))),0)+SUMIFS($Q$6:$Q258,$C$6:$C258,$C258))</f>
        <v/>
      </c>
      <c r="AQ258" s="55" t="str">
        <f>IF(OR($AM258=0,$C258=""),"",SUMIFS($Q$6:$Q$1005,$C$6:$C$1005,$C258,$A$6:$A$1005,$A258))</f>
        <v/>
      </c>
      <c r="AR258" s="55" t="str">
        <f>IF(OR($AM258=0,$C258=""),"",IFERROR(N(INDEX(Accounts!$E$7:$E$16,MATCH($C258,Accounts!$B$7:$B$16,0))),0)+SUMIFS($Q$6:$Q$1005,$C$6:$C$1005,$C258,$A$6:$A$1005,"&lt;="&amp;$A258))</f>
        <v/>
      </c>
      <c r="AS258" s="56">
        <f>IF(OR($AM258=0,$Q258=""),0,IF(AND($A258&gt;=Lists!$W$6,$A258&lt;=Lists!$W$7,OR(Dashboard!$D$6="All accounts",$C258=Dashboard!$D$6),OR(Dashboard!$D$7="All markets",$AF258=Dashboard!$D$7)),1,0))</f>
        <v>0</v>
      </c>
      <c r="AT258" s="55">
        <f>IF($AS258=1,N(AT257)+$Q258,N(AT257))</f>
        <v>1187.10688</v>
      </c>
      <c r="AU258" s="55">
        <f>MAX(N(AU257),$AT258)</f>
        <v>1187.10688</v>
      </c>
      <c r="AV258" s="55">
        <f>$AT258-$AU258</f>
        <v>0</v>
      </c>
      <c r="AW258" s="56">
        <f>IF($AS258=1,IF($S258="Win",N(AW257)+1,IF($S258="Loss",0,N(AW257))),N(AW257))</f>
        <v>5</v>
      </c>
      <c r="AX258" s="56">
        <f>IF($AS258=1,IF($S258="Loss",N(AX257)+1,IF($S258="Win",0,N(AX257))),N(AX257))</f>
        <v>0</v>
      </c>
      <c r="AY258" s="56" t="str">
        <f>IF($AS258=1,COUNTIF($AS$6:$AS258,1),"")</f>
        <v/>
      </c>
      <c r="AZ258" s="56">
        <f>MIN(252,N(Lists!$W$8))</f>
        <v>28</v>
      </c>
      <c r="BA258" s="56">
        <f>IF($AS258=1,IF(COUNTIFS($A$6:$A258,$A258,$AS$6:$AS258,1)=1,1,0),0)</f>
        <v>0</v>
      </c>
      <c r="BB258" s="55" t="str">
        <f>IF($BA258=1,SUMIFS($Q$6:$Q$1005,$A$6:$A$1005,$A258,$AS$6:$AS$1005,1),"")</f>
        <v/>
      </c>
      <c r="BC258" s="56">
        <f>IF(ISNUMBER($R258),1,0)</f>
        <v>0</v>
      </c>
      <c r="BD258" s="55" t="str">
        <f>IF(ISNUMBER($U258),$U258*$V258,"")</f>
        <v/>
      </c>
      <c r="BE258" s="56" t="str">
        <f>IF($AM258=0,"",IFERROR(MATCH($AF258&amp;"|"&amp;UPPER(TRIM($E258)),Lists!$A$6:$A$205,0),0))</f>
        <v/>
      </c>
      <c r="BF258" s="56" t="str">
        <f>IF($AM258=0,"",IFERROR(MATCH($AF258,Settings!$B$14:$B$18,0),IFERROR(MATCH(Settings!$C$6,Settings!$B$14:$B$18,0),1)))</f>
        <v/>
      </c>
      <c r="BG258" s="58" t="str">
        <f>IF($AM258=0,"",IF(NOT(ISNUMBER($I258)),"No stop; ","")&amp;IF(AND(ISNUMBER($H258),ISNUMBER($I258)),IF(OR(AND($F258&lt;&gt;"Short",$I258&gt;=$H258),AND($F258="Short",$I258&lt;=$H258)),"Stop on wrong side; ",""),"")&amp;IF($F258="","No direction; ","")&amp;IF(AND(ISNUMBER(Settings!$C$22),ISNUMBER($V258)),IF($V258&gt;Settings!$C$22,"Risk over max $; ",""),"")&amp;IF(AND(ISNUMBER(Settings!$C$23),ISNUMBER($V258),ISNUMBER($AP258),IFERROR(N(INDEX(Accounts!$E$7:$E$16,MATCH($C258,Accounts!$B$7:$B$16,0))),0)&gt;0),IF($V258&gt;Settings!$C$23*($AP258-N($Q258)),"Risk over max %; ",""),"")&amp;IF(AND(ISNUMBER(Settings!$C$24),ISNUMBER($N258)),IF($N258&gt;Settings!$C$24,"Leverage over max; ",""),"")&amp;IF(AND(ISNUMBER(Settings!$C$27),ISNUMBER($T258)),IF($T258&lt;Settings!$C$27,"R:R below min; ",""),"")&amp;IF(ISNUMBER(Settings!$C$25),IF(COUNTIFS($A$6:$A258,$A258,$AM$6:$AM258,1)&gt;Settings!$C$25,"Over max trades/day; ",""),"")&amp;IF(ISNUMBER(Settings!$C$26),IF(SUMIFS($Q$5:$Q257,$A$5:$A257,$A258)&lt;=-Settings!$C$26,"Traded after daily max loss; ",""),"")&amp;IF(AND($AG258="",NOT(ISNUMBER($O258))),"Symbol not in Instruments; ","")&amp;IF(AND($AH258="",NOT(ISNUMBER($O258))),"Forex cross: type Gross P&amp;L; ",""))</f>
        <v/>
      </c>
      <c r="BH258" s="56">
        <f>IF(ISNUMBER($Q258),1,0)</f>
        <v>0</v>
      </c>
      <c r="BI258" s="56">
        <f>IF($Y258="",0,1)</f>
        <v>0</v>
      </c>
      <c r="BJ258" s="56">
        <f>IF($AB258="",0,1)</f>
        <v>0</v>
      </c>
      <c r="BK258" s="56">
        <f>IF(AND($BH258=1,$W258&lt;&gt;"OK"),1,0)</f>
        <v>0</v>
      </c>
      <c r="BL258" s="55">
        <f>IF(N($AZ258)=0,0,IFERROR(INDEX($AT$6:$AT$1005,MATCH($AZ258,$AY$6:$AY$1005,0)),0))</f>
        <v>1187.10688</v>
      </c>
      <c r="BM258" s="56">
        <f>IF(ISNUMBER(SEARCH("daily max loss",$BG258)),1,0)</f>
        <v>0</v>
      </c>
    </row>
    <row r="259" ht="18" customHeight="1">
      <c r="A259" s="38" t="n"/>
      <c r="B259" s="39" t="n"/>
      <c r="C259" s="40" t="n"/>
      <c r="D259" s="41" t="n"/>
      <c r="E259" s="41" t="n"/>
      <c r="F259" s="41" t="n"/>
      <c r="G259" s="41" t="n"/>
      <c r="H259" s="42" t="n"/>
      <c r="I259" s="42" t="n"/>
      <c r="J259" s="42" t="n"/>
      <c r="K259" s="42" t="n"/>
      <c r="L259" s="41" t="n"/>
      <c r="M259" s="41" t="n"/>
      <c r="N259" s="41" t="n"/>
      <c r="O259" s="43" t="n"/>
      <c r="P259" s="43" t="n"/>
      <c r="Q259" s="44" t="str">
        <f>IF($AM259=0,"",IF(ISNUMBER($AK259),$AK259-N($AL259),""))</f>
        <v/>
      </c>
      <c r="R259" s="45" t="str">
        <f>IF(OR($Q259="",NOT(ISNUMBER($V259))),"",$AK259/$V259)</f>
        <v/>
      </c>
      <c r="S259" s="46" t="str">
        <f>IF($Q259="","",IF(AND(ISNUMBER($R259),ABS(N($R259))&lt;N(Settings!$C$8)),"Scratch",IF($Q259&gt;0,"Win",IF($Q259&lt;0,"Loss","Scratch"))))</f>
        <v/>
      </c>
      <c r="T259" s="47" t="str">
        <f>IF(OR($AM259=0,NOT(ISNUMBER($H259)),NOT(ISNUMBER($I259)),NOT(ISNUMBER($J259))),"",IF($H259=$I259,"",ROUND(ABS($J259-$H259)/ABS($H259-$I259),6)))</f>
        <v/>
      </c>
      <c r="U259" s="48" t="str">
        <f>IF(OR($S259&lt;&gt;"Win",NOT(ISNUMBER($T259)),NOT(ISNUMBER($R259))),"",MAX(0,$T259-$R259))</f>
        <v/>
      </c>
      <c r="V259" s="49" t="str">
        <f>IF(OR($AM259=0,NOT(ISNUMBER($H259)),NOT(ISNUMBER($I259)),NOT(ISNUMBER($G259))),"",IF(OR($AG259="",$AH259=""),"",IF(ROUND(ABS($H259-$I259)*ABS($G259)*$AG259*$AH259,6)=0,"",ROUND(ABS($H259-$I259)*ABS($G259)*$AG259*$AH259,6))))</f>
        <v/>
      </c>
      <c r="W259" s="50" t="str">
        <f>IF($AM259=0,"",IF($BG259="","OK",LEFT($BG259,LEN($BG259)-2)))</f>
        <v/>
      </c>
      <c r="X259" s="41" t="n"/>
      <c r="Y259" s="40" t="n"/>
      <c r="Z259" s="41" t="n"/>
      <c r="AA259" s="41" t="n"/>
      <c r="AB259" s="40" t="n"/>
      <c r="AC259" s="51" t="n"/>
      <c r="AD259" s="51" t="n"/>
      <c r="AE259" s="40" t="n"/>
      <c r="AF259" s="52" t="str">
        <f>IF($AM259=0,"",IF($D259&lt;&gt;"",$D259,IF(IFERROR(INDEX(Accounts!$C$7:$C$16,MATCH($C259,Accounts!$B$7:$B$16,0))&amp;"","")&lt;&gt;"",INDEX(Accounts!$C$7:$C$16,MATCH($C259,Accounts!$B$7:$B$16,0)),Settings!$C$6)))</f>
        <v/>
      </c>
      <c r="AG259" s="53" t="str">
        <f>IF($AM259=0,"",IF(AND($BE259&gt;0,N(INDEX(Instruments!$D$6:$D$205,MAX(1,$BE259)))&gt;0),INDEX(Instruments!$D$6:$D$205,MAX(1,$BE259)),IF(N(INDEX(Settings!$D$14:$D$18,$BF259))&gt;0,INDEX(Settings!$D$14:$D$18,$BF259),"")))</f>
        <v/>
      </c>
      <c r="AH259" s="54" t="str">
        <f>IF($AM259=0,"",IF($AF259&lt;&gt;"Forex",1,IF(MID(UPPER(SUBSTITUTE(TRIM($E259),"/","")),4,3)=UPPER(TRIM(Settings!$C$7)),1,IF(LEFT(UPPER(SUBSTITUTE(TRIM($E259),"/","")),3)=UPPER(TRIM(Settings!$C$7)),IF(AND(ISNUMBER($K259),N($K259)&lt;&gt;0),1/$K259,""),""))))</f>
        <v/>
      </c>
      <c r="AI259" s="55" t="str">
        <f>IF($AM259=0,"",IF(OR(NOT(ISNUMBER($H259)),NOT(ISNUMBER($K259)),NOT(ISNUMBER($G259)),$AG259="",$AH259=""),"",ROUND(($K259-$H259)*IF($F259="Short",-1,1)*$G259*$AG259*$AH259,6)))</f>
        <v/>
      </c>
      <c r="AJ259" s="55" t="str">
        <f>IF($AM259=0,"",IF(INDEX(Settings!$E$14:$E$18,$BF259)="% of notional",IF(OR($AG259="",NOT(ISNUMBER($H259)),NOT(ISNUMBER($G259))),"",ROUND(ABS($H259*$G259*$AG259*N($AH259))*IF($L259="Limit",N(INDEX(Settings!$G$14:$G$18,$BF259)),N(INDEX(Settings!$H$14:$H$18,$BF259)))+IF(ISNUMBER($K259),ABS($K259*$G259*$AG259*N($AH259))*IF($M259="Target",N(INDEX(Settings!$G$14:$G$18,$BF259)),N(INDEX(Settings!$H$14:$H$18,$BF259))),0),6)),IF(NOT(ISNUMBER($G259)),"",ROUND(ABS($G259)*2*IF(AND($BE259&gt;0,ISNUMBER(INDEX(Instruments!$G$6:$G$205,MAX(1,$BE259)))),INDEX(Instruments!$G$6:$G$205,MAX(1,$BE259)),N(INDEX(Settings!$F$14:$F$18,$BF259))),6))))</f>
        <v/>
      </c>
      <c r="AK259" s="55" t="str">
        <f>IF($AM259=0,"",IF(ISNUMBER($O259),$O259,$AI259))</f>
        <v/>
      </c>
      <c r="AL259" s="55" t="str">
        <f>IF($AM259=0,"",IF(ISNUMBER($P259),$P259,N($AJ259)))</f>
        <v/>
      </c>
      <c r="AM259" s="56">
        <f>IF(AND($A259&lt;&gt;"",$E259&lt;&gt;"",OR(AND(ISNUMBER($G259),ISNUMBER($H259),ISNUMBER($K259)),ISNUMBER($O259))),1,0)</f>
        <v>0</v>
      </c>
      <c r="AN259" s="57" t="str">
        <f>IF($A259="","",$A259-WEEKDAY($A259,3))</f>
        <v/>
      </c>
      <c r="AO259" s="56" t="str">
        <f>IF($A259="","",WEEKDAY($A259,2))</f>
        <v/>
      </c>
      <c r="AP259" s="55" t="str">
        <f>IF(OR($AM259=0,$C259=""),"",IFERROR(N(INDEX(Accounts!$E$7:$E$16,MATCH($C259,Accounts!$B$7:$B$16,0))),0)+SUMIFS($Q$6:$Q259,$C$6:$C259,$C259))</f>
        <v/>
      </c>
      <c r="AQ259" s="55" t="str">
        <f>IF(OR($AM259=0,$C259=""),"",SUMIFS($Q$6:$Q$1005,$C$6:$C$1005,$C259,$A$6:$A$1005,$A259))</f>
        <v/>
      </c>
      <c r="AR259" s="55" t="str">
        <f>IF(OR($AM259=0,$C259=""),"",IFERROR(N(INDEX(Accounts!$E$7:$E$16,MATCH($C259,Accounts!$B$7:$B$16,0))),0)+SUMIFS($Q$6:$Q$1005,$C$6:$C$1005,$C259,$A$6:$A$1005,"&lt;="&amp;$A259))</f>
        <v/>
      </c>
      <c r="AS259" s="56">
        <f>IF(OR($AM259=0,$Q259=""),0,IF(AND($A259&gt;=Lists!$W$6,$A259&lt;=Lists!$W$7,OR(Dashboard!$D$6="All accounts",$C259=Dashboard!$D$6),OR(Dashboard!$D$7="All markets",$AF259=Dashboard!$D$7)),1,0))</f>
        <v>0</v>
      </c>
      <c r="AT259" s="55">
        <f>IF($AS259=1,N(AT258)+$Q259,N(AT258))</f>
        <v>1187.10688</v>
      </c>
      <c r="AU259" s="55">
        <f>MAX(N(AU258),$AT259)</f>
        <v>1187.10688</v>
      </c>
      <c r="AV259" s="55">
        <f>$AT259-$AU259</f>
        <v>0</v>
      </c>
      <c r="AW259" s="56">
        <f>IF($AS259=1,IF($S259="Win",N(AW258)+1,IF($S259="Loss",0,N(AW258))),N(AW258))</f>
        <v>5</v>
      </c>
      <c r="AX259" s="56">
        <f>IF($AS259=1,IF($S259="Loss",N(AX258)+1,IF($S259="Win",0,N(AX258))),N(AX258))</f>
        <v>0</v>
      </c>
      <c r="AY259" s="56" t="str">
        <f>IF($AS259=1,COUNTIF($AS$6:$AS259,1),"")</f>
        <v/>
      </c>
      <c r="AZ259" s="56">
        <f>MIN(253,N(Lists!$W$8))</f>
        <v>28</v>
      </c>
      <c r="BA259" s="56">
        <f>IF($AS259=1,IF(COUNTIFS($A$6:$A259,$A259,$AS$6:$AS259,1)=1,1,0),0)</f>
        <v>0</v>
      </c>
      <c r="BB259" s="55" t="str">
        <f>IF($BA259=1,SUMIFS($Q$6:$Q$1005,$A$6:$A$1005,$A259,$AS$6:$AS$1005,1),"")</f>
        <v/>
      </c>
      <c r="BC259" s="56">
        <f>IF(ISNUMBER($R259),1,0)</f>
        <v>0</v>
      </c>
      <c r="BD259" s="55" t="str">
        <f>IF(ISNUMBER($U259),$U259*$V259,"")</f>
        <v/>
      </c>
      <c r="BE259" s="56" t="str">
        <f>IF($AM259=0,"",IFERROR(MATCH($AF259&amp;"|"&amp;UPPER(TRIM($E259)),Lists!$A$6:$A$205,0),0))</f>
        <v/>
      </c>
      <c r="BF259" s="56" t="str">
        <f>IF($AM259=0,"",IFERROR(MATCH($AF259,Settings!$B$14:$B$18,0),IFERROR(MATCH(Settings!$C$6,Settings!$B$14:$B$18,0),1)))</f>
        <v/>
      </c>
      <c r="BG259" s="58" t="str">
        <f>IF($AM259=0,"",IF(NOT(ISNUMBER($I259)),"No stop; ","")&amp;IF(AND(ISNUMBER($H259),ISNUMBER($I259)),IF(OR(AND($F259&lt;&gt;"Short",$I259&gt;=$H259),AND($F259="Short",$I259&lt;=$H259)),"Stop on wrong side; ",""),"")&amp;IF($F259="","No direction; ","")&amp;IF(AND(ISNUMBER(Settings!$C$22),ISNUMBER($V259)),IF($V259&gt;Settings!$C$22,"Risk over max $; ",""),"")&amp;IF(AND(ISNUMBER(Settings!$C$23),ISNUMBER($V259),ISNUMBER($AP259),IFERROR(N(INDEX(Accounts!$E$7:$E$16,MATCH($C259,Accounts!$B$7:$B$16,0))),0)&gt;0),IF($V259&gt;Settings!$C$23*($AP259-N($Q259)),"Risk over max %; ",""),"")&amp;IF(AND(ISNUMBER(Settings!$C$24),ISNUMBER($N259)),IF($N259&gt;Settings!$C$24,"Leverage over max; ",""),"")&amp;IF(AND(ISNUMBER(Settings!$C$27),ISNUMBER($T259)),IF($T259&lt;Settings!$C$27,"R:R below min; ",""),"")&amp;IF(ISNUMBER(Settings!$C$25),IF(COUNTIFS($A$6:$A259,$A259,$AM$6:$AM259,1)&gt;Settings!$C$25,"Over max trades/day; ",""),"")&amp;IF(ISNUMBER(Settings!$C$26),IF(SUMIFS($Q$5:$Q258,$A$5:$A258,$A259)&lt;=-Settings!$C$26,"Traded after daily max loss; ",""),"")&amp;IF(AND($AG259="",NOT(ISNUMBER($O259))),"Symbol not in Instruments; ","")&amp;IF(AND($AH259="",NOT(ISNUMBER($O259))),"Forex cross: type Gross P&amp;L; ",""))</f>
        <v/>
      </c>
      <c r="BH259" s="56">
        <f>IF(ISNUMBER($Q259),1,0)</f>
        <v>0</v>
      </c>
      <c r="BI259" s="56">
        <f>IF($Y259="",0,1)</f>
        <v>0</v>
      </c>
      <c r="BJ259" s="56">
        <f>IF($AB259="",0,1)</f>
        <v>0</v>
      </c>
      <c r="BK259" s="56">
        <f>IF(AND($BH259=1,$W259&lt;&gt;"OK"),1,0)</f>
        <v>0</v>
      </c>
      <c r="BL259" s="55">
        <f>IF(N($AZ259)=0,0,IFERROR(INDEX($AT$6:$AT$1005,MATCH($AZ259,$AY$6:$AY$1005,0)),0))</f>
        <v>1187.10688</v>
      </c>
      <c r="BM259" s="56">
        <f>IF(ISNUMBER(SEARCH("daily max loss",$BG259)),1,0)</f>
        <v>0</v>
      </c>
    </row>
    <row r="260" ht="18" customHeight="1">
      <c r="A260" s="38" t="n"/>
      <c r="B260" s="39" t="n"/>
      <c r="C260" s="40" t="n"/>
      <c r="D260" s="41" t="n"/>
      <c r="E260" s="41" t="n"/>
      <c r="F260" s="41" t="n"/>
      <c r="G260" s="41" t="n"/>
      <c r="H260" s="42" t="n"/>
      <c r="I260" s="42" t="n"/>
      <c r="J260" s="42" t="n"/>
      <c r="K260" s="42" t="n"/>
      <c r="L260" s="41" t="n"/>
      <c r="M260" s="41" t="n"/>
      <c r="N260" s="41" t="n"/>
      <c r="O260" s="43" t="n"/>
      <c r="P260" s="43" t="n"/>
      <c r="Q260" s="44" t="str">
        <f>IF($AM260=0,"",IF(ISNUMBER($AK260),$AK260-N($AL260),""))</f>
        <v/>
      </c>
      <c r="R260" s="45" t="str">
        <f>IF(OR($Q260="",NOT(ISNUMBER($V260))),"",$AK260/$V260)</f>
        <v/>
      </c>
      <c r="S260" s="46" t="str">
        <f>IF($Q260="","",IF(AND(ISNUMBER($R260),ABS(N($R260))&lt;N(Settings!$C$8)),"Scratch",IF($Q260&gt;0,"Win",IF($Q260&lt;0,"Loss","Scratch"))))</f>
        <v/>
      </c>
      <c r="T260" s="47" t="str">
        <f>IF(OR($AM260=0,NOT(ISNUMBER($H260)),NOT(ISNUMBER($I260)),NOT(ISNUMBER($J260))),"",IF($H260=$I260,"",ROUND(ABS($J260-$H260)/ABS($H260-$I260),6)))</f>
        <v/>
      </c>
      <c r="U260" s="48" t="str">
        <f>IF(OR($S260&lt;&gt;"Win",NOT(ISNUMBER($T260)),NOT(ISNUMBER($R260))),"",MAX(0,$T260-$R260))</f>
        <v/>
      </c>
      <c r="V260" s="49" t="str">
        <f>IF(OR($AM260=0,NOT(ISNUMBER($H260)),NOT(ISNUMBER($I260)),NOT(ISNUMBER($G260))),"",IF(OR($AG260="",$AH260=""),"",IF(ROUND(ABS($H260-$I260)*ABS($G260)*$AG260*$AH260,6)=0,"",ROUND(ABS($H260-$I260)*ABS($G260)*$AG260*$AH260,6))))</f>
        <v/>
      </c>
      <c r="W260" s="50" t="str">
        <f>IF($AM260=0,"",IF($BG260="","OK",LEFT($BG260,LEN($BG260)-2)))</f>
        <v/>
      </c>
      <c r="X260" s="41" t="n"/>
      <c r="Y260" s="40" t="n"/>
      <c r="Z260" s="41" t="n"/>
      <c r="AA260" s="41" t="n"/>
      <c r="AB260" s="40" t="n"/>
      <c r="AC260" s="51" t="n"/>
      <c r="AD260" s="51" t="n"/>
      <c r="AE260" s="40" t="n"/>
      <c r="AF260" s="52" t="str">
        <f>IF($AM260=0,"",IF($D260&lt;&gt;"",$D260,IF(IFERROR(INDEX(Accounts!$C$7:$C$16,MATCH($C260,Accounts!$B$7:$B$16,0))&amp;"","")&lt;&gt;"",INDEX(Accounts!$C$7:$C$16,MATCH($C260,Accounts!$B$7:$B$16,0)),Settings!$C$6)))</f>
        <v/>
      </c>
      <c r="AG260" s="53" t="str">
        <f>IF($AM260=0,"",IF(AND($BE260&gt;0,N(INDEX(Instruments!$D$6:$D$205,MAX(1,$BE260)))&gt;0),INDEX(Instruments!$D$6:$D$205,MAX(1,$BE260)),IF(N(INDEX(Settings!$D$14:$D$18,$BF260))&gt;0,INDEX(Settings!$D$14:$D$18,$BF260),"")))</f>
        <v/>
      </c>
      <c r="AH260" s="54" t="str">
        <f>IF($AM260=0,"",IF($AF260&lt;&gt;"Forex",1,IF(MID(UPPER(SUBSTITUTE(TRIM($E260),"/","")),4,3)=UPPER(TRIM(Settings!$C$7)),1,IF(LEFT(UPPER(SUBSTITUTE(TRIM($E260),"/","")),3)=UPPER(TRIM(Settings!$C$7)),IF(AND(ISNUMBER($K260),N($K260)&lt;&gt;0),1/$K260,""),""))))</f>
        <v/>
      </c>
      <c r="AI260" s="55" t="str">
        <f>IF($AM260=0,"",IF(OR(NOT(ISNUMBER($H260)),NOT(ISNUMBER($K260)),NOT(ISNUMBER($G260)),$AG260="",$AH260=""),"",ROUND(($K260-$H260)*IF($F260="Short",-1,1)*$G260*$AG260*$AH260,6)))</f>
        <v/>
      </c>
      <c r="AJ260" s="55" t="str">
        <f>IF($AM260=0,"",IF(INDEX(Settings!$E$14:$E$18,$BF260)="% of notional",IF(OR($AG260="",NOT(ISNUMBER($H260)),NOT(ISNUMBER($G260))),"",ROUND(ABS($H260*$G260*$AG260*N($AH260))*IF($L260="Limit",N(INDEX(Settings!$G$14:$G$18,$BF260)),N(INDEX(Settings!$H$14:$H$18,$BF260)))+IF(ISNUMBER($K260),ABS($K260*$G260*$AG260*N($AH260))*IF($M260="Target",N(INDEX(Settings!$G$14:$G$18,$BF260)),N(INDEX(Settings!$H$14:$H$18,$BF260))),0),6)),IF(NOT(ISNUMBER($G260)),"",ROUND(ABS($G260)*2*IF(AND($BE260&gt;0,ISNUMBER(INDEX(Instruments!$G$6:$G$205,MAX(1,$BE260)))),INDEX(Instruments!$G$6:$G$205,MAX(1,$BE260)),N(INDEX(Settings!$F$14:$F$18,$BF260))),6))))</f>
        <v/>
      </c>
      <c r="AK260" s="55" t="str">
        <f>IF($AM260=0,"",IF(ISNUMBER($O260),$O260,$AI260))</f>
        <v/>
      </c>
      <c r="AL260" s="55" t="str">
        <f>IF($AM260=0,"",IF(ISNUMBER($P260),$P260,N($AJ260)))</f>
        <v/>
      </c>
      <c r="AM260" s="56">
        <f>IF(AND($A260&lt;&gt;"",$E260&lt;&gt;"",OR(AND(ISNUMBER($G260),ISNUMBER($H260),ISNUMBER($K260)),ISNUMBER($O260))),1,0)</f>
        <v>0</v>
      </c>
      <c r="AN260" s="57" t="str">
        <f>IF($A260="","",$A260-WEEKDAY($A260,3))</f>
        <v/>
      </c>
      <c r="AO260" s="56" t="str">
        <f>IF($A260="","",WEEKDAY($A260,2))</f>
        <v/>
      </c>
      <c r="AP260" s="55" t="str">
        <f>IF(OR($AM260=0,$C260=""),"",IFERROR(N(INDEX(Accounts!$E$7:$E$16,MATCH($C260,Accounts!$B$7:$B$16,0))),0)+SUMIFS($Q$6:$Q260,$C$6:$C260,$C260))</f>
        <v/>
      </c>
      <c r="AQ260" s="55" t="str">
        <f>IF(OR($AM260=0,$C260=""),"",SUMIFS($Q$6:$Q$1005,$C$6:$C$1005,$C260,$A$6:$A$1005,$A260))</f>
        <v/>
      </c>
      <c r="AR260" s="55" t="str">
        <f>IF(OR($AM260=0,$C260=""),"",IFERROR(N(INDEX(Accounts!$E$7:$E$16,MATCH($C260,Accounts!$B$7:$B$16,0))),0)+SUMIFS($Q$6:$Q$1005,$C$6:$C$1005,$C260,$A$6:$A$1005,"&lt;="&amp;$A260))</f>
        <v/>
      </c>
      <c r="AS260" s="56">
        <f>IF(OR($AM260=0,$Q260=""),0,IF(AND($A260&gt;=Lists!$W$6,$A260&lt;=Lists!$W$7,OR(Dashboard!$D$6="All accounts",$C260=Dashboard!$D$6),OR(Dashboard!$D$7="All markets",$AF260=Dashboard!$D$7)),1,0))</f>
        <v>0</v>
      </c>
      <c r="AT260" s="55">
        <f>IF($AS260=1,N(AT259)+$Q260,N(AT259))</f>
        <v>1187.10688</v>
      </c>
      <c r="AU260" s="55">
        <f>MAX(N(AU259),$AT260)</f>
        <v>1187.10688</v>
      </c>
      <c r="AV260" s="55">
        <f>$AT260-$AU260</f>
        <v>0</v>
      </c>
      <c r="AW260" s="56">
        <f>IF($AS260=1,IF($S260="Win",N(AW259)+1,IF($S260="Loss",0,N(AW259))),N(AW259))</f>
        <v>5</v>
      </c>
      <c r="AX260" s="56">
        <f>IF($AS260=1,IF($S260="Loss",N(AX259)+1,IF($S260="Win",0,N(AX259))),N(AX259))</f>
        <v>0</v>
      </c>
      <c r="AY260" s="56" t="str">
        <f>IF($AS260=1,COUNTIF($AS$6:$AS260,1),"")</f>
        <v/>
      </c>
      <c r="AZ260" s="56">
        <f>MIN(254,N(Lists!$W$8))</f>
        <v>28</v>
      </c>
      <c r="BA260" s="56">
        <f>IF($AS260=1,IF(COUNTIFS($A$6:$A260,$A260,$AS$6:$AS260,1)=1,1,0),0)</f>
        <v>0</v>
      </c>
      <c r="BB260" s="55" t="str">
        <f>IF($BA260=1,SUMIFS($Q$6:$Q$1005,$A$6:$A$1005,$A260,$AS$6:$AS$1005,1),"")</f>
        <v/>
      </c>
      <c r="BC260" s="56">
        <f>IF(ISNUMBER($R260),1,0)</f>
        <v>0</v>
      </c>
      <c r="BD260" s="55" t="str">
        <f>IF(ISNUMBER($U260),$U260*$V260,"")</f>
        <v/>
      </c>
      <c r="BE260" s="56" t="str">
        <f>IF($AM260=0,"",IFERROR(MATCH($AF260&amp;"|"&amp;UPPER(TRIM($E260)),Lists!$A$6:$A$205,0),0))</f>
        <v/>
      </c>
      <c r="BF260" s="56" t="str">
        <f>IF($AM260=0,"",IFERROR(MATCH($AF260,Settings!$B$14:$B$18,0),IFERROR(MATCH(Settings!$C$6,Settings!$B$14:$B$18,0),1)))</f>
        <v/>
      </c>
      <c r="BG260" s="58" t="str">
        <f>IF($AM260=0,"",IF(NOT(ISNUMBER($I260)),"No stop; ","")&amp;IF(AND(ISNUMBER($H260),ISNUMBER($I260)),IF(OR(AND($F260&lt;&gt;"Short",$I260&gt;=$H260),AND($F260="Short",$I260&lt;=$H260)),"Stop on wrong side; ",""),"")&amp;IF($F260="","No direction; ","")&amp;IF(AND(ISNUMBER(Settings!$C$22),ISNUMBER($V260)),IF($V260&gt;Settings!$C$22,"Risk over max $; ",""),"")&amp;IF(AND(ISNUMBER(Settings!$C$23),ISNUMBER($V260),ISNUMBER($AP260),IFERROR(N(INDEX(Accounts!$E$7:$E$16,MATCH($C260,Accounts!$B$7:$B$16,0))),0)&gt;0),IF($V260&gt;Settings!$C$23*($AP260-N($Q260)),"Risk over max %; ",""),"")&amp;IF(AND(ISNUMBER(Settings!$C$24),ISNUMBER($N260)),IF($N260&gt;Settings!$C$24,"Leverage over max; ",""),"")&amp;IF(AND(ISNUMBER(Settings!$C$27),ISNUMBER($T260)),IF($T260&lt;Settings!$C$27,"R:R below min; ",""),"")&amp;IF(ISNUMBER(Settings!$C$25),IF(COUNTIFS($A$6:$A260,$A260,$AM$6:$AM260,1)&gt;Settings!$C$25,"Over max trades/day; ",""),"")&amp;IF(ISNUMBER(Settings!$C$26),IF(SUMIFS($Q$5:$Q259,$A$5:$A259,$A260)&lt;=-Settings!$C$26,"Traded after daily max loss; ",""),"")&amp;IF(AND($AG260="",NOT(ISNUMBER($O260))),"Symbol not in Instruments; ","")&amp;IF(AND($AH260="",NOT(ISNUMBER($O260))),"Forex cross: type Gross P&amp;L; ",""))</f>
        <v/>
      </c>
      <c r="BH260" s="56">
        <f>IF(ISNUMBER($Q260),1,0)</f>
        <v>0</v>
      </c>
      <c r="BI260" s="56">
        <f>IF($Y260="",0,1)</f>
        <v>0</v>
      </c>
      <c r="BJ260" s="56">
        <f>IF($AB260="",0,1)</f>
        <v>0</v>
      </c>
      <c r="BK260" s="56">
        <f>IF(AND($BH260=1,$W260&lt;&gt;"OK"),1,0)</f>
        <v>0</v>
      </c>
      <c r="BL260" s="55">
        <f>IF(N($AZ260)=0,0,IFERROR(INDEX($AT$6:$AT$1005,MATCH($AZ260,$AY$6:$AY$1005,0)),0))</f>
        <v>1187.10688</v>
      </c>
      <c r="BM260" s="56">
        <f>IF(ISNUMBER(SEARCH("daily max loss",$BG260)),1,0)</f>
        <v>0</v>
      </c>
    </row>
    <row r="261" ht="18" customHeight="1">
      <c r="A261" s="38" t="n"/>
      <c r="B261" s="39" t="n"/>
      <c r="C261" s="40" t="n"/>
      <c r="D261" s="41" t="n"/>
      <c r="E261" s="41" t="n"/>
      <c r="F261" s="41" t="n"/>
      <c r="G261" s="41" t="n"/>
      <c r="H261" s="42" t="n"/>
      <c r="I261" s="42" t="n"/>
      <c r="J261" s="42" t="n"/>
      <c r="K261" s="42" t="n"/>
      <c r="L261" s="41" t="n"/>
      <c r="M261" s="41" t="n"/>
      <c r="N261" s="41" t="n"/>
      <c r="O261" s="43" t="n"/>
      <c r="P261" s="43" t="n"/>
      <c r="Q261" s="44" t="str">
        <f>IF($AM261=0,"",IF(ISNUMBER($AK261),$AK261-N($AL261),""))</f>
        <v/>
      </c>
      <c r="R261" s="45" t="str">
        <f>IF(OR($Q261="",NOT(ISNUMBER($V261))),"",$AK261/$V261)</f>
        <v/>
      </c>
      <c r="S261" s="46" t="str">
        <f>IF($Q261="","",IF(AND(ISNUMBER($R261),ABS(N($R261))&lt;N(Settings!$C$8)),"Scratch",IF($Q261&gt;0,"Win",IF($Q261&lt;0,"Loss","Scratch"))))</f>
        <v/>
      </c>
      <c r="T261" s="47" t="str">
        <f>IF(OR($AM261=0,NOT(ISNUMBER($H261)),NOT(ISNUMBER($I261)),NOT(ISNUMBER($J261))),"",IF($H261=$I261,"",ROUND(ABS($J261-$H261)/ABS($H261-$I261),6)))</f>
        <v/>
      </c>
      <c r="U261" s="48" t="str">
        <f>IF(OR($S261&lt;&gt;"Win",NOT(ISNUMBER($T261)),NOT(ISNUMBER($R261))),"",MAX(0,$T261-$R261))</f>
        <v/>
      </c>
      <c r="V261" s="49" t="str">
        <f>IF(OR($AM261=0,NOT(ISNUMBER($H261)),NOT(ISNUMBER($I261)),NOT(ISNUMBER($G261))),"",IF(OR($AG261="",$AH261=""),"",IF(ROUND(ABS($H261-$I261)*ABS($G261)*$AG261*$AH261,6)=0,"",ROUND(ABS($H261-$I261)*ABS($G261)*$AG261*$AH261,6))))</f>
        <v/>
      </c>
      <c r="W261" s="50" t="str">
        <f>IF($AM261=0,"",IF($BG261="","OK",LEFT($BG261,LEN($BG261)-2)))</f>
        <v/>
      </c>
      <c r="X261" s="41" t="n"/>
      <c r="Y261" s="40" t="n"/>
      <c r="Z261" s="41" t="n"/>
      <c r="AA261" s="41" t="n"/>
      <c r="AB261" s="40" t="n"/>
      <c r="AC261" s="51" t="n"/>
      <c r="AD261" s="51" t="n"/>
      <c r="AE261" s="40" t="n"/>
      <c r="AF261" s="52" t="str">
        <f>IF($AM261=0,"",IF($D261&lt;&gt;"",$D261,IF(IFERROR(INDEX(Accounts!$C$7:$C$16,MATCH($C261,Accounts!$B$7:$B$16,0))&amp;"","")&lt;&gt;"",INDEX(Accounts!$C$7:$C$16,MATCH($C261,Accounts!$B$7:$B$16,0)),Settings!$C$6)))</f>
        <v/>
      </c>
      <c r="AG261" s="53" t="str">
        <f>IF($AM261=0,"",IF(AND($BE261&gt;0,N(INDEX(Instruments!$D$6:$D$205,MAX(1,$BE261)))&gt;0),INDEX(Instruments!$D$6:$D$205,MAX(1,$BE261)),IF(N(INDEX(Settings!$D$14:$D$18,$BF261))&gt;0,INDEX(Settings!$D$14:$D$18,$BF261),"")))</f>
        <v/>
      </c>
      <c r="AH261" s="54" t="str">
        <f>IF($AM261=0,"",IF($AF261&lt;&gt;"Forex",1,IF(MID(UPPER(SUBSTITUTE(TRIM($E261),"/","")),4,3)=UPPER(TRIM(Settings!$C$7)),1,IF(LEFT(UPPER(SUBSTITUTE(TRIM($E261),"/","")),3)=UPPER(TRIM(Settings!$C$7)),IF(AND(ISNUMBER($K261),N($K261)&lt;&gt;0),1/$K261,""),""))))</f>
        <v/>
      </c>
      <c r="AI261" s="55" t="str">
        <f>IF($AM261=0,"",IF(OR(NOT(ISNUMBER($H261)),NOT(ISNUMBER($K261)),NOT(ISNUMBER($G261)),$AG261="",$AH261=""),"",ROUND(($K261-$H261)*IF($F261="Short",-1,1)*$G261*$AG261*$AH261,6)))</f>
        <v/>
      </c>
      <c r="AJ261" s="55" t="str">
        <f>IF($AM261=0,"",IF(INDEX(Settings!$E$14:$E$18,$BF261)="% of notional",IF(OR($AG261="",NOT(ISNUMBER($H261)),NOT(ISNUMBER($G261))),"",ROUND(ABS($H261*$G261*$AG261*N($AH261))*IF($L261="Limit",N(INDEX(Settings!$G$14:$G$18,$BF261)),N(INDEX(Settings!$H$14:$H$18,$BF261)))+IF(ISNUMBER($K261),ABS($K261*$G261*$AG261*N($AH261))*IF($M261="Target",N(INDEX(Settings!$G$14:$G$18,$BF261)),N(INDEX(Settings!$H$14:$H$18,$BF261))),0),6)),IF(NOT(ISNUMBER($G261)),"",ROUND(ABS($G261)*2*IF(AND($BE261&gt;0,ISNUMBER(INDEX(Instruments!$G$6:$G$205,MAX(1,$BE261)))),INDEX(Instruments!$G$6:$G$205,MAX(1,$BE261)),N(INDEX(Settings!$F$14:$F$18,$BF261))),6))))</f>
        <v/>
      </c>
      <c r="AK261" s="55" t="str">
        <f>IF($AM261=0,"",IF(ISNUMBER($O261),$O261,$AI261))</f>
        <v/>
      </c>
      <c r="AL261" s="55" t="str">
        <f>IF($AM261=0,"",IF(ISNUMBER($P261),$P261,N($AJ261)))</f>
        <v/>
      </c>
      <c r="AM261" s="56">
        <f>IF(AND($A261&lt;&gt;"",$E261&lt;&gt;"",OR(AND(ISNUMBER($G261),ISNUMBER($H261),ISNUMBER($K261)),ISNUMBER($O261))),1,0)</f>
        <v>0</v>
      </c>
      <c r="AN261" s="57" t="str">
        <f>IF($A261="","",$A261-WEEKDAY($A261,3))</f>
        <v/>
      </c>
      <c r="AO261" s="56" t="str">
        <f>IF($A261="","",WEEKDAY($A261,2))</f>
        <v/>
      </c>
      <c r="AP261" s="55" t="str">
        <f>IF(OR($AM261=0,$C261=""),"",IFERROR(N(INDEX(Accounts!$E$7:$E$16,MATCH($C261,Accounts!$B$7:$B$16,0))),0)+SUMIFS($Q$6:$Q261,$C$6:$C261,$C261))</f>
        <v/>
      </c>
      <c r="AQ261" s="55" t="str">
        <f>IF(OR($AM261=0,$C261=""),"",SUMIFS($Q$6:$Q$1005,$C$6:$C$1005,$C261,$A$6:$A$1005,$A261))</f>
        <v/>
      </c>
      <c r="AR261" s="55" t="str">
        <f>IF(OR($AM261=0,$C261=""),"",IFERROR(N(INDEX(Accounts!$E$7:$E$16,MATCH($C261,Accounts!$B$7:$B$16,0))),0)+SUMIFS($Q$6:$Q$1005,$C$6:$C$1005,$C261,$A$6:$A$1005,"&lt;="&amp;$A261))</f>
        <v/>
      </c>
      <c r="AS261" s="56">
        <f>IF(OR($AM261=0,$Q261=""),0,IF(AND($A261&gt;=Lists!$W$6,$A261&lt;=Lists!$W$7,OR(Dashboard!$D$6="All accounts",$C261=Dashboard!$D$6),OR(Dashboard!$D$7="All markets",$AF261=Dashboard!$D$7)),1,0))</f>
        <v>0</v>
      </c>
      <c r="AT261" s="55">
        <f>IF($AS261=1,N(AT260)+$Q261,N(AT260))</f>
        <v>1187.10688</v>
      </c>
      <c r="AU261" s="55">
        <f>MAX(N(AU260),$AT261)</f>
        <v>1187.10688</v>
      </c>
      <c r="AV261" s="55">
        <f>$AT261-$AU261</f>
        <v>0</v>
      </c>
      <c r="AW261" s="56">
        <f>IF($AS261=1,IF($S261="Win",N(AW260)+1,IF($S261="Loss",0,N(AW260))),N(AW260))</f>
        <v>5</v>
      </c>
      <c r="AX261" s="56">
        <f>IF($AS261=1,IF($S261="Loss",N(AX260)+1,IF($S261="Win",0,N(AX260))),N(AX260))</f>
        <v>0</v>
      </c>
      <c r="AY261" s="56" t="str">
        <f>IF($AS261=1,COUNTIF($AS$6:$AS261,1),"")</f>
        <v/>
      </c>
      <c r="AZ261" s="56">
        <f>MIN(255,N(Lists!$W$8))</f>
        <v>28</v>
      </c>
      <c r="BA261" s="56">
        <f>IF($AS261=1,IF(COUNTIFS($A$6:$A261,$A261,$AS$6:$AS261,1)=1,1,0),0)</f>
        <v>0</v>
      </c>
      <c r="BB261" s="55" t="str">
        <f>IF($BA261=1,SUMIFS($Q$6:$Q$1005,$A$6:$A$1005,$A261,$AS$6:$AS$1005,1),"")</f>
        <v/>
      </c>
      <c r="BC261" s="56">
        <f>IF(ISNUMBER($R261),1,0)</f>
        <v>0</v>
      </c>
      <c r="BD261" s="55" t="str">
        <f>IF(ISNUMBER($U261),$U261*$V261,"")</f>
        <v/>
      </c>
      <c r="BE261" s="56" t="str">
        <f>IF($AM261=0,"",IFERROR(MATCH($AF261&amp;"|"&amp;UPPER(TRIM($E261)),Lists!$A$6:$A$205,0),0))</f>
        <v/>
      </c>
      <c r="BF261" s="56" t="str">
        <f>IF($AM261=0,"",IFERROR(MATCH($AF261,Settings!$B$14:$B$18,0),IFERROR(MATCH(Settings!$C$6,Settings!$B$14:$B$18,0),1)))</f>
        <v/>
      </c>
      <c r="BG261" s="58" t="str">
        <f>IF($AM261=0,"",IF(NOT(ISNUMBER($I261)),"No stop; ","")&amp;IF(AND(ISNUMBER($H261),ISNUMBER($I261)),IF(OR(AND($F261&lt;&gt;"Short",$I261&gt;=$H261),AND($F261="Short",$I261&lt;=$H261)),"Stop on wrong side; ",""),"")&amp;IF($F261="","No direction; ","")&amp;IF(AND(ISNUMBER(Settings!$C$22),ISNUMBER($V261)),IF($V261&gt;Settings!$C$22,"Risk over max $; ",""),"")&amp;IF(AND(ISNUMBER(Settings!$C$23),ISNUMBER($V261),ISNUMBER($AP261),IFERROR(N(INDEX(Accounts!$E$7:$E$16,MATCH($C261,Accounts!$B$7:$B$16,0))),0)&gt;0),IF($V261&gt;Settings!$C$23*($AP261-N($Q261)),"Risk over max %; ",""),"")&amp;IF(AND(ISNUMBER(Settings!$C$24),ISNUMBER($N261)),IF($N261&gt;Settings!$C$24,"Leverage over max; ",""),"")&amp;IF(AND(ISNUMBER(Settings!$C$27),ISNUMBER($T261)),IF($T261&lt;Settings!$C$27,"R:R below min; ",""),"")&amp;IF(ISNUMBER(Settings!$C$25),IF(COUNTIFS($A$6:$A261,$A261,$AM$6:$AM261,1)&gt;Settings!$C$25,"Over max trades/day; ",""),"")&amp;IF(ISNUMBER(Settings!$C$26),IF(SUMIFS($Q$5:$Q260,$A$5:$A260,$A261)&lt;=-Settings!$C$26,"Traded after daily max loss; ",""),"")&amp;IF(AND($AG261="",NOT(ISNUMBER($O261))),"Symbol not in Instruments; ","")&amp;IF(AND($AH261="",NOT(ISNUMBER($O261))),"Forex cross: type Gross P&amp;L; ",""))</f>
        <v/>
      </c>
      <c r="BH261" s="56">
        <f>IF(ISNUMBER($Q261),1,0)</f>
        <v>0</v>
      </c>
      <c r="BI261" s="56">
        <f>IF($Y261="",0,1)</f>
        <v>0</v>
      </c>
      <c r="BJ261" s="56">
        <f>IF($AB261="",0,1)</f>
        <v>0</v>
      </c>
      <c r="BK261" s="56">
        <f>IF(AND($BH261=1,$W261&lt;&gt;"OK"),1,0)</f>
        <v>0</v>
      </c>
      <c r="BL261" s="55">
        <f>IF(N($AZ261)=0,0,IFERROR(INDEX($AT$6:$AT$1005,MATCH($AZ261,$AY$6:$AY$1005,0)),0))</f>
        <v>1187.10688</v>
      </c>
      <c r="BM261" s="56">
        <f>IF(ISNUMBER(SEARCH("daily max loss",$BG261)),1,0)</f>
        <v>0</v>
      </c>
    </row>
    <row r="262" ht="18" customHeight="1">
      <c r="A262" s="38" t="n"/>
      <c r="B262" s="39" t="n"/>
      <c r="C262" s="40" t="n"/>
      <c r="D262" s="41" t="n"/>
      <c r="E262" s="41" t="n"/>
      <c r="F262" s="41" t="n"/>
      <c r="G262" s="41" t="n"/>
      <c r="H262" s="42" t="n"/>
      <c r="I262" s="42" t="n"/>
      <c r="J262" s="42" t="n"/>
      <c r="K262" s="42" t="n"/>
      <c r="L262" s="41" t="n"/>
      <c r="M262" s="41" t="n"/>
      <c r="N262" s="41" t="n"/>
      <c r="O262" s="43" t="n"/>
      <c r="P262" s="43" t="n"/>
      <c r="Q262" s="44" t="str">
        <f>IF($AM262=0,"",IF(ISNUMBER($AK262),$AK262-N($AL262),""))</f>
        <v/>
      </c>
      <c r="R262" s="45" t="str">
        <f>IF(OR($Q262="",NOT(ISNUMBER($V262))),"",$AK262/$V262)</f>
        <v/>
      </c>
      <c r="S262" s="46" t="str">
        <f>IF($Q262="","",IF(AND(ISNUMBER($R262),ABS(N($R262))&lt;N(Settings!$C$8)),"Scratch",IF($Q262&gt;0,"Win",IF($Q262&lt;0,"Loss","Scratch"))))</f>
        <v/>
      </c>
      <c r="T262" s="47" t="str">
        <f>IF(OR($AM262=0,NOT(ISNUMBER($H262)),NOT(ISNUMBER($I262)),NOT(ISNUMBER($J262))),"",IF($H262=$I262,"",ROUND(ABS($J262-$H262)/ABS($H262-$I262),6)))</f>
        <v/>
      </c>
      <c r="U262" s="48" t="str">
        <f>IF(OR($S262&lt;&gt;"Win",NOT(ISNUMBER($T262)),NOT(ISNUMBER($R262))),"",MAX(0,$T262-$R262))</f>
        <v/>
      </c>
      <c r="V262" s="49" t="str">
        <f>IF(OR($AM262=0,NOT(ISNUMBER($H262)),NOT(ISNUMBER($I262)),NOT(ISNUMBER($G262))),"",IF(OR($AG262="",$AH262=""),"",IF(ROUND(ABS($H262-$I262)*ABS($G262)*$AG262*$AH262,6)=0,"",ROUND(ABS($H262-$I262)*ABS($G262)*$AG262*$AH262,6))))</f>
        <v/>
      </c>
      <c r="W262" s="50" t="str">
        <f>IF($AM262=0,"",IF($BG262="","OK",LEFT($BG262,LEN($BG262)-2)))</f>
        <v/>
      </c>
      <c r="X262" s="41" t="n"/>
      <c r="Y262" s="40" t="n"/>
      <c r="Z262" s="41" t="n"/>
      <c r="AA262" s="41" t="n"/>
      <c r="AB262" s="40" t="n"/>
      <c r="AC262" s="51" t="n"/>
      <c r="AD262" s="51" t="n"/>
      <c r="AE262" s="40" t="n"/>
      <c r="AF262" s="52" t="str">
        <f>IF($AM262=0,"",IF($D262&lt;&gt;"",$D262,IF(IFERROR(INDEX(Accounts!$C$7:$C$16,MATCH($C262,Accounts!$B$7:$B$16,0))&amp;"","")&lt;&gt;"",INDEX(Accounts!$C$7:$C$16,MATCH($C262,Accounts!$B$7:$B$16,0)),Settings!$C$6)))</f>
        <v/>
      </c>
      <c r="AG262" s="53" t="str">
        <f>IF($AM262=0,"",IF(AND($BE262&gt;0,N(INDEX(Instruments!$D$6:$D$205,MAX(1,$BE262)))&gt;0),INDEX(Instruments!$D$6:$D$205,MAX(1,$BE262)),IF(N(INDEX(Settings!$D$14:$D$18,$BF262))&gt;0,INDEX(Settings!$D$14:$D$18,$BF262),"")))</f>
        <v/>
      </c>
      <c r="AH262" s="54" t="str">
        <f>IF($AM262=0,"",IF($AF262&lt;&gt;"Forex",1,IF(MID(UPPER(SUBSTITUTE(TRIM($E262),"/","")),4,3)=UPPER(TRIM(Settings!$C$7)),1,IF(LEFT(UPPER(SUBSTITUTE(TRIM($E262),"/","")),3)=UPPER(TRIM(Settings!$C$7)),IF(AND(ISNUMBER($K262),N($K262)&lt;&gt;0),1/$K262,""),""))))</f>
        <v/>
      </c>
      <c r="AI262" s="55" t="str">
        <f>IF($AM262=0,"",IF(OR(NOT(ISNUMBER($H262)),NOT(ISNUMBER($K262)),NOT(ISNUMBER($G262)),$AG262="",$AH262=""),"",ROUND(($K262-$H262)*IF($F262="Short",-1,1)*$G262*$AG262*$AH262,6)))</f>
        <v/>
      </c>
      <c r="AJ262" s="55" t="str">
        <f>IF($AM262=0,"",IF(INDEX(Settings!$E$14:$E$18,$BF262)="% of notional",IF(OR($AG262="",NOT(ISNUMBER($H262)),NOT(ISNUMBER($G262))),"",ROUND(ABS($H262*$G262*$AG262*N($AH262))*IF($L262="Limit",N(INDEX(Settings!$G$14:$G$18,$BF262)),N(INDEX(Settings!$H$14:$H$18,$BF262)))+IF(ISNUMBER($K262),ABS($K262*$G262*$AG262*N($AH262))*IF($M262="Target",N(INDEX(Settings!$G$14:$G$18,$BF262)),N(INDEX(Settings!$H$14:$H$18,$BF262))),0),6)),IF(NOT(ISNUMBER($G262)),"",ROUND(ABS($G262)*2*IF(AND($BE262&gt;0,ISNUMBER(INDEX(Instruments!$G$6:$G$205,MAX(1,$BE262)))),INDEX(Instruments!$G$6:$G$205,MAX(1,$BE262)),N(INDEX(Settings!$F$14:$F$18,$BF262))),6))))</f>
        <v/>
      </c>
      <c r="AK262" s="55" t="str">
        <f>IF($AM262=0,"",IF(ISNUMBER($O262),$O262,$AI262))</f>
        <v/>
      </c>
      <c r="AL262" s="55" t="str">
        <f>IF($AM262=0,"",IF(ISNUMBER($P262),$P262,N($AJ262)))</f>
        <v/>
      </c>
      <c r="AM262" s="56">
        <f>IF(AND($A262&lt;&gt;"",$E262&lt;&gt;"",OR(AND(ISNUMBER($G262),ISNUMBER($H262),ISNUMBER($K262)),ISNUMBER($O262))),1,0)</f>
        <v>0</v>
      </c>
      <c r="AN262" s="57" t="str">
        <f>IF($A262="","",$A262-WEEKDAY($A262,3))</f>
        <v/>
      </c>
      <c r="AO262" s="56" t="str">
        <f>IF($A262="","",WEEKDAY($A262,2))</f>
        <v/>
      </c>
      <c r="AP262" s="55" t="str">
        <f>IF(OR($AM262=0,$C262=""),"",IFERROR(N(INDEX(Accounts!$E$7:$E$16,MATCH($C262,Accounts!$B$7:$B$16,0))),0)+SUMIFS($Q$6:$Q262,$C$6:$C262,$C262))</f>
        <v/>
      </c>
      <c r="AQ262" s="55" t="str">
        <f>IF(OR($AM262=0,$C262=""),"",SUMIFS($Q$6:$Q$1005,$C$6:$C$1005,$C262,$A$6:$A$1005,$A262))</f>
        <v/>
      </c>
      <c r="AR262" s="55" t="str">
        <f>IF(OR($AM262=0,$C262=""),"",IFERROR(N(INDEX(Accounts!$E$7:$E$16,MATCH($C262,Accounts!$B$7:$B$16,0))),0)+SUMIFS($Q$6:$Q$1005,$C$6:$C$1005,$C262,$A$6:$A$1005,"&lt;="&amp;$A262))</f>
        <v/>
      </c>
      <c r="AS262" s="56">
        <f>IF(OR($AM262=0,$Q262=""),0,IF(AND($A262&gt;=Lists!$W$6,$A262&lt;=Lists!$W$7,OR(Dashboard!$D$6="All accounts",$C262=Dashboard!$D$6),OR(Dashboard!$D$7="All markets",$AF262=Dashboard!$D$7)),1,0))</f>
        <v>0</v>
      </c>
      <c r="AT262" s="55">
        <f>IF($AS262=1,N(AT261)+$Q262,N(AT261))</f>
        <v>1187.10688</v>
      </c>
      <c r="AU262" s="55">
        <f>MAX(N(AU261),$AT262)</f>
        <v>1187.10688</v>
      </c>
      <c r="AV262" s="55">
        <f>$AT262-$AU262</f>
        <v>0</v>
      </c>
      <c r="AW262" s="56">
        <f>IF($AS262=1,IF($S262="Win",N(AW261)+1,IF($S262="Loss",0,N(AW261))),N(AW261))</f>
        <v>5</v>
      </c>
      <c r="AX262" s="56">
        <f>IF($AS262=1,IF($S262="Loss",N(AX261)+1,IF($S262="Win",0,N(AX261))),N(AX261))</f>
        <v>0</v>
      </c>
      <c r="AY262" s="56" t="str">
        <f>IF($AS262=1,COUNTIF($AS$6:$AS262,1),"")</f>
        <v/>
      </c>
      <c r="AZ262" s="56">
        <f>MIN(256,N(Lists!$W$8))</f>
        <v>28</v>
      </c>
      <c r="BA262" s="56">
        <f>IF($AS262=1,IF(COUNTIFS($A$6:$A262,$A262,$AS$6:$AS262,1)=1,1,0),0)</f>
        <v>0</v>
      </c>
      <c r="BB262" s="55" t="str">
        <f>IF($BA262=1,SUMIFS($Q$6:$Q$1005,$A$6:$A$1005,$A262,$AS$6:$AS$1005,1),"")</f>
        <v/>
      </c>
      <c r="BC262" s="56">
        <f>IF(ISNUMBER($R262),1,0)</f>
        <v>0</v>
      </c>
      <c r="BD262" s="55" t="str">
        <f>IF(ISNUMBER($U262),$U262*$V262,"")</f>
        <v/>
      </c>
      <c r="BE262" s="56" t="str">
        <f>IF($AM262=0,"",IFERROR(MATCH($AF262&amp;"|"&amp;UPPER(TRIM($E262)),Lists!$A$6:$A$205,0),0))</f>
        <v/>
      </c>
      <c r="BF262" s="56" t="str">
        <f>IF($AM262=0,"",IFERROR(MATCH($AF262,Settings!$B$14:$B$18,0),IFERROR(MATCH(Settings!$C$6,Settings!$B$14:$B$18,0),1)))</f>
        <v/>
      </c>
      <c r="BG262" s="58" t="str">
        <f>IF($AM262=0,"",IF(NOT(ISNUMBER($I262)),"No stop; ","")&amp;IF(AND(ISNUMBER($H262),ISNUMBER($I262)),IF(OR(AND($F262&lt;&gt;"Short",$I262&gt;=$H262),AND($F262="Short",$I262&lt;=$H262)),"Stop on wrong side; ",""),"")&amp;IF($F262="","No direction; ","")&amp;IF(AND(ISNUMBER(Settings!$C$22),ISNUMBER($V262)),IF($V262&gt;Settings!$C$22,"Risk over max $; ",""),"")&amp;IF(AND(ISNUMBER(Settings!$C$23),ISNUMBER($V262),ISNUMBER($AP262),IFERROR(N(INDEX(Accounts!$E$7:$E$16,MATCH($C262,Accounts!$B$7:$B$16,0))),0)&gt;0),IF($V262&gt;Settings!$C$23*($AP262-N($Q262)),"Risk over max %; ",""),"")&amp;IF(AND(ISNUMBER(Settings!$C$24),ISNUMBER($N262)),IF($N262&gt;Settings!$C$24,"Leverage over max; ",""),"")&amp;IF(AND(ISNUMBER(Settings!$C$27),ISNUMBER($T262)),IF($T262&lt;Settings!$C$27,"R:R below min; ",""),"")&amp;IF(ISNUMBER(Settings!$C$25),IF(COUNTIFS($A$6:$A262,$A262,$AM$6:$AM262,1)&gt;Settings!$C$25,"Over max trades/day; ",""),"")&amp;IF(ISNUMBER(Settings!$C$26),IF(SUMIFS($Q$5:$Q261,$A$5:$A261,$A262)&lt;=-Settings!$C$26,"Traded after daily max loss; ",""),"")&amp;IF(AND($AG262="",NOT(ISNUMBER($O262))),"Symbol not in Instruments; ","")&amp;IF(AND($AH262="",NOT(ISNUMBER($O262))),"Forex cross: type Gross P&amp;L; ",""))</f>
        <v/>
      </c>
      <c r="BH262" s="56">
        <f>IF(ISNUMBER($Q262),1,0)</f>
        <v>0</v>
      </c>
      <c r="BI262" s="56">
        <f>IF($Y262="",0,1)</f>
        <v>0</v>
      </c>
      <c r="BJ262" s="56">
        <f>IF($AB262="",0,1)</f>
        <v>0</v>
      </c>
      <c r="BK262" s="56">
        <f>IF(AND($BH262=1,$W262&lt;&gt;"OK"),1,0)</f>
        <v>0</v>
      </c>
      <c r="BL262" s="55">
        <f>IF(N($AZ262)=0,0,IFERROR(INDEX($AT$6:$AT$1005,MATCH($AZ262,$AY$6:$AY$1005,0)),0))</f>
        <v>1187.10688</v>
      </c>
      <c r="BM262" s="56">
        <f>IF(ISNUMBER(SEARCH("daily max loss",$BG262)),1,0)</f>
        <v>0</v>
      </c>
    </row>
    <row r="263" ht="18" customHeight="1">
      <c r="A263" s="38" t="n"/>
      <c r="B263" s="39" t="n"/>
      <c r="C263" s="40" t="n"/>
      <c r="D263" s="41" t="n"/>
      <c r="E263" s="41" t="n"/>
      <c r="F263" s="41" t="n"/>
      <c r="G263" s="41" t="n"/>
      <c r="H263" s="42" t="n"/>
      <c r="I263" s="42" t="n"/>
      <c r="J263" s="42" t="n"/>
      <c r="K263" s="42" t="n"/>
      <c r="L263" s="41" t="n"/>
      <c r="M263" s="41" t="n"/>
      <c r="N263" s="41" t="n"/>
      <c r="O263" s="43" t="n"/>
      <c r="P263" s="43" t="n"/>
      <c r="Q263" s="44" t="str">
        <f>IF($AM263=0,"",IF(ISNUMBER($AK263),$AK263-N($AL263),""))</f>
        <v/>
      </c>
      <c r="R263" s="45" t="str">
        <f>IF(OR($Q263="",NOT(ISNUMBER($V263))),"",$AK263/$V263)</f>
        <v/>
      </c>
      <c r="S263" s="46" t="str">
        <f>IF($Q263="","",IF(AND(ISNUMBER($R263),ABS(N($R263))&lt;N(Settings!$C$8)),"Scratch",IF($Q263&gt;0,"Win",IF($Q263&lt;0,"Loss","Scratch"))))</f>
        <v/>
      </c>
      <c r="T263" s="47" t="str">
        <f>IF(OR($AM263=0,NOT(ISNUMBER($H263)),NOT(ISNUMBER($I263)),NOT(ISNUMBER($J263))),"",IF($H263=$I263,"",ROUND(ABS($J263-$H263)/ABS($H263-$I263),6)))</f>
        <v/>
      </c>
      <c r="U263" s="48" t="str">
        <f>IF(OR($S263&lt;&gt;"Win",NOT(ISNUMBER($T263)),NOT(ISNUMBER($R263))),"",MAX(0,$T263-$R263))</f>
        <v/>
      </c>
      <c r="V263" s="49" t="str">
        <f>IF(OR($AM263=0,NOT(ISNUMBER($H263)),NOT(ISNUMBER($I263)),NOT(ISNUMBER($G263))),"",IF(OR($AG263="",$AH263=""),"",IF(ROUND(ABS($H263-$I263)*ABS($G263)*$AG263*$AH263,6)=0,"",ROUND(ABS($H263-$I263)*ABS($G263)*$AG263*$AH263,6))))</f>
        <v/>
      </c>
      <c r="W263" s="50" t="str">
        <f>IF($AM263=0,"",IF($BG263="","OK",LEFT($BG263,LEN($BG263)-2)))</f>
        <v/>
      </c>
      <c r="X263" s="41" t="n"/>
      <c r="Y263" s="40" t="n"/>
      <c r="Z263" s="41" t="n"/>
      <c r="AA263" s="41" t="n"/>
      <c r="AB263" s="40" t="n"/>
      <c r="AC263" s="51" t="n"/>
      <c r="AD263" s="51" t="n"/>
      <c r="AE263" s="40" t="n"/>
      <c r="AF263" s="52" t="str">
        <f>IF($AM263=0,"",IF($D263&lt;&gt;"",$D263,IF(IFERROR(INDEX(Accounts!$C$7:$C$16,MATCH($C263,Accounts!$B$7:$B$16,0))&amp;"","")&lt;&gt;"",INDEX(Accounts!$C$7:$C$16,MATCH($C263,Accounts!$B$7:$B$16,0)),Settings!$C$6)))</f>
        <v/>
      </c>
      <c r="AG263" s="53" t="str">
        <f>IF($AM263=0,"",IF(AND($BE263&gt;0,N(INDEX(Instruments!$D$6:$D$205,MAX(1,$BE263)))&gt;0),INDEX(Instruments!$D$6:$D$205,MAX(1,$BE263)),IF(N(INDEX(Settings!$D$14:$D$18,$BF263))&gt;0,INDEX(Settings!$D$14:$D$18,$BF263),"")))</f>
        <v/>
      </c>
      <c r="AH263" s="54" t="str">
        <f>IF($AM263=0,"",IF($AF263&lt;&gt;"Forex",1,IF(MID(UPPER(SUBSTITUTE(TRIM($E263),"/","")),4,3)=UPPER(TRIM(Settings!$C$7)),1,IF(LEFT(UPPER(SUBSTITUTE(TRIM($E263),"/","")),3)=UPPER(TRIM(Settings!$C$7)),IF(AND(ISNUMBER($K263),N($K263)&lt;&gt;0),1/$K263,""),""))))</f>
        <v/>
      </c>
      <c r="AI263" s="55" t="str">
        <f>IF($AM263=0,"",IF(OR(NOT(ISNUMBER($H263)),NOT(ISNUMBER($K263)),NOT(ISNUMBER($G263)),$AG263="",$AH263=""),"",ROUND(($K263-$H263)*IF($F263="Short",-1,1)*$G263*$AG263*$AH263,6)))</f>
        <v/>
      </c>
      <c r="AJ263" s="55" t="str">
        <f>IF($AM263=0,"",IF(INDEX(Settings!$E$14:$E$18,$BF263)="% of notional",IF(OR($AG263="",NOT(ISNUMBER($H263)),NOT(ISNUMBER($G263))),"",ROUND(ABS($H263*$G263*$AG263*N($AH263))*IF($L263="Limit",N(INDEX(Settings!$G$14:$G$18,$BF263)),N(INDEX(Settings!$H$14:$H$18,$BF263)))+IF(ISNUMBER($K263),ABS($K263*$G263*$AG263*N($AH263))*IF($M263="Target",N(INDEX(Settings!$G$14:$G$18,$BF263)),N(INDEX(Settings!$H$14:$H$18,$BF263))),0),6)),IF(NOT(ISNUMBER($G263)),"",ROUND(ABS($G263)*2*IF(AND($BE263&gt;0,ISNUMBER(INDEX(Instruments!$G$6:$G$205,MAX(1,$BE263)))),INDEX(Instruments!$G$6:$G$205,MAX(1,$BE263)),N(INDEX(Settings!$F$14:$F$18,$BF263))),6))))</f>
        <v/>
      </c>
      <c r="AK263" s="55" t="str">
        <f>IF($AM263=0,"",IF(ISNUMBER($O263),$O263,$AI263))</f>
        <v/>
      </c>
      <c r="AL263" s="55" t="str">
        <f>IF($AM263=0,"",IF(ISNUMBER($P263),$P263,N($AJ263)))</f>
        <v/>
      </c>
      <c r="AM263" s="56">
        <f>IF(AND($A263&lt;&gt;"",$E263&lt;&gt;"",OR(AND(ISNUMBER($G263),ISNUMBER($H263),ISNUMBER($K263)),ISNUMBER($O263))),1,0)</f>
        <v>0</v>
      </c>
      <c r="AN263" s="57" t="str">
        <f>IF($A263="","",$A263-WEEKDAY($A263,3))</f>
        <v/>
      </c>
      <c r="AO263" s="56" t="str">
        <f>IF($A263="","",WEEKDAY($A263,2))</f>
        <v/>
      </c>
      <c r="AP263" s="55" t="str">
        <f>IF(OR($AM263=0,$C263=""),"",IFERROR(N(INDEX(Accounts!$E$7:$E$16,MATCH($C263,Accounts!$B$7:$B$16,0))),0)+SUMIFS($Q$6:$Q263,$C$6:$C263,$C263))</f>
        <v/>
      </c>
      <c r="AQ263" s="55" t="str">
        <f>IF(OR($AM263=0,$C263=""),"",SUMIFS($Q$6:$Q$1005,$C$6:$C$1005,$C263,$A$6:$A$1005,$A263))</f>
        <v/>
      </c>
      <c r="AR263" s="55" t="str">
        <f>IF(OR($AM263=0,$C263=""),"",IFERROR(N(INDEX(Accounts!$E$7:$E$16,MATCH($C263,Accounts!$B$7:$B$16,0))),0)+SUMIFS($Q$6:$Q$1005,$C$6:$C$1005,$C263,$A$6:$A$1005,"&lt;="&amp;$A263))</f>
        <v/>
      </c>
      <c r="AS263" s="56">
        <f>IF(OR($AM263=0,$Q263=""),0,IF(AND($A263&gt;=Lists!$W$6,$A263&lt;=Lists!$W$7,OR(Dashboard!$D$6="All accounts",$C263=Dashboard!$D$6),OR(Dashboard!$D$7="All markets",$AF263=Dashboard!$D$7)),1,0))</f>
        <v>0</v>
      </c>
      <c r="AT263" s="55">
        <f>IF($AS263=1,N(AT262)+$Q263,N(AT262))</f>
        <v>1187.10688</v>
      </c>
      <c r="AU263" s="55">
        <f>MAX(N(AU262),$AT263)</f>
        <v>1187.10688</v>
      </c>
      <c r="AV263" s="55">
        <f>$AT263-$AU263</f>
        <v>0</v>
      </c>
      <c r="AW263" s="56">
        <f>IF($AS263=1,IF($S263="Win",N(AW262)+1,IF($S263="Loss",0,N(AW262))),N(AW262))</f>
        <v>5</v>
      </c>
      <c r="AX263" s="56">
        <f>IF($AS263=1,IF($S263="Loss",N(AX262)+1,IF($S263="Win",0,N(AX262))),N(AX262))</f>
        <v>0</v>
      </c>
      <c r="AY263" s="56" t="str">
        <f>IF($AS263=1,COUNTIF($AS$6:$AS263,1),"")</f>
        <v/>
      </c>
      <c r="AZ263" s="56">
        <f>MIN(257,N(Lists!$W$8))</f>
        <v>28</v>
      </c>
      <c r="BA263" s="56">
        <f>IF($AS263=1,IF(COUNTIFS($A$6:$A263,$A263,$AS$6:$AS263,1)=1,1,0),0)</f>
        <v>0</v>
      </c>
      <c r="BB263" s="55" t="str">
        <f>IF($BA263=1,SUMIFS($Q$6:$Q$1005,$A$6:$A$1005,$A263,$AS$6:$AS$1005,1),"")</f>
        <v/>
      </c>
      <c r="BC263" s="56">
        <f>IF(ISNUMBER($R263),1,0)</f>
        <v>0</v>
      </c>
      <c r="BD263" s="55" t="str">
        <f>IF(ISNUMBER($U263),$U263*$V263,"")</f>
        <v/>
      </c>
      <c r="BE263" s="56" t="str">
        <f>IF($AM263=0,"",IFERROR(MATCH($AF263&amp;"|"&amp;UPPER(TRIM($E263)),Lists!$A$6:$A$205,0),0))</f>
        <v/>
      </c>
      <c r="BF263" s="56" t="str">
        <f>IF($AM263=0,"",IFERROR(MATCH($AF263,Settings!$B$14:$B$18,0),IFERROR(MATCH(Settings!$C$6,Settings!$B$14:$B$18,0),1)))</f>
        <v/>
      </c>
      <c r="BG263" s="58" t="str">
        <f>IF($AM263=0,"",IF(NOT(ISNUMBER($I263)),"No stop; ","")&amp;IF(AND(ISNUMBER($H263),ISNUMBER($I263)),IF(OR(AND($F263&lt;&gt;"Short",$I263&gt;=$H263),AND($F263="Short",$I263&lt;=$H263)),"Stop on wrong side; ",""),"")&amp;IF($F263="","No direction; ","")&amp;IF(AND(ISNUMBER(Settings!$C$22),ISNUMBER($V263)),IF($V263&gt;Settings!$C$22,"Risk over max $; ",""),"")&amp;IF(AND(ISNUMBER(Settings!$C$23),ISNUMBER($V263),ISNUMBER($AP263),IFERROR(N(INDEX(Accounts!$E$7:$E$16,MATCH($C263,Accounts!$B$7:$B$16,0))),0)&gt;0),IF($V263&gt;Settings!$C$23*($AP263-N($Q263)),"Risk over max %; ",""),"")&amp;IF(AND(ISNUMBER(Settings!$C$24),ISNUMBER($N263)),IF($N263&gt;Settings!$C$24,"Leverage over max; ",""),"")&amp;IF(AND(ISNUMBER(Settings!$C$27),ISNUMBER($T263)),IF($T263&lt;Settings!$C$27,"R:R below min; ",""),"")&amp;IF(ISNUMBER(Settings!$C$25),IF(COUNTIFS($A$6:$A263,$A263,$AM$6:$AM263,1)&gt;Settings!$C$25,"Over max trades/day; ",""),"")&amp;IF(ISNUMBER(Settings!$C$26),IF(SUMIFS($Q$5:$Q262,$A$5:$A262,$A263)&lt;=-Settings!$C$26,"Traded after daily max loss; ",""),"")&amp;IF(AND($AG263="",NOT(ISNUMBER($O263))),"Symbol not in Instruments; ","")&amp;IF(AND($AH263="",NOT(ISNUMBER($O263))),"Forex cross: type Gross P&amp;L; ",""))</f>
        <v/>
      </c>
      <c r="BH263" s="56">
        <f>IF(ISNUMBER($Q263),1,0)</f>
        <v>0</v>
      </c>
      <c r="BI263" s="56">
        <f>IF($Y263="",0,1)</f>
        <v>0</v>
      </c>
      <c r="BJ263" s="56">
        <f>IF($AB263="",0,1)</f>
        <v>0</v>
      </c>
      <c r="BK263" s="56">
        <f>IF(AND($BH263=1,$W263&lt;&gt;"OK"),1,0)</f>
        <v>0</v>
      </c>
      <c r="BL263" s="55">
        <f>IF(N($AZ263)=0,0,IFERROR(INDEX($AT$6:$AT$1005,MATCH($AZ263,$AY$6:$AY$1005,0)),0))</f>
        <v>1187.10688</v>
      </c>
      <c r="BM263" s="56">
        <f>IF(ISNUMBER(SEARCH("daily max loss",$BG263)),1,0)</f>
        <v>0</v>
      </c>
    </row>
    <row r="264" ht="18" customHeight="1">
      <c r="A264" s="38" t="n"/>
      <c r="B264" s="39" t="n"/>
      <c r="C264" s="40" t="n"/>
      <c r="D264" s="41" t="n"/>
      <c r="E264" s="41" t="n"/>
      <c r="F264" s="41" t="n"/>
      <c r="G264" s="41" t="n"/>
      <c r="H264" s="42" t="n"/>
      <c r="I264" s="42" t="n"/>
      <c r="J264" s="42" t="n"/>
      <c r="K264" s="42" t="n"/>
      <c r="L264" s="41" t="n"/>
      <c r="M264" s="41" t="n"/>
      <c r="N264" s="41" t="n"/>
      <c r="O264" s="43" t="n"/>
      <c r="P264" s="43" t="n"/>
      <c r="Q264" s="44" t="str">
        <f>IF($AM264=0,"",IF(ISNUMBER($AK264),$AK264-N($AL264),""))</f>
        <v/>
      </c>
      <c r="R264" s="45" t="str">
        <f>IF(OR($Q264="",NOT(ISNUMBER($V264))),"",$AK264/$V264)</f>
        <v/>
      </c>
      <c r="S264" s="46" t="str">
        <f>IF($Q264="","",IF(AND(ISNUMBER($R264),ABS(N($R264))&lt;N(Settings!$C$8)),"Scratch",IF($Q264&gt;0,"Win",IF($Q264&lt;0,"Loss","Scratch"))))</f>
        <v/>
      </c>
      <c r="T264" s="47" t="str">
        <f>IF(OR($AM264=0,NOT(ISNUMBER($H264)),NOT(ISNUMBER($I264)),NOT(ISNUMBER($J264))),"",IF($H264=$I264,"",ROUND(ABS($J264-$H264)/ABS($H264-$I264),6)))</f>
        <v/>
      </c>
      <c r="U264" s="48" t="str">
        <f>IF(OR($S264&lt;&gt;"Win",NOT(ISNUMBER($T264)),NOT(ISNUMBER($R264))),"",MAX(0,$T264-$R264))</f>
        <v/>
      </c>
      <c r="V264" s="49" t="str">
        <f>IF(OR($AM264=0,NOT(ISNUMBER($H264)),NOT(ISNUMBER($I264)),NOT(ISNUMBER($G264))),"",IF(OR($AG264="",$AH264=""),"",IF(ROUND(ABS($H264-$I264)*ABS($G264)*$AG264*$AH264,6)=0,"",ROUND(ABS($H264-$I264)*ABS($G264)*$AG264*$AH264,6))))</f>
        <v/>
      </c>
      <c r="W264" s="50" t="str">
        <f>IF($AM264=0,"",IF($BG264="","OK",LEFT($BG264,LEN($BG264)-2)))</f>
        <v/>
      </c>
      <c r="X264" s="41" t="n"/>
      <c r="Y264" s="40" t="n"/>
      <c r="Z264" s="41" t="n"/>
      <c r="AA264" s="41" t="n"/>
      <c r="AB264" s="40" t="n"/>
      <c r="AC264" s="51" t="n"/>
      <c r="AD264" s="51" t="n"/>
      <c r="AE264" s="40" t="n"/>
      <c r="AF264" s="52" t="str">
        <f>IF($AM264=0,"",IF($D264&lt;&gt;"",$D264,IF(IFERROR(INDEX(Accounts!$C$7:$C$16,MATCH($C264,Accounts!$B$7:$B$16,0))&amp;"","")&lt;&gt;"",INDEX(Accounts!$C$7:$C$16,MATCH($C264,Accounts!$B$7:$B$16,0)),Settings!$C$6)))</f>
        <v/>
      </c>
      <c r="AG264" s="53" t="str">
        <f>IF($AM264=0,"",IF(AND($BE264&gt;0,N(INDEX(Instruments!$D$6:$D$205,MAX(1,$BE264)))&gt;0),INDEX(Instruments!$D$6:$D$205,MAX(1,$BE264)),IF(N(INDEX(Settings!$D$14:$D$18,$BF264))&gt;0,INDEX(Settings!$D$14:$D$18,$BF264),"")))</f>
        <v/>
      </c>
      <c r="AH264" s="54" t="str">
        <f>IF($AM264=0,"",IF($AF264&lt;&gt;"Forex",1,IF(MID(UPPER(SUBSTITUTE(TRIM($E264),"/","")),4,3)=UPPER(TRIM(Settings!$C$7)),1,IF(LEFT(UPPER(SUBSTITUTE(TRIM($E264),"/","")),3)=UPPER(TRIM(Settings!$C$7)),IF(AND(ISNUMBER($K264),N($K264)&lt;&gt;0),1/$K264,""),""))))</f>
        <v/>
      </c>
      <c r="AI264" s="55" t="str">
        <f>IF($AM264=0,"",IF(OR(NOT(ISNUMBER($H264)),NOT(ISNUMBER($K264)),NOT(ISNUMBER($G264)),$AG264="",$AH264=""),"",ROUND(($K264-$H264)*IF($F264="Short",-1,1)*$G264*$AG264*$AH264,6)))</f>
        <v/>
      </c>
      <c r="AJ264" s="55" t="str">
        <f>IF($AM264=0,"",IF(INDEX(Settings!$E$14:$E$18,$BF264)="% of notional",IF(OR($AG264="",NOT(ISNUMBER($H264)),NOT(ISNUMBER($G264))),"",ROUND(ABS($H264*$G264*$AG264*N($AH264))*IF($L264="Limit",N(INDEX(Settings!$G$14:$G$18,$BF264)),N(INDEX(Settings!$H$14:$H$18,$BF264)))+IF(ISNUMBER($K264),ABS($K264*$G264*$AG264*N($AH264))*IF($M264="Target",N(INDEX(Settings!$G$14:$G$18,$BF264)),N(INDEX(Settings!$H$14:$H$18,$BF264))),0),6)),IF(NOT(ISNUMBER($G264)),"",ROUND(ABS($G264)*2*IF(AND($BE264&gt;0,ISNUMBER(INDEX(Instruments!$G$6:$G$205,MAX(1,$BE264)))),INDEX(Instruments!$G$6:$G$205,MAX(1,$BE264)),N(INDEX(Settings!$F$14:$F$18,$BF264))),6))))</f>
        <v/>
      </c>
      <c r="AK264" s="55" t="str">
        <f>IF($AM264=0,"",IF(ISNUMBER($O264),$O264,$AI264))</f>
        <v/>
      </c>
      <c r="AL264" s="55" t="str">
        <f>IF($AM264=0,"",IF(ISNUMBER($P264),$P264,N($AJ264)))</f>
        <v/>
      </c>
      <c r="AM264" s="56">
        <f>IF(AND($A264&lt;&gt;"",$E264&lt;&gt;"",OR(AND(ISNUMBER($G264),ISNUMBER($H264),ISNUMBER($K264)),ISNUMBER($O264))),1,0)</f>
        <v>0</v>
      </c>
      <c r="AN264" s="57" t="str">
        <f>IF($A264="","",$A264-WEEKDAY($A264,3))</f>
        <v/>
      </c>
      <c r="AO264" s="56" t="str">
        <f>IF($A264="","",WEEKDAY($A264,2))</f>
        <v/>
      </c>
      <c r="AP264" s="55" t="str">
        <f>IF(OR($AM264=0,$C264=""),"",IFERROR(N(INDEX(Accounts!$E$7:$E$16,MATCH($C264,Accounts!$B$7:$B$16,0))),0)+SUMIFS($Q$6:$Q264,$C$6:$C264,$C264))</f>
        <v/>
      </c>
      <c r="AQ264" s="55" t="str">
        <f>IF(OR($AM264=0,$C264=""),"",SUMIFS($Q$6:$Q$1005,$C$6:$C$1005,$C264,$A$6:$A$1005,$A264))</f>
        <v/>
      </c>
      <c r="AR264" s="55" t="str">
        <f>IF(OR($AM264=0,$C264=""),"",IFERROR(N(INDEX(Accounts!$E$7:$E$16,MATCH($C264,Accounts!$B$7:$B$16,0))),0)+SUMIFS($Q$6:$Q$1005,$C$6:$C$1005,$C264,$A$6:$A$1005,"&lt;="&amp;$A264))</f>
        <v/>
      </c>
      <c r="AS264" s="56">
        <f>IF(OR($AM264=0,$Q264=""),0,IF(AND($A264&gt;=Lists!$W$6,$A264&lt;=Lists!$W$7,OR(Dashboard!$D$6="All accounts",$C264=Dashboard!$D$6),OR(Dashboard!$D$7="All markets",$AF264=Dashboard!$D$7)),1,0))</f>
        <v>0</v>
      </c>
      <c r="AT264" s="55">
        <f>IF($AS264=1,N(AT263)+$Q264,N(AT263))</f>
        <v>1187.10688</v>
      </c>
      <c r="AU264" s="55">
        <f>MAX(N(AU263),$AT264)</f>
        <v>1187.10688</v>
      </c>
      <c r="AV264" s="55">
        <f>$AT264-$AU264</f>
        <v>0</v>
      </c>
      <c r="AW264" s="56">
        <f>IF($AS264=1,IF($S264="Win",N(AW263)+1,IF($S264="Loss",0,N(AW263))),N(AW263))</f>
        <v>5</v>
      </c>
      <c r="AX264" s="56">
        <f>IF($AS264=1,IF($S264="Loss",N(AX263)+1,IF($S264="Win",0,N(AX263))),N(AX263))</f>
        <v>0</v>
      </c>
      <c r="AY264" s="56" t="str">
        <f>IF($AS264=1,COUNTIF($AS$6:$AS264,1),"")</f>
        <v/>
      </c>
      <c r="AZ264" s="56">
        <f>MIN(258,N(Lists!$W$8))</f>
        <v>28</v>
      </c>
      <c r="BA264" s="56">
        <f>IF($AS264=1,IF(COUNTIFS($A$6:$A264,$A264,$AS$6:$AS264,1)=1,1,0),0)</f>
        <v>0</v>
      </c>
      <c r="BB264" s="55" t="str">
        <f>IF($BA264=1,SUMIFS($Q$6:$Q$1005,$A$6:$A$1005,$A264,$AS$6:$AS$1005,1),"")</f>
        <v/>
      </c>
      <c r="BC264" s="56">
        <f>IF(ISNUMBER($R264),1,0)</f>
        <v>0</v>
      </c>
      <c r="BD264" s="55" t="str">
        <f>IF(ISNUMBER($U264),$U264*$V264,"")</f>
        <v/>
      </c>
      <c r="BE264" s="56" t="str">
        <f>IF($AM264=0,"",IFERROR(MATCH($AF264&amp;"|"&amp;UPPER(TRIM($E264)),Lists!$A$6:$A$205,0),0))</f>
        <v/>
      </c>
      <c r="BF264" s="56" t="str">
        <f>IF($AM264=0,"",IFERROR(MATCH($AF264,Settings!$B$14:$B$18,0),IFERROR(MATCH(Settings!$C$6,Settings!$B$14:$B$18,0),1)))</f>
        <v/>
      </c>
      <c r="BG264" s="58" t="str">
        <f>IF($AM264=0,"",IF(NOT(ISNUMBER($I264)),"No stop; ","")&amp;IF(AND(ISNUMBER($H264),ISNUMBER($I264)),IF(OR(AND($F264&lt;&gt;"Short",$I264&gt;=$H264),AND($F264="Short",$I264&lt;=$H264)),"Stop on wrong side; ",""),"")&amp;IF($F264="","No direction; ","")&amp;IF(AND(ISNUMBER(Settings!$C$22),ISNUMBER($V264)),IF($V264&gt;Settings!$C$22,"Risk over max $; ",""),"")&amp;IF(AND(ISNUMBER(Settings!$C$23),ISNUMBER($V264),ISNUMBER($AP264),IFERROR(N(INDEX(Accounts!$E$7:$E$16,MATCH($C264,Accounts!$B$7:$B$16,0))),0)&gt;0),IF($V264&gt;Settings!$C$23*($AP264-N($Q264)),"Risk over max %; ",""),"")&amp;IF(AND(ISNUMBER(Settings!$C$24),ISNUMBER($N264)),IF($N264&gt;Settings!$C$24,"Leverage over max; ",""),"")&amp;IF(AND(ISNUMBER(Settings!$C$27),ISNUMBER($T264)),IF($T264&lt;Settings!$C$27,"R:R below min; ",""),"")&amp;IF(ISNUMBER(Settings!$C$25),IF(COUNTIFS($A$6:$A264,$A264,$AM$6:$AM264,1)&gt;Settings!$C$25,"Over max trades/day; ",""),"")&amp;IF(ISNUMBER(Settings!$C$26),IF(SUMIFS($Q$5:$Q263,$A$5:$A263,$A264)&lt;=-Settings!$C$26,"Traded after daily max loss; ",""),"")&amp;IF(AND($AG264="",NOT(ISNUMBER($O264))),"Symbol not in Instruments; ","")&amp;IF(AND($AH264="",NOT(ISNUMBER($O264))),"Forex cross: type Gross P&amp;L; ",""))</f>
        <v/>
      </c>
      <c r="BH264" s="56">
        <f>IF(ISNUMBER($Q264),1,0)</f>
        <v>0</v>
      </c>
      <c r="BI264" s="56">
        <f>IF($Y264="",0,1)</f>
        <v>0</v>
      </c>
      <c r="BJ264" s="56">
        <f>IF($AB264="",0,1)</f>
        <v>0</v>
      </c>
      <c r="BK264" s="56">
        <f>IF(AND($BH264=1,$W264&lt;&gt;"OK"),1,0)</f>
        <v>0</v>
      </c>
      <c r="BL264" s="55">
        <f>IF(N($AZ264)=0,0,IFERROR(INDEX($AT$6:$AT$1005,MATCH($AZ264,$AY$6:$AY$1005,0)),0))</f>
        <v>1187.10688</v>
      </c>
      <c r="BM264" s="56">
        <f>IF(ISNUMBER(SEARCH("daily max loss",$BG264)),1,0)</f>
        <v>0</v>
      </c>
    </row>
    <row r="265" ht="18" customHeight="1">
      <c r="A265" s="38" t="n"/>
      <c r="B265" s="39" t="n"/>
      <c r="C265" s="40" t="n"/>
      <c r="D265" s="41" t="n"/>
      <c r="E265" s="41" t="n"/>
      <c r="F265" s="41" t="n"/>
      <c r="G265" s="41" t="n"/>
      <c r="H265" s="42" t="n"/>
      <c r="I265" s="42" t="n"/>
      <c r="J265" s="42" t="n"/>
      <c r="K265" s="42" t="n"/>
      <c r="L265" s="41" t="n"/>
      <c r="M265" s="41" t="n"/>
      <c r="N265" s="41" t="n"/>
      <c r="O265" s="43" t="n"/>
      <c r="P265" s="43" t="n"/>
      <c r="Q265" s="44" t="str">
        <f>IF($AM265=0,"",IF(ISNUMBER($AK265),$AK265-N($AL265),""))</f>
        <v/>
      </c>
      <c r="R265" s="45" t="str">
        <f>IF(OR($Q265="",NOT(ISNUMBER($V265))),"",$AK265/$V265)</f>
        <v/>
      </c>
      <c r="S265" s="46" t="str">
        <f>IF($Q265="","",IF(AND(ISNUMBER($R265),ABS(N($R265))&lt;N(Settings!$C$8)),"Scratch",IF($Q265&gt;0,"Win",IF($Q265&lt;0,"Loss","Scratch"))))</f>
        <v/>
      </c>
      <c r="T265" s="47" t="str">
        <f>IF(OR($AM265=0,NOT(ISNUMBER($H265)),NOT(ISNUMBER($I265)),NOT(ISNUMBER($J265))),"",IF($H265=$I265,"",ROUND(ABS($J265-$H265)/ABS($H265-$I265),6)))</f>
        <v/>
      </c>
      <c r="U265" s="48" t="str">
        <f>IF(OR($S265&lt;&gt;"Win",NOT(ISNUMBER($T265)),NOT(ISNUMBER($R265))),"",MAX(0,$T265-$R265))</f>
        <v/>
      </c>
      <c r="V265" s="49" t="str">
        <f>IF(OR($AM265=0,NOT(ISNUMBER($H265)),NOT(ISNUMBER($I265)),NOT(ISNUMBER($G265))),"",IF(OR($AG265="",$AH265=""),"",IF(ROUND(ABS($H265-$I265)*ABS($G265)*$AG265*$AH265,6)=0,"",ROUND(ABS($H265-$I265)*ABS($G265)*$AG265*$AH265,6))))</f>
        <v/>
      </c>
      <c r="W265" s="50" t="str">
        <f>IF($AM265=0,"",IF($BG265="","OK",LEFT($BG265,LEN($BG265)-2)))</f>
        <v/>
      </c>
      <c r="X265" s="41" t="n"/>
      <c r="Y265" s="40" t="n"/>
      <c r="Z265" s="41" t="n"/>
      <c r="AA265" s="41" t="n"/>
      <c r="AB265" s="40" t="n"/>
      <c r="AC265" s="51" t="n"/>
      <c r="AD265" s="51" t="n"/>
      <c r="AE265" s="40" t="n"/>
      <c r="AF265" s="52" t="str">
        <f>IF($AM265=0,"",IF($D265&lt;&gt;"",$D265,IF(IFERROR(INDEX(Accounts!$C$7:$C$16,MATCH($C265,Accounts!$B$7:$B$16,0))&amp;"","")&lt;&gt;"",INDEX(Accounts!$C$7:$C$16,MATCH($C265,Accounts!$B$7:$B$16,0)),Settings!$C$6)))</f>
        <v/>
      </c>
      <c r="AG265" s="53" t="str">
        <f>IF($AM265=0,"",IF(AND($BE265&gt;0,N(INDEX(Instruments!$D$6:$D$205,MAX(1,$BE265)))&gt;0),INDEX(Instruments!$D$6:$D$205,MAX(1,$BE265)),IF(N(INDEX(Settings!$D$14:$D$18,$BF265))&gt;0,INDEX(Settings!$D$14:$D$18,$BF265),"")))</f>
        <v/>
      </c>
      <c r="AH265" s="54" t="str">
        <f>IF($AM265=0,"",IF($AF265&lt;&gt;"Forex",1,IF(MID(UPPER(SUBSTITUTE(TRIM($E265),"/","")),4,3)=UPPER(TRIM(Settings!$C$7)),1,IF(LEFT(UPPER(SUBSTITUTE(TRIM($E265),"/","")),3)=UPPER(TRIM(Settings!$C$7)),IF(AND(ISNUMBER($K265),N($K265)&lt;&gt;0),1/$K265,""),""))))</f>
        <v/>
      </c>
      <c r="AI265" s="55" t="str">
        <f>IF($AM265=0,"",IF(OR(NOT(ISNUMBER($H265)),NOT(ISNUMBER($K265)),NOT(ISNUMBER($G265)),$AG265="",$AH265=""),"",ROUND(($K265-$H265)*IF($F265="Short",-1,1)*$G265*$AG265*$AH265,6)))</f>
        <v/>
      </c>
      <c r="AJ265" s="55" t="str">
        <f>IF($AM265=0,"",IF(INDEX(Settings!$E$14:$E$18,$BF265)="% of notional",IF(OR($AG265="",NOT(ISNUMBER($H265)),NOT(ISNUMBER($G265))),"",ROUND(ABS($H265*$G265*$AG265*N($AH265))*IF($L265="Limit",N(INDEX(Settings!$G$14:$G$18,$BF265)),N(INDEX(Settings!$H$14:$H$18,$BF265)))+IF(ISNUMBER($K265),ABS($K265*$G265*$AG265*N($AH265))*IF($M265="Target",N(INDEX(Settings!$G$14:$G$18,$BF265)),N(INDEX(Settings!$H$14:$H$18,$BF265))),0),6)),IF(NOT(ISNUMBER($G265)),"",ROUND(ABS($G265)*2*IF(AND($BE265&gt;0,ISNUMBER(INDEX(Instruments!$G$6:$G$205,MAX(1,$BE265)))),INDEX(Instruments!$G$6:$G$205,MAX(1,$BE265)),N(INDEX(Settings!$F$14:$F$18,$BF265))),6))))</f>
        <v/>
      </c>
      <c r="AK265" s="55" t="str">
        <f>IF($AM265=0,"",IF(ISNUMBER($O265),$O265,$AI265))</f>
        <v/>
      </c>
      <c r="AL265" s="55" t="str">
        <f>IF($AM265=0,"",IF(ISNUMBER($P265),$P265,N($AJ265)))</f>
        <v/>
      </c>
      <c r="AM265" s="56">
        <f>IF(AND($A265&lt;&gt;"",$E265&lt;&gt;"",OR(AND(ISNUMBER($G265),ISNUMBER($H265),ISNUMBER($K265)),ISNUMBER($O265))),1,0)</f>
        <v>0</v>
      </c>
      <c r="AN265" s="57" t="str">
        <f>IF($A265="","",$A265-WEEKDAY($A265,3))</f>
        <v/>
      </c>
      <c r="AO265" s="56" t="str">
        <f>IF($A265="","",WEEKDAY($A265,2))</f>
        <v/>
      </c>
      <c r="AP265" s="55" t="str">
        <f>IF(OR($AM265=0,$C265=""),"",IFERROR(N(INDEX(Accounts!$E$7:$E$16,MATCH($C265,Accounts!$B$7:$B$16,0))),0)+SUMIFS($Q$6:$Q265,$C$6:$C265,$C265))</f>
        <v/>
      </c>
      <c r="AQ265" s="55" t="str">
        <f>IF(OR($AM265=0,$C265=""),"",SUMIFS($Q$6:$Q$1005,$C$6:$C$1005,$C265,$A$6:$A$1005,$A265))</f>
        <v/>
      </c>
      <c r="AR265" s="55" t="str">
        <f>IF(OR($AM265=0,$C265=""),"",IFERROR(N(INDEX(Accounts!$E$7:$E$16,MATCH($C265,Accounts!$B$7:$B$16,0))),0)+SUMIFS($Q$6:$Q$1005,$C$6:$C$1005,$C265,$A$6:$A$1005,"&lt;="&amp;$A265))</f>
        <v/>
      </c>
      <c r="AS265" s="56">
        <f>IF(OR($AM265=0,$Q265=""),0,IF(AND($A265&gt;=Lists!$W$6,$A265&lt;=Lists!$W$7,OR(Dashboard!$D$6="All accounts",$C265=Dashboard!$D$6),OR(Dashboard!$D$7="All markets",$AF265=Dashboard!$D$7)),1,0))</f>
        <v>0</v>
      </c>
      <c r="AT265" s="55">
        <f>IF($AS265=1,N(AT264)+$Q265,N(AT264))</f>
        <v>1187.10688</v>
      </c>
      <c r="AU265" s="55">
        <f>MAX(N(AU264),$AT265)</f>
        <v>1187.10688</v>
      </c>
      <c r="AV265" s="55">
        <f>$AT265-$AU265</f>
        <v>0</v>
      </c>
      <c r="AW265" s="56">
        <f>IF($AS265=1,IF($S265="Win",N(AW264)+1,IF($S265="Loss",0,N(AW264))),N(AW264))</f>
        <v>5</v>
      </c>
      <c r="AX265" s="56">
        <f>IF($AS265=1,IF($S265="Loss",N(AX264)+1,IF($S265="Win",0,N(AX264))),N(AX264))</f>
        <v>0</v>
      </c>
      <c r="AY265" s="56" t="str">
        <f>IF($AS265=1,COUNTIF($AS$6:$AS265,1),"")</f>
        <v/>
      </c>
      <c r="AZ265" s="56">
        <f>MIN(259,N(Lists!$W$8))</f>
        <v>28</v>
      </c>
      <c r="BA265" s="56">
        <f>IF($AS265=1,IF(COUNTIFS($A$6:$A265,$A265,$AS$6:$AS265,1)=1,1,0),0)</f>
        <v>0</v>
      </c>
      <c r="BB265" s="55" t="str">
        <f>IF($BA265=1,SUMIFS($Q$6:$Q$1005,$A$6:$A$1005,$A265,$AS$6:$AS$1005,1),"")</f>
        <v/>
      </c>
      <c r="BC265" s="56">
        <f>IF(ISNUMBER($R265),1,0)</f>
        <v>0</v>
      </c>
      <c r="BD265" s="55" t="str">
        <f>IF(ISNUMBER($U265),$U265*$V265,"")</f>
        <v/>
      </c>
      <c r="BE265" s="56" t="str">
        <f>IF($AM265=0,"",IFERROR(MATCH($AF265&amp;"|"&amp;UPPER(TRIM($E265)),Lists!$A$6:$A$205,0),0))</f>
        <v/>
      </c>
      <c r="BF265" s="56" t="str">
        <f>IF($AM265=0,"",IFERROR(MATCH($AF265,Settings!$B$14:$B$18,0),IFERROR(MATCH(Settings!$C$6,Settings!$B$14:$B$18,0),1)))</f>
        <v/>
      </c>
      <c r="BG265" s="58" t="str">
        <f>IF($AM265=0,"",IF(NOT(ISNUMBER($I265)),"No stop; ","")&amp;IF(AND(ISNUMBER($H265),ISNUMBER($I265)),IF(OR(AND($F265&lt;&gt;"Short",$I265&gt;=$H265),AND($F265="Short",$I265&lt;=$H265)),"Stop on wrong side; ",""),"")&amp;IF($F265="","No direction; ","")&amp;IF(AND(ISNUMBER(Settings!$C$22),ISNUMBER($V265)),IF($V265&gt;Settings!$C$22,"Risk over max $; ",""),"")&amp;IF(AND(ISNUMBER(Settings!$C$23),ISNUMBER($V265),ISNUMBER($AP265),IFERROR(N(INDEX(Accounts!$E$7:$E$16,MATCH($C265,Accounts!$B$7:$B$16,0))),0)&gt;0),IF($V265&gt;Settings!$C$23*($AP265-N($Q265)),"Risk over max %; ",""),"")&amp;IF(AND(ISNUMBER(Settings!$C$24),ISNUMBER($N265)),IF($N265&gt;Settings!$C$24,"Leverage over max; ",""),"")&amp;IF(AND(ISNUMBER(Settings!$C$27),ISNUMBER($T265)),IF($T265&lt;Settings!$C$27,"R:R below min; ",""),"")&amp;IF(ISNUMBER(Settings!$C$25),IF(COUNTIFS($A$6:$A265,$A265,$AM$6:$AM265,1)&gt;Settings!$C$25,"Over max trades/day; ",""),"")&amp;IF(ISNUMBER(Settings!$C$26),IF(SUMIFS($Q$5:$Q264,$A$5:$A264,$A265)&lt;=-Settings!$C$26,"Traded after daily max loss; ",""),"")&amp;IF(AND($AG265="",NOT(ISNUMBER($O265))),"Symbol not in Instruments; ","")&amp;IF(AND($AH265="",NOT(ISNUMBER($O265))),"Forex cross: type Gross P&amp;L; ",""))</f>
        <v/>
      </c>
      <c r="BH265" s="56">
        <f>IF(ISNUMBER($Q265),1,0)</f>
        <v>0</v>
      </c>
      <c r="BI265" s="56">
        <f>IF($Y265="",0,1)</f>
        <v>0</v>
      </c>
      <c r="BJ265" s="56">
        <f>IF($AB265="",0,1)</f>
        <v>0</v>
      </c>
      <c r="BK265" s="56">
        <f>IF(AND($BH265=1,$W265&lt;&gt;"OK"),1,0)</f>
        <v>0</v>
      </c>
      <c r="BL265" s="55">
        <f>IF(N($AZ265)=0,0,IFERROR(INDEX($AT$6:$AT$1005,MATCH($AZ265,$AY$6:$AY$1005,0)),0))</f>
        <v>1187.10688</v>
      </c>
      <c r="BM265" s="56">
        <f>IF(ISNUMBER(SEARCH("daily max loss",$BG265)),1,0)</f>
        <v>0</v>
      </c>
    </row>
    <row r="266" ht="18" customHeight="1">
      <c r="A266" s="38" t="n"/>
      <c r="B266" s="39" t="n"/>
      <c r="C266" s="40" t="n"/>
      <c r="D266" s="41" t="n"/>
      <c r="E266" s="41" t="n"/>
      <c r="F266" s="41" t="n"/>
      <c r="G266" s="41" t="n"/>
      <c r="H266" s="42" t="n"/>
      <c r="I266" s="42" t="n"/>
      <c r="J266" s="42" t="n"/>
      <c r="K266" s="42" t="n"/>
      <c r="L266" s="41" t="n"/>
      <c r="M266" s="41" t="n"/>
      <c r="N266" s="41" t="n"/>
      <c r="O266" s="43" t="n"/>
      <c r="P266" s="43" t="n"/>
      <c r="Q266" s="44" t="str">
        <f>IF($AM266=0,"",IF(ISNUMBER($AK266),$AK266-N($AL266),""))</f>
        <v/>
      </c>
      <c r="R266" s="45" t="str">
        <f>IF(OR($Q266="",NOT(ISNUMBER($V266))),"",$AK266/$V266)</f>
        <v/>
      </c>
      <c r="S266" s="46" t="str">
        <f>IF($Q266="","",IF(AND(ISNUMBER($R266),ABS(N($R266))&lt;N(Settings!$C$8)),"Scratch",IF($Q266&gt;0,"Win",IF($Q266&lt;0,"Loss","Scratch"))))</f>
        <v/>
      </c>
      <c r="T266" s="47" t="str">
        <f>IF(OR($AM266=0,NOT(ISNUMBER($H266)),NOT(ISNUMBER($I266)),NOT(ISNUMBER($J266))),"",IF($H266=$I266,"",ROUND(ABS($J266-$H266)/ABS($H266-$I266),6)))</f>
        <v/>
      </c>
      <c r="U266" s="48" t="str">
        <f>IF(OR($S266&lt;&gt;"Win",NOT(ISNUMBER($T266)),NOT(ISNUMBER($R266))),"",MAX(0,$T266-$R266))</f>
        <v/>
      </c>
      <c r="V266" s="49" t="str">
        <f>IF(OR($AM266=0,NOT(ISNUMBER($H266)),NOT(ISNUMBER($I266)),NOT(ISNUMBER($G266))),"",IF(OR($AG266="",$AH266=""),"",IF(ROUND(ABS($H266-$I266)*ABS($G266)*$AG266*$AH266,6)=0,"",ROUND(ABS($H266-$I266)*ABS($G266)*$AG266*$AH266,6))))</f>
        <v/>
      </c>
      <c r="W266" s="50" t="str">
        <f>IF($AM266=0,"",IF($BG266="","OK",LEFT($BG266,LEN($BG266)-2)))</f>
        <v/>
      </c>
      <c r="X266" s="41" t="n"/>
      <c r="Y266" s="40" t="n"/>
      <c r="Z266" s="41" t="n"/>
      <c r="AA266" s="41" t="n"/>
      <c r="AB266" s="40" t="n"/>
      <c r="AC266" s="51" t="n"/>
      <c r="AD266" s="51" t="n"/>
      <c r="AE266" s="40" t="n"/>
      <c r="AF266" s="52" t="str">
        <f>IF($AM266=0,"",IF($D266&lt;&gt;"",$D266,IF(IFERROR(INDEX(Accounts!$C$7:$C$16,MATCH($C266,Accounts!$B$7:$B$16,0))&amp;"","")&lt;&gt;"",INDEX(Accounts!$C$7:$C$16,MATCH($C266,Accounts!$B$7:$B$16,0)),Settings!$C$6)))</f>
        <v/>
      </c>
      <c r="AG266" s="53" t="str">
        <f>IF($AM266=0,"",IF(AND($BE266&gt;0,N(INDEX(Instruments!$D$6:$D$205,MAX(1,$BE266)))&gt;0),INDEX(Instruments!$D$6:$D$205,MAX(1,$BE266)),IF(N(INDEX(Settings!$D$14:$D$18,$BF266))&gt;0,INDEX(Settings!$D$14:$D$18,$BF266),"")))</f>
        <v/>
      </c>
      <c r="AH266" s="54" t="str">
        <f>IF($AM266=0,"",IF($AF266&lt;&gt;"Forex",1,IF(MID(UPPER(SUBSTITUTE(TRIM($E266),"/","")),4,3)=UPPER(TRIM(Settings!$C$7)),1,IF(LEFT(UPPER(SUBSTITUTE(TRIM($E266),"/","")),3)=UPPER(TRIM(Settings!$C$7)),IF(AND(ISNUMBER($K266),N($K266)&lt;&gt;0),1/$K266,""),""))))</f>
        <v/>
      </c>
      <c r="AI266" s="55" t="str">
        <f>IF($AM266=0,"",IF(OR(NOT(ISNUMBER($H266)),NOT(ISNUMBER($K266)),NOT(ISNUMBER($G266)),$AG266="",$AH266=""),"",ROUND(($K266-$H266)*IF($F266="Short",-1,1)*$G266*$AG266*$AH266,6)))</f>
        <v/>
      </c>
      <c r="AJ266" s="55" t="str">
        <f>IF($AM266=0,"",IF(INDEX(Settings!$E$14:$E$18,$BF266)="% of notional",IF(OR($AG266="",NOT(ISNUMBER($H266)),NOT(ISNUMBER($G266))),"",ROUND(ABS($H266*$G266*$AG266*N($AH266))*IF($L266="Limit",N(INDEX(Settings!$G$14:$G$18,$BF266)),N(INDEX(Settings!$H$14:$H$18,$BF266)))+IF(ISNUMBER($K266),ABS($K266*$G266*$AG266*N($AH266))*IF($M266="Target",N(INDEX(Settings!$G$14:$G$18,$BF266)),N(INDEX(Settings!$H$14:$H$18,$BF266))),0),6)),IF(NOT(ISNUMBER($G266)),"",ROUND(ABS($G266)*2*IF(AND($BE266&gt;0,ISNUMBER(INDEX(Instruments!$G$6:$G$205,MAX(1,$BE266)))),INDEX(Instruments!$G$6:$G$205,MAX(1,$BE266)),N(INDEX(Settings!$F$14:$F$18,$BF266))),6))))</f>
        <v/>
      </c>
      <c r="AK266" s="55" t="str">
        <f>IF($AM266=0,"",IF(ISNUMBER($O266),$O266,$AI266))</f>
        <v/>
      </c>
      <c r="AL266" s="55" t="str">
        <f>IF($AM266=0,"",IF(ISNUMBER($P266),$P266,N($AJ266)))</f>
        <v/>
      </c>
      <c r="AM266" s="56">
        <f>IF(AND($A266&lt;&gt;"",$E266&lt;&gt;"",OR(AND(ISNUMBER($G266),ISNUMBER($H266),ISNUMBER($K266)),ISNUMBER($O266))),1,0)</f>
        <v>0</v>
      </c>
      <c r="AN266" s="57" t="str">
        <f>IF($A266="","",$A266-WEEKDAY($A266,3))</f>
        <v/>
      </c>
      <c r="AO266" s="56" t="str">
        <f>IF($A266="","",WEEKDAY($A266,2))</f>
        <v/>
      </c>
      <c r="AP266" s="55" t="str">
        <f>IF(OR($AM266=0,$C266=""),"",IFERROR(N(INDEX(Accounts!$E$7:$E$16,MATCH($C266,Accounts!$B$7:$B$16,0))),0)+SUMIFS($Q$6:$Q266,$C$6:$C266,$C266))</f>
        <v/>
      </c>
      <c r="AQ266" s="55" t="str">
        <f>IF(OR($AM266=0,$C266=""),"",SUMIFS($Q$6:$Q$1005,$C$6:$C$1005,$C266,$A$6:$A$1005,$A266))</f>
        <v/>
      </c>
      <c r="AR266" s="55" t="str">
        <f>IF(OR($AM266=0,$C266=""),"",IFERROR(N(INDEX(Accounts!$E$7:$E$16,MATCH($C266,Accounts!$B$7:$B$16,0))),0)+SUMIFS($Q$6:$Q$1005,$C$6:$C$1005,$C266,$A$6:$A$1005,"&lt;="&amp;$A266))</f>
        <v/>
      </c>
      <c r="AS266" s="56">
        <f>IF(OR($AM266=0,$Q266=""),0,IF(AND($A266&gt;=Lists!$W$6,$A266&lt;=Lists!$W$7,OR(Dashboard!$D$6="All accounts",$C266=Dashboard!$D$6),OR(Dashboard!$D$7="All markets",$AF266=Dashboard!$D$7)),1,0))</f>
        <v>0</v>
      </c>
      <c r="AT266" s="55">
        <f>IF($AS266=1,N(AT265)+$Q266,N(AT265))</f>
        <v>1187.10688</v>
      </c>
      <c r="AU266" s="55">
        <f>MAX(N(AU265),$AT266)</f>
        <v>1187.10688</v>
      </c>
      <c r="AV266" s="55">
        <f>$AT266-$AU266</f>
        <v>0</v>
      </c>
      <c r="AW266" s="56">
        <f>IF($AS266=1,IF($S266="Win",N(AW265)+1,IF($S266="Loss",0,N(AW265))),N(AW265))</f>
        <v>5</v>
      </c>
      <c r="AX266" s="56">
        <f>IF($AS266=1,IF($S266="Loss",N(AX265)+1,IF($S266="Win",0,N(AX265))),N(AX265))</f>
        <v>0</v>
      </c>
      <c r="AY266" s="56" t="str">
        <f>IF($AS266=1,COUNTIF($AS$6:$AS266,1),"")</f>
        <v/>
      </c>
      <c r="AZ266" s="56">
        <f>MIN(260,N(Lists!$W$8))</f>
        <v>28</v>
      </c>
      <c r="BA266" s="56">
        <f>IF($AS266=1,IF(COUNTIFS($A$6:$A266,$A266,$AS$6:$AS266,1)=1,1,0),0)</f>
        <v>0</v>
      </c>
      <c r="BB266" s="55" t="str">
        <f>IF($BA266=1,SUMIFS($Q$6:$Q$1005,$A$6:$A$1005,$A266,$AS$6:$AS$1005,1),"")</f>
        <v/>
      </c>
      <c r="BC266" s="56">
        <f>IF(ISNUMBER($R266),1,0)</f>
        <v>0</v>
      </c>
      <c r="BD266" s="55" t="str">
        <f>IF(ISNUMBER($U266),$U266*$V266,"")</f>
        <v/>
      </c>
      <c r="BE266" s="56" t="str">
        <f>IF($AM266=0,"",IFERROR(MATCH($AF266&amp;"|"&amp;UPPER(TRIM($E266)),Lists!$A$6:$A$205,0),0))</f>
        <v/>
      </c>
      <c r="BF266" s="56" t="str">
        <f>IF($AM266=0,"",IFERROR(MATCH($AF266,Settings!$B$14:$B$18,0),IFERROR(MATCH(Settings!$C$6,Settings!$B$14:$B$18,0),1)))</f>
        <v/>
      </c>
      <c r="BG266" s="58" t="str">
        <f>IF($AM266=0,"",IF(NOT(ISNUMBER($I266)),"No stop; ","")&amp;IF(AND(ISNUMBER($H266),ISNUMBER($I266)),IF(OR(AND($F266&lt;&gt;"Short",$I266&gt;=$H266),AND($F266="Short",$I266&lt;=$H266)),"Stop on wrong side; ",""),"")&amp;IF($F266="","No direction; ","")&amp;IF(AND(ISNUMBER(Settings!$C$22),ISNUMBER($V266)),IF($V266&gt;Settings!$C$22,"Risk over max $; ",""),"")&amp;IF(AND(ISNUMBER(Settings!$C$23),ISNUMBER($V266),ISNUMBER($AP266),IFERROR(N(INDEX(Accounts!$E$7:$E$16,MATCH($C266,Accounts!$B$7:$B$16,0))),0)&gt;0),IF($V266&gt;Settings!$C$23*($AP266-N($Q266)),"Risk over max %; ",""),"")&amp;IF(AND(ISNUMBER(Settings!$C$24),ISNUMBER($N266)),IF($N266&gt;Settings!$C$24,"Leverage over max; ",""),"")&amp;IF(AND(ISNUMBER(Settings!$C$27),ISNUMBER($T266)),IF($T266&lt;Settings!$C$27,"R:R below min; ",""),"")&amp;IF(ISNUMBER(Settings!$C$25),IF(COUNTIFS($A$6:$A266,$A266,$AM$6:$AM266,1)&gt;Settings!$C$25,"Over max trades/day; ",""),"")&amp;IF(ISNUMBER(Settings!$C$26),IF(SUMIFS($Q$5:$Q265,$A$5:$A265,$A266)&lt;=-Settings!$C$26,"Traded after daily max loss; ",""),"")&amp;IF(AND($AG266="",NOT(ISNUMBER($O266))),"Symbol not in Instruments; ","")&amp;IF(AND($AH266="",NOT(ISNUMBER($O266))),"Forex cross: type Gross P&amp;L; ",""))</f>
        <v/>
      </c>
      <c r="BH266" s="56">
        <f>IF(ISNUMBER($Q266),1,0)</f>
        <v>0</v>
      </c>
      <c r="BI266" s="56">
        <f>IF($Y266="",0,1)</f>
        <v>0</v>
      </c>
      <c r="BJ266" s="56">
        <f>IF($AB266="",0,1)</f>
        <v>0</v>
      </c>
      <c r="BK266" s="56">
        <f>IF(AND($BH266=1,$W266&lt;&gt;"OK"),1,0)</f>
        <v>0</v>
      </c>
      <c r="BL266" s="55">
        <f>IF(N($AZ266)=0,0,IFERROR(INDEX($AT$6:$AT$1005,MATCH($AZ266,$AY$6:$AY$1005,0)),0))</f>
        <v>1187.10688</v>
      </c>
      <c r="BM266" s="56">
        <f>IF(ISNUMBER(SEARCH("daily max loss",$BG266)),1,0)</f>
        <v>0</v>
      </c>
    </row>
    <row r="267" ht="18" customHeight="1">
      <c r="A267" s="38" t="n"/>
      <c r="B267" s="39" t="n"/>
      <c r="C267" s="40" t="n"/>
      <c r="D267" s="41" t="n"/>
      <c r="E267" s="41" t="n"/>
      <c r="F267" s="41" t="n"/>
      <c r="G267" s="41" t="n"/>
      <c r="H267" s="42" t="n"/>
      <c r="I267" s="42" t="n"/>
      <c r="J267" s="42" t="n"/>
      <c r="K267" s="42" t="n"/>
      <c r="L267" s="41" t="n"/>
      <c r="M267" s="41" t="n"/>
      <c r="N267" s="41" t="n"/>
      <c r="O267" s="43" t="n"/>
      <c r="P267" s="43" t="n"/>
      <c r="Q267" s="44" t="str">
        <f>IF($AM267=0,"",IF(ISNUMBER($AK267),$AK267-N($AL267),""))</f>
        <v/>
      </c>
      <c r="R267" s="45" t="str">
        <f>IF(OR($Q267="",NOT(ISNUMBER($V267))),"",$AK267/$V267)</f>
        <v/>
      </c>
      <c r="S267" s="46" t="str">
        <f>IF($Q267="","",IF(AND(ISNUMBER($R267),ABS(N($R267))&lt;N(Settings!$C$8)),"Scratch",IF($Q267&gt;0,"Win",IF($Q267&lt;0,"Loss","Scratch"))))</f>
        <v/>
      </c>
      <c r="T267" s="47" t="str">
        <f>IF(OR($AM267=0,NOT(ISNUMBER($H267)),NOT(ISNUMBER($I267)),NOT(ISNUMBER($J267))),"",IF($H267=$I267,"",ROUND(ABS($J267-$H267)/ABS($H267-$I267),6)))</f>
        <v/>
      </c>
      <c r="U267" s="48" t="str">
        <f>IF(OR($S267&lt;&gt;"Win",NOT(ISNUMBER($T267)),NOT(ISNUMBER($R267))),"",MAX(0,$T267-$R267))</f>
        <v/>
      </c>
      <c r="V267" s="49" t="str">
        <f>IF(OR($AM267=0,NOT(ISNUMBER($H267)),NOT(ISNUMBER($I267)),NOT(ISNUMBER($G267))),"",IF(OR($AG267="",$AH267=""),"",IF(ROUND(ABS($H267-$I267)*ABS($G267)*$AG267*$AH267,6)=0,"",ROUND(ABS($H267-$I267)*ABS($G267)*$AG267*$AH267,6))))</f>
        <v/>
      </c>
      <c r="W267" s="50" t="str">
        <f>IF($AM267=0,"",IF($BG267="","OK",LEFT($BG267,LEN($BG267)-2)))</f>
        <v/>
      </c>
      <c r="X267" s="41" t="n"/>
      <c r="Y267" s="40" t="n"/>
      <c r="Z267" s="41" t="n"/>
      <c r="AA267" s="41" t="n"/>
      <c r="AB267" s="40" t="n"/>
      <c r="AC267" s="51" t="n"/>
      <c r="AD267" s="51" t="n"/>
      <c r="AE267" s="40" t="n"/>
      <c r="AF267" s="52" t="str">
        <f>IF($AM267=0,"",IF($D267&lt;&gt;"",$D267,IF(IFERROR(INDEX(Accounts!$C$7:$C$16,MATCH($C267,Accounts!$B$7:$B$16,0))&amp;"","")&lt;&gt;"",INDEX(Accounts!$C$7:$C$16,MATCH($C267,Accounts!$B$7:$B$16,0)),Settings!$C$6)))</f>
        <v/>
      </c>
      <c r="AG267" s="53" t="str">
        <f>IF($AM267=0,"",IF(AND($BE267&gt;0,N(INDEX(Instruments!$D$6:$D$205,MAX(1,$BE267)))&gt;0),INDEX(Instruments!$D$6:$D$205,MAX(1,$BE267)),IF(N(INDEX(Settings!$D$14:$D$18,$BF267))&gt;0,INDEX(Settings!$D$14:$D$18,$BF267),"")))</f>
        <v/>
      </c>
      <c r="AH267" s="54" t="str">
        <f>IF($AM267=0,"",IF($AF267&lt;&gt;"Forex",1,IF(MID(UPPER(SUBSTITUTE(TRIM($E267),"/","")),4,3)=UPPER(TRIM(Settings!$C$7)),1,IF(LEFT(UPPER(SUBSTITUTE(TRIM($E267),"/","")),3)=UPPER(TRIM(Settings!$C$7)),IF(AND(ISNUMBER($K267),N($K267)&lt;&gt;0),1/$K267,""),""))))</f>
        <v/>
      </c>
      <c r="AI267" s="55" t="str">
        <f>IF($AM267=0,"",IF(OR(NOT(ISNUMBER($H267)),NOT(ISNUMBER($K267)),NOT(ISNUMBER($G267)),$AG267="",$AH267=""),"",ROUND(($K267-$H267)*IF($F267="Short",-1,1)*$G267*$AG267*$AH267,6)))</f>
        <v/>
      </c>
      <c r="AJ267" s="55" t="str">
        <f>IF($AM267=0,"",IF(INDEX(Settings!$E$14:$E$18,$BF267)="% of notional",IF(OR($AG267="",NOT(ISNUMBER($H267)),NOT(ISNUMBER($G267))),"",ROUND(ABS($H267*$G267*$AG267*N($AH267))*IF($L267="Limit",N(INDEX(Settings!$G$14:$G$18,$BF267)),N(INDEX(Settings!$H$14:$H$18,$BF267)))+IF(ISNUMBER($K267),ABS($K267*$G267*$AG267*N($AH267))*IF($M267="Target",N(INDEX(Settings!$G$14:$G$18,$BF267)),N(INDEX(Settings!$H$14:$H$18,$BF267))),0),6)),IF(NOT(ISNUMBER($G267)),"",ROUND(ABS($G267)*2*IF(AND($BE267&gt;0,ISNUMBER(INDEX(Instruments!$G$6:$G$205,MAX(1,$BE267)))),INDEX(Instruments!$G$6:$G$205,MAX(1,$BE267)),N(INDEX(Settings!$F$14:$F$18,$BF267))),6))))</f>
        <v/>
      </c>
      <c r="AK267" s="55" t="str">
        <f>IF($AM267=0,"",IF(ISNUMBER($O267),$O267,$AI267))</f>
        <v/>
      </c>
      <c r="AL267" s="55" t="str">
        <f>IF($AM267=0,"",IF(ISNUMBER($P267),$P267,N($AJ267)))</f>
        <v/>
      </c>
      <c r="AM267" s="56">
        <f>IF(AND($A267&lt;&gt;"",$E267&lt;&gt;"",OR(AND(ISNUMBER($G267),ISNUMBER($H267),ISNUMBER($K267)),ISNUMBER($O267))),1,0)</f>
        <v>0</v>
      </c>
      <c r="AN267" s="57" t="str">
        <f>IF($A267="","",$A267-WEEKDAY($A267,3))</f>
        <v/>
      </c>
      <c r="AO267" s="56" t="str">
        <f>IF($A267="","",WEEKDAY($A267,2))</f>
        <v/>
      </c>
      <c r="AP267" s="55" t="str">
        <f>IF(OR($AM267=0,$C267=""),"",IFERROR(N(INDEX(Accounts!$E$7:$E$16,MATCH($C267,Accounts!$B$7:$B$16,0))),0)+SUMIFS($Q$6:$Q267,$C$6:$C267,$C267))</f>
        <v/>
      </c>
      <c r="AQ267" s="55" t="str">
        <f>IF(OR($AM267=0,$C267=""),"",SUMIFS($Q$6:$Q$1005,$C$6:$C$1005,$C267,$A$6:$A$1005,$A267))</f>
        <v/>
      </c>
      <c r="AR267" s="55" t="str">
        <f>IF(OR($AM267=0,$C267=""),"",IFERROR(N(INDEX(Accounts!$E$7:$E$16,MATCH($C267,Accounts!$B$7:$B$16,0))),0)+SUMIFS($Q$6:$Q$1005,$C$6:$C$1005,$C267,$A$6:$A$1005,"&lt;="&amp;$A267))</f>
        <v/>
      </c>
      <c r="AS267" s="56">
        <f>IF(OR($AM267=0,$Q267=""),0,IF(AND($A267&gt;=Lists!$W$6,$A267&lt;=Lists!$W$7,OR(Dashboard!$D$6="All accounts",$C267=Dashboard!$D$6),OR(Dashboard!$D$7="All markets",$AF267=Dashboard!$D$7)),1,0))</f>
        <v>0</v>
      </c>
      <c r="AT267" s="55">
        <f>IF($AS267=1,N(AT266)+$Q267,N(AT266))</f>
        <v>1187.10688</v>
      </c>
      <c r="AU267" s="55">
        <f>MAX(N(AU266),$AT267)</f>
        <v>1187.10688</v>
      </c>
      <c r="AV267" s="55">
        <f>$AT267-$AU267</f>
        <v>0</v>
      </c>
      <c r="AW267" s="56">
        <f>IF($AS267=1,IF($S267="Win",N(AW266)+1,IF($S267="Loss",0,N(AW266))),N(AW266))</f>
        <v>5</v>
      </c>
      <c r="AX267" s="56">
        <f>IF($AS267=1,IF($S267="Loss",N(AX266)+1,IF($S267="Win",0,N(AX266))),N(AX266))</f>
        <v>0</v>
      </c>
      <c r="AY267" s="56" t="str">
        <f>IF($AS267=1,COUNTIF($AS$6:$AS267,1),"")</f>
        <v/>
      </c>
      <c r="AZ267" s="56">
        <f>MIN(261,N(Lists!$W$8))</f>
        <v>28</v>
      </c>
      <c r="BA267" s="56">
        <f>IF($AS267=1,IF(COUNTIFS($A$6:$A267,$A267,$AS$6:$AS267,1)=1,1,0),0)</f>
        <v>0</v>
      </c>
      <c r="BB267" s="55" t="str">
        <f>IF($BA267=1,SUMIFS($Q$6:$Q$1005,$A$6:$A$1005,$A267,$AS$6:$AS$1005,1),"")</f>
        <v/>
      </c>
      <c r="BC267" s="56">
        <f>IF(ISNUMBER($R267),1,0)</f>
        <v>0</v>
      </c>
      <c r="BD267" s="55" t="str">
        <f>IF(ISNUMBER($U267),$U267*$V267,"")</f>
        <v/>
      </c>
      <c r="BE267" s="56" t="str">
        <f>IF($AM267=0,"",IFERROR(MATCH($AF267&amp;"|"&amp;UPPER(TRIM($E267)),Lists!$A$6:$A$205,0),0))</f>
        <v/>
      </c>
      <c r="BF267" s="56" t="str">
        <f>IF($AM267=0,"",IFERROR(MATCH($AF267,Settings!$B$14:$B$18,0),IFERROR(MATCH(Settings!$C$6,Settings!$B$14:$B$18,0),1)))</f>
        <v/>
      </c>
      <c r="BG267" s="58" t="str">
        <f>IF($AM267=0,"",IF(NOT(ISNUMBER($I267)),"No stop; ","")&amp;IF(AND(ISNUMBER($H267),ISNUMBER($I267)),IF(OR(AND($F267&lt;&gt;"Short",$I267&gt;=$H267),AND($F267="Short",$I267&lt;=$H267)),"Stop on wrong side; ",""),"")&amp;IF($F267="","No direction; ","")&amp;IF(AND(ISNUMBER(Settings!$C$22),ISNUMBER($V267)),IF($V267&gt;Settings!$C$22,"Risk over max $; ",""),"")&amp;IF(AND(ISNUMBER(Settings!$C$23),ISNUMBER($V267),ISNUMBER($AP267),IFERROR(N(INDEX(Accounts!$E$7:$E$16,MATCH($C267,Accounts!$B$7:$B$16,0))),0)&gt;0),IF($V267&gt;Settings!$C$23*($AP267-N($Q267)),"Risk over max %; ",""),"")&amp;IF(AND(ISNUMBER(Settings!$C$24),ISNUMBER($N267)),IF($N267&gt;Settings!$C$24,"Leverage over max; ",""),"")&amp;IF(AND(ISNUMBER(Settings!$C$27),ISNUMBER($T267)),IF($T267&lt;Settings!$C$27,"R:R below min; ",""),"")&amp;IF(ISNUMBER(Settings!$C$25),IF(COUNTIFS($A$6:$A267,$A267,$AM$6:$AM267,1)&gt;Settings!$C$25,"Over max trades/day; ",""),"")&amp;IF(ISNUMBER(Settings!$C$26),IF(SUMIFS($Q$5:$Q266,$A$5:$A266,$A267)&lt;=-Settings!$C$26,"Traded after daily max loss; ",""),"")&amp;IF(AND($AG267="",NOT(ISNUMBER($O267))),"Symbol not in Instruments; ","")&amp;IF(AND($AH267="",NOT(ISNUMBER($O267))),"Forex cross: type Gross P&amp;L; ",""))</f>
        <v/>
      </c>
      <c r="BH267" s="56">
        <f>IF(ISNUMBER($Q267),1,0)</f>
        <v>0</v>
      </c>
      <c r="BI267" s="56">
        <f>IF($Y267="",0,1)</f>
        <v>0</v>
      </c>
      <c r="BJ267" s="56">
        <f>IF($AB267="",0,1)</f>
        <v>0</v>
      </c>
      <c r="BK267" s="56">
        <f>IF(AND($BH267=1,$W267&lt;&gt;"OK"),1,0)</f>
        <v>0</v>
      </c>
      <c r="BL267" s="55">
        <f>IF(N($AZ267)=0,0,IFERROR(INDEX($AT$6:$AT$1005,MATCH($AZ267,$AY$6:$AY$1005,0)),0))</f>
        <v>1187.10688</v>
      </c>
      <c r="BM267" s="56">
        <f>IF(ISNUMBER(SEARCH("daily max loss",$BG267)),1,0)</f>
        <v>0</v>
      </c>
    </row>
    <row r="268" ht="18" customHeight="1">
      <c r="A268" s="38" t="n"/>
      <c r="B268" s="39" t="n"/>
      <c r="C268" s="40" t="n"/>
      <c r="D268" s="41" t="n"/>
      <c r="E268" s="41" t="n"/>
      <c r="F268" s="41" t="n"/>
      <c r="G268" s="41" t="n"/>
      <c r="H268" s="42" t="n"/>
      <c r="I268" s="42" t="n"/>
      <c r="J268" s="42" t="n"/>
      <c r="K268" s="42" t="n"/>
      <c r="L268" s="41" t="n"/>
      <c r="M268" s="41" t="n"/>
      <c r="N268" s="41" t="n"/>
      <c r="O268" s="43" t="n"/>
      <c r="P268" s="43" t="n"/>
      <c r="Q268" s="44" t="str">
        <f>IF($AM268=0,"",IF(ISNUMBER($AK268),$AK268-N($AL268),""))</f>
        <v/>
      </c>
      <c r="R268" s="45" t="str">
        <f>IF(OR($Q268="",NOT(ISNUMBER($V268))),"",$AK268/$V268)</f>
        <v/>
      </c>
      <c r="S268" s="46" t="str">
        <f>IF($Q268="","",IF(AND(ISNUMBER($R268),ABS(N($R268))&lt;N(Settings!$C$8)),"Scratch",IF($Q268&gt;0,"Win",IF($Q268&lt;0,"Loss","Scratch"))))</f>
        <v/>
      </c>
      <c r="T268" s="47" t="str">
        <f>IF(OR($AM268=0,NOT(ISNUMBER($H268)),NOT(ISNUMBER($I268)),NOT(ISNUMBER($J268))),"",IF($H268=$I268,"",ROUND(ABS($J268-$H268)/ABS($H268-$I268),6)))</f>
        <v/>
      </c>
      <c r="U268" s="48" t="str">
        <f>IF(OR($S268&lt;&gt;"Win",NOT(ISNUMBER($T268)),NOT(ISNUMBER($R268))),"",MAX(0,$T268-$R268))</f>
        <v/>
      </c>
      <c r="V268" s="49" t="str">
        <f>IF(OR($AM268=0,NOT(ISNUMBER($H268)),NOT(ISNUMBER($I268)),NOT(ISNUMBER($G268))),"",IF(OR($AG268="",$AH268=""),"",IF(ROUND(ABS($H268-$I268)*ABS($G268)*$AG268*$AH268,6)=0,"",ROUND(ABS($H268-$I268)*ABS($G268)*$AG268*$AH268,6))))</f>
        <v/>
      </c>
      <c r="W268" s="50" t="str">
        <f>IF($AM268=0,"",IF($BG268="","OK",LEFT($BG268,LEN($BG268)-2)))</f>
        <v/>
      </c>
      <c r="X268" s="41" t="n"/>
      <c r="Y268" s="40" t="n"/>
      <c r="Z268" s="41" t="n"/>
      <c r="AA268" s="41" t="n"/>
      <c r="AB268" s="40" t="n"/>
      <c r="AC268" s="51" t="n"/>
      <c r="AD268" s="51" t="n"/>
      <c r="AE268" s="40" t="n"/>
      <c r="AF268" s="52" t="str">
        <f>IF($AM268=0,"",IF($D268&lt;&gt;"",$D268,IF(IFERROR(INDEX(Accounts!$C$7:$C$16,MATCH($C268,Accounts!$B$7:$B$16,0))&amp;"","")&lt;&gt;"",INDEX(Accounts!$C$7:$C$16,MATCH($C268,Accounts!$B$7:$B$16,0)),Settings!$C$6)))</f>
        <v/>
      </c>
      <c r="AG268" s="53" t="str">
        <f>IF($AM268=0,"",IF(AND($BE268&gt;0,N(INDEX(Instruments!$D$6:$D$205,MAX(1,$BE268)))&gt;0),INDEX(Instruments!$D$6:$D$205,MAX(1,$BE268)),IF(N(INDEX(Settings!$D$14:$D$18,$BF268))&gt;0,INDEX(Settings!$D$14:$D$18,$BF268),"")))</f>
        <v/>
      </c>
      <c r="AH268" s="54" t="str">
        <f>IF($AM268=0,"",IF($AF268&lt;&gt;"Forex",1,IF(MID(UPPER(SUBSTITUTE(TRIM($E268),"/","")),4,3)=UPPER(TRIM(Settings!$C$7)),1,IF(LEFT(UPPER(SUBSTITUTE(TRIM($E268),"/","")),3)=UPPER(TRIM(Settings!$C$7)),IF(AND(ISNUMBER($K268),N($K268)&lt;&gt;0),1/$K268,""),""))))</f>
        <v/>
      </c>
      <c r="AI268" s="55" t="str">
        <f>IF($AM268=0,"",IF(OR(NOT(ISNUMBER($H268)),NOT(ISNUMBER($K268)),NOT(ISNUMBER($G268)),$AG268="",$AH268=""),"",ROUND(($K268-$H268)*IF($F268="Short",-1,1)*$G268*$AG268*$AH268,6)))</f>
        <v/>
      </c>
      <c r="AJ268" s="55" t="str">
        <f>IF($AM268=0,"",IF(INDEX(Settings!$E$14:$E$18,$BF268)="% of notional",IF(OR($AG268="",NOT(ISNUMBER($H268)),NOT(ISNUMBER($G268))),"",ROUND(ABS($H268*$G268*$AG268*N($AH268))*IF($L268="Limit",N(INDEX(Settings!$G$14:$G$18,$BF268)),N(INDEX(Settings!$H$14:$H$18,$BF268)))+IF(ISNUMBER($K268),ABS($K268*$G268*$AG268*N($AH268))*IF($M268="Target",N(INDEX(Settings!$G$14:$G$18,$BF268)),N(INDEX(Settings!$H$14:$H$18,$BF268))),0),6)),IF(NOT(ISNUMBER($G268)),"",ROUND(ABS($G268)*2*IF(AND($BE268&gt;0,ISNUMBER(INDEX(Instruments!$G$6:$G$205,MAX(1,$BE268)))),INDEX(Instruments!$G$6:$G$205,MAX(1,$BE268)),N(INDEX(Settings!$F$14:$F$18,$BF268))),6))))</f>
        <v/>
      </c>
      <c r="AK268" s="55" t="str">
        <f>IF($AM268=0,"",IF(ISNUMBER($O268),$O268,$AI268))</f>
        <v/>
      </c>
      <c r="AL268" s="55" t="str">
        <f>IF($AM268=0,"",IF(ISNUMBER($P268),$P268,N($AJ268)))</f>
        <v/>
      </c>
      <c r="AM268" s="56">
        <f>IF(AND($A268&lt;&gt;"",$E268&lt;&gt;"",OR(AND(ISNUMBER($G268),ISNUMBER($H268),ISNUMBER($K268)),ISNUMBER($O268))),1,0)</f>
        <v>0</v>
      </c>
      <c r="AN268" s="57" t="str">
        <f>IF($A268="","",$A268-WEEKDAY($A268,3))</f>
        <v/>
      </c>
      <c r="AO268" s="56" t="str">
        <f>IF($A268="","",WEEKDAY($A268,2))</f>
        <v/>
      </c>
      <c r="AP268" s="55" t="str">
        <f>IF(OR($AM268=0,$C268=""),"",IFERROR(N(INDEX(Accounts!$E$7:$E$16,MATCH($C268,Accounts!$B$7:$B$16,0))),0)+SUMIFS($Q$6:$Q268,$C$6:$C268,$C268))</f>
        <v/>
      </c>
      <c r="AQ268" s="55" t="str">
        <f>IF(OR($AM268=0,$C268=""),"",SUMIFS($Q$6:$Q$1005,$C$6:$C$1005,$C268,$A$6:$A$1005,$A268))</f>
        <v/>
      </c>
      <c r="AR268" s="55" t="str">
        <f>IF(OR($AM268=0,$C268=""),"",IFERROR(N(INDEX(Accounts!$E$7:$E$16,MATCH($C268,Accounts!$B$7:$B$16,0))),0)+SUMIFS($Q$6:$Q$1005,$C$6:$C$1005,$C268,$A$6:$A$1005,"&lt;="&amp;$A268))</f>
        <v/>
      </c>
      <c r="AS268" s="56">
        <f>IF(OR($AM268=0,$Q268=""),0,IF(AND($A268&gt;=Lists!$W$6,$A268&lt;=Lists!$W$7,OR(Dashboard!$D$6="All accounts",$C268=Dashboard!$D$6),OR(Dashboard!$D$7="All markets",$AF268=Dashboard!$D$7)),1,0))</f>
        <v>0</v>
      </c>
      <c r="AT268" s="55">
        <f>IF($AS268=1,N(AT267)+$Q268,N(AT267))</f>
        <v>1187.10688</v>
      </c>
      <c r="AU268" s="55">
        <f>MAX(N(AU267),$AT268)</f>
        <v>1187.10688</v>
      </c>
      <c r="AV268" s="55">
        <f>$AT268-$AU268</f>
        <v>0</v>
      </c>
      <c r="AW268" s="56">
        <f>IF($AS268=1,IF($S268="Win",N(AW267)+1,IF($S268="Loss",0,N(AW267))),N(AW267))</f>
        <v>5</v>
      </c>
      <c r="AX268" s="56">
        <f>IF($AS268=1,IF($S268="Loss",N(AX267)+1,IF($S268="Win",0,N(AX267))),N(AX267))</f>
        <v>0</v>
      </c>
      <c r="AY268" s="56" t="str">
        <f>IF($AS268=1,COUNTIF($AS$6:$AS268,1),"")</f>
        <v/>
      </c>
      <c r="AZ268" s="56">
        <f>MIN(262,N(Lists!$W$8))</f>
        <v>28</v>
      </c>
      <c r="BA268" s="56">
        <f>IF($AS268=1,IF(COUNTIFS($A$6:$A268,$A268,$AS$6:$AS268,1)=1,1,0),0)</f>
        <v>0</v>
      </c>
      <c r="BB268" s="55" t="str">
        <f>IF($BA268=1,SUMIFS($Q$6:$Q$1005,$A$6:$A$1005,$A268,$AS$6:$AS$1005,1),"")</f>
        <v/>
      </c>
      <c r="BC268" s="56">
        <f>IF(ISNUMBER($R268),1,0)</f>
        <v>0</v>
      </c>
      <c r="BD268" s="55" t="str">
        <f>IF(ISNUMBER($U268),$U268*$V268,"")</f>
        <v/>
      </c>
      <c r="BE268" s="56" t="str">
        <f>IF($AM268=0,"",IFERROR(MATCH($AF268&amp;"|"&amp;UPPER(TRIM($E268)),Lists!$A$6:$A$205,0),0))</f>
        <v/>
      </c>
      <c r="BF268" s="56" t="str">
        <f>IF($AM268=0,"",IFERROR(MATCH($AF268,Settings!$B$14:$B$18,0),IFERROR(MATCH(Settings!$C$6,Settings!$B$14:$B$18,0),1)))</f>
        <v/>
      </c>
      <c r="BG268" s="58" t="str">
        <f>IF($AM268=0,"",IF(NOT(ISNUMBER($I268)),"No stop; ","")&amp;IF(AND(ISNUMBER($H268),ISNUMBER($I268)),IF(OR(AND($F268&lt;&gt;"Short",$I268&gt;=$H268),AND($F268="Short",$I268&lt;=$H268)),"Stop on wrong side; ",""),"")&amp;IF($F268="","No direction; ","")&amp;IF(AND(ISNUMBER(Settings!$C$22),ISNUMBER($V268)),IF($V268&gt;Settings!$C$22,"Risk over max $; ",""),"")&amp;IF(AND(ISNUMBER(Settings!$C$23),ISNUMBER($V268),ISNUMBER($AP268),IFERROR(N(INDEX(Accounts!$E$7:$E$16,MATCH($C268,Accounts!$B$7:$B$16,0))),0)&gt;0),IF($V268&gt;Settings!$C$23*($AP268-N($Q268)),"Risk over max %; ",""),"")&amp;IF(AND(ISNUMBER(Settings!$C$24),ISNUMBER($N268)),IF($N268&gt;Settings!$C$24,"Leverage over max; ",""),"")&amp;IF(AND(ISNUMBER(Settings!$C$27),ISNUMBER($T268)),IF($T268&lt;Settings!$C$27,"R:R below min; ",""),"")&amp;IF(ISNUMBER(Settings!$C$25),IF(COUNTIFS($A$6:$A268,$A268,$AM$6:$AM268,1)&gt;Settings!$C$25,"Over max trades/day; ",""),"")&amp;IF(ISNUMBER(Settings!$C$26),IF(SUMIFS($Q$5:$Q267,$A$5:$A267,$A268)&lt;=-Settings!$C$26,"Traded after daily max loss; ",""),"")&amp;IF(AND($AG268="",NOT(ISNUMBER($O268))),"Symbol not in Instruments; ","")&amp;IF(AND($AH268="",NOT(ISNUMBER($O268))),"Forex cross: type Gross P&amp;L; ",""))</f>
        <v/>
      </c>
      <c r="BH268" s="56">
        <f>IF(ISNUMBER($Q268),1,0)</f>
        <v>0</v>
      </c>
      <c r="BI268" s="56">
        <f>IF($Y268="",0,1)</f>
        <v>0</v>
      </c>
      <c r="BJ268" s="56">
        <f>IF($AB268="",0,1)</f>
        <v>0</v>
      </c>
      <c r="BK268" s="56">
        <f>IF(AND($BH268=1,$W268&lt;&gt;"OK"),1,0)</f>
        <v>0</v>
      </c>
      <c r="BL268" s="55">
        <f>IF(N($AZ268)=0,0,IFERROR(INDEX($AT$6:$AT$1005,MATCH($AZ268,$AY$6:$AY$1005,0)),0))</f>
        <v>1187.10688</v>
      </c>
      <c r="BM268" s="56">
        <f>IF(ISNUMBER(SEARCH("daily max loss",$BG268)),1,0)</f>
        <v>0</v>
      </c>
    </row>
    <row r="269" ht="18" customHeight="1">
      <c r="A269" s="38" t="n"/>
      <c r="B269" s="39" t="n"/>
      <c r="C269" s="40" t="n"/>
      <c r="D269" s="41" t="n"/>
      <c r="E269" s="41" t="n"/>
      <c r="F269" s="41" t="n"/>
      <c r="G269" s="41" t="n"/>
      <c r="H269" s="42" t="n"/>
      <c r="I269" s="42" t="n"/>
      <c r="J269" s="42" t="n"/>
      <c r="K269" s="42" t="n"/>
      <c r="L269" s="41" t="n"/>
      <c r="M269" s="41" t="n"/>
      <c r="N269" s="41" t="n"/>
      <c r="O269" s="43" t="n"/>
      <c r="P269" s="43" t="n"/>
      <c r="Q269" s="44" t="str">
        <f>IF($AM269=0,"",IF(ISNUMBER($AK269),$AK269-N($AL269),""))</f>
        <v/>
      </c>
      <c r="R269" s="45" t="str">
        <f>IF(OR($Q269="",NOT(ISNUMBER($V269))),"",$AK269/$V269)</f>
        <v/>
      </c>
      <c r="S269" s="46" t="str">
        <f>IF($Q269="","",IF(AND(ISNUMBER($R269),ABS(N($R269))&lt;N(Settings!$C$8)),"Scratch",IF($Q269&gt;0,"Win",IF($Q269&lt;0,"Loss","Scratch"))))</f>
        <v/>
      </c>
      <c r="T269" s="47" t="str">
        <f>IF(OR($AM269=0,NOT(ISNUMBER($H269)),NOT(ISNUMBER($I269)),NOT(ISNUMBER($J269))),"",IF($H269=$I269,"",ROUND(ABS($J269-$H269)/ABS($H269-$I269),6)))</f>
        <v/>
      </c>
      <c r="U269" s="48" t="str">
        <f>IF(OR($S269&lt;&gt;"Win",NOT(ISNUMBER($T269)),NOT(ISNUMBER($R269))),"",MAX(0,$T269-$R269))</f>
        <v/>
      </c>
      <c r="V269" s="49" t="str">
        <f>IF(OR($AM269=0,NOT(ISNUMBER($H269)),NOT(ISNUMBER($I269)),NOT(ISNUMBER($G269))),"",IF(OR($AG269="",$AH269=""),"",IF(ROUND(ABS($H269-$I269)*ABS($G269)*$AG269*$AH269,6)=0,"",ROUND(ABS($H269-$I269)*ABS($G269)*$AG269*$AH269,6))))</f>
        <v/>
      </c>
      <c r="W269" s="50" t="str">
        <f>IF($AM269=0,"",IF($BG269="","OK",LEFT($BG269,LEN($BG269)-2)))</f>
        <v/>
      </c>
      <c r="X269" s="41" t="n"/>
      <c r="Y269" s="40" t="n"/>
      <c r="Z269" s="41" t="n"/>
      <c r="AA269" s="41" t="n"/>
      <c r="AB269" s="40" t="n"/>
      <c r="AC269" s="51" t="n"/>
      <c r="AD269" s="51" t="n"/>
      <c r="AE269" s="40" t="n"/>
      <c r="AF269" s="52" t="str">
        <f>IF($AM269=0,"",IF($D269&lt;&gt;"",$D269,IF(IFERROR(INDEX(Accounts!$C$7:$C$16,MATCH($C269,Accounts!$B$7:$B$16,0))&amp;"","")&lt;&gt;"",INDEX(Accounts!$C$7:$C$16,MATCH($C269,Accounts!$B$7:$B$16,0)),Settings!$C$6)))</f>
        <v/>
      </c>
      <c r="AG269" s="53" t="str">
        <f>IF($AM269=0,"",IF(AND($BE269&gt;0,N(INDEX(Instruments!$D$6:$D$205,MAX(1,$BE269)))&gt;0),INDEX(Instruments!$D$6:$D$205,MAX(1,$BE269)),IF(N(INDEX(Settings!$D$14:$D$18,$BF269))&gt;0,INDEX(Settings!$D$14:$D$18,$BF269),"")))</f>
        <v/>
      </c>
      <c r="AH269" s="54" t="str">
        <f>IF($AM269=0,"",IF($AF269&lt;&gt;"Forex",1,IF(MID(UPPER(SUBSTITUTE(TRIM($E269),"/","")),4,3)=UPPER(TRIM(Settings!$C$7)),1,IF(LEFT(UPPER(SUBSTITUTE(TRIM($E269),"/","")),3)=UPPER(TRIM(Settings!$C$7)),IF(AND(ISNUMBER($K269),N($K269)&lt;&gt;0),1/$K269,""),""))))</f>
        <v/>
      </c>
      <c r="AI269" s="55" t="str">
        <f>IF($AM269=0,"",IF(OR(NOT(ISNUMBER($H269)),NOT(ISNUMBER($K269)),NOT(ISNUMBER($G269)),$AG269="",$AH269=""),"",ROUND(($K269-$H269)*IF($F269="Short",-1,1)*$G269*$AG269*$AH269,6)))</f>
        <v/>
      </c>
      <c r="AJ269" s="55" t="str">
        <f>IF($AM269=0,"",IF(INDEX(Settings!$E$14:$E$18,$BF269)="% of notional",IF(OR($AG269="",NOT(ISNUMBER($H269)),NOT(ISNUMBER($G269))),"",ROUND(ABS($H269*$G269*$AG269*N($AH269))*IF($L269="Limit",N(INDEX(Settings!$G$14:$G$18,$BF269)),N(INDEX(Settings!$H$14:$H$18,$BF269)))+IF(ISNUMBER($K269),ABS($K269*$G269*$AG269*N($AH269))*IF($M269="Target",N(INDEX(Settings!$G$14:$G$18,$BF269)),N(INDEX(Settings!$H$14:$H$18,$BF269))),0),6)),IF(NOT(ISNUMBER($G269)),"",ROUND(ABS($G269)*2*IF(AND($BE269&gt;0,ISNUMBER(INDEX(Instruments!$G$6:$G$205,MAX(1,$BE269)))),INDEX(Instruments!$G$6:$G$205,MAX(1,$BE269)),N(INDEX(Settings!$F$14:$F$18,$BF269))),6))))</f>
        <v/>
      </c>
      <c r="AK269" s="55" t="str">
        <f>IF($AM269=0,"",IF(ISNUMBER($O269),$O269,$AI269))</f>
        <v/>
      </c>
      <c r="AL269" s="55" t="str">
        <f>IF($AM269=0,"",IF(ISNUMBER($P269),$P269,N($AJ269)))</f>
        <v/>
      </c>
      <c r="AM269" s="56">
        <f>IF(AND($A269&lt;&gt;"",$E269&lt;&gt;"",OR(AND(ISNUMBER($G269),ISNUMBER($H269),ISNUMBER($K269)),ISNUMBER($O269))),1,0)</f>
        <v>0</v>
      </c>
      <c r="AN269" s="57" t="str">
        <f>IF($A269="","",$A269-WEEKDAY($A269,3))</f>
        <v/>
      </c>
      <c r="AO269" s="56" t="str">
        <f>IF($A269="","",WEEKDAY($A269,2))</f>
        <v/>
      </c>
      <c r="AP269" s="55" t="str">
        <f>IF(OR($AM269=0,$C269=""),"",IFERROR(N(INDEX(Accounts!$E$7:$E$16,MATCH($C269,Accounts!$B$7:$B$16,0))),0)+SUMIFS($Q$6:$Q269,$C$6:$C269,$C269))</f>
        <v/>
      </c>
      <c r="AQ269" s="55" t="str">
        <f>IF(OR($AM269=0,$C269=""),"",SUMIFS($Q$6:$Q$1005,$C$6:$C$1005,$C269,$A$6:$A$1005,$A269))</f>
        <v/>
      </c>
      <c r="AR269" s="55" t="str">
        <f>IF(OR($AM269=0,$C269=""),"",IFERROR(N(INDEX(Accounts!$E$7:$E$16,MATCH($C269,Accounts!$B$7:$B$16,0))),0)+SUMIFS($Q$6:$Q$1005,$C$6:$C$1005,$C269,$A$6:$A$1005,"&lt;="&amp;$A269))</f>
        <v/>
      </c>
      <c r="AS269" s="56">
        <f>IF(OR($AM269=0,$Q269=""),0,IF(AND($A269&gt;=Lists!$W$6,$A269&lt;=Lists!$W$7,OR(Dashboard!$D$6="All accounts",$C269=Dashboard!$D$6),OR(Dashboard!$D$7="All markets",$AF269=Dashboard!$D$7)),1,0))</f>
        <v>0</v>
      </c>
      <c r="AT269" s="55">
        <f>IF($AS269=1,N(AT268)+$Q269,N(AT268))</f>
        <v>1187.10688</v>
      </c>
      <c r="AU269" s="55">
        <f>MAX(N(AU268),$AT269)</f>
        <v>1187.10688</v>
      </c>
      <c r="AV269" s="55">
        <f>$AT269-$AU269</f>
        <v>0</v>
      </c>
      <c r="AW269" s="56">
        <f>IF($AS269=1,IF($S269="Win",N(AW268)+1,IF($S269="Loss",0,N(AW268))),N(AW268))</f>
        <v>5</v>
      </c>
      <c r="AX269" s="56">
        <f>IF($AS269=1,IF($S269="Loss",N(AX268)+1,IF($S269="Win",0,N(AX268))),N(AX268))</f>
        <v>0</v>
      </c>
      <c r="AY269" s="56" t="str">
        <f>IF($AS269=1,COUNTIF($AS$6:$AS269,1),"")</f>
        <v/>
      </c>
      <c r="AZ269" s="56">
        <f>MIN(263,N(Lists!$W$8))</f>
        <v>28</v>
      </c>
      <c r="BA269" s="56">
        <f>IF($AS269=1,IF(COUNTIFS($A$6:$A269,$A269,$AS$6:$AS269,1)=1,1,0),0)</f>
        <v>0</v>
      </c>
      <c r="BB269" s="55" t="str">
        <f>IF($BA269=1,SUMIFS($Q$6:$Q$1005,$A$6:$A$1005,$A269,$AS$6:$AS$1005,1),"")</f>
        <v/>
      </c>
      <c r="BC269" s="56">
        <f>IF(ISNUMBER($R269),1,0)</f>
        <v>0</v>
      </c>
      <c r="BD269" s="55" t="str">
        <f>IF(ISNUMBER($U269),$U269*$V269,"")</f>
        <v/>
      </c>
      <c r="BE269" s="56" t="str">
        <f>IF($AM269=0,"",IFERROR(MATCH($AF269&amp;"|"&amp;UPPER(TRIM($E269)),Lists!$A$6:$A$205,0),0))</f>
        <v/>
      </c>
      <c r="BF269" s="56" t="str">
        <f>IF($AM269=0,"",IFERROR(MATCH($AF269,Settings!$B$14:$B$18,0),IFERROR(MATCH(Settings!$C$6,Settings!$B$14:$B$18,0),1)))</f>
        <v/>
      </c>
      <c r="BG269" s="58" t="str">
        <f>IF($AM269=0,"",IF(NOT(ISNUMBER($I269)),"No stop; ","")&amp;IF(AND(ISNUMBER($H269),ISNUMBER($I269)),IF(OR(AND($F269&lt;&gt;"Short",$I269&gt;=$H269),AND($F269="Short",$I269&lt;=$H269)),"Stop on wrong side; ",""),"")&amp;IF($F269="","No direction; ","")&amp;IF(AND(ISNUMBER(Settings!$C$22),ISNUMBER($V269)),IF($V269&gt;Settings!$C$22,"Risk over max $; ",""),"")&amp;IF(AND(ISNUMBER(Settings!$C$23),ISNUMBER($V269),ISNUMBER($AP269),IFERROR(N(INDEX(Accounts!$E$7:$E$16,MATCH($C269,Accounts!$B$7:$B$16,0))),0)&gt;0),IF($V269&gt;Settings!$C$23*($AP269-N($Q269)),"Risk over max %; ",""),"")&amp;IF(AND(ISNUMBER(Settings!$C$24),ISNUMBER($N269)),IF($N269&gt;Settings!$C$24,"Leverage over max; ",""),"")&amp;IF(AND(ISNUMBER(Settings!$C$27),ISNUMBER($T269)),IF($T269&lt;Settings!$C$27,"R:R below min; ",""),"")&amp;IF(ISNUMBER(Settings!$C$25),IF(COUNTIFS($A$6:$A269,$A269,$AM$6:$AM269,1)&gt;Settings!$C$25,"Over max trades/day; ",""),"")&amp;IF(ISNUMBER(Settings!$C$26),IF(SUMIFS($Q$5:$Q268,$A$5:$A268,$A269)&lt;=-Settings!$C$26,"Traded after daily max loss; ",""),"")&amp;IF(AND($AG269="",NOT(ISNUMBER($O269))),"Symbol not in Instruments; ","")&amp;IF(AND($AH269="",NOT(ISNUMBER($O269))),"Forex cross: type Gross P&amp;L; ",""))</f>
        <v/>
      </c>
      <c r="BH269" s="56">
        <f>IF(ISNUMBER($Q269),1,0)</f>
        <v>0</v>
      </c>
      <c r="BI269" s="56">
        <f>IF($Y269="",0,1)</f>
        <v>0</v>
      </c>
      <c r="BJ269" s="56">
        <f>IF($AB269="",0,1)</f>
        <v>0</v>
      </c>
      <c r="BK269" s="56">
        <f>IF(AND($BH269=1,$W269&lt;&gt;"OK"),1,0)</f>
        <v>0</v>
      </c>
      <c r="BL269" s="55">
        <f>IF(N($AZ269)=0,0,IFERROR(INDEX($AT$6:$AT$1005,MATCH($AZ269,$AY$6:$AY$1005,0)),0))</f>
        <v>1187.10688</v>
      </c>
      <c r="BM269" s="56">
        <f>IF(ISNUMBER(SEARCH("daily max loss",$BG269)),1,0)</f>
        <v>0</v>
      </c>
    </row>
    <row r="270" ht="18" customHeight="1">
      <c r="A270" s="38" t="n"/>
      <c r="B270" s="39" t="n"/>
      <c r="C270" s="40" t="n"/>
      <c r="D270" s="41" t="n"/>
      <c r="E270" s="41" t="n"/>
      <c r="F270" s="41" t="n"/>
      <c r="G270" s="41" t="n"/>
      <c r="H270" s="42" t="n"/>
      <c r="I270" s="42" t="n"/>
      <c r="J270" s="42" t="n"/>
      <c r="K270" s="42" t="n"/>
      <c r="L270" s="41" t="n"/>
      <c r="M270" s="41" t="n"/>
      <c r="N270" s="41" t="n"/>
      <c r="O270" s="43" t="n"/>
      <c r="P270" s="43" t="n"/>
      <c r="Q270" s="44" t="str">
        <f>IF($AM270=0,"",IF(ISNUMBER($AK270),$AK270-N($AL270),""))</f>
        <v/>
      </c>
      <c r="R270" s="45" t="str">
        <f>IF(OR($Q270="",NOT(ISNUMBER($V270))),"",$AK270/$V270)</f>
        <v/>
      </c>
      <c r="S270" s="46" t="str">
        <f>IF($Q270="","",IF(AND(ISNUMBER($R270),ABS(N($R270))&lt;N(Settings!$C$8)),"Scratch",IF($Q270&gt;0,"Win",IF($Q270&lt;0,"Loss","Scratch"))))</f>
        <v/>
      </c>
      <c r="T270" s="47" t="str">
        <f>IF(OR($AM270=0,NOT(ISNUMBER($H270)),NOT(ISNUMBER($I270)),NOT(ISNUMBER($J270))),"",IF($H270=$I270,"",ROUND(ABS($J270-$H270)/ABS($H270-$I270),6)))</f>
        <v/>
      </c>
      <c r="U270" s="48" t="str">
        <f>IF(OR($S270&lt;&gt;"Win",NOT(ISNUMBER($T270)),NOT(ISNUMBER($R270))),"",MAX(0,$T270-$R270))</f>
        <v/>
      </c>
      <c r="V270" s="49" t="str">
        <f>IF(OR($AM270=0,NOT(ISNUMBER($H270)),NOT(ISNUMBER($I270)),NOT(ISNUMBER($G270))),"",IF(OR($AG270="",$AH270=""),"",IF(ROUND(ABS($H270-$I270)*ABS($G270)*$AG270*$AH270,6)=0,"",ROUND(ABS($H270-$I270)*ABS($G270)*$AG270*$AH270,6))))</f>
        <v/>
      </c>
      <c r="W270" s="50" t="str">
        <f>IF($AM270=0,"",IF($BG270="","OK",LEFT($BG270,LEN($BG270)-2)))</f>
        <v/>
      </c>
      <c r="X270" s="41" t="n"/>
      <c r="Y270" s="40" t="n"/>
      <c r="Z270" s="41" t="n"/>
      <c r="AA270" s="41" t="n"/>
      <c r="AB270" s="40" t="n"/>
      <c r="AC270" s="51" t="n"/>
      <c r="AD270" s="51" t="n"/>
      <c r="AE270" s="40" t="n"/>
      <c r="AF270" s="52" t="str">
        <f>IF($AM270=0,"",IF($D270&lt;&gt;"",$D270,IF(IFERROR(INDEX(Accounts!$C$7:$C$16,MATCH($C270,Accounts!$B$7:$B$16,0))&amp;"","")&lt;&gt;"",INDEX(Accounts!$C$7:$C$16,MATCH($C270,Accounts!$B$7:$B$16,0)),Settings!$C$6)))</f>
        <v/>
      </c>
      <c r="AG270" s="53" t="str">
        <f>IF($AM270=0,"",IF(AND($BE270&gt;0,N(INDEX(Instruments!$D$6:$D$205,MAX(1,$BE270)))&gt;0),INDEX(Instruments!$D$6:$D$205,MAX(1,$BE270)),IF(N(INDEX(Settings!$D$14:$D$18,$BF270))&gt;0,INDEX(Settings!$D$14:$D$18,$BF270),"")))</f>
        <v/>
      </c>
      <c r="AH270" s="54" t="str">
        <f>IF($AM270=0,"",IF($AF270&lt;&gt;"Forex",1,IF(MID(UPPER(SUBSTITUTE(TRIM($E270),"/","")),4,3)=UPPER(TRIM(Settings!$C$7)),1,IF(LEFT(UPPER(SUBSTITUTE(TRIM($E270),"/","")),3)=UPPER(TRIM(Settings!$C$7)),IF(AND(ISNUMBER($K270),N($K270)&lt;&gt;0),1/$K270,""),""))))</f>
        <v/>
      </c>
      <c r="AI270" s="55" t="str">
        <f>IF($AM270=0,"",IF(OR(NOT(ISNUMBER($H270)),NOT(ISNUMBER($K270)),NOT(ISNUMBER($G270)),$AG270="",$AH270=""),"",ROUND(($K270-$H270)*IF($F270="Short",-1,1)*$G270*$AG270*$AH270,6)))</f>
        <v/>
      </c>
      <c r="AJ270" s="55" t="str">
        <f>IF($AM270=0,"",IF(INDEX(Settings!$E$14:$E$18,$BF270)="% of notional",IF(OR($AG270="",NOT(ISNUMBER($H270)),NOT(ISNUMBER($G270))),"",ROUND(ABS($H270*$G270*$AG270*N($AH270))*IF($L270="Limit",N(INDEX(Settings!$G$14:$G$18,$BF270)),N(INDEX(Settings!$H$14:$H$18,$BF270)))+IF(ISNUMBER($K270),ABS($K270*$G270*$AG270*N($AH270))*IF($M270="Target",N(INDEX(Settings!$G$14:$G$18,$BF270)),N(INDEX(Settings!$H$14:$H$18,$BF270))),0),6)),IF(NOT(ISNUMBER($G270)),"",ROUND(ABS($G270)*2*IF(AND($BE270&gt;0,ISNUMBER(INDEX(Instruments!$G$6:$G$205,MAX(1,$BE270)))),INDEX(Instruments!$G$6:$G$205,MAX(1,$BE270)),N(INDEX(Settings!$F$14:$F$18,$BF270))),6))))</f>
        <v/>
      </c>
      <c r="AK270" s="55" t="str">
        <f>IF($AM270=0,"",IF(ISNUMBER($O270),$O270,$AI270))</f>
        <v/>
      </c>
      <c r="AL270" s="55" t="str">
        <f>IF($AM270=0,"",IF(ISNUMBER($P270),$P270,N($AJ270)))</f>
        <v/>
      </c>
      <c r="AM270" s="56">
        <f>IF(AND($A270&lt;&gt;"",$E270&lt;&gt;"",OR(AND(ISNUMBER($G270),ISNUMBER($H270),ISNUMBER($K270)),ISNUMBER($O270))),1,0)</f>
        <v>0</v>
      </c>
      <c r="AN270" s="57" t="str">
        <f>IF($A270="","",$A270-WEEKDAY($A270,3))</f>
        <v/>
      </c>
      <c r="AO270" s="56" t="str">
        <f>IF($A270="","",WEEKDAY($A270,2))</f>
        <v/>
      </c>
      <c r="AP270" s="55" t="str">
        <f>IF(OR($AM270=0,$C270=""),"",IFERROR(N(INDEX(Accounts!$E$7:$E$16,MATCH($C270,Accounts!$B$7:$B$16,0))),0)+SUMIFS($Q$6:$Q270,$C$6:$C270,$C270))</f>
        <v/>
      </c>
      <c r="AQ270" s="55" t="str">
        <f>IF(OR($AM270=0,$C270=""),"",SUMIFS($Q$6:$Q$1005,$C$6:$C$1005,$C270,$A$6:$A$1005,$A270))</f>
        <v/>
      </c>
      <c r="AR270" s="55" t="str">
        <f>IF(OR($AM270=0,$C270=""),"",IFERROR(N(INDEX(Accounts!$E$7:$E$16,MATCH($C270,Accounts!$B$7:$B$16,0))),0)+SUMIFS($Q$6:$Q$1005,$C$6:$C$1005,$C270,$A$6:$A$1005,"&lt;="&amp;$A270))</f>
        <v/>
      </c>
      <c r="AS270" s="56">
        <f>IF(OR($AM270=0,$Q270=""),0,IF(AND($A270&gt;=Lists!$W$6,$A270&lt;=Lists!$W$7,OR(Dashboard!$D$6="All accounts",$C270=Dashboard!$D$6),OR(Dashboard!$D$7="All markets",$AF270=Dashboard!$D$7)),1,0))</f>
        <v>0</v>
      </c>
      <c r="AT270" s="55">
        <f>IF($AS270=1,N(AT269)+$Q270,N(AT269))</f>
        <v>1187.10688</v>
      </c>
      <c r="AU270" s="55">
        <f>MAX(N(AU269),$AT270)</f>
        <v>1187.10688</v>
      </c>
      <c r="AV270" s="55">
        <f>$AT270-$AU270</f>
        <v>0</v>
      </c>
      <c r="AW270" s="56">
        <f>IF($AS270=1,IF($S270="Win",N(AW269)+1,IF($S270="Loss",0,N(AW269))),N(AW269))</f>
        <v>5</v>
      </c>
      <c r="AX270" s="56">
        <f>IF($AS270=1,IF($S270="Loss",N(AX269)+1,IF($S270="Win",0,N(AX269))),N(AX269))</f>
        <v>0</v>
      </c>
      <c r="AY270" s="56" t="str">
        <f>IF($AS270=1,COUNTIF($AS$6:$AS270,1),"")</f>
        <v/>
      </c>
      <c r="AZ270" s="56">
        <f>MIN(264,N(Lists!$W$8))</f>
        <v>28</v>
      </c>
      <c r="BA270" s="56">
        <f>IF($AS270=1,IF(COUNTIFS($A$6:$A270,$A270,$AS$6:$AS270,1)=1,1,0),0)</f>
        <v>0</v>
      </c>
      <c r="BB270" s="55" t="str">
        <f>IF($BA270=1,SUMIFS($Q$6:$Q$1005,$A$6:$A$1005,$A270,$AS$6:$AS$1005,1),"")</f>
        <v/>
      </c>
      <c r="BC270" s="56">
        <f>IF(ISNUMBER($R270),1,0)</f>
        <v>0</v>
      </c>
      <c r="BD270" s="55" t="str">
        <f>IF(ISNUMBER($U270),$U270*$V270,"")</f>
        <v/>
      </c>
      <c r="BE270" s="56" t="str">
        <f>IF($AM270=0,"",IFERROR(MATCH($AF270&amp;"|"&amp;UPPER(TRIM($E270)),Lists!$A$6:$A$205,0),0))</f>
        <v/>
      </c>
      <c r="BF270" s="56" t="str">
        <f>IF($AM270=0,"",IFERROR(MATCH($AF270,Settings!$B$14:$B$18,0),IFERROR(MATCH(Settings!$C$6,Settings!$B$14:$B$18,0),1)))</f>
        <v/>
      </c>
      <c r="BG270" s="58" t="str">
        <f>IF($AM270=0,"",IF(NOT(ISNUMBER($I270)),"No stop; ","")&amp;IF(AND(ISNUMBER($H270),ISNUMBER($I270)),IF(OR(AND($F270&lt;&gt;"Short",$I270&gt;=$H270),AND($F270="Short",$I270&lt;=$H270)),"Stop on wrong side; ",""),"")&amp;IF($F270="","No direction; ","")&amp;IF(AND(ISNUMBER(Settings!$C$22),ISNUMBER($V270)),IF($V270&gt;Settings!$C$22,"Risk over max $; ",""),"")&amp;IF(AND(ISNUMBER(Settings!$C$23),ISNUMBER($V270),ISNUMBER($AP270),IFERROR(N(INDEX(Accounts!$E$7:$E$16,MATCH($C270,Accounts!$B$7:$B$16,0))),0)&gt;0),IF($V270&gt;Settings!$C$23*($AP270-N($Q270)),"Risk over max %; ",""),"")&amp;IF(AND(ISNUMBER(Settings!$C$24),ISNUMBER($N270)),IF($N270&gt;Settings!$C$24,"Leverage over max; ",""),"")&amp;IF(AND(ISNUMBER(Settings!$C$27),ISNUMBER($T270)),IF($T270&lt;Settings!$C$27,"R:R below min; ",""),"")&amp;IF(ISNUMBER(Settings!$C$25),IF(COUNTIFS($A$6:$A270,$A270,$AM$6:$AM270,1)&gt;Settings!$C$25,"Over max trades/day; ",""),"")&amp;IF(ISNUMBER(Settings!$C$26),IF(SUMIFS($Q$5:$Q269,$A$5:$A269,$A270)&lt;=-Settings!$C$26,"Traded after daily max loss; ",""),"")&amp;IF(AND($AG270="",NOT(ISNUMBER($O270))),"Symbol not in Instruments; ","")&amp;IF(AND($AH270="",NOT(ISNUMBER($O270))),"Forex cross: type Gross P&amp;L; ",""))</f>
        <v/>
      </c>
      <c r="BH270" s="56">
        <f>IF(ISNUMBER($Q270),1,0)</f>
        <v>0</v>
      </c>
      <c r="BI270" s="56">
        <f>IF($Y270="",0,1)</f>
        <v>0</v>
      </c>
      <c r="BJ270" s="56">
        <f>IF($AB270="",0,1)</f>
        <v>0</v>
      </c>
      <c r="BK270" s="56">
        <f>IF(AND($BH270=1,$W270&lt;&gt;"OK"),1,0)</f>
        <v>0</v>
      </c>
      <c r="BL270" s="55">
        <f>IF(N($AZ270)=0,0,IFERROR(INDEX($AT$6:$AT$1005,MATCH($AZ270,$AY$6:$AY$1005,0)),0))</f>
        <v>1187.10688</v>
      </c>
      <c r="BM270" s="56">
        <f>IF(ISNUMBER(SEARCH("daily max loss",$BG270)),1,0)</f>
        <v>0</v>
      </c>
    </row>
    <row r="271" ht="18" customHeight="1">
      <c r="A271" s="38" t="n"/>
      <c r="B271" s="39" t="n"/>
      <c r="C271" s="40" t="n"/>
      <c r="D271" s="41" t="n"/>
      <c r="E271" s="41" t="n"/>
      <c r="F271" s="41" t="n"/>
      <c r="G271" s="41" t="n"/>
      <c r="H271" s="42" t="n"/>
      <c r="I271" s="42" t="n"/>
      <c r="J271" s="42" t="n"/>
      <c r="K271" s="42" t="n"/>
      <c r="L271" s="41" t="n"/>
      <c r="M271" s="41" t="n"/>
      <c r="N271" s="41" t="n"/>
      <c r="O271" s="43" t="n"/>
      <c r="P271" s="43" t="n"/>
      <c r="Q271" s="44" t="str">
        <f>IF($AM271=0,"",IF(ISNUMBER($AK271),$AK271-N($AL271),""))</f>
        <v/>
      </c>
      <c r="R271" s="45" t="str">
        <f>IF(OR($Q271="",NOT(ISNUMBER($V271))),"",$AK271/$V271)</f>
        <v/>
      </c>
      <c r="S271" s="46" t="str">
        <f>IF($Q271="","",IF(AND(ISNUMBER($R271),ABS(N($R271))&lt;N(Settings!$C$8)),"Scratch",IF($Q271&gt;0,"Win",IF($Q271&lt;0,"Loss","Scratch"))))</f>
        <v/>
      </c>
      <c r="T271" s="47" t="str">
        <f>IF(OR($AM271=0,NOT(ISNUMBER($H271)),NOT(ISNUMBER($I271)),NOT(ISNUMBER($J271))),"",IF($H271=$I271,"",ROUND(ABS($J271-$H271)/ABS($H271-$I271),6)))</f>
        <v/>
      </c>
      <c r="U271" s="48" t="str">
        <f>IF(OR($S271&lt;&gt;"Win",NOT(ISNUMBER($T271)),NOT(ISNUMBER($R271))),"",MAX(0,$T271-$R271))</f>
        <v/>
      </c>
      <c r="V271" s="49" t="str">
        <f>IF(OR($AM271=0,NOT(ISNUMBER($H271)),NOT(ISNUMBER($I271)),NOT(ISNUMBER($G271))),"",IF(OR($AG271="",$AH271=""),"",IF(ROUND(ABS($H271-$I271)*ABS($G271)*$AG271*$AH271,6)=0,"",ROUND(ABS($H271-$I271)*ABS($G271)*$AG271*$AH271,6))))</f>
        <v/>
      </c>
      <c r="W271" s="50" t="str">
        <f>IF($AM271=0,"",IF($BG271="","OK",LEFT($BG271,LEN($BG271)-2)))</f>
        <v/>
      </c>
      <c r="X271" s="41" t="n"/>
      <c r="Y271" s="40" t="n"/>
      <c r="Z271" s="41" t="n"/>
      <c r="AA271" s="41" t="n"/>
      <c r="AB271" s="40" t="n"/>
      <c r="AC271" s="51" t="n"/>
      <c r="AD271" s="51" t="n"/>
      <c r="AE271" s="40" t="n"/>
      <c r="AF271" s="52" t="str">
        <f>IF($AM271=0,"",IF($D271&lt;&gt;"",$D271,IF(IFERROR(INDEX(Accounts!$C$7:$C$16,MATCH($C271,Accounts!$B$7:$B$16,0))&amp;"","")&lt;&gt;"",INDEX(Accounts!$C$7:$C$16,MATCH($C271,Accounts!$B$7:$B$16,0)),Settings!$C$6)))</f>
        <v/>
      </c>
      <c r="AG271" s="53" t="str">
        <f>IF($AM271=0,"",IF(AND($BE271&gt;0,N(INDEX(Instruments!$D$6:$D$205,MAX(1,$BE271)))&gt;0),INDEX(Instruments!$D$6:$D$205,MAX(1,$BE271)),IF(N(INDEX(Settings!$D$14:$D$18,$BF271))&gt;0,INDEX(Settings!$D$14:$D$18,$BF271),"")))</f>
        <v/>
      </c>
      <c r="AH271" s="54" t="str">
        <f>IF($AM271=0,"",IF($AF271&lt;&gt;"Forex",1,IF(MID(UPPER(SUBSTITUTE(TRIM($E271),"/","")),4,3)=UPPER(TRIM(Settings!$C$7)),1,IF(LEFT(UPPER(SUBSTITUTE(TRIM($E271),"/","")),3)=UPPER(TRIM(Settings!$C$7)),IF(AND(ISNUMBER($K271),N($K271)&lt;&gt;0),1/$K271,""),""))))</f>
        <v/>
      </c>
      <c r="AI271" s="55" t="str">
        <f>IF($AM271=0,"",IF(OR(NOT(ISNUMBER($H271)),NOT(ISNUMBER($K271)),NOT(ISNUMBER($G271)),$AG271="",$AH271=""),"",ROUND(($K271-$H271)*IF($F271="Short",-1,1)*$G271*$AG271*$AH271,6)))</f>
        <v/>
      </c>
      <c r="AJ271" s="55" t="str">
        <f>IF($AM271=0,"",IF(INDEX(Settings!$E$14:$E$18,$BF271)="% of notional",IF(OR($AG271="",NOT(ISNUMBER($H271)),NOT(ISNUMBER($G271))),"",ROUND(ABS($H271*$G271*$AG271*N($AH271))*IF($L271="Limit",N(INDEX(Settings!$G$14:$G$18,$BF271)),N(INDEX(Settings!$H$14:$H$18,$BF271)))+IF(ISNUMBER($K271),ABS($K271*$G271*$AG271*N($AH271))*IF($M271="Target",N(INDEX(Settings!$G$14:$G$18,$BF271)),N(INDEX(Settings!$H$14:$H$18,$BF271))),0),6)),IF(NOT(ISNUMBER($G271)),"",ROUND(ABS($G271)*2*IF(AND($BE271&gt;0,ISNUMBER(INDEX(Instruments!$G$6:$G$205,MAX(1,$BE271)))),INDEX(Instruments!$G$6:$G$205,MAX(1,$BE271)),N(INDEX(Settings!$F$14:$F$18,$BF271))),6))))</f>
        <v/>
      </c>
      <c r="AK271" s="55" t="str">
        <f>IF($AM271=0,"",IF(ISNUMBER($O271),$O271,$AI271))</f>
        <v/>
      </c>
      <c r="AL271" s="55" t="str">
        <f>IF($AM271=0,"",IF(ISNUMBER($P271),$P271,N($AJ271)))</f>
        <v/>
      </c>
      <c r="AM271" s="56">
        <f>IF(AND($A271&lt;&gt;"",$E271&lt;&gt;"",OR(AND(ISNUMBER($G271),ISNUMBER($H271),ISNUMBER($K271)),ISNUMBER($O271))),1,0)</f>
        <v>0</v>
      </c>
      <c r="AN271" s="57" t="str">
        <f>IF($A271="","",$A271-WEEKDAY($A271,3))</f>
        <v/>
      </c>
      <c r="AO271" s="56" t="str">
        <f>IF($A271="","",WEEKDAY($A271,2))</f>
        <v/>
      </c>
      <c r="AP271" s="55" t="str">
        <f>IF(OR($AM271=0,$C271=""),"",IFERROR(N(INDEX(Accounts!$E$7:$E$16,MATCH($C271,Accounts!$B$7:$B$16,0))),0)+SUMIFS($Q$6:$Q271,$C$6:$C271,$C271))</f>
        <v/>
      </c>
      <c r="AQ271" s="55" t="str">
        <f>IF(OR($AM271=0,$C271=""),"",SUMIFS($Q$6:$Q$1005,$C$6:$C$1005,$C271,$A$6:$A$1005,$A271))</f>
        <v/>
      </c>
      <c r="AR271" s="55" t="str">
        <f>IF(OR($AM271=0,$C271=""),"",IFERROR(N(INDEX(Accounts!$E$7:$E$16,MATCH($C271,Accounts!$B$7:$B$16,0))),0)+SUMIFS($Q$6:$Q$1005,$C$6:$C$1005,$C271,$A$6:$A$1005,"&lt;="&amp;$A271))</f>
        <v/>
      </c>
      <c r="AS271" s="56">
        <f>IF(OR($AM271=0,$Q271=""),0,IF(AND($A271&gt;=Lists!$W$6,$A271&lt;=Lists!$W$7,OR(Dashboard!$D$6="All accounts",$C271=Dashboard!$D$6),OR(Dashboard!$D$7="All markets",$AF271=Dashboard!$D$7)),1,0))</f>
        <v>0</v>
      </c>
      <c r="AT271" s="55">
        <f>IF($AS271=1,N(AT270)+$Q271,N(AT270))</f>
        <v>1187.10688</v>
      </c>
      <c r="AU271" s="55">
        <f>MAX(N(AU270),$AT271)</f>
        <v>1187.10688</v>
      </c>
      <c r="AV271" s="55">
        <f>$AT271-$AU271</f>
        <v>0</v>
      </c>
      <c r="AW271" s="56">
        <f>IF($AS271=1,IF($S271="Win",N(AW270)+1,IF($S271="Loss",0,N(AW270))),N(AW270))</f>
        <v>5</v>
      </c>
      <c r="AX271" s="56">
        <f>IF($AS271=1,IF($S271="Loss",N(AX270)+1,IF($S271="Win",0,N(AX270))),N(AX270))</f>
        <v>0</v>
      </c>
      <c r="AY271" s="56" t="str">
        <f>IF($AS271=1,COUNTIF($AS$6:$AS271,1),"")</f>
        <v/>
      </c>
      <c r="AZ271" s="56">
        <f>MIN(265,N(Lists!$W$8))</f>
        <v>28</v>
      </c>
      <c r="BA271" s="56">
        <f>IF($AS271=1,IF(COUNTIFS($A$6:$A271,$A271,$AS$6:$AS271,1)=1,1,0),0)</f>
        <v>0</v>
      </c>
      <c r="BB271" s="55" t="str">
        <f>IF($BA271=1,SUMIFS($Q$6:$Q$1005,$A$6:$A$1005,$A271,$AS$6:$AS$1005,1),"")</f>
        <v/>
      </c>
      <c r="BC271" s="56">
        <f>IF(ISNUMBER($R271),1,0)</f>
        <v>0</v>
      </c>
      <c r="BD271" s="55" t="str">
        <f>IF(ISNUMBER($U271),$U271*$V271,"")</f>
        <v/>
      </c>
      <c r="BE271" s="56" t="str">
        <f>IF($AM271=0,"",IFERROR(MATCH($AF271&amp;"|"&amp;UPPER(TRIM($E271)),Lists!$A$6:$A$205,0),0))</f>
        <v/>
      </c>
      <c r="BF271" s="56" t="str">
        <f>IF($AM271=0,"",IFERROR(MATCH($AF271,Settings!$B$14:$B$18,0),IFERROR(MATCH(Settings!$C$6,Settings!$B$14:$B$18,0),1)))</f>
        <v/>
      </c>
      <c r="BG271" s="58" t="str">
        <f>IF($AM271=0,"",IF(NOT(ISNUMBER($I271)),"No stop; ","")&amp;IF(AND(ISNUMBER($H271),ISNUMBER($I271)),IF(OR(AND($F271&lt;&gt;"Short",$I271&gt;=$H271),AND($F271="Short",$I271&lt;=$H271)),"Stop on wrong side; ",""),"")&amp;IF($F271="","No direction; ","")&amp;IF(AND(ISNUMBER(Settings!$C$22),ISNUMBER($V271)),IF($V271&gt;Settings!$C$22,"Risk over max $; ",""),"")&amp;IF(AND(ISNUMBER(Settings!$C$23),ISNUMBER($V271),ISNUMBER($AP271),IFERROR(N(INDEX(Accounts!$E$7:$E$16,MATCH($C271,Accounts!$B$7:$B$16,0))),0)&gt;0),IF($V271&gt;Settings!$C$23*($AP271-N($Q271)),"Risk over max %; ",""),"")&amp;IF(AND(ISNUMBER(Settings!$C$24),ISNUMBER($N271)),IF($N271&gt;Settings!$C$24,"Leverage over max; ",""),"")&amp;IF(AND(ISNUMBER(Settings!$C$27),ISNUMBER($T271)),IF($T271&lt;Settings!$C$27,"R:R below min; ",""),"")&amp;IF(ISNUMBER(Settings!$C$25),IF(COUNTIFS($A$6:$A271,$A271,$AM$6:$AM271,1)&gt;Settings!$C$25,"Over max trades/day; ",""),"")&amp;IF(ISNUMBER(Settings!$C$26),IF(SUMIFS($Q$5:$Q270,$A$5:$A270,$A271)&lt;=-Settings!$C$26,"Traded after daily max loss; ",""),"")&amp;IF(AND($AG271="",NOT(ISNUMBER($O271))),"Symbol not in Instruments; ","")&amp;IF(AND($AH271="",NOT(ISNUMBER($O271))),"Forex cross: type Gross P&amp;L; ",""))</f>
        <v/>
      </c>
      <c r="BH271" s="56">
        <f>IF(ISNUMBER($Q271),1,0)</f>
        <v>0</v>
      </c>
      <c r="BI271" s="56">
        <f>IF($Y271="",0,1)</f>
        <v>0</v>
      </c>
      <c r="BJ271" s="56">
        <f>IF($AB271="",0,1)</f>
        <v>0</v>
      </c>
      <c r="BK271" s="56">
        <f>IF(AND($BH271=1,$W271&lt;&gt;"OK"),1,0)</f>
        <v>0</v>
      </c>
      <c r="BL271" s="55">
        <f>IF(N($AZ271)=0,0,IFERROR(INDEX($AT$6:$AT$1005,MATCH($AZ271,$AY$6:$AY$1005,0)),0))</f>
        <v>1187.10688</v>
      </c>
      <c r="BM271" s="56">
        <f>IF(ISNUMBER(SEARCH("daily max loss",$BG271)),1,0)</f>
        <v>0</v>
      </c>
    </row>
    <row r="272" ht="18" customHeight="1">
      <c r="A272" s="38" t="n"/>
      <c r="B272" s="39" t="n"/>
      <c r="C272" s="40" t="n"/>
      <c r="D272" s="41" t="n"/>
      <c r="E272" s="41" t="n"/>
      <c r="F272" s="41" t="n"/>
      <c r="G272" s="41" t="n"/>
      <c r="H272" s="42" t="n"/>
      <c r="I272" s="42" t="n"/>
      <c r="J272" s="42" t="n"/>
      <c r="K272" s="42" t="n"/>
      <c r="L272" s="41" t="n"/>
      <c r="M272" s="41" t="n"/>
      <c r="N272" s="41" t="n"/>
      <c r="O272" s="43" t="n"/>
      <c r="P272" s="43" t="n"/>
      <c r="Q272" s="44" t="str">
        <f>IF($AM272=0,"",IF(ISNUMBER($AK272),$AK272-N($AL272),""))</f>
        <v/>
      </c>
      <c r="R272" s="45" t="str">
        <f>IF(OR($Q272="",NOT(ISNUMBER($V272))),"",$AK272/$V272)</f>
        <v/>
      </c>
      <c r="S272" s="46" t="str">
        <f>IF($Q272="","",IF(AND(ISNUMBER($R272),ABS(N($R272))&lt;N(Settings!$C$8)),"Scratch",IF($Q272&gt;0,"Win",IF($Q272&lt;0,"Loss","Scratch"))))</f>
        <v/>
      </c>
      <c r="T272" s="47" t="str">
        <f>IF(OR($AM272=0,NOT(ISNUMBER($H272)),NOT(ISNUMBER($I272)),NOT(ISNUMBER($J272))),"",IF($H272=$I272,"",ROUND(ABS($J272-$H272)/ABS($H272-$I272),6)))</f>
        <v/>
      </c>
      <c r="U272" s="48" t="str">
        <f>IF(OR($S272&lt;&gt;"Win",NOT(ISNUMBER($T272)),NOT(ISNUMBER($R272))),"",MAX(0,$T272-$R272))</f>
        <v/>
      </c>
      <c r="V272" s="49" t="str">
        <f>IF(OR($AM272=0,NOT(ISNUMBER($H272)),NOT(ISNUMBER($I272)),NOT(ISNUMBER($G272))),"",IF(OR($AG272="",$AH272=""),"",IF(ROUND(ABS($H272-$I272)*ABS($G272)*$AG272*$AH272,6)=0,"",ROUND(ABS($H272-$I272)*ABS($G272)*$AG272*$AH272,6))))</f>
        <v/>
      </c>
      <c r="W272" s="50" t="str">
        <f>IF($AM272=0,"",IF($BG272="","OK",LEFT($BG272,LEN($BG272)-2)))</f>
        <v/>
      </c>
      <c r="X272" s="41" t="n"/>
      <c r="Y272" s="40" t="n"/>
      <c r="Z272" s="41" t="n"/>
      <c r="AA272" s="41" t="n"/>
      <c r="AB272" s="40" t="n"/>
      <c r="AC272" s="51" t="n"/>
      <c r="AD272" s="51" t="n"/>
      <c r="AE272" s="40" t="n"/>
      <c r="AF272" s="52" t="str">
        <f>IF($AM272=0,"",IF($D272&lt;&gt;"",$D272,IF(IFERROR(INDEX(Accounts!$C$7:$C$16,MATCH($C272,Accounts!$B$7:$B$16,0))&amp;"","")&lt;&gt;"",INDEX(Accounts!$C$7:$C$16,MATCH($C272,Accounts!$B$7:$B$16,0)),Settings!$C$6)))</f>
        <v/>
      </c>
      <c r="AG272" s="53" t="str">
        <f>IF($AM272=0,"",IF(AND($BE272&gt;0,N(INDEX(Instruments!$D$6:$D$205,MAX(1,$BE272)))&gt;0),INDEX(Instruments!$D$6:$D$205,MAX(1,$BE272)),IF(N(INDEX(Settings!$D$14:$D$18,$BF272))&gt;0,INDEX(Settings!$D$14:$D$18,$BF272),"")))</f>
        <v/>
      </c>
      <c r="AH272" s="54" t="str">
        <f>IF($AM272=0,"",IF($AF272&lt;&gt;"Forex",1,IF(MID(UPPER(SUBSTITUTE(TRIM($E272),"/","")),4,3)=UPPER(TRIM(Settings!$C$7)),1,IF(LEFT(UPPER(SUBSTITUTE(TRIM($E272),"/","")),3)=UPPER(TRIM(Settings!$C$7)),IF(AND(ISNUMBER($K272),N($K272)&lt;&gt;0),1/$K272,""),""))))</f>
        <v/>
      </c>
      <c r="AI272" s="55" t="str">
        <f>IF($AM272=0,"",IF(OR(NOT(ISNUMBER($H272)),NOT(ISNUMBER($K272)),NOT(ISNUMBER($G272)),$AG272="",$AH272=""),"",ROUND(($K272-$H272)*IF($F272="Short",-1,1)*$G272*$AG272*$AH272,6)))</f>
        <v/>
      </c>
      <c r="AJ272" s="55" t="str">
        <f>IF($AM272=0,"",IF(INDEX(Settings!$E$14:$E$18,$BF272)="% of notional",IF(OR($AG272="",NOT(ISNUMBER($H272)),NOT(ISNUMBER($G272))),"",ROUND(ABS($H272*$G272*$AG272*N($AH272))*IF($L272="Limit",N(INDEX(Settings!$G$14:$G$18,$BF272)),N(INDEX(Settings!$H$14:$H$18,$BF272)))+IF(ISNUMBER($K272),ABS($K272*$G272*$AG272*N($AH272))*IF($M272="Target",N(INDEX(Settings!$G$14:$G$18,$BF272)),N(INDEX(Settings!$H$14:$H$18,$BF272))),0),6)),IF(NOT(ISNUMBER($G272)),"",ROUND(ABS($G272)*2*IF(AND($BE272&gt;0,ISNUMBER(INDEX(Instruments!$G$6:$G$205,MAX(1,$BE272)))),INDEX(Instruments!$G$6:$G$205,MAX(1,$BE272)),N(INDEX(Settings!$F$14:$F$18,$BF272))),6))))</f>
        <v/>
      </c>
      <c r="AK272" s="55" t="str">
        <f>IF($AM272=0,"",IF(ISNUMBER($O272),$O272,$AI272))</f>
        <v/>
      </c>
      <c r="AL272" s="55" t="str">
        <f>IF($AM272=0,"",IF(ISNUMBER($P272),$P272,N($AJ272)))</f>
        <v/>
      </c>
      <c r="AM272" s="56">
        <f>IF(AND($A272&lt;&gt;"",$E272&lt;&gt;"",OR(AND(ISNUMBER($G272),ISNUMBER($H272),ISNUMBER($K272)),ISNUMBER($O272))),1,0)</f>
        <v>0</v>
      </c>
      <c r="AN272" s="57" t="str">
        <f>IF($A272="","",$A272-WEEKDAY($A272,3))</f>
        <v/>
      </c>
      <c r="AO272" s="56" t="str">
        <f>IF($A272="","",WEEKDAY($A272,2))</f>
        <v/>
      </c>
      <c r="AP272" s="55" t="str">
        <f>IF(OR($AM272=0,$C272=""),"",IFERROR(N(INDEX(Accounts!$E$7:$E$16,MATCH($C272,Accounts!$B$7:$B$16,0))),0)+SUMIFS($Q$6:$Q272,$C$6:$C272,$C272))</f>
        <v/>
      </c>
      <c r="AQ272" s="55" t="str">
        <f>IF(OR($AM272=0,$C272=""),"",SUMIFS($Q$6:$Q$1005,$C$6:$C$1005,$C272,$A$6:$A$1005,$A272))</f>
        <v/>
      </c>
      <c r="AR272" s="55" t="str">
        <f>IF(OR($AM272=0,$C272=""),"",IFERROR(N(INDEX(Accounts!$E$7:$E$16,MATCH($C272,Accounts!$B$7:$B$16,0))),0)+SUMIFS($Q$6:$Q$1005,$C$6:$C$1005,$C272,$A$6:$A$1005,"&lt;="&amp;$A272))</f>
        <v/>
      </c>
      <c r="AS272" s="56">
        <f>IF(OR($AM272=0,$Q272=""),0,IF(AND($A272&gt;=Lists!$W$6,$A272&lt;=Lists!$W$7,OR(Dashboard!$D$6="All accounts",$C272=Dashboard!$D$6),OR(Dashboard!$D$7="All markets",$AF272=Dashboard!$D$7)),1,0))</f>
        <v>0</v>
      </c>
      <c r="AT272" s="55">
        <f>IF($AS272=1,N(AT271)+$Q272,N(AT271))</f>
        <v>1187.10688</v>
      </c>
      <c r="AU272" s="55">
        <f>MAX(N(AU271),$AT272)</f>
        <v>1187.10688</v>
      </c>
      <c r="AV272" s="55">
        <f>$AT272-$AU272</f>
        <v>0</v>
      </c>
      <c r="AW272" s="56">
        <f>IF($AS272=1,IF($S272="Win",N(AW271)+1,IF($S272="Loss",0,N(AW271))),N(AW271))</f>
        <v>5</v>
      </c>
      <c r="AX272" s="56">
        <f>IF($AS272=1,IF($S272="Loss",N(AX271)+1,IF($S272="Win",0,N(AX271))),N(AX271))</f>
        <v>0</v>
      </c>
      <c r="AY272" s="56" t="str">
        <f>IF($AS272=1,COUNTIF($AS$6:$AS272,1),"")</f>
        <v/>
      </c>
      <c r="AZ272" s="56">
        <f>MIN(266,N(Lists!$W$8))</f>
        <v>28</v>
      </c>
      <c r="BA272" s="56">
        <f>IF($AS272=1,IF(COUNTIFS($A$6:$A272,$A272,$AS$6:$AS272,1)=1,1,0),0)</f>
        <v>0</v>
      </c>
      <c r="BB272" s="55" t="str">
        <f>IF($BA272=1,SUMIFS($Q$6:$Q$1005,$A$6:$A$1005,$A272,$AS$6:$AS$1005,1),"")</f>
        <v/>
      </c>
      <c r="BC272" s="56">
        <f>IF(ISNUMBER($R272),1,0)</f>
        <v>0</v>
      </c>
      <c r="BD272" s="55" t="str">
        <f>IF(ISNUMBER($U272),$U272*$V272,"")</f>
        <v/>
      </c>
      <c r="BE272" s="56" t="str">
        <f>IF($AM272=0,"",IFERROR(MATCH($AF272&amp;"|"&amp;UPPER(TRIM($E272)),Lists!$A$6:$A$205,0),0))</f>
        <v/>
      </c>
      <c r="BF272" s="56" t="str">
        <f>IF($AM272=0,"",IFERROR(MATCH($AF272,Settings!$B$14:$B$18,0),IFERROR(MATCH(Settings!$C$6,Settings!$B$14:$B$18,0),1)))</f>
        <v/>
      </c>
      <c r="BG272" s="58" t="str">
        <f>IF($AM272=0,"",IF(NOT(ISNUMBER($I272)),"No stop; ","")&amp;IF(AND(ISNUMBER($H272),ISNUMBER($I272)),IF(OR(AND($F272&lt;&gt;"Short",$I272&gt;=$H272),AND($F272="Short",$I272&lt;=$H272)),"Stop on wrong side; ",""),"")&amp;IF($F272="","No direction; ","")&amp;IF(AND(ISNUMBER(Settings!$C$22),ISNUMBER($V272)),IF($V272&gt;Settings!$C$22,"Risk over max $; ",""),"")&amp;IF(AND(ISNUMBER(Settings!$C$23),ISNUMBER($V272),ISNUMBER($AP272),IFERROR(N(INDEX(Accounts!$E$7:$E$16,MATCH($C272,Accounts!$B$7:$B$16,0))),0)&gt;0),IF($V272&gt;Settings!$C$23*($AP272-N($Q272)),"Risk over max %; ",""),"")&amp;IF(AND(ISNUMBER(Settings!$C$24),ISNUMBER($N272)),IF($N272&gt;Settings!$C$24,"Leverage over max; ",""),"")&amp;IF(AND(ISNUMBER(Settings!$C$27),ISNUMBER($T272)),IF($T272&lt;Settings!$C$27,"R:R below min; ",""),"")&amp;IF(ISNUMBER(Settings!$C$25),IF(COUNTIFS($A$6:$A272,$A272,$AM$6:$AM272,1)&gt;Settings!$C$25,"Over max trades/day; ",""),"")&amp;IF(ISNUMBER(Settings!$C$26),IF(SUMIFS($Q$5:$Q271,$A$5:$A271,$A272)&lt;=-Settings!$C$26,"Traded after daily max loss; ",""),"")&amp;IF(AND($AG272="",NOT(ISNUMBER($O272))),"Symbol not in Instruments; ","")&amp;IF(AND($AH272="",NOT(ISNUMBER($O272))),"Forex cross: type Gross P&amp;L; ",""))</f>
        <v/>
      </c>
      <c r="BH272" s="56">
        <f>IF(ISNUMBER($Q272),1,0)</f>
        <v>0</v>
      </c>
      <c r="BI272" s="56">
        <f>IF($Y272="",0,1)</f>
        <v>0</v>
      </c>
      <c r="BJ272" s="56">
        <f>IF($AB272="",0,1)</f>
        <v>0</v>
      </c>
      <c r="BK272" s="56">
        <f>IF(AND($BH272=1,$W272&lt;&gt;"OK"),1,0)</f>
        <v>0</v>
      </c>
      <c r="BL272" s="55">
        <f>IF(N($AZ272)=0,0,IFERROR(INDEX($AT$6:$AT$1005,MATCH($AZ272,$AY$6:$AY$1005,0)),0))</f>
        <v>1187.10688</v>
      </c>
      <c r="BM272" s="56">
        <f>IF(ISNUMBER(SEARCH("daily max loss",$BG272)),1,0)</f>
        <v>0</v>
      </c>
    </row>
    <row r="273" ht="18" customHeight="1">
      <c r="A273" s="38" t="n"/>
      <c r="B273" s="39" t="n"/>
      <c r="C273" s="40" t="n"/>
      <c r="D273" s="41" t="n"/>
      <c r="E273" s="41" t="n"/>
      <c r="F273" s="41" t="n"/>
      <c r="G273" s="41" t="n"/>
      <c r="H273" s="42" t="n"/>
      <c r="I273" s="42" t="n"/>
      <c r="J273" s="42" t="n"/>
      <c r="K273" s="42" t="n"/>
      <c r="L273" s="41" t="n"/>
      <c r="M273" s="41" t="n"/>
      <c r="N273" s="41" t="n"/>
      <c r="O273" s="43" t="n"/>
      <c r="P273" s="43" t="n"/>
      <c r="Q273" s="44" t="str">
        <f>IF($AM273=0,"",IF(ISNUMBER($AK273),$AK273-N($AL273),""))</f>
        <v/>
      </c>
      <c r="R273" s="45" t="str">
        <f>IF(OR($Q273="",NOT(ISNUMBER($V273))),"",$AK273/$V273)</f>
        <v/>
      </c>
      <c r="S273" s="46" t="str">
        <f>IF($Q273="","",IF(AND(ISNUMBER($R273),ABS(N($R273))&lt;N(Settings!$C$8)),"Scratch",IF($Q273&gt;0,"Win",IF($Q273&lt;0,"Loss","Scratch"))))</f>
        <v/>
      </c>
      <c r="T273" s="47" t="str">
        <f>IF(OR($AM273=0,NOT(ISNUMBER($H273)),NOT(ISNUMBER($I273)),NOT(ISNUMBER($J273))),"",IF($H273=$I273,"",ROUND(ABS($J273-$H273)/ABS($H273-$I273),6)))</f>
        <v/>
      </c>
      <c r="U273" s="48" t="str">
        <f>IF(OR($S273&lt;&gt;"Win",NOT(ISNUMBER($T273)),NOT(ISNUMBER($R273))),"",MAX(0,$T273-$R273))</f>
        <v/>
      </c>
      <c r="V273" s="49" t="str">
        <f>IF(OR($AM273=0,NOT(ISNUMBER($H273)),NOT(ISNUMBER($I273)),NOT(ISNUMBER($G273))),"",IF(OR($AG273="",$AH273=""),"",IF(ROUND(ABS($H273-$I273)*ABS($G273)*$AG273*$AH273,6)=0,"",ROUND(ABS($H273-$I273)*ABS($G273)*$AG273*$AH273,6))))</f>
        <v/>
      </c>
      <c r="W273" s="50" t="str">
        <f>IF($AM273=0,"",IF($BG273="","OK",LEFT($BG273,LEN($BG273)-2)))</f>
        <v/>
      </c>
      <c r="X273" s="41" t="n"/>
      <c r="Y273" s="40" t="n"/>
      <c r="Z273" s="41" t="n"/>
      <c r="AA273" s="41" t="n"/>
      <c r="AB273" s="40" t="n"/>
      <c r="AC273" s="51" t="n"/>
      <c r="AD273" s="51" t="n"/>
      <c r="AE273" s="40" t="n"/>
      <c r="AF273" s="52" t="str">
        <f>IF($AM273=0,"",IF($D273&lt;&gt;"",$D273,IF(IFERROR(INDEX(Accounts!$C$7:$C$16,MATCH($C273,Accounts!$B$7:$B$16,0))&amp;"","")&lt;&gt;"",INDEX(Accounts!$C$7:$C$16,MATCH($C273,Accounts!$B$7:$B$16,0)),Settings!$C$6)))</f>
        <v/>
      </c>
      <c r="AG273" s="53" t="str">
        <f>IF($AM273=0,"",IF(AND($BE273&gt;0,N(INDEX(Instruments!$D$6:$D$205,MAX(1,$BE273)))&gt;0),INDEX(Instruments!$D$6:$D$205,MAX(1,$BE273)),IF(N(INDEX(Settings!$D$14:$D$18,$BF273))&gt;0,INDEX(Settings!$D$14:$D$18,$BF273),"")))</f>
        <v/>
      </c>
      <c r="AH273" s="54" t="str">
        <f>IF($AM273=0,"",IF($AF273&lt;&gt;"Forex",1,IF(MID(UPPER(SUBSTITUTE(TRIM($E273),"/","")),4,3)=UPPER(TRIM(Settings!$C$7)),1,IF(LEFT(UPPER(SUBSTITUTE(TRIM($E273),"/","")),3)=UPPER(TRIM(Settings!$C$7)),IF(AND(ISNUMBER($K273),N($K273)&lt;&gt;0),1/$K273,""),""))))</f>
        <v/>
      </c>
      <c r="AI273" s="55" t="str">
        <f>IF($AM273=0,"",IF(OR(NOT(ISNUMBER($H273)),NOT(ISNUMBER($K273)),NOT(ISNUMBER($G273)),$AG273="",$AH273=""),"",ROUND(($K273-$H273)*IF($F273="Short",-1,1)*$G273*$AG273*$AH273,6)))</f>
        <v/>
      </c>
      <c r="AJ273" s="55" t="str">
        <f>IF($AM273=0,"",IF(INDEX(Settings!$E$14:$E$18,$BF273)="% of notional",IF(OR($AG273="",NOT(ISNUMBER($H273)),NOT(ISNUMBER($G273))),"",ROUND(ABS($H273*$G273*$AG273*N($AH273))*IF($L273="Limit",N(INDEX(Settings!$G$14:$G$18,$BF273)),N(INDEX(Settings!$H$14:$H$18,$BF273)))+IF(ISNUMBER($K273),ABS($K273*$G273*$AG273*N($AH273))*IF($M273="Target",N(INDEX(Settings!$G$14:$G$18,$BF273)),N(INDEX(Settings!$H$14:$H$18,$BF273))),0),6)),IF(NOT(ISNUMBER($G273)),"",ROUND(ABS($G273)*2*IF(AND($BE273&gt;0,ISNUMBER(INDEX(Instruments!$G$6:$G$205,MAX(1,$BE273)))),INDEX(Instruments!$G$6:$G$205,MAX(1,$BE273)),N(INDEX(Settings!$F$14:$F$18,$BF273))),6))))</f>
        <v/>
      </c>
      <c r="AK273" s="55" t="str">
        <f>IF($AM273=0,"",IF(ISNUMBER($O273),$O273,$AI273))</f>
        <v/>
      </c>
      <c r="AL273" s="55" t="str">
        <f>IF($AM273=0,"",IF(ISNUMBER($P273),$P273,N($AJ273)))</f>
        <v/>
      </c>
      <c r="AM273" s="56">
        <f>IF(AND($A273&lt;&gt;"",$E273&lt;&gt;"",OR(AND(ISNUMBER($G273),ISNUMBER($H273),ISNUMBER($K273)),ISNUMBER($O273))),1,0)</f>
        <v>0</v>
      </c>
      <c r="AN273" s="57" t="str">
        <f>IF($A273="","",$A273-WEEKDAY($A273,3))</f>
        <v/>
      </c>
      <c r="AO273" s="56" t="str">
        <f>IF($A273="","",WEEKDAY($A273,2))</f>
        <v/>
      </c>
      <c r="AP273" s="55" t="str">
        <f>IF(OR($AM273=0,$C273=""),"",IFERROR(N(INDEX(Accounts!$E$7:$E$16,MATCH($C273,Accounts!$B$7:$B$16,0))),0)+SUMIFS($Q$6:$Q273,$C$6:$C273,$C273))</f>
        <v/>
      </c>
      <c r="AQ273" s="55" t="str">
        <f>IF(OR($AM273=0,$C273=""),"",SUMIFS($Q$6:$Q$1005,$C$6:$C$1005,$C273,$A$6:$A$1005,$A273))</f>
        <v/>
      </c>
      <c r="AR273" s="55" t="str">
        <f>IF(OR($AM273=0,$C273=""),"",IFERROR(N(INDEX(Accounts!$E$7:$E$16,MATCH($C273,Accounts!$B$7:$B$16,0))),0)+SUMIFS($Q$6:$Q$1005,$C$6:$C$1005,$C273,$A$6:$A$1005,"&lt;="&amp;$A273))</f>
        <v/>
      </c>
      <c r="AS273" s="56">
        <f>IF(OR($AM273=0,$Q273=""),0,IF(AND($A273&gt;=Lists!$W$6,$A273&lt;=Lists!$W$7,OR(Dashboard!$D$6="All accounts",$C273=Dashboard!$D$6),OR(Dashboard!$D$7="All markets",$AF273=Dashboard!$D$7)),1,0))</f>
        <v>0</v>
      </c>
      <c r="AT273" s="55">
        <f>IF($AS273=1,N(AT272)+$Q273,N(AT272))</f>
        <v>1187.10688</v>
      </c>
      <c r="AU273" s="55">
        <f>MAX(N(AU272),$AT273)</f>
        <v>1187.10688</v>
      </c>
      <c r="AV273" s="55">
        <f>$AT273-$AU273</f>
        <v>0</v>
      </c>
      <c r="AW273" s="56">
        <f>IF($AS273=1,IF($S273="Win",N(AW272)+1,IF($S273="Loss",0,N(AW272))),N(AW272))</f>
        <v>5</v>
      </c>
      <c r="AX273" s="56">
        <f>IF($AS273=1,IF($S273="Loss",N(AX272)+1,IF($S273="Win",0,N(AX272))),N(AX272))</f>
        <v>0</v>
      </c>
      <c r="AY273" s="56" t="str">
        <f>IF($AS273=1,COUNTIF($AS$6:$AS273,1),"")</f>
        <v/>
      </c>
      <c r="AZ273" s="56">
        <f>MIN(267,N(Lists!$W$8))</f>
        <v>28</v>
      </c>
      <c r="BA273" s="56">
        <f>IF($AS273=1,IF(COUNTIFS($A$6:$A273,$A273,$AS$6:$AS273,1)=1,1,0),0)</f>
        <v>0</v>
      </c>
      <c r="BB273" s="55" t="str">
        <f>IF($BA273=1,SUMIFS($Q$6:$Q$1005,$A$6:$A$1005,$A273,$AS$6:$AS$1005,1),"")</f>
        <v/>
      </c>
      <c r="BC273" s="56">
        <f>IF(ISNUMBER($R273),1,0)</f>
        <v>0</v>
      </c>
      <c r="BD273" s="55" t="str">
        <f>IF(ISNUMBER($U273),$U273*$V273,"")</f>
        <v/>
      </c>
      <c r="BE273" s="56" t="str">
        <f>IF($AM273=0,"",IFERROR(MATCH($AF273&amp;"|"&amp;UPPER(TRIM($E273)),Lists!$A$6:$A$205,0),0))</f>
        <v/>
      </c>
      <c r="BF273" s="56" t="str">
        <f>IF($AM273=0,"",IFERROR(MATCH($AF273,Settings!$B$14:$B$18,0),IFERROR(MATCH(Settings!$C$6,Settings!$B$14:$B$18,0),1)))</f>
        <v/>
      </c>
      <c r="BG273" s="58" t="str">
        <f>IF($AM273=0,"",IF(NOT(ISNUMBER($I273)),"No stop; ","")&amp;IF(AND(ISNUMBER($H273),ISNUMBER($I273)),IF(OR(AND($F273&lt;&gt;"Short",$I273&gt;=$H273),AND($F273="Short",$I273&lt;=$H273)),"Stop on wrong side; ",""),"")&amp;IF($F273="","No direction; ","")&amp;IF(AND(ISNUMBER(Settings!$C$22),ISNUMBER($V273)),IF($V273&gt;Settings!$C$22,"Risk over max $; ",""),"")&amp;IF(AND(ISNUMBER(Settings!$C$23),ISNUMBER($V273),ISNUMBER($AP273),IFERROR(N(INDEX(Accounts!$E$7:$E$16,MATCH($C273,Accounts!$B$7:$B$16,0))),0)&gt;0),IF($V273&gt;Settings!$C$23*($AP273-N($Q273)),"Risk over max %; ",""),"")&amp;IF(AND(ISNUMBER(Settings!$C$24),ISNUMBER($N273)),IF($N273&gt;Settings!$C$24,"Leverage over max; ",""),"")&amp;IF(AND(ISNUMBER(Settings!$C$27),ISNUMBER($T273)),IF($T273&lt;Settings!$C$27,"R:R below min; ",""),"")&amp;IF(ISNUMBER(Settings!$C$25),IF(COUNTIFS($A$6:$A273,$A273,$AM$6:$AM273,1)&gt;Settings!$C$25,"Over max trades/day; ",""),"")&amp;IF(ISNUMBER(Settings!$C$26),IF(SUMIFS($Q$5:$Q272,$A$5:$A272,$A273)&lt;=-Settings!$C$26,"Traded after daily max loss; ",""),"")&amp;IF(AND($AG273="",NOT(ISNUMBER($O273))),"Symbol not in Instruments; ","")&amp;IF(AND($AH273="",NOT(ISNUMBER($O273))),"Forex cross: type Gross P&amp;L; ",""))</f>
        <v/>
      </c>
      <c r="BH273" s="56">
        <f>IF(ISNUMBER($Q273),1,0)</f>
        <v>0</v>
      </c>
      <c r="BI273" s="56">
        <f>IF($Y273="",0,1)</f>
        <v>0</v>
      </c>
      <c r="BJ273" s="56">
        <f>IF($AB273="",0,1)</f>
        <v>0</v>
      </c>
      <c r="BK273" s="56">
        <f>IF(AND($BH273=1,$W273&lt;&gt;"OK"),1,0)</f>
        <v>0</v>
      </c>
      <c r="BL273" s="55">
        <f>IF(N($AZ273)=0,0,IFERROR(INDEX($AT$6:$AT$1005,MATCH($AZ273,$AY$6:$AY$1005,0)),0))</f>
        <v>1187.10688</v>
      </c>
      <c r="BM273" s="56">
        <f>IF(ISNUMBER(SEARCH("daily max loss",$BG273)),1,0)</f>
        <v>0</v>
      </c>
    </row>
    <row r="274" ht="18" customHeight="1">
      <c r="A274" s="38" t="n"/>
      <c r="B274" s="39" t="n"/>
      <c r="C274" s="40" t="n"/>
      <c r="D274" s="41" t="n"/>
      <c r="E274" s="41" t="n"/>
      <c r="F274" s="41" t="n"/>
      <c r="G274" s="41" t="n"/>
      <c r="H274" s="42" t="n"/>
      <c r="I274" s="42" t="n"/>
      <c r="J274" s="42" t="n"/>
      <c r="K274" s="42" t="n"/>
      <c r="L274" s="41" t="n"/>
      <c r="M274" s="41" t="n"/>
      <c r="N274" s="41" t="n"/>
      <c r="O274" s="43" t="n"/>
      <c r="P274" s="43" t="n"/>
      <c r="Q274" s="44" t="str">
        <f>IF($AM274=0,"",IF(ISNUMBER($AK274),$AK274-N($AL274),""))</f>
        <v/>
      </c>
      <c r="R274" s="45" t="str">
        <f>IF(OR($Q274="",NOT(ISNUMBER($V274))),"",$AK274/$V274)</f>
        <v/>
      </c>
      <c r="S274" s="46" t="str">
        <f>IF($Q274="","",IF(AND(ISNUMBER($R274),ABS(N($R274))&lt;N(Settings!$C$8)),"Scratch",IF($Q274&gt;0,"Win",IF($Q274&lt;0,"Loss","Scratch"))))</f>
        <v/>
      </c>
      <c r="T274" s="47" t="str">
        <f>IF(OR($AM274=0,NOT(ISNUMBER($H274)),NOT(ISNUMBER($I274)),NOT(ISNUMBER($J274))),"",IF($H274=$I274,"",ROUND(ABS($J274-$H274)/ABS($H274-$I274),6)))</f>
        <v/>
      </c>
      <c r="U274" s="48" t="str">
        <f>IF(OR($S274&lt;&gt;"Win",NOT(ISNUMBER($T274)),NOT(ISNUMBER($R274))),"",MAX(0,$T274-$R274))</f>
        <v/>
      </c>
      <c r="V274" s="49" t="str">
        <f>IF(OR($AM274=0,NOT(ISNUMBER($H274)),NOT(ISNUMBER($I274)),NOT(ISNUMBER($G274))),"",IF(OR($AG274="",$AH274=""),"",IF(ROUND(ABS($H274-$I274)*ABS($G274)*$AG274*$AH274,6)=0,"",ROUND(ABS($H274-$I274)*ABS($G274)*$AG274*$AH274,6))))</f>
        <v/>
      </c>
      <c r="W274" s="50" t="str">
        <f>IF($AM274=0,"",IF($BG274="","OK",LEFT($BG274,LEN($BG274)-2)))</f>
        <v/>
      </c>
      <c r="X274" s="41" t="n"/>
      <c r="Y274" s="40" t="n"/>
      <c r="Z274" s="41" t="n"/>
      <c r="AA274" s="41" t="n"/>
      <c r="AB274" s="40" t="n"/>
      <c r="AC274" s="51" t="n"/>
      <c r="AD274" s="51" t="n"/>
      <c r="AE274" s="40" t="n"/>
      <c r="AF274" s="52" t="str">
        <f>IF($AM274=0,"",IF($D274&lt;&gt;"",$D274,IF(IFERROR(INDEX(Accounts!$C$7:$C$16,MATCH($C274,Accounts!$B$7:$B$16,0))&amp;"","")&lt;&gt;"",INDEX(Accounts!$C$7:$C$16,MATCH($C274,Accounts!$B$7:$B$16,0)),Settings!$C$6)))</f>
        <v/>
      </c>
      <c r="AG274" s="53" t="str">
        <f>IF($AM274=0,"",IF(AND($BE274&gt;0,N(INDEX(Instruments!$D$6:$D$205,MAX(1,$BE274)))&gt;0),INDEX(Instruments!$D$6:$D$205,MAX(1,$BE274)),IF(N(INDEX(Settings!$D$14:$D$18,$BF274))&gt;0,INDEX(Settings!$D$14:$D$18,$BF274),"")))</f>
        <v/>
      </c>
      <c r="AH274" s="54" t="str">
        <f>IF($AM274=0,"",IF($AF274&lt;&gt;"Forex",1,IF(MID(UPPER(SUBSTITUTE(TRIM($E274),"/","")),4,3)=UPPER(TRIM(Settings!$C$7)),1,IF(LEFT(UPPER(SUBSTITUTE(TRIM($E274),"/","")),3)=UPPER(TRIM(Settings!$C$7)),IF(AND(ISNUMBER($K274),N($K274)&lt;&gt;0),1/$K274,""),""))))</f>
        <v/>
      </c>
      <c r="AI274" s="55" t="str">
        <f>IF($AM274=0,"",IF(OR(NOT(ISNUMBER($H274)),NOT(ISNUMBER($K274)),NOT(ISNUMBER($G274)),$AG274="",$AH274=""),"",ROUND(($K274-$H274)*IF($F274="Short",-1,1)*$G274*$AG274*$AH274,6)))</f>
        <v/>
      </c>
      <c r="AJ274" s="55" t="str">
        <f>IF($AM274=0,"",IF(INDEX(Settings!$E$14:$E$18,$BF274)="% of notional",IF(OR($AG274="",NOT(ISNUMBER($H274)),NOT(ISNUMBER($G274))),"",ROUND(ABS($H274*$G274*$AG274*N($AH274))*IF($L274="Limit",N(INDEX(Settings!$G$14:$G$18,$BF274)),N(INDEX(Settings!$H$14:$H$18,$BF274)))+IF(ISNUMBER($K274),ABS($K274*$G274*$AG274*N($AH274))*IF($M274="Target",N(INDEX(Settings!$G$14:$G$18,$BF274)),N(INDEX(Settings!$H$14:$H$18,$BF274))),0),6)),IF(NOT(ISNUMBER($G274)),"",ROUND(ABS($G274)*2*IF(AND($BE274&gt;0,ISNUMBER(INDEX(Instruments!$G$6:$G$205,MAX(1,$BE274)))),INDEX(Instruments!$G$6:$G$205,MAX(1,$BE274)),N(INDEX(Settings!$F$14:$F$18,$BF274))),6))))</f>
        <v/>
      </c>
      <c r="AK274" s="55" t="str">
        <f>IF($AM274=0,"",IF(ISNUMBER($O274),$O274,$AI274))</f>
        <v/>
      </c>
      <c r="AL274" s="55" t="str">
        <f>IF($AM274=0,"",IF(ISNUMBER($P274),$P274,N($AJ274)))</f>
        <v/>
      </c>
      <c r="AM274" s="56">
        <f>IF(AND($A274&lt;&gt;"",$E274&lt;&gt;"",OR(AND(ISNUMBER($G274),ISNUMBER($H274),ISNUMBER($K274)),ISNUMBER($O274))),1,0)</f>
        <v>0</v>
      </c>
      <c r="AN274" s="57" t="str">
        <f>IF($A274="","",$A274-WEEKDAY($A274,3))</f>
        <v/>
      </c>
      <c r="AO274" s="56" t="str">
        <f>IF($A274="","",WEEKDAY($A274,2))</f>
        <v/>
      </c>
      <c r="AP274" s="55" t="str">
        <f>IF(OR($AM274=0,$C274=""),"",IFERROR(N(INDEX(Accounts!$E$7:$E$16,MATCH($C274,Accounts!$B$7:$B$16,0))),0)+SUMIFS($Q$6:$Q274,$C$6:$C274,$C274))</f>
        <v/>
      </c>
      <c r="AQ274" s="55" t="str">
        <f>IF(OR($AM274=0,$C274=""),"",SUMIFS($Q$6:$Q$1005,$C$6:$C$1005,$C274,$A$6:$A$1005,$A274))</f>
        <v/>
      </c>
      <c r="AR274" s="55" t="str">
        <f>IF(OR($AM274=0,$C274=""),"",IFERROR(N(INDEX(Accounts!$E$7:$E$16,MATCH($C274,Accounts!$B$7:$B$16,0))),0)+SUMIFS($Q$6:$Q$1005,$C$6:$C$1005,$C274,$A$6:$A$1005,"&lt;="&amp;$A274))</f>
        <v/>
      </c>
      <c r="AS274" s="56">
        <f>IF(OR($AM274=0,$Q274=""),0,IF(AND($A274&gt;=Lists!$W$6,$A274&lt;=Lists!$W$7,OR(Dashboard!$D$6="All accounts",$C274=Dashboard!$D$6),OR(Dashboard!$D$7="All markets",$AF274=Dashboard!$D$7)),1,0))</f>
        <v>0</v>
      </c>
      <c r="AT274" s="55">
        <f>IF($AS274=1,N(AT273)+$Q274,N(AT273))</f>
        <v>1187.10688</v>
      </c>
      <c r="AU274" s="55">
        <f>MAX(N(AU273),$AT274)</f>
        <v>1187.10688</v>
      </c>
      <c r="AV274" s="55">
        <f>$AT274-$AU274</f>
        <v>0</v>
      </c>
      <c r="AW274" s="56">
        <f>IF($AS274=1,IF($S274="Win",N(AW273)+1,IF($S274="Loss",0,N(AW273))),N(AW273))</f>
        <v>5</v>
      </c>
      <c r="AX274" s="56">
        <f>IF($AS274=1,IF($S274="Loss",N(AX273)+1,IF($S274="Win",0,N(AX273))),N(AX273))</f>
        <v>0</v>
      </c>
      <c r="AY274" s="56" t="str">
        <f>IF($AS274=1,COUNTIF($AS$6:$AS274,1),"")</f>
        <v/>
      </c>
      <c r="AZ274" s="56">
        <f>MIN(268,N(Lists!$W$8))</f>
        <v>28</v>
      </c>
      <c r="BA274" s="56">
        <f>IF($AS274=1,IF(COUNTIFS($A$6:$A274,$A274,$AS$6:$AS274,1)=1,1,0),0)</f>
        <v>0</v>
      </c>
      <c r="BB274" s="55" t="str">
        <f>IF($BA274=1,SUMIFS($Q$6:$Q$1005,$A$6:$A$1005,$A274,$AS$6:$AS$1005,1),"")</f>
        <v/>
      </c>
      <c r="BC274" s="56">
        <f>IF(ISNUMBER($R274),1,0)</f>
        <v>0</v>
      </c>
      <c r="BD274" s="55" t="str">
        <f>IF(ISNUMBER($U274),$U274*$V274,"")</f>
        <v/>
      </c>
      <c r="BE274" s="56" t="str">
        <f>IF($AM274=0,"",IFERROR(MATCH($AF274&amp;"|"&amp;UPPER(TRIM($E274)),Lists!$A$6:$A$205,0),0))</f>
        <v/>
      </c>
      <c r="BF274" s="56" t="str">
        <f>IF($AM274=0,"",IFERROR(MATCH($AF274,Settings!$B$14:$B$18,0),IFERROR(MATCH(Settings!$C$6,Settings!$B$14:$B$18,0),1)))</f>
        <v/>
      </c>
      <c r="BG274" s="58" t="str">
        <f>IF($AM274=0,"",IF(NOT(ISNUMBER($I274)),"No stop; ","")&amp;IF(AND(ISNUMBER($H274),ISNUMBER($I274)),IF(OR(AND($F274&lt;&gt;"Short",$I274&gt;=$H274),AND($F274="Short",$I274&lt;=$H274)),"Stop on wrong side; ",""),"")&amp;IF($F274="","No direction; ","")&amp;IF(AND(ISNUMBER(Settings!$C$22),ISNUMBER($V274)),IF($V274&gt;Settings!$C$22,"Risk over max $; ",""),"")&amp;IF(AND(ISNUMBER(Settings!$C$23),ISNUMBER($V274),ISNUMBER($AP274),IFERROR(N(INDEX(Accounts!$E$7:$E$16,MATCH($C274,Accounts!$B$7:$B$16,0))),0)&gt;0),IF($V274&gt;Settings!$C$23*($AP274-N($Q274)),"Risk over max %; ",""),"")&amp;IF(AND(ISNUMBER(Settings!$C$24),ISNUMBER($N274)),IF($N274&gt;Settings!$C$24,"Leverage over max; ",""),"")&amp;IF(AND(ISNUMBER(Settings!$C$27),ISNUMBER($T274)),IF($T274&lt;Settings!$C$27,"R:R below min; ",""),"")&amp;IF(ISNUMBER(Settings!$C$25),IF(COUNTIFS($A$6:$A274,$A274,$AM$6:$AM274,1)&gt;Settings!$C$25,"Over max trades/day; ",""),"")&amp;IF(ISNUMBER(Settings!$C$26),IF(SUMIFS($Q$5:$Q273,$A$5:$A273,$A274)&lt;=-Settings!$C$26,"Traded after daily max loss; ",""),"")&amp;IF(AND($AG274="",NOT(ISNUMBER($O274))),"Symbol not in Instruments; ","")&amp;IF(AND($AH274="",NOT(ISNUMBER($O274))),"Forex cross: type Gross P&amp;L; ",""))</f>
        <v/>
      </c>
      <c r="BH274" s="56">
        <f>IF(ISNUMBER($Q274),1,0)</f>
        <v>0</v>
      </c>
      <c r="BI274" s="56">
        <f>IF($Y274="",0,1)</f>
        <v>0</v>
      </c>
      <c r="BJ274" s="56">
        <f>IF($AB274="",0,1)</f>
        <v>0</v>
      </c>
      <c r="BK274" s="56">
        <f>IF(AND($BH274=1,$W274&lt;&gt;"OK"),1,0)</f>
        <v>0</v>
      </c>
      <c r="BL274" s="55">
        <f>IF(N($AZ274)=0,0,IFERROR(INDEX($AT$6:$AT$1005,MATCH($AZ274,$AY$6:$AY$1005,0)),0))</f>
        <v>1187.10688</v>
      </c>
      <c r="BM274" s="56">
        <f>IF(ISNUMBER(SEARCH("daily max loss",$BG274)),1,0)</f>
        <v>0</v>
      </c>
    </row>
    <row r="275" ht="18" customHeight="1">
      <c r="A275" s="38" t="n"/>
      <c r="B275" s="39" t="n"/>
      <c r="C275" s="40" t="n"/>
      <c r="D275" s="41" t="n"/>
      <c r="E275" s="41" t="n"/>
      <c r="F275" s="41" t="n"/>
      <c r="G275" s="41" t="n"/>
      <c r="H275" s="42" t="n"/>
      <c r="I275" s="42" t="n"/>
      <c r="J275" s="42" t="n"/>
      <c r="K275" s="42" t="n"/>
      <c r="L275" s="41" t="n"/>
      <c r="M275" s="41" t="n"/>
      <c r="N275" s="41" t="n"/>
      <c r="O275" s="43" t="n"/>
      <c r="P275" s="43" t="n"/>
      <c r="Q275" s="44" t="str">
        <f>IF($AM275=0,"",IF(ISNUMBER($AK275),$AK275-N($AL275),""))</f>
        <v/>
      </c>
      <c r="R275" s="45" t="str">
        <f>IF(OR($Q275="",NOT(ISNUMBER($V275))),"",$AK275/$V275)</f>
        <v/>
      </c>
      <c r="S275" s="46" t="str">
        <f>IF($Q275="","",IF(AND(ISNUMBER($R275),ABS(N($R275))&lt;N(Settings!$C$8)),"Scratch",IF($Q275&gt;0,"Win",IF($Q275&lt;0,"Loss","Scratch"))))</f>
        <v/>
      </c>
      <c r="T275" s="47" t="str">
        <f>IF(OR($AM275=0,NOT(ISNUMBER($H275)),NOT(ISNUMBER($I275)),NOT(ISNUMBER($J275))),"",IF($H275=$I275,"",ROUND(ABS($J275-$H275)/ABS($H275-$I275),6)))</f>
        <v/>
      </c>
      <c r="U275" s="48" t="str">
        <f>IF(OR($S275&lt;&gt;"Win",NOT(ISNUMBER($T275)),NOT(ISNUMBER($R275))),"",MAX(0,$T275-$R275))</f>
        <v/>
      </c>
      <c r="V275" s="49" t="str">
        <f>IF(OR($AM275=0,NOT(ISNUMBER($H275)),NOT(ISNUMBER($I275)),NOT(ISNUMBER($G275))),"",IF(OR($AG275="",$AH275=""),"",IF(ROUND(ABS($H275-$I275)*ABS($G275)*$AG275*$AH275,6)=0,"",ROUND(ABS($H275-$I275)*ABS($G275)*$AG275*$AH275,6))))</f>
        <v/>
      </c>
      <c r="W275" s="50" t="str">
        <f>IF($AM275=0,"",IF($BG275="","OK",LEFT($BG275,LEN($BG275)-2)))</f>
        <v/>
      </c>
      <c r="X275" s="41" t="n"/>
      <c r="Y275" s="40" t="n"/>
      <c r="Z275" s="41" t="n"/>
      <c r="AA275" s="41" t="n"/>
      <c r="AB275" s="40" t="n"/>
      <c r="AC275" s="51" t="n"/>
      <c r="AD275" s="51" t="n"/>
      <c r="AE275" s="40" t="n"/>
      <c r="AF275" s="52" t="str">
        <f>IF($AM275=0,"",IF($D275&lt;&gt;"",$D275,IF(IFERROR(INDEX(Accounts!$C$7:$C$16,MATCH($C275,Accounts!$B$7:$B$16,0))&amp;"","")&lt;&gt;"",INDEX(Accounts!$C$7:$C$16,MATCH($C275,Accounts!$B$7:$B$16,0)),Settings!$C$6)))</f>
        <v/>
      </c>
      <c r="AG275" s="53" t="str">
        <f>IF($AM275=0,"",IF(AND($BE275&gt;0,N(INDEX(Instruments!$D$6:$D$205,MAX(1,$BE275)))&gt;0),INDEX(Instruments!$D$6:$D$205,MAX(1,$BE275)),IF(N(INDEX(Settings!$D$14:$D$18,$BF275))&gt;0,INDEX(Settings!$D$14:$D$18,$BF275),"")))</f>
        <v/>
      </c>
      <c r="AH275" s="54" t="str">
        <f>IF($AM275=0,"",IF($AF275&lt;&gt;"Forex",1,IF(MID(UPPER(SUBSTITUTE(TRIM($E275),"/","")),4,3)=UPPER(TRIM(Settings!$C$7)),1,IF(LEFT(UPPER(SUBSTITUTE(TRIM($E275),"/","")),3)=UPPER(TRIM(Settings!$C$7)),IF(AND(ISNUMBER($K275),N($K275)&lt;&gt;0),1/$K275,""),""))))</f>
        <v/>
      </c>
      <c r="AI275" s="55" t="str">
        <f>IF($AM275=0,"",IF(OR(NOT(ISNUMBER($H275)),NOT(ISNUMBER($K275)),NOT(ISNUMBER($G275)),$AG275="",$AH275=""),"",ROUND(($K275-$H275)*IF($F275="Short",-1,1)*$G275*$AG275*$AH275,6)))</f>
        <v/>
      </c>
      <c r="AJ275" s="55" t="str">
        <f>IF($AM275=0,"",IF(INDEX(Settings!$E$14:$E$18,$BF275)="% of notional",IF(OR($AG275="",NOT(ISNUMBER($H275)),NOT(ISNUMBER($G275))),"",ROUND(ABS($H275*$G275*$AG275*N($AH275))*IF($L275="Limit",N(INDEX(Settings!$G$14:$G$18,$BF275)),N(INDEX(Settings!$H$14:$H$18,$BF275)))+IF(ISNUMBER($K275),ABS($K275*$G275*$AG275*N($AH275))*IF($M275="Target",N(INDEX(Settings!$G$14:$G$18,$BF275)),N(INDEX(Settings!$H$14:$H$18,$BF275))),0),6)),IF(NOT(ISNUMBER($G275)),"",ROUND(ABS($G275)*2*IF(AND($BE275&gt;0,ISNUMBER(INDEX(Instruments!$G$6:$G$205,MAX(1,$BE275)))),INDEX(Instruments!$G$6:$G$205,MAX(1,$BE275)),N(INDEX(Settings!$F$14:$F$18,$BF275))),6))))</f>
        <v/>
      </c>
      <c r="AK275" s="55" t="str">
        <f>IF($AM275=0,"",IF(ISNUMBER($O275),$O275,$AI275))</f>
        <v/>
      </c>
      <c r="AL275" s="55" t="str">
        <f>IF($AM275=0,"",IF(ISNUMBER($P275),$P275,N($AJ275)))</f>
        <v/>
      </c>
      <c r="AM275" s="56">
        <f>IF(AND($A275&lt;&gt;"",$E275&lt;&gt;"",OR(AND(ISNUMBER($G275),ISNUMBER($H275),ISNUMBER($K275)),ISNUMBER($O275))),1,0)</f>
        <v>0</v>
      </c>
      <c r="AN275" s="57" t="str">
        <f>IF($A275="","",$A275-WEEKDAY($A275,3))</f>
        <v/>
      </c>
      <c r="AO275" s="56" t="str">
        <f>IF($A275="","",WEEKDAY($A275,2))</f>
        <v/>
      </c>
      <c r="AP275" s="55" t="str">
        <f>IF(OR($AM275=0,$C275=""),"",IFERROR(N(INDEX(Accounts!$E$7:$E$16,MATCH($C275,Accounts!$B$7:$B$16,0))),0)+SUMIFS($Q$6:$Q275,$C$6:$C275,$C275))</f>
        <v/>
      </c>
      <c r="AQ275" s="55" t="str">
        <f>IF(OR($AM275=0,$C275=""),"",SUMIFS($Q$6:$Q$1005,$C$6:$C$1005,$C275,$A$6:$A$1005,$A275))</f>
        <v/>
      </c>
      <c r="AR275" s="55" t="str">
        <f>IF(OR($AM275=0,$C275=""),"",IFERROR(N(INDEX(Accounts!$E$7:$E$16,MATCH($C275,Accounts!$B$7:$B$16,0))),0)+SUMIFS($Q$6:$Q$1005,$C$6:$C$1005,$C275,$A$6:$A$1005,"&lt;="&amp;$A275))</f>
        <v/>
      </c>
      <c r="AS275" s="56">
        <f>IF(OR($AM275=0,$Q275=""),0,IF(AND($A275&gt;=Lists!$W$6,$A275&lt;=Lists!$W$7,OR(Dashboard!$D$6="All accounts",$C275=Dashboard!$D$6),OR(Dashboard!$D$7="All markets",$AF275=Dashboard!$D$7)),1,0))</f>
        <v>0</v>
      </c>
      <c r="AT275" s="55">
        <f>IF($AS275=1,N(AT274)+$Q275,N(AT274))</f>
        <v>1187.10688</v>
      </c>
      <c r="AU275" s="55">
        <f>MAX(N(AU274),$AT275)</f>
        <v>1187.10688</v>
      </c>
      <c r="AV275" s="55">
        <f>$AT275-$AU275</f>
        <v>0</v>
      </c>
      <c r="AW275" s="56">
        <f>IF($AS275=1,IF($S275="Win",N(AW274)+1,IF($S275="Loss",0,N(AW274))),N(AW274))</f>
        <v>5</v>
      </c>
      <c r="AX275" s="56">
        <f>IF($AS275=1,IF($S275="Loss",N(AX274)+1,IF($S275="Win",0,N(AX274))),N(AX274))</f>
        <v>0</v>
      </c>
      <c r="AY275" s="56" t="str">
        <f>IF($AS275=1,COUNTIF($AS$6:$AS275,1),"")</f>
        <v/>
      </c>
      <c r="AZ275" s="56">
        <f>MIN(269,N(Lists!$W$8))</f>
        <v>28</v>
      </c>
      <c r="BA275" s="56">
        <f>IF($AS275=1,IF(COUNTIFS($A$6:$A275,$A275,$AS$6:$AS275,1)=1,1,0),0)</f>
        <v>0</v>
      </c>
      <c r="BB275" s="55" t="str">
        <f>IF($BA275=1,SUMIFS($Q$6:$Q$1005,$A$6:$A$1005,$A275,$AS$6:$AS$1005,1),"")</f>
        <v/>
      </c>
      <c r="BC275" s="56">
        <f>IF(ISNUMBER($R275),1,0)</f>
        <v>0</v>
      </c>
      <c r="BD275" s="55" t="str">
        <f>IF(ISNUMBER($U275),$U275*$V275,"")</f>
        <v/>
      </c>
      <c r="BE275" s="56" t="str">
        <f>IF($AM275=0,"",IFERROR(MATCH($AF275&amp;"|"&amp;UPPER(TRIM($E275)),Lists!$A$6:$A$205,0),0))</f>
        <v/>
      </c>
      <c r="BF275" s="56" t="str">
        <f>IF($AM275=0,"",IFERROR(MATCH($AF275,Settings!$B$14:$B$18,0),IFERROR(MATCH(Settings!$C$6,Settings!$B$14:$B$18,0),1)))</f>
        <v/>
      </c>
      <c r="BG275" s="58" t="str">
        <f>IF($AM275=0,"",IF(NOT(ISNUMBER($I275)),"No stop; ","")&amp;IF(AND(ISNUMBER($H275),ISNUMBER($I275)),IF(OR(AND($F275&lt;&gt;"Short",$I275&gt;=$H275),AND($F275="Short",$I275&lt;=$H275)),"Stop on wrong side; ",""),"")&amp;IF($F275="","No direction; ","")&amp;IF(AND(ISNUMBER(Settings!$C$22),ISNUMBER($V275)),IF($V275&gt;Settings!$C$22,"Risk over max $; ",""),"")&amp;IF(AND(ISNUMBER(Settings!$C$23),ISNUMBER($V275),ISNUMBER($AP275),IFERROR(N(INDEX(Accounts!$E$7:$E$16,MATCH($C275,Accounts!$B$7:$B$16,0))),0)&gt;0),IF($V275&gt;Settings!$C$23*($AP275-N($Q275)),"Risk over max %; ",""),"")&amp;IF(AND(ISNUMBER(Settings!$C$24),ISNUMBER($N275)),IF($N275&gt;Settings!$C$24,"Leverage over max; ",""),"")&amp;IF(AND(ISNUMBER(Settings!$C$27),ISNUMBER($T275)),IF($T275&lt;Settings!$C$27,"R:R below min; ",""),"")&amp;IF(ISNUMBER(Settings!$C$25),IF(COUNTIFS($A$6:$A275,$A275,$AM$6:$AM275,1)&gt;Settings!$C$25,"Over max trades/day; ",""),"")&amp;IF(ISNUMBER(Settings!$C$26),IF(SUMIFS($Q$5:$Q274,$A$5:$A274,$A275)&lt;=-Settings!$C$26,"Traded after daily max loss; ",""),"")&amp;IF(AND($AG275="",NOT(ISNUMBER($O275))),"Symbol not in Instruments; ","")&amp;IF(AND($AH275="",NOT(ISNUMBER($O275))),"Forex cross: type Gross P&amp;L; ",""))</f>
        <v/>
      </c>
      <c r="BH275" s="56">
        <f>IF(ISNUMBER($Q275),1,0)</f>
        <v>0</v>
      </c>
      <c r="BI275" s="56">
        <f>IF($Y275="",0,1)</f>
        <v>0</v>
      </c>
      <c r="BJ275" s="56">
        <f>IF($AB275="",0,1)</f>
        <v>0</v>
      </c>
      <c r="BK275" s="56">
        <f>IF(AND($BH275=1,$W275&lt;&gt;"OK"),1,0)</f>
        <v>0</v>
      </c>
      <c r="BL275" s="55">
        <f>IF(N($AZ275)=0,0,IFERROR(INDEX($AT$6:$AT$1005,MATCH($AZ275,$AY$6:$AY$1005,0)),0))</f>
        <v>1187.10688</v>
      </c>
      <c r="BM275" s="56">
        <f>IF(ISNUMBER(SEARCH("daily max loss",$BG275)),1,0)</f>
        <v>0</v>
      </c>
    </row>
    <row r="276" ht="18" customHeight="1">
      <c r="A276" s="38" t="n"/>
      <c r="B276" s="39" t="n"/>
      <c r="C276" s="40" t="n"/>
      <c r="D276" s="41" t="n"/>
      <c r="E276" s="41" t="n"/>
      <c r="F276" s="41" t="n"/>
      <c r="G276" s="41" t="n"/>
      <c r="H276" s="42" t="n"/>
      <c r="I276" s="42" t="n"/>
      <c r="J276" s="42" t="n"/>
      <c r="K276" s="42" t="n"/>
      <c r="L276" s="41" t="n"/>
      <c r="M276" s="41" t="n"/>
      <c r="N276" s="41" t="n"/>
      <c r="O276" s="43" t="n"/>
      <c r="P276" s="43" t="n"/>
      <c r="Q276" s="44" t="str">
        <f>IF($AM276=0,"",IF(ISNUMBER($AK276),$AK276-N($AL276),""))</f>
        <v/>
      </c>
      <c r="R276" s="45" t="str">
        <f>IF(OR($Q276="",NOT(ISNUMBER($V276))),"",$AK276/$V276)</f>
        <v/>
      </c>
      <c r="S276" s="46" t="str">
        <f>IF($Q276="","",IF(AND(ISNUMBER($R276),ABS(N($R276))&lt;N(Settings!$C$8)),"Scratch",IF($Q276&gt;0,"Win",IF($Q276&lt;0,"Loss","Scratch"))))</f>
        <v/>
      </c>
      <c r="T276" s="47" t="str">
        <f>IF(OR($AM276=0,NOT(ISNUMBER($H276)),NOT(ISNUMBER($I276)),NOT(ISNUMBER($J276))),"",IF($H276=$I276,"",ROUND(ABS($J276-$H276)/ABS($H276-$I276),6)))</f>
        <v/>
      </c>
      <c r="U276" s="48" t="str">
        <f>IF(OR($S276&lt;&gt;"Win",NOT(ISNUMBER($T276)),NOT(ISNUMBER($R276))),"",MAX(0,$T276-$R276))</f>
        <v/>
      </c>
      <c r="V276" s="49" t="str">
        <f>IF(OR($AM276=0,NOT(ISNUMBER($H276)),NOT(ISNUMBER($I276)),NOT(ISNUMBER($G276))),"",IF(OR($AG276="",$AH276=""),"",IF(ROUND(ABS($H276-$I276)*ABS($G276)*$AG276*$AH276,6)=0,"",ROUND(ABS($H276-$I276)*ABS($G276)*$AG276*$AH276,6))))</f>
        <v/>
      </c>
      <c r="W276" s="50" t="str">
        <f>IF($AM276=0,"",IF($BG276="","OK",LEFT($BG276,LEN($BG276)-2)))</f>
        <v/>
      </c>
      <c r="X276" s="41" t="n"/>
      <c r="Y276" s="40" t="n"/>
      <c r="Z276" s="41" t="n"/>
      <c r="AA276" s="41" t="n"/>
      <c r="AB276" s="40" t="n"/>
      <c r="AC276" s="51" t="n"/>
      <c r="AD276" s="51" t="n"/>
      <c r="AE276" s="40" t="n"/>
      <c r="AF276" s="52" t="str">
        <f>IF($AM276=0,"",IF($D276&lt;&gt;"",$D276,IF(IFERROR(INDEX(Accounts!$C$7:$C$16,MATCH($C276,Accounts!$B$7:$B$16,0))&amp;"","")&lt;&gt;"",INDEX(Accounts!$C$7:$C$16,MATCH($C276,Accounts!$B$7:$B$16,0)),Settings!$C$6)))</f>
        <v/>
      </c>
      <c r="AG276" s="53" t="str">
        <f>IF($AM276=0,"",IF(AND($BE276&gt;0,N(INDEX(Instruments!$D$6:$D$205,MAX(1,$BE276)))&gt;0),INDEX(Instruments!$D$6:$D$205,MAX(1,$BE276)),IF(N(INDEX(Settings!$D$14:$D$18,$BF276))&gt;0,INDEX(Settings!$D$14:$D$18,$BF276),"")))</f>
        <v/>
      </c>
      <c r="AH276" s="54" t="str">
        <f>IF($AM276=0,"",IF($AF276&lt;&gt;"Forex",1,IF(MID(UPPER(SUBSTITUTE(TRIM($E276),"/","")),4,3)=UPPER(TRIM(Settings!$C$7)),1,IF(LEFT(UPPER(SUBSTITUTE(TRIM($E276),"/","")),3)=UPPER(TRIM(Settings!$C$7)),IF(AND(ISNUMBER($K276),N($K276)&lt;&gt;0),1/$K276,""),""))))</f>
        <v/>
      </c>
      <c r="AI276" s="55" t="str">
        <f>IF($AM276=0,"",IF(OR(NOT(ISNUMBER($H276)),NOT(ISNUMBER($K276)),NOT(ISNUMBER($G276)),$AG276="",$AH276=""),"",ROUND(($K276-$H276)*IF($F276="Short",-1,1)*$G276*$AG276*$AH276,6)))</f>
        <v/>
      </c>
      <c r="AJ276" s="55" t="str">
        <f>IF($AM276=0,"",IF(INDEX(Settings!$E$14:$E$18,$BF276)="% of notional",IF(OR($AG276="",NOT(ISNUMBER($H276)),NOT(ISNUMBER($G276))),"",ROUND(ABS($H276*$G276*$AG276*N($AH276))*IF($L276="Limit",N(INDEX(Settings!$G$14:$G$18,$BF276)),N(INDEX(Settings!$H$14:$H$18,$BF276)))+IF(ISNUMBER($K276),ABS($K276*$G276*$AG276*N($AH276))*IF($M276="Target",N(INDEX(Settings!$G$14:$G$18,$BF276)),N(INDEX(Settings!$H$14:$H$18,$BF276))),0),6)),IF(NOT(ISNUMBER($G276)),"",ROUND(ABS($G276)*2*IF(AND($BE276&gt;0,ISNUMBER(INDEX(Instruments!$G$6:$G$205,MAX(1,$BE276)))),INDEX(Instruments!$G$6:$G$205,MAX(1,$BE276)),N(INDEX(Settings!$F$14:$F$18,$BF276))),6))))</f>
        <v/>
      </c>
      <c r="AK276" s="55" t="str">
        <f>IF($AM276=0,"",IF(ISNUMBER($O276),$O276,$AI276))</f>
        <v/>
      </c>
      <c r="AL276" s="55" t="str">
        <f>IF($AM276=0,"",IF(ISNUMBER($P276),$P276,N($AJ276)))</f>
        <v/>
      </c>
      <c r="AM276" s="56">
        <f>IF(AND($A276&lt;&gt;"",$E276&lt;&gt;"",OR(AND(ISNUMBER($G276),ISNUMBER($H276),ISNUMBER($K276)),ISNUMBER($O276))),1,0)</f>
        <v>0</v>
      </c>
      <c r="AN276" s="57" t="str">
        <f>IF($A276="","",$A276-WEEKDAY($A276,3))</f>
        <v/>
      </c>
      <c r="AO276" s="56" t="str">
        <f>IF($A276="","",WEEKDAY($A276,2))</f>
        <v/>
      </c>
      <c r="AP276" s="55" t="str">
        <f>IF(OR($AM276=0,$C276=""),"",IFERROR(N(INDEX(Accounts!$E$7:$E$16,MATCH($C276,Accounts!$B$7:$B$16,0))),0)+SUMIFS($Q$6:$Q276,$C$6:$C276,$C276))</f>
        <v/>
      </c>
      <c r="AQ276" s="55" t="str">
        <f>IF(OR($AM276=0,$C276=""),"",SUMIFS($Q$6:$Q$1005,$C$6:$C$1005,$C276,$A$6:$A$1005,$A276))</f>
        <v/>
      </c>
      <c r="AR276" s="55" t="str">
        <f>IF(OR($AM276=0,$C276=""),"",IFERROR(N(INDEX(Accounts!$E$7:$E$16,MATCH($C276,Accounts!$B$7:$B$16,0))),0)+SUMIFS($Q$6:$Q$1005,$C$6:$C$1005,$C276,$A$6:$A$1005,"&lt;="&amp;$A276))</f>
        <v/>
      </c>
      <c r="AS276" s="56">
        <f>IF(OR($AM276=0,$Q276=""),0,IF(AND($A276&gt;=Lists!$W$6,$A276&lt;=Lists!$W$7,OR(Dashboard!$D$6="All accounts",$C276=Dashboard!$D$6),OR(Dashboard!$D$7="All markets",$AF276=Dashboard!$D$7)),1,0))</f>
        <v>0</v>
      </c>
      <c r="AT276" s="55">
        <f>IF($AS276=1,N(AT275)+$Q276,N(AT275))</f>
        <v>1187.10688</v>
      </c>
      <c r="AU276" s="55">
        <f>MAX(N(AU275),$AT276)</f>
        <v>1187.10688</v>
      </c>
      <c r="AV276" s="55">
        <f>$AT276-$AU276</f>
        <v>0</v>
      </c>
      <c r="AW276" s="56">
        <f>IF($AS276=1,IF($S276="Win",N(AW275)+1,IF($S276="Loss",0,N(AW275))),N(AW275))</f>
        <v>5</v>
      </c>
      <c r="AX276" s="56">
        <f>IF($AS276=1,IF($S276="Loss",N(AX275)+1,IF($S276="Win",0,N(AX275))),N(AX275))</f>
        <v>0</v>
      </c>
      <c r="AY276" s="56" t="str">
        <f>IF($AS276=1,COUNTIF($AS$6:$AS276,1),"")</f>
        <v/>
      </c>
      <c r="AZ276" s="56">
        <f>MIN(270,N(Lists!$W$8))</f>
        <v>28</v>
      </c>
      <c r="BA276" s="56">
        <f>IF($AS276=1,IF(COUNTIFS($A$6:$A276,$A276,$AS$6:$AS276,1)=1,1,0),0)</f>
        <v>0</v>
      </c>
      <c r="BB276" s="55" t="str">
        <f>IF($BA276=1,SUMIFS($Q$6:$Q$1005,$A$6:$A$1005,$A276,$AS$6:$AS$1005,1),"")</f>
        <v/>
      </c>
      <c r="BC276" s="56">
        <f>IF(ISNUMBER($R276),1,0)</f>
        <v>0</v>
      </c>
      <c r="BD276" s="55" t="str">
        <f>IF(ISNUMBER($U276),$U276*$V276,"")</f>
        <v/>
      </c>
      <c r="BE276" s="56" t="str">
        <f>IF($AM276=0,"",IFERROR(MATCH($AF276&amp;"|"&amp;UPPER(TRIM($E276)),Lists!$A$6:$A$205,0),0))</f>
        <v/>
      </c>
      <c r="BF276" s="56" t="str">
        <f>IF($AM276=0,"",IFERROR(MATCH($AF276,Settings!$B$14:$B$18,0),IFERROR(MATCH(Settings!$C$6,Settings!$B$14:$B$18,0),1)))</f>
        <v/>
      </c>
      <c r="BG276" s="58" t="str">
        <f>IF($AM276=0,"",IF(NOT(ISNUMBER($I276)),"No stop; ","")&amp;IF(AND(ISNUMBER($H276),ISNUMBER($I276)),IF(OR(AND($F276&lt;&gt;"Short",$I276&gt;=$H276),AND($F276="Short",$I276&lt;=$H276)),"Stop on wrong side; ",""),"")&amp;IF($F276="","No direction; ","")&amp;IF(AND(ISNUMBER(Settings!$C$22),ISNUMBER($V276)),IF($V276&gt;Settings!$C$22,"Risk over max $; ",""),"")&amp;IF(AND(ISNUMBER(Settings!$C$23),ISNUMBER($V276),ISNUMBER($AP276),IFERROR(N(INDEX(Accounts!$E$7:$E$16,MATCH($C276,Accounts!$B$7:$B$16,0))),0)&gt;0),IF($V276&gt;Settings!$C$23*($AP276-N($Q276)),"Risk over max %; ",""),"")&amp;IF(AND(ISNUMBER(Settings!$C$24),ISNUMBER($N276)),IF($N276&gt;Settings!$C$24,"Leverage over max; ",""),"")&amp;IF(AND(ISNUMBER(Settings!$C$27),ISNUMBER($T276)),IF($T276&lt;Settings!$C$27,"R:R below min; ",""),"")&amp;IF(ISNUMBER(Settings!$C$25),IF(COUNTIFS($A$6:$A276,$A276,$AM$6:$AM276,1)&gt;Settings!$C$25,"Over max trades/day; ",""),"")&amp;IF(ISNUMBER(Settings!$C$26),IF(SUMIFS($Q$5:$Q275,$A$5:$A275,$A276)&lt;=-Settings!$C$26,"Traded after daily max loss; ",""),"")&amp;IF(AND($AG276="",NOT(ISNUMBER($O276))),"Symbol not in Instruments; ","")&amp;IF(AND($AH276="",NOT(ISNUMBER($O276))),"Forex cross: type Gross P&amp;L; ",""))</f>
        <v/>
      </c>
      <c r="BH276" s="56">
        <f>IF(ISNUMBER($Q276),1,0)</f>
        <v>0</v>
      </c>
      <c r="BI276" s="56">
        <f>IF($Y276="",0,1)</f>
        <v>0</v>
      </c>
      <c r="BJ276" s="56">
        <f>IF($AB276="",0,1)</f>
        <v>0</v>
      </c>
      <c r="BK276" s="56">
        <f>IF(AND($BH276=1,$W276&lt;&gt;"OK"),1,0)</f>
        <v>0</v>
      </c>
      <c r="BL276" s="55">
        <f>IF(N($AZ276)=0,0,IFERROR(INDEX($AT$6:$AT$1005,MATCH($AZ276,$AY$6:$AY$1005,0)),0))</f>
        <v>1187.10688</v>
      </c>
      <c r="BM276" s="56">
        <f>IF(ISNUMBER(SEARCH("daily max loss",$BG276)),1,0)</f>
        <v>0</v>
      </c>
    </row>
    <row r="277" ht="18" customHeight="1">
      <c r="A277" s="38" t="n"/>
      <c r="B277" s="39" t="n"/>
      <c r="C277" s="40" t="n"/>
      <c r="D277" s="41" t="n"/>
      <c r="E277" s="41" t="n"/>
      <c r="F277" s="41" t="n"/>
      <c r="G277" s="41" t="n"/>
      <c r="H277" s="42" t="n"/>
      <c r="I277" s="42" t="n"/>
      <c r="J277" s="42" t="n"/>
      <c r="K277" s="42" t="n"/>
      <c r="L277" s="41" t="n"/>
      <c r="M277" s="41" t="n"/>
      <c r="N277" s="41" t="n"/>
      <c r="O277" s="43" t="n"/>
      <c r="P277" s="43" t="n"/>
      <c r="Q277" s="44" t="str">
        <f>IF($AM277=0,"",IF(ISNUMBER($AK277),$AK277-N($AL277),""))</f>
        <v/>
      </c>
      <c r="R277" s="45" t="str">
        <f>IF(OR($Q277="",NOT(ISNUMBER($V277))),"",$AK277/$V277)</f>
        <v/>
      </c>
      <c r="S277" s="46" t="str">
        <f>IF($Q277="","",IF(AND(ISNUMBER($R277),ABS(N($R277))&lt;N(Settings!$C$8)),"Scratch",IF($Q277&gt;0,"Win",IF($Q277&lt;0,"Loss","Scratch"))))</f>
        <v/>
      </c>
      <c r="T277" s="47" t="str">
        <f>IF(OR($AM277=0,NOT(ISNUMBER($H277)),NOT(ISNUMBER($I277)),NOT(ISNUMBER($J277))),"",IF($H277=$I277,"",ROUND(ABS($J277-$H277)/ABS($H277-$I277),6)))</f>
        <v/>
      </c>
      <c r="U277" s="48" t="str">
        <f>IF(OR($S277&lt;&gt;"Win",NOT(ISNUMBER($T277)),NOT(ISNUMBER($R277))),"",MAX(0,$T277-$R277))</f>
        <v/>
      </c>
      <c r="V277" s="49" t="str">
        <f>IF(OR($AM277=0,NOT(ISNUMBER($H277)),NOT(ISNUMBER($I277)),NOT(ISNUMBER($G277))),"",IF(OR($AG277="",$AH277=""),"",IF(ROUND(ABS($H277-$I277)*ABS($G277)*$AG277*$AH277,6)=0,"",ROUND(ABS($H277-$I277)*ABS($G277)*$AG277*$AH277,6))))</f>
        <v/>
      </c>
      <c r="W277" s="50" t="str">
        <f>IF($AM277=0,"",IF($BG277="","OK",LEFT($BG277,LEN($BG277)-2)))</f>
        <v/>
      </c>
      <c r="X277" s="41" t="n"/>
      <c r="Y277" s="40" t="n"/>
      <c r="Z277" s="41" t="n"/>
      <c r="AA277" s="41" t="n"/>
      <c r="AB277" s="40" t="n"/>
      <c r="AC277" s="51" t="n"/>
      <c r="AD277" s="51" t="n"/>
      <c r="AE277" s="40" t="n"/>
      <c r="AF277" s="52" t="str">
        <f>IF($AM277=0,"",IF($D277&lt;&gt;"",$D277,IF(IFERROR(INDEX(Accounts!$C$7:$C$16,MATCH($C277,Accounts!$B$7:$B$16,0))&amp;"","")&lt;&gt;"",INDEX(Accounts!$C$7:$C$16,MATCH($C277,Accounts!$B$7:$B$16,0)),Settings!$C$6)))</f>
        <v/>
      </c>
      <c r="AG277" s="53" t="str">
        <f>IF($AM277=0,"",IF(AND($BE277&gt;0,N(INDEX(Instruments!$D$6:$D$205,MAX(1,$BE277)))&gt;0),INDEX(Instruments!$D$6:$D$205,MAX(1,$BE277)),IF(N(INDEX(Settings!$D$14:$D$18,$BF277))&gt;0,INDEX(Settings!$D$14:$D$18,$BF277),"")))</f>
        <v/>
      </c>
      <c r="AH277" s="54" t="str">
        <f>IF($AM277=0,"",IF($AF277&lt;&gt;"Forex",1,IF(MID(UPPER(SUBSTITUTE(TRIM($E277),"/","")),4,3)=UPPER(TRIM(Settings!$C$7)),1,IF(LEFT(UPPER(SUBSTITUTE(TRIM($E277),"/","")),3)=UPPER(TRIM(Settings!$C$7)),IF(AND(ISNUMBER($K277),N($K277)&lt;&gt;0),1/$K277,""),""))))</f>
        <v/>
      </c>
      <c r="AI277" s="55" t="str">
        <f>IF($AM277=0,"",IF(OR(NOT(ISNUMBER($H277)),NOT(ISNUMBER($K277)),NOT(ISNUMBER($G277)),$AG277="",$AH277=""),"",ROUND(($K277-$H277)*IF($F277="Short",-1,1)*$G277*$AG277*$AH277,6)))</f>
        <v/>
      </c>
      <c r="AJ277" s="55" t="str">
        <f>IF($AM277=0,"",IF(INDEX(Settings!$E$14:$E$18,$BF277)="% of notional",IF(OR($AG277="",NOT(ISNUMBER($H277)),NOT(ISNUMBER($G277))),"",ROUND(ABS($H277*$G277*$AG277*N($AH277))*IF($L277="Limit",N(INDEX(Settings!$G$14:$G$18,$BF277)),N(INDEX(Settings!$H$14:$H$18,$BF277)))+IF(ISNUMBER($K277),ABS($K277*$G277*$AG277*N($AH277))*IF($M277="Target",N(INDEX(Settings!$G$14:$G$18,$BF277)),N(INDEX(Settings!$H$14:$H$18,$BF277))),0),6)),IF(NOT(ISNUMBER($G277)),"",ROUND(ABS($G277)*2*IF(AND($BE277&gt;0,ISNUMBER(INDEX(Instruments!$G$6:$G$205,MAX(1,$BE277)))),INDEX(Instruments!$G$6:$G$205,MAX(1,$BE277)),N(INDEX(Settings!$F$14:$F$18,$BF277))),6))))</f>
        <v/>
      </c>
      <c r="AK277" s="55" t="str">
        <f>IF($AM277=0,"",IF(ISNUMBER($O277),$O277,$AI277))</f>
        <v/>
      </c>
      <c r="AL277" s="55" t="str">
        <f>IF($AM277=0,"",IF(ISNUMBER($P277),$P277,N($AJ277)))</f>
        <v/>
      </c>
      <c r="AM277" s="56">
        <f>IF(AND($A277&lt;&gt;"",$E277&lt;&gt;"",OR(AND(ISNUMBER($G277),ISNUMBER($H277),ISNUMBER($K277)),ISNUMBER($O277))),1,0)</f>
        <v>0</v>
      </c>
      <c r="AN277" s="57" t="str">
        <f>IF($A277="","",$A277-WEEKDAY($A277,3))</f>
        <v/>
      </c>
      <c r="AO277" s="56" t="str">
        <f>IF($A277="","",WEEKDAY($A277,2))</f>
        <v/>
      </c>
      <c r="AP277" s="55" t="str">
        <f>IF(OR($AM277=0,$C277=""),"",IFERROR(N(INDEX(Accounts!$E$7:$E$16,MATCH($C277,Accounts!$B$7:$B$16,0))),0)+SUMIFS($Q$6:$Q277,$C$6:$C277,$C277))</f>
        <v/>
      </c>
      <c r="AQ277" s="55" t="str">
        <f>IF(OR($AM277=0,$C277=""),"",SUMIFS($Q$6:$Q$1005,$C$6:$C$1005,$C277,$A$6:$A$1005,$A277))</f>
        <v/>
      </c>
      <c r="AR277" s="55" t="str">
        <f>IF(OR($AM277=0,$C277=""),"",IFERROR(N(INDEX(Accounts!$E$7:$E$16,MATCH($C277,Accounts!$B$7:$B$16,0))),0)+SUMIFS($Q$6:$Q$1005,$C$6:$C$1005,$C277,$A$6:$A$1005,"&lt;="&amp;$A277))</f>
        <v/>
      </c>
      <c r="AS277" s="56">
        <f>IF(OR($AM277=0,$Q277=""),0,IF(AND($A277&gt;=Lists!$W$6,$A277&lt;=Lists!$W$7,OR(Dashboard!$D$6="All accounts",$C277=Dashboard!$D$6),OR(Dashboard!$D$7="All markets",$AF277=Dashboard!$D$7)),1,0))</f>
        <v>0</v>
      </c>
      <c r="AT277" s="55">
        <f>IF($AS277=1,N(AT276)+$Q277,N(AT276))</f>
        <v>1187.10688</v>
      </c>
      <c r="AU277" s="55">
        <f>MAX(N(AU276),$AT277)</f>
        <v>1187.10688</v>
      </c>
      <c r="AV277" s="55">
        <f>$AT277-$AU277</f>
        <v>0</v>
      </c>
      <c r="AW277" s="56">
        <f>IF($AS277=1,IF($S277="Win",N(AW276)+1,IF($S277="Loss",0,N(AW276))),N(AW276))</f>
        <v>5</v>
      </c>
      <c r="AX277" s="56">
        <f>IF($AS277=1,IF($S277="Loss",N(AX276)+1,IF($S277="Win",0,N(AX276))),N(AX276))</f>
        <v>0</v>
      </c>
      <c r="AY277" s="56" t="str">
        <f>IF($AS277=1,COUNTIF($AS$6:$AS277,1),"")</f>
        <v/>
      </c>
      <c r="AZ277" s="56">
        <f>MIN(271,N(Lists!$W$8))</f>
        <v>28</v>
      </c>
      <c r="BA277" s="56">
        <f>IF($AS277=1,IF(COUNTIFS($A$6:$A277,$A277,$AS$6:$AS277,1)=1,1,0),0)</f>
        <v>0</v>
      </c>
      <c r="BB277" s="55" t="str">
        <f>IF($BA277=1,SUMIFS($Q$6:$Q$1005,$A$6:$A$1005,$A277,$AS$6:$AS$1005,1),"")</f>
        <v/>
      </c>
      <c r="BC277" s="56">
        <f>IF(ISNUMBER($R277),1,0)</f>
        <v>0</v>
      </c>
      <c r="BD277" s="55" t="str">
        <f>IF(ISNUMBER($U277),$U277*$V277,"")</f>
        <v/>
      </c>
      <c r="BE277" s="56" t="str">
        <f>IF($AM277=0,"",IFERROR(MATCH($AF277&amp;"|"&amp;UPPER(TRIM($E277)),Lists!$A$6:$A$205,0),0))</f>
        <v/>
      </c>
      <c r="BF277" s="56" t="str">
        <f>IF($AM277=0,"",IFERROR(MATCH($AF277,Settings!$B$14:$B$18,0),IFERROR(MATCH(Settings!$C$6,Settings!$B$14:$B$18,0),1)))</f>
        <v/>
      </c>
      <c r="BG277" s="58" t="str">
        <f>IF($AM277=0,"",IF(NOT(ISNUMBER($I277)),"No stop; ","")&amp;IF(AND(ISNUMBER($H277),ISNUMBER($I277)),IF(OR(AND($F277&lt;&gt;"Short",$I277&gt;=$H277),AND($F277="Short",$I277&lt;=$H277)),"Stop on wrong side; ",""),"")&amp;IF($F277="","No direction; ","")&amp;IF(AND(ISNUMBER(Settings!$C$22),ISNUMBER($V277)),IF($V277&gt;Settings!$C$22,"Risk over max $; ",""),"")&amp;IF(AND(ISNUMBER(Settings!$C$23),ISNUMBER($V277),ISNUMBER($AP277),IFERROR(N(INDEX(Accounts!$E$7:$E$16,MATCH($C277,Accounts!$B$7:$B$16,0))),0)&gt;0),IF($V277&gt;Settings!$C$23*($AP277-N($Q277)),"Risk over max %; ",""),"")&amp;IF(AND(ISNUMBER(Settings!$C$24),ISNUMBER($N277)),IF($N277&gt;Settings!$C$24,"Leverage over max; ",""),"")&amp;IF(AND(ISNUMBER(Settings!$C$27),ISNUMBER($T277)),IF($T277&lt;Settings!$C$27,"R:R below min; ",""),"")&amp;IF(ISNUMBER(Settings!$C$25),IF(COUNTIFS($A$6:$A277,$A277,$AM$6:$AM277,1)&gt;Settings!$C$25,"Over max trades/day; ",""),"")&amp;IF(ISNUMBER(Settings!$C$26),IF(SUMIFS($Q$5:$Q276,$A$5:$A276,$A277)&lt;=-Settings!$C$26,"Traded after daily max loss; ",""),"")&amp;IF(AND($AG277="",NOT(ISNUMBER($O277))),"Symbol not in Instruments; ","")&amp;IF(AND($AH277="",NOT(ISNUMBER($O277))),"Forex cross: type Gross P&amp;L; ",""))</f>
        <v/>
      </c>
      <c r="BH277" s="56">
        <f>IF(ISNUMBER($Q277),1,0)</f>
        <v>0</v>
      </c>
      <c r="BI277" s="56">
        <f>IF($Y277="",0,1)</f>
        <v>0</v>
      </c>
      <c r="BJ277" s="56">
        <f>IF($AB277="",0,1)</f>
        <v>0</v>
      </c>
      <c r="BK277" s="56">
        <f>IF(AND($BH277=1,$W277&lt;&gt;"OK"),1,0)</f>
        <v>0</v>
      </c>
      <c r="BL277" s="55">
        <f>IF(N($AZ277)=0,0,IFERROR(INDEX($AT$6:$AT$1005,MATCH($AZ277,$AY$6:$AY$1005,0)),0))</f>
        <v>1187.10688</v>
      </c>
      <c r="BM277" s="56">
        <f>IF(ISNUMBER(SEARCH("daily max loss",$BG277)),1,0)</f>
        <v>0</v>
      </c>
    </row>
    <row r="278" ht="18" customHeight="1">
      <c r="A278" s="38" t="n"/>
      <c r="B278" s="39" t="n"/>
      <c r="C278" s="40" t="n"/>
      <c r="D278" s="41" t="n"/>
      <c r="E278" s="41" t="n"/>
      <c r="F278" s="41" t="n"/>
      <c r="G278" s="41" t="n"/>
      <c r="H278" s="42" t="n"/>
      <c r="I278" s="42" t="n"/>
      <c r="J278" s="42" t="n"/>
      <c r="K278" s="42" t="n"/>
      <c r="L278" s="41" t="n"/>
      <c r="M278" s="41" t="n"/>
      <c r="N278" s="41" t="n"/>
      <c r="O278" s="43" t="n"/>
      <c r="P278" s="43" t="n"/>
      <c r="Q278" s="44" t="str">
        <f>IF($AM278=0,"",IF(ISNUMBER($AK278),$AK278-N($AL278),""))</f>
        <v/>
      </c>
      <c r="R278" s="45" t="str">
        <f>IF(OR($Q278="",NOT(ISNUMBER($V278))),"",$AK278/$V278)</f>
        <v/>
      </c>
      <c r="S278" s="46" t="str">
        <f>IF($Q278="","",IF(AND(ISNUMBER($R278),ABS(N($R278))&lt;N(Settings!$C$8)),"Scratch",IF($Q278&gt;0,"Win",IF($Q278&lt;0,"Loss","Scratch"))))</f>
        <v/>
      </c>
      <c r="T278" s="47" t="str">
        <f>IF(OR($AM278=0,NOT(ISNUMBER($H278)),NOT(ISNUMBER($I278)),NOT(ISNUMBER($J278))),"",IF($H278=$I278,"",ROUND(ABS($J278-$H278)/ABS($H278-$I278),6)))</f>
        <v/>
      </c>
      <c r="U278" s="48" t="str">
        <f>IF(OR($S278&lt;&gt;"Win",NOT(ISNUMBER($T278)),NOT(ISNUMBER($R278))),"",MAX(0,$T278-$R278))</f>
        <v/>
      </c>
      <c r="V278" s="49" t="str">
        <f>IF(OR($AM278=0,NOT(ISNUMBER($H278)),NOT(ISNUMBER($I278)),NOT(ISNUMBER($G278))),"",IF(OR($AG278="",$AH278=""),"",IF(ROUND(ABS($H278-$I278)*ABS($G278)*$AG278*$AH278,6)=0,"",ROUND(ABS($H278-$I278)*ABS($G278)*$AG278*$AH278,6))))</f>
        <v/>
      </c>
      <c r="W278" s="50" t="str">
        <f>IF($AM278=0,"",IF($BG278="","OK",LEFT($BG278,LEN($BG278)-2)))</f>
        <v/>
      </c>
      <c r="X278" s="41" t="n"/>
      <c r="Y278" s="40" t="n"/>
      <c r="Z278" s="41" t="n"/>
      <c r="AA278" s="41" t="n"/>
      <c r="AB278" s="40" t="n"/>
      <c r="AC278" s="51" t="n"/>
      <c r="AD278" s="51" t="n"/>
      <c r="AE278" s="40" t="n"/>
      <c r="AF278" s="52" t="str">
        <f>IF($AM278=0,"",IF($D278&lt;&gt;"",$D278,IF(IFERROR(INDEX(Accounts!$C$7:$C$16,MATCH($C278,Accounts!$B$7:$B$16,0))&amp;"","")&lt;&gt;"",INDEX(Accounts!$C$7:$C$16,MATCH($C278,Accounts!$B$7:$B$16,0)),Settings!$C$6)))</f>
        <v/>
      </c>
      <c r="AG278" s="53" t="str">
        <f>IF($AM278=0,"",IF(AND($BE278&gt;0,N(INDEX(Instruments!$D$6:$D$205,MAX(1,$BE278)))&gt;0),INDEX(Instruments!$D$6:$D$205,MAX(1,$BE278)),IF(N(INDEX(Settings!$D$14:$D$18,$BF278))&gt;0,INDEX(Settings!$D$14:$D$18,$BF278),"")))</f>
        <v/>
      </c>
      <c r="AH278" s="54" t="str">
        <f>IF($AM278=0,"",IF($AF278&lt;&gt;"Forex",1,IF(MID(UPPER(SUBSTITUTE(TRIM($E278),"/","")),4,3)=UPPER(TRIM(Settings!$C$7)),1,IF(LEFT(UPPER(SUBSTITUTE(TRIM($E278),"/","")),3)=UPPER(TRIM(Settings!$C$7)),IF(AND(ISNUMBER($K278),N($K278)&lt;&gt;0),1/$K278,""),""))))</f>
        <v/>
      </c>
      <c r="AI278" s="55" t="str">
        <f>IF($AM278=0,"",IF(OR(NOT(ISNUMBER($H278)),NOT(ISNUMBER($K278)),NOT(ISNUMBER($G278)),$AG278="",$AH278=""),"",ROUND(($K278-$H278)*IF($F278="Short",-1,1)*$G278*$AG278*$AH278,6)))</f>
        <v/>
      </c>
      <c r="AJ278" s="55" t="str">
        <f>IF($AM278=0,"",IF(INDEX(Settings!$E$14:$E$18,$BF278)="% of notional",IF(OR($AG278="",NOT(ISNUMBER($H278)),NOT(ISNUMBER($G278))),"",ROUND(ABS($H278*$G278*$AG278*N($AH278))*IF($L278="Limit",N(INDEX(Settings!$G$14:$G$18,$BF278)),N(INDEX(Settings!$H$14:$H$18,$BF278)))+IF(ISNUMBER($K278),ABS($K278*$G278*$AG278*N($AH278))*IF($M278="Target",N(INDEX(Settings!$G$14:$G$18,$BF278)),N(INDEX(Settings!$H$14:$H$18,$BF278))),0),6)),IF(NOT(ISNUMBER($G278)),"",ROUND(ABS($G278)*2*IF(AND($BE278&gt;0,ISNUMBER(INDEX(Instruments!$G$6:$G$205,MAX(1,$BE278)))),INDEX(Instruments!$G$6:$G$205,MAX(1,$BE278)),N(INDEX(Settings!$F$14:$F$18,$BF278))),6))))</f>
        <v/>
      </c>
      <c r="AK278" s="55" t="str">
        <f>IF($AM278=0,"",IF(ISNUMBER($O278),$O278,$AI278))</f>
        <v/>
      </c>
      <c r="AL278" s="55" t="str">
        <f>IF($AM278=0,"",IF(ISNUMBER($P278),$P278,N($AJ278)))</f>
        <v/>
      </c>
      <c r="AM278" s="56">
        <f>IF(AND($A278&lt;&gt;"",$E278&lt;&gt;"",OR(AND(ISNUMBER($G278),ISNUMBER($H278),ISNUMBER($K278)),ISNUMBER($O278))),1,0)</f>
        <v>0</v>
      </c>
      <c r="AN278" s="57" t="str">
        <f>IF($A278="","",$A278-WEEKDAY($A278,3))</f>
        <v/>
      </c>
      <c r="AO278" s="56" t="str">
        <f>IF($A278="","",WEEKDAY($A278,2))</f>
        <v/>
      </c>
      <c r="AP278" s="55" t="str">
        <f>IF(OR($AM278=0,$C278=""),"",IFERROR(N(INDEX(Accounts!$E$7:$E$16,MATCH($C278,Accounts!$B$7:$B$16,0))),0)+SUMIFS($Q$6:$Q278,$C$6:$C278,$C278))</f>
        <v/>
      </c>
      <c r="AQ278" s="55" t="str">
        <f>IF(OR($AM278=0,$C278=""),"",SUMIFS($Q$6:$Q$1005,$C$6:$C$1005,$C278,$A$6:$A$1005,$A278))</f>
        <v/>
      </c>
      <c r="AR278" s="55" t="str">
        <f>IF(OR($AM278=0,$C278=""),"",IFERROR(N(INDEX(Accounts!$E$7:$E$16,MATCH($C278,Accounts!$B$7:$B$16,0))),0)+SUMIFS($Q$6:$Q$1005,$C$6:$C$1005,$C278,$A$6:$A$1005,"&lt;="&amp;$A278))</f>
        <v/>
      </c>
      <c r="AS278" s="56">
        <f>IF(OR($AM278=0,$Q278=""),0,IF(AND($A278&gt;=Lists!$W$6,$A278&lt;=Lists!$W$7,OR(Dashboard!$D$6="All accounts",$C278=Dashboard!$D$6),OR(Dashboard!$D$7="All markets",$AF278=Dashboard!$D$7)),1,0))</f>
        <v>0</v>
      </c>
      <c r="AT278" s="55">
        <f>IF($AS278=1,N(AT277)+$Q278,N(AT277))</f>
        <v>1187.10688</v>
      </c>
      <c r="AU278" s="55">
        <f>MAX(N(AU277),$AT278)</f>
        <v>1187.10688</v>
      </c>
      <c r="AV278" s="55">
        <f>$AT278-$AU278</f>
        <v>0</v>
      </c>
      <c r="AW278" s="56">
        <f>IF($AS278=1,IF($S278="Win",N(AW277)+1,IF($S278="Loss",0,N(AW277))),N(AW277))</f>
        <v>5</v>
      </c>
      <c r="AX278" s="56">
        <f>IF($AS278=1,IF($S278="Loss",N(AX277)+1,IF($S278="Win",0,N(AX277))),N(AX277))</f>
        <v>0</v>
      </c>
      <c r="AY278" s="56" t="str">
        <f>IF($AS278=1,COUNTIF($AS$6:$AS278,1),"")</f>
        <v/>
      </c>
      <c r="AZ278" s="56">
        <f>MIN(272,N(Lists!$W$8))</f>
        <v>28</v>
      </c>
      <c r="BA278" s="56">
        <f>IF($AS278=1,IF(COUNTIFS($A$6:$A278,$A278,$AS$6:$AS278,1)=1,1,0),0)</f>
        <v>0</v>
      </c>
      <c r="BB278" s="55" t="str">
        <f>IF($BA278=1,SUMIFS($Q$6:$Q$1005,$A$6:$A$1005,$A278,$AS$6:$AS$1005,1),"")</f>
        <v/>
      </c>
      <c r="BC278" s="56">
        <f>IF(ISNUMBER($R278),1,0)</f>
        <v>0</v>
      </c>
      <c r="BD278" s="55" t="str">
        <f>IF(ISNUMBER($U278),$U278*$V278,"")</f>
        <v/>
      </c>
      <c r="BE278" s="56" t="str">
        <f>IF($AM278=0,"",IFERROR(MATCH($AF278&amp;"|"&amp;UPPER(TRIM($E278)),Lists!$A$6:$A$205,0),0))</f>
        <v/>
      </c>
      <c r="BF278" s="56" t="str">
        <f>IF($AM278=0,"",IFERROR(MATCH($AF278,Settings!$B$14:$B$18,0),IFERROR(MATCH(Settings!$C$6,Settings!$B$14:$B$18,0),1)))</f>
        <v/>
      </c>
      <c r="BG278" s="58" t="str">
        <f>IF($AM278=0,"",IF(NOT(ISNUMBER($I278)),"No stop; ","")&amp;IF(AND(ISNUMBER($H278),ISNUMBER($I278)),IF(OR(AND($F278&lt;&gt;"Short",$I278&gt;=$H278),AND($F278="Short",$I278&lt;=$H278)),"Stop on wrong side; ",""),"")&amp;IF($F278="","No direction; ","")&amp;IF(AND(ISNUMBER(Settings!$C$22),ISNUMBER($V278)),IF($V278&gt;Settings!$C$22,"Risk over max $; ",""),"")&amp;IF(AND(ISNUMBER(Settings!$C$23),ISNUMBER($V278),ISNUMBER($AP278),IFERROR(N(INDEX(Accounts!$E$7:$E$16,MATCH($C278,Accounts!$B$7:$B$16,0))),0)&gt;0),IF($V278&gt;Settings!$C$23*($AP278-N($Q278)),"Risk over max %; ",""),"")&amp;IF(AND(ISNUMBER(Settings!$C$24),ISNUMBER($N278)),IF($N278&gt;Settings!$C$24,"Leverage over max; ",""),"")&amp;IF(AND(ISNUMBER(Settings!$C$27),ISNUMBER($T278)),IF($T278&lt;Settings!$C$27,"R:R below min; ",""),"")&amp;IF(ISNUMBER(Settings!$C$25),IF(COUNTIFS($A$6:$A278,$A278,$AM$6:$AM278,1)&gt;Settings!$C$25,"Over max trades/day; ",""),"")&amp;IF(ISNUMBER(Settings!$C$26),IF(SUMIFS($Q$5:$Q277,$A$5:$A277,$A278)&lt;=-Settings!$C$26,"Traded after daily max loss; ",""),"")&amp;IF(AND($AG278="",NOT(ISNUMBER($O278))),"Symbol not in Instruments; ","")&amp;IF(AND($AH278="",NOT(ISNUMBER($O278))),"Forex cross: type Gross P&amp;L; ",""))</f>
        <v/>
      </c>
      <c r="BH278" s="56">
        <f>IF(ISNUMBER($Q278),1,0)</f>
        <v>0</v>
      </c>
      <c r="BI278" s="56">
        <f>IF($Y278="",0,1)</f>
        <v>0</v>
      </c>
      <c r="BJ278" s="56">
        <f>IF($AB278="",0,1)</f>
        <v>0</v>
      </c>
      <c r="BK278" s="56">
        <f>IF(AND($BH278=1,$W278&lt;&gt;"OK"),1,0)</f>
        <v>0</v>
      </c>
      <c r="BL278" s="55">
        <f>IF(N($AZ278)=0,0,IFERROR(INDEX($AT$6:$AT$1005,MATCH($AZ278,$AY$6:$AY$1005,0)),0))</f>
        <v>1187.10688</v>
      </c>
      <c r="BM278" s="56">
        <f>IF(ISNUMBER(SEARCH("daily max loss",$BG278)),1,0)</f>
        <v>0</v>
      </c>
    </row>
    <row r="279" ht="18" customHeight="1">
      <c r="A279" s="38" t="n"/>
      <c r="B279" s="39" t="n"/>
      <c r="C279" s="40" t="n"/>
      <c r="D279" s="41" t="n"/>
      <c r="E279" s="41" t="n"/>
      <c r="F279" s="41" t="n"/>
      <c r="G279" s="41" t="n"/>
      <c r="H279" s="42" t="n"/>
      <c r="I279" s="42" t="n"/>
      <c r="J279" s="42" t="n"/>
      <c r="K279" s="42" t="n"/>
      <c r="L279" s="41" t="n"/>
      <c r="M279" s="41" t="n"/>
      <c r="N279" s="41" t="n"/>
      <c r="O279" s="43" t="n"/>
      <c r="P279" s="43" t="n"/>
      <c r="Q279" s="44" t="str">
        <f>IF($AM279=0,"",IF(ISNUMBER($AK279),$AK279-N($AL279),""))</f>
        <v/>
      </c>
      <c r="R279" s="45" t="str">
        <f>IF(OR($Q279="",NOT(ISNUMBER($V279))),"",$AK279/$V279)</f>
        <v/>
      </c>
      <c r="S279" s="46" t="str">
        <f>IF($Q279="","",IF(AND(ISNUMBER($R279),ABS(N($R279))&lt;N(Settings!$C$8)),"Scratch",IF($Q279&gt;0,"Win",IF($Q279&lt;0,"Loss","Scratch"))))</f>
        <v/>
      </c>
      <c r="T279" s="47" t="str">
        <f>IF(OR($AM279=0,NOT(ISNUMBER($H279)),NOT(ISNUMBER($I279)),NOT(ISNUMBER($J279))),"",IF($H279=$I279,"",ROUND(ABS($J279-$H279)/ABS($H279-$I279),6)))</f>
        <v/>
      </c>
      <c r="U279" s="48" t="str">
        <f>IF(OR($S279&lt;&gt;"Win",NOT(ISNUMBER($T279)),NOT(ISNUMBER($R279))),"",MAX(0,$T279-$R279))</f>
        <v/>
      </c>
      <c r="V279" s="49" t="str">
        <f>IF(OR($AM279=0,NOT(ISNUMBER($H279)),NOT(ISNUMBER($I279)),NOT(ISNUMBER($G279))),"",IF(OR($AG279="",$AH279=""),"",IF(ROUND(ABS($H279-$I279)*ABS($G279)*$AG279*$AH279,6)=0,"",ROUND(ABS($H279-$I279)*ABS($G279)*$AG279*$AH279,6))))</f>
        <v/>
      </c>
      <c r="W279" s="50" t="str">
        <f>IF($AM279=0,"",IF($BG279="","OK",LEFT($BG279,LEN($BG279)-2)))</f>
        <v/>
      </c>
      <c r="X279" s="41" t="n"/>
      <c r="Y279" s="40" t="n"/>
      <c r="Z279" s="41" t="n"/>
      <c r="AA279" s="41" t="n"/>
      <c r="AB279" s="40" t="n"/>
      <c r="AC279" s="51" t="n"/>
      <c r="AD279" s="51" t="n"/>
      <c r="AE279" s="40" t="n"/>
      <c r="AF279" s="52" t="str">
        <f>IF($AM279=0,"",IF($D279&lt;&gt;"",$D279,IF(IFERROR(INDEX(Accounts!$C$7:$C$16,MATCH($C279,Accounts!$B$7:$B$16,0))&amp;"","")&lt;&gt;"",INDEX(Accounts!$C$7:$C$16,MATCH($C279,Accounts!$B$7:$B$16,0)),Settings!$C$6)))</f>
        <v/>
      </c>
      <c r="AG279" s="53" t="str">
        <f>IF($AM279=0,"",IF(AND($BE279&gt;0,N(INDEX(Instruments!$D$6:$D$205,MAX(1,$BE279)))&gt;0),INDEX(Instruments!$D$6:$D$205,MAX(1,$BE279)),IF(N(INDEX(Settings!$D$14:$D$18,$BF279))&gt;0,INDEX(Settings!$D$14:$D$18,$BF279),"")))</f>
        <v/>
      </c>
      <c r="AH279" s="54" t="str">
        <f>IF($AM279=0,"",IF($AF279&lt;&gt;"Forex",1,IF(MID(UPPER(SUBSTITUTE(TRIM($E279),"/","")),4,3)=UPPER(TRIM(Settings!$C$7)),1,IF(LEFT(UPPER(SUBSTITUTE(TRIM($E279),"/","")),3)=UPPER(TRIM(Settings!$C$7)),IF(AND(ISNUMBER($K279),N($K279)&lt;&gt;0),1/$K279,""),""))))</f>
        <v/>
      </c>
      <c r="AI279" s="55" t="str">
        <f>IF($AM279=0,"",IF(OR(NOT(ISNUMBER($H279)),NOT(ISNUMBER($K279)),NOT(ISNUMBER($G279)),$AG279="",$AH279=""),"",ROUND(($K279-$H279)*IF($F279="Short",-1,1)*$G279*$AG279*$AH279,6)))</f>
        <v/>
      </c>
      <c r="AJ279" s="55" t="str">
        <f>IF($AM279=0,"",IF(INDEX(Settings!$E$14:$E$18,$BF279)="% of notional",IF(OR($AG279="",NOT(ISNUMBER($H279)),NOT(ISNUMBER($G279))),"",ROUND(ABS($H279*$G279*$AG279*N($AH279))*IF($L279="Limit",N(INDEX(Settings!$G$14:$G$18,$BF279)),N(INDEX(Settings!$H$14:$H$18,$BF279)))+IF(ISNUMBER($K279),ABS($K279*$G279*$AG279*N($AH279))*IF($M279="Target",N(INDEX(Settings!$G$14:$G$18,$BF279)),N(INDEX(Settings!$H$14:$H$18,$BF279))),0),6)),IF(NOT(ISNUMBER($G279)),"",ROUND(ABS($G279)*2*IF(AND($BE279&gt;0,ISNUMBER(INDEX(Instruments!$G$6:$G$205,MAX(1,$BE279)))),INDEX(Instruments!$G$6:$G$205,MAX(1,$BE279)),N(INDEX(Settings!$F$14:$F$18,$BF279))),6))))</f>
        <v/>
      </c>
      <c r="AK279" s="55" t="str">
        <f>IF($AM279=0,"",IF(ISNUMBER($O279),$O279,$AI279))</f>
        <v/>
      </c>
      <c r="AL279" s="55" t="str">
        <f>IF($AM279=0,"",IF(ISNUMBER($P279),$P279,N($AJ279)))</f>
        <v/>
      </c>
      <c r="AM279" s="56">
        <f>IF(AND($A279&lt;&gt;"",$E279&lt;&gt;"",OR(AND(ISNUMBER($G279),ISNUMBER($H279),ISNUMBER($K279)),ISNUMBER($O279))),1,0)</f>
        <v>0</v>
      </c>
      <c r="AN279" s="57" t="str">
        <f>IF($A279="","",$A279-WEEKDAY($A279,3))</f>
        <v/>
      </c>
      <c r="AO279" s="56" t="str">
        <f>IF($A279="","",WEEKDAY($A279,2))</f>
        <v/>
      </c>
      <c r="AP279" s="55" t="str">
        <f>IF(OR($AM279=0,$C279=""),"",IFERROR(N(INDEX(Accounts!$E$7:$E$16,MATCH($C279,Accounts!$B$7:$B$16,0))),0)+SUMIFS($Q$6:$Q279,$C$6:$C279,$C279))</f>
        <v/>
      </c>
      <c r="AQ279" s="55" t="str">
        <f>IF(OR($AM279=0,$C279=""),"",SUMIFS($Q$6:$Q$1005,$C$6:$C$1005,$C279,$A$6:$A$1005,$A279))</f>
        <v/>
      </c>
      <c r="AR279" s="55" t="str">
        <f>IF(OR($AM279=0,$C279=""),"",IFERROR(N(INDEX(Accounts!$E$7:$E$16,MATCH($C279,Accounts!$B$7:$B$16,0))),0)+SUMIFS($Q$6:$Q$1005,$C$6:$C$1005,$C279,$A$6:$A$1005,"&lt;="&amp;$A279))</f>
        <v/>
      </c>
      <c r="AS279" s="56">
        <f>IF(OR($AM279=0,$Q279=""),0,IF(AND($A279&gt;=Lists!$W$6,$A279&lt;=Lists!$W$7,OR(Dashboard!$D$6="All accounts",$C279=Dashboard!$D$6),OR(Dashboard!$D$7="All markets",$AF279=Dashboard!$D$7)),1,0))</f>
        <v>0</v>
      </c>
      <c r="AT279" s="55">
        <f>IF($AS279=1,N(AT278)+$Q279,N(AT278))</f>
        <v>1187.10688</v>
      </c>
      <c r="AU279" s="55">
        <f>MAX(N(AU278),$AT279)</f>
        <v>1187.10688</v>
      </c>
      <c r="AV279" s="55">
        <f>$AT279-$AU279</f>
        <v>0</v>
      </c>
      <c r="AW279" s="56">
        <f>IF($AS279=1,IF($S279="Win",N(AW278)+1,IF($S279="Loss",0,N(AW278))),N(AW278))</f>
        <v>5</v>
      </c>
      <c r="AX279" s="56">
        <f>IF($AS279=1,IF($S279="Loss",N(AX278)+1,IF($S279="Win",0,N(AX278))),N(AX278))</f>
        <v>0</v>
      </c>
      <c r="AY279" s="56" t="str">
        <f>IF($AS279=1,COUNTIF($AS$6:$AS279,1),"")</f>
        <v/>
      </c>
      <c r="AZ279" s="56">
        <f>MIN(273,N(Lists!$W$8))</f>
        <v>28</v>
      </c>
      <c r="BA279" s="56">
        <f>IF($AS279=1,IF(COUNTIFS($A$6:$A279,$A279,$AS$6:$AS279,1)=1,1,0),0)</f>
        <v>0</v>
      </c>
      <c r="BB279" s="55" t="str">
        <f>IF($BA279=1,SUMIFS($Q$6:$Q$1005,$A$6:$A$1005,$A279,$AS$6:$AS$1005,1),"")</f>
        <v/>
      </c>
      <c r="BC279" s="56">
        <f>IF(ISNUMBER($R279),1,0)</f>
        <v>0</v>
      </c>
      <c r="BD279" s="55" t="str">
        <f>IF(ISNUMBER($U279),$U279*$V279,"")</f>
        <v/>
      </c>
      <c r="BE279" s="56" t="str">
        <f>IF($AM279=0,"",IFERROR(MATCH($AF279&amp;"|"&amp;UPPER(TRIM($E279)),Lists!$A$6:$A$205,0),0))</f>
        <v/>
      </c>
      <c r="BF279" s="56" t="str">
        <f>IF($AM279=0,"",IFERROR(MATCH($AF279,Settings!$B$14:$B$18,0),IFERROR(MATCH(Settings!$C$6,Settings!$B$14:$B$18,0),1)))</f>
        <v/>
      </c>
      <c r="BG279" s="58" t="str">
        <f>IF($AM279=0,"",IF(NOT(ISNUMBER($I279)),"No stop; ","")&amp;IF(AND(ISNUMBER($H279),ISNUMBER($I279)),IF(OR(AND($F279&lt;&gt;"Short",$I279&gt;=$H279),AND($F279="Short",$I279&lt;=$H279)),"Stop on wrong side; ",""),"")&amp;IF($F279="","No direction; ","")&amp;IF(AND(ISNUMBER(Settings!$C$22),ISNUMBER($V279)),IF($V279&gt;Settings!$C$22,"Risk over max $; ",""),"")&amp;IF(AND(ISNUMBER(Settings!$C$23),ISNUMBER($V279),ISNUMBER($AP279),IFERROR(N(INDEX(Accounts!$E$7:$E$16,MATCH($C279,Accounts!$B$7:$B$16,0))),0)&gt;0),IF($V279&gt;Settings!$C$23*($AP279-N($Q279)),"Risk over max %; ",""),"")&amp;IF(AND(ISNUMBER(Settings!$C$24),ISNUMBER($N279)),IF($N279&gt;Settings!$C$24,"Leverage over max; ",""),"")&amp;IF(AND(ISNUMBER(Settings!$C$27),ISNUMBER($T279)),IF($T279&lt;Settings!$C$27,"R:R below min; ",""),"")&amp;IF(ISNUMBER(Settings!$C$25),IF(COUNTIFS($A$6:$A279,$A279,$AM$6:$AM279,1)&gt;Settings!$C$25,"Over max trades/day; ",""),"")&amp;IF(ISNUMBER(Settings!$C$26),IF(SUMIFS($Q$5:$Q278,$A$5:$A278,$A279)&lt;=-Settings!$C$26,"Traded after daily max loss; ",""),"")&amp;IF(AND($AG279="",NOT(ISNUMBER($O279))),"Symbol not in Instruments; ","")&amp;IF(AND($AH279="",NOT(ISNUMBER($O279))),"Forex cross: type Gross P&amp;L; ",""))</f>
        <v/>
      </c>
      <c r="BH279" s="56">
        <f>IF(ISNUMBER($Q279),1,0)</f>
        <v>0</v>
      </c>
      <c r="BI279" s="56">
        <f>IF($Y279="",0,1)</f>
        <v>0</v>
      </c>
      <c r="BJ279" s="56">
        <f>IF($AB279="",0,1)</f>
        <v>0</v>
      </c>
      <c r="BK279" s="56">
        <f>IF(AND($BH279=1,$W279&lt;&gt;"OK"),1,0)</f>
        <v>0</v>
      </c>
      <c r="BL279" s="55">
        <f>IF(N($AZ279)=0,0,IFERROR(INDEX($AT$6:$AT$1005,MATCH($AZ279,$AY$6:$AY$1005,0)),0))</f>
        <v>1187.10688</v>
      </c>
      <c r="BM279" s="56">
        <f>IF(ISNUMBER(SEARCH("daily max loss",$BG279)),1,0)</f>
        <v>0</v>
      </c>
    </row>
    <row r="280" ht="18" customHeight="1">
      <c r="A280" s="38" t="n"/>
      <c r="B280" s="39" t="n"/>
      <c r="C280" s="40" t="n"/>
      <c r="D280" s="41" t="n"/>
      <c r="E280" s="41" t="n"/>
      <c r="F280" s="41" t="n"/>
      <c r="G280" s="41" t="n"/>
      <c r="H280" s="42" t="n"/>
      <c r="I280" s="42" t="n"/>
      <c r="J280" s="42" t="n"/>
      <c r="K280" s="42" t="n"/>
      <c r="L280" s="41" t="n"/>
      <c r="M280" s="41" t="n"/>
      <c r="N280" s="41" t="n"/>
      <c r="O280" s="43" t="n"/>
      <c r="P280" s="43" t="n"/>
      <c r="Q280" s="44" t="str">
        <f>IF($AM280=0,"",IF(ISNUMBER($AK280),$AK280-N($AL280),""))</f>
        <v/>
      </c>
      <c r="R280" s="45" t="str">
        <f>IF(OR($Q280="",NOT(ISNUMBER($V280))),"",$AK280/$V280)</f>
        <v/>
      </c>
      <c r="S280" s="46" t="str">
        <f>IF($Q280="","",IF(AND(ISNUMBER($R280),ABS(N($R280))&lt;N(Settings!$C$8)),"Scratch",IF($Q280&gt;0,"Win",IF($Q280&lt;0,"Loss","Scratch"))))</f>
        <v/>
      </c>
      <c r="T280" s="47" t="str">
        <f>IF(OR($AM280=0,NOT(ISNUMBER($H280)),NOT(ISNUMBER($I280)),NOT(ISNUMBER($J280))),"",IF($H280=$I280,"",ROUND(ABS($J280-$H280)/ABS($H280-$I280),6)))</f>
        <v/>
      </c>
      <c r="U280" s="48" t="str">
        <f>IF(OR($S280&lt;&gt;"Win",NOT(ISNUMBER($T280)),NOT(ISNUMBER($R280))),"",MAX(0,$T280-$R280))</f>
        <v/>
      </c>
      <c r="V280" s="49" t="str">
        <f>IF(OR($AM280=0,NOT(ISNUMBER($H280)),NOT(ISNUMBER($I280)),NOT(ISNUMBER($G280))),"",IF(OR($AG280="",$AH280=""),"",IF(ROUND(ABS($H280-$I280)*ABS($G280)*$AG280*$AH280,6)=0,"",ROUND(ABS($H280-$I280)*ABS($G280)*$AG280*$AH280,6))))</f>
        <v/>
      </c>
      <c r="W280" s="50" t="str">
        <f>IF($AM280=0,"",IF($BG280="","OK",LEFT($BG280,LEN($BG280)-2)))</f>
        <v/>
      </c>
      <c r="X280" s="41" t="n"/>
      <c r="Y280" s="40" t="n"/>
      <c r="Z280" s="41" t="n"/>
      <c r="AA280" s="41" t="n"/>
      <c r="AB280" s="40" t="n"/>
      <c r="AC280" s="51" t="n"/>
      <c r="AD280" s="51" t="n"/>
      <c r="AE280" s="40" t="n"/>
      <c r="AF280" s="52" t="str">
        <f>IF($AM280=0,"",IF($D280&lt;&gt;"",$D280,IF(IFERROR(INDEX(Accounts!$C$7:$C$16,MATCH($C280,Accounts!$B$7:$B$16,0))&amp;"","")&lt;&gt;"",INDEX(Accounts!$C$7:$C$16,MATCH($C280,Accounts!$B$7:$B$16,0)),Settings!$C$6)))</f>
        <v/>
      </c>
      <c r="AG280" s="53" t="str">
        <f>IF($AM280=0,"",IF(AND($BE280&gt;0,N(INDEX(Instruments!$D$6:$D$205,MAX(1,$BE280)))&gt;0),INDEX(Instruments!$D$6:$D$205,MAX(1,$BE280)),IF(N(INDEX(Settings!$D$14:$D$18,$BF280))&gt;0,INDEX(Settings!$D$14:$D$18,$BF280),"")))</f>
        <v/>
      </c>
      <c r="AH280" s="54" t="str">
        <f>IF($AM280=0,"",IF($AF280&lt;&gt;"Forex",1,IF(MID(UPPER(SUBSTITUTE(TRIM($E280),"/","")),4,3)=UPPER(TRIM(Settings!$C$7)),1,IF(LEFT(UPPER(SUBSTITUTE(TRIM($E280),"/","")),3)=UPPER(TRIM(Settings!$C$7)),IF(AND(ISNUMBER($K280),N($K280)&lt;&gt;0),1/$K280,""),""))))</f>
        <v/>
      </c>
      <c r="AI280" s="55" t="str">
        <f>IF($AM280=0,"",IF(OR(NOT(ISNUMBER($H280)),NOT(ISNUMBER($K280)),NOT(ISNUMBER($G280)),$AG280="",$AH280=""),"",ROUND(($K280-$H280)*IF($F280="Short",-1,1)*$G280*$AG280*$AH280,6)))</f>
        <v/>
      </c>
      <c r="AJ280" s="55" t="str">
        <f>IF($AM280=0,"",IF(INDEX(Settings!$E$14:$E$18,$BF280)="% of notional",IF(OR($AG280="",NOT(ISNUMBER($H280)),NOT(ISNUMBER($G280))),"",ROUND(ABS($H280*$G280*$AG280*N($AH280))*IF($L280="Limit",N(INDEX(Settings!$G$14:$G$18,$BF280)),N(INDEX(Settings!$H$14:$H$18,$BF280)))+IF(ISNUMBER($K280),ABS($K280*$G280*$AG280*N($AH280))*IF($M280="Target",N(INDEX(Settings!$G$14:$G$18,$BF280)),N(INDEX(Settings!$H$14:$H$18,$BF280))),0),6)),IF(NOT(ISNUMBER($G280)),"",ROUND(ABS($G280)*2*IF(AND($BE280&gt;0,ISNUMBER(INDEX(Instruments!$G$6:$G$205,MAX(1,$BE280)))),INDEX(Instruments!$G$6:$G$205,MAX(1,$BE280)),N(INDEX(Settings!$F$14:$F$18,$BF280))),6))))</f>
        <v/>
      </c>
      <c r="AK280" s="55" t="str">
        <f>IF($AM280=0,"",IF(ISNUMBER($O280),$O280,$AI280))</f>
        <v/>
      </c>
      <c r="AL280" s="55" t="str">
        <f>IF($AM280=0,"",IF(ISNUMBER($P280),$P280,N($AJ280)))</f>
        <v/>
      </c>
      <c r="AM280" s="56">
        <f>IF(AND($A280&lt;&gt;"",$E280&lt;&gt;"",OR(AND(ISNUMBER($G280),ISNUMBER($H280),ISNUMBER($K280)),ISNUMBER($O280))),1,0)</f>
        <v>0</v>
      </c>
      <c r="AN280" s="57" t="str">
        <f>IF($A280="","",$A280-WEEKDAY($A280,3))</f>
        <v/>
      </c>
      <c r="AO280" s="56" t="str">
        <f>IF($A280="","",WEEKDAY($A280,2))</f>
        <v/>
      </c>
      <c r="AP280" s="55" t="str">
        <f>IF(OR($AM280=0,$C280=""),"",IFERROR(N(INDEX(Accounts!$E$7:$E$16,MATCH($C280,Accounts!$B$7:$B$16,0))),0)+SUMIFS($Q$6:$Q280,$C$6:$C280,$C280))</f>
        <v/>
      </c>
      <c r="AQ280" s="55" t="str">
        <f>IF(OR($AM280=0,$C280=""),"",SUMIFS($Q$6:$Q$1005,$C$6:$C$1005,$C280,$A$6:$A$1005,$A280))</f>
        <v/>
      </c>
      <c r="AR280" s="55" t="str">
        <f>IF(OR($AM280=0,$C280=""),"",IFERROR(N(INDEX(Accounts!$E$7:$E$16,MATCH($C280,Accounts!$B$7:$B$16,0))),0)+SUMIFS($Q$6:$Q$1005,$C$6:$C$1005,$C280,$A$6:$A$1005,"&lt;="&amp;$A280))</f>
        <v/>
      </c>
      <c r="AS280" s="56">
        <f>IF(OR($AM280=0,$Q280=""),0,IF(AND($A280&gt;=Lists!$W$6,$A280&lt;=Lists!$W$7,OR(Dashboard!$D$6="All accounts",$C280=Dashboard!$D$6),OR(Dashboard!$D$7="All markets",$AF280=Dashboard!$D$7)),1,0))</f>
        <v>0</v>
      </c>
      <c r="AT280" s="55">
        <f>IF($AS280=1,N(AT279)+$Q280,N(AT279))</f>
        <v>1187.10688</v>
      </c>
      <c r="AU280" s="55">
        <f>MAX(N(AU279),$AT280)</f>
        <v>1187.10688</v>
      </c>
      <c r="AV280" s="55">
        <f>$AT280-$AU280</f>
        <v>0</v>
      </c>
      <c r="AW280" s="56">
        <f>IF($AS280=1,IF($S280="Win",N(AW279)+1,IF($S280="Loss",0,N(AW279))),N(AW279))</f>
        <v>5</v>
      </c>
      <c r="AX280" s="56">
        <f>IF($AS280=1,IF($S280="Loss",N(AX279)+1,IF($S280="Win",0,N(AX279))),N(AX279))</f>
        <v>0</v>
      </c>
      <c r="AY280" s="56" t="str">
        <f>IF($AS280=1,COUNTIF($AS$6:$AS280,1),"")</f>
        <v/>
      </c>
      <c r="AZ280" s="56">
        <f>MIN(274,N(Lists!$W$8))</f>
        <v>28</v>
      </c>
      <c r="BA280" s="56">
        <f>IF($AS280=1,IF(COUNTIFS($A$6:$A280,$A280,$AS$6:$AS280,1)=1,1,0),0)</f>
        <v>0</v>
      </c>
      <c r="BB280" s="55" t="str">
        <f>IF($BA280=1,SUMIFS($Q$6:$Q$1005,$A$6:$A$1005,$A280,$AS$6:$AS$1005,1),"")</f>
        <v/>
      </c>
      <c r="BC280" s="56">
        <f>IF(ISNUMBER($R280),1,0)</f>
        <v>0</v>
      </c>
      <c r="BD280" s="55" t="str">
        <f>IF(ISNUMBER($U280),$U280*$V280,"")</f>
        <v/>
      </c>
      <c r="BE280" s="56" t="str">
        <f>IF($AM280=0,"",IFERROR(MATCH($AF280&amp;"|"&amp;UPPER(TRIM($E280)),Lists!$A$6:$A$205,0),0))</f>
        <v/>
      </c>
      <c r="BF280" s="56" t="str">
        <f>IF($AM280=0,"",IFERROR(MATCH($AF280,Settings!$B$14:$B$18,0),IFERROR(MATCH(Settings!$C$6,Settings!$B$14:$B$18,0),1)))</f>
        <v/>
      </c>
      <c r="BG280" s="58" t="str">
        <f>IF($AM280=0,"",IF(NOT(ISNUMBER($I280)),"No stop; ","")&amp;IF(AND(ISNUMBER($H280),ISNUMBER($I280)),IF(OR(AND($F280&lt;&gt;"Short",$I280&gt;=$H280),AND($F280="Short",$I280&lt;=$H280)),"Stop on wrong side; ",""),"")&amp;IF($F280="","No direction; ","")&amp;IF(AND(ISNUMBER(Settings!$C$22),ISNUMBER($V280)),IF($V280&gt;Settings!$C$22,"Risk over max $; ",""),"")&amp;IF(AND(ISNUMBER(Settings!$C$23),ISNUMBER($V280),ISNUMBER($AP280),IFERROR(N(INDEX(Accounts!$E$7:$E$16,MATCH($C280,Accounts!$B$7:$B$16,0))),0)&gt;0),IF($V280&gt;Settings!$C$23*($AP280-N($Q280)),"Risk over max %; ",""),"")&amp;IF(AND(ISNUMBER(Settings!$C$24),ISNUMBER($N280)),IF($N280&gt;Settings!$C$24,"Leverage over max; ",""),"")&amp;IF(AND(ISNUMBER(Settings!$C$27),ISNUMBER($T280)),IF($T280&lt;Settings!$C$27,"R:R below min; ",""),"")&amp;IF(ISNUMBER(Settings!$C$25),IF(COUNTIFS($A$6:$A280,$A280,$AM$6:$AM280,1)&gt;Settings!$C$25,"Over max trades/day; ",""),"")&amp;IF(ISNUMBER(Settings!$C$26),IF(SUMIFS($Q$5:$Q279,$A$5:$A279,$A280)&lt;=-Settings!$C$26,"Traded after daily max loss; ",""),"")&amp;IF(AND($AG280="",NOT(ISNUMBER($O280))),"Symbol not in Instruments; ","")&amp;IF(AND($AH280="",NOT(ISNUMBER($O280))),"Forex cross: type Gross P&amp;L; ",""))</f>
        <v/>
      </c>
      <c r="BH280" s="56">
        <f>IF(ISNUMBER($Q280),1,0)</f>
        <v>0</v>
      </c>
      <c r="BI280" s="56">
        <f>IF($Y280="",0,1)</f>
        <v>0</v>
      </c>
      <c r="BJ280" s="56">
        <f>IF($AB280="",0,1)</f>
        <v>0</v>
      </c>
      <c r="BK280" s="56">
        <f>IF(AND($BH280=1,$W280&lt;&gt;"OK"),1,0)</f>
        <v>0</v>
      </c>
      <c r="BL280" s="55">
        <f>IF(N($AZ280)=0,0,IFERROR(INDEX($AT$6:$AT$1005,MATCH($AZ280,$AY$6:$AY$1005,0)),0))</f>
        <v>1187.10688</v>
      </c>
      <c r="BM280" s="56">
        <f>IF(ISNUMBER(SEARCH("daily max loss",$BG280)),1,0)</f>
        <v>0</v>
      </c>
    </row>
    <row r="281" ht="18" customHeight="1">
      <c r="A281" s="38" t="n"/>
      <c r="B281" s="39" t="n"/>
      <c r="C281" s="40" t="n"/>
      <c r="D281" s="41" t="n"/>
      <c r="E281" s="41" t="n"/>
      <c r="F281" s="41" t="n"/>
      <c r="G281" s="41" t="n"/>
      <c r="H281" s="42" t="n"/>
      <c r="I281" s="42" t="n"/>
      <c r="J281" s="42" t="n"/>
      <c r="K281" s="42" t="n"/>
      <c r="L281" s="41" t="n"/>
      <c r="M281" s="41" t="n"/>
      <c r="N281" s="41" t="n"/>
      <c r="O281" s="43" t="n"/>
      <c r="P281" s="43" t="n"/>
      <c r="Q281" s="44" t="str">
        <f>IF($AM281=0,"",IF(ISNUMBER($AK281),$AK281-N($AL281),""))</f>
        <v/>
      </c>
      <c r="R281" s="45" t="str">
        <f>IF(OR($Q281="",NOT(ISNUMBER($V281))),"",$AK281/$V281)</f>
        <v/>
      </c>
      <c r="S281" s="46" t="str">
        <f>IF($Q281="","",IF(AND(ISNUMBER($R281),ABS(N($R281))&lt;N(Settings!$C$8)),"Scratch",IF($Q281&gt;0,"Win",IF($Q281&lt;0,"Loss","Scratch"))))</f>
        <v/>
      </c>
      <c r="T281" s="47" t="str">
        <f>IF(OR($AM281=0,NOT(ISNUMBER($H281)),NOT(ISNUMBER($I281)),NOT(ISNUMBER($J281))),"",IF($H281=$I281,"",ROUND(ABS($J281-$H281)/ABS($H281-$I281),6)))</f>
        <v/>
      </c>
      <c r="U281" s="48" t="str">
        <f>IF(OR($S281&lt;&gt;"Win",NOT(ISNUMBER($T281)),NOT(ISNUMBER($R281))),"",MAX(0,$T281-$R281))</f>
        <v/>
      </c>
      <c r="V281" s="49" t="str">
        <f>IF(OR($AM281=0,NOT(ISNUMBER($H281)),NOT(ISNUMBER($I281)),NOT(ISNUMBER($G281))),"",IF(OR($AG281="",$AH281=""),"",IF(ROUND(ABS($H281-$I281)*ABS($G281)*$AG281*$AH281,6)=0,"",ROUND(ABS($H281-$I281)*ABS($G281)*$AG281*$AH281,6))))</f>
        <v/>
      </c>
      <c r="W281" s="50" t="str">
        <f>IF($AM281=0,"",IF($BG281="","OK",LEFT($BG281,LEN($BG281)-2)))</f>
        <v/>
      </c>
      <c r="X281" s="41" t="n"/>
      <c r="Y281" s="40" t="n"/>
      <c r="Z281" s="41" t="n"/>
      <c r="AA281" s="41" t="n"/>
      <c r="AB281" s="40" t="n"/>
      <c r="AC281" s="51" t="n"/>
      <c r="AD281" s="51" t="n"/>
      <c r="AE281" s="40" t="n"/>
      <c r="AF281" s="52" t="str">
        <f>IF($AM281=0,"",IF($D281&lt;&gt;"",$D281,IF(IFERROR(INDEX(Accounts!$C$7:$C$16,MATCH($C281,Accounts!$B$7:$B$16,0))&amp;"","")&lt;&gt;"",INDEX(Accounts!$C$7:$C$16,MATCH($C281,Accounts!$B$7:$B$16,0)),Settings!$C$6)))</f>
        <v/>
      </c>
      <c r="AG281" s="53" t="str">
        <f>IF($AM281=0,"",IF(AND($BE281&gt;0,N(INDEX(Instruments!$D$6:$D$205,MAX(1,$BE281)))&gt;0),INDEX(Instruments!$D$6:$D$205,MAX(1,$BE281)),IF(N(INDEX(Settings!$D$14:$D$18,$BF281))&gt;0,INDEX(Settings!$D$14:$D$18,$BF281),"")))</f>
        <v/>
      </c>
      <c r="AH281" s="54" t="str">
        <f>IF($AM281=0,"",IF($AF281&lt;&gt;"Forex",1,IF(MID(UPPER(SUBSTITUTE(TRIM($E281),"/","")),4,3)=UPPER(TRIM(Settings!$C$7)),1,IF(LEFT(UPPER(SUBSTITUTE(TRIM($E281),"/","")),3)=UPPER(TRIM(Settings!$C$7)),IF(AND(ISNUMBER($K281),N($K281)&lt;&gt;0),1/$K281,""),""))))</f>
        <v/>
      </c>
      <c r="AI281" s="55" t="str">
        <f>IF($AM281=0,"",IF(OR(NOT(ISNUMBER($H281)),NOT(ISNUMBER($K281)),NOT(ISNUMBER($G281)),$AG281="",$AH281=""),"",ROUND(($K281-$H281)*IF($F281="Short",-1,1)*$G281*$AG281*$AH281,6)))</f>
        <v/>
      </c>
      <c r="AJ281" s="55" t="str">
        <f>IF($AM281=0,"",IF(INDEX(Settings!$E$14:$E$18,$BF281)="% of notional",IF(OR($AG281="",NOT(ISNUMBER($H281)),NOT(ISNUMBER($G281))),"",ROUND(ABS($H281*$G281*$AG281*N($AH281))*IF($L281="Limit",N(INDEX(Settings!$G$14:$G$18,$BF281)),N(INDEX(Settings!$H$14:$H$18,$BF281)))+IF(ISNUMBER($K281),ABS($K281*$G281*$AG281*N($AH281))*IF($M281="Target",N(INDEX(Settings!$G$14:$G$18,$BF281)),N(INDEX(Settings!$H$14:$H$18,$BF281))),0),6)),IF(NOT(ISNUMBER($G281)),"",ROUND(ABS($G281)*2*IF(AND($BE281&gt;0,ISNUMBER(INDEX(Instruments!$G$6:$G$205,MAX(1,$BE281)))),INDEX(Instruments!$G$6:$G$205,MAX(1,$BE281)),N(INDEX(Settings!$F$14:$F$18,$BF281))),6))))</f>
        <v/>
      </c>
      <c r="AK281" s="55" t="str">
        <f>IF($AM281=0,"",IF(ISNUMBER($O281),$O281,$AI281))</f>
        <v/>
      </c>
      <c r="AL281" s="55" t="str">
        <f>IF($AM281=0,"",IF(ISNUMBER($P281),$P281,N($AJ281)))</f>
        <v/>
      </c>
      <c r="AM281" s="56">
        <f>IF(AND($A281&lt;&gt;"",$E281&lt;&gt;"",OR(AND(ISNUMBER($G281),ISNUMBER($H281),ISNUMBER($K281)),ISNUMBER($O281))),1,0)</f>
        <v>0</v>
      </c>
      <c r="AN281" s="57" t="str">
        <f>IF($A281="","",$A281-WEEKDAY($A281,3))</f>
        <v/>
      </c>
      <c r="AO281" s="56" t="str">
        <f>IF($A281="","",WEEKDAY($A281,2))</f>
        <v/>
      </c>
      <c r="AP281" s="55" t="str">
        <f>IF(OR($AM281=0,$C281=""),"",IFERROR(N(INDEX(Accounts!$E$7:$E$16,MATCH($C281,Accounts!$B$7:$B$16,0))),0)+SUMIFS($Q$6:$Q281,$C$6:$C281,$C281))</f>
        <v/>
      </c>
      <c r="AQ281" s="55" t="str">
        <f>IF(OR($AM281=0,$C281=""),"",SUMIFS($Q$6:$Q$1005,$C$6:$C$1005,$C281,$A$6:$A$1005,$A281))</f>
        <v/>
      </c>
      <c r="AR281" s="55" t="str">
        <f>IF(OR($AM281=0,$C281=""),"",IFERROR(N(INDEX(Accounts!$E$7:$E$16,MATCH($C281,Accounts!$B$7:$B$16,0))),0)+SUMIFS($Q$6:$Q$1005,$C$6:$C$1005,$C281,$A$6:$A$1005,"&lt;="&amp;$A281))</f>
        <v/>
      </c>
      <c r="AS281" s="56">
        <f>IF(OR($AM281=0,$Q281=""),0,IF(AND($A281&gt;=Lists!$W$6,$A281&lt;=Lists!$W$7,OR(Dashboard!$D$6="All accounts",$C281=Dashboard!$D$6),OR(Dashboard!$D$7="All markets",$AF281=Dashboard!$D$7)),1,0))</f>
        <v>0</v>
      </c>
      <c r="AT281" s="55">
        <f>IF($AS281=1,N(AT280)+$Q281,N(AT280))</f>
        <v>1187.10688</v>
      </c>
      <c r="AU281" s="55">
        <f>MAX(N(AU280),$AT281)</f>
        <v>1187.10688</v>
      </c>
      <c r="AV281" s="55">
        <f>$AT281-$AU281</f>
        <v>0</v>
      </c>
      <c r="AW281" s="56">
        <f>IF($AS281=1,IF($S281="Win",N(AW280)+1,IF($S281="Loss",0,N(AW280))),N(AW280))</f>
        <v>5</v>
      </c>
      <c r="AX281" s="56">
        <f>IF($AS281=1,IF($S281="Loss",N(AX280)+1,IF($S281="Win",0,N(AX280))),N(AX280))</f>
        <v>0</v>
      </c>
      <c r="AY281" s="56" t="str">
        <f>IF($AS281=1,COUNTIF($AS$6:$AS281,1),"")</f>
        <v/>
      </c>
      <c r="AZ281" s="56">
        <f>MIN(275,N(Lists!$W$8))</f>
        <v>28</v>
      </c>
      <c r="BA281" s="56">
        <f>IF($AS281=1,IF(COUNTIFS($A$6:$A281,$A281,$AS$6:$AS281,1)=1,1,0),0)</f>
        <v>0</v>
      </c>
      <c r="BB281" s="55" t="str">
        <f>IF($BA281=1,SUMIFS($Q$6:$Q$1005,$A$6:$A$1005,$A281,$AS$6:$AS$1005,1),"")</f>
        <v/>
      </c>
      <c r="BC281" s="56">
        <f>IF(ISNUMBER($R281),1,0)</f>
        <v>0</v>
      </c>
      <c r="BD281" s="55" t="str">
        <f>IF(ISNUMBER($U281),$U281*$V281,"")</f>
        <v/>
      </c>
      <c r="BE281" s="56" t="str">
        <f>IF($AM281=0,"",IFERROR(MATCH($AF281&amp;"|"&amp;UPPER(TRIM($E281)),Lists!$A$6:$A$205,0),0))</f>
        <v/>
      </c>
      <c r="BF281" s="56" t="str">
        <f>IF($AM281=0,"",IFERROR(MATCH($AF281,Settings!$B$14:$B$18,0),IFERROR(MATCH(Settings!$C$6,Settings!$B$14:$B$18,0),1)))</f>
        <v/>
      </c>
      <c r="BG281" s="58" t="str">
        <f>IF($AM281=0,"",IF(NOT(ISNUMBER($I281)),"No stop; ","")&amp;IF(AND(ISNUMBER($H281),ISNUMBER($I281)),IF(OR(AND($F281&lt;&gt;"Short",$I281&gt;=$H281),AND($F281="Short",$I281&lt;=$H281)),"Stop on wrong side; ",""),"")&amp;IF($F281="","No direction; ","")&amp;IF(AND(ISNUMBER(Settings!$C$22),ISNUMBER($V281)),IF($V281&gt;Settings!$C$22,"Risk over max $; ",""),"")&amp;IF(AND(ISNUMBER(Settings!$C$23),ISNUMBER($V281),ISNUMBER($AP281),IFERROR(N(INDEX(Accounts!$E$7:$E$16,MATCH($C281,Accounts!$B$7:$B$16,0))),0)&gt;0),IF($V281&gt;Settings!$C$23*($AP281-N($Q281)),"Risk over max %; ",""),"")&amp;IF(AND(ISNUMBER(Settings!$C$24),ISNUMBER($N281)),IF($N281&gt;Settings!$C$24,"Leverage over max; ",""),"")&amp;IF(AND(ISNUMBER(Settings!$C$27),ISNUMBER($T281)),IF($T281&lt;Settings!$C$27,"R:R below min; ",""),"")&amp;IF(ISNUMBER(Settings!$C$25),IF(COUNTIFS($A$6:$A281,$A281,$AM$6:$AM281,1)&gt;Settings!$C$25,"Over max trades/day; ",""),"")&amp;IF(ISNUMBER(Settings!$C$26),IF(SUMIFS($Q$5:$Q280,$A$5:$A280,$A281)&lt;=-Settings!$C$26,"Traded after daily max loss; ",""),"")&amp;IF(AND($AG281="",NOT(ISNUMBER($O281))),"Symbol not in Instruments; ","")&amp;IF(AND($AH281="",NOT(ISNUMBER($O281))),"Forex cross: type Gross P&amp;L; ",""))</f>
        <v/>
      </c>
      <c r="BH281" s="56">
        <f>IF(ISNUMBER($Q281),1,0)</f>
        <v>0</v>
      </c>
      <c r="BI281" s="56">
        <f>IF($Y281="",0,1)</f>
        <v>0</v>
      </c>
      <c r="BJ281" s="56">
        <f>IF($AB281="",0,1)</f>
        <v>0</v>
      </c>
      <c r="BK281" s="56">
        <f>IF(AND($BH281=1,$W281&lt;&gt;"OK"),1,0)</f>
        <v>0</v>
      </c>
      <c r="BL281" s="55">
        <f>IF(N($AZ281)=0,0,IFERROR(INDEX($AT$6:$AT$1005,MATCH($AZ281,$AY$6:$AY$1005,0)),0))</f>
        <v>1187.10688</v>
      </c>
      <c r="BM281" s="56">
        <f>IF(ISNUMBER(SEARCH("daily max loss",$BG281)),1,0)</f>
        <v>0</v>
      </c>
    </row>
    <row r="282" ht="18" customHeight="1">
      <c r="A282" s="38" t="n"/>
      <c r="B282" s="39" t="n"/>
      <c r="C282" s="40" t="n"/>
      <c r="D282" s="41" t="n"/>
      <c r="E282" s="41" t="n"/>
      <c r="F282" s="41" t="n"/>
      <c r="G282" s="41" t="n"/>
      <c r="H282" s="42" t="n"/>
      <c r="I282" s="42" t="n"/>
      <c r="J282" s="42" t="n"/>
      <c r="K282" s="42" t="n"/>
      <c r="L282" s="41" t="n"/>
      <c r="M282" s="41" t="n"/>
      <c r="N282" s="41" t="n"/>
      <c r="O282" s="43" t="n"/>
      <c r="P282" s="43" t="n"/>
      <c r="Q282" s="44" t="str">
        <f>IF($AM282=0,"",IF(ISNUMBER($AK282),$AK282-N($AL282),""))</f>
        <v/>
      </c>
      <c r="R282" s="45" t="str">
        <f>IF(OR($Q282="",NOT(ISNUMBER($V282))),"",$AK282/$V282)</f>
        <v/>
      </c>
      <c r="S282" s="46" t="str">
        <f>IF($Q282="","",IF(AND(ISNUMBER($R282),ABS(N($R282))&lt;N(Settings!$C$8)),"Scratch",IF($Q282&gt;0,"Win",IF($Q282&lt;0,"Loss","Scratch"))))</f>
        <v/>
      </c>
      <c r="T282" s="47" t="str">
        <f>IF(OR($AM282=0,NOT(ISNUMBER($H282)),NOT(ISNUMBER($I282)),NOT(ISNUMBER($J282))),"",IF($H282=$I282,"",ROUND(ABS($J282-$H282)/ABS($H282-$I282),6)))</f>
        <v/>
      </c>
      <c r="U282" s="48" t="str">
        <f>IF(OR($S282&lt;&gt;"Win",NOT(ISNUMBER($T282)),NOT(ISNUMBER($R282))),"",MAX(0,$T282-$R282))</f>
        <v/>
      </c>
      <c r="V282" s="49" t="str">
        <f>IF(OR($AM282=0,NOT(ISNUMBER($H282)),NOT(ISNUMBER($I282)),NOT(ISNUMBER($G282))),"",IF(OR($AG282="",$AH282=""),"",IF(ROUND(ABS($H282-$I282)*ABS($G282)*$AG282*$AH282,6)=0,"",ROUND(ABS($H282-$I282)*ABS($G282)*$AG282*$AH282,6))))</f>
        <v/>
      </c>
      <c r="W282" s="50" t="str">
        <f>IF($AM282=0,"",IF($BG282="","OK",LEFT($BG282,LEN($BG282)-2)))</f>
        <v/>
      </c>
      <c r="X282" s="41" t="n"/>
      <c r="Y282" s="40" t="n"/>
      <c r="Z282" s="41" t="n"/>
      <c r="AA282" s="41" t="n"/>
      <c r="AB282" s="40" t="n"/>
      <c r="AC282" s="51" t="n"/>
      <c r="AD282" s="51" t="n"/>
      <c r="AE282" s="40" t="n"/>
      <c r="AF282" s="52" t="str">
        <f>IF($AM282=0,"",IF($D282&lt;&gt;"",$D282,IF(IFERROR(INDEX(Accounts!$C$7:$C$16,MATCH($C282,Accounts!$B$7:$B$16,0))&amp;"","")&lt;&gt;"",INDEX(Accounts!$C$7:$C$16,MATCH($C282,Accounts!$B$7:$B$16,0)),Settings!$C$6)))</f>
        <v/>
      </c>
      <c r="AG282" s="53" t="str">
        <f>IF($AM282=0,"",IF(AND($BE282&gt;0,N(INDEX(Instruments!$D$6:$D$205,MAX(1,$BE282)))&gt;0),INDEX(Instruments!$D$6:$D$205,MAX(1,$BE282)),IF(N(INDEX(Settings!$D$14:$D$18,$BF282))&gt;0,INDEX(Settings!$D$14:$D$18,$BF282),"")))</f>
        <v/>
      </c>
      <c r="AH282" s="54" t="str">
        <f>IF($AM282=0,"",IF($AF282&lt;&gt;"Forex",1,IF(MID(UPPER(SUBSTITUTE(TRIM($E282),"/","")),4,3)=UPPER(TRIM(Settings!$C$7)),1,IF(LEFT(UPPER(SUBSTITUTE(TRIM($E282),"/","")),3)=UPPER(TRIM(Settings!$C$7)),IF(AND(ISNUMBER($K282),N($K282)&lt;&gt;0),1/$K282,""),""))))</f>
        <v/>
      </c>
      <c r="AI282" s="55" t="str">
        <f>IF($AM282=0,"",IF(OR(NOT(ISNUMBER($H282)),NOT(ISNUMBER($K282)),NOT(ISNUMBER($G282)),$AG282="",$AH282=""),"",ROUND(($K282-$H282)*IF($F282="Short",-1,1)*$G282*$AG282*$AH282,6)))</f>
        <v/>
      </c>
      <c r="AJ282" s="55" t="str">
        <f>IF($AM282=0,"",IF(INDEX(Settings!$E$14:$E$18,$BF282)="% of notional",IF(OR($AG282="",NOT(ISNUMBER($H282)),NOT(ISNUMBER($G282))),"",ROUND(ABS($H282*$G282*$AG282*N($AH282))*IF($L282="Limit",N(INDEX(Settings!$G$14:$G$18,$BF282)),N(INDEX(Settings!$H$14:$H$18,$BF282)))+IF(ISNUMBER($K282),ABS($K282*$G282*$AG282*N($AH282))*IF($M282="Target",N(INDEX(Settings!$G$14:$G$18,$BF282)),N(INDEX(Settings!$H$14:$H$18,$BF282))),0),6)),IF(NOT(ISNUMBER($G282)),"",ROUND(ABS($G282)*2*IF(AND($BE282&gt;0,ISNUMBER(INDEX(Instruments!$G$6:$G$205,MAX(1,$BE282)))),INDEX(Instruments!$G$6:$G$205,MAX(1,$BE282)),N(INDEX(Settings!$F$14:$F$18,$BF282))),6))))</f>
        <v/>
      </c>
      <c r="AK282" s="55" t="str">
        <f>IF($AM282=0,"",IF(ISNUMBER($O282),$O282,$AI282))</f>
        <v/>
      </c>
      <c r="AL282" s="55" t="str">
        <f>IF($AM282=0,"",IF(ISNUMBER($P282),$P282,N($AJ282)))</f>
        <v/>
      </c>
      <c r="AM282" s="56">
        <f>IF(AND($A282&lt;&gt;"",$E282&lt;&gt;"",OR(AND(ISNUMBER($G282),ISNUMBER($H282),ISNUMBER($K282)),ISNUMBER($O282))),1,0)</f>
        <v>0</v>
      </c>
      <c r="AN282" s="57" t="str">
        <f>IF($A282="","",$A282-WEEKDAY($A282,3))</f>
        <v/>
      </c>
      <c r="AO282" s="56" t="str">
        <f>IF($A282="","",WEEKDAY($A282,2))</f>
        <v/>
      </c>
      <c r="AP282" s="55" t="str">
        <f>IF(OR($AM282=0,$C282=""),"",IFERROR(N(INDEX(Accounts!$E$7:$E$16,MATCH($C282,Accounts!$B$7:$B$16,0))),0)+SUMIFS($Q$6:$Q282,$C$6:$C282,$C282))</f>
        <v/>
      </c>
      <c r="AQ282" s="55" t="str">
        <f>IF(OR($AM282=0,$C282=""),"",SUMIFS($Q$6:$Q$1005,$C$6:$C$1005,$C282,$A$6:$A$1005,$A282))</f>
        <v/>
      </c>
      <c r="AR282" s="55" t="str">
        <f>IF(OR($AM282=0,$C282=""),"",IFERROR(N(INDEX(Accounts!$E$7:$E$16,MATCH($C282,Accounts!$B$7:$B$16,0))),0)+SUMIFS($Q$6:$Q$1005,$C$6:$C$1005,$C282,$A$6:$A$1005,"&lt;="&amp;$A282))</f>
        <v/>
      </c>
      <c r="AS282" s="56">
        <f>IF(OR($AM282=0,$Q282=""),0,IF(AND($A282&gt;=Lists!$W$6,$A282&lt;=Lists!$W$7,OR(Dashboard!$D$6="All accounts",$C282=Dashboard!$D$6),OR(Dashboard!$D$7="All markets",$AF282=Dashboard!$D$7)),1,0))</f>
        <v>0</v>
      </c>
      <c r="AT282" s="55">
        <f>IF($AS282=1,N(AT281)+$Q282,N(AT281))</f>
        <v>1187.10688</v>
      </c>
      <c r="AU282" s="55">
        <f>MAX(N(AU281),$AT282)</f>
        <v>1187.10688</v>
      </c>
      <c r="AV282" s="55">
        <f>$AT282-$AU282</f>
        <v>0</v>
      </c>
      <c r="AW282" s="56">
        <f>IF($AS282=1,IF($S282="Win",N(AW281)+1,IF($S282="Loss",0,N(AW281))),N(AW281))</f>
        <v>5</v>
      </c>
      <c r="AX282" s="56">
        <f>IF($AS282=1,IF($S282="Loss",N(AX281)+1,IF($S282="Win",0,N(AX281))),N(AX281))</f>
        <v>0</v>
      </c>
      <c r="AY282" s="56" t="str">
        <f>IF($AS282=1,COUNTIF($AS$6:$AS282,1),"")</f>
        <v/>
      </c>
      <c r="AZ282" s="56">
        <f>MIN(276,N(Lists!$W$8))</f>
        <v>28</v>
      </c>
      <c r="BA282" s="56">
        <f>IF($AS282=1,IF(COUNTIFS($A$6:$A282,$A282,$AS$6:$AS282,1)=1,1,0),0)</f>
        <v>0</v>
      </c>
      <c r="BB282" s="55" t="str">
        <f>IF($BA282=1,SUMIFS($Q$6:$Q$1005,$A$6:$A$1005,$A282,$AS$6:$AS$1005,1),"")</f>
        <v/>
      </c>
      <c r="BC282" s="56">
        <f>IF(ISNUMBER($R282),1,0)</f>
        <v>0</v>
      </c>
      <c r="BD282" s="55" t="str">
        <f>IF(ISNUMBER($U282),$U282*$V282,"")</f>
        <v/>
      </c>
      <c r="BE282" s="56" t="str">
        <f>IF($AM282=0,"",IFERROR(MATCH($AF282&amp;"|"&amp;UPPER(TRIM($E282)),Lists!$A$6:$A$205,0),0))</f>
        <v/>
      </c>
      <c r="BF282" s="56" t="str">
        <f>IF($AM282=0,"",IFERROR(MATCH($AF282,Settings!$B$14:$B$18,0),IFERROR(MATCH(Settings!$C$6,Settings!$B$14:$B$18,0),1)))</f>
        <v/>
      </c>
      <c r="BG282" s="58" t="str">
        <f>IF($AM282=0,"",IF(NOT(ISNUMBER($I282)),"No stop; ","")&amp;IF(AND(ISNUMBER($H282),ISNUMBER($I282)),IF(OR(AND($F282&lt;&gt;"Short",$I282&gt;=$H282),AND($F282="Short",$I282&lt;=$H282)),"Stop on wrong side; ",""),"")&amp;IF($F282="","No direction; ","")&amp;IF(AND(ISNUMBER(Settings!$C$22),ISNUMBER($V282)),IF($V282&gt;Settings!$C$22,"Risk over max $; ",""),"")&amp;IF(AND(ISNUMBER(Settings!$C$23),ISNUMBER($V282),ISNUMBER($AP282),IFERROR(N(INDEX(Accounts!$E$7:$E$16,MATCH($C282,Accounts!$B$7:$B$16,0))),0)&gt;0),IF($V282&gt;Settings!$C$23*($AP282-N($Q282)),"Risk over max %; ",""),"")&amp;IF(AND(ISNUMBER(Settings!$C$24),ISNUMBER($N282)),IF($N282&gt;Settings!$C$24,"Leverage over max; ",""),"")&amp;IF(AND(ISNUMBER(Settings!$C$27),ISNUMBER($T282)),IF($T282&lt;Settings!$C$27,"R:R below min; ",""),"")&amp;IF(ISNUMBER(Settings!$C$25),IF(COUNTIFS($A$6:$A282,$A282,$AM$6:$AM282,1)&gt;Settings!$C$25,"Over max trades/day; ",""),"")&amp;IF(ISNUMBER(Settings!$C$26),IF(SUMIFS($Q$5:$Q281,$A$5:$A281,$A282)&lt;=-Settings!$C$26,"Traded after daily max loss; ",""),"")&amp;IF(AND($AG282="",NOT(ISNUMBER($O282))),"Symbol not in Instruments; ","")&amp;IF(AND($AH282="",NOT(ISNUMBER($O282))),"Forex cross: type Gross P&amp;L; ",""))</f>
        <v/>
      </c>
      <c r="BH282" s="56">
        <f>IF(ISNUMBER($Q282),1,0)</f>
        <v>0</v>
      </c>
      <c r="BI282" s="56">
        <f>IF($Y282="",0,1)</f>
        <v>0</v>
      </c>
      <c r="BJ282" s="56">
        <f>IF($AB282="",0,1)</f>
        <v>0</v>
      </c>
      <c r="BK282" s="56">
        <f>IF(AND($BH282=1,$W282&lt;&gt;"OK"),1,0)</f>
        <v>0</v>
      </c>
      <c r="BL282" s="55">
        <f>IF(N($AZ282)=0,0,IFERROR(INDEX($AT$6:$AT$1005,MATCH($AZ282,$AY$6:$AY$1005,0)),0))</f>
        <v>1187.10688</v>
      </c>
      <c r="BM282" s="56">
        <f>IF(ISNUMBER(SEARCH("daily max loss",$BG282)),1,0)</f>
        <v>0</v>
      </c>
    </row>
    <row r="283" ht="18" customHeight="1">
      <c r="A283" s="38" t="n"/>
      <c r="B283" s="39" t="n"/>
      <c r="C283" s="40" t="n"/>
      <c r="D283" s="41" t="n"/>
      <c r="E283" s="41" t="n"/>
      <c r="F283" s="41" t="n"/>
      <c r="G283" s="41" t="n"/>
      <c r="H283" s="42" t="n"/>
      <c r="I283" s="42" t="n"/>
      <c r="J283" s="42" t="n"/>
      <c r="K283" s="42" t="n"/>
      <c r="L283" s="41" t="n"/>
      <c r="M283" s="41" t="n"/>
      <c r="N283" s="41" t="n"/>
      <c r="O283" s="43" t="n"/>
      <c r="P283" s="43" t="n"/>
      <c r="Q283" s="44" t="str">
        <f>IF($AM283=0,"",IF(ISNUMBER($AK283),$AK283-N($AL283),""))</f>
        <v/>
      </c>
      <c r="R283" s="45" t="str">
        <f>IF(OR($Q283="",NOT(ISNUMBER($V283))),"",$AK283/$V283)</f>
        <v/>
      </c>
      <c r="S283" s="46" t="str">
        <f>IF($Q283="","",IF(AND(ISNUMBER($R283),ABS(N($R283))&lt;N(Settings!$C$8)),"Scratch",IF($Q283&gt;0,"Win",IF($Q283&lt;0,"Loss","Scratch"))))</f>
        <v/>
      </c>
      <c r="T283" s="47" t="str">
        <f>IF(OR($AM283=0,NOT(ISNUMBER($H283)),NOT(ISNUMBER($I283)),NOT(ISNUMBER($J283))),"",IF($H283=$I283,"",ROUND(ABS($J283-$H283)/ABS($H283-$I283),6)))</f>
        <v/>
      </c>
      <c r="U283" s="48" t="str">
        <f>IF(OR($S283&lt;&gt;"Win",NOT(ISNUMBER($T283)),NOT(ISNUMBER($R283))),"",MAX(0,$T283-$R283))</f>
        <v/>
      </c>
      <c r="V283" s="49" t="str">
        <f>IF(OR($AM283=0,NOT(ISNUMBER($H283)),NOT(ISNUMBER($I283)),NOT(ISNUMBER($G283))),"",IF(OR($AG283="",$AH283=""),"",IF(ROUND(ABS($H283-$I283)*ABS($G283)*$AG283*$AH283,6)=0,"",ROUND(ABS($H283-$I283)*ABS($G283)*$AG283*$AH283,6))))</f>
        <v/>
      </c>
      <c r="W283" s="50" t="str">
        <f>IF($AM283=0,"",IF($BG283="","OK",LEFT($BG283,LEN($BG283)-2)))</f>
        <v/>
      </c>
      <c r="X283" s="41" t="n"/>
      <c r="Y283" s="40" t="n"/>
      <c r="Z283" s="41" t="n"/>
      <c r="AA283" s="41" t="n"/>
      <c r="AB283" s="40" t="n"/>
      <c r="AC283" s="51" t="n"/>
      <c r="AD283" s="51" t="n"/>
      <c r="AE283" s="40" t="n"/>
      <c r="AF283" s="52" t="str">
        <f>IF($AM283=0,"",IF($D283&lt;&gt;"",$D283,IF(IFERROR(INDEX(Accounts!$C$7:$C$16,MATCH($C283,Accounts!$B$7:$B$16,0))&amp;"","")&lt;&gt;"",INDEX(Accounts!$C$7:$C$16,MATCH($C283,Accounts!$B$7:$B$16,0)),Settings!$C$6)))</f>
        <v/>
      </c>
      <c r="AG283" s="53" t="str">
        <f>IF($AM283=0,"",IF(AND($BE283&gt;0,N(INDEX(Instruments!$D$6:$D$205,MAX(1,$BE283)))&gt;0),INDEX(Instruments!$D$6:$D$205,MAX(1,$BE283)),IF(N(INDEX(Settings!$D$14:$D$18,$BF283))&gt;0,INDEX(Settings!$D$14:$D$18,$BF283),"")))</f>
        <v/>
      </c>
      <c r="AH283" s="54" t="str">
        <f>IF($AM283=0,"",IF($AF283&lt;&gt;"Forex",1,IF(MID(UPPER(SUBSTITUTE(TRIM($E283),"/","")),4,3)=UPPER(TRIM(Settings!$C$7)),1,IF(LEFT(UPPER(SUBSTITUTE(TRIM($E283),"/","")),3)=UPPER(TRIM(Settings!$C$7)),IF(AND(ISNUMBER($K283),N($K283)&lt;&gt;0),1/$K283,""),""))))</f>
        <v/>
      </c>
      <c r="AI283" s="55" t="str">
        <f>IF($AM283=0,"",IF(OR(NOT(ISNUMBER($H283)),NOT(ISNUMBER($K283)),NOT(ISNUMBER($G283)),$AG283="",$AH283=""),"",ROUND(($K283-$H283)*IF($F283="Short",-1,1)*$G283*$AG283*$AH283,6)))</f>
        <v/>
      </c>
      <c r="AJ283" s="55" t="str">
        <f>IF($AM283=0,"",IF(INDEX(Settings!$E$14:$E$18,$BF283)="% of notional",IF(OR($AG283="",NOT(ISNUMBER($H283)),NOT(ISNUMBER($G283))),"",ROUND(ABS($H283*$G283*$AG283*N($AH283))*IF($L283="Limit",N(INDEX(Settings!$G$14:$G$18,$BF283)),N(INDEX(Settings!$H$14:$H$18,$BF283)))+IF(ISNUMBER($K283),ABS($K283*$G283*$AG283*N($AH283))*IF($M283="Target",N(INDEX(Settings!$G$14:$G$18,$BF283)),N(INDEX(Settings!$H$14:$H$18,$BF283))),0),6)),IF(NOT(ISNUMBER($G283)),"",ROUND(ABS($G283)*2*IF(AND($BE283&gt;0,ISNUMBER(INDEX(Instruments!$G$6:$G$205,MAX(1,$BE283)))),INDEX(Instruments!$G$6:$G$205,MAX(1,$BE283)),N(INDEX(Settings!$F$14:$F$18,$BF283))),6))))</f>
        <v/>
      </c>
      <c r="AK283" s="55" t="str">
        <f>IF($AM283=0,"",IF(ISNUMBER($O283),$O283,$AI283))</f>
        <v/>
      </c>
      <c r="AL283" s="55" t="str">
        <f>IF($AM283=0,"",IF(ISNUMBER($P283),$P283,N($AJ283)))</f>
        <v/>
      </c>
      <c r="AM283" s="56">
        <f>IF(AND($A283&lt;&gt;"",$E283&lt;&gt;"",OR(AND(ISNUMBER($G283),ISNUMBER($H283),ISNUMBER($K283)),ISNUMBER($O283))),1,0)</f>
        <v>0</v>
      </c>
      <c r="AN283" s="57" t="str">
        <f>IF($A283="","",$A283-WEEKDAY($A283,3))</f>
        <v/>
      </c>
      <c r="AO283" s="56" t="str">
        <f>IF($A283="","",WEEKDAY($A283,2))</f>
        <v/>
      </c>
      <c r="AP283" s="55" t="str">
        <f>IF(OR($AM283=0,$C283=""),"",IFERROR(N(INDEX(Accounts!$E$7:$E$16,MATCH($C283,Accounts!$B$7:$B$16,0))),0)+SUMIFS($Q$6:$Q283,$C$6:$C283,$C283))</f>
        <v/>
      </c>
      <c r="AQ283" s="55" t="str">
        <f>IF(OR($AM283=0,$C283=""),"",SUMIFS($Q$6:$Q$1005,$C$6:$C$1005,$C283,$A$6:$A$1005,$A283))</f>
        <v/>
      </c>
      <c r="AR283" s="55" t="str">
        <f>IF(OR($AM283=0,$C283=""),"",IFERROR(N(INDEX(Accounts!$E$7:$E$16,MATCH($C283,Accounts!$B$7:$B$16,0))),0)+SUMIFS($Q$6:$Q$1005,$C$6:$C$1005,$C283,$A$6:$A$1005,"&lt;="&amp;$A283))</f>
        <v/>
      </c>
      <c r="AS283" s="56">
        <f>IF(OR($AM283=0,$Q283=""),0,IF(AND($A283&gt;=Lists!$W$6,$A283&lt;=Lists!$W$7,OR(Dashboard!$D$6="All accounts",$C283=Dashboard!$D$6),OR(Dashboard!$D$7="All markets",$AF283=Dashboard!$D$7)),1,0))</f>
        <v>0</v>
      </c>
      <c r="AT283" s="55">
        <f>IF($AS283=1,N(AT282)+$Q283,N(AT282))</f>
        <v>1187.10688</v>
      </c>
      <c r="AU283" s="55">
        <f>MAX(N(AU282),$AT283)</f>
        <v>1187.10688</v>
      </c>
      <c r="AV283" s="55">
        <f>$AT283-$AU283</f>
        <v>0</v>
      </c>
      <c r="AW283" s="56">
        <f>IF($AS283=1,IF($S283="Win",N(AW282)+1,IF($S283="Loss",0,N(AW282))),N(AW282))</f>
        <v>5</v>
      </c>
      <c r="AX283" s="56">
        <f>IF($AS283=1,IF($S283="Loss",N(AX282)+1,IF($S283="Win",0,N(AX282))),N(AX282))</f>
        <v>0</v>
      </c>
      <c r="AY283" s="56" t="str">
        <f>IF($AS283=1,COUNTIF($AS$6:$AS283,1),"")</f>
        <v/>
      </c>
      <c r="AZ283" s="56">
        <f>MIN(277,N(Lists!$W$8))</f>
        <v>28</v>
      </c>
      <c r="BA283" s="56">
        <f>IF($AS283=1,IF(COUNTIFS($A$6:$A283,$A283,$AS$6:$AS283,1)=1,1,0),0)</f>
        <v>0</v>
      </c>
      <c r="BB283" s="55" t="str">
        <f>IF($BA283=1,SUMIFS($Q$6:$Q$1005,$A$6:$A$1005,$A283,$AS$6:$AS$1005,1),"")</f>
        <v/>
      </c>
      <c r="BC283" s="56">
        <f>IF(ISNUMBER($R283),1,0)</f>
        <v>0</v>
      </c>
      <c r="BD283" s="55" t="str">
        <f>IF(ISNUMBER($U283),$U283*$V283,"")</f>
        <v/>
      </c>
      <c r="BE283" s="56" t="str">
        <f>IF($AM283=0,"",IFERROR(MATCH($AF283&amp;"|"&amp;UPPER(TRIM($E283)),Lists!$A$6:$A$205,0),0))</f>
        <v/>
      </c>
      <c r="BF283" s="56" t="str">
        <f>IF($AM283=0,"",IFERROR(MATCH($AF283,Settings!$B$14:$B$18,0),IFERROR(MATCH(Settings!$C$6,Settings!$B$14:$B$18,0),1)))</f>
        <v/>
      </c>
      <c r="BG283" s="58" t="str">
        <f>IF($AM283=0,"",IF(NOT(ISNUMBER($I283)),"No stop; ","")&amp;IF(AND(ISNUMBER($H283),ISNUMBER($I283)),IF(OR(AND($F283&lt;&gt;"Short",$I283&gt;=$H283),AND($F283="Short",$I283&lt;=$H283)),"Stop on wrong side; ",""),"")&amp;IF($F283="","No direction; ","")&amp;IF(AND(ISNUMBER(Settings!$C$22),ISNUMBER($V283)),IF($V283&gt;Settings!$C$22,"Risk over max $; ",""),"")&amp;IF(AND(ISNUMBER(Settings!$C$23),ISNUMBER($V283),ISNUMBER($AP283),IFERROR(N(INDEX(Accounts!$E$7:$E$16,MATCH($C283,Accounts!$B$7:$B$16,0))),0)&gt;0),IF($V283&gt;Settings!$C$23*($AP283-N($Q283)),"Risk over max %; ",""),"")&amp;IF(AND(ISNUMBER(Settings!$C$24),ISNUMBER($N283)),IF($N283&gt;Settings!$C$24,"Leverage over max; ",""),"")&amp;IF(AND(ISNUMBER(Settings!$C$27),ISNUMBER($T283)),IF($T283&lt;Settings!$C$27,"R:R below min; ",""),"")&amp;IF(ISNUMBER(Settings!$C$25),IF(COUNTIFS($A$6:$A283,$A283,$AM$6:$AM283,1)&gt;Settings!$C$25,"Over max trades/day; ",""),"")&amp;IF(ISNUMBER(Settings!$C$26),IF(SUMIFS($Q$5:$Q282,$A$5:$A282,$A283)&lt;=-Settings!$C$26,"Traded after daily max loss; ",""),"")&amp;IF(AND($AG283="",NOT(ISNUMBER($O283))),"Symbol not in Instruments; ","")&amp;IF(AND($AH283="",NOT(ISNUMBER($O283))),"Forex cross: type Gross P&amp;L; ",""))</f>
        <v/>
      </c>
      <c r="BH283" s="56">
        <f>IF(ISNUMBER($Q283),1,0)</f>
        <v>0</v>
      </c>
      <c r="BI283" s="56">
        <f>IF($Y283="",0,1)</f>
        <v>0</v>
      </c>
      <c r="BJ283" s="56">
        <f>IF($AB283="",0,1)</f>
        <v>0</v>
      </c>
      <c r="BK283" s="56">
        <f>IF(AND($BH283=1,$W283&lt;&gt;"OK"),1,0)</f>
        <v>0</v>
      </c>
      <c r="BL283" s="55">
        <f>IF(N($AZ283)=0,0,IFERROR(INDEX($AT$6:$AT$1005,MATCH($AZ283,$AY$6:$AY$1005,0)),0))</f>
        <v>1187.10688</v>
      </c>
      <c r="BM283" s="56">
        <f>IF(ISNUMBER(SEARCH("daily max loss",$BG283)),1,0)</f>
        <v>0</v>
      </c>
    </row>
    <row r="284" ht="18" customHeight="1">
      <c r="A284" s="38" t="n"/>
      <c r="B284" s="39" t="n"/>
      <c r="C284" s="40" t="n"/>
      <c r="D284" s="41" t="n"/>
      <c r="E284" s="41" t="n"/>
      <c r="F284" s="41" t="n"/>
      <c r="G284" s="41" t="n"/>
      <c r="H284" s="42" t="n"/>
      <c r="I284" s="42" t="n"/>
      <c r="J284" s="42" t="n"/>
      <c r="K284" s="42" t="n"/>
      <c r="L284" s="41" t="n"/>
      <c r="M284" s="41" t="n"/>
      <c r="N284" s="41" t="n"/>
      <c r="O284" s="43" t="n"/>
      <c r="P284" s="43" t="n"/>
      <c r="Q284" s="44" t="str">
        <f>IF($AM284=0,"",IF(ISNUMBER($AK284),$AK284-N($AL284),""))</f>
        <v/>
      </c>
      <c r="R284" s="45" t="str">
        <f>IF(OR($Q284="",NOT(ISNUMBER($V284))),"",$AK284/$V284)</f>
        <v/>
      </c>
      <c r="S284" s="46" t="str">
        <f>IF($Q284="","",IF(AND(ISNUMBER($R284),ABS(N($R284))&lt;N(Settings!$C$8)),"Scratch",IF($Q284&gt;0,"Win",IF($Q284&lt;0,"Loss","Scratch"))))</f>
        <v/>
      </c>
      <c r="T284" s="47" t="str">
        <f>IF(OR($AM284=0,NOT(ISNUMBER($H284)),NOT(ISNUMBER($I284)),NOT(ISNUMBER($J284))),"",IF($H284=$I284,"",ROUND(ABS($J284-$H284)/ABS($H284-$I284),6)))</f>
        <v/>
      </c>
      <c r="U284" s="48" t="str">
        <f>IF(OR($S284&lt;&gt;"Win",NOT(ISNUMBER($T284)),NOT(ISNUMBER($R284))),"",MAX(0,$T284-$R284))</f>
        <v/>
      </c>
      <c r="V284" s="49" t="str">
        <f>IF(OR($AM284=0,NOT(ISNUMBER($H284)),NOT(ISNUMBER($I284)),NOT(ISNUMBER($G284))),"",IF(OR($AG284="",$AH284=""),"",IF(ROUND(ABS($H284-$I284)*ABS($G284)*$AG284*$AH284,6)=0,"",ROUND(ABS($H284-$I284)*ABS($G284)*$AG284*$AH284,6))))</f>
        <v/>
      </c>
      <c r="W284" s="50" t="str">
        <f>IF($AM284=0,"",IF($BG284="","OK",LEFT($BG284,LEN($BG284)-2)))</f>
        <v/>
      </c>
      <c r="X284" s="41" t="n"/>
      <c r="Y284" s="40" t="n"/>
      <c r="Z284" s="41" t="n"/>
      <c r="AA284" s="41" t="n"/>
      <c r="AB284" s="40" t="n"/>
      <c r="AC284" s="51" t="n"/>
      <c r="AD284" s="51" t="n"/>
      <c r="AE284" s="40" t="n"/>
      <c r="AF284" s="52" t="str">
        <f>IF($AM284=0,"",IF($D284&lt;&gt;"",$D284,IF(IFERROR(INDEX(Accounts!$C$7:$C$16,MATCH($C284,Accounts!$B$7:$B$16,0))&amp;"","")&lt;&gt;"",INDEX(Accounts!$C$7:$C$16,MATCH($C284,Accounts!$B$7:$B$16,0)),Settings!$C$6)))</f>
        <v/>
      </c>
      <c r="AG284" s="53" t="str">
        <f>IF($AM284=0,"",IF(AND($BE284&gt;0,N(INDEX(Instruments!$D$6:$D$205,MAX(1,$BE284)))&gt;0),INDEX(Instruments!$D$6:$D$205,MAX(1,$BE284)),IF(N(INDEX(Settings!$D$14:$D$18,$BF284))&gt;0,INDEX(Settings!$D$14:$D$18,$BF284),"")))</f>
        <v/>
      </c>
      <c r="AH284" s="54" t="str">
        <f>IF($AM284=0,"",IF($AF284&lt;&gt;"Forex",1,IF(MID(UPPER(SUBSTITUTE(TRIM($E284),"/","")),4,3)=UPPER(TRIM(Settings!$C$7)),1,IF(LEFT(UPPER(SUBSTITUTE(TRIM($E284),"/","")),3)=UPPER(TRIM(Settings!$C$7)),IF(AND(ISNUMBER($K284),N($K284)&lt;&gt;0),1/$K284,""),""))))</f>
        <v/>
      </c>
      <c r="AI284" s="55" t="str">
        <f>IF($AM284=0,"",IF(OR(NOT(ISNUMBER($H284)),NOT(ISNUMBER($K284)),NOT(ISNUMBER($G284)),$AG284="",$AH284=""),"",ROUND(($K284-$H284)*IF($F284="Short",-1,1)*$G284*$AG284*$AH284,6)))</f>
        <v/>
      </c>
      <c r="AJ284" s="55" t="str">
        <f>IF($AM284=0,"",IF(INDEX(Settings!$E$14:$E$18,$BF284)="% of notional",IF(OR($AG284="",NOT(ISNUMBER($H284)),NOT(ISNUMBER($G284))),"",ROUND(ABS($H284*$G284*$AG284*N($AH284))*IF($L284="Limit",N(INDEX(Settings!$G$14:$G$18,$BF284)),N(INDEX(Settings!$H$14:$H$18,$BF284)))+IF(ISNUMBER($K284),ABS($K284*$G284*$AG284*N($AH284))*IF($M284="Target",N(INDEX(Settings!$G$14:$G$18,$BF284)),N(INDEX(Settings!$H$14:$H$18,$BF284))),0),6)),IF(NOT(ISNUMBER($G284)),"",ROUND(ABS($G284)*2*IF(AND($BE284&gt;0,ISNUMBER(INDEX(Instruments!$G$6:$G$205,MAX(1,$BE284)))),INDEX(Instruments!$G$6:$G$205,MAX(1,$BE284)),N(INDEX(Settings!$F$14:$F$18,$BF284))),6))))</f>
        <v/>
      </c>
      <c r="AK284" s="55" t="str">
        <f>IF($AM284=0,"",IF(ISNUMBER($O284),$O284,$AI284))</f>
        <v/>
      </c>
      <c r="AL284" s="55" t="str">
        <f>IF($AM284=0,"",IF(ISNUMBER($P284),$P284,N($AJ284)))</f>
        <v/>
      </c>
      <c r="AM284" s="56">
        <f>IF(AND($A284&lt;&gt;"",$E284&lt;&gt;"",OR(AND(ISNUMBER($G284),ISNUMBER($H284),ISNUMBER($K284)),ISNUMBER($O284))),1,0)</f>
        <v>0</v>
      </c>
      <c r="AN284" s="57" t="str">
        <f>IF($A284="","",$A284-WEEKDAY($A284,3))</f>
        <v/>
      </c>
      <c r="AO284" s="56" t="str">
        <f>IF($A284="","",WEEKDAY($A284,2))</f>
        <v/>
      </c>
      <c r="AP284" s="55" t="str">
        <f>IF(OR($AM284=0,$C284=""),"",IFERROR(N(INDEX(Accounts!$E$7:$E$16,MATCH($C284,Accounts!$B$7:$B$16,0))),0)+SUMIFS($Q$6:$Q284,$C$6:$C284,$C284))</f>
        <v/>
      </c>
      <c r="AQ284" s="55" t="str">
        <f>IF(OR($AM284=0,$C284=""),"",SUMIFS($Q$6:$Q$1005,$C$6:$C$1005,$C284,$A$6:$A$1005,$A284))</f>
        <v/>
      </c>
      <c r="AR284" s="55" t="str">
        <f>IF(OR($AM284=0,$C284=""),"",IFERROR(N(INDEX(Accounts!$E$7:$E$16,MATCH($C284,Accounts!$B$7:$B$16,0))),0)+SUMIFS($Q$6:$Q$1005,$C$6:$C$1005,$C284,$A$6:$A$1005,"&lt;="&amp;$A284))</f>
        <v/>
      </c>
      <c r="AS284" s="56">
        <f>IF(OR($AM284=0,$Q284=""),0,IF(AND($A284&gt;=Lists!$W$6,$A284&lt;=Lists!$W$7,OR(Dashboard!$D$6="All accounts",$C284=Dashboard!$D$6),OR(Dashboard!$D$7="All markets",$AF284=Dashboard!$D$7)),1,0))</f>
        <v>0</v>
      </c>
      <c r="AT284" s="55">
        <f>IF($AS284=1,N(AT283)+$Q284,N(AT283))</f>
        <v>1187.10688</v>
      </c>
      <c r="AU284" s="55">
        <f>MAX(N(AU283),$AT284)</f>
        <v>1187.10688</v>
      </c>
      <c r="AV284" s="55">
        <f>$AT284-$AU284</f>
        <v>0</v>
      </c>
      <c r="AW284" s="56">
        <f>IF($AS284=1,IF($S284="Win",N(AW283)+1,IF($S284="Loss",0,N(AW283))),N(AW283))</f>
        <v>5</v>
      </c>
      <c r="AX284" s="56">
        <f>IF($AS284=1,IF($S284="Loss",N(AX283)+1,IF($S284="Win",0,N(AX283))),N(AX283))</f>
        <v>0</v>
      </c>
      <c r="AY284" s="56" t="str">
        <f>IF($AS284=1,COUNTIF($AS$6:$AS284,1),"")</f>
        <v/>
      </c>
      <c r="AZ284" s="56">
        <f>MIN(278,N(Lists!$W$8))</f>
        <v>28</v>
      </c>
      <c r="BA284" s="56">
        <f>IF($AS284=1,IF(COUNTIFS($A$6:$A284,$A284,$AS$6:$AS284,1)=1,1,0),0)</f>
        <v>0</v>
      </c>
      <c r="BB284" s="55" t="str">
        <f>IF($BA284=1,SUMIFS($Q$6:$Q$1005,$A$6:$A$1005,$A284,$AS$6:$AS$1005,1),"")</f>
        <v/>
      </c>
      <c r="BC284" s="56">
        <f>IF(ISNUMBER($R284),1,0)</f>
        <v>0</v>
      </c>
      <c r="BD284" s="55" t="str">
        <f>IF(ISNUMBER($U284),$U284*$V284,"")</f>
        <v/>
      </c>
      <c r="BE284" s="56" t="str">
        <f>IF($AM284=0,"",IFERROR(MATCH($AF284&amp;"|"&amp;UPPER(TRIM($E284)),Lists!$A$6:$A$205,0),0))</f>
        <v/>
      </c>
      <c r="BF284" s="56" t="str">
        <f>IF($AM284=0,"",IFERROR(MATCH($AF284,Settings!$B$14:$B$18,0),IFERROR(MATCH(Settings!$C$6,Settings!$B$14:$B$18,0),1)))</f>
        <v/>
      </c>
      <c r="BG284" s="58" t="str">
        <f>IF($AM284=0,"",IF(NOT(ISNUMBER($I284)),"No stop; ","")&amp;IF(AND(ISNUMBER($H284),ISNUMBER($I284)),IF(OR(AND($F284&lt;&gt;"Short",$I284&gt;=$H284),AND($F284="Short",$I284&lt;=$H284)),"Stop on wrong side; ",""),"")&amp;IF($F284="","No direction; ","")&amp;IF(AND(ISNUMBER(Settings!$C$22),ISNUMBER($V284)),IF($V284&gt;Settings!$C$22,"Risk over max $; ",""),"")&amp;IF(AND(ISNUMBER(Settings!$C$23),ISNUMBER($V284),ISNUMBER($AP284),IFERROR(N(INDEX(Accounts!$E$7:$E$16,MATCH($C284,Accounts!$B$7:$B$16,0))),0)&gt;0),IF($V284&gt;Settings!$C$23*($AP284-N($Q284)),"Risk over max %; ",""),"")&amp;IF(AND(ISNUMBER(Settings!$C$24),ISNUMBER($N284)),IF($N284&gt;Settings!$C$24,"Leverage over max; ",""),"")&amp;IF(AND(ISNUMBER(Settings!$C$27),ISNUMBER($T284)),IF($T284&lt;Settings!$C$27,"R:R below min; ",""),"")&amp;IF(ISNUMBER(Settings!$C$25),IF(COUNTIFS($A$6:$A284,$A284,$AM$6:$AM284,1)&gt;Settings!$C$25,"Over max trades/day; ",""),"")&amp;IF(ISNUMBER(Settings!$C$26),IF(SUMIFS($Q$5:$Q283,$A$5:$A283,$A284)&lt;=-Settings!$C$26,"Traded after daily max loss; ",""),"")&amp;IF(AND($AG284="",NOT(ISNUMBER($O284))),"Symbol not in Instruments; ","")&amp;IF(AND($AH284="",NOT(ISNUMBER($O284))),"Forex cross: type Gross P&amp;L; ",""))</f>
        <v/>
      </c>
      <c r="BH284" s="56">
        <f>IF(ISNUMBER($Q284),1,0)</f>
        <v>0</v>
      </c>
      <c r="BI284" s="56">
        <f>IF($Y284="",0,1)</f>
        <v>0</v>
      </c>
      <c r="BJ284" s="56">
        <f>IF($AB284="",0,1)</f>
        <v>0</v>
      </c>
      <c r="BK284" s="56">
        <f>IF(AND($BH284=1,$W284&lt;&gt;"OK"),1,0)</f>
        <v>0</v>
      </c>
      <c r="BL284" s="55">
        <f>IF(N($AZ284)=0,0,IFERROR(INDEX($AT$6:$AT$1005,MATCH($AZ284,$AY$6:$AY$1005,0)),0))</f>
        <v>1187.10688</v>
      </c>
      <c r="BM284" s="56">
        <f>IF(ISNUMBER(SEARCH("daily max loss",$BG284)),1,0)</f>
        <v>0</v>
      </c>
    </row>
    <row r="285" ht="18" customHeight="1">
      <c r="A285" s="38" t="n"/>
      <c r="B285" s="39" t="n"/>
      <c r="C285" s="40" t="n"/>
      <c r="D285" s="41" t="n"/>
      <c r="E285" s="41" t="n"/>
      <c r="F285" s="41" t="n"/>
      <c r="G285" s="41" t="n"/>
      <c r="H285" s="42" t="n"/>
      <c r="I285" s="42" t="n"/>
      <c r="J285" s="42" t="n"/>
      <c r="K285" s="42" t="n"/>
      <c r="L285" s="41" t="n"/>
      <c r="M285" s="41" t="n"/>
      <c r="N285" s="41" t="n"/>
      <c r="O285" s="43" t="n"/>
      <c r="P285" s="43" t="n"/>
      <c r="Q285" s="44" t="str">
        <f>IF($AM285=0,"",IF(ISNUMBER($AK285),$AK285-N($AL285),""))</f>
        <v/>
      </c>
      <c r="R285" s="45" t="str">
        <f>IF(OR($Q285="",NOT(ISNUMBER($V285))),"",$AK285/$V285)</f>
        <v/>
      </c>
      <c r="S285" s="46" t="str">
        <f>IF($Q285="","",IF(AND(ISNUMBER($R285),ABS(N($R285))&lt;N(Settings!$C$8)),"Scratch",IF($Q285&gt;0,"Win",IF($Q285&lt;0,"Loss","Scratch"))))</f>
        <v/>
      </c>
      <c r="T285" s="47" t="str">
        <f>IF(OR($AM285=0,NOT(ISNUMBER($H285)),NOT(ISNUMBER($I285)),NOT(ISNUMBER($J285))),"",IF($H285=$I285,"",ROUND(ABS($J285-$H285)/ABS($H285-$I285),6)))</f>
        <v/>
      </c>
      <c r="U285" s="48" t="str">
        <f>IF(OR($S285&lt;&gt;"Win",NOT(ISNUMBER($T285)),NOT(ISNUMBER($R285))),"",MAX(0,$T285-$R285))</f>
        <v/>
      </c>
      <c r="V285" s="49" t="str">
        <f>IF(OR($AM285=0,NOT(ISNUMBER($H285)),NOT(ISNUMBER($I285)),NOT(ISNUMBER($G285))),"",IF(OR($AG285="",$AH285=""),"",IF(ROUND(ABS($H285-$I285)*ABS($G285)*$AG285*$AH285,6)=0,"",ROUND(ABS($H285-$I285)*ABS($G285)*$AG285*$AH285,6))))</f>
        <v/>
      </c>
      <c r="W285" s="50" t="str">
        <f>IF($AM285=0,"",IF($BG285="","OK",LEFT($BG285,LEN($BG285)-2)))</f>
        <v/>
      </c>
      <c r="X285" s="41" t="n"/>
      <c r="Y285" s="40" t="n"/>
      <c r="Z285" s="41" t="n"/>
      <c r="AA285" s="41" t="n"/>
      <c r="AB285" s="40" t="n"/>
      <c r="AC285" s="51" t="n"/>
      <c r="AD285" s="51" t="n"/>
      <c r="AE285" s="40" t="n"/>
      <c r="AF285" s="52" t="str">
        <f>IF($AM285=0,"",IF($D285&lt;&gt;"",$D285,IF(IFERROR(INDEX(Accounts!$C$7:$C$16,MATCH($C285,Accounts!$B$7:$B$16,0))&amp;"","")&lt;&gt;"",INDEX(Accounts!$C$7:$C$16,MATCH($C285,Accounts!$B$7:$B$16,0)),Settings!$C$6)))</f>
        <v/>
      </c>
      <c r="AG285" s="53" t="str">
        <f>IF($AM285=0,"",IF(AND($BE285&gt;0,N(INDEX(Instruments!$D$6:$D$205,MAX(1,$BE285)))&gt;0),INDEX(Instruments!$D$6:$D$205,MAX(1,$BE285)),IF(N(INDEX(Settings!$D$14:$D$18,$BF285))&gt;0,INDEX(Settings!$D$14:$D$18,$BF285),"")))</f>
        <v/>
      </c>
      <c r="AH285" s="54" t="str">
        <f>IF($AM285=0,"",IF($AF285&lt;&gt;"Forex",1,IF(MID(UPPER(SUBSTITUTE(TRIM($E285),"/","")),4,3)=UPPER(TRIM(Settings!$C$7)),1,IF(LEFT(UPPER(SUBSTITUTE(TRIM($E285),"/","")),3)=UPPER(TRIM(Settings!$C$7)),IF(AND(ISNUMBER($K285),N($K285)&lt;&gt;0),1/$K285,""),""))))</f>
        <v/>
      </c>
      <c r="AI285" s="55" t="str">
        <f>IF($AM285=0,"",IF(OR(NOT(ISNUMBER($H285)),NOT(ISNUMBER($K285)),NOT(ISNUMBER($G285)),$AG285="",$AH285=""),"",ROUND(($K285-$H285)*IF($F285="Short",-1,1)*$G285*$AG285*$AH285,6)))</f>
        <v/>
      </c>
      <c r="AJ285" s="55" t="str">
        <f>IF($AM285=0,"",IF(INDEX(Settings!$E$14:$E$18,$BF285)="% of notional",IF(OR($AG285="",NOT(ISNUMBER($H285)),NOT(ISNUMBER($G285))),"",ROUND(ABS($H285*$G285*$AG285*N($AH285))*IF($L285="Limit",N(INDEX(Settings!$G$14:$G$18,$BF285)),N(INDEX(Settings!$H$14:$H$18,$BF285)))+IF(ISNUMBER($K285),ABS($K285*$G285*$AG285*N($AH285))*IF($M285="Target",N(INDEX(Settings!$G$14:$G$18,$BF285)),N(INDEX(Settings!$H$14:$H$18,$BF285))),0),6)),IF(NOT(ISNUMBER($G285)),"",ROUND(ABS($G285)*2*IF(AND($BE285&gt;0,ISNUMBER(INDEX(Instruments!$G$6:$G$205,MAX(1,$BE285)))),INDEX(Instruments!$G$6:$G$205,MAX(1,$BE285)),N(INDEX(Settings!$F$14:$F$18,$BF285))),6))))</f>
        <v/>
      </c>
      <c r="AK285" s="55" t="str">
        <f>IF($AM285=0,"",IF(ISNUMBER($O285),$O285,$AI285))</f>
        <v/>
      </c>
      <c r="AL285" s="55" t="str">
        <f>IF($AM285=0,"",IF(ISNUMBER($P285),$P285,N($AJ285)))</f>
        <v/>
      </c>
      <c r="AM285" s="56">
        <f>IF(AND($A285&lt;&gt;"",$E285&lt;&gt;"",OR(AND(ISNUMBER($G285),ISNUMBER($H285),ISNUMBER($K285)),ISNUMBER($O285))),1,0)</f>
        <v>0</v>
      </c>
      <c r="AN285" s="57" t="str">
        <f>IF($A285="","",$A285-WEEKDAY($A285,3))</f>
        <v/>
      </c>
      <c r="AO285" s="56" t="str">
        <f>IF($A285="","",WEEKDAY($A285,2))</f>
        <v/>
      </c>
      <c r="AP285" s="55" t="str">
        <f>IF(OR($AM285=0,$C285=""),"",IFERROR(N(INDEX(Accounts!$E$7:$E$16,MATCH($C285,Accounts!$B$7:$B$16,0))),0)+SUMIFS($Q$6:$Q285,$C$6:$C285,$C285))</f>
        <v/>
      </c>
      <c r="AQ285" s="55" t="str">
        <f>IF(OR($AM285=0,$C285=""),"",SUMIFS($Q$6:$Q$1005,$C$6:$C$1005,$C285,$A$6:$A$1005,$A285))</f>
        <v/>
      </c>
      <c r="AR285" s="55" t="str">
        <f>IF(OR($AM285=0,$C285=""),"",IFERROR(N(INDEX(Accounts!$E$7:$E$16,MATCH($C285,Accounts!$B$7:$B$16,0))),0)+SUMIFS($Q$6:$Q$1005,$C$6:$C$1005,$C285,$A$6:$A$1005,"&lt;="&amp;$A285))</f>
        <v/>
      </c>
      <c r="AS285" s="56">
        <f>IF(OR($AM285=0,$Q285=""),0,IF(AND($A285&gt;=Lists!$W$6,$A285&lt;=Lists!$W$7,OR(Dashboard!$D$6="All accounts",$C285=Dashboard!$D$6),OR(Dashboard!$D$7="All markets",$AF285=Dashboard!$D$7)),1,0))</f>
        <v>0</v>
      </c>
      <c r="AT285" s="55">
        <f>IF($AS285=1,N(AT284)+$Q285,N(AT284))</f>
        <v>1187.10688</v>
      </c>
      <c r="AU285" s="55">
        <f>MAX(N(AU284),$AT285)</f>
        <v>1187.10688</v>
      </c>
      <c r="AV285" s="55">
        <f>$AT285-$AU285</f>
        <v>0</v>
      </c>
      <c r="AW285" s="56">
        <f>IF($AS285=1,IF($S285="Win",N(AW284)+1,IF($S285="Loss",0,N(AW284))),N(AW284))</f>
        <v>5</v>
      </c>
      <c r="AX285" s="56">
        <f>IF($AS285=1,IF($S285="Loss",N(AX284)+1,IF($S285="Win",0,N(AX284))),N(AX284))</f>
        <v>0</v>
      </c>
      <c r="AY285" s="56" t="str">
        <f>IF($AS285=1,COUNTIF($AS$6:$AS285,1),"")</f>
        <v/>
      </c>
      <c r="AZ285" s="56">
        <f>MIN(279,N(Lists!$W$8))</f>
        <v>28</v>
      </c>
      <c r="BA285" s="56">
        <f>IF($AS285=1,IF(COUNTIFS($A$6:$A285,$A285,$AS$6:$AS285,1)=1,1,0),0)</f>
        <v>0</v>
      </c>
      <c r="BB285" s="55" t="str">
        <f>IF($BA285=1,SUMIFS($Q$6:$Q$1005,$A$6:$A$1005,$A285,$AS$6:$AS$1005,1),"")</f>
        <v/>
      </c>
      <c r="BC285" s="56">
        <f>IF(ISNUMBER($R285),1,0)</f>
        <v>0</v>
      </c>
      <c r="BD285" s="55" t="str">
        <f>IF(ISNUMBER($U285),$U285*$V285,"")</f>
        <v/>
      </c>
      <c r="BE285" s="56" t="str">
        <f>IF($AM285=0,"",IFERROR(MATCH($AF285&amp;"|"&amp;UPPER(TRIM($E285)),Lists!$A$6:$A$205,0),0))</f>
        <v/>
      </c>
      <c r="BF285" s="56" t="str">
        <f>IF($AM285=0,"",IFERROR(MATCH($AF285,Settings!$B$14:$B$18,0),IFERROR(MATCH(Settings!$C$6,Settings!$B$14:$B$18,0),1)))</f>
        <v/>
      </c>
      <c r="BG285" s="58" t="str">
        <f>IF($AM285=0,"",IF(NOT(ISNUMBER($I285)),"No stop; ","")&amp;IF(AND(ISNUMBER($H285),ISNUMBER($I285)),IF(OR(AND($F285&lt;&gt;"Short",$I285&gt;=$H285),AND($F285="Short",$I285&lt;=$H285)),"Stop on wrong side; ",""),"")&amp;IF($F285="","No direction; ","")&amp;IF(AND(ISNUMBER(Settings!$C$22),ISNUMBER($V285)),IF($V285&gt;Settings!$C$22,"Risk over max $; ",""),"")&amp;IF(AND(ISNUMBER(Settings!$C$23),ISNUMBER($V285),ISNUMBER($AP285),IFERROR(N(INDEX(Accounts!$E$7:$E$16,MATCH($C285,Accounts!$B$7:$B$16,0))),0)&gt;0),IF($V285&gt;Settings!$C$23*($AP285-N($Q285)),"Risk over max %; ",""),"")&amp;IF(AND(ISNUMBER(Settings!$C$24),ISNUMBER($N285)),IF($N285&gt;Settings!$C$24,"Leverage over max; ",""),"")&amp;IF(AND(ISNUMBER(Settings!$C$27),ISNUMBER($T285)),IF($T285&lt;Settings!$C$27,"R:R below min; ",""),"")&amp;IF(ISNUMBER(Settings!$C$25),IF(COUNTIFS($A$6:$A285,$A285,$AM$6:$AM285,1)&gt;Settings!$C$25,"Over max trades/day; ",""),"")&amp;IF(ISNUMBER(Settings!$C$26),IF(SUMIFS($Q$5:$Q284,$A$5:$A284,$A285)&lt;=-Settings!$C$26,"Traded after daily max loss; ",""),"")&amp;IF(AND($AG285="",NOT(ISNUMBER($O285))),"Symbol not in Instruments; ","")&amp;IF(AND($AH285="",NOT(ISNUMBER($O285))),"Forex cross: type Gross P&amp;L; ",""))</f>
        <v/>
      </c>
      <c r="BH285" s="56">
        <f>IF(ISNUMBER($Q285),1,0)</f>
        <v>0</v>
      </c>
      <c r="BI285" s="56">
        <f>IF($Y285="",0,1)</f>
        <v>0</v>
      </c>
      <c r="BJ285" s="56">
        <f>IF($AB285="",0,1)</f>
        <v>0</v>
      </c>
      <c r="BK285" s="56">
        <f>IF(AND($BH285=1,$W285&lt;&gt;"OK"),1,0)</f>
        <v>0</v>
      </c>
      <c r="BL285" s="55">
        <f>IF(N($AZ285)=0,0,IFERROR(INDEX($AT$6:$AT$1005,MATCH($AZ285,$AY$6:$AY$1005,0)),0))</f>
        <v>1187.10688</v>
      </c>
      <c r="BM285" s="56">
        <f>IF(ISNUMBER(SEARCH("daily max loss",$BG285)),1,0)</f>
        <v>0</v>
      </c>
    </row>
    <row r="286" ht="18" customHeight="1">
      <c r="A286" s="38" t="n"/>
      <c r="B286" s="39" t="n"/>
      <c r="C286" s="40" t="n"/>
      <c r="D286" s="41" t="n"/>
      <c r="E286" s="41" t="n"/>
      <c r="F286" s="41" t="n"/>
      <c r="G286" s="41" t="n"/>
      <c r="H286" s="42" t="n"/>
      <c r="I286" s="42" t="n"/>
      <c r="J286" s="42" t="n"/>
      <c r="K286" s="42" t="n"/>
      <c r="L286" s="41" t="n"/>
      <c r="M286" s="41" t="n"/>
      <c r="N286" s="41" t="n"/>
      <c r="O286" s="43" t="n"/>
      <c r="P286" s="43" t="n"/>
      <c r="Q286" s="44" t="str">
        <f>IF($AM286=0,"",IF(ISNUMBER($AK286),$AK286-N($AL286),""))</f>
        <v/>
      </c>
      <c r="R286" s="45" t="str">
        <f>IF(OR($Q286="",NOT(ISNUMBER($V286))),"",$AK286/$V286)</f>
        <v/>
      </c>
      <c r="S286" s="46" t="str">
        <f>IF($Q286="","",IF(AND(ISNUMBER($R286),ABS(N($R286))&lt;N(Settings!$C$8)),"Scratch",IF($Q286&gt;0,"Win",IF($Q286&lt;0,"Loss","Scratch"))))</f>
        <v/>
      </c>
      <c r="T286" s="47" t="str">
        <f>IF(OR($AM286=0,NOT(ISNUMBER($H286)),NOT(ISNUMBER($I286)),NOT(ISNUMBER($J286))),"",IF($H286=$I286,"",ROUND(ABS($J286-$H286)/ABS($H286-$I286),6)))</f>
        <v/>
      </c>
      <c r="U286" s="48" t="str">
        <f>IF(OR($S286&lt;&gt;"Win",NOT(ISNUMBER($T286)),NOT(ISNUMBER($R286))),"",MAX(0,$T286-$R286))</f>
        <v/>
      </c>
      <c r="V286" s="49" t="str">
        <f>IF(OR($AM286=0,NOT(ISNUMBER($H286)),NOT(ISNUMBER($I286)),NOT(ISNUMBER($G286))),"",IF(OR($AG286="",$AH286=""),"",IF(ROUND(ABS($H286-$I286)*ABS($G286)*$AG286*$AH286,6)=0,"",ROUND(ABS($H286-$I286)*ABS($G286)*$AG286*$AH286,6))))</f>
        <v/>
      </c>
      <c r="W286" s="50" t="str">
        <f>IF($AM286=0,"",IF($BG286="","OK",LEFT($BG286,LEN($BG286)-2)))</f>
        <v/>
      </c>
      <c r="X286" s="41" t="n"/>
      <c r="Y286" s="40" t="n"/>
      <c r="Z286" s="41" t="n"/>
      <c r="AA286" s="41" t="n"/>
      <c r="AB286" s="40" t="n"/>
      <c r="AC286" s="51" t="n"/>
      <c r="AD286" s="51" t="n"/>
      <c r="AE286" s="40" t="n"/>
      <c r="AF286" s="52" t="str">
        <f>IF($AM286=0,"",IF($D286&lt;&gt;"",$D286,IF(IFERROR(INDEX(Accounts!$C$7:$C$16,MATCH($C286,Accounts!$B$7:$B$16,0))&amp;"","")&lt;&gt;"",INDEX(Accounts!$C$7:$C$16,MATCH($C286,Accounts!$B$7:$B$16,0)),Settings!$C$6)))</f>
        <v/>
      </c>
      <c r="AG286" s="53" t="str">
        <f>IF($AM286=0,"",IF(AND($BE286&gt;0,N(INDEX(Instruments!$D$6:$D$205,MAX(1,$BE286)))&gt;0),INDEX(Instruments!$D$6:$D$205,MAX(1,$BE286)),IF(N(INDEX(Settings!$D$14:$D$18,$BF286))&gt;0,INDEX(Settings!$D$14:$D$18,$BF286),"")))</f>
        <v/>
      </c>
      <c r="AH286" s="54" t="str">
        <f>IF($AM286=0,"",IF($AF286&lt;&gt;"Forex",1,IF(MID(UPPER(SUBSTITUTE(TRIM($E286),"/","")),4,3)=UPPER(TRIM(Settings!$C$7)),1,IF(LEFT(UPPER(SUBSTITUTE(TRIM($E286),"/","")),3)=UPPER(TRIM(Settings!$C$7)),IF(AND(ISNUMBER($K286),N($K286)&lt;&gt;0),1/$K286,""),""))))</f>
        <v/>
      </c>
      <c r="AI286" s="55" t="str">
        <f>IF($AM286=0,"",IF(OR(NOT(ISNUMBER($H286)),NOT(ISNUMBER($K286)),NOT(ISNUMBER($G286)),$AG286="",$AH286=""),"",ROUND(($K286-$H286)*IF($F286="Short",-1,1)*$G286*$AG286*$AH286,6)))</f>
        <v/>
      </c>
      <c r="AJ286" s="55" t="str">
        <f>IF($AM286=0,"",IF(INDEX(Settings!$E$14:$E$18,$BF286)="% of notional",IF(OR($AG286="",NOT(ISNUMBER($H286)),NOT(ISNUMBER($G286))),"",ROUND(ABS($H286*$G286*$AG286*N($AH286))*IF($L286="Limit",N(INDEX(Settings!$G$14:$G$18,$BF286)),N(INDEX(Settings!$H$14:$H$18,$BF286)))+IF(ISNUMBER($K286),ABS($K286*$G286*$AG286*N($AH286))*IF($M286="Target",N(INDEX(Settings!$G$14:$G$18,$BF286)),N(INDEX(Settings!$H$14:$H$18,$BF286))),0),6)),IF(NOT(ISNUMBER($G286)),"",ROUND(ABS($G286)*2*IF(AND($BE286&gt;0,ISNUMBER(INDEX(Instruments!$G$6:$G$205,MAX(1,$BE286)))),INDEX(Instruments!$G$6:$G$205,MAX(1,$BE286)),N(INDEX(Settings!$F$14:$F$18,$BF286))),6))))</f>
        <v/>
      </c>
      <c r="AK286" s="55" t="str">
        <f>IF($AM286=0,"",IF(ISNUMBER($O286),$O286,$AI286))</f>
        <v/>
      </c>
      <c r="AL286" s="55" t="str">
        <f>IF($AM286=0,"",IF(ISNUMBER($P286),$P286,N($AJ286)))</f>
        <v/>
      </c>
      <c r="AM286" s="56">
        <f>IF(AND($A286&lt;&gt;"",$E286&lt;&gt;"",OR(AND(ISNUMBER($G286),ISNUMBER($H286),ISNUMBER($K286)),ISNUMBER($O286))),1,0)</f>
        <v>0</v>
      </c>
      <c r="AN286" s="57" t="str">
        <f>IF($A286="","",$A286-WEEKDAY($A286,3))</f>
        <v/>
      </c>
      <c r="AO286" s="56" t="str">
        <f>IF($A286="","",WEEKDAY($A286,2))</f>
        <v/>
      </c>
      <c r="AP286" s="55" t="str">
        <f>IF(OR($AM286=0,$C286=""),"",IFERROR(N(INDEX(Accounts!$E$7:$E$16,MATCH($C286,Accounts!$B$7:$B$16,0))),0)+SUMIFS($Q$6:$Q286,$C$6:$C286,$C286))</f>
        <v/>
      </c>
      <c r="AQ286" s="55" t="str">
        <f>IF(OR($AM286=0,$C286=""),"",SUMIFS($Q$6:$Q$1005,$C$6:$C$1005,$C286,$A$6:$A$1005,$A286))</f>
        <v/>
      </c>
      <c r="AR286" s="55" t="str">
        <f>IF(OR($AM286=0,$C286=""),"",IFERROR(N(INDEX(Accounts!$E$7:$E$16,MATCH($C286,Accounts!$B$7:$B$16,0))),0)+SUMIFS($Q$6:$Q$1005,$C$6:$C$1005,$C286,$A$6:$A$1005,"&lt;="&amp;$A286))</f>
        <v/>
      </c>
      <c r="AS286" s="56">
        <f>IF(OR($AM286=0,$Q286=""),0,IF(AND($A286&gt;=Lists!$W$6,$A286&lt;=Lists!$W$7,OR(Dashboard!$D$6="All accounts",$C286=Dashboard!$D$6),OR(Dashboard!$D$7="All markets",$AF286=Dashboard!$D$7)),1,0))</f>
        <v>0</v>
      </c>
      <c r="AT286" s="55">
        <f>IF($AS286=1,N(AT285)+$Q286,N(AT285))</f>
        <v>1187.10688</v>
      </c>
      <c r="AU286" s="55">
        <f>MAX(N(AU285),$AT286)</f>
        <v>1187.10688</v>
      </c>
      <c r="AV286" s="55">
        <f>$AT286-$AU286</f>
        <v>0</v>
      </c>
      <c r="AW286" s="56">
        <f>IF($AS286=1,IF($S286="Win",N(AW285)+1,IF($S286="Loss",0,N(AW285))),N(AW285))</f>
        <v>5</v>
      </c>
      <c r="AX286" s="56">
        <f>IF($AS286=1,IF($S286="Loss",N(AX285)+1,IF($S286="Win",0,N(AX285))),N(AX285))</f>
        <v>0</v>
      </c>
      <c r="AY286" s="56" t="str">
        <f>IF($AS286=1,COUNTIF($AS$6:$AS286,1),"")</f>
        <v/>
      </c>
      <c r="AZ286" s="56">
        <f>MIN(280,N(Lists!$W$8))</f>
        <v>28</v>
      </c>
      <c r="BA286" s="56">
        <f>IF($AS286=1,IF(COUNTIFS($A$6:$A286,$A286,$AS$6:$AS286,1)=1,1,0),0)</f>
        <v>0</v>
      </c>
      <c r="BB286" s="55" t="str">
        <f>IF($BA286=1,SUMIFS($Q$6:$Q$1005,$A$6:$A$1005,$A286,$AS$6:$AS$1005,1),"")</f>
        <v/>
      </c>
      <c r="BC286" s="56">
        <f>IF(ISNUMBER($R286),1,0)</f>
        <v>0</v>
      </c>
      <c r="BD286" s="55" t="str">
        <f>IF(ISNUMBER($U286),$U286*$V286,"")</f>
        <v/>
      </c>
      <c r="BE286" s="56" t="str">
        <f>IF($AM286=0,"",IFERROR(MATCH($AF286&amp;"|"&amp;UPPER(TRIM($E286)),Lists!$A$6:$A$205,0),0))</f>
        <v/>
      </c>
      <c r="BF286" s="56" t="str">
        <f>IF($AM286=0,"",IFERROR(MATCH($AF286,Settings!$B$14:$B$18,0),IFERROR(MATCH(Settings!$C$6,Settings!$B$14:$B$18,0),1)))</f>
        <v/>
      </c>
      <c r="BG286" s="58" t="str">
        <f>IF($AM286=0,"",IF(NOT(ISNUMBER($I286)),"No stop; ","")&amp;IF(AND(ISNUMBER($H286),ISNUMBER($I286)),IF(OR(AND($F286&lt;&gt;"Short",$I286&gt;=$H286),AND($F286="Short",$I286&lt;=$H286)),"Stop on wrong side; ",""),"")&amp;IF($F286="","No direction; ","")&amp;IF(AND(ISNUMBER(Settings!$C$22),ISNUMBER($V286)),IF($V286&gt;Settings!$C$22,"Risk over max $; ",""),"")&amp;IF(AND(ISNUMBER(Settings!$C$23),ISNUMBER($V286),ISNUMBER($AP286),IFERROR(N(INDEX(Accounts!$E$7:$E$16,MATCH($C286,Accounts!$B$7:$B$16,0))),0)&gt;0),IF($V286&gt;Settings!$C$23*($AP286-N($Q286)),"Risk over max %; ",""),"")&amp;IF(AND(ISNUMBER(Settings!$C$24),ISNUMBER($N286)),IF($N286&gt;Settings!$C$24,"Leverage over max; ",""),"")&amp;IF(AND(ISNUMBER(Settings!$C$27),ISNUMBER($T286)),IF($T286&lt;Settings!$C$27,"R:R below min; ",""),"")&amp;IF(ISNUMBER(Settings!$C$25),IF(COUNTIFS($A$6:$A286,$A286,$AM$6:$AM286,1)&gt;Settings!$C$25,"Over max trades/day; ",""),"")&amp;IF(ISNUMBER(Settings!$C$26),IF(SUMIFS($Q$5:$Q285,$A$5:$A285,$A286)&lt;=-Settings!$C$26,"Traded after daily max loss; ",""),"")&amp;IF(AND($AG286="",NOT(ISNUMBER($O286))),"Symbol not in Instruments; ","")&amp;IF(AND($AH286="",NOT(ISNUMBER($O286))),"Forex cross: type Gross P&amp;L; ",""))</f>
        <v/>
      </c>
      <c r="BH286" s="56">
        <f>IF(ISNUMBER($Q286),1,0)</f>
        <v>0</v>
      </c>
      <c r="BI286" s="56">
        <f>IF($Y286="",0,1)</f>
        <v>0</v>
      </c>
      <c r="BJ286" s="56">
        <f>IF($AB286="",0,1)</f>
        <v>0</v>
      </c>
      <c r="BK286" s="56">
        <f>IF(AND($BH286=1,$W286&lt;&gt;"OK"),1,0)</f>
        <v>0</v>
      </c>
      <c r="BL286" s="55">
        <f>IF(N($AZ286)=0,0,IFERROR(INDEX($AT$6:$AT$1005,MATCH($AZ286,$AY$6:$AY$1005,0)),0))</f>
        <v>1187.10688</v>
      </c>
      <c r="BM286" s="56">
        <f>IF(ISNUMBER(SEARCH("daily max loss",$BG286)),1,0)</f>
        <v>0</v>
      </c>
    </row>
    <row r="287" ht="18" customHeight="1">
      <c r="A287" s="38" t="n"/>
      <c r="B287" s="39" t="n"/>
      <c r="C287" s="40" t="n"/>
      <c r="D287" s="41" t="n"/>
      <c r="E287" s="41" t="n"/>
      <c r="F287" s="41" t="n"/>
      <c r="G287" s="41" t="n"/>
      <c r="H287" s="42" t="n"/>
      <c r="I287" s="42" t="n"/>
      <c r="J287" s="42" t="n"/>
      <c r="K287" s="42" t="n"/>
      <c r="L287" s="41" t="n"/>
      <c r="M287" s="41" t="n"/>
      <c r="N287" s="41" t="n"/>
      <c r="O287" s="43" t="n"/>
      <c r="P287" s="43" t="n"/>
      <c r="Q287" s="44" t="str">
        <f>IF($AM287=0,"",IF(ISNUMBER($AK287),$AK287-N($AL287),""))</f>
        <v/>
      </c>
      <c r="R287" s="45" t="str">
        <f>IF(OR($Q287="",NOT(ISNUMBER($V287))),"",$AK287/$V287)</f>
        <v/>
      </c>
      <c r="S287" s="46" t="str">
        <f>IF($Q287="","",IF(AND(ISNUMBER($R287),ABS(N($R287))&lt;N(Settings!$C$8)),"Scratch",IF($Q287&gt;0,"Win",IF($Q287&lt;0,"Loss","Scratch"))))</f>
        <v/>
      </c>
      <c r="T287" s="47" t="str">
        <f>IF(OR($AM287=0,NOT(ISNUMBER($H287)),NOT(ISNUMBER($I287)),NOT(ISNUMBER($J287))),"",IF($H287=$I287,"",ROUND(ABS($J287-$H287)/ABS($H287-$I287),6)))</f>
        <v/>
      </c>
      <c r="U287" s="48" t="str">
        <f>IF(OR($S287&lt;&gt;"Win",NOT(ISNUMBER($T287)),NOT(ISNUMBER($R287))),"",MAX(0,$T287-$R287))</f>
        <v/>
      </c>
      <c r="V287" s="49" t="str">
        <f>IF(OR($AM287=0,NOT(ISNUMBER($H287)),NOT(ISNUMBER($I287)),NOT(ISNUMBER($G287))),"",IF(OR($AG287="",$AH287=""),"",IF(ROUND(ABS($H287-$I287)*ABS($G287)*$AG287*$AH287,6)=0,"",ROUND(ABS($H287-$I287)*ABS($G287)*$AG287*$AH287,6))))</f>
        <v/>
      </c>
      <c r="W287" s="50" t="str">
        <f>IF($AM287=0,"",IF($BG287="","OK",LEFT($BG287,LEN($BG287)-2)))</f>
        <v/>
      </c>
      <c r="X287" s="41" t="n"/>
      <c r="Y287" s="40" t="n"/>
      <c r="Z287" s="41" t="n"/>
      <c r="AA287" s="41" t="n"/>
      <c r="AB287" s="40" t="n"/>
      <c r="AC287" s="51" t="n"/>
      <c r="AD287" s="51" t="n"/>
      <c r="AE287" s="40" t="n"/>
      <c r="AF287" s="52" t="str">
        <f>IF($AM287=0,"",IF($D287&lt;&gt;"",$D287,IF(IFERROR(INDEX(Accounts!$C$7:$C$16,MATCH($C287,Accounts!$B$7:$B$16,0))&amp;"","")&lt;&gt;"",INDEX(Accounts!$C$7:$C$16,MATCH($C287,Accounts!$B$7:$B$16,0)),Settings!$C$6)))</f>
        <v/>
      </c>
      <c r="AG287" s="53" t="str">
        <f>IF($AM287=0,"",IF(AND($BE287&gt;0,N(INDEX(Instruments!$D$6:$D$205,MAX(1,$BE287)))&gt;0),INDEX(Instruments!$D$6:$D$205,MAX(1,$BE287)),IF(N(INDEX(Settings!$D$14:$D$18,$BF287))&gt;0,INDEX(Settings!$D$14:$D$18,$BF287),"")))</f>
        <v/>
      </c>
      <c r="AH287" s="54" t="str">
        <f>IF($AM287=0,"",IF($AF287&lt;&gt;"Forex",1,IF(MID(UPPER(SUBSTITUTE(TRIM($E287),"/","")),4,3)=UPPER(TRIM(Settings!$C$7)),1,IF(LEFT(UPPER(SUBSTITUTE(TRIM($E287),"/","")),3)=UPPER(TRIM(Settings!$C$7)),IF(AND(ISNUMBER($K287),N($K287)&lt;&gt;0),1/$K287,""),""))))</f>
        <v/>
      </c>
      <c r="AI287" s="55" t="str">
        <f>IF($AM287=0,"",IF(OR(NOT(ISNUMBER($H287)),NOT(ISNUMBER($K287)),NOT(ISNUMBER($G287)),$AG287="",$AH287=""),"",ROUND(($K287-$H287)*IF($F287="Short",-1,1)*$G287*$AG287*$AH287,6)))</f>
        <v/>
      </c>
      <c r="AJ287" s="55" t="str">
        <f>IF($AM287=0,"",IF(INDEX(Settings!$E$14:$E$18,$BF287)="% of notional",IF(OR($AG287="",NOT(ISNUMBER($H287)),NOT(ISNUMBER($G287))),"",ROUND(ABS($H287*$G287*$AG287*N($AH287))*IF($L287="Limit",N(INDEX(Settings!$G$14:$G$18,$BF287)),N(INDEX(Settings!$H$14:$H$18,$BF287)))+IF(ISNUMBER($K287),ABS($K287*$G287*$AG287*N($AH287))*IF($M287="Target",N(INDEX(Settings!$G$14:$G$18,$BF287)),N(INDEX(Settings!$H$14:$H$18,$BF287))),0),6)),IF(NOT(ISNUMBER($G287)),"",ROUND(ABS($G287)*2*IF(AND($BE287&gt;0,ISNUMBER(INDEX(Instruments!$G$6:$G$205,MAX(1,$BE287)))),INDEX(Instruments!$G$6:$G$205,MAX(1,$BE287)),N(INDEX(Settings!$F$14:$F$18,$BF287))),6))))</f>
        <v/>
      </c>
      <c r="AK287" s="55" t="str">
        <f>IF($AM287=0,"",IF(ISNUMBER($O287),$O287,$AI287))</f>
        <v/>
      </c>
      <c r="AL287" s="55" t="str">
        <f>IF($AM287=0,"",IF(ISNUMBER($P287),$P287,N($AJ287)))</f>
        <v/>
      </c>
      <c r="AM287" s="56">
        <f>IF(AND($A287&lt;&gt;"",$E287&lt;&gt;"",OR(AND(ISNUMBER($G287),ISNUMBER($H287),ISNUMBER($K287)),ISNUMBER($O287))),1,0)</f>
        <v>0</v>
      </c>
      <c r="AN287" s="57" t="str">
        <f>IF($A287="","",$A287-WEEKDAY($A287,3))</f>
        <v/>
      </c>
      <c r="AO287" s="56" t="str">
        <f>IF($A287="","",WEEKDAY($A287,2))</f>
        <v/>
      </c>
      <c r="AP287" s="55" t="str">
        <f>IF(OR($AM287=0,$C287=""),"",IFERROR(N(INDEX(Accounts!$E$7:$E$16,MATCH($C287,Accounts!$B$7:$B$16,0))),0)+SUMIFS($Q$6:$Q287,$C$6:$C287,$C287))</f>
        <v/>
      </c>
      <c r="AQ287" s="55" t="str">
        <f>IF(OR($AM287=0,$C287=""),"",SUMIFS($Q$6:$Q$1005,$C$6:$C$1005,$C287,$A$6:$A$1005,$A287))</f>
        <v/>
      </c>
      <c r="AR287" s="55" t="str">
        <f>IF(OR($AM287=0,$C287=""),"",IFERROR(N(INDEX(Accounts!$E$7:$E$16,MATCH($C287,Accounts!$B$7:$B$16,0))),0)+SUMIFS($Q$6:$Q$1005,$C$6:$C$1005,$C287,$A$6:$A$1005,"&lt;="&amp;$A287))</f>
        <v/>
      </c>
      <c r="AS287" s="56">
        <f>IF(OR($AM287=0,$Q287=""),0,IF(AND($A287&gt;=Lists!$W$6,$A287&lt;=Lists!$W$7,OR(Dashboard!$D$6="All accounts",$C287=Dashboard!$D$6),OR(Dashboard!$D$7="All markets",$AF287=Dashboard!$D$7)),1,0))</f>
        <v>0</v>
      </c>
      <c r="AT287" s="55">
        <f>IF($AS287=1,N(AT286)+$Q287,N(AT286))</f>
        <v>1187.10688</v>
      </c>
      <c r="AU287" s="55">
        <f>MAX(N(AU286),$AT287)</f>
        <v>1187.10688</v>
      </c>
      <c r="AV287" s="55">
        <f>$AT287-$AU287</f>
        <v>0</v>
      </c>
      <c r="AW287" s="56">
        <f>IF($AS287=1,IF($S287="Win",N(AW286)+1,IF($S287="Loss",0,N(AW286))),N(AW286))</f>
        <v>5</v>
      </c>
      <c r="AX287" s="56">
        <f>IF($AS287=1,IF($S287="Loss",N(AX286)+1,IF($S287="Win",0,N(AX286))),N(AX286))</f>
        <v>0</v>
      </c>
      <c r="AY287" s="56" t="str">
        <f>IF($AS287=1,COUNTIF($AS$6:$AS287,1),"")</f>
        <v/>
      </c>
      <c r="AZ287" s="56">
        <f>MIN(281,N(Lists!$W$8))</f>
        <v>28</v>
      </c>
      <c r="BA287" s="56">
        <f>IF($AS287=1,IF(COUNTIFS($A$6:$A287,$A287,$AS$6:$AS287,1)=1,1,0),0)</f>
        <v>0</v>
      </c>
      <c r="BB287" s="55" t="str">
        <f>IF($BA287=1,SUMIFS($Q$6:$Q$1005,$A$6:$A$1005,$A287,$AS$6:$AS$1005,1),"")</f>
        <v/>
      </c>
      <c r="BC287" s="56">
        <f>IF(ISNUMBER($R287),1,0)</f>
        <v>0</v>
      </c>
      <c r="BD287" s="55" t="str">
        <f>IF(ISNUMBER($U287),$U287*$V287,"")</f>
        <v/>
      </c>
      <c r="BE287" s="56" t="str">
        <f>IF($AM287=0,"",IFERROR(MATCH($AF287&amp;"|"&amp;UPPER(TRIM($E287)),Lists!$A$6:$A$205,0),0))</f>
        <v/>
      </c>
      <c r="BF287" s="56" t="str">
        <f>IF($AM287=0,"",IFERROR(MATCH($AF287,Settings!$B$14:$B$18,0),IFERROR(MATCH(Settings!$C$6,Settings!$B$14:$B$18,0),1)))</f>
        <v/>
      </c>
      <c r="BG287" s="58" t="str">
        <f>IF($AM287=0,"",IF(NOT(ISNUMBER($I287)),"No stop; ","")&amp;IF(AND(ISNUMBER($H287),ISNUMBER($I287)),IF(OR(AND($F287&lt;&gt;"Short",$I287&gt;=$H287),AND($F287="Short",$I287&lt;=$H287)),"Stop on wrong side; ",""),"")&amp;IF($F287="","No direction; ","")&amp;IF(AND(ISNUMBER(Settings!$C$22),ISNUMBER($V287)),IF($V287&gt;Settings!$C$22,"Risk over max $; ",""),"")&amp;IF(AND(ISNUMBER(Settings!$C$23),ISNUMBER($V287),ISNUMBER($AP287),IFERROR(N(INDEX(Accounts!$E$7:$E$16,MATCH($C287,Accounts!$B$7:$B$16,0))),0)&gt;0),IF($V287&gt;Settings!$C$23*($AP287-N($Q287)),"Risk over max %; ",""),"")&amp;IF(AND(ISNUMBER(Settings!$C$24),ISNUMBER($N287)),IF($N287&gt;Settings!$C$24,"Leverage over max; ",""),"")&amp;IF(AND(ISNUMBER(Settings!$C$27),ISNUMBER($T287)),IF($T287&lt;Settings!$C$27,"R:R below min; ",""),"")&amp;IF(ISNUMBER(Settings!$C$25),IF(COUNTIFS($A$6:$A287,$A287,$AM$6:$AM287,1)&gt;Settings!$C$25,"Over max trades/day; ",""),"")&amp;IF(ISNUMBER(Settings!$C$26),IF(SUMIFS($Q$5:$Q286,$A$5:$A286,$A287)&lt;=-Settings!$C$26,"Traded after daily max loss; ",""),"")&amp;IF(AND($AG287="",NOT(ISNUMBER($O287))),"Symbol not in Instruments; ","")&amp;IF(AND($AH287="",NOT(ISNUMBER($O287))),"Forex cross: type Gross P&amp;L; ",""))</f>
        <v/>
      </c>
      <c r="BH287" s="56">
        <f>IF(ISNUMBER($Q287),1,0)</f>
        <v>0</v>
      </c>
      <c r="BI287" s="56">
        <f>IF($Y287="",0,1)</f>
        <v>0</v>
      </c>
      <c r="BJ287" s="56">
        <f>IF($AB287="",0,1)</f>
        <v>0</v>
      </c>
      <c r="BK287" s="56">
        <f>IF(AND($BH287=1,$W287&lt;&gt;"OK"),1,0)</f>
        <v>0</v>
      </c>
      <c r="BL287" s="55">
        <f>IF(N($AZ287)=0,0,IFERROR(INDEX($AT$6:$AT$1005,MATCH($AZ287,$AY$6:$AY$1005,0)),0))</f>
        <v>1187.10688</v>
      </c>
      <c r="BM287" s="56">
        <f>IF(ISNUMBER(SEARCH("daily max loss",$BG287)),1,0)</f>
        <v>0</v>
      </c>
    </row>
    <row r="288" ht="18" customHeight="1">
      <c r="A288" s="38" t="n"/>
      <c r="B288" s="39" t="n"/>
      <c r="C288" s="40" t="n"/>
      <c r="D288" s="41" t="n"/>
      <c r="E288" s="41" t="n"/>
      <c r="F288" s="41" t="n"/>
      <c r="G288" s="41" t="n"/>
      <c r="H288" s="42" t="n"/>
      <c r="I288" s="42" t="n"/>
      <c r="J288" s="42" t="n"/>
      <c r="K288" s="42" t="n"/>
      <c r="L288" s="41" t="n"/>
      <c r="M288" s="41" t="n"/>
      <c r="N288" s="41" t="n"/>
      <c r="O288" s="43" t="n"/>
      <c r="P288" s="43" t="n"/>
      <c r="Q288" s="44" t="str">
        <f>IF($AM288=0,"",IF(ISNUMBER($AK288),$AK288-N($AL288),""))</f>
        <v/>
      </c>
      <c r="R288" s="45" t="str">
        <f>IF(OR($Q288="",NOT(ISNUMBER($V288))),"",$AK288/$V288)</f>
        <v/>
      </c>
      <c r="S288" s="46" t="str">
        <f>IF($Q288="","",IF(AND(ISNUMBER($R288),ABS(N($R288))&lt;N(Settings!$C$8)),"Scratch",IF($Q288&gt;0,"Win",IF($Q288&lt;0,"Loss","Scratch"))))</f>
        <v/>
      </c>
      <c r="T288" s="47" t="str">
        <f>IF(OR($AM288=0,NOT(ISNUMBER($H288)),NOT(ISNUMBER($I288)),NOT(ISNUMBER($J288))),"",IF($H288=$I288,"",ROUND(ABS($J288-$H288)/ABS($H288-$I288),6)))</f>
        <v/>
      </c>
      <c r="U288" s="48" t="str">
        <f>IF(OR($S288&lt;&gt;"Win",NOT(ISNUMBER($T288)),NOT(ISNUMBER($R288))),"",MAX(0,$T288-$R288))</f>
        <v/>
      </c>
      <c r="V288" s="49" t="str">
        <f>IF(OR($AM288=0,NOT(ISNUMBER($H288)),NOT(ISNUMBER($I288)),NOT(ISNUMBER($G288))),"",IF(OR($AG288="",$AH288=""),"",IF(ROUND(ABS($H288-$I288)*ABS($G288)*$AG288*$AH288,6)=0,"",ROUND(ABS($H288-$I288)*ABS($G288)*$AG288*$AH288,6))))</f>
        <v/>
      </c>
      <c r="W288" s="50" t="str">
        <f>IF($AM288=0,"",IF($BG288="","OK",LEFT($BG288,LEN($BG288)-2)))</f>
        <v/>
      </c>
      <c r="X288" s="41" t="n"/>
      <c r="Y288" s="40" t="n"/>
      <c r="Z288" s="41" t="n"/>
      <c r="AA288" s="41" t="n"/>
      <c r="AB288" s="40" t="n"/>
      <c r="AC288" s="51" t="n"/>
      <c r="AD288" s="51" t="n"/>
      <c r="AE288" s="40" t="n"/>
      <c r="AF288" s="52" t="str">
        <f>IF($AM288=0,"",IF($D288&lt;&gt;"",$D288,IF(IFERROR(INDEX(Accounts!$C$7:$C$16,MATCH($C288,Accounts!$B$7:$B$16,0))&amp;"","")&lt;&gt;"",INDEX(Accounts!$C$7:$C$16,MATCH($C288,Accounts!$B$7:$B$16,0)),Settings!$C$6)))</f>
        <v/>
      </c>
      <c r="AG288" s="53" t="str">
        <f>IF($AM288=0,"",IF(AND($BE288&gt;0,N(INDEX(Instruments!$D$6:$D$205,MAX(1,$BE288)))&gt;0),INDEX(Instruments!$D$6:$D$205,MAX(1,$BE288)),IF(N(INDEX(Settings!$D$14:$D$18,$BF288))&gt;0,INDEX(Settings!$D$14:$D$18,$BF288),"")))</f>
        <v/>
      </c>
      <c r="AH288" s="54" t="str">
        <f>IF($AM288=0,"",IF($AF288&lt;&gt;"Forex",1,IF(MID(UPPER(SUBSTITUTE(TRIM($E288),"/","")),4,3)=UPPER(TRIM(Settings!$C$7)),1,IF(LEFT(UPPER(SUBSTITUTE(TRIM($E288),"/","")),3)=UPPER(TRIM(Settings!$C$7)),IF(AND(ISNUMBER($K288),N($K288)&lt;&gt;0),1/$K288,""),""))))</f>
        <v/>
      </c>
      <c r="AI288" s="55" t="str">
        <f>IF($AM288=0,"",IF(OR(NOT(ISNUMBER($H288)),NOT(ISNUMBER($K288)),NOT(ISNUMBER($G288)),$AG288="",$AH288=""),"",ROUND(($K288-$H288)*IF($F288="Short",-1,1)*$G288*$AG288*$AH288,6)))</f>
        <v/>
      </c>
      <c r="AJ288" s="55" t="str">
        <f>IF($AM288=0,"",IF(INDEX(Settings!$E$14:$E$18,$BF288)="% of notional",IF(OR($AG288="",NOT(ISNUMBER($H288)),NOT(ISNUMBER($G288))),"",ROUND(ABS($H288*$G288*$AG288*N($AH288))*IF($L288="Limit",N(INDEX(Settings!$G$14:$G$18,$BF288)),N(INDEX(Settings!$H$14:$H$18,$BF288)))+IF(ISNUMBER($K288),ABS($K288*$G288*$AG288*N($AH288))*IF($M288="Target",N(INDEX(Settings!$G$14:$G$18,$BF288)),N(INDEX(Settings!$H$14:$H$18,$BF288))),0),6)),IF(NOT(ISNUMBER($G288)),"",ROUND(ABS($G288)*2*IF(AND($BE288&gt;0,ISNUMBER(INDEX(Instruments!$G$6:$G$205,MAX(1,$BE288)))),INDEX(Instruments!$G$6:$G$205,MAX(1,$BE288)),N(INDEX(Settings!$F$14:$F$18,$BF288))),6))))</f>
        <v/>
      </c>
      <c r="AK288" s="55" t="str">
        <f>IF($AM288=0,"",IF(ISNUMBER($O288),$O288,$AI288))</f>
        <v/>
      </c>
      <c r="AL288" s="55" t="str">
        <f>IF($AM288=0,"",IF(ISNUMBER($P288),$P288,N($AJ288)))</f>
        <v/>
      </c>
      <c r="AM288" s="56">
        <f>IF(AND($A288&lt;&gt;"",$E288&lt;&gt;"",OR(AND(ISNUMBER($G288),ISNUMBER($H288),ISNUMBER($K288)),ISNUMBER($O288))),1,0)</f>
        <v>0</v>
      </c>
      <c r="AN288" s="57" t="str">
        <f>IF($A288="","",$A288-WEEKDAY($A288,3))</f>
        <v/>
      </c>
      <c r="AO288" s="56" t="str">
        <f>IF($A288="","",WEEKDAY($A288,2))</f>
        <v/>
      </c>
      <c r="AP288" s="55" t="str">
        <f>IF(OR($AM288=0,$C288=""),"",IFERROR(N(INDEX(Accounts!$E$7:$E$16,MATCH($C288,Accounts!$B$7:$B$16,0))),0)+SUMIFS($Q$6:$Q288,$C$6:$C288,$C288))</f>
        <v/>
      </c>
      <c r="AQ288" s="55" t="str">
        <f>IF(OR($AM288=0,$C288=""),"",SUMIFS($Q$6:$Q$1005,$C$6:$C$1005,$C288,$A$6:$A$1005,$A288))</f>
        <v/>
      </c>
      <c r="AR288" s="55" t="str">
        <f>IF(OR($AM288=0,$C288=""),"",IFERROR(N(INDEX(Accounts!$E$7:$E$16,MATCH($C288,Accounts!$B$7:$B$16,0))),0)+SUMIFS($Q$6:$Q$1005,$C$6:$C$1005,$C288,$A$6:$A$1005,"&lt;="&amp;$A288))</f>
        <v/>
      </c>
      <c r="AS288" s="56">
        <f>IF(OR($AM288=0,$Q288=""),0,IF(AND($A288&gt;=Lists!$W$6,$A288&lt;=Lists!$W$7,OR(Dashboard!$D$6="All accounts",$C288=Dashboard!$D$6),OR(Dashboard!$D$7="All markets",$AF288=Dashboard!$D$7)),1,0))</f>
        <v>0</v>
      </c>
      <c r="AT288" s="55">
        <f>IF($AS288=1,N(AT287)+$Q288,N(AT287))</f>
        <v>1187.10688</v>
      </c>
      <c r="AU288" s="55">
        <f>MAX(N(AU287),$AT288)</f>
        <v>1187.10688</v>
      </c>
      <c r="AV288" s="55">
        <f>$AT288-$AU288</f>
        <v>0</v>
      </c>
      <c r="AW288" s="56">
        <f>IF($AS288=1,IF($S288="Win",N(AW287)+1,IF($S288="Loss",0,N(AW287))),N(AW287))</f>
        <v>5</v>
      </c>
      <c r="AX288" s="56">
        <f>IF($AS288=1,IF($S288="Loss",N(AX287)+1,IF($S288="Win",0,N(AX287))),N(AX287))</f>
        <v>0</v>
      </c>
      <c r="AY288" s="56" t="str">
        <f>IF($AS288=1,COUNTIF($AS$6:$AS288,1),"")</f>
        <v/>
      </c>
      <c r="AZ288" s="56">
        <f>MIN(282,N(Lists!$W$8))</f>
        <v>28</v>
      </c>
      <c r="BA288" s="56">
        <f>IF($AS288=1,IF(COUNTIFS($A$6:$A288,$A288,$AS$6:$AS288,1)=1,1,0),0)</f>
        <v>0</v>
      </c>
      <c r="BB288" s="55" t="str">
        <f>IF($BA288=1,SUMIFS($Q$6:$Q$1005,$A$6:$A$1005,$A288,$AS$6:$AS$1005,1),"")</f>
        <v/>
      </c>
      <c r="BC288" s="56">
        <f>IF(ISNUMBER($R288),1,0)</f>
        <v>0</v>
      </c>
      <c r="BD288" s="55" t="str">
        <f>IF(ISNUMBER($U288),$U288*$V288,"")</f>
        <v/>
      </c>
      <c r="BE288" s="56" t="str">
        <f>IF($AM288=0,"",IFERROR(MATCH($AF288&amp;"|"&amp;UPPER(TRIM($E288)),Lists!$A$6:$A$205,0),0))</f>
        <v/>
      </c>
      <c r="BF288" s="56" t="str">
        <f>IF($AM288=0,"",IFERROR(MATCH($AF288,Settings!$B$14:$B$18,0),IFERROR(MATCH(Settings!$C$6,Settings!$B$14:$B$18,0),1)))</f>
        <v/>
      </c>
      <c r="BG288" s="58" t="str">
        <f>IF($AM288=0,"",IF(NOT(ISNUMBER($I288)),"No stop; ","")&amp;IF(AND(ISNUMBER($H288),ISNUMBER($I288)),IF(OR(AND($F288&lt;&gt;"Short",$I288&gt;=$H288),AND($F288="Short",$I288&lt;=$H288)),"Stop on wrong side; ",""),"")&amp;IF($F288="","No direction; ","")&amp;IF(AND(ISNUMBER(Settings!$C$22),ISNUMBER($V288)),IF($V288&gt;Settings!$C$22,"Risk over max $; ",""),"")&amp;IF(AND(ISNUMBER(Settings!$C$23),ISNUMBER($V288),ISNUMBER($AP288),IFERROR(N(INDEX(Accounts!$E$7:$E$16,MATCH($C288,Accounts!$B$7:$B$16,0))),0)&gt;0),IF($V288&gt;Settings!$C$23*($AP288-N($Q288)),"Risk over max %; ",""),"")&amp;IF(AND(ISNUMBER(Settings!$C$24),ISNUMBER($N288)),IF($N288&gt;Settings!$C$24,"Leverage over max; ",""),"")&amp;IF(AND(ISNUMBER(Settings!$C$27),ISNUMBER($T288)),IF($T288&lt;Settings!$C$27,"R:R below min; ",""),"")&amp;IF(ISNUMBER(Settings!$C$25),IF(COUNTIFS($A$6:$A288,$A288,$AM$6:$AM288,1)&gt;Settings!$C$25,"Over max trades/day; ",""),"")&amp;IF(ISNUMBER(Settings!$C$26),IF(SUMIFS($Q$5:$Q287,$A$5:$A287,$A288)&lt;=-Settings!$C$26,"Traded after daily max loss; ",""),"")&amp;IF(AND($AG288="",NOT(ISNUMBER($O288))),"Symbol not in Instruments; ","")&amp;IF(AND($AH288="",NOT(ISNUMBER($O288))),"Forex cross: type Gross P&amp;L; ",""))</f>
        <v/>
      </c>
      <c r="BH288" s="56">
        <f>IF(ISNUMBER($Q288),1,0)</f>
        <v>0</v>
      </c>
      <c r="BI288" s="56">
        <f>IF($Y288="",0,1)</f>
        <v>0</v>
      </c>
      <c r="BJ288" s="56">
        <f>IF($AB288="",0,1)</f>
        <v>0</v>
      </c>
      <c r="BK288" s="56">
        <f>IF(AND($BH288=1,$W288&lt;&gt;"OK"),1,0)</f>
        <v>0</v>
      </c>
      <c r="BL288" s="55">
        <f>IF(N($AZ288)=0,0,IFERROR(INDEX($AT$6:$AT$1005,MATCH($AZ288,$AY$6:$AY$1005,0)),0))</f>
        <v>1187.10688</v>
      </c>
      <c r="BM288" s="56">
        <f>IF(ISNUMBER(SEARCH("daily max loss",$BG288)),1,0)</f>
        <v>0</v>
      </c>
    </row>
    <row r="289" ht="18" customHeight="1">
      <c r="A289" s="38" t="n"/>
      <c r="B289" s="39" t="n"/>
      <c r="C289" s="40" t="n"/>
      <c r="D289" s="41" t="n"/>
      <c r="E289" s="41" t="n"/>
      <c r="F289" s="41" t="n"/>
      <c r="G289" s="41" t="n"/>
      <c r="H289" s="42" t="n"/>
      <c r="I289" s="42" t="n"/>
      <c r="J289" s="42" t="n"/>
      <c r="K289" s="42" t="n"/>
      <c r="L289" s="41" t="n"/>
      <c r="M289" s="41" t="n"/>
      <c r="N289" s="41" t="n"/>
      <c r="O289" s="43" t="n"/>
      <c r="P289" s="43" t="n"/>
      <c r="Q289" s="44" t="str">
        <f>IF($AM289=0,"",IF(ISNUMBER($AK289),$AK289-N($AL289),""))</f>
        <v/>
      </c>
      <c r="R289" s="45" t="str">
        <f>IF(OR($Q289="",NOT(ISNUMBER($V289))),"",$AK289/$V289)</f>
        <v/>
      </c>
      <c r="S289" s="46" t="str">
        <f>IF($Q289="","",IF(AND(ISNUMBER($R289),ABS(N($R289))&lt;N(Settings!$C$8)),"Scratch",IF($Q289&gt;0,"Win",IF($Q289&lt;0,"Loss","Scratch"))))</f>
        <v/>
      </c>
      <c r="T289" s="47" t="str">
        <f>IF(OR($AM289=0,NOT(ISNUMBER($H289)),NOT(ISNUMBER($I289)),NOT(ISNUMBER($J289))),"",IF($H289=$I289,"",ROUND(ABS($J289-$H289)/ABS($H289-$I289),6)))</f>
        <v/>
      </c>
      <c r="U289" s="48" t="str">
        <f>IF(OR($S289&lt;&gt;"Win",NOT(ISNUMBER($T289)),NOT(ISNUMBER($R289))),"",MAX(0,$T289-$R289))</f>
        <v/>
      </c>
      <c r="V289" s="49" t="str">
        <f>IF(OR($AM289=0,NOT(ISNUMBER($H289)),NOT(ISNUMBER($I289)),NOT(ISNUMBER($G289))),"",IF(OR($AG289="",$AH289=""),"",IF(ROUND(ABS($H289-$I289)*ABS($G289)*$AG289*$AH289,6)=0,"",ROUND(ABS($H289-$I289)*ABS($G289)*$AG289*$AH289,6))))</f>
        <v/>
      </c>
      <c r="W289" s="50" t="str">
        <f>IF($AM289=0,"",IF($BG289="","OK",LEFT($BG289,LEN($BG289)-2)))</f>
        <v/>
      </c>
      <c r="X289" s="41" t="n"/>
      <c r="Y289" s="40" t="n"/>
      <c r="Z289" s="41" t="n"/>
      <c r="AA289" s="41" t="n"/>
      <c r="AB289" s="40" t="n"/>
      <c r="AC289" s="51" t="n"/>
      <c r="AD289" s="51" t="n"/>
      <c r="AE289" s="40" t="n"/>
      <c r="AF289" s="52" t="str">
        <f>IF($AM289=0,"",IF($D289&lt;&gt;"",$D289,IF(IFERROR(INDEX(Accounts!$C$7:$C$16,MATCH($C289,Accounts!$B$7:$B$16,0))&amp;"","")&lt;&gt;"",INDEX(Accounts!$C$7:$C$16,MATCH($C289,Accounts!$B$7:$B$16,0)),Settings!$C$6)))</f>
        <v/>
      </c>
      <c r="AG289" s="53" t="str">
        <f>IF($AM289=0,"",IF(AND($BE289&gt;0,N(INDEX(Instruments!$D$6:$D$205,MAX(1,$BE289)))&gt;0),INDEX(Instruments!$D$6:$D$205,MAX(1,$BE289)),IF(N(INDEX(Settings!$D$14:$D$18,$BF289))&gt;0,INDEX(Settings!$D$14:$D$18,$BF289),"")))</f>
        <v/>
      </c>
      <c r="AH289" s="54" t="str">
        <f>IF($AM289=0,"",IF($AF289&lt;&gt;"Forex",1,IF(MID(UPPER(SUBSTITUTE(TRIM($E289),"/","")),4,3)=UPPER(TRIM(Settings!$C$7)),1,IF(LEFT(UPPER(SUBSTITUTE(TRIM($E289),"/","")),3)=UPPER(TRIM(Settings!$C$7)),IF(AND(ISNUMBER($K289),N($K289)&lt;&gt;0),1/$K289,""),""))))</f>
        <v/>
      </c>
      <c r="AI289" s="55" t="str">
        <f>IF($AM289=0,"",IF(OR(NOT(ISNUMBER($H289)),NOT(ISNUMBER($K289)),NOT(ISNUMBER($G289)),$AG289="",$AH289=""),"",ROUND(($K289-$H289)*IF($F289="Short",-1,1)*$G289*$AG289*$AH289,6)))</f>
        <v/>
      </c>
      <c r="AJ289" s="55" t="str">
        <f>IF($AM289=0,"",IF(INDEX(Settings!$E$14:$E$18,$BF289)="% of notional",IF(OR($AG289="",NOT(ISNUMBER($H289)),NOT(ISNUMBER($G289))),"",ROUND(ABS($H289*$G289*$AG289*N($AH289))*IF($L289="Limit",N(INDEX(Settings!$G$14:$G$18,$BF289)),N(INDEX(Settings!$H$14:$H$18,$BF289)))+IF(ISNUMBER($K289),ABS($K289*$G289*$AG289*N($AH289))*IF($M289="Target",N(INDEX(Settings!$G$14:$G$18,$BF289)),N(INDEX(Settings!$H$14:$H$18,$BF289))),0),6)),IF(NOT(ISNUMBER($G289)),"",ROUND(ABS($G289)*2*IF(AND($BE289&gt;0,ISNUMBER(INDEX(Instruments!$G$6:$G$205,MAX(1,$BE289)))),INDEX(Instruments!$G$6:$G$205,MAX(1,$BE289)),N(INDEX(Settings!$F$14:$F$18,$BF289))),6))))</f>
        <v/>
      </c>
      <c r="AK289" s="55" t="str">
        <f>IF($AM289=0,"",IF(ISNUMBER($O289),$O289,$AI289))</f>
        <v/>
      </c>
      <c r="AL289" s="55" t="str">
        <f>IF($AM289=0,"",IF(ISNUMBER($P289),$P289,N($AJ289)))</f>
        <v/>
      </c>
      <c r="AM289" s="56">
        <f>IF(AND($A289&lt;&gt;"",$E289&lt;&gt;"",OR(AND(ISNUMBER($G289),ISNUMBER($H289),ISNUMBER($K289)),ISNUMBER($O289))),1,0)</f>
        <v>0</v>
      </c>
      <c r="AN289" s="57" t="str">
        <f>IF($A289="","",$A289-WEEKDAY($A289,3))</f>
        <v/>
      </c>
      <c r="AO289" s="56" t="str">
        <f>IF($A289="","",WEEKDAY($A289,2))</f>
        <v/>
      </c>
      <c r="AP289" s="55" t="str">
        <f>IF(OR($AM289=0,$C289=""),"",IFERROR(N(INDEX(Accounts!$E$7:$E$16,MATCH($C289,Accounts!$B$7:$B$16,0))),0)+SUMIFS($Q$6:$Q289,$C$6:$C289,$C289))</f>
        <v/>
      </c>
      <c r="AQ289" s="55" t="str">
        <f>IF(OR($AM289=0,$C289=""),"",SUMIFS($Q$6:$Q$1005,$C$6:$C$1005,$C289,$A$6:$A$1005,$A289))</f>
        <v/>
      </c>
      <c r="AR289" s="55" t="str">
        <f>IF(OR($AM289=0,$C289=""),"",IFERROR(N(INDEX(Accounts!$E$7:$E$16,MATCH($C289,Accounts!$B$7:$B$16,0))),0)+SUMIFS($Q$6:$Q$1005,$C$6:$C$1005,$C289,$A$6:$A$1005,"&lt;="&amp;$A289))</f>
        <v/>
      </c>
      <c r="AS289" s="56">
        <f>IF(OR($AM289=0,$Q289=""),0,IF(AND($A289&gt;=Lists!$W$6,$A289&lt;=Lists!$W$7,OR(Dashboard!$D$6="All accounts",$C289=Dashboard!$D$6),OR(Dashboard!$D$7="All markets",$AF289=Dashboard!$D$7)),1,0))</f>
        <v>0</v>
      </c>
      <c r="AT289" s="55">
        <f>IF($AS289=1,N(AT288)+$Q289,N(AT288))</f>
        <v>1187.10688</v>
      </c>
      <c r="AU289" s="55">
        <f>MAX(N(AU288),$AT289)</f>
        <v>1187.10688</v>
      </c>
      <c r="AV289" s="55">
        <f>$AT289-$AU289</f>
        <v>0</v>
      </c>
      <c r="AW289" s="56">
        <f>IF($AS289=1,IF($S289="Win",N(AW288)+1,IF($S289="Loss",0,N(AW288))),N(AW288))</f>
        <v>5</v>
      </c>
      <c r="AX289" s="56">
        <f>IF($AS289=1,IF($S289="Loss",N(AX288)+1,IF($S289="Win",0,N(AX288))),N(AX288))</f>
        <v>0</v>
      </c>
      <c r="AY289" s="56" t="str">
        <f>IF($AS289=1,COUNTIF($AS$6:$AS289,1),"")</f>
        <v/>
      </c>
      <c r="AZ289" s="56">
        <f>MIN(283,N(Lists!$W$8))</f>
        <v>28</v>
      </c>
      <c r="BA289" s="56">
        <f>IF($AS289=1,IF(COUNTIFS($A$6:$A289,$A289,$AS$6:$AS289,1)=1,1,0),0)</f>
        <v>0</v>
      </c>
      <c r="BB289" s="55" t="str">
        <f>IF($BA289=1,SUMIFS($Q$6:$Q$1005,$A$6:$A$1005,$A289,$AS$6:$AS$1005,1),"")</f>
        <v/>
      </c>
      <c r="BC289" s="56">
        <f>IF(ISNUMBER($R289),1,0)</f>
        <v>0</v>
      </c>
      <c r="BD289" s="55" t="str">
        <f>IF(ISNUMBER($U289),$U289*$V289,"")</f>
        <v/>
      </c>
      <c r="BE289" s="56" t="str">
        <f>IF($AM289=0,"",IFERROR(MATCH($AF289&amp;"|"&amp;UPPER(TRIM($E289)),Lists!$A$6:$A$205,0),0))</f>
        <v/>
      </c>
      <c r="BF289" s="56" t="str">
        <f>IF($AM289=0,"",IFERROR(MATCH($AF289,Settings!$B$14:$B$18,0),IFERROR(MATCH(Settings!$C$6,Settings!$B$14:$B$18,0),1)))</f>
        <v/>
      </c>
      <c r="BG289" s="58" t="str">
        <f>IF($AM289=0,"",IF(NOT(ISNUMBER($I289)),"No stop; ","")&amp;IF(AND(ISNUMBER($H289),ISNUMBER($I289)),IF(OR(AND($F289&lt;&gt;"Short",$I289&gt;=$H289),AND($F289="Short",$I289&lt;=$H289)),"Stop on wrong side; ",""),"")&amp;IF($F289="","No direction; ","")&amp;IF(AND(ISNUMBER(Settings!$C$22),ISNUMBER($V289)),IF($V289&gt;Settings!$C$22,"Risk over max $; ",""),"")&amp;IF(AND(ISNUMBER(Settings!$C$23),ISNUMBER($V289),ISNUMBER($AP289),IFERROR(N(INDEX(Accounts!$E$7:$E$16,MATCH($C289,Accounts!$B$7:$B$16,0))),0)&gt;0),IF($V289&gt;Settings!$C$23*($AP289-N($Q289)),"Risk over max %; ",""),"")&amp;IF(AND(ISNUMBER(Settings!$C$24),ISNUMBER($N289)),IF($N289&gt;Settings!$C$24,"Leverage over max; ",""),"")&amp;IF(AND(ISNUMBER(Settings!$C$27),ISNUMBER($T289)),IF($T289&lt;Settings!$C$27,"R:R below min; ",""),"")&amp;IF(ISNUMBER(Settings!$C$25),IF(COUNTIFS($A$6:$A289,$A289,$AM$6:$AM289,1)&gt;Settings!$C$25,"Over max trades/day; ",""),"")&amp;IF(ISNUMBER(Settings!$C$26),IF(SUMIFS($Q$5:$Q288,$A$5:$A288,$A289)&lt;=-Settings!$C$26,"Traded after daily max loss; ",""),"")&amp;IF(AND($AG289="",NOT(ISNUMBER($O289))),"Symbol not in Instruments; ","")&amp;IF(AND($AH289="",NOT(ISNUMBER($O289))),"Forex cross: type Gross P&amp;L; ",""))</f>
        <v/>
      </c>
      <c r="BH289" s="56">
        <f>IF(ISNUMBER($Q289),1,0)</f>
        <v>0</v>
      </c>
      <c r="BI289" s="56">
        <f>IF($Y289="",0,1)</f>
        <v>0</v>
      </c>
      <c r="BJ289" s="56">
        <f>IF($AB289="",0,1)</f>
        <v>0</v>
      </c>
      <c r="BK289" s="56">
        <f>IF(AND($BH289=1,$W289&lt;&gt;"OK"),1,0)</f>
        <v>0</v>
      </c>
      <c r="BL289" s="55">
        <f>IF(N($AZ289)=0,0,IFERROR(INDEX($AT$6:$AT$1005,MATCH($AZ289,$AY$6:$AY$1005,0)),0))</f>
        <v>1187.10688</v>
      </c>
      <c r="BM289" s="56">
        <f>IF(ISNUMBER(SEARCH("daily max loss",$BG289)),1,0)</f>
        <v>0</v>
      </c>
    </row>
    <row r="290" ht="18" customHeight="1">
      <c r="A290" s="38" t="n"/>
      <c r="B290" s="39" t="n"/>
      <c r="C290" s="40" t="n"/>
      <c r="D290" s="41" t="n"/>
      <c r="E290" s="41" t="n"/>
      <c r="F290" s="41" t="n"/>
      <c r="G290" s="41" t="n"/>
      <c r="H290" s="42" t="n"/>
      <c r="I290" s="42" t="n"/>
      <c r="J290" s="42" t="n"/>
      <c r="K290" s="42" t="n"/>
      <c r="L290" s="41" t="n"/>
      <c r="M290" s="41" t="n"/>
      <c r="N290" s="41" t="n"/>
      <c r="O290" s="43" t="n"/>
      <c r="P290" s="43" t="n"/>
      <c r="Q290" s="44" t="str">
        <f>IF($AM290=0,"",IF(ISNUMBER($AK290),$AK290-N($AL290),""))</f>
        <v/>
      </c>
      <c r="R290" s="45" t="str">
        <f>IF(OR($Q290="",NOT(ISNUMBER($V290))),"",$AK290/$V290)</f>
        <v/>
      </c>
      <c r="S290" s="46" t="str">
        <f>IF($Q290="","",IF(AND(ISNUMBER($R290),ABS(N($R290))&lt;N(Settings!$C$8)),"Scratch",IF($Q290&gt;0,"Win",IF($Q290&lt;0,"Loss","Scratch"))))</f>
        <v/>
      </c>
      <c r="T290" s="47" t="str">
        <f>IF(OR($AM290=0,NOT(ISNUMBER($H290)),NOT(ISNUMBER($I290)),NOT(ISNUMBER($J290))),"",IF($H290=$I290,"",ROUND(ABS($J290-$H290)/ABS($H290-$I290),6)))</f>
        <v/>
      </c>
      <c r="U290" s="48" t="str">
        <f>IF(OR($S290&lt;&gt;"Win",NOT(ISNUMBER($T290)),NOT(ISNUMBER($R290))),"",MAX(0,$T290-$R290))</f>
        <v/>
      </c>
      <c r="V290" s="49" t="str">
        <f>IF(OR($AM290=0,NOT(ISNUMBER($H290)),NOT(ISNUMBER($I290)),NOT(ISNUMBER($G290))),"",IF(OR($AG290="",$AH290=""),"",IF(ROUND(ABS($H290-$I290)*ABS($G290)*$AG290*$AH290,6)=0,"",ROUND(ABS($H290-$I290)*ABS($G290)*$AG290*$AH290,6))))</f>
        <v/>
      </c>
      <c r="W290" s="50" t="str">
        <f>IF($AM290=0,"",IF($BG290="","OK",LEFT($BG290,LEN($BG290)-2)))</f>
        <v/>
      </c>
      <c r="X290" s="41" t="n"/>
      <c r="Y290" s="40" t="n"/>
      <c r="Z290" s="41" t="n"/>
      <c r="AA290" s="41" t="n"/>
      <c r="AB290" s="40" t="n"/>
      <c r="AC290" s="51" t="n"/>
      <c r="AD290" s="51" t="n"/>
      <c r="AE290" s="40" t="n"/>
      <c r="AF290" s="52" t="str">
        <f>IF($AM290=0,"",IF($D290&lt;&gt;"",$D290,IF(IFERROR(INDEX(Accounts!$C$7:$C$16,MATCH($C290,Accounts!$B$7:$B$16,0))&amp;"","")&lt;&gt;"",INDEX(Accounts!$C$7:$C$16,MATCH($C290,Accounts!$B$7:$B$16,0)),Settings!$C$6)))</f>
        <v/>
      </c>
      <c r="AG290" s="53" t="str">
        <f>IF($AM290=0,"",IF(AND($BE290&gt;0,N(INDEX(Instruments!$D$6:$D$205,MAX(1,$BE290)))&gt;0),INDEX(Instruments!$D$6:$D$205,MAX(1,$BE290)),IF(N(INDEX(Settings!$D$14:$D$18,$BF290))&gt;0,INDEX(Settings!$D$14:$D$18,$BF290),"")))</f>
        <v/>
      </c>
      <c r="AH290" s="54" t="str">
        <f>IF($AM290=0,"",IF($AF290&lt;&gt;"Forex",1,IF(MID(UPPER(SUBSTITUTE(TRIM($E290),"/","")),4,3)=UPPER(TRIM(Settings!$C$7)),1,IF(LEFT(UPPER(SUBSTITUTE(TRIM($E290),"/","")),3)=UPPER(TRIM(Settings!$C$7)),IF(AND(ISNUMBER($K290),N($K290)&lt;&gt;0),1/$K290,""),""))))</f>
        <v/>
      </c>
      <c r="AI290" s="55" t="str">
        <f>IF($AM290=0,"",IF(OR(NOT(ISNUMBER($H290)),NOT(ISNUMBER($K290)),NOT(ISNUMBER($G290)),$AG290="",$AH290=""),"",ROUND(($K290-$H290)*IF($F290="Short",-1,1)*$G290*$AG290*$AH290,6)))</f>
        <v/>
      </c>
      <c r="AJ290" s="55" t="str">
        <f>IF($AM290=0,"",IF(INDEX(Settings!$E$14:$E$18,$BF290)="% of notional",IF(OR($AG290="",NOT(ISNUMBER($H290)),NOT(ISNUMBER($G290))),"",ROUND(ABS($H290*$G290*$AG290*N($AH290))*IF($L290="Limit",N(INDEX(Settings!$G$14:$G$18,$BF290)),N(INDEX(Settings!$H$14:$H$18,$BF290)))+IF(ISNUMBER($K290),ABS($K290*$G290*$AG290*N($AH290))*IF($M290="Target",N(INDEX(Settings!$G$14:$G$18,$BF290)),N(INDEX(Settings!$H$14:$H$18,$BF290))),0),6)),IF(NOT(ISNUMBER($G290)),"",ROUND(ABS($G290)*2*IF(AND($BE290&gt;0,ISNUMBER(INDEX(Instruments!$G$6:$G$205,MAX(1,$BE290)))),INDEX(Instruments!$G$6:$G$205,MAX(1,$BE290)),N(INDEX(Settings!$F$14:$F$18,$BF290))),6))))</f>
        <v/>
      </c>
      <c r="AK290" s="55" t="str">
        <f>IF($AM290=0,"",IF(ISNUMBER($O290),$O290,$AI290))</f>
        <v/>
      </c>
      <c r="AL290" s="55" t="str">
        <f>IF($AM290=0,"",IF(ISNUMBER($P290),$P290,N($AJ290)))</f>
        <v/>
      </c>
      <c r="AM290" s="56">
        <f>IF(AND($A290&lt;&gt;"",$E290&lt;&gt;"",OR(AND(ISNUMBER($G290),ISNUMBER($H290),ISNUMBER($K290)),ISNUMBER($O290))),1,0)</f>
        <v>0</v>
      </c>
      <c r="AN290" s="57" t="str">
        <f>IF($A290="","",$A290-WEEKDAY($A290,3))</f>
        <v/>
      </c>
      <c r="AO290" s="56" t="str">
        <f>IF($A290="","",WEEKDAY($A290,2))</f>
        <v/>
      </c>
      <c r="AP290" s="55" t="str">
        <f>IF(OR($AM290=0,$C290=""),"",IFERROR(N(INDEX(Accounts!$E$7:$E$16,MATCH($C290,Accounts!$B$7:$B$16,0))),0)+SUMIFS($Q$6:$Q290,$C$6:$C290,$C290))</f>
        <v/>
      </c>
      <c r="AQ290" s="55" t="str">
        <f>IF(OR($AM290=0,$C290=""),"",SUMIFS($Q$6:$Q$1005,$C$6:$C$1005,$C290,$A$6:$A$1005,$A290))</f>
        <v/>
      </c>
      <c r="AR290" s="55" t="str">
        <f>IF(OR($AM290=0,$C290=""),"",IFERROR(N(INDEX(Accounts!$E$7:$E$16,MATCH($C290,Accounts!$B$7:$B$16,0))),0)+SUMIFS($Q$6:$Q$1005,$C$6:$C$1005,$C290,$A$6:$A$1005,"&lt;="&amp;$A290))</f>
        <v/>
      </c>
      <c r="AS290" s="56">
        <f>IF(OR($AM290=0,$Q290=""),0,IF(AND($A290&gt;=Lists!$W$6,$A290&lt;=Lists!$W$7,OR(Dashboard!$D$6="All accounts",$C290=Dashboard!$D$6),OR(Dashboard!$D$7="All markets",$AF290=Dashboard!$D$7)),1,0))</f>
        <v>0</v>
      </c>
      <c r="AT290" s="55">
        <f>IF($AS290=1,N(AT289)+$Q290,N(AT289))</f>
        <v>1187.10688</v>
      </c>
      <c r="AU290" s="55">
        <f>MAX(N(AU289),$AT290)</f>
        <v>1187.10688</v>
      </c>
      <c r="AV290" s="55">
        <f>$AT290-$AU290</f>
        <v>0</v>
      </c>
      <c r="AW290" s="56">
        <f>IF($AS290=1,IF($S290="Win",N(AW289)+1,IF($S290="Loss",0,N(AW289))),N(AW289))</f>
        <v>5</v>
      </c>
      <c r="AX290" s="56">
        <f>IF($AS290=1,IF($S290="Loss",N(AX289)+1,IF($S290="Win",0,N(AX289))),N(AX289))</f>
        <v>0</v>
      </c>
      <c r="AY290" s="56" t="str">
        <f>IF($AS290=1,COUNTIF($AS$6:$AS290,1),"")</f>
        <v/>
      </c>
      <c r="AZ290" s="56">
        <f>MIN(284,N(Lists!$W$8))</f>
        <v>28</v>
      </c>
      <c r="BA290" s="56">
        <f>IF($AS290=1,IF(COUNTIFS($A$6:$A290,$A290,$AS$6:$AS290,1)=1,1,0),0)</f>
        <v>0</v>
      </c>
      <c r="BB290" s="55" t="str">
        <f>IF($BA290=1,SUMIFS($Q$6:$Q$1005,$A$6:$A$1005,$A290,$AS$6:$AS$1005,1),"")</f>
        <v/>
      </c>
      <c r="BC290" s="56">
        <f>IF(ISNUMBER($R290),1,0)</f>
        <v>0</v>
      </c>
      <c r="BD290" s="55" t="str">
        <f>IF(ISNUMBER($U290),$U290*$V290,"")</f>
        <v/>
      </c>
      <c r="BE290" s="56" t="str">
        <f>IF($AM290=0,"",IFERROR(MATCH($AF290&amp;"|"&amp;UPPER(TRIM($E290)),Lists!$A$6:$A$205,0),0))</f>
        <v/>
      </c>
      <c r="BF290" s="56" t="str">
        <f>IF($AM290=0,"",IFERROR(MATCH($AF290,Settings!$B$14:$B$18,0),IFERROR(MATCH(Settings!$C$6,Settings!$B$14:$B$18,0),1)))</f>
        <v/>
      </c>
      <c r="BG290" s="58" t="str">
        <f>IF($AM290=0,"",IF(NOT(ISNUMBER($I290)),"No stop; ","")&amp;IF(AND(ISNUMBER($H290),ISNUMBER($I290)),IF(OR(AND($F290&lt;&gt;"Short",$I290&gt;=$H290),AND($F290="Short",$I290&lt;=$H290)),"Stop on wrong side; ",""),"")&amp;IF($F290="","No direction; ","")&amp;IF(AND(ISNUMBER(Settings!$C$22),ISNUMBER($V290)),IF($V290&gt;Settings!$C$22,"Risk over max $; ",""),"")&amp;IF(AND(ISNUMBER(Settings!$C$23),ISNUMBER($V290),ISNUMBER($AP290),IFERROR(N(INDEX(Accounts!$E$7:$E$16,MATCH($C290,Accounts!$B$7:$B$16,0))),0)&gt;0),IF($V290&gt;Settings!$C$23*($AP290-N($Q290)),"Risk over max %; ",""),"")&amp;IF(AND(ISNUMBER(Settings!$C$24),ISNUMBER($N290)),IF($N290&gt;Settings!$C$24,"Leverage over max; ",""),"")&amp;IF(AND(ISNUMBER(Settings!$C$27),ISNUMBER($T290)),IF($T290&lt;Settings!$C$27,"R:R below min; ",""),"")&amp;IF(ISNUMBER(Settings!$C$25),IF(COUNTIFS($A$6:$A290,$A290,$AM$6:$AM290,1)&gt;Settings!$C$25,"Over max trades/day; ",""),"")&amp;IF(ISNUMBER(Settings!$C$26),IF(SUMIFS($Q$5:$Q289,$A$5:$A289,$A290)&lt;=-Settings!$C$26,"Traded after daily max loss; ",""),"")&amp;IF(AND($AG290="",NOT(ISNUMBER($O290))),"Symbol not in Instruments; ","")&amp;IF(AND($AH290="",NOT(ISNUMBER($O290))),"Forex cross: type Gross P&amp;L; ",""))</f>
        <v/>
      </c>
      <c r="BH290" s="56">
        <f>IF(ISNUMBER($Q290),1,0)</f>
        <v>0</v>
      </c>
      <c r="BI290" s="56">
        <f>IF($Y290="",0,1)</f>
        <v>0</v>
      </c>
      <c r="BJ290" s="56">
        <f>IF($AB290="",0,1)</f>
        <v>0</v>
      </c>
      <c r="BK290" s="56">
        <f>IF(AND($BH290=1,$W290&lt;&gt;"OK"),1,0)</f>
        <v>0</v>
      </c>
      <c r="BL290" s="55">
        <f>IF(N($AZ290)=0,0,IFERROR(INDEX($AT$6:$AT$1005,MATCH($AZ290,$AY$6:$AY$1005,0)),0))</f>
        <v>1187.10688</v>
      </c>
      <c r="BM290" s="56">
        <f>IF(ISNUMBER(SEARCH("daily max loss",$BG290)),1,0)</f>
        <v>0</v>
      </c>
    </row>
    <row r="291" ht="18" customHeight="1">
      <c r="A291" s="38" t="n"/>
      <c r="B291" s="39" t="n"/>
      <c r="C291" s="40" t="n"/>
      <c r="D291" s="41" t="n"/>
      <c r="E291" s="41" t="n"/>
      <c r="F291" s="41" t="n"/>
      <c r="G291" s="41" t="n"/>
      <c r="H291" s="42" t="n"/>
      <c r="I291" s="42" t="n"/>
      <c r="J291" s="42" t="n"/>
      <c r="K291" s="42" t="n"/>
      <c r="L291" s="41" t="n"/>
      <c r="M291" s="41" t="n"/>
      <c r="N291" s="41" t="n"/>
      <c r="O291" s="43" t="n"/>
      <c r="P291" s="43" t="n"/>
      <c r="Q291" s="44" t="str">
        <f>IF($AM291=0,"",IF(ISNUMBER($AK291),$AK291-N($AL291),""))</f>
        <v/>
      </c>
      <c r="R291" s="45" t="str">
        <f>IF(OR($Q291="",NOT(ISNUMBER($V291))),"",$AK291/$V291)</f>
        <v/>
      </c>
      <c r="S291" s="46" t="str">
        <f>IF($Q291="","",IF(AND(ISNUMBER($R291),ABS(N($R291))&lt;N(Settings!$C$8)),"Scratch",IF($Q291&gt;0,"Win",IF($Q291&lt;0,"Loss","Scratch"))))</f>
        <v/>
      </c>
      <c r="T291" s="47" t="str">
        <f>IF(OR($AM291=0,NOT(ISNUMBER($H291)),NOT(ISNUMBER($I291)),NOT(ISNUMBER($J291))),"",IF($H291=$I291,"",ROUND(ABS($J291-$H291)/ABS($H291-$I291),6)))</f>
        <v/>
      </c>
      <c r="U291" s="48" t="str">
        <f>IF(OR($S291&lt;&gt;"Win",NOT(ISNUMBER($T291)),NOT(ISNUMBER($R291))),"",MAX(0,$T291-$R291))</f>
        <v/>
      </c>
      <c r="V291" s="49" t="str">
        <f>IF(OR($AM291=0,NOT(ISNUMBER($H291)),NOT(ISNUMBER($I291)),NOT(ISNUMBER($G291))),"",IF(OR($AG291="",$AH291=""),"",IF(ROUND(ABS($H291-$I291)*ABS($G291)*$AG291*$AH291,6)=0,"",ROUND(ABS($H291-$I291)*ABS($G291)*$AG291*$AH291,6))))</f>
        <v/>
      </c>
      <c r="W291" s="50" t="str">
        <f>IF($AM291=0,"",IF($BG291="","OK",LEFT($BG291,LEN($BG291)-2)))</f>
        <v/>
      </c>
      <c r="X291" s="41" t="n"/>
      <c r="Y291" s="40" t="n"/>
      <c r="Z291" s="41" t="n"/>
      <c r="AA291" s="41" t="n"/>
      <c r="AB291" s="40" t="n"/>
      <c r="AC291" s="51" t="n"/>
      <c r="AD291" s="51" t="n"/>
      <c r="AE291" s="40" t="n"/>
      <c r="AF291" s="52" t="str">
        <f>IF($AM291=0,"",IF($D291&lt;&gt;"",$D291,IF(IFERROR(INDEX(Accounts!$C$7:$C$16,MATCH($C291,Accounts!$B$7:$B$16,0))&amp;"","")&lt;&gt;"",INDEX(Accounts!$C$7:$C$16,MATCH($C291,Accounts!$B$7:$B$16,0)),Settings!$C$6)))</f>
        <v/>
      </c>
      <c r="AG291" s="53" t="str">
        <f>IF($AM291=0,"",IF(AND($BE291&gt;0,N(INDEX(Instruments!$D$6:$D$205,MAX(1,$BE291)))&gt;0),INDEX(Instruments!$D$6:$D$205,MAX(1,$BE291)),IF(N(INDEX(Settings!$D$14:$D$18,$BF291))&gt;0,INDEX(Settings!$D$14:$D$18,$BF291),"")))</f>
        <v/>
      </c>
      <c r="AH291" s="54" t="str">
        <f>IF($AM291=0,"",IF($AF291&lt;&gt;"Forex",1,IF(MID(UPPER(SUBSTITUTE(TRIM($E291),"/","")),4,3)=UPPER(TRIM(Settings!$C$7)),1,IF(LEFT(UPPER(SUBSTITUTE(TRIM($E291),"/","")),3)=UPPER(TRIM(Settings!$C$7)),IF(AND(ISNUMBER($K291),N($K291)&lt;&gt;0),1/$K291,""),""))))</f>
        <v/>
      </c>
      <c r="AI291" s="55" t="str">
        <f>IF($AM291=0,"",IF(OR(NOT(ISNUMBER($H291)),NOT(ISNUMBER($K291)),NOT(ISNUMBER($G291)),$AG291="",$AH291=""),"",ROUND(($K291-$H291)*IF($F291="Short",-1,1)*$G291*$AG291*$AH291,6)))</f>
        <v/>
      </c>
      <c r="AJ291" s="55" t="str">
        <f>IF($AM291=0,"",IF(INDEX(Settings!$E$14:$E$18,$BF291)="% of notional",IF(OR($AG291="",NOT(ISNUMBER($H291)),NOT(ISNUMBER($G291))),"",ROUND(ABS($H291*$G291*$AG291*N($AH291))*IF($L291="Limit",N(INDEX(Settings!$G$14:$G$18,$BF291)),N(INDEX(Settings!$H$14:$H$18,$BF291)))+IF(ISNUMBER($K291),ABS($K291*$G291*$AG291*N($AH291))*IF($M291="Target",N(INDEX(Settings!$G$14:$G$18,$BF291)),N(INDEX(Settings!$H$14:$H$18,$BF291))),0),6)),IF(NOT(ISNUMBER($G291)),"",ROUND(ABS($G291)*2*IF(AND($BE291&gt;0,ISNUMBER(INDEX(Instruments!$G$6:$G$205,MAX(1,$BE291)))),INDEX(Instruments!$G$6:$G$205,MAX(1,$BE291)),N(INDEX(Settings!$F$14:$F$18,$BF291))),6))))</f>
        <v/>
      </c>
      <c r="AK291" s="55" t="str">
        <f>IF($AM291=0,"",IF(ISNUMBER($O291),$O291,$AI291))</f>
        <v/>
      </c>
      <c r="AL291" s="55" t="str">
        <f>IF($AM291=0,"",IF(ISNUMBER($P291),$P291,N($AJ291)))</f>
        <v/>
      </c>
      <c r="AM291" s="56">
        <f>IF(AND($A291&lt;&gt;"",$E291&lt;&gt;"",OR(AND(ISNUMBER($G291),ISNUMBER($H291),ISNUMBER($K291)),ISNUMBER($O291))),1,0)</f>
        <v>0</v>
      </c>
      <c r="AN291" s="57" t="str">
        <f>IF($A291="","",$A291-WEEKDAY($A291,3))</f>
        <v/>
      </c>
      <c r="AO291" s="56" t="str">
        <f>IF($A291="","",WEEKDAY($A291,2))</f>
        <v/>
      </c>
      <c r="AP291" s="55" t="str">
        <f>IF(OR($AM291=0,$C291=""),"",IFERROR(N(INDEX(Accounts!$E$7:$E$16,MATCH($C291,Accounts!$B$7:$B$16,0))),0)+SUMIFS($Q$6:$Q291,$C$6:$C291,$C291))</f>
        <v/>
      </c>
      <c r="AQ291" s="55" t="str">
        <f>IF(OR($AM291=0,$C291=""),"",SUMIFS($Q$6:$Q$1005,$C$6:$C$1005,$C291,$A$6:$A$1005,$A291))</f>
        <v/>
      </c>
      <c r="AR291" s="55" t="str">
        <f>IF(OR($AM291=0,$C291=""),"",IFERROR(N(INDEX(Accounts!$E$7:$E$16,MATCH($C291,Accounts!$B$7:$B$16,0))),0)+SUMIFS($Q$6:$Q$1005,$C$6:$C$1005,$C291,$A$6:$A$1005,"&lt;="&amp;$A291))</f>
        <v/>
      </c>
      <c r="AS291" s="56">
        <f>IF(OR($AM291=0,$Q291=""),0,IF(AND($A291&gt;=Lists!$W$6,$A291&lt;=Lists!$W$7,OR(Dashboard!$D$6="All accounts",$C291=Dashboard!$D$6),OR(Dashboard!$D$7="All markets",$AF291=Dashboard!$D$7)),1,0))</f>
        <v>0</v>
      </c>
      <c r="AT291" s="55">
        <f>IF($AS291=1,N(AT290)+$Q291,N(AT290))</f>
        <v>1187.10688</v>
      </c>
      <c r="AU291" s="55">
        <f>MAX(N(AU290),$AT291)</f>
        <v>1187.10688</v>
      </c>
      <c r="AV291" s="55">
        <f>$AT291-$AU291</f>
        <v>0</v>
      </c>
      <c r="AW291" s="56">
        <f>IF($AS291=1,IF($S291="Win",N(AW290)+1,IF($S291="Loss",0,N(AW290))),N(AW290))</f>
        <v>5</v>
      </c>
      <c r="AX291" s="56">
        <f>IF($AS291=1,IF($S291="Loss",N(AX290)+1,IF($S291="Win",0,N(AX290))),N(AX290))</f>
        <v>0</v>
      </c>
      <c r="AY291" s="56" t="str">
        <f>IF($AS291=1,COUNTIF($AS$6:$AS291,1),"")</f>
        <v/>
      </c>
      <c r="AZ291" s="56">
        <f>MIN(285,N(Lists!$W$8))</f>
        <v>28</v>
      </c>
      <c r="BA291" s="56">
        <f>IF($AS291=1,IF(COUNTIFS($A$6:$A291,$A291,$AS$6:$AS291,1)=1,1,0),0)</f>
        <v>0</v>
      </c>
      <c r="BB291" s="55" t="str">
        <f>IF($BA291=1,SUMIFS($Q$6:$Q$1005,$A$6:$A$1005,$A291,$AS$6:$AS$1005,1),"")</f>
        <v/>
      </c>
      <c r="BC291" s="56">
        <f>IF(ISNUMBER($R291),1,0)</f>
        <v>0</v>
      </c>
      <c r="BD291" s="55" t="str">
        <f>IF(ISNUMBER($U291),$U291*$V291,"")</f>
        <v/>
      </c>
      <c r="BE291" s="56" t="str">
        <f>IF($AM291=0,"",IFERROR(MATCH($AF291&amp;"|"&amp;UPPER(TRIM($E291)),Lists!$A$6:$A$205,0),0))</f>
        <v/>
      </c>
      <c r="BF291" s="56" t="str">
        <f>IF($AM291=0,"",IFERROR(MATCH($AF291,Settings!$B$14:$B$18,0),IFERROR(MATCH(Settings!$C$6,Settings!$B$14:$B$18,0),1)))</f>
        <v/>
      </c>
      <c r="BG291" s="58" t="str">
        <f>IF($AM291=0,"",IF(NOT(ISNUMBER($I291)),"No stop; ","")&amp;IF(AND(ISNUMBER($H291),ISNUMBER($I291)),IF(OR(AND($F291&lt;&gt;"Short",$I291&gt;=$H291),AND($F291="Short",$I291&lt;=$H291)),"Stop on wrong side; ",""),"")&amp;IF($F291="","No direction; ","")&amp;IF(AND(ISNUMBER(Settings!$C$22),ISNUMBER($V291)),IF($V291&gt;Settings!$C$22,"Risk over max $; ",""),"")&amp;IF(AND(ISNUMBER(Settings!$C$23),ISNUMBER($V291),ISNUMBER($AP291),IFERROR(N(INDEX(Accounts!$E$7:$E$16,MATCH($C291,Accounts!$B$7:$B$16,0))),0)&gt;0),IF($V291&gt;Settings!$C$23*($AP291-N($Q291)),"Risk over max %; ",""),"")&amp;IF(AND(ISNUMBER(Settings!$C$24),ISNUMBER($N291)),IF($N291&gt;Settings!$C$24,"Leverage over max; ",""),"")&amp;IF(AND(ISNUMBER(Settings!$C$27),ISNUMBER($T291)),IF($T291&lt;Settings!$C$27,"R:R below min; ",""),"")&amp;IF(ISNUMBER(Settings!$C$25),IF(COUNTIFS($A$6:$A291,$A291,$AM$6:$AM291,1)&gt;Settings!$C$25,"Over max trades/day; ",""),"")&amp;IF(ISNUMBER(Settings!$C$26),IF(SUMIFS($Q$5:$Q290,$A$5:$A290,$A291)&lt;=-Settings!$C$26,"Traded after daily max loss; ",""),"")&amp;IF(AND($AG291="",NOT(ISNUMBER($O291))),"Symbol not in Instruments; ","")&amp;IF(AND($AH291="",NOT(ISNUMBER($O291))),"Forex cross: type Gross P&amp;L; ",""))</f>
        <v/>
      </c>
      <c r="BH291" s="56">
        <f>IF(ISNUMBER($Q291),1,0)</f>
        <v>0</v>
      </c>
      <c r="BI291" s="56">
        <f>IF($Y291="",0,1)</f>
        <v>0</v>
      </c>
      <c r="BJ291" s="56">
        <f>IF($AB291="",0,1)</f>
        <v>0</v>
      </c>
      <c r="BK291" s="56">
        <f>IF(AND($BH291=1,$W291&lt;&gt;"OK"),1,0)</f>
        <v>0</v>
      </c>
      <c r="BL291" s="55">
        <f>IF(N($AZ291)=0,0,IFERROR(INDEX($AT$6:$AT$1005,MATCH($AZ291,$AY$6:$AY$1005,0)),0))</f>
        <v>1187.10688</v>
      </c>
      <c r="BM291" s="56">
        <f>IF(ISNUMBER(SEARCH("daily max loss",$BG291)),1,0)</f>
        <v>0</v>
      </c>
    </row>
    <row r="292" ht="18" customHeight="1">
      <c r="A292" s="38" t="n"/>
      <c r="B292" s="39" t="n"/>
      <c r="C292" s="40" t="n"/>
      <c r="D292" s="41" t="n"/>
      <c r="E292" s="41" t="n"/>
      <c r="F292" s="41" t="n"/>
      <c r="G292" s="41" t="n"/>
      <c r="H292" s="42" t="n"/>
      <c r="I292" s="42" t="n"/>
      <c r="J292" s="42" t="n"/>
      <c r="K292" s="42" t="n"/>
      <c r="L292" s="41" t="n"/>
      <c r="M292" s="41" t="n"/>
      <c r="N292" s="41" t="n"/>
      <c r="O292" s="43" t="n"/>
      <c r="P292" s="43" t="n"/>
      <c r="Q292" s="44" t="str">
        <f>IF($AM292=0,"",IF(ISNUMBER($AK292),$AK292-N($AL292),""))</f>
        <v/>
      </c>
      <c r="R292" s="45" t="str">
        <f>IF(OR($Q292="",NOT(ISNUMBER($V292))),"",$AK292/$V292)</f>
        <v/>
      </c>
      <c r="S292" s="46" t="str">
        <f>IF($Q292="","",IF(AND(ISNUMBER($R292),ABS(N($R292))&lt;N(Settings!$C$8)),"Scratch",IF($Q292&gt;0,"Win",IF($Q292&lt;0,"Loss","Scratch"))))</f>
        <v/>
      </c>
      <c r="T292" s="47" t="str">
        <f>IF(OR($AM292=0,NOT(ISNUMBER($H292)),NOT(ISNUMBER($I292)),NOT(ISNUMBER($J292))),"",IF($H292=$I292,"",ROUND(ABS($J292-$H292)/ABS($H292-$I292),6)))</f>
        <v/>
      </c>
      <c r="U292" s="48" t="str">
        <f>IF(OR($S292&lt;&gt;"Win",NOT(ISNUMBER($T292)),NOT(ISNUMBER($R292))),"",MAX(0,$T292-$R292))</f>
        <v/>
      </c>
      <c r="V292" s="49" t="str">
        <f>IF(OR($AM292=0,NOT(ISNUMBER($H292)),NOT(ISNUMBER($I292)),NOT(ISNUMBER($G292))),"",IF(OR($AG292="",$AH292=""),"",IF(ROUND(ABS($H292-$I292)*ABS($G292)*$AG292*$AH292,6)=0,"",ROUND(ABS($H292-$I292)*ABS($G292)*$AG292*$AH292,6))))</f>
        <v/>
      </c>
      <c r="W292" s="50" t="str">
        <f>IF($AM292=0,"",IF($BG292="","OK",LEFT($BG292,LEN($BG292)-2)))</f>
        <v/>
      </c>
      <c r="X292" s="41" t="n"/>
      <c r="Y292" s="40" t="n"/>
      <c r="Z292" s="41" t="n"/>
      <c r="AA292" s="41" t="n"/>
      <c r="AB292" s="40" t="n"/>
      <c r="AC292" s="51" t="n"/>
      <c r="AD292" s="51" t="n"/>
      <c r="AE292" s="40" t="n"/>
      <c r="AF292" s="52" t="str">
        <f>IF($AM292=0,"",IF($D292&lt;&gt;"",$D292,IF(IFERROR(INDEX(Accounts!$C$7:$C$16,MATCH($C292,Accounts!$B$7:$B$16,0))&amp;"","")&lt;&gt;"",INDEX(Accounts!$C$7:$C$16,MATCH($C292,Accounts!$B$7:$B$16,0)),Settings!$C$6)))</f>
        <v/>
      </c>
      <c r="AG292" s="53" t="str">
        <f>IF($AM292=0,"",IF(AND($BE292&gt;0,N(INDEX(Instruments!$D$6:$D$205,MAX(1,$BE292)))&gt;0),INDEX(Instruments!$D$6:$D$205,MAX(1,$BE292)),IF(N(INDEX(Settings!$D$14:$D$18,$BF292))&gt;0,INDEX(Settings!$D$14:$D$18,$BF292),"")))</f>
        <v/>
      </c>
      <c r="AH292" s="54" t="str">
        <f>IF($AM292=0,"",IF($AF292&lt;&gt;"Forex",1,IF(MID(UPPER(SUBSTITUTE(TRIM($E292),"/","")),4,3)=UPPER(TRIM(Settings!$C$7)),1,IF(LEFT(UPPER(SUBSTITUTE(TRIM($E292),"/","")),3)=UPPER(TRIM(Settings!$C$7)),IF(AND(ISNUMBER($K292),N($K292)&lt;&gt;0),1/$K292,""),""))))</f>
        <v/>
      </c>
      <c r="AI292" s="55" t="str">
        <f>IF($AM292=0,"",IF(OR(NOT(ISNUMBER($H292)),NOT(ISNUMBER($K292)),NOT(ISNUMBER($G292)),$AG292="",$AH292=""),"",ROUND(($K292-$H292)*IF($F292="Short",-1,1)*$G292*$AG292*$AH292,6)))</f>
        <v/>
      </c>
      <c r="AJ292" s="55" t="str">
        <f>IF($AM292=0,"",IF(INDEX(Settings!$E$14:$E$18,$BF292)="% of notional",IF(OR($AG292="",NOT(ISNUMBER($H292)),NOT(ISNUMBER($G292))),"",ROUND(ABS($H292*$G292*$AG292*N($AH292))*IF($L292="Limit",N(INDEX(Settings!$G$14:$G$18,$BF292)),N(INDEX(Settings!$H$14:$H$18,$BF292)))+IF(ISNUMBER($K292),ABS($K292*$G292*$AG292*N($AH292))*IF($M292="Target",N(INDEX(Settings!$G$14:$G$18,$BF292)),N(INDEX(Settings!$H$14:$H$18,$BF292))),0),6)),IF(NOT(ISNUMBER($G292)),"",ROUND(ABS($G292)*2*IF(AND($BE292&gt;0,ISNUMBER(INDEX(Instruments!$G$6:$G$205,MAX(1,$BE292)))),INDEX(Instruments!$G$6:$G$205,MAX(1,$BE292)),N(INDEX(Settings!$F$14:$F$18,$BF292))),6))))</f>
        <v/>
      </c>
      <c r="AK292" s="55" t="str">
        <f>IF($AM292=0,"",IF(ISNUMBER($O292),$O292,$AI292))</f>
        <v/>
      </c>
      <c r="AL292" s="55" t="str">
        <f>IF($AM292=0,"",IF(ISNUMBER($P292),$P292,N($AJ292)))</f>
        <v/>
      </c>
      <c r="AM292" s="56">
        <f>IF(AND($A292&lt;&gt;"",$E292&lt;&gt;"",OR(AND(ISNUMBER($G292),ISNUMBER($H292),ISNUMBER($K292)),ISNUMBER($O292))),1,0)</f>
        <v>0</v>
      </c>
      <c r="AN292" s="57" t="str">
        <f>IF($A292="","",$A292-WEEKDAY($A292,3))</f>
        <v/>
      </c>
      <c r="AO292" s="56" t="str">
        <f>IF($A292="","",WEEKDAY($A292,2))</f>
        <v/>
      </c>
      <c r="AP292" s="55" t="str">
        <f>IF(OR($AM292=0,$C292=""),"",IFERROR(N(INDEX(Accounts!$E$7:$E$16,MATCH($C292,Accounts!$B$7:$B$16,0))),0)+SUMIFS($Q$6:$Q292,$C$6:$C292,$C292))</f>
        <v/>
      </c>
      <c r="AQ292" s="55" t="str">
        <f>IF(OR($AM292=0,$C292=""),"",SUMIFS($Q$6:$Q$1005,$C$6:$C$1005,$C292,$A$6:$A$1005,$A292))</f>
        <v/>
      </c>
      <c r="AR292" s="55" t="str">
        <f>IF(OR($AM292=0,$C292=""),"",IFERROR(N(INDEX(Accounts!$E$7:$E$16,MATCH($C292,Accounts!$B$7:$B$16,0))),0)+SUMIFS($Q$6:$Q$1005,$C$6:$C$1005,$C292,$A$6:$A$1005,"&lt;="&amp;$A292))</f>
        <v/>
      </c>
      <c r="AS292" s="56">
        <f>IF(OR($AM292=0,$Q292=""),0,IF(AND($A292&gt;=Lists!$W$6,$A292&lt;=Lists!$W$7,OR(Dashboard!$D$6="All accounts",$C292=Dashboard!$D$6),OR(Dashboard!$D$7="All markets",$AF292=Dashboard!$D$7)),1,0))</f>
        <v>0</v>
      </c>
      <c r="AT292" s="55">
        <f>IF($AS292=1,N(AT291)+$Q292,N(AT291))</f>
        <v>1187.10688</v>
      </c>
      <c r="AU292" s="55">
        <f>MAX(N(AU291),$AT292)</f>
        <v>1187.10688</v>
      </c>
      <c r="AV292" s="55">
        <f>$AT292-$AU292</f>
        <v>0</v>
      </c>
      <c r="AW292" s="56">
        <f>IF($AS292=1,IF($S292="Win",N(AW291)+1,IF($S292="Loss",0,N(AW291))),N(AW291))</f>
        <v>5</v>
      </c>
      <c r="AX292" s="56">
        <f>IF($AS292=1,IF($S292="Loss",N(AX291)+1,IF($S292="Win",0,N(AX291))),N(AX291))</f>
        <v>0</v>
      </c>
      <c r="AY292" s="56" t="str">
        <f>IF($AS292=1,COUNTIF($AS$6:$AS292,1),"")</f>
        <v/>
      </c>
      <c r="AZ292" s="56">
        <f>MIN(286,N(Lists!$W$8))</f>
        <v>28</v>
      </c>
      <c r="BA292" s="56">
        <f>IF($AS292=1,IF(COUNTIFS($A$6:$A292,$A292,$AS$6:$AS292,1)=1,1,0),0)</f>
        <v>0</v>
      </c>
      <c r="BB292" s="55" t="str">
        <f>IF($BA292=1,SUMIFS($Q$6:$Q$1005,$A$6:$A$1005,$A292,$AS$6:$AS$1005,1),"")</f>
        <v/>
      </c>
      <c r="BC292" s="56">
        <f>IF(ISNUMBER($R292),1,0)</f>
        <v>0</v>
      </c>
      <c r="BD292" s="55" t="str">
        <f>IF(ISNUMBER($U292),$U292*$V292,"")</f>
        <v/>
      </c>
      <c r="BE292" s="56" t="str">
        <f>IF($AM292=0,"",IFERROR(MATCH($AF292&amp;"|"&amp;UPPER(TRIM($E292)),Lists!$A$6:$A$205,0),0))</f>
        <v/>
      </c>
      <c r="BF292" s="56" t="str">
        <f>IF($AM292=0,"",IFERROR(MATCH($AF292,Settings!$B$14:$B$18,0),IFERROR(MATCH(Settings!$C$6,Settings!$B$14:$B$18,0),1)))</f>
        <v/>
      </c>
      <c r="BG292" s="58" t="str">
        <f>IF($AM292=0,"",IF(NOT(ISNUMBER($I292)),"No stop; ","")&amp;IF(AND(ISNUMBER($H292),ISNUMBER($I292)),IF(OR(AND($F292&lt;&gt;"Short",$I292&gt;=$H292),AND($F292="Short",$I292&lt;=$H292)),"Stop on wrong side; ",""),"")&amp;IF($F292="","No direction; ","")&amp;IF(AND(ISNUMBER(Settings!$C$22),ISNUMBER($V292)),IF($V292&gt;Settings!$C$22,"Risk over max $; ",""),"")&amp;IF(AND(ISNUMBER(Settings!$C$23),ISNUMBER($V292),ISNUMBER($AP292),IFERROR(N(INDEX(Accounts!$E$7:$E$16,MATCH($C292,Accounts!$B$7:$B$16,0))),0)&gt;0),IF($V292&gt;Settings!$C$23*($AP292-N($Q292)),"Risk over max %; ",""),"")&amp;IF(AND(ISNUMBER(Settings!$C$24),ISNUMBER($N292)),IF($N292&gt;Settings!$C$24,"Leverage over max; ",""),"")&amp;IF(AND(ISNUMBER(Settings!$C$27),ISNUMBER($T292)),IF($T292&lt;Settings!$C$27,"R:R below min; ",""),"")&amp;IF(ISNUMBER(Settings!$C$25),IF(COUNTIFS($A$6:$A292,$A292,$AM$6:$AM292,1)&gt;Settings!$C$25,"Over max trades/day; ",""),"")&amp;IF(ISNUMBER(Settings!$C$26),IF(SUMIFS($Q$5:$Q291,$A$5:$A291,$A292)&lt;=-Settings!$C$26,"Traded after daily max loss; ",""),"")&amp;IF(AND($AG292="",NOT(ISNUMBER($O292))),"Symbol not in Instruments; ","")&amp;IF(AND($AH292="",NOT(ISNUMBER($O292))),"Forex cross: type Gross P&amp;L; ",""))</f>
        <v/>
      </c>
      <c r="BH292" s="56">
        <f>IF(ISNUMBER($Q292),1,0)</f>
        <v>0</v>
      </c>
      <c r="BI292" s="56">
        <f>IF($Y292="",0,1)</f>
        <v>0</v>
      </c>
      <c r="BJ292" s="56">
        <f>IF($AB292="",0,1)</f>
        <v>0</v>
      </c>
      <c r="BK292" s="56">
        <f>IF(AND($BH292=1,$W292&lt;&gt;"OK"),1,0)</f>
        <v>0</v>
      </c>
      <c r="BL292" s="55">
        <f>IF(N($AZ292)=0,0,IFERROR(INDEX($AT$6:$AT$1005,MATCH($AZ292,$AY$6:$AY$1005,0)),0))</f>
        <v>1187.10688</v>
      </c>
      <c r="BM292" s="56">
        <f>IF(ISNUMBER(SEARCH("daily max loss",$BG292)),1,0)</f>
        <v>0</v>
      </c>
    </row>
    <row r="293" ht="18" customHeight="1">
      <c r="A293" s="38" t="n"/>
      <c r="B293" s="39" t="n"/>
      <c r="C293" s="40" t="n"/>
      <c r="D293" s="41" t="n"/>
      <c r="E293" s="41" t="n"/>
      <c r="F293" s="41" t="n"/>
      <c r="G293" s="41" t="n"/>
      <c r="H293" s="42" t="n"/>
      <c r="I293" s="42" t="n"/>
      <c r="J293" s="42" t="n"/>
      <c r="K293" s="42" t="n"/>
      <c r="L293" s="41" t="n"/>
      <c r="M293" s="41" t="n"/>
      <c r="N293" s="41" t="n"/>
      <c r="O293" s="43" t="n"/>
      <c r="P293" s="43" t="n"/>
      <c r="Q293" s="44" t="str">
        <f>IF($AM293=0,"",IF(ISNUMBER($AK293),$AK293-N($AL293),""))</f>
        <v/>
      </c>
      <c r="R293" s="45" t="str">
        <f>IF(OR($Q293="",NOT(ISNUMBER($V293))),"",$AK293/$V293)</f>
        <v/>
      </c>
      <c r="S293" s="46" t="str">
        <f>IF($Q293="","",IF(AND(ISNUMBER($R293),ABS(N($R293))&lt;N(Settings!$C$8)),"Scratch",IF($Q293&gt;0,"Win",IF($Q293&lt;0,"Loss","Scratch"))))</f>
        <v/>
      </c>
      <c r="T293" s="47" t="str">
        <f>IF(OR($AM293=0,NOT(ISNUMBER($H293)),NOT(ISNUMBER($I293)),NOT(ISNUMBER($J293))),"",IF($H293=$I293,"",ROUND(ABS($J293-$H293)/ABS($H293-$I293),6)))</f>
        <v/>
      </c>
      <c r="U293" s="48" t="str">
        <f>IF(OR($S293&lt;&gt;"Win",NOT(ISNUMBER($T293)),NOT(ISNUMBER($R293))),"",MAX(0,$T293-$R293))</f>
        <v/>
      </c>
      <c r="V293" s="49" t="str">
        <f>IF(OR($AM293=0,NOT(ISNUMBER($H293)),NOT(ISNUMBER($I293)),NOT(ISNUMBER($G293))),"",IF(OR($AG293="",$AH293=""),"",IF(ROUND(ABS($H293-$I293)*ABS($G293)*$AG293*$AH293,6)=0,"",ROUND(ABS($H293-$I293)*ABS($G293)*$AG293*$AH293,6))))</f>
        <v/>
      </c>
      <c r="W293" s="50" t="str">
        <f>IF($AM293=0,"",IF($BG293="","OK",LEFT($BG293,LEN($BG293)-2)))</f>
        <v/>
      </c>
      <c r="X293" s="41" t="n"/>
      <c r="Y293" s="40" t="n"/>
      <c r="Z293" s="41" t="n"/>
      <c r="AA293" s="41" t="n"/>
      <c r="AB293" s="40" t="n"/>
      <c r="AC293" s="51" t="n"/>
      <c r="AD293" s="51" t="n"/>
      <c r="AE293" s="40" t="n"/>
      <c r="AF293" s="52" t="str">
        <f>IF($AM293=0,"",IF($D293&lt;&gt;"",$D293,IF(IFERROR(INDEX(Accounts!$C$7:$C$16,MATCH($C293,Accounts!$B$7:$B$16,0))&amp;"","")&lt;&gt;"",INDEX(Accounts!$C$7:$C$16,MATCH($C293,Accounts!$B$7:$B$16,0)),Settings!$C$6)))</f>
        <v/>
      </c>
      <c r="AG293" s="53" t="str">
        <f>IF($AM293=0,"",IF(AND($BE293&gt;0,N(INDEX(Instruments!$D$6:$D$205,MAX(1,$BE293)))&gt;0),INDEX(Instruments!$D$6:$D$205,MAX(1,$BE293)),IF(N(INDEX(Settings!$D$14:$D$18,$BF293))&gt;0,INDEX(Settings!$D$14:$D$18,$BF293),"")))</f>
        <v/>
      </c>
      <c r="AH293" s="54" t="str">
        <f>IF($AM293=0,"",IF($AF293&lt;&gt;"Forex",1,IF(MID(UPPER(SUBSTITUTE(TRIM($E293),"/","")),4,3)=UPPER(TRIM(Settings!$C$7)),1,IF(LEFT(UPPER(SUBSTITUTE(TRIM($E293),"/","")),3)=UPPER(TRIM(Settings!$C$7)),IF(AND(ISNUMBER($K293),N($K293)&lt;&gt;0),1/$K293,""),""))))</f>
        <v/>
      </c>
      <c r="AI293" s="55" t="str">
        <f>IF($AM293=0,"",IF(OR(NOT(ISNUMBER($H293)),NOT(ISNUMBER($K293)),NOT(ISNUMBER($G293)),$AG293="",$AH293=""),"",ROUND(($K293-$H293)*IF($F293="Short",-1,1)*$G293*$AG293*$AH293,6)))</f>
        <v/>
      </c>
      <c r="AJ293" s="55" t="str">
        <f>IF($AM293=0,"",IF(INDEX(Settings!$E$14:$E$18,$BF293)="% of notional",IF(OR($AG293="",NOT(ISNUMBER($H293)),NOT(ISNUMBER($G293))),"",ROUND(ABS($H293*$G293*$AG293*N($AH293))*IF($L293="Limit",N(INDEX(Settings!$G$14:$G$18,$BF293)),N(INDEX(Settings!$H$14:$H$18,$BF293)))+IF(ISNUMBER($K293),ABS($K293*$G293*$AG293*N($AH293))*IF($M293="Target",N(INDEX(Settings!$G$14:$G$18,$BF293)),N(INDEX(Settings!$H$14:$H$18,$BF293))),0),6)),IF(NOT(ISNUMBER($G293)),"",ROUND(ABS($G293)*2*IF(AND($BE293&gt;0,ISNUMBER(INDEX(Instruments!$G$6:$G$205,MAX(1,$BE293)))),INDEX(Instruments!$G$6:$G$205,MAX(1,$BE293)),N(INDEX(Settings!$F$14:$F$18,$BF293))),6))))</f>
        <v/>
      </c>
      <c r="AK293" s="55" t="str">
        <f>IF($AM293=0,"",IF(ISNUMBER($O293),$O293,$AI293))</f>
        <v/>
      </c>
      <c r="AL293" s="55" t="str">
        <f>IF($AM293=0,"",IF(ISNUMBER($P293),$P293,N($AJ293)))</f>
        <v/>
      </c>
      <c r="AM293" s="56">
        <f>IF(AND($A293&lt;&gt;"",$E293&lt;&gt;"",OR(AND(ISNUMBER($G293),ISNUMBER($H293),ISNUMBER($K293)),ISNUMBER($O293))),1,0)</f>
        <v>0</v>
      </c>
      <c r="AN293" s="57" t="str">
        <f>IF($A293="","",$A293-WEEKDAY($A293,3))</f>
        <v/>
      </c>
      <c r="AO293" s="56" t="str">
        <f>IF($A293="","",WEEKDAY($A293,2))</f>
        <v/>
      </c>
      <c r="AP293" s="55" t="str">
        <f>IF(OR($AM293=0,$C293=""),"",IFERROR(N(INDEX(Accounts!$E$7:$E$16,MATCH($C293,Accounts!$B$7:$B$16,0))),0)+SUMIFS($Q$6:$Q293,$C$6:$C293,$C293))</f>
        <v/>
      </c>
      <c r="AQ293" s="55" t="str">
        <f>IF(OR($AM293=0,$C293=""),"",SUMIFS($Q$6:$Q$1005,$C$6:$C$1005,$C293,$A$6:$A$1005,$A293))</f>
        <v/>
      </c>
      <c r="AR293" s="55" t="str">
        <f>IF(OR($AM293=0,$C293=""),"",IFERROR(N(INDEX(Accounts!$E$7:$E$16,MATCH($C293,Accounts!$B$7:$B$16,0))),0)+SUMIFS($Q$6:$Q$1005,$C$6:$C$1005,$C293,$A$6:$A$1005,"&lt;="&amp;$A293))</f>
        <v/>
      </c>
      <c r="AS293" s="56">
        <f>IF(OR($AM293=0,$Q293=""),0,IF(AND($A293&gt;=Lists!$W$6,$A293&lt;=Lists!$W$7,OR(Dashboard!$D$6="All accounts",$C293=Dashboard!$D$6),OR(Dashboard!$D$7="All markets",$AF293=Dashboard!$D$7)),1,0))</f>
        <v>0</v>
      </c>
      <c r="AT293" s="55">
        <f>IF($AS293=1,N(AT292)+$Q293,N(AT292))</f>
        <v>1187.10688</v>
      </c>
      <c r="AU293" s="55">
        <f>MAX(N(AU292),$AT293)</f>
        <v>1187.10688</v>
      </c>
      <c r="AV293" s="55">
        <f>$AT293-$AU293</f>
        <v>0</v>
      </c>
      <c r="AW293" s="56">
        <f>IF($AS293=1,IF($S293="Win",N(AW292)+1,IF($S293="Loss",0,N(AW292))),N(AW292))</f>
        <v>5</v>
      </c>
      <c r="AX293" s="56">
        <f>IF($AS293=1,IF($S293="Loss",N(AX292)+1,IF($S293="Win",0,N(AX292))),N(AX292))</f>
        <v>0</v>
      </c>
      <c r="AY293" s="56" t="str">
        <f>IF($AS293=1,COUNTIF($AS$6:$AS293,1),"")</f>
        <v/>
      </c>
      <c r="AZ293" s="56">
        <f>MIN(287,N(Lists!$W$8))</f>
        <v>28</v>
      </c>
      <c r="BA293" s="56">
        <f>IF($AS293=1,IF(COUNTIFS($A$6:$A293,$A293,$AS$6:$AS293,1)=1,1,0),0)</f>
        <v>0</v>
      </c>
      <c r="BB293" s="55" t="str">
        <f>IF($BA293=1,SUMIFS($Q$6:$Q$1005,$A$6:$A$1005,$A293,$AS$6:$AS$1005,1),"")</f>
        <v/>
      </c>
      <c r="BC293" s="56">
        <f>IF(ISNUMBER($R293),1,0)</f>
        <v>0</v>
      </c>
      <c r="BD293" s="55" t="str">
        <f>IF(ISNUMBER($U293),$U293*$V293,"")</f>
        <v/>
      </c>
      <c r="BE293" s="56" t="str">
        <f>IF($AM293=0,"",IFERROR(MATCH($AF293&amp;"|"&amp;UPPER(TRIM($E293)),Lists!$A$6:$A$205,0),0))</f>
        <v/>
      </c>
      <c r="BF293" s="56" t="str">
        <f>IF($AM293=0,"",IFERROR(MATCH($AF293,Settings!$B$14:$B$18,0),IFERROR(MATCH(Settings!$C$6,Settings!$B$14:$B$18,0),1)))</f>
        <v/>
      </c>
      <c r="BG293" s="58" t="str">
        <f>IF($AM293=0,"",IF(NOT(ISNUMBER($I293)),"No stop; ","")&amp;IF(AND(ISNUMBER($H293),ISNUMBER($I293)),IF(OR(AND($F293&lt;&gt;"Short",$I293&gt;=$H293),AND($F293="Short",$I293&lt;=$H293)),"Stop on wrong side; ",""),"")&amp;IF($F293="","No direction; ","")&amp;IF(AND(ISNUMBER(Settings!$C$22),ISNUMBER($V293)),IF($V293&gt;Settings!$C$22,"Risk over max $; ",""),"")&amp;IF(AND(ISNUMBER(Settings!$C$23),ISNUMBER($V293),ISNUMBER($AP293),IFERROR(N(INDEX(Accounts!$E$7:$E$16,MATCH($C293,Accounts!$B$7:$B$16,0))),0)&gt;0),IF($V293&gt;Settings!$C$23*($AP293-N($Q293)),"Risk over max %; ",""),"")&amp;IF(AND(ISNUMBER(Settings!$C$24),ISNUMBER($N293)),IF($N293&gt;Settings!$C$24,"Leverage over max; ",""),"")&amp;IF(AND(ISNUMBER(Settings!$C$27),ISNUMBER($T293)),IF($T293&lt;Settings!$C$27,"R:R below min; ",""),"")&amp;IF(ISNUMBER(Settings!$C$25),IF(COUNTIFS($A$6:$A293,$A293,$AM$6:$AM293,1)&gt;Settings!$C$25,"Over max trades/day; ",""),"")&amp;IF(ISNUMBER(Settings!$C$26),IF(SUMIFS($Q$5:$Q292,$A$5:$A292,$A293)&lt;=-Settings!$C$26,"Traded after daily max loss; ",""),"")&amp;IF(AND($AG293="",NOT(ISNUMBER($O293))),"Symbol not in Instruments; ","")&amp;IF(AND($AH293="",NOT(ISNUMBER($O293))),"Forex cross: type Gross P&amp;L; ",""))</f>
        <v/>
      </c>
      <c r="BH293" s="56">
        <f>IF(ISNUMBER($Q293),1,0)</f>
        <v>0</v>
      </c>
      <c r="BI293" s="56">
        <f>IF($Y293="",0,1)</f>
        <v>0</v>
      </c>
      <c r="BJ293" s="56">
        <f>IF($AB293="",0,1)</f>
        <v>0</v>
      </c>
      <c r="BK293" s="56">
        <f>IF(AND($BH293=1,$W293&lt;&gt;"OK"),1,0)</f>
        <v>0</v>
      </c>
      <c r="BL293" s="55">
        <f>IF(N($AZ293)=0,0,IFERROR(INDEX($AT$6:$AT$1005,MATCH($AZ293,$AY$6:$AY$1005,0)),0))</f>
        <v>1187.10688</v>
      </c>
      <c r="BM293" s="56">
        <f>IF(ISNUMBER(SEARCH("daily max loss",$BG293)),1,0)</f>
        <v>0</v>
      </c>
    </row>
    <row r="294" ht="18" customHeight="1">
      <c r="A294" s="38" t="n"/>
      <c r="B294" s="39" t="n"/>
      <c r="C294" s="40" t="n"/>
      <c r="D294" s="41" t="n"/>
      <c r="E294" s="41" t="n"/>
      <c r="F294" s="41" t="n"/>
      <c r="G294" s="41" t="n"/>
      <c r="H294" s="42" t="n"/>
      <c r="I294" s="42" t="n"/>
      <c r="J294" s="42" t="n"/>
      <c r="K294" s="42" t="n"/>
      <c r="L294" s="41" t="n"/>
      <c r="M294" s="41" t="n"/>
      <c r="N294" s="41" t="n"/>
      <c r="O294" s="43" t="n"/>
      <c r="P294" s="43" t="n"/>
      <c r="Q294" s="44" t="str">
        <f>IF($AM294=0,"",IF(ISNUMBER($AK294),$AK294-N($AL294),""))</f>
        <v/>
      </c>
      <c r="R294" s="45" t="str">
        <f>IF(OR($Q294="",NOT(ISNUMBER($V294))),"",$AK294/$V294)</f>
        <v/>
      </c>
      <c r="S294" s="46" t="str">
        <f>IF($Q294="","",IF(AND(ISNUMBER($R294),ABS(N($R294))&lt;N(Settings!$C$8)),"Scratch",IF($Q294&gt;0,"Win",IF($Q294&lt;0,"Loss","Scratch"))))</f>
        <v/>
      </c>
      <c r="T294" s="47" t="str">
        <f>IF(OR($AM294=0,NOT(ISNUMBER($H294)),NOT(ISNUMBER($I294)),NOT(ISNUMBER($J294))),"",IF($H294=$I294,"",ROUND(ABS($J294-$H294)/ABS($H294-$I294),6)))</f>
        <v/>
      </c>
      <c r="U294" s="48" t="str">
        <f>IF(OR($S294&lt;&gt;"Win",NOT(ISNUMBER($T294)),NOT(ISNUMBER($R294))),"",MAX(0,$T294-$R294))</f>
        <v/>
      </c>
      <c r="V294" s="49" t="str">
        <f>IF(OR($AM294=0,NOT(ISNUMBER($H294)),NOT(ISNUMBER($I294)),NOT(ISNUMBER($G294))),"",IF(OR($AG294="",$AH294=""),"",IF(ROUND(ABS($H294-$I294)*ABS($G294)*$AG294*$AH294,6)=0,"",ROUND(ABS($H294-$I294)*ABS($G294)*$AG294*$AH294,6))))</f>
        <v/>
      </c>
      <c r="W294" s="50" t="str">
        <f>IF($AM294=0,"",IF($BG294="","OK",LEFT($BG294,LEN($BG294)-2)))</f>
        <v/>
      </c>
      <c r="X294" s="41" t="n"/>
      <c r="Y294" s="40" t="n"/>
      <c r="Z294" s="41" t="n"/>
      <c r="AA294" s="41" t="n"/>
      <c r="AB294" s="40" t="n"/>
      <c r="AC294" s="51" t="n"/>
      <c r="AD294" s="51" t="n"/>
      <c r="AE294" s="40" t="n"/>
      <c r="AF294" s="52" t="str">
        <f>IF($AM294=0,"",IF($D294&lt;&gt;"",$D294,IF(IFERROR(INDEX(Accounts!$C$7:$C$16,MATCH($C294,Accounts!$B$7:$B$16,0))&amp;"","")&lt;&gt;"",INDEX(Accounts!$C$7:$C$16,MATCH($C294,Accounts!$B$7:$B$16,0)),Settings!$C$6)))</f>
        <v/>
      </c>
      <c r="AG294" s="53" t="str">
        <f>IF($AM294=0,"",IF(AND($BE294&gt;0,N(INDEX(Instruments!$D$6:$D$205,MAX(1,$BE294)))&gt;0),INDEX(Instruments!$D$6:$D$205,MAX(1,$BE294)),IF(N(INDEX(Settings!$D$14:$D$18,$BF294))&gt;0,INDEX(Settings!$D$14:$D$18,$BF294),"")))</f>
        <v/>
      </c>
      <c r="AH294" s="54" t="str">
        <f>IF($AM294=0,"",IF($AF294&lt;&gt;"Forex",1,IF(MID(UPPER(SUBSTITUTE(TRIM($E294),"/","")),4,3)=UPPER(TRIM(Settings!$C$7)),1,IF(LEFT(UPPER(SUBSTITUTE(TRIM($E294),"/","")),3)=UPPER(TRIM(Settings!$C$7)),IF(AND(ISNUMBER($K294),N($K294)&lt;&gt;0),1/$K294,""),""))))</f>
        <v/>
      </c>
      <c r="AI294" s="55" t="str">
        <f>IF($AM294=0,"",IF(OR(NOT(ISNUMBER($H294)),NOT(ISNUMBER($K294)),NOT(ISNUMBER($G294)),$AG294="",$AH294=""),"",ROUND(($K294-$H294)*IF($F294="Short",-1,1)*$G294*$AG294*$AH294,6)))</f>
        <v/>
      </c>
      <c r="AJ294" s="55" t="str">
        <f>IF($AM294=0,"",IF(INDEX(Settings!$E$14:$E$18,$BF294)="% of notional",IF(OR($AG294="",NOT(ISNUMBER($H294)),NOT(ISNUMBER($G294))),"",ROUND(ABS($H294*$G294*$AG294*N($AH294))*IF($L294="Limit",N(INDEX(Settings!$G$14:$G$18,$BF294)),N(INDEX(Settings!$H$14:$H$18,$BF294)))+IF(ISNUMBER($K294),ABS($K294*$G294*$AG294*N($AH294))*IF($M294="Target",N(INDEX(Settings!$G$14:$G$18,$BF294)),N(INDEX(Settings!$H$14:$H$18,$BF294))),0),6)),IF(NOT(ISNUMBER($G294)),"",ROUND(ABS($G294)*2*IF(AND($BE294&gt;0,ISNUMBER(INDEX(Instruments!$G$6:$G$205,MAX(1,$BE294)))),INDEX(Instruments!$G$6:$G$205,MAX(1,$BE294)),N(INDEX(Settings!$F$14:$F$18,$BF294))),6))))</f>
        <v/>
      </c>
      <c r="AK294" s="55" t="str">
        <f>IF($AM294=0,"",IF(ISNUMBER($O294),$O294,$AI294))</f>
        <v/>
      </c>
      <c r="AL294" s="55" t="str">
        <f>IF($AM294=0,"",IF(ISNUMBER($P294),$P294,N($AJ294)))</f>
        <v/>
      </c>
      <c r="AM294" s="56">
        <f>IF(AND($A294&lt;&gt;"",$E294&lt;&gt;"",OR(AND(ISNUMBER($G294),ISNUMBER($H294),ISNUMBER($K294)),ISNUMBER($O294))),1,0)</f>
        <v>0</v>
      </c>
      <c r="AN294" s="57" t="str">
        <f>IF($A294="","",$A294-WEEKDAY($A294,3))</f>
        <v/>
      </c>
      <c r="AO294" s="56" t="str">
        <f>IF($A294="","",WEEKDAY($A294,2))</f>
        <v/>
      </c>
      <c r="AP294" s="55" t="str">
        <f>IF(OR($AM294=0,$C294=""),"",IFERROR(N(INDEX(Accounts!$E$7:$E$16,MATCH($C294,Accounts!$B$7:$B$16,0))),0)+SUMIFS($Q$6:$Q294,$C$6:$C294,$C294))</f>
        <v/>
      </c>
      <c r="AQ294" s="55" t="str">
        <f>IF(OR($AM294=0,$C294=""),"",SUMIFS($Q$6:$Q$1005,$C$6:$C$1005,$C294,$A$6:$A$1005,$A294))</f>
        <v/>
      </c>
      <c r="AR294" s="55" t="str">
        <f>IF(OR($AM294=0,$C294=""),"",IFERROR(N(INDEX(Accounts!$E$7:$E$16,MATCH($C294,Accounts!$B$7:$B$16,0))),0)+SUMIFS($Q$6:$Q$1005,$C$6:$C$1005,$C294,$A$6:$A$1005,"&lt;="&amp;$A294))</f>
        <v/>
      </c>
      <c r="AS294" s="56">
        <f>IF(OR($AM294=0,$Q294=""),0,IF(AND($A294&gt;=Lists!$W$6,$A294&lt;=Lists!$W$7,OR(Dashboard!$D$6="All accounts",$C294=Dashboard!$D$6),OR(Dashboard!$D$7="All markets",$AF294=Dashboard!$D$7)),1,0))</f>
        <v>0</v>
      </c>
      <c r="AT294" s="55">
        <f>IF($AS294=1,N(AT293)+$Q294,N(AT293))</f>
        <v>1187.10688</v>
      </c>
      <c r="AU294" s="55">
        <f>MAX(N(AU293),$AT294)</f>
        <v>1187.10688</v>
      </c>
      <c r="AV294" s="55">
        <f>$AT294-$AU294</f>
        <v>0</v>
      </c>
      <c r="AW294" s="56">
        <f>IF($AS294=1,IF($S294="Win",N(AW293)+1,IF($S294="Loss",0,N(AW293))),N(AW293))</f>
        <v>5</v>
      </c>
      <c r="AX294" s="56">
        <f>IF($AS294=1,IF($S294="Loss",N(AX293)+1,IF($S294="Win",0,N(AX293))),N(AX293))</f>
        <v>0</v>
      </c>
      <c r="AY294" s="56" t="str">
        <f>IF($AS294=1,COUNTIF($AS$6:$AS294,1),"")</f>
        <v/>
      </c>
      <c r="AZ294" s="56">
        <f>MIN(288,N(Lists!$W$8))</f>
        <v>28</v>
      </c>
      <c r="BA294" s="56">
        <f>IF($AS294=1,IF(COUNTIFS($A$6:$A294,$A294,$AS$6:$AS294,1)=1,1,0),0)</f>
        <v>0</v>
      </c>
      <c r="BB294" s="55" t="str">
        <f>IF($BA294=1,SUMIFS($Q$6:$Q$1005,$A$6:$A$1005,$A294,$AS$6:$AS$1005,1),"")</f>
        <v/>
      </c>
      <c r="BC294" s="56">
        <f>IF(ISNUMBER($R294),1,0)</f>
        <v>0</v>
      </c>
      <c r="BD294" s="55" t="str">
        <f>IF(ISNUMBER($U294),$U294*$V294,"")</f>
        <v/>
      </c>
      <c r="BE294" s="56" t="str">
        <f>IF($AM294=0,"",IFERROR(MATCH($AF294&amp;"|"&amp;UPPER(TRIM($E294)),Lists!$A$6:$A$205,0),0))</f>
        <v/>
      </c>
      <c r="BF294" s="56" t="str">
        <f>IF($AM294=0,"",IFERROR(MATCH($AF294,Settings!$B$14:$B$18,0),IFERROR(MATCH(Settings!$C$6,Settings!$B$14:$B$18,0),1)))</f>
        <v/>
      </c>
      <c r="BG294" s="58" t="str">
        <f>IF($AM294=0,"",IF(NOT(ISNUMBER($I294)),"No stop; ","")&amp;IF(AND(ISNUMBER($H294),ISNUMBER($I294)),IF(OR(AND($F294&lt;&gt;"Short",$I294&gt;=$H294),AND($F294="Short",$I294&lt;=$H294)),"Stop on wrong side; ",""),"")&amp;IF($F294="","No direction; ","")&amp;IF(AND(ISNUMBER(Settings!$C$22),ISNUMBER($V294)),IF($V294&gt;Settings!$C$22,"Risk over max $; ",""),"")&amp;IF(AND(ISNUMBER(Settings!$C$23),ISNUMBER($V294),ISNUMBER($AP294),IFERROR(N(INDEX(Accounts!$E$7:$E$16,MATCH($C294,Accounts!$B$7:$B$16,0))),0)&gt;0),IF($V294&gt;Settings!$C$23*($AP294-N($Q294)),"Risk over max %; ",""),"")&amp;IF(AND(ISNUMBER(Settings!$C$24),ISNUMBER($N294)),IF($N294&gt;Settings!$C$24,"Leverage over max; ",""),"")&amp;IF(AND(ISNUMBER(Settings!$C$27),ISNUMBER($T294)),IF($T294&lt;Settings!$C$27,"R:R below min; ",""),"")&amp;IF(ISNUMBER(Settings!$C$25),IF(COUNTIFS($A$6:$A294,$A294,$AM$6:$AM294,1)&gt;Settings!$C$25,"Over max trades/day; ",""),"")&amp;IF(ISNUMBER(Settings!$C$26),IF(SUMIFS($Q$5:$Q293,$A$5:$A293,$A294)&lt;=-Settings!$C$26,"Traded after daily max loss; ",""),"")&amp;IF(AND($AG294="",NOT(ISNUMBER($O294))),"Symbol not in Instruments; ","")&amp;IF(AND($AH294="",NOT(ISNUMBER($O294))),"Forex cross: type Gross P&amp;L; ",""))</f>
        <v/>
      </c>
      <c r="BH294" s="56">
        <f>IF(ISNUMBER($Q294),1,0)</f>
        <v>0</v>
      </c>
      <c r="BI294" s="56">
        <f>IF($Y294="",0,1)</f>
        <v>0</v>
      </c>
      <c r="BJ294" s="56">
        <f>IF($AB294="",0,1)</f>
        <v>0</v>
      </c>
      <c r="BK294" s="56">
        <f>IF(AND($BH294=1,$W294&lt;&gt;"OK"),1,0)</f>
        <v>0</v>
      </c>
      <c r="BL294" s="55">
        <f>IF(N($AZ294)=0,0,IFERROR(INDEX($AT$6:$AT$1005,MATCH($AZ294,$AY$6:$AY$1005,0)),0))</f>
        <v>1187.10688</v>
      </c>
      <c r="BM294" s="56">
        <f>IF(ISNUMBER(SEARCH("daily max loss",$BG294)),1,0)</f>
        <v>0</v>
      </c>
    </row>
    <row r="295" ht="18" customHeight="1">
      <c r="A295" s="38" t="n"/>
      <c r="B295" s="39" t="n"/>
      <c r="C295" s="40" t="n"/>
      <c r="D295" s="41" t="n"/>
      <c r="E295" s="41" t="n"/>
      <c r="F295" s="41" t="n"/>
      <c r="G295" s="41" t="n"/>
      <c r="H295" s="42" t="n"/>
      <c r="I295" s="42" t="n"/>
      <c r="J295" s="42" t="n"/>
      <c r="K295" s="42" t="n"/>
      <c r="L295" s="41" t="n"/>
      <c r="M295" s="41" t="n"/>
      <c r="N295" s="41" t="n"/>
      <c r="O295" s="43" t="n"/>
      <c r="P295" s="43" t="n"/>
      <c r="Q295" s="44" t="str">
        <f>IF($AM295=0,"",IF(ISNUMBER($AK295),$AK295-N($AL295),""))</f>
        <v/>
      </c>
      <c r="R295" s="45" t="str">
        <f>IF(OR($Q295="",NOT(ISNUMBER($V295))),"",$AK295/$V295)</f>
        <v/>
      </c>
      <c r="S295" s="46" t="str">
        <f>IF($Q295="","",IF(AND(ISNUMBER($R295),ABS(N($R295))&lt;N(Settings!$C$8)),"Scratch",IF($Q295&gt;0,"Win",IF($Q295&lt;0,"Loss","Scratch"))))</f>
        <v/>
      </c>
      <c r="T295" s="47" t="str">
        <f>IF(OR($AM295=0,NOT(ISNUMBER($H295)),NOT(ISNUMBER($I295)),NOT(ISNUMBER($J295))),"",IF($H295=$I295,"",ROUND(ABS($J295-$H295)/ABS($H295-$I295),6)))</f>
        <v/>
      </c>
      <c r="U295" s="48" t="str">
        <f>IF(OR($S295&lt;&gt;"Win",NOT(ISNUMBER($T295)),NOT(ISNUMBER($R295))),"",MAX(0,$T295-$R295))</f>
        <v/>
      </c>
      <c r="V295" s="49" t="str">
        <f>IF(OR($AM295=0,NOT(ISNUMBER($H295)),NOT(ISNUMBER($I295)),NOT(ISNUMBER($G295))),"",IF(OR($AG295="",$AH295=""),"",IF(ROUND(ABS($H295-$I295)*ABS($G295)*$AG295*$AH295,6)=0,"",ROUND(ABS($H295-$I295)*ABS($G295)*$AG295*$AH295,6))))</f>
        <v/>
      </c>
      <c r="W295" s="50" t="str">
        <f>IF($AM295=0,"",IF($BG295="","OK",LEFT($BG295,LEN($BG295)-2)))</f>
        <v/>
      </c>
      <c r="X295" s="41" t="n"/>
      <c r="Y295" s="40" t="n"/>
      <c r="Z295" s="41" t="n"/>
      <c r="AA295" s="41" t="n"/>
      <c r="AB295" s="40" t="n"/>
      <c r="AC295" s="51" t="n"/>
      <c r="AD295" s="51" t="n"/>
      <c r="AE295" s="40" t="n"/>
      <c r="AF295" s="52" t="str">
        <f>IF($AM295=0,"",IF($D295&lt;&gt;"",$D295,IF(IFERROR(INDEX(Accounts!$C$7:$C$16,MATCH($C295,Accounts!$B$7:$B$16,0))&amp;"","")&lt;&gt;"",INDEX(Accounts!$C$7:$C$16,MATCH($C295,Accounts!$B$7:$B$16,0)),Settings!$C$6)))</f>
        <v/>
      </c>
      <c r="AG295" s="53" t="str">
        <f>IF($AM295=0,"",IF(AND($BE295&gt;0,N(INDEX(Instruments!$D$6:$D$205,MAX(1,$BE295)))&gt;0),INDEX(Instruments!$D$6:$D$205,MAX(1,$BE295)),IF(N(INDEX(Settings!$D$14:$D$18,$BF295))&gt;0,INDEX(Settings!$D$14:$D$18,$BF295),"")))</f>
        <v/>
      </c>
      <c r="AH295" s="54" t="str">
        <f>IF($AM295=0,"",IF($AF295&lt;&gt;"Forex",1,IF(MID(UPPER(SUBSTITUTE(TRIM($E295),"/","")),4,3)=UPPER(TRIM(Settings!$C$7)),1,IF(LEFT(UPPER(SUBSTITUTE(TRIM($E295),"/","")),3)=UPPER(TRIM(Settings!$C$7)),IF(AND(ISNUMBER($K295),N($K295)&lt;&gt;0),1/$K295,""),""))))</f>
        <v/>
      </c>
      <c r="AI295" s="55" t="str">
        <f>IF($AM295=0,"",IF(OR(NOT(ISNUMBER($H295)),NOT(ISNUMBER($K295)),NOT(ISNUMBER($G295)),$AG295="",$AH295=""),"",ROUND(($K295-$H295)*IF($F295="Short",-1,1)*$G295*$AG295*$AH295,6)))</f>
        <v/>
      </c>
      <c r="AJ295" s="55" t="str">
        <f>IF($AM295=0,"",IF(INDEX(Settings!$E$14:$E$18,$BF295)="% of notional",IF(OR($AG295="",NOT(ISNUMBER($H295)),NOT(ISNUMBER($G295))),"",ROUND(ABS($H295*$G295*$AG295*N($AH295))*IF($L295="Limit",N(INDEX(Settings!$G$14:$G$18,$BF295)),N(INDEX(Settings!$H$14:$H$18,$BF295)))+IF(ISNUMBER($K295),ABS($K295*$G295*$AG295*N($AH295))*IF($M295="Target",N(INDEX(Settings!$G$14:$G$18,$BF295)),N(INDEX(Settings!$H$14:$H$18,$BF295))),0),6)),IF(NOT(ISNUMBER($G295)),"",ROUND(ABS($G295)*2*IF(AND($BE295&gt;0,ISNUMBER(INDEX(Instruments!$G$6:$G$205,MAX(1,$BE295)))),INDEX(Instruments!$G$6:$G$205,MAX(1,$BE295)),N(INDEX(Settings!$F$14:$F$18,$BF295))),6))))</f>
        <v/>
      </c>
      <c r="AK295" s="55" t="str">
        <f>IF($AM295=0,"",IF(ISNUMBER($O295),$O295,$AI295))</f>
        <v/>
      </c>
      <c r="AL295" s="55" t="str">
        <f>IF($AM295=0,"",IF(ISNUMBER($P295),$P295,N($AJ295)))</f>
        <v/>
      </c>
      <c r="AM295" s="56">
        <f>IF(AND($A295&lt;&gt;"",$E295&lt;&gt;"",OR(AND(ISNUMBER($G295),ISNUMBER($H295),ISNUMBER($K295)),ISNUMBER($O295))),1,0)</f>
        <v>0</v>
      </c>
      <c r="AN295" s="57" t="str">
        <f>IF($A295="","",$A295-WEEKDAY($A295,3))</f>
        <v/>
      </c>
      <c r="AO295" s="56" t="str">
        <f>IF($A295="","",WEEKDAY($A295,2))</f>
        <v/>
      </c>
      <c r="AP295" s="55" t="str">
        <f>IF(OR($AM295=0,$C295=""),"",IFERROR(N(INDEX(Accounts!$E$7:$E$16,MATCH($C295,Accounts!$B$7:$B$16,0))),0)+SUMIFS($Q$6:$Q295,$C$6:$C295,$C295))</f>
        <v/>
      </c>
      <c r="AQ295" s="55" t="str">
        <f>IF(OR($AM295=0,$C295=""),"",SUMIFS($Q$6:$Q$1005,$C$6:$C$1005,$C295,$A$6:$A$1005,$A295))</f>
        <v/>
      </c>
      <c r="AR295" s="55" t="str">
        <f>IF(OR($AM295=0,$C295=""),"",IFERROR(N(INDEX(Accounts!$E$7:$E$16,MATCH($C295,Accounts!$B$7:$B$16,0))),0)+SUMIFS($Q$6:$Q$1005,$C$6:$C$1005,$C295,$A$6:$A$1005,"&lt;="&amp;$A295))</f>
        <v/>
      </c>
      <c r="AS295" s="56">
        <f>IF(OR($AM295=0,$Q295=""),0,IF(AND($A295&gt;=Lists!$W$6,$A295&lt;=Lists!$W$7,OR(Dashboard!$D$6="All accounts",$C295=Dashboard!$D$6),OR(Dashboard!$D$7="All markets",$AF295=Dashboard!$D$7)),1,0))</f>
        <v>0</v>
      </c>
      <c r="AT295" s="55">
        <f>IF($AS295=1,N(AT294)+$Q295,N(AT294))</f>
        <v>1187.10688</v>
      </c>
      <c r="AU295" s="55">
        <f>MAX(N(AU294),$AT295)</f>
        <v>1187.10688</v>
      </c>
      <c r="AV295" s="55">
        <f>$AT295-$AU295</f>
        <v>0</v>
      </c>
      <c r="AW295" s="56">
        <f>IF($AS295=1,IF($S295="Win",N(AW294)+1,IF($S295="Loss",0,N(AW294))),N(AW294))</f>
        <v>5</v>
      </c>
      <c r="AX295" s="56">
        <f>IF($AS295=1,IF($S295="Loss",N(AX294)+1,IF($S295="Win",0,N(AX294))),N(AX294))</f>
        <v>0</v>
      </c>
      <c r="AY295" s="56" t="str">
        <f>IF($AS295=1,COUNTIF($AS$6:$AS295,1),"")</f>
        <v/>
      </c>
      <c r="AZ295" s="56">
        <f>MIN(289,N(Lists!$W$8))</f>
        <v>28</v>
      </c>
      <c r="BA295" s="56">
        <f>IF($AS295=1,IF(COUNTIFS($A$6:$A295,$A295,$AS$6:$AS295,1)=1,1,0),0)</f>
        <v>0</v>
      </c>
      <c r="BB295" s="55" t="str">
        <f>IF($BA295=1,SUMIFS($Q$6:$Q$1005,$A$6:$A$1005,$A295,$AS$6:$AS$1005,1),"")</f>
        <v/>
      </c>
      <c r="BC295" s="56">
        <f>IF(ISNUMBER($R295),1,0)</f>
        <v>0</v>
      </c>
      <c r="BD295" s="55" t="str">
        <f>IF(ISNUMBER($U295),$U295*$V295,"")</f>
        <v/>
      </c>
      <c r="BE295" s="56" t="str">
        <f>IF($AM295=0,"",IFERROR(MATCH($AF295&amp;"|"&amp;UPPER(TRIM($E295)),Lists!$A$6:$A$205,0),0))</f>
        <v/>
      </c>
      <c r="BF295" s="56" t="str">
        <f>IF($AM295=0,"",IFERROR(MATCH($AF295,Settings!$B$14:$B$18,0),IFERROR(MATCH(Settings!$C$6,Settings!$B$14:$B$18,0),1)))</f>
        <v/>
      </c>
      <c r="BG295" s="58" t="str">
        <f>IF($AM295=0,"",IF(NOT(ISNUMBER($I295)),"No stop; ","")&amp;IF(AND(ISNUMBER($H295),ISNUMBER($I295)),IF(OR(AND($F295&lt;&gt;"Short",$I295&gt;=$H295),AND($F295="Short",$I295&lt;=$H295)),"Stop on wrong side; ",""),"")&amp;IF($F295="","No direction; ","")&amp;IF(AND(ISNUMBER(Settings!$C$22),ISNUMBER($V295)),IF($V295&gt;Settings!$C$22,"Risk over max $; ",""),"")&amp;IF(AND(ISNUMBER(Settings!$C$23),ISNUMBER($V295),ISNUMBER($AP295),IFERROR(N(INDEX(Accounts!$E$7:$E$16,MATCH($C295,Accounts!$B$7:$B$16,0))),0)&gt;0),IF($V295&gt;Settings!$C$23*($AP295-N($Q295)),"Risk over max %; ",""),"")&amp;IF(AND(ISNUMBER(Settings!$C$24),ISNUMBER($N295)),IF($N295&gt;Settings!$C$24,"Leverage over max; ",""),"")&amp;IF(AND(ISNUMBER(Settings!$C$27),ISNUMBER($T295)),IF($T295&lt;Settings!$C$27,"R:R below min; ",""),"")&amp;IF(ISNUMBER(Settings!$C$25),IF(COUNTIFS($A$6:$A295,$A295,$AM$6:$AM295,1)&gt;Settings!$C$25,"Over max trades/day; ",""),"")&amp;IF(ISNUMBER(Settings!$C$26),IF(SUMIFS($Q$5:$Q294,$A$5:$A294,$A295)&lt;=-Settings!$C$26,"Traded after daily max loss; ",""),"")&amp;IF(AND($AG295="",NOT(ISNUMBER($O295))),"Symbol not in Instruments; ","")&amp;IF(AND($AH295="",NOT(ISNUMBER($O295))),"Forex cross: type Gross P&amp;L; ",""))</f>
        <v/>
      </c>
      <c r="BH295" s="56">
        <f>IF(ISNUMBER($Q295),1,0)</f>
        <v>0</v>
      </c>
      <c r="BI295" s="56">
        <f>IF($Y295="",0,1)</f>
        <v>0</v>
      </c>
      <c r="BJ295" s="56">
        <f>IF($AB295="",0,1)</f>
        <v>0</v>
      </c>
      <c r="BK295" s="56">
        <f>IF(AND($BH295=1,$W295&lt;&gt;"OK"),1,0)</f>
        <v>0</v>
      </c>
      <c r="BL295" s="55">
        <f>IF(N($AZ295)=0,0,IFERROR(INDEX($AT$6:$AT$1005,MATCH($AZ295,$AY$6:$AY$1005,0)),0))</f>
        <v>1187.10688</v>
      </c>
      <c r="BM295" s="56">
        <f>IF(ISNUMBER(SEARCH("daily max loss",$BG295)),1,0)</f>
        <v>0</v>
      </c>
    </row>
    <row r="296" ht="18" customHeight="1">
      <c r="A296" s="38" t="n"/>
      <c r="B296" s="39" t="n"/>
      <c r="C296" s="40" t="n"/>
      <c r="D296" s="41" t="n"/>
      <c r="E296" s="41" t="n"/>
      <c r="F296" s="41" t="n"/>
      <c r="G296" s="41" t="n"/>
      <c r="H296" s="42" t="n"/>
      <c r="I296" s="42" t="n"/>
      <c r="J296" s="42" t="n"/>
      <c r="K296" s="42" t="n"/>
      <c r="L296" s="41" t="n"/>
      <c r="M296" s="41" t="n"/>
      <c r="N296" s="41" t="n"/>
      <c r="O296" s="43" t="n"/>
      <c r="P296" s="43" t="n"/>
      <c r="Q296" s="44" t="str">
        <f>IF($AM296=0,"",IF(ISNUMBER($AK296),$AK296-N($AL296),""))</f>
        <v/>
      </c>
      <c r="R296" s="45" t="str">
        <f>IF(OR($Q296="",NOT(ISNUMBER($V296))),"",$AK296/$V296)</f>
        <v/>
      </c>
      <c r="S296" s="46" t="str">
        <f>IF($Q296="","",IF(AND(ISNUMBER($R296),ABS(N($R296))&lt;N(Settings!$C$8)),"Scratch",IF($Q296&gt;0,"Win",IF($Q296&lt;0,"Loss","Scratch"))))</f>
        <v/>
      </c>
      <c r="T296" s="47" t="str">
        <f>IF(OR($AM296=0,NOT(ISNUMBER($H296)),NOT(ISNUMBER($I296)),NOT(ISNUMBER($J296))),"",IF($H296=$I296,"",ROUND(ABS($J296-$H296)/ABS($H296-$I296),6)))</f>
        <v/>
      </c>
      <c r="U296" s="48" t="str">
        <f>IF(OR($S296&lt;&gt;"Win",NOT(ISNUMBER($T296)),NOT(ISNUMBER($R296))),"",MAX(0,$T296-$R296))</f>
        <v/>
      </c>
      <c r="V296" s="49" t="str">
        <f>IF(OR($AM296=0,NOT(ISNUMBER($H296)),NOT(ISNUMBER($I296)),NOT(ISNUMBER($G296))),"",IF(OR($AG296="",$AH296=""),"",IF(ROUND(ABS($H296-$I296)*ABS($G296)*$AG296*$AH296,6)=0,"",ROUND(ABS($H296-$I296)*ABS($G296)*$AG296*$AH296,6))))</f>
        <v/>
      </c>
      <c r="W296" s="50" t="str">
        <f>IF($AM296=0,"",IF($BG296="","OK",LEFT($BG296,LEN($BG296)-2)))</f>
        <v/>
      </c>
      <c r="X296" s="41" t="n"/>
      <c r="Y296" s="40" t="n"/>
      <c r="Z296" s="41" t="n"/>
      <c r="AA296" s="41" t="n"/>
      <c r="AB296" s="40" t="n"/>
      <c r="AC296" s="51" t="n"/>
      <c r="AD296" s="51" t="n"/>
      <c r="AE296" s="40" t="n"/>
      <c r="AF296" s="52" t="str">
        <f>IF($AM296=0,"",IF($D296&lt;&gt;"",$D296,IF(IFERROR(INDEX(Accounts!$C$7:$C$16,MATCH($C296,Accounts!$B$7:$B$16,0))&amp;"","")&lt;&gt;"",INDEX(Accounts!$C$7:$C$16,MATCH($C296,Accounts!$B$7:$B$16,0)),Settings!$C$6)))</f>
        <v/>
      </c>
      <c r="AG296" s="53" t="str">
        <f>IF($AM296=0,"",IF(AND($BE296&gt;0,N(INDEX(Instruments!$D$6:$D$205,MAX(1,$BE296)))&gt;0),INDEX(Instruments!$D$6:$D$205,MAX(1,$BE296)),IF(N(INDEX(Settings!$D$14:$D$18,$BF296))&gt;0,INDEX(Settings!$D$14:$D$18,$BF296),"")))</f>
        <v/>
      </c>
      <c r="AH296" s="54" t="str">
        <f>IF($AM296=0,"",IF($AF296&lt;&gt;"Forex",1,IF(MID(UPPER(SUBSTITUTE(TRIM($E296),"/","")),4,3)=UPPER(TRIM(Settings!$C$7)),1,IF(LEFT(UPPER(SUBSTITUTE(TRIM($E296),"/","")),3)=UPPER(TRIM(Settings!$C$7)),IF(AND(ISNUMBER($K296),N($K296)&lt;&gt;0),1/$K296,""),""))))</f>
        <v/>
      </c>
      <c r="AI296" s="55" t="str">
        <f>IF($AM296=0,"",IF(OR(NOT(ISNUMBER($H296)),NOT(ISNUMBER($K296)),NOT(ISNUMBER($G296)),$AG296="",$AH296=""),"",ROUND(($K296-$H296)*IF($F296="Short",-1,1)*$G296*$AG296*$AH296,6)))</f>
        <v/>
      </c>
      <c r="AJ296" s="55" t="str">
        <f>IF($AM296=0,"",IF(INDEX(Settings!$E$14:$E$18,$BF296)="% of notional",IF(OR($AG296="",NOT(ISNUMBER($H296)),NOT(ISNUMBER($G296))),"",ROUND(ABS($H296*$G296*$AG296*N($AH296))*IF($L296="Limit",N(INDEX(Settings!$G$14:$G$18,$BF296)),N(INDEX(Settings!$H$14:$H$18,$BF296)))+IF(ISNUMBER($K296),ABS($K296*$G296*$AG296*N($AH296))*IF($M296="Target",N(INDEX(Settings!$G$14:$G$18,$BF296)),N(INDEX(Settings!$H$14:$H$18,$BF296))),0),6)),IF(NOT(ISNUMBER($G296)),"",ROUND(ABS($G296)*2*IF(AND($BE296&gt;0,ISNUMBER(INDEX(Instruments!$G$6:$G$205,MAX(1,$BE296)))),INDEX(Instruments!$G$6:$G$205,MAX(1,$BE296)),N(INDEX(Settings!$F$14:$F$18,$BF296))),6))))</f>
        <v/>
      </c>
      <c r="AK296" s="55" t="str">
        <f>IF($AM296=0,"",IF(ISNUMBER($O296),$O296,$AI296))</f>
        <v/>
      </c>
      <c r="AL296" s="55" t="str">
        <f>IF($AM296=0,"",IF(ISNUMBER($P296),$P296,N($AJ296)))</f>
        <v/>
      </c>
      <c r="AM296" s="56">
        <f>IF(AND($A296&lt;&gt;"",$E296&lt;&gt;"",OR(AND(ISNUMBER($G296),ISNUMBER($H296),ISNUMBER($K296)),ISNUMBER($O296))),1,0)</f>
        <v>0</v>
      </c>
      <c r="AN296" s="57" t="str">
        <f>IF($A296="","",$A296-WEEKDAY($A296,3))</f>
        <v/>
      </c>
      <c r="AO296" s="56" t="str">
        <f>IF($A296="","",WEEKDAY($A296,2))</f>
        <v/>
      </c>
      <c r="AP296" s="55" t="str">
        <f>IF(OR($AM296=0,$C296=""),"",IFERROR(N(INDEX(Accounts!$E$7:$E$16,MATCH($C296,Accounts!$B$7:$B$16,0))),0)+SUMIFS($Q$6:$Q296,$C$6:$C296,$C296))</f>
        <v/>
      </c>
      <c r="AQ296" s="55" t="str">
        <f>IF(OR($AM296=0,$C296=""),"",SUMIFS($Q$6:$Q$1005,$C$6:$C$1005,$C296,$A$6:$A$1005,$A296))</f>
        <v/>
      </c>
      <c r="AR296" s="55" t="str">
        <f>IF(OR($AM296=0,$C296=""),"",IFERROR(N(INDEX(Accounts!$E$7:$E$16,MATCH($C296,Accounts!$B$7:$B$16,0))),0)+SUMIFS($Q$6:$Q$1005,$C$6:$C$1005,$C296,$A$6:$A$1005,"&lt;="&amp;$A296))</f>
        <v/>
      </c>
      <c r="AS296" s="56">
        <f>IF(OR($AM296=0,$Q296=""),0,IF(AND($A296&gt;=Lists!$W$6,$A296&lt;=Lists!$W$7,OR(Dashboard!$D$6="All accounts",$C296=Dashboard!$D$6),OR(Dashboard!$D$7="All markets",$AF296=Dashboard!$D$7)),1,0))</f>
        <v>0</v>
      </c>
      <c r="AT296" s="55">
        <f>IF($AS296=1,N(AT295)+$Q296,N(AT295))</f>
        <v>1187.10688</v>
      </c>
      <c r="AU296" s="55">
        <f>MAX(N(AU295),$AT296)</f>
        <v>1187.10688</v>
      </c>
      <c r="AV296" s="55">
        <f>$AT296-$AU296</f>
        <v>0</v>
      </c>
      <c r="AW296" s="56">
        <f>IF($AS296=1,IF($S296="Win",N(AW295)+1,IF($S296="Loss",0,N(AW295))),N(AW295))</f>
        <v>5</v>
      </c>
      <c r="AX296" s="56">
        <f>IF($AS296=1,IF($S296="Loss",N(AX295)+1,IF($S296="Win",0,N(AX295))),N(AX295))</f>
        <v>0</v>
      </c>
      <c r="AY296" s="56" t="str">
        <f>IF($AS296=1,COUNTIF($AS$6:$AS296,1),"")</f>
        <v/>
      </c>
      <c r="AZ296" s="56">
        <f>MIN(290,N(Lists!$W$8))</f>
        <v>28</v>
      </c>
      <c r="BA296" s="56">
        <f>IF($AS296=1,IF(COUNTIFS($A$6:$A296,$A296,$AS$6:$AS296,1)=1,1,0),0)</f>
        <v>0</v>
      </c>
      <c r="BB296" s="55" t="str">
        <f>IF($BA296=1,SUMIFS($Q$6:$Q$1005,$A$6:$A$1005,$A296,$AS$6:$AS$1005,1),"")</f>
        <v/>
      </c>
      <c r="BC296" s="56">
        <f>IF(ISNUMBER($R296),1,0)</f>
        <v>0</v>
      </c>
      <c r="BD296" s="55" t="str">
        <f>IF(ISNUMBER($U296),$U296*$V296,"")</f>
        <v/>
      </c>
      <c r="BE296" s="56" t="str">
        <f>IF($AM296=0,"",IFERROR(MATCH($AF296&amp;"|"&amp;UPPER(TRIM($E296)),Lists!$A$6:$A$205,0),0))</f>
        <v/>
      </c>
      <c r="BF296" s="56" t="str">
        <f>IF($AM296=0,"",IFERROR(MATCH($AF296,Settings!$B$14:$B$18,0),IFERROR(MATCH(Settings!$C$6,Settings!$B$14:$B$18,0),1)))</f>
        <v/>
      </c>
      <c r="BG296" s="58" t="str">
        <f>IF($AM296=0,"",IF(NOT(ISNUMBER($I296)),"No stop; ","")&amp;IF(AND(ISNUMBER($H296),ISNUMBER($I296)),IF(OR(AND($F296&lt;&gt;"Short",$I296&gt;=$H296),AND($F296="Short",$I296&lt;=$H296)),"Stop on wrong side; ",""),"")&amp;IF($F296="","No direction; ","")&amp;IF(AND(ISNUMBER(Settings!$C$22),ISNUMBER($V296)),IF($V296&gt;Settings!$C$22,"Risk over max $; ",""),"")&amp;IF(AND(ISNUMBER(Settings!$C$23),ISNUMBER($V296),ISNUMBER($AP296),IFERROR(N(INDEX(Accounts!$E$7:$E$16,MATCH($C296,Accounts!$B$7:$B$16,0))),0)&gt;0),IF($V296&gt;Settings!$C$23*($AP296-N($Q296)),"Risk over max %; ",""),"")&amp;IF(AND(ISNUMBER(Settings!$C$24),ISNUMBER($N296)),IF($N296&gt;Settings!$C$24,"Leverage over max; ",""),"")&amp;IF(AND(ISNUMBER(Settings!$C$27),ISNUMBER($T296)),IF($T296&lt;Settings!$C$27,"R:R below min; ",""),"")&amp;IF(ISNUMBER(Settings!$C$25),IF(COUNTIFS($A$6:$A296,$A296,$AM$6:$AM296,1)&gt;Settings!$C$25,"Over max trades/day; ",""),"")&amp;IF(ISNUMBER(Settings!$C$26),IF(SUMIFS($Q$5:$Q295,$A$5:$A295,$A296)&lt;=-Settings!$C$26,"Traded after daily max loss; ",""),"")&amp;IF(AND($AG296="",NOT(ISNUMBER($O296))),"Symbol not in Instruments; ","")&amp;IF(AND($AH296="",NOT(ISNUMBER($O296))),"Forex cross: type Gross P&amp;L; ",""))</f>
        <v/>
      </c>
      <c r="BH296" s="56">
        <f>IF(ISNUMBER($Q296),1,0)</f>
        <v>0</v>
      </c>
      <c r="BI296" s="56">
        <f>IF($Y296="",0,1)</f>
        <v>0</v>
      </c>
      <c r="BJ296" s="56">
        <f>IF($AB296="",0,1)</f>
        <v>0</v>
      </c>
      <c r="BK296" s="56">
        <f>IF(AND($BH296=1,$W296&lt;&gt;"OK"),1,0)</f>
        <v>0</v>
      </c>
      <c r="BL296" s="55">
        <f>IF(N($AZ296)=0,0,IFERROR(INDEX($AT$6:$AT$1005,MATCH($AZ296,$AY$6:$AY$1005,0)),0))</f>
        <v>1187.10688</v>
      </c>
      <c r="BM296" s="56">
        <f>IF(ISNUMBER(SEARCH("daily max loss",$BG296)),1,0)</f>
        <v>0</v>
      </c>
    </row>
    <row r="297" ht="18" customHeight="1">
      <c r="A297" s="38" t="n"/>
      <c r="B297" s="39" t="n"/>
      <c r="C297" s="40" t="n"/>
      <c r="D297" s="41" t="n"/>
      <c r="E297" s="41" t="n"/>
      <c r="F297" s="41" t="n"/>
      <c r="G297" s="41" t="n"/>
      <c r="H297" s="42" t="n"/>
      <c r="I297" s="42" t="n"/>
      <c r="J297" s="42" t="n"/>
      <c r="K297" s="42" t="n"/>
      <c r="L297" s="41" t="n"/>
      <c r="M297" s="41" t="n"/>
      <c r="N297" s="41" t="n"/>
      <c r="O297" s="43" t="n"/>
      <c r="P297" s="43" t="n"/>
      <c r="Q297" s="44" t="str">
        <f>IF($AM297=0,"",IF(ISNUMBER($AK297),$AK297-N($AL297),""))</f>
        <v/>
      </c>
      <c r="R297" s="45" t="str">
        <f>IF(OR($Q297="",NOT(ISNUMBER($V297))),"",$AK297/$V297)</f>
        <v/>
      </c>
      <c r="S297" s="46" t="str">
        <f>IF($Q297="","",IF(AND(ISNUMBER($R297),ABS(N($R297))&lt;N(Settings!$C$8)),"Scratch",IF($Q297&gt;0,"Win",IF($Q297&lt;0,"Loss","Scratch"))))</f>
        <v/>
      </c>
      <c r="T297" s="47" t="str">
        <f>IF(OR($AM297=0,NOT(ISNUMBER($H297)),NOT(ISNUMBER($I297)),NOT(ISNUMBER($J297))),"",IF($H297=$I297,"",ROUND(ABS($J297-$H297)/ABS($H297-$I297),6)))</f>
        <v/>
      </c>
      <c r="U297" s="48" t="str">
        <f>IF(OR($S297&lt;&gt;"Win",NOT(ISNUMBER($T297)),NOT(ISNUMBER($R297))),"",MAX(0,$T297-$R297))</f>
        <v/>
      </c>
      <c r="V297" s="49" t="str">
        <f>IF(OR($AM297=0,NOT(ISNUMBER($H297)),NOT(ISNUMBER($I297)),NOT(ISNUMBER($G297))),"",IF(OR($AG297="",$AH297=""),"",IF(ROUND(ABS($H297-$I297)*ABS($G297)*$AG297*$AH297,6)=0,"",ROUND(ABS($H297-$I297)*ABS($G297)*$AG297*$AH297,6))))</f>
        <v/>
      </c>
      <c r="W297" s="50" t="str">
        <f>IF($AM297=0,"",IF($BG297="","OK",LEFT($BG297,LEN($BG297)-2)))</f>
        <v/>
      </c>
      <c r="X297" s="41" t="n"/>
      <c r="Y297" s="40" t="n"/>
      <c r="Z297" s="41" t="n"/>
      <c r="AA297" s="41" t="n"/>
      <c r="AB297" s="40" t="n"/>
      <c r="AC297" s="51" t="n"/>
      <c r="AD297" s="51" t="n"/>
      <c r="AE297" s="40" t="n"/>
      <c r="AF297" s="52" t="str">
        <f>IF($AM297=0,"",IF($D297&lt;&gt;"",$D297,IF(IFERROR(INDEX(Accounts!$C$7:$C$16,MATCH($C297,Accounts!$B$7:$B$16,0))&amp;"","")&lt;&gt;"",INDEX(Accounts!$C$7:$C$16,MATCH($C297,Accounts!$B$7:$B$16,0)),Settings!$C$6)))</f>
        <v/>
      </c>
      <c r="AG297" s="53" t="str">
        <f>IF($AM297=0,"",IF(AND($BE297&gt;0,N(INDEX(Instruments!$D$6:$D$205,MAX(1,$BE297)))&gt;0),INDEX(Instruments!$D$6:$D$205,MAX(1,$BE297)),IF(N(INDEX(Settings!$D$14:$D$18,$BF297))&gt;0,INDEX(Settings!$D$14:$D$18,$BF297),"")))</f>
        <v/>
      </c>
      <c r="AH297" s="54" t="str">
        <f>IF($AM297=0,"",IF($AF297&lt;&gt;"Forex",1,IF(MID(UPPER(SUBSTITUTE(TRIM($E297),"/","")),4,3)=UPPER(TRIM(Settings!$C$7)),1,IF(LEFT(UPPER(SUBSTITUTE(TRIM($E297),"/","")),3)=UPPER(TRIM(Settings!$C$7)),IF(AND(ISNUMBER($K297),N($K297)&lt;&gt;0),1/$K297,""),""))))</f>
        <v/>
      </c>
      <c r="AI297" s="55" t="str">
        <f>IF($AM297=0,"",IF(OR(NOT(ISNUMBER($H297)),NOT(ISNUMBER($K297)),NOT(ISNUMBER($G297)),$AG297="",$AH297=""),"",ROUND(($K297-$H297)*IF($F297="Short",-1,1)*$G297*$AG297*$AH297,6)))</f>
        <v/>
      </c>
      <c r="AJ297" s="55" t="str">
        <f>IF($AM297=0,"",IF(INDEX(Settings!$E$14:$E$18,$BF297)="% of notional",IF(OR($AG297="",NOT(ISNUMBER($H297)),NOT(ISNUMBER($G297))),"",ROUND(ABS($H297*$G297*$AG297*N($AH297))*IF($L297="Limit",N(INDEX(Settings!$G$14:$G$18,$BF297)),N(INDEX(Settings!$H$14:$H$18,$BF297)))+IF(ISNUMBER($K297),ABS($K297*$G297*$AG297*N($AH297))*IF($M297="Target",N(INDEX(Settings!$G$14:$G$18,$BF297)),N(INDEX(Settings!$H$14:$H$18,$BF297))),0),6)),IF(NOT(ISNUMBER($G297)),"",ROUND(ABS($G297)*2*IF(AND($BE297&gt;0,ISNUMBER(INDEX(Instruments!$G$6:$G$205,MAX(1,$BE297)))),INDEX(Instruments!$G$6:$G$205,MAX(1,$BE297)),N(INDEX(Settings!$F$14:$F$18,$BF297))),6))))</f>
        <v/>
      </c>
      <c r="AK297" s="55" t="str">
        <f>IF($AM297=0,"",IF(ISNUMBER($O297),$O297,$AI297))</f>
        <v/>
      </c>
      <c r="AL297" s="55" t="str">
        <f>IF($AM297=0,"",IF(ISNUMBER($P297),$P297,N($AJ297)))</f>
        <v/>
      </c>
      <c r="AM297" s="56">
        <f>IF(AND($A297&lt;&gt;"",$E297&lt;&gt;"",OR(AND(ISNUMBER($G297),ISNUMBER($H297),ISNUMBER($K297)),ISNUMBER($O297))),1,0)</f>
        <v>0</v>
      </c>
      <c r="AN297" s="57" t="str">
        <f>IF($A297="","",$A297-WEEKDAY($A297,3))</f>
        <v/>
      </c>
      <c r="AO297" s="56" t="str">
        <f>IF($A297="","",WEEKDAY($A297,2))</f>
        <v/>
      </c>
      <c r="AP297" s="55" t="str">
        <f>IF(OR($AM297=0,$C297=""),"",IFERROR(N(INDEX(Accounts!$E$7:$E$16,MATCH($C297,Accounts!$B$7:$B$16,0))),0)+SUMIFS($Q$6:$Q297,$C$6:$C297,$C297))</f>
        <v/>
      </c>
      <c r="AQ297" s="55" t="str">
        <f>IF(OR($AM297=0,$C297=""),"",SUMIFS($Q$6:$Q$1005,$C$6:$C$1005,$C297,$A$6:$A$1005,$A297))</f>
        <v/>
      </c>
      <c r="AR297" s="55" t="str">
        <f>IF(OR($AM297=0,$C297=""),"",IFERROR(N(INDEX(Accounts!$E$7:$E$16,MATCH($C297,Accounts!$B$7:$B$16,0))),0)+SUMIFS($Q$6:$Q$1005,$C$6:$C$1005,$C297,$A$6:$A$1005,"&lt;="&amp;$A297))</f>
        <v/>
      </c>
      <c r="AS297" s="56">
        <f>IF(OR($AM297=0,$Q297=""),0,IF(AND($A297&gt;=Lists!$W$6,$A297&lt;=Lists!$W$7,OR(Dashboard!$D$6="All accounts",$C297=Dashboard!$D$6),OR(Dashboard!$D$7="All markets",$AF297=Dashboard!$D$7)),1,0))</f>
        <v>0</v>
      </c>
      <c r="AT297" s="55">
        <f>IF($AS297=1,N(AT296)+$Q297,N(AT296))</f>
        <v>1187.10688</v>
      </c>
      <c r="AU297" s="55">
        <f>MAX(N(AU296),$AT297)</f>
        <v>1187.10688</v>
      </c>
      <c r="AV297" s="55">
        <f>$AT297-$AU297</f>
        <v>0</v>
      </c>
      <c r="AW297" s="56">
        <f>IF($AS297=1,IF($S297="Win",N(AW296)+1,IF($S297="Loss",0,N(AW296))),N(AW296))</f>
        <v>5</v>
      </c>
      <c r="AX297" s="56">
        <f>IF($AS297=1,IF($S297="Loss",N(AX296)+1,IF($S297="Win",0,N(AX296))),N(AX296))</f>
        <v>0</v>
      </c>
      <c r="AY297" s="56" t="str">
        <f>IF($AS297=1,COUNTIF($AS$6:$AS297,1),"")</f>
        <v/>
      </c>
      <c r="AZ297" s="56">
        <f>MIN(291,N(Lists!$W$8))</f>
        <v>28</v>
      </c>
      <c r="BA297" s="56">
        <f>IF($AS297=1,IF(COUNTIFS($A$6:$A297,$A297,$AS$6:$AS297,1)=1,1,0),0)</f>
        <v>0</v>
      </c>
      <c r="BB297" s="55" t="str">
        <f>IF($BA297=1,SUMIFS($Q$6:$Q$1005,$A$6:$A$1005,$A297,$AS$6:$AS$1005,1),"")</f>
        <v/>
      </c>
      <c r="BC297" s="56">
        <f>IF(ISNUMBER($R297),1,0)</f>
        <v>0</v>
      </c>
      <c r="BD297" s="55" t="str">
        <f>IF(ISNUMBER($U297),$U297*$V297,"")</f>
        <v/>
      </c>
      <c r="BE297" s="56" t="str">
        <f>IF($AM297=0,"",IFERROR(MATCH($AF297&amp;"|"&amp;UPPER(TRIM($E297)),Lists!$A$6:$A$205,0),0))</f>
        <v/>
      </c>
      <c r="BF297" s="56" t="str">
        <f>IF($AM297=0,"",IFERROR(MATCH($AF297,Settings!$B$14:$B$18,0),IFERROR(MATCH(Settings!$C$6,Settings!$B$14:$B$18,0),1)))</f>
        <v/>
      </c>
      <c r="BG297" s="58" t="str">
        <f>IF($AM297=0,"",IF(NOT(ISNUMBER($I297)),"No stop; ","")&amp;IF(AND(ISNUMBER($H297),ISNUMBER($I297)),IF(OR(AND($F297&lt;&gt;"Short",$I297&gt;=$H297),AND($F297="Short",$I297&lt;=$H297)),"Stop on wrong side; ",""),"")&amp;IF($F297="","No direction; ","")&amp;IF(AND(ISNUMBER(Settings!$C$22),ISNUMBER($V297)),IF($V297&gt;Settings!$C$22,"Risk over max $; ",""),"")&amp;IF(AND(ISNUMBER(Settings!$C$23),ISNUMBER($V297),ISNUMBER($AP297),IFERROR(N(INDEX(Accounts!$E$7:$E$16,MATCH($C297,Accounts!$B$7:$B$16,0))),0)&gt;0),IF($V297&gt;Settings!$C$23*($AP297-N($Q297)),"Risk over max %; ",""),"")&amp;IF(AND(ISNUMBER(Settings!$C$24),ISNUMBER($N297)),IF($N297&gt;Settings!$C$24,"Leverage over max; ",""),"")&amp;IF(AND(ISNUMBER(Settings!$C$27),ISNUMBER($T297)),IF($T297&lt;Settings!$C$27,"R:R below min; ",""),"")&amp;IF(ISNUMBER(Settings!$C$25),IF(COUNTIFS($A$6:$A297,$A297,$AM$6:$AM297,1)&gt;Settings!$C$25,"Over max trades/day; ",""),"")&amp;IF(ISNUMBER(Settings!$C$26),IF(SUMIFS($Q$5:$Q296,$A$5:$A296,$A297)&lt;=-Settings!$C$26,"Traded after daily max loss; ",""),"")&amp;IF(AND($AG297="",NOT(ISNUMBER($O297))),"Symbol not in Instruments; ","")&amp;IF(AND($AH297="",NOT(ISNUMBER($O297))),"Forex cross: type Gross P&amp;L; ",""))</f>
        <v/>
      </c>
      <c r="BH297" s="56">
        <f>IF(ISNUMBER($Q297),1,0)</f>
        <v>0</v>
      </c>
      <c r="BI297" s="56">
        <f>IF($Y297="",0,1)</f>
        <v>0</v>
      </c>
      <c r="BJ297" s="56">
        <f>IF($AB297="",0,1)</f>
        <v>0</v>
      </c>
      <c r="BK297" s="56">
        <f>IF(AND($BH297=1,$W297&lt;&gt;"OK"),1,0)</f>
        <v>0</v>
      </c>
      <c r="BL297" s="55">
        <f>IF(N($AZ297)=0,0,IFERROR(INDEX($AT$6:$AT$1005,MATCH($AZ297,$AY$6:$AY$1005,0)),0))</f>
        <v>1187.10688</v>
      </c>
      <c r="BM297" s="56">
        <f>IF(ISNUMBER(SEARCH("daily max loss",$BG297)),1,0)</f>
        <v>0</v>
      </c>
    </row>
    <row r="298" ht="18" customHeight="1">
      <c r="A298" s="38" t="n"/>
      <c r="B298" s="39" t="n"/>
      <c r="C298" s="40" t="n"/>
      <c r="D298" s="41" t="n"/>
      <c r="E298" s="41" t="n"/>
      <c r="F298" s="41" t="n"/>
      <c r="G298" s="41" t="n"/>
      <c r="H298" s="42" t="n"/>
      <c r="I298" s="42" t="n"/>
      <c r="J298" s="42" t="n"/>
      <c r="K298" s="42" t="n"/>
      <c r="L298" s="41" t="n"/>
      <c r="M298" s="41" t="n"/>
      <c r="N298" s="41" t="n"/>
      <c r="O298" s="43" t="n"/>
      <c r="P298" s="43" t="n"/>
      <c r="Q298" s="44" t="str">
        <f>IF($AM298=0,"",IF(ISNUMBER($AK298),$AK298-N($AL298),""))</f>
        <v/>
      </c>
      <c r="R298" s="45" t="str">
        <f>IF(OR($Q298="",NOT(ISNUMBER($V298))),"",$AK298/$V298)</f>
        <v/>
      </c>
      <c r="S298" s="46" t="str">
        <f>IF($Q298="","",IF(AND(ISNUMBER($R298),ABS(N($R298))&lt;N(Settings!$C$8)),"Scratch",IF($Q298&gt;0,"Win",IF($Q298&lt;0,"Loss","Scratch"))))</f>
        <v/>
      </c>
      <c r="T298" s="47" t="str">
        <f>IF(OR($AM298=0,NOT(ISNUMBER($H298)),NOT(ISNUMBER($I298)),NOT(ISNUMBER($J298))),"",IF($H298=$I298,"",ROUND(ABS($J298-$H298)/ABS($H298-$I298),6)))</f>
        <v/>
      </c>
      <c r="U298" s="48" t="str">
        <f>IF(OR($S298&lt;&gt;"Win",NOT(ISNUMBER($T298)),NOT(ISNUMBER($R298))),"",MAX(0,$T298-$R298))</f>
        <v/>
      </c>
      <c r="V298" s="49" t="str">
        <f>IF(OR($AM298=0,NOT(ISNUMBER($H298)),NOT(ISNUMBER($I298)),NOT(ISNUMBER($G298))),"",IF(OR($AG298="",$AH298=""),"",IF(ROUND(ABS($H298-$I298)*ABS($G298)*$AG298*$AH298,6)=0,"",ROUND(ABS($H298-$I298)*ABS($G298)*$AG298*$AH298,6))))</f>
        <v/>
      </c>
      <c r="W298" s="50" t="str">
        <f>IF($AM298=0,"",IF($BG298="","OK",LEFT($BG298,LEN($BG298)-2)))</f>
        <v/>
      </c>
      <c r="X298" s="41" t="n"/>
      <c r="Y298" s="40" t="n"/>
      <c r="Z298" s="41" t="n"/>
      <c r="AA298" s="41" t="n"/>
      <c r="AB298" s="40" t="n"/>
      <c r="AC298" s="51" t="n"/>
      <c r="AD298" s="51" t="n"/>
      <c r="AE298" s="40" t="n"/>
      <c r="AF298" s="52" t="str">
        <f>IF($AM298=0,"",IF($D298&lt;&gt;"",$D298,IF(IFERROR(INDEX(Accounts!$C$7:$C$16,MATCH($C298,Accounts!$B$7:$B$16,0))&amp;"","")&lt;&gt;"",INDEX(Accounts!$C$7:$C$16,MATCH($C298,Accounts!$B$7:$B$16,0)),Settings!$C$6)))</f>
        <v/>
      </c>
      <c r="AG298" s="53" t="str">
        <f>IF($AM298=0,"",IF(AND($BE298&gt;0,N(INDEX(Instruments!$D$6:$D$205,MAX(1,$BE298)))&gt;0),INDEX(Instruments!$D$6:$D$205,MAX(1,$BE298)),IF(N(INDEX(Settings!$D$14:$D$18,$BF298))&gt;0,INDEX(Settings!$D$14:$D$18,$BF298),"")))</f>
        <v/>
      </c>
      <c r="AH298" s="54" t="str">
        <f>IF($AM298=0,"",IF($AF298&lt;&gt;"Forex",1,IF(MID(UPPER(SUBSTITUTE(TRIM($E298),"/","")),4,3)=UPPER(TRIM(Settings!$C$7)),1,IF(LEFT(UPPER(SUBSTITUTE(TRIM($E298),"/","")),3)=UPPER(TRIM(Settings!$C$7)),IF(AND(ISNUMBER($K298),N($K298)&lt;&gt;0),1/$K298,""),""))))</f>
        <v/>
      </c>
      <c r="AI298" s="55" t="str">
        <f>IF($AM298=0,"",IF(OR(NOT(ISNUMBER($H298)),NOT(ISNUMBER($K298)),NOT(ISNUMBER($G298)),$AG298="",$AH298=""),"",ROUND(($K298-$H298)*IF($F298="Short",-1,1)*$G298*$AG298*$AH298,6)))</f>
        <v/>
      </c>
      <c r="AJ298" s="55" t="str">
        <f>IF($AM298=0,"",IF(INDEX(Settings!$E$14:$E$18,$BF298)="% of notional",IF(OR($AG298="",NOT(ISNUMBER($H298)),NOT(ISNUMBER($G298))),"",ROUND(ABS($H298*$G298*$AG298*N($AH298))*IF($L298="Limit",N(INDEX(Settings!$G$14:$G$18,$BF298)),N(INDEX(Settings!$H$14:$H$18,$BF298)))+IF(ISNUMBER($K298),ABS($K298*$G298*$AG298*N($AH298))*IF($M298="Target",N(INDEX(Settings!$G$14:$G$18,$BF298)),N(INDEX(Settings!$H$14:$H$18,$BF298))),0),6)),IF(NOT(ISNUMBER($G298)),"",ROUND(ABS($G298)*2*IF(AND($BE298&gt;0,ISNUMBER(INDEX(Instruments!$G$6:$G$205,MAX(1,$BE298)))),INDEX(Instruments!$G$6:$G$205,MAX(1,$BE298)),N(INDEX(Settings!$F$14:$F$18,$BF298))),6))))</f>
        <v/>
      </c>
      <c r="AK298" s="55" t="str">
        <f>IF($AM298=0,"",IF(ISNUMBER($O298),$O298,$AI298))</f>
        <v/>
      </c>
      <c r="AL298" s="55" t="str">
        <f>IF($AM298=0,"",IF(ISNUMBER($P298),$P298,N($AJ298)))</f>
        <v/>
      </c>
      <c r="AM298" s="56">
        <f>IF(AND($A298&lt;&gt;"",$E298&lt;&gt;"",OR(AND(ISNUMBER($G298),ISNUMBER($H298),ISNUMBER($K298)),ISNUMBER($O298))),1,0)</f>
        <v>0</v>
      </c>
      <c r="AN298" s="57" t="str">
        <f>IF($A298="","",$A298-WEEKDAY($A298,3))</f>
        <v/>
      </c>
      <c r="AO298" s="56" t="str">
        <f>IF($A298="","",WEEKDAY($A298,2))</f>
        <v/>
      </c>
      <c r="AP298" s="55" t="str">
        <f>IF(OR($AM298=0,$C298=""),"",IFERROR(N(INDEX(Accounts!$E$7:$E$16,MATCH($C298,Accounts!$B$7:$B$16,0))),0)+SUMIFS($Q$6:$Q298,$C$6:$C298,$C298))</f>
        <v/>
      </c>
      <c r="AQ298" s="55" t="str">
        <f>IF(OR($AM298=0,$C298=""),"",SUMIFS($Q$6:$Q$1005,$C$6:$C$1005,$C298,$A$6:$A$1005,$A298))</f>
        <v/>
      </c>
      <c r="AR298" s="55" t="str">
        <f>IF(OR($AM298=0,$C298=""),"",IFERROR(N(INDEX(Accounts!$E$7:$E$16,MATCH($C298,Accounts!$B$7:$B$16,0))),0)+SUMIFS($Q$6:$Q$1005,$C$6:$C$1005,$C298,$A$6:$A$1005,"&lt;="&amp;$A298))</f>
        <v/>
      </c>
      <c r="AS298" s="56">
        <f>IF(OR($AM298=0,$Q298=""),0,IF(AND($A298&gt;=Lists!$W$6,$A298&lt;=Lists!$W$7,OR(Dashboard!$D$6="All accounts",$C298=Dashboard!$D$6),OR(Dashboard!$D$7="All markets",$AF298=Dashboard!$D$7)),1,0))</f>
        <v>0</v>
      </c>
      <c r="AT298" s="55">
        <f>IF($AS298=1,N(AT297)+$Q298,N(AT297))</f>
        <v>1187.10688</v>
      </c>
      <c r="AU298" s="55">
        <f>MAX(N(AU297),$AT298)</f>
        <v>1187.10688</v>
      </c>
      <c r="AV298" s="55">
        <f>$AT298-$AU298</f>
        <v>0</v>
      </c>
      <c r="AW298" s="56">
        <f>IF($AS298=1,IF($S298="Win",N(AW297)+1,IF($S298="Loss",0,N(AW297))),N(AW297))</f>
        <v>5</v>
      </c>
      <c r="AX298" s="56">
        <f>IF($AS298=1,IF($S298="Loss",N(AX297)+1,IF($S298="Win",0,N(AX297))),N(AX297))</f>
        <v>0</v>
      </c>
      <c r="AY298" s="56" t="str">
        <f>IF($AS298=1,COUNTIF($AS$6:$AS298,1),"")</f>
        <v/>
      </c>
      <c r="AZ298" s="56">
        <f>MIN(292,N(Lists!$W$8))</f>
        <v>28</v>
      </c>
      <c r="BA298" s="56">
        <f>IF($AS298=1,IF(COUNTIFS($A$6:$A298,$A298,$AS$6:$AS298,1)=1,1,0),0)</f>
        <v>0</v>
      </c>
      <c r="BB298" s="55" t="str">
        <f>IF($BA298=1,SUMIFS($Q$6:$Q$1005,$A$6:$A$1005,$A298,$AS$6:$AS$1005,1),"")</f>
        <v/>
      </c>
      <c r="BC298" s="56">
        <f>IF(ISNUMBER($R298),1,0)</f>
        <v>0</v>
      </c>
      <c r="BD298" s="55" t="str">
        <f>IF(ISNUMBER($U298),$U298*$V298,"")</f>
        <v/>
      </c>
      <c r="BE298" s="56" t="str">
        <f>IF($AM298=0,"",IFERROR(MATCH($AF298&amp;"|"&amp;UPPER(TRIM($E298)),Lists!$A$6:$A$205,0),0))</f>
        <v/>
      </c>
      <c r="BF298" s="56" t="str">
        <f>IF($AM298=0,"",IFERROR(MATCH($AF298,Settings!$B$14:$B$18,0),IFERROR(MATCH(Settings!$C$6,Settings!$B$14:$B$18,0),1)))</f>
        <v/>
      </c>
      <c r="BG298" s="58" t="str">
        <f>IF($AM298=0,"",IF(NOT(ISNUMBER($I298)),"No stop; ","")&amp;IF(AND(ISNUMBER($H298),ISNUMBER($I298)),IF(OR(AND($F298&lt;&gt;"Short",$I298&gt;=$H298),AND($F298="Short",$I298&lt;=$H298)),"Stop on wrong side; ",""),"")&amp;IF($F298="","No direction; ","")&amp;IF(AND(ISNUMBER(Settings!$C$22),ISNUMBER($V298)),IF($V298&gt;Settings!$C$22,"Risk over max $; ",""),"")&amp;IF(AND(ISNUMBER(Settings!$C$23),ISNUMBER($V298),ISNUMBER($AP298),IFERROR(N(INDEX(Accounts!$E$7:$E$16,MATCH($C298,Accounts!$B$7:$B$16,0))),0)&gt;0),IF($V298&gt;Settings!$C$23*($AP298-N($Q298)),"Risk over max %; ",""),"")&amp;IF(AND(ISNUMBER(Settings!$C$24),ISNUMBER($N298)),IF($N298&gt;Settings!$C$24,"Leverage over max; ",""),"")&amp;IF(AND(ISNUMBER(Settings!$C$27),ISNUMBER($T298)),IF($T298&lt;Settings!$C$27,"R:R below min; ",""),"")&amp;IF(ISNUMBER(Settings!$C$25),IF(COUNTIFS($A$6:$A298,$A298,$AM$6:$AM298,1)&gt;Settings!$C$25,"Over max trades/day; ",""),"")&amp;IF(ISNUMBER(Settings!$C$26),IF(SUMIFS($Q$5:$Q297,$A$5:$A297,$A298)&lt;=-Settings!$C$26,"Traded after daily max loss; ",""),"")&amp;IF(AND($AG298="",NOT(ISNUMBER($O298))),"Symbol not in Instruments; ","")&amp;IF(AND($AH298="",NOT(ISNUMBER($O298))),"Forex cross: type Gross P&amp;L; ",""))</f>
        <v/>
      </c>
      <c r="BH298" s="56">
        <f>IF(ISNUMBER($Q298),1,0)</f>
        <v>0</v>
      </c>
      <c r="BI298" s="56">
        <f>IF($Y298="",0,1)</f>
        <v>0</v>
      </c>
      <c r="BJ298" s="56">
        <f>IF($AB298="",0,1)</f>
        <v>0</v>
      </c>
      <c r="BK298" s="56">
        <f>IF(AND($BH298=1,$W298&lt;&gt;"OK"),1,0)</f>
        <v>0</v>
      </c>
      <c r="BL298" s="55">
        <f>IF(N($AZ298)=0,0,IFERROR(INDEX($AT$6:$AT$1005,MATCH($AZ298,$AY$6:$AY$1005,0)),0))</f>
        <v>1187.10688</v>
      </c>
      <c r="BM298" s="56">
        <f>IF(ISNUMBER(SEARCH("daily max loss",$BG298)),1,0)</f>
        <v>0</v>
      </c>
    </row>
    <row r="299" ht="18" customHeight="1">
      <c r="A299" s="38" t="n"/>
      <c r="B299" s="39" t="n"/>
      <c r="C299" s="40" t="n"/>
      <c r="D299" s="41" t="n"/>
      <c r="E299" s="41" t="n"/>
      <c r="F299" s="41" t="n"/>
      <c r="G299" s="41" t="n"/>
      <c r="H299" s="42" t="n"/>
      <c r="I299" s="42" t="n"/>
      <c r="J299" s="42" t="n"/>
      <c r="K299" s="42" t="n"/>
      <c r="L299" s="41" t="n"/>
      <c r="M299" s="41" t="n"/>
      <c r="N299" s="41" t="n"/>
      <c r="O299" s="43" t="n"/>
      <c r="P299" s="43" t="n"/>
      <c r="Q299" s="44" t="str">
        <f>IF($AM299=0,"",IF(ISNUMBER($AK299),$AK299-N($AL299),""))</f>
        <v/>
      </c>
      <c r="R299" s="45" t="str">
        <f>IF(OR($Q299="",NOT(ISNUMBER($V299))),"",$AK299/$V299)</f>
        <v/>
      </c>
      <c r="S299" s="46" t="str">
        <f>IF($Q299="","",IF(AND(ISNUMBER($R299),ABS(N($R299))&lt;N(Settings!$C$8)),"Scratch",IF($Q299&gt;0,"Win",IF($Q299&lt;0,"Loss","Scratch"))))</f>
        <v/>
      </c>
      <c r="T299" s="47" t="str">
        <f>IF(OR($AM299=0,NOT(ISNUMBER($H299)),NOT(ISNUMBER($I299)),NOT(ISNUMBER($J299))),"",IF($H299=$I299,"",ROUND(ABS($J299-$H299)/ABS($H299-$I299),6)))</f>
        <v/>
      </c>
      <c r="U299" s="48" t="str">
        <f>IF(OR($S299&lt;&gt;"Win",NOT(ISNUMBER($T299)),NOT(ISNUMBER($R299))),"",MAX(0,$T299-$R299))</f>
        <v/>
      </c>
      <c r="V299" s="49" t="str">
        <f>IF(OR($AM299=0,NOT(ISNUMBER($H299)),NOT(ISNUMBER($I299)),NOT(ISNUMBER($G299))),"",IF(OR($AG299="",$AH299=""),"",IF(ROUND(ABS($H299-$I299)*ABS($G299)*$AG299*$AH299,6)=0,"",ROUND(ABS($H299-$I299)*ABS($G299)*$AG299*$AH299,6))))</f>
        <v/>
      </c>
      <c r="W299" s="50" t="str">
        <f>IF($AM299=0,"",IF($BG299="","OK",LEFT($BG299,LEN($BG299)-2)))</f>
        <v/>
      </c>
      <c r="X299" s="41" t="n"/>
      <c r="Y299" s="40" t="n"/>
      <c r="Z299" s="41" t="n"/>
      <c r="AA299" s="41" t="n"/>
      <c r="AB299" s="40" t="n"/>
      <c r="AC299" s="51" t="n"/>
      <c r="AD299" s="51" t="n"/>
      <c r="AE299" s="40" t="n"/>
      <c r="AF299" s="52" t="str">
        <f>IF($AM299=0,"",IF($D299&lt;&gt;"",$D299,IF(IFERROR(INDEX(Accounts!$C$7:$C$16,MATCH($C299,Accounts!$B$7:$B$16,0))&amp;"","")&lt;&gt;"",INDEX(Accounts!$C$7:$C$16,MATCH($C299,Accounts!$B$7:$B$16,0)),Settings!$C$6)))</f>
        <v/>
      </c>
      <c r="AG299" s="53" t="str">
        <f>IF($AM299=0,"",IF(AND($BE299&gt;0,N(INDEX(Instruments!$D$6:$D$205,MAX(1,$BE299)))&gt;0),INDEX(Instruments!$D$6:$D$205,MAX(1,$BE299)),IF(N(INDEX(Settings!$D$14:$D$18,$BF299))&gt;0,INDEX(Settings!$D$14:$D$18,$BF299),"")))</f>
        <v/>
      </c>
      <c r="AH299" s="54" t="str">
        <f>IF($AM299=0,"",IF($AF299&lt;&gt;"Forex",1,IF(MID(UPPER(SUBSTITUTE(TRIM($E299),"/","")),4,3)=UPPER(TRIM(Settings!$C$7)),1,IF(LEFT(UPPER(SUBSTITUTE(TRIM($E299),"/","")),3)=UPPER(TRIM(Settings!$C$7)),IF(AND(ISNUMBER($K299),N($K299)&lt;&gt;0),1/$K299,""),""))))</f>
        <v/>
      </c>
      <c r="AI299" s="55" t="str">
        <f>IF($AM299=0,"",IF(OR(NOT(ISNUMBER($H299)),NOT(ISNUMBER($K299)),NOT(ISNUMBER($G299)),$AG299="",$AH299=""),"",ROUND(($K299-$H299)*IF($F299="Short",-1,1)*$G299*$AG299*$AH299,6)))</f>
        <v/>
      </c>
      <c r="AJ299" s="55" t="str">
        <f>IF($AM299=0,"",IF(INDEX(Settings!$E$14:$E$18,$BF299)="% of notional",IF(OR($AG299="",NOT(ISNUMBER($H299)),NOT(ISNUMBER($G299))),"",ROUND(ABS($H299*$G299*$AG299*N($AH299))*IF($L299="Limit",N(INDEX(Settings!$G$14:$G$18,$BF299)),N(INDEX(Settings!$H$14:$H$18,$BF299)))+IF(ISNUMBER($K299),ABS($K299*$G299*$AG299*N($AH299))*IF($M299="Target",N(INDEX(Settings!$G$14:$G$18,$BF299)),N(INDEX(Settings!$H$14:$H$18,$BF299))),0),6)),IF(NOT(ISNUMBER($G299)),"",ROUND(ABS($G299)*2*IF(AND($BE299&gt;0,ISNUMBER(INDEX(Instruments!$G$6:$G$205,MAX(1,$BE299)))),INDEX(Instruments!$G$6:$G$205,MAX(1,$BE299)),N(INDEX(Settings!$F$14:$F$18,$BF299))),6))))</f>
        <v/>
      </c>
      <c r="AK299" s="55" t="str">
        <f>IF($AM299=0,"",IF(ISNUMBER($O299),$O299,$AI299))</f>
        <v/>
      </c>
      <c r="AL299" s="55" t="str">
        <f>IF($AM299=0,"",IF(ISNUMBER($P299),$P299,N($AJ299)))</f>
        <v/>
      </c>
      <c r="AM299" s="56">
        <f>IF(AND($A299&lt;&gt;"",$E299&lt;&gt;"",OR(AND(ISNUMBER($G299),ISNUMBER($H299),ISNUMBER($K299)),ISNUMBER($O299))),1,0)</f>
        <v>0</v>
      </c>
      <c r="AN299" s="57" t="str">
        <f>IF($A299="","",$A299-WEEKDAY($A299,3))</f>
        <v/>
      </c>
      <c r="AO299" s="56" t="str">
        <f>IF($A299="","",WEEKDAY($A299,2))</f>
        <v/>
      </c>
      <c r="AP299" s="55" t="str">
        <f>IF(OR($AM299=0,$C299=""),"",IFERROR(N(INDEX(Accounts!$E$7:$E$16,MATCH($C299,Accounts!$B$7:$B$16,0))),0)+SUMIFS($Q$6:$Q299,$C$6:$C299,$C299))</f>
        <v/>
      </c>
      <c r="AQ299" s="55" t="str">
        <f>IF(OR($AM299=0,$C299=""),"",SUMIFS($Q$6:$Q$1005,$C$6:$C$1005,$C299,$A$6:$A$1005,$A299))</f>
        <v/>
      </c>
      <c r="AR299" s="55" t="str">
        <f>IF(OR($AM299=0,$C299=""),"",IFERROR(N(INDEX(Accounts!$E$7:$E$16,MATCH($C299,Accounts!$B$7:$B$16,0))),0)+SUMIFS($Q$6:$Q$1005,$C$6:$C$1005,$C299,$A$6:$A$1005,"&lt;="&amp;$A299))</f>
        <v/>
      </c>
      <c r="AS299" s="56">
        <f>IF(OR($AM299=0,$Q299=""),0,IF(AND($A299&gt;=Lists!$W$6,$A299&lt;=Lists!$W$7,OR(Dashboard!$D$6="All accounts",$C299=Dashboard!$D$6),OR(Dashboard!$D$7="All markets",$AF299=Dashboard!$D$7)),1,0))</f>
        <v>0</v>
      </c>
      <c r="AT299" s="55">
        <f>IF($AS299=1,N(AT298)+$Q299,N(AT298))</f>
        <v>1187.10688</v>
      </c>
      <c r="AU299" s="55">
        <f>MAX(N(AU298),$AT299)</f>
        <v>1187.10688</v>
      </c>
      <c r="AV299" s="55">
        <f>$AT299-$AU299</f>
        <v>0</v>
      </c>
      <c r="AW299" s="56">
        <f>IF($AS299=1,IF($S299="Win",N(AW298)+1,IF($S299="Loss",0,N(AW298))),N(AW298))</f>
        <v>5</v>
      </c>
      <c r="AX299" s="56">
        <f>IF($AS299=1,IF($S299="Loss",N(AX298)+1,IF($S299="Win",0,N(AX298))),N(AX298))</f>
        <v>0</v>
      </c>
      <c r="AY299" s="56" t="str">
        <f>IF($AS299=1,COUNTIF($AS$6:$AS299,1),"")</f>
        <v/>
      </c>
      <c r="AZ299" s="56">
        <f>MIN(293,N(Lists!$W$8))</f>
        <v>28</v>
      </c>
      <c r="BA299" s="56">
        <f>IF($AS299=1,IF(COUNTIFS($A$6:$A299,$A299,$AS$6:$AS299,1)=1,1,0),0)</f>
        <v>0</v>
      </c>
      <c r="BB299" s="55" t="str">
        <f>IF($BA299=1,SUMIFS($Q$6:$Q$1005,$A$6:$A$1005,$A299,$AS$6:$AS$1005,1),"")</f>
        <v/>
      </c>
      <c r="BC299" s="56">
        <f>IF(ISNUMBER($R299),1,0)</f>
        <v>0</v>
      </c>
      <c r="BD299" s="55" t="str">
        <f>IF(ISNUMBER($U299),$U299*$V299,"")</f>
        <v/>
      </c>
      <c r="BE299" s="56" t="str">
        <f>IF($AM299=0,"",IFERROR(MATCH($AF299&amp;"|"&amp;UPPER(TRIM($E299)),Lists!$A$6:$A$205,0),0))</f>
        <v/>
      </c>
      <c r="BF299" s="56" t="str">
        <f>IF($AM299=0,"",IFERROR(MATCH($AF299,Settings!$B$14:$B$18,0),IFERROR(MATCH(Settings!$C$6,Settings!$B$14:$B$18,0),1)))</f>
        <v/>
      </c>
      <c r="BG299" s="58" t="str">
        <f>IF($AM299=0,"",IF(NOT(ISNUMBER($I299)),"No stop; ","")&amp;IF(AND(ISNUMBER($H299),ISNUMBER($I299)),IF(OR(AND($F299&lt;&gt;"Short",$I299&gt;=$H299),AND($F299="Short",$I299&lt;=$H299)),"Stop on wrong side; ",""),"")&amp;IF($F299="","No direction; ","")&amp;IF(AND(ISNUMBER(Settings!$C$22),ISNUMBER($V299)),IF($V299&gt;Settings!$C$22,"Risk over max $; ",""),"")&amp;IF(AND(ISNUMBER(Settings!$C$23),ISNUMBER($V299),ISNUMBER($AP299),IFERROR(N(INDEX(Accounts!$E$7:$E$16,MATCH($C299,Accounts!$B$7:$B$16,0))),0)&gt;0),IF($V299&gt;Settings!$C$23*($AP299-N($Q299)),"Risk over max %; ",""),"")&amp;IF(AND(ISNUMBER(Settings!$C$24),ISNUMBER($N299)),IF($N299&gt;Settings!$C$24,"Leverage over max; ",""),"")&amp;IF(AND(ISNUMBER(Settings!$C$27),ISNUMBER($T299)),IF($T299&lt;Settings!$C$27,"R:R below min; ",""),"")&amp;IF(ISNUMBER(Settings!$C$25),IF(COUNTIFS($A$6:$A299,$A299,$AM$6:$AM299,1)&gt;Settings!$C$25,"Over max trades/day; ",""),"")&amp;IF(ISNUMBER(Settings!$C$26),IF(SUMIFS($Q$5:$Q298,$A$5:$A298,$A299)&lt;=-Settings!$C$26,"Traded after daily max loss; ",""),"")&amp;IF(AND($AG299="",NOT(ISNUMBER($O299))),"Symbol not in Instruments; ","")&amp;IF(AND($AH299="",NOT(ISNUMBER($O299))),"Forex cross: type Gross P&amp;L; ",""))</f>
        <v/>
      </c>
      <c r="BH299" s="56">
        <f>IF(ISNUMBER($Q299),1,0)</f>
        <v>0</v>
      </c>
      <c r="BI299" s="56">
        <f>IF($Y299="",0,1)</f>
        <v>0</v>
      </c>
      <c r="BJ299" s="56">
        <f>IF($AB299="",0,1)</f>
        <v>0</v>
      </c>
      <c r="BK299" s="56">
        <f>IF(AND($BH299=1,$W299&lt;&gt;"OK"),1,0)</f>
        <v>0</v>
      </c>
      <c r="BL299" s="55">
        <f>IF(N($AZ299)=0,0,IFERROR(INDEX($AT$6:$AT$1005,MATCH($AZ299,$AY$6:$AY$1005,0)),0))</f>
        <v>1187.10688</v>
      </c>
      <c r="BM299" s="56">
        <f>IF(ISNUMBER(SEARCH("daily max loss",$BG299)),1,0)</f>
        <v>0</v>
      </c>
    </row>
    <row r="300" ht="18" customHeight="1">
      <c r="A300" s="38" t="n"/>
      <c r="B300" s="39" t="n"/>
      <c r="C300" s="40" t="n"/>
      <c r="D300" s="41" t="n"/>
      <c r="E300" s="41" t="n"/>
      <c r="F300" s="41" t="n"/>
      <c r="G300" s="41" t="n"/>
      <c r="H300" s="42" t="n"/>
      <c r="I300" s="42" t="n"/>
      <c r="J300" s="42" t="n"/>
      <c r="K300" s="42" t="n"/>
      <c r="L300" s="41" t="n"/>
      <c r="M300" s="41" t="n"/>
      <c r="N300" s="41" t="n"/>
      <c r="O300" s="43" t="n"/>
      <c r="P300" s="43" t="n"/>
      <c r="Q300" s="44" t="str">
        <f>IF($AM300=0,"",IF(ISNUMBER($AK300),$AK300-N($AL300),""))</f>
        <v/>
      </c>
      <c r="R300" s="45" t="str">
        <f>IF(OR($Q300="",NOT(ISNUMBER($V300))),"",$AK300/$V300)</f>
        <v/>
      </c>
      <c r="S300" s="46" t="str">
        <f>IF($Q300="","",IF(AND(ISNUMBER($R300),ABS(N($R300))&lt;N(Settings!$C$8)),"Scratch",IF($Q300&gt;0,"Win",IF($Q300&lt;0,"Loss","Scratch"))))</f>
        <v/>
      </c>
      <c r="T300" s="47" t="str">
        <f>IF(OR($AM300=0,NOT(ISNUMBER($H300)),NOT(ISNUMBER($I300)),NOT(ISNUMBER($J300))),"",IF($H300=$I300,"",ROUND(ABS($J300-$H300)/ABS($H300-$I300),6)))</f>
        <v/>
      </c>
      <c r="U300" s="48" t="str">
        <f>IF(OR($S300&lt;&gt;"Win",NOT(ISNUMBER($T300)),NOT(ISNUMBER($R300))),"",MAX(0,$T300-$R300))</f>
        <v/>
      </c>
      <c r="V300" s="49" t="str">
        <f>IF(OR($AM300=0,NOT(ISNUMBER($H300)),NOT(ISNUMBER($I300)),NOT(ISNUMBER($G300))),"",IF(OR($AG300="",$AH300=""),"",IF(ROUND(ABS($H300-$I300)*ABS($G300)*$AG300*$AH300,6)=0,"",ROUND(ABS($H300-$I300)*ABS($G300)*$AG300*$AH300,6))))</f>
        <v/>
      </c>
      <c r="W300" s="50" t="str">
        <f>IF($AM300=0,"",IF($BG300="","OK",LEFT($BG300,LEN($BG300)-2)))</f>
        <v/>
      </c>
      <c r="X300" s="41" t="n"/>
      <c r="Y300" s="40" t="n"/>
      <c r="Z300" s="41" t="n"/>
      <c r="AA300" s="41" t="n"/>
      <c r="AB300" s="40" t="n"/>
      <c r="AC300" s="51" t="n"/>
      <c r="AD300" s="51" t="n"/>
      <c r="AE300" s="40" t="n"/>
      <c r="AF300" s="52" t="str">
        <f>IF($AM300=0,"",IF($D300&lt;&gt;"",$D300,IF(IFERROR(INDEX(Accounts!$C$7:$C$16,MATCH($C300,Accounts!$B$7:$B$16,0))&amp;"","")&lt;&gt;"",INDEX(Accounts!$C$7:$C$16,MATCH($C300,Accounts!$B$7:$B$16,0)),Settings!$C$6)))</f>
        <v/>
      </c>
      <c r="AG300" s="53" t="str">
        <f>IF($AM300=0,"",IF(AND($BE300&gt;0,N(INDEX(Instruments!$D$6:$D$205,MAX(1,$BE300)))&gt;0),INDEX(Instruments!$D$6:$D$205,MAX(1,$BE300)),IF(N(INDEX(Settings!$D$14:$D$18,$BF300))&gt;0,INDEX(Settings!$D$14:$D$18,$BF300),"")))</f>
        <v/>
      </c>
      <c r="AH300" s="54" t="str">
        <f>IF($AM300=0,"",IF($AF300&lt;&gt;"Forex",1,IF(MID(UPPER(SUBSTITUTE(TRIM($E300),"/","")),4,3)=UPPER(TRIM(Settings!$C$7)),1,IF(LEFT(UPPER(SUBSTITUTE(TRIM($E300),"/","")),3)=UPPER(TRIM(Settings!$C$7)),IF(AND(ISNUMBER($K300),N($K300)&lt;&gt;0),1/$K300,""),""))))</f>
        <v/>
      </c>
      <c r="AI300" s="55" t="str">
        <f>IF($AM300=0,"",IF(OR(NOT(ISNUMBER($H300)),NOT(ISNUMBER($K300)),NOT(ISNUMBER($G300)),$AG300="",$AH300=""),"",ROUND(($K300-$H300)*IF($F300="Short",-1,1)*$G300*$AG300*$AH300,6)))</f>
        <v/>
      </c>
      <c r="AJ300" s="55" t="str">
        <f>IF($AM300=0,"",IF(INDEX(Settings!$E$14:$E$18,$BF300)="% of notional",IF(OR($AG300="",NOT(ISNUMBER($H300)),NOT(ISNUMBER($G300))),"",ROUND(ABS($H300*$G300*$AG300*N($AH300))*IF($L300="Limit",N(INDEX(Settings!$G$14:$G$18,$BF300)),N(INDEX(Settings!$H$14:$H$18,$BF300)))+IF(ISNUMBER($K300),ABS($K300*$G300*$AG300*N($AH300))*IF($M300="Target",N(INDEX(Settings!$G$14:$G$18,$BF300)),N(INDEX(Settings!$H$14:$H$18,$BF300))),0),6)),IF(NOT(ISNUMBER($G300)),"",ROUND(ABS($G300)*2*IF(AND($BE300&gt;0,ISNUMBER(INDEX(Instruments!$G$6:$G$205,MAX(1,$BE300)))),INDEX(Instruments!$G$6:$G$205,MAX(1,$BE300)),N(INDEX(Settings!$F$14:$F$18,$BF300))),6))))</f>
        <v/>
      </c>
      <c r="AK300" s="55" t="str">
        <f>IF($AM300=0,"",IF(ISNUMBER($O300),$O300,$AI300))</f>
        <v/>
      </c>
      <c r="AL300" s="55" t="str">
        <f>IF($AM300=0,"",IF(ISNUMBER($P300),$P300,N($AJ300)))</f>
        <v/>
      </c>
      <c r="AM300" s="56">
        <f>IF(AND($A300&lt;&gt;"",$E300&lt;&gt;"",OR(AND(ISNUMBER($G300),ISNUMBER($H300),ISNUMBER($K300)),ISNUMBER($O300))),1,0)</f>
        <v>0</v>
      </c>
      <c r="AN300" s="57" t="str">
        <f>IF($A300="","",$A300-WEEKDAY($A300,3))</f>
        <v/>
      </c>
      <c r="AO300" s="56" t="str">
        <f>IF($A300="","",WEEKDAY($A300,2))</f>
        <v/>
      </c>
      <c r="AP300" s="55" t="str">
        <f>IF(OR($AM300=0,$C300=""),"",IFERROR(N(INDEX(Accounts!$E$7:$E$16,MATCH($C300,Accounts!$B$7:$B$16,0))),0)+SUMIFS($Q$6:$Q300,$C$6:$C300,$C300))</f>
        <v/>
      </c>
      <c r="AQ300" s="55" t="str">
        <f>IF(OR($AM300=0,$C300=""),"",SUMIFS($Q$6:$Q$1005,$C$6:$C$1005,$C300,$A$6:$A$1005,$A300))</f>
        <v/>
      </c>
      <c r="AR300" s="55" t="str">
        <f>IF(OR($AM300=0,$C300=""),"",IFERROR(N(INDEX(Accounts!$E$7:$E$16,MATCH($C300,Accounts!$B$7:$B$16,0))),0)+SUMIFS($Q$6:$Q$1005,$C$6:$C$1005,$C300,$A$6:$A$1005,"&lt;="&amp;$A300))</f>
        <v/>
      </c>
      <c r="AS300" s="56">
        <f>IF(OR($AM300=0,$Q300=""),0,IF(AND($A300&gt;=Lists!$W$6,$A300&lt;=Lists!$W$7,OR(Dashboard!$D$6="All accounts",$C300=Dashboard!$D$6),OR(Dashboard!$D$7="All markets",$AF300=Dashboard!$D$7)),1,0))</f>
        <v>0</v>
      </c>
      <c r="AT300" s="55">
        <f>IF($AS300=1,N(AT299)+$Q300,N(AT299))</f>
        <v>1187.10688</v>
      </c>
      <c r="AU300" s="55">
        <f>MAX(N(AU299),$AT300)</f>
        <v>1187.10688</v>
      </c>
      <c r="AV300" s="55">
        <f>$AT300-$AU300</f>
        <v>0</v>
      </c>
      <c r="AW300" s="56">
        <f>IF($AS300=1,IF($S300="Win",N(AW299)+1,IF($S300="Loss",0,N(AW299))),N(AW299))</f>
        <v>5</v>
      </c>
      <c r="AX300" s="56">
        <f>IF($AS300=1,IF($S300="Loss",N(AX299)+1,IF($S300="Win",0,N(AX299))),N(AX299))</f>
        <v>0</v>
      </c>
      <c r="AY300" s="56" t="str">
        <f>IF($AS300=1,COUNTIF($AS$6:$AS300,1),"")</f>
        <v/>
      </c>
      <c r="AZ300" s="56">
        <f>MIN(294,N(Lists!$W$8))</f>
        <v>28</v>
      </c>
      <c r="BA300" s="56">
        <f>IF($AS300=1,IF(COUNTIFS($A$6:$A300,$A300,$AS$6:$AS300,1)=1,1,0),0)</f>
        <v>0</v>
      </c>
      <c r="BB300" s="55" t="str">
        <f>IF($BA300=1,SUMIFS($Q$6:$Q$1005,$A$6:$A$1005,$A300,$AS$6:$AS$1005,1),"")</f>
        <v/>
      </c>
      <c r="BC300" s="56">
        <f>IF(ISNUMBER($R300),1,0)</f>
        <v>0</v>
      </c>
      <c r="BD300" s="55" t="str">
        <f>IF(ISNUMBER($U300),$U300*$V300,"")</f>
        <v/>
      </c>
      <c r="BE300" s="56" t="str">
        <f>IF($AM300=0,"",IFERROR(MATCH($AF300&amp;"|"&amp;UPPER(TRIM($E300)),Lists!$A$6:$A$205,0),0))</f>
        <v/>
      </c>
      <c r="BF300" s="56" t="str">
        <f>IF($AM300=0,"",IFERROR(MATCH($AF300,Settings!$B$14:$B$18,0),IFERROR(MATCH(Settings!$C$6,Settings!$B$14:$B$18,0),1)))</f>
        <v/>
      </c>
      <c r="BG300" s="58" t="str">
        <f>IF($AM300=0,"",IF(NOT(ISNUMBER($I300)),"No stop; ","")&amp;IF(AND(ISNUMBER($H300),ISNUMBER($I300)),IF(OR(AND($F300&lt;&gt;"Short",$I300&gt;=$H300),AND($F300="Short",$I300&lt;=$H300)),"Stop on wrong side; ",""),"")&amp;IF($F300="","No direction; ","")&amp;IF(AND(ISNUMBER(Settings!$C$22),ISNUMBER($V300)),IF($V300&gt;Settings!$C$22,"Risk over max $; ",""),"")&amp;IF(AND(ISNUMBER(Settings!$C$23),ISNUMBER($V300),ISNUMBER($AP300),IFERROR(N(INDEX(Accounts!$E$7:$E$16,MATCH($C300,Accounts!$B$7:$B$16,0))),0)&gt;0),IF($V300&gt;Settings!$C$23*($AP300-N($Q300)),"Risk over max %; ",""),"")&amp;IF(AND(ISNUMBER(Settings!$C$24),ISNUMBER($N300)),IF($N300&gt;Settings!$C$24,"Leverage over max; ",""),"")&amp;IF(AND(ISNUMBER(Settings!$C$27),ISNUMBER($T300)),IF($T300&lt;Settings!$C$27,"R:R below min; ",""),"")&amp;IF(ISNUMBER(Settings!$C$25),IF(COUNTIFS($A$6:$A300,$A300,$AM$6:$AM300,1)&gt;Settings!$C$25,"Over max trades/day; ",""),"")&amp;IF(ISNUMBER(Settings!$C$26),IF(SUMIFS($Q$5:$Q299,$A$5:$A299,$A300)&lt;=-Settings!$C$26,"Traded after daily max loss; ",""),"")&amp;IF(AND($AG300="",NOT(ISNUMBER($O300))),"Symbol not in Instruments; ","")&amp;IF(AND($AH300="",NOT(ISNUMBER($O300))),"Forex cross: type Gross P&amp;L; ",""))</f>
        <v/>
      </c>
      <c r="BH300" s="56">
        <f>IF(ISNUMBER($Q300),1,0)</f>
        <v>0</v>
      </c>
      <c r="BI300" s="56">
        <f>IF($Y300="",0,1)</f>
        <v>0</v>
      </c>
      <c r="BJ300" s="56">
        <f>IF($AB300="",0,1)</f>
        <v>0</v>
      </c>
      <c r="BK300" s="56">
        <f>IF(AND($BH300=1,$W300&lt;&gt;"OK"),1,0)</f>
        <v>0</v>
      </c>
      <c r="BL300" s="55">
        <f>IF(N($AZ300)=0,0,IFERROR(INDEX($AT$6:$AT$1005,MATCH($AZ300,$AY$6:$AY$1005,0)),0))</f>
        <v>1187.10688</v>
      </c>
      <c r="BM300" s="56">
        <f>IF(ISNUMBER(SEARCH("daily max loss",$BG300)),1,0)</f>
        <v>0</v>
      </c>
    </row>
    <row r="301" ht="18" customHeight="1">
      <c r="A301" s="38" t="n"/>
      <c r="B301" s="39" t="n"/>
      <c r="C301" s="40" t="n"/>
      <c r="D301" s="41" t="n"/>
      <c r="E301" s="41" t="n"/>
      <c r="F301" s="41" t="n"/>
      <c r="G301" s="41" t="n"/>
      <c r="H301" s="42" t="n"/>
      <c r="I301" s="42" t="n"/>
      <c r="J301" s="42" t="n"/>
      <c r="K301" s="42" t="n"/>
      <c r="L301" s="41" t="n"/>
      <c r="M301" s="41" t="n"/>
      <c r="N301" s="41" t="n"/>
      <c r="O301" s="43" t="n"/>
      <c r="P301" s="43" t="n"/>
      <c r="Q301" s="44" t="str">
        <f>IF($AM301=0,"",IF(ISNUMBER($AK301),$AK301-N($AL301),""))</f>
        <v/>
      </c>
      <c r="R301" s="45" t="str">
        <f>IF(OR($Q301="",NOT(ISNUMBER($V301))),"",$AK301/$V301)</f>
        <v/>
      </c>
      <c r="S301" s="46" t="str">
        <f>IF($Q301="","",IF(AND(ISNUMBER($R301),ABS(N($R301))&lt;N(Settings!$C$8)),"Scratch",IF($Q301&gt;0,"Win",IF($Q301&lt;0,"Loss","Scratch"))))</f>
        <v/>
      </c>
      <c r="T301" s="47" t="str">
        <f>IF(OR($AM301=0,NOT(ISNUMBER($H301)),NOT(ISNUMBER($I301)),NOT(ISNUMBER($J301))),"",IF($H301=$I301,"",ROUND(ABS($J301-$H301)/ABS($H301-$I301),6)))</f>
        <v/>
      </c>
      <c r="U301" s="48" t="str">
        <f>IF(OR($S301&lt;&gt;"Win",NOT(ISNUMBER($T301)),NOT(ISNUMBER($R301))),"",MAX(0,$T301-$R301))</f>
        <v/>
      </c>
      <c r="V301" s="49" t="str">
        <f>IF(OR($AM301=0,NOT(ISNUMBER($H301)),NOT(ISNUMBER($I301)),NOT(ISNUMBER($G301))),"",IF(OR($AG301="",$AH301=""),"",IF(ROUND(ABS($H301-$I301)*ABS($G301)*$AG301*$AH301,6)=0,"",ROUND(ABS($H301-$I301)*ABS($G301)*$AG301*$AH301,6))))</f>
        <v/>
      </c>
      <c r="W301" s="50" t="str">
        <f>IF($AM301=0,"",IF($BG301="","OK",LEFT($BG301,LEN($BG301)-2)))</f>
        <v/>
      </c>
      <c r="X301" s="41" t="n"/>
      <c r="Y301" s="40" t="n"/>
      <c r="Z301" s="41" t="n"/>
      <c r="AA301" s="41" t="n"/>
      <c r="AB301" s="40" t="n"/>
      <c r="AC301" s="51" t="n"/>
      <c r="AD301" s="51" t="n"/>
      <c r="AE301" s="40" t="n"/>
      <c r="AF301" s="52" t="str">
        <f>IF($AM301=0,"",IF($D301&lt;&gt;"",$D301,IF(IFERROR(INDEX(Accounts!$C$7:$C$16,MATCH($C301,Accounts!$B$7:$B$16,0))&amp;"","")&lt;&gt;"",INDEX(Accounts!$C$7:$C$16,MATCH($C301,Accounts!$B$7:$B$16,0)),Settings!$C$6)))</f>
        <v/>
      </c>
      <c r="AG301" s="53" t="str">
        <f>IF($AM301=0,"",IF(AND($BE301&gt;0,N(INDEX(Instruments!$D$6:$D$205,MAX(1,$BE301)))&gt;0),INDEX(Instruments!$D$6:$D$205,MAX(1,$BE301)),IF(N(INDEX(Settings!$D$14:$D$18,$BF301))&gt;0,INDEX(Settings!$D$14:$D$18,$BF301),"")))</f>
        <v/>
      </c>
      <c r="AH301" s="54" t="str">
        <f>IF($AM301=0,"",IF($AF301&lt;&gt;"Forex",1,IF(MID(UPPER(SUBSTITUTE(TRIM($E301),"/","")),4,3)=UPPER(TRIM(Settings!$C$7)),1,IF(LEFT(UPPER(SUBSTITUTE(TRIM($E301),"/","")),3)=UPPER(TRIM(Settings!$C$7)),IF(AND(ISNUMBER($K301),N($K301)&lt;&gt;0),1/$K301,""),""))))</f>
        <v/>
      </c>
      <c r="AI301" s="55" t="str">
        <f>IF($AM301=0,"",IF(OR(NOT(ISNUMBER($H301)),NOT(ISNUMBER($K301)),NOT(ISNUMBER($G301)),$AG301="",$AH301=""),"",ROUND(($K301-$H301)*IF($F301="Short",-1,1)*$G301*$AG301*$AH301,6)))</f>
        <v/>
      </c>
      <c r="AJ301" s="55" t="str">
        <f>IF($AM301=0,"",IF(INDEX(Settings!$E$14:$E$18,$BF301)="% of notional",IF(OR($AG301="",NOT(ISNUMBER($H301)),NOT(ISNUMBER($G301))),"",ROUND(ABS($H301*$G301*$AG301*N($AH301))*IF($L301="Limit",N(INDEX(Settings!$G$14:$G$18,$BF301)),N(INDEX(Settings!$H$14:$H$18,$BF301)))+IF(ISNUMBER($K301),ABS($K301*$G301*$AG301*N($AH301))*IF($M301="Target",N(INDEX(Settings!$G$14:$G$18,$BF301)),N(INDEX(Settings!$H$14:$H$18,$BF301))),0),6)),IF(NOT(ISNUMBER($G301)),"",ROUND(ABS($G301)*2*IF(AND($BE301&gt;0,ISNUMBER(INDEX(Instruments!$G$6:$G$205,MAX(1,$BE301)))),INDEX(Instruments!$G$6:$G$205,MAX(1,$BE301)),N(INDEX(Settings!$F$14:$F$18,$BF301))),6))))</f>
        <v/>
      </c>
      <c r="AK301" s="55" t="str">
        <f>IF($AM301=0,"",IF(ISNUMBER($O301),$O301,$AI301))</f>
        <v/>
      </c>
      <c r="AL301" s="55" t="str">
        <f>IF($AM301=0,"",IF(ISNUMBER($P301),$P301,N($AJ301)))</f>
        <v/>
      </c>
      <c r="AM301" s="56">
        <f>IF(AND($A301&lt;&gt;"",$E301&lt;&gt;"",OR(AND(ISNUMBER($G301),ISNUMBER($H301),ISNUMBER($K301)),ISNUMBER($O301))),1,0)</f>
        <v>0</v>
      </c>
      <c r="AN301" s="57" t="str">
        <f>IF($A301="","",$A301-WEEKDAY($A301,3))</f>
        <v/>
      </c>
      <c r="AO301" s="56" t="str">
        <f>IF($A301="","",WEEKDAY($A301,2))</f>
        <v/>
      </c>
      <c r="AP301" s="55" t="str">
        <f>IF(OR($AM301=0,$C301=""),"",IFERROR(N(INDEX(Accounts!$E$7:$E$16,MATCH($C301,Accounts!$B$7:$B$16,0))),0)+SUMIFS($Q$6:$Q301,$C$6:$C301,$C301))</f>
        <v/>
      </c>
      <c r="AQ301" s="55" t="str">
        <f>IF(OR($AM301=0,$C301=""),"",SUMIFS($Q$6:$Q$1005,$C$6:$C$1005,$C301,$A$6:$A$1005,$A301))</f>
        <v/>
      </c>
      <c r="AR301" s="55" t="str">
        <f>IF(OR($AM301=0,$C301=""),"",IFERROR(N(INDEX(Accounts!$E$7:$E$16,MATCH($C301,Accounts!$B$7:$B$16,0))),0)+SUMIFS($Q$6:$Q$1005,$C$6:$C$1005,$C301,$A$6:$A$1005,"&lt;="&amp;$A301))</f>
        <v/>
      </c>
      <c r="AS301" s="56">
        <f>IF(OR($AM301=0,$Q301=""),0,IF(AND($A301&gt;=Lists!$W$6,$A301&lt;=Lists!$W$7,OR(Dashboard!$D$6="All accounts",$C301=Dashboard!$D$6),OR(Dashboard!$D$7="All markets",$AF301=Dashboard!$D$7)),1,0))</f>
        <v>0</v>
      </c>
      <c r="AT301" s="55">
        <f>IF($AS301=1,N(AT300)+$Q301,N(AT300))</f>
        <v>1187.10688</v>
      </c>
      <c r="AU301" s="55">
        <f>MAX(N(AU300),$AT301)</f>
        <v>1187.10688</v>
      </c>
      <c r="AV301" s="55">
        <f>$AT301-$AU301</f>
        <v>0</v>
      </c>
      <c r="AW301" s="56">
        <f>IF($AS301=1,IF($S301="Win",N(AW300)+1,IF($S301="Loss",0,N(AW300))),N(AW300))</f>
        <v>5</v>
      </c>
      <c r="AX301" s="56">
        <f>IF($AS301=1,IF($S301="Loss",N(AX300)+1,IF($S301="Win",0,N(AX300))),N(AX300))</f>
        <v>0</v>
      </c>
      <c r="AY301" s="56" t="str">
        <f>IF($AS301=1,COUNTIF($AS$6:$AS301,1),"")</f>
        <v/>
      </c>
      <c r="AZ301" s="56">
        <f>MIN(295,N(Lists!$W$8))</f>
        <v>28</v>
      </c>
      <c r="BA301" s="56">
        <f>IF($AS301=1,IF(COUNTIFS($A$6:$A301,$A301,$AS$6:$AS301,1)=1,1,0),0)</f>
        <v>0</v>
      </c>
      <c r="BB301" s="55" t="str">
        <f>IF($BA301=1,SUMIFS($Q$6:$Q$1005,$A$6:$A$1005,$A301,$AS$6:$AS$1005,1),"")</f>
        <v/>
      </c>
      <c r="BC301" s="56">
        <f>IF(ISNUMBER($R301),1,0)</f>
        <v>0</v>
      </c>
      <c r="BD301" s="55" t="str">
        <f>IF(ISNUMBER($U301),$U301*$V301,"")</f>
        <v/>
      </c>
      <c r="BE301" s="56" t="str">
        <f>IF($AM301=0,"",IFERROR(MATCH($AF301&amp;"|"&amp;UPPER(TRIM($E301)),Lists!$A$6:$A$205,0),0))</f>
        <v/>
      </c>
      <c r="BF301" s="56" t="str">
        <f>IF($AM301=0,"",IFERROR(MATCH($AF301,Settings!$B$14:$B$18,0),IFERROR(MATCH(Settings!$C$6,Settings!$B$14:$B$18,0),1)))</f>
        <v/>
      </c>
      <c r="BG301" s="58" t="str">
        <f>IF($AM301=0,"",IF(NOT(ISNUMBER($I301)),"No stop; ","")&amp;IF(AND(ISNUMBER($H301),ISNUMBER($I301)),IF(OR(AND($F301&lt;&gt;"Short",$I301&gt;=$H301),AND($F301="Short",$I301&lt;=$H301)),"Stop on wrong side; ",""),"")&amp;IF($F301="","No direction; ","")&amp;IF(AND(ISNUMBER(Settings!$C$22),ISNUMBER($V301)),IF($V301&gt;Settings!$C$22,"Risk over max $; ",""),"")&amp;IF(AND(ISNUMBER(Settings!$C$23),ISNUMBER($V301),ISNUMBER($AP301),IFERROR(N(INDEX(Accounts!$E$7:$E$16,MATCH($C301,Accounts!$B$7:$B$16,0))),0)&gt;0),IF($V301&gt;Settings!$C$23*($AP301-N($Q301)),"Risk over max %; ",""),"")&amp;IF(AND(ISNUMBER(Settings!$C$24),ISNUMBER($N301)),IF($N301&gt;Settings!$C$24,"Leverage over max; ",""),"")&amp;IF(AND(ISNUMBER(Settings!$C$27),ISNUMBER($T301)),IF($T301&lt;Settings!$C$27,"R:R below min; ",""),"")&amp;IF(ISNUMBER(Settings!$C$25),IF(COUNTIFS($A$6:$A301,$A301,$AM$6:$AM301,1)&gt;Settings!$C$25,"Over max trades/day; ",""),"")&amp;IF(ISNUMBER(Settings!$C$26),IF(SUMIFS($Q$5:$Q300,$A$5:$A300,$A301)&lt;=-Settings!$C$26,"Traded after daily max loss; ",""),"")&amp;IF(AND($AG301="",NOT(ISNUMBER($O301))),"Symbol not in Instruments; ","")&amp;IF(AND($AH301="",NOT(ISNUMBER($O301))),"Forex cross: type Gross P&amp;L; ",""))</f>
        <v/>
      </c>
      <c r="BH301" s="56">
        <f>IF(ISNUMBER($Q301),1,0)</f>
        <v>0</v>
      </c>
      <c r="BI301" s="56">
        <f>IF($Y301="",0,1)</f>
        <v>0</v>
      </c>
      <c r="BJ301" s="56">
        <f>IF($AB301="",0,1)</f>
        <v>0</v>
      </c>
      <c r="BK301" s="56">
        <f>IF(AND($BH301=1,$W301&lt;&gt;"OK"),1,0)</f>
        <v>0</v>
      </c>
      <c r="BL301" s="55">
        <f>IF(N($AZ301)=0,0,IFERROR(INDEX($AT$6:$AT$1005,MATCH($AZ301,$AY$6:$AY$1005,0)),0))</f>
        <v>1187.10688</v>
      </c>
      <c r="BM301" s="56">
        <f>IF(ISNUMBER(SEARCH("daily max loss",$BG301)),1,0)</f>
        <v>0</v>
      </c>
    </row>
    <row r="302" ht="18" customHeight="1">
      <c r="A302" s="38" t="n"/>
      <c r="B302" s="39" t="n"/>
      <c r="C302" s="40" t="n"/>
      <c r="D302" s="41" t="n"/>
      <c r="E302" s="41" t="n"/>
      <c r="F302" s="41" t="n"/>
      <c r="G302" s="41" t="n"/>
      <c r="H302" s="42" t="n"/>
      <c r="I302" s="42" t="n"/>
      <c r="J302" s="42" t="n"/>
      <c r="K302" s="42" t="n"/>
      <c r="L302" s="41" t="n"/>
      <c r="M302" s="41" t="n"/>
      <c r="N302" s="41" t="n"/>
      <c r="O302" s="43" t="n"/>
      <c r="P302" s="43" t="n"/>
      <c r="Q302" s="44" t="str">
        <f>IF($AM302=0,"",IF(ISNUMBER($AK302),$AK302-N($AL302),""))</f>
        <v/>
      </c>
      <c r="R302" s="45" t="str">
        <f>IF(OR($Q302="",NOT(ISNUMBER($V302))),"",$AK302/$V302)</f>
        <v/>
      </c>
      <c r="S302" s="46" t="str">
        <f>IF($Q302="","",IF(AND(ISNUMBER($R302),ABS(N($R302))&lt;N(Settings!$C$8)),"Scratch",IF($Q302&gt;0,"Win",IF($Q302&lt;0,"Loss","Scratch"))))</f>
        <v/>
      </c>
      <c r="T302" s="47" t="str">
        <f>IF(OR($AM302=0,NOT(ISNUMBER($H302)),NOT(ISNUMBER($I302)),NOT(ISNUMBER($J302))),"",IF($H302=$I302,"",ROUND(ABS($J302-$H302)/ABS($H302-$I302),6)))</f>
        <v/>
      </c>
      <c r="U302" s="48" t="str">
        <f>IF(OR($S302&lt;&gt;"Win",NOT(ISNUMBER($T302)),NOT(ISNUMBER($R302))),"",MAX(0,$T302-$R302))</f>
        <v/>
      </c>
      <c r="V302" s="49" t="str">
        <f>IF(OR($AM302=0,NOT(ISNUMBER($H302)),NOT(ISNUMBER($I302)),NOT(ISNUMBER($G302))),"",IF(OR($AG302="",$AH302=""),"",IF(ROUND(ABS($H302-$I302)*ABS($G302)*$AG302*$AH302,6)=0,"",ROUND(ABS($H302-$I302)*ABS($G302)*$AG302*$AH302,6))))</f>
        <v/>
      </c>
      <c r="W302" s="50" t="str">
        <f>IF($AM302=0,"",IF($BG302="","OK",LEFT($BG302,LEN($BG302)-2)))</f>
        <v/>
      </c>
      <c r="X302" s="41" t="n"/>
      <c r="Y302" s="40" t="n"/>
      <c r="Z302" s="41" t="n"/>
      <c r="AA302" s="41" t="n"/>
      <c r="AB302" s="40" t="n"/>
      <c r="AC302" s="51" t="n"/>
      <c r="AD302" s="51" t="n"/>
      <c r="AE302" s="40" t="n"/>
      <c r="AF302" s="52" t="str">
        <f>IF($AM302=0,"",IF($D302&lt;&gt;"",$D302,IF(IFERROR(INDEX(Accounts!$C$7:$C$16,MATCH($C302,Accounts!$B$7:$B$16,0))&amp;"","")&lt;&gt;"",INDEX(Accounts!$C$7:$C$16,MATCH($C302,Accounts!$B$7:$B$16,0)),Settings!$C$6)))</f>
        <v/>
      </c>
      <c r="AG302" s="53" t="str">
        <f>IF($AM302=0,"",IF(AND($BE302&gt;0,N(INDEX(Instruments!$D$6:$D$205,MAX(1,$BE302)))&gt;0),INDEX(Instruments!$D$6:$D$205,MAX(1,$BE302)),IF(N(INDEX(Settings!$D$14:$D$18,$BF302))&gt;0,INDEX(Settings!$D$14:$D$18,$BF302),"")))</f>
        <v/>
      </c>
      <c r="AH302" s="54" t="str">
        <f>IF($AM302=0,"",IF($AF302&lt;&gt;"Forex",1,IF(MID(UPPER(SUBSTITUTE(TRIM($E302),"/","")),4,3)=UPPER(TRIM(Settings!$C$7)),1,IF(LEFT(UPPER(SUBSTITUTE(TRIM($E302),"/","")),3)=UPPER(TRIM(Settings!$C$7)),IF(AND(ISNUMBER($K302),N($K302)&lt;&gt;0),1/$K302,""),""))))</f>
        <v/>
      </c>
      <c r="AI302" s="55" t="str">
        <f>IF($AM302=0,"",IF(OR(NOT(ISNUMBER($H302)),NOT(ISNUMBER($K302)),NOT(ISNUMBER($G302)),$AG302="",$AH302=""),"",ROUND(($K302-$H302)*IF($F302="Short",-1,1)*$G302*$AG302*$AH302,6)))</f>
        <v/>
      </c>
      <c r="AJ302" s="55" t="str">
        <f>IF($AM302=0,"",IF(INDEX(Settings!$E$14:$E$18,$BF302)="% of notional",IF(OR($AG302="",NOT(ISNUMBER($H302)),NOT(ISNUMBER($G302))),"",ROUND(ABS($H302*$G302*$AG302*N($AH302))*IF($L302="Limit",N(INDEX(Settings!$G$14:$G$18,$BF302)),N(INDEX(Settings!$H$14:$H$18,$BF302)))+IF(ISNUMBER($K302),ABS($K302*$G302*$AG302*N($AH302))*IF($M302="Target",N(INDEX(Settings!$G$14:$G$18,$BF302)),N(INDEX(Settings!$H$14:$H$18,$BF302))),0),6)),IF(NOT(ISNUMBER($G302)),"",ROUND(ABS($G302)*2*IF(AND($BE302&gt;0,ISNUMBER(INDEX(Instruments!$G$6:$G$205,MAX(1,$BE302)))),INDEX(Instruments!$G$6:$G$205,MAX(1,$BE302)),N(INDEX(Settings!$F$14:$F$18,$BF302))),6))))</f>
        <v/>
      </c>
      <c r="AK302" s="55" t="str">
        <f>IF($AM302=0,"",IF(ISNUMBER($O302),$O302,$AI302))</f>
        <v/>
      </c>
      <c r="AL302" s="55" t="str">
        <f>IF($AM302=0,"",IF(ISNUMBER($P302),$P302,N($AJ302)))</f>
        <v/>
      </c>
      <c r="AM302" s="56">
        <f>IF(AND($A302&lt;&gt;"",$E302&lt;&gt;"",OR(AND(ISNUMBER($G302),ISNUMBER($H302),ISNUMBER($K302)),ISNUMBER($O302))),1,0)</f>
        <v>0</v>
      </c>
      <c r="AN302" s="57" t="str">
        <f>IF($A302="","",$A302-WEEKDAY($A302,3))</f>
        <v/>
      </c>
      <c r="AO302" s="56" t="str">
        <f>IF($A302="","",WEEKDAY($A302,2))</f>
        <v/>
      </c>
      <c r="AP302" s="55" t="str">
        <f>IF(OR($AM302=0,$C302=""),"",IFERROR(N(INDEX(Accounts!$E$7:$E$16,MATCH($C302,Accounts!$B$7:$B$16,0))),0)+SUMIFS($Q$6:$Q302,$C$6:$C302,$C302))</f>
        <v/>
      </c>
      <c r="AQ302" s="55" t="str">
        <f>IF(OR($AM302=0,$C302=""),"",SUMIFS($Q$6:$Q$1005,$C$6:$C$1005,$C302,$A$6:$A$1005,$A302))</f>
        <v/>
      </c>
      <c r="AR302" s="55" t="str">
        <f>IF(OR($AM302=0,$C302=""),"",IFERROR(N(INDEX(Accounts!$E$7:$E$16,MATCH($C302,Accounts!$B$7:$B$16,0))),0)+SUMIFS($Q$6:$Q$1005,$C$6:$C$1005,$C302,$A$6:$A$1005,"&lt;="&amp;$A302))</f>
        <v/>
      </c>
      <c r="AS302" s="56">
        <f>IF(OR($AM302=0,$Q302=""),0,IF(AND($A302&gt;=Lists!$W$6,$A302&lt;=Lists!$W$7,OR(Dashboard!$D$6="All accounts",$C302=Dashboard!$D$6),OR(Dashboard!$D$7="All markets",$AF302=Dashboard!$D$7)),1,0))</f>
        <v>0</v>
      </c>
      <c r="AT302" s="55">
        <f>IF($AS302=1,N(AT301)+$Q302,N(AT301))</f>
        <v>1187.10688</v>
      </c>
      <c r="AU302" s="55">
        <f>MAX(N(AU301),$AT302)</f>
        <v>1187.10688</v>
      </c>
      <c r="AV302" s="55">
        <f>$AT302-$AU302</f>
        <v>0</v>
      </c>
      <c r="AW302" s="56">
        <f>IF($AS302=1,IF($S302="Win",N(AW301)+1,IF($S302="Loss",0,N(AW301))),N(AW301))</f>
        <v>5</v>
      </c>
      <c r="AX302" s="56">
        <f>IF($AS302=1,IF($S302="Loss",N(AX301)+1,IF($S302="Win",0,N(AX301))),N(AX301))</f>
        <v>0</v>
      </c>
      <c r="AY302" s="56" t="str">
        <f>IF($AS302=1,COUNTIF($AS$6:$AS302,1),"")</f>
        <v/>
      </c>
      <c r="AZ302" s="56">
        <f>MIN(296,N(Lists!$W$8))</f>
        <v>28</v>
      </c>
      <c r="BA302" s="56">
        <f>IF($AS302=1,IF(COUNTIFS($A$6:$A302,$A302,$AS$6:$AS302,1)=1,1,0),0)</f>
        <v>0</v>
      </c>
      <c r="BB302" s="55" t="str">
        <f>IF($BA302=1,SUMIFS($Q$6:$Q$1005,$A$6:$A$1005,$A302,$AS$6:$AS$1005,1),"")</f>
        <v/>
      </c>
      <c r="BC302" s="56">
        <f>IF(ISNUMBER($R302),1,0)</f>
        <v>0</v>
      </c>
      <c r="BD302" s="55" t="str">
        <f>IF(ISNUMBER($U302),$U302*$V302,"")</f>
        <v/>
      </c>
      <c r="BE302" s="56" t="str">
        <f>IF($AM302=0,"",IFERROR(MATCH($AF302&amp;"|"&amp;UPPER(TRIM($E302)),Lists!$A$6:$A$205,0),0))</f>
        <v/>
      </c>
      <c r="BF302" s="56" t="str">
        <f>IF($AM302=0,"",IFERROR(MATCH($AF302,Settings!$B$14:$B$18,0),IFERROR(MATCH(Settings!$C$6,Settings!$B$14:$B$18,0),1)))</f>
        <v/>
      </c>
      <c r="BG302" s="58" t="str">
        <f>IF($AM302=0,"",IF(NOT(ISNUMBER($I302)),"No stop; ","")&amp;IF(AND(ISNUMBER($H302),ISNUMBER($I302)),IF(OR(AND($F302&lt;&gt;"Short",$I302&gt;=$H302),AND($F302="Short",$I302&lt;=$H302)),"Stop on wrong side; ",""),"")&amp;IF($F302="","No direction; ","")&amp;IF(AND(ISNUMBER(Settings!$C$22),ISNUMBER($V302)),IF($V302&gt;Settings!$C$22,"Risk over max $; ",""),"")&amp;IF(AND(ISNUMBER(Settings!$C$23),ISNUMBER($V302),ISNUMBER($AP302),IFERROR(N(INDEX(Accounts!$E$7:$E$16,MATCH($C302,Accounts!$B$7:$B$16,0))),0)&gt;0),IF($V302&gt;Settings!$C$23*($AP302-N($Q302)),"Risk over max %; ",""),"")&amp;IF(AND(ISNUMBER(Settings!$C$24),ISNUMBER($N302)),IF($N302&gt;Settings!$C$24,"Leverage over max; ",""),"")&amp;IF(AND(ISNUMBER(Settings!$C$27),ISNUMBER($T302)),IF($T302&lt;Settings!$C$27,"R:R below min; ",""),"")&amp;IF(ISNUMBER(Settings!$C$25),IF(COUNTIFS($A$6:$A302,$A302,$AM$6:$AM302,1)&gt;Settings!$C$25,"Over max trades/day; ",""),"")&amp;IF(ISNUMBER(Settings!$C$26),IF(SUMIFS($Q$5:$Q301,$A$5:$A301,$A302)&lt;=-Settings!$C$26,"Traded after daily max loss; ",""),"")&amp;IF(AND($AG302="",NOT(ISNUMBER($O302))),"Symbol not in Instruments; ","")&amp;IF(AND($AH302="",NOT(ISNUMBER($O302))),"Forex cross: type Gross P&amp;L; ",""))</f>
        <v/>
      </c>
      <c r="BH302" s="56">
        <f>IF(ISNUMBER($Q302),1,0)</f>
        <v>0</v>
      </c>
      <c r="BI302" s="56">
        <f>IF($Y302="",0,1)</f>
        <v>0</v>
      </c>
      <c r="BJ302" s="56">
        <f>IF($AB302="",0,1)</f>
        <v>0</v>
      </c>
      <c r="BK302" s="56">
        <f>IF(AND($BH302=1,$W302&lt;&gt;"OK"),1,0)</f>
        <v>0</v>
      </c>
      <c r="BL302" s="55">
        <f>IF(N($AZ302)=0,0,IFERROR(INDEX($AT$6:$AT$1005,MATCH($AZ302,$AY$6:$AY$1005,0)),0))</f>
        <v>1187.10688</v>
      </c>
      <c r="BM302" s="56">
        <f>IF(ISNUMBER(SEARCH("daily max loss",$BG302)),1,0)</f>
        <v>0</v>
      </c>
    </row>
    <row r="303" ht="18" customHeight="1">
      <c r="A303" s="38" t="n"/>
      <c r="B303" s="39" t="n"/>
      <c r="C303" s="40" t="n"/>
      <c r="D303" s="41" t="n"/>
      <c r="E303" s="41" t="n"/>
      <c r="F303" s="41" t="n"/>
      <c r="G303" s="41" t="n"/>
      <c r="H303" s="42" t="n"/>
      <c r="I303" s="42" t="n"/>
      <c r="J303" s="42" t="n"/>
      <c r="K303" s="42" t="n"/>
      <c r="L303" s="41" t="n"/>
      <c r="M303" s="41" t="n"/>
      <c r="N303" s="41" t="n"/>
      <c r="O303" s="43" t="n"/>
      <c r="P303" s="43" t="n"/>
      <c r="Q303" s="44" t="str">
        <f>IF($AM303=0,"",IF(ISNUMBER($AK303),$AK303-N($AL303),""))</f>
        <v/>
      </c>
      <c r="R303" s="45" t="str">
        <f>IF(OR($Q303="",NOT(ISNUMBER($V303))),"",$AK303/$V303)</f>
        <v/>
      </c>
      <c r="S303" s="46" t="str">
        <f>IF($Q303="","",IF(AND(ISNUMBER($R303),ABS(N($R303))&lt;N(Settings!$C$8)),"Scratch",IF($Q303&gt;0,"Win",IF($Q303&lt;0,"Loss","Scratch"))))</f>
        <v/>
      </c>
      <c r="T303" s="47" t="str">
        <f>IF(OR($AM303=0,NOT(ISNUMBER($H303)),NOT(ISNUMBER($I303)),NOT(ISNUMBER($J303))),"",IF($H303=$I303,"",ROUND(ABS($J303-$H303)/ABS($H303-$I303),6)))</f>
        <v/>
      </c>
      <c r="U303" s="48" t="str">
        <f>IF(OR($S303&lt;&gt;"Win",NOT(ISNUMBER($T303)),NOT(ISNUMBER($R303))),"",MAX(0,$T303-$R303))</f>
        <v/>
      </c>
      <c r="V303" s="49" t="str">
        <f>IF(OR($AM303=0,NOT(ISNUMBER($H303)),NOT(ISNUMBER($I303)),NOT(ISNUMBER($G303))),"",IF(OR($AG303="",$AH303=""),"",IF(ROUND(ABS($H303-$I303)*ABS($G303)*$AG303*$AH303,6)=0,"",ROUND(ABS($H303-$I303)*ABS($G303)*$AG303*$AH303,6))))</f>
        <v/>
      </c>
      <c r="W303" s="50" t="str">
        <f>IF($AM303=0,"",IF($BG303="","OK",LEFT($BG303,LEN($BG303)-2)))</f>
        <v/>
      </c>
      <c r="X303" s="41" t="n"/>
      <c r="Y303" s="40" t="n"/>
      <c r="Z303" s="41" t="n"/>
      <c r="AA303" s="41" t="n"/>
      <c r="AB303" s="40" t="n"/>
      <c r="AC303" s="51" t="n"/>
      <c r="AD303" s="51" t="n"/>
      <c r="AE303" s="40" t="n"/>
      <c r="AF303" s="52" t="str">
        <f>IF($AM303=0,"",IF($D303&lt;&gt;"",$D303,IF(IFERROR(INDEX(Accounts!$C$7:$C$16,MATCH($C303,Accounts!$B$7:$B$16,0))&amp;"","")&lt;&gt;"",INDEX(Accounts!$C$7:$C$16,MATCH($C303,Accounts!$B$7:$B$16,0)),Settings!$C$6)))</f>
        <v/>
      </c>
      <c r="AG303" s="53" t="str">
        <f>IF($AM303=0,"",IF(AND($BE303&gt;0,N(INDEX(Instruments!$D$6:$D$205,MAX(1,$BE303)))&gt;0),INDEX(Instruments!$D$6:$D$205,MAX(1,$BE303)),IF(N(INDEX(Settings!$D$14:$D$18,$BF303))&gt;0,INDEX(Settings!$D$14:$D$18,$BF303),"")))</f>
        <v/>
      </c>
      <c r="AH303" s="54" t="str">
        <f>IF($AM303=0,"",IF($AF303&lt;&gt;"Forex",1,IF(MID(UPPER(SUBSTITUTE(TRIM($E303),"/","")),4,3)=UPPER(TRIM(Settings!$C$7)),1,IF(LEFT(UPPER(SUBSTITUTE(TRIM($E303),"/","")),3)=UPPER(TRIM(Settings!$C$7)),IF(AND(ISNUMBER($K303),N($K303)&lt;&gt;0),1/$K303,""),""))))</f>
        <v/>
      </c>
      <c r="AI303" s="55" t="str">
        <f>IF($AM303=0,"",IF(OR(NOT(ISNUMBER($H303)),NOT(ISNUMBER($K303)),NOT(ISNUMBER($G303)),$AG303="",$AH303=""),"",ROUND(($K303-$H303)*IF($F303="Short",-1,1)*$G303*$AG303*$AH303,6)))</f>
        <v/>
      </c>
      <c r="AJ303" s="55" t="str">
        <f>IF($AM303=0,"",IF(INDEX(Settings!$E$14:$E$18,$BF303)="% of notional",IF(OR($AG303="",NOT(ISNUMBER($H303)),NOT(ISNUMBER($G303))),"",ROUND(ABS($H303*$G303*$AG303*N($AH303))*IF($L303="Limit",N(INDEX(Settings!$G$14:$G$18,$BF303)),N(INDEX(Settings!$H$14:$H$18,$BF303)))+IF(ISNUMBER($K303),ABS($K303*$G303*$AG303*N($AH303))*IF($M303="Target",N(INDEX(Settings!$G$14:$G$18,$BF303)),N(INDEX(Settings!$H$14:$H$18,$BF303))),0),6)),IF(NOT(ISNUMBER($G303)),"",ROUND(ABS($G303)*2*IF(AND($BE303&gt;0,ISNUMBER(INDEX(Instruments!$G$6:$G$205,MAX(1,$BE303)))),INDEX(Instruments!$G$6:$G$205,MAX(1,$BE303)),N(INDEX(Settings!$F$14:$F$18,$BF303))),6))))</f>
        <v/>
      </c>
      <c r="AK303" s="55" t="str">
        <f>IF($AM303=0,"",IF(ISNUMBER($O303),$O303,$AI303))</f>
        <v/>
      </c>
      <c r="AL303" s="55" t="str">
        <f>IF($AM303=0,"",IF(ISNUMBER($P303),$P303,N($AJ303)))</f>
        <v/>
      </c>
      <c r="AM303" s="56">
        <f>IF(AND($A303&lt;&gt;"",$E303&lt;&gt;"",OR(AND(ISNUMBER($G303),ISNUMBER($H303),ISNUMBER($K303)),ISNUMBER($O303))),1,0)</f>
        <v>0</v>
      </c>
      <c r="AN303" s="57" t="str">
        <f>IF($A303="","",$A303-WEEKDAY($A303,3))</f>
        <v/>
      </c>
      <c r="AO303" s="56" t="str">
        <f>IF($A303="","",WEEKDAY($A303,2))</f>
        <v/>
      </c>
      <c r="AP303" s="55" t="str">
        <f>IF(OR($AM303=0,$C303=""),"",IFERROR(N(INDEX(Accounts!$E$7:$E$16,MATCH($C303,Accounts!$B$7:$B$16,0))),0)+SUMIFS($Q$6:$Q303,$C$6:$C303,$C303))</f>
        <v/>
      </c>
      <c r="AQ303" s="55" t="str">
        <f>IF(OR($AM303=0,$C303=""),"",SUMIFS($Q$6:$Q$1005,$C$6:$C$1005,$C303,$A$6:$A$1005,$A303))</f>
        <v/>
      </c>
      <c r="AR303" s="55" t="str">
        <f>IF(OR($AM303=0,$C303=""),"",IFERROR(N(INDEX(Accounts!$E$7:$E$16,MATCH($C303,Accounts!$B$7:$B$16,0))),0)+SUMIFS($Q$6:$Q$1005,$C$6:$C$1005,$C303,$A$6:$A$1005,"&lt;="&amp;$A303))</f>
        <v/>
      </c>
      <c r="AS303" s="56">
        <f>IF(OR($AM303=0,$Q303=""),0,IF(AND($A303&gt;=Lists!$W$6,$A303&lt;=Lists!$W$7,OR(Dashboard!$D$6="All accounts",$C303=Dashboard!$D$6),OR(Dashboard!$D$7="All markets",$AF303=Dashboard!$D$7)),1,0))</f>
        <v>0</v>
      </c>
      <c r="AT303" s="55">
        <f>IF($AS303=1,N(AT302)+$Q303,N(AT302))</f>
        <v>1187.10688</v>
      </c>
      <c r="AU303" s="55">
        <f>MAX(N(AU302),$AT303)</f>
        <v>1187.10688</v>
      </c>
      <c r="AV303" s="55">
        <f>$AT303-$AU303</f>
        <v>0</v>
      </c>
      <c r="AW303" s="56">
        <f>IF($AS303=1,IF($S303="Win",N(AW302)+1,IF($S303="Loss",0,N(AW302))),N(AW302))</f>
        <v>5</v>
      </c>
      <c r="AX303" s="56">
        <f>IF($AS303=1,IF($S303="Loss",N(AX302)+1,IF($S303="Win",0,N(AX302))),N(AX302))</f>
        <v>0</v>
      </c>
      <c r="AY303" s="56" t="str">
        <f>IF($AS303=1,COUNTIF($AS$6:$AS303,1),"")</f>
        <v/>
      </c>
      <c r="AZ303" s="56">
        <f>MIN(297,N(Lists!$W$8))</f>
        <v>28</v>
      </c>
      <c r="BA303" s="56">
        <f>IF($AS303=1,IF(COUNTIFS($A$6:$A303,$A303,$AS$6:$AS303,1)=1,1,0),0)</f>
        <v>0</v>
      </c>
      <c r="BB303" s="55" t="str">
        <f>IF($BA303=1,SUMIFS($Q$6:$Q$1005,$A$6:$A$1005,$A303,$AS$6:$AS$1005,1),"")</f>
        <v/>
      </c>
      <c r="BC303" s="56">
        <f>IF(ISNUMBER($R303),1,0)</f>
        <v>0</v>
      </c>
      <c r="BD303" s="55" t="str">
        <f>IF(ISNUMBER($U303),$U303*$V303,"")</f>
        <v/>
      </c>
      <c r="BE303" s="56" t="str">
        <f>IF($AM303=0,"",IFERROR(MATCH($AF303&amp;"|"&amp;UPPER(TRIM($E303)),Lists!$A$6:$A$205,0),0))</f>
        <v/>
      </c>
      <c r="BF303" s="56" t="str">
        <f>IF($AM303=0,"",IFERROR(MATCH($AF303,Settings!$B$14:$B$18,0),IFERROR(MATCH(Settings!$C$6,Settings!$B$14:$B$18,0),1)))</f>
        <v/>
      </c>
      <c r="BG303" s="58" t="str">
        <f>IF($AM303=0,"",IF(NOT(ISNUMBER($I303)),"No stop; ","")&amp;IF(AND(ISNUMBER($H303),ISNUMBER($I303)),IF(OR(AND($F303&lt;&gt;"Short",$I303&gt;=$H303),AND($F303="Short",$I303&lt;=$H303)),"Stop on wrong side; ",""),"")&amp;IF($F303="","No direction; ","")&amp;IF(AND(ISNUMBER(Settings!$C$22),ISNUMBER($V303)),IF($V303&gt;Settings!$C$22,"Risk over max $; ",""),"")&amp;IF(AND(ISNUMBER(Settings!$C$23),ISNUMBER($V303),ISNUMBER($AP303),IFERROR(N(INDEX(Accounts!$E$7:$E$16,MATCH($C303,Accounts!$B$7:$B$16,0))),0)&gt;0),IF($V303&gt;Settings!$C$23*($AP303-N($Q303)),"Risk over max %; ",""),"")&amp;IF(AND(ISNUMBER(Settings!$C$24),ISNUMBER($N303)),IF($N303&gt;Settings!$C$24,"Leverage over max; ",""),"")&amp;IF(AND(ISNUMBER(Settings!$C$27),ISNUMBER($T303)),IF($T303&lt;Settings!$C$27,"R:R below min; ",""),"")&amp;IF(ISNUMBER(Settings!$C$25),IF(COUNTIFS($A$6:$A303,$A303,$AM$6:$AM303,1)&gt;Settings!$C$25,"Over max trades/day; ",""),"")&amp;IF(ISNUMBER(Settings!$C$26),IF(SUMIFS($Q$5:$Q302,$A$5:$A302,$A303)&lt;=-Settings!$C$26,"Traded after daily max loss; ",""),"")&amp;IF(AND($AG303="",NOT(ISNUMBER($O303))),"Symbol not in Instruments; ","")&amp;IF(AND($AH303="",NOT(ISNUMBER($O303))),"Forex cross: type Gross P&amp;L; ",""))</f>
        <v/>
      </c>
      <c r="BH303" s="56">
        <f>IF(ISNUMBER($Q303),1,0)</f>
        <v>0</v>
      </c>
      <c r="BI303" s="56">
        <f>IF($Y303="",0,1)</f>
        <v>0</v>
      </c>
      <c r="BJ303" s="56">
        <f>IF($AB303="",0,1)</f>
        <v>0</v>
      </c>
      <c r="BK303" s="56">
        <f>IF(AND($BH303=1,$W303&lt;&gt;"OK"),1,0)</f>
        <v>0</v>
      </c>
      <c r="BL303" s="55">
        <f>IF(N($AZ303)=0,0,IFERROR(INDEX($AT$6:$AT$1005,MATCH($AZ303,$AY$6:$AY$1005,0)),0))</f>
        <v>1187.10688</v>
      </c>
      <c r="BM303" s="56">
        <f>IF(ISNUMBER(SEARCH("daily max loss",$BG303)),1,0)</f>
        <v>0</v>
      </c>
    </row>
    <row r="304" ht="18" customHeight="1">
      <c r="A304" s="38" t="n"/>
      <c r="B304" s="39" t="n"/>
      <c r="C304" s="40" t="n"/>
      <c r="D304" s="41" t="n"/>
      <c r="E304" s="41" t="n"/>
      <c r="F304" s="41" t="n"/>
      <c r="G304" s="41" t="n"/>
      <c r="H304" s="42" t="n"/>
      <c r="I304" s="42" t="n"/>
      <c r="J304" s="42" t="n"/>
      <c r="K304" s="42" t="n"/>
      <c r="L304" s="41" t="n"/>
      <c r="M304" s="41" t="n"/>
      <c r="N304" s="41" t="n"/>
      <c r="O304" s="43" t="n"/>
      <c r="P304" s="43" t="n"/>
      <c r="Q304" s="44" t="str">
        <f>IF($AM304=0,"",IF(ISNUMBER($AK304),$AK304-N($AL304),""))</f>
        <v/>
      </c>
      <c r="R304" s="45" t="str">
        <f>IF(OR($Q304="",NOT(ISNUMBER($V304))),"",$AK304/$V304)</f>
        <v/>
      </c>
      <c r="S304" s="46" t="str">
        <f>IF($Q304="","",IF(AND(ISNUMBER($R304),ABS(N($R304))&lt;N(Settings!$C$8)),"Scratch",IF($Q304&gt;0,"Win",IF($Q304&lt;0,"Loss","Scratch"))))</f>
        <v/>
      </c>
      <c r="T304" s="47" t="str">
        <f>IF(OR($AM304=0,NOT(ISNUMBER($H304)),NOT(ISNUMBER($I304)),NOT(ISNUMBER($J304))),"",IF($H304=$I304,"",ROUND(ABS($J304-$H304)/ABS($H304-$I304),6)))</f>
        <v/>
      </c>
      <c r="U304" s="48" t="str">
        <f>IF(OR($S304&lt;&gt;"Win",NOT(ISNUMBER($T304)),NOT(ISNUMBER($R304))),"",MAX(0,$T304-$R304))</f>
        <v/>
      </c>
      <c r="V304" s="49" t="str">
        <f>IF(OR($AM304=0,NOT(ISNUMBER($H304)),NOT(ISNUMBER($I304)),NOT(ISNUMBER($G304))),"",IF(OR($AG304="",$AH304=""),"",IF(ROUND(ABS($H304-$I304)*ABS($G304)*$AG304*$AH304,6)=0,"",ROUND(ABS($H304-$I304)*ABS($G304)*$AG304*$AH304,6))))</f>
        <v/>
      </c>
      <c r="W304" s="50" t="str">
        <f>IF($AM304=0,"",IF($BG304="","OK",LEFT($BG304,LEN($BG304)-2)))</f>
        <v/>
      </c>
      <c r="X304" s="41" t="n"/>
      <c r="Y304" s="40" t="n"/>
      <c r="Z304" s="41" t="n"/>
      <c r="AA304" s="41" t="n"/>
      <c r="AB304" s="40" t="n"/>
      <c r="AC304" s="51" t="n"/>
      <c r="AD304" s="51" t="n"/>
      <c r="AE304" s="40" t="n"/>
      <c r="AF304" s="52" t="str">
        <f>IF($AM304=0,"",IF($D304&lt;&gt;"",$D304,IF(IFERROR(INDEX(Accounts!$C$7:$C$16,MATCH($C304,Accounts!$B$7:$B$16,0))&amp;"","")&lt;&gt;"",INDEX(Accounts!$C$7:$C$16,MATCH($C304,Accounts!$B$7:$B$16,0)),Settings!$C$6)))</f>
        <v/>
      </c>
      <c r="AG304" s="53" t="str">
        <f>IF($AM304=0,"",IF(AND($BE304&gt;0,N(INDEX(Instruments!$D$6:$D$205,MAX(1,$BE304)))&gt;0),INDEX(Instruments!$D$6:$D$205,MAX(1,$BE304)),IF(N(INDEX(Settings!$D$14:$D$18,$BF304))&gt;0,INDEX(Settings!$D$14:$D$18,$BF304),"")))</f>
        <v/>
      </c>
      <c r="AH304" s="54" t="str">
        <f>IF($AM304=0,"",IF($AF304&lt;&gt;"Forex",1,IF(MID(UPPER(SUBSTITUTE(TRIM($E304),"/","")),4,3)=UPPER(TRIM(Settings!$C$7)),1,IF(LEFT(UPPER(SUBSTITUTE(TRIM($E304),"/","")),3)=UPPER(TRIM(Settings!$C$7)),IF(AND(ISNUMBER($K304),N($K304)&lt;&gt;0),1/$K304,""),""))))</f>
        <v/>
      </c>
      <c r="AI304" s="55" t="str">
        <f>IF($AM304=0,"",IF(OR(NOT(ISNUMBER($H304)),NOT(ISNUMBER($K304)),NOT(ISNUMBER($G304)),$AG304="",$AH304=""),"",ROUND(($K304-$H304)*IF($F304="Short",-1,1)*$G304*$AG304*$AH304,6)))</f>
        <v/>
      </c>
      <c r="AJ304" s="55" t="str">
        <f>IF($AM304=0,"",IF(INDEX(Settings!$E$14:$E$18,$BF304)="% of notional",IF(OR($AG304="",NOT(ISNUMBER($H304)),NOT(ISNUMBER($G304))),"",ROUND(ABS($H304*$G304*$AG304*N($AH304))*IF($L304="Limit",N(INDEX(Settings!$G$14:$G$18,$BF304)),N(INDEX(Settings!$H$14:$H$18,$BF304)))+IF(ISNUMBER($K304),ABS($K304*$G304*$AG304*N($AH304))*IF($M304="Target",N(INDEX(Settings!$G$14:$G$18,$BF304)),N(INDEX(Settings!$H$14:$H$18,$BF304))),0),6)),IF(NOT(ISNUMBER($G304)),"",ROUND(ABS($G304)*2*IF(AND($BE304&gt;0,ISNUMBER(INDEX(Instruments!$G$6:$G$205,MAX(1,$BE304)))),INDEX(Instruments!$G$6:$G$205,MAX(1,$BE304)),N(INDEX(Settings!$F$14:$F$18,$BF304))),6))))</f>
        <v/>
      </c>
      <c r="AK304" s="55" t="str">
        <f>IF($AM304=0,"",IF(ISNUMBER($O304),$O304,$AI304))</f>
        <v/>
      </c>
      <c r="AL304" s="55" t="str">
        <f>IF($AM304=0,"",IF(ISNUMBER($P304),$P304,N($AJ304)))</f>
        <v/>
      </c>
      <c r="AM304" s="56">
        <f>IF(AND($A304&lt;&gt;"",$E304&lt;&gt;"",OR(AND(ISNUMBER($G304),ISNUMBER($H304),ISNUMBER($K304)),ISNUMBER($O304))),1,0)</f>
        <v>0</v>
      </c>
      <c r="AN304" s="57" t="str">
        <f>IF($A304="","",$A304-WEEKDAY($A304,3))</f>
        <v/>
      </c>
      <c r="AO304" s="56" t="str">
        <f>IF($A304="","",WEEKDAY($A304,2))</f>
        <v/>
      </c>
      <c r="AP304" s="55" t="str">
        <f>IF(OR($AM304=0,$C304=""),"",IFERROR(N(INDEX(Accounts!$E$7:$E$16,MATCH($C304,Accounts!$B$7:$B$16,0))),0)+SUMIFS($Q$6:$Q304,$C$6:$C304,$C304))</f>
        <v/>
      </c>
      <c r="AQ304" s="55" t="str">
        <f>IF(OR($AM304=0,$C304=""),"",SUMIFS($Q$6:$Q$1005,$C$6:$C$1005,$C304,$A$6:$A$1005,$A304))</f>
        <v/>
      </c>
      <c r="AR304" s="55" t="str">
        <f>IF(OR($AM304=0,$C304=""),"",IFERROR(N(INDEX(Accounts!$E$7:$E$16,MATCH($C304,Accounts!$B$7:$B$16,0))),0)+SUMIFS($Q$6:$Q$1005,$C$6:$C$1005,$C304,$A$6:$A$1005,"&lt;="&amp;$A304))</f>
        <v/>
      </c>
      <c r="AS304" s="56">
        <f>IF(OR($AM304=0,$Q304=""),0,IF(AND($A304&gt;=Lists!$W$6,$A304&lt;=Lists!$W$7,OR(Dashboard!$D$6="All accounts",$C304=Dashboard!$D$6),OR(Dashboard!$D$7="All markets",$AF304=Dashboard!$D$7)),1,0))</f>
        <v>0</v>
      </c>
      <c r="AT304" s="55">
        <f>IF($AS304=1,N(AT303)+$Q304,N(AT303))</f>
        <v>1187.10688</v>
      </c>
      <c r="AU304" s="55">
        <f>MAX(N(AU303),$AT304)</f>
        <v>1187.10688</v>
      </c>
      <c r="AV304" s="55">
        <f>$AT304-$AU304</f>
        <v>0</v>
      </c>
      <c r="AW304" s="56">
        <f>IF($AS304=1,IF($S304="Win",N(AW303)+1,IF($S304="Loss",0,N(AW303))),N(AW303))</f>
        <v>5</v>
      </c>
      <c r="AX304" s="56">
        <f>IF($AS304=1,IF($S304="Loss",N(AX303)+1,IF($S304="Win",0,N(AX303))),N(AX303))</f>
        <v>0</v>
      </c>
      <c r="AY304" s="56" t="str">
        <f>IF($AS304=1,COUNTIF($AS$6:$AS304,1),"")</f>
        <v/>
      </c>
      <c r="AZ304" s="56">
        <f>MIN(298,N(Lists!$W$8))</f>
        <v>28</v>
      </c>
      <c r="BA304" s="56">
        <f>IF($AS304=1,IF(COUNTIFS($A$6:$A304,$A304,$AS$6:$AS304,1)=1,1,0),0)</f>
        <v>0</v>
      </c>
      <c r="BB304" s="55" t="str">
        <f>IF($BA304=1,SUMIFS($Q$6:$Q$1005,$A$6:$A$1005,$A304,$AS$6:$AS$1005,1),"")</f>
        <v/>
      </c>
      <c r="BC304" s="56">
        <f>IF(ISNUMBER($R304),1,0)</f>
        <v>0</v>
      </c>
      <c r="BD304" s="55" t="str">
        <f>IF(ISNUMBER($U304),$U304*$V304,"")</f>
        <v/>
      </c>
      <c r="BE304" s="56" t="str">
        <f>IF($AM304=0,"",IFERROR(MATCH($AF304&amp;"|"&amp;UPPER(TRIM($E304)),Lists!$A$6:$A$205,0),0))</f>
        <v/>
      </c>
      <c r="BF304" s="56" t="str">
        <f>IF($AM304=0,"",IFERROR(MATCH($AF304,Settings!$B$14:$B$18,0),IFERROR(MATCH(Settings!$C$6,Settings!$B$14:$B$18,0),1)))</f>
        <v/>
      </c>
      <c r="BG304" s="58" t="str">
        <f>IF($AM304=0,"",IF(NOT(ISNUMBER($I304)),"No stop; ","")&amp;IF(AND(ISNUMBER($H304),ISNUMBER($I304)),IF(OR(AND($F304&lt;&gt;"Short",$I304&gt;=$H304),AND($F304="Short",$I304&lt;=$H304)),"Stop on wrong side; ",""),"")&amp;IF($F304="","No direction; ","")&amp;IF(AND(ISNUMBER(Settings!$C$22),ISNUMBER($V304)),IF($V304&gt;Settings!$C$22,"Risk over max $; ",""),"")&amp;IF(AND(ISNUMBER(Settings!$C$23),ISNUMBER($V304),ISNUMBER($AP304),IFERROR(N(INDEX(Accounts!$E$7:$E$16,MATCH($C304,Accounts!$B$7:$B$16,0))),0)&gt;0),IF($V304&gt;Settings!$C$23*($AP304-N($Q304)),"Risk over max %; ",""),"")&amp;IF(AND(ISNUMBER(Settings!$C$24),ISNUMBER($N304)),IF($N304&gt;Settings!$C$24,"Leverage over max; ",""),"")&amp;IF(AND(ISNUMBER(Settings!$C$27),ISNUMBER($T304)),IF($T304&lt;Settings!$C$27,"R:R below min; ",""),"")&amp;IF(ISNUMBER(Settings!$C$25),IF(COUNTIFS($A$6:$A304,$A304,$AM$6:$AM304,1)&gt;Settings!$C$25,"Over max trades/day; ",""),"")&amp;IF(ISNUMBER(Settings!$C$26),IF(SUMIFS($Q$5:$Q303,$A$5:$A303,$A304)&lt;=-Settings!$C$26,"Traded after daily max loss; ",""),"")&amp;IF(AND($AG304="",NOT(ISNUMBER($O304))),"Symbol not in Instruments; ","")&amp;IF(AND($AH304="",NOT(ISNUMBER($O304))),"Forex cross: type Gross P&amp;L; ",""))</f>
        <v/>
      </c>
      <c r="BH304" s="56">
        <f>IF(ISNUMBER($Q304),1,0)</f>
        <v>0</v>
      </c>
      <c r="BI304" s="56">
        <f>IF($Y304="",0,1)</f>
        <v>0</v>
      </c>
      <c r="BJ304" s="56">
        <f>IF($AB304="",0,1)</f>
        <v>0</v>
      </c>
      <c r="BK304" s="56">
        <f>IF(AND($BH304=1,$W304&lt;&gt;"OK"),1,0)</f>
        <v>0</v>
      </c>
      <c r="BL304" s="55">
        <f>IF(N($AZ304)=0,0,IFERROR(INDEX($AT$6:$AT$1005,MATCH($AZ304,$AY$6:$AY$1005,0)),0))</f>
        <v>1187.10688</v>
      </c>
      <c r="BM304" s="56">
        <f>IF(ISNUMBER(SEARCH("daily max loss",$BG304)),1,0)</f>
        <v>0</v>
      </c>
    </row>
    <row r="305" ht="18" customHeight="1">
      <c r="A305" s="38" t="n"/>
      <c r="B305" s="39" t="n"/>
      <c r="C305" s="40" t="n"/>
      <c r="D305" s="41" t="n"/>
      <c r="E305" s="41" t="n"/>
      <c r="F305" s="41" t="n"/>
      <c r="G305" s="41" t="n"/>
      <c r="H305" s="42" t="n"/>
      <c r="I305" s="42" t="n"/>
      <c r="J305" s="42" t="n"/>
      <c r="K305" s="42" t="n"/>
      <c r="L305" s="41" t="n"/>
      <c r="M305" s="41" t="n"/>
      <c r="N305" s="41" t="n"/>
      <c r="O305" s="43" t="n"/>
      <c r="P305" s="43" t="n"/>
      <c r="Q305" s="44" t="str">
        <f>IF($AM305=0,"",IF(ISNUMBER($AK305),$AK305-N($AL305),""))</f>
        <v/>
      </c>
      <c r="R305" s="45" t="str">
        <f>IF(OR($Q305="",NOT(ISNUMBER($V305))),"",$AK305/$V305)</f>
        <v/>
      </c>
      <c r="S305" s="46" t="str">
        <f>IF($Q305="","",IF(AND(ISNUMBER($R305),ABS(N($R305))&lt;N(Settings!$C$8)),"Scratch",IF($Q305&gt;0,"Win",IF($Q305&lt;0,"Loss","Scratch"))))</f>
        <v/>
      </c>
      <c r="T305" s="47" t="str">
        <f>IF(OR($AM305=0,NOT(ISNUMBER($H305)),NOT(ISNUMBER($I305)),NOT(ISNUMBER($J305))),"",IF($H305=$I305,"",ROUND(ABS($J305-$H305)/ABS($H305-$I305),6)))</f>
        <v/>
      </c>
      <c r="U305" s="48" t="str">
        <f>IF(OR($S305&lt;&gt;"Win",NOT(ISNUMBER($T305)),NOT(ISNUMBER($R305))),"",MAX(0,$T305-$R305))</f>
        <v/>
      </c>
      <c r="V305" s="49" t="str">
        <f>IF(OR($AM305=0,NOT(ISNUMBER($H305)),NOT(ISNUMBER($I305)),NOT(ISNUMBER($G305))),"",IF(OR($AG305="",$AH305=""),"",IF(ROUND(ABS($H305-$I305)*ABS($G305)*$AG305*$AH305,6)=0,"",ROUND(ABS($H305-$I305)*ABS($G305)*$AG305*$AH305,6))))</f>
        <v/>
      </c>
      <c r="W305" s="50" t="str">
        <f>IF($AM305=0,"",IF($BG305="","OK",LEFT($BG305,LEN($BG305)-2)))</f>
        <v/>
      </c>
      <c r="X305" s="41" t="n"/>
      <c r="Y305" s="40" t="n"/>
      <c r="Z305" s="41" t="n"/>
      <c r="AA305" s="41" t="n"/>
      <c r="AB305" s="40" t="n"/>
      <c r="AC305" s="51" t="n"/>
      <c r="AD305" s="51" t="n"/>
      <c r="AE305" s="40" t="n"/>
      <c r="AF305" s="52" t="str">
        <f>IF($AM305=0,"",IF($D305&lt;&gt;"",$D305,IF(IFERROR(INDEX(Accounts!$C$7:$C$16,MATCH($C305,Accounts!$B$7:$B$16,0))&amp;"","")&lt;&gt;"",INDEX(Accounts!$C$7:$C$16,MATCH($C305,Accounts!$B$7:$B$16,0)),Settings!$C$6)))</f>
        <v/>
      </c>
      <c r="AG305" s="53" t="str">
        <f>IF($AM305=0,"",IF(AND($BE305&gt;0,N(INDEX(Instruments!$D$6:$D$205,MAX(1,$BE305)))&gt;0),INDEX(Instruments!$D$6:$D$205,MAX(1,$BE305)),IF(N(INDEX(Settings!$D$14:$D$18,$BF305))&gt;0,INDEX(Settings!$D$14:$D$18,$BF305),"")))</f>
        <v/>
      </c>
      <c r="AH305" s="54" t="str">
        <f>IF($AM305=0,"",IF($AF305&lt;&gt;"Forex",1,IF(MID(UPPER(SUBSTITUTE(TRIM($E305),"/","")),4,3)=UPPER(TRIM(Settings!$C$7)),1,IF(LEFT(UPPER(SUBSTITUTE(TRIM($E305),"/","")),3)=UPPER(TRIM(Settings!$C$7)),IF(AND(ISNUMBER($K305),N($K305)&lt;&gt;0),1/$K305,""),""))))</f>
        <v/>
      </c>
      <c r="AI305" s="55" t="str">
        <f>IF($AM305=0,"",IF(OR(NOT(ISNUMBER($H305)),NOT(ISNUMBER($K305)),NOT(ISNUMBER($G305)),$AG305="",$AH305=""),"",ROUND(($K305-$H305)*IF($F305="Short",-1,1)*$G305*$AG305*$AH305,6)))</f>
        <v/>
      </c>
      <c r="AJ305" s="55" t="str">
        <f>IF($AM305=0,"",IF(INDEX(Settings!$E$14:$E$18,$BF305)="% of notional",IF(OR($AG305="",NOT(ISNUMBER($H305)),NOT(ISNUMBER($G305))),"",ROUND(ABS($H305*$G305*$AG305*N($AH305))*IF($L305="Limit",N(INDEX(Settings!$G$14:$G$18,$BF305)),N(INDEX(Settings!$H$14:$H$18,$BF305)))+IF(ISNUMBER($K305),ABS($K305*$G305*$AG305*N($AH305))*IF($M305="Target",N(INDEX(Settings!$G$14:$G$18,$BF305)),N(INDEX(Settings!$H$14:$H$18,$BF305))),0),6)),IF(NOT(ISNUMBER($G305)),"",ROUND(ABS($G305)*2*IF(AND($BE305&gt;0,ISNUMBER(INDEX(Instruments!$G$6:$G$205,MAX(1,$BE305)))),INDEX(Instruments!$G$6:$G$205,MAX(1,$BE305)),N(INDEX(Settings!$F$14:$F$18,$BF305))),6))))</f>
        <v/>
      </c>
      <c r="AK305" s="55" t="str">
        <f>IF($AM305=0,"",IF(ISNUMBER($O305),$O305,$AI305))</f>
        <v/>
      </c>
      <c r="AL305" s="55" t="str">
        <f>IF($AM305=0,"",IF(ISNUMBER($P305),$P305,N($AJ305)))</f>
        <v/>
      </c>
      <c r="AM305" s="56">
        <f>IF(AND($A305&lt;&gt;"",$E305&lt;&gt;"",OR(AND(ISNUMBER($G305),ISNUMBER($H305),ISNUMBER($K305)),ISNUMBER($O305))),1,0)</f>
        <v>0</v>
      </c>
      <c r="AN305" s="57" t="str">
        <f>IF($A305="","",$A305-WEEKDAY($A305,3))</f>
        <v/>
      </c>
      <c r="AO305" s="56" t="str">
        <f>IF($A305="","",WEEKDAY($A305,2))</f>
        <v/>
      </c>
      <c r="AP305" s="55" t="str">
        <f>IF(OR($AM305=0,$C305=""),"",IFERROR(N(INDEX(Accounts!$E$7:$E$16,MATCH($C305,Accounts!$B$7:$B$16,0))),0)+SUMIFS($Q$6:$Q305,$C$6:$C305,$C305))</f>
        <v/>
      </c>
      <c r="AQ305" s="55" t="str">
        <f>IF(OR($AM305=0,$C305=""),"",SUMIFS($Q$6:$Q$1005,$C$6:$C$1005,$C305,$A$6:$A$1005,$A305))</f>
        <v/>
      </c>
      <c r="AR305" s="55" t="str">
        <f>IF(OR($AM305=0,$C305=""),"",IFERROR(N(INDEX(Accounts!$E$7:$E$16,MATCH($C305,Accounts!$B$7:$B$16,0))),0)+SUMIFS($Q$6:$Q$1005,$C$6:$C$1005,$C305,$A$6:$A$1005,"&lt;="&amp;$A305))</f>
        <v/>
      </c>
      <c r="AS305" s="56">
        <f>IF(OR($AM305=0,$Q305=""),0,IF(AND($A305&gt;=Lists!$W$6,$A305&lt;=Lists!$W$7,OR(Dashboard!$D$6="All accounts",$C305=Dashboard!$D$6),OR(Dashboard!$D$7="All markets",$AF305=Dashboard!$D$7)),1,0))</f>
        <v>0</v>
      </c>
      <c r="AT305" s="55">
        <f>IF($AS305=1,N(AT304)+$Q305,N(AT304))</f>
        <v>1187.10688</v>
      </c>
      <c r="AU305" s="55">
        <f>MAX(N(AU304),$AT305)</f>
        <v>1187.10688</v>
      </c>
      <c r="AV305" s="55">
        <f>$AT305-$AU305</f>
        <v>0</v>
      </c>
      <c r="AW305" s="56">
        <f>IF($AS305=1,IF($S305="Win",N(AW304)+1,IF($S305="Loss",0,N(AW304))),N(AW304))</f>
        <v>5</v>
      </c>
      <c r="AX305" s="56">
        <f>IF($AS305=1,IF($S305="Loss",N(AX304)+1,IF($S305="Win",0,N(AX304))),N(AX304))</f>
        <v>0</v>
      </c>
      <c r="AY305" s="56" t="str">
        <f>IF($AS305=1,COUNTIF($AS$6:$AS305,1),"")</f>
        <v/>
      </c>
      <c r="AZ305" s="56">
        <f>MIN(299,N(Lists!$W$8))</f>
        <v>28</v>
      </c>
      <c r="BA305" s="56">
        <f>IF($AS305=1,IF(COUNTIFS($A$6:$A305,$A305,$AS$6:$AS305,1)=1,1,0),0)</f>
        <v>0</v>
      </c>
      <c r="BB305" s="55" t="str">
        <f>IF($BA305=1,SUMIFS($Q$6:$Q$1005,$A$6:$A$1005,$A305,$AS$6:$AS$1005,1),"")</f>
        <v/>
      </c>
      <c r="BC305" s="56">
        <f>IF(ISNUMBER($R305),1,0)</f>
        <v>0</v>
      </c>
      <c r="BD305" s="55" t="str">
        <f>IF(ISNUMBER($U305),$U305*$V305,"")</f>
        <v/>
      </c>
      <c r="BE305" s="56" t="str">
        <f>IF($AM305=0,"",IFERROR(MATCH($AF305&amp;"|"&amp;UPPER(TRIM($E305)),Lists!$A$6:$A$205,0),0))</f>
        <v/>
      </c>
      <c r="BF305" s="56" t="str">
        <f>IF($AM305=0,"",IFERROR(MATCH($AF305,Settings!$B$14:$B$18,0),IFERROR(MATCH(Settings!$C$6,Settings!$B$14:$B$18,0),1)))</f>
        <v/>
      </c>
      <c r="BG305" s="58" t="str">
        <f>IF($AM305=0,"",IF(NOT(ISNUMBER($I305)),"No stop; ","")&amp;IF(AND(ISNUMBER($H305),ISNUMBER($I305)),IF(OR(AND($F305&lt;&gt;"Short",$I305&gt;=$H305),AND($F305="Short",$I305&lt;=$H305)),"Stop on wrong side; ",""),"")&amp;IF($F305="","No direction; ","")&amp;IF(AND(ISNUMBER(Settings!$C$22),ISNUMBER($V305)),IF($V305&gt;Settings!$C$22,"Risk over max $; ",""),"")&amp;IF(AND(ISNUMBER(Settings!$C$23),ISNUMBER($V305),ISNUMBER($AP305),IFERROR(N(INDEX(Accounts!$E$7:$E$16,MATCH($C305,Accounts!$B$7:$B$16,0))),0)&gt;0),IF($V305&gt;Settings!$C$23*($AP305-N($Q305)),"Risk over max %; ",""),"")&amp;IF(AND(ISNUMBER(Settings!$C$24),ISNUMBER($N305)),IF($N305&gt;Settings!$C$24,"Leverage over max; ",""),"")&amp;IF(AND(ISNUMBER(Settings!$C$27),ISNUMBER($T305)),IF($T305&lt;Settings!$C$27,"R:R below min; ",""),"")&amp;IF(ISNUMBER(Settings!$C$25),IF(COUNTIFS($A$6:$A305,$A305,$AM$6:$AM305,1)&gt;Settings!$C$25,"Over max trades/day; ",""),"")&amp;IF(ISNUMBER(Settings!$C$26),IF(SUMIFS($Q$5:$Q304,$A$5:$A304,$A305)&lt;=-Settings!$C$26,"Traded after daily max loss; ",""),"")&amp;IF(AND($AG305="",NOT(ISNUMBER($O305))),"Symbol not in Instruments; ","")&amp;IF(AND($AH305="",NOT(ISNUMBER($O305))),"Forex cross: type Gross P&amp;L; ",""))</f>
        <v/>
      </c>
      <c r="BH305" s="56">
        <f>IF(ISNUMBER($Q305),1,0)</f>
        <v>0</v>
      </c>
      <c r="BI305" s="56">
        <f>IF($Y305="",0,1)</f>
        <v>0</v>
      </c>
      <c r="BJ305" s="56">
        <f>IF($AB305="",0,1)</f>
        <v>0</v>
      </c>
      <c r="BK305" s="56">
        <f>IF(AND($BH305=1,$W305&lt;&gt;"OK"),1,0)</f>
        <v>0</v>
      </c>
      <c r="BL305" s="55">
        <f>IF(N($AZ305)=0,0,IFERROR(INDEX($AT$6:$AT$1005,MATCH($AZ305,$AY$6:$AY$1005,0)),0))</f>
        <v>1187.10688</v>
      </c>
      <c r="BM305" s="56">
        <f>IF(ISNUMBER(SEARCH("daily max loss",$BG305)),1,0)</f>
        <v>0</v>
      </c>
    </row>
    <row r="306" ht="18" customHeight="1">
      <c r="A306" s="38" t="n"/>
      <c r="B306" s="39" t="n"/>
      <c r="C306" s="40" t="n"/>
      <c r="D306" s="41" t="n"/>
      <c r="E306" s="41" t="n"/>
      <c r="F306" s="41" t="n"/>
      <c r="G306" s="41" t="n"/>
      <c r="H306" s="42" t="n"/>
      <c r="I306" s="42" t="n"/>
      <c r="J306" s="42" t="n"/>
      <c r="K306" s="42" t="n"/>
      <c r="L306" s="41" t="n"/>
      <c r="M306" s="41" t="n"/>
      <c r="N306" s="41" t="n"/>
      <c r="O306" s="43" t="n"/>
      <c r="P306" s="43" t="n"/>
      <c r="Q306" s="44" t="str">
        <f>IF($AM306=0,"",IF(ISNUMBER($AK306),$AK306-N($AL306),""))</f>
        <v/>
      </c>
      <c r="R306" s="45" t="str">
        <f>IF(OR($Q306="",NOT(ISNUMBER($V306))),"",$AK306/$V306)</f>
        <v/>
      </c>
      <c r="S306" s="46" t="str">
        <f>IF($Q306="","",IF(AND(ISNUMBER($R306),ABS(N($R306))&lt;N(Settings!$C$8)),"Scratch",IF($Q306&gt;0,"Win",IF($Q306&lt;0,"Loss","Scratch"))))</f>
        <v/>
      </c>
      <c r="T306" s="47" t="str">
        <f>IF(OR($AM306=0,NOT(ISNUMBER($H306)),NOT(ISNUMBER($I306)),NOT(ISNUMBER($J306))),"",IF($H306=$I306,"",ROUND(ABS($J306-$H306)/ABS($H306-$I306),6)))</f>
        <v/>
      </c>
      <c r="U306" s="48" t="str">
        <f>IF(OR($S306&lt;&gt;"Win",NOT(ISNUMBER($T306)),NOT(ISNUMBER($R306))),"",MAX(0,$T306-$R306))</f>
        <v/>
      </c>
      <c r="V306" s="49" t="str">
        <f>IF(OR($AM306=0,NOT(ISNUMBER($H306)),NOT(ISNUMBER($I306)),NOT(ISNUMBER($G306))),"",IF(OR($AG306="",$AH306=""),"",IF(ROUND(ABS($H306-$I306)*ABS($G306)*$AG306*$AH306,6)=0,"",ROUND(ABS($H306-$I306)*ABS($G306)*$AG306*$AH306,6))))</f>
        <v/>
      </c>
      <c r="W306" s="50" t="str">
        <f>IF($AM306=0,"",IF($BG306="","OK",LEFT($BG306,LEN($BG306)-2)))</f>
        <v/>
      </c>
      <c r="X306" s="41" t="n"/>
      <c r="Y306" s="40" t="n"/>
      <c r="Z306" s="41" t="n"/>
      <c r="AA306" s="41" t="n"/>
      <c r="AB306" s="40" t="n"/>
      <c r="AC306" s="51" t="n"/>
      <c r="AD306" s="51" t="n"/>
      <c r="AE306" s="40" t="n"/>
      <c r="AF306" s="52" t="str">
        <f>IF($AM306=0,"",IF($D306&lt;&gt;"",$D306,IF(IFERROR(INDEX(Accounts!$C$7:$C$16,MATCH($C306,Accounts!$B$7:$B$16,0))&amp;"","")&lt;&gt;"",INDEX(Accounts!$C$7:$C$16,MATCH($C306,Accounts!$B$7:$B$16,0)),Settings!$C$6)))</f>
        <v/>
      </c>
      <c r="AG306" s="53" t="str">
        <f>IF($AM306=0,"",IF(AND($BE306&gt;0,N(INDEX(Instruments!$D$6:$D$205,MAX(1,$BE306)))&gt;0),INDEX(Instruments!$D$6:$D$205,MAX(1,$BE306)),IF(N(INDEX(Settings!$D$14:$D$18,$BF306))&gt;0,INDEX(Settings!$D$14:$D$18,$BF306),"")))</f>
        <v/>
      </c>
      <c r="AH306" s="54" t="str">
        <f>IF($AM306=0,"",IF($AF306&lt;&gt;"Forex",1,IF(MID(UPPER(SUBSTITUTE(TRIM($E306),"/","")),4,3)=UPPER(TRIM(Settings!$C$7)),1,IF(LEFT(UPPER(SUBSTITUTE(TRIM($E306),"/","")),3)=UPPER(TRIM(Settings!$C$7)),IF(AND(ISNUMBER($K306),N($K306)&lt;&gt;0),1/$K306,""),""))))</f>
        <v/>
      </c>
      <c r="AI306" s="55" t="str">
        <f>IF($AM306=0,"",IF(OR(NOT(ISNUMBER($H306)),NOT(ISNUMBER($K306)),NOT(ISNUMBER($G306)),$AG306="",$AH306=""),"",ROUND(($K306-$H306)*IF($F306="Short",-1,1)*$G306*$AG306*$AH306,6)))</f>
        <v/>
      </c>
      <c r="AJ306" s="55" t="str">
        <f>IF($AM306=0,"",IF(INDEX(Settings!$E$14:$E$18,$BF306)="% of notional",IF(OR($AG306="",NOT(ISNUMBER($H306)),NOT(ISNUMBER($G306))),"",ROUND(ABS($H306*$G306*$AG306*N($AH306))*IF($L306="Limit",N(INDEX(Settings!$G$14:$G$18,$BF306)),N(INDEX(Settings!$H$14:$H$18,$BF306)))+IF(ISNUMBER($K306),ABS($K306*$G306*$AG306*N($AH306))*IF($M306="Target",N(INDEX(Settings!$G$14:$G$18,$BF306)),N(INDEX(Settings!$H$14:$H$18,$BF306))),0),6)),IF(NOT(ISNUMBER($G306)),"",ROUND(ABS($G306)*2*IF(AND($BE306&gt;0,ISNUMBER(INDEX(Instruments!$G$6:$G$205,MAX(1,$BE306)))),INDEX(Instruments!$G$6:$G$205,MAX(1,$BE306)),N(INDEX(Settings!$F$14:$F$18,$BF306))),6))))</f>
        <v/>
      </c>
      <c r="AK306" s="55" t="str">
        <f>IF($AM306=0,"",IF(ISNUMBER($O306),$O306,$AI306))</f>
        <v/>
      </c>
      <c r="AL306" s="55" t="str">
        <f>IF($AM306=0,"",IF(ISNUMBER($P306),$P306,N($AJ306)))</f>
        <v/>
      </c>
      <c r="AM306" s="56">
        <f>IF(AND($A306&lt;&gt;"",$E306&lt;&gt;"",OR(AND(ISNUMBER($G306),ISNUMBER($H306),ISNUMBER($K306)),ISNUMBER($O306))),1,0)</f>
        <v>0</v>
      </c>
      <c r="AN306" s="57" t="str">
        <f>IF($A306="","",$A306-WEEKDAY($A306,3))</f>
        <v/>
      </c>
      <c r="AO306" s="56" t="str">
        <f>IF($A306="","",WEEKDAY($A306,2))</f>
        <v/>
      </c>
      <c r="AP306" s="55" t="str">
        <f>IF(OR($AM306=0,$C306=""),"",IFERROR(N(INDEX(Accounts!$E$7:$E$16,MATCH($C306,Accounts!$B$7:$B$16,0))),0)+SUMIFS($Q$6:$Q306,$C$6:$C306,$C306))</f>
        <v/>
      </c>
      <c r="AQ306" s="55" t="str">
        <f>IF(OR($AM306=0,$C306=""),"",SUMIFS($Q$6:$Q$1005,$C$6:$C$1005,$C306,$A$6:$A$1005,$A306))</f>
        <v/>
      </c>
      <c r="AR306" s="55" t="str">
        <f>IF(OR($AM306=0,$C306=""),"",IFERROR(N(INDEX(Accounts!$E$7:$E$16,MATCH($C306,Accounts!$B$7:$B$16,0))),0)+SUMIFS($Q$6:$Q$1005,$C$6:$C$1005,$C306,$A$6:$A$1005,"&lt;="&amp;$A306))</f>
        <v/>
      </c>
      <c r="AS306" s="56">
        <f>IF(OR($AM306=0,$Q306=""),0,IF(AND($A306&gt;=Lists!$W$6,$A306&lt;=Lists!$W$7,OR(Dashboard!$D$6="All accounts",$C306=Dashboard!$D$6),OR(Dashboard!$D$7="All markets",$AF306=Dashboard!$D$7)),1,0))</f>
        <v>0</v>
      </c>
      <c r="AT306" s="55">
        <f>IF($AS306=1,N(AT305)+$Q306,N(AT305))</f>
        <v>1187.10688</v>
      </c>
      <c r="AU306" s="55">
        <f>MAX(N(AU305),$AT306)</f>
        <v>1187.10688</v>
      </c>
      <c r="AV306" s="55">
        <f>$AT306-$AU306</f>
        <v>0</v>
      </c>
      <c r="AW306" s="56">
        <f>IF($AS306=1,IF($S306="Win",N(AW305)+1,IF($S306="Loss",0,N(AW305))),N(AW305))</f>
        <v>5</v>
      </c>
      <c r="AX306" s="56">
        <f>IF($AS306=1,IF($S306="Loss",N(AX305)+1,IF($S306="Win",0,N(AX305))),N(AX305))</f>
        <v>0</v>
      </c>
      <c r="AY306" s="56" t="str">
        <f>IF($AS306=1,COUNTIF($AS$6:$AS306,1),"")</f>
        <v/>
      </c>
      <c r="AZ306" s="56">
        <f>MIN(300,N(Lists!$W$8))</f>
        <v>28</v>
      </c>
      <c r="BA306" s="56">
        <f>IF($AS306=1,IF(COUNTIFS($A$6:$A306,$A306,$AS$6:$AS306,1)=1,1,0),0)</f>
        <v>0</v>
      </c>
      <c r="BB306" s="55" t="str">
        <f>IF($BA306=1,SUMIFS($Q$6:$Q$1005,$A$6:$A$1005,$A306,$AS$6:$AS$1005,1),"")</f>
        <v/>
      </c>
      <c r="BC306" s="56">
        <f>IF(ISNUMBER($R306),1,0)</f>
        <v>0</v>
      </c>
      <c r="BD306" s="55" t="str">
        <f>IF(ISNUMBER($U306),$U306*$V306,"")</f>
        <v/>
      </c>
      <c r="BE306" s="56" t="str">
        <f>IF($AM306=0,"",IFERROR(MATCH($AF306&amp;"|"&amp;UPPER(TRIM($E306)),Lists!$A$6:$A$205,0),0))</f>
        <v/>
      </c>
      <c r="BF306" s="56" t="str">
        <f>IF($AM306=0,"",IFERROR(MATCH($AF306,Settings!$B$14:$B$18,0),IFERROR(MATCH(Settings!$C$6,Settings!$B$14:$B$18,0),1)))</f>
        <v/>
      </c>
      <c r="BG306" s="58" t="str">
        <f>IF($AM306=0,"",IF(NOT(ISNUMBER($I306)),"No stop; ","")&amp;IF(AND(ISNUMBER($H306),ISNUMBER($I306)),IF(OR(AND($F306&lt;&gt;"Short",$I306&gt;=$H306),AND($F306="Short",$I306&lt;=$H306)),"Stop on wrong side; ",""),"")&amp;IF($F306="","No direction; ","")&amp;IF(AND(ISNUMBER(Settings!$C$22),ISNUMBER($V306)),IF($V306&gt;Settings!$C$22,"Risk over max $; ",""),"")&amp;IF(AND(ISNUMBER(Settings!$C$23),ISNUMBER($V306),ISNUMBER($AP306),IFERROR(N(INDEX(Accounts!$E$7:$E$16,MATCH($C306,Accounts!$B$7:$B$16,0))),0)&gt;0),IF($V306&gt;Settings!$C$23*($AP306-N($Q306)),"Risk over max %; ",""),"")&amp;IF(AND(ISNUMBER(Settings!$C$24),ISNUMBER($N306)),IF($N306&gt;Settings!$C$24,"Leverage over max; ",""),"")&amp;IF(AND(ISNUMBER(Settings!$C$27),ISNUMBER($T306)),IF($T306&lt;Settings!$C$27,"R:R below min; ",""),"")&amp;IF(ISNUMBER(Settings!$C$25),IF(COUNTIFS($A$6:$A306,$A306,$AM$6:$AM306,1)&gt;Settings!$C$25,"Over max trades/day; ",""),"")&amp;IF(ISNUMBER(Settings!$C$26),IF(SUMIFS($Q$5:$Q305,$A$5:$A305,$A306)&lt;=-Settings!$C$26,"Traded after daily max loss; ",""),"")&amp;IF(AND($AG306="",NOT(ISNUMBER($O306))),"Symbol not in Instruments; ","")&amp;IF(AND($AH306="",NOT(ISNUMBER($O306))),"Forex cross: type Gross P&amp;L; ",""))</f>
        <v/>
      </c>
      <c r="BH306" s="56">
        <f>IF(ISNUMBER($Q306),1,0)</f>
        <v>0</v>
      </c>
      <c r="BI306" s="56">
        <f>IF($Y306="",0,1)</f>
        <v>0</v>
      </c>
      <c r="BJ306" s="56">
        <f>IF($AB306="",0,1)</f>
        <v>0</v>
      </c>
      <c r="BK306" s="56">
        <f>IF(AND($BH306=1,$W306&lt;&gt;"OK"),1,0)</f>
        <v>0</v>
      </c>
      <c r="BL306" s="55">
        <f>IF(N($AZ306)=0,0,IFERROR(INDEX($AT$6:$AT$1005,MATCH($AZ306,$AY$6:$AY$1005,0)),0))</f>
        <v>1187.10688</v>
      </c>
      <c r="BM306" s="56">
        <f>IF(ISNUMBER(SEARCH("daily max loss",$BG306)),1,0)</f>
        <v>0</v>
      </c>
    </row>
    <row r="307" ht="18" customHeight="1">
      <c r="A307" s="38" t="n"/>
      <c r="B307" s="39" t="n"/>
      <c r="C307" s="40" t="n"/>
      <c r="D307" s="41" t="n"/>
      <c r="E307" s="41" t="n"/>
      <c r="F307" s="41" t="n"/>
      <c r="G307" s="41" t="n"/>
      <c r="H307" s="42" t="n"/>
      <c r="I307" s="42" t="n"/>
      <c r="J307" s="42" t="n"/>
      <c r="K307" s="42" t="n"/>
      <c r="L307" s="41" t="n"/>
      <c r="M307" s="41" t="n"/>
      <c r="N307" s="41" t="n"/>
      <c r="O307" s="43" t="n"/>
      <c r="P307" s="43" t="n"/>
      <c r="Q307" s="44" t="str">
        <f>IF($AM307=0,"",IF(ISNUMBER($AK307),$AK307-N($AL307),""))</f>
        <v/>
      </c>
      <c r="R307" s="45" t="str">
        <f>IF(OR($Q307="",NOT(ISNUMBER($V307))),"",$AK307/$V307)</f>
        <v/>
      </c>
      <c r="S307" s="46" t="str">
        <f>IF($Q307="","",IF(AND(ISNUMBER($R307),ABS(N($R307))&lt;N(Settings!$C$8)),"Scratch",IF($Q307&gt;0,"Win",IF($Q307&lt;0,"Loss","Scratch"))))</f>
        <v/>
      </c>
      <c r="T307" s="47" t="str">
        <f>IF(OR($AM307=0,NOT(ISNUMBER($H307)),NOT(ISNUMBER($I307)),NOT(ISNUMBER($J307))),"",IF($H307=$I307,"",ROUND(ABS($J307-$H307)/ABS($H307-$I307),6)))</f>
        <v/>
      </c>
      <c r="U307" s="48" t="str">
        <f>IF(OR($S307&lt;&gt;"Win",NOT(ISNUMBER($T307)),NOT(ISNUMBER($R307))),"",MAX(0,$T307-$R307))</f>
        <v/>
      </c>
      <c r="V307" s="49" t="str">
        <f>IF(OR($AM307=0,NOT(ISNUMBER($H307)),NOT(ISNUMBER($I307)),NOT(ISNUMBER($G307))),"",IF(OR($AG307="",$AH307=""),"",IF(ROUND(ABS($H307-$I307)*ABS($G307)*$AG307*$AH307,6)=0,"",ROUND(ABS($H307-$I307)*ABS($G307)*$AG307*$AH307,6))))</f>
        <v/>
      </c>
      <c r="W307" s="50" t="str">
        <f>IF($AM307=0,"",IF($BG307="","OK",LEFT($BG307,LEN($BG307)-2)))</f>
        <v/>
      </c>
      <c r="X307" s="41" t="n"/>
      <c r="Y307" s="40" t="n"/>
      <c r="Z307" s="41" t="n"/>
      <c r="AA307" s="41" t="n"/>
      <c r="AB307" s="40" t="n"/>
      <c r="AC307" s="51" t="n"/>
      <c r="AD307" s="51" t="n"/>
      <c r="AE307" s="40" t="n"/>
      <c r="AF307" s="52" t="str">
        <f>IF($AM307=0,"",IF($D307&lt;&gt;"",$D307,IF(IFERROR(INDEX(Accounts!$C$7:$C$16,MATCH($C307,Accounts!$B$7:$B$16,0))&amp;"","")&lt;&gt;"",INDEX(Accounts!$C$7:$C$16,MATCH($C307,Accounts!$B$7:$B$16,0)),Settings!$C$6)))</f>
        <v/>
      </c>
      <c r="AG307" s="53" t="str">
        <f>IF($AM307=0,"",IF(AND($BE307&gt;0,N(INDEX(Instruments!$D$6:$D$205,MAX(1,$BE307)))&gt;0),INDEX(Instruments!$D$6:$D$205,MAX(1,$BE307)),IF(N(INDEX(Settings!$D$14:$D$18,$BF307))&gt;0,INDEX(Settings!$D$14:$D$18,$BF307),"")))</f>
        <v/>
      </c>
      <c r="AH307" s="54" t="str">
        <f>IF($AM307=0,"",IF($AF307&lt;&gt;"Forex",1,IF(MID(UPPER(SUBSTITUTE(TRIM($E307),"/","")),4,3)=UPPER(TRIM(Settings!$C$7)),1,IF(LEFT(UPPER(SUBSTITUTE(TRIM($E307),"/","")),3)=UPPER(TRIM(Settings!$C$7)),IF(AND(ISNUMBER($K307),N($K307)&lt;&gt;0),1/$K307,""),""))))</f>
        <v/>
      </c>
      <c r="AI307" s="55" t="str">
        <f>IF($AM307=0,"",IF(OR(NOT(ISNUMBER($H307)),NOT(ISNUMBER($K307)),NOT(ISNUMBER($G307)),$AG307="",$AH307=""),"",ROUND(($K307-$H307)*IF($F307="Short",-1,1)*$G307*$AG307*$AH307,6)))</f>
        <v/>
      </c>
      <c r="AJ307" s="55" t="str">
        <f>IF($AM307=0,"",IF(INDEX(Settings!$E$14:$E$18,$BF307)="% of notional",IF(OR($AG307="",NOT(ISNUMBER($H307)),NOT(ISNUMBER($G307))),"",ROUND(ABS($H307*$G307*$AG307*N($AH307))*IF($L307="Limit",N(INDEX(Settings!$G$14:$G$18,$BF307)),N(INDEX(Settings!$H$14:$H$18,$BF307)))+IF(ISNUMBER($K307),ABS($K307*$G307*$AG307*N($AH307))*IF($M307="Target",N(INDEX(Settings!$G$14:$G$18,$BF307)),N(INDEX(Settings!$H$14:$H$18,$BF307))),0),6)),IF(NOT(ISNUMBER($G307)),"",ROUND(ABS($G307)*2*IF(AND($BE307&gt;0,ISNUMBER(INDEX(Instruments!$G$6:$G$205,MAX(1,$BE307)))),INDEX(Instruments!$G$6:$G$205,MAX(1,$BE307)),N(INDEX(Settings!$F$14:$F$18,$BF307))),6))))</f>
        <v/>
      </c>
      <c r="AK307" s="55" t="str">
        <f>IF($AM307=0,"",IF(ISNUMBER($O307),$O307,$AI307))</f>
        <v/>
      </c>
      <c r="AL307" s="55" t="str">
        <f>IF($AM307=0,"",IF(ISNUMBER($P307),$P307,N($AJ307)))</f>
        <v/>
      </c>
      <c r="AM307" s="56">
        <f>IF(AND($A307&lt;&gt;"",$E307&lt;&gt;"",OR(AND(ISNUMBER($G307),ISNUMBER($H307),ISNUMBER($K307)),ISNUMBER($O307))),1,0)</f>
        <v>0</v>
      </c>
      <c r="AN307" s="57" t="str">
        <f>IF($A307="","",$A307-WEEKDAY($A307,3))</f>
        <v/>
      </c>
      <c r="AO307" s="56" t="str">
        <f>IF($A307="","",WEEKDAY($A307,2))</f>
        <v/>
      </c>
      <c r="AP307" s="55" t="str">
        <f>IF(OR($AM307=0,$C307=""),"",IFERROR(N(INDEX(Accounts!$E$7:$E$16,MATCH($C307,Accounts!$B$7:$B$16,0))),0)+SUMIFS($Q$6:$Q307,$C$6:$C307,$C307))</f>
        <v/>
      </c>
      <c r="AQ307" s="55" t="str">
        <f>IF(OR($AM307=0,$C307=""),"",SUMIFS($Q$6:$Q$1005,$C$6:$C$1005,$C307,$A$6:$A$1005,$A307))</f>
        <v/>
      </c>
      <c r="AR307" s="55" t="str">
        <f>IF(OR($AM307=0,$C307=""),"",IFERROR(N(INDEX(Accounts!$E$7:$E$16,MATCH($C307,Accounts!$B$7:$B$16,0))),0)+SUMIFS($Q$6:$Q$1005,$C$6:$C$1005,$C307,$A$6:$A$1005,"&lt;="&amp;$A307))</f>
        <v/>
      </c>
      <c r="AS307" s="56">
        <f>IF(OR($AM307=0,$Q307=""),0,IF(AND($A307&gt;=Lists!$W$6,$A307&lt;=Lists!$W$7,OR(Dashboard!$D$6="All accounts",$C307=Dashboard!$D$6),OR(Dashboard!$D$7="All markets",$AF307=Dashboard!$D$7)),1,0))</f>
        <v>0</v>
      </c>
      <c r="AT307" s="55">
        <f>IF($AS307=1,N(AT306)+$Q307,N(AT306))</f>
        <v>1187.10688</v>
      </c>
      <c r="AU307" s="55">
        <f>MAX(N(AU306),$AT307)</f>
        <v>1187.10688</v>
      </c>
      <c r="AV307" s="55">
        <f>$AT307-$AU307</f>
        <v>0</v>
      </c>
      <c r="AW307" s="56">
        <f>IF($AS307=1,IF($S307="Win",N(AW306)+1,IF($S307="Loss",0,N(AW306))),N(AW306))</f>
        <v>5</v>
      </c>
      <c r="AX307" s="56">
        <f>IF($AS307=1,IF($S307="Loss",N(AX306)+1,IF($S307="Win",0,N(AX306))),N(AX306))</f>
        <v>0</v>
      </c>
      <c r="AY307" s="56" t="str">
        <f>IF($AS307=1,COUNTIF($AS$6:$AS307,1),"")</f>
        <v/>
      </c>
      <c r="AZ307" s="56">
        <f>MIN(301,N(Lists!$W$8))</f>
        <v>28</v>
      </c>
      <c r="BA307" s="56">
        <f>IF($AS307=1,IF(COUNTIFS($A$6:$A307,$A307,$AS$6:$AS307,1)=1,1,0),0)</f>
        <v>0</v>
      </c>
      <c r="BB307" s="55" t="str">
        <f>IF($BA307=1,SUMIFS($Q$6:$Q$1005,$A$6:$A$1005,$A307,$AS$6:$AS$1005,1),"")</f>
        <v/>
      </c>
      <c r="BC307" s="56">
        <f>IF(ISNUMBER($R307),1,0)</f>
        <v>0</v>
      </c>
      <c r="BD307" s="55" t="str">
        <f>IF(ISNUMBER($U307),$U307*$V307,"")</f>
        <v/>
      </c>
      <c r="BE307" s="56" t="str">
        <f>IF($AM307=0,"",IFERROR(MATCH($AF307&amp;"|"&amp;UPPER(TRIM($E307)),Lists!$A$6:$A$205,0),0))</f>
        <v/>
      </c>
      <c r="BF307" s="56" t="str">
        <f>IF($AM307=0,"",IFERROR(MATCH($AF307,Settings!$B$14:$B$18,0),IFERROR(MATCH(Settings!$C$6,Settings!$B$14:$B$18,0),1)))</f>
        <v/>
      </c>
      <c r="BG307" s="58" t="str">
        <f>IF($AM307=0,"",IF(NOT(ISNUMBER($I307)),"No stop; ","")&amp;IF(AND(ISNUMBER($H307),ISNUMBER($I307)),IF(OR(AND($F307&lt;&gt;"Short",$I307&gt;=$H307),AND($F307="Short",$I307&lt;=$H307)),"Stop on wrong side; ",""),"")&amp;IF($F307="","No direction; ","")&amp;IF(AND(ISNUMBER(Settings!$C$22),ISNUMBER($V307)),IF($V307&gt;Settings!$C$22,"Risk over max $; ",""),"")&amp;IF(AND(ISNUMBER(Settings!$C$23),ISNUMBER($V307),ISNUMBER($AP307),IFERROR(N(INDEX(Accounts!$E$7:$E$16,MATCH($C307,Accounts!$B$7:$B$16,0))),0)&gt;0),IF($V307&gt;Settings!$C$23*($AP307-N($Q307)),"Risk over max %; ",""),"")&amp;IF(AND(ISNUMBER(Settings!$C$24),ISNUMBER($N307)),IF($N307&gt;Settings!$C$24,"Leverage over max; ",""),"")&amp;IF(AND(ISNUMBER(Settings!$C$27),ISNUMBER($T307)),IF($T307&lt;Settings!$C$27,"R:R below min; ",""),"")&amp;IF(ISNUMBER(Settings!$C$25),IF(COUNTIFS($A$6:$A307,$A307,$AM$6:$AM307,1)&gt;Settings!$C$25,"Over max trades/day; ",""),"")&amp;IF(ISNUMBER(Settings!$C$26),IF(SUMIFS($Q$5:$Q306,$A$5:$A306,$A307)&lt;=-Settings!$C$26,"Traded after daily max loss; ",""),"")&amp;IF(AND($AG307="",NOT(ISNUMBER($O307))),"Symbol not in Instruments; ","")&amp;IF(AND($AH307="",NOT(ISNUMBER($O307))),"Forex cross: type Gross P&amp;L; ",""))</f>
        <v/>
      </c>
      <c r="BH307" s="56">
        <f>IF(ISNUMBER($Q307),1,0)</f>
        <v>0</v>
      </c>
      <c r="BI307" s="56">
        <f>IF($Y307="",0,1)</f>
        <v>0</v>
      </c>
      <c r="BJ307" s="56">
        <f>IF($AB307="",0,1)</f>
        <v>0</v>
      </c>
      <c r="BK307" s="56">
        <f>IF(AND($BH307=1,$W307&lt;&gt;"OK"),1,0)</f>
        <v>0</v>
      </c>
      <c r="BL307" s="55">
        <f>IF(N($AZ307)=0,0,IFERROR(INDEX($AT$6:$AT$1005,MATCH($AZ307,$AY$6:$AY$1005,0)),0))</f>
        <v>1187.10688</v>
      </c>
      <c r="BM307" s="56">
        <f>IF(ISNUMBER(SEARCH("daily max loss",$BG307)),1,0)</f>
        <v>0</v>
      </c>
    </row>
    <row r="308" ht="18" customHeight="1">
      <c r="A308" s="38" t="n"/>
      <c r="B308" s="39" t="n"/>
      <c r="C308" s="40" t="n"/>
      <c r="D308" s="41" t="n"/>
      <c r="E308" s="41" t="n"/>
      <c r="F308" s="41" t="n"/>
      <c r="G308" s="41" t="n"/>
      <c r="H308" s="42" t="n"/>
      <c r="I308" s="42" t="n"/>
      <c r="J308" s="42" t="n"/>
      <c r="K308" s="42" t="n"/>
      <c r="L308" s="41" t="n"/>
      <c r="M308" s="41" t="n"/>
      <c r="N308" s="41" t="n"/>
      <c r="O308" s="43" t="n"/>
      <c r="P308" s="43" t="n"/>
      <c r="Q308" s="44" t="str">
        <f>IF($AM308=0,"",IF(ISNUMBER($AK308),$AK308-N($AL308),""))</f>
        <v/>
      </c>
      <c r="R308" s="45" t="str">
        <f>IF(OR($Q308="",NOT(ISNUMBER($V308))),"",$AK308/$V308)</f>
        <v/>
      </c>
      <c r="S308" s="46" t="str">
        <f>IF($Q308="","",IF(AND(ISNUMBER($R308),ABS(N($R308))&lt;N(Settings!$C$8)),"Scratch",IF($Q308&gt;0,"Win",IF($Q308&lt;0,"Loss","Scratch"))))</f>
        <v/>
      </c>
      <c r="T308" s="47" t="str">
        <f>IF(OR($AM308=0,NOT(ISNUMBER($H308)),NOT(ISNUMBER($I308)),NOT(ISNUMBER($J308))),"",IF($H308=$I308,"",ROUND(ABS($J308-$H308)/ABS($H308-$I308),6)))</f>
        <v/>
      </c>
      <c r="U308" s="48" t="str">
        <f>IF(OR($S308&lt;&gt;"Win",NOT(ISNUMBER($T308)),NOT(ISNUMBER($R308))),"",MAX(0,$T308-$R308))</f>
        <v/>
      </c>
      <c r="V308" s="49" t="str">
        <f>IF(OR($AM308=0,NOT(ISNUMBER($H308)),NOT(ISNUMBER($I308)),NOT(ISNUMBER($G308))),"",IF(OR($AG308="",$AH308=""),"",IF(ROUND(ABS($H308-$I308)*ABS($G308)*$AG308*$AH308,6)=0,"",ROUND(ABS($H308-$I308)*ABS($G308)*$AG308*$AH308,6))))</f>
        <v/>
      </c>
      <c r="W308" s="50" t="str">
        <f>IF($AM308=0,"",IF($BG308="","OK",LEFT($BG308,LEN($BG308)-2)))</f>
        <v/>
      </c>
      <c r="X308" s="41" t="n"/>
      <c r="Y308" s="40" t="n"/>
      <c r="Z308" s="41" t="n"/>
      <c r="AA308" s="41" t="n"/>
      <c r="AB308" s="40" t="n"/>
      <c r="AC308" s="51" t="n"/>
      <c r="AD308" s="51" t="n"/>
      <c r="AE308" s="40" t="n"/>
      <c r="AF308" s="52" t="str">
        <f>IF($AM308=0,"",IF($D308&lt;&gt;"",$D308,IF(IFERROR(INDEX(Accounts!$C$7:$C$16,MATCH($C308,Accounts!$B$7:$B$16,0))&amp;"","")&lt;&gt;"",INDEX(Accounts!$C$7:$C$16,MATCH($C308,Accounts!$B$7:$B$16,0)),Settings!$C$6)))</f>
        <v/>
      </c>
      <c r="AG308" s="53" t="str">
        <f>IF($AM308=0,"",IF(AND($BE308&gt;0,N(INDEX(Instruments!$D$6:$D$205,MAX(1,$BE308)))&gt;0),INDEX(Instruments!$D$6:$D$205,MAX(1,$BE308)),IF(N(INDEX(Settings!$D$14:$D$18,$BF308))&gt;0,INDEX(Settings!$D$14:$D$18,$BF308),"")))</f>
        <v/>
      </c>
      <c r="AH308" s="54" t="str">
        <f>IF($AM308=0,"",IF($AF308&lt;&gt;"Forex",1,IF(MID(UPPER(SUBSTITUTE(TRIM($E308),"/","")),4,3)=UPPER(TRIM(Settings!$C$7)),1,IF(LEFT(UPPER(SUBSTITUTE(TRIM($E308),"/","")),3)=UPPER(TRIM(Settings!$C$7)),IF(AND(ISNUMBER($K308),N($K308)&lt;&gt;0),1/$K308,""),""))))</f>
        <v/>
      </c>
      <c r="AI308" s="55" t="str">
        <f>IF($AM308=0,"",IF(OR(NOT(ISNUMBER($H308)),NOT(ISNUMBER($K308)),NOT(ISNUMBER($G308)),$AG308="",$AH308=""),"",ROUND(($K308-$H308)*IF($F308="Short",-1,1)*$G308*$AG308*$AH308,6)))</f>
        <v/>
      </c>
      <c r="AJ308" s="55" t="str">
        <f>IF($AM308=0,"",IF(INDEX(Settings!$E$14:$E$18,$BF308)="% of notional",IF(OR($AG308="",NOT(ISNUMBER($H308)),NOT(ISNUMBER($G308))),"",ROUND(ABS($H308*$G308*$AG308*N($AH308))*IF($L308="Limit",N(INDEX(Settings!$G$14:$G$18,$BF308)),N(INDEX(Settings!$H$14:$H$18,$BF308)))+IF(ISNUMBER($K308),ABS($K308*$G308*$AG308*N($AH308))*IF($M308="Target",N(INDEX(Settings!$G$14:$G$18,$BF308)),N(INDEX(Settings!$H$14:$H$18,$BF308))),0),6)),IF(NOT(ISNUMBER($G308)),"",ROUND(ABS($G308)*2*IF(AND($BE308&gt;0,ISNUMBER(INDEX(Instruments!$G$6:$G$205,MAX(1,$BE308)))),INDEX(Instruments!$G$6:$G$205,MAX(1,$BE308)),N(INDEX(Settings!$F$14:$F$18,$BF308))),6))))</f>
        <v/>
      </c>
      <c r="AK308" s="55" t="str">
        <f>IF($AM308=0,"",IF(ISNUMBER($O308),$O308,$AI308))</f>
        <v/>
      </c>
      <c r="AL308" s="55" t="str">
        <f>IF($AM308=0,"",IF(ISNUMBER($P308),$P308,N($AJ308)))</f>
        <v/>
      </c>
      <c r="AM308" s="56">
        <f>IF(AND($A308&lt;&gt;"",$E308&lt;&gt;"",OR(AND(ISNUMBER($G308),ISNUMBER($H308),ISNUMBER($K308)),ISNUMBER($O308))),1,0)</f>
        <v>0</v>
      </c>
      <c r="AN308" s="57" t="str">
        <f>IF($A308="","",$A308-WEEKDAY($A308,3))</f>
        <v/>
      </c>
      <c r="AO308" s="56" t="str">
        <f>IF($A308="","",WEEKDAY($A308,2))</f>
        <v/>
      </c>
      <c r="AP308" s="55" t="str">
        <f>IF(OR($AM308=0,$C308=""),"",IFERROR(N(INDEX(Accounts!$E$7:$E$16,MATCH($C308,Accounts!$B$7:$B$16,0))),0)+SUMIFS($Q$6:$Q308,$C$6:$C308,$C308))</f>
        <v/>
      </c>
      <c r="AQ308" s="55" t="str">
        <f>IF(OR($AM308=0,$C308=""),"",SUMIFS($Q$6:$Q$1005,$C$6:$C$1005,$C308,$A$6:$A$1005,$A308))</f>
        <v/>
      </c>
      <c r="AR308" s="55" t="str">
        <f>IF(OR($AM308=0,$C308=""),"",IFERROR(N(INDEX(Accounts!$E$7:$E$16,MATCH($C308,Accounts!$B$7:$B$16,0))),0)+SUMIFS($Q$6:$Q$1005,$C$6:$C$1005,$C308,$A$6:$A$1005,"&lt;="&amp;$A308))</f>
        <v/>
      </c>
      <c r="AS308" s="56">
        <f>IF(OR($AM308=0,$Q308=""),0,IF(AND($A308&gt;=Lists!$W$6,$A308&lt;=Lists!$W$7,OR(Dashboard!$D$6="All accounts",$C308=Dashboard!$D$6),OR(Dashboard!$D$7="All markets",$AF308=Dashboard!$D$7)),1,0))</f>
        <v>0</v>
      </c>
      <c r="AT308" s="55">
        <f>IF($AS308=1,N(AT307)+$Q308,N(AT307))</f>
        <v>1187.10688</v>
      </c>
      <c r="AU308" s="55">
        <f>MAX(N(AU307),$AT308)</f>
        <v>1187.10688</v>
      </c>
      <c r="AV308" s="55">
        <f>$AT308-$AU308</f>
        <v>0</v>
      </c>
      <c r="AW308" s="56">
        <f>IF($AS308=1,IF($S308="Win",N(AW307)+1,IF($S308="Loss",0,N(AW307))),N(AW307))</f>
        <v>5</v>
      </c>
      <c r="AX308" s="56">
        <f>IF($AS308=1,IF($S308="Loss",N(AX307)+1,IF($S308="Win",0,N(AX307))),N(AX307))</f>
        <v>0</v>
      </c>
      <c r="AY308" s="56" t="str">
        <f>IF($AS308=1,COUNTIF($AS$6:$AS308,1),"")</f>
        <v/>
      </c>
      <c r="AZ308" s="56">
        <f>MIN(302,N(Lists!$W$8))</f>
        <v>28</v>
      </c>
      <c r="BA308" s="56">
        <f>IF($AS308=1,IF(COUNTIFS($A$6:$A308,$A308,$AS$6:$AS308,1)=1,1,0),0)</f>
        <v>0</v>
      </c>
      <c r="BB308" s="55" t="str">
        <f>IF($BA308=1,SUMIFS($Q$6:$Q$1005,$A$6:$A$1005,$A308,$AS$6:$AS$1005,1),"")</f>
        <v/>
      </c>
      <c r="BC308" s="56">
        <f>IF(ISNUMBER($R308),1,0)</f>
        <v>0</v>
      </c>
      <c r="BD308" s="55" t="str">
        <f>IF(ISNUMBER($U308),$U308*$V308,"")</f>
        <v/>
      </c>
      <c r="BE308" s="56" t="str">
        <f>IF($AM308=0,"",IFERROR(MATCH($AF308&amp;"|"&amp;UPPER(TRIM($E308)),Lists!$A$6:$A$205,0),0))</f>
        <v/>
      </c>
      <c r="BF308" s="56" t="str">
        <f>IF($AM308=0,"",IFERROR(MATCH($AF308,Settings!$B$14:$B$18,0),IFERROR(MATCH(Settings!$C$6,Settings!$B$14:$B$18,0),1)))</f>
        <v/>
      </c>
      <c r="BG308" s="58" t="str">
        <f>IF($AM308=0,"",IF(NOT(ISNUMBER($I308)),"No stop; ","")&amp;IF(AND(ISNUMBER($H308),ISNUMBER($I308)),IF(OR(AND($F308&lt;&gt;"Short",$I308&gt;=$H308),AND($F308="Short",$I308&lt;=$H308)),"Stop on wrong side; ",""),"")&amp;IF($F308="","No direction; ","")&amp;IF(AND(ISNUMBER(Settings!$C$22),ISNUMBER($V308)),IF($V308&gt;Settings!$C$22,"Risk over max $; ",""),"")&amp;IF(AND(ISNUMBER(Settings!$C$23),ISNUMBER($V308),ISNUMBER($AP308),IFERROR(N(INDEX(Accounts!$E$7:$E$16,MATCH($C308,Accounts!$B$7:$B$16,0))),0)&gt;0),IF($V308&gt;Settings!$C$23*($AP308-N($Q308)),"Risk over max %; ",""),"")&amp;IF(AND(ISNUMBER(Settings!$C$24),ISNUMBER($N308)),IF($N308&gt;Settings!$C$24,"Leverage over max; ",""),"")&amp;IF(AND(ISNUMBER(Settings!$C$27),ISNUMBER($T308)),IF($T308&lt;Settings!$C$27,"R:R below min; ",""),"")&amp;IF(ISNUMBER(Settings!$C$25),IF(COUNTIFS($A$6:$A308,$A308,$AM$6:$AM308,1)&gt;Settings!$C$25,"Over max trades/day; ",""),"")&amp;IF(ISNUMBER(Settings!$C$26),IF(SUMIFS($Q$5:$Q307,$A$5:$A307,$A308)&lt;=-Settings!$C$26,"Traded after daily max loss; ",""),"")&amp;IF(AND($AG308="",NOT(ISNUMBER($O308))),"Symbol not in Instruments; ","")&amp;IF(AND($AH308="",NOT(ISNUMBER($O308))),"Forex cross: type Gross P&amp;L; ",""))</f>
        <v/>
      </c>
      <c r="BH308" s="56">
        <f>IF(ISNUMBER($Q308),1,0)</f>
        <v>0</v>
      </c>
      <c r="BI308" s="56">
        <f>IF($Y308="",0,1)</f>
        <v>0</v>
      </c>
      <c r="BJ308" s="56">
        <f>IF($AB308="",0,1)</f>
        <v>0</v>
      </c>
      <c r="BK308" s="56">
        <f>IF(AND($BH308=1,$W308&lt;&gt;"OK"),1,0)</f>
        <v>0</v>
      </c>
      <c r="BL308" s="55">
        <f>IF(N($AZ308)=0,0,IFERROR(INDEX($AT$6:$AT$1005,MATCH($AZ308,$AY$6:$AY$1005,0)),0))</f>
        <v>1187.10688</v>
      </c>
      <c r="BM308" s="56">
        <f>IF(ISNUMBER(SEARCH("daily max loss",$BG308)),1,0)</f>
        <v>0</v>
      </c>
    </row>
    <row r="309" ht="18" customHeight="1">
      <c r="A309" s="38" t="n"/>
      <c r="B309" s="39" t="n"/>
      <c r="C309" s="40" t="n"/>
      <c r="D309" s="41" t="n"/>
      <c r="E309" s="41" t="n"/>
      <c r="F309" s="41" t="n"/>
      <c r="G309" s="41" t="n"/>
      <c r="H309" s="42" t="n"/>
      <c r="I309" s="42" t="n"/>
      <c r="J309" s="42" t="n"/>
      <c r="K309" s="42" t="n"/>
      <c r="L309" s="41" t="n"/>
      <c r="M309" s="41" t="n"/>
      <c r="N309" s="41" t="n"/>
      <c r="O309" s="43" t="n"/>
      <c r="P309" s="43" t="n"/>
      <c r="Q309" s="44" t="str">
        <f>IF($AM309=0,"",IF(ISNUMBER($AK309),$AK309-N($AL309),""))</f>
        <v/>
      </c>
      <c r="R309" s="45" t="str">
        <f>IF(OR($Q309="",NOT(ISNUMBER($V309))),"",$AK309/$V309)</f>
        <v/>
      </c>
      <c r="S309" s="46" t="str">
        <f>IF($Q309="","",IF(AND(ISNUMBER($R309),ABS(N($R309))&lt;N(Settings!$C$8)),"Scratch",IF($Q309&gt;0,"Win",IF($Q309&lt;0,"Loss","Scratch"))))</f>
        <v/>
      </c>
      <c r="T309" s="47" t="str">
        <f>IF(OR($AM309=0,NOT(ISNUMBER($H309)),NOT(ISNUMBER($I309)),NOT(ISNUMBER($J309))),"",IF($H309=$I309,"",ROUND(ABS($J309-$H309)/ABS($H309-$I309),6)))</f>
        <v/>
      </c>
      <c r="U309" s="48" t="str">
        <f>IF(OR($S309&lt;&gt;"Win",NOT(ISNUMBER($T309)),NOT(ISNUMBER($R309))),"",MAX(0,$T309-$R309))</f>
        <v/>
      </c>
      <c r="V309" s="49" t="str">
        <f>IF(OR($AM309=0,NOT(ISNUMBER($H309)),NOT(ISNUMBER($I309)),NOT(ISNUMBER($G309))),"",IF(OR($AG309="",$AH309=""),"",IF(ROUND(ABS($H309-$I309)*ABS($G309)*$AG309*$AH309,6)=0,"",ROUND(ABS($H309-$I309)*ABS($G309)*$AG309*$AH309,6))))</f>
        <v/>
      </c>
      <c r="W309" s="50" t="str">
        <f>IF($AM309=0,"",IF($BG309="","OK",LEFT($BG309,LEN($BG309)-2)))</f>
        <v/>
      </c>
      <c r="X309" s="41" t="n"/>
      <c r="Y309" s="40" t="n"/>
      <c r="Z309" s="41" t="n"/>
      <c r="AA309" s="41" t="n"/>
      <c r="AB309" s="40" t="n"/>
      <c r="AC309" s="51" t="n"/>
      <c r="AD309" s="51" t="n"/>
      <c r="AE309" s="40" t="n"/>
      <c r="AF309" s="52" t="str">
        <f>IF($AM309=0,"",IF($D309&lt;&gt;"",$D309,IF(IFERROR(INDEX(Accounts!$C$7:$C$16,MATCH($C309,Accounts!$B$7:$B$16,0))&amp;"","")&lt;&gt;"",INDEX(Accounts!$C$7:$C$16,MATCH($C309,Accounts!$B$7:$B$16,0)),Settings!$C$6)))</f>
        <v/>
      </c>
      <c r="AG309" s="53" t="str">
        <f>IF($AM309=0,"",IF(AND($BE309&gt;0,N(INDEX(Instruments!$D$6:$D$205,MAX(1,$BE309)))&gt;0),INDEX(Instruments!$D$6:$D$205,MAX(1,$BE309)),IF(N(INDEX(Settings!$D$14:$D$18,$BF309))&gt;0,INDEX(Settings!$D$14:$D$18,$BF309),"")))</f>
        <v/>
      </c>
      <c r="AH309" s="54" t="str">
        <f>IF($AM309=0,"",IF($AF309&lt;&gt;"Forex",1,IF(MID(UPPER(SUBSTITUTE(TRIM($E309),"/","")),4,3)=UPPER(TRIM(Settings!$C$7)),1,IF(LEFT(UPPER(SUBSTITUTE(TRIM($E309),"/","")),3)=UPPER(TRIM(Settings!$C$7)),IF(AND(ISNUMBER($K309),N($K309)&lt;&gt;0),1/$K309,""),""))))</f>
        <v/>
      </c>
      <c r="AI309" s="55" t="str">
        <f>IF($AM309=0,"",IF(OR(NOT(ISNUMBER($H309)),NOT(ISNUMBER($K309)),NOT(ISNUMBER($G309)),$AG309="",$AH309=""),"",ROUND(($K309-$H309)*IF($F309="Short",-1,1)*$G309*$AG309*$AH309,6)))</f>
        <v/>
      </c>
      <c r="AJ309" s="55" t="str">
        <f>IF($AM309=0,"",IF(INDEX(Settings!$E$14:$E$18,$BF309)="% of notional",IF(OR($AG309="",NOT(ISNUMBER($H309)),NOT(ISNUMBER($G309))),"",ROUND(ABS($H309*$G309*$AG309*N($AH309))*IF($L309="Limit",N(INDEX(Settings!$G$14:$G$18,$BF309)),N(INDEX(Settings!$H$14:$H$18,$BF309)))+IF(ISNUMBER($K309),ABS($K309*$G309*$AG309*N($AH309))*IF($M309="Target",N(INDEX(Settings!$G$14:$G$18,$BF309)),N(INDEX(Settings!$H$14:$H$18,$BF309))),0),6)),IF(NOT(ISNUMBER($G309)),"",ROUND(ABS($G309)*2*IF(AND($BE309&gt;0,ISNUMBER(INDEX(Instruments!$G$6:$G$205,MAX(1,$BE309)))),INDEX(Instruments!$G$6:$G$205,MAX(1,$BE309)),N(INDEX(Settings!$F$14:$F$18,$BF309))),6))))</f>
        <v/>
      </c>
      <c r="AK309" s="55" t="str">
        <f>IF($AM309=0,"",IF(ISNUMBER($O309),$O309,$AI309))</f>
        <v/>
      </c>
      <c r="AL309" s="55" t="str">
        <f>IF($AM309=0,"",IF(ISNUMBER($P309),$P309,N($AJ309)))</f>
        <v/>
      </c>
      <c r="AM309" s="56">
        <f>IF(AND($A309&lt;&gt;"",$E309&lt;&gt;"",OR(AND(ISNUMBER($G309),ISNUMBER($H309),ISNUMBER($K309)),ISNUMBER($O309))),1,0)</f>
        <v>0</v>
      </c>
      <c r="AN309" s="57" t="str">
        <f>IF($A309="","",$A309-WEEKDAY($A309,3))</f>
        <v/>
      </c>
      <c r="AO309" s="56" t="str">
        <f>IF($A309="","",WEEKDAY($A309,2))</f>
        <v/>
      </c>
      <c r="AP309" s="55" t="str">
        <f>IF(OR($AM309=0,$C309=""),"",IFERROR(N(INDEX(Accounts!$E$7:$E$16,MATCH($C309,Accounts!$B$7:$B$16,0))),0)+SUMIFS($Q$6:$Q309,$C$6:$C309,$C309))</f>
        <v/>
      </c>
      <c r="AQ309" s="55" t="str">
        <f>IF(OR($AM309=0,$C309=""),"",SUMIFS($Q$6:$Q$1005,$C$6:$C$1005,$C309,$A$6:$A$1005,$A309))</f>
        <v/>
      </c>
      <c r="AR309" s="55" t="str">
        <f>IF(OR($AM309=0,$C309=""),"",IFERROR(N(INDEX(Accounts!$E$7:$E$16,MATCH($C309,Accounts!$B$7:$B$16,0))),0)+SUMIFS($Q$6:$Q$1005,$C$6:$C$1005,$C309,$A$6:$A$1005,"&lt;="&amp;$A309))</f>
        <v/>
      </c>
      <c r="AS309" s="56">
        <f>IF(OR($AM309=0,$Q309=""),0,IF(AND($A309&gt;=Lists!$W$6,$A309&lt;=Lists!$W$7,OR(Dashboard!$D$6="All accounts",$C309=Dashboard!$D$6),OR(Dashboard!$D$7="All markets",$AF309=Dashboard!$D$7)),1,0))</f>
        <v>0</v>
      </c>
      <c r="AT309" s="55">
        <f>IF($AS309=1,N(AT308)+$Q309,N(AT308))</f>
        <v>1187.10688</v>
      </c>
      <c r="AU309" s="55">
        <f>MAX(N(AU308),$AT309)</f>
        <v>1187.10688</v>
      </c>
      <c r="AV309" s="55">
        <f>$AT309-$AU309</f>
        <v>0</v>
      </c>
      <c r="AW309" s="56">
        <f>IF($AS309=1,IF($S309="Win",N(AW308)+1,IF($S309="Loss",0,N(AW308))),N(AW308))</f>
        <v>5</v>
      </c>
      <c r="AX309" s="56">
        <f>IF($AS309=1,IF($S309="Loss",N(AX308)+1,IF($S309="Win",0,N(AX308))),N(AX308))</f>
        <v>0</v>
      </c>
      <c r="AY309" s="56" t="str">
        <f>IF($AS309=1,COUNTIF($AS$6:$AS309,1),"")</f>
        <v/>
      </c>
      <c r="AZ309" s="56">
        <f>MIN(303,N(Lists!$W$8))</f>
        <v>28</v>
      </c>
      <c r="BA309" s="56">
        <f>IF($AS309=1,IF(COUNTIFS($A$6:$A309,$A309,$AS$6:$AS309,1)=1,1,0),0)</f>
        <v>0</v>
      </c>
      <c r="BB309" s="55" t="str">
        <f>IF($BA309=1,SUMIFS($Q$6:$Q$1005,$A$6:$A$1005,$A309,$AS$6:$AS$1005,1),"")</f>
        <v/>
      </c>
      <c r="BC309" s="56">
        <f>IF(ISNUMBER($R309),1,0)</f>
        <v>0</v>
      </c>
      <c r="BD309" s="55" t="str">
        <f>IF(ISNUMBER($U309),$U309*$V309,"")</f>
        <v/>
      </c>
      <c r="BE309" s="56" t="str">
        <f>IF($AM309=0,"",IFERROR(MATCH($AF309&amp;"|"&amp;UPPER(TRIM($E309)),Lists!$A$6:$A$205,0),0))</f>
        <v/>
      </c>
      <c r="BF309" s="56" t="str">
        <f>IF($AM309=0,"",IFERROR(MATCH($AF309,Settings!$B$14:$B$18,0),IFERROR(MATCH(Settings!$C$6,Settings!$B$14:$B$18,0),1)))</f>
        <v/>
      </c>
      <c r="BG309" s="58" t="str">
        <f>IF($AM309=0,"",IF(NOT(ISNUMBER($I309)),"No stop; ","")&amp;IF(AND(ISNUMBER($H309),ISNUMBER($I309)),IF(OR(AND($F309&lt;&gt;"Short",$I309&gt;=$H309),AND($F309="Short",$I309&lt;=$H309)),"Stop on wrong side; ",""),"")&amp;IF($F309="","No direction; ","")&amp;IF(AND(ISNUMBER(Settings!$C$22),ISNUMBER($V309)),IF($V309&gt;Settings!$C$22,"Risk over max $; ",""),"")&amp;IF(AND(ISNUMBER(Settings!$C$23),ISNUMBER($V309),ISNUMBER($AP309),IFERROR(N(INDEX(Accounts!$E$7:$E$16,MATCH($C309,Accounts!$B$7:$B$16,0))),0)&gt;0),IF($V309&gt;Settings!$C$23*($AP309-N($Q309)),"Risk over max %; ",""),"")&amp;IF(AND(ISNUMBER(Settings!$C$24),ISNUMBER($N309)),IF($N309&gt;Settings!$C$24,"Leverage over max; ",""),"")&amp;IF(AND(ISNUMBER(Settings!$C$27),ISNUMBER($T309)),IF($T309&lt;Settings!$C$27,"R:R below min; ",""),"")&amp;IF(ISNUMBER(Settings!$C$25),IF(COUNTIFS($A$6:$A309,$A309,$AM$6:$AM309,1)&gt;Settings!$C$25,"Over max trades/day; ",""),"")&amp;IF(ISNUMBER(Settings!$C$26),IF(SUMIFS($Q$5:$Q308,$A$5:$A308,$A309)&lt;=-Settings!$C$26,"Traded after daily max loss; ",""),"")&amp;IF(AND($AG309="",NOT(ISNUMBER($O309))),"Symbol not in Instruments; ","")&amp;IF(AND($AH309="",NOT(ISNUMBER($O309))),"Forex cross: type Gross P&amp;L; ",""))</f>
        <v/>
      </c>
      <c r="BH309" s="56">
        <f>IF(ISNUMBER($Q309),1,0)</f>
        <v>0</v>
      </c>
      <c r="BI309" s="56">
        <f>IF($Y309="",0,1)</f>
        <v>0</v>
      </c>
      <c r="BJ309" s="56">
        <f>IF($AB309="",0,1)</f>
        <v>0</v>
      </c>
      <c r="BK309" s="56">
        <f>IF(AND($BH309=1,$W309&lt;&gt;"OK"),1,0)</f>
        <v>0</v>
      </c>
      <c r="BL309" s="55">
        <f>IF(N($AZ309)=0,0,IFERROR(INDEX($AT$6:$AT$1005,MATCH($AZ309,$AY$6:$AY$1005,0)),0))</f>
        <v>1187.10688</v>
      </c>
      <c r="BM309" s="56">
        <f>IF(ISNUMBER(SEARCH("daily max loss",$BG309)),1,0)</f>
        <v>0</v>
      </c>
    </row>
    <row r="310" ht="18" customHeight="1">
      <c r="A310" s="38" t="n"/>
      <c r="B310" s="39" t="n"/>
      <c r="C310" s="40" t="n"/>
      <c r="D310" s="41" t="n"/>
      <c r="E310" s="41" t="n"/>
      <c r="F310" s="41" t="n"/>
      <c r="G310" s="41" t="n"/>
      <c r="H310" s="42" t="n"/>
      <c r="I310" s="42" t="n"/>
      <c r="J310" s="42" t="n"/>
      <c r="K310" s="42" t="n"/>
      <c r="L310" s="41" t="n"/>
      <c r="M310" s="41" t="n"/>
      <c r="N310" s="41" t="n"/>
      <c r="O310" s="43" t="n"/>
      <c r="P310" s="43" t="n"/>
      <c r="Q310" s="44" t="str">
        <f>IF($AM310=0,"",IF(ISNUMBER($AK310),$AK310-N($AL310),""))</f>
        <v/>
      </c>
      <c r="R310" s="45" t="str">
        <f>IF(OR($Q310="",NOT(ISNUMBER($V310))),"",$AK310/$V310)</f>
        <v/>
      </c>
      <c r="S310" s="46" t="str">
        <f>IF($Q310="","",IF(AND(ISNUMBER($R310),ABS(N($R310))&lt;N(Settings!$C$8)),"Scratch",IF($Q310&gt;0,"Win",IF($Q310&lt;0,"Loss","Scratch"))))</f>
        <v/>
      </c>
      <c r="T310" s="47" t="str">
        <f>IF(OR($AM310=0,NOT(ISNUMBER($H310)),NOT(ISNUMBER($I310)),NOT(ISNUMBER($J310))),"",IF($H310=$I310,"",ROUND(ABS($J310-$H310)/ABS($H310-$I310),6)))</f>
        <v/>
      </c>
      <c r="U310" s="48" t="str">
        <f>IF(OR($S310&lt;&gt;"Win",NOT(ISNUMBER($T310)),NOT(ISNUMBER($R310))),"",MAX(0,$T310-$R310))</f>
        <v/>
      </c>
      <c r="V310" s="49" t="str">
        <f>IF(OR($AM310=0,NOT(ISNUMBER($H310)),NOT(ISNUMBER($I310)),NOT(ISNUMBER($G310))),"",IF(OR($AG310="",$AH310=""),"",IF(ROUND(ABS($H310-$I310)*ABS($G310)*$AG310*$AH310,6)=0,"",ROUND(ABS($H310-$I310)*ABS($G310)*$AG310*$AH310,6))))</f>
        <v/>
      </c>
      <c r="W310" s="50" t="str">
        <f>IF($AM310=0,"",IF($BG310="","OK",LEFT($BG310,LEN($BG310)-2)))</f>
        <v/>
      </c>
      <c r="X310" s="41" t="n"/>
      <c r="Y310" s="40" t="n"/>
      <c r="Z310" s="41" t="n"/>
      <c r="AA310" s="41" t="n"/>
      <c r="AB310" s="40" t="n"/>
      <c r="AC310" s="51" t="n"/>
      <c r="AD310" s="51" t="n"/>
      <c r="AE310" s="40" t="n"/>
      <c r="AF310" s="52" t="str">
        <f>IF($AM310=0,"",IF($D310&lt;&gt;"",$D310,IF(IFERROR(INDEX(Accounts!$C$7:$C$16,MATCH($C310,Accounts!$B$7:$B$16,0))&amp;"","")&lt;&gt;"",INDEX(Accounts!$C$7:$C$16,MATCH($C310,Accounts!$B$7:$B$16,0)),Settings!$C$6)))</f>
        <v/>
      </c>
      <c r="AG310" s="53" t="str">
        <f>IF($AM310=0,"",IF(AND($BE310&gt;0,N(INDEX(Instruments!$D$6:$D$205,MAX(1,$BE310)))&gt;0),INDEX(Instruments!$D$6:$D$205,MAX(1,$BE310)),IF(N(INDEX(Settings!$D$14:$D$18,$BF310))&gt;0,INDEX(Settings!$D$14:$D$18,$BF310),"")))</f>
        <v/>
      </c>
      <c r="AH310" s="54" t="str">
        <f>IF($AM310=0,"",IF($AF310&lt;&gt;"Forex",1,IF(MID(UPPER(SUBSTITUTE(TRIM($E310),"/","")),4,3)=UPPER(TRIM(Settings!$C$7)),1,IF(LEFT(UPPER(SUBSTITUTE(TRIM($E310),"/","")),3)=UPPER(TRIM(Settings!$C$7)),IF(AND(ISNUMBER($K310),N($K310)&lt;&gt;0),1/$K310,""),""))))</f>
        <v/>
      </c>
      <c r="AI310" s="55" t="str">
        <f>IF($AM310=0,"",IF(OR(NOT(ISNUMBER($H310)),NOT(ISNUMBER($K310)),NOT(ISNUMBER($G310)),$AG310="",$AH310=""),"",ROUND(($K310-$H310)*IF($F310="Short",-1,1)*$G310*$AG310*$AH310,6)))</f>
        <v/>
      </c>
      <c r="AJ310" s="55" t="str">
        <f>IF($AM310=0,"",IF(INDEX(Settings!$E$14:$E$18,$BF310)="% of notional",IF(OR($AG310="",NOT(ISNUMBER($H310)),NOT(ISNUMBER($G310))),"",ROUND(ABS($H310*$G310*$AG310*N($AH310))*IF($L310="Limit",N(INDEX(Settings!$G$14:$G$18,$BF310)),N(INDEX(Settings!$H$14:$H$18,$BF310)))+IF(ISNUMBER($K310),ABS($K310*$G310*$AG310*N($AH310))*IF($M310="Target",N(INDEX(Settings!$G$14:$G$18,$BF310)),N(INDEX(Settings!$H$14:$H$18,$BF310))),0),6)),IF(NOT(ISNUMBER($G310)),"",ROUND(ABS($G310)*2*IF(AND($BE310&gt;0,ISNUMBER(INDEX(Instruments!$G$6:$G$205,MAX(1,$BE310)))),INDEX(Instruments!$G$6:$G$205,MAX(1,$BE310)),N(INDEX(Settings!$F$14:$F$18,$BF310))),6))))</f>
        <v/>
      </c>
      <c r="AK310" s="55" t="str">
        <f>IF($AM310=0,"",IF(ISNUMBER($O310),$O310,$AI310))</f>
        <v/>
      </c>
      <c r="AL310" s="55" t="str">
        <f>IF($AM310=0,"",IF(ISNUMBER($P310),$P310,N($AJ310)))</f>
        <v/>
      </c>
      <c r="AM310" s="56">
        <f>IF(AND($A310&lt;&gt;"",$E310&lt;&gt;"",OR(AND(ISNUMBER($G310),ISNUMBER($H310),ISNUMBER($K310)),ISNUMBER($O310))),1,0)</f>
        <v>0</v>
      </c>
      <c r="AN310" s="57" t="str">
        <f>IF($A310="","",$A310-WEEKDAY($A310,3))</f>
        <v/>
      </c>
      <c r="AO310" s="56" t="str">
        <f>IF($A310="","",WEEKDAY($A310,2))</f>
        <v/>
      </c>
      <c r="AP310" s="55" t="str">
        <f>IF(OR($AM310=0,$C310=""),"",IFERROR(N(INDEX(Accounts!$E$7:$E$16,MATCH($C310,Accounts!$B$7:$B$16,0))),0)+SUMIFS($Q$6:$Q310,$C$6:$C310,$C310))</f>
        <v/>
      </c>
      <c r="AQ310" s="55" t="str">
        <f>IF(OR($AM310=0,$C310=""),"",SUMIFS($Q$6:$Q$1005,$C$6:$C$1005,$C310,$A$6:$A$1005,$A310))</f>
        <v/>
      </c>
      <c r="AR310" s="55" t="str">
        <f>IF(OR($AM310=0,$C310=""),"",IFERROR(N(INDEX(Accounts!$E$7:$E$16,MATCH($C310,Accounts!$B$7:$B$16,0))),0)+SUMIFS($Q$6:$Q$1005,$C$6:$C$1005,$C310,$A$6:$A$1005,"&lt;="&amp;$A310))</f>
        <v/>
      </c>
      <c r="AS310" s="56">
        <f>IF(OR($AM310=0,$Q310=""),0,IF(AND($A310&gt;=Lists!$W$6,$A310&lt;=Lists!$W$7,OR(Dashboard!$D$6="All accounts",$C310=Dashboard!$D$6),OR(Dashboard!$D$7="All markets",$AF310=Dashboard!$D$7)),1,0))</f>
        <v>0</v>
      </c>
      <c r="AT310" s="55">
        <f>IF($AS310=1,N(AT309)+$Q310,N(AT309))</f>
        <v>1187.10688</v>
      </c>
      <c r="AU310" s="55">
        <f>MAX(N(AU309),$AT310)</f>
        <v>1187.10688</v>
      </c>
      <c r="AV310" s="55">
        <f>$AT310-$AU310</f>
        <v>0</v>
      </c>
      <c r="AW310" s="56">
        <f>IF($AS310=1,IF($S310="Win",N(AW309)+1,IF($S310="Loss",0,N(AW309))),N(AW309))</f>
        <v>5</v>
      </c>
      <c r="AX310" s="56">
        <f>IF($AS310=1,IF($S310="Loss",N(AX309)+1,IF($S310="Win",0,N(AX309))),N(AX309))</f>
        <v>0</v>
      </c>
      <c r="AY310" s="56" t="str">
        <f>IF($AS310=1,COUNTIF($AS$6:$AS310,1),"")</f>
        <v/>
      </c>
      <c r="AZ310" s="56">
        <f>MIN(304,N(Lists!$W$8))</f>
        <v>28</v>
      </c>
      <c r="BA310" s="56">
        <f>IF($AS310=1,IF(COUNTIFS($A$6:$A310,$A310,$AS$6:$AS310,1)=1,1,0),0)</f>
        <v>0</v>
      </c>
      <c r="BB310" s="55" t="str">
        <f>IF($BA310=1,SUMIFS($Q$6:$Q$1005,$A$6:$A$1005,$A310,$AS$6:$AS$1005,1),"")</f>
        <v/>
      </c>
      <c r="BC310" s="56">
        <f>IF(ISNUMBER($R310),1,0)</f>
        <v>0</v>
      </c>
      <c r="BD310" s="55" t="str">
        <f>IF(ISNUMBER($U310),$U310*$V310,"")</f>
        <v/>
      </c>
      <c r="BE310" s="56" t="str">
        <f>IF($AM310=0,"",IFERROR(MATCH($AF310&amp;"|"&amp;UPPER(TRIM($E310)),Lists!$A$6:$A$205,0),0))</f>
        <v/>
      </c>
      <c r="BF310" s="56" t="str">
        <f>IF($AM310=0,"",IFERROR(MATCH($AF310,Settings!$B$14:$B$18,0),IFERROR(MATCH(Settings!$C$6,Settings!$B$14:$B$18,0),1)))</f>
        <v/>
      </c>
      <c r="BG310" s="58" t="str">
        <f>IF($AM310=0,"",IF(NOT(ISNUMBER($I310)),"No stop; ","")&amp;IF(AND(ISNUMBER($H310),ISNUMBER($I310)),IF(OR(AND($F310&lt;&gt;"Short",$I310&gt;=$H310),AND($F310="Short",$I310&lt;=$H310)),"Stop on wrong side; ",""),"")&amp;IF($F310="","No direction; ","")&amp;IF(AND(ISNUMBER(Settings!$C$22),ISNUMBER($V310)),IF($V310&gt;Settings!$C$22,"Risk over max $; ",""),"")&amp;IF(AND(ISNUMBER(Settings!$C$23),ISNUMBER($V310),ISNUMBER($AP310),IFERROR(N(INDEX(Accounts!$E$7:$E$16,MATCH($C310,Accounts!$B$7:$B$16,0))),0)&gt;0),IF($V310&gt;Settings!$C$23*($AP310-N($Q310)),"Risk over max %; ",""),"")&amp;IF(AND(ISNUMBER(Settings!$C$24),ISNUMBER($N310)),IF($N310&gt;Settings!$C$24,"Leverage over max; ",""),"")&amp;IF(AND(ISNUMBER(Settings!$C$27),ISNUMBER($T310)),IF($T310&lt;Settings!$C$27,"R:R below min; ",""),"")&amp;IF(ISNUMBER(Settings!$C$25),IF(COUNTIFS($A$6:$A310,$A310,$AM$6:$AM310,1)&gt;Settings!$C$25,"Over max trades/day; ",""),"")&amp;IF(ISNUMBER(Settings!$C$26),IF(SUMIFS($Q$5:$Q309,$A$5:$A309,$A310)&lt;=-Settings!$C$26,"Traded after daily max loss; ",""),"")&amp;IF(AND($AG310="",NOT(ISNUMBER($O310))),"Symbol not in Instruments; ","")&amp;IF(AND($AH310="",NOT(ISNUMBER($O310))),"Forex cross: type Gross P&amp;L; ",""))</f>
        <v/>
      </c>
      <c r="BH310" s="56">
        <f>IF(ISNUMBER($Q310),1,0)</f>
        <v>0</v>
      </c>
      <c r="BI310" s="56">
        <f>IF($Y310="",0,1)</f>
        <v>0</v>
      </c>
      <c r="BJ310" s="56">
        <f>IF($AB310="",0,1)</f>
        <v>0</v>
      </c>
      <c r="BK310" s="56">
        <f>IF(AND($BH310=1,$W310&lt;&gt;"OK"),1,0)</f>
        <v>0</v>
      </c>
      <c r="BL310" s="55">
        <f>IF(N($AZ310)=0,0,IFERROR(INDEX($AT$6:$AT$1005,MATCH($AZ310,$AY$6:$AY$1005,0)),0))</f>
        <v>1187.10688</v>
      </c>
      <c r="BM310" s="56">
        <f>IF(ISNUMBER(SEARCH("daily max loss",$BG310)),1,0)</f>
        <v>0</v>
      </c>
    </row>
    <row r="311" ht="18" customHeight="1">
      <c r="A311" s="38" t="n"/>
      <c r="B311" s="39" t="n"/>
      <c r="C311" s="40" t="n"/>
      <c r="D311" s="41" t="n"/>
      <c r="E311" s="41" t="n"/>
      <c r="F311" s="41" t="n"/>
      <c r="G311" s="41" t="n"/>
      <c r="H311" s="42" t="n"/>
      <c r="I311" s="42" t="n"/>
      <c r="J311" s="42" t="n"/>
      <c r="K311" s="42" t="n"/>
      <c r="L311" s="41" t="n"/>
      <c r="M311" s="41" t="n"/>
      <c r="N311" s="41" t="n"/>
      <c r="O311" s="43" t="n"/>
      <c r="P311" s="43" t="n"/>
      <c r="Q311" s="44" t="str">
        <f>IF($AM311=0,"",IF(ISNUMBER($AK311),$AK311-N($AL311),""))</f>
        <v/>
      </c>
      <c r="R311" s="45" t="str">
        <f>IF(OR($Q311="",NOT(ISNUMBER($V311))),"",$AK311/$V311)</f>
        <v/>
      </c>
      <c r="S311" s="46" t="str">
        <f>IF($Q311="","",IF(AND(ISNUMBER($R311),ABS(N($R311))&lt;N(Settings!$C$8)),"Scratch",IF($Q311&gt;0,"Win",IF($Q311&lt;0,"Loss","Scratch"))))</f>
        <v/>
      </c>
      <c r="T311" s="47" t="str">
        <f>IF(OR($AM311=0,NOT(ISNUMBER($H311)),NOT(ISNUMBER($I311)),NOT(ISNUMBER($J311))),"",IF($H311=$I311,"",ROUND(ABS($J311-$H311)/ABS($H311-$I311),6)))</f>
        <v/>
      </c>
      <c r="U311" s="48" t="str">
        <f>IF(OR($S311&lt;&gt;"Win",NOT(ISNUMBER($T311)),NOT(ISNUMBER($R311))),"",MAX(0,$T311-$R311))</f>
        <v/>
      </c>
      <c r="V311" s="49" t="str">
        <f>IF(OR($AM311=0,NOT(ISNUMBER($H311)),NOT(ISNUMBER($I311)),NOT(ISNUMBER($G311))),"",IF(OR($AG311="",$AH311=""),"",IF(ROUND(ABS($H311-$I311)*ABS($G311)*$AG311*$AH311,6)=0,"",ROUND(ABS($H311-$I311)*ABS($G311)*$AG311*$AH311,6))))</f>
        <v/>
      </c>
      <c r="W311" s="50" t="str">
        <f>IF($AM311=0,"",IF($BG311="","OK",LEFT($BG311,LEN($BG311)-2)))</f>
        <v/>
      </c>
      <c r="X311" s="41" t="n"/>
      <c r="Y311" s="40" t="n"/>
      <c r="Z311" s="41" t="n"/>
      <c r="AA311" s="41" t="n"/>
      <c r="AB311" s="40" t="n"/>
      <c r="AC311" s="51" t="n"/>
      <c r="AD311" s="51" t="n"/>
      <c r="AE311" s="40" t="n"/>
      <c r="AF311" s="52" t="str">
        <f>IF($AM311=0,"",IF($D311&lt;&gt;"",$D311,IF(IFERROR(INDEX(Accounts!$C$7:$C$16,MATCH($C311,Accounts!$B$7:$B$16,0))&amp;"","")&lt;&gt;"",INDEX(Accounts!$C$7:$C$16,MATCH($C311,Accounts!$B$7:$B$16,0)),Settings!$C$6)))</f>
        <v/>
      </c>
      <c r="AG311" s="53" t="str">
        <f>IF($AM311=0,"",IF(AND($BE311&gt;0,N(INDEX(Instruments!$D$6:$D$205,MAX(1,$BE311)))&gt;0),INDEX(Instruments!$D$6:$D$205,MAX(1,$BE311)),IF(N(INDEX(Settings!$D$14:$D$18,$BF311))&gt;0,INDEX(Settings!$D$14:$D$18,$BF311),"")))</f>
        <v/>
      </c>
      <c r="AH311" s="54" t="str">
        <f>IF($AM311=0,"",IF($AF311&lt;&gt;"Forex",1,IF(MID(UPPER(SUBSTITUTE(TRIM($E311),"/","")),4,3)=UPPER(TRIM(Settings!$C$7)),1,IF(LEFT(UPPER(SUBSTITUTE(TRIM($E311),"/","")),3)=UPPER(TRIM(Settings!$C$7)),IF(AND(ISNUMBER($K311),N($K311)&lt;&gt;0),1/$K311,""),""))))</f>
        <v/>
      </c>
      <c r="AI311" s="55" t="str">
        <f>IF($AM311=0,"",IF(OR(NOT(ISNUMBER($H311)),NOT(ISNUMBER($K311)),NOT(ISNUMBER($G311)),$AG311="",$AH311=""),"",ROUND(($K311-$H311)*IF($F311="Short",-1,1)*$G311*$AG311*$AH311,6)))</f>
        <v/>
      </c>
      <c r="AJ311" s="55" t="str">
        <f>IF($AM311=0,"",IF(INDEX(Settings!$E$14:$E$18,$BF311)="% of notional",IF(OR($AG311="",NOT(ISNUMBER($H311)),NOT(ISNUMBER($G311))),"",ROUND(ABS($H311*$G311*$AG311*N($AH311))*IF($L311="Limit",N(INDEX(Settings!$G$14:$G$18,$BF311)),N(INDEX(Settings!$H$14:$H$18,$BF311)))+IF(ISNUMBER($K311),ABS($K311*$G311*$AG311*N($AH311))*IF($M311="Target",N(INDEX(Settings!$G$14:$G$18,$BF311)),N(INDEX(Settings!$H$14:$H$18,$BF311))),0),6)),IF(NOT(ISNUMBER($G311)),"",ROUND(ABS($G311)*2*IF(AND($BE311&gt;0,ISNUMBER(INDEX(Instruments!$G$6:$G$205,MAX(1,$BE311)))),INDEX(Instruments!$G$6:$G$205,MAX(1,$BE311)),N(INDEX(Settings!$F$14:$F$18,$BF311))),6))))</f>
        <v/>
      </c>
      <c r="AK311" s="55" t="str">
        <f>IF($AM311=0,"",IF(ISNUMBER($O311),$O311,$AI311))</f>
        <v/>
      </c>
      <c r="AL311" s="55" t="str">
        <f>IF($AM311=0,"",IF(ISNUMBER($P311),$P311,N($AJ311)))</f>
        <v/>
      </c>
      <c r="AM311" s="56">
        <f>IF(AND($A311&lt;&gt;"",$E311&lt;&gt;"",OR(AND(ISNUMBER($G311),ISNUMBER($H311),ISNUMBER($K311)),ISNUMBER($O311))),1,0)</f>
        <v>0</v>
      </c>
      <c r="AN311" s="57" t="str">
        <f>IF($A311="","",$A311-WEEKDAY($A311,3))</f>
        <v/>
      </c>
      <c r="AO311" s="56" t="str">
        <f>IF($A311="","",WEEKDAY($A311,2))</f>
        <v/>
      </c>
      <c r="AP311" s="55" t="str">
        <f>IF(OR($AM311=0,$C311=""),"",IFERROR(N(INDEX(Accounts!$E$7:$E$16,MATCH($C311,Accounts!$B$7:$B$16,0))),0)+SUMIFS($Q$6:$Q311,$C$6:$C311,$C311))</f>
        <v/>
      </c>
      <c r="AQ311" s="55" t="str">
        <f>IF(OR($AM311=0,$C311=""),"",SUMIFS($Q$6:$Q$1005,$C$6:$C$1005,$C311,$A$6:$A$1005,$A311))</f>
        <v/>
      </c>
      <c r="AR311" s="55" t="str">
        <f>IF(OR($AM311=0,$C311=""),"",IFERROR(N(INDEX(Accounts!$E$7:$E$16,MATCH($C311,Accounts!$B$7:$B$16,0))),0)+SUMIFS($Q$6:$Q$1005,$C$6:$C$1005,$C311,$A$6:$A$1005,"&lt;="&amp;$A311))</f>
        <v/>
      </c>
      <c r="AS311" s="56">
        <f>IF(OR($AM311=0,$Q311=""),0,IF(AND($A311&gt;=Lists!$W$6,$A311&lt;=Lists!$W$7,OR(Dashboard!$D$6="All accounts",$C311=Dashboard!$D$6),OR(Dashboard!$D$7="All markets",$AF311=Dashboard!$D$7)),1,0))</f>
        <v>0</v>
      </c>
      <c r="AT311" s="55">
        <f>IF($AS311=1,N(AT310)+$Q311,N(AT310))</f>
        <v>1187.10688</v>
      </c>
      <c r="AU311" s="55">
        <f>MAX(N(AU310),$AT311)</f>
        <v>1187.10688</v>
      </c>
      <c r="AV311" s="55">
        <f>$AT311-$AU311</f>
        <v>0</v>
      </c>
      <c r="AW311" s="56">
        <f>IF($AS311=1,IF($S311="Win",N(AW310)+1,IF($S311="Loss",0,N(AW310))),N(AW310))</f>
        <v>5</v>
      </c>
      <c r="AX311" s="56">
        <f>IF($AS311=1,IF($S311="Loss",N(AX310)+1,IF($S311="Win",0,N(AX310))),N(AX310))</f>
        <v>0</v>
      </c>
      <c r="AY311" s="56" t="str">
        <f>IF($AS311=1,COUNTIF($AS$6:$AS311,1),"")</f>
        <v/>
      </c>
      <c r="AZ311" s="56">
        <f>MIN(305,N(Lists!$W$8))</f>
        <v>28</v>
      </c>
      <c r="BA311" s="56">
        <f>IF($AS311=1,IF(COUNTIFS($A$6:$A311,$A311,$AS$6:$AS311,1)=1,1,0),0)</f>
        <v>0</v>
      </c>
      <c r="BB311" s="55" t="str">
        <f>IF($BA311=1,SUMIFS($Q$6:$Q$1005,$A$6:$A$1005,$A311,$AS$6:$AS$1005,1),"")</f>
        <v/>
      </c>
      <c r="BC311" s="56">
        <f>IF(ISNUMBER($R311),1,0)</f>
        <v>0</v>
      </c>
      <c r="BD311" s="55" t="str">
        <f>IF(ISNUMBER($U311),$U311*$V311,"")</f>
        <v/>
      </c>
      <c r="BE311" s="56" t="str">
        <f>IF($AM311=0,"",IFERROR(MATCH($AF311&amp;"|"&amp;UPPER(TRIM($E311)),Lists!$A$6:$A$205,0),0))</f>
        <v/>
      </c>
      <c r="BF311" s="56" t="str">
        <f>IF($AM311=0,"",IFERROR(MATCH($AF311,Settings!$B$14:$B$18,0),IFERROR(MATCH(Settings!$C$6,Settings!$B$14:$B$18,0),1)))</f>
        <v/>
      </c>
      <c r="BG311" s="58" t="str">
        <f>IF($AM311=0,"",IF(NOT(ISNUMBER($I311)),"No stop; ","")&amp;IF(AND(ISNUMBER($H311),ISNUMBER($I311)),IF(OR(AND($F311&lt;&gt;"Short",$I311&gt;=$H311),AND($F311="Short",$I311&lt;=$H311)),"Stop on wrong side; ",""),"")&amp;IF($F311="","No direction; ","")&amp;IF(AND(ISNUMBER(Settings!$C$22),ISNUMBER($V311)),IF($V311&gt;Settings!$C$22,"Risk over max $; ",""),"")&amp;IF(AND(ISNUMBER(Settings!$C$23),ISNUMBER($V311),ISNUMBER($AP311),IFERROR(N(INDEX(Accounts!$E$7:$E$16,MATCH($C311,Accounts!$B$7:$B$16,0))),0)&gt;0),IF($V311&gt;Settings!$C$23*($AP311-N($Q311)),"Risk over max %; ",""),"")&amp;IF(AND(ISNUMBER(Settings!$C$24),ISNUMBER($N311)),IF($N311&gt;Settings!$C$24,"Leverage over max; ",""),"")&amp;IF(AND(ISNUMBER(Settings!$C$27),ISNUMBER($T311)),IF($T311&lt;Settings!$C$27,"R:R below min; ",""),"")&amp;IF(ISNUMBER(Settings!$C$25),IF(COUNTIFS($A$6:$A311,$A311,$AM$6:$AM311,1)&gt;Settings!$C$25,"Over max trades/day; ",""),"")&amp;IF(ISNUMBER(Settings!$C$26),IF(SUMIFS($Q$5:$Q310,$A$5:$A310,$A311)&lt;=-Settings!$C$26,"Traded after daily max loss; ",""),"")&amp;IF(AND($AG311="",NOT(ISNUMBER($O311))),"Symbol not in Instruments; ","")&amp;IF(AND($AH311="",NOT(ISNUMBER($O311))),"Forex cross: type Gross P&amp;L; ",""))</f>
        <v/>
      </c>
      <c r="BH311" s="56">
        <f>IF(ISNUMBER($Q311),1,0)</f>
        <v>0</v>
      </c>
      <c r="BI311" s="56">
        <f>IF($Y311="",0,1)</f>
        <v>0</v>
      </c>
      <c r="BJ311" s="56">
        <f>IF($AB311="",0,1)</f>
        <v>0</v>
      </c>
      <c r="BK311" s="56">
        <f>IF(AND($BH311=1,$W311&lt;&gt;"OK"),1,0)</f>
        <v>0</v>
      </c>
      <c r="BL311" s="55">
        <f>IF(N($AZ311)=0,0,IFERROR(INDEX($AT$6:$AT$1005,MATCH($AZ311,$AY$6:$AY$1005,0)),0))</f>
        <v>1187.10688</v>
      </c>
      <c r="BM311" s="56">
        <f>IF(ISNUMBER(SEARCH("daily max loss",$BG311)),1,0)</f>
        <v>0</v>
      </c>
    </row>
    <row r="312" ht="18" customHeight="1">
      <c r="A312" s="38" t="n"/>
      <c r="B312" s="39" t="n"/>
      <c r="C312" s="40" t="n"/>
      <c r="D312" s="41" t="n"/>
      <c r="E312" s="41" t="n"/>
      <c r="F312" s="41" t="n"/>
      <c r="G312" s="41" t="n"/>
      <c r="H312" s="42" t="n"/>
      <c r="I312" s="42" t="n"/>
      <c r="J312" s="42" t="n"/>
      <c r="K312" s="42" t="n"/>
      <c r="L312" s="41" t="n"/>
      <c r="M312" s="41" t="n"/>
      <c r="N312" s="41" t="n"/>
      <c r="O312" s="43" t="n"/>
      <c r="P312" s="43" t="n"/>
      <c r="Q312" s="44" t="str">
        <f>IF($AM312=0,"",IF(ISNUMBER($AK312),$AK312-N($AL312),""))</f>
        <v/>
      </c>
      <c r="R312" s="45" t="str">
        <f>IF(OR($Q312="",NOT(ISNUMBER($V312))),"",$AK312/$V312)</f>
        <v/>
      </c>
      <c r="S312" s="46" t="str">
        <f>IF($Q312="","",IF(AND(ISNUMBER($R312),ABS(N($R312))&lt;N(Settings!$C$8)),"Scratch",IF($Q312&gt;0,"Win",IF($Q312&lt;0,"Loss","Scratch"))))</f>
        <v/>
      </c>
      <c r="T312" s="47" t="str">
        <f>IF(OR($AM312=0,NOT(ISNUMBER($H312)),NOT(ISNUMBER($I312)),NOT(ISNUMBER($J312))),"",IF($H312=$I312,"",ROUND(ABS($J312-$H312)/ABS($H312-$I312),6)))</f>
        <v/>
      </c>
      <c r="U312" s="48" t="str">
        <f>IF(OR($S312&lt;&gt;"Win",NOT(ISNUMBER($T312)),NOT(ISNUMBER($R312))),"",MAX(0,$T312-$R312))</f>
        <v/>
      </c>
      <c r="V312" s="49" t="str">
        <f>IF(OR($AM312=0,NOT(ISNUMBER($H312)),NOT(ISNUMBER($I312)),NOT(ISNUMBER($G312))),"",IF(OR($AG312="",$AH312=""),"",IF(ROUND(ABS($H312-$I312)*ABS($G312)*$AG312*$AH312,6)=0,"",ROUND(ABS($H312-$I312)*ABS($G312)*$AG312*$AH312,6))))</f>
        <v/>
      </c>
      <c r="W312" s="50" t="str">
        <f>IF($AM312=0,"",IF($BG312="","OK",LEFT($BG312,LEN($BG312)-2)))</f>
        <v/>
      </c>
      <c r="X312" s="41" t="n"/>
      <c r="Y312" s="40" t="n"/>
      <c r="Z312" s="41" t="n"/>
      <c r="AA312" s="41" t="n"/>
      <c r="AB312" s="40" t="n"/>
      <c r="AC312" s="51" t="n"/>
      <c r="AD312" s="51" t="n"/>
      <c r="AE312" s="40" t="n"/>
      <c r="AF312" s="52" t="str">
        <f>IF($AM312=0,"",IF($D312&lt;&gt;"",$D312,IF(IFERROR(INDEX(Accounts!$C$7:$C$16,MATCH($C312,Accounts!$B$7:$B$16,0))&amp;"","")&lt;&gt;"",INDEX(Accounts!$C$7:$C$16,MATCH($C312,Accounts!$B$7:$B$16,0)),Settings!$C$6)))</f>
        <v/>
      </c>
      <c r="AG312" s="53" t="str">
        <f>IF($AM312=0,"",IF(AND($BE312&gt;0,N(INDEX(Instruments!$D$6:$D$205,MAX(1,$BE312)))&gt;0),INDEX(Instruments!$D$6:$D$205,MAX(1,$BE312)),IF(N(INDEX(Settings!$D$14:$D$18,$BF312))&gt;0,INDEX(Settings!$D$14:$D$18,$BF312),"")))</f>
        <v/>
      </c>
      <c r="AH312" s="54" t="str">
        <f>IF($AM312=0,"",IF($AF312&lt;&gt;"Forex",1,IF(MID(UPPER(SUBSTITUTE(TRIM($E312),"/","")),4,3)=UPPER(TRIM(Settings!$C$7)),1,IF(LEFT(UPPER(SUBSTITUTE(TRIM($E312),"/","")),3)=UPPER(TRIM(Settings!$C$7)),IF(AND(ISNUMBER($K312),N($K312)&lt;&gt;0),1/$K312,""),""))))</f>
        <v/>
      </c>
      <c r="AI312" s="55" t="str">
        <f>IF($AM312=0,"",IF(OR(NOT(ISNUMBER($H312)),NOT(ISNUMBER($K312)),NOT(ISNUMBER($G312)),$AG312="",$AH312=""),"",ROUND(($K312-$H312)*IF($F312="Short",-1,1)*$G312*$AG312*$AH312,6)))</f>
        <v/>
      </c>
      <c r="AJ312" s="55" t="str">
        <f>IF($AM312=0,"",IF(INDEX(Settings!$E$14:$E$18,$BF312)="% of notional",IF(OR($AG312="",NOT(ISNUMBER($H312)),NOT(ISNUMBER($G312))),"",ROUND(ABS($H312*$G312*$AG312*N($AH312))*IF($L312="Limit",N(INDEX(Settings!$G$14:$G$18,$BF312)),N(INDEX(Settings!$H$14:$H$18,$BF312)))+IF(ISNUMBER($K312),ABS($K312*$G312*$AG312*N($AH312))*IF($M312="Target",N(INDEX(Settings!$G$14:$G$18,$BF312)),N(INDEX(Settings!$H$14:$H$18,$BF312))),0),6)),IF(NOT(ISNUMBER($G312)),"",ROUND(ABS($G312)*2*IF(AND($BE312&gt;0,ISNUMBER(INDEX(Instruments!$G$6:$G$205,MAX(1,$BE312)))),INDEX(Instruments!$G$6:$G$205,MAX(1,$BE312)),N(INDEX(Settings!$F$14:$F$18,$BF312))),6))))</f>
        <v/>
      </c>
      <c r="AK312" s="55" t="str">
        <f>IF($AM312=0,"",IF(ISNUMBER($O312),$O312,$AI312))</f>
        <v/>
      </c>
      <c r="AL312" s="55" t="str">
        <f>IF($AM312=0,"",IF(ISNUMBER($P312),$P312,N($AJ312)))</f>
        <v/>
      </c>
      <c r="AM312" s="56">
        <f>IF(AND($A312&lt;&gt;"",$E312&lt;&gt;"",OR(AND(ISNUMBER($G312),ISNUMBER($H312),ISNUMBER($K312)),ISNUMBER($O312))),1,0)</f>
        <v>0</v>
      </c>
      <c r="AN312" s="57" t="str">
        <f>IF($A312="","",$A312-WEEKDAY($A312,3))</f>
        <v/>
      </c>
      <c r="AO312" s="56" t="str">
        <f>IF($A312="","",WEEKDAY($A312,2))</f>
        <v/>
      </c>
      <c r="AP312" s="55" t="str">
        <f>IF(OR($AM312=0,$C312=""),"",IFERROR(N(INDEX(Accounts!$E$7:$E$16,MATCH($C312,Accounts!$B$7:$B$16,0))),0)+SUMIFS($Q$6:$Q312,$C$6:$C312,$C312))</f>
        <v/>
      </c>
      <c r="AQ312" s="55" t="str">
        <f>IF(OR($AM312=0,$C312=""),"",SUMIFS($Q$6:$Q$1005,$C$6:$C$1005,$C312,$A$6:$A$1005,$A312))</f>
        <v/>
      </c>
      <c r="AR312" s="55" t="str">
        <f>IF(OR($AM312=0,$C312=""),"",IFERROR(N(INDEX(Accounts!$E$7:$E$16,MATCH($C312,Accounts!$B$7:$B$16,0))),0)+SUMIFS($Q$6:$Q$1005,$C$6:$C$1005,$C312,$A$6:$A$1005,"&lt;="&amp;$A312))</f>
        <v/>
      </c>
      <c r="AS312" s="56">
        <f>IF(OR($AM312=0,$Q312=""),0,IF(AND($A312&gt;=Lists!$W$6,$A312&lt;=Lists!$W$7,OR(Dashboard!$D$6="All accounts",$C312=Dashboard!$D$6),OR(Dashboard!$D$7="All markets",$AF312=Dashboard!$D$7)),1,0))</f>
        <v>0</v>
      </c>
      <c r="AT312" s="55">
        <f>IF($AS312=1,N(AT311)+$Q312,N(AT311))</f>
        <v>1187.10688</v>
      </c>
      <c r="AU312" s="55">
        <f>MAX(N(AU311),$AT312)</f>
        <v>1187.10688</v>
      </c>
      <c r="AV312" s="55">
        <f>$AT312-$AU312</f>
        <v>0</v>
      </c>
      <c r="AW312" s="56">
        <f>IF($AS312=1,IF($S312="Win",N(AW311)+1,IF($S312="Loss",0,N(AW311))),N(AW311))</f>
        <v>5</v>
      </c>
      <c r="AX312" s="56">
        <f>IF($AS312=1,IF($S312="Loss",N(AX311)+1,IF($S312="Win",0,N(AX311))),N(AX311))</f>
        <v>0</v>
      </c>
      <c r="AY312" s="56" t="str">
        <f>IF($AS312=1,COUNTIF($AS$6:$AS312,1),"")</f>
        <v/>
      </c>
      <c r="AZ312" s="56">
        <f>MIN(306,N(Lists!$W$8))</f>
        <v>28</v>
      </c>
      <c r="BA312" s="56">
        <f>IF($AS312=1,IF(COUNTIFS($A$6:$A312,$A312,$AS$6:$AS312,1)=1,1,0),0)</f>
        <v>0</v>
      </c>
      <c r="BB312" s="55" t="str">
        <f>IF($BA312=1,SUMIFS($Q$6:$Q$1005,$A$6:$A$1005,$A312,$AS$6:$AS$1005,1),"")</f>
        <v/>
      </c>
      <c r="BC312" s="56">
        <f>IF(ISNUMBER($R312),1,0)</f>
        <v>0</v>
      </c>
      <c r="BD312" s="55" t="str">
        <f>IF(ISNUMBER($U312),$U312*$V312,"")</f>
        <v/>
      </c>
      <c r="BE312" s="56" t="str">
        <f>IF($AM312=0,"",IFERROR(MATCH($AF312&amp;"|"&amp;UPPER(TRIM($E312)),Lists!$A$6:$A$205,0),0))</f>
        <v/>
      </c>
      <c r="BF312" s="56" t="str">
        <f>IF($AM312=0,"",IFERROR(MATCH($AF312,Settings!$B$14:$B$18,0),IFERROR(MATCH(Settings!$C$6,Settings!$B$14:$B$18,0),1)))</f>
        <v/>
      </c>
      <c r="BG312" s="58" t="str">
        <f>IF($AM312=0,"",IF(NOT(ISNUMBER($I312)),"No stop; ","")&amp;IF(AND(ISNUMBER($H312),ISNUMBER($I312)),IF(OR(AND($F312&lt;&gt;"Short",$I312&gt;=$H312),AND($F312="Short",$I312&lt;=$H312)),"Stop on wrong side; ",""),"")&amp;IF($F312="","No direction; ","")&amp;IF(AND(ISNUMBER(Settings!$C$22),ISNUMBER($V312)),IF($V312&gt;Settings!$C$22,"Risk over max $; ",""),"")&amp;IF(AND(ISNUMBER(Settings!$C$23),ISNUMBER($V312),ISNUMBER($AP312),IFERROR(N(INDEX(Accounts!$E$7:$E$16,MATCH($C312,Accounts!$B$7:$B$16,0))),0)&gt;0),IF($V312&gt;Settings!$C$23*($AP312-N($Q312)),"Risk over max %; ",""),"")&amp;IF(AND(ISNUMBER(Settings!$C$24),ISNUMBER($N312)),IF($N312&gt;Settings!$C$24,"Leverage over max; ",""),"")&amp;IF(AND(ISNUMBER(Settings!$C$27),ISNUMBER($T312)),IF($T312&lt;Settings!$C$27,"R:R below min; ",""),"")&amp;IF(ISNUMBER(Settings!$C$25),IF(COUNTIFS($A$6:$A312,$A312,$AM$6:$AM312,1)&gt;Settings!$C$25,"Over max trades/day; ",""),"")&amp;IF(ISNUMBER(Settings!$C$26),IF(SUMIFS($Q$5:$Q311,$A$5:$A311,$A312)&lt;=-Settings!$C$26,"Traded after daily max loss; ",""),"")&amp;IF(AND($AG312="",NOT(ISNUMBER($O312))),"Symbol not in Instruments; ","")&amp;IF(AND($AH312="",NOT(ISNUMBER($O312))),"Forex cross: type Gross P&amp;L; ",""))</f>
        <v/>
      </c>
      <c r="BH312" s="56">
        <f>IF(ISNUMBER($Q312),1,0)</f>
        <v>0</v>
      </c>
      <c r="BI312" s="56">
        <f>IF($Y312="",0,1)</f>
        <v>0</v>
      </c>
      <c r="BJ312" s="56">
        <f>IF($AB312="",0,1)</f>
        <v>0</v>
      </c>
      <c r="BK312" s="56">
        <f>IF(AND($BH312=1,$W312&lt;&gt;"OK"),1,0)</f>
        <v>0</v>
      </c>
      <c r="BL312" s="55">
        <f>IF(N($AZ312)=0,0,IFERROR(INDEX($AT$6:$AT$1005,MATCH($AZ312,$AY$6:$AY$1005,0)),0))</f>
        <v>1187.10688</v>
      </c>
      <c r="BM312" s="56">
        <f>IF(ISNUMBER(SEARCH("daily max loss",$BG312)),1,0)</f>
        <v>0</v>
      </c>
    </row>
    <row r="313" ht="18" customHeight="1">
      <c r="A313" s="38" t="n"/>
      <c r="B313" s="39" t="n"/>
      <c r="C313" s="40" t="n"/>
      <c r="D313" s="41" t="n"/>
      <c r="E313" s="41" t="n"/>
      <c r="F313" s="41" t="n"/>
      <c r="G313" s="41" t="n"/>
      <c r="H313" s="42" t="n"/>
      <c r="I313" s="42" t="n"/>
      <c r="J313" s="42" t="n"/>
      <c r="K313" s="42" t="n"/>
      <c r="L313" s="41" t="n"/>
      <c r="M313" s="41" t="n"/>
      <c r="N313" s="41" t="n"/>
      <c r="O313" s="43" t="n"/>
      <c r="P313" s="43" t="n"/>
      <c r="Q313" s="44" t="str">
        <f>IF($AM313=0,"",IF(ISNUMBER($AK313),$AK313-N($AL313),""))</f>
        <v/>
      </c>
      <c r="R313" s="45" t="str">
        <f>IF(OR($Q313="",NOT(ISNUMBER($V313))),"",$AK313/$V313)</f>
        <v/>
      </c>
      <c r="S313" s="46" t="str">
        <f>IF($Q313="","",IF(AND(ISNUMBER($R313),ABS(N($R313))&lt;N(Settings!$C$8)),"Scratch",IF($Q313&gt;0,"Win",IF($Q313&lt;0,"Loss","Scratch"))))</f>
        <v/>
      </c>
      <c r="T313" s="47" t="str">
        <f>IF(OR($AM313=0,NOT(ISNUMBER($H313)),NOT(ISNUMBER($I313)),NOT(ISNUMBER($J313))),"",IF($H313=$I313,"",ROUND(ABS($J313-$H313)/ABS($H313-$I313),6)))</f>
        <v/>
      </c>
      <c r="U313" s="48" t="str">
        <f>IF(OR($S313&lt;&gt;"Win",NOT(ISNUMBER($T313)),NOT(ISNUMBER($R313))),"",MAX(0,$T313-$R313))</f>
        <v/>
      </c>
      <c r="V313" s="49" t="str">
        <f>IF(OR($AM313=0,NOT(ISNUMBER($H313)),NOT(ISNUMBER($I313)),NOT(ISNUMBER($G313))),"",IF(OR($AG313="",$AH313=""),"",IF(ROUND(ABS($H313-$I313)*ABS($G313)*$AG313*$AH313,6)=0,"",ROUND(ABS($H313-$I313)*ABS($G313)*$AG313*$AH313,6))))</f>
        <v/>
      </c>
      <c r="W313" s="50" t="str">
        <f>IF($AM313=0,"",IF($BG313="","OK",LEFT($BG313,LEN($BG313)-2)))</f>
        <v/>
      </c>
      <c r="X313" s="41" t="n"/>
      <c r="Y313" s="40" t="n"/>
      <c r="Z313" s="41" t="n"/>
      <c r="AA313" s="41" t="n"/>
      <c r="AB313" s="40" t="n"/>
      <c r="AC313" s="51" t="n"/>
      <c r="AD313" s="51" t="n"/>
      <c r="AE313" s="40" t="n"/>
      <c r="AF313" s="52" t="str">
        <f>IF($AM313=0,"",IF($D313&lt;&gt;"",$D313,IF(IFERROR(INDEX(Accounts!$C$7:$C$16,MATCH($C313,Accounts!$B$7:$B$16,0))&amp;"","")&lt;&gt;"",INDEX(Accounts!$C$7:$C$16,MATCH($C313,Accounts!$B$7:$B$16,0)),Settings!$C$6)))</f>
        <v/>
      </c>
      <c r="AG313" s="53" t="str">
        <f>IF($AM313=0,"",IF(AND($BE313&gt;0,N(INDEX(Instruments!$D$6:$D$205,MAX(1,$BE313)))&gt;0),INDEX(Instruments!$D$6:$D$205,MAX(1,$BE313)),IF(N(INDEX(Settings!$D$14:$D$18,$BF313))&gt;0,INDEX(Settings!$D$14:$D$18,$BF313),"")))</f>
        <v/>
      </c>
      <c r="AH313" s="54" t="str">
        <f>IF($AM313=0,"",IF($AF313&lt;&gt;"Forex",1,IF(MID(UPPER(SUBSTITUTE(TRIM($E313),"/","")),4,3)=UPPER(TRIM(Settings!$C$7)),1,IF(LEFT(UPPER(SUBSTITUTE(TRIM($E313),"/","")),3)=UPPER(TRIM(Settings!$C$7)),IF(AND(ISNUMBER($K313),N($K313)&lt;&gt;0),1/$K313,""),""))))</f>
        <v/>
      </c>
      <c r="AI313" s="55" t="str">
        <f>IF($AM313=0,"",IF(OR(NOT(ISNUMBER($H313)),NOT(ISNUMBER($K313)),NOT(ISNUMBER($G313)),$AG313="",$AH313=""),"",ROUND(($K313-$H313)*IF($F313="Short",-1,1)*$G313*$AG313*$AH313,6)))</f>
        <v/>
      </c>
      <c r="AJ313" s="55" t="str">
        <f>IF($AM313=0,"",IF(INDEX(Settings!$E$14:$E$18,$BF313)="% of notional",IF(OR($AG313="",NOT(ISNUMBER($H313)),NOT(ISNUMBER($G313))),"",ROUND(ABS($H313*$G313*$AG313*N($AH313))*IF($L313="Limit",N(INDEX(Settings!$G$14:$G$18,$BF313)),N(INDEX(Settings!$H$14:$H$18,$BF313)))+IF(ISNUMBER($K313),ABS($K313*$G313*$AG313*N($AH313))*IF($M313="Target",N(INDEX(Settings!$G$14:$G$18,$BF313)),N(INDEX(Settings!$H$14:$H$18,$BF313))),0),6)),IF(NOT(ISNUMBER($G313)),"",ROUND(ABS($G313)*2*IF(AND($BE313&gt;0,ISNUMBER(INDEX(Instruments!$G$6:$G$205,MAX(1,$BE313)))),INDEX(Instruments!$G$6:$G$205,MAX(1,$BE313)),N(INDEX(Settings!$F$14:$F$18,$BF313))),6))))</f>
        <v/>
      </c>
      <c r="AK313" s="55" t="str">
        <f>IF($AM313=0,"",IF(ISNUMBER($O313),$O313,$AI313))</f>
        <v/>
      </c>
      <c r="AL313" s="55" t="str">
        <f>IF($AM313=0,"",IF(ISNUMBER($P313),$P313,N($AJ313)))</f>
        <v/>
      </c>
      <c r="AM313" s="56">
        <f>IF(AND($A313&lt;&gt;"",$E313&lt;&gt;"",OR(AND(ISNUMBER($G313),ISNUMBER($H313),ISNUMBER($K313)),ISNUMBER($O313))),1,0)</f>
        <v>0</v>
      </c>
      <c r="AN313" s="57" t="str">
        <f>IF($A313="","",$A313-WEEKDAY($A313,3))</f>
        <v/>
      </c>
      <c r="AO313" s="56" t="str">
        <f>IF($A313="","",WEEKDAY($A313,2))</f>
        <v/>
      </c>
      <c r="AP313" s="55" t="str">
        <f>IF(OR($AM313=0,$C313=""),"",IFERROR(N(INDEX(Accounts!$E$7:$E$16,MATCH($C313,Accounts!$B$7:$B$16,0))),0)+SUMIFS($Q$6:$Q313,$C$6:$C313,$C313))</f>
        <v/>
      </c>
      <c r="AQ313" s="55" t="str">
        <f>IF(OR($AM313=0,$C313=""),"",SUMIFS($Q$6:$Q$1005,$C$6:$C$1005,$C313,$A$6:$A$1005,$A313))</f>
        <v/>
      </c>
      <c r="AR313" s="55" t="str">
        <f>IF(OR($AM313=0,$C313=""),"",IFERROR(N(INDEX(Accounts!$E$7:$E$16,MATCH($C313,Accounts!$B$7:$B$16,0))),0)+SUMIFS($Q$6:$Q$1005,$C$6:$C$1005,$C313,$A$6:$A$1005,"&lt;="&amp;$A313))</f>
        <v/>
      </c>
      <c r="AS313" s="56">
        <f>IF(OR($AM313=0,$Q313=""),0,IF(AND($A313&gt;=Lists!$W$6,$A313&lt;=Lists!$W$7,OR(Dashboard!$D$6="All accounts",$C313=Dashboard!$D$6),OR(Dashboard!$D$7="All markets",$AF313=Dashboard!$D$7)),1,0))</f>
        <v>0</v>
      </c>
      <c r="AT313" s="55">
        <f>IF($AS313=1,N(AT312)+$Q313,N(AT312))</f>
        <v>1187.10688</v>
      </c>
      <c r="AU313" s="55">
        <f>MAX(N(AU312),$AT313)</f>
        <v>1187.10688</v>
      </c>
      <c r="AV313" s="55">
        <f>$AT313-$AU313</f>
        <v>0</v>
      </c>
      <c r="AW313" s="56">
        <f>IF($AS313=1,IF($S313="Win",N(AW312)+1,IF($S313="Loss",0,N(AW312))),N(AW312))</f>
        <v>5</v>
      </c>
      <c r="AX313" s="56">
        <f>IF($AS313=1,IF($S313="Loss",N(AX312)+1,IF($S313="Win",0,N(AX312))),N(AX312))</f>
        <v>0</v>
      </c>
      <c r="AY313" s="56" t="str">
        <f>IF($AS313=1,COUNTIF($AS$6:$AS313,1),"")</f>
        <v/>
      </c>
      <c r="AZ313" s="56">
        <f>MIN(307,N(Lists!$W$8))</f>
        <v>28</v>
      </c>
      <c r="BA313" s="56">
        <f>IF($AS313=1,IF(COUNTIFS($A$6:$A313,$A313,$AS$6:$AS313,1)=1,1,0),0)</f>
        <v>0</v>
      </c>
      <c r="BB313" s="55" t="str">
        <f>IF($BA313=1,SUMIFS($Q$6:$Q$1005,$A$6:$A$1005,$A313,$AS$6:$AS$1005,1),"")</f>
        <v/>
      </c>
      <c r="BC313" s="56">
        <f>IF(ISNUMBER($R313),1,0)</f>
        <v>0</v>
      </c>
      <c r="BD313" s="55" t="str">
        <f>IF(ISNUMBER($U313),$U313*$V313,"")</f>
        <v/>
      </c>
      <c r="BE313" s="56" t="str">
        <f>IF($AM313=0,"",IFERROR(MATCH($AF313&amp;"|"&amp;UPPER(TRIM($E313)),Lists!$A$6:$A$205,0),0))</f>
        <v/>
      </c>
      <c r="BF313" s="56" t="str">
        <f>IF($AM313=0,"",IFERROR(MATCH($AF313,Settings!$B$14:$B$18,0),IFERROR(MATCH(Settings!$C$6,Settings!$B$14:$B$18,0),1)))</f>
        <v/>
      </c>
      <c r="BG313" s="58" t="str">
        <f>IF($AM313=0,"",IF(NOT(ISNUMBER($I313)),"No stop; ","")&amp;IF(AND(ISNUMBER($H313),ISNUMBER($I313)),IF(OR(AND($F313&lt;&gt;"Short",$I313&gt;=$H313),AND($F313="Short",$I313&lt;=$H313)),"Stop on wrong side; ",""),"")&amp;IF($F313="","No direction; ","")&amp;IF(AND(ISNUMBER(Settings!$C$22),ISNUMBER($V313)),IF($V313&gt;Settings!$C$22,"Risk over max $; ",""),"")&amp;IF(AND(ISNUMBER(Settings!$C$23),ISNUMBER($V313),ISNUMBER($AP313),IFERROR(N(INDEX(Accounts!$E$7:$E$16,MATCH($C313,Accounts!$B$7:$B$16,0))),0)&gt;0),IF($V313&gt;Settings!$C$23*($AP313-N($Q313)),"Risk over max %; ",""),"")&amp;IF(AND(ISNUMBER(Settings!$C$24),ISNUMBER($N313)),IF($N313&gt;Settings!$C$24,"Leverage over max; ",""),"")&amp;IF(AND(ISNUMBER(Settings!$C$27),ISNUMBER($T313)),IF($T313&lt;Settings!$C$27,"R:R below min; ",""),"")&amp;IF(ISNUMBER(Settings!$C$25),IF(COUNTIFS($A$6:$A313,$A313,$AM$6:$AM313,1)&gt;Settings!$C$25,"Over max trades/day; ",""),"")&amp;IF(ISNUMBER(Settings!$C$26),IF(SUMIFS($Q$5:$Q312,$A$5:$A312,$A313)&lt;=-Settings!$C$26,"Traded after daily max loss; ",""),"")&amp;IF(AND($AG313="",NOT(ISNUMBER($O313))),"Symbol not in Instruments; ","")&amp;IF(AND($AH313="",NOT(ISNUMBER($O313))),"Forex cross: type Gross P&amp;L; ",""))</f>
        <v/>
      </c>
      <c r="BH313" s="56">
        <f>IF(ISNUMBER($Q313),1,0)</f>
        <v>0</v>
      </c>
      <c r="BI313" s="56">
        <f>IF($Y313="",0,1)</f>
        <v>0</v>
      </c>
      <c r="BJ313" s="56">
        <f>IF($AB313="",0,1)</f>
        <v>0</v>
      </c>
      <c r="BK313" s="56">
        <f>IF(AND($BH313=1,$W313&lt;&gt;"OK"),1,0)</f>
        <v>0</v>
      </c>
      <c r="BL313" s="55">
        <f>IF(N($AZ313)=0,0,IFERROR(INDEX($AT$6:$AT$1005,MATCH($AZ313,$AY$6:$AY$1005,0)),0))</f>
        <v>1187.10688</v>
      </c>
      <c r="BM313" s="56">
        <f>IF(ISNUMBER(SEARCH("daily max loss",$BG313)),1,0)</f>
        <v>0</v>
      </c>
    </row>
    <row r="314" ht="18" customHeight="1">
      <c r="A314" s="38" t="n"/>
      <c r="B314" s="39" t="n"/>
      <c r="C314" s="40" t="n"/>
      <c r="D314" s="41" t="n"/>
      <c r="E314" s="41" t="n"/>
      <c r="F314" s="41" t="n"/>
      <c r="G314" s="41" t="n"/>
      <c r="H314" s="42" t="n"/>
      <c r="I314" s="42" t="n"/>
      <c r="J314" s="42" t="n"/>
      <c r="K314" s="42" t="n"/>
      <c r="L314" s="41" t="n"/>
      <c r="M314" s="41" t="n"/>
      <c r="N314" s="41" t="n"/>
      <c r="O314" s="43" t="n"/>
      <c r="P314" s="43" t="n"/>
      <c r="Q314" s="44" t="str">
        <f>IF($AM314=0,"",IF(ISNUMBER($AK314),$AK314-N($AL314),""))</f>
        <v/>
      </c>
      <c r="R314" s="45" t="str">
        <f>IF(OR($Q314="",NOT(ISNUMBER($V314))),"",$AK314/$V314)</f>
        <v/>
      </c>
      <c r="S314" s="46" t="str">
        <f>IF($Q314="","",IF(AND(ISNUMBER($R314),ABS(N($R314))&lt;N(Settings!$C$8)),"Scratch",IF($Q314&gt;0,"Win",IF($Q314&lt;0,"Loss","Scratch"))))</f>
        <v/>
      </c>
      <c r="T314" s="47" t="str">
        <f>IF(OR($AM314=0,NOT(ISNUMBER($H314)),NOT(ISNUMBER($I314)),NOT(ISNUMBER($J314))),"",IF($H314=$I314,"",ROUND(ABS($J314-$H314)/ABS($H314-$I314),6)))</f>
        <v/>
      </c>
      <c r="U314" s="48" t="str">
        <f>IF(OR($S314&lt;&gt;"Win",NOT(ISNUMBER($T314)),NOT(ISNUMBER($R314))),"",MAX(0,$T314-$R314))</f>
        <v/>
      </c>
      <c r="V314" s="49" t="str">
        <f>IF(OR($AM314=0,NOT(ISNUMBER($H314)),NOT(ISNUMBER($I314)),NOT(ISNUMBER($G314))),"",IF(OR($AG314="",$AH314=""),"",IF(ROUND(ABS($H314-$I314)*ABS($G314)*$AG314*$AH314,6)=0,"",ROUND(ABS($H314-$I314)*ABS($G314)*$AG314*$AH314,6))))</f>
        <v/>
      </c>
      <c r="W314" s="50" t="str">
        <f>IF($AM314=0,"",IF($BG314="","OK",LEFT($BG314,LEN($BG314)-2)))</f>
        <v/>
      </c>
      <c r="X314" s="41" t="n"/>
      <c r="Y314" s="40" t="n"/>
      <c r="Z314" s="41" t="n"/>
      <c r="AA314" s="41" t="n"/>
      <c r="AB314" s="40" t="n"/>
      <c r="AC314" s="51" t="n"/>
      <c r="AD314" s="51" t="n"/>
      <c r="AE314" s="40" t="n"/>
      <c r="AF314" s="52" t="str">
        <f>IF($AM314=0,"",IF($D314&lt;&gt;"",$D314,IF(IFERROR(INDEX(Accounts!$C$7:$C$16,MATCH($C314,Accounts!$B$7:$B$16,0))&amp;"","")&lt;&gt;"",INDEX(Accounts!$C$7:$C$16,MATCH($C314,Accounts!$B$7:$B$16,0)),Settings!$C$6)))</f>
        <v/>
      </c>
      <c r="AG314" s="53" t="str">
        <f>IF($AM314=0,"",IF(AND($BE314&gt;0,N(INDEX(Instruments!$D$6:$D$205,MAX(1,$BE314)))&gt;0),INDEX(Instruments!$D$6:$D$205,MAX(1,$BE314)),IF(N(INDEX(Settings!$D$14:$D$18,$BF314))&gt;0,INDEX(Settings!$D$14:$D$18,$BF314),"")))</f>
        <v/>
      </c>
      <c r="AH314" s="54" t="str">
        <f>IF($AM314=0,"",IF($AF314&lt;&gt;"Forex",1,IF(MID(UPPER(SUBSTITUTE(TRIM($E314),"/","")),4,3)=UPPER(TRIM(Settings!$C$7)),1,IF(LEFT(UPPER(SUBSTITUTE(TRIM($E314),"/","")),3)=UPPER(TRIM(Settings!$C$7)),IF(AND(ISNUMBER($K314),N($K314)&lt;&gt;0),1/$K314,""),""))))</f>
        <v/>
      </c>
      <c r="AI314" s="55" t="str">
        <f>IF($AM314=0,"",IF(OR(NOT(ISNUMBER($H314)),NOT(ISNUMBER($K314)),NOT(ISNUMBER($G314)),$AG314="",$AH314=""),"",ROUND(($K314-$H314)*IF($F314="Short",-1,1)*$G314*$AG314*$AH314,6)))</f>
        <v/>
      </c>
      <c r="AJ314" s="55" t="str">
        <f>IF($AM314=0,"",IF(INDEX(Settings!$E$14:$E$18,$BF314)="% of notional",IF(OR($AG314="",NOT(ISNUMBER($H314)),NOT(ISNUMBER($G314))),"",ROUND(ABS($H314*$G314*$AG314*N($AH314))*IF($L314="Limit",N(INDEX(Settings!$G$14:$G$18,$BF314)),N(INDEX(Settings!$H$14:$H$18,$BF314)))+IF(ISNUMBER($K314),ABS($K314*$G314*$AG314*N($AH314))*IF($M314="Target",N(INDEX(Settings!$G$14:$G$18,$BF314)),N(INDEX(Settings!$H$14:$H$18,$BF314))),0),6)),IF(NOT(ISNUMBER($G314)),"",ROUND(ABS($G314)*2*IF(AND($BE314&gt;0,ISNUMBER(INDEX(Instruments!$G$6:$G$205,MAX(1,$BE314)))),INDEX(Instruments!$G$6:$G$205,MAX(1,$BE314)),N(INDEX(Settings!$F$14:$F$18,$BF314))),6))))</f>
        <v/>
      </c>
      <c r="AK314" s="55" t="str">
        <f>IF($AM314=0,"",IF(ISNUMBER($O314),$O314,$AI314))</f>
        <v/>
      </c>
      <c r="AL314" s="55" t="str">
        <f>IF($AM314=0,"",IF(ISNUMBER($P314),$P314,N($AJ314)))</f>
        <v/>
      </c>
      <c r="AM314" s="56">
        <f>IF(AND($A314&lt;&gt;"",$E314&lt;&gt;"",OR(AND(ISNUMBER($G314),ISNUMBER($H314),ISNUMBER($K314)),ISNUMBER($O314))),1,0)</f>
        <v>0</v>
      </c>
      <c r="AN314" s="57" t="str">
        <f>IF($A314="","",$A314-WEEKDAY($A314,3))</f>
        <v/>
      </c>
      <c r="AO314" s="56" t="str">
        <f>IF($A314="","",WEEKDAY($A314,2))</f>
        <v/>
      </c>
      <c r="AP314" s="55" t="str">
        <f>IF(OR($AM314=0,$C314=""),"",IFERROR(N(INDEX(Accounts!$E$7:$E$16,MATCH($C314,Accounts!$B$7:$B$16,0))),0)+SUMIFS($Q$6:$Q314,$C$6:$C314,$C314))</f>
        <v/>
      </c>
      <c r="AQ314" s="55" t="str">
        <f>IF(OR($AM314=0,$C314=""),"",SUMIFS($Q$6:$Q$1005,$C$6:$C$1005,$C314,$A$6:$A$1005,$A314))</f>
        <v/>
      </c>
      <c r="AR314" s="55" t="str">
        <f>IF(OR($AM314=0,$C314=""),"",IFERROR(N(INDEX(Accounts!$E$7:$E$16,MATCH($C314,Accounts!$B$7:$B$16,0))),0)+SUMIFS($Q$6:$Q$1005,$C$6:$C$1005,$C314,$A$6:$A$1005,"&lt;="&amp;$A314))</f>
        <v/>
      </c>
      <c r="AS314" s="56">
        <f>IF(OR($AM314=0,$Q314=""),0,IF(AND($A314&gt;=Lists!$W$6,$A314&lt;=Lists!$W$7,OR(Dashboard!$D$6="All accounts",$C314=Dashboard!$D$6),OR(Dashboard!$D$7="All markets",$AF314=Dashboard!$D$7)),1,0))</f>
        <v>0</v>
      </c>
      <c r="AT314" s="55">
        <f>IF($AS314=1,N(AT313)+$Q314,N(AT313))</f>
        <v>1187.10688</v>
      </c>
      <c r="AU314" s="55">
        <f>MAX(N(AU313),$AT314)</f>
        <v>1187.10688</v>
      </c>
      <c r="AV314" s="55">
        <f>$AT314-$AU314</f>
        <v>0</v>
      </c>
      <c r="AW314" s="56">
        <f>IF($AS314=1,IF($S314="Win",N(AW313)+1,IF($S314="Loss",0,N(AW313))),N(AW313))</f>
        <v>5</v>
      </c>
      <c r="AX314" s="56">
        <f>IF($AS314=1,IF($S314="Loss",N(AX313)+1,IF($S314="Win",0,N(AX313))),N(AX313))</f>
        <v>0</v>
      </c>
      <c r="AY314" s="56" t="str">
        <f>IF($AS314=1,COUNTIF($AS$6:$AS314,1),"")</f>
        <v/>
      </c>
      <c r="AZ314" s="56">
        <f>MIN(308,N(Lists!$W$8))</f>
        <v>28</v>
      </c>
      <c r="BA314" s="56">
        <f>IF($AS314=1,IF(COUNTIFS($A$6:$A314,$A314,$AS$6:$AS314,1)=1,1,0),0)</f>
        <v>0</v>
      </c>
      <c r="BB314" s="55" t="str">
        <f>IF($BA314=1,SUMIFS($Q$6:$Q$1005,$A$6:$A$1005,$A314,$AS$6:$AS$1005,1),"")</f>
        <v/>
      </c>
      <c r="BC314" s="56">
        <f>IF(ISNUMBER($R314),1,0)</f>
        <v>0</v>
      </c>
      <c r="BD314" s="55" t="str">
        <f>IF(ISNUMBER($U314),$U314*$V314,"")</f>
        <v/>
      </c>
      <c r="BE314" s="56" t="str">
        <f>IF($AM314=0,"",IFERROR(MATCH($AF314&amp;"|"&amp;UPPER(TRIM($E314)),Lists!$A$6:$A$205,0),0))</f>
        <v/>
      </c>
      <c r="BF314" s="56" t="str">
        <f>IF($AM314=0,"",IFERROR(MATCH($AF314,Settings!$B$14:$B$18,0),IFERROR(MATCH(Settings!$C$6,Settings!$B$14:$B$18,0),1)))</f>
        <v/>
      </c>
      <c r="BG314" s="58" t="str">
        <f>IF($AM314=0,"",IF(NOT(ISNUMBER($I314)),"No stop; ","")&amp;IF(AND(ISNUMBER($H314),ISNUMBER($I314)),IF(OR(AND($F314&lt;&gt;"Short",$I314&gt;=$H314),AND($F314="Short",$I314&lt;=$H314)),"Stop on wrong side; ",""),"")&amp;IF($F314="","No direction; ","")&amp;IF(AND(ISNUMBER(Settings!$C$22),ISNUMBER($V314)),IF($V314&gt;Settings!$C$22,"Risk over max $; ",""),"")&amp;IF(AND(ISNUMBER(Settings!$C$23),ISNUMBER($V314),ISNUMBER($AP314),IFERROR(N(INDEX(Accounts!$E$7:$E$16,MATCH($C314,Accounts!$B$7:$B$16,0))),0)&gt;0),IF($V314&gt;Settings!$C$23*($AP314-N($Q314)),"Risk over max %; ",""),"")&amp;IF(AND(ISNUMBER(Settings!$C$24),ISNUMBER($N314)),IF($N314&gt;Settings!$C$24,"Leverage over max; ",""),"")&amp;IF(AND(ISNUMBER(Settings!$C$27),ISNUMBER($T314)),IF($T314&lt;Settings!$C$27,"R:R below min; ",""),"")&amp;IF(ISNUMBER(Settings!$C$25),IF(COUNTIFS($A$6:$A314,$A314,$AM$6:$AM314,1)&gt;Settings!$C$25,"Over max trades/day; ",""),"")&amp;IF(ISNUMBER(Settings!$C$26),IF(SUMIFS($Q$5:$Q313,$A$5:$A313,$A314)&lt;=-Settings!$C$26,"Traded after daily max loss; ",""),"")&amp;IF(AND($AG314="",NOT(ISNUMBER($O314))),"Symbol not in Instruments; ","")&amp;IF(AND($AH314="",NOT(ISNUMBER($O314))),"Forex cross: type Gross P&amp;L; ",""))</f>
        <v/>
      </c>
      <c r="BH314" s="56">
        <f>IF(ISNUMBER($Q314),1,0)</f>
        <v>0</v>
      </c>
      <c r="BI314" s="56">
        <f>IF($Y314="",0,1)</f>
        <v>0</v>
      </c>
      <c r="BJ314" s="56">
        <f>IF($AB314="",0,1)</f>
        <v>0</v>
      </c>
      <c r="BK314" s="56">
        <f>IF(AND($BH314=1,$W314&lt;&gt;"OK"),1,0)</f>
        <v>0</v>
      </c>
      <c r="BL314" s="55">
        <f>IF(N($AZ314)=0,0,IFERROR(INDEX($AT$6:$AT$1005,MATCH($AZ314,$AY$6:$AY$1005,0)),0))</f>
        <v>1187.10688</v>
      </c>
      <c r="BM314" s="56">
        <f>IF(ISNUMBER(SEARCH("daily max loss",$BG314)),1,0)</f>
        <v>0</v>
      </c>
    </row>
    <row r="315" ht="18" customHeight="1">
      <c r="A315" s="38" t="n"/>
      <c r="B315" s="39" t="n"/>
      <c r="C315" s="40" t="n"/>
      <c r="D315" s="41" t="n"/>
      <c r="E315" s="41" t="n"/>
      <c r="F315" s="41" t="n"/>
      <c r="G315" s="41" t="n"/>
      <c r="H315" s="42" t="n"/>
      <c r="I315" s="42" t="n"/>
      <c r="J315" s="42" t="n"/>
      <c r="K315" s="42" t="n"/>
      <c r="L315" s="41" t="n"/>
      <c r="M315" s="41" t="n"/>
      <c r="N315" s="41" t="n"/>
      <c r="O315" s="43" t="n"/>
      <c r="P315" s="43" t="n"/>
      <c r="Q315" s="44" t="str">
        <f>IF($AM315=0,"",IF(ISNUMBER($AK315),$AK315-N($AL315),""))</f>
        <v/>
      </c>
      <c r="R315" s="45" t="str">
        <f>IF(OR($Q315="",NOT(ISNUMBER($V315))),"",$AK315/$V315)</f>
        <v/>
      </c>
      <c r="S315" s="46" t="str">
        <f>IF($Q315="","",IF(AND(ISNUMBER($R315),ABS(N($R315))&lt;N(Settings!$C$8)),"Scratch",IF($Q315&gt;0,"Win",IF($Q315&lt;0,"Loss","Scratch"))))</f>
        <v/>
      </c>
      <c r="T315" s="47" t="str">
        <f>IF(OR($AM315=0,NOT(ISNUMBER($H315)),NOT(ISNUMBER($I315)),NOT(ISNUMBER($J315))),"",IF($H315=$I315,"",ROUND(ABS($J315-$H315)/ABS($H315-$I315),6)))</f>
        <v/>
      </c>
      <c r="U315" s="48" t="str">
        <f>IF(OR($S315&lt;&gt;"Win",NOT(ISNUMBER($T315)),NOT(ISNUMBER($R315))),"",MAX(0,$T315-$R315))</f>
        <v/>
      </c>
      <c r="V315" s="49" t="str">
        <f>IF(OR($AM315=0,NOT(ISNUMBER($H315)),NOT(ISNUMBER($I315)),NOT(ISNUMBER($G315))),"",IF(OR($AG315="",$AH315=""),"",IF(ROUND(ABS($H315-$I315)*ABS($G315)*$AG315*$AH315,6)=0,"",ROUND(ABS($H315-$I315)*ABS($G315)*$AG315*$AH315,6))))</f>
        <v/>
      </c>
      <c r="W315" s="50" t="str">
        <f>IF($AM315=0,"",IF($BG315="","OK",LEFT($BG315,LEN($BG315)-2)))</f>
        <v/>
      </c>
      <c r="X315" s="41" t="n"/>
      <c r="Y315" s="40" t="n"/>
      <c r="Z315" s="41" t="n"/>
      <c r="AA315" s="41" t="n"/>
      <c r="AB315" s="40" t="n"/>
      <c r="AC315" s="51" t="n"/>
      <c r="AD315" s="51" t="n"/>
      <c r="AE315" s="40" t="n"/>
      <c r="AF315" s="52" t="str">
        <f>IF($AM315=0,"",IF($D315&lt;&gt;"",$D315,IF(IFERROR(INDEX(Accounts!$C$7:$C$16,MATCH($C315,Accounts!$B$7:$B$16,0))&amp;"","")&lt;&gt;"",INDEX(Accounts!$C$7:$C$16,MATCH($C315,Accounts!$B$7:$B$16,0)),Settings!$C$6)))</f>
        <v/>
      </c>
      <c r="AG315" s="53" t="str">
        <f>IF($AM315=0,"",IF(AND($BE315&gt;0,N(INDEX(Instruments!$D$6:$D$205,MAX(1,$BE315)))&gt;0),INDEX(Instruments!$D$6:$D$205,MAX(1,$BE315)),IF(N(INDEX(Settings!$D$14:$D$18,$BF315))&gt;0,INDEX(Settings!$D$14:$D$18,$BF315),"")))</f>
        <v/>
      </c>
      <c r="AH315" s="54" t="str">
        <f>IF($AM315=0,"",IF($AF315&lt;&gt;"Forex",1,IF(MID(UPPER(SUBSTITUTE(TRIM($E315),"/","")),4,3)=UPPER(TRIM(Settings!$C$7)),1,IF(LEFT(UPPER(SUBSTITUTE(TRIM($E315),"/","")),3)=UPPER(TRIM(Settings!$C$7)),IF(AND(ISNUMBER($K315),N($K315)&lt;&gt;0),1/$K315,""),""))))</f>
        <v/>
      </c>
      <c r="AI315" s="55" t="str">
        <f>IF($AM315=0,"",IF(OR(NOT(ISNUMBER($H315)),NOT(ISNUMBER($K315)),NOT(ISNUMBER($G315)),$AG315="",$AH315=""),"",ROUND(($K315-$H315)*IF($F315="Short",-1,1)*$G315*$AG315*$AH315,6)))</f>
        <v/>
      </c>
      <c r="AJ315" s="55" t="str">
        <f>IF($AM315=0,"",IF(INDEX(Settings!$E$14:$E$18,$BF315)="% of notional",IF(OR($AG315="",NOT(ISNUMBER($H315)),NOT(ISNUMBER($G315))),"",ROUND(ABS($H315*$G315*$AG315*N($AH315))*IF($L315="Limit",N(INDEX(Settings!$G$14:$G$18,$BF315)),N(INDEX(Settings!$H$14:$H$18,$BF315)))+IF(ISNUMBER($K315),ABS($K315*$G315*$AG315*N($AH315))*IF($M315="Target",N(INDEX(Settings!$G$14:$G$18,$BF315)),N(INDEX(Settings!$H$14:$H$18,$BF315))),0),6)),IF(NOT(ISNUMBER($G315)),"",ROUND(ABS($G315)*2*IF(AND($BE315&gt;0,ISNUMBER(INDEX(Instruments!$G$6:$G$205,MAX(1,$BE315)))),INDEX(Instruments!$G$6:$G$205,MAX(1,$BE315)),N(INDEX(Settings!$F$14:$F$18,$BF315))),6))))</f>
        <v/>
      </c>
      <c r="AK315" s="55" t="str">
        <f>IF($AM315=0,"",IF(ISNUMBER($O315),$O315,$AI315))</f>
        <v/>
      </c>
      <c r="AL315" s="55" t="str">
        <f>IF($AM315=0,"",IF(ISNUMBER($P315),$P315,N($AJ315)))</f>
        <v/>
      </c>
      <c r="AM315" s="56">
        <f>IF(AND($A315&lt;&gt;"",$E315&lt;&gt;"",OR(AND(ISNUMBER($G315),ISNUMBER($H315),ISNUMBER($K315)),ISNUMBER($O315))),1,0)</f>
        <v>0</v>
      </c>
      <c r="AN315" s="57" t="str">
        <f>IF($A315="","",$A315-WEEKDAY($A315,3))</f>
        <v/>
      </c>
      <c r="AO315" s="56" t="str">
        <f>IF($A315="","",WEEKDAY($A315,2))</f>
        <v/>
      </c>
      <c r="AP315" s="55" t="str">
        <f>IF(OR($AM315=0,$C315=""),"",IFERROR(N(INDEX(Accounts!$E$7:$E$16,MATCH($C315,Accounts!$B$7:$B$16,0))),0)+SUMIFS($Q$6:$Q315,$C$6:$C315,$C315))</f>
        <v/>
      </c>
      <c r="AQ315" s="55" t="str">
        <f>IF(OR($AM315=0,$C315=""),"",SUMIFS($Q$6:$Q$1005,$C$6:$C$1005,$C315,$A$6:$A$1005,$A315))</f>
        <v/>
      </c>
      <c r="AR315" s="55" t="str">
        <f>IF(OR($AM315=0,$C315=""),"",IFERROR(N(INDEX(Accounts!$E$7:$E$16,MATCH($C315,Accounts!$B$7:$B$16,0))),0)+SUMIFS($Q$6:$Q$1005,$C$6:$C$1005,$C315,$A$6:$A$1005,"&lt;="&amp;$A315))</f>
        <v/>
      </c>
      <c r="AS315" s="56">
        <f>IF(OR($AM315=0,$Q315=""),0,IF(AND($A315&gt;=Lists!$W$6,$A315&lt;=Lists!$W$7,OR(Dashboard!$D$6="All accounts",$C315=Dashboard!$D$6),OR(Dashboard!$D$7="All markets",$AF315=Dashboard!$D$7)),1,0))</f>
        <v>0</v>
      </c>
      <c r="AT315" s="55">
        <f>IF($AS315=1,N(AT314)+$Q315,N(AT314))</f>
        <v>1187.10688</v>
      </c>
      <c r="AU315" s="55">
        <f>MAX(N(AU314),$AT315)</f>
        <v>1187.10688</v>
      </c>
      <c r="AV315" s="55">
        <f>$AT315-$AU315</f>
        <v>0</v>
      </c>
      <c r="AW315" s="56">
        <f>IF($AS315=1,IF($S315="Win",N(AW314)+1,IF($S315="Loss",0,N(AW314))),N(AW314))</f>
        <v>5</v>
      </c>
      <c r="AX315" s="56">
        <f>IF($AS315=1,IF($S315="Loss",N(AX314)+1,IF($S315="Win",0,N(AX314))),N(AX314))</f>
        <v>0</v>
      </c>
      <c r="AY315" s="56" t="str">
        <f>IF($AS315=1,COUNTIF($AS$6:$AS315,1),"")</f>
        <v/>
      </c>
      <c r="AZ315" s="56">
        <f>MIN(309,N(Lists!$W$8))</f>
        <v>28</v>
      </c>
      <c r="BA315" s="56">
        <f>IF($AS315=1,IF(COUNTIFS($A$6:$A315,$A315,$AS$6:$AS315,1)=1,1,0),0)</f>
        <v>0</v>
      </c>
      <c r="BB315" s="55" t="str">
        <f>IF($BA315=1,SUMIFS($Q$6:$Q$1005,$A$6:$A$1005,$A315,$AS$6:$AS$1005,1),"")</f>
        <v/>
      </c>
      <c r="BC315" s="56">
        <f>IF(ISNUMBER($R315),1,0)</f>
        <v>0</v>
      </c>
      <c r="BD315" s="55" t="str">
        <f>IF(ISNUMBER($U315),$U315*$V315,"")</f>
        <v/>
      </c>
      <c r="BE315" s="56" t="str">
        <f>IF($AM315=0,"",IFERROR(MATCH($AF315&amp;"|"&amp;UPPER(TRIM($E315)),Lists!$A$6:$A$205,0),0))</f>
        <v/>
      </c>
      <c r="BF315" s="56" t="str">
        <f>IF($AM315=0,"",IFERROR(MATCH($AF315,Settings!$B$14:$B$18,0),IFERROR(MATCH(Settings!$C$6,Settings!$B$14:$B$18,0),1)))</f>
        <v/>
      </c>
      <c r="BG315" s="58" t="str">
        <f>IF($AM315=0,"",IF(NOT(ISNUMBER($I315)),"No stop; ","")&amp;IF(AND(ISNUMBER($H315),ISNUMBER($I315)),IF(OR(AND($F315&lt;&gt;"Short",$I315&gt;=$H315),AND($F315="Short",$I315&lt;=$H315)),"Stop on wrong side; ",""),"")&amp;IF($F315="","No direction; ","")&amp;IF(AND(ISNUMBER(Settings!$C$22),ISNUMBER($V315)),IF($V315&gt;Settings!$C$22,"Risk over max $; ",""),"")&amp;IF(AND(ISNUMBER(Settings!$C$23),ISNUMBER($V315),ISNUMBER($AP315),IFERROR(N(INDEX(Accounts!$E$7:$E$16,MATCH($C315,Accounts!$B$7:$B$16,0))),0)&gt;0),IF($V315&gt;Settings!$C$23*($AP315-N($Q315)),"Risk over max %; ",""),"")&amp;IF(AND(ISNUMBER(Settings!$C$24),ISNUMBER($N315)),IF($N315&gt;Settings!$C$24,"Leverage over max; ",""),"")&amp;IF(AND(ISNUMBER(Settings!$C$27),ISNUMBER($T315)),IF($T315&lt;Settings!$C$27,"R:R below min; ",""),"")&amp;IF(ISNUMBER(Settings!$C$25),IF(COUNTIFS($A$6:$A315,$A315,$AM$6:$AM315,1)&gt;Settings!$C$25,"Over max trades/day; ",""),"")&amp;IF(ISNUMBER(Settings!$C$26),IF(SUMIFS($Q$5:$Q314,$A$5:$A314,$A315)&lt;=-Settings!$C$26,"Traded after daily max loss; ",""),"")&amp;IF(AND($AG315="",NOT(ISNUMBER($O315))),"Symbol not in Instruments; ","")&amp;IF(AND($AH315="",NOT(ISNUMBER($O315))),"Forex cross: type Gross P&amp;L; ",""))</f>
        <v/>
      </c>
      <c r="BH315" s="56">
        <f>IF(ISNUMBER($Q315),1,0)</f>
        <v>0</v>
      </c>
      <c r="BI315" s="56">
        <f>IF($Y315="",0,1)</f>
        <v>0</v>
      </c>
      <c r="BJ315" s="56">
        <f>IF($AB315="",0,1)</f>
        <v>0</v>
      </c>
      <c r="BK315" s="56">
        <f>IF(AND($BH315=1,$W315&lt;&gt;"OK"),1,0)</f>
        <v>0</v>
      </c>
      <c r="BL315" s="55">
        <f>IF(N($AZ315)=0,0,IFERROR(INDEX($AT$6:$AT$1005,MATCH($AZ315,$AY$6:$AY$1005,0)),0))</f>
        <v>1187.10688</v>
      </c>
      <c r="BM315" s="56">
        <f>IF(ISNUMBER(SEARCH("daily max loss",$BG315)),1,0)</f>
        <v>0</v>
      </c>
    </row>
    <row r="316" ht="18" customHeight="1">
      <c r="A316" s="38" t="n"/>
      <c r="B316" s="39" t="n"/>
      <c r="C316" s="40" t="n"/>
      <c r="D316" s="41" t="n"/>
      <c r="E316" s="41" t="n"/>
      <c r="F316" s="41" t="n"/>
      <c r="G316" s="41" t="n"/>
      <c r="H316" s="42" t="n"/>
      <c r="I316" s="42" t="n"/>
      <c r="J316" s="42" t="n"/>
      <c r="K316" s="42" t="n"/>
      <c r="L316" s="41" t="n"/>
      <c r="M316" s="41" t="n"/>
      <c r="N316" s="41" t="n"/>
      <c r="O316" s="43" t="n"/>
      <c r="P316" s="43" t="n"/>
      <c r="Q316" s="44" t="str">
        <f>IF($AM316=0,"",IF(ISNUMBER($AK316),$AK316-N($AL316),""))</f>
        <v/>
      </c>
      <c r="R316" s="45" t="str">
        <f>IF(OR($Q316="",NOT(ISNUMBER($V316))),"",$AK316/$V316)</f>
        <v/>
      </c>
      <c r="S316" s="46" t="str">
        <f>IF($Q316="","",IF(AND(ISNUMBER($R316),ABS(N($R316))&lt;N(Settings!$C$8)),"Scratch",IF($Q316&gt;0,"Win",IF($Q316&lt;0,"Loss","Scratch"))))</f>
        <v/>
      </c>
      <c r="T316" s="47" t="str">
        <f>IF(OR($AM316=0,NOT(ISNUMBER($H316)),NOT(ISNUMBER($I316)),NOT(ISNUMBER($J316))),"",IF($H316=$I316,"",ROUND(ABS($J316-$H316)/ABS($H316-$I316),6)))</f>
        <v/>
      </c>
      <c r="U316" s="48" t="str">
        <f>IF(OR($S316&lt;&gt;"Win",NOT(ISNUMBER($T316)),NOT(ISNUMBER($R316))),"",MAX(0,$T316-$R316))</f>
        <v/>
      </c>
      <c r="V316" s="49" t="str">
        <f>IF(OR($AM316=0,NOT(ISNUMBER($H316)),NOT(ISNUMBER($I316)),NOT(ISNUMBER($G316))),"",IF(OR($AG316="",$AH316=""),"",IF(ROUND(ABS($H316-$I316)*ABS($G316)*$AG316*$AH316,6)=0,"",ROUND(ABS($H316-$I316)*ABS($G316)*$AG316*$AH316,6))))</f>
        <v/>
      </c>
      <c r="W316" s="50" t="str">
        <f>IF($AM316=0,"",IF($BG316="","OK",LEFT($BG316,LEN($BG316)-2)))</f>
        <v/>
      </c>
      <c r="X316" s="41" t="n"/>
      <c r="Y316" s="40" t="n"/>
      <c r="Z316" s="41" t="n"/>
      <c r="AA316" s="41" t="n"/>
      <c r="AB316" s="40" t="n"/>
      <c r="AC316" s="51" t="n"/>
      <c r="AD316" s="51" t="n"/>
      <c r="AE316" s="40" t="n"/>
      <c r="AF316" s="52" t="str">
        <f>IF($AM316=0,"",IF($D316&lt;&gt;"",$D316,IF(IFERROR(INDEX(Accounts!$C$7:$C$16,MATCH($C316,Accounts!$B$7:$B$16,0))&amp;"","")&lt;&gt;"",INDEX(Accounts!$C$7:$C$16,MATCH($C316,Accounts!$B$7:$B$16,0)),Settings!$C$6)))</f>
        <v/>
      </c>
      <c r="AG316" s="53" t="str">
        <f>IF($AM316=0,"",IF(AND($BE316&gt;0,N(INDEX(Instruments!$D$6:$D$205,MAX(1,$BE316)))&gt;0),INDEX(Instruments!$D$6:$D$205,MAX(1,$BE316)),IF(N(INDEX(Settings!$D$14:$D$18,$BF316))&gt;0,INDEX(Settings!$D$14:$D$18,$BF316),"")))</f>
        <v/>
      </c>
      <c r="AH316" s="54" t="str">
        <f>IF($AM316=0,"",IF($AF316&lt;&gt;"Forex",1,IF(MID(UPPER(SUBSTITUTE(TRIM($E316),"/","")),4,3)=UPPER(TRIM(Settings!$C$7)),1,IF(LEFT(UPPER(SUBSTITUTE(TRIM($E316),"/","")),3)=UPPER(TRIM(Settings!$C$7)),IF(AND(ISNUMBER($K316),N($K316)&lt;&gt;0),1/$K316,""),""))))</f>
        <v/>
      </c>
      <c r="AI316" s="55" t="str">
        <f>IF($AM316=0,"",IF(OR(NOT(ISNUMBER($H316)),NOT(ISNUMBER($K316)),NOT(ISNUMBER($G316)),$AG316="",$AH316=""),"",ROUND(($K316-$H316)*IF($F316="Short",-1,1)*$G316*$AG316*$AH316,6)))</f>
        <v/>
      </c>
      <c r="AJ316" s="55" t="str">
        <f>IF($AM316=0,"",IF(INDEX(Settings!$E$14:$E$18,$BF316)="% of notional",IF(OR($AG316="",NOT(ISNUMBER($H316)),NOT(ISNUMBER($G316))),"",ROUND(ABS($H316*$G316*$AG316*N($AH316))*IF($L316="Limit",N(INDEX(Settings!$G$14:$G$18,$BF316)),N(INDEX(Settings!$H$14:$H$18,$BF316)))+IF(ISNUMBER($K316),ABS($K316*$G316*$AG316*N($AH316))*IF($M316="Target",N(INDEX(Settings!$G$14:$G$18,$BF316)),N(INDEX(Settings!$H$14:$H$18,$BF316))),0),6)),IF(NOT(ISNUMBER($G316)),"",ROUND(ABS($G316)*2*IF(AND($BE316&gt;0,ISNUMBER(INDEX(Instruments!$G$6:$G$205,MAX(1,$BE316)))),INDEX(Instruments!$G$6:$G$205,MAX(1,$BE316)),N(INDEX(Settings!$F$14:$F$18,$BF316))),6))))</f>
        <v/>
      </c>
      <c r="AK316" s="55" t="str">
        <f>IF($AM316=0,"",IF(ISNUMBER($O316),$O316,$AI316))</f>
        <v/>
      </c>
      <c r="AL316" s="55" t="str">
        <f>IF($AM316=0,"",IF(ISNUMBER($P316),$P316,N($AJ316)))</f>
        <v/>
      </c>
      <c r="AM316" s="56">
        <f>IF(AND($A316&lt;&gt;"",$E316&lt;&gt;"",OR(AND(ISNUMBER($G316),ISNUMBER($H316),ISNUMBER($K316)),ISNUMBER($O316))),1,0)</f>
        <v>0</v>
      </c>
      <c r="AN316" s="57" t="str">
        <f>IF($A316="","",$A316-WEEKDAY($A316,3))</f>
        <v/>
      </c>
      <c r="AO316" s="56" t="str">
        <f>IF($A316="","",WEEKDAY($A316,2))</f>
        <v/>
      </c>
      <c r="AP316" s="55" t="str">
        <f>IF(OR($AM316=0,$C316=""),"",IFERROR(N(INDEX(Accounts!$E$7:$E$16,MATCH($C316,Accounts!$B$7:$B$16,0))),0)+SUMIFS($Q$6:$Q316,$C$6:$C316,$C316))</f>
        <v/>
      </c>
      <c r="AQ316" s="55" t="str">
        <f>IF(OR($AM316=0,$C316=""),"",SUMIFS($Q$6:$Q$1005,$C$6:$C$1005,$C316,$A$6:$A$1005,$A316))</f>
        <v/>
      </c>
      <c r="AR316" s="55" t="str">
        <f>IF(OR($AM316=0,$C316=""),"",IFERROR(N(INDEX(Accounts!$E$7:$E$16,MATCH($C316,Accounts!$B$7:$B$16,0))),0)+SUMIFS($Q$6:$Q$1005,$C$6:$C$1005,$C316,$A$6:$A$1005,"&lt;="&amp;$A316))</f>
        <v/>
      </c>
      <c r="AS316" s="56">
        <f>IF(OR($AM316=0,$Q316=""),0,IF(AND($A316&gt;=Lists!$W$6,$A316&lt;=Lists!$W$7,OR(Dashboard!$D$6="All accounts",$C316=Dashboard!$D$6),OR(Dashboard!$D$7="All markets",$AF316=Dashboard!$D$7)),1,0))</f>
        <v>0</v>
      </c>
      <c r="AT316" s="55">
        <f>IF($AS316=1,N(AT315)+$Q316,N(AT315))</f>
        <v>1187.10688</v>
      </c>
      <c r="AU316" s="55">
        <f>MAX(N(AU315),$AT316)</f>
        <v>1187.10688</v>
      </c>
      <c r="AV316" s="55">
        <f>$AT316-$AU316</f>
        <v>0</v>
      </c>
      <c r="AW316" s="56">
        <f>IF($AS316=1,IF($S316="Win",N(AW315)+1,IF($S316="Loss",0,N(AW315))),N(AW315))</f>
        <v>5</v>
      </c>
      <c r="AX316" s="56">
        <f>IF($AS316=1,IF($S316="Loss",N(AX315)+1,IF($S316="Win",0,N(AX315))),N(AX315))</f>
        <v>0</v>
      </c>
      <c r="AY316" s="56" t="str">
        <f>IF($AS316=1,COUNTIF($AS$6:$AS316,1),"")</f>
        <v/>
      </c>
      <c r="AZ316" s="56">
        <f>MIN(310,N(Lists!$W$8))</f>
        <v>28</v>
      </c>
      <c r="BA316" s="56">
        <f>IF($AS316=1,IF(COUNTIFS($A$6:$A316,$A316,$AS$6:$AS316,1)=1,1,0),0)</f>
        <v>0</v>
      </c>
      <c r="BB316" s="55" t="str">
        <f>IF($BA316=1,SUMIFS($Q$6:$Q$1005,$A$6:$A$1005,$A316,$AS$6:$AS$1005,1),"")</f>
        <v/>
      </c>
      <c r="BC316" s="56">
        <f>IF(ISNUMBER($R316),1,0)</f>
        <v>0</v>
      </c>
      <c r="BD316" s="55" t="str">
        <f>IF(ISNUMBER($U316),$U316*$V316,"")</f>
        <v/>
      </c>
      <c r="BE316" s="56" t="str">
        <f>IF($AM316=0,"",IFERROR(MATCH($AF316&amp;"|"&amp;UPPER(TRIM($E316)),Lists!$A$6:$A$205,0),0))</f>
        <v/>
      </c>
      <c r="BF316" s="56" t="str">
        <f>IF($AM316=0,"",IFERROR(MATCH($AF316,Settings!$B$14:$B$18,0),IFERROR(MATCH(Settings!$C$6,Settings!$B$14:$B$18,0),1)))</f>
        <v/>
      </c>
      <c r="BG316" s="58" t="str">
        <f>IF($AM316=0,"",IF(NOT(ISNUMBER($I316)),"No stop; ","")&amp;IF(AND(ISNUMBER($H316),ISNUMBER($I316)),IF(OR(AND($F316&lt;&gt;"Short",$I316&gt;=$H316),AND($F316="Short",$I316&lt;=$H316)),"Stop on wrong side; ",""),"")&amp;IF($F316="","No direction; ","")&amp;IF(AND(ISNUMBER(Settings!$C$22),ISNUMBER($V316)),IF($V316&gt;Settings!$C$22,"Risk over max $; ",""),"")&amp;IF(AND(ISNUMBER(Settings!$C$23),ISNUMBER($V316),ISNUMBER($AP316),IFERROR(N(INDEX(Accounts!$E$7:$E$16,MATCH($C316,Accounts!$B$7:$B$16,0))),0)&gt;0),IF($V316&gt;Settings!$C$23*($AP316-N($Q316)),"Risk over max %; ",""),"")&amp;IF(AND(ISNUMBER(Settings!$C$24),ISNUMBER($N316)),IF($N316&gt;Settings!$C$24,"Leverage over max; ",""),"")&amp;IF(AND(ISNUMBER(Settings!$C$27),ISNUMBER($T316)),IF($T316&lt;Settings!$C$27,"R:R below min; ",""),"")&amp;IF(ISNUMBER(Settings!$C$25),IF(COUNTIFS($A$6:$A316,$A316,$AM$6:$AM316,1)&gt;Settings!$C$25,"Over max trades/day; ",""),"")&amp;IF(ISNUMBER(Settings!$C$26),IF(SUMIFS($Q$5:$Q315,$A$5:$A315,$A316)&lt;=-Settings!$C$26,"Traded after daily max loss; ",""),"")&amp;IF(AND($AG316="",NOT(ISNUMBER($O316))),"Symbol not in Instruments; ","")&amp;IF(AND($AH316="",NOT(ISNUMBER($O316))),"Forex cross: type Gross P&amp;L; ",""))</f>
        <v/>
      </c>
      <c r="BH316" s="56">
        <f>IF(ISNUMBER($Q316),1,0)</f>
        <v>0</v>
      </c>
      <c r="BI316" s="56">
        <f>IF($Y316="",0,1)</f>
        <v>0</v>
      </c>
      <c r="BJ316" s="56">
        <f>IF($AB316="",0,1)</f>
        <v>0</v>
      </c>
      <c r="BK316" s="56">
        <f>IF(AND($BH316=1,$W316&lt;&gt;"OK"),1,0)</f>
        <v>0</v>
      </c>
      <c r="BL316" s="55">
        <f>IF(N($AZ316)=0,0,IFERROR(INDEX($AT$6:$AT$1005,MATCH($AZ316,$AY$6:$AY$1005,0)),0))</f>
        <v>1187.10688</v>
      </c>
      <c r="BM316" s="56">
        <f>IF(ISNUMBER(SEARCH("daily max loss",$BG316)),1,0)</f>
        <v>0</v>
      </c>
    </row>
    <row r="317" ht="18" customHeight="1">
      <c r="A317" s="38" t="n"/>
      <c r="B317" s="39" t="n"/>
      <c r="C317" s="40" t="n"/>
      <c r="D317" s="41" t="n"/>
      <c r="E317" s="41" t="n"/>
      <c r="F317" s="41" t="n"/>
      <c r="G317" s="41" t="n"/>
      <c r="H317" s="42" t="n"/>
      <c r="I317" s="42" t="n"/>
      <c r="J317" s="42" t="n"/>
      <c r="K317" s="42" t="n"/>
      <c r="L317" s="41" t="n"/>
      <c r="M317" s="41" t="n"/>
      <c r="N317" s="41" t="n"/>
      <c r="O317" s="43" t="n"/>
      <c r="P317" s="43" t="n"/>
      <c r="Q317" s="44" t="str">
        <f>IF($AM317=0,"",IF(ISNUMBER($AK317),$AK317-N($AL317),""))</f>
        <v/>
      </c>
      <c r="R317" s="45" t="str">
        <f>IF(OR($Q317="",NOT(ISNUMBER($V317))),"",$AK317/$V317)</f>
        <v/>
      </c>
      <c r="S317" s="46" t="str">
        <f>IF($Q317="","",IF(AND(ISNUMBER($R317),ABS(N($R317))&lt;N(Settings!$C$8)),"Scratch",IF($Q317&gt;0,"Win",IF($Q317&lt;0,"Loss","Scratch"))))</f>
        <v/>
      </c>
      <c r="T317" s="47" t="str">
        <f>IF(OR($AM317=0,NOT(ISNUMBER($H317)),NOT(ISNUMBER($I317)),NOT(ISNUMBER($J317))),"",IF($H317=$I317,"",ROUND(ABS($J317-$H317)/ABS($H317-$I317),6)))</f>
        <v/>
      </c>
      <c r="U317" s="48" t="str">
        <f>IF(OR($S317&lt;&gt;"Win",NOT(ISNUMBER($T317)),NOT(ISNUMBER($R317))),"",MAX(0,$T317-$R317))</f>
        <v/>
      </c>
      <c r="V317" s="49" t="str">
        <f>IF(OR($AM317=0,NOT(ISNUMBER($H317)),NOT(ISNUMBER($I317)),NOT(ISNUMBER($G317))),"",IF(OR($AG317="",$AH317=""),"",IF(ROUND(ABS($H317-$I317)*ABS($G317)*$AG317*$AH317,6)=0,"",ROUND(ABS($H317-$I317)*ABS($G317)*$AG317*$AH317,6))))</f>
        <v/>
      </c>
      <c r="W317" s="50" t="str">
        <f>IF($AM317=0,"",IF($BG317="","OK",LEFT($BG317,LEN($BG317)-2)))</f>
        <v/>
      </c>
      <c r="X317" s="41" t="n"/>
      <c r="Y317" s="40" t="n"/>
      <c r="Z317" s="41" t="n"/>
      <c r="AA317" s="41" t="n"/>
      <c r="AB317" s="40" t="n"/>
      <c r="AC317" s="51" t="n"/>
      <c r="AD317" s="51" t="n"/>
      <c r="AE317" s="40" t="n"/>
      <c r="AF317" s="52" t="str">
        <f>IF($AM317=0,"",IF($D317&lt;&gt;"",$D317,IF(IFERROR(INDEX(Accounts!$C$7:$C$16,MATCH($C317,Accounts!$B$7:$B$16,0))&amp;"","")&lt;&gt;"",INDEX(Accounts!$C$7:$C$16,MATCH($C317,Accounts!$B$7:$B$16,0)),Settings!$C$6)))</f>
        <v/>
      </c>
      <c r="AG317" s="53" t="str">
        <f>IF($AM317=0,"",IF(AND($BE317&gt;0,N(INDEX(Instruments!$D$6:$D$205,MAX(1,$BE317)))&gt;0),INDEX(Instruments!$D$6:$D$205,MAX(1,$BE317)),IF(N(INDEX(Settings!$D$14:$D$18,$BF317))&gt;0,INDEX(Settings!$D$14:$D$18,$BF317),"")))</f>
        <v/>
      </c>
      <c r="AH317" s="54" t="str">
        <f>IF($AM317=0,"",IF($AF317&lt;&gt;"Forex",1,IF(MID(UPPER(SUBSTITUTE(TRIM($E317),"/","")),4,3)=UPPER(TRIM(Settings!$C$7)),1,IF(LEFT(UPPER(SUBSTITUTE(TRIM($E317),"/","")),3)=UPPER(TRIM(Settings!$C$7)),IF(AND(ISNUMBER($K317),N($K317)&lt;&gt;0),1/$K317,""),""))))</f>
        <v/>
      </c>
      <c r="AI317" s="55" t="str">
        <f>IF($AM317=0,"",IF(OR(NOT(ISNUMBER($H317)),NOT(ISNUMBER($K317)),NOT(ISNUMBER($G317)),$AG317="",$AH317=""),"",ROUND(($K317-$H317)*IF($F317="Short",-1,1)*$G317*$AG317*$AH317,6)))</f>
        <v/>
      </c>
      <c r="AJ317" s="55" t="str">
        <f>IF($AM317=0,"",IF(INDEX(Settings!$E$14:$E$18,$BF317)="% of notional",IF(OR($AG317="",NOT(ISNUMBER($H317)),NOT(ISNUMBER($G317))),"",ROUND(ABS($H317*$G317*$AG317*N($AH317))*IF($L317="Limit",N(INDEX(Settings!$G$14:$G$18,$BF317)),N(INDEX(Settings!$H$14:$H$18,$BF317)))+IF(ISNUMBER($K317),ABS($K317*$G317*$AG317*N($AH317))*IF($M317="Target",N(INDEX(Settings!$G$14:$G$18,$BF317)),N(INDEX(Settings!$H$14:$H$18,$BF317))),0),6)),IF(NOT(ISNUMBER($G317)),"",ROUND(ABS($G317)*2*IF(AND($BE317&gt;0,ISNUMBER(INDEX(Instruments!$G$6:$G$205,MAX(1,$BE317)))),INDEX(Instruments!$G$6:$G$205,MAX(1,$BE317)),N(INDEX(Settings!$F$14:$F$18,$BF317))),6))))</f>
        <v/>
      </c>
      <c r="AK317" s="55" t="str">
        <f>IF($AM317=0,"",IF(ISNUMBER($O317),$O317,$AI317))</f>
        <v/>
      </c>
      <c r="AL317" s="55" t="str">
        <f>IF($AM317=0,"",IF(ISNUMBER($P317),$P317,N($AJ317)))</f>
        <v/>
      </c>
      <c r="AM317" s="56">
        <f>IF(AND($A317&lt;&gt;"",$E317&lt;&gt;"",OR(AND(ISNUMBER($G317),ISNUMBER($H317),ISNUMBER($K317)),ISNUMBER($O317))),1,0)</f>
        <v>0</v>
      </c>
      <c r="AN317" s="57" t="str">
        <f>IF($A317="","",$A317-WEEKDAY($A317,3))</f>
        <v/>
      </c>
      <c r="AO317" s="56" t="str">
        <f>IF($A317="","",WEEKDAY($A317,2))</f>
        <v/>
      </c>
      <c r="AP317" s="55" t="str">
        <f>IF(OR($AM317=0,$C317=""),"",IFERROR(N(INDEX(Accounts!$E$7:$E$16,MATCH($C317,Accounts!$B$7:$B$16,0))),0)+SUMIFS($Q$6:$Q317,$C$6:$C317,$C317))</f>
        <v/>
      </c>
      <c r="AQ317" s="55" t="str">
        <f>IF(OR($AM317=0,$C317=""),"",SUMIFS($Q$6:$Q$1005,$C$6:$C$1005,$C317,$A$6:$A$1005,$A317))</f>
        <v/>
      </c>
      <c r="AR317" s="55" t="str">
        <f>IF(OR($AM317=0,$C317=""),"",IFERROR(N(INDEX(Accounts!$E$7:$E$16,MATCH($C317,Accounts!$B$7:$B$16,0))),0)+SUMIFS($Q$6:$Q$1005,$C$6:$C$1005,$C317,$A$6:$A$1005,"&lt;="&amp;$A317))</f>
        <v/>
      </c>
      <c r="AS317" s="56">
        <f>IF(OR($AM317=0,$Q317=""),0,IF(AND($A317&gt;=Lists!$W$6,$A317&lt;=Lists!$W$7,OR(Dashboard!$D$6="All accounts",$C317=Dashboard!$D$6),OR(Dashboard!$D$7="All markets",$AF317=Dashboard!$D$7)),1,0))</f>
        <v>0</v>
      </c>
      <c r="AT317" s="55">
        <f>IF($AS317=1,N(AT316)+$Q317,N(AT316))</f>
        <v>1187.10688</v>
      </c>
      <c r="AU317" s="55">
        <f>MAX(N(AU316),$AT317)</f>
        <v>1187.10688</v>
      </c>
      <c r="AV317" s="55">
        <f>$AT317-$AU317</f>
        <v>0</v>
      </c>
      <c r="AW317" s="56">
        <f>IF($AS317=1,IF($S317="Win",N(AW316)+1,IF($S317="Loss",0,N(AW316))),N(AW316))</f>
        <v>5</v>
      </c>
      <c r="AX317" s="56">
        <f>IF($AS317=1,IF($S317="Loss",N(AX316)+1,IF($S317="Win",0,N(AX316))),N(AX316))</f>
        <v>0</v>
      </c>
      <c r="AY317" s="56" t="str">
        <f>IF($AS317=1,COUNTIF($AS$6:$AS317,1),"")</f>
        <v/>
      </c>
      <c r="AZ317" s="56">
        <f>MIN(311,N(Lists!$W$8))</f>
        <v>28</v>
      </c>
      <c r="BA317" s="56">
        <f>IF($AS317=1,IF(COUNTIFS($A$6:$A317,$A317,$AS$6:$AS317,1)=1,1,0),0)</f>
        <v>0</v>
      </c>
      <c r="BB317" s="55" t="str">
        <f>IF($BA317=1,SUMIFS($Q$6:$Q$1005,$A$6:$A$1005,$A317,$AS$6:$AS$1005,1),"")</f>
        <v/>
      </c>
      <c r="BC317" s="56">
        <f>IF(ISNUMBER($R317),1,0)</f>
        <v>0</v>
      </c>
      <c r="BD317" s="55" t="str">
        <f>IF(ISNUMBER($U317),$U317*$V317,"")</f>
        <v/>
      </c>
      <c r="BE317" s="56" t="str">
        <f>IF($AM317=0,"",IFERROR(MATCH($AF317&amp;"|"&amp;UPPER(TRIM($E317)),Lists!$A$6:$A$205,0),0))</f>
        <v/>
      </c>
      <c r="BF317" s="56" t="str">
        <f>IF($AM317=0,"",IFERROR(MATCH($AF317,Settings!$B$14:$B$18,0),IFERROR(MATCH(Settings!$C$6,Settings!$B$14:$B$18,0),1)))</f>
        <v/>
      </c>
      <c r="BG317" s="58" t="str">
        <f>IF($AM317=0,"",IF(NOT(ISNUMBER($I317)),"No stop; ","")&amp;IF(AND(ISNUMBER($H317),ISNUMBER($I317)),IF(OR(AND($F317&lt;&gt;"Short",$I317&gt;=$H317),AND($F317="Short",$I317&lt;=$H317)),"Stop on wrong side; ",""),"")&amp;IF($F317="","No direction; ","")&amp;IF(AND(ISNUMBER(Settings!$C$22),ISNUMBER($V317)),IF($V317&gt;Settings!$C$22,"Risk over max $; ",""),"")&amp;IF(AND(ISNUMBER(Settings!$C$23),ISNUMBER($V317),ISNUMBER($AP317),IFERROR(N(INDEX(Accounts!$E$7:$E$16,MATCH($C317,Accounts!$B$7:$B$16,0))),0)&gt;0),IF($V317&gt;Settings!$C$23*($AP317-N($Q317)),"Risk over max %; ",""),"")&amp;IF(AND(ISNUMBER(Settings!$C$24),ISNUMBER($N317)),IF($N317&gt;Settings!$C$24,"Leverage over max; ",""),"")&amp;IF(AND(ISNUMBER(Settings!$C$27),ISNUMBER($T317)),IF($T317&lt;Settings!$C$27,"R:R below min; ",""),"")&amp;IF(ISNUMBER(Settings!$C$25),IF(COUNTIFS($A$6:$A317,$A317,$AM$6:$AM317,1)&gt;Settings!$C$25,"Over max trades/day; ",""),"")&amp;IF(ISNUMBER(Settings!$C$26),IF(SUMIFS($Q$5:$Q316,$A$5:$A316,$A317)&lt;=-Settings!$C$26,"Traded after daily max loss; ",""),"")&amp;IF(AND($AG317="",NOT(ISNUMBER($O317))),"Symbol not in Instruments; ","")&amp;IF(AND($AH317="",NOT(ISNUMBER($O317))),"Forex cross: type Gross P&amp;L; ",""))</f>
        <v/>
      </c>
      <c r="BH317" s="56">
        <f>IF(ISNUMBER($Q317),1,0)</f>
        <v>0</v>
      </c>
      <c r="BI317" s="56">
        <f>IF($Y317="",0,1)</f>
        <v>0</v>
      </c>
      <c r="BJ317" s="56">
        <f>IF($AB317="",0,1)</f>
        <v>0</v>
      </c>
      <c r="BK317" s="56">
        <f>IF(AND($BH317=1,$W317&lt;&gt;"OK"),1,0)</f>
        <v>0</v>
      </c>
      <c r="BL317" s="55">
        <f>IF(N($AZ317)=0,0,IFERROR(INDEX($AT$6:$AT$1005,MATCH($AZ317,$AY$6:$AY$1005,0)),0))</f>
        <v>1187.10688</v>
      </c>
      <c r="BM317" s="56">
        <f>IF(ISNUMBER(SEARCH("daily max loss",$BG317)),1,0)</f>
        <v>0</v>
      </c>
    </row>
    <row r="318" ht="18" customHeight="1">
      <c r="A318" s="38" t="n"/>
      <c r="B318" s="39" t="n"/>
      <c r="C318" s="40" t="n"/>
      <c r="D318" s="41" t="n"/>
      <c r="E318" s="41" t="n"/>
      <c r="F318" s="41" t="n"/>
      <c r="G318" s="41" t="n"/>
      <c r="H318" s="42" t="n"/>
      <c r="I318" s="42" t="n"/>
      <c r="J318" s="42" t="n"/>
      <c r="K318" s="42" t="n"/>
      <c r="L318" s="41" t="n"/>
      <c r="M318" s="41" t="n"/>
      <c r="N318" s="41" t="n"/>
      <c r="O318" s="43" t="n"/>
      <c r="P318" s="43" t="n"/>
      <c r="Q318" s="44" t="str">
        <f>IF($AM318=0,"",IF(ISNUMBER($AK318),$AK318-N($AL318),""))</f>
        <v/>
      </c>
      <c r="R318" s="45" t="str">
        <f>IF(OR($Q318="",NOT(ISNUMBER($V318))),"",$AK318/$V318)</f>
        <v/>
      </c>
      <c r="S318" s="46" t="str">
        <f>IF($Q318="","",IF(AND(ISNUMBER($R318),ABS(N($R318))&lt;N(Settings!$C$8)),"Scratch",IF($Q318&gt;0,"Win",IF($Q318&lt;0,"Loss","Scratch"))))</f>
        <v/>
      </c>
      <c r="T318" s="47" t="str">
        <f>IF(OR($AM318=0,NOT(ISNUMBER($H318)),NOT(ISNUMBER($I318)),NOT(ISNUMBER($J318))),"",IF($H318=$I318,"",ROUND(ABS($J318-$H318)/ABS($H318-$I318),6)))</f>
        <v/>
      </c>
      <c r="U318" s="48" t="str">
        <f>IF(OR($S318&lt;&gt;"Win",NOT(ISNUMBER($T318)),NOT(ISNUMBER($R318))),"",MAX(0,$T318-$R318))</f>
        <v/>
      </c>
      <c r="V318" s="49" t="str">
        <f>IF(OR($AM318=0,NOT(ISNUMBER($H318)),NOT(ISNUMBER($I318)),NOT(ISNUMBER($G318))),"",IF(OR($AG318="",$AH318=""),"",IF(ROUND(ABS($H318-$I318)*ABS($G318)*$AG318*$AH318,6)=0,"",ROUND(ABS($H318-$I318)*ABS($G318)*$AG318*$AH318,6))))</f>
        <v/>
      </c>
      <c r="W318" s="50" t="str">
        <f>IF($AM318=0,"",IF($BG318="","OK",LEFT($BG318,LEN($BG318)-2)))</f>
        <v/>
      </c>
      <c r="X318" s="41" t="n"/>
      <c r="Y318" s="40" t="n"/>
      <c r="Z318" s="41" t="n"/>
      <c r="AA318" s="41" t="n"/>
      <c r="AB318" s="40" t="n"/>
      <c r="AC318" s="51" t="n"/>
      <c r="AD318" s="51" t="n"/>
      <c r="AE318" s="40" t="n"/>
      <c r="AF318" s="52" t="str">
        <f>IF($AM318=0,"",IF($D318&lt;&gt;"",$D318,IF(IFERROR(INDEX(Accounts!$C$7:$C$16,MATCH($C318,Accounts!$B$7:$B$16,0))&amp;"","")&lt;&gt;"",INDEX(Accounts!$C$7:$C$16,MATCH($C318,Accounts!$B$7:$B$16,0)),Settings!$C$6)))</f>
        <v/>
      </c>
      <c r="AG318" s="53" t="str">
        <f>IF($AM318=0,"",IF(AND($BE318&gt;0,N(INDEX(Instruments!$D$6:$D$205,MAX(1,$BE318)))&gt;0),INDEX(Instruments!$D$6:$D$205,MAX(1,$BE318)),IF(N(INDEX(Settings!$D$14:$D$18,$BF318))&gt;0,INDEX(Settings!$D$14:$D$18,$BF318),"")))</f>
        <v/>
      </c>
      <c r="AH318" s="54" t="str">
        <f>IF($AM318=0,"",IF($AF318&lt;&gt;"Forex",1,IF(MID(UPPER(SUBSTITUTE(TRIM($E318),"/","")),4,3)=UPPER(TRIM(Settings!$C$7)),1,IF(LEFT(UPPER(SUBSTITUTE(TRIM($E318),"/","")),3)=UPPER(TRIM(Settings!$C$7)),IF(AND(ISNUMBER($K318),N($K318)&lt;&gt;0),1/$K318,""),""))))</f>
        <v/>
      </c>
      <c r="AI318" s="55" t="str">
        <f>IF($AM318=0,"",IF(OR(NOT(ISNUMBER($H318)),NOT(ISNUMBER($K318)),NOT(ISNUMBER($G318)),$AG318="",$AH318=""),"",ROUND(($K318-$H318)*IF($F318="Short",-1,1)*$G318*$AG318*$AH318,6)))</f>
        <v/>
      </c>
      <c r="AJ318" s="55" t="str">
        <f>IF($AM318=0,"",IF(INDEX(Settings!$E$14:$E$18,$BF318)="% of notional",IF(OR($AG318="",NOT(ISNUMBER($H318)),NOT(ISNUMBER($G318))),"",ROUND(ABS($H318*$G318*$AG318*N($AH318))*IF($L318="Limit",N(INDEX(Settings!$G$14:$G$18,$BF318)),N(INDEX(Settings!$H$14:$H$18,$BF318)))+IF(ISNUMBER($K318),ABS($K318*$G318*$AG318*N($AH318))*IF($M318="Target",N(INDEX(Settings!$G$14:$G$18,$BF318)),N(INDEX(Settings!$H$14:$H$18,$BF318))),0),6)),IF(NOT(ISNUMBER($G318)),"",ROUND(ABS($G318)*2*IF(AND($BE318&gt;0,ISNUMBER(INDEX(Instruments!$G$6:$G$205,MAX(1,$BE318)))),INDEX(Instruments!$G$6:$G$205,MAX(1,$BE318)),N(INDEX(Settings!$F$14:$F$18,$BF318))),6))))</f>
        <v/>
      </c>
      <c r="AK318" s="55" t="str">
        <f>IF($AM318=0,"",IF(ISNUMBER($O318),$O318,$AI318))</f>
        <v/>
      </c>
      <c r="AL318" s="55" t="str">
        <f>IF($AM318=0,"",IF(ISNUMBER($P318),$P318,N($AJ318)))</f>
        <v/>
      </c>
      <c r="AM318" s="56">
        <f>IF(AND($A318&lt;&gt;"",$E318&lt;&gt;"",OR(AND(ISNUMBER($G318),ISNUMBER($H318),ISNUMBER($K318)),ISNUMBER($O318))),1,0)</f>
        <v>0</v>
      </c>
      <c r="AN318" s="57" t="str">
        <f>IF($A318="","",$A318-WEEKDAY($A318,3))</f>
        <v/>
      </c>
      <c r="AO318" s="56" t="str">
        <f>IF($A318="","",WEEKDAY($A318,2))</f>
        <v/>
      </c>
      <c r="AP318" s="55" t="str">
        <f>IF(OR($AM318=0,$C318=""),"",IFERROR(N(INDEX(Accounts!$E$7:$E$16,MATCH($C318,Accounts!$B$7:$B$16,0))),0)+SUMIFS($Q$6:$Q318,$C$6:$C318,$C318))</f>
        <v/>
      </c>
      <c r="AQ318" s="55" t="str">
        <f>IF(OR($AM318=0,$C318=""),"",SUMIFS($Q$6:$Q$1005,$C$6:$C$1005,$C318,$A$6:$A$1005,$A318))</f>
        <v/>
      </c>
      <c r="AR318" s="55" t="str">
        <f>IF(OR($AM318=0,$C318=""),"",IFERROR(N(INDEX(Accounts!$E$7:$E$16,MATCH($C318,Accounts!$B$7:$B$16,0))),0)+SUMIFS($Q$6:$Q$1005,$C$6:$C$1005,$C318,$A$6:$A$1005,"&lt;="&amp;$A318))</f>
        <v/>
      </c>
      <c r="AS318" s="56">
        <f>IF(OR($AM318=0,$Q318=""),0,IF(AND($A318&gt;=Lists!$W$6,$A318&lt;=Lists!$W$7,OR(Dashboard!$D$6="All accounts",$C318=Dashboard!$D$6),OR(Dashboard!$D$7="All markets",$AF318=Dashboard!$D$7)),1,0))</f>
        <v>0</v>
      </c>
      <c r="AT318" s="55">
        <f>IF($AS318=1,N(AT317)+$Q318,N(AT317))</f>
        <v>1187.10688</v>
      </c>
      <c r="AU318" s="55">
        <f>MAX(N(AU317),$AT318)</f>
        <v>1187.10688</v>
      </c>
      <c r="AV318" s="55">
        <f>$AT318-$AU318</f>
        <v>0</v>
      </c>
      <c r="AW318" s="56">
        <f>IF($AS318=1,IF($S318="Win",N(AW317)+1,IF($S318="Loss",0,N(AW317))),N(AW317))</f>
        <v>5</v>
      </c>
      <c r="AX318" s="56">
        <f>IF($AS318=1,IF($S318="Loss",N(AX317)+1,IF($S318="Win",0,N(AX317))),N(AX317))</f>
        <v>0</v>
      </c>
      <c r="AY318" s="56" t="str">
        <f>IF($AS318=1,COUNTIF($AS$6:$AS318,1),"")</f>
        <v/>
      </c>
      <c r="AZ318" s="56">
        <f>MIN(312,N(Lists!$W$8))</f>
        <v>28</v>
      </c>
      <c r="BA318" s="56">
        <f>IF($AS318=1,IF(COUNTIFS($A$6:$A318,$A318,$AS$6:$AS318,1)=1,1,0),0)</f>
        <v>0</v>
      </c>
      <c r="BB318" s="55" t="str">
        <f>IF($BA318=1,SUMIFS($Q$6:$Q$1005,$A$6:$A$1005,$A318,$AS$6:$AS$1005,1),"")</f>
        <v/>
      </c>
      <c r="BC318" s="56">
        <f>IF(ISNUMBER($R318),1,0)</f>
        <v>0</v>
      </c>
      <c r="BD318" s="55" t="str">
        <f>IF(ISNUMBER($U318),$U318*$V318,"")</f>
        <v/>
      </c>
      <c r="BE318" s="56" t="str">
        <f>IF($AM318=0,"",IFERROR(MATCH($AF318&amp;"|"&amp;UPPER(TRIM($E318)),Lists!$A$6:$A$205,0),0))</f>
        <v/>
      </c>
      <c r="BF318" s="56" t="str">
        <f>IF($AM318=0,"",IFERROR(MATCH($AF318,Settings!$B$14:$B$18,0),IFERROR(MATCH(Settings!$C$6,Settings!$B$14:$B$18,0),1)))</f>
        <v/>
      </c>
      <c r="BG318" s="58" t="str">
        <f>IF($AM318=0,"",IF(NOT(ISNUMBER($I318)),"No stop; ","")&amp;IF(AND(ISNUMBER($H318),ISNUMBER($I318)),IF(OR(AND($F318&lt;&gt;"Short",$I318&gt;=$H318),AND($F318="Short",$I318&lt;=$H318)),"Stop on wrong side; ",""),"")&amp;IF($F318="","No direction; ","")&amp;IF(AND(ISNUMBER(Settings!$C$22),ISNUMBER($V318)),IF($V318&gt;Settings!$C$22,"Risk over max $; ",""),"")&amp;IF(AND(ISNUMBER(Settings!$C$23),ISNUMBER($V318),ISNUMBER($AP318),IFERROR(N(INDEX(Accounts!$E$7:$E$16,MATCH($C318,Accounts!$B$7:$B$16,0))),0)&gt;0),IF($V318&gt;Settings!$C$23*($AP318-N($Q318)),"Risk over max %; ",""),"")&amp;IF(AND(ISNUMBER(Settings!$C$24),ISNUMBER($N318)),IF($N318&gt;Settings!$C$24,"Leverage over max; ",""),"")&amp;IF(AND(ISNUMBER(Settings!$C$27),ISNUMBER($T318)),IF($T318&lt;Settings!$C$27,"R:R below min; ",""),"")&amp;IF(ISNUMBER(Settings!$C$25),IF(COUNTIFS($A$6:$A318,$A318,$AM$6:$AM318,1)&gt;Settings!$C$25,"Over max trades/day; ",""),"")&amp;IF(ISNUMBER(Settings!$C$26),IF(SUMIFS($Q$5:$Q317,$A$5:$A317,$A318)&lt;=-Settings!$C$26,"Traded after daily max loss; ",""),"")&amp;IF(AND($AG318="",NOT(ISNUMBER($O318))),"Symbol not in Instruments; ","")&amp;IF(AND($AH318="",NOT(ISNUMBER($O318))),"Forex cross: type Gross P&amp;L; ",""))</f>
        <v/>
      </c>
      <c r="BH318" s="56">
        <f>IF(ISNUMBER($Q318),1,0)</f>
        <v>0</v>
      </c>
      <c r="BI318" s="56">
        <f>IF($Y318="",0,1)</f>
        <v>0</v>
      </c>
      <c r="BJ318" s="56">
        <f>IF($AB318="",0,1)</f>
        <v>0</v>
      </c>
      <c r="BK318" s="56">
        <f>IF(AND($BH318=1,$W318&lt;&gt;"OK"),1,0)</f>
        <v>0</v>
      </c>
      <c r="BL318" s="55">
        <f>IF(N($AZ318)=0,0,IFERROR(INDEX($AT$6:$AT$1005,MATCH($AZ318,$AY$6:$AY$1005,0)),0))</f>
        <v>1187.10688</v>
      </c>
      <c r="BM318" s="56">
        <f>IF(ISNUMBER(SEARCH("daily max loss",$BG318)),1,0)</f>
        <v>0</v>
      </c>
    </row>
    <row r="319" ht="18" customHeight="1">
      <c r="A319" s="38" t="n"/>
      <c r="B319" s="39" t="n"/>
      <c r="C319" s="40" t="n"/>
      <c r="D319" s="41" t="n"/>
      <c r="E319" s="41" t="n"/>
      <c r="F319" s="41" t="n"/>
      <c r="G319" s="41" t="n"/>
      <c r="H319" s="42" t="n"/>
      <c r="I319" s="42" t="n"/>
      <c r="J319" s="42" t="n"/>
      <c r="K319" s="42" t="n"/>
      <c r="L319" s="41" t="n"/>
      <c r="M319" s="41" t="n"/>
      <c r="N319" s="41" t="n"/>
      <c r="O319" s="43" t="n"/>
      <c r="P319" s="43" t="n"/>
      <c r="Q319" s="44" t="str">
        <f>IF($AM319=0,"",IF(ISNUMBER($AK319),$AK319-N($AL319),""))</f>
        <v/>
      </c>
      <c r="R319" s="45" t="str">
        <f>IF(OR($Q319="",NOT(ISNUMBER($V319))),"",$AK319/$V319)</f>
        <v/>
      </c>
      <c r="S319" s="46" t="str">
        <f>IF($Q319="","",IF(AND(ISNUMBER($R319),ABS(N($R319))&lt;N(Settings!$C$8)),"Scratch",IF($Q319&gt;0,"Win",IF($Q319&lt;0,"Loss","Scratch"))))</f>
        <v/>
      </c>
      <c r="T319" s="47" t="str">
        <f>IF(OR($AM319=0,NOT(ISNUMBER($H319)),NOT(ISNUMBER($I319)),NOT(ISNUMBER($J319))),"",IF($H319=$I319,"",ROUND(ABS($J319-$H319)/ABS($H319-$I319),6)))</f>
        <v/>
      </c>
      <c r="U319" s="48" t="str">
        <f>IF(OR($S319&lt;&gt;"Win",NOT(ISNUMBER($T319)),NOT(ISNUMBER($R319))),"",MAX(0,$T319-$R319))</f>
        <v/>
      </c>
      <c r="V319" s="49" t="str">
        <f>IF(OR($AM319=0,NOT(ISNUMBER($H319)),NOT(ISNUMBER($I319)),NOT(ISNUMBER($G319))),"",IF(OR($AG319="",$AH319=""),"",IF(ROUND(ABS($H319-$I319)*ABS($G319)*$AG319*$AH319,6)=0,"",ROUND(ABS($H319-$I319)*ABS($G319)*$AG319*$AH319,6))))</f>
        <v/>
      </c>
      <c r="W319" s="50" t="str">
        <f>IF($AM319=0,"",IF($BG319="","OK",LEFT($BG319,LEN($BG319)-2)))</f>
        <v/>
      </c>
      <c r="X319" s="41" t="n"/>
      <c r="Y319" s="40" t="n"/>
      <c r="Z319" s="41" t="n"/>
      <c r="AA319" s="41" t="n"/>
      <c r="AB319" s="40" t="n"/>
      <c r="AC319" s="51" t="n"/>
      <c r="AD319" s="51" t="n"/>
      <c r="AE319" s="40" t="n"/>
      <c r="AF319" s="52" t="str">
        <f>IF($AM319=0,"",IF($D319&lt;&gt;"",$D319,IF(IFERROR(INDEX(Accounts!$C$7:$C$16,MATCH($C319,Accounts!$B$7:$B$16,0))&amp;"","")&lt;&gt;"",INDEX(Accounts!$C$7:$C$16,MATCH($C319,Accounts!$B$7:$B$16,0)),Settings!$C$6)))</f>
        <v/>
      </c>
      <c r="AG319" s="53" t="str">
        <f>IF($AM319=0,"",IF(AND($BE319&gt;0,N(INDEX(Instruments!$D$6:$D$205,MAX(1,$BE319)))&gt;0),INDEX(Instruments!$D$6:$D$205,MAX(1,$BE319)),IF(N(INDEX(Settings!$D$14:$D$18,$BF319))&gt;0,INDEX(Settings!$D$14:$D$18,$BF319),"")))</f>
        <v/>
      </c>
      <c r="AH319" s="54" t="str">
        <f>IF($AM319=0,"",IF($AF319&lt;&gt;"Forex",1,IF(MID(UPPER(SUBSTITUTE(TRIM($E319),"/","")),4,3)=UPPER(TRIM(Settings!$C$7)),1,IF(LEFT(UPPER(SUBSTITUTE(TRIM($E319),"/","")),3)=UPPER(TRIM(Settings!$C$7)),IF(AND(ISNUMBER($K319),N($K319)&lt;&gt;0),1/$K319,""),""))))</f>
        <v/>
      </c>
      <c r="AI319" s="55" t="str">
        <f>IF($AM319=0,"",IF(OR(NOT(ISNUMBER($H319)),NOT(ISNUMBER($K319)),NOT(ISNUMBER($G319)),$AG319="",$AH319=""),"",ROUND(($K319-$H319)*IF($F319="Short",-1,1)*$G319*$AG319*$AH319,6)))</f>
        <v/>
      </c>
      <c r="AJ319" s="55" t="str">
        <f>IF($AM319=0,"",IF(INDEX(Settings!$E$14:$E$18,$BF319)="% of notional",IF(OR($AG319="",NOT(ISNUMBER($H319)),NOT(ISNUMBER($G319))),"",ROUND(ABS($H319*$G319*$AG319*N($AH319))*IF($L319="Limit",N(INDEX(Settings!$G$14:$G$18,$BF319)),N(INDEX(Settings!$H$14:$H$18,$BF319)))+IF(ISNUMBER($K319),ABS($K319*$G319*$AG319*N($AH319))*IF($M319="Target",N(INDEX(Settings!$G$14:$G$18,$BF319)),N(INDEX(Settings!$H$14:$H$18,$BF319))),0),6)),IF(NOT(ISNUMBER($G319)),"",ROUND(ABS($G319)*2*IF(AND($BE319&gt;0,ISNUMBER(INDEX(Instruments!$G$6:$G$205,MAX(1,$BE319)))),INDEX(Instruments!$G$6:$G$205,MAX(1,$BE319)),N(INDEX(Settings!$F$14:$F$18,$BF319))),6))))</f>
        <v/>
      </c>
      <c r="AK319" s="55" t="str">
        <f>IF($AM319=0,"",IF(ISNUMBER($O319),$O319,$AI319))</f>
        <v/>
      </c>
      <c r="AL319" s="55" t="str">
        <f>IF($AM319=0,"",IF(ISNUMBER($P319),$P319,N($AJ319)))</f>
        <v/>
      </c>
      <c r="AM319" s="56">
        <f>IF(AND($A319&lt;&gt;"",$E319&lt;&gt;"",OR(AND(ISNUMBER($G319),ISNUMBER($H319),ISNUMBER($K319)),ISNUMBER($O319))),1,0)</f>
        <v>0</v>
      </c>
      <c r="AN319" s="57" t="str">
        <f>IF($A319="","",$A319-WEEKDAY($A319,3))</f>
        <v/>
      </c>
      <c r="AO319" s="56" t="str">
        <f>IF($A319="","",WEEKDAY($A319,2))</f>
        <v/>
      </c>
      <c r="AP319" s="55" t="str">
        <f>IF(OR($AM319=0,$C319=""),"",IFERROR(N(INDEX(Accounts!$E$7:$E$16,MATCH($C319,Accounts!$B$7:$B$16,0))),0)+SUMIFS($Q$6:$Q319,$C$6:$C319,$C319))</f>
        <v/>
      </c>
      <c r="AQ319" s="55" t="str">
        <f>IF(OR($AM319=0,$C319=""),"",SUMIFS($Q$6:$Q$1005,$C$6:$C$1005,$C319,$A$6:$A$1005,$A319))</f>
        <v/>
      </c>
      <c r="AR319" s="55" t="str">
        <f>IF(OR($AM319=0,$C319=""),"",IFERROR(N(INDEX(Accounts!$E$7:$E$16,MATCH($C319,Accounts!$B$7:$B$16,0))),0)+SUMIFS($Q$6:$Q$1005,$C$6:$C$1005,$C319,$A$6:$A$1005,"&lt;="&amp;$A319))</f>
        <v/>
      </c>
      <c r="AS319" s="56">
        <f>IF(OR($AM319=0,$Q319=""),0,IF(AND($A319&gt;=Lists!$W$6,$A319&lt;=Lists!$W$7,OR(Dashboard!$D$6="All accounts",$C319=Dashboard!$D$6),OR(Dashboard!$D$7="All markets",$AF319=Dashboard!$D$7)),1,0))</f>
        <v>0</v>
      </c>
      <c r="AT319" s="55">
        <f>IF($AS319=1,N(AT318)+$Q319,N(AT318))</f>
        <v>1187.10688</v>
      </c>
      <c r="AU319" s="55">
        <f>MAX(N(AU318),$AT319)</f>
        <v>1187.10688</v>
      </c>
      <c r="AV319" s="55">
        <f>$AT319-$AU319</f>
        <v>0</v>
      </c>
      <c r="AW319" s="56">
        <f>IF($AS319=1,IF($S319="Win",N(AW318)+1,IF($S319="Loss",0,N(AW318))),N(AW318))</f>
        <v>5</v>
      </c>
      <c r="AX319" s="56">
        <f>IF($AS319=1,IF($S319="Loss",N(AX318)+1,IF($S319="Win",0,N(AX318))),N(AX318))</f>
        <v>0</v>
      </c>
      <c r="AY319" s="56" t="str">
        <f>IF($AS319=1,COUNTIF($AS$6:$AS319,1),"")</f>
        <v/>
      </c>
      <c r="AZ319" s="56">
        <f>MIN(313,N(Lists!$W$8))</f>
        <v>28</v>
      </c>
      <c r="BA319" s="56">
        <f>IF($AS319=1,IF(COUNTIFS($A$6:$A319,$A319,$AS$6:$AS319,1)=1,1,0),0)</f>
        <v>0</v>
      </c>
      <c r="BB319" s="55" t="str">
        <f>IF($BA319=1,SUMIFS($Q$6:$Q$1005,$A$6:$A$1005,$A319,$AS$6:$AS$1005,1),"")</f>
        <v/>
      </c>
      <c r="BC319" s="56">
        <f>IF(ISNUMBER($R319),1,0)</f>
        <v>0</v>
      </c>
      <c r="BD319" s="55" t="str">
        <f>IF(ISNUMBER($U319),$U319*$V319,"")</f>
        <v/>
      </c>
      <c r="BE319" s="56" t="str">
        <f>IF($AM319=0,"",IFERROR(MATCH($AF319&amp;"|"&amp;UPPER(TRIM($E319)),Lists!$A$6:$A$205,0),0))</f>
        <v/>
      </c>
      <c r="BF319" s="56" t="str">
        <f>IF($AM319=0,"",IFERROR(MATCH($AF319,Settings!$B$14:$B$18,0),IFERROR(MATCH(Settings!$C$6,Settings!$B$14:$B$18,0),1)))</f>
        <v/>
      </c>
      <c r="BG319" s="58" t="str">
        <f>IF($AM319=0,"",IF(NOT(ISNUMBER($I319)),"No stop; ","")&amp;IF(AND(ISNUMBER($H319),ISNUMBER($I319)),IF(OR(AND($F319&lt;&gt;"Short",$I319&gt;=$H319),AND($F319="Short",$I319&lt;=$H319)),"Stop on wrong side; ",""),"")&amp;IF($F319="","No direction; ","")&amp;IF(AND(ISNUMBER(Settings!$C$22),ISNUMBER($V319)),IF($V319&gt;Settings!$C$22,"Risk over max $; ",""),"")&amp;IF(AND(ISNUMBER(Settings!$C$23),ISNUMBER($V319),ISNUMBER($AP319),IFERROR(N(INDEX(Accounts!$E$7:$E$16,MATCH($C319,Accounts!$B$7:$B$16,0))),0)&gt;0),IF($V319&gt;Settings!$C$23*($AP319-N($Q319)),"Risk over max %; ",""),"")&amp;IF(AND(ISNUMBER(Settings!$C$24),ISNUMBER($N319)),IF($N319&gt;Settings!$C$24,"Leverage over max; ",""),"")&amp;IF(AND(ISNUMBER(Settings!$C$27),ISNUMBER($T319)),IF($T319&lt;Settings!$C$27,"R:R below min; ",""),"")&amp;IF(ISNUMBER(Settings!$C$25),IF(COUNTIFS($A$6:$A319,$A319,$AM$6:$AM319,1)&gt;Settings!$C$25,"Over max trades/day; ",""),"")&amp;IF(ISNUMBER(Settings!$C$26),IF(SUMIFS($Q$5:$Q318,$A$5:$A318,$A319)&lt;=-Settings!$C$26,"Traded after daily max loss; ",""),"")&amp;IF(AND($AG319="",NOT(ISNUMBER($O319))),"Symbol not in Instruments; ","")&amp;IF(AND($AH319="",NOT(ISNUMBER($O319))),"Forex cross: type Gross P&amp;L; ",""))</f>
        <v/>
      </c>
      <c r="BH319" s="56">
        <f>IF(ISNUMBER($Q319),1,0)</f>
        <v>0</v>
      </c>
      <c r="BI319" s="56">
        <f>IF($Y319="",0,1)</f>
        <v>0</v>
      </c>
      <c r="BJ319" s="56">
        <f>IF($AB319="",0,1)</f>
        <v>0</v>
      </c>
      <c r="BK319" s="56">
        <f>IF(AND($BH319=1,$W319&lt;&gt;"OK"),1,0)</f>
        <v>0</v>
      </c>
      <c r="BL319" s="55">
        <f>IF(N($AZ319)=0,0,IFERROR(INDEX($AT$6:$AT$1005,MATCH($AZ319,$AY$6:$AY$1005,0)),0))</f>
        <v>1187.10688</v>
      </c>
      <c r="BM319" s="56">
        <f>IF(ISNUMBER(SEARCH("daily max loss",$BG319)),1,0)</f>
        <v>0</v>
      </c>
    </row>
    <row r="320" ht="18" customHeight="1">
      <c r="A320" s="38" t="n"/>
      <c r="B320" s="39" t="n"/>
      <c r="C320" s="40" t="n"/>
      <c r="D320" s="41" t="n"/>
      <c r="E320" s="41" t="n"/>
      <c r="F320" s="41" t="n"/>
      <c r="G320" s="41" t="n"/>
      <c r="H320" s="42" t="n"/>
      <c r="I320" s="42" t="n"/>
      <c r="J320" s="42" t="n"/>
      <c r="K320" s="42" t="n"/>
      <c r="L320" s="41" t="n"/>
      <c r="M320" s="41" t="n"/>
      <c r="N320" s="41" t="n"/>
      <c r="O320" s="43" t="n"/>
      <c r="P320" s="43" t="n"/>
      <c r="Q320" s="44" t="str">
        <f>IF($AM320=0,"",IF(ISNUMBER($AK320),$AK320-N($AL320),""))</f>
        <v/>
      </c>
      <c r="R320" s="45" t="str">
        <f>IF(OR($Q320="",NOT(ISNUMBER($V320))),"",$AK320/$V320)</f>
        <v/>
      </c>
      <c r="S320" s="46" t="str">
        <f>IF($Q320="","",IF(AND(ISNUMBER($R320),ABS(N($R320))&lt;N(Settings!$C$8)),"Scratch",IF($Q320&gt;0,"Win",IF($Q320&lt;0,"Loss","Scratch"))))</f>
        <v/>
      </c>
      <c r="T320" s="47" t="str">
        <f>IF(OR($AM320=0,NOT(ISNUMBER($H320)),NOT(ISNUMBER($I320)),NOT(ISNUMBER($J320))),"",IF($H320=$I320,"",ROUND(ABS($J320-$H320)/ABS($H320-$I320),6)))</f>
        <v/>
      </c>
      <c r="U320" s="48" t="str">
        <f>IF(OR($S320&lt;&gt;"Win",NOT(ISNUMBER($T320)),NOT(ISNUMBER($R320))),"",MAX(0,$T320-$R320))</f>
        <v/>
      </c>
      <c r="V320" s="49" t="str">
        <f>IF(OR($AM320=0,NOT(ISNUMBER($H320)),NOT(ISNUMBER($I320)),NOT(ISNUMBER($G320))),"",IF(OR($AG320="",$AH320=""),"",IF(ROUND(ABS($H320-$I320)*ABS($G320)*$AG320*$AH320,6)=0,"",ROUND(ABS($H320-$I320)*ABS($G320)*$AG320*$AH320,6))))</f>
        <v/>
      </c>
      <c r="W320" s="50" t="str">
        <f>IF($AM320=0,"",IF($BG320="","OK",LEFT($BG320,LEN($BG320)-2)))</f>
        <v/>
      </c>
      <c r="X320" s="41" t="n"/>
      <c r="Y320" s="40" t="n"/>
      <c r="Z320" s="41" t="n"/>
      <c r="AA320" s="41" t="n"/>
      <c r="AB320" s="40" t="n"/>
      <c r="AC320" s="51" t="n"/>
      <c r="AD320" s="51" t="n"/>
      <c r="AE320" s="40" t="n"/>
      <c r="AF320" s="52" t="str">
        <f>IF($AM320=0,"",IF($D320&lt;&gt;"",$D320,IF(IFERROR(INDEX(Accounts!$C$7:$C$16,MATCH($C320,Accounts!$B$7:$B$16,0))&amp;"","")&lt;&gt;"",INDEX(Accounts!$C$7:$C$16,MATCH($C320,Accounts!$B$7:$B$16,0)),Settings!$C$6)))</f>
        <v/>
      </c>
      <c r="AG320" s="53" t="str">
        <f>IF($AM320=0,"",IF(AND($BE320&gt;0,N(INDEX(Instruments!$D$6:$D$205,MAX(1,$BE320)))&gt;0),INDEX(Instruments!$D$6:$D$205,MAX(1,$BE320)),IF(N(INDEX(Settings!$D$14:$D$18,$BF320))&gt;0,INDEX(Settings!$D$14:$D$18,$BF320),"")))</f>
        <v/>
      </c>
      <c r="AH320" s="54" t="str">
        <f>IF($AM320=0,"",IF($AF320&lt;&gt;"Forex",1,IF(MID(UPPER(SUBSTITUTE(TRIM($E320),"/","")),4,3)=UPPER(TRIM(Settings!$C$7)),1,IF(LEFT(UPPER(SUBSTITUTE(TRIM($E320),"/","")),3)=UPPER(TRIM(Settings!$C$7)),IF(AND(ISNUMBER($K320),N($K320)&lt;&gt;0),1/$K320,""),""))))</f>
        <v/>
      </c>
      <c r="AI320" s="55" t="str">
        <f>IF($AM320=0,"",IF(OR(NOT(ISNUMBER($H320)),NOT(ISNUMBER($K320)),NOT(ISNUMBER($G320)),$AG320="",$AH320=""),"",ROUND(($K320-$H320)*IF($F320="Short",-1,1)*$G320*$AG320*$AH320,6)))</f>
        <v/>
      </c>
      <c r="AJ320" s="55" t="str">
        <f>IF($AM320=0,"",IF(INDEX(Settings!$E$14:$E$18,$BF320)="% of notional",IF(OR($AG320="",NOT(ISNUMBER($H320)),NOT(ISNUMBER($G320))),"",ROUND(ABS($H320*$G320*$AG320*N($AH320))*IF($L320="Limit",N(INDEX(Settings!$G$14:$G$18,$BF320)),N(INDEX(Settings!$H$14:$H$18,$BF320)))+IF(ISNUMBER($K320),ABS($K320*$G320*$AG320*N($AH320))*IF($M320="Target",N(INDEX(Settings!$G$14:$G$18,$BF320)),N(INDEX(Settings!$H$14:$H$18,$BF320))),0),6)),IF(NOT(ISNUMBER($G320)),"",ROUND(ABS($G320)*2*IF(AND($BE320&gt;0,ISNUMBER(INDEX(Instruments!$G$6:$G$205,MAX(1,$BE320)))),INDEX(Instruments!$G$6:$G$205,MAX(1,$BE320)),N(INDEX(Settings!$F$14:$F$18,$BF320))),6))))</f>
        <v/>
      </c>
      <c r="AK320" s="55" t="str">
        <f>IF($AM320=0,"",IF(ISNUMBER($O320),$O320,$AI320))</f>
        <v/>
      </c>
      <c r="AL320" s="55" t="str">
        <f>IF($AM320=0,"",IF(ISNUMBER($P320),$P320,N($AJ320)))</f>
        <v/>
      </c>
      <c r="AM320" s="56">
        <f>IF(AND($A320&lt;&gt;"",$E320&lt;&gt;"",OR(AND(ISNUMBER($G320),ISNUMBER($H320),ISNUMBER($K320)),ISNUMBER($O320))),1,0)</f>
        <v>0</v>
      </c>
      <c r="AN320" s="57" t="str">
        <f>IF($A320="","",$A320-WEEKDAY($A320,3))</f>
        <v/>
      </c>
      <c r="AO320" s="56" t="str">
        <f>IF($A320="","",WEEKDAY($A320,2))</f>
        <v/>
      </c>
      <c r="AP320" s="55" t="str">
        <f>IF(OR($AM320=0,$C320=""),"",IFERROR(N(INDEX(Accounts!$E$7:$E$16,MATCH($C320,Accounts!$B$7:$B$16,0))),0)+SUMIFS($Q$6:$Q320,$C$6:$C320,$C320))</f>
        <v/>
      </c>
      <c r="AQ320" s="55" t="str">
        <f>IF(OR($AM320=0,$C320=""),"",SUMIFS($Q$6:$Q$1005,$C$6:$C$1005,$C320,$A$6:$A$1005,$A320))</f>
        <v/>
      </c>
      <c r="AR320" s="55" t="str">
        <f>IF(OR($AM320=0,$C320=""),"",IFERROR(N(INDEX(Accounts!$E$7:$E$16,MATCH($C320,Accounts!$B$7:$B$16,0))),0)+SUMIFS($Q$6:$Q$1005,$C$6:$C$1005,$C320,$A$6:$A$1005,"&lt;="&amp;$A320))</f>
        <v/>
      </c>
      <c r="AS320" s="56">
        <f>IF(OR($AM320=0,$Q320=""),0,IF(AND($A320&gt;=Lists!$W$6,$A320&lt;=Lists!$W$7,OR(Dashboard!$D$6="All accounts",$C320=Dashboard!$D$6),OR(Dashboard!$D$7="All markets",$AF320=Dashboard!$D$7)),1,0))</f>
        <v>0</v>
      </c>
      <c r="AT320" s="55">
        <f>IF($AS320=1,N(AT319)+$Q320,N(AT319))</f>
        <v>1187.10688</v>
      </c>
      <c r="AU320" s="55">
        <f>MAX(N(AU319),$AT320)</f>
        <v>1187.10688</v>
      </c>
      <c r="AV320" s="55">
        <f>$AT320-$AU320</f>
        <v>0</v>
      </c>
      <c r="AW320" s="56">
        <f>IF($AS320=1,IF($S320="Win",N(AW319)+1,IF($S320="Loss",0,N(AW319))),N(AW319))</f>
        <v>5</v>
      </c>
      <c r="AX320" s="56">
        <f>IF($AS320=1,IF($S320="Loss",N(AX319)+1,IF($S320="Win",0,N(AX319))),N(AX319))</f>
        <v>0</v>
      </c>
      <c r="AY320" s="56" t="str">
        <f>IF($AS320=1,COUNTIF($AS$6:$AS320,1),"")</f>
        <v/>
      </c>
      <c r="AZ320" s="56">
        <f>MIN(314,N(Lists!$W$8))</f>
        <v>28</v>
      </c>
      <c r="BA320" s="56">
        <f>IF($AS320=1,IF(COUNTIFS($A$6:$A320,$A320,$AS$6:$AS320,1)=1,1,0),0)</f>
        <v>0</v>
      </c>
      <c r="BB320" s="55" t="str">
        <f>IF($BA320=1,SUMIFS($Q$6:$Q$1005,$A$6:$A$1005,$A320,$AS$6:$AS$1005,1),"")</f>
        <v/>
      </c>
      <c r="BC320" s="56">
        <f>IF(ISNUMBER($R320),1,0)</f>
        <v>0</v>
      </c>
      <c r="BD320" s="55" t="str">
        <f>IF(ISNUMBER($U320),$U320*$V320,"")</f>
        <v/>
      </c>
      <c r="BE320" s="56" t="str">
        <f>IF($AM320=0,"",IFERROR(MATCH($AF320&amp;"|"&amp;UPPER(TRIM($E320)),Lists!$A$6:$A$205,0),0))</f>
        <v/>
      </c>
      <c r="BF320" s="56" t="str">
        <f>IF($AM320=0,"",IFERROR(MATCH($AF320,Settings!$B$14:$B$18,0),IFERROR(MATCH(Settings!$C$6,Settings!$B$14:$B$18,0),1)))</f>
        <v/>
      </c>
      <c r="BG320" s="58" t="str">
        <f>IF($AM320=0,"",IF(NOT(ISNUMBER($I320)),"No stop; ","")&amp;IF(AND(ISNUMBER($H320),ISNUMBER($I320)),IF(OR(AND($F320&lt;&gt;"Short",$I320&gt;=$H320),AND($F320="Short",$I320&lt;=$H320)),"Stop on wrong side; ",""),"")&amp;IF($F320="","No direction; ","")&amp;IF(AND(ISNUMBER(Settings!$C$22),ISNUMBER($V320)),IF($V320&gt;Settings!$C$22,"Risk over max $; ",""),"")&amp;IF(AND(ISNUMBER(Settings!$C$23),ISNUMBER($V320),ISNUMBER($AP320),IFERROR(N(INDEX(Accounts!$E$7:$E$16,MATCH($C320,Accounts!$B$7:$B$16,0))),0)&gt;0),IF($V320&gt;Settings!$C$23*($AP320-N($Q320)),"Risk over max %; ",""),"")&amp;IF(AND(ISNUMBER(Settings!$C$24),ISNUMBER($N320)),IF($N320&gt;Settings!$C$24,"Leverage over max; ",""),"")&amp;IF(AND(ISNUMBER(Settings!$C$27),ISNUMBER($T320)),IF($T320&lt;Settings!$C$27,"R:R below min; ",""),"")&amp;IF(ISNUMBER(Settings!$C$25),IF(COUNTIFS($A$6:$A320,$A320,$AM$6:$AM320,1)&gt;Settings!$C$25,"Over max trades/day; ",""),"")&amp;IF(ISNUMBER(Settings!$C$26),IF(SUMIFS($Q$5:$Q319,$A$5:$A319,$A320)&lt;=-Settings!$C$26,"Traded after daily max loss; ",""),"")&amp;IF(AND($AG320="",NOT(ISNUMBER($O320))),"Symbol not in Instruments; ","")&amp;IF(AND($AH320="",NOT(ISNUMBER($O320))),"Forex cross: type Gross P&amp;L; ",""))</f>
        <v/>
      </c>
      <c r="BH320" s="56">
        <f>IF(ISNUMBER($Q320),1,0)</f>
        <v>0</v>
      </c>
      <c r="BI320" s="56">
        <f>IF($Y320="",0,1)</f>
        <v>0</v>
      </c>
      <c r="BJ320" s="56">
        <f>IF($AB320="",0,1)</f>
        <v>0</v>
      </c>
      <c r="BK320" s="56">
        <f>IF(AND($BH320=1,$W320&lt;&gt;"OK"),1,0)</f>
        <v>0</v>
      </c>
      <c r="BL320" s="55">
        <f>IF(N($AZ320)=0,0,IFERROR(INDEX($AT$6:$AT$1005,MATCH($AZ320,$AY$6:$AY$1005,0)),0))</f>
        <v>1187.10688</v>
      </c>
      <c r="BM320" s="56">
        <f>IF(ISNUMBER(SEARCH("daily max loss",$BG320)),1,0)</f>
        <v>0</v>
      </c>
    </row>
    <row r="321" ht="18" customHeight="1">
      <c r="A321" s="38" t="n"/>
      <c r="B321" s="39" t="n"/>
      <c r="C321" s="40" t="n"/>
      <c r="D321" s="41" t="n"/>
      <c r="E321" s="41" t="n"/>
      <c r="F321" s="41" t="n"/>
      <c r="G321" s="41" t="n"/>
      <c r="H321" s="42" t="n"/>
      <c r="I321" s="42" t="n"/>
      <c r="J321" s="42" t="n"/>
      <c r="K321" s="42" t="n"/>
      <c r="L321" s="41" t="n"/>
      <c r="M321" s="41" t="n"/>
      <c r="N321" s="41" t="n"/>
      <c r="O321" s="43" t="n"/>
      <c r="P321" s="43" t="n"/>
      <c r="Q321" s="44" t="str">
        <f>IF($AM321=0,"",IF(ISNUMBER($AK321),$AK321-N($AL321),""))</f>
        <v/>
      </c>
      <c r="R321" s="45" t="str">
        <f>IF(OR($Q321="",NOT(ISNUMBER($V321))),"",$AK321/$V321)</f>
        <v/>
      </c>
      <c r="S321" s="46" t="str">
        <f>IF($Q321="","",IF(AND(ISNUMBER($R321),ABS(N($R321))&lt;N(Settings!$C$8)),"Scratch",IF($Q321&gt;0,"Win",IF($Q321&lt;0,"Loss","Scratch"))))</f>
        <v/>
      </c>
      <c r="T321" s="47" t="str">
        <f>IF(OR($AM321=0,NOT(ISNUMBER($H321)),NOT(ISNUMBER($I321)),NOT(ISNUMBER($J321))),"",IF($H321=$I321,"",ROUND(ABS($J321-$H321)/ABS($H321-$I321),6)))</f>
        <v/>
      </c>
      <c r="U321" s="48" t="str">
        <f>IF(OR($S321&lt;&gt;"Win",NOT(ISNUMBER($T321)),NOT(ISNUMBER($R321))),"",MAX(0,$T321-$R321))</f>
        <v/>
      </c>
      <c r="V321" s="49" t="str">
        <f>IF(OR($AM321=0,NOT(ISNUMBER($H321)),NOT(ISNUMBER($I321)),NOT(ISNUMBER($G321))),"",IF(OR($AG321="",$AH321=""),"",IF(ROUND(ABS($H321-$I321)*ABS($G321)*$AG321*$AH321,6)=0,"",ROUND(ABS($H321-$I321)*ABS($G321)*$AG321*$AH321,6))))</f>
        <v/>
      </c>
      <c r="W321" s="50" t="str">
        <f>IF($AM321=0,"",IF($BG321="","OK",LEFT($BG321,LEN($BG321)-2)))</f>
        <v/>
      </c>
      <c r="X321" s="41" t="n"/>
      <c r="Y321" s="40" t="n"/>
      <c r="Z321" s="41" t="n"/>
      <c r="AA321" s="41" t="n"/>
      <c r="AB321" s="40" t="n"/>
      <c r="AC321" s="51" t="n"/>
      <c r="AD321" s="51" t="n"/>
      <c r="AE321" s="40" t="n"/>
      <c r="AF321" s="52" t="str">
        <f>IF($AM321=0,"",IF($D321&lt;&gt;"",$D321,IF(IFERROR(INDEX(Accounts!$C$7:$C$16,MATCH($C321,Accounts!$B$7:$B$16,0))&amp;"","")&lt;&gt;"",INDEX(Accounts!$C$7:$C$16,MATCH($C321,Accounts!$B$7:$B$16,0)),Settings!$C$6)))</f>
        <v/>
      </c>
      <c r="AG321" s="53" t="str">
        <f>IF($AM321=0,"",IF(AND($BE321&gt;0,N(INDEX(Instruments!$D$6:$D$205,MAX(1,$BE321)))&gt;0),INDEX(Instruments!$D$6:$D$205,MAX(1,$BE321)),IF(N(INDEX(Settings!$D$14:$D$18,$BF321))&gt;0,INDEX(Settings!$D$14:$D$18,$BF321),"")))</f>
        <v/>
      </c>
      <c r="AH321" s="54" t="str">
        <f>IF($AM321=0,"",IF($AF321&lt;&gt;"Forex",1,IF(MID(UPPER(SUBSTITUTE(TRIM($E321),"/","")),4,3)=UPPER(TRIM(Settings!$C$7)),1,IF(LEFT(UPPER(SUBSTITUTE(TRIM($E321),"/","")),3)=UPPER(TRIM(Settings!$C$7)),IF(AND(ISNUMBER($K321),N($K321)&lt;&gt;0),1/$K321,""),""))))</f>
        <v/>
      </c>
      <c r="AI321" s="55" t="str">
        <f>IF($AM321=0,"",IF(OR(NOT(ISNUMBER($H321)),NOT(ISNUMBER($K321)),NOT(ISNUMBER($G321)),$AG321="",$AH321=""),"",ROUND(($K321-$H321)*IF($F321="Short",-1,1)*$G321*$AG321*$AH321,6)))</f>
        <v/>
      </c>
      <c r="AJ321" s="55" t="str">
        <f>IF($AM321=0,"",IF(INDEX(Settings!$E$14:$E$18,$BF321)="% of notional",IF(OR($AG321="",NOT(ISNUMBER($H321)),NOT(ISNUMBER($G321))),"",ROUND(ABS($H321*$G321*$AG321*N($AH321))*IF($L321="Limit",N(INDEX(Settings!$G$14:$G$18,$BF321)),N(INDEX(Settings!$H$14:$H$18,$BF321)))+IF(ISNUMBER($K321),ABS($K321*$G321*$AG321*N($AH321))*IF($M321="Target",N(INDEX(Settings!$G$14:$G$18,$BF321)),N(INDEX(Settings!$H$14:$H$18,$BF321))),0),6)),IF(NOT(ISNUMBER($G321)),"",ROUND(ABS($G321)*2*IF(AND($BE321&gt;0,ISNUMBER(INDEX(Instruments!$G$6:$G$205,MAX(1,$BE321)))),INDEX(Instruments!$G$6:$G$205,MAX(1,$BE321)),N(INDEX(Settings!$F$14:$F$18,$BF321))),6))))</f>
        <v/>
      </c>
      <c r="AK321" s="55" t="str">
        <f>IF($AM321=0,"",IF(ISNUMBER($O321),$O321,$AI321))</f>
        <v/>
      </c>
      <c r="AL321" s="55" t="str">
        <f>IF($AM321=0,"",IF(ISNUMBER($P321),$P321,N($AJ321)))</f>
        <v/>
      </c>
      <c r="AM321" s="56">
        <f>IF(AND($A321&lt;&gt;"",$E321&lt;&gt;"",OR(AND(ISNUMBER($G321),ISNUMBER($H321),ISNUMBER($K321)),ISNUMBER($O321))),1,0)</f>
        <v>0</v>
      </c>
      <c r="AN321" s="57" t="str">
        <f>IF($A321="","",$A321-WEEKDAY($A321,3))</f>
        <v/>
      </c>
      <c r="AO321" s="56" t="str">
        <f>IF($A321="","",WEEKDAY($A321,2))</f>
        <v/>
      </c>
      <c r="AP321" s="55" t="str">
        <f>IF(OR($AM321=0,$C321=""),"",IFERROR(N(INDEX(Accounts!$E$7:$E$16,MATCH($C321,Accounts!$B$7:$B$16,0))),0)+SUMIFS($Q$6:$Q321,$C$6:$C321,$C321))</f>
        <v/>
      </c>
      <c r="AQ321" s="55" t="str">
        <f>IF(OR($AM321=0,$C321=""),"",SUMIFS($Q$6:$Q$1005,$C$6:$C$1005,$C321,$A$6:$A$1005,$A321))</f>
        <v/>
      </c>
      <c r="AR321" s="55" t="str">
        <f>IF(OR($AM321=0,$C321=""),"",IFERROR(N(INDEX(Accounts!$E$7:$E$16,MATCH($C321,Accounts!$B$7:$B$16,0))),0)+SUMIFS($Q$6:$Q$1005,$C$6:$C$1005,$C321,$A$6:$A$1005,"&lt;="&amp;$A321))</f>
        <v/>
      </c>
      <c r="AS321" s="56">
        <f>IF(OR($AM321=0,$Q321=""),0,IF(AND($A321&gt;=Lists!$W$6,$A321&lt;=Lists!$W$7,OR(Dashboard!$D$6="All accounts",$C321=Dashboard!$D$6),OR(Dashboard!$D$7="All markets",$AF321=Dashboard!$D$7)),1,0))</f>
        <v>0</v>
      </c>
      <c r="AT321" s="55">
        <f>IF($AS321=1,N(AT320)+$Q321,N(AT320))</f>
        <v>1187.10688</v>
      </c>
      <c r="AU321" s="55">
        <f>MAX(N(AU320),$AT321)</f>
        <v>1187.10688</v>
      </c>
      <c r="AV321" s="55">
        <f>$AT321-$AU321</f>
        <v>0</v>
      </c>
      <c r="AW321" s="56">
        <f>IF($AS321=1,IF($S321="Win",N(AW320)+1,IF($S321="Loss",0,N(AW320))),N(AW320))</f>
        <v>5</v>
      </c>
      <c r="AX321" s="56">
        <f>IF($AS321=1,IF($S321="Loss",N(AX320)+1,IF($S321="Win",0,N(AX320))),N(AX320))</f>
        <v>0</v>
      </c>
      <c r="AY321" s="56" t="str">
        <f>IF($AS321=1,COUNTIF($AS$6:$AS321,1),"")</f>
        <v/>
      </c>
      <c r="AZ321" s="56">
        <f>MIN(315,N(Lists!$W$8))</f>
        <v>28</v>
      </c>
      <c r="BA321" s="56">
        <f>IF($AS321=1,IF(COUNTIFS($A$6:$A321,$A321,$AS$6:$AS321,1)=1,1,0),0)</f>
        <v>0</v>
      </c>
      <c r="BB321" s="55" t="str">
        <f>IF($BA321=1,SUMIFS($Q$6:$Q$1005,$A$6:$A$1005,$A321,$AS$6:$AS$1005,1),"")</f>
        <v/>
      </c>
      <c r="BC321" s="56">
        <f>IF(ISNUMBER($R321),1,0)</f>
        <v>0</v>
      </c>
      <c r="BD321" s="55" t="str">
        <f>IF(ISNUMBER($U321),$U321*$V321,"")</f>
        <v/>
      </c>
      <c r="BE321" s="56" t="str">
        <f>IF($AM321=0,"",IFERROR(MATCH($AF321&amp;"|"&amp;UPPER(TRIM($E321)),Lists!$A$6:$A$205,0),0))</f>
        <v/>
      </c>
      <c r="BF321" s="56" t="str">
        <f>IF($AM321=0,"",IFERROR(MATCH($AF321,Settings!$B$14:$B$18,0),IFERROR(MATCH(Settings!$C$6,Settings!$B$14:$B$18,0),1)))</f>
        <v/>
      </c>
      <c r="BG321" s="58" t="str">
        <f>IF($AM321=0,"",IF(NOT(ISNUMBER($I321)),"No stop; ","")&amp;IF(AND(ISNUMBER($H321),ISNUMBER($I321)),IF(OR(AND($F321&lt;&gt;"Short",$I321&gt;=$H321),AND($F321="Short",$I321&lt;=$H321)),"Stop on wrong side; ",""),"")&amp;IF($F321="","No direction; ","")&amp;IF(AND(ISNUMBER(Settings!$C$22),ISNUMBER($V321)),IF($V321&gt;Settings!$C$22,"Risk over max $; ",""),"")&amp;IF(AND(ISNUMBER(Settings!$C$23),ISNUMBER($V321),ISNUMBER($AP321),IFERROR(N(INDEX(Accounts!$E$7:$E$16,MATCH($C321,Accounts!$B$7:$B$16,0))),0)&gt;0),IF($V321&gt;Settings!$C$23*($AP321-N($Q321)),"Risk over max %; ",""),"")&amp;IF(AND(ISNUMBER(Settings!$C$24),ISNUMBER($N321)),IF($N321&gt;Settings!$C$24,"Leverage over max; ",""),"")&amp;IF(AND(ISNUMBER(Settings!$C$27),ISNUMBER($T321)),IF($T321&lt;Settings!$C$27,"R:R below min; ",""),"")&amp;IF(ISNUMBER(Settings!$C$25),IF(COUNTIFS($A$6:$A321,$A321,$AM$6:$AM321,1)&gt;Settings!$C$25,"Over max trades/day; ",""),"")&amp;IF(ISNUMBER(Settings!$C$26),IF(SUMIFS($Q$5:$Q320,$A$5:$A320,$A321)&lt;=-Settings!$C$26,"Traded after daily max loss; ",""),"")&amp;IF(AND($AG321="",NOT(ISNUMBER($O321))),"Symbol not in Instruments; ","")&amp;IF(AND($AH321="",NOT(ISNUMBER($O321))),"Forex cross: type Gross P&amp;L; ",""))</f>
        <v/>
      </c>
      <c r="BH321" s="56">
        <f>IF(ISNUMBER($Q321),1,0)</f>
        <v>0</v>
      </c>
      <c r="BI321" s="56">
        <f>IF($Y321="",0,1)</f>
        <v>0</v>
      </c>
      <c r="BJ321" s="56">
        <f>IF($AB321="",0,1)</f>
        <v>0</v>
      </c>
      <c r="BK321" s="56">
        <f>IF(AND($BH321=1,$W321&lt;&gt;"OK"),1,0)</f>
        <v>0</v>
      </c>
      <c r="BL321" s="55">
        <f>IF(N($AZ321)=0,0,IFERROR(INDEX($AT$6:$AT$1005,MATCH($AZ321,$AY$6:$AY$1005,0)),0))</f>
        <v>1187.10688</v>
      </c>
      <c r="BM321" s="56">
        <f>IF(ISNUMBER(SEARCH("daily max loss",$BG321)),1,0)</f>
        <v>0</v>
      </c>
    </row>
    <row r="322" ht="18" customHeight="1">
      <c r="A322" s="38" t="n"/>
      <c r="B322" s="39" t="n"/>
      <c r="C322" s="40" t="n"/>
      <c r="D322" s="41" t="n"/>
      <c r="E322" s="41" t="n"/>
      <c r="F322" s="41" t="n"/>
      <c r="G322" s="41" t="n"/>
      <c r="H322" s="42" t="n"/>
      <c r="I322" s="42" t="n"/>
      <c r="J322" s="42" t="n"/>
      <c r="K322" s="42" t="n"/>
      <c r="L322" s="41" t="n"/>
      <c r="M322" s="41" t="n"/>
      <c r="N322" s="41" t="n"/>
      <c r="O322" s="43" t="n"/>
      <c r="P322" s="43" t="n"/>
      <c r="Q322" s="44" t="str">
        <f>IF($AM322=0,"",IF(ISNUMBER($AK322),$AK322-N($AL322),""))</f>
        <v/>
      </c>
      <c r="R322" s="45" t="str">
        <f>IF(OR($Q322="",NOT(ISNUMBER($V322))),"",$AK322/$V322)</f>
        <v/>
      </c>
      <c r="S322" s="46" t="str">
        <f>IF($Q322="","",IF(AND(ISNUMBER($R322),ABS(N($R322))&lt;N(Settings!$C$8)),"Scratch",IF($Q322&gt;0,"Win",IF($Q322&lt;0,"Loss","Scratch"))))</f>
        <v/>
      </c>
      <c r="T322" s="47" t="str">
        <f>IF(OR($AM322=0,NOT(ISNUMBER($H322)),NOT(ISNUMBER($I322)),NOT(ISNUMBER($J322))),"",IF($H322=$I322,"",ROUND(ABS($J322-$H322)/ABS($H322-$I322),6)))</f>
        <v/>
      </c>
      <c r="U322" s="48" t="str">
        <f>IF(OR($S322&lt;&gt;"Win",NOT(ISNUMBER($T322)),NOT(ISNUMBER($R322))),"",MAX(0,$T322-$R322))</f>
        <v/>
      </c>
      <c r="V322" s="49" t="str">
        <f>IF(OR($AM322=0,NOT(ISNUMBER($H322)),NOT(ISNUMBER($I322)),NOT(ISNUMBER($G322))),"",IF(OR($AG322="",$AH322=""),"",IF(ROUND(ABS($H322-$I322)*ABS($G322)*$AG322*$AH322,6)=0,"",ROUND(ABS($H322-$I322)*ABS($G322)*$AG322*$AH322,6))))</f>
        <v/>
      </c>
      <c r="W322" s="50" t="str">
        <f>IF($AM322=0,"",IF($BG322="","OK",LEFT($BG322,LEN($BG322)-2)))</f>
        <v/>
      </c>
      <c r="X322" s="41" t="n"/>
      <c r="Y322" s="40" t="n"/>
      <c r="Z322" s="41" t="n"/>
      <c r="AA322" s="41" t="n"/>
      <c r="AB322" s="40" t="n"/>
      <c r="AC322" s="51" t="n"/>
      <c r="AD322" s="51" t="n"/>
      <c r="AE322" s="40" t="n"/>
      <c r="AF322" s="52" t="str">
        <f>IF($AM322=0,"",IF($D322&lt;&gt;"",$D322,IF(IFERROR(INDEX(Accounts!$C$7:$C$16,MATCH($C322,Accounts!$B$7:$B$16,0))&amp;"","")&lt;&gt;"",INDEX(Accounts!$C$7:$C$16,MATCH($C322,Accounts!$B$7:$B$16,0)),Settings!$C$6)))</f>
        <v/>
      </c>
      <c r="AG322" s="53" t="str">
        <f>IF($AM322=0,"",IF(AND($BE322&gt;0,N(INDEX(Instruments!$D$6:$D$205,MAX(1,$BE322)))&gt;0),INDEX(Instruments!$D$6:$D$205,MAX(1,$BE322)),IF(N(INDEX(Settings!$D$14:$D$18,$BF322))&gt;0,INDEX(Settings!$D$14:$D$18,$BF322),"")))</f>
        <v/>
      </c>
      <c r="AH322" s="54" t="str">
        <f>IF($AM322=0,"",IF($AF322&lt;&gt;"Forex",1,IF(MID(UPPER(SUBSTITUTE(TRIM($E322),"/","")),4,3)=UPPER(TRIM(Settings!$C$7)),1,IF(LEFT(UPPER(SUBSTITUTE(TRIM($E322),"/","")),3)=UPPER(TRIM(Settings!$C$7)),IF(AND(ISNUMBER($K322),N($K322)&lt;&gt;0),1/$K322,""),""))))</f>
        <v/>
      </c>
      <c r="AI322" s="55" t="str">
        <f>IF($AM322=0,"",IF(OR(NOT(ISNUMBER($H322)),NOT(ISNUMBER($K322)),NOT(ISNUMBER($G322)),$AG322="",$AH322=""),"",ROUND(($K322-$H322)*IF($F322="Short",-1,1)*$G322*$AG322*$AH322,6)))</f>
        <v/>
      </c>
      <c r="AJ322" s="55" t="str">
        <f>IF($AM322=0,"",IF(INDEX(Settings!$E$14:$E$18,$BF322)="% of notional",IF(OR($AG322="",NOT(ISNUMBER($H322)),NOT(ISNUMBER($G322))),"",ROUND(ABS($H322*$G322*$AG322*N($AH322))*IF($L322="Limit",N(INDEX(Settings!$G$14:$G$18,$BF322)),N(INDEX(Settings!$H$14:$H$18,$BF322)))+IF(ISNUMBER($K322),ABS($K322*$G322*$AG322*N($AH322))*IF($M322="Target",N(INDEX(Settings!$G$14:$G$18,$BF322)),N(INDEX(Settings!$H$14:$H$18,$BF322))),0),6)),IF(NOT(ISNUMBER($G322)),"",ROUND(ABS($G322)*2*IF(AND($BE322&gt;0,ISNUMBER(INDEX(Instruments!$G$6:$G$205,MAX(1,$BE322)))),INDEX(Instruments!$G$6:$G$205,MAX(1,$BE322)),N(INDEX(Settings!$F$14:$F$18,$BF322))),6))))</f>
        <v/>
      </c>
      <c r="AK322" s="55" t="str">
        <f>IF($AM322=0,"",IF(ISNUMBER($O322),$O322,$AI322))</f>
        <v/>
      </c>
      <c r="AL322" s="55" t="str">
        <f>IF($AM322=0,"",IF(ISNUMBER($P322),$P322,N($AJ322)))</f>
        <v/>
      </c>
      <c r="AM322" s="56">
        <f>IF(AND($A322&lt;&gt;"",$E322&lt;&gt;"",OR(AND(ISNUMBER($G322),ISNUMBER($H322),ISNUMBER($K322)),ISNUMBER($O322))),1,0)</f>
        <v>0</v>
      </c>
      <c r="AN322" s="57" t="str">
        <f>IF($A322="","",$A322-WEEKDAY($A322,3))</f>
        <v/>
      </c>
      <c r="AO322" s="56" t="str">
        <f>IF($A322="","",WEEKDAY($A322,2))</f>
        <v/>
      </c>
      <c r="AP322" s="55" t="str">
        <f>IF(OR($AM322=0,$C322=""),"",IFERROR(N(INDEX(Accounts!$E$7:$E$16,MATCH($C322,Accounts!$B$7:$B$16,0))),0)+SUMIFS($Q$6:$Q322,$C$6:$C322,$C322))</f>
        <v/>
      </c>
      <c r="AQ322" s="55" t="str">
        <f>IF(OR($AM322=0,$C322=""),"",SUMIFS($Q$6:$Q$1005,$C$6:$C$1005,$C322,$A$6:$A$1005,$A322))</f>
        <v/>
      </c>
      <c r="AR322" s="55" t="str">
        <f>IF(OR($AM322=0,$C322=""),"",IFERROR(N(INDEX(Accounts!$E$7:$E$16,MATCH($C322,Accounts!$B$7:$B$16,0))),0)+SUMIFS($Q$6:$Q$1005,$C$6:$C$1005,$C322,$A$6:$A$1005,"&lt;="&amp;$A322))</f>
        <v/>
      </c>
      <c r="AS322" s="56">
        <f>IF(OR($AM322=0,$Q322=""),0,IF(AND($A322&gt;=Lists!$W$6,$A322&lt;=Lists!$W$7,OR(Dashboard!$D$6="All accounts",$C322=Dashboard!$D$6),OR(Dashboard!$D$7="All markets",$AF322=Dashboard!$D$7)),1,0))</f>
        <v>0</v>
      </c>
      <c r="AT322" s="55">
        <f>IF($AS322=1,N(AT321)+$Q322,N(AT321))</f>
        <v>1187.10688</v>
      </c>
      <c r="AU322" s="55">
        <f>MAX(N(AU321),$AT322)</f>
        <v>1187.10688</v>
      </c>
      <c r="AV322" s="55">
        <f>$AT322-$AU322</f>
        <v>0</v>
      </c>
      <c r="AW322" s="56">
        <f>IF($AS322=1,IF($S322="Win",N(AW321)+1,IF($S322="Loss",0,N(AW321))),N(AW321))</f>
        <v>5</v>
      </c>
      <c r="AX322" s="56">
        <f>IF($AS322=1,IF($S322="Loss",N(AX321)+1,IF($S322="Win",0,N(AX321))),N(AX321))</f>
        <v>0</v>
      </c>
      <c r="AY322" s="56" t="str">
        <f>IF($AS322=1,COUNTIF($AS$6:$AS322,1),"")</f>
        <v/>
      </c>
      <c r="AZ322" s="56">
        <f>MIN(316,N(Lists!$W$8))</f>
        <v>28</v>
      </c>
      <c r="BA322" s="56">
        <f>IF($AS322=1,IF(COUNTIFS($A$6:$A322,$A322,$AS$6:$AS322,1)=1,1,0),0)</f>
        <v>0</v>
      </c>
      <c r="BB322" s="55" t="str">
        <f>IF($BA322=1,SUMIFS($Q$6:$Q$1005,$A$6:$A$1005,$A322,$AS$6:$AS$1005,1),"")</f>
        <v/>
      </c>
      <c r="BC322" s="56">
        <f>IF(ISNUMBER($R322),1,0)</f>
        <v>0</v>
      </c>
      <c r="BD322" s="55" t="str">
        <f>IF(ISNUMBER($U322),$U322*$V322,"")</f>
        <v/>
      </c>
      <c r="BE322" s="56" t="str">
        <f>IF($AM322=0,"",IFERROR(MATCH($AF322&amp;"|"&amp;UPPER(TRIM($E322)),Lists!$A$6:$A$205,0),0))</f>
        <v/>
      </c>
      <c r="BF322" s="56" t="str">
        <f>IF($AM322=0,"",IFERROR(MATCH($AF322,Settings!$B$14:$B$18,0),IFERROR(MATCH(Settings!$C$6,Settings!$B$14:$B$18,0),1)))</f>
        <v/>
      </c>
      <c r="BG322" s="58" t="str">
        <f>IF($AM322=0,"",IF(NOT(ISNUMBER($I322)),"No stop; ","")&amp;IF(AND(ISNUMBER($H322),ISNUMBER($I322)),IF(OR(AND($F322&lt;&gt;"Short",$I322&gt;=$H322),AND($F322="Short",$I322&lt;=$H322)),"Stop on wrong side; ",""),"")&amp;IF($F322="","No direction; ","")&amp;IF(AND(ISNUMBER(Settings!$C$22),ISNUMBER($V322)),IF($V322&gt;Settings!$C$22,"Risk over max $; ",""),"")&amp;IF(AND(ISNUMBER(Settings!$C$23),ISNUMBER($V322),ISNUMBER($AP322),IFERROR(N(INDEX(Accounts!$E$7:$E$16,MATCH($C322,Accounts!$B$7:$B$16,0))),0)&gt;0),IF($V322&gt;Settings!$C$23*($AP322-N($Q322)),"Risk over max %; ",""),"")&amp;IF(AND(ISNUMBER(Settings!$C$24),ISNUMBER($N322)),IF($N322&gt;Settings!$C$24,"Leverage over max; ",""),"")&amp;IF(AND(ISNUMBER(Settings!$C$27),ISNUMBER($T322)),IF($T322&lt;Settings!$C$27,"R:R below min; ",""),"")&amp;IF(ISNUMBER(Settings!$C$25),IF(COUNTIFS($A$6:$A322,$A322,$AM$6:$AM322,1)&gt;Settings!$C$25,"Over max trades/day; ",""),"")&amp;IF(ISNUMBER(Settings!$C$26),IF(SUMIFS($Q$5:$Q321,$A$5:$A321,$A322)&lt;=-Settings!$C$26,"Traded after daily max loss; ",""),"")&amp;IF(AND($AG322="",NOT(ISNUMBER($O322))),"Symbol not in Instruments; ","")&amp;IF(AND($AH322="",NOT(ISNUMBER($O322))),"Forex cross: type Gross P&amp;L; ",""))</f>
        <v/>
      </c>
      <c r="BH322" s="56">
        <f>IF(ISNUMBER($Q322),1,0)</f>
        <v>0</v>
      </c>
      <c r="BI322" s="56">
        <f>IF($Y322="",0,1)</f>
        <v>0</v>
      </c>
      <c r="BJ322" s="56">
        <f>IF($AB322="",0,1)</f>
        <v>0</v>
      </c>
      <c r="BK322" s="56">
        <f>IF(AND($BH322=1,$W322&lt;&gt;"OK"),1,0)</f>
        <v>0</v>
      </c>
      <c r="BL322" s="55">
        <f>IF(N($AZ322)=0,0,IFERROR(INDEX($AT$6:$AT$1005,MATCH($AZ322,$AY$6:$AY$1005,0)),0))</f>
        <v>1187.10688</v>
      </c>
      <c r="BM322" s="56">
        <f>IF(ISNUMBER(SEARCH("daily max loss",$BG322)),1,0)</f>
        <v>0</v>
      </c>
    </row>
    <row r="323" ht="18" customHeight="1">
      <c r="A323" s="38" t="n"/>
      <c r="B323" s="39" t="n"/>
      <c r="C323" s="40" t="n"/>
      <c r="D323" s="41" t="n"/>
      <c r="E323" s="41" t="n"/>
      <c r="F323" s="41" t="n"/>
      <c r="G323" s="41" t="n"/>
      <c r="H323" s="42" t="n"/>
      <c r="I323" s="42" t="n"/>
      <c r="J323" s="42" t="n"/>
      <c r="K323" s="42" t="n"/>
      <c r="L323" s="41" t="n"/>
      <c r="M323" s="41" t="n"/>
      <c r="N323" s="41" t="n"/>
      <c r="O323" s="43" t="n"/>
      <c r="P323" s="43" t="n"/>
      <c r="Q323" s="44" t="str">
        <f>IF($AM323=0,"",IF(ISNUMBER($AK323),$AK323-N($AL323),""))</f>
        <v/>
      </c>
      <c r="R323" s="45" t="str">
        <f>IF(OR($Q323="",NOT(ISNUMBER($V323))),"",$AK323/$V323)</f>
        <v/>
      </c>
      <c r="S323" s="46" t="str">
        <f>IF($Q323="","",IF(AND(ISNUMBER($R323),ABS(N($R323))&lt;N(Settings!$C$8)),"Scratch",IF($Q323&gt;0,"Win",IF($Q323&lt;0,"Loss","Scratch"))))</f>
        <v/>
      </c>
      <c r="T323" s="47" t="str">
        <f>IF(OR($AM323=0,NOT(ISNUMBER($H323)),NOT(ISNUMBER($I323)),NOT(ISNUMBER($J323))),"",IF($H323=$I323,"",ROUND(ABS($J323-$H323)/ABS($H323-$I323),6)))</f>
        <v/>
      </c>
      <c r="U323" s="48" t="str">
        <f>IF(OR($S323&lt;&gt;"Win",NOT(ISNUMBER($T323)),NOT(ISNUMBER($R323))),"",MAX(0,$T323-$R323))</f>
        <v/>
      </c>
      <c r="V323" s="49" t="str">
        <f>IF(OR($AM323=0,NOT(ISNUMBER($H323)),NOT(ISNUMBER($I323)),NOT(ISNUMBER($G323))),"",IF(OR($AG323="",$AH323=""),"",IF(ROUND(ABS($H323-$I323)*ABS($G323)*$AG323*$AH323,6)=0,"",ROUND(ABS($H323-$I323)*ABS($G323)*$AG323*$AH323,6))))</f>
        <v/>
      </c>
      <c r="W323" s="50" t="str">
        <f>IF($AM323=0,"",IF($BG323="","OK",LEFT($BG323,LEN($BG323)-2)))</f>
        <v/>
      </c>
      <c r="X323" s="41" t="n"/>
      <c r="Y323" s="40" t="n"/>
      <c r="Z323" s="41" t="n"/>
      <c r="AA323" s="41" t="n"/>
      <c r="AB323" s="40" t="n"/>
      <c r="AC323" s="51" t="n"/>
      <c r="AD323" s="51" t="n"/>
      <c r="AE323" s="40" t="n"/>
      <c r="AF323" s="52" t="str">
        <f>IF($AM323=0,"",IF($D323&lt;&gt;"",$D323,IF(IFERROR(INDEX(Accounts!$C$7:$C$16,MATCH($C323,Accounts!$B$7:$B$16,0))&amp;"","")&lt;&gt;"",INDEX(Accounts!$C$7:$C$16,MATCH($C323,Accounts!$B$7:$B$16,0)),Settings!$C$6)))</f>
        <v/>
      </c>
      <c r="AG323" s="53" t="str">
        <f>IF($AM323=0,"",IF(AND($BE323&gt;0,N(INDEX(Instruments!$D$6:$D$205,MAX(1,$BE323)))&gt;0),INDEX(Instruments!$D$6:$D$205,MAX(1,$BE323)),IF(N(INDEX(Settings!$D$14:$D$18,$BF323))&gt;0,INDEX(Settings!$D$14:$D$18,$BF323),"")))</f>
        <v/>
      </c>
      <c r="AH323" s="54" t="str">
        <f>IF($AM323=0,"",IF($AF323&lt;&gt;"Forex",1,IF(MID(UPPER(SUBSTITUTE(TRIM($E323),"/","")),4,3)=UPPER(TRIM(Settings!$C$7)),1,IF(LEFT(UPPER(SUBSTITUTE(TRIM($E323),"/","")),3)=UPPER(TRIM(Settings!$C$7)),IF(AND(ISNUMBER($K323),N($K323)&lt;&gt;0),1/$K323,""),""))))</f>
        <v/>
      </c>
      <c r="AI323" s="55" t="str">
        <f>IF($AM323=0,"",IF(OR(NOT(ISNUMBER($H323)),NOT(ISNUMBER($K323)),NOT(ISNUMBER($G323)),$AG323="",$AH323=""),"",ROUND(($K323-$H323)*IF($F323="Short",-1,1)*$G323*$AG323*$AH323,6)))</f>
        <v/>
      </c>
      <c r="AJ323" s="55" t="str">
        <f>IF($AM323=0,"",IF(INDEX(Settings!$E$14:$E$18,$BF323)="% of notional",IF(OR($AG323="",NOT(ISNUMBER($H323)),NOT(ISNUMBER($G323))),"",ROUND(ABS($H323*$G323*$AG323*N($AH323))*IF($L323="Limit",N(INDEX(Settings!$G$14:$G$18,$BF323)),N(INDEX(Settings!$H$14:$H$18,$BF323)))+IF(ISNUMBER($K323),ABS($K323*$G323*$AG323*N($AH323))*IF($M323="Target",N(INDEX(Settings!$G$14:$G$18,$BF323)),N(INDEX(Settings!$H$14:$H$18,$BF323))),0),6)),IF(NOT(ISNUMBER($G323)),"",ROUND(ABS($G323)*2*IF(AND($BE323&gt;0,ISNUMBER(INDEX(Instruments!$G$6:$G$205,MAX(1,$BE323)))),INDEX(Instruments!$G$6:$G$205,MAX(1,$BE323)),N(INDEX(Settings!$F$14:$F$18,$BF323))),6))))</f>
        <v/>
      </c>
      <c r="AK323" s="55" t="str">
        <f>IF($AM323=0,"",IF(ISNUMBER($O323),$O323,$AI323))</f>
        <v/>
      </c>
      <c r="AL323" s="55" t="str">
        <f>IF($AM323=0,"",IF(ISNUMBER($P323),$P323,N($AJ323)))</f>
        <v/>
      </c>
      <c r="AM323" s="56">
        <f>IF(AND($A323&lt;&gt;"",$E323&lt;&gt;"",OR(AND(ISNUMBER($G323),ISNUMBER($H323),ISNUMBER($K323)),ISNUMBER($O323))),1,0)</f>
        <v>0</v>
      </c>
      <c r="AN323" s="57" t="str">
        <f>IF($A323="","",$A323-WEEKDAY($A323,3))</f>
        <v/>
      </c>
      <c r="AO323" s="56" t="str">
        <f>IF($A323="","",WEEKDAY($A323,2))</f>
        <v/>
      </c>
      <c r="AP323" s="55" t="str">
        <f>IF(OR($AM323=0,$C323=""),"",IFERROR(N(INDEX(Accounts!$E$7:$E$16,MATCH($C323,Accounts!$B$7:$B$16,0))),0)+SUMIFS($Q$6:$Q323,$C$6:$C323,$C323))</f>
        <v/>
      </c>
      <c r="AQ323" s="55" t="str">
        <f>IF(OR($AM323=0,$C323=""),"",SUMIFS($Q$6:$Q$1005,$C$6:$C$1005,$C323,$A$6:$A$1005,$A323))</f>
        <v/>
      </c>
      <c r="AR323" s="55" t="str">
        <f>IF(OR($AM323=0,$C323=""),"",IFERROR(N(INDEX(Accounts!$E$7:$E$16,MATCH($C323,Accounts!$B$7:$B$16,0))),0)+SUMIFS($Q$6:$Q$1005,$C$6:$C$1005,$C323,$A$6:$A$1005,"&lt;="&amp;$A323))</f>
        <v/>
      </c>
      <c r="AS323" s="56">
        <f>IF(OR($AM323=0,$Q323=""),0,IF(AND($A323&gt;=Lists!$W$6,$A323&lt;=Lists!$W$7,OR(Dashboard!$D$6="All accounts",$C323=Dashboard!$D$6),OR(Dashboard!$D$7="All markets",$AF323=Dashboard!$D$7)),1,0))</f>
        <v>0</v>
      </c>
      <c r="AT323" s="55">
        <f>IF($AS323=1,N(AT322)+$Q323,N(AT322))</f>
        <v>1187.10688</v>
      </c>
      <c r="AU323" s="55">
        <f>MAX(N(AU322),$AT323)</f>
        <v>1187.10688</v>
      </c>
      <c r="AV323" s="55">
        <f>$AT323-$AU323</f>
        <v>0</v>
      </c>
      <c r="AW323" s="56">
        <f>IF($AS323=1,IF($S323="Win",N(AW322)+1,IF($S323="Loss",0,N(AW322))),N(AW322))</f>
        <v>5</v>
      </c>
      <c r="AX323" s="56">
        <f>IF($AS323=1,IF($S323="Loss",N(AX322)+1,IF($S323="Win",0,N(AX322))),N(AX322))</f>
        <v>0</v>
      </c>
      <c r="AY323" s="56" t="str">
        <f>IF($AS323=1,COUNTIF($AS$6:$AS323,1),"")</f>
        <v/>
      </c>
      <c r="AZ323" s="56">
        <f>MIN(317,N(Lists!$W$8))</f>
        <v>28</v>
      </c>
      <c r="BA323" s="56">
        <f>IF($AS323=1,IF(COUNTIFS($A$6:$A323,$A323,$AS$6:$AS323,1)=1,1,0),0)</f>
        <v>0</v>
      </c>
      <c r="BB323" s="55" t="str">
        <f>IF($BA323=1,SUMIFS($Q$6:$Q$1005,$A$6:$A$1005,$A323,$AS$6:$AS$1005,1),"")</f>
        <v/>
      </c>
      <c r="BC323" s="56">
        <f>IF(ISNUMBER($R323),1,0)</f>
        <v>0</v>
      </c>
      <c r="BD323" s="55" t="str">
        <f>IF(ISNUMBER($U323),$U323*$V323,"")</f>
        <v/>
      </c>
      <c r="BE323" s="56" t="str">
        <f>IF($AM323=0,"",IFERROR(MATCH($AF323&amp;"|"&amp;UPPER(TRIM($E323)),Lists!$A$6:$A$205,0),0))</f>
        <v/>
      </c>
      <c r="BF323" s="56" t="str">
        <f>IF($AM323=0,"",IFERROR(MATCH($AF323,Settings!$B$14:$B$18,0),IFERROR(MATCH(Settings!$C$6,Settings!$B$14:$B$18,0),1)))</f>
        <v/>
      </c>
      <c r="BG323" s="58" t="str">
        <f>IF($AM323=0,"",IF(NOT(ISNUMBER($I323)),"No stop; ","")&amp;IF(AND(ISNUMBER($H323),ISNUMBER($I323)),IF(OR(AND($F323&lt;&gt;"Short",$I323&gt;=$H323),AND($F323="Short",$I323&lt;=$H323)),"Stop on wrong side; ",""),"")&amp;IF($F323="","No direction; ","")&amp;IF(AND(ISNUMBER(Settings!$C$22),ISNUMBER($V323)),IF($V323&gt;Settings!$C$22,"Risk over max $; ",""),"")&amp;IF(AND(ISNUMBER(Settings!$C$23),ISNUMBER($V323),ISNUMBER($AP323),IFERROR(N(INDEX(Accounts!$E$7:$E$16,MATCH($C323,Accounts!$B$7:$B$16,0))),0)&gt;0),IF($V323&gt;Settings!$C$23*($AP323-N($Q323)),"Risk over max %; ",""),"")&amp;IF(AND(ISNUMBER(Settings!$C$24),ISNUMBER($N323)),IF($N323&gt;Settings!$C$24,"Leverage over max; ",""),"")&amp;IF(AND(ISNUMBER(Settings!$C$27),ISNUMBER($T323)),IF($T323&lt;Settings!$C$27,"R:R below min; ",""),"")&amp;IF(ISNUMBER(Settings!$C$25),IF(COUNTIFS($A$6:$A323,$A323,$AM$6:$AM323,1)&gt;Settings!$C$25,"Over max trades/day; ",""),"")&amp;IF(ISNUMBER(Settings!$C$26),IF(SUMIFS($Q$5:$Q322,$A$5:$A322,$A323)&lt;=-Settings!$C$26,"Traded after daily max loss; ",""),"")&amp;IF(AND($AG323="",NOT(ISNUMBER($O323))),"Symbol not in Instruments; ","")&amp;IF(AND($AH323="",NOT(ISNUMBER($O323))),"Forex cross: type Gross P&amp;L; ",""))</f>
        <v/>
      </c>
      <c r="BH323" s="56">
        <f>IF(ISNUMBER($Q323),1,0)</f>
        <v>0</v>
      </c>
      <c r="BI323" s="56">
        <f>IF($Y323="",0,1)</f>
        <v>0</v>
      </c>
      <c r="BJ323" s="56">
        <f>IF($AB323="",0,1)</f>
        <v>0</v>
      </c>
      <c r="BK323" s="56">
        <f>IF(AND($BH323=1,$W323&lt;&gt;"OK"),1,0)</f>
        <v>0</v>
      </c>
      <c r="BL323" s="55">
        <f>IF(N($AZ323)=0,0,IFERROR(INDEX($AT$6:$AT$1005,MATCH($AZ323,$AY$6:$AY$1005,0)),0))</f>
        <v>1187.10688</v>
      </c>
      <c r="BM323" s="56">
        <f>IF(ISNUMBER(SEARCH("daily max loss",$BG323)),1,0)</f>
        <v>0</v>
      </c>
    </row>
    <row r="324" ht="18" customHeight="1">
      <c r="A324" s="38" t="n"/>
      <c r="B324" s="39" t="n"/>
      <c r="C324" s="40" t="n"/>
      <c r="D324" s="41" t="n"/>
      <c r="E324" s="41" t="n"/>
      <c r="F324" s="41" t="n"/>
      <c r="G324" s="41" t="n"/>
      <c r="H324" s="42" t="n"/>
      <c r="I324" s="42" t="n"/>
      <c r="J324" s="42" t="n"/>
      <c r="K324" s="42" t="n"/>
      <c r="L324" s="41" t="n"/>
      <c r="M324" s="41" t="n"/>
      <c r="N324" s="41" t="n"/>
      <c r="O324" s="43" t="n"/>
      <c r="P324" s="43" t="n"/>
      <c r="Q324" s="44" t="str">
        <f>IF($AM324=0,"",IF(ISNUMBER($AK324),$AK324-N($AL324),""))</f>
        <v/>
      </c>
      <c r="R324" s="45" t="str">
        <f>IF(OR($Q324="",NOT(ISNUMBER($V324))),"",$AK324/$V324)</f>
        <v/>
      </c>
      <c r="S324" s="46" t="str">
        <f>IF($Q324="","",IF(AND(ISNUMBER($R324),ABS(N($R324))&lt;N(Settings!$C$8)),"Scratch",IF($Q324&gt;0,"Win",IF($Q324&lt;0,"Loss","Scratch"))))</f>
        <v/>
      </c>
      <c r="T324" s="47" t="str">
        <f>IF(OR($AM324=0,NOT(ISNUMBER($H324)),NOT(ISNUMBER($I324)),NOT(ISNUMBER($J324))),"",IF($H324=$I324,"",ROUND(ABS($J324-$H324)/ABS($H324-$I324),6)))</f>
        <v/>
      </c>
      <c r="U324" s="48" t="str">
        <f>IF(OR($S324&lt;&gt;"Win",NOT(ISNUMBER($T324)),NOT(ISNUMBER($R324))),"",MAX(0,$T324-$R324))</f>
        <v/>
      </c>
      <c r="V324" s="49" t="str">
        <f>IF(OR($AM324=0,NOT(ISNUMBER($H324)),NOT(ISNUMBER($I324)),NOT(ISNUMBER($G324))),"",IF(OR($AG324="",$AH324=""),"",IF(ROUND(ABS($H324-$I324)*ABS($G324)*$AG324*$AH324,6)=0,"",ROUND(ABS($H324-$I324)*ABS($G324)*$AG324*$AH324,6))))</f>
        <v/>
      </c>
      <c r="W324" s="50" t="str">
        <f>IF($AM324=0,"",IF($BG324="","OK",LEFT($BG324,LEN($BG324)-2)))</f>
        <v/>
      </c>
      <c r="X324" s="41" t="n"/>
      <c r="Y324" s="40" t="n"/>
      <c r="Z324" s="41" t="n"/>
      <c r="AA324" s="41" t="n"/>
      <c r="AB324" s="40" t="n"/>
      <c r="AC324" s="51" t="n"/>
      <c r="AD324" s="51" t="n"/>
      <c r="AE324" s="40" t="n"/>
      <c r="AF324" s="52" t="str">
        <f>IF($AM324=0,"",IF($D324&lt;&gt;"",$D324,IF(IFERROR(INDEX(Accounts!$C$7:$C$16,MATCH($C324,Accounts!$B$7:$B$16,0))&amp;"","")&lt;&gt;"",INDEX(Accounts!$C$7:$C$16,MATCH($C324,Accounts!$B$7:$B$16,0)),Settings!$C$6)))</f>
        <v/>
      </c>
      <c r="AG324" s="53" t="str">
        <f>IF($AM324=0,"",IF(AND($BE324&gt;0,N(INDEX(Instruments!$D$6:$D$205,MAX(1,$BE324)))&gt;0),INDEX(Instruments!$D$6:$D$205,MAX(1,$BE324)),IF(N(INDEX(Settings!$D$14:$D$18,$BF324))&gt;0,INDEX(Settings!$D$14:$D$18,$BF324),"")))</f>
        <v/>
      </c>
      <c r="AH324" s="54" t="str">
        <f>IF($AM324=0,"",IF($AF324&lt;&gt;"Forex",1,IF(MID(UPPER(SUBSTITUTE(TRIM($E324),"/","")),4,3)=UPPER(TRIM(Settings!$C$7)),1,IF(LEFT(UPPER(SUBSTITUTE(TRIM($E324),"/","")),3)=UPPER(TRIM(Settings!$C$7)),IF(AND(ISNUMBER($K324),N($K324)&lt;&gt;0),1/$K324,""),""))))</f>
        <v/>
      </c>
      <c r="AI324" s="55" t="str">
        <f>IF($AM324=0,"",IF(OR(NOT(ISNUMBER($H324)),NOT(ISNUMBER($K324)),NOT(ISNUMBER($G324)),$AG324="",$AH324=""),"",ROUND(($K324-$H324)*IF($F324="Short",-1,1)*$G324*$AG324*$AH324,6)))</f>
        <v/>
      </c>
      <c r="AJ324" s="55" t="str">
        <f>IF($AM324=0,"",IF(INDEX(Settings!$E$14:$E$18,$BF324)="% of notional",IF(OR($AG324="",NOT(ISNUMBER($H324)),NOT(ISNUMBER($G324))),"",ROUND(ABS($H324*$G324*$AG324*N($AH324))*IF($L324="Limit",N(INDEX(Settings!$G$14:$G$18,$BF324)),N(INDEX(Settings!$H$14:$H$18,$BF324)))+IF(ISNUMBER($K324),ABS($K324*$G324*$AG324*N($AH324))*IF($M324="Target",N(INDEX(Settings!$G$14:$G$18,$BF324)),N(INDEX(Settings!$H$14:$H$18,$BF324))),0),6)),IF(NOT(ISNUMBER($G324)),"",ROUND(ABS($G324)*2*IF(AND($BE324&gt;0,ISNUMBER(INDEX(Instruments!$G$6:$G$205,MAX(1,$BE324)))),INDEX(Instruments!$G$6:$G$205,MAX(1,$BE324)),N(INDEX(Settings!$F$14:$F$18,$BF324))),6))))</f>
        <v/>
      </c>
      <c r="AK324" s="55" t="str">
        <f>IF($AM324=0,"",IF(ISNUMBER($O324),$O324,$AI324))</f>
        <v/>
      </c>
      <c r="AL324" s="55" t="str">
        <f>IF($AM324=0,"",IF(ISNUMBER($P324),$P324,N($AJ324)))</f>
        <v/>
      </c>
      <c r="AM324" s="56">
        <f>IF(AND($A324&lt;&gt;"",$E324&lt;&gt;"",OR(AND(ISNUMBER($G324),ISNUMBER($H324),ISNUMBER($K324)),ISNUMBER($O324))),1,0)</f>
        <v>0</v>
      </c>
      <c r="AN324" s="57" t="str">
        <f>IF($A324="","",$A324-WEEKDAY($A324,3))</f>
        <v/>
      </c>
      <c r="AO324" s="56" t="str">
        <f>IF($A324="","",WEEKDAY($A324,2))</f>
        <v/>
      </c>
      <c r="AP324" s="55" t="str">
        <f>IF(OR($AM324=0,$C324=""),"",IFERROR(N(INDEX(Accounts!$E$7:$E$16,MATCH($C324,Accounts!$B$7:$B$16,0))),0)+SUMIFS($Q$6:$Q324,$C$6:$C324,$C324))</f>
        <v/>
      </c>
      <c r="AQ324" s="55" t="str">
        <f>IF(OR($AM324=0,$C324=""),"",SUMIFS($Q$6:$Q$1005,$C$6:$C$1005,$C324,$A$6:$A$1005,$A324))</f>
        <v/>
      </c>
      <c r="AR324" s="55" t="str">
        <f>IF(OR($AM324=0,$C324=""),"",IFERROR(N(INDEX(Accounts!$E$7:$E$16,MATCH($C324,Accounts!$B$7:$B$16,0))),0)+SUMIFS($Q$6:$Q$1005,$C$6:$C$1005,$C324,$A$6:$A$1005,"&lt;="&amp;$A324))</f>
        <v/>
      </c>
      <c r="AS324" s="56">
        <f>IF(OR($AM324=0,$Q324=""),0,IF(AND($A324&gt;=Lists!$W$6,$A324&lt;=Lists!$W$7,OR(Dashboard!$D$6="All accounts",$C324=Dashboard!$D$6),OR(Dashboard!$D$7="All markets",$AF324=Dashboard!$D$7)),1,0))</f>
        <v>0</v>
      </c>
      <c r="AT324" s="55">
        <f>IF($AS324=1,N(AT323)+$Q324,N(AT323))</f>
        <v>1187.10688</v>
      </c>
      <c r="AU324" s="55">
        <f>MAX(N(AU323),$AT324)</f>
        <v>1187.10688</v>
      </c>
      <c r="AV324" s="55">
        <f>$AT324-$AU324</f>
        <v>0</v>
      </c>
      <c r="AW324" s="56">
        <f>IF($AS324=1,IF($S324="Win",N(AW323)+1,IF($S324="Loss",0,N(AW323))),N(AW323))</f>
        <v>5</v>
      </c>
      <c r="AX324" s="56">
        <f>IF($AS324=1,IF($S324="Loss",N(AX323)+1,IF($S324="Win",0,N(AX323))),N(AX323))</f>
        <v>0</v>
      </c>
      <c r="AY324" s="56" t="str">
        <f>IF($AS324=1,COUNTIF($AS$6:$AS324,1),"")</f>
        <v/>
      </c>
      <c r="AZ324" s="56">
        <f>MIN(318,N(Lists!$W$8))</f>
        <v>28</v>
      </c>
      <c r="BA324" s="56">
        <f>IF($AS324=1,IF(COUNTIFS($A$6:$A324,$A324,$AS$6:$AS324,1)=1,1,0),0)</f>
        <v>0</v>
      </c>
      <c r="BB324" s="55" t="str">
        <f>IF($BA324=1,SUMIFS($Q$6:$Q$1005,$A$6:$A$1005,$A324,$AS$6:$AS$1005,1),"")</f>
        <v/>
      </c>
      <c r="BC324" s="56">
        <f>IF(ISNUMBER($R324),1,0)</f>
        <v>0</v>
      </c>
      <c r="BD324" s="55" t="str">
        <f>IF(ISNUMBER($U324),$U324*$V324,"")</f>
        <v/>
      </c>
      <c r="BE324" s="56" t="str">
        <f>IF($AM324=0,"",IFERROR(MATCH($AF324&amp;"|"&amp;UPPER(TRIM($E324)),Lists!$A$6:$A$205,0),0))</f>
        <v/>
      </c>
      <c r="BF324" s="56" t="str">
        <f>IF($AM324=0,"",IFERROR(MATCH($AF324,Settings!$B$14:$B$18,0),IFERROR(MATCH(Settings!$C$6,Settings!$B$14:$B$18,0),1)))</f>
        <v/>
      </c>
      <c r="BG324" s="58" t="str">
        <f>IF($AM324=0,"",IF(NOT(ISNUMBER($I324)),"No stop; ","")&amp;IF(AND(ISNUMBER($H324),ISNUMBER($I324)),IF(OR(AND($F324&lt;&gt;"Short",$I324&gt;=$H324),AND($F324="Short",$I324&lt;=$H324)),"Stop on wrong side; ",""),"")&amp;IF($F324="","No direction; ","")&amp;IF(AND(ISNUMBER(Settings!$C$22),ISNUMBER($V324)),IF($V324&gt;Settings!$C$22,"Risk over max $; ",""),"")&amp;IF(AND(ISNUMBER(Settings!$C$23),ISNUMBER($V324),ISNUMBER($AP324),IFERROR(N(INDEX(Accounts!$E$7:$E$16,MATCH($C324,Accounts!$B$7:$B$16,0))),0)&gt;0),IF($V324&gt;Settings!$C$23*($AP324-N($Q324)),"Risk over max %; ",""),"")&amp;IF(AND(ISNUMBER(Settings!$C$24),ISNUMBER($N324)),IF($N324&gt;Settings!$C$24,"Leverage over max; ",""),"")&amp;IF(AND(ISNUMBER(Settings!$C$27),ISNUMBER($T324)),IF($T324&lt;Settings!$C$27,"R:R below min; ",""),"")&amp;IF(ISNUMBER(Settings!$C$25),IF(COUNTIFS($A$6:$A324,$A324,$AM$6:$AM324,1)&gt;Settings!$C$25,"Over max trades/day; ",""),"")&amp;IF(ISNUMBER(Settings!$C$26),IF(SUMIFS($Q$5:$Q323,$A$5:$A323,$A324)&lt;=-Settings!$C$26,"Traded after daily max loss; ",""),"")&amp;IF(AND($AG324="",NOT(ISNUMBER($O324))),"Symbol not in Instruments; ","")&amp;IF(AND($AH324="",NOT(ISNUMBER($O324))),"Forex cross: type Gross P&amp;L; ",""))</f>
        <v/>
      </c>
      <c r="BH324" s="56">
        <f>IF(ISNUMBER($Q324),1,0)</f>
        <v>0</v>
      </c>
      <c r="BI324" s="56">
        <f>IF($Y324="",0,1)</f>
        <v>0</v>
      </c>
      <c r="BJ324" s="56">
        <f>IF($AB324="",0,1)</f>
        <v>0</v>
      </c>
      <c r="BK324" s="56">
        <f>IF(AND($BH324=1,$W324&lt;&gt;"OK"),1,0)</f>
        <v>0</v>
      </c>
      <c r="BL324" s="55">
        <f>IF(N($AZ324)=0,0,IFERROR(INDEX($AT$6:$AT$1005,MATCH($AZ324,$AY$6:$AY$1005,0)),0))</f>
        <v>1187.10688</v>
      </c>
      <c r="BM324" s="56">
        <f>IF(ISNUMBER(SEARCH("daily max loss",$BG324)),1,0)</f>
        <v>0</v>
      </c>
    </row>
    <row r="325" ht="18" customHeight="1">
      <c r="A325" s="38" t="n"/>
      <c r="B325" s="39" t="n"/>
      <c r="C325" s="40" t="n"/>
      <c r="D325" s="41" t="n"/>
      <c r="E325" s="41" t="n"/>
      <c r="F325" s="41" t="n"/>
      <c r="G325" s="41" t="n"/>
      <c r="H325" s="42" t="n"/>
      <c r="I325" s="42" t="n"/>
      <c r="J325" s="42" t="n"/>
      <c r="K325" s="42" t="n"/>
      <c r="L325" s="41" t="n"/>
      <c r="M325" s="41" t="n"/>
      <c r="N325" s="41" t="n"/>
      <c r="O325" s="43" t="n"/>
      <c r="P325" s="43" t="n"/>
      <c r="Q325" s="44" t="str">
        <f>IF($AM325=0,"",IF(ISNUMBER($AK325),$AK325-N($AL325),""))</f>
        <v/>
      </c>
      <c r="R325" s="45" t="str">
        <f>IF(OR($Q325="",NOT(ISNUMBER($V325))),"",$AK325/$V325)</f>
        <v/>
      </c>
      <c r="S325" s="46" t="str">
        <f>IF($Q325="","",IF(AND(ISNUMBER($R325),ABS(N($R325))&lt;N(Settings!$C$8)),"Scratch",IF($Q325&gt;0,"Win",IF($Q325&lt;0,"Loss","Scratch"))))</f>
        <v/>
      </c>
      <c r="T325" s="47" t="str">
        <f>IF(OR($AM325=0,NOT(ISNUMBER($H325)),NOT(ISNUMBER($I325)),NOT(ISNUMBER($J325))),"",IF($H325=$I325,"",ROUND(ABS($J325-$H325)/ABS($H325-$I325),6)))</f>
        <v/>
      </c>
      <c r="U325" s="48" t="str">
        <f>IF(OR($S325&lt;&gt;"Win",NOT(ISNUMBER($T325)),NOT(ISNUMBER($R325))),"",MAX(0,$T325-$R325))</f>
        <v/>
      </c>
      <c r="V325" s="49" t="str">
        <f>IF(OR($AM325=0,NOT(ISNUMBER($H325)),NOT(ISNUMBER($I325)),NOT(ISNUMBER($G325))),"",IF(OR($AG325="",$AH325=""),"",IF(ROUND(ABS($H325-$I325)*ABS($G325)*$AG325*$AH325,6)=0,"",ROUND(ABS($H325-$I325)*ABS($G325)*$AG325*$AH325,6))))</f>
        <v/>
      </c>
      <c r="W325" s="50" t="str">
        <f>IF($AM325=0,"",IF($BG325="","OK",LEFT($BG325,LEN($BG325)-2)))</f>
        <v/>
      </c>
      <c r="X325" s="41" t="n"/>
      <c r="Y325" s="40" t="n"/>
      <c r="Z325" s="41" t="n"/>
      <c r="AA325" s="41" t="n"/>
      <c r="AB325" s="40" t="n"/>
      <c r="AC325" s="51" t="n"/>
      <c r="AD325" s="51" t="n"/>
      <c r="AE325" s="40" t="n"/>
      <c r="AF325" s="52" t="str">
        <f>IF($AM325=0,"",IF($D325&lt;&gt;"",$D325,IF(IFERROR(INDEX(Accounts!$C$7:$C$16,MATCH($C325,Accounts!$B$7:$B$16,0))&amp;"","")&lt;&gt;"",INDEX(Accounts!$C$7:$C$16,MATCH($C325,Accounts!$B$7:$B$16,0)),Settings!$C$6)))</f>
        <v/>
      </c>
      <c r="AG325" s="53" t="str">
        <f>IF($AM325=0,"",IF(AND($BE325&gt;0,N(INDEX(Instruments!$D$6:$D$205,MAX(1,$BE325)))&gt;0),INDEX(Instruments!$D$6:$D$205,MAX(1,$BE325)),IF(N(INDEX(Settings!$D$14:$D$18,$BF325))&gt;0,INDEX(Settings!$D$14:$D$18,$BF325),"")))</f>
        <v/>
      </c>
      <c r="AH325" s="54" t="str">
        <f>IF($AM325=0,"",IF($AF325&lt;&gt;"Forex",1,IF(MID(UPPER(SUBSTITUTE(TRIM($E325),"/","")),4,3)=UPPER(TRIM(Settings!$C$7)),1,IF(LEFT(UPPER(SUBSTITUTE(TRIM($E325),"/","")),3)=UPPER(TRIM(Settings!$C$7)),IF(AND(ISNUMBER($K325),N($K325)&lt;&gt;0),1/$K325,""),""))))</f>
        <v/>
      </c>
      <c r="AI325" s="55" t="str">
        <f>IF($AM325=0,"",IF(OR(NOT(ISNUMBER($H325)),NOT(ISNUMBER($K325)),NOT(ISNUMBER($G325)),$AG325="",$AH325=""),"",ROUND(($K325-$H325)*IF($F325="Short",-1,1)*$G325*$AG325*$AH325,6)))</f>
        <v/>
      </c>
      <c r="AJ325" s="55" t="str">
        <f>IF($AM325=0,"",IF(INDEX(Settings!$E$14:$E$18,$BF325)="% of notional",IF(OR($AG325="",NOT(ISNUMBER($H325)),NOT(ISNUMBER($G325))),"",ROUND(ABS($H325*$G325*$AG325*N($AH325))*IF($L325="Limit",N(INDEX(Settings!$G$14:$G$18,$BF325)),N(INDEX(Settings!$H$14:$H$18,$BF325)))+IF(ISNUMBER($K325),ABS($K325*$G325*$AG325*N($AH325))*IF($M325="Target",N(INDEX(Settings!$G$14:$G$18,$BF325)),N(INDEX(Settings!$H$14:$H$18,$BF325))),0),6)),IF(NOT(ISNUMBER($G325)),"",ROUND(ABS($G325)*2*IF(AND($BE325&gt;0,ISNUMBER(INDEX(Instruments!$G$6:$G$205,MAX(1,$BE325)))),INDEX(Instruments!$G$6:$G$205,MAX(1,$BE325)),N(INDEX(Settings!$F$14:$F$18,$BF325))),6))))</f>
        <v/>
      </c>
      <c r="AK325" s="55" t="str">
        <f>IF($AM325=0,"",IF(ISNUMBER($O325),$O325,$AI325))</f>
        <v/>
      </c>
      <c r="AL325" s="55" t="str">
        <f>IF($AM325=0,"",IF(ISNUMBER($P325),$P325,N($AJ325)))</f>
        <v/>
      </c>
      <c r="AM325" s="56">
        <f>IF(AND($A325&lt;&gt;"",$E325&lt;&gt;"",OR(AND(ISNUMBER($G325),ISNUMBER($H325),ISNUMBER($K325)),ISNUMBER($O325))),1,0)</f>
        <v>0</v>
      </c>
      <c r="AN325" s="57" t="str">
        <f>IF($A325="","",$A325-WEEKDAY($A325,3))</f>
        <v/>
      </c>
      <c r="AO325" s="56" t="str">
        <f>IF($A325="","",WEEKDAY($A325,2))</f>
        <v/>
      </c>
      <c r="AP325" s="55" t="str">
        <f>IF(OR($AM325=0,$C325=""),"",IFERROR(N(INDEX(Accounts!$E$7:$E$16,MATCH($C325,Accounts!$B$7:$B$16,0))),0)+SUMIFS($Q$6:$Q325,$C$6:$C325,$C325))</f>
        <v/>
      </c>
      <c r="AQ325" s="55" t="str">
        <f>IF(OR($AM325=0,$C325=""),"",SUMIFS($Q$6:$Q$1005,$C$6:$C$1005,$C325,$A$6:$A$1005,$A325))</f>
        <v/>
      </c>
      <c r="AR325" s="55" t="str">
        <f>IF(OR($AM325=0,$C325=""),"",IFERROR(N(INDEX(Accounts!$E$7:$E$16,MATCH($C325,Accounts!$B$7:$B$16,0))),0)+SUMIFS($Q$6:$Q$1005,$C$6:$C$1005,$C325,$A$6:$A$1005,"&lt;="&amp;$A325))</f>
        <v/>
      </c>
      <c r="AS325" s="56">
        <f>IF(OR($AM325=0,$Q325=""),0,IF(AND($A325&gt;=Lists!$W$6,$A325&lt;=Lists!$W$7,OR(Dashboard!$D$6="All accounts",$C325=Dashboard!$D$6),OR(Dashboard!$D$7="All markets",$AF325=Dashboard!$D$7)),1,0))</f>
        <v>0</v>
      </c>
      <c r="AT325" s="55">
        <f>IF($AS325=1,N(AT324)+$Q325,N(AT324))</f>
        <v>1187.10688</v>
      </c>
      <c r="AU325" s="55">
        <f>MAX(N(AU324),$AT325)</f>
        <v>1187.10688</v>
      </c>
      <c r="AV325" s="55">
        <f>$AT325-$AU325</f>
        <v>0</v>
      </c>
      <c r="AW325" s="56">
        <f>IF($AS325=1,IF($S325="Win",N(AW324)+1,IF($S325="Loss",0,N(AW324))),N(AW324))</f>
        <v>5</v>
      </c>
      <c r="AX325" s="56">
        <f>IF($AS325=1,IF($S325="Loss",N(AX324)+1,IF($S325="Win",0,N(AX324))),N(AX324))</f>
        <v>0</v>
      </c>
      <c r="AY325" s="56" t="str">
        <f>IF($AS325=1,COUNTIF($AS$6:$AS325,1),"")</f>
        <v/>
      </c>
      <c r="AZ325" s="56">
        <f>MIN(319,N(Lists!$W$8))</f>
        <v>28</v>
      </c>
      <c r="BA325" s="56">
        <f>IF($AS325=1,IF(COUNTIFS($A$6:$A325,$A325,$AS$6:$AS325,1)=1,1,0),0)</f>
        <v>0</v>
      </c>
      <c r="BB325" s="55" t="str">
        <f>IF($BA325=1,SUMIFS($Q$6:$Q$1005,$A$6:$A$1005,$A325,$AS$6:$AS$1005,1),"")</f>
        <v/>
      </c>
      <c r="BC325" s="56">
        <f>IF(ISNUMBER($R325),1,0)</f>
        <v>0</v>
      </c>
      <c r="BD325" s="55" t="str">
        <f>IF(ISNUMBER($U325),$U325*$V325,"")</f>
        <v/>
      </c>
      <c r="BE325" s="56" t="str">
        <f>IF($AM325=0,"",IFERROR(MATCH($AF325&amp;"|"&amp;UPPER(TRIM($E325)),Lists!$A$6:$A$205,0),0))</f>
        <v/>
      </c>
      <c r="BF325" s="56" t="str">
        <f>IF($AM325=0,"",IFERROR(MATCH($AF325,Settings!$B$14:$B$18,0),IFERROR(MATCH(Settings!$C$6,Settings!$B$14:$B$18,0),1)))</f>
        <v/>
      </c>
      <c r="BG325" s="58" t="str">
        <f>IF($AM325=0,"",IF(NOT(ISNUMBER($I325)),"No stop; ","")&amp;IF(AND(ISNUMBER($H325),ISNUMBER($I325)),IF(OR(AND($F325&lt;&gt;"Short",$I325&gt;=$H325),AND($F325="Short",$I325&lt;=$H325)),"Stop on wrong side; ",""),"")&amp;IF($F325="","No direction; ","")&amp;IF(AND(ISNUMBER(Settings!$C$22),ISNUMBER($V325)),IF($V325&gt;Settings!$C$22,"Risk over max $; ",""),"")&amp;IF(AND(ISNUMBER(Settings!$C$23),ISNUMBER($V325),ISNUMBER($AP325),IFERROR(N(INDEX(Accounts!$E$7:$E$16,MATCH($C325,Accounts!$B$7:$B$16,0))),0)&gt;0),IF($V325&gt;Settings!$C$23*($AP325-N($Q325)),"Risk over max %; ",""),"")&amp;IF(AND(ISNUMBER(Settings!$C$24),ISNUMBER($N325)),IF($N325&gt;Settings!$C$24,"Leverage over max; ",""),"")&amp;IF(AND(ISNUMBER(Settings!$C$27),ISNUMBER($T325)),IF($T325&lt;Settings!$C$27,"R:R below min; ",""),"")&amp;IF(ISNUMBER(Settings!$C$25),IF(COUNTIFS($A$6:$A325,$A325,$AM$6:$AM325,1)&gt;Settings!$C$25,"Over max trades/day; ",""),"")&amp;IF(ISNUMBER(Settings!$C$26),IF(SUMIFS($Q$5:$Q324,$A$5:$A324,$A325)&lt;=-Settings!$C$26,"Traded after daily max loss; ",""),"")&amp;IF(AND($AG325="",NOT(ISNUMBER($O325))),"Symbol not in Instruments; ","")&amp;IF(AND($AH325="",NOT(ISNUMBER($O325))),"Forex cross: type Gross P&amp;L; ",""))</f>
        <v/>
      </c>
      <c r="BH325" s="56">
        <f>IF(ISNUMBER($Q325),1,0)</f>
        <v>0</v>
      </c>
      <c r="BI325" s="56">
        <f>IF($Y325="",0,1)</f>
        <v>0</v>
      </c>
      <c r="BJ325" s="56">
        <f>IF($AB325="",0,1)</f>
        <v>0</v>
      </c>
      <c r="BK325" s="56">
        <f>IF(AND($BH325=1,$W325&lt;&gt;"OK"),1,0)</f>
        <v>0</v>
      </c>
      <c r="BL325" s="55">
        <f>IF(N($AZ325)=0,0,IFERROR(INDEX($AT$6:$AT$1005,MATCH($AZ325,$AY$6:$AY$1005,0)),0))</f>
        <v>1187.10688</v>
      </c>
      <c r="BM325" s="56">
        <f>IF(ISNUMBER(SEARCH("daily max loss",$BG325)),1,0)</f>
        <v>0</v>
      </c>
    </row>
    <row r="326" ht="18" customHeight="1">
      <c r="A326" s="38" t="n"/>
      <c r="B326" s="39" t="n"/>
      <c r="C326" s="40" t="n"/>
      <c r="D326" s="41" t="n"/>
      <c r="E326" s="41" t="n"/>
      <c r="F326" s="41" t="n"/>
      <c r="G326" s="41" t="n"/>
      <c r="H326" s="42" t="n"/>
      <c r="I326" s="42" t="n"/>
      <c r="J326" s="42" t="n"/>
      <c r="K326" s="42" t="n"/>
      <c r="L326" s="41" t="n"/>
      <c r="M326" s="41" t="n"/>
      <c r="N326" s="41" t="n"/>
      <c r="O326" s="43" t="n"/>
      <c r="P326" s="43" t="n"/>
      <c r="Q326" s="44" t="str">
        <f>IF($AM326=0,"",IF(ISNUMBER($AK326),$AK326-N($AL326),""))</f>
        <v/>
      </c>
      <c r="R326" s="45" t="str">
        <f>IF(OR($Q326="",NOT(ISNUMBER($V326))),"",$AK326/$V326)</f>
        <v/>
      </c>
      <c r="S326" s="46" t="str">
        <f>IF($Q326="","",IF(AND(ISNUMBER($R326),ABS(N($R326))&lt;N(Settings!$C$8)),"Scratch",IF($Q326&gt;0,"Win",IF($Q326&lt;0,"Loss","Scratch"))))</f>
        <v/>
      </c>
      <c r="T326" s="47" t="str">
        <f>IF(OR($AM326=0,NOT(ISNUMBER($H326)),NOT(ISNUMBER($I326)),NOT(ISNUMBER($J326))),"",IF($H326=$I326,"",ROUND(ABS($J326-$H326)/ABS($H326-$I326),6)))</f>
        <v/>
      </c>
      <c r="U326" s="48" t="str">
        <f>IF(OR($S326&lt;&gt;"Win",NOT(ISNUMBER($T326)),NOT(ISNUMBER($R326))),"",MAX(0,$T326-$R326))</f>
        <v/>
      </c>
      <c r="V326" s="49" t="str">
        <f>IF(OR($AM326=0,NOT(ISNUMBER($H326)),NOT(ISNUMBER($I326)),NOT(ISNUMBER($G326))),"",IF(OR($AG326="",$AH326=""),"",IF(ROUND(ABS($H326-$I326)*ABS($G326)*$AG326*$AH326,6)=0,"",ROUND(ABS($H326-$I326)*ABS($G326)*$AG326*$AH326,6))))</f>
        <v/>
      </c>
      <c r="W326" s="50" t="str">
        <f>IF($AM326=0,"",IF($BG326="","OK",LEFT($BG326,LEN($BG326)-2)))</f>
        <v/>
      </c>
      <c r="X326" s="41" t="n"/>
      <c r="Y326" s="40" t="n"/>
      <c r="Z326" s="41" t="n"/>
      <c r="AA326" s="41" t="n"/>
      <c r="AB326" s="40" t="n"/>
      <c r="AC326" s="51" t="n"/>
      <c r="AD326" s="51" t="n"/>
      <c r="AE326" s="40" t="n"/>
      <c r="AF326" s="52" t="str">
        <f>IF($AM326=0,"",IF($D326&lt;&gt;"",$D326,IF(IFERROR(INDEX(Accounts!$C$7:$C$16,MATCH($C326,Accounts!$B$7:$B$16,0))&amp;"","")&lt;&gt;"",INDEX(Accounts!$C$7:$C$16,MATCH($C326,Accounts!$B$7:$B$16,0)),Settings!$C$6)))</f>
        <v/>
      </c>
      <c r="AG326" s="53" t="str">
        <f>IF($AM326=0,"",IF(AND($BE326&gt;0,N(INDEX(Instruments!$D$6:$D$205,MAX(1,$BE326)))&gt;0),INDEX(Instruments!$D$6:$D$205,MAX(1,$BE326)),IF(N(INDEX(Settings!$D$14:$D$18,$BF326))&gt;0,INDEX(Settings!$D$14:$D$18,$BF326),"")))</f>
        <v/>
      </c>
      <c r="AH326" s="54" t="str">
        <f>IF($AM326=0,"",IF($AF326&lt;&gt;"Forex",1,IF(MID(UPPER(SUBSTITUTE(TRIM($E326),"/","")),4,3)=UPPER(TRIM(Settings!$C$7)),1,IF(LEFT(UPPER(SUBSTITUTE(TRIM($E326),"/","")),3)=UPPER(TRIM(Settings!$C$7)),IF(AND(ISNUMBER($K326),N($K326)&lt;&gt;0),1/$K326,""),""))))</f>
        <v/>
      </c>
      <c r="AI326" s="55" t="str">
        <f>IF($AM326=0,"",IF(OR(NOT(ISNUMBER($H326)),NOT(ISNUMBER($K326)),NOT(ISNUMBER($G326)),$AG326="",$AH326=""),"",ROUND(($K326-$H326)*IF($F326="Short",-1,1)*$G326*$AG326*$AH326,6)))</f>
        <v/>
      </c>
      <c r="AJ326" s="55" t="str">
        <f>IF($AM326=0,"",IF(INDEX(Settings!$E$14:$E$18,$BF326)="% of notional",IF(OR($AG326="",NOT(ISNUMBER($H326)),NOT(ISNUMBER($G326))),"",ROUND(ABS($H326*$G326*$AG326*N($AH326))*IF($L326="Limit",N(INDEX(Settings!$G$14:$G$18,$BF326)),N(INDEX(Settings!$H$14:$H$18,$BF326)))+IF(ISNUMBER($K326),ABS($K326*$G326*$AG326*N($AH326))*IF($M326="Target",N(INDEX(Settings!$G$14:$G$18,$BF326)),N(INDEX(Settings!$H$14:$H$18,$BF326))),0),6)),IF(NOT(ISNUMBER($G326)),"",ROUND(ABS($G326)*2*IF(AND($BE326&gt;0,ISNUMBER(INDEX(Instruments!$G$6:$G$205,MAX(1,$BE326)))),INDEX(Instruments!$G$6:$G$205,MAX(1,$BE326)),N(INDEX(Settings!$F$14:$F$18,$BF326))),6))))</f>
        <v/>
      </c>
      <c r="AK326" s="55" t="str">
        <f>IF($AM326=0,"",IF(ISNUMBER($O326),$O326,$AI326))</f>
        <v/>
      </c>
      <c r="AL326" s="55" t="str">
        <f>IF($AM326=0,"",IF(ISNUMBER($P326),$P326,N($AJ326)))</f>
        <v/>
      </c>
      <c r="AM326" s="56">
        <f>IF(AND($A326&lt;&gt;"",$E326&lt;&gt;"",OR(AND(ISNUMBER($G326),ISNUMBER($H326),ISNUMBER($K326)),ISNUMBER($O326))),1,0)</f>
        <v>0</v>
      </c>
      <c r="AN326" s="57" t="str">
        <f>IF($A326="","",$A326-WEEKDAY($A326,3))</f>
        <v/>
      </c>
      <c r="AO326" s="56" t="str">
        <f>IF($A326="","",WEEKDAY($A326,2))</f>
        <v/>
      </c>
      <c r="AP326" s="55" t="str">
        <f>IF(OR($AM326=0,$C326=""),"",IFERROR(N(INDEX(Accounts!$E$7:$E$16,MATCH($C326,Accounts!$B$7:$B$16,0))),0)+SUMIFS($Q$6:$Q326,$C$6:$C326,$C326))</f>
        <v/>
      </c>
      <c r="AQ326" s="55" t="str">
        <f>IF(OR($AM326=0,$C326=""),"",SUMIFS($Q$6:$Q$1005,$C$6:$C$1005,$C326,$A$6:$A$1005,$A326))</f>
        <v/>
      </c>
      <c r="AR326" s="55" t="str">
        <f>IF(OR($AM326=0,$C326=""),"",IFERROR(N(INDEX(Accounts!$E$7:$E$16,MATCH($C326,Accounts!$B$7:$B$16,0))),0)+SUMIFS($Q$6:$Q$1005,$C$6:$C$1005,$C326,$A$6:$A$1005,"&lt;="&amp;$A326))</f>
        <v/>
      </c>
      <c r="AS326" s="56">
        <f>IF(OR($AM326=0,$Q326=""),0,IF(AND($A326&gt;=Lists!$W$6,$A326&lt;=Lists!$W$7,OR(Dashboard!$D$6="All accounts",$C326=Dashboard!$D$6),OR(Dashboard!$D$7="All markets",$AF326=Dashboard!$D$7)),1,0))</f>
        <v>0</v>
      </c>
      <c r="AT326" s="55">
        <f>IF($AS326=1,N(AT325)+$Q326,N(AT325))</f>
        <v>1187.10688</v>
      </c>
      <c r="AU326" s="55">
        <f>MAX(N(AU325),$AT326)</f>
        <v>1187.10688</v>
      </c>
      <c r="AV326" s="55">
        <f>$AT326-$AU326</f>
        <v>0</v>
      </c>
      <c r="AW326" s="56">
        <f>IF($AS326=1,IF($S326="Win",N(AW325)+1,IF($S326="Loss",0,N(AW325))),N(AW325))</f>
        <v>5</v>
      </c>
      <c r="AX326" s="56">
        <f>IF($AS326=1,IF($S326="Loss",N(AX325)+1,IF($S326="Win",0,N(AX325))),N(AX325))</f>
        <v>0</v>
      </c>
      <c r="AY326" s="56" t="str">
        <f>IF($AS326=1,COUNTIF($AS$6:$AS326,1),"")</f>
        <v/>
      </c>
      <c r="AZ326" s="56">
        <f>MIN(320,N(Lists!$W$8))</f>
        <v>28</v>
      </c>
      <c r="BA326" s="56">
        <f>IF($AS326=1,IF(COUNTIFS($A$6:$A326,$A326,$AS$6:$AS326,1)=1,1,0),0)</f>
        <v>0</v>
      </c>
      <c r="BB326" s="55" t="str">
        <f>IF($BA326=1,SUMIFS($Q$6:$Q$1005,$A$6:$A$1005,$A326,$AS$6:$AS$1005,1),"")</f>
        <v/>
      </c>
      <c r="BC326" s="56">
        <f>IF(ISNUMBER($R326),1,0)</f>
        <v>0</v>
      </c>
      <c r="BD326" s="55" t="str">
        <f>IF(ISNUMBER($U326),$U326*$V326,"")</f>
        <v/>
      </c>
      <c r="BE326" s="56" t="str">
        <f>IF($AM326=0,"",IFERROR(MATCH($AF326&amp;"|"&amp;UPPER(TRIM($E326)),Lists!$A$6:$A$205,0),0))</f>
        <v/>
      </c>
      <c r="BF326" s="56" t="str">
        <f>IF($AM326=0,"",IFERROR(MATCH($AF326,Settings!$B$14:$B$18,0),IFERROR(MATCH(Settings!$C$6,Settings!$B$14:$B$18,0),1)))</f>
        <v/>
      </c>
      <c r="BG326" s="58" t="str">
        <f>IF($AM326=0,"",IF(NOT(ISNUMBER($I326)),"No stop; ","")&amp;IF(AND(ISNUMBER($H326),ISNUMBER($I326)),IF(OR(AND($F326&lt;&gt;"Short",$I326&gt;=$H326),AND($F326="Short",$I326&lt;=$H326)),"Stop on wrong side; ",""),"")&amp;IF($F326="","No direction; ","")&amp;IF(AND(ISNUMBER(Settings!$C$22),ISNUMBER($V326)),IF($V326&gt;Settings!$C$22,"Risk over max $; ",""),"")&amp;IF(AND(ISNUMBER(Settings!$C$23),ISNUMBER($V326),ISNUMBER($AP326),IFERROR(N(INDEX(Accounts!$E$7:$E$16,MATCH($C326,Accounts!$B$7:$B$16,0))),0)&gt;0),IF($V326&gt;Settings!$C$23*($AP326-N($Q326)),"Risk over max %; ",""),"")&amp;IF(AND(ISNUMBER(Settings!$C$24),ISNUMBER($N326)),IF($N326&gt;Settings!$C$24,"Leverage over max; ",""),"")&amp;IF(AND(ISNUMBER(Settings!$C$27),ISNUMBER($T326)),IF($T326&lt;Settings!$C$27,"R:R below min; ",""),"")&amp;IF(ISNUMBER(Settings!$C$25),IF(COUNTIFS($A$6:$A326,$A326,$AM$6:$AM326,1)&gt;Settings!$C$25,"Over max trades/day; ",""),"")&amp;IF(ISNUMBER(Settings!$C$26),IF(SUMIFS($Q$5:$Q325,$A$5:$A325,$A326)&lt;=-Settings!$C$26,"Traded after daily max loss; ",""),"")&amp;IF(AND($AG326="",NOT(ISNUMBER($O326))),"Symbol not in Instruments; ","")&amp;IF(AND($AH326="",NOT(ISNUMBER($O326))),"Forex cross: type Gross P&amp;L; ",""))</f>
        <v/>
      </c>
      <c r="BH326" s="56">
        <f>IF(ISNUMBER($Q326),1,0)</f>
        <v>0</v>
      </c>
      <c r="BI326" s="56">
        <f>IF($Y326="",0,1)</f>
        <v>0</v>
      </c>
      <c r="BJ326" s="56">
        <f>IF($AB326="",0,1)</f>
        <v>0</v>
      </c>
      <c r="BK326" s="56">
        <f>IF(AND($BH326=1,$W326&lt;&gt;"OK"),1,0)</f>
        <v>0</v>
      </c>
      <c r="BL326" s="55">
        <f>IF(N($AZ326)=0,0,IFERROR(INDEX($AT$6:$AT$1005,MATCH($AZ326,$AY$6:$AY$1005,0)),0))</f>
        <v>1187.10688</v>
      </c>
      <c r="BM326" s="56">
        <f>IF(ISNUMBER(SEARCH("daily max loss",$BG326)),1,0)</f>
        <v>0</v>
      </c>
    </row>
    <row r="327" ht="18" customHeight="1">
      <c r="A327" s="38" t="n"/>
      <c r="B327" s="39" t="n"/>
      <c r="C327" s="40" t="n"/>
      <c r="D327" s="41" t="n"/>
      <c r="E327" s="41" t="n"/>
      <c r="F327" s="41" t="n"/>
      <c r="G327" s="41" t="n"/>
      <c r="H327" s="42" t="n"/>
      <c r="I327" s="42" t="n"/>
      <c r="J327" s="42" t="n"/>
      <c r="K327" s="42" t="n"/>
      <c r="L327" s="41" t="n"/>
      <c r="M327" s="41" t="n"/>
      <c r="N327" s="41" t="n"/>
      <c r="O327" s="43" t="n"/>
      <c r="P327" s="43" t="n"/>
      <c r="Q327" s="44" t="str">
        <f>IF($AM327=0,"",IF(ISNUMBER($AK327),$AK327-N($AL327),""))</f>
        <v/>
      </c>
      <c r="R327" s="45" t="str">
        <f>IF(OR($Q327="",NOT(ISNUMBER($V327))),"",$AK327/$V327)</f>
        <v/>
      </c>
      <c r="S327" s="46" t="str">
        <f>IF($Q327="","",IF(AND(ISNUMBER($R327),ABS(N($R327))&lt;N(Settings!$C$8)),"Scratch",IF($Q327&gt;0,"Win",IF($Q327&lt;0,"Loss","Scratch"))))</f>
        <v/>
      </c>
      <c r="T327" s="47" t="str">
        <f>IF(OR($AM327=0,NOT(ISNUMBER($H327)),NOT(ISNUMBER($I327)),NOT(ISNUMBER($J327))),"",IF($H327=$I327,"",ROUND(ABS($J327-$H327)/ABS($H327-$I327),6)))</f>
        <v/>
      </c>
      <c r="U327" s="48" t="str">
        <f>IF(OR($S327&lt;&gt;"Win",NOT(ISNUMBER($T327)),NOT(ISNUMBER($R327))),"",MAX(0,$T327-$R327))</f>
        <v/>
      </c>
      <c r="V327" s="49" t="str">
        <f>IF(OR($AM327=0,NOT(ISNUMBER($H327)),NOT(ISNUMBER($I327)),NOT(ISNUMBER($G327))),"",IF(OR($AG327="",$AH327=""),"",IF(ROUND(ABS($H327-$I327)*ABS($G327)*$AG327*$AH327,6)=0,"",ROUND(ABS($H327-$I327)*ABS($G327)*$AG327*$AH327,6))))</f>
        <v/>
      </c>
      <c r="W327" s="50" t="str">
        <f>IF($AM327=0,"",IF($BG327="","OK",LEFT($BG327,LEN($BG327)-2)))</f>
        <v/>
      </c>
      <c r="X327" s="41" t="n"/>
      <c r="Y327" s="40" t="n"/>
      <c r="Z327" s="41" t="n"/>
      <c r="AA327" s="41" t="n"/>
      <c r="AB327" s="40" t="n"/>
      <c r="AC327" s="51" t="n"/>
      <c r="AD327" s="51" t="n"/>
      <c r="AE327" s="40" t="n"/>
      <c r="AF327" s="52" t="str">
        <f>IF($AM327=0,"",IF($D327&lt;&gt;"",$D327,IF(IFERROR(INDEX(Accounts!$C$7:$C$16,MATCH($C327,Accounts!$B$7:$B$16,0))&amp;"","")&lt;&gt;"",INDEX(Accounts!$C$7:$C$16,MATCH($C327,Accounts!$B$7:$B$16,0)),Settings!$C$6)))</f>
        <v/>
      </c>
      <c r="AG327" s="53" t="str">
        <f>IF($AM327=0,"",IF(AND($BE327&gt;0,N(INDEX(Instruments!$D$6:$D$205,MAX(1,$BE327)))&gt;0),INDEX(Instruments!$D$6:$D$205,MAX(1,$BE327)),IF(N(INDEX(Settings!$D$14:$D$18,$BF327))&gt;0,INDEX(Settings!$D$14:$D$18,$BF327),"")))</f>
        <v/>
      </c>
      <c r="AH327" s="54" t="str">
        <f>IF($AM327=0,"",IF($AF327&lt;&gt;"Forex",1,IF(MID(UPPER(SUBSTITUTE(TRIM($E327),"/","")),4,3)=UPPER(TRIM(Settings!$C$7)),1,IF(LEFT(UPPER(SUBSTITUTE(TRIM($E327),"/","")),3)=UPPER(TRIM(Settings!$C$7)),IF(AND(ISNUMBER($K327),N($K327)&lt;&gt;0),1/$K327,""),""))))</f>
        <v/>
      </c>
      <c r="AI327" s="55" t="str">
        <f>IF($AM327=0,"",IF(OR(NOT(ISNUMBER($H327)),NOT(ISNUMBER($K327)),NOT(ISNUMBER($G327)),$AG327="",$AH327=""),"",ROUND(($K327-$H327)*IF($F327="Short",-1,1)*$G327*$AG327*$AH327,6)))</f>
        <v/>
      </c>
      <c r="AJ327" s="55" t="str">
        <f>IF($AM327=0,"",IF(INDEX(Settings!$E$14:$E$18,$BF327)="% of notional",IF(OR($AG327="",NOT(ISNUMBER($H327)),NOT(ISNUMBER($G327))),"",ROUND(ABS($H327*$G327*$AG327*N($AH327))*IF($L327="Limit",N(INDEX(Settings!$G$14:$G$18,$BF327)),N(INDEX(Settings!$H$14:$H$18,$BF327)))+IF(ISNUMBER($K327),ABS($K327*$G327*$AG327*N($AH327))*IF($M327="Target",N(INDEX(Settings!$G$14:$G$18,$BF327)),N(INDEX(Settings!$H$14:$H$18,$BF327))),0),6)),IF(NOT(ISNUMBER($G327)),"",ROUND(ABS($G327)*2*IF(AND($BE327&gt;0,ISNUMBER(INDEX(Instruments!$G$6:$G$205,MAX(1,$BE327)))),INDEX(Instruments!$G$6:$G$205,MAX(1,$BE327)),N(INDEX(Settings!$F$14:$F$18,$BF327))),6))))</f>
        <v/>
      </c>
      <c r="AK327" s="55" t="str">
        <f>IF($AM327=0,"",IF(ISNUMBER($O327),$O327,$AI327))</f>
        <v/>
      </c>
      <c r="AL327" s="55" t="str">
        <f>IF($AM327=0,"",IF(ISNUMBER($P327),$P327,N($AJ327)))</f>
        <v/>
      </c>
      <c r="AM327" s="56">
        <f>IF(AND($A327&lt;&gt;"",$E327&lt;&gt;"",OR(AND(ISNUMBER($G327),ISNUMBER($H327),ISNUMBER($K327)),ISNUMBER($O327))),1,0)</f>
        <v>0</v>
      </c>
      <c r="AN327" s="57" t="str">
        <f>IF($A327="","",$A327-WEEKDAY($A327,3))</f>
        <v/>
      </c>
      <c r="AO327" s="56" t="str">
        <f>IF($A327="","",WEEKDAY($A327,2))</f>
        <v/>
      </c>
      <c r="AP327" s="55" t="str">
        <f>IF(OR($AM327=0,$C327=""),"",IFERROR(N(INDEX(Accounts!$E$7:$E$16,MATCH($C327,Accounts!$B$7:$B$16,0))),0)+SUMIFS($Q$6:$Q327,$C$6:$C327,$C327))</f>
        <v/>
      </c>
      <c r="AQ327" s="55" t="str">
        <f>IF(OR($AM327=0,$C327=""),"",SUMIFS($Q$6:$Q$1005,$C$6:$C$1005,$C327,$A$6:$A$1005,$A327))</f>
        <v/>
      </c>
      <c r="AR327" s="55" t="str">
        <f>IF(OR($AM327=0,$C327=""),"",IFERROR(N(INDEX(Accounts!$E$7:$E$16,MATCH($C327,Accounts!$B$7:$B$16,0))),0)+SUMIFS($Q$6:$Q$1005,$C$6:$C$1005,$C327,$A$6:$A$1005,"&lt;="&amp;$A327))</f>
        <v/>
      </c>
      <c r="AS327" s="56">
        <f>IF(OR($AM327=0,$Q327=""),0,IF(AND($A327&gt;=Lists!$W$6,$A327&lt;=Lists!$W$7,OR(Dashboard!$D$6="All accounts",$C327=Dashboard!$D$6),OR(Dashboard!$D$7="All markets",$AF327=Dashboard!$D$7)),1,0))</f>
        <v>0</v>
      </c>
      <c r="AT327" s="55">
        <f>IF($AS327=1,N(AT326)+$Q327,N(AT326))</f>
        <v>1187.10688</v>
      </c>
      <c r="AU327" s="55">
        <f>MAX(N(AU326),$AT327)</f>
        <v>1187.10688</v>
      </c>
      <c r="AV327" s="55">
        <f>$AT327-$AU327</f>
        <v>0</v>
      </c>
      <c r="AW327" s="56">
        <f>IF($AS327=1,IF($S327="Win",N(AW326)+1,IF($S327="Loss",0,N(AW326))),N(AW326))</f>
        <v>5</v>
      </c>
      <c r="AX327" s="56">
        <f>IF($AS327=1,IF($S327="Loss",N(AX326)+1,IF($S327="Win",0,N(AX326))),N(AX326))</f>
        <v>0</v>
      </c>
      <c r="AY327" s="56" t="str">
        <f>IF($AS327=1,COUNTIF($AS$6:$AS327,1),"")</f>
        <v/>
      </c>
      <c r="AZ327" s="56">
        <f>MIN(321,N(Lists!$W$8))</f>
        <v>28</v>
      </c>
      <c r="BA327" s="56">
        <f>IF($AS327=1,IF(COUNTIFS($A$6:$A327,$A327,$AS$6:$AS327,1)=1,1,0),0)</f>
        <v>0</v>
      </c>
      <c r="BB327" s="55" t="str">
        <f>IF($BA327=1,SUMIFS($Q$6:$Q$1005,$A$6:$A$1005,$A327,$AS$6:$AS$1005,1),"")</f>
        <v/>
      </c>
      <c r="BC327" s="56">
        <f>IF(ISNUMBER($R327),1,0)</f>
        <v>0</v>
      </c>
      <c r="BD327" s="55" t="str">
        <f>IF(ISNUMBER($U327),$U327*$V327,"")</f>
        <v/>
      </c>
      <c r="BE327" s="56" t="str">
        <f>IF($AM327=0,"",IFERROR(MATCH($AF327&amp;"|"&amp;UPPER(TRIM($E327)),Lists!$A$6:$A$205,0),0))</f>
        <v/>
      </c>
      <c r="BF327" s="56" t="str">
        <f>IF($AM327=0,"",IFERROR(MATCH($AF327,Settings!$B$14:$B$18,0),IFERROR(MATCH(Settings!$C$6,Settings!$B$14:$B$18,0),1)))</f>
        <v/>
      </c>
      <c r="BG327" s="58" t="str">
        <f>IF($AM327=0,"",IF(NOT(ISNUMBER($I327)),"No stop; ","")&amp;IF(AND(ISNUMBER($H327),ISNUMBER($I327)),IF(OR(AND($F327&lt;&gt;"Short",$I327&gt;=$H327),AND($F327="Short",$I327&lt;=$H327)),"Stop on wrong side; ",""),"")&amp;IF($F327="","No direction; ","")&amp;IF(AND(ISNUMBER(Settings!$C$22),ISNUMBER($V327)),IF($V327&gt;Settings!$C$22,"Risk over max $; ",""),"")&amp;IF(AND(ISNUMBER(Settings!$C$23),ISNUMBER($V327),ISNUMBER($AP327),IFERROR(N(INDEX(Accounts!$E$7:$E$16,MATCH($C327,Accounts!$B$7:$B$16,0))),0)&gt;0),IF($V327&gt;Settings!$C$23*($AP327-N($Q327)),"Risk over max %; ",""),"")&amp;IF(AND(ISNUMBER(Settings!$C$24),ISNUMBER($N327)),IF($N327&gt;Settings!$C$24,"Leverage over max; ",""),"")&amp;IF(AND(ISNUMBER(Settings!$C$27),ISNUMBER($T327)),IF($T327&lt;Settings!$C$27,"R:R below min; ",""),"")&amp;IF(ISNUMBER(Settings!$C$25),IF(COUNTIFS($A$6:$A327,$A327,$AM$6:$AM327,1)&gt;Settings!$C$25,"Over max trades/day; ",""),"")&amp;IF(ISNUMBER(Settings!$C$26),IF(SUMIFS($Q$5:$Q326,$A$5:$A326,$A327)&lt;=-Settings!$C$26,"Traded after daily max loss; ",""),"")&amp;IF(AND($AG327="",NOT(ISNUMBER($O327))),"Symbol not in Instruments; ","")&amp;IF(AND($AH327="",NOT(ISNUMBER($O327))),"Forex cross: type Gross P&amp;L; ",""))</f>
        <v/>
      </c>
      <c r="BH327" s="56">
        <f>IF(ISNUMBER($Q327),1,0)</f>
        <v>0</v>
      </c>
      <c r="BI327" s="56">
        <f>IF($Y327="",0,1)</f>
        <v>0</v>
      </c>
      <c r="BJ327" s="56">
        <f>IF($AB327="",0,1)</f>
        <v>0</v>
      </c>
      <c r="BK327" s="56">
        <f>IF(AND($BH327=1,$W327&lt;&gt;"OK"),1,0)</f>
        <v>0</v>
      </c>
      <c r="BL327" s="55">
        <f>IF(N($AZ327)=0,0,IFERROR(INDEX($AT$6:$AT$1005,MATCH($AZ327,$AY$6:$AY$1005,0)),0))</f>
        <v>1187.10688</v>
      </c>
      <c r="BM327" s="56">
        <f>IF(ISNUMBER(SEARCH("daily max loss",$BG327)),1,0)</f>
        <v>0</v>
      </c>
    </row>
    <row r="328" ht="18" customHeight="1">
      <c r="A328" s="38" t="n"/>
      <c r="B328" s="39" t="n"/>
      <c r="C328" s="40" t="n"/>
      <c r="D328" s="41" t="n"/>
      <c r="E328" s="41" t="n"/>
      <c r="F328" s="41" t="n"/>
      <c r="G328" s="41" t="n"/>
      <c r="H328" s="42" t="n"/>
      <c r="I328" s="42" t="n"/>
      <c r="J328" s="42" t="n"/>
      <c r="K328" s="42" t="n"/>
      <c r="L328" s="41" t="n"/>
      <c r="M328" s="41" t="n"/>
      <c r="N328" s="41" t="n"/>
      <c r="O328" s="43" t="n"/>
      <c r="P328" s="43" t="n"/>
      <c r="Q328" s="44" t="str">
        <f>IF($AM328=0,"",IF(ISNUMBER($AK328),$AK328-N($AL328),""))</f>
        <v/>
      </c>
      <c r="R328" s="45" t="str">
        <f>IF(OR($Q328="",NOT(ISNUMBER($V328))),"",$AK328/$V328)</f>
        <v/>
      </c>
      <c r="S328" s="46" t="str">
        <f>IF($Q328="","",IF(AND(ISNUMBER($R328),ABS(N($R328))&lt;N(Settings!$C$8)),"Scratch",IF($Q328&gt;0,"Win",IF($Q328&lt;0,"Loss","Scratch"))))</f>
        <v/>
      </c>
      <c r="T328" s="47" t="str">
        <f>IF(OR($AM328=0,NOT(ISNUMBER($H328)),NOT(ISNUMBER($I328)),NOT(ISNUMBER($J328))),"",IF($H328=$I328,"",ROUND(ABS($J328-$H328)/ABS($H328-$I328),6)))</f>
        <v/>
      </c>
      <c r="U328" s="48" t="str">
        <f>IF(OR($S328&lt;&gt;"Win",NOT(ISNUMBER($T328)),NOT(ISNUMBER($R328))),"",MAX(0,$T328-$R328))</f>
        <v/>
      </c>
      <c r="V328" s="49" t="str">
        <f>IF(OR($AM328=0,NOT(ISNUMBER($H328)),NOT(ISNUMBER($I328)),NOT(ISNUMBER($G328))),"",IF(OR($AG328="",$AH328=""),"",IF(ROUND(ABS($H328-$I328)*ABS($G328)*$AG328*$AH328,6)=0,"",ROUND(ABS($H328-$I328)*ABS($G328)*$AG328*$AH328,6))))</f>
        <v/>
      </c>
      <c r="W328" s="50" t="str">
        <f>IF($AM328=0,"",IF($BG328="","OK",LEFT($BG328,LEN($BG328)-2)))</f>
        <v/>
      </c>
      <c r="X328" s="41" t="n"/>
      <c r="Y328" s="40" t="n"/>
      <c r="Z328" s="41" t="n"/>
      <c r="AA328" s="41" t="n"/>
      <c r="AB328" s="40" t="n"/>
      <c r="AC328" s="51" t="n"/>
      <c r="AD328" s="51" t="n"/>
      <c r="AE328" s="40" t="n"/>
      <c r="AF328" s="52" t="str">
        <f>IF($AM328=0,"",IF($D328&lt;&gt;"",$D328,IF(IFERROR(INDEX(Accounts!$C$7:$C$16,MATCH($C328,Accounts!$B$7:$B$16,0))&amp;"","")&lt;&gt;"",INDEX(Accounts!$C$7:$C$16,MATCH($C328,Accounts!$B$7:$B$16,0)),Settings!$C$6)))</f>
        <v/>
      </c>
      <c r="AG328" s="53" t="str">
        <f>IF($AM328=0,"",IF(AND($BE328&gt;0,N(INDEX(Instruments!$D$6:$D$205,MAX(1,$BE328)))&gt;0),INDEX(Instruments!$D$6:$D$205,MAX(1,$BE328)),IF(N(INDEX(Settings!$D$14:$D$18,$BF328))&gt;0,INDEX(Settings!$D$14:$D$18,$BF328),"")))</f>
        <v/>
      </c>
      <c r="AH328" s="54" t="str">
        <f>IF($AM328=0,"",IF($AF328&lt;&gt;"Forex",1,IF(MID(UPPER(SUBSTITUTE(TRIM($E328),"/","")),4,3)=UPPER(TRIM(Settings!$C$7)),1,IF(LEFT(UPPER(SUBSTITUTE(TRIM($E328),"/","")),3)=UPPER(TRIM(Settings!$C$7)),IF(AND(ISNUMBER($K328),N($K328)&lt;&gt;0),1/$K328,""),""))))</f>
        <v/>
      </c>
      <c r="AI328" s="55" t="str">
        <f>IF($AM328=0,"",IF(OR(NOT(ISNUMBER($H328)),NOT(ISNUMBER($K328)),NOT(ISNUMBER($G328)),$AG328="",$AH328=""),"",ROUND(($K328-$H328)*IF($F328="Short",-1,1)*$G328*$AG328*$AH328,6)))</f>
        <v/>
      </c>
      <c r="AJ328" s="55" t="str">
        <f>IF($AM328=0,"",IF(INDEX(Settings!$E$14:$E$18,$BF328)="% of notional",IF(OR($AG328="",NOT(ISNUMBER($H328)),NOT(ISNUMBER($G328))),"",ROUND(ABS($H328*$G328*$AG328*N($AH328))*IF($L328="Limit",N(INDEX(Settings!$G$14:$G$18,$BF328)),N(INDEX(Settings!$H$14:$H$18,$BF328)))+IF(ISNUMBER($K328),ABS($K328*$G328*$AG328*N($AH328))*IF($M328="Target",N(INDEX(Settings!$G$14:$G$18,$BF328)),N(INDEX(Settings!$H$14:$H$18,$BF328))),0),6)),IF(NOT(ISNUMBER($G328)),"",ROUND(ABS($G328)*2*IF(AND($BE328&gt;0,ISNUMBER(INDEX(Instruments!$G$6:$G$205,MAX(1,$BE328)))),INDEX(Instruments!$G$6:$G$205,MAX(1,$BE328)),N(INDEX(Settings!$F$14:$F$18,$BF328))),6))))</f>
        <v/>
      </c>
      <c r="AK328" s="55" t="str">
        <f>IF($AM328=0,"",IF(ISNUMBER($O328),$O328,$AI328))</f>
        <v/>
      </c>
      <c r="AL328" s="55" t="str">
        <f>IF($AM328=0,"",IF(ISNUMBER($P328),$P328,N($AJ328)))</f>
        <v/>
      </c>
      <c r="AM328" s="56">
        <f>IF(AND($A328&lt;&gt;"",$E328&lt;&gt;"",OR(AND(ISNUMBER($G328),ISNUMBER($H328),ISNUMBER($K328)),ISNUMBER($O328))),1,0)</f>
        <v>0</v>
      </c>
      <c r="AN328" s="57" t="str">
        <f>IF($A328="","",$A328-WEEKDAY($A328,3))</f>
        <v/>
      </c>
      <c r="AO328" s="56" t="str">
        <f>IF($A328="","",WEEKDAY($A328,2))</f>
        <v/>
      </c>
      <c r="AP328" s="55" t="str">
        <f>IF(OR($AM328=0,$C328=""),"",IFERROR(N(INDEX(Accounts!$E$7:$E$16,MATCH($C328,Accounts!$B$7:$B$16,0))),0)+SUMIFS($Q$6:$Q328,$C$6:$C328,$C328))</f>
        <v/>
      </c>
      <c r="AQ328" s="55" t="str">
        <f>IF(OR($AM328=0,$C328=""),"",SUMIFS($Q$6:$Q$1005,$C$6:$C$1005,$C328,$A$6:$A$1005,$A328))</f>
        <v/>
      </c>
      <c r="AR328" s="55" t="str">
        <f>IF(OR($AM328=0,$C328=""),"",IFERROR(N(INDEX(Accounts!$E$7:$E$16,MATCH($C328,Accounts!$B$7:$B$16,0))),0)+SUMIFS($Q$6:$Q$1005,$C$6:$C$1005,$C328,$A$6:$A$1005,"&lt;="&amp;$A328))</f>
        <v/>
      </c>
      <c r="AS328" s="56">
        <f>IF(OR($AM328=0,$Q328=""),0,IF(AND($A328&gt;=Lists!$W$6,$A328&lt;=Lists!$W$7,OR(Dashboard!$D$6="All accounts",$C328=Dashboard!$D$6),OR(Dashboard!$D$7="All markets",$AF328=Dashboard!$D$7)),1,0))</f>
        <v>0</v>
      </c>
      <c r="AT328" s="55">
        <f>IF($AS328=1,N(AT327)+$Q328,N(AT327))</f>
        <v>1187.10688</v>
      </c>
      <c r="AU328" s="55">
        <f>MAX(N(AU327),$AT328)</f>
        <v>1187.10688</v>
      </c>
      <c r="AV328" s="55">
        <f>$AT328-$AU328</f>
        <v>0</v>
      </c>
      <c r="AW328" s="56">
        <f>IF($AS328=1,IF($S328="Win",N(AW327)+1,IF($S328="Loss",0,N(AW327))),N(AW327))</f>
        <v>5</v>
      </c>
      <c r="AX328" s="56">
        <f>IF($AS328=1,IF($S328="Loss",N(AX327)+1,IF($S328="Win",0,N(AX327))),N(AX327))</f>
        <v>0</v>
      </c>
      <c r="AY328" s="56" t="str">
        <f>IF($AS328=1,COUNTIF($AS$6:$AS328,1),"")</f>
        <v/>
      </c>
      <c r="AZ328" s="56">
        <f>MIN(322,N(Lists!$W$8))</f>
        <v>28</v>
      </c>
      <c r="BA328" s="56">
        <f>IF($AS328=1,IF(COUNTIFS($A$6:$A328,$A328,$AS$6:$AS328,1)=1,1,0),0)</f>
        <v>0</v>
      </c>
      <c r="BB328" s="55" t="str">
        <f>IF($BA328=1,SUMIFS($Q$6:$Q$1005,$A$6:$A$1005,$A328,$AS$6:$AS$1005,1),"")</f>
        <v/>
      </c>
      <c r="BC328" s="56">
        <f>IF(ISNUMBER($R328),1,0)</f>
        <v>0</v>
      </c>
      <c r="BD328" s="55" t="str">
        <f>IF(ISNUMBER($U328),$U328*$V328,"")</f>
        <v/>
      </c>
      <c r="BE328" s="56" t="str">
        <f>IF($AM328=0,"",IFERROR(MATCH($AF328&amp;"|"&amp;UPPER(TRIM($E328)),Lists!$A$6:$A$205,0),0))</f>
        <v/>
      </c>
      <c r="BF328" s="56" t="str">
        <f>IF($AM328=0,"",IFERROR(MATCH($AF328,Settings!$B$14:$B$18,0),IFERROR(MATCH(Settings!$C$6,Settings!$B$14:$B$18,0),1)))</f>
        <v/>
      </c>
      <c r="BG328" s="58" t="str">
        <f>IF($AM328=0,"",IF(NOT(ISNUMBER($I328)),"No stop; ","")&amp;IF(AND(ISNUMBER($H328),ISNUMBER($I328)),IF(OR(AND($F328&lt;&gt;"Short",$I328&gt;=$H328),AND($F328="Short",$I328&lt;=$H328)),"Stop on wrong side; ",""),"")&amp;IF($F328="","No direction; ","")&amp;IF(AND(ISNUMBER(Settings!$C$22),ISNUMBER($V328)),IF($V328&gt;Settings!$C$22,"Risk over max $; ",""),"")&amp;IF(AND(ISNUMBER(Settings!$C$23),ISNUMBER($V328),ISNUMBER($AP328),IFERROR(N(INDEX(Accounts!$E$7:$E$16,MATCH($C328,Accounts!$B$7:$B$16,0))),0)&gt;0),IF($V328&gt;Settings!$C$23*($AP328-N($Q328)),"Risk over max %; ",""),"")&amp;IF(AND(ISNUMBER(Settings!$C$24),ISNUMBER($N328)),IF($N328&gt;Settings!$C$24,"Leverage over max; ",""),"")&amp;IF(AND(ISNUMBER(Settings!$C$27),ISNUMBER($T328)),IF($T328&lt;Settings!$C$27,"R:R below min; ",""),"")&amp;IF(ISNUMBER(Settings!$C$25),IF(COUNTIFS($A$6:$A328,$A328,$AM$6:$AM328,1)&gt;Settings!$C$25,"Over max trades/day; ",""),"")&amp;IF(ISNUMBER(Settings!$C$26),IF(SUMIFS($Q$5:$Q327,$A$5:$A327,$A328)&lt;=-Settings!$C$26,"Traded after daily max loss; ",""),"")&amp;IF(AND($AG328="",NOT(ISNUMBER($O328))),"Symbol not in Instruments; ","")&amp;IF(AND($AH328="",NOT(ISNUMBER($O328))),"Forex cross: type Gross P&amp;L; ",""))</f>
        <v/>
      </c>
      <c r="BH328" s="56">
        <f>IF(ISNUMBER($Q328),1,0)</f>
        <v>0</v>
      </c>
      <c r="BI328" s="56">
        <f>IF($Y328="",0,1)</f>
        <v>0</v>
      </c>
      <c r="BJ328" s="56">
        <f>IF($AB328="",0,1)</f>
        <v>0</v>
      </c>
      <c r="BK328" s="56">
        <f>IF(AND($BH328=1,$W328&lt;&gt;"OK"),1,0)</f>
        <v>0</v>
      </c>
      <c r="BL328" s="55">
        <f>IF(N($AZ328)=0,0,IFERROR(INDEX($AT$6:$AT$1005,MATCH($AZ328,$AY$6:$AY$1005,0)),0))</f>
        <v>1187.10688</v>
      </c>
      <c r="BM328" s="56">
        <f>IF(ISNUMBER(SEARCH("daily max loss",$BG328)),1,0)</f>
        <v>0</v>
      </c>
    </row>
    <row r="329" ht="18" customHeight="1">
      <c r="A329" s="38" t="n"/>
      <c r="B329" s="39" t="n"/>
      <c r="C329" s="40" t="n"/>
      <c r="D329" s="41" t="n"/>
      <c r="E329" s="41" t="n"/>
      <c r="F329" s="41" t="n"/>
      <c r="G329" s="41" t="n"/>
      <c r="H329" s="42" t="n"/>
      <c r="I329" s="42" t="n"/>
      <c r="J329" s="42" t="n"/>
      <c r="K329" s="42" t="n"/>
      <c r="L329" s="41" t="n"/>
      <c r="M329" s="41" t="n"/>
      <c r="N329" s="41" t="n"/>
      <c r="O329" s="43" t="n"/>
      <c r="P329" s="43" t="n"/>
      <c r="Q329" s="44" t="str">
        <f>IF($AM329=0,"",IF(ISNUMBER($AK329),$AK329-N($AL329),""))</f>
        <v/>
      </c>
      <c r="R329" s="45" t="str">
        <f>IF(OR($Q329="",NOT(ISNUMBER($V329))),"",$AK329/$V329)</f>
        <v/>
      </c>
      <c r="S329" s="46" t="str">
        <f>IF($Q329="","",IF(AND(ISNUMBER($R329),ABS(N($R329))&lt;N(Settings!$C$8)),"Scratch",IF($Q329&gt;0,"Win",IF($Q329&lt;0,"Loss","Scratch"))))</f>
        <v/>
      </c>
      <c r="T329" s="47" t="str">
        <f>IF(OR($AM329=0,NOT(ISNUMBER($H329)),NOT(ISNUMBER($I329)),NOT(ISNUMBER($J329))),"",IF($H329=$I329,"",ROUND(ABS($J329-$H329)/ABS($H329-$I329),6)))</f>
        <v/>
      </c>
      <c r="U329" s="48" t="str">
        <f>IF(OR($S329&lt;&gt;"Win",NOT(ISNUMBER($T329)),NOT(ISNUMBER($R329))),"",MAX(0,$T329-$R329))</f>
        <v/>
      </c>
      <c r="V329" s="49" t="str">
        <f>IF(OR($AM329=0,NOT(ISNUMBER($H329)),NOT(ISNUMBER($I329)),NOT(ISNUMBER($G329))),"",IF(OR($AG329="",$AH329=""),"",IF(ROUND(ABS($H329-$I329)*ABS($G329)*$AG329*$AH329,6)=0,"",ROUND(ABS($H329-$I329)*ABS($G329)*$AG329*$AH329,6))))</f>
        <v/>
      </c>
      <c r="W329" s="50" t="str">
        <f>IF($AM329=0,"",IF($BG329="","OK",LEFT($BG329,LEN($BG329)-2)))</f>
        <v/>
      </c>
      <c r="X329" s="41" t="n"/>
      <c r="Y329" s="40" t="n"/>
      <c r="Z329" s="41" t="n"/>
      <c r="AA329" s="41" t="n"/>
      <c r="AB329" s="40" t="n"/>
      <c r="AC329" s="51" t="n"/>
      <c r="AD329" s="51" t="n"/>
      <c r="AE329" s="40" t="n"/>
      <c r="AF329" s="52" t="str">
        <f>IF($AM329=0,"",IF($D329&lt;&gt;"",$D329,IF(IFERROR(INDEX(Accounts!$C$7:$C$16,MATCH($C329,Accounts!$B$7:$B$16,0))&amp;"","")&lt;&gt;"",INDEX(Accounts!$C$7:$C$16,MATCH($C329,Accounts!$B$7:$B$16,0)),Settings!$C$6)))</f>
        <v/>
      </c>
      <c r="AG329" s="53" t="str">
        <f>IF($AM329=0,"",IF(AND($BE329&gt;0,N(INDEX(Instruments!$D$6:$D$205,MAX(1,$BE329)))&gt;0),INDEX(Instruments!$D$6:$D$205,MAX(1,$BE329)),IF(N(INDEX(Settings!$D$14:$D$18,$BF329))&gt;0,INDEX(Settings!$D$14:$D$18,$BF329),"")))</f>
        <v/>
      </c>
      <c r="AH329" s="54" t="str">
        <f>IF($AM329=0,"",IF($AF329&lt;&gt;"Forex",1,IF(MID(UPPER(SUBSTITUTE(TRIM($E329),"/","")),4,3)=UPPER(TRIM(Settings!$C$7)),1,IF(LEFT(UPPER(SUBSTITUTE(TRIM($E329),"/","")),3)=UPPER(TRIM(Settings!$C$7)),IF(AND(ISNUMBER($K329),N($K329)&lt;&gt;0),1/$K329,""),""))))</f>
        <v/>
      </c>
      <c r="AI329" s="55" t="str">
        <f>IF($AM329=0,"",IF(OR(NOT(ISNUMBER($H329)),NOT(ISNUMBER($K329)),NOT(ISNUMBER($G329)),$AG329="",$AH329=""),"",ROUND(($K329-$H329)*IF($F329="Short",-1,1)*$G329*$AG329*$AH329,6)))</f>
        <v/>
      </c>
      <c r="AJ329" s="55" t="str">
        <f>IF($AM329=0,"",IF(INDEX(Settings!$E$14:$E$18,$BF329)="% of notional",IF(OR($AG329="",NOT(ISNUMBER($H329)),NOT(ISNUMBER($G329))),"",ROUND(ABS($H329*$G329*$AG329*N($AH329))*IF($L329="Limit",N(INDEX(Settings!$G$14:$G$18,$BF329)),N(INDEX(Settings!$H$14:$H$18,$BF329)))+IF(ISNUMBER($K329),ABS($K329*$G329*$AG329*N($AH329))*IF($M329="Target",N(INDEX(Settings!$G$14:$G$18,$BF329)),N(INDEX(Settings!$H$14:$H$18,$BF329))),0),6)),IF(NOT(ISNUMBER($G329)),"",ROUND(ABS($G329)*2*IF(AND($BE329&gt;0,ISNUMBER(INDEX(Instruments!$G$6:$G$205,MAX(1,$BE329)))),INDEX(Instruments!$G$6:$G$205,MAX(1,$BE329)),N(INDEX(Settings!$F$14:$F$18,$BF329))),6))))</f>
        <v/>
      </c>
      <c r="AK329" s="55" t="str">
        <f>IF($AM329=0,"",IF(ISNUMBER($O329),$O329,$AI329))</f>
        <v/>
      </c>
      <c r="AL329" s="55" t="str">
        <f>IF($AM329=0,"",IF(ISNUMBER($P329),$P329,N($AJ329)))</f>
        <v/>
      </c>
      <c r="AM329" s="56">
        <f>IF(AND($A329&lt;&gt;"",$E329&lt;&gt;"",OR(AND(ISNUMBER($G329),ISNUMBER($H329),ISNUMBER($K329)),ISNUMBER($O329))),1,0)</f>
        <v>0</v>
      </c>
      <c r="AN329" s="57" t="str">
        <f>IF($A329="","",$A329-WEEKDAY($A329,3))</f>
        <v/>
      </c>
      <c r="AO329" s="56" t="str">
        <f>IF($A329="","",WEEKDAY($A329,2))</f>
        <v/>
      </c>
      <c r="AP329" s="55" t="str">
        <f>IF(OR($AM329=0,$C329=""),"",IFERROR(N(INDEX(Accounts!$E$7:$E$16,MATCH($C329,Accounts!$B$7:$B$16,0))),0)+SUMIFS($Q$6:$Q329,$C$6:$C329,$C329))</f>
        <v/>
      </c>
      <c r="AQ329" s="55" t="str">
        <f>IF(OR($AM329=0,$C329=""),"",SUMIFS($Q$6:$Q$1005,$C$6:$C$1005,$C329,$A$6:$A$1005,$A329))</f>
        <v/>
      </c>
      <c r="AR329" s="55" t="str">
        <f>IF(OR($AM329=0,$C329=""),"",IFERROR(N(INDEX(Accounts!$E$7:$E$16,MATCH($C329,Accounts!$B$7:$B$16,0))),0)+SUMIFS($Q$6:$Q$1005,$C$6:$C$1005,$C329,$A$6:$A$1005,"&lt;="&amp;$A329))</f>
        <v/>
      </c>
      <c r="AS329" s="56">
        <f>IF(OR($AM329=0,$Q329=""),0,IF(AND($A329&gt;=Lists!$W$6,$A329&lt;=Lists!$W$7,OR(Dashboard!$D$6="All accounts",$C329=Dashboard!$D$6),OR(Dashboard!$D$7="All markets",$AF329=Dashboard!$D$7)),1,0))</f>
        <v>0</v>
      </c>
      <c r="AT329" s="55">
        <f>IF($AS329=1,N(AT328)+$Q329,N(AT328))</f>
        <v>1187.10688</v>
      </c>
      <c r="AU329" s="55">
        <f>MAX(N(AU328),$AT329)</f>
        <v>1187.10688</v>
      </c>
      <c r="AV329" s="55">
        <f>$AT329-$AU329</f>
        <v>0</v>
      </c>
      <c r="AW329" s="56">
        <f>IF($AS329=1,IF($S329="Win",N(AW328)+1,IF($S329="Loss",0,N(AW328))),N(AW328))</f>
        <v>5</v>
      </c>
      <c r="AX329" s="56">
        <f>IF($AS329=1,IF($S329="Loss",N(AX328)+1,IF($S329="Win",0,N(AX328))),N(AX328))</f>
        <v>0</v>
      </c>
      <c r="AY329" s="56" t="str">
        <f>IF($AS329=1,COUNTIF($AS$6:$AS329,1),"")</f>
        <v/>
      </c>
      <c r="AZ329" s="56">
        <f>MIN(323,N(Lists!$W$8))</f>
        <v>28</v>
      </c>
      <c r="BA329" s="56">
        <f>IF($AS329=1,IF(COUNTIFS($A$6:$A329,$A329,$AS$6:$AS329,1)=1,1,0),0)</f>
        <v>0</v>
      </c>
      <c r="BB329" s="55" t="str">
        <f>IF($BA329=1,SUMIFS($Q$6:$Q$1005,$A$6:$A$1005,$A329,$AS$6:$AS$1005,1),"")</f>
        <v/>
      </c>
      <c r="BC329" s="56">
        <f>IF(ISNUMBER($R329),1,0)</f>
        <v>0</v>
      </c>
      <c r="BD329" s="55" t="str">
        <f>IF(ISNUMBER($U329),$U329*$V329,"")</f>
        <v/>
      </c>
      <c r="BE329" s="56" t="str">
        <f>IF($AM329=0,"",IFERROR(MATCH($AF329&amp;"|"&amp;UPPER(TRIM($E329)),Lists!$A$6:$A$205,0),0))</f>
        <v/>
      </c>
      <c r="BF329" s="56" t="str">
        <f>IF($AM329=0,"",IFERROR(MATCH($AF329,Settings!$B$14:$B$18,0),IFERROR(MATCH(Settings!$C$6,Settings!$B$14:$B$18,0),1)))</f>
        <v/>
      </c>
      <c r="BG329" s="58" t="str">
        <f>IF($AM329=0,"",IF(NOT(ISNUMBER($I329)),"No stop; ","")&amp;IF(AND(ISNUMBER($H329),ISNUMBER($I329)),IF(OR(AND($F329&lt;&gt;"Short",$I329&gt;=$H329),AND($F329="Short",$I329&lt;=$H329)),"Stop on wrong side; ",""),"")&amp;IF($F329="","No direction; ","")&amp;IF(AND(ISNUMBER(Settings!$C$22),ISNUMBER($V329)),IF($V329&gt;Settings!$C$22,"Risk over max $; ",""),"")&amp;IF(AND(ISNUMBER(Settings!$C$23),ISNUMBER($V329),ISNUMBER($AP329),IFERROR(N(INDEX(Accounts!$E$7:$E$16,MATCH($C329,Accounts!$B$7:$B$16,0))),0)&gt;0),IF($V329&gt;Settings!$C$23*($AP329-N($Q329)),"Risk over max %; ",""),"")&amp;IF(AND(ISNUMBER(Settings!$C$24),ISNUMBER($N329)),IF($N329&gt;Settings!$C$24,"Leverage over max; ",""),"")&amp;IF(AND(ISNUMBER(Settings!$C$27),ISNUMBER($T329)),IF($T329&lt;Settings!$C$27,"R:R below min; ",""),"")&amp;IF(ISNUMBER(Settings!$C$25),IF(COUNTIFS($A$6:$A329,$A329,$AM$6:$AM329,1)&gt;Settings!$C$25,"Over max trades/day; ",""),"")&amp;IF(ISNUMBER(Settings!$C$26),IF(SUMIFS($Q$5:$Q328,$A$5:$A328,$A329)&lt;=-Settings!$C$26,"Traded after daily max loss; ",""),"")&amp;IF(AND($AG329="",NOT(ISNUMBER($O329))),"Symbol not in Instruments; ","")&amp;IF(AND($AH329="",NOT(ISNUMBER($O329))),"Forex cross: type Gross P&amp;L; ",""))</f>
        <v/>
      </c>
      <c r="BH329" s="56">
        <f>IF(ISNUMBER($Q329),1,0)</f>
        <v>0</v>
      </c>
      <c r="BI329" s="56">
        <f>IF($Y329="",0,1)</f>
        <v>0</v>
      </c>
      <c r="BJ329" s="56">
        <f>IF($AB329="",0,1)</f>
        <v>0</v>
      </c>
      <c r="BK329" s="56">
        <f>IF(AND($BH329=1,$W329&lt;&gt;"OK"),1,0)</f>
        <v>0</v>
      </c>
      <c r="BL329" s="55">
        <f>IF(N($AZ329)=0,0,IFERROR(INDEX($AT$6:$AT$1005,MATCH($AZ329,$AY$6:$AY$1005,0)),0))</f>
        <v>1187.10688</v>
      </c>
      <c r="BM329" s="56">
        <f>IF(ISNUMBER(SEARCH("daily max loss",$BG329)),1,0)</f>
        <v>0</v>
      </c>
    </row>
    <row r="330" ht="18" customHeight="1">
      <c r="A330" s="38" t="n"/>
      <c r="B330" s="39" t="n"/>
      <c r="C330" s="40" t="n"/>
      <c r="D330" s="41" t="n"/>
      <c r="E330" s="41" t="n"/>
      <c r="F330" s="41" t="n"/>
      <c r="G330" s="41" t="n"/>
      <c r="H330" s="42" t="n"/>
      <c r="I330" s="42" t="n"/>
      <c r="J330" s="42" t="n"/>
      <c r="K330" s="42" t="n"/>
      <c r="L330" s="41" t="n"/>
      <c r="M330" s="41" t="n"/>
      <c r="N330" s="41" t="n"/>
      <c r="O330" s="43" t="n"/>
      <c r="P330" s="43" t="n"/>
      <c r="Q330" s="44" t="str">
        <f>IF($AM330=0,"",IF(ISNUMBER($AK330),$AK330-N($AL330),""))</f>
        <v/>
      </c>
      <c r="R330" s="45" t="str">
        <f>IF(OR($Q330="",NOT(ISNUMBER($V330))),"",$AK330/$V330)</f>
        <v/>
      </c>
      <c r="S330" s="46" t="str">
        <f>IF($Q330="","",IF(AND(ISNUMBER($R330),ABS(N($R330))&lt;N(Settings!$C$8)),"Scratch",IF($Q330&gt;0,"Win",IF($Q330&lt;0,"Loss","Scratch"))))</f>
        <v/>
      </c>
      <c r="T330" s="47" t="str">
        <f>IF(OR($AM330=0,NOT(ISNUMBER($H330)),NOT(ISNUMBER($I330)),NOT(ISNUMBER($J330))),"",IF($H330=$I330,"",ROUND(ABS($J330-$H330)/ABS($H330-$I330),6)))</f>
        <v/>
      </c>
      <c r="U330" s="48" t="str">
        <f>IF(OR($S330&lt;&gt;"Win",NOT(ISNUMBER($T330)),NOT(ISNUMBER($R330))),"",MAX(0,$T330-$R330))</f>
        <v/>
      </c>
      <c r="V330" s="49" t="str">
        <f>IF(OR($AM330=0,NOT(ISNUMBER($H330)),NOT(ISNUMBER($I330)),NOT(ISNUMBER($G330))),"",IF(OR($AG330="",$AH330=""),"",IF(ROUND(ABS($H330-$I330)*ABS($G330)*$AG330*$AH330,6)=0,"",ROUND(ABS($H330-$I330)*ABS($G330)*$AG330*$AH330,6))))</f>
        <v/>
      </c>
      <c r="W330" s="50" t="str">
        <f>IF($AM330=0,"",IF($BG330="","OK",LEFT($BG330,LEN($BG330)-2)))</f>
        <v/>
      </c>
      <c r="X330" s="41" t="n"/>
      <c r="Y330" s="40" t="n"/>
      <c r="Z330" s="41" t="n"/>
      <c r="AA330" s="41" t="n"/>
      <c r="AB330" s="40" t="n"/>
      <c r="AC330" s="51" t="n"/>
      <c r="AD330" s="51" t="n"/>
      <c r="AE330" s="40" t="n"/>
      <c r="AF330" s="52" t="str">
        <f>IF($AM330=0,"",IF($D330&lt;&gt;"",$D330,IF(IFERROR(INDEX(Accounts!$C$7:$C$16,MATCH($C330,Accounts!$B$7:$B$16,0))&amp;"","")&lt;&gt;"",INDEX(Accounts!$C$7:$C$16,MATCH($C330,Accounts!$B$7:$B$16,0)),Settings!$C$6)))</f>
        <v/>
      </c>
      <c r="AG330" s="53" t="str">
        <f>IF($AM330=0,"",IF(AND($BE330&gt;0,N(INDEX(Instruments!$D$6:$D$205,MAX(1,$BE330)))&gt;0),INDEX(Instruments!$D$6:$D$205,MAX(1,$BE330)),IF(N(INDEX(Settings!$D$14:$D$18,$BF330))&gt;0,INDEX(Settings!$D$14:$D$18,$BF330),"")))</f>
        <v/>
      </c>
      <c r="AH330" s="54" t="str">
        <f>IF($AM330=0,"",IF($AF330&lt;&gt;"Forex",1,IF(MID(UPPER(SUBSTITUTE(TRIM($E330),"/","")),4,3)=UPPER(TRIM(Settings!$C$7)),1,IF(LEFT(UPPER(SUBSTITUTE(TRIM($E330),"/","")),3)=UPPER(TRIM(Settings!$C$7)),IF(AND(ISNUMBER($K330),N($K330)&lt;&gt;0),1/$K330,""),""))))</f>
        <v/>
      </c>
      <c r="AI330" s="55" t="str">
        <f>IF($AM330=0,"",IF(OR(NOT(ISNUMBER($H330)),NOT(ISNUMBER($K330)),NOT(ISNUMBER($G330)),$AG330="",$AH330=""),"",ROUND(($K330-$H330)*IF($F330="Short",-1,1)*$G330*$AG330*$AH330,6)))</f>
        <v/>
      </c>
      <c r="AJ330" s="55" t="str">
        <f>IF($AM330=0,"",IF(INDEX(Settings!$E$14:$E$18,$BF330)="% of notional",IF(OR($AG330="",NOT(ISNUMBER($H330)),NOT(ISNUMBER($G330))),"",ROUND(ABS($H330*$G330*$AG330*N($AH330))*IF($L330="Limit",N(INDEX(Settings!$G$14:$G$18,$BF330)),N(INDEX(Settings!$H$14:$H$18,$BF330)))+IF(ISNUMBER($K330),ABS($K330*$G330*$AG330*N($AH330))*IF($M330="Target",N(INDEX(Settings!$G$14:$G$18,$BF330)),N(INDEX(Settings!$H$14:$H$18,$BF330))),0),6)),IF(NOT(ISNUMBER($G330)),"",ROUND(ABS($G330)*2*IF(AND($BE330&gt;0,ISNUMBER(INDEX(Instruments!$G$6:$G$205,MAX(1,$BE330)))),INDEX(Instruments!$G$6:$G$205,MAX(1,$BE330)),N(INDEX(Settings!$F$14:$F$18,$BF330))),6))))</f>
        <v/>
      </c>
      <c r="AK330" s="55" t="str">
        <f>IF($AM330=0,"",IF(ISNUMBER($O330),$O330,$AI330))</f>
        <v/>
      </c>
      <c r="AL330" s="55" t="str">
        <f>IF($AM330=0,"",IF(ISNUMBER($P330),$P330,N($AJ330)))</f>
        <v/>
      </c>
      <c r="AM330" s="56">
        <f>IF(AND($A330&lt;&gt;"",$E330&lt;&gt;"",OR(AND(ISNUMBER($G330),ISNUMBER($H330),ISNUMBER($K330)),ISNUMBER($O330))),1,0)</f>
        <v>0</v>
      </c>
      <c r="AN330" s="57" t="str">
        <f>IF($A330="","",$A330-WEEKDAY($A330,3))</f>
        <v/>
      </c>
      <c r="AO330" s="56" t="str">
        <f>IF($A330="","",WEEKDAY($A330,2))</f>
        <v/>
      </c>
      <c r="AP330" s="55" t="str">
        <f>IF(OR($AM330=0,$C330=""),"",IFERROR(N(INDEX(Accounts!$E$7:$E$16,MATCH($C330,Accounts!$B$7:$B$16,0))),0)+SUMIFS($Q$6:$Q330,$C$6:$C330,$C330))</f>
        <v/>
      </c>
      <c r="AQ330" s="55" t="str">
        <f>IF(OR($AM330=0,$C330=""),"",SUMIFS($Q$6:$Q$1005,$C$6:$C$1005,$C330,$A$6:$A$1005,$A330))</f>
        <v/>
      </c>
      <c r="AR330" s="55" t="str">
        <f>IF(OR($AM330=0,$C330=""),"",IFERROR(N(INDEX(Accounts!$E$7:$E$16,MATCH($C330,Accounts!$B$7:$B$16,0))),0)+SUMIFS($Q$6:$Q$1005,$C$6:$C$1005,$C330,$A$6:$A$1005,"&lt;="&amp;$A330))</f>
        <v/>
      </c>
      <c r="AS330" s="56">
        <f>IF(OR($AM330=0,$Q330=""),0,IF(AND($A330&gt;=Lists!$W$6,$A330&lt;=Lists!$W$7,OR(Dashboard!$D$6="All accounts",$C330=Dashboard!$D$6),OR(Dashboard!$D$7="All markets",$AF330=Dashboard!$D$7)),1,0))</f>
        <v>0</v>
      </c>
      <c r="AT330" s="55">
        <f>IF($AS330=1,N(AT329)+$Q330,N(AT329))</f>
        <v>1187.10688</v>
      </c>
      <c r="AU330" s="55">
        <f>MAX(N(AU329),$AT330)</f>
        <v>1187.10688</v>
      </c>
      <c r="AV330" s="55">
        <f>$AT330-$AU330</f>
        <v>0</v>
      </c>
      <c r="AW330" s="56">
        <f>IF($AS330=1,IF($S330="Win",N(AW329)+1,IF($S330="Loss",0,N(AW329))),N(AW329))</f>
        <v>5</v>
      </c>
      <c r="AX330" s="56">
        <f>IF($AS330=1,IF($S330="Loss",N(AX329)+1,IF($S330="Win",0,N(AX329))),N(AX329))</f>
        <v>0</v>
      </c>
      <c r="AY330" s="56" t="str">
        <f>IF($AS330=1,COUNTIF($AS$6:$AS330,1),"")</f>
        <v/>
      </c>
      <c r="AZ330" s="56">
        <f>MIN(324,N(Lists!$W$8))</f>
        <v>28</v>
      </c>
      <c r="BA330" s="56">
        <f>IF($AS330=1,IF(COUNTIFS($A$6:$A330,$A330,$AS$6:$AS330,1)=1,1,0),0)</f>
        <v>0</v>
      </c>
      <c r="BB330" s="55" t="str">
        <f>IF($BA330=1,SUMIFS($Q$6:$Q$1005,$A$6:$A$1005,$A330,$AS$6:$AS$1005,1),"")</f>
        <v/>
      </c>
      <c r="BC330" s="56">
        <f>IF(ISNUMBER($R330),1,0)</f>
        <v>0</v>
      </c>
      <c r="BD330" s="55" t="str">
        <f>IF(ISNUMBER($U330),$U330*$V330,"")</f>
        <v/>
      </c>
      <c r="BE330" s="56" t="str">
        <f>IF($AM330=0,"",IFERROR(MATCH($AF330&amp;"|"&amp;UPPER(TRIM($E330)),Lists!$A$6:$A$205,0),0))</f>
        <v/>
      </c>
      <c r="BF330" s="56" t="str">
        <f>IF($AM330=0,"",IFERROR(MATCH($AF330,Settings!$B$14:$B$18,0),IFERROR(MATCH(Settings!$C$6,Settings!$B$14:$B$18,0),1)))</f>
        <v/>
      </c>
      <c r="BG330" s="58" t="str">
        <f>IF($AM330=0,"",IF(NOT(ISNUMBER($I330)),"No stop; ","")&amp;IF(AND(ISNUMBER($H330),ISNUMBER($I330)),IF(OR(AND($F330&lt;&gt;"Short",$I330&gt;=$H330),AND($F330="Short",$I330&lt;=$H330)),"Stop on wrong side; ",""),"")&amp;IF($F330="","No direction; ","")&amp;IF(AND(ISNUMBER(Settings!$C$22),ISNUMBER($V330)),IF($V330&gt;Settings!$C$22,"Risk over max $; ",""),"")&amp;IF(AND(ISNUMBER(Settings!$C$23),ISNUMBER($V330),ISNUMBER($AP330),IFERROR(N(INDEX(Accounts!$E$7:$E$16,MATCH($C330,Accounts!$B$7:$B$16,0))),0)&gt;0),IF($V330&gt;Settings!$C$23*($AP330-N($Q330)),"Risk over max %; ",""),"")&amp;IF(AND(ISNUMBER(Settings!$C$24),ISNUMBER($N330)),IF($N330&gt;Settings!$C$24,"Leverage over max; ",""),"")&amp;IF(AND(ISNUMBER(Settings!$C$27),ISNUMBER($T330)),IF($T330&lt;Settings!$C$27,"R:R below min; ",""),"")&amp;IF(ISNUMBER(Settings!$C$25),IF(COUNTIFS($A$6:$A330,$A330,$AM$6:$AM330,1)&gt;Settings!$C$25,"Over max trades/day; ",""),"")&amp;IF(ISNUMBER(Settings!$C$26),IF(SUMIFS($Q$5:$Q329,$A$5:$A329,$A330)&lt;=-Settings!$C$26,"Traded after daily max loss; ",""),"")&amp;IF(AND($AG330="",NOT(ISNUMBER($O330))),"Symbol not in Instruments; ","")&amp;IF(AND($AH330="",NOT(ISNUMBER($O330))),"Forex cross: type Gross P&amp;L; ",""))</f>
        <v/>
      </c>
      <c r="BH330" s="56">
        <f>IF(ISNUMBER($Q330),1,0)</f>
        <v>0</v>
      </c>
      <c r="BI330" s="56">
        <f>IF($Y330="",0,1)</f>
        <v>0</v>
      </c>
      <c r="BJ330" s="56">
        <f>IF($AB330="",0,1)</f>
        <v>0</v>
      </c>
      <c r="BK330" s="56">
        <f>IF(AND($BH330=1,$W330&lt;&gt;"OK"),1,0)</f>
        <v>0</v>
      </c>
      <c r="BL330" s="55">
        <f>IF(N($AZ330)=0,0,IFERROR(INDEX($AT$6:$AT$1005,MATCH($AZ330,$AY$6:$AY$1005,0)),0))</f>
        <v>1187.10688</v>
      </c>
      <c r="BM330" s="56">
        <f>IF(ISNUMBER(SEARCH("daily max loss",$BG330)),1,0)</f>
        <v>0</v>
      </c>
    </row>
    <row r="331" ht="18" customHeight="1">
      <c r="A331" s="38" t="n"/>
      <c r="B331" s="39" t="n"/>
      <c r="C331" s="40" t="n"/>
      <c r="D331" s="41" t="n"/>
      <c r="E331" s="41" t="n"/>
      <c r="F331" s="41" t="n"/>
      <c r="G331" s="41" t="n"/>
      <c r="H331" s="42" t="n"/>
      <c r="I331" s="42" t="n"/>
      <c r="J331" s="42" t="n"/>
      <c r="K331" s="42" t="n"/>
      <c r="L331" s="41" t="n"/>
      <c r="M331" s="41" t="n"/>
      <c r="N331" s="41" t="n"/>
      <c r="O331" s="43" t="n"/>
      <c r="P331" s="43" t="n"/>
      <c r="Q331" s="44" t="str">
        <f>IF($AM331=0,"",IF(ISNUMBER($AK331),$AK331-N($AL331),""))</f>
        <v/>
      </c>
      <c r="R331" s="45" t="str">
        <f>IF(OR($Q331="",NOT(ISNUMBER($V331))),"",$AK331/$V331)</f>
        <v/>
      </c>
      <c r="S331" s="46" t="str">
        <f>IF($Q331="","",IF(AND(ISNUMBER($R331),ABS(N($R331))&lt;N(Settings!$C$8)),"Scratch",IF($Q331&gt;0,"Win",IF($Q331&lt;0,"Loss","Scratch"))))</f>
        <v/>
      </c>
      <c r="T331" s="47" t="str">
        <f>IF(OR($AM331=0,NOT(ISNUMBER($H331)),NOT(ISNUMBER($I331)),NOT(ISNUMBER($J331))),"",IF($H331=$I331,"",ROUND(ABS($J331-$H331)/ABS($H331-$I331),6)))</f>
        <v/>
      </c>
      <c r="U331" s="48" t="str">
        <f>IF(OR($S331&lt;&gt;"Win",NOT(ISNUMBER($T331)),NOT(ISNUMBER($R331))),"",MAX(0,$T331-$R331))</f>
        <v/>
      </c>
      <c r="V331" s="49" t="str">
        <f>IF(OR($AM331=0,NOT(ISNUMBER($H331)),NOT(ISNUMBER($I331)),NOT(ISNUMBER($G331))),"",IF(OR($AG331="",$AH331=""),"",IF(ROUND(ABS($H331-$I331)*ABS($G331)*$AG331*$AH331,6)=0,"",ROUND(ABS($H331-$I331)*ABS($G331)*$AG331*$AH331,6))))</f>
        <v/>
      </c>
      <c r="W331" s="50" t="str">
        <f>IF($AM331=0,"",IF($BG331="","OK",LEFT($BG331,LEN($BG331)-2)))</f>
        <v/>
      </c>
      <c r="X331" s="41" t="n"/>
      <c r="Y331" s="40" t="n"/>
      <c r="Z331" s="41" t="n"/>
      <c r="AA331" s="41" t="n"/>
      <c r="AB331" s="40" t="n"/>
      <c r="AC331" s="51" t="n"/>
      <c r="AD331" s="51" t="n"/>
      <c r="AE331" s="40" t="n"/>
      <c r="AF331" s="52" t="str">
        <f>IF($AM331=0,"",IF($D331&lt;&gt;"",$D331,IF(IFERROR(INDEX(Accounts!$C$7:$C$16,MATCH($C331,Accounts!$B$7:$B$16,0))&amp;"","")&lt;&gt;"",INDEX(Accounts!$C$7:$C$16,MATCH($C331,Accounts!$B$7:$B$16,0)),Settings!$C$6)))</f>
        <v/>
      </c>
      <c r="AG331" s="53" t="str">
        <f>IF($AM331=0,"",IF(AND($BE331&gt;0,N(INDEX(Instruments!$D$6:$D$205,MAX(1,$BE331)))&gt;0),INDEX(Instruments!$D$6:$D$205,MAX(1,$BE331)),IF(N(INDEX(Settings!$D$14:$D$18,$BF331))&gt;0,INDEX(Settings!$D$14:$D$18,$BF331),"")))</f>
        <v/>
      </c>
      <c r="AH331" s="54" t="str">
        <f>IF($AM331=0,"",IF($AF331&lt;&gt;"Forex",1,IF(MID(UPPER(SUBSTITUTE(TRIM($E331),"/","")),4,3)=UPPER(TRIM(Settings!$C$7)),1,IF(LEFT(UPPER(SUBSTITUTE(TRIM($E331),"/","")),3)=UPPER(TRIM(Settings!$C$7)),IF(AND(ISNUMBER($K331),N($K331)&lt;&gt;0),1/$K331,""),""))))</f>
        <v/>
      </c>
      <c r="AI331" s="55" t="str">
        <f>IF($AM331=0,"",IF(OR(NOT(ISNUMBER($H331)),NOT(ISNUMBER($K331)),NOT(ISNUMBER($G331)),$AG331="",$AH331=""),"",ROUND(($K331-$H331)*IF($F331="Short",-1,1)*$G331*$AG331*$AH331,6)))</f>
        <v/>
      </c>
      <c r="AJ331" s="55" t="str">
        <f>IF($AM331=0,"",IF(INDEX(Settings!$E$14:$E$18,$BF331)="% of notional",IF(OR($AG331="",NOT(ISNUMBER($H331)),NOT(ISNUMBER($G331))),"",ROUND(ABS($H331*$G331*$AG331*N($AH331))*IF($L331="Limit",N(INDEX(Settings!$G$14:$G$18,$BF331)),N(INDEX(Settings!$H$14:$H$18,$BF331)))+IF(ISNUMBER($K331),ABS($K331*$G331*$AG331*N($AH331))*IF($M331="Target",N(INDEX(Settings!$G$14:$G$18,$BF331)),N(INDEX(Settings!$H$14:$H$18,$BF331))),0),6)),IF(NOT(ISNUMBER($G331)),"",ROUND(ABS($G331)*2*IF(AND($BE331&gt;0,ISNUMBER(INDEX(Instruments!$G$6:$G$205,MAX(1,$BE331)))),INDEX(Instruments!$G$6:$G$205,MAX(1,$BE331)),N(INDEX(Settings!$F$14:$F$18,$BF331))),6))))</f>
        <v/>
      </c>
      <c r="AK331" s="55" t="str">
        <f>IF($AM331=0,"",IF(ISNUMBER($O331),$O331,$AI331))</f>
        <v/>
      </c>
      <c r="AL331" s="55" t="str">
        <f>IF($AM331=0,"",IF(ISNUMBER($P331),$P331,N($AJ331)))</f>
        <v/>
      </c>
      <c r="AM331" s="56">
        <f>IF(AND($A331&lt;&gt;"",$E331&lt;&gt;"",OR(AND(ISNUMBER($G331),ISNUMBER($H331),ISNUMBER($K331)),ISNUMBER($O331))),1,0)</f>
        <v>0</v>
      </c>
      <c r="AN331" s="57" t="str">
        <f>IF($A331="","",$A331-WEEKDAY($A331,3))</f>
        <v/>
      </c>
      <c r="AO331" s="56" t="str">
        <f>IF($A331="","",WEEKDAY($A331,2))</f>
        <v/>
      </c>
      <c r="AP331" s="55" t="str">
        <f>IF(OR($AM331=0,$C331=""),"",IFERROR(N(INDEX(Accounts!$E$7:$E$16,MATCH($C331,Accounts!$B$7:$B$16,0))),0)+SUMIFS($Q$6:$Q331,$C$6:$C331,$C331))</f>
        <v/>
      </c>
      <c r="AQ331" s="55" t="str">
        <f>IF(OR($AM331=0,$C331=""),"",SUMIFS($Q$6:$Q$1005,$C$6:$C$1005,$C331,$A$6:$A$1005,$A331))</f>
        <v/>
      </c>
      <c r="AR331" s="55" t="str">
        <f>IF(OR($AM331=0,$C331=""),"",IFERROR(N(INDEX(Accounts!$E$7:$E$16,MATCH($C331,Accounts!$B$7:$B$16,0))),0)+SUMIFS($Q$6:$Q$1005,$C$6:$C$1005,$C331,$A$6:$A$1005,"&lt;="&amp;$A331))</f>
        <v/>
      </c>
      <c r="AS331" s="56">
        <f>IF(OR($AM331=0,$Q331=""),0,IF(AND($A331&gt;=Lists!$W$6,$A331&lt;=Lists!$W$7,OR(Dashboard!$D$6="All accounts",$C331=Dashboard!$D$6),OR(Dashboard!$D$7="All markets",$AF331=Dashboard!$D$7)),1,0))</f>
        <v>0</v>
      </c>
      <c r="AT331" s="55">
        <f>IF($AS331=1,N(AT330)+$Q331,N(AT330))</f>
        <v>1187.10688</v>
      </c>
      <c r="AU331" s="55">
        <f>MAX(N(AU330),$AT331)</f>
        <v>1187.10688</v>
      </c>
      <c r="AV331" s="55">
        <f>$AT331-$AU331</f>
        <v>0</v>
      </c>
      <c r="AW331" s="56">
        <f>IF($AS331=1,IF($S331="Win",N(AW330)+1,IF($S331="Loss",0,N(AW330))),N(AW330))</f>
        <v>5</v>
      </c>
      <c r="AX331" s="56">
        <f>IF($AS331=1,IF($S331="Loss",N(AX330)+1,IF($S331="Win",0,N(AX330))),N(AX330))</f>
        <v>0</v>
      </c>
      <c r="AY331" s="56" t="str">
        <f>IF($AS331=1,COUNTIF($AS$6:$AS331,1),"")</f>
        <v/>
      </c>
      <c r="AZ331" s="56">
        <f>MIN(325,N(Lists!$W$8))</f>
        <v>28</v>
      </c>
      <c r="BA331" s="56">
        <f>IF($AS331=1,IF(COUNTIFS($A$6:$A331,$A331,$AS$6:$AS331,1)=1,1,0),0)</f>
        <v>0</v>
      </c>
      <c r="BB331" s="55" t="str">
        <f>IF($BA331=1,SUMIFS($Q$6:$Q$1005,$A$6:$A$1005,$A331,$AS$6:$AS$1005,1),"")</f>
        <v/>
      </c>
      <c r="BC331" s="56">
        <f>IF(ISNUMBER($R331),1,0)</f>
        <v>0</v>
      </c>
      <c r="BD331" s="55" t="str">
        <f>IF(ISNUMBER($U331),$U331*$V331,"")</f>
        <v/>
      </c>
      <c r="BE331" s="56" t="str">
        <f>IF($AM331=0,"",IFERROR(MATCH($AF331&amp;"|"&amp;UPPER(TRIM($E331)),Lists!$A$6:$A$205,0),0))</f>
        <v/>
      </c>
      <c r="BF331" s="56" t="str">
        <f>IF($AM331=0,"",IFERROR(MATCH($AF331,Settings!$B$14:$B$18,0),IFERROR(MATCH(Settings!$C$6,Settings!$B$14:$B$18,0),1)))</f>
        <v/>
      </c>
      <c r="BG331" s="58" t="str">
        <f>IF($AM331=0,"",IF(NOT(ISNUMBER($I331)),"No stop; ","")&amp;IF(AND(ISNUMBER($H331),ISNUMBER($I331)),IF(OR(AND($F331&lt;&gt;"Short",$I331&gt;=$H331),AND($F331="Short",$I331&lt;=$H331)),"Stop on wrong side; ",""),"")&amp;IF($F331="","No direction; ","")&amp;IF(AND(ISNUMBER(Settings!$C$22),ISNUMBER($V331)),IF($V331&gt;Settings!$C$22,"Risk over max $; ",""),"")&amp;IF(AND(ISNUMBER(Settings!$C$23),ISNUMBER($V331),ISNUMBER($AP331),IFERROR(N(INDEX(Accounts!$E$7:$E$16,MATCH($C331,Accounts!$B$7:$B$16,0))),0)&gt;0),IF($V331&gt;Settings!$C$23*($AP331-N($Q331)),"Risk over max %; ",""),"")&amp;IF(AND(ISNUMBER(Settings!$C$24),ISNUMBER($N331)),IF($N331&gt;Settings!$C$24,"Leverage over max; ",""),"")&amp;IF(AND(ISNUMBER(Settings!$C$27),ISNUMBER($T331)),IF($T331&lt;Settings!$C$27,"R:R below min; ",""),"")&amp;IF(ISNUMBER(Settings!$C$25),IF(COUNTIFS($A$6:$A331,$A331,$AM$6:$AM331,1)&gt;Settings!$C$25,"Over max trades/day; ",""),"")&amp;IF(ISNUMBER(Settings!$C$26),IF(SUMIFS($Q$5:$Q330,$A$5:$A330,$A331)&lt;=-Settings!$C$26,"Traded after daily max loss; ",""),"")&amp;IF(AND($AG331="",NOT(ISNUMBER($O331))),"Symbol not in Instruments; ","")&amp;IF(AND($AH331="",NOT(ISNUMBER($O331))),"Forex cross: type Gross P&amp;L; ",""))</f>
        <v/>
      </c>
      <c r="BH331" s="56">
        <f>IF(ISNUMBER($Q331),1,0)</f>
        <v>0</v>
      </c>
      <c r="BI331" s="56">
        <f>IF($Y331="",0,1)</f>
        <v>0</v>
      </c>
      <c r="BJ331" s="56">
        <f>IF($AB331="",0,1)</f>
        <v>0</v>
      </c>
      <c r="BK331" s="56">
        <f>IF(AND($BH331=1,$W331&lt;&gt;"OK"),1,0)</f>
        <v>0</v>
      </c>
      <c r="BL331" s="55">
        <f>IF(N($AZ331)=0,0,IFERROR(INDEX($AT$6:$AT$1005,MATCH($AZ331,$AY$6:$AY$1005,0)),0))</f>
        <v>1187.10688</v>
      </c>
      <c r="BM331" s="56">
        <f>IF(ISNUMBER(SEARCH("daily max loss",$BG331)),1,0)</f>
        <v>0</v>
      </c>
    </row>
    <row r="332" ht="18" customHeight="1">
      <c r="A332" s="38" t="n"/>
      <c r="B332" s="39" t="n"/>
      <c r="C332" s="40" t="n"/>
      <c r="D332" s="41" t="n"/>
      <c r="E332" s="41" t="n"/>
      <c r="F332" s="41" t="n"/>
      <c r="G332" s="41" t="n"/>
      <c r="H332" s="42" t="n"/>
      <c r="I332" s="42" t="n"/>
      <c r="J332" s="42" t="n"/>
      <c r="K332" s="42" t="n"/>
      <c r="L332" s="41" t="n"/>
      <c r="M332" s="41" t="n"/>
      <c r="N332" s="41" t="n"/>
      <c r="O332" s="43" t="n"/>
      <c r="P332" s="43" t="n"/>
      <c r="Q332" s="44" t="str">
        <f>IF($AM332=0,"",IF(ISNUMBER($AK332),$AK332-N($AL332),""))</f>
        <v/>
      </c>
      <c r="R332" s="45" t="str">
        <f>IF(OR($Q332="",NOT(ISNUMBER($V332))),"",$AK332/$V332)</f>
        <v/>
      </c>
      <c r="S332" s="46" t="str">
        <f>IF($Q332="","",IF(AND(ISNUMBER($R332),ABS(N($R332))&lt;N(Settings!$C$8)),"Scratch",IF($Q332&gt;0,"Win",IF($Q332&lt;0,"Loss","Scratch"))))</f>
        <v/>
      </c>
      <c r="T332" s="47" t="str">
        <f>IF(OR($AM332=0,NOT(ISNUMBER($H332)),NOT(ISNUMBER($I332)),NOT(ISNUMBER($J332))),"",IF($H332=$I332,"",ROUND(ABS($J332-$H332)/ABS($H332-$I332),6)))</f>
        <v/>
      </c>
      <c r="U332" s="48" t="str">
        <f>IF(OR($S332&lt;&gt;"Win",NOT(ISNUMBER($T332)),NOT(ISNUMBER($R332))),"",MAX(0,$T332-$R332))</f>
        <v/>
      </c>
      <c r="V332" s="49" t="str">
        <f>IF(OR($AM332=0,NOT(ISNUMBER($H332)),NOT(ISNUMBER($I332)),NOT(ISNUMBER($G332))),"",IF(OR($AG332="",$AH332=""),"",IF(ROUND(ABS($H332-$I332)*ABS($G332)*$AG332*$AH332,6)=0,"",ROUND(ABS($H332-$I332)*ABS($G332)*$AG332*$AH332,6))))</f>
        <v/>
      </c>
      <c r="W332" s="50" t="str">
        <f>IF($AM332=0,"",IF($BG332="","OK",LEFT($BG332,LEN($BG332)-2)))</f>
        <v/>
      </c>
      <c r="X332" s="41" t="n"/>
      <c r="Y332" s="40" t="n"/>
      <c r="Z332" s="41" t="n"/>
      <c r="AA332" s="41" t="n"/>
      <c r="AB332" s="40" t="n"/>
      <c r="AC332" s="51" t="n"/>
      <c r="AD332" s="51" t="n"/>
      <c r="AE332" s="40" t="n"/>
      <c r="AF332" s="52" t="str">
        <f>IF($AM332=0,"",IF($D332&lt;&gt;"",$D332,IF(IFERROR(INDEX(Accounts!$C$7:$C$16,MATCH($C332,Accounts!$B$7:$B$16,0))&amp;"","")&lt;&gt;"",INDEX(Accounts!$C$7:$C$16,MATCH($C332,Accounts!$B$7:$B$16,0)),Settings!$C$6)))</f>
        <v/>
      </c>
      <c r="AG332" s="53" t="str">
        <f>IF($AM332=0,"",IF(AND($BE332&gt;0,N(INDEX(Instruments!$D$6:$D$205,MAX(1,$BE332)))&gt;0),INDEX(Instruments!$D$6:$D$205,MAX(1,$BE332)),IF(N(INDEX(Settings!$D$14:$D$18,$BF332))&gt;0,INDEX(Settings!$D$14:$D$18,$BF332),"")))</f>
        <v/>
      </c>
      <c r="AH332" s="54" t="str">
        <f>IF($AM332=0,"",IF($AF332&lt;&gt;"Forex",1,IF(MID(UPPER(SUBSTITUTE(TRIM($E332),"/","")),4,3)=UPPER(TRIM(Settings!$C$7)),1,IF(LEFT(UPPER(SUBSTITUTE(TRIM($E332),"/","")),3)=UPPER(TRIM(Settings!$C$7)),IF(AND(ISNUMBER($K332),N($K332)&lt;&gt;0),1/$K332,""),""))))</f>
        <v/>
      </c>
      <c r="AI332" s="55" t="str">
        <f>IF($AM332=0,"",IF(OR(NOT(ISNUMBER($H332)),NOT(ISNUMBER($K332)),NOT(ISNUMBER($G332)),$AG332="",$AH332=""),"",ROUND(($K332-$H332)*IF($F332="Short",-1,1)*$G332*$AG332*$AH332,6)))</f>
        <v/>
      </c>
      <c r="AJ332" s="55" t="str">
        <f>IF($AM332=0,"",IF(INDEX(Settings!$E$14:$E$18,$BF332)="% of notional",IF(OR($AG332="",NOT(ISNUMBER($H332)),NOT(ISNUMBER($G332))),"",ROUND(ABS($H332*$G332*$AG332*N($AH332))*IF($L332="Limit",N(INDEX(Settings!$G$14:$G$18,$BF332)),N(INDEX(Settings!$H$14:$H$18,$BF332)))+IF(ISNUMBER($K332),ABS($K332*$G332*$AG332*N($AH332))*IF($M332="Target",N(INDEX(Settings!$G$14:$G$18,$BF332)),N(INDEX(Settings!$H$14:$H$18,$BF332))),0),6)),IF(NOT(ISNUMBER($G332)),"",ROUND(ABS($G332)*2*IF(AND($BE332&gt;0,ISNUMBER(INDEX(Instruments!$G$6:$G$205,MAX(1,$BE332)))),INDEX(Instruments!$G$6:$G$205,MAX(1,$BE332)),N(INDEX(Settings!$F$14:$F$18,$BF332))),6))))</f>
        <v/>
      </c>
      <c r="AK332" s="55" t="str">
        <f>IF($AM332=0,"",IF(ISNUMBER($O332),$O332,$AI332))</f>
        <v/>
      </c>
      <c r="AL332" s="55" t="str">
        <f>IF($AM332=0,"",IF(ISNUMBER($P332),$P332,N($AJ332)))</f>
        <v/>
      </c>
      <c r="AM332" s="56">
        <f>IF(AND($A332&lt;&gt;"",$E332&lt;&gt;"",OR(AND(ISNUMBER($G332),ISNUMBER($H332),ISNUMBER($K332)),ISNUMBER($O332))),1,0)</f>
        <v>0</v>
      </c>
      <c r="AN332" s="57" t="str">
        <f>IF($A332="","",$A332-WEEKDAY($A332,3))</f>
        <v/>
      </c>
      <c r="AO332" s="56" t="str">
        <f>IF($A332="","",WEEKDAY($A332,2))</f>
        <v/>
      </c>
      <c r="AP332" s="55" t="str">
        <f>IF(OR($AM332=0,$C332=""),"",IFERROR(N(INDEX(Accounts!$E$7:$E$16,MATCH($C332,Accounts!$B$7:$B$16,0))),0)+SUMIFS($Q$6:$Q332,$C$6:$C332,$C332))</f>
        <v/>
      </c>
      <c r="AQ332" s="55" t="str">
        <f>IF(OR($AM332=0,$C332=""),"",SUMIFS($Q$6:$Q$1005,$C$6:$C$1005,$C332,$A$6:$A$1005,$A332))</f>
        <v/>
      </c>
      <c r="AR332" s="55" t="str">
        <f>IF(OR($AM332=0,$C332=""),"",IFERROR(N(INDEX(Accounts!$E$7:$E$16,MATCH($C332,Accounts!$B$7:$B$16,0))),0)+SUMIFS($Q$6:$Q$1005,$C$6:$C$1005,$C332,$A$6:$A$1005,"&lt;="&amp;$A332))</f>
        <v/>
      </c>
      <c r="AS332" s="56">
        <f>IF(OR($AM332=0,$Q332=""),0,IF(AND($A332&gt;=Lists!$W$6,$A332&lt;=Lists!$W$7,OR(Dashboard!$D$6="All accounts",$C332=Dashboard!$D$6),OR(Dashboard!$D$7="All markets",$AF332=Dashboard!$D$7)),1,0))</f>
        <v>0</v>
      </c>
      <c r="AT332" s="55">
        <f>IF($AS332=1,N(AT331)+$Q332,N(AT331))</f>
        <v>1187.10688</v>
      </c>
      <c r="AU332" s="55">
        <f>MAX(N(AU331),$AT332)</f>
        <v>1187.10688</v>
      </c>
      <c r="AV332" s="55">
        <f>$AT332-$AU332</f>
        <v>0</v>
      </c>
      <c r="AW332" s="56">
        <f>IF($AS332=1,IF($S332="Win",N(AW331)+1,IF($S332="Loss",0,N(AW331))),N(AW331))</f>
        <v>5</v>
      </c>
      <c r="AX332" s="56">
        <f>IF($AS332=1,IF($S332="Loss",N(AX331)+1,IF($S332="Win",0,N(AX331))),N(AX331))</f>
        <v>0</v>
      </c>
      <c r="AY332" s="56" t="str">
        <f>IF($AS332=1,COUNTIF($AS$6:$AS332,1),"")</f>
        <v/>
      </c>
      <c r="AZ332" s="56">
        <f>MIN(326,N(Lists!$W$8))</f>
        <v>28</v>
      </c>
      <c r="BA332" s="56">
        <f>IF($AS332=1,IF(COUNTIFS($A$6:$A332,$A332,$AS$6:$AS332,1)=1,1,0),0)</f>
        <v>0</v>
      </c>
      <c r="BB332" s="55" t="str">
        <f>IF($BA332=1,SUMIFS($Q$6:$Q$1005,$A$6:$A$1005,$A332,$AS$6:$AS$1005,1),"")</f>
        <v/>
      </c>
      <c r="BC332" s="56">
        <f>IF(ISNUMBER($R332),1,0)</f>
        <v>0</v>
      </c>
      <c r="BD332" s="55" t="str">
        <f>IF(ISNUMBER($U332),$U332*$V332,"")</f>
        <v/>
      </c>
      <c r="BE332" s="56" t="str">
        <f>IF($AM332=0,"",IFERROR(MATCH($AF332&amp;"|"&amp;UPPER(TRIM($E332)),Lists!$A$6:$A$205,0),0))</f>
        <v/>
      </c>
      <c r="BF332" s="56" t="str">
        <f>IF($AM332=0,"",IFERROR(MATCH($AF332,Settings!$B$14:$B$18,0),IFERROR(MATCH(Settings!$C$6,Settings!$B$14:$B$18,0),1)))</f>
        <v/>
      </c>
      <c r="BG332" s="58" t="str">
        <f>IF($AM332=0,"",IF(NOT(ISNUMBER($I332)),"No stop; ","")&amp;IF(AND(ISNUMBER($H332),ISNUMBER($I332)),IF(OR(AND($F332&lt;&gt;"Short",$I332&gt;=$H332),AND($F332="Short",$I332&lt;=$H332)),"Stop on wrong side; ",""),"")&amp;IF($F332="","No direction; ","")&amp;IF(AND(ISNUMBER(Settings!$C$22),ISNUMBER($V332)),IF($V332&gt;Settings!$C$22,"Risk over max $; ",""),"")&amp;IF(AND(ISNUMBER(Settings!$C$23),ISNUMBER($V332),ISNUMBER($AP332),IFERROR(N(INDEX(Accounts!$E$7:$E$16,MATCH($C332,Accounts!$B$7:$B$16,0))),0)&gt;0),IF($V332&gt;Settings!$C$23*($AP332-N($Q332)),"Risk over max %; ",""),"")&amp;IF(AND(ISNUMBER(Settings!$C$24),ISNUMBER($N332)),IF($N332&gt;Settings!$C$24,"Leverage over max; ",""),"")&amp;IF(AND(ISNUMBER(Settings!$C$27),ISNUMBER($T332)),IF($T332&lt;Settings!$C$27,"R:R below min; ",""),"")&amp;IF(ISNUMBER(Settings!$C$25),IF(COUNTIFS($A$6:$A332,$A332,$AM$6:$AM332,1)&gt;Settings!$C$25,"Over max trades/day; ",""),"")&amp;IF(ISNUMBER(Settings!$C$26),IF(SUMIFS($Q$5:$Q331,$A$5:$A331,$A332)&lt;=-Settings!$C$26,"Traded after daily max loss; ",""),"")&amp;IF(AND($AG332="",NOT(ISNUMBER($O332))),"Symbol not in Instruments; ","")&amp;IF(AND($AH332="",NOT(ISNUMBER($O332))),"Forex cross: type Gross P&amp;L; ",""))</f>
        <v/>
      </c>
      <c r="BH332" s="56">
        <f>IF(ISNUMBER($Q332),1,0)</f>
        <v>0</v>
      </c>
      <c r="BI332" s="56">
        <f>IF($Y332="",0,1)</f>
        <v>0</v>
      </c>
      <c r="BJ332" s="56">
        <f>IF($AB332="",0,1)</f>
        <v>0</v>
      </c>
      <c r="BK332" s="56">
        <f>IF(AND($BH332=1,$W332&lt;&gt;"OK"),1,0)</f>
        <v>0</v>
      </c>
      <c r="BL332" s="55">
        <f>IF(N($AZ332)=0,0,IFERROR(INDEX($AT$6:$AT$1005,MATCH($AZ332,$AY$6:$AY$1005,0)),0))</f>
        <v>1187.10688</v>
      </c>
      <c r="BM332" s="56">
        <f>IF(ISNUMBER(SEARCH("daily max loss",$BG332)),1,0)</f>
        <v>0</v>
      </c>
    </row>
    <row r="333" ht="18" customHeight="1">
      <c r="A333" s="38" t="n"/>
      <c r="B333" s="39" t="n"/>
      <c r="C333" s="40" t="n"/>
      <c r="D333" s="41" t="n"/>
      <c r="E333" s="41" t="n"/>
      <c r="F333" s="41" t="n"/>
      <c r="G333" s="41" t="n"/>
      <c r="H333" s="42" t="n"/>
      <c r="I333" s="42" t="n"/>
      <c r="J333" s="42" t="n"/>
      <c r="K333" s="42" t="n"/>
      <c r="L333" s="41" t="n"/>
      <c r="M333" s="41" t="n"/>
      <c r="N333" s="41" t="n"/>
      <c r="O333" s="43" t="n"/>
      <c r="P333" s="43" t="n"/>
      <c r="Q333" s="44" t="str">
        <f>IF($AM333=0,"",IF(ISNUMBER($AK333),$AK333-N($AL333),""))</f>
        <v/>
      </c>
      <c r="R333" s="45" t="str">
        <f>IF(OR($Q333="",NOT(ISNUMBER($V333))),"",$AK333/$V333)</f>
        <v/>
      </c>
      <c r="S333" s="46" t="str">
        <f>IF($Q333="","",IF(AND(ISNUMBER($R333),ABS(N($R333))&lt;N(Settings!$C$8)),"Scratch",IF($Q333&gt;0,"Win",IF($Q333&lt;0,"Loss","Scratch"))))</f>
        <v/>
      </c>
      <c r="T333" s="47" t="str">
        <f>IF(OR($AM333=0,NOT(ISNUMBER($H333)),NOT(ISNUMBER($I333)),NOT(ISNUMBER($J333))),"",IF($H333=$I333,"",ROUND(ABS($J333-$H333)/ABS($H333-$I333),6)))</f>
        <v/>
      </c>
      <c r="U333" s="48" t="str">
        <f>IF(OR($S333&lt;&gt;"Win",NOT(ISNUMBER($T333)),NOT(ISNUMBER($R333))),"",MAX(0,$T333-$R333))</f>
        <v/>
      </c>
      <c r="V333" s="49" t="str">
        <f>IF(OR($AM333=0,NOT(ISNUMBER($H333)),NOT(ISNUMBER($I333)),NOT(ISNUMBER($G333))),"",IF(OR($AG333="",$AH333=""),"",IF(ROUND(ABS($H333-$I333)*ABS($G333)*$AG333*$AH333,6)=0,"",ROUND(ABS($H333-$I333)*ABS($G333)*$AG333*$AH333,6))))</f>
        <v/>
      </c>
      <c r="W333" s="50" t="str">
        <f>IF($AM333=0,"",IF($BG333="","OK",LEFT($BG333,LEN($BG333)-2)))</f>
        <v/>
      </c>
      <c r="X333" s="41" t="n"/>
      <c r="Y333" s="40" t="n"/>
      <c r="Z333" s="41" t="n"/>
      <c r="AA333" s="41" t="n"/>
      <c r="AB333" s="40" t="n"/>
      <c r="AC333" s="51" t="n"/>
      <c r="AD333" s="51" t="n"/>
      <c r="AE333" s="40" t="n"/>
      <c r="AF333" s="52" t="str">
        <f>IF($AM333=0,"",IF($D333&lt;&gt;"",$D333,IF(IFERROR(INDEX(Accounts!$C$7:$C$16,MATCH($C333,Accounts!$B$7:$B$16,0))&amp;"","")&lt;&gt;"",INDEX(Accounts!$C$7:$C$16,MATCH($C333,Accounts!$B$7:$B$16,0)),Settings!$C$6)))</f>
        <v/>
      </c>
      <c r="AG333" s="53" t="str">
        <f>IF($AM333=0,"",IF(AND($BE333&gt;0,N(INDEX(Instruments!$D$6:$D$205,MAX(1,$BE333)))&gt;0),INDEX(Instruments!$D$6:$D$205,MAX(1,$BE333)),IF(N(INDEX(Settings!$D$14:$D$18,$BF333))&gt;0,INDEX(Settings!$D$14:$D$18,$BF333),"")))</f>
        <v/>
      </c>
      <c r="AH333" s="54" t="str">
        <f>IF($AM333=0,"",IF($AF333&lt;&gt;"Forex",1,IF(MID(UPPER(SUBSTITUTE(TRIM($E333),"/","")),4,3)=UPPER(TRIM(Settings!$C$7)),1,IF(LEFT(UPPER(SUBSTITUTE(TRIM($E333),"/","")),3)=UPPER(TRIM(Settings!$C$7)),IF(AND(ISNUMBER($K333),N($K333)&lt;&gt;0),1/$K333,""),""))))</f>
        <v/>
      </c>
      <c r="AI333" s="55" t="str">
        <f>IF($AM333=0,"",IF(OR(NOT(ISNUMBER($H333)),NOT(ISNUMBER($K333)),NOT(ISNUMBER($G333)),$AG333="",$AH333=""),"",ROUND(($K333-$H333)*IF($F333="Short",-1,1)*$G333*$AG333*$AH333,6)))</f>
        <v/>
      </c>
      <c r="AJ333" s="55" t="str">
        <f>IF($AM333=0,"",IF(INDEX(Settings!$E$14:$E$18,$BF333)="% of notional",IF(OR($AG333="",NOT(ISNUMBER($H333)),NOT(ISNUMBER($G333))),"",ROUND(ABS($H333*$G333*$AG333*N($AH333))*IF($L333="Limit",N(INDEX(Settings!$G$14:$G$18,$BF333)),N(INDEX(Settings!$H$14:$H$18,$BF333)))+IF(ISNUMBER($K333),ABS($K333*$G333*$AG333*N($AH333))*IF($M333="Target",N(INDEX(Settings!$G$14:$G$18,$BF333)),N(INDEX(Settings!$H$14:$H$18,$BF333))),0),6)),IF(NOT(ISNUMBER($G333)),"",ROUND(ABS($G333)*2*IF(AND($BE333&gt;0,ISNUMBER(INDEX(Instruments!$G$6:$G$205,MAX(1,$BE333)))),INDEX(Instruments!$G$6:$G$205,MAX(1,$BE333)),N(INDEX(Settings!$F$14:$F$18,$BF333))),6))))</f>
        <v/>
      </c>
      <c r="AK333" s="55" t="str">
        <f>IF($AM333=0,"",IF(ISNUMBER($O333),$O333,$AI333))</f>
        <v/>
      </c>
      <c r="AL333" s="55" t="str">
        <f>IF($AM333=0,"",IF(ISNUMBER($P333),$P333,N($AJ333)))</f>
        <v/>
      </c>
      <c r="AM333" s="56">
        <f>IF(AND($A333&lt;&gt;"",$E333&lt;&gt;"",OR(AND(ISNUMBER($G333),ISNUMBER($H333),ISNUMBER($K333)),ISNUMBER($O333))),1,0)</f>
        <v>0</v>
      </c>
      <c r="AN333" s="57" t="str">
        <f>IF($A333="","",$A333-WEEKDAY($A333,3))</f>
        <v/>
      </c>
      <c r="AO333" s="56" t="str">
        <f>IF($A333="","",WEEKDAY($A333,2))</f>
        <v/>
      </c>
      <c r="AP333" s="55" t="str">
        <f>IF(OR($AM333=0,$C333=""),"",IFERROR(N(INDEX(Accounts!$E$7:$E$16,MATCH($C333,Accounts!$B$7:$B$16,0))),0)+SUMIFS($Q$6:$Q333,$C$6:$C333,$C333))</f>
        <v/>
      </c>
      <c r="AQ333" s="55" t="str">
        <f>IF(OR($AM333=0,$C333=""),"",SUMIFS($Q$6:$Q$1005,$C$6:$C$1005,$C333,$A$6:$A$1005,$A333))</f>
        <v/>
      </c>
      <c r="AR333" s="55" t="str">
        <f>IF(OR($AM333=0,$C333=""),"",IFERROR(N(INDEX(Accounts!$E$7:$E$16,MATCH($C333,Accounts!$B$7:$B$16,0))),0)+SUMIFS($Q$6:$Q$1005,$C$6:$C$1005,$C333,$A$6:$A$1005,"&lt;="&amp;$A333))</f>
        <v/>
      </c>
      <c r="AS333" s="56">
        <f>IF(OR($AM333=0,$Q333=""),0,IF(AND($A333&gt;=Lists!$W$6,$A333&lt;=Lists!$W$7,OR(Dashboard!$D$6="All accounts",$C333=Dashboard!$D$6),OR(Dashboard!$D$7="All markets",$AF333=Dashboard!$D$7)),1,0))</f>
        <v>0</v>
      </c>
      <c r="AT333" s="55">
        <f>IF($AS333=1,N(AT332)+$Q333,N(AT332))</f>
        <v>1187.10688</v>
      </c>
      <c r="AU333" s="55">
        <f>MAX(N(AU332),$AT333)</f>
        <v>1187.10688</v>
      </c>
      <c r="AV333" s="55">
        <f>$AT333-$AU333</f>
        <v>0</v>
      </c>
      <c r="AW333" s="56">
        <f>IF($AS333=1,IF($S333="Win",N(AW332)+1,IF($S333="Loss",0,N(AW332))),N(AW332))</f>
        <v>5</v>
      </c>
      <c r="AX333" s="56">
        <f>IF($AS333=1,IF($S333="Loss",N(AX332)+1,IF($S333="Win",0,N(AX332))),N(AX332))</f>
        <v>0</v>
      </c>
      <c r="AY333" s="56" t="str">
        <f>IF($AS333=1,COUNTIF($AS$6:$AS333,1),"")</f>
        <v/>
      </c>
      <c r="AZ333" s="56">
        <f>MIN(327,N(Lists!$W$8))</f>
        <v>28</v>
      </c>
      <c r="BA333" s="56">
        <f>IF($AS333=1,IF(COUNTIFS($A$6:$A333,$A333,$AS$6:$AS333,1)=1,1,0),0)</f>
        <v>0</v>
      </c>
      <c r="BB333" s="55" t="str">
        <f>IF($BA333=1,SUMIFS($Q$6:$Q$1005,$A$6:$A$1005,$A333,$AS$6:$AS$1005,1),"")</f>
        <v/>
      </c>
      <c r="BC333" s="56">
        <f>IF(ISNUMBER($R333),1,0)</f>
        <v>0</v>
      </c>
      <c r="BD333" s="55" t="str">
        <f>IF(ISNUMBER($U333),$U333*$V333,"")</f>
        <v/>
      </c>
      <c r="BE333" s="56" t="str">
        <f>IF($AM333=0,"",IFERROR(MATCH($AF333&amp;"|"&amp;UPPER(TRIM($E333)),Lists!$A$6:$A$205,0),0))</f>
        <v/>
      </c>
      <c r="BF333" s="56" t="str">
        <f>IF($AM333=0,"",IFERROR(MATCH($AF333,Settings!$B$14:$B$18,0),IFERROR(MATCH(Settings!$C$6,Settings!$B$14:$B$18,0),1)))</f>
        <v/>
      </c>
      <c r="BG333" s="58" t="str">
        <f>IF($AM333=0,"",IF(NOT(ISNUMBER($I333)),"No stop; ","")&amp;IF(AND(ISNUMBER($H333),ISNUMBER($I333)),IF(OR(AND($F333&lt;&gt;"Short",$I333&gt;=$H333),AND($F333="Short",$I333&lt;=$H333)),"Stop on wrong side; ",""),"")&amp;IF($F333="","No direction; ","")&amp;IF(AND(ISNUMBER(Settings!$C$22),ISNUMBER($V333)),IF($V333&gt;Settings!$C$22,"Risk over max $; ",""),"")&amp;IF(AND(ISNUMBER(Settings!$C$23),ISNUMBER($V333),ISNUMBER($AP333),IFERROR(N(INDEX(Accounts!$E$7:$E$16,MATCH($C333,Accounts!$B$7:$B$16,0))),0)&gt;0),IF($V333&gt;Settings!$C$23*($AP333-N($Q333)),"Risk over max %; ",""),"")&amp;IF(AND(ISNUMBER(Settings!$C$24),ISNUMBER($N333)),IF($N333&gt;Settings!$C$24,"Leverage over max; ",""),"")&amp;IF(AND(ISNUMBER(Settings!$C$27),ISNUMBER($T333)),IF($T333&lt;Settings!$C$27,"R:R below min; ",""),"")&amp;IF(ISNUMBER(Settings!$C$25),IF(COUNTIFS($A$6:$A333,$A333,$AM$6:$AM333,1)&gt;Settings!$C$25,"Over max trades/day; ",""),"")&amp;IF(ISNUMBER(Settings!$C$26),IF(SUMIFS($Q$5:$Q332,$A$5:$A332,$A333)&lt;=-Settings!$C$26,"Traded after daily max loss; ",""),"")&amp;IF(AND($AG333="",NOT(ISNUMBER($O333))),"Symbol not in Instruments; ","")&amp;IF(AND($AH333="",NOT(ISNUMBER($O333))),"Forex cross: type Gross P&amp;L; ",""))</f>
        <v/>
      </c>
      <c r="BH333" s="56">
        <f>IF(ISNUMBER($Q333),1,0)</f>
        <v>0</v>
      </c>
      <c r="BI333" s="56">
        <f>IF($Y333="",0,1)</f>
        <v>0</v>
      </c>
      <c r="BJ333" s="56">
        <f>IF($AB333="",0,1)</f>
        <v>0</v>
      </c>
      <c r="BK333" s="56">
        <f>IF(AND($BH333=1,$W333&lt;&gt;"OK"),1,0)</f>
        <v>0</v>
      </c>
      <c r="BL333" s="55">
        <f>IF(N($AZ333)=0,0,IFERROR(INDEX($AT$6:$AT$1005,MATCH($AZ333,$AY$6:$AY$1005,0)),0))</f>
        <v>1187.10688</v>
      </c>
      <c r="BM333" s="56">
        <f>IF(ISNUMBER(SEARCH("daily max loss",$BG333)),1,0)</f>
        <v>0</v>
      </c>
    </row>
    <row r="334" ht="18" customHeight="1">
      <c r="A334" s="38" t="n"/>
      <c r="B334" s="39" t="n"/>
      <c r="C334" s="40" t="n"/>
      <c r="D334" s="41" t="n"/>
      <c r="E334" s="41" t="n"/>
      <c r="F334" s="41" t="n"/>
      <c r="G334" s="41" t="n"/>
      <c r="H334" s="42" t="n"/>
      <c r="I334" s="42" t="n"/>
      <c r="J334" s="42" t="n"/>
      <c r="K334" s="42" t="n"/>
      <c r="L334" s="41" t="n"/>
      <c r="M334" s="41" t="n"/>
      <c r="N334" s="41" t="n"/>
      <c r="O334" s="43" t="n"/>
      <c r="P334" s="43" t="n"/>
      <c r="Q334" s="44" t="str">
        <f>IF($AM334=0,"",IF(ISNUMBER($AK334),$AK334-N($AL334),""))</f>
        <v/>
      </c>
      <c r="R334" s="45" t="str">
        <f>IF(OR($Q334="",NOT(ISNUMBER($V334))),"",$AK334/$V334)</f>
        <v/>
      </c>
      <c r="S334" s="46" t="str">
        <f>IF($Q334="","",IF(AND(ISNUMBER($R334),ABS(N($R334))&lt;N(Settings!$C$8)),"Scratch",IF($Q334&gt;0,"Win",IF($Q334&lt;0,"Loss","Scratch"))))</f>
        <v/>
      </c>
      <c r="T334" s="47" t="str">
        <f>IF(OR($AM334=0,NOT(ISNUMBER($H334)),NOT(ISNUMBER($I334)),NOT(ISNUMBER($J334))),"",IF($H334=$I334,"",ROUND(ABS($J334-$H334)/ABS($H334-$I334),6)))</f>
        <v/>
      </c>
      <c r="U334" s="48" t="str">
        <f>IF(OR($S334&lt;&gt;"Win",NOT(ISNUMBER($T334)),NOT(ISNUMBER($R334))),"",MAX(0,$T334-$R334))</f>
        <v/>
      </c>
      <c r="V334" s="49" t="str">
        <f>IF(OR($AM334=0,NOT(ISNUMBER($H334)),NOT(ISNUMBER($I334)),NOT(ISNUMBER($G334))),"",IF(OR($AG334="",$AH334=""),"",IF(ROUND(ABS($H334-$I334)*ABS($G334)*$AG334*$AH334,6)=0,"",ROUND(ABS($H334-$I334)*ABS($G334)*$AG334*$AH334,6))))</f>
        <v/>
      </c>
      <c r="W334" s="50" t="str">
        <f>IF($AM334=0,"",IF($BG334="","OK",LEFT($BG334,LEN($BG334)-2)))</f>
        <v/>
      </c>
      <c r="X334" s="41" t="n"/>
      <c r="Y334" s="40" t="n"/>
      <c r="Z334" s="41" t="n"/>
      <c r="AA334" s="41" t="n"/>
      <c r="AB334" s="40" t="n"/>
      <c r="AC334" s="51" t="n"/>
      <c r="AD334" s="51" t="n"/>
      <c r="AE334" s="40" t="n"/>
      <c r="AF334" s="52" t="str">
        <f>IF($AM334=0,"",IF($D334&lt;&gt;"",$D334,IF(IFERROR(INDEX(Accounts!$C$7:$C$16,MATCH($C334,Accounts!$B$7:$B$16,0))&amp;"","")&lt;&gt;"",INDEX(Accounts!$C$7:$C$16,MATCH($C334,Accounts!$B$7:$B$16,0)),Settings!$C$6)))</f>
        <v/>
      </c>
      <c r="AG334" s="53" t="str">
        <f>IF($AM334=0,"",IF(AND($BE334&gt;0,N(INDEX(Instruments!$D$6:$D$205,MAX(1,$BE334)))&gt;0),INDEX(Instruments!$D$6:$D$205,MAX(1,$BE334)),IF(N(INDEX(Settings!$D$14:$D$18,$BF334))&gt;0,INDEX(Settings!$D$14:$D$18,$BF334),"")))</f>
        <v/>
      </c>
      <c r="AH334" s="54" t="str">
        <f>IF($AM334=0,"",IF($AF334&lt;&gt;"Forex",1,IF(MID(UPPER(SUBSTITUTE(TRIM($E334),"/","")),4,3)=UPPER(TRIM(Settings!$C$7)),1,IF(LEFT(UPPER(SUBSTITUTE(TRIM($E334),"/","")),3)=UPPER(TRIM(Settings!$C$7)),IF(AND(ISNUMBER($K334),N($K334)&lt;&gt;0),1/$K334,""),""))))</f>
        <v/>
      </c>
      <c r="AI334" s="55" t="str">
        <f>IF($AM334=0,"",IF(OR(NOT(ISNUMBER($H334)),NOT(ISNUMBER($K334)),NOT(ISNUMBER($G334)),$AG334="",$AH334=""),"",ROUND(($K334-$H334)*IF($F334="Short",-1,1)*$G334*$AG334*$AH334,6)))</f>
        <v/>
      </c>
      <c r="AJ334" s="55" t="str">
        <f>IF($AM334=0,"",IF(INDEX(Settings!$E$14:$E$18,$BF334)="% of notional",IF(OR($AG334="",NOT(ISNUMBER($H334)),NOT(ISNUMBER($G334))),"",ROUND(ABS($H334*$G334*$AG334*N($AH334))*IF($L334="Limit",N(INDEX(Settings!$G$14:$G$18,$BF334)),N(INDEX(Settings!$H$14:$H$18,$BF334)))+IF(ISNUMBER($K334),ABS($K334*$G334*$AG334*N($AH334))*IF($M334="Target",N(INDEX(Settings!$G$14:$G$18,$BF334)),N(INDEX(Settings!$H$14:$H$18,$BF334))),0),6)),IF(NOT(ISNUMBER($G334)),"",ROUND(ABS($G334)*2*IF(AND($BE334&gt;0,ISNUMBER(INDEX(Instruments!$G$6:$G$205,MAX(1,$BE334)))),INDEX(Instruments!$G$6:$G$205,MAX(1,$BE334)),N(INDEX(Settings!$F$14:$F$18,$BF334))),6))))</f>
        <v/>
      </c>
      <c r="AK334" s="55" t="str">
        <f>IF($AM334=0,"",IF(ISNUMBER($O334),$O334,$AI334))</f>
        <v/>
      </c>
      <c r="AL334" s="55" t="str">
        <f>IF($AM334=0,"",IF(ISNUMBER($P334),$P334,N($AJ334)))</f>
        <v/>
      </c>
      <c r="AM334" s="56">
        <f>IF(AND($A334&lt;&gt;"",$E334&lt;&gt;"",OR(AND(ISNUMBER($G334),ISNUMBER($H334),ISNUMBER($K334)),ISNUMBER($O334))),1,0)</f>
        <v>0</v>
      </c>
      <c r="AN334" s="57" t="str">
        <f>IF($A334="","",$A334-WEEKDAY($A334,3))</f>
        <v/>
      </c>
      <c r="AO334" s="56" t="str">
        <f>IF($A334="","",WEEKDAY($A334,2))</f>
        <v/>
      </c>
      <c r="AP334" s="55" t="str">
        <f>IF(OR($AM334=0,$C334=""),"",IFERROR(N(INDEX(Accounts!$E$7:$E$16,MATCH($C334,Accounts!$B$7:$B$16,0))),0)+SUMIFS($Q$6:$Q334,$C$6:$C334,$C334))</f>
        <v/>
      </c>
      <c r="AQ334" s="55" t="str">
        <f>IF(OR($AM334=0,$C334=""),"",SUMIFS($Q$6:$Q$1005,$C$6:$C$1005,$C334,$A$6:$A$1005,$A334))</f>
        <v/>
      </c>
      <c r="AR334" s="55" t="str">
        <f>IF(OR($AM334=0,$C334=""),"",IFERROR(N(INDEX(Accounts!$E$7:$E$16,MATCH($C334,Accounts!$B$7:$B$16,0))),0)+SUMIFS($Q$6:$Q$1005,$C$6:$C$1005,$C334,$A$6:$A$1005,"&lt;="&amp;$A334))</f>
        <v/>
      </c>
      <c r="AS334" s="56">
        <f>IF(OR($AM334=0,$Q334=""),0,IF(AND($A334&gt;=Lists!$W$6,$A334&lt;=Lists!$W$7,OR(Dashboard!$D$6="All accounts",$C334=Dashboard!$D$6),OR(Dashboard!$D$7="All markets",$AF334=Dashboard!$D$7)),1,0))</f>
        <v>0</v>
      </c>
      <c r="AT334" s="55">
        <f>IF($AS334=1,N(AT333)+$Q334,N(AT333))</f>
        <v>1187.10688</v>
      </c>
      <c r="AU334" s="55">
        <f>MAX(N(AU333),$AT334)</f>
        <v>1187.10688</v>
      </c>
      <c r="AV334" s="55">
        <f>$AT334-$AU334</f>
        <v>0</v>
      </c>
      <c r="AW334" s="56">
        <f>IF($AS334=1,IF($S334="Win",N(AW333)+1,IF($S334="Loss",0,N(AW333))),N(AW333))</f>
        <v>5</v>
      </c>
      <c r="AX334" s="56">
        <f>IF($AS334=1,IF($S334="Loss",N(AX333)+1,IF($S334="Win",0,N(AX333))),N(AX333))</f>
        <v>0</v>
      </c>
      <c r="AY334" s="56" t="str">
        <f>IF($AS334=1,COUNTIF($AS$6:$AS334,1),"")</f>
        <v/>
      </c>
      <c r="AZ334" s="56">
        <f>MIN(328,N(Lists!$W$8))</f>
        <v>28</v>
      </c>
      <c r="BA334" s="56">
        <f>IF($AS334=1,IF(COUNTIFS($A$6:$A334,$A334,$AS$6:$AS334,1)=1,1,0),0)</f>
        <v>0</v>
      </c>
      <c r="BB334" s="55" t="str">
        <f>IF($BA334=1,SUMIFS($Q$6:$Q$1005,$A$6:$A$1005,$A334,$AS$6:$AS$1005,1),"")</f>
        <v/>
      </c>
      <c r="BC334" s="56">
        <f>IF(ISNUMBER($R334),1,0)</f>
        <v>0</v>
      </c>
      <c r="BD334" s="55" t="str">
        <f>IF(ISNUMBER($U334),$U334*$V334,"")</f>
        <v/>
      </c>
      <c r="BE334" s="56" t="str">
        <f>IF($AM334=0,"",IFERROR(MATCH($AF334&amp;"|"&amp;UPPER(TRIM($E334)),Lists!$A$6:$A$205,0),0))</f>
        <v/>
      </c>
      <c r="BF334" s="56" t="str">
        <f>IF($AM334=0,"",IFERROR(MATCH($AF334,Settings!$B$14:$B$18,0),IFERROR(MATCH(Settings!$C$6,Settings!$B$14:$B$18,0),1)))</f>
        <v/>
      </c>
      <c r="BG334" s="58" t="str">
        <f>IF($AM334=0,"",IF(NOT(ISNUMBER($I334)),"No stop; ","")&amp;IF(AND(ISNUMBER($H334),ISNUMBER($I334)),IF(OR(AND($F334&lt;&gt;"Short",$I334&gt;=$H334),AND($F334="Short",$I334&lt;=$H334)),"Stop on wrong side; ",""),"")&amp;IF($F334="","No direction; ","")&amp;IF(AND(ISNUMBER(Settings!$C$22),ISNUMBER($V334)),IF($V334&gt;Settings!$C$22,"Risk over max $; ",""),"")&amp;IF(AND(ISNUMBER(Settings!$C$23),ISNUMBER($V334),ISNUMBER($AP334),IFERROR(N(INDEX(Accounts!$E$7:$E$16,MATCH($C334,Accounts!$B$7:$B$16,0))),0)&gt;0),IF($V334&gt;Settings!$C$23*($AP334-N($Q334)),"Risk over max %; ",""),"")&amp;IF(AND(ISNUMBER(Settings!$C$24),ISNUMBER($N334)),IF($N334&gt;Settings!$C$24,"Leverage over max; ",""),"")&amp;IF(AND(ISNUMBER(Settings!$C$27),ISNUMBER($T334)),IF($T334&lt;Settings!$C$27,"R:R below min; ",""),"")&amp;IF(ISNUMBER(Settings!$C$25),IF(COUNTIFS($A$6:$A334,$A334,$AM$6:$AM334,1)&gt;Settings!$C$25,"Over max trades/day; ",""),"")&amp;IF(ISNUMBER(Settings!$C$26),IF(SUMIFS($Q$5:$Q333,$A$5:$A333,$A334)&lt;=-Settings!$C$26,"Traded after daily max loss; ",""),"")&amp;IF(AND($AG334="",NOT(ISNUMBER($O334))),"Symbol not in Instruments; ","")&amp;IF(AND($AH334="",NOT(ISNUMBER($O334))),"Forex cross: type Gross P&amp;L; ",""))</f>
        <v/>
      </c>
      <c r="BH334" s="56">
        <f>IF(ISNUMBER($Q334),1,0)</f>
        <v>0</v>
      </c>
      <c r="BI334" s="56">
        <f>IF($Y334="",0,1)</f>
        <v>0</v>
      </c>
      <c r="BJ334" s="56">
        <f>IF($AB334="",0,1)</f>
        <v>0</v>
      </c>
      <c r="BK334" s="56">
        <f>IF(AND($BH334=1,$W334&lt;&gt;"OK"),1,0)</f>
        <v>0</v>
      </c>
      <c r="BL334" s="55">
        <f>IF(N($AZ334)=0,0,IFERROR(INDEX($AT$6:$AT$1005,MATCH($AZ334,$AY$6:$AY$1005,0)),0))</f>
        <v>1187.10688</v>
      </c>
      <c r="BM334" s="56">
        <f>IF(ISNUMBER(SEARCH("daily max loss",$BG334)),1,0)</f>
        <v>0</v>
      </c>
    </row>
    <row r="335" ht="18" customHeight="1">
      <c r="A335" s="38" t="n"/>
      <c r="B335" s="39" t="n"/>
      <c r="C335" s="40" t="n"/>
      <c r="D335" s="41" t="n"/>
      <c r="E335" s="41" t="n"/>
      <c r="F335" s="41" t="n"/>
      <c r="G335" s="41" t="n"/>
      <c r="H335" s="42" t="n"/>
      <c r="I335" s="42" t="n"/>
      <c r="J335" s="42" t="n"/>
      <c r="K335" s="42" t="n"/>
      <c r="L335" s="41" t="n"/>
      <c r="M335" s="41" t="n"/>
      <c r="N335" s="41" t="n"/>
      <c r="O335" s="43" t="n"/>
      <c r="P335" s="43" t="n"/>
      <c r="Q335" s="44" t="str">
        <f>IF($AM335=0,"",IF(ISNUMBER($AK335),$AK335-N($AL335),""))</f>
        <v/>
      </c>
      <c r="R335" s="45" t="str">
        <f>IF(OR($Q335="",NOT(ISNUMBER($V335))),"",$AK335/$V335)</f>
        <v/>
      </c>
      <c r="S335" s="46" t="str">
        <f>IF($Q335="","",IF(AND(ISNUMBER($R335),ABS(N($R335))&lt;N(Settings!$C$8)),"Scratch",IF($Q335&gt;0,"Win",IF($Q335&lt;0,"Loss","Scratch"))))</f>
        <v/>
      </c>
      <c r="T335" s="47" t="str">
        <f>IF(OR($AM335=0,NOT(ISNUMBER($H335)),NOT(ISNUMBER($I335)),NOT(ISNUMBER($J335))),"",IF($H335=$I335,"",ROUND(ABS($J335-$H335)/ABS($H335-$I335),6)))</f>
        <v/>
      </c>
      <c r="U335" s="48" t="str">
        <f>IF(OR($S335&lt;&gt;"Win",NOT(ISNUMBER($T335)),NOT(ISNUMBER($R335))),"",MAX(0,$T335-$R335))</f>
        <v/>
      </c>
      <c r="V335" s="49" t="str">
        <f>IF(OR($AM335=0,NOT(ISNUMBER($H335)),NOT(ISNUMBER($I335)),NOT(ISNUMBER($G335))),"",IF(OR($AG335="",$AH335=""),"",IF(ROUND(ABS($H335-$I335)*ABS($G335)*$AG335*$AH335,6)=0,"",ROUND(ABS($H335-$I335)*ABS($G335)*$AG335*$AH335,6))))</f>
        <v/>
      </c>
      <c r="W335" s="50" t="str">
        <f>IF($AM335=0,"",IF($BG335="","OK",LEFT($BG335,LEN($BG335)-2)))</f>
        <v/>
      </c>
      <c r="X335" s="41" t="n"/>
      <c r="Y335" s="40" t="n"/>
      <c r="Z335" s="41" t="n"/>
      <c r="AA335" s="41" t="n"/>
      <c r="AB335" s="40" t="n"/>
      <c r="AC335" s="51" t="n"/>
      <c r="AD335" s="51" t="n"/>
      <c r="AE335" s="40" t="n"/>
      <c r="AF335" s="52" t="str">
        <f>IF($AM335=0,"",IF($D335&lt;&gt;"",$D335,IF(IFERROR(INDEX(Accounts!$C$7:$C$16,MATCH($C335,Accounts!$B$7:$B$16,0))&amp;"","")&lt;&gt;"",INDEX(Accounts!$C$7:$C$16,MATCH($C335,Accounts!$B$7:$B$16,0)),Settings!$C$6)))</f>
        <v/>
      </c>
      <c r="AG335" s="53" t="str">
        <f>IF($AM335=0,"",IF(AND($BE335&gt;0,N(INDEX(Instruments!$D$6:$D$205,MAX(1,$BE335)))&gt;0),INDEX(Instruments!$D$6:$D$205,MAX(1,$BE335)),IF(N(INDEX(Settings!$D$14:$D$18,$BF335))&gt;0,INDEX(Settings!$D$14:$D$18,$BF335),"")))</f>
        <v/>
      </c>
      <c r="AH335" s="54" t="str">
        <f>IF($AM335=0,"",IF($AF335&lt;&gt;"Forex",1,IF(MID(UPPER(SUBSTITUTE(TRIM($E335),"/","")),4,3)=UPPER(TRIM(Settings!$C$7)),1,IF(LEFT(UPPER(SUBSTITUTE(TRIM($E335),"/","")),3)=UPPER(TRIM(Settings!$C$7)),IF(AND(ISNUMBER($K335),N($K335)&lt;&gt;0),1/$K335,""),""))))</f>
        <v/>
      </c>
      <c r="AI335" s="55" t="str">
        <f>IF($AM335=0,"",IF(OR(NOT(ISNUMBER($H335)),NOT(ISNUMBER($K335)),NOT(ISNUMBER($G335)),$AG335="",$AH335=""),"",ROUND(($K335-$H335)*IF($F335="Short",-1,1)*$G335*$AG335*$AH335,6)))</f>
        <v/>
      </c>
      <c r="AJ335" s="55" t="str">
        <f>IF($AM335=0,"",IF(INDEX(Settings!$E$14:$E$18,$BF335)="% of notional",IF(OR($AG335="",NOT(ISNUMBER($H335)),NOT(ISNUMBER($G335))),"",ROUND(ABS($H335*$G335*$AG335*N($AH335))*IF($L335="Limit",N(INDEX(Settings!$G$14:$G$18,$BF335)),N(INDEX(Settings!$H$14:$H$18,$BF335)))+IF(ISNUMBER($K335),ABS($K335*$G335*$AG335*N($AH335))*IF($M335="Target",N(INDEX(Settings!$G$14:$G$18,$BF335)),N(INDEX(Settings!$H$14:$H$18,$BF335))),0),6)),IF(NOT(ISNUMBER($G335)),"",ROUND(ABS($G335)*2*IF(AND($BE335&gt;0,ISNUMBER(INDEX(Instruments!$G$6:$G$205,MAX(1,$BE335)))),INDEX(Instruments!$G$6:$G$205,MAX(1,$BE335)),N(INDEX(Settings!$F$14:$F$18,$BF335))),6))))</f>
        <v/>
      </c>
      <c r="AK335" s="55" t="str">
        <f>IF($AM335=0,"",IF(ISNUMBER($O335),$O335,$AI335))</f>
        <v/>
      </c>
      <c r="AL335" s="55" t="str">
        <f>IF($AM335=0,"",IF(ISNUMBER($P335),$P335,N($AJ335)))</f>
        <v/>
      </c>
      <c r="AM335" s="56">
        <f>IF(AND($A335&lt;&gt;"",$E335&lt;&gt;"",OR(AND(ISNUMBER($G335),ISNUMBER($H335),ISNUMBER($K335)),ISNUMBER($O335))),1,0)</f>
        <v>0</v>
      </c>
      <c r="AN335" s="57" t="str">
        <f>IF($A335="","",$A335-WEEKDAY($A335,3))</f>
        <v/>
      </c>
      <c r="AO335" s="56" t="str">
        <f>IF($A335="","",WEEKDAY($A335,2))</f>
        <v/>
      </c>
      <c r="AP335" s="55" t="str">
        <f>IF(OR($AM335=0,$C335=""),"",IFERROR(N(INDEX(Accounts!$E$7:$E$16,MATCH($C335,Accounts!$B$7:$B$16,0))),0)+SUMIFS($Q$6:$Q335,$C$6:$C335,$C335))</f>
        <v/>
      </c>
      <c r="AQ335" s="55" t="str">
        <f>IF(OR($AM335=0,$C335=""),"",SUMIFS($Q$6:$Q$1005,$C$6:$C$1005,$C335,$A$6:$A$1005,$A335))</f>
        <v/>
      </c>
      <c r="AR335" s="55" t="str">
        <f>IF(OR($AM335=0,$C335=""),"",IFERROR(N(INDEX(Accounts!$E$7:$E$16,MATCH($C335,Accounts!$B$7:$B$16,0))),0)+SUMIFS($Q$6:$Q$1005,$C$6:$C$1005,$C335,$A$6:$A$1005,"&lt;="&amp;$A335))</f>
        <v/>
      </c>
      <c r="AS335" s="56">
        <f>IF(OR($AM335=0,$Q335=""),0,IF(AND($A335&gt;=Lists!$W$6,$A335&lt;=Lists!$W$7,OR(Dashboard!$D$6="All accounts",$C335=Dashboard!$D$6),OR(Dashboard!$D$7="All markets",$AF335=Dashboard!$D$7)),1,0))</f>
        <v>0</v>
      </c>
      <c r="AT335" s="55">
        <f>IF($AS335=1,N(AT334)+$Q335,N(AT334))</f>
        <v>1187.10688</v>
      </c>
      <c r="AU335" s="55">
        <f>MAX(N(AU334),$AT335)</f>
        <v>1187.10688</v>
      </c>
      <c r="AV335" s="55">
        <f>$AT335-$AU335</f>
        <v>0</v>
      </c>
      <c r="AW335" s="56">
        <f>IF($AS335=1,IF($S335="Win",N(AW334)+1,IF($S335="Loss",0,N(AW334))),N(AW334))</f>
        <v>5</v>
      </c>
      <c r="AX335" s="56">
        <f>IF($AS335=1,IF($S335="Loss",N(AX334)+1,IF($S335="Win",0,N(AX334))),N(AX334))</f>
        <v>0</v>
      </c>
      <c r="AY335" s="56" t="str">
        <f>IF($AS335=1,COUNTIF($AS$6:$AS335,1),"")</f>
        <v/>
      </c>
      <c r="AZ335" s="56">
        <f>MIN(329,N(Lists!$W$8))</f>
        <v>28</v>
      </c>
      <c r="BA335" s="56">
        <f>IF($AS335=1,IF(COUNTIFS($A$6:$A335,$A335,$AS$6:$AS335,1)=1,1,0),0)</f>
        <v>0</v>
      </c>
      <c r="BB335" s="55" t="str">
        <f>IF($BA335=1,SUMIFS($Q$6:$Q$1005,$A$6:$A$1005,$A335,$AS$6:$AS$1005,1),"")</f>
        <v/>
      </c>
      <c r="BC335" s="56">
        <f>IF(ISNUMBER($R335),1,0)</f>
        <v>0</v>
      </c>
      <c r="BD335" s="55" t="str">
        <f>IF(ISNUMBER($U335),$U335*$V335,"")</f>
        <v/>
      </c>
      <c r="BE335" s="56" t="str">
        <f>IF($AM335=0,"",IFERROR(MATCH($AF335&amp;"|"&amp;UPPER(TRIM($E335)),Lists!$A$6:$A$205,0),0))</f>
        <v/>
      </c>
      <c r="BF335" s="56" t="str">
        <f>IF($AM335=0,"",IFERROR(MATCH($AF335,Settings!$B$14:$B$18,0),IFERROR(MATCH(Settings!$C$6,Settings!$B$14:$B$18,0),1)))</f>
        <v/>
      </c>
      <c r="BG335" s="58" t="str">
        <f>IF($AM335=0,"",IF(NOT(ISNUMBER($I335)),"No stop; ","")&amp;IF(AND(ISNUMBER($H335),ISNUMBER($I335)),IF(OR(AND($F335&lt;&gt;"Short",$I335&gt;=$H335),AND($F335="Short",$I335&lt;=$H335)),"Stop on wrong side; ",""),"")&amp;IF($F335="","No direction; ","")&amp;IF(AND(ISNUMBER(Settings!$C$22),ISNUMBER($V335)),IF($V335&gt;Settings!$C$22,"Risk over max $; ",""),"")&amp;IF(AND(ISNUMBER(Settings!$C$23),ISNUMBER($V335),ISNUMBER($AP335),IFERROR(N(INDEX(Accounts!$E$7:$E$16,MATCH($C335,Accounts!$B$7:$B$16,0))),0)&gt;0),IF($V335&gt;Settings!$C$23*($AP335-N($Q335)),"Risk over max %; ",""),"")&amp;IF(AND(ISNUMBER(Settings!$C$24),ISNUMBER($N335)),IF($N335&gt;Settings!$C$24,"Leverage over max; ",""),"")&amp;IF(AND(ISNUMBER(Settings!$C$27),ISNUMBER($T335)),IF($T335&lt;Settings!$C$27,"R:R below min; ",""),"")&amp;IF(ISNUMBER(Settings!$C$25),IF(COUNTIFS($A$6:$A335,$A335,$AM$6:$AM335,1)&gt;Settings!$C$25,"Over max trades/day; ",""),"")&amp;IF(ISNUMBER(Settings!$C$26),IF(SUMIFS($Q$5:$Q334,$A$5:$A334,$A335)&lt;=-Settings!$C$26,"Traded after daily max loss; ",""),"")&amp;IF(AND($AG335="",NOT(ISNUMBER($O335))),"Symbol not in Instruments; ","")&amp;IF(AND($AH335="",NOT(ISNUMBER($O335))),"Forex cross: type Gross P&amp;L; ",""))</f>
        <v/>
      </c>
      <c r="BH335" s="56">
        <f>IF(ISNUMBER($Q335),1,0)</f>
        <v>0</v>
      </c>
      <c r="BI335" s="56">
        <f>IF($Y335="",0,1)</f>
        <v>0</v>
      </c>
      <c r="BJ335" s="56">
        <f>IF($AB335="",0,1)</f>
        <v>0</v>
      </c>
      <c r="BK335" s="56">
        <f>IF(AND($BH335=1,$W335&lt;&gt;"OK"),1,0)</f>
        <v>0</v>
      </c>
      <c r="BL335" s="55">
        <f>IF(N($AZ335)=0,0,IFERROR(INDEX($AT$6:$AT$1005,MATCH($AZ335,$AY$6:$AY$1005,0)),0))</f>
        <v>1187.10688</v>
      </c>
      <c r="BM335" s="56">
        <f>IF(ISNUMBER(SEARCH("daily max loss",$BG335)),1,0)</f>
        <v>0</v>
      </c>
    </row>
    <row r="336" ht="18" customHeight="1">
      <c r="A336" s="38" t="n"/>
      <c r="B336" s="39" t="n"/>
      <c r="C336" s="40" t="n"/>
      <c r="D336" s="41" t="n"/>
      <c r="E336" s="41" t="n"/>
      <c r="F336" s="41" t="n"/>
      <c r="G336" s="41" t="n"/>
      <c r="H336" s="42" t="n"/>
      <c r="I336" s="42" t="n"/>
      <c r="J336" s="42" t="n"/>
      <c r="K336" s="42" t="n"/>
      <c r="L336" s="41" t="n"/>
      <c r="M336" s="41" t="n"/>
      <c r="N336" s="41" t="n"/>
      <c r="O336" s="43" t="n"/>
      <c r="P336" s="43" t="n"/>
      <c r="Q336" s="44" t="str">
        <f>IF($AM336=0,"",IF(ISNUMBER($AK336),$AK336-N($AL336),""))</f>
        <v/>
      </c>
      <c r="R336" s="45" t="str">
        <f>IF(OR($Q336="",NOT(ISNUMBER($V336))),"",$AK336/$V336)</f>
        <v/>
      </c>
      <c r="S336" s="46" t="str">
        <f>IF($Q336="","",IF(AND(ISNUMBER($R336),ABS(N($R336))&lt;N(Settings!$C$8)),"Scratch",IF($Q336&gt;0,"Win",IF($Q336&lt;0,"Loss","Scratch"))))</f>
        <v/>
      </c>
      <c r="T336" s="47" t="str">
        <f>IF(OR($AM336=0,NOT(ISNUMBER($H336)),NOT(ISNUMBER($I336)),NOT(ISNUMBER($J336))),"",IF($H336=$I336,"",ROUND(ABS($J336-$H336)/ABS($H336-$I336),6)))</f>
        <v/>
      </c>
      <c r="U336" s="48" t="str">
        <f>IF(OR($S336&lt;&gt;"Win",NOT(ISNUMBER($T336)),NOT(ISNUMBER($R336))),"",MAX(0,$T336-$R336))</f>
        <v/>
      </c>
      <c r="V336" s="49" t="str">
        <f>IF(OR($AM336=0,NOT(ISNUMBER($H336)),NOT(ISNUMBER($I336)),NOT(ISNUMBER($G336))),"",IF(OR($AG336="",$AH336=""),"",IF(ROUND(ABS($H336-$I336)*ABS($G336)*$AG336*$AH336,6)=0,"",ROUND(ABS($H336-$I336)*ABS($G336)*$AG336*$AH336,6))))</f>
        <v/>
      </c>
      <c r="W336" s="50" t="str">
        <f>IF($AM336=0,"",IF($BG336="","OK",LEFT($BG336,LEN($BG336)-2)))</f>
        <v/>
      </c>
      <c r="X336" s="41" t="n"/>
      <c r="Y336" s="40" t="n"/>
      <c r="Z336" s="41" t="n"/>
      <c r="AA336" s="41" t="n"/>
      <c r="AB336" s="40" t="n"/>
      <c r="AC336" s="51" t="n"/>
      <c r="AD336" s="51" t="n"/>
      <c r="AE336" s="40" t="n"/>
      <c r="AF336" s="52" t="str">
        <f>IF($AM336=0,"",IF($D336&lt;&gt;"",$D336,IF(IFERROR(INDEX(Accounts!$C$7:$C$16,MATCH($C336,Accounts!$B$7:$B$16,0))&amp;"","")&lt;&gt;"",INDEX(Accounts!$C$7:$C$16,MATCH($C336,Accounts!$B$7:$B$16,0)),Settings!$C$6)))</f>
        <v/>
      </c>
      <c r="AG336" s="53" t="str">
        <f>IF($AM336=0,"",IF(AND($BE336&gt;0,N(INDEX(Instruments!$D$6:$D$205,MAX(1,$BE336)))&gt;0),INDEX(Instruments!$D$6:$D$205,MAX(1,$BE336)),IF(N(INDEX(Settings!$D$14:$D$18,$BF336))&gt;0,INDEX(Settings!$D$14:$D$18,$BF336),"")))</f>
        <v/>
      </c>
      <c r="AH336" s="54" t="str">
        <f>IF($AM336=0,"",IF($AF336&lt;&gt;"Forex",1,IF(MID(UPPER(SUBSTITUTE(TRIM($E336),"/","")),4,3)=UPPER(TRIM(Settings!$C$7)),1,IF(LEFT(UPPER(SUBSTITUTE(TRIM($E336),"/","")),3)=UPPER(TRIM(Settings!$C$7)),IF(AND(ISNUMBER($K336),N($K336)&lt;&gt;0),1/$K336,""),""))))</f>
        <v/>
      </c>
      <c r="AI336" s="55" t="str">
        <f>IF($AM336=0,"",IF(OR(NOT(ISNUMBER($H336)),NOT(ISNUMBER($K336)),NOT(ISNUMBER($G336)),$AG336="",$AH336=""),"",ROUND(($K336-$H336)*IF($F336="Short",-1,1)*$G336*$AG336*$AH336,6)))</f>
        <v/>
      </c>
      <c r="AJ336" s="55" t="str">
        <f>IF($AM336=0,"",IF(INDEX(Settings!$E$14:$E$18,$BF336)="% of notional",IF(OR($AG336="",NOT(ISNUMBER($H336)),NOT(ISNUMBER($G336))),"",ROUND(ABS($H336*$G336*$AG336*N($AH336))*IF($L336="Limit",N(INDEX(Settings!$G$14:$G$18,$BF336)),N(INDEX(Settings!$H$14:$H$18,$BF336)))+IF(ISNUMBER($K336),ABS($K336*$G336*$AG336*N($AH336))*IF($M336="Target",N(INDEX(Settings!$G$14:$G$18,$BF336)),N(INDEX(Settings!$H$14:$H$18,$BF336))),0),6)),IF(NOT(ISNUMBER($G336)),"",ROUND(ABS($G336)*2*IF(AND($BE336&gt;0,ISNUMBER(INDEX(Instruments!$G$6:$G$205,MAX(1,$BE336)))),INDEX(Instruments!$G$6:$G$205,MAX(1,$BE336)),N(INDEX(Settings!$F$14:$F$18,$BF336))),6))))</f>
        <v/>
      </c>
      <c r="AK336" s="55" t="str">
        <f>IF($AM336=0,"",IF(ISNUMBER($O336),$O336,$AI336))</f>
        <v/>
      </c>
      <c r="AL336" s="55" t="str">
        <f>IF($AM336=0,"",IF(ISNUMBER($P336),$P336,N($AJ336)))</f>
        <v/>
      </c>
      <c r="AM336" s="56">
        <f>IF(AND($A336&lt;&gt;"",$E336&lt;&gt;"",OR(AND(ISNUMBER($G336),ISNUMBER($H336),ISNUMBER($K336)),ISNUMBER($O336))),1,0)</f>
        <v>0</v>
      </c>
      <c r="AN336" s="57" t="str">
        <f>IF($A336="","",$A336-WEEKDAY($A336,3))</f>
        <v/>
      </c>
      <c r="AO336" s="56" t="str">
        <f>IF($A336="","",WEEKDAY($A336,2))</f>
        <v/>
      </c>
      <c r="AP336" s="55" t="str">
        <f>IF(OR($AM336=0,$C336=""),"",IFERROR(N(INDEX(Accounts!$E$7:$E$16,MATCH($C336,Accounts!$B$7:$B$16,0))),0)+SUMIFS($Q$6:$Q336,$C$6:$C336,$C336))</f>
        <v/>
      </c>
      <c r="AQ336" s="55" t="str">
        <f>IF(OR($AM336=0,$C336=""),"",SUMIFS($Q$6:$Q$1005,$C$6:$C$1005,$C336,$A$6:$A$1005,$A336))</f>
        <v/>
      </c>
      <c r="AR336" s="55" t="str">
        <f>IF(OR($AM336=0,$C336=""),"",IFERROR(N(INDEX(Accounts!$E$7:$E$16,MATCH($C336,Accounts!$B$7:$B$16,0))),0)+SUMIFS($Q$6:$Q$1005,$C$6:$C$1005,$C336,$A$6:$A$1005,"&lt;="&amp;$A336))</f>
        <v/>
      </c>
      <c r="AS336" s="56">
        <f>IF(OR($AM336=0,$Q336=""),0,IF(AND($A336&gt;=Lists!$W$6,$A336&lt;=Lists!$W$7,OR(Dashboard!$D$6="All accounts",$C336=Dashboard!$D$6),OR(Dashboard!$D$7="All markets",$AF336=Dashboard!$D$7)),1,0))</f>
        <v>0</v>
      </c>
      <c r="AT336" s="55">
        <f>IF($AS336=1,N(AT335)+$Q336,N(AT335))</f>
        <v>1187.10688</v>
      </c>
      <c r="AU336" s="55">
        <f>MAX(N(AU335),$AT336)</f>
        <v>1187.10688</v>
      </c>
      <c r="AV336" s="55">
        <f>$AT336-$AU336</f>
        <v>0</v>
      </c>
      <c r="AW336" s="56">
        <f>IF($AS336=1,IF($S336="Win",N(AW335)+1,IF($S336="Loss",0,N(AW335))),N(AW335))</f>
        <v>5</v>
      </c>
      <c r="AX336" s="56">
        <f>IF($AS336=1,IF($S336="Loss",N(AX335)+1,IF($S336="Win",0,N(AX335))),N(AX335))</f>
        <v>0</v>
      </c>
      <c r="AY336" s="56" t="str">
        <f>IF($AS336=1,COUNTIF($AS$6:$AS336,1),"")</f>
        <v/>
      </c>
      <c r="AZ336" s="56">
        <f>MIN(330,N(Lists!$W$8))</f>
        <v>28</v>
      </c>
      <c r="BA336" s="56">
        <f>IF($AS336=1,IF(COUNTIFS($A$6:$A336,$A336,$AS$6:$AS336,1)=1,1,0),0)</f>
        <v>0</v>
      </c>
      <c r="BB336" s="55" t="str">
        <f>IF($BA336=1,SUMIFS($Q$6:$Q$1005,$A$6:$A$1005,$A336,$AS$6:$AS$1005,1),"")</f>
        <v/>
      </c>
      <c r="BC336" s="56">
        <f>IF(ISNUMBER($R336),1,0)</f>
        <v>0</v>
      </c>
      <c r="BD336" s="55" t="str">
        <f>IF(ISNUMBER($U336),$U336*$V336,"")</f>
        <v/>
      </c>
      <c r="BE336" s="56" t="str">
        <f>IF($AM336=0,"",IFERROR(MATCH($AF336&amp;"|"&amp;UPPER(TRIM($E336)),Lists!$A$6:$A$205,0),0))</f>
        <v/>
      </c>
      <c r="BF336" s="56" t="str">
        <f>IF($AM336=0,"",IFERROR(MATCH($AF336,Settings!$B$14:$B$18,0),IFERROR(MATCH(Settings!$C$6,Settings!$B$14:$B$18,0),1)))</f>
        <v/>
      </c>
      <c r="BG336" s="58" t="str">
        <f>IF($AM336=0,"",IF(NOT(ISNUMBER($I336)),"No stop; ","")&amp;IF(AND(ISNUMBER($H336),ISNUMBER($I336)),IF(OR(AND($F336&lt;&gt;"Short",$I336&gt;=$H336),AND($F336="Short",$I336&lt;=$H336)),"Stop on wrong side; ",""),"")&amp;IF($F336="","No direction; ","")&amp;IF(AND(ISNUMBER(Settings!$C$22),ISNUMBER($V336)),IF($V336&gt;Settings!$C$22,"Risk over max $; ",""),"")&amp;IF(AND(ISNUMBER(Settings!$C$23),ISNUMBER($V336),ISNUMBER($AP336),IFERROR(N(INDEX(Accounts!$E$7:$E$16,MATCH($C336,Accounts!$B$7:$B$16,0))),0)&gt;0),IF($V336&gt;Settings!$C$23*($AP336-N($Q336)),"Risk over max %; ",""),"")&amp;IF(AND(ISNUMBER(Settings!$C$24),ISNUMBER($N336)),IF($N336&gt;Settings!$C$24,"Leverage over max; ",""),"")&amp;IF(AND(ISNUMBER(Settings!$C$27),ISNUMBER($T336)),IF($T336&lt;Settings!$C$27,"R:R below min; ",""),"")&amp;IF(ISNUMBER(Settings!$C$25),IF(COUNTIFS($A$6:$A336,$A336,$AM$6:$AM336,1)&gt;Settings!$C$25,"Over max trades/day; ",""),"")&amp;IF(ISNUMBER(Settings!$C$26),IF(SUMIFS($Q$5:$Q335,$A$5:$A335,$A336)&lt;=-Settings!$C$26,"Traded after daily max loss; ",""),"")&amp;IF(AND($AG336="",NOT(ISNUMBER($O336))),"Symbol not in Instruments; ","")&amp;IF(AND($AH336="",NOT(ISNUMBER($O336))),"Forex cross: type Gross P&amp;L; ",""))</f>
        <v/>
      </c>
      <c r="BH336" s="56">
        <f>IF(ISNUMBER($Q336),1,0)</f>
        <v>0</v>
      </c>
      <c r="BI336" s="56">
        <f>IF($Y336="",0,1)</f>
        <v>0</v>
      </c>
      <c r="BJ336" s="56">
        <f>IF($AB336="",0,1)</f>
        <v>0</v>
      </c>
      <c r="BK336" s="56">
        <f>IF(AND($BH336=1,$W336&lt;&gt;"OK"),1,0)</f>
        <v>0</v>
      </c>
      <c r="BL336" s="55">
        <f>IF(N($AZ336)=0,0,IFERROR(INDEX($AT$6:$AT$1005,MATCH($AZ336,$AY$6:$AY$1005,0)),0))</f>
        <v>1187.10688</v>
      </c>
      <c r="BM336" s="56">
        <f>IF(ISNUMBER(SEARCH("daily max loss",$BG336)),1,0)</f>
        <v>0</v>
      </c>
    </row>
    <row r="337" ht="18" customHeight="1">
      <c r="A337" s="38" t="n"/>
      <c r="B337" s="39" t="n"/>
      <c r="C337" s="40" t="n"/>
      <c r="D337" s="41" t="n"/>
      <c r="E337" s="41" t="n"/>
      <c r="F337" s="41" t="n"/>
      <c r="G337" s="41" t="n"/>
      <c r="H337" s="42" t="n"/>
      <c r="I337" s="42" t="n"/>
      <c r="J337" s="42" t="n"/>
      <c r="K337" s="42" t="n"/>
      <c r="L337" s="41" t="n"/>
      <c r="M337" s="41" t="n"/>
      <c r="N337" s="41" t="n"/>
      <c r="O337" s="43" t="n"/>
      <c r="P337" s="43" t="n"/>
      <c r="Q337" s="44" t="str">
        <f>IF($AM337=0,"",IF(ISNUMBER($AK337),$AK337-N($AL337),""))</f>
        <v/>
      </c>
      <c r="R337" s="45" t="str">
        <f>IF(OR($Q337="",NOT(ISNUMBER($V337))),"",$AK337/$V337)</f>
        <v/>
      </c>
      <c r="S337" s="46" t="str">
        <f>IF($Q337="","",IF(AND(ISNUMBER($R337),ABS(N($R337))&lt;N(Settings!$C$8)),"Scratch",IF($Q337&gt;0,"Win",IF($Q337&lt;0,"Loss","Scratch"))))</f>
        <v/>
      </c>
      <c r="T337" s="47" t="str">
        <f>IF(OR($AM337=0,NOT(ISNUMBER($H337)),NOT(ISNUMBER($I337)),NOT(ISNUMBER($J337))),"",IF($H337=$I337,"",ROUND(ABS($J337-$H337)/ABS($H337-$I337),6)))</f>
        <v/>
      </c>
      <c r="U337" s="48" t="str">
        <f>IF(OR($S337&lt;&gt;"Win",NOT(ISNUMBER($T337)),NOT(ISNUMBER($R337))),"",MAX(0,$T337-$R337))</f>
        <v/>
      </c>
      <c r="V337" s="49" t="str">
        <f>IF(OR($AM337=0,NOT(ISNUMBER($H337)),NOT(ISNUMBER($I337)),NOT(ISNUMBER($G337))),"",IF(OR($AG337="",$AH337=""),"",IF(ROUND(ABS($H337-$I337)*ABS($G337)*$AG337*$AH337,6)=0,"",ROUND(ABS($H337-$I337)*ABS($G337)*$AG337*$AH337,6))))</f>
        <v/>
      </c>
      <c r="W337" s="50" t="str">
        <f>IF($AM337=0,"",IF($BG337="","OK",LEFT($BG337,LEN($BG337)-2)))</f>
        <v/>
      </c>
      <c r="X337" s="41" t="n"/>
      <c r="Y337" s="40" t="n"/>
      <c r="Z337" s="41" t="n"/>
      <c r="AA337" s="41" t="n"/>
      <c r="AB337" s="40" t="n"/>
      <c r="AC337" s="51" t="n"/>
      <c r="AD337" s="51" t="n"/>
      <c r="AE337" s="40" t="n"/>
      <c r="AF337" s="52" t="str">
        <f>IF($AM337=0,"",IF($D337&lt;&gt;"",$D337,IF(IFERROR(INDEX(Accounts!$C$7:$C$16,MATCH($C337,Accounts!$B$7:$B$16,0))&amp;"","")&lt;&gt;"",INDEX(Accounts!$C$7:$C$16,MATCH($C337,Accounts!$B$7:$B$16,0)),Settings!$C$6)))</f>
        <v/>
      </c>
      <c r="AG337" s="53" t="str">
        <f>IF($AM337=0,"",IF(AND($BE337&gt;0,N(INDEX(Instruments!$D$6:$D$205,MAX(1,$BE337)))&gt;0),INDEX(Instruments!$D$6:$D$205,MAX(1,$BE337)),IF(N(INDEX(Settings!$D$14:$D$18,$BF337))&gt;0,INDEX(Settings!$D$14:$D$18,$BF337),"")))</f>
        <v/>
      </c>
      <c r="AH337" s="54" t="str">
        <f>IF($AM337=0,"",IF($AF337&lt;&gt;"Forex",1,IF(MID(UPPER(SUBSTITUTE(TRIM($E337),"/","")),4,3)=UPPER(TRIM(Settings!$C$7)),1,IF(LEFT(UPPER(SUBSTITUTE(TRIM($E337),"/","")),3)=UPPER(TRIM(Settings!$C$7)),IF(AND(ISNUMBER($K337),N($K337)&lt;&gt;0),1/$K337,""),""))))</f>
        <v/>
      </c>
      <c r="AI337" s="55" t="str">
        <f>IF($AM337=0,"",IF(OR(NOT(ISNUMBER($H337)),NOT(ISNUMBER($K337)),NOT(ISNUMBER($G337)),$AG337="",$AH337=""),"",ROUND(($K337-$H337)*IF($F337="Short",-1,1)*$G337*$AG337*$AH337,6)))</f>
        <v/>
      </c>
      <c r="AJ337" s="55" t="str">
        <f>IF($AM337=0,"",IF(INDEX(Settings!$E$14:$E$18,$BF337)="% of notional",IF(OR($AG337="",NOT(ISNUMBER($H337)),NOT(ISNUMBER($G337))),"",ROUND(ABS($H337*$G337*$AG337*N($AH337))*IF($L337="Limit",N(INDEX(Settings!$G$14:$G$18,$BF337)),N(INDEX(Settings!$H$14:$H$18,$BF337)))+IF(ISNUMBER($K337),ABS($K337*$G337*$AG337*N($AH337))*IF($M337="Target",N(INDEX(Settings!$G$14:$G$18,$BF337)),N(INDEX(Settings!$H$14:$H$18,$BF337))),0),6)),IF(NOT(ISNUMBER($G337)),"",ROUND(ABS($G337)*2*IF(AND($BE337&gt;0,ISNUMBER(INDEX(Instruments!$G$6:$G$205,MAX(1,$BE337)))),INDEX(Instruments!$G$6:$G$205,MAX(1,$BE337)),N(INDEX(Settings!$F$14:$F$18,$BF337))),6))))</f>
        <v/>
      </c>
      <c r="AK337" s="55" t="str">
        <f>IF($AM337=0,"",IF(ISNUMBER($O337),$O337,$AI337))</f>
        <v/>
      </c>
      <c r="AL337" s="55" t="str">
        <f>IF($AM337=0,"",IF(ISNUMBER($P337),$P337,N($AJ337)))</f>
        <v/>
      </c>
      <c r="AM337" s="56">
        <f>IF(AND($A337&lt;&gt;"",$E337&lt;&gt;"",OR(AND(ISNUMBER($G337),ISNUMBER($H337),ISNUMBER($K337)),ISNUMBER($O337))),1,0)</f>
        <v>0</v>
      </c>
      <c r="AN337" s="57" t="str">
        <f>IF($A337="","",$A337-WEEKDAY($A337,3))</f>
        <v/>
      </c>
      <c r="AO337" s="56" t="str">
        <f>IF($A337="","",WEEKDAY($A337,2))</f>
        <v/>
      </c>
      <c r="AP337" s="55" t="str">
        <f>IF(OR($AM337=0,$C337=""),"",IFERROR(N(INDEX(Accounts!$E$7:$E$16,MATCH($C337,Accounts!$B$7:$B$16,0))),0)+SUMIFS($Q$6:$Q337,$C$6:$C337,$C337))</f>
        <v/>
      </c>
      <c r="AQ337" s="55" t="str">
        <f>IF(OR($AM337=0,$C337=""),"",SUMIFS($Q$6:$Q$1005,$C$6:$C$1005,$C337,$A$6:$A$1005,$A337))</f>
        <v/>
      </c>
      <c r="AR337" s="55" t="str">
        <f>IF(OR($AM337=0,$C337=""),"",IFERROR(N(INDEX(Accounts!$E$7:$E$16,MATCH($C337,Accounts!$B$7:$B$16,0))),0)+SUMIFS($Q$6:$Q$1005,$C$6:$C$1005,$C337,$A$6:$A$1005,"&lt;="&amp;$A337))</f>
        <v/>
      </c>
      <c r="AS337" s="56">
        <f>IF(OR($AM337=0,$Q337=""),0,IF(AND($A337&gt;=Lists!$W$6,$A337&lt;=Lists!$W$7,OR(Dashboard!$D$6="All accounts",$C337=Dashboard!$D$6),OR(Dashboard!$D$7="All markets",$AF337=Dashboard!$D$7)),1,0))</f>
        <v>0</v>
      </c>
      <c r="AT337" s="55">
        <f>IF($AS337=1,N(AT336)+$Q337,N(AT336))</f>
        <v>1187.10688</v>
      </c>
      <c r="AU337" s="55">
        <f>MAX(N(AU336),$AT337)</f>
        <v>1187.10688</v>
      </c>
      <c r="AV337" s="55">
        <f>$AT337-$AU337</f>
        <v>0</v>
      </c>
      <c r="AW337" s="56">
        <f>IF($AS337=1,IF($S337="Win",N(AW336)+1,IF($S337="Loss",0,N(AW336))),N(AW336))</f>
        <v>5</v>
      </c>
      <c r="AX337" s="56">
        <f>IF($AS337=1,IF($S337="Loss",N(AX336)+1,IF($S337="Win",0,N(AX336))),N(AX336))</f>
        <v>0</v>
      </c>
      <c r="AY337" s="56" t="str">
        <f>IF($AS337=1,COUNTIF($AS$6:$AS337,1),"")</f>
        <v/>
      </c>
      <c r="AZ337" s="56">
        <f>MIN(331,N(Lists!$W$8))</f>
        <v>28</v>
      </c>
      <c r="BA337" s="56">
        <f>IF($AS337=1,IF(COUNTIFS($A$6:$A337,$A337,$AS$6:$AS337,1)=1,1,0),0)</f>
        <v>0</v>
      </c>
      <c r="BB337" s="55" t="str">
        <f>IF($BA337=1,SUMIFS($Q$6:$Q$1005,$A$6:$A$1005,$A337,$AS$6:$AS$1005,1),"")</f>
        <v/>
      </c>
      <c r="BC337" s="56">
        <f>IF(ISNUMBER($R337),1,0)</f>
        <v>0</v>
      </c>
      <c r="BD337" s="55" t="str">
        <f>IF(ISNUMBER($U337),$U337*$V337,"")</f>
        <v/>
      </c>
      <c r="BE337" s="56" t="str">
        <f>IF($AM337=0,"",IFERROR(MATCH($AF337&amp;"|"&amp;UPPER(TRIM($E337)),Lists!$A$6:$A$205,0),0))</f>
        <v/>
      </c>
      <c r="BF337" s="56" t="str">
        <f>IF($AM337=0,"",IFERROR(MATCH($AF337,Settings!$B$14:$B$18,0),IFERROR(MATCH(Settings!$C$6,Settings!$B$14:$B$18,0),1)))</f>
        <v/>
      </c>
      <c r="BG337" s="58" t="str">
        <f>IF($AM337=0,"",IF(NOT(ISNUMBER($I337)),"No stop; ","")&amp;IF(AND(ISNUMBER($H337),ISNUMBER($I337)),IF(OR(AND($F337&lt;&gt;"Short",$I337&gt;=$H337),AND($F337="Short",$I337&lt;=$H337)),"Stop on wrong side; ",""),"")&amp;IF($F337="","No direction; ","")&amp;IF(AND(ISNUMBER(Settings!$C$22),ISNUMBER($V337)),IF($V337&gt;Settings!$C$22,"Risk over max $; ",""),"")&amp;IF(AND(ISNUMBER(Settings!$C$23),ISNUMBER($V337),ISNUMBER($AP337),IFERROR(N(INDEX(Accounts!$E$7:$E$16,MATCH($C337,Accounts!$B$7:$B$16,0))),0)&gt;0),IF($V337&gt;Settings!$C$23*($AP337-N($Q337)),"Risk over max %; ",""),"")&amp;IF(AND(ISNUMBER(Settings!$C$24),ISNUMBER($N337)),IF($N337&gt;Settings!$C$24,"Leverage over max; ",""),"")&amp;IF(AND(ISNUMBER(Settings!$C$27),ISNUMBER($T337)),IF($T337&lt;Settings!$C$27,"R:R below min; ",""),"")&amp;IF(ISNUMBER(Settings!$C$25),IF(COUNTIFS($A$6:$A337,$A337,$AM$6:$AM337,1)&gt;Settings!$C$25,"Over max trades/day; ",""),"")&amp;IF(ISNUMBER(Settings!$C$26),IF(SUMIFS($Q$5:$Q336,$A$5:$A336,$A337)&lt;=-Settings!$C$26,"Traded after daily max loss; ",""),"")&amp;IF(AND($AG337="",NOT(ISNUMBER($O337))),"Symbol not in Instruments; ","")&amp;IF(AND($AH337="",NOT(ISNUMBER($O337))),"Forex cross: type Gross P&amp;L; ",""))</f>
        <v/>
      </c>
      <c r="BH337" s="56">
        <f>IF(ISNUMBER($Q337),1,0)</f>
        <v>0</v>
      </c>
      <c r="BI337" s="56">
        <f>IF($Y337="",0,1)</f>
        <v>0</v>
      </c>
      <c r="BJ337" s="56">
        <f>IF($AB337="",0,1)</f>
        <v>0</v>
      </c>
      <c r="BK337" s="56">
        <f>IF(AND($BH337=1,$W337&lt;&gt;"OK"),1,0)</f>
        <v>0</v>
      </c>
      <c r="BL337" s="55">
        <f>IF(N($AZ337)=0,0,IFERROR(INDEX($AT$6:$AT$1005,MATCH($AZ337,$AY$6:$AY$1005,0)),0))</f>
        <v>1187.10688</v>
      </c>
      <c r="BM337" s="56">
        <f>IF(ISNUMBER(SEARCH("daily max loss",$BG337)),1,0)</f>
        <v>0</v>
      </c>
    </row>
    <row r="338" ht="18" customHeight="1">
      <c r="A338" s="38" t="n"/>
      <c r="B338" s="39" t="n"/>
      <c r="C338" s="40" t="n"/>
      <c r="D338" s="41" t="n"/>
      <c r="E338" s="41" t="n"/>
      <c r="F338" s="41" t="n"/>
      <c r="G338" s="41" t="n"/>
      <c r="H338" s="42" t="n"/>
      <c r="I338" s="42" t="n"/>
      <c r="J338" s="42" t="n"/>
      <c r="K338" s="42" t="n"/>
      <c r="L338" s="41" t="n"/>
      <c r="M338" s="41" t="n"/>
      <c r="N338" s="41" t="n"/>
      <c r="O338" s="43" t="n"/>
      <c r="P338" s="43" t="n"/>
      <c r="Q338" s="44" t="str">
        <f>IF($AM338=0,"",IF(ISNUMBER($AK338),$AK338-N($AL338),""))</f>
        <v/>
      </c>
      <c r="R338" s="45" t="str">
        <f>IF(OR($Q338="",NOT(ISNUMBER($V338))),"",$AK338/$V338)</f>
        <v/>
      </c>
      <c r="S338" s="46" t="str">
        <f>IF($Q338="","",IF(AND(ISNUMBER($R338),ABS(N($R338))&lt;N(Settings!$C$8)),"Scratch",IF($Q338&gt;0,"Win",IF($Q338&lt;0,"Loss","Scratch"))))</f>
        <v/>
      </c>
      <c r="T338" s="47" t="str">
        <f>IF(OR($AM338=0,NOT(ISNUMBER($H338)),NOT(ISNUMBER($I338)),NOT(ISNUMBER($J338))),"",IF($H338=$I338,"",ROUND(ABS($J338-$H338)/ABS($H338-$I338),6)))</f>
        <v/>
      </c>
      <c r="U338" s="48" t="str">
        <f>IF(OR($S338&lt;&gt;"Win",NOT(ISNUMBER($T338)),NOT(ISNUMBER($R338))),"",MAX(0,$T338-$R338))</f>
        <v/>
      </c>
      <c r="V338" s="49" t="str">
        <f>IF(OR($AM338=0,NOT(ISNUMBER($H338)),NOT(ISNUMBER($I338)),NOT(ISNUMBER($G338))),"",IF(OR($AG338="",$AH338=""),"",IF(ROUND(ABS($H338-$I338)*ABS($G338)*$AG338*$AH338,6)=0,"",ROUND(ABS($H338-$I338)*ABS($G338)*$AG338*$AH338,6))))</f>
        <v/>
      </c>
      <c r="W338" s="50" t="str">
        <f>IF($AM338=0,"",IF($BG338="","OK",LEFT($BG338,LEN($BG338)-2)))</f>
        <v/>
      </c>
      <c r="X338" s="41" t="n"/>
      <c r="Y338" s="40" t="n"/>
      <c r="Z338" s="41" t="n"/>
      <c r="AA338" s="41" t="n"/>
      <c r="AB338" s="40" t="n"/>
      <c r="AC338" s="51" t="n"/>
      <c r="AD338" s="51" t="n"/>
      <c r="AE338" s="40" t="n"/>
      <c r="AF338" s="52" t="str">
        <f>IF($AM338=0,"",IF($D338&lt;&gt;"",$D338,IF(IFERROR(INDEX(Accounts!$C$7:$C$16,MATCH($C338,Accounts!$B$7:$B$16,0))&amp;"","")&lt;&gt;"",INDEX(Accounts!$C$7:$C$16,MATCH($C338,Accounts!$B$7:$B$16,0)),Settings!$C$6)))</f>
        <v/>
      </c>
      <c r="AG338" s="53" t="str">
        <f>IF($AM338=0,"",IF(AND($BE338&gt;0,N(INDEX(Instruments!$D$6:$D$205,MAX(1,$BE338)))&gt;0),INDEX(Instruments!$D$6:$D$205,MAX(1,$BE338)),IF(N(INDEX(Settings!$D$14:$D$18,$BF338))&gt;0,INDEX(Settings!$D$14:$D$18,$BF338),"")))</f>
        <v/>
      </c>
      <c r="AH338" s="54" t="str">
        <f>IF($AM338=0,"",IF($AF338&lt;&gt;"Forex",1,IF(MID(UPPER(SUBSTITUTE(TRIM($E338),"/","")),4,3)=UPPER(TRIM(Settings!$C$7)),1,IF(LEFT(UPPER(SUBSTITUTE(TRIM($E338),"/","")),3)=UPPER(TRIM(Settings!$C$7)),IF(AND(ISNUMBER($K338),N($K338)&lt;&gt;0),1/$K338,""),""))))</f>
        <v/>
      </c>
      <c r="AI338" s="55" t="str">
        <f>IF($AM338=0,"",IF(OR(NOT(ISNUMBER($H338)),NOT(ISNUMBER($K338)),NOT(ISNUMBER($G338)),$AG338="",$AH338=""),"",ROUND(($K338-$H338)*IF($F338="Short",-1,1)*$G338*$AG338*$AH338,6)))</f>
        <v/>
      </c>
      <c r="AJ338" s="55" t="str">
        <f>IF($AM338=0,"",IF(INDEX(Settings!$E$14:$E$18,$BF338)="% of notional",IF(OR($AG338="",NOT(ISNUMBER($H338)),NOT(ISNUMBER($G338))),"",ROUND(ABS($H338*$G338*$AG338*N($AH338))*IF($L338="Limit",N(INDEX(Settings!$G$14:$G$18,$BF338)),N(INDEX(Settings!$H$14:$H$18,$BF338)))+IF(ISNUMBER($K338),ABS($K338*$G338*$AG338*N($AH338))*IF($M338="Target",N(INDEX(Settings!$G$14:$G$18,$BF338)),N(INDEX(Settings!$H$14:$H$18,$BF338))),0),6)),IF(NOT(ISNUMBER($G338)),"",ROUND(ABS($G338)*2*IF(AND($BE338&gt;0,ISNUMBER(INDEX(Instruments!$G$6:$G$205,MAX(1,$BE338)))),INDEX(Instruments!$G$6:$G$205,MAX(1,$BE338)),N(INDEX(Settings!$F$14:$F$18,$BF338))),6))))</f>
        <v/>
      </c>
      <c r="AK338" s="55" t="str">
        <f>IF($AM338=0,"",IF(ISNUMBER($O338),$O338,$AI338))</f>
        <v/>
      </c>
      <c r="AL338" s="55" t="str">
        <f>IF($AM338=0,"",IF(ISNUMBER($P338),$P338,N($AJ338)))</f>
        <v/>
      </c>
      <c r="AM338" s="56">
        <f>IF(AND($A338&lt;&gt;"",$E338&lt;&gt;"",OR(AND(ISNUMBER($G338),ISNUMBER($H338),ISNUMBER($K338)),ISNUMBER($O338))),1,0)</f>
        <v>0</v>
      </c>
      <c r="AN338" s="57" t="str">
        <f>IF($A338="","",$A338-WEEKDAY($A338,3))</f>
        <v/>
      </c>
      <c r="AO338" s="56" t="str">
        <f>IF($A338="","",WEEKDAY($A338,2))</f>
        <v/>
      </c>
      <c r="AP338" s="55" t="str">
        <f>IF(OR($AM338=0,$C338=""),"",IFERROR(N(INDEX(Accounts!$E$7:$E$16,MATCH($C338,Accounts!$B$7:$B$16,0))),0)+SUMIFS($Q$6:$Q338,$C$6:$C338,$C338))</f>
        <v/>
      </c>
      <c r="AQ338" s="55" t="str">
        <f>IF(OR($AM338=0,$C338=""),"",SUMIFS($Q$6:$Q$1005,$C$6:$C$1005,$C338,$A$6:$A$1005,$A338))</f>
        <v/>
      </c>
      <c r="AR338" s="55" t="str">
        <f>IF(OR($AM338=0,$C338=""),"",IFERROR(N(INDEX(Accounts!$E$7:$E$16,MATCH($C338,Accounts!$B$7:$B$16,0))),0)+SUMIFS($Q$6:$Q$1005,$C$6:$C$1005,$C338,$A$6:$A$1005,"&lt;="&amp;$A338))</f>
        <v/>
      </c>
      <c r="AS338" s="56">
        <f>IF(OR($AM338=0,$Q338=""),0,IF(AND($A338&gt;=Lists!$W$6,$A338&lt;=Lists!$W$7,OR(Dashboard!$D$6="All accounts",$C338=Dashboard!$D$6),OR(Dashboard!$D$7="All markets",$AF338=Dashboard!$D$7)),1,0))</f>
        <v>0</v>
      </c>
      <c r="AT338" s="55">
        <f>IF($AS338=1,N(AT337)+$Q338,N(AT337))</f>
        <v>1187.10688</v>
      </c>
      <c r="AU338" s="55">
        <f>MAX(N(AU337),$AT338)</f>
        <v>1187.10688</v>
      </c>
      <c r="AV338" s="55">
        <f>$AT338-$AU338</f>
        <v>0</v>
      </c>
      <c r="AW338" s="56">
        <f>IF($AS338=1,IF($S338="Win",N(AW337)+1,IF($S338="Loss",0,N(AW337))),N(AW337))</f>
        <v>5</v>
      </c>
      <c r="AX338" s="56">
        <f>IF($AS338=1,IF($S338="Loss",N(AX337)+1,IF($S338="Win",0,N(AX337))),N(AX337))</f>
        <v>0</v>
      </c>
      <c r="AY338" s="56" t="str">
        <f>IF($AS338=1,COUNTIF($AS$6:$AS338,1),"")</f>
        <v/>
      </c>
      <c r="AZ338" s="56">
        <f>MIN(332,N(Lists!$W$8))</f>
        <v>28</v>
      </c>
      <c r="BA338" s="56">
        <f>IF($AS338=1,IF(COUNTIFS($A$6:$A338,$A338,$AS$6:$AS338,1)=1,1,0),0)</f>
        <v>0</v>
      </c>
      <c r="BB338" s="55" t="str">
        <f>IF($BA338=1,SUMIFS($Q$6:$Q$1005,$A$6:$A$1005,$A338,$AS$6:$AS$1005,1),"")</f>
        <v/>
      </c>
      <c r="BC338" s="56">
        <f>IF(ISNUMBER($R338),1,0)</f>
        <v>0</v>
      </c>
      <c r="BD338" s="55" t="str">
        <f>IF(ISNUMBER($U338),$U338*$V338,"")</f>
        <v/>
      </c>
      <c r="BE338" s="56" t="str">
        <f>IF($AM338=0,"",IFERROR(MATCH($AF338&amp;"|"&amp;UPPER(TRIM($E338)),Lists!$A$6:$A$205,0),0))</f>
        <v/>
      </c>
      <c r="BF338" s="56" t="str">
        <f>IF($AM338=0,"",IFERROR(MATCH($AF338,Settings!$B$14:$B$18,0),IFERROR(MATCH(Settings!$C$6,Settings!$B$14:$B$18,0),1)))</f>
        <v/>
      </c>
      <c r="BG338" s="58" t="str">
        <f>IF($AM338=0,"",IF(NOT(ISNUMBER($I338)),"No stop; ","")&amp;IF(AND(ISNUMBER($H338),ISNUMBER($I338)),IF(OR(AND($F338&lt;&gt;"Short",$I338&gt;=$H338),AND($F338="Short",$I338&lt;=$H338)),"Stop on wrong side; ",""),"")&amp;IF($F338="","No direction; ","")&amp;IF(AND(ISNUMBER(Settings!$C$22),ISNUMBER($V338)),IF($V338&gt;Settings!$C$22,"Risk over max $; ",""),"")&amp;IF(AND(ISNUMBER(Settings!$C$23),ISNUMBER($V338),ISNUMBER($AP338),IFERROR(N(INDEX(Accounts!$E$7:$E$16,MATCH($C338,Accounts!$B$7:$B$16,0))),0)&gt;0),IF($V338&gt;Settings!$C$23*($AP338-N($Q338)),"Risk over max %; ",""),"")&amp;IF(AND(ISNUMBER(Settings!$C$24),ISNUMBER($N338)),IF($N338&gt;Settings!$C$24,"Leverage over max; ",""),"")&amp;IF(AND(ISNUMBER(Settings!$C$27),ISNUMBER($T338)),IF($T338&lt;Settings!$C$27,"R:R below min; ",""),"")&amp;IF(ISNUMBER(Settings!$C$25),IF(COUNTIFS($A$6:$A338,$A338,$AM$6:$AM338,1)&gt;Settings!$C$25,"Over max trades/day; ",""),"")&amp;IF(ISNUMBER(Settings!$C$26),IF(SUMIFS($Q$5:$Q337,$A$5:$A337,$A338)&lt;=-Settings!$C$26,"Traded after daily max loss; ",""),"")&amp;IF(AND($AG338="",NOT(ISNUMBER($O338))),"Symbol not in Instruments; ","")&amp;IF(AND($AH338="",NOT(ISNUMBER($O338))),"Forex cross: type Gross P&amp;L; ",""))</f>
        <v/>
      </c>
      <c r="BH338" s="56">
        <f>IF(ISNUMBER($Q338),1,0)</f>
        <v>0</v>
      </c>
      <c r="BI338" s="56">
        <f>IF($Y338="",0,1)</f>
        <v>0</v>
      </c>
      <c r="BJ338" s="56">
        <f>IF($AB338="",0,1)</f>
        <v>0</v>
      </c>
      <c r="BK338" s="56">
        <f>IF(AND($BH338=1,$W338&lt;&gt;"OK"),1,0)</f>
        <v>0</v>
      </c>
      <c r="BL338" s="55">
        <f>IF(N($AZ338)=0,0,IFERROR(INDEX($AT$6:$AT$1005,MATCH($AZ338,$AY$6:$AY$1005,0)),0))</f>
        <v>1187.10688</v>
      </c>
      <c r="BM338" s="56">
        <f>IF(ISNUMBER(SEARCH("daily max loss",$BG338)),1,0)</f>
        <v>0</v>
      </c>
    </row>
    <row r="339" ht="18" customHeight="1">
      <c r="A339" s="38" t="n"/>
      <c r="B339" s="39" t="n"/>
      <c r="C339" s="40" t="n"/>
      <c r="D339" s="41" t="n"/>
      <c r="E339" s="41" t="n"/>
      <c r="F339" s="41" t="n"/>
      <c r="G339" s="41" t="n"/>
      <c r="H339" s="42" t="n"/>
      <c r="I339" s="42" t="n"/>
      <c r="J339" s="42" t="n"/>
      <c r="K339" s="42" t="n"/>
      <c r="L339" s="41" t="n"/>
      <c r="M339" s="41" t="n"/>
      <c r="N339" s="41" t="n"/>
      <c r="O339" s="43" t="n"/>
      <c r="P339" s="43" t="n"/>
      <c r="Q339" s="44" t="str">
        <f>IF($AM339=0,"",IF(ISNUMBER($AK339),$AK339-N($AL339),""))</f>
        <v/>
      </c>
      <c r="R339" s="45" t="str">
        <f>IF(OR($Q339="",NOT(ISNUMBER($V339))),"",$AK339/$V339)</f>
        <v/>
      </c>
      <c r="S339" s="46" t="str">
        <f>IF($Q339="","",IF(AND(ISNUMBER($R339),ABS(N($R339))&lt;N(Settings!$C$8)),"Scratch",IF($Q339&gt;0,"Win",IF($Q339&lt;0,"Loss","Scratch"))))</f>
        <v/>
      </c>
      <c r="T339" s="47" t="str">
        <f>IF(OR($AM339=0,NOT(ISNUMBER($H339)),NOT(ISNUMBER($I339)),NOT(ISNUMBER($J339))),"",IF($H339=$I339,"",ROUND(ABS($J339-$H339)/ABS($H339-$I339),6)))</f>
        <v/>
      </c>
      <c r="U339" s="48" t="str">
        <f>IF(OR($S339&lt;&gt;"Win",NOT(ISNUMBER($T339)),NOT(ISNUMBER($R339))),"",MAX(0,$T339-$R339))</f>
        <v/>
      </c>
      <c r="V339" s="49" t="str">
        <f>IF(OR($AM339=0,NOT(ISNUMBER($H339)),NOT(ISNUMBER($I339)),NOT(ISNUMBER($G339))),"",IF(OR($AG339="",$AH339=""),"",IF(ROUND(ABS($H339-$I339)*ABS($G339)*$AG339*$AH339,6)=0,"",ROUND(ABS($H339-$I339)*ABS($G339)*$AG339*$AH339,6))))</f>
        <v/>
      </c>
      <c r="W339" s="50" t="str">
        <f>IF($AM339=0,"",IF($BG339="","OK",LEFT($BG339,LEN($BG339)-2)))</f>
        <v/>
      </c>
      <c r="X339" s="41" t="n"/>
      <c r="Y339" s="40" t="n"/>
      <c r="Z339" s="41" t="n"/>
      <c r="AA339" s="41" t="n"/>
      <c r="AB339" s="40" t="n"/>
      <c r="AC339" s="51" t="n"/>
      <c r="AD339" s="51" t="n"/>
      <c r="AE339" s="40" t="n"/>
      <c r="AF339" s="52" t="str">
        <f>IF($AM339=0,"",IF($D339&lt;&gt;"",$D339,IF(IFERROR(INDEX(Accounts!$C$7:$C$16,MATCH($C339,Accounts!$B$7:$B$16,0))&amp;"","")&lt;&gt;"",INDEX(Accounts!$C$7:$C$16,MATCH($C339,Accounts!$B$7:$B$16,0)),Settings!$C$6)))</f>
        <v/>
      </c>
      <c r="AG339" s="53" t="str">
        <f>IF($AM339=0,"",IF(AND($BE339&gt;0,N(INDEX(Instruments!$D$6:$D$205,MAX(1,$BE339)))&gt;0),INDEX(Instruments!$D$6:$D$205,MAX(1,$BE339)),IF(N(INDEX(Settings!$D$14:$D$18,$BF339))&gt;0,INDEX(Settings!$D$14:$D$18,$BF339),"")))</f>
        <v/>
      </c>
      <c r="AH339" s="54" t="str">
        <f>IF($AM339=0,"",IF($AF339&lt;&gt;"Forex",1,IF(MID(UPPER(SUBSTITUTE(TRIM($E339),"/","")),4,3)=UPPER(TRIM(Settings!$C$7)),1,IF(LEFT(UPPER(SUBSTITUTE(TRIM($E339),"/","")),3)=UPPER(TRIM(Settings!$C$7)),IF(AND(ISNUMBER($K339),N($K339)&lt;&gt;0),1/$K339,""),""))))</f>
        <v/>
      </c>
      <c r="AI339" s="55" t="str">
        <f>IF($AM339=0,"",IF(OR(NOT(ISNUMBER($H339)),NOT(ISNUMBER($K339)),NOT(ISNUMBER($G339)),$AG339="",$AH339=""),"",ROUND(($K339-$H339)*IF($F339="Short",-1,1)*$G339*$AG339*$AH339,6)))</f>
        <v/>
      </c>
      <c r="AJ339" s="55" t="str">
        <f>IF($AM339=0,"",IF(INDEX(Settings!$E$14:$E$18,$BF339)="% of notional",IF(OR($AG339="",NOT(ISNUMBER($H339)),NOT(ISNUMBER($G339))),"",ROUND(ABS($H339*$G339*$AG339*N($AH339))*IF($L339="Limit",N(INDEX(Settings!$G$14:$G$18,$BF339)),N(INDEX(Settings!$H$14:$H$18,$BF339)))+IF(ISNUMBER($K339),ABS($K339*$G339*$AG339*N($AH339))*IF($M339="Target",N(INDEX(Settings!$G$14:$G$18,$BF339)),N(INDEX(Settings!$H$14:$H$18,$BF339))),0),6)),IF(NOT(ISNUMBER($G339)),"",ROUND(ABS($G339)*2*IF(AND($BE339&gt;0,ISNUMBER(INDEX(Instruments!$G$6:$G$205,MAX(1,$BE339)))),INDEX(Instruments!$G$6:$G$205,MAX(1,$BE339)),N(INDEX(Settings!$F$14:$F$18,$BF339))),6))))</f>
        <v/>
      </c>
      <c r="AK339" s="55" t="str">
        <f>IF($AM339=0,"",IF(ISNUMBER($O339),$O339,$AI339))</f>
        <v/>
      </c>
      <c r="AL339" s="55" t="str">
        <f>IF($AM339=0,"",IF(ISNUMBER($P339),$P339,N($AJ339)))</f>
        <v/>
      </c>
      <c r="AM339" s="56">
        <f>IF(AND($A339&lt;&gt;"",$E339&lt;&gt;"",OR(AND(ISNUMBER($G339),ISNUMBER($H339),ISNUMBER($K339)),ISNUMBER($O339))),1,0)</f>
        <v>0</v>
      </c>
      <c r="AN339" s="57" t="str">
        <f>IF($A339="","",$A339-WEEKDAY($A339,3))</f>
        <v/>
      </c>
      <c r="AO339" s="56" t="str">
        <f>IF($A339="","",WEEKDAY($A339,2))</f>
        <v/>
      </c>
      <c r="AP339" s="55" t="str">
        <f>IF(OR($AM339=0,$C339=""),"",IFERROR(N(INDEX(Accounts!$E$7:$E$16,MATCH($C339,Accounts!$B$7:$B$16,0))),0)+SUMIFS($Q$6:$Q339,$C$6:$C339,$C339))</f>
        <v/>
      </c>
      <c r="AQ339" s="55" t="str">
        <f>IF(OR($AM339=0,$C339=""),"",SUMIFS($Q$6:$Q$1005,$C$6:$C$1005,$C339,$A$6:$A$1005,$A339))</f>
        <v/>
      </c>
      <c r="AR339" s="55" t="str">
        <f>IF(OR($AM339=0,$C339=""),"",IFERROR(N(INDEX(Accounts!$E$7:$E$16,MATCH($C339,Accounts!$B$7:$B$16,0))),0)+SUMIFS($Q$6:$Q$1005,$C$6:$C$1005,$C339,$A$6:$A$1005,"&lt;="&amp;$A339))</f>
        <v/>
      </c>
      <c r="AS339" s="56">
        <f>IF(OR($AM339=0,$Q339=""),0,IF(AND($A339&gt;=Lists!$W$6,$A339&lt;=Lists!$W$7,OR(Dashboard!$D$6="All accounts",$C339=Dashboard!$D$6),OR(Dashboard!$D$7="All markets",$AF339=Dashboard!$D$7)),1,0))</f>
        <v>0</v>
      </c>
      <c r="AT339" s="55">
        <f>IF($AS339=1,N(AT338)+$Q339,N(AT338))</f>
        <v>1187.10688</v>
      </c>
      <c r="AU339" s="55">
        <f>MAX(N(AU338),$AT339)</f>
        <v>1187.10688</v>
      </c>
      <c r="AV339" s="55">
        <f>$AT339-$AU339</f>
        <v>0</v>
      </c>
      <c r="AW339" s="56">
        <f>IF($AS339=1,IF($S339="Win",N(AW338)+1,IF($S339="Loss",0,N(AW338))),N(AW338))</f>
        <v>5</v>
      </c>
      <c r="AX339" s="56">
        <f>IF($AS339=1,IF($S339="Loss",N(AX338)+1,IF($S339="Win",0,N(AX338))),N(AX338))</f>
        <v>0</v>
      </c>
      <c r="AY339" s="56" t="str">
        <f>IF($AS339=1,COUNTIF($AS$6:$AS339,1),"")</f>
        <v/>
      </c>
      <c r="AZ339" s="56">
        <f>MIN(333,N(Lists!$W$8))</f>
        <v>28</v>
      </c>
      <c r="BA339" s="56">
        <f>IF($AS339=1,IF(COUNTIFS($A$6:$A339,$A339,$AS$6:$AS339,1)=1,1,0),0)</f>
        <v>0</v>
      </c>
      <c r="BB339" s="55" t="str">
        <f>IF($BA339=1,SUMIFS($Q$6:$Q$1005,$A$6:$A$1005,$A339,$AS$6:$AS$1005,1),"")</f>
        <v/>
      </c>
      <c r="BC339" s="56">
        <f>IF(ISNUMBER($R339),1,0)</f>
        <v>0</v>
      </c>
      <c r="BD339" s="55" t="str">
        <f>IF(ISNUMBER($U339),$U339*$V339,"")</f>
        <v/>
      </c>
      <c r="BE339" s="56" t="str">
        <f>IF($AM339=0,"",IFERROR(MATCH($AF339&amp;"|"&amp;UPPER(TRIM($E339)),Lists!$A$6:$A$205,0),0))</f>
        <v/>
      </c>
      <c r="BF339" s="56" t="str">
        <f>IF($AM339=0,"",IFERROR(MATCH($AF339,Settings!$B$14:$B$18,0),IFERROR(MATCH(Settings!$C$6,Settings!$B$14:$B$18,0),1)))</f>
        <v/>
      </c>
      <c r="BG339" s="58" t="str">
        <f>IF($AM339=0,"",IF(NOT(ISNUMBER($I339)),"No stop; ","")&amp;IF(AND(ISNUMBER($H339),ISNUMBER($I339)),IF(OR(AND($F339&lt;&gt;"Short",$I339&gt;=$H339),AND($F339="Short",$I339&lt;=$H339)),"Stop on wrong side; ",""),"")&amp;IF($F339="","No direction; ","")&amp;IF(AND(ISNUMBER(Settings!$C$22),ISNUMBER($V339)),IF($V339&gt;Settings!$C$22,"Risk over max $; ",""),"")&amp;IF(AND(ISNUMBER(Settings!$C$23),ISNUMBER($V339),ISNUMBER($AP339),IFERROR(N(INDEX(Accounts!$E$7:$E$16,MATCH($C339,Accounts!$B$7:$B$16,0))),0)&gt;0),IF($V339&gt;Settings!$C$23*($AP339-N($Q339)),"Risk over max %; ",""),"")&amp;IF(AND(ISNUMBER(Settings!$C$24),ISNUMBER($N339)),IF($N339&gt;Settings!$C$24,"Leverage over max; ",""),"")&amp;IF(AND(ISNUMBER(Settings!$C$27),ISNUMBER($T339)),IF($T339&lt;Settings!$C$27,"R:R below min; ",""),"")&amp;IF(ISNUMBER(Settings!$C$25),IF(COUNTIFS($A$6:$A339,$A339,$AM$6:$AM339,1)&gt;Settings!$C$25,"Over max trades/day; ",""),"")&amp;IF(ISNUMBER(Settings!$C$26),IF(SUMIFS($Q$5:$Q338,$A$5:$A338,$A339)&lt;=-Settings!$C$26,"Traded after daily max loss; ",""),"")&amp;IF(AND($AG339="",NOT(ISNUMBER($O339))),"Symbol not in Instruments; ","")&amp;IF(AND($AH339="",NOT(ISNUMBER($O339))),"Forex cross: type Gross P&amp;L; ",""))</f>
        <v/>
      </c>
      <c r="BH339" s="56">
        <f>IF(ISNUMBER($Q339),1,0)</f>
        <v>0</v>
      </c>
      <c r="BI339" s="56">
        <f>IF($Y339="",0,1)</f>
        <v>0</v>
      </c>
      <c r="BJ339" s="56">
        <f>IF($AB339="",0,1)</f>
        <v>0</v>
      </c>
      <c r="BK339" s="56">
        <f>IF(AND($BH339=1,$W339&lt;&gt;"OK"),1,0)</f>
        <v>0</v>
      </c>
      <c r="BL339" s="55">
        <f>IF(N($AZ339)=0,0,IFERROR(INDEX($AT$6:$AT$1005,MATCH($AZ339,$AY$6:$AY$1005,0)),0))</f>
        <v>1187.10688</v>
      </c>
      <c r="BM339" s="56">
        <f>IF(ISNUMBER(SEARCH("daily max loss",$BG339)),1,0)</f>
        <v>0</v>
      </c>
    </row>
    <row r="340" ht="18" customHeight="1">
      <c r="A340" s="38" t="n"/>
      <c r="B340" s="39" t="n"/>
      <c r="C340" s="40" t="n"/>
      <c r="D340" s="41" t="n"/>
      <c r="E340" s="41" t="n"/>
      <c r="F340" s="41" t="n"/>
      <c r="G340" s="41" t="n"/>
      <c r="H340" s="42" t="n"/>
      <c r="I340" s="42" t="n"/>
      <c r="J340" s="42" t="n"/>
      <c r="K340" s="42" t="n"/>
      <c r="L340" s="41" t="n"/>
      <c r="M340" s="41" t="n"/>
      <c r="N340" s="41" t="n"/>
      <c r="O340" s="43" t="n"/>
      <c r="P340" s="43" t="n"/>
      <c r="Q340" s="44" t="str">
        <f>IF($AM340=0,"",IF(ISNUMBER($AK340),$AK340-N($AL340),""))</f>
        <v/>
      </c>
      <c r="R340" s="45" t="str">
        <f>IF(OR($Q340="",NOT(ISNUMBER($V340))),"",$AK340/$V340)</f>
        <v/>
      </c>
      <c r="S340" s="46" t="str">
        <f>IF($Q340="","",IF(AND(ISNUMBER($R340),ABS(N($R340))&lt;N(Settings!$C$8)),"Scratch",IF($Q340&gt;0,"Win",IF($Q340&lt;0,"Loss","Scratch"))))</f>
        <v/>
      </c>
      <c r="T340" s="47" t="str">
        <f>IF(OR($AM340=0,NOT(ISNUMBER($H340)),NOT(ISNUMBER($I340)),NOT(ISNUMBER($J340))),"",IF($H340=$I340,"",ROUND(ABS($J340-$H340)/ABS($H340-$I340),6)))</f>
        <v/>
      </c>
      <c r="U340" s="48" t="str">
        <f>IF(OR($S340&lt;&gt;"Win",NOT(ISNUMBER($T340)),NOT(ISNUMBER($R340))),"",MAX(0,$T340-$R340))</f>
        <v/>
      </c>
      <c r="V340" s="49" t="str">
        <f>IF(OR($AM340=0,NOT(ISNUMBER($H340)),NOT(ISNUMBER($I340)),NOT(ISNUMBER($G340))),"",IF(OR($AG340="",$AH340=""),"",IF(ROUND(ABS($H340-$I340)*ABS($G340)*$AG340*$AH340,6)=0,"",ROUND(ABS($H340-$I340)*ABS($G340)*$AG340*$AH340,6))))</f>
        <v/>
      </c>
      <c r="W340" s="50" t="str">
        <f>IF($AM340=0,"",IF($BG340="","OK",LEFT($BG340,LEN($BG340)-2)))</f>
        <v/>
      </c>
      <c r="X340" s="41" t="n"/>
      <c r="Y340" s="40" t="n"/>
      <c r="Z340" s="41" t="n"/>
      <c r="AA340" s="41" t="n"/>
      <c r="AB340" s="40" t="n"/>
      <c r="AC340" s="51" t="n"/>
      <c r="AD340" s="51" t="n"/>
      <c r="AE340" s="40" t="n"/>
      <c r="AF340" s="52" t="str">
        <f>IF($AM340=0,"",IF($D340&lt;&gt;"",$D340,IF(IFERROR(INDEX(Accounts!$C$7:$C$16,MATCH($C340,Accounts!$B$7:$B$16,0))&amp;"","")&lt;&gt;"",INDEX(Accounts!$C$7:$C$16,MATCH($C340,Accounts!$B$7:$B$16,0)),Settings!$C$6)))</f>
        <v/>
      </c>
      <c r="AG340" s="53" t="str">
        <f>IF($AM340=0,"",IF(AND($BE340&gt;0,N(INDEX(Instruments!$D$6:$D$205,MAX(1,$BE340)))&gt;0),INDEX(Instruments!$D$6:$D$205,MAX(1,$BE340)),IF(N(INDEX(Settings!$D$14:$D$18,$BF340))&gt;0,INDEX(Settings!$D$14:$D$18,$BF340),"")))</f>
        <v/>
      </c>
      <c r="AH340" s="54" t="str">
        <f>IF($AM340=0,"",IF($AF340&lt;&gt;"Forex",1,IF(MID(UPPER(SUBSTITUTE(TRIM($E340),"/","")),4,3)=UPPER(TRIM(Settings!$C$7)),1,IF(LEFT(UPPER(SUBSTITUTE(TRIM($E340),"/","")),3)=UPPER(TRIM(Settings!$C$7)),IF(AND(ISNUMBER($K340),N($K340)&lt;&gt;0),1/$K340,""),""))))</f>
        <v/>
      </c>
      <c r="AI340" s="55" t="str">
        <f>IF($AM340=0,"",IF(OR(NOT(ISNUMBER($H340)),NOT(ISNUMBER($K340)),NOT(ISNUMBER($G340)),$AG340="",$AH340=""),"",ROUND(($K340-$H340)*IF($F340="Short",-1,1)*$G340*$AG340*$AH340,6)))</f>
        <v/>
      </c>
      <c r="AJ340" s="55" t="str">
        <f>IF($AM340=0,"",IF(INDEX(Settings!$E$14:$E$18,$BF340)="% of notional",IF(OR($AG340="",NOT(ISNUMBER($H340)),NOT(ISNUMBER($G340))),"",ROUND(ABS($H340*$G340*$AG340*N($AH340))*IF($L340="Limit",N(INDEX(Settings!$G$14:$G$18,$BF340)),N(INDEX(Settings!$H$14:$H$18,$BF340)))+IF(ISNUMBER($K340),ABS($K340*$G340*$AG340*N($AH340))*IF($M340="Target",N(INDEX(Settings!$G$14:$G$18,$BF340)),N(INDEX(Settings!$H$14:$H$18,$BF340))),0),6)),IF(NOT(ISNUMBER($G340)),"",ROUND(ABS($G340)*2*IF(AND($BE340&gt;0,ISNUMBER(INDEX(Instruments!$G$6:$G$205,MAX(1,$BE340)))),INDEX(Instruments!$G$6:$G$205,MAX(1,$BE340)),N(INDEX(Settings!$F$14:$F$18,$BF340))),6))))</f>
        <v/>
      </c>
      <c r="AK340" s="55" t="str">
        <f>IF($AM340=0,"",IF(ISNUMBER($O340),$O340,$AI340))</f>
        <v/>
      </c>
      <c r="AL340" s="55" t="str">
        <f>IF($AM340=0,"",IF(ISNUMBER($P340),$P340,N($AJ340)))</f>
        <v/>
      </c>
      <c r="AM340" s="56">
        <f>IF(AND($A340&lt;&gt;"",$E340&lt;&gt;"",OR(AND(ISNUMBER($G340),ISNUMBER($H340),ISNUMBER($K340)),ISNUMBER($O340))),1,0)</f>
        <v>0</v>
      </c>
      <c r="AN340" s="57" t="str">
        <f>IF($A340="","",$A340-WEEKDAY($A340,3))</f>
        <v/>
      </c>
      <c r="AO340" s="56" t="str">
        <f>IF($A340="","",WEEKDAY($A340,2))</f>
        <v/>
      </c>
      <c r="AP340" s="55" t="str">
        <f>IF(OR($AM340=0,$C340=""),"",IFERROR(N(INDEX(Accounts!$E$7:$E$16,MATCH($C340,Accounts!$B$7:$B$16,0))),0)+SUMIFS($Q$6:$Q340,$C$6:$C340,$C340))</f>
        <v/>
      </c>
      <c r="AQ340" s="55" t="str">
        <f>IF(OR($AM340=0,$C340=""),"",SUMIFS($Q$6:$Q$1005,$C$6:$C$1005,$C340,$A$6:$A$1005,$A340))</f>
        <v/>
      </c>
      <c r="AR340" s="55" t="str">
        <f>IF(OR($AM340=0,$C340=""),"",IFERROR(N(INDEX(Accounts!$E$7:$E$16,MATCH($C340,Accounts!$B$7:$B$16,0))),0)+SUMIFS($Q$6:$Q$1005,$C$6:$C$1005,$C340,$A$6:$A$1005,"&lt;="&amp;$A340))</f>
        <v/>
      </c>
      <c r="AS340" s="56">
        <f>IF(OR($AM340=0,$Q340=""),0,IF(AND($A340&gt;=Lists!$W$6,$A340&lt;=Lists!$W$7,OR(Dashboard!$D$6="All accounts",$C340=Dashboard!$D$6),OR(Dashboard!$D$7="All markets",$AF340=Dashboard!$D$7)),1,0))</f>
        <v>0</v>
      </c>
      <c r="AT340" s="55">
        <f>IF($AS340=1,N(AT339)+$Q340,N(AT339))</f>
        <v>1187.10688</v>
      </c>
      <c r="AU340" s="55">
        <f>MAX(N(AU339),$AT340)</f>
        <v>1187.10688</v>
      </c>
      <c r="AV340" s="55">
        <f>$AT340-$AU340</f>
        <v>0</v>
      </c>
      <c r="AW340" s="56">
        <f>IF($AS340=1,IF($S340="Win",N(AW339)+1,IF($S340="Loss",0,N(AW339))),N(AW339))</f>
        <v>5</v>
      </c>
      <c r="AX340" s="56">
        <f>IF($AS340=1,IF($S340="Loss",N(AX339)+1,IF($S340="Win",0,N(AX339))),N(AX339))</f>
        <v>0</v>
      </c>
      <c r="AY340" s="56" t="str">
        <f>IF($AS340=1,COUNTIF($AS$6:$AS340,1),"")</f>
        <v/>
      </c>
      <c r="AZ340" s="56">
        <f>MIN(334,N(Lists!$W$8))</f>
        <v>28</v>
      </c>
      <c r="BA340" s="56">
        <f>IF($AS340=1,IF(COUNTIFS($A$6:$A340,$A340,$AS$6:$AS340,1)=1,1,0),0)</f>
        <v>0</v>
      </c>
      <c r="BB340" s="55" t="str">
        <f>IF($BA340=1,SUMIFS($Q$6:$Q$1005,$A$6:$A$1005,$A340,$AS$6:$AS$1005,1),"")</f>
        <v/>
      </c>
      <c r="BC340" s="56">
        <f>IF(ISNUMBER($R340),1,0)</f>
        <v>0</v>
      </c>
      <c r="BD340" s="55" t="str">
        <f>IF(ISNUMBER($U340),$U340*$V340,"")</f>
        <v/>
      </c>
      <c r="BE340" s="56" t="str">
        <f>IF($AM340=0,"",IFERROR(MATCH($AF340&amp;"|"&amp;UPPER(TRIM($E340)),Lists!$A$6:$A$205,0),0))</f>
        <v/>
      </c>
      <c r="BF340" s="56" t="str">
        <f>IF($AM340=0,"",IFERROR(MATCH($AF340,Settings!$B$14:$B$18,0),IFERROR(MATCH(Settings!$C$6,Settings!$B$14:$B$18,0),1)))</f>
        <v/>
      </c>
      <c r="BG340" s="58" t="str">
        <f>IF($AM340=0,"",IF(NOT(ISNUMBER($I340)),"No stop; ","")&amp;IF(AND(ISNUMBER($H340),ISNUMBER($I340)),IF(OR(AND($F340&lt;&gt;"Short",$I340&gt;=$H340),AND($F340="Short",$I340&lt;=$H340)),"Stop on wrong side; ",""),"")&amp;IF($F340="","No direction; ","")&amp;IF(AND(ISNUMBER(Settings!$C$22),ISNUMBER($V340)),IF($V340&gt;Settings!$C$22,"Risk over max $; ",""),"")&amp;IF(AND(ISNUMBER(Settings!$C$23),ISNUMBER($V340),ISNUMBER($AP340),IFERROR(N(INDEX(Accounts!$E$7:$E$16,MATCH($C340,Accounts!$B$7:$B$16,0))),0)&gt;0),IF($V340&gt;Settings!$C$23*($AP340-N($Q340)),"Risk over max %; ",""),"")&amp;IF(AND(ISNUMBER(Settings!$C$24),ISNUMBER($N340)),IF($N340&gt;Settings!$C$24,"Leverage over max; ",""),"")&amp;IF(AND(ISNUMBER(Settings!$C$27),ISNUMBER($T340)),IF($T340&lt;Settings!$C$27,"R:R below min; ",""),"")&amp;IF(ISNUMBER(Settings!$C$25),IF(COUNTIFS($A$6:$A340,$A340,$AM$6:$AM340,1)&gt;Settings!$C$25,"Over max trades/day; ",""),"")&amp;IF(ISNUMBER(Settings!$C$26),IF(SUMIFS($Q$5:$Q339,$A$5:$A339,$A340)&lt;=-Settings!$C$26,"Traded after daily max loss; ",""),"")&amp;IF(AND($AG340="",NOT(ISNUMBER($O340))),"Symbol not in Instruments; ","")&amp;IF(AND($AH340="",NOT(ISNUMBER($O340))),"Forex cross: type Gross P&amp;L; ",""))</f>
        <v/>
      </c>
      <c r="BH340" s="56">
        <f>IF(ISNUMBER($Q340),1,0)</f>
        <v>0</v>
      </c>
      <c r="BI340" s="56">
        <f>IF($Y340="",0,1)</f>
        <v>0</v>
      </c>
      <c r="BJ340" s="56">
        <f>IF($AB340="",0,1)</f>
        <v>0</v>
      </c>
      <c r="BK340" s="56">
        <f>IF(AND($BH340=1,$W340&lt;&gt;"OK"),1,0)</f>
        <v>0</v>
      </c>
      <c r="BL340" s="55">
        <f>IF(N($AZ340)=0,0,IFERROR(INDEX($AT$6:$AT$1005,MATCH($AZ340,$AY$6:$AY$1005,0)),0))</f>
        <v>1187.10688</v>
      </c>
      <c r="BM340" s="56">
        <f>IF(ISNUMBER(SEARCH("daily max loss",$BG340)),1,0)</f>
        <v>0</v>
      </c>
    </row>
    <row r="341" ht="18" customHeight="1">
      <c r="A341" s="38" t="n"/>
      <c r="B341" s="39" t="n"/>
      <c r="C341" s="40" t="n"/>
      <c r="D341" s="41" t="n"/>
      <c r="E341" s="41" t="n"/>
      <c r="F341" s="41" t="n"/>
      <c r="G341" s="41" t="n"/>
      <c r="H341" s="42" t="n"/>
      <c r="I341" s="42" t="n"/>
      <c r="J341" s="42" t="n"/>
      <c r="K341" s="42" t="n"/>
      <c r="L341" s="41" t="n"/>
      <c r="M341" s="41" t="n"/>
      <c r="N341" s="41" t="n"/>
      <c r="O341" s="43" t="n"/>
      <c r="P341" s="43" t="n"/>
      <c r="Q341" s="44" t="str">
        <f>IF($AM341=0,"",IF(ISNUMBER($AK341),$AK341-N($AL341),""))</f>
        <v/>
      </c>
      <c r="R341" s="45" t="str">
        <f>IF(OR($Q341="",NOT(ISNUMBER($V341))),"",$AK341/$V341)</f>
        <v/>
      </c>
      <c r="S341" s="46" t="str">
        <f>IF($Q341="","",IF(AND(ISNUMBER($R341),ABS(N($R341))&lt;N(Settings!$C$8)),"Scratch",IF($Q341&gt;0,"Win",IF($Q341&lt;0,"Loss","Scratch"))))</f>
        <v/>
      </c>
      <c r="T341" s="47" t="str">
        <f>IF(OR($AM341=0,NOT(ISNUMBER($H341)),NOT(ISNUMBER($I341)),NOT(ISNUMBER($J341))),"",IF($H341=$I341,"",ROUND(ABS($J341-$H341)/ABS($H341-$I341),6)))</f>
        <v/>
      </c>
      <c r="U341" s="48" t="str">
        <f>IF(OR($S341&lt;&gt;"Win",NOT(ISNUMBER($T341)),NOT(ISNUMBER($R341))),"",MAX(0,$T341-$R341))</f>
        <v/>
      </c>
      <c r="V341" s="49" t="str">
        <f>IF(OR($AM341=0,NOT(ISNUMBER($H341)),NOT(ISNUMBER($I341)),NOT(ISNUMBER($G341))),"",IF(OR($AG341="",$AH341=""),"",IF(ROUND(ABS($H341-$I341)*ABS($G341)*$AG341*$AH341,6)=0,"",ROUND(ABS($H341-$I341)*ABS($G341)*$AG341*$AH341,6))))</f>
        <v/>
      </c>
      <c r="W341" s="50" t="str">
        <f>IF($AM341=0,"",IF($BG341="","OK",LEFT($BG341,LEN($BG341)-2)))</f>
        <v/>
      </c>
      <c r="X341" s="41" t="n"/>
      <c r="Y341" s="40" t="n"/>
      <c r="Z341" s="41" t="n"/>
      <c r="AA341" s="41" t="n"/>
      <c r="AB341" s="40" t="n"/>
      <c r="AC341" s="51" t="n"/>
      <c r="AD341" s="51" t="n"/>
      <c r="AE341" s="40" t="n"/>
      <c r="AF341" s="52" t="str">
        <f>IF($AM341=0,"",IF($D341&lt;&gt;"",$D341,IF(IFERROR(INDEX(Accounts!$C$7:$C$16,MATCH($C341,Accounts!$B$7:$B$16,0))&amp;"","")&lt;&gt;"",INDEX(Accounts!$C$7:$C$16,MATCH($C341,Accounts!$B$7:$B$16,0)),Settings!$C$6)))</f>
        <v/>
      </c>
      <c r="AG341" s="53" t="str">
        <f>IF($AM341=0,"",IF(AND($BE341&gt;0,N(INDEX(Instruments!$D$6:$D$205,MAX(1,$BE341)))&gt;0),INDEX(Instruments!$D$6:$D$205,MAX(1,$BE341)),IF(N(INDEX(Settings!$D$14:$D$18,$BF341))&gt;0,INDEX(Settings!$D$14:$D$18,$BF341),"")))</f>
        <v/>
      </c>
      <c r="AH341" s="54" t="str">
        <f>IF($AM341=0,"",IF($AF341&lt;&gt;"Forex",1,IF(MID(UPPER(SUBSTITUTE(TRIM($E341),"/","")),4,3)=UPPER(TRIM(Settings!$C$7)),1,IF(LEFT(UPPER(SUBSTITUTE(TRIM($E341),"/","")),3)=UPPER(TRIM(Settings!$C$7)),IF(AND(ISNUMBER($K341),N($K341)&lt;&gt;0),1/$K341,""),""))))</f>
        <v/>
      </c>
      <c r="AI341" s="55" t="str">
        <f>IF($AM341=0,"",IF(OR(NOT(ISNUMBER($H341)),NOT(ISNUMBER($K341)),NOT(ISNUMBER($G341)),$AG341="",$AH341=""),"",ROUND(($K341-$H341)*IF($F341="Short",-1,1)*$G341*$AG341*$AH341,6)))</f>
        <v/>
      </c>
      <c r="AJ341" s="55" t="str">
        <f>IF($AM341=0,"",IF(INDEX(Settings!$E$14:$E$18,$BF341)="% of notional",IF(OR($AG341="",NOT(ISNUMBER($H341)),NOT(ISNUMBER($G341))),"",ROUND(ABS($H341*$G341*$AG341*N($AH341))*IF($L341="Limit",N(INDEX(Settings!$G$14:$G$18,$BF341)),N(INDEX(Settings!$H$14:$H$18,$BF341)))+IF(ISNUMBER($K341),ABS($K341*$G341*$AG341*N($AH341))*IF($M341="Target",N(INDEX(Settings!$G$14:$G$18,$BF341)),N(INDEX(Settings!$H$14:$H$18,$BF341))),0),6)),IF(NOT(ISNUMBER($G341)),"",ROUND(ABS($G341)*2*IF(AND($BE341&gt;0,ISNUMBER(INDEX(Instruments!$G$6:$G$205,MAX(1,$BE341)))),INDEX(Instruments!$G$6:$G$205,MAX(1,$BE341)),N(INDEX(Settings!$F$14:$F$18,$BF341))),6))))</f>
        <v/>
      </c>
      <c r="AK341" s="55" t="str">
        <f>IF($AM341=0,"",IF(ISNUMBER($O341),$O341,$AI341))</f>
        <v/>
      </c>
      <c r="AL341" s="55" t="str">
        <f>IF($AM341=0,"",IF(ISNUMBER($P341),$P341,N($AJ341)))</f>
        <v/>
      </c>
      <c r="AM341" s="56">
        <f>IF(AND($A341&lt;&gt;"",$E341&lt;&gt;"",OR(AND(ISNUMBER($G341),ISNUMBER($H341),ISNUMBER($K341)),ISNUMBER($O341))),1,0)</f>
        <v>0</v>
      </c>
      <c r="AN341" s="57" t="str">
        <f>IF($A341="","",$A341-WEEKDAY($A341,3))</f>
        <v/>
      </c>
      <c r="AO341" s="56" t="str">
        <f>IF($A341="","",WEEKDAY($A341,2))</f>
        <v/>
      </c>
      <c r="AP341" s="55" t="str">
        <f>IF(OR($AM341=0,$C341=""),"",IFERROR(N(INDEX(Accounts!$E$7:$E$16,MATCH($C341,Accounts!$B$7:$B$16,0))),0)+SUMIFS($Q$6:$Q341,$C$6:$C341,$C341))</f>
        <v/>
      </c>
      <c r="AQ341" s="55" t="str">
        <f>IF(OR($AM341=0,$C341=""),"",SUMIFS($Q$6:$Q$1005,$C$6:$C$1005,$C341,$A$6:$A$1005,$A341))</f>
        <v/>
      </c>
      <c r="AR341" s="55" t="str">
        <f>IF(OR($AM341=0,$C341=""),"",IFERROR(N(INDEX(Accounts!$E$7:$E$16,MATCH($C341,Accounts!$B$7:$B$16,0))),0)+SUMIFS($Q$6:$Q$1005,$C$6:$C$1005,$C341,$A$6:$A$1005,"&lt;="&amp;$A341))</f>
        <v/>
      </c>
      <c r="AS341" s="56">
        <f>IF(OR($AM341=0,$Q341=""),0,IF(AND($A341&gt;=Lists!$W$6,$A341&lt;=Lists!$W$7,OR(Dashboard!$D$6="All accounts",$C341=Dashboard!$D$6),OR(Dashboard!$D$7="All markets",$AF341=Dashboard!$D$7)),1,0))</f>
        <v>0</v>
      </c>
      <c r="AT341" s="55">
        <f>IF($AS341=1,N(AT340)+$Q341,N(AT340))</f>
        <v>1187.10688</v>
      </c>
      <c r="AU341" s="55">
        <f>MAX(N(AU340),$AT341)</f>
        <v>1187.10688</v>
      </c>
      <c r="AV341" s="55">
        <f>$AT341-$AU341</f>
        <v>0</v>
      </c>
      <c r="AW341" s="56">
        <f>IF($AS341=1,IF($S341="Win",N(AW340)+1,IF($S341="Loss",0,N(AW340))),N(AW340))</f>
        <v>5</v>
      </c>
      <c r="AX341" s="56">
        <f>IF($AS341=1,IF($S341="Loss",N(AX340)+1,IF($S341="Win",0,N(AX340))),N(AX340))</f>
        <v>0</v>
      </c>
      <c r="AY341" s="56" t="str">
        <f>IF($AS341=1,COUNTIF($AS$6:$AS341,1),"")</f>
        <v/>
      </c>
      <c r="AZ341" s="56">
        <f>MIN(335,N(Lists!$W$8))</f>
        <v>28</v>
      </c>
      <c r="BA341" s="56">
        <f>IF($AS341=1,IF(COUNTIFS($A$6:$A341,$A341,$AS$6:$AS341,1)=1,1,0),0)</f>
        <v>0</v>
      </c>
      <c r="BB341" s="55" t="str">
        <f>IF($BA341=1,SUMIFS($Q$6:$Q$1005,$A$6:$A$1005,$A341,$AS$6:$AS$1005,1),"")</f>
        <v/>
      </c>
      <c r="BC341" s="56">
        <f>IF(ISNUMBER($R341),1,0)</f>
        <v>0</v>
      </c>
      <c r="BD341" s="55" t="str">
        <f>IF(ISNUMBER($U341),$U341*$V341,"")</f>
        <v/>
      </c>
      <c r="BE341" s="56" t="str">
        <f>IF($AM341=0,"",IFERROR(MATCH($AF341&amp;"|"&amp;UPPER(TRIM($E341)),Lists!$A$6:$A$205,0),0))</f>
        <v/>
      </c>
      <c r="BF341" s="56" t="str">
        <f>IF($AM341=0,"",IFERROR(MATCH($AF341,Settings!$B$14:$B$18,0),IFERROR(MATCH(Settings!$C$6,Settings!$B$14:$B$18,0),1)))</f>
        <v/>
      </c>
      <c r="BG341" s="58" t="str">
        <f>IF($AM341=0,"",IF(NOT(ISNUMBER($I341)),"No stop; ","")&amp;IF(AND(ISNUMBER($H341),ISNUMBER($I341)),IF(OR(AND($F341&lt;&gt;"Short",$I341&gt;=$H341),AND($F341="Short",$I341&lt;=$H341)),"Stop on wrong side; ",""),"")&amp;IF($F341="","No direction; ","")&amp;IF(AND(ISNUMBER(Settings!$C$22),ISNUMBER($V341)),IF($V341&gt;Settings!$C$22,"Risk over max $; ",""),"")&amp;IF(AND(ISNUMBER(Settings!$C$23),ISNUMBER($V341),ISNUMBER($AP341),IFERROR(N(INDEX(Accounts!$E$7:$E$16,MATCH($C341,Accounts!$B$7:$B$16,0))),0)&gt;0),IF($V341&gt;Settings!$C$23*($AP341-N($Q341)),"Risk over max %; ",""),"")&amp;IF(AND(ISNUMBER(Settings!$C$24),ISNUMBER($N341)),IF($N341&gt;Settings!$C$24,"Leverage over max; ",""),"")&amp;IF(AND(ISNUMBER(Settings!$C$27),ISNUMBER($T341)),IF($T341&lt;Settings!$C$27,"R:R below min; ",""),"")&amp;IF(ISNUMBER(Settings!$C$25),IF(COUNTIFS($A$6:$A341,$A341,$AM$6:$AM341,1)&gt;Settings!$C$25,"Over max trades/day; ",""),"")&amp;IF(ISNUMBER(Settings!$C$26),IF(SUMIFS($Q$5:$Q340,$A$5:$A340,$A341)&lt;=-Settings!$C$26,"Traded after daily max loss; ",""),"")&amp;IF(AND($AG341="",NOT(ISNUMBER($O341))),"Symbol not in Instruments; ","")&amp;IF(AND($AH341="",NOT(ISNUMBER($O341))),"Forex cross: type Gross P&amp;L; ",""))</f>
        <v/>
      </c>
      <c r="BH341" s="56">
        <f>IF(ISNUMBER($Q341),1,0)</f>
        <v>0</v>
      </c>
      <c r="BI341" s="56">
        <f>IF($Y341="",0,1)</f>
        <v>0</v>
      </c>
      <c r="BJ341" s="56">
        <f>IF($AB341="",0,1)</f>
        <v>0</v>
      </c>
      <c r="BK341" s="56">
        <f>IF(AND($BH341=1,$W341&lt;&gt;"OK"),1,0)</f>
        <v>0</v>
      </c>
      <c r="BL341" s="55">
        <f>IF(N($AZ341)=0,0,IFERROR(INDEX($AT$6:$AT$1005,MATCH($AZ341,$AY$6:$AY$1005,0)),0))</f>
        <v>1187.10688</v>
      </c>
      <c r="BM341" s="56">
        <f>IF(ISNUMBER(SEARCH("daily max loss",$BG341)),1,0)</f>
        <v>0</v>
      </c>
    </row>
    <row r="342" ht="18" customHeight="1">
      <c r="A342" s="38" t="n"/>
      <c r="B342" s="39" t="n"/>
      <c r="C342" s="40" t="n"/>
      <c r="D342" s="41" t="n"/>
      <c r="E342" s="41" t="n"/>
      <c r="F342" s="41" t="n"/>
      <c r="G342" s="41" t="n"/>
      <c r="H342" s="42" t="n"/>
      <c r="I342" s="42" t="n"/>
      <c r="J342" s="42" t="n"/>
      <c r="K342" s="42" t="n"/>
      <c r="L342" s="41" t="n"/>
      <c r="M342" s="41" t="n"/>
      <c r="N342" s="41" t="n"/>
      <c r="O342" s="43" t="n"/>
      <c r="P342" s="43" t="n"/>
      <c r="Q342" s="44" t="str">
        <f>IF($AM342=0,"",IF(ISNUMBER($AK342),$AK342-N($AL342),""))</f>
        <v/>
      </c>
      <c r="R342" s="45" t="str">
        <f>IF(OR($Q342="",NOT(ISNUMBER($V342))),"",$AK342/$V342)</f>
        <v/>
      </c>
      <c r="S342" s="46" t="str">
        <f>IF($Q342="","",IF(AND(ISNUMBER($R342),ABS(N($R342))&lt;N(Settings!$C$8)),"Scratch",IF($Q342&gt;0,"Win",IF($Q342&lt;0,"Loss","Scratch"))))</f>
        <v/>
      </c>
      <c r="T342" s="47" t="str">
        <f>IF(OR($AM342=0,NOT(ISNUMBER($H342)),NOT(ISNUMBER($I342)),NOT(ISNUMBER($J342))),"",IF($H342=$I342,"",ROUND(ABS($J342-$H342)/ABS($H342-$I342),6)))</f>
        <v/>
      </c>
      <c r="U342" s="48" t="str">
        <f>IF(OR($S342&lt;&gt;"Win",NOT(ISNUMBER($T342)),NOT(ISNUMBER($R342))),"",MAX(0,$T342-$R342))</f>
        <v/>
      </c>
      <c r="V342" s="49" t="str">
        <f>IF(OR($AM342=0,NOT(ISNUMBER($H342)),NOT(ISNUMBER($I342)),NOT(ISNUMBER($G342))),"",IF(OR($AG342="",$AH342=""),"",IF(ROUND(ABS($H342-$I342)*ABS($G342)*$AG342*$AH342,6)=0,"",ROUND(ABS($H342-$I342)*ABS($G342)*$AG342*$AH342,6))))</f>
        <v/>
      </c>
      <c r="W342" s="50" t="str">
        <f>IF($AM342=0,"",IF($BG342="","OK",LEFT($BG342,LEN($BG342)-2)))</f>
        <v/>
      </c>
      <c r="X342" s="41" t="n"/>
      <c r="Y342" s="40" t="n"/>
      <c r="Z342" s="41" t="n"/>
      <c r="AA342" s="41" t="n"/>
      <c r="AB342" s="40" t="n"/>
      <c r="AC342" s="51" t="n"/>
      <c r="AD342" s="51" t="n"/>
      <c r="AE342" s="40" t="n"/>
      <c r="AF342" s="52" t="str">
        <f>IF($AM342=0,"",IF($D342&lt;&gt;"",$D342,IF(IFERROR(INDEX(Accounts!$C$7:$C$16,MATCH($C342,Accounts!$B$7:$B$16,0))&amp;"","")&lt;&gt;"",INDEX(Accounts!$C$7:$C$16,MATCH($C342,Accounts!$B$7:$B$16,0)),Settings!$C$6)))</f>
        <v/>
      </c>
      <c r="AG342" s="53" t="str">
        <f>IF($AM342=0,"",IF(AND($BE342&gt;0,N(INDEX(Instruments!$D$6:$D$205,MAX(1,$BE342)))&gt;0),INDEX(Instruments!$D$6:$D$205,MAX(1,$BE342)),IF(N(INDEX(Settings!$D$14:$D$18,$BF342))&gt;0,INDEX(Settings!$D$14:$D$18,$BF342),"")))</f>
        <v/>
      </c>
      <c r="AH342" s="54" t="str">
        <f>IF($AM342=0,"",IF($AF342&lt;&gt;"Forex",1,IF(MID(UPPER(SUBSTITUTE(TRIM($E342),"/","")),4,3)=UPPER(TRIM(Settings!$C$7)),1,IF(LEFT(UPPER(SUBSTITUTE(TRIM($E342),"/","")),3)=UPPER(TRIM(Settings!$C$7)),IF(AND(ISNUMBER($K342),N($K342)&lt;&gt;0),1/$K342,""),""))))</f>
        <v/>
      </c>
      <c r="AI342" s="55" t="str">
        <f>IF($AM342=0,"",IF(OR(NOT(ISNUMBER($H342)),NOT(ISNUMBER($K342)),NOT(ISNUMBER($G342)),$AG342="",$AH342=""),"",ROUND(($K342-$H342)*IF($F342="Short",-1,1)*$G342*$AG342*$AH342,6)))</f>
        <v/>
      </c>
      <c r="AJ342" s="55" t="str">
        <f>IF($AM342=0,"",IF(INDEX(Settings!$E$14:$E$18,$BF342)="% of notional",IF(OR($AG342="",NOT(ISNUMBER($H342)),NOT(ISNUMBER($G342))),"",ROUND(ABS($H342*$G342*$AG342*N($AH342))*IF($L342="Limit",N(INDEX(Settings!$G$14:$G$18,$BF342)),N(INDEX(Settings!$H$14:$H$18,$BF342)))+IF(ISNUMBER($K342),ABS($K342*$G342*$AG342*N($AH342))*IF($M342="Target",N(INDEX(Settings!$G$14:$G$18,$BF342)),N(INDEX(Settings!$H$14:$H$18,$BF342))),0),6)),IF(NOT(ISNUMBER($G342)),"",ROUND(ABS($G342)*2*IF(AND($BE342&gt;0,ISNUMBER(INDEX(Instruments!$G$6:$G$205,MAX(1,$BE342)))),INDEX(Instruments!$G$6:$G$205,MAX(1,$BE342)),N(INDEX(Settings!$F$14:$F$18,$BF342))),6))))</f>
        <v/>
      </c>
      <c r="AK342" s="55" t="str">
        <f>IF($AM342=0,"",IF(ISNUMBER($O342),$O342,$AI342))</f>
        <v/>
      </c>
      <c r="AL342" s="55" t="str">
        <f>IF($AM342=0,"",IF(ISNUMBER($P342),$P342,N($AJ342)))</f>
        <v/>
      </c>
      <c r="AM342" s="56">
        <f>IF(AND($A342&lt;&gt;"",$E342&lt;&gt;"",OR(AND(ISNUMBER($G342),ISNUMBER($H342),ISNUMBER($K342)),ISNUMBER($O342))),1,0)</f>
        <v>0</v>
      </c>
      <c r="AN342" s="57" t="str">
        <f>IF($A342="","",$A342-WEEKDAY($A342,3))</f>
        <v/>
      </c>
      <c r="AO342" s="56" t="str">
        <f>IF($A342="","",WEEKDAY($A342,2))</f>
        <v/>
      </c>
      <c r="AP342" s="55" t="str">
        <f>IF(OR($AM342=0,$C342=""),"",IFERROR(N(INDEX(Accounts!$E$7:$E$16,MATCH($C342,Accounts!$B$7:$B$16,0))),0)+SUMIFS($Q$6:$Q342,$C$6:$C342,$C342))</f>
        <v/>
      </c>
      <c r="AQ342" s="55" t="str">
        <f>IF(OR($AM342=0,$C342=""),"",SUMIFS($Q$6:$Q$1005,$C$6:$C$1005,$C342,$A$6:$A$1005,$A342))</f>
        <v/>
      </c>
      <c r="AR342" s="55" t="str">
        <f>IF(OR($AM342=0,$C342=""),"",IFERROR(N(INDEX(Accounts!$E$7:$E$16,MATCH($C342,Accounts!$B$7:$B$16,0))),0)+SUMIFS($Q$6:$Q$1005,$C$6:$C$1005,$C342,$A$6:$A$1005,"&lt;="&amp;$A342))</f>
        <v/>
      </c>
      <c r="AS342" s="56">
        <f>IF(OR($AM342=0,$Q342=""),0,IF(AND($A342&gt;=Lists!$W$6,$A342&lt;=Lists!$W$7,OR(Dashboard!$D$6="All accounts",$C342=Dashboard!$D$6),OR(Dashboard!$D$7="All markets",$AF342=Dashboard!$D$7)),1,0))</f>
        <v>0</v>
      </c>
      <c r="AT342" s="55">
        <f>IF($AS342=1,N(AT341)+$Q342,N(AT341))</f>
        <v>1187.10688</v>
      </c>
      <c r="AU342" s="55">
        <f>MAX(N(AU341),$AT342)</f>
        <v>1187.10688</v>
      </c>
      <c r="AV342" s="55">
        <f>$AT342-$AU342</f>
        <v>0</v>
      </c>
      <c r="AW342" s="56">
        <f>IF($AS342=1,IF($S342="Win",N(AW341)+1,IF($S342="Loss",0,N(AW341))),N(AW341))</f>
        <v>5</v>
      </c>
      <c r="AX342" s="56">
        <f>IF($AS342=1,IF($S342="Loss",N(AX341)+1,IF($S342="Win",0,N(AX341))),N(AX341))</f>
        <v>0</v>
      </c>
      <c r="AY342" s="56" t="str">
        <f>IF($AS342=1,COUNTIF($AS$6:$AS342,1),"")</f>
        <v/>
      </c>
      <c r="AZ342" s="56">
        <f>MIN(336,N(Lists!$W$8))</f>
        <v>28</v>
      </c>
      <c r="BA342" s="56">
        <f>IF($AS342=1,IF(COUNTIFS($A$6:$A342,$A342,$AS$6:$AS342,1)=1,1,0),0)</f>
        <v>0</v>
      </c>
      <c r="BB342" s="55" t="str">
        <f>IF($BA342=1,SUMIFS($Q$6:$Q$1005,$A$6:$A$1005,$A342,$AS$6:$AS$1005,1),"")</f>
        <v/>
      </c>
      <c r="BC342" s="56">
        <f>IF(ISNUMBER($R342),1,0)</f>
        <v>0</v>
      </c>
      <c r="BD342" s="55" t="str">
        <f>IF(ISNUMBER($U342),$U342*$V342,"")</f>
        <v/>
      </c>
      <c r="BE342" s="56" t="str">
        <f>IF($AM342=0,"",IFERROR(MATCH($AF342&amp;"|"&amp;UPPER(TRIM($E342)),Lists!$A$6:$A$205,0),0))</f>
        <v/>
      </c>
      <c r="BF342" s="56" t="str">
        <f>IF($AM342=0,"",IFERROR(MATCH($AF342,Settings!$B$14:$B$18,0),IFERROR(MATCH(Settings!$C$6,Settings!$B$14:$B$18,0),1)))</f>
        <v/>
      </c>
      <c r="BG342" s="58" t="str">
        <f>IF($AM342=0,"",IF(NOT(ISNUMBER($I342)),"No stop; ","")&amp;IF(AND(ISNUMBER($H342),ISNUMBER($I342)),IF(OR(AND($F342&lt;&gt;"Short",$I342&gt;=$H342),AND($F342="Short",$I342&lt;=$H342)),"Stop on wrong side; ",""),"")&amp;IF($F342="","No direction; ","")&amp;IF(AND(ISNUMBER(Settings!$C$22),ISNUMBER($V342)),IF($V342&gt;Settings!$C$22,"Risk over max $; ",""),"")&amp;IF(AND(ISNUMBER(Settings!$C$23),ISNUMBER($V342),ISNUMBER($AP342),IFERROR(N(INDEX(Accounts!$E$7:$E$16,MATCH($C342,Accounts!$B$7:$B$16,0))),0)&gt;0),IF($V342&gt;Settings!$C$23*($AP342-N($Q342)),"Risk over max %; ",""),"")&amp;IF(AND(ISNUMBER(Settings!$C$24),ISNUMBER($N342)),IF($N342&gt;Settings!$C$24,"Leverage over max; ",""),"")&amp;IF(AND(ISNUMBER(Settings!$C$27),ISNUMBER($T342)),IF($T342&lt;Settings!$C$27,"R:R below min; ",""),"")&amp;IF(ISNUMBER(Settings!$C$25),IF(COUNTIFS($A$6:$A342,$A342,$AM$6:$AM342,1)&gt;Settings!$C$25,"Over max trades/day; ",""),"")&amp;IF(ISNUMBER(Settings!$C$26),IF(SUMIFS($Q$5:$Q341,$A$5:$A341,$A342)&lt;=-Settings!$C$26,"Traded after daily max loss; ",""),"")&amp;IF(AND($AG342="",NOT(ISNUMBER($O342))),"Symbol not in Instruments; ","")&amp;IF(AND($AH342="",NOT(ISNUMBER($O342))),"Forex cross: type Gross P&amp;L; ",""))</f>
        <v/>
      </c>
      <c r="BH342" s="56">
        <f>IF(ISNUMBER($Q342),1,0)</f>
        <v>0</v>
      </c>
      <c r="BI342" s="56">
        <f>IF($Y342="",0,1)</f>
        <v>0</v>
      </c>
      <c r="BJ342" s="56">
        <f>IF($AB342="",0,1)</f>
        <v>0</v>
      </c>
      <c r="BK342" s="56">
        <f>IF(AND($BH342=1,$W342&lt;&gt;"OK"),1,0)</f>
        <v>0</v>
      </c>
      <c r="BL342" s="55">
        <f>IF(N($AZ342)=0,0,IFERROR(INDEX($AT$6:$AT$1005,MATCH($AZ342,$AY$6:$AY$1005,0)),0))</f>
        <v>1187.10688</v>
      </c>
      <c r="BM342" s="56">
        <f>IF(ISNUMBER(SEARCH("daily max loss",$BG342)),1,0)</f>
        <v>0</v>
      </c>
    </row>
    <row r="343" ht="18" customHeight="1">
      <c r="A343" s="38" t="n"/>
      <c r="B343" s="39" t="n"/>
      <c r="C343" s="40" t="n"/>
      <c r="D343" s="41" t="n"/>
      <c r="E343" s="41" t="n"/>
      <c r="F343" s="41" t="n"/>
      <c r="G343" s="41" t="n"/>
      <c r="H343" s="42" t="n"/>
      <c r="I343" s="42" t="n"/>
      <c r="J343" s="42" t="n"/>
      <c r="K343" s="42" t="n"/>
      <c r="L343" s="41" t="n"/>
      <c r="M343" s="41" t="n"/>
      <c r="N343" s="41" t="n"/>
      <c r="O343" s="43" t="n"/>
      <c r="P343" s="43" t="n"/>
      <c r="Q343" s="44" t="str">
        <f>IF($AM343=0,"",IF(ISNUMBER($AK343),$AK343-N($AL343),""))</f>
        <v/>
      </c>
      <c r="R343" s="45" t="str">
        <f>IF(OR($Q343="",NOT(ISNUMBER($V343))),"",$AK343/$V343)</f>
        <v/>
      </c>
      <c r="S343" s="46" t="str">
        <f>IF($Q343="","",IF(AND(ISNUMBER($R343),ABS(N($R343))&lt;N(Settings!$C$8)),"Scratch",IF($Q343&gt;0,"Win",IF($Q343&lt;0,"Loss","Scratch"))))</f>
        <v/>
      </c>
      <c r="T343" s="47" t="str">
        <f>IF(OR($AM343=0,NOT(ISNUMBER($H343)),NOT(ISNUMBER($I343)),NOT(ISNUMBER($J343))),"",IF($H343=$I343,"",ROUND(ABS($J343-$H343)/ABS($H343-$I343),6)))</f>
        <v/>
      </c>
      <c r="U343" s="48" t="str">
        <f>IF(OR($S343&lt;&gt;"Win",NOT(ISNUMBER($T343)),NOT(ISNUMBER($R343))),"",MAX(0,$T343-$R343))</f>
        <v/>
      </c>
      <c r="V343" s="49" t="str">
        <f>IF(OR($AM343=0,NOT(ISNUMBER($H343)),NOT(ISNUMBER($I343)),NOT(ISNUMBER($G343))),"",IF(OR($AG343="",$AH343=""),"",IF(ROUND(ABS($H343-$I343)*ABS($G343)*$AG343*$AH343,6)=0,"",ROUND(ABS($H343-$I343)*ABS($G343)*$AG343*$AH343,6))))</f>
        <v/>
      </c>
      <c r="W343" s="50" t="str">
        <f>IF($AM343=0,"",IF($BG343="","OK",LEFT($BG343,LEN($BG343)-2)))</f>
        <v/>
      </c>
      <c r="X343" s="41" t="n"/>
      <c r="Y343" s="40" t="n"/>
      <c r="Z343" s="41" t="n"/>
      <c r="AA343" s="41" t="n"/>
      <c r="AB343" s="40" t="n"/>
      <c r="AC343" s="51" t="n"/>
      <c r="AD343" s="51" t="n"/>
      <c r="AE343" s="40" t="n"/>
      <c r="AF343" s="52" t="str">
        <f>IF($AM343=0,"",IF($D343&lt;&gt;"",$D343,IF(IFERROR(INDEX(Accounts!$C$7:$C$16,MATCH($C343,Accounts!$B$7:$B$16,0))&amp;"","")&lt;&gt;"",INDEX(Accounts!$C$7:$C$16,MATCH($C343,Accounts!$B$7:$B$16,0)),Settings!$C$6)))</f>
        <v/>
      </c>
      <c r="AG343" s="53" t="str">
        <f>IF($AM343=0,"",IF(AND($BE343&gt;0,N(INDEX(Instruments!$D$6:$D$205,MAX(1,$BE343)))&gt;0),INDEX(Instruments!$D$6:$D$205,MAX(1,$BE343)),IF(N(INDEX(Settings!$D$14:$D$18,$BF343))&gt;0,INDEX(Settings!$D$14:$D$18,$BF343),"")))</f>
        <v/>
      </c>
      <c r="AH343" s="54" t="str">
        <f>IF($AM343=0,"",IF($AF343&lt;&gt;"Forex",1,IF(MID(UPPER(SUBSTITUTE(TRIM($E343),"/","")),4,3)=UPPER(TRIM(Settings!$C$7)),1,IF(LEFT(UPPER(SUBSTITUTE(TRIM($E343),"/","")),3)=UPPER(TRIM(Settings!$C$7)),IF(AND(ISNUMBER($K343),N($K343)&lt;&gt;0),1/$K343,""),""))))</f>
        <v/>
      </c>
      <c r="AI343" s="55" t="str">
        <f>IF($AM343=0,"",IF(OR(NOT(ISNUMBER($H343)),NOT(ISNUMBER($K343)),NOT(ISNUMBER($G343)),$AG343="",$AH343=""),"",ROUND(($K343-$H343)*IF($F343="Short",-1,1)*$G343*$AG343*$AH343,6)))</f>
        <v/>
      </c>
      <c r="AJ343" s="55" t="str">
        <f>IF($AM343=0,"",IF(INDEX(Settings!$E$14:$E$18,$BF343)="% of notional",IF(OR($AG343="",NOT(ISNUMBER($H343)),NOT(ISNUMBER($G343))),"",ROUND(ABS($H343*$G343*$AG343*N($AH343))*IF($L343="Limit",N(INDEX(Settings!$G$14:$G$18,$BF343)),N(INDEX(Settings!$H$14:$H$18,$BF343)))+IF(ISNUMBER($K343),ABS($K343*$G343*$AG343*N($AH343))*IF($M343="Target",N(INDEX(Settings!$G$14:$G$18,$BF343)),N(INDEX(Settings!$H$14:$H$18,$BF343))),0),6)),IF(NOT(ISNUMBER($G343)),"",ROUND(ABS($G343)*2*IF(AND($BE343&gt;0,ISNUMBER(INDEX(Instruments!$G$6:$G$205,MAX(1,$BE343)))),INDEX(Instruments!$G$6:$G$205,MAX(1,$BE343)),N(INDEX(Settings!$F$14:$F$18,$BF343))),6))))</f>
        <v/>
      </c>
      <c r="AK343" s="55" t="str">
        <f>IF($AM343=0,"",IF(ISNUMBER($O343),$O343,$AI343))</f>
        <v/>
      </c>
      <c r="AL343" s="55" t="str">
        <f>IF($AM343=0,"",IF(ISNUMBER($P343),$P343,N($AJ343)))</f>
        <v/>
      </c>
      <c r="AM343" s="56">
        <f>IF(AND($A343&lt;&gt;"",$E343&lt;&gt;"",OR(AND(ISNUMBER($G343),ISNUMBER($H343),ISNUMBER($K343)),ISNUMBER($O343))),1,0)</f>
        <v>0</v>
      </c>
      <c r="AN343" s="57" t="str">
        <f>IF($A343="","",$A343-WEEKDAY($A343,3))</f>
        <v/>
      </c>
      <c r="AO343" s="56" t="str">
        <f>IF($A343="","",WEEKDAY($A343,2))</f>
        <v/>
      </c>
      <c r="AP343" s="55" t="str">
        <f>IF(OR($AM343=0,$C343=""),"",IFERROR(N(INDEX(Accounts!$E$7:$E$16,MATCH($C343,Accounts!$B$7:$B$16,0))),0)+SUMIFS($Q$6:$Q343,$C$6:$C343,$C343))</f>
        <v/>
      </c>
      <c r="AQ343" s="55" t="str">
        <f>IF(OR($AM343=0,$C343=""),"",SUMIFS($Q$6:$Q$1005,$C$6:$C$1005,$C343,$A$6:$A$1005,$A343))</f>
        <v/>
      </c>
      <c r="AR343" s="55" t="str">
        <f>IF(OR($AM343=0,$C343=""),"",IFERROR(N(INDEX(Accounts!$E$7:$E$16,MATCH($C343,Accounts!$B$7:$B$16,0))),0)+SUMIFS($Q$6:$Q$1005,$C$6:$C$1005,$C343,$A$6:$A$1005,"&lt;="&amp;$A343))</f>
        <v/>
      </c>
      <c r="AS343" s="56">
        <f>IF(OR($AM343=0,$Q343=""),0,IF(AND($A343&gt;=Lists!$W$6,$A343&lt;=Lists!$W$7,OR(Dashboard!$D$6="All accounts",$C343=Dashboard!$D$6),OR(Dashboard!$D$7="All markets",$AF343=Dashboard!$D$7)),1,0))</f>
        <v>0</v>
      </c>
      <c r="AT343" s="55">
        <f>IF($AS343=1,N(AT342)+$Q343,N(AT342))</f>
        <v>1187.10688</v>
      </c>
      <c r="AU343" s="55">
        <f>MAX(N(AU342),$AT343)</f>
        <v>1187.10688</v>
      </c>
      <c r="AV343" s="55">
        <f>$AT343-$AU343</f>
        <v>0</v>
      </c>
      <c r="AW343" s="56">
        <f>IF($AS343=1,IF($S343="Win",N(AW342)+1,IF($S343="Loss",0,N(AW342))),N(AW342))</f>
        <v>5</v>
      </c>
      <c r="AX343" s="56">
        <f>IF($AS343=1,IF($S343="Loss",N(AX342)+1,IF($S343="Win",0,N(AX342))),N(AX342))</f>
        <v>0</v>
      </c>
      <c r="AY343" s="56" t="str">
        <f>IF($AS343=1,COUNTIF($AS$6:$AS343,1),"")</f>
        <v/>
      </c>
      <c r="AZ343" s="56">
        <f>MIN(337,N(Lists!$W$8))</f>
        <v>28</v>
      </c>
      <c r="BA343" s="56">
        <f>IF($AS343=1,IF(COUNTIFS($A$6:$A343,$A343,$AS$6:$AS343,1)=1,1,0),0)</f>
        <v>0</v>
      </c>
      <c r="BB343" s="55" t="str">
        <f>IF($BA343=1,SUMIFS($Q$6:$Q$1005,$A$6:$A$1005,$A343,$AS$6:$AS$1005,1),"")</f>
        <v/>
      </c>
      <c r="BC343" s="56">
        <f>IF(ISNUMBER($R343),1,0)</f>
        <v>0</v>
      </c>
      <c r="BD343" s="55" t="str">
        <f>IF(ISNUMBER($U343),$U343*$V343,"")</f>
        <v/>
      </c>
      <c r="BE343" s="56" t="str">
        <f>IF($AM343=0,"",IFERROR(MATCH($AF343&amp;"|"&amp;UPPER(TRIM($E343)),Lists!$A$6:$A$205,0),0))</f>
        <v/>
      </c>
      <c r="BF343" s="56" t="str">
        <f>IF($AM343=0,"",IFERROR(MATCH($AF343,Settings!$B$14:$B$18,0),IFERROR(MATCH(Settings!$C$6,Settings!$B$14:$B$18,0),1)))</f>
        <v/>
      </c>
      <c r="BG343" s="58" t="str">
        <f>IF($AM343=0,"",IF(NOT(ISNUMBER($I343)),"No stop; ","")&amp;IF(AND(ISNUMBER($H343),ISNUMBER($I343)),IF(OR(AND($F343&lt;&gt;"Short",$I343&gt;=$H343),AND($F343="Short",$I343&lt;=$H343)),"Stop on wrong side; ",""),"")&amp;IF($F343="","No direction; ","")&amp;IF(AND(ISNUMBER(Settings!$C$22),ISNUMBER($V343)),IF($V343&gt;Settings!$C$22,"Risk over max $; ",""),"")&amp;IF(AND(ISNUMBER(Settings!$C$23),ISNUMBER($V343),ISNUMBER($AP343),IFERROR(N(INDEX(Accounts!$E$7:$E$16,MATCH($C343,Accounts!$B$7:$B$16,0))),0)&gt;0),IF($V343&gt;Settings!$C$23*($AP343-N($Q343)),"Risk over max %; ",""),"")&amp;IF(AND(ISNUMBER(Settings!$C$24),ISNUMBER($N343)),IF($N343&gt;Settings!$C$24,"Leverage over max; ",""),"")&amp;IF(AND(ISNUMBER(Settings!$C$27),ISNUMBER($T343)),IF($T343&lt;Settings!$C$27,"R:R below min; ",""),"")&amp;IF(ISNUMBER(Settings!$C$25),IF(COUNTIFS($A$6:$A343,$A343,$AM$6:$AM343,1)&gt;Settings!$C$25,"Over max trades/day; ",""),"")&amp;IF(ISNUMBER(Settings!$C$26),IF(SUMIFS($Q$5:$Q342,$A$5:$A342,$A343)&lt;=-Settings!$C$26,"Traded after daily max loss; ",""),"")&amp;IF(AND($AG343="",NOT(ISNUMBER($O343))),"Symbol not in Instruments; ","")&amp;IF(AND($AH343="",NOT(ISNUMBER($O343))),"Forex cross: type Gross P&amp;L; ",""))</f>
        <v/>
      </c>
      <c r="BH343" s="56">
        <f>IF(ISNUMBER($Q343),1,0)</f>
        <v>0</v>
      </c>
      <c r="BI343" s="56">
        <f>IF($Y343="",0,1)</f>
        <v>0</v>
      </c>
      <c r="BJ343" s="56">
        <f>IF($AB343="",0,1)</f>
        <v>0</v>
      </c>
      <c r="BK343" s="56">
        <f>IF(AND($BH343=1,$W343&lt;&gt;"OK"),1,0)</f>
        <v>0</v>
      </c>
      <c r="BL343" s="55">
        <f>IF(N($AZ343)=0,0,IFERROR(INDEX($AT$6:$AT$1005,MATCH($AZ343,$AY$6:$AY$1005,0)),0))</f>
        <v>1187.10688</v>
      </c>
      <c r="BM343" s="56">
        <f>IF(ISNUMBER(SEARCH("daily max loss",$BG343)),1,0)</f>
        <v>0</v>
      </c>
    </row>
    <row r="344" ht="18" customHeight="1">
      <c r="A344" s="38" t="n"/>
      <c r="B344" s="39" t="n"/>
      <c r="C344" s="40" t="n"/>
      <c r="D344" s="41" t="n"/>
      <c r="E344" s="41" t="n"/>
      <c r="F344" s="41" t="n"/>
      <c r="G344" s="41" t="n"/>
      <c r="H344" s="42" t="n"/>
      <c r="I344" s="42" t="n"/>
      <c r="J344" s="42" t="n"/>
      <c r="K344" s="42" t="n"/>
      <c r="L344" s="41" t="n"/>
      <c r="M344" s="41" t="n"/>
      <c r="N344" s="41" t="n"/>
      <c r="O344" s="43" t="n"/>
      <c r="P344" s="43" t="n"/>
      <c r="Q344" s="44" t="str">
        <f>IF($AM344=0,"",IF(ISNUMBER($AK344),$AK344-N($AL344),""))</f>
        <v/>
      </c>
      <c r="R344" s="45" t="str">
        <f>IF(OR($Q344="",NOT(ISNUMBER($V344))),"",$AK344/$V344)</f>
        <v/>
      </c>
      <c r="S344" s="46" t="str">
        <f>IF($Q344="","",IF(AND(ISNUMBER($R344),ABS(N($R344))&lt;N(Settings!$C$8)),"Scratch",IF($Q344&gt;0,"Win",IF($Q344&lt;0,"Loss","Scratch"))))</f>
        <v/>
      </c>
      <c r="T344" s="47" t="str">
        <f>IF(OR($AM344=0,NOT(ISNUMBER($H344)),NOT(ISNUMBER($I344)),NOT(ISNUMBER($J344))),"",IF($H344=$I344,"",ROUND(ABS($J344-$H344)/ABS($H344-$I344),6)))</f>
        <v/>
      </c>
      <c r="U344" s="48" t="str">
        <f>IF(OR($S344&lt;&gt;"Win",NOT(ISNUMBER($T344)),NOT(ISNUMBER($R344))),"",MAX(0,$T344-$R344))</f>
        <v/>
      </c>
      <c r="V344" s="49" t="str">
        <f>IF(OR($AM344=0,NOT(ISNUMBER($H344)),NOT(ISNUMBER($I344)),NOT(ISNUMBER($G344))),"",IF(OR($AG344="",$AH344=""),"",IF(ROUND(ABS($H344-$I344)*ABS($G344)*$AG344*$AH344,6)=0,"",ROUND(ABS($H344-$I344)*ABS($G344)*$AG344*$AH344,6))))</f>
        <v/>
      </c>
      <c r="W344" s="50" t="str">
        <f>IF($AM344=0,"",IF($BG344="","OK",LEFT($BG344,LEN($BG344)-2)))</f>
        <v/>
      </c>
      <c r="X344" s="41" t="n"/>
      <c r="Y344" s="40" t="n"/>
      <c r="Z344" s="41" t="n"/>
      <c r="AA344" s="41" t="n"/>
      <c r="AB344" s="40" t="n"/>
      <c r="AC344" s="51" t="n"/>
      <c r="AD344" s="51" t="n"/>
      <c r="AE344" s="40" t="n"/>
      <c r="AF344" s="52" t="str">
        <f>IF($AM344=0,"",IF($D344&lt;&gt;"",$D344,IF(IFERROR(INDEX(Accounts!$C$7:$C$16,MATCH($C344,Accounts!$B$7:$B$16,0))&amp;"","")&lt;&gt;"",INDEX(Accounts!$C$7:$C$16,MATCH($C344,Accounts!$B$7:$B$16,0)),Settings!$C$6)))</f>
        <v/>
      </c>
      <c r="AG344" s="53" t="str">
        <f>IF($AM344=0,"",IF(AND($BE344&gt;0,N(INDEX(Instruments!$D$6:$D$205,MAX(1,$BE344)))&gt;0),INDEX(Instruments!$D$6:$D$205,MAX(1,$BE344)),IF(N(INDEX(Settings!$D$14:$D$18,$BF344))&gt;0,INDEX(Settings!$D$14:$D$18,$BF344),"")))</f>
        <v/>
      </c>
      <c r="AH344" s="54" t="str">
        <f>IF($AM344=0,"",IF($AF344&lt;&gt;"Forex",1,IF(MID(UPPER(SUBSTITUTE(TRIM($E344),"/","")),4,3)=UPPER(TRIM(Settings!$C$7)),1,IF(LEFT(UPPER(SUBSTITUTE(TRIM($E344),"/","")),3)=UPPER(TRIM(Settings!$C$7)),IF(AND(ISNUMBER($K344),N($K344)&lt;&gt;0),1/$K344,""),""))))</f>
        <v/>
      </c>
      <c r="AI344" s="55" t="str">
        <f>IF($AM344=0,"",IF(OR(NOT(ISNUMBER($H344)),NOT(ISNUMBER($K344)),NOT(ISNUMBER($G344)),$AG344="",$AH344=""),"",ROUND(($K344-$H344)*IF($F344="Short",-1,1)*$G344*$AG344*$AH344,6)))</f>
        <v/>
      </c>
      <c r="AJ344" s="55" t="str">
        <f>IF($AM344=0,"",IF(INDEX(Settings!$E$14:$E$18,$BF344)="% of notional",IF(OR($AG344="",NOT(ISNUMBER($H344)),NOT(ISNUMBER($G344))),"",ROUND(ABS($H344*$G344*$AG344*N($AH344))*IF($L344="Limit",N(INDEX(Settings!$G$14:$G$18,$BF344)),N(INDEX(Settings!$H$14:$H$18,$BF344)))+IF(ISNUMBER($K344),ABS($K344*$G344*$AG344*N($AH344))*IF($M344="Target",N(INDEX(Settings!$G$14:$G$18,$BF344)),N(INDEX(Settings!$H$14:$H$18,$BF344))),0),6)),IF(NOT(ISNUMBER($G344)),"",ROUND(ABS($G344)*2*IF(AND($BE344&gt;0,ISNUMBER(INDEX(Instruments!$G$6:$G$205,MAX(1,$BE344)))),INDEX(Instruments!$G$6:$G$205,MAX(1,$BE344)),N(INDEX(Settings!$F$14:$F$18,$BF344))),6))))</f>
        <v/>
      </c>
      <c r="AK344" s="55" t="str">
        <f>IF($AM344=0,"",IF(ISNUMBER($O344),$O344,$AI344))</f>
        <v/>
      </c>
      <c r="AL344" s="55" t="str">
        <f>IF($AM344=0,"",IF(ISNUMBER($P344),$P344,N($AJ344)))</f>
        <v/>
      </c>
      <c r="AM344" s="56">
        <f>IF(AND($A344&lt;&gt;"",$E344&lt;&gt;"",OR(AND(ISNUMBER($G344),ISNUMBER($H344),ISNUMBER($K344)),ISNUMBER($O344))),1,0)</f>
        <v>0</v>
      </c>
      <c r="AN344" s="57" t="str">
        <f>IF($A344="","",$A344-WEEKDAY($A344,3))</f>
        <v/>
      </c>
      <c r="AO344" s="56" t="str">
        <f>IF($A344="","",WEEKDAY($A344,2))</f>
        <v/>
      </c>
      <c r="AP344" s="55" t="str">
        <f>IF(OR($AM344=0,$C344=""),"",IFERROR(N(INDEX(Accounts!$E$7:$E$16,MATCH($C344,Accounts!$B$7:$B$16,0))),0)+SUMIFS($Q$6:$Q344,$C$6:$C344,$C344))</f>
        <v/>
      </c>
      <c r="AQ344" s="55" t="str">
        <f>IF(OR($AM344=0,$C344=""),"",SUMIFS($Q$6:$Q$1005,$C$6:$C$1005,$C344,$A$6:$A$1005,$A344))</f>
        <v/>
      </c>
      <c r="AR344" s="55" t="str">
        <f>IF(OR($AM344=0,$C344=""),"",IFERROR(N(INDEX(Accounts!$E$7:$E$16,MATCH($C344,Accounts!$B$7:$B$16,0))),0)+SUMIFS($Q$6:$Q$1005,$C$6:$C$1005,$C344,$A$6:$A$1005,"&lt;="&amp;$A344))</f>
        <v/>
      </c>
      <c r="AS344" s="56">
        <f>IF(OR($AM344=0,$Q344=""),0,IF(AND($A344&gt;=Lists!$W$6,$A344&lt;=Lists!$W$7,OR(Dashboard!$D$6="All accounts",$C344=Dashboard!$D$6),OR(Dashboard!$D$7="All markets",$AF344=Dashboard!$D$7)),1,0))</f>
        <v>0</v>
      </c>
      <c r="AT344" s="55">
        <f>IF($AS344=1,N(AT343)+$Q344,N(AT343))</f>
        <v>1187.10688</v>
      </c>
      <c r="AU344" s="55">
        <f>MAX(N(AU343),$AT344)</f>
        <v>1187.10688</v>
      </c>
      <c r="AV344" s="55">
        <f>$AT344-$AU344</f>
        <v>0</v>
      </c>
      <c r="AW344" s="56">
        <f>IF($AS344=1,IF($S344="Win",N(AW343)+1,IF($S344="Loss",0,N(AW343))),N(AW343))</f>
        <v>5</v>
      </c>
      <c r="AX344" s="56">
        <f>IF($AS344=1,IF($S344="Loss",N(AX343)+1,IF($S344="Win",0,N(AX343))),N(AX343))</f>
        <v>0</v>
      </c>
      <c r="AY344" s="56" t="str">
        <f>IF($AS344=1,COUNTIF($AS$6:$AS344,1),"")</f>
        <v/>
      </c>
      <c r="AZ344" s="56">
        <f>MIN(338,N(Lists!$W$8))</f>
        <v>28</v>
      </c>
      <c r="BA344" s="56">
        <f>IF($AS344=1,IF(COUNTIFS($A$6:$A344,$A344,$AS$6:$AS344,1)=1,1,0),0)</f>
        <v>0</v>
      </c>
      <c r="BB344" s="55" t="str">
        <f>IF($BA344=1,SUMIFS($Q$6:$Q$1005,$A$6:$A$1005,$A344,$AS$6:$AS$1005,1),"")</f>
        <v/>
      </c>
      <c r="BC344" s="56">
        <f>IF(ISNUMBER($R344),1,0)</f>
        <v>0</v>
      </c>
      <c r="BD344" s="55" t="str">
        <f>IF(ISNUMBER($U344),$U344*$V344,"")</f>
        <v/>
      </c>
      <c r="BE344" s="56" t="str">
        <f>IF($AM344=0,"",IFERROR(MATCH($AF344&amp;"|"&amp;UPPER(TRIM($E344)),Lists!$A$6:$A$205,0),0))</f>
        <v/>
      </c>
      <c r="BF344" s="56" t="str">
        <f>IF($AM344=0,"",IFERROR(MATCH($AF344,Settings!$B$14:$B$18,0),IFERROR(MATCH(Settings!$C$6,Settings!$B$14:$B$18,0),1)))</f>
        <v/>
      </c>
      <c r="BG344" s="58" t="str">
        <f>IF($AM344=0,"",IF(NOT(ISNUMBER($I344)),"No stop; ","")&amp;IF(AND(ISNUMBER($H344),ISNUMBER($I344)),IF(OR(AND($F344&lt;&gt;"Short",$I344&gt;=$H344),AND($F344="Short",$I344&lt;=$H344)),"Stop on wrong side; ",""),"")&amp;IF($F344="","No direction; ","")&amp;IF(AND(ISNUMBER(Settings!$C$22),ISNUMBER($V344)),IF($V344&gt;Settings!$C$22,"Risk over max $; ",""),"")&amp;IF(AND(ISNUMBER(Settings!$C$23),ISNUMBER($V344),ISNUMBER($AP344),IFERROR(N(INDEX(Accounts!$E$7:$E$16,MATCH($C344,Accounts!$B$7:$B$16,0))),0)&gt;0),IF($V344&gt;Settings!$C$23*($AP344-N($Q344)),"Risk over max %; ",""),"")&amp;IF(AND(ISNUMBER(Settings!$C$24),ISNUMBER($N344)),IF($N344&gt;Settings!$C$24,"Leverage over max; ",""),"")&amp;IF(AND(ISNUMBER(Settings!$C$27),ISNUMBER($T344)),IF($T344&lt;Settings!$C$27,"R:R below min; ",""),"")&amp;IF(ISNUMBER(Settings!$C$25),IF(COUNTIFS($A$6:$A344,$A344,$AM$6:$AM344,1)&gt;Settings!$C$25,"Over max trades/day; ",""),"")&amp;IF(ISNUMBER(Settings!$C$26),IF(SUMIFS($Q$5:$Q343,$A$5:$A343,$A344)&lt;=-Settings!$C$26,"Traded after daily max loss; ",""),"")&amp;IF(AND($AG344="",NOT(ISNUMBER($O344))),"Symbol not in Instruments; ","")&amp;IF(AND($AH344="",NOT(ISNUMBER($O344))),"Forex cross: type Gross P&amp;L; ",""))</f>
        <v/>
      </c>
      <c r="BH344" s="56">
        <f>IF(ISNUMBER($Q344),1,0)</f>
        <v>0</v>
      </c>
      <c r="BI344" s="56">
        <f>IF($Y344="",0,1)</f>
        <v>0</v>
      </c>
      <c r="BJ344" s="56">
        <f>IF($AB344="",0,1)</f>
        <v>0</v>
      </c>
      <c r="BK344" s="56">
        <f>IF(AND($BH344=1,$W344&lt;&gt;"OK"),1,0)</f>
        <v>0</v>
      </c>
      <c r="BL344" s="55">
        <f>IF(N($AZ344)=0,0,IFERROR(INDEX($AT$6:$AT$1005,MATCH($AZ344,$AY$6:$AY$1005,0)),0))</f>
        <v>1187.10688</v>
      </c>
      <c r="BM344" s="56">
        <f>IF(ISNUMBER(SEARCH("daily max loss",$BG344)),1,0)</f>
        <v>0</v>
      </c>
    </row>
    <row r="345" ht="18" customHeight="1">
      <c r="A345" s="38" t="n"/>
      <c r="B345" s="39" t="n"/>
      <c r="C345" s="40" t="n"/>
      <c r="D345" s="41" t="n"/>
      <c r="E345" s="41" t="n"/>
      <c r="F345" s="41" t="n"/>
      <c r="G345" s="41" t="n"/>
      <c r="H345" s="42" t="n"/>
      <c r="I345" s="42" t="n"/>
      <c r="J345" s="42" t="n"/>
      <c r="K345" s="42" t="n"/>
      <c r="L345" s="41" t="n"/>
      <c r="M345" s="41" t="n"/>
      <c r="N345" s="41" t="n"/>
      <c r="O345" s="43" t="n"/>
      <c r="P345" s="43" t="n"/>
      <c r="Q345" s="44" t="str">
        <f>IF($AM345=0,"",IF(ISNUMBER($AK345),$AK345-N($AL345),""))</f>
        <v/>
      </c>
      <c r="R345" s="45" t="str">
        <f>IF(OR($Q345="",NOT(ISNUMBER($V345))),"",$AK345/$V345)</f>
        <v/>
      </c>
      <c r="S345" s="46" t="str">
        <f>IF($Q345="","",IF(AND(ISNUMBER($R345),ABS(N($R345))&lt;N(Settings!$C$8)),"Scratch",IF($Q345&gt;0,"Win",IF($Q345&lt;0,"Loss","Scratch"))))</f>
        <v/>
      </c>
      <c r="T345" s="47" t="str">
        <f>IF(OR($AM345=0,NOT(ISNUMBER($H345)),NOT(ISNUMBER($I345)),NOT(ISNUMBER($J345))),"",IF($H345=$I345,"",ROUND(ABS($J345-$H345)/ABS($H345-$I345),6)))</f>
        <v/>
      </c>
      <c r="U345" s="48" t="str">
        <f>IF(OR($S345&lt;&gt;"Win",NOT(ISNUMBER($T345)),NOT(ISNUMBER($R345))),"",MAX(0,$T345-$R345))</f>
        <v/>
      </c>
      <c r="V345" s="49" t="str">
        <f>IF(OR($AM345=0,NOT(ISNUMBER($H345)),NOT(ISNUMBER($I345)),NOT(ISNUMBER($G345))),"",IF(OR($AG345="",$AH345=""),"",IF(ROUND(ABS($H345-$I345)*ABS($G345)*$AG345*$AH345,6)=0,"",ROUND(ABS($H345-$I345)*ABS($G345)*$AG345*$AH345,6))))</f>
        <v/>
      </c>
      <c r="W345" s="50" t="str">
        <f>IF($AM345=0,"",IF($BG345="","OK",LEFT($BG345,LEN($BG345)-2)))</f>
        <v/>
      </c>
      <c r="X345" s="41" t="n"/>
      <c r="Y345" s="40" t="n"/>
      <c r="Z345" s="41" t="n"/>
      <c r="AA345" s="41" t="n"/>
      <c r="AB345" s="40" t="n"/>
      <c r="AC345" s="51" t="n"/>
      <c r="AD345" s="51" t="n"/>
      <c r="AE345" s="40" t="n"/>
      <c r="AF345" s="52" t="str">
        <f>IF($AM345=0,"",IF($D345&lt;&gt;"",$D345,IF(IFERROR(INDEX(Accounts!$C$7:$C$16,MATCH($C345,Accounts!$B$7:$B$16,0))&amp;"","")&lt;&gt;"",INDEX(Accounts!$C$7:$C$16,MATCH($C345,Accounts!$B$7:$B$16,0)),Settings!$C$6)))</f>
        <v/>
      </c>
      <c r="AG345" s="53" t="str">
        <f>IF($AM345=0,"",IF(AND($BE345&gt;0,N(INDEX(Instruments!$D$6:$D$205,MAX(1,$BE345)))&gt;0),INDEX(Instruments!$D$6:$D$205,MAX(1,$BE345)),IF(N(INDEX(Settings!$D$14:$D$18,$BF345))&gt;0,INDEX(Settings!$D$14:$D$18,$BF345),"")))</f>
        <v/>
      </c>
      <c r="AH345" s="54" t="str">
        <f>IF($AM345=0,"",IF($AF345&lt;&gt;"Forex",1,IF(MID(UPPER(SUBSTITUTE(TRIM($E345),"/","")),4,3)=UPPER(TRIM(Settings!$C$7)),1,IF(LEFT(UPPER(SUBSTITUTE(TRIM($E345),"/","")),3)=UPPER(TRIM(Settings!$C$7)),IF(AND(ISNUMBER($K345),N($K345)&lt;&gt;0),1/$K345,""),""))))</f>
        <v/>
      </c>
      <c r="AI345" s="55" t="str">
        <f>IF($AM345=0,"",IF(OR(NOT(ISNUMBER($H345)),NOT(ISNUMBER($K345)),NOT(ISNUMBER($G345)),$AG345="",$AH345=""),"",ROUND(($K345-$H345)*IF($F345="Short",-1,1)*$G345*$AG345*$AH345,6)))</f>
        <v/>
      </c>
      <c r="AJ345" s="55" t="str">
        <f>IF($AM345=0,"",IF(INDEX(Settings!$E$14:$E$18,$BF345)="% of notional",IF(OR($AG345="",NOT(ISNUMBER($H345)),NOT(ISNUMBER($G345))),"",ROUND(ABS($H345*$G345*$AG345*N($AH345))*IF($L345="Limit",N(INDEX(Settings!$G$14:$G$18,$BF345)),N(INDEX(Settings!$H$14:$H$18,$BF345)))+IF(ISNUMBER($K345),ABS($K345*$G345*$AG345*N($AH345))*IF($M345="Target",N(INDEX(Settings!$G$14:$G$18,$BF345)),N(INDEX(Settings!$H$14:$H$18,$BF345))),0),6)),IF(NOT(ISNUMBER($G345)),"",ROUND(ABS($G345)*2*IF(AND($BE345&gt;0,ISNUMBER(INDEX(Instruments!$G$6:$G$205,MAX(1,$BE345)))),INDEX(Instruments!$G$6:$G$205,MAX(1,$BE345)),N(INDEX(Settings!$F$14:$F$18,$BF345))),6))))</f>
        <v/>
      </c>
      <c r="AK345" s="55" t="str">
        <f>IF($AM345=0,"",IF(ISNUMBER($O345),$O345,$AI345))</f>
        <v/>
      </c>
      <c r="AL345" s="55" t="str">
        <f>IF($AM345=0,"",IF(ISNUMBER($P345),$P345,N($AJ345)))</f>
        <v/>
      </c>
      <c r="AM345" s="56">
        <f>IF(AND($A345&lt;&gt;"",$E345&lt;&gt;"",OR(AND(ISNUMBER($G345),ISNUMBER($H345),ISNUMBER($K345)),ISNUMBER($O345))),1,0)</f>
        <v>0</v>
      </c>
      <c r="AN345" s="57" t="str">
        <f>IF($A345="","",$A345-WEEKDAY($A345,3))</f>
        <v/>
      </c>
      <c r="AO345" s="56" t="str">
        <f>IF($A345="","",WEEKDAY($A345,2))</f>
        <v/>
      </c>
      <c r="AP345" s="55" t="str">
        <f>IF(OR($AM345=0,$C345=""),"",IFERROR(N(INDEX(Accounts!$E$7:$E$16,MATCH($C345,Accounts!$B$7:$B$16,0))),0)+SUMIFS($Q$6:$Q345,$C$6:$C345,$C345))</f>
        <v/>
      </c>
      <c r="AQ345" s="55" t="str">
        <f>IF(OR($AM345=0,$C345=""),"",SUMIFS($Q$6:$Q$1005,$C$6:$C$1005,$C345,$A$6:$A$1005,$A345))</f>
        <v/>
      </c>
      <c r="AR345" s="55" t="str">
        <f>IF(OR($AM345=0,$C345=""),"",IFERROR(N(INDEX(Accounts!$E$7:$E$16,MATCH($C345,Accounts!$B$7:$B$16,0))),0)+SUMIFS($Q$6:$Q$1005,$C$6:$C$1005,$C345,$A$6:$A$1005,"&lt;="&amp;$A345))</f>
        <v/>
      </c>
      <c r="AS345" s="56">
        <f>IF(OR($AM345=0,$Q345=""),0,IF(AND($A345&gt;=Lists!$W$6,$A345&lt;=Lists!$W$7,OR(Dashboard!$D$6="All accounts",$C345=Dashboard!$D$6),OR(Dashboard!$D$7="All markets",$AF345=Dashboard!$D$7)),1,0))</f>
        <v>0</v>
      </c>
      <c r="AT345" s="55">
        <f>IF($AS345=1,N(AT344)+$Q345,N(AT344))</f>
        <v>1187.10688</v>
      </c>
      <c r="AU345" s="55">
        <f>MAX(N(AU344),$AT345)</f>
        <v>1187.10688</v>
      </c>
      <c r="AV345" s="55">
        <f>$AT345-$AU345</f>
        <v>0</v>
      </c>
      <c r="AW345" s="56">
        <f>IF($AS345=1,IF($S345="Win",N(AW344)+1,IF($S345="Loss",0,N(AW344))),N(AW344))</f>
        <v>5</v>
      </c>
      <c r="AX345" s="56">
        <f>IF($AS345=1,IF($S345="Loss",N(AX344)+1,IF($S345="Win",0,N(AX344))),N(AX344))</f>
        <v>0</v>
      </c>
      <c r="AY345" s="56" t="str">
        <f>IF($AS345=1,COUNTIF($AS$6:$AS345,1),"")</f>
        <v/>
      </c>
      <c r="AZ345" s="56">
        <f>MIN(339,N(Lists!$W$8))</f>
        <v>28</v>
      </c>
      <c r="BA345" s="56">
        <f>IF($AS345=1,IF(COUNTIFS($A$6:$A345,$A345,$AS$6:$AS345,1)=1,1,0),0)</f>
        <v>0</v>
      </c>
      <c r="BB345" s="55" t="str">
        <f>IF($BA345=1,SUMIFS($Q$6:$Q$1005,$A$6:$A$1005,$A345,$AS$6:$AS$1005,1),"")</f>
        <v/>
      </c>
      <c r="BC345" s="56">
        <f>IF(ISNUMBER($R345),1,0)</f>
        <v>0</v>
      </c>
      <c r="BD345" s="55" t="str">
        <f>IF(ISNUMBER($U345),$U345*$V345,"")</f>
        <v/>
      </c>
      <c r="BE345" s="56" t="str">
        <f>IF($AM345=0,"",IFERROR(MATCH($AF345&amp;"|"&amp;UPPER(TRIM($E345)),Lists!$A$6:$A$205,0),0))</f>
        <v/>
      </c>
      <c r="BF345" s="56" t="str">
        <f>IF($AM345=0,"",IFERROR(MATCH($AF345,Settings!$B$14:$B$18,0),IFERROR(MATCH(Settings!$C$6,Settings!$B$14:$B$18,0),1)))</f>
        <v/>
      </c>
      <c r="BG345" s="58" t="str">
        <f>IF($AM345=0,"",IF(NOT(ISNUMBER($I345)),"No stop; ","")&amp;IF(AND(ISNUMBER($H345),ISNUMBER($I345)),IF(OR(AND($F345&lt;&gt;"Short",$I345&gt;=$H345),AND($F345="Short",$I345&lt;=$H345)),"Stop on wrong side; ",""),"")&amp;IF($F345="","No direction; ","")&amp;IF(AND(ISNUMBER(Settings!$C$22),ISNUMBER($V345)),IF($V345&gt;Settings!$C$22,"Risk over max $; ",""),"")&amp;IF(AND(ISNUMBER(Settings!$C$23),ISNUMBER($V345),ISNUMBER($AP345),IFERROR(N(INDEX(Accounts!$E$7:$E$16,MATCH($C345,Accounts!$B$7:$B$16,0))),0)&gt;0),IF($V345&gt;Settings!$C$23*($AP345-N($Q345)),"Risk over max %; ",""),"")&amp;IF(AND(ISNUMBER(Settings!$C$24),ISNUMBER($N345)),IF($N345&gt;Settings!$C$24,"Leverage over max; ",""),"")&amp;IF(AND(ISNUMBER(Settings!$C$27),ISNUMBER($T345)),IF($T345&lt;Settings!$C$27,"R:R below min; ",""),"")&amp;IF(ISNUMBER(Settings!$C$25),IF(COUNTIFS($A$6:$A345,$A345,$AM$6:$AM345,1)&gt;Settings!$C$25,"Over max trades/day; ",""),"")&amp;IF(ISNUMBER(Settings!$C$26),IF(SUMIFS($Q$5:$Q344,$A$5:$A344,$A345)&lt;=-Settings!$C$26,"Traded after daily max loss; ",""),"")&amp;IF(AND($AG345="",NOT(ISNUMBER($O345))),"Symbol not in Instruments; ","")&amp;IF(AND($AH345="",NOT(ISNUMBER($O345))),"Forex cross: type Gross P&amp;L; ",""))</f>
        <v/>
      </c>
      <c r="BH345" s="56">
        <f>IF(ISNUMBER($Q345),1,0)</f>
        <v>0</v>
      </c>
      <c r="BI345" s="56">
        <f>IF($Y345="",0,1)</f>
        <v>0</v>
      </c>
      <c r="BJ345" s="56">
        <f>IF($AB345="",0,1)</f>
        <v>0</v>
      </c>
      <c r="BK345" s="56">
        <f>IF(AND($BH345=1,$W345&lt;&gt;"OK"),1,0)</f>
        <v>0</v>
      </c>
      <c r="BL345" s="55">
        <f>IF(N($AZ345)=0,0,IFERROR(INDEX($AT$6:$AT$1005,MATCH($AZ345,$AY$6:$AY$1005,0)),0))</f>
        <v>1187.10688</v>
      </c>
      <c r="BM345" s="56">
        <f>IF(ISNUMBER(SEARCH("daily max loss",$BG345)),1,0)</f>
        <v>0</v>
      </c>
    </row>
    <row r="346" ht="18" customHeight="1">
      <c r="A346" s="38" t="n"/>
      <c r="B346" s="39" t="n"/>
      <c r="C346" s="40" t="n"/>
      <c r="D346" s="41" t="n"/>
      <c r="E346" s="41" t="n"/>
      <c r="F346" s="41" t="n"/>
      <c r="G346" s="41" t="n"/>
      <c r="H346" s="42" t="n"/>
      <c r="I346" s="42" t="n"/>
      <c r="J346" s="42" t="n"/>
      <c r="K346" s="42" t="n"/>
      <c r="L346" s="41" t="n"/>
      <c r="M346" s="41" t="n"/>
      <c r="N346" s="41" t="n"/>
      <c r="O346" s="43" t="n"/>
      <c r="P346" s="43" t="n"/>
      <c r="Q346" s="44" t="str">
        <f>IF($AM346=0,"",IF(ISNUMBER($AK346),$AK346-N($AL346),""))</f>
        <v/>
      </c>
      <c r="R346" s="45" t="str">
        <f>IF(OR($Q346="",NOT(ISNUMBER($V346))),"",$AK346/$V346)</f>
        <v/>
      </c>
      <c r="S346" s="46" t="str">
        <f>IF($Q346="","",IF(AND(ISNUMBER($R346),ABS(N($R346))&lt;N(Settings!$C$8)),"Scratch",IF($Q346&gt;0,"Win",IF($Q346&lt;0,"Loss","Scratch"))))</f>
        <v/>
      </c>
      <c r="T346" s="47" t="str">
        <f>IF(OR($AM346=0,NOT(ISNUMBER($H346)),NOT(ISNUMBER($I346)),NOT(ISNUMBER($J346))),"",IF($H346=$I346,"",ROUND(ABS($J346-$H346)/ABS($H346-$I346),6)))</f>
        <v/>
      </c>
      <c r="U346" s="48" t="str">
        <f>IF(OR($S346&lt;&gt;"Win",NOT(ISNUMBER($T346)),NOT(ISNUMBER($R346))),"",MAX(0,$T346-$R346))</f>
        <v/>
      </c>
      <c r="V346" s="49" t="str">
        <f>IF(OR($AM346=0,NOT(ISNUMBER($H346)),NOT(ISNUMBER($I346)),NOT(ISNUMBER($G346))),"",IF(OR($AG346="",$AH346=""),"",IF(ROUND(ABS($H346-$I346)*ABS($G346)*$AG346*$AH346,6)=0,"",ROUND(ABS($H346-$I346)*ABS($G346)*$AG346*$AH346,6))))</f>
        <v/>
      </c>
      <c r="W346" s="50" t="str">
        <f>IF($AM346=0,"",IF($BG346="","OK",LEFT($BG346,LEN($BG346)-2)))</f>
        <v/>
      </c>
      <c r="X346" s="41" t="n"/>
      <c r="Y346" s="40" t="n"/>
      <c r="Z346" s="41" t="n"/>
      <c r="AA346" s="41" t="n"/>
      <c r="AB346" s="40" t="n"/>
      <c r="AC346" s="51" t="n"/>
      <c r="AD346" s="51" t="n"/>
      <c r="AE346" s="40" t="n"/>
      <c r="AF346" s="52" t="str">
        <f>IF($AM346=0,"",IF($D346&lt;&gt;"",$D346,IF(IFERROR(INDEX(Accounts!$C$7:$C$16,MATCH($C346,Accounts!$B$7:$B$16,0))&amp;"","")&lt;&gt;"",INDEX(Accounts!$C$7:$C$16,MATCH($C346,Accounts!$B$7:$B$16,0)),Settings!$C$6)))</f>
        <v/>
      </c>
      <c r="AG346" s="53" t="str">
        <f>IF($AM346=0,"",IF(AND($BE346&gt;0,N(INDEX(Instruments!$D$6:$D$205,MAX(1,$BE346)))&gt;0),INDEX(Instruments!$D$6:$D$205,MAX(1,$BE346)),IF(N(INDEX(Settings!$D$14:$D$18,$BF346))&gt;0,INDEX(Settings!$D$14:$D$18,$BF346),"")))</f>
        <v/>
      </c>
      <c r="AH346" s="54" t="str">
        <f>IF($AM346=0,"",IF($AF346&lt;&gt;"Forex",1,IF(MID(UPPER(SUBSTITUTE(TRIM($E346),"/","")),4,3)=UPPER(TRIM(Settings!$C$7)),1,IF(LEFT(UPPER(SUBSTITUTE(TRIM($E346),"/","")),3)=UPPER(TRIM(Settings!$C$7)),IF(AND(ISNUMBER($K346),N($K346)&lt;&gt;0),1/$K346,""),""))))</f>
        <v/>
      </c>
      <c r="AI346" s="55" t="str">
        <f>IF($AM346=0,"",IF(OR(NOT(ISNUMBER($H346)),NOT(ISNUMBER($K346)),NOT(ISNUMBER($G346)),$AG346="",$AH346=""),"",ROUND(($K346-$H346)*IF($F346="Short",-1,1)*$G346*$AG346*$AH346,6)))</f>
        <v/>
      </c>
      <c r="AJ346" s="55" t="str">
        <f>IF($AM346=0,"",IF(INDEX(Settings!$E$14:$E$18,$BF346)="% of notional",IF(OR($AG346="",NOT(ISNUMBER($H346)),NOT(ISNUMBER($G346))),"",ROUND(ABS($H346*$G346*$AG346*N($AH346))*IF($L346="Limit",N(INDEX(Settings!$G$14:$G$18,$BF346)),N(INDEX(Settings!$H$14:$H$18,$BF346)))+IF(ISNUMBER($K346),ABS($K346*$G346*$AG346*N($AH346))*IF($M346="Target",N(INDEX(Settings!$G$14:$G$18,$BF346)),N(INDEX(Settings!$H$14:$H$18,$BF346))),0),6)),IF(NOT(ISNUMBER($G346)),"",ROUND(ABS($G346)*2*IF(AND($BE346&gt;0,ISNUMBER(INDEX(Instruments!$G$6:$G$205,MAX(1,$BE346)))),INDEX(Instruments!$G$6:$G$205,MAX(1,$BE346)),N(INDEX(Settings!$F$14:$F$18,$BF346))),6))))</f>
        <v/>
      </c>
      <c r="AK346" s="55" t="str">
        <f>IF($AM346=0,"",IF(ISNUMBER($O346),$O346,$AI346))</f>
        <v/>
      </c>
      <c r="AL346" s="55" t="str">
        <f>IF($AM346=0,"",IF(ISNUMBER($P346),$P346,N($AJ346)))</f>
        <v/>
      </c>
      <c r="AM346" s="56">
        <f>IF(AND($A346&lt;&gt;"",$E346&lt;&gt;"",OR(AND(ISNUMBER($G346),ISNUMBER($H346),ISNUMBER($K346)),ISNUMBER($O346))),1,0)</f>
        <v>0</v>
      </c>
      <c r="AN346" s="57" t="str">
        <f>IF($A346="","",$A346-WEEKDAY($A346,3))</f>
        <v/>
      </c>
      <c r="AO346" s="56" t="str">
        <f>IF($A346="","",WEEKDAY($A346,2))</f>
        <v/>
      </c>
      <c r="AP346" s="55" t="str">
        <f>IF(OR($AM346=0,$C346=""),"",IFERROR(N(INDEX(Accounts!$E$7:$E$16,MATCH($C346,Accounts!$B$7:$B$16,0))),0)+SUMIFS($Q$6:$Q346,$C$6:$C346,$C346))</f>
        <v/>
      </c>
      <c r="AQ346" s="55" t="str">
        <f>IF(OR($AM346=0,$C346=""),"",SUMIFS($Q$6:$Q$1005,$C$6:$C$1005,$C346,$A$6:$A$1005,$A346))</f>
        <v/>
      </c>
      <c r="AR346" s="55" t="str">
        <f>IF(OR($AM346=0,$C346=""),"",IFERROR(N(INDEX(Accounts!$E$7:$E$16,MATCH($C346,Accounts!$B$7:$B$16,0))),0)+SUMIFS($Q$6:$Q$1005,$C$6:$C$1005,$C346,$A$6:$A$1005,"&lt;="&amp;$A346))</f>
        <v/>
      </c>
      <c r="AS346" s="56">
        <f>IF(OR($AM346=0,$Q346=""),0,IF(AND($A346&gt;=Lists!$W$6,$A346&lt;=Lists!$W$7,OR(Dashboard!$D$6="All accounts",$C346=Dashboard!$D$6),OR(Dashboard!$D$7="All markets",$AF346=Dashboard!$D$7)),1,0))</f>
        <v>0</v>
      </c>
      <c r="AT346" s="55">
        <f>IF($AS346=1,N(AT345)+$Q346,N(AT345))</f>
        <v>1187.10688</v>
      </c>
      <c r="AU346" s="55">
        <f>MAX(N(AU345),$AT346)</f>
        <v>1187.10688</v>
      </c>
      <c r="AV346" s="55">
        <f>$AT346-$AU346</f>
        <v>0</v>
      </c>
      <c r="AW346" s="56">
        <f>IF($AS346=1,IF($S346="Win",N(AW345)+1,IF($S346="Loss",0,N(AW345))),N(AW345))</f>
        <v>5</v>
      </c>
      <c r="AX346" s="56">
        <f>IF($AS346=1,IF($S346="Loss",N(AX345)+1,IF($S346="Win",0,N(AX345))),N(AX345))</f>
        <v>0</v>
      </c>
      <c r="AY346" s="56" t="str">
        <f>IF($AS346=1,COUNTIF($AS$6:$AS346,1),"")</f>
        <v/>
      </c>
      <c r="AZ346" s="56">
        <f>MIN(340,N(Lists!$W$8))</f>
        <v>28</v>
      </c>
      <c r="BA346" s="56">
        <f>IF($AS346=1,IF(COUNTIFS($A$6:$A346,$A346,$AS$6:$AS346,1)=1,1,0),0)</f>
        <v>0</v>
      </c>
      <c r="BB346" s="55" t="str">
        <f>IF($BA346=1,SUMIFS($Q$6:$Q$1005,$A$6:$A$1005,$A346,$AS$6:$AS$1005,1),"")</f>
        <v/>
      </c>
      <c r="BC346" s="56">
        <f>IF(ISNUMBER($R346),1,0)</f>
        <v>0</v>
      </c>
      <c r="BD346" s="55" t="str">
        <f>IF(ISNUMBER($U346),$U346*$V346,"")</f>
        <v/>
      </c>
      <c r="BE346" s="56" t="str">
        <f>IF($AM346=0,"",IFERROR(MATCH($AF346&amp;"|"&amp;UPPER(TRIM($E346)),Lists!$A$6:$A$205,0),0))</f>
        <v/>
      </c>
      <c r="BF346" s="56" t="str">
        <f>IF($AM346=0,"",IFERROR(MATCH($AF346,Settings!$B$14:$B$18,0),IFERROR(MATCH(Settings!$C$6,Settings!$B$14:$B$18,0),1)))</f>
        <v/>
      </c>
      <c r="BG346" s="58" t="str">
        <f>IF($AM346=0,"",IF(NOT(ISNUMBER($I346)),"No stop; ","")&amp;IF(AND(ISNUMBER($H346),ISNUMBER($I346)),IF(OR(AND($F346&lt;&gt;"Short",$I346&gt;=$H346),AND($F346="Short",$I346&lt;=$H346)),"Stop on wrong side; ",""),"")&amp;IF($F346="","No direction; ","")&amp;IF(AND(ISNUMBER(Settings!$C$22),ISNUMBER($V346)),IF($V346&gt;Settings!$C$22,"Risk over max $; ",""),"")&amp;IF(AND(ISNUMBER(Settings!$C$23),ISNUMBER($V346),ISNUMBER($AP346),IFERROR(N(INDEX(Accounts!$E$7:$E$16,MATCH($C346,Accounts!$B$7:$B$16,0))),0)&gt;0),IF($V346&gt;Settings!$C$23*($AP346-N($Q346)),"Risk over max %; ",""),"")&amp;IF(AND(ISNUMBER(Settings!$C$24),ISNUMBER($N346)),IF($N346&gt;Settings!$C$24,"Leverage over max; ",""),"")&amp;IF(AND(ISNUMBER(Settings!$C$27),ISNUMBER($T346)),IF($T346&lt;Settings!$C$27,"R:R below min; ",""),"")&amp;IF(ISNUMBER(Settings!$C$25),IF(COUNTIFS($A$6:$A346,$A346,$AM$6:$AM346,1)&gt;Settings!$C$25,"Over max trades/day; ",""),"")&amp;IF(ISNUMBER(Settings!$C$26),IF(SUMIFS($Q$5:$Q345,$A$5:$A345,$A346)&lt;=-Settings!$C$26,"Traded after daily max loss; ",""),"")&amp;IF(AND($AG346="",NOT(ISNUMBER($O346))),"Symbol not in Instruments; ","")&amp;IF(AND($AH346="",NOT(ISNUMBER($O346))),"Forex cross: type Gross P&amp;L; ",""))</f>
        <v/>
      </c>
      <c r="BH346" s="56">
        <f>IF(ISNUMBER($Q346),1,0)</f>
        <v>0</v>
      </c>
      <c r="BI346" s="56">
        <f>IF($Y346="",0,1)</f>
        <v>0</v>
      </c>
      <c r="BJ346" s="56">
        <f>IF($AB346="",0,1)</f>
        <v>0</v>
      </c>
      <c r="BK346" s="56">
        <f>IF(AND($BH346=1,$W346&lt;&gt;"OK"),1,0)</f>
        <v>0</v>
      </c>
      <c r="BL346" s="55">
        <f>IF(N($AZ346)=0,0,IFERROR(INDEX($AT$6:$AT$1005,MATCH($AZ346,$AY$6:$AY$1005,0)),0))</f>
        <v>1187.10688</v>
      </c>
      <c r="BM346" s="56">
        <f>IF(ISNUMBER(SEARCH("daily max loss",$BG346)),1,0)</f>
        <v>0</v>
      </c>
    </row>
    <row r="347" ht="18" customHeight="1">
      <c r="A347" s="38" t="n"/>
      <c r="B347" s="39" t="n"/>
      <c r="C347" s="40" t="n"/>
      <c r="D347" s="41" t="n"/>
      <c r="E347" s="41" t="n"/>
      <c r="F347" s="41" t="n"/>
      <c r="G347" s="41" t="n"/>
      <c r="H347" s="42" t="n"/>
      <c r="I347" s="42" t="n"/>
      <c r="J347" s="42" t="n"/>
      <c r="K347" s="42" t="n"/>
      <c r="L347" s="41" t="n"/>
      <c r="M347" s="41" t="n"/>
      <c r="N347" s="41" t="n"/>
      <c r="O347" s="43" t="n"/>
      <c r="P347" s="43" t="n"/>
      <c r="Q347" s="44" t="str">
        <f>IF($AM347=0,"",IF(ISNUMBER($AK347),$AK347-N($AL347),""))</f>
        <v/>
      </c>
      <c r="R347" s="45" t="str">
        <f>IF(OR($Q347="",NOT(ISNUMBER($V347))),"",$AK347/$V347)</f>
        <v/>
      </c>
      <c r="S347" s="46" t="str">
        <f>IF($Q347="","",IF(AND(ISNUMBER($R347),ABS(N($R347))&lt;N(Settings!$C$8)),"Scratch",IF($Q347&gt;0,"Win",IF($Q347&lt;0,"Loss","Scratch"))))</f>
        <v/>
      </c>
      <c r="T347" s="47" t="str">
        <f>IF(OR($AM347=0,NOT(ISNUMBER($H347)),NOT(ISNUMBER($I347)),NOT(ISNUMBER($J347))),"",IF($H347=$I347,"",ROUND(ABS($J347-$H347)/ABS($H347-$I347),6)))</f>
        <v/>
      </c>
      <c r="U347" s="48" t="str">
        <f>IF(OR($S347&lt;&gt;"Win",NOT(ISNUMBER($T347)),NOT(ISNUMBER($R347))),"",MAX(0,$T347-$R347))</f>
        <v/>
      </c>
      <c r="V347" s="49" t="str">
        <f>IF(OR($AM347=0,NOT(ISNUMBER($H347)),NOT(ISNUMBER($I347)),NOT(ISNUMBER($G347))),"",IF(OR($AG347="",$AH347=""),"",IF(ROUND(ABS($H347-$I347)*ABS($G347)*$AG347*$AH347,6)=0,"",ROUND(ABS($H347-$I347)*ABS($G347)*$AG347*$AH347,6))))</f>
        <v/>
      </c>
      <c r="W347" s="50" t="str">
        <f>IF($AM347=0,"",IF($BG347="","OK",LEFT($BG347,LEN($BG347)-2)))</f>
        <v/>
      </c>
      <c r="X347" s="41" t="n"/>
      <c r="Y347" s="40" t="n"/>
      <c r="Z347" s="41" t="n"/>
      <c r="AA347" s="41" t="n"/>
      <c r="AB347" s="40" t="n"/>
      <c r="AC347" s="51" t="n"/>
      <c r="AD347" s="51" t="n"/>
      <c r="AE347" s="40" t="n"/>
      <c r="AF347" s="52" t="str">
        <f>IF($AM347=0,"",IF($D347&lt;&gt;"",$D347,IF(IFERROR(INDEX(Accounts!$C$7:$C$16,MATCH($C347,Accounts!$B$7:$B$16,0))&amp;"","")&lt;&gt;"",INDEX(Accounts!$C$7:$C$16,MATCH($C347,Accounts!$B$7:$B$16,0)),Settings!$C$6)))</f>
        <v/>
      </c>
      <c r="AG347" s="53" t="str">
        <f>IF($AM347=0,"",IF(AND($BE347&gt;0,N(INDEX(Instruments!$D$6:$D$205,MAX(1,$BE347)))&gt;0),INDEX(Instruments!$D$6:$D$205,MAX(1,$BE347)),IF(N(INDEX(Settings!$D$14:$D$18,$BF347))&gt;0,INDEX(Settings!$D$14:$D$18,$BF347),"")))</f>
        <v/>
      </c>
      <c r="AH347" s="54" t="str">
        <f>IF($AM347=0,"",IF($AF347&lt;&gt;"Forex",1,IF(MID(UPPER(SUBSTITUTE(TRIM($E347),"/","")),4,3)=UPPER(TRIM(Settings!$C$7)),1,IF(LEFT(UPPER(SUBSTITUTE(TRIM($E347),"/","")),3)=UPPER(TRIM(Settings!$C$7)),IF(AND(ISNUMBER($K347),N($K347)&lt;&gt;0),1/$K347,""),""))))</f>
        <v/>
      </c>
      <c r="AI347" s="55" t="str">
        <f>IF($AM347=0,"",IF(OR(NOT(ISNUMBER($H347)),NOT(ISNUMBER($K347)),NOT(ISNUMBER($G347)),$AG347="",$AH347=""),"",ROUND(($K347-$H347)*IF($F347="Short",-1,1)*$G347*$AG347*$AH347,6)))</f>
        <v/>
      </c>
      <c r="AJ347" s="55" t="str">
        <f>IF($AM347=0,"",IF(INDEX(Settings!$E$14:$E$18,$BF347)="% of notional",IF(OR($AG347="",NOT(ISNUMBER($H347)),NOT(ISNUMBER($G347))),"",ROUND(ABS($H347*$G347*$AG347*N($AH347))*IF($L347="Limit",N(INDEX(Settings!$G$14:$G$18,$BF347)),N(INDEX(Settings!$H$14:$H$18,$BF347)))+IF(ISNUMBER($K347),ABS($K347*$G347*$AG347*N($AH347))*IF($M347="Target",N(INDEX(Settings!$G$14:$G$18,$BF347)),N(INDEX(Settings!$H$14:$H$18,$BF347))),0),6)),IF(NOT(ISNUMBER($G347)),"",ROUND(ABS($G347)*2*IF(AND($BE347&gt;0,ISNUMBER(INDEX(Instruments!$G$6:$G$205,MAX(1,$BE347)))),INDEX(Instruments!$G$6:$G$205,MAX(1,$BE347)),N(INDEX(Settings!$F$14:$F$18,$BF347))),6))))</f>
        <v/>
      </c>
      <c r="AK347" s="55" t="str">
        <f>IF($AM347=0,"",IF(ISNUMBER($O347),$O347,$AI347))</f>
        <v/>
      </c>
      <c r="AL347" s="55" t="str">
        <f>IF($AM347=0,"",IF(ISNUMBER($P347),$P347,N($AJ347)))</f>
        <v/>
      </c>
      <c r="AM347" s="56">
        <f>IF(AND($A347&lt;&gt;"",$E347&lt;&gt;"",OR(AND(ISNUMBER($G347),ISNUMBER($H347),ISNUMBER($K347)),ISNUMBER($O347))),1,0)</f>
        <v>0</v>
      </c>
      <c r="AN347" s="57" t="str">
        <f>IF($A347="","",$A347-WEEKDAY($A347,3))</f>
        <v/>
      </c>
      <c r="AO347" s="56" t="str">
        <f>IF($A347="","",WEEKDAY($A347,2))</f>
        <v/>
      </c>
      <c r="AP347" s="55" t="str">
        <f>IF(OR($AM347=0,$C347=""),"",IFERROR(N(INDEX(Accounts!$E$7:$E$16,MATCH($C347,Accounts!$B$7:$B$16,0))),0)+SUMIFS($Q$6:$Q347,$C$6:$C347,$C347))</f>
        <v/>
      </c>
      <c r="AQ347" s="55" t="str">
        <f>IF(OR($AM347=0,$C347=""),"",SUMIFS($Q$6:$Q$1005,$C$6:$C$1005,$C347,$A$6:$A$1005,$A347))</f>
        <v/>
      </c>
      <c r="AR347" s="55" t="str">
        <f>IF(OR($AM347=0,$C347=""),"",IFERROR(N(INDEX(Accounts!$E$7:$E$16,MATCH($C347,Accounts!$B$7:$B$16,0))),0)+SUMIFS($Q$6:$Q$1005,$C$6:$C$1005,$C347,$A$6:$A$1005,"&lt;="&amp;$A347))</f>
        <v/>
      </c>
      <c r="AS347" s="56">
        <f>IF(OR($AM347=0,$Q347=""),0,IF(AND($A347&gt;=Lists!$W$6,$A347&lt;=Lists!$W$7,OR(Dashboard!$D$6="All accounts",$C347=Dashboard!$D$6),OR(Dashboard!$D$7="All markets",$AF347=Dashboard!$D$7)),1,0))</f>
        <v>0</v>
      </c>
      <c r="AT347" s="55">
        <f>IF($AS347=1,N(AT346)+$Q347,N(AT346))</f>
        <v>1187.10688</v>
      </c>
      <c r="AU347" s="55">
        <f>MAX(N(AU346),$AT347)</f>
        <v>1187.10688</v>
      </c>
      <c r="AV347" s="55">
        <f>$AT347-$AU347</f>
        <v>0</v>
      </c>
      <c r="AW347" s="56">
        <f>IF($AS347=1,IF($S347="Win",N(AW346)+1,IF($S347="Loss",0,N(AW346))),N(AW346))</f>
        <v>5</v>
      </c>
      <c r="AX347" s="56">
        <f>IF($AS347=1,IF($S347="Loss",N(AX346)+1,IF($S347="Win",0,N(AX346))),N(AX346))</f>
        <v>0</v>
      </c>
      <c r="AY347" s="56" t="str">
        <f>IF($AS347=1,COUNTIF($AS$6:$AS347,1),"")</f>
        <v/>
      </c>
      <c r="AZ347" s="56">
        <f>MIN(341,N(Lists!$W$8))</f>
        <v>28</v>
      </c>
      <c r="BA347" s="56">
        <f>IF($AS347=1,IF(COUNTIFS($A$6:$A347,$A347,$AS$6:$AS347,1)=1,1,0),0)</f>
        <v>0</v>
      </c>
      <c r="BB347" s="55" t="str">
        <f>IF($BA347=1,SUMIFS($Q$6:$Q$1005,$A$6:$A$1005,$A347,$AS$6:$AS$1005,1),"")</f>
        <v/>
      </c>
      <c r="BC347" s="56">
        <f>IF(ISNUMBER($R347),1,0)</f>
        <v>0</v>
      </c>
      <c r="BD347" s="55" t="str">
        <f>IF(ISNUMBER($U347),$U347*$V347,"")</f>
        <v/>
      </c>
      <c r="BE347" s="56" t="str">
        <f>IF($AM347=0,"",IFERROR(MATCH($AF347&amp;"|"&amp;UPPER(TRIM($E347)),Lists!$A$6:$A$205,0),0))</f>
        <v/>
      </c>
      <c r="BF347" s="56" t="str">
        <f>IF($AM347=0,"",IFERROR(MATCH($AF347,Settings!$B$14:$B$18,0),IFERROR(MATCH(Settings!$C$6,Settings!$B$14:$B$18,0),1)))</f>
        <v/>
      </c>
      <c r="BG347" s="58" t="str">
        <f>IF($AM347=0,"",IF(NOT(ISNUMBER($I347)),"No stop; ","")&amp;IF(AND(ISNUMBER($H347),ISNUMBER($I347)),IF(OR(AND($F347&lt;&gt;"Short",$I347&gt;=$H347),AND($F347="Short",$I347&lt;=$H347)),"Stop on wrong side; ",""),"")&amp;IF($F347="","No direction; ","")&amp;IF(AND(ISNUMBER(Settings!$C$22),ISNUMBER($V347)),IF($V347&gt;Settings!$C$22,"Risk over max $; ",""),"")&amp;IF(AND(ISNUMBER(Settings!$C$23),ISNUMBER($V347),ISNUMBER($AP347),IFERROR(N(INDEX(Accounts!$E$7:$E$16,MATCH($C347,Accounts!$B$7:$B$16,0))),0)&gt;0),IF($V347&gt;Settings!$C$23*($AP347-N($Q347)),"Risk over max %; ",""),"")&amp;IF(AND(ISNUMBER(Settings!$C$24),ISNUMBER($N347)),IF($N347&gt;Settings!$C$24,"Leverage over max; ",""),"")&amp;IF(AND(ISNUMBER(Settings!$C$27),ISNUMBER($T347)),IF($T347&lt;Settings!$C$27,"R:R below min; ",""),"")&amp;IF(ISNUMBER(Settings!$C$25),IF(COUNTIFS($A$6:$A347,$A347,$AM$6:$AM347,1)&gt;Settings!$C$25,"Over max trades/day; ",""),"")&amp;IF(ISNUMBER(Settings!$C$26),IF(SUMIFS($Q$5:$Q346,$A$5:$A346,$A347)&lt;=-Settings!$C$26,"Traded after daily max loss; ",""),"")&amp;IF(AND($AG347="",NOT(ISNUMBER($O347))),"Symbol not in Instruments; ","")&amp;IF(AND($AH347="",NOT(ISNUMBER($O347))),"Forex cross: type Gross P&amp;L; ",""))</f>
        <v/>
      </c>
      <c r="BH347" s="56">
        <f>IF(ISNUMBER($Q347),1,0)</f>
        <v>0</v>
      </c>
      <c r="BI347" s="56">
        <f>IF($Y347="",0,1)</f>
        <v>0</v>
      </c>
      <c r="BJ347" s="56">
        <f>IF($AB347="",0,1)</f>
        <v>0</v>
      </c>
      <c r="BK347" s="56">
        <f>IF(AND($BH347=1,$W347&lt;&gt;"OK"),1,0)</f>
        <v>0</v>
      </c>
      <c r="BL347" s="55">
        <f>IF(N($AZ347)=0,0,IFERROR(INDEX($AT$6:$AT$1005,MATCH($AZ347,$AY$6:$AY$1005,0)),0))</f>
        <v>1187.10688</v>
      </c>
      <c r="BM347" s="56">
        <f>IF(ISNUMBER(SEARCH("daily max loss",$BG347)),1,0)</f>
        <v>0</v>
      </c>
    </row>
    <row r="348" ht="18" customHeight="1">
      <c r="A348" s="38" t="n"/>
      <c r="B348" s="39" t="n"/>
      <c r="C348" s="40" t="n"/>
      <c r="D348" s="41" t="n"/>
      <c r="E348" s="41" t="n"/>
      <c r="F348" s="41" t="n"/>
      <c r="G348" s="41" t="n"/>
      <c r="H348" s="42" t="n"/>
      <c r="I348" s="42" t="n"/>
      <c r="J348" s="42" t="n"/>
      <c r="K348" s="42" t="n"/>
      <c r="L348" s="41" t="n"/>
      <c r="M348" s="41" t="n"/>
      <c r="N348" s="41" t="n"/>
      <c r="O348" s="43" t="n"/>
      <c r="P348" s="43" t="n"/>
      <c r="Q348" s="44" t="str">
        <f>IF($AM348=0,"",IF(ISNUMBER($AK348),$AK348-N($AL348),""))</f>
        <v/>
      </c>
      <c r="R348" s="45" t="str">
        <f>IF(OR($Q348="",NOT(ISNUMBER($V348))),"",$AK348/$V348)</f>
        <v/>
      </c>
      <c r="S348" s="46" t="str">
        <f>IF($Q348="","",IF(AND(ISNUMBER($R348),ABS(N($R348))&lt;N(Settings!$C$8)),"Scratch",IF($Q348&gt;0,"Win",IF($Q348&lt;0,"Loss","Scratch"))))</f>
        <v/>
      </c>
      <c r="T348" s="47" t="str">
        <f>IF(OR($AM348=0,NOT(ISNUMBER($H348)),NOT(ISNUMBER($I348)),NOT(ISNUMBER($J348))),"",IF($H348=$I348,"",ROUND(ABS($J348-$H348)/ABS($H348-$I348),6)))</f>
        <v/>
      </c>
      <c r="U348" s="48" t="str">
        <f>IF(OR($S348&lt;&gt;"Win",NOT(ISNUMBER($T348)),NOT(ISNUMBER($R348))),"",MAX(0,$T348-$R348))</f>
        <v/>
      </c>
      <c r="V348" s="49" t="str">
        <f>IF(OR($AM348=0,NOT(ISNUMBER($H348)),NOT(ISNUMBER($I348)),NOT(ISNUMBER($G348))),"",IF(OR($AG348="",$AH348=""),"",IF(ROUND(ABS($H348-$I348)*ABS($G348)*$AG348*$AH348,6)=0,"",ROUND(ABS($H348-$I348)*ABS($G348)*$AG348*$AH348,6))))</f>
        <v/>
      </c>
      <c r="W348" s="50" t="str">
        <f>IF($AM348=0,"",IF($BG348="","OK",LEFT($BG348,LEN($BG348)-2)))</f>
        <v/>
      </c>
      <c r="X348" s="41" t="n"/>
      <c r="Y348" s="40" t="n"/>
      <c r="Z348" s="41" t="n"/>
      <c r="AA348" s="41" t="n"/>
      <c r="AB348" s="40" t="n"/>
      <c r="AC348" s="51" t="n"/>
      <c r="AD348" s="51" t="n"/>
      <c r="AE348" s="40" t="n"/>
      <c r="AF348" s="52" t="str">
        <f>IF($AM348=0,"",IF($D348&lt;&gt;"",$D348,IF(IFERROR(INDEX(Accounts!$C$7:$C$16,MATCH($C348,Accounts!$B$7:$B$16,0))&amp;"","")&lt;&gt;"",INDEX(Accounts!$C$7:$C$16,MATCH($C348,Accounts!$B$7:$B$16,0)),Settings!$C$6)))</f>
        <v/>
      </c>
      <c r="AG348" s="53" t="str">
        <f>IF($AM348=0,"",IF(AND($BE348&gt;0,N(INDEX(Instruments!$D$6:$D$205,MAX(1,$BE348)))&gt;0),INDEX(Instruments!$D$6:$D$205,MAX(1,$BE348)),IF(N(INDEX(Settings!$D$14:$D$18,$BF348))&gt;0,INDEX(Settings!$D$14:$D$18,$BF348),"")))</f>
        <v/>
      </c>
      <c r="AH348" s="54" t="str">
        <f>IF($AM348=0,"",IF($AF348&lt;&gt;"Forex",1,IF(MID(UPPER(SUBSTITUTE(TRIM($E348),"/","")),4,3)=UPPER(TRIM(Settings!$C$7)),1,IF(LEFT(UPPER(SUBSTITUTE(TRIM($E348),"/","")),3)=UPPER(TRIM(Settings!$C$7)),IF(AND(ISNUMBER($K348),N($K348)&lt;&gt;0),1/$K348,""),""))))</f>
        <v/>
      </c>
      <c r="AI348" s="55" t="str">
        <f>IF($AM348=0,"",IF(OR(NOT(ISNUMBER($H348)),NOT(ISNUMBER($K348)),NOT(ISNUMBER($G348)),$AG348="",$AH348=""),"",ROUND(($K348-$H348)*IF($F348="Short",-1,1)*$G348*$AG348*$AH348,6)))</f>
        <v/>
      </c>
      <c r="AJ348" s="55" t="str">
        <f>IF($AM348=0,"",IF(INDEX(Settings!$E$14:$E$18,$BF348)="% of notional",IF(OR($AG348="",NOT(ISNUMBER($H348)),NOT(ISNUMBER($G348))),"",ROUND(ABS($H348*$G348*$AG348*N($AH348))*IF($L348="Limit",N(INDEX(Settings!$G$14:$G$18,$BF348)),N(INDEX(Settings!$H$14:$H$18,$BF348)))+IF(ISNUMBER($K348),ABS($K348*$G348*$AG348*N($AH348))*IF($M348="Target",N(INDEX(Settings!$G$14:$G$18,$BF348)),N(INDEX(Settings!$H$14:$H$18,$BF348))),0),6)),IF(NOT(ISNUMBER($G348)),"",ROUND(ABS($G348)*2*IF(AND($BE348&gt;0,ISNUMBER(INDEX(Instruments!$G$6:$G$205,MAX(1,$BE348)))),INDEX(Instruments!$G$6:$G$205,MAX(1,$BE348)),N(INDEX(Settings!$F$14:$F$18,$BF348))),6))))</f>
        <v/>
      </c>
      <c r="AK348" s="55" t="str">
        <f>IF($AM348=0,"",IF(ISNUMBER($O348),$O348,$AI348))</f>
        <v/>
      </c>
      <c r="AL348" s="55" t="str">
        <f>IF($AM348=0,"",IF(ISNUMBER($P348),$P348,N($AJ348)))</f>
        <v/>
      </c>
      <c r="AM348" s="56">
        <f>IF(AND($A348&lt;&gt;"",$E348&lt;&gt;"",OR(AND(ISNUMBER($G348),ISNUMBER($H348),ISNUMBER($K348)),ISNUMBER($O348))),1,0)</f>
        <v>0</v>
      </c>
      <c r="AN348" s="57" t="str">
        <f>IF($A348="","",$A348-WEEKDAY($A348,3))</f>
        <v/>
      </c>
      <c r="AO348" s="56" t="str">
        <f>IF($A348="","",WEEKDAY($A348,2))</f>
        <v/>
      </c>
      <c r="AP348" s="55" t="str">
        <f>IF(OR($AM348=0,$C348=""),"",IFERROR(N(INDEX(Accounts!$E$7:$E$16,MATCH($C348,Accounts!$B$7:$B$16,0))),0)+SUMIFS($Q$6:$Q348,$C$6:$C348,$C348))</f>
        <v/>
      </c>
      <c r="AQ348" s="55" t="str">
        <f>IF(OR($AM348=0,$C348=""),"",SUMIFS($Q$6:$Q$1005,$C$6:$C$1005,$C348,$A$6:$A$1005,$A348))</f>
        <v/>
      </c>
      <c r="AR348" s="55" t="str">
        <f>IF(OR($AM348=0,$C348=""),"",IFERROR(N(INDEX(Accounts!$E$7:$E$16,MATCH($C348,Accounts!$B$7:$B$16,0))),0)+SUMIFS($Q$6:$Q$1005,$C$6:$C$1005,$C348,$A$6:$A$1005,"&lt;="&amp;$A348))</f>
        <v/>
      </c>
      <c r="AS348" s="56">
        <f>IF(OR($AM348=0,$Q348=""),0,IF(AND($A348&gt;=Lists!$W$6,$A348&lt;=Lists!$W$7,OR(Dashboard!$D$6="All accounts",$C348=Dashboard!$D$6),OR(Dashboard!$D$7="All markets",$AF348=Dashboard!$D$7)),1,0))</f>
        <v>0</v>
      </c>
      <c r="AT348" s="55">
        <f>IF($AS348=1,N(AT347)+$Q348,N(AT347))</f>
        <v>1187.10688</v>
      </c>
      <c r="AU348" s="55">
        <f>MAX(N(AU347),$AT348)</f>
        <v>1187.10688</v>
      </c>
      <c r="AV348" s="55">
        <f>$AT348-$AU348</f>
        <v>0</v>
      </c>
      <c r="AW348" s="56">
        <f>IF($AS348=1,IF($S348="Win",N(AW347)+1,IF($S348="Loss",0,N(AW347))),N(AW347))</f>
        <v>5</v>
      </c>
      <c r="AX348" s="56">
        <f>IF($AS348=1,IF($S348="Loss",N(AX347)+1,IF($S348="Win",0,N(AX347))),N(AX347))</f>
        <v>0</v>
      </c>
      <c r="AY348" s="56" t="str">
        <f>IF($AS348=1,COUNTIF($AS$6:$AS348,1),"")</f>
        <v/>
      </c>
      <c r="AZ348" s="56">
        <f>MIN(342,N(Lists!$W$8))</f>
        <v>28</v>
      </c>
      <c r="BA348" s="56">
        <f>IF($AS348=1,IF(COUNTIFS($A$6:$A348,$A348,$AS$6:$AS348,1)=1,1,0),0)</f>
        <v>0</v>
      </c>
      <c r="BB348" s="55" t="str">
        <f>IF($BA348=1,SUMIFS($Q$6:$Q$1005,$A$6:$A$1005,$A348,$AS$6:$AS$1005,1),"")</f>
        <v/>
      </c>
      <c r="BC348" s="56">
        <f>IF(ISNUMBER($R348),1,0)</f>
        <v>0</v>
      </c>
      <c r="BD348" s="55" t="str">
        <f>IF(ISNUMBER($U348),$U348*$V348,"")</f>
        <v/>
      </c>
      <c r="BE348" s="56" t="str">
        <f>IF($AM348=0,"",IFERROR(MATCH($AF348&amp;"|"&amp;UPPER(TRIM($E348)),Lists!$A$6:$A$205,0),0))</f>
        <v/>
      </c>
      <c r="BF348" s="56" t="str">
        <f>IF($AM348=0,"",IFERROR(MATCH($AF348,Settings!$B$14:$B$18,0),IFERROR(MATCH(Settings!$C$6,Settings!$B$14:$B$18,0),1)))</f>
        <v/>
      </c>
      <c r="BG348" s="58" t="str">
        <f>IF($AM348=0,"",IF(NOT(ISNUMBER($I348)),"No stop; ","")&amp;IF(AND(ISNUMBER($H348),ISNUMBER($I348)),IF(OR(AND($F348&lt;&gt;"Short",$I348&gt;=$H348),AND($F348="Short",$I348&lt;=$H348)),"Stop on wrong side; ",""),"")&amp;IF($F348="","No direction; ","")&amp;IF(AND(ISNUMBER(Settings!$C$22),ISNUMBER($V348)),IF($V348&gt;Settings!$C$22,"Risk over max $; ",""),"")&amp;IF(AND(ISNUMBER(Settings!$C$23),ISNUMBER($V348),ISNUMBER($AP348),IFERROR(N(INDEX(Accounts!$E$7:$E$16,MATCH($C348,Accounts!$B$7:$B$16,0))),0)&gt;0),IF($V348&gt;Settings!$C$23*($AP348-N($Q348)),"Risk over max %; ",""),"")&amp;IF(AND(ISNUMBER(Settings!$C$24),ISNUMBER($N348)),IF($N348&gt;Settings!$C$24,"Leverage over max; ",""),"")&amp;IF(AND(ISNUMBER(Settings!$C$27),ISNUMBER($T348)),IF($T348&lt;Settings!$C$27,"R:R below min; ",""),"")&amp;IF(ISNUMBER(Settings!$C$25),IF(COUNTIFS($A$6:$A348,$A348,$AM$6:$AM348,1)&gt;Settings!$C$25,"Over max trades/day; ",""),"")&amp;IF(ISNUMBER(Settings!$C$26),IF(SUMIFS($Q$5:$Q347,$A$5:$A347,$A348)&lt;=-Settings!$C$26,"Traded after daily max loss; ",""),"")&amp;IF(AND($AG348="",NOT(ISNUMBER($O348))),"Symbol not in Instruments; ","")&amp;IF(AND($AH348="",NOT(ISNUMBER($O348))),"Forex cross: type Gross P&amp;L; ",""))</f>
        <v/>
      </c>
      <c r="BH348" s="56">
        <f>IF(ISNUMBER($Q348),1,0)</f>
        <v>0</v>
      </c>
      <c r="BI348" s="56">
        <f>IF($Y348="",0,1)</f>
        <v>0</v>
      </c>
      <c r="BJ348" s="56">
        <f>IF($AB348="",0,1)</f>
        <v>0</v>
      </c>
      <c r="BK348" s="56">
        <f>IF(AND($BH348=1,$W348&lt;&gt;"OK"),1,0)</f>
        <v>0</v>
      </c>
      <c r="BL348" s="55">
        <f>IF(N($AZ348)=0,0,IFERROR(INDEX($AT$6:$AT$1005,MATCH($AZ348,$AY$6:$AY$1005,0)),0))</f>
        <v>1187.10688</v>
      </c>
      <c r="BM348" s="56">
        <f>IF(ISNUMBER(SEARCH("daily max loss",$BG348)),1,0)</f>
        <v>0</v>
      </c>
    </row>
    <row r="349" ht="18" customHeight="1">
      <c r="A349" s="38" t="n"/>
      <c r="B349" s="39" t="n"/>
      <c r="C349" s="40" t="n"/>
      <c r="D349" s="41" t="n"/>
      <c r="E349" s="41" t="n"/>
      <c r="F349" s="41" t="n"/>
      <c r="G349" s="41" t="n"/>
      <c r="H349" s="42" t="n"/>
      <c r="I349" s="42" t="n"/>
      <c r="J349" s="42" t="n"/>
      <c r="K349" s="42" t="n"/>
      <c r="L349" s="41" t="n"/>
      <c r="M349" s="41" t="n"/>
      <c r="N349" s="41" t="n"/>
      <c r="O349" s="43" t="n"/>
      <c r="P349" s="43" t="n"/>
      <c r="Q349" s="44" t="str">
        <f>IF($AM349=0,"",IF(ISNUMBER($AK349),$AK349-N($AL349),""))</f>
        <v/>
      </c>
      <c r="R349" s="45" t="str">
        <f>IF(OR($Q349="",NOT(ISNUMBER($V349))),"",$AK349/$V349)</f>
        <v/>
      </c>
      <c r="S349" s="46" t="str">
        <f>IF($Q349="","",IF(AND(ISNUMBER($R349),ABS(N($R349))&lt;N(Settings!$C$8)),"Scratch",IF($Q349&gt;0,"Win",IF($Q349&lt;0,"Loss","Scratch"))))</f>
        <v/>
      </c>
      <c r="T349" s="47" t="str">
        <f>IF(OR($AM349=0,NOT(ISNUMBER($H349)),NOT(ISNUMBER($I349)),NOT(ISNUMBER($J349))),"",IF($H349=$I349,"",ROUND(ABS($J349-$H349)/ABS($H349-$I349),6)))</f>
        <v/>
      </c>
      <c r="U349" s="48" t="str">
        <f>IF(OR($S349&lt;&gt;"Win",NOT(ISNUMBER($T349)),NOT(ISNUMBER($R349))),"",MAX(0,$T349-$R349))</f>
        <v/>
      </c>
      <c r="V349" s="49" t="str">
        <f>IF(OR($AM349=0,NOT(ISNUMBER($H349)),NOT(ISNUMBER($I349)),NOT(ISNUMBER($G349))),"",IF(OR($AG349="",$AH349=""),"",IF(ROUND(ABS($H349-$I349)*ABS($G349)*$AG349*$AH349,6)=0,"",ROUND(ABS($H349-$I349)*ABS($G349)*$AG349*$AH349,6))))</f>
        <v/>
      </c>
      <c r="W349" s="50" t="str">
        <f>IF($AM349=0,"",IF($BG349="","OK",LEFT($BG349,LEN($BG349)-2)))</f>
        <v/>
      </c>
      <c r="X349" s="41" t="n"/>
      <c r="Y349" s="40" t="n"/>
      <c r="Z349" s="41" t="n"/>
      <c r="AA349" s="41" t="n"/>
      <c r="AB349" s="40" t="n"/>
      <c r="AC349" s="51" t="n"/>
      <c r="AD349" s="51" t="n"/>
      <c r="AE349" s="40" t="n"/>
      <c r="AF349" s="52" t="str">
        <f>IF($AM349=0,"",IF($D349&lt;&gt;"",$D349,IF(IFERROR(INDEX(Accounts!$C$7:$C$16,MATCH($C349,Accounts!$B$7:$B$16,0))&amp;"","")&lt;&gt;"",INDEX(Accounts!$C$7:$C$16,MATCH($C349,Accounts!$B$7:$B$16,0)),Settings!$C$6)))</f>
        <v/>
      </c>
      <c r="AG349" s="53" t="str">
        <f>IF($AM349=0,"",IF(AND($BE349&gt;0,N(INDEX(Instruments!$D$6:$D$205,MAX(1,$BE349)))&gt;0),INDEX(Instruments!$D$6:$D$205,MAX(1,$BE349)),IF(N(INDEX(Settings!$D$14:$D$18,$BF349))&gt;0,INDEX(Settings!$D$14:$D$18,$BF349),"")))</f>
        <v/>
      </c>
      <c r="AH349" s="54" t="str">
        <f>IF($AM349=0,"",IF($AF349&lt;&gt;"Forex",1,IF(MID(UPPER(SUBSTITUTE(TRIM($E349),"/","")),4,3)=UPPER(TRIM(Settings!$C$7)),1,IF(LEFT(UPPER(SUBSTITUTE(TRIM($E349),"/","")),3)=UPPER(TRIM(Settings!$C$7)),IF(AND(ISNUMBER($K349),N($K349)&lt;&gt;0),1/$K349,""),""))))</f>
        <v/>
      </c>
      <c r="AI349" s="55" t="str">
        <f>IF($AM349=0,"",IF(OR(NOT(ISNUMBER($H349)),NOT(ISNUMBER($K349)),NOT(ISNUMBER($G349)),$AG349="",$AH349=""),"",ROUND(($K349-$H349)*IF($F349="Short",-1,1)*$G349*$AG349*$AH349,6)))</f>
        <v/>
      </c>
      <c r="AJ349" s="55" t="str">
        <f>IF($AM349=0,"",IF(INDEX(Settings!$E$14:$E$18,$BF349)="% of notional",IF(OR($AG349="",NOT(ISNUMBER($H349)),NOT(ISNUMBER($G349))),"",ROUND(ABS($H349*$G349*$AG349*N($AH349))*IF($L349="Limit",N(INDEX(Settings!$G$14:$G$18,$BF349)),N(INDEX(Settings!$H$14:$H$18,$BF349)))+IF(ISNUMBER($K349),ABS($K349*$G349*$AG349*N($AH349))*IF($M349="Target",N(INDEX(Settings!$G$14:$G$18,$BF349)),N(INDEX(Settings!$H$14:$H$18,$BF349))),0),6)),IF(NOT(ISNUMBER($G349)),"",ROUND(ABS($G349)*2*IF(AND($BE349&gt;0,ISNUMBER(INDEX(Instruments!$G$6:$G$205,MAX(1,$BE349)))),INDEX(Instruments!$G$6:$G$205,MAX(1,$BE349)),N(INDEX(Settings!$F$14:$F$18,$BF349))),6))))</f>
        <v/>
      </c>
      <c r="AK349" s="55" t="str">
        <f>IF($AM349=0,"",IF(ISNUMBER($O349),$O349,$AI349))</f>
        <v/>
      </c>
      <c r="AL349" s="55" t="str">
        <f>IF($AM349=0,"",IF(ISNUMBER($P349),$P349,N($AJ349)))</f>
        <v/>
      </c>
      <c r="AM349" s="56">
        <f>IF(AND($A349&lt;&gt;"",$E349&lt;&gt;"",OR(AND(ISNUMBER($G349),ISNUMBER($H349),ISNUMBER($K349)),ISNUMBER($O349))),1,0)</f>
        <v>0</v>
      </c>
      <c r="AN349" s="57" t="str">
        <f>IF($A349="","",$A349-WEEKDAY($A349,3))</f>
        <v/>
      </c>
      <c r="AO349" s="56" t="str">
        <f>IF($A349="","",WEEKDAY($A349,2))</f>
        <v/>
      </c>
      <c r="AP349" s="55" t="str">
        <f>IF(OR($AM349=0,$C349=""),"",IFERROR(N(INDEX(Accounts!$E$7:$E$16,MATCH($C349,Accounts!$B$7:$B$16,0))),0)+SUMIFS($Q$6:$Q349,$C$6:$C349,$C349))</f>
        <v/>
      </c>
      <c r="AQ349" s="55" t="str">
        <f>IF(OR($AM349=0,$C349=""),"",SUMIFS($Q$6:$Q$1005,$C$6:$C$1005,$C349,$A$6:$A$1005,$A349))</f>
        <v/>
      </c>
      <c r="AR349" s="55" t="str">
        <f>IF(OR($AM349=0,$C349=""),"",IFERROR(N(INDEX(Accounts!$E$7:$E$16,MATCH($C349,Accounts!$B$7:$B$16,0))),0)+SUMIFS($Q$6:$Q$1005,$C$6:$C$1005,$C349,$A$6:$A$1005,"&lt;="&amp;$A349))</f>
        <v/>
      </c>
      <c r="AS349" s="56">
        <f>IF(OR($AM349=0,$Q349=""),0,IF(AND($A349&gt;=Lists!$W$6,$A349&lt;=Lists!$W$7,OR(Dashboard!$D$6="All accounts",$C349=Dashboard!$D$6),OR(Dashboard!$D$7="All markets",$AF349=Dashboard!$D$7)),1,0))</f>
        <v>0</v>
      </c>
      <c r="AT349" s="55">
        <f>IF($AS349=1,N(AT348)+$Q349,N(AT348))</f>
        <v>1187.10688</v>
      </c>
      <c r="AU349" s="55">
        <f>MAX(N(AU348),$AT349)</f>
        <v>1187.10688</v>
      </c>
      <c r="AV349" s="55">
        <f>$AT349-$AU349</f>
        <v>0</v>
      </c>
      <c r="AW349" s="56">
        <f>IF($AS349=1,IF($S349="Win",N(AW348)+1,IF($S349="Loss",0,N(AW348))),N(AW348))</f>
        <v>5</v>
      </c>
      <c r="AX349" s="56">
        <f>IF($AS349=1,IF($S349="Loss",N(AX348)+1,IF($S349="Win",0,N(AX348))),N(AX348))</f>
        <v>0</v>
      </c>
      <c r="AY349" s="56" t="str">
        <f>IF($AS349=1,COUNTIF($AS$6:$AS349,1),"")</f>
        <v/>
      </c>
      <c r="AZ349" s="56">
        <f>MIN(343,N(Lists!$W$8))</f>
        <v>28</v>
      </c>
      <c r="BA349" s="56">
        <f>IF($AS349=1,IF(COUNTIFS($A$6:$A349,$A349,$AS$6:$AS349,1)=1,1,0),0)</f>
        <v>0</v>
      </c>
      <c r="BB349" s="55" t="str">
        <f>IF($BA349=1,SUMIFS($Q$6:$Q$1005,$A$6:$A$1005,$A349,$AS$6:$AS$1005,1),"")</f>
        <v/>
      </c>
      <c r="BC349" s="56">
        <f>IF(ISNUMBER($R349),1,0)</f>
        <v>0</v>
      </c>
      <c r="BD349" s="55" t="str">
        <f>IF(ISNUMBER($U349),$U349*$V349,"")</f>
        <v/>
      </c>
      <c r="BE349" s="56" t="str">
        <f>IF($AM349=0,"",IFERROR(MATCH($AF349&amp;"|"&amp;UPPER(TRIM($E349)),Lists!$A$6:$A$205,0),0))</f>
        <v/>
      </c>
      <c r="BF349" s="56" t="str">
        <f>IF($AM349=0,"",IFERROR(MATCH($AF349,Settings!$B$14:$B$18,0),IFERROR(MATCH(Settings!$C$6,Settings!$B$14:$B$18,0),1)))</f>
        <v/>
      </c>
      <c r="BG349" s="58" t="str">
        <f>IF($AM349=0,"",IF(NOT(ISNUMBER($I349)),"No stop; ","")&amp;IF(AND(ISNUMBER($H349),ISNUMBER($I349)),IF(OR(AND($F349&lt;&gt;"Short",$I349&gt;=$H349),AND($F349="Short",$I349&lt;=$H349)),"Stop on wrong side; ",""),"")&amp;IF($F349="","No direction; ","")&amp;IF(AND(ISNUMBER(Settings!$C$22),ISNUMBER($V349)),IF($V349&gt;Settings!$C$22,"Risk over max $; ",""),"")&amp;IF(AND(ISNUMBER(Settings!$C$23),ISNUMBER($V349),ISNUMBER($AP349),IFERROR(N(INDEX(Accounts!$E$7:$E$16,MATCH($C349,Accounts!$B$7:$B$16,0))),0)&gt;0),IF($V349&gt;Settings!$C$23*($AP349-N($Q349)),"Risk over max %; ",""),"")&amp;IF(AND(ISNUMBER(Settings!$C$24),ISNUMBER($N349)),IF($N349&gt;Settings!$C$24,"Leverage over max; ",""),"")&amp;IF(AND(ISNUMBER(Settings!$C$27),ISNUMBER($T349)),IF($T349&lt;Settings!$C$27,"R:R below min; ",""),"")&amp;IF(ISNUMBER(Settings!$C$25),IF(COUNTIFS($A$6:$A349,$A349,$AM$6:$AM349,1)&gt;Settings!$C$25,"Over max trades/day; ",""),"")&amp;IF(ISNUMBER(Settings!$C$26),IF(SUMIFS($Q$5:$Q348,$A$5:$A348,$A349)&lt;=-Settings!$C$26,"Traded after daily max loss; ",""),"")&amp;IF(AND($AG349="",NOT(ISNUMBER($O349))),"Symbol not in Instruments; ","")&amp;IF(AND($AH349="",NOT(ISNUMBER($O349))),"Forex cross: type Gross P&amp;L; ",""))</f>
        <v/>
      </c>
      <c r="BH349" s="56">
        <f>IF(ISNUMBER($Q349),1,0)</f>
        <v>0</v>
      </c>
      <c r="BI349" s="56">
        <f>IF($Y349="",0,1)</f>
        <v>0</v>
      </c>
      <c r="BJ349" s="56">
        <f>IF($AB349="",0,1)</f>
        <v>0</v>
      </c>
      <c r="BK349" s="56">
        <f>IF(AND($BH349=1,$W349&lt;&gt;"OK"),1,0)</f>
        <v>0</v>
      </c>
      <c r="BL349" s="55">
        <f>IF(N($AZ349)=0,0,IFERROR(INDEX($AT$6:$AT$1005,MATCH($AZ349,$AY$6:$AY$1005,0)),0))</f>
        <v>1187.10688</v>
      </c>
      <c r="BM349" s="56">
        <f>IF(ISNUMBER(SEARCH("daily max loss",$BG349)),1,0)</f>
        <v>0</v>
      </c>
    </row>
    <row r="350" ht="18" customHeight="1">
      <c r="A350" s="38" t="n"/>
      <c r="B350" s="39" t="n"/>
      <c r="C350" s="40" t="n"/>
      <c r="D350" s="41" t="n"/>
      <c r="E350" s="41" t="n"/>
      <c r="F350" s="41" t="n"/>
      <c r="G350" s="41" t="n"/>
      <c r="H350" s="42" t="n"/>
      <c r="I350" s="42" t="n"/>
      <c r="J350" s="42" t="n"/>
      <c r="K350" s="42" t="n"/>
      <c r="L350" s="41" t="n"/>
      <c r="M350" s="41" t="n"/>
      <c r="N350" s="41" t="n"/>
      <c r="O350" s="43" t="n"/>
      <c r="P350" s="43" t="n"/>
      <c r="Q350" s="44" t="str">
        <f>IF($AM350=0,"",IF(ISNUMBER($AK350),$AK350-N($AL350),""))</f>
        <v/>
      </c>
      <c r="R350" s="45" t="str">
        <f>IF(OR($Q350="",NOT(ISNUMBER($V350))),"",$AK350/$V350)</f>
        <v/>
      </c>
      <c r="S350" s="46" t="str">
        <f>IF($Q350="","",IF(AND(ISNUMBER($R350),ABS(N($R350))&lt;N(Settings!$C$8)),"Scratch",IF($Q350&gt;0,"Win",IF($Q350&lt;0,"Loss","Scratch"))))</f>
        <v/>
      </c>
      <c r="T350" s="47" t="str">
        <f>IF(OR($AM350=0,NOT(ISNUMBER($H350)),NOT(ISNUMBER($I350)),NOT(ISNUMBER($J350))),"",IF($H350=$I350,"",ROUND(ABS($J350-$H350)/ABS($H350-$I350),6)))</f>
        <v/>
      </c>
      <c r="U350" s="48" t="str">
        <f>IF(OR($S350&lt;&gt;"Win",NOT(ISNUMBER($T350)),NOT(ISNUMBER($R350))),"",MAX(0,$T350-$R350))</f>
        <v/>
      </c>
      <c r="V350" s="49" t="str">
        <f>IF(OR($AM350=0,NOT(ISNUMBER($H350)),NOT(ISNUMBER($I350)),NOT(ISNUMBER($G350))),"",IF(OR($AG350="",$AH350=""),"",IF(ROUND(ABS($H350-$I350)*ABS($G350)*$AG350*$AH350,6)=0,"",ROUND(ABS($H350-$I350)*ABS($G350)*$AG350*$AH350,6))))</f>
        <v/>
      </c>
      <c r="W350" s="50" t="str">
        <f>IF($AM350=0,"",IF($BG350="","OK",LEFT($BG350,LEN($BG350)-2)))</f>
        <v/>
      </c>
      <c r="X350" s="41" t="n"/>
      <c r="Y350" s="40" t="n"/>
      <c r="Z350" s="41" t="n"/>
      <c r="AA350" s="41" t="n"/>
      <c r="AB350" s="40" t="n"/>
      <c r="AC350" s="51" t="n"/>
      <c r="AD350" s="51" t="n"/>
      <c r="AE350" s="40" t="n"/>
      <c r="AF350" s="52" t="str">
        <f>IF($AM350=0,"",IF($D350&lt;&gt;"",$D350,IF(IFERROR(INDEX(Accounts!$C$7:$C$16,MATCH($C350,Accounts!$B$7:$B$16,0))&amp;"","")&lt;&gt;"",INDEX(Accounts!$C$7:$C$16,MATCH($C350,Accounts!$B$7:$B$16,0)),Settings!$C$6)))</f>
        <v/>
      </c>
      <c r="AG350" s="53" t="str">
        <f>IF($AM350=0,"",IF(AND($BE350&gt;0,N(INDEX(Instruments!$D$6:$D$205,MAX(1,$BE350)))&gt;0),INDEX(Instruments!$D$6:$D$205,MAX(1,$BE350)),IF(N(INDEX(Settings!$D$14:$D$18,$BF350))&gt;0,INDEX(Settings!$D$14:$D$18,$BF350),"")))</f>
        <v/>
      </c>
      <c r="AH350" s="54" t="str">
        <f>IF($AM350=0,"",IF($AF350&lt;&gt;"Forex",1,IF(MID(UPPER(SUBSTITUTE(TRIM($E350),"/","")),4,3)=UPPER(TRIM(Settings!$C$7)),1,IF(LEFT(UPPER(SUBSTITUTE(TRIM($E350),"/","")),3)=UPPER(TRIM(Settings!$C$7)),IF(AND(ISNUMBER($K350),N($K350)&lt;&gt;0),1/$K350,""),""))))</f>
        <v/>
      </c>
      <c r="AI350" s="55" t="str">
        <f>IF($AM350=0,"",IF(OR(NOT(ISNUMBER($H350)),NOT(ISNUMBER($K350)),NOT(ISNUMBER($G350)),$AG350="",$AH350=""),"",ROUND(($K350-$H350)*IF($F350="Short",-1,1)*$G350*$AG350*$AH350,6)))</f>
        <v/>
      </c>
      <c r="AJ350" s="55" t="str">
        <f>IF($AM350=0,"",IF(INDEX(Settings!$E$14:$E$18,$BF350)="% of notional",IF(OR($AG350="",NOT(ISNUMBER($H350)),NOT(ISNUMBER($G350))),"",ROUND(ABS($H350*$G350*$AG350*N($AH350))*IF($L350="Limit",N(INDEX(Settings!$G$14:$G$18,$BF350)),N(INDEX(Settings!$H$14:$H$18,$BF350)))+IF(ISNUMBER($K350),ABS($K350*$G350*$AG350*N($AH350))*IF($M350="Target",N(INDEX(Settings!$G$14:$G$18,$BF350)),N(INDEX(Settings!$H$14:$H$18,$BF350))),0),6)),IF(NOT(ISNUMBER($G350)),"",ROUND(ABS($G350)*2*IF(AND($BE350&gt;0,ISNUMBER(INDEX(Instruments!$G$6:$G$205,MAX(1,$BE350)))),INDEX(Instruments!$G$6:$G$205,MAX(1,$BE350)),N(INDEX(Settings!$F$14:$F$18,$BF350))),6))))</f>
        <v/>
      </c>
      <c r="AK350" s="55" t="str">
        <f>IF($AM350=0,"",IF(ISNUMBER($O350),$O350,$AI350))</f>
        <v/>
      </c>
      <c r="AL350" s="55" t="str">
        <f>IF($AM350=0,"",IF(ISNUMBER($P350),$P350,N($AJ350)))</f>
        <v/>
      </c>
      <c r="AM350" s="56">
        <f>IF(AND($A350&lt;&gt;"",$E350&lt;&gt;"",OR(AND(ISNUMBER($G350),ISNUMBER($H350),ISNUMBER($K350)),ISNUMBER($O350))),1,0)</f>
        <v>0</v>
      </c>
      <c r="AN350" s="57" t="str">
        <f>IF($A350="","",$A350-WEEKDAY($A350,3))</f>
        <v/>
      </c>
      <c r="AO350" s="56" t="str">
        <f>IF($A350="","",WEEKDAY($A350,2))</f>
        <v/>
      </c>
      <c r="AP350" s="55" t="str">
        <f>IF(OR($AM350=0,$C350=""),"",IFERROR(N(INDEX(Accounts!$E$7:$E$16,MATCH($C350,Accounts!$B$7:$B$16,0))),0)+SUMIFS($Q$6:$Q350,$C$6:$C350,$C350))</f>
        <v/>
      </c>
      <c r="AQ350" s="55" t="str">
        <f>IF(OR($AM350=0,$C350=""),"",SUMIFS($Q$6:$Q$1005,$C$6:$C$1005,$C350,$A$6:$A$1005,$A350))</f>
        <v/>
      </c>
      <c r="AR350" s="55" t="str">
        <f>IF(OR($AM350=0,$C350=""),"",IFERROR(N(INDEX(Accounts!$E$7:$E$16,MATCH($C350,Accounts!$B$7:$B$16,0))),0)+SUMIFS($Q$6:$Q$1005,$C$6:$C$1005,$C350,$A$6:$A$1005,"&lt;="&amp;$A350))</f>
        <v/>
      </c>
      <c r="AS350" s="56">
        <f>IF(OR($AM350=0,$Q350=""),0,IF(AND($A350&gt;=Lists!$W$6,$A350&lt;=Lists!$W$7,OR(Dashboard!$D$6="All accounts",$C350=Dashboard!$D$6),OR(Dashboard!$D$7="All markets",$AF350=Dashboard!$D$7)),1,0))</f>
        <v>0</v>
      </c>
      <c r="AT350" s="55">
        <f>IF($AS350=1,N(AT349)+$Q350,N(AT349))</f>
        <v>1187.10688</v>
      </c>
      <c r="AU350" s="55">
        <f>MAX(N(AU349),$AT350)</f>
        <v>1187.10688</v>
      </c>
      <c r="AV350" s="55">
        <f>$AT350-$AU350</f>
        <v>0</v>
      </c>
      <c r="AW350" s="56">
        <f>IF($AS350=1,IF($S350="Win",N(AW349)+1,IF($S350="Loss",0,N(AW349))),N(AW349))</f>
        <v>5</v>
      </c>
      <c r="AX350" s="56">
        <f>IF($AS350=1,IF($S350="Loss",N(AX349)+1,IF($S350="Win",0,N(AX349))),N(AX349))</f>
        <v>0</v>
      </c>
      <c r="AY350" s="56" t="str">
        <f>IF($AS350=1,COUNTIF($AS$6:$AS350,1),"")</f>
        <v/>
      </c>
      <c r="AZ350" s="56">
        <f>MIN(344,N(Lists!$W$8))</f>
        <v>28</v>
      </c>
      <c r="BA350" s="56">
        <f>IF($AS350=1,IF(COUNTIFS($A$6:$A350,$A350,$AS$6:$AS350,1)=1,1,0),0)</f>
        <v>0</v>
      </c>
      <c r="BB350" s="55" t="str">
        <f>IF($BA350=1,SUMIFS($Q$6:$Q$1005,$A$6:$A$1005,$A350,$AS$6:$AS$1005,1),"")</f>
        <v/>
      </c>
      <c r="BC350" s="56">
        <f>IF(ISNUMBER($R350),1,0)</f>
        <v>0</v>
      </c>
      <c r="BD350" s="55" t="str">
        <f>IF(ISNUMBER($U350),$U350*$V350,"")</f>
        <v/>
      </c>
      <c r="BE350" s="56" t="str">
        <f>IF($AM350=0,"",IFERROR(MATCH($AF350&amp;"|"&amp;UPPER(TRIM($E350)),Lists!$A$6:$A$205,0),0))</f>
        <v/>
      </c>
      <c r="BF350" s="56" t="str">
        <f>IF($AM350=0,"",IFERROR(MATCH($AF350,Settings!$B$14:$B$18,0),IFERROR(MATCH(Settings!$C$6,Settings!$B$14:$B$18,0),1)))</f>
        <v/>
      </c>
      <c r="BG350" s="58" t="str">
        <f>IF($AM350=0,"",IF(NOT(ISNUMBER($I350)),"No stop; ","")&amp;IF(AND(ISNUMBER($H350),ISNUMBER($I350)),IF(OR(AND($F350&lt;&gt;"Short",$I350&gt;=$H350),AND($F350="Short",$I350&lt;=$H350)),"Stop on wrong side; ",""),"")&amp;IF($F350="","No direction; ","")&amp;IF(AND(ISNUMBER(Settings!$C$22),ISNUMBER($V350)),IF($V350&gt;Settings!$C$22,"Risk over max $; ",""),"")&amp;IF(AND(ISNUMBER(Settings!$C$23),ISNUMBER($V350),ISNUMBER($AP350),IFERROR(N(INDEX(Accounts!$E$7:$E$16,MATCH($C350,Accounts!$B$7:$B$16,0))),0)&gt;0),IF($V350&gt;Settings!$C$23*($AP350-N($Q350)),"Risk over max %; ",""),"")&amp;IF(AND(ISNUMBER(Settings!$C$24),ISNUMBER($N350)),IF($N350&gt;Settings!$C$24,"Leverage over max; ",""),"")&amp;IF(AND(ISNUMBER(Settings!$C$27),ISNUMBER($T350)),IF($T350&lt;Settings!$C$27,"R:R below min; ",""),"")&amp;IF(ISNUMBER(Settings!$C$25),IF(COUNTIFS($A$6:$A350,$A350,$AM$6:$AM350,1)&gt;Settings!$C$25,"Over max trades/day; ",""),"")&amp;IF(ISNUMBER(Settings!$C$26),IF(SUMIFS($Q$5:$Q349,$A$5:$A349,$A350)&lt;=-Settings!$C$26,"Traded after daily max loss; ",""),"")&amp;IF(AND($AG350="",NOT(ISNUMBER($O350))),"Symbol not in Instruments; ","")&amp;IF(AND($AH350="",NOT(ISNUMBER($O350))),"Forex cross: type Gross P&amp;L; ",""))</f>
        <v/>
      </c>
      <c r="BH350" s="56">
        <f>IF(ISNUMBER($Q350),1,0)</f>
        <v>0</v>
      </c>
      <c r="BI350" s="56">
        <f>IF($Y350="",0,1)</f>
        <v>0</v>
      </c>
      <c r="BJ350" s="56">
        <f>IF($AB350="",0,1)</f>
        <v>0</v>
      </c>
      <c r="BK350" s="56">
        <f>IF(AND($BH350=1,$W350&lt;&gt;"OK"),1,0)</f>
        <v>0</v>
      </c>
      <c r="BL350" s="55">
        <f>IF(N($AZ350)=0,0,IFERROR(INDEX($AT$6:$AT$1005,MATCH($AZ350,$AY$6:$AY$1005,0)),0))</f>
        <v>1187.10688</v>
      </c>
      <c r="BM350" s="56">
        <f>IF(ISNUMBER(SEARCH("daily max loss",$BG350)),1,0)</f>
        <v>0</v>
      </c>
    </row>
    <row r="351" ht="18" customHeight="1">
      <c r="A351" s="38" t="n"/>
      <c r="B351" s="39" t="n"/>
      <c r="C351" s="40" t="n"/>
      <c r="D351" s="41" t="n"/>
      <c r="E351" s="41" t="n"/>
      <c r="F351" s="41" t="n"/>
      <c r="G351" s="41" t="n"/>
      <c r="H351" s="42" t="n"/>
      <c r="I351" s="42" t="n"/>
      <c r="J351" s="42" t="n"/>
      <c r="K351" s="42" t="n"/>
      <c r="L351" s="41" t="n"/>
      <c r="M351" s="41" t="n"/>
      <c r="N351" s="41" t="n"/>
      <c r="O351" s="43" t="n"/>
      <c r="P351" s="43" t="n"/>
      <c r="Q351" s="44" t="str">
        <f>IF($AM351=0,"",IF(ISNUMBER($AK351),$AK351-N($AL351),""))</f>
        <v/>
      </c>
      <c r="R351" s="45" t="str">
        <f>IF(OR($Q351="",NOT(ISNUMBER($V351))),"",$AK351/$V351)</f>
        <v/>
      </c>
      <c r="S351" s="46" t="str">
        <f>IF($Q351="","",IF(AND(ISNUMBER($R351),ABS(N($R351))&lt;N(Settings!$C$8)),"Scratch",IF($Q351&gt;0,"Win",IF($Q351&lt;0,"Loss","Scratch"))))</f>
        <v/>
      </c>
      <c r="T351" s="47" t="str">
        <f>IF(OR($AM351=0,NOT(ISNUMBER($H351)),NOT(ISNUMBER($I351)),NOT(ISNUMBER($J351))),"",IF($H351=$I351,"",ROUND(ABS($J351-$H351)/ABS($H351-$I351),6)))</f>
        <v/>
      </c>
      <c r="U351" s="48" t="str">
        <f>IF(OR($S351&lt;&gt;"Win",NOT(ISNUMBER($T351)),NOT(ISNUMBER($R351))),"",MAX(0,$T351-$R351))</f>
        <v/>
      </c>
      <c r="V351" s="49" t="str">
        <f>IF(OR($AM351=0,NOT(ISNUMBER($H351)),NOT(ISNUMBER($I351)),NOT(ISNUMBER($G351))),"",IF(OR($AG351="",$AH351=""),"",IF(ROUND(ABS($H351-$I351)*ABS($G351)*$AG351*$AH351,6)=0,"",ROUND(ABS($H351-$I351)*ABS($G351)*$AG351*$AH351,6))))</f>
        <v/>
      </c>
      <c r="W351" s="50" t="str">
        <f>IF($AM351=0,"",IF($BG351="","OK",LEFT($BG351,LEN($BG351)-2)))</f>
        <v/>
      </c>
      <c r="X351" s="41" t="n"/>
      <c r="Y351" s="40" t="n"/>
      <c r="Z351" s="41" t="n"/>
      <c r="AA351" s="41" t="n"/>
      <c r="AB351" s="40" t="n"/>
      <c r="AC351" s="51" t="n"/>
      <c r="AD351" s="51" t="n"/>
      <c r="AE351" s="40" t="n"/>
      <c r="AF351" s="52" t="str">
        <f>IF($AM351=0,"",IF($D351&lt;&gt;"",$D351,IF(IFERROR(INDEX(Accounts!$C$7:$C$16,MATCH($C351,Accounts!$B$7:$B$16,0))&amp;"","")&lt;&gt;"",INDEX(Accounts!$C$7:$C$16,MATCH($C351,Accounts!$B$7:$B$16,0)),Settings!$C$6)))</f>
        <v/>
      </c>
      <c r="AG351" s="53" t="str">
        <f>IF($AM351=0,"",IF(AND($BE351&gt;0,N(INDEX(Instruments!$D$6:$D$205,MAX(1,$BE351)))&gt;0),INDEX(Instruments!$D$6:$D$205,MAX(1,$BE351)),IF(N(INDEX(Settings!$D$14:$D$18,$BF351))&gt;0,INDEX(Settings!$D$14:$D$18,$BF351),"")))</f>
        <v/>
      </c>
      <c r="AH351" s="54" t="str">
        <f>IF($AM351=0,"",IF($AF351&lt;&gt;"Forex",1,IF(MID(UPPER(SUBSTITUTE(TRIM($E351),"/","")),4,3)=UPPER(TRIM(Settings!$C$7)),1,IF(LEFT(UPPER(SUBSTITUTE(TRIM($E351),"/","")),3)=UPPER(TRIM(Settings!$C$7)),IF(AND(ISNUMBER($K351),N($K351)&lt;&gt;0),1/$K351,""),""))))</f>
        <v/>
      </c>
      <c r="AI351" s="55" t="str">
        <f>IF($AM351=0,"",IF(OR(NOT(ISNUMBER($H351)),NOT(ISNUMBER($K351)),NOT(ISNUMBER($G351)),$AG351="",$AH351=""),"",ROUND(($K351-$H351)*IF($F351="Short",-1,1)*$G351*$AG351*$AH351,6)))</f>
        <v/>
      </c>
      <c r="AJ351" s="55" t="str">
        <f>IF($AM351=0,"",IF(INDEX(Settings!$E$14:$E$18,$BF351)="% of notional",IF(OR($AG351="",NOT(ISNUMBER($H351)),NOT(ISNUMBER($G351))),"",ROUND(ABS($H351*$G351*$AG351*N($AH351))*IF($L351="Limit",N(INDEX(Settings!$G$14:$G$18,$BF351)),N(INDEX(Settings!$H$14:$H$18,$BF351)))+IF(ISNUMBER($K351),ABS($K351*$G351*$AG351*N($AH351))*IF($M351="Target",N(INDEX(Settings!$G$14:$G$18,$BF351)),N(INDEX(Settings!$H$14:$H$18,$BF351))),0),6)),IF(NOT(ISNUMBER($G351)),"",ROUND(ABS($G351)*2*IF(AND($BE351&gt;0,ISNUMBER(INDEX(Instruments!$G$6:$G$205,MAX(1,$BE351)))),INDEX(Instruments!$G$6:$G$205,MAX(1,$BE351)),N(INDEX(Settings!$F$14:$F$18,$BF351))),6))))</f>
        <v/>
      </c>
      <c r="AK351" s="55" t="str">
        <f>IF($AM351=0,"",IF(ISNUMBER($O351),$O351,$AI351))</f>
        <v/>
      </c>
      <c r="AL351" s="55" t="str">
        <f>IF($AM351=0,"",IF(ISNUMBER($P351),$P351,N($AJ351)))</f>
        <v/>
      </c>
      <c r="AM351" s="56">
        <f>IF(AND($A351&lt;&gt;"",$E351&lt;&gt;"",OR(AND(ISNUMBER($G351),ISNUMBER($H351),ISNUMBER($K351)),ISNUMBER($O351))),1,0)</f>
        <v>0</v>
      </c>
      <c r="AN351" s="57" t="str">
        <f>IF($A351="","",$A351-WEEKDAY($A351,3))</f>
        <v/>
      </c>
      <c r="AO351" s="56" t="str">
        <f>IF($A351="","",WEEKDAY($A351,2))</f>
        <v/>
      </c>
      <c r="AP351" s="55" t="str">
        <f>IF(OR($AM351=0,$C351=""),"",IFERROR(N(INDEX(Accounts!$E$7:$E$16,MATCH($C351,Accounts!$B$7:$B$16,0))),0)+SUMIFS($Q$6:$Q351,$C$6:$C351,$C351))</f>
        <v/>
      </c>
      <c r="AQ351" s="55" t="str">
        <f>IF(OR($AM351=0,$C351=""),"",SUMIFS($Q$6:$Q$1005,$C$6:$C$1005,$C351,$A$6:$A$1005,$A351))</f>
        <v/>
      </c>
      <c r="AR351" s="55" t="str">
        <f>IF(OR($AM351=0,$C351=""),"",IFERROR(N(INDEX(Accounts!$E$7:$E$16,MATCH($C351,Accounts!$B$7:$B$16,0))),0)+SUMIFS($Q$6:$Q$1005,$C$6:$C$1005,$C351,$A$6:$A$1005,"&lt;="&amp;$A351))</f>
        <v/>
      </c>
      <c r="AS351" s="56">
        <f>IF(OR($AM351=0,$Q351=""),0,IF(AND($A351&gt;=Lists!$W$6,$A351&lt;=Lists!$W$7,OR(Dashboard!$D$6="All accounts",$C351=Dashboard!$D$6),OR(Dashboard!$D$7="All markets",$AF351=Dashboard!$D$7)),1,0))</f>
        <v>0</v>
      </c>
      <c r="AT351" s="55">
        <f>IF($AS351=1,N(AT350)+$Q351,N(AT350))</f>
        <v>1187.10688</v>
      </c>
      <c r="AU351" s="55">
        <f>MAX(N(AU350),$AT351)</f>
        <v>1187.10688</v>
      </c>
      <c r="AV351" s="55">
        <f>$AT351-$AU351</f>
        <v>0</v>
      </c>
      <c r="AW351" s="56">
        <f>IF($AS351=1,IF($S351="Win",N(AW350)+1,IF($S351="Loss",0,N(AW350))),N(AW350))</f>
        <v>5</v>
      </c>
      <c r="AX351" s="56">
        <f>IF($AS351=1,IF($S351="Loss",N(AX350)+1,IF($S351="Win",0,N(AX350))),N(AX350))</f>
        <v>0</v>
      </c>
      <c r="AY351" s="56" t="str">
        <f>IF($AS351=1,COUNTIF($AS$6:$AS351,1),"")</f>
        <v/>
      </c>
      <c r="AZ351" s="56">
        <f>MIN(345,N(Lists!$W$8))</f>
        <v>28</v>
      </c>
      <c r="BA351" s="56">
        <f>IF($AS351=1,IF(COUNTIFS($A$6:$A351,$A351,$AS$6:$AS351,1)=1,1,0),0)</f>
        <v>0</v>
      </c>
      <c r="BB351" s="55" t="str">
        <f>IF($BA351=1,SUMIFS($Q$6:$Q$1005,$A$6:$A$1005,$A351,$AS$6:$AS$1005,1),"")</f>
        <v/>
      </c>
      <c r="BC351" s="56">
        <f>IF(ISNUMBER($R351),1,0)</f>
        <v>0</v>
      </c>
      <c r="BD351" s="55" t="str">
        <f>IF(ISNUMBER($U351),$U351*$V351,"")</f>
        <v/>
      </c>
      <c r="BE351" s="56" t="str">
        <f>IF($AM351=0,"",IFERROR(MATCH($AF351&amp;"|"&amp;UPPER(TRIM($E351)),Lists!$A$6:$A$205,0),0))</f>
        <v/>
      </c>
      <c r="BF351" s="56" t="str">
        <f>IF($AM351=0,"",IFERROR(MATCH($AF351,Settings!$B$14:$B$18,0),IFERROR(MATCH(Settings!$C$6,Settings!$B$14:$B$18,0),1)))</f>
        <v/>
      </c>
      <c r="BG351" s="58" t="str">
        <f>IF($AM351=0,"",IF(NOT(ISNUMBER($I351)),"No stop; ","")&amp;IF(AND(ISNUMBER($H351),ISNUMBER($I351)),IF(OR(AND($F351&lt;&gt;"Short",$I351&gt;=$H351),AND($F351="Short",$I351&lt;=$H351)),"Stop on wrong side; ",""),"")&amp;IF($F351="","No direction; ","")&amp;IF(AND(ISNUMBER(Settings!$C$22),ISNUMBER($V351)),IF($V351&gt;Settings!$C$22,"Risk over max $; ",""),"")&amp;IF(AND(ISNUMBER(Settings!$C$23),ISNUMBER($V351),ISNUMBER($AP351),IFERROR(N(INDEX(Accounts!$E$7:$E$16,MATCH($C351,Accounts!$B$7:$B$16,0))),0)&gt;0),IF($V351&gt;Settings!$C$23*($AP351-N($Q351)),"Risk over max %; ",""),"")&amp;IF(AND(ISNUMBER(Settings!$C$24),ISNUMBER($N351)),IF($N351&gt;Settings!$C$24,"Leverage over max; ",""),"")&amp;IF(AND(ISNUMBER(Settings!$C$27),ISNUMBER($T351)),IF($T351&lt;Settings!$C$27,"R:R below min; ",""),"")&amp;IF(ISNUMBER(Settings!$C$25),IF(COUNTIFS($A$6:$A351,$A351,$AM$6:$AM351,1)&gt;Settings!$C$25,"Over max trades/day; ",""),"")&amp;IF(ISNUMBER(Settings!$C$26),IF(SUMIFS($Q$5:$Q350,$A$5:$A350,$A351)&lt;=-Settings!$C$26,"Traded after daily max loss; ",""),"")&amp;IF(AND($AG351="",NOT(ISNUMBER($O351))),"Symbol not in Instruments; ","")&amp;IF(AND($AH351="",NOT(ISNUMBER($O351))),"Forex cross: type Gross P&amp;L; ",""))</f>
        <v/>
      </c>
      <c r="BH351" s="56">
        <f>IF(ISNUMBER($Q351),1,0)</f>
        <v>0</v>
      </c>
      <c r="BI351" s="56">
        <f>IF($Y351="",0,1)</f>
        <v>0</v>
      </c>
      <c r="BJ351" s="56">
        <f>IF($AB351="",0,1)</f>
        <v>0</v>
      </c>
      <c r="BK351" s="56">
        <f>IF(AND($BH351=1,$W351&lt;&gt;"OK"),1,0)</f>
        <v>0</v>
      </c>
      <c r="BL351" s="55">
        <f>IF(N($AZ351)=0,0,IFERROR(INDEX($AT$6:$AT$1005,MATCH($AZ351,$AY$6:$AY$1005,0)),0))</f>
        <v>1187.10688</v>
      </c>
      <c r="BM351" s="56">
        <f>IF(ISNUMBER(SEARCH("daily max loss",$BG351)),1,0)</f>
        <v>0</v>
      </c>
    </row>
    <row r="352" ht="18" customHeight="1">
      <c r="A352" s="38" t="n"/>
      <c r="B352" s="39" t="n"/>
      <c r="C352" s="40" t="n"/>
      <c r="D352" s="41" t="n"/>
      <c r="E352" s="41" t="n"/>
      <c r="F352" s="41" t="n"/>
      <c r="G352" s="41" t="n"/>
      <c r="H352" s="42" t="n"/>
      <c r="I352" s="42" t="n"/>
      <c r="J352" s="42" t="n"/>
      <c r="K352" s="42" t="n"/>
      <c r="L352" s="41" t="n"/>
      <c r="M352" s="41" t="n"/>
      <c r="N352" s="41" t="n"/>
      <c r="O352" s="43" t="n"/>
      <c r="P352" s="43" t="n"/>
      <c r="Q352" s="44" t="str">
        <f>IF($AM352=0,"",IF(ISNUMBER($AK352),$AK352-N($AL352),""))</f>
        <v/>
      </c>
      <c r="R352" s="45" t="str">
        <f>IF(OR($Q352="",NOT(ISNUMBER($V352))),"",$AK352/$V352)</f>
        <v/>
      </c>
      <c r="S352" s="46" t="str">
        <f>IF($Q352="","",IF(AND(ISNUMBER($R352),ABS(N($R352))&lt;N(Settings!$C$8)),"Scratch",IF($Q352&gt;0,"Win",IF($Q352&lt;0,"Loss","Scratch"))))</f>
        <v/>
      </c>
      <c r="T352" s="47" t="str">
        <f>IF(OR($AM352=0,NOT(ISNUMBER($H352)),NOT(ISNUMBER($I352)),NOT(ISNUMBER($J352))),"",IF($H352=$I352,"",ROUND(ABS($J352-$H352)/ABS($H352-$I352),6)))</f>
        <v/>
      </c>
      <c r="U352" s="48" t="str">
        <f>IF(OR($S352&lt;&gt;"Win",NOT(ISNUMBER($T352)),NOT(ISNUMBER($R352))),"",MAX(0,$T352-$R352))</f>
        <v/>
      </c>
      <c r="V352" s="49" t="str">
        <f>IF(OR($AM352=0,NOT(ISNUMBER($H352)),NOT(ISNUMBER($I352)),NOT(ISNUMBER($G352))),"",IF(OR($AG352="",$AH352=""),"",IF(ROUND(ABS($H352-$I352)*ABS($G352)*$AG352*$AH352,6)=0,"",ROUND(ABS($H352-$I352)*ABS($G352)*$AG352*$AH352,6))))</f>
        <v/>
      </c>
      <c r="W352" s="50" t="str">
        <f>IF($AM352=0,"",IF($BG352="","OK",LEFT($BG352,LEN($BG352)-2)))</f>
        <v/>
      </c>
      <c r="X352" s="41" t="n"/>
      <c r="Y352" s="40" t="n"/>
      <c r="Z352" s="41" t="n"/>
      <c r="AA352" s="41" t="n"/>
      <c r="AB352" s="40" t="n"/>
      <c r="AC352" s="51" t="n"/>
      <c r="AD352" s="51" t="n"/>
      <c r="AE352" s="40" t="n"/>
      <c r="AF352" s="52" t="str">
        <f>IF($AM352=0,"",IF($D352&lt;&gt;"",$D352,IF(IFERROR(INDEX(Accounts!$C$7:$C$16,MATCH($C352,Accounts!$B$7:$B$16,0))&amp;"","")&lt;&gt;"",INDEX(Accounts!$C$7:$C$16,MATCH($C352,Accounts!$B$7:$B$16,0)),Settings!$C$6)))</f>
        <v/>
      </c>
      <c r="AG352" s="53" t="str">
        <f>IF($AM352=0,"",IF(AND($BE352&gt;0,N(INDEX(Instruments!$D$6:$D$205,MAX(1,$BE352)))&gt;0),INDEX(Instruments!$D$6:$D$205,MAX(1,$BE352)),IF(N(INDEX(Settings!$D$14:$D$18,$BF352))&gt;0,INDEX(Settings!$D$14:$D$18,$BF352),"")))</f>
        <v/>
      </c>
      <c r="AH352" s="54" t="str">
        <f>IF($AM352=0,"",IF($AF352&lt;&gt;"Forex",1,IF(MID(UPPER(SUBSTITUTE(TRIM($E352),"/","")),4,3)=UPPER(TRIM(Settings!$C$7)),1,IF(LEFT(UPPER(SUBSTITUTE(TRIM($E352),"/","")),3)=UPPER(TRIM(Settings!$C$7)),IF(AND(ISNUMBER($K352),N($K352)&lt;&gt;0),1/$K352,""),""))))</f>
        <v/>
      </c>
      <c r="AI352" s="55" t="str">
        <f>IF($AM352=0,"",IF(OR(NOT(ISNUMBER($H352)),NOT(ISNUMBER($K352)),NOT(ISNUMBER($G352)),$AG352="",$AH352=""),"",ROUND(($K352-$H352)*IF($F352="Short",-1,1)*$G352*$AG352*$AH352,6)))</f>
        <v/>
      </c>
      <c r="AJ352" s="55" t="str">
        <f>IF($AM352=0,"",IF(INDEX(Settings!$E$14:$E$18,$BF352)="% of notional",IF(OR($AG352="",NOT(ISNUMBER($H352)),NOT(ISNUMBER($G352))),"",ROUND(ABS($H352*$G352*$AG352*N($AH352))*IF($L352="Limit",N(INDEX(Settings!$G$14:$G$18,$BF352)),N(INDEX(Settings!$H$14:$H$18,$BF352)))+IF(ISNUMBER($K352),ABS($K352*$G352*$AG352*N($AH352))*IF($M352="Target",N(INDEX(Settings!$G$14:$G$18,$BF352)),N(INDEX(Settings!$H$14:$H$18,$BF352))),0),6)),IF(NOT(ISNUMBER($G352)),"",ROUND(ABS($G352)*2*IF(AND($BE352&gt;0,ISNUMBER(INDEX(Instruments!$G$6:$G$205,MAX(1,$BE352)))),INDEX(Instruments!$G$6:$G$205,MAX(1,$BE352)),N(INDEX(Settings!$F$14:$F$18,$BF352))),6))))</f>
        <v/>
      </c>
      <c r="AK352" s="55" t="str">
        <f>IF($AM352=0,"",IF(ISNUMBER($O352),$O352,$AI352))</f>
        <v/>
      </c>
      <c r="AL352" s="55" t="str">
        <f>IF($AM352=0,"",IF(ISNUMBER($P352),$P352,N($AJ352)))</f>
        <v/>
      </c>
      <c r="AM352" s="56">
        <f>IF(AND($A352&lt;&gt;"",$E352&lt;&gt;"",OR(AND(ISNUMBER($G352),ISNUMBER($H352),ISNUMBER($K352)),ISNUMBER($O352))),1,0)</f>
        <v>0</v>
      </c>
      <c r="AN352" s="57" t="str">
        <f>IF($A352="","",$A352-WEEKDAY($A352,3))</f>
        <v/>
      </c>
      <c r="AO352" s="56" t="str">
        <f>IF($A352="","",WEEKDAY($A352,2))</f>
        <v/>
      </c>
      <c r="AP352" s="55" t="str">
        <f>IF(OR($AM352=0,$C352=""),"",IFERROR(N(INDEX(Accounts!$E$7:$E$16,MATCH($C352,Accounts!$B$7:$B$16,0))),0)+SUMIFS($Q$6:$Q352,$C$6:$C352,$C352))</f>
        <v/>
      </c>
      <c r="AQ352" s="55" t="str">
        <f>IF(OR($AM352=0,$C352=""),"",SUMIFS($Q$6:$Q$1005,$C$6:$C$1005,$C352,$A$6:$A$1005,$A352))</f>
        <v/>
      </c>
      <c r="AR352" s="55" t="str">
        <f>IF(OR($AM352=0,$C352=""),"",IFERROR(N(INDEX(Accounts!$E$7:$E$16,MATCH($C352,Accounts!$B$7:$B$16,0))),0)+SUMIFS($Q$6:$Q$1005,$C$6:$C$1005,$C352,$A$6:$A$1005,"&lt;="&amp;$A352))</f>
        <v/>
      </c>
      <c r="AS352" s="56">
        <f>IF(OR($AM352=0,$Q352=""),0,IF(AND($A352&gt;=Lists!$W$6,$A352&lt;=Lists!$W$7,OR(Dashboard!$D$6="All accounts",$C352=Dashboard!$D$6),OR(Dashboard!$D$7="All markets",$AF352=Dashboard!$D$7)),1,0))</f>
        <v>0</v>
      </c>
      <c r="AT352" s="55">
        <f>IF($AS352=1,N(AT351)+$Q352,N(AT351))</f>
        <v>1187.10688</v>
      </c>
      <c r="AU352" s="55">
        <f>MAX(N(AU351),$AT352)</f>
        <v>1187.10688</v>
      </c>
      <c r="AV352" s="55">
        <f>$AT352-$AU352</f>
        <v>0</v>
      </c>
      <c r="AW352" s="56">
        <f>IF($AS352=1,IF($S352="Win",N(AW351)+1,IF($S352="Loss",0,N(AW351))),N(AW351))</f>
        <v>5</v>
      </c>
      <c r="AX352" s="56">
        <f>IF($AS352=1,IF($S352="Loss",N(AX351)+1,IF($S352="Win",0,N(AX351))),N(AX351))</f>
        <v>0</v>
      </c>
      <c r="AY352" s="56" t="str">
        <f>IF($AS352=1,COUNTIF($AS$6:$AS352,1),"")</f>
        <v/>
      </c>
      <c r="AZ352" s="56">
        <f>MIN(346,N(Lists!$W$8))</f>
        <v>28</v>
      </c>
      <c r="BA352" s="56">
        <f>IF($AS352=1,IF(COUNTIFS($A$6:$A352,$A352,$AS$6:$AS352,1)=1,1,0),0)</f>
        <v>0</v>
      </c>
      <c r="BB352" s="55" t="str">
        <f>IF($BA352=1,SUMIFS($Q$6:$Q$1005,$A$6:$A$1005,$A352,$AS$6:$AS$1005,1),"")</f>
        <v/>
      </c>
      <c r="BC352" s="56">
        <f>IF(ISNUMBER($R352),1,0)</f>
        <v>0</v>
      </c>
      <c r="BD352" s="55" t="str">
        <f>IF(ISNUMBER($U352),$U352*$V352,"")</f>
        <v/>
      </c>
      <c r="BE352" s="56" t="str">
        <f>IF($AM352=0,"",IFERROR(MATCH($AF352&amp;"|"&amp;UPPER(TRIM($E352)),Lists!$A$6:$A$205,0),0))</f>
        <v/>
      </c>
      <c r="BF352" s="56" t="str">
        <f>IF($AM352=0,"",IFERROR(MATCH($AF352,Settings!$B$14:$B$18,0),IFERROR(MATCH(Settings!$C$6,Settings!$B$14:$B$18,0),1)))</f>
        <v/>
      </c>
      <c r="BG352" s="58" t="str">
        <f>IF($AM352=0,"",IF(NOT(ISNUMBER($I352)),"No stop; ","")&amp;IF(AND(ISNUMBER($H352),ISNUMBER($I352)),IF(OR(AND($F352&lt;&gt;"Short",$I352&gt;=$H352),AND($F352="Short",$I352&lt;=$H352)),"Stop on wrong side; ",""),"")&amp;IF($F352="","No direction; ","")&amp;IF(AND(ISNUMBER(Settings!$C$22),ISNUMBER($V352)),IF($V352&gt;Settings!$C$22,"Risk over max $; ",""),"")&amp;IF(AND(ISNUMBER(Settings!$C$23),ISNUMBER($V352),ISNUMBER($AP352),IFERROR(N(INDEX(Accounts!$E$7:$E$16,MATCH($C352,Accounts!$B$7:$B$16,0))),0)&gt;0),IF($V352&gt;Settings!$C$23*($AP352-N($Q352)),"Risk over max %; ",""),"")&amp;IF(AND(ISNUMBER(Settings!$C$24),ISNUMBER($N352)),IF($N352&gt;Settings!$C$24,"Leverage over max; ",""),"")&amp;IF(AND(ISNUMBER(Settings!$C$27),ISNUMBER($T352)),IF($T352&lt;Settings!$C$27,"R:R below min; ",""),"")&amp;IF(ISNUMBER(Settings!$C$25),IF(COUNTIFS($A$6:$A352,$A352,$AM$6:$AM352,1)&gt;Settings!$C$25,"Over max trades/day; ",""),"")&amp;IF(ISNUMBER(Settings!$C$26),IF(SUMIFS($Q$5:$Q351,$A$5:$A351,$A352)&lt;=-Settings!$C$26,"Traded after daily max loss; ",""),"")&amp;IF(AND($AG352="",NOT(ISNUMBER($O352))),"Symbol not in Instruments; ","")&amp;IF(AND($AH352="",NOT(ISNUMBER($O352))),"Forex cross: type Gross P&amp;L; ",""))</f>
        <v/>
      </c>
      <c r="BH352" s="56">
        <f>IF(ISNUMBER($Q352),1,0)</f>
        <v>0</v>
      </c>
      <c r="BI352" s="56">
        <f>IF($Y352="",0,1)</f>
        <v>0</v>
      </c>
      <c r="BJ352" s="56">
        <f>IF($AB352="",0,1)</f>
        <v>0</v>
      </c>
      <c r="BK352" s="56">
        <f>IF(AND($BH352=1,$W352&lt;&gt;"OK"),1,0)</f>
        <v>0</v>
      </c>
      <c r="BL352" s="55">
        <f>IF(N($AZ352)=0,0,IFERROR(INDEX($AT$6:$AT$1005,MATCH($AZ352,$AY$6:$AY$1005,0)),0))</f>
        <v>1187.10688</v>
      </c>
      <c r="BM352" s="56">
        <f>IF(ISNUMBER(SEARCH("daily max loss",$BG352)),1,0)</f>
        <v>0</v>
      </c>
    </row>
    <row r="353" ht="18" customHeight="1">
      <c r="A353" s="38" t="n"/>
      <c r="B353" s="39" t="n"/>
      <c r="C353" s="40" t="n"/>
      <c r="D353" s="41" t="n"/>
      <c r="E353" s="41" t="n"/>
      <c r="F353" s="41" t="n"/>
      <c r="G353" s="41" t="n"/>
      <c r="H353" s="42" t="n"/>
      <c r="I353" s="42" t="n"/>
      <c r="J353" s="42" t="n"/>
      <c r="K353" s="42" t="n"/>
      <c r="L353" s="41" t="n"/>
      <c r="M353" s="41" t="n"/>
      <c r="N353" s="41" t="n"/>
      <c r="O353" s="43" t="n"/>
      <c r="P353" s="43" t="n"/>
      <c r="Q353" s="44" t="str">
        <f>IF($AM353=0,"",IF(ISNUMBER($AK353),$AK353-N($AL353),""))</f>
        <v/>
      </c>
      <c r="R353" s="45" t="str">
        <f>IF(OR($Q353="",NOT(ISNUMBER($V353))),"",$AK353/$V353)</f>
        <v/>
      </c>
      <c r="S353" s="46" t="str">
        <f>IF($Q353="","",IF(AND(ISNUMBER($R353),ABS(N($R353))&lt;N(Settings!$C$8)),"Scratch",IF($Q353&gt;0,"Win",IF($Q353&lt;0,"Loss","Scratch"))))</f>
        <v/>
      </c>
      <c r="T353" s="47" t="str">
        <f>IF(OR($AM353=0,NOT(ISNUMBER($H353)),NOT(ISNUMBER($I353)),NOT(ISNUMBER($J353))),"",IF($H353=$I353,"",ROUND(ABS($J353-$H353)/ABS($H353-$I353),6)))</f>
        <v/>
      </c>
      <c r="U353" s="48" t="str">
        <f>IF(OR($S353&lt;&gt;"Win",NOT(ISNUMBER($T353)),NOT(ISNUMBER($R353))),"",MAX(0,$T353-$R353))</f>
        <v/>
      </c>
      <c r="V353" s="49" t="str">
        <f>IF(OR($AM353=0,NOT(ISNUMBER($H353)),NOT(ISNUMBER($I353)),NOT(ISNUMBER($G353))),"",IF(OR($AG353="",$AH353=""),"",IF(ROUND(ABS($H353-$I353)*ABS($G353)*$AG353*$AH353,6)=0,"",ROUND(ABS($H353-$I353)*ABS($G353)*$AG353*$AH353,6))))</f>
        <v/>
      </c>
      <c r="W353" s="50" t="str">
        <f>IF($AM353=0,"",IF($BG353="","OK",LEFT($BG353,LEN($BG353)-2)))</f>
        <v/>
      </c>
      <c r="X353" s="41" t="n"/>
      <c r="Y353" s="40" t="n"/>
      <c r="Z353" s="41" t="n"/>
      <c r="AA353" s="41" t="n"/>
      <c r="AB353" s="40" t="n"/>
      <c r="AC353" s="51" t="n"/>
      <c r="AD353" s="51" t="n"/>
      <c r="AE353" s="40" t="n"/>
      <c r="AF353" s="52" t="str">
        <f>IF($AM353=0,"",IF($D353&lt;&gt;"",$D353,IF(IFERROR(INDEX(Accounts!$C$7:$C$16,MATCH($C353,Accounts!$B$7:$B$16,0))&amp;"","")&lt;&gt;"",INDEX(Accounts!$C$7:$C$16,MATCH($C353,Accounts!$B$7:$B$16,0)),Settings!$C$6)))</f>
        <v/>
      </c>
      <c r="AG353" s="53" t="str">
        <f>IF($AM353=0,"",IF(AND($BE353&gt;0,N(INDEX(Instruments!$D$6:$D$205,MAX(1,$BE353)))&gt;0),INDEX(Instruments!$D$6:$D$205,MAX(1,$BE353)),IF(N(INDEX(Settings!$D$14:$D$18,$BF353))&gt;0,INDEX(Settings!$D$14:$D$18,$BF353),"")))</f>
        <v/>
      </c>
      <c r="AH353" s="54" t="str">
        <f>IF($AM353=0,"",IF($AF353&lt;&gt;"Forex",1,IF(MID(UPPER(SUBSTITUTE(TRIM($E353),"/","")),4,3)=UPPER(TRIM(Settings!$C$7)),1,IF(LEFT(UPPER(SUBSTITUTE(TRIM($E353),"/","")),3)=UPPER(TRIM(Settings!$C$7)),IF(AND(ISNUMBER($K353),N($K353)&lt;&gt;0),1/$K353,""),""))))</f>
        <v/>
      </c>
      <c r="AI353" s="55" t="str">
        <f>IF($AM353=0,"",IF(OR(NOT(ISNUMBER($H353)),NOT(ISNUMBER($K353)),NOT(ISNUMBER($G353)),$AG353="",$AH353=""),"",ROUND(($K353-$H353)*IF($F353="Short",-1,1)*$G353*$AG353*$AH353,6)))</f>
        <v/>
      </c>
      <c r="AJ353" s="55" t="str">
        <f>IF($AM353=0,"",IF(INDEX(Settings!$E$14:$E$18,$BF353)="% of notional",IF(OR($AG353="",NOT(ISNUMBER($H353)),NOT(ISNUMBER($G353))),"",ROUND(ABS($H353*$G353*$AG353*N($AH353))*IF($L353="Limit",N(INDEX(Settings!$G$14:$G$18,$BF353)),N(INDEX(Settings!$H$14:$H$18,$BF353)))+IF(ISNUMBER($K353),ABS($K353*$G353*$AG353*N($AH353))*IF($M353="Target",N(INDEX(Settings!$G$14:$G$18,$BF353)),N(INDEX(Settings!$H$14:$H$18,$BF353))),0),6)),IF(NOT(ISNUMBER($G353)),"",ROUND(ABS($G353)*2*IF(AND($BE353&gt;0,ISNUMBER(INDEX(Instruments!$G$6:$G$205,MAX(1,$BE353)))),INDEX(Instruments!$G$6:$G$205,MAX(1,$BE353)),N(INDEX(Settings!$F$14:$F$18,$BF353))),6))))</f>
        <v/>
      </c>
      <c r="AK353" s="55" t="str">
        <f>IF($AM353=0,"",IF(ISNUMBER($O353),$O353,$AI353))</f>
        <v/>
      </c>
      <c r="AL353" s="55" t="str">
        <f>IF($AM353=0,"",IF(ISNUMBER($P353),$P353,N($AJ353)))</f>
        <v/>
      </c>
      <c r="AM353" s="56">
        <f>IF(AND($A353&lt;&gt;"",$E353&lt;&gt;"",OR(AND(ISNUMBER($G353),ISNUMBER($H353),ISNUMBER($K353)),ISNUMBER($O353))),1,0)</f>
        <v>0</v>
      </c>
      <c r="AN353" s="57" t="str">
        <f>IF($A353="","",$A353-WEEKDAY($A353,3))</f>
        <v/>
      </c>
      <c r="AO353" s="56" t="str">
        <f>IF($A353="","",WEEKDAY($A353,2))</f>
        <v/>
      </c>
      <c r="AP353" s="55" t="str">
        <f>IF(OR($AM353=0,$C353=""),"",IFERROR(N(INDEX(Accounts!$E$7:$E$16,MATCH($C353,Accounts!$B$7:$B$16,0))),0)+SUMIFS($Q$6:$Q353,$C$6:$C353,$C353))</f>
        <v/>
      </c>
      <c r="AQ353" s="55" t="str">
        <f>IF(OR($AM353=0,$C353=""),"",SUMIFS($Q$6:$Q$1005,$C$6:$C$1005,$C353,$A$6:$A$1005,$A353))</f>
        <v/>
      </c>
      <c r="AR353" s="55" t="str">
        <f>IF(OR($AM353=0,$C353=""),"",IFERROR(N(INDEX(Accounts!$E$7:$E$16,MATCH($C353,Accounts!$B$7:$B$16,0))),0)+SUMIFS($Q$6:$Q$1005,$C$6:$C$1005,$C353,$A$6:$A$1005,"&lt;="&amp;$A353))</f>
        <v/>
      </c>
      <c r="AS353" s="56">
        <f>IF(OR($AM353=0,$Q353=""),0,IF(AND($A353&gt;=Lists!$W$6,$A353&lt;=Lists!$W$7,OR(Dashboard!$D$6="All accounts",$C353=Dashboard!$D$6),OR(Dashboard!$D$7="All markets",$AF353=Dashboard!$D$7)),1,0))</f>
        <v>0</v>
      </c>
      <c r="AT353" s="55">
        <f>IF($AS353=1,N(AT352)+$Q353,N(AT352))</f>
        <v>1187.10688</v>
      </c>
      <c r="AU353" s="55">
        <f>MAX(N(AU352),$AT353)</f>
        <v>1187.10688</v>
      </c>
      <c r="AV353" s="55">
        <f>$AT353-$AU353</f>
        <v>0</v>
      </c>
      <c r="AW353" s="56">
        <f>IF($AS353=1,IF($S353="Win",N(AW352)+1,IF($S353="Loss",0,N(AW352))),N(AW352))</f>
        <v>5</v>
      </c>
      <c r="AX353" s="56">
        <f>IF($AS353=1,IF($S353="Loss",N(AX352)+1,IF($S353="Win",0,N(AX352))),N(AX352))</f>
        <v>0</v>
      </c>
      <c r="AY353" s="56" t="str">
        <f>IF($AS353=1,COUNTIF($AS$6:$AS353,1),"")</f>
        <v/>
      </c>
      <c r="AZ353" s="56">
        <f>MIN(347,N(Lists!$W$8))</f>
        <v>28</v>
      </c>
      <c r="BA353" s="56">
        <f>IF($AS353=1,IF(COUNTIFS($A$6:$A353,$A353,$AS$6:$AS353,1)=1,1,0),0)</f>
        <v>0</v>
      </c>
      <c r="BB353" s="55" t="str">
        <f>IF($BA353=1,SUMIFS($Q$6:$Q$1005,$A$6:$A$1005,$A353,$AS$6:$AS$1005,1),"")</f>
        <v/>
      </c>
      <c r="BC353" s="56">
        <f>IF(ISNUMBER($R353),1,0)</f>
        <v>0</v>
      </c>
      <c r="BD353" s="55" t="str">
        <f>IF(ISNUMBER($U353),$U353*$V353,"")</f>
        <v/>
      </c>
      <c r="BE353" s="56" t="str">
        <f>IF($AM353=0,"",IFERROR(MATCH($AF353&amp;"|"&amp;UPPER(TRIM($E353)),Lists!$A$6:$A$205,0),0))</f>
        <v/>
      </c>
      <c r="BF353" s="56" t="str">
        <f>IF($AM353=0,"",IFERROR(MATCH($AF353,Settings!$B$14:$B$18,0),IFERROR(MATCH(Settings!$C$6,Settings!$B$14:$B$18,0),1)))</f>
        <v/>
      </c>
      <c r="BG353" s="58" t="str">
        <f>IF($AM353=0,"",IF(NOT(ISNUMBER($I353)),"No stop; ","")&amp;IF(AND(ISNUMBER($H353),ISNUMBER($I353)),IF(OR(AND($F353&lt;&gt;"Short",$I353&gt;=$H353),AND($F353="Short",$I353&lt;=$H353)),"Stop on wrong side; ",""),"")&amp;IF($F353="","No direction; ","")&amp;IF(AND(ISNUMBER(Settings!$C$22),ISNUMBER($V353)),IF($V353&gt;Settings!$C$22,"Risk over max $; ",""),"")&amp;IF(AND(ISNUMBER(Settings!$C$23),ISNUMBER($V353),ISNUMBER($AP353),IFERROR(N(INDEX(Accounts!$E$7:$E$16,MATCH($C353,Accounts!$B$7:$B$16,0))),0)&gt;0),IF($V353&gt;Settings!$C$23*($AP353-N($Q353)),"Risk over max %; ",""),"")&amp;IF(AND(ISNUMBER(Settings!$C$24),ISNUMBER($N353)),IF($N353&gt;Settings!$C$24,"Leverage over max; ",""),"")&amp;IF(AND(ISNUMBER(Settings!$C$27),ISNUMBER($T353)),IF($T353&lt;Settings!$C$27,"R:R below min; ",""),"")&amp;IF(ISNUMBER(Settings!$C$25),IF(COUNTIFS($A$6:$A353,$A353,$AM$6:$AM353,1)&gt;Settings!$C$25,"Over max trades/day; ",""),"")&amp;IF(ISNUMBER(Settings!$C$26),IF(SUMIFS($Q$5:$Q352,$A$5:$A352,$A353)&lt;=-Settings!$C$26,"Traded after daily max loss; ",""),"")&amp;IF(AND($AG353="",NOT(ISNUMBER($O353))),"Symbol not in Instruments; ","")&amp;IF(AND($AH353="",NOT(ISNUMBER($O353))),"Forex cross: type Gross P&amp;L; ",""))</f>
        <v/>
      </c>
      <c r="BH353" s="56">
        <f>IF(ISNUMBER($Q353),1,0)</f>
        <v>0</v>
      </c>
      <c r="BI353" s="56">
        <f>IF($Y353="",0,1)</f>
        <v>0</v>
      </c>
      <c r="BJ353" s="56">
        <f>IF($AB353="",0,1)</f>
        <v>0</v>
      </c>
      <c r="BK353" s="56">
        <f>IF(AND($BH353=1,$W353&lt;&gt;"OK"),1,0)</f>
        <v>0</v>
      </c>
      <c r="BL353" s="55">
        <f>IF(N($AZ353)=0,0,IFERROR(INDEX($AT$6:$AT$1005,MATCH($AZ353,$AY$6:$AY$1005,0)),0))</f>
        <v>1187.10688</v>
      </c>
      <c r="BM353" s="56">
        <f>IF(ISNUMBER(SEARCH("daily max loss",$BG353)),1,0)</f>
        <v>0</v>
      </c>
    </row>
    <row r="354" ht="18" customHeight="1">
      <c r="A354" s="38" t="n"/>
      <c r="B354" s="39" t="n"/>
      <c r="C354" s="40" t="n"/>
      <c r="D354" s="41" t="n"/>
      <c r="E354" s="41" t="n"/>
      <c r="F354" s="41" t="n"/>
      <c r="G354" s="41" t="n"/>
      <c r="H354" s="42" t="n"/>
      <c r="I354" s="42" t="n"/>
      <c r="J354" s="42" t="n"/>
      <c r="K354" s="42" t="n"/>
      <c r="L354" s="41" t="n"/>
      <c r="M354" s="41" t="n"/>
      <c r="N354" s="41" t="n"/>
      <c r="O354" s="43" t="n"/>
      <c r="P354" s="43" t="n"/>
      <c r="Q354" s="44" t="str">
        <f>IF($AM354=0,"",IF(ISNUMBER($AK354),$AK354-N($AL354),""))</f>
        <v/>
      </c>
      <c r="R354" s="45" t="str">
        <f>IF(OR($Q354="",NOT(ISNUMBER($V354))),"",$AK354/$V354)</f>
        <v/>
      </c>
      <c r="S354" s="46" t="str">
        <f>IF($Q354="","",IF(AND(ISNUMBER($R354),ABS(N($R354))&lt;N(Settings!$C$8)),"Scratch",IF($Q354&gt;0,"Win",IF($Q354&lt;0,"Loss","Scratch"))))</f>
        <v/>
      </c>
      <c r="T354" s="47" t="str">
        <f>IF(OR($AM354=0,NOT(ISNUMBER($H354)),NOT(ISNUMBER($I354)),NOT(ISNUMBER($J354))),"",IF($H354=$I354,"",ROUND(ABS($J354-$H354)/ABS($H354-$I354),6)))</f>
        <v/>
      </c>
      <c r="U354" s="48" t="str">
        <f>IF(OR($S354&lt;&gt;"Win",NOT(ISNUMBER($T354)),NOT(ISNUMBER($R354))),"",MAX(0,$T354-$R354))</f>
        <v/>
      </c>
      <c r="V354" s="49" t="str">
        <f>IF(OR($AM354=0,NOT(ISNUMBER($H354)),NOT(ISNUMBER($I354)),NOT(ISNUMBER($G354))),"",IF(OR($AG354="",$AH354=""),"",IF(ROUND(ABS($H354-$I354)*ABS($G354)*$AG354*$AH354,6)=0,"",ROUND(ABS($H354-$I354)*ABS($G354)*$AG354*$AH354,6))))</f>
        <v/>
      </c>
      <c r="W354" s="50" t="str">
        <f>IF($AM354=0,"",IF($BG354="","OK",LEFT($BG354,LEN($BG354)-2)))</f>
        <v/>
      </c>
      <c r="X354" s="41" t="n"/>
      <c r="Y354" s="40" t="n"/>
      <c r="Z354" s="41" t="n"/>
      <c r="AA354" s="41" t="n"/>
      <c r="AB354" s="40" t="n"/>
      <c r="AC354" s="51" t="n"/>
      <c r="AD354" s="51" t="n"/>
      <c r="AE354" s="40" t="n"/>
      <c r="AF354" s="52" t="str">
        <f>IF($AM354=0,"",IF($D354&lt;&gt;"",$D354,IF(IFERROR(INDEX(Accounts!$C$7:$C$16,MATCH($C354,Accounts!$B$7:$B$16,0))&amp;"","")&lt;&gt;"",INDEX(Accounts!$C$7:$C$16,MATCH($C354,Accounts!$B$7:$B$16,0)),Settings!$C$6)))</f>
        <v/>
      </c>
      <c r="AG354" s="53" t="str">
        <f>IF($AM354=0,"",IF(AND($BE354&gt;0,N(INDEX(Instruments!$D$6:$D$205,MAX(1,$BE354)))&gt;0),INDEX(Instruments!$D$6:$D$205,MAX(1,$BE354)),IF(N(INDEX(Settings!$D$14:$D$18,$BF354))&gt;0,INDEX(Settings!$D$14:$D$18,$BF354),"")))</f>
        <v/>
      </c>
      <c r="AH354" s="54" t="str">
        <f>IF($AM354=0,"",IF($AF354&lt;&gt;"Forex",1,IF(MID(UPPER(SUBSTITUTE(TRIM($E354),"/","")),4,3)=UPPER(TRIM(Settings!$C$7)),1,IF(LEFT(UPPER(SUBSTITUTE(TRIM($E354),"/","")),3)=UPPER(TRIM(Settings!$C$7)),IF(AND(ISNUMBER($K354),N($K354)&lt;&gt;0),1/$K354,""),""))))</f>
        <v/>
      </c>
      <c r="AI354" s="55" t="str">
        <f>IF($AM354=0,"",IF(OR(NOT(ISNUMBER($H354)),NOT(ISNUMBER($K354)),NOT(ISNUMBER($G354)),$AG354="",$AH354=""),"",ROUND(($K354-$H354)*IF($F354="Short",-1,1)*$G354*$AG354*$AH354,6)))</f>
        <v/>
      </c>
      <c r="AJ354" s="55" t="str">
        <f>IF($AM354=0,"",IF(INDEX(Settings!$E$14:$E$18,$BF354)="% of notional",IF(OR($AG354="",NOT(ISNUMBER($H354)),NOT(ISNUMBER($G354))),"",ROUND(ABS($H354*$G354*$AG354*N($AH354))*IF($L354="Limit",N(INDEX(Settings!$G$14:$G$18,$BF354)),N(INDEX(Settings!$H$14:$H$18,$BF354)))+IF(ISNUMBER($K354),ABS($K354*$G354*$AG354*N($AH354))*IF($M354="Target",N(INDEX(Settings!$G$14:$G$18,$BF354)),N(INDEX(Settings!$H$14:$H$18,$BF354))),0),6)),IF(NOT(ISNUMBER($G354)),"",ROUND(ABS($G354)*2*IF(AND($BE354&gt;0,ISNUMBER(INDEX(Instruments!$G$6:$G$205,MAX(1,$BE354)))),INDEX(Instruments!$G$6:$G$205,MAX(1,$BE354)),N(INDEX(Settings!$F$14:$F$18,$BF354))),6))))</f>
        <v/>
      </c>
      <c r="AK354" s="55" t="str">
        <f>IF($AM354=0,"",IF(ISNUMBER($O354),$O354,$AI354))</f>
        <v/>
      </c>
      <c r="AL354" s="55" t="str">
        <f>IF($AM354=0,"",IF(ISNUMBER($P354),$P354,N($AJ354)))</f>
        <v/>
      </c>
      <c r="AM354" s="56">
        <f>IF(AND($A354&lt;&gt;"",$E354&lt;&gt;"",OR(AND(ISNUMBER($G354),ISNUMBER($H354),ISNUMBER($K354)),ISNUMBER($O354))),1,0)</f>
        <v>0</v>
      </c>
      <c r="AN354" s="57" t="str">
        <f>IF($A354="","",$A354-WEEKDAY($A354,3))</f>
        <v/>
      </c>
      <c r="AO354" s="56" t="str">
        <f>IF($A354="","",WEEKDAY($A354,2))</f>
        <v/>
      </c>
      <c r="AP354" s="55" t="str">
        <f>IF(OR($AM354=0,$C354=""),"",IFERROR(N(INDEX(Accounts!$E$7:$E$16,MATCH($C354,Accounts!$B$7:$B$16,0))),0)+SUMIFS($Q$6:$Q354,$C$6:$C354,$C354))</f>
        <v/>
      </c>
      <c r="AQ354" s="55" t="str">
        <f>IF(OR($AM354=0,$C354=""),"",SUMIFS($Q$6:$Q$1005,$C$6:$C$1005,$C354,$A$6:$A$1005,$A354))</f>
        <v/>
      </c>
      <c r="AR354" s="55" t="str">
        <f>IF(OR($AM354=0,$C354=""),"",IFERROR(N(INDEX(Accounts!$E$7:$E$16,MATCH($C354,Accounts!$B$7:$B$16,0))),0)+SUMIFS($Q$6:$Q$1005,$C$6:$C$1005,$C354,$A$6:$A$1005,"&lt;="&amp;$A354))</f>
        <v/>
      </c>
      <c r="AS354" s="56">
        <f>IF(OR($AM354=0,$Q354=""),0,IF(AND($A354&gt;=Lists!$W$6,$A354&lt;=Lists!$W$7,OR(Dashboard!$D$6="All accounts",$C354=Dashboard!$D$6),OR(Dashboard!$D$7="All markets",$AF354=Dashboard!$D$7)),1,0))</f>
        <v>0</v>
      </c>
      <c r="AT354" s="55">
        <f>IF($AS354=1,N(AT353)+$Q354,N(AT353))</f>
        <v>1187.10688</v>
      </c>
      <c r="AU354" s="55">
        <f>MAX(N(AU353),$AT354)</f>
        <v>1187.10688</v>
      </c>
      <c r="AV354" s="55">
        <f>$AT354-$AU354</f>
        <v>0</v>
      </c>
      <c r="AW354" s="56">
        <f>IF($AS354=1,IF($S354="Win",N(AW353)+1,IF($S354="Loss",0,N(AW353))),N(AW353))</f>
        <v>5</v>
      </c>
      <c r="AX354" s="56">
        <f>IF($AS354=1,IF($S354="Loss",N(AX353)+1,IF($S354="Win",0,N(AX353))),N(AX353))</f>
        <v>0</v>
      </c>
      <c r="AY354" s="56" t="str">
        <f>IF($AS354=1,COUNTIF($AS$6:$AS354,1),"")</f>
        <v/>
      </c>
      <c r="AZ354" s="56">
        <f>MIN(348,N(Lists!$W$8))</f>
        <v>28</v>
      </c>
      <c r="BA354" s="56">
        <f>IF($AS354=1,IF(COUNTIFS($A$6:$A354,$A354,$AS$6:$AS354,1)=1,1,0),0)</f>
        <v>0</v>
      </c>
      <c r="BB354" s="55" t="str">
        <f>IF($BA354=1,SUMIFS($Q$6:$Q$1005,$A$6:$A$1005,$A354,$AS$6:$AS$1005,1),"")</f>
        <v/>
      </c>
      <c r="BC354" s="56">
        <f>IF(ISNUMBER($R354),1,0)</f>
        <v>0</v>
      </c>
      <c r="BD354" s="55" t="str">
        <f>IF(ISNUMBER($U354),$U354*$V354,"")</f>
        <v/>
      </c>
      <c r="BE354" s="56" t="str">
        <f>IF($AM354=0,"",IFERROR(MATCH($AF354&amp;"|"&amp;UPPER(TRIM($E354)),Lists!$A$6:$A$205,0),0))</f>
        <v/>
      </c>
      <c r="BF354" s="56" t="str">
        <f>IF($AM354=0,"",IFERROR(MATCH($AF354,Settings!$B$14:$B$18,0),IFERROR(MATCH(Settings!$C$6,Settings!$B$14:$B$18,0),1)))</f>
        <v/>
      </c>
      <c r="BG354" s="58" t="str">
        <f>IF($AM354=0,"",IF(NOT(ISNUMBER($I354)),"No stop; ","")&amp;IF(AND(ISNUMBER($H354),ISNUMBER($I354)),IF(OR(AND($F354&lt;&gt;"Short",$I354&gt;=$H354),AND($F354="Short",$I354&lt;=$H354)),"Stop on wrong side; ",""),"")&amp;IF($F354="","No direction; ","")&amp;IF(AND(ISNUMBER(Settings!$C$22),ISNUMBER($V354)),IF($V354&gt;Settings!$C$22,"Risk over max $; ",""),"")&amp;IF(AND(ISNUMBER(Settings!$C$23),ISNUMBER($V354),ISNUMBER($AP354),IFERROR(N(INDEX(Accounts!$E$7:$E$16,MATCH($C354,Accounts!$B$7:$B$16,0))),0)&gt;0),IF($V354&gt;Settings!$C$23*($AP354-N($Q354)),"Risk over max %; ",""),"")&amp;IF(AND(ISNUMBER(Settings!$C$24),ISNUMBER($N354)),IF($N354&gt;Settings!$C$24,"Leverage over max; ",""),"")&amp;IF(AND(ISNUMBER(Settings!$C$27),ISNUMBER($T354)),IF($T354&lt;Settings!$C$27,"R:R below min; ",""),"")&amp;IF(ISNUMBER(Settings!$C$25),IF(COUNTIFS($A$6:$A354,$A354,$AM$6:$AM354,1)&gt;Settings!$C$25,"Over max trades/day; ",""),"")&amp;IF(ISNUMBER(Settings!$C$26),IF(SUMIFS($Q$5:$Q353,$A$5:$A353,$A354)&lt;=-Settings!$C$26,"Traded after daily max loss; ",""),"")&amp;IF(AND($AG354="",NOT(ISNUMBER($O354))),"Symbol not in Instruments; ","")&amp;IF(AND($AH354="",NOT(ISNUMBER($O354))),"Forex cross: type Gross P&amp;L; ",""))</f>
        <v/>
      </c>
      <c r="BH354" s="56">
        <f>IF(ISNUMBER($Q354),1,0)</f>
        <v>0</v>
      </c>
      <c r="BI354" s="56">
        <f>IF($Y354="",0,1)</f>
        <v>0</v>
      </c>
      <c r="BJ354" s="56">
        <f>IF($AB354="",0,1)</f>
        <v>0</v>
      </c>
      <c r="BK354" s="56">
        <f>IF(AND($BH354=1,$W354&lt;&gt;"OK"),1,0)</f>
        <v>0</v>
      </c>
      <c r="BL354" s="55">
        <f>IF(N($AZ354)=0,0,IFERROR(INDEX($AT$6:$AT$1005,MATCH($AZ354,$AY$6:$AY$1005,0)),0))</f>
        <v>1187.10688</v>
      </c>
      <c r="BM354" s="56">
        <f>IF(ISNUMBER(SEARCH("daily max loss",$BG354)),1,0)</f>
        <v>0</v>
      </c>
    </row>
    <row r="355" ht="18" customHeight="1">
      <c r="A355" s="38" t="n"/>
      <c r="B355" s="39" t="n"/>
      <c r="C355" s="40" t="n"/>
      <c r="D355" s="41" t="n"/>
      <c r="E355" s="41" t="n"/>
      <c r="F355" s="41" t="n"/>
      <c r="G355" s="41" t="n"/>
      <c r="H355" s="42" t="n"/>
      <c r="I355" s="42" t="n"/>
      <c r="J355" s="42" t="n"/>
      <c r="K355" s="42" t="n"/>
      <c r="L355" s="41" t="n"/>
      <c r="M355" s="41" t="n"/>
      <c r="N355" s="41" t="n"/>
      <c r="O355" s="43" t="n"/>
      <c r="P355" s="43" t="n"/>
      <c r="Q355" s="44" t="str">
        <f>IF($AM355=0,"",IF(ISNUMBER($AK355),$AK355-N($AL355),""))</f>
        <v/>
      </c>
      <c r="R355" s="45" t="str">
        <f>IF(OR($Q355="",NOT(ISNUMBER($V355))),"",$AK355/$V355)</f>
        <v/>
      </c>
      <c r="S355" s="46" t="str">
        <f>IF($Q355="","",IF(AND(ISNUMBER($R355),ABS(N($R355))&lt;N(Settings!$C$8)),"Scratch",IF($Q355&gt;0,"Win",IF($Q355&lt;0,"Loss","Scratch"))))</f>
        <v/>
      </c>
      <c r="T355" s="47" t="str">
        <f>IF(OR($AM355=0,NOT(ISNUMBER($H355)),NOT(ISNUMBER($I355)),NOT(ISNUMBER($J355))),"",IF($H355=$I355,"",ROUND(ABS($J355-$H355)/ABS($H355-$I355),6)))</f>
        <v/>
      </c>
      <c r="U355" s="48" t="str">
        <f>IF(OR($S355&lt;&gt;"Win",NOT(ISNUMBER($T355)),NOT(ISNUMBER($R355))),"",MAX(0,$T355-$R355))</f>
        <v/>
      </c>
      <c r="V355" s="49" t="str">
        <f>IF(OR($AM355=0,NOT(ISNUMBER($H355)),NOT(ISNUMBER($I355)),NOT(ISNUMBER($G355))),"",IF(OR($AG355="",$AH355=""),"",IF(ROUND(ABS($H355-$I355)*ABS($G355)*$AG355*$AH355,6)=0,"",ROUND(ABS($H355-$I355)*ABS($G355)*$AG355*$AH355,6))))</f>
        <v/>
      </c>
      <c r="W355" s="50" t="str">
        <f>IF($AM355=0,"",IF($BG355="","OK",LEFT($BG355,LEN($BG355)-2)))</f>
        <v/>
      </c>
      <c r="X355" s="41" t="n"/>
      <c r="Y355" s="40" t="n"/>
      <c r="Z355" s="41" t="n"/>
      <c r="AA355" s="41" t="n"/>
      <c r="AB355" s="40" t="n"/>
      <c r="AC355" s="51" t="n"/>
      <c r="AD355" s="51" t="n"/>
      <c r="AE355" s="40" t="n"/>
      <c r="AF355" s="52" t="str">
        <f>IF($AM355=0,"",IF($D355&lt;&gt;"",$D355,IF(IFERROR(INDEX(Accounts!$C$7:$C$16,MATCH($C355,Accounts!$B$7:$B$16,0))&amp;"","")&lt;&gt;"",INDEX(Accounts!$C$7:$C$16,MATCH($C355,Accounts!$B$7:$B$16,0)),Settings!$C$6)))</f>
        <v/>
      </c>
      <c r="AG355" s="53" t="str">
        <f>IF($AM355=0,"",IF(AND($BE355&gt;0,N(INDEX(Instruments!$D$6:$D$205,MAX(1,$BE355)))&gt;0),INDEX(Instruments!$D$6:$D$205,MAX(1,$BE355)),IF(N(INDEX(Settings!$D$14:$D$18,$BF355))&gt;0,INDEX(Settings!$D$14:$D$18,$BF355),"")))</f>
        <v/>
      </c>
      <c r="AH355" s="54" t="str">
        <f>IF($AM355=0,"",IF($AF355&lt;&gt;"Forex",1,IF(MID(UPPER(SUBSTITUTE(TRIM($E355),"/","")),4,3)=UPPER(TRIM(Settings!$C$7)),1,IF(LEFT(UPPER(SUBSTITUTE(TRIM($E355),"/","")),3)=UPPER(TRIM(Settings!$C$7)),IF(AND(ISNUMBER($K355),N($K355)&lt;&gt;0),1/$K355,""),""))))</f>
        <v/>
      </c>
      <c r="AI355" s="55" t="str">
        <f>IF($AM355=0,"",IF(OR(NOT(ISNUMBER($H355)),NOT(ISNUMBER($K355)),NOT(ISNUMBER($G355)),$AG355="",$AH355=""),"",ROUND(($K355-$H355)*IF($F355="Short",-1,1)*$G355*$AG355*$AH355,6)))</f>
        <v/>
      </c>
      <c r="AJ355" s="55" t="str">
        <f>IF($AM355=0,"",IF(INDEX(Settings!$E$14:$E$18,$BF355)="% of notional",IF(OR($AG355="",NOT(ISNUMBER($H355)),NOT(ISNUMBER($G355))),"",ROUND(ABS($H355*$G355*$AG355*N($AH355))*IF($L355="Limit",N(INDEX(Settings!$G$14:$G$18,$BF355)),N(INDEX(Settings!$H$14:$H$18,$BF355)))+IF(ISNUMBER($K355),ABS($K355*$G355*$AG355*N($AH355))*IF($M355="Target",N(INDEX(Settings!$G$14:$G$18,$BF355)),N(INDEX(Settings!$H$14:$H$18,$BF355))),0),6)),IF(NOT(ISNUMBER($G355)),"",ROUND(ABS($G355)*2*IF(AND($BE355&gt;0,ISNUMBER(INDEX(Instruments!$G$6:$G$205,MAX(1,$BE355)))),INDEX(Instruments!$G$6:$G$205,MAX(1,$BE355)),N(INDEX(Settings!$F$14:$F$18,$BF355))),6))))</f>
        <v/>
      </c>
      <c r="AK355" s="55" t="str">
        <f>IF($AM355=0,"",IF(ISNUMBER($O355),$O355,$AI355))</f>
        <v/>
      </c>
      <c r="AL355" s="55" t="str">
        <f>IF($AM355=0,"",IF(ISNUMBER($P355),$P355,N($AJ355)))</f>
        <v/>
      </c>
      <c r="AM355" s="56">
        <f>IF(AND($A355&lt;&gt;"",$E355&lt;&gt;"",OR(AND(ISNUMBER($G355),ISNUMBER($H355),ISNUMBER($K355)),ISNUMBER($O355))),1,0)</f>
        <v>0</v>
      </c>
      <c r="AN355" s="57" t="str">
        <f>IF($A355="","",$A355-WEEKDAY($A355,3))</f>
        <v/>
      </c>
      <c r="AO355" s="56" t="str">
        <f>IF($A355="","",WEEKDAY($A355,2))</f>
        <v/>
      </c>
      <c r="AP355" s="55" t="str">
        <f>IF(OR($AM355=0,$C355=""),"",IFERROR(N(INDEX(Accounts!$E$7:$E$16,MATCH($C355,Accounts!$B$7:$B$16,0))),0)+SUMIFS($Q$6:$Q355,$C$6:$C355,$C355))</f>
        <v/>
      </c>
      <c r="AQ355" s="55" t="str">
        <f>IF(OR($AM355=0,$C355=""),"",SUMIFS($Q$6:$Q$1005,$C$6:$C$1005,$C355,$A$6:$A$1005,$A355))</f>
        <v/>
      </c>
      <c r="AR355" s="55" t="str">
        <f>IF(OR($AM355=0,$C355=""),"",IFERROR(N(INDEX(Accounts!$E$7:$E$16,MATCH($C355,Accounts!$B$7:$B$16,0))),0)+SUMIFS($Q$6:$Q$1005,$C$6:$C$1005,$C355,$A$6:$A$1005,"&lt;="&amp;$A355))</f>
        <v/>
      </c>
      <c r="AS355" s="56">
        <f>IF(OR($AM355=0,$Q355=""),0,IF(AND($A355&gt;=Lists!$W$6,$A355&lt;=Lists!$W$7,OR(Dashboard!$D$6="All accounts",$C355=Dashboard!$D$6),OR(Dashboard!$D$7="All markets",$AF355=Dashboard!$D$7)),1,0))</f>
        <v>0</v>
      </c>
      <c r="AT355" s="55">
        <f>IF($AS355=1,N(AT354)+$Q355,N(AT354))</f>
        <v>1187.10688</v>
      </c>
      <c r="AU355" s="55">
        <f>MAX(N(AU354),$AT355)</f>
        <v>1187.10688</v>
      </c>
      <c r="AV355" s="55">
        <f>$AT355-$AU355</f>
        <v>0</v>
      </c>
      <c r="AW355" s="56">
        <f>IF($AS355=1,IF($S355="Win",N(AW354)+1,IF($S355="Loss",0,N(AW354))),N(AW354))</f>
        <v>5</v>
      </c>
      <c r="AX355" s="56">
        <f>IF($AS355=1,IF($S355="Loss",N(AX354)+1,IF($S355="Win",0,N(AX354))),N(AX354))</f>
        <v>0</v>
      </c>
      <c r="AY355" s="56" t="str">
        <f>IF($AS355=1,COUNTIF($AS$6:$AS355,1),"")</f>
        <v/>
      </c>
      <c r="AZ355" s="56">
        <f>MIN(349,N(Lists!$W$8))</f>
        <v>28</v>
      </c>
      <c r="BA355" s="56">
        <f>IF($AS355=1,IF(COUNTIFS($A$6:$A355,$A355,$AS$6:$AS355,1)=1,1,0),0)</f>
        <v>0</v>
      </c>
      <c r="BB355" s="55" t="str">
        <f>IF($BA355=1,SUMIFS($Q$6:$Q$1005,$A$6:$A$1005,$A355,$AS$6:$AS$1005,1),"")</f>
        <v/>
      </c>
      <c r="BC355" s="56">
        <f>IF(ISNUMBER($R355),1,0)</f>
        <v>0</v>
      </c>
      <c r="BD355" s="55" t="str">
        <f>IF(ISNUMBER($U355),$U355*$V355,"")</f>
        <v/>
      </c>
      <c r="BE355" s="56" t="str">
        <f>IF($AM355=0,"",IFERROR(MATCH($AF355&amp;"|"&amp;UPPER(TRIM($E355)),Lists!$A$6:$A$205,0),0))</f>
        <v/>
      </c>
      <c r="BF355" s="56" t="str">
        <f>IF($AM355=0,"",IFERROR(MATCH($AF355,Settings!$B$14:$B$18,0),IFERROR(MATCH(Settings!$C$6,Settings!$B$14:$B$18,0),1)))</f>
        <v/>
      </c>
      <c r="BG355" s="58" t="str">
        <f>IF($AM355=0,"",IF(NOT(ISNUMBER($I355)),"No stop; ","")&amp;IF(AND(ISNUMBER($H355),ISNUMBER($I355)),IF(OR(AND($F355&lt;&gt;"Short",$I355&gt;=$H355),AND($F355="Short",$I355&lt;=$H355)),"Stop on wrong side; ",""),"")&amp;IF($F355="","No direction; ","")&amp;IF(AND(ISNUMBER(Settings!$C$22),ISNUMBER($V355)),IF($V355&gt;Settings!$C$22,"Risk over max $; ",""),"")&amp;IF(AND(ISNUMBER(Settings!$C$23),ISNUMBER($V355),ISNUMBER($AP355),IFERROR(N(INDEX(Accounts!$E$7:$E$16,MATCH($C355,Accounts!$B$7:$B$16,0))),0)&gt;0),IF($V355&gt;Settings!$C$23*($AP355-N($Q355)),"Risk over max %; ",""),"")&amp;IF(AND(ISNUMBER(Settings!$C$24),ISNUMBER($N355)),IF($N355&gt;Settings!$C$24,"Leverage over max; ",""),"")&amp;IF(AND(ISNUMBER(Settings!$C$27),ISNUMBER($T355)),IF($T355&lt;Settings!$C$27,"R:R below min; ",""),"")&amp;IF(ISNUMBER(Settings!$C$25),IF(COUNTIFS($A$6:$A355,$A355,$AM$6:$AM355,1)&gt;Settings!$C$25,"Over max trades/day; ",""),"")&amp;IF(ISNUMBER(Settings!$C$26),IF(SUMIFS($Q$5:$Q354,$A$5:$A354,$A355)&lt;=-Settings!$C$26,"Traded after daily max loss; ",""),"")&amp;IF(AND($AG355="",NOT(ISNUMBER($O355))),"Symbol not in Instruments; ","")&amp;IF(AND($AH355="",NOT(ISNUMBER($O355))),"Forex cross: type Gross P&amp;L; ",""))</f>
        <v/>
      </c>
      <c r="BH355" s="56">
        <f>IF(ISNUMBER($Q355),1,0)</f>
        <v>0</v>
      </c>
      <c r="BI355" s="56">
        <f>IF($Y355="",0,1)</f>
        <v>0</v>
      </c>
      <c r="BJ355" s="56">
        <f>IF($AB355="",0,1)</f>
        <v>0</v>
      </c>
      <c r="BK355" s="56">
        <f>IF(AND($BH355=1,$W355&lt;&gt;"OK"),1,0)</f>
        <v>0</v>
      </c>
      <c r="BL355" s="55">
        <f>IF(N($AZ355)=0,0,IFERROR(INDEX($AT$6:$AT$1005,MATCH($AZ355,$AY$6:$AY$1005,0)),0))</f>
        <v>1187.10688</v>
      </c>
      <c r="BM355" s="56">
        <f>IF(ISNUMBER(SEARCH("daily max loss",$BG355)),1,0)</f>
        <v>0</v>
      </c>
    </row>
    <row r="356" ht="18" customHeight="1">
      <c r="A356" s="38" t="n"/>
      <c r="B356" s="39" t="n"/>
      <c r="C356" s="40" t="n"/>
      <c r="D356" s="41" t="n"/>
      <c r="E356" s="41" t="n"/>
      <c r="F356" s="41" t="n"/>
      <c r="G356" s="41" t="n"/>
      <c r="H356" s="42" t="n"/>
      <c r="I356" s="42" t="n"/>
      <c r="J356" s="42" t="n"/>
      <c r="K356" s="42" t="n"/>
      <c r="L356" s="41" t="n"/>
      <c r="M356" s="41" t="n"/>
      <c r="N356" s="41" t="n"/>
      <c r="O356" s="43" t="n"/>
      <c r="P356" s="43" t="n"/>
      <c r="Q356" s="44" t="str">
        <f>IF($AM356=0,"",IF(ISNUMBER($AK356),$AK356-N($AL356),""))</f>
        <v/>
      </c>
      <c r="R356" s="45" t="str">
        <f>IF(OR($Q356="",NOT(ISNUMBER($V356))),"",$AK356/$V356)</f>
        <v/>
      </c>
      <c r="S356" s="46" t="str">
        <f>IF($Q356="","",IF(AND(ISNUMBER($R356),ABS(N($R356))&lt;N(Settings!$C$8)),"Scratch",IF($Q356&gt;0,"Win",IF($Q356&lt;0,"Loss","Scratch"))))</f>
        <v/>
      </c>
      <c r="T356" s="47" t="str">
        <f>IF(OR($AM356=0,NOT(ISNUMBER($H356)),NOT(ISNUMBER($I356)),NOT(ISNUMBER($J356))),"",IF($H356=$I356,"",ROUND(ABS($J356-$H356)/ABS($H356-$I356),6)))</f>
        <v/>
      </c>
      <c r="U356" s="48" t="str">
        <f>IF(OR($S356&lt;&gt;"Win",NOT(ISNUMBER($T356)),NOT(ISNUMBER($R356))),"",MAX(0,$T356-$R356))</f>
        <v/>
      </c>
      <c r="V356" s="49" t="str">
        <f>IF(OR($AM356=0,NOT(ISNUMBER($H356)),NOT(ISNUMBER($I356)),NOT(ISNUMBER($G356))),"",IF(OR($AG356="",$AH356=""),"",IF(ROUND(ABS($H356-$I356)*ABS($G356)*$AG356*$AH356,6)=0,"",ROUND(ABS($H356-$I356)*ABS($G356)*$AG356*$AH356,6))))</f>
        <v/>
      </c>
      <c r="W356" s="50" t="str">
        <f>IF($AM356=0,"",IF($BG356="","OK",LEFT($BG356,LEN($BG356)-2)))</f>
        <v/>
      </c>
      <c r="X356" s="41" t="n"/>
      <c r="Y356" s="40" t="n"/>
      <c r="Z356" s="41" t="n"/>
      <c r="AA356" s="41" t="n"/>
      <c r="AB356" s="40" t="n"/>
      <c r="AC356" s="51" t="n"/>
      <c r="AD356" s="51" t="n"/>
      <c r="AE356" s="40" t="n"/>
      <c r="AF356" s="52" t="str">
        <f>IF($AM356=0,"",IF($D356&lt;&gt;"",$D356,IF(IFERROR(INDEX(Accounts!$C$7:$C$16,MATCH($C356,Accounts!$B$7:$B$16,0))&amp;"","")&lt;&gt;"",INDEX(Accounts!$C$7:$C$16,MATCH($C356,Accounts!$B$7:$B$16,0)),Settings!$C$6)))</f>
        <v/>
      </c>
      <c r="AG356" s="53" t="str">
        <f>IF($AM356=0,"",IF(AND($BE356&gt;0,N(INDEX(Instruments!$D$6:$D$205,MAX(1,$BE356)))&gt;0),INDEX(Instruments!$D$6:$D$205,MAX(1,$BE356)),IF(N(INDEX(Settings!$D$14:$D$18,$BF356))&gt;0,INDEX(Settings!$D$14:$D$18,$BF356),"")))</f>
        <v/>
      </c>
      <c r="AH356" s="54" t="str">
        <f>IF($AM356=0,"",IF($AF356&lt;&gt;"Forex",1,IF(MID(UPPER(SUBSTITUTE(TRIM($E356),"/","")),4,3)=UPPER(TRIM(Settings!$C$7)),1,IF(LEFT(UPPER(SUBSTITUTE(TRIM($E356),"/","")),3)=UPPER(TRIM(Settings!$C$7)),IF(AND(ISNUMBER($K356),N($K356)&lt;&gt;0),1/$K356,""),""))))</f>
        <v/>
      </c>
      <c r="AI356" s="55" t="str">
        <f>IF($AM356=0,"",IF(OR(NOT(ISNUMBER($H356)),NOT(ISNUMBER($K356)),NOT(ISNUMBER($G356)),$AG356="",$AH356=""),"",ROUND(($K356-$H356)*IF($F356="Short",-1,1)*$G356*$AG356*$AH356,6)))</f>
        <v/>
      </c>
      <c r="AJ356" s="55" t="str">
        <f>IF($AM356=0,"",IF(INDEX(Settings!$E$14:$E$18,$BF356)="% of notional",IF(OR($AG356="",NOT(ISNUMBER($H356)),NOT(ISNUMBER($G356))),"",ROUND(ABS($H356*$G356*$AG356*N($AH356))*IF($L356="Limit",N(INDEX(Settings!$G$14:$G$18,$BF356)),N(INDEX(Settings!$H$14:$H$18,$BF356)))+IF(ISNUMBER($K356),ABS($K356*$G356*$AG356*N($AH356))*IF($M356="Target",N(INDEX(Settings!$G$14:$G$18,$BF356)),N(INDEX(Settings!$H$14:$H$18,$BF356))),0),6)),IF(NOT(ISNUMBER($G356)),"",ROUND(ABS($G356)*2*IF(AND($BE356&gt;0,ISNUMBER(INDEX(Instruments!$G$6:$G$205,MAX(1,$BE356)))),INDEX(Instruments!$G$6:$G$205,MAX(1,$BE356)),N(INDEX(Settings!$F$14:$F$18,$BF356))),6))))</f>
        <v/>
      </c>
      <c r="AK356" s="55" t="str">
        <f>IF($AM356=0,"",IF(ISNUMBER($O356),$O356,$AI356))</f>
        <v/>
      </c>
      <c r="AL356" s="55" t="str">
        <f>IF($AM356=0,"",IF(ISNUMBER($P356),$P356,N($AJ356)))</f>
        <v/>
      </c>
      <c r="AM356" s="56">
        <f>IF(AND($A356&lt;&gt;"",$E356&lt;&gt;"",OR(AND(ISNUMBER($G356),ISNUMBER($H356),ISNUMBER($K356)),ISNUMBER($O356))),1,0)</f>
        <v>0</v>
      </c>
      <c r="AN356" s="57" t="str">
        <f>IF($A356="","",$A356-WEEKDAY($A356,3))</f>
        <v/>
      </c>
      <c r="AO356" s="56" t="str">
        <f>IF($A356="","",WEEKDAY($A356,2))</f>
        <v/>
      </c>
      <c r="AP356" s="55" t="str">
        <f>IF(OR($AM356=0,$C356=""),"",IFERROR(N(INDEX(Accounts!$E$7:$E$16,MATCH($C356,Accounts!$B$7:$B$16,0))),0)+SUMIFS($Q$6:$Q356,$C$6:$C356,$C356))</f>
        <v/>
      </c>
      <c r="AQ356" s="55" t="str">
        <f>IF(OR($AM356=0,$C356=""),"",SUMIFS($Q$6:$Q$1005,$C$6:$C$1005,$C356,$A$6:$A$1005,$A356))</f>
        <v/>
      </c>
      <c r="AR356" s="55" t="str">
        <f>IF(OR($AM356=0,$C356=""),"",IFERROR(N(INDEX(Accounts!$E$7:$E$16,MATCH($C356,Accounts!$B$7:$B$16,0))),0)+SUMIFS($Q$6:$Q$1005,$C$6:$C$1005,$C356,$A$6:$A$1005,"&lt;="&amp;$A356))</f>
        <v/>
      </c>
      <c r="AS356" s="56">
        <f>IF(OR($AM356=0,$Q356=""),0,IF(AND($A356&gt;=Lists!$W$6,$A356&lt;=Lists!$W$7,OR(Dashboard!$D$6="All accounts",$C356=Dashboard!$D$6),OR(Dashboard!$D$7="All markets",$AF356=Dashboard!$D$7)),1,0))</f>
        <v>0</v>
      </c>
      <c r="AT356" s="55">
        <f>IF($AS356=1,N(AT355)+$Q356,N(AT355))</f>
        <v>1187.10688</v>
      </c>
      <c r="AU356" s="55">
        <f>MAX(N(AU355),$AT356)</f>
        <v>1187.10688</v>
      </c>
      <c r="AV356" s="55">
        <f>$AT356-$AU356</f>
        <v>0</v>
      </c>
      <c r="AW356" s="56">
        <f>IF($AS356=1,IF($S356="Win",N(AW355)+1,IF($S356="Loss",0,N(AW355))),N(AW355))</f>
        <v>5</v>
      </c>
      <c r="AX356" s="56">
        <f>IF($AS356=1,IF($S356="Loss",N(AX355)+1,IF($S356="Win",0,N(AX355))),N(AX355))</f>
        <v>0</v>
      </c>
      <c r="AY356" s="56" t="str">
        <f>IF($AS356=1,COUNTIF($AS$6:$AS356,1),"")</f>
        <v/>
      </c>
      <c r="AZ356" s="56">
        <f>MIN(350,N(Lists!$W$8))</f>
        <v>28</v>
      </c>
      <c r="BA356" s="56">
        <f>IF($AS356=1,IF(COUNTIFS($A$6:$A356,$A356,$AS$6:$AS356,1)=1,1,0),0)</f>
        <v>0</v>
      </c>
      <c r="BB356" s="55" t="str">
        <f>IF($BA356=1,SUMIFS($Q$6:$Q$1005,$A$6:$A$1005,$A356,$AS$6:$AS$1005,1),"")</f>
        <v/>
      </c>
      <c r="BC356" s="56">
        <f>IF(ISNUMBER($R356),1,0)</f>
        <v>0</v>
      </c>
      <c r="BD356" s="55" t="str">
        <f>IF(ISNUMBER($U356),$U356*$V356,"")</f>
        <v/>
      </c>
      <c r="BE356" s="56" t="str">
        <f>IF($AM356=0,"",IFERROR(MATCH($AF356&amp;"|"&amp;UPPER(TRIM($E356)),Lists!$A$6:$A$205,0),0))</f>
        <v/>
      </c>
      <c r="BF356" s="56" t="str">
        <f>IF($AM356=0,"",IFERROR(MATCH($AF356,Settings!$B$14:$B$18,0),IFERROR(MATCH(Settings!$C$6,Settings!$B$14:$B$18,0),1)))</f>
        <v/>
      </c>
      <c r="BG356" s="58" t="str">
        <f>IF($AM356=0,"",IF(NOT(ISNUMBER($I356)),"No stop; ","")&amp;IF(AND(ISNUMBER($H356),ISNUMBER($I356)),IF(OR(AND($F356&lt;&gt;"Short",$I356&gt;=$H356),AND($F356="Short",$I356&lt;=$H356)),"Stop on wrong side; ",""),"")&amp;IF($F356="","No direction; ","")&amp;IF(AND(ISNUMBER(Settings!$C$22),ISNUMBER($V356)),IF($V356&gt;Settings!$C$22,"Risk over max $; ",""),"")&amp;IF(AND(ISNUMBER(Settings!$C$23),ISNUMBER($V356),ISNUMBER($AP356),IFERROR(N(INDEX(Accounts!$E$7:$E$16,MATCH($C356,Accounts!$B$7:$B$16,0))),0)&gt;0),IF($V356&gt;Settings!$C$23*($AP356-N($Q356)),"Risk over max %; ",""),"")&amp;IF(AND(ISNUMBER(Settings!$C$24),ISNUMBER($N356)),IF($N356&gt;Settings!$C$24,"Leverage over max; ",""),"")&amp;IF(AND(ISNUMBER(Settings!$C$27),ISNUMBER($T356)),IF($T356&lt;Settings!$C$27,"R:R below min; ",""),"")&amp;IF(ISNUMBER(Settings!$C$25),IF(COUNTIFS($A$6:$A356,$A356,$AM$6:$AM356,1)&gt;Settings!$C$25,"Over max trades/day; ",""),"")&amp;IF(ISNUMBER(Settings!$C$26),IF(SUMIFS($Q$5:$Q355,$A$5:$A355,$A356)&lt;=-Settings!$C$26,"Traded after daily max loss; ",""),"")&amp;IF(AND($AG356="",NOT(ISNUMBER($O356))),"Symbol not in Instruments; ","")&amp;IF(AND($AH356="",NOT(ISNUMBER($O356))),"Forex cross: type Gross P&amp;L; ",""))</f>
        <v/>
      </c>
      <c r="BH356" s="56">
        <f>IF(ISNUMBER($Q356),1,0)</f>
        <v>0</v>
      </c>
      <c r="BI356" s="56">
        <f>IF($Y356="",0,1)</f>
        <v>0</v>
      </c>
      <c r="BJ356" s="56">
        <f>IF($AB356="",0,1)</f>
        <v>0</v>
      </c>
      <c r="BK356" s="56">
        <f>IF(AND($BH356=1,$W356&lt;&gt;"OK"),1,0)</f>
        <v>0</v>
      </c>
      <c r="BL356" s="55">
        <f>IF(N($AZ356)=0,0,IFERROR(INDEX($AT$6:$AT$1005,MATCH($AZ356,$AY$6:$AY$1005,0)),0))</f>
        <v>1187.10688</v>
      </c>
      <c r="BM356" s="56">
        <f>IF(ISNUMBER(SEARCH("daily max loss",$BG356)),1,0)</f>
        <v>0</v>
      </c>
    </row>
    <row r="357" ht="18" customHeight="1">
      <c r="A357" s="38" t="n"/>
      <c r="B357" s="39" t="n"/>
      <c r="C357" s="40" t="n"/>
      <c r="D357" s="41" t="n"/>
      <c r="E357" s="41" t="n"/>
      <c r="F357" s="41" t="n"/>
      <c r="G357" s="41" t="n"/>
      <c r="H357" s="42" t="n"/>
      <c r="I357" s="42" t="n"/>
      <c r="J357" s="42" t="n"/>
      <c r="K357" s="42" t="n"/>
      <c r="L357" s="41" t="n"/>
      <c r="M357" s="41" t="n"/>
      <c r="N357" s="41" t="n"/>
      <c r="O357" s="43" t="n"/>
      <c r="P357" s="43" t="n"/>
      <c r="Q357" s="44" t="str">
        <f>IF($AM357=0,"",IF(ISNUMBER($AK357),$AK357-N($AL357),""))</f>
        <v/>
      </c>
      <c r="R357" s="45" t="str">
        <f>IF(OR($Q357="",NOT(ISNUMBER($V357))),"",$AK357/$V357)</f>
        <v/>
      </c>
      <c r="S357" s="46" t="str">
        <f>IF($Q357="","",IF(AND(ISNUMBER($R357),ABS(N($R357))&lt;N(Settings!$C$8)),"Scratch",IF($Q357&gt;0,"Win",IF($Q357&lt;0,"Loss","Scratch"))))</f>
        <v/>
      </c>
      <c r="T357" s="47" t="str">
        <f>IF(OR($AM357=0,NOT(ISNUMBER($H357)),NOT(ISNUMBER($I357)),NOT(ISNUMBER($J357))),"",IF($H357=$I357,"",ROUND(ABS($J357-$H357)/ABS($H357-$I357),6)))</f>
        <v/>
      </c>
      <c r="U357" s="48" t="str">
        <f>IF(OR($S357&lt;&gt;"Win",NOT(ISNUMBER($T357)),NOT(ISNUMBER($R357))),"",MAX(0,$T357-$R357))</f>
        <v/>
      </c>
      <c r="V357" s="49" t="str">
        <f>IF(OR($AM357=0,NOT(ISNUMBER($H357)),NOT(ISNUMBER($I357)),NOT(ISNUMBER($G357))),"",IF(OR($AG357="",$AH357=""),"",IF(ROUND(ABS($H357-$I357)*ABS($G357)*$AG357*$AH357,6)=0,"",ROUND(ABS($H357-$I357)*ABS($G357)*$AG357*$AH357,6))))</f>
        <v/>
      </c>
      <c r="W357" s="50" t="str">
        <f>IF($AM357=0,"",IF($BG357="","OK",LEFT($BG357,LEN($BG357)-2)))</f>
        <v/>
      </c>
      <c r="X357" s="41" t="n"/>
      <c r="Y357" s="40" t="n"/>
      <c r="Z357" s="41" t="n"/>
      <c r="AA357" s="41" t="n"/>
      <c r="AB357" s="40" t="n"/>
      <c r="AC357" s="51" t="n"/>
      <c r="AD357" s="51" t="n"/>
      <c r="AE357" s="40" t="n"/>
      <c r="AF357" s="52" t="str">
        <f>IF($AM357=0,"",IF($D357&lt;&gt;"",$D357,IF(IFERROR(INDEX(Accounts!$C$7:$C$16,MATCH($C357,Accounts!$B$7:$B$16,0))&amp;"","")&lt;&gt;"",INDEX(Accounts!$C$7:$C$16,MATCH($C357,Accounts!$B$7:$B$16,0)),Settings!$C$6)))</f>
        <v/>
      </c>
      <c r="AG357" s="53" t="str">
        <f>IF($AM357=0,"",IF(AND($BE357&gt;0,N(INDEX(Instruments!$D$6:$D$205,MAX(1,$BE357)))&gt;0),INDEX(Instruments!$D$6:$D$205,MAX(1,$BE357)),IF(N(INDEX(Settings!$D$14:$D$18,$BF357))&gt;0,INDEX(Settings!$D$14:$D$18,$BF357),"")))</f>
        <v/>
      </c>
      <c r="AH357" s="54" t="str">
        <f>IF($AM357=0,"",IF($AF357&lt;&gt;"Forex",1,IF(MID(UPPER(SUBSTITUTE(TRIM($E357),"/","")),4,3)=UPPER(TRIM(Settings!$C$7)),1,IF(LEFT(UPPER(SUBSTITUTE(TRIM($E357),"/","")),3)=UPPER(TRIM(Settings!$C$7)),IF(AND(ISNUMBER($K357),N($K357)&lt;&gt;0),1/$K357,""),""))))</f>
        <v/>
      </c>
      <c r="AI357" s="55" t="str">
        <f>IF($AM357=0,"",IF(OR(NOT(ISNUMBER($H357)),NOT(ISNUMBER($K357)),NOT(ISNUMBER($G357)),$AG357="",$AH357=""),"",ROUND(($K357-$H357)*IF($F357="Short",-1,1)*$G357*$AG357*$AH357,6)))</f>
        <v/>
      </c>
      <c r="AJ357" s="55" t="str">
        <f>IF($AM357=0,"",IF(INDEX(Settings!$E$14:$E$18,$BF357)="% of notional",IF(OR($AG357="",NOT(ISNUMBER($H357)),NOT(ISNUMBER($G357))),"",ROUND(ABS($H357*$G357*$AG357*N($AH357))*IF($L357="Limit",N(INDEX(Settings!$G$14:$G$18,$BF357)),N(INDEX(Settings!$H$14:$H$18,$BF357)))+IF(ISNUMBER($K357),ABS($K357*$G357*$AG357*N($AH357))*IF($M357="Target",N(INDEX(Settings!$G$14:$G$18,$BF357)),N(INDEX(Settings!$H$14:$H$18,$BF357))),0),6)),IF(NOT(ISNUMBER($G357)),"",ROUND(ABS($G357)*2*IF(AND($BE357&gt;0,ISNUMBER(INDEX(Instruments!$G$6:$G$205,MAX(1,$BE357)))),INDEX(Instruments!$G$6:$G$205,MAX(1,$BE357)),N(INDEX(Settings!$F$14:$F$18,$BF357))),6))))</f>
        <v/>
      </c>
      <c r="AK357" s="55" t="str">
        <f>IF($AM357=0,"",IF(ISNUMBER($O357),$O357,$AI357))</f>
        <v/>
      </c>
      <c r="AL357" s="55" t="str">
        <f>IF($AM357=0,"",IF(ISNUMBER($P357),$P357,N($AJ357)))</f>
        <v/>
      </c>
      <c r="AM357" s="56">
        <f>IF(AND($A357&lt;&gt;"",$E357&lt;&gt;"",OR(AND(ISNUMBER($G357),ISNUMBER($H357),ISNUMBER($K357)),ISNUMBER($O357))),1,0)</f>
        <v>0</v>
      </c>
      <c r="AN357" s="57" t="str">
        <f>IF($A357="","",$A357-WEEKDAY($A357,3))</f>
        <v/>
      </c>
      <c r="AO357" s="56" t="str">
        <f>IF($A357="","",WEEKDAY($A357,2))</f>
        <v/>
      </c>
      <c r="AP357" s="55" t="str">
        <f>IF(OR($AM357=0,$C357=""),"",IFERROR(N(INDEX(Accounts!$E$7:$E$16,MATCH($C357,Accounts!$B$7:$B$16,0))),0)+SUMIFS($Q$6:$Q357,$C$6:$C357,$C357))</f>
        <v/>
      </c>
      <c r="AQ357" s="55" t="str">
        <f>IF(OR($AM357=0,$C357=""),"",SUMIFS($Q$6:$Q$1005,$C$6:$C$1005,$C357,$A$6:$A$1005,$A357))</f>
        <v/>
      </c>
      <c r="AR357" s="55" t="str">
        <f>IF(OR($AM357=0,$C357=""),"",IFERROR(N(INDEX(Accounts!$E$7:$E$16,MATCH($C357,Accounts!$B$7:$B$16,0))),0)+SUMIFS($Q$6:$Q$1005,$C$6:$C$1005,$C357,$A$6:$A$1005,"&lt;="&amp;$A357))</f>
        <v/>
      </c>
      <c r="AS357" s="56">
        <f>IF(OR($AM357=0,$Q357=""),0,IF(AND($A357&gt;=Lists!$W$6,$A357&lt;=Lists!$W$7,OR(Dashboard!$D$6="All accounts",$C357=Dashboard!$D$6),OR(Dashboard!$D$7="All markets",$AF357=Dashboard!$D$7)),1,0))</f>
        <v>0</v>
      </c>
      <c r="AT357" s="55">
        <f>IF($AS357=1,N(AT356)+$Q357,N(AT356))</f>
        <v>1187.10688</v>
      </c>
      <c r="AU357" s="55">
        <f>MAX(N(AU356),$AT357)</f>
        <v>1187.10688</v>
      </c>
      <c r="AV357" s="55">
        <f>$AT357-$AU357</f>
        <v>0</v>
      </c>
      <c r="AW357" s="56">
        <f>IF($AS357=1,IF($S357="Win",N(AW356)+1,IF($S357="Loss",0,N(AW356))),N(AW356))</f>
        <v>5</v>
      </c>
      <c r="AX357" s="56">
        <f>IF($AS357=1,IF($S357="Loss",N(AX356)+1,IF($S357="Win",0,N(AX356))),N(AX356))</f>
        <v>0</v>
      </c>
      <c r="AY357" s="56" t="str">
        <f>IF($AS357=1,COUNTIF($AS$6:$AS357,1),"")</f>
        <v/>
      </c>
      <c r="AZ357" s="56">
        <f>MIN(351,N(Lists!$W$8))</f>
        <v>28</v>
      </c>
      <c r="BA357" s="56">
        <f>IF($AS357=1,IF(COUNTIFS($A$6:$A357,$A357,$AS$6:$AS357,1)=1,1,0),0)</f>
        <v>0</v>
      </c>
      <c r="BB357" s="55" t="str">
        <f>IF($BA357=1,SUMIFS($Q$6:$Q$1005,$A$6:$A$1005,$A357,$AS$6:$AS$1005,1),"")</f>
        <v/>
      </c>
      <c r="BC357" s="56">
        <f>IF(ISNUMBER($R357),1,0)</f>
        <v>0</v>
      </c>
      <c r="BD357" s="55" t="str">
        <f>IF(ISNUMBER($U357),$U357*$V357,"")</f>
        <v/>
      </c>
      <c r="BE357" s="56" t="str">
        <f>IF($AM357=0,"",IFERROR(MATCH($AF357&amp;"|"&amp;UPPER(TRIM($E357)),Lists!$A$6:$A$205,0),0))</f>
        <v/>
      </c>
      <c r="BF357" s="56" t="str">
        <f>IF($AM357=0,"",IFERROR(MATCH($AF357,Settings!$B$14:$B$18,0),IFERROR(MATCH(Settings!$C$6,Settings!$B$14:$B$18,0),1)))</f>
        <v/>
      </c>
      <c r="BG357" s="58" t="str">
        <f>IF($AM357=0,"",IF(NOT(ISNUMBER($I357)),"No stop; ","")&amp;IF(AND(ISNUMBER($H357),ISNUMBER($I357)),IF(OR(AND($F357&lt;&gt;"Short",$I357&gt;=$H357),AND($F357="Short",$I357&lt;=$H357)),"Stop on wrong side; ",""),"")&amp;IF($F357="","No direction; ","")&amp;IF(AND(ISNUMBER(Settings!$C$22),ISNUMBER($V357)),IF($V357&gt;Settings!$C$22,"Risk over max $; ",""),"")&amp;IF(AND(ISNUMBER(Settings!$C$23),ISNUMBER($V357),ISNUMBER($AP357),IFERROR(N(INDEX(Accounts!$E$7:$E$16,MATCH($C357,Accounts!$B$7:$B$16,0))),0)&gt;0),IF($V357&gt;Settings!$C$23*($AP357-N($Q357)),"Risk over max %; ",""),"")&amp;IF(AND(ISNUMBER(Settings!$C$24),ISNUMBER($N357)),IF($N357&gt;Settings!$C$24,"Leverage over max; ",""),"")&amp;IF(AND(ISNUMBER(Settings!$C$27),ISNUMBER($T357)),IF($T357&lt;Settings!$C$27,"R:R below min; ",""),"")&amp;IF(ISNUMBER(Settings!$C$25),IF(COUNTIFS($A$6:$A357,$A357,$AM$6:$AM357,1)&gt;Settings!$C$25,"Over max trades/day; ",""),"")&amp;IF(ISNUMBER(Settings!$C$26),IF(SUMIFS($Q$5:$Q356,$A$5:$A356,$A357)&lt;=-Settings!$C$26,"Traded after daily max loss; ",""),"")&amp;IF(AND($AG357="",NOT(ISNUMBER($O357))),"Symbol not in Instruments; ","")&amp;IF(AND($AH357="",NOT(ISNUMBER($O357))),"Forex cross: type Gross P&amp;L; ",""))</f>
        <v/>
      </c>
      <c r="BH357" s="56">
        <f>IF(ISNUMBER($Q357),1,0)</f>
        <v>0</v>
      </c>
      <c r="BI357" s="56">
        <f>IF($Y357="",0,1)</f>
        <v>0</v>
      </c>
      <c r="BJ357" s="56">
        <f>IF($AB357="",0,1)</f>
        <v>0</v>
      </c>
      <c r="BK357" s="56">
        <f>IF(AND($BH357=1,$W357&lt;&gt;"OK"),1,0)</f>
        <v>0</v>
      </c>
      <c r="BL357" s="55">
        <f>IF(N($AZ357)=0,0,IFERROR(INDEX($AT$6:$AT$1005,MATCH($AZ357,$AY$6:$AY$1005,0)),0))</f>
        <v>1187.10688</v>
      </c>
      <c r="BM357" s="56">
        <f>IF(ISNUMBER(SEARCH("daily max loss",$BG357)),1,0)</f>
        <v>0</v>
      </c>
    </row>
    <row r="358" ht="18" customHeight="1">
      <c r="A358" s="38" t="n"/>
      <c r="B358" s="39" t="n"/>
      <c r="C358" s="40" t="n"/>
      <c r="D358" s="41" t="n"/>
      <c r="E358" s="41" t="n"/>
      <c r="F358" s="41" t="n"/>
      <c r="G358" s="41" t="n"/>
      <c r="H358" s="42" t="n"/>
      <c r="I358" s="42" t="n"/>
      <c r="J358" s="42" t="n"/>
      <c r="K358" s="42" t="n"/>
      <c r="L358" s="41" t="n"/>
      <c r="M358" s="41" t="n"/>
      <c r="N358" s="41" t="n"/>
      <c r="O358" s="43" t="n"/>
      <c r="P358" s="43" t="n"/>
      <c r="Q358" s="44" t="str">
        <f>IF($AM358=0,"",IF(ISNUMBER($AK358),$AK358-N($AL358),""))</f>
        <v/>
      </c>
      <c r="R358" s="45" t="str">
        <f>IF(OR($Q358="",NOT(ISNUMBER($V358))),"",$AK358/$V358)</f>
        <v/>
      </c>
      <c r="S358" s="46" t="str">
        <f>IF($Q358="","",IF(AND(ISNUMBER($R358),ABS(N($R358))&lt;N(Settings!$C$8)),"Scratch",IF($Q358&gt;0,"Win",IF($Q358&lt;0,"Loss","Scratch"))))</f>
        <v/>
      </c>
      <c r="T358" s="47" t="str">
        <f>IF(OR($AM358=0,NOT(ISNUMBER($H358)),NOT(ISNUMBER($I358)),NOT(ISNUMBER($J358))),"",IF($H358=$I358,"",ROUND(ABS($J358-$H358)/ABS($H358-$I358),6)))</f>
        <v/>
      </c>
      <c r="U358" s="48" t="str">
        <f>IF(OR($S358&lt;&gt;"Win",NOT(ISNUMBER($T358)),NOT(ISNUMBER($R358))),"",MAX(0,$T358-$R358))</f>
        <v/>
      </c>
      <c r="V358" s="49" t="str">
        <f>IF(OR($AM358=0,NOT(ISNUMBER($H358)),NOT(ISNUMBER($I358)),NOT(ISNUMBER($G358))),"",IF(OR($AG358="",$AH358=""),"",IF(ROUND(ABS($H358-$I358)*ABS($G358)*$AG358*$AH358,6)=0,"",ROUND(ABS($H358-$I358)*ABS($G358)*$AG358*$AH358,6))))</f>
        <v/>
      </c>
      <c r="W358" s="50" t="str">
        <f>IF($AM358=0,"",IF($BG358="","OK",LEFT($BG358,LEN($BG358)-2)))</f>
        <v/>
      </c>
      <c r="X358" s="41" t="n"/>
      <c r="Y358" s="40" t="n"/>
      <c r="Z358" s="41" t="n"/>
      <c r="AA358" s="41" t="n"/>
      <c r="AB358" s="40" t="n"/>
      <c r="AC358" s="51" t="n"/>
      <c r="AD358" s="51" t="n"/>
      <c r="AE358" s="40" t="n"/>
      <c r="AF358" s="52" t="str">
        <f>IF($AM358=0,"",IF($D358&lt;&gt;"",$D358,IF(IFERROR(INDEX(Accounts!$C$7:$C$16,MATCH($C358,Accounts!$B$7:$B$16,0))&amp;"","")&lt;&gt;"",INDEX(Accounts!$C$7:$C$16,MATCH($C358,Accounts!$B$7:$B$16,0)),Settings!$C$6)))</f>
        <v/>
      </c>
      <c r="AG358" s="53" t="str">
        <f>IF($AM358=0,"",IF(AND($BE358&gt;0,N(INDEX(Instruments!$D$6:$D$205,MAX(1,$BE358)))&gt;0),INDEX(Instruments!$D$6:$D$205,MAX(1,$BE358)),IF(N(INDEX(Settings!$D$14:$D$18,$BF358))&gt;0,INDEX(Settings!$D$14:$D$18,$BF358),"")))</f>
        <v/>
      </c>
      <c r="AH358" s="54" t="str">
        <f>IF($AM358=0,"",IF($AF358&lt;&gt;"Forex",1,IF(MID(UPPER(SUBSTITUTE(TRIM($E358),"/","")),4,3)=UPPER(TRIM(Settings!$C$7)),1,IF(LEFT(UPPER(SUBSTITUTE(TRIM($E358),"/","")),3)=UPPER(TRIM(Settings!$C$7)),IF(AND(ISNUMBER($K358),N($K358)&lt;&gt;0),1/$K358,""),""))))</f>
        <v/>
      </c>
      <c r="AI358" s="55" t="str">
        <f>IF($AM358=0,"",IF(OR(NOT(ISNUMBER($H358)),NOT(ISNUMBER($K358)),NOT(ISNUMBER($G358)),$AG358="",$AH358=""),"",ROUND(($K358-$H358)*IF($F358="Short",-1,1)*$G358*$AG358*$AH358,6)))</f>
        <v/>
      </c>
      <c r="AJ358" s="55" t="str">
        <f>IF($AM358=0,"",IF(INDEX(Settings!$E$14:$E$18,$BF358)="% of notional",IF(OR($AG358="",NOT(ISNUMBER($H358)),NOT(ISNUMBER($G358))),"",ROUND(ABS($H358*$G358*$AG358*N($AH358))*IF($L358="Limit",N(INDEX(Settings!$G$14:$G$18,$BF358)),N(INDEX(Settings!$H$14:$H$18,$BF358)))+IF(ISNUMBER($K358),ABS($K358*$G358*$AG358*N($AH358))*IF($M358="Target",N(INDEX(Settings!$G$14:$G$18,$BF358)),N(INDEX(Settings!$H$14:$H$18,$BF358))),0),6)),IF(NOT(ISNUMBER($G358)),"",ROUND(ABS($G358)*2*IF(AND($BE358&gt;0,ISNUMBER(INDEX(Instruments!$G$6:$G$205,MAX(1,$BE358)))),INDEX(Instruments!$G$6:$G$205,MAX(1,$BE358)),N(INDEX(Settings!$F$14:$F$18,$BF358))),6))))</f>
        <v/>
      </c>
      <c r="AK358" s="55" t="str">
        <f>IF($AM358=0,"",IF(ISNUMBER($O358),$O358,$AI358))</f>
        <v/>
      </c>
      <c r="AL358" s="55" t="str">
        <f>IF($AM358=0,"",IF(ISNUMBER($P358),$P358,N($AJ358)))</f>
        <v/>
      </c>
      <c r="AM358" s="56">
        <f>IF(AND($A358&lt;&gt;"",$E358&lt;&gt;"",OR(AND(ISNUMBER($G358),ISNUMBER($H358),ISNUMBER($K358)),ISNUMBER($O358))),1,0)</f>
        <v>0</v>
      </c>
      <c r="AN358" s="57" t="str">
        <f>IF($A358="","",$A358-WEEKDAY($A358,3))</f>
        <v/>
      </c>
      <c r="AO358" s="56" t="str">
        <f>IF($A358="","",WEEKDAY($A358,2))</f>
        <v/>
      </c>
      <c r="AP358" s="55" t="str">
        <f>IF(OR($AM358=0,$C358=""),"",IFERROR(N(INDEX(Accounts!$E$7:$E$16,MATCH($C358,Accounts!$B$7:$B$16,0))),0)+SUMIFS($Q$6:$Q358,$C$6:$C358,$C358))</f>
        <v/>
      </c>
      <c r="AQ358" s="55" t="str">
        <f>IF(OR($AM358=0,$C358=""),"",SUMIFS($Q$6:$Q$1005,$C$6:$C$1005,$C358,$A$6:$A$1005,$A358))</f>
        <v/>
      </c>
      <c r="AR358" s="55" t="str">
        <f>IF(OR($AM358=0,$C358=""),"",IFERROR(N(INDEX(Accounts!$E$7:$E$16,MATCH($C358,Accounts!$B$7:$B$16,0))),0)+SUMIFS($Q$6:$Q$1005,$C$6:$C$1005,$C358,$A$6:$A$1005,"&lt;="&amp;$A358))</f>
        <v/>
      </c>
      <c r="AS358" s="56">
        <f>IF(OR($AM358=0,$Q358=""),0,IF(AND($A358&gt;=Lists!$W$6,$A358&lt;=Lists!$W$7,OR(Dashboard!$D$6="All accounts",$C358=Dashboard!$D$6),OR(Dashboard!$D$7="All markets",$AF358=Dashboard!$D$7)),1,0))</f>
        <v>0</v>
      </c>
      <c r="AT358" s="55">
        <f>IF($AS358=1,N(AT357)+$Q358,N(AT357))</f>
        <v>1187.10688</v>
      </c>
      <c r="AU358" s="55">
        <f>MAX(N(AU357),$AT358)</f>
        <v>1187.10688</v>
      </c>
      <c r="AV358" s="55">
        <f>$AT358-$AU358</f>
        <v>0</v>
      </c>
      <c r="AW358" s="56">
        <f>IF($AS358=1,IF($S358="Win",N(AW357)+1,IF($S358="Loss",0,N(AW357))),N(AW357))</f>
        <v>5</v>
      </c>
      <c r="AX358" s="56">
        <f>IF($AS358=1,IF($S358="Loss",N(AX357)+1,IF($S358="Win",0,N(AX357))),N(AX357))</f>
        <v>0</v>
      </c>
      <c r="AY358" s="56" t="str">
        <f>IF($AS358=1,COUNTIF($AS$6:$AS358,1),"")</f>
        <v/>
      </c>
      <c r="AZ358" s="56">
        <f>MIN(352,N(Lists!$W$8))</f>
        <v>28</v>
      </c>
      <c r="BA358" s="56">
        <f>IF($AS358=1,IF(COUNTIFS($A$6:$A358,$A358,$AS$6:$AS358,1)=1,1,0),0)</f>
        <v>0</v>
      </c>
      <c r="BB358" s="55" t="str">
        <f>IF($BA358=1,SUMIFS($Q$6:$Q$1005,$A$6:$A$1005,$A358,$AS$6:$AS$1005,1),"")</f>
        <v/>
      </c>
      <c r="BC358" s="56">
        <f>IF(ISNUMBER($R358),1,0)</f>
        <v>0</v>
      </c>
      <c r="BD358" s="55" t="str">
        <f>IF(ISNUMBER($U358),$U358*$V358,"")</f>
        <v/>
      </c>
      <c r="BE358" s="56" t="str">
        <f>IF($AM358=0,"",IFERROR(MATCH($AF358&amp;"|"&amp;UPPER(TRIM($E358)),Lists!$A$6:$A$205,0),0))</f>
        <v/>
      </c>
      <c r="BF358" s="56" t="str">
        <f>IF($AM358=0,"",IFERROR(MATCH($AF358,Settings!$B$14:$B$18,0),IFERROR(MATCH(Settings!$C$6,Settings!$B$14:$B$18,0),1)))</f>
        <v/>
      </c>
      <c r="BG358" s="58" t="str">
        <f>IF($AM358=0,"",IF(NOT(ISNUMBER($I358)),"No stop; ","")&amp;IF(AND(ISNUMBER($H358),ISNUMBER($I358)),IF(OR(AND($F358&lt;&gt;"Short",$I358&gt;=$H358),AND($F358="Short",$I358&lt;=$H358)),"Stop on wrong side; ",""),"")&amp;IF($F358="","No direction; ","")&amp;IF(AND(ISNUMBER(Settings!$C$22),ISNUMBER($V358)),IF($V358&gt;Settings!$C$22,"Risk over max $; ",""),"")&amp;IF(AND(ISNUMBER(Settings!$C$23),ISNUMBER($V358),ISNUMBER($AP358),IFERROR(N(INDEX(Accounts!$E$7:$E$16,MATCH($C358,Accounts!$B$7:$B$16,0))),0)&gt;0),IF($V358&gt;Settings!$C$23*($AP358-N($Q358)),"Risk over max %; ",""),"")&amp;IF(AND(ISNUMBER(Settings!$C$24),ISNUMBER($N358)),IF($N358&gt;Settings!$C$24,"Leverage over max; ",""),"")&amp;IF(AND(ISNUMBER(Settings!$C$27),ISNUMBER($T358)),IF($T358&lt;Settings!$C$27,"R:R below min; ",""),"")&amp;IF(ISNUMBER(Settings!$C$25),IF(COUNTIFS($A$6:$A358,$A358,$AM$6:$AM358,1)&gt;Settings!$C$25,"Over max trades/day; ",""),"")&amp;IF(ISNUMBER(Settings!$C$26),IF(SUMIFS($Q$5:$Q357,$A$5:$A357,$A358)&lt;=-Settings!$C$26,"Traded after daily max loss; ",""),"")&amp;IF(AND($AG358="",NOT(ISNUMBER($O358))),"Symbol not in Instruments; ","")&amp;IF(AND($AH358="",NOT(ISNUMBER($O358))),"Forex cross: type Gross P&amp;L; ",""))</f>
        <v/>
      </c>
      <c r="BH358" s="56">
        <f>IF(ISNUMBER($Q358),1,0)</f>
        <v>0</v>
      </c>
      <c r="BI358" s="56">
        <f>IF($Y358="",0,1)</f>
        <v>0</v>
      </c>
      <c r="BJ358" s="56">
        <f>IF($AB358="",0,1)</f>
        <v>0</v>
      </c>
      <c r="BK358" s="56">
        <f>IF(AND($BH358=1,$W358&lt;&gt;"OK"),1,0)</f>
        <v>0</v>
      </c>
      <c r="BL358" s="55">
        <f>IF(N($AZ358)=0,0,IFERROR(INDEX($AT$6:$AT$1005,MATCH($AZ358,$AY$6:$AY$1005,0)),0))</f>
        <v>1187.10688</v>
      </c>
      <c r="BM358" s="56">
        <f>IF(ISNUMBER(SEARCH("daily max loss",$BG358)),1,0)</f>
        <v>0</v>
      </c>
    </row>
    <row r="359" ht="18" customHeight="1">
      <c r="A359" s="38" t="n"/>
      <c r="B359" s="39" t="n"/>
      <c r="C359" s="40" t="n"/>
      <c r="D359" s="41" t="n"/>
      <c r="E359" s="41" t="n"/>
      <c r="F359" s="41" t="n"/>
      <c r="G359" s="41" t="n"/>
      <c r="H359" s="42" t="n"/>
      <c r="I359" s="42" t="n"/>
      <c r="J359" s="42" t="n"/>
      <c r="K359" s="42" t="n"/>
      <c r="L359" s="41" t="n"/>
      <c r="M359" s="41" t="n"/>
      <c r="N359" s="41" t="n"/>
      <c r="O359" s="43" t="n"/>
      <c r="P359" s="43" t="n"/>
      <c r="Q359" s="44" t="str">
        <f>IF($AM359=0,"",IF(ISNUMBER($AK359),$AK359-N($AL359),""))</f>
        <v/>
      </c>
      <c r="R359" s="45" t="str">
        <f>IF(OR($Q359="",NOT(ISNUMBER($V359))),"",$AK359/$V359)</f>
        <v/>
      </c>
      <c r="S359" s="46" t="str">
        <f>IF($Q359="","",IF(AND(ISNUMBER($R359),ABS(N($R359))&lt;N(Settings!$C$8)),"Scratch",IF($Q359&gt;0,"Win",IF($Q359&lt;0,"Loss","Scratch"))))</f>
        <v/>
      </c>
      <c r="T359" s="47" t="str">
        <f>IF(OR($AM359=0,NOT(ISNUMBER($H359)),NOT(ISNUMBER($I359)),NOT(ISNUMBER($J359))),"",IF($H359=$I359,"",ROUND(ABS($J359-$H359)/ABS($H359-$I359),6)))</f>
        <v/>
      </c>
      <c r="U359" s="48" t="str">
        <f>IF(OR($S359&lt;&gt;"Win",NOT(ISNUMBER($T359)),NOT(ISNUMBER($R359))),"",MAX(0,$T359-$R359))</f>
        <v/>
      </c>
      <c r="V359" s="49" t="str">
        <f>IF(OR($AM359=0,NOT(ISNUMBER($H359)),NOT(ISNUMBER($I359)),NOT(ISNUMBER($G359))),"",IF(OR($AG359="",$AH359=""),"",IF(ROUND(ABS($H359-$I359)*ABS($G359)*$AG359*$AH359,6)=0,"",ROUND(ABS($H359-$I359)*ABS($G359)*$AG359*$AH359,6))))</f>
        <v/>
      </c>
      <c r="W359" s="50" t="str">
        <f>IF($AM359=0,"",IF($BG359="","OK",LEFT($BG359,LEN($BG359)-2)))</f>
        <v/>
      </c>
      <c r="X359" s="41" t="n"/>
      <c r="Y359" s="40" t="n"/>
      <c r="Z359" s="41" t="n"/>
      <c r="AA359" s="41" t="n"/>
      <c r="AB359" s="40" t="n"/>
      <c r="AC359" s="51" t="n"/>
      <c r="AD359" s="51" t="n"/>
      <c r="AE359" s="40" t="n"/>
      <c r="AF359" s="52" t="str">
        <f>IF($AM359=0,"",IF($D359&lt;&gt;"",$D359,IF(IFERROR(INDEX(Accounts!$C$7:$C$16,MATCH($C359,Accounts!$B$7:$B$16,0))&amp;"","")&lt;&gt;"",INDEX(Accounts!$C$7:$C$16,MATCH($C359,Accounts!$B$7:$B$16,0)),Settings!$C$6)))</f>
        <v/>
      </c>
      <c r="AG359" s="53" t="str">
        <f>IF($AM359=0,"",IF(AND($BE359&gt;0,N(INDEX(Instruments!$D$6:$D$205,MAX(1,$BE359)))&gt;0),INDEX(Instruments!$D$6:$D$205,MAX(1,$BE359)),IF(N(INDEX(Settings!$D$14:$D$18,$BF359))&gt;0,INDEX(Settings!$D$14:$D$18,$BF359),"")))</f>
        <v/>
      </c>
      <c r="AH359" s="54" t="str">
        <f>IF($AM359=0,"",IF($AF359&lt;&gt;"Forex",1,IF(MID(UPPER(SUBSTITUTE(TRIM($E359),"/","")),4,3)=UPPER(TRIM(Settings!$C$7)),1,IF(LEFT(UPPER(SUBSTITUTE(TRIM($E359),"/","")),3)=UPPER(TRIM(Settings!$C$7)),IF(AND(ISNUMBER($K359),N($K359)&lt;&gt;0),1/$K359,""),""))))</f>
        <v/>
      </c>
      <c r="AI359" s="55" t="str">
        <f>IF($AM359=0,"",IF(OR(NOT(ISNUMBER($H359)),NOT(ISNUMBER($K359)),NOT(ISNUMBER($G359)),$AG359="",$AH359=""),"",ROUND(($K359-$H359)*IF($F359="Short",-1,1)*$G359*$AG359*$AH359,6)))</f>
        <v/>
      </c>
      <c r="AJ359" s="55" t="str">
        <f>IF($AM359=0,"",IF(INDEX(Settings!$E$14:$E$18,$BF359)="% of notional",IF(OR($AG359="",NOT(ISNUMBER($H359)),NOT(ISNUMBER($G359))),"",ROUND(ABS($H359*$G359*$AG359*N($AH359))*IF($L359="Limit",N(INDEX(Settings!$G$14:$G$18,$BF359)),N(INDEX(Settings!$H$14:$H$18,$BF359)))+IF(ISNUMBER($K359),ABS($K359*$G359*$AG359*N($AH359))*IF($M359="Target",N(INDEX(Settings!$G$14:$G$18,$BF359)),N(INDEX(Settings!$H$14:$H$18,$BF359))),0),6)),IF(NOT(ISNUMBER($G359)),"",ROUND(ABS($G359)*2*IF(AND($BE359&gt;0,ISNUMBER(INDEX(Instruments!$G$6:$G$205,MAX(1,$BE359)))),INDEX(Instruments!$G$6:$G$205,MAX(1,$BE359)),N(INDEX(Settings!$F$14:$F$18,$BF359))),6))))</f>
        <v/>
      </c>
      <c r="AK359" s="55" t="str">
        <f>IF($AM359=0,"",IF(ISNUMBER($O359),$O359,$AI359))</f>
        <v/>
      </c>
      <c r="AL359" s="55" t="str">
        <f>IF($AM359=0,"",IF(ISNUMBER($P359),$P359,N($AJ359)))</f>
        <v/>
      </c>
      <c r="AM359" s="56">
        <f>IF(AND($A359&lt;&gt;"",$E359&lt;&gt;"",OR(AND(ISNUMBER($G359),ISNUMBER($H359),ISNUMBER($K359)),ISNUMBER($O359))),1,0)</f>
        <v>0</v>
      </c>
      <c r="AN359" s="57" t="str">
        <f>IF($A359="","",$A359-WEEKDAY($A359,3))</f>
        <v/>
      </c>
      <c r="AO359" s="56" t="str">
        <f>IF($A359="","",WEEKDAY($A359,2))</f>
        <v/>
      </c>
      <c r="AP359" s="55" t="str">
        <f>IF(OR($AM359=0,$C359=""),"",IFERROR(N(INDEX(Accounts!$E$7:$E$16,MATCH($C359,Accounts!$B$7:$B$16,0))),0)+SUMIFS($Q$6:$Q359,$C$6:$C359,$C359))</f>
        <v/>
      </c>
      <c r="AQ359" s="55" t="str">
        <f>IF(OR($AM359=0,$C359=""),"",SUMIFS($Q$6:$Q$1005,$C$6:$C$1005,$C359,$A$6:$A$1005,$A359))</f>
        <v/>
      </c>
      <c r="AR359" s="55" t="str">
        <f>IF(OR($AM359=0,$C359=""),"",IFERROR(N(INDEX(Accounts!$E$7:$E$16,MATCH($C359,Accounts!$B$7:$B$16,0))),0)+SUMIFS($Q$6:$Q$1005,$C$6:$C$1005,$C359,$A$6:$A$1005,"&lt;="&amp;$A359))</f>
        <v/>
      </c>
      <c r="AS359" s="56">
        <f>IF(OR($AM359=0,$Q359=""),0,IF(AND($A359&gt;=Lists!$W$6,$A359&lt;=Lists!$W$7,OR(Dashboard!$D$6="All accounts",$C359=Dashboard!$D$6),OR(Dashboard!$D$7="All markets",$AF359=Dashboard!$D$7)),1,0))</f>
        <v>0</v>
      </c>
      <c r="AT359" s="55">
        <f>IF($AS359=1,N(AT358)+$Q359,N(AT358))</f>
        <v>1187.10688</v>
      </c>
      <c r="AU359" s="55">
        <f>MAX(N(AU358),$AT359)</f>
        <v>1187.10688</v>
      </c>
      <c r="AV359" s="55">
        <f>$AT359-$AU359</f>
        <v>0</v>
      </c>
      <c r="AW359" s="56">
        <f>IF($AS359=1,IF($S359="Win",N(AW358)+1,IF($S359="Loss",0,N(AW358))),N(AW358))</f>
        <v>5</v>
      </c>
      <c r="AX359" s="56">
        <f>IF($AS359=1,IF($S359="Loss",N(AX358)+1,IF($S359="Win",0,N(AX358))),N(AX358))</f>
        <v>0</v>
      </c>
      <c r="AY359" s="56" t="str">
        <f>IF($AS359=1,COUNTIF($AS$6:$AS359,1),"")</f>
        <v/>
      </c>
      <c r="AZ359" s="56">
        <f>MIN(353,N(Lists!$W$8))</f>
        <v>28</v>
      </c>
      <c r="BA359" s="56">
        <f>IF($AS359=1,IF(COUNTIFS($A$6:$A359,$A359,$AS$6:$AS359,1)=1,1,0),0)</f>
        <v>0</v>
      </c>
      <c r="BB359" s="55" t="str">
        <f>IF($BA359=1,SUMIFS($Q$6:$Q$1005,$A$6:$A$1005,$A359,$AS$6:$AS$1005,1),"")</f>
        <v/>
      </c>
      <c r="BC359" s="56">
        <f>IF(ISNUMBER($R359),1,0)</f>
        <v>0</v>
      </c>
      <c r="BD359" s="55" t="str">
        <f>IF(ISNUMBER($U359),$U359*$V359,"")</f>
        <v/>
      </c>
      <c r="BE359" s="56" t="str">
        <f>IF($AM359=0,"",IFERROR(MATCH($AF359&amp;"|"&amp;UPPER(TRIM($E359)),Lists!$A$6:$A$205,0),0))</f>
        <v/>
      </c>
      <c r="BF359" s="56" t="str">
        <f>IF($AM359=0,"",IFERROR(MATCH($AF359,Settings!$B$14:$B$18,0),IFERROR(MATCH(Settings!$C$6,Settings!$B$14:$B$18,0),1)))</f>
        <v/>
      </c>
      <c r="BG359" s="58" t="str">
        <f>IF($AM359=0,"",IF(NOT(ISNUMBER($I359)),"No stop; ","")&amp;IF(AND(ISNUMBER($H359),ISNUMBER($I359)),IF(OR(AND($F359&lt;&gt;"Short",$I359&gt;=$H359),AND($F359="Short",$I359&lt;=$H359)),"Stop on wrong side; ",""),"")&amp;IF($F359="","No direction; ","")&amp;IF(AND(ISNUMBER(Settings!$C$22),ISNUMBER($V359)),IF($V359&gt;Settings!$C$22,"Risk over max $; ",""),"")&amp;IF(AND(ISNUMBER(Settings!$C$23),ISNUMBER($V359),ISNUMBER($AP359),IFERROR(N(INDEX(Accounts!$E$7:$E$16,MATCH($C359,Accounts!$B$7:$B$16,0))),0)&gt;0),IF($V359&gt;Settings!$C$23*($AP359-N($Q359)),"Risk over max %; ",""),"")&amp;IF(AND(ISNUMBER(Settings!$C$24),ISNUMBER($N359)),IF($N359&gt;Settings!$C$24,"Leverage over max; ",""),"")&amp;IF(AND(ISNUMBER(Settings!$C$27),ISNUMBER($T359)),IF($T359&lt;Settings!$C$27,"R:R below min; ",""),"")&amp;IF(ISNUMBER(Settings!$C$25),IF(COUNTIFS($A$6:$A359,$A359,$AM$6:$AM359,1)&gt;Settings!$C$25,"Over max trades/day; ",""),"")&amp;IF(ISNUMBER(Settings!$C$26),IF(SUMIFS($Q$5:$Q358,$A$5:$A358,$A359)&lt;=-Settings!$C$26,"Traded after daily max loss; ",""),"")&amp;IF(AND($AG359="",NOT(ISNUMBER($O359))),"Symbol not in Instruments; ","")&amp;IF(AND($AH359="",NOT(ISNUMBER($O359))),"Forex cross: type Gross P&amp;L; ",""))</f>
        <v/>
      </c>
      <c r="BH359" s="56">
        <f>IF(ISNUMBER($Q359),1,0)</f>
        <v>0</v>
      </c>
      <c r="BI359" s="56">
        <f>IF($Y359="",0,1)</f>
        <v>0</v>
      </c>
      <c r="BJ359" s="56">
        <f>IF($AB359="",0,1)</f>
        <v>0</v>
      </c>
      <c r="BK359" s="56">
        <f>IF(AND($BH359=1,$W359&lt;&gt;"OK"),1,0)</f>
        <v>0</v>
      </c>
      <c r="BL359" s="55">
        <f>IF(N($AZ359)=0,0,IFERROR(INDEX($AT$6:$AT$1005,MATCH($AZ359,$AY$6:$AY$1005,0)),0))</f>
        <v>1187.10688</v>
      </c>
      <c r="BM359" s="56">
        <f>IF(ISNUMBER(SEARCH("daily max loss",$BG359)),1,0)</f>
        <v>0</v>
      </c>
    </row>
    <row r="360" ht="18" customHeight="1">
      <c r="A360" s="38" t="n"/>
      <c r="B360" s="39" t="n"/>
      <c r="C360" s="40" t="n"/>
      <c r="D360" s="41" t="n"/>
      <c r="E360" s="41" t="n"/>
      <c r="F360" s="41" t="n"/>
      <c r="G360" s="41" t="n"/>
      <c r="H360" s="42" t="n"/>
      <c r="I360" s="42" t="n"/>
      <c r="J360" s="42" t="n"/>
      <c r="K360" s="42" t="n"/>
      <c r="L360" s="41" t="n"/>
      <c r="M360" s="41" t="n"/>
      <c r="N360" s="41" t="n"/>
      <c r="O360" s="43" t="n"/>
      <c r="P360" s="43" t="n"/>
      <c r="Q360" s="44" t="str">
        <f>IF($AM360=0,"",IF(ISNUMBER($AK360),$AK360-N($AL360),""))</f>
        <v/>
      </c>
      <c r="R360" s="45" t="str">
        <f>IF(OR($Q360="",NOT(ISNUMBER($V360))),"",$AK360/$V360)</f>
        <v/>
      </c>
      <c r="S360" s="46" t="str">
        <f>IF($Q360="","",IF(AND(ISNUMBER($R360),ABS(N($R360))&lt;N(Settings!$C$8)),"Scratch",IF($Q360&gt;0,"Win",IF($Q360&lt;0,"Loss","Scratch"))))</f>
        <v/>
      </c>
      <c r="T360" s="47" t="str">
        <f>IF(OR($AM360=0,NOT(ISNUMBER($H360)),NOT(ISNUMBER($I360)),NOT(ISNUMBER($J360))),"",IF($H360=$I360,"",ROUND(ABS($J360-$H360)/ABS($H360-$I360),6)))</f>
        <v/>
      </c>
      <c r="U360" s="48" t="str">
        <f>IF(OR($S360&lt;&gt;"Win",NOT(ISNUMBER($T360)),NOT(ISNUMBER($R360))),"",MAX(0,$T360-$R360))</f>
        <v/>
      </c>
      <c r="V360" s="49" t="str">
        <f>IF(OR($AM360=0,NOT(ISNUMBER($H360)),NOT(ISNUMBER($I360)),NOT(ISNUMBER($G360))),"",IF(OR($AG360="",$AH360=""),"",IF(ROUND(ABS($H360-$I360)*ABS($G360)*$AG360*$AH360,6)=0,"",ROUND(ABS($H360-$I360)*ABS($G360)*$AG360*$AH360,6))))</f>
        <v/>
      </c>
      <c r="W360" s="50" t="str">
        <f>IF($AM360=0,"",IF($BG360="","OK",LEFT($BG360,LEN($BG360)-2)))</f>
        <v/>
      </c>
      <c r="X360" s="41" t="n"/>
      <c r="Y360" s="40" t="n"/>
      <c r="Z360" s="41" t="n"/>
      <c r="AA360" s="41" t="n"/>
      <c r="AB360" s="40" t="n"/>
      <c r="AC360" s="51" t="n"/>
      <c r="AD360" s="51" t="n"/>
      <c r="AE360" s="40" t="n"/>
      <c r="AF360" s="52" t="str">
        <f>IF($AM360=0,"",IF($D360&lt;&gt;"",$D360,IF(IFERROR(INDEX(Accounts!$C$7:$C$16,MATCH($C360,Accounts!$B$7:$B$16,0))&amp;"","")&lt;&gt;"",INDEX(Accounts!$C$7:$C$16,MATCH($C360,Accounts!$B$7:$B$16,0)),Settings!$C$6)))</f>
        <v/>
      </c>
      <c r="AG360" s="53" t="str">
        <f>IF($AM360=0,"",IF(AND($BE360&gt;0,N(INDEX(Instruments!$D$6:$D$205,MAX(1,$BE360)))&gt;0),INDEX(Instruments!$D$6:$D$205,MAX(1,$BE360)),IF(N(INDEX(Settings!$D$14:$D$18,$BF360))&gt;0,INDEX(Settings!$D$14:$D$18,$BF360),"")))</f>
        <v/>
      </c>
      <c r="AH360" s="54" t="str">
        <f>IF($AM360=0,"",IF($AF360&lt;&gt;"Forex",1,IF(MID(UPPER(SUBSTITUTE(TRIM($E360),"/","")),4,3)=UPPER(TRIM(Settings!$C$7)),1,IF(LEFT(UPPER(SUBSTITUTE(TRIM($E360),"/","")),3)=UPPER(TRIM(Settings!$C$7)),IF(AND(ISNUMBER($K360),N($K360)&lt;&gt;0),1/$K360,""),""))))</f>
        <v/>
      </c>
      <c r="AI360" s="55" t="str">
        <f>IF($AM360=0,"",IF(OR(NOT(ISNUMBER($H360)),NOT(ISNUMBER($K360)),NOT(ISNUMBER($G360)),$AG360="",$AH360=""),"",ROUND(($K360-$H360)*IF($F360="Short",-1,1)*$G360*$AG360*$AH360,6)))</f>
        <v/>
      </c>
      <c r="AJ360" s="55" t="str">
        <f>IF($AM360=0,"",IF(INDEX(Settings!$E$14:$E$18,$BF360)="% of notional",IF(OR($AG360="",NOT(ISNUMBER($H360)),NOT(ISNUMBER($G360))),"",ROUND(ABS($H360*$G360*$AG360*N($AH360))*IF($L360="Limit",N(INDEX(Settings!$G$14:$G$18,$BF360)),N(INDEX(Settings!$H$14:$H$18,$BF360)))+IF(ISNUMBER($K360),ABS($K360*$G360*$AG360*N($AH360))*IF($M360="Target",N(INDEX(Settings!$G$14:$G$18,$BF360)),N(INDEX(Settings!$H$14:$H$18,$BF360))),0),6)),IF(NOT(ISNUMBER($G360)),"",ROUND(ABS($G360)*2*IF(AND($BE360&gt;0,ISNUMBER(INDEX(Instruments!$G$6:$G$205,MAX(1,$BE360)))),INDEX(Instruments!$G$6:$G$205,MAX(1,$BE360)),N(INDEX(Settings!$F$14:$F$18,$BF360))),6))))</f>
        <v/>
      </c>
      <c r="AK360" s="55" t="str">
        <f>IF($AM360=0,"",IF(ISNUMBER($O360),$O360,$AI360))</f>
        <v/>
      </c>
      <c r="AL360" s="55" t="str">
        <f>IF($AM360=0,"",IF(ISNUMBER($P360),$P360,N($AJ360)))</f>
        <v/>
      </c>
      <c r="AM360" s="56">
        <f>IF(AND($A360&lt;&gt;"",$E360&lt;&gt;"",OR(AND(ISNUMBER($G360),ISNUMBER($H360),ISNUMBER($K360)),ISNUMBER($O360))),1,0)</f>
        <v>0</v>
      </c>
      <c r="AN360" s="57" t="str">
        <f>IF($A360="","",$A360-WEEKDAY($A360,3))</f>
        <v/>
      </c>
      <c r="AO360" s="56" t="str">
        <f>IF($A360="","",WEEKDAY($A360,2))</f>
        <v/>
      </c>
      <c r="AP360" s="55" t="str">
        <f>IF(OR($AM360=0,$C360=""),"",IFERROR(N(INDEX(Accounts!$E$7:$E$16,MATCH($C360,Accounts!$B$7:$B$16,0))),0)+SUMIFS($Q$6:$Q360,$C$6:$C360,$C360))</f>
        <v/>
      </c>
      <c r="AQ360" s="55" t="str">
        <f>IF(OR($AM360=0,$C360=""),"",SUMIFS($Q$6:$Q$1005,$C$6:$C$1005,$C360,$A$6:$A$1005,$A360))</f>
        <v/>
      </c>
      <c r="AR360" s="55" t="str">
        <f>IF(OR($AM360=0,$C360=""),"",IFERROR(N(INDEX(Accounts!$E$7:$E$16,MATCH($C360,Accounts!$B$7:$B$16,0))),0)+SUMIFS($Q$6:$Q$1005,$C$6:$C$1005,$C360,$A$6:$A$1005,"&lt;="&amp;$A360))</f>
        <v/>
      </c>
      <c r="AS360" s="56">
        <f>IF(OR($AM360=0,$Q360=""),0,IF(AND($A360&gt;=Lists!$W$6,$A360&lt;=Lists!$W$7,OR(Dashboard!$D$6="All accounts",$C360=Dashboard!$D$6),OR(Dashboard!$D$7="All markets",$AF360=Dashboard!$D$7)),1,0))</f>
        <v>0</v>
      </c>
      <c r="AT360" s="55">
        <f>IF($AS360=1,N(AT359)+$Q360,N(AT359))</f>
        <v>1187.10688</v>
      </c>
      <c r="AU360" s="55">
        <f>MAX(N(AU359),$AT360)</f>
        <v>1187.10688</v>
      </c>
      <c r="AV360" s="55">
        <f>$AT360-$AU360</f>
        <v>0</v>
      </c>
      <c r="AW360" s="56">
        <f>IF($AS360=1,IF($S360="Win",N(AW359)+1,IF($S360="Loss",0,N(AW359))),N(AW359))</f>
        <v>5</v>
      </c>
      <c r="AX360" s="56">
        <f>IF($AS360=1,IF($S360="Loss",N(AX359)+1,IF($S360="Win",0,N(AX359))),N(AX359))</f>
        <v>0</v>
      </c>
      <c r="AY360" s="56" t="str">
        <f>IF($AS360=1,COUNTIF($AS$6:$AS360,1),"")</f>
        <v/>
      </c>
      <c r="AZ360" s="56">
        <f>MIN(354,N(Lists!$W$8))</f>
        <v>28</v>
      </c>
      <c r="BA360" s="56">
        <f>IF($AS360=1,IF(COUNTIFS($A$6:$A360,$A360,$AS$6:$AS360,1)=1,1,0),0)</f>
        <v>0</v>
      </c>
      <c r="BB360" s="55" t="str">
        <f>IF($BA360=1,SUMIFS($Q$6:$Q$1005,$A$6:$A$1005,$A360,$AS$6:$AS$1005,1),"")</f>
        <v/>
      </c>
      <c r="BC360" s="56">
        <f>IF(ISNUMBER($R360),1,0)</f>
        <v>0</v>
      </c>
      <c r="BD360" s="55" t="str">
        <f>IF(ISNUMBER($U360),$U360*$V360,"")</f>
        <v/>
      </c>
      <c r="BE360" s="56" t="str">
        <f>IF($AM360=0,"",IFERROR(MATCH($AF360&amp;"|"&amp;UPPER(TRIM($E360)),Lists!$A$6:$A$205,0),0))</f>
        <v/>
      </c>
      <c r="BF360" s="56" t="str">
        <f>IF($AM360=0,"",IFERROR(MATCH($AF360,Settings!$B$14:$B$18,0),IFERROR(MATCH(Settings!$C$6,Settings!$B$14:$B$18,0),1)))</f>
        <v/>
      </c>
      <c r="BG360" s="58" t="str">
        <f>IF($AM360=0,"",IF(NOT(ISNUMBER($I360)),"No stop; ","")&amp;IF(AND(ISNUMBER($H360),ISNUMBER($I360)),IF(OR(AND($F360&lt;&gt;"Short",$I360&gt;=$H360),AND($F360="Short",$I360&lt;=$H360)),"Stop on wrong side; ",""),"")&amp;IF($F360="","No direction; ","")&amp;IF(AND(ISNUMBER(Settings!$C$22),ISNUMBER($V360)),IF($V360&gt;Settings!$C$22,"Risk over max $; ",""),"")&amp;IF(AND(ISNUMBER(Settings!$C$23),ISNUMBER($V360),ISNUMBER($AP360),IFERROR(N(INDEX(Accounts!$E$7:$E$16,MATCH($C360,Accounts!$B$7:$B$16,0))),0)&gt;0),IF($V360&gt;Settings!$C$23*($AP360-N($Q360)),"Risk over max %; ",""),"")&amp;IF(AND(ISNUMBER(Settings!$C$24),ISNUMBER($N360)),IF($N360&gt;Settings!$C$24,"Leverage over max; ",""),"")&amp;IF(AND(ISNUMBER(Settings!$C$27),ISNUMBER($T360)),IF($T360&lt;Settings!$C$27,"R:R below min; ",""),"")&amp;IF(ISNUMBER(Settings!$C$25),IF(COUNTIFS($A$6:$A360,$A360,$AM$6:$AM360,1)&gt;Settings!$C$25,"Over max trades/day; ",""),"")&amp;IF(ISNUMBER(Settings!$C$26),IF(SUMIFS($Q$5:$Q359,$A$5:$A359,$A360)&lt;=-Settings!$C$26,"Traded after daily max loss; ",""),"")&amp;IF(AND($AG360="",NOT(ISNUMBER($O360))),"Symbol not in Instruments; ","")&amp;IF(AND($AH360="",NOT(ISNUMBER($O360))),"Forex cross: type Gross P&amp;L; ",""))</f>
        <v/>
      </c>
      <c r="BH360" s="56">
        <f>IF(ISNUMBER($Q360),1,0)</f>
        <v>0</v>
      </c>
      <c r="BI360" s="56">
        <f>IF($Y360="",0,1)</f>
        <v>0</v>
      </c>
      <c r="BJ360" s="56">
        <f>IF($AB360="",0,1)</f>
        <v>0</v>
      </c>
      <c r="BK360" s="56">
        <f>IF(AND($BH360=1,$W360&lt;&gt;"OK"),1,0)</f>
        <v>0</v>
      </c>
      <c r="BL360" s="55">
        <f>IF(N($AZ360)=0,0,IFERROR(INDEX($AT$6:$AT$1005,MATCH($AZ360,$AY$6:$AY$1005,0)),0))</f>
        <v>1187.10688</v>
      </c>
      <c r="BM360" s="56">
        <f>IF(ISNUMBER(SEARCH("daily max loss",$BG360)),1,0)</f>
        <v>0</v>
      </c>
    </row>
    <row r="361" ht="18" customHeight="1">
      <c r="A361" s="38" t="n"/>
      <c r="B361" s="39" t="n"/>
      <c r="C361" s="40" t="n"/>
      <c r="D361" s="41" t="n"/>
      <c r="E361" s="41" t="n"/>
      <c r="F361" s="41" t="n"/>
      <c r="G361" s="41" t="n"/>
      <c r="H361" s="42" t="n"/>
      <c r="I361" s="42" t="n"/>
      <c r="J361" s="42" t="n"/>
      <c r="K361" s="42" t="n"/>
      <c r="L361" s="41" t="n"/>
      <c r="M361" s="41" t="n"/>
      <c r="N361" s="41" t="n"/>
      <c r="O361" s="43" t="n"/>
      <c r="P361" s="43" t="n"/>
      <c r="Q361" s="44" t="str">
        <f>IF($AM361=0,"",IF(ISNUMBER($AK361),$AK361-N($AL361),""))</f>
        <v/>
      </c>
      <c r="R361" s="45" t="str">
        <f>IF(OR($Q361="",NOT(ISNUMBER($V361))),"",$AK361/$V361)</f>
        <v/>
      </c>
      <c r="S361" s="46" t="str">
        <f>IF($Q361="","",IF(AND(ISNUMBER($R361),ABS(N($R361))&lt;N(Settings!$C$8)),"Scratch",IF($Q361&gt;0,"Win",IF($Q361&lt;0,"Loss","Scratch"))))</f>
        <v/>
      </c>
      <c r="T361" s="47" t="str">
        <f>IF(OR($AM361=0,NOT(ISNUMBER($H361)),NOT(ISNUMBER($I361)),NOT(ISNUMBER($J361))),"",IF($H361=$I361,"",ROUND(ABS($J361-$H361)/ABS($H361-$I361),6)))</f>
        <v/>
      </c>
      <c r="U361" s="48" t="str">
        <f>IF(OR($S361&lt;&gt;"Win",NOT(ISNUMBER($T361)),NOT(ISNUMBER($R361))),"",MAX(0,$T361-$R361))</f>
        <v/>
      </c>
      <c r="V361" s="49" t="str">
        <f>IF(OR($AM361=0,NOT(ISNUMBER($H361)),NOT(ISNUMBER($I361)),NOT(ISNUMBER($G361))),"",IF(OR($AG361="",$AH361=""),"",IF(ROUND(ABS($H361-$I361)*ABS($G361)*$AG361*$AH361,6)=0,"",ROUND(ABS($H361-$I361)*ABS($G361)*$AG361*$AH361,6))))</f>
        <v/>
      </c>
      <c r="W361" s="50" t="str">
        <f>IF($AM361=0,"",IF($BG361="","OK",LEFT($BG361,LEN($BG361)-2)))</f>
        <v/>
      </c>
      <c r="X361" s="41" t="n"/>
      <c r="Y361" s="40" t="n"/>
      <c r="Z361" s="41" t="n"/>
      <c r="AA361" s="41" t="n"/>
      <c r="AB361" s="40" t="n"/>
      <c r="AC361" s="51" t="n"/>
      <c r="AD361" s="51" t="n"/>
      <c r="AE361" s="40" t="n"/>
      <c r="AF361" s="52" t="str">
        <f>IF($AM361=0,"",IF($D361&lt;&gt;"",$D361,IF(IFERROR(INDEX(Accounts!$C$7:$C$16,MATCH($C361,Accounts!$B$7:$B$16,0))&amp;"","")&lt;&gt;"",INDEX(Accounts!$C$7:$C$16,MATCH($C361,Accounts!$B$7:$B$16,0)),Settings!$C$6)))</f>
        <v/>
      </c>
      <c r="AG361" s="53" t="str">
        <f>IF($AM361=0,"",IF(AND($BE361&gt;0,N(INDEX(Instruments!$D$6:$D$205,MAX(1,$BE361)))&gt;0),INDEX(Instruments!$D$6:$D$205,MAX(1,$BE361)),IF(N(INDEX(Settings!$D$14:$D$18,$BF361))&gt;0,INDEX(Settings!$D$14:$D$18,$BF361),"")))</f>
        <v/>
      </c>
      <c r="AH361" s="54" t="str">
        <f>IF($AM361=0,"",IF($AF361&lt;&gt;"Forex",1,IF(MID(UPPER(SUBSTITUTE(TRIM($E361),"/","")),4,3)=UPPER(TRIM(Settings!$C$7)),1,IF(LEFT(UPPER(SUBSTITUTE(TRIM($E361),"/","")),3)=UPPER(TRIM(Settings!$C$7)),IF(AND(ISNUMBER($K361),N($K361)&lt;&gt;0),1/$K361,""),""))))</f>
        <v/>
      </c>
      <c r="AI361" s="55" t="str">
        <f>IF($AM361=0,"",IF(OR(NOT(ISNUMBER($H361)),NOT(ISNUMBER($K361)),NOT(ISNUMBER($G361)),$AG361="",$AH361=""),"",ROUND(($K361-$H361)*IF($F361="Short",-1,1)*$G361*$AG361*$AH361,6)))</f>
        <v/>
      </c>
      <c r="AJ361" s="55" t="str">
        <f>IF($AM361=0,"",IF(INDEX(Settings!$E$14:$E$18,$BF361)="% of notional",IF(OR($AG361="",NOT(ISNUMBER($H361)),NOT(ISNUMBER($G361))),"",ROUND(ABS($H361*$G361*$AG361*N($AH361))*IF($L361="Limit",N(INDEX(Settings!$G$14:$G$18,$BF361)),N(INDEX(Settings!$H$14:$H$18,$BF361)))+IF(ISNUMBER($K361),ABS($K361*$G361*$AG361*N($AH361))*IF($M361="Target",N(INDEX(Settings!$G$14:$G$18,$BF361)),N(INDEX(Settings!$H$14:$H$18,$BF361))),0),6)),IF(NOT(ISNUMBER($G361)),"",ROUND(ABS($G361)*2*IF(AND($BE361&gt;0,ISNUMBER(INDEX(Instruments!$G$6:$G$205,MAX(1,$BE361)))),INDEX(Instruments!$G$6:$G$205,MAX(1,$BE361)),N(INDEX(Settings!$F$14:$F$18,$BF361))),6))))</f>
        <v/>
      </c>
      <c r="AK361" s="55" t="str">
        <f>IF($AM361=0,"",IF(ISNUMBER($O361),$O361,$AI361))</f>
        <v/>
      </c>
      <c r="AL361" s="55" t="str">
        <f>IF($AM361=0,"",IF(ISNUMBER($P361),$P361,N($AJ361)))</f>
        <v/>
      </c>
      <c r="AM361" s="56">
        <f>IF(AND($A361&lt;&gt;"",$E361&lt;&gt;"",OR(AND(ISNUMBER($G361),ISNUMBER($H361),ISNUMBER($K361)),ISNUMBER($O361))),1,0)</f>
        <v>0</v>
      </c>
      <c r="AN361" s="57" t="str">
        <f>IF($A361="","",$A361-WEEKDAY($A361,3))</f>
        <v/>
      </c>
      <c r="AO361" s="56" t="str">
        <f>IF($A361="","",WEEKDAY($A361,2))</f>
        <v/>
      </c>
      <c r="AP361" s="55" t="str">
        <f>IF(OR($AM361=0,$C361=""),"",IFERROR(N(INDEX(Accounts!$E$7:$E$16,MATCH($C361,Accounts!$B$7:$B$16,0))),0)+SUMIFS($Q$6:$Q361,$C$6:$C361,$C361))</f>
        <v/>
      </c>
      <c r="AQ361" s="55" t="str">
        <f>IF(OR($AM361=0,$C361=""),"",SUMIFS($Q$6:$Q$1005,$C$6:$C$1005,$C361,$A$6:$A$1005,$A361))</f>
        <v/>
      </c>
      <c r="AR361" s="55" t="str">
        <f>IF(OR($AM361=0,$C361=""),"",IFERROR(N(INDEX(Accounts!$E$7:$E$16,MATCH($C361,Accounts!$B$7:$B$16,0))),0)+SUMIFS($Q$6:$Q$1005,$C$6:$C$1005,$C361,$A$6:$A$1005,"&lt;="&amp;$A361))</f>
        <v/>
      </c>
      <c r="AS361" s="56">
        <f>IF(OR($AM361=0,$Q361=""),0,IF(AND($A361&gt;=Lists!$W$6,$A361&lt;=Lists!$W$7,OR(Dashboard!$D$6="All accounts",$C361=Dashboard!$D$6),OR(Dashboard!$D$7="All markets",$AF361=Dashboard!$D$7)),1,0))</f>
        <v>0</v>
      </c>
      <c r="AT361" s="55">
        <f>IF($AS361=1,N(AT360)+$Q361,N(AT360))</f>
        <v>1187.10688</v>
      </c>
      <c r="AU361" s="55">
        <f>MAX(N(AU360),$AT361)</f>
        <v>1187.10688</v>
      </c>
      <c r="AV361" s="55">
        <f>$AT361-$AU361</f>
        <v>0</v>
      </c>
      <c r="AW361" s="56">
        <f>IF($AS361=1,IF($S361="Win",N(AW360)+1,IF($S361="Loss",0,N(AW360))),N(AW360))</f>
        <v>5</v>
      </c>
      <c r="AX361" s="56">
        <f>IF($AS361=1,IF($S361="Loss",N(AX360)+1,IF($S361="Win",0,N(AX360))),N(AX360))</f>
        <v>0</v>
      </c>
      <c r="AY361" s="56" t="str">
        <f>IF($AS361=1,COUNTIF($AS$6:$AS361,1),"")</f>
        <v/>
      </c>
      <c r="AZ361" s="56">
        <f>MIN(355,N(Lists!$W$8))</f>
        <v>28</v>
      </c>
      <c r="BA361" s="56">
        <f>IF($AS361=1,IF(COUNTIFS($A$6:$A361,$A361,$AS$6:$AS361,1)=1,1,0),0)</f>
        <v>0</v>
      </c>
      <c r="BB361" s="55" t="str">
        <f>IF($BA361=1,SUMIFS($Q$6:$Q$1005,$A$6:$A$1005,$A361,$AS$6:$AS$1005,1),"")</f>
        <v/>
      </c>
      <c r="BC361" s="56">
        <f>IF(ISNUMBER($R361),1,0)</f>
        <v>0</v>
      </c>
      <c r="BD361" s="55" t="str">
        <f>IF(ISNUMBER($U361),$U361*$V361,"")</f>
        <v/>
      </c>
      <c r="BE361" s="56" t="str">
        <f>IF($AM361=0,"",IFERROR(MATCH($AF361&amp;"|"&amp;UPPER(TRIM($E361)),Lists!$A$6:$A$205,0),0))</f>
        <v/>
      </c>
      <c r="BF361" s="56" t="str">
        <f>IF($AM361=0,"",IFERROR(MATCH($AF361,Settings!$B$14:$B$18,0),IFERROR(MATCH(Settings!$C$6,Settings!$B$14:$B$18,0),1)))</f>
        <v/>
      </c>
      <c r="BG361" s="58" t="str">
        <f>IF($AM361=0,"",IF(NOT(ISNUMBER($I361)),"No stop; ","")&amp;IF(AND(ISNUMBER($H361),ISNUMBER($I361)),IF(OR(AND($F361&lt;&gt;"Short",$I361&gt;=$H361),AND($F361="Short",$I361&lt;=$H361)),"Stop on wrong side; ",""),"")&amp;IF($F361="","No direction; ","")&amp;IF(AND(ISNUMBER(Settings!$C$22),ISNUMBER($V361)),IF($V361&gt;Settings!$C$22,"Risk over max $; ",""),"")&amp;IF(AND(ISNUMBER(Settings!$C$23),ISNUMBER($V361),ISNUMBER($AP361),IFERROR(N(INDEX(Accounts!$E$7:$E$16,MATCH($C361,Accounts!$B$7:$B$16,0))),0)&gt;0),IF($V361&gt;Settings!$C$23*($AP361-N($Q361)),"Risk over max %; ",""),"")&amp;IF(AND(ISNUMBER(Settings!$C$24),ISNUMBER($N361)),IF($N361&gt;Settings!$C$24,"Leverage over max; ",""),"")&amp;IF(AND(ISNUMBER(Settings!$C$27),ISNUMBER($T361)),IF($T361&lt;Settings!$C$27,"R:R below min; ",""),"")&amp;IF(ISNUMBER(Settings!$C$25),IF(COUNTIFS($A$6:$A361,$A361,$AM$6:$AM361,1)&gt;Settings!$C$25,"Over max trades/day; ",""),"")&amp;IF(ISNUMBER(Settings!$C$26),IF(SUMIFS($Q$5:$Q360,$A$5:$A360,$A361)&lt;=-Settings!$C$26,"Traded after daily max loss; ",""),"")&amp;IF(AND($AG361="",NOT(ISNUMBER($O361))),"Symbol not in Instruments; ","")&amp;IF(AND($AH361="",NOT(ISNUMBER($O361))),"Forex cross: type Gross P&amp;L; ",""))</f>
        <v/>
      </c>
      <c r="BH361" s="56">
        <f>IF(ISNUMBER($Q361),1,0)</f>
        <v>0</v>
      </c>
      <c r="BI361" s="56">
        <f>IF($Y361="",0,1)</f>
        <v>0</v>
      </c>
      <c r="BJ361" s="56">
        <f>IF($AB361="",0,1)</f>
        <v>0</v>
      </c>
      <c r="BK361" s="56">
        <f>IF(AND($BH361=1,$W361&lt;&gt;"OK"),1,0)</f>
        <v>0</v>
      </c>
      <c r="BL361" s="55">
        <f>IF(N($AZ361)=0,0,IFERROR(INDEX($AT$6:$AT$1005,MATCH($AZ361,$AY$6:$AY$1005,0)),0))</f>
        <v>1187.10688</v>
      </c>
      <c r="BM361" s="56">
        <f>IF(ISNUMBER(SEARCH("daily max loss",$BG361)),1,0)</f>
        <v>0</v>
      </c>
    </row>
    <row r="362" ht="18" customHeight="1">
      <c r="A362" s="38" t="n"/>
      <c r="B362" s="39" t="n"/>
      <c r="C362" s="40" t="n"/>
      <c r="D362" s="41" t="n"/>
      <c r="E362" s="41" t="n"/>
      <c r="F362" s="41" t="n"/>
      <c r="G362" s="41" t="n"/>
      <c r="H362" s="42" t="n"/>
      <c r="I362" s="42" t="n"/>
      <c r="J362" s="42" t="n"/>
      <c r="K362" s="42" t="n"/>
      <c r="L362" s="41" t="n"/>
      <c r="M362" s="41" t="n"/>
      <c r="N362" s="41" t="n"/>
      <c r="O362" s="43" t="n"/>
      <c r="P362" s="43" t="n"/>
      <c r="Q362" s="44" t="str">
        <f>IF($AM362=0,"",IF(ISNUMBER($AK362),$AK362-N($AL362),""))</f>
        <v/>
      </c>
      <c r="R362" s="45" t="str">
        <f>IF(OR($Q362="",NOT(ISNUMBER($V362))),"",$AK362/$V362)</f>
        <v/>
      </c>
      <c r="S362" s="46" t="str">
        <f>IF($Q362="","",IF(AND(ISNUMBER($R362),ABS(N($R362))&lt;N(Settings!$C$8)),"Scratch",IF($Q362&gt;0,"Win",IF($Q362&lt;0,"Loss","Scratch"))))</f>
        <v/>
      </c>
      <c r="T362" s="47" t="str">
        <f>IF(OR($AM362=0,NOT(ISNUMBER($H362)),NOT(ISNUMBER($I362)),NOT(ISNUMBER($J362))),"",IF($H362=$I362,"",ROUND(ABS($J362-$H362)/ABS($H362-$I362),6)))</f>
        <v/>
      </c>
      <c r="U362" s="48" t="str">
        <f>IF(OR($S362&lt;&gt;"Win",NOT(ISNUMBER($T362)),NOT(ISNUMBER($R362))),"",MAX(0,$T362-$R362))</f>
        <v/>
      </c>
      <c r="V362" s="49" t="str">
        <f>IF(OR($AM362=0,NOT(ISNUMBER($H362)),NOT(ISNUMBER($I362)),NOT(ISNUMBER($G362))),"",IF(OR($AG362="",$AH362=""),"",IF(ROUND(ABS($H362-$I362)*ABS($G362)*$AG362*$AH362,6)=0,"",ROUND(ABS($H362-$I362)*ABS($G362)*$AG362*$AH362,6))))</f>
        <v/>
      </c>
      <c r="W362" s="50" t="str">
        <f>IF($AM362=0,"",IF($BG362="","OK",LEFT($BG362,LEN($BG362)-2)))</f>
        <v/>
      </c>
      <c r="X362" s="41" t="n"/>
      <c r="Y362" s="40" t="n"/>
      <c r="Z362" s="41" t="n"/>
      <c r="AA362" s="41" t="n"/>
      <c r="AB362" s="40" t="n"/>
      <c r="AC362" s="51" t="n"/>
      <c r="AD362" s="51" t="n"/>
      <c r="AE362" s="40" t="n"/>
      <c r="AF362" s="52" t="str">
        <f>IF($AM362=0,"",IF($D362&lt;&gt;"",$D362,IF(IFERROR(INDEX(Accounts!$C$7:$C$16,MATCH($C362,Accounts!$B$7:$B$16,0))&amp;"","")&lt;&gt;"",INDEX(Accounts!$C$7:$C$16,MATCH($C362,Accounts!$B$7:$B$16,0)),Settings!$C$6)))</f>
        <v/>
      </c>
      <c r="AG362" s="53" t="str">
        <f>IF($AM362=0,"",IF(AND($BE362&gt;0,N(INDEX(Instruments!$D$6:$D$205,MAX(1,$BE362)))&gt;0),INDEX(Instruments!$D$6:$D$205,MAX(1,$BE362)),IF(N(INDEX(Settings!$D$14:$D$18,$BF362))&gt;0,INDEX(Settings!$D$14:$D$18,$BF362),"")))</f>
        <v/>
      </c>
      <c r="AH362" s="54" t="str">
        <f>IF($AM362=0,"",IF($AF362&lt;&gt;"Forex",1,IF(MID(UPPER(SUBSTITUTE(TRIM($E362),"/","")),4,3)=UPPER(TRIM(Settings!$C$7)),1,IF(LEFT(UPPER(SUBSTITUTE(TRIM($E362),"/","")),3)=UPPER(TRIM(Settings!$C$7)),IF(AND(ISNUMBER($K362),N($K362)&lt;&gt;0),1/$K362,""),""))))</f>
        <v/>
      </c>
      <c r="AI362" s="55" t="str">
        <f>IF($AM362=0,"",IF(OR(NOT(ISNUMBER($H362)),NOT(ISNUMBER($K362)),NOT(ISNUMBER($G362)),$AG362="",$AH362=""),"",ROUND(($K362-$H362)*IF($F362="Short",-1,1)*$G362*$AG362*$AH362,6)))</f>
        <v/>
      </c>
      <c r="AJ362" s="55" t="str">
        <f>IF($AM362=0,"",IF(INDEX(Settings!$E$14:$E$18,$BF362)="% of notional",IF(OR($AG362="",NOT(ISNUMBER($H362)),NOT(ISNUMBER($G362))),"",ROUND(ABS($H362*$G362*$AG362*N($AH362))*IF($L362="Limit",N(INDEX(Settings!$G$14:$G$18,$BF362)),N(INDEX(Settings!$H$14:$H$18,$BF362)))+IF(ISNUMBER($K362),ABS($K362*$G362*$AG362*N($AH362))*IF($M362="Target",N(INDEX(Settings!$G$14:$G$18,$BF362)),N(INDEX(Settings!$H$14:$H$18,$BF362))),0),6)),IF(NOT(ISNUMBER($G362)),"",ROUND(ABS($G362)*2*IF(AND($BE362&gt;0,ISNUMBER(INDEX(Instruments!$G$6:$G$205,MAX(1,$BE362)))),INDEX(Instruments!$G$6:$G$205,MAX(1,$BE362)),N(INDEX(Settings!$F$14:$F$18,$BF362))),6))))</f>
        <v/>
      </c>
      <c r="AK362" s="55" t="str">
        <f>IF($AM362=0,"",IF(ISNUMBER($O362),$O362,$AI362))</f>
        <v/>
      </c>
      <c r="AL362" s="55" t="str">
        <f>IF($AM362=0,"",IF(ISNUMBER($P362),$P362,N($AJ362)))</f>
        <v/>
      </c>
      <c r="AM362" s="56">
        <f>IF(AND($A362&lt;&gt;"",$E362&lt;&gt;"",OR(AND(ISNUMBER($G362),ISNUMBER($H362),ISNUMBER($K362)),ISNUMBER($O362))),1,0)</f>
        <v>0</v>
      </c>
      <c r="AN362" s="57" t="str">
        <f>IF($A362="","",$A362-WEEKDAY($A362,3))</f>
        <v/>
      </c>
      <c r="AO362" s="56" t="str">
        <f>IF($A362="","",WEEKDAY($A362,2))</f>
        <v/>
      </c>
      <c r="AP362" s="55" t="str">
        <f>IF(OR($AM362=0,$C362=""),"",IFERROR(N(INDEX(Accounts!$E$7:$E$16,MATCH($C362,Accounts!$B$7:$B$16,0))),0)+SUMIFS($Q$6:$Q362,$C$6:$C362,$C362))</f>
        <v/>
      </c>
      <c r="AQ362" s="55" t="str">
        <f>IF(OR($AM362=0,$C362=""),"",SUMIFS($Q$6:$Q$1005,$C$6:$C$1005,$C362,$A$6:$A$1005,$A362))</f>
        <v/>
      </c>
      <c r="AR362" s="55" t="str">
        <f>IF(OR($AM362=0,$C362=""),"",IFERROR(N(INDEX(Accounts!$E$7:$E$16,MATCH($C362,Accounts!$B$7:$B$16,0))),0)+SUMIFS($Q$6:$Q$1005,$C$6:$C$1005,$C362,$A$6:$A$1005,"&lt;="&amp;$A362))</f>
        <v/>
      </c>
      <c r="AS362" s="56">
        <f>IF(OR($AM362=0,$Q362=""),0,IF(AND($A362&gt;=Lists!$W$6,$A362&lt;=Lists!$W$7,OR(Dashboard!$D$6="All accounts",$C362=Dashboard!$D$6),OR(Dashboard!$D$7="All markets",$AF362=Dashboard!$D$7)),1,0))</f>
        <v>0</v>
      </c>
      <c r="AT362" s="55">
        <f>IF($AS362=1,N(AT361)+$Q362,N(AT361))</f>
        <v>1187.10688</v>
      </c>
      <c r="AU362" s="55">
        <f>MAX(N(AU361),$AT362)</f>
        <v>1187.10688</v>
      </c>
      <c r="AV362" s="55">
        <f>$AT362-$AU362</f>
        <v>0</v>
      </c>
      <c r="AW362" s="56">
        <f>IF($AS362=1,IF($S362="Win",N(AW361)+1,IF($S362="Loss",0,N(AW361))),N(AW361))</f>
        <v>5</v>
      </c>
      <c r="AX362" s="56">
        <f>IF($AS362=1,IF($S362="Loss",N(AX361)+1,IF($S362="Win",0,N(AX361))),N(AX361))</f>
        <v>0</v>
      </c>
      <c r="AY362" s="56" t="str">
        <f>IF($AS362=1,COUNTIF($AS$6:$AS362,1),"")</f>
        <v/>
      </c>
      <c r="AZ362" s="56">
        <f>MIN(356,N(Lists!$W$8))</f>
        <v>28</v>
      </c>
      <c r="BA362" s="56">
        <f>IF($AS362=1,IF(COUNTIFS($A$6:$A362,$A362,$AS$6:$AS362,1)=1,1,0),0)</f>
        <v>0</v>
      </c>
      <c r="BB362" s="55" t="str">
        <f>IF($BA362=1,SUMIFS($Q$6:$Q$1005,$A$6:$A$1005,$A362,$AS$6:$AS$1005,1),"")</f>
        <v/>
      </c>
      <c r="BC362" s="56">
        <f>IF(ISNUMBER($R362),1,0)</f>
        <v>0</v>
      </c>
      <c r="BD362" s="55" t="str">
        <f>IF(ISNUMBER($U362),$U362*$V362,"")</f>
        <v/>
      </c>
      <c r="BE362" s="56" t="str">
        <f>IF($AM362=0,"",IFERROR(MATCH($AF362&amp;"|"&amp;UPPER(TRIM($E362)),Lists!$A$6:$A$205,0),0))</f>
        <v/>
      </c>
      <c r="BF362" s="56" t="str">
        <f>IF($AM362=0,"",IFERROR(MATCH($AF362,Settings!$B$14:$B$18,0),IFERROR(MATCH(Settings!$C$6,Settings!$B$14:$B$18,0),1)))</f>
        <v/>
      </c>
      <c r="BG362" s="58" t="str">
        <f>IF($AM362=0,"",IF(NOT(ISNUMBER($I362)),"No stop; ","")&amp;IF(AND(ISNUMBER($H362),ISNUMBER($I362)),IF(OR(AND($F362&lt;&gt;"Short",$I362&gt;=$H362),AND($F362="Short",$I362&lt;=$H362)),"Stop on wrong side; ",""),"")&amp;IF($F362="","No direction; ","")&amp;IF(AND(ISNUMBER(Settings!$C$22),ISNUMBER($V362)),IF($V362&gt;Settings!$C$22,"Risk over max $; ",""),"")&amp;IF(AND(ISNUMBER(Settings!$C$23),ISNUMBER($V362),ISNUMBER($AP362),IFERROR(N(INDEX(Accounts!$E$7:$E$16,MATCH($C362,Accounts!$B$7:$B$16,0))),0)&gt;0),IF($V362&gt;Settings!$C$23*($AP362-N($Q362)),"Risk over max %; ",""),"")&amp;IF(AND(ISNUMBER(Settings!$C$24),ISNUMBER($N362)),IF($N362&gt;Settings!$C$24,"Leverage over max; ",""),"")&amp;IF(AND(ISNUMBER(Settings!$C$27),ISNUMBER($T362)),IF($T362&lt;Settings!$C$27,"R:R below min; ",""),"")&amp;IF(ISNUMBER(Settings!$C$25),IF(COUNTIFS($A$6:$A362,$A362,$AM$6:$AM362,1)&gt;Settings!$C$25,"Over max trades/day; ",""),"")&amp;IF(ISNUMBER(Settings!$C$26),IF(SUMIFS($Q$5:$Q361,$A$5:$A361,$A362)&lt;=-Settings!$C$26,"Traded after daily max loss; ",""),"")&amp;IF(AND($AG362="",NOT(ISNUMBER($O362))),"Symbol not in Instruments; ","")&amp;IF(AND($AH362="",NOT(ISNUMBER($O362))),"Forex cross: type Gross P&amp;L; ",""))</f>
        <v/>
      </c>
      <c r="BH362" s="56">
        <f>IF(ISNUMBER($Q362),1,0)</f>
        <v>0</v>
      </c>
      <c r="BI362" s="56">
        <f>IF($Y362="",0,1)</f>
        <v>0</v>
      </c>
      <c r="BJ362" s="56">
        <f>IF($AB362="",0,1)</f>
        <v>0</v>
      </c>
      <c r="BK362" s="56">
        <f>IF(AND($BH362=1,$W362&lt;&gt;"OK"),1,0)</f>
        <v>0</v>
      </c>
      <c r="BL362" s="55">
        <f>IF(N($AZ362)=0,0,IFERROR(INDEX($AT$6:$AT$1005,MATCH($AZ362,$AY$6:$AY$1005,0)),0))</f>
        <v>1187.10688</v>
      </c>
      <c r="BM362" s="56">
        <f>IF(ISNUMBER(SEARCH("daily max loss",$BG362)),1,0)</f>
        <v>0</v>
      </c>
    </row>
    <row r="363" ht="18" customHeight="1">
      <c r="A363" s="38" t="n"/>
      <c r="B363" s="39" t="n"/>
      <c r="C363" s="40" t="n"/>
      <c r="D363" s="41" t="n"/>
      <c r="E363" s="41" t="n"/>
      <c r="F363" s="41" t="n"/>
      <c r="G363" s="41" t="n"/>
      <c r="H363" s="42" t="n"/>
      <c r="I363" s="42" t="n"/>
      <c r="J363" s="42" t="n"/>
      <c r="K363" s="42" t="n"/>
      <c r="L363" s="41" t="n"/>
      <c r="M363" s="41" t="n"/>
      <c r="N363" s="41" t="n"/>
      <c r="O363" s="43" t="n"/>
      <c r="P363" s="43" t="n"/>
      <c r="Q363" s="44" t="str">
        <f>IF($AM363=0,"",IF(ISNUMBER($AK363),$AK363-N($AL363),""))</f>
        <v/>
      </c>
      <c r="R363" s="45" t="str">
        <f>IF(OR($Q363="",NOT(ISNUMBER($V363))),"",$AK363/$V363)</f>
        <v/>
      </c>
      <c r="S363" s="46" t="str">
        <f>IF($Q363="","",IF(AND(ISNUMBER($R363),ABS(N($R363))&lt;N(Settings!$C$8)),"Scratch",IF($Q363&gt;0,"Win",IF($Q363&lt;0,"Loss","Scratch"))))</f>
        <v/>
      </c>
      <c r="T363" s="47" t="str">
        <f>IF(OR($AM363=0,NOT(ISNUMBER($H363)),NOT(ISNUMBER($I363)),NOT(ISNUMBER($J363))),"",IF($H363=$I363,"",ROUND(ABS($J363-$H363)/ABS($H363-$I363),6)))</f>
        <v/>
      </c>
      <c r="U363" s="48" t="str">
        <f>IF(OR($S363&lt;&gt;"Win",NOT(ISNUMBER($T363)),NOT(ISNUMBER($R363))),"",MAX(0,$T363-$R363))</f>
        <v/>
      </c>
      <c r="V363" s="49" t="str">
        <f>IF(OR($AM363=0,NOT(ISNUMBER($H363)),NOT(ISNUMBER($I363)),NOT(ISNUMBER($G363))),"",IF(OR($AG363="",$AH363=""),"",IF(ROUND(ABS($H363-$I363)*ABS($G363)*$AG363*$AH363,6)=0,"",ROUND(ABS($H363-$I363)*ABS($G363)*$AG363*$AH363,6))))</f>
        <v/>
      </c>
      <c r="W363" s="50" t="str">
        <f>IF($AM363=0,"",IF($BG363="","OK",LEFT($BG363,LEN($BG363)-2)))</f>
        <v/>
      </c>
      <c r="X363" s="41" t="n"/>
      <c r="Y363" s="40" t="n"/>
      <c r="Z363" s="41" t="n"/>
      <c r="AA363" s="41" t="n"/>
      <c r="AB363" s="40" t="n"/>
      <c r="AC363" s="51" t="n"/>
      <c r="AD363" s="51" t="n"/>
      <c r="AE363" s="40" t="n"/>
      <c r="AF363" s="52" t="str">
        <f>IF($AM363=0,"",IF($D363&lt;&gt;"",$D363,IF(IFERROR(INDEX(Accounts!$C$7:$C$16,MATCH($C363,Accounts!$B$7:$B$16,0))&amp;"","")&lt;&gt;"",INDEX(Accounts!$C$7:$C$16,MATCH($C363,Accounts!$B$7:$B$16,0)),Settings!$C$6)))</f>
        <v/>
      </c>
      <c r="AG363" s="53" t="str">
        <f>IF($AM363=0,"",IF(AND($BE363&gt;0,N(INDEX(Instruments!$D$6:$D$205,MAX(1,$BE363)))&gt;0),INDEX(Instruments!$D$6:$D$205,MAX(1,$BE363)),IF(N(INDEX(Settings!$D$14:$D$18,$BF363))&gt;0,INDEX(Settings!$D$14:$D$18,$BF363),"")))</f>
        <v/>
      </c>
      <c r="AH363" s="54" t="str">
        <f>IF($AM363=0,"",IF($AF363&lt;&gt;"Forex",1,IF(MID(UPPER(SUBSTITUTE(TRIM($E363),"/","")),4,3)=UPPER(TRIM(Settings!$C$7)),1,IF(LEFT(UPPER(SUBSTITUTE(TRIM($E363),"/","")),3)=UPPER(TRIM(Settings!$C$7)),IF(AND(ISNUMBER($K363),N($K363)&lt;&gt;0),1/$K363,""),""))))</f>
        <v/>
      </c>
      <c r="AI363" s="55" t="str">
        <f>IF($AM363=0,"",IF(OR(NOT(ISNUMBER($H363)),NOT(ISNUMBER($K363)),NOT(ISNUMBER($G363)),$AG363="",$AH363=""),"",ROUND(($K363-$H363)*IF($F363="Short",-1,1)*$G363*$AG363*$AH363,6)))</f>
        <v/>
      </c>
      <c r="AJ363" s="55" t="str">
        <f>IF($AM363=0,"",IF(INDEX(Settings!$E$14:$E$18,$BF363)="% of notional",IF(OR($AG363="",NOT(ISNUMBER($H363)),NOT(ISNUMBER($G363))),"",ROUND(ABS($H363*$G363*$AG363*N($AH363))*IF($L363="Limit",N(INDEX(Settings!$G$14:$G$18,$BF363)),N(INDEX(Settings!$H$14:$H$18,$BF363)))+IF(ISNUMBER($K363),ABS($K363*$G363*$AG363*N($AH363))*IF($M363="Target",N(INDEX(Settings!$G$14:$G$18,$BF363)),N(INDEX(Settings!$H$14:$H$18,$BF363))),0),6)),IF(NOT(ISNUMBER($G363)),"",ROUND(ABS($G363)*2*IF(AND($BE363&gt;0,ISNUMBER(INDEX(Instruments!$G$6:$G$205,MAX(1,$BE363)))),INDEX(Instruments!$G$6:$G$205,MAX(1,$BE363)),N(INDEX(Settings!$F$14:$F$18,$BF363))),6))))</f>
        <v/>
      </c>
      <c r="AK363" s="55" t="str">
        <f>IF($AM363=0,"",IF(ISNUMBER($O363),$O363,$AI363))</f>
        <v/>
      </c>
      <c r="AL363" s="55" t="str">
        <f>IF($AM363=0,"",IF(ISNUMBER($P363),$P363,N($AJ363)))</f>
        <v/>
      </c>
      <c r="AM363" s="56">
        <f>IF(AND($A363&lt;&gt;"",$E363&lt;&gt;"",OR(AND(ISNUMBER($G363),ISNUMBER($H363),ISNUMBER($K363)),ISNUMBER($O363))),1,0)</f>
        <v>0</v>
      </c>
      <c r="AN363" s="57" t="str">
        <f>IF($A363="","",$A363-WEEKDAY($A363,3))</f>
        <v/>
      </c>
      <c r="AO363" s="56" t="str">
        <f>IF($A363="","",WEEKDAY($A363,2))</f>
        <v/>
      </c>
      <c r="AP363" s="55" t="str">
        <f>IF(OR($AM363=0,$C363=""),"",IFERROR(N(INDEX(Accounts!$E$7:$E$16,MATCH($C363,Accounts!$B$7:$B$16,0))),0)+SUMIFS($Q$6:$Q363,$C$6:$C363,$C363))</f>
        <v/>
      </c>
      <c r="AQ363" s="55" t="str">
        <f>IF(OR($AM363=0,$C363=""),"",SUMIFS($Q$6:$Q$1005,$C$6:$C$1005,$C363,$A$6:$A$1005,$A363))</f>
        <v/>
      </c>
      <c r="AR363" s="55" t="str">
        <f>IF(OR($AM363=0,$C363=""),"",IFERROR(N(INDEX(Accounts!$E$7:$E$16,MATCH($C363,Accounts!$B$7:$B$16,0))),0)+SUMIFS($Q$6:$Q$1005,$C$6:$C$1005,$C363,$A$6:$A$1005,"&lt;="&amp;$A363))</f>
        <v/>
      </c>
      <c r="AS363" s="56">
        <f>IF(OR($AM363=0,$Q363=""),0,IF(AND($A363&gt;=Lists!$W$6,$A363&lt;=Lists!$W$7,OR(Dashboard!$D$6="All accounts",$C363=Dashboard!$D$6),OR(Dashboard!$D$7="All markets",$AF363=Dashboard!$D$7)),1,0))</f>
        <v>0</v>
      </c>
      <c r="AT363" s="55">
        <f>IF($AS363=1,N(AT362)+$Q363,N(AT362))</f>
        <v>1187.10688</v>
      </c>
      <c r="AU363" s="55">
        <f>MAX(N(AU362),$AT363)</f>
        <v>1187.10688</v>
      </c>
      <c r="AV363" s="55">
        <f>$AT363-$AU363</f>
        <v>0</v>
      </c>
      <c r="AW363" s="56">
        <f>IF($AS363=1,IF($S363="Win",N(AW362)+1,IF($S363="Loss",0,N(AW362))),N(AW362))</f>
        <v>5</v>
      </c>
      <c r="AX363" s="56">
        <f>IF($AS363=1,IF($S363="Loss",N(AX362)+1,IF($S363="Win",0,N(AX362))),N(AX362))</f>
        <v>0</v>
      </c>
      <c r="AY363" s="56" t="str">
        <f>IF($AS363=1,COUNTIF($AS$6:$AS363,1),"")</f>
        <v/>
      </c>
      <c r="AZ363" s="56">
        <f>MIN(357,N(Lists!$W$8))</f>
        <v>28</v>
      </c>
      <c r="BA363" s="56">
        <f>IF($AS363=1,IF(COUNTIFS($A$6:$A363,$A363,$AS$6:$AS363,1)=1,1,0),0)</f>
        <v>0</v>
      </c>
      <c r="BB363" s="55" t="str">
        <f>IF($BA363=1,SUMIFS($Q$6:$Q$1005,$A$6:$A$1005,$A363,$AS$6:$AS$1005,1),"")</f>
        <v/>
      </c>
      <c r="BC363" s="56">
        <f>IF(ISNUMBER($R363),1,0)</f>
        <v>0</v>
      </c>
      <c r="BD363" s="55" t="str">
        <f>IF(ISNUMBER($U363),$U363*$V363,"")</f>
        <v/>
      </c>
      <c r="BE363" s="56" t="str">
        <f>IF($AM363=0,"",IFERROR(MATCH($AF363&amp;"|"&amp;UPPER(TRIM($E363)),Lists!$A$6:$A$205,0),0))</f>
        <v/>
      </c>
      <c r="BF363" s="56" t="str">
        <f>IF($AM363=0,"",IFERROR(MATCH($AF363,Settings!$B$14:$B$18,0),IFERROR(MATCH(Settings!$C$6,Settings!$B$14:$B$18,0),1)))</f>
        <v/>
      </c>
      <c r="BG363" s="58" t="str">
        <f>IF($AM363=0,"",IF(NOT(ISNUMBER($I363)),"No stop; ","")&amp;IF(AND(ISNUMBER($H363),ISNUMBER($I363)),IF(OR(AND($F363&lt;&gt;"Short",$I363&gt;=$H363),AND($F363="Short",$I363&lt;=$H363)),"Stop on wrong side; ",""),"")&amp;IF($F363="","No direction; ","")&amp;IF(AND(ISNUMBER(Settings!$C$22),ISNUMBER($V363)),IF($V363&gt;Settings!$C$22,"Risk over max $; ",""),"")&amp;IF(AND(ISNUMBER(Settings!$C$23),ISNUMBER($V363),ISNUMBER($AP363),IFERROR(N(INDEX(Accounts!$E$7:$E$16,MATCH($C363,Accounts!$B$7:$B$16,0))),0)&gt;0),IF($V363&gt;Settings!$C$23*($AP363-N($Q363)),"Risk over max %; ",""),"")&amp;IF(AND(ISNUMBER(Settings!$C$24),ISNUMBER($N363)),IF($N363&gt;Settings!$C$24,"Leverage over max; ",""),"")&amp;IF(AND(ISNUMBER(Settings!$C$27),ISNUMBER($T363)),IF($T363&lt;Settings!$C$27,"R:R below min; ",""),"")&amp;IF(ISNUMBER(Settings!$C$25),IF(COUNTIFS($A$6:$A363,$A363,$AM$6:$AM363,1)&gt;Settings!$C$25,"Over max trades/day; ",""),"")&amp;IF(ISNUMBER(Settings!$C$26),IF(SUMIFS($Q$5:$Q362,$A$5:$A362,$A363)&lt;=-Settings!$C$26,"Traded after daily max loss; ",""),"")&amp;IF(AND($AG363="",NOT(ISNUMBER($O363))),"Symbol not in Instruments; ","")&amp;IF(AND($AH363="",NOT(ISNUMBER($O363))),"Forex cross: type Gross P&amp;L; ",""))</f>
        <v/>
      </c>
      <c r="BH363" s="56">
        <f>IF(ISNUMBER($Q363),1,0)</f>
        <v>0</v>
      </c>
      <c r="BI363" s="56">
        <f>IF($Y363="",0,1)</f>
        <v>0</v>
      </c>
      <c r="BJ363" s="56">
        <f>IF($AB363="",0,1)</f>
        <v>0</v>
      </c>
      <c r="BK363" s="56">
        <f>IF(AND($BH363=1,$W363&lt;&gt;"OK"),1,0)</f>
        <v>0</v>
      </c>
      <c r="BL363" s="55">
        <f>IF(N($AZ363)=0,0,IFERROR(INDEX($AT$6:$AT$1005,MATCH($AZ363,$AY$6:$AY$1005,0)),0))</f>
        <v>1187.10688</v>
      </c>
      <c r="BM363" s="56">
        <f>IF(ISNUMBER(SEARCH("daily max loss",$BG363)),1,0)</f>
        <v>0</v>
      </c>
    </row>
    <row r="364" ht="18" customHeight="1">
      <c r="A364" s="38" t="n"/>
      <c r="B364" s="39" t="n"/>
      <c r="C364" s="40" t="n"/>
      <c r="D364" s="41" t="n"/>
      <c r="E364" s="41" t="n"/>
      <c r="F364" s="41" t="n"/>
      <c r="G364" s="41" t="n"/>
      <c r="H364" s="42" t="n"/>
      <c r="I364" s="42" t="n"/>
      <c r="J364" s="42" t="n"/>
      <c r="K364" s="42" t="n"/>
      <c r="L364" s="41" t="n"/>
      <c r="M364" s="41" t="n"/>
      <c r="N364" s="41" t="n"/>
      <c r="O364" s="43" t="n"/>
      <c r="P364" s="43" t="n"/>
      <c r="Q364" s="44" t="str">
        <f>IF($AM364=0,"",IF(ISNUMBER($AK364),$AK364-N($AL364),""))</f>
        <v/>
      </c>
      <c r="R364" s="45" t="str">
        <f>IF(OR($Q364="",NOT(ISNUMBER($V364))),"",$AK364/$V364)</f>
        <v/>
      </c>
      <c r="S364" s="46" t="str">
        <f>IF($Q364="","",IF(AND(ISNUMBER($R364),ABS(N($R364))&lt;N(Settings!$C$8)),"Scratch",IF($Q364&gt;0,"Win",IF($Q364&lt;0,"Loss","Scratch"))))</f>
        <v/>
      </c>
      <c r="T364" s="47" t="str">
        <f>IF(OR($AM364=0,NOT(ISNUMBER($H364)),NOT(ISNUMBER($I364)),NOT(ISNUMBER($J364))),"",IF($H364=$I364,"",ROUND(ABS($J364-$H364)/ABS($H364-$I364),6)))</f>
        <v/>
      </c>
      <c r="U364" s="48" t="str">
        <f>IF(OR($S364&lt;&gt;"Win",NOT(ISNUMBER($T364)),NOT(ISNUMBER($R364))),"",MAX(0,$T364-$R364))</f>
        <v/>
      </c>
      <c r="V364" s="49" t="str">
        <f>IF(OR($AM364=0,NOT(ISNUMBER($H364)),NOT(ISNUMBER($I364)),NOT(ISNUMBER($G364))),"",IF(OR($AG364="",$AH364=""),"",IF(ROUND(ABS($H364-$I364)*ABS($G364)*$AG364*$AH364,6)=0,"",ROUND(ABS($H364-$I364)*ABS($G364)*$AG364*$AH364,6))))</f>
        <v/>
      </c>
      <c r="W364" s="50" t="str">
        <f>IF($AM364=0,"",IF($BG364="","OK",LEFT($BG364,LEN($BG364)-2)))</f>
        <v/>
      </c>
      <c r="X364" s="41" t="n"/>
      <c r="Y364" s="40" t="n"/>
      <c r="Z364" s="41" t="n"/>
      <c r="AA364" s="41" t="n"/>
      <c r="AB364" s="40" t="n"/>
      <c r="AC364" s="51" t="n"/>
      <c r="AD364" s="51" t="n"/>
      <c r="AE364" s="40" t="n"/>
      <c r="AF364" s="52" t="str">
        <f>IF($AM364=0,"",IF($D364&lt;&gt;"",$D364,IF(IFERROR(INDEX(Accounts!$C$7:$C$16,MATCH($C364,Accounts!$B$7:$B$16,0))&amp;"","")&lt;&gt;"",INDEX(Accounts!$C$7:$C$16,MATCH($C364,Accounts!$B$7:$B$16,0)),Settings!$C$6)))</f>
        <v/>
      </c>
      <c r="AG364" s="53" t="str">
        <f>IF($AM364=0,"",IF(AND($BE364&gt;0,N(INDEX(Instruments!$D$6:$D$205,MAX(1,$BE364)))&gt;0),INDEX(Instruments!$D$6:$D$205,MAX(1,$BE364)),IF(N(INDEX(Settings!$D$14:$D$18,$BF364))&gt;0,INDEX(Settings!$D$14:$D$18,$BF364),"")))</f>
        <v/>
      </c>
      <c r="AH364" s="54" t="str">
        <f>IF($AM364=0,"",IF($AF364&lt;&gt;"Forex",1,IF(MID(UPPER(SUBSTITUTE(TRIM($E364),"/","")),4,3)=UPPER(TRIM(Settings!$C$7)),1,IF(LEFT(UPPER(SUBSTITUTE(TRIM($E364),"/","")),3)=UPPER(TRIM(Settings!$C$7)),IF(AND(ISNUMBER($K364),N($K364)&lt;&gt;0),1/$K364,""),""))))</f>
        <v/>
      </c>
      <c r="AI364" s="55" t="str">
        <f>IF($AM364=0,"",IF(OR(NOT(ISNUMBER($H364)),NOT(ISNUMBER($K364)),NOT(ISNUMBER($G364)),$AG364="",$AH364=""),"",ROUND(($K364-$H364)*IF($F364="Short",-1,1)*$G364*$AG364*$AH364,6)))</f>
        <v/>
      </c>
      <c r="AJ364" s="55" t="str">
        <f>IF($AM364=0,"",IF(INDEX(Settings!$E$14:$E$18,$BF364)="% of notional",IF(OR($AG364="",NOT(ISNUMBER($H364)),NOT(ISNUMBER($G364))),"",ROUND(ABS($H364*$G364*$AG364*N($AH364))*IF($L364="Limit",N(INDEX(Settings!$G$14:$G$18,$BF364)),N(INDEX(Settings!$H$14:$H$18,$BF364)))+IF(ISNUMBER($K364),ABS($K364*$G364*$AG364*N($AH364))*IF($M364="Target",N(INDEX(Settings!$G$14:$G$18,$BF364)),N(INDEX(Settings!$H$14:$H$18,$BF364))),0),6)),IF(NOT(ISNUMBER($G364)),"",ROUND(ABS($G364)*2*IF(AND($BE364&gt;0,ISNUMBER(INDEX(Instruments!$G$6:$G$205,MAX(1,$BE364)))),INDEX(Instruments!$G$6:$G$205,MAX(1,$BE364)),N(INDEX(Settings!$F$14:$F$18,$BF364))),6))))</f>
        <v/>
      </c>
      <c r="AK364" s="55" t="str">
        <f>IF($AM364=0,"",IF(ISNUMBER($O364),$O364,$AI364))</f>
        <v/>
      </c>
      <c r="AL364" s="55" t="str">
        <f>IF($AM364=0,"",IF(ISNUMBER($P364),$P364,N($AJ364)))</f>
        <v/>
      </c>
      <c r="AM364" s="56">
        <f>IF(AND($A364&lt;&gt;"",$E364&lt;&gt;"",OR(AND(ISNUMBER($G364),ISNUMBER($H364),ISNUMBER($K364)),ISNUMBER($O364))),1,0)</f>
        <v>0</v>
      </c>
      <c r="AN364" s="57" t="str">
        <f>IF($A364="","",$A364-WEEKDAY($A364,3))</f>
        <v/>
      </c>
      <c r="AO364" s="56" t="str">
        <f>IF($A364="","",WEEKDAY($A364,2))</f>
        <v/>
      </c>
      <c r="AP364" s="55" t="str">
        <f>IF(OR($AM364=0,$C364=""),"",IFERROR(N(INDEX(Accounts!$E$7:$E$16,MATCH($C364,Accounts!$B$7:$B$16,0))),0)+SUMIFS($Q$6:$Q364,$C$6:$C364,$C364))</f>
        <v/>
      </c>
      <c r="AQ364" s="55" t="str">
        <f>IF(OR($AM364=0,$C364=""),"",SUMIFS($Q$6:$Q$1005,$C$6:$C$1005,$C364,$A$6:$A$1005,$A364))</f>
        <v/>
      </c>
      <c r="AR364" s="55" t="str">
        <f>IF(OR($AM364=0,$C364=""),"",IFERROR(N(INDEX(Accounts!$E$7:$E$16,MATCH($C364,Accounts!$B$7:$B$16,0))),0)+SUMIFS($Q$6:$Q$1005,$C$6:$C$1005,$C364,$A$6:$A$1005,"&lt;="&amp;$A364))</f>
        <v/>
      </c>
      <c r="AS364" s="56">
        <f>IF(OR($AM364=0,$Q364=""),0,IF(AND($A364&gt;=Lists!$W$6,$A364&lt;=Lists!$W$7,OR(Dashboard!$D$6="All accounts",$C364=Dashboard!$D$6),OR(Dashboard!$D$7="All markets",$AF364=Dashboard!$D$7)),1,0))</f>
        <v>0</v>
      </c>
      <c r="AT364" s="55">
        <f>IF($AS364=1,N(AT363)+$Q364,N(AT363))</f>
        <v>1187.10688</v>
      </c>
      <c r="AU364" s="55">
        <f>MAX(N(AU363),$AT364)</f>
        <v>1187.10688</v>
      </c>
      <c r="AV364" s="55">
        <f>$AT364-$AU364</f>
        <v>0</v>
      </c>
      <c r="AW364" s="56">
        <f>IF($AS364=1,IF($S364="Win",N(AW363)+1,IF($S364="Loss",0,N(AW363))),N(AW363))</f>
        <v>5</v>
      </c>
      <c r="AX364" s="56">
        <f>IF($AS364=1,IF($S364="Loss",N(AX363)+1,IF($S364="Win",0,N(AX363))),N(AX363))</f>
        <v>0</v>
      </c>
      <c r="AY364" s="56" t="str">
        <f>IF($AS364=1,COUNTIF($AS$6:$AS364,1),"")</f>
        <v/>
      </c>
      <c r="AZ364" s="56">
        <f>MIN(358,N(Lists!$W$8))</f>
        <v>28</v>
      </c>
      <c r="BA364" s="56">
        <f>IF($AS364=1,IF(COUNTIFS($A$6:$A364,$A364,$AS$6:$AS364,1)=1,1,0),0)</f>
        <v>0</v>
      </c>
      <c r="BB364" s="55" t="str">
        <f>IF($BA364=1,SUMIFS($Q$6:$Q$1005,$A$6:$A$1005,$A364,$AS$6:$AS$1005,1),"")</f>
        <v/>
      </c>
      <c r="BC364" s="56">
        <f>IF(ISNUMBER($R364),1,0)</f>
        <v>0</v>
      </c>
      <c r="BD364" s="55" t="str">
        <f>IF(ISNUMBER($U364),$U364*$V364,"")</f>
        <v/>
      </c>
      <c r="BE364" s="56" t="str">
        <f>IF($AM364=0,"",IFERROR(MATCH($AF364&amp;"|"&amp;UPPER(TRIM($E364)),Lists!$A$6:$A$205,0),0))</f>
        <v/>
      </c>
      <c r="BF364" s="56" t="str">
        <f>IF($AM364=0,"",IFERROR(MATCH($AF364,Settings!$B$14:$B$18,0),IFERROR(MATCH(Settings!$C$6,Settings!$B$14:$B$18,0),1)))</f>
        <v/>
      </c>
      <c r="BG364" s="58" t="str">
        <f>IF($AM364=0,"",IF(NOT(ISNUMBER($I364)),"No stop; ","")&amp;IF(AND(ISNUMBER($H364),ISNUMBER($I364)),IF(OR(AND($F364&lt;&gt;"Short",$I364&gt;=$H364),AND($F364="Short",$I364&lt;=$H364)),"Stop on wrong side; ",""),"")&amp;IF($F364="","No direction; ","")&amp;IF(AND(ISNUMBER(Settings!$C$22),ISNUMBER($V364)),IF($V364&gt;Settings!$C$22,"Risk over max $; ",""),"")&amp;IF(AND(ISNUMBER(Settings!$C$23),ISNUMBER($V364),ISNUMBER($AP364),IFERROR(N(INDEX(Accounts!$E$7:$E$16,MATCH($C364,Accounts!$B$7:$B$16,0))),0)&gt;0),IF($V364&gt;Settings!$C$23*($AP364-N($Q364)),"Risk over max %; ",""),"")&amp;IF(AND(ISNUMBER(Settings!$C$24),ISNUMBER($N364)),IF($N364&gt;Settings!$C$24,"Leverage over max; ",""),"")&amp;IF(AND(ISNUMBER(Settings!$C$27),ISNUMBER($T364)),IF($T364&lt;Settings!$C$27,"R:R below min; ",""),"")&amp;IF(ISNUMBER(Settings!$C$25),IF(COUNTIFS($A$6:$A364,$A364,$AM$6:$AM364,1)&gt;Settings!$C$25,"Over max trades/day; ",""),"")&amp;IF(ISNUMBER(Settings!$C$26),IF(SUMIFS($Q$5:$Q363,$A$5:$A363,$A364)&lt;=-Settings!$C$26,"Traded after daily max loss; ",""),"")&amp;IF(AND($AG364="",NOT(ISNUMBER($O364))),"Symbol not in Instruments; ","")&amp;IF(AND($AH364="",NOT(ISNUMBER($O364))),"Forex cross: type Gross P&amp;L; ",""))</f>
        <v/>
      </c>
      <c r="BH364" s="56">
        <f>IF(ISNUMBER($Q364),1,0)</f>
        <v>0</v>
      </c>
      <c r="BI364" s="56">
        <f>IF($Y364="",0,1)</f>
        <v>0</v>
      </c>
      <c r="BJ364" s="56">
        <f>IF($AB364="",0,1)</f>
        <v>0</v>
      </c>
      <c r="BK364" s="56">
        <f>IF(AND($BH364=1,$W364&lt;&gt;"OK"),1,0)</f>
        <v>0</v>
      </c>
      <c r="BL364" s="55">
        <f>IF(N($AZ364)=0,0,IFERROR(INDEX($AT$6:$AT$1005,MATCH($AZ364,$AY$6:$AY$1005,0)),0))</f>
        <v>1187.10688</v>
      </c>
      <c r="BM364" s="56">
        <f>IF(ISNUMBER(SEARCH("daily max loss",$BG364)),1,0)</f>
        <v>0</v>
      </c>
    </row>
    <row r="365" ht="18" customHeight="1">
      <c r="A365" s="38" t="n"/>
      <c r="B365" s="39" t="n"/>
      <c r="C365" s="40" t="n"/>
      <c r="D365" s="41" t="n"/>
      <c r="E365" s="41" t="n"/>
      <c r="F365" s="41" t="n"/>
      <c r="G365" s="41" t="n"/>
      <c r="H365" s="42" t="n"/>
      <c r="I365" s="42" t="n"/>
      <c r="J365" s="42" t="n"/>
      <c r="K365" s="42" t="n"/>
      <c r="L365" s="41" t="n"/>
      <c r="M365" s="41" t="n"/>
      <c r="N365" s="41" t="n"/>
      <c r="O365" s="43" t="n"/>
      <c r="P365" s="43" t="n"/>
      <c r="Q365" s="44" t="str">
        <f>IF($AM365=0,"",IF(ISNUMBER($AK365),$AK365-N($AL365),""))</f>
        <v/>
      </c>
      <c r="R365" s="45" t="str">
        <f>IF(OR($Q365="",NOT(ISNUMBER($V365))),"",$AK365/$V365)</f>
        <v/>
      </c>
      <c r="S365" s="46" t="str">
        <f>IF($Q365="","",IF(AND(ISNUMBER($R365),ABS(N($R365))&lt;N(Settings!$C$8)),"Scratch",IF($Q365&gt;0,"Win",IF($Q365&lt;0,"Loss","Scratch"))))</f>
        <v/>
      </c>
      <c r="T365" s="47" t="str">
        <f>IF(OR($AM365=0,NOT(ISNUMBER($H365)),NOT(ISNUMBER($I365)),NOT(ISNUMBER($J365))),"",IF($H365=$I365,"",ROUND(ABS($J365-$H365)/ABS($H365-$I365),6)))</f>
        <v/>
      </c>
      <c r="U365" s="48" t="str">
        <f>IF(OR($S365&lt;&gt;"Win",NOT(ISNUMBER($T365)),NOT(ISNUMBER($R365))),"",MAX(0,$T365-$R365))</f>
        <v/>
      </c>
      <c r="V365" s="49" t="str">
        <f>IF(OR($AM365=0,NOT(ISNUMBER($H365)),NOT(ISNUMBER($I365)),NOT(ISNUMBER($G365))),"",IF(OR($AG365="",$AH365=""),"",IF(ROUND(ABS($H365-$I365)*ABS($G365)*$AG365*$AH365,6)=0,"",ROUND(ABS($H365-$I365)*ABS($G365)*$AG365*$AH365,6))))</f>
        <v/>
      </c>
      <c r="W365" s="50" t="str">
        <f>IF($AM365=0,"",IF($BG365="","OK",LEFT($BG365,LEN($BG365)-2)))</f>
        <v/>
      </c>
      <c r="X365" s="41" t="n"/>
      <c r="Y365" s="40" t="n"/>
      <c r="Z365" s="41" t="n"/>
      <c r="AA365" s="41" t="n"/>
      <c r="AB365" s="40" t="n"/>
      <c r="AC365" s="51" t="n"/>
      <c r="AD365" s="51" t="n"/>
      <c r="AE365" s="40" t="n"/>
      <c r="AF365" s="52" t="str">
        <f>IF($AM365=0,"",IF($D365&lt;&gt;"",$D365,IF(IFERROR(INDEX(Accounts!$C$7:$C$16,MATCH($C365,Accounts!$B$7:$B$16,0))&amp;"","")&lt;&gt;"",INDEX(Accounts!$C$7:$C$16,MATCH($C365,Accounts!$B$7:$B$16,0)),Settings!$C$6)))</f>
        <v/>
      </c>
      <c r="AG365" s="53" t="str">
        <f>IF($AM365=0,"",IF(AND($BE365&gt;0,N(INDEX(Instruments!$D$6:$D$205,MAX(1,$BE365)))&gt;0),INDEX(Instruments!$D$6:$D$205,MAX(1,$BE365)),IF(N(INDEX(Settings!$D$14:$D$18,$BF365))&gt;0,INDEX(Settings!$D$14:$D$18,$BF365),"")))</f>
        <v/>
      </c>
      <c r="AH365" s="54" t="str">
        <f>IF($AM365=0,"",IF($AF365&lt;&gt;"Forex",1,IF(MID(UPPER(SUBSTITUTE(TRIM($E365),"/","")),4,3)=UPPER(TRIM(Settings!$C$7)),1,IF(LEFT(UPPER(SUBSTITUTE(TRIM($E365),"/","")),3)=UPPER(TRIM(Settings!$C$7)),IF(AND(ISNUMBER($K365),N($K365)&lt;&gt;0),1/$K365,""),""))))</f>
        <v/>
      </c>
      <c r="AI365" s="55" t="str">
        <f>IF($AM365=0,"",IF(OR(NOT(ISNUMBER($H365)),NOT(ISNUMBER($K365)),NOT(ISNUMBER($G365)),$AG365="",$AH365=""),"",ROUND(($K365-$H365)*IF($F365="Short",-1,1)*$G365*$AG365*$AH365,6)))</f>
        <v/>
      </c>
      <c r="AJ365" s="55" t="str">
        <f>IF($AM365=0,"",IF(INDEX(Settings!$E$14:$E$18,$BF365)="% of notional",IF(OR($AG365="",NOT(ISNUMBER($H365)),NOT(ISNUMBER($G365))),"",ROUND(ABS($H365*$G365*$AG365*N($AH365))*IF($L365="Limit",N(INDEX(Settings!$G$14:$G$18,$BF365)),N(INDEX(Settings!$H$14:$H$18,$BF365)))+IF(ISNUMBER($K365),ABS($K365*$G365*$AG365*N($AH365))*IF($M365="Target",N(INDEX(Settings!$G$14:$G$18,$BF365)),N(INDEX(Settings!$H$14:$H$18,$BF365))),0),6)),IF(NOT(ISNUMBER($G365)),"",ROUND(ABS($G365)*2*IF(AND($BE365&gt;0,ISNUMBER(INDEX(Instruments!$G$6:$G$205,MAX(1,$BE365)))),INDEX(Instruments!$G$6:$G$205,MAX(1,$BE365)),N(INDEX(Settings!$F$14:$F$18,$BF365))),6))))</f>
        <v/>
      </c>
      <c r="AK365" s="55" t="str">
        <f>IF($AM365=0,"",IF(ISNUMBER($O365),$O365,$AI365))</f>
        <v/>
      </c>
      <c r="AL365" s="55" t="str">
        <f>IF($AM365=0,"",IF(ISNUMBER($P365),$P365,N($AJ365)))</f>
        <v/>
      </c>
      <c r="AM365" s="56">
        <f>IF(AND($A365&lt;&gt;"",$E365&lt;&gt;"",OR(AND(ISNUMBER($G365),ISNUMBER($H365),ISNUMBER($K365)),ISNUMBER($O365))),1,0)</f>
        <v>0</v>
      </c>
      <c r="AN365" s="57" t="str">
        <f>IF($A365="","",$A365-WEEKDAY($A365,3))</f>
        <v/>
      </c>
      <c r="AO365" s="56" t="str">
        <f>IF($A365="","",WEEKDAY($A365,2))</f>
        <v/>
      </c>
      <c r="AP365" s="55" t="str">
        <f>IF(OR($AM365=0,$C365=""),"",IFERROR(N(INDEX(Accounts!$E$7:$E$16,MATCH($C365,Accounts!$B$7:$B$16,0))),0)+SUMIFS($Q$6:$Q365,$C$6:$C365,$C365))</f>
        <v/>
      </c>
      <c r="AQ365" s="55" t="str">
        <f>IF(OR($AM365=0,$C365=""),"",SUMIFS($Q$6:$Q$1005,$C$6:$C$1005,$C365,$A$6:$A$1005,$A365))</f>
        <v/>
      </c>
      <c r="AR365" s="55" t="str">
        <f>IF(OR($AM365=0,$C365=""),"",IFERROR(N(INDEX(Accounts!$E$7:$E$16,MATCH($C365,Accounts!$B$7:$B$16,0))),0)+SUMIFS($Q$6:$Q$1005,$C$6:$C$1005,$C365,$A$6:$A$1005,"&lt;="&amp;$A365))</f>
        <v/>
      </c>
      <c r="AS365" s="56">
        <f>IF(OR($AM365=0,$Q365=""),0,IF(AND($A365&gt;=Lists!$W$6,$A365&lt;=Lists!$W$7,OR(Dashboard!$D$6="All accounts",$C365=Dashboard!$D$6),OR(Dashboard!$D$7="All markets",$AF365=Dashboard!$D$7)),1,0))</f>
        <v>0</v>
      </c>
      <c r="AT365" s="55">
        <f>IF($AS365=1,N(AT364)+$Q365,N(AT364))</f>
        <v>1187.10688</v>
      </c>
      <c r="AU365" s="55">
        <f>MAX(N(AU364),$AT365)</f>
        <v>1187.10688</v>
      </c>
      <c r="AV365" s="55">
        <f>$AT365-$AU365</f>
        <v>0</v>
      </c>
      <c r="AW365" s="56">
        <f>IF($AS365=1,IF($S365="Win",N(AW364)+1,IF($S365="Loss",0,N(AW364))),N(AW364))</f>
        <v>5</v>
      </c>
      <c r="AX365" s="56">
        <f>IF($AS365=1,IF($S365="Loss",N(AX364)+1,IF($S365="Win",0,N(AX364))),N(AX364))</f>
        <v>0</v>
      </c>
      <c r="AY365" s="56" t="str">
        <f>IF($AS365=1,COUNTIF($AS$6:$AS365,1),"")</f>
        <v/>
      </c>
      <c r="AZ365" s="56">
        <f>MIN(359,N(Lists!$W$8))</f>
        <v>28</v>
      </c>
      <c r="BA365" s="56">
        <f>IF($AS365=1,IF(COUNTIFS($A$6:$A365,$A365,$AS$6:$AS365,1)=1,1,0),0)</f>
        <v>0</v>
      </c>
      <c r="BB365" s="55" t="str">
        <f>IF($BA365=1,SUMIFS($Q$6:$Q$1005,$A$6:$A$1005,$A365,$AS$6:$AS$1005,1),"")</f>
        <v/>
      </c>
      <c r="BC365" s="56">
        <f>IF(ISNUMBER($R365),1,0)</f>
        <v>0</v>
      </c>
      <c r="BD365" s="55" t="str">
        <f>IF(ISNUMBER($U365),$U365*$V365,"")</f>
        <v/>
      </c>
      <c r="BE365" s="56" t="str">
        <f>IF($AM365=0,"",IFERROR(MATCH($AF365&amp;"|"&amp;UPPER(TRIM($E365)),Lists!$A$6:$A$205,0),0))</f>
        <v/>
      </c>
      <c r="BF365" s="56" t="str">
        <f>IF($AM365=0,"",IFERROR(MATCH($AF365,Settings!$B$14:$B$18,0),IFERROR(MATCH(Settings!$C$6,Settings!$B$14:$B$18,0),1)))</f>
        <v/>
      </c>
      <c r="BG365" s="58" t="str">
        <f>IF($AM365=0,"",IF(NOT(ISNUMBER($I365)),"No stop; ","")&amp;IF(AND(ISNUMBER($H365),ISNUMBER($I365)),IF(OR(AND($F365&lt;&gt;"Short",$I365&gt;=$H365),AND($F365="Short",$I365&lt;=$H365)),"Stop on wrong side; ",""),"")&amp;IF($F365="","No direction; ","")&amp;IF(AND(ISNUMBER(Settings!$C$22),ISNUMBER($V365)),IF($V365&gt;Settings!$C$22,"Risk over max $; ",""),"")&amp;IF(AND(ISNUMBER(Settings!$C$23),ISNUMBER($V365),ISNUMBER($AP365),IFERROR(N(INDEX(Accounts!$E$7:$E$16,MATCH($C365,Accounts!$B$7:$B$16,0))),0)&gt;0),IF($V365&gt;Settings!$C$23*($AP365-N($Q365)),"Risk over max %; ",""),"")&amp;IF(AND(ISNUMBER(Settings!$C$24),ISNUMBER($N365)),IF($N365&gt;Settings!$C$24,"Leverage over max; ",""),"")&amp;IF(AND(ISNUMBER(Settings!$C$27),ISNUMBER($T365)),IF($T365&lt;Settings!$C$27,"R:R below min; ",""),"")&amp;IF(ISNUMBER(Settings!$C$25),IF(COUNTIFS($A$6:$A365,$A365,$AM$6:$AM365,1)&gt;Settings!$C$25,"Over max trades/day; ",""),"")&amp;IF(ISNUMBER(Settings!$C$26),IF(SUMIFS($Q$5:$Q364,$A$5:$A364,$A365)&lt;=-Settings!$C$26,"Traded after daily max loss; ",""),"")&amp;IF(AND($AG365="",NOT(ISNUMBER($O365))),"Symbol not in Instruments; ","")&amp;IF(AND($AH365="",NOT(ISNUMBER($O365))),"Forex cross: type Gross P&amp;L; ",""))</f>
        <v/>
      </c>
      <c r="BH365" s="56">
        <f>IF(ISNUMBER($Q365),1,0)</f>
        <v>0</v>
      </c>
      <c r="BI365" s="56">
        <f>IF($Y365="",0,1)</f>
        <v>0</v>
      </c>
      <c r="BJ365" s="56">
        <f>IF($AB365="",0,1)</f>
        <v>0</v>
      </c>
      <c r="BK365" s="56">
        <f>IF(AND($BH365=1,$W365&lt;&gt;"OK"),1,0)</f>
        <v>0</v>
      </c>
      <c r="BL365" s="55">
        <f>IF(N($AZ365)=0,0,IFERROR(INDEX($AT$6:$AT$1005,MATCH($AZ365,$AY$6:$AY$1005,0)),0))</f>
        <v>1187.10688</v>
      </c>
      <c r="BM365" s="56">
        <f>IF(ISNUMBER(SEARCH("daily max loss",$BG365)),1,0)</f>
        <v>0</v>
      </c>
    </row>
    <row r="366" ht="18" customHeight="1">
      <c r="A366" s="38" t="n"/>
      <c r="B366" s="39" t="n"/>
      <c r="C366" s="40" t="n"/>
      <c r="D366" s="41" t="n"/>
      <c r="E366" s="41" t="n"/>
      <c r="F366" s="41" t="n"/>
      <c r="G366" s="41" t="n"/>
      <c r="H366" s="42" t="n"/>
      <c r="I366" s="42" t="n"/>
      <c r="J366" s="42" t="n"/>
      <c r="K366" s="42" t="n"/>
      <c r="L366" s="41" t="n"/>
      <c r="M366" s="41" t="n"/>
      <c r="N366" s="41" t="n"/>
      <c r="O366" s="43" t="n"/>
      <c r="P366" s="43" t="n"/>
      <c r="Q366" s="44" t="str">
        <f>IF($AM366=0,"",IF(ISNUMBER($AK366),$AK366-N($AL366),""))</f>
        <v/>
      </c>
      <c r="R366" s="45" t="str">
        <f>IF(OR($Q366="",NOT(ISNUMBER($V366))),"",$AK366/$V366)</f>
        <v/>
      </c>
      <c r="S366" s="46" t="str">
        <f>IF($Q366="","",IF(AND(ISNUMBER($R366),ABS(N($R366))&lt;N(Settings!$C$8)),"Scratch",IF($Q366&gt;0,"Win",IF($Q366&lt;0,"Loss","Scratch"))))</f>
        <v/>
      </c>
      <c r="T366" s="47" t="str">
        <f>IF(OR($AM366=0,NOT(ISNUMBER($H366)),NOT(ISNUMBER($I366)),NOT(ISNUMBER($J366))),"",IF($H366=$I366,"",ROUND(ABS($J366-$H366)/ABS($H366-$I366),6)))</f>
        <v/>
      </c>
      <c r="U366" s="48" t="str">
        <f>IF(OR($S366&lt;&gt;"Win",NOT(ISNUMBER($T366)),NOT(ISNUMBER($R366))),"",MAX(0,$T366-$R366))</f>
        <v/>
      </c>
      <c r="V366" s="49" t="str">
        <f>IF(OR($AM366=0,NOT(ISNUMBER($H366)),NOT(ISNUMBER($I366)),NOT(ISNUMBER($G366))),"",IF(OR($AG366="",$AH366=""),"",IF(ROUND(ABS($H366-$I366)*ABS($G366)*$AG366*$AH366,6)=0,"",ROUND(ABS($H366-$I366)*ABS($G366)*$AG366*$AH366,6))))</f>
        <v/>
      </c>
      <c r="W366" s="50" t="str">
        <f>IF($AM366=0,"",IF($BG366="","OK",LEFT($BG366,LEN($BG366)-2)))</f>
        <v/>
      </c>
      <c r="X366" s="41" t="n"/>
      <c r="Y366" s="40" t="n"/>
      <c r="Z366" s="41" t="n"/>
      <c r="AA366" s="41" t="n"/>
      <c r="AB366" s="40" t="n"/>
      <c r="AC366" s="51" t="n"/>
      <c r="AD366" s="51" t="n"/>
      <c r="AE366" s="40" t="n"/>
      <c r="AF366" s="52" t="str">
        <f>IF($AM366=0,"",IF($D366&lt;&gt;"",$D366,IF(IFERROR(INDEX(Accounts!$C$7:$C$16,MATCH($C366,Accounts!$B$7:$B$16,0))&amp;"","")&lt;&gt;"",INDEX(Accounts!$C$7:$C$16,MATCH($C366,Accounts!$B$7:$B$16,0)),Settings!$C$6)))</f>
        <v/>
      </c>
      <c r="AG366" s="53" t="str">
        <f>IF($AM366=0,"",IF(AND($BE366&gt;0,N(INDEX(Instruments!$D$6:$D$205,MAX(1,$BE366)))&gt;0),INDEX(Instruments!$D$6:$D$205,MAX(1,$BE366)),IF(N(INDEX(Settings!$D$14:$D$18,$BF366))&gt;0,INDEX(Settings!$D$14:$D$18,$BF366),"")))</f>
        <v/>
      </c>
      <c r="AH366" s="54" t="str">
        <f>IF($AM366=0,"",IF($AF366&lt;&gt;"Forex",1,IF(MID(UPPER(SUBSTITUTE(TRIM($E366),"/","")),4,3)=UPPER(TRIM(Settings!$C$7)),1,IF(LEFT(UPPER(SUBSTITUTE(TRIM($E366),"/","")),3)=UPPER(TRIM(Settings!$C$7)),IF(AND(ISNUMBER($K366),N($K366)&lt;&gt;0),1/$K366,""),""))))</f>
        <v/>
      </c>
      <c r="AI366" s="55" t="str">
        <f>IF($AM366=0,"",IF(OR(NOT(ISNUMBER($H366)),NOT(ISNUMBER($K366)),NOT(ISNUMBER($G366)),$AG366="",$AH366=""),"",ROUND(($K366-$H366)*IF($F366="Short",-1,1)*$G366*$AG366*$AH366,6)))</f>
        <v/>
      </c>
      <c r="AJ366" s="55" t="str">
        <f>IF($AM366=0,"",IF(INDEX(Settings!$E$14:$E$18,$BF366)="% of notional",IF(OR($AG366="",NOT(ISNUMBER($H366)),NOT(ISNUMBER($G366))),"",ROUND(ABS($H366*$G366*$AG366*N($AH366))*IF($L366="Limit",N(INDEX(Settings!$G$14:$G$18,$BF366)),N(INDEX(Settings!$H$14:$H$18,$BF366)))+IF(ISNUMBER($K366),ABS($K366*$G366*$AG366*N($AH366))*IF($M366="Target",N(INDEX(Settings!$G$14:$G$18,$BF366)),N(INDEX(Settings!$H$14:$H$18,$BF366))),0),6)),IF(NOT(ISNUMBER($G366)),"",ROUND(ABS($G366)*2*IF(AND($BE366&gt;0,ISNUMBER(INDEX(Instruments!$G$6:$G$205,MAX(1,$BE366)))),INDEX(Instruments!$G$6:$G$205,MAX(1,$BE366)),N(INDEX(Settings!$F$14:$F$18,$BF366))),6))))</f>
        <v/>
      </c>
      <c r="AK366" s="55" t="str">
        <f>IF($AM366=0,"",IF(ISNUMBER($O366),$O366,$AI366))</f>
        <v/>
      </c>
      <c r="AL366" s="55" t="str">
        <f>IF($AM366=0,"",IF(ISNUMBER($P366),$P366,N($AJ366)))</f>
        <v/>
      </c>
      <c r="AM366" s="56">
        <f>IF(AND($A366&lt;&gt;"",$E366&lt;&gt;"",OR(AND(ISNUMBER($G366),ISNUMBER($H366),ISNUMBER($K366)),ISNUMBER($O366))),1,0)</f>
        <v>0</v>
      </c>
      <c r="AN366" s="57" t="str">
        <f>IF($A366="","",$A366-WEEKDAY($A366,3))</f>
        <v/>
      </c>
      <c r="AO366" s="56" t="str">
        <f>IF($A366="","",WEEKDAY($A366,2))</f>
        <v/>
      </c>
      <c r="AP366" s="55" t="str">
        <f>IF(OR($AM366=0,$C366=""),"",IFERROR(N(INDEX(Accounts!$E$7:$E$16,MATCH($C366,Accounts!$B$7:$B$16,0))),0)+SUMIFS($Q$6:$Q366,$C$6:$C366,$C366))</f>
        <v/>
      </c>
      <c r="AQ366" s="55" t="str">
        <f>IF(OR($AM366=0,$C366=""),"",SUMIFS($Q$6:$Q$1005,$C$6:$C$1005,$C366,$A$6:$A$1005,$A366))</f>
        <v/>
      </c>
      <c r="AR366" s="55" t="str">
        <f>IF(OR($AM366=0,$C366=""),"",IFERROR(N(INDEX(Accounts!$E$7:$E$16,MATCH($C366,Accounts!$B$7:$B$16,0))),0)+SUMIFS($Q$6:$Q$1005,$C$6:$C$1005,$C366,$A$6:$A$1005,"&lt;="&amp;$A366))</f>
        <v/>
      </c>
      <c r="AS366" s="56">
        <f>IF(OR($AM366=0,$Q366=""),0,IF(AND($A366&gt;=Lists!$W$6,$A366&lt;=Lists!$W$7,OR(Dashboard!$D$6="All accounts",$C366=Dashboard!$D$6),OR(Dashboard!$D$7="All markets",$AF366=Dashboard!$D$7)),1,0))</f>
        <v>0</v>
      </c>
      <c r="AT366" s="55">
        <f>IF($AS366=1,N(AT365)+$Q366,N(AT365))</f>
        <v>1187.10688</v>
      </c>
      <c r="AU366" s="55">
        <f>MAX(N(AU365),$AT366)</f>
        <v>1187.10688</v>
      </c>
      <c r="AV366" s="55">
        <f>$AT366-$AU366</f>
        <v>0</v>
      </c>
      <c r="AW366" s="56">
        <f>IF($AS366=1,IF($S366="Win",N(AW365)+1,IF($S366="Loss",0,N(AW365))),N(AW365))</f>
        <v>5</v>
      </c>
      <c r="AX366" s="56">
        <f>IF($AS366=1,IF($S366="Loss",N(AX365)+1,IF($S366="Win",0,N(AX365))),N(AX365))</f>
        <v>0</v>
      </c>
      <c r="AY366" s="56" t="str">
        <f>IF($AS366=1,COUNTIF($AS$6:$AS366,1),"")</f>
        <v/>
      </c>
      <c r="AZ366" s="56">
        <f>MIN(360,N(Lists!$W$8))</f>
        <v>28</v>
      </c>
      <c r="BA366" s="56">
        <f>IF($AS366=1,IF(COUNTIFS($A$6:$A366,$A366,$AS$6:$AS366,1)=1,1,0),0)</f>
        <v>0</v>
      </c>
      <c r="BB366" s="55" t="str">
        <f>IF($BA366=1,SUMIFS($Q$6:$Q$1005,$A$6:$A$1005,$A366,$AS$6:$AS$1005,1),"")</f>
        <v/>
      </c>
      <c r="BC366" s="56">
        <f>IF(ISNUMBER($R366),1,0)</f>
        <v>0</v>
      </c>
      <c r="BD366" s="55" t="str">
        <f>IF(ISNUMBER($U366),$U366*$V366,"")</f>
        <v/>
      </c>
      <c r="BE366" s="56" t="str">
        <f>IF($AM366=0,"",IFERROR(MATCH($AF366&amp;"|"&amp;UPPER(TRIM($E366)),Lists!$A$6:$A$205,0),0))</f>
        <v/>
      </c>
      <c r="BF366" s="56" t="str">
        <f>IF($AM366=0,"",IFERROR(MATCH($AF366,Settings!$B$14:$B$18,0),IFERROR(MATCH(Settings!$C$6,Settings!$B$14:$B$18,0),1)))</f>
        <v/>
      </c>
      <c r="BG366" s="58" t="str">
        <f>IF($AM366=0,"",IF(NOT(ISNUMBER($I366)),"No stop; ","")&amp;IF(AND(ISNUMBER($H366),ISNUMBER($I366)),IF(OR(AND($F366&lt;&gt;"Short",$I366&gt;=$H366),AND($F366="Short",$I366&lt;=$H366)),"Stop on wrong side; ",""),"")&amp;IF($F366="","No direction; ","")&amp;IF(AND(ISNUMBER(Settings!$C$22),ISNUMBER($V366)),IF($V366&gt;Settings!$C$22,"Risk over max $; ",""),"")&amp;IF(AND(ISNUMBER(Settings!$C$23),ISNUMBER($V366),ISNUMBER($AP366),IFERROR(N(INDEX(Accounts!$E$7:$E$16,MATCH($C366,Accounts!$B$7:$B$16,0))),0)&gt;0),IF($V366&gt;Settings!$C$23*($AP366-N($Q366)),"Risk over max %; ",""),"")&amp;IF(AND(ISNUMBER(Settings!$C$24),ISNUMBER($N366)),IF($N366&gt;Settings!$C$24,"Leverage over max; ",""),"")&amp;IF(AND(ISNUMBER(Settings!$C$27),ISNUMBER($T366)),IF($T366&lt;Settings!$C$27,"R:R below min; ",""),"")&amp;IF(ISNUMBER(Settings!$C$25),IF(COUNTIFS($A$6:$A366,$A366,$AM$6:$AM366,1)&gt;Settings!$C$25,"Over max trades/day; ",""),"")&amp;IF(ISNUMBER(Settings!$C$26),IF(SUMIFS($Q$5:$Q365,$A$5:$A365,$A366)&lt;=-Settings!$C$26,"Traded after daily max loss; ",""),"")&amp;IF(AND($AG366="",NOT(ISNUMBER($O366))),"Symbol not in Instruments; ","")&amp;IF(AND($AH366="",NOT(ISNUMBER($O366))),"Forex cross: type Gross P&amp;L; ",""))</f>
        <v/>
      </c>
      <c r="BH366" s="56">
        <f>IF(ISNUMBER($Q366),1,0)</f>
        <v>0</v>
      </c>
      <c r="BI366" s="56">
        <f>IF($Y366="",0,1)</f>
        <v>0</v>
      </c>
      <c r="BJ366" s="56">
        <f>IF($AB366="",0,1)</f>
        <v>0</v>
      </c>
      <c r="BK366" s="56">
        <f>IF(AND($BH366=1,$W366&lt;&gt;"OK"),1,0)</f>
        <v>0</v>
      </c>
      <c r="BL366" s="55">
        <f>IF(N($AZ366)=0,0,IFERROR(INDEX($AT$6:$AT$1005,MATCH($AZ366,$AY$6:$AY$1005,0)),0))</f>
        <v>1187.10688</v>
      </c>
      <c r="BM366" s="56">
        <f>IF(ISNUMBER(SEARCH("daily max loss",$BG366)),1,0)</f>
        <v>0</v>
      </c>
    </row>
    <row r="367" ht="18" customHeight="1">
      <c r="A367" s="38" t="n"/>
      <c r="B367" s="39" t="n"/>
      <c r="C367" s="40" t="n"/>
      <c r="D367" s="41" t="n"/>
      <c r="E367" s="41" t="n"/>
      <c r="F367" s="41" t="n"/>
      <c r="G367" s="41" t="n"/>
      <c r="H367" s="42" t="n"/>
      <c r="I367" s="42" t="n"/>
      <c r="J367" s="42" t="n"/>
      <c r="K367" s="42" t="n"/>
      <c r="L367" s="41" t="n"/>
      <c r="M367" s="41" t="n"/>
      <c r="N367" s="41" t="n"/>
      <c r="O367" s="43" t="n"/>
      <c r="P367" s="43" t="n"/>
      <c r="Q367" s="44" t="str">
        <f>IF($AM367=0,"",IF(ISNUMBER($AK367),$AK367-N($AL367),""))</f>
        <v/>
      </c>
      <c r="R367" s="45" t="str">
        <f>IF(OR($Q367="",NOT(ISNUMBER($V367))),"",$AK367/$V367)</f>
        <v/>
      </c>
      <c r="S367" s="46" t="str">
        <f>IF($Q367="","",IF(AND(ISNUMBER($R367),ABS(N($R367))&lt;N(Settings!$C$8)),"Scratch",IF($Q367&gt;0,"Win",IF($Q367&lt;0,"Loss","Scratch"))))</f>
        <v/>
      </c>
      <c r="T367" s="47" t="str">
        <f>IF(OR($AM367=0,NOT(ISNUMBER($H367)),NOT(ISNUMBER($I367)),NOT(ISNUMBER($J367))),"",IF($H367=$I367,"",ROUND(ABS($J367-$H367)/ABS($H367-$I367),6)))</f>
        <v/>
      </c>
      <c r="U367" s="48" t="str">
        <f>IF(OR($S367&lt;&gt;"Win",NOT(ISNUMBER($T367)),NOT(ISNUMBER($R367))),"",MAX(0,$T367-$R367))</f>
        <v/>
      </c>
      <c r="V367" s="49" t="str">
        <f>IF(OR($AM367=0,NOT(ISNUMBER($H367)),NOT(ISNUMBER($I367)),NOT(ISNUMBER($G367))),"",IF(OR($AG367="",$AH367=""),"",IF(ROUND(ABS($H367-$I367)*ABS($G367)*$AG367*$AH367,6)=0,"",ROUND(ABS($H367-$I367)*ABS($G367)*$AG367*$AH367,6))))</f>
        <v/>
      </c>
      <c r="W367" s="50" t="str">
        <f>IF($AM367=0,"",IF($BG367="","OK",LEFT($BG367,LEN($BG367)-2)))</f>
        <v/>
      </c>
      <c r="X367" s="41" t="n"/>
      <c r="Y367" s="40" t="n"/>
      <c r="Z367" s="41" t="n"/>
      <c r="AA367" s="41" t="n"/>
      <c r="AB367" s="40" t="n"/>
      <c r="AC367" s="51" t="n"/>
      <c r="AD367" s="51" t="n"/>
      <c r="AE367" s="40" t="n"/>
      <c r="AF367" s="52" t="str">
        <f>IF($AM367=0,"",IF($D367&lt;&gt;"",$D367,IF(IFERROR(INDEX(Accounts!$C$7:$C$16,MATCH($C367,Accounts!$B$7:$B$16,0))&amp;"","")&lt;&gt;"",INDEX(Accounts!$C$7:$C$16,MATCH($C367,Accounts!$B$7:$B$16,0)),Settings!$C$6)))</f>
        <v/>
      </c>
      <c r="AG367" s="53" t="str">
        <f>IF($AM367=0,"",IF(AND($BE367&gt;0,N(INDEX(Instruments!$D$6:$D$205,MAX(1,$BE367)))&gt;0),INDEX(Instruments!$D$6:$D$205,MAX(1,$BE367)),IF(N(INDEX(Settings!$D$14:$D$18,$BF367))&gt;0,INDEX(Settings!$D$14:$D$18,$BF367),"")))</f>
        <v/>
      </c>
      <c r="AH367" s="54" t="str">
        <f>IF($AM367=0,"",IF($AF367&lt;&gt;"Forex",1,IF(MID(UPPER(SUBSTITUTE(TRIM($E367),"/","")),4,3)=UPPER(TRIM(Settings!$C$7)),1,IF(LEFT(UPPER(SUBSTITUTE(TRIM($E367),"/","")),3)=UPPER(TRIM(Settings!$C$7)),IF(AND(ISNUMBER($K367),N($K367)&lt;&gt;0),1/$K367,""),""))))</f>
        <v/>
      </c>
      <c r="AI367" s="55" t="str">
        <f>IF($AM367=0,"",IF(OR(NOT(ISNUMBER($H367)),NOT(ISNUMBER($K367)),NOT(ISNUMBER($G367)),$AG367="",$AH367=""),"",ROUND(($K367-$H367)*IF($F367="Short",-1,1)*$G367*$AG367*$AH367,6)))</f>
        <v/>
      </c>
      <c r="AJ367" s="55" t="str">
        <f>IF($AM367=0,"",IF(INDEX(Settings!$E$14:$E$18,$BF367)="% of notional",IF(OR($AG367="",NOT(ISNUMBER($H367)),NOT(ISNUMBER($G367))),"",ROUND(ABS($H367*$G367*$AG367*N($AH367))*IF($L367="Limit",N(INDEX(Settings!$G$14:$G$18,$BF367)),N(INDEX(Settings!$H$14:$H$18,$BF367)))+IF(ISNUMBER($K367),ABS($K367*$G367*$AG367*N($AH367))*IF($M367="Target",N(INDEX(Settings!$G$14:$G$18,$BF367)),N(INDEX(Settings!$H$14:$H$18,$BF367))),0),6)),IF(NOT(ISNUMBER($G367)),"",ROUND(ABS($G367)*2*IF(AND($BE367&gt;0,ISNUMBER(INDEX(Instruments!$G$6:$G$205,MAX(1,$BE367)))),INDEX(Instruments!$G$6:$G$205,MAX(1,$BE367)),N(INDEX(Settings!$F$14:$F$18,$BF367))),6))))</f>
        <v/>
      </c>
      <c r="AK367" s="55" t="str">
        <f>IF($AM367=0,"",IF(ISNUMBER($O367),$O367,$AI367))</f>
        <v/>
      </c>
      <c r="AL367" s="55" t="str">
        <f>IF($AM367=0,"",IF(ISNUMBER($P367),$P367,N($AJ367)))</f>
        <v/>
      </c>
      <c r="AM367" s="56">
        <f>IF(AND($A367&lt;&gt;"",$E367&lt;&gt;"",OR(AND(ISNUMBER($G367),ISNUMBER($H367),ISNUMBER($K367)),ISNUMBER($O367))),1,0)</f>
        <v>0</v>
      </c>
      <c r="AN367" s="57" t="str">
        <f>IF($A367="","",$A367-WEEKDAY($A367,3))</f>
        <v/>
      </c>
      <c r="AO367" s="56" t="str">
        <f>IF($A367="","",WEEKDAY($A367,2))</f>
        <v/>
      </c>
      <c r="AP367" s="55" t="str">
        <f>IF(OR($AM367=0,$C367=""),"",IFERROR(N(INDEX(Accounts!$E$7:$E$16,MATCH($C367,Accounts!$B$7:$B$16,0))),0)+SUMIFS($Q$6:$Q367,$C$6:$C367,$C367))</f>
        <v/>
      </c>
      <c r="AQ367" s="55" t="str">
        <f>IF(OR($AM367=0,$C367=""),"",SUMIFS($Q$6:$Q$1005,$C$6:$C$1005,$C367,$A$6:$A$1005,$A367))</f>
        <v/>
      </c>
      <c r="AR367" s="55" t="str">
        <f>IF(OR($AM367=0,$C367=""),"",IFERROR(N(INDEX(Accounts!$E$7:$E$16,MATCH($C367,Accounts!$B$7:$B$16,0))),0)+SUMIFS($Q$6:$Q$1005,$C$6:$C$1005,$C367,$A$6:$A$1005,"&lt;="&amp;$A367))</f>
        <v/>
      </c>
      <c r="AS367" s="56">
        <f>IF(OR($AM367=0,$Q367=""),0,IF(AND($A367&gt;=Lists!$W$6,$A367&lt;=Lists!$W$7,OR(Dashboard!$D$6="All accounts",$C367=Dashboard!$D$6),OR(Dashboard!$D$7="All markets",$AF367=Dashboard!$D$7)),1,0))</f>
        <v>0</v>
      </c>
      <c r="AT367" s="55">
        <f>IF($AS367=1,N(AT366)+$Q367,N(AT366))</f>
        <v>1187.10688</v>
      </c>
      <c r="AU367" s="55">
        <f>MAX(N(AU366),$AT367)</f>
        <v>1187.10688</v>
      </c>
      <c r="AV367" s="55">
        <f>$AT367-$AU367</f>
        <v>0</v>
      </c>
      <c r="AW367" s="56">
        <f>IF($AS367=1,IF($S367="Win",N(AW366)+1,IF($S367="Loss",0,N(AW366))),N(AW366))</f>
        <v>5</v>
      </c>
      <c r="AX367" s="56">
        <f>IF($AS367=1,IF($S367="Loss",N(AX366)+1,IF($S367="Win",0,N(AX366))),N(AX366))</f>
        <v>0</v>
      </c>
      <c r="AY367" s="56" t="str">
        <f>IF($AS367=1,COUNTIF($AS$6:$AS367,1),"")</f>
        <v/>
      </c>
      <c r="AZ367" s="56">
        <f>MIN(361,N(Lists!$W$8))</f>
        <v>28</v>
      </c>
      <c r="BA367" s="56">
        <f>IF($AS367=1,IF(COUNTIFS($A$6:$A367,$A367,$AS$6:$AS367,1)=1,1,0),0)</f>
        <v>0</v>
      </c>
      <c r="BB367" s="55" t="str">
        <f>IF($BA367=1,SUMIFS($Q$6:$Q$1005,$A$6:$A$1005,$A367,$AS$6:$AS$1005,1),"")</f>
        <v/>
      </c>
      <c r="BC367" s="56">
        <f>IF(ISNUMBER($R367),1,0)</f>
        <v>0</v>
      </c>
      <c r="BD367" s="55" t="str">
        <f>IF(ISNUMBER($U367),$U367*$V367,"")</f>
        <v/>
      </c>
      <c r="BE367" s="56" t="str">
        <f>IF($AM367=0,"",IFERROR(MATCH($AF367&amp;"|"&amp;UPPER(TRIM($E367)),Lists!$A$6:$A$205,0),0))</f>
        <v/>
      </c>
      <c r="BF367" s="56" t="str">
        <f>IF($AM367=0,"",IFERROR(MATCH($AF367,Settings!$B$14:$B$18,0),IFERROR(MATCH(Settings!$C$6,Settings!$B$14:$B$18,0),1)))</f>
        <v/>
      </c>
      <c r="BG367" s="58" t="str">
        <f>IF($AM367=0,"",IF(NOT(ISNUMBER($I367)),"No stop; ","")&amp;IF(AND(ISNUMBER($H367),ISNUMBER($I367)),IF(OR(AND($F367&lt;&gt;"Short",$I367&gt;=$H367),AND($F367="Short",$I367&lt;=$H367)),"Stop on wrong side; ",""),"")&amp;IF($F367="","No direction; ","")&amp;IF(AND(ISNUMBER(Settings!$C$22),ISNUMBER($V367)),IF($V367&gt;Settings!$C$22,"Risk over max $; ",""),"")&amp;IF(AND(ISNUMBER(Settings!$C$23),ISNUMBER($V367),ISNUMBER($AP367),IFERROR(N(INDEX(Accounts!$E$7:$E$16,MATCH($C367,Accounts!$B$7:$B$16,0))),0)&gt;0),IF($V367&gt;Settings!$C$23*($AP367-N($Q367)),"Risk over max %; ",""),"")&amp;IF(AND(ISNUMBER(Settings!$C$24),ISNUMBER($N367)),IF($N367&gt;Settings!$C$24,"Leverage over max; ",""),"")&amp;IF(AND(ISNUMBER(Settings!$C$27),ISNUMBER($T367)),IF($T367&lt;Settings!$C$27,"R:R below min; ",""),"")&amp;IF(ISNUMBER(Settings!$C$25),IF(COUNTIFS($A$6:$A367,$A367,$AM$6:$AM367,1)&gt;Settings!$C$25,"Over max trades/day; ",""),"")&amp;IF(ISNUMBER(Settings!$C$26),IF(SUMIFS($Q$5:$Q366,$A$5:$A366,$A367)&lt;=-Settings!$C$26,"Traded after daily max loss; ",""),"")&amp;IF(AND($AG367="",NOT(ISNUMBER($O367))),"Symbol not in Instruments; ","")&amp;IF(AND($AH367="",NOT(ISNUMBER($O367))),"Forex cross: type Gross P&amp;L; ",""))</f>
        <v/>
      </c>
      <c r="BH367" s="56">
        <f>IF(ISNUMBER($Q367),1,0)</f>
        <v>0</v>
      </c>
      <c r="BI367" s="56">
        <f>IF($Y367="",0,1)</f>
        <v>0</v>
      </c>
      <c r="BJ367" s="56">
        <f>IF($AB367="",0,1)</f>
        <v>0</v>
      </c>
      <c r="BK367" s="56">
        <f>IF(AND($BH367=1,$W367&lt;&gt;"OK"),1,0)</f>
        <v>0</v>
      </c>
      <c r="BL367" s="55">
        <f>IF(N($AZ367)=0,0,IFERROR(INDEX($AT$6:$AT$1005,MATCH($AZ367,$AY$6:$AY$1005,0)),0))</f>
        <v>1187.10688</v>
      </c>
      <c r="BM367" s="56">
        <f>IF(ISNUMBER(SEARCH("daily max loss",$BG367)),1,0)</f>
        <v>0</v>
      </c>
    </row>
    <row r="368" ht="18" customHeight="1">
      <c r="A368" s="38" t="n"/>
      <c r="B368" s="39" t="n"/>
      <c r="C368" s="40" t="n"/>
      <c r="D368" s="41" t="n"/>
      <c r="E368" s="41" t="n"/>
      <c r="F368" s="41" t="n"/>
      <c r="G368" s="41" t="n"/>
      <c r="H368" s="42" t="n"/>
      <c r="I368" s="42" t="n"/>
      <c r="J368" s="42" t="n"/>
      <c r="K368" s="42" t="n"/>
      <c r="L368" s="41" t="n"/>
      <c r="M368" s="41" t="n"/>
      <c r="N368" s="41" t="n"/>
      <c r="O368" s="43" t="n"/>
      <c r="P368" s="43" t="n"/>
      <c r="Q368" s="44" t="str">
        <f>IF($AM368=0,"",IF(ISNUMBER($AK368),$AK368-N($AL368),""))</f>
        <v/>
      </c>
      <c r="R368" s="45" t="str">
        <f>IF(OR($Q368="",NOT(ISNUMBER($V368))),"",$AK368/$V368)</f>
        <v/>
      </c>
      <c r="S368" s="46" t="str">
        <f>IF($Q368="","",IF(AND(ISNUMBER($R368),ABS(N($R368))&lt;N(Settings!$C$8)),"Scratch",IF($Q368&gt;0,"Win",IF($Q368&lt;0,"Loss","Scratch"))))</f>
        <v/>
      </c>
      <c r="T368" s="47" t="str">
        <f>IF(OR($AM368=0,NOT(ISNUMBER($H368)),NOT(ISNUMBER($I368)),NOT(ISNUMBER($J368))),"",IF($H368=$I368,"",ROUND(ABS($J368-$H368)/ABS($H368-$I368),6)))</f>
        <v/>
      </c>
      <c r="U368" s="48" t="str">
        <f>IF(OR($S368&lt;&gt;"Win",NOT(ISNUMBER($T368)),NOT(ISNUMBER($R368))),"",MAX(0,$T368-$R368))</f>
        <v/>
      </c>
      <c r="V368" s="49" t="str">
        <f>IF(OR($AM368=0,NOT(ISNUMBER($H368)),NOT(ISNUMBER($I368)),NOT(ISNUMBER($G368))),"",IF(OR($AG368="",$AH368=""),"",IF(ROUND(ABS($H368-$I368)*ABS($G368)*$AG368*$AH368,6)=0,"",ROUND(ABS($H368-$I368)*ABS($G368)*$AG368*$AH368,6))))</f>
        <v/>
      </c>
      <c r="W368" s="50" t="str">
        <f>IF($AM368=0,"",IF($BG368="","OK",LEFT($BG368,LEN($BG368)-2)))</f>
        <v/>
      </c>
      <c r="X368" s="41" t="n"/>
      <c r="Y368" s="40" t="n"/>
      <c r="Z368" s="41" t="n"/>
      <c r="AA368" s="41" t="n"/>
      <c r="AB368" s="40" t="n"/>
      <c r="AC368" s="51" t="n"/>
      <c r="AD368" s="51" t="n"/>
      <c r="AE368" s="40" t="n"/>
      <c r="AF368" s="52" t="str">
        <f>IF($AM368=0,"",IF($D368&lt;&gt;"",$D368,IF(IFERROR(INDEX(Accounts!$C$7:$C$16,MATCH($C368,Accounts!$B$7:$B$16,0))&amp;"","")&lt;&gt;"",INDEX(Accounts!$C$7:$C$16,MATCH($C368,Accounts!$B$7:$B$16,0)),Settings!$C$6)))</f>
        <v/>
      </c>
      <c r="AG368" s="53" t="str">
        <f>IF($AM368=0,"",IF(AND($BE368&gt;0,N(INDEX(Instruments!$D$6:$D$205,MAX(1,$BE368)))&gt;0),INDEX(Instruments!$D$6:$D$205,MAX(1,$BE368)),IF(N(INDEX(Settings!$D$14:$D$18,$BF368))&gt;0,INDEX(Settings!$D$14:$D$18,$BF368),"")))</f>
        <v/>
      </c>
      <c r="AH368" s="54" t="str">
        <f>IF($AM368=0,"",IF($AF368&lt;&gt;"Forex",1,IF(MID(UPPER(SUBSTITUTE(TRIM($E368),"/","")),4,3)=UPPER(TRIM(Settings!$C$7)),1,IF(LEFT(UPPER(SUBSTITUTE(TRIM($E368),"/","")),3)=UPPER(TRIM(Settings!$C$7)),IF(AND(ISNUMBER($K368),N($K368)&lt;&gt;0),1/$K368,""),""))))</f>
        <v/>
      </c>
      <c r="AI368" s="55" t="str">
        <f>IF($AM368=0,"",IF(OR(NOT(ISNUMBER($H368)),NOT(ISNUMBER($K368)),NOT(ISNUMBER($G368)),$AG368="",$AH368=""),"",ROUND(($K368-$H368)*IF($F368="Short",-1,1)*$G368*$AG368*$AH368,6)))</f>
        <v/>
      </c>
      <c r="AJ368" s="55" t="str">
        <f>IF($AM368=0,"",IF(INDEX(Settings!$E$14:$E$18,$BF368)="% of notional",IF(OR($AG368="",NOT(ISNUMBER($H368)),NOT(ISNUMBER($G368))),"",ROUND(ABS($H368*$G368*$AG368*N($AH368))*IF($L368="Limit",N(INDEX(Settings!$G$14:$G$18,$BF368)),N(INDEX(Settings!$H$14:$H$18,$BF368)))+IF(ISNUMBER($K368),ABS($K368*$G368*$AG368*N($AH368))*IF($M368="Target",N(INDEX(Settings!$G$14:$G$18,$BF368)),N(INDEX(Settings!$H$14:$H$18,$BF368))),0),6)),IF(NOT(ISNUMBER($G368)),"",ROUND(ABS($G368)*2*IF(AND($BE368&gt;0,ISNUMBER(INDEX(Instruments!$G$6:$G$205,MAX(1,$BE368)))),INDEX(Instruments!$G$6:$G$205,MAX(1,$BE368)),N(INDEX(Settings!$F$14:$F$18,$BF368))),6))))</f>
        <v/>
      </c>
      <c r="AK368" s="55" t="str">
        <f>IF($AM368=0,"",IF(ISNUMBER($O368),$O368,$AI368))</f>
        <v/>
      </c>
      <c r="AL368" s="55" t="str">
        <f>IF($AM368=0,"",IF(ISNUMBER($P368),$P368,N($AJ368)))</f>
        <v/>
      </c>
      <c r="AM368" s="56">
        <f>IF(AND($A368&lt;&gt;"",$E368&lt;&gt;"",OR(AND(ISNUMBER($G368),ISNUMBER($H368),ISNUMBER($K368)),ISNUMBER($O368))),1,0)</f>
        <v>0</v>
      </c>
      <c r="AN368" s="57" t="str">
        <f>IF($A368="","",$A368-WEEKDAY($A368,3))</f>
        <v/>
      </c>
      <c r="AO368" s="56" t="str">
        <f>IF($A368="","",WEEKDAY($A368,2))</f>
        <v/>
      </c>
      <c r="AP368" s="55" t="str">
        <f>IF(OR($AM368=0,$C368=""),"",IFERROR(N(INDEX(Accounts!$E$7:$E$16,MATCH($C368,Accounts!$B$7:$B$16,0))),0)+SUMIFS($Q$6:$Q368,$C$6:$C368,$C368))</f>
        <v/>
      </c>
      <c r="AQ368" s="55" t="str">
        <f>IF(OR($AM368=0,$C368=""),"",SUMIFS($Q$6:$Q$1005,$C$6:$C$1005,$C368,$A$6:$A$1005,$A368))</f>
        <v/>
      </c>
      <c r="AR368" s="55" t="str">
        <f>IF(OR($AM368=0,$C368=""),"",IFERROR(N(INDEX(Accounts!$E$7:$E$16,MATCH($C368,Accounts!$B$7:$B$16,0))),0)+SUMIFS($Q$6:$Q$1005,$C$6:$C$1005,$C368,$A$6:$A$1005,"&lt;="&amp;$A368))</f>
        <v/>
      </c>
      <c r="AS368" s="56">
        <f>IF(OR($AM368=0,$Q368=""),0,IF(AND($A368&gt;=Lists!$W$6,$A368&lt;=Lists!$W$7,OR(Dashboard!$D$6="All accounts",$C368=Dashboard!$D$6),OR(Dashboard!$D$7="All markets",$AF368=Dashboard!$D$7)),1,0))</f>
        <v>0</v>
      </c>
      <c r="AT368" s="55">
        <f>IF($AS368=1,N(AT367)+$Q368,N(AT367))</f>
        <v>1187.10688</v>
      </c>
      <c r="AU368" s="55">
        <f>MAX(N(AU367),$AT368)</f>
        <v>1187.10688</v>
      </c>
      <c r="AV368" s="55">
        <f>$AT368-$AU368</f>
        <v>0</v>
      </c>
      <c r="AW368" s="56">
        <f>IF($AS368=1,IF($S368="Win",N(AW367)+1,IF($S368="Loss",0,N(AW367))),N(AW367))</f>
        <v>5</v>
      </c>
      <c r="AX368" s="56">
        <f>IF($AS368=1,IF($S368="Loss",N(AX367)+1,IF($S368="Win",0,N(AX367))),N(AX367))</f>
        <v>0</v>
      </c>
      <c r="AY368" s="56" t="str">
        <f>IF($AS368=1,COUNTIF($AS$6:$AS368,1),"")</f>
        <v/>
      </c>
      <c r="AZ368" s="56">
        <f>MIN(362,N(Lists!$W$8))</f>
        <v>28</v>
      </c>
      <c r="BA368" s="56">
        <f>IF($AS368=1,IF(COUNTIFS($A$6:$A368,$A368,$AS$6:$AS368,1)=1,1,0),0)</f>
        <v>0</v>
      </c>
      <c r="BB368" s="55" t="str">
        <f>IF($BA368=1,SUMIFS($Q$6:$Q$1005,$A$6:$A$1005,$A368,$AS$6:$AS$1005,1),"")</f>
        <v/>
      </c>
      <c r="BC368" s="56">
        <f>IF(ISNUMBER($R368),1,0)</f>
        <v>0</v>
      </c>
      <c r="BD368" s="55" t="str">
        <f>IF(ISNUMBER($U368),$U368*$V368,"")</f>
        <v/>
      </c>
      <c r="BE368" s="56" t="str">
        <f>IF($AM368=0,"",IFERROR(MATCH($AF368&amp;"|"&amp;UPPER(TRIM($E368)),Lists!$A$6:$A$205,0),0))</f>
        <v/>
      </c>
      <c r="BF368" s="56" t="str">
        <f>IF($AM368=0,"",IFERROR(MATCH($AF368,Settings!$B$14:$B$18,0),IFERROR(MATCH(Settings!$C$6,Settings!$B$14:$B$18,0),1)))</f>
        <v/>
      </c>
      <c r="BG368" s="58" t="str">
        <f>IF($AM368=0,"",IF(NOT(ISNUMBER($I368)),"No stop; ","")&amp;IF(AND(ISNUMBER($H368),ISNUMBER($I368)),IF(OR(AND($F368&lt;&gt;"Short",$I368&gt;=$H368),AND($F368="Short",$I368&lt;=$H368)),"Stop on wrong side; ",""),"")&amp;IF($F368="","No direction; ","")&amp;IF(AND(ISNUMBER(Settings!$C$22),ISNUMBER($V368)),IF($V368&gt;Settings!$C$22,"Risk over max $; ",""),"")&amp;IF(AND(ISNUMBER(Settings!$C$23),ISNUMBER($V368),ISNUMBER($AP368),IFERROR(N(INDEX(Accounts!$E$7:$E$16,MATCH($C368,Accounts!$B$7:$B$16,0))),0)&gt;0),IF($V368&gt;Settings!$C$23*($AP368-N($Q368)),"Risk over max %; ",""),"")&amp;IF(AND(ISNUMBER(Settings!$C$24),ISNUMBER($N368)),IF($N368&gt;Settings!$C$24,"Leverage over max; ",""),"")&amp;IF(AND(ISNUMBER(Settings!$C$27),ISNUMBER($T368)),IF($T368&lt;Settings!$C$27,"R:R below min; ",""),"")&amp;IF(ISNUMBER(Settings!$C$25),IF(COUNTIFS($A$6:$A368,$A368,$AM$6:$AM368,1)&gt;Settings!$C$25,"Over max trades/day; ",""),"")&amp;IF(ISNUMBER(Settings!$C$26),IF(SUMIFS($Q$5:$Q367,$A$5:$A367,$A368)&lt;=-Settings!$C$26,"Traded after daily max loss; ",""),"")&amp;IF(AND($AG368="",NOT(ISNUMBER($O368))),"Symbol not in Instruments; ","")&amp;IF(AND($AH368="",NOT(ISNUMBER($O368))),"Forex cross: type Gross P&amp;L; ",""))</f>
        <v/>
      </c>
      <c r="BH368" s="56">
        <f>IF(ISNUMBER($Q368),1,0)</f>
        <v>0</v>
      </c>
      <c r="BI368" s="56">
        <f>IF($Y368="",0,1)</f>
        <v>0</v>
      </c>
      <c r="BJ368" s="56">
        <f>IF($AB368="",0,1)</f>
        <v>0</v>
      </c>
      <c r="BK368" s="56">
        <f>IF(AND($BH368=1,$W368&lt;&gt;"OK"),1,0)</f>
        <v>0</v>
      </c>
      <c r="BL368" s="55">
        <f>IF(N($AZ368)=0,0,IFERROR(INDEX($AT$6:$AT$1005,MATCH($AZ368,$AY$6:$AY$1005,0)),0))</f>
        <v>1187.10688</v>
      </c>
      <c r="BM368" s="56">
        <f>IF(ISNUMBER(SEARCH("daily max loss",$BG368)),1,0)</f>
        <v>0</v>
      </c>
    </row>
    <row r="369" ht="18" customHeight="1">
      <c r="A369" s="38" t="n"/>
      <c r="B369" s="39" t="n"/>
      <c r="C369" s="40" t="n"/>
      <c r="D369" s="41" t="n"/>
      <c r="E369" s="41" t="n"/>
      <c r="F369" s="41" t="n"/>
      <c r="G369" s="41" t="n"/>
      <c r="H369" s="42" t="n"/>
      <c r="I369" s="42" t="n"/>
      <c r="J369" s="42" t="n"/>
      <c r="K369" s="42" t="n"/>
      <c r="L369" s="41" t="n"/>
      <c r="M369" s="41" t="n"/>
      <c r="N369" s="41" t="n"/>
      <c r="O369" s="43" t="n"/>
      <c r="P369" s="43" t="n"/>
      <c r="Q369" s="44" t="str">
        <f>IF($AM369=0,"",IF(ISNUMBER($AK369),$AK369-N($AL369),""))</f>
        <v/>
      </c>
      <c r="R369" s="45" t="str">
        <f>IF(OR($Q369="",NOT(ISNUMBER($V369))),"",$AK369/$V369)</f>
        <v/>
      </c>
      <c r="S369" s="46" t="str">
        <f>IF($Q369="","",IF(AND(ISNUMBER($R369),ABS(N($R369))&lt;N(Settings!$C$8)),"Scratch",IF($Q369&gt;0,"Win",IF($Q369&lt;0,"Loss","Scratch"))))</f>
        <v/>
      </c>
      <c r="T369" s="47" t="str">
        <f>IF(OR($AM369=0,NOT(ISNUMBER($H369)),NOT(ISNUMBER($I369)),NOT(ISNUMBER($J369))),"",IF($H369=$I369,"",ROUND(ABS($J369-$H369)/ABS($H369-$I369),6)))</f>
        <v/>
      </c>
      <c r="U369" s="48" t="str">
        <f>IF(OR($S369&lt;&gt;"Win",NOT(ISNUMBER($T369)),NOT(ISNUMBER($R369))),"",MAX(0,$T369-$R369))</f>
        <v/>
      </c>
      <c r="V369" s="49" t="str">
        <f>IF(OR($AM369=0,NOT(ISNUMBER($H369)),NOT(ISNUMBER($I369)),NOT(ISNUMBER($G369))),"",IF(OR($AG369="",$AH369=""),"",IF(ROUND(ABS($H369-$I369)*ABS($G369)*$AG369*$AH369,6)=0,"",ROUND(ABS($H369-$I369)*ABS($G369)*$AG369*$AH369,6))))</f>
        <v/>
      </c>
      <c r="W369" s="50" t="str">
        <f>IF($AM369=0,"",IF($BG369="","OK",LEFT($BG369,LEN($BG369)-2)))</f>
        <v/>
      </c>
      <c r="X369" s="41" t="n"/>
      <c r="Y369" s="40" t="n"/>
      <c r="Z369" s="41" t="n"/>
      <c r="AA369" s="41" t="n"/>
      <c r="AB369" s="40" t="n"/>
      <c r="AC369" s="51" t="n"/>
      <c r="AD369" s="51" t="n"/>
      <c r="AE369" s="40" t="n"/>
      <c r="AF369" s="52" t="str">
        <f>IF($AM369=0,"",IF($D369&lt;&gt;"",$D369,IF(IFERROR(INDEX(Accounts!$C$7:$C$16,MATCH($C369,Accounts!$B$7:$B$16,0))&amp;"","")&lt;&gt;"",INDEX(Accounts!$C$7:$C$16,MATCH($C369,Accounts!$B$7:$B$16,0)),Settings!$C$6)))</f>
        <v/>
      </c>
      <c r="AG369" s="53" t="str">
        <f>IF($AM369=0,"",IF(AND($BE369&gt;0,N(INDEX(Instruments!$D$6:$D$205,MAX(1,$BE369)))&gt;0),INDEX(Instruments!$D$6:$D$205,MAX(1,$BE369)),IF(N(INDEX(Settings!$D$14:$D$18,$BF369))&gt;0,INDEX(Settings!$D$14:$D$18,$BF369),"")))</f>
        <v/>
      </c>
      <c r="AH369" s="54" t="str">
        <f>IF($AM369=0,"",IF($AF369&lt;&gt;"Forex",1,IF(MID(UPPER(SUBSTITUTE(TRIM($E369),"/","")),4,3)=UPPER(TRIM(Settings!$C$7)),1,IF(LEFT(UPPER(SUBSTITUTE(TRIM($E369),"/","")),3)=UPPER(TRIM(Settings!$C$7)),IF(AND(ISNUMBER($K369),N($K369)&lt;&gt;0),1/$K369,""),""))))</f>
        <v/>
      </c>
      <c r="AI369" s="55" t="str">
        <f>IF($AM369=0,"",IF(OR(NOT(ISNUMBER($H369)),NOT(ISNUMBER($K369)),NOT(ISNUMBER($G369)),$AG369="",$AH369=""),"",ROUND(($K369-$H369)*IF($F369="Short",-1,1)*$G369*$AG369*$AH369,6)))</f>
        <v/>
      </c>
      <c r="AJ369" s="55" t="str">
        <f>IF($AM369=0,"",IF(INDEX(Settings!$E$14:$E$18,$BF369)="% of notional",IF(OR($AG369="",NOT(ISNUMBER($H369)),NOT(ISNUMBER($G369))),"",ROUND(ABS($H369*$G369*$AG369*N($AH369))*IF($L369="Limit",N(INDEX(Settings!$G$14:$G$18,$BF369)),N(INDEX(Settings!$H$14:$H$18,$BF369)))+IF(ISNUMBER($K369),ABS($K369*$G369*$AG369*N($AH369))*IF($M369="Target",N(INDEX(Settings!$G$14:$G$18,$BF369)),N(INDEX(Settings!$H$14:$H$18,$BF369))),0),6)),IF(NOT(ISNUMBER($G369)),"",ROUND(ABS($G369)*2*IF(AND($BE369&gt;0,ISNUMBER(INDEX(Instruments!$G$6:$G$205,MAX(1,$BE369)))),INDEX(Instruments!$G$6:$G$205,MAX(1,$BE369)),N(INDEX(Settings!$F$14:$F$18,$BF369))),6))))</f>
        <v/>
      </c>
      <c r="AK369" s="55" t="str">
        <f>IF($AM369=0,"",IF(ISNUMBER($O369),$O369,$AI369))</f>
        <v/>
      </c>
      <c r="AL369" s="55" t="str">
        <f>IF($AM369=0,"",IF(ISNUMBER($P369),$P369,N($AJ369)))</f>
        <v/>
      </c>
      <c r="AM369" s="56">
        <f>IF(AND($A369&lt;&gt;"",$E369&lt;&gt;"",OR(AND(ISNUMBER($G369),ISNUMBER($H369),ISNUMBER($K369)),ISNUMBER($O369))),1,0)</f>
        <v>0</v>
      </c>
      <c r="AN369" s="57" t="str">
        <f>IF($A369="","",$A369-WEEKDAY($A369,3))</f>
        <v/>
      </c>
      <c r="AO369" s="56" t="str">
        <f>IF($A369="","",WEEKDAY($A369,2))</f>
        <v/>
      </c>
      <c r="AP369" s="55" t="str">
        <f>IF(OR($AM369=0,$C369=""),"",IFERROR(N(INDEX(Accounts!$E$7:$E$16,MATCH($C369,Accounts!$B$7:$B$16,0))),0)+SUMIFS($Q$6:$Q369,$C$6:$C369,$C369))</f>
        <v/>
      </c>
      <c r="AQ369" s="55" t="str">
        <f>IF(OR($AM369=0,$C369=""),"",SUMIFS($Q$6:$Q$1005,$C$6:$C$1005,$C369,$A$6:$A$1005,$A369))</f>
        <v/>
      </c>
      <c r="AR369" s="55" t="str">
        <f>IF(OR($AM369=0,$C369=""),"",IFERROR(N(INDEX(Accounts!$E$7:$E$16,MATCH($C369,Accounts!$B$7:$B$16,0))),0)+SUMIFS($Q$6:$Q$1005,$C$6:$C$1005,$C369,$A$6:$A$1005,"&lt;="&amp;$A369))</f>
        <v/>
      </c>
      <c r="AS369" s="56">
        <f>IF(OR($AM369=0,$Q369=""),0,IF(AND($A369&gt;=Lists!$W$6,$A369&lt;=Lists!$W$7,OR(Dashboard!$D$6="All accounts",$C369=Dashboard!$D$6),OR(Dashboard!$D$7="All markets",$AF369=Dashboard!$D$7)),1,0))</f>
        <v>0</v>
      </c>
      <c r="AT369" s="55">
        <f>IF($AS369=1,N(AT368)+$Q369,N(AT368))</f>
        <v>1187.10688</v>
      </c>
      <c r="AU369" s="55">
        <f>MAX(N(AU368),$AT369)</f>
        <v>1187.10688</v>
      </c>
      <c r="AV369" s="55">
        <f>$AT369-$AU369</f>
        <v>0</v>
      </c>
      <c r="AW369" s="56">
        <f>IF($AS369=1,IF($S369="Win",N(AW368)+1,IF($S369="Loss",0,N(AW368))),N(AW368))</f>
        <v>5</v>
      </c>
      <c r="AX369" s="56">
        <f>IF($AS369=1,IF($S369="Loss",N(AX368)+1,IF($S369="Win",0,N(AX368))),N(AX368))</f>
        <v>0</v>
      </c>
      <c r="AY369" s="56" t="str">
        <f>IF($AS369=1,COUNTIF($AS$6:$AS369,1),"")</f>
        <v/>
      </c>
      <c r="AZ369" s="56">
        <f>MIN(363,N(Lists!$W$8))</f>
        <v>28</v>
      </c>
      <c r="BA369" s="56">
        <f>IF($AS369=1,IF(COUNTIFS($A$6:$A369,$A369,$AS$6:$AS369,1)=1,1,0),0)</f>
        <v>0</v>
      </c>
      <c r="BB369" s="55" t="str">
        <f>IF($BA369=1,SUMIFS($Q$6:$Q$1005,$A$6:$A$1005,$A369,$AS$6:$AS$1005,1),"")</f>
        <v/>
      </c>
      <c r="BC369" s="56">
        <f>IF(ISNUMBER($R369),1,0)</f>
        <v>0</v>
      </c>
      <c r="BD369" s="55" t="str">
        <f>IF(ISNUMBER($U369),$U369*$V369,"")</f>
        <v/>
      </c>
      <c r="BE369" s="56" t="str">
        <f>IF($AM369=0,"",IFERROR(MATCH($AF369&amp;"|"&amp;UPPER(TRIM($E369)),Lists!$A$6:$A$205,0),0))</f>
        <v/>
      </c>
      <c r="BF369" s="56" t="str">
        <f>IF($AM369=0,"",IFERROR(MATCH($AF369,Settings!$B$14:$B$18,0),IFERROR(MATCH(Settings!$C$6,Settings!$B$14:$B$18,0),1)))</f>
        <v/>
      </c>
      <c r="BG369" s="58" t="str">
        <f>IF($AM369=0,"",IF(NOT(ISNUMBER($I369)),"No stop; ","")&amp;IF(AND(ISNUMBER($H369),ISNUMBER($I369)),IF(OR(AND($F369&lt;&gt;"Short",$I369&gt;=$H369),AND($F369="Short",$I369&lt;=$H369)),"Stop on wrong side; ",""),"")&amp;IF($F369="","No direction; ","")&amp;IF(AND(ISNUMBER(Settings!$C$22),ISNUMBER($V369)),IF($V369&gt;Settings!$C$22,"Risk over max $; ",""),"")&amp;IF(AND(ISNUMBER(Settings!$C$23),ISNUMBER($V369),ISNUMBER($AP369),IFERROR(N(INDEX(Accounts!$E$7:$E$16,MATCH($C369,Accounts!$B$7:$B$16,0))),0)&gt;0),IF($V369&gt;Settings!$C$23*($AP369-N($Q369)),"Risk over max %; ",""),"")&amp;IF(AND(ISNUMBER(Settings!$C$24),ISNUMBER($N369)),IF($N369&gt;Settings!$C$24,"Leverage over max; ",""),"")&amp;IF(AND(ISNUMBER(Settings!$C$27),ISNUMBER($T369)),IF($T369&lt;Settings!$C$27,"R:R below min; ",""),"")&amp;IF(ISNUMBER(Settings!$C$25),IF(COUNTIFS($A$6:$A369,$A369,$AM$6:$AM369,1)&gt;Settings!$C$25,"Over max trades/day; ",""),"")&amp;IF(ISNUMBER(Settings!$C$26),IF(SUMIFS($Q$5:$Q368,$A$5:$A368,$A369)&lt;=-Settings!$C$26,"Traded after daily max loss; ",""),"")&amp;IF(AND($AG369="",NOT(ISNUMBER($O369))),"Symbol not in Instruments; ","")&amp;IF(AND($AH369="",NOT(ISNUMBER($O369))),"Forex cross: type Gross P&amp;L; ",""))</f>
        <v/>
      </c>
      <c r="BH369" s="56">
        <f>IF(ISNUMBER($Q369),1,0)</f>
        <v>0</v>
      </c>
      <c r="BI369" s="56">
        <f>IF($Y369="",0,1)</f>
        <v>0</v>
      </c>
      <c r="BJ369" s="56">
        <f>IF($AB369="",0,1)</f>
        <v>0</v>
      </c>
      <c r="BK369" s="56">
        <f>IF(AND($BH369=1,$W369&lt;&gt;"OK"),1,0)</f>
        <v>0</v>
      </c>
      <c r="BL369" s="55">
        <f>IF(N($AZ369)=0,0,IFERROR(INDEX($AT$6:$AT$1005,MATCH($AZ369,$AY$6:$AY$1005,0)),0))</f>
        <v>1187.10688</v>
      </c>
      <c r="BM369" s="56">
        <f>IF(ISNUMBER(SEARCH("daily max loss",$BG369)),1,0)</f>
        <v>0</v>
      </c>
    </row>
    <row r="370" ht="18" customHeight="1">
      <c r="A370" s="38" t="n"/>
      <c r="B370" s="39" t="n"/>
      <c r="C370" s="40" t="n"/>
      <c r="D370" s="41" t="n"/>
      <c r="E370" s="41" t="n"/>
      <c r="F370" s="41" t="n"/>
      <c r="G370" s="41" t="n"/>
      <c r="H370" s="42" t="n"/>
      <c r="I370" s="42" t="n"/>
      <c r="J370" s="42" t="n"/>
      <c r="K370" s="42" t="n"/>
      <c r="L370" s="41" t="n"/>
      <c r="M370" s="41" t="n"/>
      <c r="N370" s="41" t="n"/>
      <c r="O370" s="43" t="n"/>
      <c r="P370" s="43" t="n"/>
      <c r="Q370" s="44" t="str">
        <f>IF($AM370=0,"",IF(ISNUMBER($AK370),$AK370-N($AL370),""))</f>
        <v/>
      </c>
      <c r="R370" s="45" t="str">
        <f>IF(OR($Q370="",NOT(ISNUMBER($V370))),"",$AK370/$V370)</f>
        <v/>
      </c>
      <c r="S370" s="46" t="str">
        <f>IF($Q370="","",IF(AND(ISNUMBER($R370),ABS(N($R370))&lt;N(Settings!$C$8)),"Scratch",IF($Q370&gt;0,"Win",IF($Q370&lt;0,"Loss","Scratch"))))</f>
        <v/>
      </c>
      <c r="T370" s="47" t="str">
        <f>IF(OR($AM370=0,NOT(ISNUMBER($H370)),NOT(ISNUMBER($I370)),NOT(ISNUMBER($J370))),"",IF($H370=$I370,"",ROUND(ABS($J370-$H370)/ABS($H370-$I370),6)))</f>
        <v/>
      </c>
      <c r="U370" s="48" t="str">
        <f>IF(OR($S370&lt;&gt;"Win",NOT(ISNUMBER($T370)),NOT(ISNUMBER($R370))),"",MAX(0,$T370-$R370))</f>
        <v/>
      </c>
      <c r="V370" s="49" t="str">
        <f>IF(OR($AM370=0,NOT(ISNUMBER($H370)),NOT(ISNUMBER($I370)),NOT(ISNUMBER($G370))),"",IF(OR($AG370="",$AH370=""),"",IF(ROUND(ABS($H370-$I370)*ABS($G370)*$AG370*$AH370,6)=0,"",ROUND(ABS($H370-$I370)*ABS($G370)*$AG370*$AH370,6))))</f>
        <v/>
      </c>
      <c r="W370" s="50" t="str">
        <f>IF($AM370=0,"",IF($BG370="","OK",LEFT($BG370,LEN($BG370)-2)))</f>
        <v/>
      </c>
      <c r="X370" s="41" t="n"/>
      <c r="Y370" s="40" t="n"/>
      <c r="Z370" s="41" t="n"/>
      <c r="AA370" s="41" t="n"/>
      <c r="AB370" s="40" t="n"/>
      <c r="AC370" s="51" t="n"/>
      <c r="AD370" s="51" t="n"/>
      <c r="AE370" s="40" t="n"/>
      <c r="AF370" s="52" t="str">
        <f>IF($AM370=0,"",IF($D370&lt;&gt;"",$D370,IF(IFERROR(INDEX(Accounts!$C$7:$C$16,MATCH($C370,Accounts!$B$7:$B$16,0))&amp;"","")&lt;&gt;"",INDEX(Accounts!$C$7:$C$16,MATCH($C370,Accounts!$B$7:$B$16,0)),Settings!$C$6)))</f>
        <v/>
      </c>
      <c r="AG370" s="53" t="str">
        <f>IF($AM370=0,"",IF(AND($BE370&gt;0,N(INDEX(Instruments!$D$6:$D$205,MAX(1,$BE370)))&gt;0),INDEX(Instruments!$D$6:$D$205,MAX(1,$BE370)),IF(N(INDEX(Settings!$D$14:$D$18,$BF370))&gt;0,INDEX(Settings!$D$14:$D$18,$BF370),"")))</f>
        <v/>
      </c>
      <c r="AH370" s="54" t="str">
        <f>IF($AM370=0,"",IF($AF370&lt;&gt;"Forex",1,IF(MID(UPPER(SUBSTITUTE(TRIM($E370),"/","")),4,3)=UPPER(TRIM(Settings!$C$7)),1,IF(LEFT(UPPER(SUBSTITUTE(TRIM($E370),"/","")),3)=UPPER(TRIM(Settings!$C$7)),IF(AND(ISNUMBER($K370),N($K370)&lt;&gt;0),1/$K370,""),""))))</f>
        <v/>
      </c>
      <c r="AI370" s="55" t="str">
        <f>IF($AM370=0,"",IF(OR(NOT(ISNUMBER($H370)),NOT(ISNUMBER($K370)),NOT(ISNUMBER($G370)),$AG370="",$AH370=""),"",ROUND(($K370-$H370)*IF($F370="Short",-1,1)*$G370*$AG370*$AH370,6)))</f>
        <v/>
      </c>
      <c r="AJ370" s="55" t="str">
        <f>IF($AM370=0,"",IF(INDEX(Settings!$E$14:$E$18,$BF370)="% of notional",IF(OR($AG370="",NOT(ISNUMBER($H370)),NOT(ISNUMBER($G370))),"",ROUND(ABS($H370*$G370*$AG370*N($AH370))*IF($L370="Limit",N(INDEX(Settings!$G$14:$G$18,$BF370)),N(INDEX(Settings!$H$14:$H$18,$BF370)))+IF(ISNUMBER($K370),ABS($K370*$G370*$AG370*N($AH370))*IF($M370="Target",N(INDEX(Settings!$G$14:$G$18,$BF370)),N(INDEX(Settings!$H$14:$H$18,$BF370))),0),6)),IF(NOT(ISNUMBER($G370)),"",ROUND(ABS($G370)*2*IF(AND($BE370&gt;0,ISNUMBER(INDEX(Instruments!$G$6:$G$205,MAX(1,$BE370)))),INDEX(Instruments!$G$6:$G$205,MAX(1,$BE370)),N(INDEX(Settings!$F$14:$F$18,$BF370))),6))))</f>
        <v/>
      </c>
      <c r="AK370" s="55" t="str">
        <f>IF($AM370=0,"",IF(ISNUMBER($O370),$O370,$AI370))</f>
        <v/>
      </c>
      <c r="AL370" s="55" t="str">
        <f>IF($AM370=0,"",IF(ISNUMBER($P370),$P370,N($AJ370)))</f>
        <v/>
      </c>
      <c r="AM370" s="56">
        <f>IF(AND($A370&lt;&gt;"",$E370&lt;&gt;"",OR(AND(ISNUMBER($G370),ISNUMBER($H370),ISNUMBER($K370)),ISNUMBER($O370))),1,0)</f>
        <v>0</v>
      </c>
      <c r="AN370" s="57" t="str">
        <f>IF($A370="","",$A370-WEEKDAY($A370,3))</f>
        <v/>
      </c>
      <c r="AO370" s="56" t="str">
        <f>IF($A370="","",WEEKDAY($A370,2))</f>
        <v/>
      </c>
      <c r="AP370" s="55" t="str">
        <f>IF(OR($AM370=0,$C370=""),"",IFERROR(N(INDEX(Accounts!$E$7:$E$16,MATCH($C370,Accounts!$B$7:$B$16,0))),0)+SUMIFS($Q$6:$Q370,$C$6:$C370,$C370))</f>
        <v/>
      </c>
      <c r="AQ370" s="55" t="str">
        <f>IF(OR($AM370=0,$C370=""),"",SUMIFS($Q$6:$Q$1005,$C$6:$C$1005,$C370,$A$6:$A$1005,$A370))</f>
        <v/>
      </c>
      <c r="AR370" s="55" t="str">
        <f>IF(OR($AM370=0,$C370=""),"",IFERROR(N(INDEX(Accounts!$E$7:$E$16,MATCH($C370,Accounts!$B$7:$B$16,0))),0)+SUMIFS($Q$6:$Q$1005,$C$6:$C$1005,$C370,$A$6:$A$1005,"&lt;="&amp;$A370))</f>
        <v/>
      </c>
      <c r="AS370" s="56">
        <f>IF(OR($AM370=0,$Q370=""),0,IF(AND($A370&gt;=Lists!$W$6,$A370&lt;=Lists!$W$7,OR(Dashboard!$D$6="All accounts",$C370=Dashboard!$D$6),OR(Dashboard!$D$7="All markets",$AF370=Dashboard!$D$7)),1,0))</f>
        <v>0</v>
      </c>
      <c r="AT370" s="55">
        <f>IF($AS370=1,N(AT369)+$Q370,N(AT369))</f>
        <v>1187.10688</v>
      </c>
      <c r="AU370" s="55">
        <f>MAX(N(AU369),$AT370)</f>
        <v>1187.10688</v>
      </c>
      <c r="AV370" s="55">
        <f>$AT370-$AU370</f>
        <v>0</v>
      </c>
      <c r="AW370" s="56">
        <f>IF($AS370=1,IF($S370="Win",N(AW369)+1,IF($S370="Loss",0,N(AW369))),N(AW369))</f>
        <v>5</v>
      </c>
      <c r="AX370" s="56">
        <f>IF($AS370=1,IF($S370="Loss",N(AX369)+1,IF($S370="Win",0,N(AX369))),N(AX369))</f>
        <v>0</v>
      </c>
      <c r="AY370" s="56" t="str">
        <f>IF($AS370=1,COUNTIF($AS$6:$AS370,1),"")</f>
        <v/>
      </c>
      <c r="AZ370" s="56">
        <f>MIN(364,N(Lists!$W$8))</f>
        <v>28</v>
      </c>
      <c r="BA370" s="56">
        <f>IF($AS370=1,IF(COUNTIFS($A$6:$A370,$A370,$AS$6:$AS370,1)=1,1,0),0)</f>
        <v>0</v>
      </c>
      <c r="BB370" s="55" t="str">
        <f>IF($BA370=1,SUMIFS($Q$6:$Q$1005,$A$6:$A$1005,$A370,$AS$6:$AS$1005,1),"")</f>
        <v/>
      </c>
      <c r="BC370" s="56">
        <f>IF(ISNUMBER($R370),1,0)</f>
        <v>0</v>
      </c>
      <c r="BD370" s="55" t="str">
        <f>IF(ISNUMBER($U370),$U370*$V370,"")</f>
        <v/>
      </c>
      <c r="BE370" s="56" t="str">
        <f>IF($AM370=0,"",IFERROR(MATCH($AF370&amp;"|"&amp;UPPER(TRIM($E370)),Lists!$A$6:$A$205,0),0))</f>
        <v/>
      </c>
      <c r="BF370" s="56" t="str">
        <f>IF($AM370=0,"",IFERROR(MATCH($AF370,Settings!$B$14:$B$18,0),IFERROR(MATCH(Settings!$C$6,Settings!$B$14:$B$18,0),1)))</f>
        <v/>
      </c>
      <c r="BG370" s="58" t="str">
        <f>IF($AM370=0,"",IF(NOT(ISNUMBER($I370)),"No stop; ","")&amp;IF(AND(ISNUMBER($H370),ISNUMBER($I370)),IF(OR(AND($F370&lt;&gt;"Short",$I370&gt;=$H370),AND($F370="Short",$I370&lt;=$H370)),"Stop on wrong side; ",""),"")&amp;IF($F370="","No direction; ","")&amp;IF(AND(ISNUMBER(Settings!$C$22),ISNUMBER($V370)),IF($V370&gt;Settings!$C$22,"Risk over max $; ",""),"")&amp;IF(AND(ISNUMBER(Settings!$C$23),ISNUMBER($V370),ISNUMBER($AP370),IFERROR(N(INDEX(Accounts!$E$7:$E$16,MATCH($C370,Accounts!$B$7:$B$16,0))),0)&gt;0),IF($V370&gt;Settings!$C$23*($AP370-N($Q370)),"Risk over max %; ",""),"")&amp;IF(AND(ISNUMBER(Settings!$C$24),ISNUMBER($N370)),IF($N370&gt;Settings!$C$24,"Leverage over max; ",""),"")&amp;IF(AND(ISNUMBER(Settings!$C$27),ISNUMBER($T370)),IF($T370&lt;Settings!$C$27,"R:R below min; ",""),"")&amp;IF(ISNUMBER(Settings!$C$25),IF(COUNTIFS($A$6:$A370,$A370,$AM$6:$AM370,1)&gt;Settings!$C$25,"Over max trades/day; ",""),"")&amp;IF(ISNUMBER(Settings!$C$26),IF(SUMIFS($Q$5:$Q369,$A$5:$A369,$A370)&lt;=-Settings!$C$26,"Traded after daily max loss; ",""),"")&amp;IF(AND($AG370="",NOT(ISNUMBER($O370))),"Symbol not in Instruments; ","")&amp;IF(AND($AH370="",NOT(ISNUMBER($O370))),"Forex cross: type Gross P&amp;L; ",""))</f>
        <v/>
      </c>
      <c r="BH370" s="56">
        <f>IF(ISNUMBER($Q370),1,0)</f>
        <v>0</v>
      </c>
      <c r="BI370" s="56">
        <f>IF($Y370="",0,1)</f>
        <v>0</v>
      </c>
      <c r="BJ370" s="56">
        <f>IF($AB370="",0,1)</f>
        <v>0</v>
      </c>
      <c r="BK370" s="56">
        <f>IF(AND($BH370=1,$W370&lt;&gt;"OK"),1,0)</f>
        <v>0</v>
      </c>
      <c r="BL370" s="55">
        <f>IF(N($AZ370)=0,0,IFERROR(INDEX($AT$6:$AT$1005,MATCH($AZ370,$AY$6:$AY$1005,0)),0))</f>
        <v>1187.10688</v>
      </c>
      <c r="BM370" s="56">
        <f>IF(ISNUMBER(SEARCH("daily max loss",$BG370)),1,0)</f>
        <v>0</v>
      </c>
    </row>
    <row r="371" ht="18" customHeight="1">
      <c r="A371" s="38" t="n"/>
      <c r="B371" s="39" t="n"/>
      <c r="C371" s="40" t="n"/>
      <c r="D371" s="41" t="n"/>
      <c r="E371" s="41" t="n"/>
      <c r="F371" s="41" t="n"/>
      <c r="G371" s="41" t="n"/>
      <c r="H371" s="42" t="n"/>
      <c r="I371" s="42" t="n"/>
      <c r="J371" s="42" t="n"/>
      <c r="K371" s="42" t="n"/>
      <c r="L371" s="41" t="n"/>
      <c r="M371" s="41" t="n"/>
      <c r="N371" s="41" t="n"/>
      <c r="O371" s="43" t="n"/>
      <c r="P371" s="43" t="n"/>
      <c r="Q371" s="44" t="str">
        <f>IF($AM371=0,"",IF(ISNUMBER($AK371),$AK371-N($AL371),""))</f>
        <v/>
      </c>
      <c r="R371" s="45" t="str">
        <f>IF(OR($Q371="",NOT(ISNUMBER($V371))),"",$AK371/$V371)</f>
        <v/>
      </c>
      <c r="S371" s="46" t="str">
        <f>IF($Q371="","",IF(AND(ISNUMBER($R371),ABS(N($R371))&lt;N(Settings!$C$8)),"Scratch",IF($Q371&gt;0,"Win",IF($Q371&lt;0,"Loss","Scratch"))))</f>
        <v/>
      </c>
      <c r="T371" s="47" t="str">
        <f>IF(OR($AM371=0,NOT(ISNUMBER($H371)),NOT(ISNUMBER($I371)),NOT(ISNUMBER($J371))),"",IF($H371=$I371,"",ROUND(ABS($J371-$H371)/ABS($H371-$I371),6)))</f>
        <v/>
      </c>
      <c r="U371" s="48" t="str">
        <f>IF(OR($S371&lt;&gt;"Win",NOT(ISNUMBER($T371)),NOT(ISNUMBER($R371))),"",MAX(0,$T371-$R371))</f>
        <v/>
      </c>
      <c r="V371" s="49" t="str">
        <f>IF(OR($AM371=0,NOT(ISNUMBER($H371)),NOT(ISNUMBER($I371)),NOT(ISNUMBER($G371))),"",IF(OR($AG371="",$AH371=""),"",IF(ROUND(ABS($H371-$I371)*ABS($G371)*$AG371*$AH371,6)=0,"",ROUND(ABS($H371-$I371)*ABS($G371)*$AG371*$AH371,6))))</f>
        <v/>
      </c>
      <c r="W371" s="50" t="str">
        <f>IF($AM371=0,"",IF($BG371="","OK",LEFT($BG371,LEN($BG371)-2)))</f>
        <v/>
      </c>
      <c r="X371" s="41" t="n"/>
      <c r="Y371" s="40" t="n"/>
      <c r="Z371" s="41" t="n"/>
      <c r="AA371" s="41" t="n"/>
      <c r="AB371" s="40" t="n"/>
      <c r="AC371" s="51" t="n"/>
      <c r="AD371" s="51" t="n"/>
      <c r="AE371" s="40" t="n"/>
      <c r="AF371" s="52" t="str">
        <f>IF($AM371=0,"",IF($D371&lt;&gt;"",$D371,IF(IFERROR(INDEX(Accounts!$C$7:$C$16,MATCH($C371,Accounts!$B$7:$B$16,0))&amp;"","")&lt;&gt;"",INDEX(Accounts!$C$7:$C$16,MATCH($C371,Accounts!$B$7:$B$16,0)),Settings!$C$6)))</f>
        <v/>
      </c>
      <c r="AG371" s="53" t="str">
        <f>IF($AM371=0,"",IF(AND($BE371&gt;0,N(INDEX(Instruments!$D$6:$D$205,MAX(1,$BE371)))&gt;0),INDEX(Instruments!$D$6:$D$205,MAX(1,$BE371)),IF(N(INDEX(Settings!$D$14:$D$18,$BF371))&gt;0,INDEX(Settings!$D$14:$D$18,$BF371),"")))</f>
        <v/>
      </c>
      <c r="AH371" s="54" t="str">
        <f>IF($AM371=0,"",IF($AF371&lt;&gt;"Forex",1,IF(MID(UPPER(SUBSTITUTE(TRIM($E371),"/","")),4,3)=UPPER(TRIM(Settings!$C$7)),1,IF(LEFT(UPPER(SUBSTITUTE(TRIM($E371),"/","")),3)=UPPER(TRIM(Settings!$C$7)),IF(AND(ISNUMBER($K371),N($K371)&lt;&gt;0),1/$K371,""),""))))</f>
        <v/>
      </c>
      <c r="AI371" s="55" t="str">
        <f>IF($AM371=0,"",IF(OR(NOT(ISNUMBER($H371)),NOT(ISNUMBER($K371)),NOT(ISNUMBER($G371)),$AG371="",$AH371=""),"",ROUND(($K371-$H371)*IF($F371="Short",-1,1)*$G371*$AG371*$AH371,6)))</f>
        <v/>
      </c>
      <c r="AJ371" s="55" t="str">
        <f>IF($AM371=0,"",IF(INDEX(Settings!$E$14:$E$18,$BF371)="% of notional",IF(OR($AG371="",NOT(ISNUMBER($H371)),NOT(ISNUMBER($G371))),"",ROUND(ABS($H371*$G371*$AG371*N($AH371))*IF($L371="Limit",N(INDEX(Settings!$G$14:$G$18,$BF371)),N(INDEX(Settings!$H$14:$H$18,$BF371)))+IF(ISNUMBER($K371),ABS($K371*$G371*$AG371*N($AH371))*IF($M371="Target",N(INDEX(Settings!$G$14:$G$18,$BF371)),N(INDEX(Settings!$H$14:$H$18,$BF371))),0),6)),IF(NOT(ISNUMBER($G371)),"",ROUND(ABS($G371)*2*IF(AND($BE371&gt;0,ISNUMBER(INDEX(Instruments!$G$6:$G$205,MAX(1,$BE371)))),INDEX(Instruments!$G$6:$G$205,MAX(1,$BE371)),N(INDEX(Settings!$F$14:$F$18,$BF371))),6))))</f>
        <v/>
      </c>
      <c r="AK371" s="55" t="str">
        <f>IF($AM371=0,"",IF(ISNUMBER($O371),$O371,$AI371))</f>
        <v/>
      </c>
      <c r="AL371" s="55" t="str">
        <f>IF($AM371=0,"",IF(ISNUMBER($P371),$P371,N($AJ371)))</f>
        <v/>
      </c>
      <c r="AM371" s="56">
        <f>IF(AND($A371&lt;&gt;"",$E371&lt;&gt;"",OR(AND(ISNUMBER($G371),ISNUMBER($H371),ISNUMBER($K371)),ISNUMBER($O371))),1,0)</f>
        <v>0</v>
      </c>
      <c r="AN371" s="57" t="str">
        <f>IF($A371="","",$A371-WEEKDAY($A371,3))</f>
        <v/>
      </c>
      <c r="AO371" s="56" t="str">
        <f>IF($A371="","",WEEKDAY($A371,2))</f>
        <v/>
      </c>
      <c r="AP371" s="55" t="str">
        <f>IF(OR($AM371=0,$C371=""),"",IFERROR(N(INDEX(Accounts!$E$7:$E$16,MATCH($C371,Accounts!$B$7:$B$16,0))),0)+SUMIFS($Q$6:$Q371,$C$6:$C371,$C371))</f>
        <v/>
      </c>
      <c r="AQ371" s="55" t="str">
        <f>IF(OR($AM371=0,$C371=""),"",SUMIFS($Q$6:$Q$1005,$C$6:$C$1005,$C371,$A$6:$A$1005,$A371))</f>
        <v/>
      </c>
      <c r="AR371" s="55" t="str">
        <f>IF(OR($AM371=0,$C371=""),"",IFERROR(N(INDEX(Accounts!$E$7:$E$16,MATCH($C371,Accounts!$B$7:$B$16,0))),0)+SUMIFS($Q$6:$Q$1005,$C$6:$C$1005,$C371,$A$6:$A$1005,"&lt;="&amp;$A371))</f>
        <v/>
      </c>
      <c r="AS371" s="56">
        <f>IF(OR($AM371=0,$Q371=""),0,IF(AND($A371&gt;=Lists!$W$6,$A371&lt;=Lists!$W$7,OR(Dashboard!$D$6="All accounts",$C371=Dashboard!$D$6),OR(Dashboard!$D$7="All markets",$AF371=Dashboard!$D$7)),1,0))</f>
        <v>0</v>
      </c>
      <c r="AT371" s="55">
        <f>IF($AS371=1,N(AT370)+$Q371,N(AT370))</f>
        <v>1187.10688</v>
      </c>
      <c r="AU371" s="55">
        <f>MAX(N(AU370),$AT371)</f>
        <v>1187.10688</v>
      </c>
      <c r="AV371" s="55">
        <f>$AT371-$AU371</f>
        <v>0</v>
      </c>
      <c r="AW371" s="56">
        <f>IF($AS371=1,IF($S371="Win",N(AW370)+1,IF($S371="Loss",0,N(AW370))),N(AW370))</f>
        <v>5</v>
      </c>
      <c r="AX371" s="56">
        <f>IF($AS371=1,IF($S371="Loss",N(AX370)+1,IF($S371="Win",0,N(AX370))),N(AX370))</f>
        <v>0</v>
      </c>
      <c r="AY371" s="56" t="str">
        <f>IF($AS371=1,COUNTIF($AS$6:$AS371,1),"")</f>
        <v/>
      </c>
      <c r="AZ371" s="56">
        <f>MIN(365,N(Lists!$W$8))</f>
        <v>28</v>
      </c>
      <c r="BA371" s="56">
        <f>IF($AS371=1,IF(COUNTIFS($A$6:$A371,$A371,$AS$6:$AS371,1)=1,1,0),0)</f>
        <v>0</v>
      </c>
      <c r="BB371" s="55" t="str">
        <f>IF($BA371=1,SUMIFS($Q$6:$Q$1005,$A$6:$A$1005,$A371,$AS$6:$AS$1005,1),"")</f>
        <v/>
      </c>
      <c r="BC371" s="56">
        <f>IF(ISNUMBER($R371),1,0)</f>
        <v>0</v>
      </c>
      <c r="BD371" s="55" t="str">
        <f>IF(ISNUMBER($U371),$U371*$V371,"")</f>
        <v/>
      </c>
      <c r="BE371" s="56" t="str">
        <f>IF($AM371=0,"",IFERROR(MATCH($AF371&amp;"|"&amp;UPPER(TRIM($E371)),Lists!$A$6:$A$205,0),0))</f>
        <v/>
      </c>
      <c r="BF371" s="56" t="str">
        <f>IF($AM371=0,"",IFERROR(MATCH($AF371,Settings!$B$14:$B$18,0),IFERROR(MATCH(Settings!$C$6,Settings!$B$14:$B$18,0),1)))</f>
        <v/>
      </c>
      <c r="BG371" s="58" t="str">
        <f>IF($AM371=0,"",IF(NOT(ISNUMBER($I371)),"No stop; ","")&amp;IF(AND(ISNUMBER($H371),ISNUMBER($I371)),IF(OR(AND($F371&lt;&gt;"Short",$I371&gt;=$H371),AND($F371="Short",$I371&lt;=$H371)),"Stop on wrong side; ",""),"")&amp;IF($F371="","No direction; ","")&amp;IF(AND(ISNUMBER(Settings!$C$22),ISNUMBER($V371)),IF($V371&gt;Settings!$C$22,"Risk over max $; ",""),"")&amp;IF(AND(ISNUMBER(Settings!$C$23),ISNUMBER($V371),ISNUMBER($AP371),IFERROR(N(INDEX(Accounts!$E$7:$E$16,MATCH($C371,Accounts!$B$7:$B$16,0))),0)&gt;0),IF($V371&gt;Settings!$C$23*($AP371-N($Q371)),"Risk over max %; ",""),"")&amp;IF(AND(ISNUMBER(Settings!$C$24),ISNUMBER($N371)),IF($N371&gt;Settings!$C$24,"Leverage over max; ",""),"")&amp;IF(AND(ISNUMBER(Settings!$C$27),ISNUMBER($T371)),IF($T371&lt;Settings!$C$27,"R:R below min; ",""),"")&amp;IF(ISNUMBER(Settings!$C$25),IF(COUNTIFS($A$6:$A371,$A371,$AM$6:$AM371,1)&gt;Settings!$C$25,"Over max trades/day; ",""),"")&amp;IF(ISNUMBER(Settings!$C$26),IF(SUMIFS($Q$5:$Q370,$A$5:$A370,$A371)&lt;=-Settings!$C$26,"Traded after daily max loss; ",""),"")&amp;IF(AND($AG371="",NOT(ISNUMBER($O371))),"Symbol not in Instruments; ","")&amp;IF(AND($AH371="",NOT(ISNUMBER($O371))),"Forex cross: type Gross P&amp;L; ",""))</f>
        <v/>
      </c>
      <c r="BH371" s="56">
        <f>IF(ISNUMBER($Q371),1,0)</f>
        <v>0</v>
      </c>
      <c r="BI371" s="56">
        <f>IF($Y371="",0,1)</f>
        <v>0</v>
      </c>
      <c r="BJ371" s="56">
        <f>IF($AB371="",0,1)</f>
        <v>0</v>
      </c>
      <c r="BK371" s="56">
        <f>IF(AND($BH371=1,$W371&lt;&gt;"OK"),1,0)</f>
        <v>0</v>
      </c>
      <c r="BL371" s="55">
        <f>IF(N($AZ371)=0,0,IFERROR(INDEX($AT$6:$AT$1005,MATCH($AZ371,$AY$6:$AY$1005,0)),0))</f>
        <v>1187.10688</v>
      </c>
      <c r="BM371" s="56">
        <f>IF(ISNUMBER(SEARCH("daily max loss",$BG371)),1,0)</f>
        <v>0</v>
      </c>
    </row>
    <row r="372" ht="18" customHeight="1">
      <c r="A372" s="38" t="n"/>
      <c r="B372" s="39" t="n"/>
      <c r="C372" s="40" t="n"/>
      <c r="D372" s="41" t="n"/>
      <c r="E372" s="41" t="n"/>
      <c r="F372" s="41" t="n"/>
      <c r="G372" s="41" t="n"/>
      <c r="H372" s="42" t="n"/>
      <c r="I372" s="42" t="n"/>
      <c r="J372" s="42" t="n"/>
      <c r="K372" s="42" t="n"/>
      <c r="L372" s="41" t="n"/>
      <c r="M372" s="41" t="n"/>
      <c r="N372" s="41" t="n"/>
      <c r="O372" s="43" t="n"/>
      <c r="P372" s="43" t="n"/>
      <c r="Q372" s="44" t="str">
        <f>IF($AM372=0,"",IF(ISNUMBER($AK372),$AK372-N($AL372),""))</f>
        <v/>
      </c>
      <c r="R372" s="45" t="str">
        <f>IF(OR($Q372="",NOT(ISNUMBER($V372))),"",$AK372/$V372)</f>
        <v/>
      </c>
      <c r="S372" s="46" t="str">
        <f>IF($Q372="","",IF(AND(ISNUMBER($R372),ABS(N($R372))&lt;N(Settings!$C$8)),"Scratch",IF($Q372&gt;0,"Win",IF($Q372&lt;0,"Loss","Scratch"))))</f>
        <v/>
      </c>
      <c r="T372" s="47" t="str">
        <f>IF(OR($AM372=0,NOT(ISNUMBER($H372)),NOT(ISNUMBER($I372)),NOT(ISNUMBER($J372))),"",IF($H372=$I372,"",ROUND(ABS($J372-$H372)/ABS($H372-$I372),6)))</f>
        <v/>
      </c>
      <c r="U372" s="48" t="str">
        <f>IF(OR($S372&lt;&gt;"Win",NOT(ISNUMBER($T372)),NOT(ISNUMBER($R372))),"",MAX(0,$T372-$R372))</f>
        <v/>
      </c>
      <c r="V372" s="49" t="str">
        <f>IF(OR($AM372=0,NOT(ISNUMBER($H372)),NOT(ISNUMBER($I372)),NOT(ISNUMBER($G372))),"",IF(OR($AG372="",$AH372=""),"",IF(ROUND(ABS($H372-$I372)*ABS($G372)*$AG372*$AH372,6)=0,"",ROUND(ABS($H372-$I372)*ABS($G372)*$AG372*$AH372,6))))</f>
        <v/>
      </c>
      <c r="W372" s="50" t="str">
        <f>IF($AM372=0,"",IF($BG372="","OK",LEFT($BG372,LEN($BG372)-2)))</f>
        <v/>
      </c>
      <c r="X372" s="41" t="n"/>
      <c r="Y372" s="40" t="n"/>
      <c r="Z372" s="41" t="n"/>
      <c r="AA372" s="41" t="n"/>
      <c r="AB372" s="40" t="n"/>
      <c r="AC372" s="51" t="n"/>
      <c r="AD372" s="51" t="n"/>
      <c r="AE372" s="40" t="n"/>
      <c r="AF372" s="52" t="str">
        <f>IF($AM372=0,"",IF($D372&lt;&gt;"",$D372,IF(IFERROR(INDEX(Accounts!$C$7:$C$16,MATCH($C372,Accounts!$B$7:$B$16,0))&amp;"","")&lt;&gt;"",INDEX(Accounts!$C$7:$C$16,MATCH($C372,Accounts!$B$7:$B$16,0)),Settings!$C$6)))</f>
        <v/>
      </c>
      <c r="AG372" s="53" t="str">
        <f>IF($AM372=0,"",IF(AND($BE372&gt;0,N(INDEX(Instruments!$D$6:$D$205,MAX(1,$BE372)))&gt;0),INDEX(Instruments!$D$6:$D$205,MAX(1,$BE372)),IF(N(INDEX(Settings!$D$14:$D$18,$BF372))&gt;0,INDEX(Settings!$D$14:$D$18,$BF372),"")))</f>
        <v/>
      </c>
      <c r="AH372" s="54" t="str">
        <f>IF($AM372=0,"",IF($AF372&lt;&gt;"Forex",1,IF(MID(UPPER(SUBSTITUTE(TRIM($E372),"/","")),4,3)=UPPER(TRIM(Settings!$C$7)),1,IF(LEFT(UPPER(SUBSTITUTE(TRIM($E372),"/","")),3)=UPPER(TRIM(Settings!$C$7)),IF(AND(ISNUMBER($K372),N($K372)&lt;&gt;0),1/$K372,""),""))))</f>
        <v/>
      </c>
      <c r="AI372" s="55" t="str">
        <f>IF($AM372=0,"",IF(OR(NOT(ISNUMBER($H372)),NOT(ISNUMBER($K372)),NOT(ISNUMBER($G372)),$AG372="",$AH372=""),"",ROUND(($K372-$H372)*IF($F372="Short",-1,1)*$G372*$AG372*$AH372,6)))</f>
        <v/>
      </c>
      <c r="AJ372" s="55" t="str">
        <f>IF($AM372=0,"",IF(INDEX(Settings!$E$14:$E$18,$BF372)="% of notional",IF(OR($AG372="",NOT(ISNUMBER($H372)),NOT(ISNUMBER($G372))),"",ROUND(ABS($H372*$G372*$AG372*N($AH372))*IF($L372="Limit",N(INDEX(Settings!$G$14:$G$18,$BF372)),N(INDEX(Settings!$H$14:$H$18,$BF372)))+IF(ISNUMBER($K372),ABS($K372*$G372*$AG372*N($AH372))*IF($M372="Target",N(INDEX(Settings!$G$14:$G$18,$BF372)),N(INDEX(Settings!$H$14:$H$18,$BF372))),0),6)),IF(NOT(ISNUMBER($G372)),"",ROUND(ABS($G372)*2*IF(AND($BE372&gt;0,ISNUMBER(INDEX(Instruments!$G$6:$G$205,MAX(1,$BE372)))),INDEX(Instruments!$G$6:$G$205,MAX(1,$BE372)),N(INDEX(Settings!$F$14:$F$18,$BF372))),6))))</f>
        <v/>
      </c>
      <c r="AK372" s="55" t="str">
        <f>IF($AM372=0,"",IF(ISNUMBER($O372),$O372,$AI372))</f>
        <v/>
      </c>
      <c r="AL372" s="55" t="str">
        <f>IF($AM372=0,"",IF(ISNUMBER($P372),$P372,N($AJ372)))</f>
        <v/>
      </c>
      <c r="AM372" s="56">
        <f>IF(AND($A372&lt;&gt;"",$E372&lt;&gt;"",OR(AND(ISNUMBER($G372),ISNUMBER($H372),ISNUMBER($K372)),ISNUMBER($O372))),1,0)</f>
        <v>0</v>
      </c>
      <c r="AN372" s="57" t="str">
        <f>IF($A372="","",$A372-WEEKDAY($A372,3))</f>
        <v/>
      </c>
      <c r="AO372" s="56" t="str">
        <f>IF($A372="","",WEEKDAY($A372,2))</f>
        <v/>
      </c>
      <c r="AP372" s="55" t="str">
        <f>IF(OR($AM372=0,$C372=""),"",IFERROR(N(INDEX(Accounts!$E$7:$E$16,MATCH($C372,Accounts!$B$7:$B$16,0))),0)+SUMIFS($Q$6:$Q372,$C$6:$C372,$C372))</f>
        <v/>
      </c>
      <c r="AQ372" s="55" t="str">
        <f>IF(OR($AM372=0,$C372=""),"",SUMIFS($Q$6:$Q$1005,$C$6:$C$1005,$C372,$A$6:$A$1005,$A372))</f>
        <v/>
      </c>
      <c r="AR372" s="55" t="str">
        <f>IF(OR($AM372=0,$C372=""),"",IFERROR(N(INDEX(Accounts!$E$7:$E$16,MATCH($C372,Accounts!$B$7:$B$16,0))),0)+SUMIFS($Q$6:$Q$1005,$C$6:$C$1005,$C372,$A$6:$A$1005,"&lt;="&amp;$A372))</f>
        <v/>
      </c>
      <c r="AS372" s="56">
        <f>IF(OR($AM372=0,$Q372=""),0,IF(AND($A372&gt;=Lists!$W$6,$A372&lt;=Lists!$W$7,OR(Dashboard!$D$6="All accounts",$C372=Dashboard!$D$6),OR(Dashboard!$D$7="All markets",$AF372=Dashboard!$D$7)),1,0))</f>
        <v>0</v>
      </c>
      <c r="AT372" s="55">
        <f>IF($AS372=1,N(AT371)+$Q372,N(AT371))</f>
        <v>1187.10688</v>
      </c>
      <c r="AU372" s="55">
        <f>MAX(N(AU371),$AT372)</f>
        <v>1187.10688</v>
      </c>
      <c r="AV372" s="55">
        <f>$AT372-$AU372</f>
        <v>0</v>
      </c>
      <c r="AW372" s="56">
        <f>IF($AS372=1,IF($S372="Win",N(AW371)+1,IF($S372="Loss",0,N(AW371))),N(AW371))</f>
        <v>5</v>
      </c>
      <c r="AX372" s="56">
        <f>IF($AS372=1,IF($S372="Loss",N(AX371)+1,IF($S372="Win",0,N(AX371))),N(AX371))</f>
        <v>0</v>
      </c>
      <c r="AY372" s="56" t="str">
        <f>IF($AS372=1,COUNTIF($AS$6:$AS372,1),"")</f>
        <v/>
      </c>
      <c r="AZ372" s="56">
        <f>MIN(366,N(Lists!$W$8))</f>
        <v>28</v>
      </c>
      <c r="BA372" s="56">
        <f>IF($AS372=1,IF(COUNTIFS($A$6:$A372,$A372,$AS$6:$AS372,1)=1,1,0),0)</f>
        <v>0</v>
      </c>
      <c r="BB372" s="55" t="str">
        <f>IF($BA372=1,SUMIFS($Q$6:$Q$1005,$A$6:$A$1005,$A372,$AS$6:$AS$1005,1),"")</f>
        <v/>
      </c>
      <c r="BC372" s="56">
        <f>IF(ISNUMBER($R372),1,0)</f>
        <v>0</v>
      </c>
      <c r="BD372" s="55" t="str">
        <f>IF(ISNUMBER($U372),$U372*$V372,"")</f>
        <v/>
      </c>
      <c r="BE372" s="56" t="str">
        <f>IF($AM372=0,"",IFERROR(MATCH($AF372&amp;"|"&amp;UPPER(TRIM($E372)),Lists!$A$6:$A$205,0),0))</f>
        <v/>
      </c>
      <c r="BF372" s="56" t="str">
        <f>IF($AM372=0,"",IFERROR(MATCH($AF372,Settings!$B$14:$B$18,0),IFERROR(MATCH(Settings!$C$6,Settings!$B$14:$B$18,0),1)))</f>
        <v/>
      </c>
      <c r="BG372" s="58" t="str">
        <f>IF($AM372=0,"",IF(NOT(ISNUMBER($I372)),"No stop; ","")&amp;IF(AND(ISNUMBER($H372),ISNUMBER($I372)),IF(OR(AND($F372&lt;&gt;"Short",$I372&gt;=$H372),AND($F372="Short",$I372&lt;=$H372)),"Stop on wrong side; ",""),"")&amp;IF($F372="","No direction; ","")&amp;IF(AND(ISNUMBER(Settings!$C$22),ISNUMBER($V372)),IF($V372&gt;Settings!$C$22,"Risk over max $; ",""),"")&amp;IF(AND(ISNUMBER(Settings!$C$23),ISNUMBER($V372),ISNUMBER($AP372),IFERROR(N(INDEX(Accounts!$E$7:$E$16,MATCH($C372,Accounts!$B$7:$B$16,0))),0)&gt;0),IF($V372&gt;Settings!$C$23*($AP372-N($Q372)),"Risk over max %; ",""),"")&amp;IF(AND(ISNUMBER(Settings!$C$24),ISNUMBER($N372)),IF($N372&gt;Settings!$C$24,"Leverage over max; ",""),"")&amp;IF(AND(ISNUMBER(Settings!$C$27),ISNUMBER($T372)),IF($T372&lt;Settings!$C$27,"R:R below min; ",""),"")&amp;IF(ISNUMBER(Settings!$C$25),IF(COUNTIFS($A$6:$A372,$A372,$AM$6:$AM372,1)&gt;Settings!$C$25,"Over max trades/day; ",""),"")&amp;IF(ISNUMBER(Settings!$C$26),IF(SUMIFS($Q$5:$Q371,$A$5:$A371,$A372)&lt;=-Settings!$C$26,"Traded after daily max loss; ",""),"")&amp;IF(AND($AG372="",NOT(ISNUMBER($O372))),"Symbol not in Instruments; ","")&amp;IF(AND($AH372="",NOT(ISNUMBER($O372))),"Forex cross: type Gross P&amp;L; ",""))</f>
        <v/>
      </c>
      <c r="BH372" s="56">
        <f>IF(ISNUMBER($Q372),1,0)</f>
        <v>0</v>
      </c>
      <c r="BI372" s="56">
        <f>IF($Y372="",0,1)</f>
        <v>0</v>
      </c>
      <c r="BJ372" s="56">
        <f>IF($AB372="",0,1)</f>
        <v>0</v>
      </c>
      <c r="BK372" s="56">
        <f>IF(AND($BH372=1,$W372&lt;&gt;"OK"),1,0)</f>
        <v>0</v>
      </c>
      <c r="BL372" s="55">
        <f>IF(N($AZ372)=0,0,IFERROR(INDEX($AT$6:$AT$1005,MATCH($AZ372,$AY$6:$AY$1005,0)),0))</f>
        <v>1187.10688</v>
      </c>
      <c r="BM372" s="56">
        <f>IF(ISNUMBER(SEARCH("daily max loss",$BG372)),1,0)</f>
        <v>0</v>
      </c>
    </row>
    <row r="373" ht="18" customHeight="1">
      <c r="A373" s="38" t="n"/>
      <c r="B373" s="39" t="n"/>
      <c r="C373" s="40" t="n"/>
      <c r="D373" s="41" t="n"/>
      <c r="E373" s="41" t="n"/>
      <c r="F373" s="41" t="n"/>
      <c r="G373" s="41" t="n"/>
      <c r="H373" s="42" t="n"/>
      <c r="I373" s="42" t="n"/>
      <c r="J373" s="42" t="n"/>
      <c r="K373" s="42" t="n"/>
      <c r="L373" s="41" t="n"/>
      <c r="M373" s="41" t="n"/>
      <c r="N373" s="41" t="n"/>
      <c r="O373" s="43" t="n"/>
      <c r="P373" s="43" t="n"/>
      <c r="Q373" s="44" t="str">
        <f>IF($AM373=0,"",IF(ISNUMBER($AK373),$AK373-N($AL373),""))</f>
        <v/>
      </c>
      <c r="R373" s="45" t="str">
        <f>IF(OR($Q373="",NOT(ISNUMBER($V373))),"",$AK373/$V373)</f>
        <v/>
      </c>
      <c r="S373" s="46" t="str">
        <f>IF($Q373="","",IF(AND(ISNUMBER($R373),ABS(N($R373))&lt;N(Settings!$C$8)),"Scratch",IF($Q373&gt;0,"Win",IF($Q373&lt;0,"Loss","Scratch"))))</f>
        <v/>
      </c>
      <c r="T373" s="47" t="str">
        <f>IF(OR($AM373=0,NOT(ISNUMBER($H373)),NOT(ISNUMBER($I373)),NOT(ISNUMBER($J373))),"",IF($H373=$I373,"",ROUND(ABS($J373-$H373)/ABS($H373-$I373),6)))</f>
        <v/>
      </c>
      <c r="U373" s="48" t="str">
        <f>IF(OR($S373&lt;&gt;"Win",NOT(ISNUMBER($T373)),NOT(ISNUMBER($R373))),"",MAX(0,$T373-$R373))</f>
        <v/>
      </c>
      <c r="V373" s="49" t="str">
        <f>IF(OR($AM373=0,NOT(ISNUMBER($H373)),NOT(ISNUMBER($I373)),NOT(ISNUMBER($G373))),"",IF(OR($AG373="",$AH373=""),"",IF(ROUND(ABS($H373-$I373)*ABS($G373)*$AG373*$AH373,6)=0,"",ROUND(ABS($H373-$I373)*ABS($G373)*$AG373*$AH373,6))))</f>
        <v/>
      </c>
      <c r="W373" s="50" t="str">
        <f>IF($AM373=0,"",IF($BG373="","OK",LEFT($BG373,LEN($BG373)-2)))</f>
        <v/>
      </c>
      <c r="X373" s="41" t="n"/>
      <c r="Y373" s="40" t="n"/>
      <c r="Z373" s="41" t="n"/>
      <c r="AA373" s="41" t="n"/>
      <c r="AB373" s="40" t="n"/>
      <c r="AC373" s="51" t="n"/>
      <c r="AD373" s="51" t="n"/>
      <c r="AE373" s="40" t="n"/>
      <c r="AF373" s="52" t="str">
        <f>IF($AM373=0,"",IF($D373&lt;&gt;"",$D373,IF(IFERROR(INDEX(Accounts!$C$7:$C$16,MATCH($C373,Accounts!$B$7:$B$16,0))&amp;"","")&lt;&gt;"",INDEX(Accounts!$C$7:$C$16,MATCH($C373,Accounts!$B$7:$B$16,0)),Settings!$C$6)))</f>
        <v/>
      </c>
      <c r="AG373" s="53" t="str">
        <f>IF($AM373=0,"",IF(AND($BE373&gt;0,N(INDEX(Instruments!$D$6:$D$205,MAX(1,$BE373)))&gt;0),INDEX(Instruments!$D$6:$D$205,MAX(1,$BE373)),IF(N(INDEX(Settings!$D$14:$D$18,$BF373))&gt;0,INDEX(Settings!$D$14:$D$18,$BF373),"")))</f>
        <v/>
      </c>
      <c r="AH373" s="54" t="str">
        <f>IF($AM373=0,"",IF($AF373&lt;&gt;"Forex",1,IF(MID(UPPER(SUBSTITUTE(TRIM($E373),"/","")),4,3)=UPPER(TRIM(Settings!$C$7)),1,IF(LEFT(UPPER(SUBSTITUTE(TRIM($E373),"/","")),3)=UPPER(TRIM(Settings!$C$7)),IF(AND(ISNUMBER($K373),N($K373)&lt;&gt;0),1/$K373,""),""))))</f>
        <v/>
      </c>
      <c r="AI373" s="55" t="str">
        <f>IF($AM373=0,"",IF(OR(NOT(ISNUMBER($H373)),NOT(ISNUMBER($K373)),NOT(ISNUMBER($G373)),$AG373="",$AH373=""),"",ROUND(($K373-$H373)*IF($F373="Short",-1,1)*$G373*$AG373*$AH373,6)))</f>
        <v/>
      </c>
      <c r="AJ373" s="55" t="str">
        <f>IF($AM373=0,"",IF(INDEX(Settings!$E$14:$E$18,$BF373)="% of notional",IF(OR($AG373="",NOT(ISNUMBER($H373)),NOT(ISNUMBER($G373))),"",ROUND(ABS($H373*$G373*$AG373*N($AH373))*IF($L373="Limit",N(INDEX(Settings!$G$14:$G$18,$BF373)),N(INDEX(Settings!$H$14:$H$18,$BF373)))+IF(ISNUMBER($K373),ABS($K373*$G373*$AG373*N($AH373))*IF($M373="Target",N(INDEX(Settings!$G$14:$G$18,$BF373)),N(INDEX(Settings!$H$14:$H$18,$BF373))),0),6)),IF(NOT(ISNUMBER($G373)),"",ROUND(ABS($G373)*2*IF(AND($BE373&gt;0,ISNUMBER(INDEX(Instruments!$G$6:$G$205,MAX(1,$BE373)))),INDEX(Instruments!$G$6:$G$205,MAX(1,$BE373)),N(INDEX(Settings!$F$14:$F$18,$BF373))),6))))</f>
        <v/>
      </c>
      <c r="AK373" s="55" t="str">
        <f>IF($AM373=0,"",IF(ISNUMBER($O373),$O373,$AI373))</f>
        <v/>
      </c>
      <c r="AL373" s="55" t="str">
        <f>IF($AM373=0,"",IF(ISNUMBER($P373),$P373,N($AJ373)))</f>
        <v/>
      </c>
      <c r="AM373" s="56">
        <f>IF(AND($A373&lt;&gt;"",$E373&lt;&gt;"",OR(AND(ISNUMBER($G373),ISNUMBER($H373),ISNUMBER($K373)),ISNUMBER($O373))),1,0)</f>
        <v>0</v>
      </c>
      <c r="AN373" s="57" t="str">
        <f>IF($A373="","",$A373-WEEKDAY($A373,3))</f>
        <v/>
      </c>
      <c r="AO373" s="56" t="str">
        <f>IF($A373="","",WEEKDAY($A373,2))</f>
        <v/>
      </c>
      <c r="AP373" s="55" t="str">
        <f>IF(OR($AM373=0,$C373=""),"",IFERROR(N(INDEX(Accounts!$E$7:$E$16,MATCH($C373,Accounts!$B$7:$B$16,0))),0)+SUMIFS($Q$6:$Q373,$C$6:$C373,$C373))</f>
        <v/>
      </c>
      <c r="AQ373" s="55" t="str">
        <f>IF(OR($AM373=0,$C373=""),"",SUMIFS($Q$6:$Q$1005,$C$6:$C$1005,$C373,$A$6:$A$1005,$A373))</f>
        <v/>
      </c>
      <c r="AR373" s="55" t="str">
        <f>IF(OR($AM373=0,$C373=""),"",IFERROR(N(INDEX(Accounts!$E$7:$E$16,MATCH($C373,Accounts!$B$7:$B$16,0))),0)+SUMIFS($Q$6:$Q$1005,$C$6:$C$1005,$C373,$A$6:$A$1005,"&lt;="&amp;$A373))</f>
        <v/>
      </c>
      <c r="AS373" s="56">
        <f>IF(OR($AM373=0,$Q373=""),0,IF(AND($A373&gt;=Lists!$W$6,$A373&lt;=Lists!$W$7,OR(Dashboard!$D$6="All accounts",$C373=Dashboard!$D$6),OR(Dashboard!$D$7="All markets",$AF373=Dashboard!$D$7)),1,0))</f>
        <v>0</v>
      </c>
      <c r="AT373" s="55">
        <f>IF($AS373=1,N(AT372)+$Q373,N(AT372))</f>
        <v>1187.10688</v>
      </c>
      <c r="AU373" s="55">
        <f>MAX(N(AU372),$AT373)</f>
        <v>1187.10688</v>
      </c>
      <c r="AV373" s="55">
        <f>$AT373-$AU373</f>
        <v>0</v>
      </c>
      <c r="AW373" s="56">
        <f>IF($AS373=1,IF($S373="Win",N(AW372)+1,IF($S373="Loss",0,N(AW372))),N(AW372))</f>
        <v>5</v>
      </c>
      <c r="AX373" s="56">
        <f>IF($AS373=1,IF($S373="Loss",N(AX372)+1,IF($S373="Win",0,N(AX372))),N(AX372))</f>
        <v>0</v>
      </c>
      <c r="AY373" s="56" t="str">
        <f>IF($AS373=1,COUNTIF($AS$6:$AS373,1),"")</f>
        <v/>
      </c>
      <c r="AZ373" s="56">
        <f>MIN(367,N(Lists!$W$8))</f>
        <v>28</v>
      </c>
      <c r="BA373" s="56">
        <f>IF($AS373=1,IF(COUNTIFS($A$6:$A373,$A373,$AS$6:$AS373,1)=1,1,0),0)</f>
        <v>0</v>
      </c>
      <c r="BB373" s="55" t="str">
        <f>IF($BA373=1,SUMIFS($Q$6:$Q$1005,$A$6:$A$1005,$A373,$AS$6:$AS$1005,1),"")</f>
        <v/>
      </c>
      <c r="BC373" s="56">
        <f>IF(ISNUMBER($R373),1,0)</f>
        <v>0</v>
      </c>
      <c r="BD373" s="55" t="str">
        <f>IF(ISNUMBER($U373),$U373*$V373,"")</f>
        <v/>
      </c>
      <c r="BE373" s="56" t="str">
        <f>IF($AM373=0,"",IFERROR(MATCH($AF373&amp;"|"&amp;UPPER(TRIM($E373)),Lists!$A$6:$A$205,0),0))</f>
        <v/>
      </c>
      <c r="BF373" s="56" t="str">
        <f>IF($AM373=0,"",IFERROR(MATCH($AF373,Settings!$B$14:$B$18,0),IFERROR(MATCH(Settings!$C$6,Settings!$B$14:$B$18,0),1)))</f>
        <v/>
      </c>
      <c r="BG373" s="58" t="str">
        <f>IF($AM373=0,"",IF(NOT(ISNUMBER($I373)),"No stop; ","")&amp;IF(AND(ISNUMBER($H373),ISNUMBER($I373)),IF(OR(AND($F373&lt;&gt;"Short",$I373&gt;=$H373),AND($F373="Short",$I373&lt;=$H373)),"Stop on wrong side; ",""),"")&amp;IF($F373="","No direction; ","")&amp;IF(AND(ISNUMBER(Settings!$C$22),ISNUMBER($V373)),IF($V373&gt;Settings!$C$22,"Risk over max $; ",""),"")&amp;IF(AND(ISNUMBER(Settings!$C$23),ISNUMBER($V373),ISNUMBER($AP373),IFERROR(N(INDEX(Accounts!$E$7:$E$16,MATCH($C373,Accounts!$B$7:$B$16,0))),0)&gt;0),IF($V373&gt;Settings!$C$23*($AP373-N($Q373)),"Risk over max %; ",""),"")&amp;IF(AND(ISNUMBER(Settings!$C$24),ISNUMBER($N373)),IF($N373&gt;Settings!$C$24,"Leverage over max; ",""),"")&amp;IF(AND(ISNUMBER(Settings!$C$27),ISNUMBER($T373)),IF($T373&lt;Settings!$C$27,"R:R below min; ",""),"")&amp;IF(ISNUMBER(Settings!$C$25),IF(COUNTIFS($A$6:$A373,$A373,$AM$6:$AM373,1)&gt;Settings!$C$25,"Over max trades/day; ",""),"")&amp;IF(ISNUMBER(Settings!$C$26),IF(SUMIFS($Q$5:$Q372,$A$5:$A372,$A373)&lt;=-Settings!$C$26,"Traded after daily max loss; ",""),"")&amp;IF(AND($AG373="",NOT(ISNUMBER($O373))),"Symbol not in Instruments; ","")&amp;IF(AND($AH373="",NOT(ISNUMBER($O373))),"Forex cross: type Gross P&amp;L; ",""))</f>
        <v/>
      </c>
      <c r="BH373" s="56">
        <f>IF(ISNUMBER($Q373),1,0)</f>
        <v>0</v>
      </c>
      <c r="BI373" s="56">
        <f>IF($Y373="",0,1)</f>
        <v>0</v>
      </c>
      <c r="BJ373" s="56">
        <f>IF($AB373="",0,1)</f>
        <v>0</v>
      </c>
      <c r="BK373" s="56">
        <f>IF(AND($BH373=1,$W373&lt;&gt;"OK"),1,0)</f>
        <v>0</v>
      </c>
      <c r="BL373" s="55">
        <f>IF(N($AZ373)=0,0,IFERROR(INDEX($AT$6:$AT$1005,MATCH($AZ373,$AY$6:$AY$1005,0)),0))</f>
        <v>1187.10688</v>
      </c>
      <c r="BM373" s="56">
        <f>IF(ISNUMBER(SEARCH("daily max loss",$BG373)),1,0)</f>
        <v>0</v>
      </c>
    </row>
    <row r="374" ht="18" customHeight="1">
      <c r="A374" s="38" t="n"/>
      <c r="B374" s="39" t="n"/>
      <c r="C374" s="40" t="n"/>
      <c r="D374" s="41" t="n"/>
      <c r="E374" s="41" t="n"/>
      <c r="F374" s="41" t="n"/>
      <c r="G374" s="41" t="n"/>
      <c r="H374" s="42" t="n"/>
      <c r="I374" s="42" t="n"/>
      <c r="J374" s="42" t="n"/>
      <c r="K374" s="42" t="n"/>
      <c r="L374" s="41" t="n"/>
      <c r="M374" s="41" t="n"/>
      <c r="N374" s="41" t="n"/>
      <c r="O374" s="43" t="n"/>
      <c r="P374" s="43" t="n"/>
      <c r="Q374" s="44" t="str">
        <f>IF($AM374=0,"",IF(ISNUMBER($AK374),$AK374-N($AL374),""))</f>
        <v/>
      </c>
      <c r="R374" s="45" t="str">
        <f>IF(OR($Q374="",NOT(ISNUMBER($V374))),"",$AK374/$V374)</f>
        <v/>
      </c>
      <c r="S374" s="46" t="str">
        <f>IF($Q374="","",IF(AND(ISNUMBER($R374),ABS(N($R374))&lt;N(Settings!$C$8)),"Scratch",IF($Q374&gt;0,"Win",IF($Q374&lt;0,"Loss","Scratch"))))</f>
        <v/>
      </c>
      <c r="T374" s="47" t="str">
        <f>IF(OR($AM374=0,NOT(ISNUMBER($H374)),NOT(ISNUMBER($I374)),NOT(ISNUMBER($J374))),"",IF($H374=$I374,"",ROUND(ABS($J374-$H374)/ABS($H374-$I374),6)))</f>
        <v/>
      </c>
      <c r="U374" s="48" t="str">
        <f>IF(OR($S374&lt;&gt;"Win",NOT(ISNUMBER($T374)),NOT(ISNUMBER($R374))),"",MAX(0,$T374-$R374))</f>
        <v/>
      </c>
      <c r="V374" s="49" t="str">
        <f>IF(OR($AM374=0,NOT(ISNUMBER($H374)),NOT(ISNUMBER($I374)),NOT(ISNUMBER($G374))),"",IF(OR($AG374="",$AH374=""),"",IF(ROUND(ABS($H374-$I374)*ABS($G374)*$AG374*$AH374,6)=0,"",ROUND(ABS($H374-$I374)*ABS($G374)*$AG374*$AH374,6))))</f>
        <v/>
      </c>
      <c r="W374" s="50" t="str">
        <f>IF($AM374=0,"",IF($BG374="","OK",LEFT($BG374,LEN($BG374)-2)))</f>
        <v/>
      </c>
      <c r="X374" s="41" t="n"/>
      <c r="Y374" s="40" t="n"/>
      <c r="Z374" s="41" t="n"/>
      <c r="AA374" s="41" t="n"/>
      <c r="AB374" s="40" t="n"/>
      <c r="AC374" s="51" t="n"/>
      <c r="AD374" s="51" t="n"/>
      <c r="AE374" s="40" t="n"/>
      <c r="AF374" s="52" t="str">
        <f>IF($AM374=0,"",IF($D374&lt;&gt;"",$D374,IF(IFERROR(INDEX(Accounts!$C$7:$C$16,MATCH($C374,Accounts!$B$7:$B$16,0))&amp;"","")&lt;&gt;"",INDEX(Accounts!$C$7:$C$16,MATCH($C374,Accounts!$B$7:$B$16,0)),Settings!$C$6)))</f>
        <v/>
      </c>
      <c r="AG374" s="53" t="str">
        <f>IF($AM374=0,"",IF(AND($BE374&gt;0,N(INDEX(Instruments!$D$6:$D$205,MAX(1,$BE374)))&gt;0),INDEX(Instruments!$D$6:$D$205,MAX(1,$BE374)),IF(N(INDEX(Settings!$D$14:$D$18,$BF374))&gt;0,INDEX(Settings!$D$14:$D$18,$BF374),"")))</f>
        <v/>
      </c>
      <c r="AH374" s="54" t="str">
        <f>IF($AM374=0,"",IF($AF374&lt;&gt;"Forex",1,IF(MID(UPPER(SUBSTITUTE(TRIM($E374),"/","")),4,3)=UPPER(TRIM(Settings!$C$7)),1,IF(LEFT(UPPER(SUBSTITUTE(TRIM($E374),"/","")),3)=UPPER(TRIM(Settings!$C$7)),IF(AND(ISNUMBER($K374),N($K374)&lt;&gt;0),1/$K374,""),""))))</f>
        <v/>
      </c>
      <c r="AI374" s="55" t="str">
        <f>IF($AM374=0,"",IF(OR(NOT(ISNUMBER($H374)),NOT(ISNUMBER($K374)),NOT(ISNUMBER($G374)),$AG374="",$AH374=""),"",ROUND(($K374-$H374)*IF($F374="Short",-1,1)*$G374*$AG374*$AH374,6)))</f>
        <v/>
      </c>
      <c r="AJ374" s="55" t="str">
        <f>IF($AM374=0,"",IF(INDEX(Settings!$E$14:$E$18,$BF374)="% of notional",IF(OR($AG374="",NOT(ISNUMBER($H374)),NOT(ISNUMBER($G374))),"",ROUND(ABS($H374*$G374*$AG374*N($AH374))*IF($L374="Limit",N(INDEX(Settings!$G$14:$G$18,$BF374)),N(INDEX(Settings!$H$14:$H$18,$BF374)))+IF(ISNUMBER($K374),ABS($K374*$G374*$AG374*N($AH374))*IF($M374="Target",N(INDEX(Settings!$G$14:$G$18,$BF374)),N(INDEX(Settings!$H$14:$H$18,$BF374))),0),6)),IF(NOT(ISNUMBER($G374)),"",ROUND(ABS($G374)*2*IF(AND($BE374&gt;0,ISNUMBER(INDEX(Instruments!$G$6:$G$205,MAX(1,$BE374)))),INDEX(Instruments!$G$6:$G$205,MAX(1,$BE374)),N(INDEX(Settings!$F$14:$F$18,$BF374))),6))))</f>
        <v/>
      </c>
      <c r="AK374" s="55" t="str">
        <f>IF($AM374=0,"",IF(ISNUMBER($O374),$O374,$AI374))</f>
        <v/>
      </c>
      <c r="AL374" s="55" t="str">
        <f>IF($AM374=0,"",IF(ISNUMBER($P374),$P374,N($AJ374)))</f>
        <v/>
      </c>
      <c r="AM374" s="56">
        <f>IF(AND($A374&lt;&gt;"",$E374&lt;&gt;"",OR(AND(ISNUMBER($G374),ISNUMBER($H374),ISNUMBER($K374)),ISNUMBER($O374))),1,0)</f>
        <v>0</v>
      </c>
      <c r="AN374" s="57" t="str">
        <f>IF($A374="","",$A374-WEEKDAY($A374,3))</f>
        <v/>
      </c>
      <c r="AO374" s="56" t="str">
        <f>IF($A374="","",WEEKDAY($A374,2))</f>
        <v/>
      </c>
      <c r="AP374" s="55" t="str">
        <f>IF(OR($AM374=0,$C374=""),"",IFERROR(N(INDEX(Accounts!$E$7:$E$16,MATCH($C374,Accounts!$B$7:$B$16,0))),0)+SUMIFS($Q$6:$Q374,$C$6:$C374,$C374))</f>
        <v/>
      </c>
      <c r="AQ374" s="55" t="str">
        <f>IF(OR($AM374=0,$C374=""),"",SUMIFS($Q$6:$Q$1005,$C$6:$C$1005,$C374,$A$6:$A$1005,$A374))</f>
        <v/>
      </c>
      <c r="AR374" s="55" t="str">
        <f>IF(OR($AM374=0,$C374=""),"",IFERROR(N(INDEX(Accounts!$E$7:$E$16,MATCH($C374,Accounts!$B$7:$B$16,0))),0)+SUMIFS($Q$6:$Q$1005,$C$6:$C$1005,$C374,$A$6:$A$1005,"&lt;="&amp;$A374))</f>
        <v/>
      </c>
      <c r="AS374" s="56">
        <f>IF(OR($AM374=0,$Q374=""),0,IF(AND($A374&gt;=Lists!$W$6,$A374&lt;=Lists!$W$7,OR(Dashboard!$D$6="All accounts",$C374=Dashboard!$D$6),OR(Dashboard!$D$7="All markets",$AF374=Dashboard!$D$7)),1,0))</f>
        <v>0</v>
      </c>
      <c r="AT374" s="55">
        <f>IF($AS374=1,N(AT373)+$Q374,N(AT373))</f>
        <v>1187.10688</v>
      </c>
      <c r="AU374" s="55">
        <f>MAX(N(AU373),$AT374)</f>
        <v>1187.10688</v>
      </c>
      <c r="AV374" s="55">
        <f>$AT374-$AU374</f>
        <v>0</v>
      </c>
      <c r="AW374" s="56">
        <f>IF($AS374=1,IF($S374="Win",N(AW373)+1,IF($S374="Loss",0,N(AW373))),N(AW373))</f>
        <v>5</v>
      </c>
      <c r="AX374" s="56">
        <f>IF($AS374=1,IF($S374="Loss",N(AX373)+1,IF($S374="Win",0,N(AX373))),N(AX373))</f>
        <v>0</v>
      </c>
      <c r="AY374" s="56" t="str">
        <f>IF($AS374=1,COUNTIF($AS$6:$AS374,1),"")</f>
        <v/>
      </c>
      <c r="AZ374" s="56">
        <f>MIN(368,N(Lists!$W$8))</f>
        <v>28</v>
      </c>
      <c r="BA374" s="56">
        <f>IF($AS374=1,IF(COUNTIFS($A$6:$A374,$A374,$AS$6:$AS374,1)=1,1,0),0)</f>
        <v>0</v>
      </c>
      <c r="BB374" s="55" t="str">
        <f>IF($BA374=1,SUMIFS($Q$6:$Q$1005,$A$6:$A$1005,$A374,$AS$6:$AS$1005,1),"")</f>
        <v/>
      </c>
      <c r="BC374" s="56">
        <f>IF(ISNUMBER($R374),1,0)</f>
        <v>0</v>
      </c>
      <c r="BD374" s="55" t="str">
        <f>IF(ISNUMBER($U374),$U374*$V374,"")</f>
        <v/>
      </c>
      <c r="BE374" s="56" t="str">
        <f>IF($AM374=0,"",IFERROR(MATCH($AF374&amp;"|"&amp;UPPER(TRIM($E374)),Lists!$A$6:$A$205,0),0))</f>
        <v/>
      </c>
      <c r="BF374" s="56" t="str">
        <f>IF($AM374=0,"",IFERROR(MATCH($AF374,Settings!$B$14:$B$18,0),IFERROR(MATCH(Settings!$C$6,Settings!$B$14:$B$18,0),1)))</f>
        <v/>
      </c>
      <c r="BG374" s="58" t="str">
        <f>IF($AM374=0,"",IF(NOT(ISNUMBER($I374)),"No stop; ","")&amp;IF(AND(ISNUMBER($H374),ISNUMBER($I374)),IF(OR(AND($F374&lt;&gt;"Short",$I374&gt;=$H374),AND($F374="Short",$I374&lt;=$H374)),"Stop on wrong side; ",""),"")&amp;IF($F374="","No direction; ","")&amp;IF(AND(ISNUMBER(Settings!$C$22),ISNUMBER($V374)),IF($V374&gt;Settings!$C$22,"Risk over max $; ",""),"")&amp;IF(AND(ISNUMBER(Settings!$C$23),ISNUMBER($V374),ISNUMBER($AP374),IFERROR(N(INDEX(Accounts!$E$7:$E$16,MATCH($C374,Accounts!$B$7:$B$16,0))),0)&gt;0),IF($V374&gt;Settings!$C$23*($AP374-N($Q374)),"Risk over max %; ",""),"")&amp;IF(AND(ISNUMBER(Settings!$C$24),ISNUMBER($N374)),IF($N374&gt;Settings!$C$24,"Leverage over max; ",""),"")&amp;IF(AND(ISNUMBER(Settings!$C$27),ISNUMBER($T374)),IF($T374&lt;Settings!$C$27,"R:R below min; ",""),"")&amp;IF(ISNUMBER(Settings!$C$25),IF(COUNTIFS($A$6:$A374,$A374,$AM$6:$AM374,1)&gt;Settings!$C$25,"Over max trades/day; ",""),"")&amp;IF(ISNUMBER(Settings!$C$26),IF(SUMIFS($Q$5:$Q373,$A$5:$A373,$A374)&lt;=-Settings!$C$26,"Traded after daily max loss; ",""),"")&amp;IF(AND($AG374="",NOT(ISNUMBER($O374))),"Symbol not in Instruments; ","")&amp;IF(AND($AH374="",NOT(ISNUMBER($O374))),"Forex cross: type Gross P&amp;L; ",""))</f>
        <v/>
      </c>
      <c r="BH374" s="56">
        <f>IF(ISNUMBER($Q374),1,0)</f>
        <v>0</v>
      </c>
      <c r="BI374" s="56">
        <f>IF($Y374="",0,1)</f>
        <v>0</v>
      </c>
      <c r="BJ374" s="56">
        <f>IF($AB374="",0,1)</f>
        <v>0</v>
      </c>
      <c r="BK374" s="56">
        <f>IF(AND($BH374=1,$W374&lt;&gt;"OK"),1,0)</f>
        <v>0</v>
      </c>
      <c r="BL374" s="55">
        <f>IF(N($AZ374)=0,0,IFERROR(INDEX($AT$6:$AT$1005,MATCH($AZ374,$AY$6:$AY$1005,0)),0))</f>
        <v>1187.10688</v>
      </c>
      <c r="BM374" s="56">
        <f>IF(ISNUMBER(SEARCH("daily max loss",$BG374)),1,0)</f>
        <v>0</v>
      </c>
    </row>
    <row r="375" ht="18" customHeight="1">
      <c r="A375" s="38" t="n"/>
      <c r="B375" s="39" t="n"/>
      <c r="C375" s="40" t="n"/>
      <c r="D375" s="41" t="n"/>
      <c r="E375" s="41" t="n"/>
      <c r="F375" s="41" t="n"/>
      <c r="G375" s="41" t="n"/>
      <c r="H375" s="42" t="n"/>
      <c r="I375" s="42" t="n"/>
      <c r="J375" s="42" t="n"/>
      <c r="K375" s="42" t="n"/>
      <c r="L375" s="41" t="n"/>
      <c r="M375" s="41" t="n"/>
      <c r="N375" s="41" t="n"/>
      <c r="O375" s="43" t="n"/>
      <c r="P375" s="43" t="n"/>
      <c r="Q375" s="44" t="str">
        <f>IF($AM375=0,"",IF(ISNUMBER($AK375),$AK375-N($AL375),""))</f>
        <v/>
      </c>
      <c r="R375" s="45" t="str">
        <f>IF(OR($Q375="",NOT(ISNUMBER($V375))),"",$AK375/$V375)</f>
        <v/>
      </c>
      <c r="S375" s="46" t="str">
        <f>IF($Q375="","",IF(AND(ISNUMBER($R375),ABS(N($R375))&lt;N(Settings!$C$8)),"Scratch",IF($Q375&gt;0,"Win",IF($Q375&lt;0,"Loss","Scratch"))))</f>
        <v/>
      </c>
      <c r="T375" s="47" t="str">
        <f>IF(OR($AM375=0,NOT(ISNUMBER($H375)),NOT(ISNUMBER($I375)),NOT(ISNUMBER($J375))),"",IF($H375=$I375,"",ROUND(ABS($J375-$H375)/ABS($H375-$I375),6)))</f>
        <v/>
      </c>
      <c r="U375" s="48" t="str">
        <f>IF(OR($S375&lt;&gt;"Win",NOT(ISNUMBER($T375)),NOT(ISNUMBER($R375))),"",MAX(0,$T375-$R375))</f>
        <v/>
      </c>
      <c r="V375" s="49" t="str">
        <f>IF(OR($AM375=0,NOT(ISNUMBER($H375)),NOT(ISNUMBER($I375)),NOT(ISNUMBER($G375))),"",IF(OR($AG375="",$AH375=""),"",IF(ROUND(ABS($H375-$I375)*ABS($G375)*$AG375*$AH375,6)=0,"",ROUND(ABS($H375-$I375)*ABS($G375)*$AG375*$AH375,6))))</f>
        <v/>
      </c>
      <c r="W375" s="50" t="str">
        <f>IF($AM375=0,"",IF($BG375="","OK",LEFT($BG375,LEN($BG375)-2)))</f>
        <v/>
      </c>
      <c r="X375" s="41" t="n"/>
      <c r="Y375" s="40" t="n"/>
      <c r="Z375" s="41" t="n"/>
      <c r="AA375" s="41" t="n"/>
      <c r="AB375" s="40" t="n"/>
      <c r="AC375" s="51" t="n"/>
      <c r="AD375" s="51" t="n"/>
      <c r="AE375" s="40" t="n"/>
      <c r="AF375" s="52" t="str">
        <f>IF($AM375=0,"",IF($D375&lt;&gt;"",$D375,IF(IFERROR(INDEX(Accounts!$C$7:$C$16,MATCH($C375,Accounts!$B$7:$B$16,0))&amp;"","")&lt;&gt;"",INDEX(Accounts!$C$7:$C$16,MATCH($C375,Accounts!$B$7:$B$16,0)),Settings!$C$6)))</f>
        <v/>
      </c>
      <c r="AG375" s="53" t="str">
        <f>IF($AM375=0,"",IF(AND($BE375&gt;0,N(INDEX(Instruments!$D$6:$D$205,MAX(1,$BE375)))&gt;0),INDEX(Instruments!$D$6:$D$205,MAX(1,$BE375)),IF(N(INDEX(Settings!$D$14:$D$18,$BF375))&gt;0,INDEX(Settings!$D$14:$D$18,$BF375),"")))</f>
        <v/>
      </c>
      <c r="AH375" s="54" t="str">
        <f>IF($AM375=0,"",IF($AF375&lt;&gt;"Forex",1,IF(MID(UPPER(SUBSTITUTE(TRIM($E375),"/","")),4,3)=UPPER(TRIM(Settings!$C$7)),1,IF(LEFT(UPPER(SUBSTITUTE(TRIM($E375),"/","")),3)=UPPER(TRIM(Settings!$C$7)),IF(AND(ISNUMBER($K375),N($K375)&lt;&gt;0),1/$K375,""),""))))</f>
        <v/>
      </c>
      <c r="AI375" s="55" t="str">
        <f>IF($AM375=0,"",IF(OR(NOT(ISNUMBER($H375)),NOT(ISNUMBER($K375)),NOT(ISNUMBER($G375)),$AG375="",$AH375=""),"",ROUND(($K375-$H375)*IF($F375="Short",-1,1)*$G375*$AG375*$AH375,6)))</f>
        <v/>
      </c>
      <c r="AJ375" s="55" t="str">
        <f>IF($AM375=0,"",IF(INDEX(Settings!$E$14:$E$18,$BF375)="% of notional",IF(OR($AG375="",NOT(ISNUMBER($H375)),NOT(ISNUMBER($G375))),"",ROUND(ABS($H375*$G375*$AG375*N($AH375))*IF($L375="Limit",N(INDEX(Settings!$G$14:$G$18,$BF375)),N(INDEX(Settings!$H$14:$H$18,$BF375)))+IF(ISNUMBER($K375),ABS($K375*$G375*$AG375*N($AH375))*IF($M375="Target",N(INDEX(Settings!$G$14:$G$18,$BF375)),N(INDEX(Settings!$H$14:$H$18,$BF375))),0),6)),IF(NOT(ISNUMBER($G375)),"",ROUND(ABS($G375)*2*IF(AND($BE375&gt;0,ISNUMBER(INDEX(Instruments!$G$6:$G$205,MAX(1,$BE375)))),INDEX(Instruments!$G$6:$G$205,MAX(1,$BE375)),N(INDEX(Settings!$F$14:$F$18,$BF375))),6))))</f>
        <v/>
      </c>
      <c r="AK375" s="55" t="str">
        <f>IF($AM375=0,"",IF(ISNUMBER($O375),$O375,$AI375))</f>
        <v/>
      </c>
      <c r="AL375" s="55" t="str">
        <f>IF($AM375=0,"",IF(ISNUMBER($P375),$P375,N($AJ375)))</f>
        <v/>
      </c>
      <c r="AM375" s="56">
        <f>IF(AND($A375&lt;&gt;"",$E375&lt;&gt;"",OR(AND(ISNUMBER($G375),ISNUMBER($H375),ISNUMBER($K375)),ISNUMBER($O375))),1,0)</f>
        <v>0</v>
      </c>
      <c r="AN375" s="57" t="str">
        <f>IF($A375="","",$A375-WEEKDAY($A375,3))</f>
        <v/>
      </c>
      <c r="AO375" s="56" t="str">
        <f>IF($A375="","",WEEKDAY($A375,2))</f>
        <v/>
      </c>
      <c r="AP375" s="55" t="str">
        <f>IF(OR($AM375=0,$C375=""),"",IFERROR(N(INDEX(Accounts!$E$7:$E$16,MATCH($C375,Accounts!$B$7:$B$16,0))),0)+SUMIFS($Q$6:$Q375,$C$6:$C375,$C375))</f>
        <v/>
      </c>
      <c r="AQ375" s="55" t="str">
        <f>IF(OR($AM375=0,$C375=""),"",SUMIFS($Q$6:$Q$1005,$C$6:$C$1005,$C375,$A$6:$A$1005,$A375))</f>
        <v/>
      </c>
      <c r="AR375" s="55" t="str">
        <f>IF(OR($AM375=0,$C375=""),"",IFERROR(N(INDEX(Accounts!$E$7:$E$16,MATCH($C375,Accounts!$B$7:$B$16,0))),0)+SUMIFS($Q$6:$Q$1005,$C$6:$C$1005,$C375,$A$6:$A$1005,"&lt;="&amp;$A375))</f>
        <v/>
      </c>
      <c r="AS375" s="56">
        <f>IF(OR($AM375=0,$Q375=""),0,IF(AND($A375&gt;=Lists!$W$6,$A375&lt;=Lists!$W$7,OR(Dashboard!$D$6="All accounts",$C375=Dashboard!$D$6),OR(Dashboard!$D$7="All markets",$AF375=Dashboard!$D$7)),1,0))</f>
        <v>0</v>
      </c>
      <c r="AT375" s="55">
        <f>IF($AS375=1,N(AT374)+$Q375,N(AT374))</f>
        <v>1187.10688</v>
      </c>
      <c r="AU375" s="55">
        <f>MAX(N(AU374),$AT375)</f>
        <v>1187.10688</v>
      </c>
      <c r="AV375" s="55">
        <f>$AT375-$AU375</f>
        <v>0</v>
      </c>
      <c r="AW375" s="56">
        <f>IF($AS375=1,IF($S375="Win",N(AW374)+1,IF($S375="Loss",0,N(AW374))),N(AW374))</f>
        <v>5</v>
      </c>
      <c r="AX375" s="56">
        <f>IF($AS375=1,IF($S375="Loss",N(AX374)+1,IF($S375="Win",0,N(AX374))),N(AX374))</f>
        <v>0</v>
      </c>
      <c r="AY375" s="56" t="str">
        <f>IF($AS375=1,COUNTIF($AS$6:$AS375,1),"")</f>
        <v/>
      </c>
      <c r="AZ375" s="56">
        <f>MIN(369,N(Lists!$W$8))</f>
        <v>28</v>
      </c>
      <c r="BA375" s="56">
        <f>IF($AS375=1,IF(COUNTIFS($A$6:$A375,$A375,$AS$6:$AS375,1)=1,1,0),0)</f>
        <v>0</v>
      </c>
      <c r="BB375" s="55" t="str">
        <f>IF($BA375=1,SUMIFS($Q$6:$Q$1005,$A$6:$A$1005,$A375,$AS$6:$AS$1005,1),"")</f>
        <v/>
      </c>
      <c r="BC375" s="56">
        <f>IF(ISNUMBER($R375),1,0)</f>
        <v>0</v>
      </c>
      <c r="BD375" s="55" t="str">
        <f>IF(ISNUMBER($U375),$U375*$V375,"")</f>
        <v/>
      </c>
      <c r="BE375" s="56" t="str">
        <f>IF($AM375=0,"",IFERROR(MATCH($AF375&amp;"|"&amp;UPPER(TRIM($E375)),Lists!$A$6:$A$205,0),0))</f>
        <v/>
      </c>
      <c r="BF375" s="56" t="str">
        <f>IF($AM375=0,"",IFERROR(MATCH($AF375,Settings!$B$14:$B$18,0),IFERROR(MATCH(Settings!$C$6,Settings!$B$14:$B$18,0),1)))</f>
        <v/>
      </c>
      <c r="BG375" s="58" t="str">
        <f>IF($AM375=0,"",IF(NOT(ISNUMBER($I375)),"No stop; ","")&amp;IF(AND(ISNUMBER($H375),ISNUMBER($I375)),IF(OR(AND($F375&lt;&gt;"Short",$I375&gt;=$H375),AND($F375="Short",$I375&lt;=$H375)),"Stop on wrong side; ",""),"")&amp;IF($F375="","No direction; ","")&amp;IF(AND(ISNUMBER(Settings!$C$22),ISNUMBER($V375)),IF($V375&gt;Settings!$C$22,"Risk over max $; ",""),"")&amp;IF(AND(ISNUMBER(Settings!$C$23),ISNUMBER($V375),ISNUMBER($AP375),IFERROR(N(INDEX(Accounts!$E$7:$E$16,MATCH($C375,Accounts!$B$7:$B$16,0))),0)&gt;0),IF($V375&gt;Settings!$C$23*($AP375-N($Q375)),"Risk over max %; ",""),"")&amp;IF(AND(ISNUMBER(Settings!$C$24),ISNUMBER($N375)),IF($N375&gt;Settings!$C$24,"Leverage over max; ",""),"")&amp;IF(AND(ISNUMBER(Settings!$C$27),ISNUMBER($T375)),IF($T375&lt;Settings!$C$27,"R:R below min; ",""),"")&amp;IF(ISNUMBER(Settings!$C$25),IF(COUNTIFS($A$6:$A375,$A375,$AM$6:$AM375,1)&gt;Settings!$C$25,"Over max trades/day; ",""),"")&amp;IF(ISNUMBER(Settings!$C$26),IF(SUMIFS($Q$5:$Q374,$A$5:$A374,$A375)&lt;=-Settings!$C$26,"Traded after daily max loss; ",""),"")&amp;IF(AND($AG375="",NOT(ISNUMBER($O375))),"Symbol not in Instruments; ","")&amp;IF(AND($AH375="",NOT(ISNUMBER($O375))),"Forex cross: type Gross P&amp;L; ",""))</f>
        <v/>
      </c>
      <c r="BH375" s="56">
        <f>IF(ISNUMBER($Q375),1,0)</f>
        <v>0</v>
      </c>
      <c r="BI375" s="56">
        <f>IF($Y375="",0,1)</f>
        <v>0</v>
      </c>
      <c r="BJ375" s="56">
        <f>IF($AB375="",0,1)</f>
        <v>0</v>
      </c>
      <c r="BK375" s="56">
        <f>IF(AND($BH375=1,$W375&lt;&gt;"OK"),1,0)</f>
        <v>0</v>
      </c>
      <c r="BL375" s="55">
        <f>IF(N($AZ375)=0,0,IFERROR(INDEX($AT$6:$AT$1005,MATCH($AZ375,$AY$6:$AY$1005,0)),0))</f>
        <v>1187.10688</v>
      </c>
      <c r="BM375" s="56">
        <f>IF(ISNUMBER(SEARCH("daily max loss",$BG375)),1,0)</f>
        <v>0</v>
      </c>
    </row>
    <row r="376" ht="18" customHeight="1">
      <c r="A376" s="38" t="n"/>
      <c r="B376" s="39" t="n"/>
      <c r="C376" s="40" t="n"/>
      <c r="D376" s="41" t="n"/>
      <c r="E376" s="41" t="n"/>
      <c r="F376" s="41" t="n"/>
      <c r="G376" s="41" t="n"/>
      <c r="H376" s="42" t="n"/>
      <c r="I376" s="42" t="n"/>
      <c r="J376" s="42" t="n"/>
      <c r="K376" s="42" t="n"/>
      <c r="L376" s="41" t="n"/>
      <c r="M376" s="41" t="n"/>
      <c r="N376" s="41" t="n"/>
      <c r="O376" s="43" t="n"/>
      <c r="P376" s="43" t="n"/>
      <c r="Q376" s="44" t="str">
        <f>IF($AM376=0,"",IF(ISNUMBER($AK376),$AK376-N($AL376),""))</f>
        <v/>
      </c>
      <c r="R376" s="45" t="str">
        <f>IF(OR($Q376="",NOT(ISNUMBER($V376))),"",$AK376/$V376)</f>
        <v/>
      </c>
      <c r="S376" s="46" t="str">
        <f>IF($Q376="","",IF(AND(ISNUMBER($R376),ABS(N($R376))&lt;N(Settings!$C$8)),"Scratch",IF($Q376&gt;0,"Win",IF($Q376&lt;0,"Loss","Scratch"))))</f>
        <v/>
      </c>
      <c r="T376" s="47" t="str">
        <f>IF(OR($AM376=0,NOT(ISNUMBER($H376)),NOT(ISNUMBER($I376)),NOT(ISNUMBER($J376))),"",IF($H376=$I376,"",ROUND(ABS($J376-$H376)/ABS($H376-$I376),6)))</f>
        <v/>
      </c>
      <c r="U376" s="48" t="str">
        <f>IF(OR($S376&lt;&gt;"Win",NOT(ISNUMBER($T376)),NOT(ISNUMBER($R376))),"",MAX(0,$T376-$R376))</f>
        <v/>
      </c>
      <c r="V376" s="49" t="str">
        <f>IF(OR($AM376=0,NOT(ISNUMBER($H376)),NOT(ISNUMBER($I376)),NOT(ISNUMBER($G376))),"",IF(OR($AG376="",$AH376=""),"",IF(ROUND(ABS($H376-$I376)*ABS($G376)*$AG376*$AH376,6)=0,"",ROUND(ABS($H376-$I376)*ABS($G376)*$AG376*$AH376,6))))</f>
        <v/>
      </c>
      <c r="W376" s="50" t="str">
        <f>IF($AM376=0,"",IF($BG376="","OK",LEFT($BG376,LEN($BG376)-2)))</f>
        <v/>
      </c>
      <c r="X376" s="41" t="n"/>
      <c r="Y376" s="40" t="n"/>
      <c r="Z376" s="41" t="n"/>
      <c r="AA376" s="41" t="n"/>
      <c r="AB376" s="40" t="n"/>
      <c r="AC376" s="51" t="n"/>
      <c r="AD376" s="51" t="n"/>
      <c r="AE376" s="40" t="n"/>
      <c r="AF376" s="52" t="str">
        <f>IF($AM376=0,"",IF($D376&lt;&gt;"",$D376,IF(IFERROR(INDEX(Accounts!$C$7:$C$16,MATCH($C376,Accounts!$B$7:$B$16,0))&amp;"","")&lt;&gt;"",INDEX(Accounts!$C$7:$C$16,MATCH($C376,Accounts!$B$7:$B$16,0)),Settings!$C$6)))</f>
        <v/>
      </c>
      <c r="AG376" s="53" t="str">
        <f>IF($AM376=0,"",IF(AND($BE376&gt;0,N(INDEX(Instruments!$D$6:$D$205,MAX(1,$BE376)))&gt;0),INDEX(Instruments!$D$6:$D$205,MAX(1,$BE376)),IF(N(INDEX(Settings!$D$14:$D$18,$BF376))&gt;0,INDEX(Settings!$D$14:$D$18,$BF376),"")))</f>
        <v/>
      </c>
      <c r="AH376" s="54" t="str">
        <f>IF($AM376=0,"",IF($AF376&lt;&gt;"Forex",1,IF(MID(UPPER(SUBSTITUTE(TRIM($E376),"/","")),4,3)=UPPER(TRIM(Settings!$C$7)),1,IF(LEFT(UPPER(SUBSTITUTE(TRIM($E376),"/","")),3)=UPPER(TRIM(Settings!$C$7)),IF(AND(ISNUMBER($K376),N($K376)&lt;&gt;0),1/$K376,""),""))))</f>
        <v/>
      </c>
      <c r="AI376" s="55" t="str">
        <f>IF($AM376=0,"",IF(OR(NOT(ISNUMBER($H376)),NOT(ISNUMBER($K376)),NOT(ISNUMBER($G376)),$AG376="",$AH376=""),"",ROUND(($K376-$H376)*IF($F376="Short",-1,1)*$G376*$AG376*$AH376,6)))</f>
        <v/>
      </c>
      <c r="AJ376" s="55" t="str">
        <f>IF($AM376=0,"",IF(INDEX(Settings!$E$14:$E$18,$BF376)="% of notional",IF(OR($AG376="",NOT(ISNUMBER($H376)),NOT(ISNUMBER($G376))),"",ROUND(ABS($H376*$G376*$AG376*N($AH376))*IF($L376="Limit",N(INDEX(Settings!$G$14:$G$18,$BF376)),N(INDEX(Settings!$H$14:$H$18,$BF376)))+IF(ISNUMBER($K376),ABS($K376*$G376*$AG376*N($AH376))*IF($M376="Target",N(INDEX(Settings!$G$14:$G$18,$BF376)),N(INDEX(Settings!$H$14:$H$18,$BF376))),0),6)),IF(NOT(ISNUMBER($G376)),"",ROUND(ABS($G376)*2*IF(AND($BE376&gt;0,ISNUMBER(INDEX(Instruments!$G$6:$G$205,MAX(1,$BE376)))),INDEX(Instruments!$G$6:$G$205,MAX(1,$BE376)),N(INDEX(Settings!$F$14:$F$18,$BF376))),6))))</f>
        <v/>
      </c>
      <c r="AK376" s="55" t="str">
        <f>IF($AM376=0,"",IF(ISNUMBER($O376),$O376,$AI376))</f>
        <v/>
      </c>
      <c r="AL376" s="55" t="str">
        <f>IF($AM376=0,"",IF(ISNUMBER($P376),$P376,N($AJ376)))</f>
        <v/>
      </c>
      <c r="AM376" s="56">
        <f>IF(AND($A376&lt;&gt;"",$E376&lt;&gt;"",OR(AND(ISNUMBER($G376),ISNUMBER($H376),ISNUMBER($K376)),ISNUMBER($O376))),1,0)</f>
        <v>0</v>
      </c>
      <c r="AN376" s="57" t="str">
        <f>IF($A376="","",$A376-WEEKDAY($A376,3))</f>
        <v/>
      </c>
      <c r="AO376" s="56" t="str">
        <f>IF($A376="","",WEEKDAY($A376,2))</f>
        <v/>
      </c>
      <c r="AP376" s="55" t="str">
        <f>IF(OR($AM376=0,$C376=""),"",IFERROR(N(INDEX(Accounts!$E$7:$E$16,MATCH($C376,Accounts!$B$7:$B$16,0))),0)+SUMIFS($Q$6:$Q376,$C$6:$C376,$C376))</f>
        <v/>
      </c>
      <c r="AQ376" s="55" t="str">
        <f>IF(OR($AM376=0,$C376=""),"",SUMIFS($Q$6:$Q$1005,$C$6:$C$1005,$C376,$A$6:$A$1005,$A376))</f>
        <v/>
      </c>
      <c r="AR376" s="55" t="str">
        <f>IF(OR($AM376=0,$C376=""),"",IFERROR(N(INDEX(Accounts!$E$7:$E$16,MATCH($C376,Accounts!$B$7:$B$16,0))),0)+SUMIFS($Q$6:$Q$1005,$C$6:$C$1005,$C376,$A$6:$A$1005,"&lt;="&amp;$A376))</f>
        <v/>
      </c>
      <c r="AS376" s="56">
        <f>IF(OR($AM376=0,$Q376=""),0,IF(AND($A376&gt;=Lists!$W$6,$A376&lt;=Lists!$W$7,OR(Dashboard!$D$6="All accounts",$C376=Dashboard!$D$6),OR(Dashboard!$D$7="All markets",$AF376=Dashboard!$D$7)),1,0))</f>
        <v>0</v>
      </c>
      <c r="AT376" s="55">
        <f>IF($AS376=1,N(AT375)+$Q376,N(AT375))</f>
        <v>1187.10688</v>
      </c>
      <c r="AU376" s="55">
        <f>MAX(N(AU375),$AT376)</f>
        <v>1187.10688</v>
      </c>
      <c r="AV376" s="55">
        <f>$AT376-$AU376</f>
        <v>0</v>
      </c>
      <c r="AW376" s="56">
        <f>IF($AS376=1,IF($S376="Win",N(AW375)+1,IF($S376="Loss",0,N(AW375))),N(AW375))</f>
        <v>5</v>
      </c>
      <c r="AX376" s="56">
        <f>IF($AS376=1,IF($S376="Loss",N(AX375)+1,IF($S376="Win",0,N(AX375))),N(AX375))</f>
        <v>0</v>
      </c>
      <c r="AY376" s="56" t="str">
        <f>IF($AS376=1,COUNTIF($AS$6:$AS376,1),"")</f>
        <v/>
      </c>
      <c r="AZ376" s="56">
        <f>MIN(370,N(Lists!$W$8))</f>
        <v>28</v>
      </c>
      <c r="BA376" s="56">
        <f>IF($AS376=1,IF(COUNTIFS($A$6:$A376,$A376,$AS$6:$AS376,1)=1,1,0),0)</f>
        <v>0</v>
      </c>
      <c r="BB376" s="55" t="str">
        <f>IF($BA376=1,SUMIFS($Q$6:$Q$1005,$A$6:$A$1005,$A376,$AS$6:$AS$1005,1),"")</f>
        <v/>
      </c>
      <c r="BC376" s="56">
        <f>IF(ISNUMBER($R376),1,0)</f>
        <v>0</v>
      </c>
      <c r="BD376" s="55" t="str">
        <f>IF(ISNUMBER($U376),$U376*$V376,"")</f>
        <v/>
      </c>
      <c r="BE376" s="56" t="str">
        <f>IF($AM376=0,"",IFERROR(MATCH($AF376&amp;"|"&amp;UPPER(TRIM($E376)),Lists!$A$6:$A$205,0),0))</f>
        <v/>
      </c>
      <c r="BF376" s="56" t="str">
        <f>IF($AM376=0,"",IFERROR(MATCH($AF376,Settings!$B$14:$B$18,0),IFERROR(MATCH(Settings!$C$6,Settings!$B$14:$B$18,0),1)))</f>
        <v/>
      </c>
      <c r="BG376" s="58" t="str">
        <f>IF($AM376=0,"",IF(NOT(ISNUMBER($I376)),"No stop; ","")&amp;IF(AND(ISNUMBER($H376),ISNUMBER($I376)),IF(OR(AND($F376&lt;&gt;"Short",$I376&gt;=$H376),AND($F376="Short",$I376&lt;=$H376)),"Stop on wrong side; ",""),"")&amp;IF($F376="","No direction; ","")&amp;IF(AND(ISNUMBER(Settings!$C$22),ISNUMBER($V376)),IF($V376&gt;Settings!$C$22,"Risk over max $; ",""),"")&amp;IF(AND(ISNUMBER(Settings!$C$23),ISNUMBER($V376),ISNUMBER($AP376),IFERROR(N(INDEX(Accounts!$E$7:$E$16,MATCH($C376,Accounts!$B$7:$B$16,0))),0)&gt;0),IF($V376&gt;Settings!$C$23*($AP376-N($Q376)),"Risk over max %; ",""),"")&amp;IF(AND(ISNUMBER(Settings!$C$24),ISNUMBER($N376)),IF($N376&gt;Settings!$C$24,"Leverage over max; ",""),"")&amp;IF(AND(ISNUMBER(Settings!$C$27),ISNUMBER($T376)),IF($T376&lt;Settings!$C$27,"R:R below min; ",""),"")&amp;IF(ISNUMBER(Settings!$C$25),IF(COUNTIFS($A$6:$A376,$A376,$AM$6:$AM376,1)&gt;Settings!$C$25,"Over max trades/day; ",""),"")&amp;IF(ISNUMBER(Settings!$C$26),IF(SUMIFS($Q$5:$Q375,$A$5:$A375,$A376)&lt;=-Settings!$C$26,"Traded after daily max loss; ",""),"")&amp;IF(AND($AG376="",NOT(ISNUMBER($O376))),"Symbol not in Instruments; ","")&amp;IF(AND($AH376="",NOT(ISNUMBER($O376))),"Forex cross: type Gross P&amp;L; ",""))</f>
        <v/>
      </c>
      <c r="BH376" s="56">
        <f>IF(ISNUMBER($Q376),1,0)</f>
        <v>0</v>
      </c>
      <c r="BI376" s="56">
        <f>IF($Y376="",0,1)</f>
        <v>0</v>
      </c>
      <c r="BJ376" s="56">
        <f>IF($AB376="",0,1)</f>
        <v>0</v>
      </c>
      <c r="BK376" s="56">
        <f>IF(AND($BH376=1,$W376&lt;&gt;"OK"),1,0)</f>
        <v>0</v>
      </c>
      <c r="BL376" s="55">
        <f>IF(N($AZ376)=0,0,IFERROR(INDEX($AT$6:$AT$1005,MATCH($AZ376,$AY$6:$AY$1005,0)),0))</f>
        <v>1187.10688</v>
      </c>
      <c r="BM376" s="56">
        <f>IF(ISNUMBER(SEARCH("daily max loss",$BG376)),1,0)</f>
        <v>0</v>
      </c>
    </row>
    <row r="377" ht="18" customHeight="1">
      <c r="A377" s="38" t="n"/>
      <c r="B377" s="39" t="n"/>
      <c r="C377" s="40" t="n"/>
      <c r="D377" s="41" t="n"/>
      <c r="E377" s="41" t="n"/>
      <c r="F377" s="41" t="n"/>
      <c r="G377" s="41" t="n"/>
      <c r="H377" s="42" t="n"/>
      <c r="I377" s="42" t="n"/>
      <c r="J377" s="42" t="n"/>
      <c r="K377" s="42" t="n"/>
      <c r="L377" s="41" t="n"/>
      <c r="M377" s="41" t="n"/>
      <c r="N377" s="41" t="n"/>
      <c r="O377" s="43" t="n"/>
      <c r="P377" s="43" t="n"/>
      <c r="Q377" s="44" t="str">
        <f>IF($AM377=0,"",IF(ISNUMBER($AK377),$AK377-N($AL377),""))</f>
        <v/>
      </c>
      <c r="R377" s="45" t="str">
        <f>IF(OR($Q377="",NOT(ISNUMBER($V377))),"",$AK377/$V377)</f>
        <v/>
      </c>
      <c r="S377" s="46" t="str">
        <f>IF($Q377="","",IF(AND(ISNUMBER($R377),ABS(N($R377))&lt;N(Settings!$C$8)),"Scratch",IF($Q377&gt;0,"Win",IF($Q377&lt;0,"Loss","Scratch"))))</f>
        <v/>
      </c>
      <c r="T377" s="47" t="str">
        <f>IF(OR($AM377=0,NOT(ISNUMBER($H377)),NOT(ISNUMBER($I377)),NOT(ISNUMBER($J377))),"",IF($H377=$I377,"",ROUND(ABS($J377-$H377)/ABS($H377-$I377),6)))</f>
        <v/>
      </c>
      <c r="U377" s="48" t="str">
        <f>IF(OR($S377&lt;&gt;"Win",NOT(ISNUMBER($T377)),NOT(ISNUMBER($R377))),"",MAX(0,$T377-$R377))</f>
        <v/>
      </c>
      <c r="V377" s="49" t="str">
        <f>IF(OR($AM377=0,NOT(ISNUMBER($H377)),NOT(ISNUMBER($I377)),NOT(ISNUMBER($G377))),"",IF(OR($AG377="",$AH377=""),"",IF(ROUND(ABS($H377-$I377)*ABS($G377)*$AG377*$AH377,6)=0,"",ROUND(ABS($H377-$I377)*ABS($G377)*$AG377*$AH377,6))))</f>
        <v/>
      </c>
      <c r="W377" s="50" t="str">
        <f>IF($AM377=0,"",IF($BG377="","OK",LEFT($BG377,LEN($BG377)-2)))</f>
        <v/>
      </c>
      <c r="X377" s="41" t="n"/>
      <c r="Y377" s="40" t="n"/>
      <c r="Z377" s="41" t="n"/>
      <c r="AA377" s="41" t="n"/>
      <c r="AB377" s="40" t="n"/>
      <c r="AC377" s="51" t="n"/>
      <c r="AD377" s="51" t="n"/>
      <c r="AE377" s="40" t="n"/>
      <c r="AF377" s="52" t="str">
        <f>IF($AM377=0,"",IF($D377&lt;&gt;"",$D377,IF(IFERROR(INDEX(Accounts!$C$7:$C$16,MATCH($C377,Accounts!$B$7:$B$16,0))&amp;"","")&lt;&gt;"",INDEX(Accounts!$C$7:$C$16,MATCH($C377,Accounts!$B$7:$B$16,0)),Settings!$C$6)))</f>
        <v/>
      </c>
      <c r="AG377" s="53" t="str">
        <f>IF($AM377=0,"",IF(AND($BE377&gt;0,N(INDEX(Instruments!$D$6:$D$205,MAX(1,$BE377)))&gt;0),INDEX(Instruments!$D$6:$D$205,MAX(1,$BE377)),IF(N(INDEX(Settings!$D$14:$D$18,$BF377))&gt;0,INDEX(Settings!$D$14:$D$18,$BF377),"")))</f>
        <v/>
      </c>
      <c r="AH377" s="54" t="str">
        <f>IF($AM377=0,"",IF($AF377&lt;&gt;"Forex",1,IF(MID(UPPER(SUBSTITUTE(TRIM($E377),"/","")),4,3)=UPPER(TRIM(Settings!$C$7)),1,IF(LEFT(UPPER(SUBSTITUTE(TRIM($E377),"/","")),3)=UPPER(TRIM(Settings!$C$7)),IF(AND(ISNUMBER($K377),N($K377)&lt;&gt;0),1/$K377,""),""))))</f>
        <v/>
      </c>
      <c r="AI377" s="55" t="str">
        <f>IF($AM377=0,"",IF(OR(NOT(ISNUMBER($H377)),NOT(ISNUMBER($K377)),NOT(ISNUMBER($G377)),$AG377="",$AH377=""),"",ROUND(($K377-$H377)*IF($F377="Short",-1,1)*$G377*$AG377*$AH377,6)))</f>
        <v/>
      </c>
      <c r="AJ377" s="55" t="str">
        <f>IF($AM377=0,"",IF(INDEX(Settings!$E$14:$E$18,$BF377)="% of notional",IF(OR($AG377="",NOT(ISNUMBER($H377)),NOT(ISNUMBER($G377))),"",ROUND(ABS($H377*$G377*$AG377*N($AH377))*IF($L377="Limit",N(INDEX(Settings!$G$14:$G$18,$BF377)),N(INDEX(Settings!$H$14:$H$18,$BF377)))+IF(ISNUMBER($K377),ABS($K377*$G377*$AG377*N($AH377))*IF($M377="Target",N(INDEX(Settings!$G$14:$G$18,$BF377)),N(INDEX(Settings!$H$14:$H$18,$BF377))),0),6)),IF(NOT(ISNUMBER($G377)),"",ROUND(ABS($G377)*2*IF(AND($BE377&gt;0,ISNUMBER(INDEX(Instruments!$G$6:$G$205,MAX(1,$BE377)))),INDEX(Instruments!$G$6:$G$205,MAX(1,$BE377)),N(INDEX(Settings!$F$14:$F$18,$BF377))),6))))</f>
        <v/>
      </c>
      <c r="AK377" s="55" t="str">
        <f>IF($AM377=0,"",IF(ISNUMBER($O377),$O377,$AI377))</f>
        <v/>
      </c>
      <c r="AL377" s="55" t="str">
        <f>IF($AM377=0,"",IF(ISNUMBER($P377),$P377,N($AJ377)))</f>
        <v/>
      </c>
      <c r="AM377" s="56">
        <f>IF(AND($A377&lt;&gt;"",$E377&lt;&gt;"",OR(AND(ISNUMBER($G377),ISNUMBER($H377),ISNUMBER($K377)),ISNUMBER($O377))),1,0)</f>
        <v>0</v>
      </c>
      <c r="AN377" s="57" t="str">
        <f>IF($A377="","",$A377-WEEKDAY($A377,3))</f>
        <v/>
      </c>
      <c r="AO377" s="56" t="str">
        <f>IF($A377="","",WEEKDAY($A377,2))</f>
        <v/>
      </c>
      <c r="AP377" s="55" t="str">
        <f>IF(OR($AM377=0,$C377=""),"",IFERROR(N(INDEX(Accounts!$E$7:$E$16,MATCH($C377,Accounts!$B$7:$B$16,0))),0)+SUMIFS($Q$6:$Q377,$C$6:$C377,$C377))</f>
        <v/>
      </c>
      <c r="AQ377" s="55" t="str">
        <f>IF(OR($AM377=0,$C377=""),"",SUMIFS($Q$6:$Q$1005,$C$6:$C$1005,$C377,$A$6:$A$1005,$A377))</f>
        <v/>
      </c>
      <c r="AR377" s="55" t="str">
        <f>IF(OR($AM377=0,$C377=""),"",IFERROR(N(INDEX(Accounts!$E$7:$E$16,MATCH($C377,Accounts!$B$7:$B$16,0))),0)+SUMIFS($Q$6:$Q$1005,$C$6:$C$1005,$C377,$A$6:$A$1005,"&lt;="&amp;$A377))</f>
        <v/>
      </c>
      <c r="AS377" s="56">
        <f>IF(OR($AM377=0,$Q377=""),0,IF(AND($A377&gt;=Lists!$W$6,$A377&lt;=Lists!$W$7,OR(Dashboard!$D$6="All accounts",$C377=Dashboard!$D$6),OR(Dashboard!$D$7="All markets",$AF377=Dashboard!$D$7)),1,0))</f>
        <v>0</v>
      </c>
      <c r="AT377" s="55">
        <f>IF($AS377=1,N(AT376)+$Q377,N(AT376))</f>
        <v>1187.10688</v>
      </c>
      <c r="AU377" s="55">
        <f>MAX(N(AU376),$AT377)</f>
        <v>1187.10688</v>
      </c>
      <c r="AV377" s="55">
        <f>$AT377-$AU377</f>
        <v>0</v>
      </c>
      <c r="AW377" s="56">
        <f>IF($AS377=1,IF($S377="Win",N(AW376)+1,IF($S377="Loss",0,N(AW376))),N(AW376))</f>
        <v>5</v>
      </c>
      <c r="AX377" s="56">
        <f>IF($AS377=1,IF($S377="Loss",N(AX376)+1,IF($S377="Win",0,N(AX376))),N(AX376))</f>
        <v>0</v>
      </c>
      <c r="AY377" s="56" t="str">
        <f>IF($AS377=1,COUNTIF($AS$6:$AS377,1),"")</f>
        <v/>
      </c>
      <c r="AZ377" s="56">
        <f>MIN(371,N(Lists!$W$8))</f>
        <v>28</v>
      </c>
      <c r="BA377" s="56">
        <f>IF($AS377=1,IF(COUNTIFS($A$6:$A377,$A377,$AS$6:$AS377,1)=1,1,0),0)</f>
        <v>0</v>
      </c>
      <c r="BB377" s="55" t="str">
        <f>IF($BA377=1,SUMIFS($Q$6:$Q$1005,$A$6:$A$1005,$A377,$AS$6:$AS$1005,1),"")</f>
        <v/>
      </c>
      <c r="BC377" s="56">
        <f>IF(ISNUMBER($R377),1,0)</f>
        <v>0</v>
      </c>
      <c r="BD377" s="55" t="str">
        <f>IF(ISNUMBER($U377),$U377*$V377,"")</f>
        <v/>
      </c>
      <c r="BE377" s="56" t="str">
        <f>IF($AM377=0,"",IFERROR(MATCH($AF377&amp;"|"&amp;UPPER(TRIM($E377)),Lists!$A$6:$A$205,0),0))</f>
        <v/>
      </c>
      <c r="BF377" s="56" t="str">
        <f>IF($AM377=0,"",IFERROR(MATCH($AF377,Settings!$B$14:$B$18,0),IFERROR(MATCH(Settings!$C$6,Settings!$B$14:$B$18,0),1)))</f>
        <v/>
      </c>
      <c r="BG377" s="58" t="str">
        <f>IF($AM377=0,"",IF(NOT(ISNUMBER($I377)),"No stop; ","")&amp;IF(AND(ISNUMBER($H377),ISNUMBER($I377)),IF(OR(AND($F377&lt;&gt;"Short",$I377&gt;=$H377),AND($F377="Short",$I377&lt;=$H377)),"Stop on wrong side; ",""),"")&amp;IF($F377="","No direction; ","")&amp;IF(AND(ISNUMBER(Settings!$C$22),ISNUMBER($V377)),IF($V377&gt;Settings!$C$22,"Risk over max $; ",""),"")&amp;IF(AND(ISNUMBER(Settings!$C$23),ISNUMBER($V377),ISNUMBER($AP377),IFERROR(N(INDEX(Accounts!$E$7:$E$16,MATCH($C377,Accounts!$B$7:$B$16,0))),0)&gt;0),IF($V377&gt;Settings!$C$23*($AP377-N($Q377)),"Risk over max %; ",""),"")&amp;IF(AND(ISNUMBER(Settings!$C$24),ISNUMBER($N377)),IF($N377&gt;Settings!$C$24,"Leverage over max; ",""),"")&amp;IF(AND(ISNUMBER(Settings!$C$27),ISNUMBER($T377)),IF($T377&lt;Settings!$C$27,"R:R below min; ",""),"")&amp;IF(ISNUMBER(Settings!$C$25),IF(COUNTIFS($A$6:$A377,$A377,$AM$6:$AM377,1)&gt;Settings!$C$25,"Over max trades/day; ",""),"")&amp;IF(ISNUMBER(Settings!$C$26),IF(SUMIFS($Q$5:$Q376,$A$5:$A376,$A377)&lt;=-Settings!$C$26,"Traded after daily max loss; ",""),"")&amp;IF(AND($AG377="",NOT(ISNUMBER($O377))),"Symbol not in Instruments; ","")&amp;IF(AND($AH377="",NOT(ISNUMBER($O377))),"Forex cross: type Gross P&amp;L; ",""))</f>
        <v/>
      </c>
      <c r="BH377" s="56">
        <f>IF(ISNUMBER($Q377),1,0)</f>
        <v>0</v>
      </c>
      <c r="BI377" s="56">
        <f>IF($Y377="",0,1)</f>
        <v>0</v>
      </c>
      <c r="BJ377" s="56">
        <f>IF($AB377="",0,1)</f>
        <v>0</v>
      </c>
      <c r="BK377" s="56">
        <f>IF(AND($BH377=1,$W377&lt;&gt;"OK"),1,0)</f>
        <v>0</v>
      </c>
      <c r="BL377" s="55">
        <f>IF(N($AZ377)=0,0,IFERROR(INDEX($AT$6:$AT$1005,MATCH($AZ377,$AY$6:$AY$1005,0)),0))</f>
        <v>1187.10688</v>
      </c>
      <c r="BM377" s="56">
        <f>IF(ISNUMBER(SEARCH("daily max loss",$BG377)),1,0)</f>
        <v>0</v>
      </c>
    </row>
    <row r="378" ht="18" customHeight="1">
      <c r="A378" s="38" t="n"/>
      <c r="B378" s="39" t="n"/>
      <c r="C378" s="40" t="n"/>
      <c r="D378" s="41" t="n"/>
      <c r="E378" s="41" t="n"/>
      <c r="F378" s="41" t="n"/>
      <c r="G378" s="41" t="n"/>
      <c r="H378" s="42" t="n"/>
      <c r="I378" s="42" t="n"/>
      <c r="J378" s="42" t="n"/>
      <c r="K378" s="42" t="n"/>
      <c r="L378" s="41" t="n"/>
      <c r="M378" s="41" t="n"/>
      <c r="N378" s="41" t="n"/>
      <c r="O378" s="43" t="n"/>
      <c r="P378" s="43" t="n"/>
      <c r="Q378" s="44" t="str">
        <f>IF($AM378=0,"",IF(ISNUMBER($AK378),$AK378-N($AL378),""))</f>
        <v/>
      </c>
      <c r="R378" s="45" t="str">
        <f>IF(OR($Q378="",NOT(ISNUMBER($V378))),"",$AK378/$V378)</f>
        <v/>
      </c>
      <c r="S378" s="46" t="str">
        <f>IF($Q378="","",IF(AND(ISNUMBER($R378),ABS(N($R378))&lt;N(Settings!$C$8)),"Scratch",IF($Q378&gt;0,"Win",IF($Q378&lt;0,"Loss","Scratch"))))</f>
        <v/>
      </c>
      <c r="T378" s="47" t="str">
        <f>IF(OR($AM378=0,NOT(ISNUMBER($H378)),NOT(ISNUMBER($I378)),NOT(ISNUMBER($J378))),"",IF($H378=$I378,"",ROUND(ABS($J378-$H378)/ABS($H378-$I378),6)))</f>
        <v/>
      </c>
      <c r="U378" s="48" t="str">
        <f>IF(OR($S378&lt;&gt;"Win",NOT(ISNUMBER($T378)),NOT(ISNUMBER($R378))),"",MAX(0,$T378-$R378))</f>
        <v/>
      </c>
      <c r="V378" s="49" t="str">
        <f>IF(OR($AM378=0,NOT(ISNUMBER($H378)),NOT(ISNUMBER($I378)),NOT(ISNUMBER($G378))),"",IF(OR($AG378="",$AH378=""),"",IF(ROUND(ABS($H378-$I378)*ABS($G378)*$AG378*$AH378,6)=0,"",ROUND(ABS($H378-$I378)*ABS($G378)*$AG378*$AH378,6))))</f>
        <v/>
      </c>
      <c r="W378" s="50" t="str">
        <f>IF($AM378=0,"",IF($BG378="","OK",LEFT($BG378,LEN($BG378)-2)))</f>
        <v/>
      </c>
      <c r="X378" s="41" t="n"/>
      <c r="Y378" s="40" t="n"/>
      <c r="Z378" s="41" t="n"/>
      <c r="AA378" s="41" t="n"/>
      <c r="AB378" s="40" t="n"/>
      <c r="AC378" s="51" t="n"/>
      <c r="AD378" s="51" t="n"/>
      <c r="AE378" s="40" t="n"/>
      <c r="AF378" s="52" t="str">
        <f>IF($AM378=0,"",IF($D378&lt;&gt;"",$D378,IF(IFERROR(INDEX(Accounts!$C$7:$C$16,MATCH($C378,Accounts!$B$7:$B$16,0))&amp;"","")&lt;&gt;"",INDEX(Accounts!$C$7:$C$16,MATCH($C378,Accounts!$B$7:$B$16,0)),Settings!$C$6)))</f>
        <v/>
      </c>
      <c r="AG378" s="53" t="str">
        <f>IF($AM378=0,"",IF(AND($BE378&gt;0,N(INDEX(Instruments!$D$6:$D$205,MAX(1,$BE378)))&gt;0),INDEX(Instruments!$D$6:$D$205,MAX(1,$BE378)),IF(N(INDEX(Settings!$D$14:$D$18,$BF378))&gt;0,INDEX(Settings!$D$14:$D$18,$BF378),"")))</f>
        <v/>
      </c>
      <c r="AH378" s="54" t="str">
        <f>IF($AM378=0,"",IF($AF378&lt;&gt;"Forex",1,IF(MID(UPPER(SUBSTITUTE(TRIM($E378),"/","")),4,3)=UPPER(TRIM(Settings!$C$7)),1,IF(LEFT(UPPER(SUBSTITUTE(TRIM($E378),"/","")),3)=UPPER(TRIM(Settings!$C$7)),IF(AND(ISNUMBER($K378),N($K378)&lt;&gt;0),1/$K378,""),""))))</f>
        <v/>
      </c>
      <c r="AI378" s="55" t="str">
        <f>IF($AM378=0,"",IF(OR(NOT(ISNUMBER($H378)),NOT(ISNUMBER($K378)),NOT(ISNUMBER($G378)),$AG378="",$AH378=""),"",ROUND(($K378-$H378)*IF($F378="Short",-1,1)*$G378*$AG378*$AH378,6)))</f>
        <v/>
      </c>
      <c r="AJ378" s="55" t="str">
        <f>IF($AM378=0,"",IF(INDEX(Settings!$E$14:$E$18,$BF378)="% of notional",IF(OR($AG378="",NOT(ISNUMBER($H378)),NOT(ISNUMBER($G378))),"",ROUND(ABS($H378*$G378*$AG378*N($AH378))*IF($L378="Limit",N(INDEX(Settings!$G$14:$G$18,$BF378)),N(INDEX(Settings!$H$14:$H$18,$BF378)))+IF(ISNUMBER($K378),ABS($K378*$G378*$AG378*N($AH378))*IF($M378="Target",N(INDEX(Settings!$G$14:$G$18,$BF378)),N(INDEX(Settings!$H$14:$H$18,$BF378))),0),6)),IF(NOT(ISNUMBER($G378)),"",ROUND(ABS($G378)*2*IF(AND($BE378&gt;0,ISNUMBER(INDEX(Instruments!$G$6:$G$205,MAX(1,$BE378)))),INDEX(Instruments!$G$6:$G$205,MAX(1,$BE378)),N(INDEX(Settings!$F$14:$F$18,$BF378))),6))))</f>
        <v/>
      </c>
      <c r="AK378" s="55" t="str">
        <f>IF($AM378=0,"",IF(ISNUMBER($O378),$O378,$AI378))</f>
        <v/>
      </c>
      <c r="AL378" s="55" t="str">
        <f>IF($AM378=0,"",IF(ISNUMBER($P378),$P378,N($AJ378)))</f>
        <v/>
      </c>
      <c r="AM378" s="56">
        <f>IF(AND($A378&lt;&gt;"",$E378&lt;&gt;"",OR(AND(ISNUMBER($G378),ISNUMBER($H378),ISNUMBER($K378)),ISNUMBER($O378))),1,0)</f>
        <v>0</v>
      </c>
      <c r="AN378" s="57" t="str">
        <f>IF($A378="","",$A378-WEEKDAY($A378,3))</f>
        <v/>
      </c>
      <c r="AO378" s="56" t="str">
        <f>IF($A378="","",WEEKDAY($A378,2))</f>
        <v/>
      </c>
      <c r="AP378" s="55" t="str">
        <f>IF(OR($AM378=0,$C378=""),"",IFERROR(N(INDEX(Accounts!$E$7:$E$16,MATCH($C378,Accounts!$B$7:$B$16,0))),0)+SUMIFS($Q$6:$Q378,$C$6:$C378,$C378))</f>
        <v/>
      </c>
      <c r="AQ378" s="55" t="str">
        <f>IF(OR($AM378=0,$C378=""),"",SUMIFS($Q$6:$Q$1005,$C$6:$C$1005,$C378,$A$6:$A$1005,$A378))</f>
        <v/>
      </c>
      <c r="AR378" s="55" t="str">
        <f>IF(OR($AM378=0,$C378=""),"",IFERROR(N(INDEX(Accounts!$E$7:$E$16,MATCH($C378,Accounts!$B$7:$B$16,0))),0)+SUMIFS($Q$6:$Q$1005,$C$6:$C$1005,$C378,$A$6:$A$1005,"&lt;="&amp;$A378))</f>
        <v/>
      </c>
      <c r="AS378" s="56">
        <f>IF(OR($AM378=0,$Q378=""),0,IF(AND($A378&gt;=Lists!$W$6,$A378&lt;=Lists!$W$7,OR(Dashboard!$D$6="All accounts",$C378=Dashboard!$D$6),OR(Dashboard!$D$7="All markets",$AF378=Dashboard!$D$7)),1,0))</f>
        <v>0</v>
      </c>
      <c r="AT378" s="55">
        <f>IF($AS378=1,N(AT377)+$Q378,N(AT377))</f>
        <v>1187.10688</v>
      </c>
      <c r="AU378" s="55">
        <f>MAX(N(AU377),$AT378)</f>
        <v>1187.10688</v>
      </c>
      <c r="AV378" s="55">
        <f>$AT378-$AU378</f>
        <v>0</v>
      </c>
      <c r="AW378" s="56">
        <f>IF($AS378=1,IF($S378="Win",N(AW377)+1,IF($S378="Loss",0,N(AW377))),N(AW377))</f>
        <v>5</v>
      </c>
      <c r="AX378" s="56">
        <f>IF($AS378=1,IF($S378="Loss",N(AX377)+1,IF($S378="Win",0,N(AX377))),N(AX377))</f>
        <v>0</v>
      </c>
      <c r="AY378" s="56" t="str">
        <f>IF($AS378=1,COUNTIF($AS$6:$AS378,1),"")</f>
        <v/>
      </c>
      <c r="AZ378" s="56">
        <f>MIN(372,N(Lists!$W$8))</f>
        <v>28</v>
      </c>
      <c r="BA378" s="56">
        <f>IF($AS378=1,IF(COUNTIFS($A$6:$A378,$A378,$AS$6:$AS378,1)=1,1,0),0)</f>
        <v>0</v>
      </c>
      <c r="BB378" s="55" t="str">
        <f>IF($BA378=1,SUMIFS($Q$6:$Q$1005,$A$6:$A$1005,$A378,$AS$6:$AS$1005,1),"")</f>
        <v/>
      </c>
      <c r="BC378" s="56">
        <f>IF(ISNUMBER($R378),1,0)</f>
        <v>0</v>
      </c>
      <c r="BD378" s="55" t="str">
        <f>IF(ISNUMBER($U378),$U378*$V378,"")</f>
        <v/>
      </c>
      <c r="BE378" s="56" t="str">
        <f>IF($AM378=0,"",IFERROR(MATCH($AF378&amp;"|"&amp;UPPER(TRIM($E378)),Lists!$A$6:$A$205,0),0))</f>
        <v/>
      </c>
      <c r="BF378" s="56" t="str">
        <f>IF($AM378=0,"",IFERROR(MATCH($AF378,Settings!$B$14:$B$18,0),IFERROR(MATCH(Settings!$C$6,Settings!$B$14:$B$18,0),1)))</f>
        <v/>
      </c>
      <c r="BG378" s="58" t="str">
        <f>IF($AM378=0,"",IF(NOT(ISNUMBER($I378)),"No stop; ","")&amp;IF(AND(ISNUMBER($H378),ISNUMBER($I378)),IF(OR(AND($F378&lt;&gt;"Short",$I378&gt;=$H378),AND($F378="Short",$I378&lt;=$H378)),"Stop on wrong side; ",""),"")&amp;IF($F378="","No direction; ","")&amp;IF(AND(ISNUMBER(Settings!$C$22),ISNUMBER($V378)),IF($V378&gt;Settings!$C$22,"Risk over max $; ",""),"")&amp;IF(AND(ISNUMBER(Settings!$C$23),ISNUMBER($V378),ISNUMBER($AP378),IFERROR(N(INDEX(Accounts!$E$7:$E$16,MATCH($C378,Accounts!$B$7:$B$16,0))),0)&gt;0),IF($V378&gt;Settings!$C$23*($AP378-N($Q378)),"Risk over max %; ",""),"")&amp;IF(AND(ISNUMBER(Settings!$C$24),ISNUMBER($N378)),IF($N378&gt;Settings!$C$24,"Leverage over max; ",""),"")&amp;IF(AND(ISNUMBER(Settings!$C$27),ISNUMBER($T378)),IF($T378&lt;Settings!$C$27,"R:R below min; ",""),"")&amp;IF(ISNUMBER(Settings!$C$25),IF(COUNTIFS($A$6:$A378,$A378,$AM$6:$AM378,1)&gt;Settings!$C$25,"Over max trades/day; ",""),"")&amp;IF(ISNUMBER(Settings!$C$26),IF(SUMIFS($Q$5:$Q377,$A$5:$A377,$A378)&lt;=-Settings!$C$26,"Traded after daily max loss; ",""),"")&amp;IF(AND($AG378="",NOT(ISNUMBER($O378))),"Symbol not in Instruments; ","")&amp;IF(AND($AH378="",NOT(ISNUMBER($O378))),"Forex cross: type Gross P&amp;L; ",""))</f>
        <v/>
      </c>
      <c r="BH378" s="56">
        <f>IF(ISNUMBER($Q378),1,0)</f>
        <v>0</v>
      </c>
      <c r="BI378" s="56">
        <f>IF($Y378="",0,1)</f>
        <v>0</v>
      </c>
      <c r="BJ378" s="56">
        <f>IF($AB378="",0,1)</f>
        <v>0</v>
      </c>
      <c r="BK378" s="56">
        <f>IF(AND($BH378=1,$W378&lt;&gt;"OK"),1,0)</f>
        <v>0</v>
      </c>
      <c r="BL378" s="55">
        <f>IF(N($AZ378)=0,0,IFERROR(INDEX($AT$6:$AT$1005,MATCH($AZ378,$AY$6:$AY$1005,0)),0))</f>
        <v>1187.10688</v>
      </c>
      <c r="BM378" s="56">
        <f>IF(ISNUMBER(SEARCH("daily max loss",$BG378)),1,0)</f>
        <v>0</v>
      </c>
    </row>
    <row r="379" ht="18" customHeight="1">
      <c r="A379" s="38" t="n"/>
      <c r="B379" s="39" t="n"/>
      <c r="C379" s="40" t="n"/>
      <c r="D379" s="41" t="n"/>
      <c r="E379" s="41" t="n"/>
      <c r="F379" s="41" t="n"/>
      <c r="G379" s="41" t="n"/>
      <c r="H379" s="42" t="n"/>
      <c r="I379" s="42" t="n"/>
      <c r="J379" s="42" t="n"/>
      <c r="K379" s="42" t="n"/>
      <c r="L379" s="41" t="n"/>
      <c r="M379" s="41" t="n"/>
      <c r="N379" s="41" t="n"/>
      <c r="O379" s="43" t="n"/>
      <c r="P379" s="43" t="n"/>
      <c r="Q379" s="44" t="str">
        <f>IF($AM379=0,"",IF(ISNUMBER($AK379),$AK379-N($AL379),""))</f>
        <v/>
      </c>
      <c r="R379" s="45" t="str">
        <f>IF(OR($Q379="",NOT(ISNUMBER($V379))),"",$AK379/$V379)</f>
        <v/>
      </c>
      <c r="S379" s="46" t="str">
        <f>IF($Q379="","",IF(AND(ISNUMBER($R379),ABS(N($R379))&lt;N(Settings!$C$8)),"Scratch",IF($Q379&gt;0,"Win",IF($Q379&lt;0,"Loss","Scratch"))))</f>
        <v/>
      </c>
      <c r="T379" s="47" t="str">
        <f>IF(OR($AM379=0,NOT(ISNUMBER($H379)),NOT(ISNUMBER($I379)),NOT(ISNUMBER($J379))),"",IF($H379=$I379,"",ROUND(ABS($J379-$H379)/ABS($H379-$I379),6)))</f>
        <v/>
      </c>
      <c r="U379" s="48" t="str">
        <f>IF(OR($S379&lt;&gt;"Win",NOT(ISNUMBER($T379)),NOT(ISNUMBER($R379))),"",MAX(0,$T379-$R379))</f>
        <v/>
      </c>
      <c r="V379" s="49" t="str">
        <f>IF(OR($AM379=0,NOT(ISNUMBER($H379)),NOT(ISNUMBER($I379)),NOT(ISNUMBER($G379))),"",IF(OR($AG379="",$AH379=""),"",IF(ROUND(ABS($H379-$I379)*ABS($G379)*$AG379*$AH379,6)=0,"",ROUND(ABS($H379-$I379)*ABS($G379)*$AG379*$AH379,6))))</f>
        <v/>
      </c>
      <c r="W379" s="50" t="str">
        <f>IF($AM379=0,"",IF($BG379="","OK",LEFT($BG379,LEN($BG379)-2)))</f>
        <v/>
      </c>
      <c r="X379" s="41" t="n"/>
      <c r="Y379" s="40" t="n"/>
      <c r="Z379" s="41" t="n"/>
      <c r="AA379" s="41" t="n"/>
      <c r="AB379" s="40" t="n"/>
      <c r="AC379" s="51" t="n"/>
      <c r="AD379" s="51" t="n"/>
      <c r="AE379" s="40" t="n"/>
      <c r="AF379" s="52" t="str">
        <f>IF($AM379=0,"",IF($D379&lt;&gt;"",$D379,IF(IFERROR(INDEX(Accounts!$C$7:$C$16,MATCH($C379,Accounts!$B$7:$B$16,0))&amp;"","")&lt;&gt;"",INDEX(Accounts!$C$7:$C$16,MATCH($C379,Accounts!$B$7:$B$16,0)),Settings!$C$6)))</f>
        <v/>
      </c>
      <c r="AG379" s="53" t="str">
        <f>IF($AM379=0,"",IF(AND($BE379&gt;0,N(INDEX(Instruments!$D$6:$D$205,MAX(1,$BE379)))&gt;0),INDEX(Instruments!$D$6:$D$205,MAX(1,$BE379)),IF(N(INDEX(Settings!$D$14:$D$18,$BF379))&gt;0,INDEX(Settings!$D$14:$D$18,$BF379),"")))</f>
        <v/>
      </c>
      <c r="AH379" s="54" t="str">
        <f>IF($AM379=0,"",IF($AF379&lt;&gt;"Forex",1,IF(MID(UPPER(SUBSTITUTE(TRIM($E379),"/","")),4,3)=UPPER(TRIM(Settings!$C$7)),1,IF(LEFT(UPPER(SUBSTITUTE(TRIM($E379),"/","")),3)=UPPER(TRIM(Settings!$C$7)),IF(AND(ISNUMBER($K379),N($K379)&lt;&gt;0),1/$K379,""),""))))</f>
        <v/>
      </c>
      <c r="AI379" s="55" t="str">
        <f>IF($AM379=0,"",IF(OR(NOT(ISNUMBER($H379)),NOT(ISNUMBER($K379)),NOT(ISNUMBER($G379)),$AG379="",$AH379=""),"",ROUND(($K379-$H379)*IF($F379="Short",-1,1)*$G379*$AG379*$AH379,6)))</f>
        <v/>
      </c>
      <c r="AJ379" s="55" t="str">
        <f>IF($AM379=0,"",IF(INDEX(Settings!$E$14:$E$18,$BF379)="% of notional",IF(OR($AG379="",NOT(ISNUMBER($H379)),NOT(ISNUMBER($G379))),"",ROUND(ABS($H379*$G379*$AG379*N($AH379))*IF($L379="Limit",N(INDEX(Settings!$G$14:$G$18,$BF379)),N(INDEX(Settings!$H$14:$H$18,$BF379)))+IF(ISNUMBER($K379),ABS($K379*$G379*$AG379*N($AH379))*IF($M379="Target",N(INDEX(Settings!$G$14:$G$18,$BF379)),N(INDEX(Settings!$H$14:$H$18,$BF379))),0),6)),IF(NOT(ISNUMBER($G379)),"",ROUND(ABS($G379)*2*IF(AND($BE379&gt;0,ISNUMBER(INDEX(Instruments!$G$6:$G$205,MAX(1,$BE379)))),INDEX(Instruments!$G$6:$G$205,MAX(1,$BE379)),N(INDEX(Settings!$F$14:$F$18,$BF379))),6))))</f>
        <v/>
      </c>
      <c r="AK379" s="55" t="str">
        <f>IF($AM379=0,"",IF(ISNUMBER($O379),$O379,$AI379))</f>
        <v/>
      </c>
      <c r="AL379" s="55" t="str">
        <f>IF($AM379=0,"",IF(ISNUMBER($P379),$P379,N($AJ379)))</f>
        <v/>
      </c>
      <c r="AM379" s="56">
        <f>IF(AND($A379&lt;&gt;"",$E379&lt;&gt;"",OR(AND(ISNUMBER($G379),ISNUMBER($H379),ISNUMBER($K379)),ISNUMBER($O379))),1,0)</f>
        <v>0</v>
      </c>
      <c r="AN379" s="57" t="str">
        <f>IF($A379="","",$A379-WEEKDAY($A379,3))</f>
        <v/>
      </c>
      <c r="AO379" s="56" t="str">
        <f>IF($A379="","",WEEKDAY($A379,2))</f>
        <v/>
      </c>
      <c r="AP379" s="55" t="str">
        <f>IF(OR($AM379=0,$C379=""),"",IFERROR(N(INDEX(Accounts!$E$7:$E$16,MATCH($C379,Accounts!$B$7:$B$16,0))),0)+SUMIFS($Q$6:$Q379,$C$6:$C379,$C379))</f>
        <v/>
      </c>
      <c r="AQ379" s="55" t="str">
        <f>IF(OR($AM379=0,$C379=""),"",SUMIFS($Q$6:$Q$1005,$C$6:$C$1005,$C379,$A$6:$A$1005,$A379))</f>
        <v/>
      </c>
      <c r="AR379" s="55" t="str">
        <f>IF(OR($AM379=0,$C379=""),"",IFERROR(N(INDEX(Accounts!$E$7:$E$16,MATCH($C379,Accounts!$B$7:$B$16,0))),0)+SUMIFS($Q$6:$Q$1005,$C$6:$C$1005,$C379,$A$6:$A$1005,"&lt;="&amp;$A379))</f>
        <v/>
      </c>
      <c r="AS379" s="56">
        <f>IF(OR($AM379=0,$Q379=""),0,IF(AND($A379&gt;=Lists!$W$6,$A379&lt;=Lists!$W$7,OR(Dashboard!$D$6="All accounts",$C379=Dashboard!$D$6),OR(Dashboard!$D$7="All markets",$AF379=Dashboard!$D$7)),1,0))</f>
        <v>0</v>
      </c>
      <c r="AT379" s="55">
        <f>IF($AS379=1,N(AT378)+$Q379,N(AT378))</f>
        <v>1187.10688</v>
      </c>
      <c r="AU379" s="55">
        <f>MAX(N(AU378),$AT379)</f>
        <v>1187.10688</v>
      </c>
      <c r="AV379" s="55">
        <f>$AT379-$AU379</f>
        <v>0</v>
      </c>
      <c r="AW379" s="56">
        <f>IF($AS379=1,IF($S379="Win",N(AW378)+1,IF($S379="Loss",0,N(AW378))),N(AW378))</f>
        <v>5</v>
      </c>
      <c r="AX379" s="56">
        <f>IF($AS379=1,IF($S379="Loss",N(AX378)+1,IF($S379="Win",0,N(AX378))),N(AX378))</f>
        <v>0</v>
      </c>
      <c r="AY379" s="56" t="str">
        <f>IF($AS379=1,COUNTIF($AS$6:$AS379,1),"")</f>
        <v/>
      </c>
      <c r="AZ379" s="56">
        <f>MIN(373,N(Lists!$W$8))</f>
        <v>28</v>
      </c>
      <c r="BA379" s="56">
        <f>IF($AS379=1,IF(COUNTIFS($A$6:$A379,$A379,$AS$6:$AS379,1)=1,1,0),0)</f>
        <v>0</v>
      </c>
      <c r="BB379" s="55" t="str">
        <f>IF($BA379=1,SUMIFS($Q$6:$Q$1005,$A$6:$A$1005,$A379,$AS$6:$AS$1005,1),"")</f>
        <v/>
      </c>
      <c r="BC379" s="56">
        <f>IF(ISNUMBER($R379),1,0)</f>
        <v>0</v>
      </c>
      <c r="BD379" s="55" t="str">
        <f>IF(ISNUMBER($U379),$U379*$V379,"")</f>
        <v/>
      </c>
      <c r="BE379" s="56" t="str">
        <f>IF($AM379=0,"",IFERROR(MATCH($AF379&amp;"|"&amp;UPPER(TRIM($E379)),Lists!$A$6:$A$205,0),0))</f>
        <v/>
      </c>
      <c r="BF379" s="56" t="str">
        <f>IF($AM379=0,"",IFERROR(MATCH($AF379,Settings!$B$14:$B$18,0),IFERROR(MATCH(Settings!$C$6,Settings!$B$14:$B$18,0),1)))</f>
        <v/>
      </c>
      <c r="BG379" s="58" t="str">
        <f>IF($AM379=0,"",IF(NOT(ISNUMBER($I379)),"No stop; ","")&amp;IF(AND(ISNUMBER($H379),ISNUMBER($I379)),IF(OR(AND($F379&lt;&gt;"Short",$I379&gt;=$H379),AND($F379="Short",$I379&lt;=$H379)),"Stop on wrong side; ",""),"")&amp;IF($F379="","No direction; ","")&amp;IF(AND(ISNUMBER(Settings!$C$22),ISNUMBER($V379)),IF($V379&gt;Settings!$C$22,"Risk over max $; ",""),"")&amp;IF(AND(ISNUMBER(Settings!$C$23),ISNUMBER($V379),ISNUMBER($AP379),IFERROR(N(INDEX(Accounts!$E$7:$E$16,MATCH($C379,Accounts!$B$7:$B$16,0))),0)&gt;0),IF($V379&gt;Settings!$C$23*($AP379-N($Q379)),"Risk over max %; ",""),"")&amp;IF(AND(ISNUMBER(Settings!$C$24),ISNUMBER($N379)),IF($N379&gt;Settings!$C$24,"Leverage over max; ",""),"")&amp;IF(AND(ISNUMBER(Settings!$C$27),ISNUMBER($T379)),IF($T379&lt;Settings!$C$27,"R:R below min; ",""),"")&amp;IF(ISNUMBER(Settings!$C$25),IF(COUNTIFS($A$6:$A379,$A379,$AM$6:$AM379,1)&gt;Settings!$C$25,"Over max trades/day; ",""),"")&amp;IF(ISNUMBER(Settings!$C$26),IF(SUMIFS($Q$5:$Q378,$A$5:$A378,$A379)&lt;=-Settings!$C$26,"Traded after daily max loss; ",""),"")&amp;IF(AND($AG379="",NOT(ISNUMBER($O379))),"Symbol not in Instruments; ","")&amp;IF(AND($AH379="",NOT(ISNUMBER($O379))),"Forex cross: type Gross P&amp;L; ",""))</f>
        <v/>
      </c>
      <c r="BH379" s="56">
        <f>IF(ISNUMBER($Q379),1,0)</f>
        <v>0</v>
      </c>
      <c r="BI379" s="56">
        <f>IF($Y379="",0,1)</f>
        <v>0</v>
      </c>
      <c r="BJ379" s="56">
        <f>IF($AB379="",0,1)</f>
        <v>0</v>
      </c>
      <c r="BK379" s="56">
        <f>IF(AND($BH379=1,$W379&lt;&gt;"OK"),1,0)</f>
        <v>0</v>
      </c>
      <c r="BL379" s="55">
        <f>IF(N($AZ379)=0,0,IFERROR(INDEX($AT$6:$AT$1005,MATCH($AZ379,$AY$6:$AY$1005,0)),0))</f>
        <v>1187.10688</v>
      </c>
      <c r="BM379" s="56">
        <f>IF(ISNUMBER(SEARCH("daily max loss",$BG379)),1,0)</f>
        <v>0</v>
      </c>
    </row>
    <row r="380" ht="18" customHeight="1">
      <c r="A380" s="38" t="n"/>
      <c r="B380" s="39" t="n"/>
      <c r="C380" s="40" t="n"/>
      <c r="D380" s="41" t="n"/>
      <c r="E380" s="41" t="n"/>
      <c r="F380" s="41" t="n"/>
      <c r="G380" s="41" t="n"/>
      <c r="H380" s="42" t="n"/>
      <c r="I380" s="42" t="n"/>
      <c r="J380" s="42" t="n"/>
      <c r="K380" s="42" t="n"/>
      <c r="L380" s="41" t="n"/>
      <c r="M380" s="41" t="n"/>
      <c r="N380" s="41" t="n"/>
      <c r="O380" s="43" t="n"/>
      <c r="P380" s="43" t="n"/>
      <c r="Q380" s="44" t="str">
        <f>IF($AM380=0,"",IF(ISNUMBER($AK380),$AK380-N($AL380),""))</f>
        <v/>
      </c>
      <c r="R380" s="45" t="str">
        <f>IF(OR($Q380="",NOT(ISNUMBER($V380))),"",$AK380/$V380)</f>
        <v/>
      </c>
      <c r="S380" s="46" t="str">
        <f>IF($Q380="","",IF(AND(ISNUMBER($R380),ABS(N($R380))&lt;N(Settings!$C$8)),"Scratch",IF($Q380&gt;0,"Win",IF($Q380&lt;0,"Loss","Scratch"))))</f>
        <v/>
      </c>
      <c r="T380" s="47" t="str">
        <f>IF(OR($AM380=0,NOT(ISNUMBER($H380)),NOT(ISNUMBER($I380)),NOT(ISNUMBER($J380))),"",IF($H380=$I380,"",ROUND(ABS($J380-$H380)/ABS($H380-$I380),6)))</f>
        <v/>
      </c>
      <c r="U380" s="48" t="str">
        <f>IF(OR($S380&lt;&gt;"Win",NOT(ISNUMBER($T380)),NOT(ISNUMBER($R380))),"",MAX(0,$T380-$R380))</f>
        <v/>
      </c>
      <c r="V380" s="49" t="str">
        <f>IF(OR($AM380=0,NOT(ISNUMBER($H380)),NOT(ISNUMBER($I380)),NOT(ISNUMBER($G380))),"",IF(OR($AG380="",$AH380=""),"",IF(ROUND(ABS($H380-$I380)*ABS($G380)*$AG380*$AH380,6)=0,"",ROUND(ABS($H380-$I380)*ABS($G380)*$AG380*$AH380,6))))</f>
        <v/>
      </c>
      <c r="W380" s="50" t="str">
        <f>IF($AM380=0,"",IF($BG380="","OK",LEFT($BG380,LEN($BG380)-2)))</f>
        <v/>
      </c>
      <c r="X380" s="41" t="n"/>
      <c r="Y380" s="40" t="n"/>
      <c r="Z380" s="41" t="n"/>
      <c r="AA380" s="41" t="n"/>
      <c r="AB380" s="40" t="n"/>
      <c r="AC380" s="51" t="n"/>
      <c r="AD380" s="51" t="n"/>
      <c r="AE380" s="40" t="n"/>
      <c r="AF380" s="52" t="str">
        <f>IF($AM380=0,"",IF($D380&lt;&gt;"",$D380,IF(IFERROR(INDEX(Accounts!$C$7:$C$16,MATCH($C380,Accounts!$B$7:$B$16,0))&amp;"","")&lt;&gt;"",INDEX(Accounts!$C$7:$C$16,MATCH($C380,Accounts!$B$7:$B$16,0)),Settings!$C$6)))</f>
        <v/>
      </c>
      <c r="AG380" s="53" t="str">
        <f>IF($AM380=0,"",IF(AND($BE380&gt;0,N(INDEX(Instruments!$D$6:$D$205,MAX(1,$BE380)))&gt;0),INDEX(Instruments!$D$6:$D$205,MAX(1,$BE380)),IF(N(INDEX(Settings!$D$14:$D$18,$BF380))&gt;0,INDEX(Settings!$D$14:$D$18,$BF380),"")))</f>
        <v/>
      </c>
      <c r="AH380" s="54" t="str">
        <f>IF($AM380=0,"",IF($AF380&lt;&gt;"Forex",1,IF(MID(UPPER(SUBSTITUTE(TRIM($E380),"/","")),4,3)=UPPER(TRIM(Settings!$C$7)),1,IF(LEFT(UPPER(SUBSTITUTE(TRIM($E380),"/","")),3)=UPPER(TRIM(Settings!$C$7)),IF(AND(ISNUMBER($K380),N($K380)&lt;&gt;0),1/$K380,""),""))))</f>
        <v/>
      </c>
      <c r="AI380" s="55" t="str">
        <f>IF($AM380=0,"",IF(OR(NOT(ISNUMBER($H380)),NOT(ISNUMBER($K380)),NOT(ISNUMBER($G380)),$AG380="",$AH380=""),"",ROUND(($K380-$H380)*IF($F380="Short",-1,1)*$G380*$AG380*$AH380,6)))</f>
        <v/>
      </c>
      <c r="AJ380" s="55" t="str">
        <f>IF($AM380=0,"",IF(INDEX(Settings!$E$14:$E$18,$BF380)="% of notional",IF(OR($AG380="",NOT(ISNUMBER($H380)),NOT(ISNUMBER($G380))),"",ROUND(ABS($H380*$G380*$AG380*N($AH380))*IF($L380="Limit",N(INDEX(Settings!$G$14:$G$18,$BF380)),N(INDEX(Settings!$H$14:$H$18,$BF380)))+IF(ISNUMBER($K380),ABS($K380*$G380*$AG380*N($AH380))*IF($M380="Target",N(INDEX(Settings!$G$14:$G$18,$BF380)),N(INDEX(Settings!$H$14:$H$18,$BF380))),0),6)),IF(NOT(ISNUMBER($G380)),"",ROUND(ABS($G380)*2*IF(AND($BE380&gt;0,ISNUMBER(INDEX(Instruments!$G$6:$G$205,MAX(1,$BE380)))),INDEX(Instruments!$G$6:$G$205,MAX(1,$BE380)),N(INDEX(Settings!$F$14:$F$18,$BF380))),6))))</f>
        <v/>
      </c>
      <c r="AK380" s="55" t="str">
        <f>IF($AM380=0,"",IF(ISNUMBER($O380),$O380,$AI380))</f>
        <v/>
      </c>
      <c r="AL380" s="55" t="str">
        <f>IF($AM380=0,"",IF(ISNUMBER($P380),$P380,N($AJ380)))</f>
        <v/>
      </c>
      <c r="AM380" s="56">
        <f>IF(AND($A380&lt;&gt;"",$E380&lt;&gt;"",OR(AND(ISNUMBER($G380),ISNUMBER($H380),ISNUMBER($K380)),ISNUMBER($O380))),1,0)</f>
        <v>0</v>
      </c>
      <c r="AN380" s="57" t="str">
        <f>IF($A380="","",$A380-WEEKDAY($A380,3))</f>
        <v/>
      </c>
      <c r="AO380" s="56" t="str">
        <f>IF($A380="","",WEEKDAY($A380,2))</f>
        <v/>
      </c>
      <c r="AP380" s="55" t="str">
        <f>IF(OR($AM380=0,$C380=""),"",IFERROR(N(INDEX(Accounts!$E$7:$E$16,MATCH($C380,Accounts!$B$7:$B$16,0))),0)+SUMIFS($Q$6:$Q380,$C$6:$C380,$C380))</f>
        <v/>
      </c>
      <c r="AQ380" s="55" t="str">
        <f>IF(OR($AM380=0,$C380=""),"",SUMIFS($Q$6:$Q$1005,$C$6:$C$1005,$C380,$A$6:$A$1005,$A380))</f>
        <v/>
      </c>
      <c r="AR380" s="55" t="str">
        <f>IF(OR($AM380=0,$C380=""),"",IFERROR(N(INDEX(Accounts!$E$7:$E$16,MATCH($C380,Accounts!$B$7:$B$16,0))),0)+SUMIFS($Q$6:$Q$1005,$C$6:$C$1005,$C380,$A$6:$A$1005,"&lt;="&amp;$A380))</f>
        <v/>
      </c>
      <c r="AS380" s="56">
        <f>IF(OR($AM380=0,$Q380=""),0,IF(AND($A380&gt;=Lists!$W$6,$A380&lt;=Lists!$W$7,OR(Dashboard!$D$6="All accounts",$C380=Dashboard!$D$6),OR(Dashboard!$D$7="All markets",$AF380=Dashboard!$D$7)),1,0))</f>
        <v>0</v>
      </c>
      <c r="AT380" s="55">
        <f>IF($AS380=1,N(AT379)+$Q380,N(AT379))</f>
        <v>1187.10688</v>
      </c>
      <c r="AU380" s="55">
        <f>MAX(N(AU379),$AT380)</f>
        <v>1187.10688</v>
      </c>
      <c r="AV380" s="55">
        <f>$AT380-$AU380</f>
        <v>0</v>
      </c>
      <c r="AW380" s="56">
        <f>IF($AS380=1,IF($S380="Win",N(AW379)+1,IF($S380="Loss",0,N(AW379))),N(AW379))</f>
        <v>5</v>
      </c>
      <c r="AX380" s="56">
        <f>IF($AS380=1,IF($S380="Loss",N(AX379)+1,IF($S380="Win",0,N(AX379))),N(AX379))</f>
        <v>0</v>
      </c>
      <c r="AY380" s="56" t="str">
        <f>IF($AS380=1,COUNTIF($AS$6:$AS380,1),"")</f>
        <v/>
      </c>
      <c r="AZ380" s="56">
        <f>MIN(374,N(Lists!$W$8))</f>
        <v>28</v>
      </c>
      <c r="BA380" s="56">
        <f>IF($AS380=1,IF(COUNTIFS($A$6:$A380,$A380,$AS$6:$AS380,1)=1,1,0),0)</f>
        <v>0</v>
      </c>
      <c r="BB380" s="55" t="str">
        <f>IF($BA380=1,SUMIFS($Q$6:$Q$1005,$A$6:$A$1005,$A380,$AS$6:$AS$1005,1),"")</f>
        <v/>
      </c>
      <c r="BC380" s="56">
        <f>IF(ISNUMBER($R380),1,0)</f>
        <v>0</v>
      </c>
      <c r="BD380" s="55" t="str">
        <f>IF(ISNUMBER($U380),$U380*$V380,"")</f>
        <v/>
      </c>
      <c r="BE380" s="56" t="str">
        <f>IF($AM380=0,"",IFERROR(MATCH($AF380&amp;"|"&amp;UPPER(TRIM($E380)),Lists!$A$6:$A$205,0),0))</f>
        <v/>
      </c>
      <c r="BF380" s="56" t="str">
        <f>IF($AM380=0,"",IFERROR(MATCH($AF380,Settings!$B$14:$B$18,0),IFERROR(MATCH(Settings!$C$6,Settings!$B$14:$B$18,0),1)))</f>
        <v/>
      </c>
      <c r="BG380" s="58" t="str">
        <f>IF($AM380=0,"",IF(NOT(ISNUMBER($I380)),"No stop; ","")&amp;IF(AND(ISNUMBER($H380),ISNUMBER($I380)),IF(OR(AND($F380&lt;&gt;"Short",$I380&gt;=$H380),AND($F380="Short",$I380&lt;=$H380)),"Stop on wrong side; ",""),"")&amp;IF($F380="","No direction; ","")&amp;IF(AND(ISNUMBER(Settings!$C$22),ISNUMBER($V380)),IF($V380&gt;Settings!$C$22,"Risk over max $; ",""),"")&amp;IF(AND(ISNUMBER(Settings!$C$23),ISNUMBER($V380),ISNUMBER($AP380),IFERROR(N(INDEX(Accounts!$E$7:$E$16,MATCH($C380,Accounts!$B$7:$B$16,0))),0)&gt;0),IF($V380&gt;Settings!$C$23*($AP380-N($Q380)),"Risk over max %; ",""),"")&amp;IF(AND(ISNUMBER(Settings!$C$24),ISNUMBER($N380)),IF($N380&gt;Settings!$C$24,"Leverage over max; ",""),"")&amp;IF(AND(ISNUMBER(Settings!$C$27),ISNUMBER($T380)),IF($T380&lt;Settings!$C$27,"R:R below min; ",""),"")&amp;IF(ISNUMBER(Settings!$C$25),IF(COUNTIFS($A$6:$A380,$A380,$AM$6:$AM380,1)&gt;Settings!$C$25,"Over max trades/day; ",""),"")&amp;IF(ISNUMBER(Settings!$C$26),IF(SUMIFS($Q$5:$Q379,$A$5:$A379,$A380)&lt;=-Settings!$C$26,"Traded after daily max loss; ",""),"")&amp;IF(AND($AG380="",NOT(ISNUMBER($O380))),"Symbol not in Instruments; ","")&amp;IF(AND($AH380="",NOT(ISNUMBER($O380))),"Forex cross: type Gross P&amp;L; ",""))</f>
        <v/>
      </c>
      <c r="BH380" s="56">
        <f>IF(ISNUMBER($Q380),1,0)</f>
        <v>0</v>
      </c>
      <c r="BI380" s="56">
        <f>IF($Y380="",0,1)</f>
        <v>0</v>
      </c>
      <c r="BJ380" s="56">
        <f>IF($AB380="",0,1)</f>
        <v>0</v>
      </c>
      <c r="BK380" s="56">
        <f>IF(AND($BH380=1,$W380&lt;&gt;"OK"),1,0)</f>
        <v>0</v>
      </c>
      <c r="BL380" s="55">
        <f>IF(N($AZ380)=0,0,IFERROR(INDEX($AT$6:$AT$1005,MATCH($AZ380,$AY$6:$AY$1005,0)),0))</f>
        <v>1187.10688</v>
      </c>
      <c r="BM380" s="56">
        <f>IF(ISNUMBER(SEARCH("daily max loss",$BG380)),1,0)</f>
        <v>0</v>
      </c>
    </row>
    <row r="381" ht="18" customHeight="1">
      <c r="A381" s="38" t="n"/>
      <c r="B381" s="39" t="n"/>
      <c r="C381" s="40" t="n"/>
      <c r="D381" s="41" t="n"/>
      <c r="E381" s="41" t="n"/>
      <c r="F381" s="41" t="n"/>
      <c r="G381" s="41" t="n"/>
      <c r="H381" s="42" t="n"/>
      <c r="I381" s="42" t="n"/>
      <c r="J381" s="42" t="n"/>
      <c r="K381" s="42" t="n"/>
      <c r="L381" s="41" t="n"/>
      <c r="M381" s="41" t="n"/>
      <c r="N381" s="41" t="n"/>
      <c r="O381" s="43" t="n"/>
      <c r="P381" s="43" t="n"/>
      <c r="Q381" s="44" t="str">
        <f>IF($AM381=0,"",IF(ISNUMBER($AK381),$AK381-N($AL381),""))</f>
        <v/>
      </c>
      <c r="R381" s="45" t="str">
        <f>IF(OR($Q381="",NOT(ISNUMBER($V381))),"",$AK381/$V381)</f>
        <v/>
      </c>
      <c r="S381" s="46" t="str">
        <f>IF($Q381="","",IF(AND(ISNUMBER($R381),ABS(N($R381))&lt;N(Settings!$C$8)),"Scratch",IF($Q381&gt;0,"Win",IF($Q381&lt;0,"Loss","Scratch"))))</f>
        <v/>
      </c>
      <c r="T381" s="47" t="str">
        <f>IF(OR($AM381=0,NOT(ISNUMBER($H381)),NOT(ISNUMBER($I381)),NOT(ISNUMBER($J381))),"",IF($H381=$I381,"",ROUND(ABS($J381-$H381)/ABS($H381-$I381),6)))</f>
        <v/>
      </c>
      <c r="U381" s="48" t="str">
        <f>IF(OR($S381&lt;&gt;"Win",NOT(ISNUMBER($T381)),NOT(ISNUMBER($R381))),"",MAX(0,$T381-$R381))</f>
        <v/>
      </c>
      <c r="V381" s="49" t="str">
        <f>IF(OR($AM381=0,NOT(ISNUMBER($H381)),NOT(ISNUMBER($I381)),NOT(ISNUMBER($G381))),"",IF(OR($AG381="",$AH381=""),"",IF(ROUND(ABS($H381-$I381)*ABS($G381)*$AG381*$AH381,6)=0,"",ROUND(ABS($H381-$I381)*ABS($G381)*$AG381*$AH381,6))))</f>
        <v/>
      </c>
      <c r="W381" s="50" t="str">
        <f>IF($AM381=0,"",IF($BG381="","OK",LEFT($BG381,LEN($BG381)-2)))</f>
        <v/>
      </c>
      <c r="X381" s="41" t="n"/>
      <c r="Y381" s="40" t="n"/>
      <c r="Z381" s="41" t="n"/>
      <c r="AA381" s="41" t="n"/>
      <c r="AB381" s="40" t="n"/>
      <c r="AC381" s="51" t="n"/>
      <c r="AD381" s="51" t="n"/>
      <c r="AE381" s="40" t="n"/>
      <c r="AF381" s="52" t="str">
        <f>IF($AM381=0,"",IF($D381&lt;&gt;"",$D381,IF(IFERROR(INDEX(Accounts!$C$7:$C$16,MATCH($C381,Accounts!$B$7:$B$16,0))&amp;"","")&lt;&gt;"",INDEX(Accounts!$C$7:$C$16,MATCH($C381,Accounts!$B$7:$B$16,0)),Settings!$C$6)))</f>
        <v/>
      </c>
      <c r="AG381" s="53" t="str">
        <f>IF($AM381=0,"",IF(AND($BE381&gt;0,N(INDEX(Instruments!$D$6:$D$205,MAX(1,$BE381)))&gt;0),INDEX(Instruments!$D$6:$D$205,MAX(1,$BE381)),IF(N(INDEX(Settings!$D$14:$D$18,$BF381))&gt;0,INDEX(Settings!$D$14:$D$18,$BF381),"")))</f>
        <v/>
      </c>
      <c r="AH381" s="54" t="str">
        <f>IF($AM381=0,"",IF($AF381&lt;&gt;"Forex",1,IF(MID(UPPER(SUBSTITUTE(TRIM($E381),"/","")),4,3)=UPPER(TRIM(Settings!$C$7)),1,IF(LEFT(UPPER(SUBSTITUTE(TRIM($E381),"/","")),3)=UPPER(TRIM(Settings!$C$7)),IF(AND(ISNUMBER($K381),N($K381)&lt;&gt;0),1/$K381,""),""))))</f>
        <v/>
      </c>
      <c r="AI381" s="55" t="str">
        <f>IF($AM381=0,"",IF(OR(NOT(ISNUMBER($H381)),NOT(ISNUMBER($K381)),NOT(ISNUMBER($G381)),$AG381="",$AH381=""),"",ROUND(($K381-$H381)*IF($F381="Short",-1,1)*$G381*$AG381*$AH381,6)))</f>
        <v/>
      </c>
      <c r="AJ381" s="55" t="str">
        <f>IF($AM381=0,"",IF(INDEX(Settings!$E$14:$E$18,$BF381)="% of notional",IF(OR($AG381="",NOT(ISNUMBER($H381)),NOT(ISNUMBER($G381))),"",ROUND(ABS($H381*$G381*$AG381*N($AH381))*IF($L381="Limit",N(INDEX(Settings!$G$14:$G$18,$BF381)),N(INDEX(Settings!$H$14:$H$18,$BF381)))+IF(ISNUMBER($K381),ABS($K381*$G381*$AG381*N($AH381))*IF($M381="Target",N(INDEX(Settings!$G$14:$G$18,$BF381)),N(INDEX(Settings!$H$14:$H$18,$BF381))),0),6)),IF(NOT(ISNUMBER($G381)),"",ROUND(ABS($G381)*2*IF(AND($BE381&gt;0,ISNUMBER(INDEX(Instruments!$G$6:$G$205,MAX(1,$BE381)))),INDEX(Instruments!$G$6:$G$205,MAX(1,$BE381)),N(INDEX(Settings!$F$14:$F$18,$BF381))),6))))</f>
        <v/>
      </c>
      <c r="AK381" s="55" t="str">
        <f>IF($AM381=0,"",IF(ISNUMBER($O381),$O381,$AI381))</f>
        <v/>
      </c>
      <c r="AL381" s="55" t="str">
        <f>IF($AM381=0,"",IF(ISNUMBER($P381),$P381,N($AJ381)))</f>
        <v/>
      </c>
      <c r="AM381" s="56">
        <f>IF(AND($A381&lt;&gt;"",$E381&lt;&gt;"",OR(AND(ISNUMBER($G381),ISNUMBER($H381),ISNUMBER($K381)),ISNUMBER($O381))),1,0)</f>
        <v>0</v>
      </c>
      <c r="AN381" s="57" t="str">
        <f>IF($A381="","",$A381-WEEKDAY($A381,3))</f>
        <v/>
      </c>
      <c r="AO381" s="56" t="str">
        <f>IF($A381="","",WEEKDAY($A381,2))</f>
        <v/>
      </c>
      <c r="AP381" s="55" t="str">
        <f>IF(OR($AM381=0,$C381=""),"",IFERROR(N(INDEX(Accounts!$E$7:$E$16,MATCH($C381,Accounts!$B$7:$B$16,0))),0)+SUMIFS($Q$6:$Q381,$C$6:$C381,$C381))</f>
        <v/>
      </c>
      <c r="AQ381" s="55" t="str">
        <f>IF(OR($AM381=0,$C381=""),"",SUMIFS($Q$6:$Q$1005,$C$6:$C$1005,$C381,$A$6:$A$1005,$A381))</f>
        <v/>
      </c>
      <c r="AR381" s="55" t="str">
        <f>IF(OR($AM381=0,$C381=""),"",IFERROR(N(INDEX(Accounts!$E$7:$E$16,MATCH($C381,Accounts!$B$7:$B$16,0))),0)+SUMIFS($Q$6:$Q$1005,$C$6:$C$1005,$C381,$A$6:$A$1005,"&lt;="&amp;$A381))</f>
        <v/>
      </c>
      <c r="AS381" s="56">
        <f>IF(OR($AM381=0,$Q381=""),0,IF(AND($A381&gt;=Lists!$W$6,$A381&lt;=Lists!$W$7,OR(Dashboard!$D$6="All accounts",$C381=Dashboard!$D$6),OR(Dashboard!$D$7="All markets",$AF381=Dashboard!$D$7)),1,0))</f>
        <v>0</v>
      </c>
      <c r="AT381" s="55">
        <f>IF($AS381=1,N(AT380)+$Q381,N(AT380))</f>
        <v>1187.10688</v>
      </c>
      <c r="AU381" s="55">
        <f>MAX(N(AU380),$AT381)</f>
        <v>1187.10688</v>
      </c>
      <c r="AV381" s="55">
        <f>$AT381-$AU381</f>
        <v>0</v>
      </c>
      <c r="AW381" s="56">
        <f>IF($AS381=1,IF($S381="Win",N(AW380)+1,IF($S381="Loss",0,N(AW380))),N(AW380))</f>
        <v>5</v>
      </c>
      <c r="AX381" s="56">
        <f>IF($AS381=1,IF($S381="Loss",N(AX380)+1,IF($S381="Win",0,N(AX380))),N(AX380))</f>
        <v>0</v>
      </c>
      <c r="AY381" s="56" t="str">
        <f>IF($AS381=1,COUNTIF($AS$6:$AS381,1),"")</f>
        <v/>
      </c>
      <c r="AZ381" s="56">
        <f>MIN(375,N(Lists!$W$8))</f>
        <v>28</v>
      </c>
      <c r="BA381" s="56">
        <f>IF($AS381=1,IF(COUNTIFS($A$6:$A381,$A381,$AS$6:$AS381,1)=1,1,0),0)</f>
        <v>0</v>
      </c>
      <c r="BB381" s="55" t="str">
        <f>IF($BA381=1,SUMIFS($Q$6:$Q$1005,$A$6:$A$1005,$A381,$AS$6:$AS$1005,1),"")</f>
        <v/>
      </c>
      <c r="BC381" s="56">
        <f>IF(ISNUMBER($R381),1,0)</f>
        <v>0</v>
      </c>
      <c r="BD381" s="55" t="str">
        <f>IF(ISNUMBER($U381),$U381*$V381,"")</f>
        <v/>
      </c>
      <c r="BE381" s="56" t="str">
        <f>IF($AM381=0,"",IFERROR(MATCH($AF381&amp;"|"&amp;UPPER(TRIM($E381)),Lists!$A$6:$A$205,0),0))</f>
        <v/>
      </c>
      <c r="BF381" s="56" t="str">
        <f>IF($AM381=0,"",IFERROR(MATCH($AF381,Settings!$B$14:$B$18,0),IFERROR(MATCH(Settings!$C$6,Settings!$B$14:$B$18,0),1)))</f>
        <v/>
      </c>
      <c r="BG381" s="58" t="str">
        <f>IF($AM381=0,"",IF(NOT(ISNUMBER($I381)),"No stop; ","")&amp;IF(AND(ISNUMBER($H381),ISNUMBER($I381)),IF(OR(AND($F381&lt;&gt;"Short",$I381&gt;=$H381),AND($F381="Short",$I381&lt;=$H381)),"Stop on wrong side; ",""),"")&amp;IF($F381="","No direction; ","")&amp;IF(AND(ISNUMBER(Settings!$C$22),ISNUMBER($V381)),IF($V381&gt;Settings!$C$22,"Risk over max $; ",""),"")&amp;IF(AND(ISNUMBER(Settings!$C$23),ISNUMBER($V381),ISNUMBER($AP381),IFERROR(N(INDEX(Accounts!$E$7:$E$16,MATCH($C381,Accounts!$B$7:$B$16,0))),0)&gt;0),IF($V381&gt;Settings!$C$23*($AP381-N($Q381)),"Risk over max %; ",""),"")&amp;IF(AND(ISNUMBER(Settings!$C$24),ISNUMBER($N381)),IF($N381&gt;Settings!$C$24,"Leverage over max; ",""),"")&amp;IF(AND(ISNUMBER(Settings!$C$27),ISNUMBER($T381)),IF($T381&lt;Settings!$C$27,"R:R below min; ",""),"")&amp;IF(ISNUMBER(Settings!$C$25),IF(COUNTIFS($A$6:$A381,$A381,$AM$6:$AM381,1)&gt;Settings!$C$25,"Over max trades/day; ",""),"")&amp;IF(ISNUMBER(Settings!$C$26),IF(SUMIFS($Q$5:$Q380,$A$5:$A380,$A381)&lt;=-Settings!$C$26,"Traded after daily max loss; ",""),"")&amp;IF(AND($AG381="",NOT(ISNUMBER($O381))),"Symbol not in Instruments; ","")&amp;IF(AND($AH381="",NOT(ISNUMBER($O381))),"Forex cross: type Gross P&amp;L; ",""))</f>
        <v/>
      </c>
      <c r="BH381" s="56">
        <f>IF(ISNUMBER($Q381),1,0)</f>
        <v>0</v>
      </c>
      <c r="BI381" s="56">
        <f>IF($Y381="",0,1)</f>
        <v>0</v>
      </c>
      <c r="BJ381" s="56">
        <f>IF($AB381="",0,1)</f>
        <v>0</v>
      </c>
      <c r="BK381" s="56">
        <f>IF(AND($BH381=1,$W381&lt;&gt;"OK"),1,0)</f>
        <v>0</v>
      </c>
      <c r="BL381" s="55">
        <f>IF(N($AZ381)=0,0,IFERROR(INDEX($AT$6:$AT$1005,MATCH($AZ381,$AY$6:$AY$1005,0)),0))</f>
        <v>1187.10688</v>
      </c>
      <c r="BM381" s="56">
        <f>IF(ISNUMBER(SEARCH("daily max loss",$BG381)),1,0)</f>
        <v>0</v>
      </c>
    </row>
    <row r="382" ht="18" customHeight="1">
      <c r="A382" s="38" t="n"/>
      <c r="B382" s="39" t="n"/>
      <c r="C382" s="40" t="n"/>
      <c r="D382" s="41" t="n"/>
      <c r="E382" s="41" t="n"/>
      <c r="F382" s="41" t="n"/>
      <c r="G382" s="41" t="n"/>
      <c r="H382" s="42" t="n"/>
      <c r="I382" s="42" t="n"/>
      <c r="J382" s="42" t="n"/>
      <c r="K382" s="42" t="n"/>
      <c r="L382" s="41" t="n"/>
      <c r="M382" s="41" t="n"/>
      <c r="N382" s="41" t="n"/>
      <c r="O382" s="43" t="n"/>
      <c r="P382" s="43" t="n"/>
      <c r="Q382" s="44" t="str">
        <f>IF($AM382=0,"",IF(ISNUMBER($AK382),$AK382-N($AL382),""))</f>
        <v/>
      </c>
      <c r="R382" s="45" t="str">
        <f>IF(OR($Q382="",NOT(ISNUMBER($V382))),"",$AK382/$V382)</f>
        <v/>
      </c>
      <c r="S382" s="46" t="str">
        <f>IF($Q382="","",IF(AND(ISNUMBER($R382),ABS(N($R382))&lt;N(Settings!$C$8)),"Scratch",IF($Q382&gt;0,"Win",IF($Q382&lt;0,"Loss","Scratch"))))</f>
        <v/>
      </c>
      <c r="T382" s="47" t="str">
        <f>IF(OR($AM382=0,NOT(ISNUMBER($H382)),NOT(ISNUMBER($I382)),NOT(ISNUMBER($J382))),"",IF($H382=$I382,"",ROUND(ABS($J382-$H382)/ABS($H382-$I382),6)))</f>
        <v/>
      </c>
      <c r="U382" s="48" t="str">
        <f>IF(OR($S382&lt;&gt;"Win",NOT(ISNUMBER($T382)),NOT(ISNUMBER($R382))),"",MAX(0,$T382-$R382))</f>
        <v/>
      </c>
      <c r="V382" s="49" t="str">
        <f>IF(OR($AM382=0,NOT(ISNUMBER($H382)),NOT(ISNUMBER($I382)),NOT(ISNUMBER($G382))),"",IF(OR($AG382="",$AH382=""),"",IF(ROUND(ABS($H382-$I382)*ABS($G382)*$AG382*$AH382,6)=0,"",ROUND(ABS($H382-$I382)*ABS($G382)*$AG382*$AH382,6))))</f>
        <v/>
      </c>
      <c r="W382" s="50" t="str">
        <f>IF($AM382=0,"",IF($BG382="","OK",LEFT($BG382,LEN($BG382)-2)))</f>
        <v/>
      </c>
      <c r="X382" s="41" t="n"/>
      <c r="Y382" s="40" t="n"/>
      <c r="Z382" s="41" t="n"/>
      <c r="AA382" s="41" t="n"/>
      <c r="AB382" s="40" t="n"/>
      <c r="AC382" s="51" t="n"/>
      <c r="AD382" s="51" t="n"/>
      <c r="AE382" s="40" t="n"/>
      <c r="AF382" s="52" t="str">
        <f>IF($AM382=0,"",IF($D382&lt;&gt;"",$D382,IF(IFERROR(INDEX(Accounts!$C$7:$C$16,MATCH($C382,Accounts!$B$7:$B$16,0))&amp;"","")&lt;&gt;"",INDEX(Accounts!$C$7:$C$16,MATCH($C382,Accounts!$B$7:$B$16,0)),Settings!$C$6)))</f>
        <v/>
      </c>
      <c r="AG382" s="53" t="str">
        <f>IF($AM382=0,"",IF(AND($BE382&gt;0,N(INDEX(Instruments!$D$6:$D$205,MAX(1,$BE382)))&gt;0),INDEX(Instruments!$D$6:$D$205,MAX(1,$BE382)),IF(N(INDEX(Settings!$D$14:$D$18,$BF382))&gt;0,INDEX(Settings!$D$14:$D$18,$BF382),"")))</f>
        <v/>
      </c>
      <c r="AH382" s="54" t="str">
        <f>IF($AM382=0,"",IF($AF382&lt;&gt;"Forex",1,IF(MID(UPPER(SUBSTITUTE(TRIM($E382),"/","")),4,3)=UPPER(TRIM(Settings!$C$7)),1,IF(LEFT(UPPER(SUBSTITUTE(TRIM($E382),"/","")),3)=UPPER(TRIM(Settings!$C$7)),IF(AND(ISNUMBER($K382),N($K382)&lt;&gt;0),1/$K382,""),""))))</f>
        <v/>
      </c>
      <c r="AI382" s="55" t="str">
        <f>IF($AM382=0,"",IF(OR(NOT(ISNUMBER($H382)),NOT(ISNUMBER($K382)),NOT(ISNUMBER($G382)),$AG382="",$AH382=""),"",ROUND(($K382-$H382)*IF($F382="Short",-1,1)*$G382*$AG382*$AH382,6)))</f>
        <v/>
      </c>
      <c r="AJ382" s="55" t="str">
        <f>IF($AM382=0,"",IF(INDEX(Settings!$E$14:$E$18,$BF382)="% of notional",IF(OR($AG382="",NOT(ISNUMBER($H382)),NOT(ISNUMBER($G382))),"",ROUND(ABS($H382*$G382*$AG382*N($AH382))*IF($L382="Limit",N(INDEX(Settings!$G$14:$G$18,$BF382)),N(INDEX(Settings!$H$14:$H$18,$BF382)))+IF(ISNUMBER($K382),ABS($K382*$G382*$AG382*N($AH382))*IF($M382="Target",N(INDEX(Settings!$G$14:$G$18,$BF382)),N(INDEX(Settings!$H$14:$H$18,$BF382))),0),6)),IF(NOT(ISNUMBER($G382)),"",ROUND(ABS($G382)*2*IF(AND($BE382&gt;0,ISNUMBER(INDEX(Instruments!$G$6:$G$205,MAX(1,$BE382)))),INDEX(Instruments!$G$6:$G$205,MAX(1,$BE382)),N(INDEX(Settings!$F$14:$F$18,$BF382))),6))))</f>
        <v/>
      </c>
      <c r="AK382" s="55" t="str">
        <f>IF($AM382=0,"",IF(ISNUMBER($O382),$O382,$AI382))</f>
        <v/>
      </c>
      <c r="AL382" s="55" t="str">
        <f>IF($AM382=0,"",IF(ISNUMBER($P382),$P382,N($AJ382)))</f>
        <v/>
      </c>
      <c r="AM382" s="56">
        <f>IF(AND($A382&lt;&gt;"",$E382&lt;&gt;"",OR(AND(ISNUMBER($G382),ISNUMBER($H382),ISNUMBER($K382)),ISNUMBER($O382))),1,0)</f>
        <v>0</v>
      </c>
      <c r="AN382" s="57" t="str">
        <f>IF($A382="","",$A382-WEEKDAY($A382,3))</f>
        <v/>
      </c>
      <c r="AO382" s="56" t="str">
        <f>IF($A382="","",WEEKDAY($A382,2))</f>
        <v/>
      </c>
      <c r="AP382" s="55" t="str">
        <f>IF(OR($AM382=0,$C382=""),"",IFERROR(N(INDEX(Accounts!$E$7:$E$16,MATCH($C382,Accounts!$B$7:$B$16,0))),0)+SUMIFS($Q$6:$Q382,$C$6:$C382,$C382))</f>
        <v/>
      </c>
      <c r="AQ382" s="55" t="str">
        <f>IF(OR($AM382=0,$C382=""),"",SUMIFS($Q$6:$Q$1005,$C$6:$C$1005,$C382,$A$6:$A$1005,$A382))</f>
        <v/>
      </c>
      <c r="AR382" s="55" t="str">
        <f>IF(OR($AM382=0,$C382=""),"",IFERROR(N(INDEX(Accounts!$E$7:$E$16,MATCH($C382,Accounts!$B$7:$B$16,0))),0)+SUMIFS($Q$6:$Q$1005,$C$6:$C$1005,$C382,$A$6:$A$1005,"&lt;="&amp;$A382))</f>
        <v/>
      </c>
      <c r="AS382" s="56">
        <f>IF(OR($AM382=0,$Q382=""),0,IF(AND($A382&gt;=Lists!$W$6,$A382&lt;=Lists!$W$7,OR(Dashboard!$D$6="All accounts",$C382=Dashboard!$D$6),OR(Dashboard!$D$7="All markets",$AF382=Dashboard!$D$7)),1,0))</f>
        <v>0</v>
      </c>
      <c r="AT382" s="55">
        <f>IF($AS382=1,N(AT381)+$Q382,N(AT381))</f>
        <v>1187.10688</v>
      </c>
      <c r="AU382" s="55">
        <f>MAX(N(AU381),$AT382)</f>
        <v>1187.10688</v>
      </c>
      <c r="AV382" s="55">
        <f>$AT382-$AU382</f>
        <v>0</v>
      </c>
      <c r="AW382" s="56">
        <f>IF($AS382=1,IF($S382="Win",N(AW381)+1,IF($S382="Loss",0,N(AW381))),N(AW381))</f>
        <v>5</v>
      </c>
      <c r="AX382" s="56">
        <f>IF($AS382=1,IF($S382="Loss",N(AX381)+1,IF($S382="Win",0,N(AX381))),N(AX381))</f>
        <v>0</v>
      </c>
      <c r="AY382" s="56" t="str">
        <f>IF($AS382=1,COUNTIF($AS$6:$AS382,1),"")</f>
        <v/>
      </c>
      <c r="AZ382" s="56">
        <f>MIN(376,N(Lists!$W$8))</f>
        <v>28</v>
      </c>
      <c r="BA382" s="56">
        <f>IF($AS382=1,IF(COUNTIFS($A$6:$A382,$A382,$AS$6:$AS382,1)=1,1,0),0)</f>
        <v>0</v>
      </c>
      <c r="BB382" s="55" t="str">
        <f>IF($BA382=1,SUMIFS($Q$6:$Q$1005,$A$6:$A$1005,$A382,$AS$6:$AS$1005,1),"")</f>
        <v/>
      </c>
      <c r="BC382" s="56">
        <f>IF(ISNUMBER($R382),1,0)</f>
        <v>0</v>
      </c>
      <c r="BD382" s="55" t="str">
        <f>IF(ISNUMBER($U382),$U382*$V382,"")</f>
        <v/>
      </c>
      <c r="BE382" s="56" t="str">
        <f>IF($AM382=0,"",IFERROR(MATCH($AF382&amp;"|"&amp;UPPER(TRIM($E382)),Lists!$A$6:$A$205,0),0))</f>
        <v/>
      </c>
      <c r="BF382" s="56" t="str">
        <f>IF($AM382=0,"",IFERROR(MATCH($AF382,Settings!$B$14:$B$18,0),IFERROR(MATCH(Settings!$C$6,Settings!$B$14:$B$18,0),1)))</f>
        <v/>
      </c>
      <c r="BG382" s="58" t="str">
        <f>IF($AM382=0,"",IF(NOT(ISNUMBER($I382)),"No stop; ","")&amp;IF(AND(ISNUMBER($H382),ISNUMBER($I382)),IF(OR(AND($F382&lt;&gt;"Short",$I382&gt;=$H382),AND($F382="Short",$I382&lt;=$H382)),"Stop on wrong side; ",""),"")&amp;IF($F382="","No direction; ","")&amp;IF(AND(ISNUMBER(Settings!$C$22),ISNUMBER($V382)),IF($V382&gt;Settings!$C$22,"Risk over max $; ",""),"")&amp;IF(AND(ISNUMBER(Settings!$C$23),ISNUMBER($V382),ISNUMBER($AP382),IFERROR(N(INDEX(Accounts!$E$7:$E$16,MATCH($C382,Accounts!$B$7:$B$16,0))),0)&gt;0),IF($V382&gt;Settings!$C$23*($AP382-N($Q382)),"Risk over max %; ",""),"")&amp;IF(AND(ISNUMBER(Settings!$C$24),ISNUMBER($N382)),IF($N382&gt;Settings!$C$24,"Leverage over max; ",""),"")&amp;IF(AND(ISNUMBER(Settings!$C$27),ISNUMBER($T382)),IF($T382&lt;Settings!$C$27,"R:R below min; ",""),"")&amp;IF(ISNUMBER(Settings!$C$25),IF(COUNTIFS($A$6:$A382,$A382,$AM$6:$AM382,1)&gt;Settings!$C$25,"Over max trades/day; ",""),"")&amp;IF(ISNUMBER(Settings!$C$26),IF(SUMIFS($Q$5:$Q381,$A$5:$A381,$A382)&lt;=-Settings!$C$26,"Traded after daily max loss; ",""),"")&amp;IF(AND($AG382="",NOT(ISNUMBER($O382))),"Symbol not in Instruments; ","")&amp;IF(AND($AH382="",NOT(ISNUMBER($O382))),"Forex cross: type Gross P&amp;L; ",""))</f>
        <v/>
      </c>
      <c r="BH382" s="56">
        <f>IF(ISNUMBER($Q382),1,0)</f>
        <v>0</v>
      </c>
      <c r="BI382" s="56">
        <f>IF($Y382="",0,1)</f>
        <v>0</v>
      </c>
      <c r="BJ382" s="56">
        <f>IF($AB382="",0,1)</f>
        <v>0</v>
      </c>
      <c r="BK382" s="56">
        <f>IF(AND($BH382=1,$W382&lt;&gt;"OK"),1,0)</f>
        <v>0</v>
      </c>
      <c r="BL382" s="55">
        <f>IF(N($AZ382)=0,0,IFERROR(INDEX($AT$6:$AT$1005,MATCH($AZ382,$AY$6:$AY$1005,0)),0))</f>
        <v>1187.10688</v>
      </c>
      <c r="BM382" s="56">
        <f>IF(ISNUMBER(SEARCH("daily max loss",$BG382)),1,0)</f>
        <v>0</v>
      </c>
    </row>
    <row r="383" ht="18" customHeight="1">
      <c r="A383" s="38" t="n"/>
      <c r="B383" s="39" t="n"/>
      <c r="C383" s="40" t="n"/>
      <c r="D383" s="41" t="n"/>
      <c r="E383" s="41" t="n"/>
      <c r="F383" s="41" t="n"/>
      <c r="G383" s="41" t="n"/>
      <c r="H383" s="42" t="n"/>
      <c r="I383" s="42" t="n"/>
      <c r="J383" s="42" t="n"/>
      <c r="K383" s="42" t="n"/>
      <c r="L383" s="41" t="n"/>
      <c r="M383" s="41" t="n"/>
      <c r="N383" s="41" t="n"/>
      <c r="O383" s="43" t="n"/>
      <c r="P383" s="43" t="n"/>
      <c r="Q383" s="44" t="str">
        <f>IF($AM383=0,"",IF(ISNUMBER($AK383),$AK383-N($AL383),""))</f>
        <v/>
      </c>
      <c r="R383" s="45" t="str">
        <f>IF(OR($Q383="",NOT(ISNUMBER($V383))),"",$AK383/$V383)</f>
        <v/>
      </c>
      <c r="S383" s="46" t="str">
        <f>IF($Q383="","",IF(AND(ISNUMBER($R383),ABS(N($R383))&lt;N(Settings!$C$8)),"Scratch",IF($Q383&gt;0,"Win",IF($Q383&lt;0,"Loss","Scratch"))))</f>
        <v/>
      </c>
      <c r="T383" s="47" t="str">
        <f>IF(OR($AM383=0,NOT(ISNUMBER($H383)),NOT(ISNUMBER($I383)),NOT(ISNUMBER($J383))),"",IF($H383=$I383,"",ROUND(ABS($J383-$H383)/ABS($H383-$I383),6)))</f>
        <v/>
      </c>
      <c r="U383" s="48" t="str">
        <f>IF(OR($S383&lt;&gt;"Win",NOT(ISNUMBER($T383)),NOT(ISNUMBER($R383))),"",MAX(0,$T383-$R383))</f>
        <v/>
      </c>
      <c r="V383" s="49" t="str">
        <f>IF(OR($AM383=0,NOT(ISNUMBER($H383)),NOT(ISNUMBER($I383)),NOT(ISNUMBER($G383))),"",IF(OR($AG383="",$AH383=""),"",IF(ROUND(ABS($H383-$I383)*ABS($G383)*$AG383*$AH383,6)=0,"",ROUND(ABS($H383-$I383)*ABS($G383)*$AG383*$AH383,6))))</f>
        <v/>
      </c>
      <c r="W383" s="50" t="str">
        <f>IF($AM383=0,"",IF($BG383="","OK",LEFT($BG383,LEN($BG383)-2)))</f>
        <v/>
      </c>
      <c r="X383" s="41" t="n"/>
      <c r="Y383" s="40" t="n"/>
      <c r="Z383" s="41" t="n"/>
      <c r="AA383" s="41" t="n"/>
      <c r="AB383" s="40" t="n"/>
      <c r="AC383" s="51" t="n"/>
      <c r="AD383" s="51" t="n"/>
      <c r="AE383" s="40" t="n"/>
      <c r="AF383" s="52" t="str">
        <f>IF($AM383=0,"",IF($D383&lt;&gt;"",$D383,IF(IFERROR(INDEX(Accounts!$C$7:$C$16,MATCH($C383,Accounts!$B$7:$B$16,0))&amp;"","")&lt;&gt;"",INDEX(Accounts!$C$7:$C$16,MATCH($C383,Accounts!$B$7:$B$16,0)),Settings!$C$6)))</f>
        <v/>
      </c>
      <c r="AG383" s="53" t="str">
        <f>IF($AM383=0,"",IF(AND($BE383&gt;0,N(INDEX(Instruments!$D$6:$D$205,MAX(1,$BE383)))&gt;0),INDEX(Instruments!$D$6:$D$205,MAX(1,$BE383)),IF(N(INDEX(Settings!$D$14:$D$18,$BF383))&gt;0,INDEX(Settings!$D$14:$D$18,$BF383),"")))</f>
        <v/>
      </c>
      <c r="AH383" s="54" t="str">
        <f>IF($AM383=0,"",IF($AF383&lt;&gt;"Forex",1,IF(MID(UPPER(SUBSTITUTE(TRIM($E383),"/","")),4,3)=UPPER(TRIM(Settings!$C$7)),1,IF(LEFT(UPPER(SUBSTITUTE(TRIM($E383),"/","")),3)=UPPER(TRIM(Settings!$C$7)),IF(AND(ISNUMBER($K383),N($K383)&lt;&gt;0),1/$K383,""),""))))</f>
        <v/>
      </c>
      <c r="AI383" s="55" t="str">
        <f>IF($AM383=0,"",IF(OR(NOT(ISNUMBER($H383)),NOT(ISNUMBER($K383)),NOT(ISNUMBER($G383)),$AG383="",$AH383=""),"",ROUND(($K383-$H383)*IF($F383="Short",-1,1)*$G383*$AG383*$AH383,6)))</f>
        <v/>
      </c>
      <c r="AJ383" s="55" t="str">
        <f>IF($AM383=0,"",IF(INDEX(Settings!$E$14:$E$18,$BF383)="% of notional",IF(OR($AG383="",NOT(ISNUMBER($H383)),NOT(ISNUMBER($G383))),"",ROUND(ABS($H383*$G383*$AG383*N($AH383))*IF($L383="Limit",N(INDEX(Settings!$G$14:$G$18,$BF383)),N(INDEX(Settings!$H$14:$H$18,$BF383)))+IF(ISNUMBER($K383),ABS($K383*$G383*$AG383*N($AH383))*IF($M383="Target",N(INDEX(Settings!$G$14:$G$18,$BF383)),N(INDEX(Settings!$H$14:$H$18,$BF383))),0),6)),IF(NOT(ISNUMBER($G383)),"",ROUND(ABS($G383)*2*IF(AND($BE383&gt;0,ISNUMBER(INDEX(Instruments!$G$6:$G$205,MAX(1,$BE383)))),INDEX(Instruments!$G$6:$G$205,MAX(1,$BE383)),N(INDEX(Settings!$F$14:$F$18,$BF383))),6))))</f>
        <v/>
      </c>
      <c r="AK383" s="55" t="str">
        <f>IF($AM383=0,"",IF(ISNUMBER($O383),$O383,$AI383))</f>
        <v/>
      </c>
      <c r="AL383" s="55" t="str">
        <f>IF($AM383=0,"",IF(ISNUMBER($P383),$P383,N($AJ383)))</f>
        <v/>
      </c>
      <c r="AM383" s="56">
        <f>IF(AND($A383&lt;&gt;"",$E383&lt;&gt;"",OR(AND(ISNUMBER($G383),ISNUMBER($H383),ISNUMBER($K383)),ISNUMBER($O383))),1,0)</f>
        <v>0</v>
      </c>
      <c r="AN383" s="57" t="str">
        <f>IF($A383="","",$A383-WEEKDAY($A383,3))</f>
        <v/>
      </c>
      <c r="AO383" s="56" t="str">
        <f>IF($A383="","",WEEKDAY($A383,2))</f>
        <v/>
      </c>
      <c r="AP383" s="55" t="str">
        <f>IF(OR($AM383=0,$C383=""),"",IFERROR(N(INDEX(Accounts!$E$7:$E$16,MATCH($C383,Accounts!$B$7:$B$16,0))),0)+SUMIFS($Q$6:$Q383,$C$6:$C383,$C383))</f>
        <v/>
      </c>
      <c r="AQ383" s="55" t="str">
        <f>IF(OR($AM383=0,$C383=""),"",SUMIFS($Q$6:$Q$1005,$C$6:$C$1005,$C383,$A$6:$A$1005,$A383))</f>
        <v/>
      </c>
      <c r="AR383" s="55" t="str">
        <f>IF(OR($AM383=0,$C383=""),"",IFERROR(N(INDEX(Accounts!$E$7:$E$16,MATCH($C383,Accounts!$B$7:$B$16,0))),0)+SUMIFS($Q$6:$Q$1005,$C$6:$C$1005,$C383,$A$6:$A$1005,"&lt;="&amp;$A383))</f>
        <v/>
      </c>
      <c r="AS383" s="56">
        <f>IF(OR($AM383=0,$Q383=""),0,IF(AND($A383&gt;=Lists!$W$6,$A383&lt;=Lists!$W$7,OR(Dashboard!$D$6="All accounts",$C383=Dashboard!$D$6),OR(Dashboard!$D$7="All markets",$AF383=Dashboard!$D$7)),1,0))</f>
        <v>0</v>
      </c>
      <c r="AT383" s="55">
        <f>IF($AS383=1,N(AT382)+$Q383,N(AT382))</f>
        <v>1187.10688</v>
      </c>
      <c r="AU383" s="55">
        <f>MAX(N(AU382),$AT383)</f>
        <v>1187.10688</v>
      </c>
      <c r="AV383" s="55">
        <f>$AT383-$AU383</f>
        <v>0</v>
      </c>
      <c r="AW383" s="56">
        <f>IF($AS383=1,IF($S383="Win",N(AW382)+1,IF($S383="Loss",0,N(AW382))),N(AW382))</f>
        <v>5</v>
      </c>
      <c r="AX383" s="56">
        <f>IF($AS383=1,IF($S383="Loss",N(AX382)+1,IF($S383="Win",0,N(AX382))),N(AX382))</f>
        <v>0</v>
      </c>
      <c r="AY383" s="56" t="str">
        <f>IF($AS383=1,COUNTIF($AS$6:$AS383,1),"")</f>
        <v/>
      </c>
      <c r="AZ383" s="56">
        <f>MIN(377,N(Lists!$W$8))</f>
        <v>28</v>
      </c>
      <c r="BA383" s="56">
        <f>IF($AS383=1,IF(COUNTIFS($A$6:$A383,$A383,$AS$6:$AS383,1)=1,1,0),0)</f>
        <v>0</v>
      </c>
      <c r="BB383" s="55" t="str">
        <f>IF($BA383=1,SUMIFS($Q$6:$Q$1005,$A$6:$A$1005,$A383,$AS$6:$AS$1005,1),"")</f>
        <v/>
      </c>
      <c r="BC383" s="56">
        <f>IF(ISNUMBER($R383),1,0)</f>
        <v>0</v>
      </c>
      <c r="BD383" s="55" t="str">
        <f>IF(ISNUMBER($U383),$U383*$V383,"")</f>
        <v/>
      </c>
      <c r="BE383" s="56" t="str">
        <f>IF($AM383=0,"",IFERROR(MATCH($AF383&amp;"|"&amp;UPPER(TRIM($E383)),Lists!$A$6:$A$205,0),0))</f>
        <v/>
      </c>
      <c r="BF383" s="56" t="str">
        <f>IF($AM383=0,"",IFERROR(MATCH($AF383,Settings!$B$14:$B$18,0),IFERROR(MATCH(Settings!$C$6,Settings!$B$14:$B$18,0),1)))</f>
        <v/>
      </c>
      <c r="BG383" s="58" t="str">
        <f>IF($AM383=0,"",IF(NOT(ISNUMBER($I383)),"No stop; ","")&amp;IF(AND(ISNUMBER($H383),ISNUMBER($I383)),IF(OR(AND($F383&lt;&gt;"Short",$I383&gt;=$H383),AND($F383="Short",$I383&lt;=$H383)),"Stop on wrong side; ",""),"")&amp;IF($F383="","No direction; ","")&amp;IF(AND(ISNUMBER(Settings!$C$22),ISNUMBER($V383)),IF($V383&gt;Settings!$C$22,"Risk over max $; ",""),"")&amp;IF(AND(ISNUMBER(Settings!$C$23),ISNUMBER($V383),ISNUMBER($AP383),IFERROR(N(INDEX(Accounts!$E$7:$E$16,MATCH($C383,Accounts!$B$7:$B$16,0))),0)&gt;0),IF($V383&gt;Settings!$C$23*($AP383-N($Q383)),"Risk over max %; ",""),"")&amp;IF(AND(ISNUMBER(Settings!$C$24),ISNUMBER($N383)),IF($N383&gt;Settings!$C$24,"Leverage over max; ",""),"")&amp;IF(AND(ISNUMBER(Settings!$C$27),ISNUMBER($T383)),IF($T383&lt;Settings!$C$27,"R:R below min; ",""),"")&amp;IF(ISNUMBER(Settings!$C$25),IF(COUNTIFS($A$6:$A383,$A383,$AM$6:$AM383,1)&gt;Settings!$C$25,"Over max trades/day; ",""),"")&amp;IF(ISNUMBER(Settings!$C$26),IF(SUMIFS($Q$5:$Q382,$A$5:$A382,$A383)&lt;=-Settings!$C$26,"Traded after daily max loss; ",""),"")&amp;IF(AND($AG383="",NOT(ISNUMBER($O383))),"Symbol not in Instruments; ","")&amp;IF(AND($AH383="",NOT(ISNUMBER($O383))),"Forex cross: type Gross P&amp;L; ",""))</f>
        <v/>
      </c>
      <c r="BH383" s="56">
        <f>IF(ISNUMBER($Q383),1,0)</f>
        <v>0</v>
      </c>
      <c r="BI383" s="56">
        <f>IF($Y383="",0,1)</f>
        <v>0</v>
      </c>
      <c r="BJ383" s="56">
        <f>IF($AB383="",0,1)</f>
        <v>0</v>
      </c>
      <c r="BK383" s="56">
        <f>IF(AND($BH383=1,$W383&lt;&gt;"OK"),1,0)</f>
        <v>0</v>
      </c>
      <c r="BL383" s="55">
        <f>IF(N($AZ383)=0,0,IFERROR(INDEX($AT$6:$AT$1005,MATCH($AZ383,$AY$6:$AY$1005,0)),0))</f>
        <v>1187.10688</v>
      </c>
      <c r="BM383" s="56">
        <f>IF(ISNUMBER(SEARCH("daily max loss",$BG383)),1,0)</f>
        <v>0</v>
      </c>
    </row>
    <row r="384" ht="18" customHeight="1">
      <c r="A384" s="38" t="n"/>
      <c r="B384" s="39" t="n"/>
      <c r="C384" s="40" t="n"/>
      <c r="D384" s="41" t="n"/>
      <c r="E384" s="41" t="n"/>
      <c r="F384" s="41" t="n"/>
      <c r="G384" s="41" t="n"/>
      <c r="H384" s="42" t="n"/>
      <c r="I384" s="42" t="n"/>
      <c r="J384" s="42" t="n"/>
      <c r="K384" s="42" t="n"/>
      <c r="L384" s="41" t="n"/>
      <c r="M384" s="41" t="n"/>
      <c r="N384" s="41" t="n"/>
      <c r="O384" s="43" t="n"/>
      <c r="P384" s="43" t="n"/>
      <c r="Q384" s="44" t="str">
        <f>IF($AM384=0,"",IF(ISNUMBER($AK384),$AK384-N($AL384),""))</f>
        <v/>
      </c>
      <c r="R384" s="45" t="str">
        <f>IF(OR($Q384="",NOT(ISNUMBER($V384))),"",$AK384/$V384)</f>
        <v/>
      </c>
      <c r="S384" s="46" t="str">
        <f>IF($Q384="","",IF(AND(ISNUMBER($R384),ABS(N($R384))&lt;N(Settings!$C$8)),"Scratch",IF($Q384&gt;0,"Win",IF($Q384&lt;0,"Loss","Scratch"))))</f>
        <v/>
      </c>
      <c r="T384" s="47" t="str">
        <f>IF(OR($AM384=0,NOT(ISNUMBER($H384)),NOT(ISNUMBER($I384)),NOT(ISNUMBER($J384))),"",IF($H384=$I384,"",ROUND(ABS($J384-$H384)/ABS($H384-$I384),6)))</f>
        <v/>
      </c>
      <c r="U384" s="48" t="str">
        <f>IF(OR($S384&lt;&gt;"Win",NOT(ISNUMBER($T384)),NOT(ISNUMBER($R384))),"",MAX(0,$T384-$R384))</f>
        <v/>
      </c>
      <c r="V384" s="49" t="str">
        <f>IF(OR($AM384=0,NOT(ISNUMBER($H384)),NOT(ISNUMBER($I384)),NOT(ISNUMBER($G384))),"",IF(OR($AG384="",$AH384=""),"",IF(ROUND(ABS($H384-$I384)*ABS($G384)*$AG384*$AH384,6)=0,"",ROUND(ABS($H384-$I384)*ABS($G384)*$AG384*$AH384,6))))</f>
        <v/>
      </c>
      <c r="W384" s="50" t="str">
        <f>IF($AM384=0,"",IF($BG384="","OK",LEFT($BG384,LEN($BG384)-2)))</f>
        <v/>
      </c>
      <c r="X384" s="41" t="n"/>
      <c r="Y384" s="40" t="n"/>
      <c r="Z384" s="41" t="n"/>
      <c r="AA384" s="41" t="n"/>
      <c r="AB384" s="40" t="n"/>
      <c r="AC384" s="51" t="n"/>
      <c r="AD384" s="51" t="n"/>
      <c r="AE384" s="40" t="n"/>
      <c r="AF384" s="52" t="str">
        <f>IF($AM384=0,"",IF($D384&lt;&gt;"",$D384,IF(IFERROR(INDEX(Accounts!$C$7:$C$16,MATCH($C384,Accounts!$B$7:$B$16,0))&amp;"","")&lt;&gt;"",INDEX(Accounts!$C$7:$C$16,MATCH($C384,Accounts!$B$7:$B$16,0)),Settings!$C$6)))</f>
        <v/>
      </c>
      <c r="AG384" s="53" t="str">
        <f>IF($AM384=0,"",IF(AND($BE384&gt;0,N(INDEX(Instruments!$D$6:$D$205,MAX(1,$BE384)))&gt;0),INDEX(Instruments!$D$6:$D$205,MAX(1,$BE384)),IF(N(INDEX(Settings!$D$14:$D$18,$BF384))&gt;0,INDEX(Settings!$D$14:$D$18,$BF384),"")))</f>
        <v/>
      </c>
      <c r="AH384" s="54" t="str">
        <f>IF($AM384=0,"",IF($AF384&lt;&gt;"Forex",1,IF(MID(UPPER(SUBSTITUTE(TRIM($E384),"/","")),4,3)=UPPER(TRIM(Settings!$C$7)),1,IF(LEFT(UPPER(SUBSTITUTE(TRIM($E384),"/","")),3)=UPPER(TRIM(Settings!$C$7)),IF(AND(ISNUMBER($K384),N($K384)&lt;&gt;0),1/$K384,""),""))))</f>
        <v/>
      </c>
      <c r="AI384" s="55" t="str">
        <f>IF($AM384=0,"",IF(OR(NOT(ISNUMBER($H384)),NOT(ISNUMBER($K384)),NOT(ISNUMBER($G384)),$AG384="",$AH384=""),"",ROUND(($K384-$H384)*IF($F384="Short",-1,1)*$G384*$AG384*$AH384,6)))</f>
        <v/>
      </c>
      <c r="AJ384" s="55" t="str">
        <f>IF($AM384=0,"",IF(INDEX(Settings!$E$14:$E$18,$BF384)="% of notional",IF(OR($AG384="",NOT(ISNUMBER($H384)),NOT(ISNUMBER($G384))),"",ROUND(ABS($H384*$G384*$AG384*N($AH384))*IF($L384="Limit",N(INDEX(Settings!$G$14:$G$18,$BF384)),N(INDEX(Settings!$H$14:$H$18,$BF384)))+IF(ISNUMBER($K384),ABS($K384*$G384*$AG384*N($AH384))*IF($M384="Target",N(INDEX(Settings!$G$14:$G$18,$BF384)),N(INDEX(Settings!$H$14:$H$18,$BF384))),0),6)),IF(NOT(ISNUMBER($G384)),"",ROUND(ABS($G384)*2*IF(AND($BE384&gt;0,ISNUMBER(INDEX(Instruments!$G$6:$G$205,MAX(1,$BE384)))),INDEX(Instruments!$G$6:$G$205,MAX(1,$BE384)),N(INDEX(Settings!$F$14:$F$18,$BF384))),6))))</f>
        <v/>
      </c>
      <c r="AK384" s="55" t="str">
        <f>IF($AM384=0,"",IF(ISNUMBER($O384),$O384,$AI384))</f>
        <v/>
      </c>
      <c r="AL384" s="55" t="str">
        <f>IF($AM384=0,"",IF(ISNUMBER($P384),$P384,N($AJ384)))</f>
        <v/>
      </c>
      <c r="AM384" s="56">
        <f>IF(AND($A384&lt;&gt;"",$E384&lt;&gt;"",OR(AND(ISNUMBER($G384),ISNUMBER($H384),ISNUMBER($K384)),ISNUMBER($O384))),1,0)</f>
        <v>0</v>
      </c>
      <c r="AN384" s="57" t="str">
        <f>IF($A384="","",$A384-WEEKDAY($A384,3))</f>
        <v/>
      </c>
      <c r="AO384" s="56" t="str">
        <f>IF($A384="","",WEEKDAY($A384,2))</f>
        <v/>
      </c>
      <c r="AP384" s="55" t="str">
        <f>IF(OR($AM384=0,$C384=""),"",IFERROR(N(INDEX(Accounts!$E$7:$E$16,MATCH($C384,Accounts!$B$7:$B$16,0))),0)+SUMIFS($Q$6:$Q384,$C$6:$C384,$C384))</f>
        <v/>
      </c>
      <c r="AQ384" s="55" t="str">
        <f>IF(OR($AM384=0,$C384=""),"",SUMIFS($Q$6:$Q$1005,$C$6:$C$1005,$C384,$A$6:$A$1005,$A384))</f>
        <v/>
      </c>
      <c r="AR384" s="55" t="str">
        <f>IF(OR($AM384=0,$C384=""),"",IFERROR(N(INDEX(Accounts!$E$7:$E$16,MATCH($C384,Accounts!$B$7:$B$16,0))),0)+SUMIFS($Q$6:$Q$1005,$C$6:$C$1005,$C384,$A$6:$A$1005,"&lt;="&amp;$A384))</f>
        <v/>
      </c>
      <c r="AS384" s="56">
        <f>IF(OR($AM384=0,$Q384=""),0,IF(AND($A384&gt;=Lists!$W$6,$A384&lt;=Lists!$W$7,OR(Dashboard!$D$6="All accounts",$C384=Dashboard!$D$6),OR(Dashboard!$D$7="All markets",$AF384=Dashboard!$D$7)),1,0))</f>
        <v>0</v>
      </c>
      <c r="AT384" s="55">
        <f>IF($AS384=1,N(AT383)+$Q384,N(AT383))</f>
        <v>1187.10688</v>
      </c>
      <c r="AU384" s="55">
        <f>MAX(N(AU383),$AT384)</f>
        <v>1187.10688</v>
      </c>
      <c r="AV384" s="55">
        <f>$AT384-$AU384</f>
        <v>0</v>
      </c>
      <c r="AW384" s="56">
        <f>IF($AS384=1,IF($S384="Win",N(AW383)+1,IF($S384="Loss",0,N(AW383))),N(AW383))</f>
        <v>5</v>
      </c>
      <c r="AX384" s="56">
        <f>IF($AS384=1,IF($S384="Loss",N(AX383)+1,IF($S384="Win",0,N(AX383))),N(AX383))</f>
        <v>0</v>
      </c>
      <c r="AY384" s="56" t="str">
        <f>IF($AS384=1,COUNTIF($AS$6:$AS384,1),"")</f>
        <v/>
      </c>
      <c r="AZ384" s="56">
        <f>MIN(378,N(Lists!$W$8))</f>
        <v>28</v>
      </c>
      <c r="BA384" s="56">
        <f>IF($AS384=1,IF(COUNTIFS($A$6:$A384,$A384,$AS$6:$AS384,1)=1,1,0),0)</f>
        <v>0</v>
      </c>
      <c r="BB384" s="55" t="str">
        <f>IF($BA384=1,SUMIFS($Q$6:$Q$1005,$A$6:$A$1005,$A384,$AS$6:$AS$1005,1),"")</f>
        <v/>
      </c>
      <c r="BC384" s="56">
        <f>IF(ISNUMBER($R384),1,0)</f>
        <v>0</v>
      </c>
      <c r="BD384" s="55" t="str">
        <f>IF(ISNUMBER($U384),$U384*$V384,"")</f>
        <v/>
      </c>
      <c r="BE384" s="56" t="str">
        <f>IF($AM384=0,"",IFERROR(MATCH($AF384&amp;"|"&amp;UPPER(TRIM($E384)),Lists!$A$6:$A$205,0),0))</f>
        <v/>
      </c>
      <c r="BF384" s="56" t="str">
        <f>IF($AM384=0,"",IFERROR(MATCH($AF384,Settings!$B$14:$B$18,0),IFERROR(MATCH(Settings!$C$6,Settings!$B$14:$B$18,0),1)))</f>
        <v/>
      </c>
      <c r="BG384" s="58" t="str">
        <f>IF($AM384=0,"",IF(NOT(ISNUMBER($I384)),"No stop; ","")&amp;IF(AND(ISNUMBER($H384),ISNUMBER($I384)),IF(OR(AND($F384&lt;&gt;"Short",$I384&gt;=$H384),AND($F384="Short",$I384&lt;=$H384)),"Stop on wrong side; ",""),"")&amp;IF($F384="","No direction; ","")&amp;IF(AND(ISNUMBER(Settings!$C$22),ISNUMBER($V384)),IF($V384&gt;Settings!$C$22,"Risk over max $; ",""),"")&amp;IF(AND(ISNUMBER(Settings!$C$23),ISNUMBER($V384),ISNUMBER($AP384),IFERROR(N(INDEX(Accounts!$E$7:$E$16,MATCH($C384,Accounts!$B$7:$B$16,0))),0)&gt;0),IF($V384&gt;Settings!$C$23*($AP384-N($Q384)),"Risk over max %; ",""),"")&amp;IF(AND(ISNUMBER(Settings!$C$24),ISNUMBER($N384)),IF($N384&gt;Settings!$C$24,"Leverage over max; ",""),"")&amp;IF(AND(ISNUMBER(Settings!$C$27),ISNUMBER($T384)),IF($T384&lt;Settings!$C$27,"R:R below min; ",""),"")&amp;IF(ISNUMBER(Settings!$C$25),IF(COUNTIFS($A$6:$A384,$A384,$AM$6:$AM384,1)&gt;Settings!$C$25,"Over max trades/day; ",""),"")&amp;IF(ISNUMBER(Settings!$C$26),IF(SUMIFS($Q$5:$Q383,$A$5:$A383,$A384)&lt;=-Settings!$C$26,"Traded after daily max loss; ",""),"")&amp;IF(AND($AG384="",NOT(ISNUMBER($O384))),"Symbol not in Instruments; ","")&amp;IF(AND($AH384="",NOT(ISNUMBER($O384))),"Forex cross: type Gross P&amp;L; ",""))</f>
        <v/>
      </c>
      <c r="BH384" s="56">
        <f>IF(ISNUMBER($Q384),1,0)</f>
        <v>0</v>
      </c>
      <c r="BI384" s="56">
        <f>IF($Y384="",0,1)</f>
        <v>0</v>
      </c>
      <c r="BJ384" s="56">
        <f>IF($AB384="",0,1)</f>
        <v>0</v>
      </c>
      <c r="BK384" s="56">
        <f>IF(AND($BH384=1,$W384&lt;&gt;"OK"),1,0)</f>
        <v>0</v>
      </c>
      <c r="BL384" s="55">
        <f>IF(N($AZ384)=0,0,IFERROR(INDEX($AT$6:$AT$1005,MATCH($AZ384,$AY$6:$AY$1005,0)),0))</f>
        <v>1187.10688</v>
      </c>
      <c r="BM384" s="56">
        <f>IF(ISNUMBER(SEARCH("daily max loss",$BG384)),1,0)</f>
        <v>0</v>
      </c>
    </row>
    <row r="385" ht="18" customHeight="1">
      <c r="A385" s="38" t="n"/>
      <c r="B385" s="39" t="n"/>
      <c r="C385" s="40" t="n"/>
      <c r="D385" s="41" t="n"/>
      <c r="E385" s="41" t="n"/>
      <c r="F385" s="41" t="n"/>
      <c r="G385" s="41" t="n"/>
      <c r="H385" s="42" t="n"/>
      <c r="I385" s="42" t="n"/>
      <c r="J385" s="42" t="n"/>
      <c r="K385" s="42" t="n"/>
      <c r="L385" s="41" t="n"/>
      <c r="M385" s="41" t="n"/>
      <c r="N385" s="41" t="n"/>
      <c r="O385" s="43" t="n"/>
      <c r="P385" s="43" t="n"/>
      <c r="Q385" s="44" t="str">
        <f>IF($AM385=0,"",IF(ISNUMBER($AK385),$AK385-N($AL385),""))</f>
        <v/>
      </c>
      <c r="R385" s="45" t="str">
        <f>IF(OR($Q385="",NOT(ISNUMBER($V385))),"",$AK385/$V385)</f>
        <v/>
      </c>
      <c r="S385" s="46" t="str">
        <f>IF($Q385="","",IF(AND(ISNUMBER($R385),ABS(N($R385))&lt;N(Settings!$C$8)),"Scratch",IF($Q385&gt;0,"Win",IF($Q385&lt;0,"Loss","Scratch"))))</f>
        <v/>
      </c>
      <c r="T385" s="47" t="str">
        <f>IF(OR($AM385=0,NOT(ISNUMBER($H385)),NOT(ISNUMBER($I385)),NOT(ISNUMBER($J385))),"",IF($H385=$I385,"",ROUND(ABS($J385-$H385)/ABS($H385-$I385),6)))</f>
        <v/>
      </c>
      <c r="U385" s="48" t="str">
        <f>IF(OR($S385&lt;&gt;"Win",NOT(ISNUMBER($T385)),NOT(ISNUMBER($R385))),"",MAX(0,$T385-$R385))</f>
        <v/>
      </c>
      <c r="V385" s="49" t="str">
        <f>IF(OR($AM385=0,NOT(ISNUMBER($H385)),NOT(ISNUMBER($I385)),NOT(ISNUMBER($G385))),"",IF(OR($AG385="",$AH385=""),"",IF(ROUND(ABS($H385-$I385)*ABS($G385)*$AG385*$AH385,6)=0,"",ROUND(ABS($H385-$I385)*ABS($G385)*$AG385*$AH385,6))))</f>
        <v/>
      </c>
      <c r="W385" s="50" t="str">
        <f>IF($AM385=0,"",IF($BG385="","OK",LEFT($BG385,LEN($BG385)-2)))</f>
        <v/>
      </c>
      <c r="X385" s="41" t="n"/>
      <c r="Y385" s="40" t="n"/>
      <c r="Z385" s="41" t="n"/>
      <c r="AA385" s="41" t="n"/>
      <c r="AB385" s="40" t="n"/>
      <c r="AC385" s="51" t="n"/>
      <c r="AD385" s="51" t="n"/>
      <c r="AE385" s="40" t="n"/>
      <c r="AF385" s="52" t="str">
        <f>IF($AM385=0,"",IF($D385&lt;&gt;"",$D385,IF(IFERROR(INDEX(Accounts!$C$7:$C$16,MATCH($C385,Accounts!$B$7:$B$16,0))&amp;"","")&lt;&gt;"",INDEX(Accounts!$C$7:$C$16,MATCH($C385,Accounts!$B$7:$B$16,0)),Settings!$C$6)))</f>
        <v/>
      </c>
      <c r="AG385" s="53" t="str">
        <f>IF($AM385=0,"",IF(AND($BE385&gt;0,N(INDEX(Instruments!$D$6:$D$205,MAX(1,$BE385)))&gt;0),INDEX(Instruments!$D$6:$D$205,MAX(1,$BE385)),IF(N(INDEX(Settings!$D$14:$D$18,$BF385))&gt;0,INDEX(Settings!$D$14:$D$18,$BF385),"")))</f>
        <v/>
      </c>
      <c r="AH385" s="54" t="str">
        <f>IF($AM385=0,"",IF($AF385&lt;&gt;"Forex",1,IF(MID(UPPER(SUBSTITUTE(TRIM($E385),"/","")),4,3)=UPPER(TRIM(Settings!$C$7)),1,IF(LEFT(UPPER(SUBSTITUTE(TRIM($E385),"/","")),3)=UPPER(TRIM(Settings!$C$7)),IF(AND(ISNUMBER($K385),N($K385)&lt;&gt;0),1/$K385,""),""))))</f>
        <v/>
      </c>
      <c r="AI385" s="55" t="str">
        <f>IF($AM385=0,"",IF(OR(NOT(ISNUMBER($H385)),NOT(ISNUMBER($K385)),NOT(ISNUMBER($G385)),$AG385="",$AH385=""),"",ROUND(($K385-$H385)*IF($F385="Short",-1,1)*$G385*$AG385*$AH385,6)))</f>
        <v/>
      </c>
      <c r="AJ385" s="55" t="str">
        <f>IF($AM385=0,"",IF(INDEX(Settings!$E$14:$E$18,$BF385)="% of notional",IF(OR($AG385="",NOT(ISNUMBER($H385)),NOT(ISNUMBER($G385))),"",ROUND(ABS($H385*$G385*$AG385*N($AH385))*IF($L385="Limit",N(INDEX(Settings!$G$14:$G$18,$BF385)),N(INDEX(Settings!$H$14:$H$18,$BF385)))+IF(ISNUMBER($K385),ABS($K385*$G385*$AG385*N($AH385))*IF($M385="Target",N(INDEX(Settings!$G$14:$G$18,$BF385)),N(INDEX(Settings!$H$14:$H$18,$BF385))),0),6)),IF(NOT(ISNUMBER($G385)),"",ROUND(ABS($G385)*2*IF(AND($BE385&gt;0,ISNUMBER(INDEX(Instruments!$G$6:$G$205,MAX(1,$BE385)))),INDEX(Instruments!$G$6:$G$205,MAX(1,$BE385)),N(INDEX(Settings!$F$14:$F$18,$BF385))),6))))</f>
        <v/>
      </c>
      <c r="AK385" s="55" t="str">
        <f>IF($AM385=0,"",IF(ISNUMBER($O385),$O385,$AI385))</f>
        <v/>
      </c>
      <c r="AL385" s="55" t="str">
        <f>IF($AM385=0,"",IF(ISNUMBER($P385),$P385,N($AJ385)))</f>
        <v/>
      </c>
      <c r="AM385" s="56">
        <f>IF(AND($A385&lt;&gt;"",$E385&lt;&gt;"",OR(AND(ISNUMBER($G385),ISNUMBER($H385),ISNUMBER($K385)),ISNUMBER($O385))),1,0)</f>
        <v>0</v>
      </c>
      <c r="AN385" s="57" t="str">
        <f>IF($A385="","",$A385-WEEKDAY($A385,3))</f>
        <v/>
      </c>
      <c r="AO385" s="56" t="str">
        <f>IF($A385="","",WEEKDAY($A385,2))</f>
        <v/>
      </c>
      <c r="AP385" s="55" t="str">
        <f>IF(OR($AM385=0,$C385=""),"",IFERROR(N(INDEX(Accounts!$E$7:$E$16,MATCH($C385,Accounts!$B$7:$B$16,0))),0)+SUMIFS($Q$6:$Q385,$C$6:$C385,$C385))</f>
        <v/>
      </c>
      <c r="AQ385" s="55" t="str">
        <f>IF(OR($AM385=0,$C385=""),"",SUMIFS($Q$6:$Q$1005,$C$6:$C$1005,$C385,$A$6:$A$1005,$A385))</f>
        <v/>
      </c>
      <c r="AR385" s="55" t="str">
        <f>IF(OR($AM385=0,$C385=""),"",IFERROR(N(INDEX(Accounts!$E$7:$E$16,MATCH($C385,Accounts!$B$7:$B$16,0))),0)+SUMIFS($Q$6:$Q$1005,$C$6:$C$1005,$C385,$A$6:$A$1005,"&lt;="&amp;$A385))</f>
        <v/>
      </c>
      <c r="AS385" s="56">
        <f>IF(OR($AM385=0,$Q385=""),0,IF(AND($A385&gt;=Lists!$W$6,$A385&lt;=Lists!$W$7,OR(Dashboard!$D$6="All accounts",$C385=Dashboard!$D$6),OR(Dashboard!$D$7="All markets",$AF385=Dashboard!$D$7)),1,0))</f>
        <v>0</v>
      </c>
      <c r="AT385" s="55">
        <f>IF($AS385=1,N(AT384)+$Q385,N(AT384))</f>
        <v>1187.10688</v>
      </c>
      <c r="AU385" s="55">
        <f>MAX(N(AU384),$AT385)</f>
        <v>1187.10688</v>
      </c>
      <c r="AV385" s="55">
        <f>$AT385-$AU385</f>
        <v>0</v>
      </c>
      <c r="AW385" s="56">
        <f>IF($AS385=1,IF($S385="Win",N(AW384)+1,IF($S385="Loss",0,N(AW384))),N(AW384))</f>
        <v>5</v>
      </c>
      <c r="AX385" s="56">
        <f>IF($AS385=1,IF($S385="Loss",N(AX384)+1,IF($S385="Win",0,N(AX384))),N(AX384))</f>
        <v>0</v>
      </c>
      <c r="AY385" s="56" t="str">
        <f>IF($AS385=1,COUNTIF($AS$6:$AS385,1),"")</f>
        <v/>
      </c>
      <c r="AZ385" s="56">
        <f>MIN(379,N(Lists!$W$8))</f>
        <v>28</v>
      </c>
      <c r="BA385" s="56">
        <f>IF($AS385=1,IF(COUNTIFS($A$6:$A385,$A385,$AS$6:$AS385,1)=1,1,0),0)</f>
        <v>0</v>
      </c>
      <c r="BB385" s="55" t="str">
        <f>IF($BA385=1,SUMIFS($Q$6:$Q$1005,$A$6:$A$1005,$A385,$AS$6:$AS$1005,1),"")</f>
        <v/>
      </c>
      <c r="BC385" s="56">
        <f>IF(ISNUMBER($R385),1,0)</f>
        <v>0</v>
      </c>
      <c r="BD385" s="55" t="str">
        <f>IF(ISNUMBER($U385),$U385*$V385,"")</f>
        <v/>
      </c>
      <c r="BE385" s="56" t="str">
        <f>IF($AM385=0,"",IFERROR(MATCH($AF385&amp;"|"&amp;UPPER(TRIM($E385)),Lists!$A$6:$A$205,0),0))</f>
        <v/>
      </c>
      <c r="BF385" s="56" t="str">
        <f>IF($AM385=0,"",IFERROR(MATCH($AF385,Settings!$B$14:$B$18,0),IFERROR(MATCH(Settings!$C$6,Settings!$B$14:$B$18,0),1)))</f>
        <v/>
      </c>
      <c r="BG385" s="58" t="str">
        <f>IF($AM385=0,"",IF(NOT(ISNUMBER($I385)),"No stop; ","")&amp;IF(AND(ISNUMBER($H385),ISNUMBER($I385)),IF(OR(AND($F385&lt;&gt;"Short",$I385&gt;=$H385),AND($F385="Short",$I385&lt;=$H385)),"Stop on wrong side; ",""),"")&amp;IF($F385="","No direction; ","")&amp;IF(AND(ISNUMBER(Settings!$C$22),ISNUMBER($V385)),IF($V385&gt;Settings!$C$22,"Risk over max $; ",""),"")&amp;IF(AND(ISNUMBER(Settings!$C$23),ISNUMBER($V385),ISNUMBER($AP385),IFERROR(N(INDEX(Accounts!$E$7:$E$16,MATCH($C385,Accounts!$B$7:$B$16,0))),0)&gt;0),IF($V385&gt;Settings!$C$23*($AP385-N($Q385)),"Risk over max %; ",""),"")&amp;IF(AND(ISNUMBER(Settings!$C$24),ISNUMBER($N385)),IF($N385&gt;Settings!$C$24,"Leverage over max; ",""),"")&amp;IF(AND(ISNUMBER(Settings!$C$27),ISNUMBER($T385)),IF($T385&lt;Settings!$C$27,"R:R below min; ",""),"")&amp;IF(ISNUMBER(Settings!$C$25),IF(COUNTIFS($A$6:$A385,$A385,$AM$6:$AM385,1)&gt;Settings!$C$25,"Over max trades/day; ",""),"")&amp;IF(ISNUMBER(Settings!$C$26),IF(SUMIFS($Q$5:$Q384,$A$5:$A384,$A385)&lt;=-Settings!$C$26,"Traded after daily max loss; ",""),"")&amp;IF(AND($AG385="",NOT(ISNUMBER($O385))),"Symbol not in Instruments; ","")&amp;IF(AND($AH385="",NOT(ISNUMBER($O385))),"Forex cross: type Gross P&amp;L; ",""))</f>
        <v/>
      </c>
      <c r="BH385" s="56">
        <f>IF(ISNUMBER($Q385),1,0)</f>
        <v>0</v>
      </c>
      <c r="BI385" s="56">
        <f>IF($Y385="",0,1)</f>
        <v>0</v>
      </c>
      <c r="BJ385" s="56">
        <f>IF($AB385="",0,1)</f>
        <v>0</v>
      </c>
      <c r="BK385" s="56">
        <f>IF(AND($BH385=1,$W385&lt;&gt;"OK"),1,0)</f>
        <v>0</v>
      </c>
      <c r="BL385" s="55">
        <f>IF(N($AZ385)=0,0,IFERROR(INDEX($AT$6:$AT$1005,MATCH($AZ385,$AY$6:$AY$1005,0)),0))</f>
        <v>1187.10688</v>
      </c>
      <c r="BM385" s="56">
        <f>IF(ISNUMBER(SEARCH("daily max loss",$BG385)),1,0)</f>
        <v>0</v>
      </c>
    </row>
    <row r="386" ht="18" customHeight="1">
      <c r="A386" s="38" t="n"/>
      <c r="B386" s="39" t="n"/>
      <c r="C386" s="40" t="n"/>
      <c r="D386" s="41" t="n"/>
      <c r="E386" s="41" t="n"/>
      <c r="F386" s="41" t="n"/>
      <c r="G386" s="41" t="n"/>
      <c r="H386" s="42" t="n"/>
      <c r="I386" s="42" t="n"/>
      <c r="J386" s="42" t="n"/>
      <c r="K386" s="42" t="n"/>
      <c r="L386" s="41" t="n"/>
      <c r="M386" s="41" t="n"/>
      <c r="N386" s="41" t="n"/>
      <c r="O386" s="43" t="n"/>
      <c r="P386" s="43" t="n"/>
      <c r="Q386" s="44" t="str">
        <f>IF($AM386=0,"",IF(ISNUMBER($AK386),$AK386-N($AL386),""))</f>
        <v/>
      </c>
      <c r="R386" s="45" t="str">
        <f>IF(OR($Q386="",NOT(ISNUMBER($V386))),"",$AK386/$V386)</f>
        <v/>
      </c>
      <c r="S386" s="46" t="str">
        <f>IF($Q386="","",IF(AND(ISNUMBER($R386),ABS(N($R386))&lt;N(Settings!$C$8)),"Scratch",IF($Q386&gt;0,"Win",IF($Q386&lt;0,"Loss","Scratch"))))</f>
        <v/>
      </c>
      <c r="T386" s="47" t="str">
        <f>IF(OR($AM386=0,NOT(ISNUMBER($H386)),NOT(ISNUMBER($I386)),NOT(ISNUMBER($J386))),"",IF($H386=$I386,"",ROUND(ABS($J386-$H386)/ABS($H386-$I386),6)))</f>
        <v/>
      </c>
      <c r="U386" s="48" t="str">
        <f>IF(OR($S386&lt;&gt;"Win",NOT(ISNUMBER($T386)),NOT(ISNUMBER($R386))),"",MAX(0,$T386-$R386))</f>
        <v/>
      </c>
      <c r="V386" s="49" t="str">
        <f>IF(OR($AM386=0,NOT(ISNUMBER($H386)),NOT(ISNUMBER($I386)),NOT(ISNUMBER($G386))),"",IF(OR($AG386="",$AH386=""),"",IF(ROUND(ABS($H386-$I386)*ABS($G386)*$AG386*$AH386,6)=0,"",ROUND(ABS($H386-$I386)*ABS($G386)*$AG386*$AH386,6))))</f>
        <v/>
      </c>
      <c r="W386" s="50" t="str">
        <f>IF($AM386=0,"",IF($BG386="","OK",LEFT($BG386,LEN($BG386)-2)))</f>
        <v/>
      </c>
      <c r="X386" s="41" t="n"/>
      <c r="Y386" s="40" t="n"/>
      <c r="Z386" s="41" t="n"/>
      <c r="AA386" s="41" t="n"/>
      <c r="AB386" s="40" t="n"/>
      <c r="AC386" s="51" t="n"/>
      <c r="AD386" s="51" t="n"/>
      <c r="AE386" s="40" t="n"/>
      <c r="AF386" s="52" t="str">
        <f>IF($AM386=0,"",IF($D386&lt;&gt;"",$D386,IF(IFERROR(INDEX(Accounts!$C$7:$C$16,MATCH($C386,Accounts!$B$7:$B$16,0))&amp;"","")&lt;&gt;"",INDEX(Accounts!$C$7:$C$16,MATCH($C386,Accounts!$B$7:$B$16,0)),Settings!$C$6)))</f>
        <v/>
      </c>
      <c r="AG386" s="53" t="str">
        <f>IF($AM386=0,"",IF(AND($BE386&gt;0,N(INDEX(Instruments!$D$6:$D$205,MAX(1,$BE386)))&gt;0),INDEX(Instruments!$D$6:$D$205,MAX(1,$BE386)),IF(N(INDEX(Settings!$D$14:$D$18,$BF386))&gt;0,INDEX(Settings!$D$14:$D$18,$BF386),"")))</f>
        <v/>
      </c>
      <c r="AH386" s="54" t="str">
        <f>IF($AM386=0,"",IF($AF386&lt;&gt;"Forex",1,IF(MID(UPPER(SUBSTITUTE(TRIM($E386),"/","")),4,3)=UPPER(TRIM(Settings!$C$7)),1,IF(LEFT(UPPER(SUBSTITUTE(TRIM($E386),"/","")),3)=UPPER(TRIM(Settings!$C$7)),IF(AND(ISNUMBER($K386),N($K386)&lt;&gt;0),1/$K386,""),""))))</f>
        <v/>
      </c>
      <c r="AI386" s="55" t="str">
        <f>IF($AM386=0,"",IF(OR(NOT(ISNUMBER($H386)),NOT(ISNUMBER($K386)),NOT(ISNUMBER($G386)),$AG386="",$AH386=""),"",ROUND(($K386-$H386)*IF($F386="Short",-1,1)*$G386*$AG386*$AH386,6)))</f>
        <v/>
      </c>
      <c r="AJ386" s="55" t="str">
        <f>IF($AM386=0,"",IF(INDEX(Settings!$E$14:$E$18,$BF386)="% of notional",IF(OR($AG386="",NOT(ISNUMBER($H386)),NOT(ISNUMBER($G386))),"",ROUND(ABS($H386*$G386*$AG386*N($AH386))*IF($L386="Limit",N(INDEX(Settings!$G$14:$G$18,$BF386)),N(INDEX(Settings!$H$14:$H$18,$BF386)))+IF(ISNUMBER($K386),ABS($K386*$G386*$AG386*N($AH386))*IF($M386="Target",N(INDEX(Settings!$G$14:$G$18,$BF386)),N(INDEX(Settings!$H$14:$H$18,$BF386))),0),6)),IF(NOT(ISNUMBER($G386)),"",ROUND(ABS($G386)*2*IF(AND($BE386&gt;0,ISNUMBER(INDEX(Instruments!$G$6:$G$205,MAX(1,$BE386)))),INDEX(Instruments!$G$6:$G$205,MAX(1,$BE386)),N(INDEX(Settings!$F$14:$F$18,$BF386))),6))))</f>
        <v/>
      </c>
      <c r="AK386" s="55" t="str">
        <f>IF($AM386=0,"",IF(ISNUMBER($O386),$O386,$AI386))</f>
        <v/>
      </c>
      <c r="AL386" s="55" t="str">
        <f>IF($AM386=0,"",IF(ISNUMBER($P386),$P386,N($AJ386)))</f>
        <v/>
      </c>
      <c r="AM386" s="56">
        <f>IF(AND($A386&lt;&gt;"",$E386&lt;&gt;"",OR(AND(ISNUMBER($G386),ISNUMBER($H386),ISNUMBER($K386)),ISNUMBER($O386))),1,0)</f>
        <v>0</v>
      </c>
      <c r="AN386" s="57" t="str">
        <f>IF($A386="","",$A386-WEEKDAY($A386,3))</f>
        <v/>
      </c>
      <c r="AO386" s="56" t="str">
        <f>IF($A386="","",WEEKDAY($A386,2))</f>
        <v/>
      </c>
      <c r="AP386" s="55" t="str">
        <f>IF(OR($AM386=0,$C386=""),"",IFERROR(N(INDEX(Accounts!$E$7:$E$16,MATCH($C386,Accounts!$B$7:$B$16,0))),0)+SUMIFS($Q$6:$Q386,$C$6:$C386,$C386))</f>
        <v/>
      </c>
      <c r="AQ386" s="55" t="str">
        <f>IF(OR($AM386=0,$C386=""),"",SUMIFS($Q$6:$Q$1005,$C$6:$C$1005,$C386,$A$6:$A$1005,$A386))</f>
        <v/>
      </c>
      <c r="AR386" s="55" t="str">
        <f>IF(OR($AM386=0,$C386=""),"",IFERROR(N(INDEX(Accounts!$E$7:$E$16,MATCH($C386,Accounts!$B$7:$B$16,0))),0)+SUMIFS($Q$6:$Q$1005,$C$6:$C$1005,$C386,$A$6:$A$1005,"&lt;="&amp;$A386))</f>
        <v/>
      </c>
      <c r="AS386" s="56">
        <f>IF(OR($AM386=0,$Q386=""),0,IF(AND($A386&gt;=Lists!$W$6,$A386&lt;=Lists!$W$7,OR(Dashboard!$D$6="All accounts",$C386=Dashboard!$D$6),OR(Dashboard!$D$7="All markets",$AF386=Dashboard!$D$7)),1,0))</f>
        <v>0</v>
      </c>
      <c r="AT386" s="55">
        <f>IF($AS386=1,N(AT385)+$Q386,N(AT385))</f>
        <v>1187.10688</v>
      </c>
      <c r="AU386" s="55">
        <f>MAX(N(AU385),$AT386)</f>
        <v>1187.10688</v>
      </c>
      <c r="AV386" s="55">
        <f>$AT386-$AU386</f>
        <v>0</v>
      </c>
      <c r="AW386" s="56">
        <f>IF($AS386=1,IF($S386="Win",N(AW385)+1,IF($S386="Loss",0,N(AW385))),N(AW385))</f>
        <v>5</v>
      </c>
      <c r="AX386" s="56">
        <f>IF($AS386=1,IF($S386="Loss",N(AX385)+1,IF($S386="Win",0,N(AX385))),N(AX385))</f>
        <v>0</v>
      </c>
      <c r="AY386" s="56" t="str">
        <f>IF($AS386=1,COUNTIF($AS$6:$AS386,1),"")</f>
        <v/>
      </c>
      <c r="AZ386" s="56">
        <f>MIN(380,N(Lists!$W$8))</f>
        <v>28</v>
      </c>
      <c r="BA386" s="56">
        <f>IF($AS386=1,IF(COUNTIFS($A$6:$A386,$A386,$AS$6:$AS386,1)=1,1,0),0)</f>
        <v>0</v>
      </c>
      <c r="BB386" s="55" t="str">
        <f>IF($BA386=1,SUMIFS($Q$6:$Q$1005,$A$6:$A$1005,$A386,$AS$6:$AS$1005,1),"")</f>
        <v/>
      </c>
      <c r="BC386" s="56">
        <f>IF(ISNUMBER($R386),1,0)</f>
        <v>0</v>
      </c>
      <c r="BD386" s="55" t="str">
        <f>IF(ISNUMBER($U386),$U386*$V386,"")</f>
        <v/>
      </c>
      <c r="BE386" s="56" t="str">
        <f>IF($AM386=0,"",IFERROR(MATCH($AF386&amp;"|"&amp;UPPER(TRIM($E386)),Lists!$A$6:$A$205,0),0))</f>
        <v/>
      </c>
      <c r="BF386" s="56" t="str">
        <f>IF($AM386=0,"",IFERROR(MATCH($AF386,Settings!$B$14:$B$18,0),IFERROR(MATCH(Settings!$C$6,Settings!$B$14:$B$18,0),1)))</f>
        <v/>
      </c>
      <c r="BG386" s="58" t="str">
        <f>IF($AM386=0,"",IF(NOT(ISNUMBER($I386)),"No stop; ","")&amp;IF(AND(ISNUMBER($H386),ISNUMBER($I386)),IF(OR(AND($F386&lt;&gt;"Short",$I386&gt;=$H386),AND($F386="Short",$I386&lt;=$H386)),"Stop on wrong side; ",""),"")&amp;IF($F386="","No direction; ","")&amp;IF(AND(ISNUMBER(Settings!$C$22),ISNUMBER($V386)),IF($V386&gt;Settings!$C$22,"Risk over max $; ",""),"")&amp;IF(AND(ISNUMBER(Settings!$C$23),ISNUMBER($V386),ISNUMBER($AP386),IFERROR(N(INDEX(Accounts!$E$7:$E$16,MATCH($C386,Accounts!$B$7:$B$16,0))),0)&gt;0),IF($V386&gt;Settings!$C$23*($AP386-N($Q386)),"Risk over max %; ",""),"")&amp;IF(AND(ISNUMBER(Settings!$C$24),ISNUMBER($N386)),IF($N386&gt;Settings!$C$24,"Leverage over max; ",""),"")&amp;IF(AND(ISNUMBER(Settings!$C$27),ISNUMBER($T386)),IF($T386&lt;Settings!$C$27,"R:R below min; ",""),"")&amp;IF(ISNUMBER(Settings!$C$25),IF(COUNTIFS($A$6:$A386,$A386,$AM$6:$AM386,1)&gt;Settings!$C$25,"Over max trades/day; ",""),"")&amp;IF(ISNUMBER(Settings!$C$26),IF(SUMIFS($Q$5:$Q385,$A$5:$A385,$A386)&lt;=-Settings!$C$26,"Traded after daily max loss; ",""),"")&amp;IF(AND($AG386="",NOT(ISNUMBER($O386))),"Symbol not in Instruments; ","")&amp;IF(AND($AH386="",NOT(ISNUMBER($O386))),"Forex cross: type Gross P&amp;L; ",""))</f>
        <v/>
      </c>
      <c r="BH386" s="56">
        <f>IF(ISNUMBER($Q386),1,0)</f>
        <v>0</v>
      </c>
      <c r="BI386" s="56">
        <f>IF($Y386="",0,1)</f>
        <v>0</v>
      </c>
      <c r="BJ386" s="56">
        <f>IF($AB386="",0,1)</f>
        <v>0</v>
      </c>
      <c r="BK386" s="56">
        <f>IF(AND($BH386=1,$W386&lt;&gt;"OK"),1,0)</f>
        <v>0</v>
      </c>
      <c r="BL386" s="55">
        <f>IF(N($AZ386)=0,0,IFERROR(INDEX($AT$6:$AT$1005,MATCH($AZ386,$AY$6:$AY$1005,0)),0))</f>
        <v>1187.10688</v>
      </c>
      <c r="BM386" s="56">
        <f>IF(ISNUMBER(SEARCH("daily max loss",$BG386)),1,0)</f>
        <v>0</v>
      </c>
    </row>
    <row r="387" ht="18" customHeight="1">
      <c r="A387" s="38" t="n"/>
      <c r="B387" s="39" t="n"/>
      <c r="C387" s="40" t="n"/>
      <c r="D387" s="41" t="n"/>
      <c r="E387" s="41" t="n"/>
      <c r="F387" s="41" t="n"/>
      <c r="G387" s="41" t="n"/>
      <c r="H387" s="42" t="n"/>
      <c r="I387" s="42" t="n"/>
      <c r="J387" s="42" t="n"/>
      <c r="K387" s="42" t="n"/>
      <c r="L387" s="41" t="n"/>
      <c r="M387" s="41" t="n"/>
      <c r="N387" s="41" t="n"/>
      <c r="O387" s="43" t="n"/>
      <c r="P387" s="43" t="n"/>
      <c r="Q387" s="44" t="str">
        <f>IF($AM387=0,"",IF(ISNUMBER($AK387),$AK387-N($AL387),""))</f>
        <v/>
      </c>
      <c r="R387" s="45" t="str">
        <f>IF(OR($Q387="",NOT(ISNUMBER($V387))),"",$AK387/$V387)</f>
        <v/>
      </c>
      <c r="S387" s="46" t="str">
        <f>IF($Q387="","",IF(AND(ISNUMBER($R387),ABS(N($R387))&lt;N(Settings!$C$8)),"Scratch",IF($Q387&gt;0,"Win",IF($Q387&lt;0,"Loss","Scratch"))))</f>
        <v/>
      </c>
      <c r="T387" s="47" t="str">
        <f>IF(OR($AM387=0,NOT(ISNUMBER($H387)),NOT(ISNUMBER($I387)),NOT(ISNUMBER($J387))),"",IF($H387=$I387,"",ROUND(ABS($J387-$H387)/ABS($H387-$I387),6)))</f>
        <v/>
      </c>
      <c r="U387" s="48" t="str">
        <f>IF(OR($S387&lt;&gt;"Win",NOT(ISNUMBER($T387)),NOT(ISNUMBER($R387))),"",MAX(0,$T387-$R387))</f>
        <v/>
      </c>
      <c r="V387" s="49" t="str">
        <f>IF(OR($AM387=0,NOT(ISNUMBER($H387)),NOT(ISNUMBER($I387)),NOT(ISNUMBER($G387))),"",IF(OR($AG387="",$AH387=""),"",IF(ROUND(ABS($H387-$I387)*ABS($G387)*$AG387*$AH387,6)=0,"",ROUND(ABS($H387-$I387)*ABS($G387)*$AG387*$AH387,6))))</f>
        <v/>
      </c>
      <c r="W387" s="50" t="str">
        <f>IF($AM387=0,"",IF($BG387="","OK",LEFT($BG387,LEN($BG387)-2)))</f>
        <v/>
      </c>
      <c r="X387" s="41" t="n"/>
      <c r="Y387" s="40" t="n"/>
      <c r="Z387" s="41" t="n"/>
      <c r="AA387" s="41" t="n"/>
      <c r="AB387" s="40" t="n"/>
      <c r="AC387" s="51" t="n"/>
      <c r="AD387" s="51" t="n"/>
      <c r="AE387" s="40" t="n"/>
      <c r="AF387" s="52" t="str">
        <f>IF($AM387=0,"",IF($D387&lt;&gt;"",$D387,IF(IFERROR(INDEX(Accounts!$C$7:$C$16,MATCH($C387,Accounts!$B$7:$B$16,0))&amp;"","")&lt;&gt;"",INDEX(Accounts!$C$7:$C$16,MATCH($C387,Accounts!$B$7:$B$16,0)),Settings!$C$6)))</f>
        <v/>
      </c>
      <c r="AG387" s="53" t="str">
        <f>IF($AM387=0,"",IF(AND($BE387&gt;0,N(INDEX(Instruments!$D$6:$D$205,MAX(1,$BE387)))&gt;0),INDEX(Instruments!$D$6:$D$205,MAX(1,$BE387)),IF(N(INDEX(Settings!$D$14:$D$18,$BF387))&gt;0,INDEX(Settings!$D$14:$D$18,$BF387),"")))</f>
        <v/>
      </c>
      <c r="AH387" s="54" t="str">
        <f>IF($AM387=0,"",IF($AF387&lt;&gt;"Forex",1,IF(MID(UPPER(SUBSTITUTE(TRIM($E387),"/","")),4,3)=UPPER(TRIM(Settings!$C$7)),1,IF(LEFT(UPPER(SUBSTITUTE(TRIM($E387),"/","")),3)=UPPER(TRIM(Settings!$C$7)),IF(AND(ISNUMBER($K387),N($K387)&lt;&gt;0),1/$K387,""),""))))</f>
        <v/>
      </c>
      <c r="AI387" s="55" t="str">
        <f>IF($AM387=0,"",IF(OR(NOT(ISNUMBER($H387)),NOT(ISNUMBER($K387)),NOT(ISNUMBER($G387)),$AG387="",$AH387=""),"",ROUND(($K387-$H387)*IF($F387="Short",-1,1)*$G387*$AG387*$AH387,6)))</f>
        <v/>
      </c>
      <c r="AJ387" s="55" t="str">
        <f>IF($AM387=0,"",IF(INDEX(Settings!$E$14:$E$18,$BF387)="% of notional",IF(OR($AG387="",NOT(ISNUMBER($H387)),NOT(ISNUMBER($G387))),"",ROUND(ABS($H387*$G387*$AG387*N($AH387))*IF($L387="Limit",N(INDEX(Settings!$G$14:$G$18,$BF387)),N(INDEX(Settings!$H$14:$H$18,$BF387)))+IF(ISNUMBER($K387),ABS($K387*$G387*$AG387*N($AH387))*IF($M387="Target",N(INDEX(Settings!$G$14:$G$18,$BF387)),N(INDEX(Settings!$H$14:$H$18,$BF387))),0),6)),IF(NOT(ISNUMBER($G387)),"",ROUND(ABS($G387)*2*IF(AND($BE387&gt;0,ISNUMBER(INDEX(Instruments!$G$6:$G$205,MAX(1,$BE387)))),INDEX(Instruments!$G$6:$G$205,MAX(1,$BE387)),N(INDEX(Settings!$F$14:$F$18,$BF387))),6))))</f>
        <v/>
      </c>
      <c r="AK387" s="55" t="str">
        <f>IF($AM387=0,"",IF(ISNUMBER($O387),$O387,$AI387))</f>
        <v/>
      </c>
      <c r="AL387" s="55" t="str">
        <f>IF($AM387=0,"",IF(ISNUMBER($P387),$P387,N($AJ387)))</f>
        <v/>
      </c>
      <c r="AM387" s="56">
        <f>IF(AND($A387&lt;&gt;"",$E387&lt;&gt;"",OR(AND(ISNUMBER($G387),ISNUMBER($H387),ISNUMBER($K387)),ISNUMBER($O387))),1,0)</f>
        <v>0</v>
      </c>
      <c r="AN387" s="57" t="str">
        <f>IF($A387="","",$A387-WEEKDAY($A387,3))</f>
        <v/>
      </c>
      <c r="AO387" s="56" t="str">
        <f>IF($A387="","",WEEKDAY($A387,2))</f>
        <v/>
      </c>
      <c r="AP387" s="55" t="str">
        <f>IF(OR($AM387=0,$C387=""),"",IFERROR(N(INDEX(Accounts!$E$7:$E$16,MATCH($C387,Accounts!$B$7:$B$16,0))),0)+SUMIFS($Q$6:$Q387,$C$6:$C387,$C387))</f>
        <v/>
      </c>
      <c r="AQ387" s="55" t="str">
        <f>IF(OR($AM387=0,$C387=""),"",SUMIFS($Q$6:$Q$1005,$C$6:$C$1005,$C387,$A$6:$A$1005,$A387))</f>
        <v/>
      </c>
      <c r="AR387" s="55" t="str">
        <f>IF(OR($AM387=0,$C387=""),"",IFERROR(N(INDEX(Accounts!$E$7:$E$16,MATCH($C387,Accounts!$B$7:$B$16,0))),0)+SUMIFS($Q$6:$Q$1005,$C$6:$C$1005,$C387,$A$6:$A$1005,"&lt;="&amp;$A387))</f>
        <v/>
      </c>
      <c r="AS387" s="56">
        <f>IF(OR($AM387=0,$Q387=""),0,IF(AND($A387&gt;=Lists!$W$6,$A387&lt;=Lists!$W$7,OR(Dashboard!$D$6="All accounts",$C387=Dashboard!$D$6),OR(Dashboard!$D$7="All markets",$AF387=Dashboard!$D$7)),1,0))</f>
        <v>0</v>
      </c>
      <c r="AT387" s="55">
        <f>IF($AS387=1,N(AT386)+$Q387,N(AT386))</f>
        <v>1187.10688</v>
      </c>
      <c r="AU387" s="55">
        <f>MAX(N(AU386),$AT387)</f>
        <v>1187.10688</v>
      </c>
      <c r="AV387" s="55">
        <f>$AT387-$AU387</f>
        <v>0</v>
      </c>
      <c r="AW387" s="56">
        <f>IF($AS387=1,IF($S387="Win",N(AW386)+1,IF($S387="Loss",0,N(AW386))),N(AW386))</f>
        <v>5</v>
      </c>
      <c r="AX387" s="56">
        <f>IF($AS387=1,IF($S387="Loss",N(AX386)+1,IF($S387="Win",0,N(AX386))),N(AX386))</f>
        <v>0</v>
      </c>
      <c r="AY387" s="56" t="str">
        <f>IF($AS387=1,COUNTIF($AS$6:$AS387,1),"")</f>
        <v/>
      </c>
      <c r="AZ387" s="56">
        <f>MIN(381,N(Lists!$W$8))</f>
        <v>28</v>
      </c>
      <c r="BA387" s="56">
        <f>IF($AS387=1,IF(COUNTIFS($A$6:$A387,$A387,$AS$6:$AS387,1)=1,1,0),0)</f>
        <v>0</v>
      </c>
      <c r="BB387" s="55" t="str">
        <f>IF($BA387=1,SUMIFS($Q$6:$Q$1005,$A$6:$A$1005,$A387,$AS$6:$AS$1005,1),"")</f>
        <v/>
      </c>
      <c r="BC387" s="56">
        <f>IF(ISNUMBER($R387),1,0)</f>
        <v>0</v>
      </c>
      <c r="BD387" s="55" t="str">
        <f>IF(ISNUMBER($U387),$U387*$V387,"")</f>
        <v/>
      </c>
      <c r="BE387" s="56" t="str">
        <f>IF($AM387=0,"",IFERROR(MATCH($AF387&amp;"|"&amp;UPPER(TRIM($E387)),Lists!$A$6:$A$205,0),0))</f>
        <v/>
      </c>
      <c r="BF387" s="56" t="str">
        <f>IF($AM387=0,"",IFERROR(MATCH($AF387,Settings!$B$14:$B$18,0),IFERROR(MATCH(Settings!$C$6,Settings!$B$14:$B$18,0),1)))</f>
        <v/>
      </c>
      <c r="BG387" s="58" t="str">
        <f>IF($AM387=0,"",IF(NOT(ISNUMBER($I387)),"No stop; ","")&amp;IF(AND(ISNUMBER($H387),ISNUMBER($I387)),IF(OR(AND($F387&lt;&gt;"Short",$I387&gt;=$H387),AND($F387="Short",$I387&lt;=$H387)),"Stop on wrong side; ",""),"")&amp;IF($F387="","No direction; ","")&amp;IF(AND(ISNUMBER(Settings!$C$22),ISNUMBER($V387)),IF($V387&gt;Settings!$C$22,"Risk over max $; ",""),"")&amp;IF(AND(ISNUMBER(Settings!$C$23),ISNUMBER($V387),ISNUMBER($AP387),IFERROR(N(INDEX(Accounts!$E$7:$E$16,MATCH($C387,Accounts!$B$7:$B$16,0))),0)&gt;0),IF($V387&gt;Settings!$C$23*($AP387-N($Q387)),"Risk over max %; ",""),"")&amp;IF(AND(ISNUMBER(Settings!$C$24),ISNUMBER($N387)),IF($N387&gt;Settings!$C$24,"Leverage over max; ",""),"")&amp;IF(AND(ISNUMBER(Settings!$C$27),ISNUMBER($T387)),IF($T387&lt;Settings!$C$27,"R:R below min; ",""),"")&amp;IF(ISNUMBER(Settings!$C$25),IF(COUNTIFS($A$6:$A387,$A387,$AM$6:$AM387,1)&gt;Settings!$C$25,"Over max trades/day; ",""),"")&amp;IF(ISNUMBER(Settings!$C$26),IF(SUMIFS($Q$5:$Q386,$A$5:$A386,$A387)&lt;=-Settings!$C$26,"Traded after daily max loss; ",""),"")&amp;IF(AND($AG387="",NOT(ISNUMBER($O387))),"Symbol not in Instruments; ","")&amp;IF(AND($AH387="",NOT(ISNUMBER($O387))),"Forex cross: type Gross P&amp;L; ",""))</f>
        <v/>
      </c>
      <c r="BH387" s="56">
        <f>IF(ISNUMBER($Q387),1,0)</f>
        <v>0</v>
      </c>
      <c r="BI387" s="56">
        <f>IF($Y387="",0,1)</f>
        <v>0</v>
      </c>
      <c r="BJ387" s="56">
        <f>IF($AB387="",0,1)</f>
        <v>0</v>
      </c>
      <c r="BK387" s="56">
        <f>IF(AND($BH387=1,$W387&lt;&gt;"OK"),1,0)</f>
        <v>0</v>
      </c>
      <c r="BL387" s="55">
        <f>IF(N($AZ387)=0,0,IFERROR(INDEX($AT$6:$AT$1005,MATCH($AZ387,$AY$6:$AY$1005,0)),0))</f>
        <v>1187.10688</v>
      </c>
      <c r="BM387" s="56">
        <f>IF(ISNUMBER(SEARCH("daily max loss",$BG387)),1,0)</f>
        <v>0</v>
      </c>
    </row>
    <row r="388" ht="18" customHeight="1">
      <c r="A388" s="38" t="n"/>
      <c r="B388" s="39" t="n"/>
      <c r="C388" s="40" t="n"/>
      <c r="D388" s="41" t="n"/>
      <c r="E388" s="41" t="n"/>
      <c r="F388" s="41" t="n"/>
      <c r="G388" s="41" t="n"/>
      <c r="H388" s="42" t="n"/>
      <c r="I388" s="42" t="n"/>
      <c r="J388" s="42" t="n"/>
      <c r="K388" s="42" t="n"/>
      <c r="L388" s="41" t="n"/>
      <c r="M388" s="41" t="n"/>
      <c r="N388" s="41" t="n"/>
      <c r="O388" s="43" t="n"/>
      <c r="P388" s="43" t="n"/>
      <c r="Q388" s="44" t="str">
        <f>IF($AM388=0,"",IF(ISNUMBER($AK388),$AK388-N($AL388),""))</f>
        <v/>
      </c>
      <c r="R388" s="45" t="str">
        <f>IF(OR($Q388="",NOT(ISNUMBER($V388))),"",$AK388/$V388)</f>
        <v/>
      </c>
      <c r="S388" s="46" t="str">
        <f>IF($Q388="","",IF(AND(ISNUMBER($R388),ABS(N($R388))&lt;N(Settings!$C$8)),"Scratch",IF($Q388&gt;0,"Win",IF($Q388&lt;0,"Loss","Scratch"))))</f>
        <v/>
      </c>
      <c r="T388" s="47" t="str">
        <f>IF(OR($AM388=0,NOT(ISNUMBER($H388)),NOT(ISNUMBER($I388)),NOT(ISNUMBER($J388))),"",IF($H388=$I388,"",ROUND(ABS($J388-$H388)/ABS($H388-$I388),6)))</f>
        <v/>
      </c>
      <c r="U388" s="48" t="str">
        <f>IF(OR($S388&lt;&gt;"Win",NOT(ISNUMBER($T388)),NOT(ISNUMBER($R388))),"",MAX(0,$T388-$R388))</f>
        <v/>
      </c>
      <c r="V388" s="49" t="str">
        <f>IF(OR($AM388=0,NOT(ISNUMBER($H388)),NOT(ISNUMBER($I388)),NOT(ISNUMBER($G388))),"",IF(OR($AG388="",$AH388=""),"",IF(ROUND(ABS($H388-$I388)*ABS($G388)*$AG388*$AH388,6)=0,"",ROUND(ABS($H388-$I388)*ABS($G388)*$AG388*$AH388,6))))</f>
        <v/>
      </c>
      <c r="W388" s="50" t="str">
        <f>IF($AM388=0,"",IF($BG388="","OK",LEFT($BG388,LEN($BG388)-2)))</f>
        <v/>
      </c>
      <c r="X388" s="41" t="n"/>
      <c r="Y388" s="40" t="n"/>
      <c r="Z388" s="41" t="n"/>
      <c r="AA388" s="41" t="n"/>
      <c r="AB388" s="40" t="n"/>
      <c r="AC388" s="51" t="n"/>
      <c r="AD388" s="51" t="n"/>
      <c r="AE388" s="40" t="n"/>
      <c r="AF388" s="52" t="str">
        <f>IF($AM388=0,"",IF($D388&lt;&gt;"",$D388,IF(IFERROR(INDEX(Accounts!$C$7:$C$16,MATCH($C388,Accounts!$B$7:$B$16,0))&amp;"","")&lt;&gt;"",INDEX(Accounts!$C$7:$C$16,MATCH($C388,Accounts!$B$7:$B$16,0)),Settings!$C$6)))</f>
        <v/>
      </c>
      <c r="AG388" s="53" t="str">
        <f>IF($AM388=0,"",IF(AND($BE388&gt;0,N(INDEX(Instruments!$D$6:$D$205,MAX(1,$BE388)))&gt;0),INDEX(Instruments!$D$6:$D$205,MAX(1,$BE388)),IF(N(INDEX(Settings!$D$14:$D$18,$BF388))&gt;0,INDEX(Settings!$D$14:$D$18,$BF388),"")))</f>
        <v/>
      </c>
      <c r="AH388" s="54" t="str">
        <f>IF($AM388=0,"",IF($AF388&lt;&gt;"Forex",1,IF(MID(UPPER(SUBSTITUTE(TRIM($E388),"/","")),4,3)=UPPER(TRIM(Settings!$C$7)),1,IF(LEFT(UPPER(SUBSTITUTE(TRIM($E388),"/","")),3)=UPPER(TRIM(Settings!$C$7)),IF(AND(ISNUMBER($K388),N($K388)&lt;&gt;0),1/$K388,""),""))))</f>
        <v/>
      </c>
      <c r="AI388" s="55" t="str">
        <f>IF($AM388=0,"",IF(OR(NOT(ISNUMBER($H388)),NOT(ISNUMBER($K388)),NOT(ISNUMBER($G388)),$AG388="",$AH388=""),"",ROUND(($K388-$H388)*IF($F388="Short",-1,1)*$G388*$AG388*$AH388,6)))</f>
        <v/>
      </c>
      <c r="AJ388" s="55" t="str">
        <f>IF($AM388=0,"",IF(INDEX(Settings!$E$14:$E$18,$BF388)="% of notional",IF(OR($AG388="",NOT(ISNUMBER($H388)),NOT(ISNUMBER($G388))),"",ROUND(ABS($H388*$G388*$AG388*N($AH388))*IF($L388="Limit",N(INDEX(Settings!$G$14:$G$18,$BF388)),N(INDEX(Settings!$H$14:$H$18,$BF388)))+IF(ISNUMBER($K388),ABS($K388*$G388*$AG388*N($AH388))*IF($M388="Target",N(INDEX(Settings!$G$14:$G$18,$BF388)),N(INDEX(Settings!$H$14:$H$18,$BF388))),0),6)),IF(NOT(ISNUMBER($G388)),"",ROUND(ABS($G388)*2*IF(AND($BE388&gt;0,ISNUMBER(INDEX(Instruments!$G$6:$G$205,MAX(1,$BE388)))),INDEX(Instruments!$G$6:$G$205,MAX(1,$BE388)),N(INDEX(Settings!$F$14:$F$18,$BF388))),6))))</f>
        <v/>
      </c>
      <c r="AK388" s="55" t="str">
        <f>IF($AM388=0,"",IF(ISNUMBER($O388),$O388,$AI388))</f>
        <v/>
      </c>
      <c r="AL388" s="55" t="str">
        <f>IF($AM388=0,"",IF(ISNUMBER($P388),$P388,N($AJ388)))</f>
        <v/>
      </c>
      <c r="AM388" s="56">
        <f>IF(AND($A388&lt;&gt;"",$E388&lt;&gt;"",OR(AND(ISNUMBER($G388),ISNUMBER($H388),ISNUMBER($K388)),ISNUMBER($O388))),1,0)</f>
        <v>0</v>
      </c>
      <c r="AN388" s="57" t="str">
        <f>IF($A388="","",$A388-WEEKDAY($A388,3))</f>
        <v/>
      </c>
      <c r="AO388" s="56" t="str">
        <f>IF($A388="","",WEEKDAY($A388,2))</f>
        <v/>
      </c>
      <c r="AP388" s="55" t="str">
        <f>IF(OR($AM388=0,$C388=""),"",IFERROR(N(INDEX(Accounts!$E$7:$E$16,MATCH($C388,Accounts!$B$7:$B$16,0))),0)+SUMIFS($Q$6:$Q388,$C$6:$C388,$C388))</f>
        <v/>
      </c>
      <c r="AQ388" s="55" t="str">
        <f>IF(OR($AM388=0,$C388=""),"",SUMIFS($Q$6:$Q$1005,$C$6:$C$1005,$C388,$A$6:$A$1005,$A388))</f>
        <v/>
      </c>
      <c r="AR388" s="55" t="str">
        <f>IF(OR($AM388=0,$C388=""),"",IFERROR(N(INDEX(Accounts!$E$7:$E$16,MATCH($C388,Accounts!$B$7:$B$16,0))),0)+SUMIFS($Q$6:$Q$1005,$C$6:$C$1005,$C388,$A$6:$A$1005,"&lt;="&amp;$A388))</f>
        <v/>
      </c>
      <c r="AS388" s="56">
        <f>IF(OR($AM388=0,$Q388=""),0,IF(AND($A388&gt;=Lists!$W$6,$A388&lt;=Lists!$W$7,OR(Dashboard!$D$6="All accounts",$C388=Dashboard!$D$6),OR(Dashboard!$D$7="All markets",$AF388=Dashboard!$D$7)),1,0))</f>
        <v>0</v>
      </c>
      <c r="AT388" s="55">
        <f>IF($AS388=1,N(AT387)+$Q388,N(AT387))</f>
        <v>1187.10688</v>
      </c>
      <c r="AU388" s="55">
        <f>MAX(N(AU387),$AT388)</f>
        <v>1187.10688</v>
      </c>
      <c r="AV388" s="55">
        <f>$AT388-$AU388</f>
        <v>0</v>
      </c>
      <c r="AW388" s="56">
        <f>IF($AS388=1,IF($S388="Win",N(AW387)+1,IF($S388="Loss",0,N(AW387))),N(AW387))</f>
        <v>5</v>
      </c>
      <c r="AX388" s="56">
        <f>IF($AS388=1,IF($S388="Loss",N(AX387)+1,IF($S388="Win",0,N(AX387))),N(AX387))</f>
        <v>0</v>
      </c>
      <c r="AY388" s="56" t="str">
        <f>IF($AS388=1,COUNTIF($AS$6:$AS388,1),"")</f>
        <v/>
      </c>
      <c r="AZ388" s="56">
        <f>MIN(382,N(Lists!$W$8))</f>
        <v>28</v>
      </c>
      <c r="BA388" s="56">
        <f>IF($AS388=1,IF(COUNTIFS($A$6:$A388,$A388,$AS$6:$AS388,1)=1,1,0),0)</f>
        <v>0</v>
      </c>
      <c r="BB388" s="55" t="str">
        <f>IF($BA388=1,SUMIFS($Q$6:$Q$1005,$A$6:$A$1005,$A388,$AS$6:$AS$1005,1),"")</f>
        <v/>
      </c>
      <c r="BC388" s="56">
        <f>IF(ISNUMBER($R388),1,0)</f>
        <v>0</v>
      </c>
      <c r="BD388" s="55" t="str">
        <f>IF(ISNUMBER($U388),$U388*$V388,"")</f>
        <v/>
      </c>
      <c r="BE388" s="56" t="str">
        <f>IF($AM388=0,"",IFERROR(MATCH($AF388&amp;"|"&amp;UPPER(TRIM($E388)),Lists!$A$6:$A$205,0),0))</f>
        <v/>
      </c>
      <c r="BF388" s="56" t="str">
        <f>IF($AM388=0,"",IFERROR(MATCH($AF388,Settings!$B$14:$B$18,0),IFERROR(MATCH(Settings!$C$6,Settings!$B$14:$B$18,0),1)))</f>
        <v/>
      </c>
      <c r="BG388" s="58" t="str">
        <f>IF($AM388=0,"",IF(NOT(ISNUMBER($I388)),"No stop; ","")&amp;IF(AND(ISNUMBER($H388),ISNUMBER($I388)),IF(OR(AND($F388&lt;&gt;"Short",$I388&gt;=$H388),AND($F388="Short",$I388&lt;=$H388)),"Stop on wrong side; ",""),"")&amp;IF($F388="","No direction; ","")&amp;IF(AND(ISNUMBER(Settings!$C$22),ISNUMBER($V388)),IF($V388&gt;Settings!$C$22,"Risk over max $; ",""),"")&amp;IF(AND(ISNUMBER(Settings!$C$23),ISNUMBER($V388),ISNUMBER($AP388),IFERROR(N(INDEX(Accounts!$E$7:$E$16,MATCH($C388,Accounts!$B$7:$B$16,0))),0)&gt;0),IF($V388&gt;Settings!$C$23*($AP388-N($Q388)),"Risk over max %; ",""),"")&amp;IF(AND(ISNUMBER(Settings!$C$24),ISNUMBER($N388)),IF($N388&gt;Settings!$C$24,"Leverage over max; ",""),"")&amp;IF(AND(ISNUMBER(Settings!$C$27),ISNUMBER($T388)),IF($T388&lt;Settings!$C$27,"R:R below min; ",""),"")&amp;IF(ISNUMBER(Settings!$C$25),IF(COUNTIFS($A$6:$A388,$A388,$AM$6:$AM388,1)&gt;Settings!$C$25,"Over max trades/day; ",""),"")&amp;IF(ISNUMBER(Settings!$C$26),IF(SUMIFS($Q$5:$Q387,$A$5:$A387,$A388)&lt;=-Settings!$C$26,"Traded after daily max loss; ",""),"")&amp;IF(AND($AG388="",NOT(ISNUMBER($O388))),"Symbol not in Instruments; ","")&amp;IF(AND($AH388="",NOT(ISNUMBER($O388))),"Forex cross: type Gross P&amp;L; ",""))</f>
        <v/>
      </c>
      <c r="BH388" s="56">
        <f>IF(ISNUMBER($Q388),1,0)</f>
        <v>0</v>
      </c>
      <c r="BI388" s="56">
        <f>IF($Y388="",0,1)</f>
        <v>0</v>
      </c>
      <c r="BJ388" s="56">
        <f>IF($AB388="",0,1)</f>
        <v>0</v>
      </c>
      <c r="BK388" s="56">
        <f>IF(AND($BH388=1,$W388&lt;&gt;"OK"),1,0)</f>
        <v>0</v>
      </c>
      <c r="BL388" s="55">
        <f>IF(N($AZ388)=0,0,IFERROR(INDEX($AT$6:$AT$1005,MATCH($AZ388,$AY$6:$AY$1005,0)),0))</f>
        <v>1187.10688</v>
      </c>
      <c r="BM388" s="56">
        <f>IF(ISNUMBER(SEARCH("daily max loss",$BG388)),1,0)</f>
        <v>0</v>
      </c>
    </row>
    <row r="389" ht="18" customHeight="1">
      <c r="A389" s="38" t="n"/>
      <c r="B389" s="39" t="n"/>
      <c r="C389" s="40" t="n"/>
      <c r="D389" s="41" t="n"/>
      <c r="E389" s="41" t="n"/>
      <c r="F389" s="41" t="n"/>
      <c r="G389" s="41" t="n"/>
      <c r="H389" s="42" t="n"/>
      <c r="I389" s="42" t="n"/>
      <c r="J389" s="42" t="n"/>
      <c r="K389" s="42" t="n"/>
      <c r="L389" s="41" t="n"/>
      <c r="M389" s="41" t="n"/>
      <c r="N389" s="41" t="n"/>
      <c r="O389" s="43" t="n"/>
      <c r="P389" s="43" t="n"/>
      <c r="Q389" s="44" t="str">
        <f>IF($AM389=0,"",IF(ISNUMBER($AK389),$AK389-N($AL389),""))</f>
        <v/>
      </c>
      <c r="R389" s="45" t="str">
        <f>IF(OR($Q389="",NOT(ISNUMBER($V389))),"",$AK389/$V389)</f>
        <v/>
      </c>
      <c r="S389" s="46" t="str">
        <f>IF($Q389="","",IF(AND(ISNUMBER($R389),ABS(N($R389))&lt;N(Settings!$C$8)),"Scratch",IF($Q389&gt;0,"Win",IF($Q389&lt;0,"Loss","Scratch"))))</f>
        <v/>
      </c>
      <c r="T389" s="47" t="str">
        <f>IF(OR($AM389=0,NOT(ISNUMBER($H389)),NOT(ISNUMBER($I389)),NOT(ISNUMBER($J389))),"",IF($H389=$I389,"",ROUND(ABS($J389-$H389)/ABS($H389-$I389),6)))</f>
        <v/>
      </c>
      <c r="U389" s="48" t="str">
        <f>IF(OR($S389&lt;&gt;"Win",NOT(ISNUMBER($T389)),NOT(ISNUMBER($R389))),"",MAX(0,$T389-$R389))</f>
        <v/>
      </c>
      <c r="V389" s="49" t="str">
        <f>IF(OR($AM389=0,NOT(ISNUMBER($H389)),NOT(ISNUMBER($I389)),NOT(ISNUMBER($G389))),"",IF(OR($AG389="",$AH389=""),"",IF(ROUND(ABS($H389-$I389)*ABS($G389)*$AG389*$AH389,6)=0,"",ROUND(ABS($H389-$I389)*ABS($G389)*$AG389*$AH389,6))))</f>
        <v/>
      </c>
      <c r="W389" s="50" t="str">
        <f>IF($AM389=0,"",IF($BG389="","OK",LEFT($BG389,LEN($BG389)-2)))</f>
        <v/>
      </c>
      <c r="X389" s="41" t="n"/>
      <c r="Y389" s="40" t="n"/>
      <c r="Z389" s="41" t="n"/>
      <c r="AA389" s="41" t="n"/>
      <c r="AB389" s="40" t="n"/>
      <c r="AC389" s="51" t="n"/>
      <c r="AD389" s="51" t="n"/>
      <c r="AE389" s="40" t="n"/>
      <c r="AF389" s="52" t="str">
        <f>IF($AM389=0,"",IF($D389&lt;&gt;"",$D389,IF(IFERROR(INDEX(Accounts!$C$7:$C$16,MATCH($C389,Accounts!$B$7:$B$16,0))&amp;"","")&lt;&gt;"",INDEX(Accounts!$C$7:$C$16,MATCH($C389,Accounts!$B$7:$B$16,0)),Settings!$C$6)))</f>
        <v/>
      </c>
      <c r="AG389" s="53" t="str">
        <f>IF($AM389=0,"",IF(AND($BE389&gt;0,N(INDEX(Instruments!$D$6:$D$205,MAX(1,$BE389)))&gt;0),INDEX(Instruments!$D$6:$D$205,MAX(1,$BE389)),IF(N(INDEX(Settings!$D$14:$D$18,$BF389))&gt;0,INDEX(Settings!$D$14:$D$18,$BF389),"")))</f>
        <v/>
      </c>
      <c r="AH389" s="54" t="str">
        <f>IF($AM389=0,"",IF($AF389&lt;&gt;"Forex",1,IF(MID(UPPER(SUBSTITUTE(TRIM($E389),"/","")),4,3)=UPPER(TRIM(Settings!$C$7)),1,IF(LEFT(UPPER(SUBSTITUTE(TRIM($E389),"/","")),3)=UPPER(TRIM(Settings!$C$7)),IF(AND(ISNUMBER($K389),N($K389)&lt;&gt;0),1/$K389,""),""))))</f>
        <v/>
      </c>
      <c r="AI389" s="55" t="str">
        <f>IF($AM389=0,"",IF(OR(NOT(ISNUMBER($H389)),NOT(ISNUMBER($K389)),NOT(ISNUMBER($G389)),$AG389="",$AH389=""),"",ROUND(($K389-$H389)*IF($F389="Short",-1,1)*$G389*$AG389*$AH389,6)))</f>
        <v/>
      </c>
      <c r="AJ389" s="55" t="str">
        <f>IF($AM389=0,"",IF(INDEX(Settings!$E$14:$E$18,$BF389)="% of notional",IF(OR($AG389="",NOT(ISNUMBER($H389)),NOT(ISNUMBER($G389))),"",ROUND(ABS($H389*$G389*$AG389*N($AH389))*IF($L389="Limit",N(INDEX(Settings!$G$14:$G$18,$BF389)),N(INDEX(Settings!$H$14:$H$18,$BF389)))+IF(ISNUMBER($K389),ABS($K389*$G389*$AG389*N($AH389))*IF($M389="Target",N(INDEX(Settings!$G$14:$G$18,$BF389)),N(INDEX(Settings!$H$14:$H$18,$BF389))),0),6)),IF(NOT(ISNUMBER($G389)),"",ROUND(ABS($G389)*2*IF(AND($BE389&gt;0,ISNUMBER(INDEX(Instruments!$G$6:$G$205,MAX(1,$BE389)))),INDEX(Instruments!$G$6:$G$205,MAX(1,$BE389)),N(INDEX(Settings!$F$14:$F$18,$BF389))),6))))</f>
        <v/>
      </c>
      <c r="AK389" s="55" t="str">
        <f>IF($AM389=0,"",IF(ISNUMBER($O389),$O389,$AI389))</f>
        <v/>
      </c>
      <c r="AL389" s="55" t="str">
        <f>IF($AM389=0,"",IF(ISNUMBER($P389),$P389,N($AJ389)))</f>
        <v/>
      </c>
      <c r="AM389" s="56">
        <f>IF(AND($A389&lt;&gt;"",$E389&lt;&gt;"",OR(AND(ISNUMBER($G389),ISNUMBER($H389),ISNUMBER($K389)),ISNUMBER($O389))),1,0)</f>
        <v>0</v>
      </c>
      <c r="AN389" s="57" t="str">
        <f>IF($A389="","",$A389-WEEKDAY($A389,3))</f>
        <v/>
      </c>
      <c r="AO389" s="56" t="str">
        <f>IF($A389="","",WEEKDAY($A389,2))</f>
        <v/>
      </c>
      <c r="AP389" s="55" t="str">
        <f>IF(OR($AM389=0,$C389=""),"",IFERROR(N(INDEX(Accounts!$E$7:$E$16,MATCH($C389,Accounts!$B$7:$B$16,0))),0)+SUMIFS($Q$6:$Q389,$C$6:$C389,$C389))</f>
        <v/>
      </c>
      <c r="AQ389" s="55" t="str">
        <f>IF(OR($AM389=0,$C389=""),"",SUMIFS($Q$6:$Q$1005,$C$6:$C$1005,$C389,$A$6:$A$1005,$A389))</f>
        <v/>
      </c>
      <c r="AR389" s="55" t="str">
        <f>IF(OR($AM389=0,$C389=""),"",IFERROR(N(INDEX(Accounts!$E$7:$E$16,MATCH($C389,Accounts!$B$7:$B$16,0))),0)+SUMIFS($Q$6:$Q$1005,$C$6:$C$1005,$C389,$A$6:$A$1005,"&lt;="&amp;$A389))</f>
        <v/>
      </c>
      <c r="AS389" s="56">
        <f>IF(OR($AM389=0,$Q389=""),0,IF(AND($A389&gt;=Lists!$W$6,$A389&lt;=Lists!$W$7,OR(Dashboard!$D$6="All accounts",$C389=Dashboard!$D$6),OR(Dashboard!$D$7="All markets",$AF389=Dashboard!$D$7)),1,0))</f>
        <v>0</v>
      </c>
      <c r="AT389" s="55">
        <f>IF($AS389=1,N(AT388)+$Q389,N(AT388))</f>
        <v>1187.10688</v>
      </c>
      <c r="AU389" s="55">
        <f>MAX(N(AU388),$AT389)</f>
        <v>1187.10688</v>
      </c>
      <c r="AV389" s="55">
        <f>$AT389-$AU389</f>
        <v>0</v>
      </c>
      <c r="AW389" s="56">
        <f>IF($AS389=1,IF($S389="Win",N(AW388)+1,IF($S389="Loss",0,N(AW388))),N(AW388))</f>
        <v>5</v>
      </c>
      <c r="AX389" s="56">
        <f>IF($AS389=1,IF($S389="Loss",N(AX388)+1,IF($S389="Win",0,N(AX388))),N(AX388))</f>
        <v>0</v>
      </c>
      <c r="AY389" s="56" t="str">
        <f>IF($AS389=1,COUNTIF($AS$6:$AS389,1),"")</f>
        <v/>
      </c>
      <c r="AZ389" s="56">
        <f>MIN(383,N(Lists!$W$8))</f>
        <v>28</v>
      </c>
      <c r="BA389" s="56">
        <f>IF($AS389=1,IF(COUNTIFS($A$6:$A389,$A389,$AS$6:$AS389,1)=1,1,0),0)</f>
        <v>0</v>
      </c>
      <c r="BB389" s="55" t="str">
        <f>IF($BA389=1,SUMIFS($Q$6:$Q$1005,$A$6:$A$1005,$A389,$AS$6:$AS$1005,1),"")</f>
        <v/>
      </c>
      <c r="BC389" s="56">
        <f>IF(ISNUMBER($R389),1,0)</f>
        <v>0</v>
      </c>
      <c r="BD389" s="55" t="str">
        <f>IF(ISNUMBER($U389),$U389*$V389,"")</f>
        <v/>
      </c>
      <c r="BE389" s="56" t="str">
        <f>IF($AM389=0,"",IFERROR(MATCH($AF389&amp;"|"&amp;UPPER(TRIM($E389)),Lists!$A$6:$A$205,0),0))</f>
        <v/>
      </c>
      <c r="BF389" s="56" t="str">
        <f>IF($AM389=0,"",IFERROR(MATCH($AF389,Settings!$B$14:$B$18,0),IFERROR(MATCH(Settings!$C$6,Settings!$B$14:$B$18,0),1)))</f>
        <v/>
      </c>
      <c r="BG389" s="58" t="str">
        <f>IF($AM389=0,"",IF(NOT(ISNUMBER($I389)),"No stop; ","")&amp;IF(AND(ISNUMBER($H389),ISNUMBER($I389)),IF(OR(AND($F389&lt;&gt;"Short",$I389&gt;=$H389),AND($F389="Short",$I389&lt;=$H389)),"Stop on wrong side; ",""),"")&amp;IF($F389="","No direction; ","")&amp;IF(AND(ISNUMBER(Settings!$C$22),ISNUMBER($V389)),IF($V389&gt;Settings!$C$22,"Risk over max $; ",""),"")&amp;IF(AND(ISNUMBER(Settings!$C$23),ISNUMBER($V389),ISNUMBER($AP389),IFERROR(N(INDEX(Accounts!$E$7:$E$16,MATCH($C389,Accounts!$B$7:$B$16,0))),0)&gt;0),IF($V389&gt;Settings!$C$23*($AP389-N($Q389)),"Risk over max %; ",""),"")&amp;IF(AND(ISNUMBER(Settings!$C$24),ISNUMBER($N389)),IF($N389&gt;Settings!$C$24,"Leverage over max; ",""),"")&amp;IF(AND(ISNUMBER(Settings!$C$27),ISNUMBER($T389)),IF($T389&lt;Settings!$C$27,"R:R below min; ",""),"")&amp;IF(ISNUMBER(Settings!$C$25),IF(COUNTIFS($A$6:$A389,$A389,$AM$6:$AM389,1)&gt;Settings!$C$25,"Over max trades/day; ",""),"")&amp;IF(ISNUMBER(Settings!$C$26),IF(SUMIFS($Q$5:$Q388,$A$5:$A388,$A389)&lt;=-Settings!$C$26,"Traded after daily max loss; ",""),"")&amp;IF(AND($AG389="",NOT(ISNUMBER($O389))),"Symbol not in Instruments; ","")&amp;IF(AND($AH389="",NOT(ISNUMBER($O389))),"Forex cross: type Gross P&amp;L; ",""))</f>
        <v/>
      </c>
      <c r="BH389" s="56">
        <f>IF(ISNUMBER($Q389),1,0)</f>
        <v>0</v>
      </c>
      <c r="BI389" s="56">
        <f>IF($Y389="",0,1)</f>
        <v>0</v>
      </c>
      <c r="BJ389" s="56">
        <f>IF($AB389="",0,1)</f>
        <v>0</v>
      </c>
      <c r="BK389" s="56">
        <f>IF(AND($BH389=1,$W389&lt;&gt;"OK"),1,0)</f>
        <v>0</v>
      </c>
      <c r="BL389" s="55">
        <f>IF(N($AZ389)=0,0,IFERROR(INDEX($AT$6:$AT$1005,MATCH($AZ389,$AY$6:$AY$1005,0)),0))</f>
        <v>1187.10688</v>
      </c>
      <c r="BM389" s="56">
        <f>IF(ISNUMBER(SEARCH("daily max loss",$BG389)),1,0)</f>
        <v>0</v>
      </c>
    </row>
    <row r="390" ht="18" customHeight="1">
      <c r="A390" s="38" t="n"/>
      <c r="B390" s="39" t="n"/>
      <c r="C390" s="40" t="n"/>
      <c r="D390" s="41" t="n"/>
      <c r="E390" s="41" t="n"/>
      <c r="F390" s="41" t="n"/>
      <c r="G390" s="41" t="n"/>
      <c r="H390" s="42" t="n"/>
      <c r="I390" s="42" t="n"/>
      <c r="J390" s="42" t="n"/>
      <c r="K390" s="42" t="n"/>
      <c r="L390" s="41" t="n"/>
      <c r="M390" s="41" t="n"/>
      <c r="N390" s="41" t="n"/>
      <c r="O390" s="43" t="n"/>
      <c r="P390" s="43" t="n"/>
      <c r="Q390" s="44" t="str">
        <f>IF($AM390=0,"",IF(ISNUMBER($AK390),$AK390-N($AL390),""))</f>
        <v/>
      </c>
      <c r="R390" s="45" t="str">
        <f>IF(OR($Q390="",NOT(ISNUMBER($V390))),"",$AK390/$V390)</f>
        <v/>
      </c>
      <c r="S390" s="46" t="str">
        <f>IF($Q390="","",IF(AND(ISNUMBER($R390),ABS(N($R390))&lt;N(Settings!$C$8)),"Scratch",IF($Q390&gt;0,"Win",IF($Q390&lt;0,"Loss","Scratch"))))</f>
        <v/>
      </c>
      <c r="T390" s="47" t="str">
        <f>IF(OR($AM390=0,NOT(ISNUMBER($H390)),NOT(ISNUMBER($I390)),NOT(ISNUMBER($J390))),"",IF($H390=$I390,"",ROUND(ABS($J390-$H390)/ABS($H390-$I390),6)))</f>
        <v/>
      </c>
      <c r="U390" s="48" t="str">
        <f>IF(OR($S390&lt;&gt;"Win",NOT(ISNUMBER($T390)),NOT(ISNUMBER($R390))),"",MAX(0,$T390-$R390))</f>
        <v/>
      </c>
      <c r="V390" s="49" t="str">
        <f>IF(OR($AM390=0,NOT(ISNUMBER($H390)),NOT(ISNUMBER($I390)),NOT(ISNUMBER($G390))),"",IF(OR($AG390="",$AH390=""),"",IF(ROUND(ABS($H390-$I390)*ABS($G390)*$AG390*$AH390,6)=0,"",ROUND(ABS($H390-$I390)*ABS($G390)*$AG390*$AH390,6))))</f>
        <v/>
      </c>
      <c r="W390" s="50" t="str">
        <f>IF($AM390=0,"",IF($BG390="","OK",LEFT($BG390,LEN($BG390)-2)))</f>
        <v/>
      </c>
      <c r="X390" s="41" t="n"/>
      <c r="Y390" s="40" t="n"/>
      <c r="Z390" s="41" t="n"/>
      <c r="AA390" s="41" t="n"/>
      <c r="AB390" s="40" t="n"/>
      <c r="AC390" s="51" t="n"/>
      <c r="AD390" s="51" t="n"/>
      <c r="AE390" s="40" t="n"/>
      <c r="AF390" s="52" t="str">
        <f>IF($AM390=0,"",IF($D390&lt;&gt;"",$D390,IF(IFERROR(INDEX(Accounts!$C$7:$C$16,MATCH($C390,Accounts!$B$7:$B$16,0))&amp;"","")&lt;&gt;"",INDEX(Accounts!$C$7:$C$16,MATCH($C390,Accounts!$B$7:$B$16,0)),Settings!$C$6)))</f>
        <v/>
      </c>
      <c r="AG390" s="53" t="str">
        <f>IF($AM390=0,"",IF(AND($BE390&gt;0,N(INDEX(Instruments!$D$6:$D$205,MAX(1,$BE390)))&gt;0),INDEX(Instruments!$D$6:$D$205,MAX(1,$BE390)),IF(N(INDEX(Settings!$D$14:$D$18,$BF390))&gt;0,INDEX(Settings!$D$14:$D$18,$BF390),"")))</f>
        <v/>
      </c>
      <c r="AH390" s="54" t="str">
        <f>IF($AM390=0,"",IF($AF390&lt;&gt;"Forex",1,IF(MID(UPPER(SUBSTITUTE(TRIM($E390),"/","")),4,3)=UPPER(TRIM(Settings!$C$7)),1,IF(LEFT(UPPER(SUBSTITUTE(TRIM($E390),"/","")),3)=UPPER(TRIM(Settings!$C$7)),IF(AND(ISNUMBER($K390),N($K390)&lt;&gt;0),1/$K390,""),""))))</f>
        <v/>
      </c>
      <c r="AI390" s="55" t="str">
        <f>IF($AM390=0,"",IF(OR(NOT(ISNUMBER($H390)),NOT(ISNUMBER($K390)),NOT(ISNUMBER($G390)),$AG390="",$AH390=""),"",ROUND(($K390-$H390)*IF($F390="Short",-1,1)*$G390*$AG390*$AH390,6)))</f>
        <v/>
      </c>
      <c r="AJ390" s="55" t="str">
        <f>IF($AM390=0,"",IF(INDEX(Settings!$E$14:$E$18,$BF390)="% of notional",IF(OR($AG390="",NOT(ISNUMBER($H390)),NOT(ISNUMBER($G390))),"",ROUND(ABS($H390*$G390*$AG390*N($AH390))*IF($L390="Limit",N(INDEX(Settings!$G$14:$G$18,$BF390)),N(INDEX(Settings!$H$14:$H$18,$BF390)))+IF(ISNUMBER($K390),ABS($K390*$G390*$AG390*N($AH390))*IF($M390="Target",N(INDEX(Settings!$G$14:$G$18,$BF390)),N(INDEX(Settings!$H$14:$H$18,$BF390))),0),6)),IF(NOT(ISNUMBER($G390)),"",ROUND(ABS($G390)*2*IF(AND($BE390&gt;0,ISNUMBER(INDEX(Instruments!$G$6:$G$205,MAX(1,$BE390)))),INDEX(Instruments!$G$6:$G$205,MAX(1,$BE390)),N(INDEX(Settings!$F$14:$F$18,$BF390))),6))))</f>
        <v/>
      </c>
      <c r="AK390" s="55" t="str">
        <f>IF($AM390=0,"",IF(ISNUMBER($O390),$O390,$AI390))</f>
        <v/>
      </c>
      <c r="AL390" s="55" t="str">
        <f>IF($AM390=0,"",IF(ISNUMBER($P390),$P390,N($AJ390)))</f>
        <v/>
      </c>
      <c r="AM390" s="56">
        <f>IF(AND($A390&lt;&gt;"",$E390&lt;&gt;"",OR(AND(ISNUMBER($G390),ISNUMBER($H390),ISNUMBER($K390)),ISNUMBER($O390))),1,0)</f>
        <v>0</v>
      </c>
      <c r="AN390" s="57" t="str">
        <f>IF($A390="","",$A390-WEEKDAY($A390,3))</f>
        <v/>
      </c>
      <c r="AO390" s="56" t="str">
        <f>IF($A390="","",WEEKDAY($A390,2))</f>
        <v/>
      </c>
      <c r="AP390" s="55" t="str">
        <f>IF(OR($AM390=0,$C390=""),"",IFERROR(N(INDEX(Accounts!$E$7:$E$16,MATCH($C390,Accounts!$B$7:$B$16,0))),0)+SUMIFS($Q$6:$Q390,$C$6:$C390,$C390))</f>
        <v/>
      </c>
      <c r="AQ390" s="55" t="str">
        <f>IF(OR($AM390=0,$C390=""),"",SUMIFS($Q$6:$Q$1005,$C$6:$C$1005,$C390,$A$6:$A$1005,$A390))</f>
        <v/>
      </c>
      <c r="AR390" s="55" t="str">
        <f>IF(OR($AM390=0,$C390=""),"",IFERROR(N(INDEX(Accounts!$E$7:$E$16,MATCH($C390,Accounts!$B$7:$B$16,0))),0)+SUMIFS($Q$6:$Q$1005,$C$6:$C$1005,$C390,$A$6:$A$1005,"&lt;="&amp;$A390))</f>
        <v/>
      </c>
      <c r="AS390" s="56">
        <f>IF(OR($AM390=0,$Q390=""),0,IF(AND($A390&gt;=Lists!$W$6,$A390&lt;=Lists!$W$7,OR(Dashboard!$D$6="All accounts",$C390=Dashboard!$D$6),OR(Dashboard!$D$7="All markets",$AF390=Dashboard!$D$7)),1,0))</f>
        <v>0</v>
      </c>
      <c r="AT390" s="55">
        <f>IF($AS390=1,N(AT389)+$Q390,N(AT389))</f>
        <v>1187.10688</v>
      </c>
      <c r="AU390" s="55">
        <f>MAX(N(AU389),$AT390)</f>
        <v>1187.10688</v>
      </c>
      <c r="AV390" s="55">
        <f>$AT390-$AU390</f>
        <v>0</v>
      </c>
      <c r="AW390" s="56">
        <f>IF($AS390=1,IF($S390="Win",N(AW389)+1,IF($S390="Loss",0,N(AW389))),N(AW389))</f>
        <v>5</v>
      </c>
      <c r="AX390" s="56">
        <f>IF($AS390=1,IF($S390="Loss",N(AX389)+1,IF($S390="Win",0,N(AX389))),N(AX389))</f>
        <v>0</v>
      </c>
      <c r="AY390" s="56" t="str">
        <f>IF($AS390=1,COUNTIF($AS$6:$AS390,1),"")</f>
        <v/>
      </c>
      <c r="AZ390" s="56">
        <f>MIN(384,N(Lists!$W$8))</f>
        <v>28</v>
      </c>
      <c r="BA390" s="56">
        <f>IF($AS390=1,IF(COUNTIFS($A$6:$A390,$A390,$AS$6:$AS390,1)=1,1,0),0)</f>
        <v>0</v>
      </c>
      <c r="BB390" s="55" t="str">
        <f>IF($BA390=1,SUMIFS($Q$6:$Q$1005,$A$6:$A$1005,$A390,$AS$6:$AS$1005,1),"")</f>
        <v/>
      </c>
      <c r="BC390" s="56">
        <f>IF(ISNUMBER($R390),1,0)</f>
        <v>0</v>
      </c>
      <c r="BD390" s="55" t="str">
        <f>IF(ISNUMBER($U390),$U390*$V390,"")</f>
        <v/>
      </c>
      <c r="BE390" s="56" t="str">
        <f>IF($AM390=0,"",IFERROR(MATCH($AF390&amp;"|"&amp;UPPER(TRIM($E390)),Lists!$A$6:$A$205,0),0))</f>
        <v/>
      </c>
      <c r="BF390" s="56" t="str">
        <f>IF($AM390=0,"",IFERROR(MATCH($AF390,Settings!$B$14:$B$18,0),IFERROR(MATCH(Settings!$C$6,Settings!$B$14:$B$18,0),1)))</f>
        <v/>
      </c>
      <c r="BG390" s="58" t="str">
        <f>IF($AM390=0,"",IF(NOT(ISNUMBER($I390)),"No stop; ","")&amp;IF(AND(ISNUMBER($H390),ISNUMBER($I390)),IF(OR(AND($F390&lt;&gt;"Short",$I390&gt;=$H390),AND($F390="Short",$I390&lt;=$H390)),"Stop on wrong side; ",""),"")&amp;IF($F390="","No direction; ","")&amp;IF(AND(ISNUMBER(Settings!$C$22),ISNUMBER($V390)),IF($V390&gt;Settings!$C$22,"Risk over max $; ",""),"")&amp;IF(AND(ISNUMBER(Settings!$C$23),ISNUMBER($V390),ISNUMBER($AP390),IFERROR(N(INDEX(Accounts!$E$7:$E$16,MATCH($C390,Accounts!$B$7:$B$16,0))),0)&gt;0),IF($V390&gt;Settings!$C$23*($AP390-N($Q390)),"Risk over max %; ",""),"")&amp;IF(AND(ISNUMBER(Settings!$C$24),ISNUMBER($N390)),IF($N390&gt;Settings!$C$24,"Leverage over max; ",""),"")&amp;IF(AND(ISNUMBER(Settings!$C$27),ISNUMBER($T390)),IF($T390&lt;Settings!$C$27,"R:R below min; ",""),"")&amp;IF(ISNUMBER(Settings!$C$25),IF(COUNTIFS($A$6:$A390,$A390,$AM$6:$AM390,1)&gt;Settings!$C$25,"Over max trades/day; ",""),"")&amp;IF(ISNUMBER(Settings!$C$26),IF(SUMIFS($Q$5:$Q389,$A$5:$A389,$A390)&lt;=-Settings!$C$26,"Traded after daily max loss; ",""),"")&amp;IF(AND($AG390="",NOT(ISNUMBER($O390))),"Symbol not in Instruments; ","")&amp;IF(AND($AH390="",NOT(ISNUMBER($O390))),"Forex cross: type Gross P&amp;L; ",""))</f>
        <v/>
      </c>
      <c r="BH390" s="56">
        <f>IF(ISNUMBER($Q390),1,0)</f>
        <v>0</v>
      </c>
      <c r="BI390" s="56">
        <f>IF($Y390="",0,1)</f>
        <v>0</v>
      </c>
      <c r="BJ390" s="56">
        <f>IF($AB390="",0,1)</f>
        <v>0</v>
      </c>
      <c r="BK390" s="56">
        <f>IF(AND($BH390=1,$W390&lt;&gt;"OK"),1,0)</f>
        <v>0</v>
      </c>
      <c r="BL390" s="55">
        <f>IF(N($AZ390)=0,0,IFERROR(INDEX($AT$6:$AT$1005,MATCH($AZ390,$AY$6:$AY$1005,0)),0))</f>
        <v>1187.10688</v>
      </c>
      <c r="BM390" s="56">
        <f>IF(ISNUMBER(SEARCH("daily max loss",$BG390)),1,0)</f>
        <v>0</v>
      </c>
    </row>
    <row r="391" ht="18" customHeight="1">
      <c r="A391" s="38" t="n"/>
      <c r="B391" s="39" t="n"/>
      <c r="C391" s="40" t="n"/>
      <c r="D391" s="41" t="n"/>
      <c r="E391" s="41" t="n"/>
      <c r="F391" s="41" t="n"/>
      <c r="G391" s="41" t="n"/>
      <c r="H391" s="42" t="n"/>
      <c r="I391" s="42" t="n"/>
      <c r="J391" s="42" t="n"/>
      <c r="K391" s="42" t="n"/>
      <c r="L391" s="41" t="n"/>
      <c r="M391" s="41" t="n"/>
      <c r="N391" s="41" t="n"/>
      <c r="O391" s="43" t="n"/>
      <c r="P391" s="43" t="n"/>
      <c r="Q391" s="44" t="str">
        <f>IF($AM391=0,"",IF(ISNUMBER($AK391),$AK391-N($AL391),""))</f>
        <v/>
      </c>
      <c r="R391" s="45" t="str">
        <f>IF(OR($Q391="",NOT(ISNUMBER($V391))),"",$AK391/$V391)</f>
        <v/>
      </c>
      <c r="S391" s="46" t="str">
        <f>IF($Q391="","",IF(AND(ISNUMBER($R391),ABS(N($R391))&lt;N(Settings!$C$8)),"Scratch",IF($Q391&gt;0,"Win",IF($Q391&lt;0,"Loss","Scratch"))))</f>
        <v/>
      </c>
      <c r="T391" s="47" t="str">
        <f>IF(OR($AM391=0,NOT(ISNUMBER($H391)),NOT(ISNUMBER($I391)),NOT(ISNUMBER($J391))),"",IF($H391=$I391,"",ROUND(ABS($J391-$H391)/ABS($H391-$I391),6)))</f>
        <v/>
      </c>
      <c r="U391" s="48" t="str">
        <f>IF(OR($S391&lt;&gt;"Win",NOT(ISNUMBER($T391)),NOT(ISNUMBER($R391))),"",MAX(0,$T391-$R391))</f>
        <v/>
      </c>
      <c r="V391" s="49" t="str">
        <f>IF(OR($AM391=0,NOT(ISNUMBER($H391)),NOT(ISNUMBER($I391)),NOT(ISNUMBER($G391))),"",IF(OR($AG391="",$AH391=""),"",IF(ROUND(ABS($H391-$I391)*ABS($G391)*$AG391*$AH391,6)=0,"",ROUND(ABS($H391-$I391)*ABS($G391)*$AG391*$AH391,6))))</f>
        <v/>
      </c>
      <c r="W391" s="50" t="str">
        <f>IF($AM391=0,"",IF($BG391="","OK",LEFT($BG391,LEN($BG391)-2)))</f>
        <v/>
      </c>
      <c r="X391" s="41" t="n"/>
      <c r="Y391" s="40" t="n"/>
      <c r="Z391" s="41" t="n"/>
      <c r="AA391" s="41" t="n"/>
      <c r="AB391" s="40" t="n"/>
      <c r="AC391" s="51" t="n"/>
      <c r="AD391" s="51" t="n"/>
      <c r="AE391" s="40" t="n"/>
      <c r="AF391" s="52" t="str">
        <f>IF($AM391=0,"",IF($D391&lt;&gt;"",$D391,IF(IFERROR(INDEX(Accounts!$C$7:$C$16,MATCH($C391,Accounts!$B$7:$B$16,0))&amp;"","")&lt;&gt;"",INDEX(Accounts!$C$7:$C$16,MATCH($C391,Accounts!$B$7:$B$16,0)),Settings!$C$6)))</f>
        <v/>
      </c>
      <c r="AG391" s="53" t="str">
        <f>IF($AM391=0,"",IF(AND($BE391&gt;0,N(INDEX(Instruments!$D$6:$D$205,MAX(1,$BE391)))&gt;0),INDEX(Instruments!$D$6:$D$205,MAX(1,$BE391)),IF(N(INDEX(Settings!$D$14:$D$18,$BF391))&gt;0,INDEX(Settings!$D$14:$D$18,$BF391),"")))</f>
        <v/>
      </c>
      <c r="AH391" s="54" t="str">
        <f>IF($AM391=0,"",IF($AF391&lt;&gt;"Forex",1,IF(MID(UPPER(SUBSTITUTE(TRIM($E391),"/","")),4,3)=UPPER(TRIM(Settings!$C$7)),1,IF(LEFT(UPPER(SUBSTITUTE(TRIM($E391),"/","")),3)=UPPER(TRIM(Settings!$C$7)),IF(AND(ISNUMBER($K391),N($K391)&lt;&gt;0),1/$K391,""),""))))</f>
        <v/>
      </c>
      <c r="AI391" s="55" t="str">
        <f>IF($AM391=0,"",IF(OR(NOT(ISNUMBER($H391)),NOT(ISNUMBER($K391)),NOT(ISNUMBER($G391)),$AG391="",$AH391=""),"",ROUND(($K391-$H391)*IF($F391="Short",-1,1)*$G391*$AG391*$AH391,6)))</f>
        <v/>
      </c>
      <c r="AJ391" s="55" t="str">
        <f>IF($AM391=0,"",IF(INDEX(Settings!$E$14:$E$18,$BF391)="% of notional",IF(OR($AG391="",NOT(ISNUMBER($H391)),NOT(ISNUMBER($G391))),"",ROUND(ABS($H391*$G391*$AG391*N($AH391))*IF($L391="Limit",N(INDEX(Settings!$G$14:$G$18,$BF391)),N(INDEX(Settings!$H$14:$H$18,$BF391)))+IF(ISNUMBER($K391),ABS($K391*$G391*$AG391*N($AH391))*IF($M391="Target",N(INDEX(Settings!$G$14:$G$18,$BF391)),N(INDEX(Settings!$H$14:$H$18,$BF391))),0),6)),IF(NOT(ISNUMBER($G391)),"",ROUND(ABS($G391)*2*IF(AND($BE391&gt;0,ISNUMBER(INDEX(Instruments!$G$6:$G$205,MAX(1,$BE391)))),INDEX(Instruments!$G$6:$G$205,MAX(1,$BE391)),N(INDEX(Settings!$F$14:$F$18,$BF391))),6))))</f>
        <v/>
      </c>
      <c r="AK391" s="55" t="str">
        <f>IF($AM391=0,"",IF(ISNUMBER($O391),$O391,$AI391))</f>
        <v/>
      </c>
      <c r="AL391" s="55" t="str">
        <f>IF($AM391=0,"",IF(ISNUMBER($P391),$P391,N($AJ391)))</f>
        <v/>
      </c>
      <c r="AM391" s="56">
        <f>IF(AND($A391&lt;&gt;"",$E391&lt;&gt;"",OR(AND(ISNUMBER($G391),ISNUMBER($H391),ISNUMBER($K391)),ISNUMBER($O391))),1,0)</f>
        <v>0</v>
      </c>
      <c r="AN391" s="57" t="str">
        <f>IF($A391="","",$A391-WEEKDAY($A391,3))</f>
        <v/>
      </c>
      <c r="AO391" s="56" t="str">
        <f>IF($A391="","",WEEKDAY($A391,2))</f>
        <v/>
      </c>
      <c r="AP391" s="55" t="str">
        <f>IF(OR($AM391=0,$C391=""),"",IFERROR(N(INDEX(Accounts!$E$7:$E$16,MATCH($C391,Accounts!$B$7:$B$16,0))),0)+SUMIFS($Q$6:$Q391,$C$6:$C391,$C391))</f>
        <v/>
      </c>
      <c r="AQ391" s="55" t="str">
        <f>IF(OR($AM391=0,$C391=""),"",SUMIFS($Q$6:$Q$1005,$C$6:$C$1005,$C391,$A$6:$A$1005,$A391))</f>
        <v/>
      </c>
      <c r="AR391" s="55" t="str">
        <f>IF(OR($AM391=0,$C391=""),"",IFERROR(N(INDEX(Accounts!$E$7:$E$16,MATCH($C391,Accounts!$B$7:$B$16,0))),0)+SUMIFS($Q$6:$Q$1005,$C$6:$C$1005,$C391,$A$6:$A$1005,"&lt;="&amp;$A391))</f>
        <v/>
      </c>
      <c r="AS391" s="56">
        <f>IF(OR($AM391=0,$Q391=""),0,IF(AND($A391&gt;=Lists!$W$6,$A391&lt;=Lists!$W$7,OR(Dashboard!$D$6="All accounts",$C391=Dashboard!$D$6),OR(Dashboard!$D$7="All markets",$AF391=Dashboard!$D$7)),1,0))</f>
        <v>0</v>
      </c>
      <c r="AT391" s="55">
        <f>IF($AS391=1,N(AT390)+$Q391,N(AT390))</f>
        <v>1187.10688</v>
      </c>
      <c r="AU391" s="55">
        <f>MAX(N(AU390),$AT391)</f>
        <v>1187.10688</v>
      </c>
      <c r="AV391" s="55">
        <f>$AT391-$AU391</f>
        <v>0</v>
      </c>
      <c r="AW391" s="56">
        <f>IF($AS391=1,IF($S391="Win",N(AW390)+1,IF($S391="Loss",0,N(AW390))),N(AW390))</f>
        <v>5</v>
      </c>
      <c r="AX391" s="56">
        <f>IF($AS391=1,IF($S391="Loss",N(AX390)+1,IF($S391="Win",0,N(AX390))),N(AX390))</f>
        <v>0</v>
      </c>
      <c r="AY391" s="56" t="str">
        <f>IF($AS391=1,COUNTIF($AS$6:$AS391,1),"")</f>
        <v/>
      </c>
      <c r="AZ391" s="56">
        <f>MIN(385,N(Lists!$W$8))</f>
        <v>28</v>
      </c>
      <c r="BA391" s="56">
        <f>IF($AS391=1,IF(COUNTIFS($A$6:$A391,$A391,$AS$6:$AS391,1)=1,1,0),0)</f>
        <v>0</v>
      </c>
      <c r="BB391" s="55" t="str">
        <f>IF($BA391=1,SUMIFS($Q$6:$Q$1005,$A$6:$A$1005,$A391,$AS$6:$AS$1005,1),"")</f>
        <v/>
      </c>
      <c r="BC391" s="56">
        <f>IF(ISNUMBER($R391),1,0)</f>
        <v>0</v>
      </c>
      <c r="BD391" s="55" t="str">
        <f>IF(ISNUMBER($U391),$U391*$V391,"")</f>
        <v/>
      </c>
      <c r="BE391" s="56" t="str">
        <f>IF($AM391=0,"",IFERROR(MATCH($AF391&amp;"|"&amp;UPPER(TRIM($E391)),Lists!$A$6:$A$205,0),0))</f>
        <v/>
      </c>
      <c r="BF391" s="56" t="str">
        <f>IF($AM391=0,"",IFERROR(MATCH($AF391,Settings!$B$14:$B$18,0),IFERROR(MATCH(Settings!$C$6,Settings!$B$14:$B$18,0),1)))</f>
        <v/>
      </c>
      <c r="BG391" s="58" t="str">
        <f>IF($AM391=0,"",IF(NOT(ISNUMBER($I391)),"No stop; ","")&amp;IF(AND(ISNUMBER($H391),ISNUMBER($I391)),IF(OR(AND($F391&lt;&gt;"Short",$I391&gt;=$H391),AND($F391="Short",$I391&lt;=$H391)),"Stop on wrong side; ",""),"")&amp;IF($F391="","No direction; ","")&amp;IF(AND(ISNUMBER(Settings!$C$22),ISNUMBER($V391)),IF($V391&gt;Settings!$C$22,"Risk over max $; ",""),"")&amp;IF(AND(ISNUMBER(Settings!$C$23),ISNUMBER($V391),ISNUMBER($AP391),IFERROR(N(INDEX(Accounts!$E$7:$E$16,MATCH($C391,Accounts!$B$7:$B$16,0))),0)&gt;0),IF($V391&gt;Settings!$C$23*($AP391-N($Q391)),"Risk over max %; ",""),"")&amp;IF(AND(ISNUMBER(Settings!$C$24),ISNUMBER($N391)),IF($N391&gt;Settings!$C$24,"Leverage over max; ",""),"")&amp;IF(AND(ISNUMBER(Settings!$C$27),ISNUMBER($T391)),IF($T391&lt;Settings!$C$27,"R:R below min; ",""),"")&amp;IF(ISNUMBER(Settings!$C$25),IF(COUNTIFS($A$6:$A391,$A391,$AM$6:$AM391,1)&gt;Settings!$C$25,"Over max trades/day; ",""),"")&amp;IF(ISNUMBER(Settings!$C$26),IF(SUMIFS($Q$5:$Q390,$A$5:$A390,$A391)&lt;=-Settings!$C$26,"Traded after daily max loss; ",""),"")&amp;IF(AND($AG391="",NOT(ISNUMBER($O391))),"Symbol not in Instruments; ","")&amp;IF(AND($AH391="",NOT(ISNUMBER($O391))),"Forex cross: type Gross P&amp;L; ",""))</f>
        <v/>
      </c>
      <c r="BH391" s="56">
        <f>IF(ISNUMBER($Q391),1,0)</f>
        <v>0</v>
      </c>
      <c r="BI391" s="56">
        <f>IF($Y391="",0,1)</f>
        <v>0</v>
      </c>
      <c r="BJ391" s="56">
        <f>IF($AB391="",0,1)</f>
        <v>0</v>
      </c>
      <c r="BK391" s="56">
        <f>IF(AND($BH391=1,$W391&lt;&gt;"OK"),1,0)</f>
        <v>0</v>
      </c>
      <c r="BL391" s="55">
        <f>IF(N($AZ391)=0,0,IFERROR(INDEX($AT$6:$AT$1005,MATCH($AZ391,$AY$6:$AY$1005,0)),0))</f>
        <v>1187.10688</v>
      </c>
      <c r="BM391" s="56">
        <f>IF(ISNUMBER(SEARCH("daily max loss",$BG391)),1,0)</f>
        <v>0</v>
      </c>
    </row>
    <row r="392" ht="18" customHeight="1">
      <c r="A392" s="38" t="n"/>
      <c r="B392" s="39" t="n"/>
      <c r="C392" s="40" t="n"/>
      <c r="D392" s="41" t="n"/>
      <c r="E392" s="41" t="n"/>
      <c r="F392" s="41" t="n"/>
      <c r="G392" s="41" t="n"/>
      <c r="H392" s="42" t="n"/>
      <c r="I392" s="42" t="n"/>
      <c r="J392" s="42" t="n"/>
      <c r="K392" s="42" t="n"/>
      <c r="L392" s="41" t="n"/>
      <c r="M392" s="41" t="n"/>
      <c r="N392" s="41" t="n"/>
      <c r="O392" s="43" t="n"/>
      <c r="P392" s="43" t="n"/>
      <c r="Q392" s="44" t="str">
        <f>IF($AM392=0,"",IF(ISNUMBER($AK392),$AK392-N($AL392),""))</f>
        <v/>
      </c>
      <c r="R392" s="45" t="str">
        <f>IF(OR($Q392="",NOT(ISNUMBER($V392))),"",$AK392/$V392)</f>
        <v/>
      </c>
      <c r="S392" s="46" t="str">
        <f>IF($Q392="","",IF(AND(ISNUMBER($R392),ABS(N($R392))&lt;N(Settings!$C$8)),"Scratch",IF($Q392&gt;0,"Win",IF($Q392&lt;0,"Loss","Scratch"))))</f>
        <v/>
      </c>
      <c r="T392" s="47" t="str">
        <f>IF(OR($AM392=0,NOT(ISNUMBER($H392)),NOT(ISNUMBER($I392)),NOT(ISNUMBER($J392))),"",IF($H392=$I392,"",ROUND(ABS($J392-$H392)/ABS($H392-$I392),6)))</f>
        <v/>
      </c>
      <c r="U392" s="48" t="str">
        <f>IF(OR($S392&lt;&gt;"Win",NOT(ISNUMBER($T392)),NOT(ISNUMBER($R392))),"",MAX(0,$T392-$R392))</f>
        <v/>
      </c>
      <c r="V392" s="49" t="str">
        <f>IF(OR($AM392=0,NOT(ISNUMBER($H392)),NOT(ISNUMBER($I392)),NOT(ISNUMBER($G392))),"",IF(OR($AG392="",$AH392=""),"",IF(ROUND(ABS($H392-$I392)*ABS($G392)*$AG392*$AH392,6)=0,"",ROUND(ABS($H392-$I392)*ABS($G392)*$AG392*$AH392,6))))</f>
        <v/>
      </c>
      <c r="W392" s="50" t="str">
        <f>IF($AM392=0,"",IF($BG392="","OK",LEFT($BG392,LEN($BG392)-2)))</f>
        <v/>
      </c>
      <c r="X392" s="41" t="n"/>
      <c r="Y392" s="40" t="n"/>
      <c r="Z392" s="41" t="n"/>
      <c r="AA392" s="41" t="n"/>
      <c r="AB392" s="40" t="n"/>
      <c r="AC392" s="51" t="n"/>
      <c r="AD392" s="51" t="n"/>
      <c r="AE392" s="40" t="n"/>
      <c r="AF392" s="52" t="str">
        <f>IF($AM392=0,"",IF($D392&lt;&gt;"",$D392,IF(IFERROR(INDEX(Accounts!$C$7:$C$16,MATCH($C392,Accounts!$B$7:$B$16,0))&amp;"","")&lt;&gt;"",INDEX(Accounts!$C$7:$C$16,MATCH($C392,Accounts!$B$7:$B$16,0)),Settings!$C$6)))</f>
        <v/>
      </c>
      <c r="AG392" s="53" t="str">
        <f>IF($AM392=0,"",IF(AND($BE392&gt;0,N(INDEX(Instruments!$D$6:$D$205,MAX(1,$BE392)))&gt;0),INDEX(Instruments!$D$6:$D$205,MAX(1,$BE392)),IF(N(INDEX(Settings!$D$14:$D$18,$BF392))&gt;0,INDEX(Settings!$D$14:$D$18,$BF392),"")))</f>
        <v/>
      </c>
      <c r="AH392" s="54" t="str">
        <f>IF($AM392=0,"",IF($AF392&lt;&gt;"Forex",1,IF(MID(UPPER(SUBSTITUTE(TRIM($E392),"/","")),4,3)=UPPER(TRIM(Settings!$C$7)),1,IF(LEFT(UPPER(SUBSTITUTE(TRIM($E392),"/","")),3)=UPPER(TRIM(Settings!$C$7)),IF(AND(ISNUMBER($K392),N($K392)&lt;&gt;0),1/$K392,""),""))))</f>
        <v/>
      </c>
      <c r="AI392" s="55" t="str">
        <f>IF($AM392=0,"",IF(OR(NOT(ISNUMBER($H392)),NOT(ISNUMBER($K392)),NOT(ISNUMBER($G392)),$AG392="",$AH392=""),"",ROUND(($K392-$H392)*IF($F392="Short",-1,1)*$G392*$AG392*$AH392,6)))</f>
        <v/>
      </c>
      <c r="AJ392" s="55" t="str">
        <f>IF($AM392=0,"",IF(INDEX(Settings!$E$14:$E$18,$BF392)="% of notional",IF(OR($AG392="",NOT(ISNUMBER($H392)),NOT(ISNUMBER($G392))),"",ROUND(ABS($H392*$G392*$AG392*N($AH392))*IF($L392="Limit",N(INDEX(Settings!$G$14:$G$18,$BF392)),N(INDEX(Settings!$H$14:$H$18,$BF392)))+IF(ISNUMBER($K392),ABS($K392*$G392*$AG392*N($AH392))*IF($M392="Target",N(INDEX(Settings!$G$14:$G$18,$BF392)),N(INDEX(Settings!$H$14:$H$18,$BF392))),0),6)),IF(NOT(ISNUMBER($G392)),"",ROUND(ABS($G392)*2*IF(AND($BE392&gt;0,ISNUMBER(INDEX(Instruments!$G$6:$G$205,MAX(1,$BE392)))),INDEX(Instruments!$G$6:$G$205,MAX(1,$BE392)),N(INDEX(Settings!$F$14:$F$18,$BF392))),6))))</f>
        <v/>
      </c>
      <c r="AK392" s="55" t="str">
        <f>IF($AM392=0,"",IF(ISNUMBER($O392),$O392,$AI392))</f>
        <v/>
      </c>
      <c r="AL392" s="55" t="str">
        <f>IF($AM392=0,"",IF(ISNUMBER($P392),$P392,N($AJ392)))</f>
        <v/>
      </c>
      <c r="AM392" s="56">
        <f>IF(AND($A392&lt;&gt;"",$E392&lt;&gt;"",OR(AND(ISNUMBER($G392),ISNUMBER($H392),ISNUMBER($K392)),ISNUMBER($O392))),1,0)</f>
        <v>0</v>
      </c>
      <c r="AN392" s="57" t="str">
        <f>IF($A392="","",$A392-WEEKDAY($A392,3))</f>
        <v/>
      </c>
      <c r="AO392" s="56" t="str">
        <f>IF($A392="","",WEEKDAY($A392,2))</f>
        <v/>
      </c>
      <c r="AP392" s="55" t="str">
        <f>IF(OR($AM392=0,$C392=""),"",IFERROR(N(INDEX(Accounts!$E$7:$E$16,MATCH($C392,Accounts!$B$7:$B$16,0))),0)+SUMIFS($Q$6:$Q392,$C$6:$C392,$C392))</f>
        <v/>
      </c>
      <c r="AQ392" s="55" t="str">
        <f>IF(OR($AM392=0,$C392=""),"",SUMIFS($Q$6:$Q$1005,$C$6:$C$1005,$C392,$A$6:$A$1005,$A392))</f>
        <v/>
      </c>
      <c r="AR392" s="55" t="str">
        <f>IF(OR($AM392=0,$C392=""),"",IFERROR(N(INDEX(Accounts!$E$7:$E$16,MATCH($C392,Accounts!$B$7:$B$16,0))),0)+SUMIFS($Q$6:$Q$1005,$C$6:$C$1005,$C392,$A$6:$A$1005,"&lt;="&amp;$A392))</f>
        <v/>
      </c>
      <c r="AS392" s="56">
        <f>IF(OR($AM392=0,$Q392=""),0,IF(AND($A392&gt;=Lists!$W$6,$A392&lt;=Lists!$W$7,OR(Dashboard!$D$6="All accounts",$C392=Dashboard!$D$6),OR(Dashboard!$D$7="All markets",$AF392=Dashboard!$D$7)),1,0))</f>
        <v>0</v>
      </c>
      <c r="AT392" s="55">
        <f>IF($AS392=1,N(AT391)+$Q392,N(AT391))</f>
        <v>1187.10688</v>
      </c>
      <c r="AU392" s="55">
        <f>MAX(N(AU391),$AT392)</f>
        <v>1187.10688</v>
      </c>
      <c r="AV392" s="55">
        <f>$AT392-$AU392</f>
        <v>0</v>
      </c>
      <c r="AW392" s="56">
        <f>IF($AS392=1,IF($S392="Win",N(AW391)+1,IF($S392="Loss",0,N(AW391))),N(AW391))</f>
        <v>5</v>
      </c>
      <c r="AX392" s="56">
        <f>IF($AS392=1,IF($S392="Loss",N(AX391)+1,IF($S392="Win",0,N(AX391))),N(AX391))</f>
        <v>0</v>
      </c>
      <c r="AY392" s="56" t="str">
        <f>IF($AS392=1,COUNTIF($AS$6:$AS392,1),"")</f>
        <v/>
      </c>
      <c r="AZ392" s="56">
        <f>MIN(386,N(Lists!$W$8))</f>
        <v>28</v>
      </c>
      <c r="BA392" s="56">
        <f>IF($AS392=1,IF(COUNTIFS($A$6:$A392,$A392,$AS$6:$AS392,1)=1,1,0),0)</f>
        <v>0</v>
      </c>
      <c r="BB392" s="55" t="str">
        <f>IF($BA392=1,SUMIFS($Q$6:$Q$1005,$A$6:$A$1005,$A392,$AS$6:$AS$1005,1),"")</f>
        <v/>
      </c>
      <c r="BC392" s="56">
        <f>IF(ISNUMBER($R392),1,0)</f>
        <v>0</v>
      </c>
      <c r="BD392" s="55" t="str">
        <f>IF(ISNUMBER($U392),$U392*$V392,"")</f>
        <v/>
      </c>
      <c r="BE392" s="56" t="str">
        <f>IF($AM392=0,"",IFERROR(MATCH($AF392&amp;"|"&amp;UPPER(TRIM($E392)),Lists!$A$6:$A$205,0),0))</f>
        <v/>
      </c>
      <c r="BF392" s="56" t="str">
        <f>IF($AM392=0,"",IFERROR(MATCH($AF392,Settings!$B$14:$B$18,0),IFERROR(MATCH(Settings!$C$6,Settings!$B$14:$B$18,0),1)))</f>
        <v/>
      </c>
      <c r="BG392" s="58" t="str">
        <f>IF($AM392=0,"",IF(NOT(ISNUMBER($I392)),"No stop; ","")&amp;IF(AND(ISNUMBER($H392),ISNUMBER($I392)),IF(OR(AND($F392&lt;&gt;"Short",$I392&gt;=$H392),AND($F392="Short",$I392&lt;=$H392)),"Stop on wrong side; ",""),"")&amp;IF($F392="","No direction; ","")&amp;IF(AND(ISNUMBER(Settings!$C$22),ISNUMBER($V392)),IF($V392&gt;Settings!$C$22,"Risk over max $; ",""),"")&amp;IF(AND(ISNUMBER(Settings!$C$23),ISNUMBER($V392),ISNUMBER($AP392),IFERROR(N(INDEX(Accounts!$E$7:$E$16,MATCH($C392,Accounts!$B$7:$B$16,0))),0)&gt;0),IF($V392&gt;Settings!$C$23*($AP392-N($Q392)),"Risk over max %; ",""),"")&amp;IF(AND(ISNUMBER(Settings!$C$24),ISNUMBER($N392)),IF($N392&gt;Settings!$C$24,"Leverage over max; ",""),"")&amp;IF(AND(ISNUMBER(Settings!$C$27),ISNUMBER($T392)),IF($T392&lt;Settings!$C$27,"R:R below min; ",""),"")&amp;IF(ISNUMBER(Settings!$C$25),IF(COUNTIFS($A$6:$A392,$A392,$AM$6:$AM392,1)&gt;Settings!$C$25,"Over max trades/day; ",""),"")&amp;IF(ISNUMBER(Settings!$C$26),IF(SUMIFS($Q$5:$Q391,$A$5:$A391,$A392)&lt;=-Settings!$C$26,"Traded after daily max loss; ",""),"")&amp;IF(AND($AG392="",NOT(ISNUMBER($O392))),"Symbol not in Instruments; ","")&amp;IF(AND($AH392="",NOT(ISNUMBER($O392))),"Forex cross: type Gross P&amp;L; ",""))</f>
        <v/>
      </c>
      <c r="BH392" s="56">
        <f>IF(ISNUMBER($Q392),1,0)</f>
        <v>0</v>
      </c>
      <c r="BI392" s="56">
        <f>IF($Y392="",0,1)</f>
        <v>0</v>
      </c>
      <c r="BJ392" s="56">
        <f>IF($AB392="",0,1)</f>
        <v>0</v>
      </c>
      <c r="BK392" s="56">
        <f>IF(AND($BH392=1,$W392&lt;&gt;"OK"),1,0)</f>
        <v>0</v>
      </c>
      <c r="BL392" s="55">
        <f>IF(N($AZ392)=0,0,IFERROR(INDEX($AT$6:$AT$1005,MATCH($AZ392,$AY$6:$AY$1005,0)),0))</f>
        <v>1187.10688</v>
      </c>
      <c r="BM392" s="56">
        <f>IF(ISNUMBER(SEARCH("daily max loss",$BG392)),1,0)</f>
        <v>0</v>
      </c>
    </row>
    <row r="393" ht="18" customHeight="1">
      <c r="A393" s="38" t="n"/>
      <c r="B393" s="39" t="n"/>
      <c r="C393" s="40" t="n"/>
      <c r="D393" s="41" t="n"/>
      <c r="E393" s="41" t="n"/>
      <c r="F393" s="41" t="n"/>
      <c r="G393" s="41" t="n"/>
      <c r="H393" s="42" t="n"/>
      <c r="I393" s="42" t="n"/>
      <c r="J393" s="42" t="n"/>
      <c r="K393" s="42" t="n"/>
      <c r="L393" s="41" t="n"/>
      <c r="M393" s="41" t="n"/>
      <c r="N393" s="41" t="n"/>
      <c r="O393" s="43" t="n"/>
      <c r="P393" s="43" t="n"/>
      <c r="Q393" s="44" t="str">
        <f>IF($AM393=0,"",IF(ISNUMBER($AK393),$AK393-N($AL393),""))</f>
        <v/>
      </c>
      <c r="R393" s="45" t="str">
        <f>IF(OR($Q393="",NOT(ISNUMBER($V393))),"",$AK393/$V393)</f>
        <v/>
      </c>
      <c r="S393" s="46" t="str">
        <f>IF($Q393="","",IF(AND(ISNUMBER($R393),ABS(N($R393))&lt;N(Settings!$C$8)),"Scratch",IF($Q393&gt;0,"Win",IF($Q393&lt;0,"Loss","Scratch"))))</f>
        <v/>
      </c>
      <c r="T393" s="47" t="str">
        <f>IF(OR($AM393=0,NOT(ISNUMBER($H393)),NOT(ISNUMBER($I393)),NOT(ISNUMBER($J393))),"",IF($H393=$I393,"",ROUND(ABS($J393-$H393)/ABS($H393-$I393),6)))</f>
        <v/>
      </c>
      <c r="U393" s="48" t="str">
        <f>IF(OR($S393&lt;&gt;"Win",NOT(ISNUMBER($T393)),NOT(ISNUMBER($R393))),"",MAX(0,$T393-$R393))</f>
        <v/>
      </c>
      <c r="V393" s="49" t="str">
        <f>IF(OR($AM393=0,NOT(ISNUMBER($H393)),NOT(ISNUMBER($I393)),NOT(ISNUMBER($G393))),"",IF(OR($AG393="",$AH393=""),"",IF(ROUND(ABS($H393-$I393)*ABS($G393)*$AG393*$AH393,6)=0,"",ROUND(ABS($H393-$I393)*ABS($G393)*$AG393*$AH393,6))))</f>
        <v/>
      </c>
      <c r="W393" s="50" t="str">
        <f>IF($AM393=0,"",IF($BG393="","OK",LEFT($BG393,LEN($BG393)-2)))</f>
        <v/>
      </c>
      <c r="X393" s="41" t="n"/>
      <c r="Y393" s="40" t="n"/>
      <c r="Z393" s="41" t="n"/>
      <c r="AA393" s="41" t="n"/>
      <c r="AB393" s="40" t="n"/>
      <c r="AC393" s="51" t="n"/>
      <c r="AD393" s="51" t="n"/>
      <c r="AE393" s="40" t="n"/>
      <c r="AF393" s="52" t="str">
        <f>IF($AM393=0,"",IF($D393&lt;&gt;"",$D393,IF(IFERROR(INDEX(Accounts!$C$7:$C$16,MATCH($C393,Accounts!$B$7:$B$16,0))&amp;"","")&lt;&gt;"",INDEX(Accounts!$C$7:$C$16,MATCH($C393,Accounts!$B$7:$B$16,0)),Settings!$C$6)))</f>
        <v/>
      </c>
      <c r="AG393" s="53" t="str">
        <f>IF($AM393=0,"",IF(AND($BE393&gt;0,N(INDEX(Instruments!$D$6:$D$205,MAX(1,$BE393)))&gt;0),INDEX(Instruments!$D$6:$D$205,MAX(1,$BE393)),IF(N(INDEX(Settings!$D$14:$D$18,$BF393))&gt;0,INDEX(Settings!$D$14:$D$18,$BF393),"")))</f>
        <v/>
      </c>
      <c r="AH393" s="54" t="str">
        <f>IF($AM393=0,"",IF($AF393&lt;&gt;"Forex",1,IF(MID(UPPER(SUBSTITUTE(TRIM($E393),"/","")),4,3)=UPPER(TRIM(Settings!$C$7)),1,IF(LEFT(UPPER(SUBSTITUTE(TRIM($E393),"/","")),3)=UPPER(TRIM(Settings!$C$7)),IF(AND(ISNUMBER($K393),N($K393)&lt;&gt;0),1/$K393,""),""))))</f>
        <v/>
      </c>
      <c r="AI393" s="55" t="str">
        <f>IF($AM393=0,"",IF(OR(NOT(ISNUMBER($H393)),NOT(ISNUMBER($K393)),NOT(ISNUMBER($G393)),$AG393="",$AH393=""),"",ROUND(($K393-$H393)*IF($F393="Short",-1,1)*$G393*$AG393*$AH393,6)))</f>
        <v/>
      </c>
      <c r="AJ393" s="55" t="str">
        <f>IF($AM393=0,"",IF(INDEX(Settings!$E$14:$E$18,$BF393)="% of notional",IF(OR($AG393="",NOT(ISNUMBER($H393)),NOT(ISNUMBER($G393))),"",ROUND(ABS($H393*$G393*$AG393*N($AH393))*IF($L393="Limit",N(INDEX(Settings!$G$14:$G$18,$BF393)),N(INDEX(Settings!$H$14:$H$18,$BF393)))+IF(ISNUMBER($K393),ABS($K393*$G393*$AG393*N($AH393))*IF($M393="Target",N(INDEX(Settings!$G$14:$G$18,$BF393)),N(INDEX(Settings!$H$14:$H$18,$BF393))),0),6)),IF(NOT(ISNUMBER($G393)),"",ROUND(ABS($G393)*2*IF(AND($BE393&gt;0,ISNUMBER(INDEX(Instruments!$G$6:$G$205,MAX(1,$BE393)))),INDEX(Instruments!$G$6:$G$205,MAX(1,$BE393)),N(INDEX(Settings!$F$14:$F$18,$BF393))),6))))</f>
        <v/>
      </c>
      <c r="AK393" s="55" t="str">
        <f>IF($AM393=0,"",IF(ISNUMBER($O393),$O393,$AI393))</f>
        <v/>
      </c>
      <c r="AL393" s="55" t="str">
        <f>IF($AM393=0,"",IF(ISNUMBER($P393),$P393,N($AJ393)))</f>
        <v/>
      </c>
      <c r="AM393" s="56">
        <f>IF(AND($A393&lt;&gt;"",$E393&lt;&gt;"",OR(AND(ISNUMBER($G393),ISNUMBER($H393),ISNUMBER($K393)),ISNUMBER($O393))),1,0)</f>
        <v>0</v>
      </c>
      <c r="AN393" s="57" t="str">
        <f>IF($A393="","",$A393-WEEKDAY($A393,3))</f>
        <v/>
      </c>
      <c r="AO393" s="56" t="str">
        <f>IF($A393="","",WEEKDAY($A393,2))</f>
        <v/>
      </c>
      <c r="AP393" s="55" t="str">
        <f>IF(OR($AM393=0,$C393=""),"",IFERROR(N(INDEX(Accounts!$E$7:$E$16,MATCH($C393,Accounts!$B$7:$B$16,0))),0)+SUMIFS($Q$6:$Q393,$C$6:$C393,$C393))</f>
        <v/>
      </c>
      <c r="AQ393" s="55" t="str">
        <f>IF(OR($AM393=0,$C393=""),"",SUMIFS($Q$6:$Q$1005,$C$6:$C$1005,$C393,$A$6:$A$1005,$A393))</f>
        <v/>
      </c>
      <c r="AR393" s="55" t="str">
        <f>IF(OR($AM393=0,$C393=""),"",IFERROR(N(INDEX(Accounts!$E$7:$E$16,MATCH($C393,Accounts!$B$7:$B$16,0))),0)+SUMIFS($Q$6:$Q$1005,$C$6:$C$1005,$C393,$A$6:$A$1005,"&lt;="&amp;$A393))</f>
        <v/>
      </c>
      <c r="AS393" s="56">
        <f>IF(OR($AM393=0,$Q393=""),0,IF(AND($A393&gt;=Lists!$W$6,$A393&lt;=Lists!$W$7,OR(Dashboard!$D$6="All accounts",$C393=Dashboard!$D$6),OR(Dashboard!$D$7="All markets",$AF393=Dashboard!$D$7)),1,0))</f>
        <v>0</v>
      </c>
      <c r="AT393" s="55">
        <f>IF($AS393=1,N(AT392)+$Q393,N(AT392))</f>
        <v>1187.10688</v>
      </c>
      <c r="AU393" s="55">
        <f>MAX(N(AU392),$AT393)</f>
        <v>1187.10688</v>
      </c>
      <c r="AV393" s="55">
        <f>$AT393-$AU393</f>
        <v>0</v>
      </c>
      <c r="AW393" s="56">
        <f>IF($AS393=1,IF($S393="Win",N(AW392)+1,IF($S393="Loss",0,N(AW392))),N(AW392))</f>
        <v>5</v>
      </c>
      <c r="AX393" s="56">
        <f>IF($AS393=1,IF($S393="Loss",N(AX392)+1,IF($S393="Win",0,N(AX392))),N(AX392))</f>
        <v>0</v>
      </c>
      <c r="AY393" s="56" t="str">
        <f>IF($AS393=1,COUNTIF($AS$6:$AS393,1),"")</f>
        <v/>
      </c>
      <c r="AZ393" s="56">
        <f>MIN(387,N(Lists!$W$8))</f>
        <v>28</v>
      </c>
      <c r="BA393" s="56">
        <f>IF($AS393=1,IF(COUNTIFS($A$6:$A393,$A393,$AS$6:$AS393,1)=1,1,0),0)</f>
        <v>0</v>
      </c>
      <c r="BB393" s="55" t="str">
        <f>IF($BA393=1,SUMIFS($Q$6:$Q$1005,$A$6:$A$1005,$A393,$AS$6:$AS$1005,1),"")</f>
        <v/>
      </c>
      <c r="BC393" s="56">
        <f>IF(ISNUMBER($R393),1,0)</f>
        <v>0</v>
      </c>
      <c r="BD393" s="55" t="str">
        <f>IF(ISNUMBER($U393),$U393*$V393,"")</f>
        <v/>
      </c>
      <c r="BE393" s="56" t="str">
        <f>IF($AM393=0,"",IFERROR(MATCH($AF393&amp;"|"&amp;UPPER(TRIM($E393)),Lists!$A$6:$A$205,0),0))</f>
        <v/>
      </c>
      <c r="BF393" s="56" t="str">
        <f>IF($AM393=0,"",IFERROR(MATCH($AF393,Settings!$B$14:$B$18,0),IFERROR(MATCH(Settings!$C$6,Settings!$B$14:$B$18,0),1)))</f>
        <v/>
      </c>
      <c r="BG393" s="58" t="str">
        <f>IF($AM393=0,"",IF(NOT(ISNUMBER($I393)),"No stop; ","")&amp;IF(AND(ISNUMBER($H393),ISNUMBER($I393)),IF(OR(AND($F393&lt;&gt;"Short",$I393&gt;=$H393),AND($F393="Short",$I393&lt;=$H393)),"Stop on wrong side; ",""),"")&amp;IF($F393="","No direction; ","")&amp;IF(AND(ISNUMBER(Settings!$C$22),ISNUMBER($V393)),IF($V393&gt;Settings!$C$22,"Risk over max $; ",""),"")&amp;IF(AND(ISNUMBER(Settings!$C$23),ISNUMBER($V393),ISNUMBER($AP393),IFERROR(N(INDEX(Accounts!$E$7:$E$16,MATCH($C393,Accounts!$B$7:$B$16,0))),0)&gt;0),IF($V393&gt;Settings!$C$23*($AP393-N($Q393)),"Risk over max %; ",""),"")&amp;IF(AND(ISNUMBER(Settings!$C$24),ISNUMBER($N393)),IF($N393&gt;Settings!$C$24,"Leverage over max; ",""),"")&amp;IF(AND(ISNUMBER(Settings!$C$27),ISNUMBER($T393)),IF($T393&lt;Settings!$C$27,"R:R below min; ",""),"")&amp;IF(ISNUMBER(Settings!$C$25),IF(COUNTIFS($A$6:$A393,$A393,$AM$6:$AM393,1)&gt;Settings!$C$25,"Over max trades/day; ",""),"")&amp;IF(ISNUMBER(Settings!$C$26),IF(SUMIFS($Q$5:$Q392,$A$5:$A392,$A393)&lt;=-Settings!$C$26,"Traded after daily max loss; ",""),"")&amp;IF(AND($AG393="",NOT(ISNUMBER($O393))),"Symbol not in Instruments; ","")&amp;IF(AND($AH393="",NOT(ISNUMBER($O393))),"Forex cross: type Gross P&amp;L; ",""))</f>
        <v/>
      </c>
      <c r="BH393" s="56">
        <f>IF(ISNUMBER($Q393),1,0)</f>
        <v>0</v>
      </c>
      <c r="BI393" s="56">
        <f>IF($Y393="",0,1)</f>
        <v>0</v>
      </c>
      <c r="BJ393" s="56">
        <f>IF($AB393="",0,1)</f>
        <v>0</v>
      </c>
      <c r="BK393" s="56">
        <f>IF(AND($BH393=1,$W393&lt;&gt;"OK"),1,0)</f>
        <v>0</v>
      </c>
      <c r="BL393" s="55">
        <f>IF(N($AZ393)=0,0,IFERROR(INDEX($AT$6:$AT$1005,MATCH($AZ393,$AY$6:$AY$1005,0)),0))</f>
        <v>1187.10688</v>
      </c>
      <c r="BM393" s="56">
        <f>IF(ISNUMBER(SEARCH("daily max loss",$BG393)),1,0)</f>
        <v>0</v>
      </c>
    </row>
    <row r="394" ht="18" customHeight="1">
      <c r="A394" s="38" t="n"/>
      <c r="B394" s="39" t="n"/>
      <c r="C394" s="40" t="n"/>
      <c r="D394" s="41" t="n"/>
      <c r="E394" s="41" t="n"/>
      <c r="F394" s="41" t="n"/>
      <c r="G394" s="41" t="n"/>
      <c r="H394" s="42" t="n"/>
      <c r="I394" s="42" t="n"/>
      <c r="J394" s="42" t="n"/>
      <c r="K394" s="42" t="n"/>
      <c r="L394" s="41" t="n"/>
      <c r="M394" s="41" t="n"/>
      <c r="N394" s="41" t="n"/>
      <c r="O394" s="43" t="n"/>
      <c r="P394" s="43" t="n"/>
      <c r="Q394" s="44" t="str">
        <f>IF($AM394=0,"",IF(ISNUMBER($AK394),$AK394-N($AL394),""))</f>
        <v/>
      </c>
      <c r="R394" s="45" t="str">
        <f>IF(OR($Q394="",NOT(ISNUMBER($V394))),"",$AK394/$V394)</f>
        <v/>
      </c>
      <c r="S394" s="46" t="str">
        <f>IF($Q394="","",IF(AND(ISNUMBER($R394),ABS(N($R394))&lt;N(Settings!$C$8)),"Scratch",IF($Q394&gt;0,"Win",IF($Q394&lt;0,"Loss","Scratch"))))</f>
        <v/>
      </c>
      <c r="T394" s="47" t="str">
        <f>IF(OR($AM394=0,NOT(ISNUMBER($H394)),NOT(ISNUMBER($I394)),NOT(ISNUMBER($J394))),"",IF($H394=$I394,"",ROUND(ABS($J394-$H394)/ABS($H394-$I394),6)))</f>
        <v/>
      </c>
      <c r="U394" s="48" t="str">
        <f>IF(OR($S394&lt;&gt;"Win",NOT(ISNUMBER($T394)),NOT(ISNUMBER($R394))),"",MAX(0,$T394-$R394))</f>
        <v/>
      </c>
      <c r="V394" s="49" t="str">
        <f>IF(OR($AM394=0,NOT(ISNUMBER($H394)),NOT(ISNUMBER($I394)),NOT(ISNUMBER($G394))),"",IF(OR($AG394="",$AH394=""),"",IF(ROUND(ABS($H394-$I394)*ABS($G394)*$AG394*$AH394,6)=0,"",ROUND(ABS($H394-$I394)*ABS($G394)*$AG394*$AH394,6))))</f>
        <v/>
      </c>
      <c r="W394" s="50" t="str">
        <f>IF($AM394=0,"",IF($BG394="","OK",LEFT($BG394,LEN($BG394)-2)))</f>
        <v/>
      </c>
      <c r="X394" s="41" t="n"/>
      <c r="Y394" s="40" t="n"/>
      <c r="Z394" s="41" t="n"/>
      <c r="AA394" s="41" t="n"/>
      <c r="AB394" s="40" t="n"/>
      <c r="AC394" s="51" t="n"/>
      <c r="AD394" s="51" t="n"/>
      <c r="AE394" s="40" t="n"/>
      <c r="AF394" s="52" t="str">
        <f>IF($AM394=0,"",IF($D394&lt;&gt;"",$D394,IF(IFERROR(INDEX(Accounts!$C$7:$C$16,MATCH($C394,Accounts!$B$7:$B$16,0))&amp;"","")&lt;&gt;"",INDEX(Accounts!$C$7:$C$16,MATCH($C394,Accounts!$B$7:$B$16,0)),Settings!$C$6)))</f>
        <v/>
      </c>
      <c r="AG394" s="53" t="str">
        <f>IF($AM394=0,"",IF(AND($BE394&gt;0,N(INDEX(Instruments!$D$6:$D$205,MAX(1,$BE394)))&gt;0),INDEX(Instruments!$D$6:$D$205,MAX(1,$BE394)),IF(N(INDEX(Settings!$D$14:$D$18,$BF394))&gt;0,INDEX(Settings!$D$14:$D$18,$BF394),"")))</f>
        <v/>
      </c>
      <c r="AH394" s="54" t="str">
        <f>IF($AM394=0,"",IF($AF394&lt;&gt;"Forex",1,IF(MID(UPPER(SUBSTITUTE(TRIM($E394),"/","")),4,3)=UPPER(TRIM(Settings!$C$7)),1,IF(LEFT(UPPER(SUBSTITUTE(TRIM($E394),"/","")),3)=UPPER(TRIM(Settings!$C$7)),IF(AND(ISNUMBER($K394),N($K394)&lt;&gt;0),1/$K394,""),""))))</f>
        <v/>
      </c>
      <c r="AI394" s="55" t="str">
        <f>IF($AM394=0,"",IF(OR(NOT(ISNUMBER($H394)),NOT(ISNUMBER($K394)),NOT(ISNUMBER($G394)),$AG394="",$AH394=""),"",ROUND(($K394-$H394)*IF($F394="Short",-1,1)*$G394*$AG394*$AH394,6)))</f>
        <v/>
      </c>
      <c r="AJ394" s="55" t="str">
        <f>IF($AM394=0,"",IF(INDEX(Settings!$E$14:$E$18,$BF394)="% of notional",IF(OR($AG394="",NOT(ISNUMBER($H394)),NOT(ISNUMBER($G394))),"",ROUND(ABS($H394*$G394*$AG394*N($AH394))*IF($L394="Limit",N(INDEX(Settings!$G$14:$G$18,$BF394)),N(INDEX(Settings!$H$14:$H$18,$BF394)))+IF(ISNUMBER($K394),ABS($K394*$G394*$AG394*N($AH394))*IF($M394="Target",N(INDEX(Settings!$G$14:$G$18,$BF394)),N(INDEX(Settings!$H$14:$H$18,$BF394))),0),6)),IF(NOT(ISNUMBER($G394)),"",ROUND(ABS($G394)*2*IF(AND($BE394&gt;0,ISNUMBER(INDEX(Instruments!$G$6:$G$205,MAX(1,$BE394)))),INDEX(Instruments!$G$6:$G$205,MAX(1,$BE394)),N(INDEX(Settings!$F$14:$F$18,$BF394))),6))))</f>
        <v/>
      </c>
      <c r="AK394" s="55" t="str">
        <f>IF($AM394=0,"",IF(ISNUMBER($O394),$O394,$AI394))</f>
        <v/>
      </c>
      <c r="AL394" s="55" t="str">
        <f>IF($AM394=0,"",IF(ISNUMBER($P394),$P394,N($AJ394)))</f>
        <v/>
      </c>
      <c r="AM394" s="56">
        <f>IF(AND($A394&lt;&gt;"",$E394&lt;&gt;"",OR(AND(ISNUMBER($G394),ISNUMBER($H394),ISNUMBER($K394)),ISNUMBER($O394))),1,0)</f>
        <v>0</v>
      </c>
      <c r="AN394" s="57" t="str">
        <f>IF($A394="","",$A394-WEEKDAY($A394,3))</f>
        <v/>
      </c>
      <c r="AO394" s="56" t="str">
        <f>IF($A394="","",WEEKDAY($A394,2))</f>
        <v/>
      </c>
      <c r="AP394" s="55" t="str">
        <f>IF(OR($AM394=0,$C394=""),"",IFERROR(N(INDEX(Accounts!$E$7:$E$16,MATCH($C394,Accounts!$B$7:$B$16,0))),0)+SUMIFS($Q$6:$Q394,$C$6:$C394,$C394))</f>
        <v/>
      </c>
      <c r="AQ394" s="55" t="str">
        <f>IF(OR($AM394=0,$C394=""),"",SUMIFS($Q$6:$Q$1005,$C$6:$C$1005,$C394,$A$6:$A$1005,$A394))</f>
        <v/>
      </c>
      <c r="AR394" s="55" t="str">
        <f>IF(OR($AM394=0,$C394=""),"",IFERROR(N(INDEX(Accounts!$E$7:$E$16,MATCH($C394,Accounts!$B$7:$B$16,0))),0)+SUMIFS($Q$6:$Q$1005,$C$6:$C$1005,$C394,$A$6:$A$1005,"&lt;="&amp;$A394))</f>
        <v/>
      </c>
      <c r="AS394" s="56">
        <f>IF(OR($AM394=0,$Q394=""),0,IF(AND($A394&gt;=Lists!$W$6,$A394&lt;=Lists!$W$7,OR(Dashboard!$D$6="All accounts",$C394=Dashboard!$D$6),OR(Dashboard!$D$7="All markets",$AF394=Dashboard!$D$7)),1,0))</f>
        <v>0</v>
      </c>
      <c r="AT394" s="55">
        <f>IF($AS394=1,N(AT393)+$Q394,N(AT393))</f>
        <v>1187.10688</v>
      </c>
      <c r="AU394" s="55">
        <f>MAX(N(AU393),$AT394)</f>
        <v>1187.10688</v>
      </c>
      <c r="AV394" s="55">
        <f>$AT394-$AU394</f>
        <v>0</v>
      </c>
      <c r="AW394" s="56">
        <f>IF($AS394=1,IF($S394="Win",N(AW393)+1,IF($S394="Loss",0,N(AW393))),N(AW393))</f>
        <v>5</v>
      </c>
      <c r="AX394" s="56">
        <f>IF($AS394=1,IF($S394="Loss",N(AX393)+1,IF($S394="Win",0,N(AX393))),N(AX393))</f>
        <v>0</v>
      </c>
      <c r="AY394" s="56" t="str">
        <f>IF($AS394=1,COUNTIF($AS$6:$AS394,1),"")</f>
        <v/>
      </c>
      <c r="AZ394" s="56">
        <f>MIN(388,N(Lists!$W$8))</f>
        <v>28</v>
      </c>
      <c r="BA394" s="56">
        <f>IF($AS394=1,IF(COUNTIFS($A$6:$A394,$A394,$AS$6:$AS394,1)=1,1,0),0)</f>
        <v>0</v>
      </c>
      <c r="BB394" s="55" t="str">
        <f>IF($BA394=1,SUMIFS($Q$6:$Q$1005,$A$6:$A$1005,$A394,$AS$6:$AS$1005,1),"")</f>
        <v/>
      </c>
      <c r="BC394" s="56">
        <f>IF(ISNUMBER($R394),1,0)</f>
        <v>0</v>
      </c>
      <c r="BD394" s="55" t="str">
        <f>IF(ISNUMBER($U394),$U394*$V394,"")</f>
        <v/>
      </c>
      <c r="BE394" s="56" t="str">
        <f>IF($AM394=0,"",IFERROR(MATCH($AF394&amp;"|"&amp;UPPER(TRIM($E394)),Lists!$A$6:$A$205,0),0))</f>
        <v/>
      </c>
      <c r="BF394" s="56" t="str">
        <f>IF($AM394=0,"",IFERROR(MATCH($AF394,Settings!$B$14:$B$18,0),IFERROR(MATCH(Settings!$C$6,Settings!$B$14:$B$18,0),1)))</f>
        <v/>
      </c>
      <c r="BG394" s="58" t="str">
        <f>IF($AM394=0,"",IF(NOT(ISNUMBER($I394)),"No stop; ","")&amp;IF(AND(ISNUMBER($H394),ISNUMBER($I394)),IF(OR(AND($F394&lt;&gt;"Short",$I394&gt;=$H394),AND($F394="Short",$I394&lt;=$H394)),"Stop on wrong side; ",""),"")&amp;IF($F394="","No direction; ","")&amp;IF(AND(ISNUMBER(Settings!$C$22),ISNUMBER($V394)),IF($V394&gt;Settings!$C$22,"Risk over max $; ",""),"")&amp;IF(AND(ISNUMBER(Settings!$C$23),ISNUMBER($V394),ISNUMBER($AP394),IFERROR(N(INDEX(Accounts!$E$7:$E$16,MATCH($C394,Accounts!$B$7:$B$16,0))),0)&gt;0),IF($V394&gt;Settings!$C$23*($AP394-N($Q394)),"Risk over max %; ",""),"")&amp;IF(AND(ISNUMBER(Settings!$C$24),ISNUMBER($N394)),IF($N394&gt;Settings!$C$24,"Leverage over max; ",""),"")&amp;IF(AND(ISNUMBER(Settings!$C$27),ISNUMBER($T394)),IF($T394&lt;Settings!$C$27,"R:R below min; ",""),"")&amp;IF(ISNUMBER(Settings!$C$25),IF(COUNTIFS($A$6:$A394,$A394,$AM$6:$AM394,1)&gt;Settings!$C$25,"Over max trades/day; ",""),"")&amp;IF(ISNUMBER(Settings!$C$26),IF(SUMIFS($Q$5:$Q393,$A$5:$A393,$A394)&lt;=-Settings!$C$26,"Traded after daily max loss; ",""),"")&amp;IF(AND($AG394="",NOT(ISNUMBER($O394))),"Symbol not in Instruments; ","")&amp;IF(AND($AH394="",NOT(ISNUMBER($O394))),"Forex cross: type Gross P&amp;L; ",""))</f>
        <v/>
      </c>
      <c r="BH394" s="56">
        <f>IF(ISNUMBER($Q394),1,0)</f>
        <v>0</v>
      </c>
      <c r="BI394" s="56">
        <f>IF($Y394="",0,1)</f>
        <v>0</v>
      </c>
      <c r="BJ394" s="56">
        <f>IF($AB394="",0,1)</f>
        <v>0</v>
      </c>
      <c r="BK394" s="56">
        <f>IF(AND($BH394=1,$W394&lt;&gt;"OK"),1,0)</f>
        <v>0</v>
      </c>
      <c r="BL394" s="55">
        <f>IF(N($AZ394)=0,0,IFERROR(INDEX($AT$6:$AT$1005,MATCH($AZ394,$AY$6:$AY$1005,0)),0))</f>
        <v>1187.10688</v>
      </c>
      <c r="BM394" s="56">
        <f>IF(ISNUMBER(SEARCH("daily max loss",$BG394)),1,0)</f>
        <v>0</v>
      </c>
    </row>
    <row r="395" ht="18" customHeight="1">
      <c r="A395" s="38" t="n"/>
      <c r="B395" s="39" t="n"/>
      <c r="C395" s="40" t="n"/>
      <c r="D395" s="41" t="n"/>
      <c r="E395" s="41" t="n"/>
      <c r="F395" s="41" t="n"/>
      <c r="G395" s="41" t="n"/>
      <c r="H395" s="42" t="n"/>
      <c r="I395" s="42" t="n"/>
      <c r="J395" s="42" t="n"/>
      <c r="K395" s="42" t="n"/>
      <c r="L395" s="41" t="n"/>
      <c r="M395" s="41" t="n"/>
      <c r="N395" s="41" t="n"/>
      <c r="O395" s="43" t="n"/>
      <c r="P395" s="43" t="n"/>
      <c r="Q395" s="44" t="str">
        <f>IF($AM395=0,"",IF(ISNUMBER($AK395),$AK395-N($AL395),""))</f>
        <v/>
      </c>
      <c r="R395" s="45" t="str">
        <f>IF(OR($Q395="",NOT(ISNUMBER($V395))),"",$AK395/$V395)</f>
        <v/>
      </c>
      <c r="S395" s="46" t="str">
        <f>IF($Q395="","",IF(AND(ISNUMBER($R395),ABS(N($R395))&lt;N(Settings!$C$8)),"Scratch",IF($Q395&gt;0,"Win",IF($Q395&lt;0,"Loss","Scratch"))))</f>
        <v/>
      </c>
      <c r="T395" s="47" t="str">
        <f>IF(OR($AM395=0,NOT(ISNUMBER($H395)),NOT(ISNUMBER($I395)),NOT(ISNUMBER($J395))),"",IF($H395=$I395,"",ROUND(ABS($J395-$H395)/ABS($H395-$I395),6)))</f>
        <v/>
      </c>
      <c r="U395" s="48" t="str">
        <f>IF(OR($S395&lt;&gt;"Win",NOT(ISNUMBER($T395)),NOT(ISNUMBER($R395))),"",MAX(0,$T395-$R395))</f>
        <v/>
      </c>
      <c r="V395" s="49" t="str">
        <f>IF(OR($AM395=0,NOT(ISNUMBER($H395)),NOT(ISNUMBER($I395)),NOT(ISNUMBER($G395))),"",IF(OR($AG395="",$AH395=""),"",IF(ROUND(ABS($H395-$I395)*ABS($G395)*$AG395*$AH395,6)=0,"",ROUND(ABS($H395-$I395)*ABS($G395)*$AG395*$AH395,6))))</f>
        <v/>
      </c>
      <c r="W395" s="50" t="str">
        <f>IF($AM395=0,"",IF($BG395="","OK",LEFT($BG395,LEN($BG395)-2)))</f>
        <v/>
      </c>
      <c r="X395" s="41" t="n"/>
      <c r="Y395" s="40" t="n"/>
      <c r="Z395" s="41" t="n"/>
      <c r="AA395" s="41" t="n"/>
      <c r="AB395" s="40" t="n"/>
      <c r="AC395" s="51" t="n"/>
      <c r="AD395" s="51" t="n"/>
      <c r="AE395" s="40" t="n"/>
      <c r="AF395" s="52" t="str">
        <f>IF($AM395=0,"",IF($D395&lt;&gt;"",$D395,IF(IFERROR(INDEX(Accounts!$C$7:$C$16,MATCH($C395,Accounts!$B$7:$B$16,0))&amp;"","")&lt;&gt;"",INDEX(Accounts!$C$7:$C$16,MATCH($C395,Accounts!$B$7:$B$16,0)),Settings!$C$6)))</f>
        <v/>
      </c>
      <c r="AG395" s="53" t="str">
        <f>IF($AM395=0,"",IF(AND($BE395&gt;0,N(INDEX(Instruments!$D$6:$D$205,MAX(1,$BE395)))&gt;0),INDEX(Instruments!$D$6:$D$205,MAX(1,$BE395)),IF(N(INDEX(Settings!$D$14:$D$18,$BF395))&gt;0,INDEX(Settings!$D$14:$D$18,$BF395),"")))</f>
        <v/>
      </c>
      <c r="AH395" s="54" t="str">
        <f>IF($AM395=0,"",IF($AF395&lt;&gt;"Forex",1,IF(MID(UPPER(SUBSTITUTE(TRIM($E395),"/","")),4,3)=UPPER(TRIM(Settings!$C$7)),1,IF(LEFT(UPPER(SUBSTITUTE(TRIM($E395),"/","")),3)=UPPER(TRIM(Settings!$C$7)),IF(AND(ISNUMBER($K395),N($K395)&lt;&gt;0),1/$K395,""),""))))</f>
        <v/>
      </c>
      <c r="AI395" s="55" t="str">
        <f>IF($AM395=0,"",IF(OR(NOT(ISNUMBER($H395)),NOT(ISNUMBER($K395)),NOT(ISNUMBER($G395)),$AG395="",$AH395=""),"",ROUND(($K395-$H395)*IF($F395="Short",-1,1)*$G395*$AG395*$AH395,6)))</f>
        <v/>
      </c>
      <c r="AJ395" s="55" t="str">
        <f>IF($AM395=0,"",IF(INDEX(Settings!$E$14:$E$18,$BF395)="% of notional",IF(OR($AG395="",NOT(ISNUMBER($H395)),NOT(ISNUMBER($G395))),"",ROUND(ABS($H395*$G395*$AG395*N($AH395))*IF($L395="Limit",N(INDEX(Settings!$G$14:$G$18,$BF395)),N(INDEX(Settings!$H$14:$H$18,$BF395)))+IF(ISNUMBER($K395),ABS($K395*$G395*$AG395*N($AH395))*IF($M395="Target",N(INDEX(Settings!$G$14:$G$18,$BF395)),N(INDEX(Settings!$H$14:$H$18,$BF395))),0),6)),IF(NOT(ISNUMBER($G395)),"",ROUND(ABS($G395)*2*IF(AND($BE395&gt;0,ISNUMBER(INDEX(Instruments!$G$6:$G$205,MAX(1,$BE395)))),INDEX(Instruments!$G$6:$G$205,MAX(1,$BE395)),N(INDEX(Settings!$F$14:$F$18,$BF395))),6))))</f>
        <v/>
      </c>
      <c r="AK395" s="55" t="str">
        <f>IF($AM395=0,"",IF(ISNUMBER($O395),$O395,$AI395))</f>
        <v/>
      </c>
      <c r="AL395" s="55" t="str">
        <f>IF($AM395=0,"",IF(ISNUMBER($P395),$P395,N($AJ395)))</f>
        <v/>
      </c>
      <c r="AM395" s="56">
        <f>IF(AND($A395&lt;&gt;"",$E395&lt;&gt;"",OR(AND(ISNUMBER($G395),ISNUMBER($H395),ISNUMBER($K395)),ISNUMBER($O395))),1,0)</f>
        <v>0</v>
      </c>
      <c r="AN395" s="57" t="str">
        <f>IF($A395="","",$A395-WEEKDAY($A395,3))</f>
        <v/>
      </c>
      <c r="AO395" s="56" t="str">
        <f>IF($A395="","",WEEKDAY($A395,2))</f>
        <v/>
      </c>
      <c r="AP395" s="55" t="str">
        <f>IF(OR($AM395=0,$C395=""),"",IFERROR(N(INDEX(Accounts!$E$7:$E$16,MATCH($C395,Accounts!$B$7:$B$16,0))),0)+SUMIFS($Q$6:$Q395,$C$6:$C395,$C395))</f>
        <v/>
      </c>
      <c r="AQ395" s="55" t="str">
        <f>IF(OR($AM395=0,$C395=""),"",SUMIFS($Q$6:$Q$1005,$C$6:$C$1005,$C395,$A$6:$A$1005,$A395))</f>
        <v/>
      </c>
      <c r="AR395" s="55" t="str">
        <f>IF(OR($AM395=0,$C395=""),"",IFERROR(N(INDEX(Accounts!$E$7:$E$16,MATCH($C395,Accounts!$B$7:$B$16,0))),0)+SUMIFS($Q$6:$Q$1005,$C$6:$C$1005,$C395,$A$6:$A$1005,"&lt;="&amp;$A395))</f>
        <v/>
      </c>
      <c r="AS395" s="56">
        <f>IF(OR($AM395=0,$Q395=""),0,IF(AND($A395&gt;=Lists!$W$6,$A395&lt;=Lists!$W$7,OR(Dashboard!$D$6="All accounts",$C395=Dashboard!$D$6),OR(Dashboard!$D$7="All markets",$AF395=Dashboard!$D$7)),1,0))</f>
        <v>0</v>
      </c>
      <c r="AT395" s="55">
        <f>IF($AS395=1,N(AT394)+$Q395,N(AT394))</f>
        <v>1187.10688</v>
      </c>
      <c r="AU395" s="55">
        <f>MAX(N(AU394),$AT395)</f>
        <v>1187.10688</v>
      </c>
      <c r="AV395" s="55">
        <f>$AT395-$AU395</f>
        <v>0</v>
      </c>
      <c r="AW395" s="56">
        <f>IF($AS395=1,IF($S395="Win",N(AW394)+1,IF($S395="Loss",0,N(AW394))),N(AW394))</f>
        <v>5</v>
      </c>
      <c r="AX395" s="56">
        <f>IF($AS395=1,IF($S395="Loss",N(AX394)+1,IF($S395="Win",0,N(AX394))),N(AX394))</f>
        <v>0</v>
      </c>
      <c r="AY395" s="56" t="str">
        <f>IF($AS395=1,COUNTIF($AS$6:$AS395,1),"")</f>
        <v/>
      </c>
      <c r="AZ395" s="56">
        <f>MIN(389,N(Lists!$W$8))</f>
        <v>28</v>
      </c>
      <c r="BA395" s="56">
        <f>IF($AS395=1,IF(COUNTIFS($A$6:$A395,$A395,$AS$6:$AS395,1)=1,1,0),0)</f>
        <v>0</v>
      </c>
      <c r="BB395" s="55" t="str">
        <f>IF($BA395=1,SUMIFS($Q$6:$Q$1005,$A$6:$A$1005,$A395,$AS$6:$AS$1005,1),"")</f>
        <v/>
      </c>
      <c r="BC395" s="56">
        <f>IF(ISNUMBER($R395),1,0)</f>
        <v>0</v>
      </c>
      <c r="BD395" s="55" t="str">
        <f>IF(ISNUMBER($U395),$U395*$V395,"")</f>
        <v/>
      </c>
      <c r="BE395" s="56" t="str">
        <f>IF($AM395=0,"",IFERROR(MATCH($AF395&amp;"|"&amp;UPPER(TRIM($E395)),Lists!$A$6:$A$205,0),0))</f>
        <v/>
      </c>
      <c r="BF395" s="56" t="str">
        <f>IF($AM395=0,"",IFERROR(MATCH($AF395,Settings!$B$14:$B$18,0),IFERROR(MATCH(Settings!$C$6,Settings!$B$14:$B$18,0),1)))</f>
        <v/>
      </c>
      <c r="BG395" s="58" t="str">
        <f>IF($AM395=0,"",IF(NOT(ISNUMBER($I395)),"No stop; ","")&amp;IF(AND(ISNUMBER($H395),ISNUMBER($I395)),IF(OR(AND($F395&lt;&gt;"Short",$I395&gt;=$H395),AND($F395="Short",$I395&lt;=$H395)),"Stop on wrong side; ",""),"")&amp;IF($F395="","No direction; ","")&amp;IF(AND(ISNUMBER(Settings!$C$22),ISNUMBER($V395)),IF($V395&gt;Settings!$C$22,"Risk over max $; ",""),"")&amp;IF(AND(ISNUMBER(Settings!$C$23),ISNUMBER($V395),ISNUMBER($AP395),IFERROR(N(INDEX(Accounts!$E$7:$E$16,MATCH($C395,Accounts!$B$7:$B$16,0))),0)&gt;0),IF($V395&gt;Settings!$C$23*($AP395-N($Q395)),"Risk over max %; ",""),"")&amp;IF(AND(ISNUMBER(Settings!$C$24),ISNUMBER($N395)),IF($N395&gt;Settings!$C$24,"Leverage over max; ",""),"")&amp;IF(AND(ISNUMBER(Settings!$C$27),ISNUMBER($T395)),IF($T395&lt;Settings!$C$27,"R:R below min; ",""),"")&amp;IF(ISNUMBER(Settings!$C$25),IF(COUNTIFS($A$6:$A395,$A395,$AM$6:$AM395,1)&gt;Settings!$C$25,"Over max trades/day; ",""),"")&amp;IF(ISNUMBER(Settings!$C$26),IF(SUMIFS($Q$5:$Q394,$A$5:$A394,$A395)&lt;=-Settings!$C$26,"Traded after daily max loss; ",""),"")&amp;IF(AND($AG395="",NOT(ISNUMBER($O395))),"Symbol not in Instruments; ","")&amp;IF(AND($AH395="",NOT(ISNUMBER($O395))),"Forex cross: type Gross P&amp;L; ",""))</f>
        <v/>
      </c>
      <c r="BH395" s="56">
        <f>IF(ISNUMBER($Q395),1,0)</f>
        <v>0</v>
      </c>
      <c r="BI395" s="56">
        <f>IF($Y395="",0,1)</f>
        <v>0</v>
      </c>
      <c r="BJ395" s="56">
        <f>IF($AB395="",0,1)</f>
        <v>0</v>
      </c>
      <c r="BK395" s="56">
        <f>IF(AND($BH395=1,$W395&lt;&gt;"OK"),1,0)</f>
        <v>0</v>
      </c>
      <c r="BL395" s="55">
        <f>IF(N($AZ395)=0,0,IFERROR(INDEX($AT$6:$AT$1005,MATCH($AZ395,$AY$6:$AY$1005,0)),0))</f>
        <v>1187.10688</v>
      </c>
      <c r="BM395" s="56">
        <f>IF(ISNUMBER(SEARCH("daily max loss",$BG395)),1,0)</f>
        <v>0</v>
      </c>
    </row>
    <row r="396" ht="18" customHeight="1">
      <c r="A396" s="38" t="n"/>
      <c r="B396" s="39" t="n"/>
      <c r="C396" s="40" t="n"/>
      <c r="D396" s="41" t="n"/>
      <c r="E396" s="41" t="n"/>
      <c r="F396" s="41" t="n"/>
      <c r="G396" s="41" t="n"/>
      <c r="H396" s="42" t="n"/>
      <c r="I396" s="42" t="n"/>
      <c r="J396" s="42" t="n"/>
      <c r="K396" s="42" t="n"/>
      <c r="L396" s="41" t="n"/>
      <c r="M396" s="41" t="n"/>
      <c r="N396" s="41" t="n"/>
      <c r="O396" s="43" t="n"/>
      <c r="P396" s="43" t="n"/>
      <c r="Q396" s="44" t="str">
        <f>IF($AM396=0,"",IF(ISNUMBER($AK396),$AK396-N($AL396),""))</f>
        <v/>
      </c>
      <c r="R396" s="45" t="str">
        <f>IF(OR($Q396="",NOT(ISNUMBER($V396))),"",$AK396/$V396)</f>
        <v/>
      </c>
      <c r="S396" s="46" t="str">
        <f>IF($Q396="","",IF(AND(ISNUMBER($R396),ABS(N($R396))&lt;N(Settings!$C$8)),"Scratch",IF($Q396&gt;0,"Win",IF($Q396&lt;0,"Loss","Scratch"))))</f>
        <v/>
      </c>
      <c r="T396" s="47" t="str">
        <f>IF(OR($AM396=0,NOT(ISNUMBER($H396)),NOT(ISNUMBER($I396)),NOT(ISNUMBER($J396))),"",IF($H396=$I396,"",ROUND(ABS($J396-$H396)/ABS($H396-$I396),6)))</f>
        <v/>
      </c>
      <c r="U396" s="48" t="str">
        <f>IF(OR($S396&lt;&gt;"Win",NOT(ISNUMBER($T396)),NOT(ISNUMBER($R396))),"",MAX(0,$T396-$R396))</f>
        <v/>
      </c>
      <c r="V396" s="49" t="str">
        <f>IF(OR($AM396=0,NOT(ISNUMBER($H396)),NOT(ISNUMBER($I396)),NOT(ISNUMBER($G396))),"",IF(OR($AG396="",$AH396=""),"",IF(ROUND(ABS($H396-$I396)*ABS($G396)*$AG396*$AH396,6)=0,"",ROUND(ABS($H396-$I396)*ABS($G396)*$AG396*$AH396,6))))</f>
        <v/>
      </c>
      <c r="W396" s="50" t="str">
        <f>IF($AM396=0,"",IF($BG396="","OK",LEFT($BG396,LEN($BG396)-2)))</f>
        <v/>
      </c>
      <c r="X396" s="41" t="n"/>
      <c r="Y396" s="40" t="n"/>
      <c r="Z396" s="41" t="n"/>
      <c r="AA396" s="41" t="n"/>
      <c r="AB396" s="40" t="n"/>
      <c r="AC396" s="51" t="n"/>
      <c r="AD396" s="51" t="n"/>
      <c r="AE396" s="40" t="n"/>
      <c r="AF396" s="52" t="str">
        <f>IF($AM396=0,"",IF($D396&lt;&gt;"",$D396,IF(IFERROR(INDEX(Accounts!$C$7:$C$16,MATCH($C396,Accounts!$B$7:$B$16,0))&amp;"","")&lt;&gt;"",INDEX(Accounts!$C$7:$C$16,MATCH($C396,Accounts!$B$7:$B$16,0)),Settings!$C$6)))</f>
        <v/>
      </c>
      <c r="AG396" s="53" t="str">
        <f>IF($AM396=0,"",IF(AND($BE396&gt;0,N(INDEX(Instruments!$D$6:$D$205,MAX(1,$BE396)))&gt;0),INDEX(Instruments!$D$6:$D$205,MAX(1,$BE396)),IF(N(INDEX(Settings!$D$14:$D$18,$BF396))&gt;0,INDEX(Settings!$D$14:$D$18,$BF396),"")))</f>
        <v/>
      </c>
      <c r="AH396" s="54" t="str">
        <f>IF($AM396=0,"",IF($AF396&lt;&gt;"Forex",1,IF(MID(UPPER(SUBSTITUTE(TRIM($E396),"/","")),4,3)=UPPER(TRIM(Settings!$C$7)),1,IF(LEFT(UPPER(SUBSTITUTE(TRIM($E396),"/","")),3)=UPPER(TRIM(Settings!$C$7)),IF(AND(ISNUMBER($K396),N($K396)&lt;&gt;0),1/$K396,""),""))))</f>
        <v/>
      </c>
      <c r="AI396" s="55" t="str">
        <f>IF($AM396=0,"",IF(OR(NOT(ISNUMBER($H396)),NOT(ISNUMBER($K396)),NOT(ISNUMBER($G396)),$AG396="",$AH396=""),"",ROUND(($K396-$H396)*IF($F396="Short",-1,1)*$G396*$AG396*$AH396,6)))</f>
        <v/>
      </c>
      <c r="AJ396" s="55" t="str">
        <f>IF($AM396=0,"",IF(INDEX(Settings!$E$14:$E$18,$BF396)="% of notional",IF(OR($AG396="",NOT(ISNUMBER($H396)),NOT(ISNUMBER($G396))),"",ROUND(ABS($H396*$G396*$AG396*N($AH396))*IF($L396="Limit",N(INDEX(Settings!$G$14:$G$18,$BF396)),N(INDEX(Settings!$H$14:$H$18,$BF396)))+IF(ISNUMBER($K396),ABS($K396*$G396*$AG396*N($AH396))*IF($M396="Target",N(INDEX(Settings!$G$14:$G$18,$BF396)),N(INDEX(Settings!$H$14:$H$18,$BF396))),0),6)),IF(NOT(ISNUMBER($G396)),"",ROUND(ABS($G396)*2*IF(AND($BE396&gt;0,ISNUMBER(INDEX(Instruments!$G$6:$G$205,MAX(1,$BE396)))),INDEX(Instruments!$G$6:$G$205,MAX(1,$BE396)),N(INDEX(Settings!$F$14:$F$18,$BF396))),6))))</f>
        <v/>
      </c>
      <c r="AK396" s="55" t="str">
        <f>IF($AM396=0,"",IF(ISNUMBER($O396),$O396,$AI396))</f>
        <v/>
      </c>
      <c r="AL396" s="55" t="str">
        <f>IF($AM396=0,"",IF(ISNUMBER($P396),$P396,N($AJ396)))</f>
        <v/>
      </c>
      <c r="AM396" s="56">
        <f>IF(AND($A396&lt;&gt;"",$E396&lt;&gt;"",OR(AND(ISNUMBER($G396),ISNUMBER($H396),ISNUMBER($K396)),ISNUMBER($O396))),1,0)</f>
        <v>0</v>
      </c>
      <c r="AN396" s="57" t="str">
        <f>IF($A396="","",$A396-WEEKDAY($A396,3))</f>
        <v/>
      </c>
      <c r="AO396" s="56" t="str">
        <f>IF($A396="","",WEEKDAY($A396,2))</f>
        <v/>
      </c>
      <c r="AP396" s="55" t="str">
        <f>IF(OR($AM396=0,$C396=""),"",IFERROR(N(INDEX(Accounts!$E$7:$E$16,MATCH($C396,Accounts!$B$7:$B$16,0))),0)+SUMIFS($Q$6:$Q396,$C$6:$C396,$C396))</f>
        <v/>
      </c>
      <c r="AQ396" s="55" t="str">
        <f>IF(OR($AM396=0,$C396=""),"",SUMIFS($Q$6:$Q$1005,$C$6:$C$1005,$C396,$A$6:$A$1005,$A396))</f>
        <v/>
      </c>
      <c r="AR396" s="55" t="str">
        <f>IF(OR($AM396=0,$C396=""),"",IFERROR(N(INDEX(Accounts!$E$7:$E$16,MATCH($C396,Accounts!$B$7:$B$16,0))),0)+SUMIFS($Q$6:$Q$1005,$C$6:$C$1005,$C396,$A$6:$A$1005,"&lt;="&amp;$A396))</f>
        <v/>
      </c>
      <c r="AS396" s="56">
        <f>IF(OR($AM396=0,$Q396=""),0,IF(AND($A396&gt;=Lists!$W$6,$A396&lt;=Lists!$W$7,OR(Dashboard!$D$6="All accounts",$C396=Dashboard!$D$6),OR(Dashboard!$D$7="All markets",$AF396=Dashboard!$D$7)),1,0))</f>
        <v>0</v>
      </c>
      <c r="AT396" s="55">
        <f>IF($AS396=1,N(AT395)+$Q396,N(AT395))</f>
        <v>1187.10688</v>
      </c>
      <c r="AU396" s="55">
        <f>MAX(N(AU395),$AT396)</f>
        <v>1187.10688</v>
      </c>
      <c r="AV396" s="55">
        <f>$AT396-$AU396</f>
        <v>0</v>
      </c>
      <c r="AW396" s="56">
        <f>IF($AS396=1,IF($S396="Win",N(AW395)+1,IF($S396="Loss",0,N(AW395))),N(AW395))</f>
        <v>5</v>
      </c>
      <c r="AX396" s="56">
        <f>IF($AS396=1,IF($S396="Loss",N(AX395)+1,IF($S396="Win",0,N(AX395))),N(AX395))</f>
        <v>0</v>
      </c>
      <c r="AY396" s="56" t="str">
        <f>IF($AS396=1,COUNTIF($AS$6:$AS396,1),"")</f>
        <v/>
      </c>
      <c r="AZ396" s="56">
        <f>MIN(390,N(Lists!$W$8))</f>
        <v>28</v>
      </c>
      <c r="BA396" s="56">
        <f>IF($AS396=1,IF(COUNTIFS($A$6:$A396,$A396,$AS$6:$AS396,1)=1,1,0),0)</f>
        <v>0</v>
      </c>
      <c r="BB396" s="55" t="str">
        <f>IF($BA396=1,SUMIFS($Q$6:$Q$1005,$A$6:$A$1005,$A396,$AS$6:$AS$1005,1),"")</f>
        <v/>
      </c>
      <c r="BC396" s="56">
        <f>IF(ISNUMBER($R396),1,0)</f>
        <v>0</v>
      </c>
      <c r="BD396" s="55" t="str">
        <f>IF(ISNUMBER($U396),$U396*$V396,"")</f>
        <v/>
      </c>
      <c r="BE396" s="56" t="str">
        <f>IF($AM396=0,"",IFERROR(MATCH($AF396&amp;"|"&amp;UPPER(TRIM($E396)),Lists!$A$6:$A$205,0),0))</f>
        <v/>
      </c>
      <c r="BF396" s="56" t="str">
        <f>IF($AM396=0,"",IFERROR(MATCH($AF396,Settings!$B$14:$B$18,0),IFERROR(MATCH(Settings!$C$6,Settings!$B$14:$B$18,0),1)))</f>
        <v/>
      </c>
      <c r="BG396" s="58" t="str">
        <f>IF($AM396=0,"",IF(NOT(ISNUMBER($I396)),"No stop; ","")&amp;IF(AND(ISNUMBER($H396),ISNUMBER($I396)),IF(OR(AND($F396&lt;&gt;"Short",$I396&gt;=$H396),AND($F396="Short",$I396&lt;=$H396)),"Stop on wrong side; ",""),"")&amp;IF($F396="","No direction; ","")&amp;IF(AND(ISNUMBER(Settings!$C$22),ISNUMBER($V396)),IF($V396&gt;Settings!$C$22,"Risk over max $; ",""),"")&amp;IF(AND(ISNUMBER(Settings!$C$23),ISNUMBER($V396),ISNUMBER($AP396),IFERROR(N(INDEX(Accounts!$E$7:$E$16,MATCH($C396,Accounts!$B$7:$B$16,0))),0)&gt;0),IF($V396&gt;Settings!$C$23*($AP396-N($Q396)),"Risk over max %; ",""),"")&amp;IF(AND(ISNUMBER(Settings!$C$24),ISNUMBER($N396)),IF($N396&gt;Settings!$C$24,"Leverage over max; ",""),"")&amp;IF(AND(ISNUMBER(Settings!$C$27),ISNUMBER($T396)),IF($T396&lt;Settings!$C$27,"R:R below min; ",""),"")&amp;IF(ISNUMBER(Settings!$C$25),IF(COUNTIFS($A$6:$A396,$A396,$AM$6:$AM396,1)&gt;Settings!$C$25,"Over max trades/day; ",""),"")&amp;IF(ISNUMBER(Settings!$C$26),IF(SUMIFS($Q$5:$Q395,$A$5:$A395,$A396)&lt;=-Settings!$C$26,"Traded after daily max loss; ",""),"")&amp;IF(AND($AG396="",NOT(ISNUMBER($O396))),"Symbol not in Instruments; ","")&amp;IF(AND($AH396="",NOT(ISNUMBER($O396))),"Forex cross: type Gross P&amp;L; ",""))</f>
        <v/>
      </c>
      <c r="BH396" s="56">
        <f>IF(ISNUMBER($Q396),1,0)</f>
        <v>0</v>
      </c>
      <c r="BI396" s="56">
        <f>IF($Y396="",0,1)</f>
        <v>0</v>
      </c>
      <c r="BJ396" s="56">
        <f>IF($AB396="",0,1)</f>
        <v>0</v>
      </c>
      <c r="BK396" s="56">
        <f>IF(AND($BH396=1,$W396&lt;&gt;"OK"),1,0)</f>
        <v>0</v>
      </c>
      <c r="BL396" s="55">
        <f>IF(N($AZ396)=0,0,IFERROR(INDEX($AT$6:$AT$1005,MATCH($AZ396,$AY$6:$AY$1005,0)),0))</f>
        <v>1187.10688</v>
      </c>
      <c r="BM396" s="56">
        <f>IF(ISNUMBER(SEARCH("daily max loss",$BG396)),1,0)</f>
        <v>0</v>
      </c>
    </row>
    <row r="397" ht="18" customHeight="1">
      <c r="A397" s="38" t="n"/>
      <c r="B397" s="39" t="n"/>
      <c r="C397" s="40" t="n"/>
      <c r="D397" s="41" t="n"/>
      <c r="E397" s="41" t="n"/>
      <c r="F397" s="41" t="n"/>
      <c r="G397" s="41" t="n"/>
      <c r="H397" s="42" t="n"/>
      <c r="I397" s="42" t="n"/>
      <c r="J397" s="42" t="n"/>
      <c r="K397" s="42" t="n"/>
      <c r="L397" s="41" t="n"/>
      <c r="M397" s="41" t="n"/>
      <c r="N397" s="41" t="n"/>
      <c r="O397" s="43" t="n"/>
      <c r="P397" s="43" t="n"/>
      <c r="Q397" s="44" t="str">
        <f>IF($AM397=0,"",IF(ISNUMBER($AK397),$AK397-N($AL397),""))</f>
        <v/>
      </c>
      <c r="R397" s="45" t="str">
        <f>IF(OR($Q397="",NOT(ISNUMBER($V397))),"",$AK397/$V397)</f>
        <v/>
      </c>
      <c r="S397" s="46" t="str">
        <f>IF($Q397="","",IF(AND(ISNUMBER($R397),ABS(N($R397))&lt;N(Settings!$C$8)),"Scratch",IF($Q397&gt;0,"Win",IF($Q397&lt;0,"Loss","Scratch"))))</f>
        <v/>
      </c>
      <c r="T397" s="47" t="str">
        <f>IF(OR($AM397=0,NOT(ISNUMBER($H397)),NOT(ISNUMBER($I397)),NOT(ISNUMBER($J397))),"",IF($H397=$I397,"",ROUND(ABS($J397-$H397)/ABS($H397-$I397),6)))</f>
        <v/>
      </c>
      <c r="U397" s="48" t="str">
        <f>IF(OR($S397&lt;&gt;"Win",NOT(ISNUMBER($T397)),NOT(ISNUMBER($R397))),"",MAX(0,$T397-$R397))</f>
        <v/>
      </c>
      <c r="V397" s="49" t="str">
        <f>IF(OR($AM397=0,NOT(ISNUMBER($H397)),NOT(ISNUMBER($I397)),NOT(ISNUMBER($G397))),"",IF(OR($AG397="",$AH397=""),"",IF(ROUND(ABS($H397-$I397)*ABS($G397)*$AG397*$AH397,6)=0,"",ROUND(ABS($H397-$I397)*ABS($G397)*$AG397*$AH397,6))))</f>
        <v/>
      </c>
      <c r="W397" s="50" t="str">
        <f>IF($AM397=0,"",IF($BG397="","OK",LEFT($BG397,LEN($BG397)-2)))</f>
        <v/>
      </c>
      <c r="X397" s="41" t="n"/>
      <c r="Y397" s="40" t="n"/>
      <c r="Z397" s="41" t="n"/>
      <c r="AA397" s="41" t="n"/>
      <c r="AB397" s="40" t="n"/>
      <c r="AC397" s="51" t="n"/>
      <c r="AD397" s="51" t="n"/>
      <c r="AE397" s="40" t="n"/>
      <c r="AF397" s="52" t="str">
        <f>IF($AM397=0,"",IF($D397&lt;&gt;"",$D397,IF(IFERROR(INDEX(Accounts!$C$7:$C$16,MATCH($C397,Accounts!$B$7:$B$16,0))&amp;"","")&lt;&gt;"",INDEX(Accounts!$C$7:$C$16,MATCH($C397,Accounts!$B$7:$B$16,0)),Settings!$C$6)))</f>
        <v/>
      </c>
      <c r="AG397" s="53" t="str">
        <f>IF($AM397=0,"",IF(AND($BE397&gt;0,N(INDEX(Instruments!$D$6:$D$205,MAX(1,$BE397)))&gt;0),INDEX(Instruments!$D$6:$D$205,MAX(1,$BE397)),IF(N(INDEX(Settings!$D$14:$D$18,$BF397))&gt;0,INDEX(Settings!$D$14:$D$18,$BF397),"")))</f>
        <v/>
      </c>
      <c r="AH397" s="54" t="str">
        <f>IF($AM397=0,"",IF($AF397&lt;&gt;"Forex",1,IF(MID(UPPER(SUBSTITUTE(TRIM($E397),"/","")),4,3)=UPPER(TRIM(Settings!$C$7)),1,IF(LEFT(UPPER(SUBSTITUTE(TRIM($E397),"/","")),3)=UPPER(TRIM(Settings!$C$7)),IF(AND(ISNUMBER($K397),N($K397)&lt;&gt;0),1/$K397,""),""))))</f>
        <v/>
      </c>
      <c r="AI397" s="55" t="str">
        <f>IF($AM397=0,"",IF(OR(NOT(ISNUMBER($H397)),NOT(ISNUMBER($K397)),NOT(ISNUMBER($G397)),$AG397="",$AH397=""),"",ROUND(($K397-$H397)*IF($F397="Short",-1,1)*$G397*$AG397*$AH397,6)))</f>
        <v/>
      </c>
      <c r="AJ397" s="55" t="str">
        <f>IF($AM397=0,"",IF(INDEX(Settings!$E$14:$E$18,$BF397)="% of notional",IF(OR($AG397="",NOT(ISNUMBER($H397)),NOT(ISNUMBER($G397))),"",ROUND(ABS($H397*$G397*$AG397*N($AH397))*IF($L397="Limit",N(INDEX(Settings!$G$14:$G$18,$BF397)),N(INDEX(Settings!$H$14:$H$18,$BF397)))+IF(ISNUMBER($K397),ABS($K397*$G397*$AG397*N($AH397))*IF($M397="Target",N(INDEX(Settings!$G$14:$G$18,$BF397)),N(INDEX(Settings!$H$14:$H$18,$BF397))),0),6)),IF(NOT(ISNUMBER($G397)),"",ROUND(ABS($G397)*2*IF(AND($BE397&gt;0,ISNUMBER(INDEX(Instruments!$G$6:$G$205,MAX(1,$BE397)))),INDEX(Instruments!$G$6:$G$205,MAX(1,$BE397)),N(INDEX(Settings!$F$14:$F$18,$BF397))),6))))</f>
        <v/>
      </c>
      <c r="AK397" s="55" t="str">
        <f>IF($AM397=0,"",IF(ISNUMBER($O397),$O397,$AI397))</f>
        <v/>
      </c>
      <c r="AL397" s="55" t="str">
        <f>IF($AM397=0,"",IF(ISNUMBER($P397),$P397,N($AJ397)))</f>
        <v/>
      </c>
      <c r="AM397" s="56">
        <f>IF(AND($A397&lt;&gt;"",$E397&lt;&gt;"",OR(AND(ISNUMBER($G397),ISNUMBER($H397),ISNUMBER($K397)),ISNUMBER($O397))),1,0)</f>
        <v>0</v>
      </c>
      <c r="AN397" s="57" t="str">
        <f>IF($A397="","",$A397-WEEKDAY($A397,3))</f>
        <v/>
      </c>
      <c r="AO397" s="56" t="str">
        <f>IF($A397="","",WEEKDAY($A397,2))</f>
        <v/>
      </c>
      <c r="AP397" s="55" t="str">
        <f>IF(OR($AM397=0,$C397=""),"",IFERROR(N(INDEX(Accounts!$E$7:$E$16,MATCH($C397,Accounts!$B$7:$B$16,0))),0)+SUMIFS($Q$6:$Q397,$C$6:$C397,$C397))</f>
        <v/>
      </c>
      <c r="AQ397" s="55" t="str">
        <f>IF(OR($AM397=0,$C397=""),"",SUMIFS($Q$6:$Q$1005,$C$6:$C$1005,$C397,$A$6:$A$1005,$A397))</f>
        <v/>
      </c>
      <c r="AR397" s="55" t="str">
        <f>IF(OR($AM397=0,$C397=""),"",IFERROR(N(INDEX(Accounts!$E$7:$E$16,MATCH($C397,Accounts!$B$7:$B$16,0))),0)+SUMIFS($Q$6:$Q$1005,$C$6:$C$1005,$C397,$A$6:$A$1005,"&lt;="&amp;$A397))</f>
        <v/>
      </c>
      <c r="AS397" s="56">
        <f>IF(OR($AM397=0,$Q397=""),0,IF(AND($A397&gt;=Lists!$W$6,$A397&lt;=Lists!$W$7,OR(Dashboard!$D$6="All accounts",$C397=Dashboard!$D$6),OR(Dashboard!$D$7="All markets",$AF397=Dashboard!$D$7)),1,0))</f>
        <v>0</v>
      </c>
      <c r="AT397" s="55">
        <f>IF($AS397=1,N(AT396)+$Q397,N(AT396))</f>
        <v>1187.10688</v>
      </c>
      <c r="AU397" s="55">
        <f>MAX(N(AU396),$AT397)</f>
        <v>1187.10688</v>
      </c>
      <c r="AV397" s="55">
        <f>$AT397-$AU397</f>
        <v>0</v>
      </c>
      <c r="AW397" s="56">
        <f>IF($AS397=1,IF($S397="Win",N(AW396)+1,IF($S397="Loss",0,N(AW396))),N(AW396))</f>
        <v>5</v>
      </c>
      <c r="AX397" s="56">
        <f>IF($AS397=1,IF($S397="Loss",N(AX396)+1,IF($S397="Win",0,N(AX396))),N(AX396))</f>
        <v>0</v>
      </c>
      <c r="AY397" s="56" t="str">
        <f>IF($AS397=1,COUNTIF($AS$6:$AS397,1),"")</f>
        <v/>
      </c>
      <c r="AZ397" s="56">
        <f>MIN(391,N(Lists!$W$8))</f>
        <v>28</v>
      </c>
      <c r="BA397" s="56">
        <f>IF($AS397=1,IF(COUNTIFS($A$6:$A397,$A397,$AS$6:$AS397,1)=1,1,0),0)</f>
        <v>0</v>
      </c>
      <c r="BB397" s="55" t="str">
        <f>IF($BA397=1,SUMIFS($Q$6:$Q$1005,$A$6:$A$1005,$A397,$AS$6:$AS$1005,1),"")</f>
        <v/>
      </c>
      <c r="BC397" s="56">
        <f>IF(ISNUMBER($R397),1,0)</f>
        <v>0</v>
      </c>
      <c r="BD397" s="55" t="str">
        <f>IF(ISNUMBER($U397),$U397*$V397,"")</f>
        <v/>
      </c>
      <c r="BE397" s="56" t="str">
        <f>IF($AM397=0,"",IFERROR(MATCH($AF397&amp;"|"&amp;UPPER(TRIM($E397)),Lists!$A$6:$A$205,0),0))</f>
        <v/>
      </c>
      <c r="BF397" s="56" t="str">
        <f>IF($AM397=0,"",IFERROR(MATCH($AF397,Settings!$B$14:$B$18,0),IFERROR(MATCH(Settings!$C$6,Settings!$B$14:$B$18,0),1)))</f>
        <v/>
      </c>
      <c r="BG397" s="58" t="str">
        <f>IF($AM397=0,"",IF(NOT(ISNUMBER($I397)),"No stop; ","")&amp;IF(AND(ISNUMBER($H397),ISNUMBER($I397)),IF(OR(AND($F397&lt;&gt;"Short",$I397&gt;=$H397),AND($F397="Short",$I397&lt;=$H397)),"Stop on wrong side; ",""),"")&amp;IF($F397="","No direction; ","")&amp;IF(AND(ISNUMBER(Settings!$C$22),ISNUMBER($V397)),IF($V397&gt;Settings!$C$22,"Risk over max $; ",""),"")&amp;IF(AND(ISNUMBER(Settings!$C$23),ISNUMBER($V397),ISNUMBER($AP397),IFERROR(N(INDEX(Accounts!$E$7:$E$16,MATCH($C397,Accounts!$B$7:$B$16,0))),0)&gt;0),IF($V397&gt;Settings!$C$23*($AP397-N($Q397)),"Risk over max %; ",""),"")&amp;IF(AND(ISNUMBER(Settings!$C$24),ISNUMBER($N397)),IF($N397&gt;Settings!$C$24,"Leverage over max; ",""),"")&amp;IF(AND(ISNUMBER(Settings!$C$27),ISNUMBER($T397)),IF($T397&lt;Settings!$C$27,"R:R below min; ",""),"")&amp;IF(ISNUMBER(Settings!$C$25),IF(COUNTIFS($A$6:$A397,$A397,$AM$6:$AM397,1)&gt;Settings!$C$25,"Over max trades/day; ",""),"")&amp;IF(ISNUMBER(Settings!$C$26),IF(SUMIFS($Q$5:$Q396,$A$5:$A396,$A397)&lt;=-Settings!$C$26,"Traded after daily max loss; ",""),"")&amp;IF(AND($AG397="",NOT(ISNUMBER($O397))),"Symbol not in Instruments; ","")&amp;IF(AND($AH397="",NOT(ISNUMBER($O397))),"Forex cross: type Gross P&amp;L; ",""))</f>
        <v/>
      </c>
      <c r="BH397" s="56">
        <f>IF(ISNUMBER($Q397),1,0)</f>
        <v>0</v>
      </c>
      <c r="BI397" s="56">
        <f>IF($Y397="",0,1)</f>
        <v>0</v>
      </c>
      <c r="BJ397" s="56">
        <f>IF($AB397="",0,1)</f>
        <v>0</v>
      </c>
      <c r="BK397" s="56">
        <f>IF(AND($BH397=1,$W397&lt;&gt;"OK"),1,0)</f>
        <v>0</v>
      </c>
      <c r="BL397" s="55">
        <f>IF(N($AZ397)=0,0,IFERROR(INDEX($AT$6:$AT$1005,MATCH($AZ397,$AY$6:$AY$1005,0)),0))</f>
        <v>1187.10688</v>
      </c>
      <c r="BM397" s="56">
        <f>IF(ISNUMBER(SEARCH("daily max loss",$BG397)),1,0)</f>
        <v>0</v>
      </c>
    </row>
    <row r="398" ht="18" customHeight="1">
      <c r="A398" s="38" t="n"/>
      <c r="B398" s="39" t="n"/>
      <c r="C398" s="40" t="n"/>
      <c r="D398" s="41" t="n"/>
      <c r="E398" s="41" t="n"/>
      <c r="F398" s="41" t="n"/>
      <c r="G398" s="41" t="n"/>
      <c r="H398" s="42" t="n"/>
      <c r="I398" s="42" t="n"/>
      <c r="J398" s="42" t="n"/>
      <c r="K398" s="42" t="n"/>
      <c r="L398" s="41" t="n"/>
      <c r="M398" s="41" t="n"/>
      <c r="N398" s="41" t="n"/>
      <c r="O398" s="43" t="n"/>
      <c r="P398" s="43" t="n"/>
      <c r="Q398" s="44" t="str">
        <f>IF($AM398=0,"",IF(ISNUMBER($AK398),$AK398-N($AL398),""))</f>
        <v/>
      </c>
      <c r="R398" s="45" t="str">
        <f>IF(OR($Q398="",NOT(ISNUMBER($V398))),"",$AK398/$V398)</f>
        <v/>
      </c>
      <c r="S398" s="46" t="str">
        <f>IF($Q398="","",IF(AND(ISNUMBER($R398),ABS(N($R398))&lt;N(Settings!$C$8)),"Scratch",IF($Q398&gt;0,"Win",IF($Q398&lt;0,"Loss","Scratch"))))</f>
        <v/>
      </c>
      <c r="T398" s="47" t="str">
        <f>IF(OR($AM398=0,NOT(ISNUMBER($H398)),NOT(ISNUMBER($I398)),NOT(ISNUMBER($J398))),"",IF($H398=$I398,"",ROUND(ABS($J398-$H398)/ABS($H398-$I398),6)))</f>
        <v/>
      </c>
      <c r="U398" s="48" t="str">
        <f>IF(OR($S398&lt;&gt;"Win",NOT(ISNUMBER($T398)),NOT(ISNUMBER($R398))),"",MAX(0,$T398-$R398))</f>
        <v/>
      </c>
      <c r="V398" s="49" t="str">
        <f>IF(OR($AM398=0,NOT(ISNUMBER($H398)),NOT(ISNUMBER($I398)),NOT(ISNUMBER($G398))),"",IF(OR($AG398="",$AH398=""),"",IF(ROUND(ABS($H398-$I398)*ABS($G398)*$AG398*$AH398,6)=0,"",ROUND(ABS($H398-$I398)*ABS($G398)*$AG398*$AH398,6))))</f>
        <v/>
      </c>
      <c r="W398" s="50" t="str">
        <f>IF($AM398=0,"",IF($BG398="","OK",LEFT($BG398,LEN($BG398)-2)))</f>
        <v/>
      </c>
      <c r="X398" s="41" t="n"/>
      <c r="Y398" s="40" t="n"/>
      <c r="Z398" s="41" t="n"/>
      <c r="AA398" s="41" t="n"/>
      <c r="AB398" s="40" t="n"/>
      <c r="AC398" s="51" t="n"/>
      <c r="AD398" s="51" t="n"/>
      <c r="AE398" s="40" t="n"/>
      <c r="AF398" s="52" t="str">
        <f>IF($AM398=0,"",IF($D398&lt;&gt;"",$D398,IF(IFERROR(INDEX(Accounts!$C$7:$C$16,MATCH($C398,Accounts!$B$7:$B$16,0))&amp;"","")&lt;&gt;"",INDEX(Accounts!$C$7:$C$16,MATCH($C398,Accounts!$B$7:$B$16,0)),Settings!$C$6)))</f>
        <v/>
      </c>
      <c r="AG398" s="53" t="str">
        <f>IF($AM398=0,"",IF(AND($BE398&gt;0,N(INDEX(Instruments!$D$6:$D$205,MAX(1,$BE398)))&gt;0),INDEX(Instruments!$D$6:$D$205,MAX(1,$BE398)),IF(N(INDEX(Settings!$D$14:$D$18,$BF398))&gt;0,INDEX(Settings!$D$14:$D$18,$BF398),"")))</f>
        <v/>
      </c>
      <c r="AH398" s="54" t="str">
        <f>IF($AM398=0,"",IF($AF398&lt;&gt;"Forex",1,IF(MID(UPPER(SUBSTITUTE(TRIM($E398),"/","")),4,3)=UPPER(TRIM(Settings!$C$7)),1,IF(LEFT(UPPER(SUBSTITUTE(TRIM($E398),"/","")),3)=UPPER(TRIM(Settings!$C$7)),IF(AND(ISNUMBER($K398),N($K398)&lt;&gt;0),1/$K398,""),""))))</f>
        <v/>
      </c>
      <c r="AI398" s="55" t="str">
        <f>IF($AM398=0,"",IF(OR(NOT(ISNUMBER($H398)),NOT(ISNUMBER($K398)),NOT(ISNUMBER($G398)),$AG398="",$AH398=""),"",ROUND(($K398-$H398)*IF($F398="Short",-1,1)*$G398*$AG398*$AH398,6)))</f>
        <v/>
      </c>
      <c r="AJ398" s="55" t="str">
        <f>IF($AM398=0,"",IF(INDEX(Settings!$E$14:$E$18,$BF398)="% of notional",IF(OR($AG398="",NOT(ISNUMBER($H398)),NOT(ISNUMBER($G398))),"",ROUND(ABS($H398*$G398*$AG398*N($AH398))*IF($L398="Limit",N(INDEX(Settings!$G$14:$G$18,$BF398)),N(INDEX(Settings!$H$14:$H$18,$BF398)))+IF(ISNUMBER($K398),ABS($K398*$G398*$AG398*N($AH398))*IF($M398="Target",N(INDEX(Settings!$G$14:$G$18,$BF398)),N(INDEX(Settings!$H$14:$H$18,$BF398))),0),6)),IF(NOT(ISNUMBER($G398)),"",ROUND(ABS($G398)*2*IF(AND($BE398&gt;0,ISNUMBER(INDEX(Instruments!$G$6:$G$205,MAX(1,$BE398)))),INDEX(Instruments!$G$6:$G$205,MAX(1,$BE398)),N(INDEX(Settings!$F$14:$F$18,$BF398))),6))))</f>
        <v/>
      </c>
      <c r="AK398" s="55" t="str">
        <f>IF($AM398=0,"",IF(ISNUMBER($O398),$O398,$AI398))</f>
        <v/>
      </c>
      <c r="AL398" s="55" t="str">
        <f>IF($AM398=0,"",IF(ISNUMBER($P398),$P398,N($AJ398)))</f>
        <v/>
      </c>
      <c r="AM398" s="56">
        <f>IF(AND($A398&lt;&gt;"",$E398&lt;&gt;"",OR(AND(ISNUMBER($G398),ISNUMBER($H398),ISNUMBER($K398)),ISNUMBER($O398))),1,0)</f>
        <v>0</v>
      </c>
      <c r="AN398" s="57" t="str">
        <f>IF($A398="","",$A398-WEEKDAY($A398,3))</f>
        <v/>
      </c>
      <c r="AO398" s="56" t="str">
        <f>IF($A398="","",WEEKDAY($A398,2))</f>
        <v/>
      </c>
      <c r="AP398" s="55" t="str">
        <f>IF(OR($AM398=0,$C398=""),"",IFERROR(N(INDEX(Accounts!$E$7:$E$16,MATCH($C398,Accounts!$B$7:$B$16,0))),0)+SUMIFS($Q$6:$Q398,$C$6:$C398,$C398))</f>
        <v/>
      </c>
      <c r="AQ398" s="55" t="str">
        <f>IF(OR($AM398=0,$C398=""),"",SUMIFS($Q$6:$Q$1005,$C$6:$C$1005,$C398,$A$6:$A$1005,$A398))</f>
        <v/>
      </c>
      <c r="AR398" s="55" t="str">
        <f>IF(OR($AM398=0,$C398=""),"",IFERROR(N(INDEX(Accounts!$E$7:$E$16,MATCH($C398,Accounts!$B$7:$B$16,0))),0)+SUMIFS($Q$6:$Q$1005,$C$6:$C$1005,$C398,$A$6:$A$1005,"&lt;="&amp;$A398))</f>
        <v/>
      </c>
      <c r="AS398" s="56">
        <f>IF(OR($AM398=0,$Q398=""),0,IF(AND($A398&gt;=Lists!$W$6,$A398&lt;=Lists!$W$7,OR(Dashboard!$D$6="All accounts",$C398=Dashboard!$D$6),OR(Dashboard!$D$7="All markets",$AF398=Dashboard!$D$7)),1,0))</f>
        <v>0</v>
      </c>
      <c r="AT398" s="55">
        <f>IF($AS398=1,N(AT397)+$Q398,N(AT397))</f>
        <v>1187.10688</v>
      </c>
      <c r="AU398" s="55">
        <f>MAX(N(AU397),$AT398)</f>
        <v>1187.10688</v>
      </c>
      <c r="AV398" s="55">
        <f>$AT398-$AU398</f>
        <v>0</v>
      </c>
      <c r="AW398" s="56">
        <f>IF($AS398=1,IF($S398="Win",N(AW397)+1,IF($S398="Loss",0,N(AW397))),N(AW397))</f>
        <v>5</v>
      </c>
      <c r="AX398" s="56">
        <f>IF($AS398=1,IF($S398="Loss",N(AX397)+1,IF($S398="Win",0,N(AX397))),N(AX397))</f>
        <v>0</v>
      </c>
      <c r="AY398" s="56" t="str">
        <f>IF($AS398=1,COUNTIF($AS$6:$AS398,1),"")</f>
        <v/>
      </c>
      <c r="AZ398" s="56">
        <f>MIN(392,N(Lists!$W$8))</f>
        <v>28</v>
      </c>
      <c r="BA398" s="56">
        <f>IF($AS398=1,IF(COUNTIFS($A$6:$A398,$A398,$AS$6:$AS398,1)=1,1,0),0)</f>
        <v>0</v>
      </c>
      <c r="BB398" s="55" t="str">
        <f>IF($BA398=1,SUMIFS($Q$6:$Q$1005,$A$6:$A$1005,$A398,$AS$6:$AS$1005,1),"")</f>
        <v/>
      </c>
      <c r="BC398" s="56">
        <f>IF(ISNUMBER($R398),1,0)</f>
        <v>0</v>
      </c>
      <c r="BD398" s="55" t="str">
        <f>IF(ISNUMBER($U398),$U398*$V398,"")</f>
        <v/>
      </c>
      <c r="BE398" s="56" t="str">
        <f>IF($AM398=0,"",IFERROR(MATCH($AF398&amp;"|"&amp;UPPER(TRIM($E398)),Lists!$A$6:$A$205,0),0))</f>
        <v/>
      </c>
      <c r="BF398" s="56" t="str">
        <f>IF($AM398=0,"",IFERROR(MATCH($AF398,Settings!$B$14:$B$18,0),IFERROR(MATCH(Settings!$C$6,Settings!$B$14:$B$18,0),1)))</f>
        <v/>
      </c>
      <c r="BG398" s="58" t="str">
        <f>IF($AM398=0,"",IF(NOT(ISNUMBER($I398)),"No stop; ","")&amp;IF(AND(ISNUMBER($H398),ISNUMBER($I398)),IF(OR(AND($F398&lt;&gt;"Short",$I398&gt;=$H398),AND($F398="Short",$I398&lt;=$H398)),"Stop on wrong side; ",""),"")&amp;IF($F398="","No direction; ","")&amp;IF(AND(ISNUMBER(Settings!$C$22),ISNUMBER($V398)),IF($V398&gt;Settings!$C$22,"Risk over max $; ",""),"")&amp;IF(AND(ISNUMBER(Settings!$C$23),ISNUMBER($V398),ISNUMBER($AP398),IFERROR(N(INDEX(Accounts!$E$7:$E$16,MATCH($C398,Accounts!$B$7:$B$16,0))),0)&gt;0),IF($V398&gt;Settings!$C$23*($AP398-N($Q398)),"Risk over max %; ",""),"")&amp;IF(AND(ISNUMBER(Settings!$C$24),ISNUMBER($N398)),IF($N398&gt;Settings!$C$24,"Leverage over max; ",""),"")&amp;IF(AND(ISNUMBER(Settings!$C$27),ISNUMBER($T398)),IF($T398&lt;Settings!$C$27,"R:R below min; ",""),"")&amp;IF(ISNUMBER(Settings!$C$25),IF(COUNTIFS($A$6:$A398,$A398,$AM$6:$AM398,1)&gt;Settings!$C$25,"Over max trades/day; ",""),"")&amp;IF(ISNUMBER(Settings!$C$26),IF(SUMIFS($Q$5:$Q397,$A$5:$A397,$A398)&lt;=-Settings!$C$26,"Traded after daily max loss; ",""),"")&amp;IF(AND($AG398="",NOT(ISNUMBER($O398))),"Symbol not in Instruments; ","")&amp;IF(AND($AH398="",NOT(ISNUMBER($O398))),"Forex cross: type Gross P&amp;L; ",""))</f>
        <v/>
      </c>
      <c r="BH398" s="56">
        <f>IF(ISNUMBER($Q398),1,0)</f>
        <v>0</v>
      </c>
      <c r="BI398" s="56">
        <f>IF($Y398="",0,1)</f>
        <v>0</v>
      </c>
      <c r="BJ398" s="56">
        <f>IF($AB398="",0,1)</f>
        <v>0</v>
      </c>
      <c r="BK398" s="56">
        <f>IF(AND($BH398=1,$W398&lt;&gt;"OK"),1,0)</f>
        <v>0</v>
      </c>
      <c r="BL398" s="55">
        <f>IF(N($AZ398)=0,0,IFERROR(INDEX($AT$6:$AT$1005,MATCH($AZ398,$AY$6:$AY$1005,0)),0))</f>
        <v>1187.10688</v>
      </c>
      <c r="BM398" s="56">
        <f>IF(ISNUMBER(SEARCH("daily max loss",$BG398)),1,0)</f>
        <v>0</v>
      </c>
    </row>
    <row r="399" ht="18" customHeight="1">
      <c r="A399" s="38" t="n"/>
      <c r="B399" s="39" t="n"/>
      <c r="C399" s="40" t="n"/>
      <c r="D399" s="41" t="n"/>
      <c r="E399" s="41" t="n"/>
      <c r="F399" s="41" t="n"/>
      <c r="G399" s="41" t="n"/>
      <c r="H399" s="42" t="n"/>
      <c r="I399" s="42" t="n"/>
      <c r="J399" s="42" t="n"/>
      <c r="K399" s="42" t="n"/>
      <c r="L399" s="41" t="n"/>
      <c r="M399" s="41" t="n"/>
      <c r="N399" s="41" t="n"/>
      <c r="O399" s="43" t="n"/>
      <c r="P399" s="43" t="n"/>
      <c r="Q399" s="44" t="str">
        <f>IF($AM399=0,"",IF(ISNUMBER($AK399),$AK399-N($AL399),""))</f>
        <v/>
      </c>
      <c r="R399" s="45" t="str">
        <f>IF(OR($Q399="",NOT(ISNUMBER($V399))),"",$AK399/$V399)</f>
        <v/>
      </c>
      <c r="S399" s="46" t="str">
        <f>IF($Q399="","",IF(AND(ISNUMBER($R399),ABS(N($R399))&lt;N(Settings!$C$8)),"Scratch",IF($Q399&gt;0,"Win",IF($Q399&lt;0,"Loss","Scratch"))))</f>
        <v/>
      </c>
      <c r="T399" s="47" t="str">
        <f>IF(OR($AM399=0,NOT(ISNUMBER($H399)),NOT(ISNUMBER($I399)),NOT(ISNUMBER($J399))),"",IF($H399=$I399,"",ROUND(ABS($J399-$H399)/ABS($H399-$I399),6)))</f>
        <v/>
      </c>
      <c r="U399" s="48" t="str">
        <f>IF(OR($S399&lt;&gt;"Win",NOT(ISNUMBER($T399)),NOT(ISNUMBER($R399))),"",MAX(0,$T399-$R399))</f>
        <v/>
      </c>
      <c r="V399" s="49" t="str">
        <f>IF(OR($AM399=0,NOT(ISNUMBER($H399)),NOT(ISNUMBER($I399)),NOT(ISNUMBER($G399))),"",IF(OR($AG399="",$AH399=""),"",IF(ROUND(ABS($H399-$I399)*ABS($G399)*$AG399*$AH399,6)=0,"",ROUND(ABS($H399-$I399)*ABS($G399)*$AG399*$AH399,6))))</f>
        <v/>
      </c>
      <c r="W399" s="50" t="str">
        <f>IF($AM399=0,"",IF($BG399="","OK",LEFT($BG399,LEN($BG399)-2)))</f>
        <v/>
      </c>
      <c r="X399" s="41" t="n"/>
      <c r="Y399" s="40" t="n"/>
      <c r="Z399" s="41" t="n"/>
      <c r="AA399" s="41" t="n"/>
      <c r="AB399" s="40" t="n"/>
      <c r="AC399" s="51" t="n"/>
      <c r="AD399" s="51" t="n"/>
      <c r="AE399" s="40" t="n"/>
      <c r="AF399" s="52" t="str">
        <f>IF($AM399=0,"",IF($D399&lt;&gt;"",$D399,IF(IFERROR(INDEX(Accounts!$C$7:$C$16,MATCH($C399,Accounts!$B$7:$B$16,0))&amp;"","")&lt;&gt;"",INDEX(Accounts!$C$7:$C$16,MATCH($C399,Accounts!$B$7:$B$16,0)),Settings!$C$6)))</f>
        <v/>
      </c>
      <c r="AG399" s="53" t="str">
        <f>IF($AM399=0,"",IF(AND($BE399&gt;0,N(INDEX(Instruments!$D$6:$D$205,MAX(1,$BE399)))&gt;0),INDEX(Instruments!$D$6:$D$205,MAX(1,$BE399)),IF(N(INDEX(Settings!$D$14:$D$18,$BF399))&gt;0,INDEX(Settings!$D$14:$D$18,$BF399),"")))</f>
        <v/>
      </c>
      <c r="AH399" s="54" t="str">
        <f>IF($AM399=0,"",IF($AF399&lt;&gt;"Forex",1,IF(MID(UPPER(SUBSTITUTE(TRIM($E399),"/","")),4,3)=UPPER(TRIM(Settings!$C$7)),1,IF(LEFT(UPPER(SUBSTITUTE(TRIM($E399),"/","")),3)=UPPER(TRIM(Settings!$C$7)),IF(AND(ISNUMBER($K399),N($K399)&lt;&gt;0),1/$K399,""),""))))</f>
        <v/>
      </c>
      <c r="AI399" s="55" t="str">
        <f>IF($AM399=0,"",IF(OR(NOT(ISNUMBER($H399)),NOT(ISNUMBER($K399)),NOT(ISNUMBER($G399)),$AG399="",$AH399=""),"",ROUND(($K399-$H399)*IF($F399="Short",-1,1)*$G399*$AG399*$AH399,6)))</f>
        <v/>
      </c>
      <c r="AJ399" s="55" t="str">
        <f>IF($AM399=0,"",IF(INDEX(Settings!$E$14:$E$18,$BF399)="% of notional",IF(OR($AG399="",NOT(ISNUMBER($H399)),NOT(ISNUMBER($G399))),"",ROUND(ABS($H399*$G399*$AG399*N($AH399))*IF($L399="Limit",N(INDEX(Settings!$G$14:$G$18,$BF399)),N(INDEX(Settings!$H$14:$H$18,$BF399)))+IF(ISNUMBER($K399),ABS($K399*$G399*$AG399*N($AH399))*IF($M399="Target",N(INDEX(Settings!$G$14:$G$18,$BF399)),N(INDEX(Settings!$H$14:$H$18,$BF399))),0),6)),IF(NOT(ISNUMBER($G399)),"",ROUND(ABS($G399)*2*IF(AND($BE399&gt;0,ISNUMBER(INDEX(Instruments!$G$6:$G$205,MAX(1,$BE399)))),INDEX(Instruments!$G$6:$G$205,MAX(1,$BE399)),N(INDEX(Settings!$F$14:$F$18,$BF399))),6))))</f>
        <v/>
      </c>
      <c r="AK399" s="55" t="str">
        <f>IF($AM399=0,"",IF(ISNUMBER($O399),$O399,$AI399))</f>
        <v/>
      </c>
      <c r="AL399" s="55" t="str">
        <f>IF($AM399=0,"",IF(ISNUMBER($P399),$P399,N($AJ399)))</f>
        <v/>
      </c>
      <c r="AM399" s="56">
        <f>IF(AND($A399&lt;&gt;"",$E399&lt;&gt;"",OR(AND(ISNUMBER($G399),ISNUMBER($H399),ISNUMBER($K399)),ISNUMBER($O399))),1,0)</f>
        <v>0</v>
      </c>
      <c r="AN399" s="57" t="str">
        <f>IF($A399="","",$A399-WEEKDAY($A399,3))</f>
        <v/>
      </c>
      <c r="AO399" s="56" t="str">
        <f>IF($A399="","",WEEKDAY($A399,2))</f>
        <v/>
      </c>
      <c r="AP399" s="55" t="str">
        <f>IF(OR($AM399=0,$C399=""),"",IFERROR(N(INDEX(Accounts!$E$7:$E$16,MATCH($C399,Accounts!$B$7:$B$16,0))),0)+SUMIFS($Q$6:$Q399,$C$6:$C399,$C399))</f>
        <v/>
      </c>
      <c r="AQ399" s="55" t="str">
        <f>IF(OR($AM399=0,$C399=""),"",SUMIFS($Q$6:$Q$1005,$C$6:$C$1005,$C399,$A$6:$A$1005,$A399))</f>
        <v/>
      </c>
      <c r="AR399" s="55" t="str">
        <f>IF(OR($AM399=0,$C399=""),"",IFERROR(N(INDEX(Accounts!$E$7:$E$16,MATCH($C399,Accounts!$B$7:$B$16,0))),0)+SUMIFS($Q$6:$Q$1005,$C$6:$C$1005,$C399,$A$6:$A$1005,"&lt;="&amp;$A399))</f>
        <v/>
      </c>
      <c r="AS399" s="56">
        <f>IF(OR($AM399=0,$Q399=""),0,IF(AND($A399&gt;=Lists!$W$6,$A399&lt;=Lists!$W$7,OR(Dashboard!$D$6="All accounts",$C399=Dashboard!$D$6),OR(Dashboard!$D$7="All markets",$AF399=Dashboard!$D$7)),1,0))</f>
        <v>0</v>
      </c>
      <c r="AT399" s="55">
        <f>IF($AS399=1,N(AT398)+$Q399,N(AT398))</f>
        <v>1187.10688</v>
      </c>
      <c r="AU399" s="55">
        <f>MAX(N(AU398),$AT399)</f>
        <v>1187.10688</v>
      </c>
      <c r="AV399" s="55">
        <f>$AT399-$AU399</f>
        <v>0</v>
      </c>
      <c r="AW399" s="56">
        <f>IF($AS399=1,IF($S399="Win",N(AW398)+1,IF($S399="Loss",0,N(AW398))),N(AW398))</f>
        <v>5</v>
      </c>
      <c r="AX399" s="56">
        <f>IF($AS399=1,IF($S399="Loss",N(AX398)+1,IF($S399="Win",0,N(AX398))),N(AX398))</f>
        <v>0</v>
      </c>
      <c r="AY399" s="56" t="str">
        <f>IF($AS399=1,COUNTIF($AS$6:$AS399,1),"")</f>
        <v/>
      </c>
      <c r="AZ399" s="56">
        <f>MIN(393,N(Lists!$W$8))</f>
        <v>28</v>
      </c>
      <c r="BA399" s="56">
        <f>IF($AS399=1,IF(COUNTIFS($A$6:$A399,$A399,$AS$6:$AS399,1)=1,1,0),0)</f>
        <v>0</v>
      </c>
      <c r="BB399" s="55" t="str">
        <f>IF($BA399=1,SUMIFS($Q$6:$Q$1005,$A$6:$A$1005,$A399,$AS$6:$AS$1005,1),"")</f>
        <v/>
      </c>
      <c r="BC399" s="56">
        <f>IF(ISNUMBER($R399),1,0)</f>
        <v>0</v>
      </c>
      <c r="BD399" s="55" t="str">
        <f>IF(ISNUMBER($U399),$U399*$V399,"")</f>
        <v/>
      </c>
      <c r="BE399" s="56" t="str">
        <f>IF($AM399=0,"",IFERROR(MATCH($AF399&amp;"|"&amp;UPPER(TRIM($E399)),Lists!$A$6:$A$205,0),0))</f>
        <v/>
      </c>
      <c r="BF399" s="56" t="str">
        <f>IF($AM399=0,"",IFERROR(MATCH($AF399,Settings!$B$14:$B$18,0),IFERROR(MATCH(Settings!$C$6,Settings!$B$14:$B$18,0),1)))</f>
        <v/>
      </c>
      <c r="BG399" s="58" t="str">
        <f>IF($AM399=0,"",IF(NOT(ISNUMBER($I399)),"No stop; ","")&amp;IF(AND(ISNUMBER($H399),ISNUMBER($I399)),IF(OR(AND($F399&lt;&gt;"Short",$I399&gt;=$H399),AND($F399="Short",$I399&lt;=$H399)),"Stop on wrong side; ",""),"")&amp;IF($F399="","No direction; ","")&amp;IF(AND(ISNUMBER(Settings!$C$22),ISNUMBER($V399)),IF($V399&gt;Settings!$C$22,"Risk over max $; ",""),"")&amp;IF(AND(ISNUMBER(Settings!$C$23),ISNUMBER($V399),ISNUMBER($AP399),IFERROR(N(INDEX(Accounts!$E$7:$E$16,MATCH($C399,Accounts!$B$7:$B$16,0))),0)&gt;0),IF($V399&gt;Settings!$C$23*($AP399-N($Q399)),"Risk over max %; ",""),"")&amp;IF(AND(ISNUMBER(Settings!$C$24),ISNUMBER($N399)),IF($N399&gt;Settings!$C$24,"Leverage over max; ",""),"")&amp;IF(AND(ISNUMBER(Settings!$C$27),ISNUMBER($T399)),IF($T399&lt;Settings!$C$27,"R:R below min; ",""),"")&amp;IF(ISNUMBER(Settings!$C$25),IF(COUNTIFS($A$6:$A399,$A399,$AM$6:$AM399,1)&gt;Settings!$C$25,"Over max trades/day; ",""),"")&amp;IF(ISNUMBER(Settings!$C$26),IF(SUMIFS($Q$5:$Q398,$A$5:$A398,$A399)&lt;=-Settings!$C$26,"Traded after daily max loss; ",""),"")&amp;IF(AND($AG399="",NOT(ISNUMBER($O399))),"Symbol not in Instruments; ","")&amp;IF(AND($AH399="",NOT(ISNUMBER($O399))),"Forex cross: type Gross P&amp;L; ",""))</f>
        <v/>
      </c>
      <c r="BH399" s="56">
        <f>IF(ISNUMBER($Q399),1,0)</f>
        <v>0</v>
      </c>
      <c r="BI399" s="56">
        <f>IF($Y399="",0,1)</f>
        <v>0</v>
      </c>
      <c r="BJ399" s="56">
        <f>IF($AB399="",0,1)</f>
        <v>0</v>
      </c>
      <c r="BK399" s="56">
        <f>IF(AND($BH399=1,$W399&lt;&gt;"OK"),1,0)</f>
        <v>0</v>
      </c>
      <c r="BL399" s="55">
        <f>IF(N($AZ399)=0,0,IFERROR(INDEX($AT$6:$AT$1005,MATCH($AZ399,$AY$6:$AY$1005,0)),0))</f>
        <v>1187.10688</v>
      </c>
      <c r="BM399" s="56">
        <f>IF(ISNUMBER(SEARCH("daily max loss",$BG399)),1,0)</f>
        <v>0</v>
      </c>
    </row>
    <row r="400" ht="18" customHeight="1">
      <c r="A400" s="38" t="n"/>
      <c r="B400" s="39" t="n"/>
      <c r="C400" s="40" t="n"/>
      <c r="D400" s="41" t="n"/>
      <c r="E400" s="41" t="n"/>
      <c r="F400" s="41" t="n"/>
      <c r="G400" s="41" t="n"/>
      <c r="H400" s="42" t="n"/>
      <c r="I400" s="42" t="n"/>
      <c r="J400" s="42" t="n"/>
      <c r="K400" s="42" t="n"/>
      <c r="L400" s="41" t="n"/>
      <c r="M400" s="41" t="n"/>
      <c r="N400" s="41" t="n"/>
      <c r="O400" s="43" t="n"/>
      <c r="P400" s="43" t="n"/>
      <c r="Q400" s="44" t="str">
        <f>IF($AM400=0,"",IF(ISNUMBER($AK400),$AK400-N($AL400),""))</f>
        <v/>
      </c>
      <c r="R400" s="45" t="str">
        <f>IF(OR($Q400="",NOT(ISNUMBER($V400))),"",$AK400/$V400)</f>
        <v/>
      </c>
      <c r="S400" s="46" t="str">
        <f>IF($Q400="","",IF(AND(ISNUMBER($R400),ABS(N($R400))&lt;N(Settings!$C$8)),"Scratch",IF($Q400&gt;0,"Win",IF($Q400&lt;0,"Loss","Scratch"))))</f>
        <v/>
      </c>
      <c r="T400" s="47" t="str">
        <f>IF(OR($AM400=0,NOT(ISNUMBER($H400)),NOT(ISNUMBER($I400)),NOT(ISNUMBER($J400))),"",IF($H400=$I400,"",ROUND(ABS($J400-$H400)/ABS($H400-$I400),6)))</f>
        <v/>
      </c>
      <c r="U400" s="48" t="str">
        <f>IF(OR($S400&lt;&gt;"Win",NOT(ISNUMBER($T400)),NOT(ISNUMBER($R400))),"",MAX(0,$T400-$R400))</f>
        <v/>
      </c>
      <c r="V400" s="49" t="str">
        <f>IF(OR($AM400=0,NOT(ISNUMBER($H400)),NOT(ISNUMBER($I400)),NOT(ISNUMBER($G400))),"",IF(OR($AG400="",$AH400=""),"",IF(ROUND(ABS($H400-$I400)*ABS($G400)*$AG400*$AH400,6)=0,"",ROUND(ABS($H400-$I400)*ABS($G400)*$AG400*$AH400,6))))</f>
        <v/>
      </c>
      <c r="W400" s="50" t="str">
        <f>IF($AM400=0,"",IF($BG400="","OK",LEFT($BG400,LEN($BG400)-2)))</f>
        <v/>
      </c>
      <c r="X400" s="41" t="n"/>
      <c r="Y400" s="40" t="n"/>
      <c r="Z400" s="41" t="n"/>
      <c r="AA400" s="41" t="n"/>
      <c r="AB400" s="40" t="n"/>
      <c r="AC400" s="51" t="n"/>
      <c r="AD400" s="51" t="n"/>
      <c r="AE400" s="40" t="n"/>
      <c r="AF400" s="52" t="str">
        <f>IF($AM400=0,"",IF($D400&lt;&gt;"",$D400,IF(IFERROR(INDEX(Accounts!$C$7:$C$16,MATCH($C400,Accounts!$B$7:$B$16,0))&amp;"","")&lt;&gt;"",INDEX(Accounts!$C$7:$C$16,MATCH($C400,Accounts!$B$7:$B$16,0)),Settings!$C$6)))</f>
        <v/>
      </c>
      <c r="AG400" s="53" t="str">
        <f>IF($AM400=0,"",IF(AND($BE400&gt;0,N(INDEX(Instruments!$D$6:$D$205,MAX(1,$BE400)))&gt;0),INDEX(Instruments!$D$6:$D$205,MAX(1,$BE400)),IF(N(INDEX(Settings!$D$14:$D$18,$BF400))&gt;0,INDEX(Settings!$D$14:$D$18,$BF400),"")))</f>
        <v/>
      </c>
      <c r="AH400" s="54" t="str">
        <f>IF($AM400=0,"",IF($AF400&lt;&gt;"Forex",1,IF(MID(UPPER(SUBSTITUTE(TRIM($E400),"/","")),4,3)=UPPER(TRIM(Settings!$C$7)),1,IF(LEFT(UPPER(SUBSTITUTE(TRIM($E400),"/","")),3)=UPPER(TRIM(Settings!$C$7)),IF(AND(ISNUMBER($K400),N($K400)&lt;&gt;0),1/$K400,""),""))))</f>
        <v/>
      </c>
      <c r="AI400" s="55" t="str">
        <f>IF($AM400=0,"",IF(OR(NOT(ISNUMBER($H400)),NOT(ISNUMBER($K400)),NOT(ISNUMBER($G400)),$AG400="",$AH400=""),"",ROUND(($K400-$H400)*IF($F400="Short",-1,1)*$G400*$AG400*$AH400,6)))</f>
        <v/>
      </c>
      <c r="AJ400" s="55" t="str">
        <f>IF($AM400=0,"",IF(INDEX(Settings!$E$14:$E$18,$BF400)="% of notional",IF(OR($AG400="",NOT(ISNUMBER($H400)),NOT(ISNUMBER($G400))),"",ROUND(ABS($H400*$G400*$AG400*N($AH400))*IF($L400="Limit",N(INDEX(Settings!$G$14:$G$18,$BF400)),N(INDEX(Settings!$H$14:$H$18,$BF400)))+IF(ISNUMBER($K400),ABS($K400*$G400*$AG400*N($AH400))*IF($M400="Target",N(INDEX(Settings!$G$14:$G$18,$BF400)),N(INDEX(Settings!$H$14:$H$18,$BF400))),0),6)),IF(NOT(ISNUMBER($G400)),"",ROUND(ABS($G400)*2*IF(AND($BE400&gt;0,ISNUMBER(INDEX(Instruments!$G$6:$G$205,MAX(1,$BE400)))),INDEX(Instruments!$G$6:$G$205,MAX(1,$BE400)),N(INDEX(Settings!$F$14:$F$18,$BF400))),6))))</f>
        <v/>
      </c>
      <c r="AK400" s="55" t="str">
        <f>IF($AM400=0,"",IF(ISNUMBER($O400),$O400,$AI400))</f>
        <v/>
      </c>
      <c r="AL400" s="55" t="str">
        <f>IF($AM400=0,"",IF(ISNUMBER($P400),$P400,N($AJ400)))</f>
        <v/>
      </c>
      <c r="AM400" s="56">
        <f>IF(AND($A400&lt;&gt;"",$E400&lt;&gt;"",OR(AND(ISNUMBER($G400),ISNUMBER($H400),ISNUMBER($K400)),ISNUMBER($O400))),1,0)</f>
        <v>0</v>
      </c>
      <c r="AN400" s="57" t="str">
        <f>IF($A400="","",$A400-WEEKDAY($A400,3))</f>
        <v/>
      </c>
      <c r="AO400" s="56" t="str">
        <f>IF($A400="","",WEEKDAY($A400,2))</f>
        <v/>
      </c>
      <c r="AP400" s="55" t="str">
        <f>IF(OR($AM400=0,$C400=""),"",IFERROR(N(INDEX(Accounts!$E$7:$E$16,MATCH($C400,Accounts!$B$7:$B$16,0))),0)+SUMIFS($Q$6:$Q400,$C$6:$C400,$C400))</f>
        <v/>
      </c>
      <c r="AQ400" s="55" t="str">
        <f>IF(OR($AM400=0,$C400=""),"",SUMIFS($Q$6:$Q$1005,$C$6:$C$1005,$C400,$A$6:$A$1005,$A400))</f>
        <v/>
      </c>
      <c r="AR400" s="55" t="str">
        <f>IF(OR($AM400=0,$C400=""),"",IFERROR(N(INDEX(Accounts!$E$7:$E$16,MATCH($C400,Accounts!$B$7:$B$16,0))),0)+SUMIFS($Q$6:$Q$1005,$C$6:$C$1005,$C400,$A$6:$A$1005,"&lt;="&amp;$A400))</f>
        <v/>
      </c>
      <c r="AS400" s="56">
        <f>IF(OR($AM400=0,$Q400=""),0,IF(AND($A400&gt;=Lists!$W$6,$A400&lt;=Lists!$W$7,OR(Dashboard!$D$6="All accounts",$C400=Dashboard!$D$6),OR(Dashboard!$D$7="All markets",$AF400=Dashboard!$D$7)),1,0))</f>
        <v>0</v>
      </c>
      <c r="AT400" s="55">
        <f>IF($AS400=1,N(AT399)+$Q400,N(AT399))</f>
        <v>1187.10688</v>
      </c>
      <c r="AU400" s="55">
        <f>MAX(N(AU399),$AT400)</f>
        <v>1187.10688</v>
      </c>
      <c r="AV400" s="55">
        <f>$AT400-$AU400</f>
        <v>0</v>
      </c>
      <c r="AW400" s="56">
        <f>IF($AS400=1,IF($S400="Win",N(AW399)+1,IF($S400="Loss",0,N(AW399))),N(AW399))</f>
        <v>5</v>
      </c>
      <c r="AX400" s="56">
        <f>IF($AS400=1,IF($S400="Loss",N(AX399)+1,IF($S400="Win",0,N(AX399))),N(AX399))</f>
        <v>0</v>
      </c>
      <c r="AY400" s="56" t="str">
        <f>IF($AS400=1,COUNTIF($AS$6:$AS400,1),"")</f>
        <v/>
      </c>
      <c r="AZ400" s="56">
        <f>MIN(394,N(Lists!$W$8))</f>
        <v>28</v>
      </c>
      <c r="BA400" s="56">
        <f>IF($AS400=1,IF(COUNTIFS($A$6:$A400,$A400,$AS$6:$AS400,1)=1,1,0),0)</f>
        <v>0</v>
      </c>
      <c r="BB400" s="55" t="str">
        <f>IF($BA400=1,SUMIFS($Q$6:$Q$1005,$A$6:$A$1005,$A400,$AS$6:$AS$1005,1),"")</f>
        <v/>
      </c>
      <c r="BC400" s="56">
        <f>IF(ISNUMBER($R400),1,0)</f>
        <v>0</v>
      </c>
      <c r="BD400" s="55" t="str">
        <f>IF(ISNUMBER($U400),$U400*$V400,"")</f>
        <v/>
      </c>
      <c r="BE400" s="56" t="str">
        <f>IF($AM400=0,"",IFERROR(MATCH($AF400&amp;"|"&amp;UPPER(TRIM($E400)),Lists!$A$6:$A$205,0),0))</f>
        <v/>
      </c>
      <c r="BF400" s="56" t="str">
        <f>IF($AM400=0,"",IFERROR(MATCH($AF400,Settings!$B$14:$B$18,0),IFERROR(MATCH(Settings!$C$6,Settings!$B$14:$B$18,0),1)))</f>
        <v/>
      </c>
      <c r="BG400" s="58" t="str">
        <f>IF($AM400=0,"",IF(NOT(ISNUMBER($I400)),"No stop; ","")&amp;IF(AND(ISNUMBER($H400),ISNUMBER($I400)),IF(OR(AND($F400&lt;&gt;"Short",$I400&gt;=$H400),AND($F400="Short",$I400&lt;=$H400)),"Stop on wrong side; ",""),"")&amp;IF($F400="","No direction; ","")&amp;IF(AND(ISNUMBER(Settings!$C$22),ISNUMBER($V400)),IF($V400&gt;Settings!$C$22,"Risk over max $; ",""),"")&amp;IF(AND(ISNUMBER(Settings!$C$23),ISNUMBER($V400),ISNUMBER($AP400),IFERROR(N(INDEX(Accounts!$E$7:$E$16,MATCH($C400,Accounts!$B$7:$B$16,0))),0)&gt;0),IF($V400&gt;Settings!$C$23*($AP400-N($Q400)),"Risk over max %; ",""),"")&amp;IF(AND(ISNUMBER(Settings!$C$24),ISNUMBER($N400)),IF($N400&gt;Settings!$C$24,"Leverage over max; ",""),"")&amp;IF(AND(ISNUMBER(Settings!$C$27),ISNUMBER($T400)),IF($T400&lt;Settings!$C$27,"R:R below min; ",""),"")&amp;IF(ISNUMBER(Settings!$C$25),IF(COUNTIFS($A$6:$A400,$A400,$AM$6:$AM400,1)&gt;Settings!$C$25,"Over max trades/day; ",""),"")&amp;IF(ISNUMBER(Settings!$C$26),IF(SUMIFS($Q$5:$Q399,$A$5:$A399,$A400)&lt;=-Settings!$C$26,"Traded after daily max loss; ",""),"")&amp;IF(AND($AG400="",NOT(ISNUMBER($O400))),"Symbol not in Instruments; ","")&amp;IF(AND($AH400="",NOT(ISNUMBER($O400))),"Forex cross: type Gross P&amp;L; ",""))</f>
        <v/>
      </c>
      <c r="BH400" s="56">
        <f>IF(ISNUMBER($Q400),1,0)</f>
        <v>0</v>
      </c>
      <c r="BI400" s="56">
        <f>IF($Y400="",0,1)</f>
        <v>0</v>
      </c>
      <c r="BJ400" s="56">
        <f>IF($AB400="",0,1)</f>
        <v>0</v>
      </c>
      <c r="BK400" s="56">
        <f>IF(AND($BH400=1,$W400&lt;&gt;"OK"),1,0)</f>
        <v>0</v>
      </c>
      <c r="BL400" s="55">
        <f>IF(N($AZ400)=0,0,IFERROR(INDEX($AT$6:$AT$1005,MATCH($AZ400,$AY$6:$AY$1005,0)),0))</f>
        <v>1187.10688</v>
      </c>
      <c r="BM400" s="56">
        <f>IF(ISNUMBER(SEARCH("daily max loss",$BG400)),1,0)</f>
        <v>0</v>
      </c>
    </row>
    <row r="401" ht="18" customHeight="1">
      <c r="A401" s="38" t="n"/>
      <c r="B401" s="39" t="n"/>
      <c r="C401" s="40" t="n"/>
      <c r="D401" s="41" t="n"/>
      <c r="E401" s="41" t="n"/>
      <c r="F401" s="41" t="n"/>
      <c r="G401" s="41" t="n"/>
      <c r="H401" s="42" t="n"/>
      <c r="I401" s="42" t="n"/>
      <c r="J401" s="42" t="n"/>
      <c r="K401" s="42" t="n"/>
      <c r="L401" s="41" t="n"/>
      <c r="M401" s="41" t="n"/>
      <c r="N401" s="41" t="n"/>
      <c r="O401" s="43" t="n"/>
      <c r="P401" s="43" t="n"/>
      <c r="Q401" s="44" t="str">
        <f>IF($AM401=0,"",IF(ISNUMBER($AK401),$AK401-N($AL401),""))</f>
        <v/>
      </c>
      <c r="R401" s="45" t="str">
        <f>IF(OR($Q401="",NOT(ISNUMBER($V401))),"",$AK401/$V401)</f>
        <v/>
      </c>
      <c r="S401" s="46" t="str">
        <f>IF($Q401="","",IF(AND(ISNUMBER($R401),ABS(N($R401))&lt;N(Settings!$C$8)),"Scratch",IF($Q401&gt;0,"Win",IF($Q401&lt;0,"Loss","Scratch"))))</f>
        <v/>
      </c>
      <c r="T401" s="47" t="str">
        <f>IF(OR($AM401=0,NOT(ISNUMBER($H401)),NOT(ISNUMBER($I401)),NOT(ISNUMBER($J401))),"",IF($H401=$I401,"",ROUND(ABS($J401-$H401)/ABS($H401-$I401),6)))</f>
        <v/>
      </c>
      <c r="U401" s="48" t="str">
        <f>IF(OR($S401&lt;&gt;"Win",NOT(ISNUMBER($T401)),NOT(ISNUMBER($R401))),"",MAX(0,$T401-$R401))</f>
        <v/>
      </c>
      <c r="V401" s="49" t="str">
        <f>IF(OR($AM401=0,NOT(ISNUMBER($H401)),NOT(ISNUMBER($I401)),NOT(ISNUMBER($G401))),"",IF(OR($AG401="",$AH401=""),"",IF(ROUND(ABS($H401-$I401)*ABS($G401)*$AG401*$AH401,6)=0,"",ROUND(ABS($H401-$I401)*ABS($G401)*$AG401*$AH401,6))))</f>
        <v/>
      </c>
      <c r="W401" s="50" t="str">
        <f>IF($AM401=0,"",IF($BG401="","OK",LEFT($BG401,LEN($BG401)-2)))</f>
        <v/>
      </c>
      <c r="X401" s="41" t="n"/>
      <c r="Y401" s="40" t="n"/>
      <c r="Z401" s="41" t="n"/>
      <c r="AA401" s="41" t="n"/>
      <c r="AB401" s="40" t="n"/>
      <c r="AC401" s="51" t="n"/>
      <c r="AD401" s="51" t="n"/>
      <c r="AE401" s="40" t="n"/>
      <c r="AF401" s="52" t="str">
        <f>IF($AM401=0,"",IF($D401&lt;&gt;"",$D401,IF(IFERROR(INDEX(Accounts!$C$7:$C$16,MATCH($C401,Accounts!$B$7:$B$16,0))&amp;"","")&lt;&gt;"",INDEX(Accounts!$C$7:$C$16,MATCH($C401,Accounts!$B$7:$B$16,0)),Settings!$C$6)))</f>
        <v/>
      </c>
      <c r="AG401" s="53" t="str">
        <f>IF($AM401=0,"",IF(AND($BE401&gt;0,N(INDEX(Instruments!$D$6:$D$205,MAX(1,$BE401)))&gt;0),INDEX(Instruments!$D$6:$D$205,MAX(1,$BE401)),IF(N(INDEX(Settings!$D$14:$D$18,$BF401))&gt;0,INDEX(Settings!$D$14:$D$18,$BF401),"")))</f>
        <v/>
      </c>
      <c r="AH401" s="54" t="str">
        <f>IF($AM401=0,"",IF($AF401&lt;&gt;"Forex",1,IF(MID(UPPER(SUBSTITUTE(TRIM($E401),"/","")),4,3)=UPPER(TRIM(Settings!$C$7)),1,IF(LEFT(UPPER(SUBSTITUTE(TRIM($E401),"/","")),3)=UPPER(TRIM(Settings!$C$7)),IF(AND(ISNUMBER($K401),N($K401)&lt;&gt;0),1/$K401,""),""))))</f>
        <v/>
      </c>
      <c r="AI401" s="55" t="str">
        <f>IF($AM401=0,"",IF(OR(NOT(ISNUMBER($H401)),NOT(ISNUMBER($K401)),NOT(ISNUMBER($G401)),$AG401="",$AH401=""),"",ROUND(($K401-$H401)*IF($F401="Short",-1,1)*$G401*$AG401*$AH401,6)))</f>
        <v/>
      </c>
      <c r="AJ401" s="55" t="str">
        <f>IF($AM401=0,"",IF(INDEX(Settings!$E$14:$E$18,$BF401)="% of notional",IF(OR($AG401="",NOT(ISNUMBER($H401)),NOT(ISNUMBER($G401))),"",ROUND(ABS($H401*$G401*$AG401*N($AH401))*IF($L401="Limit",N(INDEX(Settings!$G$14:$G$18,$BF401)),N(INDEX(Settings!$H$14:$H$18,$BF401)))+IF(ISNUMBER($K401),ABS($K401*$G401*$AG401*N($AH401))*IF($M401="Target",N(INDEX(Settings!$G$14:$G$18,$BF401)),N(INDEX(Settings!$H$14:$H$18,$BF401))),0),6)),IF(NOT(ISNUMBER($G401)),"",ROUND(ABS($G401)*2*IF(AND($BE401&gt;0,ISNUMBER(INDEX(Instruments!$G$6:$G$205,MAX(1,$BE401)))),INDEX(Instruments!$G$6:$G$205,MAX(1,$BE401)),N(INDEX(Settings!$F$14:$F$18,$BF401))),6))))</f>
        <v/>
      </c>
      <c r="AK401" s="55" t="str">
        <f>IF($AM401=0,"",IF(ISNUMBER($O401),$O401,$AI401))</f>
        <v/>
      </c>
      <c r="AL401" s="55" t="str">
        <f>IF($AM401=0,"",IF(ISNUMBER($P401),$P401,N($AJ401)))</f>
        <v/>
      </c>
      <c r="AM401" s="56">
        <f>IF(AND($A401&lt;&gt;"",$E401&lt;&gt;"",OR(AND(ISNUMBER($G401),ISNUMBER($H401),ISNUMBER($K401)),ISNUMBER($O401))),1,0)</f>
        <v>0</v>
      </c>
      <c r="AN401" s="57" t="str">
        <f>IF($A401="","",$A401-WEEKDAY($A401,3))</f>
        <v/>
      </c>
      <c r="AO401" s="56" t="str">
        <f>IF($A401="","",WEEKDAY($A401,2))</f>
        <v/>
      </c>
      <c r="AP401" s="55" t="str">
        <f>IF(OR($AM401=0,$C401=""),"",IFERROR(N(INDEX(Accounts!$E$7:$E$16,MATCH($C401,Accounts!$B$7:$B$16,0))),0)+SUMIFS($Q$6:$Q401,$C$6:$C401,$C401))</f>
        <v/>
      </c>
      <c r="AQ401" s="55" t="str">
        <f>IF(OR($AM401=0,$C401=""),"",SUMIFS($Q$6:$Q$1005,$C$6:$C$1005,$C401,$A$6:$A$1005,$A401))</f>
        <v/>
      </c>
      <c r="AR401" s="55" t="str">
        <f>IF(OR($AM401=0,$C401=""),"",IFERROR(N(INDEX(Accounts!$E$7:$E$16,MATCH($C401,Accounts!$B$7:$B$16,0))),0)+SUMIFS($Q$6:$Q$1005,$C$6:$C$1005,$C401,$A$6:$A$1005,"&lt;="&amp;$A401))</f>
        <v/>
      </c>
      <c r="AS401" s="56">
        <f>IF(OR($AM401=0,$Q401=""),0,IF(AND($A401&gt;=Lists!$W$6,$A401&lt;=Lists!$W$7,OR(Dashboard!$D$6="All accounts",$C401=Dashboard!$D$6),OR(Dashboard!$D$7="All markets",$AF401=Dashboard!$D$7)),1,0))</f>
        <v>0</v>
      </c>
      <c r="AT401" s="55">
        <f>IF($AS401=1,N(AT400)+$Q401,N(AT400))</f>
        <v>1187.10688</v>
      </c>
      <c r="AU401" s="55">
        <f>MAX(N(AU400),$AT401)</f>
        <v>1187.10688</v>
      </c>
      <c r="AV401" s="55">
        <f>$AT401-$AU401</f>
        <v>0</v>
      </c>
      <c r="AW401" s="56">
        <f>IF($AS401=1,IF($S401="Win",N(AW400)+1,IF($S401="Loss",0,N(AW400))),N(AW400))</f>
        <v>5</v>
      </c>
      <c r="AX401" s="56">
        <f>IF($AS401=1,IF($S401="Loss",N(AX400)+1,IF($S401="Win",0,N(AX400))),N(AX400))</f>
        <v>0</v>
      </c>
      <c r="AY401" s="56" t="str">
        <f>IF($AS401=1,COUNTIF($AS$6:$AS401,1),"")</f>
        <v/>
      </c>
      <c r="AZ401" s="56">
        <f>MIN(395,N(Lists!$W$8))</f>
        <v>28</v>
      </c>
      <c r="BA401" s="56">
        <f>IF($AS401=1,IF(COUNTIFS($A$6:$A401,$A401,$AS$6:$AS401,1)=1,1,0),0)</f>
        <v>0</v>
      </c>
      <c r="BB401" s="55" t="str">
        <f>IF($BA401=1,SUMIFS($Q$6:$Q$1005,$A$6:$A$1005,$A401,$AS$6:$AS$1005,1),"")</f>
        <v/>
      </c>
      <c r="BC401" s="56">
        <f>IF(ISNUMBER($R401),1,0)</f>
        <v>0</v>
      </c>
      <c r="BD401" s="55" t="str">
        <f>IF(ISNUMBER($U401),$U401*$V401,"")</f>
        <v/>
      </c>
      <c r="BE401" s="56" t="str">
        <f>IF($AM401=0,"",IFERROR(MATCH($AF401&amp;"|"&amp;UPPER(TRIM($E401)),Lists!$A$6:$A$205,0),0))</f>
        <v/>
      </c>
      <c r="BF401" s="56" t="str">
        <f>IF($AM401=0,"",IFERROR(MATCH($AF401,Settings!$B$14:$B$18,0),IFERROR(MATCH(Settings!$C$6,Settings!$B$14:$B$18,0),1)))</f>
        <v/>
      </c>
      <c r="BG401" s="58" t="str">
        <f>IF($AM401=0,"",IF(NOT(ISNUMBER($I401)),"No stop; ","")&amp;IF(AND(ISNUMBER($H401),ISNUMBER($I401)),IF(OR(AND($F401&lt;&gt;"Short",$I401&gt;=$H401),AND($F401="Short",$I401&lt;=$H401)),"Stop on wrong side; ",""),"")&amp;IF($F401="","No direction; ","")&amp;IF(AND(ISNUMBER(Settings!$C$22),ISNUMBER($V401)),IF($V401&gt;Settings!$C$22,"Risk over max $; ",""),"")&amp;IF(AND(ISNUMBER(Settings!$C$23),ISNUMBER($V401),ISNUMBER($AP401),IFERROR(N(INDEX(Accounts!$E$7:$E$16,MATCH($C401,Accounts!$B$7:$B$16,0))),0)&gt;0),IF($V401&gt;Settings!$C$23*($AP401-N($Q401)),"Risk over max %; ",""),"")&amp;IF(AND(ISNUMBER(Settings!$C$24),ISNUMBER($N401)),IF($N401&gt;Settings!$C$24,"Leverage over max; ",""),"")&amp;IF(AND(ISNUMBER(Settings!$C$27),ISNUMBER($T401)),IF($T401&lt;Settings!$C$27,"R:R below min; ",""),"")&amp;IF(ISNUMBER(Settings!$C$25),IF(COUNTIFS($A$6:$A401,$A401,$AM$6:$AM401,1)&gt;Settings!$C$25,"Over max trades/day; ",""),"")&amp;IF(ISNUMBER(Settings!$C$26),IF(SUMIFS($Q$5:$Q400,$A$5:$A400,$A401)&lt;=-Settings!$C$26,"Traded after daily max loss; ",""),"")&amp;IF(AND($AG401="",NOT(ISNUMBER($O401))),"Symbol not in Instruments; ","")&amp;IF(AND($AH401="",NOT(ISNUMBER($O401))),"Forex cross: type Gross P&amp;L; ",""))</f>
        <v/>
      </c>
      <c r="BH401" s="56">
        <f>IF(ISNUMBER($Q401),1,0)</f>
        <v>0</v>
      </c>
      <c r="BI401" s="56">
        <f>IF($Y401="",0,1)</f>
        <v>0</v>
      </c>
      <c r="BJ401" s="56">
        <f>IF($AB401="",0,1)</f>
        <v>0</v>
      </c>
      <c r="BK401" s="56">
        <f>IF(AND($BH401=1,$W401&lt;&gt;"OK"),1,0)</f>
        <v>0</v>
      </c>
      <c r="BL401" s="55">
        <f>IF(N($AZ401)=0,0,IFERROR(INDEX($AT$6:$AT$1005,MATCH($AZ401,$AY$6:$AY$1005,0)),0))</f>
        <v>1187.10688</v>
      </c>
      <c r="BM401" s="56">
        <f>IF(ISNUMBER(SEARCH("daily max loss",$BG401)),1,0)</f>
        <v>0</v>
      </c>
    </row>
    <row r="402" ht="18" customHeight="1">
      <c r="A402" s="38" t="n"/>
      <c r="B402" s="39" t="n"/>
      <c r="C402" s="40" t="n"/>
      <c r="D402" s="41" t="n"/>
      <c r="E402" s="41" t="n"/>
      <c r="F402" s="41" t="n"/>
      <c r="G402" s="41" t="n"/>
      <c r="H402" s="42" t="n"/>
      <c r="I402" s="42" t="n"/>
      <c r="J402" s="42" t="n"/>
      <c r="K402" s="42" t="n"/>
      <c r="L402" s="41" t="n"/>
      <c r="M402" s="41" t="n"/>
      <c r="N402" s="41" t="n"/>
      <c r="O402" s="43" t="n"/>
      <c r="P402" s="43" t="n"/>
      <c r="Q402" s="44" t="str">
        <f>IF($AM402=0,"",IF(ISNUMBER($AK402),$AK402-N($AL402),""))</f>
        <v/>
      </c>
      <c r="R402" s="45" t="str">
        <f>IF(OR($Q402="",NOT(ISNUMBER($V402))),"",$AK402/$V402)</f>
        <v/>
      </c>
      <c r="S402" s="46" t="str">
        <f>IF($Q402="","",IF(AND(ISNUMBER($R402),ABS(N($R402))&lt;N(Settings!$C$8)),"Scratch",IF($Q402&gt;0,"Win",IF($Q402&lt;0,"Loss","Scratch"))))</f>
        <v/>
      </c>
      <c r="T402" s="47" t="str">
        <f>IF(OR($AM402=0,NOT(ISNUMBER($H402)),NOT(ISNUMBER($I402)),NOT(ISNUMBER($J402))),"",IF($H402=$I402,"",ROUND(ABS($J402-$H402)/ABS($H402-$I402),6)))</f>
        <v/>
      </c>
      <c r="U402" s="48" t="str">
        <f>IF(OR($S402&lt;&gt;"Win",NOT(ISNUMBER($T402)),NOT(ISNUMBER($R402))),"",MAX(0,$T402-$R402))</f>
        <v/>
      </c>
      <c r="V402" s="49" t="str">
        <f>IF(OR($AM402=0,NOT(ISNUMBER($H402)),NOT(ISNUMBER($I402)),NOT(ISNUMBER($G402))),"",IF(OR($AG402="",$AH402=""),"",IF(ROUND(ABS($H402-$I402)*ABS($G402)*$AG402*$AH402,6)=0,"",ROUND(ABS($H402-$I402)*ABS($G402)*$AG402*$AH402,6))))</f>
        <v/>
      </c>
      <c r="W402" s="50" t="str">
        <f>IF($AM402=0,"",IF($BG402="","OK",LEFT($BG402,LEN($BG402)-2)))</f>
        <v/>
      </c>
      <c r="X402" s="41" t="n"/>
      <c r="Y402" s="40" t="n"/>
      <c r="Z402" s="41" t="n"/>
      <c r="AA402" s="41" t="n"/>
      <c r="AB402" s="40" t="n"/>
      <c r="AC402" s="51" t="n"/>
      <c r="AD402" s="51" t="n"/>
      <c r="AE402" s="40" t="n"/>
      <c r="AF402" s="52" t="str">
        <f>IF($AM402=0,"",IF($D402&lt;&gt;"",$D402,IF(IFERROR(INDEX(Accounts!$C$7:$C$16,MATCH($C402,Accounts!$B$7:$B$16,0))&amp;"","")&lt;&gt;"",INDEX(Accounts!$C$7:$C$16,MATCH($C402,Accounts!$B$7:$B$16,0)),Settings!$C$6)))</f>
        <v/>
      </c>
      <c r="AG402" s="53" t="str">
        <f>IF($AM402=0,"",IF(AND($BE402&gt;0,N(INDEX(Instruments!$D$6:$D$205,MAX(1,$BE402)))&gt;0),INDEX(Instruments!$D$6:$D$205,MAX(1,$BE402)),IF(N(INDEX(Settings!$D$14:$D$18,$BF402))&gt;0,INDEX(Settings!$D$14:$D$18,$BF402),"")))</f>
        <v/>
      </c>
      <c r="AH402" s="54" t="str">
        <f>IF($AM402=0,"",IF($AF402&lt;&gt;"Forex",1,IF(MID(UPPER(SUBSTITUTE(TRIM($E402),"/","")),4,3)=UPPER(TRIM(Settings!$C$7)),1,IF(LEFT(UPPER(SUBSTITUTE(TRIM($E402),"/","")),3)=UPPER(TRIM(Settings!$C$7)),IF(AND(ISNUMBER($K402),N($K402)&lt;&gt;0),1/$K402,""),""))))</f>
        <v/>
      </c>
      <c r="AI402" s="55" t="str">
        <f>IF($AM402=0,"",IF(OR(NOT(ISNUMBER($H402)),NOT(ISNUMBER($K402)),NOT(ISNUMBER($G402)),$AG402="",$AH402=""),"",ROUND(($K402-$H402)*IF($F402="Short",-1,1)*$G402*$AG402*$AH402,6)))</f>
        <v/>
      </c>
      <c r="AJ402" s="55" t="str">
        <f>IF($AM402=0,"",IF(INDEX(Settings!$E$14:$E$18,$BF402)="% of notional",IF(OR($AG402="",NOT(ISNUMBER($H402)),NOT(ISNUMBER($G402))),"",ROUND(ABS($H402*$G402*$AG402*N($AH402))*IF($L402="Limit",N(INDEX(Settings!$G$14:$G$18,$BF402)),N(INDEX(Settings!$H$14:$H$18,$BF402)))+IF(ISNUMBER($K402),ABS($K402*$G402*$AG402*N($AH402))*IF($M402="Target",N(INDEX(Settings!$G$14:$G$18,$BF402)),N(INDEX(Settings!$H$14:$H$18,$BF402))),0),6)),IF(NOT(ISNUMBER($G402)),"",ROUND(ABS($G402)*2*IF(AND($BE402&gt;0,ISNUMBER(INDEX(Instruments!$G$6:$G$205,MAX(1,$BE402)))),INDEX(Instruments!$G$6:$G$205,MAX(1,$BE402)),N(INDEX(Settings!$F$14:$F$18,$BF402))),6))))</f>
        <v/>
      </c>
      <c r="AK402" s="55" t="str">
        <f>IF($AM402=0,"",IF(ISNUMBER($O402),$O402,$AI402))</f>
        <v/>
      </c>
      <c r="AL402" s="55" t="str">
        <f>IF($AM402=0,"",IF(ISNUMBER($P402),$P402,N($AJ402)))</f>
        <v/>
      </c>
      <c r="AM402" s="56">
        <f>IF(AND($A402&lt;&gt;"",$E402&lt;&gt;"",OR(AND(ISNUMBER($G402),ISNUMBER($H402),ISNUMBER($K402)),ISNUMBER($O402))),1,0)</f>
        <v>0</v>
      </c>
      <c r="AN402" s="57" t="str">
        <f>IF($A402="","",$A402-WEEKDAY($A402,3))</f>
        <v/>
      </c>
      <c r="AO402" s="56" t="str">
        <f>IF($A402="","",WEEKDAY($A402,2))</f>
        <v/>
      </c>
      <c r="AP402" s="55" t="str">
        <f>IF(OR($AM402=0,$C402=""),"",IFERROR(N(INDEX(Accounts!$E$7:$E$16,MATCH($C402,Accounts!$B$7:$B$16,0))),0)+SUMIFS($Q$6:$Q402,$C$6:$C402,$C402))</f>
        <v/>
      </c>
      <c r="AQ402" s="55" t="str">
        <f>IF(OR($AM402=0,$C402=""),"",SUMIFS($Q$6:$Q$1005,$C$6:$C$1005,$C402,$A$6:$A$1005,$A402))</f>
        <v/>
      </c>
      <c r="AR402" s="55" t="str">
        <f>IF(OR($AM402=0,$C402=""),"",IFERROR(N(INDEX(Accounts!$E$7:$E$16,MATCH($C402,Accounts!$B$7:$B$16,0))),0)+SUMIFS($Q$6:$Q$1005,$C$6:$C$1005,$C402,$A$6:$A$1005,"&lt;="&amp;$A402))</f>
        <v/>
      </c>
      <c r="AS402" s="56">
        <f>IF(OR($AM402=0,$Q402=""),0,IF(AND($A402&gt;=Lists!$W$6,$A402&lt;=Lists!$W$7,OR(Dashboard!$D$6="All accounts",$C402=Dashboard!$D$6),OR(Dashboard!$D$7="All markets",$AF402=Dashboard!$D$7)),1,0))</f>
        <v>0</v>
      </c>
      <c r="AT402" s="55">
        <f>IF($AS402=1,N(AT401)+$Q402,N(AT401))</f>
        <v>1187.10688</v>
      </c>
      <c r="AU402" s="55">
        <f>MAX(N(AU401),$AT402)</f>
        <v>1187.10688</v>
      </c>
      <c r="AV402" s="55">
        <f>$AT402-$AU402</f>
        <v>0</v>
      </c>
      <c r="AW402" s="56">
        <f>IF($AS402=1,IF($S402="Win",N(AW401)+1,IF($S402="Loss",0,N(AW401))),N(AW401))</f>
        <v>5</v>
      </c>
      <c r="AX402" s="56">
        <f>IF($AS402=1,IF($S402="Loss",N(AX401)+1,IF($S402="Win",0,N(AX401))),N(AX401))</f>
        <v>0</v>
      </c>
      <c r="AY402" s="56" t="str">
        <f>IF($AS402=1,COUNTIF($AS$6:$AS402,1),"")</f>
        <v/>
      </c>
      <c r="AZ402" s="56">
        <f>MIN(396,N(Lists!$W$8))</f>
        <v>28</v>
      </c>
      <c r="BA402" s="56">
        <f>IF($AS402=1,IF(COUNTIFS($A$6:$A402,$A402,$AS$6:$AS402,1)=1,1,0),0)</f>
        <v>0</v>
      </c>
      <c r="BB402" s="55" t="str">
        <f>IF($BA402=1,SUMIFS($Q$6:$Q$1005,$A$6:$A$1005,$A402,$AS$6:$AS$1005,1),"")</f>
        <v/>
      </c>
      <c r="BC402" s="56">
        <f>IF(ISNUMBER($R402),1,0)</f>
        <v>0</v>
      </c>
      <c r="BD402" s="55" t="str">
        <f>IF(ISNUMBER($U402),$U402*$V402,"")</f>
        <v/>
      </c>
      <c r="BE402" s="56" t="str">
        <f>IF($AM402=0,"",IFERROR(MATCH($AF402&amp;"|"&amp;UPPER(TRIM($E402)),Lists!$A$6:$A$205,0),0))</f>
        <v/>
      </c>
      <c r="BF402" s="56" t="str">
        <f>IF($AM402=0,"",IFERROR(MATCH($AF402,Settings!$B$14:$B$18,0),IFERROR(MATCH(Settings!$C$6,Settings!$B$14:$B$18,0),1)))</f>
        <v/>
      </c>
      <c r="BG402" s="58" t="str">
        <f>IF($AM402=0,"",IF(NOT(ISNUMBER($I402)),"No stop; ","")&amp;IF(AND(ISNUMBER($H402),ISNUMBER($I402)),IF(OR(AND($F402&lt;&gt;"Short",$I402&gt;=$H402),AND($F402="Short",$I402&lt;=$H402)),"Stop on wrong side; ",""),"")&amp;IF($F402="","No direction; ","")&amp;IF(AND(ISNUMBER(Settings!$C$22),ISNUMBER($V402)),IF($V402&gt;Settings!$C$22,"Risk over max $; ",""),"")&amp;IF(AND(ISNUMBER(Settings!$C$23),ISNUMBER($V402),ISNUMBER($AP402),IFERROR(N(INDEX(Accounts!$E$7:$E$16,MATCH($C402,Accounts!$B$7:$B$16,0))),0)&gt;0),IF($V402&gt;Settings!$C$23*($AP402-N($Q402)),"Risk over max %; ",""),"")&amp;IF(AND(ISNUMBER(Settings!$C$24),ISNUMBER($N402)),IF($N402&gt;Settings!$C$24,"Leverage over max; ",""),"")&amp;IF(AND(ISNUMBER(Settings!$C$27),ISNUMBER($T402)),IF($T402&lt;Settings!$C$27,"R:R below min; ",""),"")&amp;IF(ISNUMBER(Settings!$C$25),IF(COUNTIFS($A$6:$A402,$A402,$AM$6:$AM402,1)&gt;Settings!$C$25,"Over max trades/day; ",""),"")&amp;IF(ISNUMBER(Settings!$C$26),IF(SUMIFS($Q$5:$Q401,$A$5:$A401,$A402)&lt;=-Settings!$C$26,"Traded after daily max loss; ",""),"")&amp;IF(AND($AG402="",NOT(ISNUMBER($O402))),"Symbol not in Instruments; ","")&amp;IF(AND($AH402="",NOT(ISNUMBER($O402))),"Forex cross: type Gross P&amp;L; ",""))</f>
        <v/>
      </c>
      <c r="BH402" s="56">
        <f>IF(ISNUMBER($Q402),1,0)</f>
        <v>0</v>
      </c>
      <c r="BI402" s="56">
        <f>IF($Y402="",0,1)</f>
        <v>0</v>
      </c>
      <c r="BJ402" s="56">
        <f>IF($AB402="",0,1)</f>
        <v>0</v>
      </c>
      <c r="BK402" s="56">
        <f>IF(AND($BH402=1,$W402&lt;&gt;"OK"),1,0)</f>
        <v>0</v>
      </c>
      <c r="BL402" s="55">
        <f>IF(N($AZ402)=0,0,IFERROR(INDEX($AT$6:$AT$1005,MATCH($AZ402,$AY$6:$AY$1005,0)),0))</f>
        <v>1187.10688</v>
      </c>
      <c r="BM402" s="56">
        <f>IF(ISNUMBER(SEARCH("daily max loss",$BG402)),1,0)</f>
        <v>0</v>
      </c>
    </row>
    <row r="403" ht="18" customHeight="1">
      <c r="A403" s="38" t="n"/>
      <c r="B403" s="39" t="n"/>
      <c r="C403" s="40" t="n"/>
      <c r="D403" s="41" t="n"/>
      <c r="E403" s="41" t="n"/>
      <c r="F403" s="41" t="n"/>
      <c r="G403" s="41" t="n"/>
      <c r="H403" s="42" t="n"/>
      <c r="I403" s="42" t="n"/>
      <c r="J403" s="42" t="n"/>
      <c r="K403" s="42" t="n"/>
      <c r="L403" s="41" t="n"/>
      <c r="M403" s="41" t="n"/>
      <c r="N403" s="41" t="n"/>
      <c r="O403" s="43" t="n"/>
      <c r="P403" s="43" t="n"/>
      <c r="Q403" s="44" t="str">
        <f>IF($AM403=0,"",IF(ISNUMBER($AK403),$AK403-N($AL403),""))</f>
        <v/>
      </c>
      <c r="R403" s="45" t="str">
        <f>IF(OR($Q403="",NOT(ISNUMBER($V403))),"",$AK403/$V403)</f>
        <v/>
      </c>
      <c r="S403" s="46" t="str">
        <f>IF($Q403="","",IF(AND(ISNUMBER($R403),ABS(N($R403))&lt;N(Settings!$C$8)),"Scratch",IF($Q403&gt;0,"Win",IF($Q403&lt;0,"Loss","Scratch"))))</f>
        <v/>
      </c>
      <c r="T403" s="47" t="str">
        <f>IF(OR($AM403=0,NOT(ISNUMBER($H403)),NOT(ISNUMBER($I403)),NOT(ISNUMBER($J403))),"",IF($H403=$I403,"",ROUND(ABS($J403-$H403)/ABS($H403-$I403),6)))</f>
        <v/>
      </c>
      <c r="U403" s="48" t="str">
        <f>IF(OR($S403&lt;&gt;"Win",NOT(ISNUMBER($T403)),NOT(ISNUMBER($R403))),"",MAX(0,$T403-$R403))</f>
        <v/>
      </c>
      <c r="V403" s="49" t="str">
        <f>IF(OR($AM403=0,NOT(ISNUMBER($H403)),NOT(ISNUMBER($I403)),NOT(ISNUMBER($G403))),"",IF(OR($AG403="",$AH403=""),"",IF(ROUND(ABS($H403-$I403)*ABS($G403)*$AG403*$AH403,6)=0,"",ROUND(ABS($H403-$I403)*ABS($G403)*$AG403*$AH403,6))))</f>
        <v/>
      </c>
      <c r="W403" s="50" t="str">
        <f>IF($AM403=0,"",IF($BG403="","OK",LEFT($BG403,LEN($BG403)-2)))</f>
        <v/>
      </c>
      <c r="X403" s="41" t="n"/>
      <c r="Y403" s="40" t="n"/>
      <c r="Z403" s="41" t="n"/>
      <c r="AA403" s="41" t="n"/>
      <c r="AB403" s="40" t="n"/>
      <c r="AC403" s="51" t="n"/>
      <c r="AD403" s="51" t="n"/>
      <c r="AE403" s="40" t="n"/>
      <c r="AF403" s="52" t="str">
        <f>IF($AM403=0,"",IF($D403&lt;&gt;"",$D403,IF(IFERROR(INDEX(Accounts!$C$7:$C$16,MATCH($C403,Accounts!$B$7:$B$16,0))&amp;"","")&lt;&gt;"",INDEX(Accounts!$C$7:$C$16,MATCH($C403,Accounts!$B$7:$B$16,0)),Settings!$C$6)))</f>
        <v/>
      </c>
      <c r="AG403" s="53" t="str">
        <f>IF($AM403=0,"",IF(AND($BE403&gt;0,N(INDEX(Instruments!$D$6:$D$205,MAX(1,$BE403)))&gt;0),INDEX(Instruments!$D$6:$D$205,MAX(1,$BE403)),IF(N(INDEX(Settings!$D$14:$D$18,$BF403))&gt;0,INDEX(Settings!$D$14:$D$18,$BF403),"")))</f>
        <v/>
      </c>
      <c r="AH403" s="54" t="str">
        <f>IF($AM403=0,"",IF($AF403&lt;&gt;"Forex",1,IF(MID(UPPER(SUBSTITUTE(TRIM($E403),"/","")),4,3)=UPPER(TRIM(Settings!$C$7)),1,IF(LEFT(UPPER(SUBSTITUTE(TRIM($E403),"/","")),3)=UPPER(TRIM(Settings!$C$7)),IF(AND(ISNUMBER($K403),N($K403)&lt;&gt;0),1/$K403,""),""))))</f>
        <v/>
      </c>
      <c r="AI403" s="55" t="str">
        <f>IF($AM403=0,"",IF(OR(NOT(ISNUMBER($H403)),NOT(ISNUMBER($K403)),NOT(ISNUMBER($G403)),$AG403="",$AH403=""),"",ROUND(($K403-$H403)*IF($F403="Short",-1,1)*$G403*$AG403*$AH403,6)))</f>
        <v/>
      </c>
      <c r="AJ403" s="55" t="str">
        <f>IF($AM403=0,"",IF(INDEX(Settings!$E$14:$E$18,$BF403)="% of notional",IF(OR($AG403="",NOT(ISNUMBER($H403)),NOT(ISNUMBER($G403))),"",ROUND(ABS($H403*$G403*$AG403*N($AH403))*IF($L403="Limit",N(INDEX(Settings!$G$14:$G$18,$BF403)),N(INDEX(Settings!$H$14:$H$18,$BF403)))+IF(ISNUMBER($K403),ABS($K403*$G403*$AG403*N($AH403))*IF($M403="Target",N(INDEX(Settings!$G$14:$G$18,$BF403)),N(INDEX(Settings!$H$14:$H$18,$BF403))),0),6)),IF(NOT(ISNUMBER($G403)),"",ROUND(ABS($G403)*2*IF(AND($BE403&gt;0,ISNUMBER(INDEX(Instruments!$G$6:$G$205,MAX(1,$BE403)))),INDEX(Instruments!$G$6:$G$205,MAX(1,$BE403)),N(INDEX(Settings!$F$14:$F$18,$BF403))),6))))</f>
        <v/>
      </c>
      <c r="AK403" s="55" t="str">
        <f>IF($AM403=0,"",IF(ISNUMBER($O403),$O403,$AI403))</f>
        <v/>
      </c>
      <c r="AL403" s="55" t="str">
        <f>IF($AM403=0,"",IF(ISNUMBER($P403),$P403,N($AJ403)))</f>
        <v/>
      </c>
      <c r="AM403" s="56">
        <f>IF(AND($A403&lt;&gt;"",$E403&lt;&gt;"",OR(AND(ISNUMBER($G403),ISNUMBER($H403),ISNUMBER($K403)),ISNUMBER($O403))),1,0)</f>
        <v>0</v>
      </c>
      <c r="AN403" s="57" t="str">
        <f>IF($A403="","",$A403-WEEKDAY($A403,3))</f>
        <v/>
      </c>
      <c r="AO403" s="56" t="str">
        <f>IF($A403="","",WEEKDAY($A403,2))</f>
        <v/>
      </c>
      <c r="AP403" s="55" t="str">
        <f>IF(OR($AM403=0,$C403=""),"",IFERROR(N(INDEX(Accounts!$E$7:$E$16,MATCH($C403,Accounts!$B$7:$B$16,0))),0)+SUMIFS($Q$6:$Q403,$C$6:$C403,$C403))</f>
        <v/>
      </c>
      <c r="AQ403" s="55" t="str">
        <f>IF(OR($AM403=0,$C403=""),"",SUMIFS($Q$6:$Q$1005,$C$6:$C$1005,$C403,$A$6:$A$1005,$A403))</f>
        <v/>
      </c>
      <c r="AR403" s="55" t="str">
        <f>IF(OR($AM403=0,$C403=""),"",IFERROR(N(INDEX(Accounts!$E$7:$E$16,MATCH($C403,Accounts!$B$7:$B$16,0))),0)+SUMIFS($Q$6:$Q$1005,$C$6:$C$1005,$C403,$A$6:$A$1005,"&lt;="&amp;$A403))</f>
        <v/>
      </c>
      <c r="AS403" s="56">
        <f>IF(OR($AM403=0,$Q403=""),0,IF(AND($A403&gt;=Lists!$W$6,$A403&lt;=Lists!$W$7,OR(Dashboard!$D$6="All accounts",$C403=Dashboard!$D$6),OR(Dashboard!$D$7="All markets",$AF403=Dashboard!$D$7)),1,0))</f>
        <v>0</v>
      </c>
      <c r="AT403" s="55">
        <f>IF($AS403=1,N(AT402)+$Q403,N(AT402))</f>
        <v>1187.10688</v>
      </c>
      <c r="AU403" s="55">
        <f>MAX(N(AU402),$AT403)</f>
        <v>1187.10688</v>
      </c>
      <c r="AV403" s="55">
        <f>$AT403-$AU403</f>
        <v>0</v>
      </c>
      <c r="AW403" s="56">
        <f>IF($AS403=1,IF($S403="Win",N(AW402)+1,IF($S403="Loss",0,N(AW402))),N(AW402))</f>
        <v>5</v>
      </c>
      <c r="AX403" s="56">
        <f>IF($AS403=1,IF($S403="Loss",N(AX402)+1,IF($S403="Win",0,N(AX402))),N(AX402))</f>
        <v>0</v>
      </c>
      <c r="AY403" s="56" t="str">
        <f>IF($AS403=1,COUNTIF($AS$6:$AS403,1),"")</f>
        <v/>
      </c>
      <c r="AZ403" s="56">
        <f>MIN(397,N(Lists!$W$8))</f>
        <v>28</v>
      </c>
      <c r="BA403" s="56">
        <f>IF($AS403=1,IF(COUNTIFS($A$6:$A403,$A403,$AS$6:$AS403,1)=1,1,0),0)</f>
        <v>0</v>
      </c>
      <c r="BB403" s="55" t="str">
        <f>IF($BA403=1,SUMIFS($Q$6:$Q$1005,$A$6:$A$1005,$A403,$AS$6:$AS$1005,1),"")</f>
        <v/>
      </c>
      <c r="BC403" s="56">
        <f>IF(ISNUMBER($R403),1,0)</f>
        <v>0</v>
      </c>
      <c r="BD403" s="55" t="str">
        <f>IF(ISNUMBER($U403),$U403*$V403,"")</f>
        <v/>
      </c>
      <c r="BE403" s="56" t="str">
        <f>IF($AM403=0,"",IFERROR(MATCH($AF403&amp;"|"&amp;UPPER(TRIM($E403)),Lists!$A$6:$A$205,0),0))</f>
        <v/>
      </c>
      <c r="BF403" s="56" t="str">
        <f>IF($AM403=0,"",IFERROR(MATCH($AF403,Settings!$B$14:$B$18,0),IFERROR(MATCH(Settings!$C$6,Settings!$B$14:$B$18,0),1)))</f>
        <v/>
      </c>
      <c r="BG403" s="58" t="str">
        <f>IF($AM403=0,"",IF(NOT(ISNUMBER($I403)),"No stop; ","")&amp;IF(AND(ISNUMBER($H403),ISNUMBER($I403)),IF(OR(AND($F403&lt;&gt;"Short",$I403&gt;=$H403),AND($F403="Short",$I403&lt;=$H403)),"Stop on wrong side; ",""),"")&amp;IF($F403="","No direction; ","")&amp;IF(AND(ISNUMBER(Settings!$C$22),ISNUMBER($V403)),IF($V403&gt;Settings!$C$22,"Risk over max $; ",""),"")&amp;IF(AND(ISNUMBER(Settings!$C$23),ISNUMBER($V403),ISNUMBER($AP403),IFERROR(N(INDEX(Accounts!$E$7:$E$16,MATCH($C403,Accounts!$B$7:$B$16,0))),0)&gt;0),IF($V403&gt;Settings!$C$23*($AP403-N($Q403)),"Risk over max %; ",""),"")&amp;IF(AND(ISNUMBER(Settings!$C$24),ISNUMBER($N403)),IF($N403&gt;Settings!$C$24,"Leverage over max; ",""),"")&amp;IF(AND(ISNUMBER(Settings!$C$27),ISNUMBER($T403)),IF($T403&lt;Settings!$C$27,"R:R below min; ",""),"")&amp;IF(ISNUMBER(Settings!$C$25),IF(COUNTIFS($A$6:$A403,$A403,$AM$6:$AM403,1)&gt;Settings!$C$25,"Over max trades/day; ",""),"")&amp;IF(ISNUMBER(Settings!$C$26),IF(SUMIFS($Q$5:$Q402,$A$5:$A402,$A403)&lt;=-Settings!$C$26,"Traded after daily max loss; ",""),"")&amp;IF(AND($AG403="",NOT(ISNUMBER($O403))),"Symbol not in Instruments; ","")&amp;IF(AND($AH403="",NOT(ISNUMBER($O403))),"Forex cross: type Gross P&amp;L; ",""))</f>
        <v/>
      </c>
      <c r="BH403" s="56">
        <f>IF(ISNUMBER($Q403),1,0)</f>
        <v>0</v>
      </c>
      <c r="BI403" s="56">
        <f>IF($Y403="",0,1)</f>
        <v>0</v>
      </c>
      <c r="BJ403" s="56">
        <f>IF($AB403="",0,1)</f>
        <v>0</v>
      </c>
      <c r="BK403" s="56">
        <f>IF(AND($BH403=1,$W403&lt;&gt;"OK"),1,0)</f>
        <v>0</v>
      </c>
      <c r="BL403" s="55">
        <f>IF(N($AZ403)=0,0,IFERROR(INDEX($AT$6:$AT$1005,MATCH($AZ403,$AY$6:$AY$1005,0)),0))</f>
        <v>1187.10688</v>
      </c>
      <c r="BM403" s="56">
        <f>IF(ISNUMBER(SEARCH("daily max loss",$BG403)),1,0)</f>
        <v>0</v>
      </c>
    </row>
    <row r="404" ht="18" customHeight="1">
      <c r="A404" s="38" t="n"/>
      <c r="B404" s="39" t="n"/>
      <c r="C404" s="40" t="n"/>
      <c r="D404" s="41" t="n"/>
      <c r="E404" s="41" t="n"/>
      <c r="F404" s="41" t="n"/>
      <c r="G404" s="41" t="n"/>
      <c r="H404" s="42" t="n"/>
      <c r="I404" s="42" t="n"/>
      <c r="J404" s="42" t="n"/>
      <c r="K404" s="42" t="n"/>
      <c r="L404" s="41" t="n"/>
      <c r="M404" s="41" t="n"/>
      <c r="N404" s="41" t="n"/>
      <c r="O404" s="43" t="n"/>
      <c r="P404" s="43" t="n"/>
      <c r="Q404" s="44" t="str">
        <f>IF($AM404=0,"",IF(ISNUMBER($AK404),$AK404-N($AL404),""))</f>
        <v/>
      </c>
      <c r="R404" s="45" t="str">
        <f>IF(OR($Q404="",NOT(ISNUMBER($V404))),"",$AK404/$V404)</f>
        <v/>
      </c>
      <c r="S404" s="46" t="str">
        <f>IF($Q404="","",IF(AND(ISNUMBER($R404),ABS(N($R404))&lt;N(Settings!$C$8)),"Scratch",IF($Q404&gt;0,"Win",IF($Q404&lt;0,"Loss","Scratch"))))</f>
        <v/>
      </c>
      <c r="T404" s="47" t="str">
        <f>IF(OR($AM404=0,NOT(ISNUMBER($H404)),NOT(ISNUMBER($I404)),NOT(ISNUMBER($J404))),"",IF($H404=$I404,"",ROUND(ABS($J404-$H404)/ABS($H404-$I404),6)))</f>
        <v/>
      </c>
      <c r="U404" s="48" t="str">
        <f>IF(OR($S404&lt;&gt;"Win",NOT(ISNUMBER($T404)),NOT(ISNUMBER($R404))),"",MAX(0,$T404-$R404))</f>
        <v/>
      </c>
      <c r="V404" s="49" t="str">
        <f>IF(OR($AM404=0,NOT(ISNUMBER($H404)),NOT(ISNUMBER($I404)),NOT(ISNUMBER($G404))),"",IF(OR($AG404="",$AH404=""),"",IF(ROUND(ABS($H404-$I404)*ABS($G404)*$AG404*$AH404,6)=0,"",ROUND(ABS($H404-$I404)*ABS($G404)*$AG404*$AH404,6))))</f>
        <v/>
      </c>
      <c r="W404" s="50" t="str">
        <f>IF($AM404=0,"",IF($BG404="","OK",LEFT($BG404,LEN($BG404)-2)))</f>
        <v/>
      </c>
      <c r="X404" s="41" t="n"/>
      <c r="Y404" s="40" t="n"/>
      <c r="Z404" s="41" t="n"/>
      <c r="AA404" s="41" t="n"/>
      <c r="AB404" s="40" t="n"/>
      <c r="AC404" s="51" t="n"/>
      <c r="AD404" s="51" t="n"/>
      <c r="AE404" s="40" t="n"/>
      <c r="AF404" s="52" t="str">
        <f>IF($AM404=0,"",IF($D404&lt;&gt;"",$D404,IF(IFERROR(INDEX(Accounts!$C$7:$C$16,MATCH($C404,Accounts!$B$7:$B$16,0))&amp;"","")&lt;&gt;"",INDEX(Accounts!$C$7:$C$16,MATCH($C404,Accounts!$B$7:$B$16,0)),Settings!$C$6)))</f>
        <v/>
      </c>
      <c r="AG404" s="53" t="str">
        <f>IF($AM404=0,"",IF(AND($BE404&gt;0,N(INDEX(Instruments!$D$6:$D$205,MAX(1,$BE404)))&gt;0),INDEX(Instruments!$D$6:$D$205,MAX(1,$BE404)),IF(N(INDEX(Settings!$D$14:$D$18,$BF404))&gt;0,INDEX(Settings!$D$14:$D$18,$BF404),"")))</f>
        <v/>
      </c>
      <c r="AH404" s="54" t="str">
        <f>IF($AM404=0,"",IF($AF404&lt;&gt;"Forex",1,IF(MID(UPPER(SUBSTITUTE(TRIM($E404),"/","")),4,3)=UPPER(TRIM(Settings!$C$7)),1,IF(LEFT(UPPER(SUBSTITUTE(TRIM($E404),"/","")),3)=UPPER(TRIM(Settings!$C$7)),IF(AND(ISNUMBER($K404),N($K404)&lt;&gt;0),1/$K404,""),""))))</f>
        <v/>
      </c>
      <c r="AI404" s="55" t="str">
        <f>IF($AM404=0,"",IF(OR(NOT(ISNUMBER($H404)),NOT(ISNUMBER($K404)),NOT(ISNUMBER($G404)),$AG404="",$AH404=""),"",ROUND(($K404-$H404)*IF($F404="Short",-1,1)*$G404*$AG404*$AH404,6)))</f>
        <v/>
      </c>
      <c r="AJ404" s="55" t="str">
        <f>IF($AM404=0,"",IF(INDEX(Settings!$E$14:$E$18,$BF404)="% of notional",IF(OR($AG404="",NOT(ISNUMBER($H404)),NOT(ISNUMBER($G404))),"",ROUND(ABS($H404*$G404*$AG404*N($AH404))*IF($L404="Limit",N(INDEX(Settings!$G$14:$G$18,$BF404)),N(INDEX(Settings!$H$14:$H$18,$BF404)))+IF(ISNUMBER($K404),ABS($K404*$G404*$AG404*N($AH404))*IF($M404="Target",N(INDEX(Settings!$G$14:$G$18,$BF404)),N(INDEX(Settings!$H$14:$H$18,$BF404))),0),6)),IF(NOT(ISNUMBER($G404)),"",ROUND(ABS($G404)*2*IF(AND($BE404&gt;0,ISNUMBER(INDEX(Instruments!$G$6:$G$205,MAX(1,$BE404)))),INDEX(Instruments!$G$6:$G$205,MAX(1,$BE404)),N(INDEX(Settings!$F$14:$F$18,$BF404))),6))))</f>
        <v/>
      </c>
      <c r="AK404" s="55" t="str">
        <f>IF($AM404=0,"",IF(ISNUMBER($O404),$O404,$AI404))</f>
        <v/>
      </c>
      <c r="AL404" s="55" t="str">
        <f>IF($AM404=0,"",IF(ISNUMBER($P404),$P404,N($AJ404)))</f>
        <v/>
      </c>
      <c r="AM404" s="56">
        <f>IF(AND($A404&lt;&gt;"",$E404&lt;&gt;"",OR(AND(ISNUMBER($G404),ISNUMBER($H404),ISNUMBER($K404)),ISNUMBER($O404))),1,0)</f>
        <v>0</v>
      </c>
      <c r="AN404" s="57" t="str">
        <f>IF($A404="","",$A404-WEEKDAY($A404,3))</f>
        <v/>
      </c>
      <c r="AO404" s="56" t="str">
        <f>IF($A404="","",WEEKDAY($A404,2))</f>
        <v/>
      </c>
      <c r="AP404" s="55" t="str">
        <f>IF(OR($AM404=0,$C404=""),"",IFERROR(N(INDEX(Accounts!$E$7:$E$16,MATCH($C404,Accounts!$B$7:$B$16,0))),0)+SUMIFS($Q$6:$Q404,$C$6:$C404,$C404))</f>
        <v/>
      </c>
      <c r="AQ404" s="55" t="str">
        <f>IF(OR($AM404=0,$C404=""),"",SUMIFS($Q$6:$Q$1005,$C$6:$C$1005,$C404,$A$6:$A$1005,$A404))</f>
        <v/>
      </c>
      <c r="AR404" s="55" t="str">
        <f>IF(OR($AM404=0,$C404=""),"",IFERROR(N(INDEX(Accounts!$E$7:$E$16,MATCH($C404,Accounts!$B$7:$B$16,0))),0)+SUMIFS($Q$6:$Q$1005,$C$6:$C$1005,$C404,$A$6:$A$1005,"&lt;="&amp;$A404))</f>
        <v/>
      </c>
      <c r="AS404" s="56">
        <f>IF(OR($AM404=0,$Q404=""),0,IF(AND($A404&gt;=Lists!$W$6,$A404&lt;=Lists!$W$7,OR(Dashboard!$D$6="All accounts",$C404=Dashboard!$D$6),OR(Dashboard!$D$7="All markets",$AF404=Dashboard!$D$7)),1,0))</f>
        <v>0</v>
      </c>
      <c r="AT404" s="55">
        <f>IF($AS404=1,N(AT403)+$Q404,N(AT403))</f>
        <v>1187.10688</v>
      </c>
      <c r="AU404" s="55">
        <f>MAX(N(AU403),$AT404)</f>
        <v>1187.10688</v>
      </c>
      <c r="AV404" s="55">
        <f>$AT404-$AU404</f>
        <v>0</v>
      </c>
      <c r="AW404" s="56">
        <f>IF($AS404=1,IF($S404="Win",N(AW403)+1,IF($S404="Loss",0,N(AW403))),N(AW403))</f>
        <v>5</v>
      </c>
      <c r="AX404" s="56">
        <f>IF($AS404=1,IF($S404="Loss",N(AX403)+1,IF($S404="Win",0,N(AX403))),N(AX403))</f>
        <v>0</v>
      </c>
      <c r="AY404" s="56" t="str">
        <f>IF($AS404=1,COUNTIF($AS$6:$AS404,1),"")</f>
        <v/>
      </c>
      <c r="AZ404" s="56">
        <f>MIN(398,N(Lists!$W$8))</f>
        <v>28</v>
      </c>
      <c r="BA404" s="56">
        <f>IF($AS404=1,IF(COUNTIFS($A$6:$A404,$A404,$AS$6:$AS404,1)=1,1,0),0)</f>
        <v>0</v>
      </c>
      <c r="BB404" s="55" t="str">
        <f>IF($BA404=1,SUMIFS($Q$6:$Q$1005,$A$6:$A$1005,$A404,$AS$6:$AS$1005,1),"")</f>
        <v/>
      </c>
      <c r="BC404" s="56">
        <f>IF(ISNUMBER($R404),1,0)</f>
        <v>0</v>
      </c>
      <c r="BD404" s="55" t="str">
        <f>IF(ISNUMBER($U404),$U404*$V404,"")</f>
        <v/>
      </c>
      <c r="BE404" s="56" t="str">
        <f>IF($AM404=0,"",IFERROR(MATCH($AF404&amp;"|"&amp;UPPER(TRIM($E404)),Lists!$A$6:$A$205,0),0))</f>
        <v/>
      </c>
      <c r="BF404" s="56" t="str">
        <f>IF($AM404=0,"",IFERROR(MATCH($AF404,Settings!$B$14:$B$18,0),IFERROR(MATCH(Settings!$C$6,Settings!$B$14:$B$18,0),1)))</f>
        <v/>
      </c>
      <c r="BG404" s="58" t="str">
        <f>IF($AM404=0,"",IF(NOT(ISNUMBER($I404)),"No stop; ","")&amp;IF(AND(ISNUMBER($H404),ISNUMBER($I404)),IF(OR(AND($F404&lt;&gt;"Short",$I404&gt;=$H404),AND($F404="Short",$I404&lt;=$H404)),"Stop on wrong side; ",""),"")&amp;IF($F404="","No direction; ","")&amp;IF(AND(ISNUMBER(Settings!$C$22),ISNUMBER($V404)),IF($V404&gt;Settings!$C$22,"Risk over max $; ",""),"")&amp;IF(AND(ISNUMBER(Settings!$C$23),ISNUMBER($V404),ISNUMBER($AP404),IFERROR(N(INDEX(Accounts!$E$7:$E$16,MATCH($C404,Accounts!$B$7:$B$16,0))),0)&gt;0),IF($V404&gt;Settings!$C$23*($AP404-N($Q404)),"Risk over max %; ",""),"")&amp;IF(AND(ISNUMBER(Settings!$C$24),ISNUMBER($N404)),IF($N404&gt;Settings!$C$24,"Leverage over max; ",""),"")&amp;IF(AND(ISNUMBER(Settings!$C$27),ISNUMBER($T404)),IF($T404&lt;Settings!$C$27,"R:R below min; ",""),"")&amp;IF(ISNUMBER(Settings!$C$25),IF(COUNTIFS($A$6:$A404,$A404,$AM$6:$AM404,1)&gt;Settings!$C$25,"Over max trades/day; ",""),"")&amp;IF(ISNUMBER(Settings!$C$26),IF(SUMIFS($Q$5:$Q403,$A$5:$A403,$A404)&lt;=-Settings!$C$26,"Traded after daily max loss; ",""),"")&amp;IF(AND($AG404="",NOT(ISNUMBER($O404))),"Symbol not in Instruments; ","")&amp;IF(AND($AH404="",NOT(ISNUMBER($O404))),"Forex cross: type Gross P&amp;L; ",""))</f>
        <v/>
      </c>
      <c r="BH404" s="56">
        <f>IF(ISNUMBER($Q404),1,0)</f>
        <v>0</v>
      </c>
      <c r="BI404" s="56">
        <f>IF($Y404="",0,1)</f>
        <v>0</v>
      </c>
      <c r="BJ404" s="56">
        <f>IF($AB404="",0,1)</f>
        <v>0</v>
      </c>
      <c r="BK404" s="56">
        <f>IF(AND($BH404=1,$W404&lt;&gt;"OK"),1,0)</f>
        <v>0</v>
      </c>
      <c r="BL404" s="55">
        <f>IF(N($AZ404)=0,0,IFERROR(INDEX($AT$6:$AT$1005,MATCH($AZ404,$AY$6:$AY$1005,0)),0))</f>
        <v>1187.10688</v>
      </c>
      <c r="BM404" s="56">
        <f>IF(ISNUMBER(SEARCH("daily max loss",$BG404)),1,0)</f>
        <v>0</v>
      </c>
    </row>
    <row r="405" ht="18" customHeight="1">
      <c r="A405" s="38" t="n"/>
      <c r="B405" s="39" t="n"/>
      <c r="C405" s="40" t="n"/>
      <c r="D405" s="41" t="n"/>
      <c r="E405" s="41" t="n"/>
      <c r="F405" s="41" t="n"/>
      <c r="G405" s="41" t="n"/>
      <c r="H405" s="42" t="n"/>
      <c r="I405" s="42" t="n"/>
      <c r="J405" s="42" t="n"/>
      <c r="K405" s="42" t="n"/>
      <c r="L405" s="41" t="n"/>
      <c r="M405" s="41" t="n"/>
      <c r="N405" s="41" t="n"/>
      <c r="O405" s="43" t="n"/>
      <c r="P405" s="43" t="n"/>
      <c r="Q405" s="44" t="str">
        <f>IF($AM405=0,"",IF(ISNUMBER($AK405),$AK405-N($AL405),""))</f>
        <v/>
      </c>
      <c r="R405" s="45" t="str">
        <f>IF(OR($Q405="",NOT(ISNUMBER($V405))),"",$AK405/$V405)</f>
        <v/>
      </c>
      <c r="S405" s="46" t="str">
        <f>IF($Q405="","",IF(AND(ISNUMBER($R405),ABS(N($R405))&lt;N(Settings!$C$8)),"Scratch",IF($Q405&gt;0,"Win",IF($Q405&lt;0,"Loss","Scratch"))))</f>
        <v/>
      </c>
      <c r="T405" s="47" t="str">
        <f>IF(OR($AM405=0,NOT(ISNUMBER($H405)),NOT(ISNUMBER($I405)),NOT(ISNUMBER($J405))),"",IF($H405=$I405,"",ROUND(ABS($J405-$H405)/ABS($H405-$I405),6)))</f>
        <v/>
      </c>
      <c r="U405" s="48" t="str">
        <f>IF(OR($S405&lt;&gt;"Win",NOT(ISNUMBER($T405)),NOT(ISNUMBER($R405))),"",MAX(0,$T405-$R405))</f>
        <v/>
      </c>
      <c r="V405" s="49" t="str">
        <f>IF(OR($AM405=0,NOT(ISNUMBER($H405)),NOT(ISNUMBER($I405)),NOT(ISNUMBER($G405))),"",IF(OR($AG405="",$AH405=""),"",IF(ROUND(ABS($H405-$I405)*ABS($G405)*$AG405*$AH405,6)=0,"",ROUND(ABS($H405-$I405)*ABS($G405)*$AG405*$AH405,6))))</f>
        <v/>
      </c>
      <c r="W405" s="50" t="str">
        <f>IF($AM405=0,"",IF($BG405="","OK",LEFT($BG405,LEN($BG405)-2)))</f>
        <v/>
      </c>
      <c r="X405" s="41" t="n"/>
      <c r="Y405" s="40" t="n"/>
      <c r="Z405" s="41" t="n"/>
      <c r="AA405" s="41" t="n"/>
      <c r="AB405" s="40" t="n"/>
      <c r="AC405" s="51" t="n"/>
      <c r="AD405" s="51" t="n"/>
      <c r="AE405" s="40" t="n"/>
      <c r="AF405" s="52" t="str">
        <f>IF($AM405=0,"",IF($D405&lt;&gt;"",$D405,IF(IFERROR(INDEX(Accounts!$C$7:$C$16,MATCH($C405,Accounts!$B$7:$B$16,0))&amp;"","")&lt;&gt;"",INDEX(Accounts!$C$7:$C$16,MATCH($C405,Accounts!$B$7:$B$16,0)),Settings!$C$6)))</f>
        <v/>
      </c>
      <c r="AG405" s="53" t="str">
        <f>IF($AM405=0,"",IF(AND($BE405&gt;0,N(INDEX(Instruments!$D$6:$D$205,MAX(1,$BE405)))&gt;0),INDEX(Instruments!$D$6:$D$205,MAX(1,$BE405)),IF(N(INDEX(Settings!$D$14:$D$18,$BF405))&gt;0,INDEX(Settings!$D$14:$D$18,$BF405),"")))</f>
        <v/>
      </c>
      <c r="AH405" s="54" t="str">
        <f>IF($AM405=0,"",IF($AF405&lt;&gt;"Forex",1,IF(MID(UPPER(SUBSTITUTE(TRIM($E405),"/","")),4,3)=UPPER(TRIM(Settings!$C$7)),1,IF(LEFT(UPPER(SUBSTITUTE(TRIM($E405),"/","")),3)=UPPER(TRIM(Settings!$C$7)),IF(AND(ISNUMBER($K405),N($K405)&lt;&gt;0),1/$K405,""),""))))</f>
        <v/>
      </c>
      <c r="AI405" s="55" t="str">
        <f>IF($AM405=0,"",IF(OR(NOT(ISNUMBER($H405)),NOT(ISNUMBER($K405)),NOT(ISNUMBER($G405)),$AG405="",$AH405=""),"",ROUND(($K405-$H405)*IF($F405="Short",-1,1)*$G405*$AG405*$AH405,6)))</f>
        <v/>
      </c>
      <c r="AJ405" s="55" t="str">
        <f>IF($AM405=0,"",IF(INDEX(Settings!$E$14:$E$18,$BF405)="% of notional",IF(OR($AG405="",NOT(ISNUMBER($H405)),NOT(ISNUMBER($G405))),"",ROUND(ABS($H405*$G405*$AG405*N($AH405))*IF($L405="Limit",N(INDEX(Settings!$G$14:$G$18,$BF405)),N(INDEX(Settings!$H$14:$H$18,$BF405)))+IF(ISNUMBER($K405),ABS($K405*$G405*$AG405*N($AH405))*IF($M405="Target",N(INDEX(Settings!$G$14:$G$18,$BF405)),N(INDEX(Settings!$H$14:$H$18,$BF405))),0),6)),IF(NOT(ISNUMBER($G405)),"",ROUND(ABS($G405)*2*IF(AND($BE405&gt;0,ISNUMBER(INDEX(Instruments!$G$6:$G$205,MAX(1,$BE405)))),INDEX(Instruments!$G$6:$G$205,MAX(1,$BE405)),N(INDEX(Settings!$F$14:$F$18,$BF405))),6))))</f>
        <v/>
      </c>
      <c r="AK405" s="55" t="str">
        <f>IF($AM405=0,"",IF(ISNUMBER($O405),$O405,$AI405))</f>
        <v/>
      </c>
      <c r="AL405" s="55" t="str">
        <f>IF($AM405=0,"",IF(ISNUMBER($P405),$P405,N($AJ405)))</f>
        <v/>
      </c>
      <c r="AM405" s="56">
        <f>IF(AND($A405&lt;&gt;"",$E405&lt;&gt;"",OR(AND(ISNUMBER($G405),ISNUMBER($H405),ISNUMBER($K405)),ISNUMBER($O405))),1,0)</f>
        <v>0</v>
      </c>
      <c r="AN405" s="57" t="str">
        <f>IF($A405="","",$A405-WEEKDAY($A405,3))</f>
        <v/>
      </c>
      <c r="AO405" s="56" t="str">
        <f>IF($A405="","",WEEKDAY($A405,2))</f>
        <v/>
      </c>
      <c r="AP405" s="55" t="str">
        <f>IF(OR($AM405=0,$C405=""),"",IFERROR(N(INDEX(Accounts!$E$7:$E$16,MATCH($C405,Accounts!$B$7:$B$16,0))),0)+SUMIFS($Q$6:$Q405,$C$6:$C405,$C405))</f>
        <v/>
      </c>
      <c r="AQ405" s="55" t="str">
        <f>IF(OR($AM405=0,$C405=""),"",SUMIFS($Q$6:$Q$1005,$C$6:$C$1005,$C405,$A$6:$A$1005,$A405))</f>
        <v/>
      </c>
      <c r="AR405" s="55" t="str">
        <f>IF(OR($AM405=0,$C405=""),"",IFERROR(N(INDEX(Accounts!$E$7:$E$16,MATCH($C405,Accounts!$B$7:$B$16,0))),0)+SUMIFS($Q$6:$Q$1005,$C$6:$C$1005,$C405,$A$6:$A$1005,"&lt;="&amp;$A405))</f>
        <v/>
      </c>
      <c r="AS405" s="56">
        <f>IF(OR($AM405=0,$Q405=""),0,IF(AND($A405&gt;=Lists!$W$6,$A405&lt;=Lists!$W$7,OR(Dashboard!$D$6="All accounts",$C405=Dashboard!$D$6),OR(Dashboard!$D$7="All markets",$AF405=Dashboard!$D$7)),1,0))</f>
        <v>0</v>
      </c>
      <c r="AT405" s="55">
        <f>IF($AS405=1,N(AT404)+$Q405,N(AT404))</f>
        <v>1187.10688</v>
      </c>
      <c r="AU405" s="55">
        <f>MAX(N(AU404),$AT405)</f>
        <v>1187.10688</v>
      </c>
      <c r="AV405" s="55">
        <f>$AT405-$AU405</f>
        <v>0</v>
      </c>
      <c r="AW405" s="56">
        <f>IF($AS405=1,IF($S405="Win",N(AW404)+1,IF($S405="Loss",0,N(AW404))),N(AW404))</f>
        <v>5</v>
      </c>
      <c r="AX405" s="56">
        <f>IF($AS405=1,IF($S405="Loss",N(AX404)+1,IF($S405="Win",0,N(AX404))),N(AX404))</f>
        <v>0</v>
      </c>
      <c r="AY405" s="56" t="str">
        <f>IF($AS405=1,COUNTIF($AS$6:$AS405,1),"")</f>
        <v/>
      </c>
      <c r="AZ405" s="56">
        <f>MIN(399,N(Lists!$W$8))</f>
        <v>28</v>
      </c>
      <c r="BA405" s="56">
        <f>IF($AS405=1,IF(COUNTIFS($A$6:$A405,$A405,$AS$6:$AS405,1)=1,1,0),0)</f>
        <v>0</v>
      </c>
      <c r="BB405" s="55" t="str">
        <f>IF($BA405=1,SUMIFS($Q$6:$Q$1005,$A$6:$A$1005,$A405,$AS$6:$AS$1005,1),"")</f>
        <v/>
      </c>
      <c r="BC405" s="56">
        <f>IF(ISNUMBER($R405),1,0)</f>
        <v>0</v>
      </c>
      <c r="BD405" s="55" t="str">
        <f>IF(ISNUMBER($U405),$U405*$V405,"")</f>
        <v/>
      </c>
      <c r="BE405" s="56" t="str">
        <f>IF($AM405=0,"",IFERROR(MATCH($AF405&amp;"|"&amp;UPPER(TRIM($E405)),Lists!$A$6:$A$205,0),0))</f>
        <v/>
      </c>
      <c r="BF405" s="56" t="str">
        <f>IF($AM405=0,"",IFERROR(MATCH($AF405,Settings!$B$14:$B$18,0),IFERROR(MATCH(Settings!$C$6,Settings!$B$14:$B$18,0),1)))</f>
        <v/>
      </c>
      <c r="BG405" s="58" t="str">
        <f>IF($AM405=0,"",IF(NOT(ISNUMBER($I405)),"No stop; ","")&amp;IF(AND(ISNUMBER($H405),ISNUMBER($I405)),IF(OR(AND($F405&lt;&gt;"Short",$I405&gt;=$H405),AND($F405="Short",$I405&lt;=$H405)),"Stop on wrong side; ",""),"")&amp;IF($F405="","No direction; ","")&amp;IF(AND(ISNUMBER(Settings!$C$22),ISNUMBER($V405)),IF($V405&gt;Settings!$C$22,"Risk over max $; ",""),"")&amp;IF(AND(ISNUMBER(Settings!$C$23),ISNUMBER($V405),ISNUMBER($AP405),IFERROR(N(INDEX(Accounts!$E$7:$E$16,MATCH($C405,Accounts!$B$7:$B$16,0))),0)&gt;0),IF($V405&gt;Settings!$C$23*($AP405-N($Q405)),"Risk over max %; ",""),"")&amp;IF(AND(ISNUMBER(Settings!$C$24),ISNUMBER($N405)),IF($N405&gt;Settings!$C$24,"Leverage over max; ",""),"")&amp;IF(AND(ISNUMBER(Settings!$C$27),ISNUMBER($T405)),IF($T405&lt;Settings!$C$27,"R:R below min; ",""),"")&amp;IF(ISNUMBER(Settings!$C$25),IF(COUNTIFS($A$6:$A405,$A405,$AM$6:$AM405,1)&gt;Settings!$C$25,"Over max trades/day; ",""),"")&amp;IF(ISNUMBER(Settings!$C$26),IF(SUMIFS($Q$5:$Q404,$A$5:$A404,$A405)&lt;=-Settings!$C$26,"Traded after daily max loss; ",""),"")&amp;IF(AND($AG405="",NOT(ISNUMBER($O405))),"Symbol not in Instruments; ","")&amp;IF(AND($AH405="",NOT(ISNUMBER($O405))),"Forex cross: type Gross P&amp;L; ",""))</f>
        <v/>
      </c>
      <c r="BH405" s="56">
        <f>IF(ISNUMBER($Q405),1,0)</f>
        <v>0</v>
      </c>
      <c r="BI405" s="56">
        <f>IF($Y405="",0,1)</f>
        <v>0</v>
      </c>
      <c r="BJ405" s="56">
        <f>IF($AB405="",0,1)</f>
        <v>0</v>
      </c>
      <c r="BK405" s="56">
        <f>IF(AND($BH405=1,$W405&lt;&gt;"OK"),1,0)</f>
        <v>0</v>
      </c>
      <c r="BL405" s="55">
        <f>IF(N($AZ405)=0,0,IFERROR(INDEX($AT$6:$AT$1005,MATCH($AZ405,$AY$6:$AY$1005,0)),0))</f>
        <v>1187.10688</v>
      </c>
      <c r="BM405" s="56">
        <f>IF(ISNUMBER(SEARCH("daily max loss",$BG405)),1,0)</f>
        <v>0</v>
      </c>
    </row>
    <row r="406" ht="18" customHeight="1">
      <c r="A406" s="38" t="n"/>
      <c r="B406" s="39" t="n"/>
      <c r="C406" s="40" t="n"/>
      <c r="D406" s="41" t="n"/>
      <c r="E406" s="41" t="n"/>
      <c r="F406" s="41" t="n"/>
      <c r="G406" s="41" t="n"/>
      <c r="H406" s="42" t="n"/>
      <c r="I406" s="42" t="n"/>
      <c r="J406" s="42" t="n"/>
      <c r="K406" s="42" t="n"/>
      <c r="L406" s="41" t="n"/>
      <c r="M406" s="41" t="n"/>
      <c r="N406" s="41" t="n"/>
      <c r="O406" s="43" t="n"/>
      <c r="P406" s="43" t="n"/>
      <c r="Q406" s="44" t="str">
        <f>IF($AM406=0,"",IF(ISNUMBER($AK406),$AK406-N($AL406),""))</f>
        <v/>
      </c>
      <c r="R406" s="45" t="str">
        <f>IF(OR($Q406="",NOT(ISNUMBER($V406))),"",$AK406/$V406)</f>
        <v/>
      </c>
      <c r="S406" s="46" t="str">
        <f>IF($Q406="","",IF(AND(ISNUMBER($R406),ABS(N($R406))&lt;N(Settings!$C$8)),"Scratch",IF($Q406&gt;0,"Win",IF($Q406&lt;0,"Loss","Scratch"))))</f>
        <v/>
      </c>
      <c r="T406" s="47" t="str">
        <f>IF(OR($AM406=0,NOT(ISNUMBER($H406)),NOT(ISNUMBER($I406)),NOT(ISNUMBER($J406))),"",IF($H406=$I406,"",ROUND(ABS($J406-$H406)/ABS($H406-$I406),6)))</f>
        <v/>
      </c>
      <c r="U406" s="48" t="str">
        <f>IF(OR($S406&lt;&gt;"Win",NOT(ISNUMBER($T406)),NOT(ISNUMBER($R406))),"",MAX(0,$T406-$R406))</f>
        <v/>
      </c>
      <c r="V406" s="49" t="str">
        <f>IF(OR($AM406=0,NOT(ISNUMBER($H406)),NOT(ISNUMBER($I406)),NOT(ISNUMBER($G406))),"",IF(OR($AG406="",$AH406=""),"",IF(ROUND(ABS($H406-$I406)*ABS($G406)*$AG406*$AH406,6)=0,"",ROUND(ABS($H406-$I406)*ABS($G406)*$AG406*$AH406,6))))</f>
        <v/>
      </c>
      <c r="W406" s="50" t="str">
        <f>IF($AM406=0,"",IF($BG406="","OK",LEFT($BG406,LEN($BG406)-2)))</f>
        <v/>
      </c>
      <c r="X406" s="41" t="n"/>
      <c r="Y406" s="40" t="n"/>
      <c r="Z406" s="41" t="n"/>
      <c r="AA406" s="41" t="n"/>
      <c r="AB406" s="40" t="n"/>
      <c r="AC406" s="51" t="n"/>
      <c r="AD406" s="51" t="n"/>
      <c r="AE406" s="40" t="n"/>
      <c r="AF406" s="52" t="str">
        <f>IF($AM406=0,"",IF($D406&lt;&gt;"",$D406,IF(IFERROR(INDEX(Accounts!$C$7:$C$16,MATCH($C406,Accounts!$B$7:$B$16,0))&amp;"","")&lt;&gt;"",INDEX(Accounts!$C$7:$C$16,MATCH($C406,Accounts!$B$7:$B$16,0)),Settings!$C$6)))</f>
        <v/>
      </c>
      <c r="AG406" s="53" t="str">
        <f>IF($AM406=0,"",IF(AND($BE406&gt;0,N(INDEX(Instruments!$D$6:$D$205,MAX(1,$BE406)))&gt;0),INDEX(Instruments!$D$6:$D$205,MAX(1,$BE406)),IF(N(INDEX(Settings!$D$14:$D$18,$BF406))&gt;0,INDEX(Settings!$D$14:$D$18,$BF406),"")))</f>
        <v/>
      </c>
      <c r="AH406" s="54" t="str">
        <f>IF($AM406=0,"",IF($AF406&lt;&gt;"Forex",1,IF(MID(UPPER(SUBSTITUTE(TRIM($E406),"/","")),4,3)=UPPER(TRIM(Settings!$C$7)),1,IF(LEFT(UPPER(SUBSTITUTE(TRIM($E406),"/","")),3)=UPPER(TRIM(Settings!$C$7)),IF(AND(ISNUMBER($K406),N($K406)&lt;&gt;0),1/$K406,""),""))))</f>
        <v/>
      </c>
      <c r="AI406" s="55" t="str">
        <f>IF($AM406=0,"",IF(OR(NOT(ISNUMBER($H406)),NOT(ISNUMBER($K406)),NOT(ISNUMBER($G406)),$AG406="",$AH406=""),"",ROUND(($K406-$H406)*IF($F406="Short",-1,1)*$G406*$AG406*$AH406,6)))</f>
        <v/>
      </c>
      <c r="AJ406" s="55" t="str">
        <f>IF($AM406=0,"",IF(INDEX(Settings!$E$14:$E$18,$BF406)="% of notional",IF(OR($AG406="",NOT(ISNUMBER($H406)),NOT(ISNUMBER($G406))),"",ROUND(ABS($H406*$G406*$AG406*N($AH406))*IF($L406="Limit",N(INDEX(Settings!$G$14:$G$18,$BF406)),N(INDEX(Settings!$H$14:$H$18,$BF406)))+IF(ISNUMBER($K406),ABS($K406*$G406*$AG406*N($AH406))*IF($M406="Target",N(INDEX(Settings!$G$14:$G$18,$BF406)),N(INDEX(Settings!$H$14:$H$18,$BF406))),0),6)),IF(NOT(ISNUMBER($G406)),"",ROUND(ABS($G406)*2*IF(AND($BE406&gt;0,ISNUMBER(INDEX(Instruments!$G$6:$G$205,MAX(1,$BE406)))),INDEX(Instruments!$G$6:$G$205,MAX(1,$BE406)),N(INDEX(Settings!$F$14:$F$18,$BF406))),6))))</f>
        <v/>
      </c>
      <c r="AK406" s="55" t="str">
        <f>IF($AM406=0,"",IF(ISNUMBER($O406),$O406,$AI406))</f>
        <v/>
      </c>
      <c r="AL406" s="55" t="str">
        <f>IF($AM406=0,"",IF(ISNUMBER($P406),$P406,N($AJ406)))</f>
        <v/>
      </c>
      <c r="AM406" s="56">
        <f>IF(AND($A406&lt;&gt;"",$E406&lt;&gt;"",OR(AND(ISNUMBER($G406),ISNUMBER($H406),ISNUMBER($K406)),ISNUMBER($O406))),1,0)</f>
        <v>0</v>
      </c>
      <c r="AN406" s="57" t="str">
        <f>IF($A406="","",$A406-WEEKDAY($A406,3))</f>
        <v/>
      </c>
      <c r="AO406" s="56" t="str">
        <f>IF($A406="","",WEEKDAY($A406,2))</f>
        <v/>
      </c>
      <c r="AP406" s="55" t="str">
        <f>IF(OR($AM406=0,$C406=""),"",IFERROR(N(INDEX(Accounts!$E$7:$E$16,MATCH($C406,Accounts!$B$7:$B$16,0))),0)+SUMIFS($Q$6:$Q406,$C$6:$C406,$C406))</f>
        <v/>
      </c>
      <c r="AQ406" s="55" t="str">
        <f>IF(OR($AM406=0,$C406=""),"",SUMIFS($Q$6:$Q$1005,$C$6:$C$1005,$C406,$A$6:$A$1005,$A406))</f>
        <v/>
      </c>
      <c r="AR406" s="55" t="str">
        <f>IF(OR($AM406=0,$C406=""),"",IFERROR(N(INDEX(Accounts!$E$7:$E$16,MATCH($C406,Accounts!$B$7:$B$16,0))),0)+SUMIFS($Q$6:$Q$1005,$C$6:$C$1005,$C406,$A$6:$A$1005,"&lt;="&amp;$A406))</f>
        <v/>
      </c>
      <c r="AS406" s="56">
        <f>IF(OR($AM406=0,$Q406=""),0,IF(AND($A406&gt;=Lists!$W$6,$A406&lt;=Lists!$W$7,OR(Dashboard!$D$6="All accounts",$C406=Dashboard!$D$6),OR(Dashboard!$D$7="All markets",$AF406=Dashboard!$D$7)),1,0))</f>
        <v>0</v>
      </c>
      <c r="AT406" s="55">
        <f>IF($AS406=1,N(AT405)+$Q406,N(AT405))</f>
        <v>1187.10688</v>
      </c>
      <c r="AU406" s="55">
        <f>MAX(N(AU405),$AT406)</f>
        <v>1187.10688</v>
      </c>
      <c r="AV406" s="55">
        <f>$AT406-$AU406</f>
        <v>0</v>
      </c>
      <c r="AW406" s="56">
        <f>IF($AS406=1,IF($S406="Win",N(AW405)+1,IF($S406="Loss",0,N(AW405))),N(AW405))</f>
        <v>5</v>
      </c>
      <c r="AX406" s="56">
        <f>IF($AS406=1,IF($S406="Loss",N(AX405)+1,IF($S406="Win",0,N(AX405))),N(AX405))</f>
        <v>0</v>
      </c>
      <c r="AY406" s="56" t="str">
        <f>IF($AS406=1,COUNTIF($AS$6:$AS406,1),"")</f>
        <v/>
      </c>
      <c r="AZ406" s="56">
        <f>MIN(400,N(Lists!$W$8))</f>
        <v>28</v>
      </c>
      <c r="BA406" s="56">
        <f>IF($AS406=1,IF(COUNTIFS($A$6:$A406,$A406,$AS$6:$AS406,1)=1,1,0),0)</f>
        <v>0</v>
      </c>
      <c r="BB406" s="55" t="str">
        <f>IF($BA406=1,SUMIFS($Q$6:$Q$1005,$A$6:$A$1005,$A406,$AS$6:$AS$1005,1),"")</f>
        <v/>
      </c>
      <c r="BC406" s="56">
        <f>IF(ISNUMBER($R406),1,0)</f>
        <v>0</v>
      </c>
      <c r="BD406" s="55" t="str">
        <f>IF(ISNUMBER($U406),$U406*$V406,"")</f>
        <v/>
      </c>
      <c r="BE406" s="56" t="str">
        <f>IF($AM406=0,"",IFERROR(MATCH($AF406&amp;"|"&amp;UPPER(TRIM($E406)),Lists!$A$6:$A$205,0),0))</f>
        <v/>
      </c>
      <c r="BF406" s="56" t="str">
        <f>IF($AM406=0,"",IFERROR(MATCH($AF406,Settings!$B$14:$B$18,0),IFERROR(MATCH(Settings!$C$6,Settings!$B$14:$B$18,0),1)))</f>
        <v/>
      </c>
      <c r="BG406" s="58" t="str">
        <f>IF($AM406=0,"",IF(NOT(ISNUMBER($I406)),"No stop; ","")&amp;IF(AND(ISNUMBER($H406),ISNUMBER($I406)),IF(OR(AND($F406&lt;&gt;"Short",$I406&gt;=$H406),AND($F406="Short",$I406&lt;=$H406)),"Stop on wrong side; ",""),"")&amp;IF($F406="","No direction; ","")&amp;IF(AND(ISNUMBER(Settings!$C$22),ISNUMBER($V406)),IF($V406&gt;Settings!$C$22,"Risk over max $; ",""),"")&amp;IF(AND(ISNUMBER(Settings!$C$23),ISNUMBER($V406),ISNUMBER($AP406),IFERROR(N(INDEX(Accounts!$E$7:$E$16,MATCH($C406,Accounts!$B$7:$B$16,0))),0)&gt;0),IF($V406&gt;Settings!$C$23*($AP406-N($Q406)),"Risk over max %; ",""),"")&amp;IF(AND(ISNUMBER(Settings!$C$24),ISNUMBER($N406)),IF($N406&gt;Settings!$C$24,"Leverage over max; ",""),"")&amp;IF(AND(ISNUMBER(Settings!$C$27),ISNUMBER($T406)),IF($T406&lt;Settings!$C$27,"R:R below min; ",""),"")&amp;IF(ISNUMBER(Settings!$C$25),IF(COUNTIFS($A$6:$A406,$A406,$AM$6:$AM406,1)&gt;Settings!$C$25,"Over max trades/day; ",""),"")&amp;IF(ISNUMBER(Settings!$C$26),IF(SUMIFS($Q$5:$Q405,$A$5:$A405,$A406)&lt;=-Settings!$C$26,"Traded after daily max loss; ",""),"")&amp;IF(AND($AG406="",NOT(ISNUMBER($O406))),"Symbol not in Instruments; ","")&amp;IF(AND($AH406="",NOT(ISNUMBER($O406))),"Forex cross: type Gross P&amp;L; ",""))</f>
        <v/>
      </c>
      <c r="BH406" s="56">
        <f>IF(ISNUMBER($Q406),1,0)</f>
        <v>0</v>
      </c>
      <c r="BI406" s="56">
        <f>IF($Y406="",0,1)</f>
        <v>0</v>
      </c>
      <c r="BJ406" s="56">
        <f>IF($AB406="",0,1)</f>
        <v>0</v>
      </c>
      <c r="BK406" s="56">
        <f>IF(AND($BH406=1,$W406&lt;&gt;"OK"),1,0)</f>
        <v>0</v>
      </c>
      <c r="BL406" s="55">
        <f>IF(N($AZ406)=0,0,IFERROR(INDEX($AT$6:$AT$1005,MATCH($AZ406,$AY$6:$AY$1005,0)),0))</f>
        <v>1187.10688</v>
      </c>
      <c r="BM406" s="56">
        <f>IF(ISNUMBER(SEARCH("daily max loss",$BG406)),1,0)</f>
        <v>0</v>
      </c>
    </row>
    <row r="407" ht="18" customHeight="1">
      <c r="A407" s="38" t="n"/>
      <c r="B407" s="39" t="n"/>
      <c r="C407" s="40" t="n"/>
      <c r="D407" s="41" t="n"/>
      <c r="E407" s="41" t="n"/>
      <c r="F407" s="41" t="n"/>
      <c r="G407" s="41" t="n"/>
      <c r="H407" s="42" t="n"/>
      <c r="I407" s="42" t="n"/>
      <c r="J407" s="42" t="n"/>
      <c r="K407" s="42" t="n"/>
      <c r="L407" s="41" t="n"/>
      <c r="M407" s="41" t="n"/>
      <c r="N407" s="41" t="n"/>
      <c r="O407" s="43" t="n"/>
      <c r="P407" s="43" t="n"/>
      <c r="Q407" s="44" t="str">
        <f>IF($AM407=0,"",IF(ISNUMBER($AK407),$AK407-N($AL407),""))</f>
        <v/>
      </c>
      <c r="R407" s="45" t="str">
        <f>IF(OR($Q407="",NOT(ISNUMBER($V407))),"",$AK407/$V407)</f>
        <v/>
      </c>
      <c r="S407" s="46" t="str">
        <f>IF($Q407="","",IF(AND(ISNUMBER($R407),ABS(N($R407))&lt;N(Settings!$C$8)),"Scratch",IF($Q407&gt;0,"Win",IF($Q407&lt;0,"Loss","Scratch"))))</f>
        <v/>
      </c>
      <c r="T407" s="47" t="str">
        <f>IF(OR($AM407=0,NOT(ISNUMBER($H407)),NOT(ISNUMBER($I407)),NOT(ISNUMBER($J407))),"",IF($H407=$I407,"",ROUND(ABS($J407-$H407)/ABS($H407-$I407),6)))</f>
        <v/>
      </c>
      <c r="U407" s="48" t="str">
        <f>IF(OR($S407&lt;&gt;"Win",NOT(ISNUMBER($T407)),NOT(ISNUMBER($R407))),"",MAX(0,$T407-$R407))</f>
        <v/>
      </c>
      <c r="V407" s="49" t="str">
        <f>IF(OR($AM407=0,NOT(ISNUMBER($H407)),NOT(ISNUMBER($I407)),NOT(ISNUMBER($G407))),"",IF(OR($AG407="",$AH407=""),"",IF(ROUND(ABS($H407-$I407)*ABS($G407)*$AG407*$AH407,6)=0,"",ROUND(ABS($H407-$I407)*ABS($G407)*$AG407*$AH407,6))))</f>
        <v/>
      </c>
      <c r="W407" s="50" t="str">
        <f>IF($AM407=0,"",IF($BG407="","OK",LEFT($BG407,LEN($BG407)-2)))</f>
        <v/>
      </c>
      <c r="X407" s="41" t="n"/>
      <c r="Y407" s="40" t="n"/>
      <c r="Z407" s="41" t="n"/>
      <c r="AA407" s="41" t="n"/>
      <c r="AB407" s="40" t="n"/>
      <c r="AC407" s="51" t="n"/>
      <c r="AD407" s="51" t="n"/>
      <c r="AE407" s="40" t="n"/>
      <c r="AF407" s="52" t="str">
        <f>IF($AM407=0,"",IF($D407&lt;&gt;"",$D407,IF(IFERROR(INDEX(Accounts!$C$7:$C$16,MATCH($C407,Accounts!$B$7:$B$16,0))&amp;"","")&lt;&gt;"",INDEX(Accounts!$C$7:$C$16,MATCH($C407,Accounts!$B$7:$B$16,0)),Settings!$C$6)))</f>
        <v/>
      </c>
      <c r="AG407" s="53" t="str">
        <f>IF($AM407=0,"",IF(AND($BE407&gt;0,N(INDEX(Instruments!$D$6:$D$205,MAX(1,$BE407)))&gt;0),INDEX(Instruments!$D$6:$D$205,MAX(1,$BE407)),IF(N(INDEX(Settings!$D$14:$D$18,$BF407))&gt;0,INDEX(Settings!$D$14:$D$18,$BF407),"")))</f>
        <v/>
      </c>
      <c r="AH407" s="54" t="str">
        <f>IF($AM407=0,"",IF($AF407&lt;&gt;"Forex",1,IF(MID(UPPER(SUBSTITUTE(TRIM($E407),"/","")),4,3)=UPPER(TRIM(Settings!$C$7)),1,IF(LEFT(UPPER(SUBSTITUTE(TRIM($E407),"/","")),3)=UPPER(TRIM(Settings!$C$7)),IF(AND(ISNUMBER($K407),N($K407)&lt;&gt;0),1/$K407,""),""))))</f>
        <v/>
      </c>
      <c r="AI407" s="55" t="str">
        <f>IF($AM407=0,"",IF(OR(NOT(ISNUMBER($H407)),NOT(ISNUMBER($K407)),NOT(ISNUMBER($G407)),$AG407="",$AH407=""),"",ROUND(($K407-$H407)*IF($F407="Short",-1,1)*$G407*$AG407*$AH407,6)))</f>
        <v/>
      </c>
      <c r="AJ407" s="55" t="str">
        <f>IF($AM407=0,"",IF(INDEX(Settings!$E$14:$E$18,$BF407)="% of notional",IF(OR($AG407="",NOT(ISNUMBER($H407)),NOT(ISNUMBER($G407))),"",ROUND(ABS($H407*$G407*$AG407*N($AH407))*IF($L407="Limit",N(INDEX(Settings!$G$14:$G$18,$BF407)),N(INDEX(Settings!$H$14:$H$18,$BF407)))+IF(ISNUMBER($K407),ABS($K407*$G407*$AG407*N($AH407))*IF($M407="Target",N(INDEX(Settings!$G$14:$G$18,$BF407)),N(INDEX(Settings!$H$14:$H$18,$BF407))),0),6)),IF(NOT(ISNUMBER($G407)),"",ROUND(ABS($G407)*2*IF(AND($BE407&gt;0,ISNUMBER(INDEX(Instruments!$G$6:$G$205,MAX(1,$BE407)))),INDEX(Instruments!$G$6:$G$205,MAX(1,$BE407)),N(INDEX(Settings!$F$14:$F$18,$BF407))),6))))</f>
        <v/>
      </c>
      <c r="AK407" s="55" t="str">
        <f>IF($AM407=0,"",IF(ISNUMBER($O407),$O407,$AI407))</f>
        <v/>
      </c>
      <c r="AL407" s="55" t="str">
        <f>IF($AM407=0,"",IF(ISNUMBER($P407),$P407,N($AJ407)))</f>
        <v/>
      </c>
      <c r="AM407" s="56">
        <f>IF(AND($A407&lt;&gt;"",$E407&lt;&gt;"",OR(AND(ISNUMBER($G407),ISNUMBER($H407),ISNUMBER($K407)),ISNUMBER($O407))),1,0)</f>
        <v>0</v>
      </c>
      <c r="AN407" s="57" t="str">
        <f>IF($A407="","",$A407-WEEKDAY($A407,3))</f>
        <v/>
      </c>
      <c r="AO407" s="56" t="str">
        <f>IF($A407="","",WEEKDAY($A407,2))</f>
        <v/>
      </c>
      <c r="AP407" s="55" t="str">
        <f>IF(OR($AM407=0,$C407=""),"",IFERROR(N(INDEX(Accounts!$E$7:$E$16,MATCH($C407,Accounts!$B$7:$B$16,0))),0)+SUMIFS($Q$6:$Q407,$C$6:$C407,$C407))</f>
        <v/>
      </c>
      <c r="AQ407" s="55" t="str">
        <f>IF(OR($AM407=0,$C407=""),"",SUMIFS($Q$6:$Q$1005,$C$6:$C$1005,$C407,$A$6:$A$1005,$A407))</f>
        <v/>
      </c>
      <c r="AR407" s="55" t="str">
        <f>IF(OR($AM407=0,$C407=""),"",IFERROR(N(INDEX(Accounts!$E$7:$E$16,MATCH($C407,Accounts!$B$7:$B$16,0))),0)+SUMIFS($Q$6:$Q$1005,$C$6:$C$1005,$C407,$A$6:$A$1005,"&lt;="&amp;$A407))</f>
        <v/>
      </c>
      <c r="AS407" s="56">
        <f>IF(OR($AM407=0,$Q407=""),0,IF(AND($A407&gt;=Lists!$W$6,$A407&lt;=Lists!$W$7,OR(Dashboard!$D$6="All accounts",$C407=Dashboard!$D$6),OR(Dashboard!$D$7="All markets",$AF407=Dashboard!$D$7)),1,0))</f>
        <v>0</v>
      </c>
      <c r="AT407" s="55">
        <f>IF($AS407=1,N(AT406)+$Q407,N(AT406))</f>
        <v>1187.10688</v>
      </c>
      <c r="AU407" s="55">
        <f>MAX(N(AU406),$AT407)</f>
        <v>1187.10688</v>
      </c>
      <c r="AV407" s="55">
        <f>$AT407-$AU407</f>
        <v>0</v>
      </c>
      <c r="AW407" s="56">
        <f>IF($AS407=1,IF($S407="Win",N(AW406)+1,IF($S407="Loss",0,N(AW406))),N(AW406))</f>
        <v>5</v>
      </c>
      <c r="AX407" s="56">
        <f>IF($AS407=1,IF($S407="Loss",N(AX406)+1,IF($S407="Win",0,N(AX406))),N(AX406))</f>
        <v>0</v>
      </c>
      <c r="AY407" s="56" t="str">
        <f>IF($AS407=1,COUNTIF($AS$6:$AS407,1),"")</f>
        <v/>
      </c>
      <c r="AZ407" s="56">
        <f>MIN(401,N(Lists!$W$8))</f>
        <v>28</v>
      </c>
      <c r="BA407" s="56">
        <f>IF($AS407=1,IF(COUNTIFS($A$6:$A407,$A407,$AS$6:$AS407,1)=1,1,0),0)</f>
        <v>0</v>
      </c>
      <c r="BB407" s="55" t="str">
        <f>IF($BA407=1,SUMIFS($Q$6:$Q$1005,$A$6:$A$1005,$A407,$AS$6:$AS$1005,1),"")</f>
        <v/>
      </c>
      <c r="BC407" s="56">
        <f>IF(ISNUMBER($R407),1,0)</f>
        <v>0</v>
      </c>
      <c r="BD407" s="55" t="str">
        <f>IF(ISNUMBER($U407),$U407*$V407,"")</f>
        <v/>
      </c>
      <c r="BE407" s="56" t="str">
        <f>IF($AM407=0,"",IFERROR(MATCH($AF407&amp;"|"&amp;UPPER(TRIM($E407)),Lists!$A$6:$A$205,0),0))</f>
        <v/>
      </c>
      <c r="BF407" s="56" t="str">
        <f>IF($AM407=0,"",IFERROR(MATCH($AF407,Settings!$B$14:$B$18,0),IFERROR(MATCH(Settings!$C$6,Settings!$B$14:$B$18,0),1)))</f>
        <v/>
      </c>
      <c r="BG407" s="58" t="str">
        <f>IF($AM407=0,"",IF(NOT(ISNUMBER($I407)),"No stop; ","")&amp;IF(AND(ISNUMBER($H407),ISNUMBER($I407)),IF(OR(AND($F407&lt;&gt;"Short",$I407&gt;=$H407),AND($F407="Short",$I407&lt;=$H407)),"Stop on wrong side; ",""),"")&amp;IF($F407="","No direction; ","")&amp;IF(AND(ISNUMBER(Settings!$C$22),ISNUMBER($V407)),IF($V407&gt;Settings!$C$22,"Risk over max $; ",""),"")&amp;IF(AND(ISNUMBER(Settings!$C$23),ISNUMBER($V407),ISNUMBER($AP407),IFERROR(N(INDEX(Accounts!$E$7:$E$16,MATCH($C407,Accounts!$B$7:$B$16,0))),0)&gt;0),IF($V407&gt;Settings!$C$23*($AP407-N($Q407)),"Risk over max %; ",""),"")&amp;IF(AND(ISNUMBER(Settings!$C$24),ISNUMBER($N407)),IF($N407&gt;Settings!$C$24,"Leverage over max; ",""),"")&amp;IF(AND(ISNUMBER(Settings!$C$27),ISNUMBER($T407)),IF($T407&lt;Settings!$C$27,"R:R below min; ",""),"")&amp;IF(ISNUMBER(Settings!$C$25),IF(COUNTIFS($A$6:$A407,$A407,$AM$6:$AM407,1)&gt;Settings!$C$25,"Over max trades/day; ",""),"")&amp;IF(ISNUMBER(Settings!$C$26),IF(SUMIFS($Q$5:$Q406,$A$5:$A406,$A407)&lt;=-Settings!$C$26,"Traded after daily max loss; ",""),"")&amp;IF(AND($AG407="",NOT(ISNUMBER($O407))),"Symbol not in Instruments; ","")&amp;IF(AND($AH407="",NOT(ISNUMBER($O407))),"Forex cross: type Gross P&amp;L; ",""))</f>
        <v/>
      </c>
      <c r="BH407" s="56">
        <f>IF(ISNUMBER($Q407),1,0)</f>
        <v>0</v>
      </c>
      <c r="BI407" s="56">
        <f>IF($Y407="",0,1)</f>
        <v>0</v>
      </c>
      <c r="BJ407" s="56">
        <f>IF($AB407="",0,1)</f>
        <v>0</v>
      </c>
      <c r="BK407" s="56">
        <f>IF(AND($BH407=1,$W407&lt;&gt;"OK"),1,0)</f>
        <v>0</v>
      </c>
      <c r="BL407" s="55">
        <f>IF(N($AZ407)=0,0,IFERROR(INDEX($AT$6:$AT$1005,MATCH($AZ407,$AY$6:$AY$1005,0)),0))</f>
        <v>1187.10688</v>
      </c>
      <c r="BM407" s="56">
        <f>IF(ISNUMBER(SEARCH("daily max loss",$BG407)),1,0)</f>
        <v>0</v>
      </c>
    </row>
    <row r="408" ht="18" customHeight="1">
      <c r="A408" s="38" t="n"/>
      <c r="B408" s="39" t="n"/>
      <c r="C408" s="40" t="n"/>
      <c r="D408" s="41" t="n"/>
      <c r="E408" s="41" t="n"/>
      <c r="F408" s="41" t="n"/>
      <c r="G408" s="41" t="n"/>
      <c r="H408" s="42" t="n"/>
      <c r="I408" s="42" t="n"/>
      <c r="J408" s="42" t="n"/>
      <c r="K408" s="42" t="n"/>
      <c r="L408" s="41" t="n"/>
      <c r="M408" s="41" t="n"/>
      <c r="N408" s="41" t="n"/>
      <c r="O408" s="43" t="n"/>
      <c r="P408" s="43" t="n"/>
      <c r="Q408" s="44" t="str">
        <f>IF($AM408=0,"",IF(ISNUMBER($AK408),$AK408-N($AL408),""))</f>
        <v/>
      </c>
      <c r="R408" s="45" t="str">
        <f>IF(OR($Q408="",NOT(ISNUMBER($V408))),"",$AK408/$V408)</f>
        <v/>
      </c>
      <c r="S408" s="46" t="str">
        <f>IF($Q408="","",IF(AND(ISNUMBER($R408),ABS(N($R408))&lt;N(Settings!$C$8)),"Scratch",IF($Q408&gt;0,"Win",IF($Q408&lt;0,"Loss","Scratch"))))</f>
        <v/>
      </c>
      <c r="T408" s="47" t="str">
        <f>IF(OR($AM408=0,NOT(ISNUMBER($H408)),NOT(ISNUMBER($I408)),NOT(ISNUMBER($J408))),"",IF($H408=$I408,"",ROUND(ABS($J408-$H408)/ABS($H408-$I408),6)))</f>
        <v/>
      </c>
      <c r="U408" s="48" t="str">
        <f>IF(OR($S408&lt;&gt;"Win",NOT(ISNUMBER($T408)),NOT(ISNUMBER($R408))),"",MAX(0,$T408-$R408))</f>
        <v/>
      </c>
      <c r="V408" s="49" t="str">
        <f>IF(OR($AM408=0,NOT(ISNUMBER($H408)),NOT(ISNUMBER($I408)),NOT(ISNUMBER($G408))),"",IF(OR($AG408="",$AH408=""),"",IF(ROUND(ABS($H408-$I408)*ABS($G408)*$AG408*$AH408,6)=0,"",ROUND(ABS($H408-$I408)*ABS($G408)*$AG408*$AH408,6))))</f>
        <v/>
      </c>
      <c r="W408" s="50" t="str">
        <f>IF($AM408=0,"",IF($BG408="","OK",LEFT($BG408,LEN($BG408)-2)))</f>
        <v/>
      </c>
      <c r="X408" s="41" t="n"/>
      <c r="Y408" s="40" t="n"/>
      <c r="Z408" s="41" t="n"/>
      <c r="AA408" s="41" t="n"/>
      <c r="AB408" s="40" t="n"/>
      <c r="AC408" s="51" t="n"/>
      <c r="AD408" s="51" t="n"/>
      <c r="AE408" s="40" t="n"/>
      <c r="AF408" s="52" t="str">
        <f>IF($AM408=0,"",IF($D408&lt;&gt;"",$D408,IF(IFERROR(INDEX(Accounts!$C$7:$C$16,MATCH($C408,Accounts!$B$7:$B$16,0))&amp;"","")&lt;&gt;"",INDEX(Accounts!$C$7:$C$16,MATCH($C408,Accounts!$B$7:$B$16,0)),Settings!$C$6)))</f>
        <v/>
      </c>
      <c r="AG408" s="53" t="str">
        <f>IF($AM408=0,"",IF(AND($BE408&gt;0,N(INDEX(Instruments!$D$6:$D$205,MAX(1,$BE408)))&gt;0),INDEX(Instruments!$D$6:$D$205,MAX(1,$BE408)),IF(N(INDEX(Settings!$D$14:$D$18,$BF408))&gt;0,INDEX(Settings!$D$14:$D$18,$BF408),"")))</f>
        <v/>
      </c>
      <c r="AH408" s="54" t="str">
        <f>IF($AM408=0,"",IF($AF408&lt;&gt;"Forex",1,IF(MID(UPPER(SUBSTITUTE(TRIM($E408),"/","")),4,3)=UPPER(TRIM(Settings!$C$7)),1,IF(LEFT(UPPER(SUBSTITUTE(TRIM($E408),"/","")),3)=UPPER(TRIM(Settings!$C$7)),IF(AND(ISNUMBER($K408),N($K408)&lt;&gt;0),1/$K408,""),""))))</f>
        <v/>
      </c>
      <c r="AI408" s="55" t="str">
        <f>IF($AM408=0,"",IF(OR(NOT(ISNUMBER($H408)),NOT(ISNUMBER($K408)),NOT(ISNUMBER($G408)),$AG408="",$AH408=""),"",ROUND(($K408-$H408)*IF($F408="Short",-1,1)*$G408*$AG408*$AH408,6)))</f>
        <v/>
      </c>
      <c r="AJ408" s="55" t="str">
        <f>IF($AM408=0,"",IF(INDEX(Settings!$E$14:$E$18,$BF408)="% of notional",IF(OR($AG408="",NOT(ISNUMBER($H408)),NOT(ISNUMBER($G408))),"",ROUND(ABS($H408*$G408*$AG408*N($AH408))*IF($L408="Limit",N(INDEX(Settings!$G$14:$G$18,$BF408)),N(INDEX(Settings!$H$14:$H$18,$BF408)))+IF(ISNUMBER($K408),ABS($K408*$G408*$AG408*N($AH408))*IF($M408="Target",N(INDEX(Settings!$G$14:$G$18,$BF408)),N(INDEX(Settings!$H$14:$H$18,$BF408))),0),6)),IF(NOT(ISNUMBER($G408)),"",ROUND(ABS($G408)*2*IF(AND($BE408&gt;0,ISNUMBER(INDEX(Instruments!$G$6:$G$205,MAX(1,$BE408)))),INDEX(Instruments!$G$6:$G$205,MAX(1,$BE408)),N(INDEX(Settings!$F$14:$F$18,$BF408))),6))))</f>
        <v/>
      </c>
      <c r="AK408" s="55" t="str">
        <f>IF($AM408=0,"",IF(ISNUMBER($O408),$O408,$AI408))</f>
        <v/>
      </c>
      <c r="AL408" s="55" t="str">
        <f>IF($AM408=0,"",IF(ISNUMBER($P408),$P408,N($AJ408)))</f>
        <v/>
      </c>
      <c r="AM408" s="56">
        <f>IF(AND($A408&lt;&gt;"",$E408&lt;&gt;"",OR(AND(ISNUMBER($G408),ISNUMBER($H408),ISNUMBER($K408)),ISNUMBER($O408))),1,0)</f>
        <v>0</v>
      </c>
      <c r="AN408" s="57" t="str">
        <f>IF($A408="","",$A408-WEEKDAY($A408,3))</f>
        <v/>
      </c>
      <c r="AO408" s="56" t="str">
        <f>IF($A408="","",WEEKDAY($A408,2))</f>
        <v/>
      </c>
      <c r="AP408" s="55" t="str">
        <f>IF(OR($AM408=0,$C408=""),"",IFERROR(N(INDEX(Accounts!$E$7:$E$16,MATCH($C408,Accounts!$B$7:$B$16,0))),0)+SUMIFS($Q$6:$Q408,$C$6:$C408,$C408))</f>
        <v/>
      </c>
      <c r="AQ408" s="55" t="str">
        <f>IF(OR($AM408=0,$C408=""),"",SUMIFS($Q$6:$Q$1005,$C$6:$C$1005,$C408,$A$6:$A$1005,$A408))</f>
        <v/>
      </c>
      <c r="AR408" s="55" t="str">
        <f>IF(OR($AM408=0,$C408=""),"",IFERROR(N(INDEX(Accounts!$E$7:$E$16,MATCH($C408,Accounts!$B$7:$B$16,0))),0)+SUMIFS($Q$6:$Q$1005,$C$6:$C$1005,$C408,$A$6:$A$1005,"&lt;="&amp;$A408))</f>
        <v/>
      </c>
      <c r="AS408" s="56">
        <f>IF(OR($AM408=0,$Q408=""),0,IF(AND($A408&gt;=Lists!$W$6,$A408&lt;=Lists!$W$7,OR(Dashboard!$D$6="All accounts",$C408=Dashboard!$D$6),OR(Dashboard!$D$7="All markets",$AF408=Dashboard!$D$7)),1,0))</f>
        <v>0</v>
      </c>
      <c r="AT408" s="55">
        <f>IF($AS408=1,N(AT407)+$Q408,N(AT407))</f>
        <v>1187.10688</v>
      </c>
      <c r="AU408" s="55">
        <f>MAX(N(AU407),$AT408)</f>
        <v>1187.10688</v>
      </c>
      <c r="AV408" s="55">
        <f>$AT408-$AU408</f>
        <v>0</v>
      </c>
      <c r="AW408" s="56">
        <f>IF($AS408=1,IF($S408="Win",N(AW407)+1,IF($S408="Loss",0,N(AW407))),N(AW407))</f>
        <v>5</v>
      </c>
      <c r="AX408" s="56">
        <f>IF($AS408=1,IF($S408="Loss",N(AX407)+1,IF($S408="Win",0,N(AX407))),N(AX407))</f>
        <v>0</v>
      </c>
      <c r="AY408" s="56" t="str">
        <f>IF($AS408=1,COUNTIF($AS$6:$AS408,1),"")</f>
        <v/>
      </c>
      <c r="AZ408" s="56">
        <f>MIN(402,N(Lists!$W$8))</f>
        <v>28</v>
      </c>
      <c r="BA408" s="56">
        <f>IF($AS408=1,IF(COUNTIFS($A$6:$A408,$A408,$AS$6:$AS408,1)=1,1,0),0)</f>
        <v>0</v>
      </c>
      <c r="BB408" s="55" t="str">
        <f>IF($BA408=1,SUMIFS($Q$6:$Q$1005,$A$6:$A$1005,$A408,$AS$6:$AS$1005,1),"")</f>
        <v/>
      </c>
      <c r="BC408" s="56">
        <f>IF(ISNUMBER($R408),1,0)</f>
        <v>0</v>
      </c>
      <c r="BD408" s="55" t="str">
        <f>IF(ISNUMBER($U408),$U408*$V408,"")</f>
        <v/>
      </c>
      <c r="BE408" s="56" t="str">
        <f>IF($AM408=0,"",IFERROR(MATCH($AF408&amp;"|"&amp;UPPER(TRIM($E408)),Lists!$A$6:$A$205,0),0))</f>
        <v/>
      </c>
      <c r="BF408" s="56" t="str">
        <f>IF($AM408=0,"",IFERROR(MATCH($AF408,Settings!$B$14:$B$18,0),IFERROR(MATCH(Settings!$C$6,Settings!$B$14:$B$18,0),1)))</f>
        <v/>
      </c>
      <c r="BG408" s="58" t="str">
        <f>IF($AM408=0,"",IF(NOT(ISNUMBER($I408)),"No stop; ","")&amp;IF(AND(ISNUMBER($H408),ISNUMBER($I408)),IF(OR(AND($F408&lt;&gt;"Short",$I408&gt;=$H408),AND($F408="Short",$I408&lt;=$H408)),"Stop on wrong side; ",""),"")&amp;IF($F408="","No direction; ","")&amp;IF(AND(ISNUMBER(Settings!$C$22),ISNUMBER($V408)),IF($V408&gt;Settings!$C$22,"Risk over max $; ",""),"")&amp;IF(AND(ISNUMBER(Settings!$C$23),ISNUMBER($V408),ISNUMBER($AP408),IFERROR(N(INDEX(Accounts!$E$7:$E$16,MATCH($C408,Accounts!$B$7:$B$16,0))),0)&gt;0),IF($V408&gt;Settings!$C$23*($AP408-N($Q408)),"Risk over max %; ",""),"")&amp;IF(AND(ISNUMBER(Settings!$C$24),ISNUMBER($N408)),IF($N408&gt;Settings!$C$24,"Leverage over max; ",""),"")&amp;IF(AND(ISNUMBER(Settings!$C$27),ISNUMBER($T408)),IF($T408&lt;Settings!$C$27,"R:R below min; ",""),"")&amp;IF(ISNUMBER(Settings!$C$25),IF(COUNTIFS($A$6:$A408,$A408,$AM$6:$AM408,1)&gt;Settings!$C$25,"Over max trades/day; ",""),"")&amp;IF(ISNUMBER(Settings!$C$26),IF(SUMIFS($Q$5:$Q407,$A$5:$A407,$A408)&lt;=-Settings!$C$26,"Traded after daily max loss; ",""),"")&amp;IF(AND($AG408="",NOT(ISNUMBER($O408))),"Symbol not in Instruments; ","")&amp;IF(AND($AH408="",NOT(ISNUMBER($O408))),"Forex cross: type Gross P&amp;L; ",""))</f>
        <v/>
      </c>
      <c r="BH408" s="56">
        <f>IF(ISNUMBER($Q408),1,0)</f>
        <v>0</v>
      </c>
      <c r="BI408" s="56">
        <f>IF($Y408="",0,1)</f>
        <v>0</v>
      </c>
      <c r="BJ408" s="56">
        <f>IF($AB408="",0,1)</f>
        <v>0</v>
      </c>
      <c r="BK408" s="56">
        <f>IF(AND($BH408=1,$W408&lt;&gt;"OK"),1,0)</f>
        <v>0</v>
      </c>
      <c r="BL408" s="55">
        <f>IF(N($AZ408)=0,0,IFERROR(INDEX($AT$6:$AT$1005,MATCH($AZ408,$AY$6:$AY$1005,0)),0))</f>
        <v>1187.10688</v>
      </c>
      <c r="BM408" s="56">
        <f>IF(ISNUMBER(SEARCH("daily max loss",$BG408)),1,0)</f>
        <v>0</v>
      </c>
    </row>
    <row r="409" ht="18" customHeight="1">
      <c r="A409" s="38" t="n"/>
      <c r="B409" s="39" t="n"/>
      <c r="C409" s="40" t="n"/>
      <c r="D409" s="41" t="n"/>
      <c r="E409" s="41" t="n"/>
      <c r="F409" s="41" t="n"/>
      <c r="G409" s="41" t="n"/>
      <c r="H409" s="42" t="n"/>
      <c r="I409" s="42" t="n"/>
      <c r="J409" s="42" t="n"/>
      <c r="K409" s="42" t="n"/>
      <c r="L409" s="41" t="n"/>
      <c r="M409" s="41" t="n"/>
      <c r="N409" s="41" t="n"/>
      <c r="O409" s="43" t="n"/>
      <c r="P409" s="43" t="n"/>
      <c r="Q409" s="44" t="str">
        <f>IF($AM409=0,"",IF(ISNUMBER($AK409),$AK409-N($AL409),""))</f>
        <v/>
      </c>
      <c r="R409" s="45" t="str">
        <f>IF(OR($Q409="",NOT(ISNUMBER($V409))),"",$AK409/$V409)</f>
        <v/>
      </c>
      <c r="S409" s="46" t="str">
        <f>IF($Q409="","",IF(AND(ISNUMBER($R409),ABS(N($R409))&lt;N(Settings!$C$8)),"Scratch",IF($Q409&gt;0,"Win",IF($Q409&lt;0,"Loss","Scratch"))))</f>
        <v/>
      </c>
      <c r="T409" s="47" t="str">
        <f>IF(OR($AM409=0,NOT(ISNUMBER($H409)),NOT(ISNUMBER($I409)),NOT(ISNUMBER($J409))),"",IF($H409=$I409,"",ROUND(ABS($J409-$H409)/ABS($H409-$I409),6)))</f>
        <v/>
      </c>
      <c r="U409" s="48" t="str">
        <f>IF(OR($S409&lt;&gt;"Win",NOT(ISNUMBER($T409)),NOT(ISNUMBER($R409))),"",MAX(0,$T409-$R409))</f>
        <v/>
      </c>
      <c r="V409" s="49" t="str">
        <f>IF(OR($AM409=0,NOT(ISNUMBER($H409)),NOT(ISNUMBER($I409)),NOT(ISNUMBER($G409))),"",IF(OR($AG409="",$AH409=""),"",IF(ROUND(ABS($H409-$I409)*ABS($G409)*$AG409*$AH409,6)=0,"",ROUND(ABS($H409-$I409)*ABS($G409)*$AG409*$AH409,6))))</f>
        <v/>
      </c>
      <c r="W409" s="50" t="str">
        <f>IF($AM409=0,"",IF($BG409="","OK",LEFT($BG409,LEN($BG409)-2)))</f>
        <v/>
      </c>
      <c r="X409" s="41" t="n"/>
      <c r="Y409" s="40" t="n"/>
      <c r="Z409" s="41" t="n"/>
      <c r="AA409" s="41" t="n"/>
      <c r="AB409" s="40" t="n"/>
      <c r="AC409" s="51" t="n"/>
      <c r="AD409" s="51" t="n"/>
      <c r="AE409" s="40" t="n"/>
      <c r="AF409" s="52" t="str">
        <f>IF($AM409=0,"",IF($D409&lt;&gt;"",$D409,IF(IFERROR(INDEX(Accounts!$C$7:$C$16,MATCH($C409,Accounts!$B$7:$B$16,0))&amp;"","")&lt;&gt;"",INDEX(Accounts!$C$7:$C$16,MATCH($C409,Accounts!$B$7:$B$16,0)),Settings!$C$6)))</f>
        <v/>
      </c>
      <c r="AG409" s="53" t="str">
        <f>IF($AM409=0,"",IF(AND($BE409&gt;0,N(INDEX(Instruments!$D$6:$D$205,MAX(1,$BE409)))&gt;0),INDEX(Instruments!$D$6:$D$205,MAX(1,$BE409)),IF(N(INDEX(Settings!$D$14:$D$18,$BF409))&gt;0,INDEX(Settings!$D$14:$D$18,$BF409),"")))</f>
        <v/>
      </c>
      <c r="AH409" s="54" t="str">
        <f>IF($AM409=0,"",IF($AF409&lt;&gt;"Forex",1,IF(MID(UPPER(SUBSTITUTE(TRIM($E409),"/","")),4,3)=UPPER(TRIM(Settings!$C$7)),1,IF(LEFT(UPPER(SUBSTITUTE(TRIM($E409),"/","")),3)=UPPER(TRIM(Settings!$C$7)),IF(AND(ISNUMBER($K409),N($K409)&lt;&gt;0),1/$K409,""),""))))</f>
        <v/>
      </c>
      <c r="AI409" s="55" t="str">
        <f>IF($AM409=0,"",IF(OR(NOT(ISNUMBER($H409)),NOT(ISNUMBER($K409)),NOT(ISNUMBER($G409)),$AG409="",$AH409=""),"",ROUND(($K409-$H409)*IF($F409="Short",-1,1)*$G409*$AG409*$AH409,6)))</f>
        <v/>
      </c>
      <c r="AJ409" s="55" t="str">
        <f>IF($AM409=0,"",IF(INDEX(Settings!$E$14:$E$18,$BF409)="% of notional",IF(OR($AG409="",NOT(ISNUMBER($H409)),NOT(ISNUMBER($G409))),"",ROUND(ABS($H409*$G409*$AG409*N($AH409))*IF($L409="Limit",N(INDEX(Settings!$G$14:$G$18,$BF409)),N(INDEX(Settings!$H$14:$H$18,$BF409)))+IF(ISNUMBER($K409),ABS($K409*$G409*$AG409*N($AH409))*IF($M409="Target",N(INDEX(Settings!$G$14:$G$18,$BF409)),N(INDEX(Settings!$H$14:$H$18,$BF409))),0),6)),IF(NOT(ISNUMBER($G409)),"",ROUND(ABS($G409)*2*IF(AND($BE409&gt;0,ISNUMBER(INDEX(Instruments!$G$6:$G$205,MAX(1,$BE409)))),INDEX(Instruments!$G$6:$G$205,MAX(1,$BE409)),N(INDEX(Settings!$F$14:$F$18,$BF409))),6))))</f>
        <v/>
      </c>
      <c r="AK409" s="55" t="str">
        <f>IF($AM409=0,"",IF(ISNUMBER($O409),$O409,$AI409))</f>
        <v/>
      </c>
      <c r="AL409" s="55" t="str">
        <f>IF($AM409=0,"",IF(ISNUMBER($P409),$P409,N($AJ409)))</f>
        <v/>
      </c>
      <c r="AM409" s="56">
        <f>IF(AND($A409&lt;&gt;"",$E409&lt;&gt;"",OR(AND(ISNUMBER($G409),ISNUMBER($H409),ISNUMBER($K409)),ISNUMBER($O409))),1,0)</f>
        <v>0</v>
      </c>
      <c r="AN409" s="57" t="str">
        <f>IF($A409="","",$A409-WEEKDAY($A409,3))</f>
        <v/>
      </c>
      <c r="AO409" s="56" t="str">
        <f>IF($A409="","",WEEKDAY($A409,2))</f>
        <v/>
      </c>
      <c r="AP409" s="55" t="str">
        <f>IF(OR($AM409=0,$C409=""),"",IFERROR(N(INDEX(Accounts!$E$7:$E$16,MATCH($C409,Accounts!$B$7:$B$16,0))),0)+SUMIFS($Q$6:$Q409,$C$6:$C409,$C409))</f>
        <v/>
      </c>
      <c r="AQ409" s="55" t="str">
        <f>IF(OR($AM409=0,$C409=""),"",SUMIFS($Q$6:$Q$1005,$C$6:$C$1005,$C409,$A$6:$A$1005,$A409))</f>
        <v/>
      </c>
      <c r="AR409" s="55" t="str">
        <f>IF(OR($AM409=0,$C409=""),"",IFERROR(N(INDEX(Accounts!$E$7:$E$16,MATCH($C409,Accounts!$B$7:$B$16,0))),0)+SUMIFS($Q$6:$Q$1005,$C$6:$C$1005,$C409,$A$6:$A$1005,"&lt;="&amp;$A409))</f>
        <v/>
      </c>
      <c r="AS409" s="56">
        <f>IF(OR($AM409=0,$Q409=""),0,IF(AND($A409&gt;=Lists!$W$6,$A409&lt;=Lists!$W$7,OR(Dashboard!$D$6="All accounts",$C409=Dashboard!$D$6),OR(Dashboard!$D$7="All markets",$AF409=Dashboard!$D$7)),1,0))</f>
        <v>0</v>
      </c>
      <c r="AT409" s="55">
        <f>IF($AS409=1,N(AT408)+$Q409,N(AT408))</f>
        <v>1187.10688</v>
      </c>
      <c r="AU409" s="55">
        <f>MAX(N(AU408),$AT409)</f>
        <v>1187.10688</v>
      </c>
      <c r="AV409" s="55">
        <f>$AT409-$AU409</f>
        <v>0</v>
      </c>
      <c r="AW409" s="56">
        <f>IF($AS409=1,IF($S409="Win",N(AW408)+1,IF($S409="Loss",0,N(AW408))),N(AW408))</f>
        <v>5</v>
      </c>
      <c r="AX409" s="56">
        <f>IF($AS409=1,IF($S409="Loss",N(AX408)+1,IF($S409="Win",0,N(AX408))),N(AX408))</f>
        <v>0</v>
      </c>
      <c r="AY409" s="56" t="str">
        <f>IF($AS409=1,COUNTIF($AS$6:$AS409,1),"")</f>
        <v/>
      </c>
      <c r="AZ409" s="56">
        <f>MIN(403,N(Lists!$W$8))</f>
        <v>28</v>
      </c>
      <c r="BA409" s="56">
        <f>IF($AS409=1,IF(COUNTIFS($A$6:$A409,$A409,$AS$6:$AS409,1)=1,1,0),0)</f>
        <v>0</v>
      </c>
      <c r="BB409" s="55" t="str">
        <f>IF($BA409=1,SUMIFS($Q$6:$Q$1005,$A$6:$A$1005,$A409,$AS$6:$AS$1005,1),"")</f>
        <v/>
      </c>
      <c r="BC409" s="56">
        <f>IF(ISNUMBER($R409),1,0)</f>
        <v>0</v>
      </c>
      <c r="BD409" s="55" t="str">
        <f>IF(ISNUMBER($U409),$U409*$V409,"")</f>
        <v/>
      </c>
      <c r="BE409" s="56" t="str">
        <f>IF($AM409=0,"",IFERROR(MATCH($AF409&amp;"|"&amp;UPPER(TRIM($E409)),Lists!$A$6:$A$205,0),0))</f>
        <v/>
      </c>
      <c r="BF409" s="56" t="str">
        <f>IF($AM409=0,"",IFERROR(MATCH($AF409,Settings!$B$14:$B$18,0),IFERROR(MATCH(Settings!$C$6,Settings!$B$14:$B$18,0),1)))</f>
        <v/>
      </c>
      <c r="BG409" s="58" t="str">
        <f>IF($AM409=0,"",IF(NOT(ISNUMBER($I409)),"No stop; ","")&amp;IF(AND(ISNUMBER($H409),ISNUMBER($I409)),IF(OR(AND($F409&lt;&gt;"Short",$I409&gt;=$H409),AND($F409="Short",$I409&lt;=$H409)),"Stop on wrong side; ",""),"")&amp;IF($F409="","No direction; ","")&amp;IF(AND(ISNUMBER(Settings!$C$22),ISNUMBER($V409)),IF($V409&gt;Settings!$C$22,"Risk over max $; ",""),"")&amp;IF(AND(ISNUMBER(Settings!$C$23),ISNUMBER($V409),ISNUMBER($AP409),IFERROR(N(INDEX(Accounts!$E$7:$E$16,MATCH($C409,Accounts!$B$7:$B$16,0))),0)&gt;0),IF($V409&gt;Settings!$C$23*($AP409-N($Q409)),"Risk over max %; ",""),"")&amp;IF(AND(ISNUMBER(Settings!$C$24),ISNUMBER($N409)),IF($N409&gt;Settings!$C$24,"Leverage over max; ",""),"")&amp;IF(AND(ISNUMBER(Settings!$C$27),ISNUMBER($T409)),IF($T409&lt;Settings!$C$27,"R:R below min; ",""),"")&amp;IF(ISNUMBER(Settings!$C$25),IF(COUNTIFS($A$6:$A409,$A409,$AM$6:$AM409,1)&gt;Settings!$C$25,"Over max trades/day; ",""),"")&amp;IF(ISNUMBER(Settings!$C$26),IF(SUMIFS($Q$5:$Q408,$A$5:$A408,$A409)&lt;=-Settings!$C$26,"Traded after daily max loss; ",""),"")&amp;IF(AND($AG409="",NOT(ISNUMBER($O409))),"Symbol not in Instruments; ","")&amp;IF(AND($AH409="",NOT(ISNUMBER($O409))),"Forex cross: type Gross P&amp;L; ",""))</f>
        <v/>
      </c>
      <c r="BH409" s="56">
        <f>IF(ISNUMBER($Q409),1,0)</f>
        <v>0</v>
      </c>
      <c r="BI409" s="56">
        <f>IF($Y409="",0,1)</f>
        <v>0</v>
      </c>
      <c r="BJ409" s="56">
        <f>IF($AB409="",0,1)</f>
        <v>0</v>
      </c>
      <c r="BK409" s="56">
        <f>IF(AND($BH409=1,$W409&lt;&gt;"OK"),1,0)</f>
        <v>0</v>
      </c>
      <c r="BL409" s="55">
        <f>IF(N($AZ409)=0,0,IFERROR(INDEX($AT$6:$AT$1005,MATCH($AZ409,$AY$6:$AY$1005,0)),0))</f>
        <v>1187.10688</v>
      </c>
      <c r="BM409" s="56">
        <f>IF(ISNUMBER(SEARCH("daily max loss",$BG409)),1,0)</f>
        <v>0</v>
      </c>
    </row>
    <row r="410" ht="18" customHeight="1">
      <c r="A410" s="38" t="n"/>
      <c r="B410" s="39" t="n"/>
      <c r="C410" s="40" t="n"/>
      <c r="D410" s="41" t="n"/>
      <c r="E410" s="41" t="n"/>
      <c r="F410" s="41" t="n"/>
      <c r="G410" s="41" t="n"/>
      <c r="H410" s="42" t="n"/>
      <c r="I410" s="42" t="n"/>
      <c r="J410" s="42" t="n"/>
      <c r="K410" s="42" t="n"/>
      <c r="L410" s="41" t="n"/>
      <c r="M410" s="41" t="n"/>
      <c r="N410" s="41" t="n"/>
      <c r="O410" s="43" t="n"/>
      <c r="P410" s="43" t="n"/>
      <c r="Q410" s="44" t="str">
        <f>IF($AM410=0,"",IF(ISNUMBER($AK410),$AK410-N($AL410),""))</f>
        <v/>
      </c>
      <c r="R410" s="45" t="str">
        <f>IF(OR($Q410="",NOT(ISNUMBER($V410))),"",$AK410/$V410)</f>
        <v/>
      </c>
      <c r="S410" s="46" t="str">
        <f>IF($Q410="","",IF(AND(ISNUMBER($R410),ABS(N($R410))&lt;N(Settings!$C$8)),"Scratch",IF($Q410&gt;0,"Win",IF($Q410&lt;0,"Loss","Scratch"))))</f>
        <v/>
      </c>
      <c r="T410" s="47" t="str">
        <f>IF(OR($AM410=0,NOT(ISNUMBER($H410)),NOT(ISNUMBER($I410)),NOT(ISNUMBER($J410))),"",IF($H410=$I410,"",ROUND(ABS($J410-$H410)/ABS($H410-$I410),6)))</f>
        <v/>
      </c>
      <c r="U410" s="48" t="str">
        <f>IF(OR($S410&lt;&gt;"Win",NOT(ISNUMBER($T410)),NOT(ISNUMBER($R410))),"",MAX(0,$T410-$R410))</f>
        <v/>
      </c>
      <c r="V410" s="49" t="str">
        <f>IF(OR($AM410=0,NOT(ISNUMBER($H410)),NOT(ISNUMBER($I410)),NOT(ISNUMBER($G410))),"",IF(OR($AG410="",$AH410=""),"",IF(ROUND(ABS($H410-$I410)*ABS($G410)*$AG410*$AH410,6)=0,"",ROUND(ABS($H410-$I410)*ABS($G410)*$AG410*$AH410,6))))</f>
        <v/>
      </c>
      <c r="W410" s="50" t="str">
        <f>IF($AM410=0,"",IF($BG410="","OK",LEFT($BG410,LEN($BG410)-2)))</f>
        <v/>
      </c>
      <c r="X410" s="41" t="n"/>
      <c r="Y410" s="40" t="n"/>
      <c r="Z410" s="41" t="n"/>
      <c r="AA410" s="41" t="n"/>
      <c r="AB410" s="40" t="n"/>
      <c r="AC410" s="51" t="n"/>
      <c r="AD410" s="51" t="n"/>
      <c r="AE410" s="40" t="n"/>
      <c r="AF410" s="52" t="str">
        <f>IF($AM410=0,"",IF($D410&lt;&gt;"",$D410,IF(IFERROR(INDEX(Accounts!$C$7:$C$16,MATCH($C410,Accounts!$B$7:$B$16,0))&amp;"","")&lt;&gt;"",INDEX(Accounts!$C$7:$C$16,MATCH($C410,Accounts!$B$7:$B$16,0)),Settings!$C$6)))</f>
        <v/>
      </c>
      <c r="AG410" s="53" t="str">
        <f>IF($AM410=0,"",IF(AND($BE410&gt;0,N(INDEX(Instruments!$D$6:$D$205,MAX(1,$BE410)))&gt;0),INDEX(Instruments!$D$6:$D$205,MAX(1,$BE410)),IF(N(INDEX(Settings!$D$14:$D$18,$BF410))&gt;0,INDEX(Settings!$D$14:$D$18,$BF410),"")))</f>
        <v/>
      </c>
      <c r="AH410" s="54" t="str">
        <f>IF($AM410=0,"",IF($AF410&lt;&gt;"Forex",1,IF(MID(UPPER(SUBSTITUTE(TRIM($E410),"/","")),4,3)=UPPER(TRIM(Settings!$C$7)),1,IF(LEFT(UPPER(SUBSTITUTE(TRIM($E410),"/","")),3)=UPPER(TRIM(Settings!$C$7)),IF(AND(ISNUMBER($K410),N($K410)&lt;&gt;0),1/$K410,""),""))))</f>
        <v/>
      </c>
      <c r="AI410" s="55" t="str">
        <f>IF($AM410=0,"",IF(OR(NOT(ISNUMBER($H410)),NOT(ISNUMBER($K410)),NOT(ISNUMBER($G410)),$AG410="",$AH410=""),"",ROUND(($K410-$H410)*IF($F410="Short",-1,1)*$G410*$AG410*$AH410,6)))</f>
        <v/>
      </c>
      <c r="AJ410" s="55" t="str">
        <f>IF($AM410=0,"",IF(INDEX(Settings!$E$14:$E$18,$BF410)="% of notional",IF(OR($AG410="",NOT(ISNUMBER($H410)),NOT(ISNUMBER($G410))),"",ROUND(ABS($H410*$G410*$AG410*N($AH410))*IF($L410="Limit",N(INDEX(Settings!$G$14:$G$18,$BF410)),N(INDEX(Settings!$H$14:$H$18,$BF410)))+IF(ISNUMBER($K410),ABS($K410*$G410*$AG410*N($AH410))*IF($M410="Target",N(INDEX(Settings!$G$14:$G$18,$BF410)),N(INDEX(Settings!$H$14:$H$18,$BF410))),0),6)),IF(NOT(ISNUMBER($G410)),"",ROUND(ABS($G410)*2*IF(AND($BE410&gt;0,ISNUMBER(INDEX(Instruments!$G$6:$G$205,MAX(1,$BE410)))),INDEX(Instruments!$G$6:$G$205,MAX(1,$BE410)),N(INDEX(Settings!$F$14:$F$18,$BF410))),6))))</f>
        <v/>
      </c>
      <c r="AK410" s="55" t="str">
        <f>IF($AM410=0,"",IF(ISNUMBER($O410),$O410,$AI410))</f>
        <v/>
      </c>
      <c r="AL410" s="55" t="str">
        <f>IF($AM410=0,"",IF(ISNUMBER($P410),$P410,N($AJ410)))</f>
        <v/>
      </c>
      <c r="AM410" s="56">
        <f>IF(AND($A410&lt;&gt;"",$E410&lt;&gt;"",OR(AND(ISNUMBER($G410),ISNUMBER($H410),ISNUMBER($K410)),ISNUMBER($O410))),1,0)</f>
        <v>0</v>
      </c>
      <c r="AN410" s="57" t="str">
        <f>IF($A410="","",$A410-WEEKDAY($A410,3))</f>
        <v/>
      </c>
      <c r="AO410" s="56" t="str">
        <f>IF($A410="","",WEEKDAY($A410,2))</f>
        <v/>
      </c>
      <c r="AP410" s="55" t="str">
        <f>IF(OR($AM410=0,$C410=""),"",IFERROR(N(INDEX(Accounts!$E$7:$E$16,MATCH($C410,Accounts!$B$7:$B$16,0))),0)+SUMIFS($Q$6:$Q410,$C$6:$C410,$C410))</f>
        <v/>
      </c>
      <c r="AQ410" s="55" t="str">
        <f>IF(OR($AM410=0,$C410=""),"",SUMIFS($Q$6:$Q$1005,$C$6:$C$1005,$C410,$A$6:$A$1005,$A410))</f>
        <v/>
      </c>
      <c r="AR410" s="55" t="str">
        <f>IF(OR($AM410=0,$C410=""),"",IFERROR(N(INDEX(Accounts!$E$7:$E$16,MATCH($C410,Accounts!$B$7:$B$16,0))),0)+SUMIFS($Q$6:$Q$1005,$C$6:$C$1005,$C410,$A$6:$A$1005,"&lt;="&amp;$A410))</f>
        <v/>
      </c>
      <c r="AS410" s="56">
        <f>IF(OR($AM410=0,$Q410=""),0,IF(AND($A410&gt;=Lists!$W$6,$A410&lt;=Lists!$W$7,OR(Dashboard!$D$6="All accounts",$C410=Dashboard!$D$6),OR(Dashboard!$D$7="All markets",$AF410=Dashboard!$D$7)),1,0))</f>
        <v>0</v>
      </c>
      <c r="AT410" s="55">
        <f>IF($AS410=1,N(AT409)+$Q410,N(AT409))</f>
        <v>1187.10688</v>
      </c>
      <c r="AU410" s="55">
        <f>MAX(N(AU409),$AT410)</f>
        <v>1187.10688</v>
      </c>
      <c r="AV410" s="55">
        <f>$AT410-$AU410</f>
        <v>0</v>
      </c>
      <c r="AW410" s="56">
        <f>IF($AS410=1,IF($S410="Win",N(AW409)+1,IF($S410="Loss",0,N(AW409))),N(AW409))</f>
        <v>5</v>
      </c>
      <c r="AX410" s="56">
        <f>IF($AS410=1,IF($S410="Loss",N(AX409)+1,IF($S410="Win",0,N(AX409))),N(AX409))</f>
        <v>0</v>
      </c>
      <c r="AY410" s="56" t="str">
        <f>IF($AS410=1,COUNTIF($AS$6:$AS410,1),"")</f>
        <v/>
      </c>
      <c r="AZ410" s="56">
        <f>MIN(404,N(Lists!$W$8))</f>
        <v>28</v>
      </c>
      <c r="BA410" s="56">
        <f>IF($AS410=1,IF(COUNTIFS($A$6:$A410,$A410,$AS$6:$AS410,1)=1,1,0),0)</f>
        <v>0</v>
      </c>
      <c r="BB410" s="55" t="str">
        <f>IF($BA410=1,SUMIFS($Q$6:$Q$1005,$A$6:$A$1005,$A410,$AS$6:$AS$1005,1),"")</f>
        <v/>
      </c>
      <c r="BC410" s="56">
        <f>IF(ISNUMBER($R410),1,0)</f>
        <v>0</v>
      </c>
      <c r="BD410" s="55" t="str">
        <f>IF(ISNUMBER($U410),$U410*$V410,"")</f>
        <v/>
      </c>
      <c r="BE410" s="56" t="str">
        <f>IF($AM410=0,"",IFERROR(MATCH($AF410&amp;"|"&amp;UPPER(TRIM($E410)),Lists!$A$6:$A$205,0),0))</f>
        <v/>
      </c>
      <c r="BF410" s="56" t="str">
        <f>IF($AM410=0,"",IFERROR(MATCH($AF410,Settings!$B$14:$B$18,0),IFERROR(MATCH(Settings!$C$6,Settings!$B$14:$B$18,0),1)))</f>
        <v/>
      </c>
      <c r="BG410" s="58" t="str">
        <f>IF($AM410=0,"",IF(NOT(ISNUMBER($I410)),"No stop; ","")&amp;IF(AND(ISNUMBER($H410),ISNUMBER($I410)),IF(OR(AND($F410&lt;&gt;"Short",$I410&gt;=$H410),AND($F410="Short",$I410&lt;=$H410)),"Stop on wrong side; ",""),"")&amp;IF($F410="","No direction; ","")&amp;IF(AND(ISNUMBER(Settings!$C$22),ISNUMBER($V410)),IF($V410&gt;Settings!$C$22,"Risk over max $; ",""),"")&amp;IF(AND(ISNUMBER(Settings!$C$23),ISNUMBER($V410),ISNUMBER($AP410),IFERROR(N(INDEX(Accounts!$E$7:$E$16,MATCH($C410,Accounts!$B$7:$B$16,0))),0)&gt;0),IF($V410&gt;Settings!$C$23*($AP410-N($Q410)),"Risk over max %; ",""),"")&amp;IF(AND(ISNUMBER(Settings!$C$24),ISNUMBER($N410)),IF($N410&gt;Settings!$C$24,"Leverage over max; ",""),"")&amp;IF(AND(ISNUMBER(Settings!$C$27),ISNUMBER($T410)),IF($T410&lt;Settings!$C$27,"R:R below min; ",""),"")&amp;IF(ISNUMBER(Settings!$C$25),IF(COUNTIFS($A$6:$A410,$A410,$AM$6:$AM410,1)&gt;Settings!$C$25,"Over max trades/day; ",""),"")&amp;IF(ISNUMBER(Settings!$C$26),IF(SUMIFS($Q$5:$Q409,$A$5:$A409,$A410)&lt;=-Settings!$C$26,"Traded after daily max loss; ",""),"")&amp;IF(AND($AG410="",NOT(ISNUMBER($O410))),"Symbol not in Instruments; ","")&amp;IF(AND($AH410="",NOT(ISNUMBER($O410))),"Forex cross: type Gross P&amp;L; ",""))</f>
        <v/>
      </c>
      <c r="BH410" s="56">
        <f>IF(ISNUMBER($Q410),1,0)</f>
        <v>0</v>
      </c>
      <c r="BI410" s="56">
        <f>IF($Y410="",0,1)</f>
        <v>0</v>
      </c>
      <c r="BJ410" s="56">
        <f>IF($AB410="",0,1)</f>
        <v>0</v>
      </c>
      <c r="BK410" s="56">
        <f>IF(AND($BH410=1,$W410&lt;&gt;"OK"),1,0)</f>
        <v>0</v>
      </c>
      <c r="BL410" s="55">
        <f>IF(N($AZ410)=0,0,IFERROR(INDEX($AT$6:$AT$1005,MATCH($AZ410,$AY$6:$AY$1005,0)),0))</f>
        <v>1187.10688</v>
      </c>
      <c r="BM410" s="56">
        <f>IF(ISNUMBER(SEARCH("daily max loss",$BG410)),1,0)</f>
        <v>0</v>
      </c>
    </row>
    <row r="411" ht="18" customHeight="1">
      <c r="A411" s="38" t="n"/>
      <c r="B411" s="39" t="n"/>
      <c r="C411" s="40" t="n"/>
      <c r="D411" s="41" t="n"/>
      <c r="E411" s="41" t="n"/>
      <c r="F411" s="41" t="n"/>
      <c r="G411" s="41" t="n"/>
      <c r="H411" s="42" t="n"/>
      <c r="I411" s="42" t="n"/>
      <c r="J411" s="42" t="n"/>
      <c r="K411" s="42" t="n"/>
      <c r="L411" s="41" t="n"/>
      <c r="M411" s="41" t="n"/>
      <c r="N411" s="41" t="n"/>
      <c r="O411" s="43" t="n"/>
      <c r="P411" s="43" t="n"/>
      <c r="Q411" s="44" t="str">
        <f>IF($AM411=0,"",IF(ISNUMBER($AK411),$AK411-N($AL411),""))</f>
        <v/>
      </c>
      <c r="R411" s="45" t="str">
        <f>IF(OR($Q411="",NOT(ISNUMBER($V411))),"",$AK411/$V411)</f>
        <v/>
      </c>
      <c r="S411" s="46" t="str">
        <f>IF($Q411="","",IF(AND(ISNUMBER($R411),ABS(N($R411))&lt;N(Settings!$C$8)),"Scratch",IF($Q411&gt;0,"Win",IF($Q411&lt;0,"Loss","Scratch"))))</f>
        <v/>
      </c>
      <c r="T411" s="47" t="str">
        <f>IF(OR($AM411=0,NOT(ISNUMBER($H411)),NOT(ISNUMBER($I411)),NOT(ISNUMBER($J411))),"",IF($H411=$I411,"",ROUND(ABS($J411-$H411)/ABS($H411-$I411),6)))</f>
        <v/>
      </c>
      <c r="U411" s="48" t="str">
        <f>IF(OR($S411&lt;&gt;"Win",NOT(ISNUMBER($T411)),NOT(ISNUMBER($R411))),"",MAX(0,$T411-$R411))</f>
        <v/>
      </c>
      <c r="V411" s="49" t="str">
        <f>IF(OR($AM411=0,NOT(ISNUMBER($H411)),NOT(ISNUMBER($I411)),NOT(ISNUMBER($G411))),"",IF(OR($AG411="",$AH411=""),"",IF(ROUND(ABS($H411-$I411)*ABS($G411)*$AG411*$AH411,6)=0,"",ROUND(ABS($H411-$I411)*ABS($G411)*$AG411*$AH411,6))))</f>
        <v/>
      </c>
      <c r="W411" s="50" t="str">
        <f>IF($AM411=0,"",IF($BG411="","OK",LEFT($BG411,LEN($BG411)-2)))</f>
        <v/>
      </c>
      <c r="X411" s="41" t="n"/>
      <c r="Y411" s="40" t="n"/>
      <c r="Z411" s="41" t="n"/>
      <c r="AA411" s="41" t="n"/>
      <c r="AB411" s="40" t="n"/>
      <c r="AC411" s="51" t="n"/>
      <c r="AD411" s="51" t="n"/>
      <c r="AE411" s="40" t="n"/>
      <c r="AF411" s="52" t="str">
        <f>IF($AM411=0,"",IF($D411&lt;&gt;"",$D411,IF(IFERROR(INDEX(Accounts!$C$7:$C$16,MATCH($C411,Accounts!$B$7:$B$16,0))&amp;"","")&lt;&gt;"",INDEX(Accounts!$C$7:$C$16,MATCH($C411,Accounts!$B$7:$B$16,0)),Settings!$C$6)))</f>
        <v/>
      </c>
      <c r="AG411" s="53" t="str">
        <f>IF($AM411=0,"",IF(AND($BE411&gt;0,N(INDEX(Instruments!$D$6:$D$205,MAX(1,$BE411)))&gt;0),INDEX(Instruments!$D$6:$D$205,MAX(1,$BE411)),IF(N(INDEX(Settings!$D$14:$D$18,$BF411))&gt;0,INDEX(Settings!$D$14:$D$18,$BF411),"")))</f>
        <v/>
      </c>
      <c r="AH411" s="54" t="str">
        <f>IF($AM411=0,"",IF($AF411&lt;&gt;"Forex",1,IF(MID(UPPER(SUBSTITUTE(TRIM($E411),"/","")),4,3)=UPPER(TRIM(Settings!$C$7)),1,IF(LEFT(UPPER(SUBSTITUTE(TRIM($E411),"/","")),3)=UPPER(TRIM(Settings!$C$7)),IF(AND(ISNUMBER($K411),N($K411)&lt;&gt;0),1/$K411,""),""))))</f>
        <v/>
      </c>
      <c r="AI411" s="55" t="str">
        <f>IF($AM411=0,"",IF(OR(NOT(ISNUMBER($H411)),NOT(ISNUMBER($K411)),NOT(ISNUMBER($G411)),$AG411="",$AH411=""),"",ROUND(($K411-$H411)*IF($F411="Short",-1,1)*$G411*$AG411*$AH411,6)))</f>
        <v/>
      </c>
      <c r="AJ411" s="55" t="str">
        <f>IF($AM411=0,"",IF(INDEX(Settings!$E$14:$E$18,$BF411)="% of notional",IF(OR($AG411="",NOT(ISNUMBER($H411)),NOT(ISNUMBER($G411))),"",ROUND(ABS($H411*$G411*$AG411*N($AH411))*IF($L411="Limit",N(INDEX(Settings!$G$14:$G$18,$BF411)),N(INDEX(Settings!$H$14:$H$18,$BF411)))+IF(ISNUMBER($K411),ABS($K411*$G411*$AG411*N($AH411))*IF($M411="Target",N(INDEX(Settings!$G$14:$G$18,$BF411)),N(INDEX(Settings!$H$14:$H$18,$BF411))),0),6)),IF(NOT(ISNUMBER($G411)),"",ROUND(ABS($G411)*2*IF(AND($BE411&gt;0,ISNUMBER(INDEX(Instruments!$G$6:$G$205,MAX(1,$BE411)))),INDEX(Instruments!$G$6:$G$205,MAX(1,$BE411)),N(INDEX(Settings!$F$14:$F$18,$BF411))),6))))</f>
        <v/>
      </c>
      <c r="AK411" s="55" t="str">
        <f>IF($AM411=0,"",IF(ISNUMBER($O411),$O411,$AI411))</f>
        <v/>
      </c>
      <c r="AL411" s="55" t="str">
        <f>IF($AM411=0,"",IF(ISNUMBER($P411),$P411,N($AJ411)))</f>
        <v/>
      </c>
      <c r="AM411" s="56">
        <f>IF(AND($A411&lt;&gt;"",$E411&lt;&gt;"",OR(AND(ISNUMBER($G411),ISNUMBER($H411),ISNUMBER($K411)),ISNUMBER($O411))),1,0)</f>
        <v>0</v>
      </c>
      <c r="AN411" s="57" t="str">
        <f>IF($A411="","",$A411-WEEKDAY($A411,3))</f>
        <v/>
      </c>
      <c r="AO411" s="56" t="str">
        <f>IF($A411="","",WEEKDAY($A411,2))</f>
        <v/>
      </c>
      <c r="AP411" s="55" t="str">
        <f>IF(OR($AM411=0,$C411=""),"",IFERROR(N(INDEX(Accounts!$E$7:$E$16,MATCH($C411,Accounts!$B$7:$B$16,0))),0)+SUMIFS($Q$6:$Q411,$C$6:$C411,$C411))</f>
        <v/>
      </c>
      <c r="AQ411" s="55" t="str">
        <f>IF(OR($AM411=0,$C411=""),"",SUMIFS($Q$6:$Q$1005,$C$6:$C$1005,$C411,$A$6:$A$1005,$A411))</f>
        <v/>
      </c>
      <c r="AR411" s="55" t="str">
        <f>IF(OR($AM411=0,$C411=""),"",IFERROR(N(INDEX(Accounts!$E$7:$E$16,MATCH($C411,Accounts!$B$7:$B$16,0))),0)+SUMIFS($Q$6:$Q$1005,$C$6:$C$1005,$C411,$A$6:$A$1005,"&lt;="&amp;$A411))</f>
        <v/>
      </c>
      <c r="AS411" s="56">
        <f>IF(OR($AM411=0,$Q411=""),0,IF(AND($A411&gt;=Lists!$W$6,$A411&lt;=Lists!$W$7,OR(Dashboard!$D$6="All accounts",$C411=Dashboard!$D$6),OR(Dashboard!$D$7="All markets",$AF411=Dashboard!$D$7)),1,0))</f>
        <v>0</v>
      </c>
      <c r="AT411" s="55">
        <f>IF($AS411=1,N(AT410)+$Q411,N(AT410))</f>
        <v>1187.10688</v>
      </c>
      <c r="AU411" s="55">
        <f>MAX(N(AU410),$AT411)</f>
        <v>1187.10688</v>
      </c>
      <c r="AV411" s="55">
        <f>$AT411-$AU411</f>
        <v>0</v>
      </c>
      <c r="AW411" s="56">
        <f>IF($AS411=1,IF($S411="Win",N(AW410)+1,IF($S411="Loss",0,N(AW410))),N(AW410))</f>
        <v>5</v>
      </c>
      <c r="AX411" s="56">
        <f>IF($AS411=1,IF($S411="Loss",N(AX410)+1,IF($S411="Win",0,N(AX410))),N(AX410))</f>
        <v>0</v>
      </c>
      <c r="AY411" s="56" t="str">
        <f>IF($AS411=1,COUNTIF($AS$6:$AS411,1),"")</f>
        <v/>
      </c>
      <c r="AZ411" s="56">
        <f>MIN(405,N(Lists!$W$8))</f>
        <v>28</v>
      </c>
      <c r="BA411" s="56">
        <f>IF($AS411=1,IF(COUNTIFS($A$6:$A411,$A411,$AS$6:$AS411,1)=1,1,0),0)</f>
        <v>0</v>
      </c>
      <c r="BB411" s="55" t="str">
        <f>IF($BA411=1,SUMIFS($Q$6:$Q$1005,$A$6:$A$1005,$A411,$AS$6:$AS$1005,1),"")</f>
        <v/>
      </c>
      <c r="BC411" s="56">
        <f>IF(ISNUMBER($R411),1,0)</f>
        <v>0</v>
      </c>
      <c r="BD411" s="55" t="str">
        <f>IF(ISNUMBER($U411),$U411*$V411,"")</f>
        <v/>
      </c>
      <c r="BE411" s="56" t="str">
        <f>IF($AM411=0,"",IFERROR(MATCH($AF411&amp;"|"&amp;UPPER(TRIM($E411)),Lists!$A$6:$A$205,0),0))</f>
        <v/>
      </c>
      <c r="BF411" s="56" t="str">
        <f>IF($AM411=0,"",IFERROR(MATCH($AF411,Settings!$B$14:$B$18,0),IFERROR(MATCH(Settings!$C$6,Settings!$B$14:$B$18,0),1)))</f>
        <v/>
      </c>
      <c r="BG411" s="58" t="str">
        <f>IF($AM411=0,"",IF(NOT(ISNUMBER($I411)),"No stop; ","")&amp;IF(AND(ISNUMBER($H411),ISNUMBER($I411)),IF(OR(AND($F411&lt;&gt;"Short",$I411&gt;=$H411),AND($F411="Short",$I411&lt;=$H411)),"Stop on wrong side; ",""),"")&amp;IF($F411="","No direction; ","")&amp;IF(AND(ISNUMBER(Settings!$C$22),ISNUMBER($V411)),IF($V411&gt;Settings!$C$22,"Risk over max $; ",""),"")&amp;IF(AND(ISNUMBER(Settings!$C$23),ISNUMBER($V411),ISNUMBER($AP411),IFERROR(N(INDEX(Accounts!$E$7:$E$16,MATCH($C411,Accounts!$B$7:$B$16,0))),0)&gt;0),IF($V411&gt;Settings!$C$23*($AP411-N($Q411)),"Risk over max %; ",""),"")&amp;IF(AND(ISNUMBER(Settings!$C$24),ISNUMBER($N411)),IF($N411&gt;Settings!$C$24,"Leverage over max; ",""),"")&amp;IF(AND(ISNUMBER(Settings!$C$27),ISNUMBER($T411)),IF($T411&lt;Settings!$C$27,"R:R below min; ",""),"")&amp;IF(ISNUMBER(Settings!$C$25),IF(COUNTIFS($A$6:$A411,$A411,$AM$6:$AM411,1)&gt;Settings!$C$25,"Over max trades/day; ",""),"")&amp;IF(ISNUMBER(Settings!$C$26),IF(SUMIFS($Q$5:$Q410,$A$5:$A410,$A411)&lt;=-Settings!$C$26,"Traded after daily max loss; ",""),"")&amp;IF(AND($AG411="",NOT(ISNUMBER($O411))),"Symbol not in Instruments; ","")&amp;IF(AND($AH411="",NOT(ISNUMBER($O411))),"Forex cross: type Gross P&amp;L; ",""))</f>
        <v/>
      </c>
      <c r="BH411" s="56">
        <f>IF(ISNUMBER($Q411),1,0)</f>
        <v>0</v>
      </c>
      <c r="BI411" s="56">
        <f>IF($Y411="",0,1)</f>
        <v>0</v>
      </c>
      <c r="BJ411" s="56">
        <f>IF($AB411="",0,1)</f>
        <v>0</v>
      </c>
      <c r="BK411" s="56">
        <f>IF(AND($BH411=1,$W411&lt;&gt;"OK"),1,0)</f>
        <v>0</v>
      </c>
      <c r="BL411" s="55">
        <f>IF(N($AZ411)=0,0,IFERROR(INDEX($AT$6:$AT$1005,MATCH($AZ411,$AY$6:$AY$1005,0)),0))</f>
        <v>1187.10688</v>
      </c>
      <c r="BM411" s="56">
        <f>IF(ISNUMBER(SEARCH("daily max loss",$BG411)),1,0)</f>
        <v>0</v>
      </c>
    </row>
    <row r="412" ht="18" customHeight="1">
      <c r="A412" s="38" t="n"/>
      <c r="B412" s="39" t="n"/>
      <c r="C412" s="40" t="n"/>
      <c r="D412" s="41" t="n"/>
      <c r="E412" s="41" t="n"/>
      <c r="F412" s="41" t="n"/>
      <c r="G412" s="41" t="n"/>
      <c r="H412" s="42" t="n"/>
      <c r="I412" s="42" t="n"/>
      <c r="J412" s="42" t="n"/>
      <c r="K412" s="42" t="n"/>
      <c r="L412" s="41" t="n"/>
      <c r="M412" s="41" t="n"/>
      <c r="N412" s="41" t="n"/>
      <c r="O412" s="43" t="n"/>
      <c r="P412" s="43" t="n"/>
      <c r="Q412" s="44" t="str">
        <f>IF($AM412=0,"",IF(ISNUMBER($AK412),$AK412-N($AL412),""))</f>
        <v/>
      </c>
      <c r="R412" s="45" t="str">
        <f>IF(OR($Q412="",NOT(ISNUMBER($V412))),"",$AK412/$V412)</f>
        <v/>
      </c>
      <c r="S412" s="46" t="str">
        <f>IF($Q412="","",IF(AND(ISNUMBER($R412),ABS(N($R412))&lt;N(Settings!$C$8)),"Scratch",IF($Q412&gt;0,"Win",IF($Q412&lt;0,"Loss","Scratch"))))</f>
        <v/>
      </c>
      <c r="T412" s="47" t="str">
        <f>IF(OR($AM412=0,NOT(ISNUMBER($H412)),NOT(ISNUMBER($I412)),NOT(ISNUMBER($J412))),"",IF($H412=$I412,"",ROUND(ABS($J412-$H412)/ABS($H412-$I412),6)))</f>
        <v/>
      </c>
      <c r="U412" s="48" t="str">
        <f>IF(OR($S412&lt;&gt;"Win",NOT(ISNUMBER($T412)),NOT(ISNUMBER($R412))),"",MAX(0,$T412-$R412))</f>
        <v/>
      </c>
      <c r="V412" s="49" t="str">
        <f>IF(OR($AM412=0,NOT(ISNUMBER($H412)),NOT(ISNUMBER($I412)),NOT(ISNUMBER($G412))),"",IF(OR($AG412="",$AH412=""),"",IF(ROUND(ABS($H412-$I412)*ABS($G412)*$AG412*$AH412,6)=0,"",ROUND(ABS($H412-$I412)*ABS($G412)*$AG412*$AH412,6))))</f>
        <v/>
      </c>
      <c r="W412" s="50" t="str">
        <f>IF($AM412=0,"",IF($BG412="","OK",LEFT($BG412,LEN($BG412)-2)))</f>
        <v/>
      </c>
      <c r="X412" s="41" t="n"/>
      <c r="Y412" s="40" t="n"/>
      <c r="Z412" s="41" t="n"/>
      <c r="AA412" s="41" t="n"/>
      <c r="AB412" s="40" t="n"/>
      <c r="AC412" s="51" t="n"/>
      <c r="AD412" s="51" t="n"/>
      <c r="AE412" s="40" t="n"/>
      <c r="AF412" s="52" t="str">
        <f>IF($AM412=0,"",IF($D412&lt;&gt;"",$D412,IF(IFERROR(INDEX(Accounts!$C$7:$C$16,MATCH($C412,Accounts!$B$7:$B$16,0))&amp;"","")&lt;&gt;"",INDEX(Accounts!$C$7:$C$16,MATCH($C412,Accounts!$B$7:$B$16,0)),Settings!$C$6)))</f>
        <v/>
      </c>
      <c r="AG412" s="53" t="str">
        <f>IF($AM412=0,"",IF(AND($BE412&gt;0,N(INDEX(Instruments!$D$6:$D$205,MAX(1,$BE412)))&gt;0),INDEX(Instruments!$D$6:$D$205,MAX(1,$BE412)),IF(N(INDEX(Settings!$D$14:$D$18,$BF412))&gt;0,INDEX(Settings!$D$14:$D$18,$BF412),"")))</f>
        <v/>
      </c>
      <c r="AH412" s="54" t="str">
        <f>IF($AM412=0,"",IF($AF412&lt;&gt;"Forex",1,IF(MID(UPPER(SUBSTITUTE(TRIM($E412),"/","")),4,3)=UPPER(TRIM(Settings!$C$7)),1,IF(LEFT(UPPER(SUBSTITUTE(TRIM($E412),"/","")),3)=UPPER(TRIM(Settings!$C$7)),IF(AND(ISNUMBER($K412),N($K412)&lt;&gt;0),1/$K412,""),""))))</f>
        <v/>
      </c>
      <c r="AI412" s="55" t="str">
        <f>IF($AM412=0,"",IF(OR(NOT(ISNUMBER($H412)),NOT(ISNUMBER($K412)),NOT(ISNUMBER($G412)),$AG412="",$AH412=""),"",ROUND(($K412-$H412)*IF($F412="Short",-1,1)*$G412*$AG412*$AH412,6)))</f>
        <v/>
      </c>
      <c r="AJ412" s="55" t="str">
        <f>IF($AM412=0,"",IF(INDEX(Settings!$E$14:$E$18,$BF412)="% of notional",IF(OR($AG412="",NOT(ISNUMBER($H412)),NOT(ISNUMBER($G412))),"",ROUND(ABS($H412*$G412*$AG412*N($AH412))*IF($L412="Limit",N(INDEX(Settings!$G$14:$G$18,$BF412)),N(INDEX(Settings!$H$14:$H$18,$BF412)))+IF(ISNUMBER($K412),ABS($K412*$G412*$AG412*N($AH412))*IF($M412="Target",N(INDEX(Settings!$G$14:$G$18,$BF412)),N(INDEX(Settings!$H$14:$H$18,$BF412))),0),6)),IF(NOT(ISNUMBER($G412)),"",ROUND(ABS($G412)*2*IF(AND($BE412&gt;0,ISNUMBER(INDEX(Instruments!$G$6:$G$205,MAX(1,$BE412)))),INDEX(Instruments!$G$6:$G$205,MAX(1,$BE412)),N(INDEX(Settings!$F$14:$F$18,$BF412))),6))))</f>
        <v/>
      </c>
      <c r="AK412" s="55" t="str">
        <f>IF($AM412=0,"",IF(ISNUMBER($O412),$O412,$AI412))</f>
        <v/>
      </c>
      <c r="AL412" s="55" t="str">
        <f>IF($AM412=0,"",IF(ISNUMBER($P412),$P412,N($AJ412)))</f>
        <v/>
      </c>
      <c r="AM412" s="56">
        <f>IF(AND($A412&lt;&gt;"",$E412&lt;&gt;"",OR(AND(ISNUMBER($G412),ISNUMBER($H412),ISNUMBER($K412)),ISNUMBER($O412))),1,0)</f>
        <v>0</v>
      </c>
      <c r="AN412" s="57" t="str">
        <f>IF($A412="","",$A412-WEEKDAY($A412,3))</f>
        <v/>
      </c>
      <c r="AO412" s="56" t="str">
        <f>IF($A412="","",WEEKDAY($A412,2))</f>
        <v/>
      </c>
      <c r="AP412" s="55" t="str">
        <f>IF(OR($AM412=0,$C412=""),"",IFERROR(N(INDEX(Accounts!$E$7:$E$16,MATCH($C412,Accounts!$B$7:$B$16,0))),0)+SUMIFS($Q$6:$Q412,$C$6:$C412,$C412))</f>
        <v/>
      </c>
      <c r="AQ412" s="55" t="str">
        <f>IF(OR($AM412=0,$C412=""),"",SUMIFS($Q$6:$Q$1005,$C$6:$C$1005,$C412,$A$6:$A$1005,$A412))</f>
        <v/>
      </c>
      <c r="AR412" s="55" t="str">
        <f>IF(OR($AM412=0,$C412=""),"",IFERROR(N(INDEX(Accounts!$E$7:$E$16,MATCH($C412,Accounts!$B$7:$B$16,0))),0)+SUMIFS($Q$6:$Q$1005,$C$6:$C$1005,$C412,$A$6:$A$1005,"&lt;="&amp;$A412))</f>
        <v/>
      </c>
      <c r="AS412" s="56">
        <f>IF(OR($AM412=0,$Q412=""),0,IF(AND($A412&gt;=Lists!$W$6,$A412&lt;=Lists!$W$7,OR(Dashboard!$D$6="All accounts",$C412=Dashboard!$D$6),OR(Dashboard!$D$7="All markets",$AF412=Dashboard!$D$7)),1,0))</f>
        <v>0</v>
      </c>
      <c r="AT412" s="55">
        <f>IF($AS412=1,N(AT411)+$Q412,N(AT411))</f>
        <v>1187.10688</v>
      </c>
      <c r="AU412" s="55">
        <f>MAX(N(AU411),$AT412)</f>
        <v>1187.10688</v>
      </c>
      <c r="AV412" s="55">
        <f>$AT412-$AU412</f>
        <v>0</v>
      </c>
      <c r="AW412" s="56">
        <f>IF($AS412=1,IF($S412="Win",N(AW411)+1,IF($S412="Loss",0,N(AW411))),N(AW411))</f>
        <v>5</v>
      </c>
      <c r="AX412" s="56">
        <f>IF($AS412=1,IF($S412="Loss",N(AX411)+1,IF($S412="Win",0,N(AX411))),N(AX411))</f>
        <v>0</v>
      </c>
      <c r="AY412" s="56" t="str">
        <f>IF($AS412=1,COUNTIF($AS$6:$AS412,1),"")</f>
        <v/>
      </c>
      <c r="AZ412" s="56">
        <f>MIN(406,N(Lists!$W$8))</f>
        <v>28</v>
      </c>
      <c r="BA412" s="56">
        <f>IF($AS412=1,IF(COUNTIFS($A$6:$A412,$A412,$AS$6:$AS412,1)=1,1,0),0)</f>
        <v>0</v>
      </c>
      <c r="BB412" s="55" t="str">
        <f>IF($BA412=1,SUMIFS($Q$6:$Q$1005,$A$6:$A$1005,$A412,$AS$6:$AS$1005,1),"")</f>
        <v/>
      </c>
      <c r="BC412" s="56">
        <f>IF(ISNUMBER($R412),1,0)</f>
        <v>0</v>
      </c>
      <c r="BD412" s="55" t="str">
        <f>IF(ISNUMBER($U412),$U412*$V412,"")</f>
        <v/>
      </c>
      <c r="BE412" s="56" t="str">
        <f>IF($AM412=0,"",IFERROR(MATCH($AF412&amp;"|"&amp;UPPER(TRIM($E412)),Lists!$A$6:$A$205,0),0))</f>
        <v/>
      </c>
      <c r="BF412" s="56" t="str">
        <f>IF($AM412=0,"",IFERROR(MATCH($AF412,Settings!$B$14:$B$18,0),IFERROR(MATCH(Settings!$C$6,Settings!$B$14:$B$18,0),1)))</f>
        <v/>
      </c>
      <c r="BG412" s="58" t="str">
        <f>IF($AM412=0,"",IF(NOT(ISNUMBER($I412)),"No stop; ","")&amp;IF(AND(ISNUMBER($H412),ISNUMBER($I412)),IF(OR(AND($F412&lt;&gt;"Short",$I412&gt;=$H412),AND($F412="Short",$I412&lt;=$H412)),"Stop on wrong side; ",""),"")&amp;IF($F412="","No direction; ","")&amp;IF(AND(ISNUMBER(Settings!$C$22),ISNUMBER($V412)),IF($V412&gt;Settings!$C$22,"Risk over max $; ",""),"")&amp;IF(AND(ISNUMBER(Settings!$C$23),ISNUMBER($V412),ISNUMBER($AP412),IFERROR(N(INDEX(Accounts!$E$7:$E$16,MATCH($C412,Accounts!$B$7:$B$16,0))),0)&gt;0),IF($V412&gt;Settings!$C$23*($AP412-N($Q412)),"Risk over max %; ",""),"")&amp;IF(AND(ISNUMBER(Settings!$C$24),ISNUMBER($N412)),IF($N412&gt;Settings!$C$24,"Leverage over max; ",""),"")&amp;IF(AND(ISNUMBER(Settings!$C$27),ISNUMBER($T412)),IF($T412&lt;Settings!$C$27,"R:R below min; ",""),"")&amp;IF(ISNUMBER(Settings!$C$25),IF(COUNTIFS($A$6:$A412,$A412,$AM$6:$AM412,1)&gt;Settings!$C$25,"Over max trades/day; ",""),"")&amp;IF(ISNUMBER(Settings!$C$26),IF(SUMIFS($Q$5:$Q411,$A$5:$A411,$A412)&lt;=-Settings!$C$26,"Traded after daily max loss; ",""),"")&amp;IF(AND($AG412="",NOT(ISNUMBER($O412))),"Symbol not in Instruments; ","")&amp;IF(AND($AH412="",NOT(ISNUMBER($O412))),"Forex cross: type Gross P&amp;L; ",""))</f>
        <v/>
      </c>
      <c r="BH412" s="56">
        <f>IF(ISNUMBER($Q412),1,0)</f>
        <v>0</v>
      </c>
      <c r="BI412" s="56">
        <f>IF($Y412="",0,1)</f>
        <v>0</v>
      </c>
      <c r="BJ412" s="56">
        <f>IF($AB412="",0,1)</f>
        <v>0</v>
      </c>
      <c r="BK412" s="56">
        <f>IF(AND($BH412=1,$W412&lt;&gt;"OK"),1,0)</f>
        <v>0</v>
      </c>
      <c r="BL412" s="55">
        <f>IF(N($AZ412)=0,0,IFERROR(INDEX($AT$6:$AT$1005,MATCH($AZ412,$AY$6:$AY$1005,0)),0))</f>
        <v>1187.10688</v>
      </c>
      <c r="BM412" s="56">
        <f>IF(ISNUMBER(SEARCH("daily max loss",$BG412)),1,0)</f>
        <v>0</v>
      </c>
    </row>
    <row r="413" ht="18" customHeight="1">
      <c r="A413" s="38" t="n"/>
      <c r="B413" s="39" t="n"/>
      <c r="C413" s="40" t="n"/>
      <c r="D413" s="41" t="n"/>
      <c r="E413" s="41" t="n"/>
      <c r="F413" s="41" t="n"/>
      <c r="G413" s="41" t="n"/>
      <c r="H413" s="42" t="n"/>
      <c r="I413" s="42" t="n"/>
      <c r="J413" s="42" t="n"/>
      <c r="K413" s="42" t="n"/>
      <c r="L413" s="41" t="n"/>
      <c r="M413" s="41" t="n"/>
      <c r="N413" s="41" t="n"/>
      <c r="O413" s="43" t="n"/>
      <c r="P413" s="43" t="n"/>
      <c r="Q413" s="44" t="str">
        <f>IF($AM413=0,"",IF(ISNUMBER($AK413),$AK413-N($AL413),""))</f>
        <v/>
      </c>
      <c r="R413" s="45" t="str">
        <f>IF(OR($Q413="",NOT(ISNUMBER($V413))),"",$AK413/$V413)</f>
        <v/>
      </c>
      <c r="S413" s="46" t="str">
        <f>IF($Q413="","",IF(AND(ISNUMBER($R413),ABS(N($R413))&lt;N(Settings!$C$8)),"Scratch",IF($Q413&gt;0,"Win",IF($Q413&lt;0,"Loss","Scratch"))))</f>
        <v/>
      </c>
      <c r="T413" s="47" t="str">
        <f>IF(OR($AM413=0,NOT(ISNUMBER($H413)),NOT(ISNUMBER($I413)),NOT(ISNUMBER($J413))),"",IF($H413=$I413,"",ROUND(ABS($J413-$H413)/ABS($H413-$I413),6)))</f>
        <v/>
      </c>
      <c r="U413" s="48" t="str">
        <f>IF(OR($S413&lt;&gt;"Win",NOT(ISNUMBER($T413)),NOT(ISNUMBER($R413))),"",MAX(0,$T413-$R413))</f>
        <v/>
      </c>
      <c r="V413" s="49" t="str">
        <f>IF(OR($AM413=0,NOT(ISNUMBER($H413)),NOT(ISNUMBER($I413)),NOT(ISNUMBER($G413))),"",IF(OR($AG413="",$AH413=""),"",IF(ROUND(ABS($H413-$I413)*ABS($G413)*$AG413*$AH413,6)=0,"",ROUND(ABS($H413-$I413)*ABS($G413)*$AG413*$AH413,6))))</f>
        <v/>
      </c>
      <c r="W413" s="50" t="str">
        <f>IF($AM413=0,"",IF($BG413="","OK",LEFT($BG413,LEN($BG413)-2)))</f>
        <v/>
      </c>
      <c r="X413" s="41" t="n"/>
      <c r="Y413" s="40" t="n"/>
      <c r="Z413" s="41" t="n"/>
      <c r="AA413" s="41" t="n"/>
      <c r="AB413" s="40" t="n"/>
      <c r="AC413" s="51" t="n"/>
      <c r="AD413" s="51" t="n"/>
      <c r="AE413" s="40" t="n"/>
      <c r="AF413" s="52" t="str">
        <f>IF($AM413=0,"",IF($D413&lt;&gt;"",$D413,IF(IFERROR(INDEX(Accounts!$C$7:$C$16,MATCH($C413,Accounts!$B$7:$B$16,0))&amp;"","")&lt;&gt;"",INDEX(Accounts!$C$7:$C$16,MATCH($C413,Accounts!$B$7:$B$16,0)),Settings!$C$6)))</f>
        <v/>
      </c>
      <c r="AG413" s="53" t="str">
        <f>IF($AM413=0,"",IF(AND($BE413&gt;0,N(INDEX(Instruments!$D$6:$D$205,MAX(1,$BE413)))&gt;0),INDEX(Instruments!$D$6:$D$205,MAX(1,$BE413)),IF(N(INDEX(Settings!$D$14:$D$18,$BF413))&gt;0,INDEX(Settings!$D$14:$D$18,$BF413),"")))</f>
        <v/>
      </c>
      <c r="AH413" s="54" t="str">
        <f>IF($AM413=0,"",IF($AF413&lt;&gt;"Forex",1,IF(MID(UPPER(SUBSTITUTE(TRIM($E413),"/","")),4,3)=UPPER(TRIM(Settings!$C$7)),1,IF(LEFT(UPPER(SUBSTITUTE(TRIM($E413),"/","")),3)=UPPER(TRIM(Settings!$C$7)),IF(AND(ISNUMBER($K413),N($K413)&lt;&gt;0),1/$K413,""),""))))</f>
        <v/>
      </c>
      <c r="AI413" s="55" t="str">
        <f>IF($AM413=0,"",IF(OR(NOT(ISNUMBER($H413)),NOT(ISNUMBER($K413)),NOT(ISNUMBER($G413)),$AG413="",$AH413=""),"",ROUND(($K413-$H413)*IF($F413="Short",-1,1)*$G413*$AG413*$AH413,6)))</f>
        <v/>
      </c>
      <c r="AJ413" s="55" t="str">
        <f>IF($AM413=0,"",IF(INDEX(Settings!$E$14:$E$18,$BF413)="% of notional",IF(OR($AG413="",NOT(ISNUMBER($H413)),NOT(ISNUMBER($G413))),"",ROUND(ABS($H413*$G413*$AG413*N($AH413))*IF($L413="Limit",N(INDEX(Settings!$G$14:$G$18,$BF413)),N(INDEX(Settings!$H$14:$H$18,$BF413)))+IF(ISNUMBER($K413),ABS($K413*$G413*$AG413*N($AH413))*IF($M413="Target",N(INDEX(Settings!$G$14:$G$18,$BF413)),N(INDEX(Settings!$H$14:$H$18,$BF413))),0),6)),IF(NOT(ISNUMBER($G413)),"",ROUND(ABS($G413)*2*IF(AND($BE413&gt;0,ISNUMBER(INDEX(Instruments!$G$6:$G$205,MAX(1,$BE413)))),INDEX(Instruments!$G$6:$G$205,MAX(1,$BE413)),N(INDEX(Settings!$F$14:$F$18,$BF413))),6))))</f>
        <v/>
      </c>
      <c r="AK413" s="55" t="str">
        <f>IF($AM413=0,"",IF(ISNUMBER($O413),$O413,$AI413))</f>
        <v/>
      </c>
      <c r="AL413" s="55" t="str">
        <f>IF($AM413=0,"",IF(ISNUMBER($P413),$P413,N($AJ413)))</f>
        <v/>
      </c>
      <c r="AM413" s="56">
        <f>IF(AND($A413&lt;&gt;"",$E413&lt;&gt;"",OR(AND(ISNUMBER($G413),ISNUMBER($H413),ISNUMBER($K413)),ISNUMBER($O413))),1,0)</f>
        <v>0</v>
      </c>
      <c r="AN413" s="57" t="str">
        <f>IF($A413="","",$A413-WEEKDAY($A413,3))</f>
        <v/>
      </c>
      <c r="AO413" s="56" t="str">
        <f>IF($A413="","",WEEKDAY($A413,2))</f>
        <v/>
      </c>
      <c r="AP413" s="55" t="str">
        <f>IF(OR($AM413=0,$C413=""),"",IFERROR(N(INDEX(Accounts!$E$7:$E$16,MATCH($C413,Accounts!$B$7:$B$16,0))),0)+SUMIFS($Q$6:$Q413,$C$6:$C413,$C413))</f>
        <v/>
      </c>
      <c r="AQ413" s="55" t="str">
        <f>IF(OR($AM413=0,$C413=""),"",SUMIFS($Q$6:$Q$1005,$C$6:$C$1005,$C413,$A$6:$A$1005,$A413))</f>
        <v/>
      </c>
      <c r="AR413" s="55" t="str">
        <f>IF(OR($AM413=0,$C413=""),"",IFERROR(N(INDEX(Accounts!$E$7:$E$16,MATCH($C413,Accounts!$B$7:$B$16,0))),0)+SUMIFS($Q$6:$Q$1005,$C$6:$C$1005,$C413,$A$6:$A$1005,"&lt;="&amp;$A413))</f>
        <v/>
      </c>
      <c r="AS413" s="56">
        <f>IF(OR($AM413=0,$Q413=""),0,IF(AND($A413&gt;=Lists!$W$6,$A413&lt;=Lists!$W$7,OR(Dashboard!$D$6="All accounts",$C413=Dashboard!$D$6),OR(Dashboard!$D$7="All markets",$AF413=Dashboard!$D$7)),1,0))</f>
        <v>0</v>
      </c>
      <c r="AT413" s="55">
        <f>IF($AS413=1,N(AT412)+$Q413,N(AT412))</f>
        <v>1187.10688</v>
      </c>
      <c r="AU413" s="55">
        <f>MAX(N(AU412),$AT413)</f>
        <v>1187.10688</v>
      </c>
      <c r="AV413" s="55">
        <f>$AT413-$AU413</f>
        <v>0</v>
      </c>
      <c r="AW413" s="56">
        <f>IF($AS413=1,IF($S413="Win",N(AW412)+1,IF($S413="Loss",0,N(AW412))),N(AW412))</f>
        <v>5</v>
      </c>
      <c r="AX413" s="56">
        <f>IF($AS413=1,IF($S413="Loss",N(AX412)+1,IF($S413="Win",0,N(AX412))),N(AX412))</f>
        <v>0</v>
      </c>
      <c r="AY413" s="56" t="str">
        <f>IF($AS413=1,COUNTIF($AS$6:$AS413,1),"")</f>
        <v/>
      </c>
      <c r="AZ413" s="56">
        <f>MIN(407,N(Lists!$W$8))</f>
        <v>28</v>
      </c>
      <c r="BA413" s="56">
        <f>IF($AS413=1,IF(COUNTIFS($A$6:$A413,$A413,$AS$6:$AS413,1)=1,1,0),0)</f>
        <v>0</v>
      </c>
      <c r="BB413" s="55" t="str">
        <f>IF($BA413=1,SUMIFS($Q$6:$Q$1005,$A$6:$A$1005,$A413,$AS$6:$AS$1005,1),"")</f>
        <v/>
      </c>
      <c r="BC413" s="56">
        <f>IF(ISNUMBER($R413),1,0)</f>
        <v>0</v>
      </c>
      <c r="BD413" s="55" t="str">
        <f>IF(ISNUMBER($U413),$U413*$V413,"")</f>
        <v/>
      </c>
      <c r="BE413" s="56" t="str">
        <f>IF($AM413=0,"",IFERROR(MATCH($AF413&amp;"|"&amp;UPPER(TRIM($E413)),Lists!$A$6:$A$205,0),0))</f>
        <v/>
      </c>
      <c r="BF413" s="56" t="str">
        <f>IF($AM413=0,"",IFERROR(MATCH($AF413,Settings!$B$14:$B$18,0),IFERROR(MATCH(Settings!$C$6,Settings!$B$14:$B$18,0),1)))</f>
        <v/>
      </c>
      <c r="BG413" s="58" t="str">
        <f>IF($AM413=0,"",IF(NOT(ISNUMBER($I413)),"No stop; ","")&amp;IF(AND(ISNUMBER($H413),ISNUMBER($I413)),IF(OR(AND($F413&lt;&gt;"Short",$I413&gt;=$H413),AND($F413="Short",$I413&lt;=$H413)),"Stop on wrong side; ",""),"")&amp;IF($F413="","No direction; ","")&amp;IF(AND(ISNUMBER(Settings!$C$22),ISNUMBER($V413)),IF($V413&gt;Settings!$C$22,"Risk over max $; ",""),"")&amp;IF(AND(ISNUMBER(Settings!$C$23),ISNUMBER($V413),ISNUMBER($AP413),IFERROR(N(INDEX(Accounts!$E$7:$E$16,MATCH($C413,Accounts!$B$7:$B$16,0))),0)&gt;0),IF($V413&gt;Settings!$C$23*($AP413-N($Q413)),"Risk over max %; ",""),"")&amp;IF(AND(ISNUMBER(Settings!$C$24),ISNUMBER($N413)),IF($N413&gt;Settings!$C$24,"Leverage over max; ",""),"")&amp;IF(AND(ISNUMBER(Settings!$C$27),ISNUMBER($T413)),IF($T413&lt;Settings!$C$27,"R:R below min; ",""),"")&amp;IF(ISNUMBER(Settings!$C$25),IF(COUNTIFS($A$6:$A413,$A413,$AM$6:$AM413,1)&gt;Settings!$C$25,"Over max trades/day; ",""),"")&amp;IF(ISNUMBER(Settings!$C$26),IF(SUMIFS($Q$5:$Q412,$A$5:$A412,$A413)&lt;=-Settings!$C$26,"Traded after daily max loss; ",""),"")&amp;IF(AND($AG413="",NOT(ISNUMBER($O413))),"Symbol not in Instruments; ","")&amp;IF(AND($AH413="",NOT(ISNUMBER($O413))),"Forex cross: type Gross P&amp;L; ",""))</f>
        <v/>
      </c>
      <c r="BH413" s="56">
        <f>IF(ISNUMBER($Q413),1,0)</f>
        <v>0</v>
      </c>
      <c r="BI413" s="56">
        <f>IF($Y413="",0,1)</f>
        <v>0</v>
      </c>
      <c r="BJ413" s="56">
        <f>IF($AB413="",0,1)</f>
        <v>0</v>
      </c>
      <c r="BK413" s="56">
        <f>IF(AND($BH413=1,$W413&lt;&gt;"OK"),1,0)</f>
        <v>0</v>
      </c>
      <c r="BL413" s="55">
        <f>IF(N($AZ413)=0,0,IFERROR(INDEX($AT$6:$AT$1005,MATCH($AZ413,$AY$6:$AY$1005,0)),0))</f>
        <v>1187.10688</v>
      </c>
      <c r="BM413" s="56">
        <f>IF(ISNUMBER(SEARCH("daily max loss",$BG413)),1,0)</f>
        <v>0</v>
      </c>
    </row>
    <row r="414" ht="18" customHeight="1">
      <c r="A414" s="38" t="n"/>
      <c r="B414" s="39" t="n"/>
      <c r="C414" s="40" t="n"/>
      <c r="D414" s="41" t="n"/>
      <c r="E414" s="41" t="n"/>
      <c r="F414" s="41" t="n"/>
      <c r="G414" s="41" t="n"/>
      <c r="H414" s="42" t="n"/>
      <c r="I414" s="42" t="n"/>
      <c r="J414" s="42" t="n"/>
      <c r="K414" s="42" t="n"/>
      <c r="L414" s="41" t="n"/>
      <c r="M414" s="41" t="n"/>
      <c r="N414" s="41" t="n"/>
      <c r="O414" s="43" t="n"/>
      <c r="P414" s="43" t="n"/>
      <c r="Q414" s="44" t="str">
        <f>IF($AM414=0,"",IF(ISNUMBER($AK414),$AK414-N($AL414),""))</f>
        <v/>
      </c>
      <c r="R414" s="45" t="str">
        <f>IF(OR($Q414="",NOT(ISNUMBER($V414))),"",$AK414/$V414)</f>
        <v/>
      </c>
      <c r="S414" s="46" t="str">
        <f>IF($Q414="","",IF(AND(ISNUMBER($R414),ABS(N($R414))&lt;N(Settings!$C$8)),"Scratch",IF($Q414&gt;0,"Win",IF($Q414&lt;0,"Loss","Scratch"))))</f>
        <v/>
      </c>
      <c r="T414" s="47" t="str">
        <f>IF(OR($AM414=0,NOT(ISNUMBER($H414)),NOT(ISNUMBER($I414)),NOT(ISNUMBER($J414))),"",IF($H414=$I414,"",ROUND(ABS($J414-$H414)/ABS($H414-$I414),6)))</f>
        <v/>
      </c>
      <c r="U414" s="48" t="str">
        <f>IF(OR($S414&lt;&gt;"Win",NOT(ISNUMBER($T414)),NOT(ISNUMBER($R414))),"",MAX(0,$T414-$R414))</f>
        <v/>
      </c>
      <c r="V414" s="49" t="str">
        <f>IF(OR($AM414=0,NOT(ISNUMBER($H414)),NOT(ISNUMBER($I414)),NOT(ISNUMBER($G414))),"",IF(OR($AG414="",$AH414=""),"",IF(ROUND(ABS($H414-$I414)*ABS($G414)*$AG414*$AH414,6)=0,"",ROUND(ABS($H414-$I414)*ABS($G414)*$AG414*$AH414,6))))</f>
        <v/>
      </c>
      <c r="W414" s="50" t="str">
        <f>IF($AM414=0,"",IF($BG414="","OK",LEFT($BG414,LEN($BG414)-2)))</f>
        <v/>
      </c>
      <c r="X414" s="41" t="n"/>
      <c r="Y414" s="40" t="n"/>
      <c r="Z414" s="41" t="n"/>
      <c r="AA414" s="41" t="n"/>
      <c r="AB414" s="40" t="n"/>
      <c r="AC414" s="51" t="n"/>
      <c r="AD414" s="51" t="n"/>
      <c r="AE414" s="40" t="n"/>
      <c r="AF414" s="52" t="str">
        <f>IF($AM414=0,"",IF($D414&lt;&gt;"",$D414,IF(IFERROR(INDEX(Accounts!$C$7:$C$16,MATCH($C414,Accounts!$B$7:$B$16,0))&amp;"","")&lt;&gt;"",INDEX(Accounts!$C$7:$C$16,MATCH($C414,Accounts!$B$7:$B$16,0)),Settings!$C$6)))</f>
        <v/>
      </c>
      <c r="AG414" s="53" t="str">
        <f>IF($AM414=0,"",IF(AND($BE414&gt;0,N(INDEX(Instruments!$D$6:$D$205,MAX(1,$BE414)))&gt;0),INDEX(Instruments!$D$6:$D$205,MAX(1,$BE414)),IF(N(INDEX(Settings!$D$14:$D$18,$BF414))&gt;0,INDEX(Settings!$D$14:$D$18,$BF414),"")))</f>
        <v/>
      </c>
      <c r="AH414" s="54" t="str">
        <f>IF($AM414=0,"",IF($AF414&lt;&gt;"Forex",1,IF(MID(UPPER(SUBSTITUTE(TRIM($E414),"/","")),4,3)=UPPER(TRIM(Settings!$C$7)),1,IF(LEFT(UPPER(SUBSTITUTE(TRIM($E414),"/","")),3)=UPPER(TRIM(Settings!$C$7)),IF(AND(ISNUMBER($K414),N($K414)&lt;&gt;0),1/$K414,""),""))))</f>
        <v/>
      </c>
      <c r="AI414" s="55" t="str">
        <f>IF($AM414=0,"",IF(OR(NOT(ISNUMBER($H414)),NOT(ISNUMBER($K414)),NOT(ISNUMBER($G414)),$AG414="",$AH414=""),"",ROUND(($K414-$H414)*IF($F414="Short",-1,1)*$G414*$AG414*$AH414,6)))</f>
        <v/>
      </c>
      <c r="AJ414" s="55" t="str">
        <f>IF($AM414=0,"",IF(INDEX(Settings!$E$14:$E$18,$BF414)="% of notional",IF(OR($AG414="",NOT(ISNUMBER($H414)),NOT(ISNUMBER($G414))),"",ROUND(ABS($H414*$G414*$AG414*N($AH414))*IF($L414="Limit",N(INDEX(Settings!$G$14:$G$18,$BF414)),N(INDEX(Settings!$H$14:$H$18,$BF414)))+IF(ISNUMBER($K414),ABS($K414*$G414*$AG414*N($AH414))*IF($M414="Target",N(INDEX(Settings!$G$14:$G$18,$BF414)),N(INDEX(Settings!$H$14:$H$18,$BF414))),0),6)),IF(NOT(ISNUMBER($G414)),"",ROUND(ABS($G414)*2*IF(AND($BE414&gt;0,ISNUMBER(INDEX(Instruments!$G$6:$G$205,MAX(1,$BE414)))),INDEX(Instruments!$G$6:$G$205,MAX(1,$BE414)),N(INDEX(Settings!$F$14:$F$18,$BF414))),6))))</f>
        <v/>
      </c>
      <c r="AK414" s="55" t="str">
        <f>IF($AM414=0,"",IF(ISNUMBER($O414),$O414,$AI414))</f>
        <v/>
      </c>
      <c r="AL414" s="55" t="str">
        <f>IF($AM414=0,"",IF(ISNUMBER($P414),$P414,N($AJ414)))</f>
        <v/>
      </c>
      <c r="AM414" s="56">
        <f>IF(AND($A414&lt;&gt;"",$E414&lt;&gt;"",OR(AND(ISNUMBER($G414),ISNUMBER($H414),ISNUMBER($K414)),ISNUMBER($O414))),1,0)</f>
        <v>0</v>
      </c>
      <c r="AN414" s="57" t="str">
        <f>IF($A414="","",$A414-WEEKDAY($A414,3))</f>
        <v/>
      </c>
      <c r="AO414" s="56" t="str">
        <f>IF($A414="","",WEEKDAY($A414,2))</f>
        <v/>
      </c>
      <c r="AP414" s="55" t="str">
        <f>IF(OR($AM414=0,$C414=""),"",IFERROR(N(INDEX(Accounts!$E$7:$E$16,MATCH($C414,Accounts!$B$7:$B$16,0))),0)+SUMIFS($Q$6:$Q414,$C$6:$C414,$C414))</f>
        <v/>
      </c>
      <c r="AQ414" s="55" t="str">
        <f>IF(OR($AM414=0,$C414=""),"",SUMIFS($Q$6:$Q$1005,$C$6:$C$1005,$C414,$A$6:$A$1005,$A414))</f>
        <v/>
      </c>
      <c r="AR414" s="55" t="str">
        <f>IF(OR($AM414=0,$C414=""),"",IFERROR(N(INDEX(Accounts!$E$7:$E$16,MATCH($C414,Accounts!$B$7:$B$16,0))),0)+SUMIFS($Q$6:$Q$1005,$C$6:$C$1005,$C414,$A$6:$A$1005,"&lt;="&amp;$A414))</f>
        <v/>
      </c>
      <c r="AS414" s="56">
        <f>IF(OR($AM414=0,$Q414=""),0,IF(AND($A414&gt;=Lists!$W$6,$A414&lt;=Lists!$W$7,OR(Dashboard!$D$6="All accounts",$C414=Dashboard!$D$6),OR(Dashboard!$D$7="All markets",$AF414=Dashboard!$D$7)),1,0))</f>
        <v>0</v>
      </c>
      <c r="AT414" s="55">
        <f>IF($AS414=1,N(AT413)+$Q414,N(AT413))</f>
        <v>1187.10688</v>
      </c>
      <c r="AU414" s="55">
        <f>MAX(N(AU413),$AT414)</f>
        <v>1187.10688</v>
      </c>
      <c r="AV414" s="55">
        <f>$AT414-$AU414</f>
        <v>0</v>
      </c>
      <c r="AW414" s="56">
        <f>IF($AS414=1,IF($S414="Win",N(AW413)+1,IF($S414="Loss",0,N(AW413))),N(AW413))</f>
        <v>5</v>
      </c>
      <c r="AX414" s="56">
        <f>IF($AS414=1,IF($S414="Loss",N(AX413)+1,IF($S414="Win",0,N(AX413))),N(AX413))</f>
        <v>0</v>
      </c>
      <c r="AY414" s="56" t="str">
        <f>IF($AS414=1,COUNTIF($AS$6:$AS414,1),"")</f>
        <v/>
      </c>
      <c r="AZ414" s="56">
        <f>MIN(408,N(Lists!$W$8))</f>
        <v>28</v>
      </c>
      <c r="BA414" s="56">
        <f>IF($AS414=1,IF(COUNTIFS($A$6:$A414,$A414,$AS$6:$AS414,1)=1,1,0),0)</f>
        <v>0</v>
      </c>
      <c r="BB414" s="55" t="str">
        <f>IF($BA414=1,SUMIFS($Q$6:$Q$1005,$A$6:$A$1005,$A414,$AS$6:$AS$1005,1),"")</f>
        <v/>
      </c>
      <c r="BC414" s="56">
        <f>IF(ISNUMBER($R414),1,0)</f>
        <v>0</v>
      </c>
      <c r="BD414" s="55" t="str">
        <f>IF(ISNUMBER($U414),$U414*$V414,"")</f>
        <v/>
      </c>
      <c r="BE414" s="56" t="str">
        <f>IF($AM414=0,"",IFERROR(MATCH($AF414&amp;"|"&amp;UPPER(TRIM($E414)),Lists!$A$6:$A$205,0),0))</f>
        <v/>
      </c>
      <c r="BF414" s="56" t="str">
        <f>IF($AM414=0,"",IFERROR(MATCH($AF414,Settings!$B$14:$B$18,0),IFERROR(MATCH(Settings!$C$6,Settings!$B$14:$B$18,0),1)))</f>
        <v/>
      </c>
      <c r="BG414" s="58" t="str">
        <f>IF($AM414=0,"",IF(NOT(ISNUMBER($I414)),"No stop; ","")&amp;IF(AND(ISNUMBER($H414),ISNUMBER($I414)),IF(OR(AND($F414&lt;&gt;"Short",$I414&gt;=$H414),AND($F414="Short",$I414&lt;=$H414)),"Stop on wrong side; ",""),"")&amp;IF($F414="","No direction; ","")&amp;IF(AND(ISNUMBER(Settings!$C$22),ISNUMBER($V414)),IF($V414&gt;Settings!$C$22,"Risk over max $; ",""),"")&amp;IF(AND(ISNUMBER(Settings!$C$23),ISNUMBER($V414),ISNUMBER($AP414),IFERROR(N(INDEX(Accounts!$E$7:$E$16,MATCH($C414,Accounts!$B$7:$B$16,0))),0)&gt;0),IF($V414&gt;Settings!$C$23*($AP414-N($Q414)),"Risk over max %; ",""),"")&amp;IF(AND(ISNUMBER(Settings!$C$24),ISNUMBER($N414)),IF($N414&gt;Settings!$C$24,"Leverage over max; ",""),"")&amp;IF(AND(ISNUMBER(Settings!$C$27),ISNUMBER($T414)),IF($T414&lt;Settings!$C$27,"R:R below min; ",""),"")&amp;IF(ISNUMBER(Settings!$C$25),IF(COUNTIFS($A$6:$A414,$A414,$AM$6:$AM414,1)&gt;Settings!$C$25,"Over max trades/day; ",""),"")&amp;IF(ISNUMBER(Settings!$C$26),IF(SUMIFS($Q$5:$Q413,$A$5:$A413,$A414)&lt;=-Settings!$C$26,"Traded after daily max loss; ",""),"")&amp;IF(AND($AG414="",NOT(ISNUMBER($O414))),"Symbol not in Instruments; ","")&amp;IF(AND($AH414="",NOT(ISNUMBER($O414))),"Forex cross: type Gross P&amp;L; ",""))</f>
        <v/>
      </c>
      <c r="BH414" s="56">
        <f>IF(ISNUMBER($Q414),1,0)</f>
        <v>0</v>
      </c>
      <c r="BI414" s="56">
        <f>IF($Y414="",0,1)</f>
        <v>0</v>
      </c>
      <c r="BJ414" s="56">
        <f>IF($AB414="",0,1)</f>
        <v>0</v>
      </c>
      <c r="BK414" s="56">
        <f>IF(AND($BH414=1,$W414&lt;&gt;"OK"),1,0)</f>
        <v>0</v>
      </c>
      <c r="BL414" s="55">
        <f>IF(N($AZ414)=0,0,IFERROR(INDEX($AT$6:$AT$1005,MATCH($AZ414,$AY$6:$AY$1005,0)),0))</f>
        <v>1187.10688</v>
      </c>
      <c r="BM414" s="56">
        <f>IF(ISNUMBER(SEARCH("daily max loss",$BG414)),1,0)</f>
        <v>0</v>
      </c>
    </row>
    <row r="415" ht="18" customHeight="1">
      <c r="A415" s="38" t="n"/>
      <c r="B415" s="39" t="n"/>
      <c r="C415" s="40" t="n"/>
      <c r="D415" s="41" t="n"/>
      <c r="E415" s="41" t="n"/>
      <c r="F415" s="41" t="n"/>
      <c r="G415" s="41" t="n"/>
      <c r="H415" s="42" t="n"/>
      <c r="I415" s="42" t="n"/>
      <c r="J415" s="42" t="n"/>
      <c r="K415" s="42" t="n"/>
      <c r="L415" s="41" t="n"/>
      <c r="M415" s="41" t="n"/>
      <c r="N415" s="41" t="n"/>
      <c r="O415" s="43" t="n"/>
      <c r="P415" s="43" t="n"/>
      <c r="Q415" s="44" t="str">
        <f>IF($AM415=0,"",IF(ISNUMBER($AK415),$AK415-N($AL415),""))</f>
        <v/>
      </c>
      <c r="R415" s="45" t="str">
        <f>IF(OR($Q415="",NOT(ISNUMBER($V415))),"",$AK415/$V415)</f>
        <v/>
      </c>
      <c r="S415" s="46" t="str">
        <f>IF($Q415="","",IF(AND(ISNUMBER($R415),ABS(N($R415))&lt;N(Settings!$C$8)),"Scratch",IF($Q415&gt;0,"Win",IF($Q415&lt;0,"Loss","Scratch"))))</f>
        <v/>
      </c>
      <c r="T415" s="47" t="str">
        <f>IF(OR($AM415=0,NOT(ISNUMBER($H415)),NOT(ISNUMBER($I415)),NOT(ISNUMBER($J415))),"",IF($H415=$I415,"",ROUND(ABS($J415-$H415)/ABS($H415-$I415),6)))</f>
        <v/>
      </c>
      <c r="U415" s="48" t="str">
        <f>IF(OR($S415&lt;&gt;"Win",NOT(ISNUMBER($T415)),NOT(ISNUMBER($R415))),"",MAX(0,$T415-$R415))</f>
        <v/>
      </c>
      <c r="V415" s="49" t="str">
        <f>IF(OR($AM415=0,NOT(ISNUMBER($H415)),NOT(ISNUMBER($I415)),NOT(ISNUMBER($G415))),"",IF(OR($AG415="",$AH415=""),"",IF(ROUND(ABS($H415-$I415)*ABS($G415)*$AG415*$AH415,6)=0,"",ROUND(ABS($H415-$I415)*ABS($G415)*$AG415*$AH415,6))))</f>
        <v/>
      </c>
      <c r="W415" s="50" t="str">
        <f>IF($AM415=0,"",IF($BG415="","OK",LEFT($BG415,LEN($BG415)-2)))</f>
        <v/>
      </c>
      <c r="X415" s="41" t="n"/>
      <c r="Y415" s="40" t="n"/>
      <c r="Z415" s="41" t="n"/>
      <c r="AA415" s="41" t="n"/>
      <c r="AB415" s="40" t="n"/>
      <c r="AC415" s="51" t="n"/>
      <c r="AD415" s="51" t="n"/>
      <c r="AE415" s="40" t="n"/>
      <c r="AF415" s="52" t="str">
        <f>IF($AM415=0,"",IF($D415&lt;&gt;"",$D415,IF(IFERROR(INDEX(Accounts!$C$7:$C$16,MATCH($C415,Accounts!$B$7:$B$16,0))&amp;"","")&lt;&gt;"",INDEX(Accounts!$C$7:$C$16,MATCH($C415,Accounts!$B$7:$B$16,0)),Settings!$C$6)))</f>
        <v/>
      </c>
      <c r="AG415" s="53" t="str">
        <f>IF($AM415=0,"",IF(AND($BE415&gt;0,N(INDEX(Instruments!$D$6:$D$205,MAX(1,$BE415)))&gt;0),INDEX(Instruments!$D$6:$D$205,MAX(1,$BE415)),IF(N(INDEX(Settings!$D$14:$D$18,$BF415))&gt;0,INDEX(Settings!$D$14:$D$18,$BF415),"")))</f>
        <v/>
      </c>
      <c r="AH415" s="54" t="str">
        <f>IF($AM415=0,"",IF($AF415&lt;&gt;"Forex",1,IF(MID(UPPER(SUBSTITUTE(TRIM($E415),"/","")),4,3)=UPPER(TRIM(Settings!$C$7)),1,IF(LEFT(UPPER(SUBSTITUTE(TRIM($E415),"/","")),3)=UPPER(TRIM(Settings!$C$7)),IF(AND(ISNUMBER($K415),N($K415)&lt;&gt;0),1/$K415,""),""))))</f>
        <v/>
      </c>
      <c r="AI415" s="55" t="str">
        <f>IF($AM415=0,"",IF(OR(NOT(ISNUMBER($H415)),NOT(ISNUMBER($K415)),NOT(ISNUMBER($G415)),$AG415="",$AH415=""),"",ROUND(($K415-$H415)*IF($F415="Short",-1,1)*$G415*$AG415*$AH415,6)))</f>
        <v/>
      </c>
      <c r="AJ415" s="55" t="str">
        <f>IF($AM415=0,"",IF(INDEX(Settings!$E$14:$E$18,$BF415)="% of notional",IF(OR($AG415="",NOT(ISNUMBER($H415)),NOT(ISNUMBER($G415))),"",ROUND(ABS($H415*$G415*$AG415*N($AH415))*IF($L415="Limit",N(INDEX(Settings!$G$14:$G$18,$BF415)),N(INDEX(Settings!$H$14:$H$18,$BF415)))+IF(ISNUMBER($K415),ABS($K415*$G415*$AG415*N($AH415))*IF($M415="Target",N(INDEX(Settings!$G$14:$G$18,$BF415)),N(INDEX(Settings!$H$14:$H$18,$BF415))),0),6)),IF(NOT(ISNUMBER($G415)),"",ROUND(ABS($G415)*2*IF(AND($BE415&gt;0,ISNUMBER(INDEX(Instruments!$G$6:$G$205,MAX(1,$BE415)))),INDEX(Instruments!$G$6:$G$205,MAX(1,$BE415)),N(INDEX(Settings!$F$14:$F$18,$BF415))),6))))</f>
        <v/>
      </c>
      <c r="AK415" s="55" t="str">
        <f>IF($AM415=0,"",IF(ISNUMBER($O415),$O415,$AI415))</f>
        <v/>
      </c>
      <c r="AL415" s="55" t="str">
        <f>IF($AM415=0,"",IF(ISNUMBER($P415),$P415,N($AJ415)))</f>
        <v/>
      </c>
      <c r="AM415" s="56">
        <f>IF(AND($A415&lt;&gt;"",$E415&lt;&gt;"",OR(AND(ISNUMBER($G415),ISNUMBER($H415),ISNUMBER($K415)),ISNUMBER($O415))),1,0)</f>
        <v>0</v>
      </c>
      <c r="AN415" s="57" t="str">
        <f>IF($A415="","",$A415-WEEKDAY($A415,3))</f>
        <v/>
      </c>
      <c r="AO415" s="56" t="str">
        <f>IF($A415="","",WEEKDAY($A415,2))</f>
        <v/>
      </c>
      <c r="AP415" s="55" t="str">
        <f>IF(OR($AM415=0,$C415=""),"",IFERROR(N(INDEX(Accounts!$E$7:$E$16,MATCH($C415,Accounts!$B$7:$B$16,0))),0)+SUMIFS($Q$6:$Q415,$C$6:$C415,$C415))</f>
        <v/>
      </c>
      <c r="AQ415" s="55" t="str">
        <f>IF(OR($AM415=0,$C415=""),"",SUMIFS($Q$6:$Q$1005,$C$6:$C$1005,$C415,$A$6:$A$1005,$A415))</f>
        <v/>
      </c>
      <c r="AR415" s="55" t="str">
        <f>IF(OR($AM415=0,$C415=""),"",IFERROR(N(INDEX(Accounts!$E$7:$E$16,MATCH($C415,Accounts!$B$7:$B$16,0))),0)+SUMIFS($Q$6:$Q$1005,$C$6:$C$1005,$C415,$A$6:$A$1005,"&lt;="&amp;$A415))</f>
        <v/>
      </c>
      <c r="AS415" s="56">
        <f>IF(OR($AM415=0,$Q415=""),0,IF(AND($A415&gt;=Lists!$W$6,$A415&lt;=Lists!$W$7,OR(Dashboard!$D$6="All accounts",$C415=Dashboard!$D$6),OR(Dashboard!$D$7="All markets",$AF415=Dashboard!$D$7)),1,0))</f>
        <v>0</v>
      </c>
      <c r="AT415" s="55">
        <f>IF($AS415=1,N(AT414)+$Q415,N(AT414))</f>
        <v>1187.10688</v>
      </c>
      <c r="AU415" s="55">
        <f>MAX(N(AU414),$AT415)</f>
        <v>1187.10688</v>
      </c>
      <c r="AV415" s="55">
        <f>$AT415-$AU415</f>
        <v>0</v>
      </c>
      <c r="AW415" s="56">
        <f>IF($AS415=1,IF($S415="Win",N(AW414)+1,IF($S415="Loss",0,N(AW414))),N(AW414))</f>
        <v>5</v>
      </c>
      <c r="AX415" s="56">
        <f>IF($AS415=1,IF($S415="Loss",N(AX414)+1,IF($S415="Win",0,N(AX414))),N(AX414))</f>
        <v>0</v>
      </c>
      <c r="AY415" s="56" t="str">
        <f>IF($AS415=1,COUNTIF($AS$6:$AS415,1),"")</f>
        <v/>
      </c>
      <c r="AZ415" s="56">
        <f>MIN(409,N(Lists!$W$8))</f>
        <v>28</v>
      </c>
      <c r="BA415" s="56">
        <f>IF($AS415=1,IF(COUNTIFS($A$6:$A415,$A415,$AS$6:$AS415,1)=1,1,0),0)</f>
        <v>0</v>
      </c>
      <c r="BB415" s="55" t="str">
        <f>IF($BA415=1,SUMIFS($Q$6:$Q$1005,$A$6:$A$1005,$A415,$AS$6:$AS$1005,1),"")</f>
        <v/>
      </c>
      <c r="BC415" s="56">
        <f>IF(ISNUMBER($R415),1,0)</f>
        <v>0</v>
      </c>
      <c r="BD415" s="55" t="str">
        <f>IF(ISNUMBER($U415),$U415*$V415,"")</f>
        <v/>
      </c>
      <c r="BE415" s="56" t="str">
        <f>IF($AM415=0,"",IFERROR(MATCH($AF415&amp;"|"&amp;UPPER(TRIM($E415)),Lists!$A$6:$A$205,0),0))</f>
        <v/>
      </c>
      <c r="BF415" s="56" t="str">
        <f>IF($AM415=0,"",IFERROR(MATCH($AF415,Settings!$B$14:$B$18,0),IFERROR(MATCH(Settings!$C$6,Settings!$B$14:$B$18,0),1)))</f>
        <v/>
      </c>
      <c r="BG415" s="58" t="str">
        <f>IF($AM415=0,"",IF(NOT(ISNUMBER($I415)),"No stop; ","")&amp;IF(AND(ISNUMBER($H415),ISNUMBER($I415)),IF(OR(AND($F415&lt;&gt;"Short",$I415&gt;=$H415),AND($F415="Short",$I415&lt;=$H415)),"Stop on wrong side; ",""),"")&amp;IF($F415="","No direction; ","")&amp;IF(AND(ISNUMBER(Settings!$C$22),ISNUMBER($V415)),IF($V415&gt;Settings!$C$22,"Risk over max $; ",""),"")&amp;IF(AND(ISNUMBER(Settings!$C$23),ISNUMBER($V415),ISNUMBER($AP415),IFERROR(N(INDEX(Accounts!$E$7:$E$16,MATCH($C415,Accounts!$B$7:$B$16,0))),0)&gt;0),IF($V415&gt;Settings!$C$23*($AP415-N($Q415)),"Risk over max %; ",""),"")&amp;IF(AND(ISNUMBER(Settings!$C$24),ISNUMBER($N415)),IF($N415&gt;Settings!$C$24,"Leverage over max; ",""),"")&amp;IF(AND(ISNUMBER(Settings!$C$27),ISNUMBER($T415)),IF($T415&lt;Settings!$C$27,"R:R below min; ",""),"")&amp;IF(ISNUMBER(Settings!$C$25),IF(COUNTIFS($A$6:$A415,$A415,$AM$6:$AM415,1)&gt;Settings!$C$25,"Over max trades/day; ",""),"")&amp;IF(ISNUMBER(Settings!$C$26),IF(SUMIFS($Q$5:$Q414,$A$5:$A414,$A415)&lt;=-Settings!$C$26,"Traded after daily max loss; ",""),"")&amp;IF(AND($AG415="",NOT(ISNUMBER($O415))),"Symbol not in Instruments; ","")&amp;IF(AND($AH415="",NOT(ISNUMBER($O415))),"Forex cross: type Gross P&amp;L; ",""))</f>
        <v/>
      </c>
      <c r="BH415" s="56">
        <f>IF(ISNUMBER($Q415),1,0)</f>
        <v>0</v>
      </c>
      <c r="BI415" s="56">
        <f>IF($Y415="",0,1)</f>
        <v>0</v>
      </c>
      <c r="BJ415" s="56">
        <f>IF($AB415="",0,1)</f>
        <v>0</v>
      </c>
      <c r="BK415" s="56">
        <f>IF(AND($BH415=1,$W415&lt;&gt;"OK"),1,0)</f>
        <v>0</v>
      </c>
      <c r="BL415" s="55">
        <f>IF(N($AZ415)=0,0,IFERROR(INDEX($AT$6:$AT$1005,MATCH($AZ415,$AY$6:$AY$1005,0)),0))</f>
        <v>1187.10688</v>
      </c>
      <c r="BM415" s="56">
        <f>IF(ISNUMBER(SEARCH("daily max loss",$BG415)),1,0)</f>
        <v>0</v>
      </c>
    </row>
    <row r="416" ht="18" customHeight="1">
      <c r="A416" s="38" t="n"/>
      <c r="B416" s="39" t="n"/>
      <c r="C416" s="40" t="n"/>
      <c r="D416" s="41" t="n"/>
      <c r="E416" s="41" t="n"/>
      <c r="F416" s="41" t="n"/>
      <c r="G416" s="41" t="n"/>
      <c r="H416" s="42" t="n"/>
      <c r="I416" s="42" t="n"/>
      <c r="J416" s="42" t="n"/>
      <c r="K416" s="42" t="n"/>
      <c r="L416" s="41" t="n"/>
      <c r="M416" s="41" t="n"/>
      <c r="N416" s="41" t="n"/>
      <c r="O416" s="43" t="n"/>
      <c r="P416" s="43" t="n"/>
      <c r="Q416" s="44" t="str">
        <f>IF($AM416=0,"",IF(ISNUMBER($AK416),$AK416-N($AL416),""))</f>
        <v/>
      </c>
      <c r="R416" s="45" t="str">
        <f>IF(OR($Q416="",NOT(ISNUMBER($V416))),"",$AK416/$V416)</f>
        <v/>
      </c>
      <c r="S416" s="46" t="str">
        <f>IF($Q416="","",IF(AND(ISNUMBER($R416),ABS(N($R416))&lt;N(Settings!$C$8)),"Scratch",IF($Q416&gt;0,"Win",IF($Q416&lt;0,"Loss","Scratch"))))</f>
        <v/>
      </c>
      <c r="T416" s="47" t="str">
        <f>IF(OR($AM416=0,NOT(ISNUMBER($H416)),NOT(ISNUMBER($I416)),NOT(ISNUMBER($J416))),"",IF($H416=$I416,"",ROUND(ABS($J416-$H416)/ABS($H416-$I416),6)))</f>
        <v/>
      </c>
      <c r="U416" s="48" t="str">
        <f>IF(OR($S416&lt;&gt;"Win",NOT(ISNUMBER($T416)),NOT(ISNUMBER($R416))),"",MAX(0,$T416-$R416))</f>
        <v/>
      </c>
      <c r="V416" s="49" t="str">
        <f>IF(OR($AM416=0,NOT(ISNUMBER($H416)),NOT(ISNUMBER($I416)),NOT(ISNUMBER($G416))),"",IF(OR($AG416="",$AH416=""),"",IF(ROUND(ABS($H416-$I416)*ABS($G416)*$AG416*$AH416,6)=0,"",ROUND(ABS($H416-$I416)*ABS($G416)*$AG416*$AH416,6))))</f>
        <v/>
      </c>
      <c r="W416" s="50" t="str">
        <f>IF($AM416=0,"",IF($BG416="","OK",LEFT($BG416,LEN($BG416)-2)))</f>
        <v/>
      </c>
      <c r="X416" s="41" t="n"/>
      <c r="Y416" s="40" t="n"/>
      <c r="Z416" s="41" t="n"/>
      <c r="AA416" s="41" t="n"/>
      <c r="AB416" s="40" t="n"/>
      <c r="AC416" s="51" t="n"/>
      <c r="AD416" s="51" t="n"/>
      <c r="AE416" s="40" t="n"/>
      <c r="AF416" s="52" t="str">
        <f>IF($AM416=0,"",IF($D416&lt;&gt;"",$D416,IF(IFERROR(INDEX(Accounts!$C$7:$C$16,MATCH($C416,Accounts!$B$7:$B$16,0))&amp;"","")&lt;&gt;"",INDEX(Accounts!$C$7:$C$16,MATCH($C416,Accounts!$B$7:$B$16,0)),Settings!$C$6)))</f>
        <v/>
      </c>
      <c r="AG416" s="53" t="str">
        <f>IF($AM416=0,"",IF(AND($BE416&gt;0,N(INDEX(Instruments!$D$6:$D$205,MAX(1,$BE416)))&gt;0),INDEX(Instruments!$D$6:$D$205,MAX(1,$BE416)),IF(N(INDEX(Settings!$D$14:$D$18,$BF416))&gt;0,INDEX(Settings!$D$14:$D$18,$BF416),"")))</f>
        <v/>
      </c>
      <c r="AH416" s="54" t="str">
        <f>IF($AM416=0,"",IF($AF416&lt;&gt;"Forex",1,IF(MID(UPPER(SUBSTITUTE(TRIM($E416),"/","")),4,3)=UPPER(TRIM(Settings!$C$7)),1,IF(LEFT(UPPER(SUBSTITUTE(TRIM($E416),"/","")),3)=UPPER(TRIM(Settings!$C$7)),IF(AND(ISNUMBER($K416),N($K416)&lt;&gt;0),1/$K416,""),""))))</f>
        <v/>
      </c>
      <c r="AI416" s="55" t="str">
        <f>IF($AM416=0,"",IF(OR(NOT(ISNUMBER($H416)),NOT(ISNUMBER($K416)),NOT(ISNUMBER($G416)),$AG416="",$AH416=""),"",ROUND(($K416-$H416)*IF($F416="Short",-1,1)*$G416*$AG416*$AH416,6)))</f>
        <v/>
      </c>
      <c r="AJ416" s="55" t="str">
        <f>IF($AM416=0,"",IF(INDEX(Settings!$E$14:$E$18,$BF416)="% of notional",IF(OR($AG416="",NOT(ISNUMBER($H416)),NOT(ISNUMBER($G416))),"",ROUND(ABS($H416*$G416*$AG416*N($AH416))*IF($L416="Limit",N(INDEX(Settings!$G$14:$G$18,$BF416)),N(INDEX(Settings!$H$14:$H$18,$BF416)))+IF(ISNUMBER($K416),ABS($K416*$G416*$AG416*N($AH416))*IF($M416="Target",N(INDEX(Settings!$G$14:$G$18,$BF416)),N(INDEX(Settings!$H$14:$H$18,$BF416))),0),6)),IF(NOT(ISNUMBER($G416)),"",ROUND(ABS($G416)*2*IF(AND($BE416&gt;0,ISNUMBER(INDEX(Instruments!$G$6:$G$205,MAX(1,$BE416)))),INDEX(Instruments!$G$6:$G$205,MAX(1,$BE416)),N(INDEX(Settings!$F$14:$F$18,$BF416))),6))))</f>
        <v/>
      </c>
      <c r="AK416" s="55" t="str">
        <f>IF($AM416=0,"",IF(ISNUMBER($O416),$O416,$AI416))</f>
        <v/>
      </c>
      <c r="AL416" s="55" t="str">
        <f>IF($AM416=0,"",IF(ISNUMBER($P416),$P416,N($AJ416)))</f>
        <v/>
      </c>
      <c r="AM416" s="56">
        <f>IF(AND($A416&lt;&gt;"",$E416&lt;&gt;"",OR(AND(ISNUMBER($G416),ISNUMBER($H416),ISNUMBER($K416)),ISNUMBER($O416))),1,0)</f>
        <v>0</v>
      </c>
      <c r="AN416" s="57" t="str">
        <f>IF($A416="","",$A416-WEEKDAY($A416,3))</f>
        <v/>
      </c>
      <c r="AO416" s="56" t="str">
        <f>IF($A416="","",WEEKDAY($A416,2))</f>
        <v/>
      </c>
      <c r="AP416" s="55" t="str">
        <f>IF(OR($AM416=0,$C416=""),"",IFERROR(N(INDEX(Accounts!$E$7:$E$16,MATCH($C416,Accounts!$B$7:$B$16,0))),0)+SUMIFS($Q$6:$Q416,$C$6:$C416,$C416))</f>
        <v/>
      </c>
      <c r="AQ416" s="55" t="str">
        <f>IF(OR($AM416=0,$C416=""),"",SUMIFS($Q$6:$Q$1005,$C$6:$C$1005,$C416,$A$6:$A$1005,$A416))</f>
        <v/>
      </c>
      <c r="AR416" s="55" t="str">
        <f>IF(OR($AM416=0,$C416=""),"",IFERROR(N(INDEX(Accounts!$E$7:$E$16,MATCH($C416,Accounts!$B$7:$B$16,0))),0)+SUMIFS($Q$6:$Q$1005,$C$6:$C$1005,$C416,$A$6:$A$1005,"&lt;="&amp;$A416))</f>
        <v/>
      </c>
      <c r="AS416" s="56">
        <f>IF(OR($AM416=0,$Q416=""),0,IF(AND($A416&gt;=Lists!$W$6,$A416&lt;=Lists!$W$7,OR(Dashboard!$D$6="All accounts",$C416=Dashboard!$D$6),OR(Dashboard!$D$7="All markets",$AF416=Dashboard!$D$7)),1,0))</f>
        <v>0</v>
      </c>
      <c r="AT416" s="55">
        <f>IF($AS416=1,N(AT415)+$Q416,N(AT415))</f>
        <v>1187.10688</v>
      </c>
      <c r="AU416" s="55">
        <f>MAX(N(AU415),$AT416)</f>
        <v>1187.10688</v>
      </c>
      <c r="AV416" s="55">
        <f>$AT416-$AU416</f>
        <v>0</v>
      </c>
      <c r="AW416" s="56">
        <f>IF($AS416=1,IF($S416="Win",N(AW415)+1,IF($S416="Loss",0,N(AW415))),N(AW415))</f>
        <v>5</v>
      </c>
      <c r="AX416" s="56">
        <f>IF($AS416=1,IF($S416="Loss",N(AX415)+1,IF($S416="Win",0,N(AX415))),N(AX415))</f>
        <v>0</v>
      </c>
      <c r="AY416" s="56" t="str">
        <f>IF($AS416=1,COUNTIF($AS$6:$AS416,1),"")</f>
        <v/>
      </c>
      <c r="AZ416" s="56">
        <f>MIN(410,N(Lists!$W$8))</f>
        <v>28</v>
      </c>
      <c r="BA416" s="56">
        <f>IF($AS416=1,IF(COUNTIFS($A$6:$A416,$A416,$AS$6:$AS416,1)=1,1,0),0)</f>
        <v>0</v>
      </c>
      <c r="BB416" s="55" t="str">
        <f>IF($BA416=1,SUMIFS($Q$6:$Q$1005,$A$6:$A$1005,$A416,$AS$6:$AS$1005,1),"")</f>
        <v/>
      </c>
      <c r="BC416" s="56">
        <f>IF(ISNUMBER($R416),1,0)</f>
        <v>0</v>
      </c>
      <c r="BD416" s="55" t="str">
        <f>IF(ISNUMBER($U416),$U416*$V416,"")</f>
        <v/>
      </c>
      <c r="BE416" s="56" t="str">
        <f>IF($AM416=0,"",IFERROR(MATCH($AF416&amp;"|"&amp;UPPER(TRIM($E416)),Lists!$A$6:$A$205,0),0))</f>
        <v/>
      </c>
      <c r="BF416" s="56" t="str">
        <f>IF($AM416=0,"",IFERROR(MATCH($AF416,Settings!$B$14:$B$18,0),IFERROR(MATCH(Settings!$C$6,Settings!$B$14:$B$18,0),1)))</f>
        <v/>
      </c>
      <c r="BG416" s="58" t="str">
        <f>IF($AM416=0,"",IF(NOT(ISNUMBER($I416)),"No stop; ","")&amp;IF(AND(ISNUMBER($H416),ISNUMBER($I416)),IF(OR(AND($F416&lt;&gt;"Short",$I416&gt;=$H416),AND($F416="Short",$I416&lt;=$H416)),"Stop on wrong side; ",""),"")&amp;IF($F416="","No direction; ","")&amp;IF(AND(ISNUMBER(Settings!$C$22),ISNUMBER($V416)),IF($V416&gt;Settings!$C$22,"Risk over max $; ",""),"")&amp;IF(AND(ISNUMBER(Settings!$C$23),ISNUMBER($V416),ISNUMBER($AP416),IFERROR(N(INDEX(Accounts!$E$7:$E$16,MATCH($C416,Accounts!$B$7:$B$16,0))),0)&gt;0),IF($V416&gt;Settings!$C$23*($AP416-N($Q416)),"Risk over max %; ",""),"")&amp;IF(AND(ISNUMBER(Settings!$C$24),ISNUMBER($N416)),IF($N416&gt;Settings!$C$24,"Leverage over max; ",""),"")&amp;IF(AND(ISNUMBER(Settings!$C$27),ISNUMBER($T416)),IF($T416&lt;Settings!$C$27,"R:R below min; ",""),"")&amp;IF(ISNUMBER(Settings!$C$25),IF(COUNTIFS($A$6:$A416,$A416,$AM$6:$AM416,1)&gt;Settings!$C$25,"Over max trades/day; ",""),"")&amp;IF(ISNUMBER(Settings!$C$26),IF(SUMIFS($Q$5:$Q415,$A$5:$A415,$A416)&lt;=-Settings!$C$26,"Traded after daily max loss; ",""),"")&amp;IF(AND($AG416="",NOT(ISNUMBER($O416))),"Symbol not in Instruments; ","")&amp;IF(AND($AH416="",NOT(ISNUMBER($O416))),"Forex cross: type Gross P&amp;L; ",""))</f>
        <v/>
      </c>
      <c r="BH416" s="56">
        <f>IF(ISNUMBER($Q416),1,0)</f>
        <v>0</v>
      </c>
      <c r="BI416" s="56">
        <f>IF($Y416="",0,1)</f>
        <v>0</v>
      </c>
      <c r="BJ416" s="56">
        <f>IF($AB416="",0,1)</f>
        <v>0</v>
      </c>
      <c r="BK416" s="56">
        <f>IF(AND($BH416=1,$W416&lt;&gt;"OK"),1,0)</f>
        <v>0</v>
      </c>
      <c r="BL416" s="55">
        <f>IF(N($AZ416)=0,0,IFERROR(INDEX($AT$6:$AT$1005,MATCH($AZ416,$AY$6:$AY$1005,0)),0))</f>
        <v>1187.10688</v>
      </c>
      <c r="BM416" s="56">
        <f>IF(ISNUMBER(SEARCH("daily max loss",$BG416)),1,0)</f>
        <v>0</v>
      </c>
    </row>
    <row r="417" ht="18" customHeight="1">
      <c r="A417" s="38" t="n"/>
      <c r="B417" s="39" t="n"/>
      <c r="C417" s="40" t="n"/>
      <c r="D417" s="41" t="n"/>
      <c r="E417" s="41" t="n"/>
      <c r="F417" s="41" t="n"/>
      <c r="G417" s="41" t="n"/>
      <c r="H417" s="42" t="n"/>
      <c r="I417" s="42" t="n"/>
      <c r="J417" s="42" t="n"/>
      <c r="K417" s="42" t="n"/>
      <c r="L417" s="41" t="n"/>
      <c r="M417" s="41" t="n"/>
      <c r="N417" s="41" t="n"/>
      <c r="O417" s="43" t="n"/>
      <c r="P417" s="43" t="n"/>
      <c r="Q417" s="44" t="str">
        <f>IF($AM417=0,"",IF(ISNUMBER($AK417),$AK417-N($AL417),""))</f>
        <v/>
      </c>
      <c r="R417" s="45" t="str">
        <f>IF(OR($Q417="",NOT(ISNUMBER($V417))),"",$AK417/$V417)</f>
        <v/>
      </c>
      <c r="S417" s="46" t="str">
        <f>IF($Q417="","",IF(AND(ISNUMBER($R417),ABS(N($R417))&lt;N(Settings!$C$8)),"Scratch",IF($Q417&gt;0,"Win",IF($Q417&lt;0,"Loss","Scratch"))))</f>
        <v/>
      </c>
      <c r="T417" s="47" t="str">
        <f>IF(OR($AM417=0,NOT(ISNUMBER($H417)),NOT(ISNUMBER($I417)),NOT(ISNUMBER($J417))),"",IF($H417=$I417,"",ROUND(ABS($J417-$H417)/ABS($H417-$I417),6)))</f>
        <v/>
      </c>
      <c r="U417" s="48" t="str">
        <f>IF(OR($S417&lt;&gt;"Win",NOT(ISNUMBER($T417)),NOT(ISNUMBER($R417))),"",MAX(0,$T417-$R417))</f>
        <v/>
      </c>
      <c r="V417" s="49" t="str">
        <f>IF(OR($AM417=0,NOT(ISNUMBER($H417)),NOT(ISNUMBER($I417)),NOT(ISNUMBER($G417))),"",IF(OR($AG417="",$AH417=""),"",IF(ROUND(ABS($H417-$I417)*ABS($G417)*$AG417*$AH417,6)=0,"",ROUND(ABS($H417-$I417)*ABS($G417)*$AG417*$AH417,6))))</f>
        <v/>
      </c>
      <c r="W417" s="50" t="str">
        <f>IF($AM417=0,"",IF($BG417="","OK",LEFT($BG417,LEN($BG417)-2)))</f>
        <v/>
      </c>
      <c r="X417" s="41" t="n"/>
      <c r="Y417" s="40" t="n"/>
      <c r="Z417" s="41" t="n"/>
      <c r="AA417" s="41" t="n"/>
      <c r="AB417" s="40" t="n"/>
      <c r="AC417" s="51" t="n"/>
      <c r="AD417" s="51" t="n"/>
      <c r="AE417" s="40" t="n"/>
      <c r="AF417" s="52" t="str">
        <f>IF($AM417=0,"",IF($D417&lt;&gt;"",$D417,IF(IFERROR(INDEX(Accounts!$C$7:$C$16,MATCH($C417,Accounts!$B$7:$B$16,0))&amp;"","")&lt;&gt;"",INDEX(Accounts!$C$7:$C$16,MATCH($C417,Accounts!$B$7:$B$16,0)),Settings!$C$6)))</f>
        <v/>
      </c>
      <c r="AG417" s="53" t="str">
        <f>IF($AM417=0,"",IF(AND($BE417&gt;0,N(INDEX(Instruments!$D$6:$D$205,MAX(1,$BE417)))&gt;0),INDEX(Instruments!$D$6:$D$205,MAX(1,$BE417)),IF(N(INDEX(Settings!$D$14:$D$18,$BF417))&gt;0,INDEX(Settings!$D$14:$D$18,$BF417),"")))</f>
        <v/>
      </c>
      <c r="AH417" s="54" t="str">
        <f>IF($AM417=0,"",IF($AF417&lt;&gt;"Forex",1,IF(MID(UPPER(SUBSTITUTE(TRIM($E417),"/","")),4,3)=UPPER(TRIM(Settings!$C$7)),1,IF(LEFT(UPPER(SUBSTITUTE(TRIM($E417),"/","")),3)=UPPER(TRIM(Settings!$C$7)),IF(AND(ISNUMBER($K417),N($K417)&lt;&gt;0),1/$K417,""),""))))</f>
        <v/>
      </c>
      <c r="AI417" s="55" t="str">
        <f>IF($AM417=0,"",IF(OR(NOT(ISNUMBER($H417)),NOT(ISNUMBER($K417)),NOT(ISNUMBER($G417)),$AG417="",$AH417=""),"",ROUND(($K417-$H417)*IF($F417="Short",-1,1)*$G417*$AG417*$AH417,6)))</f>
        <v/>
      </c>
      <c r="AJ417" s="55" t="str">
        <f>IF($AM417=0,"",IF(INDEX(Settings!$E$14:$E$18,$BF417)="% of notional",IF(OR($AG417="",NOT(ISNUMBER($H417)),NOT(ISNUMBER($G417))),"",ROUND(ABS($H417*$G417*$AG417*N($AH417))*IF($L417="Limit",N(INDEX(Settings!$G$14:$G$18,$BF417)),N(INDEX(Settings!$H$14:$H$18,$BF417)))+IF(ISNUMBER($K417),ABS($K417*$G417*$AG417*N($AH417))*IF($M417="Target",N(INDEX(Settings!$G$14:$G$18,$BF417)),N(INDEX(Settings!$H$14:$H$18,$BF417))),0),6)),IF(NOT(ISNUMBER($G417)),"",ROUND(ABS($G417)*2*IF(AND($BE417&gt;0,ISNUMBER(INDEX(Instruments!$G$6:$G$205,MAX(1,$BE417)))),INDEX(Instruments!$G$6:$G$205,MAX(1,$BE417)),N(INDEX(Settings!$F$14:$F$18,$BF417))),6))))</f>
        <v/>
      </c>
      <c r="AK417" s="55" t="str">
        <f>IF($AM417=0,"",IF(ISNUMBER($O417),$O417,$AI417))</f>
        <v/>
      </c>
      <c r="AL417" s="55" t="str">
        <f>IF($AM417=0,"",IF(ISNUMBER($P417),$P417,N($AJ417)))</f>
        <v/>
      </c>
      <c r="AM417" s="56">
        <f>IF(AND($A417&lt;&gt;"",$E417&lt;&gt;"",OR(AND(ISNUMBER($G417),ISNUMBER($H417),ISNUMBER($K417)),ISNUMBER($O417))),1,0)</f>
        <v>0</v>
      </c>
      <c r="AN417" s="57" t="str">
        <f>IF($A417="","",$A417-WEEKDAY($A417,3))</f>
        <v/>
      </c>
      <c r="AO417" s="56" t="str">
        <f>IF($A417="","",WEEKDAY($A417,2))</f>
        <v/>
      </c>
      <c r="AP417" s="55" t="str">
        <f>IF(OR($AM417=0,$C417=""),"",IFERROR(N(INDEX(Accounts!$E$7:$E$16,MATCH($C417,Accounts!$B$7:$B$16,0))),0)+SUMIFS($Q$6:$Q417,$C$6:$C417,$C417))</f>
        <v/>
      </c>
      <c r="AQ417" s="55" t="str">
        <f>IF(OR($AM417=0,$C417=""),"",SUMIFS($Q$6:$Q$1005,$C$6:$C$1005,$C417,$A$6:$A$1005,$A417))</f>
        <v/>
      </c>
      <c r="AR417" s="55" t="str">
        <f>IF(OR($AM417=0,$C417=""),"",IFERROR(N(INDEX(Accounts!$E$7:$E$16,MATCH($C417,Accounts!$B$7:$B$16,0))),0)+SUMIFS($Q$6:$Q$1005,$C$6:$C$1005,$C417,$A$6:$A$1005,"&lt;="&amp;$A417))</f>
        <v/>
      </c>
      <c r="AS417" s="56">
        <f>IF(OR($AM417=0,$Q417=""),0,IF(AND($A417&gt;=Lists!$W$6,$A417&lt;=Lists!$W$7,OR(Dashboard!$D$6="All accounts",$C417=Dashboard!$D$6),OR(Dashboard!$D$7="All markets",$AF417=Dashboard!$D$7)),1,0))</f>
        <v>0</v>
      </c>
      <c r="AT417" s="55">
        <f>IF($AS417=1,N(AT416)+$Q417,N(AT416))</f>
        <v>1187.10688</v>
      </c>
      <c r="AU417" s="55">
        <f>MAX(N(AU416),$AT417)</f>
        <v>1187.10688</v>
      </c>
      <c r="AV417" s="55">
        <f>$AT417-$AU417</f>
        <v>0</v>
      </c>
      <c r="AW417" s="56">
        <f>IF($AS417=1,IF($S417="Win",N(AW416)+1,IF($S417="Loss",0,N(AW416))),N(AW416))</f>
        <v>5</v>
      </c>
      <c r="AX417" s="56">
        <f>IF($AS417=1,IF($S417="Loss",N(AX416)+1,IF($S417="Win",0,N(AX416))),N(AX416))</f>
        <v>0</v>
      </c>
      <c r="AY417" s="56" t="str">
        <f>IF($AS417=1,COUNTIF($AS$6:$AS417,1),"")</f>
        <v/>
      </c>
      <c r="AZ417" s="56">
        <f>MIN(411,N(Lists!$W$8))</f>
        <v>28</v>
      </c>
      <c r="BA417" s="56">
        <f>IF($AS417=1,IF(COUNTIFS($A$6:$A417,$A417,$AS$6:$AS417,1)=1,1,0),0)</f>
        <v>0</v>
      </c>
      <c r="BB417" s="55" t="str">
        <f>IF($BA417=1,SUMIFS($Q$6:$Q$1005,$A$6:$A$1005,$A417,$AS$6:$AS$1005,1),"")</f>
        <v/>
      </c>
      <c r="BC417" s="56">
        <f>IF(ISNUMBER($R417),1,0)</f>
        <v>0</v>
      </c>
      <c r="BD417" s="55" t="str">
        <f>IF(ISNUMBER($U417),$U417*$V417,"")</f>
        <v/>
      </c>
      <c r="BE417" s="56" t="str">
        <f>IF($AM417=0,"",IFERROR(MATCH($AF417&amp;"|"&amp;UPPER(TRIM($E417)),Lists!$A$6:$A$205,0),0))</f>
        <v/>
      </c>
      <c r="BF417" s="56" t="str">
        <f>IF($AM417=0,"",IFERROR(MATCH($AF417,Settings!$B$14:$B$18,0),IFERROR(MATCH(Settings!$C$6,Settings!$B$14:$B$18,0),1)))</f>
        <v/>
      </c>
      <c r="BG417" s="58" t="str">
        <f>IF($AM417=0,"",IF(NOT(ISNUMBER($I417)),"No stop; ","")&amp;IF(AND(ISNUMBER($H417),ISNUMBER($I417)),IF(OR(AND($F417&lt;&gt;"Short",$I417&gt;=$H417),AND($F417="Short",$I417&lt;=$H417)),"Stop on wrong side; ",""),"")&amp;IF($F417="","No direction; ","")&amp;IF(AND(ISNUMBER(Settings!$C$22),ISNUMBER($V417)),IF($V417&gt;Settings!$C$22,"Risk over max $; ",""),"")&amp;IF(AND(ISNUMBER(Settings!$C$23),ISNUMBER($V417),ISNUMBER($AP417),IFERROR(N(INDEX(Accounts!$E$7:$E$16,MATCH($C417,Accounts!$B$7:$B$16,0))),0)&gt;0),IF($V417&gt;Settings!$C$23*($AP417-N($Q417)),"Risk over max %; ",""),"")&amp;IF(AND(ISNUMBER(Settings!$C$24),ISNUMBER($N417)),IF($N417&gt;Settings!$C$24,"Leverage over max; ",""),"")&amp;IF(AND(ISNUMBER(Settings!$C$27),ISNUMBER($T417)),IF($T417&lt;Settings!$C$27,"R:R below min; ",""),"")&amp;IF(ISNUMBER(Settings!$C$25),IF(COUNTIFS($A$6:$A417,$A417,$AM$6:$AM417,1)&gt;Settings!$C$25,"Over max trades/day; ",""),"")&amp;IF(ISNUMBER(Settings!$C$26),IF(SUMIFS($Q$5:$Q416,$A$5:$A416,$A417)&lt;=-Settings!$C$26,"Traded after daily max loss; ",""),"")&amp;IF(AND($AG417="",NOT(ISNUMBER($O417))),"Symbol not in Instruments; ","")&amp;IF(AND($AH417="",NOT(ISNUMBER($O417))),"Forex cross: type Gross P&amp;L; ",""))</f>
        <v/>
      </c>
      <c r="BH417" s="56">
        <f>IF(ISNUMBER($Q417),1,0)</f>
        <v>0</v>
      </c>
      <c r="BI417" s="56">
        <f>IF($Y417="",0,1)</f>
        <v>0</v>
      </c>
      <c r="BJ417" s="56">
        <f>IF($AB417="",0,1)</f>
        <v>0</v>
      </c>
      <c r="BK417" s="56">
        <f>IF(AND($BH417=1,$W417&lt;&gt;"OK"),1,0)</f>
        <v>0</v>
      </c>
      <c r="BL417" s="55">
        <f>IF(N($AZ417)=0,0,IFERROR(INDEX($AT$6:$AT$1005,MATCH($AZ417,$AY$6:$AY$1005,0)),0))</f>
        <v>1187.10688</v>
      </c>
      <c r="BM417" s="56">
        <f>IF(ISNUMBER(SEARCH("daily max loss",$BG417)),1,0)</f>
        <v>0</v>
      </c>
    </row>
    <row r="418" ht="18" customHeight="1">
      <c r="A418" s="38" t="n"/>
      <c r="B418" s="39" t="n"/>
      <c r="C418" s="40" t="n"/>
      <c r="D418" s="41" t="n"/>
      <c r="E418" s="41" t="n"/>
      <c r="F418" s="41" t="n"/>
      <c r="G418" s="41" t="n"/>
      <c r="H418" s="42" t="n"/>
      <c r="I418" s="42" t="n"/>
      <c r="J418" s="42" t="n"/>
      <c r="K418" s="42" t="n"/>
      <c r="L418" s="41" t="n"/>
      <c r="M418" s="41" t="n"/>
      <c r="N418" s="41" t="n"/>
      <c r="O418" s="43" t="n"/>
      <c r="P418" s="43" t="n"/>
      <c r="Q418" s="44" t="str">
        <f>IF($AM418=0,"",IF(ISNUMBER($AK418),$AK418-N($AL418),""))</f>
        <v/>
      </c>
      <c r="R418" s="45" t="str">
        <f>IF(OR($Q418="",NOT(ISNUMBER($V418))),"",$AK418/$V418)</f>
        <v/>
      </c>
      <c r="S418" s="46" t="str">
        <f>IF($Q418="","",IF(AND(ISNUMBER($R418),ABS(N($R418))&lt;N(Settings!$C$8)),"Scratch",IF($Q418&gt;0,"Win",IF($Q418&lt;0,"Loss","Scratch"))))</f>
        <v/>
      </c>
      <c r="T418" s="47" t="str">
        <f>IF(OR($AM418=0,NOT(ISNUMBER($H418)),NOT(ISNUMBER($I418)),NOT(ISNUMBER($J418))),"",IF($H418=$I418,"",ROUND(ABS($J418-$H418)/ABS($H418-$I418),6)))</f>
        <v/>
      </c>
      <c r="U418" s="48" t="str">
        <f>IF(OR($S418&lt;&gt;"Win",NOT(ISNUMBER($T418)),NOT(ISNUMBER($R418))),"",MAX(0,$T418-$R418))</f>
        <v/>
      </c>
      <c r="V418" s="49" t="str">
        <f>IF(OR($AM418=0,NOT(ISNUMBER($H418)),NOT(ISNUMBER($I418)),NOT(ISNUMBER($G418))),"",IF(OR($AG418="",$AH418=""),"",IF(ROUND(ABS($H418-$I418)*ABS($G418)*$AG418*$AH418,6)=0,"",ROUND(ABS($H418-$I418)*ABS($G418)*$AG418*$AH418,6))))</f>
        <v/>
      </c>
      <c r="W418" s="50" t="str">
        <f>IF($AM418=0,"",IF($BG418="","OK",LEFT($BG418,LEN($BG418)-2)))</f>
        <v/>
      </c>
      <c r="X418" s="41" t="n"/>
      <c r="Y418" s="40" t="n"/>
      <c r="Z418" s="41" t="n"/>
      <c r="AA418" s="41" t="n"/>
      <c r="AB418" s="40" t="n"/>
      <c r="AC418" s="51" t="n"/>
      <c r="AD418" s="51" t="n"/>
      <c r="AE418" s="40" t="n"/>
      <c r="AF418" s="52" t="str">
        <f>IF($AM418=0,"",IF($D418&lt;&gt;"",$D418,IF(IFERROR(INDEX(Accounts!$C$7:$C$16,MATCH($C418,Accounts!$B$7:$B$16,0))&amp;"","")&lt;&gt;"",INDEX(Accounts!$C$7:$C$16,MATCH($C418,Accounts!$B$7:$B$16,0)),Settings!$C$6)))</f>
        <v/>
      </c>
      <c r="AG418" s="53" t="str">
        <f>IF($AM418=0,"",IF(AND($BE418&gt;0,N(INDEX(Instruments!$D$6:$D$205,MAX(1,$BE418)))&gt;0),INDEX(Instruments!$D$6:$D$205,MAX(1,$BE418)),IF(N(INDEX(Settings!$D$14:$D$18,$BF418))&gt;0,INDEX(Settings!$D$14:$D$18,$BF418),"")))</f>
        <v/>
      </c>
      <c r="AH418" s="54" t="str">
        <f>IF($AM418=0,"",IF($AF418&lt;&gt;"Forex",1,IF(MID(UPPER(SUBSTITUTE(TRIM($E418),"/","")),4,3)=UPPER(TRIM(Settings!$C$7)),1,IF(LEFT(UPPER(SUBSTITUTE(TRIM($E418),"/","")),3)=UPPER(TRIM(Settings!$C$7)),IF(AND(ISNUMBER($K418),N($K418)&lt;&gt;0),1/$K418,""),""))))</f>
        <v/>
      </c>
      <c r="AI418" s="55" t="str">
        <f>IF($AM418=0,"",IF(OR(NOT(ISNUMBER($H418)),NOT(ISNUMBER($K418)),NOT(ISNUMBER($G418)),$AG418="",$AH418=""),"",ROUND(($K418-$H418)*IF($F418="Short",-1,1)*$G418*$AG418*$AH418,6)))</f>
        <v/>
      </c>
      <c r="AJ418" s="55" t="str">
        <f>IF($AM418=0,"",IF(INDEX(Settings!$E$14:$E$18,$BF418)="% of notional",IF(OR($AG418="",NOT(ISNUMBER($H418)),NOT(ISNUMBER($G418))),"",ROUND(ABS($H418*$G418*$AG418*N($AH418))*IF($L418="Limit",N(INDEX(Settings!$G$14:$G$18,$BF418)),N(INDEX(Settings!$H$14:$H$18,$BF418)))+IF(ISNUMBER($K418),ABS($K418*$G418*$AG418*N($AH418))*IF($M418="Target",N(INDEX(Settings!$G$14:$G$18,$BF418)),N(INDEX(Settings!$H$14:$H$18,$BF418))),0),6)),IF(NOT(ISNUMBER($G418)),"",ROUND(ABS($G418)*2*IF(AND($BE418&gt;0,ISNUMBER(INDEX(Instruments!$G$6:$G$205,MAX(1,$BE418)))),INDEX(Instruments!$G$6:$G$205,MAX(1,$BE418)),N(INDEX(Settings!$F$14:$F$18,$BF418))),6))))</f>
        <v/>
      </c>
      <c r="AK418" s="55" t="str">
        <f>IF($AM418=0,"",IF(ISNUMBER($O418),$O418,$AI418))</f>
        <v/>
      </c>
      <c r="AL418" s="55" t="str">
        <f>IF($AM418=0,"",IF(ISNUMBER($P418),$P418,N($AJ418)))</f>
        <v/>
      </c>
      <c r="AM418" s="56">
        <f>IF(AND($A418&lt;&gt;"",$E418&lt;&gt;"",OR(AND(ISNUMBER($G418),ISNUMBER($H418),ISNUMBER($K418)),ISNUMBER($O418))),1,0)</f>
        <v>0</v>
      </c>
      <c r="AN418" s="57" t="str">
        <f>IF($A418="","",$A418-WEEKDAY($A418,3))</f>
        <v/>
      </c>
      <c r="AO418" s="56" t="str">
        <f>IF($A418="","",WEEKDAY($A418,2))</f>
        <v/>
      </c>
      <c r="AP418" s="55" t="str">
        <f>IF(OR($AM418=0,$C418=""),"",IFERROR(N(INDEX(Accounts!$E$7:$E$16,MATCH($C418,Accounts!$B$7:$B$16,0))),0)+SUMIFS($Q$6:$Q418,$C$6:$C418,$C418))</f>
        <v/>
      </c>
      <c r="AQ418" s="55" t="str">
        <f>IF(OR($AM418=0,$C418=""),"",SUMIFS($Q$6:$Q$1005,$C$6:$C$1005,$C418,$A$6:$A$1005,$A418))</f>
        <v/>
      </c>
      <c r="AR418" s="55" t="str">
        <f>IF(OR($AM418=0,$C418=""),"",IFERROR(N(INDEX(Accounts!$E$7:$E$16,MATCH($C418,Accounts!$B$7:$B$16,0))),0)+SUMIFS($Q$6:$Q$1005,$C$6:$C$1005,$C418,$A$6:$A$1005,"&lt;="&amp;$A418))</f>
        <v/>
      </c>
      <c r="AS418" s="56">
        <f>IF(OR($AM418=0,$Q418=""),0,IF(AND($A418&gt;=Lists!$W$6,$A418&lt;=Lists!$W$7,OR(Dashboard!$D$6="All accounts",$C418=Dashboard!$D$6),OR(Dashboard!$D$7="All markets",$AF418=Dashboard!$D$7)),1,0))</f>
        <v>0</v>
      </c>
      <c r="AT418" s="55">
        <f>IF($AS418=1,N(AT417)+$Q418,N(AT417))</f>
        <v>1187.10688</v>
      </c>
      <c r="AU418" s="55">
        <f>MAX(N(AU417),$AT418)</f>
        <v>1187.10688</v>
      </c>
      <c r="AV418" s="55">
        <f>$AT418-$AU418</f>
        <v>0</v>
      </c>
      <c r="AW418" s="56">
        <f>IF($AS418=1,IF($S418="Win",N(AW417)+1,IF($S418="Loss",0,N(AW417))),N(AW417))</f>
        <v>5</v>
      </c>
      <c r="AX418" s="56">
        <f>IF($AS418=1,IF($S418="Loss",N(AX417)+1,IF($S418="Win",0,N(AX417))),N(AX417))</f>
        <v>0</v>
      </c>
      <c r="AY418" s="56" t="str">
        <f>IF($AS418=1,COUNTIF($AS$6:$AS418,1),"")</f>
        <v/>
      </c>
      <c r="AZ418" s="56">
        <f>MIN(412,N(Lists!$W$8))</f>
        <v>28</v>
      </c>
      <c r="BA418" s="56">
        <f>IF($AS418=1,IF(COUNTIFS($A$6:$A418,$A418,$AS$6:$AS418,1)=1,1,0),0)</f>
        <v>0</v>
      </c>
      <c r="BB418" s="55" t="str">
        <f>IF($BA418=1,SUMIFS($Q$6:$Q$1005,$A$6:$A$1005,$A418,$AS$6:$AS$1005,1),"")</f>
        <v/>
      </c>
      <c r="BC418" s="56">
        <f>IF(ISNUMBER($R418),1,0)</f>
        <v>0</v>
      </c>
      <c r="BD418" s="55" t="str">
        <f>IF(ISNUMBER($U418),$U418*$V418,"")</f>
        <v/>
      </c>
      <c r="BE418" s="56" t="str">
        <f>IF($AM418=0,"",IFERROR(MATCH($AF418&amp;"|"&amp;UPPER(TRIM($E418)),Lists!$A$6:$A$205,0),0))</f>
        <v/>
      </c>
      <c r="BF418" s="56" t="str">
        <f>IF($AM418=0,"",IFERROR(MATCH($AF418,Settings!$B$14:$B$18,0),IFERROR(MATCH(Settings!$C$6,Settings!$B$14:$B$18,0),1)))</f>
        <v/>
      </c>
      <c r="BG418" s="58" t="str">
        <f>IF($AM418=0,"",IF(NOT(ISNUMBER($I418)),"No stop; ","")&amp;IF(AND(ISNUMBER($H418),ISNUMBER($I418)),IF(OR(AND($F418&lt;&gt;"Short",$I418&gt;=$H418),AND($F418="Short",$I418&lt;=$H418)),"Stop on wrong side; ",""),"")&amp;IF($F418="","No direction; ","")&amp;IF(AND(ISNUMBER(Settings!$C$22),ISNUMBER($V418)),IF($V418&gt;Settings!$C$22,"Risk over max $; ",""),"")&amp;IF(AND(ISNUMBER(Settings!$C$23),ISNUMBER($V418),ISNUMBER($AP418),IFERROR(N(INDEX(Accounts!$E$7:$E$16,MATCH($C418,Accounts!$B$7:$B$16,0))),0)&gt;0),IF($V418&gt;Settings!$C$23*($AP418-N($Q418)),"Risk over max %; ",""),"")&amp;IF(AND(ISNUMBER(Settings!$C$24),ISNUMBER($N418)),IF($N418&gt;Settings!$C$24,"Leverage over max; ",""),"")&amp;IF(AND(ISNUMBER(Settings!$C$27),ISNUMBER($T418)),IF($T418&lt;Settings!$C$27,"R:R below min; ",""),"")&amp;IF(ISNUMBER(Settings!$C$25),IF(COUNTIFS($A$6:$A418,$A418,$AM$6:$AM418,1)&gt;Settings!$C$25,"Over max trades/day; ",""),"")&amp;IF(ISNUMBER(Settings!$C$26),IF(SUMIFS($Q$5:$Q417,$A$5:$A417,$A418)&lt;=-Settings!$C$26,"Traded after daily max loss; ",""),"")&amp;IF(AND($AG418="",NOT(ISNUMBER($O418))),"Symbol not in Instruments; ","")&amp;IF(AND($AH418="",NOT(ISNUMBER($O418))),"Forex cross: type Gross P&amp;L; ",""))</f>
        <v/>
      </c>
      <c r="BH418" s="56">
        <f>IF(ISNUMBER($Q418),1,0)</f>
        <v>0</v>
      </c>
      <c r="BI418" s="56">
        <f>IF($Y418="",0,1)</f>
        <v>0</v>
      </c>
      <c r="BJ418" s="56">
        <f>IF($AB418="",0,1)</f>
        <v>0</v>
      </c>
      <c r="BK418" s="56">
        <f>IF(AND($BH418=1,$W418&lt;&gt;"OK"),1,0)</f>
        <v>0</v>
      </c>
      <c r="BL418" s="55">
        <f>IF(N($AZ418)=0,0,IFERROR(INDEX($AT$6:$AT$1005,MATCH($AZ418,$AY$6:$AY$1005,0)),0))</f>
        <v>1187.10688</v>
      </c>
      <c r="BM418" s="56">
        <f>IF(ISNUMBER(SEARCH("daily max loss",$BG418)),1,0)</f>
        <v>0</v>
      </c>
    </row>
    <row r="419" ht="18" customHeight="1">
      <c r="A419" s="38" t="n"/>
      <c r="B419" s="39" t="n"/>
      <c r="C419" s="40" t="n"/>
      <c r="D419" s="41" t="n"/>
      <c r="E419" s="41" t="n"/>
      <c r="F419" s="41" t="n"/>
      <c r="G419" s="41" t="n"/>
      <c r="H419" s="42" t="n"/>
      <c r="I419" s="42" t="n"/>
      <c r="J419" s="42" t="n"/>
      <c r="K419" s="42" t="n"/>
      <c r="L419" s="41" t="n"/>
      <c r="M419" s="41" t="n"/>
      <c r="N419" s="41" t="n"/>
      <c r="O419" s="43" t="n"/>
      <c r="P419" s="43" t="n"/>
      <c r="Q419" s="44" t="str">
        <f>IF($AM419=0,"",IF(ISNUMBER($AK419),$AK419-N($AL419),""))</f>
        <v/>
      </c>
      <c r="R419" s="45" t="str">
        <f>IF(OR($Q419="",NOT(ISNUMBER($V419))),"",$AK419/$V419)</f>
        <v/>
      </c>
      <c r="S419" s="46" t="str">
        <f>IF($Q419="","",IF(AND(ISNUMBER($R419),ABS(N($R419))&lt;N(Settings!$C$8)),"Scratch",IF($Q419&gt;0,"Win",IF($Q419&lt;0,"Loss","Scratch"))))</f>
        <v/>
      </c>
      <c r="T419" s="47" t="str">
        <f>IF(OR($AM419=0,NOT(ISNUMBER($H419)),NOT(ISNUMBER($I419)),NOT(ISNUMBER($J419))),"",IF($H419=$I419,"",ROUND(ABS($J419-$H419)/ABS($H419-$I419),6)))</f>
        <v/>
      </c>
      <c r="U419" s="48" t="str">
        <f>IF(OR($S419&lt;&gt;"Win",NOT(ISNUMBER($T419)),NOT(ISNUMBER($R419))),"",MAX(0,$T419-$R419))</f>
        <v/>
      </c>
      <c r="V419" s="49" t="str">
        <f>IF(OR($AM419=0,NOT(ISNUMBER($H419)),NOT(ISNUMBER($I419)),NOT(ISNUMBER($G419))),"",IF(OR($AG419="",$AH419=""),"",IF(ROUND(ABS($H419-$I419)*ABS($G419)*$AG419*$AH419,6)=0,"",ROUND(ABS($H419-$I419)*ABS($G419)*$AG419*$AH419,6))))</f>
        <v/>
      </c>
      <c r="W419" s="50" t="str">
        <f>IF($AM419=0,"",IF($BG419="","OK",LEFT($BG419,LEN($BG419)-2)))</f>
        <v/>
      </c>
      <c r="X419" s="41" t="n"/>
      <c r="Y419" s="40" t="n"/>
      <c r="Z419" s="41" t="n"/>
      <c r="AA419" s="41" t="n"/>
      <c r="AB419" s="40" t="n"/>
      <c r="AC419" s="51" t="n"/>
      <c r="AD419" s="51" t="n"/>
      <c r="AE419" s="40" t="n"/>
      <c r="AF419" s="52" t="str">
        <f>IF($AM419=0,"",IF($D419&lt;&gt;"",$D419,IF(IFERROR(INDEX(Accounts!$C$7:$C$16,MATCH($C419,Accounts!$B$7:$B$16,0))&amp;"","")&lt;&gt;"",INDEX(Accounts!$C$7:$C$16,MATCH($C419,Accounts!$B$7:$B$16,0)),Settings!$C$6)))</f>
        <v/>
      </c>
      <c r="AG419" s="53" t="str">
        <f>IF($AM419=0,"",IF(AND($BE419&gt;0,N(INDEX(Instruments!$D$6:$D$205,MAX(1,$BE419)))&gt;0),INDEX(Instruments!$D$6:$D$205,MAX(1,$BE419)),IF(N(INDEX(Settings!$D$14:$D$18,$BF419))&gt;0,INDEX(Settings!$D$14:$D$18,$BF419),"")))</f>
        <v/>
      </c>
      <c r="AH419" s="54" t="str">
        <f>IF($AM419=0,"",IF($AF419&lt;&gt;"Forex",1,IF(MID(UPPER(SUBSTITUTE(TRIM($E419),"/","")),4,3)=UPPER(TRIM(Settings!$C$7)),1,IF(LEFT(UPPER(SUBSTITUTE(TRIM($E419),"/","")),3)=UPPER(TRIM(Settings!$C$7)),IF(AND(ISNUMBER($K419),N($K419)&lt;&gt;0),1/$K419,""),""))))</f>
        <v/>
      </c>
      <c r="AI419" s="55" t="str">
        <f>IF($AM419=0,"",IF(OR(NOT(ISNUMBER($H419)),NOT(ISNUMBER($K419)),NOT(ISNUMBER($G419)),$AG419="",$AH419=""),"",ROUND(($K419-$H419)*IF($F419="Short",-1,1)*$G419*$AG419*$AH419,6)))</f>
        <v/>
      </c>
      <c r="AJ419" s="55" t="str">
        <f>IF($AM419=0,"",IF(INDEX(Settings!$E$14:$E$18,$BF419)="% of notional",IF(OR($AG419="",NOT(ISNUMBER($H419)),NOT(ISNUMBER($G419))),"",ROUND(ABS($H419*$G419*$AG419*N($AH419))*IF($L419="Limit",N(INDEX(Settings!$G$14:$G$18,$BF419)),N(INDEX(Settings!$H$14:$H$18,$BF419)))+IF(ISNUMBER($K419),ABS($K419*$G419*$AG419*N($AH419))*IF($M419="Target",N(INDEX(Settings!$G$14:$G$18,$BF419)),N(INDEX(Settings!$H$14:$H$18,$BF419))),0),6)),IF(NOT(ISNUMBER($G419)),"",ROUND(ABS($G419)*2*IF(AND($BE419&gt;0,ISNUMBER(INDEX(Instruments!$G$6:$G$205,MAX(1,$BE419)))),INDEX(Instruments!$G$6:$G$205,MAX(1,$BE419)),N(INDEX(Settings!$F$14:$F$18,$BF419))),6))))</f>
        <v/>
      </c>
      <c r="AK419" s="55" t="str">
        <f>IF($AM419=0,"",IF(ISNUMBER($O419),$O419,$AI419))</f>
        <v/>
      </c>
      <c r="AL419" s="55" t="str">
        <f>IF($AM419=0,"",IF(ISNUMBER($P419),$P419,N($AJ419)))</f>
        <v/>
      </c>
      <c r="AM419" s="56">
        <f>IF(AND($A419&lt;&gt;"",$E419&lt;&gt;"",OR(AND(ISNUMBER($G419),ISNUMBER($H419),ISNUMBER($K419)),ISNUMBER($O419))),1,0)</f>
        <v>0</v>
      </c>
      <c r="AN419" s="57" t="str">
        <f>IF($A419="","",$A419-WEEKDAY($A419,3))</f>
        <v/>
      </c>
      <c r="AO419" s="56" t="str">
        <f>IF($A419="","",WEEKDAY($A419,2))</f>
        <v/>
      </c>
      <c r="AP419" s="55" t="str">
        <f>IF(OR($AM419=0,$C419=""),"",IFERROR(N(INDEX(Accounts!$E$7:$E$16,MATCH($C419,Accounts!$B$7:$B$16,0))),0)+SUMIFS($Q$6:$Q419,$C$6:$C419,$C419))</f>
        <v/>
      </c>
      <c r="AQ419" s="55" t="str">
        <f>IF(OR($AM419=0,$C419=""),"",SUMIFS($Q$6:$Q$1005,$C$6:$C$1005,$C419,$A$6:$A$1005,$A419))</f>
        <v/>
      </c>
      <c r="AR419" s="55" t="str">
        <f>IF(OR($AM419=0,$C419=""),"",IFERROR(N(INDEX(Accounts!$E$7:$E$16,MATCH($C419,Accounts!$B$7:$B$16,0))),0)+SUMIFS($Q$6:$Q$1005,$C$6:$C$1005,$C419,$A$6:$A$1005,"&lt;="&amp;$A419))</f>
        <v/>
      </c>
      <c r="AS419" s="56">
        <f>IF(OR($AM419=0,$Q419=""),0,IF(AND($A419&gt;=Lists!$W$6,$A419&lt;=Lists!$W$7,OR(Dashboard!$D$6="All accounts",$C419=Dashboard!$D$6),OR(Dashboard!$D$7="All markets",$AF419=Dashboard!$D$7)),1,0))</f>
        <v>0</v>
      </c>
      <c r="AT419" s="55">
        <f>IF($AS419=1,N(AT418)+$Q419,N(AT418))</f>
        <v>1187.10688</v>
      </c>
      <c r="AU419" s="55">
        <f>MAX(N(AU418),$AT419)</f>
        <v>1187.10688</v>
      </c>
      <c r="AV419" s="55">
        <f>$AT419-$AU419</f>
        <v>0</v>
      </c>
      <c r="AW419" s="56">
        <f>IF($AS419=1,IF($S419="Win",N(AW418)+1,IF($S419="Loss",0,N(AW418))),N(AW418))</f>
        <v>5</v>
      </c>
      <c r="AX419" s="56">
        <f>IF($AS419=1,IF($S419="Loss",N(AX418)+1,IF($S419="Win",0,N(AX418))),N(AX418))</f>
        <v>0</v>
      </c>
      <c r="AY419" s="56" t="str">
        <f>IF($AS419=1,COUNTIF($AS$6:$AS419,1),"")</f>
        <v/>
      </c>
      <c r="AZ419" s="56">
        <f>MIN(413,N(Lists!$W$8))</f>
        <v>28</v>
      </c>
      <c r="BA419" s="56">
        <f>IF($AS419=1,IF(COUNTIFS($A$6:$A419,$A419,$AS$6:$AS419,1)=1,1,0),0)</f>
        <v>0</v>
      </c>
      <c r="BB419" s="55" t="str">
        <f>IF($BA419=1,SUMIFS($Q$6:$Q$1005,$A$6:$A$1005,$A419,$AS$6:$AS$1005,1),"")</f>
        <v/>
      </c>
      <c r="BC419" s="56">
        <f>IF(ISNUMBER($R419),1,0)</f>
        <v>0</v>
      </c>
      <c r="BD419" s="55" t="str">
        <f>IF(ISNUMBER($U419),$U419*$V419,"")</f>
        <v/>
      </c>
      <c r="BE419" s="56" t="str">
        <f>IF($AM419=0,"",IFERROR(MATCH($AF419&amp;"|"&amp;UPPER(TRIM($E419)),Lists!$A$6:$A$205,0),0))</f>
        <v/>
      </c>
      <c r="BF419" s="56" t="str">
        <f>IF($AM419=0,"",IFERROR(MATCH($AF419,Settings!$B$14:$B$18,0),IFERROR(MATCH(Settings!$C$6,Settings!$B$14:$B$18,0),1)))</f>
        <v/>
      </c>
      <c r="BG419" s="58" t="str">
        <f>IF($AM419=0,"",IF(NOT(ISNUMBER($I419)),"No stop; ","")&amp;IF(AND(ISNUMBER($H419),ISNUMBER($I419)),IF(OR(AND($F419&lt;&gt;"Short",$I419&gt;=$H419),AND($F419="Short",$I419&lt;=$H419)),"Stop on wrong side; ",""),"")&amp;IF($F419="","No direction; ","")&amp;IF(AND(ISNUMBER(Settings!$C$22),ISNUMBER($V419)),IF($V419&gt;Settings!$C$22,"Risk over max $; ",""),"")&amp;IF(AND(ISNUMBER(Settings!$C$23),ISNUMBER($V419),ISNUMBER($AP419),IFERROR(N(INDEX(Accounts!$E$7:$E$16,MATCH($C419,Accounts!$B$7:$B$16,0))),0)&gt;0),IF($V419&gt;Settings!$C$23*($AP419-N($Q419)),"Risk over max %; ",""),"")&amp;IF(AND(ISNUMBER(Settings!$C$24),ISNUMBER($N419)),IF($N419&gt;Settings!$C$24,"Leverage over max; ",""),"")&amp;IF(AND(ISNUMBER(Settings!$C$27),ISNUMBER($T419)),IF($T419&lt;Settings!$C$27,"R:R below min; ",""),"")&amp;IF(ISNUMBER(Settings!$C$25),IF(COUNTIFS($A$6:$A419,$A419,$AM$6:$AM419,1)&gt;Settings!$C$25,"Over max trades/day; ",""),"")&amp;IF(ISNUMBER(Settings!$C$26),IF(SUMIFS($Q$5:$Q418,$A$5:$A418,$A419)&lt;=-Settings!$C$26,"Traded after daily max loss; ",""),"")&amp;IF(AND($AG419="",NOT(ISNUMBER($O419))),"Symbol not in Instruments; ","")&amp;IF(AND($AH419="",NOT(ISNUMBER($O419))),"Forex cross: type Gross P&amp;L; ",""))</f>
        <v/>
      </c>
      <c r="BH419" s="56">
        <f>IF(ISNUMBER($Q419),1,0)</f>
        <v>0</v>
      </c>
      <c r="BI419" s="56">
        <f>IF($Y419="",0,1)</f>
        <v>0</v>
      </c>
      <c r="BJ419" s="56">
        <f>IF($AB419="",0,1)</f>
        <v>0</v>
      </c>
      <c r="BK419" s="56">
        <f>IF(AND($BH419=1,$W419&lt;&gt;"OK"),1,0)</f>
        <v>0</v>
      </c>
      <c r="BL419" s="55">
        <f>IF(N($AZ419)=0,0,IFERROR(INDEX($AT$6:$AT$1005,MATCH($AZ419,$AY$6:$AY$1005,0)),0))</f>
        <v>1187.10688</v>
      </c>
      <c r="BM419" s="56">
        <f>IF(ISNUMBER(SEARCH("daily max loss",$BG419)),1,0)</f>
        <v>0</v>
      </c>
    </row>
    <row r="420" ht="18" customHeight="1">
      <c r="A420" s="38" t="n"/>
      <c r="B420" s="39" t="n"/>
      <c r="C420" s="40" t="n"/>
      <c r="D420" s="41" t="n"/>
      <c r="E420" s="41" t="n"/>
      <c r="F420" s="41" t="n"/>
      <c r="G420" s="41" t="n"/>
      <c r="H420" s="42" t="n"/>
      <c r="I420" s="42" t="n"/>
      <c r="J420" s="42" t="n"/>
      <c r="K420" s="42" t="n"/>
      <c r="L420" s="41" t="n"/>
      <c r="M420" s="41" t="n"/>
      <c r="N420" s="41" t="n"/>
      <c r="O420" s="43" t="n"/>
      <c r="P420" s="43" t="n"/>
      <c r="Q420" s="44" t="str">
        <f>IF($AM420=0,"",IF(ISNUMBER($AK420),$AK420-N($AL420),""))</f>
        <v/>
      </c>
      <c r="R420" s="45" t="str">
        <f>IF(OR($Q420="",NOT(ISNUMBER($V420))),"",$AK420/$V420)</f>
        <v/>
      </c>
      <c r="S420" s="46" t="str">
        <f>IF($Q420="","",IF(AND(ISNUMBER($R420),ABS(N($R420))&lt;N(Settings!$C$8)),"Scratch",IF($Q420&gt;0,"Win",IF($Q420&lt;0,"Loss","Scratch"))))</f>
        <v/>
      </c>
      <c r="T420" s="47" t="str">
        <f>IF(OR($AM420=0,NOT(ISNUMBER($H420)),NOT(ISNUMBER($I420)),NOT(ISNUMBER($J420))),"",IF($H420=$I420,"",ROUND(ABS($J420-$H420)/ABS($H420-$I420),6)))</f>
        <v/>
      </c>
      <c r="U420" s="48" t="str">
        <f>IF(OR($S420&lt;&gt;"Win",NOT(ISNUMBER($T420)),NOT(ISNUMBER($R420))),"",MAX(0,$T420-$R420))</f>
        <v/>
      </c>
      <c r="V420" s="49" t="str">
        <f>IF(OR($AM420=0,NOT(ISNUMBER($H420)),NOT(ISNUMBER($I420)),NOT(ISNUMBER($G420))),"",IF(OR($AG420="",$AH420=""),"",IF(ROUND(ABS($H420-$I420)*ABS($G420)*$AG420*$AH420,6)=0,"",ROUND(ABS($H420-$I420)*ABS($G420)*$AG420*$AH420,6))))</f>
        <v/>
      </c>
      <c r="W420" s="50" t="str">
        <f>IF($AM420=0,"",IF($BG420="","OK",LEFT($BG420,LEN($BG420)-2)))</f>
        <v/>
      </c>
      <c r="X420" s="41" t="n"/>
      <c r="Y420" s="40" t="n"/>
      <c r="Z420" s="41" t="n"/>
      <c r="AA420" s="41" t="n"/>
      <c r="AB420" s="40" t="n"/>
      <c r="AC420" s="51" t="n"/>
      <c r="AD420" s="51" t="n"/>
      <c r="AE420" s="40" t="n"/>
      <c r="AF420" s="52" t="str">
        <f>IF($AM420=0,"",IF($D420&lt;&gt;"",$D420,IF(IFERROR(INDEX(Accounts!$C$7:$C$16,MATCH($C420,Accounts!$B$7:$B$16,0))&amp;"","")&lt;&gt;"",INDEX(Accounts!$C$7:$C$16,MATCH($C420,Accounts!$B$7:$B$16,0)),Settings!$C$6)))</f>
        <v/>
      </c>
      <c r="AG420" s="53" t="str">
        <f>IF($AM420=0,"",IF(AND($BE420&gt;0,N(INDEX(Instruments!$D$6:$D$205,MAX(1,$BE420)))&gt;0),INDEX(Instruments!$D$6:$D$205,MAX(1,$BE420)),IF(N(INDEX(Settings!$D$14:$D$18,$BF420))&gt;0,INDEX(Settings!$D$14:$D$18,$BF420),"")))</f>
        <v/>
      </c>
      <c r="AH420" s="54" t="str">
        <f>IF($AM420=0,"",IF($AF420&lt;&gt;"Forex",1,IF(MID(UPPER(SUBSTITUTE(TRIM($E420),"/","")),4,3)=UPPER(TRIM(Settings!$C$7)),1,IF(LEFT(UPPER(SUBSTITUTE(TRIM($E420),"/","")),3)=UPPER(TRIM(Settings!$C$7)),IF(AND(ISNUMBER($K420),N($K420)&lt;&gt;0),1/$K420,""),""))))</f>
        <v/>
      </c>
      <c r="AI420" s="55" t="str">
        <f>IF($AM420=0,"",IF(OR(NOT(ISNUMBER($H420)),NOT(ISNUMBER($K420)),NOT(ISNUMBER($G420)),$AG420="",$AH420=""),"",ROUND(($K420-$H420)*IF($F420="Short",-1,1)*$G420*$AG420*$AH420,6)))</f>
        <v/>
      </c>
      <c r="AJ420" s="55" t="str">
        <f>IF($AM420=0,"",IF(INDEX(Settings!$E$14:$E$18,$BF420)="% of notional",IF(OR($AG420="",NOT(ISNUMBER($H420)),NOT(ISNUMBER($G420))),"",ROUND(ABS($H420*$G420*$AG420*N($AH420))*IF($L420="Limit",N(INDEX(Settings!$G$14:$G$18,$BF420)),N(INDEX(Settings!$H$14:$H$18,$BF420)))+IF(ISNUMBER($K420),ABS($K420*$G420*$AG420*N($AH420))*IF($M420="Target",N(INDEX(Settings!$G$14:$G$18,$BF420)),N(INDEX(Settings!$H$14:$H$18,$BF420))),0),6)),IF(NOT(ISNUMBER($G420)),"",ROUND(ABS($G420)*2*IF(AND($BE420&gt;0,ISNUMBER(INDEX(Instruments!$G$6:$G$205,MAX(1,$BE420)))),INDEX(Instruments!$G$6:$G$205,MAX(1,$BE420)),N(INDEX(Settings!$F$14:$F$18,$BF420))),6))))</f>
        <v/>
      </c>
      <c r="AK420" s="55" t="str">
        <f>IF($AM420=0,"",IF(ISNUMBER($O420),$O420,$AI420))</f>
        <v/>
      </c>
      <c r="AL420" s="55" t="str">
        <f>IF($AM420=0,"",IF(ISNUMBER($P420),$P420,N($AJ420)))</f>
        <v/>
      </c>
      <c r="AM420" s="56">
        <f>IF(AND($A420&lt;&gt;"",$E420&lt;&gt;"",OR(AND(ISNUMBER($G420),ISNUMBER($H420),ISNUMBER($K420)),ISNUMBER($O420))),1,0)</f>
        <v>0</v>
      </c>
      <c r="AN420" s="57" t="str">
        <f>IF($A420="","",$A420-WEEKDAY($A420,3))</f>
        <v/>
      </c>
      <c r="AO420" s="56" t="str">
        <f>IF($A420="","",WEEKDAY($A420,2))</f>
        <v/>
      </c>
      <c r="AP420" s="55" t="str">
        <f>IF(OR($AM420=0,$C420=""),"",IFERROR(N(INDEX(Accounts!$E$7:$E$16,MATCH($C420,Accounts!$B$7:$B$16,0))),0)+SUMIFS($Q$6:$Q420,$C$6:$C420,$C420))</f>
        <v/>
      </c>
      <c r="AQ420" s="55" t="str">
        <f>IF(OR($AM420=0,$C420=""),"",SUMIFS($Q$6:$Q$1005,$C$6:$C$1005,$C420,$A$6:$A$1005,$A420))</f>
        <v/>
      </c>
      <c r="AR420" s="55" t="str">
        <f>IF(OR($AM420=0,$C420=""),"",IFERROR(N(INDEX(Accounts!$E$7:$E$16,MATCH($C420,Accounts!$B$7:$B$16,0))),0)+SUMIFS($Q$6:$Q$1005,$C$6:$C$1005,$C420,$A$6:$A$1005,"&lt;="&amp;$A420))</f>
        <v/>
      </c>
      <c r="AS420" s="56">
        <f>IF(OR($AM420=0,$Q420=""),0,IF(AND($A420&gt;=Lists!$W$6,$A420&lt;=Lists!$W$7,OR(Dashboard!$D$6="All accounts",$C420=Dashboard!$D$6),OR(Dashboard!$D$7="All markets",$AF420=Dashboard!$D$7)),1,0))</f>
        <v>0</v>
      </c>
      <c r="AT420" s="55">
        <f>IF($AS420=1,N(AT419)+$Q420,N(AT419))</f>
        <v>1187.10688</v>
      </c>
      <c r="AU420" s="55">
        <f>MAX(N(AU419),$AT420)</f>
        <v>1187.10688</v>
      </c>
      <c r="AV420" s="55">
        <f>$AT420-$AU420</f>
        <v>0</v>
      </c>
      <c r="AW420" s="56">
        <f>IF($AS420=1,IF($S420="Win",N(AW419)+1,IF($S420="Loss",0,N(AW419))),N(AW419))</f>
        <v>5</v>
      </c>
      <c r="AX420" s="56">
        <f>IF($AS420=1,IF($S420="Loss",N(AX419)+1,IF($S420="Win",0,N(AX419))),N(AX419))</f>
        <v>0</v>
      </c>
      <c r="AY420" s="56" t="str">
        <f>IF($AS420=1,COUNTIF($AS$6:$AS420,1),"")</f>
        <v/>
      </c>
      <c r="AZ420" s="56">
        <f>MIN(414,N(Lists!$W$8))</f>
        <v>28</v>
      </c>
      <c r="BA420" s="56">
        <f>IF($AS420=1,IF(COUNTIFS($A$6:$A420,$A420,$AS$6:$AS420,1)=1,1,0),0)</f>
        <v>0</v>
      </c>
      <c r="BB420" s="55" t="str">
        <f>IF($BA420=1,SUMIFS($Q$6:$Q$1005,$A$6:$A$1005,$A420,$AS$6:$AS$1005,1),"")</f>
        <v/>
      </c>
      <c r="BC420" s="56">
        <f>IF(ISNUMBER($R420),1,0)</f>
        <v>0</v>
      </c>
      <c r="BD420" s="55" t="str">
        <f>IF(ISNUMBER($U420),$U420*$V420,"")</f>
        <v/>
      </c>
      <c r="BE420" s="56" t="str">
        <f>IF($AM420=0,"",IFERROR(MATCH($AF420&amp;"|"&amp;UPPER(TRIM($E420)),Lists!$A$6:$A$205,0),0))</f>
        <v/>
      </c>
      <c r="BF420" s="56" t="str">
        <f>IF($AM420=0,"",IFERROR(MATCH($AF420,Settings!$B$14:$B$18,0),IFERROR(MATCH(Settings!$C$6,Settings!$B$14:$B$18,0),1)))</f>
        <v/>
      </c>
      <c r="BG420" s="58" t="str">
        <f>IF($AM420=0,"",IF(NOT(ISNUMBER($I420)),"No stop; ","")&amp;IF(AND(ISNUMBER($H420),ISNUMBER($I420)),IF(OR(AND($F420&lt;&gt;"Short",$I420&gt;=$H420),AND($F420="Short",$I420&lt;=$H420)),"Stop on wrong side; ",""),"")&amp;IF($F420="","No direction; ","")&amp;IF(AND(ISNUMBER(Settings!$C$22),ISNUMBER($V420)),IF($V420&gt;Settings!$C$22,"Risk over max $; ",""),"")&amp;IF(AND(ISNUMBER(Settings!$C$23),ISNUMBER($V420),ISNUMBER($AP420),IFERROR(N(INDEX(Accounts!$E$7:$E$16,MATCH($C420,Accounts!$B$7:$B$16,0))),0)&gt;0),IF($V420&gt;Settings!$C$23*($AP420-N($Q420)),"Risk over max %; ",""),"")&amp;IF(AND(ISNUMBER(Settings!$C$24),ISNUMBER($N420)),IF($N420&gt;Settings!$C$24,"Leverage over max; ",""),"")&amp;IF(AND(ISNUMBER(Settings!$C$27),ISNUMBER($T420)),IF($T420&lt;Settings!$C$27,"R:R below min; ",""),"")&amp;IF(ISNUMBER(Settings!$C$25),IF(COUNTIFS($A$6:$A420,$A420,$AM$6:$AM420,1)&gt;Settings!$C$25,"Over max trades/day; ",""),"")&amp;IF(ISNUMBER(Settings!$C$26),IF(SUMIFS($Q$5:$Q419,$A$5:$A419,$A420)&lt;=-Settings!$C$26,"Traded after daily max loss; ",""),"")&amp;IF(AND($AG420="",NOT(ISNUMBER($O420))),"Symbol not in Instruments; ","")&amp;IF(AND($AH420="",NOT(ISNUMBER($O420))),"Forex cross: type Gross P&amp;L; ",""))</f>
        <v/>
      </c>
      <c r="BH420" s="56">
        <f>IF(ISNUMBER($Q420),1,0)</f>
        <v>0</v>
      </c>
      <c r="BI420" s="56">
        <f>IF($Y420="",0,1)</f>
        <v>0</v>
      </c>
      <c r="BJ420" s="56">
        <f>IF($AB420="",0,1)</f>
        <v>0</v>
      </c>
      <c r="BK420" s="56">
        <f>IF(AND($BH420=1,$W420&lt;&gt;"OK"),1,0)</f>
        <v>0</v>
      </c>
      <c r="BL420" s="55">
        <f>IF(N($AZ420)=0,0,IFERROR(INDEX($AT$6:$AT$1005,MATCH($AZ420,$AY$6:$AY$1005,0)),0))</f>
        <v>1187.10688</v>
      </c>
      <c r="BM420" s="56">
        <f>IF(ISNUMBER(SEARCH("daily max loss",$BG420)),1,0)</f>
        <v>0</v>
      </c>
    </row>
    <row r="421" ht="18" customHeight="1">
      <c r="A421" s="38" t="n"/>
      <c r="B421" s="39" t="n"/>
      <c r="C421" s="40" t="n"/>
      <c r="D421" s="41" t="n"/>
      <c r="E421" s="41" t="n"/>
      <c r="F421" s="41" t="n"/>
      <c r="G421" s="41" t="n"/>
      <c r="H421" s="42" t="n"/>
      <c r="I421" s="42" t="n"/>
      <c r="J421" s="42" t="n"/>
      <c r="K421" s="42" t="n"/>
      <c r="L421" s="41" t="n"/>
      <c r="M421" s="41" t="n"/>
      <c r="N421" s="41" t="n"/>
      <c r="O421" s="43" t="n"/>
      <c r="P421" s="43" t="n"/>
      <c r="Q421" s="44" t="str">
        <f>IF($AM421=0,"",IF(ISNUMBER($AK421),$AK421-N($AL421),""))</f>
        <v/>
      </c>
      <c r="R421" s="45" t="str">
        <f>IF(OR($Q421="",NOT(ISNUMBER($V421))),"",$AK421/$V421)</f>
        <v/>
      </c>
      <c r="S421" s="46" t="str">
        <f>IF($Q421="","",IF(AND(ISNUMBER($R421),ABS(N($R421))&lt;N(Settings!$C$8)),"Scratch",IF($Q421&gt;0,"Win",IF($Q421&lt;0,"Loss","Scratch"))))</f>
        <v/>
      </c>
      <c r="T421" s="47" t="str">
        <f>IF(OR($AM421=0,NOT(ISNUMBER($H421)),NOT(ISNUMBER($I421)),NOT(ISNUMBER($J421))),"",IF($H421=$I421,"",ROUND(ABS($J421-$H421)/ABS($H421-$I421),6)))</f>
        <v/>
      </c>
      <c r="U421" s="48" t="str">
        <f>IF(OR($S421&lt;&gt;"Win",NOT(ISNUMBER($T421)),NOT(ISNUMBER($R421))),"",MAX(0,$T421-$R421))</f>
        <v/>
      </c>
      <c r="V421" s="49" t="str">
        <f>IF(OR($AM421=0,NOT(ISNUMBER($H421)),NOT(ISNUMBER($I421)),NOT(ISNUMBER($G421))),"",IF(OR($AG421="",$AH421=""),"",IF(ROUND(ABS($H421-$I421)*ABS($G421)*$AG421*$AH421,6)=0,"",ROUND(ABS($H421-$I421)*ABS($G421)*$AG421*$AH421,6))))</f>
        <v/>
      </c>
      <c r="W421" s="50" t="str">
        <f>IF($AM421=0,"",IF($BG421="","OK",LEFT($BG421,LEN($BG421)-2)))</f>
        <v/>
      </c>
      <c r="X421" s="41" t="n"/>
      <c r="Y421" s="40" t="n"/>
      <c r="Z421" s="41" t="n"/>
      <c r="AA421" s="41" t="n"/>
      <c r="AB421" s="40" t="n"/>
      <c r="AC421" s="51" t="n"/>
      <c r="AD421" s="51" t="n"/>
      <c r="AE421" s="40" t="n"/>
      <c r="AF421" s="52" t="str">
        <f>IF($AM421=0,"",IF($D421&lt;&gt;"",$D421,IF(IFERROR(INDEX(Accounts!$C$7:$C$16,MATCH($C421,Accounts!$B$7:$B$16,0))&amp;"","")&lt;&gt;"",INDEX(Accounts!$C$7:$C$16,MATCH($C421,Accounts!$B$7:$B$16,0)),Settings!$C$6)))</f>
        <v/>
      </c>
      <c r="AG421" s="53" t="str">
        <f>IF($AM421=0,"",IF(AND($BE421&gt;0,N(INDEX(Instruments!$D$6:$D$205,MAX(1,$BE421)))&gt;0),INDEX(Instruments!$D$6:$D$205,MAX(1,$BE421)),IF(N(INDEX(Settings!$D$14:$D$18,$BF421))&gt;0,INDEX(Settings!$D$14:$D$18,$BF421),"")))</f>
        <v/>
      </c>
      <c r="AH421" s="54" t="str">
        <f>IF($AM421=0,"",IF($AF421&lt;&gt;"Forex",1,IF(MID(UPPER(SUBSTITUTE(TRIM($E421),"/","")),4,3)=UPPER(TRIM(Settings!$C$7)),1,IF(LEFT(UPPER(SUBSTITUTE(TRIM($E421),"/","")),3)=UPPER(TRIM(Settings!$C$7)),IF(AND(ISNUMBER($K421),N($K421)&lt;&gt;0),1/$K421,""),""))))</f>
        <v/>
      </c>
      <c r="AI421" s="55" t="str">
        <f>IF($AM421=0,"",IF(OR(NOT(ISNUMBER($H421)),NOT(ISNUMBER($K421)),NOT(ISNUMBER($G421)),$AG421="",$AH421=""),"",ROUND(($K421-$H421)*IF($F421="Short",-1,1)*$G421*$AG421*$AH421,6)))</f>
        <v/>
      </c>
      <c r="AJ421" s="55" t="str">
        <f>IF($AM421=0,"",IF(INDEX(Settings!$E$14:$E$18,$BF421)="% of notional",IF(OR($AG421="",NOT(ISNUMBER($H421)),NOT(ISNUMBER($G421))),"",ROUND(ABS($H421*$G421*$AG421*N($AH421))*IF($L421="Limit",N(INDEX(Settings!$G$14:$G$18,$BF421)),N(INDEX(Settings!$H$14:$H$18,$BF421)))+IF(ISNUMBER($K421),ABS($K421*$G421*$AG421*N($AH421))*IF($M421="Target",N(INDEX(Settings!$G$14:$G$18,$BF421)),N(INDEX(Settings!$H$14:$H$18,$BF421))),0),6)),IF(NOT(ISNUMBER($G421)),"",ROUND(ABS($G421)*2*IF(AND($BE421&gt;0,ISNUMBER(INDEX(Instruments!$G$6:$G$205,MAX(1,$BE421)))),INDEX(Instruments!$G$6:$G$205,MAX(1,$BE421)),N(INDEX(Settings!$F$14:$F$18,$BF421))),6))))</f>
        <v/>
      </c>
      <c r="AK421" s="55" t="str">
        <f>IF($AM421=0,"",IF(ISNUMBER($O421),$O421,$AI421))</f>
        <v/>
      </c>
      <c r="AL421" s="55" t="str">
        <f>IF($AM421=0,"",IF(ISNUMBER($P421),$P421,N($AJ421)))</f>
        <v/>
      </c>
      <c r="AM421" s="56">
        <f>IF(AND($A421&lt;&gt;"",$E421&lt;&gt;"",OR(AND(ISNUMBER($G421),ISNUMBER($H421),ISNUMBER($K421)),ISNUMBER($O421))),1,0)</f>
        <v>0</v>
      </c>
      <c r="AN421" s="57" t="str">
        <f>IF($A421="","",$A421-WEEKDAY($A421,3))</f>
        <v/>
      </c>
      <c r="AO421" s="56" t="str">
        <f>IF($A421="","",WEEKDAY($A421,2))</f>
        <v/>
      </c>
      <c r="AP421" s="55" t="str">
        <f>IF(OR($AM421=0,$C421=""),"",IFERROR(N(INDEX(Accounts!$E$7:$E$16,MATCH($C421,Accounts!$B$7:$B$16,0))),0)+SUMIFS($Q$6:$Q421,$C$6:$C421,$C421))</f>
        <v/>
      </c>
      <c r="AQ421" s="55" t="str">
        <f>IF(OR($AM421=0,$C421=""),"",SUMIFS($Q$6:$Q$1005,$C$6:$C$1005,$C421,$A$6:$A$1005,$A421))</f>
        <v/>
      </c>
      <c r="AR421" s="55" t="str">
        <f>IF(OR($AM421=0,$C421=""),"",IFERROR(N(INDEX(Accounts!$E$7:$E$16,MATCH($C421,Accounts!$B$7:$B$16,0))),0)+SUMIFS($Q$6:$Q$1005,$C$6:$C$1005,$C421,$A$6:$A$1005,"&lt;="&amp;$A421))</f>
        <v/>
      </c>
      <c r="AS421" s="56">
        <f>IF(OR($AM421=0,$Q421=""),0,IF(AND($A421&gt;=Lists!$W$6,$A421&lt;=Lists!$W$7,OR(Dashboard!$D$6="All accounts",$C421=Dashboard!$D$6),OR(Dashboard!$D$7="All markets",$AF421=Dashboard!$D$7)),1,0))</f>
        <v>0</v>
      </c>
      <c r="AT421" s="55">
        <f>IF($AS421=1,N(AT420)+$Q421,N(AT420))</f>
        <v>1187.10688</v>
      </c>
      <c r="AU421" s="55">
        <f>MAX(N(AU420),$AT421)</f>
        <v>1187.10688</v>
      </c>
      <c r="AV421" s="55">
        <f>$AT421-$AU421</f>
        <v>0</v>
      </c>
      <c r="AW421" s="56">
        <f>IF($AS421=1,IF($S421="Win",N(AW420)+1,IF($S421="Loss",0,N(AW420))),N(AW420))</f>
        <v>5</v>
      </c>
      <c r="AX421" s="56">
        <f>IF($AS421=1,IF($S421="Loss",N(AX420)+1,IF($S421="Win",0,N(AX420))),N(AX420))</f>
        <v>0</v>
      </c>
      <c r="AY421" s="56" t="str">
        <f>IF($AS421=1,COUNTIF($AS$6:$AS421,1),"")</f>
        <v/>
      </c>
      <c r="AZ421" s="56">
        <f>MIN(415,N(Lists!$W$8))</f>
        <v>28</v>
      </c>
      <c r="BA421" s="56">
        <f>IF($AS421=1,IF(COUNTIFS($A$6:$A421,$A421,$AS$6:$AS421,1)=1,1,0),0)</f>
        <v>0</v>
      </c>
      <c r="BB421" s="55" t="str">
        <f>IF($BA421=1,SUMIFS($Q$6:$Q$1005,$A$6:$A$1005,$A421,$AS$6:$AS$1005,1),"")</f>
        <v/>
      </c>
      <c r="BC421" s="56">
        <f>IF(ISNUMBER($R421),1,0)</f>
        <v>0</v>
      </c>
      <c r="BD421" s="55" t="str">
        <f>IF(ISNUMBER($U421),$U421*$V421,"")</f>
        <v/>
      </c>
      <c r="BE421" s="56" t="str">
        <f>IF($AM421=0,"",IFERROR(MATCH($AF421&amp;"|"&amp;UPPER(TRIM($E421)),Lists!$A$6:$A$205,0),0))</f>
        <v/>
      </c>
      <c r="BF421" s="56" t="str">
        <f>IF($AM421=0,"",IFERROR(MATCH($AF421,Settings!$B$14:$B$18,0),IFERROR(MATCH(Settings!$C$6,Settings!$B$14:$B$18,0),1)))</f>
        <v/>
      </c>
      <c r="BG421" s="58" t="str">
        <f>IF($AM421=0,"",IF(NOT(ISNUMBER($I421)),"No stop; ","")&amp;IF(AND(ISNUMBER($H421),ISNUMBER($I421)),IF(OR(AND($F421&lt;&gt;"Short",$I421&gt;=$H421),AND($F421="Short",$I421&lt;=$H421)),"Stop on wrong side; ",""),"")&amp;IF($F421="","No direction; ","")&amp;IF(AND(ISNUMBER(Settings!$C$22),ISNUMBER($V421)),IF($V421&gt;Settings!$C$22,"Risk over max $; ",""),"")&amp;IF(AND(ISNUMBER(Settings!$C$23),ISNUMBER($V421),ISNUMBER($AP421),IFERROR(N(INDEX(Accounts!$E$7:$E$16,MATCH($C421,Accounts!$B$7:$B$16,0))),0)&gt;0),IF($V421&gt;Settings!$C$23*($AP421-N($Q421)),"Risk over max %; ",""),"")&amp;IF(AND(ISNUMBER(Settings!$C$24),ISNUMBER($N421)),IF($N421&gt;Settings!$C$24,"Leverage over max; ",""),"")&amp;IF(AND(ISNUMBER(Settings!$C$27),ISNUMBER($T421)),IF($T421&lt;Settings!$C$27,"R:R below min; ",""),"")&amp;IF(ISNUMBER(Settings!$C$25),IF(COUNTIFS($A$6:$A421,$A421,$AM$6:$AM421,1)&gt;Settings!$C$25,"Over max trades/day; ",""),"")&amp;IF(ISNUMBER(Settings!$C$26),IF(SUMIFS($Q$5:$Q420,$A$5:$A420,$A421)&lt;=-Settings!$C$26,"Traded after daily max loss; ",""),"")&amp;IF(AND($AG421="",NOT(ISNUMBER($O421))),"Symbol not in Instruments; ","")&amp;IF(AND($AH421="",NOT(ISNUMBER($O421))),"Forex cross: type Gross P&amp;L; ",""))</f>
        <v/>
      </c>
      <c r="BH421" s="56">
        <f>IF(ISNUMBER($Q421),1,0)</f>
        <v>0</v>
      </c>
      <c r="BI421" s="56">
        <f>IF($Y421="",0,1)</f>
        <v>0</v>
      </c>
      <c r="BJ421" s="56">
        <f>IF($AB421="",0,1)</f>
        <v>0</v>
      </c>
      <c r="BK421" s="56">
        <f>IF(AND($BH421=1,$W421&lt;&gt;"OK"),1,0)</f>
        <v>0</v>
      </c>
      <c r="BL421" s="55">
        <f>IF(N($AZ421)=0,0,IFERROR(INDEX($AT$6:$AT$1005,MATCH($AZ421,$AY$6:$AY$1005,0)),0))</f>
        <v>1187.10688</v>
      </c>
      <c r="BM421" s="56">
        <f>IF(ISNUMBER(SEARCH("daily max loss",$BG421)),1,0)</f>
        <v>0</v>
      </c>
    </row>
    <row r="422" ht="18" customHeight="1">
      <c r="A422" s="38" t="n"/>
      <c r="B422" s="39" t="n"/>
      <c r="C422" s="40" t="n"/>
      <c r="D422" s="41" t="n"/>
      <c r="E422" s="41" t="n"/>
      <c r="F422" s="41" t="n"/>
      <c r="G422" s="41" t="n"/>
      <c r="H422" s="42" t="n"/>
      <c r="I422" s="42" t="n"/>
      <c r="J422" s="42" t="n"/>
      <c r="K422" s="42" t="n"/>
      <c r="L422" s="41" t="n"/>
      <c r="M422" s="41" t="n"/>
      <c r="N422" s="41" t="n"/>
      <c r="O422" s="43" t="n"/>
      <c r="P422" s="43" t="n"/>
      <c r="Q422" s="44" t="str">
        <f>IF($AM422=0,"",IF(ISNUMBER($AK422),$AK422-N($AL422),""))</f>
        <v/>
      </c>
      <c r="R422" s="45" t="str">
        <f>IF(OR($Q422="",NOT(ISNUMBER($V422))),"",$AK422/$V422)</f>
        <v/>
      </c>
      <c r="S422" s="46" t="str">
        <f>IF($Q422="","",IF(AND(ISNUMBER($R422),ABS(N($R422))&lt;N(Settings!$C$8)),"Scratch",IF($Q422&gt;0,"Win",IF($Q422&lt;0,"Loss","Scratch"))))</f>
        <v/>
      </c>
      <c r="T422" s="47" t="str">
        <f>IF(OR($AM422=0,NOT(ISNUMBER($H422)),NOT(ISNUMBER($I422)),NOT(ISNUMBER($J422))),"",IF($H422=$I422,"",ROUND(ABS($J422-$H422)/ABS($H422-$I422),6)))</f>
        <v/>
      </c>
      <c r="U422" s="48" t="str">
        <f>IF(OR($S422&lt;&gt;"Win",NOT(ISNUMBER($T422)),NOT(ISNUMBER($R422))),"",MAX(0,$T422-$R422))</f>
        <v/>
      </c>
      <c r="V422" s="49" t="str">
        <f>IF(OR($AM422=0,NOT(ISNUMBER($H422)),NOT(ISNUMBER($I422)),NOT(ISNUMBER($G422))),"",IF(OR($AG422="",$AH422=""),"",IF(ROUND(ABS($H422-$I422)*ABS($G422)*$AG422*$AH422,6)=0,"",ROUND(ABS($H422-$I422)*ABS($G422)*$AG422*$AH422,6))))</f>
        <v/>
      </c>
      <c r="W422" s="50" t="str">
        <f>IF($AM422=0,"",IF($BG422="","OK",LEFT($BG422,LEN($BG422)-2)))</f>
        <v/>
      </c>
      <c r="X422" s="41" t="n"/>
      <c r="Y422" s="40" t="n"/>
      <c r="Z422" s="41" t="n"/>
      <c r="AA422" s="41" t="n"/>
      <c r="AB422" s="40" t="n"/>
      <c r="AC422" s="51" t="n"/>
      <c r="AD422" s="51" t="n"/>
      <c r="AE422" s="40" t="n"/>
      <c r="AF422" s="52" t="str">
        <f>IF($AM422=0,"",IF($D422&lt;&gt;"",$D422,IF(IFERROR(INDEX(Accounts!$C$7:$C$16,MATCH($C422,Accounts!$B$7:$B$16,0))&amp;"","")&lt;&gt;"",INDEX(Accounts!$C$7:$C$16,MATCH($C422,Accounts!$B$7:$B$16,0)),Settings!$C$6)))</f>
        <v/>
      </c>
      <c r="AG422" s="53" t="str">
        <f>IF($AM422=0,"",IF(AND($BE422&gt;0,N(INDEX(Instruments!$D$6:$D$205,MAX(1,$BE422)))&gt;0),INDEX(Instruments!$D$6:$D$205,MAX(1,$BE422)),IF(N(INDEX(Settings!$D$14:$D$18,$BF422))&gt;0,INDEX(Settings!$D$14:$D$18,$BF422),"")))</f>
        <v/>
      </c>
      <c r="AH422" s="54" t="str">
        <f>IF($AM422=0,"",IF($AF422&lt;&gt;"Forex",1,IF(MID(UPPER(SUBSTITUTE(TRIM($E422),"/","")),4,3)=UPPER(TRIM(Settings!$C$7)),1,IF(LEFT(UPPER(SUBSTITUTE(TRIM($E422),"/","")),3)=UPPER(TRIM(Settings!$C$7)),IF(AND(ISNUMBER($K422),N($K422)&lt;&gt;0),1/$K422,""),""))))</f>
        <v/>
      </c>
      <c r="AI422" s="55" t="str">
        <f>IF($AM422=0,"",IF(OR(NOT(ISNUMBER($H422)),NOT(ISNUMBER($K422)),NOT(ISNUMBER($G422)),$AG422="",$AH422=""),"",ROUND(($K422-$H422)*IF($F422="Short",-1,1)*$G422*$AG422*$AH422,6)))</f>
        <v/>
      </c>
      <c r="AJ422" s="55" t="str">
        <f>IF($AM422=0,"",IF(INDEX(Settings!$E$14:$E$18,$BF422)="% of notional",IF(OR($AG422="",NOT(ISNUMBER($H422)),NOT(ISNUMBER($G422))),"",ROUND(ABS($H422*$G422*$AG422*N($AH422))*IF($L422="Limit",N(INDEX(Settings!$G$14:$G$18,$BF422)),N(INDEX(Settings!$H$14:$H$18,$BF422)))+IF(ISNUMBER($K422),ABS($K422*$G422*$AG422*N($AH422))*IF($M422="Target",N(INDEX(Settings!$G$14:$G$18,$BF422)),N(INDEX(Settings!$H$14:$H$18,$BF422))),0),6)),IF(NOT(ISNUMBER($G422)),"",ROUND(ABS($G422)*2*IF(AND($BE422&gt;0,ISNUMBER(INDEX(Instruments!$G$6:$G$205,MAX(1,$BE422)))),INDEX(Instruments!$G$6:$G$205,MAX(1,$BE422)),N(INDEX(Settings!$F$14:$F$18,$BF422))),6))))</f>
        <v/>
      </c>
      <c r="AK422" s="55" t="str">
        <f>IF($AM422=0,"",IF(ISNUMBER($O422),$O422,$AI422))</f>
        <v/>
      </c>
      <c r="AL422" s="55" t="str">
        <f>IF($AM422=0,"",IF(ISNUMBER($P422),$P422,N($AJ422)))</f>
        <v/>
      </c>
      <c r="AM422" s="56">
        <f>IF(AND($A422&lt;&gt;"",$E422&lt;&gt;"",OR(AND(ISNUMBER($G422),ISNUMBER($H422),ISNUMBER($K422)),ISNUMBER($O422))),1,0)</f>
        <v>0</v>
      </c>
      <c r="AN422" s="57" t="str">
        <f>IF($A422="","",$A422-WEEKDAY($A422,3))</f>
        <v/>
      </c>
      <c r="AO422" s="56" t="str">
        <f>IF($A422="","",WEEKDAY($A422,2))</f>
        <v/>
      </c>
      <c r="AP422" s="55" t="str">
        <f>IF(OR($AM422=0,$C422=""),"",IFERROR(N(INDEX(Accounts!$E$7:$E$16,MATCH($C422,Accounts!$B$7:$B$16,0))),0)+SUMIFS($Q$6:$Q422,$C$6:$C422,$C422))</f>
        <v/>
      </c>
      <c r="AQ422" s="55" t="str">
        <f>IF(OR($AM422=0,$C422=""),"",SUMIFS($Q$6:$Q$1005,$C$6:$C$1005,$C422,$A$6:$A$1005,$A422))</f>
        <v/>
      </c>
      <c r="AR422" s="55" t="str">
        <f>IF(OR($AM422=0,$C422=""),"",IFERROR(N(INDEX(Accounts!$E$7:$E$16,MATCH($C422,Accounts!$B$7:$B$16,0))),0)+SUMIFS($Q$6:$Q$1005,$C$6:$C$1005,$C422,$A$6:$A$1005,"&lt;="&amp;$A422))</f>
        <v/>
      </c>
      <c r="AS422" s="56">
        <f>IF(OR($AM422=0,$Q422=""),0,IF(AND($A422&gt;=Lists!$W$6,$A422&lt;=Lists!$W$7,OR(Dashboard!$D$6="All accounts",$C422=Dashboard!$D$6),OR(Dashboard!$D$7="All markets",$AF422=Dashboard!$D$7)),1,0))</f>
        <v>0</v>
      </c>
      <c r="AT422" s="55">
        <f>IF($AS422=1,N(AT421)+$Q422,N(AT421))</f>
        <v>1187.10688</v>
      </c>
      <c r="AU422" s="55">
        <f>MAX(N(AU421),$AT422)</f>
        <v>1187.10688</v>
      </c>
      <c r="AV422" s="55">
        <f>$AT422-$AU422</f>
        <v>0</v>
      </c>
      <c r="AW422" s="56">
        <f>IF($AS422=1,IF($S422="Win",N(AW421)+1,IF($S422="Loss",0,N(AW421))),N(AW421))</f>
        <v>5</v>
      </c>
      <c r="AX422" s="56">
        <f>IF($AS422=1,IF($S422="Loss",N(AX421)+1,IF($S422="Win",0,N(AX421))),N(AX421))</f>
        <v>0</v>
      </c>
      <c r="AY422" s="56" t="str">
        <f>IF($AS422=1,COUNTIF($AS$6:$AS422,1),"")</f>
        <v/>
      </c>
      <c r="AZ422" s="56">
        <f>MIN(416,N(Lists!$W$8))</f>
        <v>28</v>
      </c>
      <c r="BA422" s="56">
        <f>IF($AS422=1,IF(COUNTIFS($A$6:$A422,$A422,$AS$6:$AS422,1)=1,1,0),0)</f>
        <v>0</v>
      </c>
      <c r="BB422" s="55" t="str">
        <f>IF($BA422=1,SUMIFS($Q$6:$Q$1005,$A$6:$A$1005,$A422,$AS$6:$AS$1005,1),"")</f>
        <v/>
      </c>
      <c r="BC422" s="56">
        <f>IF(ISNUMBER($R422),1,0)</f>
        <v>0</v>
      </c>
      <c r="BD422" s="55" t="str">
        <f>IF(ISNUMBER($U422),$U422*$V422,"")</f>
        <v/>
      </c>
      <c r="BE422" s="56" t="str">
        <f>IF($AM422=0,"",IFERROR(MATCH($AF422&amp;"|"&amp;UPPER(TRIM($E422)),Lists!$A$6:$A$205,0),0))</f>
        <v/>
      </c>
      <c r="BF422" s="56" t="str">
        <f>IF($AM422=0,"",IFERROR(MATCH($AF422,Settings!$B$14:$B$18,0),IFERROR(MATCH(Settings!$C$6,Settings!$B$14:$B$18,0),1)))</f>
        <v/>
      </c>
      <c r="BG422" s="58" t="str">
        <f>IF($AM422=0,"",IF(NOT(ISNUMBER($I422)),"No stop; ","")&amp;IF(AND(ISNUMBER($H422),ISNUMBER($I422)),IF(OR(AND($F422&lt;&gt;"Short",$I422&gt;=$H422),AND($F422="Short",$I422&lt;=$H422)),"Stop on wrong side; ",""),"")&amp;IF($F422="","No direction; ","")&amp;IF(AND(ISNUMBER(Settings!$C$22),ISNUMBER($V422)),IF($V422&gt;Settings!$C$22,"Risk over max $; ",""),"")&amp;IF(AND(ISNUMBER(Settings!$C$23),ISNUMBER($V422),ISNUMBER($AP422),IFERROR(N(INDEX(Accounts!$E$7:$E$16,MATCH($C422,Accounts!$B$7:$B$16,0))),0)&gt;0),IF($V422&gt;Settings!$C$23*($AP422-N($Q422)),"Risk over max %; ",""),"")&amp;IF(AND(ISNUMBER(Settings!$C$24),ISNUMBER($N422)),IF($N422&gt;Settings!$C$24,"Leverage over max; ",""),"")&amp;IF(AND(ISNUMBER(Settings!$C$27),ISNUMBER($T422)),IF($T422&lt;Settings!$C$27,"R:R below min; ",""),"")&amp;IF(ISNUMBER(Settings!$C$25),IF(COUNTIFS($A$6:$A422,$A422,$AM$6:$AM422,1)&gt;Settings!$C$25,"Over max trades/day; ",""),"")&amp;IF(ISNUMBER(Settings!$C$26),IF(SUMIFS($Q$5:$Q421,$A$5:$A421,$A422)&lt;=-Settings!$C$26,"Traded after daily max loss; ",""),"")&amp;IF(AND($AG422="",NOT(ISNUMBER($O422))),"Symbol not in Instruments; ","")&amp;IF(AND($AH422="",NOT(ISNUMBER($O422))),"Forex cross: type Gross P&amp;L; ",""))</f>
        <v/>
      </c>
      <c r="BH422" s="56">
        <f>IF(ISNUMBER($Q422),1,0)</f>
        <v>0</v>
      </c>
      <c r="BI422" s="56">
        <f>IF($Y422="",0,1)</f>
        <v>0</v>
      </c>
      <c r="BJ422" s="56">
        <f>IF($AB422="",0,1)</f>
        <v>0</v>
      </c>
      <c r="BK422" s="56">
        <f>IF(AND($BH422=1,$W422&lt;&gt;"OK"),1,0)</f>
        <v>0</v>
      </c>
      <c r="BL422" s="55">
        <f>IF(N($AZ422)=0,0,IFERROR(INDEX($AT$6:$AT$1005,MATCH($AZ422,$AY$6:$AY$1005,0)),0))</f>
        <v>1187.10688</v>
      </c>
      <c r="BM422" s="56">
        <f>IF(ISNUMBER(SEARCH("daily max loss",$BG422)),1,0)</f>
        <v>0</v>
      </c>
    </row>
    <row r="423" ht="18" customHeight="1">
      <c r="A423" s="38" t="n"/>
      <c r="B423" s="39" t="n"/>
      <c r="C423" s="40" t="n"/>
      <c r="D423" s="41" t="n"/>
      <c r="E423" s="41" t="n"/>
      <c r="F423" s="41" t="n"/>
      <c r="G423" s="41" t="n"/>
      <c r="H423" s="42" t="n"/>
      <c r="I423" s="42" t="n"/>
      <c r="J423" s="42" t="n"/>
      <c r="K423" s="42" t="n"/>
      <c r="L423" s="41" t="n"/>
      <c r="M423" s="41" t="n"/>
      <c r="N423" s="41" t="n"/>
      <c r="O423" s="43" t="n"/>
      <c r="P423" s="43" t="n"/>
      <c r="Q423" s="44" t="str">
        <f>IF($AM423=0,"",IF(ISNUMBER($AK423),$AK423-N($AL423),""))</f>
        <v/>
      </c>
      <c r="R423" s="45" t="str">
        <f>IF(OR($Q423="",NOT(ISNUMBER($V423))),"",$AK423/$V423)</f>
        <v/>
      </c>
      <c r="S423" s="46" t="str">
        <f>IF($Q423="","",IF(AND(ISNUMBER($R423),ABS(N($R423))&lt;N(Settings!$C$8)),"Scratch",IF($Q423&gt;0,"Win",IF($Q423&lt;0,"Loss","Scratch"))))</f>
        <v/>
      </c>
      <c r="T423" s="47" t="str">
        <f>IF(OR($AM423=0,NOT(ISNUMBER($H423)),NOT(ISNUMBER($I423)),NOT(ISNUMBER($J423))),"",IF($H423=$I423,"",ROUND(ABS($J423-$H423)/ABS($H423-$I423),6)))</f>
        <v/>
      </c>
      <c r="U423" s="48" t="str">
        <f>IF(OR($S423&lt;&gt;"Win",NOT(ISNUMBER($T423)),NOT(ISNUMBER($R423))),"",MAX(0,$T423-$R423))</f>
        <v/>
      </c>
      <c r="V423" s="49" t="str">
        <f>IF(OR($AM423=0,NOT(ISNUMBER($H423)),NOT(ISNUMBER($I423)),NOT(ISNUMBER($G423))),"",IF(OR($AG423="",$AH423=""),"",IF(ROUND(ABS($H423-$I423)*ABS($G423)*$AG423*$AH423,6)=0,"",ROUND(ABS($H423-$I423)*ABS($G423)*$AG423*$AH423,6))))</f>
        <v/>
      </c>
      <c r="W423" s="50" t="str">
        <f>IF($AM423=0,"",IF($BG423="","OK",LEFT($BG423,LEN($BG423)-2)))</f>
        <v/>
      </c>
      <c r="X423" s="41" t="n"/>
      <c r="Y423" s="40" t="n"/>
      <c r="Z423" s="41" t="n"/>
      <c r="AA423" s="41" t="n"/>
      <c r="AB423" s="40" t="n"/>
      <c r="AC423" s="51" t="n"/>
      <c r="AD423" s="51" t="n"/>
      <c r="AE423" s="40" t="n"/>
      <c r="AF423" s="52" t="str">
        <f>IF($AM423=0,"",IF($D423&lt;&gt;"",$D423,IF(IFERROR(INDEX(Accounts!$C$7:$C$16,MATCH($C423,Accounts!$B$7:$B$16,0))&amp;"","")&lt;&gt;"",INDEX(Accounts!$C$7:$C$16,MATCH($C423,Accounts!$B$7:$B$16,0)),Settings!$C$6)))</f>
        <v/>
      </c>
      <c r="AG423" s="53" t="str">
        <f>IF($AM423=0,"",IF(AND($BE423&gt;0,N(INDEX(Instruments!$D$6:$D$205,MAX(1,$BE423)))&gt;0),INDEX(Instruments!$D$6:$D$205,MAX(1,$BE423)),IF(N(INDEX(Settings!$D$14:$D$18,$BF423))&gt;0,INDEX(Settings!$D$14:$D$18,$BF423),"")))</f>
        <v/>
      </c>
      <c r="AH423" s="54" t="str">
        <f>IF($AM423=0,"",IF($AF423&lt;&gt;"Forex",1,IF(MID(UPPER(SUBSTITUTE(TRIM($E423),"/","")),4,3)=UPPER(TRIM(Settings!$C$7)),1,IF(LEFT(UPPER(SUBSTITUTE(TRIM($E423),"/","")),3)=UPPER(TRIM(Settings!$C$7)),IF(AND(ISNUMBER($K423),N($K423)&lt;&gt;0),1/$K423,""),""))))</f>
        <v/>
      </c>
      <c r="AI423" s="55" t="str">
        <f>IF($AM423=0,"",IF(OR(NOT(ISNUMBER($H423)),NOT(ISNUMBER($K423)),NOT(ISNUMBER($G423)),$AG423="",$AH423=""),"",ROUND(($K423-$H423)*IF($F423="Short",-1,1)*$G423*$AG423*$AH423,6)))</f>
        <v/>
      </c>
      <c r="AJ423" s="55" t="str">
        <f>IF($AM423=0,"",IF(INDEX(Settings!$E$14:$E$18,$BF423)="% of notional",IF(OR($AG423="",NOT(ISNUMBER($H423)),NOT(ISNUMBER($G423))),"",ROUND(ABS($H423*$G423*$AG423*N($AH423))*IF($L423="Limit",N(INDEX(Settings!$G$14:$G$18,$BF423)),N(INDEX(Settings!$H$14:$H$18,$BF423)))+IF(ISNUMBER($K423),ABS($K423*$G423*$AG423*N($AH423))*IF($M423="Target",N(INDEX(Settings!$G$14:$G$18,$BF423)),N(INDEX(Settings!$H$14:$H$18,$BF423))),0),6)),IF(NOT(ISNUMBER($G423)),"",ROUND(ABS($G423)*2*IF(AND($BE423&gt;0,ISNUMBER(INDEX(Instruments!$G$6:$G$205,MAX(1,$BE423)))),INDEX(Instruments!$G$6:$G$205,MAX(1,$BE423)),N(INDEX(Settings!$F$14:$F$18,$BF423))),6))))</f>
        <v/>
      </c>
      <c r="AK423" s="55" t="str">
        <f>IF($AM423=0,"",IF(ISNUMBER($O423),$O423,$AI423))</f>
        <v/>
      </c>
      <c r="AL423" s="55" t="str">
        <f>IF($AM423=0,"",IF(ISNUMBER($P423),$P423,N($AJ423)))</f>
        <v/>
      </c>
      <c r="AM423" s="56">
        <f>IF(AND($A423&lt;&gt;"",$E423&lt;&gt;"",OR(AND(ISNUMBER($G423),ISNUMBER($H423),ISNUMBER($K423)),ISNUMBER($O423))),1,0)</f>
        <v>0</v>
      </c>
      <c r="AN423" s="57" t="str">
        <f>IF($A423="","",$A423-WEEKDAY($A423,3))</f>
        <v/>
      </c>
      <c r="AO423" s="56" t="str">
        <f>IF($A423="","",WEEKDAY($A423,2))</f>
        <v/>
      </c>
      <c r="AP423" s="55" t="str">
        <f>IF(OR($AM423=0,$C423=""),"",IFERROR(N(INDEX(Accounts!$E$7:$E$16,MATCH($C423,Accounts!$B$7:$B$16,0))),0)+SUMIFS($Q$6:$Q423,$C$6:$C423,$C423))</f>
        <v/>
      </c>
      <c r="AQ423" s="55" t="str">
        <f>IF(OR($AM423=0,$C423=""),"",SUMIFS($Q$6:$Q$1005,$C$6:$C$1005,$C423,$A$6:$A$1005,$A423))</f>
        <v/>
      </c>
      <c r="AR423" s="55" t="str">
        <f>IF(OR($AM423=0,$C423=""),"",IFERROR(N(INDEX(Accounts!$E$7:$E$16,MATCH($C423,Accounts!$B$7:$B$16,0))),0)+SUMIFS($Q$6:$Q$1005,$C$6:$C$1005,$C423,$A$6:$A$1005,"&lt;="&amp;$A423))</f>
        <v/>
      </c>
      <c r="AS423" s="56">
        <f>IF(OR($AM423=0,$Q423=""),0,IF(AND($A423&gt;=Lists!$W$6,$A423&lt;=Lists!$W$7,OR(Dashboard!$D$6="All accounts",$C423=Dashboard!$D$6),OR(Dashboard!$D$7="All markets",$AF423=Dashboard!$D$7)),1,0))</f>
        <v>0</v>
      </c>
      <c r="AT423" s="55">
        <f>IF($AS423=1,N(AT422)+$Q423,N(AT422))</f>
        <v>1187.10688</v>
      </c>
      <c r="AU423" s="55">
        <f>MAX(N(AU422),$AT423)</f>
        <v>1187.10688</v>
      </c>
      <c r="AV423" s="55">
        <f>$AT423-$AU423</f>
        <v>0</v>
      </c>
      <c r="AW423" s="56">
        <f>IF($AS423=1,IF($S423="Win",N(AW422)+1,IF($S423="Loss",0,N(AW422))),N(AW422))</f>
        <v>5</v>
      </c>
      <c r="AX423" s="56">
        <f>IF($AS423=1,IF($S423="Loss",N(AX422)+1,IF($S423="Win",0,N(AX422))),N(AX422))</f>
        <v>0</v>
      </c>
      <c r="AY423" s="56" t="str">
        <f>IF($AS423=1,COUNTIF($AS$6:$AS423,1),"")</f>
        <v/>
      </c>
      <c r="AZ423" s="56">
        <f>MIN(417,N(Lists!$W$8))</f>
        <v>28</v>
      </c>
      <c r="BA423" s="56">
        <f>IF($AS423=1,IF(COUNTIFS($A$6:$A423,$A423,$AS$6:$AS423,1)=1,1,0),0)</f>
        <v>0</v>
      </c>
      <c r="BB423" s="55" t="str">
        <f>IF($BA423=1,SUMIFS($Q$6:$Q$1005,$A$6:$A$1005,$A423,$AS$6:$AS$1005,1),"")</f>
        <v/>
      </c>
      <c r="BC423" s="56">
        <f>IF(ISNUMBER($R423),1,0)</f>
        <v>0</v>
      </c>
      <c r="BD423" s="55" t="str">
        <f>IF(ISNUMBER($U423),$U423*$V423,"")</f>
        <v/>
      </c>
      <c r="BE423" s="56" t="str">
        <f>IF($AM423=0,"",IFERROR(MATCH($AF423&amp;"|"&amp;UPPER(TRIM($E423)),Lists!$A$6:$A$205,0),0))</f>
        <v/>
      </c>
      <c r="BF423" s="56" t="str">
        <f>IF($AM423=0,"",IFERROR(MATCH($AF423,Settings!$B$14:$B$18,0),IFERROR(MATCH(Settings!$C$6,Settings!$B$14:$B$18,0),1)))</f>
        <v/>
      </c>
      <c r="BG423" s="58" t="str">
        <f>IF($AM423=0,"",IF(NOT(ISNUMBER($I423)),"No stop; ","")&amp;IF(AND(ISNUMBER($H423),ISNUMBER($I423)),IF(OR(AND($F423&lt;&gt;"Short",$I423&gt;=$H423),AND($F423="Short",$I423&lt;=$H423)),"Stop on wrong side; ",""),"")&amp;IF($F423="","No direction; ","")&amp;IF(AND(ISNUMBER(Settings!$C$22),ISNUMBER($V423)),IF($V423&gt;Settings!$C$22,"Risk over max $; ",""),"")&amp;IF(AND(ISNUMBER(Settings!$C$23),ISNUMBER($V423),ISNUMBER($AP423),IFERROR(N(INDEX(Accounts!$E$7:$E$16,MATCH($C423,Accounts!$B$7:$B$16,0))),0)&gt;0),IF($V423&gt;Settings!$C$23*($AP423-N($Q423)),"Risk over max %; ",""),"")&amp;IF(AND(ISNUMBER(Settings!$C$24),ISNUMBER($N423)),IF($N423&gt;Settings!$C$24,"Leverage over max; ",""),"")&amp;IF(AND(ISNUMBER(Settings!$C$27),ISNUMBER($T423)),IF($T423&lt;Settings!$C$27,"R:R below min; ",""),"")&amp;IF(ISNUMBER(Settings!$C$25),IF(COUNTIFS($A$6:$A423,$A423,$AM$6:$AM423,1)&gt;Settings!$C$25,"Over max trades/day; ",""),"")&amp;IF(ISNUMBER(Settings!$C$26),IF(SUMIFS($Q$5:$Q422,$A$5:$A422,$A423)&lt;=-Settings!$C$26,"Traded after daily max loss; ",""),"")&amp;IF(AND($AG423="",NOT(ISNUMBER($O423))),"Symbol not in Instruments; ","")&amp;IF(AND($AH423="",NOT(ISNUMBER($O423))),"Forex cross: type Gross P&amp;L; ",""))</f>
        <v/>
      </c>
      <c r="BH423" s="56">
        <f>IF(ISNUMBER($Q423),1,0)</f>
        <v>0</v>
      </c>
      <c r="BI423" s="56">
        <f>IF($Y423="",0,1)</f>
        <v>0</v>
      </c>
      <c r="BJ423" s="56">
        <f>IF($AB423="",0,1)</f>
        <v>0</v>
      </c>
      <c r="BK423" s="56">
        <f>IF(AND($BH423=1,$W423&lt;&gt;"OK"),1,0)</f>
        <v>0</v>
      </c>
      <c r="BL423" s="55">
        <f>IF(N($AZ423)=0,0,IFERROR(INDEX($AT$6:$AT$1005,MATCH($AZ423,$AY$6:$AY$1005,0)),0))</f>
        <v>1187.10688</v>
      </c>
      <c r="BM423" s="56">
        <f>IF(ISNUMBER(SEARCH("daily max loss",$BG423)),1,0)</f>
        <v>0</v>
      </c>
    </row>
    <row r="424" ht="18" customHeight="1">
      <c r="A424" s="38" t="n"/>
      <c r="B424" s="39" t="n"/>
      <c r="C424" s="40" t="n"/>
      <c r="D424" s="41" t="n"/>
      <c r="E424" s="41" t="n"/>
      <c r="F424" s="41" t="n"/>
      <c r="G424" s="41" t="n"/>
      <c r="H424" s="42" t="n"/>
      <c r="I424" s="42" t="n"/>
      <c r="J424" s="42" t="n"/>
      <c r="K424" s="42" t="n"/>
      <c r="L424" s="41" t="n"/>
      <c r="M424" s="41" t="n"/>
      <c r="N424" s="41" t="n"/>
      <c r="O424" s="43" t="n"/>
      <c r="P424" s="43" t="n"/>
      <c r="Q424" s="44" t="str">
        <f>IF($AM424=0,"",IF(ISNUMBER($AK424),$AK424-N($AL424),""))</f>
        <v/>
      </c>
      <c r="R424" s="45" t="str">
        <f>IF(OR($Q424="",NOT(ISNUMBER($V424))),"",$AK424/$V424)</f>
        <v/>
      </c>
      <c r="S424" s="46" t="str">
        <f>IF($Q424="","",IF(AND(ISNUMBER($R424),ABS(N($R424))&lt;N(Settings!$C$8)),"Scratch",IF($Q424&gt;0,"Win",IF($Q424&lt;0,"Loss","Scratch"))))</f>
        <v/>
      </c>
      <c r="T424" s="47" t="str">
        <f>IF(OR($AM424=0,NOT(ISNUMBER($H424)),NOT(ISNUMBER($I424)),NOT(ISNUMBER($J424))),"",IF($H424=$I424,"",ROUND(ABS($J424-$H424)/ABS($H424-$I424),6)))</f>
        <v/>
      </c>
      <c r="U424" s="48" t="str">
        <f>IF(OR($S424&lt;&gt;"Win",NOT(ISNUMBER($T424)),NOT(ISNUMBER($R424))),"",MAX(0,$T424-$R424))</f>
        <v/>
      </c>
      <c r="V424" s="49" t="str">
        <f>IF(OR($AM424=0,NOT(ISNUMBER($H424)),NOT(ISNUMBER($I424)),NOT(ISNUMBER($G424))),"",IF(OR($AG424="",$AH424=""),"",IF(ROUND(ABS($H424-$I424)*ABS($G424)*$AG424*$AH424,6)=0,"",ROUND(ABS($H424-$I424)*ABS($G424)*$AG424*$AH424,6))))</f>
        <v/>
      </c>
      <c r="W424" s="50" t="str">
        <f>IF($AM424=0,"",IF($BG424="","OK",LEFT($BG424,LEN($BG424)-2)))</f>
        <v/>
      </c>
      <c r="X424" s="41" t="n"/>
      <c r="Y424" s="40" t="n"/>
      <c r="Z424" s="41" t="n"/>
      <c r="AA424" s="41" t="n"/>
      <c r="AB424" s="40" t="n"/>
      <c r="AC424" s="51" t="n"/>
      <c r="AD424" s="51" t="n"/>
      <c r="AE424" s="40" t="n"/>
      <c r="AF424" s="52" t="str">
        <f>IF($AM424=0,"",IF($D424&lt;&gt;"",$D424,IF(IFERROR(INDEX(Accounts!$C$7:$C$16,MATCH($C424,Accounts!$B$7:$B$16,0))&amp;"","")&lt;&gt;"",INDEX(Accounts!$C$7:$C$16,MATCH($C424,Accounts!$B$7:$B$16,0)),Settings!$C$6)))</f>
        <v/>
      </c>
      <c r="AG424" s="53" t="str">
        <f>IF($AM424=0,"",IF(AND($BE424&gt;0,N(INDEX(Instruments!$D$6:$D$205,MAX(1,$BE424)))&gt;0),INDEX(Instruments!$D$6:$D$205,MAX(1,$BE424)),IF(N(INDEX(Settings!$D$14:$D$18,$BF424))&gt;0,INDEX(Settings!$D$14:$D$18,$BF424),"")))</f>
        <v/>
      </c>
      <c r="AH424" s="54" t="str">
        <f>IF($AM424=0,"",IF($AF424&lt;&gt;"Forex",1,IF(MID(UPPER(SUBSTITUTE(TRIM($E424),"/","")),4,3)=UPPER(TRIM(Settings!$C$7)),1,IF(LEFT(UPPER(SUBSTITUTE(TRIM($E424),"/","")),3)=UPPER(TRIM(Settings!$C$7)),IF(AND(ISNUMBER($K424),N($K424)&lt;&gt;0),1/$K424,""),""))))</f>
        <v/>
      </c>
      <c r="AI424" s="55" t="str">
        <f>IF($AM424=0,"",IF(OR(NOT(ISNUMBER($H424)),NOT(ISNUMBER($K424)),NOT(ISNUMBER($G424)),$AG424="",$AH424=""),"",ROUND(($K424-$H424)*IF($F424="Short",-1,1)*$G424*$AG424*$AH424,6)))</f>
        <v/>
      </c>
      <c r="AJ424" s="55" t="str">
        <f>IF($AM424=0,"",IF(INDEX(Settings!$E$14:$E$18,$BF424)="% of notional",IF(OR($AG424="",NOT(ISNUMBER($H424)),NOT(ISNUMBER($G424))),"",ROUND(ABS($H424*$G424*$AG424*N($AH424))*IF($L424="Limit",N(INDEX(Settings!$G$14:$G$18,$BF424)),N(INDEX(Settings!$H$14:$H$18,$BF424)))+IF(ISNUMBER($K424),ABS($K424*$G424*$AG424*N($AH424))*IF($M424="Target",N(INDEX(Settings!$G$14:$G$18,$BF424)),N(INDEX(Settings!$H$14:$H$18,$BF424))),0),6)),IF(NOT(ISNUMBER($G424)),"",ROUND(ABS($G424)*2*IF(AND($BE424&gt;0,ISNUMBER(INDEX(Instruments!$G$6:$G$205,MAX(1,$BE424)))),INDEX(Instruments!$G$6:$G$205,MAX(1,$BE424)),N(INDEX(Settings!$F$14:$F$18,$BF424))),6))))</f>
        <v/>
      </c>
      <c r="AK424" s="55" t="str">
        <f>IF($AM424=0,"",IF(ISNUMBER($O424),$O424,$AI424))</f>
        <v/>
      </c>
      <c r="AL424" s="55" t="str">
        <f>IF($AM424=0,"",IF(ISNUMBER($P424),$P424,N($AJ424)))</f>
        <v/>
      </c>
      <c r="AM424" s="56">
        <f>IF(AND($A424&lt;&gt;"",$E424&lt;&gt;"",OR(AND(ISNUMBER($G424),ISNUMBER($H424),ISNUMBER($K424)),ISNUMBER($O424))),1,0)</f>
        <v>0</v>
      </c>
      <c r="AN424" s="57" t="str">
        <f>IF($A424="","",$A424-WEEKDAY($A424,3))</f>
        <v/>
      </c>
      <c r="AO424" s="56" t="str">
        <f>IF($A424="","",WEEKDAY($A424,2))</f>
        <v/>
      </c>
      <c r="AP424" s="55" t="str">
        <f>IF(OR($AM424=0,$C424=""),"",IFERROR(N(INDEX(Accounts!$E$7:$E$16,MATCH($C424,Accounts!$B$7:$B$16,0))),0)+SUMIFS($Q$6:$Q424,$C$6:$C424,$C424))</f>
        <v/>
      </c>
      <c r="AQ424" s="55" t="str">
        <f>IF(OR($AM424=0,$C424=""),"",SUMIFS($Q$6:$Q$1005,$C$6:$C$1005,$C424,$A$6:$A$1005,$A424))</f>
        <v/>
      </c>
      <c r="AR424" s="55" t="str">
        <f>IF(OR($AM424=0,$C424=""),"",IFERROR(N(INDEX(Accounts!$E$7:$E$16,MATCH($C424,Accounts!$B$7:$B$16,0))),0)+SUMIFS($Q$6:$Q$1005,$C$6:$C$1005,$C424,$A$6:$A$1005,"&lt;="&amp;$A424))</f>
        <v/>
      </c>
      <c r="AS424" s="56">
        <f>IF(OR($AM424=0,$Q424=""),0,IF(AND($A424&gt;=Lists!$W$6,$A424&lt;=Lists!$W$7,OR(Dashboard!$D$6="All accounts",$C424=Dashboard!$D$6),OR(Dashboard!$D$7="All markets",$AF424=Dashboard!$D$7)),1,0))</f>
        <v>0</v>
      </c>
      <c r="AT424" s="55">
        <f>IF($AS424=1,N(AT423)+$Q424,N(AT423))</f>
        <v>1187.10688</v>
      </c>
      <c r="AU424" s="55">
        <f>MAX(N(AU423),$AT424)</f>
        <v>1187.10688</v>
      </c>
      <c r="AV424" s="55">
        <f>$AT424-$AU424</f>
        <v>0</v>
      </c>
      <c r="AW424" s="56">
        <f>IF($AS424=1,IF($S424="Win",N(AW423)+1,IF($S424="Loss",0,N(AW423))),N(AW423))</f>
        <v>5</v>
      </c>
      <c r="AX424" s="56">
        <f>IF($AS424=1,IF($S424="Loss",N(AX423)+1,IF($S424="Win",0,N(AX423))),N(AX423))</f>
        <v>0</v>
      </c>
      <c r="AY424" s="56" t="str">
        <f>IF($AS424=1,COUNTIF($AS$6:$AS424,1),"")</f>
        <v/>
      </c>
      <c r="AZ424" s="56">
        <f>MIN(418,N(Lists!$W$8))</f>
        <v>28</v>
      </c>
      <c r="BA424" s="56">
        <f>IF($AS424=1,IF(COUNTIFS($A$6:$A424,$A424,$AS$6:$AS424,1)=1,1,0),0)</f>
        <v>0</v>
      </c>
      <c r="BB424" s="55" t="str">
        <f>IF($BA424=1,SUMIFS($Q$6:$Q$1005,$A$6:$A$1005,$A424,$AS$6:$AS$1005,1),"")</f>
        <v/>
      </c>
      <c r="BC424" s="56">
        <f>IF(ISNUMBER($R424),1,0)</f>
        <v>0</v>
      </c>
      <c r="BD424" s="55" t="str">
        <f>IF(ISNUMBER($U424),$U424*$V424,"")</f>
        <v/>
      </c>
      <c r="BE424" s="56" t="str">
        <f>IF($AM424=0,"",IFERROR(MATCH($AF424&amp;"|"&amp;UPPER(TRIM($E424)),Lists!$A$6:$A$205,0),0))</f>
        <v/>
      </c>
      <c r="BF424" s="56" t="str">
        <f>IF($AM424=0,"",IFERROR(MATCH($AF424,Settings!$B$14:$B$18,0),IFERROR(MATCH(Settings!$C$6,Settings!$B$14:$B$18,0),1)))</f>
        <v/>
      </c>
      <c r="BG424" s="58" t="str">
        <f>IF($AM424=0,"",IF(NOT(ISNUMBER($I424)),"No stop; ","")&amp;IF(AND(ISNUMBER($H424),ISNUMBER($I424)),IF(OR(AND($F424&lt;&gt;"Short",$I424&gt;=$H424),AND($F424="Short",$I424&lt;=$H424)),"Stop on wrong side; ",""),"")&amp;IF($F424="","No direction; ","")&amp;IF(AND(ISNUMBER(Settings!$C$22),ISNUMBER($V424)),IF($V424&gt;Settings!$C$22,"Risk over max $; ",""),"")&amp;IF(AND(ISNUMBER(Settings!$C$23),ISNUMBER($V424),ISNUMBER($AP424),IFERROR(N(INDEX(Accounts!$E$7:$E$16,MATCH($C424,Accounts!$B$7:$B$16,0))),0)&gt;0),IF($V424&gt;Settings!$C$23*($AP424-N($Q424)),"Risk over max %; ",""),"")&amp;IF(AND(ISNUMBER(Settings!$C$24),ISNUMBER($N424)),IF($N424&gt;Settings!$C$24,"Leverage over max; ",""),"")&amp;IF(AND(ISNUMBER(Settings!$C$27),ISNUMBER($T424)),IF($T424&lt;Settings!$C$27,"R:R below min; ",""),"")&amp;IF(ISNUMBER(Settings!$C$25),IF(COUNTIFS($A$6:$A424,$A424,$AM$6:$AM424,1)&gt;Settings!$C$25,"Over max trades/day; ",""),"")&amp;IF(ISNUMBER(Settings!$C$26),IF(SUMIFS($Q$5:$Q423,$A$5:$A423,$A424)&lt;=-Settings!$C$26,"Traded after daily max loss; ",""),"")&amp;IF(AND($AG424="",NOT(ISNUMBER($O424))),"Symbol not in Instruments; ","")&amp;IF(AND($AH424="",NOT(ISNUMBER($O424))),"Forex cross: type Gross P&amp;L; ",""))</f>
        <v/>
      </c>
      <c r="BH424" s="56">
        <f>IF(ISNUMBER($Q424),1,0)</f>
        <v>0</v>
      </c>
      <c r="BI424" s="56">
        <f>IF($Y424="",0,1)</f>
        <v>0</v>
      </c>
      <c r="BJ424" s="56">
        <f>IF($AB424="",0,1)</f>
        <v>0</v>
      </c>
      <c r="BK424" s="56">
        <f>IF(AND($BH424=1,$W424&lt;&gt;"OK"),1,0)</f>
        <v>0</v>
      </c>
      <c r="BL424" s="55">
        <f>IF(N($AZ424)=0,0,IFERROR(INDEX($AT$6:$AT$1005,MATCH($AZ424,$AY$6:$AY$1005,0)),0))</f>
        <v>1187.10688</v>
      </c>
      <c r="BM424" s="56">
        <f>IF(ISNUMBER(SEARCH("daily max loss",$BG424)),1,0)</f>
        <v>0</v>
      </c>
    </row>
    <row r="425" ht="18" customHeight="1">
      <c r="A425" s="38" t="n"/>
      <c r="B425" s="39" t="n"/>
      <c r="C425" s="40" t="n"/>
      <c r="D425" s="41" t="n"/>
      <c r="E425" s="41" t="n"/>
      <c r="F425" s="41" t="n"/>
      <c r="G425" s="41" t="n"/>
      <c r="H425" s="42" t="n"/>
      <c r="I425" s="42" t="n"/>
      <c r="J425" s="42" t="n"/>
      <c r="K425" s="42" t="n"/>
      <c r="L425" s="41" t="n"/>
      <c r="M425" s="41" t="n"/>
      <c r="N425" s="41" t="n"/>
      <c r="O425" s="43" t="n"/>
      <c r="P425" s="43" t="n"/>
      <c r="Q425" s="44" t="str">
        <f>IF($AM425=0,"",IF(ISNUMBER($AK425),$AK425-N($AL425),""))</f>
        <v/>
      </c>
      <c r="R425" s="45" t="str">
        <f>IF(OR($Q425="",NOT(ISNUMBER($V425))),"",$AK425/$V425)</f>
        <v/>
      </c>
      <c r="S425" s="46" t="str">
        <f>IF($Q425="","",IF(AND(ISNUMBER($R425),ABS(N($R425))&lt;N(Settings!$C$8)),"Scratch",IF($Q425&gt;0,"Win",IF($Q425&lt;0,"Loss","Scratch"))))</f>
        <v/>
      </c>
      <c r="T425" s="47" t="str">
        <f>IF(OR($AM425=0,NOT(ISNUMBER($H425)),NOT(ISNUMBER($I425)),NOT(ISNUMBER($J425))),"",IF($H425=$I425,"",ROUND(ABS($J425-$H425)/ABS($H425-$I425),6)))</f>
        <v/>
      </c>
      <c r="U425" s="48" t="str">
        <f>IF(OR($S425&lt;&gt;"Win",NOT(ISNUMBER($T425)),NOT(ISNUMBER($R425))),"",MAX(0,$T425-$R425))</f>
        <v/>
      </c>
      <c r="V425" s="49" t="str">
        <f>IF(OR($AM425=0,NOT(ISNUMBER($H425)),NOT(ISNUMBER($I425)),NOT(ISNUMBER($G425))),"",IF(OR($AG425="",$AH425=""),"",IF(ROUND(ABS($H425-$I425)*ABS($G425)*$AG425*$AH425,6)=0,"",ROUND(ABS($H425-$I425)*ABS($G425)*$AG425*$AH425,6))))</f>
        <v/>
      </c>
      <c r="W425" s="50" t="str">
        <f>IF($AM425=0,"",IF($BG425="","OK",LEFT($BG425,LEN($BG425)-2)))</f>
        <v/>
      </c>
      <c r="X425" s="41" t="n"/>
      <c r="Y425" s="40" t="n"/>
      <c r="Z425" s="41" t="n"/>
      <c r="AA425" s="41" t="n"/>
      <c r="AB425" s="40" t="n"/>
      <c r="AC425" s="51" t="n"/>
      <c r="AD425" s="51" t="n"/>
      <c r="AE425" s="40" t="n"/>
      <c r="AF425" s="52" t="str">
        <f>IF($AM425=0,"",IF($D425&lt;&gt;"",$D425,IF(IFERROR(INDEX(Accounts!$C$7:$C$16,MATCH($C425,Accounts!$B$7:$B$16,0))&amp;"","")&lt;&gt;"",INDEX(Accounts!$C$7:$C$16,MATCH($C425,Accounts!$B$7:$B$16,0)),Settings!$C$6)))</f>
        <v/>
      </c>
      <c r="AG425" s="53" t="str">
        <f>IF($AM425=0,"",IF(AND($BE425&gt;0,N(INDEX(Instruments!$D$6:$D$205,MAX(1,$BE425)))&gt;0),INDEX(Instruments!$D$6:$D$205,MAX(1,$BE425)),IF(N(INDEX(Settings!$D$14:$D$18,$BF425))&gt;0,INDEX(Settings!$D$14:$D$18,$BF425),"")))</f>
        <v/>
      </c>
      <c r="AH425" s="54" t="str">
        <f>IF($AM425=0,"",IF($AF425&lt;&gt;"Forex",1,IF(MID(UPPER(SUBSTITUTE(TRIM($E425),"/","")),4,3)=UPPER(TRIM(Settings!$C$7)),1,IF(LEFT(UPPER(SUBSTITUTE(TRIM($E425),"/","")),3)=UPPER(TRIM(Settings!$C$7)),IF(AND(ISNUMBER($K425),N($K425)&lt;&gt;0),1/$K425,""),""))))</f>
        <v/>
      </c>
      <c r="AI425" s="55" t="str">
        <f>IF($AM425=0,"",IF(OR(NOT(ISNUMBER($H425)),NOT(ISNUMBER($K425)),NOT(ISNUMBER($G425)),$AG425="",$AH425=""),"",ROUND(($K425-$H425)*IF($F425="Short",-1,1)*$G425*$AG425*$AH425,6)))</f>
        <v/>
      </c>
      <c r="AJ425" s="55" t="str">
        <f>IF($AM425=0,"",IF(INDEX(Settings!$E$14:$E$18,$BF425)="% of notional",IF(OR($AG425="",NOT(ISNUMBER($H425)),NOT(ISNUMBER($G425))),"",ROUND(ABS($H425*$G425*$AG425*N($AH425))*IF($L425="Limit",N(INDEX(Settings!$G$14:$G$18,$BF425)),N(INDEX(Settings!$H$14:$H$18,$BF425)))+IF(ISNUMBER($K425),ABS($K425*$G425*$AG425*N($AH425))*IF($M425="Target",N(INDEX(Settings!$G$14:$G$18,$BF425)),N(INDEX(Settings!$H$14:$H$18,$BF425))),0),6)),IF(NOT(ISNUMBER($G425)),"",ROUND(ABS($G425)*2*IF(AND($BE425&gt;0,ISNUMBER(INDEX(Instruments!$G$6:$G$205,MAX(1,$BE425)))),INDEX(Instruments!$G$6:$G$205,MAX(1,$BE425)),N(INDEX(Settings!$F$14:$F$18,$BF425))),6))))</f>
        <v/>
      </c>
      <c r="AK425" s="55" t="str">
        <f>IF($AM425=0,"",IF(ISNUMBER($O425),$O425,$AI425))</f>
        <v/>
      </c>
      <c r="AL425" s="55" t="str">
        <f>IF($AM425=0,"",IF(ISNUMBER($P425),$P425,N($AJ425)))</f>
        <v/>
      </c>
      <c r="AM425" s="56">
        <f>IF(AND($A425&lt;&gt;"",$E425&lt;&gt;"",OR(AND(ISNUMBER($G425),ISNUMBER($H425),ISNUMBER($K425)),ISNUMBER($O425))),1,0)</f>
        <v>0</v>
      </c>
      <c r="AN425" s="57" t="str">
        <f>IF($A425="","",$A425-WEEKDAY($A425,3))</f>
        <v/>
      </c>
      <c r="AO425" s="56" t="str">
        <f>IF($A425="","",WEEKDAY($A425,2))</f>
        <v/>
      </c>
      <c r="AP425" s="55" t="str">
        <f>IF(OR($AM425=0,$C425=""),"",IFERROR(N(INDEX(Accounts!$E$7:$E$16,MATCH($C425,Accounts!$B$7:$B$16,0))),0)+SUMIFS($Q$6:$Q425,$C$6:$C425,$C425))</f>
        <v/>
      </c>
      <c r="AQ425" s="55" t="str">
        <f>IF(OR($AM425=0,$C425=""),"",SUMIFS($Q$6:$Q$1005,$C$6:$C$1005,$C425,$A$6:$A$1005,$A425))</f>
        <v/>
      </c>
      <c r="AR425" s="55" t="str">
        <f>IF(OR($AM425=0,$C425=""),"",IFERROR(N(INDEX(Accounts!$E$7:$E$16,MATCH($C425,Accounts!$B$7:$B$16,0))),0)+SUMIFS($Q$6:$Q$1005,$C$6:$C$1005,$C425,$A$6:$A$1005,"&lt;="&amp;$A425))</f>
        <v/>
      </c>
      <c r="AS425" s="56">
        <f>IF(OR($AM425=0,$Q425=""),0,IF(AND($A425&gt;=Lists!$W$6,$A425&lt;=Lists!$W$7,OR(Dashboard!$D$6="All accounts",$C425=Dashboard!$D$6),OR(Dashboard!$D$7="All markets",$AF425=Dashboard!$D$7)),1,0))</f>
        <v>0</v>
      </c>
      <c r="AT425" s="55">
        <f>IF($AS425=1,N(AT424)+$Q425,N(AT424))</f>
        <v>1187.10688</v>
      </c>
      <c r="AU425" s="55">
        <f>MAX(N(AU424),$AT425)</f>
        <v>1187.10688</v>
      </c>
      <c r="AV425" s="55">
        <f>$AT425-$AU425</f>
        <v>0</v>
      </c>
      <c r="AW425" s="56">
        <f>IF($AS425=1,IF($S425="Win",N(AW424)+1,IF($S425="Loss",0,N(AW424))),N(AW424))</f>
        <v>5</v>
      </c>
      <c r="AX425" s="56">
        <f>IF($AS425=1,IF($S425="Loss",N(AX424)+1,IF($S425="Win",0,N(AX424))),N(AX424))</f>
        <v>0</v>
      </c>
      <c r="AY425" s="56" t="str">
        <f>IF($AS425=1,COUNTIF($AS$6:$AS425,1),"")</f>
        <v/>
      </c>
      <c r="AZ425" s="56">
        <f>MIN(419,N(Lists!$W$8))</f>
        <v>28</v>
      </c>
      <c r="BA425" s="56">
        <f>IF($AS425=1,IF(COUNTIFS($A$6:$A425,$A425,$AS$6:$AS425,1)=1,1,0),0)</f>
        <v>0</v>
      </c>
      <c r="BB425" s="55" t="str">
        <f>IF($BA425=1,SUMIFS($Q$6:$Q$1005,$A$6:$A$1005,$A425,$AS$6:$AS$1005,1),"")</f>
        <v/>
      </c>
      <c r="BC425" s="56">
        <f>IF(ISNUMBER($R425),1,0)</f>
        <v>0</v>
      </c>
      <c r="BD425" s="55" t="str">
        <f>IF(ISNUMBER($U425),$U425*$V425,"")</f>
        <v/>
      </c>
      <c r="BE425" s="56" t="str">
        <f>IF($AM425=0,"",IFERROR(MATCH($AF425&amp;"|"&amp;UPPER(TRIM($E425)),Lists!$A$6:$A$205,0),0))</f>
        <v/>
      </c>
      <c r="BF425" s="56" t="str">
        <f>IF($AM425=0,"",IFERROR(MATCH($AF425,Settings!$B$14:$B$18,0),IFERROR(MATCH(Settings!$C$6,Settings!$B$14:$B$18,0),1)))</f>
        <v/>
      </c>
      <c r="BG425" s="58" t="str">
        <f>IF($AM425=0,"",IF(NOT(ISNUMBER($I425)),"No stop; ","")&amp;IF(AND(ISNUMBER($H425),ISNUMBER($I425)),IF(OR(AND($F425&lt;&gt;"Short",$I425&gt;=$H425),AND($F425="Short",$I425&lt;=$H425)),"Stop on wrong side; ",""),"")&amp;IF($F425="","No direction; ","")&amp;IF(AND(ISNUMBER(Settings!$C$22),ISNUMBER($V425)),IF($V425&gt;Settings!$C$22,"Risk over max $; ",""),"")&amp;IF(AND(ISNUMBER(Settings!$C$23),ISNUMBER($V425),ISNUMBER($AP425),IFERROR(N(INDEX(Accounts!$E$7:$E$16,MATCH($C425,Accounts!$B$7:$B$16,0))),0)&gt;0),IF($V425&gt;Settings!$C$23*($AP425-N($Q425)),"Risk over max %; ",""),"")&amp;IF(AND(ISNUMBER(Settings!$C$24),ISNUMBER($N425)),IF($N425&gt;Settings!$C$24,"Leverage over max; ",""),"")&amp;IF(AND(ISNUMBER(Settings!$C$27),ISNUMBER($T425)),IF($T425&lt;Settings!$C$27,"R:R below min; ",""),"")&amp;IF(ISNUMBER(Settings!$C$25),IF(COUNTIFS($A$6:$A425,$A425,$AM$6:$AM425,1)&gt;Settings!$C$25,"Over max trades/day; ",""),"")&amp;IF(ISNUMBER(Settings!$C$26),IF(SUMIFS($Q$5:$Q424,$A$5:$A424,$A425)&lt;=-Settings!$C$26,"Traded after daily max loss; ",""),"")&amp;IF(AND($AG425="",NOT(ISNUMBER($O425))),"Symbol not in Instruments; ","")&amp;IF(AND($AH425="",NOT(ISNUMBER($O425))),"Forex cross: type Gross P&amp;L; ",""))</f>
        <v/>
      </c>
      <c r="BH425" s="56">
        <f>IF(ISNUMBER($Q425),1,0)</f>
        <v>0</v>
      </c>
      <c r="BI425" s="56">
        <f>IF($Y425="",0,1)</f>
        <v>0</v>
      </c>
      <c r="BJ425" s="56">
        <f>IF($AB425="",0,1)</f>
        <v>0</v>
      </c>
      <c r="BK425" s="56">
        <f>IF(AND($BH425=1,$W425&lt;&gt;"OK"),1,0)</f>
        <v>0</v>
      </c>
      <c r="BL425" s="55">
        <f>IF(N($AZ425)=0,0,IFERROR(INDEX($AT$6:$AT$1005,MATCH($AZ425,$AY$6:$AY$1005,0)),0))</f>
        <v>1187.10688</v>
      </c>
      <c r="BM425" s="56">
        <f>IF(ISNUMBER(SEARCH("daily max loss",$BG425)),1,0)</f>
        <v>0</v>
      </c>
    </row>
    <row r="426" ht="18" customHeight="1">
      <c r="A426" s="38" t="n"/>
      <c r="B426" s="39" t="n"/>
      <c r="C426" s="40" t="n"/>
      <c r="D426" s="41" t="n"/>
      <c r="E426" s="41" t="n"/>
      <c r="F426" s="41" t="n"/>
      <c r="G426" s="41" t="n"/>
      <c r="H426" s="42" t="n"/>
      <c r="I426" s="42" t="n"/>
      <c r="J426" s="42" t="n"/>
      <c r="K426" s="42" t="n"/>
      <c r="L426" s="41" t="n"/>
      <c r="M426" s="41" t="n"/>
      <c r="N426" s="41" t="n"/>
      <c r="O426" s="43" t="n"/>
      <c r="P426" s="43" t="n"/>
      <c r="Q426" s="44" t="str">
        <f>IF($AM426=0,"",IF(ISNUMBER($AK426),$AK426-N($AL426),""))</f>
        <v/>
      </c>
      <c r="R426" s="45" t="str">
        <f>IF(OR($Q426="",NOT(ISNUMBER($V426))),"",$AK426/$V426)</f>
        <v/>
      </c>
      <c r="S426" s="46" t="str">
        <f>IF($Q426="","",IF(AND(ISNUMBER($R426),ABS(N($R426))&lt;N(Settings!$C$8)),"Scratch",IF($Q426&gt;0,"Win",IF($Q426&lt;0,"Loss","Scratch"))))</f>
        <v/>
      </c>
      <c r="T426" s="47" t="str">
        <f>IF(OR($AM426=0,NOT(ISNUMBER($H426)),NOT(ISNUMBER($I426)),NOT(ISNUMBER($J426))),"",IF($H426=$I426,"",ROUND(ABS($J426-$H426)/ABS($H426-$I426),6)))</f>
        <v/>
      </c>
      <c r="U426" s="48" t="str">
        <f>IF(OR($S426&lt;&gt;"Win",NOT(ISNUMBER($T426)),NOT(ISNUMBER($R426))),"",MAX(0,$T426-$R426))</f>
        <v/>
      </c>
      <c r="V426" s="49" t="str">
        <f>IF(OR($AM426=0,NOT(ISNUMBER($H426)),NOT(ISNUMBER($I426)),NOT(ISNUMBER($G426))),"",IF(OR($AG426="",$AH426=""),"",IF(ROUND(ABS($H426-$I426)*ABS($G426)*$AG426*$AH426,6)=0,"",ROUND(ABS($H426-$I426)*ABS($G426)*$AG426*$AH426,6))))</f>
        <v/>
      </c>
      <c r="W426" s="50" t="str">
        <f>IF($AM426=0,"",IF($BG426="","OK",LEFT($BG426,LEN($BG426)-2)))</f>
        <v/>
      </c>
      <c r="X426" s="41" t="n"/>
      <c r="Y426" s="40" t="n"/>
      <c r="Z426" s="41" t="n"/>
      <c r="AA426" s="41" t="n"/>
      <c r="AB426" s="40" t="n"/>
      <c r="AC426" s="51" t="n"/>
      <c r="AD426" s="51" t="n"/>
      <c r="AE426" s="40" t="n"/>
      <c r="AF426" s="52" t="str">
        <f>IF($AM426=0,"",IF($D426&lt;&gt;"",$D426,IF(IFERROR(INDEX(Accounts!$C$7:$C$16,MATCH($C426,Accounts!$B$7:$B$16,0))&amp;"","")&lt;&gt;"",INDEX(Accounts!$C$7:$C$16,MATCH($C426,Accounts!$B$7:$B$16,0)),Settings!$C$6)))</f>
        <v/>
      </c>
      <c r="AG426" s="53" t="str">
        <f>IF($AM426=0,"",IF(AND($BE426&gt;0,N(INDEX(Instruments!$D$6:$D$205,MAX(1,$BE426)))&gt;0),INDEX(Instruments!$D$6:$D$205,MAX(1,$BE426)),IF(N(INDEX(Settings!$D$14:$D$18,$BF426))&gt;0,INDEX(Settings!$D$14:$D$18,$BF426),"")))</f>
        <v/>
      </c>
      <c r="AH426" s="54" t="str">
        <f>IF($AM426=0,"",IF($AF426&lt;&gt;"Forex",1,IF(MID(UPPER(SUBSTITUTE(TRIM($E426),"/","")),4,3)=UPPER(TRIM(Settings!$C$7)),1,IF(LEFT(UPPER(SUBSTITUTE(TRIM($E426),"/","")),3)=UPPER(TRIM(Settings!$C$7)),IF(AND(ISNUMBER($K426),N($K426)&lt;&gt;0),1/$K426,""),""))))</f>
        <v/>
      </c>
      <c r="AI426" s="55" t="str">
        <f>IF($AM426=0,"",IF(OR(NOT(ISNUMBER($H426)),NOT(ISNUMBER($K426)),NOT(ISNUMBER($G426)),$AG426="",$AH426=""),"",ROUND(($K426-$H426)*IF($F426="Short",-1,1)*$G426*$AG426*$AH426,6)))</f>
        <v/>
      </c>
      <c r="AJ426" s="55" t="str">
        <f>IF($AM426=0,"",IF(INDEX(Settings!$E$14:$E$18,$BF426)="% of notional",IF(OR($AG426="",NOT(ISNUMBER($H426)),NOT(ISNUMBER($G426))),"",ROUND(ABS($H426*$G426*$AG426*N($AH426))*IF($L426="Limit",N(INDEX(Settings!$G$14:$G$18,$BF426)),N(INDEX(Settings!$H$14:$H$18,$BF426)))+IF(ISNUMBER($K426),ABS($K426*$G426*$AG426*N($AH426))*IF($M426="Target",N(INDEX(Settings!$G$14:$G$18,$BF426)),N(INDEX(Settings!$H$14:$H$18,$BF426))),0),6)),IF(NOT(ISNUMBER($G426)),"",ROUND(ABS($G426)*2*IF(AND($BE426&gt;0,ISNUMBER(INDEX(Instruments!$G$6:$G$205,MAX(1,$BE426)))),INDEX(Instruments!$G$6:$G$205,MAX(1,$BE426)),N(INDEX(Settings!$F$14:$F$18,$BF426))),6))))</f>
        <v/>
      </c>
      <c r="AK426" s="55" t="str">
        <f>IF($AM426=0,"",IF(ISNUMBER($O426),$O426,$AI426))</f>
        <v/>
      </c>
      <c r="AL426" s="55" t="str">
        <f>IF($AM426=0,"",IF(ISNUMBER($P426),$P426,N($AJ426)))</f>
        <v/>
      </c>
      <c r="AM426" s="56">
        <f>IF(AND($A426&lt;&gt;"",$E426&lt;&gt;"",OR(AND(ISNUMBER($G426),ISNUMBER($H426),ISNUMBER($K426)),ISNUMBER($O426))),1,0)</f>
        <v>0</v>
      </c>
      <c r="AN426" s="57" t="str">
        <f>IF($A426="","",$A426-WEEKDAY($A426,3))</f>
        <v/>
      </c>
      <c r="AO426" s="56" t="str">
        <f>IF($A426="","",WEEKDAY($A426,2))</f>
        <v/>
      </c>
      <c r="AP426" s="55" t="str">
        <f>IF(OR($AM426=0,$C426=""),"",IFERROR(N(INDEX(Accounts!$E$7:$E$16,MATCH($C426,Accounts!$B$7:$B$16,0))),0)+SUMIFS($Q$6:$Q426,$C$6:$C426,$C426))</f>
        <v/>
      </c>
      <c r="AQ426" s="55" t="str">
        <f>IF(OR($AM426=0,$C426=""),"",SUMIFS($Q$6:$Q$1005,$C$6:$C$1005,$C426,$A$6:$A$1005,$A426))</f>
        <v/>
      </c>
      <c r="AR426" s="55" t="str">
        <f>IF(OR($AM426=0,$C426=""),"",IFERROR(N(INDEX(Accounts!$E$7:$E$16,MATCH($C426,Accounts!$B$7:$B$16,0))),0)+SUMIFS($Q$6:$Q$1005,$C$6:$C$1005,$C426,$A$6:$A$1005,"&lt;="&amp;$A426))</f>
        <v/>
      </c>
      <c r="AS426" s="56">
        <f>IF(OR($AM426=0,$Q426=""),0,IF(AND($A426&gt;=Lists!$W$6,$A426&lt;=Lists!$W$7,OR(Dashboard!$D$6="All accounts",$C426=Dashboard!$D$6),OR(Dashboard!$D$7="All markets",$AF426=Dashboard!$D$7)),1,0))</f>
        <v>0</v>
      </c>
      <c r="AT426" s="55">
        <f>IF($AS426=1,N(AT425)+$Q426,N(AT425))</f>
        <v>1187.10688</v>
      </c>
      <c r="AU426" s="55">
        <f>MAX(N(AU425),$AT426)</f>
        <v>1187.10688</v>
      </c>
      <c r="AV426" s="55">
        <f>$AT426-$AU426</f>
        <v>0</v>
      </c>
      <c r="AW426" s="56">
        <f>IF($AS426=1,IF($S426="Win",N(AW425)+1,IF($S426="Loss",0,N(AW425))),N(AW425))</f>
        <v>5</v>
      </c>
      <c r="AX426" s="56">
        <f>IF($AS426=1,IF($S426="Loss",N(AX425)+1,IF($S426="Win",0,N(AX425))),N(AX425))</f>
        <v>0</v>
      </c>
      <c r="AY426" s="56" t="str">
        <f>IF($AS426=1,COUNTIF($AS$6:$AS426,1),"")</f>
        <v/>
      </c>
      <c r="AZ426" s="56">
        <f>MIN(420,N(Lists!$W$8))</f>
        <v>28</v>
      </c>
      <c r="BA426" s="56">
        <f>IF($AS426=1,IF(COUNTIFS($A$6:$A426,$A426,$AS$6:$AS426,1)=1,1,0),0)</f>
        <v>0</v>
      </c>
      <c r="BB426" s="55" t="str">
        <f>IF($BA426=1,SUMIFS($Q$6:$Q$1005,$A$6:$A$1005,$A426,$AS$6:$AS$1005,1),"")</f>
        <v/>
      </c>
      <c r="BC426" s="56">
        <f>IF(ISNUMBER($R426),1,0)</f>
        <v>0</v>
      </c>
      <c r="BD426" s="55" t="str">
        <f>IF(ISNUMBER($U426),$U426*$V426,"")</f>
        <v/>
      </c>
      <c r="BE426" s="56" t="str">
        <f>IF($AM426=0,"",IFERROR(MATCH($AF426&amp;"|"&amp;UPPER(TRIM($E426)),Lists!$A$6:$A$205,0),0))</f>
        <v/>
      </c>
      <c r="BF426" s="56" t="str">
        <f>IF($AM426=0,"",IFERROR(MATCH($AF426,Settings!$B$14:$B$18,0),IFERROR(MATCH(Settings!$C$6,Settings!$B$14:$B$18,0),1)))</f>
        <v/>
      </c>
      <c r="BG426" s="58" t="str">
        <f>IF($AM426=0,"",IF(NOT(ISNUMBER($I426)),"No stop; ","")&amp;IF(AND(ISNUMBER($H426),ISNUMBER($I426)),IF(OR(AND($F426&lt;&gt;"Short",$I426&gt;=$H426),AND($F426="Short",$I426&lt;=$H426)),"Stop on wrong side; ",""),"")&amp;IF($F426="","No direction; ","")&amp;IF(AND(ISNUMBER(Settings!$C$22),ISNUMBER($V426)),IF($V426&gt;Settings!$C$22,"Risk over max $; ",""),"")&amp;IF(AND(ISNUMBER(Settings!$C$23),ISNUMBER($V426),ISNUMBER($AP426),IFERROR(N(INDEX(Accounts!$E$7:$E$16,MATCH($C426,Accounts!$B$7:$B$16,0))),0)&gt;0),IF($V426&gt;Settings!$C$23*($AP426-N($Q426)),"Risk over max %; ",""),"")&amp;IF(AND(ISNUMBER(Settings!$C$24),ISNUMBER($N426)),IF($N426&gt;Settings!$C$24,"Leverage over max; ",""),"")&amp;IF(AND(ISNUMBER(Settings!$C$27),ISNUMBER($T426)),IF($T426&lt;Settings!$C$27,"R:R below min; ",""),"")&amp;IF(ISNUMBER(Settings!$C$25),IF(COUNTIFS($A$6:$A426,$A426,$AM$6:$AM426,1)&gt;Settings!$C$25,"Over max trades/day; ",""),"")&amp;IF(ISNUMBER(Settings!$C$26),IF(SUMIFS($Q$5:$Q425,$A$5:$A425,$A426)&lt;=-Settings!$C$26,"Traded after daily max loss; ",""),"")&amp;IF(AND($AG426="",NOT(ISNUMBER($O426))),"Symbol not in Instruments; ","")&amp;IF(AND($AH426="",NOT(ISNUMBER($O426))),"Forex cross: type Gross P&amp;L; ",""))</f>
        <v/>
      </c>
      <c r="BH426" s="56">
        <f>IF(ISNUMBER($Q426),1,0)</f>
        <v>0</v>
      </c>
      <c r="BI426" s="56">
        <f>IF($Y426="",0,1)</f>
        <v>0</v>
      </c>
      <c r="BJ426" s="56">
        <f>IF($AB426="",0,1)</f>
        <v>0</v>
      </c>
      <c r="BK426" s="56">
        <f>IF(AND($BH426=1,$W426&lt;&gt;"OK"),1,0)</f>
        <v>0</v>
      </c>
      <c r="BL426" s="55">
        <f>IF(N($AZ426)=0,0,IFERROR(INDEX($AT$6:$AT$1005,MATCH($AZ426,$AY$6:$AY$1005,0)),0))</f>
        <v>1187.10688</v>
      </c>
      <c r="BM426" s="56">
        <f>IF(ISNUMBER(SEARCH("daily max loss",$BG426)),1,0)</f>
        <v>0</v>
      </c>
    </row>
    <row r="427" ht="18" customHeight="1">
      <c r="A427" s="38" t="n"/>
      <c r="B427" s="39" t="n"/>
      <c r="C427" s="40" t="n"/>
      <c r="D427" s="41" t="n"/>
      <c r="E427" s="41" t="n"/>
      <c r="F427" s="41" t="n"/>
      <c r="G427" s="41" t="n"/>
      <c r="H427" s="42" t="n"/>
      <c r="I427" s="42" t="n"/>
      <c r="J427" s="42" t="n"/>
      <c r="K427" s="42" t="n"/>
      <c r="L427" s="41" t="n"/>
      <c r="M427" s="41" t="n"/>
      <c r="N427" s="41" t="n"/>
      <c r="O427" s="43" t="n"/>
      <c r="P427" s="43" t="n"/>
      <c r="Q427" s="44" t="str">
        <f>IF($AM427=0,"",IF(ISNUMBER($AK427),$AK427-N($AL427),""))</f>
        <v/>
      </c>
      <c r="R427" s="45" t="str">
        <f>IF(OR($Q427="",NOT(ISNUMBER($V427))),"",$AK427/$V427)</f>
        <v/>
      </c>
      <c r="S427" s="46" t="str">
        <f>IF($Q427="","",IF(AND(ISNUMBER($R427),ABS(N($R427))&lt;N(Settings!$C$8)),"Scratch",IF($Q427&gt;0,"Win",IF($Q427&lt;0,"Loss","Scratch"))))</f>
        <v/>
      </c>
      <c r="T427" s="47" t="str">
        <f>IF(OR($AM427=0,NOT(ISNUMBER($H427)),NOT(ISNUMBER($I427)),NOT(ISNUMBER($J427))),"",IF($H427=$I427,"",ROUND(ABS($J427-$H427)/ABS($H427-$I427),6)))</f>
        <v/>
      </c>
      <c r="U427" s="48" t="str">
        <f>IF(OR($S427&lt;&gt;"Win",NOT(ISNUMBER($T427)),NOT(ISNUMBER($R427))),"",MAX(0,$T427-$R427))</f>
        <v/>
      </c>
      <c r="V427" s="49" t="str">
        <f>IF(OR($AM427=0,NOT(ISNUMBER($H427)),NOT(ISNUMBER($I427)),NOT(ISNUMBER($G427))),"",IF(OR($AG427="",$AH427=""),"",IF(ROUND(ABS($H427-$I427)*ABS($G427)*$AG427*$AH427,6)=0,"",ROUND(ABS($H427-$I427)*ABS($G427)*$AG427*$AH427,6))))</f>
        <v/>
      </c>
      <c r="W427" s="50" t="str">
        <f>IF($AM427=0,"",IF($BG427="","OK",LEFT($BG427,LEN($BG427)-2)))</f>
        <v/>
      </c>
      <c r="X427" s="41" t="n"/>
      <c r="Y427" s="40" t="n"/>
      <c r="Z427" s="41" t="n"/>
      <c r="AA427" s="41" t="n"/>
      <c r="AB427" s="40" t="n"/>
      <c r="AC427" s="51" t="n"/>
      <c r="AD427" s="51" t="n"/>
      <c r="AE427" s="40" t="n"/>
      <c r="AF427" s="52" t="str">
        <f>IF($AM427=0,"",IF($D427&lt;&gt;"",$D427,IF(IFERROR(INDEX(Accounts!$C$7:$C$16,MATCH($C427,Accounts!$B$7:$B$16,0))&amp;"","")&lt;&gt;"",INDEX(Accounts!$C$7:$C$16,MATCH($C427,Accounts!$B$7:$B$16,0)),Settings!$C$6)))</f>
        <v/>
      </c>
      <c r="AG427" s="53" t="str">
        <f>IF($AM427=0,"",IF(AND($BE427&gt;0,N(INDEX(Instruments!$D$6:$D$205,MAX(1,$BE427)))&gt;0),INDEX(Instruments!$D$6:$D$205,MAX(1,$BE427)),IF(N(INDEX(Settings!$D$14:$D$18,$BF427))&gt;0,INDEX(Settings!$D$14:$D$18,$BF427),"")))</f>
        <v/>
      </c>
      <c r="AH427" s="54" t="str">
        <f>IF($AM427=0,"",IF($AF427&lt;&gt;"Forex",1,IF(MID(UPPER(SUBSTITUTE(TRIM($E427),"/","")),4,3)=UPPER(TRIM(Settings!$C$7)),1,IF(LEFT(UPPER(SUBSTITUTE(TRIM($E427),"/","")),3)=UPPER(TRIM(Settings!$C$7)),IF(AND(ISNUMBER($K427),N($K427)&lt;&gt;0),1/$K427,""),""))))</f>
        <v/>
      </c>
      <c r="AI427" s="55" t="str">
        <f>IF($AM427=0,"",IF(OR(NOT(ISNUMBER($H427)),NOT(ISNUMBER($K427)),NOT(ISNUMBER($G427)),$AG427="",$AH427=""),"",ROUND(($K427-$H427)*IF($F427="Short",-1,1)*$G427*$AG427*$AH427,6)))</f>
        <v/>
      </c>
      <c r="AJ427" s="55" t="str">
        <f>IF($AM427=0,"",IF(INDEX(Settings!$E$14:$E$18,$BF427)="% of notional",IF(OR($AG427="",NOT(ISNUMBER($H427)),NOT(ISNUMBER($G427))),"",ROUND(ABS($H427*$G427*$AG427*N($AH427))*IF($L427="Limit",N(INDEX(Settings!$G$14:$G$18,$BF427)),N(INDEX(Settings!$H$14:$H$18,$BF427)))+IF(ISNUMBER($K427),ABS($K427*$G427*$AG427*N($AH427))*IF($M427="Target",N(INDEX(Settings!$G$14:$G$18,$BF427)),N(INDEX(Settings!$H$14:$H$18,$BF427))),0),6)),IF(NOT(ISNUMBER($G427)),"",ROUND(ABS($G427)*2*IF(AND($BE427&gt;0,ISNUMBER(INDEX(Instruments!$G$6:$G$205,MAX(1,$BE427)))),INDEX(Instruments!$G$6:$G$205,MAX(1,$BE427)),N(INDEX(Settings!$F$14:$F$18,$BF427))),6))))</f>
        <v/>
      </c>
      <c r="AK427" s="55" t="str">
        <f>IF($AM427=0,"",IF(ISNUMBER($O427),$O427,$AI427))</f>
        <v/>
      </c>
      <c r="AL427" s="55" t="str">
        <f>IF($AM427=0,"",IF(ISNUMBER($P427),$P427,N($AJ427)))</f>
        <v/>
      </c>
      <c r="AM427" s="56">
        <f>IF(AND($A427&lt;&gt;"",$E427&lt;&gt;"",OR(AND(ISNUMBER($G427),ISNUMBER($H427),ISNUMBER($K427)),ISNUMBER($O427))),1,0)</f>
        <v>0</v>
      </c>
      <c r="AN427" s="57" t="str">
        <f>IF($A427="","",$A427-WEEKDAY($A427,3))</f>
        <v/>
      </c>
      <c r="AO427" s="56" t="str">
        <f>IF($A427="","",WEEKDAY($A427,2))</f>
        <v/>
      </c>
      <c r="AP427" s="55" t="str">
        <f>IF(OR($AM427=0,$C427=""),"",IFERROR(N(INDEX(Accounts!$E$7:$E$16,MATCH($C427,Accounts!$B$7:$B$16,0))),0)+SUMIFS($Q$6:$Q427,$C$6:$C427,$C427))</f>
        <v/>
      </c>
      <c r="AQ427" s="55" t="str">
        <f>IF(OR($AM427=0,$C427=""),"",SUMIFS($Q$6:$Q$1005,$C$6:$C$1005,$C427,$A$6:$A$1005,$A427))</f>
        <v/>
      </c>
      <c r="AR427" s="55" t="str">
        <f>IF(OR($AM427=0,$C427=""),"",IFERROR(N(INDEX(Accounts!$E$7:$E$16,MATCH($C427,Accounts!$B$7:$B$16,0))),0)+SUMIFS($Q$6:$Q$1005,$C$6:$C$1005,$C427,$A$6:$A$1005,"&lt;="&amp;$A427))</f>
        <v/>
      </c>
      <c r="AS427" s="56">
        <f>IF(OR($AM427=0,$Q427=""),0,IF(AND($A427&gt;=Lists!$W$6,$A427&lt;=Lists!$W$7,OR(Dashboard!$D$6="All accounts",$C427=Dashboard!$D$6),OR(Dashboard!$D$7="All markets",$AF427=Dashboard!$D$7)),1,0))</f>
        <v>0</v>
      </c>
      <c r="AT427" s="55">
        <f>IF($AS427=1,N(AT426)+$Q427,N(AT426))</f>
        <v>1187.10688</v>
      </c>
      <c r="AU427" s="55">
        <f>MAX(N(AU426),$AT427)</f>
        <v>1187.10688</v>
      </c>
      <c r="AV427" s="55">
        <f>$AT427-$AU427</f>
        <v>0</v>
      </c>
      <c r="AW427" s="56">
        <f>IF($AS427=1,IF($S427="Win",N(AW426)+1,IF($S427="Loss",0,N(AW426))),N(AW426))</f>
        <v>5</v>
      </c>
      <c r="AX427" s="56">
        <f>IF($AS427=1,IF($S427="Loss",N(AX426)+1,IF($S427="Win",0,N(AX426))),N(AX426))</f>
        <v>0</v>
      </c>
      <c r="AY427" s="56" t="str">
        <f>IF($AS427=1,COUNTIF($AS$6:$AS427,1),"")</f>
        <v/>
      </c>
      <c r="AZ427" s="56">
        <f>MIN(421,N(Lists!$W$8))</f>
        <v>28</v>
      </c>
      <c r="BA427" s="56">
        <f>IF($AS427=1,IF(COUNTIFS($A$6:$A427,$A427,$AS$6:$AS427,1)=1,1,0),0)</f>
        <v>0</v>
      </c>
      <c r="BB427" s="55" t="str">
        <f>IF($BA427=1,SUMIFS($Q$6:$Q$1005,$A$6:$A$1005,$A427,$AS$6:$AS$1005,1),"")</f>
        <v/>
      </c>
      <c r="BC427" s="56">
        <f>IF(ISNUMBER($R427),1,0)</f>
        <v>0</v>
      </c>
      <c r="BD427" s="55" t="str">
        <f>IF(ISNUMBER($U427),$U427*$V427,"")</f>
        <v/>
      </c>
      <c r="BE427" s="56" t="str">
        <f>IF($AM427=0,"",IFERROR(MATCH($AF427&amp;"|"&amp;UPPER(TRIM($E427)),Lists!$A$6:$A$205,0),0))</f>
        <v/>
      </c>
      <c r="BF427" s="56" t="str">
        <f>IF($AM427=0,"",IFERROR(MATCH($AF427,Settings!$B$14:$B$18,0),IFERROR(MATCH(Settings!$C$6,Settings!$B$14:$B$18,0),1)))</f>
        <v/>
      </c>
      <c r="BG427" s="58" t="str">
        <f>IF($AM427=0,"",IF(NOT(ISNUMBER($I427)),"No stop; ","")&amp;IF(AND(ISNUMBER($H427),ISNUMBER($I427)),IF(OR(AND($F427&lt;&gt;"Short",$I427&gt;=$H427),AND($F427="Short",$I427&lt;=$H427)),"Stop on wrong side; ",""),"")&amp;IF($F427="","No direction; ","")&amp;IF(AND(ISNUMBER(Settings!$C$22),ISNUMBER($V427)),IF($V427&gt;Settings!$C$22,"Risk over max $; ",""),"")&amp;IF(AND(ISNUMBER(Settings!$C$23),ISNUMBER($V427),ISNUMBER($AP427),IFERROR(N(INDEX(Accounts!$E$7:$E$16,MATCH($C427,Accounts!$B$7:$B$16,0))),0)&gt;0),IF($V427&gt;Settings!$C$23*($AP427-N($Q427)),"Risk over max %; ",""),"")&amp;IF(AND(ISNUMBER(Settings!$C$24),ISNUMBER($N427)),IF($N427&gt;Settings!$C$24,"Leverage over max; ",""),"")&amp;IF(AND(ISNUMBER(Settings!$C$27),ISNUMBER($T427)),IF($T427&lt;Settings!$C$27,"R:R below min; ",""),"")&amp;IF(ISNUMBER(Settings!$C$25),IF(COUNTIFS($A$6:$A427,$A427,$AM$6:$AM427,1)&gt;Settings!$C$25,"Over max trades/day; ",""),"")&amp;IF(ISNUMBER(Settings!$C$26),IF(SUMIFS($Q$5:$Q426,$A$5:$A426,$A427)&lt;=-Settings!$C$26,"Traded after daily max loss; ",""),"")&amp;IF(AND($AG427="",NOT(ISNUMBER($O427))),"Symbol not in Instruments; ","")&amp;IF(AND($AH427="",NOT(ISNUMBER($O427))),"Forex cross: type Gross P&amp;L; ",""))</f>
        <v/>
      </c>
      <c r="BH427" s="56">
        <f>IF(ISNUMBER($Q427),1,0)</f>
        <v>0</v>
      </c>
      <c r="BI427" s="56">
        <f>IF($Y427="",0,1)</f>
        <v>0</v>
      </c>
      <c r="BJ427" s="56">
        <f>IF($AB427="",0,1)</f>
        <v>0</v>
      </c>
      <c r="BK427" s="56">
        <f>IF(AND($BH427=1,$W427&lt;&gt;"OK"),1,0)</f>
        <v>0</v>
      </c>
      <c r="BL427" s="55">
        <f>IF(N($AZ427)=0,0,IFERROR(INDEX($AT$6:$AT$1005,MATCH($AZ427,$AY$6:$AY$1005,0)),0))</f>
        <v>1187.10688</v>
      </c>
      <c r="BM427" s="56">
        <f>IF(ISNUMBER(SEARCH("daily max loss",$BG427)),1,0)</f>
        <v>0</v>
      </c>
    </row>
    <row r="428" ht="18" customHeight="1">
      <c r="A428" s="38" t="n"/>
      <c r="B428" s="39" t="n"/>
      <c r="C428" s="40" t="n"/>
      <c r="D428" s="41" t="n"/>
      <c r="E428" s="41" t="n"/>
      <c r="F428" s="41" t="n"/>
      <c r="G428" s="41" t="n"/>
      <c r="H428" s="42" t="n"/>
      <c r="I428" s="42" t="n"/>
      <c r="J428" s="42" t="n"/>
      <c r="K428" s="42" t="n"/>
      <c r="L428" s="41" t="n"/>
      <c r="M428" s="41" t="n"/>
      <c r="N428" s="41" t="n"/>
      <c r="O428" s="43" t="n"/>
      <c r="P428" s="43" t="n"/>
      <c r="Q428" s="44" t="str">
        <f>IF($AM428=0,"",IF(ISNUMBER($AK428),$AK428-N($AL428),""))</f>
        <v/>
      </c>
      <c r="R428" s="45" t="str">
        <f>IF(OR($Q428="",NOT(ISNUMBER($V428))),"",$AK428/$V428)</f>
        <v/>
      </c>
      <c r="S428" s="46" t="str">
        <f>IF($Q428="","",IF(AND(ISNUMBER($R428),ABS(N($R428))&lt;N(Settings!$C$8)),"Scratch",IF($Q428&gt;0,"Win",IF($Q428&lt;0,"Loss","Scratch"))))</f>
        <v/>
      </c>
      <c r="T428" s="47" t="str">
        <f>IF(OR($AM428=0,NOT(ISNUMBER($H428)),NOT(ISNUMBER($I428)),NOT(ISNUMBER($J428))),"",IF($H428=$I428,"",ROUND(ABS($J428-$H428)/ABS($H428-$I428),6)))</f>
        <v/>
      </c>
      <c r="U428" s="48" t="str">
        <f>IF(OR($S428&lt;&gt;"Win",NOT(ISNUMBER($T428)),NOT(ISNUMBER($R428))),"",MAX(0,$T428-$R428))</f>
        <v/>
      </c>
      <c r="V428" s="49" t="str">
        <f>IF(OR($AM428=0,NOT(ISNUMBER($H428)),NOT(ISNUMBER($I428)),NOT(ISNUMBER($G428))),"",IF(OR($AG428="",$AH428=""),"",IF(ROUND(ABS($H428-$I428)*ABS($G428)*$AG428*$AH428,6)=0,"",ROUND(ABS($H428-$I428)*ABS($G428)*$AG428*$AH428,6))))</f>
        <v/>
      </c>
      <c r="W428" s="50" t="str">
        <f>IF($AM428=0,"",IF($BG428="","OK",LEFT($BG428,LEN($BG428)-2)))</f>
        <v/>
      </c>
      <c r="X428" s="41" t="n"/>
      <c r="Y428" s="40" t="n"/>
      <c r="Z428" s="41" t="n"/>
      <c r="AA428" s="41" t="n"/>
      <c r="AB428" s="40" t="n"/>
      <c r="AC428" s="51" t="n"/>
      <c r="AD428" s="51" t="n"/>
      <c r="AE428" s="40" t="n"/>
      <c r="AF428" s="52" t="str">
        <f>IF($AM428=0,"",IF($D428&lt;&gt;"",$D428,IF(IFERROR(INDEX(Accounts!$C$7:$C$16,MATCH($C428,Accounts!$B$7:$B$16,0))&amp;"","")&lt;&gt;"",INDEX(Accounts!$C$7:$C$16,MATCH($C428,Accounts!$B$7:$B$16,0)),Settings!$C$6)))</f>
        <v/>
      </c>
      <c r="AG428" s="53" t="str">
        <f>IF($AM428=0,"",IF(AND($BE428&gt;0,N(INDEX(Instruments!$D$6:$D$205,MAX(1,$BE428)))&gt;0),INDEX(Instruments!$D$6:$D$205,MAX(1,$BE428)),IF(N(INDEX(Settings!$D$14:$D$18,$BF428))&gt;0,INDEX(Settings!$D$14:$D$18,$BF428),"")))</f>
        <v/>
      </c>
      <c r="AH428" s="54" t="str">
        <f>IF($AM428=0,"",IF($AF428&lt;&gt;"Forex",1,IF(MID(UPPER(SUBSTITUTE(TRIM($E428),"/","")),4,3)=UPPER(TRIM(Settings!$C$7)),1,IF(LEFT(UPPER(SUBSTITUTE(TRIM($E428),"/","")),3)=UPPER(TRIM(Settings!$C$7)),IF(AND(ISNUMBER($K428),N($K428)&lt;&gt;0),1/$K428,""),""))))</f>
        <v/>
      </c>
      <c r="AI428" s="55" t="str">
        <f>IF($AM428=0,"",IF(OR(NOT(ISNUMBER($H428)),NOT(ISNUMBER($K428)),NOT(ISNUMBER($G428)),$AG428="",$AH428=""),"",ROUND(($K428-$H428)*IF($F428="Short",-1,1)*$G428*$AG428*$AH428,6)))</f>
        <v/>
      </c>
      <c r="AJ428" s="55" t="str">
        <f>IF($AM428=0,"",IF(INDEX(Settings!$E$14:$E$18,$BF428)="% of notional",IF(OR($AG428="",NOT(ISNUMBER($H428)),NOT(ISNUMBER($G428))),"",ROUND(ABS($H428*$G428*$AG428*N($AH428))*IF($L428="Limit",N(INDEX(Settings!$G$14:$G$18,$BF428)),N(INDEX(Settings!$H$14:$H$18,$BF428)))+IF(ISNUMBER($K428),ABS($K428*$G428*$AG428*N($AH428))*IF($M428="Target",N(INDEX(Settings!$G$14:$G$18,$BF428)),N(INDEX(Settings!$H$14:$H$18,$BF428))),0),6)),IF(NOT(ISNUMBER($G428)),"",ROUND(ABS($G428)*2*IF(AND($BE428&gt;0,ISNUMBER(INDEX(Instruments!$G$6:$G$205,MAX(1,$BE428)))),INDEX(Instruments!$G$6:$G$205,MAX(1,$BE428)),N(INDEX(Settings!$F$14:$F$18,$BF428))),6))))</f>
        <v/>
      </c>
      <c r="AK428" s="55" t="str">
        <f>IF($AM428=0,"",IF(ISNUMBER($O428),$O428,$AI428))</f>
        <v/>
      </c>
      <c r="AL428" s="55" t="str">
        <f>IF($AM428=0,"",IF(ISNUMBER($P428),$P428,N($AJ428)))</f>
        <v/>
      </c>
      <c r="AM428" s="56">
        <f>IF(AND($A428&lt;&gt;"",$E428&lt;&gt;"",OR(AND(ISNUMBER($G428),ISNUMBER($H428),ISNUMBER($K428)),ISNUMBER($O428))),1,0)</f>
        <v>0</v>
      </c>
      <c r="AN428" s="57" t="str">
        <f>IF($A428="","",$A428-WEEKDAY($A428,3))</f>
        <v/>
      </c>
      <c r="AO428" s="56" t="str">
        <f>IF($A428="","",WEEKDAY($A428,2))</f>
        <v/>
      </c>
      <c r="AP428" s="55" t="str">
        <f>IF(OR($AM428=0,$C428=""),"",IFERROR(N(INDEX(Accounts!$E$7:$E$16,MATCH($C428,Accounts!$B$7:$B$16,0))),0)+SUMIFS($Q$6:$Q428,$C$6:$C428,$C428))</f>
        <v/>
      </c>
      <c r="AQ428" s="55" t="str">
        <f>IF(OR($AM428=0,$C428=""),"",SUMIFS($Q$6:$Q$1005,$C$6:$C$1005,$C428,$A$6:$A$1005,$A428))</f>
        <v/>
      </c>
      <c r="AR428" s="55" t="str">
        <f>IF(OR($AM428=0,$C428=""),"",IFERROR(N(INDEX(Accounts!$E$7:$E$16,MATCH($C428,Accounts!$B$7:$B$16,0))),0)+SUMIFS($Q$6:$Q$1005,$C$6:$C$1005,$C428,$A$6:$A$1005,"&lt;="&amp;$A428))</f>
        <v/>
      </c>
      <c r="AS428" s="56">
        <f>IF(OR($AM428=0,$Q428=""),0,IF(AND($A428&gt;=Lists!$W$6,$A428&lt;=Lists!$W$7,OR(Dashboard!$D$6="All accounts",$C428=Dashboard!$D$6),OR(Dashboard!$D$7="All markets",$AF428=Dashboard!$D$7)),1,0))</f>
        <v>0</v>
      </c>
      <c r="AT428" s="55">
        <f>IF($AS428=1,N(AT427)+$Q428,N(AT427))</f>
        <v>1187.10688</v>
      </c>
      <c r="AU428" s="55">
        <f>MAX(N(AU427),$AT428)</f>
        <v>1187.10688</v>
      </c>
      <c r="AV428" s="55">
        <f>$AT428-$AU428</f>
        <v>0</v>
      </c>
      <c r="AW428" s="56">
        <f>IF($AS428=1,IF($S428="Win",N(AW427)+1,IF($S428="Loss",0,N(AW427))),N(AW427))</f>
        <v>5</v>
      </c>
      <c r="AX428" s="56">
        <f>IF($AS428=1,IF($S428="Loss",N(AX427)+1,IF($S428="Win",0,N(AX427))),N(AX427))</f>
        <v>0</v>
      </c>
      <c r="AY428" s="56" t="str">
        <f>IF($AS428=1,COUNTIF($AS$6:$AS428,1),"")</f>
        <v/>
      </c>
      <c r="AZ428" s="56">
        <f>MIN(422,N(Lists!$W$8))</f>
        <v>28</v>
      </c>
      <c r="BA428" s="56">
        <f>IF($AS428=1,IF(COUNTIFS($A$6:$A428,$A428,$AS$6:$AS428,1)=1,1,0),0)</f>
        <v>0</v>
      </c>
      <c r="BB428" s="55" t="str">
        <f>IF($BA428=1,SUMIFS($Q$6:$Q$1005,$A$6:$A$1005,$A428,$AS$6:$AS$1005,1),"")</f>
        <v/>
      </c>
      <c r="BC428" s="56">
        <f>IF(ISNUMBER($R428),1,0)</f>
        <v>0</v>
      </c>
      <c r="BD428" s="55" t="str">
        <f>IF(ISNUMBER($U428),$U428*$V428,"")</f>
        <v/>
      </c>
      <c r="BE428" s="56" t="str">
        <f>IF($AM428=0,"",IFERROR(MATCH($AF428&amp;"|"&amp;UPPER(TRIM($E428)),Lists!$A$6:$A$205,0),0))</f>
        <v/>
      </c>
      <c r="BF428" s="56" t="str">
        <f>IF($AM428=0,"",IFERROR(MATCH($AF428,Settings!$B$14:$B$18,0),IFERROR(MATCH(Settings!$C$6,Settings!$B$14:$B$18,0),1)))</f>
        <v/>
      </c>
      <c r="BG428" s="58" t="str">
        <f>IF($AM428=0,"",IF(NOT(ISNUMBER($I428)),"No stop; ","")&amp;IF(AND(ISNUMBER($H428),ISNUMBER($I428)),IF(OR(AND($F428&lt;&gt;"Short",$I428&gt;=$H428),AND($F428="Short",$I428&lt;=$H428)),"Stop on wrong side; ",""),"")&amp;IF($F428="","No direction; ","")&amp;IF(AND(ISNUMBER(Settings!$C$22),ISNUMBER($V428)),IF($V428&gt;Settings!$C$22,"Risk over max $; ",""),"")&amp;IF(AND(ISNUMBER(Settings!$C$23),ISNUMBER($V428),ISNUMBER($AP428),IFERROR(N(INDEX(Accounts!$E$7:$E$16,MATCH($C428,Accounts!$B$7:$B$16,0))),0)&gt;0),IF($V428&gt;Settings!$C$23*($AP428-N($Q428)),"Risk over max %; ",""),"")&amp;IF(AND(ISNUMBER(Settings!$C$24),ISNUMBER($N428)),IF($N428&gt;Settings!$C$24,"Leverage over max; ",""),"")&amp;IF(AND(ISNUMBER(Settings!$C$27),ISNUMBER($T428)),IF($T428&lt;Settings!$C$27,"R:R below min; ",""),"")&amp;IF(ISNUMBER(Settings!$C$25),IF(COUNTIFS($A$6:$A428,$A428,$AM$6:$AM428,1)&gt;Settings!$C$25,"Over max trades/day; ",""),"")&amp;IF(ISNUMBER(Settings!$C$26),IF(SUMIFS($Q$5:$Q427,$A$5:$A427,$A428)&lt;=-Settings!$C$26,"Traded after daily max loss; ",""),"")&amp;IF(AND($AG428="",NOT(ISNUMBER($O428))),"Symbol not in Instruments; ","")&amp;IF(AND($AH428="",NOT(ISNUMBER($O428))),"Forex cross: type Gross P&amp;L; ",""))</f>
        <v/>
      </c>
      <c r="BH428" s="56">
        <f>IF(ISNUMBER($Q428),1,0)</f>
        <v>0</v>
      </c>
      <c r="BI428" s="56">
        <f>IF($Y428="",0,1)</f>
        <v>0</v>
      </c>
      <c r="BJ428" s="56">
        <f>IF($AB428="",0,1)</f>
        <v>0</v>
      </c>
      <c r="BK428" s="56">
        <f>IF(AND($BH428=1,$W428&lt;&gt;"OK"),1,0)</f>
        <v>0</v>
      </c>
      <c r="BL428" s="55">
        <f>IF(N($AZ428)=0,0,IFERROR(INDEX($AT$6:$AT$1005,MATCH($AZ428,$AY$6:$AY$1005,0)),0))</f>
        <v>1187.10688</v>
      </c>
      <c r="BM428" s="56">
        <f>IF(ISNUMBER(SEARCH("daily max loss",$BG428)),1,0)</f>
        <v>0</v>
      </c>
    </row>
    <row r="429" ht="18" customHeight="1">
      <c r="A429" s="38" t="n"/>
      <c r="B429" s="39" t="n"/>
      <c r="C429" s="40" t="n"/>
      <c r="D429" s="41" t="n"/>
      <c r="E429" s="41" t="n"/>
      <c r="F429" s="41" t="n"/>
      <c r="G429" s="41" t="n"/>
      <c r="H429" s="42" t="n"/>
      <c r="I429" s="42" t="n"/>
      <c r="J429" s="42" t="n"/>
      <c r="K429" s="42" t="n"/>
      <c r="L429" s="41" t="n"/>
      <c r="M429" s="41" t="n"/>
      <c r="N429" s="41" t="n"/>
      <c r="O429" s="43" t="n"/>
      <c r="P429" s="43" t="n"/>
      <c r="Q429" s="44" t="str">
        <f>IF($AM429=0,"",IF(ISNUMBER($AK429),$AK429-N($AL429),""))</f>
        <v/>
      </c>
      <c r="R429" s="45" t="str">
        <f>IF(OR($Q429="",NOT(ISNUMBER($V429))),"",$AK429/$V429)</f>
        <v/>
      </c>
      <c r="S429" s="46" t="str">
        <f>IF($Q429="","",IF(AND(ISNUMBER($R429),ABS(N($R429))&lt;N(Settings!$C$8)),"Scratch",IF($Q429&gt;0,"Win",IF($Q429&lt;0,"Loss","Scratch"))))</f>
        <v/>
      </c>
      <c r="T429" s="47" t="str">
        <f>IF(OR($AM429=0,NOT(ISNUMBER($H429)),NOT(ISNUMBER($I429)),NOT(ISNUMBER($J429))),"",IF($H429=$I429,"",ROUND(ABS($J429-$H429)/ABS($H429-$I429),6)))</f>
        <v/>
      </c>
      <c r="U429" s="48" t="str">
        <f>IF(OR($S429&lt;&gt;"Win",NOT(ISNUMBER($T429)),NOT(ISNUMBER($R429))),"",MAX(0,$T429-$R429))</f>
        <v/>
      </c>
      <c r="V429" s="49" t="str">
        <f>IF(OR($AM429=0,NOT(ISNUMBER($H429)),NOT(ISNUMBER($I429)),NOT(ISNUMBER($G429))),"",IF(OR($AG429="",$AH429=""),"",IF(ROUND(ABS($H429-$I429)*ABS($G429)*$AG429*$AH429,6)=0,"",ROUND(ABS($H429-$I429)*ABS($G429)*$AG429*$AH429,6))))</f>
        <v/>
      </c>
      <c r="W429" s="50" t="str">
        <f>IF($AM429=0,"",IF($BG429="","OK",LEFT($BG429,LEN($BG429)-2)))</f>
        <v/>
      </c>
      <c r="X429" s="41" t="n"/>
      <c r="Y429" s="40" t="n"/>
      <c r="Z429" s="41" t="n"/>
      <c r="AA429" s="41" t="n"/>
      <c r="AB429" s="40" t="n"/>
      <c r="AC429" s="51" t="n"/>
      <c r="AD429" s="51" t="n"/>
      <c r="AE429" s="40" t="n"/>
      <c r="AF429" s="52" t="str">
        <f>IF($AM429=0,"",IF($D429&lt;&gt;"",$D429,IF(IFERROR(INDEX(Accounts!$C$7:$C$16,MATCH($C429,Accounts!$B$7:$B$16,0))&amp;"","")&lt;&gt;"",INDEX(Accounts!$C$7:$C$16,MATCH($C429,Accounts!$B$7:$B$16,0)),Settings!$C$6)))</f>
        <v/>
      </c>
      <c r="AG429" s="53" t="str">
        <f>IF($AM429=0,"",IF(AND($BE429&gt;0,N(INDEX(Instruments!$D$6:$D$205,MAX(1,$BE429)))&gt;0),INDEX(Instruments!$D$6:$D$205,MAX(1,$BE429)),IF(N(INDEX(Settings!$D$14:$D$18,$BF429))&gt;0,INDEX(Settings!$D$14:$D$18,$BF429),"")))</f>
        <v/>
      </c>
      <c r="AH429" s="54" t="str">
        <f>IF($AM429=0,"",IF($AF429&lt;&gt;"Forex",1,IF(MID(UPPER(SUBSTITUTE(TRIM($E429),"/","")),4,3)=UPPER(TRIM(Settings!$C$7)),1,IF(LEFT(UPPER(SUBSTITUTE(TRIM($E429),"/","")),3)=UPPER(TRIM(Settings!$C$7)),IF(AND(ISNUMBER($K429),N($K429)&lt;&gt;0),1/$K429,""),""))))</f>
        <v/>
      </c>
      <c r="AI429" s="55" t="str">
        <f>IF($AM429=0,"",IF(OR(NOT(ISNUMBER($H429)),NOT(ISNUMBER($K429)),NOT(ISNUMBER($G429)),$AG429="",$AH429=""),"",ROUND(($K429-$H429)*IF($F429="Short",-1,1)*$G429*$AG429*$AH429,6)))</f>
        <v/>
      </c>
      <c r="AJ429" s="55" t="str">
        <f>IF($AM429=0,"",IF(INDEX(Settings!$E$14:$E$18,$BF429)="% of notional",IF(OR($AG429="",NOT(ISNUMBER($H429)),NOT(ISNUMBER($G429))),"",ROUND(ABS($H429*$G429*$AG429*N($AH429))*IF($L429="Limit",N(INDEX(Settings!$G$14:$G$18,$BF429)),N(INDEX(Settings!$H$14:$H$18,$BF429)))+IF(ISNUMBER($K429),ABS($K429*$G429*$AG429*N($AH429))*IF($M429="Target",N(INDEX(Settings!$G$14:$G$18,$BF429)),N(INDEX(Settings!$H$14:$H$18,$BF429))),0),6)),IF(NOT(ISNUMBER($G429)),"",ROUND(ABS($G429)*2*IF(AND($BE429&gt;0,ISNUMBER(INDEX(Instruments!$G$6:$G$205,MAX(1,$BE429)))),INDEX(Instruments!$G$6:$G$205,MAX(1,$BE429)),N(INDEX(Settings!$F$14:$F$18,$BF429))),6))))</f>
        <v/>
      </c>
      <c r="AK429" s="55" t="str">
        <f>IF($AM429=0,"",IF(ISNUMBER($O429),$O429,$AI429))</f>
        <v/>
      </c>
      <c r="AL429" s="55" t="str">
        <f>IF($AM429=0,"",IF(ISNUMBER($P429),$P429,N($AJ429)))</f>
        <v/>
      </c>
      <c r="AM429" s="56">
        <f>IF(AND($A429&lt;&gt;"",$E429&lt;&gt;"",OR(AND(ISNUMBER($G429),ISNUMBER($H429),ISNUMBER($K429)),ISNUMBER($O429))),1,0)</f>
        <v>0</v>
      </c>
      <c r="AN429" s="57" t="str">
        <f>IF($A429="","",$A429-WEEKDAY($A429,3))</f>
        <v/>
      </c>
      <c r="AO429" s="56" t="str">
        <f>IF($A429="","",WEEKDAY($A429,2))</f>
        <v/>
      </c>
      <c r="AP429" s="55" t="str">
        <f>IF(OR($AM429=0,$C429=""),"",IFERROR(N(INDEX(Accounts!$E$7:$E$16,MATCH($C429,Accounts!$B$7:$B$16,0))),0)+SUMIFS($Q$6:$Q429,$C$6:$C429,$C429))</f>
        <v/>
      </c>
      <c r="AQ429" s="55" t="str">
        <f>IF(OR($AM429=0,$C429=""),"",SUMIFS($Q$6:$Q$1005,$C$6:$C$1005,$C429,$A$6:$A$1005,$A429))</f>
        <v/>
      </c>
      <c r="AR429" s="55" t="str">
        <f>IF(OR($AM429=0,$C429=""),"",IFERROR(N(INDEX(Accounts!$E$7:$E$16,MATCH($C429,Accounts!$B$7:$B$16,0))),0)+SUMIFS($Q$6:$Q$1005,$C$6:$C$1005,$C429,$A$6:$A$1005,"&lt;="&amp;$A429))</f>
        <v/>
      </c>
      <c r="AS429" s="56">
        <f>IF(OR($AM429=0,$Q429=""),0,IF(AND($A429&gt;=Lists!$W$6,$A429&lt;=Lists!$W$7,OR(Dashboard!$D$6="All accounts",$C429=Dashboard!$D$6),OR(Dashboard!$D$7="All markets",$AF429=Dashboard!$D$7)),1,0))</f>
        <v>0</v>
      </c>
      <c r="AT429" s="55">
        <f>IF($AS429=1,N(AT428)+$Q429,N(AT428))</f>
        <v>1187.10688</v>
      </c>
      <c r="AU429" s="55">
        <f>MAX(N(AU428),$AT429)</f>
        <v>1187.10688</v>
      </c>
      <c r="AV429" s="55">
        <f>$AT429-$AU429</f>
        <v>0</v>
      </c>
      <c r="AW429" s="56">
        <f>IF($AS429=1,IF($S429="Win",N(AW428)+1,IF($S429="Loss",0,N(AW428))),N(AW428))</f>
        <v>5</v>
      </c>
      <c r="AX429" s="56">
        <f>IF($AS429=1,IF($S429="Loss",N(AX428)+1,IF($S429="Win",0,N(AX428))),N(AX428))</f>
        <v>0</v>
      </c>
      <c r="AY429" s="56" t="str">
        <f>IF($AS429=1,COUNTIF($AS$6:$AS429,1),"")</f>
        <v/>
      </c>
      <c r="AZ429" s="56">
        <f>MIN(423,N(Lists!$W$8))</f>
        <v>28</v>
      </c>
      <c r="BA429" s="56">
        <f>IF($AS429=1,IF(COUNTIFS($A$6:$A429,$A429,$AS$6:$AS429,1)=1,1,0),0)</f>
        <v>0</v>
      </c>
      <c r="BB429" s="55" t="str">
        <f>IF($BA429=1,SUMIFS($Q$6:$Q$1005,$A$6:$A$1005,$A429,$AS$6:$AS$1005,1),"")</f>
        <v/>
      </c>
      <c r="BC429" s="56">
        <f>IF(ISNUMBER($R429),1,0)</f>
        <v>0</v>
      </c>
      <c r="BD429" s="55" t="str">
        <f>IF(ISNUMBER($U429),$U429*$V429,"")</f>
        <v/>
      </c>
      <c r="BE429" s="56" t="str">
        <f>IF($AM429=0,"",IFERROR(MATCH($AF429&amp;"|"&amp;UPPER(TRIM($E429)),Lists!$A$6:$A$205,0),0))</f>
        <v/>
      </c>
      <c r="BF429" s="56" t="str">
        <f>IF($AM429=0,"",IFERROR(MATCH($AF429,Settings!$B$14:$B$18,0),IFERROR(MATCH(Settings!$C$6,Settings!$B$14:$B$18,0),1)))</f>
        <v/>
      </c>
      <c r="BG429" s="58" t="str">
        <f>IF($AM429=0,"",IF(NOT(ISNUMBER($I429)),"No stop; ","")&amp;IF(AND(ISNUMBER($H429),ISNUMBER($I429)),IF(OR(AND($F429&lt;&gt;"Short",$I429&gt;=$H429),AND($F429="Short",$I429&lt;=$H429)),"Stop on wrong side; ",""),"")&amp;IF($F429="","No direction; ","")&amp;IF(AND(ISNUMBER(Settings!$C$22),ISNUMBER($V429)),IF($V429&gt;Settings!$C$22,"Risk over max $; ",""),"")&amp;IF(AND(ISNUMBER(Settings!$C$23),ISNUMBER($V429),ISNUMBER($AP429),IFERROR(N(INDEX(Accounts!$E$7:$E$16,MATCH($C429,Accounts!$B$7:$B$16,0))),0)&gt;0),IF($V429&gt;Settings!$C$23*($AP429-N($Q429)),"Risk over max %; ",""),"")&amp;IF(AND(ISNUMBER(Settings!$C$24),ISNUMBER($N429)),IF($N429&gt;Settings!$C$24,"Leverage over max; ",""),"")&amp;IF(AND(ISNUMBER(Settings!$C$27),ISNUMBER($T429)),IF($T429&lt;Settings!$C$27,"R:R below min; ",""),"")&amp;IF(ISNUMBER(Settings!$C$25),IF(COUNTIFS($A$6:$A429,$A429,$AM$6:$AM429,1)&gt;Settings!$C$25,"Over max trades/day; ",""),"")&amp;IF(ISNUMBER(Settings!$C$26),IF(SUMIFS($Q$5:$Q428,$A$5:$A428,$A429)&lt;=-Settings!$C$26,"Traded after daily max loss; ",""),"")&amp;IF(AND($AG429="",NOT(ISNUMBER($O429))),"Symbol not in Instruments; ","")&amp;IF(AND($AH429="",NOT(ISNUMBER($O429))),"Forex cross: type Gross P&amp;L; ",""))</f>
        <v/>
      </c>
      <c r="BH429" s="56">
        <f>IF(ISNUMBER($Q429),1,0)</f>
        <v>0</v>
      </c>
      <c r="BI429" s="56">
        <f>IF($Y429="",0,1)</f>
        <v>0</v>
      </c>
      <c r="BJ429" s="56">
        <f>IF($AB429="",0,1)</f>
        <v>0</v>
      </c>
      <c r="BK429" s="56">
        <f>IF(AND($BH429=1,$W429&lt;&gt;"OK"),1,0)</f>
        <v>0</v>
      </c>
      <c r="BL429" s="55">
        <f>IF(N($AZ429)=0,0,IFERROR(INDEX($AT$6:$AT$1005,MATCH($AZ429,$AY$6:$AY$1005,0)),0))</f>
        <v>1187.10688</v>
      </c>
      <c r="BM429" s="56">
        <f>IF(ISNUMBER(SEARCH("daily max loss",$BG429)),1,0)</f>
        <v>0</v>
      </c>
    </row>
    <row r="430" ht="18" customHeight="1">
      <c r="A430" s="38" t="n"/>
      <c r="B430" s="39" t="n"/>
      <c r="C430" s="40" t="n"/>
      <c r="D430" s="41" t="n"/>
      <c r="E430" s="41" t="n"/>
      <c r="F430" s="41" t="n"/>
      <c r="G430" s="41" t="n"/>
      <c r="H430" s="42" t="n"/>
      <c r="I430" s="42" t="n"/>
      <c r="J430" s="42" t="n"/>
      <c r="K430" s="42" t="n"/>
      <c r="L430" s="41" t="n"/>
      <c r="M430" s="41" t="n"/>
      <c r="N430" s="41" t="n"/>
      <c r="O430" s="43" t="n"/>
      <c r="P430" s="43" t="n"/>
      <c r="Q430" s="44" t="str">
        <f>IF($AM430=0,"",IF(ISNUMBER($AK430),$AK430-N($AL430),""))</f>
        <v/>
      </c>
      <c r="R430" s="45" t="str">
        <f>IF(OR($Q430="",NOT(ISNUMBER($V430))),"",$AK430/$V430)</f>
        <v/>
      </c>
      <c r="S430" s="46" t="str">
        <f>IF($Q430="","",IF(AND(ISNUMBER($R430),ABS(N($R430))&lt;N(Settings!$C$8)),"Scratch",IF($Q430&gt;0,"Win",IF($Q430&lt;0,"Loss","Scratch"))))</f>
        <v/>
      </c>
      <c r="T430" s="47" t="str">
        <f>IF(OR($AM430=0,NOT(ISNUMBER($H430)),NOT(ISNUMBER($I430)),NOT(ISNUMBER($J430))),"",IF($H430=$I430,"",ROUND(ABS($J430-$H430)/ABS($H430-$I430),6)))</f>
        <v/>
      </c>
      <c r="U430" s="48" t="str">
        <f>IF(OR($S430&lt;&gt;"Win",NOT(ISNUMBER($T430)),NOT(ISNUMBER($R430))),"",MAX(0,$T430-$R430))</f>
        <v/>
      </c>
      <c r="V430" s="49" t="str">
        <f>IF(OR($AM430=0,NOT(ISNUMBER($H430)),NOT(ISNUMBER($I430)),NOT(ISNUMBER($G430))),"",IF(OR($AG430="",$AH430=""),"",IF(ROUND(ABS($H430-$I430)*ABS($G430)*$AG430*$AH430,6)=0,"",ROUND(ABS($H430-$I430)*ABS($G430)*$AG430*$AH430,6))))</f>
        <v/>
      </c>
      <c r="W430" s="50" t="str">
        <f>IF($AM430=0,"",IF($BG430="","OK",LEFT($BG430,LEN($BG430)-2)))</f>
        <v/>
      </c>
      <c r="X430" s="41" t="n"/>
      <c r="Y430" s="40" t="n"/>
      <c r="Z430" s="41" t="n"/>
      <c r="AA430" s="41" t="n"/>
      <c r="AB430" s="40" t="n"/>
      <c r="AC430" s="51" t="n"/>
      <c r="AD430" s="51" t="n"/>
      <c r="AE430" s="40" t="n"/>
      <c r="AF430" s="52" t="str">
        <f>IF($AM430=0,"",IF($D430&lt;&gt;"",$D430,IF(IFERROR(INDEX(Accounts!$C$7:$C$16,MATCH($C430,Accounts!$B$7:$B$16,0))&amp;"","")&lt;&gt;"",INDEX(Accounts!$C$7:$C$16,MATCH($C430,Accounts!$B$7:$B$16,0)),Settings!$C$6)))</f>
        <v/>
      </c>
      <c r="AG430" s="53" t="str">
        <f>IF($AM430=0,"",IF(AND($BE430&gt;0,N(INDEX(Instruments!$D$6:$D$205,MAX(1,$BE430)))&gt;0),INDEX(Instruments!$D$6:$D$205,MAX(1,$BE430)),IF(N(INDEX(Settings!$D$14:$D$18,$BF430))&gt;0,INDEX(Settings!$D$14:$D$18,$BF430),"")))</f>
        <v/>
      </c>
      <c r="AH430" s="54" t="str">
        <f>IF($AM430=0,"",IF($AF430&lt;&gt;"Forex",1,IF(MID(UPPER(SUBSTITUTE(TRIM($E430),"/","")),4,3)=UPPER(TRIM(Settings!$C$7)),1,IF(LEFT(UPPER(SUBSTITUTE(TRIM($E430),"/","")),3)=UPPER(TRIM(Settings!$C$7)),IF(AND(ISNUMBER($K430),N($K430)&lt;&gt;0),1/$K430,""),""))))</f>
        <v/>
      </c>
      <c r="AI430" s="55" t="str">
        <f>IF($AM430=0,"",IF(OR(NOT(ISNUMBER($H430)),NOT(ISNUMBER($K430)),NOT(ISNUMBER($G430)),$AG430="",$AH430=""),"",ROUND(($K430-$H430)*IF($F430="Short",-1,1)*$G430*$AG430*$AH430,6)))</f>
        <v/>
      </c>
      <c r="AJ430" s="55" t="str">
        <f>IF($AM430=0,"",IF(INDEX(Settings!$E$14:$E$18,$BF430)="% of notional",IF(OR($AG430="",NOT(ISNUMBER($H430)),NOT(ISNUMBER($G430))),"",ROUND(ABS($H430*$G430*$AG430*N($AH430))*IF($L430="Limit",N(INDEX(Settings!$G$14:$G$18,$BF430)),N(INDEX(Settings!$H$14:$H$18,$BF430)))+IF(ISNUMBER($K430),ABS($K430*$G430*$AG430*N($AH430))*IF($M430="Target",N(INDEX(Settings!$G$14:$G$18,$BF430)),N(INDEX(Settings!$H$14:$H$18,$BF430))),0),6)),IF(NOT(ISNUMBER($G430)),"",ROUND(ABS($G430)*2*IF(AND($BE430&gt;0,ISNUMBER(INDEX(Instruments!$G$6:$G$205,MAX(1,$BE430)))),INDEX(Instruments!$G$6:$G$205,MAX(1,$BE430)),N(INDEX(Settings!$F$14:$F$18,$BF430))),6))))</f>
        <v/>
      </c>
      <c r="AK430" s="55" t="str">
        <f>IF($AM430=0,"",IF(ISNUMBER($O430),$O430,$AI430))</f>
        <v/>
      </c>
      <c r="AL430" s="55" t="str">
        <f>IF($AM430=0,"",IF(ISNUMBER($P430),$P430,N($AJ430)))</f>
        <v/>
      </c>
      <c r="AM430" s="56">
        <f>IF(AND($A430&lt;&gt;"",$E430&lt;&gt;"",OR(AND(ISNUMBER($G430),ISNUMBER($H430),ISNUMBER($K430)),ISNUMBER($O430))),1,0)</f>
        <v>0</v>
      </c>
      <c r="AN430" s="57" t="str">
        <f>IF($A430="","",$A430-WEEKDAY($A430,3))</f>
        <v/>
      </c>
      <c r="AO430" s="56" t="str">
        <f>IF($A430="","",WEEKDAY($A430,2))</f>
        <v/>
      </c>
      <c r="AP430" s="55" t="str">
        <f>IF(OR($AM430=0,$C430=""),"",IFERROR(N(INDEX(Accounts!$E$7:$E$16,MATCH($C430,Accounts!$B$7:$B$16,0))),0)+SUMIFS($Q$6:$Q430,$C$6:$C430,$C430))</f>
        <v/>
      </c>
      <c r="AQ430" s="55" t="str">
        <f>IF(OR($AM430=0,$C430=""),"",SUMIFS($Q$6:$Q$1005,$C$6:$C$1005,$C430,$A$6:$A$1005,$A430))</f>
        <v/>
      </c>
      <c r="AR430" s="55" t="str">
        <f>IF(OR($AM430=0,$C430=""),"",IFERROR(N(INDEX(Accounts!$E$7:$E$16,MATCH($C430,Accounts!$B$7:$B$16,0))),0)+SUMIFS($Q$6:$Q$1005,$C$6:$C$1005,$C430,$A$6:$A$1005,"&lt;="&amp;$A430))</f>
        <v/>
      </c>
      <c r="AS430" s="56">
        <f>IF(OR($AM430=0,$Q430=""),0,IF(AND($A430&gt;=Lists!$W$6,$A430&lt;=Lists!$W$7,OR(Dashboard!$D$6="All accounts",$C430=Dashboard!$D$6),OR(Dashboard!$D$7="All markets",$AF430=Dashboard!$D$7)),1,0))</f>
        <v>0</v>
      </c>
      <c r="AT430" s="55">
        <f>IF($AS430=1,N(AT429)+$Q430,N(AT429))</f>
        <v>1187.10688</v>
      </c>
      <c r="AU430" s="55">
        <f>MAX(N(AU429),$AT430)</f>
        <v>1187.10688</v>
      </c>
      <c r="AV430" s="55">
        <f>$AT430-$AU430</f>
        <v>0</v>
      </c>
      <c r="AW430" s="56">
        <f>IF($AS430=1,IF($S430="Win",N(AW429)+1,IF($S430="Loss",0,N(AW429))),N(AW429))</f>
        <v>5</v>
      </c>
      <c r="AX430" s="56">
        <f>IF($AS430=1,IF($S430="Loss",N(AX429)+1,IF($S430="Win",0,N(AX429))),N(AX429))</f>
        <v>0</v>
      </c>
      <c r="AY430" s="56" t="str">
        <f>IF($AS430=1,COUNTIF($AS$6:$AS430,1),"")</f>
        <v/>
      </c>
      <c r="AZ430" s="56">
        <f>MIN(424,N(Lists!$W$8))</f>
        <v>28</v>
      </c>
      <c r="BA430" s="56">
        <f>IF($AS430=1,IF(COUNTIFS($A$6:$A430,$A430,$AS$6:$AS430,1)=1,1,0),0)</f>
        <v>0</v>
      </c>
      <c r="BB430" s="55" t="str">
        <f>IF($BA430=1,SUMIFS($Q$6:$Q$1005,$A$6:$A$1005,$A430,$AS$6:$AS$1005,1),"")</f>
        <v/>
      </c>
      <c r="BC430" s="56">
        <f>IF(ISNUMBER($R430),1,0)</f>
        <v>0</v>
      </c>
      <c r="BD430" s="55" t="str">
        <f>IF(ISNUMBER($U430),$U430*$V430,"")</f>
        <v/>
      </c>
      <c r="BE430" s="56" t="str">
        <f>IF($AM430=0,"",IFERROR(MATCH($AF430&amp;"|"&amp;UPPER(TRIM($E430)),Lists!$A$6:$A$205,0),0))</f>
        <v/>
      </c>
      <c r="BF430" s="56" t="str">
        <f>IF($AM430=0,"",IFERROR(MATCH($AF430,Settings!$B$14:$B$18,0),IFERROR(MATCH(Settings!$C$6,Settings!$B$14:$B$18,0),1)))</f>
        <v/>
      </c>
      <c r="BG430" s="58" t="str">
        <f>IF($AM430=0,"",IF(NOT(ISNUMBER($I430)),"No stop; ","")&amp;IF(AND(ISNUMBER($H430),ISNUMBER($I430)),IF(OR(AND($F430&lt;&gt;"Short",$I430&gt;=$H430),AND($F430="Short",$I430&lt;=$H430)),"Stop on wrong side; ",""),"")&amp;IF($F430="","No direction; ","")&amp;IF(AND(ISNUMBER(Settings!$C$22),ISNUMBER($V430)),IF($V430&gt;Settings!$C$22,"Risk over max $; ",""),"")&amp;IF(AND(ISNUMBER(Settings!$C$23),ISNUMBER($V430),ISNUMBER($AP430),IFERROR(N(INDEX(Accounts!$E$7:$E$16,MATCH($C430,Accounts!$B$7:$B$16,0))),0)&gt;0),IF($V430&gt;Settings!$C$23*($AP430-N($Q430)),"Risk over max %; ",""),"")&amp;IF(AND(ISNUMBER(Settings!$C$24),ISNUMBER($N430)),IF($N430&gt;Settings!$C$24,"Leverage over max; ",""),"")&amp;IF(AND(ISNUMBER(Settings!$C$27),ISNUMBER($T430)),IF($T430&lt;Settings!$C$27,"R:R below min; ",""),"")&amp;IF(ISNUMBER(Settings!$C$25),IF(COUNTIFS($A$6:$A430,$A430,$AM$6:$AM430,1)&gt;Settings!$C$25,"Over max trades/day; ",""),"")&amp;IF(ISNUMBER(Settings!$C$26),IF(SUMIFS($Q$5:$Q429,$A$5:$A429,$A430)&lt;=-Settings!$C$26,"Traded after daily max loss; ",""),"")&amp;IF(AND($AG430="",NOT(ISNUMBER($O430))),"Symbol not in Instruments; ","")&amp;IF(AND($AH430="",NOT(ISNUMBER($O430))),"Forex cross: type Gross P&amp;L; ",""))</f>
        <v/>
      </c>
      <c r="BH430" s="56">
        <f>IF(ISNUMBER($Q430),1,0)</f>
        <v>0</v>
      </c>
      <c r="BI430" s="56">
        <f>IF($Y430="",0,1)</f>
        <v>0</v>
      </c>
      <c r="BJ430" s="56">
        <f>IF($AB430="",0,1)</f>
        <v>0</v>
      </c>
      <c r="BK430" s="56">
        <f>IF(AND($BH430=1,$W430&lt;&gt;"OK"),1,0)</f>
        <v>0</v>
      </c>
      <c r="BL430" s="55">
        <f>IF(N($AZ430)=0,0,IFERROR(INDEX($AT$6:$AT$1005,MATCH($AZ430,$AY$6:$AY$1005,0)),0))</f>
        <v>1187.10688</v>
      </c>
      <c r="BM430" s="56">
        <f>IF(ISNUMBER(SEARCH("daily max loss",$BG430)),1,0)</f>
        <v>0</v>
      </c>
    </row>
    <row r="431" ht="18" customHeight="1">
      <c r="A431" s="38" t="n"/>
      <c r="B431" s="39" t="n"/>
      <c r="C431" s="40" t="n"/>
      <c r="D431" s="41" t="n"/>
      <c r="E431" s="41" t="n"/>
      <c r="F431" s="41" t="n"/>
      <c r="G431" s="41" t="n"/>
      <c r="H431" s="42" t="n"/>
      <c r="I431" s="42" t="n"/>
      <c r="J431" s="42" t="n"/>
      <c r="K431" s="42" t="n"/>
      <c r="L431" s="41" t="n"/>
      <c r="M431" s="41" t="n"/>
      <c r="N431" s="41" t="n"/>
      <c r="O431" s="43" t="n"/>
      <c r="P431" s="43" t="n"/>
      <c r="Q431" s="44" t="str">
        <f>IF($AM431=0,"",IF(ISNUMBER($AK431),$AK431-N($AL431),""))</f>
        <v/>
      </c>
      <c r="R431" s="45" t="str">
        <f>IF(OR($Q431="",NOT(ISNUMBER($V431))),"",$AK431/$V431)</f>
        <v/>
      </c>
      <c r="S431" s="46" t="str">
        <f>IF($Q431="","",IF(AND(ISNUMBER($R431),ABS(N($R431))&lt;N(Settings!$C$8)),"Scratch",IF($Q431&gt;0,"Win",IF($Q431&lt;0,"Loss","Scratch"))))</f>
        <v/>
      </c>
      <c r="T431" s="47" t="str">
        <f>IF(OR($AM431=0,NOT(ISNUMBER($H431)),NOT(ISNUMBER($I431)),NOT(ISNUMBER($J431))),"",IF($H431=$I431,"",ROUND(ABS($J431-$H431)/ABS($H431-$I431),6)))</f>
        <v/>
      </c>
      <c r="U431" s="48" t="str">
        <f>IF(OR($S431&lt;&gt;"Win",NOT(ISNUMBER($T431)),NOT(ISNUMBER($R431))),"",MAX(0,$T431-$R431))</f>
        <v/>
      </c>
      <c r="V431" s="49" t="str">
        <f>IF(OR($AM431=0,NOT(ISNUMBER($H431)),NOT(ISNUMBER($I431)),NOT(ISNUMBER($G431))),"",IF(OR($AG431="",$AH431=""),"",IF(ROUND(ABS($H431-$I431)*ABS($G431)*$AG431*$AH431,6)=0,"",ROUND(ABS($H431-$I431)*ABS($G431)*$AG431*$AH431,6))))</f>
        <v/>
      </c>
      <c r="W431" s="50" t="str">
        <f>IF($AM431=0,"",IF($BG431="","OK",LEFT($BG431,LEN($BG431)-2)))</f>
        <v/>
      </c>
      <c r="X431" s="41" t="n"/>
      <c r="Y431" s="40" t="n"/>
      <c r="Z431" s="41" t="n"/>
      <c r="AA431" s="41" t="n"/>
      <c r="AB431" s="40" t="n"/>
      <c r="AC431" s="51" t="n"/>
      <c r="AD431" s="51" t="n"/>
      <c r="AE431" s="40" t="n"/>
      <c r="AF431" s="52" t="str">
        <f>IF($AM431=0,"",IF($D431&lt;&gt;"",$D431,IF(IFERROR(INDEX(Accounts!$C$7:$C$16,MATCH($C431,Accounts!$B$7:$B$16,0))&amp;"","")&lt;&gt;"",INDEX(Accounts!$C$7:$C$16,MATCH($C431,Accounts!$B$7:$B$16,0)),Settings!$C$6)))</f>
        <v/>
      </c>
      <c r="AG431" s="53" t="str">
        <f>IF($AM431=0,"",IF(AND($BE431&gt;0,N(INDEX(Instruments!$D$6:$D$205,MAX(1,$BE431)))&gt;0),INDEX(Instruments!$D$6:$D$205,MAX(1,$BE431)),IF(N(INDEX(Settings!$D$14:$D$18,$BF431))&gt;0,INDEX(Settings!$D$14:$D$18,$BF431),"")))</f>
        <v/>
      </c>
      <c r="AH431" s="54" t="str">
        <f>IF($AM431=0,"",IF($AF431&lt;&gt;"Forex",1,IF(MID(UPPER(SUBSTITUTE(TRIM($E431),"/","")),4,3)=UPPER(TRIM(Settings!$C$7)),1,IF(LEFT(UPPER(SUBSTITUTE(TRIM($E431),"/","")),3)=UPPER(TRIM(Settings!$C$7)),IF(AND(ISNUMBER($K431),N($K431)&lt;&gt;0),1/$K431,""),""))))</f>
        <v/>
      </c>
      <c r="AI431" s="55" t="str">
        <f>IF($AM431=0,"",IF(OR(NOT(ISNUMBER($H431)),NOT(ISNUMBER($K431)),NOT(ISNUMBER($G431)),$AG431="",$AH431=""),"",ROUND(($K431-$H431)*IF($F431="Short",-1,1)*$G431*$AG431*$AH431,6)))</f>
        <v/>
      </c>
      <c r="AJ431" s="55" t="str">
        <f>IF($AM431=0,"",IF(INDEX(Settings!$E$14:$E$18,$BF431)="% of notional",IF(OR($AG431="",NOT(ISNUMBER($H431)),NOT(ISNUMBER($G431))),"",ROUND(ABS($H431*$G431*$AG431*N($AH431))*IF($L431="Limit",N(INDEX(Settings!$G$14:$G$18,$BF431)),N(INDEX(Settings!$H$14:$H$18,$BF431)))+IF(ISNUMBER($K431),ABS($K431*$G431*$AG431*N($AH431))*IF($M431="Target",N(INDEX(Settings!$G$14:$G$18,$BF431)),N(INDEX(Settings!$H$14:$H$18,$BF431))),0),6)),IF(NOT(ISNUMBER($G431)),"",ROUND(ABS($G431)*2*IF(AND($BE431&gt;0,ISNUMBER(INDEX(Instruments!$G$6:$G$205,MAX(1,$BE431)))),INDEX(Instruments!$G$6:$G$205,MAX(1,$BE431)),N(INDEX(Settings!$F$14:$F$18,$BF431))),6))))</f>
        <v/>
      </c>
      <c r="AK431" s="55" t="str">
        <f>IF($AM431=0,"",IF(ISNUMBER($O431),$O431,$AI431))</f>
        <v/>
      </c>
      <c r="AL431" s="55" t="str">
        <f>IF($AM431=0,"",IF(ISNUMBER($P431),$P431,N($AJ431)))</f>
        <v/>
      </c>
      <c r="AM431" s="56">
        <f>IF(AND($A431&lt;&gt;"",$E431&lt;&gt;"",OR(AND(ISNUMBER($G431),ISNUMBER($H431),ISNUMBER($K431)),ISNUMBER($O431))),1,0)</f>
        <v>0</v>
      </c>
      <c r="AN431" s="57" t="str">
        <f>IF($A431="","",$A431-WEEKDAY($A431,3))</f>
        <v/>
      </c>
      <c r="AO431" s="56" t="str">
        <f>IF($A431="","",WEEKDAY($A431,2))</f>
        <v/>
      </c>
      <c r="AP431" s="55" t="str">
        <f>IF(OR($AM431=0,$C431=""),"",IFERROR(N(INDEX(Accounts!$E$7:$E$16,MATCH($C431,Accounts!$B$7:$B$16,0))),0)+SUMIFS($Q$6:$Q431,$C$6:$C431,$C431))</f>
        <v/>
      </c>
      <c r="AQ431" s="55" t="str">
        <f>IF(OR($AM431=0,$C431=""),"",SUMIFS($Q$6:$Q$1005,$C$6:$C$1005,$C431,$A$6:$A$1005,$A431))</f>
        <v/>
      </c>
      <c r="AR431" s="55" t="str">
        <f>IF(OR($AM431=0,$C431=""),"",IFERROR(N(INDEX(Accounts!$E$7:$E$16,MATCH($C431,Accounts!$B$7:$B$16,0))),0)+SUMIFS($Q$6:$Q$1005,$C$6:$C$1005,$C431,$A$6:$A$1005,"&lt;="&amp;$A431))</f>
        <v/>
      </c>
      <c r="AS431" s="56">
        <f>IF(OR($AM431=0,$Q431=""),0,IF(AND($A431&gt;=Lists!$W$6,$A431&lt;=Lists!$W$7,OR(Dashboard!$D$6="All accounts",$C431=Dashboard!$D$6),OR(Dashboard!$D$7="All markets",$AF431=Dashboard!$D$7)),1,0))</f>
        <v>0</v>
      </c>
      <c r="AT431" s="55">
        <f>IF($AS431=1,N(AT430)+$Q431,N(AT430))</f>
        <v>1187.10688</v>
      </c>
      <c r="AU431" s="55">
        <f>MAX(N(AU430),$AT431)</f>
        <v>1187.10688</v>
      </c>
      <c r="AV431" s="55">
        <f>$AT431-$AU431</f>
        <v>0</v>
      </c>
      <c r="AW431" s="56">
        <f>IF($AS431=1,IF($S431="Win",N(AW430)+1,IF($S431="Loss",0,N(AW430))),N(AW430))</f>
        <v>5</v>
      </c>
      <c r="AX431" s="56">
        <f>IF($AS431=1,IF($S431="Loss",N(AX430)+1,IF($S431="Win",0,N(AX430))),N(AX430))</f>
        <v>0</v>
      </c>
      <c r="AY431" s="56" t="str">
        <f>IF($AS431=1,COUNTIF($AS$6:$AS431,1),"")</f>
        <v/>
      </c>
      <c r="AZ431" s="56">
        <f>MIN(425,N(Lists!$W$8))</f>
        <v>28</v>
      </c>
      <c r="BA431" s="56">
        <f>IF($AS431=1,IF(COUNTIFS($A$6:$A431,$A431,$AS$6:$AS431,1)=1,1,0),0)</f>
        <v>0</v>
      </c>
      <c r="BB431" s="55" t="str">
        <f>IF($BA431=1,SUMIFS($Q$6:$Q$1005,$A$6:$A$1005,$A431,$AS$6:$AS$1005,1),"")</f>
        <v/>
      </c>
      <c r="BC431" s="56">
        <f>IF(ISNUMBER($R431),1,0)</f>
        <v>0</v>
      </c>
      <c r="BD431" s="55" t="str">
        <f>IF(ISNUMBER($U431),$U431*$V431,"")</f>
        <v/>
      </c>
      <c r="BE431" s="56" t="str">
        <f>IF($AM431=0,"",IFERROR(MATCH($AF431&amp;"|"&amp;UPPER(TRIM($E431)),Lists!$A$6:$A$205,0),0))</f>
        <v/>
      </c>
      <c r="BF431" s="56" t="str">
        <f>IF($AM431=0,"",IFERROR(MATCH($AF431,Settings!$B$14:$B$18,0),IFERROR(MATCH(Settings!$C$6,Settings!$B$14:$B$18,0),1)))</f>
        <v/>
      </c>
      <c r="BG431" s="58" t="str">
        <f>IF($AM431=0,"",IF(NOT(ISNUMBER($I431)),"No stop; ","")&amp;IF(AND(ISNUMBER($H431),ISNUMBER($I431)),IF(OR(AND($F431&lt;&gt;"Short",$I431&gt;=$H431),AND($F431="Short",$I431&lt;=$H431)),"Stop on wrong side; ",""),"")&amp;IF($F431="","No direction; ","")&amp;IF(AND(ISNUMBER(Settings!$C$22),ISNUMBER($V431)),IF($V431&gt;Settings!$C$22,"Risk over max $; ",""),"")&amp;IF(AND(ISNUMBER(Settings!$C$23),ISNUMBER($V431),ISNUMBER($AP431),IFERROR(N(INDEX(Accounts!$E$7:$E$16,MATCH($C431,Accounts!$B$7:$B$16,0))),0)&gt;0),IF($V431&gt;Settings!$C$23*($AP431-N($Q431)),"Risk over max %; ",""),"")&amp;IF(AND(ISNUMBER(Settings!$C$24),ISNUMBER($N431)),IF($N431&gt;Settings!$C$24,"Leverage over max; ",""),"")&amp;IF(AND(ISNUMBER(Settings!$C$27),ISNUMBER($T431)),IF($T431&lt;Settings!$C$27,"R:R below min; ",""),"")&amp;IF(ISNUMBER(Settings!$C$25),IF(COUNTIFS($A$6:$A431,$A431,$AM$6:$AM431,1)&gt;Settings!$C$25,"Over max trades/day; ",""),"")&amp;IF(ISNUMBER(Settings!$C$26),IF(SUMIFS($Q$5:$Q430,$A$5:$A430,$A431)&lt;=-Settings!$C$26,"Traded after daily max loss; ",""),"")&amp;IF(AND($AG431="",NOT(ISNUMBER($O431))),"Symbol not in Instruments; ","")&amp;IF(AND($AH431="",NOT(ISNUMBER($O431))),"Forex cross: type Gross P&amp;L; ",""))</f>
        <v/>
      </c>
      <c r="BH431" s="56">
        <f>IF(ISNUMBER($Q431),1,0)</f>
        <v>0</v>
      </c>
      <c r="BI431" s="56">
        <f>IF($Y431="",0,1)</f>
        <v>0</v>
      </c>
      <c r="BJ431" s="56">
        <f>IF($AB431="",0,1)</f>
        <v>0</v>
      </c>
      <c r="BK431" s="56">
        <f>IF(AND($BH431=1,$W431&lt;&gt;"OK"),1,0)</f>
        <v>0</v>
      </c>
      <c r="BL431" s="55">
        <f>IF(N($AZ431)=0,0,IFERROR(INDEX($AT$6:$AT$1005,MATCH($AZ431,$AY$6:$AY$1005,0)),0))</f>
        <v>1187.10688</v>
      </c>
      <c r="BM431" s="56">
        <f>IF(ISNUMBER(SEARCH("daily max loss",$BG431)),1,0)</f>
        <v>0</v>
      </c>
    </row>
    <row r="432" ht="18" customHeight="1">
      <c r="A432" s="38" t="n"/>
      <c r="B432" s="39" t="n"/>
      <c r="C432" s="40" t="n"/>
      <c r="D432" s="41" t="n"/>
      <c r="E432" s="41" t="n"/>
      <c r="F432" s="41" t="n"/>
      <c r="G432" s="41" t="n"/>
      <c r="H432" s="42" t="n"/>
      <c r="I432" s="42" t="n"/>
      <c r="J432" s="42" t="n"/>
      <c r="K432" s="42" t="n"/>
      <c r="L432" s="41" t="n"/>
      <c r="M432" s="41" t="n"/>
      <c r="N432" s="41" t="n"/>
      <c r="O432" s="43" t="n"/>
      <c r="P432" s="43" t="n"/>
      <c r="Q432" s="44" t="str">
        <f>IF($AM432=0,"",IF(ISNUMBER($AK432),$AK432-N($AL432),""))</f>
        <v/>
      </c>
      <c r="R432" s="45" t="str">
        <f>IF(OR($Q432="",NOT(ISNUMBER($V432))),"",$AK432/$V432)</f>
        <v/>
      </c>
      <c r="S432" s="46" t="str">
        <f>IF($Q432="","",IF(AND(ISNUMBER($R432),ABS(N($R432))&lt;N(Settings!$C$8)),"Scratch",IF($Q432&gt;0,"Win",IF($Q432&lt;0,"Loss","Scratch"))))</f>
        <v/>
      </c>
      <c r="T432" s="47" t="str">
        <f>IF(OR($AM432=0,NOT(ISNUMBER($H432)),NOT(ISNUMBER($I432)),NOT(ISNUMBER($J432))),"",IF($H432=$I432,"",ROUND(ABS($J432-$H432)/ABS($H432-$I432),6)))</f>
        <v/>
      </c>
      <c r="U432" s="48" t="str">
        <f>IF(OR($S432&lt;&gt;"Win",NOT(ISNUMBER($T432)),NOT(ISNUMBER($R432))),"",MAX(0,$T432-$R432))</f>
        <v/>
      </c>
      <c r="V432" s="49" t="str">
        <f>IF(OR($AM432=0,NOT(ISNUMBER($H432)),NOT(ISNUMBER($I432)),NOT(ISNUMBER($G432))),"",IF(OR($AG432="",$AH432=""),"",IF(ROUND(ABS($H432-$I432)*ABS($G432)*$AG432*$AH432,6)=0,"",ROUND(ABS($H432-$I432)*ABS($G432)*$AG432*$AH432,6))))</f>
        <v/>
      </c>
      <c r="W432" s="50" t="str">
        <f>IF($AM432=0,"",IF($BG432="","OK",LEFT($BG432,LEN($BG432)-2)))</f>
        <v/>
      </c>
      <c r="X432" s="41" t="n"/>
      <c r="Y432" s="40" t="n"/>
      <c r="Z432" s="41" t="n"/>
      <c r="AA432" s="41" t="n"/>
      <c r="AB432" s="40" t="n"/>
      <c r="AC432" s="51" t="n"/>
      <c r="AD432" s="51" t="n"/>
      <c r="AE432" s="40" t="n"/>
      <c r="AF432" s="52" t="str">
        <f>IF($AM432=0,"",IF($D432&lt;&gt;"",$D432,IF(IFERROR(INDEX(Accounts!$C$7:$C$16,MATCH($C432,Accounts!$B$7:$B$16,0))&amp;"","")&lt;&gt;"",INDEX(Accounts!$C$7:$C$16,MATCH($C432,Accounts!$B$7:$B$16,0)),Settings!$C$6)))</f>
        <v/>
      </c>
      <c r="AG432" s="53" t="str">
        <f>IF($AM432=0,"",IF(AND($BE432&gt;0,N(INDEX(Instruments!$D$6:$D$205,MAX(1,$BE432)))&gt;0),INDEX(Instruments!$D$6:$D$205,MAX(1,$BE432)),IF(N(INDEX(Settings!$D$14:$D$18,$BF432))&gt;0,INDEX(Settings!$D$14:$D$18,$BF432),"")))</f>
        <v/>
      </c>
      <c r="AH432" s="54" t="str">
        <f>IF($AM432=0,"",IF($AF432&lt;&gt;"Forex",1,IF(MID(UPPER(SUBSTITUTE(TRIM($E432),"/","")),4,3)=UPPER(TRIM(Settings!$C$7)),1,IF(LEFT(UPPER(SUBSTITUTE(TRIM($E432),"/","")),3)=UPPER(TRIM(Settings!$C$7)),IF(AND(ISNUMBER($K432),N($K432)&lt;&gt;0),1/$K432,""),""))))</f>
        <v/>
      </c>
      <c r="AI432" s="55" t="str">
        <f>IF($AM432=0,"",IF(OR(NOT(ISNUMBER($H432)),NOT(ISNUMBER($K432)),NOT(ISNUMBER($G432)),$AG432="",$AH432=""),"",ROUND(($K432-$H432)*IF($F432="Short",-1,1)*$G432*$AG432*$AH432,6)))</f>
        <v/>
      </c>
      <c r="AJ432" s="55" t="str">
        <f>IF($AM432=0,"",IF(INDEX(Settings!$E$14:$E$18,$BF432)="% of notional",IF(OR($AG432="",NOT(ISNUMBER($H432)),NOT(ISNUMBER($G432))),"",ROUND(ABS($H432*$G432*$AG432*N($AH432))*IF($L432="Limit",N(INDEX(Settings!$G$14:$G$18,$BF432)),N(INDEX(Settings!$H$14:$H$18,$BF432)))+IF(ISNUMBER($K432),ABS($K432*$G432*$AG432*N($AH432))*IF($M432="Target",N(INDEX(Settings!$G$14:$G$18,$BF432)),N(INDEX(Settings!$H$14:$H$18,$BF432))),0),6)),IF(NOT(ISNUMBER($G432)),"",ROUND(ABS($G432)*2*IF(AND($BE432&gt;0,ISNUMBER(INDEX(Instruments!$G$6:$G$205,MAX(1,$BE432)))),INDEX(Instruments!$G$6:$G$205,MAX(1,$BE432)),N(INDEX(Settings!$F$14:$F$18,$BF432))),6))))</f>
        <v/>
      </c>
      <c r="AK432" s="55" t="str">
        <f>IF($AM432=0,"",IF(ISNUMBER($O432),$O432,$AI432))</f>
        <v/>
      </c>
      <c r="AL432" s="55" t="str">
        <f>IF($AM432=0,"",IF(ISNUMBER($P432),$P432,N($AJ432)))</f>
        <v/>
      </c>
      <c r="AM432" s="56">
        <f>IF(AND($A432&lt;&gt;"",$E432&lt;&gt;"",OR(AND(ISNUMBER($G432),ISNUMBER($H432),ISNUMBER($K432)),ISNUMBER($O432))),1,0)</f>
        <v>0</v>
      </c>
      <c r="AN432" s="57" t="str">
        <f>IF($A432="","",$A432-WEEKDAY($A432,3))</f>
        <v/>
      </c>
      <c r="AO432" s="56" t="str">
        <f>IF($A432="","",WEEKDAY($A432,2))</f>
        <v/>
      </c>
      <c r="AP432" s="55" t="str">
        <f>IF(OR($AM432=0,$C432=""),"",IFERROR(N(INDEX(Accounts!$E$7:$E$16,MATCH($C432,Accounts!$B$7:$B$16,0))),0)+SUMIFS($Q$6:$Q432,$C$6:$C432,$C432))</f>
        <v/>
      </c>
      <c r="AQ432" s="55" t="str">
        <f>IF(OR($AM432=0,$C432=""),"",SUMIFS($Q$6:$Q$1005,$C$6:$C$1005,$C432,$A$6:$A$1005,$A432))</f>
        <v/>
      </c>
      <c r="AR432" s="55" t="str">
        <f>IF(OR($AM432=0,$C432=""),"",IFERROR(N(INDEX(Accounts!$E$7:$E$16,MATCH($C432,Accounts!$B$7:$B$16,0))),0)+SUMIFS($Q$6:$Q$1005,$C$6:$C$1005,$C432,$A$6:$A$1005,"&lt;="&amp;$A432))</f>
        <v/>
      </c>
      <c r="AS432" s="56">
        <f>IF(OR($AM432=0,$Q432=""),0,IF(AND($A432&gt;=Lists!$W$6,$A432&lt;=Lists!$W$7,OR(Dashboard!$D$6="All accounts",$C432=Dashboard!$D$6),OR(Dashboard!$D$7="All markets",$AF432=Dashboard!$D$7)),1,0))</f>
        <v>0</v>
      </c>
      <c r="AT432" s="55">
        <f>IF($AS432=1,N(AT431)+$Q432,N(AT431))</f>
        <v>1187.10688</v>
      </c>
      <c r="AU432" s="55">
        <f>MAX(N(AU431),$AT432)</f>
        <v>1187.10688</v>
      </c>
      <c r="AV432" s="55">
        <f>$AT432-$AU432</f>
        <v>0</v>
      </c>
      <c r="AW432" s="56">
        <f>IF($AS432=1,IF($S432="Win",N(AW431)+1,IF($S432="Loss",0,N(AW431))),N(AW431))</f>
        <v>5</v>
      </c>
      <c r="AX432" s="56">
        <f>IF($AS432=1,IF($S432="Loss",N(AX431)+1,IF($S432="Win",0,N(AX431))),N(AX431))</f>
        <v>0</v>
      </c>
      <c r="AY432" s="56" t="str">
        <f>IF($AS432=1,COUNTIF($AS$6:$AS432,1),"")</f>
        <v/>
      </c>
      <c r="AZ432" s="56">
        <f>MIN(426,N(Lists!$W$8))</f>
        <v>28</v>
      </c>
      <c r="BA432" s="56">
        <f>IF($AS432=1,IF(COUNTIFS($A$6:$A432,$A432,$AS$6:$AS432,1)=1,1,0),0)</f>
        <v>0</v>
      </c>
      <c r="BB432" s="55" t="str">
        <f>IF($BA432=1,SUMIFS($Q$6:$Q$1005,$A$6:$A$1005,$A432,$AS$6:$AS$1005,1),"")</f>
        <v/>
      </c>
      <c r="BC432" s="56">
        <f>IF(ISNUMBER($R432),1,0)</f>
        <v>0</v>
      </c>
      <c r="BD432" s="55" t="str">
        <f>IF(ISNUMBER($U432),$U432*$V432,"")</f>
        <v/>
      </c>
      <c r="BE432" s="56" t="str">
        <f>IF($AM432=0,"",IFERROR(MATCH($AF432&amp;"|"&amp;UPPER(TRIM($E432)),Lists!$A$6:$A$205,0),0))</f>
        <v/>
      </c>
      <c r="BF432" s="56" t="str">
        <f>IF($AM432=0,"",IFERROR(MATCH($AF432,Settings!$B$14:$B$18,0),IFERROR(MATCH(Settings!$C$6,Settings!$B$14:$B$18,0),1)))</f>
        <v/>
      </c>
      <c r="BG432" s="58" t="str">
        <f>IF($AM432=0,"",IF(NOT(ISNUMBER($I432)),"No stop; ","")&amp;IF(AND(ISNUMBER($H432),ISNUMBER($I432)),IF(OR(AND($F432&lt;&gt;"Short",$I432&gt;=$H432),AND($F432="Short",$I432&lt;=$H432)),"Stop on wrong side; ",""),"")&amp;IF($F432="","No direction; ","")&amp;IF(AND(ISNUMBER(Settings!$C$22),ISNUMBER($V432)),IF($V432&gt;Settings!$C$22,"Risk over max $; ",""),"")&amp;IF(AND(ISNUMBER(Settings!$C$23),ISNUMBER($V432),ISNUMBER($AP432),IFERROR(N(INDEX(Accounts!$E$7:$E$16,MATCH($C432,Accounts!$B$7:$B$16,0))),0)&gt;0),IF($V432&gt;Settings!$C$23*($AP432-N($Q432)),"Risk over max %; ",""),"")&amp;IF(AND(ISNUMBER(Settings!$C$24),ISNUMBER($N432)),IF($N432&gt;Settings!$C$24,"Leverage over max; ",""),"")&amp;IF(AND(ISNUMBER(Settings!$C$27),ISNUMBER($T432)),IF($T432&lt;Settings!$C$27,"R:R below min; ",""),"")&amp;IF(ISNUMBER(Settings!$C$25),IF(COUNTIFS($A$6:$A432,$A432,$AM$6:$AM432,1)&gt;Settings!$C$25,"Over max trades/day; ",""),"")&amp;IF(ISNUMBER(Settings!$C$26),IF(SUMIFS($Q$5:$Q431,$A$5:$A431,$A432)&lt;=-Settings!$C$26,"Traded after daily max loss; ",""),"")&amp;IF(AND($AG432="",NOT(ISNUMBER($O432))),"Symbol not in Instruments; ","")&amp;IF(AND($AH432="",NOT(ISNUMBER($O432))),"Forex cross: type Gross P&amp;L; ",""))</f>
        <v/>
      </c>
      <c r="BH432" s="56">
        <f>IF(ISNUMBER($Q432),1,0)</f>
        <v>0</v>
      </c>
      <c r="BI432" s="56">
        <f>IF($Y432="",0,1)</f>
        <v>0</v>
      </c>
      <c r="BJ432" s="56">
        <f>IF($AB432="",0,1)</f>
        <v>0</v>
      </c>
      <c r="BK432" s="56">
        <f>IF(AND($BH432=1,$W432&lt;&gt;"OK"),1,0)</f>
        <v>0</v>
      </c>
      <c r="BL432" s="55">
        <f>IF(N($AZ432)=0,0,IFERROR(INDEX($AT$6:$AT$1005,MATCH($AZ432,$AY$6:$AY$1005,0)),0))</f>
        <v>1187.10688</v>
      </c>
      <c r="BM432" s="56">
        <f>IF(ISNUMBER(SEARCH("daily max loss",$BG432)),1,0)</f>
        <v>0</v>
      </c>
    </row>
    <row r="433" ht="18" customHeight="1">
      <c r="A433" s="38" t="n"/>
      <c r="B433" s="39" t="n"/>
      <c r="C433" s="40" t="n"/>
      <c r="D433" s="41" t="n"/>
      <c r="E433" s="41" t="n"/>
      <c r="F433" s="41" t="n"/>
      <c r="G433" s="41" t="n"/>
      <c r="H433" s="42" t="n"/>
      <c r="I433" s="42" t="n"/>
      <c r="J433" s="42" t="n"/>
      <c r="K433" s="42" t="n"/>
      <c r="L433" s="41" t="n"/>
      <c r="M433" s="41" t="n"/>
      <c r="N433" s="41" t="n"/>
      <c r="O433" s="43" t="n"/>
      <c r="P433" s="43" t="n"/>
      <c r="Q433" s="44" t="str">
        <f>IF($AM433=0,"",IF(ISNUMBER($AK433),$AK433-N($AL433),""))</f>
        <v/>
      </c>
      <c r="R433" s="45" t="str">
        <f>IF(OR($Q433="",NOT(ISNUMBER($V433))),"",$AK433/$V433)</f>
        <v/>
      </c>
      <c r="S433" s="46" t="str">
        <f>IF($Q433="","",IF(AND(ISNUMBER($R433),ABS(N($R433))&lt;N(Settings!$C$8)),"Scratch",IF($Q433&gt;0,"Win",IF($Q433&lt;0,"Loss","Scratch"))))</f>
        <v/>
      </c>
      <c r="T433" s="47" t="str">
        <f>IF(OR($AM433=0,NOT(ISNUMBER($H433)),NOT(ISNUMBER($I433)),NOT(ISNUMBER($J433))),"",IF($H433=$I433,"",ROUND(ABS($J433-$H433)/ABS($H433-$I433),6)))</f>
        <v/>
      </c>
      <c r="U433" s="48" t="str">
        <f>IF(OR($S433&lt;&gt;"Win",NOT(ISNUMBER($T433)),NOT(ISNUMBER($R433))),"",MAX(0,$T433-$R433))</f>
        <v/>
      </c>
      <c r="V433" s="49" t="str">
        <f>IF(OR($AM433=0,NOT(ISNUMBER($H433)),NOT(ISNUMBER($I433)),NOT(ISNUMBER($G433))),"",IF(OR($AG433="",$AH433=""),"",IF(ROUND(ABS($H433-$I433)*ABS($G433)*$AG433*$AH433,6)=0,"",ROUND(ABS($H433-$I433)*ABS($G433)*$AG433*$AH433,6))))</f>
        <v/>
      </c>
      <c r="W433" s="50" t="str">
        <f>IF($AM433=0,"",IF($BG433="","OK",LEFT($BG433,LEN($BG433)-2)))</f>
        <v/>
      </c>
      <c r="X433" s="41" t="n"/>
      <c r="Y433" s="40" t="n"/>
      <c r="Z433" s="41" t="n"/>
      <c r="AA433" s="41" t="n"/>
      <c r="AB433" s="40" t="n"/>
      <c r="AC433" s="51" t="n"/>
      <c r="AD433" s="51" t="n"/>
      <c r="AE433" s="40" t="n"/>
      <c r="AF433" s="52" t="str">
        <f>IF($AM433=0,"",IF($D433&lt;&gt;"",$D433,IF(IFERROR(INDEX(Accounts!$C$7:$C$16,MATCH($C433,Accounts!$B$7:$B$16,0))&amp;"","")&lt;&gt;"",INDEX(Accounts!$C$7:$C$16,MATCH($C433,Accounts!$B$7:$B$16,0)),Settings!$C$6)))</f>
        <v/>
      </c>
      <c r="AG433" s="53" t="str">
        <f>IF($AM433=0,"",IF(AND($BE433&gt;0,N(INDEX(Instruments!$D$6:$D$205,MAX(1,$BE433)))&gt;0),INDEX(Instruments!$D$6:$D$205,MAX(1,$BE433)),IF(N(INDEX(Settings!$D$14:$D$18,$BF433))&gt;0,INDEX(Settings!$D$14:$D$18,$BF433),"")))</f>
        <v/>
      </c>
      <c r="AH433" s="54" t="str">
        <f>IF($AM433=0,"",IF($AF433&lt;&gt;"Forex",1,IF(MID(UPPER(SUBSTITUTE(TRIM($E433),"/","")),4,3)=UPPER(TRIM(Settings!$C$7)),1,IF(LEFT(UPPER(SUBSTITUTE(TRIM($E433),"/","")),3)=UPPER(TRIM(Settings!$C$7)),IF(AND(ISNUMBER($K433),N($K433)&lt;&gt;0),1/$K433,""),""))))</f>
        <v/>
      </c>
      <c r="AI433" s="55" t="str">
        <f>IF($AM433=0,"",IF(OR(NOT(ISNUMBER($H433)),NOT(ISNUMBER($K433)),NOT(ISNUMBER($G433)),$AG433="",$AH433=""),"",ROUND(($K433-$H433)*IF($F433="Short",-1,1)*$G433*$AG433*$AH433,6)))</f>
        <v/>
      </c>
      <c r="AJ433" s="55" t="str">
        <f>IF($AM433=0,"",IF(INDEX(Settings!$E$14:$E$18,$BF433)="% of notional",IF(OR($AG433="",NOT(ISNUMBER($H433)),NOT(ISNUMBER($G433))),"",ROUND(ABS($H433*$G433*$AG433*N($AH433))*IF($L433="Limit",N(INDEX(Settings!$G$14:$G$18,$BF433)),N(INDEX(Settings!$H$14:$H$18,$BF433)))+IF(ISNUMBER($K433),ABS($K433*$G433*$AG433*N($AH433))*IF($M433="Target",N(INDEX(Settings!$G$14:$G$18,$BF433)),N(INDEX(Settings!$H$14:$H$18,$BF433))),0),6)),IF(NOT(ISNUMBER($G433)),"",ROUND(ABS($G433)*2*IF(AND($BE433&gt;0,ISNUMBER(INDEX(Instruments!$G$6:$G$205,MAX(1,$BE433)))),INDEX(Instruments!$G$6:$G$205,MAX(1,$BE433)),N(INDEX(Settings!$F$14:$F$18,$BF433))),6))))</f>
        <v/>
      </c>
      <c r="AK433" s="55" t="str">
        <f>IF($AM433=0,"",IF(ISNUMBER($O433),$O433,$AI433))</f>
        <v/>
      </c>
      <c r="AL433" s="55" t="str">
        <f>IF($AM433=0,"",IF(ISNUMBER($P433),$P433,N($AJ433)))</f>
        <v/>
      </c>
      <c r="AM433" s="56">
        <f>IF(AND($A433&lt;&gt;"",$E433&lt;&gt;"",OR(AND(ISNUMBER($G433),ISNUMBER($H433),ISNUMBER($K433)),ISNUMBER($O433))),1,0)</f>
        <v>0</v>
      </c>
      <c r="AN433" s="57" t="str">
        <f>IF($A433="","",$A433-WEEKDAY($A433,3))</f>
        <v/>
      </c>
      <c r="AO433" s="56" t="str">
        <f>IF($A433="","",WEEKDAY($A433,2))</f>
        <v/>
      </c>
      <c r="AP433" s="55" t="str">
        <f>IF(OR($AM433=0,$C433=""),"",IFERROR(N(INDEX(Accounts!$E$7:$E$16,MATCH($C433,Accounts!$B$7:$B$16,0))),0)+SUMIFS($Q$6:$Q433,$C$6:$C433,$C433))</f>
        <v/>
      </c>
      <c r="AQ433" s="55" t="str">
        <f>IF(OR($AM433=0,$C433=""),"",SUMIFS($Q$6:$Q$1005,$C$6:$C$1005,$C433,$A$6:$A$1005,$A433))</f>
        <v/>
      </c>
      <c r="AR433" s="55" t="str">
        <f>IF(OR($AM433=0,$C433=""),"",IFERROR(N(INDEX(Accounts!$E$7:$E$16,MATCH($C433,Accounts!$B$7:$B$16,0))),0)+SUMIFS($Q$6:$Q$1005,$C$6:$C$1005,$C433,$A$6:$A$1005,"&lt;="&amp;$A433))</f>
        <v/>
      </c>
      <c r="AS433" s="56">
        <f>IF(OR($AM433=0,$Q433=""),0,IF(AND($A433&gt;=Lists!$W$6,$A433&lt;=Lists!$W$7,OR(Dashboard!$D$6="All accounts",$C433=Dashboard!$D$6),OR(Dashboard!$D$7="All markets",$AF433=Dashboard!$D$7)),1,0))</f>
        <v>0</v>
      </c>
      <c r="AT433" s="55">
        <f>IF($AS433=1,N(AT432)+$Q433,N(AT432))</f>
        <v>1187.10688</v>
      </c>
      <c r="AU433" s="55">
        <f>MAX(N(AU432),$AT433)</f>
        <v>1187.10688</v>
      </c>
      <c r="AV433" s="55">
        <f>$AT433-$AU433</f>
        <v>0</v>
      </c>
      <c r="AW433" s="56">
        <f>IF($AS433=1,IF($S433="Win",N(AW432)+1,IF($S433="Loss",0,N(AW432))),N(AW432))</f>
        <v>5</v>
      </c>
      <c r="AX433" s="56">
        <f>IF($AS433=1,IF($S433="Loss",N(AX432)+1,IF($S433="Win",0,N(AX432))),N(AX432))</f>
        <v>0</v>
      </c>
      <c r="AY433" s="56" t="str">
        <f>IF($AS433=1,COUNTIF($AS$6:$AS433,1),"")</f>
        <v/>
      </c>
      <c r="AZ433" s="56">
        <f>MIN(427,N(Lists!$W$8))</f>
        <v>28</v>
      </c>
      <c r="BA433" s="56">
        <f>IF($AS433=1,IF(COUNTIFS($A$6:$A433,$A433,$AS$6:$AS433,1)=1,1,0),0)</f>
        <v>0</v>
      </c>
      <c r="BB433" s="55" t="str">
        <f>IF($BA433=1,SUMIFS($Q$6:$Q$1005,$A$6:$A$1005,$A433,$AS$6:$AS$1005,1),"")</f>
        <v/>
      </c>
      <c r="BC433" s="56">
        <f>IF(ISNUMBER($R433),1,0)</f>
        <v>0</v>
      </c>
      <c r="BD433" s="55" t="str">
        <f>IF(ISNUMBER($U433),$U433*$V433,"")</f>
        <v/>
      </c>
      <c r="BE433" s="56" t="str">
        <f>IF($AM433=0,"",IFERROR(MATCH($AF433&amp;"|"&amp;UPPER(TRIM($E433)),Lists!$A$6:$A$205,0),0))</f>
        <v/>
      </c>
      <c r="BF433" s="56" t="str">
        <f>IF($AM433=0,"",IFERROR(MATCH($AF433,Settings!$B$14:$B$18,0),IFERROR(MATCH(Settings!$C$6,Settings!$B$14:$B$18,0),1)))</f>
        <v/>
      </c>
      <c r="BG433" s="58" t="str">
        <f>IF($AM433=0,"",IF(NOT(ISNUMBER($I433)),"No stop; ","")&amp;IF(AND(ISNUMBER($H433),ISNUMBER($I433)),IF(OR(AND($F433&lt;&gt;"Short",$I433&gt;=$H433),AND($F433="Short",$I433&lt;=$H433)),"Stop on wrong side; ",""),"")&amp;IF($F433="","No direction; ","")&amp;IF(AND(ISNUMBER(Settings!$C$22),ISNUMBER($V433)),IF($V433&gt;Settings!$C$22,"Risk over max $; ",""),"")&amp;IF(AND(ISNUMBER(Settings!$C$23),ISNUMBER($V433),ISNUMBER($AP433),IFERROR(N(INDEX(Accounts!$E$7:$E$16,MATCH($C433,Accounts!$B$7:$B$16,0))),0)&gt;0),IF($V433&gt;Settings!$C$23*($AP433-N($Q433)),"Risk over max %; ",""),"")&amp;IF(AND(ISNUMBER(Settings!$C$24),ISNUMBER($N433)),IF($N433&gt;Settings!$C$24,"Leverage over max; ",""),"")&amp;IF(AND(ISNUMBER(Settings!$C$27),ISNUMBER($T433)),IF($T433&lt;Settings!$C$27,"R:R below min; ",""),"")&amp;IF(ISNUMBER(Settings!$C$25),IF(COUNTIFS($A$6:$A433,$A433,$AM$6:$AM433,1)&gt;Settings!$C$25,"Over max trades/day; ",""),"")&amp;IF(ISNUMBER(Settings!$C$26),IF(SUMIFS($Q$5:$Q432,$A$5:$A432,$A433)&lt;=-Settings!$C$26,"Traded after daily max loss; ",""),"")&amp;IF(AND($AG433="",NOT(ISNUMBER($O433))),"Symbol not in Instruments; ","")&amp;IF(AND($AH433="",NOT(ISNUMBER($O433))),"Forex cross: type Gross P&amp;L; ",""))</f>
        <v/>
      </c>
      <c r="BH433" s="56">
        <f>IF(ISNUMBER($Q433),1,0)</f>
        <v>0</v>
      </c>
      <c r="BI433" s="56">
        <f>IF($Y433="",0,1)</f>
        <v>0</v>
      </c>
      <c r="BJ433" s="56">
        <f>IF($AB433="",0,1)</f>
        <v>0</v>
      </c>
      <c r="BK433" s="56">
        <f>IF(AND($BH433=1,$W433&lt;&gt;"OK"),1,0)</f>
        <v>0</v>
      </c>
      <c r="BL433" s="55">
        <f>IF(N($AZ433)=0,0,IFERROR(INDEX($AT$6:$AT$1005,MATCH($AZ433,$AY$6:$AY$1005,0)),0))</f>
        <v>1187.10688</v>
      </c>
      <c r="BM433" s="56">
        <f>IF(ISNUMBER(SEARCH("daily max loss",$BG433)),1,0)</f>
        <v>0</v>
      </c>
    </row>
    <row r="434" ht="18" customHeight="1">
      <c r="A434" s="38" t="n"/>
      <c r="B434" s="39" t="n"/>
      <c r="C434" s="40" t="n"/>
      <c r="D434" s="41" t="n"/>
      <c r="E434" s="41" t="n"/>
      <c r="F434" s="41" t="n"/>
      <c r="G434" s="41" t="n"/>
      <c r="H434" s="42" t="n"/>
      <c r="I434" s="42" t="n"/>
      <c r="J434" s="42" t="n"/>
      <c r="K434" s="42" t="n"/>
      <c r="L434" s="41" t="n"/>
      <c r="M434" s="41" t="n"/>
      <c r="N434" s="41" t="n"/>
      <c r="O434" s="43" t="n"/>
      <c r="P434" s="43" t="n"/>
      <c r="Q434" s="44" t="str">
        <f>IF($AM434=0,"",IF(ISNUMBER($AK434),$AK434-N($AL434),""))</f>
        <v/>
      </c>
      <c r="R434" s="45" t="str">
        <f>IF(OR($Q434="",NOT(ISNUMBER($V434))),"",$AK434/$V434)</f>
        <v/>
      </c>
      <c r="S434" s="46" t="str">
        <f>IF($Q434="","",IF(AND(ISNUMBER($R434),ABS(N($R434))&lt;N(Settings!$C$8)),"Scratch",IF($Q434&gt;0,"Win",IF($Q434&lt;0,"Loss","Scratch"))))</f>
        <v/>
      </c>
      <c r="T434" s="47" t="str">
        <f>IF(OR($AM434=0,NOT(ISNUMBER($H434)),NOT(ISNUMBER($I434)),NOT(ISNUMBER($J434))),"",IF($H434=$I434,"",ROUND(ABS($J434-$H434)/ABS($H434-$I434),6)))</f>
        <v/>
      </c>
      <c r="U434" s="48" t="str">
        <f>IF(OR($S434&lt;&gt;"Win",NOT(ISNUMBER($T434)),NOT(ISNUMBER($R434))),"",MAX(0,$T434-$R434))</f>
        <v/>
      </c>
      <c r="V434" s="49" t="str">
        <f>IF(OR($AM434=0,NOT(ISNUMBER($H434)),NOT(ISNUMBER($I434)),NOT(ISNUMBER($G434))),"",IF(OR($AG434="",$AH434=""),"",IF(ROUND(ABS($H434-$I434)*ABS($G434)*$AG434*$AH434,6)=0,"",ROUND(ABS($H434-$I434)*ABS($G434)*$AG434*$AH434,6))))</f>
        <v/>
      </c>
      <c r="W434" s="50" t="str">
        <f>IF($AM434=0,"",IF($BG434="","OK",LEFT($BG434,LEN($BG434)-2)))</f>
        <v/>
      </c>
      <c r="X434" s="41" t="n"/>
      <c r="Y434" s="40" t="n"/>
      <c r="Z434" s="41" t="n"/>
      <c r="AA434" s="41" t="n"/>
      <c r="AB434" s="40" t="n"/>
      <c r="AC434" s="51" t="n"/>
      <c r="AD434" s="51" t="n"/>
      <c r="AE434" s="40" t="n"/>
      <c r="AF434" s="52" t="str">
        <f>IF($AM434=0,"",IF($D434&lt;&gt;"",$D434,IF(IFERROR(INDEX(Accounts!$C$7:$C$16,MATCH($C434,Accounts!$B$7:$B$16,0))&amp;"","")&lt;&gt;"",INDEX(Accounts!$C$7:$C$16,MATCH($C434,Accounts!$B$7:$B$16,0)),Settings!$C$6)))</f>
        <v/>
      </c>
      <c r="AG434" s="53" t="str">
        <f>IF($AM434=0,"",IF(AND($BE434&gt;0,N(INDEX(Instruments!$D$6:$D$205,MAX(1,$BE434)))&gt;0),INDEX(Instruments!$D$6:$D$205,MAX(1,$BE434)),IF(N(INDEX(Settings!$D$14:$D$18,$BF434))&gt;0,INDEX(Settings!$D$14:$D$18,$BF434),"")))</f>
        <v/>
      </c>
      <c r="AH434" s="54" t="str">
        <f>IF($AM434=0,"",IF($AF434&lt;&gt;"Forex",1,IF(MID(UPPER(SUBSTITUTE(TRIM($E434),"/","")),4,3)=UPPER(TRIM(Settings!$C$7)),1,IF(LEFT(UPPER(SUBSTITUTE(TRIM($E434),"/","")),3)=UPPER(TRIM(Settings!$C$7)),IF(AND(ISNUMBER($K434),N($K434)&lt;&gt;0),1/$K434,""),""))))</f>
        <v/>
      </c>
      <c r="AI434" s="55" t="str">
        <f>IF($AM434=0,"",IF(OR(NOT(ISNUMBER($H434)),NOT(ISNUMBER($K434)),NOT(ISNUMBER($G434)),$AG434="",$AH434=""),"",ROUND(($K434-$H434)*IF($F434="Short",-1,1)*$G434*$AG434*$AH434,6)))</f>
        <v/>
      </c>
      <c r="AJ434" s="55" t="str">
        <f>IF($AM434=0,"",IF(INDEX(Settings!$E$14:$E$18,$BF434)="% of notional",IF(OR($AG434="",NOT(ISNUMBER($H434)),NOT(ISNUMBER($G434))),"",ROUND(ABS($H434*$G434*$AG434*N($AH434))*IF($L434="Limit",N(INDEX(Settings!$G$14:$G$18,$BF434)),N(INDEX(Settings!$H$14:$H$18,$BF434)))+IF(ISNUMBER($K434),ABS($K434*$G434*$AG434*N($AH434))*IF($M434="Target",N(INDEX(Settings!$G$14:$G$18,$BF434)),N(INDEX(Settings!$H$14:$H$18,$BF434))),0),6)),IF(NOT(ISNUMBER($G434)),"",ROUND(ABS($G434)*2*IF(AND($BE434&gt;0,ISNUMBER(INDEX(Instruments!$G$6:$G$205,MAX(1,$BE434)))),INDEX(Instruments!$G$6:$G$205,MAX(1,$BE434)),N(INDEX(Settings!$F$14:$F$18,$BF434))),6))))</f>
        <v/>
      </c>
      <c r="AK434" s="55" t="str">
        <f>IF($AM434=0,"",IF(ISNUMBER($O434),$O434,$AI434))</f>
        <v/>
      </c>
      <c r="AL434" s="55" t="str">
        <f>IF($AM434=0,"",IF(ISNUMBER($P434),$P434,N($AJ434)))</f>
        <v/>
      </c>
      <c r="AM434" s="56">
        <f>IF(AND($A434&lt;&gt;"",$E434&lt;&gt;"",OR(AND(ISNUMBER($G434),ISNUMBER($H434),ISNUMBER($K434)),ISNUMBER($O434))),1,0)</f>
        <v>0</v>
      </c>
      <c r="AN434" s="57" t="str">
        <f>IF($A434="","",$A434-WEEKDAY($A434,3))</f>
        <v/>
      </c>
      <c r="AO434" s="56" t="str">
        <f>IF($A434="","",WEEKDAY($A434,2))</f>
        <v/>
      </c>
      <c r="AP434" s="55" t="str">
        <f>IF(OR($AM434=0,$C434=""),"",IFERROR(N(INDEX(Accounts!$E$7:$E$16,MATCH($C434,Accounts!$B$7:$B$16,0))),0)+SUMIFS($Q$6:$Q434,$C$6:$C434,$C434))</f>
        <v/>
      </c>
      <c r="AQ434" s="55" t="str">
        <f>IF(OR($AM434=0,$C434=""),"",SUMIFS($Q$6:$Q$1005,$C$6:$C$1005,$C434,$A$6:$A$1005,$A434))</f>
        <v/>
      </c>
      <c r="AR434" s="55" t="str">
        <f>IF(OR($AM434=0,$C434=""),"",IFERROR(N(INDEX(Accounts!$E$7:$E$16,MATCH($C434,Accounts!$B$7:$B$16,0))),0)+SUMIFS($Q$6:$Q$1005,$C$6:$C$1005,$C434,$A$6:$A$1005,"&lt;="&amp;$A434))</f>
        <v/>
      </c>
      <c r="AS434" s="56">
        <f>IF(OR($AM434=0,$Q434=""),0,IF(AND($A434&gt;=Lists!$W$6,$A434&lt;=Lists!$W$7,OR(Dashboard!$D$6="All accounts",$C434=Dashboard!$D$6),OR(Dashboard!$D$7="All markets",$AF434=Dashboard!$D$7)),1,0))</f>
        <v>0</v>
      </c>
      <c r="AT434" s="55">
        <f>IF($AS434=1,N(AT433)+$Q434,N(AT433))</f>
        <v>1187.10688</v>
      </c>
      <c r="AU434" s="55">
        <f>MAX(N(AU433),$AT434)</f>
        <v>1187.10688</v>
      </c>
      <c r="AV434" s="55">
        <f>$AT434-$AU434</f>
        <v>0</v>
      </c>
      <c r="AW434" s="56">
        <f>IF($AS434=1,IF($S434="Win",N(AW433)+1,IF($S434="Loss",0,N(AW433))),N(AW433))</f>
        <v>5</v>
      </c>
      <c r="AX434" s="56">
        <f>IF($AS434=1,IF($S434="Loss",N(AX433)+1,IF($S434="Win",0,N(AX433))),N(AX433))</f>
        <v>0</v>
      </c>
      <c r="AY434" s="56" t="str">
        <f>IF($AS434=1,COUNTIF($AS$6:$AS434,1),"")</f>
        <v/>
      </c>
      <c r="AZ434" s="56">
        <f>MIN(428,N(Lists!$W$8))</f>
        <v>28</v>
      </c>
      <c r="BA434" s="56">
        <f>IF($AS434=1,IF(COUNTIFS($A$6:$A434,$A434,$AS$6:$AS434,1)=1,1,0),0)</f>
        <v>0</v>
      </c>
      <c r="BB434" s="55" t="str">
        <f>IF($BA434=1,SUMIFS($Q$6:$Q$1005,$A$6:$A$1005,$A434,$AS$6:$AS$1005,1),"")</f>
        <v/>
      </c>
      <c r="BC434" s="56">
        <f>IF(ISNUMBER($R434),1,0)</f>
        <v>0</v>
      </c>
      <c r="BD434" s="55" t="str">
        <f>IF(ISNUMBER($U434),$U434*$V434,"")</f>
        <v/>
      </c>
      <c r="BE434" s="56" t="str">
        <f>IF($AM434=0,"",IFERROR(MATCH($AF434&amp;"|"&amp;UPPER(TRIM($E434)),Lists!$A$6:$A$205,0),0))</f>
        <v/>
      </c>
      <c r="BF434" s="56" t="str">
        <f>IF($AM434=0,"",IFERROR(MATCH($AF434,Settings!$B$14:$B$18,0),IFERROR(MATCH(Settings!$C$6,Settings!$B$14:$B$18,0),1)))</f>
        <v/>
      </c>
      <c r="BG434" s="58" t="str">
        <f>IF($AM434=0,"",IF(NOT(ISNUMBER($I434)),"No stop; ","")&amp;IF(AND(ISNUMBER($H434),ISNUMBER($I434)),IF(OR(AND($F434&lt;&gt;"Short",$I434&gt;=$H434),AND($F434="Short",$I434&lt;=$H434)),"Stop on wrong side; ",""),"")&amp;IF($F434="","No direction; ","")&amp;IF(AND(ISNUMBER(Settings!$C$22),ISNUMBER($V434)),IF($V434&gt;Settings!$C$22,"Risk over max $; ",""),"")&amp;IF(AND(ISNUMBER(Settings!$C$23),ISNUMBER($V434),ISNUMBER($AP434),IFERROR(N(INDEX(Accounts!$E$7:$E$16,MATCH($C434,Accounts!$B$7:$B$16,0))),0)&gt;0),IF($V434&gt;Settings!$C$23*($AP434-N($Q434)),"Risk over max %; ",""),"")&amp;IF(AND(ISNUMBER(Settings!$C$24),ISNUMBER($N434)),IF($N434&gt;Settings!$C$24,"Leverage over max; ",""),"")&amp;IF(AND(ISNUMBER(Settings!$C$27),ISNUMBER($T434)),IF($T434&lt;Settings!$C$27,"R:R below min; ",""),"")&amp;IF(ISNUMBER(Settings!$C$25),IF(COUNTIFS($A$6:$A434,$A434,$AM$6:$AM434,1)&gt;Settings!$C$25,"Over max trades/day; ",""),"")&amp;IF(ISNUMBER(Settings!$C$26),IF(SUMIFS($Q$5:$Q433,$A$5:$A433,$A434)&lt;=-Settings!$C$26,"Traded after daily max loss; ",""),"")&amp;IF(AND($AG434="",NOT(ISNUMBER($O434))),"Symbol not in Instruments; ","")&amp;IF(AND($AH434="",NOT(ISNUMBER($O434))),"Forex cross: type Gross P&amp;L; ",""))</f>
        <v/>
      </c>
      <c r="BH434" s="56">
        <f>IF(ISNUMBER($Q434),1,0)</f>
        <v>0</v>
      </c>
      <c r="BI434" s="56">
        <f>IF($Y434="",0,1)</f>
        <v>0</v>
      </c>
      <c r="BJ434" s="56">
        <f>IF($AB434="",0,1)</f>
        <v>0</v>
      </c>
      <c r="BK434" s="56">
        <f>IF(AND($BH434=1,$W434&lt;&gt;"OK"),1,0)</f>
        <v>0</v>
      </c>
      <c r="BL434" s="55">
        <f>IF(N($AZ434)=0,0,IFERROR(INDEX($AT$6:$AT$1005,MATCH($AZ434,$AY$6:$AY$1005,0)),0))</f>
        <v>1187.10688</v>
      </c>
      <c r="BM434" s="56">
        <f>IF(ISNUMBER(SEARCH("daily max loss",$BG434)),1,0)</f>
        <v>0</v>
      </c>
    </row>
    <row r="435" ht="18" customHeight="1">
      <c r="A435" s="38" t="n"/>
      <c r="B435" s="39" t="n"/>
      <c r="C435" s="40" t="n"/>
      <c r="D435" s="41" t="n"/>
      <c r="E435" s="41" t="n"/>
      <c r="F435" s="41" t="n"/>
      <c r="G435" s="41" t="n"/>
      <c r="H435" s="42" t="n"/>
      <c r="I435" s="42" t="n"/>
      <c r="J435" s="42" t="n"/>
      <c r="K435" s="42" t="n"/>
      <c r="L435" s="41" t="n"/>
      <c r="M435" s="41" t="n"/>
      <c r="N435" s="41" t="n"/>
      <c r="O435" s="43" t="n"/>
      <c r="P435" s="43" t="n"/>
      <c r="Q435" s="44" t="str">
        <f>IF($AM435=0,"",IF(ISNUMBER($AK435),$AK435-N($AL435),""))</f>
        <v/>
      </c>
      <c r="R435" s="45" t="str">
        <f>IF(OR($Q435="",NOT(ISNUMBER($V435))),"",$AK435/$V435)</f>
        <v/>
      </c>
      <c r="S435" s="46" t="str">
        <f>IF($Q435="","",IF(AND(ISNUMBER($R435),ABS(N($R435))&lt;N(Settings!$C$8)),"Scratch",IF($Q435&gt;0,"Win",IF($Q435&lt;0,"Loss","Scratch"))))</f>
        <v/>
      </c>
      <c r="T435" s="47" t="str">
        <f>IF(OR($AM435=0,NOT(ISNUMBER($H435)),NOT(ISNUMBER($I435)),NOT(ISNUMBER($J435))),"",IF($H435=$I435,"",ROUND(ABS($J435-$H435)/ABS($H435-$I435),6)))</f>
        <v/>
      </c>
      <c r="U435" s="48" t="str">
        <f>IF(OR($S435&lt;&gt;"Win",NOT(ISNUMBER($T435)),NOT(ISNUMBER($R435))),"",MAX(0,$T435-$R435))</f>
        <v/>
      </c>
      <c r="V435" s="49" t="str">
        <f>IF(OR($AM435=0,NOT(ISNUMBER($H435)),NOT(ISNUMBER($I435)),NOT(ISNUMBER($G435))),"",IF(OR($AG435="",$AH435=""),"",IF(ROUND(ABS($H435-$I435)*ABS($G435)*$AG435*$AH435,6)=0,"",ROUND(ABS($H435-$I435)*ABS($G435)*$AG435*$AH435,6))))</f>
        <v/>
      </c>
      <c r="W435" s="50" t="str">
        <f>IF($AM435=0,"",IF($BG435="","OK",LEFT($BG435,LEN($BG435)-2)))</f>
        <v/>
      </c>
      <c r="X435" s="41" t="n"/>
      <c r="Y435" s="40" t="n"/>
      <c r="Z435" s="41" t="n"/>
      <c r="AA435" s="41" t="n"/>
      <c r="AB435" s="40" t="n"/>
      <c r="AC435" s="51" t="n"/>
      <c r="AD435" s="51" t="n"/>
      <c r="AE435" s="40" t="n"/>
      <c r="AF435" s="52" t="str">
        <f>IF($AM435=0,"",IF($D435&lt;&gt;"",$D435,IF(IFERROR(INDEX(Accounts!$C$7:$C$16,MATCH($C435,Accounts!$B$7:$B$16,0))&amp;"","")&lt;&gt;"",INDEX(Accounts!$C$7:$C$16,MATCH($C435,Accounts!$B$7:$B$16,0)),Settings!$C$6)))</f>
        <v/>
      </c>
      <c r="AG435" s="53" t="str">
        <f>IF($AM435=0,"",IF(AND($BE435&gt;0,N(INDEX(Instruments!$D$6:$D$205,MAX(1,$BE435)))&gt;0),INDEX(Instruments!$D$6:$D$205,MAX(1,$BE435)),IF(N(INDEX(Settings!$D$14:$D$18,$BF435))&gt;0,INDEX(Settings!$D$14:$D$18,$BF435),"")))</f>
        <v/>
      </c>
      <c r="AH435" s="54" t="str">
        <f>IF($AM435=0,"",IF($AF435&lt;&gt;"Forex",1,IF(MID(UPPER(SUBSTITUTE(TRIM($E435),"/","")),4,3)=UPPER(TRIM(Settings!$C$7)),1,IF(LEFT(UPPER(SUBSTITUTE(TRIM($E435),"/","")),3)=UPPER(TRIM(Settings!$C$7)),IF(AND(ISNUMBER($K435),N($K435)&lt;&gt;0),1/$K435,""),""))))</f>
        <v/>
      </c>
      <c r="AI435" s="55" t="str">
        <f>IF($AM435=0,"",IF(OR(NOT(ISNUMBER($H435)),NOT(ISNUMBER($K435)),NOT(ISNUMBER($G435)),$AG435="",$AH435=""),"",ROUND(($K435-$H435)*IF($F435="Short",-1,1)*$G435*$AG435*$AH435,6)))</f>
        <v/>
      </c>
      <c r="AJ435" s="55" t="str">
        <f>IF($AM435=0,"",IF(INDEX(Settings!$E$14:$E$18,$BF435)="% of notional",IF(OR($AG435="",NOT(ISNUMBER($H435)),NOT(ISNUMBER($G435))),"",ROUND(ABS($H435*$G435*$AG435*N($AH435))*IF($L435="Limit",N(INDEX(Settings!$G$14:$G$18,$BF435)),N(INDEX(Settings!$H$14:$H$18,$BF435)))+IF(ISNUMBER($K435),ABS($K435*$G435*$AG435*N($AH435))*IF($M435="Target",N(INDEX(Settings!$G$14:$G$18,$BF435)),N(INDEX(Settings!$H$14:$H$18,$BF435))),0),6)),IF(NOT(ISNUMBER($G435)),"",ROUND(ABS($G435)*2*IF(AND($BE435&gt;0,ISNUMBER(INDEX(Instruments!$G$6:$G$205,MAX(1,$BE435)))),INDEX(Instruments!$G$6:$G$205,MAX(1,$BE435)),N(INDEX(Settings!$F$14:$F$18,$BF435))),6))))</f>
        <v/>
      </c>
      <c r="AK435" s="55" t="str">
        <f>IF($AM435=0,"",IF(ISNUMBER($O435),$O435,$AI435))</f>
        <v/>
      </c>
      <c r="AL435" s="55" t="str">
        <f>IF($AM435=0,"",IF(ISNUMBER($P435),$P435,N($AJ435)))</f>
        <v/>
      </c>
      <c r="AM435" s="56">
        <f>IF(AND($A435&lt;&gt;"",$E435&lt;&gt;"",OR(AND(ISNUMBER($G435),ISNUMBER($H435),ISNUMBER($K435)),ISNUMBER($O435))),1,0)</f>
        <v>0</v>
      </c>
      <c r="AN435" s="57" t="str">
        <f>IF($A435="","",$A435-WEEKDAY($A435,3))</f>
        <v/>
      </c>
      <c r="AO435" s="56" t="str">
        <f>IF($A435="","",WEEKDAY($A435,2))</f>
        <v/>
      </c>
      <c r="AP435" s="55" t="str">
        <f>IF(OR($AM435=0,$C435=""),"",IFERROR(N(INDEX(Accounts!$E$7:$E$16,MATCH($C435,Accounts!$B$7:$B$16,0))),0)+SUMIFS($Q$6:$Q435,$C$6:$C435,$C435))</f>
        <v/>
      </c>
      <c r="AQ435" s="55" t="str">
        <f>IF(OR($AM435=0,$C435=""),"",SUMIFS($Q$6:$Q$1005,$C$6:$C$1005,$C435,$A$6:$A$1005,$A435))</f>
        <v/>
      </c>
      <c r="AR435" s="55" t="str">
        <f>IF(OR($AM435=0,$C435=""),"",IFERROR(N(INDEX(Accounts!$E$7:$E$16,MATCH($C435,Accounts!$B$7:$B$16,0))),0)+SUMIFS($Q$6:$Q$1005,$C$6:$C$1005,$C435,$A$6:$A$1005,"&lt;="&amp;$A435))</f>
        <v/>
      </c>
      <c r="AS435" s="56">
        <f>IF(OR($AM435=0,$Q435=""),0,IF(AND($A435&gt;=Lists!$W$6,$A435&lt;=Lists!$W$7,OR(Dashboard!$D$6="All accounts",$C435=Dashboard!$D$6),OR(Dashboard!$D$7="All markets",$AF435=Dashboard!$D$7)),1,0))</f>
        <v>0</v>
      </c>
      <c r="AT435" s="55">
        <f>IF($AS435=1,N(AT434)+$Q435,N(AT434))</f>
        <v>1187.10688</v>
      </c>
      <c r="AU435" s="55">
        <f>MAX(N(AU434),$AT435)</f>
        <v>1187.10688</v>
      </c>
      <c r="AV435" s="55">
        <f>$AT435-$AU435</f>
        <v>0</v>
      </c>
      <c r="AW435" s="56">
        <f>IF($AS435=1,IF($S435="Win",N(AW434)+1,IF($S435="Loss",0,N(AW434))),N(AW434))</f>
        <v>5</v>
      </c>
      <c r="AX435" s="56">
        <f>IF($AS435=1,IF($S435="Loss",N(AX434)+1,IF($S435="Win",0,N(AX434))),N(AX434))</f>
        <v>0</v>
      </c>
      <c r="AY435" s="56" t="str">
        <f>IF($AS435=1,COUNTIF($AS$6:$AS435,1),"")</f>
        <v/>
      </c>
      <c r="AZ435" s="56">
        <f>MIN(429,N(Lists!$W$8))</f>
        <v>28</v>
      </c>
      <c r="BA435" s="56">
        <f>IF($AS435=1,IF(COUNTIFS($A$6:$A435,$A435,$AS$6:$AS435,1)=1,1,0),0)</f>
        <v>0</v>
      </c>
      <c r="BB435" s="55" t="str">
        <f>IF($BA435=1,SUMIFS($Q$6:$Q$1005,$A$6:$A$1005,$A435,$AS$6:$AS$1005,1),"")</f>
        <v/>
      </c>
      <c r="BC435" s="56">
        <f>IF(ISNUMBER($R435),1,0)</f>
        <v>0</v>
      </c>
      <c r="BD435" s="55" t="str">
        <f>IF(ISNUMBER($U435),$U435*$V435,"")</f>
        <v/>
      </c>
      <c r="BE435" s="56" t="str">
        <f>IF($AM435=0,"",IFERROR(MATCH($AF435&amp;"|"&amp;UPPER(TRIM($E435)),Lists!$A$6:$A$205,0),0))</f>
        <v/>
      </c>
      <c r="BF435" s="56" t="str">
        <f>IF($AM435=0,"",IFERROR(MATCH($AF435,Settings!$B$14:$B$18,0),IFERROR(MATCH(Settings!$C$6,Settings!$B$14:$B$18,0),1)))</f>
        <v/>
      </c>
      <c r="BG435" s="58" t="str">
        <f>IF($AM435=0,"",IF(NOT(ISNUMBER($I435)),"No stop; ","")&amp;IF(AND(ISNUMBER($H435),ISNUMBER($I435)),IF(OR(AND($F435&lt;&gt;"Short",$I435&gt;=$H435),AND($F435="Short",$I435&lt;=$H435)),"Stop on wrong side; ",""),"")&amp;IF($F435="","No direction; ","")&amp;IF(AND(ISNUMBER(Settings!$C$22),ISNUMBER($V435)),IF($V435&gt;Settings!$C$22,"Risk over max $; ",""),"")&amp;IF(AND(ISNUMBER(Settings!$C$23),ISNUMBER($V435),ISNUMBER($AP435),IFERROR(N(INDEX(Accounts!$E$7:$E$16,MATCH($C435,Accounts!$B$7:$B$16,0))),0)&gt;0),IF($V435&gt;Settings!$C$23*($AP435-N($Q435)),"Risk over max %; ",""),"")&amp;IF(AND(ISNUMBER(Settings!$C$24),ISNUMBER($N435)),IF($N435&gt;Settings!$C$24,"Leverage over max; ",""),"")&amp;IF(AND(ISNUMBER(Settings!$C$27),ISNUMBER($T435)),IF($T435&lt;Settings!$C$27,"R:R below min; ",""),"")&amp;IF(ISNUMBER(Settings!$C$25),IF(COUNTIFS($A$6:$A435,$A435,$AM$6:$AM435,1)&gt;Settings!$C$25,"Over max trades/day; ",""),"")&amp;IF(ISNUMBER(Settings!$C$26),IF(SUMIFS($Q$5:$Q434,$A$5:$A434,$A435)&lt;=-Settings!$C$26,"Traded after daily max loss; ",""),"")&amp;IF(AND($AG435="",NOT(ISNUMBER($O435))),"Symbol not in Instruments; ","")&amp;IF(AND($AH435="",NOT(ISNUMBER($O435))),"Forex cross: type Gross P&amp;L; ",""))</f>
        <v/>
      </c>
      <c r="BH435" s="56">
        <f>IF(ISNUMBER($Q435),1,0)</f>
        <v>0</v>
      </c>
      <c r="BI435" s="56">
        <f>IF($Y435="",0,1)</f>
        <v>0</v>
      </c>
      <c r="BJ435" s="56">
        <f>IF($AB435="",0,1)</f>
        <v>0</v>
      </c>
      <c r="BK435" s="56">
        <f>IF(AND($BH435=1,$W435&lt;&gt;"OK"),1,0)</f>
        <v>0</v>
      </c>
      <c r="BL435" s="55">
        <f>IF(N($AZ435)=0,0,IFERROR(INDEX($AT$6:$AT$1005,MATCH($AZ435,$AY$6:$AY$1005,0)),0))</f>
        <v>1187.10688</v>
      </c>
      <c r="BM435" s="56">
        <f>IF(ISNUMBER(SEARCH("daily max loss",$BG435)),1,0)</f>
        <v>0</v>
      </c>
    </row>
    <row r="436" ht="18" customHeight="1">
      <c r="A436" s="38" t="n"/>
      <c r="B436" s="39" t="n"/>
      <c r="C436" s="40" t="n"/>
      <c r="D436" s="41" t="n"/>
      <c r="E436" s="41" t="n"/>
      <c r="F436" s="41" t="n"/>
      <c r="G436" s="41" t="n"/>
      <c r="H436" s="42" t="n"/>
      <c r="I436" s="42" t="n"/>
      <c r="J436" s="42" t="n"/>
      <c r="K436" s="42" t="n"/>
      <c r="L436" s="41" t="n"/>
      <c r="M436" s="41" t="n"/>
      <c r="N436" s="41" t="n"/>
      <c r="O436" s="43" t="n"/>
      <c r="P436" s="43" t="n"/>
      <c r="Q436" s="44" t="str">
        <f>IF($AM436=0,"",IF(ISNUMBER($AK436),$AK436-N($AL436),""))</f>
        <v/>
      </c>
      <c r="R436" s="45" t="str">
        <f>IF(OR($Q436="",NOT(ISNUMBER($V436))),"",$AK436/$V436)</f>
        <v/>
      </c>
      <c r="S436" s="46" t="str">
        <f>IF($Q436="","",IF(AND(ISNUMBER($R436),ABS(N($R436))&lt;N(Settings!$C$8)),"Scratch",IF($Q436&gt;0,"Win",IF($Q436&lt;0,"Loss","Scratch"))))</f>
        <v/>
      </c>
      <c r="T436" s="47" t="str">
        <f>IF(OR($AM436=0,NOT(ISNUMBER($H436)),NOT(ISNUMBER($I436)),NOT(ISNUMBER($J436))),"",IF($H436=$I436,"",ROUND(ABS($J436-$H436)/ABS($H436-$I436),6)))</f>
        <v/>
      </c>
      <c r="U436" s="48" t="str">
        <f>IF(OR($S436&lt;&gt;"Win",NOT(ISNUMBER($T436)),NOT(ISNUMBER($R436))),"",MAX(0,$T436-$R436))</f>
        <v/>
      </c>
      <c r="V436" s="49" t="str">
        <f>IF(OR($AM436=0,NOT(ISNUMBER($H436)),NOT(ISNUMBER($I436)),NOT(ISNUMBER($G436))),"",IF(OR($AG436="",$AH436=""),"",IF(ROUND(ABS($H436-$I436)*ABS($G436)*$AG436*$AH436,6)=0,"",ROUND(ABS($H436-$I436)*ABS($G436)*$AG436*$AH436,6))))</f>
        <v/>
      </c>
      <c r="W436" s="50" t="str">
        <f>IF($AM436=0,"",IF($BG436="","OK",LEFT($BG436,LEN($BG436)-2)))</f>
        <v/>
      </c>
      <c r="X436" s="41" t="n"/>
      <c r="Y436" s="40" t="n"/>
      <c r="Z436" s="41" t="n"/>
      <c r="AA436" s="41" t="n"/>
      <c r="AB436" s="40" t="n"/>
      <c r="AC436" s="51" t="n"/>
      <c r="AD436" s="51" t="n"/>
      <c r="AE436" s="40" t="n"/>
      <c r="AF436" s="52" t="str">
        <f>IF($AM436=0,"",IF($D436&lt;&gt;"",$D436,IF(IFERROR(INDEX(Accounts!$C$7:$C$16,MATCH($C436,Accounts!$B$7:$B$16,0))&amp;"","")&lt;&gt;"",INDEX(Accounts!$C$7:$C$16,MATCH($C436,Accounts!$B$7:$B$16,0)),Settings!$C$6)))</f>
        <v/>
      </c>
      <c r="AG436" s="53" t="str">
        <f>IF($AM436=0,"",IF(AND($BE436&gt;0,N(INDEX(Instruments!$D$6:$D$205,MAX(1,$BE436)))&gt;0),INDEX(Instruments!$D$6:$D$205,MAX(1,$BE436)),IF(N(INDEX(Settings!$D$14:$D$18,$BF436))&gt;0,INDEX(Settings!$D$14:$D$18,$BF436),"")))</f>
        <v/>
      </c>
      <c r="AH436" s="54" t="str">
        <f>IF($AM436=0,"",IF($AF436&lt;&gt;"Forex",1,IF(MID(UPPER(SUBSTITUTE(TRIM($E436),"/","")),4,3)=UPPER(TRIM(Settings!$C$7)),1,IF(LEFT(UPPER(SUBSTITUTE(TRIM($E436),"/","")),3)=UPPER(TRIM(Settings!$C$7)),IF(AND(ISNUMBER($K436),N($K436)&lt;&gt;0),1/$K436,""),""))))</f>
        <v/>
      </c>
      <c r="AI436" s="55" t="str">
        <f>IF($AM436=0,"",IF(OR(NOT(ISNUMBER($H436)),NOT(ISNUMBER($K436)),NOT(ISNUMBER($G436)),$AG436="",$AH436=""),"",ROUND(($K436-$H436)*IF($F436="Short",-1,1)*$G436*$AG436*$AH436,6)))</f>
        <v/>
      </c>
      <c r="AJ436" s="55" t="str">
        <f>IF($AM436=0,"",IF(INDEX(Settings!$E$14:$E$18,$BF436)="% of notional",IF(OR($AG436="",NOT(ISNUMBER($H436)),NOT(ISNUMBER($G436))),"",ROUND(ABS($H436*$G436*$AG436*N($AH436))*IF($L436="Limit",N(INDEX(Settings!$G$14:$G$18,$BF436)),N(INDEX(Settings!$H$14:$H$18,$BF436)))+IF(ISNUMBER($K436),ABS($K436*$G436*$AG436*N($AH436))*IF($M436="Target",N(INDEX(Settings!$G$14:$G$18,$BF436)),N(INDEX(Settings!$H$14:$H$18,$BF436))),0),6)),IF(NOT(ISNUMBER($G436)),"",ROUND(ABS($G436)*2*IF(AND($BE436&gt;0,ISNUMBER(INDEX(Instruments!$G$6:$G$205,MAX(1,$BE436)))),INDEX(Instruments!$G$6:$G$205,MAX(1,$BE436)),N(INDEX(Settings!$F$14:$F$18,$BF436))),6))))</f>
        <v/>
      </c>
      <c r="AK436" s="55" t="str">
        <f>IF($AM436=0,"",IF(ISNUMBER($O436),$O436,$AI436))</f>
        <v/>
      </c>
      <c r="AL436" s="55" t="str">
        <f>IF($AM436=0,"",IF(ISNUMBER($P436),$P436,N($AJ436)))</f>
        <v/>
      </c>
      <c r="AM436" s="56">
        <f>IF(AND($A436&lt;&gt;"",$E436&lt;&gt;"",OR(AND(ISNUMBER($G436),ISNUMBER($H436),ISNUMBER($K436)),ISNUMBER($O436))),1,0)</f>
        <v>0</v>
      </c>
      <c r="AN436" s="57" t="str">
        <f>IF($A436="","",$A436-WEEKDAY($A436,3))</f>
        <v/>
      </c>
      <c r="AO436" s="56" t="str">
        <f>IF($A436="","",WEEKDAY($A436,2))</f>
        <v/>
      </c>
      <c r="AP436" s="55" t="str">
        <f>IF(OR($AM436=0,$C436=""),"",IFERROR(N(INDEX(Accounts!$E$7:$E$16,MATCH($C436,Accounts!$B$7:$B$16,0))),0)+SUMIFS($Q$6:$Q436,$C$6:$C436,$C436))</f>
        <v/>
      </c>
      <c r="AQ436" s="55" t="str">
        <f>IF(OR($AM436=0,$C436=""),"",SUMIFS($Q$6:$Q$1005,$C$6:$C$1005,$C436,$A$6:$A$1005,$A436))</f>
        <v/>
      </c>
      <c r="AR436" s="55" t="str">
        <f>IF(OR($AM436=0,$C436=""),"",IFERROR(N(INDEX(Accounts!$E$7:$E$16,MATCH($C436,Accounts!$B$7:$B$16,0))),0)+SUMIFS($Q$6:$Q$1005,$C$6:$C$1005,$C436,$A$6:$A$1005,"&lt;="&amp;$A436))</f>
        <v/>
      </c>
      <c r="AS436" s="56">
        <f>IF(OR($AM436=0,$Q436=""),0,IF(AND($A436&gt;=Lists!$W$6,$A436&lt;=Lists!$W$7,OR(Dashboard!$D$6="All accounts",$C436=Dashboard!$D$6),OR(Dashboard!$D$7="All markets",$AF436=Dashboard!$D$7)),1,0))</f>
        <v>0</v>
      </c>
      <c r="AT436" s="55">
        <f>IF($AS436=1,N(AT435)+$Q436,N(AT435))</f>
        <v>1187.10688</v>
      </c>
      <c r="AU436" s="55">
        <f>MAX(N(AU435),$AT436)</f>
        <v>1187.10688</v>
      </c>
      <c r="AV436" s="55">
        <f>$AT436-$AU436</f>
        <v>0</v>
      </c>
      <c r="AW436" s="56">
        <f>IF($AS436=1,IF($S436="Win",N(AW435)+1,IF($S436="Loss",0,N(AW435))),N(AW435))</f>
        <v>5</v>
      </c>
      <c r="AX436" s="56">
        <f>IF($AS436=1,IF($S436="Loss",N(AX435)+1,IF($S436="Win",0,N(AX435))),N(AX435))</f>
        <v>0</v>
      </c>
      <c r="AY436" s="56" t="str">
        <f>IF($AS436=1,COUNTIF($AS$6:$AS436,1),"")</f>
        <v/>
      </c>
      <c r="AZ436" s="56">
        <f>MIN(430,N(Lists!$W$8))</f>
        <v>28</v>
      </c>
      <c r="BA436" s="56">
        <f>IF($AS436=1,IF(COUNTIFS($A$6:$A436,$A436,$AS$6:$AS436,1)=1,1,0),0)</f>
        <v>0</v>
      </c>
      <c r="BB436" s="55" t="str">
        <f>IF($BA436=1,SUMIFS($Q$6:$Q$1005,$A$6:$A$1005,$A436,$AS$6:$AS$1005,1),"")</f>
        <v/>
      </c>
      <c r="BC436" s="56">
        <f>IF(ISNUMBER($R436),1,0)</f>
        <v>0</v>
      </c>
      <c r="BD436" s="55" t="str">
        <f>IF(ISNUMBER($U436),$U436*$V436,"")</f>
        <v/>
      </c>
      <c r="BE436" s="56" t="str">
        <f>IF($AM436=0,"",IFERROR(MATCH($AF436&amp;"|"&amp;UPPER(TRIM($E436)),Lists!$A$6:$A$205,0),0))</f>
        <v/>
      </c>
      <c r="BF436" s="56" t="str">
        <f>IF($AM436=0,"",IFERROR(MATCH($AF436,Settings!$B$14:$B$18,0),IFERROR(MATCH(Settings!$C$6,Settings!$B$14:$B$18,0),1)))</f>
        <v/>
      </c>
      <c r="BG436" s="58" t="str">
        <f>IF($AM436=0,"",IF(NOT(ISNUMBER($I436)),"No stop; ","")&amp;IF(AND(ISNUMBER($H436),ISNUMBER($I436)),IF(OR(AND($F436&lt;&gt;"Short",$I436&gt;=$H436),AND($F436="Short",$I436&lt;=$H436)),"Stop on wrong side; ",""),"")&amp;IF($F436="","No direction; ","")&amp;IF(AND(ISNUMBER(Settings!$C$22),ISNUMBER($V436)),IF($V436&gt;Settings!$C$22,"Risk over max $; ",""),"")&amp;IF(AND(ISNUMBER(Settings!$C$23),ISNUMBER($V436),ISNUMBER($AP436),IFERROR(N(INDEX(Accounts!$E$7:$E$16,MATCH($C436,Accounts!$B$7:$B$16,0))),0)&gt;0),IF($V436&gt;Settings!$C$23*($AP436-N($Q436)),"Risk over max %; ",""),"")&amp;IF(AND(ISNUMBER(Settings!$C$24),ISNUMBER($N436)),IF($N436&gt;Settings!$C$24,"Leverage over max; ",""),"")&amp;IF(AND(ISNUMBER(Settings!$C$27),ISNUMBER($T436)),IF($T436&lt;Settings!$C$27,"R:R below min; ",""),"")&amp;IF(ISNUMBER(Settings!$C$25),IF(COUNTIFS($A$6:$A436,$A436,$AM$6:$AM436,1)&gt;Settings!$C$25,"Over max trades/day; ",""),"")&amp;IF(ISNUMBER(Settings!$C$26),IF(SUMIFS($Q$5:$Q435,$A$5:$A435,$A436)&lt;=-Settings!$C$26,"Traded after daily max loss; ",""),"")&amp;IF(AND($AG436="",NOT(ISNUMBER($O436))),"Symbol not in Instruments; ","")&amp;IF(AND($AH436="",NOT(ISNUMBER($O436))),"Forex cross: type Gross P&amp;L; ",""))</f>
        <v/>
      </c>
      <c r="BH436" s="56">
        <f>IF(ISNUMBER($Q436),1,0)</f>
        <v>0</v>
      </c>
      <c r="BI436" s="56">
        <f>IF($Y436="",0,1)</f>
        <v>0</v>
      </c>
      <c r="BJ436" s="56">
        <f>IF($AB436="",0,1)</f>
        <v>0</v>
      </c>
      <c r="BK436" s="56">
        <f>IF(AND($BH436=1,$W436&lt;&gt;"OK"),1,0)</f>
        <v>0</v>
      </c>
      <c r="BL436" s="55">
        <f>IF(N($AZ436)=0,0,IFERROR(INDEX($AT$6:$AT$1005,MATCH($AZ436,$AY$6:$AY$1005,0)),0))</f>
        <v>1187.10688</v>
      </c>
      <c r="BM436" s="56">
        <f>IF(ISNUMBER(SEARCH("daily max loss",$BG436)),1,0)</f>
        <v>0</v>
      </c>
    </row>
    <row r="437" ht="18" customHeight="1">
      <c r="A437" s="38" t="n"/>
      <c r="B437" s="39" t="n"/>
      <c r="C437" s="40" t="n"/>
      <c r="D437" s="41" t="n"/>
      <c r="E437" s="41" t="n"/>
      <c r="F437" s="41" t="n"/>
      <c r="G437" s="41" t="n"/>
      <c r="H437" s="42" t="n"/>
      <c r="I437" s="42" t="n"/>
      <c r="J437" s="42" t="n"/>
      <c r="K437" s="42" t="n"/>
      <c r="L437" s="41" t="n"/>
      <c r="M437" s="41" t="n"/>
      <c r="N437" s="41" t="n"/>
      <c r="O437" s="43" t="n"/>
      <c r="P437" s="43" t="n"/>
      <c r="Q437" s="44" t="str">
        <f>IF($AM437=0,"",IF(ISNUMBER($AK437),$AK437-N($AL437),""))</f>
        <v/>
      </c>
      <c r="R437" s="45" t="str">
        <f>IF(OR($Q437="",NOT(ISNUMBER($V437))),"",$AK437/$V437)</f>
        <v/>
      </c>
      <c r="S437" s="46" t="str">
        <f>IF($Q437="","",IF(AND(ISNUMBER($R437),ABS(N($R437))&lt;N(Settings!$C$8)),"Scratch",IF($Q437&gt;0,"Win",IF($Q437&lt;0,"Loss","Scratch"))))</f>
        <v/>
      </c>
      <c r="T437" s="47" t="str">
        <f>IF(OR($AM437=0,NOT(ISNUMBER($H437)),NOT(ISNUMBER($I437)),NOT(ISNUMBER($J437))),"",IF($H437=$I437,"",ROUND(ABS($J437-$H437)/ABS($H437-$I437),6)))</f>
        <v/>
      </c>
      <c r="U437" s="48" t="str">
        <f>IF(OR($S437&lt;&gt;"Win",NOT(ISNUMBER($T437)),NOT(ISNUMBER($R437))),"",MAX(0,$T437-$R437))</f>
        <v/>
      </c>
      <c r="V437" s="49" t="str">
        <f>IF(OR($AM437=0,NOT(ISNUMBER($H437)),NOT(ISNUMBER($I437)),NOT(ISNUMBER($G437))),"",IF(OR($AG437="",$AH437=""),"",IF(ROUND(ABS($H437-$I437)*ABS($G437)*$AG437*$AH437,6)=0,"",ROUND(ABS($H437-$I437)*ABS($G437)*$AG437*$AH437,6))))</f>
        <v/>
      </c>
      <c r="W437" s="50" t="str">
        <f>IF($AM437=0,"",IF($BG437="","OK",LEFT($BG437,LEN($BG437)-2)))</f>
        <v/>
      </c>
      <c r="X437" s="41" t="n"/>
      <c r="Y437" s="40" t="n"/>
      <c r="Z437" s="41" t="n"/>
      <c r="AA437" s="41" t="n"/>
      <c r="AB437" s="40" t="n"/>
      <c r="AC437" s="51" t="n"/>
      <c r="AD437" s="51" t="n"/>
      <c r="AE437" s="40" t="n"/>
      <c r="AF437" s="52" t="str">
        <f>IF($AM437=0,"",IF($D437&lt;&gt;"",$D437,IF(IFERROR(INDEX(Accounts!$C$7:$C$16,MATCH($C437,Accounts!$B$7:$B$16,0))&amp;"","")&lt;&gt;"",INDEX(Accounts!$C$7:$C$16,MATCH($C437,Accounts!$B$7:$B$16,0)),Settings!$C$6)))</f>
        <v/>
      </c>
      <c r="AG437" s="53" t="str">
        <f>IF($AM437=0,"",IF(AND($BE437&gt;0,N(INDEX(Instruments!$D$6:$D$205,MAX(1,$BE437)))&gt;0),INDEX(Instruments!$D$6:$D$205,MAX(1,$BE437)),IF(N(INDEX(Settings!$D$14:$D$18,$BF437))&gt;0,INDEX(Settings!$D$14:$D$18,$BF437),"")))</f>
        <v/>
      </c>
      <c r="AH437" s="54" t="str">
        <f>IF($AM437=0,"",IF($AF437&lt;&gt;"Forex",1,IF(MID(UPPER(SUBSTITUTE(TRIM($E437),"/","")),4,3)=UPPER(TRIM(Settings!$C$7)),1,IF(LEFT(UPPER(SUBSTITUTE(TRIM($E437),"/","")),3)=UPPER(TRIM(Settings!$C$7)),IF(AND(ISNUMBER($K437),N($K437)&lt;&gt;0),1/$K437,""),""))))</f>
        <v/>
      </c>
      <c r="AI437" s="55" t="str">
        <f>IF($AM437=0,"",IF(OR(NOT(ISNUMBER($H437)),NOT(ISNUMBER($K437)),NOT(ISNUMBER($G437)),$AG437="",$AH437=""),"",ROUND(($K437-$H437)*IF($F437="Short",-1,1)*$G437*$AG437*$AH437,6)))</f>
        <v/>
      </c>
      <c r="AJ437" s="55" t="str">
        <f>IF($AM437=0,"",IF(INDEX(Settings!$E$14:$E$18,$BF437)="% of notional",IF(OR($AG437="",NOT(ISNUMBER($H437)),NOT(ISNUMBER($G437))),"",ROUND(ABS($H437*$G437*$AG437*N($AH437))*IF($L437="Limit",N(INDEX(Settings!$G$14:$G$18,$BF437)),N(INDEX(Settings!$H$14:$H$18,$BF437)))+IF(ISNUMBER($K437),ABS($K437*$G437*$AG437*N($AH437))*IF($M437="Target",N(INDEX(Settings!$G$14:$G$18,$BF437)),N(INDEX(Settings!$H$14:$H$18,$BF437))),0),6)),IF(NOT(ISNUMBER($G437)),"",ROUND(ABS($G437)*2*IF(AND($BE437&gt;0,ISNUMBER(INDEX(Instruments!$G$6:$G$205,MAX(1,$BE437)))),INDEX(Instruments!$G$6:$G$205,MAX(1,$BE437)),N(INDEX(Settings!$F$14:$F$18,$BF437))),6))))</f>
        <v/>
      </c>
      <c r="AK437" s="55" t="str">
        <f>IF($AM437=0,"",IF(ISNUMBER($O437),$O437,$AI437))</f>
        <v/>
      </c>
      <c r="AL437" s="55" t="str">
        <f>IF($AM437=0,"",IF(ISNUMBER($P437),$P437,N($AJ437)))</f>
        <v/>
      </c>
      <c r="AM437" s="56">
        <f>IF(AND($A437&lt;&gt;"",$E437&lt;&gt;"",OR(AND(ISNUMBER($G437),ISNUMBER($H437),ISNUMBER($K437)),ISNUMBER($O437))),1,0)</f>
        <v>0</v>
      </c>
      <c r="AN437" s="57" t="str">
        <f>IF($A437="","",$A437-WEEKDAY($A437,3))</f>
        <v/>
      </c>
      <c r="AO437" s="56" t="str">
        <f>IF($A437="","",WEEKDAY($A437,2))</f>
        <v/>
      </c>
      <c r="AP437" s="55" t="str">
        <f>IF(OR($AM437=0,$C437=""),"",IFERROR(N(INDEX(Accounts!$E$7:$E$16,MATCH($C437,Accounts!$B$7:$B$16,0))),0)+SUMIFS($Q$6:$Q437,$C$6:$C437,$C437))</f>
        <v/>
      </c>
      <c r="AQ437" s="55" t="str">
        <f>IF(OR($AM437=0,$C437=""),"",SUMIFS($Q$6:$Q$1005,$C$6:$C$1005,$C437,$A$6:$A$1005,$A437))</f>
        <v/>
      </c>
      <c r="AR437" s="55" t="str">
        <f>IF(OR($AM437=0,$C437=""),"",IFERROR(N(INDEX(Accounts!$E$7:$E$16,MATCH($C437,Accounts!$B$7:$B$16,0))),0)+SUMIFS($Q$6:$Q$1005,$C$6:$C$1005,$C437,$A$6:$A$1005,"&lt;="&amp;$A437))</f>
        <v/>
      </c>
      <c r="AS437" s="56">
        <f>IF(OR($AM437=0,$Q437=""),0,IF(AND($A437&gt;=Lists!$W$6,$A437&lt;=Lists!$W$7,OR(Dashboard!$D$6="All accounts",$C437=Dashboard!$D$6),OR(Dashboard!$D$7="All markets",$AF437=Dashboard!$D$7)),1,0))</f>
        <v>0</v>
      </c>
      <c r="AT437" s="55">
        <f>IF($AS437=1,N(AT436)+$Q437,N(AT436))</f>
        <v>1187.10688</v>
      </c>
      <c r="AU437" s="55">
        <f>MAX(N(AU436),$AT437)</f>
        <v>1187.10688</v>
      </c>
      <c r="AV437" s="55">
        <f>$AT437-$AU437</f>
        <v>0</v>
      </c>
      <c r="AW437" s="56">
        <f>IF($AS437=1,IF($S437="Win",N(AW436)+1,IF($S437="Loss",0,N(AW436))),N(AW436))</f>
        <v>5</v>
      </c>
      <c r="AX437" s="56">
        <f>IF($AS437=1,IF($S437="Loss",N(AX436)+1,IF($S437="Win",0,N(AX436))),N(AX436))</f>
        <v>0</v>
      </c>
      <c r="AY437" s="56" t="str">
        <f>IF($AS437=1,COUNTIF($AS$6:$AS437,1),"")</f>
        <v/>
      </c>
      <c r="AZ437" s="56">
        <f>MIN(431,N(Lists!$W$8))</f>
        <v>28</v>
      </c>
      <c r="BA437" s="56">
        <f>IF($AS437=1,IF(COUNTIFS($A$6:$A437,$A437,$AS$6:$AS437,1)=1,1,0),0)</f>
        <v>0</v>
      </c>
      <c r="BB437" s="55" t="str">
        <f>IF($BA437=1,SUMIFS($Q$6:$Q$1005,$A$6:$A$1005,$A437,$AS$6:$AS$1005,1),"")</f>
        <v/>
      </c>
      <c r="BC437" s="56">
        <f>IF(ISNUMBER($R437),1,0)</f>
        <v>0</v>
      </c>
      <c r="BD437" s="55" t="str">
        <f>IF(ISNUMBER($U437),$U437*$V437,"")</f>
        <v/>
      </c>
      <c r="BE437" s="56" t="str">
        <f>IF($AM437=0,"",IFERROR(MATCH($AF437&amp;"|"&amp;UPPER(TRIM($E437)),Lists!$A$6:$A$205,0),0))</f>
        <v/>
      </c>
      <c r="BF437" s="56" t="str">
        <f>IF($AM437=0,"",IFERROR(MATCH($AF437,Settings!$B$14:$B$18,0),IFERROR(MATCH(Settings!$C$6,Settings!$B$14:$B$18,0),1)))</f>
        <v/>
      </c>
      <c r="BG437" s="58" t="str">
        <f>IF($AM437=0,"",IF(NOT(ISNUMBER($I437)),"No stop; ","")&amp;IF(AND(ISNUMBER($H437),ISNUMBER($I437)),IF(OR(AND($F437&lt;&gt;"Short",$I437&gt;=$H437),AND($F437="Short",$I437&lt;=$H437)),"Stop on wrong side; ",""),"")&amp;IF($F437="","No direction; ","")&amp;IF(AND(ISNUMBER(Settings!$C$22),ISNUMBER($V437)),IF($V437&gt;Settings!$C$22,"Risk over max $; ",""),"")&amp;IF(AND(ISNUMBER(Settings!$C$23),ISNUMBER($V437),ISNUMBER($AP437),IFERROR(N(INDEX(Accounts!$E$7:$E$16,MATCH($C437,Accounts!$B$7:$B$16,0))),0)&gt;0),IF($V437&gt;Settings!$C$23*($AP437-N($Q437)),"Risk over max %; ",""),"")&amp;IF(AND(ISNUMBER(Settings!$C$24),ISNUMBER($N437)),IF($N437&gt;Settings!$C$24,"Leverage over max; ",""),"")&amp;IF(AND(ISNUMBER(Settings!$C$27),ISNUMBER($T437)),IF($T437&lt;Settings!$C$27,"R:R below min; ",""),"")&amp;IF(ISNUMBER(Settings!$C$25),IF(COUNTIFS($A$6:$A437,$A437,$AM$6:$AM437,1)&gt;Settings!$C$25,"Over max trades/day; ",""),"")&amp;IF(ISNUMBER(Settings!$C$26),IF(SUMIFS($Q$5:$Q436,$A$5:$A436,$A437)&lt;=-Settings!$C$26,"Traded after daily max loss; ",""),"")&amp;IF(AND($AG437="",NOT(ISNUMBER($O437))),"Symbol not in Instruments; ","")&amp;IF(AND($AH437="",NOT(ISNUMBER($O437))),"Forex cross: type Gross P&amp;L; ",""))</f>
        <v/>
      </c>
      <c r="BH437" s="56">
        <f>IF(ISNUMBER($Q437),1,0)</f>
        <v>0</v>
      </c>
      <c r="BI437" s="56">
        <f>IF($Y437="",0,1)</f>
        <v>0</v>
      </c>
      <c r="BJ437" s="56">
        <f>IF($AB437="",0,1)</f>
        <v>0</v>
      </c>
      <c r="BK437" s="56">
        <f>IF(AND($BH437=1,$W437&lt;&gt;"OK"),1,0)</f>
        <v>0</v>
      </c>
      <c r="BL437" s="55">
        <f>IF(N($AZ437)=0,0,IFERROR(INDEX($AT$6:$AT$1005,MATCH($AZ437,$AY$6:$AY$1005,0)),0))</f>
        <v>1187.10688</v>
      </c>
      <c r="BM437" s="56">
        <f>IF(ISNUMBER(SEARCH("daily max loss",$BG437)),1,0)</f>
        <v>0</v>
      </c>
    </row>
    <row r="438" ht="18" customHeight="1">
      <c r="A438" s="38" t="n"/>
      <c r="B438" s="39" t="n"/>
      <c r="C438" s="40" t="n"/>
      <c r="D438" s="41" t="n"/>
      <c r="E438" s="41" t="n"/>
      <c r="F438" s="41" t="n"/>
      <c r="G438" s="41" t="n"/>
      <c r="H438" s="42" t="n"/>
      <c r="I438" s="42" t="n"/>
      <c r="J438" s="42" t="n"/>
      <c r="K438" s="42" t="n"/>
      <c r="L438" s="41" t="n"/>
      <c r="M438" s="41" t="n"/>
      <c r="N438" s="41" t="n"/>
      <c r="O438" s="43" t="n"/>
      <c r="P438" s="43" t="n"/>
      <c r="Q438" s="44" t="str">
        <f>IF($AM438=0,"",IF(ISNUMBER($AK438),$AK438-N($AL438),""))</f>
        <v/>
      </c>
      <c r="R438" s="45" t="str">
        <f>IF(OR($Q438="",NOT(ISNUMBER($V438))),"",$AK438/$V438)</f>
        <v/>
      </c>
      <c r="S438" s="46" t="str">
        <f>IF($Q438="","",IF(AND(ISNUMBER($R438),ABS(N($R438))&lt;N(Settings!$C$8)),"Scratch",IF($Q438&gt;0,"Win",IF($Q438&lt;0,"Loss","Scratch"))))</f>
        <v/>
      </c>
      <c r="T438" s="47" t="str">
        <f>IF(OR($AM438=0,NOT(ISNUMBER($H438)),NOT(ISNUMBER($I438)),NOT(ISNUMBER($J438))),"",IF($H438=$I438,"",ROUND(ABS($J438-$H438)/ABS($H438-$I438),6)))</f>
        <v/>
      </c>
      <c r="U438" s="48" t="str">
        <f>IF(OR($S438&lt;&gt;"Win",NOT(ISNUMBER($T438)),NOT(ISNUMBER($R438))),"",MAX(0,$T438-$R438))</f>
        <v/>
      </c>
      <c r="V438" s="49" t="str">
        <f>IF(OR($AM438=0,NOT(ISNUMBER($H438)),NOT(ISNUMBER($I438)),NOT(ISNUMBER($G438))),"",IF(OR($AG438="",$AH438=""),"",IF(ROUND(ABS($H438-$I438)*ABS($G438)*$AG438*$AH438,6)=0,"",ROUND(ABS($H438-$I438)*ABS($G438)*$AG438*$AH438,6))))</f>
        <v/>
      </c>
      <c r="W438" s="50" t="str">
        <f>IF($AM438=0,"",IF($BG438="","OK",LEFT($BG438,LEN($BG438)-2)))</f>
        <v/>
      </c>
      <c r="X438" s="41" t="n"/>
      <c r="Y438" s="40" t="n"/>
      <c r="Z438" s="41" t="n"/>
      <c r="AA438" s="41" t="n"/>
      <c r="AB438" s="40" t="n"/>
      <c r="AC438" s="51" t="n"/>
      <c r="AD438" s="51" t="n"/>
      <c r="AE438" s="40" t="n"/>
      <c r="AF438" s="52" t="str">
        <f>IF($AM438=0,"",IF($D438&lt;&gt;"",$D438,IF(IFERROR(INDEX(Accounts!$C$7:$C$16,MATCH($C438,Accounts!$B$7:$B$16,0))&amp;"","")&lt;&gt;"",INDEX(Accounts!$C$7:$C$16,MATCH($C438,Accounts!$B$7:$B$16,0)),Settings!$C$6)))</f>
        <v/>
      </c>
      <c r="AG438" s="53" t="str">
        <f>IF($AM438=0,"",IF(AND($BE438&gt;0,N(INDEX(Instruments!$D$6:$D$205,MAX(1,$BE438)))&gt;0),INDEX(Instruments!$D$6:$D$205,MAX(1,$BE438)),IF(N(INDEX(Settings!$D$14:$D$18,$BF438))&gt;0,INDEX(Settings!$D$14:$D$18,$BF438),"")))</f>
        <v/>
      </c>
      <c r="AH438" s="54" t="str">
        <f>IF($AM438=0,"",IF($AF438&lt;&gt;"Forex",1,IF(MID(UPPER(SUBSTITUTE(TRIM($E438),"/","")),4,3)=UPPER(TRIM(Settings!$C$7)),1,IF(LEFT(UPPER(SUBSTITUTE(TRIM($E438),"/","")),3)=UPPER(TRIM(Settings!$C$7)),IF(AND(ISNUMBER($K438),N($K438)&lt;&gt;0),1/$K438,""),""))))</f>
        <v/>
      </c>
      <c r="AI438" s="55" t="str">
        <f>IF($AM438=0,"",IF(OR(NOT(ISNUMBER($H438)),NOT(ISNUMBER($K438)),NOT(ISNUMBER($G438)),$AG438="",$AH438=""),"",ROUND(($K438-$H438)*IF($F438="Short",-1,1)*$G438*$AG438*$AH438,6)))</f>
        <v/>
      </c>
      <c r="AJ438" s="55" t="str">
        <f>IF($AM438=0,"",IF(INDEX(Settings!$E$14:$E$18,$BF438)="% of notional",IF(OR($AG438="",NOT(ISNUMBER($H438)),NOT(ISNUMBER($G438))),"",ROUND(ABS($H438*$G438*$AG438*N($AH438))*IF($L438="Limit",N(INDEX(Settings!$G$14:$G$18,$BF438)),N(INDEX(Settings!$H$14:$H$18,$BF438)))+IF(ISNUMBER($K438),ABS($K438*$G438*$AG438*N($AH438))*IF($M438="Target",N(INDEX(Settings!$G$14:$G$18,$BF438)),N(INDEX(Settings!$H$14:$H$18,$BF438))),0),6)),IF(NOT(ISNUMBER($G438)),"",ROUND(ABS($G438)*2*IF(AND($BE438&gt;0,ISNUMBER(INDEX(Instruments!$G$6:$G$205,MAX(1,$BE438)))),INDEX(Instruments!$G$6:$G$205,MAX(1,$BE438)),N(INDEX(Settings!$F$14:$F$18,$BF438))),6))))</f>
        <v/>
      </c>
      <c r="AK438" s="55" t="str">
        <f>IF($AM438=0,"",IF(ISNUMBER($O438),$O438,$AI438))</f>
        <v/>
      </c>
      <c r="AL438" s="55" t="str">
        <f>IF($AM438=0,"",IF(ISNUMBER($P438),$P438,N($AJ438)))</f>
        <v/>
      </c>
      <c r="AM438" s="56">
        <f>IF(AND($A438&lt;&gt;"",$E438&lt;&gt;"",OR(AND(ISNUMBER($G438),ISNUMBER($H438),ISNUMBER($K438)),ISNUMBER($O438))),1,0)</f>
        <v>0</v>
      </c>
      <c r="AN438" s="57" t="str">
        <f>IF($A438="","",$A438-WEEKDAY($A438,3))</f>
        <v/>
      </c>
      <c r="AO438" s="56" t="str">
        <f>IF($A438="","",WEEKDAY($A438,2))</f>
        <v/>
      </c>
      <c r="AP438" s="55" t="str">
        <f>IF(OR($AM438=0,$C438=""),"",IFERROR(N(INDEX(Accounts!$E$7:$E$16,MATCH($C438,Accounts!$B$7:$B$16,0))),0)+SUMIFS($Q$6:$Q438,$C$6:$C438,$C438))</f>
        <v/>
      </c>
      <c r="AQ438" s="55" t="str">
        <f>IF(OR($AM438=0,$C438=""),"",SUMIFS($Q$6:$Q$1005,$C$6:$C$1005,$C438,$A$6:$A$1005,$A438))</f>
        <v/>
      </c>
      <c r="AR438" s="55" t="str">
        <f>IF(OR($AM438=0,$C438=""),"",IFERROR(N(INDEX(Accounts!$E$7:$E$16,MATCH($C438,Accounts!$B$7:$B$16,0))),0)+SUMIFS($Q$6:$Q$1005,$C$6:$C$1005,$C438,$A$6:$A$1005,"&lt;="&amp;$A438))</f>
        <v/>
      </c>
      <c r="AS438" s="56">
        <f>IF(OR($AM438=0,$Q438=""),0,IF(AND($A438&gt;=Lists!$W$6,$A438&lt;=Lists!$W$7,OR(Dashboard!$D$6="All accounts",$C438=Dashboard!$D$6),OR(Dashboard!$D$7="All markets",$AF438=Dashboard!$D$7)),1,0))</f>
        <v>0</v>
      </c>
      <c r="AT438" s="55">
        <f>IF($AS438=1,N(AT437)+$Q438,N(AT437))</f>
        <v>1187.10688</v>
      </c>
      <c r="AU438" s="55">
        <f>MAX(N(AU437),$AT438)</f>
        <v>1187.10688</v>
      </c>
      <c r="AV438" s="55">
        <f>$AT438-$AU438</f>
        <v>0</v>
      </c>
      <c r="AW438" s="56">
        <f>IF($AS438=1,IF($S438="Win",N(AW437)+1,IF($S438="Loss",0,N(AW437))),N(AW437))</f>
        <v>5</v>
      </c>
      <c r="AX438" s="56">
        <f>IF($AS438=1,IF($S438="Loss",N(AX437)+1,IF($S438="Win",0,N(AX437))),N(AX437))</f>
        <v>0</v>
      </c>
      <c r="AY438" s="56" t="str">
        <f>IF($AS438=1,COUNTIF($AS$6:$AS438,1),"")</f>
        <v/>
      </c>
      <c r="AZ438" s="56">
        <f>MIN(432,N(Lists!$W$8))</f>
        <v>28</v>
      </c>
      <c r="BA438" s="56">
        <f>IF($AS438=1,IF(COUNTIFS($A$6:$A438,$A438,$AS$6:$AS438,1)=1,1,0),0)</f>
        <v>0</v>
      </c>
      <c r="BB438" s="55" t="str">
        <f>IF($BA438=1,SUMIFS($Q$6:$Q$1005,$A$6:$A$1005,$A438,$AS$6:$AS$1005,1),"")</f>
        <v/>
      </c>
      <c r="BC438" s="56">
        <f>IF(ISNUMBER($R438),1,0)</f>
        <v>0</v>
      </c>
      <c r="BD438" s="55" t="str">
        <f>IF(ISNUMBER($U438),$U438*$V438,"")</f>
        <v/>
      </c>
      <c r="BE438" s="56" t="str">
        <f>IF($AM438=0,"",IFERROR(MATCH($AF438&amp;"|"&amp;UPPER(TRIM($E438)),Lists!$A$6:$A$205,0),0))</f>
        <v/>
      </c>
      <c r="BF438" s="56" t="str">
        <f>IF($AM438=0,"",IFERROR(MATCH($AF438,Settings!$B$14:$B$18,0),IFERROR(MATCH(Settings!$C$6,Settings!$B$14:$B$18,0),1)))</f>
        <v/>
      </c>
      <c r="BG438" s="58" t="str">
        <f>IF($AM438=0,"",IF(NOT(ISNUMBER($I438)),"No stop; ","")&amp;IF(AND(ISNUMBER($H438),ISNUMBER($I438)),IF(OR(AND($F438&lt;&gt;"Short",$I438&gt;=$H438),AND($F438="Short",$I438&lt;=$H438)),"Stop on wrong side; ",""),"")&amp;IF($F438="","No direction; ","")&amp;IF(AND(ISNUMBER(Settings!$C$22),ISNUMBER($V438)),IF($V438&gt;Settings!$C$22,"Risk over max $; ",""),"")&amp;IF(AND(ISNUMBER(Settings!$C$23),ISNUMBER($V438),ISNUMBER($AP438),IFERROR(N(INDEX(Accounts!$E$7:$E$16,MATCH($C438,Accounts!$B$7:$B$16,0))),0)&gt;0),IF($V438&gt;Settings!$C$23*($AP438-N($Q438)),"Risk over max %; ",""),"")&amp;IF(AND(ISNUMBER(Settings!$C$24),ISNUMBER($N438)),IF($N438&gt;Settings!$C$24,"Leverage over max; ",""),"")&amp;IF(AND(ISNUMBER(Settings!$C$27),ISNUMBER($T438)),IF($T438&lt;Settings!$C$27,"R:R below min; ",""),"")&amp;IF(ISNUMBER(Settings!$C$25),IF(COUNTIFS($A$6:$A438,$A438,$AM$6:$AM438,1)&gt;Settings!$C$25,"Over max trades/day; ",""),"")&amp;IF(ISNUMBER(Settings!$C$26),IF(SUMIFS($Q$5:$Q437,$A$5:$A437,$A438)&lt;=-Settings!$C$26,"Traded after daily max loss; ",""),"")&amp;IF(AND($AG438="",NOT(ISNUMBER($O438))),"Symbol not in Instruments; ","")&amp;IF(AND($AH438="",NOT(ISNUMBER($O438))),"Forex cross: type Gross P&amp;L; ",""))</f>
        <v/>
      </c>
      <c r="BH438" s="56">
        <f>IF(ISNUMBER($Q438),1,0)</f>
        <v>0</v>
      </c>
      <c r="BI438" s="56">
        <f>IF($Y438="",0,1)</f>
        <v>0</v>
      </c>
      <c r="BJ438" s="56">
        <f>IF($AB438="",0,1)</f>
        <v>0</v>
      </c>
      <c r="BK438" s="56">
        <f>IF(AND($BH438=1,$W438&lt;&gt;"OK"),1,0)</f>
        <v>0</v>
      </c>
      <c r="BL438" s="55">
        <f>IF(N($AZ438)=0,0,IFERROR(INDEX($AT$6:$AT$1005,MATCH($AZ438,$AY$6:$AY$1005,0)),0))</f>
        <v>1187.10688</v>
      </c>
      <c r="BM438" s="56">
        <f>IF(ISNUMBER(SEARCH("daily max loss",$BG438)),1,0)</f>
        <v>0</v>
      </c>
    </row>
    <row r="439" ht="18" customHeight="1">
      <c r="A439" s="38" t="n"/>
      <c r="B439" s="39" t="n"/>
      <c r="C439" s="40" t="n"/>
      <c r="D439" s="41" t="n"/>
      <c r="E439" s="41" t="n"/>
      <c r="F439" s="41" t="n"/>
      <c r="G439" s="41" t="n"/>
      <c r="H439" s="42" t="n"/>
      <c r="I439" s="42" t="n"/>
      <c r="J439" s="42" t="n"/>
      <c r="K439" s="42" t="n"/>
      <c r="L439" s="41" t="n"/>
      <c r="M439" s="41" t="n"/>
      <c r="N439" s="41" t="n"/>
      <c r="O439" s="43" t="n"/>
      <c r="P439" s="43" t="n"/>
      <c r="Q439" s="44" t="str">
        <f>IF($AM439=0,"",IF(ISNUMBER($AK439),$AK439-N($AL439),""))</f>
        <v/>
      </c>
      <c r="R439" s="45" t="str">
        <f>IF(OR($Q439="",NOT(ISNUMBER($V439))),"",$AK439/$V439)</f>
        <v/>
      </c>
      <c r="S439" s="46" t="str">
        <f>IF($Q439="","",IF(AND(ISNUMBER($R439),ABS(N($R439))&lt;N(Settings!$C$8)),"Scratch",IF($Q439&gt;0,"Win",IF($Q439&lt;0,"Loss","Scratch"))))</f>
        <v/>
      </c>
      <c r="T439" s="47" t="str">
        <f>IF(OR($AM439=0,NOT(ISNUMBER($H439)),NOT(ISNUMBER($I439)),NOT(ISNUMBER($J439))),"",IF($H439=$I439,"",ROUND(ABS($J439-$H439)/ABS($H439-$I439),6)))</f>
        <v/>
      </c>
      <c r="U439" s="48" t="str">
        <f>IF(OR($S439&lt;&gt;"Win",NOT(ISNUMBER($T439)),NOT(ISNUMBER($R439))),"",MAX(0,$T439-$R439))</f>
        <v/>
      </c>
      <c r="V439" s="49" t="str">
        <f>IF(OR($AM439=0,NOT(ISNUMBER($H439)),NOT(ISNUMBER($I439)),NOT(ISNUMBER($G439))),"",IF(OR($AG439="",$AH439=""),"",IF(ROUND(ABS($H439-$I439)*ABS($G439)*$AG439*$AH439,6)=0,"",ROUND(ABS($H439-$I439)*ABS($G439)*$AG439*$AH439,6))))</f>
        <v/>
      </c>
      <c r="W439" s="50" t="str">
        <f>IF($AM439=0,"",IF($BG439="","OK",LEFT($BG439,LEN($BG439)-2)))</f>
        <v/>
      </c>
      <c r="X439" s="41" t="n"/>
      <c r="Y439" s="40" t="n"/>
      <c r="Z439" s="41" t="n"/>
      <c r="AA439" s="41" t="n"/>
      <c r="AB439" s="40" t="n"/>
      <c r="AC439" s="51" t="n"/>
      <c r="AD439" s="51" t="n"/>
      <c r="AE439" s="40" t="n"/>
      <c r="AF439" s="52" t="str">
        <f>IF($AM439=0,"",IF($D439&lt;&gt;"",$D439,IF(IFERROR(INDEX(Accounts!$C$7:$C$16,MATCH($C439,Accounts!$B$7:$B$16,0))&amp;"","")&lt;&gt;"",INDEX(Accounts!$C$7:$C$16,MATCH($C439,Accounts!$B$7:$B$16,0)),Settings!$C$6)))</f>
        <v/>
      </c>
      <c r="AG439" s="53" t="str">
        <f>IF($AM439=0,"",IF(AND($BE439&gt;0,N(INDEX(Instruments!$D$6:$D$205,MAX(1,$BE439)))&gt;0),INDEX(Instruments!$D$6:$D$205,MAX(1,$BE439)),IF(N(INDEX(Settings!$D$14:$D$18,$BF439))&gt;0,INDEX(Settings!$D$14:$D$18,$BF439),"")))</f>
        <v/>
      </c>
      <c r="AH439" s="54" t="str">
        <f>IF($AM439=0,"",IF($AF439&lt;&gt;"Forex",1,IF(MID(UPPER(SUBSTITUTE(TRIM($E439),"/","")),4,3)=UPPER(TRIM(Settings!$C$7)),1,IF(LEFT(UPPER(SUBSTITUTE(TRIM($E439),"/","")),3)=UPPER(TRIM(Settings!$C$7)),IF(AND(ISNUMBER($K439),N($K439)&lt;&gt;0),1/$K439,""),""))))</f>
        <v/>
      </c>
      <c r="AI439" s="55" t="str">
        <f>IF($AM439=0,"",IF(OR(NOT(ISNUMBER($H439)),NOT(ISNUMBER($K439)),NOT(ISNUMBER($G439)),$AG439="",$AH439=""),"",ROUND(($K439-$H439)*IF($F439="Short",-1,1)*$G439*$AG439*$AH439,6)))</f>
        <v/>
      </c>
      <c r="AJ439" s="55" t="str">
        <f>IF($AM439=0,"",IF(INDEX(Settings!$E$14:$E$18,$BF439)="% of notional",IF(OR($AG439="",NOT(ISNUMBER($H439)),NOT(ISNUMBER($G439))),"",ROUND(ABS($H439*$G439*$AG439*N($AH439))*IF($L439="Limit",N(INDEX(Settings!$G$14:$G$18,$BF439)),N(INDEX(Settings!$H$14:$H$18,$BF439)))+IF(ISNUMBER($K439),ABS($K439*$G439*$AG439*N($AH439))*IF($M439="Target",N(INDEX(Settings!$G$14:$G$18,$BF439)),N(INDEX(Settings!$H$14:$H$18,$BF439))),0),6)),IF(NOT(ISNUMBER($G439)),"",ROUND(ABS($G439)*2*IF(AND($BE439&gt;0,ISNUMBER(INDEX(Instruments!$G$6:$G$205,MAX(1,$BE439)))),INDEX(Instruments!$G$6:$G$205,MAX(1,$BE439)),N(INDEX(Settings!$F$14:$F$18,$BF439))),6))))</f>
        <v/>
      </c>
      <c r="AK439" s="55" t="str">
        <f>IF($AM439=0,"",IF(ISNUMBER($O439),$O439,$AI439))</f>
        <v/>
      </c>
      <c r="AL439" s="55" t="str">
        <f>IF($AM439=0,"",IF(ISNUMBER($P439),$P439,N($AJ439)))</f>
        <v/>
      </c>
      <c r="AM439" s="56">
        <f>IF(AND($A439&lt;&gt;"",$E439&lt;&gt;"",OR(AND(ISNUMBER($G439),ISNUMBER($H439),ISNUMBER($K439)),ISNUMBER($O439))),1,0)</f>
        <v>0</v>
      </c>
      <c r="AN439" s="57" t="str">
        <f>IF($A439="","",$A439-WEEKDAY($A439,3))</f>
        <v/>
      </c>
      <c r="AO439" s="56" t="str">
        <f>IF($A439="","",WEEKDAY($A439,2))</f>
        <v/>
      </c>
      <c r="AP439" s="55" t="str">
        <f>IF(OR($AM439=0,$C439=""),"",IFERROR(N(INDEX(Accounts!$E$7:$E$16,MATCH($C439,Accounts!$B$7:$B$16,0))),0)+SUMIFS($Q$6:$Q439,$C$6:$C439,$C439))</f>
        <v/>
      </c>
      <c r="AQ439" s="55" t="str">
        <f>IF(OR($AM439=0,$C439=""),"",SUMIFS($Q$6:$Q$1005,$C$6:$C$1005,$C439,$A$6:$A$1005,$A439))</f>
        <v/>
      </c>
      <c r="AR439" s="55" t="str">
        <f>IF(OR($AM439=0,$C439=""),"",IFERROR(N(INDEX(Accounts!$E$7:$E$16,MATCH($C439,Accounts!$B$7:$B$16,0))),0)+SUMIFS($Q$6:$Q$1005,$C$6:$C$1005,$C439,$A$6:$A$1005,"&lt;="&amp;$A439))</f>
        <v/>
      </c>
      <c r="AS439" s="56">
        <f>IF(OR($AM439=0,$Q439=""),0,IF(AND($A439&gt;=Lists!$W$6,$A439&lt;=Lists!$W$7,OR(Dashboard!$D$6="All accounts",$C439=Dashboard!$D$6),OR(Dashboard!$D$7="All markets",$AF439=Dashboard!$D$7)),1,0))</f>
        <v>0</v>
      </c>
      <c r="AT439" s="55">
        <f>IF($AS439=1,N(AT438)+$Q439,N(AT438))</f>
        <v>1187.10688</v>
      </c>
      <c r="AU439" s="55">
        <f>MAX(N(AU438),$AT439)</f>
        <v>1187.10688</v>
      </c>
      <c r="AV439" s="55">
        <f>$AT439-$AU439</f>
        <v>0</v>
      </c>
      <c r="AW439" s="56">
        <f>IF($AS439=1,IF($S439="Win",N(AW438)+1,IF($S439="Loss",0,N(AW438))),N(AW438))</f>
        <v>5</v>
      </c>
      <c r="AX439" s="56">
        <f>IF($AS439=1,IF($S439="Loss",N(AX438)+1,IF($S439="Win",0,N(AX438))),N(AX438))</f>
        <v>0</v>
      </c>
      <c r="AY439" s="56" t="str">
        <f>IF($AS439=1,COUNTIF($AS$6:$AS439,1),"")</f>
        <v/>
      </c>
      <c r="AZ439" s="56">
        <f>MIN(433,N(Lists!$W$8))</f>
        <v>28</v>
      </c>
      <c r="BA439" s="56">
        <f>IF($AS439=1,IF(COUNTIFS($A$6:$A439,$A439,$AS$6:$AS439,1)=1,1,0),0)</f>
        <v>0</v>
      </c>
      <c r="BB439" s="55" t="str">
        <f>IF($BA439=1,SUMIFS($Q$6:$Q$1005,$A$6:$A$1005,$A439,$AS$6:$AS$1005,1),"")</f>
        <v/>
      </c>
      <c r="BC439" s="56">
        <f>IF(ISNUMBER($R439),1,0)</f>
        <v>0</v>
      </c>
      <c r="BD439" s="55" t="str">
        <f>IF(ISNUMBER($U439),$U439*$V439,"")</f>
        <v/>
      </c>
      <c r="BE439" s="56" t="str">
        <f>IF($AM439=0,"",IFERROR(MATCH($AF439&amp;"|"&amp;UPPER(TRIM($E439)),Lists!$A$6:$A$205,0),0))</f>
        <v/>
      </c>
      <c r="BF439" s="56" t="str">
        <f>IF($AM439=0,"",IFERROR(MATCH($AF439,Settings!$B$14:$B$18,0),IFERROR(MATCH(Settings!$C$6,Settings!$B$14:$B$18,0),1)))</f>
        <v/>
      </c>
      <c r="BG439" s="58" t="str">
        <f>IF($AM439=0,"",IF(NOT(ISNUMBER($I439)),"No stop; ","")&amp;IF(AND(ISNUMBER($H439),ISNUMBER($I439)),IF(OR(AND($F439&lt;&gt;"Short",$I439&gt;=$H439),AND($F439="Short",$I439&lt;=$H439)),"Stop on wrong side; ",""),"")&amp;IF($F439="","No direction; ","")&amp;IF(AND(ISNUMBER(Settings!$C$22),ISNUMBER($V439)),IF($V439&gt;Settings!$C$22,"Risk over max $; ",""),"")&amp;IF(AND(ISNUMBER(Settings!$C$23),ISNUMBER($V439),ISNUMBER($AP439),IFERROR(N(INDEX(Accounts!$E$7:$E$16,MATCH($C439,Accounts!$B$7:$B$16,0))),0)&gt;0),IF($V439&gt;Settings!$C$23*($AP439-N($Q439)),"Risk over max %; ",""),"")&amp;IF(AND(ISNUMBER(Settings!$C$24),ISNUMBER($N439)),IF($N439&gt;Settings!$C$24,"Leverage over max; ",""),"")&amp;IF(AND(ISNUMBER(Settings!$C$27),ISNUMBER($T439)),IF($T439&lt;Settings!$C$27,"R:R below min; ",""),"")&amp;IF(ISNUMBER(Settings!$C$25),IF(COUNTIFS($A$6:$A439,$A439,$AM$6:$AM439,1)&gt;Settings!$C$25,"Over max trades/day; ",""),"")&amp;IF(ISNUMBER(Settings!$C$26),IF(SUMIFS($Q$5:$Q438,$A$5:$A438,$A439)&lt;=-Settings!$C$26,"Traded after daily max loss; ",""),"")&amp;IF(AND($AG439="",NOT(ISNUMBER($O439))),"Symbol not in Instruments; ","")&amp;IF(AND($AH439="",NOT(ISNUMBER($O439))),"Forex cross: type Gross P&amp;L; ",""))</f>
        <v/>
      </c>
      <c r="BH439" s="56">
        <f>IF(ISNUMBER($Q439),1,0)</f>
        <v>0</v>
      </c>
      <c r="BI439" s="56">
        <f>IF($Y439="",0,1)</f>
        <v>0</v>
      </c>
      <c r="BJ439" s="56">
        <f>IF($AB439="",0,1)</f>
        <v>0</v>
      </c>
      <c r="BK439" s="56">
        <f>IF(AND($BH439=1,$W439&lt;&gt;"OK"),1,0)</f>
        <v>0</v>
      </c>
      <c r="BL439" s="55">
        <f>IF(N($AZ439)=0,0,IFERROR(INDEX($AT$6:$AT$1005,MATCH($AZ439,$AY$6:$AY$1005,0)),0))</f>
        <v>1187.10688</v>
      </c>
      <c r="BM439" s="56">
        <f>IF(ISNUMBER(SEARCH("daily max loss",$BG439)),1,0)</f>
        <v>0</v>
      </c>
    </row>
    <row r="440" ht="18" customHeight="1">
      <c r="A440" s="38" t="n"/>
      <c r="B440" s="39" t="n"/>
      <c r="C440" s="40" t="n"/>
      <c r="D440" s="41" t="n"/>
      <c r="E440" s="41" t="n"/>
      <c r="F440" s="41" t="n"/>
      <c r="G440" s="41" t="n"/>
      <c r="H440" s="42" t="n"/>
      <c r="I440" s="42" t="n"/>
      <c r="J440" s="42" t="n"/>
      <c r="K440" s="42" t="n"/>
      <c r="L440" s="41" t="n"/>
      <c r="M440" s="41" t="n"/>
      <c r="N440" s="41" t="n"/>
      <c r="O440" s="43" t="n"/>
      <c r="P440" s="43" t="n"/>
      <c r="Q440" s="44" t="str">
        <f>IF($AM440=0,"",IF(ISNUMBER($AK440),$AK440-N($AL440),""))</f>
        <v/>
      </c>
      <c r="R440" s="45" t="str">
        <f>IF(OR($Q440="",NOT(ISNUMBER($V440))),"",$AK440/$V440)</f>
        <v/>
      </c>
      <c r="S440" s="46" t="str">
        <f>IF($Q440="","",IF(AND(ISNUMBER($R440),ABS(N($R440))&lt;N(Settings!$C$8)),"Scratch",IF($Q440&gt;0,"Win",IF($Q440&lt;0,"Loss","Scratch"))))</f>
        <v/>
      </c>
      <c r="T440" s="47" t="str">
        <f>IF(OR($AM440=0,NOT(ISNUMBER($H440)),NOT(ISNUMBER($I440)),NOT(ISNUMBER($J440))),"",IF($H440=$I440,"",ROUND(ABS($J440-$H440)/ABS($H440-$I440),6)))</f>
        <v/>
      </c>
      <c r="U440" s="48" t="str">
        <f>IF(OR($S440&lt;&gt;"Win",NOT(ISNUMBER($T440)),NOT(ISNUMBER($R440))),"",MAX(0,$T440-$R440))</f>
        <v/>
      </c>
      <c r="V440" s="49" t="str">
        <f>IF(OR($AM440=0,NOT(ISNUMBER($H440)),NOT(ISNUMBER($I440)),NOT(ISNUMBER($G440))),"",IF(OR($AG440="",$AH440=""),"",IF(ROUND(ABS($H440-$I440)*ABS($G440)*$AG440*$AH440,6)=0,"",ROUND(ABS($H440-$I440)*ABS($G440)*$AG440*$AH440,6))))</f>
        <v/>
      </c>
      <c r="W440" s="50" t="str">
        <f>IF($AM440=0,"",IF($BG440="","OK",LEFT($BG440,LEN($BG440)-2)))</f>
        <v/>
      </c>
      <c r="X440" s="41" t="n"/>
      <c r="Y440" s="40" t="n"/>
      <c r="Z440" s="41" t="n"/>
      <c r="AA440" s="41" t="n"/>
      <c r="AB440" s="40" t="n"/>
      <c r="AC440" s="51" t="n"/>
      <c r="AD440" s="51" t="n"/>
      <c r="AE440" s="40" t="n"/>
      <c r="AF440" s="52" t="str">
        <f>IF($AM440=0,"",IF($D440&lt;&gt;"",$D440,IF(IFERROR(INDEX(Accounts!$C$7:$C$16,MATCH($C440,Accounts!$B$7:$B$16,0))&amp;"","")&lt;&gt;"",INDEX(Accounts!$C$7:$C$16,MATCH($C440,Accounts!$B$7:$B$16,0)),Settings!$C$6)))</f>
        <v/>
      </c>
      <c r="AG440" s="53" t="str">
        <f>IF($AM440=0,"",IF(AND($BE440&gt;0,N(INDEX(Instruments!$D$6:$D$205,MAX(1,$BE440)))&gt;0),INDEX(Instruments!$D$6:$D$205,MAX(1,$BE440)),IF(N(INDEX(Settings!$D$14:$D$18,$BF440))&gt;0,INDEX(Settings!$D$14:$D$18,$BF440),"")))</f>
        <v/>
      </c>
      <c r="AH440" s="54" t="str">
        <f>IF($AM440=0,"",IF($AF440&lt;&gt;"Forex",1,IF(MID(UPPER(SUBSTITUTE(TRIM($E440),"/","")),4,3)=UPPER(TRIM(Settings!$C$7)),1,IF(LEFT(UPPER(SUBSTITUTE(TRIM($E440),"/","")),3)=UPPER(TRIM(Settings!$C$7)),IF(AND(ISNUMBER($K440),N($K440)&lt;&gt;0),1/$K440,""),""))))</f>
        <v/>
      </c>
      <c r="AI440" s="55" t="str">
        <f>IF($AM440=0,"",IF(OR(NOT(ISNUMBER($H440)),NOT(ISNUMBER($K440)),NOT(ISNUMBER($G440)),$AG440="",$AH440=""),"",ROUND(($K440-$H440)*IF($F440="Short",-1,1)*$G440*$AG440*$AH440,6)))</f>
        <v/>
      </c>
      <c r="AJ440" s="55" t="str">
        <f>IF($AM440=0,"",IF(INDEX(Settings!$E$14:$E$18,$BF440)="% of notional",IF(OR($AG440="",NOT(ISNUMBER($H440)),NOT(ISNUMBER($G440))),"",ROUND(ABS($H440*$G440*$AG440*N($AH440))*IF($L440="Limit",N(INDEX(Settings!$G$14:$G$18,$BF440)),N(INDEX(Settings!$H$14:$H$18,$BF440)))+IF(ISNUMBER($K440),ABS($K440*$G440*$AG440*N($AH440))*IF($M440="Target",N(INDEX(Settings!$G$14:$G$18,$BF440)),N(INDEX(Settings!$H$14:$H$18,$BF440))),0),6)),IF(NOT(ISNUMBER($G440)),"",ROUND(ABS($G440)*2*IF(AND($BE440&gt;0,ISNUMBER(INDEX(Instruments!$G$6:$G$205,MAX(1,$BE440)))),INDEX(Instruments!$G$6:$G$205,MAX(1,$BE440)),N(INDEX(Settings!$F$14:$F$18,$BF440))),6))))</f>
        <v/>
      </c>
      <c r="AK440" s="55" t="str">
        <f>IF($AM440=0,"",IF(ISNUMBER($O440),$O440,$AI440))</f>
        <v/>
      </c>
      <c r="AL440" s="55" t="str">
        <f>IF($AM440=0,"",IF(ISNUMBER($P440),$P440,N($AJ440)))</f>
        <v/>
      </c>
      <c r="AM440" s="56">
        <f>IF(AND($A440&lt;&gt;"",$E440&lt;&gt;"",OR(AND(ISNUMBER($G440),ISNUMBER($H440),ISNUMBER($K440)),ISNUMBER($O440))),1,0)</f>
        <v>0</v>
      </c>
      <c r="AN440" s="57" t="str">
        <f>IF($A440="","",$A440-WEEKDAY($A440,3))</f>
        <v/>
      </c>
      <c r="AO440" s="56" t="str">
        <f>IF($A440="","",WEEKDAY($A440,2))</f>
        <v/>
      </c>
      <c r="AP440" s="55" t="str">
        <f>IF(OR($AM440=0,$C440=""),"",IFERROR(N(INDEX(Accounts!$E$7:$E$16,MATCH($C440,Accounts!$B$7:$B$16,0))),0)+SUMIFS($Q$6:$Q440,$C$6:$C440,$C440))</f>
        <v/>
      </c>
      <c r="AQ440" s="55" t="str">
        <f>IF(OR($AM440=0,$C440=""),"",SUMIFS($Q$6:$Q$1005,$C$6:$C$1005,$C440,$A$6:$A$1005,$A440))</f>
        <v/>
      </c>
      <c r="AR440" s="55" t="str">
        <f>IF(OR($AM440=0,$C440=""),"",IFERROR(N(INDEX(Accounts!$E$7:$E$16,MATCH($C440,Accounts!$B$7:$B$16,0))),0)+SUMIFS($Q$6:$Q$1005,$C$6:$C$1005,$C440,$A$6:$A$1005,"&lt;="&amp;$A440))</f>
        <v/>
      </c>
      <c r="AS440" s="56">
        <f>IF(OR($AM440=0,$Q440=""),0,IF(AND($A440&gt;=Lists!$W$6,$A440&lt;=Lists!$W$7,OR(Dashboard!$D$6="All accounts",$C440=Dashboard!$D$6),OR(Dashboard!$D$7="All markets",$AF440=Dashboard!$D$7)),1,0))</f>
        <v>0</v>
      </c>
      <c r="AT440" s="55">
        <f>IF($AS440=1,N(AT439)+$Q440,N(AT439))</f>
        <v>1187.10688</v>
      </c>
      <c r="AU440" s="55">
        <f>MAX(N(AU439),$AT440)</f>
        <v>1187.10688</v>
      </c>
      <c r="AV440" s="55">
        <f>$AT440-$AU440</f>
        <v>0</v>
      </c>
      <c r="AW440" s="56">
        <f>IF($AS440=1,IF($S440="Win",N(AW439)+1,IF($S440="Loss",0,N(AW439))),N(AW439))</f>
        <v>5</v>
      </c>
      <c r="AX440" s="56">
        <f>IF($AS440=1,IF($S440="Loss",N(AX439)+1,IF($S440="Win",0,N(AX439))),N(AX439))</f>
        <v>0</v>
      </c>
      <c r="AY440" s="56" t="str">
        <f>IF($AS440=1,COUNTIF($AS$6:$AS440,1),"")</f>
        <v/>
      </c>
      <c r="AZ440" s="56">
        <f>MIN(434,N(Lists!$W$8))</f>
        <v>28</v>
      </c>
      <c r="BA440" s="56">
        <f>IF($AS440=1,IF(COUNTIFS($A$6:$A440,$A440,$AS$6:$AS440,1)=1,1,0),0)</f>
        <v>0</v>
      </c>
      <c r="BB440" s="55" t="str">
        <f>IF($BA440=1,SUMIFS($Q$6:$Q$1005,$A$6:$A$1005,$A440,$AS$6:$AS$1005,1),"")</f>
        <v/>
      </c>
      <c r="BC440" s="56">
        <f>IF(ISNUMBER($R440),1,0)</f>
        <v>0</v>
      </c>
      <c r="BD440" s="55" t="str">
        <f>IF(ISNUMBER($U440),$U440*$V440,"")</f>
        <v/>
      </c>
      <c r="BE440" s="56" t="str">
        <f>IF($AM440=0,"",IFERROR(MATCH($AF440&amp;"|"&amp;UPPER(TRIM($E440)),Lists!$A$6:$A$205,0),0))</f>
        <v/>
      </c>
      <c r="BF440" s="56" t="str">
        <f>IF($AM440=0,"",IFERROR(MATCH($AF440,Settings!$B$14:$B$18,0),IFERROR(MATCH(Settings!$C$6,Settings!$B$14:$B$18,0),1)))</f>
        <v/>
      </c>
      <c r="BG440" s="58" t="str">
        <f>IF($AM440=0,"",IF(NOT(ISNUMBER($I440)),"No stop; ","")&amp;IF(AND(ISNUMBER($H440),ISNUMBER($I440)),IF(OR(AND($F440&lt;&gt;"Short",$I440&gt;=$H440),AND($F440="Short",$I440&lt;=$H440)),"Stop on wrong side; ",""),"")&amp;IF($F440="","No direction; ","")&amp;IF(AND(ISNUMBER(Settings!$C$22),ISNUMBER($V440)),IF($V440&gt;Settings!$C$22,"Risk over max $; ",""),"")&amp;IF(AND(ISNUMBER(Settings!$C$23),ISNUMBER($V440),ISNUMBER($AP440),IFERROR(N(INDEX(Accounts!$E$7:$E$16,MATCH($C440,Accounts!$B$7:$B$16,0))),0)&gt;0),IF($V440&gt;Settings!$C$23*($AP440-N($Q440)),"Risk over max %; ",""),"")&amp;IF(AND(ISNUMBER(Settings!$C$24),ISNUMBER($N440)),IF($N440&gt;Settings!$C$24,"Leverage over max; ",""),"")&amp;IF(AND(ISNUMBER(Settings!$C$27),ISNUMBER($T440)),IF($T440&lt;Settings!$C$27,"R:R below min; ",""),"")&amp;IF(ISNUMBER(Settings!$C$25),IF(COUNTIFS($A$6:$A440,$A440,$AM$6:$AM440,1)&gt;Settings!$C$25,"Over max trades/day; ",""),"")&amp;IF(ISNUMBER(Settings!$C$26),IF(SUMIFS($Q$5:$Q439,$A$5:$A439,$A440)&lt;=-Settings!$C$26,"Traded after daily max loss; ",""),"")&amp;IF(AND($AG440="",NOT(ISNUMBER($O440))),"Symbol not in Instruments; ","")&amp;IF(AND($AH440="",NOT(ISNUMBER($O440))),"Forex cross: type Gross P&amp;L; ",""))</f>
        <v/>
      </c>
      <c r="BH440" s="56">
        <f>IF(ISNUMBER($Q440),1,0)</f>
        <v>0</v>
      </c>
      <c r="BI440" s="56">
        <f>IF($Y440="",0,1)</f>
        <v>0</v>
      </c>
      <c r="BJ440" s="56">
        <f>IF($AB440="",0,1)</f>
        <v>0</v>
      </c>
      <c r="BK440" s="56">
        <f>IF(AND($BH440=1,$W440&lt;&gt;"OK"),1,0)</f>
        <v>0</v>
      </c>
      <c r="BL440" s="55">
        <f>IF(N($AZ440)=0,0,IFERROR(INDEX($AT$6:$AT$1005,MATCH($AZ440,$AY$6:$AY$1005,0)),0))</f>
        <v>1187.10688</v>
      </c>
      <c r="BM440" s="56">
        <f>IF(ISNUMBER(SEARCH("daily max loss",$BG440)),1,0)</f>
        <v>0</v>
      </c>
    </row>
    <row r="441" ht="18" customHeight="1">
      <c r="A441" s="38" t="n"/>
      <c r="B441" s="39" t="n"/>
      <c r="C441" s="40" t="n"/>
      <c r="D441" s="41" t="n"/>
      <c r="E441" s="41" t="n"/>
      <c r="F441" s="41" t="n"/>
      <c r="G441" s="41" t="n"/>
      <c r="H441" s="42" t="n"/>
      <c r="I441" s="42" t="n"/>
      <c r="J441" s="42" t="n"/>
      <c r="K441" s="42" t="n"/>
      <c r="L441" s="41" t="n"/>
      <c r="M441" s="41" t="n"/>
      <c r="N441" s="41" t="n"/>
      <c r="O441" s="43" t="n"/>
      <c r="P441" s="43" t="n"/>
      <c r="Q441" s="44" t="str">
        <f>IF($AM441=0,"",IF(ISNUMBER($AK441),$AK441-N($AL441),""))</f>
        <v/>
      </c>
      <c r="R441" s="45" t="str">
        <f>IF(OR($Q441="",NOT(ISNUMBER($V441))),"",$AK441/$V441)</f>
        <v/>
      </c>
      <c r="S441" s="46" t="str">
        <f>IF($Q441="","",IF(AND(ISNUMBER($R441),ABS(N($R441))&lt;N(Settings!$C$8)),"Scratch",IF($Q441&gt;0,"Win",IF($Q441&lt;0,"Loss","Scratch"))))</f>
        <v/>
      </c>
      <c r="T441" s="47" t="str">
        <f>IF(OR($AM441=0,NOT(ISNUMBER($H441)),NOT(ISNUMBER($I441)),NOT(ISNUMBER($J441))),"",IF($H441=$I441,"",ROUND(ABS($J441-$H441)/ABS($H441-$I441),6)))</f>
        <v/>
      </c>
      <c r="U441" s="48" t="str">
        <f>IF(OR($S441&lt;&gt;"Win",NOT(ISNUMBER($T441)),NOT(ISNUMBER($R441))),"",MAX(0,$T441-$R441))</f>
        <v/>
      </c>
      <c r="V441" s="49" t="str">
        <f>IF(OR($AM441=0,NOT(ISNUMBER($H441)),NOT(ISNUMBER($I441)),NOT(ISNUMBER($G441))),"",IF(OR($AG441="",$AH441=""),"",IF(ROUND(ABS($H441-$I441)*ABS($G441)*$AG441*$AH441,6)=0,"",ROUND(ABS($H441-$I441)*ABS($G441)*$AG441*$AH441,6))))</f>
        <v/>
      </c>
      <c r="W441" s="50" t="str">
        <f>IF($AM441=0,"",IF($BG441="","OK",LEFT($BG441,LEN($BG441)-2)))</f>
        <v/>
      </c>
      <c r="X441" s="41" t="n"/>
      <c r="Y441" s="40" t="n"/>
      <c r="Z441" s="41" t="n"/>
      <c r="AA441" s="41" t="n"/>
      <c r="AB441" s="40" t="n"/>
      <c r="AC441" s="51" t="n"/>
      <c r="AD441" s="51" t="n"/>
      <c r="AE441" s="40" t="n"/>
      <c r="AF441" s="52" t="str">
        <f>IF($AM441=0,"",IF($D441&lt;&gt;"",$D441,IF(IFERROR(INDEX(Accounts!$C$7:$C$16,MATCH($C441,Accounts!$B$7:$B$16,0))&amp;"","")&lt;&gt;"",INDEX(Accounts!$C$7:$C$16,MATCH($C441,Accounts!$B$7:$B$16,0)),Settings!$C$6)))</f>
        <v/>
      </c>
      <c r="AG441" s="53" t="str">
        <f>IF($AM441=0,"",IF(AND($BE441&gt;0,N(INDEX(Instruments!$D$6:$D$205,MAX(1,$BE441)))&gt;0),INDEX(Instruments!$D$6:$D$205,MAX(1,$BE441)),IF(N(INDEX(Settings!$D$14:$D$18,$BF441))&gt;0,INDEX(Settings!$D$14:$D$18,$BF441),"")))</f>
        <v/>
      </c>
      <c r="AH441" s="54" t="str">
        <f>IF($AM441=0,"",IF($AF441&lt;&gt;"Forex",1,IF(MID(UPPER(SUBSTITUTE(TRIM($E441),"/","")),4,3)=UPPER(TRIM(Settings!$C$7)),1,IF(LEFT(UPPER(SUBSTITUTE(TRIM($E441),"/","")),3)=UPPER(TRIM(Settings!$C$7)),IF(AND(ISNUMBER($K441),N($K441)&lt;&gt;0),1/$K441,""),""))))</f>
        <v/>
      </c>
      <c r="AI441" s="55" t="str">
        <f>IF($AM441=0,"",IF(OR(NOT(ISNUMBER($H441)),NOT(ISNUMBER($K441)),NOT(ISNUMBER($G441)),$AG441="",$AH441=""),"",ROUND(($K441-$H441)*IF($F441="Short",-1,1)*$G441*$AG441*$AH441,6)))</f>
        <v/>
      </c>
      <c r="AJ441" s="55" t="str">
        <f>IF($AM441=0,"",IF(INDEX(Settings!$E$14:$E$18,$BF441)="% of notional",IF(OR($AG441="",NOT(ISNUMBER($H441)),NOT(ISNUMBER($G441))),"",ROUND(ABS($H441*$G441*$AG441*N($AH441))*IF($L441="Limit",N(INDEX(Settings!$G$14:$G$18,$BF441)),N(INDEX(Settings!$H$14:$H$18,$BF441)))+IF(ISNUMBER($K441),ABS($K441*$G441*$AG441*N($AH441))*IF($M441="Target",N(INDEX(Settings!$G$14:$G$18,$BF441)),N(INDEX(Settings!$H$14:$H$18,$BF441))),0),6)),IF(NOT(ISNUMBER($G441)),"",ROUND(ABS($G441)*2*IF(AND($BE441&gt;0,ISNUMBER(INDEX(Instruments!$G$6:$G$205,MAX(1,$BE441)))),INDEX(Instruments!$G$6:$G$205,MAX(1,$BE441)),N(INDEX(Settings!$F$14:$F$18,$BF441))),6))))</f>
        <v/>
      </c>
      <c r="AK441" s="55" t="str">
        <f>IF($AM441=0,"",IF(ISNUMBER($O441),$O441,$AI441))</f>
        <v/>
      </c>
      <c r="AL441" s="55" t="str">
        <f>IF($AM441=0,"",IF(ISNUMBER($P441),$P441,N($AJ441)))</f>
        <v/>
      </c>
      <c r="AM441" s="56">
        <f>IF(AND($A441&lt;&gt;"",$E441&lt;&gt;"",OR(AND(ISNUMBER($G441),ISNUMBER($H441),ISNUMBER($K441)),ISNUMBER($O441))),1,0)</f>
        <v>0</v>
      </c>
      <c r="AN441" s="57" t="str">
        <f>IF($A441="","",$A441-WEEKDAY($A441,3))</f>
        <v/>
      </c>
      <c r="AO441" s="56" t="str">
        <f>IF($A441="","",WEEKDAY($A441,2))</f>
        <v/>
      </c>
      <c r="AP441" s="55" t="str">
        <f>IF(OR($AM441=0,$C441=""),"",IFERROR(N(INDEX(Accounts!$E$7:$E$16,MATCH($C441,Accounts!$B$7:$B$16,0))),0)+SUMIFS($Q$6:$Q441,$C$6:$C441,$C441))</f>
        <v/>
      </c>
      <c r="AQ441" s="55" t="str">
        <f>IF(OR($AM441=0,$C441=""),"",SUMIFS($Q$6:$Q$1005,$C$6:$C$1005,$C441,$A$6:$A$1005,$A441))</f>
        <v/>
      </c>
      <c r="AR441" s="55" t="str">
        <f>IF(OR($AM441=0,$C441=""),"",IFERROR(N(INDEX(Accounts!$E$7:$E$16,MATCH($C441,Accounts!$B$7:$B$16,0))),0)+SUMIFS($Q$6:$Q$1005,$C$6:$C$1005,$C441,$A$6:$A$1005,"&lt;="&amp;$A441))</f>
        <v/>
      </c>
      <c r="AS441" s="56">
        <f>IF(OR($AM441=0,$Q441=""),0,IF(AND($A441&gt;=Lists!$W$6,$A441&lt;=Lists!$W$7,OR(Dashboard!$D$6="All accounts",$C441=Dashboard!$D$6),OR(Dashboard!$D$7="All markets",$AF441=Dashboard!$D$7)),1,0))</f>
        <v>0</v>
      </c>
      <c r="AT441" s="55">
        <f>IF($AS441=1,N(AT440)+$Q441,N(AT440))</f>
        <v>1187.10688</v>
      </c>
      <c r="AU441" s="55">
        <f>MAX(N(AU440),$AT441)</f>
        <v>1187.10688</v>
      </c>
      <c r="AV441" s="55">
        <f>$AT441-$AU441</f>
        <v>0</v>
      </c>
      <c r="AW441" s="56">
        <f>IF($AS441=1,IF($S441="Win",N(AW440)+1,IF($S441="Loss",0,N(AW440))),N(AW440))</f>
        <v>5</v>
      </c>
      <c r="AX441" s="56">
        <f>IF($AS441=1,IF($S441="Loss",N(AX440)+1,IF($S441="Win",0,N(AX440))),N(AX440))</f>
        <v>0</v>
      </c>
      <c r="AY441" s="56" t="str">
        <f>IF($AS441=1,COUNTIF($AS$6:$AS441,1),"")</f>
        <v/>
      </c>
      <c r="AZ441" s="56">
        <f>MIN(435,N(Lists!$W$8))</f>
        <v>28</v>
      </c>
      <c r="BA441" s="56">
        <f>IF($AS441=1,IF(COUNTIFS($A$6:$A441,$A441,$AS$6:$AS441,1)=1,1,0),0)</f>
        <v>0</v>
      </c>
      <c r="BB441" s="55" t="str">
        <f>IF($BA441=1,SUMIFS($Q$6:$Q$1005,$A$6:$A$1005,$A441,$AS$6:$AS$1005,1),"")</f>
        <v/>
      </c>
      <c r="BC441" s="56">
        <f>IF(ISNUMBER($R441),1,0)</f>
        <v>0</v>
      </c>
      <c r="BD441" s="55" t="str">
        <f>IF(ISNUMBER($U441),$U441*$V441,"")</f>
        <v/>
      </c>
      <c r="BE441" s="56" t="str">
        <f>IF($AM441=0,"",IFERROR(MATCH($AF441&amp;"|"&amp;UPPER(TRIM($E441)),Lists!$A$6:$A$205,0),0))</f>
        <v/>
      </c>
      <c r="BF441" s="56" t="str">
        <f>IF($AM441=0,"",IFERROR(MATCH($AF441,Settings!$B$14:$B$18,0),IFERROR(MATCH(Settings!$C$6,Settings!$B$14:$B$18,0),1)))</f>
        <v/>
      </c>
      <c r="BG441" s="58" t="str">
        <f>IF($AM441=0,"",IF(NOT(ISNUMBER($I441)),"No stop; ","")&amp;IF(AND(ISNUMBER($H441),ISNUMBER($I441)),IF(OR(AND($F441&lt;&gt;"Short",$I441&gt;=$H441),AND($F441="Short",$I441&lt;=$H441)),"Stop on wrong side; ",""),"")&amp;IF($F441="","No direction; ","")&amp;IF(AND(ISNUMBER(Settings!$C$22),ISNUMBER($V441)),IF($V441&gt;Settings!$C$22,"Risk over max $; ",""),"")&amp;IF(AND(ISNUMBER(Settings!$C$23),ISNUMBER($V441),ISNUMBER($AP441),IFERROR(N(INDEX(Accounts!$E$7:$E$16,MATCH($C441,Accounts!$B$7:$B$16,0))),0)&gt;0),IF($V441&gt;Settings!$C$23*($AP441-N($Q441)),"Risk over max %; ",""),"")&amp;IF(AND(ISNUMBER(Settings!$C$24),ISNUMBER($N441)),IF($N441&gt;Settings!$C$24,"Leverage over max; ",""),"")&amp;IF(AND(ISNUMBER(Settings!$C$27),ISNUMBER($T441)),IF($T441&lt;Settings!$C$27,"R:R below min; ",""),"")&amp;IF(ISNUMBER(Settings!$C$25),IF(COUNTIFS($A$6:$A441,$A441,$AM$6:$AM441,1)&gt;Settings!$C$25,"Over max trades/day; ",""),"")&amp;IF(ISNUMBER(Settings!$C$26),IF(SUMIFS($Q$5:$Q440,$A$5:$A440,$A441)&lt;=-Settings!$C$26,"Traded after daily max loss; ",""),"")&amp;IF(AND($AG441="",NOT(ISNUMBER($O441))),"Symbol not in Instruments; ","")&amp;IF(AND($AH441="",NOT(ISNUMBER($O441))),"Forex cross: type Gross P&amp;L; ",""))</f>
        <v/>
      </c>
      <c r="BH441" s="56">
        <f>IF(ISNUMBER($Q441),1,0)</f>
        <v>0</v>
      </c>
      <c r="BI441" s="56">
        <f>IF($Y441="",0,1)</f>
        <v>0</v>
      </c>
      <c r="BJ441" s="56">
        <f>IF($AB441="",0,1)</f>
        <v>0</v>
      </c>
      <c r="BK441" s="56">
        <f>IF(AND($BH441=1,$W441&lt;&gt;"OK"),1,0)</f>
        <v>0</v>
      </c>
      <c r="BL441" s="55">
        <f>IF(N($AZ441)=0,0,IFERROR(INDEX($AT$6:$AT$1005,MATCH($AZ441,$AY$6:$AY$1005,0)),0))</f>
        <v>1187.10688</v>
      </c>
      <c r="BM441" s="56">
        <f>IF(ISNUMBER(SEARCH("daily max loss",$BG441)),1,0)</f>
        <v>0</v>
      </c>
    </row>
    <row r="442" ht="18" customHeight="1">
      <c r="A442" s="38" t="n"/>
      <c r="B442" s="39" t="n"/>
      <c r="C442" s="40" t="n"/>
      <c r="D442" s="41" t="n"/>
      <c r="E442" s="41" t="n"/>
      <c r="F442" s="41" t="n"/>
      <c r="G442" s="41" t="n"/>
      <c r="H442" s="42" t="n"/>
      <c r="I442" s="42" t="n"/>
      <c r="J442" s="42" t="n"/>
      <c r="K442" s="42" t="n"/>
      <c r="L442" s="41" t="n"/>
      <c r="M442" s="41" t="n"/>
      <c r="N442" s="41" t="n"/>
      <c r="O442" s="43" t="n"/>
      <c r="P442" s="43" t="n"/>
      <c r="Q442" s="44" t="str">
        <f>IF($AM442=0,"",IF(ISNUMBER($AK442),$AK442-N($AL442),""))</f>
        <v/>
      </c>
      <c r="R442" s="45" t="str">
        <f>IF(OR($Q442="",NOT(ISNUMBER($V442))),"",$AK442/$V442)</f>
        <v/>
      </c>
      <c r="S442" s="46" t="str">
        <f>IF($Q442="","",IF(AND(ISNUMBER($R442),ABS(N($R442))&lt;N(Settings!$C$8)),"Scratch",IF($Q442&gt;0,"Win",IF($Q442&lt;0,"Loss","Scratch"))))</f>
        <v/>
      </c>
      <c r="T442" s="47" t="str">
        <f>IF(OR($AM442=0,NOT(ISNUMBER($H442)),NOT(ISNUMBER($I442)),NOT(ISNUMBER($J442))),"",IF($H442=$I442,"",ROUND(ABS($J442-$H442)/ABS($H442-$I442),6)))</f>
        <v/>
      </c>
      <c r="U442" s="48" t="str">
        <f>IF(OR($S442&lt;&gt;"Win",NOT(ISNUMBER($T442)),NOT(ISNUMBER($R442))),"",MAX(0,$T442-$R442))</f>
        <v/>
      </c>
      <c r="V442" s="49" t="str">
        <f>IF(OR($AM442=0,NOT(ISNUMBER($H442)),NOT(ISNUMBER($I442)),NOT(ISNUMBER($G442))),"",IF(OR($AG442="",$AH442=""),"",IF(ROUND(ABS($H442-$I442)*ABS($G442)*$AG442*$AH442,6)=0,"",ROUND(ABS($H442-$I442)*ABS($G442)*$AG442*$AH442,6))))</f>
        <v/>
      </c>
      <c r="W442" s="50" t="str">
        <f>IF($AM442=0,"",IF($BG442="","OK",LEFT($BG442,LEN($BG442)-2)))</f>
        <v/>
      </c>
      <c r="X442" s="41" t="n"/>
      <c r="Y442" s="40" t="n"/>
      <c r="Z442" s="41" t="n"/>
      <c r="AA442" s="41" t="n"/>
      <c r="AB442" s="40" t="n"/>
      <c r="AC442" s="51" t="n"/>
      <c r="AD442" s="51" t="n"/>
      <c r="AE442" s="40" t="n"/>
      <c r="AF442" s="52" t="str">
        <f>IF($AM442=0,"",IF($D442&lt;&gt;"",$D442,IF(IFERROR(INDEX(Accounts!$C$7:$C$16,MATCH($C442,Accounts!$B$7:$B$16,0))&amp;"","")&lt;&gt;"",INDEX(Accounts!$C$7:$C$16,MATCH($C442,Accounts!$B$7:$B$16,0)),Settings!$C$6)))</f>
        <v/>
      </c>
      <c r="AG442" s="53" t="str">
        <f>IF($AM442=0,"",IF(AND($BE442&gt;0,N(INDEX(Instruments!$D$6:$D$205,MAX(1,$BE442)))&gt;0),INDEX(Instruments!$D$6:$D$205,MAX(1,$BE442)),IF(N(INDEX(Settings!$D$14:$D$18,$BF442))&gt;0,INDEX(Settings!$D$14:$D$18,$BF442),"")))</f>
        <v/>
      </c>
      <c r="AH442" s="54" t="str">
        <f>IF($AM442=0,"",IF($AF442&lt;&gt;"Forex",1,IF(MID(UPPER(SUBSTITUTE(TRIM($E442),"/","")),4,3)=UPPER(TRIM(Settings!$C$7)),1,IF(LEFT(UPPER(SUBSTITUTE(TRIM($E442),"/","")),3)=UPPER(TRIM(Settings!$C$7)),IF(AND(ISNUMBER($K442),N($K442)&lt;&gt;0),1/$K442,""),""))))</f>
        <v/>
      </c>
      <c r="AI442" s="55" t="str">
        <f>IF($AM442=0,"",IF(OR(NOT(ISNUMBER($H442)),NOT(ISNUMBER($K442)),NOT(ISNUMBER($G442)),$AG442="",$AH442=""),"",ROUND(($K442-$H442)*IF($F442="Short",-1,1)*$G442*$AG442*$AH442,6)))</f>
        <v/>
      </c>
      <c r="AJ442" s="55" t="str">
        <f>IF($AM442=0,"",IF(INDEX(Settings!$E$14:$E$18,$BF442)="% of notional",IF(OR($AG442="",NOT(ISNUMBER($H442)),NOT(ISNUMBER($G442))),"",ROUND(ABS($H442*$G442*$AG442*N($AH442))*IF($L442="Limit",N(INDEX(Settings!$G$14:$G$18,$BF442)),N(INDEX(Settings!$H$14:$H$18,$BF442)))+IF(ISNUMBER($K442),ABS($K442*$G442*$AG442*N($AH442))*IF($M442="Target",N(INDEX(Settings!$G$14:$G$18,$BF442)),N(INDEX(Settings!$H$14:$H$18,$BF442))),0),6)),IF(NOT(ISNUMBER($G442)),"",ROUND(ABS($G442)*2*IF(AND($BE442&gt;0,ISNUMBER(INDEX(Instruments!$G$6:$G$205,MAX(1,$BE442)))),INDEX(Instruments!$G$6:$G$205,MAX(1,$BE442)),N(INDEX(Settings!$F$14:$F$18,$BF442))),6))))</f>
        <v/>
      </c>
      <c r="AK442" s="55" t="str">
        <f>IF($AM442=0,"",IF(ISNUMBER($O442),$O442,$AI442))</f>
        <v/>
      </c>
      <c r="AL442" s="55" t="str">
        <f>IF($AM442=0,"",IF(ISNUMBER($P442),$P442,N($AJ442)))</f>
        <v/>
      </c>
      <c r="AM442" s="56">
        <f>IF(AND($A442&lt;&gt;"",$E442&lt;&gt;"",OR(AND(ISNUMBER($G442),ISNUMBER($H442),ISNUMBER($K442)),ISNUMBER($O442))),1,0)</f>
        <v>0</v>
      </c>
      <c r="AN442" s="57" t="str">
        <f>IF($A442="","",$A442-WEEKDAY($A442,3))</f>
        <v/>
      </c>
      <c r="AO442" s="56" t="str">
        <f>IF($A442="","",WEEKDAY($A442,2))</f>
        <v/>
      </c>
      <c r="AP442" s="55" t="str">
        <f>IF(OR($AM442=0,$C442=""),"",IFERROR(N(INDEX(Accounts!$E$7:$E$16,MATCH($C442,Accounts!$B$7:$B$16,0))),0)+SUMIFS($Q$6:$Q442,$C$6:$C442,$C442))</f>
        <v/>
      </c>
      <c r="AQ442" s="55" t="str">
        <f>IF(OR($AM442=0,$C442=""),"",SUMIFS($Q$6:$Q$1005,$C$6:$C$1005,$C442,$A$6:$A$1005,$A442))</f>
        <v/>
      </c>
      <c r="AR442" s="55" t="str">
        <f>IF(OR($AM442=0,$C442=""),"",IFERROR(N(INDEX(Accounts!$E$7:$E$16,MATCH($C442,Accounts!$B$7:$B$16,0))),0)+SUMIFS($Q$6:$Q$1005,$C$6:$C$1005,$C442,$A$6:$A$1005,"&lt;="&amp;$A442))</f>
        <v/>
      </c>
      <c r="AS442" s="56">
        <f>IF(OR($AM442=0,$Q442=""),0,IF(AND($A442&gt;=Lists!$W$6,$A442&lt;=Lists!$W$7,OR(Dashboard!$D$6="All accounts",$C442=Dashboard!$D$6),OR(Dashboard!$D$7="All markets",$AF442=Dashboard!$D$7)),1,0))</f>
        <v>0</v>
      </c>
      <c r="AT442" s="55">
        <f>IF($AS442=1,N(AT441)+$Q442,N(AT441))</f>
        <v>1187.10688</v>
      </c>
      <c r="AU442" s="55">
        <f>MAX(N(AU441),$AT442)</f>
        <v>1187.10688</v>
      </c>
      <c r="AV442" s="55">
        <f>$AT442-$AU442</f>
        <v>0</v>
      </c>
      <c r="AW442" s="56">
        <f>IF($AS442=1,IF($S442="Win",N(AW441)+1,IF($S442="Loss",0,N(AW441))),N(AW441))</f>
        <v>5</v>
      </c>
      <c r="AX442" s="56">
        <f>IF($AS442=1,IF($S442="Loss",N(AX441)+1,IF($S442="Win",0,N(AX441))),N(AX441))</f>
        <v>0</v>
      </c>
      <c r="AY442" s="56" t="str">
        <f>IF($AS442=1,COUNTIF($AS$6:$AS442,1),"")</f>
        <v/>
      </c>
      <c r="AZ442" s="56">
        <f>MIN(436,N(Lists!$W$8))</f>
        <v>28</v>
      </c>
      <c r="BA442" s="56">
        <f>IF($AS442=1,IF(COUNTIFS($A$6:$A442,$A442,$AS$6:$AS442,1)=1,1,0),0)</f>
        <v>0</v>
      </c>
      <c r="BB442" s="55" t="str">
        <f>IF($BA442=1,SUMIFS($Q$6:$Q$1005,$A$6:$A$1005,$A442,$AS$6:$AS$1005,1),"")</f>
        <v/>
      </c>
      <c r="BC442" s="56">
        <f>IF(ISNUMBER($R442),1,0)</f>
        <v>0</v>
      </c>
      <c r="BD442" s="55" t="str">
        <f>IF(ISNUMBER($U442),$U442*$V442,"")</f>
        <v/>
      </c>
      <c r="BE442" s="56" t="str">
        <f>IF($AM442=0,"",IFERROR(MATCH($AF442&amp;"|"&amp;UPPER(TRIM($E442)),Lists!$A$6:$A$205,0),0))</f>
        <v/>
      </c>
      <c r="BF442" s="56" t="str">
        <f>IF($AM442=0,"",IFERROR(MATCH($AF442,Settings!$B$14:$B$18,0),IFERROR(MATCH(Settings!$C$6,Settings!$B$14:$B$18,0),1)))</f>
        <v/>
      </c>
      <c r="BG442" s="58" t="str">
        <f>IF($AM442=0,"",IF(NOT(ISNUMBER($I442)),"No stop; ","")&amp;IF(AND(ISNUMBER($H442),ISNUMBER($I442)),IF(OR(AND($F442&lt;&gt;"Short",$I442&gt;=$H442),AND($F442="Short",$I442&lt;=$H442)),"Stop on wrong side; ",""),"")&amp;IF($F442="","No direction; ","")&amp;IF(AND(ISNUMBER(Settings!$C$22),ISNUMBER($V442)),IF($V442&gt;Settings!$C$22,"Risk over max $; ",""),"")&amp;IF(AND(ISNUMBER(Settings!$C$23),ISNUMBER($V442),ISNUMBER($AP442),IFERROR(N(INDEX(Accounts!$E$7:$E$16,MATCH($C442,Accounts!$B$7:$B$16,0))),0)&gt;0),IF($V442&gt;Settings!$C$23*($AP442-N($Q442)),"Risk over max %; ",""),"")&amp;IF(AND(ISNUMBER(Settings!$C$24),ISNUMBER($N442)),IF($N442&gt;Settings!$C$24,"Leverage over max; ",""),"")&amp;IF(AND(ISNUMBER(Settings!$C$27),ISNUMBER($T442)),IF($T442&lt;Settings!$C$27,"R:R below min; ",""),"")&amp;IF(ISNUMBER(Settings!$C$25),IF(COUNTIFS($A$6:$A442,$A442,$AM$6:$AM442,1)&gt;Settings!$C$25,"Over max trades/day; ",""),"")&amp;IF(ISNUMBER(Settings!$C$26),IF(SUMIFS($Q$5:$Q441,$A$5:$A441,$A442)&lt;=-Settings!$C$26,"Traded after daily max loss; ",""),"")&amp;IF(AND($AG442="",NOT(ISNUMBER($O442))),"Symbol not in Instruments; ","")&amp;IF(AND($AH442="",NOT(ISNUMBER($O442))),"Forex cross: type Gross P&amp;L; ",""))</f>
        <v/>
      </c>
      <c r="BH442" s="56">
        <f>IF(ISNUMBER($Q442),1,0)</f>
        <v>0</v>
      </c>
      <c r="BI442" s="56">
        <f>IF($Y442="",0,1)</f>
        <v>0</v>
      </c>
      <c r="BJ442" s="56">
        <f>IF($AB442="",0,1)</f>
        <v>0</v>
      </c>
      <c r="BK442" s="56">
        <f>IF(AND($BH442=1,$W442&lt;&gt;"OK"),1,0)</f>
        <v>0</v>
      </c>
      <c r="BL442" s="55">
        <f>IF(N($AZ442)=0,0,IFERROR(INDEX($AT$6:$AT$1005,MATCH($AZ442,$AY$6:$AY$1005,0)),0))</f>
        <v>1187.10688</v>
      </c>
      <c r="BM442" s="56">
        <f>IF(ISNUMBER(SEARCH("daily max loss",$BG442)),1,0)</f>
        <v>0</v>
      </c>
    </row>
    <row r="443" ht="18" customHeight="1">
      <c r="A443" s="38" t="n"/>
      <c r="B443" s="39" t="n"/>
      <c r="C443" s="40" t="n"/>
      <c r="D443" s="41" t="n"/>
      <c r="E443" s="41" t="n"/>
      <c r="F443" s="41" t="n"/>
      <c r="G443" s="41" t="n"/>
      <c r="H443" s="42" t="n"/>
      <c r="I443" s="42" t="n"/>
      <c r="J443" s="42" t="n"/>
      <c r="K443" s="42" t="n"/>
      <c r="L443" s="41" t="n"/>
      <c r="M443" s="41" t="n"/>
      <c r="N443" s="41" t="n"/>
      <c r="O443" s="43" t="n"/>
      <c r="P443" s="43" t="n"/>
      <c r="Q443" s="44" t="str">
        <f>IF($AM443=0,"",IF(ISNUMBER($AK443),$AK443-N($AL443),""))</f>
        <v/>
      </c>
      <c r="R443" s="45" t="str">
        <f>IF(OR($Q443="",NOT(ISNUMBER($V443))),"",$AK443/$V443)</f>
        <v/>
      </c>
      <c r="S443" s="46" t="str">
        <f>IF($Q443="","",IF(AND(ISNUMBER($R443),ABS(N($R443))&lt;N(Settings!$C$8)),"Scratch",IF($Q443&gt;0,"Win",IF($Q443&lt;0,"Loss","Scratch"))))</f>
        <v/>
      </c>
      <c r="T443" s="47" t="str">
        <f>IF(OR($AM443=0,NOT(ISNUMBER($H443)),NOT(ISNUMBER($I443)),NOT(ISNUMBER($J443))),"",IF($H443=$I443,"",ROUND(ABS($J443-$H443)/ABS($H443-$I443),6)))</f>
        <v/>
      </c>
      <c r="U443" s="48" t="str">
        <f>IF(OR($S443&lt;&gt;"Win",NOT(ISNUMBER($T443)),NOT(ISNUMBER($R443))),"",MAX(0,$T443-$R443))</f>
        <v/>
      </c>
      <c r="V443" s="49" t="str">
        <f>IF(OR($AM443=0,NOT(ISNUMBER($H443)),NOT(ISNUMBER($I443)),NOT(ISNUMBER($G443))),"",IF(OR($AG443="",$AH443=""),"",IF(ROUND(ABS($H443-$I443)*ABS($G443)*$AG443*$AH443,6)=0,"",ROUND(ABS($H443-$I443)*ABS($G443)*$AG443*$AH443,6))))</f>
        <v/>
      </c>
      <c r="W443" s="50" t="str">
        <f>IF($AM443=0,"",IF($BG443="","OK",LEFT($BG443,LEN($BG443)-2)))</f>
        <v/>
      </c>
      <c r="X443" s="41" t="n"/>
      <c r="Y443" s="40" t="n"/>
      <c r="Z443" s="41" t="n"/>
      <c r="AA443" s="41" t="n"/>
      <c r="AB443" s="40" t="n"/>
      <c r="AC443" s="51" t="n"/>
      <c r="AD443" s="51" t="n"/>
      <c r="AE443" s="40" t="n"/>
      <c r="AF443" s="52" t="str">
        <f>IF($AM443=0,"",IF($D443&lt;&gt;"",$D443,IF(IFERROR(INDEX(Accounts!$C$7:$C$16,MATCH($C443,Accounts!$B$7:$B$16,0))&amp;"","")&lt;&gt;"",INDEX(Accounts!$C$7:$C$16,MATCH($C443,Accounts!$B$7:$B$16,0)),Settings!$C$6)))</f>
        <v/>
      </c>
      <c r="AG443" s="53" t="str">
        <f>IF($AM443=0,"",IF(AND($BE443&gt;0,N(INDEX(Instruments!$D$6:$D$205,MAX(1,$BE443)))&gt;0),INDEX(Instruments!$D$6:$D$205,MAX(1,$BE443)),IF(N(INDEX(Settings!$D$14:$D$18,$BF443))&gt;0,INDEX(Settings!$D$14:$D$18,$BF443),"")))</f>
        <v/>
      </c>
      <c r="AH443" s="54" t="str">
        <f>IF($AM443=0,"",IF($AF443&lt;&gt;"Forex",1,IF(MID(UPPER(SUBSTITUTE(TRIM($E443),"/","")),4,3)=UPPER(TRIM(Settings!$C$7)),1,IF(LEFT(UPPER(SUBSTITUTE(TRIM($E443),"/","")),3)=UPPER(TRIM(Settings!$C$7)),IF(AND(ISNUMBER($K443),N($K443)&lt;&gt;0),1/$K443,""),""))))</f>
        <v/>
      </c>
      <c r="AI443" s="55" t="str">
        <f>IF($AM443=0,"",IF(OR(NOT(ISNUMBER($H443)),NOT(ISNUMBER($K443)),NOT(ISNUMBER($G443)),$AG443="",$AH443=""),"",ROUND(($K443-$H443)*IF($F443="Short",-1,1)*$G443*$AG443*$AH443,6)))</f>
        <v/>
      </c>
      <c r="AJ443" s="55" t="str">
        <f>IF($AM443=0,"",IF(INDEX(Settings!$E$14:$E$18,$BF443)="% of notional",IF(OR($AG443="",NOT(ISNUMBER($H443)),NOT(ISNUMBER($G443))),"",ROUND(ABS($H443*$G443*$AG443*N($AH443))*IF($L443="Limit",N(INDEX(Settings!$G$14:$G$18,$BF443)),N(INDEX(Settings!$H$14:$H$18,$BF443)))+IF(ISNUMBER($K443),ABS($K443*$G443*$AG443*N($AH443))*IF($M443="Target",N(INDEX(Settings!$G$14:$G$18,$BF443)),N(INDEX(Settings!$H$14:$H$18,$BF443))),0),6)),IF(NOT(ISNUMBER($G443)),"",ROUND(ABS($G443)*2*IF(AND($BE443&gt;0,ISNUMBER(INDEX(Instruments!$G$6:$G$205,MAX(1,$BE443)))),INDEX(Instruments!$G$6:$G$205,MAX(1,$BE443)),N(INDEX(Settings!$F$14:$F$18,$BF443))),6))))</f>
        <v/>
      </c>
      <c r="AK443" s="55" t="str">
        <f>IF($AM443=0,"",IF(ISNUMBER($O443),$O443,$AI443))</f>
        <v/>
      </c>
      <c r="AL443" s="55" t="str">
        <f>IF($AM443=0,"",IF(ISNUMBER($P443),$P443,N($AJ443)))</f>
        <v/>
      </c>
      <c r="AM443" s="56">
        <f>IF(AND($A443&lt;&gt;"",$E443&lt;&gt;"",OR(AND(ISNUMBER($G443),ISNUMBER($H443),ISNUMBER($K443)),ISNUMBER($O443))),1,0)</f>
        <v>0</v>
      </c>
      <c r="AN443" s="57" t="str">
        <f>IF($A443="","",$A443-WEEKDAY($A443,3))</f>
        <v/>
      </c>
      <c r="AO443" s="56" t="str">
        <f>IF($A443="","",WEEKDAY($A443,2))</f>
        <v/>
      </c>
      <c r="AP443" s="55" t="str">
        <f>IF(OR($AM443=0,$C443=""),"",IFERROR(N(INDEX(Accounts!$E$7:$E$16,MATCH($C443,Accounts!$B$7:$B$16,0))),0)+SUMIFS($Q$6:$Q443,$C$6:$C443,$C443))</f>
        <v/>
      </c>
      <c r="AQ443" s="55" t="str">
        <f>IF(OR($AM443=0,$C443=""),"",SUMIFS($Q$6:$Q$1005,$C$6:$C$1005,$C443,$A$6:$A$1005,$A443))</f>
        <v/>
      </c>
      <c r="AR443" s="55" t="str">
        <f>IF(OR($AM443=0,$C443=""),"",IFERROR(N(INDEX(Accounts!$E$7:$E$16,MATCH($C443,Accounts!$B$7:$B$16,0))),0)+SUMIFS($Q$6:$Q$1005,$C$6:$C$1005,$C443,$A$6:$A$1005,"&lt;="&amp;$A443))</f>
        <v/>
      </c>
      <c r="AS443" s="56">
        <f>IF(OR($AM443=0,$Q443=""),0,IF(AND($A443&gt;=Lists!$W$6,$A443&lt;=Lists!$W$7,OR(Dashboard!$D$6="All accounts",$C443=Dashboard!$D$6),OR(Dashboard!$D$7="All markets",$AF443=Dashboard!$D$7)),1,0))</f>
        <v>0</v>
      </c>
      <c r="AT443" s="55">
        <f>IF($AS443=1,N(AT442)+$Q443,N(AT442))</f>
        <v>1187.10688</v>
      </c>
      <c r="AU443" s="55">
        <f>MAX(N(AU442),$AT443)</f>
        <v>1187.10688</v>
      </c>
      <c r="AV443" s="55">
        <f>$AT443-$AU443</f>
        <v>0</v>
      </c>
      <c r="AW443" s="56">
        <f>IF($AS443=1,IF($S443="Win",N(AW442)+1,IF($S443="Loss",0,N(AW442))),N(AW442))</f>
        <v>5</v>
      </c>
      <c r="AX443" s="56">
        <f>IF($AS443=1,IF($S443="Loss",N(AX442)+1,IF($S443="Win",0,N(AX442))),N(AX442))</f>
        <v>0</v>
      </c>
      <c r="AY443" s="56" t="str">
        <f>IF($AS443=1,COUNTIF($AS$6:$AS443,1),"")</f>
        <v/>
      </c>
      <c r="AZ443" s="56">
        <f>MIN(437,N(Lists!$W$8))</f>
        <v>28</v>
      </c>
      <c r="BA443" s="56">
        <f>IF($AS443=1,IF(COUNTIFS($A$6:$A443,$A443,$AS$6:$AS443,1)=1,1,0),0)</f>
        <v>0</v>
      </c>
      <c r="BB443" s="55" t="str">
        <f>IF($BA443=1,SUMIFS($Q$6:$Q$1005,$A$6:$A$1005,$A443,$AS$6:$AS$1005,1),"")</f>
        <v/>
      </c>
      <c r="BC443" s="56">
        <f>IF(ISNUMBER($R443),1,0)</f>
        <v>0</v>
      </c>
      <c r="BD443" s="55" t="str">
        <f>IF(ISNUMBER($U443),$U443*$V443,"")</f>
        <v/>
      </c>
      <c r="BE443" s="56" t="str">
        <f>IF($AM443=0,"",IFERROR(MATCH($AF443&amp;"|"&amp;UPPER(TRIM($E443)),Lists!$A$6:$A$205,0),0))</f>
        <v/>
      </c>
      <c r="BF443" s="56" t="str">
        <f>IF($AM443=0,"",IFERROR(MATCH($AF443,Settings!$B$14:$B$18,0),IFERROR(MATCH(Settings!$C$6,Settings!$B$14:$B$18,0),1)))</f>
        <v/>
      </c>
      <c r="BG443" s="58" t="str">
        <f>IF($AM443=0,"",IF(NOT(ISNUMBER($I443)),"No stop; ","")&amp;IF(AND(ISNUMBER($H443),ISNUMBER($I443)),IF(OR(AND($F443&lt;&gt;"Short",$I443&gt;=$H443),AND($F443="Short",$I443&lt;=$H443)),"Stop on wrong side; ",""),"")&amp;IF($F443="","No direction; ","")&amp;IF(AND(ISNUMBER(Settings!$C$22),ISNUMBER($V443)),IF($V443&gt;Settings!$C$22,"Risk over max $; ",""),"")&amp;IF(AND(ISNUMBER(Settings!$C$23),ISNUMBER($V443),ISNUMBER($AP443),IFERROR(N(INDEX(Accounts!$E$7:$E$16,MATCH($C443,Accounts!$B$7:$B$16,0))),0)&gt;0),IF($V443&gt;Settings!$C$23*($AP443-N($Q443)),"Risk over max %; ",""),"")&amp;IF(AND(ISNUMBER(Settings!$C$24),ISNUMBER($N443)),IF($N443&gt;Settings!$C$24,"Leverage over max; ",""),"")&amp;IF(AND(ISNUMBER(Settings!$C$27),ISNUMBER($T443)),IF($T443&lt;Settings!$C$27,"R:R below min; ",""),"")&amp;IF(ISNUMBER(Settings!$C$25),IF(COUNTIFS($A$6:$A443,$A443,$AM$6:$AM443,1)&gt;Settings!$C$25,"Over max trades/day; ",""),"")&amp;IF(ISNUMBER(Settings!$C$26),IF(SUMIFS($Q$5:$Q442,$A$5:$A442,$A443)&lt;=-Settings!$C$26,"Traded after daily max loss; ",""),"")&amp;IF(AND($AG443="",NOT(ISNUMBER($O443))),"Symbol not in Instruments; ","")&amp;IF(AND($AH443="",NOT(ISNUMBER($O443))),"Forex cross: type Gross P&amp;L; ",""))</f>
        <v/>
      </c>
      <c r="BH443" s="56">
        <f>IF(ISNUMBER($Q443),1,0)</f>
        <v>0</v>
      </c>
      <c r="BI443" s="56">
        <f>IF($Y443="",0,1)</f>
        <v>0</v>
      </c>
      <c r="BJ443" s="56">
        <f>IF($AB443="",0,1)</f>
        <v>0</v>
      </c>
      <c r="BK443" s="56">
        <f>IF(AND($BH443=1,$W443&lt;&gt;"OK"),1,0)</f>
        <v>0</v>
      </c>
      <c r="BL443" s="55">
        <f>IF(N($AZ443)=0,0,IFERROR(INDEX($AT$6:$AT$1005,MATCH($AZ443,$AY$6:$AY$1005,0)),0))</f>
        <v>1187.10688</v>
      </c>
      <c r="BM443" s="56">
        <f>IF(ISNUMBER(SEARCH("daily max loss",$BG443)),1,0)</f>
        <v>0</v>
      </c>
    </row>
    <row r="444" ht="18" customHeight="1">
      <c r="A444" s="38" t="n"/>
      <c r="B444" s="39" t="n"/>
      <c r="C444" s="40" t="n"/>
      <c r="D444" s="41" t="n"/>
      <c r="E444" s="41" t="n"/>
      <c r="F444" s="41" t="n"/>
      <c r="G444" s="41" t="n"/>
      <c r="H444" s="42" t="n"/>
      <c r="I444" s="42" t="n"/>
      <c r="J444" s="42" t="n"/>
      <c r="K444" s="42" t="n"/>
      <c r="L444" s="41" t="n"/>
      <c r="M444" s="41" t="n"/>
      <c r="N444" s="41" t="n"/>
      <c r="O444" s="43" t="n"/>
      <c r="P444" s="43" t="n"/>
      <c r="Q444" s="44" t="str">
        <f>IF($AM444=0,"",IF(ISNUMBER($AK444),$AK444-N($AL444),""))</f>
        <v/>
      </c>
      <c r="R444" s="45" t="str">
        <f>IF(OR($Q444="",NOT(ISNUMBER($V444))),"",$AK444/$V444)</f>
        <v/>
      </c>
      <c r="S444" s="46" t="str">
        <f>IF($Q444="","",IF(AND(ISNUMBER($R444),ABS(N($R444))&lt;N(Settings!$C$8)),"Scratch",IF($Q444&gt;0,"Win",IF($Q444&lt;0,"Loss","Scratch"))))</f>
        <v/>
      </c>
      <c r="T444" s="47" t="str">
        <f>IF(OR($AM444=0,NOT(ISNUMBER($H444)),NOT(ISNUMBER($I444)),NOT(ISNUMBER($J444))),"",IF($H444=$I444,"",ROUND(ABS($J444-$H444)/ABS($H444-$I444),6)))</f>
        <v/>
      </c>
      <c r="U444" s="48" t="str">
        <f>IF(OR($S444&lt;&gt;"Win",NOT(ISNUMBER($T444)),NOT(ISNUMBER($R444))),"",MAX(0,$T444-$R444))</f>
        <v/>
      </c>
      <c r="V444" s="49" t="str">
        <f>IF(OR($AM444=0,NOT(ISNUMBER($H444)),NOT(ISNUMBER($I444)),NOT(ISNUMBER($G444))),"",IF(OR($AG444="",$AH444=""),"",IF(ROUND(ABS($H444-$I444)*ABS($G444)*$AG444*$AH444,6)=0,"",ROUND(ABS($H444-$I444)*ABS($G444)*$AG444*$AH444,6))))</f>
        <v/>
      </c>
      <c r="W444" s="50" t="str">
        <f>IF($AM444=0,"",IF($BG444="","OK",LEFT($BG444,LEN($BG444)-2)))</f>
        <v/>
      </c>
      <c r="X444" s="41" t="n"/>
      <c r="Y444" s="40" t="n"/>
      <c r="Z444" s="41" t="n"/>
      <c r="AA444" s="41" t="n"/>
      <c r="AB444" s="40" t="n"/>
      <c r="AC444" s="51" t="n"/>
      <c r="AD444" s="51" t="n"/>
      <c r="AE444" s="40" t="n"/>
      <c r="AF444" s="52" t="str">
        <f>IF($AM444=0,"",IF($D444&lt;&gt;"",$D444,IF(IFERROR(INDEX(Accounts!$C$7:$C$16,MATCH($C444,Accounts!$B$7:$B$16,0))&amp;"","")&lt;&gt;"",INDEX(Accounts!$C$7:$C$16,MATCH($C444,Accounts!$B$7:$B$16,0)),Settings!$C$6)))</f>
        <v/>
      </c>
      <c r="AG444" s="53" t="str">
        <f>IF($AM444=0,"",IF(AND($BE444&gt;0,N(INDEX(Instruments!$D$6:$D$205,MAX(1,$BE444)))&gt;0),INDEX(Instruments!$D$6:$D$205,MAX(1,$BE444)),IF(N(INDEX(Settings!$D$14:$D$18,$BF444))&gt;0,INDEX(Settings!$D$14:$D$18,$BF444),"")))</f>
        <v/>
      </c>
      <c r="AH444" s="54" t="str">
        <f>IF($AM444=0,"",IF($AF444&lt;&gt;"Forex",1,IF(MID(UPPER(SUBSTITUTE(TRIM($E444),"/","")),4,3)=UPPER(TRIM(Settings!$C$7)),1,IF(LEFT(UPPER(SUBSTITUTE(TRIM($E444),"/","")),3)=UPPER(TRIM(Settings!$C$7)),IF(AND(ISNUMBER($K444),N($K444)&lt;&gt;0),1/$K444,""),""))))</f>
        <v/>
      </c>
      <c r="AI444" s="55" t="str">
        <f>IF($AM444=0,"",IF(OR(NOT(ISNUMBER($H444)),NOT(ISNUMBER($K444)),NOT(ISNUMBER($G444)),$AG444="",$AH444=""),"",ROUND(($K444-$H444)*IF($F444="Short",-1,1)*$G444*$AG444*$AH444,6)))</f>
        <v/>
      </c>
      <c r="AJ444" s="55" t="str">
        <f>IF($AM444=0,"",IF(INDEX(Settings!$E$14:$E$18,$BF444)="% of notional",IF(OR($AG444="",NOT(ISNUMBER($H444)),NOT(ISNUMBER($G444))),"",ROUND(ABS($H444*$G444*$AG444*N($AH444))*IF($L444="Limit",N(INDEX(Settings!$G$14:$G$18,$BF444)),N(INDEX(Settings!$H$14:$H$18,$BF444)))+IF(ISNUMBER($K444),ABS($K444*$G444*$AG444*N($AH444))*IF($M444="Target",N(INDEX(Settings!$G$14:$G$18,$BF444)),N(INDEX(Settings!$H$14:$H$18,$BF444))),0),6)),IF(NOT(ISNUMBER($G444)),"",ROUND(ABS($G444)*2*IF(AND($BE444&gt;0,ISNUMBER(INDEX(Instruments!$G$6:$G$205,MAX(1,$BE444)))),INDEX(Instruments!$G$6:$G$205,MAX(1,$BE444)),N(INDEX(Settings!$F$14:$F$18,$BF444))),6))))</f>
        <v/>
      </c>
      <c r="AK444" s="55" t="str">
        <f>IF($AM444=0,"",IF(ISNUMBER($O444),$O444,$AI444))</f>
        <v/>
      </c>
      <c r="AL444" s="55" t="str">
        <f>IF($AM444=0,"",IF(ISNUMBER($P444),$P444,N($AJ444)))</f>
        <v/>
      </c>
      <c r="AM444" s="56">
        <f>IF(AND($A444&lt;&gt;"",$E444&lt;&gt;"",OR(AND(ISNUMBER($G444),ISNUMBER($H444),ISNUMBER($K444)),ISNUMBER($O444))),1,0)</f>
        <v>0</v>
      </c>
      <c r="AN444" s="57" t="str">
        <f>IF($A444="","",$A444-WEEKDAY($A444,3))</f>
        <v/>
      </c>
      <c r="AO444" s="56" t="str">
        <f>IF($A444="","",WEEKDAY($A444,2))</f>
        <v/>
      </c>
      <c r="AP444" s="55" t="str">
        <f>IF(OR($AM444=0,$C444=""),"",IFERROR(N(INDEX(Accounts!$E$7:$E$16,MATCH($C444,Accounts!$B$7:$B$16,0))),0)+SUMIFS($Q$6:$Q444,$C$6:$C444,$C444))</f>
        <v/>
      </c>
      <c r="AQ444" s="55" t="str">
        <f>IF(OR($AM444=0,$C444=""),"",SUMIFS($Q$6:$Q$1005,$C$6:$C$1005,$C444,$A$6:$A$1005,$A444))</f>
        <v/>
      </c>
      <c r="AR444" s="55" t="str">
        <f>IF(OR($AM444=0,$C444=""),"",IFERROR(N(INDEX(Accounts!$E$7:$E$16,MATCH($C444,Accounts!$B$7:$B$16,0))),0)+SUMIFS($Q$6:$Q$1005,$C$6:$C$1005,$C444,$A$6:$A$1005,"&lt;="&amp;$A444))</f>
        <v/>
      </c>
      <c r="AS444" s="56">
        <f>IF(OR($AM444=0,$Q444=""),0,IF(AND($A444&gt;=Lists!$W$6,$A444&lt;=Lists!$W$7,OR(Dashboard!$D$6="All accounts",$C444=Dashboard!$D$6),OR(Dashboard!$D$7="All markets",$AF444=Dashboard!$D$7)),1,0))</f>
        <v>0</v>
      </c>
      <c r="AT444" s="55">
        <f>IF($AS444=1,N(AT443)+$Q444,N(AT443))</f>
        <v>1187.10688</v>
      </c>
      <c r="AU444" s="55">
        <f>MAX(N(AU443),$AT444)</f>
        <v>1187.10688</v>
      </c>
      <c r="AV444" s="55">
        <f>$AT444-$AU444</f>
        <v>0</v>
      </c>
      <c r="AW444" s="56">
        <f>IF($AS444=1,IF($S444="Win",N(AW443)+1,IF($S444="Loss",0,N(AW443))),N(AW443))</f>
        <v>5</v>
      </c>
      <c r="AX444" s="56">
        <f>IF($AS444=1,IF($S444="Loss",N(AX443)+1,IF($S444="Win",0,N(AX443))),N(AX443))</f>
        <v>0</v>
      </c>
      <c r="AY444" s="56" t="str">
        <f>IF($AS444=1,COUNTIF($AS$6:$AS444,1),"")</f>
        <v/>
      </c>
      <c r="AZ444" s="56">
        <f>MIN(438,N(Lists!$W$8))</f>
        <v>28</v>
      </c>
      <c r="BA444" s="56">
        <f>IF($AS444=1,IF(COUNTIFS($A$6:$A444,$A444,$AS$6:$AS444,1)=1,1,0),0)</f>
        <v>0</v>
      </c>
      <c r="BB444" s="55" t="str">
        <f>IF($BA444=1,SUMIFS($Q$6:$Q$1005,$A$6:$A$1005,$A444,$AS$6:$AS$1005,1),"")</f>
        <v/>
      </c>
      <c r="BC444" s="56">
        <f>IF(ISNUMBER($R444),1,0)</f>
        <v>0</v>
      </c>
      <c r="BD444" s="55" t="str">
        <f>IF(ISNUMBER($U444),$U444*$V444,"")</f>
        <v/>
      </c>
      <c r="BE444" s="56" t="str">
        <f>IF($AM444=0,"",IFERROR(MATCH($AF444&amp;"|"&amp;UPPER(TRIM($E444)),Lists!$A$6:$A$205,0),0))</f>
        <v/>
      </c>
      <c r="BF444" s="56" t="str">
        <f>IF($AM444=0,"",IFERROR(MATCH($AF444,Settings!$B$14:$B$18,0),IFERROR(MATCH(Settings!$C$6,Settings!$B$14:$B$18,0),1)))</f>
        <v/>
      </c>
      <c r="BG444" s="58" t="str">
        <f>IF($AM444=0,"",IF(NOT(ISNUMBER($I444)),"No stop; ","")&amp;IF(AND(ISNUMBER($H444),ISNUMBER($I444)),IF(OR(AND($F444&lt;&gt;"Short",$I444&gt;=$H444),AND($F444="Short",$I444&lt;=$H444)),"Stop on wrong side; ",""),"")&amp;IF($F444="","No direction; ","")&amp;IF(AND(ISNUMBER(Settings!$C$22),ISNUMBER($V444)),IF($V444&gt;Settings!$C$22,"Risk over max $; ",""),"")&amp;IF(AND(ISNUMBER(Settings!$C$23),ISNUMBER($V444),ISNUMBER($AP444),IFERROR(N(INDEX(Accounts!$E$7:$E$16,MATCH($C444,Accounts!$B$7:$B$16,0))),0)&gt;0),IF($V444&gt;Settings!$C$23*($AP444-N($Q444)),"Risk over max %; ",""),"")&amp;IF(AND(ISNUMBER(Settings!$C$24),ISNUMBER($N444)),IF($N444&gt;Settings!$C$24,"Leverage over max; ",""),"")&amp;IF(AND(ISNUMBER(Settings!$C$27),ISNUMBER($T444)),IF($T444&lt;Settings!$C$27,"R:R below min; ",""),"")&amp;IF(ISNUMBER(Settings!$C$25),IF(COUNTIFS($A$6:$A444,$A444,$AM$6:$AM444,1)&gt;Settings!$C$25,"Over max trades/day; ",""),"")&amp;IF(ISNUMBER(Settings!$C$26),IF(SUMIFS($Q$5:$Q443,$A$5:$A443,$A444)&lt;=-Settings!$C$26,"Traded after daily max loss; ",""),"")&amp;IF(AND($AG444="",NOT(ISNUMBER($O444))),"Symbol not in Instruments; ","")&amp;IF(AND($AH444="",NOT(ISNUMBER($O444))),"Forex cross: type Gross P&amp;L; ",""))</f>
        <v/>
      </c>
      <c r="BH444" s="56">
        <f>IF(ISNUMBER($Q444),1,0)</f>
        <v>0</v>
      </c>
      <c r="BI444" s="56">
        <f>IF($Y444="",0,1)</f>
        <v>0</v>
      </c>
      <c r="BJ444" s="56">
        <f>IF($AB444="",0,1)</f>
        <v>0</v>
      </c>
      <c r="BK444" s="56">
        <f>IF(AND($BH444=1,$W444&lt;&gt;"OK"),1,0)</f>
        <v>0</v>
      </c>
      <c r="BL444" s="55">
        <f>IF(N($AZ444)=0,0,IFERROR(INDEX($AT$6:$AT$1005,MATCH($AZ444,$AY$6:$AY$1005,0)),0))</f>
        <v>1187.10688</v>
      </c>
      <c r="BM444" s="56">
        <f>IF(ISNUMBER(SEARCH("daily max loss",$BG444)),1,0)</f>
        <v>0</v>
      </c>
    </row>
    <row r="445" ht="18" customHeight="1">
      <c r="A445" s="38" t="n"/>
      <c r="B445" s="39" t="n"/>
      <c r="C445" s="40" t="n"/>
      <c r="D445" s="41" t="n"/>
      <c r="E445" s="41" t="n"/>
      <c r="F445" s="41" t="n"/>
      <c r="G445" s="41" t="n"/>
      <c r="H445" s="42" t="n"/>
      <c r="I445" s="42" t="n"/>
      <c r="J445" s="42" t="n"/>
      <c r="K445" s="42" t="n"/>
      <c r="L445" s="41" t="n"/>
      <c r="M445" s="41" t="n"/>
      <c r="N445" s="41" t="n"/>
      <c r="O445" s="43" t="n"/>
      <c r="P445" s="43" t="n"/>
      <c r="Q445" s="44" t="str">
        <f>IF($AM445=0,"",IF(ISNUMBER($AK445),$AK445-N($AL445),""))</f>
        <v/>
      </c>
      <c r="R445" s="45" t="str">
        <f>IF(OR($Q445="",NOT(ISNUMBER($V445))),"",$AK445/$V445)</f>
        <v/>
      </c>
      <c r="S445" s="46" t="str">
        <f>IF($Q445="","",IF(AND(ISNUMBER($R445),ABS(N($R445))&lt;N(Settings!$C$8)),"Scratch",IF($Q445&gt;0,"Win",IF($Q445&lt;0,"Loss","Scratch"))))</f>
        <v/>
      </c>
      <c r="T445" s="47" t="str">
        <f>IF(OR($AM445=0,NOT(ISNUMBER($H445)),NOT(ISNUMBER($I445)),NOT(ISNUMBER($J445))),"",IF($H445=$I445,"",ROUND(ABS($J445-$H445)/ABS($H445-$I445),6)))</f>
        <v/>
      </c>
      <c r="U445" s="48" t="str">
        <f>IF(OR($S445&lt;&gt;"Win",NOT(ISNUMBER($T445)),NOT(ISNUMBER($R445))),"",MAX(0,$T445-$R445))</f>
        <v/>
      </c>
      <c r="V445" s="49" t="str">
        <f>IF(OR($AM445=0,NOT(ISNUMBER($H445)),NOT(ISNUMBER($I445)),NOT(ISNUMBER($G445))),"",IF(OR($AG445="",$AH445=""),"",IF(ROUND(ABS($H445-$I445)*ABS($G445)*$AG445*$AH445,6)=0,"",ROUND(ABS($H445-$I445)*ABS($G445)*$AG445*$AH445,6))))</f>
        <v/>
      </c>
      <c r="W445" s="50" t="str">
        <f>IF($AM445=0,"",IF($BG445="","OK",LEFT($BG445,LEN($BG445)-2)))</f>
        <v/>
      </c>
      <c r="X445" s="41" t="n"/>
      <c r="Y445" s="40" t="n"/>
      <c r="Z445" s="41" t="n"/>
      <c r="AA445" s="41" t="n"/>
      <c r="AB445" s="40" t="n"/>
      <c r="AC445" s="51" t="n"/>
      <c r="AD445" s="51" t="n"/>
      <c r="AE445" s="40" t="n"/>
      <c r="AF445" s="52" t="str">
        <f>IF($AM445=0,"",IF($D445&lt;&gt;"",$D445,IF(IFERROR(INDEX(Accounts!$C$7:$C$16,MATCH($C445,Accounts!$B$7:$B$16,0))&amp;"","")&lt;&gt;"",INDEX(Accounts!$C$7:$C$16,MATCH($C445,Accounts!$B$7:$B$16,0)),Settings!$C$6)))</f>
        <v/>
      </c>
      <c r="AG445" s="53" t="str">
        <f>IF($AM445=0,"",IF(AND($BE445&gt;0,N(INDEX(Instruments!$D$6:$D$205,MAX(1,$BE445)))&gt;0),INDEX(Instruments!$D$6:$D$205,MAX(1,$BE445)),IF(N(INDEX(Settings!$D$14:$D$18,$BF445))&gt;0,INDEX(Settings!$D$14:$D$18,$BF445),"")))</f>
        <v/>
      </c>
      <c r="AH445" s="54" t="str">
        <f>IF($AM445=0,"",IF($AF445&lt;&gt;"Forex",1,IF(MID(UPPER(SUBSTITUTE(TRIM($E445),"/","")),4,3)=UPPER(TRIM(Settings!$C$7)),1,IF(LEFT(UPPER(SUBSTITUTE(TRIM($E445),"/","")),3)=UPPER(TRIM(Settings!$C$7)),IF(AND(ISNUMBER($K445),N($K445)&lt;&gt;0),1/$K445,""),""))))</f>
        <v/>
      </c>
      <c r="AI445" s="55" t="str">
        <f>IF($AM445=0,"",IF(OR(NOT(ISNUMBER($H445)),NOT(ISNUMBER($K445)),NOT(ISNUMBER($G445)),$AG445="",$AH445=""),"",ROUND(($K445-$H445)*IF($F445="Short",-1,1)*$G445*$AG445*$AH445,6)))</f>
        <v/>
      </c>
      <c r="AJ445" s="55" t="str">
        <f>IF($AM445=0,"",IF(INDEX(Settings!$E$14:$E$18,$BF445)="% of notional",IF(OR($AG445="",NOT(ISNUMBER($H445)),NOT(ISNUMBER($G445))),"",ROUND(ABS($H445*$G445*$AG445*N($AH445))*IF($L445="Limit",N(INDEX(Settings!$G$14:$G$18,$BF445)),N(INDEX(Settings!$H$14:$H$18,$BF445)))+IF(ISNUMBER($K445),ABS($K445*$G445*$AG445*N($AH445))*IF($M445="Target",N(INDEX(Settings!$G$14:$G$18,$BF445)),N(INDEX(Settings!$H$14:$H$18,$BF445))),0),6)),IF(NOT(ISNUMBER($G445)),"",ROUND(ABS($G445)*2*IF(AND($BE445&gt;0,ISNUMBER(INDEX(Instruments!$G$6:$G$205,MAX(1,$BE445)))),INDEX(Instruments!$G$6:$G$205,MAX(1,$BE445)),N(INDEX(Settings!$F$14:$F$18,$BF445))),6))))</f>
        <v/>
      </c>
      <c r="AK445" s="55" t="str">
        <f>IF($AM445=0,"",IF(ISNUMBER($O445),$O445,$AI445))</f>
        <v/>
      </c>
      <c r="AL445" s="55" t="str">
        <f>IF($AM445=0,"",IF(ISNUMBER($P445),$P445,N($AJ445)))</f>
        <v/>
      </c>
      <c r="AM445" s="56">
        <f>IF(AND($A445&lt;&gt;"",$E445&lt;&gt;"",OR(AND(ISNUMBER($G445),ISNUMBER($H445),ISNUMBER($K445)),ISNUMBER($O445))),1,0)</f>
        <v>0</v>
      </c>
      <c r="AN445" s="57" t="str">
        <f>IF($A445="","",$A445-WEEKDAY($A445,3))</f>
        <v/>
      </c>
      <c r="AO445" s="56" t="str">
        <f>IF($A445="","",WEEKDAY($A445,2))</f>
        <v/>
      </c>
      <c r="AP445" s="55" t="str">
        <f>IF(OR($AM445=0,$C445=""),"",IFERROR(N(INDEX(Accounts!$E$7:$E$16,MATCH($C445,Accounts!$B$7:$B$16,0))),0)+SUMIFS($Q$6:$Q445,$C$6:$C445,$C445))</f>
        <v/>
      </c>
      <c r="AQ445" s="55" t="str">
        <f>IF(OR($AM445=0,$C445=""),"",SUMIFS($Q$6:$Q$1005,$C$6:$C$1005,$C445,$A$6:$A$1005,$A445))</f>
        <v/>
      </c>
      <c r="AR445" s="55" t="str">
        <f>IF(OR($AM445=0,$C445=""),"",IFERROR(N(INDEX(Accounts!$E$7:$E$16,MATCH($C445,Accounts!$B$7:$B$16,0))),0)+SUMIFS($Q$6:$Q$1005,$C$6:$C$1005,$C445,$A$6:$A$1005,"&lt;="&amp;$A445))</f>
        <v/>
      </c>
      <c r="AS445" s="56">
        <f>IF(OR($AM445=0,$Q445=""),0,IF(AND($A445&gt;=Lists!$W$6,$A445&lt;=Lists!$W$7,OR(Dashboard!$D$6="All accounts",$C445=Dashboard!$D$6),OR(Dashboard!$D$7="All markets",$AF445=Dashboard!$D$7)),1,0))</f>
        <v>0</v>
      </c>
      <c r="AT445" s="55">
        <f>IF($AS445=1,N(AT444)+$Q445,N(AT444))</f>
        <v>1187.10688</v>
      </c>
      <c r="AU445" s="55">
        <f>MAX(N(AU444),$AT445)</f>
        <v>1187.10688</v>
      </c>
      <c r="AV445" s="55">
        <f>$AT445-$AU445</f>
        <v>0</v>
      </c>
      <c r="AW445" s="56">
        <f>IF($AS445=1,IF($S445="Win",N(AW444)+1,IF($S445="Loss",0,N(AW444))),N(AW444))</f>
        <v>5</v>
      </c>
      <c r="AX445" s="56">
        <f>IF($AS445=1,IF($S445="Loss",N(AX444)+1,IF($S445="Win",0,N(AX444))),N(AX444))</f>
        <v>0</v>
      </c>
      <c r="AY445" s="56" t="str">
        <f>IF($AS445=1,COUNTIF($AS$6:$AS445,1),"")</f>
        <v/>
      </c>
      <c r="AZ445" s="56">
        <f>MIN(439,N(Lists!$W$8))</f>
        <v>28</v>
      </c>
      <c r="BA445" s="56">
        <f>IF($AS445=1,IF(COUNTIFS($A$6:$A445,$A445,$AS$6:$AS445,1)=1,1,0),0)</f>
        <v>0</v>
      </c>
      <c r="BB445" s="55" t="str">
        <f>IF($BA445=1,SUMIFS($Q$6:$Q$1005,$A$6:$A$1005,$A445,$AS$6:$AS$1005,1),"")</f>
        <v/>
      </c>
      <c r="BC445" s="56">
        <f>IF(ISNUMBER($R445),1,0)</f>
        <v>0</v>
      </c>
      <c r="BD445" s="55" t="str">
        <f>IF(ISNUMBER($U445),$U445*$V445,"")</f>
        <v/>
      </c>
      <c r="BE445" s="56" t="str">
        <f>IF($AM445=0,"",IFERROR(MATCH($AF445&amp;"|"&amp;UPPER(TRIM($E445)),Lists!$A$6:$A$205,0),0))</f>
        <v/>
      </c>
      <c r="BF445" s="56" t="str">
        <f>IF($AM445=0,"",IFERROR(MATCH($AF445,Settings!$B$14:$B$18,0),IFERROR(MATCH(Settings!$C$6,Settings!$B$14:$B$18,0),1)))</f>
        <v/>
      </c>
      <c r="BG445" s="58" t="str">
        <f>IF($AM445=0,"",IF(NOT(ISNUMBER($I445)),"No stop; ","")&amp;IF(AND(ISNUMBER($H445),ISNUMBER($I445)),IF(OR(AND($F445&lt;&gt;"Short",$I445&gt;=$H445),AND($F445="Short",$I445&lt;=$H445)),"Stop on wrong side; ",""),"")&amp;IF($F445="","No direction; ","")&amp;IF(AND(ISNUMBER(Settings!$C$22),ISNUMBER($V445)),IF($V445&gt;Settings!$C$22,"Risk over max $; ",""),"")&amp;IF(AND(ISNUMBER(Settings!$C$23),ISNUMBER($V445),ISNUMBER($AP445),IFERROR(N(INDEX(Accounts!$E$7:$E$16,MATCH($C445,Accounts!$B$7:$B$16,0))),0)&gt;0),IF($V445&gt;Settings!$C$23*($AP445-N($Q445)),"Risk over max %; ",""),"")&amp;IF(AND(ISNUMBER(Settings!$C$24),ISNUMBER($N445)),IF($N445&gt;Settings!$C$24,"Leverage over max; ",""),"")&amp;IF(AND(ISNUMBER(Settings!$C$27),ISNUMBER($T445)),IF($T445&lt;Settings!$C$27,"R:R below min; ",""),"")&amp;IF(ISNUMBER(Settings!$C$25),IF(COUNTIFS($A$6:$A445,$A445,$AM$6:$AM445,1)&gt;Settings!$C$25,"Over max trades/day; ",""),"")&amp;IF(ISNUMBER(Settings!$C$26),IF(SUMIFS($Q$5:$Q444,$A$5:$A444,$A445)&lt;=-Settings!$C$26,"Traded after daily max loss; ",""),"")&amp;IF(AND($AG445="",NOT(ISNUMBER($O445))),"Symbol not in Instruments; ","")&amp;IF(AND($AH445="",NOT(ISNUMBER($O445))),"Forex cross: type Gross P&amp;L; ",""))</f>
        <v/>
      </c>
      <c r="BH445" s="56">
        <f>IF(ISNUMBER($Q445),1,0)</f>
        <v>0</v>
      </c>
      <c r="BI445" s="56">
        <f>IF($Y445="",0,1)</f>
        <v>0</v>
      </c>
      <c r="BJ445" s="56">
        <f>IF($AB445="",0,1)</f>
        <v>0</v>
      </c>
      <c r="BK445" s="56">
        <f>IF(AND($BH445=1,$W445&lt;&gt;"OK"),1,0)</f>
        <v>0</v>
      </c>
      <c r="BL445" s="55">
        <f>IF(N($AZ445)=0,0,IFERROR(INDEX($AT$6:$AT$1005,MATCH($AZ445,$AY$6:$AY$1005,0)),0))</f>
        <v>1187.10688</v>
      </c>
      <c r="BM445" s="56">
        <f>IF(ISNUMBER(SEARCH("daily max loss",$BG445)),1,0)</f>
        <v>0</v>
      </c>
    </row>
    <row r="446" ht="18" customHeight="1">
      <c r="A446" s="38" t="n"/>
      <c r="B446" s="39" t="n"/>
      <c r="C446" s="40" t="n"/>
      <c r="D446" s="41" t="n"/>
      <c r="E446" s="41" t="n"/>
      <c r="F446" s="41" t="n"/>
      <c r="G446" s="41" t="n"/>
      <c r="H446" s="42" t="n"/>
      <c r="I446" s="42" t="n"/>
      <c r="J446" s="42" t="n"/>
      <c r="K446" s="42" t="n"/>
      <c r="L446" s="41" t="n"/>
      <c r="M446" s="41" t="n"/>
      <c r="N446" s="41" t="n"/>
      <c r="O446" s="43" t="n"/>
      <c r="P446" s="43" t="n"/>
      <c r="Q446" s="44" t="str">
        <f>IF($AM446=0,"",IF(ISNUMBER($AK446),$AK446-N($AL446),""))</f>
        <v/>
      </c>
      <c r="R446" s="45" t="str">
        <f>IF(OR($Q446="",NOT(ISNUMBER($V446))),"",$AK446/$V446)</f>
        <v/>
      </c>
      <c r="S446" s="46" t="str">
        <f>IF($Q446="","",IF(AND(ISNUMBER($R446),ABS(N($R446))&lt;N(Settings!$C$8)),"Scratch",IF($Q446&gt;0,"Win",IF($Q446&lt;0,"Loss","Scratch"))))</f>
        <v/>
      </c>
      <c r="T446" s="47" t="str">
        <f>IF(OR($AM446=0,NOT(ISNUMBER($H446)),NOT(ISNUMBER($I446)),NOT(ISNUMBER($J446))),"",IF($H446=$I446,"",ROUND(ABS($J446-$H446)/ABS($H446-$I446),6)))</f>
        <v/>
      </c>
      <c r="U446" s="48" t="str">
        <f>IF(OR($S446&lt;&gt;"Win",NOT(ISNUMBER($T446)),NOT(ISNUMBER($R446))),"",MAX(0,$T446-$R446))</f>
        <v/>
      </c>
      <c r="V446" s="49" t="str">
        <f>IF(OR($AM446=0,NOT(ISNUMBER($H446)),NOT(ISNUMBER($I446)),NOT(ISNUMBER($G446))),"",IF(OR($AG446="",$AH446=""),"",IF(ROUND(ABS($H446-$I446)*ABS($G446)*$AG446*$AH446,6)=0,"",ROUND(ABS($H446-$I446)*ABS($G446)*$AG446*$AH446,6))))</f>
        <v/>
      </c>
      <c r="W446" s="50" t="str">
        <f>IF($AM446=0,"",IF($BG446="","OK",LEFT($BG446,LEN($BG446)-2)))</f>
        <v/>
      </c>
      <c r="X446" s="41" t="n"/>
      <c r="Y446" s="40" t="n"/>
      <c r="Z446" s="41" t="n"/>
      <c r="AA446" s="41" t="n"/>
      <c r="AB446" s="40" t="n"/>
      <c r="AC446" s="51" t="n"/>
      <c r="AD446" s="51" t="n"/>
      <c r="AE446" s="40" t="n"/>
      <c r="AF446" s="52" t="str">
        <f>IF($AM446=0,"",IF($D446&lt;&gt;"",$D446,IF(IFERROR(INDEX(Accounts!$C$7:$C$16,MATCH($C446,Accounts!$B$7:$B$16,0))&amp;"","")&lt;&gt;"",INDEX(Accounts!$C$7:$C$16,MATCH($C446,Accounts!$B$7:$B$16,0)),Settings!$C$6)))</f>
        <v/>
      </c>
      <c r="AG446" s="53" t="str">
        <f>IF($AM446=0,"",IF(AND($BE446&gt;0,N(INDEX(Instruments!$D$6:$D$205,MAX(1,$BE446)))&gt;0),INDEX(Instruments!$D$6:$D$205,MAX(1,$BE446)),IF(N(INDEX(Settings!$D$14:$D$18,$BF446))&gt;0,INDEX(Settings!$D$14:$D$18,$BF446),"")))</f>
        <v/>
      </c>
      <c r="AH446" s="54" t="str">
        <f>IF($AM446=0,"",IF($AF446&lt;&gt;"Forex",1,IF(MID(UPPER(SUBSTITUTE(TRIM($E446),"/","")),4,3)=UPPER(TRIM(Settings!$C$7)),1,IF(LEFT(UPPER(SUBSTITUTE(TRIM($E446),"/","")),3)=UPPER(TRIM(Settings!$C$7)),IF(AND(ISNUMBER($K446),N($K446)&lt;&gt;0),1/$K446,""),""))))</f>
        <v/>
      </c>
      <c r="AI446" s="55" t="str">
        <f>IF($AM446=0,"",IF(OR(NOT(ISNUMBER($H446)),NOT(ISNUMBER($K446)),NOT(ISNUMBER($G446)),$AG446="",$AH446=""),"",ROUND(($K446-$H446)*IF($F446="Short",-1,1)*$G446*$AG446*$AH446,6)))</f>
        <v/>
      </c>
      <c r="AJ446" s="55" t="str">
        <f>IF($AM446=0,"",IF(INDEX(Settings!$E$14:$E$18,$BF446)="% of notional",IF(OR($AG446="",NOT(ISNUMBER($H446)),NOT(ISNUMBER($G446))),"",ROUND(ABS($H446*$G446*$AG446*N($AH446))*IF($L446="Limit",N(INDEX(Settings!$G$14:$G$18,$BF446)),N(INDEX(Settings!$H$14:$H$18,$BF446)))+IF(ISNUMBER($K446),ABS($K446*$G446*$AG446*N($AH446))*IF($M446="Target",N(INDEX(Settings!$G$14:$G$18,$BF446)),N(INDEX(Settings!$H$14:$H$18,$BF446))),0),6)),IF(NOT(ISNUMBER($G446)),"",ROUND(ABS($G446)*2*IF(AND($BE446&gt;0,ISNUMBER(INDEX(Instruments!$G$6:$G$205,MAX(1,$BE446)))),INDEX(Instruments!$G$6:$G$205,MAX(1,$BE446)),N(INDEX(Settings!$F$14:$F$18,$BF446))),6))))</f>
        <v/>
      </c>
      <c r="AK446" s="55" t="str">
        <f>IF($AM446=0,"",IF(ISNUMBER($O446),$O446,$AI446))</f>
        <v/>
      </c>
      <c r="AL446" s="55" t="str">
        <f>IF($AM446=0,"",IF(ISNUMBER($P446),$P446,N($AJ446)))</f>
        <v/>
      </c>
      <c r="AM446" s="56">
        <f>IF(AND($A446&lt;&gt;"",$E446&lt;&gt;"",OR(AND(ISNUMBER($G446),ISNUMBER($H446),ISNUMBER($K446)),ISNUMBER($O446))),1,0)</f>
        <v>0</v>
      </c>
      <c r="AN446" s="57" t="str">
        <f>IF($A446="","",$A446-WEEKDAY($A446,3))</f>
        <v/>
      </c>
      <c r="AO446" s="56" t="str">
        <f>IF($A446="","",WEEKDAY($A446,2))</f>
        <v/>
      </c>
      <c r="AP446" s="55" t="str">
        <f>IF(OR($AM446=0,$C446=""),"",IFERROR(N(INDEX(Accounts!$E$7:$E$16,MATCH($C446,Accounts!$B$7:$B$16,0))),0)+SUMIFS($Q$6:$Q446,$C$6:$C446,$C446))</f>
        <v/>
      </c>
      <c r="AQ446" s="55" t="str">
        <f>IF(OR($AM446=0,$C446=""),"",SUMIFS($Q$6:$Q$1005,$C$6:$C$1005,$C446,$A$6:$A$1005,$A446))</f>
        <v/>
      </c>
      <c r="AR446" s="55" t="str">
        <f>IF(OR($AM446=0,$C446=""),"",IFERROR(N(INDEX(Accounts!$E$7:$E$16,MATCH($C446,Accounts!$B$7:$B$16,0))),0)+SUMIFS($Q$6:$Q$1005,$C$6:$C$1005,$C446,$A$6:$A$1005,"&lt;="&amp;$A446))</f>
        <v/>
      </c>
      <c r="AS446" s="56">
        <f>IF(OR($AM446=0,$Q446=""),0,IF(AND($A446&gt;=Lists!$W$6,$A446&lt;=Lists!$W$7,OR(Dashboard!$D$6="All accounts",$C446=Dashboard!$D$6),OR(Dashboard!$D$7="All markets",$AF446=Dashboard!$D$7)),1,0))</f>
        <v>0</v>
      </c>
      <c r="AT446" s="55">
        <f>IF($AS446=1,N(AT445)+$Q446,N(AT445))</f>
        <v>1187.10688</v>
      </c>
      <c r="AU446" s="55">
        <f>MAX(N(AU445),$AT446)</f>
        <v>1187.10688</v>
      </c>
      <c r="AV446" s="55">
        <f>$AT446-$AU446</f>
        <v>0</v>
      </c>
      <c r="AW446" s="56">
        <f>IF($AS446=1,IF($S446="Win",N(AW445)+1,IF($S446="Loss",0,N(AW445))),N(AW445))</f>
        <v>5</v>
      </c>
      <c r="AX446" s="56">
        <f>IF($AS446=1,IF($S446="Loss",N(AX445)+1,IF($S446="Win",0,N(AX445))),N(AX445))</f>
        <v>0</v>
      </c>
      <c r="AY446" s="56" t="str">
        <f>IF($AS446=1,COUNTIF($AS$6:$AS446,1),"")</f>
        <v/>
      </c>
      <c r="AZ446" s="56">
        <f>MIN(440,N(Lists!$W$8))</f>
        <v>28</v>
      </c>
      <c r="BA446" s="56">
        <f>IF($AS446=1,IF(COUNTIFS($A$6:$A446,$A446,$AS$6:$AS446,1)=1,1,0),0)</f>
        <v>0</v>
      </c>
      <c r="BB446" s="55" t="str">
        <f>IF($BA446=1,SUMIFS($Q$6:$Q$1005,$A$6:$A$1005,$A446,$AS$6:$AS$1005,1),"")</f>
        <v/>
      </c>
      <c r="BC446" s="56">
        <f>IF(ISNUMBER($R446),1,0)</f>
        <v>0</v>
      </c>
      <c r="BD446" s="55" t="str">
        <f>IF(ISNUMBER($U446),$U446*$V446,"")</f>
        <v/>
      </c>
      <c r="BE446" s="56" t="str">
        <f>IF($AM446=0,"",IFERROR(MATCH($AF446&amp;"|"&amp;UPPER(TRIM($E446)),Lists!$A$6:$A$205,0),0))</f>
        <v/>
      </c>
      <c r="BF446" s="56" t="str">
        <f>IF($AM446=0,"",IFERROR(MATCH($AF446,Settings!$B$14:$B$18,0),IFERROR(MATCH(Settings!$C$6,Settings!$B$14:$B$18,0),1)))</f>
        <v/>
      </c>
      <c r="BG446" s="58" t="str">
        <f>IF($AM446=0,"",IF(NOT(ISNUMBER($I446)),"No stop; ","")&amp;IF(AND(ISNUMBER($H446),ISNUMBER($I446)),IF(OR(AND($F446&lt;&gt;"Short",$I446&gt;=$H446),AND($F446="Short",$I446&lt;=$H446)),"Stop on wrong side; ",""),"")&amp;IF($F446="","No direction; ","")&amp;IF(AND(ISNUMBER(Settings!$C$22),ISNUMBER($V446)),IF($V446&gt;Settings!$C$22,"Risk over max $; ",""),"")&amp;IF(AND(ISNUMBER(Settings!$C$23),ISNUMBER($V446),ISNUMBER($AP446),IFERROR(N(INDEX(Accounts!$E$7:$E$16,MATCH($C446,Accounts!$B$7:$B$16,0))),0)&gt;0),IF($V446&gt;Settings!$C$23*($AP446-N($Q446)),"Risk over max %; ",""),"")&amp;IF(AND(ISNUMBER(Settings!$C$24),ISNUMBER($N446)),IF($N446&gt;Settings!$C$24,"Leverage over max; ",""),"")&amp;IF(AND(ISNUMBER(Settings!$C$27),ISNUMBER($T446)),IF($T446&lt;Settings!$C$27,"R:R below min; ",""),"")&amp;IF(ISNUMBER(Settings!$C$25),IF(COUNTIFS($A$6:$A446,$A446,$AM$6:$AM446,1)&gt;Settings!$C$25,"Over max trades/day; ",""),"")&amp;IF(ISNUMBER(Settings!$C$26),IF(SUMIFS($Q$5:$Q445,$A$5:$A445,$A446)&lt;=-Settings!$C$26,"Traded after daily max loss; ",""),"")&amp;IF(AND($AG446="",NOT(ISNUMBER($O446))),"Symbol not in Instruments; ","")&amp;IF(AND($AH446="",NOT(ISNUMBER($O446))),"Forex cross: type Gross P&amp;L; ",""))</f>
        <v/>
      </c>
      <c r="BH446" s="56">
        <f>IF(ISNUMBER($Q446),1,0)</f>
        <v>0</v>
      </c>
      <c r="BI446" s="56">
        <f>IF($Y446="",0,1)</f>
        <v>0</v>
      </c>
      <c r="BJ446" s="56">
        <f>IF($AB446="",0,1)</f>
        <v>0</v>
      </c>
      <c r="BK446" s="56">
        <f>IF(AND($BH446=1,$W446&lt;&gt;"OK"),1,0)</f>
        <v>0</v>
      </c>
      <c r="BL446" s="55">
        <f>IF(N($AZ446)=0,0,IFERROR(INDEX($AT$6:$AT$1005,MATCH($AZ446,$AY$6:$AY$1005,0)),0))</f>
        <v>1187.10688</v>
      </c>
      <c r="BM446" s="56">
        <f>IF(ISNUMBER(SEARCH("daily max loss",$BG446)),1,0)</f>
        <v>0</v>
      </c>
    </row>
    <row r="447" ht="18" customHeight="1">
      <c r="A447" s="38" t="n"/>
      <c r="B447" s="39" t="n"/>
      <c r="C447" s="40" t="n"/>
      <c r="D447" s="41" t="n"/>
      <c r="E447" s="41" t="n"/>
      <c r="F447" s="41" t="n"/>
      <c r="G447" s="41" t="n"/>
      <c r="H447" s="42" t="n"/>
      <c r="I447" s="42" t="n"/>
      <c r="J447" s="42" t="n"/>
      <c r="K447" s="42" t="n"/>
      <c r="L447" s="41" t="n"/>
      <c r="M447" s="41" t="n"/>
      <c r="N447" s="41" t="n"/>
      <c r="O447" s="43" t="n"/>
      <c r="P447" s="43" t="n"/>
      <c r="Q447" s="44" t="str">
        <f>IF($AM447=0,"",IF(ISNUMBER($AK447),$AK447-N($AL447),""))</f>
        <v/>
      </c>
      <c r="R447" s="45" t="str">
        <f>IF(OR($Q447="",NOT(ISNUMBER($V447))),"",$AK447/$V447)</f>
        <v/>
      </c>
      <c r="S447" s="46" t="str">
        <f>IF($Q447="","",IF(AND(ISNUMBER($R447),ABS(N($R447))&lt;N(Settings!$C$8)),"Scratch",IF($Q447&gt;0,"Win",IF($Q447&lt;0,"Loss","Scratch"))))</f>
        <v/>
      </c>
      <c r="T447" s="47" t="str">
        <f>IF(OR($AM447=0,NOT(ISNUMBER($H447)),NOT(ISNUMBER($I447)),NOT(ISNUMBER($J447))),"",IF($H447=$I447,"",ROUND(ABS($J447-$H447)/ABS($H447-$I447),6)))</f>
        <v/>
      </c>
      <c r="U447" s="48" t="str">
        <f>IF(OR($S447&lt;&gt;"Win",NOT(ISNUMBER($T447)),NOT(ISNUMBER($R447))),"",MAX(0,$T447-$R447))</f>
        <v/>
      </c>
      <c r="V447" s="49" t="str">
        <f>IF(OR($AM447=0,NOT(ISNUMBER($H447)),NOT(ISNUMBER($I447)),NOT(ISNUMBER($G447))),"",IF(OR($AG447="",$AH447=""),"",IF(ROUND(ABS($H447-$I447)*ABS($G447)*$AG447*$AH447,6)=0,"",ROUND(ABS($H447-$I447)*ABS($G447)*$AG447*$AH447,6))))</f>
        <v/>
      </c>
      <c r="W447" s="50" t="str">
        <f>IF($AM447=0,"",IF($BG447="","OK",LEFT($BG447,LEN($BG447)-2)))</f>
        <v/>
      </c>
      <c r="X447" s="41" t="n"/>
      <c r="Y447" s="40" t="n"/>
      <c r="Z447" s="41" t="n"/>
      <c r="AA447" s="41" t="n"/>
      <c r="AB447" s="40" t="n"/>
      <c r="AC447" s="51" t="n"/>
      <c r="AD447" s="51" t="n"/>
      <c r="AE447" s="40" t="n"/>
      <c r="AF447" s="52" t="str">
        <f>IF($AM447=0,"",IF($D447&lt;&gt;"",$D447,IF(IFERROR(INDEX(Accounts!$C$7:$C$16,MATCH($C447,Accounts!$B$7:$B$16,0))&amp;"","")&lt;&gt;"",INDEX(Accounts!$C$7:$C$16,MATCH($C447,Accounts!$B$7:$B$16,0)),Settings!$C$6)))</f>
        <v/>
      </c>
      <c r="AG447" s="53" t="str">
        <f>IF($AM447=0,"",IF(AND($BE447&gt;0,N(INDEX(Instruments!$D$6:$D$205,MAX(1,$BE447)))&gt;0),INDEX(Instruments!$D$6:$D$205,MAX(1,$BE447)),IF(N(INDEX(Settings!$D$14:$D$18,$BF447))&gt;0,INDEX(Settings!$D$14:$D$18,$BF447),"")))</f>
        <v/>
      </c>
      <c r="AH447" s="54" t="str">
        <f>IF($AM447=0,"",IF($AF447&lt;&gt;"Forex",1,IF(MID(UPPER(SUBSTITUTE(TRIM($E447),"/","")),4,3)=UPPER(TRIM(Settings!$C$7)),1,IF(LEFT(UPPER(SUBSTITUTE(TRIM($E447),"/","")),3)=UPPER(TRIM(Settings!$C$7)),IF(AND(ISNUMBER($K447),N($K447)&lt;&gt;0),1/$K447,""),""))))</f>
        <v/>
      </c>
      <c r="AI447" s="55" t="str">
        <f>IF($AM447=0,"",IF(OR(NOT(ISNUMBER($H447)),NOT(ISNUMBER($K447)),NOT(ISNUMBER($G447)),$AG447="",$AH447=""),"",ROUND(($K447-$H447)*IF($F447="Short",-1,1)*$G447*$AG447*$AH447,6)))</f>
        <v/>
      </c>
      <c r="AJ447" s="55" t="str">
        <f>IF($AM447=0,"",IF(INDEX(Settings!$E$14:$E$18,$BF447)="% of notional",IF(OR($AG447="",NOT(ISNUMBER($H447)),NOT(ISNUMBER($G447))),"",ROUND(ABS($H447*$G447*$AG447*N($AH447))*IF($L447="Limit",N(INDEX(Settings!$G$14:$G$18,$BF447)),N(INDEX(Settings!$H$14:$H$18,$BF447)))+IF(ISNUMBER($K447),ABS($K447*$G447*$AG447*N($AH447))*IF($M447="Target",N(INDEX(Settings!$G$14:$G$18,$BF447)),N(INDEX(Settings!$H$14:$H$18,$BF447))),0),6)),IF(NOT(ISNUMBER($G447)),"",ROUND(ABS($G447)*2*IF(AND($BE447&gt;0,ISNUMBER(INDEX(Instruments!$G$6:$G$205,MAX(1,$BE447)))),INDEX(Instruments!$G$6:$G$205,MAX(1,$BE447)),N(INDEX(Settings!$F$14:$F$18,$BF447))),6))))</f>
        <v/>
      </c>
      <c r="AK447" s="55" t="str">
        <f>IF($AM447=0,"",IF(ISNUMBER($O447),$O447,$AI447))</f>
        <v/>
      </c>
      <c r="AL447" s="55" t="str">
        <f>IF($AM447=0,"",IF(ISNUMBER($P447),$P447,N($AJ447)))</f>
        <v/>
      </c>
      <c r="AM447" s="56">
        <f>IF(AND($A447&lt;&gt;"",$E447&lt;&gt;"",OR(AND(ISNUMBER($G447),ISNUMBER($H447),ISNUMBER($K447)),ISNUMBER($O447))),1,0)</f>
        <v>0</v>
      </c>
      <c r="AN447" s="57" t="str">
        <f>IF($A447="","",$A447-WEEKDAY($A447,3))</f>
        <v/>
      </c>
      <c r="AO447" s="56" t="str">
        <f>IF($A447="","",WEEKDAY($A447,2))</f>
        <v/>
      </c>
      <c r="AP447" s="55" t="str">
        <f>IF(OR($AM447=0,$C447=""),"",IFERROR(N(INDEX(Accounts!$E$7:$E$16,MATCH($C447,Accounts!$B$7:$B$16,0))),0)+SUMIFS($Q$6:$Q447,$C$6:$C447,$C447))</f>
        <v/>
      </c>
      <c r="AQ447" s="55" t="str">
        <f>IF(OR($AM447=0,$C447=""),"",SUMIFS($Q$6:$Q$1005,$C$6:$C$1005,$C447,$A$6:$A$1005,$A447))</f>
        <v/>
      </c>
      <c r="AR447" s="55" t="str">
        <f>IF(OR($AM447=0,$C447=""),"",IFERROR(N(INDEX(Accounts!$E$7:$E$16,MATCH($C447,Accounts!$B$7:$B$16,0))),0)+SUMIFS($Q$6:$Q$1005,$C$6:$C$1005,$C447,$A$6:$A$1005,"&lt;="&amp;$A447))</f>
        <v/>
      </c>
      <c r="AS447" s="56">
        <f>IF(OR($AM447=0,$Q447=""),0,IF(AND($A447&gt;=Lists!$W$6,$A447&lt;=Lists!$W$7,OR(Dashboard!$D$6="All accounts",$C447=Dashboard!$D$6),OR(Dashboard!$D$7="All markets",$AF447=Dashboard!$D$7)),1,0))</f>
        <v>0</v>
      </c>
      <c r="AT447" s="55">
        <f>IF($AS447=1,N(AT446)+$Q447,N(AT446))</f>
        <v>1187.10688</v>
      </c>
      <c r="AU447" s="55">
        <f>MAX(N(AU446),$AT447)</f>
        <v>1187.10688</v>
      </c>
      <c r="AV447" s="55">
        <f>$AT447-$AU447</f>
        <v>0</v>
      </c>
      <c r="AW447" s="56">
        <f>IF($AS447=1,IF($S447="Win",N(AW446)+1,IF($S447="Loss",0,N(AW446))),N(AW446))</f>
        <v>5</v>
      </c>
      <c r="AX447" s="56">
        <f>IF($AS447=1,IF($S447="Loss",N(AX446)+1,IF($S447="Win",0,N(AX446))),N(AX446))</f>
        <v>0</v>
      </c>
      <c r="AY447" s="56" t="str">
        <f>IF($AS447=1,COUNTIF($AS$6:$AS447,1),"")</f>
        <v/>
      </c>
      <c r="AZ447" s="56">
        <f>MIN(441,N(Lists!$W$8))</f>
        <v>28</v>
      </c>
      <c r="BA447" s="56">
        <f>IF($AS447=1,IF(COUNTIFS($A$6:$A447,$A447,$AS$6:$AS447,1)=1,1,0),0)</f>
        <v>0</v>
      </c>
      <c r="BB447" s="55" t="str">
        <f>IF($BA447=1,SUMIFS($Q$6:$Q$1005,$A$6:$A$1005,$A447,$AS$6:$AS$1005,1),"")</f>
        <v/>
      </c>
      <c r="BC447" s="56">
        <f>IF(ISNUMBER($R447),1,0)</f>
        <v>0</v>
      </c>
      <c r="BD447" s="55" t="str">
        <f>IF(ISNUMBER($U447),$U447*$V447,"")</f>
        <v/>
      </c>
      <c r="BE447" s="56" t="str">
        <f>IF($AM447=0,"",IFERROR(MATCH($AF447&amp;"|"&amp;UPPER(TRIM($E447)),Lists!$A$6:$A$205,0),0))</f>
        <v/>
      </c>
      <c r="BF447" s="56" t="str">
        <f>IF($AM447=0,"",IFERROR(MATCH($AF447,Settings!$B$14:$B$18,0),IFERROR(MATCH(Settings!$C$6,Settings!$B$14:$B$18,0),1)))</f>
        <v/>
      </c>
      <c r="BG447" s="58" t="str">
        <f>IF($AM447=0,"",IF(NOT(ISNUMBER($I447)),"No stop; ","")&amp;IF(AND(ISNUMBER($H447),ISNUMBER($I447)),IF(OR(AND($F447&lt;&gt;"Short",$I447&gt;=$H447),AND($F447="Short",$I447&lt;=$H447)),"Stop on wrong side; ",""),"")&amp;IF($F447="","No direction; ","")&amp;IF(AND(ISNUMBER(Settings!$C$22),ISNUMBER($V447)),IF($V447&gt;Settings!$C$22,"Risk over max $; ",""),"")&amp;IF(AND(ISNUMBER(Settings!$C$23),ISNUMBER($V447),ISNUMBER($AP447),IFERROR(N(INDEX(Accounts!$E$7:$E$16,MATCH($C447,Accounts!$B$7:$B$16,0))),0)&gt;0),IF($V447&gt;Settings!$C$23*($AP447-N($Q447)),"Risk over max %; ",""),"")&amp;IF(AND(ISNUMBER(Settings!$C$24),ISNUMBER($N447)),IF($N447&gt;Settings!$C$24,"Leverage over max; ",""),"")&amp;IF(AND(ISNUMBER(Settings!$C$27),ISNUMBER($T447)),IF($T447&lt;Settings!$C$27,"R:R below min; ",""),"")&amp;IF(ISNUMBER(Settings!$C$25),IF(COUNTIFS($A$6:$A447,$A447,$AM$6:$AM447,1)&gt;Settings!$C$25,"Over max trades/day; ",""),"")&amp;IF(ISNUMBER(Settings!$C$26),IF(SUMIFS($Q$5:$Q446,$A$5:$A446,$A447)&lt;=-Settings!$C$26,"Traded after daily max loss; ",""),"")&amp;IF(AND($AG447="",NOT(ISNUMBER($O447))),"Symbol not in Instruments; ","")&amp;IF(AND($AH447="",NOT(ISNUMBER($O447))),"Forex cross: type Gross P&amp;L; ",""))</f>
        <v/>
      </c>
      <c r="BH447" s="56">
        <f>IF(ISNUMBER($Q447),1,0)</f>
        <v>0</v>
      </c>
      <c r="BI447" s="56">
        <f>IF($Y447="",0,1)</f>
        <v>0</v>
      </c>
      <c r="BJ447" s="56">
        <f>IF($AB447="",0,1)</f>
        <v>0</v>
      </c>
      <c r="BK447" s="56">
        <f>IF(AND($BH447=1,$W447&lt;&gt;"OK"),1,0)</f>
        <v>0</v>
      </c>
      <c r="BL447" s="55">
        <f>IF(N($AZ447)=0,0,IFERROR(INDEX($AT$6:$AT$1005,MATCH($AZ447,$AY$6:$AY$1005,0)),0))</f>
        <v>1187.10688</v>
      </c>
      <c r="BM447" s="56">
        <f>IF(ISNUMBER(SEARCH("daily max loss",$BG447)),1,0)</f>
        <v>0</v>
      </c>
    </row>
    <row r="448" ht="18" customHeight="1">
      <c r="A448" s="38" t="n"/>
      <c r="B448" s="39" t="n"/>
      <c r="C448" s="40" t="n"/>
      <c r="D448" s="41" t="n"/>
      <c r="E448" s="41" t="n"/>
      <c r="F448" s="41" t="n"/>
      <c r="G448" s="41" t="n"/>
      <c r="H448" s="42" t="n"/>
      <c r="I448" s="42" t="n"/>
      <c r="J448" s="42" t="n"/>
      <c r="K448" s="42" t="n"/>
      <c r="L448" s="41" t="n"/>
      <c r="M448" s="41" t="n"/>
      <c r="N448" s="41" t="n"/>
      <c r="O448" s="43" t="n"/>
      <c r="P448" s="43" t="n"/>
      <c r="Q448" s="44" t="str">
        <f>IF($AM448=0,"",IF(ISNUMBER($AK448),$AK448-N($AL448),""))</f>
        <v/>
      </c>
      <c r="R448" s="45" t="str">
        <f>IF(OR($Q448="",NOT(ISNUMBER($V448))),"",$AK448/$V448)</f>
        <v/>
      </c>
      <c r="S448" s="46" t="str">
        <f>IF($Q448="","",IF(AND(ISNUMBER($R448),ABS(N($R448))&lt;N(Settings!$C$8)),"Scratch",IF($Q448&gt;0,"Win",IF($Q448&lt;0,"Loss","Scratch"))))</f>
        <v/>
      </c>
      <c r="T448" s="47" t="str">
        <f>IF(OR($AM448=0,NOT(ISNUMBER($H448)),NOT(ISNUMBER($I448)),NOT(ISNUMBER($J448))),"",IF($H448=$I448,"",ROUND(ABS($J448-$H448)/ABS($H448-$I448),6)))</f>
        <v/>
      </c>
      <c r="U448" s="48" t="str">
        <f>IF(OR($S448&lt;&gt;"Win",NOT(ISNUMBER($T448)),NOT(ISNUMBER($R448))),"",MAX(0,$T448-$R448))</f>
        <v/>
      </c>
      <c r="V448" s="49" t="str">
        <f>IF(OR($AM448=0,NOT(ISNUMBER($H448)),NOT(ISNUMBER($I448)),NOT(ISNUMBER($G448))),"",IF(OR($AG448="",$AH448=""),"",IF(ROUND(ABS($H448-$I448)*ABS($G448)*$AG448*$AH448,6)=0,"",ROUND(ABS($H448-$I448)*ABS($G448)*$AG448*$AH448,6))))</f>
        <v/>
      </c>
      <c r="W448" s="50" t="str">
        <f>IF($AM448=0,"",IF($BG448="","OK",LEFT($BG448,LEN($BG448)-2)))</f>
        <v/>
      </c>
      <c r="X448" s="41" t="n"/>
      <c r="Y448" s="40" t="n"/>
      <c r="Z448" s="41" t="n"/>
      <c r="AA448" s="41" t="n"/>
      <c r="AB448" s="40" t="n"/>
      <c r="AC448" s="51" t="n"/>
      <c r="AD448" s="51" t="n"/>
      <c r="AE448" s="40" t="n"/>
      <c r="AF448" s="52" t="str">
        <f>IF($AM448=0,"",IF($D448&lt;&gt;"",$D448,IF(IFERROR(INDEX(Accounts!$C$7:$C$16,MATCH($C448,Accounts!$B$7:$B$16,0))&amp;"","")&lt;&gt;"",INDEX(Accounts!$C$7:$C$16,MATCH($C448,Accounts!$B$7:$B$16,0)),Settings!$C$6)))</f>
        <v/>
      </c>
      <c r="AG448" s="53" t="str">
        <f>IF($AM448=0,"",IF(AND($BE448&gt;0,N(INDEX(Instruments!$D$6:$D$205,MAX(1,$BE448)))&gt;0),INDEX(Instruments!$D$6:$D$205,MAX(1,$BE448)),IF(N(INDEX(Settings!$D$14:$D$18,$BF448))&gt;0,INDEX(Settings!$D$14:$D$18,$BF448),"")))</f>
        <v/>
      </c>
      <c r="AH448" s="54" t="str">
        <f>IF($AM448=0,"",IF($AF448&lt;&gt;"Forex",1,IF(MID(UPPER(SUBSTITUTE(TRIM($E448),"/","")),4,3)=UPPER(TRIM(Settings!$C$7)),1,IF(LEFT(UPPER(SUBSTITUTE(TRIM($E448),"/","")),3)=UPPER(TRIM(Settings!$C$7)),IF(AND(ISNUMBER($K448),N($K448)&lt;&gt;0),1/$K448,""),""))))</f>
        <v/>
      </c>
      <c r="AI448" s="55" t="str">
        <f>IF($AM448=0,"",IF(OR(NOT(ISNUMBER($H448)),NOT(ISNUMBER($K448)),NOT(ISNUMBER($G448)),$AG448="",$AH448=""),"",ROUND(($K448-$H448)*IF($F448="Short",-1,1)*$G448*$AG448*$AH448,6)))</f>
        <v/>
      </c>
      <c r="AJ448" s="55" t="str">
        <f>IF($AM448=0,"",IF(INDEX(Settings!$E$14:$E$18,$BF448)="% of notional",IF(OR($AG448="",NOT(ISNUMBER($H448)),NOT(ISNUMBER($G448))),"",ROUND(ABS($H448*$G448*$AG448*N($AH448))*IF($L448="Limit",N(INDEX(Settings!$G$14:$G$18,$BF448)),N(INDEX(Settings!$H$14:$H$18,$BF448)))+IF(ISNUMBER($K448),ABS($K448*$G448*$AG448*N($AH448))*IF($M448="Target",N(INDEX(Settings!$G$14:$G$18,$BF448)),N(INDEX(Settings!$H$14:$H$18,$BF448))),0),6)),IF(NOT(ISNUMBER($G448)),"",ROUND(ABS($G448)*2*IF(AND($BE448&gt;0,ISNUMBER(INDEX(Instruments!$G$6:$G$205,MAX(1,$BE448)))),INDEX(Instruments!$G$6:$G$205,MAX(1,$BE448)),N(INDEX(Settings!$F$14:$F$18,$BF448))),6))))</f>
        <v/>
      </c>
      <c r="AK448" s="55" t="str">
        <f>IF($AM448=0,"",IF(ISNUMBER($O448),$O448,$AI448))</f>
        <v/>
      </c>
      <c r="AL448" s="55" t="str">
        <f>IF($AM448=0,"",IF(ISNUMBER($P448),$P448,N($AJ448)))</f>
        <v/>
      </c>
      <c r="AM448" s="56">
        <f>IF(AND($A448&lt;&gt;"",$E448&lt;&gt;"",OR(AND(ISNUMBER($G448),ISNUMBER($H448),ISNUMBER($K448)),ISNUMBER($O448))),1,0)</f>
        <v>0</v>
      </c>
      <c r="AN448" s="57" t="str">
        <f>IF($A448="","",$A448-WEEKDAY($A448,3))</f>
        <v/>
      </c>
      <c r="AO448" s="56" t="str">
        <f>IF($A448="","",WEEKDAY($A448,2))</f>
        <v/>
      </c>
      <c r="AP448" s="55" t="str">
        <f>IF(OR($AM448=0,$C448=""),"",IFERROR(N(INDEX(Accounts!$E$7:$E$16,MATCH($C448,Accounts!$B$7:$B$16,0))),0)+SUMIFS($Q$6:$Q448,$C$6:$C448,$C448))</f>
        <v/>
      </c>
      <c r="AQ448" s="55" t="str">
        <f>IF(OR($AM448=0,$C448=""),"",SUMIFS($Q$6:$Q$1005,$C$6:$C$1005,$C448,$A$6:$A$1005,$A448))</f>
        <v/>
      </c>
      <c r="AR448" s="55" t="str">
        <f>IF(OR($AM448=0,$C448=""),"",IFERROR(N(INDEX(Accounts!$E$7:$E$16,MATCH($C448,Accounts!$B$7:$B$16,0))),0)+SUMIFS($Q$6:$Q$1005,$C$6:$C$1005,$C448,$A$6:$A$1005,"&lt;="&amp;$A448))</f>
        <v/>
      </c>
      <c r="AS448" s="56">
        <f>IF(OR($AM448=0,$Q448=""),0,IF(AND($A448&gt;=Lists!$W$6,$A448&lt;=Lists!$W$7,OR(Dashboard!$D$6="All accounts",$C448=Dashboard!$D$6),OR(Dashboard!$D$7="All markets",$AF448=Dashboard!$D$7)),1,0))</f>
        <v>0</v>
      </c>
      <c r="AT448" s="55">
        <f>IF($AS448=1,N(AT447)+$Q448,N(AT447))</f>
        <v>1187.10688</v>
      </c>
      <c r="AU448" s="55">
        <f>MAX(N(AU447),$AT448)</f>
        <v>1187.10688</v>
      </c>
      <c r="AV448" s="55">
        <f>$AT448-$AU448</f>
        <v>0</v>
      </c>
      <c r="AW448" s="56">
        <f>IF($AS448=1,IF($S448="Win",N(AW447)+1,IF($S448="Loss",0,N(AW447))),N(AW447))</f>
        <v>5</v>
      </c>
      <c r="AX448" s="56">
        <f>IF($AS448=1,IF($S448="Loss",N(AX447)+1,IF($S448="Win",0,N(AX447))),N(AX447))</f>
        <v>0</v>
      </c>
      <c r="AY448" s="56" t="str">
        <f>IF($AS448=1,COUNTIF($AS$6:$AS448,1),"")</f>
        <v/>
      </c>
      <c r="AZ448" s="56">
        <f>MIN(442,N(Lists!$W$8))</f>
        <v>28</v>
      </c>
      <c r="BA448" s="56">
        <f>IF($AS448=1,IF(COUNTIFS($A$6:$A448,$A448,$AS$6:$AS448,1)=1,1,0),0)</f>
        <v>0</v>
      </c>
      <c r="BB448" s="55" t="str">
        <f>IF($BA448=1,SUMIFS($Q$6:$Q$1005,$A$6:$A$1005,$A448,$AS$6:$AS$1005,1),"")</f>
        <v/>
      </c>
      <c r="BC448" s="56">
        <f>IF(ISNUMBER($R448),1,0)</f>
        <v>0</v>
      </c>
      <c r="BD448" s="55" t="str">
        <f>IF(ISNUMBER($U448),$U448*$V448,"")</f>
        <v/>
      </c>
      <c r="BE448" s="56" t="str">
        <f>IF($AM448=0,"",IFERROR(MATCH($AF448&amp;"|"&amp;UPPER(TRIM($E448)),Lists!$A$6:$A$205,0),0))</f>
        <v/>
      </c>
      <c r="BF448" s="56" t="str">
        <f>IF($AM448=0,"",IFERROR(MATCH($AF448,Settings!$B$14:$B$18,0),IFERROR(MATCH(Settings!$C$6,Settings!$B$14:$B$18,0),1)))</f>
        <v/>
      </c>
      <c r="BG448" s="58" t="str">
        <f>IF($AM448=0,"",IF(NOT(ISNUMBER($I448)),"No stop; ","")&amp;IF(AND(ISNUMBER($H448),ISNUMBER($I448)),IF(OR(AND($F448&lt;&gt;"Short",$I448&gt;=$H448),AND($F448="Short",$I448&lt;=$H448)),"Stop on wrong side; ",""),"")&amp;IF($F448="","No direction; ","")&amp;IF(AND(ISNUMBER(Settings!$C$22),ISNUMBER($V448)),IF($V448&gt;Settings!$C$22,"Risk over max $; ",""),"")&amp;IF(AND(ISNUMBER(Settings!$C$23),ISNUMBER($V448),ISNUMBER($AP448),IFERROR(N(INDEX(Accounts!$E$7:$E$16,MATCH($C448,Accounts!$B$7:$B$16,0))),0)&gt;0),IF($V448&gt;Settings!$C$23*($AP448-N($Q448)),"Risk over max %; ",""),"")&amp;IF(AND(ISNUMBER(Settings!$C$24),ISNUMBER($N448)),IF($N448&gt;Settings!$C$24,"Leverage over max; ",""),"")&amp;IF(AND(ISNUMBER(Settings!$C$27),ISNUMBER($T448)),IF($T448&lt;Settings!$C$27,"R:R below min; ",""),"")&amp;IF(ISNUMBER(Settings!$C$25),IF(COUNTIFS($A$6:$A448,$A448,$AM$6:$AM448,1)&gt;Settings!$C$25,"Over max trades/day; ",""),"")&amp;IF(ISNUMBER(Settings!$C$26),IF(SUMIFS($Q$5:$Q447,$A$5:$A447,$A448)&lt;=-Settings!$C$26,"Traded after daily max loss; ",""),"")&amp;IF(AND($AG448="",NOT(ISNUMBER($O448))),"Symbol not in Instruments; ","")&amp;IF(AND($AH448="",NOT(ISNUMBER($O448))),"Forex cross: type Gross P&amp;L; ",""))</f>
        <v/>
      </c>
      <c r="BH448" s="56">
        <f>IF(ISNUMBER($Q448),1,0)</f>
        <v>0</v>
      </c>
      <c r="BI448" s="56">
        <f>IF($Y448="",0,1)</f>
        <v>0</v>
      </c>
      <c r="BJ448" s="56">
        <f>IF($AB448="",0,1)</f>
        <v>0</v>
      </c>
      <c r="BK448" s="56">
        <f>IF(AND($BH448=1,$W448&lt;&gt;"OK"),1,0)</f>
        <v>0</v>
      </c>
      <c r="BL448" s="55">
        <f>IF(N($AZ448)=0,0,IFERROR(INDEX($AT$6:$AT$1005,MATCH($AZ448,$AY$6:$AY$1005,0)),0))</f>
        <v>1187.10688</v>
      </c>
      <c r="BM448" s="56">
        <f>IF(ISNUMBER(SEARCH("daily max loss",$BG448)),1,0)</f>
        <v>0</v>
      </c>
    </row>
    <row r="449" ht="18" customHeight="1">
      <c r="A449" s="38" t="n"/>
      <c r="B449" s="39" t="n"/>
      <c r="C449" s="40" t="n"/>
      <c r="D449" s="41" t="n"/>
      <c r="E449" s="41" t="n"/>
      <c r="F449" s="41" t="n"/>
      <c r="G449" s="41" t="n"/>
      <c r="H449" s="42" t="n"/>
      <c r="I449" s="42" t="n"/>
      <c r="J449" s="42" t="n"/>
      <c r="K449" s="42" t="n"/>
      <c r="L449" s="41" t="n"/>
      <c r="M449" s="41" t="n"/>
      <c r="N449" s="41" t="n"/>
      <c r="O449" s="43" t="n"/>
      <c r="P449" s="43" t="n"/>
      <c r="Q449" s="44" t="str">
        <f>IF($AM449=0,"",IF(ISNUMBER($AK449),$AK449-N($AL449),""))</f>
        <v/>
      </c>
      <c r="R449" s="45" t="str">
        <f>IF(OR($Q449="",NOT(ISNUMBER($V449))),"",$AK449/$V449)</f>
        <v/>
      </c>
      <c r="S449" s="46" t="str">
        <f>IF($Q449="","",IF(AND(ISNUMBER($R449),ABS(N($R449))&lt;N(Settings!$C$8)),"Scratch",IF($Q449&gt;0,"Win",IF($Q449&lt;0,"Loss","Scratch"))))</f>
        <v/>
      </c>
      <c r="T449" s="47" t="str">
        <f>IF(OR($AM449=0,NOT(ISNUMBER($H449)),NOT(ISNUMBER($I449)),NOT(ISNUMBER($J449))),"",IF($H449=$I449,"",ROUND(ABS($J449-$H449)/ABS($H449-$I449),6)))</f>
        <v/>
      </c>
      <c r="U449" s="48" t="str">
        <f>IF(OR($S449&lt;&gt;"Win",NOT(ISNUMBER($T449)),NOT(ISNUMBER($R449))),"",MAX(0,$T449-$R449))</f>
        <v/>
      </c>
      <c r="V449" s="49" t="str">
        <f>IF(OR($AM449=0,NOT(ISNUMBER($H449)),NOT(ISNUMBER($I449)),NOT(ISNUMBER($G449))),"",IF(OR($AG449="",$AH449=""),"",IF(ROUND(ABS($H449-$I449)*ABS($G449)*$AG449*$AH449,6)=0,"",ROUND(ABS($H449-$I449)*ABS($G449)*$AG449*$AH449,6))))</f>
        <v/>
      </c>
      <c r="W449" s="50" t="str">
        <f>IF($AM449=0,"",IF($BG449="","OK",LEFT($BG449,LEN($BG449)-2)))</f>
        <v/>
      </c>
      <c r="X449" s="41" t="n"/>
      <c r="Y449" s="40" t="n"/>
      <c r="Z449" s="41" t="n"/>
      <c r="AA449" s="41" t="n"/>
      <c r="AB449" s="40" t="n"/>
      <c r="AC449" s="51" t="n"/>
      <c r="AD449" s="51" t="n"/>
      <c r="AE449" s="40" t="n"/>
      <c r="AF449" s="52" t="str">
        <f>IF($AM449=0,"",IF($D449&lt;&gt;"",$D449,IF(IFERROR(INDEX(Accounts!$C$7:$C$16,MATCH($C449,Accounts!$B$7:$B$16,0))&amp;"","")&lt;&gt;"",INDEX(Accounts!$C$7:$C$16,MATCH($C449,Accounts!$B$7:$B$16,0)),Settings!$C$6)))</f>
        <v/>
      </c>
      <c r="AG449" s="53" t="str">
        <f>IF($AM449=0,"",IF(AND($BE449&gt;0,N(INDEX(Instruments!$D$6:$D$205,MAX(1,$BE449)))&gt;0),INDEX(Instruments!$D$6:$D$205,MAX(1,$BE449)),IF(N(INDEX(Settings!$D$14:$D$18,$BF449))&gt;0,INDEX(Settings!$D$14:$D$18,$BF449),"")))</f>
        <v/>
      </c>
      <c r="AH449" s="54" t="str">
        <f>IF($AM449=0,"",IF($AF449&lt;&gt;"Forex",1,IF(MID(UPPER(SUBSTITUTE(TRIM($E449),"/","")),4,3)=UPPER(TRIM(Settings!$C$7)),1,IF(LEFT(UPPER(SUBSTITUTE(TRIM($E449),"/","")),3)=UPPER(TRIM(Settings!$C$7)),IF(AND(ISNUMBER($K449),N($K449)&lt;&gt;0),1/$K449,""),""))))</f>
        <v/>
      </c>
      <c r="AI449" s="55" t="str">
        <f>IF($AM449=0,"",IF(OR(NOT(ISNUMBER($H449)),NOT(ISNUMBER($K449)),NOT(ISNUMBER($G449)),$AG449="",$AH449=""),"",ROUND(($K449-$H449)*IF($F449="Short",-1,1)*$G449*$AG449*$AH449,6)))</f>
        <v/>
      </c>
      <c r="AJ449" s="55" t="str">
        <f>IF($AM449=0,"",IF(INDEX(Settings!$E$14:$E$18,$BF449)="% of notional",IF(OR($AG449="",NOT(ISNUMBER($H449)),NOT(ISNUMBER($G449))),"",ROUND(ABS($H449*$G449*$AG449*N($AH449))*IF($L449="Limit",N(INDEX(Settings!$G$14:$G$18,$BF449)),N(INDEX(Settings!$H$14:$H$18,$BF449)))+IF(ISNUMBER($K449),ABS($K449*$G449*$AG449*N($AH449))*IF($M449="Target",N(INDEX(Settings!$G$14:$G$18,$BF449)),N(INDEX(Settings!$H$14:$H$18,$BF449))),0),6)),IF(NOT(ISNUMBER($G449)),"",ROUND(ABS($G449)*2*IF(AND($BE449&gt;0,ISNUMBER(INDEX(Instruments!$G$6:$G$205,MAX(1,$BE449)))),INDEX(Instruments!$G$6:$G$205,MAX(1,$BE449)),N(INDEX(Settings!$F$14:$F$18,$BF449))),6))))</f>
        <v/>
      </c>
      <c r="AK449" s="55" t="str">
        <f>IF($AM449=0,"",IF(ISNUMBER($O449),$O449,$AI449))</f>
        <v/>
      </c>
      <c r="AL449" s="55" t="str">
        <f>IF($AM449=0,"",IF(ISNUMBER($P449),$P449,N($AJ449)))</f>
        <v/>
      </c>
      <c r="AM449" s="56">
        <f>IF(AND($A449&lt;&gt;"",$E449&lt;&gt;"",OR(AND(ISNUMBER($G449),ISNUMBER($H449),ISNUMBER($K449)),ISNUMBER($O449))),1,0)</f>
        <v>0</v>
      </c>
      <c r="AN449" s="57" t="str">
        <f>IF($A449="","",$A449-WEEKDAY($A449,3))</f>
        <v/>
      </c>
      <c r="AO449" s="56" t="str">
        <f>IF($A449="","",WEEKDAY($A449,2))</f>
        <v/>
      </c>
      <c r="AP449" s="55" t="str">
        <f>IF(OR($AM449=0,$C449=""),"",IFERROR(N(INDEX(Accounts!$E$7:$E$16,MATCH($C449,Accounts!$B$7:$B$16,0))),0)+SUMIFS($Q$6:$Q449,$C$6:$C449,$C449))</f>
        <v/>
      </c>
      <c r="AQ449" s="55" t="str">
        <f>IF(OR($AM449=0,$C449=""),"",SUMIFS($Q$6:$Q$1005,$C$6:$C$1005,$C449,$A$6:$A$1005,$A449))</f>
        <v/>
      </c>
      <c r="AR449" s="55" t="str">
        <f>IF(OR($AM449=0,$C449=""),"",IFERROR(N(INDEX(Accounts!$E$7:$E$16,MATCH($C449,Accounts!$B$7:$B$16,0))),0)+SUMIFS($Q$6:$Q$1005,$C$6:$C$1005,$C449,$A$6:$A$1005,"&lt;="&amp;$A449))</f>
        <v/>
      </c>
      <c r="AS449" s="56">
        <f>IF(OR($AM449=0,$Q449=""),0,IF(AND($A449&gt;=Lists!$W$6,$A449&lt;=Lists!$W$7,OR(Dashboard!$D$6="All accounts",$C449=Dashboard!$D$6),OR(Dashboard!$D$7="All markets",$AF449=Dashboard!$D$7)),1,0))</f>
        <v>0</v>
      </c>
      <c r="AT449" s="55">
        <f>IF($AS449=1,N(AT448)+$Q449,N(AT448))</f>
        <v>1187.10688</v>
      </c>
      <c r="AU449" s="55">
        <f>MAX(N(AU448),$AT449)</f>
        <v>1187.10688</v>
      </c>
      <c r="AV449" s="55">
        <f>$AT449-$AU449</f>
        <v>0</v>
      </c>
      <c r="AW449" s="56">
        <f>IF($AS449=1,IF($S449="Win",N(AW448)+1,IF($S449="Loss",0,N(AW448))),N(AW448))</f>
        <v>5</v>
      </c>
      <c r="AX449" s="56">
        <f>IF($AS449=1,IF($S449="Loss",N(AX448)+1,IF($S449="Win",0,N(AX448))),N(AX448))</f>
        <v>0</v>
      </c>
      <c r="AY449" s="56" t="str">
        <f>IF($AS449=1,COUNTIF($AS$6:$AS449,1),"")</f>
        <v/>
      </c>
      <c r="AZ449" s="56">
        <f>MIN(443,N(Lists!$W$8))</f>
        <v>28</v>
      </c>
      <c r="BA449" s="56">
        <f>IF($AS449=1,IF(COUNTIFS($A$6:$A449,$A449,$AS$6:$AS449,1)=1,1,0),0)</f>
        <v>0</v>
      </c>
      <c r="BB449" s="55" t="str">
        <f>IF($BA449=1,SUMIFS($Q$6:$Q$1005,$A$6:$A$1005,$A449,$AS$6:$AS$1005,1),"")</f>
        <v/>
      </c>
      <c r="BC449" s="56">
        <f>IF(ISNUMBER($R449),1,0)</f>
        <v>0</v>
      </c>
      <c r="BD449" s="55" t="str">
        <f>IF(ISNUMBER($U449),$U449*$V449,"")</f>
        <v/>
      </c>
      <c r="BE449" s="56" t="str">
        <f>IF($AM449=0,"",IFERROR(MATCH($AF449&amp;"|"&amp;UPPER(TRIM($E449)),Lists!$A$6:$A$205,0),0))</f>
        <v/>
      </c>
      <c r="BF449" s="56" t="str">
        <f>IF($AM449=0,"",IFERROR(MATCH($AF449,Settings!$B$14:$B$18,0),IFERROR(MATCH(Settings!$C$6,Settings!$B$14:$B$18,0),1)))</f>
        <v/>
      </c>
      <c r="BG449" s="58" t="str">
        <f>IF($AM449=0,"",IF(NOT(ISNUMBER($I449)),"No stop; ","")&amp;IF(AND(ISNUMBER($H449),ISNUMBER($I449)),IF(OR(AND($F449&lt;&gt;"Short",$I449&gt;=$H449),AND($F449="Short",$I449&lt;=$H449)),"Stop on wrong side; ",""),"")&amp;IF($F449="","No direction; ","")&amp;IF(AND(ISNUMBER(Settings!$C$22),ISNUMBER($V449)),IF($V449&gt;Settings!$C$22,"Risk over max $; ",""),"")&amp;IF(AND(ISNUMBER(Settings!$C$23),ISNUMBER($V449),ISNUMBER($AP449),IFERROR(N(INDEX(Accounts!$E$7:$E$16,MATCH($C449,Accounts!$B$7:$B$16,0))),0)&gt;0),IF($V449&gt;Settings!$C$23*($AP449-N($Q449)),"Risk over max %; ",""),"")&amp;IF(AND(ISNUMBER(Settings!$C$24),ISNUMBER($N449)),IF($N449&gt;Settings!$C$24,"Leverage over max; ",""),"")&amp;IF(AND(ISNUMBER(Settings!$C$27),ISNUMBER($T449)),IF($T449&lt;Settings!$C$27,"R:R below min; ",""),"")&amp;IF(ISNUMBER(Settings!$C$25),IF(COUNTIFS($A$6:$A449,$A449,$AM$6:$AM449,1)&gt;Settings!$C$25,"Over max trades/day; ",""),"")&amp;IF(ISNUMBER(Settings!$C$26),IF(SUMIFS($Q$5:$Q448,$A$5:$A448,$A449)&lt;=-Settings!$C$26,"Traded after daily max loss; ",""),"")&amp;IF(AND($AG449="",NOT(ISNUMBER($O449))),"Symbol not in Instruments; ","")&amp;IF(AND($AH449="",NOT(ISNUMBER($O449))),"Forex cross: type Gross P&amp;L; ",""))</f>
        <v/>
      </c>
      <c r="BH449" s="56">
        <f>IF(ISNUMBER($Q449),1,0)</f>
        <v>0</v>
      </c>
      <c r="BI449" s="56">
        <f>IF($Y449="",0,1)</f>
        <v>0</v>
      </c>
      <c r="BJ449" s="56">
        <f>IF($AB449="",0,1)</f>
        <v>0</v>
      </c>
      <c r="BK449" s="56">
        <f>IF(AND($BH449=1,$W449&lt;&gt;"OK"),1,0)</f>
        <v>0</v>
      </c>
      <c r="BL449" s="55">
        <f>IF(N($AZ449)=0,0,IFERROR(INDEX($AT$6:$AT$1005,MATCH($AZ449,$AY$6:$AY$1005,0)),0))</f>
        <v>1187.10688</v>
      </c>
      <c r="BM449" s="56">
        <f>IF(ISNUMBER(SEARCH("daily max loss",$BG449)),1,0)</f>
        <v>0</v>
      </c>
    </row>
    <row r="450" ht="18" customHeight="1">
      <c r="A450" s="38" t="n"/>
      <c r="B450" s="39" t="n"/>
      <c r="C450" s="40" t="n"/>
      <c r="D450" s="41" t="n"/>
      <c r="E450" s="41" t="n"/>
      <c r="F450" s="41" t="n"/>
      <c r="G450" s="41" t="n"/>
      <c r="H450" s="42" t="n"/>
      <c r="I450" s="42" t="n"/>
      <c r="J450" s="42" t="n"/>
      <c r="K450" s="42" t="n"/>
      <c r="L450" s="41" t="n"/>
      <c r="M450" s="41" t="n"/>
      <c r="N450" s="41" t="n"/>
      <c r="O450" s="43" t="n"/>
      <c r="P450" s="43" t="n"/>
      <c r="Q450" s="44" t="str">
        <f>IF($AM450=0,"",IF(ISNUMBER($AK450),$AK450-N($AL450),""))</f>
        <v/>
      </c>
      <c r="R450" s="45" t="str">
        <f>IF(OR($Q450="",NOT(ISNUMBER($V450))),"",$AK450/$V450)</f>
        <v/>
      </c>
      <c r="S450" s="46" t="str">
        <f>IF($Q450="","",IF(AND(ISNUMBER($R450),ABS(N($R450))&lt;N(Settings!$C$8)),"Scratch",IF($Q450&gt;0,"Win",IF($Q450&lt;0,"Loss","Scratch"))))</f>
        <v/>
      </c>
      <c r="T450" s="47" t="str">
        <f>IF(OR($AM450=0,NOT(ISNUMBER($H450)),NOT(ISNUMBER($I450)),NOT(ISNUMBER($J450))),"",IF($H450=$I450,"",ROUND(ABS($J450-$H450)/ABS($H450-$I450),6)))</f>
        <v/>
      </c>
      <c r="U450" s="48" t="str">
        <f>IF(OR($S450&lt;&gt;"Win",NOT(ISNUMBER($T450)),NOT(ISNUMBER($R450))),"",MAX(0,$T450-$R450))</f>
        <v/>
      </c>
      <c r="V450" s="49" t="str">
        <f>IF(OR($AM450=0,NOT(ISNUMBER($H450)),NOT(ISNUMBER($I450)),NOT(ISNUMBER($G450))),"",IF(OR($AG450="",$AH450=""),"",IF(ROUND(ABS($H450-$I450)*ABS($G450)*$AG450*$AH450,6)=0,"",ROUND(ABS($H450-$I450)*ABS($G450)*$AG450*$AH450,6))))</f>
        <v/>
      </c>
      <c r="W450" s="50" t="str">
        <f>IF($AM450=0,"",IF($BG450="","OK",LEFT($BG450,LEN($BG450)-2)))</f>
        <v/>
      </c>
      <c r="X450" s="41" t="n"/>
      <c r="Y450" s="40" t="n"/>
      <c r="Z450" s="41" t="n"/>
      <c r="AA450" s="41" t="n"/>
      <c r="AB450" s="40" t="n"/>
      <c r="AC450" s="51" t="n"/>
      <c r="AD450" s="51" t="n"/>
      <c r="AE450" s="40" t="n"/>
      <c r="AF450" s="52" t="str">
        <f>IF($AM450=0,"",IF($D450&lt;&gt;"",$D450,IF(IFERROR(INDEX(Accounts!$C$7:$C$16,MATCH($C450,Accounts!$B$7:$B$16,0))&amp;"","")&lt;&gt;"",INDEX(Accounts!$C$7:$C$16,MATCH($C450,Accounts!$B$7:$B$16,0)),Settings!$C$6)))</f>
        <v/>
      </c>
      <c r="AG450" s="53" t="str">
        <f>IF($AM450=0,"",IF(AND($BE450&gt;0,N(INDEX(Instruments!$D$6:$D$205,MAX(1,$BE450)))&gt;0),INDEX(Instruments!$D$6:$D$205,MAX(1,$BE450)),IF(N(INDEX(Settings!$D$14:$D$18,$BF450))&gt;0,INDEX(Settings!$D$14:$D$18,$BF450),"")))</f>
        <v/>
      </c>
      <c r="AH450" s="54" t="str">
        <f>IF($AM450=0,"",IF($AF450&lt;&gt;"Forex",1,IF(MID(UPPER(SUBSTITUTE(TRIM($E450),"/","")),4,3)=UPPER(TRIM(Settings!$C$7)),1,IF(LEFT(UPPER(SUBSTITUTE(TRIM($E450),"/","")),3)=UPPER(TRIM(Settings!$C$7)),IF(AND(ISNUMBER($K450),N($K450)&lt;&gt;0),1/$K450,""),""))))</f>
        <v/>
      </c>
      <c r="AI450" s="55" t="str">
        <f>IF($AM450=0,"",IF(OR(NOT(ISNUMBER($H450)),NOT(ISNUMBER($K450)),NOT(ISNUMBER($G450)),$AG450="",$AH450=""),"",ROUND(($K450-$H450)*IF($F450="Short",-1,1)*$G450*$AG450*$AH450,6)))</f>
        <v/>
      </c>
      <c r="AJ450" s="55" t="str">
        <f>IF($AM450=0,"",IF(INDEX(Settings!$E$14:$E$18,$BF450)="% of notional",IF(OR($AG450="",NOT(ISNUMBER($H450)),NOT(ISNUMBER($G450))),"",ROUND(ABS($H450*$G450*$AG450*N($AH450))*IF($L450="Limit",N(INDEX(Settings!$G$14:$G$18,$BF450)),N(INDEX(Settings!$H$14:$H$18,$BF450)))+IF(ISNUMBER($K450),ABS($K450*$G450*$AG450*N($AH450))*IF($M450="Target",N(INDEX(Settings!$G$14:$G$18,$BF450)),N(INDEX(Settings!$H$14:$H$18,$BF450))),0),6)),IF(NOT(ISNUMBER($G450)),"",ROUND(ABS($G450)*2*IF(AND($BE450&gt;0,ISNUMBER(INDEX(Instruments!$G$6:$G$205,MAX(1,$BE450)))),INDEX(Instruments!$G$6:$G$205,MAX(1,$BE450)),N(INDEX(Settings!$F$14:$F$18,$BF450))),6))))</f>
        <v/>
      </c>
      <c r="AK450" s="55" t="str">
        <f>IF($AM450=0,"",IF(ISNUMBER($O450),$O450,$AI450))</f>
        <v/>
      </c>
      <c r="AL450" s="55" t="str">
        <f>IF($AM450=0,"",IF(ISNUMBER($P450),$P450,N($AJ450)))</f>
        <v/>
      </c>
      <c r="AM450" s="56">
        <f>IF(AND($A450&lt;&gt;"",$E450&lt;&gt;"",OR(AND(ISNUMBER($G450),ISNUMBER($H450),ISNUMBER($K450)),ISNUMBER($O450))),1,0)</f>
        <v>0</v>
      </c>
      <c r="AN450" s="57" t="str">
        <f>IF($A450="","",$A450-WEEKDAY($A450,3))</f>
        <v/>
      </c>
      <c r="AO450" s="56" t="str">
        <f>IF($A450="","",WEEKDAY($A450,2))</f>
        <v/>
      </c>
      <c r="AP450" s="55" t="str">
        <f>IF(OR($AM450=0,$C450=""),"",IFERROR(N(INDEX(Accounts!$E$7:$E$16,MATCH($C450,Accounts!$B$7:$B$16,0))),0)+SUMIFS($Q$6:$Q450,$C$6:$C450,$C450))</f>
        <v/>
      </c>
      <c r="AQ450" s="55" t="str">
        <f>IF(OR($AM450=0,$C450=""),"",SUMIFS($Q$6:$Q$1005,$C$6:$C$1005,$C450,$A$6:$A$1005,$A450))</f>
        <v/>
      </c>
      <c r="AR450" s="55" t="str">
        <f>IF(OR($AM450=0,$C450=""),"",IFERROR(N(INDEX(Accounts!$E$7:$E$16,MATCH($C450,Accounts!$B$7:$B$16,0))),0)+SUMIFS($Q$6:$Q$1005,$C$6:$C$1005,$C450,$A$6:$A$1005,"&lt;="&amp;$A450))</f>
        <v/>
      </c>
      <c r="AS450" s="56">
        <f>IF(OR($AM450=0,$Q450=""),0,IF(AND($A450&gt;=Lists!$W$6,$A450&lt;=Lists!$W$7,OR(Dashboard!$D$6="All accounts",$C450=Dashboard!$D$6),OR(Dashboard!$D$7="All markets",$AF450=Dashboard!$D$7)),1,0))</f>
        <v>0</v>
      </c>
      <c r="AT450" s="55">
        <f>IF($AS450=1,N(AT449)+$Q450,N(AT449))</f>
        <v>1187.10688</v>
      </c>
      <c r="AU450" s="55">
        <f>MAX(N(AU449),$AT450)</f>
        <v>1187.10688</v>
      </c>
      <c r="AV450" s="55">
        <f>$AT450-$AU450</f>
        <v>0</v>
      </c>
      <c r="AW450" s="56">
        <f>IF($AS450=1,IF($S450="Win",N(AW449)+1,IF($S450="Loss",0,N(AW449))),N(AW449))</f>
        <v>5</v>
      </c>
      <c r="AX450" s="56">
        <f>IF($AS450=1,IF($S450="Loss",N(AX449)+1,IF($S450="Win",0,N(AX449))),N(AX449))</f>
        <v>0</v>
      </c>
      <c r="AY450" s="56" t="str">
        <f>IF($AS450=1,COUNTIF($AS$6:$AS450,1),"")</f>
        <v/>
      </c>
      <c r="AZ450" s="56">
        <f>MIN(444,N(Lists!$W$8))</f>
        <v>28</v>
      </c>
      <c r="BA450" s="56">
        <f>IF($AS450=1,IF(COUNTIFS($A$6:$A450,$A450,$AS$6:$AS450,1)=1,1,0),0)</f>
        <v>0</v>
      </c>
      <c r="BB450" s="55" t="str">
        <f>IF($BA450=1,SUMIFS($Q$6:$Q$1005,$A$6:$A$1005,$A450,$AS$6:$AS$1005,1),"")</f>
        <v/>
      </c>
      <c r="BC450" s="56">
        <f>IF(ISNUMBER($R450),1,0)</f>
        <v>0</v>
      </c>
      <c r="BD450" s="55" t="str">
        <f>IF(ISNUMBER($U450),$U450*$V450,"")</f>
        <v/>
      </c>
      <c r="BE450" s="56" t="str">
        <f>IF($AM450=0,"",IFERROR(MATCH($AF450&amp;"|"&amp;UPPER(TRIM($E450)),Lists!$A$6:$A$205,0),0))</f>
        <v/>
      </c>
      <c r="BF450" s="56" t="str">
        <f>IF($AM450=0,"",IFERROR(MATCH($AF450,Settings!$B$14:$B$18,0),IFERROR(MATCH(Settings!$C$6,Settings!$B$14:$B$18,0),1)))</f>
        <v/>
      </c>
      <c r="BG450" s="58" t="str">
        <f>IF($AM450=0,"",IF(NOT(ISNUMBER($I450)),"No stop; ","")&amp;IF(AND(ISNUMBER($H450),ISNUMBER($I450)),IF(OR(AND($F450&lt;&gt;"Short",$I450&gt;=$H450),AND($F450="Short",$I450&lt;=$H450)),"Stop on wrong side; ",""),"")&amp;IF($F450="","No direction; ","")&amp;IF(AND(ISNUMBER(Settings!$C$22),ISNUMBER($V450)),IF($V450&gt;Settings!$C$22,"Risk over max $; ",""),"")&amp;IF(AND(ISNUMBER(Settings!$C$23),ISNUMBER($V450),ISNUMBER($AP450),IFERROR(N(INDEX(Accounts!$E$7:$E$16,MATCH($C450,Accounts!$B$7:$B$16,0))),0)&gt;0),IF($V450&gt;Settings!$C$23*($AP450-N($Q450)),"Risk over max %; ",""),"")&amp;IF(AND(ISNUMBER(Settings!$C$24),ISNUMBER($N450)),IF($N450&gt;Settings!$C$24,"Leverage over max; ",""),"")&amp;IF(AND(ISNUMBER(Settings!$C$27),ISNUMBER($T450)),IF($T450&lt;Settings!$C$27,"R:R below min; ",""),"")&amp;IF(ISNUMBER(Settings!$C$25),IF(COUNTIFS($A$6:$A450,$A450,$AM$6:$AM450,1)&gt;Settings!$C$25,"Over max trades/day; ",""),"")&amp;IF(ISNUMBER(Settings!$C$26),IF(SUMIFS($Q$5:$Q449,$A$5:$A449,$A450)&lt;=-Settings!$C$26,"Traded after daily max loss; ",""),"")&amp;IF(AND($AG450="",NOT(ISNUMBER($O450))),"Symbol not in Instruments; ","")&amp;IF(AND($AH450="",NOT(ISNUMBER($O450))),"Forex cross: type Gross P&amp;L; ",""))</f>
        <v/>
      </c>
      <c r="BH450" s="56">
        <f>IF(ISNUMBER($Q450),1,0)</f>
        <v>0</v>
      </c>
      <c r="BI450" s="56">
        <f>IF($Y450="",0,1)</f>
        <v>0</v>
      </c>
      <c r="BJ450" s="56">
        <f>IF($AB450="",0,1)</f>
        <v>0</v>
      </c>
      <c r="BK450" s="56">
        <f>IF(AND($BH450=1,$W450&lt;&gt;"OK"),1,0)</f>
        <v>0</v>
      </c>
      <c r="BL450" s="55">
        <f>IF(N($AZ450)=0,0,IFERROR(INDEX($AT$6:$AT$1005,MATCH($AZ450,$AY$6:$AY$1005,0)),0))</f>
        <v>1187.10688</v>
      </c>
      <c r="BM450" s="56">
        <f>IF(ISNUMBER(SEARCH("daily max loss",$BG450)),1,0)</f>
        <v>0</v>
      </c>
    </row>
    <row r="451" ht="18" customHeight="1">
      <c r="A451" s="38" t="n"/>
      <c r="B451" s="39" t="n"/>
      <c r="C451" s="40" t="n"/>
      <c r="D451" s="41" t="n"/>
      <c r="E451" s="41" t="n"/>
      <c r="F451" s="41" t="n"/>
      <c r="G451" s="41" t="n"/>
      <c r="H451" s="42" t="n"/>
      <c r="I451" s="42" t="n"/>
      <c r="J451" s="42" t="n"/>
      <c r="K451" s="42" t="n"/>
      <c r="L451" s="41" t="n"/>
      <c r="M451" s="41" t="n"/>
      <c r="N451" s="41" t="n"/>
      <c r="O451" s="43" t="n"/>
      <c r="P451" s="43" t="n"/>
      <c r="Q451" s="44" t="str">
        <f>IF($AM451=0,"",IF(ISNUMBER($AK451),$AK451-N($AL451),""))</f>
        <v/>
      </c>
      <c r="R451" s="45" t="str">
        <f>IF(OR($Q451="",NOT(ISNUMBER($V451))),"",$AK451/$V451)</f>
        <v/>
      </c>
      <c r="S451" s="46" t="str">
        <f>IF($Q451="","",IF(AND(ISNUMBER($R451),ABS(N($R451))&lt;N(Settings!$C$8)),"Scratch",IF($Q451&gt;0,"Win",IF($Q451&lt;0,"Loss","Scratch"))))</f>
        <v/>
      </c>
      <c r="T451" s="47" t="str">
        <f>IF(OR($AM451=0,NOT(ISNUMBER($H451)),NOT(ISNUMBER($I451)),NOT(ISNUMBER($J451))),"",IF($H451=$I451,"",ROUND(ABS($J451-$H451)/ABS($H451-$I451),6)))</f>
        <v/>
      </c>
      <c r="U451" s="48" t="str">
        <f>IF(OR($S451&lt;&gt;"Win",NOT(ISNUMBER($T451)),NOT(ISNUMBER($R451))),"",MAX(0,$T451-$R451))</f>
        <v/>
      </c>
      <c r="V451" s="49" t="str">
        <f>IF(OR($AM451=0,NOT(ISNUMBER($H451)),NOT(ISNUMBER($I451)),NOT(ISNUMBER($G451))),"",IF(OR($AG451="",$AH451=""),"",IF(ROUND(ABS($H451-$I451)*ABS($G451)*$AG451*$AH451,6)=0,"",ROUND(ABS($H451-$I451)*ABS($G451)*$AG451*$AH451,6))))</f>
        <v/>
      </c>
      <c r="W451" s="50" t="str">
        <f>IF($AM451=0,"",IF($BG451="","OK",LEFT($BG451,LEN($BG451)-2)))</f>
        <v/>
      </c>
      <c r="X451" s="41" t="n"/>
      <c r="Y451" s="40" t="n"/>
      <c r="Z451" s="41" t="n"/>
      <c r="AA451" s="41" t="n"/>
      <c r="AB451" s="40" t="n"/>
      <c r="AC451" s="51" t="n"/>
      <c r="AD451" s="51" t="n"/>
      <c r="AE451" s="40" t="n"/>
      <c r="AF451" s="52" t="str">
        <f>IF($AM451=0,"",IF($D451&lt;&gt;"",$D451,IF(IFERROR(INDEX(Accounts!$C$7:$C$16,MATCH($C451,Accounts!$B$7:$B$16,0))&amp;"","")&lt;&gt;"",INDEX(Accounts!$C$7:$C$16,MATCH($C451,Accounts!$B$7:$B$16,0)),Settings!$C$6)))</f>
        <v/>
      </c>
      <c r="AG451" s="53" t="str">
        <f>IF($AM451=0,"",IF(AND($BE451&gt;0,N(INDEX(Instruments!$D$6:$D$205,MAX(1,$BE451)))&gt;0),INDEX(Instruments!$D$6:$D$205,MAX(1,$BE451)),IF(N(INDEX(Settings!$D$14:$D$18,$BF451))&gt;0,INDEX(Settings!$D$14:$D$18,$BF451),"")))</f>
        <v/>
      </c>
      <c r="AH451" s="54" t="str">
        <f>IF($AM451=0,"",IF($AF451&lt;&gt;"Forex",1,IF(MID(UPPER(SUBSTITUTE(TRIM($E451),"/","")),4,3)=UPPER(TRIM(Settings!$C$7)),1,IF(LEFT(UPPER(SUBSTITUTE(TRIM($E451),"/","")),3)=UPPER(TRIM(Settings!$C$7)),IF(AND(ISNUMBER($K451),N($K451)&lt;&gt;0),1/$K451,""),""))))</f>
        <v/>
      </c>
      <c r="AI451" s="55" t="str">
        <f>IF($AM451=0,"",IF(OR(NOT(ISNUMBER($H451)),NOT(ISNUMBER($K451)),NOT(ISNUMBER($G451)),$AG451="",$AH451=""),"",ROUND(($K451-$H451)*IF($F451="Short",-1,1)*$G451*$AG451*$AH451,6)))</f>
        <v/>
      </c>
      <c r="AJ451" s="55" t="str">
        <f>IF($AM451=0,"",IF(INDEX(Settings!$E$14:$E$18,$BF451)="% of notional",IF(OR($AG451="",NOT(ISNUMBER($H451)),NOT(ISNUMBER($G451))),"",ROUND(ABS($H451*$G451*$AG451*N($AH451))*IF($L451="Limit",N(INDEX(Settings!$G$14:$G$18,$BF451)),N(INDEX(Settings!$H$14:$H$18,$BF451)))+IF(ISNUMBER($K451),ABS($K451*$G451*$AG451*N($AH451))*IF($M451="Target",N(INDEX(Settings!$G$14:$G$18,$BF451)),N(INDEX(Settings!$H$14:$H$18,$BF451))),0),6)),IF(NOT(ISNUMBER($G451)),"",ROUND(ABS($G451)*2*IF(AND($BE451&gt;0,ISNUMBER(INDEX(Instruments!$G$6:$G$205,MAX(1,$BE451)))),INDEX(Instruments!$G$6:$G$205,MAX(1,$BE451)),N(INDEX(Settings!$F$14:$F$18,$BF451))),6))))</f>
        <v/>
      </c>
      <c r="AK451" s="55" t="str">
        <f>IF($AM451=0,"",IF(ISNUMBER($O451),$O451,$AI451))</f>
        <v/>
      </c>
      <c r="AL451" s="55" t="str">
        <f>IF($AM451=0,"",IF(ISNUMBER($P451),$P451,N($AJ451)))</f>
        <v/>
      </c>
      <c r="AM451" s="56">
        <f>IF(AND($A451&lt;&gt;"",$E451&lt;&gt;"",OR(AND(ISNUMBER($G451),ISNUMBER($H451),ISNUMBER($K451)),ISNUMBER($O451))),1,0)</f>
        <v>0</v>
      </c>
      <c r="AN451" s="57" t="str">
        <f>IF($A451="","",$A451-WEEKDAY($A451,3))</f>
        <v/>
      </c>
      <c r="AO451" s="56" t="str">
        <f>IF($A451="","",WEEKDAY($A451,2))</f>
        <v/>
      </c>
      <c r="AP451" s="55" t="str">
        <f>IF(OR($AM451=0,$C451=""),"",IFERROR(N(INDEX(Accounts!$E$7:$E$16,MATCH($C451,Accounts!$B$7:$B$16,0))),0)+SUMIFS($Q$6:$Q451,$C$6:$C451,$C451))</f>
        <v/>
      </c>
      <c r="AQ451" s="55" t="str">
        <f>IF(OR($AM451=0,$C451=""),"",SUMIFS($Q$6:$Q$1005,$C$6:$C$1005,$C451,$A$6:$A$1005,$A451))</f>
        <v/>
      </c>
      <c r="AR451" s="55" t="str">
        <f>IF(OR($AM451=0,$C451=""),"",IFERROR(N(INDEX(Accounts!$E$7:$E$16,MATCH($C451,Accounts!$B$7:$B$16,0))),0)+SUMIFS($Q$6:$Q$1005,$C$6:$C$1005,$C451,$A$6:$A$1005,"&lt;="&amp;$A451))</f>
        <v/>
      </c>
      <c r="AS451" s="56">
        <f>IF(OR($AM451=0,$Q451=""),0,IF(AND($A451&gt;=Lists!$W$6,$A451&lt;=Lists!$W$7,OR(Dashboard!$D$6="All accounts",$C451=Dashboard!$D$6),OR(Dashboard!$D$7="All markets",$AF451=Dashboard!$D$7)),1,0))</f>
        <v>0</v>
      </c>
      <c r="AT451" s="55">
        <f>IF($AS451=1,N(AT450)+$Q451,N(AT450))</f>
        <v>1187.10688</v>
      </c>
      <c r="AU451" s="55">
        <f>MAX(N(AU450),$AT451)</f>
        <v>1187.10688</v>
      </c>
      <c r="AV451" s="55">
        <f>$AT451-$AU451</f>
        <v>0</v>
      </c>
      <c r="AW451" s="56">
        <f>IF($AS451=1,IF($S451="Win",N(AW450)+1,IF($S451="Loss",0,N(AW450))),N(AW450))</f>
        <v>5</v>
      </c>
      <c r="AX451" s="56">
        <f>IF($AS451=1,IF($S451="Loss",N(AX450)+1,IF($S451="Win",0,N(AX450))),N(AX450))</f>
        <v>0</v>
      </c>
      <c r="AY451" s="56" t="str">
        <f>IF($AS451=1,COUNTIF($AS$6:$AS451,1),"")</f>
        <v/>
      </c>
      <c r="AZ451" s="56">
        <f>MIN(445,N(Lists!$W$8))</f>
        <v>28</v>
      </c>
      <c r="BA451" s="56">
        <f>IF($AS451=1,IF(COUNTIFS($A$6:$A451,$A451,$AS$6:$AS451,1)=1,1,0),0)</f>
        <v>0</v>
      </c>
      <c r="BB451" s="55" t="str">
        <f>IF($BA451=1,SUMIFS($Q$6:$Q$1005,$A$6:$A$1005,$A451,$AS$6:$AS$1005,1),"")</f>
        <v/>
      </c>
      <c r="BC451" s="56">
        <f>IF(ISNUMBER($R451),1,0)</f>
        <v>0</v>
      </c>
      <c r="BD451" s="55" t="str">
        <f>IF(ISNUMBER($U451),$U451*$V451,"")</f>
        <v/>
      </c>
      <c r="BE451" s="56" t="str">
        <f>IF($AM451=0,"",IFERROR(MATCH($AF451&amp;"|"&amp;UPPER(TRIM($E451)),Lists!$A$6:$A$205,0),0))</f>
        <v/>
      </c>
      <c r="BF451" s="56" t="str">
        <f>IF($AM451=0,"",IFERROR(MATCH($AF451,Settings!$B$14:$B$18,0),IFERROR(MATCH(Settings!$C$6,Settings!$B$14:$B$18,0),1)))</f>
        <v/>
      </c>
      <c r="BG451" s="58" t="str">
        <f>IF($AM451=0,"",IF(NOT(ISNUMBER($I451)),"No stop; ","")&amp;IF(AND(ISNUMBER($H451),ISNUMBER($I451)),IF(OR(AND($F451&lt;&gt;"Short",$I451&gt;=$H451),AND($F451="Short",$I451&lt;=$H451)),"Stop on wrong side; ",""),"")&amp;IF($F451="","No direction; ","")&amp;IF(AND(ISNUMBER(Settings!$C$22),ISNUMBER($V451)),IF($V451&gt;Settings!$C$22,"Risk over max $; ",""),"")&amp;IF(AND(ISNUMBER(Settings!$C$23),ISNUMBER($V451),ISNUMBER($AP451),IFERROR(N(INDEX(Accounts!$E$7:$E$16,MATCH($C451,Accounts!$B$7:$B$16,0))),0)&gt;0),IF($V451&gt;Settings!$C$23*($AP451-N($Q451)),"Risk over max %; ",""),"")&amp;IF(AND(ISNUMBER(Settings!$C$24),ISNUMBER($N451)),IF($N451&gt;Settings!$C$24,"Leverage over max; ",""),"")&amp;IF(AND(ISNUMBER(Settings!$C$27),ISNUMBER($T451)),IF($T451&lt;Settings!$C$27,"R:R below min; ",""),"")&amp;IF(ISNUMBER(Settings!$C$25),IF(COUNTIFS($A$6:$A451,$A451,$AM$6:$AM451,1)&gt;Settings!$C$25,"Over max trades/day; ",""),"")&amp;IF(ISNUMBER(Settings!$C$26),IF(SUMIFS($Q$5:$Q450,$A$5:$A450,$A451)&lt;=-Settings!$C$26,"Traded after daily max loss; ",""),"")&amp;IF(AND($AG451="",NOT(ISNUMBER($O451))),"Symbol not in Instruments; ","")&amp;IF(AND($AH451="",NOT(ISNUMBER($O451))),"Forex cross: type Gross P&amp;L; ",""))</f>
        <v/>
      </c>
      <c r="BH451" s="56">
        <f>IF(ISNUMBER($Q451),1,0)</f>
        <v>0</v>
      </c>
      <c r="BI451" s="56">
        <f>IF($Y451="",0,1)</f>
        <v>0</v>
      </c>
      <c r="BJ451" s="56">
        <f>IF($AB451="",0,1)</f>
        <v>0</v>
      </c>
      <c r="BK451" s="56">
        <f>IF(AND($BH451=1,$W451&lt;&gt;"OK"),1,0)</f>
        <v>0</v>
      </c>
      <c r="BL451" s="55">
        <f>IF(N($AZ451)=0,0,IFERROR(INDEX($AT$6:$AT$1005,MATCH($AZ451,$AY$6:$AY$1005,0)),0))</f>
        <v>1187.10688</v>
      </c>
      <c r="BM451" s="56">
        <f>IF(ISNUMBER(SEARCH("daily max loss",$BG451)),1,0)</f>
        <v>0</v>
      </c>
    </row>
    <row r="452" ht="18" customHeight="1">
      <c r="A452" s="38" t="n"/>
      <c r="B452" s="39" t="n"/>
      <c r="C452" s="40" t="n"/>
      <c r="D452" s="41" t="n"/>
      <c r="E452" s="41" t="n"/>
      <c r="F452" s="41" t="n"/>
      <c r="G452" s="41" t="n"/>
      <c r="H452" s="42" t="n"/>
      <c r="I452" s="42" t="n"/>
      <c r="J452" s="42" t="n"/>
      <c r="K452" s="42" t="n"/>
      <c r="L452" s="41" t="n"/>
      <c r="M452" s="41" t="n"/>
      <c r="N452" s="41" t="n"/>
      <c r="O452" s="43" t="n"/>
      <c r="P452" s="43" t="n"/>
      <c r="Q452" s="44" t="str">
        <f>IF($AM452=0,"",IF(ISNUMBER($AK452),$AK452-N($AL452),""))</f>
        <v/>
      </c>
      <c r="R452" s="45" t="str">
        <f>IF(OR($Q452="",NOT(ISNUMBER($V452))),"",$AK452/$V452)</f>
        <v/>
      </c>
      <c r="S452" s="46" t="str">
        <f>IF($Q452="","",IF(AND(ISNUMBER($R452),ABS(N($R452))&lt;N(Settings!$C$8)),"Scratch",IF($Q452&gt;0,"Win",IF($Q452&lt;0,"Loss","Scratch"))))</f>
        <v/>
      </c>
      <c r="T452" s="47" t="str">
        <f>IF(OR($AM452=0,NOT(ISNUMBER($H452)),NOT(ISNUMBER($I452)),NOT(ISNUMBER($J452))),"",IF($H452=$I452,"",ROUND(ABS($J452-$H452)/ABS($H452-$I452),6)))</f>
        <v/>
      </c>
      <c r="U452" s="48" t="str">
        <f>IF(OR($S452&lt;&gt;"Win",NOT(ISNUMBER($T452)),NOT(ISNUMBER($R452))),"",MAX(0,$T452-$R452))</f>
        <v/>
      </c>
      <c r="V452" s="49" t="str">
        <f>IF(OR($AM452=0,NOT(ISNUMBER($H452)),NOT(ISNUMBER($I452)),NOT(ISNUMBER($G452))),"",IF(OR($AG452="",$AH452=""),"",IF(ROUND(ABS($H452-$I452)*ABS($G452)*$AG452*$AH452,6)=0,"",ROUND(ABS($H452-$I452)*ABS($G452)*$AG452*$AH452,6))))</f>
        <v/>
      </c>
      <c r="W452" s="50" t="str">
        <f>IF($AM452=0,"",IF($BG452="","OK",LEFT($BG452,LEN($BG452)-2)))</f>
        <v/>
      </c>
      <c r="X452" s="41" t="n"/>
      <c r="Y452" s="40" t="n"/>
      <c r="Z452" s="41" t="n"/>
      <c r="AA452" s="41" t="n"/>
      <c r="AB452" s="40" t="n"/>
      <c r="AC452" s="51" t="n"/>
      <c r="AD452" s="51" t="n"/>
      <c r="AE452" s="40" t="n"/>
      <c r="AF452" s="52" t="str">
        <f>IF($AM452=0,"",IF($D452&lt;&gt;"",$D452,IF(IFERROR(INDEX(Accounts!$C$7:$C$16,MATCH($C452,Accounts!$B$7:$B$16,0))&amp;"","")&lt;&gt;"",INDEX(Accounts!$C$7:$C$16,MATCH($C452,Accounts!$B$7:$B$16,0)),Settings!$C$6)))</f>
        <v/>
      </c>
      <c r="AG452" s="53" t="str">
        <f>IF($AM452=0,"",IF(AND($BE452&gt;0,N(INDEX(Instruments!$D$6:$D$205,MAX(1,$BE452)))&gt;0),INDEX(Instruments!$D$6:$D$205,MAX(1,$BE452)),IF(N(INDEX(Settings!$D$14:$D$18,$BF452))&gt;0,INDEX(Settings!$D$14:$D$18,$BF452),"")))</f>
        <v/>
      </c>
      <c r="AH452" s="54" t="str">
        <f>IF($AM452=0,"",IF($AF452&lt;&gt;"Forex",1,IF(MID(UPPER(SUBSTITUTE(TRIM($E452),"/","")),4,3)=UPPER(TRIM(Settings!$C$7)),1,IF(LEFT(UPPER(SUBSTITUTE(TRIM($E452),"/","")),3)=UPPER(TRIM(Settings!$C$7)),IF(AND(ISNUMBER($K452),N($K452)&lt;&gt;0),1/$K452,""),""))))</f>
        <v/>
      </c>
      <c r="AI452" s="55" t="str">
        <f>IF($AM452=0,"",IF(OR(NOT(ISNUMBER($H452)),NOT(ISNUMBER($K452)),NOT(ISNUMBER($G452)),$AG452="",$AH452=""),"",ROUND(($K452-$H452)*IF($F452="Short",-1,1)*$G452*$AG452*$AH452,6)))</f>
        <v/>
      </c>
      <c r="AJ452" s="55" t="str">
        <f>IF($AM452=0,"",IF(INDEX(Settings!$E$14:$E$18,$BF452)="% of notional",IF(OR($AG452="",NOT(ISNUMBER($H452)),NOT(ISNUMBER($G452))),"",ROUND(ABS($H452*$G452*$AG452*N($AH452))*IF($L452="Limit",N(INDEX(Settings!$G$14:$G$18,$BF452)),N(INDEX(Settings!$H$14:$H$18,$BF452)))+IF(ISNUMBER($K452),ABS($K452*$G452*$AG452*N($AH452))*IF($M452="Target",N(INDEX(Settings!$G$14:$G$18,$BF452)),N(INDEX(Settings!$H$14:$H$18,$BF452))),0),6)),IF(NOT(ISNUMBER($G452)),"",ROUND(ABS($G452)*2*IF(AND($BE452&gt;0,ISNUMBER(INDEX(Instruments!$G$6:$G$205,MAX(1,$BE452)))),INDEX(Instruments!$G$6:$G$205,MAX(1,$BE452)),N(INDEX(Settings!$F$14:$F$18,$BF452))),6))))</f>
        <v/>
      </c>
      <c r="AK452" s="55" t="str">
        <f>IF($AM452=0,"",IF(ISNUMBER($O452),$O452,$AI452))</f>
        <v/>
      </c>
      <c r="AL452" s="55" t="str">
        <f>IF($AM452=0,"",IF(ISNUMBER($P452),$P452,N($AJ452)))</f>
        <v/>
      </c>
      <c r="AM452" s="56">
        <f>IF(AND($A452&lt;&gt;"",$E452&lt;&gt;"",OR(AND(ISNUMBER($G452),ISNUMBER($H452),ISNUMBER($K452)),ISNUMBER($O452))),1,0)</f>
        <v>0</v>
      </c>
      <c r="AN452" s="57" t="str">
        <f>IF($A452="","",$A452-WEEKDAY($A452,3))</f>
        <v/>
      </c>
      <c r="AO452" s="56" t="str">
        <f>IF($A452="","",WEEKDAY($A452,2))</f>
        <v/>
      </c>
      <c r="AP452" s="55" t="str">
        <f>IF(OR($AM452=0,$C452=""),"",IFERROR(N(INDEX(Accounts!$E$7:$E$16,MATCH($C452,Accounts!$B$7:$B$16,0))),0)+SUMIFS($Q$6:$Q452,$C$6:$C452,$C452))</f>
        <v/>
      </c>
      <c r="AQ452" s="55" t="str">
        <f>IF(OR($AM452=0,$C452=""),"",SUMIFS($Q$6:$Q$1005,$C$6:$C$1005,$C452,$A$6:$A$1005,$A452))</f>
        <v/>
      </c>
      <c r="AR452" s="55" t="str">
        <f>IF(OR($AM452=0,$C452=""),"",IFERROR(N(INDEX(Accounts!$E$7:$E$16,MATCH($C452,Accounts!$B$7:$B$16,0))),0)+SUMIFS($Q$6:$Q$1005,$C$6:$C$1005,$C452,$A$6:$A$1005,"&lt;="&amp;$A452))</f>
        <v/>
      </c>
      <c r="AS452" s="56">
        <f>IF(OR($AM452=0,$Q452=""),0,IF(AND($A452&gt;=Lists!$W$6,$A452&lt;=Lists!$W$7,OR(Dashboard!$D$6="All accounts",$C452=Dashboard!$D$6),OR(Dashboard!$D$7="All markets",$AF452=Dashboard!$D$7)),1,0))</f>
        <v>0</v>
      </c>
      <c r="AT452" s="55">
        <f>IF($AS452=1,N(AT451)+$Q452,N(AT451))</f>
        <v>1187.10688</v>
      </c>
      <c r="AU452" s="55">
        <f>MAX(N(AU451),$AT452)</f>
        <v>1187.10688</v>
      </c>
      <c r="AV452" s="55">
        <f>$AT452-$AU452</f>
        <v>0</v>
      </c>
      <c r="AW452" s="56">
        <f>IF($AS452=1,IF($S452="Win",N(AW451)+1,IF($S452="Loss",0,N(AW451))),N(AW451))</f>
        <v>5</v>
      </c>
      <c r="AX452" s="56">
        <f>IF($AS452=1,IF($S452="Loss",N(AX451)+1,IF($S452="Win",0,N(AX451))),N(AX451))</f>
        <v>0</v>
      </c>
      <c r="AY452" s="56" t="str">
        <f>IF($AS452=1,COUNTIF($AS$6:$AS452,1),"")</f>
        <v/>
      </c>
      <c r="AZ452" s="56">
        <f>MIN(446,N(Lists!$W$8))</f>
        <v>28</v>
      </c>
      <c r="BA452" s="56">
        <f>IF($AS452=1,IF(COUNTIFS($A$6:$A452,$A452,$AS$6:$AS452,1)=1,1,0),0)</f>
        <v>0</v>
      </c>
      <c r="BB452" s="55" t="str">
        <f>IF($BA452=1,SUMIFS($Q$6:$Q$1005,$A$6:$A$1005,$A452,$AS$6:$AS$1005,1),"")</f>
        <v/>
      </c>
      <c r="BC452" s="56">
        <f>IF(ISNUMBER($R452),1,0)</f>
        <v>0</v>
      </c>
      <c r="BD452" s="55" t="str">
        <f>IF(ISNUMBER($U452),$U452*$V452,"")</f>
        <v/>
      </c>
      <c r="BE452" s="56" t="str">
        <f>IF($AM452=0,"",IFERROR(MATCH($AF452&amp;"|"&amp;UPPER(TRIM($E452)),Lists!$A$6:$A$205,0),0))</f>
        <v/>
      </c>
      <c r="BF452" s="56" t="str">
        <f>IF($AM452=0,"",IFERROR(MATCH($AF452,Settings!$B$14:$B$18,0),IFERROR(MATCH(Settings!$C$6,Settings!$B$14:$B$18,0),1)))</f>
        <v/>
      </c>
      <c r="BG452" s="58" t="str">
        <f>IF($AM452=0,"",IF(NOT(ISNUMBER($I452)),"No stop; ","")&amp;IF(AND(ISNUMBER($H452),ISNUMBER($I452)),IF(OR(AND($F452&lt;&gt;"Short",$I452&gt;=$H452),AND($F452="Short",$I452&lt;=$H452)),"Stop on wrong side; ",""),"")&amp;IF($F452="","No direction; ","")&amp;IF(AND(ISNUMBER(Settings!$C$22),ISNUMBER($V452)),IF($V452&gt;Settings!$C$22,"Risk over max $; ",""),"")&amp;IF(AND(ISNUMBER(Settings!$C$23),ISNUMBER($V452),ISNUMBER($AP452),IFERROR(N(INDEX(Accounts!$E$7:$E$16,MATCH($C452,Accounts!$B$7:$B$16,0))),0)&gt;0),IF($V452&gt;Settings!$C$23*($AP452-N($Q452)),"Risk over max %; ",""),"")&amp;IF(AND(ISNUMBER(Settings!$C$24),ISNUMBER($N452)),IF($N452&gt;Settings!$C$24,"Leverage over max; ",""),"")&amp;IF(AND(ISNUMBER(Settings!$C$27),ISNUMBER($T452)),IF($T452&lt;Settings!$C$27,"R:R below min; ",""),"")&amp;IF(ISNUMBER(Settings!$C$25),IF(COUNTIFS($A$6:$A452,$A452,$AM$6:$AM452,1)&gt;Settings!$C$25,"Over max trades/day; ",""),"")&amp;IF(ISNUMBER(Settings!$C$26),IF(SUMIFS($Q$5:$Q451,$A$5:$A451,$A452)&lt;=-Settings!$C$26,"Traded after daily max loss; ",""),"")&amp;IF(AND($AG452="",NOT(ISNUMBER($O452))),"Symbol not in Instruments; ","")&amp;IF(AND($AH452="",NOT(ISNUMBER($O452))),"Forex cross: type Gross P&amp;L; ",""))</f>
        <v/>
      </c>
      <c r="BH452" s="56">
        <f>IF(ISNUMBER($Q452),1,0)</f>
        <v>0</v>
      </c>
      <c r="BI452" s="56">
        <f>IF($Y452="",0,1)</f>
        <v>0</v>
      </c>
      <c r="BJ452" s="56">
        <f>IF($AB452="",0,1)</f>
        <v>0</v>
      </c>
      <c r="BK452" s="56">
        <f>IF(AND($BH452=1,$W452&lt;&gt;"OK"),1,0)</f>
        <v>0</v>
      </c>
      <c r="BL452" s="55">
        <f>IF(N($AZ452)=0,0,IFERROR(INDEX($AT$6:$AT$1005,MATCH($AZ452,$AY$6:$AY$1005,0)),0))</f>
        <v>1187.10688</v>
      </c>
      <c r="BM452" s="56">
        <f>IF(ISNUMBER(SEARCH("daily max loss",$BG452)),1,0)</f>
        <v>0</v>
      </c>
    </row>
    <row r="453" ht="18" customHeight="1">
      <c r="A453" s="38" t="n"/>
      <c r="B453" s="39" t="n"/>
      <c r="C453" s="40" t="n"/>
      <c r="D453" s="41" t="n"/>
      <c r="E453" s="41" t="n"/>
      <c r="F453" s="41" t="n"/>
      <c r="G453" s="41" t="n"/>
      <c r="H453" s="42" t="n"/>
      <c r="I453" s="42" t="n"/>
      <c r="J453" s="42" t="n"/>
      <c r="K453" s="42" t="n"/>
      <c r="L453" s="41" t="n"/>
      <c r="M453" s="41" t="n"/>
      <c r="N453" s="41" t="n"/>
      <c r="O453" s="43" t="n"/>
      <c r="P453" s="43" t="n"/>
      <c r="Q453" s="44" t="str">
        <f>IF($AM453=0,"",IF(ISNUMBER($AK453),$AK453-N($AL453),""))</f>
        <v/>
      </c>
      <c r="R453" s="45" t="str">
        <f>IF(OR($Q453="",NOT(ISNUMBER($V453))),"",$AK453/$V453)</f>
        <v/>
      </c>
      <c r="S453" s="46" t="str">
        <f>IF($Q453="","",IF(AND(ISNUMBER($R453),ABS(N($R453))&lt;N(Settings!$C$8)),"Scratch",IF($Q453&gt;0,"Win",IF($Q453&lt;0,"Loss","Scratch"))))</f>
        <v/>
      </c>
      <c r="T453" s="47" t="str">
        <f>IF(OR($AM453=0,NOT(ISNUMBER($H453)),NOT(ISNUMBER($I453)),NOT(ISNUMBER($J453))),"",IF($H453=$I453,"",ROUND(ABS($J453-$H453)/ABS($H453-$I453),6)))</f>
        <v/>
      </c>
      <c r="U453" s="48" t="str">
        <f>IF(OR($S453&lt;&gt;"Win",NOT(ISNUMBER($T453)),NOT(ISNUMBER($R453))),"",MAX(0,$T453-$R453))</f>
        <v/>
      </c>
      <c r="V453" s="49" t="str">
        <f>IF(OR($AM453=0,NOT(ISNUMBER($H453)),NOT(ISNUMBER($I453)),NOT(ISNUMBER($G453))),"",IF(OR($AG453="",$AH453=""),"",IF(ROUND(ABS($H453-$I453)*ABS($G453)*$AG453*$AH453,6)=0,"",ROUND(ABS($H453-$I453)*ABS($G453)*$AG453*$AH453,6))))</f>
        <v/>
      </c>
      <c r="W453" s="50" t="str">
        <f>IF($AM453=0,"",IF($BG453="","OK",LEFT($BG453,LEN($BG453)-2)))</f>
        <v/>
      </c>
      <c r="X453" s="41" t="n"/>
      <c r="Y453" s="40" t="n"/>
      <c r="Z453" s="41" t="n"/>
      <c r="AA453" s="41" t="n"/>
      <c r="AB453" s="40" t="n"/>
      <c r="AC453" s="51" t="n"/>
      <c r="AD453" s="51" t="n"/>
      <c r="AE453" s="40" t="n"/>
      <c r="AF453" s="52" t="str">
        <f>IF($AM453=0,"",IF($D453&lt;&gt;"",$D453,IF(IFERROR(INDEX(Accounts!$C$7:$C$16,MATCH($C453,Accounts!$B$7:$B$16,0))&amp;"","")&lt;&gt;"",INDEX(Accounts!$C$7:$C$16,MATCH($C453,Accounts!$B$7:$B$16,0)),Settings!$C$6)))</f>
        <v/>
      </c>
      <c r="AG453" s="53" t="str">
        <f>IF($AM453=0,"",IF(AND($BE453&gt;0,N(INDEX(Instruments!$D$6:$D$205,MAX(1,$BE453)))&gt;0),INDEX(Instruments!$D$6:$D$205,MAX(1,$BE453)),IF(N(INDEX(Settings!$D$14:$D$18,$BF453))&gt;0,INDEX(Settings!$D$14:$D$18,$BF453),"")))</f>
        <v/>
      </c>
      <c r="AH453" s="54" t="str">
        <f>IF($AM453=0,"",IF($AF453&lt;&gt;"Forex",1,IF(MID(UPPER(SUBSTITUTE(TRIM($E453),"/","")),4,3)=UPPER(TRIM(Settings!$C$7)),1,IF(LEFT(UPPER(SUBSTITUTE(TRIM($E453),"/","")),3)=UPPER(TRIM(Settings!$C$7)),IF(AND(ISNUMBER($K453),N($K453)&lt;&gt;0),1/$K453,""),""))))</f>
        <v/>
      </c>
      <c r="AI453" s="55" t="str">
        <f>IF($AM453=0,"",IF(OR(NOT(ISNUMBER($H453)),NOT(ISNUMBER($K453)),NOT(ISNUMBER($G453)),$AG453="",$AH453=""),"",ROUND(($K453-$H453)*IF($F453="Short",-1,1)*$G453*$AG453*$AH453,6)))</f>
        <v/>
      </c>
      <c r="AJ453" s="55" t="str">
        <f>IF($AM453=0,"",IF(INDEX(Settings!$E$14:$E$18,$BF453)="% of notional",IF(OR($AG453="",NOT(ISNUMBER($H453)),NOT(ISNUMBER($G453))),"",ROUND(ABS($H453*$G453*$AG453*N($AH453))*IF($L453="Limit",N(INDEX(Settings!$G$14:$G$18,$BF453)),N(INDEX(Settings!$H$14:$H$18,$BF453)))+IF(ISNUMBER($K453),ABS($K453*$G453*$AG453*N($AH453))*IF($M453="Target",N(INDEX(Settings!$G$14:$G$18,$BF453)),N(INDEX(Settings!$H$14:$H$18,$BF453))),0),6)),IF(NOT(ISNUMBER($G453)),"",ROUND(ABS($G453)*2*IF(AND($BE453&gt;0,ISNUMBER(INDEX(Instruments!$G$6:$G$205,MAX(1,$BE453)))),INDEX(Instruments!$G$6:$G$205,MAX(1,$BE453)),N(INDEX(Settings!$F$14:$F$18,$BF453))),6))))</f>
        <v/>
      </c>
      <c r="AK453" s="55" t="str">
        <f>IF($AM453=0,"",IF(ISNUMBER($O453),$O453,$AI453))</f>
        <v/>
      </c>
      <c r="AL453" s="55" t="str">
        <f>IF($AM453=0,"",IF(ISNUMBER($P453),$P453,N($AJ453)))</f>
        <v/>
      </c>
      <c r="AM453" s="56">
        <f>IF(AND($A453&lt;&gt;"",$E453&lt;&gt;"",OR(AND(ISNUMBER($G453),ISNUMBER($H453),ISNUMBER($K453)),ISNUMBER($O453))),1,0)</f>
        <v>0</v>
      </c>
      <c r="AN453" s="57" t="str">
        <f>IF($A453="","",$A453-WEEKDAY($A453,3))</f>
        <v/>
      </c>
      <c r="AO453" s="56" t="str">
        <f>IF($A453="","",WEEKDAY($A453,2))</f>
        <v/>
      </c>
      <c r="AP453" s="55" t="str">
        <f>IF(OR($AM453=0,$C453=""),"",IFERROR(N(INDEX(Accounts!$E$7:$E$16,MATCH($C453,Accounts!$B$7:$B$16,0))),0)+SUMIFS($Q$6:$Q453,$C$6:$C453,$C453))</f>
        <v/>
      </c>
      <c r="AQ453" s="55" t="str">
        <f>IF(OR($AM453=0,$C453=""),"",SUMIFS($Q$6:$Q$1005,$C$6:$C$1005,$C453,$A$6:$A$1005,$A453))</f>
        <v/>
      </c>
      <c r="AR453" s="55" t="str">
        <f>IF(OR($AM453=0,$C453=""),"",IFERROR(N(INDEX(Accounts!$E$7:$E$16,MATCH($C453,Accounts!$B$7:$B$16,0))),0)+SUMIFS($Q$6:$Q$1005,$C$6:$C$1005,$C453,$A$6:$A$1005,"&lt;="&amp;$A453))</f>
        <v/>
      </c>
      <c r="AS453" s="56">
        <f>IF(OR($AM453=0,$Q453=""),0,IF(AND($A453&gt;=Lists!$W$6,$A453&lt;=Lists!$W$7,OR(Dashboard!$D$6="All accounts",$C453=Dashboard!$D$6),OR(Dashboard!$D$7="All markets",$AF453=Dashboard!$D$7)),1,0))</f>
        <v>0</v>
      </c>
      <c r="AT453" s="55">
        <f>IF($AS453=1,N(AT452)+$Q453,N(AT452))</f>
        <v>1187.10688</v>
      </c>
      <c r="AU453" s="55">
        <f>MAX(N(AU452),$AT453)</f>
        <v>1187.10688</v>
      </c>
      <c r="AV453" s="55">
        <f>$AT453-$AU453</f>
        <v>0</v>
      </c>
      <c r="AW453" s="56">
        <f>IF($AS453=1,IF($S453="Win",N(AW452)+1,IF($S453="Loss",0,N(AW452))),N(AW452))</f>
        <v>5</v>
      </c>
      <c r="AX453" s="56">
        <f>IF($AS453=1,IF($S453="Loss",N(AX452)+1,IF($S453="Win",0,N(AX452))),N(AX452))</f>
        <v>0</v>
      </c>
      <c r="AY453" s="56" t="str">
        <f>IF($AS453=1,COUNTIF($AS$6:$AS453,1),"")</f>
        <v/>
      </c>
      <c r="AZ453" s="56">
        <f>MIN(447,N(Lists!$W$8))</f>
        <v>28</v>
      </c>
      <c r="BA453" s="56">
        <f>IF($AS453=1,IF(COUNTIFS($A$6:$A453,$A453,$AS$6:$AS453,1)=1,1,0),0)</f>
        <v>0</v>
      </c>
      <c r="BB453" s="55" t="str">
        <f>IF($BA453=1,SUMIFS($Q$6:$Q$1005,$A$6:$A$1005,$A453,$AS$6:$AS$1005,1),"")</f>
        <v/>
      </c>
      <c r="BC453" s="56">
        <f>IF(ISNUMBER($R453),1,0)</f>
        <v>0</v>
      </c>
      <c r="BD453" s="55" t="str">
        <f>IF(ISNUMBER($U453),$U453*$V453,"")</f>
        <v/>
      </c>
      <c r="BE453" s="56" t="str">
        <f>IF($AM453=0,"",IFERROR(MATCH($AF453&amp;"|"&amp;UPPER(TRIM($E453)),Lists!$A$6:$A$205,0),0))</f>
        <v/>
      </c>
      <c r="BF453" s="56" t="str">
        <f>IF($AM453=0,"",IFERROR(MATCH($AF453,Settings!$B$14:$B$18,0),IFERROR(MATCH(Settings!$C$6,Settings!$B$14:$B$18,0),1)))</f>
        <v/>
      </c>
      <c r="BG453" s="58" t="str">
        <f>IF($AM453=0,"",IF(NOT(ISNUMBER($I453)),"No stop; ","")&amp;IF(AND(ISNUMBER($H453),ISNUMBER($I453)),IF(OR(AND($F453&lt;&gt;"Short",$I453&gt;=$H453),AND($F453="Short",$I453&lt;=$H453)),"Stop on wrong side; ",""),"")&amp;IF($F453="","No direction; ","")&amp;IF(AND(ISNUMBER(Settings!$C$22),ISNUMBER($V453)),IF($V453&gt;Settings!$C$22,"Risk over max $; ",""),"")&amp;IF(AND(ISNUMBER(Settings!$C$23),ISNUMBER($V453),ISNUMBER($AP453),IFERROR(N(INDEX(Accounts!$E$7:$E$16,MATCH($C453,Accounts!$B$7:$B$16,0))),0)&gt;0),IF($V453&gt;Settings!$C$23*($AP453-N($Q453)),"Risk over max %; ",""),"")&amp;IF(AND(ISNUMBER(Settings!$C$24),ISNUMBER($N453)),IF($N453&gt;Settings!$C$24,"Leverage over max; ",""),"")&amp;IF(AND(ISNUMBER(Settings!$C$27),ISNUMBER($T453)),IF($T453&lt;Settings!$C$27,"R:R below min; ",""),"")&amp;IF(ISNUMBER(Settings!$C$25),IF(COUNTIFS($A$6:$A453,$A453,$AM$6:$AM453,1)&gt;Settings!$C$25,"Over max trades/day; ",""),"")&amp;IF(ISNUMBER(Settings!$C$26),IF(SUMIFS($Q$5:$Q452,$A$5:$A452,$A453)&lt;=-Settings!$C$26,"Traded after daily max loss; ",""),"")&amp;IF(AND($AG453="",NOT(ISNUMBER($O453))),"Symbol not in Instruments; ","")&amp;IF(AND($AH453="",NOT(ISNUMBER($O453))),"Forex cross: type Gross P&amp;L; ",""))</f>
        <v/>
      </c>
      <c r="BH453" s="56">
        <f>IF(ISNUMBER($Q453),1,0)</f>
        <v>0</v>
      </c>
      <c r="BI453" s="56">
        <f>IF($Y453="",0,1)</f>
        <v>0</v>
      </c>
      <c r="BJ453" s="56">
        <f>IF($AB453="",0,1)</f>
        <v>0</v>
      </c>
      <c r="BK453" s="56">
        <f>IF(AND($BH453=1,$W453&lt;&gt;"OK"),1,0)</f>
        <v>0</v>
      </c>
      <c r="BL453" s="55">
        <f>IF(N($AZ453)=0,0,IFERROR(INDEX($AT$6:$AT$1005,MATCH($AZ453,$AY$6:$AY$1005,0)),0))</f>
        <v>1187.10688</v>
      </c>
      <c r="BM453" s="56">
        <f>IF(ISNUMBER(SEARCH("daily max loss",$BG453)),1,0)</f>
        <v>0</v>
      </c>
    </row>
    <row r="454" ht="18" customHeight="1">
      <c r="A454" s="38" t="n"/>
      <c r="B454" s="39" t="n"/>
      <c r="C454" s="40" t="n"/>
      <c r="D454" s="41" t="n"/>
      <c r="E454" s="41" t="n"/>
      <c r="F454" s="41" t="n"/>
      <c r="G454" s="41" t="n"/>
      <c r="H454" s="42" t="n"/>
      <c r="I454" s="42" t="n"/>
      <c r="J454" s="42" t="n"/>
      <c r="K454" s="42" t="n"/>
      <c r="L454" s="41" t="n"/>
      <c r="M454" s="41" t="n"/>
      <c r="N454" s="41" t="n"/>
      <c r="O454" s="43" t="n"/>
      <c r="P454" s="43" t="n"/>
      <c r="Q454" s="44" t="str">
        <f>IF($AM454=0,"",IF(ISNUMBER($AK454),$AK454-N($AL454),""))</f>
        <v/>
      </c>
      <c r="R454" s="45" t="str">
        <f>IF(OR($Q454="",NOT(ISNUMBER($V454))),"",$AK454/$V454)</f>
        <v/>
      </c>
      <c r="S454" s="46" t="str">
        <f>IF($Q454="","",IF(AND(ISNUMBER($R454),ABS(N($R454))&lt;N(Settings!$C$8)),"Scratch",IF($Q454&gt;0,"Win",IF($Q454&lt;0,"Loss","Scratch"))))</f>
        <v/>
      </c>
      <c r="T454" s="47" t="str">
        <f>IF(OR($AM454=0,NOT(ISNUMBER($H454)),NOT(ISNUMBER($I454)),NOT(ISNUMBER($J454))),"",IF($H454=$I454,"",ROUND(ABS($J454-$H454)/ABS($H454-$I454),6)))</f>
        <v/>
      </c>
      <c r="U454" s="48" t="str">
        <f>IF(OR($S454&lt;&gt;"Win",NOT(ISNUMBER($T454)),NOT(ISNUMBER($R454))),"",MAX(0,$T454-$R454))</f>
        <v/>
      </c>
      <c r="V454" s="49" t="str">
        <f>IF(OR($AM454=0,NOT(ISNUMBER($H454)),NOT(ISNUMBER($I454)),NOT(ISNUMBER($G454))),"",IF(OR($AG454="",$AH454=""),"",IF(ROUND(ABS($H454-$I454)*ABS($G454)*$AG454*$AH454,6)=0,"",ROUND(ABS($H454-$I454)*ABS($G454)*$AG454*$AH454,6))))</f>
        <v/>
      </c>
      <c r="W454" s="50" t="str">
        <f>IF($AM454=0,"",IF($BG454="","OK",LEFT($BG454,LEN($BG454)-2)))</f>
        <v/>
      </c>
      <c r="X454" s="41" t="n"/>
      <c r="Y454" s="40" t="n"/>
      <c r="Z454" s="41" t="n"/>
      <c r="AA454" s="41" t="n"/>
      <c r="AB454" s="40" t="n"/>
      <c r="AC454" s="51" t="n"/>
      <c r="AD454" s="51" t="n"/>
      <c r="AE454" s="40" t="n"/>
      <c r="AF454" s="52" t="str">
        <f>IF($AM454=0,"",IF($D454&lt;&gt;"",$D454,IF(IFERROR(INDEX(Accounts!$C$7:$C$16,MATCH($C454,Accounts!$B$7:$B$16,0))&amp;"","")&lt;&gt;"",INDEX(Accounts!$C$7:$C$16,MATCH($C454,Accounts!$B$7:$B$16,0)),Settings!$C$6)))</f>
        <v/>
      </c>
      <c r="AG454" s="53" t="str">
        <f>IF($AM454=0,"",IF(AND($BE454&gt;0,N(INDEX(Instruments!$D$6:$D$205,MAX(1,$BE454)))&gt;0),INDEX(Instruments!$D$6:$D$205,MAX(1,$BE454)),IF(N(INDEX(Settings!$D$14:$D$18,$BF454))&gt;0,INDEX(Settings!$D$14:$D$18,$BF454),"")))</f>
        <v/>
      </c>
      <c r="AH454" s="54" t="str">
        <f>IF($AM454=0,"",IF($AF454&lt;&gt;"Forex",1,IF(MID(UPPER(SUBSTITUTE(TRIM($E454),"/","")),4,3)=UPPER(TRIM(Settings!$C$7)),1,IF(LEFT(UPPER(SUBSTITUTE(TRIM($E454),"/","")),3)=UPPER(TRIM(Settings!$C$7)),IF(AND(ISNUMBER($K454),N($K454)&lt;&gt;0),1/$K454,""),""))))</f>
        <v/>
      </c>
      <c r="AI454" s="55" t="str">
        <f>IF($AM454=0,"",IF(OR(NOT(ISNUMBER($H454)),NOT(ISNUMBER($K454)),NOT(ISNUMBER($G454)),$AG454="",$AH454=""),"",ROUND(($K454-$H454)*IF($F454="Short",-1,1)*$G454*$AG454*$AH454,6)))</f>
        <v/>
      </c>
      <c r="AJ454" s="55" t="str">
        <f>IF($AM454=0,"",IF(INDEX(Settings!$E$14:$E$18,$BF454)="% of notional",IF(OR($AG454="",NOT(ISNUMBER($H454)),NOT(ISNUMBER($G454))),"",ROUND(ABS($H454*$G454*$AG454*N($AH454))*IF($L454="Limit",N(INDEX(Settings!$G$14:$G$18,$BF454)),N(INDEX(Settings!$H$14:$H$18,$BF454)))+IF(ISNUMBER($K454),ABS($K454*$G454*$AG454*N($AH454))*IF($M454="Target",N(INDEX(Settings!$G$14:$G$18,$BF454)),N(INDEX(Settings!$H$14:$H$18,$BF454))),0),6)),IF(NOT(ISNUMBER($G454)),"",ROUND(ABS($G454)*2*IF(AND($BE454&gt;0,ISNUMBER(INDEX(Instruments!$G$6:$G$205,MAX(1,$BE454)))),INDEX(Instruments!$G$6:$G$205,MAX(1,$BE454)),N(INDEX(Settings!$F$14:$F$18,$BF454))),6))))</f>
        <v/>
      </c>
      <c r="AK454" s="55" t="str">
        <f>IF($AM454=0,"",IF(ISNUMBER($O454),$O454,$AI454))</f>
        <v/>
      </c>
      <c r="AL454" s="55" t="str">
        <f>IF($AM454=0,"",IF(ISNUMBER($P454),$P454,N($AJ454)))</f>
        <v/>
      </c>
      <c r="AM454" s="56">
        <f>IF(AND($A454&lt;&gt;"",$E454&lt;&gt;"",OR(AND(ISNUMBER($G454),ISNUMBER($H454),ISNUMBER($K454)),ISNUMBER($O454))),1,0)</f>
        <v>0</v>
      </c>
      <c r="AN454" s="57" t="str">
        <f>IF($A454="","",$A454-WEEKDAY($A454,3))</f>
        <v/>
      </c>
      <c r="AO454" s="56" t="str">
        <f>IF($A454="","",WEEKDAY($A454,2))</f>
        <v/>
      </c>
      <c r="AP454" s="55" t="str">
        <f>IF(OR($AM454=0,$C454=""),"",IFERROR(N(INDEX(Accounts!$E$7:$E$16,MATCH($C454,Accounts!$B$7:$B$16,0))),0)+SUMIFS($Q$6:$Q454,$C$6:$C454,$C454))</f>
        <v/>
      </c>
      <c r="AQ454" s="55" t="str">
        <f>IF(OR($AM454=0,$C454=""),"",SUMIFS($Q$6:$Q$1005,$C$6:$C$1005,$C454,$A$6:$A$1005,$A454))</f>
        <v/>
      </c>
      <c r="AR454" s="55" t="str">
        <f>IF(OR($AM454=0,$C454=""),"",IFERROR(N(INDEX(Accounts!$E$7:$E$16,MATCH($C454,Accounts!$B$7:$B$16,0))),0)+SUMIFS($Q$6:$Q$1005,$C$6:$C$1005,$C454,$A$6:$A$1005,"&lt;="&amp;$A454))</f>
        <v/>
      </c>
      <c r="AS454" s="56">
        <f>IF(OR($AM454=0,$Q454=""),0,IF(AND($A454&gt;=Lists!$W$6,$A454&lt;=Lists!$W$7,OR(Dashboard!$D$6="All accounts",$C454=Dashboard!$D$6),OR(Dashboard!$D$7="All markets",$AF454=Dashboard!$D$7)),1,0))</f>
        <v>0</v>
      </c>
      <c r="AT454" s="55">
        <f>IF($AS454=1,N(AT453)+$Q454,N(AT453))</f>
        <v>1187.10688</v>
      </c>
      <c r="AU454" s="55">
        <f>MAX(N(AU453),$AT454)</f>
        <v>1187.10688</v>
      </c>
      <c r="AV454" s="55">
        <f>$AT454-$AU454</f>
        <v>0</v>
      </c>
      <c r="AW454" s="56">
        <f>IF($AS454=1,IF($S454="Win",N(AW453)+1,IF($S454="Loss",0,N(AW453))),N(AW453))</f>
        <v>5</v>
      </c>
      <c r="AX454" s="56">
        <f>IF($AS454=1,IF($S454="Loss",N(AX453)+1,IF($S454="Win",0,N(AX453))),N(AX453))</f>
        <v>0</v>
      </c>
      <c r="AY454" s="56" t="str">
        <f>IF($AS454=1,COUNTIF($AS$6:$AS454,1),"")</f>
        <v/>
      </c>
      <c r="AZ454" s="56">
        <f>MIN(448,N(Lists!$W$8))</f>
        <v>28</v>
      </c>
      <c r="BA454" s="56">
        <f>IF($AS454=1,IF(COUNTIFS($A$6:$A454,$A454,$AS$6:$AS454,1)=1,1,0),0)</f>
        <v>0</v>
      </c>
      <c r="BB454" s="55" t="str">
        <f>IF($BA454=1,SUMIFS($Q$6:$Q$1005,$A$6:$A$1005,$A454,$AS$6:$AS$1005,1),"")</f>
        <v/>
      </c>
      <c r="BC454" s="56">
        <f>IF(ISNUMBER($R454),1,0)</f>
        <v>0</v>
      </c>
      <c r="BD454" s="55" t="str">
        <f>IF(ISNUMBER($U454),$U454*$V454,"")</f>
        <v/>
      </c>
      <c r="BE454" s="56" t="str">
        <f>IF($AM454=0,"",IFERROR(MATCH($AF454&amp;"|"&amp;UPPER(TRIM($E454)),Lists!$A$6:$A$205,0),0))</f>
        <v/>
      </c>
      <c r="BF454" s="56" t="str">
        <f>IF($AM454=0,"",IFERROR(MATCH($AF454,Settings!$B$14:$B$18,0),IFERROR(MATCH(Settings!$C$6,Settings!$B$14:$B$18,0),1)))</f>
        <v/>
      </c>
      <c r="BG454" s="58" t="str">
        <f>IF($AM454=0,"",IF(NOT(ISNUMBER($I454)),"No stop; ","")&amp;IF(AND(ISNUMBER($H454),ISNUMBER($I454)),IF(OR(AND($F454&lt;&gt;"Short",$I454&gt;=$H454),AND($F454="Short",$I454&lt;=$H454)),"Stop on wrong side; ",""),"")&amp;IF($F454="","No direction; ","")&amp;IF(AND(ISNUMBER(Settings!$C$22),ISNUMBER($V454)),IF($V454&gt;Settings!$C$22,"Risk over max $; ",""),"")&amp;IF(AND(ISNUMBER(Settings!$C$23),ISNUMBER($V454),ISNUMBER($AP454),IFERROR(N(INDEX(Accounts!$E$7:$E$16,MATCH($C454,Accounts!$B$7:$B$16,0))),0)&gt;0),IF($V454&gt;Settings!$C$23*($AP454-N($Q454)),"Risk over max %; ",""),"")&amp;IF(AND(ISNUMBER(Settings!$C$24),ISNUMBER($N454)),IF($N454&gt;Settings!$C$24,"Leverage over max; ",""),"")&amp;IF(AND(ISNUMBER(Settings!$C$27),ISNUMBER($T454)),IF($T454&lt;Settings!$C$27,"R:R below min; ",""),"")&amp;IF(ISNUMBER(Settings!$C$25),IF(COUNTIFS($A$6:$A454,$A454,$AM$6:$AM454,1)&gt;Settings!$C$25,"Over max trades/day; ",""),"")&amp;IF(ISNUMBER(Settings!$C$26),IF(SUMIFS($Q$5:$Q453,$A$5:$A453,$A454)&lt;=-Settings!$C$26,"Traded after daily max loss; ",""),"")&amp;IF(AND($AG454="",NOT(ISNUMBER($O454))),"Symbol not in Instruments; ","")&amp;IF(AND($AH454="",NOT(ISNUMBER($O454))),"Forex cross: type Gross P&amp;L; ",""))</f>
        <v/>
      </c>
      <c r="BH454" s="56">
        <f>IF(ISNUMBER($Q454),1,0)</f>
        <v>0</v>
      </c>
      <c r="BI454" s="56">
        <f>IF($Y454="",0,1)</f>
        <v>0</v>
      </c>
      <c r="BJ454" s="56">
        <f>IF($AB454="",0,1)</f>
        <v>0</v>
      </c>
      <c r="BK454" s="56">
        <f>IF(AND($BH454=1,$W454&lt;&gt;"OK"),1,0)</f>
        <v>0</v>
      </c>
      <c r="BL454" s="55">
        <f>IF(N($AZ454)=0,0,IFERROR(INDEX($AT$6:$AT$1005,MATCH($AZ454,$AY$6:$AY$1005,0)),0))</f>
        <v>1187.10688</v>
      </c>
      <c r="BM454" s="56">
        <f>IF(ISNUMBER(SEARCH("daily max loss",$BG454)),1,0)</f>
        <v>0</v>
      </c>
    </row>
    <row r="455" ht="18" customHeight="1">
      <c r="A455" s="38" t="n"/>
      <c r="B455" s="39" t="n"/>
      <c r="C455" s="40" t="n"/>
      <c r="D455" s="41" t="n"/>
      <c r="E455" s="41" t="n"/>
      <c r="F455" s="41" t="n"/>
      <c r="G455" s="41" t="n"/>
      <c r="H455" s="42" t="n"/>
      <c r="I455" s="42" t="n"/>
      <c r="J455" s="42" t="n"/>
      <c r="K455" s="42" t="n"/>
      <c r="L455" s="41" t="n"/>
      <c r="M455" s="41" t="n"/>
      <c r="N455" s="41" t="n"/>
      <c r="O455" s="43" t="n"/>
      <c r="P455" s="43" t="n"/>
      <c r="Q455" s="44" t="str">
        <f>IF($AM455=0,"",IF(ISNUMBER($AK455),$AK455-N($AL455),""))</f>
        <v/>
      </c>
      <c r="R455" s="45" t="str">
        <f>IF(OR($Q455="",NOT(ISNUMBER($V455))),"",$AK455/$V455)</f>
        <v/>
      </c>
      <c r="S455" s="46" t="str">
        <f>IF($Q455="","",IF(AND(ISNUMBER($R455),ABS(N($R455))&lt;N(Settings!$C$8)),"Scratch",IF($Q455&gt;0,"Win",IF($Q455&lt;0,"Loss","Scratch"))))</f>
        <v/>
      </c>
      <c r="T455" s="47" t="str">
        <f>IF(OR($AM455=0,NOT(ISNUMBER($H455)),NOT(ISNUMBER($I455)),NOT(ISNUMBER($J455))),"",IF($H455=$I455,"",ROUND(ABS($J455-$H455)/ABS($H455-$I455),6)))</f>
        <v/>
      </c>
      <c r="U455" s="48" t="str">
        <f>IF(OR($S455&lt;&gt;"Win",NOT(ISNUMBER($T455)),NOT(ISNUMBER($R455))),"",MAX(0,$T455-$R455))</f>
        <v/>
      </c>
      <c r="V455" s="49" t="str">
        <f>IF(OR($AM455=0,NOT(ISNUMBER($H455)),NOT(ISNUMBER($I455)),NOT(ISNUMBER($G455))),"",IF(OR($AG455="",$AH455=""),"",IF(ROUND(ABS($H455-$I455)*ABS($G455)*$AG455*$AH455,6)=0,"",ROUND(ABS($H455-$I455)*ABS($G455)*$AG455*$AH455,6))))</f>
        <v/>
      </c>
      <c r="W455" s="50" t="str">
        <f>IF($AM455=0,"",IF($BG455="","OK",LEFT($BG455,LEN($BG455)-2)))</f>
        <v/>
      </c>
      <c r="X455" s="41" t="n"/>
      <c r="Y455" s="40" t="n"/>
      <c r="Z455" s="41" t="n"/>
      <c r="AA455" s="41" t="n"/>
      <c r="AB455" s="40" t="n"/>
      <c r="AC455" s="51" t="n"/>
      <c r="AD455" s="51" t="n"/>
      <c r="AE455" s="40" t="n"/>
      <c r="AF455" s="52" t="str">
        <f>IF($AM455=0,"",IF($D455&lt;&gt;"",$D455,IF(IFERROR(INDEX(Accounts!$C$7:$C$16,MATCH($C455,Accounts!$B$7:$B$16,0))&amp;"","")&lt;&gt;"",INDEX(Accounts!$C$7:$C$16,MATCH($C455,Accounts!$B$7:$B$16,0)),Settings!$C$6)))</f>
        <v/>
      </c>
      <c r="AG455" s="53" t="str">
        <f>IF($AM455=0,"",IF(AND($BE455&gt;0,N(INDEX(Instruments!$D$6:$D$205,MAX(1,$BE455)))&gt;0),INDEX(Instruments!$D$6:$D$205,MAX(1,$BE455)),IF(N(INDEX(Settings!$D$14:$D$18,$BF455))&gt;0,INDEX(Settings!$D$14:$D$18,$BF455),"")))</f>
        <v/>
      </c>
      <c r="AH455" s="54" t="str">
        <f>IF($AM455=0,"",IF($AF455&lt;&gt;"Forex",1,IF(MID(UPPER(SUBSTITUTE(TRIM($E455),"/","")),4,3)=UPPER(TRIM(Settings!$C$7)),1,IF(LEFT(UPPER(SUBSTITUTE(TRIM($E455),"/","")),3)=UPPER(TRIM(Settings!$C$7)),IF(AND(ISNUMBER($K455),N($K455)&lt;&gt;0),1/$K455,""),""))))</f>
        <v/>
      </c>
      <c r="AI455" s="55" t="str">
        <f>IF($AM455=0,"",IF(OR(NOT(ISNUMBER($H455)),NOT(ISNUMBER($K455)),NOT(ISNUMBER($G455)),$AG455="",$AH455=""),"",ROUND(($K455-$H455)*IF($F455="Short",-1,1)*$G455*$AG455*$AH455,6)))</f>
        <v/>
      </c>
      <c r="AJ455" s="55" t="str">
        <f>IF($AM455=0,"",IF(INDEX(Settings!$E$14:$E$18,$BF455)="% of notional",IF(OR($AG455="",NOT(ISNUMBER($H455)),NOT(ISNUMBER($G455))),"",ROUND(ABS($H455*$G455*$AG455*N($AH455))*IF($L455="Limit",N(INDEX(Settings!$G$14:$G$18,$BF455)),N(INDEX(Settings!$H$14:$H$18,$BF455)))+IF(ISNUMBER($K455),ABS($K455*$G455*$AG455*N($AH455))*IF($M455="Target",N(INDEX(Settings!$G$14:$G$18,$BF455)),N(INDEX(Settings!$H$14:$H$18,$BF455))),0),6)),IF(NOT(ISNUMBER($G455)),"",ROUND(ABS($G455)*2*IF(AND($BE455&gt;0,ISNUMBER(INDEX(Instruments!$G$6:$G$205,MAX(1,$BE455)))),INDEX(Instruments!$G$6:$G$205,MAX(1,$BE455)),N(INDEX(Settings!$F$14:$F$18,$BF455))),6))))</f>
        <v/>
      </c>
      <c r="AK455" s="55" t="str">
        <f>IF($AM455=0,"",IF(ISNUMBER($O455),$O455,$AI455))</f>
        <v/>
      </c>
      <c r="AL455" s="55" t="str">
        <f>IF($AM455=0,"",IF(ISNUMBER($P455),$P455,N($AJ455)))</f>
        <v/>
      </c>
      <c r="AM455" s="56">
        <f>IF(AND($A455&lt;&gt;"",$E455&lt;&gt;"",OR(AND(ISNUMBER($G455),ISNUMBER($H455),ISNUMBER($K455)),ISNUMBER($O455))),1,0)</f>
        <v>0</v>
      </c>
      <c r="AN455" s="57" t="str">
        <f>IF($A455="","",$A455-WEEKDAY($A455,3))</f>
        <v/>
      </c>
      <c r="AO455" s="56" t="str">
        <f>IF($A455="","",WEEKDAY($A455,2))</f>
        <v/>
      </c>
      <c r="AP455" s="55" t="str">
        <f>IF(OR($AM455=0,$C455=""),"",IFERROR(N(INDEX(Accounts!$E$7:$E$16,MATCH($C455,Accounts!$B$7:$B$16,0))),0)+SUMIFS($Q$6:$Q455,$C$6:$C455,$C455))</f>
        <v/>
      </c>
      <c r="AQ455" s="55" t="str">
        <f>IF(OR($AM455=0,$C455=""),"",SUMIFS($Q$6:$Q$1005,$C$6:$C$1005,$C455,$A$6:$A$1005,$A455))</f>
        <v/>
      </c>
      <c r="AR455" s="55" t="str">
        <f>IF(OR($AM455=0,$C455=""),"",IFERROR(N(INDEX(Accounts!$E$7:$E$16,MATCH($C455,Accounts!$B$7:$B$16,0))),0)+SUMIFS($Q$6:$Q$1005,$C$6:$C$1005,$C455,$A$6:$A$1005,"&lt;="&amp;$A455))</f>
        <v/>
      </c>
      <c r="AS455" s="56">
        <f>IF(OR($AM455=0,$Q455=""),0,IF(AND($A455&gt;=Lists!$W$6,$A455&lt;=Lists!$W$7,OR(Dashboard!$D$6="All accounts",$C455=Dashboard!$D$6),OR(Dashboard!$D$7="All markets",$AF455=Dashboard!$D$7)),1,0))</f>
        <v>0</v>
      </c>
      <c r="AT455" s="55">
        <f>IF($AS455=1,N(AT454)+$Q455,N(AT454))</f>
        <v>1187.10688</v>
      </c>
      <c r="AU455" s="55">
        <f>MAX(N(AU454),$AT455)</f>
        <v>1187.10688</v>
      </c>
      <c r="AV455" s="55">
        <f>$AT455-$AU455</f>
        <v>0</v>
      </c>
      <c r="AW455" s="56">
        <f>IF($AS455=1,IF($S455="Win",N(AW454)+1,IF($S455="Loss",0,N(AW454))),N(AW454))</f>
        <v>5</v>
      </c>
      <c r="AX455" s="56">
        <f>IF($AS455=1,IF($S455="Loss",N(AX454)+1,IF($S455="Win",0,N(AX454))),N(AX454))</f>
        <v>0</v>
      </c>
      <c r="AY455" s="56" t="str">
        <f>IF($AS455=1,COUNTIF($AS$6:$AS455,1),"")</f>
        <v/>
      </c>
      <c r="AZ455" s="56">
        <f>MIN(449,N(Lists!$W$8))</f>
        <v>28</v>
      </c>
      <c r="BA455" s="56">
        <f>IF($AS455=1,IF(COUNTIFS($A$6:$A455,$A455,$AS$6:$AS455,1)=1,1,0),0)</f>
        <v>0</v>
      </c>
      <c r="BB455" s="55" t="str">
        <f>IF($BA455=1,SUMIFS($Q$6:$Q$1005,$A$6:$A$1005,$A455,$AS$6:$AS$1005,1),"")</f>
        <v/>
      </c>
      <c r="BC455" s="56">
        <f>IF(ISNUMBER($R455),1,0)</f>
        <v>0</v>
      </c>
      <c r="BD455" s="55" t="str">
        <f>IF(ISNUMBER($U455),$U455*$V455,"")</f>
        <v/>
      </c>
      <c r="BE455" s="56" t="str">
        <f>IF($AM455=0,"",IFERROR(MATCH($AF455&amp;"|"&amp;UPPER(TRIM($E455)),Lists!$A$6:$A$205,0),0))</f>
        <v/>
      </c>
      <c r="BF455" s="56" t="str">
        <f>IF($AM455=0,"",IFERROR(MATCH($AF455,Settings!$B$14:$B$18,0),IFERROR(MATCH(Settings!$C$6,Settings!$B$14:$B$18,0),1)))</f>
        <v/>
      </c>
      <c r="BG455" s="58" t="str">
        <f>IF($AM455=0,"",IF(NOT(ISNUMBER($I455)),"No stop; ","")&amp;IF(AND(ISNUMBER($H455),ISNUMBER($I455)),IF(OR(AND($F455&lt;&gt;"Short",$I455&gt;=$H455),AND($F455="Short",$I455&lt;=$H455)),"Stop on wrong side; ",""),"")&amp;IF($F455="","No direction; ","")&amp;IF(AND(ISNUMBER(Settings!$C$22),ISNUMBER($V455)),IF($V455&gt;Settings!$C$22,"Risk over max $; ",""),"")&amp;IF(AND(ISNUMBER(Settings!$C$23),ISNUMBER($V455),ISNUMBER($AP455),IFERROR(N(INDEX(Accounts!$E$7:$E$16,MATCH($C455,Accounts!$B$7:$B$16,0))),0)&gt;0),IF($V455&gt;Settings!$C$23*($AP455-N($Q455)),"Risk over max %; ",""),"")&amp;IF(AND(ISNUMBER(Settings!$C$24),ISNUMBER($N455)),IF($N455&gt;Settings!$C$24,"Leverage over max; ",""),"")&amp;IF(AND(ISNUMBER(Settings!$C$27),ISNUMBER($T455)),IF($T455&lt;Settings!$C$27,"R:R below min; ",""),"")&amp;IF(ISNUMBER(Settings!$C$25),IF(COUNTIFS($A$6:$A455,$A455,$AM$6:$AM455,1)&gt;Settings!$C$25,"Over max trades/day; ",""),"")&amp;IF(ISNUMBER(Settings!$C$26),IF(SUMIFS($Q$5:$Q454,$A$5:$A454,$A455)&lt;=-Settings!$C$26,"Traded after daily max loss; ",""),"")&amp;IF(AND($AG455="",NOT(ISNUMBER($O455))),"Symbol not in Instruments; ","")&amp;IF(AND($AH455="",NOT(ISNUMBER($O455))),"Forex cross: type Gross P&amp;L; ",""))</f>
        <v/>
      </c>
      <c r="BH455" s="56">
        <f>IF(ISNUMBER($Q455),1,0)</f>
        <v>0</v>
      </c>
      <c r="BI455" s="56">
        <f>IF($Y455="",0,1)</f>
        <v>0</v>
      </c>
      <c r="BJ455" s="56">
        <f>IF($AB455="",0,1)</f>
        <v>0</v>
      </c>
      <c r="BK455" s="56">
        <f>IF(AND($BH455=1,$W455&lt;&gt;"OK"),1,0)</f>
        <v>0</v>
      </c>
      <c r="BL455" s="55">
        <f>IF(N($AZ455)=0,0,IFERROR(INDEX($AT$6:$AT$1005,MATCH($AZ455,$AY$6:$AY$1005,0)),0))</f>
        <v>1187.10688</v>
      </c>
      <c r="BM455" s="56">
        <f>IF(ISNUMBER(SEARCH("daily max loss",$BG455)),1,0)</f>
        <v>0</v>
      </c>
    </row>
    <row r="456" ht="18" customHeight="1">
      <c r="A456" s="38" t="n"/>
      <c r="B456" s="39" t="n"/>
      <c r="C456" s="40" t="n"/>
      <c r="D456" s="41" t="n"/>
      <c r="E456" s="41" t="n"/>
      <c r="F456" s="41" t="n"/>
      <c r="G456" s="41" t="n"/>
      <c r="H456" s="42" t="n"/>
      <c r="I456" s="42" t="n"/>
      <c r="J456" s="42" t="n"/>
      <c r="K456" s="42" t="n"/>
      <c r="L456" s="41" t="n"/>
      <c r="M456" s="41" t="n"/>
      <c r="N456" s="41" t="n"/>
      <c r="O456" s="43" t="n"/>
      <c r="P456" s="43" t="n"/>
      <c r="Q456" s="44" t="str">
        <f>IF($AM456=0,"",IF(ISNUMBER($AK456),$AK456-N($AL456),""))</f>
        <v/>
      </c>
      <c r="R456" s="45" t="str">
        <f>IF(OR($Q456="",NOT(ISNUMBER($V456))),"",$AK456/$V456)</f>
        <v/>
      </c>
      <c r="S456" s="46" t="str">
        <f>IF($Q456="","",IF(AND(ISNUMBER($R456),ABS(N($R456))&lt;N(Settings!$C$8)),"Scratch",IF($Q456&gt;0,"Win",IF($Q456&lt;0,"Loss","Scratch"))))</f>
        <v/>
      </c>
      <c r="T456" s="47" t="str">
        <f>IF(OR($AM456=0,NOT(ISNUMBER($H456)),NOT(ISNUMBER($I456)),NOT(ISNUMBER($J456))),"",IF($H456=$I456,"",ROUND(ABS($J456-$H456)/ABS($H456-$I456),6)))</f>
        <v/>
      </c>
      <c r="U456" s="48" t="str">
        <f>IF(OR($S456&lt;&gt;"Win",NOT(ISNUMBER($T456)),NOT(ISNUMBER($R456))),"",MAX(0,$T456-$R456))</f>
        <v/>
      </c>
      <c r="V456" s="49" t="str">
        <f>IF(OR($AM456=0,NOT(ISNUMBER($H456)),NOT(ISNUMBER($I456)),NOT(ISNUMBER($G456))),"",IF(OR($AG456="",$AH456=""),"",IF(ROUND(ABS($H456-$I456)*ABS($G456)*$AG456*$AH456,6)=0,"",ROUND(ABS($H456-$I456)*ABS($G456)*$AG456*$AH456,6))))</f>
        <v/>
      </c>
      <c r="W456" s="50" t="str">
        <f>IF($AM456=0,"",IF($BG456="","OK",LEFT($BG456,LEN($BG456)-2)))</f>
        <v/>
      </c>
      <c r="X456" s="41" t="n"/>
      <c r="Y456" s="40" t="n"/>
      <c r="Z456" s="41" t="n"/>
      <c r="AA456" s="41" t="n"/>
      <c r="AB456" s="40" t="n"/>
      <c r="AC456" s="51" t="n"/>
      <c r="AD456" s="51" t="n"/>
      <c r="AE456" s="40" t="n"/>
      <c r="AF456" s="52" t="str">
        <f>IF($AM456=0,"",IF($D456&lt;&gt;"",$D456,IF(IFERROR(INDEX(Accounts!$C$7:$C$16,MATCH($C456,Accounts!$B$7:$B$16,0))&amp;"","")&lt;&gt;"",INDEX(Accounts!$C$7:$C$16,MATCH($C456,Accounts!$B$7:$B$16,0)),Settings!$C$6)))</f>
        <v/>
      </c>
      <c r="AG456" s="53" t="str">
        <f>IF($AM456=0,"",IF(AND($BE456&gt;0,N(INDEX(Instruments!$D$6:$D$205,MAX(1,$BE456)))&gt;0),INDEX(Instruments!$D$6:$D$205,MAX(1,$BE456)),IF(N(INDEX(Settings!$D$14:$D$18,$BF456))&gt;0,INDEX(Settings!$D$14:$D$18,$BF456),"")))</f>
        <v/>
      </c>
      <c r="AH456" s="54" t="str">
        <f>IF($AM456=0,"",IF($AF456&lt;&gt;"Forex",1,IF(MID(UPPER(SUBSTITUTE(TRIM($E456),"/","")),4,3)=UPPER(TRIM(Settings!$C$7)),1,IF(LEFT(UPPER(SUBSTITUTE(TRIM($E456),"/","")),3)=UPPER(TRIM(Settings!$C$7)),IF(AND(ISNUMBER($K456),N($K456)&lt;&gt;0),1/$K456,""),""))))</f>
        <v/>
      </c>
      <c r="AI456" s="55" t="str">
        <f>IF($AM456=0,"",IF(OR(NOT(ISNUMBER($H456)),NOT(ISNUMBER($K456)),NOT(ISNUMBER($G456)),$AG456="",$AH456=""),"",ROUND(($K456-$H456)*IF($F456="Short",-1,1)*$G456*$AG456*$AH456,6)))</f>
        <v/>
      </c>
      <c r="AJ456" s="55" t="str">
        <f>IF($AM456=0,"",IF(INDEX(Settings!$E$14:$E$18,$BF456)="% of notional",IF(OR($AG456="",NOT(ISNUMBER($H456)),NOT(ISNUMBER($G456))),"",ROUND(ABS($H456*$G456*$AG456*N($AH456))*IF($L456="Limit",N(INDEX(Settings!$G$14:$G$18,$BF456)),N(INDEX(Settings!$H$14:$H$18,$BF456)))+IF(ISNUMBER($K456),ABS($K456*$G456*$AG456*N($AH456))*IF($M456="Target",N(INDEX(Settings!$G$14:$G$18,$BF456)),N(INDEX(Settings!$H$14:$H$18,$BF456))),0),6)),IF(NOT(ISNUMBER($G456)),"",ROUND(ABS($G456)*2*IF(AND($BE456&gt;0,ISNUMBER(INDEX(Instruments!$G$6:$G$205,MAX(1,$BE456)))),INDEX(Instruments!$G$6:$G$205,MAX(1,$BE456)),N(INDEX(Settings!$F$14:$F$18,$BF456))),6))))</f>
        <v/>
      </c>
      <c r="AK456" s="55" t="str">
        <f>IF($AM456=0,"",IF(ISNUMBER($O456),$O456,$AI456))</f>
        <v/>
      </c>
      <c r="AL456" s="55" t="str">
        <f>IF($AM456=0,"",IF(ISNUMBER($P456),$P456,N($AJ456)))</f>
        <v/>
      </c>
      <c r="AM456" s="56">
        <f>IF(AND($A456&lt;&gt;"",$E456&lt;&gt;"",OR(AND(ISNUMBER($G456),ISNUMBER($H456),ISNUMBER($K456)),ISNUMBER($O456))),1,0)</f>
        <v>0</v>
      </c>
      <c r="AN456" s="57" t="str">
        <f>IF($A456="","",$A456-WEEKDAY($A456,3))</f>
        <v/>
      </c>
      <c r="AO456" s="56" t="str">
        <f>IF($A456="","",WEEKDAY($A456,2))</f>
        <v/>
      </c>
      <c r="AP456" s="55" t="str">
        <f>IF(OR($AM456=0,$C456=""),"",IFERROR(N(INDEX(Accounts!$E$7:$E$16,MATCH($C456,Accounts!$B$7:$B$16,0))),0)+SUMIFS($Q$6:$Q456,$C$6:$C456,$C456))</f>
        <v/>
      </c>
      <c r="AQ456" s="55" t="str">
        <f>IF(OR($AM456=0,$C456=""),"",SUMIFS($Q$6:$Q$1005,$C$6:$C$1005,$C456,$A$6:$A$1005,$A456))</f>
        <v/>
      </c>
      <c r="AR456" s="55" t="str">
        <f>IF(OR($AM456=0,$C456=""),"",IFERROR(N(INDEX(Accounts!$E$7:$E$16,MATCH($C456,Accounts!$B$7:$B$16,0))),0)+SUMIFS($Q$6:$Q$1005,$C$6:$C$1005,$C456,$A$6:$A$1005,"&lt;="&amp;$A456))</f>
        <v/>
      </c>
      <c r="AS456" s="56">
        <f>IF(OR($AM456=0,$Q456=""),0,IF(AND($A456&gt;=Lists!$W$6,$A456&lt;=Lists!$W$7,OR(Dashboard!$D$6="All accounts",$C456=Dashboard!$D$6),OR(Dashboard!$D$7="All markets",$AF456=Dashboard!$D$7)),1,0))</f>
        <v>0</v>
      </c>
      <c r="AT456" s="55">
        <f>IF($AS456=1,N(AT455)+$Q456,N(AT455))</f>
        <v>1187.10688</v>
      </c>
      <c r="AU456" s="55">
        <f>MAX(N(AU455),$AT456)</f>
        <v>1187.10688</v>
      </c>
      <c r="AV456" s="55">
        <f>$AT456-$AU456</f>
        <v>0</v>
      </c>
      <c r="AW456" s="56">
        <f>IF($AS456=1,IF($S456="Win",N(AW455)+1,IF($S456="Loss",0,N(AW455))),N(AW455))</f>
        <v>5</v>
      </c>
      <c r="AX456" s="56">
        <f>IF($AS456=1,IF($S456="Loss",N(AX455)+1,IF($S456="Win",0,N(AX455))),N(AX455))</f>
        <v>0</v>
      </c>
      <c r="AY456" s="56" t="str">
        <f>IF($AS456=1,COUNTIF($AS$6:$AS456,1),"")</f>
        <v/>
      </c>
      <c r="AZ456" s="56">
        <f>MIN(450,N(Lists!$W$8))</f>
        <v>28</v>
      </c>
      <c r="BA456" s="56">
        <f>IF($AS456=1,IF(COUNTIFS($A$6:$A456,$A456,$AS$6:$AS456,1)=1,1,0),0)</f>
        <v>0</v>
      </c>
      <c r="BB456" s="55" t="str">
        <f>IF($BA456=1,SUMIFS($Q$6:$Q$1005,$A$6:$A$1005,$A456,$AS$6:$AS$1005,1),"")</f>
        <v/>
      </c>
      <c r="BC456" s="56">
        <f>IF(ISNUMBER($R456),1,0)</f>
        <v>0</v>
      </c>
      <c r="BD456" s="55" t="str">
        <f>IF(ISNUMBER($U456),$U456*$V456,"")</f>
        <v/>
      </c>
      <c r="BE456" s="56" t="str">
        <f>IF($AM456=0,"",IFERROR(MATCH($AF456&amp;"|"&amp;UPPER(TRIM($E456)),Lists!$A$6:$A$205,0),0))</f>
        <v/>
      </c>
      <c r="BF456" s="56" t="str">
        <f>IF($AM456=0,"",IFERROR(MATCH($AF456,Settings!$B$14:$B$18,0),IFERROR(MATCH(Settings!$C$6,Settings!$B$14:$B$18,0),1)))</f>
        <v/>
      </c>
      <c r="BG456" s="58" t="str">
        <f>IF($AM456=0,"",IF(NOT(ISNUMBER($I456)),"No stop; ","")&amp;IF(AND(ISNUMBER($H456),ISNUMBER($I456)),IF(OR(AND($F456&lt;&gt;"Short",$I456&gt;=$H456),AND($F456="Short",$I456&lt;=$H456)),"Stop on wrong side; ",""),"")&amp;IF($F456="","No direction; ","")&amp;IF(AND(ISNUMBER(Settings!$C$22),ISNUMBER($V456)),IF($V456&gt;Settings!$C$22,"Risk over max $; ",""),"")&amp;IF(AND(ISNUMBER(Settings!$C$23),ISNUMBER($V456),ISNUMBER($AP456),IFERROR(N(INDEX(Accounts!$E$7:$E$16,MATCH($C456,Accounts!$B$7:$B$16,0))),0)&gt;0),IF($V456&gt;Settings!$C$23*($AP456-N($Q456)),"Risk over max %; ",""),"")&amp;IF(AND(ISNUMBER(Settings!$C$24),ISNUMBER($N456)),IF($N456&gt;Settings!$C$24,"Leverage over max; ",""),"")&amp;IF(AND(ISNUMBER(Settings!$C$27),ISNUMBER($T456)),IF($T456&lt;Settings!$C$27,"R:R below min; ",""),"")&amp;IF(ISNUMBER(Settings!$C$25),IF(COUNTIFS($A$6:$A456,$A456,$AM$6:$AM456,1)&gt;Settings!$C$25,"Over max trades/day; ",""),"")&amp;IF(ISNUMBER(Settings!$C$26),IF(SUMIFS($Q$5:$Q455,$A$5:$A455,$A456)&lt;=-Settings!$C$26,"Traded after daily max loss; ",""),"")&amp;IF(AND($AG456="",NOT(ISNUMBER($O456))),"Symbol not in Instruments; ","")&amp;IF(AND($AH456="",NOT(ISNUMBER($O456))),"Forex cross: type Gross P&amp;L; ",""))</f>
        <v/>
      </c>
      <c r="BH456" s="56">
        <f>IF(ISNUMBER($Q456),1,0)</f>
        <v>0</v>
      </c>
      <c r="BI456" s="56">
        <f>IF($Y456="",0,1)</f>
        <v>0</v>
      </c>
      <c r="BJ456" s="56">
        <f>IF($AB456="",0,1)</f>
        <v>0</v>
      </c>
      <c r="BK456" s="56">
        <f>IF(AND($BH456=1,$W456&lt;&gt;"OK"),1,0)</f>
        <v>0</v>
      </c>
      <c r="BL456" s="55">
        <f>IF(N($AZ456)=0,0,IFERROR(INDEX($AT$6:$AT$1005,MATCH($AZ456,$AY$6:$AY$1005,0)),0))</f>
        <v>1187.10688</v>
      </c>
      <c r="BM456" s="56">
        <f>IF(ISNUMBER(SEARCH("daily max loss",$BG456)),1,0)</f>
        <v>0</v>
      </c>
    </row>
    <row r="457" ht="18" customHeight="1">
      <c r="A457" s="38" t="n"/>
      <c r="B457" s="39" t="n"/>
      <c r="C457" s="40" t="n"/>
      <c r="D457" s="41" t="n"/>
      <c r="E457" s="41" t="n"/>
      <c r="F457" s="41" t="n"/>
      <c r="G457" s="41" t="n"/>
      <c r="H457" s="42" t="n"/>
      <c r="I457" s="42" t="n"/>
      <c r="J457" s="42" t="n"/>
      <c r="K457" s="42" t="n"/>
      <c r="L457" s="41" t="n"/>
      <c r="M457" s="41" t="n"/>
      <c r="N457" s="41" t="n"/>
      <c r="O457" s="43" t="n"/>
      <c r="P457" s="43" t="n"/>
      <c r="Q457" s="44" t="str">
        <f>IF($AM457=0,"",IF(ISNUMBER($AK457),$AK457-N($AL457),""))</f>
        <v/>
      </c>
      <c r="R457" s="45" t="str">
        <f>IF(OR($Q457="",NOT(ISNUMBER($V457))),"",$AK457/$V457)</f>
        <v/>
      </c>
      <c r="S457" s="46" t="str">
        <f>IF($Q457="","",IF(AND(ISNUMBER($R457),ABS(N($R457))&lt;N(Settings!$C$8)),"Scratch",IF($Q457&gt;0,"Win",IF($Q457&lt;0,"Loss","Scratch"))))</f>
        <v/>
      </c>
      <c r="T457" s="47" t="str">
        <f>IF(OR($AM457=0,NOT(ISNUMBER($H457)),NOT(ISNUMBER($I457)),NOT(ISNUMBER($J457))),"",IF($H457=$I457,"",ROUND(ABS($J457-$H457)/ABS($H457-$I457),6)))</f>
        <v/>
      </c>
      <c r="U457" s="48" t="str">
        <f>IF(OR($S457&lt;&gt;"Win",NOT(ISNUMBER($T457)),NOT(ISNUMBER($R457))),"",MAX(0,$T457-$R457))</f>
        <v/>
      </c>
      <c r="V457" s="49" t="str">
        <f>IF(OR($AM457=0,NOT(ISNUMBER($H457)),NOT(ISNUMBER($I457)),NOT(ISNUMBER($G457))),"",IF(OR($AG457="",$AH457=""),"",IF(ROUND(ABS($H457-$I457)*ABS($G457)*$AG457*$AH457,6)=0,"",ROUND(ABS($H457-$I457)*ABS($G457)*$AG457*$AH457,6))))</f>
        <v/>
      </c>
      <c r="W457" s="50" t="str">
        <f>IF($AM457=0,"",IF($BG457="","OK",LEFT($BG457,LEN($BG457)-2)))</f>
        <v/>
      </c>
      <c r="X457" s="41" t="n"/>
      <c r="Y457" s="40" t="n"/>
      <c r="Z457" s="41" t="n"/>
      <c r="AA457" s="41" t="n"/>
      <c r="AB457" s="40" t="n"/>
      <c r="AC457" s="51" t="n"/>
      <c r="AD457" s="51" t="n"/>
      <c r="AE457" s="40" t="n"/>
      <c r="AF457" s="52" t="str">
        <f>IF($AM457=0,"",IF($D457&lt;&gt;"",$D457,IF(IFERROR(INDEX(Accounts!$C$7:$C$16,MATCH($C457,Accounts!$B$7:$B$16,0))&amp;"","")&lt;&gt;"",INDEX(Accounts!$C$7:$C$16,MATCH($C457,Accounts!$B$7:$B$16,0)),Settings!$C$6)))</f>
        <v/>
      </c>
      <c r="AG457" s="53" t="str">
        <f>IF($AM457=0,"",IF(AND($BE457&gt;0,N(INDEX(Instruments!$D$6:$D$205,MAX(1,$BE457)))&gt;0),INDEX(Instruments!$D$6:$D$205,MAX(1,$BE457)),IF(N(INDEX(Settings!$D$14:$D$18,$BF457))&gt;0,INDEX(Settings!$D$14:$D$18,$BF457),"")))</f>
        <v/>
      </c>
      <c r="AH457" s="54" t="str">
        <f>IF($AM457=0,"",IF($AF457&lt;&gt;"Forex",1,IF(MID(UPPER(SUBSTITUTE(TRIM($E457),"/","")),4,3)=UPPER(TRIM(Settings!$C$7)),1,IF(LEFT(UPPER(SUBSTITUTE(TRIM($E457),"/","")),3)=UPPER(TRIM(Settings!$C$7)),IF(AND(ISNUMBER($K457),N($K457)&lt;&gt;0),1/$K457,""),""))))</f>
        <v/>
      </c>
      <c r="AI457" s="55" t="str">
        <f>IF($AM457=0,"",IF(OR(NOT(ISNUMBER($H457)),NOT(ISNUMBER($K457)),NOT(ISNUMBER($G457)),$AG457="",$AH457=""),"",ROUND(($K457-$H457)*IF($F457="Short",-1,1)*$G457*$AG457*$AH457,6)))</f>
        <v/>
      </c>
      <c r="AJ457" s="55" t="str">
        <f>IF($AM457=0,"",IF(INDEX(Settings!$E$14:$E$18,$BF457)="% of notional",IF(OR($AG457="",NOT(ISNUMBER($H457)),NOT(ISNUMBER($G457))),"",ROUND(ABS($H457*$G457*$AG457*N($AH457))*IF($L457="Limit",N(INDEX(Settings!$G$14:$G$18,$BF457)),N(INDEX(Settings!$H$14:$H$18,$BF457)))+IF(ISNUMBER($K457),ABS($K457*$G457*$AG457*N($AH457))*IF($M457="Target",N(INDEX(Settings!$G$14:$G$18,$BF457)),N(INDEX(Settings!$H$14:$H$18,$BF457))),0),6)),IF(NOT(ISNUMBER($G457)),"",ROUND(ABS($G457)*2*IF(AND($BE457&gt;0,ISNUMBER(INDEX(Instruments!$G$6:$G$205,MAX(1,$BE457)))),INDEX(Instruments!$G$6:$G$205,MAX(1,$BE457)),N(INDEX(Settings!$F$14:$F$18,$BF457))),6))))</f>
        <v/>
      </c>
      <c r="AK457" s="55" t="str">
        <f>IF($AM457=0,"",IF(ISNUMBER($O457),$O457,$AI457))</f>
        <v/>
      </c>
      <c r="AL457" s="55" t="str">
        <f>IF($AM457=0,"",IF(ISNUMBER($P457),$P457,N($AJ457)))</f>
        <v/>
      </c>
      <c r="AM457" s="56">
        <f>IF(AND($A457&lt;&gt;"",$E457&lt;&gt;"",OR(AND(ISNUMBER($G457),ISNUMBER($H457),ISNUMBER($K457)),ISNUMBER($O457))),1,0)</f>
        <v>0</v>
      </c>
      <c r="AN457" s="57" t="str">
        <f>IF($A457="","",$A457-WEEKDAY($A457,3))</f>
        <v/>
      </c>
      <c r="AO457" s="56" t="str">
        <f>IF($A457="","",WEEKDAY($A457,2))</f>
        <v/>
      </c>
      <c r="AP457" s="55" t="str">
        <f>IF(OR($AM457=0,$C457=""),"",IFERROR(N(INDEX(Accounts!$E$7:$E$16,MATCH($C457,Accounts!$B$7:$B$16,0))),0)+SUMIFS($Q$6:$Q457,$C$6:$C457,$C457))</f>
        <v/>
      </c>
      <c r="AQ457" s="55" t="str">
        <f>IF(OR($AM457=0,$C457=""),"",SUMIFS($Q$6:$Q$1005,$C$6:$C$1005,$C457,$A$6:$A$1005,$A457))</f>
        <v/>
      </c>
      <c r="AR457" s="55" t="str">
        <f>IF(OR($AM457=0,$C457=""),"",IFERROR(N(INDEX(Accounts!$E$7:$E$16,MATCH($C457,Accounts!$B$7:$B$16,0))),0)+SUMIFS($Q$6:$Q$1005,$C$6:$C$1005,$C457,$A$6:$A$1005,"&lt;="&amp;$A457))</f>
        <v/>
      </c>
      <c r="AS457" s="56">
        <f>IF(OR($AM457=0,$Q457=""),0,IF(AND($A457&gt;=Lists!$W$6,$A457&lt;=Lists!$W$7,OR(Dashboard!$D$6="All accounts",$C457=Dashboard!$D$6),OR(Dashboard!$D$7="All markets",$AF457=Dashboard!$D$7)),1,0))</f>
        <v>0</v>
      </c>
      <c r="AT457" s="55">
        <f>IF($AS457=1,N(AT456)+$Q457,N(AT456))</f>
        <v>1187.10688</v>
      </c>
      <c r="AU457" s="55">
        <f>MAX(N(AU456),$AT457)</f>
        <v>1187.10688</v>
      </c>
      <c r="AV457" s="55">
        <f>$AT457-$AU457</f>
        <v>0</v>
      </c>
      <c r="AW457" s="56">
        <f>IF($AS457=1,IF($S457="Win",N(AW456)+1,IF($S457="Loss",0,N(AW456))),N(AW456))</f>
        <v>5</v>
      </c>
      <c r="AX457" s="56">
        <f>IF($AS457=1,IF($S457="Loss",N(AX456)+1,IF($S457="Win",0,N(AX456))),N(AX456))</f>
        <v>0</v>
      </c>
      <c r="AY457" s="56" t="str">
        <f>IF($AS457=1,COUNTIF($AS$6:$AS457,1),"")</f>
        <v/>
      </c>
      <c r="AZ457" s="56">
        <f>MIN(451,N(Lists!$W$8))</f>
        <v>28</v>
      </c>
      <c r="BA457" s="56">
        <f>IF($AS457=1,IF(COUNTIFS($A$6:$A457,$A457,$AS$6:$AS457,1)=1,1,0),0)</f>
        <v>0</v>
      </c>
      <c r="BB457" s="55" t="str">
        <f>IF($BA457=1,SUMIFS($Q$6:$Q$1005,$A$6:$A$1005,$A457,$AS$6:$AS$1005,1),"")</f>
        <v/>
      </c>
      <c r="BC457" s="56">
        <f>IF(ISNUMBER($R457),1,0)</f>
        <v>0</v>
      </c>
      <c r="BD457" s="55" t="str">
        <f>IF(ISNUMBER($U457),$U457*$V457,"")</f>
        <v/>
      </c>
      <c r="BE457" s="56" t="str">
        <f>IF($AM457=0,"",IFERROR(MATCH($AF457&amp;"|"&amp;UPPER(TRIM($E457)),Lists!$A$6:$A$205,0),0))</f>
        <v/>
      </c>
      <c r="BF457" s="56" t="str">
        <f>IF($AM457=0,"",IFERROR(MATCH($AF457,Settings!$B$14:$B$18,0),IFERROR(MATCH(Settings!$C$6,Settings!$B$14:$B$18,0),1)))</f>
        <v/>
      </c>
      <c r="BG457" s="58" t="str">
        <f>IF($AM457=0,"",IF(NOT(ISNUMBER($I457)),"No stop; ","")&amp;IF(AND(ISNUMBER($H457),ISNUMBER($I457)),IF(OR(AND($F457&lt;&gt;"Short",$I457&gt;=$H457),AND($F457="Short",$I457&lt;=$H457)),"Stop on wrong side; ",""),"")&amp;IF($F457="","No direction; ","")&amp;IF(AND(ISNUMBER(Settings!$C$22),ISNUMBER($V457)),IF($V457&gt;Settings!$C$22,"Risk over max $; ",""),"")&amp;IF(AND(ISNUMBER(Settings!$C$23),ISNUMBER($V457),ISNUMBER($AP457),IFERROR(N(INDEX(Accounts!$E$7:$E$16,MATCH($C457,Accounts!$B$7:$B$16,0))),0)&gt;0),IF($V457&gt;Settings!$C$23*($AP457-N($Q457)),"Risk over max %; ",""),"")&amp;IF(AND(ISNUMBER(Settings!$C$24),ISNUMBER($N457)),IF($N457&gt;Settings!$C$24,"Leverage over max; ",""),"")&amp;IF(AND(ISNUMBER(Settings!$C$27),ISNUMBER($T457)),IF($T457&lt;Settings!$C$27,"R:R below min; ",""),"")&amp;IF(ISNUMBER(Settings!$C$25),IF(COUNTIFS($A$6:$A457,$A457,$AM$6:$AM457,1)&gt;Settings!$C$25,"Over max trades/day; ",""),"")&amp;IF(ISNUMBER(Settings!$C$26),IF(SUMIFS($Q$5:$Q456,$A$5:$A456,$A457)&lt;=-Settings!$C$26,"Traded after daily max loss; ",""),"")&amp;IF(AND($AG457="",NOT(ISNUMBER($O457))),"Symbol not in Instruments; ","")&amp;IF(AND($AH457="",NOT(ISNUMBER($O457))),"Forex cross: type Gross P&amp;L; ",""))</f>
        <v/>
      </c>
      <c r="BH457" s="56">
        <f>IF(ISNUMBER($Q457),1,0)</f>
        <v>0</v>
      </c>
      <c r="BI457" s="56">
        <f>IF($Y457="",0,1)</f>
        <v>0</v>
      </c>
      <c r="BJ457" s="56">
        <f>IF($AB457="",0,1)</f>
        <v>0</v>
      </c>
      <c r="BK457" s="56">
        <f>IF(AND($BH457=1,$W457&lt;&gt;"OK"),1,0)</f>
        <v>0</v>
      </c>
      <c r="BL457" s="55">
        <f>IF(N($AZ457)=0,0,IFERROR(INDEX($AT$6:$AT$1005,MATCH($AZ457,$AY$6:$AY$1005,0)),0))</f>
        <v>1187.10688</v>
      </c>
      <c r="BM457" s="56">
        <f>IF(ISNUMBER(SEARCH("daily max loss",$BG457)),1,0)</f>
        <v>0</v>
      </c>
    </row>
    <row r="458" ht="18" customHeight="1">
      <c r="A458" s="38" t="n"/>
      <c r="B458" s="39" t="n"/>
      <c r="C458" s="40" t="n"/>
      <c r="D458" s="41" t="n"/>
      <c r="E458" s="41" t="n"/>
      <c r="F458" s="41" t="n"/>
      <c r="G458" s="41" t="n"/>
      <c r="H458" s="42" t="n"/>
      <c r="I458" s="42" t="n"/>
      <c r="J458" s="42" t="n"/>
      <c r="K458" s="42" t="n"/>
      <c r="L458" s="41" t="n"/>
      <c r="M458" s="41" t="n"/>
      <c r="N458" s="41" t="n"/>
      <c r="O458" s="43" t="n"/>
      <c r="P458" s="43" t="n"/>
      <c r="Q458" s="44" t="str">
        <f>IF($AM458=0,"",IF(ISNUMBER($AK458),$AK458-N($AL458),""))</f>
        <v/>
      </c>
      <c r="R458" s="45" t="str">
        <f>IF(OR($Q458="",NOT(ISNUMBER($V458))),"",$AK458/$V458)</f>
        <v/>
      </c>
      <c r="S458" s="46" t="str">
        <f>IF($Q458="","",IF(AND(ISNUMBER($R458),ABS(N($R458))&lt;N(Settings!$C$8)),"Scratch",IF($Q458&gt;0,"Win",IF($Q458&lt;0,"Loss","Scratch"))))</f>
        <v/>
      </c>
      <c r="T458" s="47" t="str">
        <f>IF(OR($AM458=0,NOT(ISNUMBER($H458)),NOT(ISNUMBER($I458)),NOT(ISNUMBER($J458))),"",IF($H458=$I458,"",ROUND(ABS($J458-$H458)/ABS($H458-$I458),6)))</f>
        <v/>
      </c>
      <c r="U458" s="48" t="str">
        <f>IF(OR($S458&lt;&gt;"Win",NOT(ISNUMBER($T458)),NOT(ISNUMBER($R458))),"",MAX(0,$T458-$R458))</f>
        <v/>
      </c>
      <c r="V458" s="49" t="str">
        <f>IF(OR($AM458=0,NOT(ISNUMBER($H458)),NOT(ISNUMBER($I458)),NOT(ISNUMBER($G458))),"",IF(OR($AG458="",$AH458=""),"",IF(ROUND(ABS($H458-$I458)*ABS($G458)*$AG458*$AH458,6)=0,"",ROUND(ABS($H458-$I458)*ABS($G458)*$AG458*$AH458,6))))</f>
        <v/>
      </c>
      <c r="W458" s="50" t="str">
        <f>IF($AM458=0,"",IF($BG458="","OK",LEFT($BG458,LEN($BG458)-2)))</f>
        <v/>
      </c>
      <c r="X458" s="41" t="n"/>
      <c r="Y458" s="40" t="n"/>
      <c r="Z458" s="41" t="n"/>
      <c r="AA458" s="41" t="n"/>
      <c r="AB458" s="40" t="n"/>
      <c r="AC458" s="51" t="n"/>
      <c r="AD458" s="51" t="n"/>
      <c r="AE458" s="40" t="n"/>
      <c r="AF458" s="52" t="str">
        <f>IF($AM458=0,"",IF($D458&lt;&gt;"",$D458,IF(IFERROR(INDEX(Accounts!$C$7:$C$16,MATCH($C458,Accounts!$B$7:$B$16,0))&amp;"","")&lt;&gt;"",INDEX(Accounts!$C$7:$C$16,MATCH($C458,Accounts!$B$7:$B$16,0)),Settings!$C$6)))</f>
        <v/>
      </c>
      <c r="AG458" s="53" t="str">
        <f>IF($AM458=0,"",IF(AND($BE458&gt;0,N(INDEX(Instruments!$D$6:$D$205,MAX(1,$BE458)))&gt;0),INDEX(Instruments!$D$6:$D$205,MAX(1,$BE458)),IF(N(INDEX(Settings!$D$14:$D$18,$BF458))&gt;0,INDEX(Settings!$D$14:$D$18,$BF458),"")))</f>
        <v/>
      </c>
      <c r="AH458" s="54" t="str">
        <f>IF($AM458=0,"",IF($AF458&lt;&gt;"Forex",1,IF(MID(UPPER(SUBSTITUTE(TRIM($E458),"/","")),4,3)=UPPER(TRIM(Settings!$C$7)),1,IF(LEFT(UPPER(SUBSTITUTE(TRIM($E458),"/","")),3)=UPPER(TRIM(Settings!$C$7)),IF(AND(ISNUMBER($K458),N($K458)&lt;&gt;0),1/$K458,""),""))))</f>
        <v/>
      </c>
      <c r="AI458" s="55" t="str">
        <f>IF($AM458=0,"",IF(OR(NOT(ISNUMBER($H458)),NOT(ISNUMBER($K458)),NOT(ISNUMBER($G458)),$AG458="",$AH458=""),"",ROUND(($K458-$H458)*IF($F458="Short",-1,1)*$G458*$AG458*$AH458,6)))</f>
        <v/>
      </c>
      <c r="AJ458" s="55" t="str">
        <f>IF($AM458=0,"",IF(INDEX(Settings!$E$14:$E$18,$BF458)="% of notional",IF(OR($AG458="",NOT(ISNUMBER($H458)),NOT(ISNUMBER($G458))),"",ROUND(ABS($H458*$G458*$AG458*N($AH458))*IF($L458="Limit",N(INDEX(Settings!$G$14:$G$18,$BF458)),N(INDEX(Settings!$H$14:$H$18,$BF458)))+IF(ISNUMBER($K458),ABS($K458*$G458*$AG458*N($AH458))*IF($M458="Target",N(INDEX(Settings!$G$14:$G$18,$BF458)),N(INDEX(Settings!$H$14:$H$18,$BF458))),0),6)),IF(NOT(ISNUMBER($G458)),"",ROUND(ABS($G458)*2*IF(AND($BE458&gt;0,ISNUMBER(INDEX(Instruments!$G$6:$G$205,MAX(1,$BE458)))),INDEX(Instruments!$G$6:$G$205,MAX(1,$BE458)),N(INDEX(Settings!$F$14:$F$18,$BF458))),6))))</f>
        <v/>
      </c>
      <c r="AK458" s="55" t="str">
        <f>IF($AM458=0,"",IF(ISNUMBER($O458),$O458,$AI458))</f>
        <v/>
      </c>
      <c r="AL458" s="55" t="str">
        <f>IF($AM458=0,"",IF(ISNUMBER($P458),$P458,N($AJ458)))</f>
        <v/>
      </c>
      <c r="AM458" s="56">
        <f>IF(AND($A458&lt;&gt;"",$E458&lt;&gt;"",OR(AND(ISNUMBER($G458),ISNUMBER($H458),ISNUMBER($K458)),ISNUMBER($O458))),1,0)</f>
        <v>0</v>
      </c>
      <c r="AN458" s="57" t="str">
        <f>IF($A458="","",$A458-WEEKDAY($A458,3))</f>
        <v/>
      </c>
      <c r="AO458" s="56" t="str">
        <f>IF($A458="","",WEEKDAY($A458,2))</f>
        <v/>
      </c>
      <c r="AP458" s="55" t="str">
        <f>IF(OR($AM458=0,$C458=""),"",IFERROR(N(INDEX(Accounts!$E$7:$E$16,MATCH($C458,Accounts!$B$7:$B$16,0))),0)+SUMIFS($Q$6:$Q458,$C$6:$C458,$C458))</f>
        <v/>
      </c>
      <c r="AQ458" s="55" t="str">
        <f>IF(OR($AM458=0,$C458=""),"",SUMIFS($Q$6:$Q$1005,$C$6:$C$1005,$C458,$A$6:$A$1005,$A458))</f>
        <v/>
      </c>
      <c r="AR458" s="55" t="str">
        <f>IF(OR($AM458=0,$C458=""),"",IFERROR(N(INDEX(Accounts!$E$7:$E$16,MATCH($C458,Accounts!$B$7:$B$16,0))),0)+SUMIFS($Q$6:$Q$1005,$C$6:$C$1005,$C458,$A$6:$A$1005,"&lt;="&amp;$A458))</f>
        <v/>
      </c>
      <c r="AS458" s="56">
        <f>IF(OR($AM458=0,$Q458=""),0,IF(AND($A458&gt;=Lists!$W$6,$A458&lt;=Lists!$W$7,OR(Dashboard!$D$6="All accounts",$C458=Dashboard!$D$6),OR(Dashboard!$D$7="All markets",$AF458=Dashboard!$D$7)),1,0))</f>
        <v>0</v>
      </c>
      <c r="AT458" s="55">
        <f>IF($AS458=1,N(AT457)+$Q458,N(AT457))</f>
        <v>1187.10688</v>
      </c>
      <c r="AU458" s="55">
        <f>MAX(N(AU457),$AT458)</f>
        <v>1187.10688</v>
      </c>
      <c r="AV458" s="55">
        <f>$AT458-$AU458</f>
        <v>0</v>
      </c>
      <c r="AW458" s="56">
        <f>IF($AS458=1,IF($S458="Win",N(AW457)+1,IF($S458="Loss",0,N(AW457))),N(AW457))</f>
        <v>5</v>
      </c>
      <c r="AX458" s="56">
        <f>IF($AS458=1,IF($S458="Loss",N(AX457)+1,IF($S458="Win",0,N(AX457))),N(AX457))</f>
        <v>0</v>
      </c>
      <c r="AY458" s="56" t="str">
        <f>IF($AS458=1,COUNTIF($AS$6:$AS458,1),"")</f>
        <v/>
      </c>
      <c r="AZ458" s="56">
        <f>MIN(452,N(Lists!$W$8))</f>
        <v>28</v>
      </c>
      <c r="BA458" s="56">
        <f>IF($AS458=1,IF(COUNTIFS($A$6:$A458,$A458,$AS$6:$AS458,1)=1,1,0),0)</f>
        <v>0</v>
      </c>
      <c r="BB458" s="55" t="str">
        <f>IF($BA458=1,SUMIFS($Q$6:$Q$1005,$A$6:$A$1005,$A458,$AS$6:$AS$1005,1),"")</f>
        <v/>
      </c>
      <c r="BC458" s="56">
        <f>IF(ISNUMBER($R458),1,0)</f>
        <v>0</v>
      </c>
      <c r="BD458" s="55" t="str">
        <f>IF(ISNUMBER($U458),$U458*$V458,"")</f>
        <v/>
      </c>
      <c r="BE458" s="56" t="str">
        <f>IF($AM458=0,"",IFERROR(MATCH($AF458&amp;"|"&amp;UPPER(TRIM($E458)),Lists!$A$6:$A$205,0),0))</f>
        <v/>
      </c>
      <c r="BF458" s="56" t="str">
        <f>IF($AM458=0,"",IFERROR(MATCH($AF458,Settings!$B$14:$B$18,0),IFERROR(MATCH(Settings!$C$6,Settings!$B$14:$B$18,0),1)))</f>
        <v/>
      </c>
      <c r="BG458" s="58" t="str">
        <f>IF($AM458=0,"",IF(NOT(ISNUMBER($I458)),"No stop; ","")&amp;IF(AND(ISNUMBER($H458),ISNUMBER($I458)),IF(OR(AND($F458&lt;&gt;"Short",$I458&gt;=$H458),AND($F458="Short",$I458&lt;=$H458)),"Stop on wrong side; ",""),"")&amp;IF($F458="","No direction; ","")&amp;IF(AND(ISNUMBER(Settings!$C$22),ISNUMBER($V458)),IF($V458&gt;Settings!$C$22,"Risk over max $; ",""),"")&amp;IF(AND(ISNUMBER(Settings!$C$23),ISNUMBER($V458),ISNUMBER($AP458),IFERROR(N(INDEX(Accounts!$E$7:$E$16,MATCH($C458,Accounts!$B$7:$B$16,0))),0)&gt;0),IF($V458&gt;Settings!$C$23*($AP458-N($Q458)),"Risk over max %; ",""),"")&amp;IF(AND(ISNUMBER(Settings!$C$24),ISNUMBER($N458)),IF($N458&gt;Settings!$C$24,"Leverage over max; ",""),"")&amp;IF(AND(ISNUMBER(Settings!$C$27),ISNUMBER($T458)),IF($T458&lt;Settings!$C$27,"R:R below min; ",""),"")&amp;IF(ISNUMBER(Settings!$C$25),IF(COUNTIFS($A$6:$A458,$A458,$AM$6:$AM458,1)&gt;Settings!$C$25,"Over max trades/day; ",""),"")&amp;IF(ISNUMBER(Settings!$C$26),IF(SUMIFS($Q$5:$Q457,$A$5:$A457,$A458)&lt;=-Settings!$C$26,"Traded after daily max loss; ",""),"")&amp;IF(AND($AG458="",NOT(ISNUMBER($O458))),"Symbol not in Instruments; ","")&amp;IF(AND($AH458="",NOT(ISNUMBER($O458))),"Forex cross: type Gross P&amp;L; ",""))</f>
        <v/>
      </c>
      <c r="BH458" s="56">
        <f>IF(ISNUMBER($Q458),1,0)</f>
        <v>0</v>
      </c>
      <c r="BI458" s="56">
        <f>IF($Y458="",0,1)</f>
        <v>0</v>
      </c>
      <c r="BJ458" s="56">
        <f>IF($AB458="",0,1)</f>
        <v>0</v>
      </c>
      <c r="BK458" s="56">
        <f>IF(AND($BH458=1,$W458&lt;&gt;"OK"),1,0)</f>
        <v>0</v>
      </c>
      <c r="BL458" s="55">
        <f>IF(N($AZ458)=0,0,IFERROR(INDEX($AT$6:$AT$1005,MATCH($AZ458,$AY$6:$AY$1005,0)),0))</f>
        <v>1187.10688</v>
      </c>
      <c r="BM458" s="56">
        <f>IF(ISNUMBER(SEARCH("daily max loss",$BG458)),1,0)</f>
        <v>0</v>
      </c>
    </row>
    <row r="459" ht="18" customHeight="1">
      <c r="A459" s="38" t="n"/>
      <c r="B459" s="39" t="n"/>
      <c r="C459" s="40" t="n"/>
      <c r="D459" s="41" t="n"/>
      <c r="E459" s="41" t="n"/>
      <c r="F459" s="41" t="n"/>
      <c r="G459" s="41" t="n"/>
      <c r="H459" s="42" t="n"/>
      <c r="I459" s="42" t="n"/>
      <c r="J459" s="42" t="n"/>
      <c r="K459" s="42" t="n"/>
      <c r="L459" s="41" t="n"/>
      <c r="M459" s="41" t="n"/>
      <c r="N459" s="41" t="n"/>
      <c r="O459" s="43" t="n"/>
      <c r="P459" s="43" t="n"/>
      <c r="Q459" s="44" t="str">
        <f>IF($AM459=0,"",IF(ISNUMBER($AK459),$AK459-N($AL459),""))</f>
        <v/>
      </c>
      <c r="R459" s="45" t="str">
        <f>IF(OR($Q459="",NOT(ISNUMBER($V459))),"",$AK459/$V459)</f>
        <v/>
      </c>
      <c r="S459" s="46" t="str">
        <f>IF($Q459="","",IF(AND(ISNUMBER($R459),ABS(N($R459))&lt;N(Settings!$C$8)),"Scratch",IF($Q459&gt;0,"Win",IF($Q459&lt;0,"Loss","Scratch"))))</f>
        <v/>
      </c>
      <c r="T459" s="47" t="str">
        <f>IF(OR($AM459=0,NOT(ISNUMBER($H459)),NOT(ISNUMBER($I459)),NOT(ISNUMBER($J459))),"",IF($H459=$I459,"",ROUND(ABS($J459-$H459)/ABS($H459-$I459),6)))</f>
        <v/>
      </c>
      <c r="U459" s="48" t="str">
        <f>IF(OR($S459&lt;&gt;"Win",NOT(ISNUMBER($T459)),NOT(ISNUMBER($R459))),"",MAX(0,$T459-$R459))</f>
        <v/>
      </c>
      <c r="V459" s="49" t="str">
        <f>IF(OR($AM459=0,NOT(ISNUMBER($H459)),NOT(ISNUMBER($I459)),NOT(ISNUMBER($G459))),"",IF(OR($AG459="",$AH459=""),"",IF(ROUND(ABS($H459-$I459)*ABS($G459)*$AG459*$AH459,6)=0,"",ROUND(ABS($H459-$I459)*ABS($G459)*$AG459*$AH459,6))))</f>
        <v/>
      </c>
      <c r="W459" s="50" t="str">
        <f>IF($AM459=0,"",IF($BG459="","OK",LEFT($BG459,LEN($BG459)-2)))</f>
        <v/>
      </c>
      <c r="X459" s="41" t="n"/>
      <c r="Y459" s="40" t="n"/>
      <c r="Z459" s="41" t="n"/>
      <c r="AA459" s="41" t="n"/>
      <c r="AB459" s="40" t="n"/>
      <c r="AC459" s="51" t="n"/>
      <c r="AD459" s="51" t="n"/>
      <c r="AE459" s="40" t="n"/>
      <c r="AF459" s="52" t="str">
        <f>IF($AM459=0,"",IF($D459&lt;&gt;"",$D459,IF(IFERROR(INDEX(Accounts!$C$7:$C$16,MATCH($C459,Accounts!$B$7:$B$16,0))&amp;"","")&lt;&gt;"",INDEX(Accounts!$C$7:$C$16,MATCH($C459,Accounts!$B$7:$B$16,0)),Settings!$C$6)))</f>
        <v/>
      </c>
      <c r="AG459" s="53" t="str">
        <f>IF($AM459=0,"",IF(AND($BE459&gt;0,N(INDEX(Instruments!$D$6:$D$205,MAX(1,$BE459)))&gt;0),INDEX(Instruments!$D$6:$D$205,MAX(1,$BE459)),IF(N(INDEX(Settings!$D$14:$D$18,$BF459))&gt;0,INDEX(Settings!$D$14:$D$18,$BF459),"")))</f>
        <v/>
      </c>
      <c r="AH459" s="54" t="str">
        <f>IF($AM459=0,"",IF($AF459&lt;&gt;"Forex",1,IF(MID(UPPER(SUBSTITUTE(TRIM($E459),"/","")),4,3)=UPPER(TRIM(Settings!$C$7)),1,IF(LEFT(UPPER(SUBSTITUTE(TRIM($E459),"/","")),3)=UPPER(TRIM(Settings!$C$7)),IF(AND(ISNUMBER($K459),N($K459)&lt;&gt;0),1/$K459,""),""))))</f>
        <v/>
      </c>
      <c r="AI459" s="55" t="str">
        <f>IF($AM459=0,"",IF(OR(NOT(ISNUMBER($H459)),NOT(ISNUMBER($K459)),NOT(ISNUMBER($G459)),$AG459="",$AH459=""),"",ROUND(($K459-$H459)*IF($F459="Short",-1,1)*$G459*$AG459*$AH459,6)))</f>
        <v/>
      </c>
      <c r="AJ459" s="55" t="str">
        <f>IF($AM459=0,"",IF(INDEX(Settings!$E$14:$E$18,$BF459)="% of notional",IF(OR($AG459="",NOT(ISNUMBER($H459)),NOT(ISNUMBER($G459))),"",ROUND(ABS($H459*$G459*$AG459*N($AH459))*IF($L459="Limit",N(INDEX(Settings!$G$14:$G$18,$BF459)),N(INDEX(Settings!$H$14:$H$18,$BF459)))+IF(ISNUMBER($K459),ABS($K459*$G459*$AG459*N($AH459))*IF($M459="Target",N(INDEX(Settings!$G$14:$G$18,$BF459)),N(INDEX(Settings!$H$14:$H$18,$BF459))),0),6)),IF(NOT(ISNUMBER($G459)),"",ROUND(ABS($G459)*2*IF(AND($BE459&gt;0,ISNUMBER(INDEX(Instruments!$G$6:$G$205,MAX(1,$BE459)))),INDEX(Instruments!$G$6:$G$205,MAX(1,$BE459)),N(INDEX(Settings!$F$14:$F$18,$BF459))),6))))</f>
        <v/>
      </c>
      <c r="AK459" s="55" t="str">
        <f>IF($AM459=0,"",IF(ISNUMBER($O459),$O459,$AI459))</f>
        <v/>
      </c>
      <c r="AL459" s="55" t="str">
        <f>IF($AM459=0,"",IF(ISNUMBER($P459),$P459,N($AJ459)))</f>
        <v/>
      </c>
      <c r="AM459" s="56">
        <f>IF(AND($A459&lt;&gt;"",$E459&lt;&gt;"",OR(AND(ISNUMBER($G459),ISNUMBER($H459),ISNUMBER($K459)),ISNUMBER($O459))),1,0)</f>
        <v>0</v>
      </c>
      <c r="AN459" s="57" t="str">
        <f>IF($A459="","",$A459-WEEKDAY($A459,3))</f>
        <v/>
      </c>
      <c r="AO459" s="56" t="str">
        <f>IF($A459="","",WEEKDAY($A459,2))</f>
        <v/>
      </c>
      <c r="AP459" s="55" t="str">
        <f>IF(OR($AM459=0,$C459=""),"",IFERROR(N(INDEX(Accounts!$E$7:$E$16,MATCH($C459,Accounts!$B$7:$B$16,0))),0)+SUMIFS($Q$6:$Q459,$C$6:$C459,$C459))</f>
        <v/>
      </c>
      <c r="AQ459" s="55" t="str">
        <f>IF(OR($AM459=0,$C459=""),"",SUMIFS($Q$6:$Q$1005,$C$6:$C$1005,$C459,$A$6:$A$1005,$A459))</f>
        <v/>
      </c>
      <c r="AR459" s="55" t="str">
        <f>IF(OR($AM459=0,$C459=""),"",IFERROR(N(INDEX(Accounts!$E$7:$E$16,MATCH($C459,Accounts!$B$7:$B$16,0))),0)+SUMIFS($Q$6:$Q$1005,$C$6:$C$1005,$C459,$A$6:$A$1005,"&lt;="&amp;$A459))</f>
        <v/>
      </c>
      <c r="AS459" s="56">
        <f>IF(OR($AM459=0,$Q459=""),0,IF(AND($A459&gt;=Lists!$W$6,$A459&lt;=Lists!$W$7,OR(Dashboard!$D$6="All accounts",$C459=Dashboard!$D$6),OR(Dashboard!$D$7="All markets",$AF459=Dashboard!$D$7)),1,0))</f>
        <v>0</v>
      </c>
      <c r="AT459" s="55">
        <f>IF($AS459=1,N(AT458)+$Q459,N(AT458))</f>
        <v>1187.10688</v>
      </c>
      <c r="AU459" s="55">
        <f>MAX(N(AU458),$AT459)</f>
        <v>1187.10688</v>
      </c>
      <c r="AV459" s="55">
        <f>$AT459-$AU459</f>
        <v>0</v>
      </c>
      <c r="AW459" s="56">
        <f>IF($AS459=1,IF($S459="Win",N(AW458)+1,IF($S459="Loss",0,N(AW458))),N(AW458))</f>
        <v>5</v>
      </c>
      <c r="AX459" s="56">
        <f>IF($AS459=1,IF($S459="Loss",N(AX458)+1,IF($S459="Win",0,N(AX458))),N(AX458))</f>
        <v>0</v>
      </c>
      <c r="AY459" s="56" t="str">
        <f>IF($AS459=1,COUNTIF($AS$6:$AS459,1),"")</f>
        <v/>
      </c>
      <c r="AZ459" s="56">
        <f>MIN(453,N(Lists!$W$8))</f>
        <v>28</v>
      </c>
      <c r="BA459" s="56">
        <f>IF($AS459=1,IF(COUNTIFS($A$6:$A459,$A459,$AS$6:$AS459,1)=1,1,0),0)</f>
        <v>0</v>
      </c>
      <c r="BB459" s="55" t="str">
        <f>IF($BA459=1,SUMIFS($Q$6:$Q$1005,$A$6:$A$1005,$A459,$AS$6:$AS$1005,1),"")</f>
        <v/>
      </c>
      <c r="BC459" s="56">
        <f>IF(ISNUMBER($R459),1,0)</f>
        <v>0</v>
      </c>
      <c r="BD459" s="55" t="str">
        <f>IF(ISNUMBER($U459),$U459*$V459,"")</f>
        <v/>
      </c>
      <c r="BE459" s="56" t="str">
        <f>IF($AM459=0,"",IFERROR(MATCH($AF459&amp;"|"&amp;UPPER(TRIM($E459)),Lists!$A$6:$A$205,0),0))</f>
        <v/>
      </c>
      <c r="BF459" s="56" t="str">
        <f>IF($AM459=0,"",IFERROR(MATCH($AF459,Settings!$B$14:$B$18,0),IFERROR(MATCH(Settings!$C$6,Settings!$B$14:$B$18,0),1)))</f>
        <v/>
      </c>
      <c r="BG459" s="58" t="str">
        <f>IF($AM459=0,"",IF(NOT(ISNUMBER($I459)),"No stop; ","")&amp;IF(AND(ISNUMBER($H459),ISNUMBER($I459)),IF(OR(AND($F459&lt;&gt;"Short",$I459&gt;=$H459),AND($F459="Short",$I459&lt;=$H459)),"Stop on wrong side; ",""),"")&amp;IF($F459="","No direction; ","")&amp;IF(AND(ISNUMBER(Settings!$C$22),ISNUMBER($V459)),IF($V459&gt;Settings!$C$22,"Risk over max $; ",""),"")&amp;IF(AND(ISNUMBER(Settings!$C$23),ISNUMBER($V459),ISNUMBER($AP459),IFERROR(N(INDEX(Accounts!$E$7:$E$16,MATCH($C459,Accounts!$B$7:$B$16,0))),0)&gt;0),IF($V459&gt;Settings!$C$23*($AP459-N($Q459)),"Risk over max %; ",""),"")&amp;IF(AND(ISNUMBER(Settings!$C$24),ISNUMBER($N459)),IF($N459&gt;Settings!$C$24,"Leverage over max; ",""),"")&amp;IF(AND(ISNUMBER(Settings!$C$27),ISNUMBER($T459)),IF($T459&lt;Settings!$C$27,"R:R below min; ",""),"")&amp;IF(ISNUMBER(Settings!$C$25),IF(COUNTIFS($A$6:$A459,$A459,$AM$6:$AM459,1)&gt;Settings!$C$25,"Over max trades/day; ",""),"")&amp;IF(ISNUMBER(Settings!$C$26),IF(SUMIFS($Q$5:$Q458,$A$5:$A458,$A459)&lt;=-Settings!$C$26,"Traded after daily max loss; ",""),"")&amp;IF(AND($AG459="",NOT(ISNUMBER($O459))),"Symbol not in Instruments; ","")&amp;IF(AND($AH459="",NOT(ISNUMBER($O459))),"Forex cross: type Gross P&amp;L; ",""))</f>
        <v/>
      </c>
      <c r="BH459" s="56">
        <f>IF(ISNUMBER($Q459),1,0)</f>
        <v>0</v>
      </c>
      <c r="BI459" s="56">
        <f>IF($Y459="",0,1)</f>
        <v>0</v>
      </c>
      <c r="BJ459" s="56">
        <f>IF($AB459="",0,1)</f>
        <v>0</v>
      </c>
      <c r="BK459" s="56">
        <f>IF(AND($BH459=1,$W459&lt;&gt;"OK"),1,0)</f>
        <v>0</v>
      </c>
      <c r="BL459" s="55">
        <f>IF(N($AZ459)=0,0,IFERROR(INDEX($AT$6:$AT$1005,MATCH($AZ459,$AY$6:$AY$1005,0)),0))</f>
        <v>1187.10688</v>
      </c>
      <c r="BM459" s="56">
        <f>IF(ISNUMBER(SEARCH("daily max loss",$BG459)),1,0)</f>
        <v>0</v>
      </c>
    </row>
    <row r="460" ht="18" customHeight="1">
      <c r="A460" s="38" t="n"/>
      <c r="B460" s="39" t="n"/>
      <c r="C460" s="40" t="n"/>
      <c r="D460" s="41" t="n"/>
      <c r="E460" s="41" t="n"/>
      <c r="F460" s="41" t="n"/>
      <c r="G460" s="41" t="n"/>
      <c r="H460" s="42" t="n"/>
      <c r="I460" s="42" t="n"/>
      <c r="J460" s="42" t="n"/>
      <c r="K460" s="42" t="n"/>
      <c r="L460" s="41" t="n"/>
      <c r="M460" s="41" t="n"/>
      <c r="N460" s="41" t="n"/>
      <c r="O460" s="43" t="n"/>
      <c r="P460" s="43" t="n"/>
      <c r="Q460" s="44" t="str">
        <f>IF($AM460=0,"",IF(ISNUMBER($AK460),$AK460-N($AL460),""))</f>
        <v/>
      </c>
      <c r="R460" s="45" t="str">
        <f>IF(OR($Q460="",NOT(ISNUMBER($V460))),"",$AK460/$V460)</f>
        <v/>
      </c>
      <c r="S460" s="46" t="str">
        <f>IF($Q460="","",IF(AND(ISNUMBER($R460),ABS(N($R460))&lt;N(Settings!$C$8)),"Scratch",IF($Q460&gt;0,"Win",IF($Q460&lt;0,"Loss","Scratch"))))</f>
        <v/>
      </c>
      <c r="T460" s="47" t="str">
        <f>IF(OR($AM460=0,NOT(ISNUMBER($H460)),NOT(ISNUMBER($I460)),NOT(ISNUMBER($J460))),"",IF($H460=$I460,"",ROUND(ABS($J460-$H460)/ABS($H460-$I460),6)))</f>
        <v/>
      </c>
      <c r="U460" s="48" t="str">
        <f>IF(OR($S460&lt;&gt;"Win",NOT(ISNUMBER($T460)),NOT(ISNUMBER($R460))),"",MAX(0,$T460-$R460))</f>
        <v/>
      </c>
      <c r="V460" s="49" t="str">
        <f>IF(OR($AM460=0,NOT(ISNUMBER($H460)),NOT(ISNUMBER($I460)),NOT(ISNUMBER($G460))),"",IF(OR($AG460="",$AH460=""),"",IF(ROUND(ABS($H460-$I460)*ABS($G460)*$AG460*$AH460,6)=0,"",ROUND(ABS($H460-$I460)*ABS($G460)*$AG460*$AH460,6))))</f>
        <v/>
      </c>
      <c r="W460" s="50" t="str">
        <f>IF($AM460=0,"",IF($BG460="","OK",LEFT($BG460,LEN($BG460)-2)))</f>
        <v/>
      </c>
      <c r="X460" s="41" t="n"/>
      <c r="Y460" s="40" t="n"/>
      <c r="Z460" s="41" t="n"/>
      <c r="AA460" s="41" t="n"/>
      <c r="AB460" s="40" t="n"/>
      <c r="AC460" s="51" t="n"/>
      <c r="AD460" s="51" t="n"/>
      <c r="AE460" s="40" t="n"/>
      <c r="AF460" s="52" t="str">
        <f>IF($AM460=0,"",IF($D460&lt;&gt;"",$D460,IF(IFERROR(INDEX(Accounts!$C$7:$C$16,MATCH($C460,Accounts!$B$7:$B$16,0))&amp;"","")&lt;&gt;"",INDEX(Accounts!$C$7:$C$16,MATCH($C460,Accounts!$B$7:$B$16,0)),Settings!$C$6)))</f>
        <v/>
      </c>
      <c r="AG460" s="53" t="str">
        <f>IF($AM460=0,"",IF(AND($BE460&gt;0,N(INDEX(Instruments!$D$6:$D$205,MAX(1,$BE460)))&gt;0),INDEX(Instruments!$D$6:$D$205,MAX(1,$BE460)),IF(N(INDEX(Settings!$D$14:$D$18,$BF460))&gt;0,INDEX(Settings!$D$14:$D$18,$BF460),"")))</f>
        <v/>
      </c>
      <c r="AH460" s="54" t="str">
        <f>IF($AM460=0,"",IF($AF460&lt;&gt;"Forex",1,IF(MID(UPPER(SUBSTITUTE(TRIM($E460),"/","")),4,3)=UPPER(TRIM(Settings!$C$7)),1,IF(LEFT(UPPER(SUBSTITUTE(TRIM($E460),"/","")),3)=UPPER(TRIM(Settings!$C$7)),IF(AND(ISNUMBER($K460),N($K460)&lt;&gt;0),1/$K460,""),""))))</f>
        <v/>
      </c>
      <c r="AI460" s="55" t="str">
        <f>IF($AM460=0,"",IF(OR(NOT(ISNUMBER($H460)),NOT(ISNUMBER($K460)),NOT(ISNUMBER($G460)),$AG460="",$AH460=""),"",ROUND(($K460-$H460)*IF($F460="Short",-1,1)*$G460*$AG460*$AH460,6)))</f>
        <v/>
      </c>
      <c r="AJ460" s="55" t="str">
        <f>IF($AM460=0,"",IF(INDEX(Settings!$E$14:$E$18,$BF460)="% of notional",IF(OR($AG460="",NOT(ISNUMBER($H460)),NOT(ISNUMBER($G460))),"",ROUND(ABS($H460*$G460*$AG460*N($AH460))*IF($L460="Limit",N(INDEX(Settings!$G$14:$G$18,$BF460)),N(INDEX(Settings!$H$14:$H$18,$BF460)))+IF(ISNUMBER($K460),ABS($K460*$G460*$AG460*N($AH460))*IF($M460="Target",N(INDEX(Settings!$G$14:$G$18,$BF460)),N(INDEX(Settings!$H$14:$H$18,$BF460))),0),6)),IF(NOT(ISNUMBER($G460)),"",ROUND(ABS($G460)*2*IF(AND($BE460&gt;0,ISNUMBER(INDEX(Instruments!$G$6:$G$205,MAX(1,$BE460)))),INDEX(Instruments!$G$6:$G$205,MAX(1,$BE460)),N(INDEX(Settings!$F$14:$F$18,$BF460))),6))))</f>
        <v/>
      </c>
      <c r="AK460" s="55" t="str">
        <f>IF($AM460=0,"",IF(ISNUMBER($O460),$O460,$AI460))</f>
        <v/>
      </c>
      <c r="AL460" s="55" t="str">
        <f>IF($AM460=0,"",IF(ISNUMBER($P460),$P460,N($AJ460)))</f>
        <v/>
      </c>
      <c r="AM460" s="56">
        <f>IF(AND($A460&lt;&gt;"",$E460&lt;&gt;"",OR(AND(ISNUMBER($G460),ISNUMBER($H460),ISNUMBER($K460)),ISNUMBER($O460))),1,0)</f>
        <v>0</v>
      </c>
      <c r="AN460" s="57" t="str">
        <f>IF($A460="","",$A460-WEEKDAY($A460,3))</f>
        <v/>
      </c>
      <c r="AO460" s="56" t="str">
        <f>IF($A460="","",WEEKDAY($A460,2))</f>
        <v/>
      </c>
      <c r="AP460" s="55" t="str">
        <f>IF(OR($AM460=0,$C460=""),"",IFERROR(N(INDEX(Accounts!$E$7:$E$16,MATCH($C460,Accounts!$B$7:$B$16,0))),0)+SUMIFS($Q$6:$Q460,$C$6:$C460,$C460))</f>
        <v/>
      </c>
      <c r="AQ460" s="55" t="str">
        <f>IF(OR($AM460=0,$C460=""),"",SUMIFS($Q$6:$Q$1005,$C$6:$C$1005,$C460,$A$6:$A$1005,$A460))</f>
        <v/>
      </c>
      <c r="AR460" s="55" t="str">
        <f>IF(OR($AM460=0,$C460=""),"",IFERROR(N(INDEX(Accounts!$E$7:$E$16,MATCH($C460,Accounts!$B$7:$B$16,0))),0)+SUMIFS($Q$6:$Q$1005,$C$6:$C$1005,$C460,$A$6:$A$1005,"&lt;="&amp;$A460))</f>
        <v/>
      </c>
      <c r="AS460" s="56">
        <f>IF(OR($AM460=0,$Q460=""),0,IF(AND($A460&gt;=Lists!$W$6,$A460&lt;=Lists!$W$7,OR(Dashboard!$D$6="All accounts",$C460=Dashboard!$D$6),OR(Dashboard!$D$7="All markets",$AF460=Dashboard!$D$7)),1,0))</f>
        <v>0</v>
      </c>
      <c r="AT460" s="55">
        <f>IF($AS460=1,N(AT459)+$Q460,N(AT459))</f>
        <v>1187.10688</v>
      </c>
      <c r="AU460" s="55">
        <f>MAX(N(AU459),$AT460)</f>
        <v>1187.10688</v>
      </c>
      <c r="AV460" s="55">
        <f>$AT460-$AU460</f>
        <v>0</v>
      </c>
      <c r="AW460" s="56">
        <f>IF($AS460=1,IF($S460="Win",N(AW459)+1,IF($S460="Loss",0,N(AW459))),N(AW459))</f>
        <v>5</v>
      </c>
      <c r="AX460" s="56">
        <f>IF($AS460=1,IF($S460="Loss",N(AX459)+1,IF($S460="Win",0,N(AX459))),N(AX459))</f>
        <v>0</v>
      </c>
      <c r="AY460" s="56" t="str">
        <f>IF($AS460=1,COUNTIF($AS$6:$AS460,1),"")</f>
        <v/>
      </c>
      <c r="AZ460" s="56">
        <f>MIN(454,N(Lists!$W$8))</f>
        <v>28</v>
      </c>
      <c r="BA460" s="56">
        <f>IF($AS460=1,IF(COUNTIFS($A$6:$A460,$A460,$AS$6:$AS460,1)=1,1,0),0)</f>
        <v>0</v>
      </c>
      <c r="BB460" s="55" t="str">
        <f>IF($BA460=1,SUMIFS($Q$6:$Q$1005,$A$6:$A$1005,$A460,$AS$6:$AS$1005,1),"")</f>
        <v/>
      </c>
      <c r="BC460" s="56">
        <f>IF(ISNUMBER($R460),1,0)</f>
        <v>0</v>
      </c>
      <c r="BD460" s="55" t="str">
        <f>IF(ISNUMBER($U460),$U460*$V460,"")</f>
        <v/>
      </c>
      <c r="BE460" s="56" t="str">
        <f>IF($AM460=0,"",IFERROR(MATCH($AF460&amp;"|"&amp;UPPER(TRIM($E460)),Lists!$A$6:$A$205,0),0))</f>
        <v/>
      </c>
      <c r="BF460" s="56" t="str">
        <f>IF($AM460=0,"",IFERROR(MATCH($AF460,Settings!$B$14:$B$18,0),IFERROR(MATCH(Settings!$C$6,Settings!$B$14:$B$18,0),1)))</f>
        <v/>
      </c>
      <c r="BG460" s="58" t="str">
        <f>IF($AM460=0,"",IF(NOT(ISNUMBER($I460)),"No stop; ","")&amp;IF(AND(ISNUMBER($H460),ISNUMBER($I460)),IF(OR(AND($F460&lt;&gt;"Short",$I460&gt;=$H460),AND($F460="Short",$I460&lt;=$H460)),"Stop on wrong side; ",""),"")&amp;IF($F460="","No direction; ","")&amp;IF(AND(ISNUMBER(Settings!$C$22),ISNUMBER($V460)),IF($V460&gt;Settings!$C$22,"Risk over max $; ",""),"")&amp;IF(AND(ISNUMBER(Settings!$C$23),ISNUMBER($V460),ISNUMBER($AP460),IFERROR(N(INDEX(Accounts!$E$7:$E$16,MATCH($C460,Accounts!$B$7:$B$16,0))),0)&gt;0),IF($V460&gt;Settings!$C$23*($AP460-N($Q460)),"Risk over max %; ",""),"")&amp;IF(AND(ISNUMBER(Settings!$C$24),ISNUMBER($N460)),IF($N460&gt;Settings!$C$24,"Leverage over max; ",""),"")&amp;IF(AND(ISNUMBER(Settings!$C$27),ISNUMBER($T460)),IF($T460&lt;Settings!$C$27,"R:R below min; ",""),"")&amp;IF(ISNUMBER(Settings!$C$25),IF(COUNTIFS($A$6:$A460,$A460,$AM$6:$AM460,1)&gt;Settings!$C$25,"Over max trades/day; ",""),"")&amp;IF(ISNUMBER(Settings!$C$26),IF(SUMIFS($Q$5:$Q459,$A$5:$A459,$A460)&lt;=-Settings!$C$26,"Traded after daily max loss; ",""),"")&amp;IF(AND($AG460="",NOT(ISNUMBER($O460))),"Symbol not in Instruments; ","")&amp;IF(AND($AH460="",NOT(ISNUMBER($O460))),"Forex cross: type Gross P&amp;L; ",""))</f>
        <v/>
      </c>
      <c r="BH460" s="56">
        <f>IF(ISNUMBER($Q460),1,0)</f>
        <v>0</v>
      </c>
      <c r="BI460" s="56">
        <f>IF($Y460="",0,1)</f>
        <v>0</v>
      </c>
      <c r="BJ460" s="56">
        <f>IF($AB460="",0,1)</f>
        <v>0</v>
      </c>
      <c r="BK460" s="56">
        <f>IF(AND($BH460=1,$W460&lt;&gt;"OK"),1,0)</f>
        <v>0</v>
      </c>
      <c r="BL460" s="55">
        <f>IF(N($AZ460)=0,0,IFERROR(INDEX($AT$6:$AT$1005,MATCH($AZ460,$AY$6:$AY$1005,0)),0))</f>
        <v>1187.10688</v>
      </c>
      <c r="BM460" s="56">
        <f>IF(ISNUMBER(SEARCH("daily max loss",$BG460)),1,0)</f>
        <v>0</v>
      </c>
    </row>
    <row r="461" ht="18" customHeight="1">
      <c r="A461" s="38" t="n"/>
      <c r="B461" s="39" t="n"/>
      <c r="C461" s="40" t="n"/>
      <c r="D461" s="41" t="n"/>
      <c r="E461" s="41" t="n"/>
      <c r="F461" s="41" t="n"/>
      <c r="G461" s="41" t="n"/>
      <c r="H461" s="42" t="n"/>
      <c r="I461" s="42" t="n"/>
      <c r="J461" s="42" t="n"/>
      <c r="K461" s="42" t="n"/>
      <c r="L461" s="41" t="n"/>
      <c r="M461" s="41" t="n"/>
      <c r="N461" s="41" t="n"/>
      <c r="O461" s="43" t="n"/>
      <c r="P461" s="43" t="n"/>
      <c r="Q461" s="44" t="str">
        <f>IF($AM461=0,"",IF(ISNUMBER($AK461),$AK461-N($AL461),""))</f>
        <v/>
      </c>
      <c r="R461" s="45" t="str">
        <f>IF(OR($Q461="",NOT(ISNUMBER($V461))),"",$AK461/$V461)</f>
        <v/>
      </c>
      <c r="S461" s="46" t="str">
        <f>IF($Q461="","",IF(AND(ISNUMBER($R461),ABS(N($R461))&lt;N(Settings!$C$8)),"Scratch",IF($Q461&gt;0,"Win",IF($Q461&lt;0,"Loss","Scratch"))))</f>
        <v/>
      </c>
      <c r="T461" s="47" t="str">
        <f>IF(OR($AM461=0,NOT(ISNUMBER($H461)),NOT(ISNUMBER($I461)),NOT(ISNUMBER($J461))),"",IF($H461=$I461,"",ROUND(ABS($J461-$H461)/ABS($H461-$I461),6)))</f>
        <v/>
      </c>
      <c r="U461" s="48" t="str">
        <f>IF(OR($S461&lt;&gt;"Win",NOT(ISNUMBER($T461)),NOT(ISNUMBER($R461))),"",MAX(0,$T461-$R461))</f>
        <v/>
      </c>
      <c r="V461" s="49" t="str">
        <f>IF(OR($AM461=0,NOT(ISNUMBER($H461)),NOT(ISNUMBER($I461)),NOT(ISNUMBER($G461))),"",IF(OR($AG461="",$AH461=""),"",IF(ROUND(ABS($H461-$I461)*ABS($G461)*$AG461*$AH461,6)=0,"",ROUND(ABS($H461-$I461)*ABS($G461)*$AG461*$AH461,6))))</f>
        <v/>
      </c>
      <c r="W461" s="50" t="str">
        <f>IF($AM461=0,"",IF($BG461="","OK",LEFT($BG461,LEN($BG461)-2)))</f>
        <v/>
      </c>
      <c r="X461" s="41" t="n"/>
      <c r="Y461" s="40" t="n"/>
      <c r="Z461" s="41" t="n"/>
      <c r="AA461" s="41" t="n"/>
      <c r="AB461" s="40" t="n"/>
      <c r="AC461" s="51" t="n"/>
      <c r="AD461" s="51" t="n"/>
      <c r="AE461" s="40" t="n"/>
      <c r="AF461" s="52" t="str">
        <f>IF($AM461=0,"",IF($D461&lt;&gt;"",$D461,IF(IFERROR(INDEX(Accounts!$C$7:$C$16,MATCH($C461,Accounts!$B$7:$B$16,0))&amp;"","")&lt;&gt;"",INDEX(Accounts!$C$7:$C$16,MATCH($C461,Accounts!$B$7:$B$16,0)),Settings!$C$6)))</f>
        <v/>
      </c>
      <c r="AG461" s="53" t="str">
        <f>IF($AM461=0,"",IF(AND($BE461&gt;0,N(INDEX(Instruments!$D$6:$D$205,MAX(1,$BE461)))&gt;0),INDEX(Instruments!$D$6:$D$205,MAX(1,$BE461)),IF(N(INDEX(Settings!$D$14:$D$18,$BF461))&gt;0,INDEX(Settings!$D$14:$D$18,$BF461),"")))</f>
        <v/>
      </c>
      <c r="AH461" s="54" t="str">
        <f>IF($AM461=0,"",IF($AF461&lt;&gt;"Forex",1,IF(MID(UPPER(SUBSTITUTE(TRIM($E461),"/","")),4,3)=UPPER(TRIM(Settings!$C$7)),1,IF(LEFT(UPPER(SUBSTITUTE(TRIM($E461),"/","")),3)=UPPER(TRIM(Settings!$C$7)),IF(AND(ISNUMBER($K461),N($K461)&lt;&gt;0),1/$K461,""),""))))</f>
        <v/>
      </c>
      <c r="AI461" s="55" t="str">
        <f>IF($AM461=0,"",IF(OR(NOT(ISNUMBER($H461)),NOT(ISNUMBER($K461)),NOT(ISNUMBER($G461)),$AG461="",$AH461=""),"",ROUND(($K461-$H461)*IF($F461="Short",-1,1)*$G461*$AG461*$AH461,6)))</f>
        <v/>
      </c>
      <c r="AJ461" s="55" t="str">
        <f>IF($AM461=0,"",IF(INDEX(Settings!$E$14:$E$18,$BF461)="% of notional",IF(OR($AG461="",NOT(ISNUMBER($H461)),NOT(ISNUMBER($G461))),"",ROUND(ABS($H461*$G461*$AG461*N($AH461))*IF($L461="Limit",N(INDEX(Settings!$G$14:$G$18,$BF461)),N(INDEX(Settings!$H$14:$H$18,$BF461)))+IF(ISNUMBER($K461),ABS($K461*$G461*$AG461*N($AH461))*IF($M461="Target",N(INDEX(Settings!$G$14:$G$18,$BF461)),N(INDEX(Settings!$H$14:$H$18,$BF461))),0),6)),IF(NOT(ISNUMBER($G461)),"",ROUND(ABS($G461)*2*IF(AND($BE461&gt;0,ISNUMBER(INDEX(Instruments!$G$6:$G$205,MAX(1,$BE461)))),INDEX(Instruments!$G$6:$G$205,MAX(1,$BE461)),N(INDEX(Settings!$F$14:$F$18,$BF461))),6))))</f>
        <v/>
      </c>
      <c r="AK461" s="55" t="str">
        <f>IF($AM461=0,"",IF(ISNUMBER($O461),$O461,$AI461))</f>
        <v/>
      </c>
      <c r="AL461" s="55" t="str">
        <f>IF($AM461=0,"",IF(ISNUMBER($P461),$P461,N($AJ461)))</f>
        <v/>
      </c>
      <c r="AM461" s="56">
        <f>IF(AND($A461&lt;&gt;"",$E461&lt;&gt;"",OR(AND(ISNUMBER($G461),ISNUMBER($H461),ISNUMBER($K461)),ISNUMBER($O461))),1,0)</f>
        <v>0</v>
      </c>
      <c r="AN461" s="57" t="str">
        <f>IF($A461="","",$A461-WEEKDAY($A461,3))</f>
        <v/>
      </c>
      <c r="AO461" s="56" t="str">
        <f>IF($A461="","",WEEKDAY($A461,2))</f>
        <v/>
      </c>
      <c r="AP461" s="55" t="str">
        <f>IF(OR($AM461=0,$C461=""),"",IFERROR(N(INDEX(Accounts!$E$7:$E$16,MATCH($C461,Accounts!$B$7:$B$16,0))),0)+SUMIFS($Q$6:$Q461,$C$6:$C461,$C461))</f>
        <v/>
      </c>
      <c r="AQ461" s="55" t="str">
        <f>IF(OR($AM461=0,$C461=""),"",SUMIFS($Q$6:$Q$1005,$C$6:$C$1005,$C461,$A$6:$A$1005,$A461))</f>
        <v/>
      </c>
      <c r="AR461" s="55" t="str">
        <f>IF(OR($AM461=0,$C461=""),"",IFERROR(N(INDEX(Accounts!$E$7:$E$16,MATCH($C461,Accounts!$B$7:$B$16,0))),0)+SUMIFS($Q$6:$Q$1005,$C$6:$C$1005,$C461,$A$6:$A$1005,"&lt;="&amp;$A461))</f>
        <v/>
      </c>
      <c r="AS461" s="56">
        <f>IF(OR($AM461=0,$Q461=""),0,IF(AND($A461&gt;=Lists!$W$6,$A461&lt;=Lists!$W$7,OR(Dashboard!$D$6="All accounts",$C461=Dashboard!$D$6),OR(Dashboard!$D$7="All markets",$AF461=Dashboard!$D$7)),1,0))</f>
        <v>0</v>
      </c>
      <c r="AT461" s="55">
        <f>IF($AS461=1,N(AT460)+$Q461,N(AT460))</f>
        <v>1187.10688</v>
      </c>
      <c r="AU461" s="55">
        <f>MAX(N(AU460),$AT461)</f>
        <v>1187.10688</v>
      </c>
      <c r="AV461" s="55">
        <f>$AT461-$AU461</f>
        <v>0</v>
      </c>
      <c r="AW461" s="56">
        <f>IF($AS461=1,IF($S461="Win",N(AW460)+1,IF($S461="Loss",0,N(AW460))),N(AW460))</f>
        <v>5</v>
      </c>
      <c r="AX461" s="56">
        <f>IF($AS461=1,IF($S461="Loss",N(AX460)+1,IF($S461="Win",0,N(AX460))),N(AX460))</f>
        <v>0</v>
      </c>
      <c r="AY461" s="56" t="str">
        <f>IF($AS461=1,COUNTIF($AS$6:$AS461,1),"")</f>
        <v/>
      </c>
      <c r="AZ461" s="56">
        <f>MIN(455,N(Lists!$W$8))</f>
        <v>28</v>
      </c>
      <c r="BA461" s="56">
        <f>IF($AS461=1,IF(COUNTIFS($A$6:$A461,$A461,$AS$6:$AS461,1)=1,1,0),0)</f>
        <v>0</v>
      </c>
      <c r="BB461" s="55" t="str">
        <f>IF($BA461=1,SUMIFS($Q$6:$Q$1005,$A$6:$A$1005,$A461,$AS$6:$AS$1005,1),"")</f>
        <v/>
      </c>
      <c r="BC461" s="56">
        <f>IF(ISNUMBER($R461),1,0)</f>
        <v>0</v>
      </c>
      <c r="BD461" s="55" t="str">
        <f>IF(ISNUMBER($U461),$U461*$V461,"")</f>
        <v/>
      </c>
      <c r="BE461" s="56" t="str">
        <f>IF($AM461=0,"",IFERROR(MATCH($AF461&amp;"|"&amp;UPPER(TRIM($E461)),Lists!$A$6:$A$205,0),0))</f>
        <v/>
      </c>
      <c r="BF461" s="56" t="str">
        <f>IF($AM461=0,"",IFERROR(MATCH($AF461,Settings!$B$14:$B$18,0),IFERROR(MATCH(Settings!$C$6,Settings!$B$14:$B$18,0),1)))</f>
        <v/>
      </c>
      <c r="BG461" s="58" t="str">
        <f>IF($AM461=0,"",IF(NOT(ISNUMBER($I461)),"No stop; ","")&amp;IF(AND(ISNUMBER($H461),ISNUMBER($I461)),IF(OR(AND($F461&lt;&gt;"Short",$I461&gt;=$H461),AND($F461="Short",$I461&lt;=$H461)),"Stop on wrong side; ",""),"")&amp;IF($F461="","No direction; ","")&amp;IF(AND(ISNUMBER(Settings!$C$22),ISNUMBER($V461)),IF($V461&gt;Settings!$C$22,"Risk over max $; ",""),"")&amp;IF(AND(ISNUMBER(Settings!$C$23),ISNUMBER($V461),ISNUMBER($AP461),IFERROR(N(INDEX(Accounts!$E$7:$E$16,MATCH($C461,Accounts!$B$7:$B$16,0))),0)&gt;0),IF($V461&gt;Settings!$C$23*($AP461-N($Q461)),"Risk over max %; ",""),"")&amp;IF(AND(ISNUMBER(Settings!$C$24),ISNUMBER($N461)),IF($N461&gt;Settings!$C$24,"Leverage over max; ",""),"")&amp;IF(AND(ISNUMBER(Settings!$C$27),ISNUMBER($T461)),IF($T461&lt;Settings!$C$27,"R:R below min; ",""),"")&amp;IF(ISNUMBER(Settings!$C$25),IF(COUNTIFS($A$6:$A461,$A461,$AM$6:$AM461,1)&gt;Settings!$C$25,"Over max trades/day; ",""),"")&amp;IF(ISNUMBER(Settings!$C$26),IF(SUMIFS($Q$5:$Q460,$A$5:$A460,$A461)&lt;=-Settings!$C$26,"Traded after daily max loss; ",""),"")&amp;IF(AND($AG461="",NOT(ISNUMBER($O461))),"Symbol not in Instruments; ","")&amp;IF(AND($AH461="",NOT(ISNUMBER($O461))),"Forex cross: type Gross P&amp;L; ",""))</f>
        <v/>
      </c>
      <c r="BH461" s="56">
        <f>IF(ISNUMBER($Q461),1,0)</f>
        <v>0</v>
      </c>
      <c r="BI461" s="56">
        <f>IF($Y461="",0,1)</f>
        <v>0</v>
      </c>
      <c r="BJ461" s="56">
        <f>IF($AB461="",0,1)</f>
        <v>0</v>
      </c>
      <c r="BK461" s="56">
        <f>IF(AND($BH461=1,$W461&lt;&gt;"OK"),1,0)</f>
        <v>0</v>
      </c>
      <c r="BL461" s="55">
        <f>IF(N($AZ461)=0,0,IFERROR(INDEX($AT$6:$AT$1005,MATCH($AZ461,$AY$6:$AY$1005,0)),0))</f>
        <v>1187.10688</v>
      </c>
      <c r="BM461" s="56">
        <f>IF(ISNUMBER(SEARCH("daily max loss",$BG461)),1,0)</f>
        <v>0</v>
      </c>
    </row>
    <row r="462" ht="18" customHeight="1">
      <c r="A462" s="38" t="n"/>
      <c r="B462" s="39" t="n"/>
      <c r="C462" s="40" t="n"/>
      <c r="D462" s="41" t="n"/>
      <c r="E462" s="41" t="n"/>
      <c r="F462" s="41" t="n"/>
      <c r="G462" s="41" t="n"/>
      <c r="H462" s="42" t="n"/>
      <c r="I462" s="42" t="n"/>
      <c r="J462" s="42" t="n"/>
      <c r="K462" s="42" t="n"/>
      <c r="L462" s="41" t="n"/>
      <c r="M462" s="41" t="n"/>
      <c r="N462" s="41" t="n"/>
      <c r="O462" s="43" t="n"/>
      <c r="P462" s="43" t="n"/>
      <c r="Q462" s="44" t="str">
        <f>IF($AM462=0,"",IF(ISNUMBER($AK462),$AK462-N($AL462),""))</f>
        <v/>
      </c>
      <c r="R462" s="45" t="str">
        <f>IF(OR($Q462="",NOT(ISNUMBER($V462))),"",$AK462/$V462)</f>
        <v/>
      </c>
      <c r="S462" s="46" t="str">
        <f>IF($Q462="","",IF(AND(ISNUMBER($R462),ABS(N($R462))&lt;N(Settings!$C$8)),"Scratch",IF($Q462&gt;0,"Win",IF($Q462&lt;0,"Loss","Scratch"))))</f>
        <v/>
      </c>
      <c r="T462" s="47" t="str">
        <f>IF(OR($AM462=0,NOT(ISNUMBER($H462)),NOT(ISNUMBER($I462)),NOT(ISNUMBER($J462))),"",IF($H462=$I462,"",ROUND(ABS($J462-$H462)/ABS($H462-$I462),6)))</f>
        <v/>
      </c>
      <c r="U462" s="48" t="str">
        <f>IF(OR($S462&lt;&gt;"Win",NOT(ISNUMBER($T462)),NOT(ISNUMBER($R462))),"",MAX(0,$T462-$R462))</f>
        <v/>
      </c>
      <c r="V462" s="49" t="str">
        <f>IF(OR($AM462=0,NOT(ISNUMBER($H462)),NOT(ISNUMBER($I462)),NOT(ISNUMBER($G462))),"",IF(OR($AG462="",$AH462=""),"",IF(ROUND(ABS($H462-$I462)*ABS($G462)*$AG462*$AH462,6)=0,"",ROUND(ABS($H462-$I462)*ABS($G462)*$AG462*$AH462,6))))</f>
        <v/>
      </c>
      <c r="W462" s="50" t="str">
        <f>IF($AM462=0,"",IF($BG462="","OK",LEFT($BG462,LEN($BG462)-2)))</f>
        <v/>
      </c>
      <c r="X462" s="41" t="n"/>
      <c r="Y462" s="40" t="n"/>
      <c r="Z462" s="41" t="n"/>
      <c r="AA462" s="41" t="n"/>
      <c r="AB462" s="40" t="n"/>
      <c r="AC462" s="51" t="n"/>
      <c r="AD462" s="51" t="n"/>
      <c r="AE462" s="40" t="n"/>
      <c r="AF462" s="52" t="str">
        <f>IF($AM462=0,"",IF($D462&lt;&gt;"",$D462,IF(IFERROR(INDEX(Accounts!$C$7:$C$16,MATCH($C462,Accounts!$B$7:$B$16,0))&amp;"","")&lt;&gt;"",INDEX(Accounts!$C$7:$C$16,MATCH($C462,Accounts!$B$7:$B$16,0)),Settings!$C$6)))</f>
        <v/>
      </c>
      <c r="AG462" s="53" t="str">
        <f>IF($AM462=0,"",IF(AND($BE462&gt;0,N(INDEX(Instruments!$D$6:$D$205,MAX(1,$BE462)))&gt;0),INDEX(Instruments!$D$6:$D$205,MAX(1,$BE462)),IF(N(INDEX(Settings!$D$14:$D$18,$BF462))&gt;0,INDEX(Settings!$D$14:$D$18,$BF462),"")))</f>
        <v/>
      </c>
      <c r="AH462" s="54" t="str">
        <f>IF($AM462=0,"",IF($AF462&lt;&gt;"Forex",1,IF(MID(UPPER(SUBSTITUTE(TRIM($E462),"/","")),4,3)=UPPER(TRIM(Settings!$C$7)),1,IF(LEFT(UPPER(SUBSTITUTE(TRIM($E462),"/","")),3)=UPPER(TRIM(Settings!$C$7)),IF(AND(ISNUMBER($K462),N($K462)&lt;&gt;0),1/$K462,""),""))))</f>
        <v/>
      </c>
      <c r="AI462" s="55" t="str">
        <f>IF($AM462=0,"",IF(OR(NOT(ISNUMBER($H462)),NOT(ISNUMBER($K462)),NOT(ISNUMBER($G462)),$AG462="",$AH462=""),"",ROUND(($K462-$H462)*IF($F462="Short",-1,1)*$G462*$AG462*$AH462,6)))</f>
        <v/>
      </c>
      <c r="AJ462" s="55" t="str">
        <f>IF($AM462=0,"",IF(INDEX(Settings!$E$14:$E$18,$BF462)="% of notional",IF(OR($AG462="",NOT(ISNUMBER($H462)),NOT(ISNUMBER($G462))),"",ROUND(ABS($H462*$G462*$AG462*N($AH462))*IF($L462="Limit",N(INDEX(Settings!$G$14:$G$18,$BF462)),N(INDEX(Settings!$H$14:$H$18,$BF462)))+IF(ISNUMBER($K462),ABS($K462*$G462*$AG462*N($AH462))*IF($M462="Target",N(INDEX(Settings!$G$14:$G$18,$BF462)),N(INDEX(Settings!$H$14:$H$18,$BF462))),0),6)),IF(NOT(ISNUMBER($G462)),"",ROUND(ABS($G462)*2*IF(AND($BE462&gt;0,ISNUMBER(INDEX(Instruments!$G$6:$G$205,MAX(1,$BE462)))),INDEX(Instruments!$G$6:$G$205,MAX(1,$BE462)),N(INDEX(Settings!$F$14:$F$18,$BF462))),6))))</f>
        <v/>
      </c>
      <c r="AK462" s="55" t="str">
        <f>IF($AM462=0,"",IF(ISNUMBER($O462),$O462,$AI462))</f>
        <v/>
      </c>
      <c r="AL462" s="55" t="str">
        <f>IF($AM462=0,"",IF(ISNUMBER($P462),$P462,N($AJ462)))</f>
        <v/>
      </c>
      <c r="AM462" s="56">
        <f>IF(AND($A462&lt;&gt;"",$E462&lt;&gt;"",OR(AND(ISNUMBER($G462),ISNUMBER($H462),ISNUMBER($K462)),ISNUMBER($O462))),1,0)</f>
        <v>0</v>
      </c>
      <c r="AN462" s="57" t="str">
        <f>IF($A462="","",$A462-WEEKDAY($A462,3))</f>
        <v/>
      </c>
      <c r="AO462" s="56" t="str">
        <f>IF($A462="","",WEEKDAY($A462,2))</f>
        <v/>
      </c>
      <c r="AP462" s="55" t="str">
        <f>IF(OR($AM462=0,$C462=""),"",IFERROR(N(INDEX(Accounts!$E$7:$E$16,MATCH($C462,Accounts!$B$7:$B$16,0))),0)+SUMIFS($Q$6:$Q462,$C$6:$C462,$C462))</f>
        <v/>
      </c>
      <c r="AQ462" s="55" t="str">
        <f>IF(OR($AM462=0,$C462=""),"",SUMIFS($Q$6:$Q$1005,$C$6:$C$1005,$C462,$A$6:$A$1005,$A462))</f>
        <v/>
      </c>
      <c r="AR462" s="55" t="str">
        <f>IF(OR($AM462=0,$C462=""),"",IFERROR(N(INDEX(Accounts!$E$7:$E$16,MATCH($C462,Accounts!$B$7:$B$16,0))),0)+SUMIFS($Q$6:$Q$1005,$C$6:$C$1005,$C462,$A$6:$A$1005,"&lt;="&amp;$A462))</f>
        <v/>
      </c>
      <c r="AS462" s="56">
        <f>IF(OR($AM462=0,$Q462=""),0,IF(AND($A462&gt;=Lists!$W$6,$A462&lt;=Lists!$W$7,OR(Dashboard!$D$6="All accounts",$C462=Dashboard!$D$6),OR(Dashboard!$D$7="All markets",$AF462=Dashboard!$D$7)),1,0))</f>
        <v>0</v>
      </c>
      <c r="AT462" s="55">
        <f>IF($AS462=1,N(AT461)+$Q462,N(AT461))</f>
        <v>1187.10688</v>
      </c>
      <c r="AU462" s="55">
        <f>MAX(N(AU461),$AT462)</f>
        <v>1187.10688</v>
      </c>
      <c r="AV462" s="55">
        <f>$AT462-$AU462</f>
        <v>0</v>
      </c>
      <c r="AW462" s="56">
        <f>IF($AS462=1,IF($S462="Win",N(AW461)+1,IF($S462="Loss",0,N(AW461))),N(AW461))</f>
        <v>5</v>
      </c>
      <c r="AX462" s="56">
        <f>IF($AS462=1,IF($S462="Loss",N(AX461)+1,IF($S462="Win",0,N(AX461))),N(AX461))</f>
        <v>0</v>
      </c>
      <c r="AY462" s="56" t="str">
        <f>IF($AS462=1,COUNTIF($AS$6:$AS462,1),"")</f>
        <v/>
      </c>
      <c r="AZ462" s="56">
        <f>MIN(456,N(Lists!$W$8))</f>
        <v>28</v>
      </c>
      <c r="BA462" s="56">
        <f>IF($AS462=1,IF(COUNTIFS($A$6:$A462,$A462,$AS$6:$AS462,1)=1,1,0),0)</f>
        <v>0</v>
      </c>
      <c r="BB462" s="55" t="str">
        <f>IF($BA462=1,SUMIFS($Q$6:$Q$1005,$A$6:$A$1005,$A462,$AS$6:$AS$1005,1),"")</f>
        <v/>
      </c>
      <c r="BC462" s="56">
        <f>IF(ISNUMBER($R462),1,0)</f>
        <v>0</v>
      </c>
      <c r="BD462" s="55" t="str">
        <f>IF(ISNUMBER($U462),$U462*$V462,"")</f>
        <v/>
      </c>
      <c r="BE462" s="56" t="str">
        <f>IF($AM462=0,"",IFERROR(MATCH($AF462&amp;"|"&amp;UPPER(TRIM($E462)),Lists!$A$6:$A$205,0),0))</f>
        <v/>
      </c>
      <c r="BF462" s="56" t="str">
        <f>IF($AM462=0,"",IFERROR(MATCH($AF462,Settings!$B$14:$B$18,0),IFERROR(MATCH(Settings!$C$6,Settings!$B$14:$B$18,0),1)))</f>
        <v/>
      </c>
      <c r="BG462" s="58" t="str">
        <f>IF($AM462=0,"",IF(NOT(ISNUMBER($I462)),"No stop; ","")&amp;IF(AND(ISNUMBER($H462),ISNUMBER($I462)),IF(OR(AND($F462&lt;&gt;"Short",$I462&gt;=$H462),AND($F462="Short",$I462&lt;=$H462)),"Stop on wrong side; ",""),"")&amp;IF($F462="","No direction; ","")&amp;IF(AND(ISNUMBER(Settings!$C$22),ISNUMBER($V462)),IF($V462&gt;Settings!$C$22,"Risk over max $; ",""),"")&amp;IF(AND(ISNUMBER(Settings!$C$23),ISNUMBER($V462),ISNUMBER($AP462),IFERROR(N(INDEX(Accounts!$E$7:$E$16,MATCH($C462,Accounts!$B$7:$B$16,0))),0)&gt;0),IF($V462&gt;Settings!$C$23*($AP462-N($Q462)),"Risk over max %; ",""),"")&amp;IF(AND(ISNUMBER(Settings!$C$24),ISNUMBER($N462)),IF($N462&gt;Settings!$C$24,"Leverage over max; ",""),"")&amp;IF(AND(ISNUMBER(Settings!$C$27),ISNUMBER($T462)),IF($T462&lt;Settings!$C$27,"R:R below min; ",""),"")&amp;IF(ISNUMBER(Settings!$C$25),IF(COUNTIFS($A$6:$A462,$A462,$AM$6:$AM462,1)&gt;Settings!$C$25,"Over max trades/day; ",""),"")&amp;IF(ISNUMBER(Settings!$C$26),IF(SUMIFS($Q$5:$Q461,$A$5:$A461,$A462)&lt;=-Settings!$C$26,"Traded after daily max loss; ",""),"")&amp;IF(AND($AG462="",NOT(ISNUMBER($O462))),"Symbol not in Instruments; ","")&amp;IF(AND($AH462="",NOT(ISNUMBER($O462))),"Forex cross: type Gross P&amp;L; ",""))</f>
        <v/>
      </c>
      <c r="BH462" s="56">
        <f>IF(ISNUMBER($Q462),1,0)</f>
        <v>0</v>
      </c>
      <c r="BI462" s="56">
        <f>IF($Y462="",0,1)</f>
        <v>0</v>
      </c>
      <c r="BJ462" s="56">
        <f>IF($AB462="",0,1)</f>
        <v>0</v>
      </c>
      <c r="BK462" s="56">
        <f>IF(AND($BH462=1,$W462&lt;&gt;"OK"),1,0)</f>
        <v>0</v>
      </c>
      <c r="BL462" s="55">
        <f>IF(N($AZ462)=0,0,IFERROR(INDEX($AT$6:$AT$1005,MATCH($AZ462,$AY$6:$AY$1005,0)),0))</f>
        <v>1187.10688</v>
      </c>
      <c r="BM462" s="56">
        <f>IF(ISNUMBER(SEARCH("daily max loss",$BG462)),1,0)</f>
        <v>0</v>
      </c>
    </row>
    <row r="463" ht="18" customHeight="1">
      <c r="A463" s="38" t="n"/>
      <c r="B463" s="39" t="n"/>
      <c r="C463" s="40" t="n"/>
      <c r="D463" s="41" t="n"/>
      <c r="E463" s="41" t="n"/>
      <c r="F463" s="41" t="n"/>
      <c r="G463" s="41" t="n"/>
      <c r="H463" s="42" t="n"/>
      <c r="I463" s="42" t="n"/>
      <c r="J463" s="42" t="n"/>
      <c r="K463" s="42" t="n"/>
      <c r="L463" s="41" t="n"/>
      <c r="M463" s="41" t="n"/>
      <c r="N463" s="41" t="n"/>
      <c r="O463" s="43" t="n"/>
      <c r="P463" s="43" t="n"/>
      <c r="Q463" s="44" t="str">
        <f>IF($AM463=0,"",IF(ISNUMBER($AK463),$AK463-N($AL463),""))</f>
        <v/>
      </c>
      <c r="R463" s="45" t="str">
        <f>IF(OR($Q463="",NOT(ISNUMBER($V463))),"",$AK463/$V463)</f>
        <v/>
      </c>
      <c r="S463" s="46" t="str">
        <f>IF($Q463="","",IF(AND(ISNUMBER($R463),ABS(N($R463))&lt;N(Settings!$C$8)),"Scratch",IF($Q463&gt;0,"Win",IF($Q463&lt;0,"Loss","Scratch"))))</f>
        <v/>
      </c>
      <c r="T463" s="47" t="str">
        <f>IF(OR($AM463=0,NOT(ISNUMBER($H463)),NOT(ISNUMBER($I463)),NOT(ISNUMBER($J463))),"",IF($H463=$I463,"",ROUND(ABS($J463-$H463)/ABS($H463-$I463),6)))</f>
        <v/>
      </c>
      <c r="U463" s="48" t="str">
        <f>IF(OR($S463&lt;&gt;"Win",NOT(ISNUMBER($T463)),NOT(ISNUMBER($R463))),"",MAX(0,$T463-$R463))</f>
        <v/>
      </c>
      <c r="V463" s="49" t="str">
        <f>IF(OR($AM463=0,NOT(ISNUMBER($H463)),NOT(ISNUMBER($I463)),NOT(ISNUMBER($G463))),"",IF(OR($AG463="",$AH463=""),"",IF(ROUND(ABS($H463-$I463)*ABS($G463)*$AG463*$AH463,6)=0,"",ROUND(ABS($H463-$I463)*ABS($G463)*$AG463*$AH463,6))))</f>
        <v/>
      </c>
      <c r="W463" s="50" t="str">
        <f>IF($AM463=0,"",IF($BG463="","OK",LEFT($BG463,LEN($BG463)-2)))</f>
        <v/>
      </c>
      <c r="X463" s="41" t="n"/>
      <c r="Y463" s="40" t="n"/>
      <c r="Z463" s="41" t="n"/>
      <c r="AA463" s="41" t="n"/>
      <c r="AB463" s="40" t="n"/>
      <c r="AC463" s="51" t="n"/>
      <c r="AD463" s="51" t="n"/>
      <c r="AE463" s="40" t="n"/>
      <c r="AF463" s="52" t="str">
        <f>IF($AM463=0,"",IF($D463&lt;&gt;"",$D463,IF(IFERROR(INDEX(Accounts!$C$7:$C$16,MATCH($C463,Accounts!$B$7:$B$16,0))&amp;"","")&lt;&gt;"",INDEX(Accounts!$C$7:$C$16,MATCH($C463,Accounts!$B$7:$B$16,0)),Settings!$C$6)))</f>
        <v/>
      </c>
      <c r="AG463" s="53" t="str">
        <f>IF($AM463=0,"",IF(AND($BE463&gt;0,N(INDEX(Instruments!$D$6:$D$205,MAX(1,$BE463)))&gt;0),INDEX(Instruments!$D$6:$D$205,MAX(1,$BE463)),IF(N(INDEX(Settings!$D$14:$D$18,$BF463))&gt;0,INDEX(Settings!$D$14:$D$18,$BF463),"")))</f>
        <v/>
      </c>
      <c r="AH463" s="54" t="str">
        <f>IF($AM463=0,"",IF($AF463&lt;&gt;"Forex",1,IF(MID(UPPER(SUBSTITUTE(TRIM($E463),"/","")),4,3)=UPPER(TRIM(Settings!$C$7)),1,IF(LEFT(UPPER(SUBSTITUTE(TRIM($E463),"/","")),3)=UPPER(TRIM(Settings!$C$7)),IF(AND(ISNUMBER($K463),N($K463)&lt;&gt;0),1/$K463,""),""))))</f>
        <v/>
      </c>
      <c r="AI463" s="55" t="str">
        <f>IF($AM463=0,"",IF(OR(NOT(ISNUMBER($H463)),NOT(ISNUMBER($K463)),NOT(ISNUMBER($G463)),$AG463="",$AH463=""),"",ROUND(($K463-$H463)*IF($F463="Short",-1,1)*$G463*$AG463*$AH463,6)))</f>
        <v/>
      </c>
      <c r="AJ463" s="55" t="str">
        <f>IF($AM463=0,"",IF(INDEX(Settings!$E$14:$E$18,$BF463)="% of notional",IF(OR($AG463="",NOT(ISNUMBER($H463)),NOT(ISNUMBER($G463))),"",ROUND(ABS($H463*$G463*$AG463*N($AH463))*IF($L463="Limit",N(INDEX(Settings!$G$14:$G$18,$BF463)),N(INDEX(Settings!$H$14:$H$18,$BF463)))+IF(ISNUMBER($K463),ABS($K463*$G463*$AG463*N($AH463))*IF($M463="Target",N(INDEX(Settings!$G$14:$G$18,$BF463)),N(INDEX(Settings!$H$14:$H$18,$BF463))),0),6)),IF(NOT(ISNUMBER($G463)),"",ROUND(ABS($G463)*2*IF(AND($BE463&gt;0,ISNUMBER(INDEX(Instruments!$G$6:$G$205,MAX(1,$BE463)))),INDEX(Instruments!$G$6:$G$205,MAX(1,$BE463)),N(INDEX(Settings!$F$14:$F$18,$BF463))),6))))</f>
        <v/>
      </c>
      <c r="AK463" s="55" t="str">
        <f>IF($AM463=0,"",IF(ISNUMBER($O463),$O463,$AI463))</f>
        <v/>
      </c>
      <c r="AL463" s="55" t="str">
        <f>IF($AM463=0,"",IF(ISNUMBER($P463),$P463,N($AJ463)))</f>
        <v/>
      </c>
      <c r="AM463" s="56">
        <f>IF(AND($A463&lt;&gt;"",$E463&lt;&gt;"",OR(AND(ISNUMBER($G463),ISNUMBER($H463),ISNUMBER($K463)),ISNUMBER($O463))),1,0)</f>
        <v>0</v>
      </c>
      <c r="AN463" s="57" t="str">
        <f>IF($A463="","",$A463-WEEKDAY($A463,3))</f>
        <v/>
      </c>
      <c r="AO463" s="56" t="str">
        <f>IF($A463="","",WEEKDAY($A463,2))</f>
        <v/>
      </c>
      <c r="AP463" s="55" t="str">
        <f>IF(OR($AM463=0,$C463=""),"",IFERROR(N(INDEX(Accounts!$E$7:$E$16,MATCH($C463,Accounts!$B$7:$B$16,0))),0)+SUMIFS($Q$6:$Q463,$C$6:$C463,$C463))</f>
        <v/>
      </c>
      <c r="AQ463" s="55" t="str">
        <f>IF(OR($AM463=0,$C463=""),"",SUMIFS($Q$6:$Q$1005,$C$6:$C$1005,$C463,$A$6:$A$1005,$A463))</f>
        <v/>
      </c>
      <c r="AR463" s="55" t="str">
        <f>IF(OR($AM463=0,$C463=""),"",IFERROR(N(INDEX(Accounts!$E$7:$E$16,MATCH($C463,Accounts!$B$7:$B$16,0))),0)+SUMIFS($Q$6:$Q$1005,$C$6:$C$1005,$C463,$A$6:$A$1005,"&lt;="&amp;$A463))</f>
        <v/>
      </c>
      <c r="AS463" s="56">
        <f>IF(OR($AM463=0,$Q463=""),0,IF(AND($A463&gt;=Lists!$W$6,$A463&lt;=Lists!$W$7,OR(Dashboard!$D$6="All accounts",$C463=Dashboard!$D$6),OR(Dashboard!$D$7="All markets",$AF463=Dashboard!$D$7)),1,0))</f>
        <v>0</v>
      </c>
      <c r="AT463" s="55">
        <f>IF($AS463=1,N(AT462)+$Q463,N(AT462))</f>
        <v>1187.10688</v>
      </c>
      <c r="AU463" s="55">
        <f>MAX(N(AU462),$AT463)</f>
        <v>1187.10688</v>
      </c>
      <c r="AV463" s="55">
        <f>$AT463-$AU463</f>
        <v>0</v>
      </c>
      <c r="AW463" s="56">
        <f>IF($AS463=1,IF($S463="Win",N(AW462)+1,IF($S463="Loss",0,N(AW462))),N(AW462))</f>
        <v>5</v>
      </c>
      <c r="AX463" s="56">
        <f>IF($AS463=1,IF($S463="Loss",N(AX462)+1,IF($S463="Win",0,N(AX462))),N(AX462))</f>
        <v>0</v>
      </c>
      <c r="AY463" s="56" t="str">
        <f>IF($AS463=1,COUNTIF($AS$6:$AS463,1),"")</f>
        <v/>
      </c>
      <c r="AZ463" s="56">
        <f>MIN(457,N(Lists!$W$8))</f>
        <v>28</v>
      </c>
      <c r="BA463" s="56">
        <f>IF($AS463=1,IF(COUNTIFS($A$6:$A463,$A463,$AS$6:$AS463,1)=1,1,0),0)</f>
        <v>0</v>
      </c>
      <c r="BB463" s="55" t="str">
        <f>IF($BA463=1,SUMIFS($Q$6:$Q$1005,$A$6:$A$1005,$A463,$AS$6:$AS$1005,1),"")</f>
        <v/>
      </c>
      <c r="BC463" s="56">
        <f>IF(ISNUMBER($R463),1,0)</f>
        <v>0</v>
      </c>
      <c r="BD463" s="55" t="str">
        <f>IF(ISNUMBER($U463),$U463*$V463,"")</f>
        <v/>
      </c>
      <c r="BE463" s="56" t="str">
        <f>IF($AM463=0,"",IFERROR(MATCH($AF463&amp;"|"&amp;UPPER(TRIM($E463)),Lists!$A$6:$A$205,0),0))</f>
        <v/>
      </c>
      <c r="BF463" s="56" t="str">
        <f>IF($AM463=0,"",IFERROR(MATCH($AF463,Settings!$B$14:$B$18,0),IFERROR(MATCH(Settings!$C$6,Settings!$B$14:$B$18,0),1)))</f>
        <v/>
      </c>
      <c r="BG463" s="58" t="str">
        <f>IF($AM463=0,"",IF(NOT(ISNUMBER($I463)),"No stop; ","")&amp;IF(AND(ISNUMBER($H463),ISNUMBER($I463)),IF(OR(AND($F463&lt;&gt;"Short",$I463&gt;=$H463),AND($F463="Short",$I463&lt;=$H463)),"Stop on wrong side; ",""),"")&amp;IF($F463="","No direction; ","")&amp;IF(AND(ISNUMBER(Settings!$C$22),ISNUMBER($V463)),IF($V463&gt;Settings!$C$22,"Risk over max $; ",""),"")&amp;IF(AND(ISNUMBER(Settings!$C$23),ISNUMBER($V463),ISNUMBER($AP463),IFERROR(N(INDEX(Accounts!$E$7:$E$16,MATCH($C463,Accounts!$B$7:$B$16,0))),0)&gt;0),IF($V463&gt;Settings!$C$23*($AP463-N($Q463)),"Risk over max %; ",""),"")&amp;IF(AND(ISNUMBER(Settings!$C$24),ISNUMBER($N463)),IF($N463&gt;Settings!$C$24,"Leverage over max; ",""),"")&amp;IF(AND(ISNUMBER(Settings!$C$27),ISNUMBER($T463)),IF($T463&lt;Settings!$C$27,"R:R below min; ",""),"")&amp;IF(ISNUMBER(Settings!$C$25),IF(COUNTIFS($A$6:$A463,$A463,$AM$6:$AM463,1)&gt;Settings!$C$25,"Over max trades/day; ",""),"")&amp;IF(ISNUMBER(Settings!$C$26),IF(SUMIFS($Q$5:$Q462,$A$5:$A462,$A463)&lt;=-Settings!$C$26,"Traded after daily max loss; ",""),"")&amp;IF(AND($AG463="",NOT(ISNUMBER($O463))),"Symbol not in Instruments; ","")&amp;IF(AND($AH463="",NOT(ISNUMBER($O463))),"Forex cross: type Gross P&amp;L; ",""))</f>
        <v/>
      </c>
      <c r="BH463" s="56">
        <f>IF(ISNUMBER($Q463),1,0)</f>
        <v>0</v>
      </c>
      <c r="BI463" s="56">
        <f>IF($Y463="",0,1)</f>
        <v>0</v>
      </c>
      <c r="BJ463" s="56">
        <f>IF($AB463="",0,1)</f>
        <v>0</v>
      </c>
      <c r="BK463" s="56">
        <f>IF(AND($BH463=1,$W463&lt;&gt;"OK"),1,0)</f>
        <v>0</v>
      </c>
      <c r="BL463" s="55">
        <f>IF(N($AZ463)=0,0,IFERROR(INDEX($AT$6:$AT$1005,MATCH($AZ463,$AY$6:$AY$1005,0)),0))</f>
        <v>1187.10688</v>
      </c>
      <c r="BM463" s="56">
        <f>IF(ISNUMBER(SEARCH("daily max loss",$BG463)),1,0)</f>
        <v>0</v>
      </c>
    </row>
    <row r="464" ht="18" customHeight="1">
      <c r="A464" s="38" t="n"/>
      <c r="B464" s="39" t="n"/>
      <c r="C464" s="40" t="n"/>
      <c r="D464" s="41" t="n"/>
      <c r="E464" s="41" t="n"/>
      <c r="F464" s="41" t="n"/>
      <c r="G464" s="41" t="n"/>
      <c r="H464" s="42" t="n"/>
      <c r="I464" s="42" t="n"/>
      <c r="J464" s="42" t="n"/>
      <c r="K464" s="42" t="n"/>
      <c r="L464" s="41" t="n"/>
      <c r="M464" s="41" t="n"/>
      <c r="N464" s="41" t="n"/>
      <c r="O464" s="43" t="n"/>
      <c r="P464" s="43" t="n"/>
      <c r="Q464" s="44" t="str">
        <f>IF($AM464=0,"",IF(ISNUMBER($AK464),$AK464-N($AL464),""))</f>
        <v/>
      </c>
      <c r="R464" s="45" t="str">
        <f>IF(OR($Q464="",NOT(ISNUMBER($V464))),"",$AK464/$V464)</f>
        <v/>
      </c>
      <c r="S464" s="46" t="str">
        <f>IF($Q464="","",IF(AND(ISNUMBER($R464),ABS(N($R464))&lt;N(Settings!$C$8)),"Scratch",IF($Q464&gt;0,"Win",IF($Q464&lt;0,"Loss","Scratch"))))</f>
        <v/>
      </c>
      <c r="T464" s="47" t="str">
        <f>IF(OR($AM464=0,NOT(ISNUMBER($H464)),NOT(ISNUMBER($I464)),NOT(ISNUMBER($J464))),"",IF($H464=$I464,"",ROUND(ABS($J464-$H464)/ABS($H464-$I464),6)))</f>
        <v/>
      </c>
      <c r="U464" s="48" t="str">
        <f>IF(OR($S464&lt;&gt;"Win",NOT(ISNUMBER($T464)),NOT(ISNUMBER($R464))),"",MAX(0,$T464-$R464))</f>
        <v/>
      </c>
      <c r="V464" s="49" t="str">
        <f>IF(OR($AM464=0,NOT(ISNUMBER($H464)),NOT(ISNUMBER($I464)),NOT(ISNUMBER($G464))),"",IF(OR($AG464="",$AH464=""),"",IF(ROUND(ABS($H464-$I464)*ABS($G464)*$AG464*$AH464,6)=0,"",ROUND(ABS($H464-$I464)*ABS($G464)*$AG464*$AH464,6))))</f>
        <v/>
      </c>
      <c r="W464" s="50" t="str">
        <f>IF($AM464=0,"",IF($BG464="","OK",LEFT($BG464,LEN($BG464)-2)))</f>
        <v/>
      </c>
      <c r="X464" s="41" t="n"/>
      <c r="Y464" s="40" t="n"/>
      <c r="Z464" s="41" t="n"/>
      <c r="AA464" s="41" t="n"/>
      <c r="AB464" s="40" t="n"/>
      <c r="AC464" s="51" t="n"/>
      <c r="AD464" s="51" t="n"/>
      <c r="AE464" s="40" t="n"/>
      <c r="AF464" s="52" t="str">
        <f>IF($AM464=0,"",IF($D464&lt;&gt;"",$D464,IF(IFERROR(INDEX(Accounts!$C$7:$C$16,MATCH($C464,Accounts!$B$7:$B$16,0))&amp;"","")&lt;&gt;"",INDEX(Accounts!$C$7:$C$16,MATCH($C464,Accounts!$B$7:$B$16,0)),Settings!$C$6)))</f>
        <v/>
      </c>
      <c r="AG464" s="53" t="str">
        <f>IF($AM464=0,"",IF(AND($BE464&gt;0,N(INDEX(Instruments!$D$6:$D$205,MAX(1,$BE464)))&gt;0),INDEX(Instruments!$D$6:$D$205,MAX(1,$BE464)),IF(N(INDEX(Settings!$D$14:$D$18,$BF464))&gt;0,INDEX(Settings!$D$14:$D$18,$BF464),"")))</f>
        <v/>
      </c>
      <c r="AH464" s="54" t="str">
        <f>IF($AM464=0,"",IF($AF464&lt;&gt;"Forex",1,IF(MID(UPPER(SUBSTITUTE(TRIM($E464),"/","")),4,3)=UPPER(TRIM(Settings!$C$7)),1,IF(LEFT(UPPER(SUBSTITUTE(TRIM($E464),"/","")),3)=UPPER(TRIM(Settings!$C$7)),IF(AND(ISNUMBER($K464),N($K464)&lt;&gt;0),1/$K464,""),""))))</f>
        <v/>
      </c>
      <c r="AI464" s="55" t="str">
        <f>IF($AM464=0,"",IF(OR(NOT(ISNUMBER($H464)),NOT(ISNUMBER($K464)),NOT(ISNUMBER($G464)),$AG464="",$AH464=""),"",ROUND(($K464-$H464)*IF($F464="Short",-1,1)*$G464*$AG464*$AH464,6)))</f>
        <v/>
      </c>
      <c r="AJ464" s="55" t="str">
        <f>IF($AM464=0,"",IF(INDEX(Settings!$E$14:$E$18,$BF464)="% of notional",IF(OR($AG464="",NOT(ISNUMBER($H464)),NOT(ISNUMBER($G464))),"",ROUND(ABS($H464*$G464*$AG464*N($AH464))*IF($L464="Limit",N(INDEX(Settings!$G$14:$G$18,$BF464)),N(INDEX(Settings!$H$14:$H$18,$BF464)))+IF(ISNUMBER($K464),ABS($K464*$G464*$AG464*N($AH464))*IF($M464="Target",N(INDEX(Settings!$G$14:$G$18,$BF464)),N(INDEX(Settings!$H$14:$H$18,$BF464))),0),6)),IF(NOT(ISNUMBER($G464)),"",ROUND(ABS($G464)*2*IF(AND($BE464&gt;0,ISNUMBER(INDEX(Instruments!$G$6:$G$205,MAX(1,$BE464)))),INDEX(Instruments!$G$6:$G$205,MAX(1,$BE464)),N(INDEX(Settings!$F$14:$F$18,$BF464))),6))))</f>
        <v/>
      </c>
      <c r="AK464" s="55" t="str">
        <f>IF($AM464=0,"",IF(ISNUMBER($O464),$O464,$AI464))</f>
        <v/>
      </c>
      <c r="AL464" s="55" t="str">
        <f>IF($AM464=0,"",IF(ISNUMBER($P464),$P464,N($AJ464)))</f>
        <v/>
      </c>
      <c r="AM464" s="56">
        <f>IF(AND($A464&lt;&gt;"",$E464&lt;&gt;"",OR(AND(ISNUMBER($G464),ISNUMBER($H464),ISNUMBER($K464)),ISNUMBER($O464))),1,0)</f>
        <v>0</v>
      </c>
      <c r="AN464" s="57" t="str">
        <f>IF($A464="","",$A464-WEEKDAY($A464,3))</f>
        <v/>
      </c>
      <c r="AO464" s="56" t="str">
        <f>IF($A464="","",WEEKDAY($A464,2))</f>
        <v/>
      </c>
      <c r="AP464" s="55" t="str">
        <f>IF(OR($AM464=0,$C464=""),"",IFERROR(N(INDEX(Accounts!$E$7:$E$16,MATCH($C464,Accounts!$B$7:$B$16,0))),0)+SUMIFS($Q$6:$Q464,$C$6:$C464,$C464))</f>
        <v/>
      </c>
      <c r="AQ464" s="55" t="str">
        <f>IF(OR($AM464=0,$C464=""),"",SUMIFS($Q$6:$Q$1005,$C$6:$C$1005,$C464,$A$6:$A$1005,$A464))</f>
        <v/>
      </c>
      <c r="AR464" s="55" t="str">
        <f>IF(OR($AM464=0,$C464=""),"",IFERROR(N(INDEX(Accounts!$E$7:$E$16,MATCH($C464,Accounts!$B$7:$B$16,0))),0)+SUMIFS($Q$6:$Q$1005,$C$6:$C$1005,$C464,$A$6:$A$1005,"&lt;="&amp;$A464))</f>
        <v/>
      </c>
      <c r="AS464" s="56">
        <f>IF(OR($AM464=0,$Q464=""),0,IF(AND($A464&gt;=Lists!$W$6,$A464&lt;=Lists!$W$7,OR(Dashboard!$D$6="All accounts",$C464=Dashboard!$D$6),OR(Dashboard!$D$7="All markets",$AF464=Dashboard!$D$7)),1,0))</f>
        <v>0</v>
      </c>
      <c r="AT464" s="55">
        <f>IF($AS464=1,N(AT463)+$Q464,N(AT463))</f>
        <v>1187.10688</v>
      </c>
      <c r="AU464" s="55">
        <f>MAX(N(AU463),$AT464)</f>
        <v>1187.10688</v>
      </c>
      <c r="AV464" s="55">
        <f>$AT464-$AU464</f>
        <v>0</v>
      </c>
      <c r="AW464" s="56">
        <f>IF($AS464=1,IF($S464="Win",N(AW463)+1,IF($S464="Loss",0,N(AW463))),N(AW463))</f>
        <v>5</v>
      </c>
      <c r="AX464" s="56">
        <f>IF($AS464=1,IF($S464="Loss",N(AX463)+1,IF($S464="Win",0,N(AX463))),N(AX463))</f>
        <v>0</v>
      </c>
      <c r="AY464" s="56" t="str">
        <f>IF($AS464=1,COUNTIF($AS$6:$AS464,1),"")</f>
        <v/>
      </c>
      <c r="AZ464" s="56">
        <f>MIN(458,N(Lists!$W$8))</f>
        <v>28</v>
      </c>
      <c r="BA464" s="56">
        <f>IF($AS464=1,IF(COUNTIFS($A$6:$A464,$A464,$AS$6:$AS464,1)=1,1,0),0)</f>
        <v>0</v>
      </c>
      <c r="BB464" s="55" t="str">
        <f>IF($BA464=1,SUMIFS($Q$6:$Q$1005,$A$6:$A$1005,$A464,$AS$6:$AS$1005,1),"")</f>
        <v/>
      </c>
      <c r="BC464" s="56">
        <f>IF(ISNUMBER($R464),1,0)</f>
        <v>0</v>
      </c>
      <c r="BD464" s="55" t="str">
        <f>IF(ISNUMBER($U464),$U464*$V464,"")</f>
        <v/>
      </c>
      <c r="BE464" s="56" t="str">
        <f>IF($AM464=0,"",IFERROR(MATCH($AF464&amp;"|"&amp;UPPER(TRIM($E464)),Lists!$A$6:$A$205,0),0))</f>
        <v/>
      </c>
      <c r="BF464" s="56" t="str">
        <f>IF($AM464=0,"",IFERROR(MATCH($AF464,Settings!$B$14:$B$18,0),IFERROR(MATCH(Settings!$C$6,Settings!$B$14:$B$18,0),1)))</f>
        <v/>
      </c>
      <c r="BG464" s="58" t="str">
        <f>IF($AM464=0,"",IF(NOT(ISNUMBER($I464)),"No stop; ","")&amp;IF(AND(ISNUMBER($H464),ISNUMBER($I464)),IF(OR(AND($F464&lt;&gt;"Short",$I464&gt;=$H464),AND($F464="Short",$I464&lt;=$H464)),"Stop on wrong side; ",""),"")&amp;IF($F464="","No direction; ","")&amp;IF(AND(ISNUMBER(Settings!$C$22),ISNUMBER($V464)),IF($V464&gt;Settings!$C$22,"Risk over max $; ",""),"")&amp;IF(AND(ISNUMBER(Settings!$C$23),ISNUMBER($V464),ISNUMBER($AP464),IFERROR(N(INDEX(Accounts!$E$7:$E$16,MATCH($C464,Accounts!$B$7:$B$16,0))),0)&gt;0),IF($V464&gt;Settings!$C$23*($AP464-N($Q464)),"Risk over max %; ",""),"")&amp;IF(AND(ISNUMBER(Settings!$C$24),ISNUMBER($N464)),IF($N464&gt;Settings!$C$24,"Leverage over max; ",""),"")&amp;IF(AND(ISNUMBER(Settings!$C$27),ISNUMBER($T464)),IF($T464&lt;Settings!$C$27,"R:R below min; ",""),"")&amp;IF(ISNUMBER(Settings!$C$25),IF(COUNTIFS($A$6:$A464,$A464,$AM$6:$AM464,1)&gt;Settings!$C$25,"Over max trades/day; ",""),"")&amp;IF(ISNUMBER(Settings!$C$26),IF(SUMIFS($Q$5:$Q463,$A$5:$A463,$A464)&lt;=-Settings!$C$26,"Traded after daily max loss; ",""),"")&amp;IF(AND($AG464="",NOT(ISNUMBER($O464))),"Symbol not in Instruments; ","")&amp;IF(AND($AH464="",NOT(ISNUMBER($O464))),"Forex cross: type Gross P&amp;L; ",""))</f>
        <v/>
      </c>
      <c r="BH464" s="56">
        <f>IF(ISNUMBER($Q464),1,0)</f>
        <v>0</v>
      </c>
      <c r="BI464" s="56">
        <f>IF($Y464="",0,1)</f>
        <v>0</v>
      </c>
      <c r="BJ464" s="56">
        <f>IF($AB464="",0,1)</f>
        <v>0</v>
      </c>
      <c r="BK464" s="56">
        <f>IF(AND($BH464=1,$W464&lt;&gt;"OK"),1,0)</f>
        <v>0</v>
      </c>
      <c r="BL464" s="55">
        <f>IF(N($AZ464)=0,0,IFERROR(INDEX($AT$6:$AT$1005,MATCH($AZ464,$AY$6:$AY$1005,0)),0))</f>
        <v>1187.10688</v>
      </c>
      <c r="BM464" s="56">
        <f>IF(ISNUMBER(SEARCH("daily max loss",$BG464)),1,0)</f>
        <v>0</v>
      </c>
    </row>
    <row r="465" ht="18" customHeight="1">
      <c r="A465" s="38" t="n"/>
      <c r="B465" s="39" t="n"/>
      <c r="C465" s="40" t="n"/>
      <c r="D465" s="41" t="n"/>
      <c r="E465" s="41" t="n"/>
      <c r="F465" s="41" t="n"/>
      <c r="G465" s="41" t="n"/>
      <c r="H465" s="42" t="n"/>
      <c r="I465" s="42" t="n"/>
      <c r="J465" s="42" t="n"/>
      <c r="K465" s="42" t="n"/>
      <c r="L465" s="41" t="n"/>
      <c r="M465" s="41" t="n"/>
      <c r="N465" s="41" t="n"/>
      <c r="O465" s="43" t="n"/>
      <c r="P465" s="43" t="n"/>
      <c r="Q465" s="44" t="str">
        <f>IF($AM465=0,"",IF(ISNUMBER($AK465),$AK465-N($AL465),""))</f>
        <v/>
      </c>
      <c r="R465" s="45" t="str">
        <f>IF(OR($Q465="",NOT(ISNUMBER($V465))),"",$AK465/$V465)</f>
        <v/>
      </c>
      <c r="S465" s="46" t="str">
        <f>IF($Q465="","",IF(AND(ISNUMBER($R465),ABS(N($R465))&lt;N(Settings!$C$8)),"Scratch",IF($Q465&gt;0,"Win",IF($Q465&lt;0,"Loss","Scratch"))))</f>
        <v/>
      </c>
      <c r="T465" s="47" t="str">
        <f>IF(OR($AM465=0,NOT(ISNUMBER($H465)),NOT(ISNUMBER($I465)),NOT(ISNUMBER($J465))),"",IF($H465=$I465,"",ROUND(ABS($J465-$H465)/ABS($H465-$I465),6)))</f>
        <v/>
      </c>
      <c r="U465" s="48" t="str">
        <f>IF(OR($S465&lt;&gt;"Win",NOT(ISNUMBER($T465)),NOT(ISNUMBER($R465))),"",MAX(0,$T465-$R465))</f>
        <v/>
      </c>
      <c r="V465" s="49" t="str">
        <f>IF(OR($AM465=0,NOT(ISNUMBER($H465)),NOT(ISNUMBER($I465)),NOT(ISNUMBER($G465))),"",IF(OR($AG465="",$AH465=""),"",IF(ROUND(ABS($H465-$I465)*ABS($G465)*$AG465*$AH465,6)=0,"",ROUND(ABS($H465-$I465)*ABS($G465)*$AG465*$AH465,6))))</f>
        <v/>
      </c>
      <c r="W465" s="50" t="str">
        <f>IF($AM465=0,"",IF($BG465="","OK",LEFT($BG465,LEN($BG465)-2)))</f>
        <v/>
      </c>
      <c r="X465" s="41" t="n"/>
      <c r="Y465" s="40" t="n"/>
      <c r="Z465" s="41" t="n"/>
      <c r="AA465" s="41" t="n"/>
      <c r="AB465" s="40" t="n"/>
      <c r="AC465" s="51" t="n"/>
      <c r="AD465" s="51" t="n"/>
      <c r="AE465" s="40" t="n"/>
      <c r="AF465" s="52" t="str">
        <f>IF($AM465=0,"",IF($D465&lt;&gt;"",$D465,IF(IFERROR(INDEX(Accounts!$C$7:$C$16,MATCH($C465,Accounts!$B$7:$B$16,0))&amp;"","")&lt;&gt;"",INDEX(Accounts!$C$7:$C$16,MATCH($C465,Accounts!$B$7:$B$16,0)),Settings!$C$6)))</f>
        <v/>
      </c>
      <c r="AG465" s="53" t="str">
        <f>IF($AM465=0,"",IF(AND($BE465&gt;0,N(INDEX(Instruments!$D$6:$D$205,MAX(1,$BE465)))&gt;0),INDEX(Instruments!$D$6:$D$205,MAX(1,$BE465)),IF(N(INDEX(Settings!$D$14:$D$18,$BF465))&gt;0,INDEX(Settings!$D$14:$D$18,$BF465),"")))</f>
        <v/>
      </c>
      <c r="AH465" s="54" t="str">
        <f>IF($AM465=0,"",IF($AF465&lt;&gt;"Forex",1,IF(MID(UPPER(SUBSTITUTE(TRIM($E465),"/","")),4,3)=UPPER(TRIM(Settings!$C$7)),1,IF(LEFT(UPPER(SUBSTITUTE(TRIM($E465),"/","")),3)=UPPER(TRIM(Settings!$C$7)),IF(AND(ISNUMBER($K465),N($K465)&lt;&gt;0),1/$K465,""),""))))</f>
        <v/>
      </c>
      <c r="AI465" s="55" t="str">
        <f>IF($AM465=0,"",IF(OR(NOT(ISNUMBER($H465)),NOT(ISNUMBER($K465)),NOT(ISNUMBER($G465)),$AG465="",$AH465=""),"",ROUND(($K465-$H465)*IF($F465="Short",-1,1)*$G465*$AG465*$AH465,6)))</f>
        <v/>
      </c>
      <c r="AJ465" s="55" t="str">
        <f>IF($AM465=0,"",IF(INDEX(Settings!$E$14:$E$18,$BF465)="% of notional",IF(OR($AG465="",NOT(ISNUMBER($H465)),NOT(ISNUMBER($G465))),"",ROUND(ABS($H465*$G465*$AG465*N($AH465))*IF($L465="Limit",N(INDEX(Settings!$G$14:$G$18,$BF465)),N(INDEX(Settings!$H$14:$H$18,$BF465)))+IF(ISNUMBER($K465),ABS($K465*$G465*$AG465*N($AH465))*IF($M465="Target",N(INDEX(Settings!$G$14:$G$18,$BF465)),N(INDEX(Settings!$H$14:$H$18,$BF465))),0),6)),IF(NOT(ISNUMBER($G465)),"",ROUND(ABS($G465)*2*IF(AND($BE465&gt;0,ISNUMBER(INDEX(Instruments!$G$6:$G$205,MAX(1,$BE465)))),INDEX(Instruments!$G$6:$G$205,MAX(1,$BE465)),N(INDEX(Settings!$F$14:$F$18,$BF465))),6))))</f>
        <v/>
      </c>
      <c r="AK465" s="55" t="str">
        <f>IF($AM465=0,"",IF(ISNUMBER($O465),$O465,$AI465))</f>
        <v/>
      </c>
      <c r="AL465" s="55" t="str">
        <f>IF($AM465=0,"",IF(ISNUMBER($P465),$P465,N($AJ465)))</f>
        <v/>
      </c>
      <c r="AM465" s="56">
        <f>IF(AND($A465&lt;&gt;"",$E465&lt;&gt;"",OR(AND(ISNUMBER($G465),ISNUMBER($H465),ISNUMBER($K465)),ISNUMBER($O465))),1,0)</f>
        <v>0</v>
      </c>
      <c r="AN465" s="57" t="str">
        <f>IF($A465="","",$A465-WEEKDAY($A465,3))</f>
        <v/>
      </c>
      <c r="AO465" s="56" t="str">
        <f>IF($A465="","",WEEKDAY($A465,2))</f>
        <v/>
      </c>
      <c r="AP465" s="55" t="str">
        <f>IF(OR($AM465=0,$C465=""),"",IFERROR(N(INDEX(Accounts!$E$7:$E$16,MATCH($C465,Accounts!$B$7:$B$16,0))),0)+SUMIFS($Q$6:$Q465,$C$6:$C465,$C465))</f>
        <v/>
      </c>
      <c r="AQ465" s="55" t="str">
        <f>IF(OR($AM465=0,$C465=""),"",SUMIFS($Q$6:$Q$1005,$C$6:$C$1005,$C465,$A$6:$A$1005,$A465))</f>
        <v/>
      </c>
      <c r="AR465" s="55" t="str">
        <f>IF(OR($AM465=0,$C465=""),"",IFERROR(N(INDEX(Accounts!$E$7:$E$16,MATCH($C465,Accounts!$B$7:$B$16,0))),0)+SUMIFS($Q$6:$Q$1005,$C$6:$C$1005,$C465,$A$6:$A$1005,"&lt;="&amp;$A465))</f>
        <v/>
      </c>
      <c r="AS465" s="56">
        <f>IF(OR($AM465=0,$Q465=""),0,IF(AND($A465&gt;=Lists!$W$6,$A465&lt;=Lists!$W$7,OR(Dashboard!$D$6="All accounts",$C465=Dashboard!$D$6),OR(Dashboard!$D$7="All markets",$AF465=Dashboard!$D$7)),1,0))</f>
        <v>0</v>
      </c>
      <c r="AT465" s="55">
        <f>IF($AS465=1,N(AT464)+$Q465,N(AT464))</f>
        <v>1187.10688</v>
      </c>
      <c r="AU465" s="55">
        <f>MAX(N(AU464),$AT465)</f>
        <v>1187.10688</v>
      </c>
      <c r="AV465" s="55">
        <f>$AT465-$AU465</f>
        <v>0</v>
      </c>
      <c r="AW465" s="56">
        <f>IF($AS465=1,IF($S465="Win",N(AW464)+1,IF($S465="Loss",0,N(AW464))),N(AW464))</f>
        <v>5</v>
      </c>
      <c r="AX465" s="56">
        <f>IF($AS465=1,IF($S465="Loss",N(AX464)+1,IF($S465="Win",0,N(AX464))),N(AX464))</f>
        <v>0</v>
      </c>
      <c r="AY465" s="56" t="str">
        <f>IF($AS465=1,COUNTIF($AS$6:$AS465,1),"")</f>
        <v/>
      </c>
      <c r="AZ465" s="56">
        <f>MIN(459,N(Lists!$W$8))</f>
        <v>28</v>
      </c>
      <c r="BA465" s="56">
        <f>IF($AS465=1,IF(COUNTIFS($A$6:$A465,$A465,$AS$6:$AS465,1)=1,1,0),0)</f>
        <v>0</v>
      </c>
      <c r="BB465" s="55" t="str">
        <f>IF($BA465=1,SUMIFS($Q$6:$Q$1005,$A$6:$A$1005,$A465,$AS$6:$AS$1005,1),"")</f>
        <v/>
      </c>
      <c r="BC465" s="56">
        <f>IF(ISNUMBER($R465),1,0)</f>
        <v>0</v>
      </c>
      <c r="BD465" s="55" t="str">
        <f>IF(ISNUMBER($U465),$U465*$V465,"")</f>
        <v/>
      </c>
      <c r="BE465" s="56" t="str">
        <f>IF($AM465=0,"",IFERROR(MATCH($AF465&amp;"|"&amp;UPPER(TRIM($E465)),Lists!$A$6:$A$205,0),0))</f>
        <v/>
      </c>
      <c r="BF465" s="56" t="str">
        <f>IF($AM465=0,"",IFERROR(MATCH($AF465,Settings!$B$14:$B$18,0),IFERROR(MATCH(Settings!$C$6,Settings!$B$14:$B$18,0),1)))</f>
        <v/>
      </c>
      <c r="BG465" s="58" t="str">
        <f>IF($AM465=0,"",IF(NOT(ISNUMBER($I465)),"No stop; ","")&amp;IF(AND(ISNUMBER($H465),ISNUMBER($I465)),IF(OR(AND($F465&lt;&gt;"Short",$I465&gt;=$H465),AND($F465="Short",$I465&lt;=$H465)),"Stop on wrong side; ",""),"")&amp;IF($F465="","No direction; ","")&amp;IF(AND(ISNUMBER(Settings!$C$22),ISNUMBER($V465)),IF($V465&gt;Settings!$C$22,"Risk over max $; ",""),"")&amp;IF(AND(ISNUMBER(Settings!$C$23),ISNUMBER($V465),ISNUMBER($AP465),IFERROR(N(INDEX(Accounts!$E$7:$E$16,MATCH($C465,Accounts!$B$7:$B$16,0))),0)&gt;0),IF($V465&gt;Settings!$C$23*($AP465-N($Q465)),"Risk over max %; ",""),"")&amp;IF(AND(ISNUMBER(Settings!$C$24),ISNUMBER($N465)),IF($N465&gt;Settings!$C$24,"Leverage over max; ",""),"")&amp;IF(AND(ISNUMBER(Settings!$C$27),ISNUMBER($T465)),IF($T465&lt;Settings!$C$27,"R:R below min; ",""),"")&amp;IF(ISNUMBER(Settings!$C$25),IF(COUNTIFS($A$6:$A465,$A465,$AM$6:$AM465,1)&gt;Settings!$C$25,"Over max trades/day; ",""),"")&amp;IF(ISNUMBER(Settings!$C$26),IF(SUMIFS($Q$5:$Q464,$A$5:$A464,$A465)&lt;=-Settings!$C$26,"Traded after daily max loss; ",""),"")&amp;IF(AND($AG465="",NOT(ISNUMBER($O465))),"Symbol not in Instruments; ","")&amp;IF(AND($AH465="",NOT(ISNUMBER($O465))),"Forex cross: type Gross P&amp;L; ",""))</f>
        <v/>
      </c>
      <c r="BH465" s="56">
        <f>IF(ISNUMBER($Q465),1,0)</f>
        <v>0</v>
      </c>
      <c r="BI465" s="56">
        <f>IF($Y465="",0,1)</f>
        <v>0</v>
      </c>
      <c r="BJ465" s="56">
        <f>IF($AB465="",0,1)</f>
        <v>0</v>
      </c>
      <c r="BK465" s="56">
        <f>IF(AND($BH465=1,$W465&lt;&gt;"OK"),1,0)</f>
        <v>0</v>
      </c>
      <c r="BL465" s="55">
        <f>IF(N($AZ465)=0,0,IFERROR(INDEX($AT$6:$AT$1005,MATCH($AZ465,$AY$6:$AY$1005,0)),0))</f>
        <v>1187.10688</v>
      </c>
      <c r="BM465" s="56">
        <f>IF(ISNUMBER(SEARCH("daily max loss",$BG465)),1,0)</f>
        <v>0</v>
      </c>
    </row>
    <row r="466" ht="18" customHeight="1">
      <c r="A466" s="38" t="n"/>
      <c r="B466" s="39" t="n"/>
      <c r="C466" s="40" t="n"/>
      <c r="D466" s="41" t="n"/>
      <c r="E466" s="41" t="n"/>
      <c r="F466" s="41" t="n"/>
      <c r="G466" s="41" t="n"/>
      <c r="H466" s="42" t="n"/>
      <c r="I466" s="42" t="n"/>
      <c r="J466" s="42" t="n"/>
      <c r="K466" s="42" t="n"/>
      <c r="L466" s="41" t="n"/>
      <c r="M466" s="41" t="n"/>
      <c r="N466" s="41" t="n"/>
      <c r="O466" s="43" t="n"/>
      <c r="P466" s="43" t="n"/>
      <c r="Q466" s="44" t="str">
        <f>IF($AM466=0,"",IF(ISNUMBER($AK466),$AK466-N($AL466),""))</f>
        <v/>
      </c>
      <c r="R466" s="45" t="str">
        <f>IF(OR($Q466="",NOT(ISNUMBER($V466))),"",$AK466/$V466)</f>
        <v/>
      </c>
      <c r="S466" s="46" t="str">
        <f>IF($Q466="","",IF(AND(ISNUMBER($R466),ABS(N($R466))&lt;N(Settings!$C$8)),"Scratch",IF($Q466&gt;0,"Win",IF($Q466&lt;0,"Loss","Scratch"))))</f>
        <v/>
      </c>
      <c r="T466" s="47" t="str">
        <f>IF(OR($AM466=0,NOT(ISNUMBER($H466)),NOT(ISNUMBER($I466)),NOT(ISNUMBER($J466))),"",IF($H466=$I466,"",ROUND(ABS($J466-$H466)/ABS($H466-$I466),6)))</f>
        <v/>
      </c>
      <c r="U466" s="48" t="str">
        <f>IF(OR($S466&lt;&gt;"Win",NOT(ISNUMBER($T466)),NOT(ISNUMBER($R466))),"",MAX(0,$T466-$R466))</f>
        <v/>
      </c>
      <c r="V466" s="49" t="str">
        <f>IF(OR($AM466=0,NOT(ISNUMBER($H466)),NOT(ISNUMBER($I466)),NOT(ISNUMBER($G466))),"",IF(OR($AG466="",$AH466=""),"",IF(ROUND(ABS($H466-$I466)*ABS($G466)*$AG466*$AH466,6)=0,"",ROUND(ABS($H466-$I466)*ABS($G466)*$AG466*$AH466,6))))</f>
        <v/>
      </c>
      <c r="W466" s="50" t="str">
        <f>IF($AM466=0,"",IF($BG466="","OK",LEFT($BG466,LEN($BG466)-2)))</f>
        <v/>
      </c>
      <c r="X466" s="41" t="n"/>
      <c r="Y466" s="40" t="n"/>
      <c r="Z466" s="41" t="n"/>
      <c r="AA466" s="41" t="n"/>
      <c r="AB466" s="40" t="n"/>
      <c r="AC466" s="51" t="n"/>
      <c r="AD466" s="51" t="n"/>
      <c r="AE466" s="40" t="n"/>
      <c r="AF466" s="52" t="str">
        <f>IF($AM466=0,"",IF($D466&lt;&gt;"",$D466,IF(IFERROR(INDEX(Accounts!$C$7:$C$16,MATCH($C466,Accounts!$B$7:$B$16,0))&amp;"","")&lt;&gt;"",INDEX(Accounts!$C$7:$C$16,MATCH($C466,Accounts!$B$7:$B$16,0)),Settings!$C$6)))</f>
        <v/>
      </c>
      <c r="AG466" s="53" t="str">
        <f>IF($AM466=0,"",IF(AND($BE466&gt;0,N(INDEX(Instruments!$D$6:$D$205,MAX(1,$BE466)))&gt;0),INDEX(Instruments!$D$6:$D$205,MAX(1,$BE466)),IF(N(INDEX(Settings!$D$14:$D$18,$BF466))&gt;0,INDEX(Settings!$D$14:$D$18,$BF466),"")))</f>
        <v/>
      </c>
      <c r="AH466" s="54" t="str">
        <f>IF($AM466=0,"",IF($AF466&lt;&gt;"Forex",1,IF(MID(UPPER(SUBSTITUTE(TRIM($E466),"/","")),4,3)=UPPER(TRIM(Settings!$C$7)),1,IF(LEFT(UPPER(SUBSTITUTE(TRIM($E466),"/","")),3)=UPPER(TRIM(Settings!$C$7)),IF(AND(ISNUMBER($K466),N($K466)&lt;&gt;0),1/$K466,""),""))))</f>
        <v/>
      </c>
      <c r="AI466" s="55" t="str">
        <f>IF($AM466=0,"",IF(OR(NOT(ISNUMBER($H466)),NOT(ISNUMBER($K466)),NOT(ISNUMBER($G466)),$AG466="",$AH466=""),"",ROUND(($K466-$H466)*IF($F466="Short",-1,1)*$G466*$AG466*$AH466,6)))</f>
        <v/>
      </c>
      <c r="AJ466" s="55" t="str">
        <f>IF($AM466=0,"",IF(INDEX(Settings!$E$14:$E$18,$BF466)="% of notional",IF(OR($AG466="",NOT(ISNUMBER($H466)),NOT(ISNUMBER($G466))),"",ROUND(ABS($H466*$G466*$AG466*N($AH466))*IF($L466="Limit",N(INDEX(Settings!$G$14:$G$18,$BF466)),N(INDEX(Settings!$H$14:$H$18,$BF466)))+IF(ISNUMBER($K466),ABS($K466*$G466*$AG466*N($AH466))*IF($M466="Target",N(INDEX(Settings!$G$14:$G$18,$BF466)),N(INDEX(Settings!$H$14:$H$18,$BF466))),0),6)),IF(NOT(ISNUMBER($G466)),"",ROUND(ABS($G466)*2*IF(AND($BE466&gt;0,ISNUMBER(INDEX(Instruments!$G$6:$G$205,MAX(1,$BE466)))),INDEX(Instruments!$G$6:$G$205,MAX(1,$BE466)),N(INDEX(Settings!$F$14:$F$18,$BF466))),6))))</f>
        <v/>
      </c>
      <c r="AK466" s="55" t="str">
        <f>IF($AM466=0,"",IF(ISNUMBER($O466),$O466,$AI466))</f>
        <v/>
      </c>
      <c r="AL466" s="55" t="str">
        <f>IF($AM466=0,"",IF(ISNUMBER($P466),$P466,N($AJ466)))</f>
        <v/>
      </c>
      <c r="AM466" s="56">
        <f>IF(AND($A466&lt;&gt;"",$E466&lt;&gt;"",OR(AND(ISNUMBER($G466),ISNUMBER($H466),ISNUMBER($K466)),ISNUMBER($O466))),1,0)</f>
        <v>0</v>
      </c>
      <c r="AN466" s="57" t="str">
        <f>IF($A466="","",$A466-WEEKDAY($A466,3))</f>
        <v/>
      </c>
      <c r="AO466" s="56" t="str">
        <f>IF($A466="","",WEEKDAY($A466,2))</f>
        <v/>
      </c>
      <c r="AP466" s="55" t="str">
        <f>IF(OR($AM466=0,$C466=""),"",IFERROR(N(INDEX(Accounts!$E$7:$E$16,MATCH($C466,Accounts!$B$7:$B$16,0))),0)+SUMIFS($Q$6:$Q466,$C$6:$C466,$C466))</f>
        <v/>
      </c>
      <c r="AQ466" s="55" t="str">
        <f>IF(OR($AM466=0,$C466=""),"",SUMIFS($Q$6:$Q$1005,$C$6:$C$1005,$C466,$A$6:$A$1005,$A466))</f>
        <v/>
      </c>
      <c r="AR466" s="55" t="str">
        <f>IF(OR($AM466=0,$C466=""),"",IFERROR(N(INDEX(Accounts!$E$7:$E$16,MATCH($C466,Accounts!$B$7:$B$16,0))),0)+SUMIFS($Q$6:$Q$1005,$C$6:$C$1005,$C466,$A$6:$A$1005,"&lt;="&amp;$A466))</f>
        <v/>
      </c>
      <c r="AS466" s="56">
        <f>IF(OR($AM466=0,$Q466=""),0,IF(AND($A466&gt;=Lists!$W$6,$A466&lt;=Lists!$W$7,OR(Dashboard!$D$6="All accounts",$C466=Dashboard!$D$6),OR(Dashboard!$D$7="All markets",$AF466=Dashboard!$D$7)),1,0))</f>
        <v>0</v>
      </c>
      <c r="AT466" s="55">
        <f>IF($AS466=1,N(AT465)+$Q466,N(AT465))</f>
        <v>1187.10688</v>
      </c>
      <c r="AU466" s="55">
        <f>MAX(N(AU465),$AT466)</f>
        <v>1187.10688</v>
      </c>
      <c r="AV466" s="55">
        <f>$AT466-$AU466</f>
        <v>0</v>
      </c>
      <c r="AW466" s="56">
        <f>IF($AS466=1,IF($S466="Win",N(AW465)+1,IF($S466="Loss",0,N(AW465))),N(AW465))</f>
        <v>5</v>
      </c>
      <c r="AX466" s="56">
        <f>IF($AS466=1,IF($S466="Loss",N(AX465)+1,IF($S466="Win",0,N(AX465))),N(AX465))</f>
        <v>0</v>
      </c>
      <c r="AY466" s="56" t="str">
        <f>IF($AS466=1,COUNTIF($AS$6:$AS466,1),"")</f>
        <v/>
      </c>
      <c r="AZ466" s="56">
        <f>MIN(460,N(Lists!$W$8))</f>
        <v>28</v>
      </c>
      <c r="BA466" s="56">
        <f>IF($AS466=1,IF(COUNTIFS($A$6:$A466,$A466,$AS$6:$AS466,1)=1,1,0),0)</f>
        <v>0</v>
      </c>
      <c r="BB466" s="55" t="str">
        <f>IF($BA466=1,SUMIFS($Q$6:$Q$1005,$A$6:$A$1005,$A466,$AS$6:$AS$1005,1),"")</f>
        <v/>
      </c>
      <c r="BC466" s="56">
        <f>IF(ISNUMBER($R466),1,0)</f>
        <v>0</v>
      </c>
      <c r="BD466" s="55" t="str">
        <f>IF(ISNUMBER($U466),$U466*$V466,"")</f>
        <v/>
      </c>
      <c r="BE466" s="56" t="str">
        <f>IF($AM466=0,"",IFERROR(MATCH($AF466&amp;"|"&amp;UPPER(TRIM($E466)),Lists!$A$6:$A$205,0),0))</f>
        <v/>
      </c>
      <c r="BF466" s="56" t="str">
        <f>IF($AM466=0,"",IFERROR(MATCH($AF466,Settings!$B$14:$B$18,0),IFERROR(MATCH(Settings!$C$6,Settings!$B$14:$B$18,0),1)))</f>
        <v/>
      </c>
      <c r="BG466" s="58" t="str">
        <f>IF($AM466=0,"",IF(NOT(ISNUMBER($I466)),"No stop; ","")&amp;IF(AND(ISNUMBER($H466),ISNUMBER($I466)),IF(OR(AND($F466&lt;&gt;"Short",$I466&gt;=$H466),AND($F466="Short",$I466&lt;=$H466)),"Stop on wrong side; ",""),"")&amp;IF($F466="","No direction; ","")&amp;IF(AND(ISNUMBER(Settings!$C$22),ISNUMBER($V466)),IF($V466&gt;Settings!$C$22,"Risk over max $; ",""),"")&amp;IF(AND(ISNUMBER(Settings!$C$23),ISNUMBER($V466),ISNUMBER($AP466),IFERROR(N(INDEX(Accounts!$E$7:$E$16,MATCH($C466,Accounts!$B$7:$B$16,0))),0)&gt;0),IF($V466&gt;Settings!$C$23*($AP466-N($Q466)),"Risk over max %; ",""),"")&amp;IF(AND(ISNUMBER(Settings!$C$24),ISNUMBER($N466)),IF($N466&gt;Settings!$C$24,"Leverage over max; ",""),"")&amp;IF(AND(ISNUMBER(Settings!$C$27),ISNUMBER($T466)),IF($T466&lt;Settings!$C$27,"R:R below min; ",""),"")&amp;IF(ISNUMBER(Settings!$C$25),IF(COUNTIFS($A$6:$A466,$A466,$AM$6:$AM466,1)&gt;Settings!$C$25,"Over max trades/day; ",""),"")&amp;IF(ISNUMBER(Settings!$C$26),IF(SUMIFS($Q$5:$Q465,$A$5:$A465,$A466)&lt;=-Settings!$C$26,"Traded after daily max loss; ",""),"")&amp;IF(AND($AG466="",NOT(ISNUMBER($O466))),"Symbol not in Instruments; ","")&amp;IF(AND($AH466="",NOT(ISNUMBER($O466))),"Forex cross: type Gross P&amp;L; ",""))</f>
        <v/>
      </c>
      <c r="BH466" s="56">
        <f>IF(ISNUMBER($Q466),1,0)</f>
        <v>0</v>
      </c>
      <c r="BI466" s="56">
        <f>IF($Y466="",0,1)</f>
        <v>0</v>
      </c>
      <c r="BJ466" s="56">
        <f>IF($AB466="",0,1)</f>
        <v>0</v>
      </c>
      <c r="BK466" s="56">
        <f>IF(AND($BH466=1,$W466&lt;&gt;"OK"),1,0)</f>
        <v>0</v>
      </c>
      <c r="BL466" s="55">
        <f>IF(N($AZ466)=0,0,IFERROR(INDEX($AT$6:$AT$1005,MATCH($AZ466,$AY$6:$AY$1005,0)),0))</f>
        <v>1187.10688</v>
      </c>
      <c r="BM466" s="56">
        <f>IF(ISNUMBER(SEARCH("daily max loss",$BG466)),1,0)</f>
        <v>0</v>
      </c>
    </row>
    <row r="467" ht="18" customHeight="1">
      <c r="A467" s="38" t="n"/>
      <c r="B467" s="39" t="n"/>
      <c r="C467" s="40" t="n"/>
      <c r="D467" s="41" t="n"/>
      <c r="E467" s="41" t="n"/>
      <c r="F467" s="41" t="n"/>
      <c r="G467" s="41" t="n"/>
      <c r="H467" s="42" t="n"/>
      <c r="I467" s="42" t="n"/>
      <c r="J467" s="42" t="n"/>
      <c r="K467" s="42" t="n"/>
      <c r="L467" s="41" t="n"/>
      <c r="M467" s="41" t="n"/>
      <c r="N467" s="41" t="n"/>
      <c r="O467" s="43" t="n"/>
      <c r="P467" s="43" t="n"/>
      <c r="Q467" s="44" t="str">
        <f>IF($AM467=0,"",IF(ISNUMBER($AK467),$AK467-N($AL467),""))</f>
        <v/>
      </c>
      <c r="R467" s="45" t="str">
        <f>IF(OR($Q467="",NOT(ISNUMBER($V467))),"",$AK467/$V467)</f>
        <v/>
      </c>
      <c r="S467" s="46" t="str">
        <f>IF($Q467="","",IF(AND(ISNUMBER($R467),ABS(N($R467))&lt;N(Settings!$C$8)),"Scratch",IF($Q467&gt;0,"Win",IF($Q467&lt;0,"Loss","Scratch"))))</f>
        <v/>
      </c>
      <c r="T467" s="47" t="str">
        <f>IF(OR($AM467=0,NOT(ISNUMBER($H467)),NOT(ISNUMBER($I467)),NOT(ISNUMBER($J467))),"",IF($H467=$I467,"",ROUND(ABS($J467-$H467)/ABS($H467-$I467),6)))</f>
        <v/>
      </c>
      <c r="U467" s="48" t="str">
        <f>IF(OR($S467&lt;&gt;"Win",NOT(ISNUMBER($T467)),NOT(ISNUMBER($R467))),"",MAX(0,$T467-$R467))</f>
        <v/>
      </c>
      <c r="V467" s="49" t="str">
        <f>IF(OR($AM467=0,NOT(ISNUMBER($H467)),NOT(ISNUMBER($I467)),NOT(ISNUMBER($G467))),"",IF(OR($AG467="",$AH467=""),"",IF(ROUND(ABS($H467-$I467)*ABS($G467)*$AG467*$AH467,6)=0,"",ROUND(ABS($H467-$I467)*ABS($G467)*$AG467*$AH467,6))))</f>
        <v/>
      </c>
      <c r="W467" s="50" t="str">
        <f>IF($AM467=0,"",IF($BG467="","OK",LEFT($BG467,LEN($BG467)-2)))</f>
        <v/>
      </c>
      <c r="X467" s="41" t="n"/>
      <c r="Y467" s="40" t="n"/>
      <c r="Z467" s="41" t="n"/>
      <c r="AA467" s="41" t="n"/>
      <c r="AB467" s="40" t="n"/>
      <c r="AC467" s="51" t="n"/>
      <c r="AD467" s="51" t="n"/>
      <c r="AE467" s="40" t="n"/>
      <c r="AF467" s="52" t="str">
        <f>IF($AM467=0,"",IF($D467&lt;&gt;"",$D467,IF(IFERROR(INDEX(Accounts!$C$7:$C$16,MATCH($C467,Accounts!$B$7:$B$16,0))&amp;"","")&lt;&gt;"",INDEX(Accounts!$C$7:$C$16,MATCH($C467,Accounts!$B$7:$B$16,0)),Settings!$C$6)))</f>
        <v/>
      </c>
      <c r="AG467" s="53" t="str">
        <f>IF($AM467=0,"",IF(AND($BE467&gt;0,N(INDEX(Instruments!$D$6:$D$205,MAX(1,$BE467)))&gt;0),INDEX(Instruments!$D$6:$D$205,MAX(1,$BE467)),IF(N(INDEX(Settings!$D$14:$D$18,$BF467))&gt;0,INDEX(Settings!$D$14:$D$18,$BF467),"")))</f>
        <v/>
      </c>
      <c r="AH467" s="54" t="str">
        <f>IF($AM467=0,"",IF($AF467&lt;&gt;"Forex",1,IF(MID(UPPER(SUBSTITUTE(TRIM($E467),"/","")),4,3)=UPPER(TRIM(Settings!$C$7)),1,IF(LEFT(UPPER(SUBSTITUTE(TRIM($E467),"/","")),3)=UPPER(TRIM(Settings!$C$7)),IF(AND(ISNUMBER($K467),N($K467)&lt;&gt;0),1/$K467,""),""))))</f>
        <v/>
      </c>
      <c r="AI467" s="55" t="str">
        <f>IF($AM467=0,"",IF(OR(NOT(ISNUMBER($H467)),NOT(ISNUMBER($K467)),NOT(ISNUMBER($G467)),$AG467="",$AH467=""),"",ROUND(($K467-$H467)*IF($F467="Short",-1,1)*$G467*$AG467*$AH467,6)))</f>
        <v/>
      </c>
      <c r="AJ467" s="55" t="str">
        <f>IF($AM467=0,"",IF(INDEX(Settings!$E$14:$E$18,$BF467)="% of notional",IF(OR($AG467="",NOT(ISNUMBER($H467)),NOT(ISNUMBER($G467))),"",ROUND(ABS($H467*$G467*$AG467*N($AH467))*IF($L467="Limit",N(INDEX(Settings!$G$14:$G$18,$BF467)),N(INDEX(Settings!$H$14:$H$18,$BF467)))+IF(ISNUMBER($K467),ABS($K467*$G467*$AG467*N($AH467))*IF($M467="Target",N(INDEX(Settings!$G$14:$G$18,$BF467)),N(INDEX(Settings!$H$14:$H$18,$BF467))),0),6)),IF(NOT(ISNUMBER($G467)),"",ROUND(ABS($G467)*2*IF(AND($BE467&gt;0,ISNUMBER(INDEX(Instruments!$G$6:$G$205,MAX(1,$BE467)))),INDEX(Instruments!$G$6:$G$205,MAX(1,$BE467)),N(INDEX(Settings!$F$14:$F$18,$BF467))),6))))</f>
        <v/>
      </c>
      <c r="AK467" s="55" t="str">
        <f>IF($AM467=0,"",IF(ISNUMBER($O467),$O467,$AI467))</f>
        <v/>
      </c>
      <c r="AL467" s="55" t="str">
        <f>IF($AM467=0,"",IF(ISNUMBER($P467),$P467,N($AJ467)))</f>
        <v/>
      </c>
      <c r="AM467" s="56">
        <f>IF(AND($A467&lt;&gt;"",$E467&lt;&gt;"",OR(AND(ISNUMBER($G467),ISNUMBER($H467),ISNUMBER($K467)),ISNUMBER($O467))),1,0)</f>
        <v>0</v>
      </c>
      <c r="AN467" s="57" t="str">
        <f>IF($A467="","",$A467-WEEKDAY($A467,3))</f>
        <v/>
      </c>
      <c r="AO467" s="56" t="str">
        <f>IF($A467="","",WEEKDAY($A467,2))</f>
        <v/>
      </c>
      <c r="AP467" s="55" t="str">
        <f>IF(OR($AM467=0,$C467=""),"",IFERROR(N(INDEX(Accounts!$E$7:$E$16,MATCH($C467,Accounts!$B$7:$B$16,0))),0)+SUMIFS($Q$6:$Q467,$C$6:$C467,$C467))</f>
        <v/>
      </c>
      <c r="AQ467" s="55" t="str">
        <f>IF(OR($AM467=0,$C467=""),"",SUMIFS($Q$6:$Q$1005,$C$6:$C$1005,$C467,$A$6:$A$1005,$A467))</f>
        <v/>
      </c>
      <c r="AR467" s="55" t="str">
        <f>IF(OR($AM467=0,$C467=""),"",IFERROR(N(INDEX(Accounts!$E$7:$E$16,MATCH($C467,Accounts!$B$7:$B$16,0))),0)+SUMIFS($Q$6:$Q$1005,$C$6:$C$1005,$C467,$A$6:$A$1005,"&lt;="&amp;$A467))</f>
        <v/>
      </c>
      <c r="AS467" s="56">
        <f>IF(OR($AM467=0,$Q467=""),0,IF(AND($A467&gt;=Lists!$W$6,$A467&lt;=Lists!$W$7,OR(Dashboard!$D$6="All accounts",$C467=Dashboard!$D$6),OR(Dashboard!$D$7="All markets",$AF467=Dashboard!$D$7)),1,0))</f>
        <v>0</v>
      </c>
      <c r="AT467" s="55">
        <f>IF($AS467=1,N(AT466)+$Q467,N(AT466))</f>
        <v>1187.10688</v>
      </c>
      <c r="AU467" s="55">
        <f>MAX(N(AU466),$AT467)</f>
        <v>1187.10688</v>
      </c>
      <c r="AV467" s="55">
        <f>$AT467-$AU467</f>
        <v>0</v>
      </c>
      <c r="AW467" s="56">
        <f>IF($AS467=1,IF($S467="Win",N(AW466)+1,IF($S467="Loss",0,N(AW466))),N(AW466))</f>
        <v>5</v>
      </c>
      <c r="AX467" s="56">
        <f>IF($AS467=1,IF($S467="Loss",N(AX466)+1,IF($S467="Win",0,N(AX466))),N(AX466))</f>
        <v>0</v>
      </c>
      <c r="AY467" s="56" t="str">
        <f>IF($AS467=1,COUNTIF($AS$6:$AS467,1),"")</f>
        <v/>
      </c>
      <c r="AZ467" s="56">
        <f>MIN(461,N(Lists!$W$8))</f>
        <v>28</v>
      </c>
      <c r="BA467" s="56">
        <f>IF($AS467=1,IF(COUNTIFS($A$6:$A467,$A467,$AS$6:$AS467,1)=1,1,0),0)</f>
        <v>0</v>
      </c>
      <c r="BB467" s="55" t="str">
        <f>IF($BA467=1,SUMIFS($Q$6:$Q$1005,$A$6:$A$1005,$A467,$AS$6:$AS$1005,1),"")</f>
        <v/>
      </c>
      <c r="BC467" s="56">
        <f>IF(ISNUMBER($R467),1,0)</f>
        <v>0</v>
      </c>
      <c r="BD467" s="55" t="str">
        <f>IF(ISNUMBER($U467),$U467*$V467,"")</f>
        <v/>
      </c>
      <c r="BE467" s="56" t="str">
        <f>IF($AM467=0,"",IFERROR(MATCH($AF467&amp;"|"&amp;UPPER(TRIM($E467)),Lists!$A$6:$A$205,0),0))</f>
        <v/>
      </c>
      <c r="BF467" s="56" t="str">
        <f>IF($AM467=0,"",IFERROR(MATCH($AF467,Settings!$B$14:$B$18,0),IFERROR(MATCH(Settings!$C$6,Settings!$B$14:$B$18,0),1)))</f>
        <v/>
      </c>
      <c r="BG467" s="58" t="str">
        <f>IF($AM467=0,"",IF(NOT(ISNUMBER($I467)),"No stop; ","")&amp;IF(AND(ISNUMBER($H467),ISNUMBER($I467)),IF(OR(AND($F467&lt;&gt;"Short",$I467&gt;=$H467),AND($F467="Short",$I467&lt;=$H467)),"Stop on wrong side; ",""),"")&amp;IF($F467="","No direction; ","")&amp;IF(AND(ISNUMBER(Settings!$C$22),ISNUMBER($V467)),IF($V467&gt;Settings!$C$22,"Risk over max $; ",""),"")&amp;IF(AND(ISNUMBER(Settings!$C$23),ISNUMBER($V467),ISNUMBER($AP467),IFERROR(N(INDEX(Accounts!$E$7:$E$16,MATCH($C467,Accounts!$B$7:$B$16,0))),0)&gt;0),IF($V467&gt;Settings!$C$23*($AP467-N($Q467)),"Risk over max %; ",""),"")&amp;IF(AND(ISNUMBER(Settings!$C$24),ISNUMBER($N467)),IF($N467&gt;Settings!$C$24,"Leverage over max; ",""),"")&amp;IF(AND(ISNUMBER(Settings!$C$27),ISNUMBER($T467)),IF($T467&lt;Settings!$C$27,"R:R below min; ",""),"")&amp;IF(ISNUMBER(Settings!$C$25),IF(COUNTIFS($A$6:$A467,$A467,$AM$6:$AM467,1)&gt;Settings!$C$25,"Over max trades/day; ",""),"")&amp;IF(ISNUMBER(Settings!$C$26),IF(SUMIFS($Q$5:$Q466,$A$5:$A466,$A467)&lt;=-Settings!$C$26,"Traded after daily max loss; ",""),"")&amp;IF(AND($AG467="",NOT(ISNUMBER($O467))),"Symbol not in Instruments; ","")&amp;IF(AND($AH467="",NOT(ISNUMBER($O467))),"Forex cross: type Gross P&amp;L; ",""))</f>
        <v/>
      </c>
      <c r="BH467" s="56">
        <f>IF(ISNUMBER($Q467),1,0)</f>
        <v>0</v>
      </c>
      <c r="BI467" s="56">
        <f>IF($Y467="",0,1)</f>
        <v>0</v>
      </c>
      <c r="BJ467" s="56">
        <f>IF($AB467="",0,1)</f>
        <v>0</v>
      </c>
      <c r="BK467" s="56">
        <f>IF(AND($BH467=1,$W467&lt;&gt;"OK"),1,0)</f>
        <v>0</v>
      </c>
      <c r="BL467" s="55">
        <f>IF(N($AZ467)=0,0,IFERROR(INDEX($AT$6:$AT$1005,MATCH($AZ467,$AY$6:$AY$1005,0)),0))</f>
        <v>1187.10688</v>
      </c>
      <c r="BM467" s="56">
        <f>IF(ISNUMBER(SEARCH("daily max loss",$BG467)),1,0)</f>
        <v>0</v>
      </c>
    </row>
    <row r="468" ht="18" customHeight="1">
      <c r="A468" s="38" t="n"/>
      <c r="B468" s="39" t="n"/>
      <c r="C468" s="40" t="n"/>
      <c r="D468" s="41" t="n"/>
      <c r="E468" s="41" t="n"/>
      <c r="F468" s="41" t="n"/>
      <c r="G468" s="41" t="n"/>
      <c r="H468" s="42" t="n"/>
      <c r="I468" s="42" t="n"/>
      <c r="J468" s="42" t="n"/>
      <c r="K468" s="42" t="n"/>
      <c r="L468" s="41" t="n"/>
      <c r="M468" s="41" t="n"/>
      <c r="N468" s="41" t="n"/>
      <c r="O468" s="43" t="n"/>
      <c r="P468" s="43" t="n"/>
      <c r="Q468" s="44" t="str">
        <f>IF($AM468=0,"",IF(ISNUMBER($AK468),$AK468-N($AL468),""))</f>
        <v/>
      </c>
      <c r="R468" s="45" t="str">
        <f>IF(OR($Q468="",NOT(ISNUMBER($V468))),"",$AK468/$V468)</f>
        <v/>
      </c>
      <c r="S468" s="46" t="str">
        <f>IF($Q468="","",IF(AND(ISNUMBER($R468),ABS(N($R468))&lt;N(Settings!$C$8)),"Scratch",IF($Q468&gt;0,"Win",IF($Q468&lt;0,"Loss","Scratch"))))</f>
        <v/>
      </c>
      <c r="T468" s="47" t="str">
        <f>IF(OR($AM468=0,NOT(ISNUMBER($H468)),NOT(ISNUMBER($I468)),NOT(ISNUMBER($J468))),"",IF($H468=$I468,"",ROUND(ABS($J468-$H468)/ABS($H468-$I468),6)))</f>
        <v/>
      </c>
      <c r="U468" s="48" t="str">
        <f>IF(OR($S468&lt;&gt;"Win",NOT(ISNUMBER($T468)),NOT(ISNUMBER($R468))),"",MAX(0,$T468-$R468))</f>
        <v/>
      </c>
      <c r="V468" s="49" t="str">
        <f>IF(OR($AM468=0,NOT(ISNUMBER($H468)),NOT(ISNUMBER($I468)),NOT(ISNUMBER($G468))),"",IF(OR($AG468="",$AH468=""),"",IF(ROUND(ABS($H468-$I468)*ABS($G468)*$AG468*$AH468,6)=0,"",ROUND(ABS($H468-$I468)*ABS($G468)*$AG468*$AH468,6))))</f>
        <v/>
      </c>
      <c r="W468" s="50" t="str">
        <f>IF($AM468=0,"",IF($BG468="","OK",LEFT($BG468,LEN($BG468)-2)))</f>
        <v/>
      </c>
      <c r="X468" s="41" t="n"/>
      <c r="Y468" s="40" t="n"/>
      <c r="Z468" s="41" t="n"/>
      <c r="AA468" s="41" t="n"/>
      <c r="AB468" s="40" t="n"/>
      <c r="AC468" s="51" t="n"/>
      <c r="AD468" s="51" t="n"/>
      <c r="AE468" s="40" t="n"/>
      <c r="AF468" s="52" t="str">
        <f>IF($AM468=0,"",IF($D468&lt;&gt;"",$D468,IF(IFERROR(INDEX(Accounts!$C$7:$C$16,MATCH($C468,Accounts!$B$7:$B$16,0))&amp;"","")&lt;&gt;"",INDEX(Accounts!$C$7:$C$16,MATCH($C468,Accounts!$B$7:$B$16,0)),Settings!$C$6)))</f>
        <v/>
      </c>
      <c r="AG468" s="53" t="str">
        <f>IF($AM468=0,"",IF(AND($BE468&gt;0,N(INDEX(Instruments!$D$6:$D$205,MAX(1,$BE468)))&gt;0),INDEX(Instruments!$D$6:$D$205,MAX(1,$BE468)),IF(N(INDEX(Settings!$D$14:$D$18,$BF468))&gt;0,INDEX(Settings!$D$14:$D$18,$BF468),"")))</f>
        <v/>
      </c>
      <c r="AH468" s="54" t="str">
        <f>IF($AM468=0,"",IF($AF468&lt;&gt;"Forex",1,IF(MID(UPPER(SUBSTITUTE(TRIM($E468),"/","")),4,3)=UPPER(TRIM(Settings!$C$7)),1,IF(LEFT(UPPER(SUBSTITUTE(TRIM($E468),"/","")),3)=UPPER(TRIM(Settings!$C$7)),IF(AND(ISNUMBER($K468),N($K468)&lt;&gt;0),1/$K468,""),""))))</f>
        <v/>
      </c>
      <c r="AI468" s="55" t="str">
        <f>IF($AM468=0,"",IF(OR(NOT(ISNUMBER($H468)),NOT(ISNUMBER($K468)),NOT(ISNUMBER($G468)),$AG468="",$AH468=""),"",ROUND(($K468-$H468)*IF($F468="Short",-1,1)*$G468*$AG468*$AH468,6)))</f>
        <v/>
      </c>
      <c r="AJ468" s="55" t="str">
        <f>IF($AM468=0,"",IF(INDEX(Settings!$E$14:$E$18,$BF468)="% of notional",IF(OR($AG468="",NOT(ISNUMBER($H468)),NOT(ISNUMBER($G468))),"",ROUND(ABS($H468*$G468*$AG468*N($AH468))*IF($L468="Limit",N(INDEX(Settings!$G$14:$G$18,$BF468)),N(INDEX(Settings!$H$14:$H$18,$BF468)))+IF(ISNUMBER($K468),ABS($K468*$G468*$AG468*N($AH468))*IF($M468="Target",N(INDEX(Settings!$G$14:$G$18,$BF468)),N(INDEX(Settings!$H$14:$H$18,$BF468))),0),6)),IF(NOT(ISNUMBER($G468)),"",ROUND(ABS($G468)*2*IF(AND($BE468&gt;0,ISNUMBER(INDEX(Instruments!$G$6:$G$205,MAX(1,$BE468)))),INDEX(Instruments!$G$6:$G$205,MAX(1,$BE468)),N(INDEX(Settings!$F$14:$F$18,$BF468))),6))))</f>
        <v/>
      </c>
      <c r="AK468" s="55" t="str">
        <f>IF($AM468=0,"",IF(ISNUMBER($O468),$O468,$AI468))</f>
        <v/>
      </c>
      <c r="AL468" s="55" t="str">
        <f>IF($AM468=0,"",IF(ISNUMBER($P468),$P468,N($AJ468)))</f>
        <v/>
      </c>
      <c r="AM468" s="56">
        <f>IF(AND($A468&lt;&gt;"",$E468&lt;&gt;"",OR(AND(ISNUMBER($G468),ISNUMBER($H468),ISNUMBER($K468)),ISNUMBER($O468))),1,0)</f>
        <v>0</v>
      </c>
      <c r="AN468" s="57" t="str">
        <f>IF($A468="","",$A468-WEEKDAY($A468,3))</f>
        <v/>
      </c>
      <c r="AO468" s="56" t="str">
        <f>IF($A468="","",WEEKDAY($A468,2))</f>
        <v/>
      </c>
      <c r="AP468" s="55" t="str">
        <f>IF(OR($AM468=0,$C468=""),"",IFERROR(N(INDEX(Accounts!$E$7:$E$16,MATCH($C468,Accounts!$B$7:$B$16,0))),0)+SUMIFS($Q$6:$Q468,$C$6:$C468,$C468))</f>
        <v/>
      </c>
      <c r="AQ468" s="55" t="str">
        <f>IF(OR($AM468=0,$C468=""),"",SUMIFS($Q$6:$Q$1005,$C$6:$C$1005,$C468,$A$6:$A$1005,$A468))</f>
        <v/>
      </c>
      <c r="AR468" s="55" t="str">
        <f>IF(OR($AM468=0,$C468=""),"",IFERROR(N(INDEX(Accounts!$E$7:$E$16,MATCH($C468,Accounts!$B$7:$B$16,0))),0)+SUMIFS($Q$6:$Q$1005,$C$6:$C$1005,$C468,$A$6:$A$1005,"&lt;="&amp;$A468))</f>
        <v/>
      </c>
      <c r="AS468" s="56">
        <f>IF(OR($AM468=0,$Q468=""),0,IF(AND($A468&gt;=Lists!$W$6,$A468&lt;=Lists!$W$7,OR(Dashboard!$D$6="All accounts",$C468=Dashboard!$D$6),OR(Dashboard!$D$7="All markets",$AF468=Dashboard!$D$7)),1,0))</f>
        <v>0</v>
      </c>
      <c r="AT468" s="55">
        <f>IF($AS468=1,N(AT467)+$Q468,N(AT467))</f>
        <v>1187.10688</v>
      </c>
      <c r="AU468" s="55">
        <f>MAX(N(AU467),$AT468)</f>
        <v>1187.10688</v>
      </c>
      <c r="AV468" s="55">
        <f>$AT468-$AU468</f>
        <v>0</v>
      </c>
      <c r="AW468" s="56">
        <f>IF($AS468=1,IF($S468="Win",N(AW467)+1,IF($S468="Loss",0,N(AW467))),N(AW467))</f>
        <v>5</v>
      </c>
      <c r="AX468" s="56">
        <f>IF($AS468=1,IF($S468="Loss",N(AX467)+1,IF($S468="Win",0,N(AX467))),N(AX467))</f>
        <v>0</v>
      </c>
      <c r="AY468" s="56" t="str">
        <f>IF($AS468=1,COUNTIF($AS$6:$AS468,1),"")</f>
        <v/>
      </c>
      <c r="AZ468" s="56">
        <f>MIN(462,N(Lists!$W$8))</f>
        <v>28</v>
      </c>
      <c r="BA468" s="56">
        <f>IF($AS468=1,IF(COUNTIFS($A$6:$A468,$A468,$AS$6:$AS468,1)=1,1,0),0)</f>
        <v>0</v>
      </c>
      <c r="BB468" s="55" t="str">
        <f>IF($BA468=1,SUMIFS($Q$6:$Q$1005,$A$6:$A$1005,$A468,$AS$6:$AS$1005,1),"")</f>
        <v/>
      </c>
      <c r="BC468" s="56">
        <f>IF(ISNUMBER($R468),1,0)</f>
        <v>0</v>
      </c>
      <c r="BD468" s="55" t="str">
        <f>IF(ISNUMBER($U468),$U468*$V468,"")</f>
        <v/>
      </c>
      <c r="BE468" s="56" t="str">
        <f>IF($AM468=0,"",IFERROR(MATCH($AF468&amp;"|"&amp;UPPER(TRIM($E468)),Lists!$A$6:$A$205,0),0))</f>
        <v/>
      </c>
      <c r="BF468" s="56" t="str">
        <f>IF($AM468=0,"",IFERROR(MATCH($AF468,Settings!$B$14:$B$18,0),IFERROR(MATCH(Settings!$C$6,Settings!$B$14:$B$18,0),1)))</f>
        <v/>
      </c>
      <c r="BG468" s="58" t="str">
        <f>IF($AM468=0,"",IF(NOT(ISNUMBER($I468)),"No stop; ","")&amp;IF(AND(ISNUMBER($H468),ISNUMBER($I468)),IF(OR(AND($F468&lt;&gt;"Short",$I468&gt;=$H468),AND($F468="Short",$I468&lt;=$H468)),"Stop on wrong side; ",""),"")&amp;IF($F468="","No direction; ","")&amp;IF(AND(ISNUMBER(Settings!$C$22),ISNUMBER($V468)),IF($V468&gt;Settings!$C$22,"Risk over max $; ",""),"")&amp;IF(AND(ISNUMBER(Settings!$C$23),ISNUMBER($V468),ISNUMBER($AP468),IFERROR(N(INDEX(Accounts!$E$7:$E$16,MATCH($C468,Accounts!$B$7:$B$16,0))),0)&gt;0),IF($V468&gt;Settings!$C$23*($AP468-N($Q468)),"Risk over max %; ",""),"")&amp;IF(AND(ISNUMBER(Settings!$C$24),ISNUMBER($N468)),IF($N468&gt;Settings!$C$24,"Leverage over max; ",""),"")&amp;IF(AND(ISNUMBER(Settings!$C$27),ISNUMBER($T468)),IF($T468&lt;Settings!$C$27,"R:R below min; ",""),"")&amp;IF(ISNUMBER(Settings!$C$25),IF(COUNTIFS($A$6:$A468,$A468,$AM$6:$AM468,1)&gt;Settings!$C$25,"Over max trades/day; ",""),"")&amp;IF(ISNUMBER(Settings!$C$26),IF(SUMIFS($Q$5:$Q467,$A$5:$A467,$A468)&lt;=-Settings!$C$26,"Traded after daily max loss; ",""),"")&amp;IF(AND($AG468="",NOT(ISNUMBER($O468))),"Symbol not in Instruments; ","")&amp;IF(AND($AH468="",NOT(ISNUMBER($O468))),"Forex cross: type Gross P&amp;L; ",""))</f>
        <v/>
      </c>
      <c r="BH468" s="56">
        <f>IF(ISNUMBER($Q468),1,0)</f>
        <v>0</v>
      </c>
      <c r="BI468" s="56">
        <f>IF($Y468="",0,1)</f>
        <v>0</v>
      </c>
      <c r="BJ468" s="56">
        <f>IF($AB468="",0,1)</f>
        <v>0</v>
      </c>
      <c r="BK468" s="56">
        <f>IF(AND($BH468=1,$W468&lt;&gt;"OK"),1,0)</f>
        <v>0</v>
      </c>
      <c r="BL468" s="55">
        <f>IF(N($AZ468)=0,0,IFERROR(INDEX($AT$6:$AT$1005,MATCH($AZ468,$AY$6:$AY$1005,0)),0))</f>
        <v>1187.10688</v>
      </c>
      <c r="BM468" s="56">
        <f>IF(ISNUMBER(SEARCH("daily max loss",$BG468)),1,0)</f>
        <v>0</v>
      </c>
    </row>
    <row r="469" ht="18" customHeight="1">
      <c r="A469" s="38" t="n"/>
      <c r="B469" s="39" t="n"/>
      <c r="C469" s="40" t="n"/>
      <c r="D469" s="41" t="n"/>
      <c r="E469" s="41" t="n"/>
      <c r="F469" s="41" t="n"/>
      <c r="G469" s="41" t="n"/>
      <c r="H469" s="42" t="n"/>
      <c r="I469" s="42" t="n"/>
      <c r="J469" s="42" t="n"/>
      <c r="K469" s="42" t="n"/>
      <c r="L469" s="41" t="n"/>
      <c r="M469" s="41" t="n"/>
      <c r="N469" s="41" t="n"/>
      <c r="O469" s="43" t="n"/>
      <c r="P469" s="43" t="n"/>
      <c r="Q469" s="44" t="str">
        <f>IF($AM469=0,"",IF(ISNUMBER($AK469),$AK469-N($AL469),""))</f>
        <v/>
      </c>
      <c r="R469" s="45" t="str">
        <f>IF(OR($Q469="",NOT(ISNUMBER($V469))),"",$AK469/$V469)</f>
        <v/>
      </c>
      <c r="S469" s="46" t="str">
        <f>IF($Q469="","",IF(AND(ISNUMBER($R469),ABS(N($R469))&lt;N(Settings!$C$8)),"Scratch",IF($Q469&gt;0,"Win",IF($Q469&lt;0,"Loss","Scratch"))))</f>
        <v/>
      </c>
      <c r="T469" s="47" t="str">
        <f>IF(OR($AM469=0,NOT(ISNUMBER($H469)),NOT(ISNUMBER($I469)),NOT(ISNUMBER($J469))),"",IF($H469=$I469,"",ROUND(ABS($J469-$H469)/ABS($H469-$I469),6)))</f>
        <v/>
      </c>
      <c r="U469" s="48" t="str">
        <f>IF(OR($S469&lt;&gt;"Win",NOT(ISNUMBER($T469)),NOT(ISNUMBER($R469))),"",MAX(0,$T469-$R469))</f>
        <v/>
      </c>
      <c r="V469" s="49" t="str">
        <f>IF(OR($AM469=0,NOT(ISNUMBER($H469)),NOT(ISNUMBER($I469)),NOT(ISNUMBER($G469))),"",IF(OR($AG469="",$AH469=""),"",IF(ROUND(ABS($H469-$I469)*ABS($G469)*$AG469*$AH469,6)=0,"",ROUND(ABS($H469-$I469)*ABS($G469)*$AG469*$AH469,6))))</f>
        <v/>
      </c>
      <c r="W469" s="50" t="str">
        <f>IF($AM469=0,"",IF($BG469="","OK",LEFT($BG469,LEN($BG469)-2)))</f>
        <v/>
      </c>
      <c r="X469" s="41" t="n"/>
      <c r="Y469" s="40" t="n"/>
      <c r="Z469" s="41" t="n"/>
      <c r="AA469" s="41" t="n"/>
      <c r="AB469" s="40" t="n"/>
      <c r="AC469" s="51" t="n"/>
      <c r="AD469" s="51" t="n"/>
      <c r="AE469" s="40" t="n"/>
      <c r="AF469" s="52" t="str">
        <f>IF($AM469=0,"",IF($D469&lt;&gt;"",$D469,IF(IFERROR(INDEX(Accounts!$C$7:$C$16,MATCH($C469,Accounts!$B$7:$B$16,0))&amp;"","")&lt;&gt;"",INDEX(Accounts!$C$7:$C$16,MATCH($C469,Accounts!$B$7:$B$16,0)),Settings!$C$6)))</f>
        <v/>
      </c>
      <c r="AG469" s="53" t="str">
        <f>IF($AM469=0,"",IF(AND($BE469&gt;0,N(INDEX(Instruments!$D$6:$D$205,MAX(1,$BE469)))&gt;0),INDEX(Instruments!$D$6:$D$205,MAX(1,$BE469)),IF(N(INDEX(Settings!$D$14:$D$18,$BF469))&gt;0,INDEX(Settings!$D$14:$D$18,$BF469),"")))</f>
        <v/>
      </c>
      <c r="AH469" s="54" t="str">
        <f>IF($AM469=0,"",IF($AF469&lt;&gt;"Forex",1,IF(MID(UPPER(SUBSTITUTE(TRIM($E469),"/","")),4,3)=UPPER(TRIM(Settings!$C$7)),1,IF(LEFT(UPPER(SUBSTITUTE(TRIM($E469),"/","")),3)=UPPER(TRIM(Settings!$C$7)),IF(AND(ISNUMBER($K469),N($K469)&lt;&gt;0),1/$K469,""),""))))</f>
        <v/>
      </c>
      <c r="AI469" s="55" t="str">
        <f>IF($AM469=0,"",IF(OR(NOT(ISNUMBER($H469)),NOT(ISNUMBER($K469)),NOT(ISNUMBER($G469)),$AG469="",$AH469=""),"",ROUND(($K469-$H469)*IF($F469="Short",-1,1)*$G469*$AG469*$AH469,6)))</f>
        <v/>
      </c>
      <c r="AJ469" s="55" t="str">
        <f>IF($AM469=0,"",IF(INDEX(Settings!$E$14:$E$18,$BF469)="% of notional",IF(OR($AG469="",NOT(ISNUMBER($H469)),NOT(ISNUMBER($G469))),"",ROUND(ABS($H469*$G469*$AG469*N($AH469))*IF($L469="Limit",N(INDEX(Settings!$G$14:$G$18,$BF469)),N(INDEX(Settings!$H$14:$H$18,$BF469)))+IF(ISNUMBER($K469),ABS($K469*$G469*$AG469*N($AH469))*IF($M469="Target",N(INDEX(Settings!$G$14:$G$18,$BF469)),N(INDEX(Settings!$H$14:$H$18,$BF469))),0),6)),IF(NOT(ISNUMBER($G469)),"",ROUND(ABS($G469)*2*IF(AND($BE469&gt;0,ISNUMBER(INDEX(Instruments!$G$6:$G$205,MAX(1,$BE469)))),INDEX(Instruments!$G$6:$G$205,MAX(1,$BE469)),N(INDEX(Settings!$F$14:$F$18,$BF469))),6))))</f>
        <v/>
      </c>
      <c r="AK469" s="55" t="str">
        <f>IF($AM469=0,"",IF(ISNUMBER($O469),$O469,$AI469))</f>
        <v/>
      </c>
      <c r="AL469" s="55" t="str">
        <f>IF($AM469=0,"",IF(ISNUMBER($P469),$P469,N($AJ469)))</f>
        <v/>
      </c>
      <c r="AM469" s="56">
        <f>IF(AND($A469&lt;&gt;"",$E469&lt;&gt;"",OR(AND(ISNUMBER($G469),ISNUMBER($H469),ISNUMBER($K469)),ISNUMBER($O469))),1,0)</f>
        <v>0</v>
      </c>
      <c r="AN469" s="57" t="str">
        <f>IF($A469="","",$A469-WEEKDAY($A469,3))</f>
        <v/>
      </c>
      <c r="AO469" s="56" t="str">
        <f>IF($A469="","",WEEKDAY($A469,2))</f>
        <v/>
      </c>
      <c r="AP469" s="55" t="str">
        <f>IF(OR($AM469=0,$C469=""),"",IFERROR(N(INDEX(Accounts!$E$7:$E$16,MATCH($C469,Accounts!$B$7:$B$16,0))),0)+SUMIFS($Q$6:$Q469,$C$6:$C469,$C469))</f>
        <v/>
      </c>
      <c r="AQ469" s="55" t="str">
        <f>IF(OR($AM469=0,$C469=""),"",SUMIFS($Q$6:$Q$1005,$C$6:$C$1005,$C469,$A$6:$A$1005,$A469))</f>
        <v/>
      </c>
      <c r="AR469" s="55" t="str">
        <f>IF(OR($AM469=0,$C469=""),"",IFERROR(N(INDEX(Accounts!$E$7:$E$16,MATCH($C469,Accounts!$B$7:$B$16,0))),0)+SUMIFS($Q$6:$Q$1005,$C$6:$C$1005,$C469,$A$6:$A$1005,"&lt;="&amp;$A469))</f>
        <v/>
      </c>
      <c r="AS469" s="56">
        <f>IF(OR($AM469=0,$Q469=""),0,IF(AND($A469&gt;=Lists!$W$6,$A469&lt;=Lists!$W$7,OR(Dashboard!$D$6="All accounts",$C469=Dashboard!$D$6),OR(Dashboard!$D$7="All markets",$AF469=Dashboard!$D$7)),1,0))</f>
        <v>0</v>
      </c>
      <c r="AT469" s="55">
        <f>IF($AS469=1,N(AT468)+$Q469,N(AT468))</f>
        <v>1187.10688</v>
      </c>
      <c r="AU469" s="55">
        <f>MAX(N(AU468),$AT469)</f>
        <v>1187.10688</v>
      </c>
      <c r="AV469" s="55">
        <f>$AT469-$AU469</f>
        <v>0</v>
      </c>
      <c r="AW469" s="56">
        <f>IF($AS469=1,IF($S469="Win",N(AW468)+1,IF($S469="Loss",0,N(AW468))),N(AW468))</f>
        <v>5</v>
      </c>
      <c r="AX469" s="56">
        <f>IF($AS469=1,IF($S469="Loss",N(AX468)+1,IF($S469="Win",0,N(AX468))),N(AX468))</f>
        <v>0</v>
      </c>
      <c r="AY469" s="56" t="str">
        <f>IF($AS469=1,COUNTIF($AS$6:$AS469,1),"")</f>
        <v/>
      </c>
      <c r="AZ469" s="56">
        <f>MIN(463,N(Lists!$W$8))</f>
        <v>28</v>
      </c>
      <c r="BA469" s="56">
        <f>IF($AS469=1,IF(COUNTIFS($A$6:$A469,$A469,$AS$6:$AS469,1)=1,1,0),0)</f>
        <v>0</v>
      </c>
      <c r="BB469" s="55" t="str">
        <f>IF($BA469=1,SUMIFS($Q$6:$Q$1005,$A$6:$A$1005,$A469,$AS$6:$AS$1005,1),"")</f>
        <v/>
      </c>
      <c r="BC469" s="56">
        <f>IF(ISNUMBER($R469),1,0)</f>
        <v>0</v>
      </c>
      <c r="BD469" s="55" t="str">
        <f>IF(ISNUMBER($U469),$U469*$V469,"")</f>
        <v/>
      </c>
      <c r="BE469" s="56" t="str">
        <f>IF($AM469=0,"",IFERROR(MATCH($AF469&amp;"|"&amp;UPPER(TRIM($E469)),Lists!$A$6:$A$205,0),0))</f>
        <v/>
      </c>
      <c r="BF469" s="56" t="str">
        <f>IF($AM469=0,"",IFERROR(MATCH($AF469,Settings!$B$14:$B$18,0),IFERROR(MATCH(Settings!$C$6,Settings!$B$14:$B$18,0),1)))</f>
        <v/>
      </c>
      <c r="BG469" s="58" t="str">
        <f>IF($AM469=0,"",IF(NOT(ISNUMBER($I469)),"No stop; ","")&amp;IF(AND(ISNUMBER($H469),ISNUMBER($I469)),IF(OR(AND($F469&lt;&gt;"Short",$I469&gt;=$H469),AND($F469="Short",$I469&lt;=$H469)),"Stop on wrong side; ",""),"")&amp;IF($F469="","No direction; ","")&amp;IF(AND(ISNUMBER(Settings!$C$22),ISNUMBER($V469)),IF($V469&gt;Settings!$C$22,"Risk over max $; ",""),"")&amp;IF(AND(ISNUMBER(Settings!$C$23),ISNUMBER($V469),ISNUMBER($AP469),IFERROR(N(INDEX(Accounts!$E$7:$E$16,MATCH($C469,Accounts!$B$7:$B$16,0))),0)&gt;0),IF($V469&gt;Settings!$C$23*($AP469-N($Q469)),"Risk over max %; ",""),"")&amp;IF(AND(ISNUMBER(Settings!$C$24),ISNUMBER($N469)),IF($N469&gt;Settings!$C$24,"Leverage over max; ",""),"")&amp;IF(AND(ISNUMBER(Settings!$C$27),ISNUMBER($T469)),IF($T469&lt;Settings!$C$27,"R:R below min; ",""),"")&amp;IF(ISNUMBER(Settings!$C$25),IF(COUNTIFS($A$6:$A469,$A469,$AM$6:$AM469,1)&gt;Settings!$C$25,"Over max trades/day; ",""),"")&amp;IF(ISNUMBER(Settings!$C$26),IF(SUMIFS($Q$5:$Q468,$A$5:$A468,$A469)&lt;=-Settings!$C$26,"Traded after daily max loss; ",""),"")&amp;IF(AND($AG469="",NOT(ISNUMBER($O469))),"Symbol not in Instruments; ","")&amp;IF(AND($AH469="",NOT(ISNUMBER($O469))),"Forex cross: type Gross P&amp;L; ",""))</f>
        <v/>
      </c>
      <c r="BH469" s="56">
        <f>IF(ISNUMBER($Q469),1,0)</f>
        <v>0</v>
      </c>
      <c r="BI469" s="56">
        <f>IF($Y469="",0,1)</f>
        <v>0</v>
      </c>
      <c r="BJ469" s="56">
        <f>IF($AB469="",0,1)</f>
        <v>0</v>
      </c>
      <c r="BK469" s="56">
        <f>IF(AND($BH469=1,$W469&lt;&gt;"OK"),1,0)</f>
        <v>0</v>
      </c>
      <c r="BL469" s="55">
        <f>IF(N($AZ469)=0,0,IFERROR(INDEX($AT$6:$AT$1005,MATCH($AZ469,$AY$6:$AY$1005,0)),0))</f>
        <v>1187.10688</v>
      </c>
      <c r="BM469" s="56">
        <f>IF(ISNUMBER(SEARCH("daily max loss",$BG469)),1,0)</f>
        <v>0</v>
      </c>
    </row>
    <row r="470" ht="18" customHeight="1">
      <c r="A470" s="38" t="n"/>
      <c r="B470" s="39" t="n"/>
      <c r="C470" s="40" t="n"/>
      <c r="D470" s="41" t="n"/>
      <c r="E470" s="41" t="n"/>
      <c r="F470" s="41" t="n"/>
      <c r="G470" s="41" t="n"/>
      <c r="H470" s="42" t="n"/>
      <c r="I470" s="42" t="n"/>
      <c r="J470" s="42" t="n"/>
      <c r="K470" s="42" t="n"/>
      <c r="L470" s="41" t="n"/>
      <c r="M470" s="41" t="n"/>
      <c r="N470" s="41" t="n"/>
      <c r="O470" s="43" t="n"/>
      <c r="P470" s="43" t="n"/>
      <c r="Q470" s="44" t="str">
        <f>IF($AM470=0,"",IF(ISNUMBER($AK470),$AK470-N($AL470),""))</f>
        <v/>
      </c>
      <c r="R470" s="45" t="str">
        <f>IF(OR($Q470="",NOT(ISNUMBER($V470))),"",$AK470/$V470)</f>
        <v/>
      </c>
      <c r="S470" s="46" t="str">
        <f>IF($Q470="","",IF(AND(ISNUMBER($R470),ABS(N($R470))&lt;N(Settings!$C$8)),"Scratch",IF($Q470&gt;0,"Win",IF($Q470&lt;0,"Loss","Scratch"))))</f>
        <v/>
      </c>
      <c r="T470" s="47" t="str">
        <f>IF(OR($AM470=0,NOT(ISNUMBER($H470)),NOT(ISNUMBER($I470)),NOT(ISNUMBER($J470))),"",IF($H470=$I470,"",ROUND(ABS($J470-$H470)/ABS($H470-$I470),6)))</f>
        <v/>
      </c>
      <c r="U470" s="48" t="str">
        <f>IF(OR($S470&lt;&gt;"Win",NOT(ISNUMBER($T470)),NOT(ISNUMBER($R470))),"",MAX(0,$T470-$R470))</f>
        <v/>
      </c>
      <c r="V470" s="49" t="str">
        <f>IF(OR($AM470=0,NOT(ISNUMBER($H470)),NOT(ISNUMBER($I470)),NOT(ISNUMBER($G470))),"",IF(OR($AG470="",$AH470=""),"",IF(ROUND(ABS($H470-$I470)*ABS($G470)*$AG470*$AH470,6)=0,"",ROUND(ABS($H470-$I470)*ABS($G470)*$AG470*$AH470,6))))</f>
        <v/>
      </c>
      <c r="W470" s="50" t="str">
        <f>IF($AM470=0,"",IF($BG470="","OK",LEFT($BG470,LEN($BG470)-2)))</f>
        <v/>
      </c>
      <c r="X470" s="41" t="n"/>
      <c r="Y470" s="40" t="n"/>
      <c r="Z470" s="41" t="n"/>
      <c r="AA470" s="41" t="n"/>
      <c r="AB470" s="40" t="n"/>
      <c r="AC470" s="51" t="n"/>
      <c r="AD470" s="51" t="n"/>
      <c r="AE470" s="40" t="n"/>
      <c r="AF470" s="52" t="str">
        <f>IF($AM470=0,"",IF($D470&lt;&gt;"",$D470,IF(IFERROR(INDEX(Accounts!$C$7:$C$16,MATCH($C470,Accounts!$B$7:$B$16,0))&amp;"","")&lt;&gt;"",INDEX(Accounts!$C$7:$C$16,MATCH($C470,Accounts!$B$7:$B$16,0)),Settings!$C$6)))</f>
        <v/>
      </c>
      <c r="AG470" s="53" t="str">
        <f>IF($AM470=0,"",IF(AND($BE470&gt;0,N(INDEX(Instruments!$D$6:$D$205,MAX(1,$BE470)))&gt;0),INDEX(Instruments!$D$6:$D$205,MAX(1,$BE470)),IF(N(INDEX(Settings!$D$14:$D$18,$BF470))&gt;0,INDEX(Settings!$D$14:$D$18,$BF470),"")))</f>
        <v/>
      </c>
      <c r="AH470" s="54" t="str">
        <f>IF($AM470=0,"",IF($AF470&lt;&gt;"Forex",1,IF(MID(UPPER(SUBSTITUTE(TRIM($E470),"/","")),4,3)=UPPER(TRIM(Settings!$C$7)),1,IF(LEFT(UPPER(SUBSTITUTE(TRIM($E470),"/","")),3)=UPPER(TRIM(Settings!$C$7)),IF(AND(ISNUMBER($K470),N($K470)&lt;&gt;0),1/$K470,""),""))))</f>
        <v/>
      </c>
      <c r="AI470" s="55" t="str">
        <f>IF($AM470=0,"",IF(OR(NOT(ISNUMBER($H470)),NOT(ISNUMBER($K470)),NOT(ISNUMBER($G470)),$AG470="",$AH470=""),"",ROUND(($K470-$H470)*IF($F470="Short",-1,1)*$G470*$AG470*$AH470,6)))</f>
        <v/>
      </c>
      <c r="AJ470" s="55" t="str">
        <f>IF($AM470=0,"",IF(INDEX(Settings!$E$14:$E$18,$BF470)="% of notional",IF(OR($AG470="",NOT(ISNUMBER($H470)),NOT(ISNUMBER($G470))),"",ROUND(ABS($H470*$G470*$AG470*N($AH470))*IF($L470="Limit",N(INDEX(Settings!$G$14:$G$18,$BF470)),N(INDEX(Settings!$H$14:$H$18,$BF470)))+IF(ISNUMBER($K470),ABS($K470*$G470*$AG470*N($AH470))*IF($M470="Target",N(INDEX(Settings!$G$14:$G$18,$BF470)),N(INDEX(Settings!$H$14:$H$18,$BF470))),0),6)),IF(NOT(ISNUMBER($G470)),"",ROUND(ABS($G470)*2*IF(AND($BE470&gt;0,ISNUMBER(INDEX(Instruments!$G$6:$G$205,MAX(1,$BE470)))),INDEX(Instruments!$G$6:$G$205,MAX(1,$BE470)),N(INDEX(Settings!$F$14:$F$18,$BF470))),6))))</f>
        <v/>
      </c>
      <c r="AK470" s="55" t="str">
        <f>IF($AM470=0,"",IF(ISNUMBER($O470),$O470,$AI470))</f>
        <v/>
      </c>
      <c r="AL470" s="55" t="str">
        <f>IF($AM470=0,"",IF(ISNUMBER($P470),$P470,N($AJ470)))</f>
        <v/>
      </c>
      <c r="AM470" s="56">
        <f>IF(AND($A470&lt;&gt;"",$E470&lt;&gt;"",OR(AND(ISNUMBER($G470),ISNUMBER($H470),ISNUMBER($K470)),ISNUMBER($O470))),1,0)</f>
        <v>0</v>
      </c>
      <c r="AN470" s="57" t="str">
        <f>IF($A470="","",$A470-WEEKDAY($A470,3))</f>
        <v/>
      </c>
      <c r="AO470" s="56" t="str">
        <f>IF($A470="","",WEEKDAY($A470,2))</f>
        <v/>
      </c>
      <c r="AP470" s="55" t="str">
        <f>IF(OR($AM470=0,$C470=""),"",IFERROR(N(INDEX(Accounts!$E$7:$E$16,MATCH($C470,Accounts!$B$7:$B$16,0))),0)+SUMIFS($Q$6:$Q470,$C$6:$C470,$C470))</f>
        <v/>
      </c>
      <c r="AQ470" s="55" t="str">
        <f>IF(OR($AM470=0,$C470=""),"",SUMIFS($Q$6:$Q$1005,$C$6:$C$1005,$C470,$A$6:$A$1005,$A470))</f>
        <v/>
      </c>
      <c r="AR470" s="55" t="str">
        <f>IF(OR($AM470=0,$C470=""),"",IFERROR(N(INDEX(Accounts!$E$7:$E$16,MATCH($C470,Accounts!$B$7:$B$16,0))),0)+SUMIFS($Q$6:$Q$1005,$C$6:$C$1005,$C470,$A$6:$A$1005,"&lt;="&amp;$A470))</f>
        <v/>
      </c>
      <c r="AS470" s="56">
        <f>IF(OR($AM470=0,$Q470=""),0,IF(AND($A470&gt;=Lists!$W$6,$A470&lt;=Lists!$W$7,OR(Dashboard!$D$6="All accounts",$C470=Dashboard!$D$6),OR(Dashboard!$D$7="All markets",$AF470=Dashboard!$D$7)),1,0))</f>
        <v>0</v>
      </c>
      <c r="AT470" s="55">
        <f>IF($AS470=1,N(AT469)+$Q470,N(AT469))</f>
        <v>1187.10688</v>
      </c>
      <c r="AU470" s="55">
        <f>MAX(N(AU469),$AT470)</f>
        <v>1187.10688</v>
      </c>
      <c r="AV470" s="55">
        <f>$AT470-$AU470</f>
        <v>0</v>
      </c>
      <c r="AW470" s="56">
        <f>IF($AS470=1,IF($S470="Win",N(AW469)+1,IF($S470="Loss",0,N(AW469))),N(AW469))</f>
        <v>5</v>
      </c>
      <c r="AX470" s="56">
        <f>IF($AS470=1,IF($S470="Loss",N(AX469)+1,IF($S470="Win",0,N(AX469))),N(AX469))</f>
        <v>0</v>
      </c>
      <c r="AY470" s="56" t="str">
        <f>IF($AS470=1,COUNTIF($AS$6:$AS470,1),"")</f>
        <v/>
      </c>
      <c r="AZ470" s="56">
        <f>MIN(464,N(Lists!$W$8))</f>
        <v>28</v>
      </c>
      <c r="BA470" s="56">
        <f>IF($AS470=1,IF(COUNTIFS($A$6:$A470,$A470,$AS$6:$AS470,1)=1,1,0),0)</f>
        <v>0</v>
      </c>
      <c r="BB470" s="55" t="str">
        <f>IF($BA470=1,SUMIFS($Q$6:$Q$1005,$A$6:$A$1005,$A470,$AS$6:$AS$1005,1),"")</f>
        <v/>
      </c>
      <c r="BC470" s="56">
        <f>IF(ISNUMBER($R470),1,0)</f>
        <v>0</v>
      </c>
      <c r="BD470" s="55" t="str">
        <f>IF(ISNUMBER($U470),$U470*$V470,"")</f>
        <v/>
      </c>
      <c r="BE470" s="56" t="str">
        <f>IF($AM470=0,"",IFERROR(MATCH($AF470&amp;"|"&amp;UPPER(TRIM($E470)),Lists!$A$6:$A$205,0),0))</f>
        <v/>
      </c>
      <c r="BF470" s="56" t="str">
        <f>IF($AM470=0,"",IFERROR(MATCH($AF470,Settings!$B$14:$B$18,0),IFERROR(MATCH(Settings!$C$6,Settings!$B$14:$B$18,0),1)))</f>
        <v/>
      </c>
      <c r="BG470" s="58" t="str">
        <f>IF($AM470=0,"",IF(NOT(ISNUMBER($I470)),"No stop; ","")&amp;IF(AND(ISNUMBER($H470),ISNUMBER($I470)),IF(OR(AND($F470&lt;&gt;"Short",$I470&gt;=$H470),AND($F470="Short",$I470&lt;=$H470)),"Stop on wrong side; ",""),"")&amp;IF($F470="","No direction; ","")&amp;IF(AND(ISNUMBER(Settings!$C$22),ISNUMBER($V470)),IF($V470&gt;Settings!$C$22,"Risk over max $; ",""),"")&amp;IF(AND(ISNUMBER(Settings!$C$23),ISNUMBER($V470),ISNUMBER($AP470),IFERROR(N(INDEX(Accounts!$E$7:$E$16,MATCH($C470,Accounts!$B$7:$B$16,0))),0)&gt;0),IF($V470&gt;Settings!$C$23*($AP470-N($Q470)),"Risk over max %; ",""),"")&amp;IF(AND(ISNUMBER(Settings!$C$24),ISNUMBER($N470)),IF($N470&gt;Settings!$C$24,"Leverage over max; ",""),"")&amp;IF(AND(ISNUMBER(Settings!$C$27),ISNUMBER($T470)),IF($T470&lt;Settings!$C$27,"R:R below min; ",""),"")&amp;IF(ISNUMBER(Settings!$C$25),IF(COUNTIFS($A$6:$A470,$A470,$AM$6:$AM470,1)&gt;Settings!$C$25,"Over max trades/day; ",""),"")&amp;IF(ISNUMBER(Settings!$C$26),IF(SUMIFS($Q$5:$Q469,$A$5:$A469,$A470)&lt;=-Settings!$C$26,"Traded after daily max loss; ",""),"")&amp;IF(AND($AG470="",NOT(ISNUMBER($O470))),"Symbol not in Instruments; ","")&amp;IF(AND($AH470="",NOT(ISNUMBER($O470))),"Forex cross: type Gross P&amp;L; ",""))</f>
        <v/>
      </c>
      <c r="BH470" s="56">
        <f>IF(ISNUMBER($Q470),1,0)</f>
        <v>0</v>
      </c>
      <c r="BI470" s="56">
        <f>IF($Y470="",0,1)</f>
        <v>0</v>
      </c>
      <c r="BJ470" s="56">
        <f>IF($AB470="",0,1)</f>
        <v>0</v>
      </c>
      <c r="BK470" s="56">
        <f>IF(AND($BH470=1,$W470&lt;&gt;"OK"),1,0)</f>
        <v>0</v>
      </c>
      <c r="BL470" s="55">
        <f>IF(N($AZ470)=0,0,IFERROR(INDEX($AT$6:$AT$1005,MATCH($AZ470,$AY$6:$AY$1005,0)),0))</f>
        <v>1187.10688</v>
      </c>
      <c r="BM470" s="56">
        <f>IF(ISNUMBER(SEARCH("daily max loss",$BG470)),1,0)</f>
        <v>0</v>
      </c>
    </row>
    <row r="471" ht="18" customHeight="1">
      <c r="A471" s="38" t="n"/>
      <c r="B471" s="39" t="n"/>
      <c r="C471" s="40" t="n"/>
      <c r="D471" s="41" t="n"/>
      <c r="E471" s="41" t="n"/>
      <c r="F471" s="41" t="n"/>
      <c r="G471" s="41" t="n"/>
      <c r="H471" s="42" t="n"/>
      <c r="I471" s="42" t="n"/>
      <c r="J471" s="42" t="n"/>
      <c r="K471" s="42" t="n"/>
      <c r="L471" s="41" t="n"/>
      <c r="M471" s="41" t="n"/>
      <c r="N471" s="41" t="n"/>
      <c r="O471" s="43" t="n"/>
      <c r="P471" s="43" t="n"/>
      <c r="Q471" s="44" t="str">
        <f>IF($AM471=0,"",IF(ISNUMBER($AK471),$AK471-N($AL471),""))</f>
        <v/>
      </c>
      <c r="R471" s="45" t="str">
        <f>IF(OR($Q471="",NOT(ISNUMBER($V471))),"",$AK471/$V471)</f>
        <v/>
      </c>
      <c r="S471" s="46" t="str">
        <f>IF($Q471="","",IF(AND(ISNUMBER($R471),ABS(N($R471))&lt;N(Settings!$C$8)),"Scratch",IF($Q471&gt;0,"Win",IF($Q471&lt;0,"Loss","Scratch"))))</f>
        <v/>
      </c>
      <c r="T471" s="47" t="str">
        <f>IF(OR($AM471=0,NOT(ISNUMBER($H471)),NOT(ISNUMBER($I471)),NOT(ISNUMBER($J471))),"",IF($H471=$I471,"",ROUND(ABS($J471-$H471)/ABS($H471-$I471),6)))</f>
        <v/>
      </c>
      <c r="U471" s="48" t="str">
        <f>IF(OR($S471&lt;&gt;"Win",NOT(ISNUMBER($T471)),NOT(ISNUMBER($R471))),"",MAX(0,$T471-$R471))</f>
        <v/>
      </c>
      <c r="V471" s="49" t="str">
        <f>IF(OR($AM471=0,NOT(ISNUMBER($H471)),NOT(ISNUMBER($I471)),NOT(ISNUMBER($G471))),"",IF(OR($AG471="",$AH471=""),"",IF(ROUND(ABS($H471-$I471)*ABS($G471)*$AG471*$AH471,6)=0,"",ROUND(ABS($H471-$I471)*ABS($G471)*$AG471*$AH471,6))))</f>
        <v/>
      </c>
      <c r="W471" s="50" t="str">
        <f>IF($AM471=0,"",IF($BG471="","OK",LEFT($BG471,LEN($BG471)-2)))</f>
        <v/>
      </c>
      <c r="X471" s="41" t="n"/>
      <c r="Y471" s="40" t="n"/>
      <c r="Z471" s="41" t="n"/>
      <c r="AA471" s="41" t="n"/>
      <c r="AB471" s="40" t="n"/>
      <c r="AC471" s="51" t="n"/>
      <c r="AD471" s="51" t="n"/>
      <c r="AE471" s="40" t="n"/>
      <c r="AF471" s="52" t="str">
        <f>IF($AM471=0,"",IF($D471&lt;&gt;"",$D471,IF(IFERROR(INDEX(Accounts!$C$7:$C$16,MATCH($C471,Accounts!$B$7:$B$16,0))&amp;"","")&lt;&gt;"",INDEX(Accounts!$C$7:$C$16,MATCH($C471,Accounts!$B$7:$B$16,0)),Settings!$C$6)))</f>
        <v/>
      </c>
      <c r="AG471" s="53" t="str">
        <f>IF($AM471=0,"",IF(AND($BE471&gt;0,N(INDEX(Instruments!$D$6:$D$205,MAX(1,$BE471)))&gt;0),INDEX(Instruments!$D$6:$D$205,MAX(1,$BE471)),IF(N(INDEX(Settings!$D$14:$D$18,$BF471))&gt;0,INDEX(Settings!$D$14:$D$18,$BF471),"")))</f>
        <v/>
      </c>
      <c r="AH471" s="54" t="str">
        <f>IF($AM471=0,"",IF($AF471&lt;&gt;"Forex",1,IF(MID(UPPER(SUBSTITUTE(TRIM($E471),"/","")),4,3)=UPPER(TRIM(Settings!$C$7)),1,IF(LEFT(UPPER(SUBSTITUTE(TRIM($E471),"/","")),3)=UPPER(TRIM(Settings!$C$7)),IF(AND(ISNUMBER($K471),N($K471)&lt;&gt;0),1/$K471,""),""))))</f>
        <v/>
      </c>
      <c r="AI471" s="55" t="str">
        <f>IF($AM471=0,"",IF(OR(NOT(ISNUMBER($H471)),NOT(ISNUMBER($K471)),NOT(ISNUMBER($G471)),$AG471="",$AH471=""),"",ROUND(($K471-$H471)*IF($F471="Short",-1,1)*$G471*$AG471*$AH471,6)))</f>
        <v/>
      </c>
      <c r="AJ471" s="55" t="str">
        <f>IF($AM471=0,"",IF(INDEX(Settings!$E$14:$E$18,$BF471)="% of notional",IF(OR($AG471="",NOT(ISNUMBER($H471)),NOT(ISNUMBER($G471))),"",ROUND(ABS($H471*$G471*$AG471*N($AH471))*IF($L471="Limit",N(INDEX(Settings!$G$14:$G$18,$BF471)),N(INDEX(Settings!$H$14:$H$18,$BF471)))+IF(ISNUMBER($K471),ABS($K471*$G471*$AG471*N($AH471))*IF($M471="Target",N(INDEX(Settings!$G$14:$G$18,$BF471)),N(INDEX(Settings!$H$14:$H$18,$BF471))),0),6)),IF(NOT(ISNUMBER($G471)),"",ROUND(ABS($G471)*2*IF(AND($BE471&gt;0,ISNUMBER(INDEX(Instruments!$G$6:$G$205,MAX(1,$BE471)))),INDEX(Instruments!$G$6:$G$205,MAX(1,$BE471)),N(INDEX(Settings!$F$14:$F$18,$BF471))),6))))</f>
        <v/>
      </c>
      <c r="AK471" s="55" t="str">
        <f>IF($AM471=0,"",IF(ISNUMBER($O471),$O471,$AI471))</f>
        <v/>
      </c>
      <c r="AL471" s="55" t="str">
        <f>IF($AM471=0,"",IF(ISNUMBER($P471),$P471,N($AJ471)))</f>
        <v/>
      </c>
      <c r="AM471" s="56">
        <f>IF(AND($A471&lt;&gt;"",$E471&lt;&gt;"",OR(AND(ISNUMBER($G471),ISNUMBER($H471),ISNUMBER($K471)),ISNUMBER($O471))),1,0)</f>
        <v>0</v>
      </c>
      <c r="AN471" s="57" t="str">
        <f>IF($A471="","",$A471-WEEKDAY($A471,3))</f>
        <v/>
      </c>
      <c r="AO471" s="56" t="str">
        <f>IF($A471="","",WEEKDAY($A471,2))</f>
        <v/>
      </c>
      <c r="AP471" s="55" t="str">
        <f>IF(OR($AM471=0,$C471=""),"",IFERROR(N(INDEX(Accounts!$E$7:$E$16,MATCH($C471,Accounts!$B$7:$B$16,0))),0)+SUMIFS($Q$6:$Q471,$C$6:$C471,$C471))</f>
        <v/>
      </c>
      <c r="AQ471" s="55" t="str">
        <f>IF(OR($AM471=0,$C471=""),"",SUMIFS($Q$6:$Q$1005,$C$6:$C$1005,$C471,$A$6:$A$1005,$A471))</f>
        <v/>
      </c>
      <c r="AR471" s="55" t="str">
        <f>IF(OR($AM471=0,$C471=""),"",IFERROR(N(INDEX(Accounts!$E$7:$E$16,MATCH($C471,Accounts!$B$7:$B$16,0))),0)+SUMIFS($Q$6:$Q$1005,$C$6:$C$1005,$C471,$A$6:$A$1005,"&lt;="&amp;$A471))</f>
        <v/>
      </c>
      <c r="AS471" s="56">
        <f>IF(OR($AM471=0,$Q471=""),0,IF(AND($A471&gt;=Lists!$W$6,$A471&lt;=Lists!$W$7,OR(Dashboard!$D$6="All accounts",$C471=Dashboard!$D$6),OR(Dashboard!$D$7="All markets",$AF471=Dashboard!$D$7)),1,0))</f>
        <v>0</v>
      </c>
      <c r="AT471" s="55">
        <f>IF($AS471=1,N(AT470)+$Q471,N(AT470))</f>
        <v>1187.10688</v>
      </c>
      <c r="AU471" s="55">
        <f>MAX(N(AU470),$AT471)</f>
        <v>1187.10688</v>
      </c>
      <c r="AV471" s="55">
        <f>$AT471-$AU471</f>
        <v>0</v>
      </c>
      <c r="AW471" s="56">
        <f>IF($AS471=1,IF($S471="Win",N(AW470)+1,IF($S471="Loss",0,N(AW470))),N(AW470))</f>
        <v>5</v>
      </c>
      <c r="AX471" s="56">
        <f>IF($AS471=1,IF($S471="Loss",N(AX470)+1,IF($S471="Win",0,N(AX470))),N(AX470))</f>
        <v>0</v>
      </c>
      <c r="AY471" s="56" t="str">
        <f>IF($AS471=1,COUNTIF($AS$6:$AS471,1),"")</f>
        <v/>
      </c>
      <c r="AZ471" s="56">
        <f>MIN(465,N(Lists!$W$8))</f>
        <v>28</v>
      </c>
      <c r="BA471" s="56">
        <f>IF($AS471=1,IF(COUNTIFS($A$6:$A471,$A471,$AS$6:$AS471,1)=1,1,0),0)</f>
        <v>0</v>
      </c>
      <c r="BB471" s="55" t="str">
        <f>IF($BA471=1,SUMIFS($Q$6:$Q$1005,$A$6:$A$1005,$A471,$AS$6:$AS$1005,1),"")</f>
        <v/>
      </c>
      <c r="BC471" s="56">
        <f>IF(ISNUMBER($R471),1,0)</f>
        <v>0</v>
      </c>
      <c r="BD471" s="55" t="str">
        <f>IF(ISNUMBER($U471),$U471*$V471,"")</f>
        <v/>
      </c>
      <c r="BE471" s="56" t="str">
        <f>IF($AM471=0,"",IFERROR(MATCH($AF471&amp;"|"&amp;UPPER(TRIM($E471)),Lists!$A$6:$A$205,0),0))</f>
        <v/>
      </c>
      <c r="BF471" s="56" t="str">
        <f>IF($AM471=0,"",IFERROR(MATCH($AF471,Settings!$B$14:$B$18,0),IFERROR(MATCH(Settings!$C$6,Settings!$B$14:$B$18,0),1)))</f>
        <v/>
      </c>
      <c r="BG471" s="58" t="str">
        <f>IF($AM471=0,"",IF(NOT(ISNUMBER($I471)),"No stop; ","")&amp;IF(AND(ISNUMBER($H471),ISNUMBER($I471)),IF(OR(AND($F471&lt;&gt;"Short",$I471&gt;=$H471),AND($F471="Short",$I471&lt;=$H471)),"Stop on wrong side; ",""),"")&amp;IF($F471="","No direction; ","")&amp;IF(AND(ISNUMBER(Settings!$C$22),ISNUMBER($V471)),IF($V471&gt;Settings!$C$22,"Risk over max $; ",""),"")&amp;IF(AND(ISNUMBER(Settings!$C$23),ISNUMBER($V471),ISNUMBER($AP471),IFERROR(N(INDEX(Accounts!$E$7:$E$16,MATCH($C471,Accounts!$B$7:$B$16,0))),0)&gt;0),IF($V471&gt;Settings!$C$23*($AP471-N($Q471)),"Risk over max %; ",""),"")&amp;IF(AND(ISNUMBER(Settings!$C$24),ISNUMBER($N471)),IF($N471&gt;Settings!$C$24,"Leverage over max; ",""),"")&amp;IF(AND(ISNUMBER(Settings!$C$27),ISNUMBER($T471)),IF($T471&lt;Settings!$C$27,"R:R below min; ",""),"")&amp;IF(ISNUMBER(Settings!$C$25),IF(COUNTIFS($A$6:$A471,$A471,$AM$6:$AM471,1)&gt;Settings!$C$25,"Over max trades/day; ",""),"")&amp;IF(ISNUMBER(Settings!$C$26),IF(SUMIFS($Q$5:$Q470,$A$5:$A470,$A471)&lt;=-Settings!$C$26,"Traded after daily max loss; ",""),"")&amp;IF(AND($AG471="",NOT(ISNUMBER($O471))),"Symbol not in Instruments; ","")&amp;IF(AND($AH471="",NOT(ISNUMBER($O471))),"Forex cross: type Gross P&amp;L; ",""))</f>
        <v/>
      </c>
      <c r="BH471" s="56">
        <f>IF(ISNUMBER($Q471),1,0)</f>
        <v>0</v>
      </c>
      <c r="BI471" s="56">
        <f>IF($Y471="",0,1)</f>
        <v>0</v>
      </c>
      <c r="BJ471" s="56">
        <f>IF($AB471="",0,1)</f>
        <v>0</v>
      </c>
      <c r="BK471" s="56">
        <f>IF(AND($BH471=1,$W471&lt;&gt;"OK"),1,0)</f>
        <v>0</v>
      </c>
      <c r="BL471" s="55">
        <f>IF(N($AZ471)=0,0,IFERROR(INDEX($AT$6:$AT$1005,MATCH($AZ471,$AY$6:$AY$1005,0)),0))</f>
        <v>1187.10688</v>
      </c>
      <c r="BM471" s="56">
        <f>IF(ISNUMBER(SEARCH("daily max loss",$BG471)),1,0)</f>
        <v>0</v>
      </c>
    </row>
    <row r="472" ht="18" customHeight="1">
      <c r="A472" s="38" t="n"/>
      <c r="B472" s="39" t="n"/>
      <c r="C472" s="40" t="n"/>
      <c r="D472" s="41" t="n"/>
      <c r="E472" s="41" t="n"/>
      <c r="F472" s="41" t="n"/>
      <c r="G472" s="41" t="n"/>
      <c r="H472" s="42" t="n"/>
      <c r="I472" s="42" t="n"/>
      <c r="J472" s="42" t="n"/>
      <c r="K472" s="42" t="n"/>
      <c r="L472" s="41" t="n"/>
      <c r="M472" s="41" t="n"/>
      <c r="N472" s="41" t="n"/>
      <c r="O472" s="43" t="n"/>
      <c r="P472" s="43" t="n"/>
      <c r="Q472" s="44" t="str">
        <f>IF($AM472=0,"",IF(ISNUMBER($AK472),$AK472-N($AL472),""))</f>
        <v/>
      </c>
      <c r="R472" s="45" t="str">
        <f>IF(OR($Q472="",NOT(ISNUMBER($V472))),"",$AK472/$V472)</f>
        <v/>
      </c>
      <c r="S472" s="46" t="str">
        <f>IF($Q472="","",IF(AND(ISNUMBER($R472),ABS(N($R472))&lt;N(Settings!$C$8)),"Scratch",IF($Q472&gt;0,"Win",IF($Q472&lt;0,"Loss","Scratch"))))</f>
        <v/>
      </c>
      <c r="T472" s="47" t="str">
        <f>IF(OR($AM472=0,NOT(ISNUMBER($H472)),NOT(ISNUMBER($I472)),NOT(ISNUMBER($J472))),"",IF($H472=$I472,"",ROUND(ABS($J472-$H472)/ABS($H472-$I472),6)))</f>
        <v/>
      </c>
      <c r="U472" s="48" t="str">
        <f>IF(OR($S472&lt;&gt;"Win",NOT(ISNUMBER($T472)),NOT(ISNUMBER($R472))),"",MAX(0,$T472-$R472))</f>
        <v/>
      </c>
      <c r="V472" s="49" t="str">
        <f>IF(OR($AM472=0,NOT(ISNUMBER($H472)),NOT(ISNUMBER($I472)),NOT(ISNUMBER($G472))),"",IF(OR($AG472="",$AH472=""),"",IF(ROUND(ABS($H472-$I472)*ABS($G472)*$AG472*$AH472,6)=0,"",ROUND(ABS($H472-$I472)*ABS($G472)*$AG472*$AH472,6))))</f>
        <v/>
      </c>
      <c r="W472" s="50" t="str">
        <f>IF($AM472=0,"",IF($BG472="","OK",LEFT($BG472,LEN($BG472)-2)))</f>
        <v/>
      </c>
      <c r="X472" s="41" t="n"/>
      <c r="Y472" s="40" t="n"/>
      <c r="Z472" s="41" t="n"/>
      <c r="AA472" s="41" t="n"/>
      <c r="AB472" s="40" t="n"/>
      <c r="AC472" s="51" t="n"/>
      <c r="AD472" s="51" t="n"/>
      <c r="AE472" s="40" t="n"/>
      <c r="AF472" s="52" t="str">
        <f>IF($AM472=0,"",IF($D472&lt;&gt;"",$D472,IF(IFERROR(INDEX(Accounts!$C$7:$C$16,MATCH($C472,Accounts!$B$7:$B$16,0))&amp;"","")&lt;&gt;"",INDEX(Accounts!$C$7:$C$16,MATCH($C472,Accounts!$B$7:$B$16,0)),Settings!$C$6)))</f>
        <v/>
      </c>
      <c r="AG472" s="53" t="str">
        <f>IF($AM472=0,"",IF(AND($BE472&gt;0,N(INDEX(Instruments!$D$6:$D$205,MAX(1,$BE472)))&gt;0),INDEX(Instruments!$D$6:$D$205,MAX(1,$BE472)),IF(N(INDEX(Settings!$D$14:$D$18,$BF472))&gt;0,INDEX(Settings!$D$14:$D$18,$BF472),"")))</f>
        <v/>
      </c>
      <c r="AH472" s="54" t="str">
        <f>IF($AM472=0,"",IF($AF472&lt;&gt;"Forex",1,IF(MID(UPPER(SUBSTITUTE(TRIM($E472),"/","")),4,3)=UPPER(TRIM(Settings!$C$7)),1,IF(LEFT(UPPER(SUBSTITUTE(TRIM($E472),"/","")),3)=UPPER(TRIM(Settings!$C$7)),IF(AND(ISNUMBER($K472),N($K472)&lt;&gt;0),1/$K472,""),""))))</f>
        <v/>
      </c>
      <c r="AI472" s="55" t="str">
        <f>IF($AM472=0,"",IF(OR(NOT(ISNUMBER($H472)),NOT(ISNUMBER($K472)),NOT(ISNUMBER($G472)),$AG472="",$AH472=""),"",ROUND(($K472-$H472)*IF($F472="Short",-1,1)*$G472*$AG472*$AH472,6)))</f>
        <v/>
      </c>
      <c r="AJ472" s="55" t="str">
        <f>IF($AM472=0,"",IF(INDEX(Settings!$E$14:$E$18,$BF472)="% of notional",IF(OR($AG472="",NOT(ISNUMBER($H472)),NOT(ISNUMBER($G472))),"",ROUND(ABS($H472*$G472*$AG472*N($AH472))*IF($L472="Limit",N(INDEX(Settings!$G$14:$G$18,$BF472)),N(INDEX(Settings!$H$14:$H$18,$BF472)))+IF(ISNUMBER($K472),ABS($K472*$G472*$AG472*N($AH472))*IF($M472="Target",N(INDEX(Settings!$G$14:$G$18,$BF472)),N(INDEX(Settings!$H$14:$H$18,$BF472))),0),6)),IF(NOT(ISNUMBER($G472)),"",ROUND(ABS($G472)*2*IF(AND($BE472&gt;0,ISNUMBER(INDEX(Instruments!$G$6:$G$205,MAX(1,$BE472)))),INDEX(Instruments!$G$6:$G$205,MAX(1,$BE472)),N(INDEX(Settings!$F$14:$F$18,$BF472))),6))))</f>
        <v/>
      </c>
      <c r="AK472" s="55" t="str">
        <f>IF($AM472=0,"",IF(ISNUMBER($O472),$O472,$AI472))</f>
        <v/>
      </c>
      <c r="AL472" s="55" t="str">
        <f>IF($AM472=0,"",IF(ISNUMBER($P472),$P472,N($AJ472)))</f>
        <v/>
      </c>
      <c r="AM472" s="56">
        <f>IF(AND($A472&lt;&gt;"",$E472&lt;&gt;"",OR(AND(ISNUMBER($G472),ISNUMBER($H472),ISNUMBER($K472)),ISNUMBER($O472))),1,0)</f>
        <v>0</v>
      </c>
      <c r="AN472" s="57" t="str">
        <f>IF($A472="","",$A472-WEEKDAY($A472,3))</f>
        <v/>
      </c>
      <c r="AO472" s="56" t="str">
        <f>IF($A472="","",WEEKDAY($A472,2))</f>
        <v/>
      </c>
      <c r="AP472" s="55" t="str">
        <f>IF(OR($AM472=0,$C472=""),"",IFERROR(N(INDEX(Accounts!$E$7:$E$16,MATCH($C472,Accounts!$B$7:$B$16,0))),0)+SUMIFS($Q$6:$Q472,$C$6:$C472,$C472))</f>
        <v/>
      </c>
      <c r="AQ472" s="55" t="str">
        <f>IF(OR($AM472=0,$C472=""),"",SUMIFS($Q$6:$Q$1005,$C$6:$C$1005,$C472,$A$6:$A$1005,$A472))</f>
        <v/>
      </c>
      <c r="AR472" s="55" t="str">
        <f>IF(OR($AM472=0,$C472=""),"",IFERROR(N(INDEX(Accounts!$E$7:$E$16,MATCH($C472,Accounts!$B$7:$B$16,0))),0)+SUMIFS($Q$6:$Q$1005,$C$6:$C$1005,$C472,$A$6:$A$1005,"&lt;="&amp;$A472))</f>
        <v/>
      </c>
      <c r="AS472" s="56">
        <f>IF(OR($AM472=0,$Q472=""),0,IF(AND($A472&gt;=Lists!$W$6,$A472&lt;=Lists!$W$7,OR(Dashboard!$D$6="All accounts",$C472=Dashboard!$D$6),OR(Dashboard!$D$7="All markets",$AF472=Dashboard!$D$7)),1,0))</f>
        <v>0</v>
      </c>
      <c r="AT472" s="55">
        <f>IF($AS472=1,N(AT471)+$Q472,N(AT471))</f>
        <v>1187.10688</v>
      </c>
      <c r="AU472" s="55">
        <f>MAX(N(AU471),$AT472)</f>
        <v>1187.10688</v>
      </c>
      <c r="AV472" s="55">
        <f>$AT472-$AU472</f>
        <v>0</v>
      </c>
      <c r="AW472" s="56">
        <f>IF($AS472=1,IF($S472="Win",N(AW471)+1,IF($S472="Loss",0,N(AW471))),N(AW471))</f>
        <v>5</v>
      </c>
      <c r="AX472" s="56">
        <f>IF($AS472=1,IF($S472="Loss",N(AX471)+1,IF($S472="Win",0,N(AX471))),N(AX471))</f>
        <v>0</v>
      </c>
      <c r="AY472" s="56" t="str">
        <f>IF($AS472=1,COUNTIF($AS$6:$AS472,1),"")</f>
        <v/>
      </c>
      <c r="AZ472" s="56">
        <f>MIN(466,N(Lists!$W$8))</f>
        <v>28</v>
      </c>
      <c r="BA472" s="56">
        <f>IF($AS472=1,IF(COUNTIFS($A$6:$A472,$A472,$AS$6:$AS472,1)=1,1,0),0)</f>
        <v>0</v>
      </c>
      <c r="BB472" s="55" t="str">
        <f>IF($BA472=1,SUMIFS($Q$6:$Q$1005,$A$6:$A$1005,$A472,$AS$6:$AS$1005,1),"")</f>
        <v/>
      </c>
      <c r="BC472" s="56">
        <f>IF(ISNUMBER($R472),1,0)</f>
        <v>0</v>
      </c>
      <c r="BD472" s="55" t="str">
        <f>IF(ISNUMBER($U472),$U472*$V472,"")</f>
        <v/>
      </c>
      <c r="BE472" s="56" t="str">
        <f>IF($AM472=0,"",IFERROR(MATCH($AF472&amp;"|"&amp;UPPER(TRIM($E472)),Lists!$A$6:$A$205,0),0))</f>
        <v/>
      </c>
      <c r="BF472" s="56" t="str">
        <f>IF($AM472=0,"",IFERROR(MATCH($AF472,Settings!$B$14:$B$18,0),IFERROR(MATCH(Settings!$C$6,Settings!$B$14:$B$18,0),1)))</f>
        <v/>
      </c>
      <c r="BG472" s="58" t="str">
        <f>IF($AM472=0,"",IF(NOT(ISNUMBER($I472)),"No stop; ","")&amp;IF(AND(ISNUMBER($H472),ISNUMBER($I472)),IF(OR(AND($F472&lt;&gt;"Short",$I472&gt;=$H472),AND($F472="Short",$I472&lt;=$H472)),"Stop on wrong side; ",""),"")&amp;IF($F472="","No direction; ","")&amp;IF(AND(ISNUMBER(Settings!$C$22),ISNUMBER($V472)),IF($V472&gt;Settings!$C$22,"Risk over max $; ",""),"")&amp;IF(AND(ISNUMBER(Settings!$C$23),ISNUMBER($V472),ISNUMBER($AP472),IFERROR(N(INDEX(Accounts!$E$7:$E$16,MATCH($C472,Accounts!$B$7:$B$16,0))),0)&gt;0),IF($V472&gt;Settings!$C$23*($AP472-N($Q472)),"Risk over max %; ",""),"")&amp;IF(AND(ISNUMBER(Settings!$C$24),ISNUMBER($N472)),IF($N472&gt;Settings!$C$24,"Leverage over max; ",""),"")&amp;IF(AND(ISNUMBER(Settings!$C$27),ISNUMBER($T472)),IF($T472&lt;Settings!$C$27,"R:R below min; ",""),"")&amp;IF(ISNUMBER(Settings!$C$25),IF(COUNTIFS($A$6:$A472,$A472,$AM$6:$AM472,1)&gt;Settings!$C$25,"Over max trades/day; ",""),"")&amp;IF(ISNUMBER(Settings!$C$26),IF(SUMIFS($Q$5:$Q471,$A$5:$A471,$A472)&lt;=-Settings!$C$26,"Traded after daily max loss; ",""),"")&amp;IF(AND($AG472="",NOT(ISNUMBER($O472))),"Symbol not in Instruments; ","")&amp;IF(AND($AH472="",NOT(ISNUMBER($O472))),"Forex cross: type Gross P&amp;L; ",""))</f>
        <v/>
      </c>
      <c r="BH472" s="56">
        <f>IF(ISNUMBER($Q472),1,0)</f>
        <v>0</v>
      </c>
      <c r="BI472" s="56">
        <f>IF($Y472="",0,1)</f>
        <v>0</v>
      </c>
      <c r="BJ472" s="56">
        <f>IF($AB472="",0,1)</f>
        <v>0</v>
      </c>
      <c r="BK472" s="56">
        <f>IF(AND($BH472=1,$W472&lt;&gt;"OK"),1,0)</f>
        <v>0</v>
      </c>
      <c r="BL472" s="55">
        <f>IF(N($AZ472)=0,0,IFERROR(INDEX($AT$6:$AT$1005,MATCH($AZ472,$AY$6:$AY$1005,0)),0))</f>
        <v>1187.10688</v>
      </c>
      <c r="BM472" s="56">
        <f>IF(ISNUMBER(SEARCH("daily max loss",$BG472)),1,0)</f>
        <v>0</v>
      </c>
    </row>
    <row r="473" ht="18" customHeight="1">
      <c r="A473" s="38" t="n"/>
      <c r="B473" s="39" t="n"/>
      <c r="C473" s="40" t="n"/>
      <c r="D473" s="41" t="n"/>
      <c r="E473" s="41" t="n"/>
      <c r="F473" s="41" t="n"/>
      <c r="G473" s="41" t="n"/>
      <c r="H473" s="42" t="n"/>
      <c r="I473" s="42" t="n"/>
      <c r="J473" s="42" t="n"/>
      <c r="K473" s="42" t="n"/>
      <c r="L473" s="41" t="n"/>
      <c r="M473" s="41" t="n"/>
      <c r="N473" s="41" t="n"/>
      <c r="O473" s="43" t="n"/>
      <c r="P473" s="43" t="n"/>
      <c r="Q473" s="44" t="str">
        <f>IF($AM473=0,"",IF(ISNUMBER($AK473),$AK473-N($AL473),""))</f>
        <v/>
      </c>
      <c r="R473" s="45" t="str">
        <f>IF(OR($Q473="",NOT(ISNUMBER($V473))),"",$AK473/$V473)</f>
        <v/>
      </c>
      <c r="S473" s="46" t="str">
        <f>IF($Q473="","",IF(AND(ISNUMBER($R473),ABS(N($R473))&lt;N(Settings!$C$8)),"Scratch",IF($Q473&gt;0,"Win",IF($Q473&lt;0,"Loss","Scratch"))))</f>
        <v/>
      </c>
      <c r="T473" s="47" t="str">
        <f>IF(OR($AM473=0,NOT(ISNUMBER($H473)),NOT(ISNUMBER($I473)),NOT(ISNUMBER($J473))),"",IF($H473=$I473,"",ROUND(ABS($J473-$H473)/ABS($H473-$I473),6)))</f>
        <v/>
      </c>
      <c r="U473" s="48" t="str">
        <f>IF(OR($S473&lt;&gt;"Win",NOT(ISNUMBER($T473)),NOT(ISNUMBER($R473))),"",MAX(0,$T473-$R473))</f>
        <v/>
      </c>
      <c r="V473" s="49" t="str">
        <f>IF(OR($AM473=0,NOT(ISNUMBER($H473)),NOT(ISNUMBER($I473)),NOT(ISNUMBER($G473))),"",IF(OR($AG473="",$AH473=""),"",IF(ROUND(ABS($H473-$I473)*ABS($G473)*$AG473*$AH473,6)=0,"",ROUND(ABS($H473-$I473)*ABS($G473)*$AG473*$AH473,6))))</f>
        <v/>
      </c>
      <c r="W473" s="50" t="str">
        <f>IF($AM473=0,"",IF($BG473="","OK",LEFT($BG473,LEN($BG473)-2)))</f>
        <v/>
      </c>
      <c r="X473" s="41" t="n"/>
      <c r="Y473" s="40" t="n"/>
      <c r="Z473" s="41" t="n"/>
      <c r="AA473" s="41" t="n"/>
      <c r="AB473" s="40" t="n"/>
      <c r="AC473" s="51" t="n"/>
      <c r="AD473" s="51" t="n"/>
      <c r="AE473" s="40" t="n"/>
      <c r="AF473" s="52" t="str">
        <f>IF($AM473=0,"",IF($D473&lt;&gt;"",$D473,IF(IFERROR(INDEX(Accounts!$C$7:$C$16,MATCH($C473,Accounts!$B$7:$B$16,0))&amp;"","")&lt;&gt;"",INDEX(Accounts!$C$7:$C$16,MATCH($C473,Accounts!$B$7:$B$16,0)),Settings!$C$6)))</f>
        <v/>
      </c>
      <c r="AG473" s="53" t="str">
        <f>IF($AM473=0,"",IF(AND($BE473&gt;0,N(INDEX(Instruments!$D$6:$D$205,MAX(1,$BE473)))&gt;0),INDEX(Instruments!$D$6:$D$205,MAX(1,$BE473)),IF(N(INDEX(Settings!$D$14:$D$18,$BF473))&gt;0,INDEX(Settings!$D$14:$D$18,$BF473),"")))</f>
        <v/>
      </c>
      <c r="AH473" s="54" t="str">
        <f>IF($AM473=0,"",IF($AF473&lt;&gt;"Forex",1,IF(MID(UPPER(SUBSTITUTE(TRIM($E473),"/","")),4,3)=UPPER(TRIM(Settings!$C$7)),1,IF(LEFT(UPPER(SUBSTITUTE(TRIM($E473),"/","")),3)=UPPER(TRIM(Settings!$C$7)),IF(AND(ISNUMBER($K473),N($K473)&lt;&gt;0),1/$K473,""),""))))</f>
        <v/>
      </c>
      <c r="AI473" s="55" t="str">
        <f>IF($AM473=0,"",IF(OR(NOT(ISNUMBER($H473)),NOT(ISNUMBER($K473)),NOT(ISNUMBER($G473)),$AG473="",$AH473=""),"",ROUND(($K473-$H473)*IF($F473="Short",-1,1)*$G473*$AG473*$AH473,6)))</f>
        <v/>
      </c>
      <c r="AJ473" s="55" t="str">
        <f>IF($AM473=0,"",IF(INDEX(Settings!$E$14:$E$18,$BF473)="% of notional",IF(OR($AG473="",NOT(ISNUMBER($H473)),NOT(ISNUMBER($G473))),"",ROUND(ABS($H473*$G473*$AG473*N($AH473))*IF($L473="Limit",N(INDEX(Settings!$G$14:$G$18,$BF473)),N(INDEX(Settings!$H$14:$H$18,$BF473)))+IF(ISNUMBER($K473),ABS($K473*$G473*$AG473*N($AH473))*IF($M473="Target",N(INDEX(Settings!$G$14:$G$18,$BF473)),N(INDEX(Settings!$H$14:$H$18,$BF473))),0),6)),IF(NOT(ISNUMBER($G473)),"",ROUND(ABS($G473)*2*IF(AND($BE473&gt;0,ISNUMBER(INDEX(Instruments!$G$6:$G$205,MAX(1,$BE473)))),INDEX(Instruments!$G$6:$G$205,MAX(1,$BE473)),N(INDEX(Settings!$F$14:$F$18,$BF473))),6))))</f>
        <v/>
      </c>
      <c r="AK473" s="55" t="str">
        <f>IF($AM473=0,"",IF(ISNUMBER($O473),$O473,$AI473))</f>
        <v/>
      </c>
      <c r="AL473" s="55" t="str">
        <f>IF($AM473=0,"",IF(ISNUMBER($P473),$P473,N($AJ473)))</f>
        <v/>
      </c>
      <c r="AM473" s="56">
        <f>IF(AND($A473&lt;&gt;"",$E473&lt;&gt;"",OR(AND(ISNUMBER($G473),ISNUMBER($H473),ISNUMBER($K473)),ISNUMBER($O473))),1,0)</f>
        <v>0</v>
      </c>
      <c r="AN473" s="57" t="str">
        <f>IF($A473="","",$A473-WEEKDAY($A473,3))</f>
        <v/>
      </c>
      <c r="AO473" s="56" t="str">
        <f>IF($A473="","",WEEKDAY($A473,2))</f>
        <v/>
      </c>
      <c r="AP473" s="55" t="str">
        <f>IF(OR($AM473=0,$C473=""),"",IFERROR(N(INDEX(Accounts!$E$7:$E$16,MATCH($C473,Accounts!$B$7:$B$16,0))),0)+SUMIFS($Q$6:$Q473,$C$6:$C473,$C473))</f>
        <v/>
      </c>
      <c r="AQ473" s="55" t="str">
        <f>IF(OR($AM473=0,$C473=""),"",SUMIFS($Q$6:$Q$1005,$C$6:$C$1005,$C473,$A$6:$A$1005,$A473))</f>
        <v/>
      </c>
      <c r="AR473" s="55" t="str">
        <f>IF(OR($AM473=0,$C473=""),"",IFERROR(N(INDEX(Accounts!$E$7:$E$16,MATCH($C473,Accounts!$B$7:$B$16,0))),0)+SUMIFS($Q$6:$Q$1005,$C$6:$C$1005,$C473,$A$6:$A$1005,"&lt;="&amp;$A473))</f>
        <v/>
      </c>
      <c r="AS473" s="56">
        <f>IF(OR($AM473=0,$Q473=""),0,IF(AND($A473&gt;=Lists!$W$6,$A473&lt;=Lists!$W$7,OR(Dashboard!$D$6="All accounts",$C473=Dashboard!$D$6),OR(Dashboard!$D$7="All markets",$AF473=Dashboard!$D$7)),1,0))</f>
        <v>0</v>
      </c>
      <c r="AT473" s="55">
        <f>IF($AS473=1,N(AT472)+$Q473,N(AT472))</f>
        <v>1187.10688</v>
      </c>
      <c r="AU473" s="55">
        <f>MAX(N(AU472),$AT473)</f>
        <v>1187.10688</v>
      </c>
      <c r="AV473" s="55">
        <f>$AT473-$AU473</f>
        <v>0</v>
      </c>
      <c r="AW473" s="56">
        <f>IF($AS473=1,IF($S473="Win",N(AW472)+1,IF($S473="Loss",0,N(AW472))),N(AW472))</f>
        <v>5</v>
      </c>
      <c r="AX473" s="56">
        <f>IF($AS473=1,IF($S473="Loss",N(AX472)+1,IF($S473="Win",0,N(AX472))),N(AX472))</f>
        <v>0</v>
      </c>
      <c r="AY473" s="56" t="str">
        <f>IF($AS473=1,COUNTIF($AS$6:$AS473,1),"")</f>
        <v/>
      </c>
      <c r="AZ473" s="56">
        <f>MIN(467,N(Lists!$W$8))</f>
        <v>28</v>
      </c>
      <c r="BA473" s="56">
        <f>IF($AS473=1,IF(COUNTIFS($A$6:$A473,$A473,$AS$6:$AS473,1)=1,1,0),0)</f>
        <v>0</v>
      </c>
      <c r="BB473" s="55" t="str">
        <f>IF($BA473=1,SUMIFS($Q$6:$Q$1005,$A$6:$A$1005,$A473,$AS$6:$AS$1005,1),"")</f>
        <v/>
      </c>
      <c r="BC473" s="56">
        <f>IF(ISNUMBER($R473),1,0)</f>
        <v>0</v>
      </c>
      <c r="BD473" s="55" t="str">
        <f>IF(ISNUMBER($U473),$U473*$V473,"")</f>
        <v/>
      </c>
      <c r="BE473" s="56" t="str">
        <f>IF($AM473=0,"",IFERROR(MATCH($AF473&amp;"|"&amp;UPPER(TRIM($E473)),Lists!$A$6:$A$205,0),0))</f>
        <v/>
      </c>
      <c r="BF473" s="56" t="str">
        <f>IF($AM473=0,"",IFERROR(MATCH($AF473,Settings!$B$14:$B$18,0),IFERROR(MATCH(Settings!$C$6,Settings!$B$14:$B$18,0),1)))</f>
        <v/>
      </c>
      <c r="BG473" s="58" t="str">
        <f>IF($AM473=0,"",IF(NOT(ISNUMBER($I473)),"No stop; ","")&amp;IF(AND(ISNUMBER($H473),ISNUMBER($I473)),IF(OR(AND($F473&lt;&gt;"Short",$I473&gt;=$H473),AND($F473="Short",$I473&lt;=$H473)),"Stop on wrong side; ",""),"")&amp;IF($F473="","No direction; ","")&amp;IF(AND(ISNUMBER(Settings!$C$22),ISNUMBER($V473)),IF($V473&gt;Settings!$C$22,"Risk over max $; ",""),"")&amp;IF(AND(ISNUMBER(Settings!$C$23),ISNUMBER($V473),ISNUMBER($AP473),IFERROR(N(INDEX(Accounts!$E$7:$E$16,MATCH($C473,Accounts!$B$7:$B$16,0))),0)&gt;0),IF($V473&gt;Settings!$C$23*($AP473-N($Q473)),"Risk over max %; ",""),"")&amp;IF(AND(ISNUMBER(Settings!$C$24),ISNUMBER($N473)),IF($N473&gt;Settings!$C$24,"Leverage over max; ",""),"")&amp;IF(AND(ISNUMBER(Settings!$C$27),ISNUMBER($T473)),IF($T473&lt;Settings!$C$27,"R:R below min; ",""),"")&amp;IF(ISNUMBER(Settings!$C$25),IF(COUNTIFS($A$6:$A473,$A473,$AM$6:$AM473,1)&gt;Settings!$C$25,"Over max trades/day; ",""),"")&amp;IF(ISNUMBER(Settings!$C$26),IF(SUMIFS($Q$5:$Q472,$A$5:$A472,$A473)&lt;=-Settings!$C$26,"Traded after daily max loss; ",""),"")&amp;IF(AND($AG473="",NOT(ISNUMBER($O473))),"Symbol not in Instruments; ","")&amp;IF(AND($AH473="",NOT(ISNUMBER($O473))),"Forex cross: type Gross P&amp;L; ",""))</f>
        <v/>
      </c>
      <c r="BH473" s="56">
        <f>IF(ISNUMBER($Q473),1,0)</f>
        <v>0</v>
      </c>
      <c r="BI473" s="56">
        <f>IF($Y473="",0,1)</f>
        <v>0</v>
      </c>
      <c r="BJ473" s="56">
        <f>IF($AB473="",0,1)</f>
        <v>0</v>
      </c>
      <c r="BK473" s="56">
        <f>IF(AND($BH473=1,$W473&lt;&gt;"OK"),1,0)</f>
        <v>0</v>
      </c>
      <c r="BL473" s="55">
        <f>IF(N($AZ473)=0,0,IFERROR(INDEX($AT$6:$AT$1005,MATCH($AZ473,$AY$6:$AY$1005,0)),0))</f>
        <v>1187.10688</v>
      </c>
      <c r="BM473" s="56">
        <f>IF(ISNUMBER(SEARCH("daily max loss",$BG473)),1,0)</f>
        <v>0</v>
      </c>
    </row>
    <row r="474" ht="18" customHeight="1">
      <c r="A474" s="38" t="n"/>
      <c r="B474" s="39" t="n"/>
      <c r="C474" s="40" t="n"/>
      <c r="D474" s="41" t="n"/>
      <c r="E474" s="41" t="n"/>
      <c r="F474" s="41" t="n"/>
      <c r="G474" s="41" t="n"/>
      <c r="H474" s="42" t="n"/>
      <c r="I474" s="42" t="n"/>
      <c r="J474" s="42" t="n"/>
      <c r="K474" s="42" t="n"/>
      <c r="L474" s="41" t="n"/>
      <c r="M474" s="41" t="n"/>
      <c r="N474" s="41" t="n"/>
      <c r="O474" s="43" t="n"/>
      <c r="P474" s="43" t="n"/>
      <c r="Q474" s="44" t="str">
        <f>IF($AM474=0,"",IF(ISNUMBER($AK474),$AK474-N($AL474),""))</f>
        <v/>
      </c>
      <c r="R474" s="45" t="str">
        <f>IF(OR($Q474="",NOT(ISNUMBER($V474))),"",$AK474/$V474)</f>
        <v/>
      </c>
      <c r="S474" s="46" t="str">
        <f>IF($Q474="","",IF(AND(ISNUMBER($R474),ABS(N($R474))&lt;N(Settings!$C$8)),"Scratch",IF($Q474&gt;0,"Win",IF($Q474&lt;0,"Loss","Scratch"))))</f>
        <v/>
      </c>
      <c r="T474" s="47" t="str">
        <f>IF(OR($AM474=0,NOT(ISNUMBER($H474)),NOT(ISNUMBER($I474)),NOT(ISNUMBER($J474))),"",IF($H474=$I474,"",ROUND(ABS($J474-$H474)/ABS($H474-$I474),6)))</f>
        <v/>
      </c>
      <c r="U474" s="48" t="str">
        <f>IF(OR($S474&lt;&gt;"Win",NOT(ISNUMBER($T474)),NOT(ISNUMBER($R474))),"",MAX(0,$T474-$R474))</f>
        <v/>
      </c>
      <c r="V474" s="49" t="str">
        <f>IF(OR($AM474=0,NOT(ISNUMBER($H474)),NOT(ISNUMBER($I474)),NOT(ISNUMBER($G474))),"",IF(OR($AG474="",$AH474=""),"",IF(ROUND(ABS($H474-$I474)*ABS($G474)*$AG474*$AH474,6)=0,"",ROUND(ABS($H474-$I474)*ABS($G474)*$AG474*$AH474,6))))</f>
        <v/>
      </c>
      <c r="W474" s="50" t="str">
        <f>IF($AM474=0,"",IF($BG474="","OK",LEFT($BG474,LEN($BG474)-2)))</f>
        <v/>
      </c>
      <c r="X474" s="41" t="n"/>
      <c r="Y474" s="40" t="n"/>
      <c r="Z474" s="41" t="n"/>
      <c r="AA474" s="41" t="n"/>
      <c r="AB474" s="40" t="n"/>
      <c r="AC474" s="51" t="n"/>
      <c r="AD474" s="51" t="n"/>
      <c r="AE474" s="40" t="n"/>
      <c r="AF474" s="52" t="str">
        <f>IF($AM474=0,"",IF($D474&lt;&gt;"",$D474,IF(IFERROR(INDEX(Accounts!$C$7:$C$16,MATCH($C474,Accounts!$B$7:$B$16,0))&amp;"","")&lt;&gt;"",INDEX(Accounts!$C$7:$C$16,MATCH($C474,Accounts!$B$7:$B$16,0)),Settings!$C$6)))</f>
        <v/>
      </c>
      <c r="AG474" s="53" t="str">
        <f>IF($AM474=0,"",IF(AND($BE474&gt;0,N(INDEX(Instruments!$D$6:$D$205,MAX(1,$BE474)))&gt;0),INDEX(Instruments!$D$6:$D$205,MAX(1,$BE474)),IF(N(INDEX(Settings!$D$14:$D$18,$BF474))&gt;0,INDEX(Settings!$D$14:$D$18,$BF474),"")))</f>
        <v/>
      </c>
      <c r="AH474" s="54" t="str">
        <f>IF($AM474=0,"",IF($AF474&lt;&gt;"Forex",1,IF(MID(UPPER(SUBSTITUTE(TRIM($E474),"/","")),4,3)=UPPER(TRIM(Settings!$C$7)),1,IF(LEFT(UPPER(SUBSTITUTE(TRIM($E474),"/","")),3)=UPPER(TRIM(Settings!$C$7)),IF(AND(ISNUMBER($K474),N($K474)&lt;&gt;0),1/$K474,""),""))))</f>
        <v/>
      </c>
      <c r="AI474" s="55" t="str">
        <f>IF($AM474=0,"",IF(OR(NOT(ISNUMBER($H474)),NOT(ISNUMBER($K474)),NOT(ISNUMBER($G474)),$AG474="",$AH474=""),"",ROUND(($K474-$H474)*IF($F474="Short",-1,1)*$G474*$AG474*$AH474,6)))</f>
        <v/>
      </c>
      <c r="AJ474" s="55" t="str">
        <f>IF($AM474=0,"",IF(INDEX(Settings!$E$14:$E$18,$BF474)="% of notional",IF(OR($AG474="",NOT(ISNUMBER($H474)),NOT(ISNUMBER($G474))),"",ROUND(ABS($H474*$G474*$AG474*N($AH474))*IF($L474="Limit",N(INDEX(Settings!$G$14:$G$18,$BF474)),N(INDEX(Settings!$H$14:$H$18,$BF474)))+IF(ISNUMBER($K474),ABS($K474*$G474*$AG474*N($AH474))*IF($M474="Target",N(INDEX(Settings!$G$14:$G$18,$BF474)),N(INDEX(Settings!$H$14:$H$18,$BF474))),0),6)),IF(NOT(ISNUMBER($G474)),"",ROUND(ABS($G474)*2*IF(AND($BE474&gt;0,ISNUMBER(INDEX(Instruments!$G$6:$G$205,MAX(1,$BE474)))),INDEX(Instruments!$G$6:$G$205,MAX(1,$BE474)),N(INDEX(Settings!$F$14:$F$18,$BF474))),6))))</f>
        <v/>
      </c>
      <c r="AK474" s="55" t="str">
        <f>IF($AM474=0,"",IF(ISNUMBER($O474),$O474,$AI474))</f>
        <v/>
      </c>
      <c r="AL474" s="55" t="str">
        <f>IF($AM474=0,"",IF(ISNUMBER($P474),$P474,N($AJ474)))</f>
        <v/>
      </c>
      <c r="AM474" s="56">
        <f>IF(AND($A474&lt;&gt;"",$E474&lt;&gt;"",OR(AND(ISNUMBER($G474),ISNUMBER($H474),ISNUMBER($K474)),ISNUMBER($O474))),1,0)</f>
        <v>0</v>
      </c>
      <c r="AN474" s="57" t="str">
        <f>IF($A474="","",$A474-WEEKDAY($A474,3))</f>
        <v/>
      </c>
      <c r="AO474" s="56" t="str">
        <f>IF($A474="","",WEEKDAY($A474,2))</f>
        <v/>
      </c>
      <c r="AP474" s="55" t="str">
        <f>IF(OR($AM474=0,$C474=""),"",IFERROR(N(INDEX(Accounts!$E$7:$E$16,MATCH($C474,Accounts!$B$7:$B$16,0))),0)+SUMIFS($Q$6:$Q474,$C$6:$C474,$C474))</f>
        <v/>
      </c>
      <c r="AQ474" s="55" t="str">
        <f>IF(OR($AM474=0,$C474=""),"",SUMIFS($Q$6:$Q$1005,$C$6:$C$1005,$C474,$A$6:$A$1005,$A474))</f>
        <v/>
      </c>
      <c r="AR474" s="55" t="str">
        <f>IF(OR($AM474=0,$C474=""),"",IFERROR(N(INDEX(Accounts!$E$7:$E$16,MATCH($C474,Accounts!$B$7:$B$16,0))),0)+SUMIFS($Q$6:$Q$1005,$C$6:$C$1005,$C474,$A$6:$A$1005,"&lt;="&amp;$A474))</f>
        <v/>
      </c>
      <c r="AS474" s="56">
        <f>IF(OR($AM474=0,$Q474=""),0,IF(AND($A474&gt;=Lists!$W$6,$A474&lt;=Lists!$W$7,OR(Dashboard!$D$6="All accounts",$C474=Dashboard!$D$6),OR(Dashboard!$D$7="All markets",$AF474=Dashboard!$D$7)),1,0))</f>
        <v>0</v>
      </c>
      <c r="AT474" s="55">
        <f>IF($AS474=1,N(AT473)+$Q474,N(AT473))</f>
        <v>1187.10688</v>
      </c>
      <c r="AU474" s="55">
        <f>MAX(N(AU473),$AT474)</f>
        <v>1187.10688</v>
      </c>
      <c r="AV474" s="55">
        <f>$AT474-$AU474</f>
        <v>0</v>
      </c>
      <c r="AW474" s="56">
        <f>IF($AS474=1,IF($S474="Win",N(AW473)+1,IF($S474="Loss",0,N(AW473))),N(AW473))</f>
        <v>5</v>
      </c>
      <c r="AX474" s="56">
        <f>IF($AS474=1,IF($S474="Loss",N(AX473)+1,IF($S474="Win",0,N(AX473))),N(AX473))</f>
        <v>0</v>
      </c>
      <c r="AY474" s="56" t="str">
        <f>IF($AS474=1,COUNTIF($AS$6:$AS474,1),"")</f>
        <v/>
      </c>
      <c r="AZ474" s="56">
        <f>MIN(468,N(Lists!$W$8))</f>
        <v>28</v>
      </c>
      <c r="BA474" s="56">
        <f>IF($AS474=1,IF(COUNTIFS($A$6:$A474,$A474,$AS$6:$AS474,1)=1,1,0),0)</f>
        <v>0</v>
      </c>
      <c r="BB474" s="55" t="str">
        <f>IF($BA474=1,SUMIFS($Q$6:$Q$1005,$A$6:$A$1005,$A474,$AS$6:$AS$1005,1),"")</f>
        <v/>
      </c>
      <c r="BC474" s="56">
        <f>IF(ISNUMBER($R474),1,0)</f>
        <v>0</v>
      </c>
      <c r="BD474" s="55" t="str">
        <f>IF(ISNUMBER($U474),$U474*$V474,"")</f>
        <v/>
      </c>
      <c r="BE474" s="56" t="str">
        <f>IF($AM474=0,"",IFERROR(MATCH($AF474&amp;"|"&amp;UPPER(TRIM($E474)),Lists!$A$6:$A$205,0),0))</f>
        <v/>
      </c>
      <c r="BF474" s="56" t="str">
        <f>IF($AM474=0,"",IFERROR(MATCH($AF474,Settings!$B$14:$B$18,0),IFERROR(MATCH(Settings!$C$6,Settings!$B$14:$B$18,0),1)))</f>
        <v/>
      </c>
      <c r="BG474" s="58" t="str">
        <f>IF($AM474=0,"",IF(NOT(ISNUMBER($I474)),"No stop; ","")&amp;IF(AND(ISNUMBER($H474),ISNUMBER($I474)),IF(OR(AND($F474&lt;&gt;"Short",$I474&gt;=$H474),AND($F474="Short",$I474&lt;=$H474)),"Stop on wrong side; ",""),"")&amp;IF($F474="","No direction; ","")&amp;IF(AND(ISNUMBER(Settings!$C$22),ISNUMBER($V474)),IF($V474&gt;Settings!$C$22,"Risk over max $; ",""),"")&amp;IF(AND(ISNUMBER(Settings!$C$23),ISNUMBER($V474),ISNUMBER($AP474),IFERROR(N(INDEX(Accounts!$E$7:$E$16,MATCH($C474,Accounts!$B$7:$B$16,0))),0)&gt;0),IF($V474&gt;Settings!$C$23*($AP474-N($Q474)),"Risk over max %; ",""),"")&amp;IF(AND(ISNUMBER(Settings!$C$24),ISNUMBER($N474)),IF($N474&gt;Settings!$C$24,"Leverage over max; ",""),"")&amp;IF(AND(ISNUMBER(Settings!$C$27),ISNUMBER($T474)),IF($T474&lt;Settings!$C$27,"R:R below min; ",""),"")&amp;IF(ISNUMBER(Settings!$C$25),IF(COUNTIFS($A$6:$A474,$A474,$AM$6:$AM474,1)&gt;Settings!$C$25,"Over max trades/day; ",""),"")&amp;IF(ISNUMBER(Settings!$C$26),IF(SUMIFS($Q$5:$Q473,$A$5:$A473,$A474)&lt;=-Settings!$C$26,"Traded after daily max loss; ",""),"")&amp;IF(AND($AG474="",NOT(ISNUMBER($O474))),"Symbol not in Instruments; ","")&amp;IF(AND($AH474="",NOT(ISNUMBER($O474))),"Forex cross: type Gross P&amp;L; ",""))</f>
        <v/>
      </c>
      <c r="BH474" s="56">
        <f>IF(ISNUMBER($Q474),1,0)</f>
        <v>0</v>
      </c>
      <c r="BI474" s="56">
        <f>IF($Y474="",0,1)</f>
        <v>0</v>
      </c>
      <c r="BJ474" s="56">
        <f>IF($AB474="",0,1)</f>
        <v>0</v>
      </c>
      <c r="BK474" s="56">
        <f>IF(AND($BH474=1,$W474&lt;&gt;"OK"),1,0)</f>
        <v>0</v>
      </c>
      <c r="BL474" s="55">
        <f>IF(N($AZ474)=0,0,IFERROR(INDEX($AT$6:$AT$1005,MATCH($AZ474,$AY$6:$AY$1005,0)),0))</f>
        <v>1187.10688</v>
      </c>
      <c r="BM474" s="56">
        <f>IF(ISNUMBER(SEARCH("daily max loss",$BG474)),1,0)</f>
        <v>0</v>
      </c>
    </row>
    <row r="475" ht="18" customHeight="1">
      <c r="A475" s="38" t="n"/>
      <c r="B475" s="39" t="n"/>
      <c r="C475" s="40" t="n"/>
      <c r="D475" s="41" t="n"/>
      <c r="E475" s="41" t="n"/>
      <c r="F475" s="41" t="n"/>
      <c r="G475" s="41" t="n"/>
      <c r="H475" s="42" t="n"/>
      <c r="I475" s="42" t="n"/>
      <c r="J475" s="42" t="n"/>
      <c r="K475" s="42" t="n"/>
      <c r="L475" s="41" t="n"/>
      <c r="M475" s="41" t="n"/>
      <c r="N475" s="41" t="n"/>
      <c r="O475" s="43" t="n"/>
      <c r="P475" s="43" t="n"/>
      <c r="Q475" s="44" t="str">
        <f>IF($AM475=0,"",IF(ISNUMBER($AK475),$AK475-N($AL475),""))</f>
        <v/>
      </c>
      <c r="R475" s="45" t="str">
        <f>IF(OR($Q475="",NOT(ISNUMBER($V475))),"",$AK475/$V475)</f>
        <v/>
      </c>
      <c r="S475" s="46" t="str">
        <f>IF($Q475="","",IF(AND(ISNUMBER($R475),ABS(N($R475))&lt;N(Settings!$C$8)),"Scratch",IF($Q475&gt;0,"Win",IF($Q475&lt;0,"Loss","Scratch"))))</f>
        <v/>
      </c>
      <c r="T475" s="47" t="str">
        <f>IF(OR($AM475=0,NOT(ISNUMBER($H475)),NOT(ISNUMBER($I475)),NOT(ISNUMBER($J475))),"",IF($H475=$I475,"",ROUND(ABS($J475-$H475)/ABS($H475-$I475),6)))</f>
        <v/>
      </c>
      <c r="U475" s="48" t="str">
        <f>IF(OR($S475&lt;&gt;"Win",NOT(ISNUMBER($T475)),NOT(ISNUMBER($R475))),"",MAX(0,$T475-$R475))</f>
        <v/>
      </c>
      <c r="V475" s="49" t="str">
        <f>IF(OR($AM475=0,NOT(ISNUMBER($H475)),NOT(ISNUMBER($I475)),NOT(ISNUMBER($G475))),"",IF(OR($AG475="",$AH475=""),"",IF(ROUND(ABS($H475-$I475)*ABS($G475)*$AG475*$AH475,6)=0,"",ROUND(ABS($H475-$I475)*ABS($G475)*$AG475*$AH475,6))))</f>
        <v/>
      </c>
      <c r="W475" s="50" t="str">
        <f>IF($AM475=0,"",IF($BG475="","OK",LEFT($BG475,LEN($BG475)-2)))</f>
        <v/>
      </c>
      <c r="X475" s="41" t="n"/>
      <c r="Y475" s="40" t="n"/>
      <c r="Z475" s="41" t="n"/>
      <c r="AA475" s="41" t="n"/>
      <c r="AB475" s="40" t="n"/>
      <c r="AC475" s="51" t="n"/>
      <c r="AD475" s="51" t="n"/>
      <c r="AE475" s="40" t="n"/>
      <c r="AF475" s="52" t="str">
        <f>IF($AM475=0,"",IF($D475&lt;&gt;"",$D475,IF(IFERROR(INDEX(Accounts!$C$7:$C$16,MATCH($C475,Accounts!$B$7:$B$16,0))&amp;"","")&lt;&gt;"",INDEX(Accounts!$C$7:$C$16,MATCH($C475,Accounts!$B$7:$B$16,0)),Settings!$C$6)))</f>
        <v/>
      </c>
      <c r="AG475" s="53" t="str">
        <f>IF($AM475=0,"",IF(AND($BE475&gt;0,N(INDEX(Instruments!$D$6:$D$205,MAX(1,$BE475)))&gt;0),INDEX(Instruments!$D$6:$D$205,MAX(1,$BE475)),IF(N(INDEX(Settings!$D$14:$D$18,$BF475))&gt;0,INDEX(Settings!$D$14:$D$18,$BF475),"")))</f>
        <v/>
      </c>
      <c r="AH475" s="54" t="str">
        <f>IF($AM475=0,"",IF($AF475&lt;&gt;"Forex",1,IF(MID(UPPER(SUBSTITUTE(TRIM($E475),"/","")),4,3)=UPPER(TRIM(Settings!$C$7)),1,IF(LEFT(UPPER(SUBSTITUTE(TRIM($E475),"/","")),3)=UPPER(TRIM(Settings!$C$7)),IF(AND(ISNUMBER($K475),N($K475)&lt;&gt;0),1/$K475,""),""))))</f>
        <v/>
      </c>
      <c r="AI475" s="55" t="str">
        <f>IF($AM475=0,"",IF(OR(NOT(ISNUMBER($H475)),NOT(ISNUMBER($K475)),NOT(ISNUMBER($G475)),$AG475="",$AH475=""),"",ROUND(($K475-$H475)*IF($F475="Short",-1,1)*$G475*$AG475*$AH475,6)))</f>
        <v/>
      </c>
      <c r="AJ475" s="55" t="str">
        <f>IF($AM475=0,"",IF(INDEX(Settings!$E$14:$E$18,$BF475)="% of notional",IF(OR($AG475="",NOT(ISNUMBER($H475)),NOT(ISNUMBER($G475))),"",ROUND(ABS($H475*$G475*$AG475*N($AH475))*IF($L475="Limit",N(INDEX(Settings!$G$14:$G$18,$BF475)),N(INDEX(Settings!$H$14:$H$18,$BF475)))+IF(ISNUMBER($K475),ABS($K475*$G475*$AG475*N($AH475))*IF($M475="Target",N(INDEX(Settings!$G$14:$G$18,$BF475)),N(INDEX(Settings!$H$14:$H$18,$BF475))),0),6)),IF(NOT(ISNUMBER($G475)),"",ROUND(ABS($G475)*2*IF(AND($BE475&gt;0,ISNUMBER(INDEX(Instruments!$G$6:$G$205,MAX(1,$BE475)))),INDEX(Instruments!$G$6:$G$205,MAX(1,$BE475)),N(INDEX(Settings!$F$14:$F$18,$BF475))),6))))</f>
        <v/>
      </c>
      <c r="AK475" s="55" t="str">
        <f>IF($AM475=0,"",IF(ISNUMBER($O475),$O475,$AI475))</f>
        <v/>
      </c>
      <c r="AL475" s="55" t="str">
        <f>IF($AM475=0,"",IF(ISNUMBER($P475),$P475,N($AJ475)))</f>
        <v/>
      </c>
      <c r="AM475" s="56">
        <f>IF(AND($A475&lt;&gt;"",$E475&lt;&gt;"",OR(AND(ISNUMBER($G475),ISNUMBER($H475),ISNUMBER($K475)),ISNUMBER($O475))),1,0)</f>
        <v>0</v>
      </c>
      <c r="AN475" s="57" t="str">
        <f>IF($A475="","",$A475-WEEKDAY($A475,3))</f>
        <v/>
      </c>
      <c r="AO475" s="56" t="str">
        <f>IF($A475="","",WEEKDAY($A475,2))</f>
        <v/>
      </c>
      <c r="AP475" s="55" t="str">
        <f>IF(OR($AM475=0,$C475=""),"",IFERROR(N(INDEX(Accounts!$E$7:$E$16,MATCH($C475,Accounts!$B$7:$B$16,0))),0)+SUMIFS($Q$6:$Q475,$C$6:$C475,$C475))</f>
        <v/>
      </c>
      <c r="AQ475" s="55" t="str">
        <f>IF(OR($AM475=0,$C475=""),"",SUMIFS($Q$6:$Q$1005,$C$6:$C$1005,$C475,$A$6:$A$1005,$A475))</f>
        <v/>
      </c>
      <c r="AR475" s="55" t="str">
        <f>IF(OR($AM475=0,$C475=""),"",IFERROR(N(INDEX(Accounts!$E$7:$E$16,MATCH($C475,Accounts!$B$7:$B$16,0))),0)+SUMIFS($Q$6:$Q$1005,$C$6:$C$1005,$C475,$A$6:$A$1005,"&lt;="&amp;$A475))</f>
        <v/>
      </c>
      <c r="AS475" s="56">
        <f>IF(OR($AM475=0,$Q475=""),0,IF(AND($A475&gt;=Lists!$W$6,$A475&lt;=Lists!$W$7,OR(Dashboard!$D$6="All accounts",$C475=Dashboard!$D$6),OR(Dashboard!$D$7="All markets",$AF475=Dashboard!$D$7)),1,0))</f>
        <v>0</v>
      </c>
      <c r="AT475" s="55">
        <f>IF($AS475=1,N(AT474)+$Q475,N(AT474))</f>
        <v>1187.10688</v>
      </c>
      <c r="AU475" s="55">
        <f>MAX(N(AU474),$AT475)</f>
        <v>1187.10688</v>
      </c>
      <c r="AV475" s="55">
        <f>$AT475-$AU475</f>
        <v>0</v>
      </c>
      <c r="AW475" s="56">
        <f>IF($AS475=1,IF($S475="Win",N(AW474)+1,IF($S475="Loss",0,N(AW474))),N(AW474))</f>
        <v>5</v>
      </c>
      <c r="AX475" s="56">
        <f>IF($AS475=1,IF($S475="Loss",N(AX474)+1,IF($S475="Win",0,N(AX474))),N(AX474))</f>
        <v>0</v>
      </c>
      <c r="AY475" s="56" t="str">
        <f>IF($AS475=1,COUNTIF($AS$6:$AS475,1),"")</f>
        <v/>
      </c>
      <c r="AZ475" s="56">
        <f>MIN(469,N(Lists!$W$8))</f>
        <v>28</v>
      </c>
      <c r="BA475" s="56">
        <f>IF($AS475=1,IF(COUNTIFS($A$6:$A475,$A475,$AS$6:$AS475,1)=1,1,0),0)</f>
        <v>0</v>
      </c>
      <c r="BB475" s="55" t="str">
        <f>IF($BA475=1,SUMIFS($Q$6:$Q$1005,$A$6:$A$1005,$A475,$AS$6:$AS$1005,1),"")</f>
        <v/>
      </c>
      <c r="BC475" s="56">
        <f>IF(ISNUMBER($R475),1,0)</f>
        <v>0</v>
      </c>
      <c r="BD475" s="55" t="str">
        <f>IF(ISNUMBER($U475),$U475*$V475,"")</f>
        <v/>
      </c>
      <c r="BE475" s="56" t="str">
        <f>IF($AM475=0,"",IFERROR(MATCH($AF475&amp;"|"&amp;UPPER(TRIM($E475)),Lists!$A$6:$A$205,0),0))</f>
        <v/>
      </c>
      <c r="BF475" s="56" t="str">
        <f>IF($AM475=0,"",IFERROR(MATCH($AF475,Settings!$B$14:$B$18,0),IFERROR(MATCH(Settings!$C$6,Settings!$B$14:$B$18,0),1)))</f>
        <v/>
      </c>
      <c r="BG475" s="58" t="str">
        <f>IF($AM475=0,"",IF(NOT(ISNUMBER($I475)),"No stop; ","")&amp;IF(AND(ISNUMBER($H475),ISNUMBER($I475)),IF(OR(AND($F475&lt;&gt;"Short",$I475&gt;=$H475),AND($F475="Short",$I475&lt;=$H475)),"Stop on wrong side; ",""),"")&amp;IF($F475="","No direction; ","")&amp;IF(AND(ISNUMBER(Settings!$C$22),ISNUMBER($V475)),IF($V475&gt;Settings!$C$22,"Risk over max $; ",""),"")&amp;IF(AND(ISNUMBER(Settings!$C$23),ISNUMBER($V475),ISNUMBER($AP475),IFERROR(N(INDEX(Accounts!$E$7:$E$16,MATCH($C475,Accounts!$B$7:$B$16,0))),0)&gt;0),IF($V475&gt;Settings!$C$23*($AP475-N($Q475)),"Risk over max %; ",""),"")&amp;IF(AND(ISNUMBER(Settings!$C$24),ISNUMBER($N475)),IF($N475&gt;Settings!$C$24,"Leverage over max; ",""),"")&amp;IF(AND(ISNUMBER(Settings!$C$27),ISNUMBER($T475)),IF($T475&lt;Settings!$C$27,"R:R below min; ",""),"")&amp;IF(ISNUMBER(Settings!$C$25),IF(COUNTIFS($A$6:$A475,$A475,$AM$6:$AM475,1)&gt;Settings!$C$25,"Over max trades/day; ",""),"")&amp;IF(ISNUMBER(Settings!$C$26),IF(SUMIFS($Q$5:$Q474,$A$5:$A474,$A475)&lt;=-Settings!$C$26,"Traded after daily max loss; ",""),"")&amp;IF(AND($AG475="",NOT(ISNUMBER($O475))),"Symbol not in Instruments; ","")&amp;IF(AND($AH475="",NOT(ISNUMBER($O475))),"Forex cross: type Gross P&amp;L; ",""))</f>
        <v/>
      </c>
      <c r="BH475" s="56">
        <f>IF(ISNUMBER($Q475),1,0)</f>
        <v>0</v>
      </c>
      <c r="BI475" s="56">
        <f>IF($Y475="",0,1)</f>
        <v>0</v>
      </c>
      <c r="BJ475" s="56">
        <f>IF($AB475="",0,1)</f>
        <v>0</v>
      </c>
      <c r="BK475" s="56">
        <f>IF(AND($BH475=1,$W475&lt;&gt;"OK"),1,0)</f>
        <v>0</v>
      </c>
      <c r="BL475" s="55">
        <f>IF(N($AZ475)=0,0,IFERROR(INDEX($AT$6:$AT$1005,MATCH($AZ475,$AY$6:$AY$1005,0)),0))</f>
        <v>1187.10688</v>
      </c>
      <c r="BM475" s="56">
        <f>IF(ISNUMBER(SEARCH("daily max loss",$BG475)),1,0)</f>
        <v>0</v>
      </c>
    </row>
    <row r="476" ht="18" customHeight="1">
      <c r="A476" s="38" t="n"/>
      <c r="B476" s="39" t="n"/>
      <c r="C476" s="40" t="n"/>
      <c r="D476" s="41" t="n"/>
      <c r="E476" s="41" t="n"/>
      <c r="F476" s="41" t="n"/>
      <c r="G476" s="41" t="n"/>
      <c r="H476" s="42" t="n"/>
      <c r="I476" s="42" t="n"/>
      <c r="J476" s="42" t="n"/>
      <c r="K476" s="42" t="n"/>
      <c r="L476" s="41" t="n"/>
      <c r="M476" s="41" t="n"/>
      <c r="N476" s="41" t="n"/>
      <c r="O476" s="43" t="n"/>
      <c r="P476" s="43" t="n"/>
      <c r="Q476" s="44" t="str">
        <f>IF($AM476=0,"",IF(ISNUMBER($AK476),$AK476-N($AL476),""))</f>
        <v/>
      </c>
      <c r="R476" s="45" t="str">
        <f>IF(OR($Q476="",NOT(ISNUMBER($V476))),"",$AK476/$V476)</f>
        <v/>
      </c>
      <c r="S476" s="46" t="str">
        <f>IF($Q476="","",IF(AND(ISNUMBER($R476),ABS(N($R476))&lt;N(Settings!$C$8)),"Scratch",IF($Q476&gt;0,"Win",IF($Q476&lt;0,"Loss","Scratch"))))</f>
        <v/>
      </c>
      <c r="T476" s="47" t="str">
        <f>IF(OR($AM476=0,NOT(ISNUMBER($H476)),NOT(ISNUMBER($I476)),NOT(ISNUMBER($J476))),"",IF($H476=$I476,"",ROUND(ABS($J476-$H476)/ABS($H476-$I476),6)))</f>
        <v/>
      </c>
      <c r="U476" s="48" t="str">
        <f>IF(OR($S476&lt;&gt;"Win",NOT(ISNUMBER($T476)),NOT(ISNUMBER($R476))),"",MAX(0,$T476-$R476))</f>
        <v/>
      </c>
      <c r="V476" s="49" t="str">
        <f>IF(OR($AM476=0,NOT(ISNUMBER($H476)),NOT(ISNUMBER($I476)),NOT(ISNUMBER($G476))),"",IF(OR($AG476="",$AH476=""),"",IF(ROUND(ABS($H476-$I476)*ABS($G476)*$AG476*$AH476,6)=0,"",ROUND(ABS($H476-$I476)*ABS($G476)*$AG476*$AH476,6))))</f>
        <v/>
      </c>
      <c r="W476" s="50" t="str">
        <f>IF($AM476=0,"",IF($BG476="","OK",LEFT($BG476,LEN($BG476)-2)))</f>
        <v/>
      </c>
      <c r="X476" s="41" t="n"/>
      <c r="Y476" s="40" t="n"/>
      <c r="Z476" s="41" t="n"/>
      <c r="AA476" s="41" t="n"/>
      <c r="AB476" s="40" t="n"/>
      <c r="AC476" s="51" t="n"/>
      <c r="AD476" s="51" t="n"/>
      <c r="AE476" s="40" t="n"/>
      <c r="AF476" s="52" t="str">
        <f>IF($AM476=0,"",IF($D476&lt;&gt;"",$D476,IF(IFERROR(INDEX(Accounts!$C$7:$C$16,MATCH($C476,Accounts!$B$7:$B$16,0))&amp;"","")&lt;&gt;"",INDEX(Accounts!$C$7:$C$16,MATCH($C476,Accounts!$B$7:$B$16,0)),Settings!$C$6)))</f>
        <v/>
      </c>
      <c r="AG476" s="53" t="str">
        <f>IF($AM476=0,"",IF(AND($BE476&gt;0,N(INDEX(Instruments!$D$6:$D$205,MAX(1,$BE476)))&gt;0),INDEX(Instruments!$D$6:$D$205,MAX(1,$BE476)),IF(N(INDEX(Settings!$D$14:$D$18,$BF476))&gt;0,INDEX(Settings!$D$14:$D$18,$BF476),"")))</f>
        <v/>
      </c>
      <c r="AH476" s="54" t="str">
        <f>IF($AM476=0,"",IF($AF476&lt;&gt;"Forex",1,IF(MID(UPPER(SUBSTITUTE(TRIM($E476),"/","")),4,3)=UPPER(TRIM(Settings!$C$7)),1,IF(LEFT(UPPER(SUBSTITUTE(TRIM($E476),"/","")),3)=UPPER(TRIM(Settings!$C$7)),IF(AND(ISNUMBER($K476),N($K476)&lt;&gt;0),1/$K476,""),""))))</f>
        <v/>
      </c>
      <c r="AI476" s="55" t="str">
        <f>IF($AM476=0,"",IF(OR(NOT(ISNUMBER($H476)),NOT(ISNUMBER($K476)),NOT(ISNUMBER($G476)),$AG476="",$AH476=""),"",ROUND(($K476-$H476)*IF($F476="Short",-1,1)*$G476*$AG476*$AH476,6)))</f>
        <v/>
      </c>
      <c r="AJ476" s="55" t="str">
        <f>IF($AM476=0,"",IF(INDEX(Settings!$E$14:$E$18,$BF476)="% of notional",IF(OR($AG476="",NOT(ISNUMBER($H476)),NOT(ISNUMBER($G476))),"",ROUND(ABS($H476*$G476*$AG476*N($AH476))*IF($L476="Limit",N(INDEX(Settings!$G$14:$G$18,$BF476)),N(INDEX(Settings!$H$14:$H$18,$BF476)))+IF(ISNUMBER($K476),ABS($K476*$G476*$AG476*N($AH476))*IF($M476="Target",N(INDEX(Settings!$G$14:$G$18,$BF476)),N(INDEX(Settings!$H$14:$H$18,$BF476))),0),6)),IF(NOT(ISNUMBER($G476)),"",ROUND(ABS($G476)*2*IF(AND($BE476&gt;0,ISNUMBER(INDEX(Instruments!$G$6:$G$205,MAX(1,$BE476)))),INDEX(Instruments!$G$6:$G$205,MAX(1,$BE476)),N(INDEX(Settings!$F$14:$F$18,$BF476))),6))))</f>
        <v/>
      </c>
      <c r="AK476" s="55" t="str">
        <f>IF($AM476=0,"",IF(ISNUMBER($O476),$O476,$AI476))</f>
        <v/>
      </c>
      <c r="AL476" s="55" t="str">
        <f>IF($AM476=0,"",IF(ISNUMBER($P476),$P476,N($AJ476)))</f>
        <v/>
      </c>
      <c r="AM476" s="56">
        <f>IF(AND($A476&lt;&gt;"",$E476&lt;&gt;"",OR(AND(ISNUMBER($G476),ISNUMBER($H476),ISNUMBER($K476)),ISNUMBER($O476))),1,0)</f>
        <v>0</v>
      </c>
      <c r="AN476" s="57" t="str">
        <f>IF($A476="","",$A476-WEEKDAY($A476,3))</f>
        <v/>
      </c>
      <c r="AO476" s="56" t="str">
        <f>IF($A476="","",WEEKDAY($A476,2))</f>
        <v/>
      </c>
      <c r="AP476" s="55" t="str">
        <f>IF(OR($AM476=0,$C476=""),"",IFERROR(N(INDEX(Accounts!$E$7:$E$16,MATCH($C476,Accounts!$B$7:$B$16,0))),0)+SUMIFS($Q$6:$Q476,$C$6:$C476,$C476))</f>
        <v/>
      </c>
      <c r="AQ476" s="55" t="str">
        <f>IF(OR($AM476=0,$C476=""),"",SUMIFS($Q$6:$Q$1005,$C$6:$C$1005,$C476,$A$6:$A$1005,$A476))</f>
        <v/>
      </c>
      <c r="AR476" s="55" t="str">
        <f>IF(OR($AM476=0,$C476=""),"",IFERROR(N(INDEX(Accounts!$E$7:$E$16,MATCH($C476,Accounts!$B$7:$B$16,0))),0)+SUMIFS($Q$6:$Q$1005,$C$6:$C$1005,$C476,$A$6:$A$1005,"&lt;="&amp;$A476))</f>
        <v/>
      </c>
      <c r="AS476" s="56">
        <f>IF(OR($AM476=0,$Q476=""),0,IF(AND($A476&gt;=Lists!$W$6,$A476&lt;=Lists!$W$7,OR(Dashboard!$D$6="All accounts",$C476=Dashboard!$D$6),OR(Dashboard!$D$7="All markets",$AF476=Dashboard!$D$7)),1,0))</f>
        <v>0</v>
      </c>
      <c r="AT476" s="55">
        <f>IF($AS476=1,N(AT475)+$Q476,N(AT475))</f>
        <v>1187.10688</v>
      </c>
      <c r="AU476" s="55">
        <f>MAX(N(AU475),$AT476)</f>
        <v>1187.10688</v>
      </c>
      <c r="AV476" s="55">
        <f>$AT476-$AU476</f>
        <v>0</v>
      </c>
      <c r="AW476" s="56">
        <f>IF($AS476=1,IF($S476="Win",N(AW475)+1,IF($S476="Loss",0,N(AW475))),N(AW475))</f>
        <v>5</v>
      </c>
      <c r="AX476" s="56">
        <f>IF($AS476=1,IF($S476="Loss",N(AX475)+1,IF($S476="Win",0,N(AX475))),N(AX475))</f>
        <v>0</v>
      </c>
      <c r="AY476" s="56" t="str">
        <f>IF($AS476=1,COUNTIF($AS$6:$AS476,1),"")</f>
        <v/>
      </c>
      <c r="AZ476" s="56">
        <f>MIN(470,N(Lists!$W$8))</f>
        <v>28</v>
      </c>
      <c r="BA476" s="56">
        <f>IF($AS476=1,IF(COUNTIFS($A$6:$A476,$A476,$AS$6:$AS476,1)=1,1,0),0)</f>
        <v>0</v>
      </c>
      <c r="BB476" s="55" t="str">
        <f>IF($BA476=1,SUMIFS($Q$6:$Q$1005,$A$6:$A$1005,$A476,$AS$6:$AS$1005,1),"")</f>
        <v/>
      </c>
      <c r="BC476" s="56">
        <f>IF(ISNUMBER($R476),1,0)</f>
        <v>0</v>
      </c>
      <c r="BD476" s="55" t="str">
        <f>IF(ISNUMBER($U476),$U476*$V476,"")</f>
        <v/>
      </c>
      <c r="BE476" s="56" t="str">
        <f>IF($AM476=0,"",IFERROR(MATCH($AF476&amp;"|"&amp;UPPER(TRIM($E476)),Lists!$A$6:$A$205,0),0))</f>
        <v/>
      </c>
      <c r="BF476" s="56" t="str">
        <f>IF($AM476=0,"",IFERROR(MATCH($AF476,Settings!$B$14:$B$18,0),IFERROR(MATCH(Settings!$C$6,Settings!$B$14:$B$18,0),1)))</f>
        <v/>
      </c>
      <c r="BG476" s="58" t="str">
        <f>IF($AM476=0,"",IF(NOT(ISNUMBER($I476)),"No stop; ","")&amp;IF(AND(ISNUMBER($H476),ISNUMBER($I476)),IF(OR(AND($F476&lt;&gt;"Short",$I476&gt;=$H476),AND($F476="Short",$I476&lt;=$H476)),"Stop on wrong side; ",""),"")&amp;IF($F476="","No direction; ","")&amp;IF(AND(ISNUMBER(Settings!$C$22),ISNUMBER($V476)),IF($V476&gt;Settings!$C$22,"Risk over max $; ",""),"")&amp;IF(AND(ISNUMBER(Settings!$C$23),ISNUMBER($V476),ISNUMBER($AP476),IFERROR(N(INDEX(Accounts!$E$7:$E$16,MATCH($C476,Accounts!$B$7:$B$16,0))),0)&gt;0),IF($V476&gt;Settings!$C$23*($AP476-N($Q476)),"Risk over max %; ",""),"")&amp;IF(AND(ISNUMBER(Settings!$C$24),ISNUMBER($N476)),IF($N476&gt;Settings!$C$24,"Leverage over max; ",""),"")&amp;IF(AND(ISNUMBER(Settings!$C$27),ISNUMBER($T476)),IF($T476&lt;Settings!$C$27,"R:R below min; ",""),"")&amp;IF(ISNUMBER(Settings!$C$25),IF(COUNTIFS($A$6:$A476,$A476,$AM$6:$AM476,1)&gt;Settings!$C$25,"Over max trades/day; ",""),"")&amp;IF(ISNUMBER(Settings!$C$26),IF(SUMIFS($Q$5:$Q475,$A$5:$A475,$A476)&lt;=-Settings!$C$26,"Traded after daily max loss; ",""),"")&amp;IF(AND($AG476="",NOT(ISNUMBER($O476))),"Symbol not in Instruments; ","")&amp;IF(AND($AH476="",NOT(ISNUMBER($O476))),"Forex cross: type Gross P&amp;L; ",""))</f>
        <v/>
      </c>
      <c r="BH476" s="56">
        <f>IF(ISNUMBER($Q476),1,0)</f>
        <v>0</v>
      </c>
      <c r="BI476" s="56">
        <f>IF($Y476="",0,1)</f>
        <v>0</v>
      </c>
      <c r="BJ476" s="56">
        <f>IF($AB476="",0,1)</f>
        <v>0</v>
      </c>
      <c r="BK476" s="56">
        <f>IF(AND($BH476=1,$W476&lt;&gt;"OK"),1,0)</f>
        <v>0</v>
      </c>
      <c r="BL476" s="55">
        <f>IF(N($AZ476)=0,0,IFERROR(INDEX($AT$6:$AT$1005,MATCH($AZ476,$AY$6:$AY$1005,0)),0))</f>
        <v>1187.10688</v>
      </c>
      <c r="BM476" s="56">
        <f>IF(ISNUMBER(SEARCH("daily max loss",$BG476)),1,0)</f>
        <v>0</v>
      </c>
    </row>
    <row r="477" ht="18" customHeight="1">
      <c r="A477" s="38" t="n"/>
      <c r="B477" s="39" t="n"/>
      <c r="C477" s="40" t="n"/>
      <c r="D477" s="41" t="n"/>
      <c r="E477" s="41" t="n"/>
      <c r="F477" s="41" t="n"/>
      <c r="G477" s="41" t="n"/>
      <c r="H477" s="42" t="n"/>
      <c r="I477" s="42" t="n"/>
      <c r="J477" s="42" t="n"/>
      <c r="K477" s="42" t="n"/>
      <c r="L477" s="41" t="n"/>
      <c r="M477" s="41" t="n"/>
      <c r="N477" s="41" t="n"/>
      <c r="O477" s="43" t="n"/>
      <c r="P477" s="43" t="n"/>
      <c r="Q477" s="44" t="str">
        <f>IF($AM477=0,"",IF(ISNUMBER($AK477),$AK477-N($AL477),""))</f>
        <v/>
      </c>
      <c r="R477" s="45" t="str">
        <f>IF(OR($Q477="",NOT(ISNUMBER($V477))),"",$AK477/$V477)</f>
        <v/>
      </c>
      <c r="S477" s="46" t="str">
        <f>IF($Q477="","",IF(AND(ISNUMBER($R477),ABS(N($R477))&lt;N(Settings!$C$8)),"Scratch",IF($Q477&gt;0,"Win",IF($Q477&lt;0,"Loss","Scratch"))))</f>
        <v/>
      </c>
      <c r="T477" s="47" t="str">
        <f>IF(OR($AM477=0,NOT(ISNUMBER($H477)),NOT(ISNUMBER($I477)),NOT(ISNUMBER($J477))),"",IF($H477=$I477,"",ROUND(ABS($J477-$H477)/ABS($H477-$I477),6)))</f>
        <v/>
      </c>
      <c r="U477" s="48" t="str">
        <f>IF(OR($S477&lt;&gt;"Win",NOT(ISNUMBER($T477)),NOT(ISNUMBER($R477))),"",MAX(0,$T477-$R477))</f>
        <v/>
      </c>
      <c r="V477" s="49" t="str">
        <f>IF(OR($AM477=0,NOT(ISNUMBER($H477)),NOT(ISNUMBER($I477)),NOT(ISNUMBER($G477))),"",IF(OR($AG477="",$AH477=""),"",IF(ROUND(ABS($H477-$I477)*ABS($G477)*$AG477*$AH477,6)=0,"",ROUND(ABS($H477-$I477)*ABS($G477)*$AG477*$AH477,6))))</f>
        <v/>
      </c>
      <c r="W477" s="50" t="str">
        <f>IF($AM477=0,"",IF($BG477="","OK",LEFT($BG477,LEN($BG477)-2)))</f>
        <v/>
      </c>
      <c r="X477" s="41" t="n"/>
      <c r="Y477" s="40" t="n"/>
      <c r="Z477" s="41" t="n"/>
      <c r="AA477" s="41" t="n"/>
      <c r="AB477" s="40" t="n"/>
      <c r="AC477" s="51" t="n"/>
      <c r="AD477" s="51" t="n"/>
      <c r="AE477" s="40" t="n"/>
      <c r="AF477" s="52" t="str">
        <f>IF($AM477=0,"",IF($D477&lt;&gt;"",$D477,IF(IFERROR(INDEX(Accounts!$C$7:$C$16,MATCH($C477,Accounts!$B$7:$B$16,0))&amp;"","")&lt;&gt;"",INDEX(Accounts!$C$7:$C$16,MATCH($C477,Accounts!$B$7:$B$16,0)),Settings!$C$6)))</f>
        <v/>
      </c>
      <c r="AG477" s="53" t="str">
        <f>IF($AM477=0,"",IF(AND($BE477&gt;0,N(INDEX(Instruments!$D$6:$D$205,MAX(1,$BE477)))&gt;0),INDEX(Instruments!$D$6:$D$205,MAX(1,$BE477)),IF(N(INDEX(Settings!$D$14:$D$18,$BF477))&gt;0,INDEX(Settings!$D$14:$D$18,$BF477),"")))</f>
        <v/>
      </c>
      <c r="AH477" s="54" t="str">
        <f>IF($AM477=0,"",IF($AF477&lt;&gt;"Forex",1,IF(MID(UPPER(SUBSTITUTE(TRIM($E477),"/","")),4,3)=UPPER(TRIM(Settings!$C$7)),1,IF(LEFT(UPPER(SUBSTITUTE(TRIM($E477),"/","")),3)=UPPER(TRIM(Settings!$C$7)),IF(AND(ISNUMBER($K477),N($K477)&lt;&gt;0),1/$K477,""),""))))</f>
        <v/>
      </c>
      <c r="AI477" s="55" t="str">
        <f>IF($AM477=0,"",IF(OR(NOT(ISNUMBER($H477)),NOT(ISNUMBER($K477)),NOT(ISNUMBER($G477)),$AG477="",$AH477=""),"",ROUND(($K477-$H477)*IF($F477="Short",-1,1)*$G477*$AG477*$AH477,6)))</f>
        <v/>
      </c>
      <c r="AJ477" s="55" t="str">
        <f>IF($AM477=0,"",IF(INDEX(Settings!$E$14:$E$18,$BF477)="% of notional",IF(OR($AG477="",NOT(ISNUMBER($H477)),NOT(ISNUMBER($G477))),"",ROUND(ABS($H477*$G477*$AG477*N($AH477))*IF($L477="Limit",N(INDEX(Settings!$G$14:$G$18,$BF477)),N(INDEX(Settings!$H$14:$H$18,$BF477)))+IF(ISNUMBER($K477),ABS($K477*$G477*$AG477*N($AH477))*IF($M477="Target",N(INDEX(Settings!$G$14:$G$18,$BF477)),N(INDEX(Settings!$H$14:$H$18,$BF477))),0),6)),IF(NOT(ISNUMBER($G477)),"",ROUND(ABS($G477)*2*IF(AND($BE477&gt;0,ISNUMBER(INDEX(Instruments!$G$6:$G$205,MAX(1,$BE477)))),INDEX(Instruments!$G$6:$G$205,MAX(1,$BE477)),N(INDEX(Settings!$F$14:$F$18,$BF477))),6))))</f>
        <v/>
      </c>
      <c r="AK477" s="55" t="str">
        <f>IF($AM477=0,"",IF(ISNUMBER($O477),$O477,$AI477))</f>
        <v/>
      </c>
      <c r="AL477" s="55" t="str">
        <f>IF($AM477=0,"",IF(ISNUMBER($P477),$P477,N($AJ477)))</f>
        <v/>
      </c>
      <c r="AM477" s="56">
        <f>IF(AND($A477&lt;&gt;"",$E477&lt;&gt;"",OR(AND(ISNUMBER($G477),ISNUMBER($H477),ISNUMBER($K477)),ISNUMBER($O477))),1,0)</f>
        <v>0</v>
      </c>
      <c r="AN477" s="57" t="str">
        <f>IF($A477="","",$A477-WEEKDAY($A477,3))</f>
        <v/>
      </c>
      <c r="AO477" s="56" t="str">
        <f>IF($A477="","",WEEKDAY($A477,2))</f>
        <v/>
      </c>
      <c r="AP477" s="55" t="str">
        <f>IF(OR($AM477=0,$C477=""),"",IFERROR(N(INDEX(Accounts!$E$7:$E$16,MATCH($C477,Accounts!$B$7:$B$16,0))),0)+SUMIFS($Q$6:$Q477,$C$6:$C477,$C477))</f>
        <v/>
      </c>
      <c r="AQ477" s="55" t="str">
        <f>IF(OR($AM477=0,$C477=""),"",SUMIFS($Q$6:$Q$1005,$C$6:$C$1005,$C477,$A$6:$A$1005,$A477))</f>
        <v/>
      </c>
      <c r="AR477" s="55" t="str">
        <f>IF(OR($AM477=0,$C477=""),"",IFERROR(N(INDEX(Accounts!$E$7:$E$16,MATCH($C477,Accounts!$B$7:$B$16,0))),0)+SUMIFS($Q$6:$Q$1005,$C$6:$C$1005,$C477,$A$6:$A$1005,"&lt;="&amp;$A477))</f>
        <v/>
      </c>
      <c r="AS477" s="56">
        <f>IF(OR($AM477=0,$Q477=""),0,IF(AND($A477&gt;=Lists!$W$6,$A477&lt;=Lists!$W$7,OR(Dashboard!$D$6="All accounts",$C477=Dashboard!$D$6),OR(Dashboard!$D$7="All markets",$AF477=Dashboard!$D$7)),1,0))</f>
        <v>0</v>
      </c>
      <c r="AT477" s="55">
        <f>IF($AS477=1,N(AT476)+$Q477,N(AT476))</f>
        <v>1187.10688</v>
      </c>
      <c r="AU477" s="55">
        <f>MAX(N(AU476),$AT477)</f>
        <v>1187.10688</v>
      </c>
      <c r="AV477" s="55">
        <f>$AT477-$AU477</f>
        <v>0</v>
      </c>
      <c r="AW477" s="56">
        <f>IF($AS477=1,IF($S477="Win",N(AW476)+1,IF($S477="Loss",0,N(AW476))),N(AW476))</f>
        <v>5</v>
      </c>
      <c r="AX477" s="56">
        <f>IF($AS477=1,IF($S477="Loss",N(AX476)+1,IF($S477="Win",0,N(AX476))),N(AX476))</f>
        <v>0</v>
      </c>
      <c r="AY477" s="56" t="str">
        <f>IF($AS477=1,COUNTIF($AS$6:$AS477,1),"")</f>
        <v/>
      </c>
      <c r="AZ477" s="56">
        <f>MIN(471,N(Lists!$W$8))</f>
        <v>28</v>
      </c>
      <c r="BA477" s="56">
        <f>IF($AS477=1,IF(COUNTIFS($A$6:$A477,$A477,$AS$6:$AS477,1)=1,1,0),0)</f>
        <v>0</v>
      </c>
      <c r="BB477" s="55" t="str">
        <f>IF($BA477=1,SUMIFS($Q$6:$Q$1005,$A$6:$A$1005,$A477,$AS$6:$AS$1005,1),"")</f>
        <v/>
      </c>
      <c r="BC477" s="56">
        <f>IF(ISNUMBER($R477),1,0)</f>
        <v>0</v>
      </c>
      <c r="BD477" s="55" t="str">
        <f>IF(ISNUMBER($U477),$U477*$V477,"")</f>
        <v/>
      </c>
      <c r="BE477" s="56" t="str">
        <f>IF($AM477=0,"",IFERROR(MATCH($AF477&amp;"|"&amp;UPPER(TRIM($E477)),Lists!$A$6:$A$205,0),0))</f>
        <v/>
      </c>
      <c r="BF477" s="56" t="str">
        <f>IF($AM477=0,"",IFERROR(MATCH($AF477,Settings!$B$14:$B$18,0),IFERROR(MATCH(Settings!$C$6,Settings!$B$14:$B$18,0),1)))</f>
        <v/>
      </c>
      <c r="BG477" s="58" t="str">
        <f>IF($AM477=0,"",IF(NOT(ISNUMBER($I477)),"No stop; ","")&amp;IF(AND(ISNUMBER($H477),ISNUMBER($I477)),IF(OR(AND($F477&lt;&gt;"Short",$I477&gt;=$H477),AND($F477="Short",$I477&lt;=$H477)),"Stop on wrong side; ",""),"")&amp;IF($F477="","No direction; ","")&amp;IF(AND(ISNUMBER(Settings!$C$22),ISNUMBER($V477)),IF($V477&gt;Settings!$C$22,"Risk over max $; ",""),"")&amp;IF(AND(ISNUMBER(Settings!$C$23),ISNUMBER($V477),ISNUMBER($AP477),IFERROR(N(INDEX(Accounts!$E$7:$E$16,MATCH($C477,Accounts!$B$7:$B$16,0))),0)&gt;0),IF($V477&gt;Settings!$C$23*($AP477-N($Q477)),"Risk over max %; ",""),"")&amp;IF(AND(ISNUMBER(Settings!$C$24),ISNUMBER($N477)),IF($N477&gt;Settings!$C$24,"Leverage over max; ",""),"")&amp;IF(AND(ISNUMBER(Settings!$C$27),ISNUMBER($T477)),IF($T477&lt;Settings!$C$27,"R:R below min; ",""),"")&amp;IF(ISNUMBER(Settings!$C$25),IF(COUNTIFS($A$6:$A477,$A477,$AM$6:$AM477,1)&gt;Settings!$C$25,"Over max trades/day; ",""),"")&amp;IF(ISNUMBER(Settings!$C$26),IF(SUMIFS($Q$5:$Q476,$A$5:$A476,$A477)&lt;=-Settings!$C$26,"Traded after daily max loss; ",""),"")&amp;IF(AND($AG477="",NOT(ISNUMBER($O477))),"Symbol not in Instruments; ","")&amp;IF(AND($AH477="",NOT(ISNUMBER($O477))),"Forex cross: type Gross P&amp;L; ",""))</f>
        <v/>
      </c>
      <c r="BH477" s="56">
        <f>IF(ISNUMBER($Q477),1,0)</f>
        <v>0</v>
      </c>
      <c r="BI477" s="56">
        <f>IF($Y477="",0,1)</f>
        <v>0</v>
      </c>
      <c r="BJ477" s="56">
        <f>IF($AB477="",0,1)</f>
        <v>0</v>
      </c>
      <c r="BK477" s="56">
        <f>IF(AND($BH477=1,$W477&lt;&gt;"OK"),1,0)</f>
        <v>0</v>
      </c>
      <c r="BL477" s="55">
        <f>IF(N($AZ477)=0,0,IFERROR(INDEX($AT$6:$AT$1005,MATCH($AZ477,$AY$6:$AY$1005,0)),0))</f>
        <v>1187.10688</v>
      </c>
      <c r="BM477" s="56">
        <f>IF(ISNUMBER(SEARCH("daily max loss",$BG477)),1,0)</f>
        <v>0</v>
      </c>
    </row>
    <row r="478" ht="18" customHeight="1">
      <c r="A478" s="38" t="n"/>
      <c r="B478" s="39" t="n"/>
      <c r="C478" s="40" t="n"/>
      <c r="D478" s="41" t="n"/>
      <c r="E478" s="41" t="n"/>
      <c r="F478" s="41" t="n"/>
      <c r="G478" s="41" t="n"/>
      <c r="H478" s="42" t="n"/>
      <c r="I478" s="42" t="n"/>
      <c r="J478" s="42" t="n"/>
      <c r="K478" s="42" t="n"/>
      <c r="L478" s="41" t="n"/>
      <c r="M478" s="41" t="n"/>
      <c r="N478" s="41" t="n"/>
      <c r="O478" s="43" t="n"/>
      <c r="P478" s="43" t="n"/>
      <c r="Q478" s="44" t="str">
        <f>IF($AM478=0,"",IF(ISNUMBER($AK478),$AK478-N($AL478),""))</f>
        <v/>
      </c>
      <c r="R478" s="45" t="str">
        <f>IF(OR($Q478="",NOT(ISNUMBER($V478))),"",$AK478/$V478)</f>
        <v/>
      </c>
      <c r="S478" s="46" t="str">
        <f>IF($Q478="","",IF(AND(ISNUMBER($R478),ABS(N($R478))&lt;N(Settings!$C$8)),"Scratch",IF($Q478&gt;0,"Win",IF($Q478&lt;0,"Loss","Scratch"))))</f>
        <v/>
      </c>
      <c r="T478" s="47" t="str">
        <f>IF(OR($AM478=0,NOT(ISNUMBER($H478)),NOT(ISNUMBER($I478)),NOT(ISNUMBER($J478))),"",IF($H478=$I478,"",ROUND(ABS($J478-$H478)/ABS($H478-$I478),6)))</f>
        <v/>
      </c>
      <c r="U478" s="48" t="str">
        <f>IF(OR($S478&lt;&gt;"Win",NOT(ISNUMBER($T478)),NOT(ISNUMBER($R478))),"",MAX(0,$T478-$R478))</f>
        <v/>
      </c>
      <c r="V478" s="49" t="str">
        <f>IF(OR($AM478=0,NOT(ISNUMBER($H478)),NOT(ISNUMBER($I478)),NOT(ISNUMBER($G478))),"",IF(OR($AG478="",$AH478=""),"",IF(ROUND(ABS($H478-$I478)*ABS($G478)*$AG478*$AH478,6)=0,"",ROUND(ABS($H478-$I478)*ABS($G478)*$AG478*$AH478,6))))</f>
        <v/>
      </c>
      <c r="W478" s="50" t="str">
        <f>IF($AM478=0,"",IF($BG478="","OK",LEFT($BG478,LEN($BG478)-2)))</f>
        <v/>
      </c>
      <c r="X478" s="41" t="n"/>
      <c r="Y478" s="40" t="n"/>
      <c r="Z478" s="41" t="n"/>
      <c r="AA478" s="41" t="n"/>
      <c r="AB478" s="40" t="n"/>
      <c r="AC478" s="51" t="n"/>
      <c r="AD478" s="51" t="n"/>
      <c r="AE478" s="40" t="n"/>
      <c r="AF478" s="52" t="str">
        <f>IF($AM478=0,"",IF($D478&lt;&gt;"",$D478,IF(IFERROR(INDEX(Accounts!$C$7:$C$16,MATCH($C478,Accounts!$B$7:$B$16,0))&amp;"","")&lt;&gt;"",INDEX(Accounts!$C$7:$C$16,MATCH($C478,Accounts!$B$7:$B$16,0)),Settings!$C$6)))</f>
        <v/>
      </c>
      <c r="AG478" s="53" t="str">
        <f>IF($AM478=0,"",IF(AND($BE478&gt;0,N(INDEX(Instruments!$D$6:$D$205,MAX(1,$BE478)))&gt;0),INDEX(Instruments!$D$6:$D$205,MAX(1,$BE478)),IF(N(INDEX(Settings!$D$14:$D$18,$BF478))&gt;0,INDEX(Settings!$D$14:$D$18,$BF478),"")))</f>
        <v/>
      </c>
      <c r="AH478" s="54" t="str">
        <f>IF($AM478=0,"",IF($AF478&lt;&gt;"Forex",1,IF(MID(UPPER(SUBSTITUTE(TRIM($E478),"/","")),4,3)=UPPER(TRIM(Settings!$C$7)),1,IF(LEFT(UPPER(SUBSTITUTE(TRIM($E478),"/","")),3)=UPPER(TRIM(Settings!$C$7)),IF(AND(ISNUMBER($K478),N($K478)&lt;&gt;0),1/$K478,""),""))))</f>
        <v/>
      </c>
      <c r="AI478" s="55" t="str">
        <f>IF($AM478=0,"",IF(OR(NOT(ISNUMBER($H478)),NOT(ISNUMBER($K478)),NOT(ISNUMBER($G478)),$AG478="",$AH478=""),"",ROUND(($K478-$H478)*IF($F478="Short",-1,1)*$G478*$AG478*$AH478,6)))</f>
        <v/>
      </c>
      <c r="AJ478" s="55" t="str">
        <f>IF($AM478=0,"",IF(INDEX(Settings!$E$14:$E$18,$BF478)="% of notional",IF(OR($AG478="",NOT(ISNUMBER($H478)),NOT(ISNUMBER($G478))),"",ROUND(ABS($H478*$G478*$AG478*N($AH478))*IF($L478="Limit",N(INDEX(Settings!$G$14:$G$18,$BF478)),N(INDEX(Settings!$H$14:$H$18,$BF478)))+IF(ISNUMBER($K478),ABS($K478*$G478*$AG478*N($AH478))*IF($M478="Target",N(INDEX(Settings!$G$14:$G$18,$BF478)),N(INDEX(Settings!$H$14:$H$18,$BF478))),0),6)),IF(NOT(ISNUMBER($G478)),"",ROUND(ABS($G478)*2*IF(AND($BE478&gt;0,ISNUMBER(INDEX(Instruments!$G$6:$G$205,MAX(1,$BE478)))),INDEX(Instruments!$G$6:$G$205,MAX(1,$BE478)),N(INDEX(Settings!$F$14:$F$18,$BF478))),6))))</f>
        <v/>
      </c>
      <c r="AK478" s="55" t="str">
        <f>IF($AM478=0,"",IF(ISNUMBER($O478),$O478,$AI478))</f>
        <v/>
      </c>
      <c r="AL478" s="55" t="str">
        <f>IF($AM478=0,"",IF(ISNUMBER($P478),$P478,N($AJ478)))</f>
        <v/>
      </c>
      <c r="AM478" s="56">
        <f>IF(AND($A478&lt;&gt;"",$E478&lt;&gt;"",OR(AND(ISNUMBER($G478),ISNUMBER($H478),ISNUMBER($K478)),ISNUMBER($O478))),1,0)</f>
        <v>0</v>
      </c>
      <c r="AN478" s="57" t="str">
        <f>IF($A478="","",$A478-WEEKDAY($A478,3))</f>
        <v/>
      </c>
      <c r="AO478" s="56" t="str">
        <f>IF($A478="","",WEEKDAY($A478,2))</f>
        <v/>
      </c>
      <c r="AP478" s="55" t="str">
        <f>IF(OR($AM478=0,$C478=""),"",IFERROR(N(INDEX(Accounts!$E$7:$E$16,MATCH($C478,Accounts!$B$7:$B$16,0))),0)+SUMIFS($Q$6:$Q478,$C$6:$C478,$C478))</f>
        <v/>
      </c>
      <c r="AQ478" s="55" t="str">
        <f>IF(OR($AM478=0,$C478=""),"",SUMIFS($Q$6:$Q$1005,$C$6:$C$1005,$C478,$A$6:$A$1005,$A478))</f>
        <v/>
      </c>
      <c r="AR478" s="55" t="str">
        <f>IF(OR($AM478=0,$C478=""),"",IFERROR(N(INDEX(Accounts!$E$7:$E$16,MATCH($C478,Accounts!$B$7:$B$16,0))),0)+SUMIFS($Q$6:$Q$1005,$C$6:$C$1005,$C478,$A$6:$A$1005,"&lt;="&amp;$A478))</f>
        <v/>
      </c>
      <c r="AS478" s="56">
        <f>IF(OR($AM478=0,$Q478=""),0,IF(AND($A478&gt;=Lists!$W$6,$A478&lt;=Lists!$W$7,OR(Dashboard!$D$6="All accounts",$C478=Dashboard!$D$6),OR(Dashboard!$D$7="All markets",$AF478=Dashboard!$D$7)),1,0))</f>
        <v>0</v>
      </c>
      <c r="AT478" s="55">
        <f>IF($AS478=1,N(AT477)+$Q478,N(AT477))</f>
        <v>1187.10688</v>
      </c>
      <c r="AU478" s="55">
        <f>MAX(N(AU477),$AT478)</f>
        <v>1187.10688</v>
      </c>
      <c r="AV478" s="55">
        <f>$AT478-$AU478</f>
        <v>0</v>
      </c>
      <c r="AW478" s="56">
        <f>IF($AS478=1,IF($S478="Win",N(AW477)+1,IF($S478="Loss",0,N(AW477))),N(AW477))</f>
        <v>5</v>
      </c>
      <c r="AX478" s="56">
        <f>IF($AS478=1,IF($S478="Loss",N(AX477)+1,IF($S478="Win",0,N(AX477))),N(AX477))</f>
        <v>0</v>
      </c>
      <c r="AY478" s="56" t="str">
        <f>IF($AS478=1,COUNTIF($AS$6:$AS478,1),"")</f>
        <v/>
      </c>
      <c r="AZ478" s="56">
        <f>MIN(472,N(Lists!$W$8))</f>
        <v>28</v>
      </c>
      <c r="BA478" s="56">
        <f>IF($AS478=1,IF(COUNTIFS($A$6:$A478,$A478,$AS$6:$AS478,1)=1,1,0),0)</f>
        <v>0</v>
      </c>
      <c r="BB478" s="55" t="str">
        <f>IF($BA478=1,SUMIFS($Q$6:$Q$1005,$A$6:$A$1005,$A478,$AS$6:$AS$1005,1),"")</f>
        <v/>
      </c>
      <c r="BC478" s="56">
        <f>IF(ISNUMBER($R478),1,0)</f>
        <v>0</v>
      </c>
      <c r="BD478" s="55" t="str">
        <f>IF(ISNUMBER($U478),$U478*$V478,"")</f>
        <v/>
      </c>
      <c r="BE478" s="56" t="str">
        <f>IF($AM478=0,"",IFERROR(MATCH($AF478&amp;"|"&amp;UPPER(TRIM($E478)),Lists!$A$6:$A$205,0),0))</f>
        <v/>
      </c>
      <c r="BF478" s="56" t="str">
        <f>IF($AM478=0,"",IFERROR(MATCH($AF478,Settings!$B$14:$B$18,0),IFERROR(MATCH(Settings!$C$6,Settings!$B$14:$B$18,0),1)))</f>
        <v/>
      </c>
      <c r="BG478" s="58" t="str">
        <f>IF($AM478=0,"",IF(NOT(ISNUMBER($I478)),"No stop; ","")&amp;IF(AND(ISNUMBER($H478),ISNUMBER($I478)),IF(OR(AND($F478&lt;&gt;"Short",$I478&gt;=$H478),AND($F478="Short",$I478&lt;=$H478)),"Stop on wrong side; ",""),"")&amp;IF($F478="","No direction; ","")&amp;IF(AND(ISNUMBER(Settings!$C$22),ISNUMBER($V478)),IF($V478&gt;Settings!$C$22,"Risk over max $; ",""),"")&amp;IF(AND(ISNUMBER(Settings!$C$23),ISNUMBER($V478),ISNUMBER($AP478),IFERROR(N(INDEX(Accounts!$E$7:$E$16,MATCH($C478,Accounts!$B$7:$B$16,0))),0)&gt;0),IF($V478&gt;Settings!$C$23*($AP478-N($Q478)),"Risk over max %; ",""),"")&amp;IF(AND(ISNUMBER(Settings!$C$24),ISNUMBER($N478)),IF($N478&gt;Settings!$C$24,"Leverage over max; ",""),"")&amp;IF(AND(ISNUMBER(Settings!$C$27),ISNUMBER($T478)),IF($T478&lt;Settings!$C$27,"R:R below min; ",""),"")&amp;IF(ISNUMBER(Settings!$C$25),IF(COUNTIFS($A$6:$A478,$A478,$AM$6:$AM478,1)&gt;Settings!$C$25,"Over max trades/day; ",""),"")&amp;IF(ISNUMBER(Settings!$C$26),IF(SUMIFS($Q$5:$Q477,$A$5:$A477,$A478)&lt;=-Settings!$C$26,"Traded after daily max loss; ",""),"")&amp;IF(AND($AG478="",NOT(ISNUMBER($O478))),"Symbol not in Instruments; ","")&amp;IF(AND($AH478="",NOT(ISNUMBER($O478))),"Forex cross: type Gross P&amp;L; ",""))</f>
        <v/>
      </c>
      <c r="BH478" s="56">
        <f>IF(ISNUMBER($Q478),1,0)</f>
        <v>0</v>
      </c>
      <c r="BI478" s="56">
        <f>IF($Y478="",0,1)</f>
        <v>0</v>
      </c>
      <c r="BJ478" s="56">
        <f>IF($AB478="",0,1)</f>
        <v>0</v>
      </c>
      <c r="BK478" s="56">
        <f>IF(AND($BH478=1,$W478&lt;&gt;"OK"),1,0)</f>
        <v>0</v>
      </c>
      <c r="BL478" s="55">
        <f>IF(N($AZ478)=0,0,IFERROR(INDEX($AT$6:$AT$1005,MATCH($AZ478,$AY$6:$AY$1005,0)),0))</f>
        <v>1187.10688</v>
      </c>
      <c r="BM478" s="56">
        <f>IF(ISNUMBER(SEARCH("daily max loss",$BG478)),1,0)</f>
        <v>0</v>
      </c>
    </row>
    <row r="479" ht="18" customHeight="1">
      <c r="A479" s="38" t="n"/>
      <c r="B479" s="39" t="n"/>
      <c r="C479" s="40" t="n"/>
      <c r="D479" s="41" t="n"/>
      <c r="E479" s="41" t="n"/>
      <c r="F479" s="41" t="n"/>
      <c r="G479" s="41" t="n"/>
      <c r="H479" s="42" t="n"/>
      <c r="I479" s="42" t="n"/>
      <c r="J479" s="42" t="n"/>
      <c r="K479" s="42" t="n"/>
      <c r="L479" s="41" t="n"/>
      <c r="M479" s="41" t="n"/>
      <c r="N479" s="41" t="n"/>
      <c r="O479" s="43" t="n"/>
      <c r="P479" s="43" t="n"/>
      <c r="Q479" s="44" t="str">
        <f>IF($AM479=0,"",IF(ISNUMBER($AK479),$AK479-N($AL479),""))</f>
        <v/>
      </c>
      <c r="R479" s="45" t="str">
        <f>IF(OR($Q479="",NOT(ISNUMBER($V479))),"",$AK479/$V479)</f>
        <v/>
      </c>
      <c r="S479" s="46" t="str">
        <f>IF($Q479="","",IF(AND(ISNUMBER($R479),ABS(N($R479))&lt;N(Settings!$C$8)),"Scratch",IF($Q479&gt;0,"Win",IF($Q479&lt;0,"Loss","Scratch"))))</f>
        <v/>
      </c>
      <c r="T479" s="47" t="str">
        <f>IF(OR($AM479=0,NOT(ISNUMBER($H479)),NOT(ISNUMBER($I479)),NOT(ISNUMBER($J479))),"",IF($H479=$I479,"",ROUND(ABS($J479-$H479)/ABS($H479-$I479),6)))</f>
        <v/>
      </c>
      <c r="U479" s="48" t="str">
        <f>IF(OR($S479&lt;&gt;"Win",NOT(ISNUMBER($T479)),NOT(ISNUMBER($R479))),"",MAX(0,$T479-$R479))</f>
        <v/>
      </c>
      <c r="V479" s="49" t="str">
        <f>IF(OR($AM479=0,NOT(ISNUMBER($H479)),NOT(ISNUMBER($I479)),NOT(ISNUMBER($G479))),"",IF(OR($AG479="",$AH479=""),"",IF(ROUND(ABS($H479-$I479)*ABS($G479)*$AG479*$AH479,6)=0,"",ROUND(ABS($H479-$I479)*ABS($G479)*$AG479*$AH479,6))))</f>
        <v/>
      </c>
      <c r="W479" s="50" t="str">
        <f>IF($AM479=0,"",IF($BG479="","OK",LEFT($BG479,LEN($BG479)-2)))</f>
        <v/>
      </c>
      <c r="X479" s="41" t="n"/>
      <c r="Y479" s="40" t="n"/>
      <c r="Z479" s="41" t="n"/>
      <c r="AA479" s="41" t="n"/>
      <c r="AB479" s="40" t="n"/>
      <c r="AC479" s="51" t="n"/>
      <c r="AD479" s="51" t="n"/>
      <c r="AE479" s="40" t="n"/>
      <c r="AF479" s="52" t="str">
        <f>IF($AM479=0,"",IF($D479&lt;&gt;"",$D479,IF(IFERROR(INDEX(Accounts!$C$7:$C$16,MATCH($C479,Accounts!$B$7:$B$16,0))&amp;"","")&lt;&gt;"",INDEX(Accounts!$C$7:$C$16,MATCH($C479,Accounts!$B$7:$B$16,0)),Settings!$C$6)))</f>
        <v/>
      </c>
      <c r="AG479" s="53" t="str">
        <f>IF($AM479=0,"",IF(AND($BE479&gt;0,N(INDEX(Instruments!$D$6:$D$205,MAX(1,$BE479)))&gt;0),INDEX(Instruments!$D$6:$D$205,MAX(1,$BE479)),IF(N(INDEX(Settings!$D$14:$D$18,$BF479))&gt;0,INDEX(Settings!$D$14:$D$18,$BF479),"")))</f>
        <v/>
      </c>
      <c r="AH479" s="54" t="str">
        <f>IF($AM479=0,"",IF($AF479&lt;&gt;"Forex",1,IF(MID(UPPER(SUBSTITUTE(TRIM($E479),"/","")),4,3)=UPPER(TRIM(Settings!$C$7)),1,IF(LEFT(UPPER(SUBSTITUTE(TRIM($E479),"/","")),3)=UPPER(TRIM(Settings!$C$7)),IF(AND(ISNUMBER($K479),N($K479)&lt;&gt;0),1/$K479,""),""))))</f>
        <v/>
      </c>
      <c r="AI479" s="55" t="str">
        <f>IF($AM479=0,"",IF(OR(NOT(ISNUMBER($H479)),NOT(ISNUMBER($K479)),NOT(ISNUMBER($G479)),$AG479="",$AH479=""),"",ROUND(($K479-$H479)*IF($F479="Short",-1,1)*$G479*$AG479*$AH479,6)))</f>
        <v/>
      </c>
      <c r="AJ479" s="55" t="str">
        <f>IF($AM479=0,"",IF(INDEX(Settings!$E$14:$E$18,$BF479)="% of notional",IF(OR($AG479="",NOT(ISNUMBER($H479)),NOT(ISNUMBER($G479))),"",ROUND(ABS($H479*$G479*$AG479*N($AH479))*IF($L479="Limit",N(INDEX(Settings!$G$14:$G$18,$BF479)),N(INDEX(Settings!$H$14:$H$18,$BF479)))+IF(ISNUMBER($K479),ABS($K479*$G479*$AG479*N($AH479))*IF($M479="Target",N(INDEX(Settings!$G$14:$G$18,$BF479)),N(INDEX(Settings!$H$14:$H$18,$BF479))),0),6)),IF(NOT(ISNUMBER($G479)),"",ROUND(ABS($G479)*2*IF(AND($BE479&gt;0,ISNUMBER(INDEX(Instruments!$G$6:$G$205,MAX(1,$BE479)))),INDEX(Instruments!$G$6:$G$205,MAX(1,$BE479)),N(INDEX(Settings!$F$14:$F$18,$BF479))),6))))</f>
        <v/>
      </c>
      <c r="AK479" s="55" t="str">
        <f>IF($AM479=0,"",IF(ISNUMBER($O479),$O479,$AI479))</f>
        <v/>
      </c>
      <c r="AL479" s="55" t="str">
        <f>IF($AM479=0,"",IF(ISNUMBER($P479),$P479,N($AJ479)))</f>
        <v/>
      </c>
      <c r="AM479" s="56">
        <f>IF(AND($A479&lt;&gt;"",$E479&lt;&gt;"",OR(AND(ISNUMBER($G479),ISNUMBER($H479),ISNUMBER($K479)),ISNUMBER($O479))),1,0)</f>
        <v>0</v>
      </c>
      <c r="AN479" s="57" t="str">
        <f>IF($A479="","",$A479-WEEKDAY($A479,3))</f>
        <v/>
      </c>
      <c r="AO479" s="56" t="str">
        <f>IF($A479="","",WEEKDAY($A479,2))</f>
        <v/>
      </c>
      <c r="AP479" s="55" t="str">
        <f>IF(OR($AM479=0,$C479=""),"",IFERROR(N(INDEX(Accounts!$E$7:$E$16,MATCH($C479,Accounts!$B$7:$B$16,0))),0)+SUMIFS($Q$6:$Q479,$C$6:$C479,$C479))</f>
        <v/>
      </c>
      <c r="AQ479" s="55" t="str">
        <f>IF(OR($AM479=0,$C479=""),"",SUMIFS($Q$6:$Q$1005,$C$6:$C$1005,$C479,$A$6:$A$1005,$A479))</f>
        <v/>
      </c>
      <c r="AR479" s="55" t="str">
        <f>IF(OR($AM479=0,$C479=""),"",IFERROR(N(INDEX(Accounts!$E$7:$E$16,MATCH($C479,Accounts!$B$7:$B$16,0))),0)+SUMIFS($Q$6:$Q$1005,$C$6:$C$1005,$C479,$A$6:$A$1005,"&lt;="&amp;$A479))</f>
        <v/>
      </c>
      <c r="AS479" s="56">
        <f>IF(OR($AM479=0,$Q479=""),0,IF(AND($A479&gt;=Lists!$W$6,$A479&lt;=Lists!$W$7,OR(Dashboard!$D$6="All accounts",$C479=Dashboard!$D$6),OR(Dashboard!$D$7="All markets",$AF479=Dashboard!$D$7)),1,0))</f>
        <v>0</v>
      </c>
      <c r="AT479" s="55">
        <f>IF($AS479=1,N(AT478)+$Q479,N(AT478))</f>
        <v>1187.10688</v>
      </c>
      <c r="AU479" s="55">
        <f>MAX(N(AU478),$AT479)</f>
        <v>1187.10688</v>
      </c>
      <c r="AV479" s="55">
        <f>$AT479-$AU479</f>
        <v>0</v>
      </c>
      <c r="AW479" s="56">
        <f>IF($AS479=1,IF($S479="Win",N(AW478)+1,IF($S479="Loss",0,N(AW478))),N(AW478))</f>
        <v>5</v>
      </c>
      <c r="AX479" s="56">
        <f>IF($AS479=1,IF($S479="Loss",N(AX478)+1,IF($S479="Win",0,N(AX478))),N(AX478))</f>
        <v>0</v>
      </c>
      <c r="AY479" s="56" t="str">
        <f>IF($AS479=1,COUNTIF($AS$6:$AS479,1),"")</f>
        <v/>
      </c>
      <c r="AZ479" s="56">
        <f>MIN(473,N(Lists!$W$8))</f>
        <v>28</v>
      </c>
      <c r="BA479" s="56">
        <f>IF($AS479=1,IF(COUNTIFS($A$6:$A479,$A479,$AS$6:$AS479,1)=1,1,0),0)</f>
        <v>0</v>
      </c>
      <c r="BB479" s="55" t="str">
        <f>IF($BA479=1,SUMIFS($Q$6:$Q$1005,$A$6:$A$1005,$A479,$AS$6:$AS$1005,1),"")</f>
        <v/>
      </c>
      <c r="BC479" s="56">
        <f>IF(ISNUMBER($R479),1,0)</f>
        <v>0</v>
      </c>
      <c r="BD479" s="55" t="str">
        <f>IF(ISNUMBER($U479),$U479*$V479,"")</f>
        <v/>
      </c>
      <c r="BE479" s="56" t="str">
        <f>IF($AM479=0,"",IFERROR(MATCH($AF479&amp;"|"&amp;UPPER(TRIM($E479)),Lists!$A$6:$A$205,0),0))</f>
        <v/>
      </c>
      <c r="BF479" s="56" t="str">
        <f>IF($AM479=0,"",IFERROR(MATCH($AF479,Settings!$B$14:$B$18,0),IFERROR(MATCH(Settings!$C$6,Settings!$B$14:$B$18,0),1)))</f>
        <v/>
      </c>
      <c r="BG479" s="58" t="str">
        <f>IF($AM479=0,"",IF(NOT(ISNUMBER($I479)),"No stop; ","")&amp;IF(AND(ISNUMBER($H479),ISNUMBER($I479)),IF(OR(AND($F479&lt;&gt;"Short",$I479&gt;=$H479),AND($F479="Short",$I479&lt;=$H479)),"Stop on wrong side; ",""),"")&amp;IF($F479="","No direction; ","")&amp;IF(AND(ISNUMBER(Settings!$C$22),ISNUMBER($V479)),IF($V479&gt;Settings!$C$22,"Risk over max $; ",""),"")&amp;IF(AND(ISNUMBER(Settings!$C$23),ISNUMBER($V479),ISNUMBER($AP479),IFERROR(N(INDEX(Accounts!$E$7:$E$16,MATCH($C479,Accounts!$B$7:$B$16,0))),0)&gt;0),IF($V479&gt;Settings!$C$23*($AP479-N($Q479)),"Risk over max %; ",""),"")&amp;IF(AND(ISNUMBER(Settings!$C$24),ISNUMBER($N479)),IF($N479&gt;Settings!$C$24,"Leverage over max; ",""),"")&amp;IF(AND(ISNUMBER(Settings!$C$27),ISNUMBER($T479)),IF($T479&lt;Settings!$C$27,"R:R below min; ",""),"")&amp;IF(ISNUMBER(Settings!$C$25),IF(COUNTIFS($A$6:$A479,$A479,$AM$6:$AM479,1)&gt;Settings!$C$25,"Over max trades/day; ",""),"")&amp;IF(ISNUMBER(Settings!$C$26),IF(SUMIFS($Q$5:$Q478,$A$5:$A478,$A479)&lt;=-Settings!$C$26,"Traded after daily max loss; ",""),"")&amp;IF(AND($AG479="",NOT(ISNUMBER($O479))),"Symbol not in Instruments; ","")&amp;IF(AND($AH479="",NOT(ISNUMBER($O479))),"Forex cross: type Gross P&amp;L; ",""))</f>
        <v/>
      </c>
      <c r="BH479" s="56">
        <f>IF(ISNUMBER($Q479),1,0)</f>
        <v>0</v>
      </c>
      <c r="BI479" s="56">
        <f>IF($Y479="",0,1)</f>
        <v>0</v>
      </c>
      <c r="BJ479" s="56">
        <f>IF($AB479="",0,1)</f>
        <v>0</v>
      </c>
      <c r="BK479" s="56">
        <f>IF(AND($BH479=1,$W479&lt;&gt;"OK"),1,0)</f>
        <v>0</v>
      </c>
      <c r="BL479" s="55">
        <f>IF(N($AZ479)=0,0,IFERROR(INDEX($AT$6:$AT$1005,MATCH($AZ479,$AY$6:$AY$1005,0)),0))</f>
        <v>1187.10688</v>
      </c>
      <c r="BM479" s="56">
        <f>IF(ISNUMBER(SEARCH("daily max loss",$BG479)),1,0)</f>
        <v>0</v>
      </c>
    </row>
    <row r="480" ht="18" customHeight="1">
      <c r="A480" s="38" t="n"/>
      <c r="B480" s="39" t="n"/>
      <c r="C480" s="40" t="n"/>
      <c r="D480" s="41" t="n"/>
      <c r="E480" s="41" t="n"/>
      <c r="F480" s="41" t="n"/>
      <c r="G480" s="41" t="n"/>
      <c r="H480" s="42" t="n"/>
      <c r="I480" s="42" t="n"/>
      <c r="J480" s="42" t="n"/>
      <c r="K480" s="42" t="n"/>
      <c r="L480" s="41" t="n"/>
      <c r="M480" s="41" t="n"/>
      <c r="N480" s="41" t="n"/>
      <c r="O480" s="43" t="n"/>
      <c r="P480" s="43" t="n"/>
      <c r="Q480" s="44" t="str">
        <f>IF($AM480=0,"",IF(ISNUMBER($AK480),$AK480-N($AL480),""))</f>
        <v/>
      </c>
      <c r="R480" s="45" t="str">
        <f>IF(OR($Q480="",NOT(ISNUMBER($V480))),"",$AK480/$V480)</f>
        <v/>
      </c>
      <c r="S480" s="46" t="str">
        <f>IF($Q480="","",IF(AND(ISNUMBER($R480),ABS(N($R480))&lt;N(Settings!$C$8)),"Scratch",IF($Q480&gt;0,"Win",IF($Q480&lt;0,"Loss","Scratch"))))</f>
        <v/>
      </c>
      <c r="T480" s="47" t="str">
        <f>IF(OR($AM480=0,NOT(ISNUMBER($H480)),NOT(ISNUMBER($I480)),NOT(ISNUMBER($J480))),"",IF($H480=$I480,"",ROUND(ABS($J480-$H480)/ABS($H480-$I480),6)))</f>
        <v/>
      </c>
      <c r="U480" s="48" t="str">
        <f>IF(OR($S480&lt;&gt;"Win",NOT(ISNUMBER($T480)),NOT(ISNUMBER($R480))),"",MAX(0,$T480-$R480))</f>
        <v/>
      </c>
      <c r="V480" s="49" t="str">
        <f>IF(OR($AM480=0,NOT(ISNUMBER($H480)),NOT(ISNUMBER($I480)),NOT(ISNUMBER($G480))),"",IF(OR($AG480="",$AH480=""),"",IF(ROUND(ABS($H480-$I480)*ABS($G480)*$AG480*$AH480,6)=0,"",ROUND(ABS($H480-$I480)*ABS($G480)*$AG480*$AH480,6))))</f>
        <v/>
      </c>
      <c r="W480" s="50" t="str">
        <f>IF($AM480=0,"",IF($BG480="","OK",LEFT($BG480,LEN($BG480)-2)))</f>
        <v/>
      </c>
      <c r="X480" s="41" t="n"/>
      <c r="Y480" s="40" t="n"/>
      <c r="Z480" s="41" t="n"/>
      <c r="AA480" s="41" t="n"/>
      <c r="AB480" s="40" t="n"/>
      <c r="AC480" s="51" t="n"/>
      <c r="AD480" s="51" t="n"/>
      <c r="AE480" s="40" t="n"/>
      <c r="AF480" s="52" t="str">
        <f>IF($AM480=0,"",IF($D480&lt;&gt;"",$D480,IF(IFERROR(INDEX(Accounts!$C$7:$C$16,MATCH($C480,Accounts!$B$7:$B$16,0))&amp;"","")&lt;&gt;"",INDEX(Accounts!$C$7:$C$16,MATCH($C480,Accounts!$B$7:$B$16,0)),Settings!$C$6)))</f>
        <v/>
      </c>
      <c r="AG480" s="53" t="str">
        <f>IF($AM480=0,"",IF(AND($BE480&gt;0,N(INDEX(Instruments!$D$6:$D$205,MAX(1,$BE480)))&gt;0),INDEX(Instruments!$D$6:$D$205,MAX(1,$BE480)),IF(N(INDEX(Settings!$D$14:$D$18,$BF480))&gt;0,INDEX(Settings!$D$14:$D$18,$BF480),"")))</f>
        <v/>
      </c>
      <c r="AH480" s="54" t="str">
        <f>IF($AM480=0,"",IF($AF480&lt;&gt;"Forex",1,IF(MID(UPPER(SUBSTITUTE(TRIM($E480),"/","")),4,3)=UPPER(TRIM(Settings!$C$7)),1,IF(LEFT(UPPER(SUBSTITUTE(TRIM($E480),"/","")),3)=UPPER(TRIM(Settings!$C$7)),IF(AND(ISNUMBER($K480),N($K480)&lt;&gt;0),1/$K480,""),""))))</f>
        <v/>
      </c>
      <c r="AI480" s="55" t="str">
        <f>IF($AM480=0,"",IF(OR(NOT(ISNUMBER($H480)),NOT(ISNUMBER($K480)),NOT(ISNUMBER($G480)),$AG480="",$AH480=""),"",ROUND(($K480-$H480)*IF($F480="Short",-1,1)*$G480*$AG480*$AH480,6)))</f>
        <v/>
      </c>
      <c r="AJ480" s="55" t="str">
        <f>IF($AM480=0,"",IF(INDEX(Settings!$E$14:$E$18,$BF480)="% of notional",IF(OR($AG480="",NOT(ISNUMBER($H480)),NOT(ISNUMBER($G480))),"",ROUND(ABS($H480*$G480*$AG480*N($AH480))*IF($L480="Limit",N(INDEX(Settings!$G$14:$G$18,$BF480)),N(INDEX(Settings!$H$14:$H$18,$BF480)))+IF(ISNUMBER($K480),ABS($K480*$G480*$AG480*N($AH480))*IF($M480="Target",N(INDEX(Settings!$G$14:$G$18,$BF480)),N(INDEX(Settings!$H$14:$H$18,$BF480))),0),6)),IF(NOT(ISNUMBER($G480)),"",ROUND(ABS($G480)*2*IF(AND($BE480&gt;0,ISNUMBER(INDEX(Instruments!$G$6:$G$205,MAX(1,$BE480)))),INDEX(Instruments!$G$6:$G$205,MAX(1,$BE480)),N(INDEX(Settings!$F$14:$F$18,$BF480))),6))))</f>
        <v/>
      </c>
      <c r="AK480" s="55" t="str">
        <f>IF($AM480=0,"",IF(ISNUMBER($O480),$O480,$AI480))</f>
        <v/>
      </c>
      <c r="AL480" s="55" t="str">
        <f>IF($AM480=0,"",IF(ISNUMBER($P480),$P480,N($AJ480)))</f>
        <v/>
      </c>
      <c r="AM480" s="56">
        <f>IF(AND($A480&lt;&gt;"",$E480&lt;&gt;"",OR(AND(ISNUMBER($G480),ISNUMBER($H480),ISNUMBER($K480)),ISNUMBER($O480))),1,0)</f>
        <v>0</v>
      </c>
      <c r="AN480" s="57" t="str">
        <f>IF($A480="","",$A480-WEEKDAY($A480,3))</f>
        <v/>
      </c>
      <c r="AO480" s="56" t="str">
        <f>IF($A480="","",WEEKDAY($A480,2))</f>
        <v/>
      </c>
      <c r="AP480" s="55" t="str">
        <f>IF(OR($AM480=0,$C480=""),"",IFERROR(N(INDEX(Accounts!$E$7:$E$16,MATCH($C480,Accounts!$B$7:$B$16,0))),0)+SUMIFS($Q$6:$Q480,$C$6:$C480,$C480))</f>
        <v/>
      </c>
      <c r="AQ480" s="55" t="str">
        <f>IF(OR($AM480=0,$C480=""),"",SUMIFS($Q$6:$Q$1005,$C$6:$C$1005,$C480,$A$6:$A$1005,$A480))</f>
        <v/>
      </c>
      <c r="AR480" s="55" t="str">
        <f>IF(OR($AM480=0,$C480=""),"",IFERROR(N(INDEX(Accounts!$E$7:$E$16,MATCH($C480,Accounts!$B$7:$B$16,0))),0)+SUMIFS($Q$6:$Q$1005,$C$6:$C$1005,$C480,$A$6:$A$1005,"&lt;="&amp;$A480))</f>
        <v/>
      </c>
      <c r="AS480" s="56">
        <f>IF(OR($AM480=0,$Q480=""),0,IF(AND($A480&gt;=Lists!$W$6,$A480&lt;=Lists!$W$7,OR(Dashboard!$D$6="All accounts",$C480=Dashboard!$D$6),OR(Dashboard!$D$7="All markets",$AF480=Dashboard!$D$7)),1,0))</f>
        <v>0</v>
      </c>
      <c r="AT480" s="55">
        <f>IF($AS480=1,N(AT479)+$Q480,N(AT479))</f>
        <v>1187.10688</v>
      </c>
      <c r="AU480" s="55">
        <f>MAX(N(AU479),$AT480)</f>
        <v>1187.10688</v>
      </c>
      <c r="AV480" s="55">
        <f>$AT480-$AU480</f>
        <v>0</v>
      </c>
      <c r="AW480" s="56">
        <f>IF($AS480=1,IF($S480="Win",N(AW479)+1,IF($S480="Loss",0,N(AW479))),N(AW479))</f>
        <v>5</v>
      </c>
      <c r="AX480" s="56">
        <f>IF($AS480=1,IF($S480="Loss",N(AX479)+1,IF($S480="Win",0,N(AX479))),N(AX479))</f>
        <v>0</v>
      </c>
      <c r="AY480" s="56" t="str">
        <f>IF($AS480=1,COUNTIF($AS$6:$AS480,1),"")</f>
        <v/>
      </c>
      <c r="AZ480" s="56">
        <f>MIN(474,N(Lists!$W$8))</f>
        <v>28</v>
      </c>
      <c r="BA480" s="56">
        <f>IF($AS480=1,IF(COUNTIFS($A$6:$A480,$A480,$AS$6:$AS480,1)=1,1,0),0)</f>
        <v>0</v>
      </c>
      <c r="BB480" s="55" t="str">
        <f>IF($BA480=1,SUMIFS($Q$6:$Q$1005,$A$6:$A$1005,$A480,$AS$6:$AS$1005,1),"")</f>
        <v/>
      </c>
      <c r="BC480" s="56">
        <f>IF(ISNUMBER($R480),1,0)</f>
        <v>0</v>
      </c>
      <c r="BD480" s="55" t="str">
        <f>IF(ISNUMBER($U480),$U480*$V480,"")</f>
        <v/>
      </c>
      <c r="BE480" s="56" t="str">
        <f>IF($AM480=0,"",IFERROR(MATCH($AF480&amp;"|"&amp;UPPER(TRIM($E480)),Lists!$A$6:$A$205,0),0))</f>
        <v/>
      </c>
      <c r="BF480" s="56" t="str">
        <f>IF($AM480=0,"",IFERROR(MATCH($AF480,Settings!$B$14:$B$18,0),IFERROR(MATCH(Settings!$C$6,Settings!$B$14:$B$18,0),1)))</f>
        <v/>
      </c>
      <c r="BG480" s="58" t="str">
        <f>IF($AM480=0,"",IF(NOT(ISNUMBER($I480)),"No stop; ","")&amp;IF(AND(ISNUMBER($H480),ISNUMBER($I480)),IF(OR(AND($F480&lt;&gt;"Short",$I480&gt;=$H480),AND($F480="Short",$I480&lt;=$H480)),"Stop on wrong side; ",""),"")&amp;IF($F480="","No direction; ","")&amp;IF(AND(ISNUMBER(Settings!$C$22),ISNUMBER($V480)),IF($V480&gt;Settings!$C$22,"Risk over max $; ",""),"")&amp;IF(AND(ISNUMBER(Settings!$C$23),ISNUMBER($V480),ISNUMBER($AP480),IFERROR(N(INDEX(Accounts!$E$7:$E$16,MATCH($C480,Accounts!$B$7:$B$16,0))),0)&gt;0),IF($V480&gt;Settings!$C$23*($AP480-N($Q480)),"Risk over max %; ",""),"")&amp;IF(AND(ISNUMBER(Settings!$C$24),ISNUMBER($N480)),IF($N480&gt;Settings!$C$24,"Leverage over max; ",""),"")&amp;IF(AND(ISNUMBER(Settings!$C$27),ISNUMBER($T480)),IF($T480&lt;Settings!$C$27,"R:R below min; ",""),"")&amp;IF(ISNUMBER(Settings!$C$25),IF(COUNTIFS($A$6:$A480,$A480,$AM$6:$AM480,1)&gt;Settings!$C$25,"Over max trades/day; ",""),"")&amp;IF(ISNUMBER(Settings!$C$26),IF(SUMIFS($Q$5:$Q479,$A$5:$A479,$A480)&lt;=-Settings!$C$26,"Traded after daily max loss; ",""),"")&amp;IF(AND($AG480="",NOT(ISNUMBER($O480))),"Symbol not in Instruments; ","")&amp;IF(AND($AH480="",NOT(ISNUMBER($O480))),"Forex cross: type Gross P&amp;L; ",""))</f>
        <v/>
      </c>
      <c r="BH480" s="56">
        <f>IF(ISNUMBER($Q480),1,0)</f>
        <v>0</v>
      </c>
      <c r="BI480" s="56">
        <f>IF($Y480="",0,1)</f>
        <v>0</v>
      </c>
      <c r="BJ480" s="56">
        <f>IF($AB480="",0,1)</f>
        <v>0</v>
      </c>
      <c r="BK480" s="56">
        <f>IF(AND($BH480=1,$W480&lt;&gt;"OK"),1,0)</f>
        <v>0</v>
      </c>
      <c r="BL480" s="55">
        <f>IF(N($AZ480)=0,0,IFERROR(INDEX($AT$6:$AT$1005,MATCH($AZ480,$AY$6:$AY$1005,0)),0))</f>
        <v>1187.10688</v>
      </c>
      <c r="BM480" s="56">
        <f>IF(ISNUMBER(SEARCH("daily max loss",$BG480)),1,0)</f>
        <v>0</v>
      </c>
    </row>
    <row r="481" ht="18" customHeight="1">
      <c r="A481" s="38" t="n"/>
      <c r="B481" s="39" t="n"/>
      <c r="C481" s="40" t="n"/>
      <c r="D481" s="41" t="n"/>
      <c r="E481" s="41" t="n"/>
      <c r="F481" s="41" t="n"/>
      <c r="G481" s="41" t="n"/>
      <c r="H481" s="42" t="n"/>
      <c r="I481" s="42" t="n"/>
      <c r="J481" s="42" t="n"/>
      <c r="K481" s="42" t="n"/>
      <c r="L481" s="41" t="n"/>
      <c r="M481" s="41" t="n"/>
      <c r="N481" s="41" t="n"/>
      <c r="O481" s="43" t="n"/>
      <c r="P481" s="43" t="n"/>
      <c r="Q481" s="44" t="str">
        <f>IF($AM481=0,"",IF(ISNUMBER($AK481),$AK481-N($AL481),""))</f>
        <v/>
      </c>
      <c r="R481" s="45" t="str">
        <f>IF(OR($Q481="",NOT(ISNUMBER($V481))),"",$AK481/$V481)</f>
        <v/>
      </c>
      <c r="S481" s="46" t="str">
        <f>IF($Q481="","",IF(AND(ISNUMBER($R481),ABS(N($R481))&lt;N(Settings!$C$8)),"Scratch",IF($Q481&gt;0,"Win",IF($Q481&lt;0,"Loss","Scratch"))))</f>
        <v/>
      </c>
      <c r="T481" s="47" t="str">
        <f>IF(OR($AM481=0,NOT(ISNUMBER($H481)),NOT(ISNUMBER($I481)),NOT(ISNUMBER($J481))),"",IF($H481=$I481,"",ROUND(ABS($J481-$H481)/ABS($H481-$I481),6)))</f>
        <v/>
      </c>
      <c r="U481" s="48" t="str">
        <f>IF(OR($S481&lt;&gt;"Win",NOT(ISNUMBER($T481)),NOT(ISNUMBER($R481))),"",MAX(0,$T481-$R481))</f>
        <v/>
      </c>
      <c r="V481" s="49" t="str">
        <f>IF(OR($AM481=0,NOT(ISNUMBER($H481)),NOT(ISNUMBER($I481)),NOT(ISNUMBER($G481))),"",IF(OR($AG481="",$AH481=""),"",IF(ROUND(ABS($H481-$I481)*ABS($G481)*$AG481*$AH481,6)=0,"",ROUND(ABS($H481-$I481)*ABS($G481)*$AG481*$AH481,6))))</f>
        <v/>
      </c>
      <c r="W481" s="50" t="str">
        <f>IF($AM481=0,"",IF($BG481="","OK",LEFT($BG481,LEN($BG481)-2)))</f>
        <v/>
      </c>
      <c r="X481" s="41" t="n"/>
      <c r="Y481" s="40" t="n"/>
      <c r="Z481" s="41" t="n"/>
      <c r="AA481" s="41" t="n"/>
      <c r="AB481" s="40" t="n"/>
      <c r="AC481" s="51" t="n"/>
      <c r="AD481" s="51" t="n"/>
      <c r="AE481" s="40" t="n"/>
      <c r="AF481" s="52" t="str">
        <f>IF($AM481=0,"",IF($D481&lt;&gt;"",$D481,IF(IFERROR(INDEX(Accounts!$C$7:$C$16,MATCH($C481,Accounts!$B$7:$B$16,0))&amp;"","")&lt;&gt;"",INDEX(Accounts!$C$7:$C$16,MATCH($C481,Accounts!$B$7:$B$16,0)),Settings!$C$6)))</f>
        <v/>
      </c>
      <c r="AG481" s="53" t="str">
        <f>IF($AM481=0,"",IF(AND($BE481&gt;0,N(INDEX(Instruments!$D$6:$D$205,MAX(1,$BE481)))&gt;0),INDEX(Instruments!$D$6:$D$205,MAX(1,$BE481)),IF(N(INDEX(Settings!$D$14:$D$18,$BF481))&gt;0,INDEX(Settings!$D$14:$D$18,$BF481),"")))</f>
        <v/>
      </c>
      <c r="AH481" s="54" t="str">
        <f>IF($AM481=0,"",IF($AF481&lt;&gt;"Forex",1,IF(MID(UPPER(SUBSTITUTE(TRIM($E481),"/","")),4,3)=UPPER(TRIM(Settings!$C$7)),1,IF(LEFT(UPPER(SUBSTITUTE(TRIM($E481),"/","")),3)=UPPER(TRIM(Settings!$C$7)),IF(AND(ISNUMBER($K481),N($K481)&lt;&gt;0),1/$K481,""),""))))</f>
        <v/>
      </c>
      <c r="AI481" s="55" t="str">
        <f>IF($AM481=0,"",IF(OR(NOT(ISNUMBER($H481)),NOT(ISNUMBER($K481)),NOT(ISNUMBER($G481)),$AG481="",$AH481=""),"",ROUND(($K481-$H481)*IF($F481="Short",-1,1)*$G481*$AG481*$AH481,6)))</f>
        <v/>
      </c>
      <c r="AJ481" s="55" t="str">
        <f>IF($AM481=0,"",IF(INDEX(Settings!$E$14:$E$18,$BF481)="% of notional",IF(OR($AG481="",NOT(ISNUMBER($H481)),NOT(ISNUMBER($G481))),"",ROUND(ABS($H481*$G481*$AG481*N($AH481))*IF($L481="Limit",N(INDEX(Settings!$G$14:$G$18,$BF481)),N(INDEX(Settings!$H$14:$H$18,$BF481)))+IF(ISNUMBER($K481),ABS($K481*$G481*$AG481*N($AH481))*IF($M481="Target",N(INDEX(Settings!$G$14:$G$18,$BF481)),N(INDEX(Settings!$H$14:$H$18,$BF481))),0),6)),IF(NOT(ISNUMBER($G481)),"",ROUND(ABS($G481)*2*IF(AND($BE481&gt;0,ISNUMBER(INDEX(Instruments!$G$6:$G$205,MAX(1,$BE481)))),INDEX(Instruments!$G$6:$G$205,MAX(1,$BE481)),N(INDEX(Settings!$F$14:$F$18,$BF481))),6))))</f>
        <v/>
      </c>
      <c r="AK481" s="55" t="str">
        <f>IF($AM481=0,"",IF(ISNUMBER($O481),$O481,$AI481))</f>
        <v/>
      </c>
      <c r="AL481" s="55" t="str">
        <f>IF($AM481=0,"",IF(ISNUMBER($P481),$P481,N($AJ481)))</f>
        <v/>
      </c>
      <c r="AM481" s="56">
        <f>IF(AND($A481&lt;&gt;"",$E481&lt;&gt;"",OR(AND(ISNUMBER($G481),ISNUMBER($H481),ISNUMBER($K481)),ISNUMBER($O481))),1,0)</f>
        <v>0</v>
      </c>
      <c r="AN481" s="57" t="str">
        <f>IF($A481="","",$A481-WEEKDAY($A481,3))</f>
        <v/>
      </c>
      <c r="AO481" s="56" t="str">
        <f>IF($A481="","",WEEKDAY($A481,2))</f>
        <v/>
      </c>
      <c r="AP481" s="55" t="str">
        <f>IF(OR($AM481=0,$C481=""),"",IFERROR(N(INDEX(Accounts!$E$7:$E$16,MATCH($C481,Accounts!$B$7:$B$16,0))),0)+SUMIFS($Q$6:$Q481,$C$6:$C481,$C481))</f>
        <v/>
      </c>
      <c r="AQ481" s="55" t="str">
        <f>IF(OR($AM481=0,$C481=""),"",SUMIFS($Q$6:$Q$1005,$C$6:$C$1005,$C481,$A$6:$A$1005,$A481))</f>
        <v/>
      </c>
      <c r="AR481" s="55" t="str">
        <f>IF(OR($AM481=0,$C481=""),"",IFERROR(N(INDEX(Accounts!$E$7:$E$16,MATCH($C481,Accounts!$B$7:$B$16,0))),0)+SUMIFS($Q$6:$Q$1005,$C$6:$C$1005,$C481,$A$6:$A$1005,"&lt;="&amp;$A481))</f>
        <v/>
      </c>
      <c r="AS481" s="56">
        <f>IF(OR($AM481=0,$Q481=""),0,IF(AND($A481&gt;=Lists!$W$6,$A481&lt;=Lists!$W$7,OR(Dashboard!$D$6="All accounts",$C481=Dashboard!$D$6),OR(Dashboard!$D$7="All markets",$AF481=Dashboard!$D$7)),1,0))</f>
        <v>0</v>
      </c>
      <c r="AT481" s="55">
        <f>IF($AS481=1,N(AT480)+$Q481,N(AT480))</f>
        <v>1187.10688</v>
      </c>
      <c r="AU481" s="55">
        <f>MAX(N(AU480),$AT481)</f>
        <v>1187.10688</v>
      </c>
      <c r="AV481" s="55">
        <f>$AT481-$AU481</f>
        <v>0</v>
      </c>
      <c r="AW481" s="56">
        <f>IF($AS481=1,IF($S481="Win",N(AW480)+1,IF($S481="Loss",0,N(AW480))),N(AW480))</f>
        <v>5</v>
      </c>
      <c r="AX481" s="56">
        <f>IF($AS481=1,IF($S481="Loss",N(AX480)+1,IF($S481="Win",0,N(AX480))),N(AX480))</f>
        <v>0</v>
      </c>
      <c r="AY481" s="56" t="str">
        <f>IF($AS481=1,COUNTIF($AS$6:$AS481,1),"")</f>
        <v/>
      </c>
      <c r="AZ481" s="56">
        <f>MIN(475,N(Lists!$W$8))</f>
        <v>28</v>
      </c>
      <c r="BA481" s="56">
        <f>IF($AS481=1,IF(COUNTIFS($A$6:$A481,$A481,$AS$6:$AS481,1)=1,1,0),0)</f>
        <v>0</v>
      </c>
      <c r="BB481" s="55" t="str">
        <f>IF($BA481=1,SUMIFS($Q$6:$Q$1005,$A$6:$A$1005,$A481,$AS$6:$AS$1005,1),"")</f>
        <v/>
      </c>
      <c r="BC481" s="56">
        <f>IF(ISNUMBER($R481),1,0)</f>
        <v>0</v>
      </c>
      <c r="BD481" s="55" t="str">
        <f>IF(ISNUMBER($U481),$U481*$V481,"")</f>
        <v/>
      </c>
      <c r="BE481" s="56" t="str">
        <f>IF($AM481=0,"",IFERROR(MATCH($AF481&amp;"|"&amp;UPPER(TRIM($E481)),Lists!$A$6:$A$205,0),0))</f>
        <v/>
      </c>
      <c r="BF481" s="56" t="str">
        <f>IF($AM481=0,"",IFERROR(MATCH($AF481,Settings!$B$14:$B$18,0),IFERROR(MATCH(Settings!$C$6,Settings!$B$14:$B$18,0),1)))</f>
        <v/>
      </c>
      <c r="BG481" s="58" t="str">
        <f>IF($AM481=0,"",IF(NOT(ISNUMBER($I481)),"No stop; ","")&amp;IF(AND(ISNUMBER($H481),ISNUMBER($I481)),IF(OR(AND($F481&lt;&gt;"Short",$I481&gt;=$H481),AND($F481="Short",$I481&lt;=$H481)),"Stop on wrong side; ",""),"")&amp;IF($F481="","No direction; ","")&amp;IF(AND(ISNUMBER(Settings!$C$22),ISNUMBER($V481)),IF($V481&gt;Settings!$C$22,"Risk over max $; ",""),"")&amp;IF(AND(ISNUMBER(Settings!$C$23),ISNUMBER($V481),ISNUMBER($AP481),IFERROR(N(INDEX(Accounts!$E$7:$E$16,MATCH($C481,Accounts!$B$7:$B$16,0))),0)&gt;0),IF($V481&gt;Settings!$C$23*($AP481-N($Q481)),"Risk over max %; ",""),"")&amp;IF(AND(ISNUMBER(Settings!$C$24),ISNUMBER($N481)),IF($N481&gt;Settings!$C$24,"Leverage over max; ",""),"")&amp;IF(AND(ISNUMBER(Settings!$C$27),ISNUMBER($T481)),IF($T481&lt;Settings!$C$27,"R:R below min; ",""),"")&amp;IF(ISNUMBER(Settings!$C$25),IF(COUNTIFS($A$6:$A481,$A481,$AM$6:$AM481,1)&gt;Settings!$C$25,"Over max trades/day; ",""),"")&amp;IF(ISNUMBER(Settings!$C$26),IF(SUMIFS($Q$5:$Q480,$A$5:$A480,$A481)&lt;=-Settings!$C$26,"Traded after daily max loss; ",""),"")&amp;IF(AND($AG481="",NOT(ISNUMBER($O481))),"Symbol not in Instruments; ","")&amp;IF(AND($AH481="",NOT(ISNUMBER($O481))),"Forex cross: type Gross P&amp;L; ",""))</f>
        <v/>
      </c>
      <c r="BH481" s="56">
        <f>IF(ISNUMBER($Q481),1,0)</f>
        <v>0</v>
      </c>
      <c r="BI481" s="56">
        <f>IF($Y481="",0,1)</f>
        <v>0</v>
      </c>
      <c r="BJ481" s="56">
        <f>IF($AB481="",0,1)</f>
        <v>0</v>
      </c>
      <c r="BK481" s="56">
        <f>IF(AND($BH481=1,$W481&lt;&gt;"OK"),1,0)</f>
        <v>0</v>
      </c>
      <c r="BL481" s="55">
        <f>IF(N($AZ481)=0,0,IFERROR(INDEX($AT$6:$AT$1005,MATCH($AZ481,$AY$6:$AY$1005,0)),0))</f>
        <v>1187.10688</v>
      </c>
      <c r="BM481" s="56">
        <f>IF(ISNUMBER(SEARCH("daily max loss",$BG481)),1,0)</f>
        <v>0</v>
      </c>
    </row>
    <row r="482" ht="18" customHeight="1">
      <c r="A482" s="38" t="n"/>
      <c r="B482" s="39" t="n"/>
      <c r="C482" s="40" t="n"/>
      <c r="D482" s="41" t="n"/>
      <c r="E482" s="41" t="n"/>
      <c r="F482" s="41" t="n"/>
      <c r="G482" s="41" t="n"/>
      <c r="H482" s="42" t="n"/>
      <c r="I482" s="42" t="n"/>
      <c r="J482" s="42" t="n"/>
      <c r="K482" s="42" t="n"/>
      <c r="L482" s="41" t="n"/>
      <c r="M482" s="41" t="n"/>
      <c r="N482" s="41" t="n"/>
      <c r="O482" s="43" t="n"/>
      <c r="P482" s="43" t="n"/>
      <c r="Q482" s="44" t="str">
        <f>IF($AM482=0,"",IF(ISNUMBER($AK482),$AK482-N($AL482),""))</f>
        <v/>
      </c>
      <c r="R482" s="45" t="str">
        <f>IF(OR($Q482="",NOT(ISNUMBER($V482))),"",$AK482/$V482)</f>
        <v/>
      </c>
      <c r="S482" s="46" t="str">
        <f>IF($Q482="","",IF(AND(ISNUMBER($R482),ABS(N($R482))&lt;N(Settings!$C$8)),"Scratch",IF($Q482&gt;0,"Win",IF($Q482&lt;0,"Loss","Scratch"))))</f>
        <v/>
      </c>
      <c r="T482" s="47" t="str">
        <f>IF(OR($AM482=0,NOT(ISNUMBER($H482)),NOT(ISNUMBER($I482)),NOT(ISNUMBER($J482))),"",IF($H482=$I482,"",ROUND(ABS($J482-$H482)/ABS($H482-$I482),6)))</f>
        <v/>
      </c>
      <c r="U482" s="48" t="str">
        <f>IF(OR($S482&lt;&gt;"Win",NOT(ISNUMBER($T482)),NOT(ISNUMBER($R482))),"",MAX(0,$T482-$R482))</f>
        <v/>
      </c>
      <c r="V482" s="49" t="str">
        <f>IF(OR($AM482=0,NOT(ISNUMBER($H482)),NOT(ISNUMBER($I482)),NOT(ISNUMBER($G482))),"",IF(OR($AG482="",$AH482=""),"",IF(ROUND(ABS($H482-$I482)*ABS($G482)*$AG482*$AH482,6)=0,"",ROUND(ABS($H482-$I482)*ABS($G482)*$AG482*$AH482,6))))</f>
        <v/>
      </c>
      <c r="W482" s="50" t="str">
        <f>IF($AM482=0,"",IF($BG482="","OK",LEFT($BG482,LEN($BG482)-2)))</f>
        <v/>
      </c>
      <c r="X482" s="41" t="n"/>
      <c r="Y482" s="40" t="n"/>
      <c r="Z482" s="41" t="n"/>
      <c r="AA482" s="41" t="n"/>
      <c r="AB482" s="40" t="n"/>
      <c r="AC482" s="51" t="n"/>
      <c r="AD482" s="51" t="n"/>
      <c r="AE482" s="40" t="n"/>
      <c r="AF482" s="52" t="str">
        <f>IF($AM482=0,"",IF($D482&lt;&gt;"",$D482,IF(IFERROR(INDEX(Accounts!$C$7:$C$16,MATCH($C482,Accounts!$B$7:$B$16,0))&amp;"","")&lt;&gt;"",INDEX(Accounts!$C$7:$C$16,MATCH($C482,Accounts!$B$7:$B$16,0)),Settings!$C$6)))</f>
        <v/>
      </c>
      <c r="AG482" s="53" t="str">
        <f>IF($AM482=0,"",IF(AND($BE482&gt;0,N(INDEX(Instruments!$D$6:$D$205,MAX(1,$BE482)))&gt;0),INDEX(Instruments!$D$6:$D$205,MAX(1,$BE482)),IF(N(INDEX(Settings!$D$14:$D$18,$BF482))&gt;0,INDEX(Settings!$D$14:$D$18,$BF482),"")))</f>
        <v/>
      </c>
      <c r="AH482" s="54" t="str">
        <f>IF($AM482=0,"",IF($AF482&lt;&gt;"Forex",1,IF(MID(UPPER(SUBSTITUTE(TRIM($E482),"/","")),4,3)=UPPER(TRIM(Settings!$C$7)),1,IF(LEFT(UPPER(SUBSTITUTE(TRIM($E482),"/","")),3)=UPPER(TRIM(Settings!$C$7)),IF(AND(ISNUMBER($K482),N($K482)&lt;&gt;0),1/$K482,""),""))))</f>
        <v/>
      </c>
      <c r="AI482" s="55" t="str">
        <f>IF($AM482=0,"",IF(OR(NOT(ISNUMBER($H482)),NOT(ISNUMBER($K482)),NOT(ISNUMBER($G482)),$AG482="",$AH482=""),"",ROUND(($K482-$H482)*IF($F482="Short",-1,1)*$G482*$AG482*$AH482,6)))</f>
        <v/>
      </c>
      <c r="AJ482" s="55" t="str">
        <f>IF($AM482=0,"",IF(INDEX(Settings!$E$14:$E$18,$BF482)="% of notional",IF(OR($AG482="",NOT(ISNUMBER($H482)),NOT(ISNUMBER($G482))),"",ROUND(ABS($H482*$G482*$AG482*N($AH482))*IF($L482="Limit",N(INDEX(Settings!$G$14:$G$18,$BF482)),N(INDEX(Settings!$H$14:$H$18,$BF482)))+IF(ISNUMBER($K482),ABS($K482*$G482*$AG482*N($AH482))*IF($M482="Target",N(INDEX(Settings!$G$14:$G$18,$BF482)),N(INDEX(Settings!$H$14:$H$18,$BF482))),0),6)),IF(NOT(ISNUMBER($G482)),"",ROUND(ABS($G482)*2*IF(AND($BE482&gt;0,ISNUMBER(INDEX(Instruments!$G$6:$G$205,MAX(1,$BE482)))),INDEX(Instruments!$G$6:$G$205,MAX(1,$BE482)),N(INDEX(Settings!$F$14:$F$18,$BF482))),6))))</f>
        <v/>
      </c>
      <c r="AK482" s="55" t="str">
        <f>IF($AM482=0,"",IF(ISNUMBER($O482),$O482,$AI482))</f>
        <v/>
      </c>
      <c r="AL482" s="55" t="str">
        <f>IF($AM482=0,"",IF(ISNUMBER($P482),$P482,N($AJ482)))</f>
        <v/>
      </c>
      <c r="AM482" s="56">
        <f>IF(AND($A482&lt;&gt;"",$E482&lt;&gt;"",OR(AND(ISNUMBER($G482),ISNUMBER($H482),ISNUMBER($K482)),ISNUMBER($O482))),1,0)</f>
        <v>0</v>
      </c>
      <c r="AN482" s="57" t="str">
        <f>IF($A482="","",$A482-WEEKDAY($A482,3))</f>
        <v/>
      </c>
      <c r="AO482" s="56" t="str">
        <f>IF($A482="","",WEEKDAY($A482,2))</f>
        <v/>
      </c>
      <c r="AP482" s="55" t="str">
        <f>IF(OR($AM482=0,$C482=""),"",IFERROR(N(INDEX(Accounts!$E$7:$E$16,MATCH($C482,Accounts!$B$7:$B$16,0))),0)+SUMIFS($Q$6:$Q482,$C$6:$C482,$C482))</f>
        <v/>
      </c>
      <c r="AQ482" s="55" t="str">
        <f>IF(OR($AM482=0,$C482=""),"",SUMIFS($Q$6:$Q$1005,$C$6:$C$1005,$C482,$A$6:$A$1005,$A482))</f>
        <v/>
      </c>
      <c r="AR482" s="55" t="str">
        <f>IF(OR($AM482=0,$C482=""),"",IFERROR(N(INDEX(Accounts!$E$7:$E$16,MATCH($C482,Accounts!$B$7:$B$16,0))),0)+SUMIFS($Q$6:$Q$1005,$C$6:$C$1005,$C482,$A$6:$A$1005,"&lt;="&amp;$A482))</f>
        <v/>
      </c>
      <c r="AS482" s="56">
        <f>IF(OR($AM482=0,$Q482=""),0,IF(AND($A482&gt;=Lists!$W$6,$A482&lt;=Lists!$W$7,OR(Dashboard!$D$6="All accounts",$C482=Dashboard!$D$6),OR(Dashboard!$D$7="All markets",$AF482=Dashboard!$D$7)),1,0))</f>
        <v>0</v>
      </c>
      <c r="AT482" s="55">
        <f>IF($AS482=1,N(AT481)+$Q482,N(AT481))</f>
        <v>1187.10688</v>
      </c>
      <c r="AU482" s="55">
        <f>MAX(N(AU481),$AT482)</f>
        <v>1187.10688</v>
      </c>
      <c r="AV482" s="55">
        <f>$AT482-$AU482</f>
        <v>0</v>
      </c>
      <c r="AW482" s="56">
        <f>IF($AS482=1,IF($S482="Win",N(AW481)+1,IF($S482="Loss",0,N(AW481))),N(AW481))</f>
        <v>5</v>
      </c>
      <c r="AX482" s="56">
        <f>IF($AS482=1,IF($S482="Loss",N(AX481)+1,IF($S482="Win",0,N(AX481))),N(AX481))</f>
        <v>0</v>
      </c>
      <c r="AY482" s="56" t="str">
        <f>IF($AS482=1,COUNTIF($AS$6:$AS482,1),"")</f>
        <v/>
      </c>
      <c r="AZ482" s="56">
        <f>MIN(476,N(Lists!$W$8))</f>
        <v>28</v>
      </c>
      <c r="BA482" s="56">
        <f>IF($AS482=1,IF(COUNTIFS($A$6:$A482,$A482,$AS$6:$AS482,1)=1,1,0),0)</f>
        <v>0</v>
      </c>
      <c r="BB482" s="55" t="str">
        <f>IF($BA482=1,SUMIFS($Q$6:$Q$1005,$A$6:$A$1005,$A482,$AS$6:$AS$1005,1),"")</f>
        <v/>
      </c>
      <c r="BC482" s="56">
        <f>IF(ISNUMBER($R482),1,0)</f>
        <v>0</v>
      </c>
      <c r="BD482" s="55" t="str">
        <f>IF(ISNUMBER($U482),$U482*$V482,"")</f>
        <v/>
      </c>
      <c r="BE482" s="56" t="str">
        <f>IF($AM482=0,"",IFERROR(MATCH($AF482&amp;"|"&amp;UPPER(TRIM($E482)),Lists!$A$6:$A$205,0),0))</f>
        <v/>
      </c>
      <c r="BF482" s="56" t="str">
        <f>IF($AM482=0,"",IFERROR(MATCH($AF482,Settings!$B$14:$B$18,0),IFERROR(MATCH(Settings!$C$6,Settings!$B$14:$B$18,0),1)))</f>
        <v/>
      </c>
      <c r="BG482" s="58" t="str">
        <f>IF($AM482=0,"",IF(NOT(ISNUMBER($I482)),"No stop; ","")&amp;IF(AND(ISNUMBER($H482),ISNUMBER($I482)),IF(OR(AND($F482&lt;&gt;"Short",$I482&gt;=$H482),AND($F482="Short",$I482&lt;=$H482)),"Stop on wrong side; ",""),"")&amp;IF($F482="","No direction; ","")&amp;IF(AND(ISNUMBER(Settings!$C$22),ISNUMBER($V482)),IF($V482&gt;Settings!$C$22,"Risk over max $; ",""),"")&amp;IF(AND(ISNUMBER(Settings!$C$23),ISNUMBER($V482),ISNUMBER($AP482),IFERROR(N(INDEX(Accounts!$E$7:$E$16,MATCH($C482,Accounts!$B$7:$B$16,0))),0)&gt;0),IF($V482&gt;Settings!$C$23*($AP482-N($Q482)),"Risk over max %; ",""),"")&amp;IF(AND(ISNUMBER(Settings!$C$24),ISNUMBER($N482)),IF($N482&gt;Settings!$C$24,"Leverage over max; ",""),"")&amp;IF(AND(ISNUMBER(Settings!$C$27),ISNUMBER($T482)),IF($T482&lt;Settings!$C$27,"R:R below min; ",""),"")&amp;IF(ISNUMBER(Settings!$C$25),IF(COUNTIFS($A$6:$A482,$A482,$AM$6:$AM482,1)&gt;Settings!$C$25,"Over max trades/day; ",""),"")&amp;IF(ISNUMBER(Settings!$C$26),IF(SUMIFS($Q$5:$Q481,$A$5:$A481,$A482)&lt;=-Settings!$C$26,"Traded after daily max loss; ",""),"")&amp;IF(AND($AG482="",NOT(ISNUMBER($O482))),"Symbol not in Instruments; ","")&amp;IF(AND($AH482="",NOT(ISNUMBER($O482))),"Forex cross: type Gross P&amp;L; ",""))</f>
        <v/>
      </c>
      <c r="BH482" s="56">
        <f>IF(ISNUMBER($Q482),1,0)</f>
        <v>0</v>
      </c>
      <c r="BI482" s="56">
        <f>IF($Y482="",0,1)</f>
        <v>0</v>
      </c>
      <c r="BJ482" s="56">
        <f>IF($AB482="",0,1)</f>
        <v>0</v>
      </c>
      <c r="BK482" s="56">
        <f>IF(AND($BH482=1,$W482&lt;&gt;"OK"),1,0)</f>
        <v>0</v>
      </c>
      <c r="BL482" s="55">
        <f>IF(N($AZ482)=0,0,IFERROR(INDEX($AT$6:$AT$1005,MATCH($AZ482,$AY$6:$AY$1005,0)),0))</f>
        <v>1187.10688</v>
      </c>
      <c r="BM482" s="56">
        <f>IF(ISNUMBER(SEARCH("daily max loss",$BG482)),1,0)</f>
        <v>0</v>
      </c>
    </row>
    <row r="483" ht="18" customHeight="1">
      <c r="A483" s="38" t="n"/>
      <c r="B483" s="39" t="n"/>
      <c r="C483" s="40" t="n"/>
      <c r="D483" s="41" t="n"/>
      <c r="E483" s="41" t="n"/>
      <c r="F483" s="41" t="n"/>
      <c r="G483" s="41" t="n"/>
      <c r="H483" s="42" t="n"/>
      <c r="I483" s="42" t="n"/>
      <c r="J483" s="42" t="n"/>
      <c r="K483" s="42" t="n"/>
      <c r="L483" s="41" t="n"/>
      <c r="M483" s="41" t="n"/>
      <c r="N483" s="41" t="n"/>
      <c r="O483" s="43" t="n"/>
      <c r="P483" s="43" t="n"/>
      <c r="Q483" s="44" t="str">
        <f>IF($AM483=0,"",IF(ISNUMBER($AK483),$AK483-N($AL483),""))</f>
        <v/>
      </c>
      <c r="R483" s="45" t="str">
        <f>IF(OR($Q483="",NOT(ISNUMBER($V483))),"",$AK483/$V483)</f>
        <v/>
      </c>
      <c r="S483" s="46" t="str">
        <f>IF($Q483="","",IF(AND(ISNUMBER($R483),ABS(N($R483))&lt;N(Settings!$C$8)),"Scratch",IF($Q483&gt;0,"Win",IF($Q483&lt;0,"Loss","Scratch"))))</f>
        <v/>
      </c>
      <c r="T483" s="47" t="str">
        <f>IF(OR($AM483=0,NOT(ISNUMBER($H483)),NOT(ISNUMBER($I483)),NOT(ISNUMBER($J483))),"",IF($H483=$I483,"",ROUND(ABS($J483-$H483)/ABS($H483-$I483),6)))</f>
        <v/>
      </c>
      <c r="U483" s="48" t="str">
        <f>IF(OR($S483&lt;&gt;"Win",NOT(ISNUMBER($T483)),NOT(ISNUMBER($R483))),"",MAX(0,$T483-$R483))</f>
        <v/>
      </c>
      <c r="V483" s="49" t="str">
        <f>IF(OR($AM483=0,NOT(ISNUMBER($H483)),NOT(ISNUMBER($I483)),NOT(ISNUMBER($G483))),"",IF(OR($AG483="",$AH483=""),"",IF(ROUND(ABS($H483-$I483)*ABS($G483)*$AG483*$AH483,6)=0,"",ROUND(ABS($H483-$I483)*ABS($G483)*$AG483*$AH483,6))))</f>
        <v/>
      </c>
      <c r="W483" s="50" t="str">
        <f>IF($AM483=0,"",IF($BG483="","OK",LEFT($BG483,LEN($BG483)-2)))</f>
        <v/>
      </c>
      <c r="X483" s="41" t="n"/>
      <c r="Y483" s="40" t="n"/>
      <c r="Z483" s="41" t="n"/>
      <c r="AA483" s="41" t="n"/>
      <c r="AB483" s="40" t="n"/>
      <c r="AC483" s="51" t="n"/>
      <c r="AD483" s="51" t="n"/>
      <c r="AE483" s="40" t="n"/>
      <c r="AF483" s="52" t="str">
        <f>IF($AM483=0,"",IF($D483&lt;&gt;"",$D483,IF(IFERROR(INDEX(Accounts!$C$7:$C$16,MATCH($C483,Accounts!$B$7:$B$16,0))&amp;"","")&lt;&gt;"",INDEX(Accounts!$C$7:$C$16,MATCH($C483,Accounts!$B$7:$B$16,0)),Settings!$C$6)))</f>
        <v/>
      </c>
      <c r="AG483" s="53" t="str">
        <f>IF($AM483=0,"",IF(AND($BE483&gt;0,N(INDEX(Instruments!$D$6:$D$205,MAX(1,$BE483)))&gt;0),INDEX(Instruments!$D$6:$D$205,MAX(1,$BE483)),IF(N(INDEX(Settings!$D$14:$D$18,$BF483))&gt;0,INDEX(Settings!$D$14:$D$18,$BF483),"")))</f>
        <v/>
      </c>
      <c r="AH483" s="54" t="str">
        <f>IF($AM483=0,"",IF($AF483&lt;&gt;"Forex",1,IF(MID(UPPER(SUBSTITUTE(TRIM($E483),"/","")),4,3)=UPPER(TRIM(Settings!$C$7)),1,IF(LEFT(UPPER(SUBSTITUTE(TRIM($E483),"/","")),3)=UPPER(TRIM(Settings!$C$7)),IF(AND(ISNUMBER($K483),N($K483)&lt;&gt;0),1/$K483,""),""))))</f>
        <v/>
      </c>
      <c r="AI483" s="55" t="str">
        <f>IF($AM483=0,"",IF(OR(NOT(ISNUMBER($H483)),NOT(ISNUMBER($K483)),NOT(ISNUMBER($G483)),$AG483="",$AH483=""),"",ROUND(($K483-$H483)*IF($F483="Short",-1,1)*$G483*$AG483*$AH483,6)))</f>
        <v/>
      </c>
      <c r="AJ483" s="55" t="str">
        <f>IF($AM483=0,"",IF(INDEX(Settings!$E$14:$E$18,$BF483)="% of notional",IF(OR($AG483="",NOT(ISNUMBER($H483)),NOT(ISNUMBER($G483))),"",ROUND(ABS($H483*$G483*$AG483*N($AH483))*IF($L483="Limit",N(INDEX(Settings!$G$14:$G$18,$BF483)),N(INDEX(Settings!$H$14:$H$18,$BF483)))+IF(ISNUMBER($K483),ABS($K483*$G483*$AG483*N($AH483))*IF($M483="Target",N(INDEX(Settings!$G$14:$G$18,$BF483)),N(INDEX(Settings!$H$14:$H$18,$BF483))),0),6)),IF(NOT(ISNUMBER($G483)),"",ROUND(ABS($G483)*2*IF(AND($BE483&gt;0,ISNUMBER(INDEX(Instruments!$G$6:$G$205,MAX(1,$BE483)))),INDEX(Instruments!$G$6:$G$205,MAX(1,$BE483)),N(INDEX(Settings!$F$14:$F$18,$BF483))),6))))</f>
        <v/>
      </c>
      <c r="AK483" s="55" t="str">
        <f>IF($AM483=0,"",IF(ISNUMBER($O483),$O483,$AI483))</f>
        <v/>
      </c>
      <c r="AL483" s="55" t="str">
        <f>IF($AM483=0,"",IF(ISNUMBER($P483),$P483,N($AJ483)))</f>
        <v/>
      </c>
      <c r="AM483" s="56">
        <f>IF(AND($A483&lt;&gt;"",$E483&lt;&gt;"",OR(AND(ISNUMBER($G483),ISNUMBER($H483),ISNUMBER($K483)),ISNUMBER($O483))),1,0)</f>
        <v>0</v>
      </c>
      <c r="AN483" s="57" t="str">
        <f>IF($A483="","",$A483-WEEKDAY($A483,3))</f>
        <v/>
      </c>
      <c r="AO483" s="56" t="str">
        <f>IF($A483="","",WEEKDAY($A483,2))</f>
        <v/>
      </c>
      <c r="AP483" s="55" t="str">
        <f>IF(OR($AM483=0,$C483=""),"",IFERROR(N(INDEX(Accounts!$E$7:$E$16,MATCH($C483,Accounts!$B$7:$B$16,0))),0)+SUMIFS($Q$6:$Q483,$C$6:$C483,$C483))</f>
        <v/>
      </c>
      <c r="AQ483" s="55" t="str">
        <f>IF(OR($AM483=0,$C483=""),"",SUMIFS($Q$6:$Q$1005,$C$6:$C$1005,$C483,$A$6:$A$1005,$A483))</f>
        <v/>
      </c>
      <c r="AR483" s="55" t="str">
        <f>IF(OR($AM483=0,$C483=""),"",IFERROR(N(INDEX(Accounts!$E$7:$E$16,MATCH($C483,Accounts!$B$7:$B$16,0))),0)+SUMIFS($Q$6:$Q$1005,$C$6:$C$1005,$C483,$A$6:$A$1005,"&lt;="&amp;$A483))</f>
        <v/>
      </c>
      <c r="AS483" s="56">
        <f>IF(OR($AM483=0,$Q483=""),0,IF(AND($A483&gt;=Lists!$W$6,$A483&lt;=Lists!$W$7,OR(Dashboard!$D$6="All accounts",$C483=Dashboard!$D$6),OR(Dashboard!$D$7="All markets",$AF483=Dashboard!$D$7)),1,0))</f>
        <v>0</v>
      </c>
      <c r="AT483" s="55">
        <f>IF($AS483=1,N(AT482)+$Q483,N(AT482))</f>
        <v>1187.10688</v>
      </c>
      <c r="AU483" s="55">
        <f>MAX(N(AU482),$AT483)</f>
        <v>1187.10688</v>
      </c>
      <c r="AV483" s="55">
        <f>$AT483-$AU483</f>
        <v>0</v>
      </c>
      <c r="AW483" s="56">
        <f>IF($AS483=1,IF($S483="Win",N(AW482)+1,IF($S483="Loss",0,N(AW482))),N(AW482))</f>
        <v>5</v>
      </c>
      <c r="AX483" s="56">
        <f>IF($AS483=1,IF($S483="Loss",N(AX482)+1,IF($S483="Win",0,N(AX482))),N(AX482))</f>
        <v>0</v>
      </c>
      <c r="AY483" s="56" t="str">
        <f>IF($AS483=1,COUNTIF($AS$6:$AS483,1),"")</f>
        <v/>
      </c>
      <c r="AZ483" s="56">
        <f>MIN(477,N(Lists!$W$8))</f>
        <v>28</v>
      </c>
      <c r="BA483" s="56">
        <f>IF($AS483=1,IF(COUNTIFS($A$6:$A483,$A483,$AS$6:$AS483,1)=1,1,0),0)</f>
        <v>0</v>
      </c>
      <c r="BB483" s="55" t="str">
        <f>IF($BA483=1,SUMIFS($Q$6:$Q$1005,$A$6:$A$1005,$A483,$AS$6:$AS$1005,1),"")</f>
        <v/>
      </c>
      <c r="BC483" s="56">
        <f>IF(ISNUMBER($R483),1,0)</f>
        <v>0</v>
      </c>
      <c r="BD483" s="55" t="str">
        <f>IF(ISNUMBER($U483),$U483*$V483,"")</f>
        <v/>
      </c>
      <c r="BE483" s="56" t="str">
        <f>IF($AM483=0,"",IFERROR(MATCH($AF483&amp;"|"&amp;UPPER(TRIM($E483)),Lists!$A$6:$A$205,0),0))</f>
        <v/>
      </c>
      <c r="BF483" s="56" t="str">
        <f>IF($AM483=0,"",IFERROR(MATCH($AF483,Settings!$B$14:$B$18,0),IFERROR(MATCH(Settings!$C$6,Settings!$B$14:$B$18,0),1)))</f>
        <v/>
      </c>
      <c r="BG483" s="58" t="str">
        <f>IF($AM483=0,"",IF(NOT(ISNUMBER($I483)),"No stop; ","")&amp;IF(AND(ISNUMBER($H483),ISNUMBER($I483)),IF(OR(AND($F483&lt;&gt;"Short",$I483&gt;=$H483),AND($F483="Short",$I483&lt;=$H483)),"Stop on wrong side; ",""),"")&amp;IF($F483="","No direction; ","")&amp;IF(AND(ISNUMBER(Settings!$C$22),ISNUMBER($V483)),IF($V483&gt;Settings!$C$22,"Risk over max $; ",""),"")&amp;IF(AND(ISNUMBER(Settings!$C$23),ISNUMBER($V483),ISNUMBER($AP483),IFERROR(N(INDEX(Accounts!$E$7:$E$16,MATCH($C483,Accounts!$B$7:$B$16,0))),0)&gt;0),IF($V483&gt;Settings!$C$23*($AP483-N($Q483)),"Risk over max %; ",""),"")&amp;IF(AND(ISNUMBER(Settings!$C$24),ISNUMBER($N483)),IF($N483&gt;Settings!$C$24,"Leverage over max; ",""),"")&amp;IF(AND(ISNUMBER(Settings!$C$27),ISNUMBER($T483)),IF($T483&lt;Settings!$C$27,"R:R below min; ",""),"")&amp;IF(ISNUMBER(Settings!$C$25),IF(COUNTIFS($A$6:$A483,$A483,$AM$6:$AM483,1)&gt;Settings!$C$25,"Over max trades/day; ",""),"")&amp;IF(ISNUMBER(Settings!$C$26),IF(SUMIFS($Q$5:$Q482,$A$5:$A482,$A483)&lt;=-Settings!$C$26,"Traded after daily max loss; ",""),"")&amp;IF(AND($AG483="",NOT(ISNUMBER($O483))),"Symbol not in Instruments; ","")&amp;IF(AND($AH483="",NOT(ISNUMBER($O483))),"Forex cross: type Gross P&amp;L; ",""))</f>
        <v/>
      </c>
      <c r="BH483" s="56">
        <f>IF(ISNUMBER($Q483),1,0)</f>
        <v>0</v>
      </c>
      <c r="BI483" s="56">
        <f>IF($Y483="",0,1)</f>
        <v>0</v>
      </c>
      <c r="BJ483" s="56">
        <f>IF($AB483="",0,1)</f>
        <v>0</v>
      </c>
      <c r="BK483" s="56">
        <f>IF(AND($BH483=1,$W483&lt;&gt;"OK"),1,0)</f>
        <v>0</v>
      </c>
      <c r="BL483" s="55">
        <f>IF(N($AZ483)=0,0,IFERROR(INDEX($AT$6:$AT$1005,MATCH($AZ483,$AY$6:$AY$1005,0)),0))</f>
        <v>1187.10688</v>
      </c>
      <c r="BM483" s="56">
        <f>IF(ISNUMBER(SEARCH("daily max loss",$BG483)),1,0)</f>
        <v>0</v>
      </c>
    </row>
    <row r="484" ht="18" customHeight="1">
      <c r="A484" s="38" t="n"/>
      <c r="B484" s="39" t="n"/>
      <c r="C484" s="40" t="n"/>
      <c r="D484" s="41" t="n"/>
      <c r="E484" s="41" t="n"/>
      <c r="F484" s="41" t="n"/>
      <c r="G484" s="41" t="n"/>
      <c r="H484" s="42" t="n"/>
      <c r="I484" s="42" t="n"/>
      <c r="J484" s="42" t="n"/>
      <c r="K484" s="42" t="n"/>
      <c r="L484" s="41" t="n"/>
      <c r="M484" s="41" t="n"/>
      <c r="N484" s="41" t="n"/>
      <c r="O484" s="43" t="n"/>
      <c r="P484" s="43" t="n"/>
      <c r="Q484" s="44" t="str">
        <f>IF($AM484=0,"",IF(ISNUMBER($AK484),$AK484-N($AL484),""))</f>
        <v/>
      </c>
      <c r="R484" s="45" t="str">
        <f>IF(OR($Q484="",NOT(ISNUMBER($V484))),"",$AK484/$V484)</f>
        <v/>
      </c>
      <c r="S484" s="46" t="str">
        <f>IF($Q484="","",IF(AND(ISNUMBER($R484),ABS(N($R484))&lt;N(Settings!$C$8)),"Scratch",IF($Q484&gt;0,"Win",IF($Q484&lt;0,"Loss","Scratch"))))</f>
        <v/>
      </c>
      <c r="T484" s="47" t="str">
        <f>IF(OR($AM484=0,NOT(ISNUMBER($H484)),NOT(ISNUMBER($I484)),NOT(ISNUMBER($J484))),"",IF($H484=$I484,"",ROUND(ABS($J484-$H484)/ABS($H484-$I484),6)))</f>
        <v/>
      </c>
      <c r="U484" s="48" t="str">
        <f>IF(OR($S484&lt;&gt;"Win",NOT(ISNUMBER($T484)),NOT(ISNUMBER($R484))),"",MAX(0,$T484-$R484))</f>
        <v/>
      </c>
      <c r="V484" s="49" t="str">
        <f>IF(OR($AM484=0,NOT(ISNUMBER($H484)),NOT(ISNUMBER($I484)),NOT(ISNUMBER($G484))),"",IF(OR($AG484="",$AH484=""),"",IF(ROUND(ABS($H484-$I484)*ABS($G484)*$AG484*$AH484,6)=0,"",ROUND(ABS($H484-$I484)*ABS($G484)*$AG484*$AH484,6))))</f>
        <v/>
      </c>
      <c r="W484" s="50" t="str">
        <f>IF($AM484=0,"",IF($BG484="","OK",LEFT($BG484,LEN($BG484)-2)))</f>
        <v/>
      </c>
      <c r="X484" s="41" t="n"/>
      <c r="Y484" s="40" t="n"/>
      <c r="Z484" s="41" t="n"/>
      <c r="AA484" s="41" t="n"/>
      <c r="AB484" s="40" t="n"/>
      <c r="AC484" s="51" t="n"/>
      <c r="AD484" s="51" t="n"/>
      <c r="AE484" s="40" t="n"/>
      <c r="AF484" s="52" t="str">
        <f>IF($AM484=0,"",IF($D484&lt;&gt;"",$D484,IF(IFERROR(INDEX(Accounts!$C$7:$C$16,MATCH($C484,Accounts!$B$7:$B$16,0))&amp;"","")&lt;&gt;"",INDEX(Accounts!$C$7:$C$16,MATCH($C484,Accounts!$B$7:$B$16,0)),Settings!$C$6)))</f>
        <v/>
      </c>
      <c r="AG484" s="53" t="str">
        <f>IF($AM484=0,"",IF(AND($BE484&gt;0,N(INDEX(Instruments!$D$6:$D$205,MAX(1,$BE484)))&gt;0),INDEX(Instruments!$D$6:$D$205,MAX(1,$BE484)),IF(N(INDEX(Settings!$D$14:$D$18,$BF484))&gt;0,INDEX(Settings!$D$14:$D$18,$BF484),"")))</f>
        <v/>
      </c>
      <c r="AH484" s="54" t="str">
        <f>IF($AM484=0,"",IF($AF484&lt;&gt;"Forex",1,IF(MID(UPPER(SUBSTITUTE(TRIM($E484),"/","")),4,3)=UPPER(TRIM(Settings!$C$7)),1,IF(LEFT(UPPER(SUBSTITUTE(TRIM($E484),"/","")),3)=UPPER(TRIM(Settings!$C$7)),IF(AND(ISNUMBER($K484),N($K484)&lt;&gt;0),1/$K484,""),""))))</f>
        <v/>
      </c>
      <c r="AI484" s="55" t="str">
        <f>IF($AM484=0,"",IF(OR(NOT(ISNUMBER($H484)),NOT(ISNUMBER($K484)),NOT(ISNUMBER($G484)),$AG484="",$AH484=""),"",ROUND(($K484-$H484)*IF($F484="Short",-1,1)*$G484*$AG484*$AH484,6)))</f>
        <v/>
      </c>
      <c r="AJ484" s="55" t="str">
        <f>IF($AM484=0,"",IF(INDEX(Settings!$E$14:$E$18,$BF484)="% of notional",IF(OR($AG484="",NOT(ISNUMBER($H484)),NOT(ISNUMBER($G484))),"",ROUND(ABS($H484*$G484*$AG484*N($AH484))*IF($L484="Limit",N(INDEX(Settings!$G$14:$G$18,$BF484)),N(INDEX(Settings!$H$14:$H$18,$BF484)))+IF(ISNUMBER($K484),ABS($K484*$G484*$AG484*N($AH484))*IF($M484="Target",N(INDEX(Settings!$G$14:$G$18,$BF484)),N(INDEX(Settings!$H$14:$H$18,$BF484))),0),6)),IF(NOT(ISNUMBER($G484)),"",ROUND(ABS($G484)*2*IF(AND($BE484&gt;0,ISNUMBER(INDEX(Instruments!$G$6:$G$205,MAX(1,$BE484)))),INDEX(Instruments!$G$6:$G$205,MAX(1,$BE484)),N(INDEX(Settings!$F$14:$F$18,$BF484))),6))))</f>
        <v/>
      </c>
      <c r="AK484" s="55" t="str">
        <f>IF($AM484=0,"",IF(ISNUMBER($O484),$O484,$AI484))</f>
        <v/>
      </c>
      <c r="AL484" s="55" t="str">
        <f>IF($AM484=0,"",IF(ISNUMBER($P484),$P484,N($AJ484)))</f>
        <v/>
      </c>
      <c r="AM484" s="56">
        <f>IF(AND($A484&lt;&gt;"",$E484&lt;&gt;"",OR(AND(ISNUMBER($G484),ISNUMBER($H484),ISNUMBER($K484)),ISNUMBER($O484))),1,0)</f>
        <v>0</v>
      </c>
      <c r="AN484" s="57" t="str">
        <f>IF($A484="","",$A484-WEEKDAY($A484,3))</f>
        <v/>
      </c>
      <c r="AO484" s="56" t="str">
        <f>IF($A484="","",WEEKDAY($A484,2))</f>
        <v/>
      </c>
      <c r="AP484" s="55" t="str">
        <f>IF(OR($AM484=0,$C484=""),"",IFERROR(N(INDEX(Accounts!$E$7:$E$16,MATCH($C484,Accounts!$B$7:$B$16,0))),0)+SUMIFS($Q$6:$Q484,$C$6:$C484,$C484))</f>
        <v/>
      </c>
      <c r="AQ484" s="55" t="str">
        <f>IF(OR($AM484=0,$C484=""),"",SUMIFS($Q$6:$Q$1005,$C$6:$C$1005,$C484,$A$6:$A$1005,$A484))</f>
        <v/>
      </c>
      <c r="AR484" s="55" t="str">
        <f>IF(OR($AM484=0,$C484=""),"",IFERROR(N(INDEX(Accounts!$E$7:$E$16,MATCH($C484,Accounts!$B$7:$B$16,0))),0)+SUMIFS($Q$6:$Q$1005,$C$6:$C$1005,$C484,$A$6:$A$1005,"&lt;="&amp;$A484))</f>
        <v/>
      </c>
      <c r="AS484" s="56">
        <f>IF(OR($AM484=0,$Q484=""),0,IF(AND($A484&gt;=Lists!$W$6,$A484&lt;=Lists!$W$7,OR(Dashboard!$D$6="All accounts",$C484=Dashboard!$D$6),OR(Dashboard!$D$7="All markets",$AF484=Dashboard!$D$7)),1,0))</f>
        <v>0</v>
      </c>
      <c r="AT484" s="55">
        <f>IF($AS484=1,N(AT483)+$Q484,N(AT483))</f>
        <v>1187.10688</v>
      </c>
      <c r="AU484" s="55">
        <f>MAX(N(AU483),$AT484)</f>
        <v>1187.10688</v>
      </c>
      <c r="AV484" s="55">
        <f>$AT484-$AU484</f>
        <v>0</v>
      </c>
      <c r="AW484" s="56">
        <f>IF($AS484=1,IF($S484="Win",N(AW483)+1,IF($S484="Loss",0,N(AW483))),N(AW483))</f>
        <v>5</v>
      </c>
      <c r="AX484" s="56">
        <f>IF($AS484=1,IF($S484="Loss",N(AX483)+1,IF($S484="Win",0,N(AX483))),N(AX483))</f>
        <v>0</v>
      </c>
      <c r="AY484" s="56" t="str">
        <f>IF($AS484=1,COUNTIF($AS$6:$AS484,1),"")</f>
        <v/>
      </c>
      <c r="AZ484" s="56">
        <f>MIN(478,N(Lists!$W$8))</f>
        <v>28</v>
      </c>
      <c r="BA484" s="56">
        <f>IF($AS484=1,IF(COUNTIFS($A$6:$A484,$A484,$AS$6:$AS484,1)=1,1,0),0)</f>
        <v>0</v>
      </c>
      <c r="BB484" s="55" t="str">
        <f>IF($BA484=1,SUMIFS($Q$6:$Q$1005,$A$6:$A$1005,$A484,$AS$6:$AS$1005,1),"")</f>
        <v/>
      </c>
      <c r="BC484" s="56">
        <f>IF(ISNUMBER($R484),1,0)</f>
        <v>0</v>
      </c>
      <c r="BD484" s="55" t="str">
        <f>IF(ISNUMBER($U484),$U484*$V484,"")</f>
        <v/>
      </c>
      <c r="BE484" s="56" t="str">
        <f>IF($AM484=0,"",IFERROR(MATCH($AF484&amp;"|"&amp;UPPER(TRIM($E484)),Lists!$A$6:$A$205,0),0))</f>
        <v/>
      </c>
      <c r="BF484" s="56" t="str">
        <f>IF($AM484=0,"",IFERROR(MATCH($AF484,Settings!$B$14:$B$18,0),IFERROR(MATCH(Settings!$C$6,Settings!$B$14:$B$18,0),1)))</f>
        <v/>
      </c>
      <c r="BG484" s="58" t="str">
        <f>IF($AM484=0,"",IF(NOT(ISNUMBER($I484)),"No stop; ","")&amp;IF(AND(ISNUMBER($H484),ISNUMBER($I484)),IF(OR(AND($F484&lt;&gt;"Short",$I484&gt;=$H484),AND($F484="Short",$I484&lt;=$H484)),"Stop on wrong side; ",""),"")&amp;IF($F484="","No direction; ","")&amp;IF(AND(ISNUMBER(Settings!$C$22),ISNUMBER($V484)),IF($V484&gt;Settings!$C$22,"Risk over max $; ",""),"")&amp;IF(AND(ISNUMBER(Settings!$C$23),ISNUMBER($V484),ISNUMBER($AP484),IFERROR(N(INDEX(Accounts!$E$7:$E$16,MATCH($C484,Accounts!$B$7:$B$16,0))),0)&gt;0),IF($V484&gt;Settings!$C$23*($AP484-N($Q484)),"Risk over max %; ",""),"")&amp;IF(AND(ISNUMBER(Settings!$C$24),ISNUMBER($N484)),IF($N484&gt;Settings!$C$24,"Leverage over max; ",""),"")&amp;IF(AND(ISNUMBER(Settings!$C$27),ISNUMBER($T484)),IF($T484&lt;Settings!$C$27,"R:R below min; ",""),"")&amp;IF(ISNUMBER(Settings!$C$25),IF(COUNTIFS($A$6:$A484,$A484,$AM$6:$AM484,1)&gt;Settings!$C$25,"Over max trades/day; ",""),"")&amp;IF(ISNUMBER(Settings!$C$26),IF(SUMIFS($Q$5:$Q483,$A$5:$A483,$A484)&lt;=-Settings!$C$26,"Traded after daily max loss; ",""),"")&amp;IF(AND($AG484="",NOT(ISNUMBER($O484))),"Symbol not in Instruments; ","")&amp;IF(AND($AH484="",NOT(ISNUMBER($O484))),"Forex cross: type Gross P&amp;L; ",""))</f>
        <v/>
      </c>
      <c r="BH484" s="56">
        <f>IF(ISNUMBER($Q484),1,0)</f>
        <v>0</v>
      </c>
      <c r="BI484" s="56">
        <f>IF($Y484="",0,1)</f>
        <v>0</v>
      </c>
      <c r="BJ484" s="56">
        <f>IF($AB484="",0,1)</f>
        <v>0</v>
      </c>
      <c r="BK484" s="56">
        <f>IF(AND($BH484=1,$W484&lt;&gt;"OK"),1,0)</f>
        <v>0</v>
      </c>
      <c r="BL484" s="55">
        <f>IF(N($AZ484)=0,0,IFERROR(INDEX($AT$6:$AT$1005,MATCH($AZ484,$AY$6:$AY$1005,0)),0))</f>
        <v>1187.10688</v>
      </c>
      <c r="BM484" s="56">
        <f>IF(ISNUMBER(SEARCH("daily max loss",$BG484)),1,0)</f>
        <v>0</v>
      </c>
    </row>
    <row r="485" ht="18" customHeight="1">
      <c r="A485" s="38" t="n"/>
      <c r="B485" s="39" t="n"/>
      <c r="C485" s="40" t="n"/>
      <c r="D485" s="41" t="n"/>
      <c r="E485" s="41" t="n"/>
      <c r="F485" s="41" t="n"/>
      <c r="G485" s="41" t="n"/>
      <c r="H485" s="42" t="n"/>
      <c r="I485" s="42" t="n"/>
      <c r="J485" s="42" t="n"/>
      <c r="K485" s="42" t="n"/>
      <c r="L485" s="41" t="n"/>
      <c r="M485" s="41" t="n"/>
      <c r="N485" s="41" t="n"/>
      <c r="O485" s="43" t="n"/>
      <c r="P485" s="43" t="n"/>
      <c r="Q485" s="44" t="str">
        <f>IF($AM485=0,"",IF(ISNUMBER($AK485),$AK485-N($AL485),""))</f>
        <v/>
      </c>
      <c r="R485" s="45" t="str">
        <f>IF(OR($Q485="",NOT(ISNUMBER($V485))),"",$AK485/$V485)</f>
        <v/>
      </c>
      <c r="S485" s="46" t="str">
        <f>IF($Q485="","",IF(AND(ISNUMBER($R485),ABS(N($R485))&lt;N(Settings!$C$8)),"Scratch",IF($Q485&gt;0,"Win",IF($Q485&lt;0,"Loss","Scratch"))))</f>
        <v/>
      </c>
      <c r="T485" s="47" t="str">
        <f>IF(OR($AM485=0,NOT(ISNUMBER($H485)),NOT(ISNUMBER($I485)),NOT(ISNUMBER($J485))),"",IF($H485=$I485,"",ROUND(ABS($J485-$H485)/ABS($H485-$I485),6)))</f>
        <v/>
      </c>
      <c r="U485" s="48" t="str">
        <f>IF(OR($S485&lt;&gt;"Win",NOT(ISNUMBER($T485)),NOT(ISNUMBER($R485))),"",MAX(0,$T485-$R485))</f>
        <v/>
      </c>
      <c r="V485" s="49" t="str">
        <f>IF(OR($AM485=0,NOT(ISNUMBER($H485)),NOT(ISNUMBER($I485)),NOT(ISNUMBER($G485))),"",IF(OR($AG485="",$AH485=""),"",IF(ROUND(ABS($H485-$I485)*ABS($G485)*$AG485*$AH485,6)=0,"",ROUND(ABS($H485-$I485)*ABS($G485)*$AG485*$AH485,6))))</f>
        <v/>
      </c>
      <c r="W485" s="50" t="str">
        <f>IF($AM485=0,"",IF($BG485="","OK",LEFT($BG485,LEN($BG485)-2)))</f>
        <v/>
      </c>
      <c r="X485" s="41" t="n"/>
      <c r="Y485" s="40" t="n"/>
      <c r="Z485" s="41" t="n"/>
      <c r="AA485" s="41" t="n"/>
      <c r="AB485" s="40" t="n"/>
      <c r="AC485" s="51" t="n"/>
      <c r="AD485" s="51" t="n"/>
      <c r="AE485" s="40" t="n"/>
      <c r="AF485" s="52" t="str">
        <f>IF($AM485=0,"",IF($D485&lt;&gt;"",$D485,IF(IFERROR(INDEX(Accounts!$C$7:$C$16,MATCH($C485,Accounts!$B$7:$B$16,0))&amp;"","")&lt;&gt;"",INDEX(Accounts!$C$7:$C$16,MATCH($C485,Accounts!$B$7:$B$16,0)),Settings!$C$6)))</f>
        <v/>
      </c>
      <c r="AG485" s="53" t="str">
        <f>IF($AM485=0,"",IF(AND($BE485&gt;0,N(INDEX(Instruments!$D$6:$D$205,MAX(1,$BE485)))&gt;0),INDEX(Instruments!$D$6:$D$205,MAX(1,$BE485)),IF(N(INDEX(Settings!$D$14:$D$18,$BF485))&gt;0,INDEX(Settings!$D$14:$D$18,$BF485),"")))</f>
        <v/>
      </c>
      <c r="AH485" s="54" t="str">
        <f>IF($AM485=0,"",IF($AF485&lt;&gt;"Forex",1,IF(MID(UPPER(SUBSTITUTE(TRIM($E485),"/","")),4,3)=UPPER(TRIM(Settings!$C$7)),1,IF(LEFT(UPPER(SUBSTITUTE(TRIM($E485),"/","")),3)=UPPER(TRIM(Settings!$C$7)),IF(AND(ISNUMBER($K485),N($K485)&lt;&gt;0),1/$K485,""),""))))</f>
        <v/>
      </c>
      <c r="AI485" s="55" t="str">
        <f>IF($AM485=0,"",IF(OR(NOT(ISNUMBER($H485)),NOT(ISNUMBER($K485)),NOT(ISNUMBER($G485)),$AG485="",$AH485=""),"",ROUND(($K485-$H485)*IF($F485="Short",-1,1)*$G485*$AG485*$AH485,6)))</f>
        <v/>
      </c>
      <c r="AJ485" s="55" t="str">
        <f>IF($AM485=0,"",IF(INDEX(Settings!$E$14:$E$18,$BF485)="% of notional",IF(OR($AG485="",NOT(ISNUMBER($H485)),NOT(ISNUMBER($G485))),"",ROUND(ABS($H485*$G485*$AG485*N($AH485))*IF($L485="Limit",N(INDEX(Settings!$G$14:$G$18,$BF485)),N(INDEX(Settings!$H$14:$H$18,$BF485)))+IF(ISNUMBER($K485),ABS($K485*$G485*$AG485*N($AH485))*IF($M485="Target",N(INDEX(Settings!$G$14:$G$18,$BF485)),N(INDEX(Settings!$H$14:$H$18,$BF485))),0),6)),IF(NOT(ISNUMBER($G485)),"",ROUND(ABS($G485)*2*IF(AND($BE485&gt;0,ISNUMBER(INDEX(Instruments!$G$6:$G$205,MAX(1,$BE485)))),INDEX(Instruments!$G$6:$G$205,MAX(1,$BE485)),N(INDEX(Settings!$F$14:$F$18,$BF485))),6))))</f>
        <v/>
      </c>
      <c r="AK485" s="55" t="str">
        <f>IF($AM485=0,"",IF(ISNUMBER($O485),$O485,$AI485))</f>
        <v/>
      </c>
      <c r="AL485" s="55" t="str">
        <f>IF($AM485=0,"",IF(ISNUMBER($P485),$P485,N($AJ485)))</f>
        <v/>
      </c>
      <c r="AM485" s="56">
        <f>IF(AND($A485&lt;&gt;"",$E485&lt;&gt;"",OR(AND(ISNUMBER($G485),ISNUMBER($H485),ISNUMBER($K485)),ISNUMBER($O485))),1,0)</f>
        <v>0</v>
      </c>
      <c r="AN485" s="57" t="str">
        <f>IF($A485="","",$A485-WEEKDAY($A485,3))</f>
        <v/>
      </c>
      <c r="AO485" s="56" t="str">
        <f>IF($A485="","",WEEKDAY($A485,2))</f>
        <v/>
      </c>
      <c r="AP485" s="55" t="str">
        <f>IF(OR($AM485=0,$C485=""),"",IFERROR(N(INDEX(Accounts!$E$7:$E$16,MATCH($C485,Accounts!$B$7:$B$16,0))),0)+SUMIFS($Q$6:$Q485,$C$6:$C485,$C485))</f>
        <v/>
      </c>
      <c r="AQ485" s="55" t="str">
        <f>IF(OR($AM485=0,$C485=""),"",SUMIFS($Q$6:$Q$1005,$C$6:$C$1005,$C485,$A$6:$A$1005,$A485))</f>
        <v/>
      </c>
      <c r="AR485" s="55" t="str">
        <f>IF(OR($AM485=0,$C485=""),"",IFERROR(N(INDEX(Accounts!$E$7:$E$16,MATCH($C485,Accounts!$B$7:$B$16,0))),0)+SUMIFS($Q$6:$Q$1005,$C$6:$C$1005,$C485,$A$6:$A$1005,"&lt;="&amp;$A485))</f>
        <v/>
      </c>
      <c r="AS485" s="56">
        <f>IF(OR($AM485=0,$Q485=""),0,IF(AND($A485&gt;=Lists!$W$6,$A485&lt;=Lists!$W$7,OR(Dashboard!$D$6="All accounts",$C485=Dashboard!$D$6),OR(Dashboard!$D$7="All markets",$AF485=Dashboard!$D$7)),1,0))</f>
        <v>0</v>
      </c>
      <c r="AT485" s="55">
        <f>IF($AS485=1,N(AT484)+$Q485,N(AT484))</f>
        <v>1187.10688</v>
      </c>
      <c r="AU485" s="55">
        <f>MAX(N(AU484),$AT485)</f>
        <v>1187.10688</v>
      </c>
      <c r="AV485" s="55">
        <f>$AT485-$AU485</f>
        <v>0</v>
      </c>
      <c r="AW485" s="56">
        <f>IF($AS485=1,IF($S485="Win",N(AW484)+1,IF($S485="Loss",0,N(AW484))),N(AW484))</f>
        <v>5</v>
      </c>
      <c r="AX485" s="56">
        <f>IF($AS485=1,IF($S485="Loss",N(AX484)+1,IF($S485="Win",0,N(AX484))),N(AX484))</f>
        <v>0</v>
      </c>
      <c r="AY485" s="56" t="str">
        <f>IF($AS485=1,COUNTIF($AS$6:$AS485,1),"")</f>
        <v/>
      </c>
      <c r="AZ485" s="56">
        <f>MIN(479,N(Lists!$W$8))</f>
        <v>28</v>
      </c>
      <c r="BA485" s="56">
        <f>IF($AS485=1,IF(COUNTIFS($A$6:$A485,$A485,$AS$6:$AS485,1)=1,1,0),0)</f>
        <v>0</v>
      </c>
      <c r="BB485" s="55" t="str">
        <f>IF($BA485=1,SUMIFS($Q$6:$Q$1005,$A$6:$A$1005,$A485,$AS$6:$AS$1005,1),"")</f>
        <v/>
      </c>
      <c r="BC485" s="56">
        <f>IF(ISNUMBER($R485),1,0)</f>
        <v>0</v>
      </c>
      <c r="BD485" s="55" t="str">
        <f>IF(ISNUMBER($U485),$U485*$V485,"")</f>
        <v/>
      </c>
      <c r="BE485" s="56" t="str">
        <f>IF($AM485=0,"",IFERROR(MATCH($AF485&amp;"|"&amp;UPPER(TRIM($E485)),Lists!$A$6:$A$205,0),0))</f>
        <v/>
      </c>
      <c r="BF485" s="56" t="str">
        <f>IF($AM485=0,"",IFERROR(MATCH($AF485,Settings!$B$14:$B$18,0),IFERROR(MATCH(Settings!$C$6,Settings!$B$14:$B$18,0),1)))</f>
        <v/>
      </c>
      <c r="BG485" s="58" t="str">
        <f>IF($AM485=0,"",IF(NOT(ISNUMBER($I485)),"No stop; ","")&amp;IF(AND(ISNUMBER($H485),ISNUMBER($I485)),IF(OR(AND($F485&lt;&gt;"Short",$I485&gt;=$H485),AND($F485="Short",$I485&lt;=$H485)),"Stop on wrong side; ",""),"")&amp;IF($F485="","No direction; ","")&amp;IF(AND(ISNUMBER(Settings!$C$22),ISNUMBER($V485)),IF($V485&gt;Settings!$C$22,"Risk over max $; ",""),"")&amp;IF(AND(ISNUMBER(Settings!$C$23),ISNUMBER($V485),ISNUMBER($AP485),IFERROR(N(INDEX(Accounts!$E$7:$E$16,MATCH($C485,Accounts!$B$7:$B$16,0))),0)&gt;0),IF($V485&gt;Settings!$C$23*($AP485-N($Q485)),"Risk over max %; ",""),"")&amp;IF(AND(ISNUMBER(Settings!$C$24),ISNUMBER($N485)),IF($N485&gt;Settings!$C$24,"Leverage over max; ",""),"")&amp;IF(AND(ISNUMBER(Settings!$C$27),ISNUMBER($T485)),IF($T485&lt;Settings!$C$27,"R:R below min; ",""),"")&amp;IF(ISNUMBER(Settings!$C$25),IF(COUNTIFS($A$6:$A485,$A485,$AM$6:$AM485,1)&gt;Settings!$C$25,"Over max trades/day; ",""),"")&amp;IF(ISNUMBER(Settings!$C$26),IF(SUMIFS($Q$5:$Q484,$A$5:$A484,$A485)&lt;=-Settings!$C$26,"Traded after daily max loss; ",""),"")&amp;IF(AND($AG485="",NOT(ISNUMBER($O485))),"Symbol not in Instruments; ","")&amp;IF(AND($AH485="",NOT(ISNUMBER($O485))),"Forex cross: type Gross P&amp;L; ",""))</f>
        <v/>
      </c>
      <c r="BH485" s="56">
        <f>IF(ISNUMBER($Q485),1,0)</f>
        <v>0</v>
      </c>
      <c r="BI485" s="56">
        <f>IF($Y485="",0,1)</f>
        <v>0</v>
      </c>
      <c r="BJ485" s="56">
        <f>IF($AB485="",0,1)</f>
        <v>0</v>
      </c>
      <c r="BK485" s="56">
        <f>IF(AND($BH485=1,$W485&lt;&gt;"OK"),1,0)</f>
        <v>0</v>
      </c>
      <c r="BL485" s="55">
        <f>IF(N($AZ485)=0,0,IFERROR(INDEX($AT$6:$AT$1005,MATCH($AZ485,$AY$6:$AY$1005,0)),0))</f>
        <v>1187.10688</v>
      </c>
      <c r="BM485" s="56">
        <f>IF(ISNUMBER(SEARCH("daily max loss",$BG485)),1,0)</f>
        <v>0</v>
      </c>
    </row>
    <row r="486" ht="18" customHeight="1">
      <c r="A486" s="38" t="n"/>
      <c r="B486" s="39" t="n"/>
      <c r="C486" s="40" t="n"/>
      <c r="D486" s="41" t="n"/>
      <c r="E486" s="41" t="n"/>
      <c r="F486" s="41" t="n"/>
      <c r="G486" s="41" t="n"/>
      <c r="H486" s="42" t="n"/>
      <c r="I486" s="42" t="n"/>
      <c r="J486" s="42" t="n"/>
      <c r="K486" s="42" t="n"/>
      <c r="L486" s="41" t="n"/>
      <c r="M486" s="41" t="n"/>
      <c r="N486" s="41" t="n"/>
      <c r="O486" s="43" t="n"/>
      <c r="P486" s="43" t="n"/>
      <c r="Q486" s="44" t="str">
        <f>IF($AM486=0,"",IF(ISNUMBER($AK486),$AK486-N($AL486),""))</f>
        <v/>
      </c>
      <c r="R486" s="45" t="str">
        <f>IF(OR($Q486="",NOT(ISNUMBER($V486))),"",$AK486/$V486)</f>
        <v/>
      </c>
      <c r="S486" s="46" t="str">
        <f>IF($Q486="","",IF(AND(ISNUMBER($R486),ABS(N($R486))&lt;N(Settings!$C$8)),"Scratch",IF($Q486&gt;0,"Win",IF($Q486&lt;0,"Loss","Scratch"))))</f>
        <v/>
      </c>
      <c r="T486" s="47" t="str">
        <f>IF(OR($AM486=0,NOT(ISNUMBER($H486)),NOT(ISNUMBER($I486)),NOT(ISNUMBER($J486))),"",IF($H486=$I486,"",ROUND(ABS($J486-$H486)/ABS($H486-$I486),6)))</f>
        <v/>
      </c>
      <c r="U486" s="48" t="str">
        <f>IF(OR($S486&lt;&gt;"Win",NOT(ISNUMBER($T486)),NOT(ISNUMBER($R486))),"",MAX(0,$T486-$R486))</f>
        <v/>
      </c>
      <c r="V486" s="49" t="str">
        <f>IF(OR($AM486=0,NOT(ISNUMBER($H486)),NOT(ISNUMBER($I486)),NOT(ISNUMBER($G486))),"",IF(OR($AG486="",$AH486=""),"",IF(ROUND(ABS($H486-$I486)*ABS($G486)*$AG486*$AH486,6)=0,"",ROUND(ABS($H486-$I486)*ABS($G486)*$AG486*$AH486,6))))</f>
        <v/>
      </c>
      <c r="W486" s="50" t="str">
        <f>IF($AM486=0,"",IF($BG486="","OK",LEFT($BG486,LEN($BG486)-2)))</f>
        <v/>
      </c>
      <c r="X486" s="41" t="n"/>
      <c r="Y486" s="40" t="n"/>
      <c r="Z486" s="41" t="n"/>
      <c r="AA486" s="41" t="n"/>
      <c r="AB486" s="40" t="n"/>
      <c r="AC486" s="51" t="n"/>
      <c r="AD486" s="51" t="n"/>
      <c r="AE486" s="40" t="n"/>
      <c r="AF486" s="52" t="str">
        <f>IF($AM486=0,"",IF($D486&lt;&gt;"",$D486,IF(IFERROR(INDEX(Accounts!$C$7:$C$16,MATCH($C486,Accounts!$B$7:$B$16,0))&amp;"","")&lt;&gt;"",INDEX(Accounts!$C$7:$C$16,MATCH($C486,Accounts!$B$7:$B$16,0)),Settings!$C$6)))</f>
        <v/>
      </c>
      <c r="AG486" s="53" t="str">
        <f>IF($AM486=0,"",IF(AND($BE486&gt;0,N(INDEX(Instruments!$D$6:$D$205,MAX(1,$BE486)))&gt;0),INDEX(Instruments!$D$6:$D$205,MAX(1,$BE486)),IF(N(INDEX(Settings!$D$14:$D$18,$BF486))&gt;0,INDEX(Settings!$D$14:$D$18,$BF486),"")))</f>
        <v/>
      </c>
      <c r="AH486" s="54" t="str">
        <f>IF($AM486=0,"",IF($AF486&lt;&gt;"Forex",1,IF(MID(UPPER(SUBSTITUTE(TRIM($E486),"/","")),4,3)=UPPER(TRIM(Settings!$C$7)),1,IF(LEFT(UPPER(SUBSTITUTE(TRIM($E486),"/","")),3)=UPPER(TRIM(Settings!$C$7)),IF(AND(ISNUMBER($K486),N($K486)&lt;&gt;0),1/$K486,""),""))))</f>
        <v/>
      </c>
      <c r="AI486" s="55" t="str">
        <f>IF($AM486=0,"",IF(OR(NOT(ISNUMBER($H486)),NOT(ISNUMBER($K486)),NOT(ISNUMBER($G486)),$AG486="",$AH486=""),"",ROUND(($K486-$H486)*IF($F486="Short",-1,1)*$G486*$AG486*$AH486,6)))</f>
        <v/>
      </c>
      <c r="AJ486" s="55" t="str">
        <f>IF($AM486=0,"",IF(INDEX(Settings!$E$14:$E$18,$BF486)="% of notional",IF(OR($AG486="",NOT(ISNUMBER($H486)),NOT(ISNUMBER($G486))),"",ROUND(ABS($H486*$G486*$AG486*N($AH486))*IF($L486="Limit",N(INDEX(Settings!$G$14:$G$18,$BF486)),N(INDEX(Settings!$H$14:$H$18,$BF486)))+IF(ISNUMBER($K486),ABS($K486*$G486*$AG486*N($AH486))*IF($M486="Target",N(INDEX(Settings!$G$14:$G$18,$BF486)),N(INDEX(Settings!$H$14:$H$18,$BF486))),0),6)),IF(NOT(ISNUMBER($G486)),"",ROUND(ABS($G486)*2*IF(AND($BE486&gt;0,ISNUMBER(INDEX(Instruments!$G$6:$G$205,MAX(1,$BE486)))),INDEX(Instruments!$G$6:$G$205,MAX(1,$BE486)),N(INDEX(Settings!$F$14:$F$18,$BF486))),6))))</f>
        <v/>
      </c>
      <c r="AK486" s="55" t="str">
        <f>IF($AM486=0,"",IF(ISNUMBER($O486),$O486,$AI486))</f>
        <v/>
      </c>
      <c r="AL486" s="55" t="str">
        <f>IF($AM486=0,"",IF(ISNUMBER($P486),$P486,N($AJ486)))</f>
        <v/>
      </c>
      <c r="AM486" s="56">
        <f>IF(AND($A486&lt;&gt;"",$E486&lt;&gt;"",OR(AND(ISNUMBER($G486),ISNUMBER($H486),ISNUMBER($K486)),ISNUMBER($O486))),1,0)</f>
        <v>0</v>
      </c>
      <c r="AN486" s="57" t="str">
        <f>IF($A486="","",$A486-WEEKDAY($A486,3))</f>
        <v/>
      </c>
      <c r="AO486" s="56" t="str">
        <f>IF($A486="","",WEEKDAY($A486,2))</f>
        <v/>
      </c>
      <c r="AP486" s="55" t="str">
        <f>IF(OR($AM486=0,$C486=""),"",IFERROR(N(INDEX(Accounts!$E$7:$E$16,MATCH($C486,Accounts!$B$7:$B$16,0))),0)+SUMIFS($Q$6:$Q486,$C$6:$C486,$C486))</f>
        <v/>
      </c>
      <c r="AQ486" s="55" t="str">
        <f>IF(OR($AM486=0,$C486=""),"",SUMIFS($Q$6:$Q$1005,$C$6:$C$1005,$C486,$A$6:$A$1005,$A486))</f>
        <v/>
      </c>
      <c r="AR486" s="55" t="str">
        <f>IF(OR($AM486=0,$C486=""),"",IFERROR(N(INDEX(Accounts!$E$7:$E$16,MATCH($C486,Accounts!$B$7:$B$16,0))),0)+SUMIFS($Q$6:$Q$1005,$C$6:$C$1005,$C486,$A$6:$A$1005,"&lt;="&amp;$A486))</f>
        <v/>
      </c>
      <c r="AS486" s="56">
        <f>IF(OR($AM486=0,$Q486=""),0,IF(AND($A486&gt;=Lists!$W$6,$A486&lt;=Lists!$W$7,OR(Dashboard!$D$6="All accounts",$C486=Dashboard!$D$6),OR(Dashboard!$D$7="All markets",$AF486=Dashboard!$D$7)),1,0))</f>
        <v>0</v>
      </c>
      <c r="AT486" s="55">
        <f>IF($AS486=1,N(AT485)+$Q486,N(AT485))</f>
        <v>1187.10688</v>
      </c>
      <c r="AU486" s="55">
        <f>MAX(N(AU485),$AT486)</f>
        <v>1187.10688</v>
      </c>
      <c r="AV486" s="55">
        <f>$AT486-$AU486</f>
        <v>0</v>
      </c>
      <c r="AW486" s="56">
        <f>IF($AS486=1,IF($S486="Win",N(AW485)+1,IF($S486="Loss",0,N(AW485))),N(AW485))</f>
        <v>5</v>
      </c>
      <c r="AX486" s="56">
        <f>IF($AS486=1,IF($S486="Loss",N(AX485)+1,IF($S486="Win",0,N(AX485))),N(AX485))</f>
        <v>0</v>
      </c>
      <c r="AY486" s="56" t="str">
        <f>IF($AS486=1,COUNTIF($AS$6:$AS486,1),"")</f>
        <v/>
      </c>
      <c r="AZ486" s="56">
        <f>MIN(480,N(Lists!$W$8))</f>
        <v>28</v>
      </c>
      <c r="BA486" s="56">
        <f>IF($AS486=1,IF(COUNTIFS($A$6:$A486,$A486,$AS$6:$AS486,1)=1,1,0),0)</f>
        <v>0</v>
      </c>
      <c r="BB486" s="55" t="str">
        <f>IF($BA486=1,SUMIFS($Q$6:$Q$1005,$A$6:$A$1005,$A486,$AS$6:$AS$1005,1),"")</f>
        <v/>
      </c>
      <c r="BC486" s="56">
        <f>IF(ISNUMBER($R486),1,0)</f>
        <v>0</v>
      </c>
      <c r="BD486" s="55" t="str">
        <f>IF(ISNUMBER($U486),$U486*$V486,"")</f>
        <v/>
      </c>
      <c r="BE486" s="56" t="str">
        <f>IF($AM486=0,"",IFERROR(MATCH($AF486&amp;"|"&amp;UPPER(TRIM($E486)),Lists!$A$6:$A$205,0),0))</f>
        <v/>
      </c>
      <c r="BF486" s="56" t="str">
        <f>IF($AM486=0,"",IFERROR(MATCH($AF486,Settings!$B$14:$B$18,0),IFERROR(MATCH(Settings!$C$6,Settings!$B$14:$B$18,0),1)))</f>
        <v/>
      </c>
      <c r="BG486" s="58" t="str">
        <f>IF($AM486=0,"",IF(NOT(ISNUMBER($I486)),"No stop; ","")&amp;IF(AND(ISNUMBER($H486),ISNUMBER($I486)),IF(OR(AND($F486&lt;&gt;"Short",$I486&gt;=$H486),AND($F486="Short",$I486&lt;=$H486)),"Stop on wrong side; ",""),"")&amp;IF($F486="","No direction; ","")&amp;IF(AND(ISNUMBER(Settings!$C$22),ISNUMBER($V486)),IF($V486&gt;Settings!$C$22,"Risk over max $; ",""),"")&amp;IF(AND(ISNUMBER(Settings!$C$23),ISNUMBER($V486),ISNUMBER($AP486),IFERROR(N(INDEX(Accounts!$E$7:$E$16,MATCH($C486,Accounts!$B$7:$B$16,0))),0)&gt;0),IF($V486&gt;Settings!$C$23*($AP486-N($Q486)),"Risk over max %; ",""),"")&amp;IF(AND(ISNUMBER(Settings!$C$24),ISNUMBER($N486)),IF($N486&gt;Settings!$C$24,"Leverage over max; ",""),"")&amp;IF(AND(ISNUMBER(Settings!$C$27),ISNUMBER($T486)),IF($T486&lt;Settings!$C$27,"R:R below min; ",""),"")&amp;IF(ISNUMBER(Settings!$C$25),IF(COUNTIFS($A$6:$A486,$A486,$AM$6:$AM486,1)&gt;Settings!$C$25,"Over max trades/day; ",""),"")&amp;IF(ISNUMBER(Settings!$C$26),IF(SUMIFS($Q$5:$Q485,$A$5:$A485,$A486)&lt;=-Settings!$C$26,"Traded after daily max loss; ",""),"")&amp;IF(AND($AG486="",NOT(ISNUMBER($O486))),"Symbol not in Instruments; ","")&amp;IF(AND($AH486="",NOT(ISNUMBER($O486))),"Forex cross: type Gross P&amp;L; ",""))</f>
        <v/>
      </c>
      <c r="BH486" s="56">
        <f>IF(ISNUMBER($Q486),1,0)</f>
        <v>0</v>
      </c>
      <c r="BI486" s="56">
        <f>IF($Y486="",0,1)</f>
        <v>0</v>
      </c>
      <c r="BJ486" s="56">
        <f>IF($AB486="",0,1)</f>
        <v>0</v>
      </c>
      <c r="BK486" s="56">
        <f>IF(AND($BH486=1,$W486&lt;&gt;"OK"),1,0)</f>
        <v>0</v>
      </c>
      <c r="BL486" s="55">
        <f>IF(N($AZ486)=0,0,IFERROR(INDEX($AT$6:$AT$1005,MATCH($AZ486,$AY$6:$AY$1005,0)),0))</f>
        <v>1187.10688</v>
      </c>
      <c r="BM486" s="56">
        <f>IF(ISNUMBER(SEARCH("daily max loss",$BG486)),1,0)</f>
        <v>0</v>
      </c>
    </row>
    <row r="487" ht="18" customHeight="1">
      <c r="A487" s="38" t="n"/>
      <c r="B487" s="39" t="n"/>
      <c r="C487" s="40" t="n"/>
      <c r="D487" s="41" t="n"/>
      <c r="E487" s="41" t="n"/>
      <c r="F487" s="41" t="n"/>
      <c r="G487" s="41" t="n"/>
      <c r="H487" s="42" t="n"/>
      <c r="I487" s="42" t="n"/>
      <c r="J487" s="42" t="n"/>
      <c r="K487" s="42" t="n"/>
      <c r="L487" s="41" t="n"/>
      <c r="M487" s="41" t="n"/>
      <c r="N487" s="41" t="n"/>
      <c r="O487" s="43" t="n"/>
      <c r="P487" s="43" t="n"/>
      <c r="Q487" s="44" t="str">
        <f>IF($AM487=0,"",IF(ISNUMBER($AK487),$AK487-N($AL487),""))</f>
        <v/>
      </c>
      <c r="R487" s="45" t="str">
        <f>IF(OR($Q487="",NOT(ISNUMBER($V487))),"",$AK487/$V487)</f>
        <v/>
      </c>
      <c r="S487" s="46" t="str">
        <f>IF($Q487="","",IF(AND(ISNUMBER($R487),ABS(N($R487))&lt;N(Settings!$C$8)),"Scratch",IF($Q487&gt;0,"Win",IF($Q487&lt;0,"Loss","Scratch"))))</f>
        <v/>
      </c>
      <c r="T487" s="47" t="str">
        <f>IF(OR($AM487=0,NOT(ISNUMBER($H487)),NOT(ISNUMBER($I487)),NOT(ISNUMBER($J487))),"",IF($H487=$I487,"",ROUND(ABS($J487-$H487)/ABS($H487-$I487),6)))</f>
        <v/>
      </c>
      <c r="U487" s="48" t="str">
        <f>IF(OR($S487&lt;&gt;"Win",NOT(ISNUMBER($T487)),NOT(ISNUMBER($R487))),"",MAX(0,$T487-$R487))</f>
        <v/>
      </c>
      <c r="V487" s="49" t="str">
        <f>IF(OR($AM487=0,NOT(ISNUMBER($H487)),NOT(ISNUMBER($I487)),NOT(ISNUMBER($G487))),"",IF(OR($AG487="",$AH487=""),"",IF(ROUND(ABS($H487-$I487)*ABS($G487)*$AG487*$AH487,6)=0,"",ROUND(ABS($H487-$I487)*ABS($G487)*$AG487*$AH487,6))))</f>
        <v/>
      </c>
      <c r="W487" s="50" t="str">
        <f>IF($AM487=0,"",IF($BG487="","OK",LEFT($BG487,LEN($BG487)-2)))</f>
        <v/>
      </c>
      <c r="X487" s="41" t="n"/>
      <c r="Y487" s="40" t="n"/>
      <c r="Z487" s="41" t="n"/>
      <c r="AA487" s="41" t="n"/>
      <c r="AB487" s="40" t="n"/>
      <c r="AC487" s="51" t="n"/>
      <c r="AD487" s="51" t="n"/>
      <c r="AE487" s="40" t="n"/>
      <c r="AF487" s="52" t="str">
        <f>IF($AM487=0,"",IF($D487&lt;&gt;"",$D487,IF(IFERROR(INDEX(Accounts!$C$7:$C$16,MATCH($C487,Accounts!$B$7:$B$16,0))&amp;"","")&lt;&gt;"",INDEX(Accounts!$C$7:$C$16,MATCH($C487,Accounts!$B$7:$B$16,0)),Settings!$C$6)))</f>
        <v/>
      </c>
      <c r="AG487" s="53" t="str">
        <f>IF($AM487=0,"",IF(AND($BE487&gt;0,N(INDEX(Instruments!$D$6:$D$205,MAX(1,$BE487)))&gt;0),INDEX(Instruments!$D$6:$D$205,MAX(1,$BE487)),IF(N(INDEX(Settings!$D$14:$D$18,$BF487))&gt;0,INDEX(Settings!$D$14:$D$18,$BF487),"")))</f>
        <v/>
      </c>
      <c r="AH487" s="54" t="str">
        <f>IF($AM487=0,"",IF($AF487&lt;&gt;"Forex",1,IF(MID(UPPER(SUBSTITUTE(TRIM($E487),"/","")),4,3)=UPPER(TRIM(Settings!$C$7)),1,IF(LEFT(UPPER(SUBSTITUTE(TRIM($E487),"/","")),3)=UPPER(TRIM(Settings!$C$7)),IF(AND(ISNUMBER($K487),N($K487)&lt;&gt;0),1/$K487,""),""))))</f>
        <v/>
      </c>
      <c r="AI487" s="55" t="str">
        <f>IF($AM487=0,"",IF(OR(NOT(ISNUMBER($H487)),NOT(ISNUMBER($K487)),NOT(ISNUMBER($G487)),$AG487="",$AH487=""),"",ROUND(($K487-$H487)*IF($F487="Short",-1,1)*$G487*$AG487*$AH487,6)))</f>
        <v/>
      </c>
      <c r="AJ487" s="55" t="str">
        <f>IF($AM487=0,"",IF(INDEX(Settings!$E$14:$E$18,$BF487)="% of notional",IF(OR($AG487="",NOT(ISNUMBER($H487)),NOT(ISNUMBER($G487))),"",ROUND(ABS($H487*$G487*$AG487*N($AH487))*IF($L487="Limit",N(INDEX(Settings!$G$14:$G$18,$BF487)),N(INDEX(Settings!$H$14:$H$18,$BF487)))+IF(ISNUMBER($K487),ABS($K487*$G487*$AG487*N($AH487))*IF($M487="Target",N(INDEX(Settings!$G$14:$G$18,$BF487)),N(INDEX(Settings!$H$14:$H$18,$BF487))),0),6)),IF(NOT(ISNUMBER($G487)),"",ROUND(ABS($G487)*2*IF(AND($BE487&gt;0,ISNUMBER(INDEX(Instruments!$G$6:$G$205,MAX(1,$BE487)))),INDEX(Instruments!$G$6:$G$205,MAX(1,$BE487)),N(INDEX(Settings!$F$14:$F$18,$BF487))),6))))</f>
        <v/>
      </c>
      <c r="AK487" s="55" t="str">
        <f>IF($AM487=0,"",IF(ISNUMBER($O487),$O487,$AI487))</f>
        <v/>
      </c>
      <c r="AL487" s="55" t="str">
        <f>IF($AM487=0,"",IF(ISNUMBER($P487),$P487,N($AJ487)))</f>
        <v/>
      </c>
      <c r="AM487" s="56">
        <f>IF(AND($A487&lt;&gt;"",$E487&lt;&gt;"",OR(AND(ISNUMBER($G487),ISNUMBER($H487),ISNUMBER($K487)),ISNUMBER($O487))),1,0)</f>
        <v>0</v>
      </c>
      <c r="AN487" s="57" t="str">
        <f>IF($A487="","",$A487-WEEKDAY($A487,3))</f>
        <v/>
      </c>
      <c r="AO487" s="56" t="str">
        <f>IF($A487="","",WEEKDAY($A487,2))</f>
        <v/>
      </c>
      <c r="AP487" s="55" t="str">
        <f>IF(OR($AM487=0,$C487=""),"",IFERROR(N(INDEX(Accounts!$E$7:$E$16,MATCH($C487,Accounts!$B$7:$B$16,0))),0)+SUMIFS($Q$6:$Q487,$C$6:$C487,$C487))</f>
        <v/>
      </c>
      <c r="AQ487" s="55" t="str">
        <f>IF(OR($AM487=0,$C487=""),"",SUMIFS($Q$6:$Q$1005,$C$6:$C$1005,$C487,$A$6:$A$1005,$A487))</f>
        <v/>
      </c>
      <c r="AR487" s="55" t="str">
        <f>IF(OR($AM487=0,$C487=""),"",IFERROR(N(INDEX(Accounts!$E$7:$E$16,MATCH($C487,Accounts!$B$7:$B$16,0))),0)+SUMIFS($Q$6:$Q$1005,$C$6:$C$1005,$C487,$A$6:$A$1005,"&lt;="&amp;$A487))</f>
        <v/>
      </c>
      <c r="AS487" s="56">
        <f>IF(OR($AM487=0,$Q487=""),0,IF(AND($A487&gt;=Lists!$W$6,$A487&lt;=Lists!$W$7,OR(Dashboard!$D$6="All accounts",$C487=Dashboard!$D$6),OR(Dashboard!$D$7="All markets",$AF487=Dashboard!$D$7)),1,0))</f>
        <v>0</v>
      </c>
      <c r="AT487" s="55">
        <f>IF($AS487=1,N(AT486)+$Q487,N(AT486))</f>
        <v>1187.10688</v>
      </c>
      <c r="AU487" s="55">
        <f>MAX(N(AU486),$AT487)</f>
        <v>1187.10688</v>
      </c>
      <c r="AV487" s="55">
        <f>$AT487-$AU487</f>
        <v>0</v>
      </c>
      <c r="AW487" s="56">
        <f>IF($AS487=1,IF($S487="Win",N(AW486)+1,IF($S487="Loss",0,N(AW486))),N(AW486))</f>
        <v>5</v>
      </c>
      <c r="AX487" s="56">
        <f>IF($AS487=1,IF($S487="Loss",N(AX486)+1,IF($S487="Win",0,N(AX486))),N(AX486))</f>
        <v>0</v>
      </c>
      <c r="AY487" s="56" t="str">
        <f>IF($AS487=1,COUNTIF($AS$6:$AS487,1),"")</f>
        <v/>
      </c>
      <c r="AZ487" s="56">
        <f>MIN(481,N(Lists!$W$8))</f>
        <v>28</v>
      </c>
      <c r="BA487" s="56">
        <f>IF($AS487=1,IF(COUNTIFS($A$6:$A487,$A487,$AS$6:$AS487,1)=1,1,0),0)</f>
        <v>0</v>
      </c>
      <c r="BB487" s="55" t="str">
        <f>IF($BA487=1,SUMIFS($Q$6:$Q$1005,$A$6:$A$1005,$A487,$AS$6:$AS$1005,1),"")</f>
        <v/>
      </c>
      <c r="BC487" s="56">
        <f>IF(ISNUMBER($R487),1,0)</f>
        <v>0</v>
      </c>
      <c r="BD487" s="55" t="str">
        <f>IF(ISNUMBER($U487),$U487*$V487,"")</f>
        <v/>
      </c>
      <c r="BE487" s="56" t="str">
        <f>IF($AM487=0,"",IFERROR(MATCH($AF487&amp;"|"&amp;UPPER(TRIM($E487)),Lists!$A$6:$A$205,0),0))</f>
        <v/>
      </c>
      <c r="BF487" s="56" t="str">
        <f>IF($AM487=0,"",IFERROR(MATCH($AF487,Settings!$B$14:$B$18,0),IFERROR(MATCH(Settings!$C$6,Settings!$B$14:$B$18,0),1)))</f>
        <v/>
      </c>
      <c r="BG487" s="58" t="str">
        <f>IF($AM487=0,"",IF(NOT(ISNUMBER($I487)),"No stop; ","")&amp;IF(AND(ISNUMBER($H487),ISNUMBER($I487)),IF(OR(AND($F487&lt;&gt;"Short",$I487&gt;=$H487),AND($F487="Short",$I487&lt;=$H487)),"Stop on wrong side; ",""),"")&amp;IF($F487="","No direction; ","")&amp;IF(AND(ISNUMBER(Settings!$C$22),ISNUMBER($V487)),IF($V487&gt;Settings!$C$22,"Risk over max $; ",""),"")&amp;IF(AND(ISNUMBER(Settings!$C$23),ISNUMBER($V487),ISNUMBER($AP487),IFERROR(N(INDEX(Accounts!$E$7:$E$16,MATCH($C487,Accounts!$B$7:$B$16,0))),0)&gt;0),IF($V487&gt;Settings!$C$23*($AP487-N($Q487)),"Risk over max %; ",""),"")&amp;IF(AND(ISNUMBER(Settings!$C$24),ISNUMBER($N487)),IF($N487&gt;Settings!$C$24,"Leverage over max; ",""),"")&amp;IF(AND(ISNUMBER(Settings!$C$27),ISNUMBER($T487)),IF($T487&lt;Settings!$C$27,"R:R below min; ",""),"")&amp;IF(ISNUMBER(Settings!$C$25),IF(COUNTIFS($A$6:$A487,$A487,$AM$6:$AM487,1)&gt;Settings!$C$25,"Over max trades/day; ",""),"")&amp;IF(ISNUMBER(Settings!$C$26),IF(SUMIFS($Q$5:$Q486,$A$5:$A486,$A487)&lt;=-Settings!$C$26,"Traded after daily max loss; ",""),"")&amp;IF(AND($AG487="",NOT(ISNUMBER($O487))),"Symbol not in Instruments; ","")&amp;IF(AND($AH487="",NOT(ISNUMBER($O487))),"Forex cross: type Gross P&amp;L; ",""))</f>
        <v/>
      </c>
      <c r="BH487" s="56">
        <f>IF(ISNUMBER($Q487),1,0)</f>
        <v>0</v>
      </c>
      <c r="BI487" s="56">
        <f>IF($Y487="",0,1)</f>
        <v>0</v>
      </c>
      <c r="BJ487" s="56">
        <f>IF($AB487="",0,1)</f>
        <v>0</v>
      </c>
      <c r="BK487" s="56">
        <f>IF(AND($BH487=1,$W487&lt;&gt;"OK"),1,0)</f>
        <v>0</v>
      </c>
      <c r="BL487" s="55">
        <f>IF(N($AZ487)=0,0,IFERROR(INDEX($AT$6:$AT$1005,MATCH($AZ487,$AY$6:$AY$1005,0)),0))</f>
        <v>1187.10688</v>
      </c>
      <c r="BM487" s="56">
        <f>IF(ISNUMBER(SEARCH("daily max loss",$BG487)),1,0)</f>
        <v>0</v>
      </c>
    </row>
    <row r="488" ht="18" customHeight="1">
      <c r="A488" s="38" t="n"/>
      <c r="B488" s="39" t="n"/>
      <c r="C488" s="40" t="n"/>
      <c r="D488" s="41" t="n"/>
      <c r="E488" s="41" t="n"/>
      <c r="F488" s="41" t="n"/>
      <c r="G488" s="41" t="n"/>
      <c r="H488" s="42" t="n"/>
      <c r="I488" s="42" t="n"/>
      <c r="J488" s="42" t="n"/>
      <c r="K488" s="42" t="n"/>
      <c r="L488" s="41" t="n"/>
      <c r="M488" s="41" t="n"/>
      <c r="N488" s="41" t="n"/>
      <c r="O488" s="43" t="n"/>
      <c r="P488" s="43" t="n"/>
      <c r="Q488" s="44" t="str">
        <f>IF($AM488=0,"",IF(ISNUMBER($AK488),$AK488-N($AL488),""))</f>
        <v/>
      </c>
      <c r="R488" s="45" t="str">
        <f>IF(OR($Q488="",NOT(ISNUMBER($V488))),"",$AK488/$V488)</f>
        <v/>
      </c>
      <c r="S488" s="46" t="str">
        <f>IF($Q488="","",IF(AND(ISNUMBER($R488),ABS(N($R488))&lt;N(Settings!$C$8)),"Scratch",IF($Q488&gt;0,"Win",IF($Q488&lt;0,"Loss","Scratch"))))</f>
        <v/>
      </c>
      <c r="T488" s="47" t="str">
        <f>IF(OR($AM488=0,NOT(ISNUMBER($H488)),NOT(ISNUMBER($I488)),NOT(ISNUMBER($J488))),"",IF($H488=$I488,"",ROUND(ABS($J488-$H488)/ABS($H488-$I488),6)))</f>
        <v/>
      </c>
      <c r="U488" s="48" t="str">
        <f>IF(OR($S488&lt;&gt;"Win",NOT(ISNUMBER($T488)),NOT(ISNUMBER($R488))),"",MAX(0,$T488-$R488))</f>
        <v/>
      </c>
      <c r="V488" s="49" t="str">
        <f>IF(OR($AM488=0,NOT(ISNUMBER($H488)),NOT(ISNUMBER($I488)),NOT(ISNUMBER($G488))),"",IF(OR($AG488="",$AH488=""),"",IF(ROUND(ABS($H488-$I488)*ABS($G488)*$AG488*$AH488,6)=0,"",ROUND(ABS($H488-$I488)*ABS($G488)*$AG488*$AH488,6))))</f>
        <v/>
      </c>
      <c r="W488" s="50" t="str">
        <f>IF($AM488=0,"",IF($BG488="","OK",LEFT($BG488,LEN($BG488)-2)))</f>
        <v/>
      </c>
      <c r="X488" s="41" t="n"/>
      <c r="Y488" s="40" t="n"/>
      <c r="Z488" s="41" t="n"/>
      <c r="AA488" s="41" t="n"/>
      <c r="AB488" s="40" t="n"/>
      <c r="AC488" s="51" t="n"/>
      <c r="AD488" s="51" t="n"/>
      <c r="AE488" s="40" t="n"/>
      <c r="AF488" s="52" t="str">
        <f>IF($AM488=0,"",IF($D488&lt;&gt;"",$D488,IF(IFERROR(INDEX(Accounts!$C$7:$C$16,MATCH($C488,Accounts!$B$7:$B$16,0))&amp;"","")&lt;&gt;"",INDEX(Accounts!$C$7:$C$16,MATCH($C488,Accounts!$B$7:$B$16,0)),Settings!$C$6)))</f>
        <v/>
      </c>
      <c r="AG488" s="53" t="str">
        <f>IF($AM488=0,"",IF(AND($BE488&gt;0,N(INDEX(Instruments!$D$6:$D$205,MAX(1,$BE488)))&gt;0),INDEX(Instruments!$D$6:$D$205,MAX(1,$BE488)),IF(N(INDEX(Settings!$D$14:$D$18,$BF488))&gt;0,INDEX(Settings!$D$14:$D$18,$BF488),"")))</f>
        <v/>
      </c>
      <c r="AH488" s="54" t="str">
        <f>IF($AM488=0,"",IF($AF488&lt;&gt;"Forex",1,IF(MID(UPPER(SUBSTITUTE(TRIM($E488),"/","")),4,3)=UPPER(TRIM(Settings!$C$7)),1,IF(LEFT(UPPER(SUBSTITUTE(TRIM($E488),"/","")),3)=UPPER(TRIM(Settings!$C$7)),IF(AND(ISNUMBER($K488),N($K488)&lt;&gt;0),1/$K488,""),""))))</f>
        <v/>
      </c>
      <c r="AI488" s="55" t="str">
        <f>IF($AM488=0,"",IF(OR(NOT(ISNUMBER($H488)),NOT(ISNUMBER($K488)),NOT(ISNUMBER($G488)),$AG488="",$AH488=""),"",ROUND(($K488-$H488)*IF($F488="Short",-1,1)*$G488*$AG488*$AH488,6)))</f>
        <v/>
      </c>
      <c r="AJ488" s="55" t="str">
        <f>IF($AM488=0,"",IF(INDEX(Settings!$E$14:$E$18,$BF488)="% of notional",IF(OR($AG488="",NOT(ISNUMBER($H488)),NOT(ISNUMBER($G488))),"",ROUND(ABS($H488*$G488*$AG488*N($AH488))*IF($L488="Limit",N(INDEX(Settings!$G$14:$G$18,$BF488)),N(INDEX(Settings!$H$14:$H$18,$BF488)))+IF(ISNUMBER($K488),ABS($K488*$G488*$AG488*N($AH488))*IF($M488="Target",N(INDEX(Settings!$G$14:$G$18,$BF488)),N(INDEX(Settings!$H$14:$H$18,$BF488))),0),6)),IF(NOT(ISNUMBER($G488)),"",ROUND(ABS($G488)*2*IF(AND($BE488&gt;0,ISNUMBER(INDEX(Instruments!$G$6:$G$205,MAX(1,$BE488)))),INDEX(Instruments!$G$6:$G$205,MAX(1,$BE488)),N(INDEX(Settings!$F$14:$F$18,$BF488))),6))))</f>
        <v/>
      </c>
      <c r="AK488" s="55" t="str">
        <f>IF($AM488=0,"",IF(ISNUMBER($O488),$O488,$AI488))</f>
        <v/>
      </c>
      <c r="AL488" s="55" t="str">
        <f>IF($AM488=0,"",IF(ISNUMBER($P488),$P488,N($AJ488)))</f>
        <v/>
      </c>
      <c r="AM488" s="56">
        <f>IF(AND($A488&lt;&gt;"",$E488&lt;&gt;"",OR(AND(ISNUMBER($G488),ISNUMBER($H488),ISNUMBER($K488)),ISNUMBER($O488))),1,0)</f>
        <v>0</v>
      </c>
      <c r="AN488" s="57" t="str">
        <f>IF($A488="","",$A488-WEEKDAY($A488,3))</f>
        <v/>
      </c>
      <c r="AO488" s="56" t="str">
        <f>IF($A488="","",WEEKDAY($A488,2))</f>
        <v/>
      </c>
      <c r="AP488" s="55" t="str">
        <f>IF(OR($AM488=0,$C488=""),"",IFERROR(N(INDEX(Accounts!$E$7:$E$16,MATCH($C488,Accounts!$B$7:$B$16,0))),0)+SUMIFS($Q$6:$Q488,$C$6:$C488,$C488))</f>
        <v/>
      </c>
      <c r="AQ488" s="55" t="str">
        <f>IF(OR($AM488=0,$C488=""),"",SUMIFS($Q$6:$Q$1005,$C$6:$C$1005,$C488,$A$6:$A$1005,$A488))</f>
        <v/>
      </c>
      <c r="AR488" s="55" t="str">
        <f>IF(OR($AM488=0,$C488=""),"",IFERROR(N(INDEX(Accounts!$E$7:$E$16,MATCH($C488,Accounts!$B$7:$B$16,0))),0)+SUMIFS($Q$6:$Q$1005,$C$6:$C$1005,$C488,$A$6:$A$1005,"&lt;="&amp;$A488))</f>
        <v/>
      </c>
      <c r="AS488" s="56">
        <f>IF(OR($AM488=0,$Q488=""),0,IF(AND($A488&gt;=Lists!$W$6,$A488&lt;=Lists!$W$7,OR(Dashboard!$D$6="All accounts",$C488=Dashboard!$D$6),OR(Dashboard!$D$7="All markets",$AF488=Dashboard!$D$7)),1,0))</f>
        <v>0</v>
      </c>
      <c r="AT488" s="55">
        <f>IF($AS488=1,N(AT487)+$Q488,N(AT487))</f>
        <v>1187.10688</v>
      </c>
      <c r="AU488" s="55">
        <f>MAX(N(AU487),$AT488)</f>
        <v>1187.10688</v>
      </c>
      <c r="AV488" s="55">
        <f>$AT488-$AU488</f>
        <v>0</v>
      </c>
      <c r="AW488" s="56">
        <f>IF($AS488=1,IF($S488="Win",N(AW487)+1,IF($S488="Loss",0,N(AW487))),N(AW487))</f>
        <v>5</v>
      </c>
      <c r="AX488" s="56">
        <f>IF($AS488=1,IF($S488="Loss",N(AX487)+1,IF($S488="Win",0,N(AX487))),N(AX487))</f>
        <v>0</v>
      </c>
      <c r="AY488" s="56" t="str">
        <f>IF($AS488=1,COUNTIF($AS$6:$AS488,1),"")</f>
        <v/>
      </c>
      <c r="AZ488" s="56">
        <f>MIN(482,N(Lists!$W$8))</f>
        <v>28</v>
      </c>
      <c r="BA488" s="56">
        <f>IF($AS488=1,IF(COUNTIFS($A$6:$A488,$A488,$AS$6:$AS488,1)=1,1,0),0)</f>
        <v>0</v>
      </c>
      <c r="BB488" s="55" t="str">
        <f>IF($BA488=1,SUMIFS($Q$6:$Q$1005,$A$6:$A$1005,$A488,$AS$6:$AS$1005,1),"")</f>
        <v/>
      </c>
      <c r="BC488" s="56">
        <f>IF(ISNUMBER($R488),1,0)</f>
        <v>0</v>
      </c>
      <c r="BD488" s="55" t="str">
        <f>IF(ISNUMBER($U488),$U488*$V488,"")</f>
        <v/>
      </c>
      <c r="BE488" s="56" t="str">
        <f>IF($AM488=0,"",IFERROR(MATCH($AF488&amp;"|"&amp;UPPER(TRIM($E488)),Lists!$A$6:$A$205,0),0))</f>
        <v/>
      </c>
      <c r="BF488" s="56" t="str">
        <f>IF($AM488=0,"",IFERROR(MATCH($AF488,Settings!$B$14:$B$18,0),IFERROR(MATCH(Settings!$C$6,Settings!$B$14:$B$18,0),1)))</f>
        <v/>
      </c>
      <c r="BG488" s="58" t="str">
        <f>IF($AM488=0,"",IF(NOT(ISNUMBER($I488)),"No stop; ","")&amp;IF(AND(ISNUMBER($H488),ISNUMBER($I488)),IF(OR(AND($F488&lt;&gt;"Short",$I488&gt;=$H488),AND($F488="Short",$I488&lt;=$H488)),"Stop on wrong side; ",""),"")&amp;IF($F488="","No direction; ","")&amp;IF(AND(ISNUMBER(Settings!$C$22),ISNUMBER($V488)),IF($V488&gt;Settings!$C$22,"Risk over max $; ",""),"")&amp;IF(AND(ISNUMBER(Settings!$C$23),ISNUMBER($V488),ISNUMBER($AP488),IFERROR(N(INDEX(Accounts!$E$7:$E$16,MATCH($C488,Accounts!$B$7:$B$16,0))),0)&gt;0),IF($V488&gt;Settings!$C$23*($AP488-N($Q488)),"Risk over max %; ",""),"")&amp;IF(AND(ISNUMBER(Settings!$C$24),ISNUMBER($N488)),IF($N488&gt;Settings!$C$24,"Leverage over max; ",""),"")&amp;IF(AND(ISNUMBER(Settings!$C$27),ISNUMBER($T488)),IF($T488&lt;Settings!$C$27,"R:R below min; ",""),"")&amp;IF(ISNUMBER(Settings!$C$25),IF(COUNTIFS($A$6:$A488,$A488,$AM$6:$AM488,1)&gt;Settings!$C$25,"Over max trades/day; ",""),"")&amp;IF(ISNUMBER(Settings!$C$26),IF(SUMIFS($Q$5:$Q487,$A$5:$A487,$A488)&lt;=-Settings!$C$26,"Traded after daily max loss; ",""),"")&amp;IF(AND($AG488="",NOT(ISNUMBER($O488))),"Symbol not in Instruments; ","")&amp;IF(AND($AH488="",NOT(ISNUMBER($O488))),"Forex cross: type Gross P&amp;L; ",""))</f>
        <v/>
      </c>
      <c r="BH488" s="56">
        <f>IF(ISNUMBER($Q488),1,0)</f>
        <v>0</v>
      </c>
      <c r="BI488" s="56">
        <f>IF($Y488="",0,1)</f>
        <v>0</v>
      </c>
      <c r="BJ488" s="56">
        <f>IF($AB488="",0,1)</f>
        <v>0</v>
      </c>
      <c r="BK488" s="56">
        <f>IF(AND($BH488=1,$W488&lt;&gt;"OK"),1,0)</f>
        <v>0</v>
      </c>
      <c r="BL488" s="55">
        <f>IF(N($AZ488)=0,0,IFERROR(INDEX($AT$6:$AT$1005,MATCH($AZ488,$AY$6:$AY$1005,0)),0))</f>
        <v>1187.10688</v>
      </c>
      <c r="BM488" s="56">
        <f>IF(ISNUMBER(SEARCH("daily max loss",$BG488)),1,0)</f>
        <v>0</v>
      </c>
    </row>
    <row r="489" ht="18" customHeight="1">
      <c r="A489" s="38" t="n"/>
      <c r="B489" s="39" t="n"/>
      <c r="C489" s="40" t="n"/>
      <c r="D489" s="41" t="n"/>
      <c r="E489" s="41" t="n"/>
      <c r="F489" s="41" t="n"/>
      <c r="G489" s="41" t="n"/>
      <c r="H489" s="42" t="n"/>
      <c r="I489" s="42" t="n"/>
      <c r="J489" s="42" t="n"/>
      <c r="K489" s="42" t="n"/>
      <c r="L489" s="41" t="n"/>
      <c r="M489" s="41" t="n"/>
      <c r="N489" s="41" t="n"/>
      <c r="O489" s="43" t="n"/>
      <c r="P489" s="43" t="n"/>
      <c r="Q489" s="44" t="str">
        <f>IF($AM489=0,"",IF(ISNUMBER($AK489),$AK489-N($AL489),""))</f>
        <v/>
      </c>
      <c r="R489" s="45" t="str">
        <f>IF(OR($Q489="",NOT(ISNUMBER($V489))),"",$AK489/$V489)</f>
        <v/>
      </c>
      <c r="S489" s="46" t="str">
        <f>IF($Q489="","",IF(AND(ISNUMBER($R489),ABS(N($R489))&lt;N(Settings!$C$8)),"Scratch",IF($Q489&gt;0,"Win",IF($Q489&lt;0,"Loss","Scratch"))))</f>
        <v/>
      </c>
      <c r="T489" s="47" t="str">
        <f>IF(OR($AM489=0,NOT(ISNUMBER($H489)),NOT(ISNUMBER($I489)),NOT(ISNUMBER($J489))),"",IF($H489=$I489,"",ROUND(ABS($J489-$H489)/ABS($H489-$I489),6)))</f>
        <v/>
      </c>
      <c r="U489" s="48" t="str">
        <f>IF(OR($S489&lt;&gt;"Win",NOT(ISNUMBER($T489)),NOT(ISNUMBER($R489))),"",MAX(0,$T489-$R489))</f>
        <v/>
      </c>
      <c r="V489" s="49" t="str">
        <f>IF(OR($AM489=0,NOT(ISNUMBER($H489)),NOT(ISNUMBER($I489)),NOT(ISNUMBER($G489))),"",IF(OR($AG489="",$AH489=""),"",IF(ROUND(ABS($H489-$I489)*ABS($G489)*$AG489*$AH489,6)=0,"",ROUND(ABS($H489-$I489)*ABS($G489)*$AG489*$AH489,6))))</f>
        <v/>
      </c>
      <c r="W489" s="50" t="str">
        <f>IF($AM489=0,"",IF($BG489="","OK",LEFT($BG489,LEN($BG489)-2)))</f>
        <v/>
      </c>
      <c r="X489" s="41" t="n"/>
      <c r="Y489" s="40" t="n"/>
      <c r="Z489" s="41" t="n"/>
      <c r="AA489" s="41" t="n"/>
      <c r="AB489" s="40" t="n"/>
      <c r="AC489" s="51" t="n"/>
      <c r="AD489" s="51" t="n"/>
      <c r="AE489" s="40" t="n"/>
      <c r="AF489" s="52" t="str">
        <f>IF($AM489=0,"",IF($D489&lt;&gt;"",$D489,IF(IFERROR(INDEX(Accounts!$C$7:$C$16,MATCH($C489,Accounts!$B$7:$B$16,0))&amp;"","")&lt;&gt;"",INDEX(Accounts!$C$7:$C$16,MATCH($C489,Accounts!$B$7:$B$16,0)),Settings!$C$6)))</f>
        <v/>
      </c>
      <c r="AG489" s="53" t="str">
        <f>IF($AM489=0,"",IF(AND($BE489&gt;0,N(INDEX(Instruments!$D$6:$D$205,MAX(1,$BE489)))&gt;0),INDEX(Instruments!$D$6:$D$205,MAX(1,$BE489)),IF(N(INDEX(Settings!$D$14:$D$18,$BF489))&gt;0,INDEX(Settings!$D$14:$D$18,$BF489),"")))</f>
        <v/>
      </c>
      <c r="AH489" s="54" t="str">
        <f>IF($AM489=0,"",IF($AF489&lt;&gt;"Forex",1,IF(MID(UPPER(SUBSTITUTE(TRIM($E489),"/","")),4,3)=UPPER(TRIM(Settings!$C$7)),1,IF(LEFT(UPPER(SUBSTITUTE(TRIM($E489),"/","")),3)=UPPER(TRIM(Settings!$C$7)),IF(AND(ISNUMBER($K489),N($K489)&lt;&gt;0),1/$K489,""),""))))</f>
        <v/>
      </c>
      <c r="AI489" s="55" t="str">
        <f>IF($AM489=0,"",IF(OR(NOT(ISNUMBER($H489)),NOT(ISNUMBER($K489)),NOT(ISNUMBER($G489)),$AG489="",$AH489=""),"",ROUND(($K489-$H489)*IF($F489="Short",-1,1)*$G489*$AG489*$AH489,6)))</f>
        <v/>
      </c>
      <c r="AJ489" s="55" t="str">
        <f>IF($AM489=0,"",IF(INDEX(Settings!$E$14:$E$18,$BF489)="% of notional",IF(OR($AG489="",NOT(ISNUMBER($H489)),NOT(ISNUMBER($G489))),"",ROUND(ABS($H489*$G489*$AG489*N($AH489))*IF($L489="Limit",N(INDEX(Settings!$G$14:$G$18,$BF489)),N(INDEX(Settings!$H$14:$H$18,$BF489)))+IF(ISNUMBER($K489),ABS($K489*$G489*$AG489*N($AH489))*IF($M489="Target",N(INDEX(Settings!$G$14:$G$18,$BF489)),N(INDEX(Settings!$H$14:$H$18,$BF489))),0),6)),IF(NOT(ISNUMBER($G489)),"",ROUND(ABS($G489)*2*IF(AND($BE489&gt;0,ISNUMBER(INDEX(Instruments!$G$6:$G$205,MAX(1,$BE489)))),INDEX(Instruments!$G$6:$G$205,MAX(1,$BE489)),N(INDEX(Settings!$F$14:$F$18,$BF489))),6))))</f>
        <v/>
      </c>
      <c r="AK489" s="55" t="str">
        <f>IF($AM489=0,"",IF(ISNUMBER($O489),$O489,$AI489))</f>
        <v/>
      </c>
      <c r="AL489" s="55" t="str">
        <f>IF($AM489=0,"",IF(ISNUMBER($P489),$P489,N($AJ489)))</f>
        <v/>
      </c>
      <c r="AM489" s="56">
        <f>IF(AND($A489&lt;&gt;"",$E489&lt;&gt;"",OR(AND(ISNUMBER($G489),ISNUMBER($H489),ISNUMBER($K489)),ISNUMBER($O489))),1,0)</f>
        <v>0</v>
      </c>
      <c r="AN489" s="57" t="str">
        <f>IF($A489="","",$A489-WEEKDAY($A489,3))</f>
        <v/>
      </c>
      <c r="AO489" s="56" t="str">
        <f>IF($A489="","",WEEKDAY($A489,2))</f>
        <v/>
      </c>
      <c r="AP489" s="55" t="str">
        <f>IF(OR($AM489=0,$C489=""),"",IFERROR(N(INDEX(Accounts!$E$7:$E$16,MATCH($C489,Accounts!$B$7:$B$16,0))),0)+SUMIFS($Q$6:$Q489,$C$6:$C489,$C489))</f>
        <v/>
      </c>
      <c r="AQ489" s="55" t="str">
        <f>IF(OR($AM489=0,$C489=""),"",SUMIFS($Q$6:$Q$1005,$C$6:$C$1005,$C489,$A$6:$A$1005,$A489))</f>
        <v/>
      </c>
      <c r="AR489" s="55" t="str">
        <f>IF(OR($AM489=0,$C489=""),"",IFERROR(N(INDEX(Accounts!$E$7:$E$16,MATCH($C489,Accounts!$B$7:$B$16,0))),0)+SUMIFS($Q$6:$Q$1005,$C$6:$C$1005,$C489,$A$6:$A$1005,"&lt;="&amp;$A489))</f>
        <v/>
      </c>
      <c r="AS489" s="56">
        <f>IF(OR($AM489=0,$Q489=""),0,IF(AND($A489&gt;=Lists!$W$6,$A489&lt;=Lists!$W$7,OR(Dashboard!$D$6="All accounts",$C489=Dashboard!$D$6),OR(Dashboard!$D$7="All markets",$AF489=Dashboard!$D$7)),1,0))</f>
        <v>0</v>
      </c>
      <c r="AT489" s="55">
        <f>IF($AS489=1,N(AT488)+$Q489,N(AT488))</f>
        <v>1187.10688</v>
      </c>
      <c r="AU489" s="55">
        <f>MAX(N(AU488),$AT489)</f>
        <v>1187.10688</v>
      </c>
      <c r="AV489" s="55">
        <f>$AT489-$AU489</f>
        <v>0</v>
      </c>
      <c r="AW489" s="56">
        <f>IF($AS489=1,IF($S489="Win",N(AW488)+1,IF($S489="Loss",0,N(AW488))),N(AW488))</f>
        <v>5</v>
      </c>
      <c r="AX489" s="56">
        <f>IF($AS489=1,IF($S489="Loss",N(AX488)+1,IF($S489="Win",0,N(AX488))),N(AX488))</f>
        <v>0</v>
      </c>
      <c r="AY489" s="56" t="str">
        <f>IF($AS489=1,COUNTIF($AS$6:$AS489,1),"")</f>
        <v/>
      </c>
      <c r="AZ489" s="56">
        <f>MIN(483,N(Lists!$W$8))</f>
        <v>28</v>
      </c>
      <c r="BA489" s="56">
        <f>IF($AS489=1,IF(COUNTIFS($A$6:$A489,$A489,$AS$6:$AS489,1)=1,1,0),0)</f>
        <v>0</v>
      </c>
      <c r="BB489" s="55" t="str">
        <f>IF($BA489=1,SUMIFS($Q$6:$Q$1005,$A$6:$A$1005,$A489,$AS$6:$AS$1005,1),"")</f>
        <v/>
      </c>
      <c r="BC489" s="56">
        <f>IF(ISNUMBER($R489),1,0)</f>
        <v>0</v>
      </c>
      <c r="BD489" s="55" t="str">
        <f>IF(ISNUMBER($U489),$U489*$V489,"")</f>
        <v/>
      </c>
      <c r="BE489" s="56" t="str">
        <f>IF($AM489=0,"",IFERROR(MATCH($AF489&amp;"|"&amp;UPPER(TRIM($E489)),Lists!$A$6:$A$205,0),0))</f>
        <v/>
      </c>
      <c r="BF489" s="56" t="str">
        <f>IF($AM489=0,"",IFERROR(MATCH($AF489,Settings!$B$14:$B$18,0),IFERROR(MATCH(Settings!$C$6,Settings!$B$14:$B$18,0),1)))</f>
        <v/>
      </c>
      <c r="BG489" s="58" t="str">
        <f>IF($AM489=0,"",IF(NOT(ISNUMBER($I489)),"No stop; ","")&amp;IF(AND(ISNUMBER($H489),ISNUMBER($I489)),IF(OR(AND($F489&lt;&gt;"Short",$I489&gt;=$H489),AND($F489="Short",$I489&lt;=$H489)),"Stop on wrong side; ",""),"")&amp;IF($F489="","No direction; ","")&amp;IF(AND(ISNUMBER(Settings!$C$22),ISNUMBER($V489)),IF($V489&gt;Settings!$C$22,"Risk over max $; ",""),"")&amp;IF(AND(ISNUMBER(Settings!$C$23),ISNUMBER($V489),ISNUMBER($AP489),IFERROR(N(INDEX(Accounts!$E$7:$E$16,MATCH($C489,Accounts!$B$7:$B$16,0))),0)&gt;0),IF($V489&gt;Settings!$C$23*($AP489-N($Q489)),"Risk over max %; ",""),"")&amp;IF(AND(ISNUMBER(Settings!$C$24),ISNUMBER($N489)),IF($N489&gt;Settings!$C$24,"Leverage over max; ",""),"")&amp;IF(AND(ISNUMBER(Settings!$C$27),ISNUMBER($T489)),IF($T489&lt;Settings!$C$27,"R:R below min; ",""),"")&amp;IF(ISNUMBER(Settings!$C$25),IF(COUNTIFS($A$6:$A489,$A489,$AM$6:$AM489,1)&gt;Settings!$C$25,"Over max trades/day; ",""),"")&amp;IF(ISNUMBER(Settings!$C$26),IF(SUMIFS($Q$5:$Q488,$A$5:$A488,$A489)&lt;=-Settings!$C$26,"Traded after daily max loss; ",""),"")&amp;IF(AND($AG489="",NOT(ISNUMBER($O489))),"Symbol not in Instruments; ","")&amp;IF(AND($AH489="",NOT(ISNUMBER($O489))),"Forex cross: type Gross P&amp;L; ",""))</f>
        <v/>
      </c>
      <c r="BH489" s="56">
        <f>IF(ISNUMBER($Q489),1,0)</f>
        <v>0</v>
      </c>
      <c r="BI489" s="56">
        <f>IF($Y489="",0,1)</f>
        <v>0</v>
      </c>
      <c r="BJ489" s="56">
        <f>IF($AB489="",0,1)</f>
        <v>0</v>
      </c>
      <c r="BK489" s="56">
        <f>IF(AND($BH489=1,$W489&lt;&gt;"OK"),1,0)</f>
        <v>0</v>
      </c>
      <c r="BL489" s="55">
        <f>IF(N($AZ489)=0,0,IFERROR(INDEX($AT$6:$AT$1005,MATCH($AZ489,$AY$6:$AY$1005,0)),0))</f>
        <v>1187.10688</v>
      </c>
      <c r="BM489" s="56">
        <f>IF(ISNUMBER(SEARCH("daily max loss",$BG489)),1,0)</f>
        <v>0</v>
      </c>
    </row>
    <row r="490" ht="18" customHeight="1">
      <c r="A490" s="38" t="n"/>
      <c r="B490" s="39" t="n"/>
      <c r="C490" s="40" t="n"/>
      <c r="D490" s="41" t="n"/>
      <c r="E490" s="41" t="n"/>
      <c r="F490" s="41" t="n"/>
      <c r="G490" s="41" t="n"/>
      <c r="H490" s="42" t="n"/>
      <c r="I490" s="42" t="n"/>
      <c r="J490" s="42" t="n"/>
      <c r="K490" s="42" t="n"/>
      <c r="L490" s="41" t="n"/>
      <c r="M490" s="41" t="n"/>
      <c r="N490" s="41" t="n"/>
      <c r="O490" s="43" t="n"/>
      <c r="P490" s="43" t="n"/>
      <c r="Q490" s="44" t="str">
        <f>IF($AM490=0,"",IF(ISNUMBER($AK490),$AK490-N($AL490),""))</f>
        <v/>
      </c>
      <c r="R490" s="45" t="str">
        <f>IF(OR($Q490="",NOT(ISNUMBER($V490))),"",$AK490/$V490)</f>
        <v/>
      </c>
      <c r="S490" s="46" t="str">
        <f>IF($Q490="","",IF(AND(ISNUMBER($R490),ABS(N($R490))&lt;N(Settings!$C$8)),"Scratch",IF($Q490&gt;0,"Win",IF($Q490&lt;0,"Loss","Scratch"))))</f>
        <v/>
      </c>
      <c r="T490" s="47" t="str">
        <f>IF(OR($AM490=0,NOT(ISNUMBER($H490)),NOT(ISNUMBER($I490)),NOT(ISNUMBER($J490))),"",IF($H490=$I490,"",ROUND(ABS($J490-$H490)/ABS($H490-$I490),6)))</f>
        <v/>
      </c>
      <c r="U490" s="48" t="str">
        <f>IF(OR($S490&lt;&gt;"Win",NOT(ISNUMBER($T490)),NOT(ISNUMBER($R490))),"",MAX(0,$T490-$R490))</f>
        <v/>
      </c>
      <c r="V490" s="49" t="str">
        <f>IF(OR($AM490=0,NOT(ISNUMBER($H490)),NOT(ISNUMBER($I490)),NOT(ISNUMBER($G490))),"",IF(OR($AG490="",$AH490=""),"",IF(ROUND(ABS($H490-$I490)*ABS($G490)*$AG490*$AH490,6)=0,"",ROUND(ABS($H490-$I490)*ABS($G490)*$AG490*$AH490,6))))</f>
        <v/>
      </c>
      <c r="W490" s="50" t="str">
        <f>IF($AM490=0,"",IF($BG490="","OK",LEFT($BG490,LEN($BG490)-2)))</f>
        <v/>
      </c>
      <c r="X490" s="41" t="n"/>
      <c r="Y490" s="40" t="n"/>
      <c r="Z490" s="41" t="n"/>
      <c r="AA490" s="41" t="n"/>
      <c r="AB490" s="40" t="n"/>
      <c r="AC490" s="51" t="n"/>
      <c r="AD490" s="51" t="n"/>
      <c r="AE490" s="40" t="n"/>
      <c r="AF490" s="52" t="str">
        <f>IF($AM490=0,"",IF($D490&lt;&gt;"",$D490,IF(IFERROR(INDEX(Accounts!$C$7:$C$16,MATCH($C490,Accounts!$B$7:$B$16,0))&amp;"","")&lt;&gt;"",INDEX(Accounts!$C$7:$C$16,MATCH($C490,Accounts!$B$7:$B$16,0)),Settings!$C$6)))</f>
        <v/>
      </c>
      <c r="AG490" s="53" t="str">
        <f>IF($AM490=0,"",IF(AND($BE490&gt;0,N(INDEX(Instruments!$D$6:$D$205,MAX(1,$BE490)))&gt;0),INDEX(Instruments!$D$6:$D$205,MAX(1,$BE490)),IF(N(INDEX(Settings!$D$14:$D$18,$BF490))&gt;0,INDEX(Settings!$D$14:$D$18,$BF490),"")))</f>
        <v/>
      </c>
      <c r="AH490" s="54" t="str">
        <f>IF($AM490=0,"",IF($AF490&lt;&gt;"Forex",1,IF(MID(UPPER(SUBSTITUTE(TRIM($E490),"/","")),4,3)=UPPER(TRIM(Settings!$C$7)),1,IF(LEFT(UPPER(SUBSTITUTE(TRIM($E490),"/","")),3)=UPPER(TRIM(Settings!$C$7)),IF(AND(ISNUMBER($K490),N($K490)&lt;&gt;0),1/$K490,""),""))))</f>
        <v/>
      </c>
      <c r="AI490" s="55" t="str">
        <f>IF($AM490=0,"",IF(OR(NOT(ISNUMBER($H490)),NOT(ISNUMBER($K490)),NOT(ISNUMBER($G490)),$AG490="",$AH490=""),"",ROUND(($K490-$H490)*IF($F490="Short",-1,1)*$G490*$AG490*$AH490,6)))</f>
        <v/>
      </c>
      <c r="AJ490" s="55" t="str">
        <f>IF($AM490=0,"",IF(INDEX(Settings!$E$14:$E$18,$BF490)="% of notional",IF(OR($AG490="",NOT(ISNUMBER($H490)),NOT(ISNUMBER($G490))),"",ROUND(ABS($H490*$G490*$AG490*N($AH490))*IF($L490="Limit",N(INDEX(Settings!$G$14:$G$18,$BF490)),N(INDEX(Settings!$H$14:$H$18,$BF490)))+IF(ISNUMBER($K490),ABS($K490*$G490*$AG490*N($AH490))*IF($M490="Target",N(INDEX(Settings!$G$14:$G$18,$BF490)),N(INDEX(Settings!$H$14:$H$18,$BF490))),0),6)),IF(NOT(ISNUMBER($G490)),"",ROUND(ABS($G490)*2*IF(AND($BE490&gt;0,ISNUMBER(INDEX(Instruments!$G$6:$G$205,MAX(1,$BE490)))),INDEX(Instruments!$G$6:$G$205,MAX(1,$BE490)),N(INDEX(Settings!$F$14:$F$18,$BF490))),6))))</f>
        <v/>
      </c>
      <c r="AK490" s="55" t="str">
        <f>IF($AM490=0,"",IF(ISNUMBER($O490),$O490,$AI490))</f>
        <v/>
      </c>
      <c r="AL490" s="55" t="str">
        <f>IF($AM490=0,"",IF(ISNUMBER($P490),$P490,N($AJ490)))</f>
        <v/>
      </c>
      <c r="AM490" s="56">
        <f>IF(AND($A490&lt;&gt;"",$E490&lt;&gt;"",OR(AND(ISNUMBER($G490),ISNUMBER($H490),ISNUMBER($K490)),ISNUMBER($O490))),1,0)</f>
        <v>0</v>
      </c>
      <c r="AN490" s="57" t="str">
        <f>IF($A490="","",$A490-WEEKDAY($A490,3))</f>
        <v/>
      </c>
      <c r="AO490" s="56" t="str">
        <f>IF($A490="","",WEEKDAY($A490,2))</f>
        <v/>
      </c>
      <c r="AP490" s="55" t="str">
        <f>IF(OR($AM490=0,$C490=""),"",IFERROR(N(INDEX(Accounts!$E$7:$E$16,MATCH($C490,Accounts!$B$7:$B$16,0))),0)+SUMIFS($Q$6:$Q490,$C$6:$C490,$C490))</f>
        <v/>
      </c>
      <c r="AQ490" s="55" t="str">
        <f>IF(OR($AM490=0,$C490=""),"",SUMIFS($Q$6:$Q$1005,$C$6:$C$1005,$C490,$A$6:$A$1005,$A490))</f>
        <v/>
      </c>
      <c r="AR490" s="55" t="str">
        <f>IF(OR($AM490=0,$C490=""),"",IFERROR(N(INDEX(Accounts!$E$7:$E$16,MATCH($C490,Accounts!$B$7:$B$16,0))),0)+SUMIFS($Q$6:$Q$1005,$C$6:$C$1005,$C490,$A$6:$A$1005,"&lt;="&amp;$A490))</f>
        <v/>
      </c>
      <c r="AS490" s="56">
        <f>IF(OR($AM490=0,$Q490=""),0,IF(AND($A490&gt;=Lists!$W$6,$A490&lt;=Lists!$W$7,OR(Dashboard!$D$6="All accounts",$C490=Dashboard!$D$6),OR(Dashboard!$D$7="All markets",$AF490=Dashboard!$D$7)),1,0))</f>
        <v>0</v>
      </c>
      <c r="AT490" s="55">
        <f>IF($AS490=1,N(AT489)+$Q490,N(AT489))</f>
        <v>1187.10688</v>
      </c>
      <c r="AU490" s="55">
        <f>MAX(N(AU489),$AT490)</f>
        <v>1187.10688</v>
      </c>
      <c r="AV490" s="55">
        <f>$AT490-$AU490</f>
        <v>0</v>
      </c>
      <c r="AW490" s="56">
        <f>IF($AS490=1,IF($S490="Win",N(AW489)+1,IF($S490="Loss",0,N(AW489))),N(AW489))</f>
        <v>5</v>
      </c>
      <c r="AX490" s="56">
        <f>IF($AS490=1,IF($S490="Loss",N(AX489)+1,IF($S490="Win",0,N(AX489))),N(AX489))</f>
        <v>0</v>
      </c>
      <c r="AY490" s="56" t="str">
        <f>IF($AS490=1,COUNTIF($AS$6:$AS490,1),"")</f>
        <v/>
      </c>
      <c r="AZ490" s="56">
        <f>MIN(484,N(Lists!$W$8))</f>
        <v>28</v>
      </c>
      <c r="BA490" s="56">
        <f>IF($AS490=1,IF(COUNTIFS($A$6:$A490,$A490,$AS$6:$AS490,1)=1,1,0),0)</f>
        <v>0</v>
      </c>
      <c r="BB490" s="55" t="str">
        <f>IF($BA490=1,SUMIFS($Q$6:$Q$1005,$A$6:$A$1005,$A490,$AS$6:$AS$1005,1),"")</f>
        <v/>
      </c>
      <c r="BC490" s="56">
        <f>IF(ISNUMBER($R490),1,0)</f>
        <v>0</v>
      </c>
      <c r="BD490" s="55" t="str">
        <f>IF(ISNUMBER($U490),$U490*$V490,"")</f>
        <v/>
      </c>
      <c r="BE490" s="56" t="str">
        <f>IF($AM490=0,"",IFERROR(MATCH($AF490&amp;"|"&amp;UPPER(TRIM($E490)),Lists!$A$6:$A$205,0),0))</f>
        <v/>
      </c>
      <c r="BF490" s="56" t="str">
        <f>IF($AM490=0,"",IFERROR(MATCH($AF490,Settings!$B$14:$B$18,0),IFERROR(MATCH(Settings!$C$6,Settings!$B$14:$B$18,0),1)))</f>
        <v/>
      </c>
      <c r="BG490" s="58" t="str">
        <f>IF($AM490=0,"",IF(NOT(ISNUMBER($I490)),"No stop; ","")&amp;IF(AND(ISNUMBER($H490),ISNUMBER($I490)),IF(OR(AND($F490&lt;&gt;"Short",$I490&gt;=$H490),AND($F490="Short",$I490&lt;=$H490)),"Stop on wrong side; ",""),"")&amp;IF($F490="","No direction; ","")&amp;IF(AND(ISNUMBER(Settings!$C$22),ISNUMBER($V490)),IF($V490&gt;Settings!$C$22,"Risk over max $; ",""),"")&amp;IF(AND(ISNUMBER(Settings!$C$23),ISNUMBER($V490),ISNUMBER($AP490),IFERROR(N(INDEX(Accounts!$E$7:$E$16,MATCH($C490,Accounts!$B$7:$B$16,0))),0)&gt;0),IF($V490&gt;Settings!$C$23*($AP490-N($Q490)),"Risk over max %; ",""),"")&amp;IF(AND(ISNUMBER(Settings!$C$24),ISNUMBER($N490)),IF($N490&gt;Settings!$C$24,"Leverage over max; ",""),"")&amp;IF(AND(ISNUMBER(Settings!$C$27),ISNUMBER($T490)),IF($T490&lt;Settings!$C$27,"R:R below min; ",""),"")&amp;IF(ISNUMBER(Settings!$C$25),IF(COUNTIFS($A$6:$A490,$A490,$AM$6:$AM490,1)&gt;Settings!$C$25,"Over max trades/day; ",""),"")&amp;IF(ISNUMBER(Settings!$C$26),IF(SUMIFS($Q$5:$Q489,$A$5:$A489,$A490)&lt;=-Settings!$C$26,"Traded after daily max loss; ",""),"")&amp;IF(AND($AG490="",NOT(ISNUMBER($O490))),"Symbol not in Instruments; ","")&amp;IF(AND($AH490="",NOT(ISNUMBER($O490))),"Forex cross: type Gross P&amp;L; ",""))</f>
        <v/>
      </c>
      <c r="BH490" s="56">
        <f>IF(ISNUMBER($Q490),1,0)</f>
        <v>0</v>
      </c>
      <c r="BI490" s="56">
        <f>IF($Y490="",0,1)</f>
        <v>0</v>
      </c>
      <c r="BJ490" s="56">
        <f>IF($AB490="",0,1)</f>
        <v>0</v>
      </c>
      <c r="BK490" s="56">
        <f>IF(AND($BH490=1,$W490&lt;&gt;"OK"),1,0)</f>
        <v>0</v>
      </c>
      <c r="BL490" s="55">
        <f>IF(N($AZ490)=0,0,IFERROR(INDEX($AT$6:$AT$1005,MATCH($AZ490,$AY$6:$AY$1005,0)),0))</f>
        <v>1187.10688</v>
      </c>
      <c r="BM490" s="56">
        <f>IF(ISNUMBER(SEARCH("daily max loss",$BG490)),1,0)</f>
        <v>0</v>
      </c>
    </row>
    <row r="491" ht="18" customHeight="1">
      <c r="A491" s="38" t="n"/>
      <c r="B491" s="39" t="n"/>
      <c r="C491" s="40" t="n"/>
      <c r="D491" s="41" t="n"/>
      <c r="E491" s="41" t="n"/>
      <c r="F491" s="41" t="n"/>
      <c r="G491" s="41" t="n"/>
      <c r="H491" s="42" t="n"/>
      <c r="I491" s="42" t="n"/>
      <c r="J491" s="42" t="n"/>
      <c r="K491" s="42" t="n"/>
      <c r="L491" s="41" t="n"/>
      <c r="M491" s="41" t="n"/>
      <c r="N491" s="41" t="n"/>
      <c r="O491" s="43" t="n"/>
      <c r="P491" s="43" t="n"/>
      <c r="Q491" s="44" t="str">
        <f>IF($AM491=0,"",IF(ISNUMBER($AK491),$AK491-N($AL491),""))</f>
        <v/>
      </c>
      <c r="R491" s="45" t="str">
        <f>IF(OR($Q491="",NOT(ISNUMBER($V491))),"",$AK491/$V491)</f>
        <v/>
      </c>
      <c r="S491" s="46" t="str">
        <f>IF($Q491="","",IF(AND(ISNUMBER($R491),ABS(N($R491))&lt;N(Settings!$C$8)),"Scratch",IF($Q491&gt;0,"Win",IF($Q491&lt;0,"Loss","Scratch"))))</f>
        <v/>
      </c>
      <c r="T491" s="47" t="str">
        <f>IF(OR($AM491=0,NOT(ISNUMBER($H491)),NOT(ISNUMBER($I491)),NOT(ISNUMBER($J491))),"",IF($H491=$I491,"",ROUND(ABS($J491-$H491)/ABS($H491-$I491),6)))</f>
        <v/>
      </c>
      <c r="U491" s="48" t="str">
        <f>IF(OR($S491&lt;&gt;"Win",NOT(ISNUMBER($T491)),NOT(ISNUMBER($R491))),"",MAX(0,$T491-$R491))</f>
        <v/>
      </c>
      <c r="V491" s="49" t="str">
        <f>IF(OR($AM491=0,NOT(ISNUMBER($H491)),NOT(ISNUMBER($I491)),NOT(ISNUMBER($G491))),"",IF(OR($AG491="",$AH491=""),"",IF(ROUND(ABS($H491-$I491)*ABS($G491)*$AG491*$AH491,6)=0,"",ROUND(ABS($H491-$I491)*ABS($G491)*$AG491*$AH491,6))))</f>
        <v/>
      </c>
      <c r="W491" s="50" t="str">
        <f>IF($AM491=0,"",IF($BG491="","OK",LEFT($BG491,LEN($BG491)-2)))</f>
        <v/>
      </c>
      <c r="X491" s="41" t="n"/>
      <c r="Y491" s="40" t="n"/>
      <c r="Z491" s="41" t="n"/>
      <c r="AA491" s="41" t="n"/>
      <c r="AB491" s="40" t="n"/>
      <c r="AC491" s="51" t="n"/>
      <c r="AD491" s="51" t="n"/>
      <c r="AE491" s="40" t="n"/>
      <c r="AF491" s="52" t="str">
        <f>IF($AM491=0,"",IF($D491&lt;&gt;"",$D491,IF(IFERROR(INDEX(Accounts!$C$7:$C$16,MATCH($C491,Accounts!$B$7:$B$16,0))&amp;"","")&lt;&gt;"",INDEX(Accounts!$C$7:$C$16,MATCH($C491,Accounts!$B$7:$B$16,0)),Settings!$C$6)))</f>
        <v/>
      </c>
      <c r="AG491" s="53" t="str">
        <f>IF($AM491=0,"",IF(AND($BE491&gt;0,N(INDEX(Instruments!$D$6:$D$205,MAX(1,$BE491)))&gt;0),INDEX(Instruments!$D$6:$D$205,MAX(1,$BE491)),IF(N(INDEX(Settings!$D$14:$D$18,$BF491))&gt;0,INDEX(Settings!$D$14:$D$18,$BF491),"")))</f>
        <v/>
      </c>
      <c r="AH491" s="54" t="str">
        <f>IF($AM491=0,"",IF($AF491&lt;&gt;"Forex",1,IF(MID(UPPER(SUBSTITUTE(TRIM($E491),"/","")),4,3)=UPPER(TRIM(Settings!$C$7)),1,IF(LEFT(UPPER(SUBSTITUTE(TRIM($E491),"/","")),3)=UPPER(TRIM(Settings!$C$7)),IF(AND(ISNUMBER($K491),N($K491)&lt;&gt;0),1/$K491,""),""))))</f>
        <v/>
      </c>
      <c r="AI491" s="55" t="str">
        <f>IF($AM491=0,"",IF(OR(NOT(ISNUMBER($H491)),NOT(ISNUMBER($K491)),NOT(ISNUMBER($G491)),$AG491="",$AH491=""),"",ROUND(($K491-$H491)*IF($F491="Short",-1,1)*$G491*$AG491*$AH491,6)))</f>
        <v/>
      </c>
      <c r="AJ491" s="55" t="str">
        <f>IF($AM491=0,"",IF(INDEX(Settings!$E$14:$E$18,$BF491)="% of notional",IF(OR($AG491="",NOT(ISNUMBER($H491)),NOT(ISNUMBER($G491))),"",ROUND(ABS($H491*$G491*$AG491*N($AH491))*IF($L491="Limit",N(INDEX(Settings!$G$14:$G$18,$BF491)),N(INDEX(Settings!$H$14:$H$18,$BF491)))+IF(ISNUMBER($K491),ABS($K491*$G491*$AG491*N($AH491))*IF($M491="Target",N(INDEX(Settings!$G$14:$G$18,$BF491)),N(INDEX(Settings!$H$14:$H$18,$BF491))),0),6)),IF(NOT(ISNUMBER($G491)),"",ROUND(ABS($G491)*2*IF(AND($BE491&gt;0,ISNUMBER(INDEX(Instruments!$G$6:$G$205,MAX(1,$BE491)))),INDEX(Instruments!$G$6:$G$205,MAX(1,$BE491)),N(INDEX(Settings!$F$14:$F$18,$BF491))),6))))</f>
        <v/>
      </c>
      <c r="AK491" s="55" t="str">
        <f>IF($AM491=0,"",IF(ISNUMBER($O491),$O491,$AI491))</f>
        <v/>
      </c>
      <c r="AL491" s="55" t="str">
        <f>IF($AM491=0,"",IF(ISNUMBER($P491),$P491,N($AJ491)))</f>
        <v/>
      </c>
      <c r="AM491" s="56">
        <f>IF(AND($A491&lt;&gt;"",$E491&lt;&gt;"",OR(AND(ISNUMBER($G491),ISNUMBER($H491),ISNUMBER($K491)),ISNUMBER($O491))),1,0)</f>
        <v>0</v>
      </c>
      <c r="AN491" s="57" t="str">
        <f>IF($A491="","",$A491-WEEKDAY($A491,3))</f>
        <v/>
      </c>
      <c r="AO491" s="56" t="str">
        <f>IF($A491="","",WEEKDAY($A491,2))</f>
        <v/>
      </c>
      <c r="AP491" s="55" t="str">
        <f>IF(OR($AM491=0,$C491=""),"",IFERROR(N(INDEX(Accounts!$E$7:$E$16,MATCH($C491,Accounts!$B$7:$B$16,0))),0)+SUMIFS($Q$6:$Q491,$C$6:$C491,$C491))</f>
        <v/>
      </c>
      <c r="AQ491" s="55" t="str">
        <f>IF(OR($AM491=0,$C491=""),"",SUMIFS($Q$6:$Q$1005,$C$6:$C$1005,$C491,$A$6:$A$1005,$A491))</f>
        <v/>
      </c>
      <c r="AR491" s="55" t="str">
        <f>IF(OR($AM491=0,$C491=""),"",IFERROR(N(INDEX(Accounts!$E$7:$E$16,MATCH($C491,Accounts!$B$7:$B$16,0))),0)+SUMIFS($Q$6:$Q$1005,$C$6:$C$1005,$C491,$A$6:$A$1005,"&lt;="&amp;$A491))</f>
        <v/>
      </c>
      <c r="AS491" s="56">
        <f>IF(OR($AM491=0,$Q491=""),0,IF(AND($A491&gt;=Lists!$W$6,$A491&lt;=Lists!$W$7,OR(Dashboard!$D$6="All accounts",$C491=Dashboard!$D$6),OR(Dashboard!$D$7="All markets",$AF491=Dashboard!$D$7)),1,0))</f>
        <v>0</v>
      </c>
      <c r="AT491" s="55">
        <f>IF($AS491=1,N(AT490)+$Q491,N(AT490))</f>
        <v>1187.10688</v>
      </c>
      <c r="AU491" s="55">
        <f>MAX(N(AU490),$AT491)</f>
        <v>1187.10688</v>
      </c>
      <c r="AV491" s="55">
        <f>$AT491-$AU491</f>
        <v>0</v>
      </c>
      <c r="AW491" s="56">
        <f>IF($AS491=1,IF($S491="Win",N(AW490)+1,IF($S491="Loss",0,N(AW490))),N(AW490))</f>
        <v>5</v>
      </c>
      <c r="AX491" s="56">
        <f>IF($AS491=1,IF($S491="Loss",N(AX490)+1,IF($S491="Win",0,N(AX490))),N(AX490))</f>
        <v>0</v>
      </c>
      <c r="AY491" s="56" t="str">
        <f>IF($AS491=1,COUNTIF($AS$6:$AS491,1),"")</f>
        <v/>
      </c>
      <c r="AZ491" s="56">
        <f>MIN(485,N(Lists!$W$8))</f>
        <v>28</v>
      </c>
      <c r="BA491" s="56">
        <f>IF($AS491=1,IF(COUNTIFS($A$6:$A491,$A491,$AS$6:$AS491,1)=1,1,0),0)</f>
        <v>0</v>
      </c>
      <c r="BB491" s="55" t="str">
        <f>IF($BA491=1,SUMIFS($Q$6:$Q$1005,$A$6:$A$1005,$A491,$AS$6:$AS$1005,1),"")</f>
        <v/>
      </c>
      <c r="BC491" s="56">
        <f>IF(ISNUMBER($R491),1,0)</f>
        <v>0</v>
      </c>
      <c r="BD491" s="55" t="str">
        <f>IF(ISNUMBER($U491),$U491*$V491,"")</f>
        <v/>
      </c>
      <c r="BE491" s="56" t="str">
        <f>IF($AM491=0,"",IFERROR(MATCH($AF491&amp;"|"&amp;UPPER(TRIM($E491)),Lists!$A$6:$A$205,0),0))</f>
        <v/>
      </c>
      <c r="BF491" s="56" t="str">
        <f>IF($AM491=0,"",IFERROR(MATCH($AF491,Settings!$B$14:$B$18,0),IFERROR(MATCH(Settings!$C$6,Settings!$B$14:$B$18,0),1)))</f>
        <v/>
      </c>
      <c r="BG491" s="58" t="str">
        <f>IF($AM491=0,"",IF(NOT(ISNUMBER($I491)),"No stop; ","")&amp;IF(AND(ISNUMBER($H491),ISNUMBER($I491)),IF(OR(AND($F491&lt;&gt;"Short",$I491&gt;=$H491),AND($F491="Short",$I491&lt;=$H491)),"Stop on wrong side; ",""),"")&amp;IF($F491="","No direction; ","")&amp;IF(AND(ISNUMBER(Settings!$C$22),ISNUMBER($V491)),IF($V491&gt;Settings!$C$22,"Risk over max $; ",""),"")&amp;IF(AND(ISNUMBER(Settings!$C$23),ISNUMBER($V491),ISNUMBER($AP491),IFERROR(N(INDEX(Accounts!$E$7:$E$16,MATCH($C491,Accounts!$B$7:$B$16,0))),0)&gt;0),IF($V491&gt;Settings!$C$23*($AP491-N($Q491)),"Risk over max %; ",""),"")&amp;IF(AND(ISNUMBER(Settings!$C$24),ISNUMBER($N491)),IF($N491&gt;Settings!$C$24,"Leverage over max; ",""),"")&amp;IF(AND(ISNUMBER(Settings!$C$27),ISNUMBER($T491)),IF($T491&lt;Settings!$C$27,"R:R below min; ",""),"")&amp;IF(ISNUMBER(Settings!$C$25),IF(COUNTIFS($A$6:$A491,$A491,$AM$6:$AM491,1)&gt;Settings!$C$25,"Over max trades/day; ",""),"")&amp;IF(ISNUMBER(Settings!$C$26),IF(SUMIFS($Q$5:$Q490,$A$5:$A490,$A491)&lt;=-Settings!$C$26,"Traded after daily max loss; ",""),"")&amp;IF(AND($AG491="",NOT(ISNUMBER($O491))),"Symbol not in Instruments; ","")&amp;IF(AND($AH491="",NOT(ISNUMBER($O491))),"Forex cross: type Gross P&amp;L; ",""))</f>
        <v/>
      </c>
      <c r="BH491" s="56">
        <f>IF(ISNUMBER($Q491),1,0)</f>
        <v>0</v>
      </c>
      <c r="BI491" s="56">
        <f>IF($Y491="",0,1)</f>
        <v>0</v>
      </c>
      <c r="BJ491" s="56">
        <f>IF($AB491="",0,1)</f>
        <v>0</v>
      </c>
      <c r="BK491" s="56">
        <f>IF(AND($BH491=1,$W491&lt;&gt;"OK"),1,0)</f>
        <v>0</v>
      </c>
      <c r="BL491" s="55">
        <f>IF(N($AZ491)=0,0,IFERROR(INDEX($AT$6:$AT$1005,MATCH($AZ491,$AY$6:$AY$1005,0)),0))</f>
        <v>1187.10688</v>
      </c>
      <c r="BM491" s="56">
        <f>IF(ISNUMBER(SEARCH("daily max loss",$BG491)),1,0)</f>
        <v>0</v>
      </c>
    </row>
    <row r="492" ht="18" customHeight="1">
      <c r="A492" s="38" t="n"/>
      <c r="B492" s="39" t="n"/>
      <c r="C492" s="40" t="n"/>
      <c r="D492" s="41" t="n"/>
      <c r="E492" s="41" t="n"/>
      <c r="F492" s="41" t="n"/>
      <c r="G492" s="41" t="n"/>
      <c r="H492" s="42" t="n"/>
      <c r="I492" s="42" t="n"/>
      <c r="J492" s="42" t="n"/>
      <c r="K492" s="42" t="n"/>
      <c r="L492" s="41" t="n"/>
      <c r="M492" s="41" t="n"/>
      <c r="N492" s="41" t="n"/>
      <c r="O492" s="43" t="n"/>
      <c r="P492" s="43" t="n"/>
      <c r="Q492" s="44" t="str">
        <f>IF($AM492=0,"",IF(ISNUMBER($AK492),$AK492-N($AL492),""))</f>
        <v/>
      </c>
      <c r="R492" s="45" t="str">
        <f>IF(OR($Q492="",NOT(ISNUMBER($V492))),"",$AK492/$V492)</f>
        <v/>
      </c>
      <c r="S492" s="46" t="str">
        <f>IF($Q492="","",IF(AND(ISNUMBER($R492),ABS(N($R492))&lt;N(Settings!$C$8)),"Scratch",IF($Q492&gt;0,"Win",IF($Q492&lt;0,"Loss","Scratch"))))</f>
        <v/>
      </c>
      <c r="T492" s="47" t="str">
        <f>IF(OR($AM492=0,NOT(ISNUMBER($H492)),NOT(ISNUMBER($I492)),NOT(ISNUMBER($J492))),"",IF($H492=$I492,"",ROUND(ABS($J492-$H492)/ABS($H492-$I492),6)))</f>
        <v/>
      </c>
      <c r="U492" s="48" t="str">
        <f>IF(OR($S492&lt;&gt;"Win",NOT(ISNUMBER($T492)),NOT(ISNUMBER($R492))),"",MAX(0,$T492-$R492))</f>
        <v/>
      </c>
      <c r="V492" s="49" t="str">
        <f>IF(OR($AM492=0,NOT(ISNUMBER($H492)),NOT(ISNUMBER($I492)),NOT(ISNUMBER($G492))),"",IF(OR($AG492="",$AH492=""),"",IF(ROUND(ABS($H492-$I492)*ABS($G492)*$AG492*$AH492,6)=0,"",ROUND(ABS($H492-$I492)*ABS($G492)*$AG492*$AH492,6))))</f>
        <v/>
      </c>
      <c r="W492" s="50" t="str">
        <f>IF($AM492=0,"",IF($BG492="","OK",LEFT($BG492,LEN($BG492)-2)))</f>
        <v/>
      </c>
      <c r="X492" s="41" t="n"/>
      <c r="Y492" s="40" t="n"/>
      <c r="Z492" s="41" t="n"/>
      <c r="AA492" s="41" t="n"/>
      <c r="AB492" s="40" t="n"/>
      <c r="AC492" s="51" t="n"/>
      <c r="AD492" s="51" t="n"/>
      <c r="AE492" s="40" t="n"/>
      <c r="AF492" s="52" t="str">
        <f>IF($AM492=0,"",IF($D492&lt;&gt;"",$D492,IF(IFERROR(INDEX(Accounts!$C$7:$C$16,MATCH($C492,Accounts!$B$7:$B$16,0))&amp;"","")&lt;&gt;"",INDEX(Accounts!$C$7:$C$16,MATCH($C492,Accounts!$B$7:$B$16,0)),Settings!$C$6)))</f>
        <v/>
      </c>
      <c r="AG492" s="53" t="str">
        <f>IF($AM492=0,"",IF(AND($BE492&gt;0,N(INDEX(Instruments!$D$6:$D$205,MAX(1,$BE492)))&gt;0),INDEX(Instruments!$D$6:$D$205,MAX(1,$BE492)),IF(N(INDEX(Settings!$D$14:$D$18,$BF492))&gt;0,INDEX(Settings!$D$14:$D$18,$BF492),"")))</f>
        <v/>
      </c>
      <c r="AH492" s="54" t="str">
        <f>IF($AM492=0,"",IF($AF492&lt;&gt;"Forex",1,IF(MID(UPPER(SUBSTITUTE(TRIM($E492),"/","")),4,3)=UPPER(TRIM(Settings!$C$7)),1,IF(LEFT(UPPER(SUBSTITUTE(TRIM($E492),"/","")),3)=UPPER(TRIM(Settings!$C$7)),IF(AND(ISNUMBER($K492),N($K492)&lt;&gt;0),1/$K492,""),""))))</f>
        <v/>
      </c>
      <c r="AI492" s="55" t="str">
        <f>IF($AM492=0,"",IF(OR(NOT(ISNUMBER($H492)),NOT(ISNUMBER($K492)),NOT(ISNUMBER($G492)),$AG492="",$AH492=""),"",ROUND(($K492-$H492)*IF($F492="Short",-1,1)*$G492*$AG492*$AH492,6)))</f>
        <v/>
      </c>
      <c r="AJ492" s="55" t="str">
        <f>IF($AM492=0,"",IF(INDEX(Settings!$E$14:$E$18,$BF492)="% of notional",IF(OR($AG492="",NOT(ISNUMBER($H492)),NOT(ISNUMBER($G492))),"",ROUND(ABS($H492*$G492*$AG492*N($AH492))*IF($L492="Limit",N(INDEX(Settings!$G$14:$G$18,$BF492)),N(INDEX(Settings!$H$14:$H$18,$BF492)))+IF(ISNUMBER($K492),ABS($K492*$G492*$AG492*N($AH492))*IF($M492="Target",N(INDEX(Settings!$G$14:$G$18,$BF492)),N(INDEX(Settings!$H$14:$H$18,$BF492))),0),6)),IF(NOT(ISNUMBER($G492)),"",ROUND(ABS($G492)*2*IF(AND($BE492&gt;0,ISNUMBER(INDEX(Instruments!$G$6:$G$205,MAX(1,$BE492)))),INDEX(Instruments!$G$6:$G$205,MAX(1,$BE492)),N(INDEX(Settings!$F$14:$F$18,$BF492))),6))))</f>
        <v/>
      </c>
      <c r="AK492" s="55" t="str">
        <f>IF($AM492=0,"",IF(ISNUMBER($O492),$O492,$AI492))</f>
        <v/>
      </c>
      <c r="AL492" s="55" t="str">
        <f>IF($AM492=0,"",IF(ISNUMBER($P492),$P492,N($AJ492)))</f>
        <v/>
      </c>
      <c r="AM492" s="56">
        <f>IF(AND($A492&lt;&gt;"",$E492&lt;&gt;"",OR(AND(ISNUMBER($G492),ISNUMBER($H492),ISNUMBER($K492)),ISNUMBER($O492))),1,0)</f>
        <v>0</v>
      </c>
      <c r="AN492" s="57" t="str">
        <f>IF($A492="","",$A492-WEEKDAY($A492,3))</f>
        <v/>
      </c>
      <c r="AO492" s="56" t="str">
        <f>IF($A492="","",WEEKDAY($A492,2))</f>
        <v/>
      </c>
      <c r="AP492" s="55" t="str">
        <f>IF(OR($AM492=0,$C492=""),"",IFERROR(N(INDEX(Accounts!$E$7:$E$16,MATCH($C492,Accounts!$B$7:$B$16,0))),0)+SUMIFS($Q$6:$Q492,$C$6:$C492,$C492))</f>
        <v/>
      </c>
      <c r="AQ492" s="55" t="str">
        <f>IF(OR($AM492=0,$C492=""),"",SUMIFS($Q$6:$Q$1005,$C$6:$C$1005,$C492,$A$6:$A$1005,$A492))</f>
        <v/>
      </c>
      <c r="AR492" s="55" t="str">
        <f>IF(OR($AM492=0,$C492=""),"",IFERROR(N(INDEX(Accounts!$E$7:$E$16,MATCH($C492,Accounts!$B$7:$B$16,0))),0)+SUMIFS($Q$6:$Q$1005,$C$6:$C$1005,$C492,$A$6:$A$1005,"&lt;="&amp;$A492))</f>
        <v/>
      </c>
      <c r="AS492" s="56">
        <f>IF(OR($AM492=0,$Q492=""),0,IF(AND($A492&gt;=Lists!$W$6,$A492&lt;=Lists!$W$7,OR(Dashboard!$D$6="All accounts",$C492=Dashboard!$D$6),OR(Dashboard!$D$7="All markets",$AF492=Dashboard!$D$7)),1,0))</f>
        <v>0</v>
      </c>
      <c r="AT492" s="55">
        <f>IF($AS492=1,N(AT491)+$Q492,N(AT491))</f>
        <v>1187.10688</v>
      </c>
      <c r="AU492" s="55">
        <f>MAX(N(AU491),$AT492)</f>
        <v>1187.10688</v>
      </c>
      <c r="AV492" s="55">
        <f>$AT492-$AU492</f>
        <v>0</v>
      </c>
      <c r="AW492" s="56">
        <f>IF($AS492=1,IF($S492="Win",N(AW491)+1,IF($S492="Loss",0,N(AW491))),N(AW491))</f>
        <v>5</v>
      </c>
      <c r="AX492" s="56">
        <f>IF($AS492=1,IF($S492="Loss",N(AX491)+1,IF($S492="Win",0,N(AX491))),N(AX491))</f>
        <v>0</v>
      </c>
      <c r="AY492" s="56" t="str">
        <f>IF($AS492=1,COUNTIF($AS$6:$AS492,1),"")</f>
        <v/>
      </c>
      <c r="AZ492" s="56">
        <f>MIN(486,N(Lists!$W$8))</f>
        <v>28</v>
      </c>
      <c r="BA492" s="56">
        <f>IF($AS492=1,IF(COUNTIFS($A$6:$A492,$A492,$AS$6:$AS492,1)=1,1,0),0)</f>
        <v>0</v>
      </c>
      <c r="BB492" s="55" t="str">
        <f>IF($BA492=1,SUMIFS($Q$6:$Q$1005,$A$6:$A$1005,$A492,$AS$6:$AS$1005,1),"")</f>
        <v/>
      </c>
      <c r="BC492" s="56">
        <f>IF(ISNUMBER($R492),1,0)</f>
        <v>0</v>
      </c>
      <c r="BD492" s="55" t="str">
        <f>IF(ISNUMBER($U492),$U492*$V492,"")</f>
        <v/>
      </c>
      <c r="BE492" s="56" t="str">
        <f>IF($AM492=0,"",IFERROR(MATCH($AF492&amp;"|"&amp;UPPER(TRIM($E492)),Lists!$A$6:$A$205,0),0))</f>
        <v/>
      </c>
      <c r="BF492" s="56" t="str">
        <f>IF($AM492=0,"",IFERROR(MATCH($AF492,Settings!$B$14:$B$18,0),IFERROR(MATCH(Settings!$C$6,Settings!$B$14:$B$18,0),1)))</f>
        <v/>
      </c>
      <c r="BG492" s="58" t="str">
        <f>IF($AM492=0,"",IF(NOT(ISNUMBER($I492)),"No stop; ","")&amp;IF(AND(ISNUMBER($H492),ISNUMBER($I492)),IF(OR(AND($F492&lt;&gt;"Short",$I492&gt;=$H492),AND($F492="Short",$I492&lt;=$H492)),"Stop on wrong side; ",""),"")&amp;IF($F492="","No direction; ","")&amp;IF(AND(ISNUMBER(Settings!$C$22),ISNUMBER($V492)),IF($V492&gt;Settings!$C$22,"Risk over max $; ",""),"")&amp;IF(AND(ISNUMBER(Settings!$C$23),ISNUMBER($V492),ISNUMBER($AP492),IFERROR(N(INDEX(Accounts!$E$7:$E$16,MATCH($C492,Accounts!$B$7:$B$16,0))),0)&gt;0),IF($V492&gt;Settings!$C$23*($AP492-N($Q492)),"Risk over max %; ",""),"")&amp;IF(AND(ISNUMBER(Settings!$C$24),ISNUMBER($N492)),IF($N492&gt;Settings!$C$24,"Leverage over max; ",""),"")&amp;IF(AND(ISNUMBER(Settings!$C$27),ISNUMBER($T492)),IF($T492&lt;Settings!$C$27,"R:R below min; ",""),"")&amp;IF(ISNUMBER(Settings!$C$25),IF(COUNTIFS($A$6:$A492,$A492,$AM$6:$AM492,1)&gt;Settings!$C$25,"Over max trades/day; ",""),"")&amp;IF(ISNUMBER(Settings!$C$26),IF(SUMIFS($Q$5:$Q491,$A$5:$A491,$A492)&lt;=-Settings!$C$26,"Traded after daily max loss; ",""),"")&amp;IF(AND($AG492="",NOT(ISNUMBER($O492))),"Symbol not in Instruments; ","")&amp;IF(AND($AH492="",NOT(ISNUMBER($O492))),"Forex cross: type Gross P&amp;L; ",""))</f>
        <v/>
      </c>
      <c r="BH492" s="56">
        <f>IF(ISNUMBER($Q492),1,0)</f>
        <v>0</v>
      </c>
      <c r="BI492" s="56">
        <f>IF($Y492="",0,1)</f>
        <v>0</v>
      </c>
      <c r="BJ492" s="56">
        <f>IF($AB492="",0,1)</f>
        <v>0</v>
      </c>
      <c r="BK492" s="56">
        <f>IF(AND($BH492=1,$W492&lt;&gt;"OK"),1,0)</f>
        <v>0</v>
      </c>
      <c r="BL492" s="55">
        <f>IF(N($AZ492)=0,0,IFERROR(INDEX($AT$6:$AT$1005,MATCH($AZ492,$AY$6:$AY$1005,0)),0))</f>
        <v>1187.10688</v>
      </c>
      <c r="BM492" s="56">
        <f>IF(ISNUMBER(SEARCH("daily max loss",$BG492)),1,0)</f>
        <v>0</v>
      </c>
    </row>
    <row r="493" ht="18" customHeight="1">
      <c r="A493" s="38" t="n"/>
      <c r="B493" s="39" t="n"/>
      <c r="C493" s="40" t="n"/>
      <c r="D493" s="41" t="n"/>
      <c r="E493" s="41" t="n"/>
      <c r="F493" s="41" t="n"/>
      <c r="G493" s="41" t="n"/>
      <c r="H493" s="42" t="n"/>
      <c r="I493" s="42" t="n"/>
      <c r="J493" s="42" t="n"/>
      <c r="K493" s="42" t="n"/>
      <c r="L493" s="41" t="n"/>
      <c r="M493" s="41" t="n"/>
      <c r="N493" s="41" t="n"/>
      <c r="O493" s="43" t="n"/>
      <c r="P493" s="43" t="n"/>
      <c r="Q493" s="44" t="str">
        <f>IF($AM493=0,"",IF(ISNUMBER($AK493),$AK493-N($AL493),""))</f>
        <v/>
      </c>
      <c r="R493" s="45" t="str">
        <f>IF(OR($Q493="",NOT(ISNUMBER($V493))),"",$AK493/$V493)</f>
        <v/>
      </c>
      <c r="S493" s="46" t="str">
        <f>IF($Q493="","",IF(AND(ISNUMBER($R493),ABS(N($R493))&lt;N(Settings!$C$8)),"Scratch",IF($Q493&gt;0,"Win",IF($Q493&lt;0,"Loss","Scratch"))))</f>
        <v/>
      </c>
      <c r="T493" s="47" t="str">
        <f>IF(OR($AM493=0,NOT(ISNUMBER($H493)),NOT(ISNUMBER($I493)),NOT(ISNUMBER($J493))),"",IF($H493=$I493,"",ROUND(ABS($J493-$H493)/ABS($H493-$I493),6)))</f>
        <v/>
      </c>
      <c r="U493" s="48" t="str">
        <f>IF(OR($S493&lt;&gt;"Win",NOT(ISNUMBER($T493)),NOT(ISNUMBER($R493))),"",MAX(0,$T493-$R493))</f>
        <v/>
      </c>
      <c r="V493" s="49" t="str">
        <f>IF(OR($AM493=0,NOT(ISNUMBER($H493)),NOT(ISNUMBER($I493)),NOT(ISNUMBER($G493))),"",IF(OR($AG493="",$AH493=""),"",IF(ROUND(ABS($H493-$I493)*ABS($G493)*$AG493*$AH493,6)=0,"",ROUND(ABS($H493-$I493)*ABS($G493)*$AG493*$AH493,6))))</f>
        <v/>
      </c>
      <c r="W493" s="50" t="str">
        <f>IF($AM493=0,"",IF($BG493="","OK",LEFT($BG493,LEN($BG493)-2)))</f>
        <v/>
      </c>
      <c r="X493" s="41" t="n"/>
      <c r="Y493" s="40" t="n"/>
      <c r="Z493" s="41" t="n"/>
      <c r="AA493" s="41" t="n"/>
      <c r="AB493" s="40" t="n"/>
      <c r="AC493" s="51" t="n"/>
      <c r="AD493" s="51" t="n"/>
      <c r="AE493" s="40" t="n"/>
      <c r="AF493" s="52" t="str">
        <f>IF($AM493=0,"",IF($D493&lt;&gt;"",$D493,IF(IFERROR(INDEX(Accounts!$C$7:$C$16,MATCH($C493,Accounts!$B$7:$B$16,0))&amp;"","")&lt;&gt;"",INDEX(Accounts!$C$7:$C$16,MATCH($C493,Accounts!$B$7:$B$16,0)),Settings!$C$6)))</f>
        <v/>
      </c>
      <c r="AG493" s="53" t="str">
        <f>IF($AM493=0,"",IF(AND($BE493&gt;0,N(INDEX(Instruments!$D$6:$D$205,MAX(1,$BE493)))&gt;0),INDEX(Instruments!$D$6:$D$205,MAX(1,$BE493)),IF(N(INDEX(Settings!$D$14:$D$18,$BF493))&gt;0,INDEX(Settings!$D$14:$D$18,$BF493),"")))</f>
        <v/>
      </c>
      <c r="AH493" s="54" t="str">
        <f>IF($AM493=0,"",IF($AF493&lt;&gt;"Forex",1,IF(MID(UPPER(SUBSTITUTE(TRIM($E493),"/","")),4,3)=UPPER(TRIM(Settings!$C$7)),1,IF(LEFT(UPPER(SUBSTITUTE(TRIM($E493),"/","")),3)=UPPER(TRIM(Settings!$C$7)),IF(AND(ISNUMBER($K493),N($K493)&lt;&gt;0),1/$K493,""),""))))</f>
        <v/>
      </c>
      <c r="AI493" s="55" t="str">
        <f>IF($AM493=0,"",IF(OR(NOT(ISNUMBER($H493)),NOT(ISNUMBER($K493)),NOT(ISNUMBER($G493)),$AG493="",$AH493=""),"",ROUND(($K493-$H493)*IF($F493="Short",-1,1)*$G493*$AG493*$AH493,6)))</f>
        <v/>
      </c>
      <c r="AJ493" s="55" t="str">
        <f>IF($AM493=0,"",IF(INDEX(Settings!$E$14:$E$18,$BF493)="% of notional",IF(OR($AG493="",NOT(ISNUMBER($H493)),NOT(ISNUMBER($G493))),"",ROUND(ABS($H493*$G493*$AG493*N($AH493))*IF($L493="Limit",N(INDEX(Settings!$G$14:$G$18,$BF493)),N(INDEX(Settings!$H$14:$H$18,$BF493)))+IF(ISNUMBER($K493),ABS($K493*$G493*$AG493*N($AH493))*IF($M493="Target",N(INDEX(Settings!$G$14:$G$18,$BF493)),N(INDEX(Settings!$H$14:$H$18,$BF493))),0),6)),IF(NOT(ISNUMBER($G493)),"",ROUND(ABS($G493)*2*IF(AND($BE493&gt;0,ISNUMBER(INDEX(Instruments!$G$6:$G$205,MAX(1,$BE493)))),INDEX(Instruments!$G$6:$G$205,MAX(1,$BE493)),N(INDEX(Settings!$F$14:$F$18,$BF493))),6))))</f>
        <v/>
      </c>
      <c r="AK493" s="55" t="str">
        <f>IF($AM493=0,"",IF(ISNUMBER($O493),$O493,$AI493))</f>
        <v/>
      </c>
      <c r="AL493" s="55" t="str">
        <f>IF($AM493=0,"",IF(ISNUMBER($P493),$P493,N($AJ493)))</f>
        <v/>
      </c>
      <c r="AM493" s="56">
        <f>IF(AND($A493&lt;&gt;"",$E493&lt;&gt;"",OR(AND(ISNUMBER($G493),ISNUMBER($H493),ISNUMBER($K493)),ISNUMBER($O493))),1,0)</f>
        <v>0</v>
      </c>
      <c r="AN493" s="57" t="str">
        <f>IF($A493="","",$A493-WEEKDAY($A493,3))</f>
        <v/>
      </c>
      <c r="AO493" s="56" t="str">
        <f>IF($A493="","",WEEKDAY($A493,2))</f>
        <v/>
      </c>
      <c r="AP493" s="55" t="str">
        <f>IF(OR($AM493=0,$C493=""),"",IFERROR(N(INDEX(Accounts!$E$7:$E$16,MATCH($C493,Accounts!$B$7:$B$16,0))),0)+SUMIFS($Q$6:$Q493,$C$6:$C493,$C493))</f>
        <v/>
      </c>
      <c r="AQ493" s="55" t="str">
        <f>IF(OR($AM493=0,$C493=""),"",SUMIFS($Q$6:$Q$1005,$C$6:$C$1005,$C493,$A$6:$A$1005,$A493))</f>
        <v/>
      </c>
      <c r="AR493" s="55" t="str">
        <f>IF(OR($AM493=0,$C493=""),"",IFERROR(N(INDEX(Accounts!$E$7:$E$16,MATCH($C493,Accounts!$B$7:$B$16,0))),0)+SUMIFS($Q$6:$Q$1005,$C$6:$C$1005,$C493,$A$6:$A$1005,"&lt;="&amp;$A493))</f>
        <v/>
      </c>
      <c r="AS493" s="56">
        <f>IF(OR($AM493=0,$Q493=""),0,IF(AND($A493&gt;=Lists!$W$6,$A493&lt;=Lists!$W$7,OR(Dashboard!$D$6="All accounts",$C493=Dashboard!$D$6),OR(Dashboard!$D$7="All markets",$AF493=Dashboard!$D$7)),1,0))</f>
        <v>0</v>
      </c>
      <c r="AT493" s="55">
        <f>IF($AS493=1,N(AT492)+$Q493,N(AT492))</f>
        <v>1187.10688</v>
      </c>
      <c r="AU493" s="55">
        <f>MAX(N(AU492),$AT493)</f>
        <v>1187.10688</v>
      </c>
      <c r="AV493" s="55">
        <f>$AT493-$AU493</f>
        <v>0</v>
      </c>
      <c r="AW493" s="56">
        <f>IF($AS493=1,IF($S493="Win",N(AW492)+1,IF($S493="Loss",0,N(AW492))),N(AW492))</f>
        <v>5</v>
      </c>
      <c r="AX493" s="56">
        <f>IF($AS493=1,IF($S493="Loss",N(AX492)+1,IF($S493="Win",0,N(AX492))),N(AX492))</f>
        <v>0</v>
      </c>
      <c r="AY493" s="56" t="str">
        <f>IF($AS493=1,COUNTIF($AS$6:$AS493,1),"")</f>
        <v/>
      </c>
      <c r="AZ493" s="56">
        <f>MIN(487,N(Lists!$W$8))</f>
        <v>28</v>
      </c>
      <c r="BA493" s="56">
        <f>IF($AS493=1,IF(COUNTIFS($A$6:$A493,$A493,$AS$6:$AS493,1)=1,1,0),0)</f>
        <v>0</v>
      </c>
      <c r="BB493" s="55" t="str">
        <f>IF($BA493=1,SUMIFS($Q$6:$Q$1005,$A$6:$A$1005,$A493,$AS$6:$AS$1005,1),"")</f>
        <v/>
      </c>
      <c r="BC493" s="56">
        <f>IF(ISNUMBER($R493),1,0)</f>
        <v>0</v>
      </c>
      <c r="BD493" s="55" t="str">
        <f>IF(ISNUMBER($U493),$U493*$V493,"")</f>
        <v/>
      </c>
      <c r="BE493" s="56" t="str">
        <f>IF($AM493=0,"",IFERROR(MATCH($AF493&amp;"|"&amp;UPPER(TRIM($E493)),Lists!$A$6:$A$205,0),0))</f>
        <v/>
      </c>
      <c r="BF493" s="56" t="str">
        <f>IF($AM493=0,"",IFERROR(MATCH($AF493,Settings!$B$14:$B$18,0),IFERROR(MATCH(Settings!$C$6,Settings!$B$14:$B$18,0),1)))</f>
        <v/>
      </c>
      <c r="BG493" s="58" t="str">
        <f>IF($AM493=0,"",IF(NOT(ISNUMBER($I493)),"No stop; ","")&amp;IF(AND(ISNUMBER($H493),ISNUMBER($I493)),IF(OR(AND($F493&lt;&gt;"Short",$I493&gt;=$H493),AND($F493="Short",$I493&lt;=$H493)),"Stop on wrong side; ",""),"")&amp;IF($F493="","No direction; ","")&amp;IF(AND(ISNUMBER(Settings!$C$22),ISNUMBER($V493)),IF($V493&gt;Settings!$C$22,"Risk over max $; ",""),"")&amp;IF(AND(ISNUMBER(Settings!$C$23),ISNUMBER($V493),ISNUMBER($AP493),IFERROR(N(INDEX(Accounts!$E$7:$E$16,MATCH($C493,Accounts!$B$7:$B$16,0))),0)&gt;0),IF($V493&gt;Settings!$C$23*($AP493-N($Q493)),"Risk over max %; ",""),"")&amp;IF(AND(ISNUMBER(Settings!$C$24),ISNUMBER($N493)),IF($N493&gt;Settings!$C$24,"Leverage over max; ",""),"")&amp;IF(AND(ISNUMBER(Settings!$C$27),ISNUMBER($T493)),IF($T493&lt;Settings!$C$27,"R:R below min; ",""),"")&amp;IF(ISNUMBER(Settings!$C$25),IF(COUNTIFS($A$6:$A493,$A493,$AM$6:$AM493,1)&gt;Settings!$C$25,"Over max trades/day; ",""),"")&amp;IF(ISNUMBER(Settings!$C$26),IF(SUMIFS($Q$5:$Q492,$A$5:$A492,$A493)&lt;=-Settings!$C$26,"Traded after daily max loss; ",""),"")&amp;IF(AND($AG493="",NOT(ISNUMBER($O493))),"Symbol not in Instruments; ","")&amp;IF(AND($AH493="",NOT(ISNUMBER($O493))),"Forex cross: type Gross P&amp;L; ",""))</f>
        <v/>
      </c>
      <c r="BH493" s="56">
        <f>IF(ISNUMBER($Q493),1,0)</f>
        <v>0</v>
      </c>
      <c r="BI493" s="56">
        <f>IF($Y493="",0,1)</f>
        <v>0</v>
      </c>
      <c r="BJ493" s="56">
        <f>IF($AB493="",0,1)</f>
        <v>0</v>
      </c>
      <c r="BK493" s="56">
        <f>IF(AND($BH493=1,$W493&lt;&gt;"OK"),1,0)</f>
        <v>0</v>
      </c>
      <c r="BL493" s="55">
        <f>IF(N($AZ493)=0,0,IFERROR(INDEX($AT$6:$AT$1005,MATCH($AZ493,$AY$6:$AY$1005,0)),0))</f>
        <v>1187.10688</v>
      </c>
      <c r="BM493" s="56">
        <f>IF(ISNUMBER(SEARCH("daily max loss",$BG493)),1,0)</f>
        <v>0</v>
      </c>
    </row>
    <row r="494" ht="18" customHeight="1">
      <c r="A494" s="38" t="n"/>
      <c r="B494" s="39" t="n"/>
      <c r="C494" s="40" t="n"/>
      <c r="D494" s="41" t="n"/>
      <c r="E494" s="41" t="n"/>
      <c r="F494" s="41" t="n"/>
      <c r="G494" s="41" t="n"/>
      <c r="H494" s="42" t="n"/>
      <c r="I494" s="42" t="n"/>
      <c r="J494" s="42" t="n"/>
      <c r="K494" s="42" t="n"/>
      <c r="L494" s="41" t="n"/>
      <c r="M494" s="41" t="n"/>
      <c r="N494" s="41" t="n"/>
      <c r="O494" s="43" t="n"/>
      <c r="P494" s="43" t="n"/>
      <c r="Q494" s="44" t="str">
        <f>IF($AM494=0,"",IF(ISNUMBER($AK494),$AK494-N($AL494),""))</f>
        <v/>
      </c>
      <c r="R494" s="45" t="str">
        <f>IF(OR($Q494="",NOT(ISNUMBER($V494))),"",$AK494/$V494)</f>
        <v/>
      </c>
      <c r="S494" s="46" t="str">
        <f>IF($Q494="","",IF(AND(ISNUMBER($R494),ABS(N($R494))&lt;N(Settings!$C$8)),"Scratch",IF($Q494&gt;0,"Win",IF($Q494&lt;0,"Loss","Scratch"))))</f>
        <v/>
      </c>
      <c r="T494" s="47" t="str">
        <f>IF(OR($AM494=0,NOT(ISNUMBER($H494)),NOT(ISNUMBER($I494)),NOT(ISNUMBER($J494))),"",IF($H494=$I494,"",ROUND(ABS($J494-$H494)/ABS($H494-$I494),6)))</f>
        <v/>
      </c>
      <c r="U494" s="48" t="str">
        <f>IF(OR($S494&lt;&gt;"Win",NOT(ISNUMBER($T494)),NOT(ISNUMBER($R494))),"",MAX(0,$T494-$R494))</f>
        <v/>
      </c>
      <c r="V494" s="49" t="str">
        <f>IF(OR($AM494=0,NOT(ISNUMBER($H494)),NOT(ISNUMBER($I494)),NOT(ISNUMBER($G494))),"",IF(OR($AG494="",$AH494=""),"",IF(ROUND(ABS($H494-$I494)*ABS($G494)*$AG494*$AH494,6)=0,"",ROUND(ABS($H494-$I494)*ABS($G494)*$AG494*$AH494,6))))</f>
        <v/>
      </c>
      <c r="W494" s="50" t="str">
        <f>IF($AM494=0,"",IF($BG494="","OK",LEFT($BG494,LEN($BG494)-2)))</f>
        <v/>
      </c>
      <c r="X494" s="41" t="n"/>
      <c r="Y494" s="40" t="n"/>
      <c r="Z494" s="41" t="n"/>
      <c r="AA494" s="41" t="n"/>
      <c r="AB494" s="40" t="n"/>
      <c r="AC494" s="51" t="n"/>
      <c r="AD494" s="51" t="n"/>
      <c r="AE494" s="40" t="n"/>
      <c r="AF494" s="52" t="str">
        <f>IF($AM494=0,"",IF($D494&lt;&gt;"",$D494,IF(IFERROR(INDEX(Accounts!$C$7:$C$16,MATCH($C494,Accounts!$B$7:$B$16,0))&amp;"","")&lt;&gt;"",INDEX(Accounts!$C$7:$C$16,MATCH($C494,Accounts!$B$7:$B$16,0)),Settings!$C$6)))</f>
        <v/>
      </c>
      <c r="AG494" s="53" t="str">
        <f>IF($AM494=0,"",IF(AND($BE494&gt;0,N(INDEX(Instruments!$D$6:$D$205,MAX(1,$BE494)))&gt;0),INDEX(Instruments!$D$6:$D$205,MAX(1,$BE494)),IF(N(INDEX(Settings!$D$14:$D$18,$BF494))&gt;0,INDEX(Settings!$D$14:$D$18,$BF494),"")))</f>
        <v/>
      </c>
      <c r="AH494" s="54" t="str">
        <f>IF($AM494=0,"",IF($AF494&lt;&gt;"Forex",1,IF(MID(UPPER(SUBSTITUTE(TRIM($E494),"/","")),4,3)=UPPER(TRIM(Settings!$C$7)),1,IF(LEFT(UPPER(SUBSTITUTE(TRIM($E494),"/","")),3)=UPPER(TRIM(Settings!$C$7)),IF(AND(ISNUMBER($K494),N($K494)&lt;&gt;0),1/$K494,""),""))))</f>
        <v/>
      </c>
      <c r="AI494" s="55" t="str">
        <f>IF($AM494=0,"",IF(OR(NOT(ISNUMBER($H494)),NOT(ISNUMBER($K494)),NOT(ISNUMBER($G494)),$AG494="",$AH494=""),"",ROUND(($K494-$H494)*IF($F494="Short",-1,1)*$G494*$AG494*$AH494,6)))</f>
        <v/>
      </c>
      <c r="AJ494" s="55" t="str">
        <f>IF($AM494=0,"",IF(INDEX(Settings!$E$14:$E$18,$BF494)="% of notional",IF(OR($AG494="",NOT(ISNUMBER($H494)),NOT(ISNUMBER($G494))),"",ROUND(ABS($H494*$G494*$AG494*N($AH494))*IF($L494="Limit",N(INDEX(Settings!$G$14:$G$18,$BF494)),N(INDEX(Settings!$H$14:$H$18,$BF494)))+IF(ISNUMBER($K494),ABS($K494*$G494*$AG494*N($AH494))*IF($M494="Target",N(INDEX(Settings!$G$14:$G$18,$BF494)),N(INDEX(Settings!$H$14:$H$18,$BF494))),0),6)),IF(NOT(ISNUMBER($G494)),"",ROUND(ABS($G494)*2*IF(AND($BE494&gt;0,ISNUMBER(INDEX(Instruments!$G$6:$G$205,MAX(1,$BE494)))),INDEX(Instruments!$G$6:$G$205,MAX(1,$BE494)),N(INDEX(Settings!$F$14:$F$18,$BF494))),6))))</f>
        <v/>
      </c>
      <c r="AK494" s="55" t="str">
        <f>IF($AM494=0,"",IF(ISNUMBER($O494),$O494,$AI494))</f>
        <v/>
      </c>
      <c r="AL494" s="55" t="str">
        <f>IF($AM494=0,"",IF(ISNUMBER($P494),$P494,N($AJ494)))</f>
        <v/>
      </c>
      <c r="AM494" s="56">
        <f>IF(AND($A494&lt;&gt;"",$E494&lt;&gt;"",OR(AND(ISNUMBER($G494),ISNUMBER($H494),ISNUMBER($K494)),ISNUMBER($O494))),1,0)</f>
        <v>0</v>
      </c>
      <c r="AN494" s="57" t="str">
        <f>IF($A494="","",$A494-WEEKDAY($A494,3))</f>
        <v/>
      </c>
      <c r="AO494" s="56" t="str">
        <f>IF($A494="","",WEEKDAY($A494,2))</f>
        <v/>
      </c>
      <c r="AP494" s="55" t="str">
        <f>IF(OR($AM494=0,$C494=""),"",IFERROR(N(INDEX(Accounts!$E$7:$E$16,MATCH($C494,Accounts!$B$7:$B$16,0))),0)+SUMIFS($Q$6:$Q494,$C$6:$C494,$C494))</f>
        <v/>
      </c>
      <c r="AQ494" s="55" t="str">
        <f>IF(OR($AM494=0,$C494=""),"",SUMIFS($Q$6:$Q$1005,$C$6:$C$1005,$C494,$A$6:$A$1005,$A494))</f>
        <v/>
      </c>
      <c r="AR494" s="55" t="str">
        <f>IF(OR($AM494=0,$C494=""),"",IFERROR(N(INDEX(Accounts!$E$7:$E$16,MATCH($C494,Accounts!$B$7:$B$16,0))),0)+SUMIFS($Q$6:$Q$1005,$C$6:$C$1005,$C494,$A$6:$A$1005,"&lt;="&amp;$A494))</f>
        <v/>
      </c>
      <c r="AS494" s="56">
        <f>IF(OR($AM494=0,$Q494=""),0,IF(AND($A494&gt;=Lists!$W$6,$A494&lt;=Lists!$W$7,OR(Dashboard!$D$6="All accounts",$C494=Dashboard!$D$6),OR(Dashboard!$D$7="All markets",$AF494=Dashboard!$D$7)),1,0))</f>
        <v>0</v>
      </c>
      <c r="AT494" s="55">
        <f>IF($AS494=1,N(AT493)+$Q494,N(AT493))</f>
        <v>1187.10688</v>
      </c>
      <c r="AU494" s="55">
        <f>MAX(N(AU493),$AT494)</f>
        <v>1187.10688</v>
      </c>
      <c r="AV494" s="55">
        <f>$AT494-$AU494</f>
        <v>0</v>
      </c>
      <c r="AW494" s="56">
        <f>IF($AS494=1,IF($S494="Win",N(AW493)+1,IF($S494="Loss",0,N(AW493))),N(AW493))</f>
        <v>5</v>
      </c>
      <c r="AX494" s="56">
        <f>IF($AS494=1,IF($S494="Loss",N(AX493)+1,IF($S494="Win",0,N(AX493))),N(AX493))</f>
        <v>0</v>
      </c>
      <c r="AY494" s="56" t="str">
        <f>IF($AS494=1,COUNTIF($AS$6:$AS494,1),"")</f>
        <v/>
      </c>
      <c r="AZ494" s="56">
        <f>MIN(488,N(Lists!$W$8))</f>
        <v>28</v>
      </c>
      <c r="BA494" s="56">
        <f>IF($AS494=1,IF(COUNTIFS($A$6:$A494,$A494,$AS$6:$AS494,1)=1,1,0),0)</f>
        <v>0</v>
      </c>
      <c r="BB494" s="55" t="str">
        <f>IF($BA494=1,SUMIFS($Q$6:$Q$1005,$A$6:$A$1005,$A494,$AS$6:$AS$1005,1),"")</f>
        <v/>
      </c>
      <c r="BC494" s="56">
        <f>IF(ISNUMBER($R494),1,0)</f>
        <v>0</v>
      </c>
      <c r="BD494" s="55" t="str">
        <f>IF(ISNUMBER($U494),$U494*$V494,"")</f>
        <v/>
      </c>
      <c r="BE494" s="56" t="str">
        <f>IF($AM494=0,"",IFERROR(MATCH($AF494&amp;"|"&amp;UPPER(TRIM($E494)),Lists!$A$6:$A$205,0),0))</f>
        <v/>
      </c>
      <c r="BF494" s="56" t="str">
        <f>IF($AM494=0,"",IFERROR(MATCH($AF494,Settings!$B$14:$B$18,0),IFERROR(MATCH(Settings!$C$6,Settings!$B$14:$B$18,0),1)))</f>
        <v/>
      </c>
      <c r="BG494" s="58" t="str">
        <f>IF($AM494=0,"",IF(NOT(ISNUMBER($I494)),"No stop; ","")&amp;IF(AND(ISNUMBER($H494),ISNUMBER($I494)),IF(OR(AND($F494&lt;&gt;"Short",$I494&gt;=$H494),AND($F494="Short",$I494&lt;=$H494)),"Stop on wrong side; ",""),"")&amp;IF($F494="","No direction; ","")&amp;IF(AND(ISNUMBER(Settings!$C$22),ISNUMBER($V494)),IF($V494&gt;Settings!$C$22,"Risk over max $; ",""),"")&amp;IF(AND(ISNUMBER(Settings!$C$23),ISNUMBER($V494),ISNUMBER($AP494),IFERROR(N(INDEX(Accounts!$E$7:$E$16,MATCH($C494,Accounts!$B$7:$B$16,0))),0)&gt;0),IF($V494&gt;Settings!$C$23*($AP494-N($Q494)),"Risk over max %; ",""),"")&amp;IF(AND(ISNUMBER(Settings!$C$24),ISNUMBER($N494)),IF($N494&gt;Settings!$C$24,"Leverage over max; ",""),"")&amp;IF(AND(ISNUMBER(Settings!$C$27),ISNUMBER($T494)),IF($T494&lt;Settings!$C$27,"R:R below min; ",""),"")&amp;IF(ISNUMBER(Settings!$C$25),IF(COUNTIFS($A$6:$A494,$A494,$AM$6:$AM494,1)&gt;Settings!$C$25,"Over max trades/day; ",""),"")&amp;IF(ISNUMBER(Settings!$C$26),IF(SUMIFS($Q$5:$Q493,$A$5:$A493,$A494)&lt;=-Settings!$C$26,"Traded after daily max loss; ",""),"")&amp;IF(AND($AG494="",NOT(ISNUMBER($O494))),"Symbol not in Instruments; ","")&amp;IF(AND($AH494="",NOT(ISNUMBER($O494))),"Forex cross: type Gross P&amp;L; ",""))</f>
        <v/>
      </c>
      <c r="BH494" s="56">
        <f>IF(ISNUMBER($Q494),1,0)</f>
        <v>0</v>
      </c>
      <c r="BI494" s="56">
        <f>IF($Y494="",0,1)</f>
        <v>0</v>
      </c>
      <c r="BJ494" s="56">
        <f>IF($AB494="",0,1)</f>
        <v>0</v>
      </c>
      <c r="BK494" s="56">
        <f>IF(AND($BH494=1,$W494&lt;&gt;"OK"),1,0)</f>
        <v>0</v>
      </c>
      <c r="BL494" s="55">
        <f>IF(N($AZ494)=0,0,IFERROR(INDEX($AT$6:$AT$1005,MATCH($AZ494,$AY$6:$AY$1005,0)),0))</f>
        <v>1187.10688</v>
      </c>
      <c r="BM494" s="56">
        <f>IF(ISNUMBER(SEARCH("daily max loss",$BG494)),1,0)</f>
        <v>0</v>
      </c>
    </row>
    <row r="495" ht="18" customHeight="1">
      <c r="A495" s="38" t="n"/>
      <c r="B495" s="39" t="n"/>
      <c r="C495" s="40" t="n"/>
      <c r="D495" s="41" t="n"/>
      <c r="E495" s="41" t="n"/>
      <c r="F495" s="41" t="n"/>
      <c r="G495" s="41" t="n"/>
      <c r="H495" s="42" t="n"/>
      <c r="I495" s="42" t="n"/>
      <c r="J495" s="42" t="n"/>
      <c r="K495" s="42" t="n"/>
      <c r="L495" s="41" t="n"/>
      <c r="M495" s="41" t="n"/>
      <c r="N495" s="41" t="n"/>
      <c r="O495" s="43" t="n"/>
      <c r="P495" s="43" t="n"/>
      <c r="Q495" s="44" t="str">
        <f>IF($AM495=0,"",IF(ISNUMBER($AK495),$AK495-N($AL495),""))</f>
        <v/>
      </c>
      <c r="R495" s="45" t="str">
        <f>IF(OR($Q495="",NOT(ISNUMBER($V495))),"",$AK495/$V495)</f>
        <v/>
      </c>
      <c r="S495" s="46" t="str">
        <f>IF($Q495="","",IF(AND(ISNUMBER($R495),ABS(N($R495))&lt;N(Settings!$C$8)),"Scratch",IF($Q495&gt;0,"Win",IF($Q495&lt;0,"Loss","Scratch"))))</f>
        <v/>
      </c>
      <c r="T495" s="47" t="str">
        <f>IF(OR($AM495=0,NOT(ISNUMBER($H495)),NOT(ISNUMBER($I495)),NOT(ISNUMBER($J495))),"",IF($H495=$I495,"",ROUND(ABS($J495-$H495)/ABS($H495-$I495),6)))</f>
        <v/>
      </c>
      <c r="U495" s="48" t="str">
        <f>IF(OR($S495&lt;&gt;"Win",NOT(ISNUMBER($T495)),NOT(ISNUMBER($R495))),"",MAX(0,$T495-$R495))</f>
        <v/>
      </c>
      <c r="V495" s="49" t="str">
        <f>IF(OR($AM495=0,NOT(ISNUMBER($H495)),NOT(ISNUMBER($I495)),NOT(ISNUMBER($G495))),"",IF(OR($AG495="",$AH495=""),"",IF(ROUND(ABS($H495-$I495)*ABS($G495)*$AG495*$AH495,6)=0,"",ROUND(ABS($H495-$I495)*ABS($G495)*$AG495*$AH495,6))))</f>
        <v/>
      </c>
      <c r="W495" s="50" t="str">
        <f>IF($AM495=0,"",IF($BG495="","OK",LEFT($BG495,LEN($BG495)-2)))</f>
        <v/>
      </c>
      <c r="X495" s="41" t="n"/>
      <c r="Y495" s="40" t="n"/>
      <c r="Z495" s="41" t="n"/>
      <c r="AA495" s="41" t="n"/>
      <c r="AB495" s="40" t="n"/>
      <c r="AC495" s="51" t="n"/>
      <c r="AD495" s="51" t="n"/>
      <c r="AE495" s="40" t="n"/>
      <c r="AF495" s="52" t="str">
        <f>IF($AM495=0,"",IF($D495&lt;&gt;"",$D495,IF(IFERROR(INDEX(Accounts!$C$7:$C$16,MATCH($C495,Accounts!$B$7:$B$16,0))&amp;"","")&lt;&gt;"",INDEX(Accounts!$C$7:$C$16,MATCH($C495,Accounts!$B$7:$B$16,0)),Settings!$C$6)))</f>
        <v/>
      </c>
      <c r="AG495" s="53" t="str">
        <f>IF($AM495=0,"",IF(AND($BE495&gt;0,N(INDEX(Instruments!$D$6:$D$205,MAX(1,$BE495)))&gt;0),INDEX(Instruments!$D$6:$D$205,MAX(1,$BE495)),IF(N(INDEX(Settings!$D$14:$D$18,$BF495))&gt;0,INDEX(Settings!$D$14:$D$18,$BF495),"")))</f>
        <v/>
      </c>
      <c r="AH495" s="54" t="str">
        <f>IF($AM495=0,"",IF($AF495&lt;&gt;"Forex",1,IF(MID(UPPER(SUBSTITUTE(TRIM($E495),"/","")),4,3)=UPPER(TRIM(Settings!$C$7)),1,IF(LEFT(UPPER(SUBSTITUTE(TRIM($E495),"/","")),3)=UPPER(TRIM(Settings!$C$7)),IF(AND(ISNUMBER($K495),N($K495)&lt;&gt;0),1/$K495,""),""))))</f>
        <v/>
      </c>
      <c r="AI495" s="55" t="str">
        <f>IF($AM495=0,"",IF(OR(NOT(ISNUMBER($H495)),NOT(ISNUMBER($K495)),NOT(ISNUMBER($G495)),$AG495="",$AH495=""),"",ROUND(($K495-$H495)*IF($F495="Short",-1,1)*$G495*$AG495*$AH495,6)))</f>
        <v/>
      </c>
      <c r="AJ495" s="55" t="str">
        <f>IF($AM495=0,"",IF(INDEX(Settings!$E$14:$E$18,$BF495)="% of notional",IF(OR($AG495="",NOT(ISNUMBER($H495)),NOT(ISNUMBER($G495))),"",ROUND(ABS($H495*$G495*$AG495*N($AH495))*IF($L495="Limit",N(INDEX(Settings!$G$14:$G$18,$BF495)),N(INDEX(Settings!$H$14:$H$18,$BF495)))+IF(ISNUMBER($K495),ABS($K495*$G495*$AG495*N($AH495))*IF($M495="Target",N(INDEX(Settings!$G$14:$G$18,$BF495)),N(INDEX(Settings!$H$14:$H$18,$BF495))),0),6)),IF(NOT(ISNUMBER($G495)),"",ROUND(ABS($G495)*2*IF(AND($BE495&gt;0,ISNUMBER(INDEX(Instruments!$G$6:$G$205,MAX(1,$BE495)))),INDEX(Instruments!$G$6:$G$205,MAX(1,$BE495)),N(INDEX(Settings!$F$14:$F$18,$BF495))),6))))</f>
        <v/>
      </c>
      <c r="AK495" s="55" t="str">
        <f>IF($AM495=0,"",IF(ISNUMBER($O495),$O495,$AI495))</f>
        <v/>
      </c>
      <c r="AL495" s="55" t="str">
        <f>IF($AM495=0,"",IF(ISNUMBER($P495),$P495,N($AJ495)))</f>
        <v/>
      </c>
      <c r="AM495" s="56">
        <f>IF(AND($A495&lt;&gt;"",$E495&lt;&gt;"",OR(AND(ISNUMBER($G495),ISNUMBER($H495),ISNUMBER($K495)),ISNUMBER($O495))),1,0)</f>
        <v>0</v>
      </c>
      <c r="AN495" s="57" t="str">
        <f>IF($A495="","",$A495-WEEKDAY($A495,3))</f>
        <v/>
      </c>
      <c r="AO495" s="56" t="str">
        <f>IF($A495="","",WEEKDAY($A495,2))</f>
        <v/>
      </c>
      <c r="AP495" s="55" t="str">
        <f>IF(OR($AM495=0,$C495=""),"",IFERROR(N(INDEX(Accounts!$E$7:$E$16,MATCH($C495,Accounts!$B$7:$B$16,0))),0)+SUMIFS($Q$6:$Q495,$C$6:$C495,$C495))</f>
        <v/>
      </c>
      <c r="AQ495" s="55" t="str">
        <f>IF(OR($AM495=0,$C495=""),"",SUMIFS($Q$6:$Q$1005,$C$6:$C$1005,$C495,$A$6:$A$1005,$A495))</f>
        <v/>
      </c>
      <c r="AR495" s="55" t="str">
        <f>IF(OR($AM495=0,$C495=""),"",IFERROR(N(INDEX(Accounts!$E$7:$E$16,MATCH($C495,Accounts!$B$7:$B$16,0))),0)+SUMIFS($Q$6:$Q$1005,$C$6:$C$1005,$C495,$A$6:$A$1005,"&lt;="&amp;$A495))</f>
        <v/>
      </c>
      <c r="AS495" s="56">
        <f>IF(OR($AM495=0,$Q495=""),0,IF(AND($A495&gt;=Lists!$W$6,$A495&lt;=Lists!$W$7,OR(Dashboard!$D$6="All accounts",$C495=Dashboard!$D$6),OR(Dashboard!$D$7="All markets",$AF495=Dashboard!$D$7)),1,0))</f>
        <v>0</v>
      </c>
      <c r="AT495" s="55">
        <f>IF($AS495=1,N(AT494)+$Q495,N(AT494))</f>
        <v>1187.10688</v>
      </c>
      <c r="AU495" s="55">
        <f>MAX(N(AU494),$AT495)</f>
        <v>1187.10688</v>
      </c>
      <c r="AV495" s="55">
        <f>$AT495-$AU495</f>
        <v>0</v>
      </c>
      <c r="AW495" s="56">
        <f>IF($AS495=1,IF($S495="Win",N(AW494)+1,IF($S495="Loss",0,N(AW494))),N(AW494))</f>
        <v>5</v>
      </c>
      <c r="AX495" s="56">
        <f>IF($AS495=1,IF($S495="Loss",N(AX494)+1,IF($S495="Win",0,N(AX494))),N(AX494))</f>
        <v>0</v>
      </c>
      <c r="AY495" s="56" t="str">
        <f>IF($AS495=1,COUNTIF($AS$6:$AS495,1),"")</f>
        <v/>
      </c>
      <c r="AZ495" s="56">
        <f>MIN(489,N(Lists!$W$8))</f>
        <v>28</v>
      </c>
      <c r="BA495" s="56">
        <f>IF($AS495=1,IF(COUNTIFS($A$6:$A495,$A495,$AS$6:$AS495,1)=1,1,0),0)</f>
        <v>0</v>
      </c>
      <c r="BB495" s="55" t="str">
        <f>IF($BA495=1,SUMIFS($Q$6:$Q$1005,$A$6:$A$1005,$A495,$AS$6:$AS$1005,1),"")</f>
        <v/>
      </c>
      <c r="BC495" s="56">
        <f>IF(ISNUMBER($R495),1,0)</f>
        <v>0</v>
      </c>
      <c r="BD495" s="55" t="str">
        <f>IF(ISNUMBER($U495),$U495*$V495,"")</f>
        <v/>
      </c>
      <c r="BE495" s="56" t="str">
        <f>IF($AM495=0,"",IFERROR(MATCH($AF495&amp;"|"&amp;UPPER(TRIM($E495)),Lists!$A$6:$A$205,0),0))</f>
        <v/>
      </c>
      <c r="BF495" s="56" t="str">
        <f>IF($AM495=0,"",IFERROR(MATCH($AF495,Settings!$B$14:$B$18,0),IFERROR(MATCH(Settings!$C$6,Settings!$B$14:$B$18,0),1)))</f>
        <v/>
      </c>
      <c r="BG495" s="58" t="str">
        <f>IF($AM495=0,"",IF(NOT(ISNUMBER($I495)),"No stop; ","")&amp;IF(AND(ISNUMBER($H495),ISNUMBER($I495)),IF(OR(AND($F495&lt;&gt;"Short",$I495&gt;=$H495),AND($F495="Short",$I495&lt;=$H495)),"Stop on wrong side; ",""),"")&amp;IF($F495="","No direction; ","")&amp;IF(AND(ISNUMBER(Settings!$C$22),ISNUMBER($V495)),IF($V495&gt;Settings!$C$22,"Risk over max $; ",""),"")&amp;IF(AND(ISNUMBER(Settings!$C$23),ISNUMBER($V495),ISNUMBER($AP495),IFERROR(N(INDEX(Accounts!$E$7:$E$16,MATCH($C495,Accounts!$B$7:$B$16,0))),0)&gt;0),IF($V495&gt;Settings!$C$23*($AP495-N($Q495)),"Risk over max %; ",""),"")&amp;IF(AND(ISNUMBER(Settings!$C$24),ISNUMBER($N495)),IF($N495&gt;Settings!$C$24,"Leverage over max; ",""),"")&amp;IF(AND(ISNUMBER(Settings!$C$27),ISNUMBER($T495)),IF($T495&lt;Settings!$C$27,"R:R below min; ",""),"")&amp;IF(ISNUMBER(Settings!$C$25),IF(COUNTIFS($A$6:$A495,$A495,$AM$6:$AM495,1)&gt;Settings!$C$25,"Over max trades/day; ",""),"")&amp;IF(ISNUMBER(Settings!$C$26),IF(SUMIFS($Q$5:$Q494,$A$5:$A494,$A495)&lt;=-Settings!$C$26,"Traded after daily max loss; ",""),"")&amp;IF(AND($AG495="",NOT(ISNUMBER($O495))),"Symbol not in Instruments; ","")&amp;IF(AND($AH495="",NOT(ISNUMBER($O495))),"Forex cross: type Gross P&amp;L; ",""))</f>
        <v/>
      </c>
      <c r="BH495" s="56">
        <f>IF(ISNUMBER($Q495),1,0)</f>
        <v>0</v>
      </c>
      <c r="BI495" s="56">
        <f>IF($Y495="",0,1)</f>
        <v>0</v>
      </c>
      <c r="BJ495" s="56">
        <f>IF($AB495="",0,1)</f>
        <v>0</v>
      </c>
      <c r="BK495" s="56">
        <f>IF(AND($BH495=1,$W495&lt;&gt;"OK"),1,0)</f>
        <v>0</v>
      </c>
      <c r="BL495" s="55">
        <f>IF(N($AZ495)=0,0,IFERROR(INDEX($AT$6:$AT$1005,MATCH($AZ495,$AY$6:$AY$1005,0)),0))</f>
        <v>1187.10688</v>
      </c>
      <c r="BM495" s="56">
        <f>IF(ISNUMBER(SEARCH("daily max loss",$BG495)),1,0)</f>
        <v>0</v>
      </c>
    </row>
    <row r="496" ht="18" customHeight="1">
      <c r="A496" s="38" t="n"/>
      <c r="B496" s="39" t="n"/>
      <c r="C496" s="40" t="n"/>
      <c r="D496" s="41" t="n"/>
      <c r="E496" s="41" t="n"/>
      <c r="F496" s="41" t="n"/>
      <c r="G496" s="41" t="n"/>
      <c r="H496" s="42" t="n"/>
      <c r="I496" s="42" t="n"/>
      <c r="J496" s="42" t="n"/>
      <c r="K496" s="42" t="n"/>
      <c r="L496" s="41" t="n"/>
      <c r="M496" s="41" t="n"/>
      <c r="N496" s="41" t="n"/>
      <c r="O496" s="43" t="n"/>
      <c r="P496" s="43" t="n"/>
      <c r="Q496" s="44" t="str">
        <f>IF($AM496=0,"",IF(ISNUMBER($AK496),$AK496-N($AL496),""))</f>
        <v/>
      </c>
      <c r="R496" s="45" t="str">
        <f>IF(OR($Q496="",NOT(ISNUMBER($V496))),"",$AK496/$V496)</f>
        <v/>
      </c>
      <c r="S496" s="46" t="str">
        <f>IF($Q496="","",IF(AND(ISNUMBER($R496),ABS(N($R496))&lt;N(Settings!$C$8)),"Scratch",IF($Q496&gt;0,"Win",IF($Q496&lt;0,"Loss","Scratch"))))</f>
        <v/>
      </c>
      <c r="T496" s="47" t="str">
        <f>IF(OR($AM496=0,NOT(ISNUMBER($H496)),NOT(ISNUMBER($I496)),NOT(ISNUMBER($J496))),"",IF($H496=$I496,"",ROUND(ABS($J496-$H496)/ABS($H496-$I496),6)))</f>
        <v/>
      </c>
      <c r="U496" s="48" t="str">
        <f>IF(OR($S496&lt;&gt;"Win",NOT(ISNUMBER($T496)),NOT(ISNUMBER($R496))),"",MAX(0,$T496-$R496))</f>
        <v/>
      </c>
      <c r="V496" s="49" t="str">
        <f>IF(OR($AM496=0,NOT(ISNUMBER($H496)),NOT(ISNUMBER($I496)),NOT(ISNUMBER($G496))),"",IF(OR($AG496="",$AH496=""),"",IF(ROUND(ABS($H496-$I496)*ABS($G496)*$AG496*$AH496,6)=0,"",ROUND(ABS($H496-$I496)*ABS($G496)*$AG496*$AH496,6))))</f>
        <v/>
      </c>
      <c r="W496" s="50" t="str">
        <f>IF($AM496=0,"",IF($BG496="","OK",LEFT($BG496,LEN($BG496)-2)))</f>
        <v/>
      </c>
      <c r="X496" s="41" t="n"/>
      <c r="Y496" s="40" t="n"/>
      <c r="Z496" s="41" t="n"/>
      <c r="AA496" s="41" t="n"/>
      <c r="AB496" s="40" t="n"/>
      <c r="AC496" s="51" t="n"/>
      <c r="AD496" s="51" t="n"/>
      <c r="AE496" s="40" t="n"/>
      <c r="AF496" s="52" t="str">
        <f>IF($AM496=0,"",IF($D496&lt;&gt;"",$D496,IF(IFERROR(INDEX(Accounts!$C$7:$C$16,MATCH($C496,Accounts!$B$7:$B$16,0))&amp;"","")&lt;&gt;"",INDEX(Accounts!$C$7:$C$16,MATCH($C496,Accounts!$B$7:$B$16,0)),Settings!$C$6)))</f>
        <v/>
      </c>
      <c r="AG496" s="53" t="str">
        <f>IF($AM496=0,"",IF(AND($BE496&gt;0,N(INDEX(Instruments!$D$6:$D$205,MAX(1,$BE496)))&gt;0),INDEX(Instruments!$D$6:$D$205,MAX(1,$BE496)),IF(N(INDEX(Settings!$D$14:$D$18,$BF496))&gt;0,INDEX(Settings!$D$14:$D$18,$BF496),"")))</f>
        <v/>
      </c>
      <c r="AH496" s="54" t="str">
        <f>IF($AM496=0,"",IF($AF496&lt;&gt;"Forex",1,IF(MID(UPPER(SUBSTITUTE(TRIM($E496),"/","")),4,3)=UPPER(TRIM(Settings!$C$7)),1,IF(LEFT(UPPER(SUBSTITUTE(TRIM($E496),"/","")),3)=UPPER(TRIM(Settings!$C$7)),IF(AND(ISNUMBER($K496),N($K496)&lt;&gt;0),1/$K496,""),""))))</f>
        <v/>
      </c>
      <c r="AI496" s="55" t="str">
        <f>IF($AM496=0,"",IF(OR(NOT(ISNUMBER($H496)),NOT(ISNUMBER($K496)),NOT(ISNUMBER($G496)),$AG496="",$AH496=""),"",ROUND(($K496-$H496)*IF($F496="Short",-1,1)*$G496*$AG496*$AH496,6)))</f>
        <v/>
      </c>
      <c r="AJ496" s="55" t="str">
        <f>IF($AM496=0,"",IF(INDEX(Settings!$E$14:$E$18,$BF496)="% of notional",IF(OR($AG496="",NOT(ISNUMBER($H496)),NOT(ISNUMBER($G496))),"",ROUND(ABS($H496*$G496*$AG496*N($AH496))*IF($L496="Limit",N(INDEX(Settings!$G$14:$G$18,$BF496)),N(INDEX(Settings!$H$14:$H$18,$BF496)))+IF(ISNUMBER($K496),ABS($K496*$G496*$AG496*N($AH496))*IF($M496="Target",N(INDEX(Settings!$G$14:$G$18,$BF496)),N(INDEX(Settings!$H$14:$H$18,$BF496))),0),6)),IF(NOT(ISNUMBER($G496)),"",ROUND(ABS($G496)*2*IF(AND($BE496&gt;0,ISNUMBER(INDEX(Instruments!$G$6:$G$205,MAX(1,$BE496)))),INDEX(Instruments!$G$6:$G$205,MAX(1,$BE496)),N(INDEX(Settings!$F$14:$F$18,$BF496))),6))))</f>
        <v/>
      </c>
      <c r="AK496" s="55" t="str">
        <f>IF($AM496=0,"",IF(ISNUMBER($O496),$O496,$AI496))</f>
        <v/>
      </c>
      <c r="AL496" s="55" t="str">
        <f>IF($AM496=0,"",IF(ISNUMBER($P496),$P496,N($AJ496)))</f>
        <v/>
      </c>
      <c r="AM496" s="56">
        <f>IF(AND($A496&lt;&gt;"",$E496&lt;&gt;"",OR(AND(ISNUMBER($G496),ISNUMBER($H496),ISNUMBER($K496)),ISNUMBER($O496))),1,0)</f>
        <v>0</v>
      </c>
      <c r="AN496" s="57" t="str">
        <f>IF($A496="","",$A496-WEEKDAY($A496,3))</f>
        <v/>
      </c>
      <c r="AO496" s="56" t="str">
        <f>IF($A496="","",WEEKDAY($A496,2))</f>
        <v/>
      </c>
      <c r="AP496" s="55" t="str">
        <f>IF(OR($AM496=0,$C496=""),"",IFERROR(N(INDEX(Accounts!$E$7:$E$16,MATCH($C496,Accounts!$B$7:$B$16,0))),0)+SUMIFS($Q$6:$Q496,$C$6:$C496,$C496))</f>
        <v/>
      </c>
      <c r="AQ496" s="55" t="str">
        <f>IF(OR($AM496=0,$C496=""),"",SUMIFS($Q$6:$Q$1005,$C$6:$C$1005,$C496,$A$6:$A$1005,$A496))</f>
        <v/>
      </c>
      <c r="AR496" s="55" t="str">
        <f>IF(OR($AM496=0,$C496=""),"",IFERROR(N(INDEX(Accounts!$E$7:$E$16,MATCH($C496,Accounts!$B$7:$B$16,0))),0)+SUMIFS($Q$6:$Q$1005,$C$6:$C$1005,$C496,$A$6:$A$1005,"&lt;="&amp;$A496))</f>
        <v/>
      </c>
      <c r="AS496" s="56">
        <f>IF(OR($AM496=0,$Q496=""),0,IF(AND($A496&gt;=Lists!$W$6,$A496&lt;=Lists!$W$7,OR(Dashboard!$D$6="All accounts",$C496=Dashboard!$D$6),OR(Dashboard!$D$7="All markets",$AF496=Dashboard!$D$7)),1,0))</f>
        <v>0</v>
      </c>
      <c r="AT496" s="55">
        <f>IF($AS496=1,N(AT495)+$Q496,N(AT495))</f>
        <v>1187.10688</v>
      </c>
      <c r="AU496" s="55">
        <f>MAX(N(AU495),$AT496)</f>
        <v>1187.10688</v>
      </c>
      <c r="AV496" s="55">
        <f>$AT496-$AU496</f>
        <v>0</v>
      </c>
      <c r="AW496" s="56">
        <f>IF($AS496=1,IF($S496="Win",N(AW495)+1,IF($S496="Loss",0,N(AW495))),N(AW495))</f>
        <v>5</v>
      </c>
      <c r="AX496" s="56">
        <f>IF($AS496=1,IF($S496="Loss",N(AX495)+1,IF($S496="Win",0,N(AX495))),N(AX495))</f>
        <v>0</v>
      </c>
      <c r="AY496" s="56" t="str">
        <f>IF($AS496=1,COUNTIF($AS$6:$AS496,1),"")</f>
        <v/>
      </c>
      <c r="AZ496" s="56">
        <f>MIN(490,N(Lists!$W$8))</f>
        <v>28</v>
      </c>
      <c r="BA496" s="56">
        <f>IF($AS496=1,IF(COUNTIFS($A$6:$A496,$A496,$AS$6:$AS496,1)=1,1,0),0)</f>
        <v>0</v>
      </c>
      <c r="BB496" s="55" t="str">
        <f>IF($BA496=1,SUMIFS($Q$6:$Q$1005,$A$6:$A$1005,$A496,$AS$6:$AS$1005,1),"")</f>
        <v/>
      </c>
      <c r="BC496" s="56">
        <f>IF(ISNUMBER($R496),1,0)</f>
        <v>0</v>
      </c>
      <c r="BD496" s="55" t="str">
        <f>IF(ISNUMBER($U496),$U496*$V496,"")</f>
        <v/>
      </c>
      <c r="BE496" s="56" t="str">
        <f>IF($AM496=0,"",IFERROR(MATCH($AF496&amp;"|"&amp;UPPER(TRIM($E496)),Lists!$A$6:$A$205,0),0))</f>
        <v/>
      </c>
      <c r="BF496" s="56" t="str">
        <f>IF($AM496=0,"",IFERROR(MATCH($AF496,Settings!$B$14:$B$18,0),IFERROR(MATCH(Settings!$C$6,Settings!$B$14:$B$18,0),1)))</f>
        <v/>
      </c>
      <c r="BG496" s="58" t="str">
        <f>IF($AM496=0,"",IF(NOT(ISNUMBER($I496)),"No stop; ","")&amp;IF(AND(ISNUMBER($H496),ISNUMBER($I496)),IF(OR(AND($F496&lt;&gt;"Short",$I496&gt;=$H496),AND($F496="Short",$I496&lt;=$H496)),"Stop on wrong side; ",""),"")&amp;IF($F496="","No direction; ","")&amp;IF(AND(ISNUMBER(Settings!$C$22),ISNUMBER($V496)),IF($V496&gt;Settings!$C$22,"Risk over max $; ",""),"")&amp;IF(AND(ISNUMBER(Settings!$C$23),ISNUMBER($V496),ISNUMBER($AP496),IFERROR(N(INDEX(Accounts!$E$7:$E$16,MATCH($C496,Accounts!$B$7:$B$16,0))),0)&gt;0),IF($V496&gt;Settings!$C$23*($AP496-N($Q496)),"Risk over max %; ",""),"")&amp;IF(AND(ISNUMBER(Settings!$C$24),ISNUMBER($N496)),IF($N496&gt;Settings!$C$24,"Leverage over max; ",""),"")&amp;IF(AND(ISNUMBER(Settings!$C$27),ISNUMBER($T496)),IF($T496&lt;Settings!$C$27,"R:R below min; ",""),"")&amp;IF(ISNUMBER(Settings!$C$25),IF(COUNTIFS($A$6:$A496,$A496,$AM$6:$AM496,1)&gt;Settings!$C$25,"Over max trades/day; ",""),"")&amp;IF(ISNUMBER(Settings!$C$26),IF(SUMIFS($Q$5:$Q495,$A$5:$A495,$A496)&lt;=-Settings!$C$26,"Traded after daily max loss; ",""),"")&amp;IF(AND($AG496="",NOT(ISNUMBER($O496))),"Symbol not in Instruments; ","")&amp;IF(AND($AH496="",NOT(ISNUMBER($O496))),"Forex cross: type Gross P&amp;L; ",""))</f>
        <v/>
      </c>
      <c r="BH496" s="56">
        <f>IF(ISNUMBER($Q496),1,0)</f>
        <v>0</v>
      </c>
      <c r="BI496" s="56">
        <f>IF($Y496="",0,1)</f>
        <v>0</v>
      </c>
      <c r="BJ496" s="56">
        <f>IF($AB496="",0,1)</f>
        <v>0</v>
      </c>
      <c r="BK496" s="56">
        <f>IF(AND($BH496=1,$W496&lt;&gt;"OK"),1,0)</f>
        <v>0</v>
      </c>
      <c r="BL496" s="55">
        <f>IF(N($AZ496)=0,0,IFERROR(INDEX($AT$6:$AT$1005,MATCH($AZ496,$AY$6:$AY$1005,0)),0))</f>
        <v>1187.10688</v>
      </c>
      <c r="BM496" s="56">
        <f>IF(ISNUMBER(SEARCH("daily max loss",$BG496)),1,0)</f>
        <v>0</v>
      </c>
    </row>
    <row r="497" ht="18" customHeight="1">
      <c r="A497" s="38" t="n"/>
      <c r="B497" s="39" t="n"/>
      <c r="C497" s="40" t="n"/>
      <c r="D497" s="41" t="n"/>
      <c r="E497" s="41" t="n"/>
      <c r="F497" s="41" t="n"/>
      <c r="G497" s="41" t="n"/>
      <c r="H497" s="42" t="n"/>
      <c r="I497" s="42" t="n"/>
      <c r="J497" s="42" t="n"/>
      <c r="K497" s="42" t="n"/>
      <c r="L497" s="41" t="n"/>
      <c r="M497" s="41" t="n"/>
      <c r="N497" s="41" t="n"/>
      <c r="O497" s="43" t="n"/>
      <c r="P497" s="43" t="n"/>
      <c r="Q497" s="44" t="str">
        <f>IF($AM497=0,"",IF(ISNUMBER($AK497),$AK497-N($AL497),""))</f>
        <v/>
      </c>
      <c r="R497" s="45" t="str">
        <f>IF(OR($Q497="",NOT(ISNUMBER($V497))),"",$AK497/$V497)</f>
        <v/>
      </c>
      <c r="S497" s="46" t="str">
        <f>IF($Q497="","",IF(AND(ISNUMBER($R497),ABS(N($R497))&lt;N(Settings!$C$8)),"Scratch",IF($Q497&gt;0,"Win",IF($Q497&lt;0,"Loss","Scratch"))))</f>
        <v/>
      </c>
      <c r="T497" s="47" t="str">
        <f>IF(OR($AM497=0,NOT(ISNUMBER($H497)),NOT(ISNUMBER($I497)),NOT(ISNUMBER($J497))),"",IF($H497=$I497,"",ROUND(ABS($J497-$H497)/ABS($H497-$I497),6)))</f>
        <v/>
      </c>
      <c r="U497" s="48" t="str">
        <f>IF(OR($S497&lt;&gt;"Win",NOT(ISNUMBER($T497)),NOT(ISNUMBER($R497))),"",MAX(0,$T497-$R497))</f>
        <v/>
      </c>
      <c r="V497" s="49" t="str">
        <f>IF(OR($AM497=0,NOT(ISNUMBER($H497)),NOT(ISNUMBER($I497)),NOT(ISNUMBER($G497))),"",IF(OR($AG497="",$AH497=""),"",IF(ROUND(ABS($H497-$I497)*ABS($G497)*$AG497*$AH497,6)=0,"",ROUND(ABS($H497-$I497)*ABS($G497)*$AG497*$AH497,6))))</f>
        <v/>
      </c>
      <c r="W497" s="50" t="str">
        <f>IF($AM497=0,"",IF($BG497="","OK",LEFT($BG497,LEN($BG497)-2)))</f>
        <v/>
      </c>
      <c r="X497" s="41" t="n"/>
      <c r="Y497" s="40" t="n"/>
      <c r="Z497" s="41" t="n"/>
      <c r="AA497" s="41" t="n"/>
      <c r="AB497" s="40" t="n"/>
      <c r="AC497" s="51" t="n"/>
      <c r="AD497" s="51" t="n"/>
      <c r="AE497" s="40" t="n"/>
      <c r="AF497" s="52" t="str">
        <f>IF($AM497=0,"",IF($D497&lt;&gt;"",$D497,IF(IFERROR(INDEX(Accounts!$C$7:$C$16,MATCH($C497,Accounts!$B$7:$B$16,0))&amp;"","")&lt;&gt;"",INDEX(Accounts!$C$7:$C$16,MATCH($C497,Accounts!$B$7:$B$16,0)),Settings!$C$6)))</f>
        <v/>
      </c>
      <c r="AG497" s="53" t="str">
        <f>IF($AM497=0,"",IF(AND($BE497&gt;0,N(INDEX(Instruments!$D$6:$D$205,MAX(1,$BE497)))&gt;0),INDEX(Instruments!$D$6:$D$205,MAX(1,$BE497)),IF(N(INDEX(Settings!$D$14:$D$18,$BF497))&gt;0,INDEX(Settings!$D$14:$D$18,$BF497),"")))</f>
        <v/>
      </c>
      <c r="AH497" s="54" t="str">
        <f>IF($AM497=0,"",IF($AF497&lt;&gt;"Forex",1,IF(MID(UPPER(SUBSTITUTE(TRIM($E497),"/","")),4,3)=UPPER(TRIM(Settings!$C$7)),1,IF(LEFT(UPPER(SUBSTITUTE(TRIM($E497),"/","")),3)=UPPER(TRIM(Settings!$C$7)),IF(AND(ISNUMBER($K497),N($K497)&lt;&gt;0),1/$K497,""),""))))</f>
        <v/>
      </c>
      <c r="AI497" s="55" t="str">
        <f>IF($AM497=0,"",IF(OR(NOT(ISNUMBER($H497)),NOT(ISNUMBER($K497)),NOT(ISNUMBER($G497)),$AG497="",$AH497=""),"",ROUND(($K497-$H497)*IF($F497="Short",-1,1)*$G497*$AG497*$AH497,6)))</f>
        <v/>
      </c>
      <c r="AJ497" s="55" t="str">
        <f>IF($AM497=0,"",IF(INDEX(Settings!$E$14:$E$18,$BF497)="% of notional",IF(OR($AG497="",NOT(ISNUMBER($H497)),NOT(ISNUMBER($G497))),"",ROUND(ABS($H497*$G497*$AG497*N($AH497))*IF($L497="Limit",N(INDEX(Settings!$G$14:$G$18,$BF497)),N(INDEX(Settings!$H$14:$H$18,$BF497)))+IF(ISNUMBER($K497),ABS($K497*$G497*$AG497*N($AH497))*IF($M497="Target",N(INDEX(Settings!$G$14:$G$18,$BF497)),N(INDEX(Settings!$H$14:$H$18,$BF497))),0),6)),IF(NOT(ISNUMBER($G497)),"",ROUND(ABS($G497)*2*IF(AND($BE497&gt;0,ISNUMBER(INDEX(Instruments!$G$6:$G$205,MAX(1,$BE497)))),INDEX(Instruments!$G$6:$G$205,MAX(1,$BE497)),N(INDEX(Settings!$F$14:$F$18,$BF497))),6))))</f>
        <v/>
      </c>
      <c r="AK497" s="55" t="str">
        <f>IF($AM497=0,"",IF(ISNUMBER($O497),$O497,$AI497))</f>
        <v/>
      </c>
      <c r="AL497" s="55" t="str">
        <f>IF($AM497=0,"",IF(ISNUMBER($P497),$P497,N($AJ497)))</f>
        <v/>
      </c>
      <c r="AM497" s="56">
        <f>IF(AND($A497&lt;&gt;"",$E497&lt;&gt;"",OR(AND(ISNUMBER($G497),ISNUMBER($H497),ISNUMBER($K497)),ISNUMBER($O497))),1,0)</f>
        <v>0</v>
      </c>
      <c r="AN497" s="57" t="str">
        <f>IF($A497="","",$A497-WEEKDAY($A497,3))</f>
        <v/>
      </c>
      <c r="AO497" s="56" t="str">
        <f>IF($A497="","",WEEKDAY($A497,2))</f>
        <v/>
      </c>
      <c r="AP497" s="55" t="str">
        <f>IF(OR($AM497=0,$C497=""),"",IFERROR(N(INDEX(Accounts!$E$7:$E$16,MATCH($C497,Accounts!$B$7:$B$16,0))),0)+SUMIFS($Q$6:$Q497,$C$6:$C497,$C497))</f>
        <v/>
      </c>
      <c r="AQ497" s="55" t="str">
        <f>IF(OR($AM497=0,$C497=""),"",SUMIFS($Q$6:$Q$1005,$C$6:$C$1005,$C497,$A$6:$A$1005,$A497))</f>
        <v/>
      </c>
      <c r="AR497" s="55" t="str">
        <f>IF(OR($AM497=0,$C497=""),"",IFERROR(N(INDEX(Accounts!$E$7:$E$16,MATCH($C497,Accounts!$B$7:$B$16,0))),0)+SUMIFS($Q$6:$Q$1005,$C$6:$C$1005,$C497,$A$6:$A$1005,"&lt;="&amp;$A497))</f>
        <v/>
      </c>
      <c r="AS497" s="56">
        <f>IF(OR($AM497=0,$Q497=""),0,IF(AND($A497&gt;=Lists!$W$6,$A497&lt;=Lists!$W$7,OR(Dashboard!$D$6="All accounts",$C497=Dashboard!$D$6),OR(Dashboard!$D$7="All markets",$AF497=Dashboard!$D$7)),1,0))</f>
        <v>0</v>
      </c>
      <c r="AT497" s="55">
        <f>IF($AS497=1,N(AT496)+$Q497,N(AT496))</f>
        <v>1187.10688</v>
      </c>
      <c r="AU497" s="55">
        <f>MAX(N(AU496),$AT497)</f>
        <v>1187.10688</v>
      </c>
      <c r="AV497" s="55">
        <f>$AT497-$AU497</f>
        <v>0</v>
      </c>
      <c r="AW497" s="56">
        <f>IF($AS497=1,IF($S497="Win",N(AW496)+1,IF($S497="Loss",0,N(AW496))),N(AW496))</f>
        <v>5</v>
      </c>
      <c r="AX497" s="56">
        <f>IF($AS497=1,IF($S497="Loss",N(AX496)+1,IF($S497="Win",0,N(AX496))),N(AX496))</f>
        <v>0</v>
      </c>
      <c r="AY497" s="56" t="str">
        <f>IF($AS497=1,COUNTIF($AS$6:$AS497,1),"")</f>
        <v/>
      </c>
      <c r="AZ497" s="56">
        <f>MIN(491,N(Lists!$W$8))</f>
        <v>28</v>
      </c>
      <c r="BA497" s="56">
        <f>IF($AS497=1,IF(COUNTIFS($A$6:$A497,$A497,$AS$6:$AS497,1)=1,1,0),0)</f>
        <v>0</v>
      </c>
      <c r="BB497" s="55" t="str">
        <f>IF($BA497=1,SUMIFS($Q$6:$Q$1005,$A$6:$A$1005,$A497,$AS$6:$AS$1005,1),"")</f>
        <v/>
      </c>
      <c r="BC497" s="56">
        <f>IF(ISNUMBER($R497),1,0)</f>
        <v>0</v>
      </c>
      <c r="BD497" s="55" t="str">
        <f>IF(ISNUMBER($U497),$U497*$V497,"")</f>
        <v/>
      </c>
      <c r="BE497" s="56" t="str">
        <f>IF($AM497=0,"",IFERROR(MATCH($AF497&amp;"|"&amp;UPPER(TRIM($E497)),Lists!$A$6:$A$205,0),0))</f>
        <v/>
      </c>
      <c r="BF497" s="56" t="str">
        <f>IF($AM497=0,"",IFERROR(MATCH($AF497,Settings!$B$14:$B$18,0),IFERROR(MATCH(Settings!$C$6,Settings!$B$14:$B$18,0),1)))</f>
        <v/>
      </c>
      <c r="BG497" s="58" t="str">
        <f>IF($AM497=0,"",IF(NOT(ISNUMBER($I497)),"No stop; ","")&amp;IF(AND(ISNUMBER($H497),ISNUMBER($I497)),IF(OR(AND($F497&lt;&gt;"Short",$I497&gt;=$H497),AND($F497="Short",$I497&lt;=$H497)),"Stop on wrong side; ",""),"")&amp;IF($F497="","No direction; ","")&amp;IF(AND(ISNUMBER(Settings!$C$22),ISNUMBER($V497)),IF($V497&gt;Settings!$C$22,"Risk over max $; ",""),"")&amp;IF(AND(ISNUMBER(Settings!$C$23),ISNUMBER($V497),ISNUMBER($AP497),IFERROR(N(INDEX(Accounts!$E$7:$E$16,MATCH($C497,Accounts!$B$7:$B$16,0))),0)&gt;0),IF($V497&gt;Settings!$C$23*($AP497-N($Q497)),"Risk over max %; ",""),"")&amp;IF(AND(ISNUMBER(Settings!$C$24),ISNUMBER($N497)),IF($N497&gt;Settings!$C$24,"Leverage over max; ",""),"")&amp;IF(AND(ISNUMBER(Settings!$C$27),ISNUMBER($T497)),IF($T497&lt;Settings!$C$27,"R:R below min; ",""),"")&amp;IF(ISNUMBER(Settings!$C$25),IF(COUNTIFS($A$6:$A497,$A497,$AM$6:$AM497,1)&gt;Settings!$C$25,"Over max trades/day; ",""),"")&amp;IF(ISNUMBER(Settings!$C$26),IF(SUMIFS($Q$5:$Q496,$A$5:$A496,$A497)&lt;=-Settings!$C$26,"Traded after daily max loss; ",""),"")&amp;IF(AND($AG497="",NOT(ISNUMBER($O497))),"Symbol not in Instruments; ","")&amp;IF(AND($AH497="",NOT(ISNUMBER($O497))),"Forex cross: type Gross P&amp;L; ",""))</f>
        <v/>
      </c>
      <c r="BH497" s="56">
        <f>IF(ISNUMBER($Q497),1,0)</f>
        <v>0</v>
      </c>
      <c r="BI497" s="56">
        <f>IF($Y497="",0,1)</f>
        <v>0</v>
      </c>
      <c r="BJ497" s="56">
        <f>IF($AB497="",0,1)</f>
        <v>0</v>
      </c>
      <c r="BK497" s="56">
        <f>IF(AND($BH497=1,$W497&lt;&gt;"OK"),1,0)</f>
        <v>0</v>
      </c>
      <c r="BL497" s="55">
        <f>IF(N($AZ497)=0,0,IFERROR(INDEX($AT$6:$AT$1005,MATCH($AZ497,$AY$6:$AY$1005,0)),0))</f>
        <v>1187.10688</v>
      </c>
      <c r="BM497" s="56">
        <f>IF(ISNUMBER(SEARCH("daily max loss",$BG497)),1,0)</f>
        <v>0</v>
      </c>
    </row>
    <row r="498" ht="18" customHeight="1">
      <c r="A498" s="38" t="n"/>
      <c r="B498" s="39" t="n"/>
      <c r="C498" s="40" t="n"/>
      <c r="D498" s="41" t="n"/>
      <c r="E498" s="41" t="n"/>
      <c r="F498" s="41" t="n"/>
      <c r="G498" s="41" t="n"/>
      <c r="H498" s="42" t="n"/>
      <c r="I498" s="42" t="n"/>
      <c r="J498" s="42" t="n"/>
      <c r="K498" s="42" t="n"/>
      <c r="L498" s="41" t="n"/>
      <c r="M498" s="41" t="n"/>
      <c r="N498" s="41" t="n"/>
      <c r="O498" s="43" t="n"/>
      <c r="P498" s="43" t="n"/>
      <c r="Q498" s="44" t="str">
        <f>IF($AM498=0,"",IF(ISNUMBER($AK498),$AK498-N($AL498),""))</f>
        <v/>
      </c>
      <c r="R498" s="45" t="str">
        <f>IF(OR($Q498="",NOT(ISNUMBER($V498))),"",$AK498/$V498)</f>
        <v/>
      </c>
      <c r="S498" s="46" t="str">
        <f>IF($Q498="","",IF(AND(ISNUMBER($R498),ABS(N($R498))&lt;N(Settings!$C$8)),"Scratch",IF($Q498&gt;0,"Win",IF($Q498&lt;0,"Loss","Scratch"))))</f>
        <v/>
      </c>
      <c r="T498" s="47" t="str">
        <f>IF(OR($AM498=0,NOT(ISNUMBER($H498)),NOT(ISNUMBER($I498)),NOT(ISNUMBER($J498))),"",IF($H498=$I498,"",ROUND(ABS($J498-$H498)/ABS($H498-$I498),6)))</f>
        <v/>
      </c>
      <c r="U498" s="48" t="str">
        <f>IF(OR($S498&lt;&gt;"Win",NOT(ISNUMBER($T498)),NOT(ISNUMBER($R498))),"",MAX(0,$T498-$R498))</f>
        <v/>
      </c>
      <c r="V498" s="49" t="str">
        <f>IF(OR($AM498=0,NOT(ISNUMBER($H498)),NOT(ISNUMBER($I498)),NOT(ISNUMBER($G498))),"",IF(OR($AG498="",$AH498=""),"",IF(ROUND(ABS($H498-$I498)*ABS($G498)*$AG498*$AH498,6)=0,"",ROUND(ABS($H498-$I498)*ABS($G498)*$AG498*$AH498,6))))</f>
        <v/>
      </c>
      <c r="W498" s="50" t="str">
        <f>IF($AM498=0,"",IF($BG498="","OK",LEFT($BG498,LEN($BG498)-2)))</f>
        <v/>
      </c>
      <c r="X498" s="41" t="n"/>
      <c r="Y498" s="40" t="n"/>
      <c r="Z498" s="41" t="n"/>
      <c r="AA498" s="41" t="n"/>
      <c r="AB498" s="40" t="n"/>
      <c r="AC498" s="51" t="n"/>
      <c r="AD498" s="51" t="n"/>
      <c r="AE498" s="40" t="n"/>
      <c r="AF498" s="52" t="str">
        <f>IF($AM498=0,"",IF($D498&lt;&gt;"",$D498,IF(IFERROR(INDEX(Accounts!$C$7:$C$16,MATCH($C498,Accounts!$B$7:$B$16,0))&amp;"","")&lt;&gt;"",INDEX(Accounts!$C$7:$C$16,MATCH($C498,Accounts!$B$7:$B$16,0)),Settings!$C$6)))</f>
        <v/>
      </c>
      <c r="AG498" s="53" t="str">
        <f>IF($AM498=0,"",IF(AND($BE498&gt;0,N(INDEX(Instruments!$D$6:$D$205,MAX(1,$BE498)))&gt;0),INDEX(Instruments!$D$6:$D$205,MAX(1,$BE498)),IF(N(INDEX(Settings!$D$14:$D$18,$BF498))&gt;0,INDEX(Settings!$D$14:$D$18,$BF498),"")))</f>
        <v/>
      </c>
      <c r="AH498" s="54" t="str">
        <f>IF($AM498=0,"",IF($AF498&lt;&gt;"Forex",1,IF(MID(UPPER(SUBSTITUTE(TRIM($E498),"/","")),4,3)=UPPER(TRIM(Settings!$C$7)),1,IF(LEFT(UPPER(SUBSTITUTE(TRIM($E498),"/","")),3)=UPPER(TRIM(Settings!$C$7)),IF(AND(ISNUMBER($K498),N($K498)&lt;&gt;0),1/$K498,""),""))))</f>
        <v/>
      </c>
      <c r="AI498" s="55" t="str">
        <f>IF($AM498=0,"",IF(OR(NOT(ISNUMBER($H498)),NOT(ISNUMBER($K498)),NOT(ISNUMBER($G498)),$AG498="",$AH498=""),"",ROUND(($K498-$H498)*IF($F498="Short",-1,1)*$G498*$AG498*$AH498,6)))</f>
        <v/>
      </c>
      <c r="AJ498" s="55" t="str">
        <f>IF($AM498=0,"",IF(INDEX(Settings!$E$14:$E$18,$BF498)="% of notional",IF(OR($AG498="",NOT(ISNUMBER($H498)),NOT(ISNUMBER($G498))),"",ROUND(ABS($H498*$G498*$AG498*N($AH498))*IF($L498="Limit",N(INDEX(Settings!$G$14:$G$18,$BF498)),N(INDEX(Settings!$H$14:$H$18,$BF498)))+IF(ISNUMBER($K498),ABS($K498*$G498*$AG498*N($AH498))*IF($M498="Target",N(INDEX(Settings!$G$14:$G$18,$BF498)),N(INDEX(Settings!$H$14:$H$18,$BF498))),0),6)),IF(NOT(ISNUMBER($G498)),"",ROUND(ABS($G498)*2*IF(AND($BE498&gt;0,ISNUMBER(INDEX(Instruments!$G$6:$G$205,MAX(1,$BE498)))),INDEX(Instruments!$G$6:$G$205,MAX(1,$BE498)),N(INDEX(Settings!$F$14:$F$18,$BF498))),6))))</f>
        <v/>
      </c>
      <c r="AK498" s="55" t="str">
        <f>IF($AM498=0,"",IF(ISNUMBER($O498),$O498,$AI498))</f>
        <v/>
      </c>
      <c r="AL498" s="55" t="str">
        <f>IF($AM498=0,"",IF(ISNUMBER($P498),$P498,N($AJ498)))</f>
        <v/>
      </c>
      <c r="AM498" s="56">
        <f>IF(AND($A498&lt;&gt;"",$E498&lt;&gt;"",OR(AND(ISNUMBER($G498),ISNUMBER($H498),ISNUMBER($K498)),ISNUMBER($O498))),1,0)</f>
        <v>0</v>
      </c>
      <c r="AN498" s="57" t="str">
        <f>IF($A498="","",$A498-WEEKDAY($A498,3))</f>
        <v/>
      </c>
      <c r="AO498" s="56" t="str">
        <f>IF($A498="","",WEEKDAY($A498,2))</f>
        <v/>
      </c>
      <c r="AP498" s="55" t="str">
        <f>IF(OR($AM498=0,$C498=""),"",IFERROR(N(INDEX(Accounts!$E$7:$E$16,MATCH($C498,Accounts!$B$7:$B$16,0))),0)+SUMIFS($Q$6:$Q498,$C$6:$C498,$C498))</f>
        <v/>
      </c>
      <c r="AQ498" s="55" t="str">
        <f>IF(OR($AM498=0,$C498=""),"",SUMIFS($Q$6:$Q$1005,$C$6:$C$1005,$C498,$A$6:$A$1005,$A498))</f>
        <v/>
      </c>
      <c r="AR498" s="55" t="str">
        <f>IF(OR($AM498=0,$C498=""),"",IFERROR(N(INDEX(Accounts!$E$7:$E$16,MATCH($C498,Accounts!$B$7:$B$16,0))),0)+SUMIFS($Q$6:$Q$1005,$C$6:$C$1005,$C498,$A$6:$A$1005,"&lt;="&amp;$A498))</f>
        <v/>
      </c>
      <c r="AS498" s="56">
        <f>IF(OR($AM498=0,$Q498=""),0,IF(AND($A498&gt;=Lists!$W$6,$A498&lt;=Lists!$W$7,OR(Dashboard!$D$6="All accounts",$C498=Dashboard!$D$6),OR(Dashboard!$D$7="All markets",$AF498=Dashboard!$D$7)),1,0))</f>
        <v>0</v>
      </c>
      <c r="AT498" s="55">
        <f>IF($AS498=1,N(AT497)+$Q498,N(AT497))</f>
        <v>1187.10688</v>
      </c>
      <c r="AU498" s="55">
        <f>MAX(N(AU497),$AT498)</f>
        <v>1187.10688</v>
      </c>
      <c r="AV498" s="55">
        <f>$AT498-$AU498</f>
        <v>0</v>
      </c>
      <c r="AW498" s="56">
        <f>IF($AS498=1,IF($S498="Win",N(AW497)+1,IF($S498="Loss",0,N(AW497))),N(AW497))</f>
        <v>5</v>
      </c>
      <c r="AX498" s="56">
        <f>IF($AS498=1,IF($S498="Loss",N(AX497)+1,IF($S498="Win",0,N(AX497))),N(AX497))</f>
        <v>0</v>
      </c>
      <c r="AY498" s="56" t="str">
        <f>IF($AS498=1,COUNTIF($AS$6:$AS498,1),"")</f>
        <v/>
      </c>
      <c r="AZ498" s="56">
        <f>MIN(492,N(Lists!$W$8))</f>
        <v>28</v>
      </c>
      <c r="BA498" s="56">
        <f>IF($AS498=1,IF(COUNTIFS($A$6:$A498,$A498,$AS$6:$AS498,1)=1,1,0),0)</f>
        <v>0</v>
      </c>
      <c r="BB498" s="55" t="str">
        <f>IF($BA498=1,SUMIFS($Q$6:$Q$1005,$A$6:$A$1005,$A498,$AS$6:$AS$1005,1),"")</f>
        <v/>
      </c>
      <c r="BC498" s="56">
        <f>IF(ISNUMBER($R498),1,0)</f>
        <v>0</v>
      </c>
      <c r="BD498" s="55" t="str">
        <f>IF(ISNUMBER($U498),$U498*$V498,"")</f>
        <v/>
      </c>
      <c r="BE498" s="56" t="str">
        <f>IF($AM498=0,"",IFERROR(MATCH($AF498&amp;"|"&amp;UPPER(TRIM($E498)),Lists!$A$6:$A$205,0),0))</f>
        <v/>
      </c>
      <c r="BF498" s="56" t="str">
        <f>IF($AM498=0,"",IFERROR(MATCH($AF498,Settings!$B$14:$B$18,0),IFERROR(MATCH(Settings!$C$6,Settings!$B$14:$B$18,0),1)))</f>
        <v/>
      </c>
      <c r="BG498" s="58" t="str">
        <f>IF($AM498=0,"",IF(NOT(ISNUMBER($I498)),"No stop; ","")&amp;IF(AND(ISNUMBER($H498),ISNUMBER($I498)),IF(OR(AND($F498&lt;&gt;"Short",$I498&gt;=$H498),AND($F498="Short",$I498&lt;=$H498)),"Stop on wrong side; ",""),"")&amp;IF($F498="","No direction; ","")&amp;IF(AND(ISNUMBER(Settings!$C$22),ISNUMBER($V498)),IF($V498&gt;Settings!$C$22,"Risk over max $; ",""),"")&amp;IF(AND(ISNUMBER(Settings!$C$23),ISNUMBER($V498),ISNUMBER($AP498),IFERROR(N(INDEX(Accounts!$E$7:$E$16,MATCH($C498,Accounts!$B$7:$B$16,0))),0)&gt;0),IF($V498&gt;Settings!$C$23*($AP498-N($Q498)),"Risk over max %; ",""),"")&amp;IF(AND(ISNUMBER(Settings!$C$24),ISNUMBER($N498)),IF($N498&gt;Settings!$C$24,"Leverage over max; ",""),"")&amp;IF(AND(ISNUMBER(Settings!$C$27),ISNUMBER($T498)),IF($T498&lt;Settings!$C$27,"R:R below min; ",""),"")&amp;IF(ISNUMBER(Settings!$C$25),IF(COUNTIFS($A$6:$A498,$A498,$AM$6:$AM498,1)&gt;Settings!$C$25,"Over max trades/day; ",""),"")&amp;IF(ISNUMBER(Settings!$C$26),IF(SUMIFS($Q$5:$Q497,$A$5:$A497,$A498)&lt;=-Settings!$C$26,"Traded after daily max loss; ",""),"")&amp;IF(AND($AG498="",NOT(ISNUMBER($O498))),"Symbol not in Instruments; ","")&amp;IF(AND($AH498="",NOT(ISNUMBER($O498))),"Forex cross: type Gross P&amp;L; ",""))</f>
        <v/>
      </c>
      <c r="BH498" s="56">
        <f>IF(ISNUMBER($Q498),1,0)</f>
        <v>0</v>
      </c>
      <c r="BI498" s="56">
        <f>IF($Y498="",0,1)</f>
        <v>0</v>
      </c>
      <c r="BJ498" s="56">
        <f>IF($AB498="",0,1)</f>
        <v>0</v>
      </c>
      <c r="BK498" s="56">
        <f>IF(AND($BH498=1,$W498&lt;&gt;"OK"),1,0)</f>
        <v>0</v>
      </c>
      <c r="BL498" s="55">
        <f>IF(N($AZ498)=0,0,IFERROR(INDEX($AT$6:$AT$1005,MATCH($AZ498,$AY$6:$AY$1005,0)),0))</f>
        <v>1187.10688</v>
      </c>
      <c r="BM498" s="56">
        <f>IF(ISNUMBER(SEARCH("daily max loss",$BG498)),1,0)</f>
        <v>0</v>
      </c>
    </row>
    <row r="499" ht="18" customHeight="1">
      <c r="A499" s="38" t="n"/>
      <c r="B499" s="39" t="n"/>
      <c r="C499" s="40" t="n"/>
      <c r="D499" s="41" t="n"/>
      <c r="E499" s="41" t="n"/>
      <c r="F499" s="41" t="n"/>
      <c r="G499" s="41" t="n"/>
      <c r="H499" s="42" t="n"/>
      <c r="I499" s="42" t="n"/>
      <c r="J499" s="42" t="n"/>
      <c r="K499" s="42" t="n"/>
      <c r="L499" s="41" t="n"/>
      <c r="M499" s="41" t="n"/>
      <c r="N499" s="41" t="n"/>
      <c r="O499" s="43" t="n"/>
      <c r="P499" s="43" t="n"/>
      <c r="Q499" s="44" t="str">
        <f>IF($AM499=0,"",IF(ISNUMBER($AK499),$AK499-N($AL499),""))</f>
        <v/>
      </c>
      <c r="R499" s="45" t="str">
        <f>IF(OR($Q499="",NOT(ISNUMBER($V499))),"",$AK499/$V499)</f>
        <v/>
      </c>
      <c r="S499" s="46" t="str">
        <f>IF($Q499="","",IF(AND(ISNUMBER($R499),ABS(N($R499))&lt;N(Settings!$C$8)),"Scratch",IF($Q499&gt;0,"Win",IF($Q499&lt;0,"Loss","Scratch"))))</f>
        <v/>
      </c>
      <c r="T499" s="47" t="str">
        <f>IF(OR($AM499=0,NOT(ISNUMBER($H499)),NOT(ISNUMBER($I499)),NOT(ISNUMBER($J499))),"",IF($H499=$I499,"",ROUND(ABS($J499-$H499)/ABS($H499-$I499),6)))</f>
        <v/>
      </c>
      <c r="U499" s="48" t="str">
        <f>IF(OR($S499&lt;&gt;"Win",NOT(ISNUMBER($T499)),NOT(ISNUMBER($R499))),"",MAX(0,$T499-$R499))</f>
        <v/>
      </c>
      <c r="V499" s="49" t="str">
        <f>IF(OR($AM499=0,NOT(ISNUMBER($H499)),NOT(ISNUMBER($I499)),NOT(ISNUMBER($G499))),"",IF(OR($AG499="",$AH499=""),"",IF(ROUND(ABS($H499-$I499)*ABS($G499)*$AG499*$AH499,6)=0,"",ROUND(ABS($H499-$I499)*ABS($G499)*$AG499*$AH499,6))))</f>
        <v/>
      </c>
      <c r="W499" s="50" t="str">
        <f>IF($AM499=0,"",IF($BG499="","OK",LEFT($BG499,LEN($BG499)-2)))</f>
        <v/>
      </c>
      <c r="X499" s="41" t="n"/>
      <c r="Y499" s="40" t="n"/>
      <c r="Z499" s="41" t="n"/>
      <c r="AA499" s="41" t="n"/>
      <c r="AB499" s="40" t="n"/>
      <c r="AC499" s="51" t="n"/>
      <c r="AD499" s="51" t="n"/>
      <c r="AE499" s="40" t="n"/>
      <c r="AF499" s="52" t="str">
        <f>IF($AM499=0,"",IF($D499&lt;&gt;"",$D499,IF(IFERROR(INDEX(Accounts!$C$7:$C$16,MATCH($C499,Accounts!$B$7:$B$16,0))&amp;"","")&lt;&gt;"",INDEX(Accounts!$C$7:$C$16,MATCH($C499,Accounts!$B$7:$B$16,0)),Settings!$C$6)))</f>
        <v/>
      </c>
      <c r="AG499" s="53" t="str">
        <f>IF($AM499=0,"",IF(AND($BE499&gt;0,N(INDEX(Instruments!$D$6:$D$205,MAX(1,$BE499)))&gt;0),INDEX(Instruments!$D$6:$D$205,MAX(1,$BE499)),IF(N(INDEX(Settings!$D$14:$D$18,$BF499))&gt;0,INDEX(Settings!$D$14:$D$18,$BF499),"")))</f>
        <v/>
      </c>
      <c r="AH499" s="54" t="str">
        <f>IF($AM499=0,"",IF($AF499&lt;&gt;"Forex",1,IF(MID(UPPER(SUBSTITUTE(TRIM($E499),"/","")),4,3)=UPPER(TRIM(Settings!$C$7)),1,IF(LEFT(UPPER(SUBSTITUTE(TRIM($E499),"/","")),3)=UPPER(TRIM(Settings!$C$7)),IF(AND(ISNUMBER($K499),N($K499)&lt;&gt;0),1/$K499,""),""))))</f>
        <v/>
      </c>
      <c r="AI499" s="55" t="str">
        <f>IF($AM499=0,"",IF(OR(NOT(ISNUMBER($H499)),NOT(ISNUMBER($K499)),NOT(ISNUMBER($G499)),$AG499="",$AH499=""),"",ROUND(($K499-$H499)*IF($F499="Short",-1,1)*$G499*$AG499*$AH499,6)))</f>
        <v/>
      </c>
      <c r="AJ499" s="55" t="str">
        <f>IF($AM499=0,"",IF(INDEX(Settings!$E$14:$E$18,$BF499)="% of notional",IF(OR($AG499="",NOT(ISNUMBER($H499)),NOT(ISNUMBER($G499))),"",ROUND(ABS($H499*$G499*$AG499*N($AH499))*IF($L499="Limit",N(INDEX(Settings!$G$14:$G$18,$BF499)),N(INDEX(Settings!$H$14:$H$18,$BF499)))+IF(ISNUMBER($K499),ABS($K499*$G499*$AG499*N($AH499))*IF($M499="Target",N(INDEX(Settings!$G$14:$G$18,$BF499)),N(INDEX(Settings!$H$14:$H$18,$BF499))),0),6)),IF(NOT(ISNUMBER($G499)),"",ROUND(ABS($G499)*2*IF(AND($BE499&gt;0,ISNUMBER(INDEX(Instruments!$G$6:$G$205,MAX(1,$BE499)))),INDEX(Instruments!$G$6:$G$205,MAX(1,$BE499)),N(INDEX(Settings!$F$14:$F$18,$BF499))),6))))</f>
        <v/>
      </c>
      <c r="AK499" s="55" t="str">
        <f>IF($AM499=0,"",IF(ISNUMBER($O499),$O499,$AI499))</f>
        <v/>
      </c>
      <c r="AL499" s="55" t="str">
        <f>IF($AM499=0,"",IF(ISNUMBER($P499),$P499,N($AJ499)))</f>
        <v/>
      </c>
      <c r="AM499" s="56">
        <f>IF(AND($A499&lt;&gt;"",$E499&lt;&gt;"",OR(AND(ISNUMBER($G499),ISNUMBER($H499),ISNUMBER($K499)),ISNUMBER($O499))),1,0)</f>
        <v>0</v>
      </c>
      <c r="AN499" s="57" t="str">
        <f>IF($A499="","",$A499-WEEKDAY($A499,3))</f>
        <v/>
      </c>
      <c r="AO499" s="56" t="str">
        <f>IF($A499="","",WEEKDAY($A499,2))</f>
        <v/>
      </c>
      <c r="AP499" s="55" t="str">
        <f>IF(OR($AM499=0,$C499=""),"",IFERROR(N(INDEX(Accounts!$E$7:$E$16,MATCH($C499,Accounts!$B$7:$B$16,0))),0)+SUMIFS($Q$6:$Q499,$C$6:$C499,$C499))</f>
        <v/>
      </c>
      <c r="AQ499" s="55" t="str">
        <f>IF(OR($AM499=0,$C499=""),"",SUMIFS($Q$6:$Q$1005,$C$6:$C$1005,$C499,$A$6:$A$1005,$A499))</f>
        <v/>
      </c>
      <c r="AR499" s="55" t="str">
        <f>IF(OR($AM499=0,$C499=""),"",IFERROR(N(INDEX(Accounts!$E$7:$E$16,MATCH($C499,Accounts!$B$7:$B$16,0))),0)+SUMIFS($Q$6:$Q$1005,$C$6:$C$1005,$C499,$A$6:$A$1005,"&lt;="&amp;$A499))</f>
        <v/>
      </c>
      <c r="AS499" s="56">
        <f>IF(OR($AM499=0,$Q499=""),0,IF(AND($A499&gt;=Lists!$W$6,$A499&lt;=Lists!$W$7,OR(Dashboard!$D$6="All accounts",$C499=Dashboard!$D$6),OR(Dashboard!$D$7="All markets",$AF499=Dashboard!$D$7)),1,0))</f>
        <v>0</v>
      </c>
      <c r="AT499" s="55">
        <f>IF($AS499=1,N(AT498)+$Q499,N(AT498))</f>
        <v>1187.10688</v>
      </c>
      <c r="AU499" s="55">
        <f>MAX(N(AU498),$AT499)</f>
        <v>1187.10688</v>
      </c>
      <c r="AV499" s="55">
        <f>$AT499-$AU499</f>
        <v>0</v>
      </c>
      <c r="AW499" s="56">
        <f>IF($AS499=1,IF($S499="Win",N(AW498)+1,IF($S499="Loss",0,N(AW498))),N(AW498))</f>
        <v>5</v>
      </c>
      <c r="AX499" s="56">
        <f>IF($AS499=1,IF($S499="Loss",N(AX498)+1,IF($S499="Win",0,N(AX498))),N(AX498))</f>
        <v>0</v>
      </c>
      <c r="AY499" s="56" t="str">
        <f>IF($AS499=1,COUNTIF($AS$6:$AS499,1),"")</f>
        <v/>
      </c>
      <c r="AZ499" s="56">
        <f>MIN(493,N(Lists!$W$8))</f>
        <v>28</v>
      </c>
      <c r="BA499" s="56">
        <f>IF($AS499=1,IF(COUNTIFS($A$6:$A499,$A499,$AS$6:$AS499,1)=1,1,0),0)</f>
        <v>0</v>
      </c>
      <c r="BB499" s="55" t="str">
        <f>IF($BA499=1,SUMIFS($Q$6:$Q$1005,$A$6:$A$1005,$A499,$AS$6:$AS$1005,1),"")</f>
        <v/>
      </c>
      <c r="BC499" s="56">
        <f>IF(ISNUMBER($R499),1,0)</f>
        <v>0</v>
      </c>
      <c r="BD499" s="55" t="str">
        <f>IF(ISNUMBER($U499),$U499*$V499,"")</f>
        <v/>
      </c>
      <c r="BE499" s="56" t="str">
        <f>IF($AM499=0,"",IFERROR(MATCH($AF499&amp;"|"&amp;UPPER(TRIM($E499)),Lists!$A$6:$A$205,0),0))</f>
        <v/>
      </c>
      <c r="BF499" s="56" t="str">
        <f>IF($AM499=0,"",IFERROR(MATCH($AF499,Settings!$B$14:$B$18,0),IFERROR(MATCH(Settings!$C$6,Settings!$B$14:$B$18,0),1)))</f>
        <v/>
      </c>
      <c r="BG499" s="58" t="str">
        <f>IF($AM499=0,"",IF(NOT(ISNUMBER($I499)),"No stop; ","")&amp;IF(AND(ISNUMBER($H499),ISNUMBER($I499)),IF(OR(AND($F499&lt;&gt;"Short",$I499&gt;=$H499),AND($F499="Short",$I499&lt;=$H499)),"Stop on wrong side; ",""),"")&amp;IF($F499="","No direction; ","")&amp;IF(AND(ISNUMBER(Settings!$C$22),ISNUMBER($V499)),IF($V499&gt;Settings!$C$22,"Risk over max $; ",""),"")&amp;IF(AND(ISNUMBER(Settings!$C$23),ISNUMBER($V499),ISNUMBER($AP499),IFERROR(N(INDEX(Accounts!$E$7:$E$16,MATCH($C499,Accounts!$B$7:$B$16,0))),0)&gt;0),IF($V499&gt;Settings!$C$23*($AP499-N($Q499)),"Risk over max %; ",""),"")&amp;IF(AND(ISNUMBER(Settings!$C$24),ISNUMBER($N499)),IF($N499&gt;Settings!$C$24,"Leverage over max; ",""),"")&amp;IF(AND(ISNUMBER(Settings!$C$27),ISNUMBER($T499)),IF($T499&lt;Settings!$C$27,"R:R below min; ",""),"")&amp;IF(ISNUMBER(Settings!$C$25),IF(COUNTIFS($A$6:$A499,$A499,$AM$6:$AM499,1)&gt;Settings!$C$25,"Over max trades/day; ",""),"")&amp;IF(ISNUMBER(Settings!$C$26),IF(SUMIFS($Q$5:$Q498,$A$5:$A498,$A499)&lt;=-Settings!$C$26,"Traded after daily max loss; ",""),"")&amp;IF(AND($AG499="",NOT(ISNUMBER($O499))),"Symbol not in Instruments; ","")&amp;IF(AND($AH499="",NOT(ISNUMBER($O499))),"Forex cross: type Gross P&amp;L; ",""))</f>
        <v/>
      </c>
      <c r="BH499" s="56">
        <f>IF(ISNUMBER($Q499),1,0)</f>
        <v>0</v>
      </c>
      <c r="BI499" s="56">
        <f>IF($Y499="",0,1)</f>
        <v>0</v>
      </c>
      <c r="BJ499" s="56">
        <f>IF($AB499="",0,1)</f>
        <v>0</v>
      </c>
      <c r="BK499" s="56">
        <f>IF(AND($BH499=1,$W499&lt;&gt;"OK"),1,0)</f>
        <v>0</v>
      </c>
      <c r="BL499" s="55">
        <f>IF(N($AZ499)=0,0,IFERROR(INDEX($AT$6:$AT$1005,MATCH($AZ499,$AY$6:$AY$1005,0)),0))</f>
        <v>1187.10688</v>
      </c>
      <c r="BM499" s="56">
        <f>IF(ISNUMBER(SEARCH("daily max loss",$BG499)),1,0)</f>
        <v>0</v>
      </c>
    </row>
    <row r="500" ht="18" customHeight="1">
      <c r="A500" s="38" t="n"/>
      <c r="B500" s="39" t="n"/>
      <c r="C500" s="40" t="n"/>
      <c r="D500" s="41" t="n"/>
      <c r="E500" s="41" t="n"/>
      <c r="F500" s="41" t="n"/>
      <c r="G500" s="41" t="n"/>
      <c r="H500" s="42" t="n"/>
      <c r="I500" s="42" t="n"/>
      <c r="J500" s="42" t="n"/>
      <c r="K500" s="42" t="n"/>
      <c r="L500" s="41" t="n"/>
      <c r="M500" s="41" t="n"/>
      <c r="N500" s="41" t="n"/>
      <c r="O500" s="43" t="n"/>
      <c r="P500" s="43" t="n"/>
      <c r="Q500" s="44" t="str">
        <f>IF($AM500=0,"",IF(ISNUMBER($AK500),$AK500-N($AL500),""))</f>
        <v/>
      </c>
      <c r="R500" s="45" t="str">
        <f>IF(OR($Q500="",NOT(ISNUMBER($V500))),"",$AK500/$V500)</f>
        <v/>
      </c>
      <c r="S500" s="46" t="str">
        <f>IF($Q500="","",IF(AND(ISNUMBER($R500),ABS(N($R500))&lt;N(Settings!$C$8)),"Scratch",IF($Q500&gt;0,"Win",IF($Q500&lt;0,"Loss","Scratch"))))</f>
        <v/>
      </c>
      <c r="T500" s="47" t="str">
        <f>IF(OR($AM500=0,NOT(ISNUMBER($H500)),NOT(ISNUMBER($I500)),NOT(ISNUMBER($J500))),"",IF($H500=$I500,"",ROUND(ABS($J500-$H500)/ABS($H500-$I500),6)))</f>
        <v/>
      </c>
      <c r="U500" s="48" t="str">
        <f>IF(OR($S500&lt;&gt;"Win",NOT(ISNUMBER($T500)),NOT(ISNUMBER($R500))),"",MAX(0,$T500-$R500))</f>
        <v/>
      </c>
      <c r="V500" s="49" t="str">
        <f>IF(OR($AM500=0,NOT(ISNUMBER($H500)),NOT(ISNUMBER($I500)),NOT(ISNUMBER($G500))),"",IF(OR($AG500="",$AH500=""),"",IF(ROUND(ABS($H500-$I500)*ABS($G500)*$AG500*$AH500,6)=0,"",ROUND(ABS($H500-$I500)*ABS($G500)*$AG500*$AH500,6))))</f>
        <v/>
      </c>
      <c r="W500" s="50" t="str">
        <f>IF($AM500=0,"",IF($BG500="","OK",LEFT($BG500,LEN($BG500)-2)))</f>
        <v/>
      </c>
      <c r="X500" s="41" t="n"/>
      <c r="Y500" s="40" t="n"/>
      <c r="Z500" s="41" t="n"/>
      <c r="AA500" s="41" t="n"/>
      <c r="AB500" s="40" t="n"/>
      <c r="AC500" s="51" t="n"/>
      <c r="AD500" s="51" t="n"/>
      <c r="AE500" s="40" t="n"/>
      <c r="AF500" s="52" t="str">
        <f>IF($AM500=0,"",IF($D500&lt;&gt;"",$D500,IF(IFERROR(INDEX(Accounts!$C$7:$C$16,MATCH($C500,Accounts!$B$7:$B$16,0))&amp;"","")&lt;&gt;"",INDEX(Accounts!$C$7:$C$16,MATCH($C500,Accounts!$B$7:$B$16,0)),Settings!$C$6)))</f>
        <v/>
      </c>
      <c r="AG500" s="53" t="str">
        <f>IF($AM500=0,"",IF(AND($BE500&gt;0,N(INDEX(Instruments!$D$6:$D$205,MAX(1,$BE500)))&gt;0),INDEX(Instruments!$D$6:$D$205,MAX(1,$BE500)),IF(N(INDEX(Settings!$D$14:$D$18,$BF500))&gt;0,INDEX(Settings!$D$14:$D$18,$BF500),"")))</f>
        <v/>
      </c>
      <c r="AH500" s="54" t="str">
        <f>IF($AM500=0,"",IF($AF500&lt;&gt;"Forex",1,IF(MID(UPPER(SUBSTITUTE(TRIM($E500),"/","")),4,3)=UPPER(TRIM(Settings!$C$7)),1,IF(LEFT(UPPER(SUBSTITUTE(TRIM($E500),"/","")),3)=UPPER(TRIM(Settings!$C$7)),IF(AND(ISNUMBER($K500),N($K500)&lt;&gt;0),1/$K500,""),""))))</f>
        <v/>
      </c>
      <c r="AI500" s="55" t="str">
        <f>IF($AM500=0,"",IF(OR(NOT(ISNUMBER($H500)),NOT(ISNUMBER($K500)),NOT(ISNUMBER($G500)),$AG500="",$AH500=""),"",ROUND(($K500-$H500)*IF($F500="Short",-1,1)*$G500*$AG500*$AH500,6)))</f>
        <v/>
      </c>
      <c r="AJ500" s="55" t="str">
        <f>IF($AM500=0,"",IF(INDEX(Settings!$E$14:$E$18,$BF500)="% of notional",IF(OR($AG500="",NOT(ISNUMBER($H500)),NOT(ISNUMBER($G500))),"",ROUND(ABS($H500*$G500*$AG500*N($AH500))*IF($L500="Limit",N(INDEX(Settings!$G$14:$G$18,$BF500)),N(INDEX(Settings!$H$14:$H$18,$BF500)))+IF(ISNUMBER($K500),ABS($K500*$G500*$AG500*N($AH500))*IF($M500="Target",N(INDEX(Settings!$G$14:$G$18,$BF500)),N(INDEX(Settings!$H$14:$H$18,$BF500))),0),6)),IF(NOT(ISNUMBER($G500)),"",ROUND(ABS($G500)*2*IF(AND($BE500&gt;0,ISNUMBER(INDEX(Instruments!$G$6:$G$205,MAX(1,$BE500)))),INDEX(Instruments!$G$6:$G$205,MAX(1,$BE500)),N(INDEX(Settings!$F$14:$F$18,$BF500))),6))))</f>
        <v/>
      </c>
      <c r="AK500" s="55" t="str">
        <f>IF($AM500=0,"",IF(ISNUMBER($O500),$O500,$AI500))</f>
        <v/>
      </c>
      <c r="AL500" s="55" t="str">
        <f>IF($AM500=0,"",IF(ISNUMBER($P500),$P500,N($AJ500)))</f>
        <v/>
      </c>
      <c r="AM500" s="56">
        <f>IF(AND($A500&lt;&gt;"",$E500&lt;&gt;"",OR(AND(ISNUMBER($G500),ISNUMBER($H500),ISNUMBER($K500)),ISNUMBER($O500))),1,0)</f>
        <v>0</v>
      </c>
      <c r="AN500" s="57" t="str">
        <f>IF($A500="","",$A500-WEEKDAY($A500,3))</f>
        <v/>
      </c>
      <c r="AO500" s="56" t="str">
        <f>IF($A500="","",WEEKDAY($A500,2))</f>
        <v/>
      </c>
      <c r="AP500" s="55" t="str">
        <f>IF(OR($AM500=0,$C500=""),"",IFERROR(N(INDEX(Accounts!$E$7:$E$16,MATCH($C500,Accounts!$B$7:$B$16,0))),0)+SUMIFS($Q$6:$Q500,$C$6:$C500,$C500))</f>
        <v/>
      </c>
      <c r="AQ500" s="55" t="str">
        <f>IF(OR($AM500=0,$C500=""),"",SUMIFS($Q$6:$Q$1005,$C$6:$C$1005,$C500,$A$6:$A$1005,$A500))</f>
        <v/>
      </c>
      <c r="AR500" s="55" t="str">
        <f>IF(OR($AM500=0,$C500=""),"",IFERROR(N(INDEX(Accounts!$E$7:$E$16,MATCH($C500,Accounts!$B$7:$B$16,0))),0)+SUMIFS($Q$6:$Q$1005,$C$6:$C$1005,$C500,$A$6:$A$1005,"&lt;="&amp;$A500))</f>
        <v/>
      </c>
      <c r="AS500" s="56">
        <f>IF(OR($AM500=0,$Q500=""),0,IF(AND($A500&gt;=Lists!$W$6,$A500&lt;=Lists!$W$7,OR(Dashboard!$D$6="All accounts",$C500=Dashboard!$D$6),OR(Dashboard!$D$7="All markets",$AF500=Dashboard!$D$7)),1,0))</f>
        <v>0</v>
      </c>
      <c r="AT500" s="55">
        <f>IF($AS500=1,N(AT499)+$Q500,N(AT499))</f>
        <v>1187.10688</v>
      </c>
      <c r="AU500" s="55">
        <f>MAX(N(AU499),$AT500)</f>
        <v>1187.10688</v>
      </c>
      <c r="AV500" s="55">
        <f>$AT500-$AU500</f>
        <v>0</v>
      </c>
      <c r="AW500" s="56">
        <f>IF($AS500=1,IF($S500="Win",N(AW499)+1,IF($S500="Loss",0,N(AW499))),N(AW499))</f>
        <v>5</v>
      </c>
      <c r="AX500" s="56">
        <f>IF($AS500=1,IF($S500="Loss",N(AX499)+1,IF($S500="Win",0,N(AX499))),N(AX499))</f>
        <v>0</v>
      </c>
      <c r="AY500" s="56" t="str">
        <f>IF($AS500=1,COUNTIF($AS$6:$AS500,1),"")</f>
        <v/>
      </c>
      <c r="AZ500" s="56">
        <f>MIN(494,N(Lists!$W$8))</f>
        <v>28</v>
      </c>
      <c r="BA500" s="56">
        <f>IF($AS500=1,IF(COUNTIFS($A$6:$A500,$A500,$AS$6:$AS500,1)=1,1,0),0)</f>
        <v>0</v>
      </c>
      <c r="BB500" s="55" t="str">
        <f>IF($BA500=1,SUMIFS($Q$6:$Q$1005,$A$6:$A$1005,$A500,$AS$6:$AS$1005,1),"")</f>
        <v/>
      </c>
      <c r="BC500" s="56">
        <f>IF(ISNUMBER($R500),1,0)</f>
        <v>0</v>
      </c>
      <c r="BD500" s="55" t="str">
        <f>IF(ISNUMBER($U500),$U500*$V500,"")</f>
        <v/>
      </c>
      <c r="BE500" s="56" t="str">
        <f>IF($AM500=0,"",IFERROR(MATCH($AF500&amp;"|"&amp;UPPER(TRIM($E500)),Lists!$A$6:$A$205,0),0))</f>
        <v/>
      </c>
      <c r="BF500" s="56" t="str">
        <f>IF($AM500=0,"",IFERROR(MATCH($AF500,Settings!$B$14:$B$18,0),IFERROR(MATCH(Settings!$C$6,Settings!$B$14:$B$18,0),1)))</f>
        <v/>
      </c>
      <c r="BG500" s="58" t="str">
        <f>IF($AM500=0,"",IF(NOT(ISNUMBER($I500)),"No stop; ","")&amp;IF(AND(ISNUMBER($H500),ISNUMBER($I500)),IF(OR(AND($F500&lt;&gt;"Short",$I500&gt;=$H500),AND($F500="Short",$I500&lt;=$H500)),"Stop on wrong side; ",""),"")&amp;IF($F500="","No direction; ","")&amp;IF(AND(ISNUMBER(Settings!$C$22),ISNUMBER($V500)),IF($V500&gt;Settings!$C$22,"Risk over max $; ",""),"")&amp;IF(AND(ISNUMBER(Settings!$C$23),ISNUMBER($V500),ISNUMBER($AP500),IFERROR(N(INDEX(Accounts!$E$7:$E$16,MATCH($C500,Accounts!$B$7:$B$16,0))),0)&gt;0),IF($V500&gt;Settings!$C$23*($AP500-N($Q500)),"Risk over max %; ",""),"")&amp;IF(AND(ISNUMBER(Settings!$C$24),ISNUMBER($N500)),IF($N500&gt;Settings!$C$24,"Leverage over max; ",""),"")&amp;IF(AND(ISNUMBER(Settings!$C$27),ISNUMBER($T500)),IF($T500&lt;Settings!$C$27,"R:R below min; ",""),"")&amp;IF(ISNUMBER(Settings!$C$25),IF(COUNTIFS($A$6:$A500,$A500,$AM$6:$AM500,1)&gt;Settings!$C$25,"Over max trades/day; ",""),"")&amp;IF(ISNUMBER(Settings!$C$26),IF(SUMIFS($Q$5:$Q499,$A$5:$A499,$A500)&lt;=-Settings!$C$26,"Traded after daily max loss; ",""),"")&amp;IF(AND($AG500="",NOT(ISNUMBER($O500))),"Symbol not in Instruments; ","")&amp;IF(AND($AH500="",NOT(ISNUMBER($O500))),"Forex cross: type Gross P&amp;L; ",""))</f>
        <v/>
      </c>
      <c r="BH500" s="56">
        <f>IF(ISNUMBER($Q500),1,0)</f>
        <v>0</v>
      </c>
      <c r="BI500" s="56">
        <f>IF($Y500="",0,1)</f>
        <v>0</v>
      </c>
      <c r="BJ500" s="56">
        <f>IF($AB500="",0,1)</f>
        <v>0</v>
      </c>
      <c r="BK500" s="56">
        <f>IF(AND($BH500=1,$W500&lt;&gt;"OK"),1,0)</f>
        <v>0</v>
      </c>
      <c r="BL500" s="55">
        <f>IF(N($AZ500)=0,0,IFERROR(INDEX($AT$6:$AT$1005,MATCH($AZ500,$AY$6:$AY$1005,0)),0))</f>
        <v>1187.10688</v>
      </c>
      <c r="BM500" s="56">
        <f>IF(ISNUMBER(SEARCH("daily max loss",$BG500)),1,0)</f>
        <v>0</v>
      </c>
    </row>
    <row r="501" ht="18" customHeight="1">
      <c r="A501" s="38" t="n"/>
      <c r="B501" s="39" t="n"/>
      <c r="C501" s="40" t="n"/>
      <c r="D501" s="41" t="n"/>
      <c r="E501" s="41" t="n"/>
      <c r="F501" s="41" t="n"/>
      <c r="G501" s="41" t="n"/>
      <c r="H501" s="42" t="n"/>
      <c r="I501" s="42" t="n"/>
      <c r="J501" s="42" t="n"/>
      <c r="K501" s="42" t="n"/>
      <c r="L501" s="41" t="n"/>
      <c r="M501" s="41" t="n"/>
      <c r="N501" s="41" t="n"/>
      <c r="O501" s="43" t="n"/>
      <c r="P501" s="43" t="n"/>
      <c r="Q501" s="44" t="str">
        <f>IF($AM501=0,"",IF(ISNUMBER($AK501),$AK501-N($AL501),""))</f>
        <v/>
      </c>
      <c r="R501" s="45" t="str">
        <f>IF(OR($Q501="",NOT(ISNUMBER($V501))),"",$AK501/$V501)</f>
        <v/>
      </c>
      <c r="S501" s="46" t="str">
        <f>IF($Q501="","",IF(AND(ISNUMBER($R501),ABS(N($R501))&lt;N(Settings!$C$8)),"Scratch",IF($Q501&gt;0,"Win",IF($Q501&lt;0,"Loss","Scratch"))))</f>
        <v/>
      </c>
      <c r="T501" s="47" t="str">
        <f>IF(OR($AM501=0,NOT(ISNUMBER($H501)),NOT(ISNUMBER($I501)),NOT(ISNUMBER($J501))),"",IF($H501=$I501,"",ROUND(ABS($J501-$H501)/ABS($H501-$I501),6)))</f>
        <v/>
      </c>
      <c r="U501" s="48" t="str">
        <f>IF(OR($S501&lt;&gt;"Win",NOT(ISNUMBER($T501)),NOT(ISNUMBER($R501))),"",MAX(0,$T501-$R501))</f>
        <v/>
      </c>
      <c r="V501" s="49" t="str">
        <f>IF(OR($AM501=0,NOT(ISNUMBER($H501)),NOT(ISNUMBER($I501)),NOT(ISNUMBER($G501))),"",IF(OR($AG501="",$AH501=""),"",IF(ROUND(ABS($H501-$I501)*ABS($G501)*$AG501*$AH501,6)=0,"",ROUND(ABS($H501-$I501)*ABS($G501)*$AG501*$AH501,6))))</f>
        <v/>
      </c>
      <c r="W501" s="50" t="str">
        <f>IF($AM501=0,"",IF($BG501="","OK",LEFT($BG501,LEN($BG501)-2)))</f>
        <v/>
      </c>
      <c r="X501" s="41" t="n"/>
      <c r="Y501" s="40" t="n"/>
      <c r="Z501" s="41" t="n"/>
      <c r="AA501" s="41" t="n"/>
      <c r="AB501" s="40" t="n"/>
      <c r="AC501" s="51" t="n"/>
      <c r="AD501" s="51" t="n"/>
      <c r="AE501" s="40" t="n"/>
      <c r="AF501" s="52" t="str">
        <f>IF($AM501=0,"",IF($D501&lt;&gt;"",$D501,IF(IFERROR(INDEX(Accounts!$C$7:$C$16,MATCH($C501,Accounts!$B$7:$B$16,0))&amp;"","")&lt;&gt;"",INDEX(Accounts!$C$7:$C$16,MATCH($C501,Accounts!$B$7:$B$16,0)),Settings!$C$6)))</f>
        <v/>
      </c>
      <c r="AG501" s="53" t="str">
        <f>IF($AM501=0,"",IF(AND($BE501&gt;0,N(INDEX(Instruments!$D$6:$D$205,MAX(1,$BE501)))&gt;0),INDEX(Instruments!$D$6:$D$205,MAX(1,$BE501)),IF(N(INDEX(Settings!$D$14:$D$18,$BF501))&gt;0,INDEX(Settings!$D$14:$D$18,$BF501),"")))</f>
        <v/>
      </c>
      <c r="AH501" s="54" t="str">
        <f>IF($AM501=0,"",IF($AF501&lt;&gt;"Forex",1,IF(MID(UPPER(SUBSTITUTE(TRIM($E501),"/","")),4,3)=UPPER(TRIM(Settings!$C$7)),1,IF(LEFT(UPPER(SUBSTITUTE(TRIM($E501),"/","")),3)=UPPER(TRIM(Settings!$C$7)),IF(AND(ISNUMBER($K501),N($K501)&lt;&gt;0),1/$K501,""),""))))</f>
        <v/>
      </c>
      <c r="AI501" s="55" t="str">
        <f>IF($AM501=0,"",IF(OR(NOT(ISNUMBER($H501)),NOT(ISNUMBER($K501)),NOT(ISNUMBER($G501)),$AG501="",$AH501=""),"",ROUND(($K501-$H501)*IF($F501="Short",-1,1)*$G501*$AG501*$AH501,6)))</f>
        <v/>
      </c>
      <c r="AJ501" s="55" t="str">
        <f>IF($AM501=0,"",IF(INDEX(Settings!$E$14:$E$18,$BF501)="% of notional",IF(OR($AG501="",NOT(ISNUMBER($H501)),NOT(ISNUMBER($G501))),"",ROUND(ABS($H501*$G501*$AG501*N($AH501))*IF($L501="Limit",N(INDEX(Settings!$G$14:$G$18,$BF501)),N(INDEX(Settings!$H$14:$H$18,$BF501)))+IF(ISNUMBER($K501),ABS($K501*$G501*$AG501*N($AH501))*IF($M501="Target",N(INDEX(Settings!$G$14:$G$18,$BF501)),N(INDEX(Settings!$H$14:$H$18,$BF501))),0),6)),IF(NOT(ISNUMBER($G501)),"",ROUND(ABS($G501)*2*IF(AND($BE501&gt;0,ISNUMBER(INDEX(Instruments!$G$6:$G$205,MAX(1,$BE501)))),INDEX(Instruments!$G$6:$G$205,MAX(1,$BE501)),N(INDEX(Settings!$F$14:$F$18,$BF501))),6))))</f>
        <v/>
      </c>
      <c r="AK501" s="55" t="str">
        <f>IF($AM501=0,"",IF(ISNUMBER($O501),$O501,$AI501))</f>
        <v/>
      </c>
      <c r="AL501" s="55" t="str">
        <f>IF($AM501=0,"",IF(ISNUMBER($P501),$P501,N($AJ501)))</f>
        <v/>
      </c>
      <c r="AM501" s="56">
        <f>IF(AND($A501&lt;&gt;"",$E501&lt;&gt;"",OR(AND(ISNUMBER($G501),ISNUMBER($H501),ISNUMBER($K501)),ISNUMBER($O501))),1,0)</f>
        <v>0</v>
      </c>
      <c r="AN501" s="57" t="str">
        <f>IF($A501="","",$A501-WEEKDAY($A501,3))</f>
        <v/>
      </c>
      <c r="AO501" s="56" t="str">
        <f>IF($A501="","",WEEKDAY($A501,2))</f>
        <v/>
      </c>
      <c r="AP501" s="55" t="str">
        <f>IF(OR($AM501=0,$C501=""),"",IFERROR(N(INDEX(Accounts!$E$7:$E$16,MATCH($C501,Accounts!$B$7:$B$16,0))),0)+SUMIFS($Q$6:$Q501,$C$6:$C501,$C501))</f>
        <v/>
      </c>
      <c r="AQ501" s="55" t="str">
        <f>IF(OR($AM501=0,$C501=""),"",SUMIFS($Q$6:$Q$1005,$C$6:$C$1005,$C501,$A$6:$A$1005,$A501))</f>
        <v/>
      </c>
      <c r="AR501" s="55" t="str">
        <f>IF(OR($AM501=0,$C501=""),"",IFERROR(N(INDEX(Accounts!$E$7:$E$16,MATCH($C501,Accounts!$B$7:$B$16,0))),0)+SUMIFS($Q$6:$Q$1005,$C$6:$C$1005,$C501,$A$6:$A$1005,"&lt;="&amp;$A501))</f>
        <v/>
      </c>
      <c r="AS501" s="56">
        <f>IF(OR($AM501=0,$Q501=""),0,IF(AND($A501&gt;=Lists!$W$6,$A501&lt;=Lists!$W$7,OR(Dashboard!$D$6="All accounts",$C501=Dashboard!$D$6),OR(Dashboard!$D$7="All markets",$AF501=Dashboard!$D$7)),1,0))</f>
        <v>0</v>
      </c>
      <c r="AT501" s="55">
        <f>IF($AS501=1,N(AT500)+$Q501,N(AT500))</f>
        <v>1187.10688</v>
      </c>
      <c r="AU501" s="55">
        <f>MAX(N(AU500),$AT501)</f>
        <v>1187.10688</v>
      </c>
      <c r="AV501" s="55">
        <f>$AT501-$AU501</f>
        <v>0</v>
      </c>
      <c r="AW501" s="56">
        <f>IF($AS501=1,IF($S501="Win",N(AW500)+1,IF($S501="Loss",0,N(AW500))),N(AW500))</f>
        <v>5</v>
      </c>
      <c r="AX501" s="56">
        <f>IF($AS501=1,IF($S501="Loss",N(AX500)+1,IF($S501="Win",0,N(AX500))),N(AX500))</f>
        <v>0</v>
      </c>
      <c r="AY501" s="56" t="str">
        <f>IF($AS501=1,COUNTIF($AS$6:$AS501,1),"")</f>
        <v/>
      </c>
      <c r="AZ501" s="56">
        <f>MIN(495,N(Lists!$W$8))</f>
        <v>28</v>
      </c>
      <c r="BA501" s="56">
        <f>IF($AS501=1,IF(COUNTIFS($A$6:$A501,$A501,$AS$6:$AS501,1)=1,1,0),0)</f>
        <v>0</v>
      </c>
      <c r="BB501" s="55" t="str">
        <f>IF($BA501=1,SUMIFS($Q$6:$Q$1005,$A$6:$A$1005,$A501,$AS$6:$AS$1005,1),"")</f>
        <v/>
      </c>
      <c r="BC501" s="56">
        <f>IF(ISNUMBER($R501),1,0)</f>
        <v>0</v>
      </c>
      <c r="BD501" s="55" t="str">
        <f>IF(ISNUMBER($U501),$U501*$V501,"")</f>
        <v/>
      </c>
      <c r="BE501" s="56" t="str">
        <f>IF($AM501=0,"",IFERROR(MATCH($AF501&amp;"|"&amp;UPPER(TRIM($E501)),Lists!$A$6:$A$205,0),0))</f>
        <v/>
      </c>
      <c r="BF501" s="56" t="str">
        <f>IF($AM501=0,"",IFERROR(MATCH($AF501,Settings!$B$14:$B$18,0),IFERROR(MATCH(Settings!$C$6,Settings!$B$14:$B$18,0),1)))</f>
        <v/>
      </c>
      <c r="BG501" s="58" t="str">
        <f>IF($AM501=0,"",IF(NOT(ISNUMBER($I501)),"No stop; ","")&amp;IF(AND(ISNUMBER($H501),ISNUMBER($I501)),IF(OR(AND($F501&lt;&gt;"Short",$I501&gt;=$H501),AND($F501="Short",$I501&lt;=$H501)),"Stop on wrong side; ",""),"")&amp;IF($F501="","No direction; ","")&amp;IF(AND(ISNUMBER(Settings!$C$22),ISNUMBER($V501)),IF($V501&gt;Settings!$C$22,"Risk over max $; ",""),"")&amp;IF(AND(ISNUMBER(Settings!$C$23),ISNUMBER($V501),ISNUMBER($AP501),IFERROR(N(INDEX(Accounts!$E$7:$E$16,MATCH($C501,Accounts!$B$7:$B$16,0))),0)&gt;0),IF($V501&gt;Settings!$C$23*($AP501-N($Q501)),"Risk over max %; ",""),"")&amp;IF(AND(ISNUMBER(Settings!$C$24),ISNUMBER($N501)),IF($N501&gt;Settings!$C$24,"Leverage over max; ",""),"")&amp;IF(AND(ISNUMBER(Settings!$C$27),ISNUMBER($T501)),IF($T501&lt;Settings!$C$27,"R:R below min; ",""),"")&amp;IF(ISNUMBER(Settings!$C$25),IF(COUNTIFS($A$6:$A501,$A501,$AM$6:$AM501,1)&gt;Settings!$C$25,"Over max trades/day; ",""),"")&amp;IF(ISNUMBER(Settings!$C$26),IF(SUMIFS($Q$5:$Q500,$A$5:$A500,$A501)&lt;=-Settings!$C$26,"Traded after daily max loss; ",""),"")&amp;IF(AND($AG501="",NOT(ISNUMBER($O501))),"Symbol not in Instruments; ","")&amp;IF(AND($AH501="",NOT(ISNUMBER($O501))),"Forex cross: type Gross P&amp;L; ",""))</f>
        <v/>
      </c>
      <c r="BH501" s="56">
        <f>IF(ISNUMBER($Q501),1,0)</f>
        <v>0</v>
      </c>
      <c r="BI501" s="56">
        <f>IF($Y501="",0,1)</f>
        <v>0</v>
      </c>
      <c r="BJ501" s="56">
        <f>IF($AB501="",0,1)</f>
        <v>0</v>
      </c>
      <c r="BK501" s="56">
        <f>IF(AND($BH501=1,$W501&lt;&gt;"OK"),1,0)</f>
        <v>0</v>
      </c>
      <c r="BL501" s="55">
        <f>IF(N($AZ501)=0,0,IFERROR(INDEX($AT$6:$AT$1005,MATCH($AZ501,$AY$6:$AY$1005,0)),0))</f>
        <v>1187.10688</v>
      </c>
      <c r="BM501" s="56">
        <f>IF(ISNUMBER(SEARCH("daily max loss",$BG501)),1,0)</f>
        <v>0</v>
      </c>
    </row>
    <row r="502" ht="18" customHeight="1">
      <c r="A502" s="38" t="n"/>
      <c r="B502" s="39" t="n"/>
      <c r="C502" s="40" t="n"/>
      <c r="D502" s="41" t="n"/>
      <c r="E502" s="41" t="n"/>
      <c r="F502" s="41" t="n"/>
      <c r="G502" s="41" t="n"/>
      <c r="H502" s="42" t="n"/>
      <c r="I502" s="42" t="n"/>
      <c r="J502" s="42" t="n"/>
      <c r="K502" s="42" t="n"/>
      <c r="L502" s="41" t="n"/>
      <c r="M502" s="41" t="n"/>
      <c r="N502" s="41" t="n"/>
      <c r="O502" s="43" t="n"/>
      <c r="P502" s="43" t="n"/>
      <c r="Q502" s="44" t="str">
        <f>IF($AM502=0,"",IF(ISNUMBER($AK502),$AK502-N($AL502),""))</f>
        <v/>
      </c>
      <c r="R502" s="45" t="str">
        <f>IF(OR($Q502="",NOT(ISNUMBER($V502))),"",$AK502/$V502)</f>
        <v/>
      </c>
      <c r="S502" s="46" t="str">
        <f>IF($Q502="","",IF(AND(ISNUMBER($R502),ABS(N($R502))&lt;N(Settings!$C$8)),"Scratch",IF($Q502&gt;0,"Win",IF($Q502&lt;0,"Loss","Scratch"))))</f>
        <v/>
      </c>
      <c r="T502" s="47" t="str">
        <f>IF(OR($AM502=0,NOT(ISNUMBER($H502)),NOT(ISNUMBER($I502)),NOT(ISNUMBER($J502))),"",IF($H502=$I502,"",ROUND(ABS($J502-$H502)/ABS($H502-$I502),6)))</f>
        <v/>
      </c>
      <c r="U502" s="48" t="str">
        <f>IF(OR($S502&lt;&gt;"Win",NOT(ISNUMBER($T502)),NOT(ISNUMBER($R502))),"",MAX(0,$T502-$R502))</f>
        <v/>
      </c>
      <c r="V502" s="49" t="str">
        <f>IF(OR($AM502=0,NOT(ISNUMBER($H502)),NOT(ISNUMBER($I502)),NOT(ISNUMBER($G502))),"",IF(OR($AG502="",$AH502=""),"",IF(ROUND(ABS($H502-$I502)*ABS($G502)*$AG502*$AH502,6)=0,"",ROUND(ABS($H502-$I502)*ABS($G502)*$AG502*$AH502,6))))</f>
        <v/>
      </c>
      <c r="W502" s="50" t="str">
        <f>IF($AM502=0,"",IF($BG502="","OK",LEFT($BG502,LEN($BG502)-2)))</f>
        <v/>
      </c>
      <c r="X502" s="41" t="n"/>
      <c r="Y502" s="40" t="n"/>
      <c r="Z502" s="41" t="n"/>
      <c r="AA502" s="41" t="n"/>
      <c r="AB502" s="40" t="n"/>
      <c r="AC502" s="51" t="n"/>
      <c r="AD502" s="51" t="n"/>
      <c r="AE502" s="40" t="n"/>
      <c r="AF502" s="52" t="str">
        <f>IF($AM502=0,"",IF($D502&lt;&gt;"",$D502,IF(IFERROR(INDEX(Accounts!$C$7:$C$16,MATCH($C502,Accounts!$B$7:$B$16,0))&amp;"","")&lt;&gt;"",INDEX(Accounts!$C$7:$C$16,MATCH($C502,Accounts!$B$7:$B$16,0)),Settings!$C$6)))</f>
        <v/>
      </c>
      <c r="AG502" s="53" t="str">
        <f>IF($AM502=0,"",IF(AND($BE502&gt;0,N(INDEX(Instruments!$D$6:$D$205,MAX(1,$BE502)))&gt;0),INDEX(Instruments!$D$6:$D$205,MAX(1,$BE502)),IF(N(INDEX(Settings!$D$14:$D$18,$BF502))&gt;0,INDEX(Settings!$D$14:$D$18,$BF502),"")))</f>
        <v/>
      </c>
      <c r="AH502" s="54" t="str">
        <f>IF($AM502=0,"",IF($AF502&lt;&gt;"Forex",1,IF(MID(UPPER(SUBSTITUTE(TRIM($E502),"/","")),4,3)=UPPER(TRIM(Settings!$C$7)),1,IF(LEFT(UPPER(SUBSTITUTE(TRIM($E502),"/","")),3)=UPPER(TRIM(Settings!$C$7)),IF(AND(ISNUMBER($K502),N($K502)&lt;&gt;0),1/$K502,""),""))))</f>
        <v/>
      </c>
      <c r="AI502" s="55" t="str">
        <f>IF($AM502=0,"",IF(OR(NOT(ISNUMBER($H502)),NOT(ISNUMBER($K502)),NOT(ISNUMBER($G502)),$AG502="",$AH502=""),"",ROUND(($K502-$H502)*IF($F502="Short",-1,1)*$G502*$AG502*$AH502,6)))</f>
        <v/>
      </c>
      <c r="AJ502" s="55" t="str">
        <f>IF($AM502=0,"",IF(INDEX(Settings!$E$14:$E$18,$BF502)="% of notional",IF(OR($AG502="",NOT(ISNUMBER($H502)),NOT(ISNUMBER($G502))),"",ROUND(ABS($H502*$G502*$AG502*N($AH502))*IF($L502="Limit",N(INDEX(Settings!$G$14:$G$18,$BF502)),N(INDEX(Settings!$H$14:$H$18,$BF502)))+IF(ISNUMBER($K502),ABS($K502*$G502*$AG502*N($AH502))*IF($M502="Target",N(INDEX(Settings!$G$14:$G$18,$BF502)),N(INDEX(Settings!$H$14:$H$18,$BF502))),0),6)),IF(NOT(ISNUMBER($G502)),"",ROUND(ABS($G502)*2*IF(AND($BE502&gt;0,ISNUMBER(INDEX(Instruments!$G$6:$G$205,MAX(1,$BE502)))),INDEX(Instruments!$G$6:$G$205,MAX(1,$BE502)),N(INDEX(Settings!$F$14:$F$18,$BF502))),6))))</f>
        <v/>
      </c>
      <c r="AK502" s="55" t="str">
        <f>IF($AM502=0,"",IF(ISNUMBER($O502),$O502,$AI502))</f>
        <v/>
      </c>
      <c r="AL502" s="55" t="str">
        <f>IF($AM502=0,"",IF(ISNUMBER($P502),$P502,N($AJ502)))</f>
        <v/>
      </c>
      <c r="AM502" s="56">
        <f>IF(AND($A502&lt;&gt;"",$E502&lt;&gt;"",OR(AND(ISNUMBER($G502),ISNUMBER($H502),ISNUMBER($K502)),ISNUMBER($O502))),1,0)</f>
        <v>0</v>
      </c>
      <c r="AN502" s="57" t="str">
        <f>IF($A502="","",$A502-WEEKDAY($A502,3))</f>
        <v/>
      </c>
      <c r="AO502" s="56" t="str">
        <f>IF($A502="","",WEEKDAY($A502,2))</f>
        <v/>
      </c>
      <c r="AP502" s="55" t="str">
        <f>IF(OR($AM502=0,$C502=""),"",IFERROR(N(INDEX(Accounts!$E$7:$E$16,MATCH($C502,Accounts!$B$7:$B$16,0))),0)+SUMIFS($Q$6:$Q502,$C$6:$C502,$C502))</f>
        <v/>
      </c>
      <c r="AQ502" s="55" t="str">
        <f>IF(OR($AM502=0,$C502=""),"",SUMIFS($Q$6:$Q$1005,$C$6:$C$1005,$C502,$A$6:$A$1005,$A502))</f>
        <v/>
      </c>
      <c r="AR502" s="55" t="str">
        <f>IF(OR($AM502=0,$C502=""),"",IFERROR(N(INDEX(Accounts!$E$7:$E$16,MATCH($C502,Accounts!$B$7:$B$16,0))),0)+SUMIFS($Q$6:$Q$1005,$C$6:$C$1005,$C502,$A$6:$A$1005,"&lt;="&amp;$A502))</f>
        <v/>
      </c>
      <c r="AS502" s="56">
        <f>IF(OR($AM502=0,$Q502=""),0,IF(AND($A502&gt;=Lists!$W$6,$A502&lt;=Lists!$W$7,OR(Dashboard!$D$6="All accounts",$C502=Dashboard!$D$6),OR(Dashboard!$D$7="All markets",$AF502=Dashboard!$D$7)),1,0))</f>
        <v>0</v>
      </c>
      <c r="AT502" s="55">
        <f>IF($AS502=1,N(AT501)+$Q502,N(AT501))</f>
        <v>1187.10688</v>
      </c>
      <c r="AU502" s="55">
        <f>MAX(N(AU501),$AT502)</f>
        <v>1187.10688</v>
      </c>
      <c r="AV502" s="55">
        <f>$AT502-$AU502</f>
        <v>0</v>
      </c>
      <c r="AW502" s="56">
        <f>IF($AS502=1,IF($S502="Win",N(AW501)+1,IF($S502="Loss",0,N(AW501))),N(AW501))</f>
        <v>5</v>
      </c>
      <c r="AX502" s="56">
        <f>IF($AS502=1,IF($S502="Loss",N(AX501)+1,IF($S502="Win",0,N(AX501))),N(AX501))</f>
        <v>0</v>
      </c>
      <c r="AY502" s="56" t="str">
        <f>IF($AS502=1,COUNTIF($AS$6:$AS502,1),"")</f>
        <v/>
      </c>
      <c r="AZ502" s="56">
        <f>MIN(496,N(Lists!$W$8))</f>
        <v>28</v>
      </c>
      <c r="BA502" s="56">
        <f>IF($AS502=1,IF(COUNTIFS($A$6:$A502,$A502,$AS$6:$AS502,1)=1,1,0),0)</f>
        <v>0</v>
      </c>
      <c r="BB502" s="55" t="str">
        <f>IF($BA502=1,SUMIFS($Q$6:$Q$1005,$A$6:$A$1005,$A502,$AS$6:$AS$1005,1),"")</f>
        <v/>
      </c>
      <c r="BC502" s="56">
        <f>IF(ISNUMBER($R502),1,0)</f>
        <v>0</v>
      </c>
      <c r="BD502" s="55" t="str">
        <f>IF(ISNUMBER($U502),$U502*$V502,"")</f>
        <v/>
      </c>
      <c r="BE502" s="56" t="str">
        <f>IF($AM502=0,"",IFERROR(MATCH($AF502&amp;"|"&amp;UPPER(TRIM($E502)),Lists!$A$6:$A$205,0),0))</f>
        <v/>
      </c>
      <c r="BF502" s="56" t="str">
        <f>IF($AM502=0,"",IFERROR(MATCH($AF502,Settings!$B$14:$B$18,0),IFERROR(MATCH(Settings!$C$6,Settings!$B$14:$B$18,0),1)))</f>
        <v/>
      </c>
      <c r="BG502" s="58" t="str">
        <f>IF($AM502=0,"",IF(NOT(ISNUMBER($I502)),"No stop; ","")&amp;IF(AND(ISNUMBER($H502),ISNUMBER($I502)),IF(OR(AND($F502&lt;&gt;"Short",$I502&gt;=$H502),AND($F502="Short",$I502&lt;=$H502)),"Stop on wrong side; ",""),"")&amp;IF($F502="","No direction; ","")&amp;IF(AND(ISNUMBER(Settings!$C$22),ISNUMBER($V502)),IF($V502&gt;Settings!$C$22,"Risk over max $; ",""),"")&amp;IF(AND(ISNUMBER(Settings!$C$23),ISNUMBER($V502),ISNUMBER($AP502),IFERROR(N(INDEX(Accounts!$E$7:$E$16,MATCH($C502,Accounts!$B$7:$B$16,0))),0)&gt;0),IF($V502&gt;Settings!$C$23*($AP502-N($Q502)),"Risk over max %; ",""),"")&amp;IF(AND(ISNUMBER(Settings!$C$24),ISNUMBER($N502)),IF($N502&gt;Settings!$C$24,"Leverage over max; ",""),"")&amp;IF(AND(ISNUMBER(Settings!$C$27),ISNUMBER($T502)),IF($T502&lt;Settings!$C$27,"R:R below min; ",""),"")&amp;IF(ISNUMBER(Settings!$C$25),IF(COUNTIFS($A$6:$A502,$A502,$AM$6:$AM502,1)&gt;Settings!$C$25,"Over max trades/day; ",""),"")&amp;IF(ISNUMBER(Settings!$C$26),IF(SUMIFS($Q$5:$Q501,$A$5:$A501,$A502)&lt;=-Settings!$C$26,"Traded after daily max loss; ",""),"")&amp;IF(AND($AG502="",NOT(ISNUMBER($O502))),"Symbol not in Instruments; ","")&amp;IF(AND($AH502="",NOT(ISNUMBER($O502))),"Forex cross: type Gross P&amp;L; ",""))</f>
        <v/>
      </c>
      <c r="BH502" s="56">
        <f>IF(ISNUMBER($Q502),1,0)</f>
        <v>0</v>
      </c>
      <c r="BI502" s="56">
        <f>IF($Y502="",0,1)</f>
        <v>0</v>
      </c>
      <c r="BJ502" s="56">
        <f>IF($AB502="",0,1)</f>
        <v>0</v>
      </c>
      <c r="BK502" s="56">
        <f>IF(AND($BH502=1,$W502&lt;&gt;"OK"),1,0)</f>
        <v>0</v>
      </c>
      <c r="BL502" s="55">
        <f>IF(N($AZ502)=0,0,IFERROR(INDEX($AT$6:$AT$1005,MATCH($AZ502,$AY$6:$AY$1005,0)),0))</f>
        <v>1187.10688</v>
      </c>
      <c r="BM502" s="56">
        <f>IF(ISNUMBER(SEARCH("daily max loss",$BG502)),1,0)</f>
        <v>0</v>
      </c>
    </row>
    <row r="503" ht="18" customHeight="1">
      <c r="A503" s="38" t="n"/>
      <c r="B503" s="39" t="n"/>
      <c r="C503" s="40" t="n"/>
      <c r="D503" s="41" t="n"/>
      <c r="E503" s="41" t="n"/>
      <c r="F503" s="41" t="n"/>
      <c r="G503" s="41" t="n"/>
      <c r="H503" s="42" t="n"/>
      <c r="I503" s="42" t="n"/>
      <c r="J503" s="42" t="n"/>
      <c r="K503" s="42" t="n"/>
      <c r="L503" s="41" t="n"/>
      <c r="M503" s="41" t="n"/>
      <c r="N503" s="41" t="n"/>
      <c r="O503" s="43" t="n"/>
      <c r="P503" s="43" t="n"/>
      <c r="Q503" s="44" t="str">
        <f>IF($AM503=0,"",IF(ISNUMBER($AK503),$AK503-N($AL503),""))</f>
        <v/>
      </c>
      <c r="R503" s="45" t="str">
        <f>IF(OR($Q503="",NOT(ISNUMBER($V503))),"",$AK503/$V503)</f>
        <v/>
      </c>
      <c r="S503" s="46" t="str">
        <f>IF($Q503="","",IF(AND(ISNUMBER($R503),ABS(N($R503))&lt;N(Settings!$C$8)),"Scratch",IF($Q503&gt;0,"Win",IF($Q503&lt;0,"Loss","Scratch"))))</f>
        <v/>
      </c>
      <c r="T503" s="47" t="str">
        <f>IF(OR($AM503=0,NOT(ISNUMBER($H503)),NOT(ISNUMBER($I503)),NOT(ISNUMBER($J503))),"",IF($H503=$I503,"",ROUND(ABS($J503-$H503)/ABS($H503-$I503),6)))</f>
        <v/>
      </c>
      <c r="U503" s="48" t="str">
        <f>IF(OR($S503&lt;&gt;"Win",NOT(ISNUMBER($T503)),NOT(ISNUMBER($R503))),"",MAX(0,$T503-$R503))</f>
        <v/>
      </c>
      <c r="V503" s="49" t="str">
        <f>IF(OR($AM503=0,NOT(ISNUMBER($H503)),NOT(ISNUMBER($I503)),NOT(ISNUMBER($G503))),"",IF(OR($AG503="",$AH503=""),"",IF(ROUND(ABS($H503-$I503)*ABS($G503)*$AG503*$AH503,6)=0,"",ROUND(ABS($H503-$I503)*ABS($G503)*$AG503*$AH503,6))))</f>
        <v/>
      </c>
      <c r="W503" s="50" t="str">
        <f>IF($AM503=0,"",IF($BG503="","OK",LEFT($BG503,LEN($BG503)-2)))</f>
        <v/>
      </c>
      <c r="X503" s="41" t="n"/>
      <c r="Y503" s="40" t="n"/>
      <c r="Z503" s="41" t="n"/>
      <c r="AA503" s="41" t="n"/>
      <c r="AB503" s="40" t="n"/>
      <c r="AC503" s="51" t="n"/>
      <c r="AD503" s="51" t="n"/>
      <c r="AE503" s="40" t="n"/>
      <c r="AF503" s="52" t="str">
        <f>IF($AM503=0,"",IF($D503&lt;&gt;"",$D503,IF(IFERROR(INDEX(Accounts!$C$7:$C$16,MATCH($C503,Accounts!$B$7:$B$16,0))&amp;"","")&lt;&gt;"",INDEX(Accounts!$C$7:$C$16,MATCH($C503,Accounts!$B$7:$B$16,0)),Settings!$C$6)))</f>
        <v/>
      </c>
      <c r="AG503" s="53" t="str">
        <f>IF($AM503=0,"",IF(AND($BE503&gt;0,N(INDEX(Instruments!$D$6:$D$205,MAX(1,$BE503)))&gt;0),INDEX(Instruments!$D$6:$D$205,MAX(1,$BE503)),IF(N(INDEX(Settings!$D$14:$D$18,$BF503))&gt;0,INDEX(Settings!$D$14:$D$18,$BF503),"")))</f>
        <v/>
      </c>
      <c r="AH503" s="54" t="str">
        <f>IF($AM503=0,"",IF($AF503&lt;&gt;"Forex",1,IF(MID(UPPER(SUBSTITUTE(TRIM($E503),"/","")),4,3)=UPPER(TRIM(Settings!$C$7)),1,IF(LEFT(UPPER(SUBSTITUTE(TRIM($E503),"/","")),3)=UPPER(TRIM(Settings!$C$7)),IF(AND(ISNUMBER($K503),N($K503)&lt;&gt;0),1/$K503,""),""))))</f>
        <v/>
      </c>
      <c r="AI503" s="55" t="str">
        <f>IF($AM503=0,"",IF(OR(NOT(ISNUMBER($H503)),NOT(ISNUMBER($K503)),NOT(ISNUMBER($G503)),$AG503="",$AH503=""),"",ROUND(($K503-$H503)*IF($F503="Short",-1,1)*$G503*$AG503*$AH503,6)))</f>
        <v/>
      </c>
      <c r="AJ503" s="55" t="str">
        <f>IF($AM503=0,"",IF(INDEX(Settings!$E$14:$E$18,$BF503)="% of notional",IF(OR($AG503="",NOT(ISNUMBER($H503)),NOT(ISNUMBER($G503))),"",ROUND(ABS($H503*$G503*$AG503*N($AH503))*IF($L503="Limit",N(INDEX(Settings!$G$14:$G$18,$BF503)),N(INDEX(Settings!$H$14:$H$18,$BF503)))+IF(ISNUMBER($K503),ABS($K503*$G503*$AG503*N($AH503))*IF($M503="Target",N(INDEX(Settings!$G$14:$G$18,$BF503)),N(INDEX(Settings!$H$14:$H$18,$BF503))),0),6)),IF(NOT(ISNUMBER($G503)),"",ROUND(ABS($G503)*2*IF(AND($BE503&gt;0,ISNUMBER(INDEX(Instruments!$G$6:$G$205,MAX(1,$BE503)))),INDEX(Instruments!$G$6:$G$205,MAX(1,$BE503)),N(INDEX(Settings!$F$14:$F$18,$BF503))),6))))</f>
        <v/>
      </c>
      <c r="AK503" s="55" t="str">
        <f>IF($AM503=0,"",IF(ISNUMBER($O503),$O503,$AI503))</f>
        <v/>
      </c>
      <c r="AL503" s="55" t="str">
        <f>IF($AM503=0,"",IF(ISNUMBER($P503),$P503,N($AJ503)))</f>
        <v/>
      </c>
      <c r="AM503" s="56">
        <f>IF(AND($A503&lt;&gt;"",$E503&lt;&gt;"",OR(AND(ISNUMBER($G503),ISNUMBER($H503),ISNUMBER($K503)),ISNUMBER($O503))),1,0)</f>
        <v>0</v>
      </c>
      <c r="AN503" s="57" t="str">
        <f>IF($A503="","",$A503-WEEKDAY($A503,3))</f>
        <v/>
      </c>
      <c r="AO503" s="56" t="str">
        <f>IF($A503="","",WEEKDAY($A503,2))</f>
        <v/>
      </c>
      <c r="AP503" s="55" t="str">
        <f>IF(OR($AM503=0,$C503=""),"",IFERROR(N(INDEX(Accounts!$E$7:$E$16,MATCH($C503,Accounts!$B$7:$B$16,0))),0)+SUMIFS($Q$6:$Q503,$C$6:$C503,$C503))</f>
        <v/>
      </c>
      <c r="AQ503" s="55" t="str">
        <f>IF(OR($AM503=0,$C503=""),"",SUMIFS($Q$6:$Q$1005,$C$6:$C$1005,$C503,$A$6:$A$1005,$A503))</f>
        <v/>
      </c>
      <c r="AR503" s="55" t="str">
        <f>IF(OR($AM503=0,$C503=""),"",IFERROR(N(INDEX(Accounts!$E$7:$E$16,MATCH($C503,Accounts!$B$7:$B$16,0))),0)+SUMIFS($Q$6:$Q$1005,$C$6:$C$1005,$C503,$A$6:$A$1005,"&lt;="&amp;$A503))</f>
        <v/>
      </c>
      <c r="AS503" s="56">
        <f>IF(OR($AM503=0,$Q503=""),0,IF(AND($A503&gt;=Lists!$W$6,$A503&lt;=Lists!$W$7,OR(Dashboard!$D$6="All accounts",$C503=Dashboard!$D$6),OR(Dashboard!$D$7="All markets",$AF503=Dashboard!$D$7)),1,0))</f>
        <v>0</v>
      </c>
      <c r="AT503" s="55">
        <f>IF($AS503=1,N(AT502)+$Q503,N(AT502))</f>
        <v>1187.10688</v>
      </c>
      <c r="AU503" s="55">
        <f>MAX(N(AU502),$AT503)</f>
        <v>1187.10688</v>
      </c>
      <c r="AV503" s="55">
        <f>$AT503-$AU503</f>
        <v>0</v>
      </c>
      <c r="AW503" s="56">
        <f>IF($AS503=1,IF($S503="Win",N(AW502)+1,IF($S503="Loss",0,N(AW502))),N(AW502))</f>
        <v>5</v>
      </c>
      <c r="AX503" s="56">
        <f>IF($AS503=1,IF($S503="Loss",N(AX502)+1,IF($S503="Win",0,N(AX502))),N(AX502))</f>
        <v>0</v>
      </c>
      <c r="AY503" s="56" t="str">
        <f>IF($AS503=1,COUNTIF($AS$6:$AS503,1),"")</f>
        <v/>
      </c>
      <c r="AZ503" s="56">
        <f>MIN(497,N(Lists!$W$8))</f>
        <v>28</v>
      </c>
      <c r="BA503" s="56">
        <f>IF($AS503=1,IF(COUNTIFS($A$6:$A503,$A503,$AS$6:$AS503,1)=1,1,0),0)</f>
        <v>0</v>
      </c>
      <c r="BB503" s="55" t="str">
        <f>IF($BA503=1,SUMIFS($Q$6:$Q$1005,$A$6:$A$1005,$A503,$AS$6:$AS$1005,1),"")</f>
        <v/>
      </c>
      <c r="BC503" s="56">
        <f>IF(ISNUMBER($R503),1,0)</f>
        <v>0</v>
      </c>
      <c r="BD503" s="55" t="str">
        <f>IF(ISNUMBER($U503),$U503*$V503,"")</f>
        <v/>
      </c>
      <c r="BE503" s="56" t="str">
        <f>IF($AM503=0,"",IFERROR(MATCH($AF503&amp;"|"&amp;UPPER(TRIM($E503)),Lists!$A$6:$A$205,0),0))</f>
        <v/>
      </c>
      <c r="BF503" s="56" t="str">
        <f>IF($AM503=0,"",IFERROR(MATCH($AF503,Settings!$B$14:$B$18,0),IFERROR(MATCH(Settings!$C$6,Settings!$B$14:$B$18,0),1)))</f>
        <v/>
      </c>
      <c r="BG503" s="58" t="str">
        <f>IF($AM503=0,"",IF(NOT(ISNUMBER($I503)),"No stop; ","")&amp;IF(AND(ISNUMBER($H503),ISNUMBER($I503)),IF(OR(AND($F503&lt;&gt;"Short",$I503&gt;=$H503),AND($F503="Short",$I503&lt;=$H503)),"Stop on wrong side; ",""),"")&amp;IF($F503="","No direction; ","")&amp;IF(AND(ISNUMBER(Settings!$C$22),ISNUMBER($V503)),IF($V503&gt;Settings!$C$22,"Risk over max $; ",""),"")&amp;IF(AND(ISNUMBER(Settings!$C$23),ISNUMBER($V503),ISNUMBER($AP503),IFERROR(N(INDEX(Accounts!$E$7:$E$16,MATCH($C503,Accounts!$B$7:$B$16,0))),0)&gt;0),IF($V503&gt;Settings!$C$23*($AP503-N($Q503)),"Risk over max %; ",""),"")&amp;IF(AND(ISNUMBER(Settings!$C$24),ISNUMBER($N503)),IF($N503&gt;Settings!$C$24,"Leverage over max; ",""),"")&amp;IF(AND(ISNUMBER(Settings!$C$27),ISNUMBER($T503)),IF($T503&lt;Settings!$C$27,"R:R below min; ",""),"")&amp;IF(ISNUMBER(Settings!$C$25),IF(COUNTIFS($A$6:$A503,$A503,$AM$6:$AM503,1)&gt;Settings!$C$25,"Over max trades/day; ",""),"")&amp;IF(ISNUMBER(Settings!$C$26),IF(SUMIFS($Q$5:$Q502,$A$5:$A502,$A503)&lt;=-Settings!$C$26,"Traded after daily max loss; ",""),"")&amp;IF(AND($AG503="",NOT(ISNUMBER($O503))),"Symbol not in Instruments; ","")&amp;IF(AND($AH503="",NOT(ISNUMBER($O503))),"Forex cross: type Gross P&amp;L; ",""))</f>
        <v/>
      </c>
      <c r="BH503" s="56">
        <f>IF(ISNUMBER($Q503),1,0)</f>
        <v>0</v>
      </c>
      <c r="BI503" s="56">
        <f>IF($Y503="",0,1)</f>
        <v>0</v>
      </c>
      <c r="BJ503" s="56">
        <f>IF($AB503="",0,1)</f>
        <v>0</v>
      </c>
      <c r="BK503" s="56">
        <f>IF(AND($BH503=1,$W503&lt;&gt;"OK"),1,0)</f>
        <v>0</v>
      </c>
      <c r="BL503" s="55">
        <f>IF(N($AZ503)=0,0,IFERROR(INDEX($AT$6:$AT$1005,MATCH($AZ503,$AY$6:$AY$1005,0)),0))</f>
        <v>1187.10688</v>
      </c>
      <c r="BM503" s="56">
        <f>IF(ISNUMBER(SEARCH("daily max loss",$BG503)),1,0)</f>
        <v>0</v>
      </c>
    </row>
    <row r="504" ht="18" customHeight="1">
      <c r="A504" s="38" t="n"/>
      <c r="B504" s="39" t="n"/>
      <c r="C504" s="40" t="n"/>
      <c r="D504" s="41" t="n"/>
      <c r="E504" s="41" t="n"/>
      <c r="F504" s="41" t="n"/>
      <c r="G504" s="41" t="n"/>
      <c r="H504" s="42" t="n"/>
      <c r="I504" s="42" t="n"/>
      <c r="J504" s="42" t="n"/>
      <c r="K504" s="42" t="n"/>
      <c r="L504" s="41" t="n"/>
      <c r="M504" s="41" t="n"/>
      <c r="N504" s="41" t="n"/>
      <c r="O504" s="43" t="n"/>
      <c r="P504" s="43" t="n"/>
      <c r="Q504" s="44" t="str">
        <f>IF($AM504=0,"",IF(ISNUMBER($AK504),$AK504-N($AL504),""))</f>
        <v/>
      </c>
      <c r="R504" s="45" t="str">
        <f>IF(OR($Q504="",NOT(ISNUMBER($V504))),"",$AK504/$V504)</f>
        <v/>
      </c>
      <c r="S504" s="46" t="str">
        <f>IF($Q504="","",IF(AND(ISNUMBER($R504),ABS(N($R504))&lt;N(Settings!$C$8)),"Scratch",IF($Q504&gt;0,"Win",IF($Q504&lt;0,"Loss","Scratch"))))</f>
        <v/>
      </c>
      <c r="T504" s="47" t="str">
        <f>IF(OR($AM504=0,NOT(ISNUMBER($H504)),NOT(ISNUMBER($I504)),NOT(ISNUMBER($J504))),"",IF($H504=$I504,"",ROUND(ABS($J504-$H504)/ABS($H504-$I504),6)))</f>
        <v/>
      </c>
      <c r="U504" s="48" t="str">
        <f>IF(OR($S504&lt;&gt;"Win",NOT(ISNUMBER($T504)),NOT(ISNUMBER($R504))),"",MAX(0,$T504-$R504))</f>
        <v/>
      </c>
      <c r="V504" s="49" t="str">
        <f>IF(OR($AM504=0,NOT(ISNUMBER($H504)),NOT(ISNUMBER($I504)),NOT(ISNUMBER($G504))),"",IF(OR($AG504="",$AH504=""),"",IF(ROUND(ABS($H504-$I504)*ABS($G504)*$AG504*$AH504,6)=0,"",ROUND(ABS($H504-$I504)*ABS($G504)*$AG504*$AH504,6))))</f>
        <v/>
      </c>
      <c r="W504" s="50" t="str">
        <f>IF($AM504=0,"",IF($BG504="","OK",LEFT($BG504,LEN($BG504)-2)))</f>
        <v/>
      </c>
      <c r="X504" s="41" t="n"/>
      <c r="Y504" s="40" t="n"/>
      <c r="Z504" s="41" t="n"/>
      <c r="AA504" s="41" t="n"/>
      <c r="AB504" s="40" t="n"/>
      <c r="AC504" s="51" t="n"/>
      <c r="AD504" s="51" t="n"/>
      <c r="AE504" s="40" t="n"/>
      <c r="AF504" s="52" t="str">
        <f>IF($AM504=0,"",IF($D504&lt;&gt;"",$D504,IF(IFERROR(INDEX(Accounts!$C$7:$C$16,MATCH($C504,Accounts!$B$7:$B$16,0))&amp;"","")&lt;&gt;"",INDEX(Accounts!$C$7:$C$16,MATCH($C504,Accounts!$B$7:$B$16,0)),Settings!$C$6)))</f>
        <v/>
      </c>
      <c r="AG504" s="53" t="str">
        <f>IF($AM504=0,"",IF(AND($BE504&gt;0,N(INDEX(Instruments!$D$6:$D$205,MAX(1,$BE504)))&gt;0),INDEX(Instruments!$D$6:$D$205,MAX(1,$BE504)),IF(N(INDEX(Settings!$D$14:$D$18,$BF504))&gt;0,INDEX(Settings!$D$14:$D$18,$BF504),"")))</f>
        <v/>
      </c>
      <c r="AH504" s="54" t="str">
        <f>IF($AM504=0,"",IF($AF504&lt;&gt;"Forex",1,IF(MID(UPPER(SUBSTITUTE(TRIM($E504),"/","")),4,3)=UPPER(TRIM(Settings!$C$7)),1,IF(LEFT(UPPER(SUBSTITUTE(TRIM($E504),"/","")),3)=UPPER(TRIM(Settings!$C$7)),IF(AND(ISNUMBER($K504),N($K504)&lt;&gt;0),1/$K504,""),""))))</f>
        <v/>
      </c>
      <c r="AI504" s="55" t="str">
        <f>IF($AM504=0,"",IF(OR(NOT(ISNUMBER($H504)),NOT(ISNUMBER($K504)),NOT(ISNUMBER($G504)),$AG504="",$AH504=""),"",ROUND(($K504-$H504)*IF($F504="Short",-1,1)*$G504*$AG504*$AH504,6)))</f>
        <v/>
      </c>
      <c r="AJ504" s="55" t="str">
        <f>IF($AM504=0,"",IF(INDEX(Settings!$E$14:$E$18,$BF504)="% of notional",IF(OR($AG504="",NOT(ISNUMBER($H504)),NOT(ISNUMBER($G504))),"",ROUND(ABS($H504*$G504*$AG504*N($AH504))*IF($L504="Limit",N(INDEX(Settings!$G$14:$G$18,$BF504)),N(INDEX(Settings!$H$14:$H$18,$BF504)))+IF(ISNUMBER($K504),ABS($K504*$G504*$AG504*N($AH504))*IF($M504="Target",N(INDEX(Settings!$G$14:$G$18,$BF504)),N(INDEX(Settings!$H$14:$H$18,$BF504))),0),6)),IF(NOT(ISNUMBER($G504)),"",ROUND(ABS($G504)*2*IF(AND($BE504&gt;0,ISNUMBER(INDEX(Instruments!$G$6:$G$205,MAX(1,$BE504)))),INDEX(Instruments!$G$6:$G$205,MAX(1,$BE504)),N(INDEX(Settings!$F$14:$F$18,$BF504))),6))))</f>
        <v/>
      </c>
      <c r="AK504" s="55" t="str">
        <f>IF($AM504=0,"",IF(ISNUMBER($O504),$O504,$AI504))</f>
        <v/>
      </c>
      <c r="AL504" s="55" t="str">
        <f>IF($AM504=0,"",IF(ISNUMBER($P504),$P504,N($AJ504)))</f>
        <v/>
      </c>
      <c r="AM504" s="56">
        <f>IF(AND($A504&lt;&gt;"",$E504&lt;&gt;"",OR(AND(ISNUMBER($G504),ISNUMBER($H504),ISNUMBER($K504)),ISNUMBER($O504))),1,0)</f>
        <v>0</v>
      </c>
      <c r="AN504" s="57" t="str">
        <f>IF($A504="","",$A504-WEEKDAY($A504,3))</f>
        <v/>
      </c>
      <c r="AO504" s="56" t="str">
        <f>IF($A504="","",WEEKDAY($A504,2))</f>
        <v/>
      </c>
      <c r="AP504" s="55" t="str">
        <f>IF(OR($AM504=0,$C504=""),"",IFERROR(N(INDEX(Accounts!$E$7:$E$16,MATCH($C504,Accounts!$B$7:$B$16,0))),0)+SUMIFS($Q$6:$Q504,$C$6:$C504,$C504))</f>
        <v/>
      </c>
      <c r="AQ504" s="55" t="str">
        <f>IF(OR($AM504=0,$C504=""),"",SUMIFS($Q$6:$Q$1005,$C$6:$C$1005,$C504,$A$6:$A$1005,$A504))</f>
        <v/>
      </c>
      <c r="AR504" s="55" t="str">
        <f>IF(OR($AM504=0,$C504=""),"",IFERROR(N(INDEX(Accounts!$E$7:$E$16,MATCH($C504,Accounts!$B$7:$B$16,0))),0)+SUMIFS($Q$6:$Q$1005,$C$6:$C$1005,$C504,$A$6:$A$1005,"&lt;="&amp;$A504))</f>
        <v/>
      </c>
      <c r="AS504" s="56">
        <f>IF(OR($AM504=0,$Q504=""),0,IF(AND($A504&gt;=Lists!$W$6,$A504&lt;=Lists!$W$7,OR(Dashboard!$D$6="All accounts",$C504=Dashboard!$D$6),OR(Dashboard!$D$7="All markets",$AF504=Dashboard!$D$7)),1,0))</f>
        <v>0</v>
      </c>
      <c r="AT504" s="55">
        <f>IF($AS504=1,N(AT503)+$Q504,N(AT503))</f>
        <v>1187.10688</v>
      </c>
      <c r="AU504" s="55">
        <f>MAX(N(AU503),$AT504)</f>
        <v>1187.10688</v>
      </c>
      <c r="AV504" s="55">
        <f>$AT504-$AU504</f>
        <v>0</v>
      </c>
      <c r="AW504" s="56">
        <f>IF($AS504=1,IF($S504="Win",N(AW503)+1,IF($S504="Loss",0,N(AW503))),N(AW503))</f>
        <v>5</v>
      </c>
      <c r="AX504" s="56">
        <f>IF($AS504=1,IF($S504="Loss",N(AX503)+1,IF($S504="Win",0,N(AX503))),N(AX503))</f>
        <v>0</v>
      </c>
      <c r="AY504" s="56" t="str">
        <f>IF($AS504=1,COUNTIF($AS$6:$AS504,1),"")</f>
        <v/>
      </c>
      <c r="AZ504" s="56">
        <f>MIN(498,N(Lists!$W$8))</f>
        <v>28</v>
      </c>
      <c r="BA504" s="56">
        <f>IF($AS504=1,IF(COUNTIFS($A$6:$A504,$A504,$AS$6:$AS504,1)=1,1,0),0)</f>
        <v>0</v>
      </c>
      <c r="BB504" s="55" t="str">
        <f>IF($BA504=1,SUMIFS($Q$6:$Q$1005,$A$6:$A$1005,$A504,$AS$6:$AS$1005,1),"")</f>
        <v/>
      </c>
      <c r="BC504" s="56">
        <f>IF(ISNUMBER($R504),1,0)</f>
        <v>0</v>
      </c>
      <c r="BD504" s="55" t="str">
        <f>IF(ISNUMBER($U504),$U504*$V504,"")</f>
        <v/>
      </c>
      <c r="BE504" s="56" t="str">
        <f>IF($AM504=0,"",IFERROR(MATCH($AF504&amp;"|"&amp;UPPER(TRIM($E504)),Lists!$A$6:$A$205,0),0))</f>
        <v/>
      </c>
      <c r="BF504" s="56" t="str">
        <f>IF($AM504=0,"",IFERROR(MATCH($AF504,Settings!$B$14:$B$18,0),IFERROR(MATCH(Settings!$C$6,Settings!$B$14:$B$18,0),1)))</f>
        <v/>
      </c>
      <c r="BG504" s="58" t="str">
        <f>IF($AM504=0,"",IF(NOT(ISNUMBER($I504)),"No stop; ","")&amp;IF(AND(ISNUMBER($H504),ISNUMBER($I504)),IF(OR(AND($F504&lt;&gt;"Short",$I504&gt;=$H504),AND($F504="Short",$I504&lt;=$H504)),"Stop on wrong side; ",""),"")&amp;IF($F504="","No direction; ","")&amp;IF(AND(ISNUMBER(Settings!$C$22),ISNUMBER($V504)),IF($V504&gt;Settings!$C$22,"Risk over max $; ",""),"")&amp;IF(AND(ISNUMBER(Settings!$C$23),ISNUMBER($V504),ISNUMBER($AP504),IFERROR(N(INDEX(Accounts!$E$7:$E$16,MATCH($C504,Accounts!$B$7:$B$16,0))),0)&gt;0),IF($V504&gt;Settings!$C$23*($AP504-N($Q504)),"Risk over max %; ",""),"")&amp;IF(AND(ISNUMBER(Settings!$C$24),ISNUMBER($N504)),IF($N504&gt;Settings!$C$24,"Leverage over max; ",""),"")&amp;IF(AND(ISNUMBER(Settings!$C$27),ISNUMBER($T504)),IF($T504&lt;Settings!$C$27,"R:R below min; ",""),"")&amp;IF(ISNUMBER(Settings!$C$25),IF(COUNTIFS($A$6:$A504,$A504,$AM$6:$AM504,1)&gt;Settings!$C$25,"Over max trades/day; ",""),"")&amp;IF(ISNUMBER(Settings!$C$26),IF(SUMIFS($Q$5:$Q503,$A$5:$A503,$A504)&lt;=-Settings!$C$26,"Traded after daily max loss; ",""),"")&amp;IF(AND($AG504="",NOT(ISNUMBER($O504))),"Symbol not in Instruments; ","")&amp;IF(AND($AH504="",NOT(ISNUMBER($O504))),"Forex cross: type Gross P&amp;L; ",""))</f>
        <v/>
      </c>
      <c r="BH504" s="56">
        <f>IF(ISNUMBER($Q504),1,0)</f>
        <v>0</v>
      </c>
      <c r="BI504" s="56">
        <f>IF($Y504="",0,1)</f>
        <v>0</v>
      </c>
      <c r="BJ504" s="56">
        <f>IF($AB504="",0,1)</f>
        <v>0</v>
      </c>
      <c r="BK504" s="56">
        <f>IF(AND($BH504=1,$W504&lt;&gt;"OK"),1,0)</f>
        <v>0</v>
      </c>
      <c r="BL504" s="55">
        <f>IF(N($AZ504)=0,0,IFERROR(INDEX($AT$6:$AT$1005,MATCH($AZ504,$AY$6:$AY$1005,0)),0))</f>
        <v>1187.10688</v>
      </c>
      <c r="BM504" s="56">
        <f>IF(ISNUMBER(SEARCH("daily max loss",$BG504)),1,0)</f>
        <v>0</v>
      </c>
    </row>
    <row r="505" ht="18" customHeight="1">
      <c r="A505" s="38" t="n"/>
      <c r="B505" s="39" t="n"/>
      <c r="C505" s="40" t="n"/>
      <c r="D505" s="41" t="n"/>
      <c r="E505" s="41" t="n"/>
      <c r="F505" s="41" t="n"/>
      <c r="G505" s="41" t="n"/>
      <c r="H505" s="42" t="n"/>
      <c r="I505" s="42" t="n"/>
      <c r="J505" s="42" t="n"/>
      <c r="K505" s="42" t="n"/>
      <c r="L505" s="41" t="n"/>
      <c r="M505" s="41" t="n"/>
      <c r="N505" s="41" t="n"/>
      <c r="O505" s="43" t="n"/>
      <c r="P505" s="43" t="n"/>
      <c r="Q505" s="44" t="str">
        <f>IF($AM505=0,"",IF(ISNUMBER($AK505),$AK505-N($AL505),""))</f>
        <v/>
      </c>
      <c r="R505" s="45" t="str">
        <f>IF(OR($Q505="",NOT(ISNUMBER($V505))),"",$AK505/$V505)</f>
        <v/>
      </c>
      <c r="S505" s="46" t="str">
        <f>IF($Q505="","",IF(AND(ISNUMBER($R505),ABS(N($R505))&lt;N(Settings!$C$8)),"Scratch",IF($Q505&gt;0,"Win",IF($Q505&lt;0,"Loss","Scratch"))))</f>
        <v/>
      </c>
      <c r="T505" s="47" t="str">
        <f>IF(OR($AM505=0,NOT(ISNUMBER($H505)),NOT(ISNUMBER($I505)),NOT(ISNUMBER($J505))),"",IF($H505=$I505,"",ROUND(ABS($J505-$H505)/ABS($H505-$I505),6)))</f>
        <v/>
      </c>
      <c r="U505" s="48" t="str">
        <f>IF(OR($S505&lt;&gt;"Win",NOT(ISNUMBER($T505)),NOT(ISNUMBER($R505))),"",MAX(0,$T505-$R505))</f>
        <v/>
      </c>
      <c r="V505" s="49" t="str">
        <f>IF(OR($AM505=0,NOT(ISNUMBER($H505)),NOT(ISNUMBER($I505)),NOT(ISNUMBER($G505))),"",IF(OR($AG505="",$AH505=""),"",IF(ROUND(ABS($H505-$I505)*ABS($G505)*$AG505*$AH505,6)=0,"",ROUND(ABS($H505-$I505)*ABS($G505)*$AG505*$AH505,6))))</f>
        <v/>
      </c>
      <c r="W505" s="50" t="str">
        <f>IF($AM505=0,"",IF($BG505="","OK",LEFT($BG505,LEN($BG505)-2)))</f>
        <v/>
      </c>
      <c r="X505" s="41" t="n"/>
      <c r="Y505" s="40" t="n"/>
      <c r="Z505" s="41" t="n"/>
      <c r="AA505" s="41" t="n"/>
      <c r="AB505" s="40" t="n"/>
      <c r="AC505" s="51" t="n"/>
      <c r="AD505" s="51" t="n"/>
      <c r="AE505" s="40" t="n"/>
      <c r="AF505" s="52" t="str">
        <f>IF($AM505=0,"",IF($D505&lt;&gt;"",$D505,IF(IFERROR(INDEX(Accounts!$C$7:$C$16,MATCH($C505,Accounts!$B$7:$B$16,0))&amp;"","")&lt;&gt;"",INDEX(Accounts!$C$7:$C$16,MATCH($C505,Accounts!$B$7:$B$16,0)),Settings!$C$6)))</f>
        <v/>
      </c>
      <c r="AG505" s="53" t="str">
        <f>IF($AM505=0,"",IF(AND($BE505&gt;0,N(INDEX(Instruments!$D$6:$D$205,MAX(1,$BE505)))&gt;0),INDEX(Instruments!$D$6:$D$205,MAX(1,$BE505)),IF(N(INDEX(Settings!$D$14:$D$18,$BF505))&gt;0,INDEX(Settings!$D$14:$D$18,$BF505),"")))</f>
        <v/>
      </c>
      <c r="AH505" s="54" t="str">
        <f>IF($AM505=0,"",IF($AF505&lt;&gt;"Forex",1,IF(MID(UPPER(SUBSTITUTE(TRIM($E505),"/","")),4,3)=UPPER(TRIM(Settings!$C$7)),1,IF(LEFT(UPPER(SUBSTITUTE(TRIM($E505),"/","")),3)=UPPER(TRIM(Settings!$C$7)),IF(AND(ISNUMBER($K505),N($K505)&lt;&gt;0),1/$K505,""),""))))</f>
        <v/>
      </c>
      <c r="AI505" s="55" t="str">
        <f>IF($AM505=0,"",IF(OR(NOT(ISNUMBER($H505)),NOT(ISNUMBER($K505)),NOT(ISNUMBER($G505)),$AG505="",$AH505=""),"",ROUND(($K505-$H505)*IF($F505="Short",-1,1)*$G505*$AG505*$AH505,6)))</f>
        <v/>
      </c>
      <c r="AJ505" s="55" t="str">
        <f>IF($AM505=0,"",IF(INDEX(Settings!$E$14:$E$18,$BF505)="% of notional",IF(OR($AG505="",NOT(ISNUMBER($H505)),NOT(ISNUMBER($G505))),"",ROUND(ABS($H505*$G505*$AG505*N($AH505))*IF($L505="Limit",N(INDEX(Settings!$G$14:$G$18,$BF505)),N(INDEX(Settings!$H$14:$H$18,$BF505)))+IF(ISNUMBER($K505),ABS($K505*$G505*$AG505*N($AH505))*IF($M505="Target",N(INDEX(Settings!$G$14:$G$18,$BF505)),N(INDEX(Settings!$H$14:$H$18,$BF505))),0),6)),IF(NOT(ISNUMBER($G505)),"",ROUND(ABS($G505)*2*IF(AND($BE505&gt;0,ISNUMBER(INDEX(Instruments!$G$6:$G$205,MAX(1,$BE505)))),INDEX(Instruments!$G$6:$G$205,MAX(1,$BE505)),N(INDEX(Settings!$F$14:$F$18,$BF505))),6))))</f>
        <v/>
      </c>
      <c r="AK505" s="55" t="str">
        <f>IF($AM505=0,"",IF(ISNUMBER($O505),$O505,$AI505))</f>
        <v/>
      </c>
      <c r="AL505" s="55" t="str">
        <f>IF($AM505=0,"",IF(ISNUMBER($P505),$P505,N($AJ505)))</f>
        <v/>
      </c>
      <c r="AM505" s="56">
        <f>IF(AND($A505&lt;&gt;"",$E505&lt;&gt;"",OR(AND(ISNUMBER($G505),ISNUMBER($H505),ISNUMBER($K505)),ISNUMBER($O505))),1,0)</f>
        <v>0</v>
      </c>
      <c r="AN505" s="57" t="str">
        <f>IF($A505="","",$A505-WEEKDAY($A505,3))</f>
        <v/>
      </c>
      <c r="AO505" s="56" t="str">
        <f>IF($A505="","",WEEKDAY($A505,2))</f>
        <v/>
      </c>
      <c r="AP505" s="55" t="str">
        <f>IF(OR($AM505=0,$C505=""),"",IFERROR(N(INDEX(Accounts!$E$7:$E$16,MATCH($C505,Accounts!$B$7:$B$16,0))),0)+SUMIFS($Q$6:$Q505,$C$6:$C505,$C505))</f>
        <v/>
      </c>
      <c r="AQ505" s="55" t="str">
        <f>IF(OR($AM505=0,$C505=""),"",SUMIFS($Q$6:$Q$1005,$C$6:$C$1005,$C505,$A$6:$A$1005,$A505))</f>
        <v/>
      </c>
      <c r="AR505" s="55" t="str">
        <f>IF(OR($AM505=0,$C505=""),"",IFERROR(N(INDEX(Accounts!$E$7:$E$16,MATCH($C505,Accounts!$B$7:$B$16,0))),0)+SUMIFS($Q$6:$Q$1005,$C$6:$C$1005,$C505,$A$6:$A$1005,"&lt;="&amp;$A505))</f>
        <v/>
      </c>
      <c r="AS505" s="56">
        <f>IF(OR($AM505=0,$Q505=""),0,IF(AND($A505&gt;=Lists!$W$6,$A505&lt;=Lists!$W$7,OR(Dashboard!$D$6="All accounts",$C505=Dashboard!$D$6),OR(Dashboard!$D$7="All markets",$AF505=Dashboard!$D$7)),1,0))</f>
        <v>0</v>
      </c>
      <c r="AT505" s="55">
        <f>IF($AS505=1,N(AT504)+$Q505,N(AT504))</f>
        <v>1187.10688</v>
      </c>
      <c r="AU505" s="55">
        <f>MAX(N(AU504),$AT505)</f>
        <v>1187.10688</v>
      </c>
      <c r="AV505" s="55">
        <f>$AT505-$AU505</f>
        <v>0</v>
      </c>
      <c r="AW505" s="56">
        <f>IF($AS505=1,IF($S505="Win",N(AW504)+1,IF($S505="Loss",0,N(AW504))),N(AW504))</f>
        <v>5</v>
      </c>
      <c r="AX505" s="56">
        <f>IF($AS505=1,IF($S505="Loss",N(AX504)+1,IF($S505="Win",0,N(AX504))),N(AX504))</f>
        <v>0</v>
      </c>
      <c r="AY505" s="56" t="str">
        <f>IF($AS505=1,COUNTIF($AS$6:$AS505,1),"")</f>
        <v/>
      </c>
      <c r="AZ505" s="56">
        <f>MIN(499,N(Lists!$W$8))</f>
        <v>28</v>
      </c>
      <c r="BA505" s="56">
        <f>IF($AS505=1,IF(COUNTIFS($A$6:$A505,$A505,$AS$6:$AS505,1)=1,1,0),0)</f>
        <v>0</v>
      </c>
      <c r="BB505" s="55" t="str">
        <f>IF($BA505=1,SUMIFS($Q$6:$Q$1005,$A$6:$A$1005,$A505,$AS$6:$AS$1005,1),"")</f>
        <v/>
      </c>
      <c r="BC505" s="56">
        <f>IF(ISNUMBER($R505),1,0)</f>
        <v>0</v>
      </c>
      <c r="BD505" s="55" t="str">
        <f>IF(ISNUMBER($U505),$U505*$V505,"")</f>
        <v/>
      </c>
      <c r="BE505" s="56" t="str">
        <f>IF($AM505=0,"",IFERROR(MATCH($AF505&amp;"|"&amp;UPPER(TRIM($E505)),Lists!$A$6:$A$205,0),0))</f>
        <v/>
      </c>
      <c r="BF505" s="56" t="str">
        <f>IF($AM505=0,"",IFERROR(MATCH($AF505,Settings!$B$14:$B$18,0),IFERROR(MATCH(Settings!$C$6,Settings!$B$14:$B$18,0),1)))</f>
        <v/>
      </c>
      <c r="BG505" s="58" t="str">
        <f>IF($AM505=0,"",IF(NOT(ISNUMBER($I505)),"No stop; ","")&amp;IF(AND(ISNUMBER($H505),ISNUMBER($I505)),IF(OR(AND($F505&lt;&gt;"Short",$I505&gt;=$H505),AND($F505="Short",$I505&lt;=$H505)),"Stop on wrong side; ",""),"")&amp;IF($F505="","No direction; ","")&amp;IF(AND(ISNUMBER(Settings!$C$22),ISNUMBER($V505)),IF($V505&gt;Settings!$C$22,"Risk over max $; ",""),"")&amp;IF(AND(ISNUMBER(Settings!$C$23),ISNUMBER($V505),ISNUMBER($AP505),IFERROR(N(INDEX(Accounts!$E$7:$E$16,MATCH($C505,Accounts!$B$7:$B$16,0))),0)&gt;0),IF($V505&gt;Settings!$C$23*($AP505-N($Q505)),"Risk over max %; ",""),"")&amp;IF(AND(ISNUMBER(Settings!$C$24),ISNUMBER($N505)),IF($N505&gt;Settings!$C$24,"Leverage over max; ",""),"")&amp;IF(AND(ISNUMBER(Settings!$C$27),ISNUMBER($T505)),IF($T505&lt;Settings!$C$27,"R:R below min; ",""),"")&amp;IF(ISNUMBER(Settings!$C$25),IF(COUNTIFS($A$6:$A505,$A505,$AM$6:$AM505,1)&gt;Settings!$C$25,"Over max trades/day; ",""),"")&amp;IF(ISNUMBER(Settings!$C$26),IF(SUMIFS($Q$5:$Q504,$A$5:$A504,$A505)&lt;=-Settings!$C$26,"Traded after daily max loss; ",""),"")&amp;IF(AND($AG505="",NOT(ISNUMBER($O505))),"Symbol not in Instruments; ","")&amp;IF(AND($AH505="",NOT(ISNUMBER($O505))),"Forex cross: type Gross P&amp;L; ",""))</f>
        <v/>
      </c>
      <c r="BH505" s="56">
        <f>IF(ISNUMBER($Q505),1,0)</f>
        <v>0</v>
      </c>
      <c r="BI505" s="56">
        <f>IF($Y505="",0,1)</f>
        <v>0</v>
      </c>
      <c r="BJ505" s="56">
        <f>IF($AB505="",0,1)</f>
        <v>0</v>
      </c>
      <c r="BK505" s="56">
        <f>IF(AND($BH505=1,$W505&lt;&gt;"OK"),1,0)</f>
        <v>0</v>
      </c>
      <c r="BL505" s="55">
        <f>IF(N($AZ505)=0,0,IFERROR(INDEX($AT$6:$AT$1005,MATCH($AZ505,$AY$6:$AY$1005,0)),0))</f>
        <v>1187.10688</v>
      </c>
      <c r="BM505" s="56">
        <f>IF(ISNUMBER(SEARCH("daily max loss",$BG505)),1,0)</f>
        <v>0</v>
      </c>
    </row>
    <row r="506" ht="18" customHeight="1">
      <c r="A506" s="38" t="n"/>
      <c r="B506" s="39" t="n"/>
      <c r="C506" s="40" t="n"/>
      <c r="D506" s="41" t="n"/>
      <c r="E506" s="41" t="n"/>
      <c r="F506" s="41" t="n"/>
      <c r="G506" s="41" t="n"/>
      <c r="H506" s="42" t="n"/>
      <c r="I506" s="42" t="n"/>
      <c r="J506" s="42" t="n"/>
      <c r="K506" s="42" t="n"/>
      <c r="L506" s="41" t="n"/>
      <c r="M506" s="41" t="n"/>
      <c r="N506" s="41" t="n"/>
      <c r="O506" s="43" t="n"/>
      <c r="P506" s="43" t="n"/>
      <c r="Q506" s="44" t="str">
        <f>IF($AM506=0,"",IF(ISNUMBER($AK506),$AK506-N($AL506),""))</f>
        <v/>
      </c>
      <c r="R506" s="45" t="str">
        <f>IF(OR($Q506="",NOT(ISNUMBER($V506))),"",$AK506/$V506)</f>
        <v/>
      </c>
      <c r="S506" s="46" t="str">
        <f>IF($Q506="","",IF(AND(ISNUMBER($R506),ABS(N($R506))&lt;N(Settings!$C$8)),"Scratch",IF($Q506&gt;0,"Win",IF($Q506&lt;0,"Loss","Scratch"))))</f>
        <v/>
      </c>
      <c r="T506" s="47" t="str">
        <f>IF(OR($AM506=0,NOT(ISNUMBER($H506)),NOT(ISNUMBER($I506)),NOT(ISNUMBER($J506))),"",IF($H506=$I506,"",ROUND(ABS($J506-$H506)/ABS($H506-$I506),6)))</f>
        <v/>
      </c>
      <c r="U506" s="48" t="str">
        <f>IF(OR($S506&lt;&gt;"Win",NOT(ISNUMBER($T506)),NOT(ISNUMBER($R506))),"",MAX(0,$T506-$R506))</f>
        <v/>
      </c>
      <c r="V506" s="49" t="str">
        <f>IF(OR($AM506=0,NOT(ISNUMBER($H506)),NOT(ISNUMBER($I506)),NOT(ISNUMBER($G506))),"",IF(OR($AG506="",$AH506=""),"",IF(ROUND(ABS($H506-$I506)*ABS($G506)*$AG506*$AH506,6)=0,"",ROUND(ABS($H506-$I506)*ABS($G506)*$AG506*$AH506,6))))</f>
        <v/>
      </c>
      <c r="W506" s="50" t="str">
        <f>IF($AM506=0,"",IF($BG506="","OK",LEFT($BG506,LEN($BG506)-2)))</f>
        <v/>
      </c>
      <c r="X506" s="41" t="n"/>
      <c r="Y506" s="40" t="n"/>
      <c r="Z506" s="41" t="n"/>
      <c r="AA506" s="41" t="n"/>
      <c r="AB506" s="40" t="n"/>
      <c r="AC506" s="51" t="n"/>
      <c r="AD506" s="51" t="n"/>
      <c r="AE506" s="40" t="n"/>
      <c r="AF506" s="52" t="str">
        <f>IF($AM506=0,"",IF($D506&lt;&gt;"",$D506,IF(IFERROR(INDEX(Accounts!$C$7:$C$16,MATCH($C506,Accounts!$B$7:$B$16,0))&amp;"","")&lt;&gt;"",INDEX(Accounts!$C$7:$C$16,MATCH($C506,Accounts!$B$7:$B$16,0)),Settings!$C$6)))</f>
        <v/>
      </c>
      <c r="AG506" s="53" t="str">
        <f>IF($AM506=0,"",IF(AND($BE506&gt;0,N(INDEX(Instruments!$D$6:$D$205,MAX(1,$BE506)))&gt;0),INDEX(Instruments!$D$6:$D$205,MAX(1,$BE506)),IF(N(INDEX(Settings!$D$14:$D$18,$BF506))&gt;0,INDEX(Settings!$D$14:$D$18,$BF506),"")))</f>
        <v/>
      </c>
      <c r="AH506" s="54" t="str">
        <f>IF($AM506=0,"",IF($AF506&lt;&gt;"Forex",1,IF(MID(UPPER(SUBSTITUTE(TRIM($E506),"/","")),4,3)=UPPER(TRIM(Settings!$C$7)),1,IF(LEFT(UPPER(SUBSTITUTE(TRIM($E506),"/","")),3)=UPPER(TRIM(Settings!$C$7)),IF(AND(ISNUMBER($K506),N($K506)&lt;&gt;0),1/$K506,""),""))))</f>
        <v/>
      </c>
      <c r="AI506" s="55" t="str">
        <f>IF($AM506=0,"",IF(OR(NOT(ISNUMBER($H506)),NOT(ISNUMBER($K506)),NOT(ISNUMBER($G506)),$AG506="",$AH506=""),"",ROUND(($K506-$H506)*IF($F506="Short",-1,1)*$G506*$AG506*$AH506,6)))</f>
        <v/>
      </c>
      <c r="AJ506" s="55" t="str">
        <f>IF($AM506=0,"",IF(INDEX(Settings!$E$14:$E$18,$BF506)="% of notional",IF(OR($AG506="",NOT(ISNUMBER($H506)),NOT(ISNUMBER($G506))),"",ROUND(ABS($H506*$G506*$AG506*N($AH506))*IF($L506="Limit",N(INDEX(Settings!$G$14:$G$18,$BF506)),N(INDEX(Settings!$H$14:$H$18,$BF506)))+IF(ISNUMBER($K506),ABS($K506*$G506*$AG506*N($AH506))*IF($M506="Target",N(INDEX(Settings!$G$14:$G$18,$BF506)),N(INDEX(Settings!$H$14:$H$18,$BF506))),0),6)),IF(NOT(ISNUMBER($G506)),"",ROUND(ABS($G506)*2*IF(AND($BE506&gt;0,ISNUMBER(INDEX(Instruments!$G$6:$G$205,MAX(1,$BE506)))),INDEX(Instruments!$G$6:$G$205,MAX(1,$BE506)),N(INDEX(Settings!$F$14:$F$18,$BF506))),6))))</f>
        <v/>
      </c>
      <c r="AK506" s="55" t="str">
        <f>IF($AM506=0,"",IF(ISNUMBER($O506),$O506,$AI506))</f>
        <v/>
      </c>
      <c r="AL506" s="55" t="str">
        <f>IF($AM506=0,"",IF(ISNUMBER($P506),$P506,N($AJ506)))</f>
        <v/>
      </c>
      <c r="AM506" s="56">
        <f>IF(AND($A506&lt;&gt;"",$E506&lt;&gt;"",OR(AND(ISNUMBER($G506),ISNUMBER($H506),ISNUMBER($K506)),ISNUMBER($O506))),1,0)</f>
        <v>0</v>
      </c>
      <c r="AN506" s="57" t="str">
        <f>IF($A506="","",$A506-WEEKDAY($A506,3))</f>
        <v/>
      </c>
      <c r="AO506" s="56" t="str">
        <f>IF($A506="","",WEEKDAY($A506,2))</f>
        <v/>
      </c>
      <c r="AP506" s="55" t="str">
        <f>IF(OR($AM506=0,$C506=""),"",IFERROR(N(INDEX(Accounts!$E$7:$E$16,MATCH($C506,Accounts!$B$7:$B$16,0))),0)+SUMIFS($Q$6:$Q506,$C$6:$C506,$C506))</f>
        <v/>
      </c>
      <c r="AQ506" s="55" t="str">
        <f>IF(OR($AM506=0,$C506=""),"",SUMIFS($Q$6:$Q$1005,$C$6:$C$1005,$C506,$A$6:$A$1005,$A506))</f>
        <v/>
      </c>
      <c r="AR506" s="55" t="str">
        <f>IF(OR($AM506=0,$C506=""),"",IFERROR(N(INDEX(Accounts!$E$7:$E$16,MATCH($C506,Accounts!$B$7:$B$16,0))),0)+SUMIFS($Q$6:$Q$1005,$C$6:$C$1005,$C506,$A$6:$A$1005,"&lt;="&amp;$A506))</f>
        <v/>
      </c>
      <c r="AS506" s="56">
        <f>IF(OR($AM506=0,$Q506=""),0,IF(AND($A506&gt;=Lists!$W$6,$A506&lt;=Lists!$W$7,OR(Dashboard!$D$6="All accounts",$C506=Dashboard!$D$6),OR(Dashboard!$D$7="All markets",$AF506=Dashboard!$D$7)),1,0))</f>
        <v>0</v>
      </c>
      <c r="AT506" s="55">
        <f>IF($AS506=1,N(AT505)+$Q506,N(AT505))</f>
        <v>1187.10688</v>
      </c>
      <c r="AU506" s="55">
        <f>MAX(N(AU505),$AT506)</f>
        <v>1187.10688</v>
      </c>
      <c r="AV506" s="55">
        <f>$AT506-$AU506</f>
        <v>0</v>
      </c>
      <c r="AW506" s="56">
        <f>IF($AS506=1,IF($S506="Win",N(AW505)+1,IF($S506="Loss",0,N(AW505))),N(AW505))</f>
        <v>5</v>
      </c>
      <c r="AX506" s="56">
        <f>IF($AS506=1,IF($S506="Loss",N(AX505)+1,IF($S506="Win",0,N(AX505))),N(AX505))</f>
        <v>0</v>
      </c>
      <c r="AY506" s="56" t="str">
        <f>IF($AS506=1,COUNTIF($AS$6:$AS506,1),"")</f>
        <v/>
      </c>
      <c r="AZ506" s="56">
        <f>MIN(500,N(Lists!$W$8))</f>
        <v>28</v>
      </c>
      <c r="BA506" s="56">
        <f>IF($AS506=1,IF(COUNTIFS($A$6:$A506,$A506,$AS$6:$AS506,1)=1,1,0),0)</f>
        <v>0</v>
      </c>
      <c r="BB506" s="55" t="str">
        <f>IF($BA506=1,SUMIFS($Q$6:$Q$1005,$A$6:$A$1005,$A506,$AS$6:$AS$1005,1),"")</f>
        <v/>
      </c>
      <c r="BC506" s="56">
        <f>IF(ISNUMBER($R506),1,0)</f>
        <v>0</v>
      </c>
      <c r="BD506" s="55" t="str">
        <f>IF(ISNUMBER($U506),$U506*$V506,"")</f>
        <v/>
      </c>
      <c r="BE506" s="56" t="str">
        <f>IF($AM506=0,"",IFERROR(MATCH($AF506&amp;"|"&amp;UPPER(TRIM($E506)),Lists!$A$6:$A$205,0),0))</f>
        <v/>
      </c>
      <c r="BF506" s="56" t="str">
        <f>IF($AM506=0,"",IFERROR(MATCH($AF506,Settings!$B$14:$B$18,0),IFERROR(MATCH(Settings!$C$6,Settings!$B$14:$B$18,0),1)))</f>
        <v/>
      </c>
      <c r="BG506" s="58" t="str">
        <f>IF($AM506=0,"",IF(NOT(ISNUMBER($I506)),"No stop; ","")&amp;IF(AND(ISNUMBER($H506),ISNUMBER($I506)),IF(OR(AND($F506&lt;&gt;"Short",$I506&gt;=$H506),AND($F506="Short",$I506&lt;=$H506)),"Stop on wrong side; ",""),"")&amp;IF($F506="","No direction; ","")&amp;IF(AND(ISNUMBER(Settings!$C$22),ISNUMBER($V506)),IF($V506&gt;Settings!$C$22,"Risk over max $; ",""),"")&amp;IF(AND(ISNUMBER(Settings!$C$23),ISNUMBER($V506),ISNUMBER($AP506),IFERROR(N(INDEX(Accounts!$E$7:$E$16,MATCH($C506,Accounts!$B$7:$B$16,0))),0)&gt;0),IF($V506&gt;Settings!$C$23*($AP506-N($Q506)),"Risk over max %; ",""),"")&amp;IF(AND(ISNUMBER(Settings!$C$24),ISNUMBER($N506)),IF($N506&gt;Settings!$C$24,"Leverage over max; ",""),"")&amp;IF(AND(ISNUMBER(Settings!$C$27),ISNUMBER($T506)),IF($T506&lt;Settings!$C$27,"R:R below min; ",""),"")&amp;IF(ISNUMBER(Settings!$C$25),IF(COUNTIFS($A$6:$A506,$A506,$AM$6:$AM506,1)&gt;Settings!$C$25,"Over max trades/day; ",""),"")&amp;IF(ISNUMBER(Settings!$C$26),IF(SUMIFS($Q$5:$Q505,$A$5:$A505,$A506)&lt;=-Settings!$C$26,"Traded after daily max loss; ",""),"")&amp;IF(AND($AG506="",NOT(ISNUMBER($O506))),"Symbol not in Instruments; ","")&amp;IF(AND($AH506="",NOT(ISNUMBER($O506))),"Forex cross: type Gross P&amp;L; ",""))</f>
        <v/>
      </c>
      <c r="BH506" s="56">
        <f>IF(ISNUMBER($Q506),1,0)</f>
        <v>0</v>
      </c>
      <c r="BI506" s="56">
        <f>IF($Y506="",0,1)</f>
        <v>0</v>
      </c>
      <c r="BJ506" s="56">
        <f>IF($AB506="",0,1)</f>
        <v>0</v>
      </c>
      <c r="BK506" s="56">
        <f>IF(AND($BH506=1,$W506&lt;&gt;"OK"),1,0)</f>
        <v>0</v>
      </c>
      <c r="BL506" s="55">
        <f>IF(N($AZ506)=0,0,IFERROR(INDEX($AT$6:$AT$1005,MATCH($AZ506,$AY$6:$AY$1005,0)),0))</f>
        <v>1187.10688</v>
      </c>
      <c r="BM506" s="56">
        <f>IF(ISNUMBER(SEARCH("daily max loss",$BG506)),1,0)</f>
        <v>0</v>
      </c>
    </row>
    <row r="507" ht="18" customHeight="1">
      <c r="A507" s="38" t="n"/>
      <c r="B507" s="39" t="n"/>
      <c r="C507" s="40" t="n"/>
      <c r="D507" s="41" t="n"/>
      <c r="E507" s="41" t="n"/>
      <c r="F507" s="41" t="n"/>
      <c r="G507" s="41" t="n"/>
      <c r="H507" s="42" t="n"/>
      <c r="I507" s="42" t="n"/>
      <c r="J507" s="42" t="n"/>
      <c r="K507" s="42" t="n"/>
      <c r="L507" s="41" t="n"/>
      <c r="M507" s="41" t="n"/>
      <c r="N507" s="41" t="n"/>
      <c r="O507" s="43" t="n"/>
      <c r="P507" s="43" t="n"/>
      <c r="Q507" s="44" t="str">
        <f>IF($AM507=0,"",IF(ISNUMBER($AK507),$AK507-N($AL507),""))</f>
        <v/>
      </c>
      <c r="R507" s="45" t="str">
        <f>IF(OR($Q507="",NOT(ISNUMBER($V507))),"",$AK507/$V507)</f>
        <v/>
      </c>
      <c r="S507" s="46" t="str">
        <f>IF($Q507="","",IF(AND(ISNUMBER($R507),ABS(N($R507))&lt;N(Settings!$C$8)),"Scratch",IF($Q507&gt;0,"Win",IF($Q507&lt;0,"Loss","Scratch"))))</f>
        <v/>
      </c>
      <c r="T507" s="47" t="str">
        <f>IF(OR($AM507=0,NOT(ISNUMBER($H507)),NOT(ISNUMBER($I507)),NOT(ISNUMBER($J507))),"",IF($H507=$I507,"",ROUND(ABS($J507-$H507)/ABS($H507-$I507),6)))</f>
        <v/>
      </c>
      <c r="U507" s="48" t="str">
        <f>IF(OR($S507&lt;&gt;"Win",NOT(ISNUMBER($T507)),NOT(ISNUMBER($R507))),"",MAX(0,$T507-$R507))</f>
        <v/>
      </c>
      <c r="V507" s="49" t="str">
        <f>IF(OR($AM507=0,NOT(ISNUMBER($H507)),NOT(ISNUMBER($I507)),NOT(ISNUMBER($G507))),"",IF(OR($AG507="",$AH507=""),"",IF(ROUND(ABS($H507-$I507)*ABS($G507)*$AG507*$AH507,6)=0,"",ROUND(ABS($H507-$I507)*ABS($G507)*$AG507*$AH507,6))))</f>
        <v/>
      </c>
      <c r="W507" s="50" t="str">
        <f>IF($AM507=0,"",IF($BG507="","OK",LEFT($BG507,LEN($BG507)-2)))</f>
        <v/>
      </c>
      <c r="X507" s="41" t="n"/>
      <c r="Y507" s="40" t="n"/>
      <c r="Z507" s="41" t="n"/>
      <c r="AA507" s="41" t="n"/>
      <c r="AB507" s="40" t="n"/>
      <c r="AC507" s="51" t="n"/>
      <c r="AD507" s="51" t="n"/>
      <c r="AE507" s="40" t="n"/>
      <c r="AF507" s="52" t="str">
        <f>IF($AM507=0,"",IF($D507&lt;&gt;"",$D507,IF(IFERROR(INDEX(Accounts!$C$7:$C$16,MATCH($C507,Accounts!$B$7:$B$16,0))&amp;"","")&lt;&gt;"",INDEX(Accounts!$C$7:$C$16,MATCH($C507,Accounts!$B$7:$B$16,0)),Settings!$C$6)))</f>
        <v/>
      </c>
      <c r="AG507" s="53" t="str">
        <f>IF($AM507=0,"",IF(AND($BE507&gt;0,N(INDEX(Instruments!$D$6:$D$205,MAX(1,$BE507)))&gt;0),INDEX(Instruments!$D$6:$D$205,MAX(1,$BE507)),IF(N(INDEX(Settings!$D$14:$D$18,$BF507))&gt;0,INDEX(Settings!$D$14:$D$18,$BF507),"")))</f>
        <v/>
      </c>
      <c r="AH507" s="54" t="str">
        <f>IF($AM507=0,"",IF($AF507&lt;&gt;"Forex",1,IF(MID(UPPER(SUBSTITUTE(TRIM($E507),"/","")),4,3)=UPPER(TRIM(Settings!$C$7)),1,IF(LEFT(UPPER(SUBSTITUTE(TRIM($E507),"/","")),3)=UPPER(TRIM(Settings!$C$7)),IF(AND(ISNUMBER($K507),N($K507)&lt;&gt;0),1/$K507,""),""))))</f>
        <v/>
      </c>
      <c r="AI507" s="55" t="str">
        <f>IF($AM507=0,"",IF(OR(NOT(ISNUMBER($H507)),NOT(ISNUMBER($K507)),NOT(ISNUMBER($G507)),$AG507="",$AH507=""),"",ROUND(($K507-$H507)*IF($F507="Short",-1,1)*$G507*$AG507*$AH507,6)))</f>
        <v/>
      </c>
      <c r="AJ507" s="55" t="str">
        <f>IF($AM507=0,"",IF(INDEX(Settings!$E$14:$E$18,$BF507)="% of notional",IF(OR($AG507="",NOT(ISNUMBER($H507)),NOT(ISNUMBER($G507))),"",ROUND(ABS($H507*$G507*$AG507*N($AH507))*IF($L507="Limit",N(INDEX(Settings!$G$14:$G$18,$BF507)),N(INDEX(Settings!$H$14:$H$18,$BF507)))+IF(ISNUMBER($K507),ABS($K507*$G507*$AG507*N($AH507))*IF($M507="Target",N(INDEX(Settings!$G$14:$G$18,$BF507)),N(INDEX(Settings!$H$14:$H$18,$BF507))),0),6)),IF(NOT(ISNUMBER($G507)),"",ROUND(ABS($G507)*2*IF(AND($BE507&gt;0,ISNUMBER(INDEX(Instruments!$G$6:$G$205,MAX(1,$BE507)))),INDEX(Instruments!$G$6:$G$205,MAX(1,$BE507)),N(INDEX(Settings!$F$14:$F$18,$BF507))),6))))</f>
        <v/>
      </c>
      <c r="AK507" s="55" t="str">
        <f>IF($AM507=0,"",IF(ISNUMBER($O507),$O507,$AI507))</f>
        <v/>
      </c>
      <c r="AL507" s="55" t="str">
        <f>IF($AM507=0,"",IF(ISNUMBER($P507),$P507,N($AJ507)))</f>
        <v/>
      </c>
      <c r="AM507" s="56">
        <f>IF(AND($A507&lt;&gt;"",$E507&lt;&gt;"",OR(AND(ISNUMBER($G507),ISNUMBER($H507),ISNUMBER($K507)),ISNUMBER($O507))),1,0)</f>
        <v>0</v>
      </c>
      <c r="AN507" s="57" t="str">
        <f>IF($A507="","",$A507-WEEKDAY($A507,3))</f>
        <v/>
      </c>
      <c r="AO507" s="56" t="str">
        <f>IF($A507="","",WEEKDAY($A507,2))</f>
        <v/>
      </c>
      <c r="AP507" s="55" t="str">
        <f>IF(OR($AM507=0,$C507=""),"",IFERROR(N(INDEX(Accounts!$E$7:$E$16,MATCH($C507,Accounts!$B$7:$B$16,0))),0)+SUMIFS($Q$6:$Q507,$C$6:$C507,$C507))</f>
        <v/>
      </c>
      <c r="AQ507" s="55" t="str">
        <f>IF(OR($AM507=0,$C507=""),"",SUMIFS($Q$6:$Q$1005,$C$6:$C$1005,$C507,$A$6:$A$1005,$A507))</f>
        <v/>
      </c>
      <c r="AR507" s="55" t="str">
        <f>IF(OR($AM507=0,$C507=""),"",IFERROR(N(INDEX(Accounts!$E$7:$E$16,MATCH($C507,Accounts!$B$7:$B$16,0))),0)+SUMIFS($Q$6:$Q$1005,$C$6:$C$1005,$C507,$A$6:$A$1005,"&lt;="&amp;$A507))</f>
        <v/>
      </c>
      <c r="AS507" s="56">
        <f>IF(OR($AM507=0,$Q507=""),0,IF(AND($A507&gt;=Lists!$W$6,$A507&lt;=Lists!$W$7,OR(Dashboard!$D$6="All accounts",$C507=Dashboard!$D$6),OR(Dashboard!$D$7="All markets",$AF507=Dashboard!$D$7)),1,0))</f>
        <v>0</v>
      </c>
      <c r="AT507" s="55">
        <f>IF($AS507=1,N(AT506)+$Q507,N(AT506))</f>
        <v>1187.10688</v>
      </c>
      <c r="AU507" s="55">
        <f>MAX(N(AU506),$AT507)</f>
        <v>1187.10688</v>
      </c>
      <c r="AV507" s="55">
        <f>$AT507-$AU507</f>
        <v>0</v>
      </c>
      <c r="AW507" s="56">
        <f>IF($AS507=1,IF($S507="Win",N(AW506)+1,IF($S507="Loss",0,N(AW506))),N(AW506))</f>
        <v>5</v>
      </c>
      <c r="AX507" s="56">
        <f>IF($AS507=1,IF($S507="Loss",N(AX506)+1,IF($S507="Win",0,N(AX506))),N(AX506))</f>
        <v>0</v>
      </c>
      <c r="AY507" s="56" t="str">
        <f>IF($AS507=1,COUNTIF($AS$6:$AS507,1),"")</f>
        <v/>
      </c>
      <c r="AZ507" s="56">
        <f>MIN(501,N(Lists!$W$8))</f>
        <v>28</v>
      </c>
      <c r="BA507" s="56">
        <f>IF($AS507=1,IF(COUNTIFS($A$6:$A507,$A507,$AS$6:$AS507,1)=1,1,0),0)</f>
        <v>0</v>
      </c>
      <c r="BB507" s="55" t="str">
        <f>IF($BA507=1,SUMIFS($Q$6:$Q$1005,$A$6:$A$1005,$A507,$AS$6:$AS$1005,1),"")</f>
        <v/>
      </c>
      <c r="BC507" s="56">
        <f>IF(ISNUMBER($R507),1,0)</f>
        <v>0</v>
      </c>
      <c r="BD507" s="55" t="str">
        <f>IF(ISNUMBER($U507),$U507*$V507,"")</f>
        <v/>
      </c>
      <c r="BE507" s="56" t="str">
        <f>IF($AM507=0,"",IFERROR(MATCH($AF507&amp;"|"&amp;UPPER(TRIM($E507)),Lists!$A$6:$A$205,0),0))</f>
        <v/>
      </c>
      <c r="BF507" s="56" t="str">
        <f>IF($AM507=0,"",IFERROR(MATCH($AF507,Settings!$B$14:$B$18,0),IFERROR(MATCH(Settings!$C$6,Settings!$B$14:$B$18,0),1)))</f>
        <v/>
      </c>
      <c r="BG507" s="58" t="str">
        <f>IF($AM507=0,"",IF(NOT(ISNUMBER($I507)),"No stop; ","")&amp;IF(AND(ISNUMBER($H507),ISNUMBER($I507)),IF(OR(AND($F507&lt;&gt;"Short",$I507&gt;=$H507),AND($F507="Short",$I507&lt;=$H507)),"Stop on wrong side; ",""),"")&amp;IF($F507="","No direction; ","")&amp;IF(AND(ISNUMBER(Settings!$C$22),ISNUMBER($V507)),IF($V507&gt;Settings!$C$22,"Risk over max $; ",""),"")&amp;IF(AND(ISNUMBER(Settings!$C$23),ISNUMBER($V507),ISNUMBER($AP507),IFERROR(N(INDEX(Accounts!$E$7:$E$16,MATCH($C507,Accounts!$B$7:$B$16,0))),0)&gt;0),IF($V507&gt;Settings!$C$23*($AP507-N($Q507)),"Risk over max %; ",""),"")&amp;IF(AND(ISNUMBER(Settings!$C$24),ISNUMBER($N507)),IF($N507&gt;Settings!$C$24,"Leverage over max; ",""),"")&amp;IF(AND(ISNUMBER(Settings!$C$27),ISNUMBER($T507)),IF($T507&lt;Settings!$C$27,"R:R below min; ",""),"")&amp;IF(ISNUMBER(Settings!$C$25),IF(COUNTIFS($A$6:$A507,$A507,$AM$6:$AM507,1)&gt;Settings!$C$25,"Over max trades/day; ",""),"")&amp;IF(ISNUMBER(Settings!$C$26),IF(SUMIFS($Q$5:$Q506,$A$5:$A506,$A507)&lt;=-Settings!$C$26,"Traded after daily max loss; ",""),"")&amp;IF(AND($AG507="",NOT(ISNUMBER($O507))),"Symbol not in Instruments; ","")&amp;IF(AND($AH507="",NOT(ISNUMBER($O507))),"Forex cross: type Gross P&amp;L; ",""))</f>
        <v/>
      </c>
      <c r="BH507" s="56">
        <f>IF(ISNUMBER($Q507),1,0)</f>
        <v>0</v>
      </c>
      <c r="BI507" s="56">
        <f>IF($Y507="",0,1)</f>
        <v>0</v>
      </c>
      <c r="BJ507" s="56">
        <f>IF($AB507="",0,1)</f>
        <v>0</v>
      </c>
      <c r="BK507" s="56">
        <f>IF(AND($BH507=1,$W507&lt;&gt;"OK"),1,0)</f>
        <v>0</v>
      </c>
      <c r="BL507" s="55">
        <f>IF(N($AZ507)=0,0,IFERROR(INDEX($AT$6:$AT$1005,MATCH($AZ507,$AY$6:$AY$1005,0)),0))</f>
        <v>1187.10688</v>
      </c>
      <c r="BM507" s="56">
        <f>IF(ISNUMBER(SEARCH("daily max loss",$BG507)),1,0)</f>
        <v>0</v>
      </c>
    </row>
    <row r="508" ht="18" customHeight="1">
      <c r="A508" s="38" t="n"/>
      <c r="B508" s="39" t="n"/>
      <c r="C508" s="40" t="n"/>
      <c r="D508" s="41" t="n"/>
      <c r="E508" s="41" t="n"/>
      <c r="F508" s="41" t="n"/>
      <c r="G508" s="41" t="n"/>
      <c r="H508" s="42" t="n"/>
      <c r="I508" s="42" t="n"/>
      <c r="J508" s="42" t="n"/>
      <c r="K508" s="42" t="n"/>
      <c r="L508" s="41" t="n"/>
      <c r="M508" s="41" t="n"/>
      <c r="N508" s="41" t="n"/>
      <c r="O508" s="43" t="n"/>
      <c r="P508" s="43" t="n"/>
      <c r="Q508" s="44" t="str">
        <f>IF($AM508=0,"",IF(ISNUMBER($AK508),$AK508-N($AL508),""))</f>
        <v/>
      </c>
      <c r="R508" s="45" t="str">
        <f>IF(OR($Q508="",NOT(ISNUMBER($V508))),"",$AK508/$V508)</f>
        <v/>
      </c>
      <c r="S508" s="46" t="str">
        <f>IF($Q508="","",IF(AND(ISNUMBER($R508),ABS(N($R508))&lt;N(Settings!$C$8)),"Scratch",IF($Q508&gt;0,"Win",IF($Q508&lt;0,"Loss","Scratch"))))</f>
        <v/>
      </c>
      <c r="T508" s="47" t="str">
        <f>IF(OR($AM508=0,NOT(ISNUMBER($H508)),NOT(ISNUMBER($I508)),NOT(ISNUMBER($J508))),"",IF($H508=$I508,"",ROUND(ABS($J508-$H508)/ABS($H508-$I508),6)))</f>
        <v/>
      </c>
      <c r="U508" s="48" t="str">
        <f>IF(OR($S508&lt;&gt;"Win",NOT(ISNUMBER($T508)),NOT(ISNUMBER($R508))),"",MAX(0,$T508-$R508))</f>
        <v/>
      </c>
      <c r="V508" s="49" t="str">
        <f>IF(OR($AM508=0,NOT(ISNUMBER($H508)),NOT(ISNUMBER($I508)),NOT(ISNUMBER($G508))),"",IF(OR($AG508="",$AH508=""),"",IF(ROUND(ABS($H508-$I508)*ABS($G508)*$AG508*$AH508,6)=0,"",ROUND(ABS($H508-$I508)*ABS($G508)*$AG508*$AH508,6))))</f>
        <v/>
      </c>
      <c r="W508" s="50" t="str">
        <f>IF($AM508=0,"",IF($BG508="","OK",LEFT($BG508,LEN($BG508)-2)))</f>
        <v/>
      </c>
      <c r="X508" s="41" t="n"/>
      <c r="Y508" s="40" t="n"/>
      <c r="Z508" s="41" t="n"/>
      <c r="AA508" s="41" t="n"/>
      <c r="AB508" s="40" t="n"/>
      <c r="AC508" s="51" t="n"/>
      <c r="AD508" s="51" t="n"/>
      <c r="AE508" s="40" t="n"/>
      <c r="AF508" s="52" t="str">
        <f>IF($AM508=0,"",IF($D508&lt;&gt;"",$D508,IF(IFERROR(INDEX(Accounts!$C$7:$C$16,MATCH($C508,Accounts!$B$7:$B$16,0))&amp;"","")&lt;&gt;"",INDEX(Accounts!$C$7:$C$16,MATCH($C508,Accounts!$B$7:$B$16,0)),Settings!$C$6)))</f>
        <v/>
      </c>
      <c r="AG508" s="53" t="str">
        <f>IF($AM508=0,"",IF(AND($BE508&gt;0,N(INDEX(Instruments!$D$6:$D$205,MAX(1,$BE508)))&gt;0),INDEX(Instruments!$D$6:$D$205,MAX(1,$BE508)),IF(N(INDEX(Settings!$D$14:$D$18,$BF508))&gt;0,INDEX(Settings!$D$14:$D$18,$BF508),"")))</f>
        <v/>
      </c>
      <c r="AH508" s="54" t="str">
        <f>IF($AM508=0,"",IF($AF508&lt;&gt;"Forex",1,IF(MID(UPPER(SUBSTITUTE(TRIM($E508),"/","")),4,3)=UPPER(TRIM(Settings!$C$7)),1,IF(LEFT(UPPER(SUBSTITUTE(TRIM($E508),"/","")),3)=UPPER(TRIM(Settings!$C$7)),IF(AND(ISNUMBER($K508),N($K508)&lt;&gt;0),1/$K508,""),""))))</f>
        <v/>
      </c>
      <c r="AI508" s="55" t="str">
        <f>IF($AM508=0,"",IF(OR(NOT(ISNUMBER($H508)),NOT(ISNUMBER($K508)),NOT(ISNUMBER($G508)),$AG508="",$AH508=""),"",ROUND(($K508-$H508)*IF($F508="Short",-1,1)*$G508*$AG508*$AH508,6)))</f>
        <v/>
      </c>
      <c r="AJ508" s="55" t="str">
        <f>IF($AM508=0,"",IF(INDEX(Settings!$E$14:$E$18,$BF508)="% of notional",IF(OR($AG508="",NOT(ISNUMBER($H508)),NOT(ISNUMBER($G508))),"",ROUND(ABS($H508*$G508*$AG508*N($AH508))*IF($L508="Limit",N(INDEX(Settings!$G$14:$G$18,$BF508)),N(INDEX(Settings!$H$14:$H$18,$BF508)))+IF(ISNUMBER($K508),ABS($K508*$G508*$AG508*N($AH508))*IF($M508="Target",N(INDEX(Settings!$G$14:$G$18,$BF508)),N(INDEX(Settings!$H$14:$H$18,$BF508))),0),6)),IF(NOT(ISNUMBER($G508)),"",ROUND(ABS($G508)*2*IF(AND($BE508&gt;0,ISNUMBER(INDEX(Instruments!$G$6:$G$205,MAX(1,$BE508)))),INDEX(Instruments!$G$6:$G$205,MAX(1,$BE508)),N(INDEX(Settings!$F$14:$F$18,$BF508))),6))))</f>
        <v/>
      </c>
      <c r="AK508" s="55" t="str">
        <f>IF($AM508=0,"",IF(ISNUMBER($O508),$O508,$AI508))</f>
        <v/>
      </c>
      <c r="AL508" s="55" t="str">
        <f>IF($AM508=0,"",IF(ISNUMBER($P508),$P508,N($AJ508)))</f>
        <v/>
      </c>
      <c r="AM508" s="56">
        <f>IF(AND($A508&lt;&gt;"",$E508&lt;&gt;"",OR(AND(ISNUMBER($G508),ISNUMBER($H508),ISNUMBER($K508)),ISNUMBER($O508))),1,0)</f>
        <v>0</v>
      </c>
      <c r="AN508" s="57" t="str">
        <f>IF($A508="","",$A508-WEEKDAY($A508,3))</f>
        <v/>
      </c>
      <c r="AO508" s="56" t="str">
        <f>IF($A508="","",WEEKDAY($A508,2))</f>
        <v/>
      </c>
      <c r="AP508" s="55" t="str">
        <f>IF(OR($AM508=0,$C508=""),"",IFERROR(N(INDEX(Accounts!$E$7:$E$16,MATCH($C508,Accounts!$B$7:$B$16,0))),0)+SUMIFS($Q$6:$Q508,$C$6:$C508,$C508))</f>
        <v/>
      </c>
      <c r="AQ508" s="55" t="str">
        <f>IF(OR($AM508=0,$C508=""),"",SUMIFS($Q$6:$Q$1005,$C$6:$C$1005,$C508,$A$6:$A$1005,$A508))</f>
        <v/>
      </c>
      <c r="AR508" s="55" t="str">
        <f>IF(OR($AM508=0,$C508=""),"",IFERROR(N(INDEX(Accounts!$E$7:$E$16,MATCH($C508,Accounts!$B$7:$B$16,0))),0)+SUMIFS($Q$6:$Q$1005,$C$6:$C$1005,$C508,$A$6:$A$1005,"&lt;="&amp;$A508))</f>
        <v/>
      </c>
      <c r="AS508" s="56">
        <f>IF(OR($AM508=0,$Q508=""),0,IF(AND($A508&gt;=Lists!$W$6,$A508&lt;=Lists!$W$7,OR(Dashboard!$D$6="All accounts",$C508=Dashboard!$D$6),OR(Dashboard!$D$7="All markets",$AF508=Dashboard!$D$7)),1,0))</f>
        <v>0</v>
      </c>
      <c r="AT508" s="55">
        <f>IF($AS508=1,N(AT507)+$Q508,N(AT507))</f>
        <v>1187.10688</v>
      </c>
      <c r="AU508" s="55">
        <f>MAX(N(AU507),$AT508)</f>
        <v>1187.10688</v>
      </c>
      <c r="AV508" s="55">
        <f>$AT508-$AU508</f>
        <v>0</v>
      </c>
      <c r="AW508" s="56">
        <f>IF($AS508=1,IF($S508="Win",N(AW507)+1,IF($S508="Loss",0,N(AW507))),N(AW507))</f>
        <v>5</v>
      </c>
      <c r="AX508" s="56">
        <f>IF($AS508=1,IF($S508="Loss",N(AX507)+1,IF($S508="Win",0,N(AX507))),N(AX507))</f>
        <v>0</v>
      </c>
      <c r="AY508" s="56" t="str">
        <f>IF($AS508=1,COUNTIF($AS$6:$AS508,1),"")</f>
        <v/>
      </c>
      <c r="AZ508" s="56">
        <f>MIN(502,N(Lists!$W$8))</f>
        <v>28</v>
      </c>
      <c r="BA508" s="56">
        <f>IF($AS508=1,IF(COUNTIFS($A$6:$A508,$A508,$AS$6:$AS508,1)=1,1,0),0)</f>
        <v>0</v>
      </c>
      <c r="BB508" s="55" t="str">
        <f>IF($BA508=1,SUMIFS($Q$6:$Q$1005,$A$6:$A$1005,$A508,$AS$6:$AS$1005,1),"")</f>
        <v/>
      </c>
      <c r="BC508" s="56">
        <f>IF(ISNUMBER($R508),1,0)</f>
        <v>0</v>
      </c>
      <c r="BD508" s="55" t="str">
        <f>IF(ISNUMBER($U508),$U508*$V508,"")</f>
        <v/>
      </c>
      <c r="BE508" s="56" t="str">
        <f>IF($AM508=0,"",IFERROR(MATCH($AF508&amp;"|"&amp;UPPER(TRIM($E508)),Lists!$A$6:$A$205,0),0))</f>
        <v/>
      </c>
      <c r="BF508" s="56" t="str">
        <f>IF($AM508=0,"",IFERROR(MATCH($AF508,Settings!$B$14:$B$18,0),IFERROR(MATCH(Settings!$C$6,Settings!$B$14:$B$18,0),1)))</f>
        <v/>
      </c>
      <c r="BG508" s="58" t="str">
        <f>IF($AM508=0,"",IF(NOT(ISNUMBER($I508)),"No stop; ","")&amp;IF(AND(ISNUMBER($H508),ISNUMBER($I508)),IF(OR(AND($F508&lt;&gt;"Short",$I508&gt;=$H508),AND($F508="Short",$I508&lt;=$H508)),"Stop on wrong side; ",""),"")&amp;IF($F508="","No direction; ","")&amp;IF(AND(ISNUMBER(Settings!$C$22),ISNUMBER($V508)),IF($V508&gt;Settings!$C$22,"Risk over max $; ",""),"")&amp;IF(AND(ISNUMBER(Settings!$C$23),ISNUMBER($V508),ISNUMBER($AP508),IFERROR(N(INDEX(Accounts!$E$7:$E$16,MATCH($C508,Accounts!$B$7:$B$16,0))),0)&gt;0),IF($V508&gt;Settings!$C$23*($AP508-N($Q508)),"Risk over max %; ",""),"")&amp;IF(AND(ISNUMBER(Settings!$C$24),ISNUMBER($N508)),IF($N508&gt;Settings!$C$24,"Leverage over max; ",""),"")&amp;IF(AND(ISNUMBER(Settings!$C$27),ISNUMBER($T508)),IF($T508&lt;Settings!$C$27,"R:R below min; ",""),"")&amp;IF(ISNUMBER(Settings!$C$25),IF(COUNTIFS($A$6:$A508,$A508,$AM$6:$AM508,1)&gt;Settings!$C$25,"Over max trades/day; ",""),"")&amp;IF(ISNUMBER(Settings!$C$26),IF(SUMIFS($Q$5:$Q507,$A$5:$A507,$A508)&lt;=-Settings!$C$26,"Traded after daily max loss; ",""),"")&amp;IF(AND($AG508="",NOT(ISNUMBER($O508))),"Symbol not in Instruments; ","")&amp;IF(AND($AH508="",NOT(ISNUMBER($O508))),"Forex cross: type Gross P&amp;L; ",""))</f>
        <v/>
      </c>
      <c r="BH508" s="56">
        <f>IF(ISNUMBER($Q508),1,0)</f>
        <v>0</v>
      </c>
      <c r="BI508" s="56">
        <f>IF($Y508="",0,1)</f>
        <v>0</v>
      </c>
      <c r="BJ508" s="56">
        <f>IF($AB508="",0,1)</f>
        <v>0</v>
      </c>
      <c r="BK508" s="56">
        <f>IF(AND($BH508=1,$W508&lt;&gt;"OK"),1,0)</f>
        <v>0</v>
      </c>
      <c r="BL508" s="55">
        <f>IF(N($AZ508)=0,0,IFERROR(INDEX($AT$6:$AT$1005,MATCH($AZ508,$AY$6:$AY$1005,0)),0))</f>
        <v>1187.10688</v>
      </c>
      <c r="BM508" s="56">
        <f>IF(ISNUMBER(SEARCH("daily max loss",$BG508)),1,0)</f>
        <v>0</v>
      </c>
    </row>
    <row r="509" ht="18" customHeight="1">
      <c r="A509" s="38" t="n"/>
      <c r="B509" s="39" t="n"/>
      <c r="C509" s="40" t="n"/>
      <c r="D509" s="41" t="n"/>
      <c r="E509" s="41" t="n"/>
      <c r="F509" s="41" t="n"/>
      <c r="G509" s="41" t="n"/>
      <c r="H509" s="42" t="n"/>
      <c r="I509" s="42" t="n"/>
      <c r="J509" s="42" t="n"/>
      <c r="K509" s="42" t="n"/>
      <c r="L509" s="41" t="n"/>
      <c r="M509" s="41" t="n"/>
      <c r="N509" s="41" t="n"/>
      <c r="O509" s="43" t="n"/>
      <c r="P509" s="43" t="n"/>
      <c r="Q509" s="44" t="str">
        <f>IF($AM509=0,"",IF(ISNUMBER($AK509),$AK509-N($AL509),""))</f>
        <v/>
      </c>
      <c r="R509" s="45" t="str">
        <f>IF(OR($Q509="",NOT(ISNUMBER($V509))),"",$AK509/$V509)</f>
        <v/>
      </c>
      <c r="S509" s="46" t="str">
        <f>IF($Q509="","",IF(AND(ISNUMBER($R509),ABS(N($R509))&lt;N(Settings!$C$8)),"Scratch",IF($Q509&gt;0,"Win",IF($Q509&lt;0,"Loss","Scratch"))))</f>
        <v/>
      </c>
      <c r="T509" s="47" t="str">
        <f>IF(OR($AM509=0,NOT(ISNUMBER($H509)),NOT(ISNUMBER($I509)),NOT(ISNUMBER($J509))),"",IF($H509=$I509,"",ROUND(ABS($J509-$H509)/ABS($H509-$I509),6)))</f>
        <v/>
      </c>
      <c r="U509" s="48" t="str">
        <f>IF(OR($S509&lt;&gt;"Win",NOT(ISNUMBER($T509)),NOT(ISNUMBER($R509))),"",MAX(0,$T509-$R509))</f>
        <v/>
      </c>
      <c r="V509" s="49" t="str">
        <f>IF(OR($AM509=0,NOT(ISNUMBER($H509)),NOT(ISNUMBER($I509)),NOT(ISNUMBER($G509))),"",IF(OR($AG509="",$AH509=""),"",IF(ROUND(ABS($H509-$I509)*ABS($G509)*$AG509*$AH509,6)=0,"",ROUND(ABS($H509-$I509)*ABS($G509)*$AG509*$AH509,6))))</f>
        <v/>
      </c>
      <c r="W509" s="50" t="str">
        <f>IF($AM509=0,"",IF($BG509="","OK",LEFT($BG509,LEN($BG509)-2)))</f>
        <v/>
      </c>
      <c r="X509" s="41" t="n"/>
      <c r="Y509" s="40" t="n"/>
      <c r="Z509" s="41" t="n"/>
      <c r="AA509" s="41" t="n"/>
      <c r="AB509" s="40" t="n"/>
      <c r="AC509" s="51" t="n"/>
      <c r="AD509" s="51" t="n"/>
      <c r="AE509" s="40" t="n"/>
      <c r="AF509" s="52" t="str">
        <f>IF($AM509=0,"",IF($D509&lt;&gt;"",$D509,IF(IFERROR(INDEX(Accounts!$C$7:$C$16,MATCH($C509,Accounts!$B$7:$B$16,0))&amp;"","")&lt;&gt;"",INDEX(Accounts!$C$7:$C$16,MATCH($C509,Accounts!$B$7:$B$16,0)),Settings!$C$6)))</f>
        <v/>
      </c>
      <c r="AG509" s="53" t="str">
        <f>IF($AM509=0,"",IF(AND($BE509&gt;0,N(INDEX(Instruments!$D$6:$D$205,MAX(1,$BE509)))&gt;0),INDEX(Instruments!$D$6:$D$205,MAX(1,$BE509)),IF(N(INDEX(Settings!$D$14:$D$18,$BF509))&gt;0,INDEX(Settings!$D$14:$D$18,$BF509),"")))</f>
        <v/>
      </c>
      <c r="AH509" s="54" t="str">
        <f>IF($AM509=0,"",IF($AF509&lt;&gt;"Forex",1,IF(MID(UPPER(SUBSTITUTE(TRIM($E509),"/","")),4,3)=UPPER(TRIM(Settings!$C$7)),1,IF(LEFT(UPPER(SUBSTITUTE(TRIM($E509),"/","")),3)=UPPER(TRIM(Settings!$C$7)),IF(AND(ISNUMBER($K509),N($K509)&lt;&gt;0),1/$K509,""),""))))</f>
        <v/>
      </c>
      <c r="AI509" s="55" t="str">
        <f>IF($AM509=0,"",IF(OR(NOT(ISNUMBER($H509)),NOT(ISNUMBER($K509)),NOT(ISNUMBER($G509)),$AG509="",$AH509=""),"",ROUND(($K509-$H509)*IF($F509="Short",-1,1)*$G509*$AG509*$AH509,6)))</f>
        <v/>
      </c>
      <c r="AJ509" s="55" t="str">
        <f>IF($AM509=0,"",IF(INDEX(Settings!$E$14:$E$18,$BF509)="% of notional",IF(OR($AG509="",NOT(ISNUMBER($H509)),NOT(ISNUMBER($G509))),"",ROUND(ABS($H509*$G509*$AG509*N($AH509))*IF($L509="Limit",N(INDEX(Settings!$G$14:$G$18,$BF509)),N(INDEX(Settings!$H$14:$H$18,$BF509)))+IF(ISNUMBER($K509),ABS($K509*$G509*$AG509*N($AH509))*IF($M509="Target",N(INDEX(Settings!$G$14:$G$18,$BF509)),N(INDEX(Settings!$H$14:$H$18,$BF509))),0),6)),IF(NOT(ISNUMBER($G509)),"",ROUND(ABS($G509)*2*IF(AND($BE509&gt;0,ISNUMBER(INDEX(Instruments!$G$6:$G$205,MAX(1,$BE509)))),INDEX(Instruments!$G$6:$G$205,MAX(1,$BE509)),N(INDEX(Settings!$F$14:$F$18,$BF509))),6))))</f>
        <v/>
      </c>
      <c r="AK509" s="55" t="str">
        <f>IF($AM509=0,"",IF(ISNUMBER($O509),$O509,$AI509))</f>
        <v/>
      </c>
      <c r="AL509" s="55" t="str">
        <f>IF($AM509=0,"",IF(ISNUMBER($P509),$P509,N($AJ509)))</f>
        <v/>
      </c>
      <c r="AM509" s="56">
        <f>IF(AND($A509&lt;&gt;"",$E509&lt;&gt;"",OR(AND(ISNUMBER($G509),ISNUMBER($H509),ISNUMBER($K509)),ISNUMBER($O509))),1,0)</f>
        <v>0</v>
      </c>
      <c r="AN509" s="57" t="str">
        <f>IF($A509="","",$A509-WEEKDAY($A509,3))</f>
        <v/>
      </c>
      <c r="AO509" s="56" t="str">
        <f>IF($A509="","",WEEKDAY($A509,2))</f>
        <v/>
      </c>
      <c r="AP509" s="55" t="str">
        <f>IF(OR($AM509=0,$C509=""),"",IFERROR(N(INDEX(Accounts!$E$7:$E$16,MATCH($C509,Accounts!$B$7:$B$16,0))),0)+SUMIFS($Q$6:$Q509,$C$6:$C509,$C509))</f>
        <v/>
      </c>
      <c r="AQ509" s="55" t="str">
        <f>IF(OR($AM509=0,$C509=""),"",SUMIFS($Q$6:$Q$1005,$C$6:$C$1005,$C509,$A$6:$A$1005,$A509))</f>
        <v/>
      </c>
      <c r="AR509" s="55" t="str">
        <f>IF(OR($AM509=0,$C509=""),"",IFERROR(N(INDEX(Accounts!$E$7:$E$16,MATCH($C509,Accounts!$B$7:$B$16,0))),0)+SUMIFS($Q$6:$Q$1005,$C$6:$C$1005,$C509,$A$6:$A$1005,"&lt;="&amp;$A509))</f>
        <v/>
      </c>
      <c r="AS509" s="56">
        <f>IF(OR($AM509=0,$Q509=""),0,IF(AND($A509&gt;=Lists!$W$6,$A509&lt;=Lists!$W$7,OR(Dashboard!$D$6="All accounts",$C509=Dashboard!$D$6),OR(Dashboard!$D$7="All markets",$AF509=Dashboard!$D$7)),1,0))</f>
        <v>0</v>
      </c>
      <c r="AT509" s="55">
        <f>IF($AS509=1,N(AT508)+$Q509,N(AT508))</f>
        <v>1187.10688</v>
      </c>
      <c r="AU509" s="55">
        <f>MAX(N(AU508),$AT509)</f>
        <v>1187.10688</v>
      </c>
      <c r="AV509" s="55">
        <f>$AT509-$AU509</f>
        <v>0</v>
      </c>
      <c r="AW509" s="56">
        <f>IF($AS509=1,IF($S509="Win",N(AW508)+1,IF($S509="Loss",0,N(AW508))),N(AW508))</f>
        <v>5</v>
      </c>
      <c r="AX509" s="56">
        <f>IF($AS509=1,IF($S509="Loss",N(AX508)+1,IF($S509="Win",0,N(AX508))),N(AX508))</f>
        <v>0</v>
      </c>
      <c r="AY509" s="56" t="str">
        <f>IF($AS509=1,COUNTIF($AS$6:$AS509,1),"")</f>
        <v/>
      </c>
      <c r="AZ509" s="56">
        <f>MIN(503,N(Lists!$W$8))</f>
        <v>28</v>
      </c>
      <c r="BA509" s="56">
        <f>IF($AS509=1,IF(COUNTIFS($A$6:$A509,$A509,$AS$6:$AS509,1)=1,1,0),0)</f>
        <v>0</v>
      </c>
      <c r="BB509" s="55" t="str">
        <f>IF($BA509=1,SUMIFS($Q$6:$Q$1005,$A$6:$A$1005,$A509,$AS$6:$AS$1005,1),"")</f>
        <v/>
      </c>
      <c r="BC509" s="56">
        <f>IF(ISNUMBER($R509),1,0)</f>
        <v>0</v>
      </c>
      <c r="BD509" s="55" t="str">
        <f>IF(ISNUMBER($U509),$U509*$V509,"")</f>
        <v/>
      </c>
      <c r="BE509" s="56" t="str">
        <f>IF($AM509=0,"",IFERROR(MATCH($AF509&amp;"|"&amp;UPPER(TRIM($E509)),Lists!$A$6:$A$205,0),0))</f>
        <v/>
      </c>
      <c r="BF509" s="56" t="str">
        <f>IF($AM509=0,"",IFERROR(MATCH($AF509,Settings!$B$14:$B$18,0),IFERROR(MATCH(Settings!$C$6,Settings!$B$14:$B$18,0),1)))</f>
        <v/>
      </c>
      <c r="BG509" s="58" t="str">
        <f>IF($AM509=0,"",IF(NOT(ISNUMBER($I509)),"No stop; ","")&amp;IF(AND(ISNUMBER($H509),ISNUMBER($I509)),IF(OR(AND($F509&lt;&gt;"Short",$I509&gt;=$H509),AND($F509="Short",$I509&lt;=$H509)),"Stop on wrong side; ",""),"")&amp;IF($F509="","No direction; ","")&amp;IF(AND(ISNUMBER(Settings!$C$22),ISNUMBER($V509)),IF($V509&gt;Settings!$C$22,"Risk over max $; ",""),"")&amp;IF(AND(ISNUMBER(Settings!$C$23),ISNUMBER($V509),ISNUMBER($AP509),IFERROR(N(INDEX(Accounts!$E$7:$E$16,MATCH($C509,Accounts!$B$7:$B$16,0))),0)&gt;0),IF($V509&gt;Settings!$C$23*($AP509-N($Q509)),"Risk over max %; ",""),"")&amp;IF(AND(ISNUMBER(Settings!$C$24),ISNUMBER($N509)),IF($N509&gt;Settings!$C$24,"Leverage over max; ",""),"")&amp;IF(AND(ISNUMBER(Settings!$C$27),ISNUMBER($T509)),IF($T509&lt;Settings!$C$27,"R:R below min; ",""),"")&amp;IF(ISNUMBER(Settings!$C$25),IF(COUNTIFS($A$6:$A509,$A509,$AM$6:$AM509,1)&gt;Settings!$C$25,"Over max trades/day; ",""),"")&amp;IF(ISNUMBER(Settings!$C$26),IF(SUMIFS($Q$5:$Q508,$A$5:$A508,$A509)&lt;=-Settings!$C$26,"Traded after daily max loss; ",""),"")&amp;IF(AND($AG509="",NOT(ISNUMBER($O509))),"Symbol not in Instruments; ","")&amp;IF(AND($AH509="",NOT(ISNUMBER($O509))),"Forex cross: type Gross P&amp;L; ",""))</f>
        <v/>
      </c>
      <c r="BH509" s="56">
        <f>IF(ISNUMBER($Q509),1,0)</f>
        <v>0</v>
      </c>
      <c r="BI509" s="56">
        <f>IF($Y509="",0,1)</f>
        <v>0</v>
      </c>
      <c r="BJ509" s="56">
        <f>IF($AB509="",0,1)</f>
        <v>0</v>
      </c>
      <c r="BK509" s="56">
        <f>IF(AND($BH509=1,$W509&lt;&gt;"OK"),1,0)</f>
        <v>0</v>
      </c>
      <c r="BL509" s="55">
        <f>IF(N($AZ509)=0,0,IFERROR(INDEX($AT$6:$AT$1005,MATCH($AZ509,$AY$6:$AY$1005,0)),0))</f>
        <v>1187.10688</v>
      </c>
      <c r="BM509" s="56">
        <f>IF(ISNUMBER(SEARCH("daily max loss",$BG509)),1,0)</f>
        <v>0</v>
      </c>
    </row>
    <row r="510" ht="18" customHeight="1">
      <c r="A510" s="38" t="n"/>
      <c r="B510" s="39" t="n"/>
      <c r="C510" s="40" t="n"/>
      <c r="D510" s="41" t="n"/>
      <c r="E510" s="41" t="n"/>
      <c r="F510" s="41" t="n"/>
      <c r="G510" s="41" t="n"/>
      <c r="H510" s="42" t="n"/>
      <c r="I510" s="42" t="n"/>
      <c r="J510" s="42" t="n"/>
      <c r="K510" s="42" t="n"/>
      <c r="L510" s="41" t="n"/>
      <c r="M510" s="41" t="n"/>
      <c r="N510" s="41" t="n"/>
      <c r="O510" s="43" t="n"/>
      <c r="P510" s="43" t="n"/>
      <c r="Q510" s="44" t="str">
        <f>IF($AM510=0,"",IF(ISNUMBER($AK510),$AK510-N($AL510),""))</f>
        <v/>
      </c>
      <c r="R510" s="45" t="str">
        <f>IF(OR($Q510="",NOT(ISNUMBER($V510))),"",$AK510/$V510)</f>
        <v/>
      </c>
      <c r="S510" s="46" t="str">
        <f>IF($Q510="","",IF(AND(ISNUMBER($R510),ABS(N($R510))&lt;N(Settings!$C$8)),"Scratch",IF($Q510&gt;0,"Win",IF($Q510&lt;0,"Loss","Scratch"))))</f>
        <v/>
      </c>
      <c r="T510" s="47" t="str">
        <f>IF(OR($AM510=0,NOT(ISNUMBER($H510)),NOT(ISNUMBER($I510)),NOT(ISNUMBER($J510))),"",IF($H510=$I510,"",ROUND(ABS($J510-$H510)/ABS($H510-$I510),6)))</f>
        <v/>
      </c>
      <c r="U510" s="48" t="str">
        <f>IF(OR($S510&lt;&gt;"Win",NOT(ISNUMBER($T510)),NOT(ISNUMBER($R510))),"",MAX(0,$T510-$R510))</f>
        <v/>
      </c>
      <c r="V510" s="49" t="str">
        <f>IF(OR($AM510=0,NOT(ISNUMBER($H510)),NOT(ISNUMBER($I510)),NOT(ISNUMBER($G510))),"",IF(OR($AG510="",$AH510=""),"",IF(ROUND(ABS($H510-$I510)*ABS($G510)*$AG510*$AH510,6)=0,"",ROUND(ABS($H510-$I510)*ABS($G510)*$AG510*$AH510,6))))</f>
        <v/>
      </c>
      <c r="W510" s="50" t="str">
        <f>IF($AM510=0,"",IF($BG510="","OK",LEFT($BG510,LEN($BG510)-2)))</f>
        <v/>
      </c>
      <c r="X510" s="41" t="n"/>
      <c r="Y510" s="40" t="n"/>
      <c r="Z510" s="41" t="n"/>
      <c r="AA510" s="41" t="n"/>
      <c r="AB510" s="40" t="n"/>
      <c r="AC510" s="51" t="n"/>
      <c r="AD510" s="51" t="n"/>
      <c r="AE510" s="40" t="n"/>
      <c r="AF510" s="52" t="str">
        <f>IF($AM510=0,"",IF($D510&lt;&gt;"",$D510,IF(IFERROR(INDEX(Accounts!$C$7:$C$16,MATCH($C510,Accounts!$B$7:$B$16,0))&amp;"","")&lt;&gt;"",INDEX(Accounts!$C$7:$C$16,MATCH($C510,Accounts!$B$7:$B$16,0)),Settings!$C$6)))</f>
        <v/>
      </c>
      <c r="AG510" s="53" t="str">
        <f>IF($AM510=0,"",IF(AND($BE510&gt;0,N(INDEX(Instruments!$D$6:$D$205,MAX(1,$BE510)))&gt;0),INDEX(Instruments!$D$6:$D$205,MAX(1,$BE510)),IF(N(INDEX(Settings!$D$14:$D$18,$BF510))&gt;0,INDEX(Settings!$D$14:$D$18,$BF510),"")))</f>
        <v/>
      </c>
      <c r="AH510" s="54" t="str">
        <f>IF($AM510=0,"",IF($AF510&lt;&gt;"Forex",1,IF(MID(UPPER(SUBSTITUTE(TRIM($E510),"/","")),4,3)=UPPER(TRIM(Settings!$C$7)),1,IF(LEFT(UPPER(SUBSTITUTE(TRIM($E510),"/","")),3)=UPPER(TRIM(Settings!$C$7)),IF(AND(ISNUMBER($K510),N($K510)&lt;&gt;0),1/$K510,""),""))))</f>
        <v/>
      </c>
      <c r="AI510" s="55" t="str">
        <f>IF($AM510=0,"",IF(OR(NOT(ISNUMBER($H510)),NOT(ISNUMBER($K510)),NOT(ISNUMBER($G510)),$AG510="",$AH510=""),"",ROUND(($K510-$H510)*IF($F510="Short",-1,1)*$G510*$AG510*$AH510,6)))</f>
        <v/>
      </c>
      <c r="AJ510" s="55" t="str">
        <f>IF($AM510=0,"",IF(INDEX(Settings!$E$14:$E$18,$BF510)="% of notional",IF(OR($AG510="",NOT(ISNUMBER($H510)),NOT(ISNUMBER($G510))),"",ROUND(ABS($H510*$G510*$AG510*N($AH510))*IF($L510="Limit",N(INDEX(Settings!$G$14:$G$18,$BF510)),N(INDEX(Settings!$H$14:$H$18,$BF510)))+IF(ISNUMBER($K510),ABS($K510*$G510*$AG510*N($AH510))*IF($M510="Target",N(INDEX(Settings!$G$14:$G$18,$BF510)),N(INDEX(Settings!$H$14:$H$18,$BF510))),0),6)),IF(NOT(ISNUMBER($G510)),"",ROUND(ABS($G510)*2*IF(AND($BE510&gt;0,ISNUMBER(INDEX(Instruments!$G$6:$G$205,MAX(1,$BE510)))),INDEX(Instruments!$G$6:$G$205,MAX(1,$BE510)),N(INDEX(Settings!$F$14:$F$18,$BF510))),6))))</f>
        <v/>
      </c>
      <c r="AK510" s="55" t="str">
        <f>IF($AM510=0,"",IF(ISNUMBER($O510),$O510,$AI510))</f>
        <v/>
      </c>
      <c r="AL510" s="55" t="str">
        <f>IF($AM510=0,"",IF(ISNUMBER($P510),$P510,N($AJ510)))</f>
        <v/>
      </c>
      <c r="AM510" s="56">
        <f>IF(AND($A510&lt;&gt;"",$E510&lt;&gt;"",OR(AND(ISNUMBER($G510),ISNUMBER($H510),ISNUMBER($K510)),ISNUMBER($O510))),1,0)</f>
        <v>0</v>
      </c>
      <c r="AN510" s="57" t="str">
        <f>IF($A510="","",$A510-WEEKDAY($A510,3))</f>
        <v/>
      </c>
      <c r="AO510" s="56" t="str">
        <f>IF($A510="","",WEEKDAY($A510,2))</f>
        <v/>
      </c>
      <c r="AP510" s="55" t="str">
        <f>IF(OR($AM510=0,$C510=""),"",IFERROR(N(INDEX(Accounts!$E$7:$E$16,MATCH($C510,Accounts!$B$7:$B$16,0))),0)+SUMIFS($Q$6:$Q510,$C$6:$C510,$C510))</f>
        <v/>
      </c>
      <c r="AQ510" s="55" t="str">
        <f>IF(OR($AM510=0,$C510=""),"",SUMIFS($Q$6:$Q$1005,$C$6:$C$1005,$C510,$A$6:$A$1005,$A510))</f>
        <v/>
      </c>
      <c r="AR510" s="55" t="str">
        <f>IF(OR($AM510=0,$C510=""),"",IFERROR(N(INDEX(Accounts!$E$7:$E$16,MATCH($C510,Accounts!$B$7:$B$16,0))),0)+SUMIFS($Q$6:$Q$1005,$C$6:$C$1005,$C510,$A$6:$A$1005,"&lt;="&amp;$A510))</f>
        <v/>
      </c>
      <c r="AS510" s="56">
        <f>IF(OR($AM510=0,$Q510=""),0,IF(AND($A510&gt;=Lists!$W$6,$A510&lt;=Lists!$W$7,OR(Dashboard!$D$6="All accounts",$C510=Dashboard!$D$6),OR(Dashboard!$D$7="All markets",$AF510=Dashboard!$D$7)),1,0))</f>
        <v>0</v>
      </c>
      <c r="AT510" s="55">
        <f>IF($AS510=1,N(AT509)+$Q510,N(AT509))</f>
        <v>1187.10688</v>
      </c>
      <c r="AU510" s="55">
        <f>MAX(N(AU509),$AT510)</f>
        <v>1187.10688</v>
      </c>
      <c r="AV510" s="55">
        <f>$AT510-$AU510</f>
        <v>0</v>
      </c>
      <c r="AW510" s="56">
        <f>IF($AS510=1,IF($S510="Win",N(AW509)+1,IF($S510="Loss",0,N(AW509))),N(AW509))</f>
        <v>5</v>
      </c>
      <c r="AX510" s="56">
        <f>IF($AS510=1,IF($S510="Loss",N(AX509)+1,IF($S510="Win",0,N(AX509))),N(AX509))</f>
        <v>0</v>
      </c>
      <c r="AY510" s="56" t="str">
        <f>IF($AS510=1,COUNTIF($AS$6:$AS510,1),"")</f>
        <v/>
      </c>
      <c r="AZ510" s="56">
        <f>MIN(504,N(Lists!$W$8))</f>
        <v>28</v>
      </c>
      <c r="BA510" s="56">
        <f>IF($AS510=1,IF(COUNTIFS($A$6:$A510,$A510,$AS$6:$AS510,1)=1,1,0),0)</f>
        <v>0</v>
      </c>
      <c r="BB510" s="55" t="str">
        <f>IF($BA510=1,SUMIFS($Q$6:$Q$1005,$A$6:$A$1005,$A510,$AS$6:$AS$1005,1),"")</f>
        <v/>
      </c>
      <c r="BC510" s="56">
        <f>IF(ISNUMBER($R510),1,0)</f>
        <v>0</v>
      </c>
      <c r="BD510" s="55" t="str">
        <f>IF(ISNUMBER($U510),$U510*$V510,"")</f>
        <v/>
      </c>
      <c r="BE510" s="56" t="str">
        <f>IF($AM510=0,"",IFERROR(MATCH($AF510&amp;"|"&amp;UPPER(TRIM($E510)),Lists!$A$6:$A$205,0),0))</f>
        <v/>
      </c>
      <c r="BF510" s="56" t="str">
        <f>IF($AM510=0,"",IFERROR(MATCH($AF510,Settings!$B$14:$B$18,0),IFERROR(MATCH(Settings!$C$6,Settings!$B$14:$B$18,0),1)))</f>
        <v/>
      </c>
      <c r="BG510" s="58" t="str">
        <f>IF($AM510=0,"",IF(NOT(ISNUMBER($I510)),"No stop; ","")&amp;IF(AND(ISNUMBER($H510),ISNUMBER($I510)),IF(OR(AND($F510&lt;&gt;"Short",$I510&gt;=$H510),AND($F510="Short",$I510&lt;=$H510)),"Stop on wrong side; ",""),"")&amp;IF($F510="","No direction; ","")&amp;IF(AND(ISNUMBER(Settings!$C$22),ISNUMBER($V510)),IF($V510&gt;Settings!$C$22,"Risk over max $; ",""),"")&amp;IF(AND(ISNUMBER(Settings!$C$23),ISNUMBER($V510),ISNUMBER($AP510),IFERROR(N(INDEX(Accounts!$E$7:$E$16,MATCH($C510,Accounts!$B$7:$B$16,0))),0)&gt;0),IF($V510&gt;Settings!$C$23*($AP510-N($Q510)),"Risk over max %; ",""),"")&amp;IF(AND(ISNUMBER(Settings!$C$24),ISNUMBER($N510)),IF($N510&gt;Settings!$C$24,"Leverage over max; ",""),"")&amp;IF(AND(ISNUMBER(Settings!$C$27),ISNUMBER($T510)),IF($T510&lt;Settings!$C$27,"R:R below min; ",""),"")&amp;IF(ISNUMBER(Settings!$C$25),IF(COUNTIFS($A$6:$A510,$A510,$AM$6:$AM510,1)&gt;Settings!$C$25,"Over max trades/day; ",""),"")&amp;IF(ISNUMBER(Settings!$C$26),IF(SUMIFS($Q$5:$Q509,$A$5:$A509,$A510)&lt;=-Settings!$C$26,"Traded after daily max loss; ",""),"")&amp;IF(AND($AG510="",NOT(ISNUMBER($O510))),"Symbol not in Instruments; ","")&amp;IF(AND($AH510="",NOT(ISNUMBER($O510))),"Forex cross: type Gross P&amp;L; ",""))</f>
        <v/>
      </c>
      <c r="BH510" s="56">
        <f>IF(ISNUMBER($Q510),1,0)</f>
        <v>0</v>
      </c>
      <c r="BI510" s="56">
        <f>IF($Y510="",0,1)</f>
        <v>0</v>
      </c>
      <c r="BJ510" s="56">
        <f>IF($AB510="",0,1)</f>
        <v>0</v>
      </c>
      <c r="BK510" s="56">
        <f>IF(AND($BH510=1,$W510&lt;&gt;"OK"),1,0)</f>
        <v>0</v>
      </c>
      <c r="BL510" s="55">
        <f>IF(N($AZ510)=0,0,IFERROR(INDEX($AT$6:$AT$1005,MATCH($AZ510,$AY$6:$AY$1005,0)),0))</f>
        <v>1187.10688</v>
      </c>
      <c r="BM510" s="56">
        <f>IF(ISNUMBER(SEARCH("daily max loss",$BG510)),1,0)</f>
        <v>0</v>
      </c>
    </row>
    <row r="511" ht="18" customHeight="1">
      <c r="A511" s="38" t="n"/>
      <c r="B511" s="39" t="n"/>
      <c r="C511" s="40" t="n"/>
      <c r="D511" s="41" t="n"/>
      <c r="E511" s="41" t="n"/>
      <c r="F511" s="41" t="n"/>
      <c r="G511" s="41" t="n"/>
      <c r="H511" s="42" t="n"/>
      <c r="I511" s="42" t="n"/>
      <c r="J511" s="42" t="n"/>
      <c r="K511" s="42" t="n"/>
      <c r="L511" s="41" t="n"/>
      <c r="M511" s="41" t="n"/>
      <c r="N511" s="41" t="n"/>
      <c r="O511" s="43" t="n"/>
      <c r="P511" s="43" t="n"/>
      <c r="Q511" s="44" t="str">
        <f>IF($AM511=0,"",IF(ISNUMBER($AK511),$AK511-N($AL511),""))</f>
        <v/>
      </c>
      <c r="R511" s="45" t="str">
        <f>IF(OR($Q511="",NOT(ISNUMBER($V511))),"",$AK511/$V511)</f>
        <v/>
      </c>
      <c r="S511" s="46" t="str">
        <f>IF($Q511="","",IF(AND(ISNUMBER($R511),ABS(N($R511))&lt;N(Settings!$C$8)),"Scratch",IF($Q511&gt;0,"Win",IF($Q511&lt;0,"Loss","Scratch"))))</f>
        <v/>
      </c>
      <c r="T511" s="47" t="str">
        <f>IF(OR($AM511=0,NOT(ISNUMBER($H511)),NOT(ISNUMBER($I511)),NOT(ISNUMBER($J511))),"",IF($H511=$I511,"",ROUND(ABS($J511-$H511)/ABS($H511-$I511),6)))</f>
        <v/>
      </c>
      <c r="U511" s="48" t="str">
        <f>IF(OR($S511&lt;&gt;"Win",NOT(ISNUMBER($T511)),NOT(ISNUMBER($R511))),"",MAX(0,$T511-$R511))</f>
        <v/>
      </c>
      <c r="V511" s="49" t="str">
        <f>IF(OR($AM511=0,NOT(ISNUMBER($H511)),NOT(ISNUMBER($I511)),NOT(ISNUMBER($G511))),"",IF(OR($AG511="",$AH511=""),"",IF(ROUND(ABS($H511-$I511)*ABS($G511)*$AG511*$AH511,6)=0,"",ROUND(ABS($H511-$I511)*ABS($G511)*$AG511*$AH511,6))))</f>
        <v/>
      </c>
      <c r="W511" s="50" t="str">
        <f>IF($AM511=0,"",IF($BG511="","OK",LEFT($BG511,LEN($BG511)-2)))</f>
        <v/>
      </c>
      <c r="X511" s="41" t="n"/>
      <c r="Y511" s="40" t="n"/>
      <c r="Z511" s="41" t="n"/>
      <c r="AA511" s="41" t="n"/>
      <c r="AB511" s="40" t="n"/>
      <c r="AC511" s="51" t="n"/>
      <c r="AD511" s="51" t="n"/>
      <c r="AE511" s="40" t="n"/>
      <c r="AF511" s="52" t="str">
        <f>IF($AM511=0,"",IF($D511&lt;&gt;"",$D511,IF(IFERROR(INDEX(Accounts!$C$7:$C$16,MATCH($C511,Accounts!$B$7:$B$16,0))&amp;"","")&lt;&gt;"",INDEX(Accounts!$C$7:$C$16,MATCH($C511,Accounts!$B$7:$B$16,0)),Settings!$C$6)))</f>
        <v/>
      </c>
      <c r="AG511" s="53" t="str">
        <f>IF($AM511=0,"",IF(AND($BE511&gt;0,N(INDEX(Instruments!$D$6:$D$205,MAX(1,$BE511)))&gt;0),INDEX(Instruments!$D$6:$D$205,MAX(1,$BE511)),IF(N(INDEX(Settings!$D$14:$D$18,$BF511))&gt;0,INDEX(Settings!$D$14:$D$18,$BF511),"")))</f>
        <v/>
      </c>
      <c r="AH511" s="54" t="str">
        <f>IF($AM511=0,"",IF($AF511&lt;&gt;"Forex",1,IF(MID(UPPER(SUBSTITUTE(TRIM($E511),"/","")),4,3)=UPPER(TRIM(Settings!$C$7)),1,IF(LEFT(UPPER(SUBSTITUTE(TRIM($E511),"/","")),3)=UPPER(TRIM(Settings!$C$7)),IF(AND(ISNUMBER($K511),N($K511)&lt;&gt;0),1/$K511,""),""))))</f>
        <v/>
      </c>
      <c r="AI511" s="55" t="str">
        <f>IF($AM511=0,"",IF(OR(NOT(ISNUMBER($H511)),NOT(ISNUMBER($K511)),NOT(ISNUMBER($G511)),$AG511="",$AH511=""),"",ROUND(($K511-$H511)*IF($F511="Short",-1,1)*$G511*$AG511*$AH511,6)))</f>
        <v/>
      </c>
      <c r="AJ511" s="55" t="str">
        <f>IF($AM511=0,"",IF(INDEX(Settings!$E$14:$E$18,$BF511)="% of notional",IF(OR($AG511="",NOT(ISNUMBER($H511)),NOT(ISNUMBER($G511))),"",ROUND(ABS($H511*$G511*$AG511*N($AH511))*IF($L511="Limit",N(INDEX(Settings!$G$14:$G$18,$BF511)),N(INDEX(Settings!$H$14:$H$18,$BF511)))+IF(ISNUMBER($K511),ABS($K511*$G511*$AG511*N($AH511))*IF($M511="Target",N(INDEX(Settings!$G$14:$G$18,$BF511)),N(INDEX(Settings!$H$14:$H$18,$BF511))),0),6)),IF(NOT(ISNUMBER($G511)),"",ROUND(ABS($G511)*2*IF(AND($BE511&gt;0,ISNUMBER(INDEX(Instruments!$G$6:$G$205,MAX(1,$BE511)))),INDEX(Instruments!$G$6:$G$205,MAX(1,$BE511)),N(INDEX(Settings!$F$14:$F$18,$BF511))),6))))</f>
        <v/>
      </c>
      <c r="AK511" s="55" t="str">
        <f>IF($AM511=0,"",IF(ISNUMBER($O511),$O511,$AI511))</f>
        <v/>
      </c>
      <c r="AL511" s="55" t="str">
        <f>IF($AM511=0,"",IF(ISNUMBER($P511),$P511,N($AJ511)))</f>
        <v/>
      </c>
      <c r="AM511" s="56">
        <f>IF(AND($A511&lt;&gt;"",$E511&lt;&gt;"",OR(AND(ISNUMBER($G511),ISNUMBER($H511),ISNUMBER($K511)),ISNUMBER($O511))),1,0)</f>
        <v>0</v>
      </c>
      <c r="AN511" s="57" t="str">
        <f>IF($A511="","",$A511-WEEKDAY($A511,3))</f>
        <v/>
      </c>
      <c r="AO511" s="56" t="str">
        <f>IF($A511="","",WEEKDAY($A511,2))</f>
        <v/>
      </c>
      <c r="AP511" s="55" t="str">
        <f>IF(OR($AM511=0,$C511=""),"",IFERROR(N(INDEX(Accounts!$E$7:$E$16,MATCH($C511,Accounts!$B$7:$B$16,0))),0)+SUMIFS($Q$6:$Q511,$C$6:$C511,$C511))</f>
        <v/>
      </c>
      <c r="AQ511" s="55" t="str">
        <f>IF(OR($AM511=0,$C511=""),"",SUMIFS($Q$6:$Q$1005,$C$6:$C$1005,$C511,$A$6:$A$1005,$A511))</f>
        <v/>
      </c>
      <c r="AR511" s="55" t="str">
        <f>IF(OR($AM511=0,$C511=""),"",IFERROR(N(INDEX(Accounts!$E$7:$E$16,MATCH($C511,Accounts!$B$7:$B$16,0))),0)+SUMIFS($Q$6:$Q$1005,$C$6:$C$1005,$C511,$A$6:$A$1005,"&lt;="&amp;$A511))</f>
        <v/>
      </c>
      <c r="AS511" s="56">
        <f>IF(OR($AM511=0,$Q511=""),0,IF(AND($A511&gt;=Lists!$W$6,$A511&lt;=Lists!$W$7,OR(Dashboard!$D$6="All accounts",$C511=Dashboard!$D$6),OR(Dashboard!$D$7="All markets",$AF511=Dashboard!$D$7)),1,0))</f>
        <v>0</v>
      </c>
      <c r="AT511" s="55">
        <f>IF($AS511=1,N(AT510)+$Q511,N(AT510))</f>
        <v>1187.10688</v>
      </c>
      <c r="AU511" s="55">
        <f>MAX(N(AU510),$AT511)</f>
        <v>1187.10688</v>
      </c>
      <c r="AV511" s="55">
        <f>$AT511-$AU511</f>
        <v>0</v>
      </c>
      <c r="AW511" s="56">
        <f>IF($AS511=1,IF($S511="Win",N(AW510)+1,IF($S511="Loss",0,N(AW510))),N(AW510))</f>
        <v>5</v>
      </c>
      <c r="AX511" s="56">
        <f>IF($AS511=1,IF($S511="Loss",N(AX510)+1,IF($S511="Win",0,N(AX510))),N(AX510))</f>
        <v>0</v>
      </c>
      <c r="AY511" s="56" t="str">
        <f>IF($AS511=1,COUNTIF($AS$6:$AS511,1),"")</f>
        <v/>
      </c>
      <c r="AZ511" s="56">
        <f>MIN(505,N(Lists!$W$8))</f>
        <v>28</v>
      </c>
      <c r="BA511" s="56">
        <f>IF($AS511=1,IF(COUNTIFS($A$6:$A511,$A511,$AS$6:$AS511,1)=1,1,0),0)</f>
        <v>0</v>
      </c>
      <c r="BB511" s="55" t="str">
        <f>IF($BA511=1,SUMIFS($Q$6:$Q$1005,$A$6:$A$1005,$A511,$AS$6:$AS$1005,1),"")</f>
        <v/>
      </c>
      <c r="BC511" s="56">
        <f>IF(ISNUMBER($R511),1,0)</f>
        <v>0</v>
      </c>
      <c r="BD511" s="55" t="str">
        <f>IF(ISNUMBER($U511),$U511*$V511,"")</f>
        <v/>
      </c>
      <c r="BE511" s="56" t="str">
        <f>IF($AM511=0,"",IFERROR(MATCH($AF511&amp;"|"&amp;UPPER(TRIM($E511)),Lists!$A$6:$A$205,0),0))</f>
        <v/>
      </c>
      <c r="BF511" s="56" t="str">
        <f>IF($AM511=0,"",IFERROR(MATCH($AF511,Settings!$B$14:$B$18,0),IFERROR(MATCH(Settings!$C$6,Settings!$B$14:$B$18,0),1)))</f>
        <v/>
      </c>
      <c r="BG511" s="58" t="str">
        <f>IF($AM511=0,"",IF(NOT(ISNUMBER($I511)),"No stop; ","")&amp;IF(AND(ISNUMBER($H511),ISNUMBER($I511)),IF(OR(AND($F511&lt;&gt;"Short",$I511&gt;=$H511),AND($F511="Short",$I511&lt;=$H511)),"Stop on wrong side; ",""),"")&amp;IF($F511="","No direction; ","")&amp;IF(AND(ISNUMBER(Settings!$C$22),ISNUMBER($V511)),IF($V511&gt;Settings!$C$22,"Risk over max $; ",""),"")&amp;IF(AND(ISNUMBER(Settings!$C$23),ISNUMBER($V511),ISNUMBER($AP511),IFERROR(N(INDEX(Accounts!$E$7:$E$16,MATCH($C511,Accounts!$B$7:$B$16,0))),0)&gt;0),IF($V511&gt;Settings!$C$23*($AP511-N($Q511)),"Risk over max %; ",""),"")&amp;IF(AND(ISNUMBER(Settings!$C$24),ISNUMBER($N511)),IF($N511&gt;Settings!$C$24,"Leverage over max; ",""),"")&amp;IF(AND(ISNUMBER(Settings!$C$27),ISNUMBER($T511)),IF($T511&lt;Settings!$C$27,"R:R below min; ",""),"")&amp;IF(ISNUMBER(Settings!$C$25),IF(COUNTIFS($A$6:$A511,$A511,$AM$6:$AM511,1)&gt;Settings!$C$25,"Over max trades/day; ",""),"")&amp;IF(ISNUMBER(Settings!$C$26),IF(SUMIFS($Q$5:$Q510,$A$5:$A510,$A511)&lt;=-Settings!$C$26,"Traded after daily max loss; ",""),"")&amp;IF(AND($AG511="",NOT(ISNUMBER($O511))),"Symbol not in Instruments; ","")&amp;IF(AND($AH511="",NOT(ISNUMBER($O511))),"Forex cross: type Gross P&amp;L; ",""))</f>
        <v/>
      </c>
      <c r="BH511" s="56">
        <f>IF(ISNUMBER($Q511),1,0)</f>
        <v>0</v>
      </c>
      <c r="BI511" s="56">
        <f>IF($Y511="",0,1)</f>
        <v>0</v>
      </c>
      <c r="BJ511" s="56">
        <f>IF($AB511="",0,1)</f>
        <v>0</v>
      </c>
      <c r="BK511" s="56">
        <f>IF(AND($BH511=1,$W511&lt;&gt;"OK"),1,0)</f>
        <v>0</v>
      </c>
      <c r="BL511" s="55">
        <f>IF(N($AZ511)=0,0,IFERROR(INDEX($AT$6:$AT$1005,MATCH($AZ511,$AY$6:$AY$1005,0)),0))</f>
        <v>1187.10688</v>
      </c>
      <c r="BM511" s="56">
        <f>IF(ISNUMBER(SEARCH("daily max loss",$BG511)),1,0)</f>
        <v>0</v>
      </c>
    </row>
    <row r="512" ht="18" customHeight="1">
      <c r="A512" s="38" t="n"/>
      <c r="B512" s="39" t="n"/>
      <c r="C512" s="40" t="n"/>
      <c r="D512" s="41" t="n"/>
      <c r="E512" s="41" t="n"/>
      <c r="F512" s="41" t="n"/>
      <c r="G512" s="41" t="n"/>
      <c r="H512" s="42" t="n"/>
      <c r="I512" s="42" t="n"/>
      <c r="J512" s="42" t="n"/>
      <c r="K512" s="42" t="n"/>
      <c r="L512" s="41" t="n"/>
      <c r="M512" s="41" t="n"/>
      <c r="N512" s="41" t="n"/>
      <c r="O512" s="43" t="n"/>
      <c r="P512" s="43" t="n"/>
      <c r="Q512" s="44" t="str">
        <f>IF($AM512=0,"",IF(ISNUMBER($AK512),$AK512-N($AL512),""))</f>
        <v/>
      </c>
      <c r="R512" s="45" t="str">
        <f>IF(OR($Q512="",NOT(ISNUMBER($V512))),"",$AK512/$V512)</f>
        <v/>
      </c>
      <c r="S512" s="46" t="str">
        <f>IF($Q512="","",IF(AND(ISNUMBER($R512),ABS(N($R512))&lt;N(Settings!$C$8)),"Scratch",IF($Q512&gt;0,"Win",IF($Q512&lt;0,"Loss","Scratch"))))</f>
        <v/>
      </c>
      <c r="T512" s="47" t="str">
        <f>IF(OR($AM512=0,NOT(ISNUMBER($H512)),NOT(ISNUMBER($I512)),NOT(ISNUMBER($J512))),"",IF($H512=$I512,"",ROUND(ABS($J512-$H512)/ABS($H512-$I512),6)))</f>
        <v/>
      </c>
      <c r="U512" s="48" t="str">
        <f>IF(OR($S512&lt;&gt;"Win",NOT(ISNUMBER($T512)),NOT(ISNUMBER($R512))),"",MAX(0,$T512-$R512))</f>
        <v/>
      </c>
      <c r="V512" s="49" t="str">
        <f>IF(OR($AM512=0,NOT(ISNUMBER($H512)),NOT(ISNUMBER($I512)),NOT(ISNUMBER($G512))),"",IF(OR($AG512="",$AH512=""),"",IF(ROUND(ABS($H512-$I512)*ABS($G512)*$AG512*$AH512,6)=0,"",ROUND(ABS($H512-$I512)*ABS($G512)*$AG512*$AH512,6))))</f>
        <v/>
      </c>
      <c r="W512" s="50" t="str">
        <f>IF($AM512=0,"",IF($BG512="","OK",LEFT($BG512,LEN($BG512)-2)))</f>
        <v/>
      </c>
      <c r="X512" s="41" t="n"/>
      <c r="Y512" s="40" t="n"/>
      <c r="Z512" s="41" t="n"/>
      <c r="AA512" s="41" t="n"/>
      <c r="AB512" s="40" t="n"/>
      <c r="AC512" s="51" t="n"/>
      <c r="AD512" s="51" t="n"/>
      <c r="AE512" s="40" t="n"/>
      <c r="AF512" s="52" t="str">
        <f>IF($AM512=0,"",IF($D512&lt;&gt;"",$D512,IF(IFERROR(INDEX(Accounts!$C$7:$C$16,MATCH($C512,Accounts!$B$7:$B$16,0))&amp;"","")&lt;&gt;"",INDEX(Accounts!$C$7:$C$16,MATCH($C512,Accounts!$B$7:$B$16,0)),Settings!$C$6)))</f>
        <v/>
      </c>
      <c r="AG512" s="53" t="str">
        <f>IF($AM512=0,"",IF(AND($BE512&gt;0,N(INDEX(Instruments!$D$6:$D$205,MAX(1,$BE512)))&gt;0),INDEX(Instruments!$D$6:$D$205,MAX(1,$BE512)),IF(N(INDEX(Settings!$D$14:$D$18,$BF512))&gt;0,INDEX(Settings!$D$14:$D$18,$BF512),"")))</f>
        <v/>
      </c>
      <c r="AH512" s="54" t="str">
        <f>IF($AM512=0,"",IF($AF512&lt;&gt;"Forex",1,IF(MID(UPPER(SUBSTITUTE(TRIM($E512),"/","")),4,3)=UPPER(TRIM(Settings!$C$7)),1,IF(LEFT(UPPER(SUBSTITUTE(TRIM($E512),"/","")),3)=UPPER(TRIM(Settings!$C$7)),IF(AND(ISNUMBER($K512),N($K512)&lt;&gt;0),1/$K512,""),""))))</f>
        <v/>
      </c>
      <c r="AI512" s="55" t="str">
        <f>IF($AM512=0,"",IF(OR(NOT(ISNUMBER($H512)),NOT(ISNUMBER($K512)),NOT(ISNUMBER($G512)),$AG512="",$AH512=""),"",ROUND(($K512-$H512)*IF($F512="Short",-1,1)*$G512*$AG512*$AH512,6)))</f>
        <v/>
      </c>
      <c r="AJ512" s="55" t="str">
        <f>IF($AM512=0,"",IF(INDEX(Settings!$E$14:$E$18,$BF512)="% of notional",IF(OR($AG512="",NOT(ISNUMBER($H512)),NOT(ISNUMBER($G512))),"",ROUND(ABS($H512*$G512*$AG512*N($AH512))*IF($L512="Limit",N(INDEX(Settings!$G$14:$G$18,$BF512)),N(INDEX(Settings!$H$14:$H$18,$BF512)))+IF(ISNUMBER($K512),ABS($K512*$G512*$AG512*N($AH512))*IF($M512="Target",N(INDEX(Settings!$G$14:$G$18,$BF512)),N(INDEX(Settings!$H$14:$H$18,$BF512))),0),6)),IF(NOT(ISNUMBER($G512)),"",ROUND(ABS($G512)*2*IF(AND($BE512&gt;0,ISNUMBER(INDEX(Instruments!$G$6:$G$205,MAX(1,$BE512)))),INDEX(Instruments!$G$6:$G$205,MAX(1,$BE512)),N(INDEX(Settings!$F$14:$F$18,$BF512))),6))))</f>
        <v/>
      </c>
      <c r="AK512" s="55" t="str">
        <f>IF($AM512=0,"",IF(ISNUMBER($O512),$O512,$AI512))</f>
        <v/>
      </c>
      <c r="AL512" s="55" t="str">
        <f>IF($AM512=0,"",IF(ISNUMBER($P512),$P512,N($AJ512)))</f>
        <v/>
      </c>
      <c r="AM512" s="56">
        <f>IF(AND($A512&lt;&gt;"",$E512&lt;&gt;"",OR(AND(ISNUMBER($G512),ISNUMBER($H512),ISNUMBER($K512)),ISNUMBER($O512))),1,0)</f>
        <v>0</v>
      </c>
      <c r="AN512" s="57" t="str">
        <f>IF($A512="","",$A512-WEEKDAY($A512,3))</f>
        <v/>
      </c>
      <c r="AO512" s="56" t="str">
        <f>IF($A512="","",WEEKDAY($A512,2))</f>
        <v/>
      </c>
      <c r="AP512" s="55" t="str">
        <f>IF(OR($AM512=0,$C512=""),"",IFERROR(N(INDEX(Accounts!$E$7:$E$16,MATCH($C512,Accounts!$B$7:$B$16,0))),0)+SUMIFS($Q$6:$Q512,$C$6:$C512,$C512))</f>
        <v/>
      </c>
      <c r="AQ512" s="55" t="str">
        <f>IF(OR($AM512=0,$C512=""),"",SUMIFS($Q$6:$Q$1005,$C$6:$C$1005,$C512,$A$6:$A$1005,$A512))</f>
        <v/>
      </c>
      <c r="AR512" s="55" t="str">
        <f>IF(OR($AM512=0,$C512=""),"",IFERROR(N(INDEX(Accounts!$E$7:$E$16,MATCH($C512,Accounts!$B$7:$B$16,0))),0)+SUMIFS($Q$6:$Q$1005,$C$6:$C$1005,$C512,$A$6:$A$1005,"&lt;="&amp;$A512))</f>
        <v/>
      </c>
      <c r="AS512" s="56">
        <f>IF(OR($AM512=0,$Q512=""),0,IF(AND($A512&gt;=Lists!$W$6,$A512&lt;=Lists!$W$7,OR(Dashboard!$D$6="All accounts",$C512=Dashboard!$D$6),OR(Dashboard!$D$7="All markets",$AF512=Dashboard!$D$7)),1,0))</f>
        <v>0</v>
      </c>
      <c r="AT512" s="55">
        <f>IF($AS512=1,N(AT511)+$Q512,N(AT511))</f>
        <v>1187.10688</v>
      </c>
      <c r="AU512" s="55">
        <f>MAX(N(AU511),$AT512)</f>
        <v>1187.10688</v>
      </c>
      <c r="AV512" s="55">
        <f>$AT512-$AU512</f>
        <v>0</v>
      </c>
      <c r="AW512" s="56">
        <f>IF($AS512=1,IF($S512="Win",N(AW511)+1,IF($S512="Loss",0,N(AW511))),N(AW511))</f>
        <v>5</v>
      </c>
      <c r="AX512" s="56">
        <f>IF($AS512=1,IF($S512="Loss",N(AX511)+1,IF($S512="Win",0,N(AX511))),N(AX511))</f>
        <v>0</v>
      </c>
      <c r="AY512" s="56" t="str">
        <f>IF($AS512=1,COUNTIF($AS$6:$AS512,1),"")</f>
        <v/>
      </c>
      <c r="AZ512" s="56">
        <f>MIN(506,N(Lists!$W$8))</f>
        <v>28</v>
      </c>
      <c r="BA512" s="56">
        <f>IF($AS512=1,IF(COUNTIFS($A$6:$A512,$A512,$AS$6:$AS512,1)=1,1,0),0)</f>
        <v>0</v>
      </c>
      <c r="BB512" s="55" t="str">
        <f>IF($BA512=1,SUMIFS($Q$6:$Q$1005,$A$6:$A$1005,$A512,$AS$6:$AS$1005,1),"")</f>
        <v/>
      </c>
      <c r="BC512" s="56">
        <f>IF(ISNUMBER($R512),1,0)</f>
        <v>0</v>
      </c>
      <c r="BD512" s="55" t="str">
        <f>IF(ISNUMBER($U512),$U512*$V512,"")</f>
        <v/>
      </c>
      <c r="BE512" s="56" t="str">
        <f>IF($AM512=0,"",IFERROR(MATCH($AF512&amp;"|"&amp;UPPER(TRIM($E512)),Lists!$A$6:$A$205,0),0))</f>
        <v/>
      </c>
      <c r="BF512" s="56" t="str">
        <f>IF($AM512=0,"",IFERROR(MATCH($AF512,Settings!$B$14:$B$18,0),IFERROR(MATCH(Settings!$C$6,Settings!$B$14:$B$18,0),1)))</f>
        <v/>
      </c>
      <c r="BG512" s="58" t="str">
        <f>IF($AM512=0,"",IF(NOT(ISNUMBER($I512)),"No stop; ","")&amp;IF(AND(ISNUMBER($H512),ISNUMBER($I512)),IF(OR(AND($F512&lt;&gt;"Short",$I512&gt;=$H512),AND($F512="Short",$I512&lt;=$H512)),"Stop on wrong side; ",""),"")&amp;IF($F512="","No direction; ","")&amp;IF(AND(ISNUMBER(Settings!$C$22),ISNUMBER($V512)),IF($V512&gt;Settings!$C$22,"Risk over max $; ",""),"")&amp;IF(AND(ISNUMBER(Settings!$C$23),ISNUMBER($V512),ISNUMBER($AP512),IFERROR(N(INDEX(Accounts!$E$7:$E$16,MATCH($C512,Accounts!$B$7:$B$16,0))),0)&gt;0),IF($V512&gt;Settings!$C$23*($AP512-N($Q512)),"Risk over max %; ",""),"")&amp;IF(AND(ISNUMBER(Settings!$C$24),ISNUMBER($N512)),IF($N512&gt;Settings!$C$24,"Leverage over max; ",""),"")&amp;IF(AND(ISNUMBER(Settings!$C$27),ISNUMBER($T512)),IF($T512&lt;Settings!$C$27,"R:R below min; ",""),"")&amp;IF(ISNUMBER(Settings!$C$25),IF(COUNTIFS($A$6:$A512,$A512,$AM$6:$AM512,1)&gt;Settings!$C$25,"Over max trades/day; ",""),"")&amp;IF(ISNUMBER(Settings!$C$26),IF(SUMIFS($Q$5:$Q511,$A$5:$A511,$A512)&lt;=-Settings!$C$26,"Traded after daily max loss; ",""),"")&amp;IF(AND($AG512="",NOT(ISNUMBER($O512))),"Symbol not in Instruments; ","")&amp;IF(AND($AH512="",NOT(ISNUMBER($O512))),"Forex cross: type Gross P&amp;L; ",""))</f>
        <v/>
      </c>
      <c r="BH512" s="56">
        <f>IF(ISNUMBER($Q512),1,0)</f>
        <v>0</v>
      </c>
      <c r="BI512" s="56">
        <f>IF($Y512="",0,1)</f>
        <v>0</v>
      </c>
      <c r="BJ512" s="56">
        <f>IF($AB512="",0,1)</f>
        <v>0</v>
      </c>
      <c r="BK512" s="56">
        <f>IF(AND($BH512=1,$W512&lt;&gt;"OK"),1,0)</f>
        <v>0</v>
      </c>
      <c r="BL512" s="55">
        <f>IF(N($AZ512)=0,0,IFERROR(INDEX($AT$6:$AT$1005,MATCH($AZ512,$AY$6:$AY$1005,0)),0))</f>
        <v>1187.10688</v>
      </c>
      <c r="BM512" s="56">
        <f>IF(ISNUMBER(SEARCH("daily max loss",$BG512)),1,0)</f>
        <v>0</v>
      </c>
    </row>
    <row r="513" ht="18" customHeight="1">
      <c r="A513" s="38" t="n"/>
      <c r="B513" s="39" t="n"/>
      <c r="C513" s="40" t="n"/>
      <c r="D513" s="41" t="n"/>
      <c r="E513" s="41" t="n"/>
      <c r="F513" s="41" t="n"/>
      <c r="G513" s="41" t="n"/>
      <c r="H513" s="42" t="n"/>
      <c r="I513" s="42" t="n"/>
      <c r="J513" s="42" t="n"/>
      <c r="K513" s="42" t="n"/>
      <c r="L513" s="41" t="n"/>
      <c r="M513" s="41" t="n"/>
      <c r="N513" s="41" t="n"/>
      <c r="O513" s="43" t="n"/>
      <c r="P513" s="43" t="n"/>
      <c r="Q513" s="44" t="str">
        <f>IF($AM513=0,"",IF(ISNUMBER($AK513),$AK513-N($AL513),""))</f>
        <v/>
      </c>
      <c r="R513" s="45" t="str">
        <f>IF(OR($Q513="",NOT(ISNUMBER($V513))),"",$AK513/$V513)</f>
        <v/>
      </c>
      <c r="S513" s="46" t="str">
        <f>IF($Q513="","",IF(AND(ISNUMBER($R513),ABS(N($R513))&lt;N(Settings!$C$8)),"Scratch",IF($Q513&gt;0,"Win",IF($Q513&lt;0,"Loss","Scratch"))))</f>
        <v/>
      </c>
      <c r="T513" s="47" t="str">
        <f>IF(OR($AM513=0,NOT(ISNUMBER($H513)),NOT(ISNUMBER($I513)),NOT(ISNUMBER($J513))),"",IF($H513=$I513,"",ROUND(ABS($J513-$H513)/ABS($H513-$I513),6)))</f>
        <v/>
      </c>
      <c r="U513" s="48" t="str">
        <f>IF(OR($S513&lt;&gt;"Win",NOT(ISNUMBER($T513)),NOT(ISNUMBER($R513))),"",MAX(0,$T513-$R513))</f>
        <v/>
      </c>
      <c r="V513" s="49" t="str">
        <f>IF(OR($AM513=0,NOT(ISNUMBER($H513)),NOT(ISNUMBER($I513)),NOT(ISNUMBER($G513))),"",IF(OR($AG513="",$AH513=""),"",IF(ROUND(ABS($H513-$I513)*ABS($G513)*$AG513*$AH513,6)=0,"",ROUND(ABS($H513-$I513)*ABS($G513)*$AG513*$AH513,6))))</f>
        <v/>
      </c>
      <c r="W513" s="50" t="str">
        <f>IF($AM513=0,"",IF($BG513="","OK",LEFT($BG513,LEN($BG513)-2)))</f>
        <v/>
      </c>
      <c r="X513" s="41" t="n"/>
      <c r="Y513" s="40" t="n"/>
      <c r="Z513" s="41" t="n"/>
      <c r="AA513" s="41" t="n"/>
      <c r="AB513" s="40" t="n"/>
      <c r="AC513" s="51" t="n"/>
      <c r="AD513" s="51" t="n"/>
      <c r="AE513" s="40" t="n"/>
      <c r="AF513" s="52" t="str">
        <f>IF($AM513=0,"",IF($D513&lt;&gt;"",$D513,IF(IFERROR(INDEX(Accounts!$C$7:$C$16,MATCH($C513,Accounts!$B$7:$B$16,0))&amp;"","")&lt;&gt;"",INDEX(Accounts!$C$7:$C$16,MATCH($C513,Accounts!$B$7:$B$16,0)),Settings!$C$6)))</f>
        <v/>
      </c>
      <c r="AG513" s="53" t="str">
        <f>IF($AM513=0,"",IF(AND($BE513&gt;0,N(INDEX(Instruments!$D$6:$D$205,MAX(1,$BE513)))&gt;0),INDEX(Instruments!$D$6:$D$205,MAX(1,$BE513)),IF(N(INDEX(Settings!$D$14:$D$18,$BF513))&gt;0,INDEX(Settings!$D$14:$D$18,$BF513),"")))</f>
        <v/>
      </c>
      <c r="AH513" s="54" t="str">
        <f>IF($AM513=0,"",IF($AF513&lt;&gt;"Forex",1,IF(MID(UPPER(SUBSTITUTE(TRIM($E513),"/","")),4,3)=UPPER(TRIM(Settings!$C$7)),1,IF(LEFT(UPPER(SUBSTITUTE(TRIM($E513),"/","")),3)=UPPER(TRIM(Settings!$C$7)),IF(AND(ISNUMBER($K513),N($K513)&lt;&gt;0),1/$K513,""),""))))</f>
        <v/>
      </c>
      <c r="AI513" s="55" t="str">
        <f>IF($AM513=0,"",IF(OR(NOT(ISNUMBER($H513)),NOT(ISNUMBER($K513)),NOT(ISNUMBER($G513)),$AG513="",$AH513=""),"",ROUND(($K513-$H513)*IF($F513="Short",-1,1)*$G513*$AG513*$AH513,6)))</f>
        <v/>
      </c>
      <c r="AJ513" s="55" t="str">
        <f>IF($AM513=0,"",IF(INDEX(Settings!$E$14:$E$18,$BF513)="% of notional",IF(OR($AG513="",NOT(ISNUMBER($H513)),NOT(ISNUMBER($G513))),"",ROUND(ABS($H513*$G513*$AG513*N($AH513))*IF($L513="Limit",N(INDEX(Settings!$G$14:$G$18,$BF513)),N(INDEX(Settings!$H$14:$H$18,$BF513)))+IF(ISNUMBER($K513),ABS($K513*$G513*$AG513*N($AH513))*IF($M513="Target",N(INDEX(Settings!$G$14:$G$18,$BF513)),N(INDEX(Settings!$H$14:$H$18,$BF513))),0),6)),IF(NOT(ISNUMBER($G513)),"",ROUND(ABS($G513)*2*IF(AND($BE513&gt;0,ISNUMBER(INDEX(Instruments!$G$6:$G$205,MAX(1,$BE513)))),INDEX(Instruments!$G$6:$G$205,MAX(1,$BE513)),N(INDEX(Settings!$F$14:$F$18,$BF513))),6))))</f>
        <v/>
      </c>
      <c r="AK513" s="55" t="str">
        <f>IF($AM513=0,"",IF(ISNUMBER($O513),$O513,$AI513))</f>
        <v/>
      </c>
      <c r="AL513" s="55" t="str">
        <f>IF($AM513=0,"",IF(ISNUMBER($P513),$P513,N($AJ513)))</f>
        <v/>
      </c>
      <c r="AM513" s="56">
        <f>IF(AND($A513&lt;&gt;"",$E513&lt;&gt;"",OR(AND(ISNUMBER($G513),ISNUMBER($H513),ISNUMBER($K513)),ISNUMBER($O513))),1,0)</f>
        <v>0</v>
      </c>
      <c r="AN513" s="57" t="str">
        <f>IF($A513="","",$A513-WEEKDAY($A513,3))</f>
        <v/>
      </c>
      <c r="AO513" s="56" t="str">
        <f>IF($A513="","",WEEKDAY($A513,2))</f>
        <v/>
      </c>
      <c r="AP513" s="55" t="str">
        <f>IF(OR($AM513=0,$C513=""),"",IFERROR(N(INDEX(Accounts!$E$7:$E$16,MATCH($C513,Accounts!$B$7:$B$16,0))),0)+SUMIFS($Q$6:$Q513,$C$6:$C513,$C513))</f>
        <v/>
      </c>
      <c r="AQ513" s="55" t="str">
        <f>IF(OR($AM513=0,$C513=""),"",SUMIFS($Q$6:$Q$1005,$C$6:$C$1005,$C513,$A$6:$A$1005,$A513))</f>
        <v/>
      </c>
      <c r="AR513" s="55" t="str">
        <f>IF(OR($AM513=0,$C513=""),"",IFERROR(N(INDEX(Accounts!$E$7:$E$16,MATCH($C513,Accounts!$B$7:$B$16,0))),0)+SUMIFS($Q$6:$Q$1005,$C$6:$C$1005,$C513,$A$6:$A$1005,"&lt;="&amp;$A513))</f>
        <v/>
      </c>
      <c r="AS513" s="56">
        <f>IF(OR($AM513=0,$Q513=""),0,IF(AND($A513&gt;=Lists!$W$6,$A513&lt;=Lists!$W$7,OR(Dashboard!$D$6="All accounts",$C513=Dashboard!$D$6),OR(Dashboard!$D$7="All markets",$AF513=Dashboard!$D$7)),1,0))</f>
        <v>0</v>
      </c>
      <c r="AT513" s="55">
        <f>IF($AS513=1,N(AT512)+$Q513,N(AT512))</f>
        <v>1187.10688</v>
      </c>
      <c r="AU513" s="55">
        <f>MAX(N(AU512),$AT513)</f>
        <v>1187.10688</v>
      </c>
      <c r="AV513" s="55">
        <f>$AT513-$AU513</f>
        <v>0</v>
      </c>
      <c r="AW513" s="56">
        <f>IF($AS513=1,IF($S513="Win",N(AW512)+1,IF($S513="Loss",0,N(AW512))),N(AW512))</f>
        <v>5</v>
      </c>
      <c r="AX513" s="56">
        <f>IF($AS513=1,IF($S513="Loss",N(AX512)+1,IF($S513="Win",0,N(AX512))),N(AX512))</f>
        <v>0</v>
      </c>
      <c r="AY513" s="56" t="str">
        <f>IF($AS513=1,COUNTIF($AS$6:$AS513,1),"")</f>
        <v/>
      </c>
      <c r="AZ513" s="56">
        <f>MIN(507,N(Lists!$W$8))</f>
        <v>28</v>
      </c>
      <c r="BA513" s="56">
        <f>IF($AS513=1,IF(COUNTIFS($A$6:$A513,$A513,$AS$6:$AS513,1)=1,1,0),0)</f>
        <v>0</v>
      </c>
      <c r="BB513" s="55" t="str">
        <f>IF($BA513=1,SUMIFS($Q$6:$Q$1005,$A$6:$A$1005,$A513,$AS$6:$AS$1005,1),"")</f>
        <v/>
      </c>
      <c r="BC513" s="56">
        <f>IF(ISNUMBER($R513),1,0)</f>
        <v>0</v>
      </c>
      <c r="BD513" s="55" t="str">
        <f>IF(ISNUMBER($U513),$U513*$V513,"")</f>
        <v/>
      </c>
      <c r="BE513" s="56" t="str">
        <f>IF($AM513=0,"",IFERROR(MATCH($AF513&amp;"|"&amp;UPPER(TRIM($E513)),Lists!$A$6:$A$205,0),0))</f>
        <v/>
      </c>
      <c r="BF513" s="56" t="str">
        <f>IF($AM513=0,"",IFERROR(MATCH($AF513,Settings!$B$14:$B$18,0),IFERROR(MATCH(Settings!$C$6,Settings!$B$14:$B$18,0),1)))</f>
        <v/>
      </c>
      <c r="BG513" s="58" t="str">
        <f>IF($AM513=0,"",IF(NOT(ISNUMBER($I513)),"No stop; ","")&amp;IF(AND(ISNUMBER($H513),ISNUMBER($I513)),IF(OR(AND($F513&lt;&gt;"Short",$I513&gt;=$H513),AND($F513="Short",$I513&lt;=$H513)),"Stop on wrong side; ",""),"")&amp;IF($F513="","No direction; ","")&amp;IF(AND(ISNUMBER(Settings!$C$22),ISNUMBER($V513)),IF($V513&gt;Settings!$C$22,"Risk over max $; ",""),"")&amp;IF(AND(ISNUMBER(Settings!$C$23),ISNUMBER($V513),ISNUMBER($AP513),IFERROR(N(INDEX(Accounts!$E$7:$E$16,MATCH($C513,Accounts!$B$7:$B$16,0))),0)&gt;0),IF($V513&gt;Settings!$C$23*($AP513-N($Q513)),"Risk over max %; ",""),"")&amp;IF(AND(ISNUMBER(Settings!$C$24),ISNUMBER($N513)),IF($N513&gt;Settings!$C$24,"Leverage over max; ",""),"")&amp;IF(AND(ISNUMBER(Settings!$C$27),ISNUMBER($T513)),IF($T513&lt;Settings!$C$27,"R:R below min; ",""),"")&amp;IF(ISNUMBER(Settings!$C$25),IF(COUNTIFS($A$6:$A513,$A513,$AM$6:$AM513,1)&gt;Settings!$C$25,"Over max trades/day; ",""),"")&amp;IF(ISNUMBER(Settings!$C$26),IF(SUMIFS($Q$5:$Q512,$A$5:$A512,$A513)&lt;=-Settings!$C$26,"Traded after daily max loss; ",""),"")&amp;IF(AND($AG513="",NOT(ISNUMBER($O513))),"Symbol not in Instruments; ","")&amp;IF(AND($AH513="",NOT(ISNUMBER($O513))),"Forex cross: type Gross P&amp;L; ",""))</f>
        <v/>
      </c>
      <c r="BH513" s="56">
        <f>IF(ISNUMBER($Q513),1,0)</f>
        <v>0</v>
      </c>
      <c r="BI513" s="56">
        <f>IF($Y513="",0,1)</f>
        <v>0</v>
      </c>
      <c r="BJ513" s="56">
        <f>IF($AB513="",0,1)</f>
        <v>0</v>
      </c>
      <c r="BK513" s="56">
        <f>IF(AND($BH513=1,$W513&lt;&gt;"OK"),1,0)</f>
        <v>0</v>
      </c>
      <c r="BL513" s="55">
        <f>IF(N($AZ513)=0,0,IFERROR(INDEX($AT$6:$AT$1005,MATCH($AZ513,$AY$6:$AY$1005,0)),0))</f>
        <v>1187.10688</v>
      </c>
      <c r="BM513" s="56">
        <f>IF(ISNUMBER(SEARCH("daily max loss",$BG513)),1,0)</f>
        <v>0</v>
      </c>
    </row>
    <row r="514" ht="18" customHeight="1">
      <c r="A514" s="38" t="n"/>
      <c r="B514" s="39" t="n"/>
      <c r="C514" s="40" t="n"/>
      <c r="D514" s="41" t="n"/>
      <c r="E514" s="41" t="n"/>
      <c r="F514" s="41" t="n"/>
      <c r="G514" s="41" t="n"/>
      <c r="H514" s="42" t="n"/>
      <c r="I514" s="42" t="n"/>
      <c r="J514" s="42" t="n"/>
      <c r="K514" s="42" t="n"/>
      <c r="L514" s="41" t="n"/>
      <c r="M514" s="41" t="n"/>
      <c r="N514" s="41" t="n"/>
      <c r="O514" s="43" t="n"/>
      <c r="P514" s="43" t="n"/>
      <c r="Q514" s="44" t="str">
        <f>IF($AM514=0,"",IF(ISNUMBER($AK514),$AK514-N($AL514),""))</f>
        <v/>
      </c>
      <c r="R514" s="45" t="str">
        <f>IF(OR($Q514="",NOT(ISNUMBER($V514))),"",$AK514/$V514)</f>
        <v/>
      </c>
      <c r="S514" s="46" t="str">
        <f>IF($Q514="","",IF(AND(ISNUMBER($R514),ABS(N($R514))&lt;N(Settings!$C$8)),"Scratch",IF($Q514&gt;0,"Win",IF($Q514&lt;0,"Loss","Scratch"))))</f>
        <v/>
      </c>
      <c r="T514" s="47" t="str">
        <f>IF(OR($AM514=0,NOT(ISNUMBER($H514)),NOT(ISNUMBER($I514)),NOT(ISNUMBER($J514))),"",IF($H514=$I514,"",ROUND(ABS($J514-$H514)/ABS($H514-$I514),6)))</f>
        <v/>
      </c>
      <c r="U514" s="48" t="str">
        <f>IF(OR($S514&lt;&gt;"Win",NOT(ISNUMBER($T514)),NOT(ISNUMBER($R514))),"",MAX(0,$T514-$R514))</f>
        <v/>
      </c>
      <c r="V514" s="49" t="str">
        <f>IF(OR($AM514=0,NOT(ISNUMBER($H514)),NOT(ISNUMBER($I514)),NOT(ISNUMBER($G514))),"",IF(OR($AG514="",$AH514=""),"",IF(ROUND(ABS($H514-$I514)*ABS($G514)*$AG514*$AH514,6)=0,"",ROUND(ABS($H514-$I514)*ABS($G514)*$AG514*$AH514,6))))</f>
        <v/>
      </c>
      <c r="W514" s="50" t="str">
        <f>IF($AM514=0,"",IF($BG514="","OK",LEFT($BG514,LEN($BG514)-2)))</f>
        <v/>
      </c>
      <c r="X514" s="41" t="n"/>
      <c r="Y514" s="40" t="n"/>
      <c r="Z514" s="41" t="n"/>
      <c r="AA514" s="41" t="n"/>
      <c r="AB514" s="40" t="n"/>
      <c r="AC514" s="51" t="n"/>
      <c r="AD514" s="51" t="n"/>
      <c r="AE514" s="40" t="n"/>
      <c r="AF514" s="52" t="str">
        <f>IF($AM514=0,"",IF($D514&lt;&gt;"",$D514,IF(IFERROR(INDEX(Accounts!$C$7:$C$16,MATCH($C514,Accounts!$B$7:$B$16,0))&amp;"","")&lt;&gt;"",INDEX(Accounts!$C$7:$C$16,MATCH($C514,Accounts!$B$7:$B$16,0)),Settings!$C$6)))</f>
        <v/>
      </c>
      <c r="AG514" s="53" t="str">
        <f>IF($AM514=0,"",IF(AND($BE514&gt;0,N(INDEX(Instruments!$D$6:$D$205,MAX(1,$BE514)))&gt;0),INDEX(Instruments!$D$6:$D$205,MAX(1,$BE514)),IF(N(INDEX(Settings!$D$14:$D$18,$BF514))&gt;0,INDEX(Settings!$D$14:$D$18,$BF514),"")))</f>
        <v/>
      </c>
      <c r="AH514" s="54" t="str">
        <f>IF($AM514=0,"",IF($AF514&lt;&gt;"Forex",1,IF(MID(UPPER(SUBSTITUTE(TRIM($E514),"/","")),4,3)=UPPER(TRIM(Settings!$C$7)),1,IF(LEFT(UPPER(SUBSTITUTE(TRIM($E514),"/","")),3)=UPPER(TRIM(Settings!$C$7)),IF(AND(ISNUMBER($K514),N($K514)&lt;&gt;0),1/$K514,""),""))))</f>
        <v/>
      </c>
      <c r="AI514" s="55" t="str">
        <f>IF($AM514=0,"",IF(OR(NOT(ISNUMBER($H514)),NOT(ISNUMBER($K514)),NOT(ISNUMBER($G514)),$AG514="",$AH514=""),"",ROUND(($K514-$H514)*IF($F514="Short",-1,1)*$G514*$AG514*$AH514,6)))</f>
        <v/>
      </c>
      <c r="AJ514" s="55" t="str">
        <f>IF($AM514=0,"",IF(INDEX(Settings!$E$14:$E$18,$BF514)="% of notional",IF(OR($AG514="",NOT(ISNUMBER($H514)),NOT(ISNUMBER($G514))),"",ROUND(ABS($H514*$G514*$AG514*N($AH514))*IF($L514="Limit",N(INDEX(Settings!$G$14:$G$18,$BF514)),N(INDEX(Settings!$H$14:$H$18,$BF514)))+IF(ISNUMBER($K514),ABS($K514*$G514*$AG514*N($AH514))*IF($M514="Target",N(INDEX(Settings!$G$14:$G$18,$BF514)),N(INDEX(Settings!$H$14:$H$18,$BF514))),0),6)),IF(NOT(ISNUMBER($G514)),"",ROUND(ABS($G514)*2*IF(AND($BE514&gt;0,ISNUMBER(INDEX(Instruments!$G$6:$G$205,MAX(1,$BE514)))),INDEX(Instruments!$G$6:$G$205,MAX(1,$BE514)),N(INDEX(Settings!$F$14:$F$18,$BF514))),6))))</f>
        <v/>
      </c>
      <c r="AK514" s="55" t="str">
        <f>IF($AM514=0,"",IF(ISNUMBER($O514),$O514,$AI514))</f>
        <v/>
      </c>
      <c r="AL514" s="55" t="str">
        <f>IF($AM514=0,"",IF(ISNUMBER($P514),$P514,N($AJ514)))</f>
        <v/>
      </c>
      <c r="AM514" s="56">
        <f>IF(AND($A514&lt;&gt;"",$E514&lt;&gt;"",OR(AND(ISNUMBER($G514),ISNUMBER($H514),ISNUMBER($K514)),ISNUMBER($O514))),1,0)</f>
        <v>0</v>
      </c>
      <c r="AN514" s="57" t="str">
        <f>IF($A514="","",$A514-WEEKDAY($A514,3))</f>
        <v/>
      </c>
      <c r="AO514" s="56" t="str">
        <f>IF($A514="","",WEEKDAY($A514,2))</f>
        <v/>
      </c>
      <c r="AP514" s="55" t="str">
        <f>IF(OR($AM514=0,$C514=""),"",IFERROR(N(INDEX(Accounts!$E$7:$E$16,MATCH($C514,Accounts!$B$7:$B$16,0))),0)+SUMIFS($Q$6:$Q514,$C$6:$C514,$C514))</f>
        <v/>
      </c>
      <c r="AQ514" s="55" t="str">
        <f>IF(OR($AM514=0,$C514=""),"",SUMIFS($Q$6:$Q$1005,$C$6:$C$1005,$C514,$A$6:$A$1005,$A514))</f>
        <v/>
      </c>
      <c r="AR514" s="55" t="str">
        <f>IF(OR($AM514=0,$C514=""),"",IFERROR(N(INDEX(Accounts!$E$7:$E$16,MATCH($C514,Accounts!$B$7:$B$16,0))),0)+SUMIFS($Q$6:$Q$1005,$C$6:$C$1005,$C514,$A$6:$A$1005,"&lt;="&amp;$A514))</f>
        <v/>
      </c>
      <c r="AS514" s="56">
        <f>IF(OR($AM514=0,$Q514=""),0,IF(AND($A514&gt;=Lists!$W$6,$A514&lt;=Lists!$W$7,OR(Dashboard!$D$6="All accounts",$C514=Dashboard!$D$6),OR(Dashboard!$D$7="All markets",$AF514=Dashboard!$D$7)),1,0))</f>
        <v>0</v>
      </c>
      <c r="AT514" s="55">
        <f>IF($AS514=1,N(AT513)+$Q514,N(AT513))</f>
        <v>1187.10688</v>
      </c>
      <c r="AU514" s="55">
        <f>MAX(N(AU513),$AT514)</f>
        <v>1187.10688</v>
      </c>
      <c r="AV514" s="55">
        <f>$AT514-$AU514</f>
        <v>0</v>
      </c>
      <c r="AW514" s="56">
        <f>IF($AS514=1,IF($S514="Win",N(AW513)+1,IF($S514="Loss",0,N(AW513))),N(AW513))</f>
        <v>5</v>
      </c>
      <c r="AX514" s="56">
        <f>IF($AS514=1,IF($S514="Loss",N(AX513)+1,IF($S514="Win",0,N(AX513))),N(AX513))</f>
        <v>0</v>
      </c>
      <c r="AY514" s="56" t="str">
        <f>IF($AS514=1,COUNTIF($AS$6:$AS514,1),"")</f>
        <v/>
      </c>
      <c r="AZ514" s="56">
        <f>MIN(508,N(Lists!$W$8))</f>
        <v>28</v>
      </c>
      <c r="BA514" s="56">
        <f>IF($AS514=1,IF(COUNTIFS($A$6:$A514,$A514,$AS$6:$AS514,1)=1,1,0),0)</f>
        <v>0</v>
      </c>
      <c r="BB514" s="55" t="str">
        <f>IF($BA514=1,SUMIFS($Q$6:$Q$1005,$A$6:$A$1005,$A514,$AS$6:$AS$1005,1),"")</f>
        <v/>
      </c>
      <c r="BC514" s="56">
        <f>IF(ISNUMBER($R514),1,0)</f>
        <v>0</v>
      </c>
      <c r="BD514" s="55" t="str">
        <f>IF(ISNUMBER($U514),$U514*$V514,"")</f>
        <v/>
      </c>
      <c r="BE514" s="56" t="str">
        <f>IF($AM514=0,"",IFERROR(MATCH($AF514&amp;"|"&amp;UPPER(TRIM($E514)),Lists!$A$6:$A$205,0),0))</f>
        <v/>
      </c>
      <c r="BF514" s="56" t="str">
        <f>IF($AM514=0,"",IFERROR(MATCH($AF514,Settings!$B$14:$B$18,0),IFERROR(MATCH(Settings!$C$6,Settings!$B$14:$B$18,0),1)))</f>
        <v/>
      </c>
      <c r="BG514" s="58" t="str">
        <f>IF($AM514=0,"",IF(NOT(ISNUMBER($I514)),"No stop; ","")&amp;IF(AND(ISNUMBER($H514),ISNUMBER($I514)),IF(OR(AND($F514&lt;&gt;"Short",$I514&gt;=$H514),AND($F514="Short",$I514&lt;=$H514)),"Stop on wrong side; ",""),"")&amp;IF($F514="","No direction; ","")&amp;IF(AND(ISNUMBER(Settings!$C$22),ISNUMBER($V514)),IF($V514&gt;Settings!$C$22,"Risk over max $; ",""),"")&amp;IF(AND(ISNUMBER(Settings!$C$23),ISNUMBER($V514),ISNUMBER($AP514),IFERROR(N(INDEX(Accounts!$E$7:$E$16,MATCH($C514,Accounts!$B$7:$B$16,0))),0)&gt;0),IF($V514&gt;Settings!$C$23*($AP514-N($Q514)),"Risk over max %; ",""),"")&amp;IF(AND(ISNUMBER(Settings!$C$24),ISNUMBER($N514)),IF($N514&gt;Settings!$C$24,"Leverage over max; ",""),"")&amp;IF(AND(ISNUMBER(Settings!$C$27),ISNUMBER($T514)),IF($T514&lt;Settings!$C$27,"R:R below min; ",""),"")&amp;IF(ISNUMBER(Settings!$C$25),IF(COUNTIFS($A$6:$A514,$A514,$AM$6:$AM514,1)&gt;Settings!$C$25,"Over max trades/day; ",""),"")&amp;IF(ISNUMBER(Settings!$C$26),IF(SUMIFS($Q$5:$Q513,$A$5:$A513,$A514)&lt;=-Settings!$C$26,"Traded after daily max loss; ",""),"")&amp;IF(AND($AG514="",NOT(ISNUMBER($O514))),"Symbol not in Instruments; ","")&amp;IF(AND($AH514="",NOT(ISNUMBER($O514))),"Forex cross: type Gross P&amp;L; ",""))</f>
        <v/>
      </c>
      <c r="BH514" s="56">
        <f>IF(ISNUMBER($Q514),1,0)</f>
        <v>0</v>
      </c>
      <c r="BI514" s="56">
        <f>IF($Y514="",0,1)</f>
        <v>0</v>
      </c>
      <c r="BJ514" s="56">
        <f>IF($AB514="",0,1)</f>
        <v>0</v>
      </c>
      <c r="BK514" s="56">
        <f>IF(AND($BH514=1,$W514&lt;&gt;"OK"),1,0)</f>
        <v>0</v>
      </c>
      <c r="BL514" s="55">
        <f>IF(N($AZ514)=0,0,IFERROR(INDEX($AT$6:$AT$1005,MATCH($AZ514,$AY$6:$AY$1005,0)),0))</f>
        <v>1187.10688</v>
      </c>
      <c r="BM514" s="56">
        <f>IF(ISNUMBER(SEARCH("daily max loss",$BG514)),1,0)</f>
        <v>0</v>
      </c>
    </row>
    <row r="515" ht="18" customHeight="1">
      <c r="A515" s="38" t="n"/>
      <c r="B515" s="39" t="n"/>
      <c r="C515" s="40" t="n"/>
      <c r="D515" s="41" t="n"/>
      <c r="E515" s="41" t="n"/>
      <c r="F515" s="41" t="n"/>
      <c r="G515" s="41" t="n"/>
      <c r="H515" s="42" t="n"/>
      <c r="I515" s="42" t="n"/>
      <c r="J515" s="42" t="n"/>
      <c r="K515" s="42" t="n"/>
      <c r="L515" s="41" t="n"/>
      <c r="M515" s="41" t="n"/>
      <c r="N515" s="41" t="n"/>
      <c r="O515" s="43" t="n"/>
      <c r="P515" s="43" t="n"/>
      <c r="Q515" s="44" t="str">
        <f>IF($AM515=0,"",IF(ISNUMBER($AK515),$AK515-N($AL515),""))</f>
        <v/>
      </c>
      <c r="R515" s="45" t="str">
        <f>IF(OR($Q515="",NOT(ISNUMBER($V515))),"",$AK515/$V515)</f>
        <v/>
      </c>
      <c r="S515" s="46" t="str">
        <f>IF($Q515="","",IF(AND(ISNUMBER($R515),ABS(N($R515))&lt;N(Settings!$C$8)),"Scratch",IF($Q515&gt;0,"Win",IF($Q515&lt;0,"Loss","Scratch"))))</f>
        <v/>
      </c>
      <c r="T515" s="47" t="str">
        <f>IF(OR($AM515=0,NOT(ISNUMBER($H515)),NOT(ISNUMBER($I515)),NOT(ISNUMBER($J515))),"",IF($H515=$I515,"",ROUND(ABS($J515-$H515)/ABS($H515-$I515),6)))</f>
        <v/>
      </c>
      <c r="U515" s="48" t="str">
        <f>IF(OR($S515&lt;&gt;"Win",NOT(ISNUMBER($T515)),NOT(ISNUMBER($R515))),"",MAX(0,$T515-$R515))</f>
        <v/>
      </c>
      <c r="V515" s="49" t="str">
        <f>IF(OR($AM515=0,NOT(ISNUMBER($H515)),NOT(ISNUMBER($I515)),NOT(ISNUMBER($G515))),"",IF(OR($AG515="",$AH515=""),"",IF(ROUND(ABS($H515-$I515)*ABS($G515)*$AG515*$AH515,6)=0,"",ROUND(ABS($H515-$I515)*ABS($G515)*$AG515*$AH515,6))))</f>
        <v/>
      </c>
      <c r="W515" s="50" t="str">
        <f>IF($AM515=0,"",IF($BG515="","OK",LEFT($BG515,LEN($BG515)-2)))</f>
        <v/>
      </c>
      <c r="X515" s="41" t="n"/>
      <c r="Y515" s="40" t="n"/>
      <c r="Z515" s="41" t="n"/>
      <c r="AA515" s="41" t="n"/>
      <c r="AB515" s="40" t="n"/>
      <c r="AC515" s="51" t="n"/>
      <c r="AD515" s="51" t="n"/>
      <c r="AE515" s="40" t="n"/>
      <c r="AF515" s="52" t="str">
        <f>IF($AM515=0,"",IF($D515&lt;&gt;"",$D515,IF(IFERROR(INDEX(Accounts!$C$7:$C$16,MATCH($C515,Accounts!$B$7:$B$16,0))&amp;"","")&lt;&gt;"",INDEX(Accounts!$C$7:$C$16,MATCH($C515,Accounts!$B$7:$B$16,0)),Settings!$C$6)))</f>
        <v/>
      </c>
      <c r="AG515" s="53" t="str">
        <f>IF($AM515=0,"",IF(AND($BE515&gt;0,N(INDEX(Instruments!$D$6:$D$205,MAX(1,$BE515)))&gt;0),INDEX(Instruments!$D$6:$D$205,MAX(1,$BE515)),IF(N(INDEX(Settings!$D$14:$D$18,$BF515))&gt;0,INDEX(Settings!$D$14:$D$18,$BF515),"")))</f>
        <v/>
      </c>
      <c r="AH515" s="54" t="str">
        <f>IF($AM515=0,"",IF($AF515&lt;&gt;"Forex",1,IF(MID(UPPER(SUBSTITUTE(TRIM($E515),"/","")),4,3)=UPPER(TRIM(Settings!$C$7)),1,IF(LEFT(UPPER(SUBSTITUTE(TRIM($E515),"/","")),3)=UPPER(TRIM(Settings!$C$7)),IF(AND(ISNUMBER($K515),N($K515)&lt;&gt;0),1/$K515,""),""))))</f>
        <v/>
      </c>
      <c r="AI515" s="55" t="str">
        <f>IF($AM515=0,"",IF(OR(NOT(ISNUMBER($H515)),NOT(ISNUMBER($K515)),NOT(ISNUMBER($G515)),$AG515="",$AH515=""),"",ROUND(($K515-$H515)*IF($F515="Short",-1,1)*$G515*$AG515*$AH515,6)))</f>
        <v/>
      </c>
      <c r="AJ515" s="55" t="str">
        <f>IF($AM515=0,"",IF(INDEX(Settings!$E$14:$E$18,$BF515)="% of notional",IF(OR($AG515="",NOT(ISNUMBER($H515)),NOT(ISNUMBER($G515))),"",ROUND(ABS($H515*$G515*$AG515*N($AH515))*IF($L515="Limit",N(INDEX(Settings!$G$14:$G$18,$BF515)),N(INDEX(Settings!$H$14:$H$18,$BF515)))+IF(ISNUMBER($K515),ABS($K515*$G515*$AG515*N($AH515))*IF($M515="Target",N(INDEX(Settings!$G$14:$G$18,$BF515)),N(INDEX(Settings!$H$14:$H$18,$BF515))),0),6)),IF(NOT(ISNUMBER($G515)),"",ROUND(ABS($G515)*2*IF(AND($BE515&gt;0,ISNUMBER(INDEX(Instruments!$G$6:$G$205,MAX(1,$BE515)))),INDEX(Instruments!$G$6:$G$205,MAX(1,$BE515)),N(INDEX(Settings!$F$14:$F$18,$BF515))),6))))</f>
        <v/>
      </c>
      <c r="AK515" s="55" t="str">
        <f>IF($AM515=0,"",IF(ISNUMBER($O515),$O515,$AI515))</f>
        <v/>
      </c>
      <c r="AL515" s="55" t="str">
        <f>IF($AM515=0,"",IF(ISNUMBER($P515),$P515,N($AJ515)))</f>
        <v/>
      </c>
      <c r="AM515" s="56">
        <f>IF(AND($A515&lt;&gt;"",$E515&lt;&gt;"",OR(AND(ISNUMBER($G515),ISNUMBER($H515),ISNUMBER($K515)),ISNUMBER($O515))),1,0)</f>
        <v>0</v>
      </c>
      <c r="AN515" s="57" t="str">
        <f>IF($A515="","",$A515-WEEKDAY($A515,3))</f>
        <v/>
      </c>
      <c r="AO515" s="56" t="str">
        <f>IF($A515="","",WEEKDAY($A515,2))</f>
        <v/>
      </c>
      <c r="AP515" s="55" t="str">
        <f>IF(OR($AM515=0,$C515=""),"",IFERROR(N(INDEX(Accounts!$E$7:$E$16,MATCH($C515,Accounts!$B$7:$B$16,0))),0)+SUMIFS($Q$6:$Q515,$C$6:$C515,$C515))</f>
        <v/>
      </c>
      <c r="AQ515" s="55" t="str">
        <f>IF(OR($AM515=0,$C515=""),"",SUMIFS($Q$6:$Q$1005,$C$6:$C$1005,$C515,$A$6:$A$1005,$A515))</f>
        <v/>
      </c>
      <c r="AR515" s="55" t="str">
        <f>IF(OR($AM515=0,$C515=""),"",IFERROR(N(INDEX(Accounts!$E$7:$E$16,MATCH($C515,Accounts!$B$7:$B$16,0))),0)+SUMIFS($Q$6:$Q$1005,$C$6:$C$1005,$C515,$A$6:$A$1005,"&lt;="&amp;$A515))</f>
        <v/>
      </c>
      <c r="AS515" s="56">
        <f>IF(OR($AM515=0,$Q515=""),0,IF(AND($A515&gt;=Lists!$W$6,$A515&lt;=Lists!$W$7,OR(Dashboard!$D$6="All accounts",$C515=Dashboard!$D$6),OR(Dashboard!$D$7="All markets",$AF515=Dashboard!$D$7)),1,0))</f>
        <v>0</v>
      </c>
      <c r="AT515" s="55">
        <f>IF($AS515=1,N(AT514)+$Q515,N(AT514))</f>
        <v>1187.10688</v>
      </c>
      <c r="AU515" s="55">
        <f>MAX(N(AU514),$AT515)</f>
        <v>1187.10688</v>
      </c>
      <c r="AV515" s="55">
        <f>$AT515-$AU515</f>
        <v>0</v>
      </c>
      <c r="AW515" s="56">
        <f>IF($AS515=1,IF($S515="Win",N(AW514)+1,IF($S515="Loss",0,N(AW514))),N(AW514))</f>
        <v>5</v>
      </c>
      <c r="AX515" s="56">
        <f>IF($AS515=1,IF($S515="Loss",N(AX514)+1,IF($S515="Win",0,N(AX514))),N(AX514))</f>
        <v>0</v>
      </c>
      <c r="AY515" s="56" t="str">
        <f>IF($AS515=1,COUNTIF($AS$6:$AS515,1),"")</f>
        <v/>
      </c>
      <c r="AZ515" s="56">
        <f>MIN(509,N(Lists!$W$8))</f>
        <v>28</v>
      </c>
      <c r="BA515" s="56">
        <f>IF($AS515=1,IF(COUNTIFS($A$6:$A515,$A515,$AS$6:$AS515,1)=1,1,0),0)</f>
        <v>0</v>
      </c>
      <c r="BB515" s="55" t="str">
        <f>IF($BA515=1,SUMIFS($Q$6:$Q$1005,$A$6:$A$1005,$A515,$AS$6:$AS$1005,1),"")</f>
        <v/>
      </c>
      <c r="BC515" s="56">
        <f>IF(ISNUMBER($R515),1,0)</f>
        <v>0</v>
      </c>
      <c r="BD515" s="55" t="str">
        <f>IF(ISNUMBER($U515),$U515*$V515,"")</f>
        <v/>
      </c>
      <c r="BE515" s="56" t="str">
        <f>IF($AM515=0,"",IFERROR(MATCH($AF515&amp;"|"&amp;UPPER(TRIM($E515)),Lists!$A$6:$A$205,0),0))</f>
        <v/>
      </c>
      <c r="BF515" s="56" t="str">
        <f>IF($AM515=0,"",IFERROR(MATCH($AF515,Settings!$B$14:$B$18,0),IFERROR(MATCH(Settings!$C$6,Settings!$B$14:$B$18,0),1)))</f>
        <v/>
      </c>
      <c r="BG515" s="58" t="str">
        <f>IF($AM515=0,"",IF(NOT(ISNUMBER($I515)),"No stop; ","")&amp;IF(AND(ISNUMBER($H515),ISNUMBER($I515)),IF(OR(AND($F515&lt;&gt;"Short",$I515&gt;=$H515),AND($F515="Short",$I515&lt;=$H515)),"Stop on wrong side; ",""),"")&amp;IF($F515="","No direction; ","")&amp;IF(AND(ISNUMBER(Settings!$C$22),ISNUMBER($V515)),IF($V515&gt;Settings!$C$22,"Risk over max $; ",""),"")&amp;IF(AND(ISNUMBER(Settings!$C$23),ISNUMBER($V515),ISNUMBER($AP515),IFERROR(N(INDEX(Accounts!$E$7:$E$16,MATCH($C515,Accounts!$B$7:$B$16,0))),0)&gt;0),IF($V515&gt;Settings!$C$23*($AP515-N($Q515)),"Risk over max %; ",""),"")&amp;IF(AND(ISNUMBER(Settings!$C$24),ISNUMBER($N515)),IF($N515&gt;Settings!$C$24,"Leverage over max; ",""),"")&amp;IF(AND(ISNUMBER(Settings!$C$27),ISNUMBER($T515)),IF($T515&lt;Settings!$C$27,"R:R below min; ",""),"")&amp;IF(ISNUMBER(Settings!$C$25),IF(COUNTIFS($A$6:$A515,$A515,$AM$6:$AM515,1)&gt;Settings!$C$25,"Over max trades/day; ",""),"")&amp;IF(ISNUMBER(Settings!$C$26),IF(SUMIFS($Q$5:$Q514,$A$5:$A514,$A515)&lt;=-Settings!$C$26,"Traded after daily max loss; ",""),"")&amp;IF(AND($AG515="",NOT(ISNUMBER($O515))),"Symbol not in Instruments; ","")&amp;IF(AND($AH515="",NOT(ISNUMBER($O515))),"Forex cross: type Gross P&amp;L; ",""))</f>
        <v/>
      </c>
      <c r="BH515" s="56">
        <f>IF(ISNUMBER($Q515),1,0)</f>
        <v>0</v>
      </c>
      <c r="BI515" s="56">
        <f>IF($Y515="",0,1)</f>
        <v>0</v>
      </c>
      <c r="BJ515" s="56">
        <f>IF($AB515="",0,1)</f>
        <v>0</v>
      </c>
      <c r="BK515" s="56">
        <f>IF(AND($BH515=1,$W515&lt;&gt;"OK"),1,0)</f>
        <v>0</v>
      </c>
      <c r="BL515" s="55">
        <f>IF(N($AZ515)=0,0,IFERROR(INDEX($AT$6:$AT$1005,MATCH($AZ515,$AY$6:$AY$1005,0)),0))</f>
        <v>1187.10688</v>
      </c>
      <c r="BM515" s="56">
        <f>IF(ISNUMBER(SEARCH("daily max loss",$BG515)),1,0)</f>
        <v>0</v>
      </c>
    </row>
    <row r="516" ht="18" customHeight="1">
      <c r="A516" s="38" t="n"/>
      <c r="B516" s="39" t="n"/>
      <c r="C516" s="40" t="n"/>
      <c r="D516" s="41" t="n"/>
      <c r="E516" s="41" t="n"/>
      <c r="F516" s="41" t="n"/>
      <c r="G516" s="41" t="n"/>
      <c r="H516" s="42" t="n"/>
      <c r="I516" s="42" t="n"/>
      <c r="J516" s="42" t="n"/>
      <c r="K516" s="42" t="n"/>
      <c r="L516" s="41" t="n"/>
      <c r="M516" s="41" t="n"/>
      <c r="N516" s="41" t="n"/>
      <c r="O516" s="43" t="n"/>
      <c r="P516" s="43" t="n"/>
      <c r="Q516" s="44" t="str">
        <f>IF($AM516=0,"",IF(ISNUMBER($AK516),$AK516-N($AL516),""))</f>
        <v/>
      </c>
      <c r="R516" s="45" t="str">
        <f>IF(OR($Q516="",NOT(ISNUMBER($V516))),"",$AK516/$V516)</f>
        <v/>
      </c>
      <c r="S516" s="46" t="str">
        <f>IF($Q516="","",IF(AND(ISNUMBER($R516),ABS(N($R516))&lt;N(Settings!$C$8)),"Scratch",IF($Q516&gt;0,"Win",IF($Q516&lt;0,"Loss","Scratch"))))</f>
        <v/>
      </c>
      <c r="T516" s="47" t="str">
        <f>IF(OR($AM516=0,NOT(ISNUMBER($H516)),NOT(ISNUMBER($I516)),NOT(ISNUMBER($J516))),"",IF($H516=$I516,"",ROUND(ABS($J516-$H516)/ABS($H516-$I516),6)))</f>
        <v/>
      </c>
      <c r="U516" s="48" t="str">
        <f>IF(OR($S516&lt;&gt;"Win",NOT(ISNUMBER($T516)),NOT(ISNUMBER($R516))),"",MAX(0,$T516-$R516))</f>
        <v/>
      </c>
      <c r="V516" s="49" t="str">
        <f>IF(OR($AM516=0,NOT(ISNUMBER($H516)),NOT(ISNUMBER($I516)),NOT(ISNUMBER($G516))),"",IF(OR($AG516="",$AH516=""),"",IF(ROUND(ABS($H516-$I516)*ABS($G516)*$AG516*$AH516,6)=0,"",ROUND(ABS($H516-$I516)*ABS($G516)*$AG516*$AH516,6))))</f>
        <v/>
      </c>
      <c r="W516" s="50" t="str">
        <f>IF($AM516=0,"",IF($BG516="","OK",LEFT($BG516,LEN($BG516)-2)))</f>
        <v/>
      </c>
      <c r="X516" s="41" t="n"/>
      <c r="Y516" s="40" t="n"/>
      <c r="Z516" s="41" t="n"/>
      <c r="AA516" s="41" t="n"/>
      <c r="AB516" s="40" t="n"/>
      <c r="AC516" s="51" t="n"/>
      <c r="AD516" s="51" t="n"/>
      <c r="AE516" s="40" t="n"/>
      <c r="AF516" s="52" t="str">
        <f>IF($AM516=0,"",IF($D516&lt;&gt;"",$D516,IF(IFERROR(INDEX(Accounts!$C$7:$C$16,MATCH($C516,Accounts!$B$7:$B$16,0))&amp;"","")&lt;&gt;"",INDEX(Accounts!$C$7:$C$16,MATCH($C516,Accounts!$B$7:$B$16,0)),Settings!$C$6)))</f>
        <v/>
      </c>
      <c r="AG516" s="53" t="str">
        <f>IF($AM516=0,"",IF(AND($BE516&gt;0,N(INDEX(Instruments!$D$6:$D$205,MAX(1,$BE516)))&gt;0),INDEX(Instruments!$D$6:$D$205,MAX(1,$BE516)),IF(N(INDEX(Settings!$D$14:$D$18,$BF516))&gt;0,INDEX(Settings!$D$14:$D$18,$BF516),"")))</f>
        <v/>
      </c>
      <c r="AH516" s="54" t="str">
        <f>IF($AM516=0,"",IF($AF516&lt;&gt;"Forex",1,IF(MID(UPPER(SUBSTITUTE(TRIM($E516),"/","")),4,3)=UPPER(TRIM(Settings!$C$7)),1,IF(LEFT(UPPER(SUBSTITUTE(TRIM($E516),"/","")),3)=UPPER(TRIM(Settings!$C$7)),IF(AND(ISNUMBER($K516),N($K516)&lt;&gt;0),1/$K516,""),""))))</f>
        <v/>
      </c>
      <c r="AI516" s="55" t="str">
        <f>IF($AM516=0,"",IF(OR(NOT(ISNUMBER($H516)),NOT(ISNUMBER($K516)),NOT(ISNUMBER($G516)),$AG516="",$AH516=""),"",ROUND(($K516-$H516)*IF($F516="Short",-1,1)*$G516*$AG516*$AH516,6)))</f>
        <v/>
      </c>
      <c r="AJ516" s="55" t="str">
        <f>IF($AM516=0,"",IF(INDEX(Settings!$E$14:$E$18,$BF516)="% of notional",IF(OR($AG516="",NOT(ISNUMBER($H516)),NOT(ISNUMBER($G516))),"",ROUND(ABS($H516*$G516*$AG516*N($AH516))*IF($L516="Limit",N(INDEX(Settings!$G$14:$G$18,$BF516)),N(INDEX(Settings!$H$14:$H$18,$BF516)))+IF(ISNUMBER($K516),ABS($K516*$G516*$AG516*N($AH516))*IF($M516="Target",N(INDEX(Settings!$G$14:$G$18,$BF516)),N(INDEX(Settings!$H$14:$H$18,$BF516))),0),6)),IF(NOT(ISNUMBER($G516)),"",ROUND(ABS($G516)*2*IF(AND($BE516&gt;0,ISNUMBER(INDEX(Instruments!$G$6:$G$205,MAX(1,$BE516)))),INDEX(Instruments!$G$6:$G$205,MAX(1,$BE516)),N(INDEX(Settings!$F$14:$F$18,$BF516))),6))))</f>
        <v/>
      </c>
      <c r="AK516" s="55" t="str">
        <f>IF($AM516=0,"",IF(ISNUMBER($O516),$O516,$AI516))</f>
        <v/>
      </c>
      <c r="AL516" s="55" t="str">
        <f>IF($AM516=0,"",IF(ISNUMBER($P516),$P516,N($AJ516)))</f>
        <v/>
      </c>
      <c r="AM516" s="56">
        <f>IF(AND($A516&lt;&gt;"",$E516&lt;&gt;"",OR(AND(ISNUMBER($G516),ISNUMBER($H516),ISNUMBER($K516)),ISNUMBER($O516))),1,0)</f>
        <v>0</v>
      </c>
      <c r="AN516" s="57" t="str">
        <f>IF($A516="","",$A516-WEEKDAY($A516,3))</f>
        <v/>
      </c>
      <c r="AO516" s="56" t="str">
        <f>IF($A516="","",WEEKDAY($A516,2))</f>
        <v/>
      </c>
      <c r="AP516" s="55" t="str">
        <f>IF(OR($AM516=0,$C516=""),"",IFERROR(N(INDEX(Accounts!$E$7:$E$16,MATCH($C516,Accounts!$B$7:$B$16,0))),0)+SUMIFS($Q$6:$Q516,$C$6:$C516,$C516))</f>
        <v/>
      </c>
      <c r="AQ516" s="55" t="str">
        <f>IF(OR($AM516=0,$C516=""),"",SUMIFS($Q$6:$Q$1005,$C$6:$C$1005,$C516,$A$6:$A$1005,$A516))</f>
        <v/>
      </c>
      <c r="AR516" s="55" t="str">
        <f>IF(OR($AM516=0,$C516=""),"",IFERROR(N(INDEX(Accounts!$E$7:$E$16,MATCH($C516,Accounts!$B$7:$B$16,0))),0)+SUMIFS($Q$6:$Q$1005,$C$6:$C$1005,$C516,$A$6:$A$1005,"&lt;="&amp;$A516))</f>
        <v/>
      </c>
      <c r="AS516" s="56">
        <f>IF(OR($AM516=0,$Q516=""),0,IF(AND($A516&gt;=Lists!$W$6,$A516&lt;=Lists!$W$7,OR(Dashboard!$D$6="All accounts",$C516=Dashboard!$D$6),OR(Dashboard!$D$7="All markets",$AF516=Dashboard!$D$7)),1,0))</f>
        <v>0</v>
      </c>
      <c r="AT516" s="55">
        <f>IF($AS516=1,N(AT515)+$Q516,N(AT515))</f>
        <v>1187.10688</v>
      </c>
      <c r="AU516" s="55">
        <f>MAX(N(AU515),$AT516)</f>
        <v>1187.10688</v>
      </c>
      <c r="AV516" s="55">
        <f>$AT516-$AU516</f>
        <v>0</v>
      </c>
      <c r="AW516" s="56">
        <f>IF($AS516=1,IF($S516="Win",N(AW515)+1,IF($S516="Loss",0,N(AW515))),N(AW515))</f>
        <v>5</v>
      </c>
      <c r="AX516" s="56">
        <f>IF($AS516=1,IF($S516="Loss",N(AX515)+1,IF($S516="Win",0,N(AX515))),N(AX515))</f>
        <v>0</v>
      </c>
      <c r="AY516" s="56" t="str">
        <f>IF($AS516=1,COUNTIF($AS$6:$AS516,1),"")</f>
        <v/>
      </c>
      <c r="AZ516" s="56">
        <f>MIN(510,N(Lists!$W$8))</f>
        <v>28</v>
      </c>
      <c r="BA516" s="56">
        <f>IF($AS516=1,IF(COUNTIFS($A$6:$A516,$A516,$AS$6:$AS516,1)=1,1,0),0)</f>
        <v>0</v>
      </c>
      <c r="BB516" s="55" t="str">
        <f>IF($BA516=1,SUMIFS($Q$6:$Q$1005,$A$6:$A$1005,$A516,$AS$6:$AS$1005,1),"")</f>
        <v/>
      </c>
      <c r="BC516" s="56">
        <f>IF(ISNUMBER($R516),1,0)</f>
        <v>0</v>
      </c>
      <c r="BD516" s="55" t="str">
        <f>IF(ISNUMBER($U516),$U516*$V516,"")</f>
        <v/>
      </c>
      <c r="BE516" s="56" t="str">
        <f>IF($AM516=0,"",IFERROR(MATCH($AF516&amp;"|"&amp;UPPER(TRIM($E516)),Lists!$A$6:$A$205,0),0))</f>
        <v/>
      </c>
      <c r="BF516" s="56" t="str">
        <f>IF($AM516=0,"",IFERROR(MATCH($AF516,Settings!$B$14:$B$18,0),IFERROR(MATCH(Settings!$C$6,Settings!$B$14:$B$18,0),1)))</f>
        <v/>
      </c>
      <c r="BG516" s="58" t="str">
        <f>IF($AM516=0,"",IF(NOT(ISNUMBER($I516)),"No stop; ","")&amp;IF(AND(ISNUMBER($H516),ISNUMBER($I516)),IF(OR(AND($F516&lt;&gt;"Short",$I516&gt;=$H516),AND($F516="Short",$I516&lt;=$H516)),"Stop on wrong side; ",""),"")&amp;IF($F516="","No direction; ","")&amp;IF(AND(ISNUMBER(Settings!$C$22),ISNUMBER($V516)),IF($V516&gt;Settings!$C$22,"Risk over max $; ",""),"")&amp;IF(AND(ISNUMBER(Settings!$C$23),ISNUMBER($V516),ISNUMBER($AP516),IFERROR(N(INDEX(Accounts!$E$7:$E$16,MATCH($C516,Accounts!$B$7:$B$16,0))),0)&gt;0),IF($V516&gt;Settings!$C$23*($AP516-N($Q516)),"Risk over max %; ",""),"")&amp;IF(AND(ISNUMBER(Settings!$C$24),ISNUMBER($N516)),IF($N516&gt;Settings!$C$24,"Leverage over max; ",""),"")&amp;IF(AND(ISNUMBER(Settings!$C$27),ISNUMBER($T516)),IF($T516&lt;Settings!$C$27,"R:R below min; ",""),"")&amp;IF(ISNUMBER(Settings!$C$25),IF(COUNTIFS($A$6:$A516,$A516,$AM$6:$AM516,1)&gt;Settings!$C$25,"Over max trades/day; ",""),"")&amp;IF(ISNUMBER(Settings!$C$26),IF(SUMIFS($Q$5:$Q515,$A$5:$A515,$A516)&lt;=-Settings!$C$26,"Traded after daily max loss; ",""),"")&amp;IF(AND($AG516="",NOT(ISNUMBER($O516))),"Symbol not in Instruments; ","")&amp;IF(AND($AH516="",NOT(ISNUMBER($O516))),"Forex cross: type Gross P&amp;L; ",""))</f>
        <v/>
      </c>
      <c r="BH516" s="56">
        <f>IF(ISNUMBER($Q516),1,0)</f>
        <v>0</v>
      </c>
      <c r="BI516" s="56">
        <f>IF($Y516="",0,1)</f>
        <v>0</v>
      </c>
      <c r="BJ516" s="56">
        <f>IF($AB516="",0,1)</f>
        <v>0</v>
      </c>
      <c r="BK516" s="56">
        <f>IF(AND($BH516=1,$W516&lt;&gt;"OK"),1,0)</f>
        <v>0</v>
      </c>
      <c r="BL516" s="55">
        <f>IF(N($AZ516)=0,0,IFERROR(INDEX($AT$6:$AT$1005,MATCH($AZ516,$AY$6:$AY$1005,0)),0))</f>
        <v>1187.10688</v>
      </c>
      <c r="BM516" s="56">
        <f>IF(ISNUMBER(SEARCH("daily max loss",$BG516)),1,0)</f>
        <v>0</v>
      </c>
    </row>
    <row r="517" ht="18" customHeight="1">
      <c r="A517" s="38" t="n"/>
      <c r="B517" s="39" t="n"/>
      <c r="C517" s="40" t="n"/>
      <c r="D517" s="41" t="n"/>
      <c r="E517" s="41" t="n"/>
      <c r="F517" s="41" t="n"/>
      <c r="G517" s="41" t="n"/>
      <c r="H517" s="42" t="n"/>
      <c r="I517" s="42" t="n"/>
      <c r="J517" s="42" t="n"/>
      <c r="K517" s="42" t="n"/>
      <c r="L517" s="41" t="n"/>
      <c r="M517" s="41" t="n"/>
      <c r="N517" s="41" t="n"/>
      <c r="O517" s="43" t="n"/>
      <c r="P517" s="43" t="n"/>
      <c r="Q517" s="44" t="str">
        <f>IF($AM517=0,"",IF(ISNUMBER($AK517),$AK517-N($AL517),""))</f>
        <v/>
      </c>
      <c r="R517" s="45" t="str">
        <f>IF(OR($Q517="",NOT(ISNUMBER($V517))),"",$AK517/$V517)</f>
        <v/>
      </c>
      <c r="S517" s="46" t="str">
        <f>IF($Q517="","",IF(AND(ISNUMBER($R517),ABS(N($R517))&lt;N(Settings!$C$8)),"Scratch",IF($Q517&gt;0,"Win",IF($Q517&lt;0,"Loss","Scratch"))))</f>
        <v/>
      </c>
      <c r="T517" s="47" t="str">
        <f>IF(OR($AM517=0,NOT(ISNUMBER($H517)),NOT(ISNUMBER($I517)),NOT(ISNUMBER($J517))),"",IF($H517=$I517,"",ROUND(ABS($J517-$H517)/ABS($H517-$I517),6)))</f>
        <v/>
      </c>
      <c r="U517" s="48" t="str">
        <f>IF(OR($S517&lt;&gt;"Win",NOT(ISNUMBER($T517)),NOT(ISNUMBER($R517))),"",MAX(0,$T517-$R517))</f>
        <v/>
      </c>
      <c r="V517" s="49" t="str">
        <f>IF(OR($AM517=0,NOT(ISNUMBER($H517)),NOT(ISNUMBER($I517)),NOT(ISNUMBER($G517))),"",IF(OR($AG517="",$AH517=""),"",IF(ROUND(ABS($H517-$I517)*ABS($G517)*$AG517*$AH517,6)=0,"",ROUND(ABS($H517-$I517)*ABS($G517)*$AG517*$AH517,6))))</f>
        <v/>
      </c>
      <c r="W517" s="50" t="str">
        <f>IF($AM517=0,"",IF($BG517="","OK",LEFT($BG517,LEN($BG517)-2)))</f>
        <v/>
      </c>
      <c r="X517" s="41" t="n"/>
      <c r="Y517" s="40" t="n"/>
      <c r="Z517" s="41" t="n"/>
      <c r="AA517" s="41" t="n"/>
      <c r="AB517" s="40" t="n"/>
      <c r="AC517" s="51" t="n"/>
      <c r="AD517" s="51" t="n"/>
      <c r="AE517" s="40" t="n"/>
      <c r="AF517" s="52" t="str">
        <f>IF($AM517=0,"",IF($D517&lt;&gt;"",$D517,IF(IFERROR(INDEX(Accounts!$C$7:$C$16,MATCH($C517,Accounts!$B$7:$B$16,0))&amp;"","")&lt;&gt;"",INDEX(Accounts!$C$7:$C$16,MATCH($C517,Accounts!$B$7:$B$16,0)),Settings!$C$6)))</f>
        <v/>
      </c>
      <c r="AG517" s="53" t="str">
        <f>IF($AM517=0,"",IF(AND($BE517&gt;0,N(INDEX(Instruments!$D$6:$D$205,MAX(1,$BE517)))&gt;0),INDEX(Instruments!$D$6:$D$205,MAX(1,$BE517)),IF(N(INDEX(Settings!$D$14:$D$18,$BF517))&gt;0,INDEX(Settings!$D$14:$D$18,$BF517),"")))</f>
        <v/>
      </c>
      <c r="AH517" s="54" t="str">
        <f>IF($AM517=0,"",IF($AF517&lt;&gt;"Forex",1,IF(MID(UPPER(SUBSTITUTE(TRIM($E517),"/","")),4,3)=UPPER(TRIM(Settings!$C$7)),1,IF(LEFT(UPPER(SUBSTITUTE(TRIM($E517),"/","")),3)=UPPER(TRIM(Settings!$C$7)),IF(AND(ISNUMBER($K517),N($K517)&lt;&gt;0),1/$K517,""),""))))</f>
        <v/>
      </c>
      <c r="AI517" s="55" t="str">
        <f>IF($AM517=0,"",IF(OR(NOT(ISNUMBER($H517)),NOT(ISNUMBER($K517)),NOT(ISNUMBER($G517)),$AG517="",$AH517=""),"",ROUND(($K517-$H517)*IF($F517="Short",-1,1)*$G517*$AG517*$AH517,6)))</f>
        <v/>
      </c>
      <c r="AJ517" s="55" t="str">
        <f>IF($AM517=0,"",IF(INDEX(Settings!$E$14:$E$18,$BF517)="% of notional",IF(OR($AG517="",NOT(ISNUMBER($H517)),NOT(ISNUMBER($G517))),"",ROUND(ABS($H517*$G517*$AG517*N($AH517))*IF($L517="Limit",N(INDEX(Settings!$G$14:$G$18,$BF517)),N(INDEX(Settings!$H$14:$H$18,$BF517)))+IF(ISNUMBER($K517),ABS($K517*$G517*$AG517*N($AH517))*IF($M517="Target",N(INDEX(Settings!$G$14:$G$18,$BF517)),N(INDEX(Settings!$H$14:$H$18,$BF517))),0),6)),IF(NOT(ISNUMBER($G517)),"",ROUND(ABS($G517)*2*IF(AND($BE517&gt;0,ISNUMBER(INDEX(Instruments!$G$6:$G$205,MAX(1,$BE517)))),INDEX(Instruments!$G$6:$G$205,MAX(1,$BE517)),N(INDEX(Settings!$F$14:$F$18,$BF517))),6))))</f>
        <v/>
      </c>
      <c r="AK517" s="55" t="str">
        <f>IF($AM517=0,"",IF(ISNUMBER($O517),$O517,$AI517))</f>
        <v/>
      </c>
      <c r="AL517" s="55" t="str">
        <f>IF($AM517=0,"",IF(ISNUMBER($P517),$P517,N($AJ517)))</f>
        <v/>
      </c>
      <c r="AM517" s="56">
        <f>IF(AND($A517&lt;&gt;"",$E517&lt;&gt;"",OR(AND(ISNUMBER($G517),ISNUMBER($H517),ISNUMBER($K517)),ISNUMBER($O517))),1,0)</f>
        <v>0</v>
      </c>
      <c r="AN517" s="57" t="str">
        <f>IF($A517="","",$A517-WEEKDAY($A517,3))</f>
        <v/>
      </c>
      <c r="AO517" s="56" t="str">
        <f>IF($A517="","",WEEKDAY($A517,2))</f>
        <v/>
      </c>
      <c r="AP517" s="55" t="str">
        <f>IF(OR($AM517=0,$C517=""),"",IFERROR(N(INDEX(Accounts!$E$7:$E$16,MATCH($C517,Accounts!$B$7:$B$16,0))),0)+SUMIFS($Q$6:$Q517,$C$6:$C517,$C517))</f>
        <v/>
      </c>
      <c r="AQ517" s="55" t="str">
        <f>IF(OR($AM517=0,$C517=""),"",SUMIFS($Q$6:$Q$1005,$C$6:$C$1005,$C517,$A$6:$A$1005,$A517))</f>
        <v/>
      </c>
      <c r="AR517" s="55" t="str">
        <f>IF(OR($AM517=0,$C517=""),"",IFERROR(N(INDEX(Accounts!$E$7:$E$16,MATCH($C517,Accounts!$B$7:$B$16,0))),0)+SUMIFS($Q$6:$Q$1005,$C$6:$C$1005,$C517,$A$6:$A$1005,"&lt;="&amp;$A517))</f>
        <v/>
      </c>
      <c r="AS517" s="56">
        <f>IF(OR($AM517=0,$Q517=""),0,IF(AND($A517&gt;=Lists!$W$6,$A517&lt;=Lists!$W$7,OR(Dashboard!$D$6="All accounts",$C517=Dashboard!$D$6),OR(Dashboard!$D$7="All markets",$AF517=Dashboard!$D$7)),1,0))</f>
        <v>0</v>
      </c>
      <c r="AT517" s="55">
        <f>IF($AS517=1,N(AT516)+$Q517,N(AT516))</f>
        <v>1187.10688</v>
      </c>
      <c r="AU517" s="55">
        <f>MAX(N(AU516),$AT517)</f>
        <v>1187.10688</v>
      </c>
      <c r="AV517" s="55">
        <f>$AT517-$AU517</f>
        <v>0</v>
      </c>
      <c r="AW517" s="56">
        <f>IF($AS517=1,IF($S517="Win",N(AW516)+1,IF($S517="Loss",0,N(AW516))),N(AW516))</f>
        <v>5</v>
      </c>
      <c r="AX517" s="56">
        <f>IF($AS517=1,IF($S517="Loss",N(AX516)+1,IF($S517="Win",0,N(AX516))),N(AX516))</f>
        <v>0</v>
      </c>
      <c r="AY517" s="56" t="str">
        <f>IF($AS517=1,COUNTIF($AS$6:$AS517,1),"")</f>
        <v/>
      </c>
      <c r="AZ517" s="56">
        <f>MIN(511,N(Lists!$W$8))</f>
        <v>28</v>
      </c>
      <c r="BA517" s="56">
        <f>IF($AS517=1,IF(COUNTIFS($A$6:$A517,$A517,$AS$6:$AS517,1)=1,1,0),0)</f>
        <v>0</v>
      </c>
      <c r="BB517" s="55" t="str">
        <f>IF($BA517=1,SUMIFS($Q$6:$Q$1005,$A$6:$A$1005,$A517,$AS$6:$AS$1005,1),"")</f>
        <v/>
      </c>
      <c r="BC517" s="56">
        <f>IF(ISNUMBER($R517),1,0)</f>
        <v>0</v>
      </c>
      <c r="BD517" s="55" t="str">
        <f>IF(ISNUMBER($U517),$U517*$V517,"")</f>
        <v/>
      </c>
      <c r="BE517" s="56" t="str">
        <f>IF($AM517=0,"",IFERROR(MATCH($AF517&amp;"|"&amp;UPPER(TRIM($E517)),Lists!$A$6:$A$205,0),0))</f>
        <v/>
      </c>
      <c r="BF517" s="56" t="str">
        <f>IF($AM517=0,"",IFERROR(MATCH($AF517,Settings!$B$14:$B$18,0),IFERROR(MATCH(Settings!$C$6,Settings!$B$14:$B$18,0),1)))</f>
        <v/>
      </c>
      <c r="BG517" s="58" t="str">
        <f>IF($AM517=0,"",IF(NOT(ISNUMBER($I517)),"No stop; ","")&amp;IF(AND(ISNUMBER($H517),ISNUMBER($I517)),IF(OR(AND($F517&lt;&gt;"Short",$I517&gt;=$H517),AND($F517="Short",$I517&lt;=$H517)),"Stop on wrong side; ",""),"")&amp;IF($F517="","No direction; ","")&amp;IF(AND(ISNUMBER(Settings!$C$22),ISNUMBER($V517)),IF($V517&gt;Settings!$C$22,"Risk over max $; ",""),"")&amp;IF(AND(ISNUMBER(Settings!$C$23),ISNUMBER($V517),ISNUMBER($AP517),IFERROR(N(INDEX(Accounts!$E$7:$E$16,MATCH($C517,Accounts!$B$7:$B$16,0))),0)&gt;0),IF($V517&gt;Settings!$C$23*($AP517-N($Q517)),"Risk over max %; ",""),"")&amp;IF(AND(ISNUMBER(Settings!$C$24),ISNUMBER($N517)),IF($N517&gt;Settings!$C$24,"Leverage over max; ",""),"")&amp;IF(AND(ISNUMBER(Settings!$C$27),ISNUMBER($T517)),IF($T517&lt;Settings!$C$27,"R:R below min; ",""),"")&amp;IF(ISNUMBER(Settings!$C$25),IF(COUNTIFS($A$6:$A517,$A517,$AM$6:$AM517,1)&gt;Settings!$C$25,"Over max trades/day; ",""),"")&amp;IF(ISNUMBER(Settings!$C$26),IF(SUMIFS($Q$5:$Q516,$A$5:$A516,$A517)&lt;=-Settings!$C$26,"Traded after daily max loss; ",""),"")&amp;IF(AND($AG517="",NOT(ISNUMBER($O517))),"Symbol not in Instruments; ","")&amp;IF(AND($AH517="",NOT(ISNUMBER($O517))),"Forex cross: type Gross P&amp;L; ",""))</f>
        <v/>
      </c>
      <c r="BH517" s="56">
        <f>IF(ISNUMBER($Q517),1,0)</f>
        <v>0</v>
      </c>
      <c r="BI517" s="56">
        <f>IF($Y517="",0,1)</f>
        <v>0</v>
      </c>
      <c r="BJ517" s="56">
        <f>IF($AB517="",0,1)</f>
        <v>0</v>
      </c>
      <c r="BK517" s="56">
        <f>IF(AND($BH517=1,$W517&lt;&gt;"OK"),1,0)</f>
        <v>0</v>
      </c>
      <c r="BL517" s="55">
        <f>IF(N($AZ517)=0,0,IFERROR(INDEX($AT$6:$AT$1005,MATCH($AZ517,$AY$6:$AY$1005,0)),0))</f>
        <v>1187.10688</v>
      </c>
      <c r="BM517" s="56">
        <f>IF(ISNUMBER(SEARCH("daily max loss",$BG517)),1,0)</f>
        <v>0</v>
      </c>
    </row>
    <row r="518" ht="18" customHeight="1">
      <c r="A518" s="38" t="n"/>
      <c r="B518" s="39" t="n"/>
      <c r="C518" s="40" t="n"/>
      <c r="D518" s="41" t="n"/>
      <c r="E518" s="41" t="n"/>
      <c r="F518" s="41" t="n"/>
      <c r="G518" s="41" t="n"/>
      <c r="H518" s="42" t="n"/>
      <c r="I518" s="42" t="n"/>
      <c r="J518" s="42" t="n"/>
      <c r="K518" s="42" t="n"/>
      <c r="L518" s="41" t="n"/>
      <c r="M518" s="41" t="n"/>
      <c r="N518" s="41" t="n"/>
      <c r="O518" s="43" t="n"/>
      <c r="P518" s="43" t="n"/>
      <c r="Q518" s="44" t="str">
        <f>IF($AM518=0,"",IF(ISNUMBER($AK518),$AK518-N($AL518),""))</f>
        <v/>
      </c>
      <c r="R518" s="45" t="str">
        <f>IF(OR($Q518="",NOT(ISNUMBER($V518))),"",$AK518/$V518)</f>
        <v/>
      </c>
      <c r="S518" s="46" t="str">
        <f>IF($Q518="","",IF(AND(ISNUMBER($R518),ABS(N($R518))&lt;N(Settings!$C$8)),"Scratch",IF($Q518&gt;0,"Win",IF($Q518&lt;0,"Loss","Scratch"))))</f>
        <v/>
      </c>
      <c r="T518" s="47" t="str">
        <f>IF(OR($AM518=0,NOT(ISNUMBER($H518)),NOT(ISNUMBER($I518)),NOT(ISNUMBER($J518))),"",IF($H518=$I518,"",ROUND(ABS($J518-$H518)/ABS($H518-$I518),6)))</f>
        <v/>
      </c>
      <c r="U518" s="48" t="str">
        <f>IF(OR($S518&lt;&gt;"Win",NOT(ISNUMBER($T518)),NOT(ISNUMBER($R518))),"",MAX(0,$T518-$R518))</f>
        <v/>
      </c>
      <c r="V518" s="49" t="str">
        <f>IF(OR($AM518=0,NOT(ISNUMBER($H518)),NOT(ISNUMBER($I518)),NOT(ISNUMBER($G518))),"",IF(OR($AG518="",$AH518=""),"",IF(ROUND(ABS($H518-$I518)*ABS($G518)*$AG518*$AH518,6)=0,"",ROUND(ABS($H518-$I518)*ABS($G518)*$AG518*$AH518,6))))</f>
        <v/>
      </c>
      <c r="W518" s="50" t="str">
        <f>IF($AM518=0,"",IF($BG518="","OK",LEFT($BG518,LEN($BG518)-2)))</f>
        <v/>
      </c>
      <c r="X518" s="41" t="n"/>
      <c r="Y518" s="40" t="n"/>
      <c r="Z518" s="41" t="n"/>
      <c r="AA518" s="41" t="n"/>
      <c r="AB518" s="40" t="n"/>
      <c r="AC518" s="51" t="n"/>
      <c r="AD518" s="51" t="n"/>
      <c r="AE518" s="40" t="n"/>
      <c r="AF518" s="52" t="str">
        <f>IF($AM518=0,"",IF($D518&lt;&gt;"",$D518,IF(IFERROR(INDEX(Accounts!$C$7:$C$16,MATCH($C518,Accounts!$B$7:$B$16,0))&amp;"","")&lt;&gt;"",INDEX(Accounts!$C$7:$C$16,MATCH($C518,Accounts!$B$7:$B$16,0)),Settings!$C$6)))</f>
        <v/>
      </c>
      <c r="AG518" s="53" t="str">
        <f>IF($AM518=0,"",IF(AND($BE518&gt;0,N(INDEX(Instruments!$D$6:$D$205,MAX(1,$BE518)))&gt;0),INDEX(Instruments!$D$6:$D$205,MAX(1,$BE518)),IF(N(INDEX(Settings!$D$14:$D$18,$BF518))&gt;0,INDEX(Settings!$D$14:$D$18,$BF518),"")))</f>
        <v/>
      </c>
      <c r="AH518" s="54" t="str">
        <f>IF($AM518=0,"",IF($AF518&lt;&gt;"Forex",1,IF(MID(UPPER(SUBSTITUTE(TRIM($E518),"/","")),4,3)=UPPER(TRIM(Settings!$C$7)),1,IF(LEFT(UPPER(SUBSTITUTE(TRIM($E518),"/","")),3)=UPPER(TRIM(Settings!$C$7)),IF(AND(ISNUMBER($K518),N($K518)&lt;&gt;0),1/$K518,""),""))))</f>
        <v/>
      </c>
      <c r="AI518" s="55" t="str">
        <f>IF($AM518=0,"",IF(OR(NOT(ISNUMBER($H518)),NOT(ISNUMBER($K518)),NOT(ISNUMBER($G518)),$AG518="",$AH518=""),"",ROUND(($K518-$H518)*IF($F518="Short",-1,1)*$G518*$AG518*$AH518,6)))</f>
        <v/>
      </c>
      <c r="AJ518" s="55" t="str">
        <f>IF($AM518=0,"",IF(INDEX(Settings!$E$14:$E$18,$BF518)="% of notional",IF(OR($AG518="",NOT(ISNUMBER($H518)),NOT(ISNUMBER($G518))),"",ROUND(ABS($H518*$G518*$AG518*N($AH518))*IF($L518="Limit",N(INDEX(Settings!$G$14:$G$18,$BF518)),N(INDEX(Settings!$H$14:$H$18,$BF518)))+IF(ISNUMBER($K518),ABS($K518*$G518*$AG518*N($AH518))*IF($M518="Target",N(INDEX(Settings!$G$14:$G$18,$BF518)),N(INDEX(Settings!$H$14:$H$18,$BF518))),0),6)),IF(NOT(ISNUMBER($G518)),"",ROUND(ABS($G518)*2*IF(AND($BE518&gt;0,ISNUMBER(INDEX(Instruments!$G$6:$G$205,MAX(1,$BE518)))),INDEX(Instruments!$G$6:$G$205,MAX(1,$BE518)),N(INDEX(Settings!$F$14:$F$18,$BF518))),6))))</f>
        <v/>
      </c>
      <c r="AK518" s="55" t="str">
        <f>IF($AM518=0,"",IF(ISNUMBER($O518),$O518,$AI518))</f>
        <v/>
      </c>
      <c r="AL518" s="55" t="str">
        <f>IF($AM518=0,"",IF(ISNUMBER($P518),$P518,N($AJ518)))</f>
        <v/>
      </c>
      <c r="AM518" s="56">
        <f>IF(AND($A518&lt;&gt;"",$E518&lt;&gt;"",OR(AND(ISNUMBER($G518),ISNUMBER($H518),ISNUMBER($K518)),ISNUMBER($O518))),1,0)</f>
        <v>0</v>
      </c>
      <c r="AN518" s="57" t="str">
        <f>IF($A518="","",$A518-WEEKDAY($A518,3))</f>
        <v/>
      </c>
      <c r="AO518" s="56" t="str">
        <f>IF($A518="","",WEEKDAY($A518,2))</f>
        <v/>
      </c>
      <c r="AP518" s="55" t="str">
        <f>IF(OR($AM518=0,$C518=""),"",IFERROR(N(INDEX(Accounts!$E$7:$E$16,MATCH($C518,Accounts!$B$7:$B$16,0))),0)+SUMIFS($Q$6:$Q518,$C$6:$C518,$C518))</f>
        <v/>
      </c>
      <c r="AQ518" s="55" t="str">
        <f>IF(OR($AM518=0,$C518=""),"",SUMIFS($Q$6:$Q$1005,$C$6:$C$1005,$C518,$A$6:$A$1005,$A518))</f>
        <v/>
      </c>
      <c r="AR518" s="55" t="str">
        <f>IF(OR($AM518=0,$C518=""),"",IFERROR(N(INDEX(Accounts!$E$7:$E$16,MATCH($C518,Accounts!$B$7:$B$16,0))),0)+SUMIFS($Q$6:$Q$1005,$C$6:$C$1005,$C518,$A$6:$A$1005,"&lt;="&amp;$A518))</f>
        <v/>
      </c>
      <c r="AS518" s="56">
        <f>IF(OR($AM518=0,$Q518=""),0,IF(AND($A518&gt;=Lists!$W$6,$A518&lt;=Lists!$W$7,OR(Dashboard!$D$6="All accounts",$C518=Dashboard!$D$6),OR(Dashboard!$D$7="All markets",$AF518=Dashboard!$D$7)),1,0))</f>
        <v>0</v>
      </c>
      <c r="AT518" s="55">
        <f>IF($AS518=1,N(AT517)+$Q518,N(AT517))</f>
        <v>1187.10688</v>
      </c>
      <c r="AU518" s="55">
        <f>MAX(N(AU517),$AT518)</f>
        <v>1187.10688</v>
      </c>
      <c r="AV518" s="55">
        <f>$AT518-$AU518</f>
        <v>0</v>
      </c>
      <c r="AW518" s="56">
        <f>IF($AS518=1,IF($S518="Win",N(AW517)+1,IF($S518="Loss",0,N(AW517))),N(AW517))</f>
        <v>5</v>
      </c>
      <c r="AX518" s="56">
        <f>IF($AS518=1,IF($S518="Loss",N(AX517)+1,IF($S518="Win",0,N(AX517))),N(AX517))</f>
        <v>0</v>
      </c>
      <c r="AY518" s="56" t="str">
        <f>IF($AS518=1,COUNTIF($AS$6:$AS518,1),"")</f>
        <v/>
      </c>
      <c r="AZ518" s="56">
        <f>MIN(512,N(Lists!$W$8))</f>
        <v>28</v>
      </c>
      <c r="BA518" s="56">
        <f>IF($AS518=1,IF(COUNTIFS($A$6:$A518,$A518,$AS$6:$AS518,1)=1,1,0),0)</f>
        <v>0</v>
      </c>
      <c r="BB518" s="55" t="str">
        <f>IF($BA518=1,SUMIFS($Q$6:$Q$1005,$A$6:$A$1005,$A518,$AS$6:$AS$1005,1),"")</f>
        <v/>
      </c>
      <c r="BC518" s="56">
        <f>IF(ISNUMBER($R518),1,0)</f>
        <v>0</v>
      </c>
      <c r="BD518" s="55" t="str">
        <f>IF(ISNUMBER($U518),$U518*$V518,"")</f>
        <v/>
      </c>
      <c r="BE518" s="56" t="str">
        <f>IF($AM518=0,"",IFERROR(MATCH($AF518&amp;"|"&amp;UPPER(TRIM($E518)),Lists!$A$6:$A$205,0),0))</f>
        <v/>
      </c>
      <c r="BF518" s="56" t="str">
        <f>IF($AM518=0,"",IFERROR(MATCH($AF518,Settings!$B$14:$B$18,0),IFERROR(MATCH(Settings!$C$6,Settings!$B$14:$B$18,0),1)))</f>
        <v/>
      </c>
      <c r="BG518" s="58" t="str">
        <f>IF($AM518=0,"",IF(NOT(ISNUMBER($I518)),"No stop; ","")&amp;IF(AND(ISNUMBER($H518),ISNUMBER($I518)),IF(OR(AND($F518&lt;&gt;"Short",$I518&gt;=$H518),AND($F518="Short",$I518&lt;=$H518)),"Stop on wrong side; ",""),"")&amp;IF($F518="","No direction; ","")&amp;IF(AND(ISNUMBER(Settings!$C$22),ISNUMBER($V518)),IF($V518&gt;Settings!$C$22,"Risk over max $; ",""),"")&amp;IF(AND(ISNUMBER(Settings!$C$23),ISNUMBER($V518),ISNUMBER($AP518),IFERROR(N(INDEX(Accounts!$E$7:$E$16,MATCH($C518,Accounts!$B$7:$B$16,0))),0)&gt;0),IF($V518&gt;Settings!$C$23*($AP518-N($Q518)),"Risk over max %; ",""),"")&amp;IF(AND(ISNUMBER(Settings!$C$24),ISNUMBER($N518)),IF($N518&gt;Settings!$C$24,"Leverage over max; ",""),"")&amp;IF(AND(ISNUMBER(Settings!$C$27),ISNUMBER($T518)),IF($T518&lt;Settings!$C$27,"R:R below min; ",""),"")&amp;IF(ISNUMBER(Settings!$C$25),IF(COUNTIFS($A$6:$A518,$A518,$AM$6:$AM518,1)&gt;Settings!$C$25,"Over max trades/day; ",""),"")&amp;IF(ISNUMBER(Settings!$C$26),IF(SUMIFS($Q$5:$Q517,$A$5:$A517,$A518)&lt;=-Settings!$C$26,"Traded after daily max loss; ",""),"")&amp;IF(AND($AG518="",NOT(ISNUMBER($O518))),"Symbol not in Instruments; ","")&amp;IF(AND($AH518="",NOT(ISNUMBER($O518))),"Forex cross: type Gross P&amp;L; ",""))</f>
        <v/>
      </c>
      <c r="BH518" s="56">
        <f>IF(ISNUMBER($Q518),1,0)</f>
        <v>0</v>
      </c>
      <c r="BI518" s="56">
        <f>IF($Y518="",0,1)</f>
        <v>0</v>
      </c>
      <c r="BJ518" s="56">
        <f>IF($AB518="",0,1)</f>
        <v>0</v>
      </c>
      <c r="BK518" s="56">
        <f>IF(AND($BH518=1,$W518&lt;&gt;"OK"),1,0)</f>
        <v>0</v>
      </c>
      <c r="BL518" s="55">
        <f>IF(N($AZ518)=0,0,IFERROR(INDEX($AT$6:$AT$1005,MATCH($AZ518,$AY$6:$AY$1005,0)),0))</f>
        <v>1187.10688</v>
      </c>
      <c r="BM518" s="56">
        <f>IF(ISNUMBER(SEARCH("daily max loss",$BG518)),1,0)</f>
        <v>0</v>
      </c>
    </row>
    <row r="519" ht="18" customHeight="1">
      <c r="A519" s="38" t="n"/>
      <c r="B519" s="39" t="n"/>
      <c r="C519" s="40" t="n"/>
      <c r="D519" s="41" t="n"/>
      <c r="E519" s="41" t="n"/>
      <c r="F519" s="41" t="n"/>
      <c r="G519" s="41" t="n"/>
      <c r="H519" s="42" t="n"/>
      <c r="I519" s="42" t="n"/>
      <c r="J519" s="42" t="n"/>
      <c r="K519" s="42" t="n"/>
      <c r="L519" s="41" t="n"/>
      <c r="M519" s="41" t="n"/>
      <c r="N519" s="41" t="n"/>
      <c r="O519" s="43" t="n"/>
      <c r="P519" s="43" t="n"/>
      <c r="Q519" s="44" t="str">
        <f>IF($AM519=0,"",IF(ISNUMBER($AK519),$AK519-N($AL519),""))</f>
        <v/>
      </c>
      <c r="R519" s="45" t="str">
        <f>IF(OR($Q519="",NOT(ISNUMBER($V519))),"",$AK519/$V519)</f>
        <v/>
      </c>
      <c r="S519" s="46" t="str">
        <f>IF($Q519="","",IF(AND(ISNUMBER($R519),ABS(N($R519))&lt;N(Settings!$C$8)),"Scratch",IF($Q519&gt;0,"Win",IF($Q519&lt;0,"Loss","Scratch"))))</f>
        <v/>
      </c>
      <c r="T519" s="47" t="str">
        <f>IF(OR($AM519=0,NOT(ISNUMBER($H519)),NOT(ISNUMBER($I519)),NOT(ISNUMBER($J519))),"",IF($H519=$I519,"",ROUND(ABS($J519-$H519)/ABS($H519-$I519),6)))</f>
        <v/>
      </c>
      <c r="U519" s="48" t="str">
        <f>IF(OR($S519&lt;&gt;"Win",NOT(ISNUMBER($T519)),NOT(ISNUMBER($R519))),"",MAX(0,$T519-$R519))</f>
        <v/>
      </c>
      <c r="V519" s="49" t="str">
        <f>IF(OR($AM519=0,NOT(ISNUMBER($H519)),NOT(ISNUMBER($I519)),NOT(ISNUMBER($G519))),"",IF(OR($AG519="",$AH519=""),"",IF(ROUND(ABS($H519-$I519)*ABS($G519)*$AG519*$AH519,6)=0,"",ROUND(ABS($H519-$I519)*ABS($G519)*$AG519*$AH519,6))))</f>
        <v/>
      </c>
      <c r="W519" s="50" t="str">
        <f>IF($AM519=0,"",IF($BG519="","OK",LEFT($BG519,LEN($BG519)-2)))</f>
        <v/>
      </c>
      <c r="X519" s="41" t="n"/>
      <c r="Y519" s="40" t="n"/>
      <c r="Z519" s="41" t="n"/>
      <c r="AA519" s="41" t="n"/>
      <c r="AB519" s="40" t="n"/>
      <c r="AC519" s="51" t="n"/>
      <c r="AD519" s="51" t="n"/>
      <c r="AE519" s="40" t="n"/>
      <c r="AF519" s="52" t="str">
        <f>IF($AM519=0,"",IF($D519&lt;&gt;"",$D519,IF(IFERROR(INDEX(Accounts!$C$7:$C$16,MATCH($C519,Accounts!$B$7:$B$16,0))&amp;"","")&lt;&gt;"",INDEX(Accounts!$C$7:$C$16,MATCH($C519,Accounts!$B$7:$B$16,0)),Settings!$C$6)))</f>
        <v/>
      </c>
      <c r="AG519" s="53" t="str">
        <f>IF($AM519=0,"",IF(AND($BE519&gt;0,N(INDEX(Instruments!$D$6:$D$205,MAX(1,$BE519)))&gt;0),INDEX(Instruments!$D$6:$D$205,MAX(1,$BE519)),IF(N(INDEX(Settings!$D$14:$D$18,$BF519))&gt;0,INDEX(Settings!$D$14:$D$18,$BF519),"")))</f>
        <v/>
      </c>
      <c r="AH519" s="54" t="str">
        <f>IF($AM519=0,"",IF($AF519&lt;&gt;"Forex",1,IF(MID(UPPER(SUBSTITUTE(TRIM($E519),"/","")),4,3)=UPPER(TRIM(Settings!$C$7)),1,IF(LEFT(UPPER(SUBSTITUTE(TRIM($E519),"/","")),3)=UPPER(TRIM(Settings!$C$7)),IF(AND(ISNUMBER($K519),N($K519)&lt;&gt;0),1/$K519,""),""))))</f>
        <v/>
      </c>
      <c r="AI519" s="55" t="str">
        <f>IF($AM519=0,"",IF(OR(NOT(ISNUMBER($H519)),NOT(ISNUMBER($K519)),NOT(ISNUMBER($G519)),$AG519="",$AH519=""),"",ROUND(($K519-$H519)*IF($F519="Short",-1,1)*$G519*$AG519*$AH519,6)))</f>
        <v/>
      </c>
      <c r="AJ519" s="55" t="str">
        <f>IF($AM519=0,"",IF(INDEX(Settings!$E$14:$E$18,$BF519)="% of notional",IF(OR($AG519="",NOT(ISNUMBER($H519)),NOT(ISNUMBER($G519))),"",ROUND(ABS($H519*$G519*$AG519*N($AH519))*IF($L519="Limit",N(INDEX(Settings!$G$14:$G$18,$BF519)),N(INDEX(Settings!$H$14:$H$18,$BF519)))+IF(ISNUMBER($K519),ABS($K519*$G519*$AG519*N($AH519))*IF($M519="Target",N(INDEX(Settings!$G$14:$G$18,$BF519)),N(INDEX(Settings!$H$14:$H$18,$BF519))),0),6)),IF(NOT(ISNUMBER($G519)),"",ROUND(ABS($G519)*2*IF(AND($BE519&gt;0,ISNUMBER(INDEX(Instruments!$G$6:$G$205,MAX(1,$BE519)))),INDEX(Instruments!$G$6:$G$205,MAX(1,$BE519)),N(INDEX(Settings!$F$14:$F$18,$BF519))),6))))</f>
        <v/>
      </c>
      <c r="AK519" s="55" t="str">
        <f>IF($AM519=0,"",IF(ISNUMBER($O519),$O519,$AI519))</f>
        <v/>
      </c>
      <c r="AL519" s="55" t="str">
        <f>IF($AM519=0,"",IF(ISNUMBER($P519),$P519,N($AJ519)))</f>
        <v/>
      </c>
      <c r="AM519" s="56">
        <f>IF(AND($A519&lt;&gt;"",$E519&lt;&gt;"",OR(AND(ISNUMBER($G519),ISNUMBER($H519),ISNUMBER($K519)),ISNUMBER($O519))),1,0)</f>
        <v>0</v>
      </c>
      <c r="AN519" s="57" t="str">
        <f>IF($A519="","",$A519-WEEKDAY($A519,3))</f>
        <v/>
      </c>
      <c r="AO519" s="56" t="str">
        <f>IF($A519="","",WEEKDAY($A519,2))</f>
        <v/>
      </c>
      <c r="AP519" s="55" t="str">
        <f>IF(OR($AM519=0,$C519=""),"",IFERROR(N(INDEX(Accounts!$E$7:$E$16,MATCH($C519,Accounts!$B$7:$B$16,0))),0)+SUMIFS($Q$6:$Q519,$C$6:$C519,$C519))</f>
        <v/>
      </c>
      <c r="AQ519" s="55" t="str">
        <f>IF(OR($AM519=0,$C519=""),"",SUMIFS($Q$6:$Q$1005,$C$6:$C$1005,$C519,$A$6:$A$1005,$A519))</f>
        <v/>
      </c>
      <c r="AR519" s="55" t="str">
        <f>IF(OR($AM519=0,$C519=""),"",IFERROR(N(INDEX(Accounts!$E$7:$E$16,MATCH($C519,Accounts!$B$7:$B$16,0))),0)+SUMIFS($Q$6:$Q$1005,$C$6:$C$1005,$C519,$A$6:$A$1005,"&lt;="&amp;$A519))</f>
        <v/>
      </c>
      <c r="AS519" s="56">
        <f>IF(OR($AM519=0,$Q519=""),0,IF(AND($A519&gt;=Lists!$W$6,$A519&lt;=Lists!$W$7,OR(Dashboard!$D$6="All accounts",$C519=Dashboard!$D$6),OR(Dashboard!$D$7="All markets",$AF519=Dashboard!$D$7)),1,0))</f>
        <v>0</v>
      </c>
      <c r="AT519" s="55">
        <f>IF($AS519=1,N(AT518)+$Q519,N(AT518))</f>
        <v>1187.10688</v>
      </c>
      <c r="AU519" s="55">
        <f>MAX(N(AU518),$AT519)</f>
        <v>1187.10688</v>
      </c>
      <c r="AV519" s="55">
        <f>$AT519-$AU519</f>
        <v>0</v>
      </c>
      <c r="AW519" s="56">
        <f>IF($AS519=1,IF($S519="Win",N(AW518)+1,IF($S519="Loss",0,N(AW518))),N(AW518))</f>
        <v>5</v>
      </c>
      <c r="AX519" s="56">
        <f>IF($AS519=1,IF($S519="Loss",N(AX518)+1,IF($S519="Win",0,N(AX518))),N(AX518))</f>
        <v>0</v>
      </c>
      <c r="AY519" s="56" t="str">
        <f>IF($AS519=1,COUNTIF($AS$6:$AS519,1),"")</f>
        <v/>
      </c>
      <c r="AZ519" s="56">
        <f>MIN(513,N(Lists!$W$8))</f>
        <v>28</v>
      </c>
      <c r="BA519" s="56">
        <f>IF($AS519=1,IF(COUNTIFS($A$6:$A519,$A519,$AS$6:$AS519,1)=1,1,0),0)</f>
        <v>0</v>
      </c>
      <c r="BB519" s="55" t="str">
        <f>IF($BA519=1,SUMIFS($Q$6:$Q$1005,$A$6:$A$1005,$A519,$AS$6:$AS$1005,1),"")</f>
        <v/>
      </c>
      <c r="BC519" s="56">
        <f>IF(ISNUMBER($R519),1,0)</f>
        <v>0</v>
      </c>
      <c r="BD519" s="55" t="str">
        <f>IF(ISNUMBER($U519),$U519*$V519,"")</f>
        <v/>
      </c>
      <c r="BE519" s="56" t="str">
        <f>IF($AM519=0,"",IFERROR(MATCH($AF519&amp;"|"&amp;UPPER(TRIM($E519)),Lists!$A$6:$A$205,0),0))</f>
        <v/>
      </c>
      <c r="BF519" s="56" t="str">
        <f>IF($AM519=0,"",IFERROR(MATCH($AF519,Settings!$B$14:$B$18,0),IFERROR(MATCH(Settings!$C$6,Settings!$B$14:$B$18,0),1)))</f>
        <v/>
      </c>
      <c r="BG519" s="58" t="str">
        <f>IF($AM519=0,"",IF(NOT(ISNUMBER($I519)),"No stop; ","")&amp;IF(AND(ISNUMBER($H519),ISNUMBER($I519)),IF(OR(AND($F519&lt;&gt;"Short",$I519&gt;=$H519),AND($F519="Short",$I519&lt;=$H519)),"Stop on wrong side; ",""),"")&amp;IF($F519="","No direction; ","")&amp;IF(AND(ISNUMBER(Settings!$C$22),ISNUMBER($V519)),IF($V519&gt;Settings!$C$22,"Risk over max $; ",""),"")&amp;IF(AND(ISNUMBER(Settings!$C$23),ISNUMBER($V519),ISNUMBER($AP519),IFERROR(N(INDEX(Accounts!$E$7:$E$16,MATCH($C519,Accounts!$B$7:$B$16,0))),0)&gt;0),IF($V519&gt;Settings!$C$23*($AP519-N($Q519)),"Risk over max %; ",""),"")&amp;IF(AND(ISNUMBER(Settings!$C$24),ISNUMBER($N519)),IF($N519&gt;Settings!$C$24,"Leverage over max; ",""),"")&amp;IF(AND(ISNUMBER(Settings!$C$27),ISNUMBER($T519)),IF($T519&lt;Settings!$C$27,"R:R below min; ",""),"")&amp;IF(ISNUMBER(Settings!$C$25),IF(COUNTIFS($A$6:$A519,$A519,$AM$6:$AM519,1)&gt;Settings!$C$25,"Over max trades/day; ",""),"")&amp;IF(ISNUMBER(Settings!$C$26),IF(SUMIFS($Q$5:$Q518,$A$5:$A518,$A519)&lt;=-Settings!$C$26,"Traded after daily max loss; ",""),"")&amp;IF(AND($AG519="",NOT(ISNUMBER($O519))),"Symbol not in Instruments; ","")&amp;IF(AND($AH519="",NOT(ISNUMBER($O519))),"Forex cross: type Gross P&amp;L; ",""))</f>
        <v/>
      </c>
      <c r="BH519" s="56">
        <f>IF(ISNUMBER($Q519),1,0)</f>
        <v>0</v>
      </c>
      <c r="BI519" s="56">
        <f>IF($Y519="",0,1)</f>
        <v>0</v>
      </c>
      <c r="BJ519" s="56">
        <f>IF($AB519="",0,1)</f>
        <v>0</v>
      </c>
      <c r="BK519" s="56">
        <f>IF(AND($BH519=1,$W519&lt;&gt;"OK"),1,0)</f>
        <v>0</v>
      </c>
      <c r="BL519" s="55">
        <f>IF(N($AZ519)=0,0,IFERROR(INDEX($AT$6:$AT$1005,MATCH($AZ519,$AY$6:$AY$1005,0)),0))</f>
        <v>1187.10688</v>
      </c>
      <c r="BM519" s="56">
        <f>IF(ISNUMBER(SEARCH("daily max loss",$BG519)),1,0)</f>
        <v>0</v>
      </c>
    </row>
    <row r="520" ht="18" customHeight="1">
      <c r="A520" s="38" t="n"/>
      <c r="B520" s="39" t="n"/>
      <c r="C520" s="40" t="n"/>
      <c r="D520" s="41" t="n"/>
      <c r="E520" s="41" t="n"/>
      <c r="F520" s="41" t="n"/>
      <c r="G520" s="41" t="n"/>
      <c r="H520" s="42" t="n"/>
      <c r="I520" s="42" t="n"/>
      <c r="J520" s="42" t="n"/>
      <c r="K520" s="42" t="n"/>
      <c r="L520" s="41" t="n"/>
      <c r="M520" s="41" t="n"/>
      <c r="N520" s="41" t="n"/>
      <c r="O520" s="43" t="n"/>
      <c r="P520" s="43" t="n"/>
      <c r="Q520" s="44" t="str">
        <f>IF($AM520=0,"",IF(ISNUMBER($AK520),$AK520-N($AL520),""))</f>
        <v/>
      </c>
      <c r="R520" s="45" t="str">
        <f>IF(OR($Q520="",NOT(ISNUMBER($V520))),"",$AK520/$V520)</f>
        <v/>
      </c>
      <c r="S520" s="46" t="str">
        <f>IF($Q520="","",IF(AND(ISNUMBER($R520),ABS(N($R520))&lt;N(Settings!$C$8)),"Scratch",IF($Q520&gt;0,"Win",IF($Q520&lt;0,"Loss","Scratch"))))</f>
        <v/>
      </c>
      <c r="T520" s="47" t="str">
        <f>IF(OR($AM520=0,NOT(ISNUMBER($H520)),NOT(ISNUMBER($I520)),NOT(ISNUMBER($J520))),"",IF($H520=$I520,"",ROUND(ABS($J520-$H520)/ABS($H520-$I520),6)))</f>
        <v/>
      </c>
      <c r="U520" s="48" t="str">
        <f>IF(OR($S520&lt;&gt;"Win",NOT(ISNUMBER($T520)),NOT(ISNUMBER($R520))),"",MAX(0,$T520-$R520))</f>
        <v/>
      </c>
      <c r="V520" s="49" t="str">
        <f>IF(OR($AM520=0,NOT(ISNUMBER($H520)),NOT(ISNUMBER($I520)),NOT(ISNUMBER($G520))),"",IF(OR($AG520="",$AH520=""),"",IF(ROUND(ABS($H520-$I520)*ABS($G520)*$AG520*$AH520,6)=0,"",ROUND(ABS($H520-$I520)*ABS($G520)*$AG520*$AH520,6))))</f>
        <v/>
      </c>
      <c r="W520" s="50" t="str">
        <f>IF($AM520=0,"",IF($BG520="","OK",LEFT($BG520,LEN($BG520)-2)))</f>
        <v/>
      </c>
      <c r="X520" s="41" t="n"/>
      <c r="Y520" s="40" t="n"/>
      <c r="Z520" s="41" t="n"/>
      <c r="AA520" s="41" t="n"/>
      <c r="AB520" s="40" t="n"/>
      <c r="AC520" s="51" t="n"/>
      <c r="AD520" s="51" t="n"/>
      <c r="AE520" s="40" t="n"/>
      <c r="AF520" s="52" t="str">
        <f>IF($AM520=0,"",IF($D520&lt;&gt;"",$D520,IF(IFERROR(INDEX(Accounts!$C$7:$C$16,MATCH($C520,Accounts!$B$7:$B$16,0))&amp;"","")&lt;&gt;"",INDEX(Accounts!$C$7:$C$16,MATCH($C520,Accounts!$B$7:$B$16,0)),Settings!$C$6)))</f>
        <v/>
      </c>
      <c r="AG520" s="53" t="str">
        <f>IF($AM520=0,"",IF(AND($BE520&gt;0,N(INDEX(Instruments!$D$6:$D$205,MAX(1,$BE520)))&gt;0),INDEX(Instruments!$D$6:$D$205,MAX(1,$BE520)),IF(N(INDEX(Settings!$D$14:$D$18,$BF520))&gt;0,INDEX(Settings!$D$14:$D$18,$BF520),"")))</f>
        <v/>
      </c>
      <c r="AH520" s="54" t="str">
        <f>IF($AM520=0,"",IF($AF520&lt;&gt;"Forex",1,IF(MID(UPPER(SUBSTITUTE(TRIM($E520),"/","")),4,3)=UPPER(TRIM(Settings!$C$7)),1,IF(LEFT(UPPER(SUBSTITUTE(TRIM($E520),"/","")),3)=UPPER(TRIM(Settings!$C$7)),IF(AND(ISNUMBER($K520),N($K520)&lt;&gt;0),1/$K520,""),""))))</f>
        <v/>
      </c>
      <c r="AI520" s="55" t="str">
        <f>IF($AM520=0,"",IF(OR(NOT(ISNUMBER($H520)),NOT(ISNUMBER($K520)),NOT(ISNUMBER($G520)),$AG520="",$AH520=""),"",ROUND(($K520-$H520)*IF($F520="Short",-1,1)*$G520*$AG520*$AH520,6)))</f>
        <v/>
      </c>
      <c r="AJ520" s="55" t="str">
        <f>IF($AM520=0,"",IF(INDEX(Settings!$E$14:$E$18,$BF520)="% of notional",IF(OR($AG520="",NOT(ISNUMBER($H520)),NOT(ISNUMBER($G520))),"",ROUND(ABS($H520*$G520*$AG520*N($AH520))*IF($L520="Limit",N(INDEX(Settings!$G$14:$G$18,$BF520)),N(INDEX(Settings!$H$14:$H$18,$BF520)))+IF(ISNUMBER($K520),ABS($K520*$G520*$AG520*N($AH520))*IF($M520="Target",N(INDEX(Settings!$G$14:$G$18,$BF520)),N(INDEX(Settings!$H$14:$H$18,$BF520))),0),6)),IF(NOT(ISNUMBER($G520)),"",ROUND(ABS($G520)*2*IF(AND($BE520&gt;0,ISNUMBER(INDEX(Instruments!$G$6:$G$205,MAX(1,$BE520)))),INDEX(Instruments!$G$6:$G$205,MAX(1,$BE520)),N(INDEX(Settings!$F$14:$F$18,$BF520))),6))))</f>
        <v/>
      </c>
      <c r="AK520" s="55" t="str">
        <f>IF($AM520=0,"",IF(ISNUMBER($O520),$O520,$AI520))</f>
        <v/>
      </c>
      <c r="AL520" s="55" t="str">
        <f>IF($AM520=0,"",IF(ISNUMBER($P520),$P520,N($AJ520)))</f>
        <v/>
      </c>
      <c r="AM520" s="56">
        <f>IF(AND($A520&lt;&gt;"",$E520&lt;&gt;"",OR(AND(ISNUMBER($G520),ISNUMBER($H520),ISNUMBER($K520)),ISNUMBER($O520))),1,0)</f>
        <v>0</v>
      </c>
      <c r="AN520" s="57" t="str">
        <f>IF($A520="","",$A520-WEEKDAY($A520,3))</f>
        <v/>
      </c>
      <c r="AO520" s="56" t="str">
        <f>IF($A520="","",WEEKDAY($A520,2))</f>
        <v/>
      </c>
      <c r="AP520" s="55" t="str">
        <f>IF(OR($AM520=0,$C520=""),"",IFERROR(N(INDEX(Accounts!$E$7:$E$16,MATCH($C520,Accounts!$B$7:$B$16,0))),0)+SUMIFS($Q$6:$Q520,$C$6:$C520,$C520))</f>
        <v/>
      </c>
      <c r="AQ520" s="55" t="str">
        <f>IF(OR($AM520=0,$C520=""),"",SUMIFS($Q$6:$Q$1005,$C$6:$C$1005,$C520,$A$6:$A$1005,$A520))</f>
        <v/>
      </c>
      <c r="AR520" s="55" t="str">
        <f>IF(OR($AM520=0,$C520=""),"",IFERROR(N(INDEX(Accounts!$E$7:$E$16,MATCH($C520,Accounts!$B$7:$B$16,0))),0)+SUMIFS($Q$6:$Q$1005,$C$6:$C$1005,$C520,$A$6:$A$1005,"&lt;="&amp;$A520))</f>
        <v/>
      </c>
      <c r="AS520" s="56">
        <f>IF(OR($AM520=0,$Q520=""),0,IF(AND($A520&gt;=Lists!$W$6,$A520&lt;=Lists!$W$7,OR(Dashboard!$D$6="All accounts",$C520=Dashboard!$D$6),OR(Dashboard!$D$7="All markets",$AF520=Dashboard!$D$7)),1,0))</f>
        <v>0</v>
      </c>
      <c r="AT520" s="55">
        <f>IF($AS520=1,N(AT519)+$Q520,N(AT519))</f>
        <v>1187.10688</v>
      </c>
      <c r="AU520" s="55">
        <f>MAX(N(AU519),$AT520)</f>
        <v>1187.10688</v>
      </c>
      <c r="AV520" s="55">
        <f>$AT520-$AU520</f>
        <v>0</v>
      </c>
      <c r="AW520" s="56">
        <f>IF($AS520=1,IF($S520="Win",N(AW519)+1,IF($S520="Loss",0,N(AW519))),N(AW519))</f>
        <v>5</v>
      </c>
      <c r="AX520" s="56">
        <f>IF($AS520=1,IF($S520="Loss",N(AX519)+1,IF($S520="Win",0,N(AX519))),N(AX519))</f>
        <v>0</v>
      </c>
      <c r="AY520" s="56" t="str">
        <f>IF($AS520=1,COUNTIF($AS$6:$AS520,1),"")</f>
        <v/>
      </c>
      <c r="AZ520" s="56">
        <f>MIN(514,N(Lists!$W$8))</f>
        <v>28</v>
      </c>
      <c r="BA520" s="56">
        <f>IF($AS520=1,IF(COUNTIFS($A$6:$A520,$A520,$AS$6:$AS520,1)=1,1,0),0)</f>
        <v>0</v>
      </c>
      <c r="BB520" s="55" t="str">
        <f>IF($BA520=1,SUMIFS($Q$6:$Q$1005,$A$6:$A$1005,$A520,$AS$6:$AS$1005,1),"")</f>
        <v/>
      </c>
      <c r="BC520" s="56">
        <f>IF(ISNUMBER($R520),1,0)</f>
        <v>0</v>
      </c>
      <c r="BD520" s="55" t="str">
        <f>IF(ISNUMBER($U520),$U520*$V520,"")</f>
        <v/>
      </c>
      <c r="BE520" s="56" t="str">
        <f>IF($AM520=0,"",IFERROR(MATCH($AF520&amp;"|"&amp;UPPER(TRIM($E520)),Lists!$A$6:$A$205,0),0))</f>
        <v/>
      </c>
      <c r="BF520" s="56" t="str">
        <f>IF($AM520=0,"",IFERROR(MATCH($AF520,Settings!$B$14:$B$18,0),IFERROR(MATCH(Settings!$C$6,Settings!$B$14:$B$18,0),1)))</f>
        <v/>
      </c>
      <c r="BG520" s="58" t="str">
        <f>IF($AM520=0,"",IF(NOT(ISNUMBER($I520)),"No stop; ","")&amp;IF(AND(ISNUMBER($H520),ISNUMBER($I520)),IF(OR(AND($F520&lt;&gt;"Short",$I520&gt;=$H520),AND($F520="Short",$I520&lt;=$H520)),"Stop on wrong side; ",""),"")&amp;IF($F520="","No direction; ","")&amp;IF(AND(ISNUMBER(Settings!$C$22),ISNUMBER($V520)),IF($V520&gt;Settings!$C$22,"Risk over max $; ",""),"")&amp;IF(AND(ISNUMBER(Settings!$C$23),ISNUMBER($V520),ISNUMBER($AP520),IFERROR(N(INDEX(Accounts!$E$7:$E$16,MATCH($C520,Accounts!$B$7:$B$16,0))),0)&gt;0),IF($V520&gt;Settings!$C$23*($AP520-N($Q520)),"Risk over max %; ",""),"")&amp;IF(AND(ISNUMBER(Settings!$C$24),ISNUMBER($N520)),IF($N520&gt;Settings!$C$24,"Leverage over max; ",""),"")&amp;IF(AND(ISNUMBER(Settings!$C$27),ISNUMBER($T520)),IF($T520&lt;Settings!$C$27,"R:R below min; ",""),"")&amp;IF(ISNUMBER(Settings!$C$25),IF(COUNTIFS($A$6:$A520,$A520,$AM$6:$AM520,1)&gt;Settings!$C$25,"Over max trades/day; ",""),"")&amp;IF(ISNUMBER(Settings!$C$26),IF(SUMIFS($Q$5:$Q519,$A$5:$A519,$A520)&lt;=-Settings!$C$26,"Traded after daily max loss; ",""),"")&amp;IF(AND($AG520="",NOT(ISNUMBER($O520))),"Symbol not in Instruments; ","")&amp;IF(AND($AH520="",NOT(ISNUMBER($O520))),"Forex cross: type Gross P&amp;L; ",""))</f>
        <v/>
      </c>
      <c r="BH520" s="56">
        <f>IF(ISNUMBER($Q520),1,0)</f>
        <v>0</v>
      </c>
      <c r="BI520" s="56">
        <f>IF($Y520="",0,1)</f>
        <v>0</v>
      </c>
      <c r="BJ520" s="56">
        <f>IF($AB520="",0,1)</f>
        <v>0</v>
      </c>
      <c r="BK520" s="56">
        <f>IF(AND($BH520=1,$W520&lt;&gt;"OK"),1,0)</f>
        <v>0</v>
      </c>
      <c r="BL520" s="55">
        <f>IF(N($AZ520)=0,0,IFERROR(INDEX($AT$6:$AT$1005,MATCH($AZ520,$AY$6:$AY$1005,0)),0))</f>
        <v>1187.10688</v>
      </c>
      <c r="BM520" s="56">
        <f>IF(ISNUMBER(SEARCH("daily max loss",$BG520)),1,0)</f>
        <v>0</v>
      </c>
    </row>
    <row r="521" ht="18" customHeight="1">
      <c r="A521" s="38" t="n"/>
      <c r="B521" s="39" t="n"/>
      <c r="C521" s="40" t="n"/>
      <c r="D521" s="41" t="n"/>
      <c r="E521" s="41" t="n"/>
      <c r="F521" s="41" t="n"/>
      <c r="G521" s="41" t="n"/>
      <c r="H521" s="42" t="n"/>
      <c r="I521" s="42" t="n"/>
      <c r="J521" s="42" t="n"/>
      <c r="K521" s="42" t="n"/>
      <c r="L521" s="41" t="n"/>
      <c r="M521" s="41" t="n"/>
      <c r="N521" s="41" t="n"/>
      <c r="O521" s="43" t="n"/>
      <c r="P521" s="43" t="n"/>
      <c r="Q521" s="44" t="str">
        <f>IF($AM521=0,"",IF(ISNUMBER($AK521),$AK521-N($AL521),""))</f>
        <v/>
      </c>
      <c r="R521" s="45" t="str">
        <f>IF(OR($Q521="",NOT(ISNUMBER($V521))),"",$AK521/$V521)</f>
        <v/>
      </c>
      <c r="S521" s="46" t="str">
        <f>IF($Q521="","",IF(AND(ISNUMBER($R521),ABS(N($R521))&lt;N(Settings!$C$8)),"Scratch",IF($Q521&gt;0,"Win",IF($Q521&lt;0,"Loss","Scratch"))))</f>
        <v/>
      </c>
      <c r="T521" s="47" t="str">
        <f>IF(OR($AM521=0,NOT(ISNUMBER($H521)),NOT(ISNUMBER($I521)),NOT(ISNUMBER($J521))),"",IF($H521=$I521,"",ROUND(ABS($J521-$H521)/ABS($H521-$I521),6)))</f>
        <v/>
      </c>
      <c r="U521" s="48" t="str">
        <f>IF(OR($S521&lt;&gt;"Win",NOT(ISNUMBER($T521)),NOT(ISNUMBER($R521))),"",MAX(0,$T521-$R521))</f>
        <v/>
      </c>
      <c r="V521" s="49" t="str">
        <f>IF(OR($AM521=0,NOT(ISNUMBER($H521)),NOT(ISNUMBER($I521)),NOT(ISNUMBER($G521))),"",IF(OR($AG521="",$AH521=""),"",IF(ROUND(ABS($H521-$I521)*ABS($G521)*$AG521*$AH521,6)=0,"",ROUND(ABS($H521-$I521)*ABS($G521)*$AG521*$AH521,6))))</f>
        <v/>
      </c>
      <c r="W521" s="50" t="str">
        <f>IF($AM521=0,"",IF($BG521="","OK",LEFT($BG521,LEN($BG521)-2)))</f>
        <v/>
      </c>
      <c r="X521" s="41" t="n"/>
      <c r="Y521" s="40" t="n"/>
      <c r="Z521" s="41" t="n"/>
      <c r="AA521" s="41" t="n"/>
      <c r="AB521" s="40" t="n"/>
      <c r="AC521" s="51" t="n"/>
      <c r="AD521" s="51" t="n"/>
      <c r="AE521" s="40" t="n"/>
      <c r="AF521" s="52" t="str">
        <f>IF($AM521=0,"",IF($D521&lt;&gt;"",$D521,IF(IFERROR(INDEX(Accounts!$C$7:$C$16,MATCH($C521,Accounts!$B$7:$B$16,0))&amp;"","")&lt;&gt;"",INDEX(Accounts!$C$7:$C$16,MATCH($C521,Accounts!$B$7:$B$16,0)),Settings!$C$6)))</f>
        <v/>
      </c>
      <c r="AG521" s="53" t="str">
        <f>IF($AM521=0,"",IF(AND($BE521&gt;0,N(INDEX(Instruments!$D$6:$D$205,MAX(1,$BE521)))&gt;0),INDEX(Instruments!$D$6:$D$205,MAX(1,$BE521)),IF(N(INDEX(Settings!$D$14:$D$18,$BF521))&gt;0,INDEX(Settings!$D$14:$D$18,$BF521),"")))</f>
        <v/>
      </c>
      <c r="AH521" s="54" t="str">
        <f>IF($AM521=0,"",IF($AF521&lt;&gt;"Forex",1,IF(MID(UPPER(SUBSTITUTE(TRIM($E521),"/","")),4,3)=UPPER(TRIM(Settings!$C$7)),1,IF(LEFT(UPPER(SUBSTITUTE(TRIM($E521),"/","")),3)=UPPER(TRIM(Settings!$C$7)),IF(AND(ISNUMBER($K521),N($K521)&lt;&gt;0),1/$K521,""),""))))</f>
        <v/>
      </c>
      <c r="AI521" s="55" t="str">
        <f>IF($AM521=0,"",IF(OR(NOT(ISNUMBER($H521)),NOT(ISNUMBER($K521)),NOT(ISNUMBER($G521)),$AG521="",$AH521=""),"",ROUND(($K521-$H521)*IF($F521="Short",-1,1)*$G521*$AG521*$AH521,6)))</f>
        <v/>
      </c>
      <c r="AJ521" s="55" t="str">
        <f>IF($AM521=0,"",IF(INDEX(Settings!$E$14:$E$18,$BF521)="% of notional",IF(OR($AG521="",NOT(ISNUMBER($H521)),NOT(ISNUMBER($G521))),"",ROUND(ABS($H521*$G521*$AG521*N($AH521))*IF($L521="Limit",N(INDEX(Settings!$G$14:$G$18,$BF521)),N(INDEX(Settings!$H$14:$H$18,$BF521)))+IF(ISNUMBER($K521),ABS($K521*$G521*$AG521*N($AH521))*IF($M521="Target",N(INDEX(Settings!$G$14:$G$18,$BF521)),N(INDEX(Settings!$H$14:$H$18,$BF521))),0),6)),IF(NOT(ISNUMBER($G521)),"",ROUND(ABS($G521)*2*IF(AND($BE521&gt;0,ISNUMBER(INDEX(Instruments!$G$6:$G$205,MAX(1,$BE521)))),INDEX(Instruments!$G$6:$G$205,MAX(1,$BE521)),N(INDEX(Settings!$F$14:$F$18,$BF521))),6))))</f>
        <v/>
      </c>
      <c r="AK521" s="55" t="str">
        <f>IF($AM521=0,"",IF(ISNUMBER($O521),$O521,$AI521))</f>
        <v/>
      </c>
      <c r="AL521" s="55" t="str">
        <f>IF($AM521=0,"",IF(ISNUMBER($P521),$P521,N($AJ521)))</f>
        <v/>
      </c>
      <c r="AM521" s="56">
        <f>IF(AND($A521&lt;&gt;"",$E521&lt;&gt;"",OR(AND(ISNUMBER($G521),ISNUMBER($H521),ISNUMBER($K521)),ISNUMBER($O521))),1,0)</f>
        <v>0</v>
      </c>
      <c r="AN521" s="57" t="str">
        <f>IF($A521="","",$A521-WEEKDAY($A521,3))</f>
        <v/>
      </c>
      <c r="AO521" s="56" t="str">
        <f>IF($A521="","",WEEKDAY($A521,2))</f>
        <v/>
      </c>
      <c r="AP521" s="55" t="str">
        <f>IF(OR($AM521=0,$C521=""),"",IFERROR(N(INDEX(Accounts!$E$7:$E$16,MATCH($C521,Accounts!$B$7:$B$16,0))),0)+SUMIFS($Q$6:$Q521,$C$6:$C521,$C521))</f>
        <v/>
      </c>
      <c r="AQ521" s="55" t="str">
        <f>IF(OR($AM521=0,$C521=""),"",SUMIFS($Q$6:$Q$1005,$C$6:$C$1005,$C521,$A$6:$A$1005,$A521))</f>
        <v/>
      </c>
      <c r="AR521" s="55" t="str">
        <f>IF(OR($AM521=0,$C521=""),"",IFERROR(N(INDEX(Accounts!$E$7:$E$16,MATCH($C521,Accounts!$B$7:$B$16,0))),0)+SUMIFS($Q$6:$Q$1005,$C$6:$C$1005,$C521,$A$6:$A$1005,"&lt;="&amp;$A521))</f>
        <v/>
      </c>
      <c r="AS521" s="56">
        <f>IF(OR($AM521=0,$Q521=""),0,IF(AND($A521&gt;=Lists!$W$6,$A521&lt;=Lists!$W$7,OR(Dashboard!$D$6="All accounts",$C521=Dashboard!$D$6),OR(Dashboard!$D$7="All markets",$AF521=Dashboard!$D$7)),1,0))</f>
        <v>0</v>
      </c>
      <c r="AT521" s="55">
        <f>IF($AS521=1,N(AT520)+$Q521,N(AT520))</f>
        <v>1187.10688</v>
      </c>
      <c r="AU521" s="55">
        <f>MAX(N(AU520),$AT521)</f>
        <v>1187.10688</v>
      </c>
      <c r="AV521" s="55">
        <f>$AT521-$AU521</f>
        <v>0</v>
      </c>
      <c r="AW521" s="56">
        <f>IF($AS521=1,IF($S521="Win",N(AW520)+1,IF($S521="Loss",0,N(AW520))),N(AW520))</f>
        <v>5</v>
      </c>
      <c r="AX521" s="56">
        <f>IF($AS521=1,IF($S521="Loss",N(AX520)+1,IF($S521="Win",0,N(AX520))),N(AX520))</f>
        <v>0</v>
      </c>
      <c r="AY521" s="56" t="str">
        <f>IF($AS521=1,COUNTIF($AS$6:$AS521,1),"")</f>
        <v/>
      </c>
      <c r="AZ521" s="56">
        <f>MIN(515,N(Lists!$W$8))</f>
        <v>28</v>
      </c>
      <c r="BA521" s="56">
        <f>IF($AS521=1,IF(COUNTIFS($A$6:$A521,$A521,$AS$6:$AS521,1)=1,1,0),0)</f>
        <v>0</v>
      </c>
      <c r="BB521" s="55" t="str">
        <f>IF($BA521=1,SUMIFS($Q$6:$Q$1005,$A$6:$A$1005,$A521,$AS$6:$AS$1005,1),"")</f>
        <v/>
      </c>
      <c r="BC521" s="56">
        <f>IF(ISNUMBER($R521),1,0)</f>
        <v>0</v>
      </c>
      <c r="BD521" s="55" t="str">
        <f>IF(ISNUMBER($U521),$U521*$V521,"")</f>
        <v/>
      </c>
      <c r="BE521" s="56" t="str">
        <f>IF($AM521=0,"",IFERROR(MATCH($AF521&amp;"|"&amp;UPPER(TRIM($E521)),Lists!$A$6:$A$205,0),0))</f>
        <v/>
      </c>
      <c r="BF521" s="56" t="str">
        <f>IF($AM521=0,"",IFERROR(MATCH($AF521,Settings!$B$14:$B$18,0),IFERROR(MATCH(Settings!$C$6,Settings!$B$14:$B$18,0),1)))</f>
        <v/>
      </c>
      <c r="BG521" s="58" t="str">
        <f>IF($AM521=0,"",IF(NOT(ISNUMBER($I521)),"No stop; ","")&amp;IF(AND(ISNUMBER($H521),ISNUMBER($I521)),IF(OR(AND($F521&lt;&gt;"Short",$I521&gt;=$H521),AND($F521="Short",$I521&lt;=$H521)),"Stop on wrong side; ",""),"")&amp;IF($F521="","No direction; ","")&amp;IF(AND(ISNUMBER(Settings!$C$22),ISNUMBER($V521)),IF($V521&gt;Settings!$C$22,"Risk over max $; ",""),"")&amp;IF(AND(ISNUMBER(Settings!$C$23),ISNUMBER($V521),ISNUMBER($AP521),IFERROR(N(INDEX(Accounts!$E$7:$E$16,MATCH($C521,Accounts!$B$7:$B$16,0))),0)&gt;0),IF($V521&gt;Settings!$C$23*($AP521-N($Q521)),"Risk over max %; ",""),"")&amp;IF(AND(ISNUMBER(Settings!$C$24),ISNUMBER($N521)),IF($N521&gt;Settings!$C$24,"Leverage over max; ",""),"")&amp;IF(AND(ISNUMBER(Settings!$C$27),ISNUMBER($T521)),IF($T521&lt;Settings!$C$27,"R:R below min; ",""),"")&amp;IF(ISNUMBER(Settings!$C$25),IF(COUNTIFS($A$6:$A521,$A521,$AM$6:$AM521,1)&gt;Settings!$C$25,"Over max trades/day; ",""),"")&amp;IF(ISNUMBER(Settings!$C$26),IF(SUMIFS($Q$5:$Q520,$A$5:$A520,$A521)&lt;=-Settings!$C$26,"Traded after daily max loss; ",""),"")&amp;IF(AND($AG521="",NOT(ISNUMBER($O521))),"Symbol not in Instruments; ","")&amp;IF(AND($AH521="",NOT(ISNUMBER($O521))),"Forex cross: type Gross P&amp;L; ",""))</f>
        <v/>
      </c>
      <c r="BH521" s="56">
        <f>IF(ISNUMBER($Q521),1,0)</f>
        <v>0</v>
      </c>
      <c r="BI521" s="56">
        <f>IF($Y521="",0,1)</f>
        <v>0</v>
      </c>
      <c r="BJ521" s="56">
        <f>IF($AB521="",0,1)</f>
        <v>0</v>
      </c>
      <c r="BK521" s="56">
        <f>IF(AND($BH521=1,$W521&lt;&gt;"OK"),1,0)</f>
        <v>0</v>
      </c>
      <c r="BL521" s="55">
        <f>IF(N($AZ521)=0,0,IFERROR(INDEX($AT$6:$AT$1005,MATCH($AZ521,$AY$6:$AY$1005,0)),0))</f>
        <v>1187.10688</v>
      </c>
      <c r="BM521" s="56">
        <f>IF(ISNUMBER(SEARCH("daily max loss",$BG521)),1,0)</f>
        <v>0</v>
      </c>
    </row>
    <row r="522" ht="18" customHeight="1">
      <c r="A522" s="38" t="n"/>
      <c r="B522" s="39" t="n"/>
      <c r="C522" s="40" t="n"/>
      <c r="D522" s="41" t="n"/>
      <c r="E522" s="41" t="n"/>
      <c r="F522" s="41" t="n"/>
      <c r="G522" s="41" t="n"/>
      <c r="H522" s="42" t="n"/>
      <c r="I522" s="42" t="n"/>
      <c r="J522" s="42" t="n"/>
      <c r="K522" s="42" t="n"/>
      <c r="L522" s="41" t="n"/>
      <c r="M522" s="41" t="n"/>
      <c r="N522" s="41" t="n"/>
      <c r="O522" s="43" t="n"/>
      <c r="P522" s="43" t="n"/>
      <c r="Q522" s="44" t="str">
        <f>IF($AM522=0,"",IF(ISNUMBER($AK522),$AK522-N($AL522),""))</f>
        <v/>
      </c>
      <c r="R522" s="45" t="str">
        <f>IF(OR($Q522="",NOT(ISNUMBER($V522))),"",$AK522/$V522)</f>
        <v/>
      </c>
      <c r="S522" s="46" t="str">
        <f>IF($Q522="","",IF(AND(ISNUMBER($R522),ABS(N($R522))&lt;N(Settings!$C$8)),"Scratch",IF($Q522&gt;0,"Win",IF($Q522&lt;0,"Loss","Scratch"))))</f>
        <v/>
      </c>
      <c r="T522" s="47" t="str">
        <f>IF(OR($AM522=0,NOT(ISNUMBER($H522)),NOT(ISNUMBER($I522)),NOT(ISNUMBER($J522))),"",IF($H522=$I522,"",ROUND(ABS($J522-$H522)/ABS($H522-$I522),6)))</f>
        <v/>
      </c>
      <c r="U522" s="48" t="str">
        <f>IF(OR($S522&lt;&gt;"Win",NOT(ISNUMBER($T522)),NOT(ISNUMBER($R522))),"",MAX(0,$T522-$R522))</f>
        <v/>
      </c>
      <c r="V522" s="49" t="str">
        <f>IF(OR($AM522=0,NOT(ISNUMBER($H522)),NOT(ISNUMBER($I522)),NOT(ISNUMBER($G522))),"",IF(OR($AG522="",$AH522=""),"",IF(ROUND(ABS($H522-$I522)*ABS($G522)*$AG522*$AH522,6)=0,"",ROUND(ABS($H522-$I522)*ABS($G522)*$AG522*$AH522,6))))</f>
        <v/>
      </c>
      <c r="W522" s="50" t="str">
        <f>IF($AM522=0,"",IF($BG522="","OK",LEFT($BG522,LEN($BG522)-2)))</f>
        <v/>
      </c>
      <c r="X522" s="41" t="n"/>
      <c r="Y522" s="40" t="n"/>
      <c r="Z522" s="41" t="n"/>
      <c r="AA522" s="41" t="n"/>
      <c r="AB522" s="40" t="n"/>
      <c r="AC522" s="51" t="n"/>
      <c r="AD522" s="51" t="n"/>
      <c r="AE522" s="40" t="n"/>
      <c r="AF522" s="52" t="str">
        <f>IF($AM522=0,"",IF($D522&lt;&gt;"",$D522,IF(IFERROR(INDEX(Accounts!$C$7:$C$16,MATCH($C522,Accounts!$B$7:$B$16,0))&amp;"","")&lt;&gt;"",INDEX(Accounts!$C$7:$C$16,MATCH($C522,Accounts!$B$7:$B$16,0)),Settings!$C$6)))</f>
        <v/>
      </c>
      <c r="AG522" s="53" t="str">
        <f>IF($AM522=0,"",IF(AND($BE522&gt;0,N(INDEX(Instruments!$D$6:$D$205,MAX(1,$BE522)))&gt;0),INDEX(Instruments!$D$6:$D$205,MAX(1,$BE522)),IF(N(INDEX(Settings!$D$14:$D$18,$BF522))&gt;0,INDEX(Settings!$D$14:$D$18,$BF522),"")))</f>
        <v/>
      </c>
      <c r="AH522" s="54" t="str">
        <f>IF($AM522=0,"",IF($AF522&lt;&gt;"Forex",1,IF(MID(UPPER(SUBSTITUTE(TRIM($E522),"/","")),4,3)=UPPER(TRIM(Settings!$C$7)),1,IF(LEFT(UPPER(SUBSTITUTE(TRIM($E522),"/","")),3)=UPPER(TRIM(Settings!$C$7)),IF(AND(ISNUMBER($K522),N($K522)&lt;&gt;0),1/$K522,""),""))))</f>
        <v/>
      </c>
      <c r="AI522" s="55" t="str">
        <f>IF($AM522=0,"",IF(OR(NOT(ISNUMBER($H522)),NOT(ISNUMBER($K522)),NOT(ISNUMBER($G522)),$AG522="",$AH522=""),"",ROUND(($K522-$H522)*IF($F522="Short",-1,1)*$G522*$AG522*$AH522,6)))</f>
        <v/>
      </c>
      <c r="AJ522" s="55" t="str">
        <f>IF($AM522=0,"",IF(INDEX(Settings!$E$14:$E$18,$BF522)="% of notional",IF(OR($AG522="",NOT(ISNUMBER($H522)),NOT(ISNUMBER($G522))),"",ROUND(ABS($H522*$G522*$AG522*N($AH522))*IF($L522="Limit",N(INDEX(Settings!$G$14:$G$18,$BF522)),N(INDEX(Settings!$H$14:$H$18,$BF522)))+IF(ISNUMBER($K522),ABS($K522*$G522*$AG522*N($AH522))*IF($M522="Target",N(INDEX(Settings!$G$14:$G$18,$BF522)),N(INDEX(Settings!$H$14:$H$18,$BF522))),0),6)),IF(NOT(ISNUMBER($G522)),"",ROUND(ABS($G522)*2*IF(AND($BE522&gt;0,ISNUMBER(INDEX(Instruments!$G$6:$G$205,MAX(1,$BE522)))),INDEX(Instruments!$G$6:$G$205,MAX(1,$BE522)),N(INDEX(Settings!$F$14:$F$18,$BF522))),6))))</f>
        <v/>
      </c>
      <c r="AK522" s="55" t="str">
        <f>IF($AM522=0,"",IF(ISNUMBER($O522),$O522,$AI522))</f>
        <v/>
      </c>
      <c r="AL522" s="55" t="str">
        <f>IF($AM522=0,"",IF(ISNUMBER($P522),$P522,N($AJ522)))</f>
        <v/>
      </c>
      <c r="AM522" s="56">
        <f>IF(AND($A522&lt;&gt;"",$E522&lt;&gt;"",OR(AND(ISNUMBER($G522),ISNUMBER($H522),ISNUMBER($K522)),ISNUMBER($O522))),1,0)</f>
        <v>0</v>
      </c>
      <c r="AN522" s="57" t="str">
        <f>IF($A522="","",$A522-WEEKDAY($A522,3))</f>
        <v/>
      </c>
      <c r="AO522" s="56" t="str">
        <f>IF($A522="","",WEEKDAY($A522,2))</f>
        <v/>
      </c>
      <c r="AP522" s="55" t="str">
        <f>IF(OR($AM522=0,$C522=""),"",IFERROR(N(INDEX(Accounts!$E$7:$E$16,MATCH($C522,Accounts!$B$7:$B$16,0))),0)+SUMIFS($Q$6:$Q522,$C$6:$C522,$C522))</f>
        <v/>
      </c>
      <c r="AQ522" s="55" t="str">
        <f>IF(OR($AM522=0,$C522=""),"",SUMIFS($Q$6:$Q$1005,$C$6:$C$1005,$C522,$A$6:$A$1005,$A522))</f>
        <v/>
      </c>
      <c r="AR522" s="55" t="str">
        <f>IF(OR($AM522=0,$C522=""),"",IFERROR(N(INDEX(Accounts!$E$7:$E$16,MATCH($C522,Accounts!$B$7:$B$16,0))),0)+SUMIFS($Q$6:$Q$1005,$C$6:$C$1005,$C522,$A$6:$A$1005,"&lt;="&amp;$A522))</f>
        <v/>
      </c>
      <c r="AS522" s="56">
        <f>IF(OR($AM522=0,$Q522=""),0,IF(AND($A522&gt;=Lists!$W$6,$A522&lt;=Lists!$W$7,OR(Dashboard!$D$6="All accounts",$C522=Dashboard!$D$6),OR(Dashboard!$D$7="All markets",$AF522=Dashboard!$D$7)),1,0))</f>
        <v>0</v>
      </c>
      <c r="AT522" s="55">
        <f>IF($AS522=1,N(AT521)+$Q522,N(AT521))</f>
        <v>1187.10688</v>
      </c>
      <c r="AU522" s="55">
        <f>MAX(N(AU521),$AT522)</f>
        <v>1187.10688</v>
      </c>
      <c r="AV522" s="55">
        <f>$AT522-$AU522</f>
        <v>0</v>
      </c>
      <c r="AW522" s="56">
        <f>IF($AS522=1,IF($S522="Win",N(AW521)+1,IF($S522="Loss",0,N(AW521))),N(AW521))</f>
        <v>5</v>
      </c>
      <c r="AX522" s="56">
        <f>IF($AS522=1,IF($S522="Loss",N(AX521)+1,IF($S522="Win",0,N(AX521))),N(AX521))</f>
        <v>0</v>
      </c>
      <c r="AY522" s="56" t="str">
        <f>IF($AS522=1,COUNTIF($AS$6:$AS522,1),"")</f>
        <v/>
      </c>
      <c r="AZ522" s="56">
        <f>MIN(516,N(Lists!$W$8))</f>
        <v>28</v>
      </c>
      <c r="BA522" s="56">
        <f>IF($AS522=1,IF(COUNTIFS($A$6:$A522,$A522,$AS$6:$AS522,1)=1,1,0),0)</f>
        <v>0</v>
      </c>
      <c r="BB522" s="55" t="str">
        <f>IF($BA522=1,SUMIFS($Q$6:$Q$1005,$A$6:$A$1005,$A522,$AS$6:$AS$1005,1),"")</f>
        <v/>
      </c>
      <c r="BC522" s="56">
        <f>IF(ISNUMBER($R522),1,0)</f>
        <v>0</v>
      </c>
      <c r="BD522" s="55" t="str">
        <f>IF(ISNUMBER($U522),$U522*$V522,"")</f>
        <v/>
      </c>
      <c r="BE522" s="56" t="str">
        <f>IF($AM522=0,"",IFERROR(MATCH($AF522&amp;"|"&amp;UPPER(TRIM($E522)),Lists!$A$6:$A$205,0),0))</f>
        <v/>
      </c>
      <c r="BF522" s="56" t="str">
        <f>IF($AM522=0,"",IFERROR(MATCH($AF522,Settings!$B$14:$B$18,0),IFERROR(MATCH(Settings!$C$6,Settings!$B$14:$B$18,0),1)))</f>
        <v/>
      </c>
      <c r="BG522" s="58" t="str">
        <f>IF($AM522=0,"",IF(NOT(ISNUMBER($I522)),"No stop; ","")&amp;IF(AND(ISNUMBER($H522),ISNUMBER($I522)),IF(OR(AND($F522&lt;&gt;"Short",$I522&gt;=$H522),AND($F522="Short",$I522&lt;=$H522)),"Stop on wrong side; ",""),"")&amp;IF($F522="","No direction; ","")&amp;IF(AND(ISNUMBER(Settings!$C$22),ISNUMBER($V522)),IF($V522&gt;Settings!$C$22,"Risk over max $; ",""),"")&amp;IF(AND(ISNUMBER(Settings!$C$23),ISNUMBER($V522),ISNUMBER($AP522),IFERROR(N(INDEX(Accounts!$E$7:$E$16,MATCH($C522,Accounts!$B$7:$B$16,0))),0)&gt;0),IF($V522&gt;Settings!$C$23*($AP522-N($Q522)),"Risk over max %; ",""),"")&amp;IF(AND(ISNUMBER(Settings!$C$24),ISNUMBER($N522)),IF($N522&gt;Settings!$C$24,"Leverage over max; ",""),"")&amp;IF(AND(ISNUMBER(Settings!$C$27),ISNUMBER($T522)),IF($T522&lt;Settings!$C$27,"R:R below min; ",""),"")&amp;IF(ISNUMBER(Settings!$C$25),IF(COUNTIFS($A$6:$A522,$A522,$AM$6:$AM522,1)&gt;Settings!$C$25,"Over max trades/day; ",""),"")&amp;IF(ISNUMBER(Settings!$C$26),IF(SUMIFS($Q$5:$Q521,$A$5:$A521,$A522)&lt;=-Settings!$C$26,"Traded after daily max loss; ",""),"")&amp;IF(AND($AG522="",NOT(ISNUMBER($O522))),"Symbol not in Instruments; ","")&amp;IF(AND($AH522="",NOT(ISNUMBER($O522))),"Forex cross: type Gross P&amp;L; ",""))</f>
        <v/>
      </c>
      <c r="BH522" s="56">
        <f>IF(ISNUMBER($Q522),1,0)</f>
        <v>0</v>
      </c>
      <c r="BI522" s="56">
        <f>IF($Y522="",0,1)</f>
        <v>0</v>
      </c>
      <c r="BJ522" s="56">
        <f>IF($AB522="",0,1)</f>
        <v>0</v>
      </c>
      <c r="BK522" s="56">
        <f>IF(AND($BH522=1,$W522&lt;&gt;"OK"),1,0)</f>
        <v>0</v>
      </c>
      <c r="BL522" s="55">
        <f>IF(N($AZ522)=0,0,IFERROR(INDEX($AT$6:$AT$1005,MATCH($AZ522,$AY$6:$AY$1005,0)),0))</f>
        <v>1187.10688</v>
      </c>
      <c r="BM522" s="56">
        <f>IF(ISNUMBER(SEARCH("daily max loss",$BG522)),1,0)</f>
        <v>0</v>
      </c>
    </row>
    <row r="523" ht="18" customHeight="1">
      <c r="A523" s="38" t="n"/>
      <c r="B523" s="39" t="n"/>
      <c r="C523" s="40" t="n"/>
      <c r="D523" s="41" t="n"/>
      <c r="E523" s="41" t="n"/>
      <c r="F523" s="41" t="n"/>
      <c r="G523" s="41" t="n"/>
      <c r="H523" s="42" t="n"/>
      <c r="I523" s="42" t="n"/>
      <c r="J523" s="42" t="n"/>
      <c r="K523" s="42" t="n"/>
      <c r="L523" s="41" t="n"/>
      <c r="M523" s="41" t="n"/>
      <c r="N523" s="41" t="n"/>
      <c r="O523" s="43" t="n"/>
      <c r="P523" s="43" t="n"/>
      <c r="Q523" s="44" t="str">
        <f>IF($AM523=0,"",IF(ISNUMBER($AK523),$AK523-N($AL523),""))</f>
        <v/>
      </c>
      <c r="R523" s="45" t="str">
        <f>IF(OR($Q523="",NOT(ISNUMBER($V523))),"",$AK523/$V523)</f>
        <v/>
      </c>
      <c r="S523" s="46" t="str">
        <f>IF($Q523="","",IF(AND(ISNUMBER($R523),ABS(N($R523))&lt;N(Settings!$C$8)),"Scratch",IF($Q523&gt;0,"Win",IF($Q523&lt;0,"Loss","Scratch"))))</f>
        <v/>
      </c>
      <c r="T523" s="47" t="str">
        <f>IF(OR($AM523=0,NOT(ISNUMBER($H523)),NOT(ISNUMBER($I523)),NOT(ISNUMBER($J523))),"",IF($H523=$I523,"",ROUND(ABS($J523-$H523)/ABS($H523-$I523),6)))</f>
        <v/>
      </c>
      <c r="U523" s="48" t="str">
        <f>IF(OR($S523&lt;&gt;"Win",NOT(ISNUMBER($T523)),NOT(ISNUMBER($R523))),"",MAX(0,$T523-$R523))</f>
        <v/>
      </c>
      <c r="V523" s="49" t="str">
        <f>IF(OR($AM523=0,NOT(ISNUMBER($H523)),NOT(ISNUMBER($I523)),NOT(ISNUMBER($G523))),"",IF(OR($AG523="",$AH523=""),"",IF(ROUND(ABS($H523-$I523)*ABS($G523)*$AG523*$AH523,6)=0,"",ROUND(ABS($H523-$I523)*ABS($G523)*$AG523*$AH523,6))))</f>
        <v/>
      </c>
      <c r="W523" s="50" t="str">
        <f>IF($AM523=0,"",IF($BG523="","OK",LEFT($BG523,LEN($BG523)-2)))</f>
        <v/>
      </c>
      <c r="X523" s="41" t="n"/>
      <c r="Y523" s="40" t="n"/>
      <c r="Z523" s="41" t="n"/>
      <c r="AA523" s="41" t="n"/>
      <c r="AB523" s="40" t="n"/>
      <c r="AC523" s="51" t="n"/>
      <c r="AD523" s="51" t="n"/>
      <c r="AE523" s="40" t="n"/>
      <c r="AF523" s="52" t="str">
        <f>IF($AM523=0,"",IF($D523&lt;&gt;"",$D523,IF(IFERROR(INDEX(Accounts!$C$7:$C$16,MATCH($C523,Accounts!$B$7:$B$16,0))&amp;"","")&lt;&gt;"",INDEX(Accounts!$C$7:$C$16,MATCH($C523,Accounts!$B$7:$B$16,0)),Settings!$C$6)))</f>
        <v/>
      </c>
      <c r="AG523" s="53" t="str">
        <f>IF($AM523=0,"",IF(AND($BE523&gt;0,N(INDEX(Instruments!$D$6:$D$205,MAX(1,$BE523)))&gt;0),INDEX(Instruments!$D$6:$D$205,MAX(1,$BE523)),IF(N(INDEX(Settings!$D$14:$D$18,$BF523))&gt;0,INDEX(Settings!$D$14:$D$18,$BF523),"")))</f>
        <v/>
      </c>
      <c r="AH523" s="54" t="str">
        <f>IF($AM523=0,"",IF($AF523&lt;&gt;"Forex",1,IF(MID(UPPER(SUBSTITUTE(TRIM($E523),"/","")),4,3)=UPPER(TRIM(Settings!$C$7)),1,IF(LEFT(UPPER(SUBSTITUTE(TRIM($E523),"/","")),3)=UPPER(TRIM(Settings!$C$7)),IF(AND(ISNUMBER($K523),N($K523)&lt;&gt;0),1/$K523,""),""))))</f>
        <v/>
      </c>
      <c r="AI523" s="55" t="str">
        <f>IF($AM523=0,"",IF(OR(NOT(ISNUMBER($H523)),NOT(ISNUMBER($K523)),NOT(ISNUMBER($G523)),$AG523="",$AH523=""),"",ROUND(($K523-$H523)*IF($F523="Short",-1,1)*$G523*$AG523*$AH523,6)))</f>
        <v/>
      </c>
      <c r="AJ523" s="55" t="str">
        <f>IF($AM523=0,"",IF(INDEX(Settings!$E$14:$E$18,$BF523)="% of notional",IF(OR($AG523="",NOT(ISNUMBER($H523)),NOT(ISNUMBER($G523))),"",ROUND(ABS($H523*$G523*$AG523*N($AH523))*IF($L523="Limit",N(INDEX(Settings!$G$14:$G$18,$BF523)),N(INDEX(Settings!$H$14:$H$18,$BF523)))+IF(ISNUMBER($K523),ABS($K523*$G523*$AG523*N($AH523))*IF($M523="Target",N(INDEX(Settings!$G$14:$G$18,$BF523)),N(INDEX(Settings!$H$14:$H$18,$BF523))),0),6)),IF(NOT(ISNUMBER($G523)),"",ROUND(ABS($G523)*2*IF(AND($BE523&gt;0,ISNUMBER(INDEX(Instruments!$G$6:$G$205,MAX(1,$BE523)))),INDEX(Instruments!$G$6:$G$205,MAX(1,$BE523)),N(INDEX(Settings!$F$14:$F$18,$BF523))),6))))</f>
        <v/>
      </c>
      <c r="AK523" s="55" t="str">
        <f>IF($AM523=0,"",IF(ISNUMBER($O523),$O523,$AI523))</f>
        <v/>
      </c>
      <c r="AL523" s="55" t="str">
        <f>IF($AM523=0,"",IF(ISNUMBER($P523),$P523,N($AJ523)))</f>
        <v/>
      </c>
      <c r="AM523" s="56">
        <f>IF(AND($A523&lt;&gt;"",$E523&lt;&gt;"",OR(AND(ISNUMBER($G523),ISNUMBER($H523),ISNUMBER($K523)),ISNUMBER($O523))),1,0)</f>
        <v>0</v>
      </c>
      <c r="AN523" s="57" t="str">
        <f>IF($A523="","",$A523-WEEKDAY($A523,3))</f>
        <v/>
      </c>
      <c r="AO523" s="56" t="str">
        <f>IF($A523="","",WEEKDAY($A523,2))</f>
        <v/>
      </c>
      <c r="AP523" s="55" t="str">
        <f>IF(OR($AM523=0,$C523=""),"",IFERROR(N(INDEX(Accounts!$E$7:$E$16,MATCH($C523,Accounts!$B$7:$B$16,0))),0)+SUMIFS($Q$6:$Q523,$C$6:$C523,$C523))</f>
        <v/>
      </c>
      <c r="AQ523" s="55" t="str">
        <f>IF(OR($AM523=0,$C523=""),"",SUMIFS($Q$6:$Q$1005,$C$6:$C$1005,$C523,$A$6:$A$1005,$A523))</f>
        <v/>
      </c>
      <c r="AR523" s="55" t="str">
        <f>IF(OR($AM523=0,$C523=""),"",IFERROR(N(INDEX(Accounts!$E$7:$E$16,MATCH($C523,Accounts!$B$7:$B$16,0))),0)+SUMIFS($Q$6:$Q$1005,$C$6:$C$1005,$C523,$A$6:$A$1005,"&lt;="&amp;$A523))</f>
        <v/>
      </c>
      <c r="AS523" s="56">
        <f>IF(OR($AM523=0,$Q523=""),0,IF(AND($A523&gt;=Lists!$W$6,$A523&lt;=Lists!$W$7,OR(Dashboard!$D$6="All accounts",$C523=Dashboard!$D$6),OR(Dashboard!$D$7="All markets",$AF523=Dashboard!$D$7)),1,0))</f>
        <v>0</v>
      </c>
      <c r="AT523" s="55">
        <f>IF($AS523=1,N(AT522)+$Q523,N(AT522))</f>
        <v>1187.10688</v>
      </c>
      <c r="AU523" s="55">
        <f>MAX(N(AU522),$AT523)</f>
        <v>1187.10688</v>
      </c>
      <c r="AV523" s="55">
        <f>$AT523-$AU523</f>
        <v>0</v>
      </c>
      <c r="AW523" s="56">
        <f>IF($AS523=1,IF($S523="Win",N(AW522)+1,IF($S523="Loss",0,N(AW522))),N(AW522))</f>
        <v>5</v>
      </c>
      <c r="AX523" s="56">
        <f>IF($AS523=1,IF($S523="Loss",N(AX522)+1,IF($S523="Win",0,N(AX522))),N(AX522))</f>
        <v>0</v>
      </c>
      <c r="AY523" s="56" t="str">
        <f>IF($AS523=1,COUNTIF($AS$6:$AS523,1),"")</f>
        <v/>
      </c>
      <c r="AZ523" s="56">
        <f>MIN(517,N(Lists!$W$8))</f>
        <v>28</v>
      </c>
      <c r="BA523" s="56">
        <f>IF($AS523=1,IF(COUNTIFS($A$6:$A523,$A523,$AS$6:$AS523,1)=1,1,0),0)</f>
        <v>0</v>
      </c>
      <c r="BB523" s="55" t="str">
        <f>IF($BA523=1,SUMIFS($Q$6:$Q$1005,$A$6:$A$1005,$A523,$AS$6:$AS$1005,1),"")</f>
        <v/>
      </c>
      <c r="BC523" s="56">
        <f>IF(ISNUMBER($R523),1,0)</f>
        <v>0</v>
      </c>
      <c r="BD523" s="55" t="str">
        <f>IF(ISNUMBER($U523),$U523*$V523,"")</f>
        <v/>
      </c>
      <c r="BE523" s="56" t="str">
        <f>IF($AM523=0,"",IFERROR(MATCH($AF523&amp;"|"&amp;UPPER(TRIM($E523)),Lists!$A$6:$A$205,0),0))</f>
        <v/>
      </c>
      <c r="BF523" s="56" t="str">
        <f>IF($AM523=0,"",IFERROR(MATCH($AF523,Settings!$B$14:$B$18,0),IFERROR(MATCH(Settings!$C$6,Settings!$B$14:$B$18,0),1)))</f>
        <v/>
      </c>
      <c r="BG523" s="58" t="str">
        <f>IF($AM523=0,"",IF(NOT(ISNUMBER($I523)),"No stop; ","")&amp;IF(AND(ISNUMBER($H523),ISNUMBER($I523)),IF(OR(AND($F523&lt;&gt;"Short",$I523&gt;=$H523),AND($F523="Short",$I523&lt;=$H523)),"Stop on wrong side; ",""),"")&amp;IF($F523="","No direction; ","")&amp;IF(AND(ISNUMBER(Settings!$C$22),ISNUMBER($V523)),IF($V523&gt;Settings!$C$22,"Risk over max $; ",""),"")&amp;IF(AND(ISNUMBER(Settings!$C$23),ISNUMBER($V523),ISNUMBER($AP523),IFERROR(N(INDEX(Accounts!$E$7:$E$16,MATCH($C523,Accounts!$B$7:$B$16,0))),0)&gt;0),IF($V523&gt;Settings!$C$23*($AP523-N($Q523)),"Risk over max %; ",""),"")&amp;IF(AND(ISNUMBER(Settings!$C$24),ISNUMBER($N523)),IF($N523&gt;Settings!$C$24,"Leverage over max; ",""),"")&amp;IF(AND(ISNUMBER(Settings!$C$27),ISNUMBER($T523)),IF($T523&lt;Settings!$C$27,"R:R below min; ",""),"")&amp;IF(ISNUMBER(Settings!$C$25),IF(COUNTIFS($A$6:$A523,$A523,$AM$6:$AM523,1)&gt;Settings!$C$25,"Over max trades/day; ",""),"")&amp;IF(ISNUMBER(Settings!$C$26),IF(SUMIFS($Q$5:$Q522,$A$5:$A522,$A523)&lt;=-Settings!$C$26,"Traded after daily max loss; ",""),"")&amp;IF(AND($AG523="",NOT(ISNUMBER($O523))),"Symbol not in Instruments; ","")&amp;IF(AND($AH523="",NOT(ISNUMBER($O523))),"Forex cross: type Gross P&amp;L; ",""))</f>
        <v/>
      </c>
      <c r="BH523" s="56">
        <f>IF(ISNUMBER($Q523),1,0)</f>
        <v>0</v>
      </c>
      <c r="BI523" s="56">
        <f>IF($Y523="",0,1)</f>
        <v>0</v>
      </c>
      <c r="BJ523" s="56">
        <f>IF($AB523="",0,1)</f>
        <v>0</v>
      </c>
      <c r="BK523" s="56">
        <f>IF(AND($BH523=1,$W523&lt;&gt;"OK"),1,0)</f>
        <v>0</v>
      </c>
      <c r="BL523" s="55">
        <f>IF(N($AZ523)=0,0,IFERROR(INDEX($AT$6:$AT$1005,MATCH($AZ523,$AY$6:$AY$1005,0)),0))</f>
        <v>1187.10688</v>
      </c>
      <c r="BM523" s="56">
        <f>IF(ISNUMBER(SEARCH("daily max loss",$BG523)),1,0)</f>
        <v>0</v>
      </c>
    </row>
    <row r="524" ht="18" customHeight="1">
      <c r="A524" s="38" t="n"/>
      <c r="B524" s="39" t="n"/>
      <c r="C524" s="40" t="n"/>
      <c r="D524" s="41" t="n"/>
      <c r="E524" s="41" t="n"/>
      <c r="F524" s="41" t="n"/>
      <c r="G524" s="41" t="n"/>
      <c r="H524" s="42" t="n"/>
      <c r="I524" s="42" t="n"/>
      <c r="J524" s="42" t="n"/>
      <c r="K524" s="42" t="n"/>
      <c r="L524" s="41" t="n"/>
      <c r="M524" s="41" t="n"/>
      <c r="N524" s="41" t="n"/>
      <c r="O524" s="43" t="n"/>
      <c r="P524" s="43" t="n"/>
      <c r="Q524" s="44" t="str">
        <f>IF($AM524=0,"",IF(ISNUMBER($AK524),$AK524-N($AL524),""))</f>
        <v/>
      </c>
      <c r="R524" s="45" t="str">
        <f>IF(OR($Q524="",NOT(ISNUMBER($V524))),"",$AK524/$V524)</f>
        <v/>
      </c>
      <c r="S524" s="46" t="str">
        <f>IF($Q524="","",IF(AND(ISNUMBER($R524),ABS(N($R524))&lt;N(Settings!$C$8)),"Scratch",IF($Q524&gt;0,"Win",IF($Q524&lt;0,"Loss","Scratch"))))</f>
        <v/>
      </c>
      <c r="T524" s="47" t="str">
        <f>IF(OR($AM524=0,NOT(ISNUMBER($H524)),NOT(ISNUMBER($I524)),NOT(ISNUMBER($J524))),"",IF($H524=$I524,"",ROUND(ABS($J524-$H524)/ABS($H524-$I524),6)))</f>
        <v/>
      </c>
      <c r="U524" s="48" t="str">
        <f>IF(OR($S524&lt;&gt;"Win",NOT(ISNUMBER($T524)),NOT(ISNUMBER($R524))),"",MAX(0,$T524-$R524))</f>
        <v/>
      </c>
      <c r="V524" s="49" t="str">
        <f>IF(OR($AM524=0,NOT(ISNUMBER($H524)),NOT(ISNUMBER($I524)),NOT(ISNUMBER($G524))),"",IF(OR($AG524="",$AH524=""),"",IF(ROUND(ABS($H524-$I524)*ABS($G524)*$AG524*$AH524,6)=0,"",ROUND(ABS($H524-$I524)*ABS($G524)*$AG524*$AH524,6))))</f>
        <v/>
      </c>
      <c r="W524" s="50" t="str">
        <f>IF($AM524=0,"",IF($BG524="","OK",LEFT($BG524,LEN($BG524)-2)))</f>
        <v/>
      </c>
      <c r="X524" s="41" t="n"/>
      <c r="Y524" s="40" t="n"/>
      <c r="Z524" s="41" t="n"/>
      <c r="AA524" s="41" t="n"/>
      <c r="AB524" s="40" t="n"/>
      <c r="AC524" s="51" t="n"/>
      <c r="AD524" s="51" t="n"/>
      <c r="AE524" s="40" t="n"/>
      <c r="AF524" s="52" t="str">
        <f>IF($AM524=0,"",IF($D524&lt;&gt;"",$D524,IF(IFERROR(INDEX(Accounts!$C$7:$C$16,MATCH($C524,Accounts!$B$7:$B$16,0))&amp;"","")&lt;&gt;"",INDEX(Accounts!$C$7:$C$16,MATCH($C524,Accounts!$B$7:$B$16,0)),Settings!$C$6)))</f>
        <v/>
      </c>
      <c r="AG524" s="53" t="str">
        <f>IF($AM524=0,"",IF(AND($BE524&gt;0,N(INDEX(Instruments!$D$6:$D$205,MAX(1,$BE524)))&gt;0),INDEX(Instruments!$D$6:$D$205,MAX(1,$BE524)),IF(N(INDEX(Settings!$D$14:$D$18,$BF524))&gt;0,INDEX(Settings!$D$14:$D$18,$BF524),"")))</f>
        <v/>
      </c>
      <c r="AH524" s="54" t="str">
        <f>IF($AM524=0,"",IF($AF524&lt;&gt;"Forex",1,IF(MID(UPPER(SUBSTITUTE(TRIM($E524),"/","")),4,3)=UPPER(TRIM(Settings!$C$7)),1,IF(LEFT(UPPER(SUBSTITUTE(TRIM($E524),"/","")),3)=UPPER(TRIM(Settings!$C$7)),IF(AND(ISNUMBER($K524),N($K524)&lt;&gt;0),1/$K524,""),""))))</f>
        <v/>
      </c>
      <c r="AI524" s="55" t="str">
        <f>IF($AM524=0,"",IF(OR(NOT(ISNUMBER($H524)),NOT(ISNUMBER($K524)),NOT(ISNUMBER($G524)),$AG524="",$AH524=""),"",ROUND(($K524-$H524)*IF($F524="Short",-1,1)*$G524*$AG524*$AH524,6)))</f>
        <v/>
      </c>
      <c r="AJ524" s="55" t="str">
        <f>IF($AM524=0,"",IF(INDEX(Settings!$E$14:$E$18,$BF524)="% of notional",IF(OR($AG524="",NOT(ISNUMBER($H524)),NOT(ISNUMBER($G524))),"",ROUND(ABS($H524*$G524*$AG524*N($AH524))*IF($L524="Limit",N(INDEX(Settings!$G$14:$G$18,$BF524)),N(INDEX(Settings!$H$14:$H$18,$BF524)))+IF(ISNUMBER($K524),ABS($K524*$G524*$AG524*N($AH524))*IF($M524="Target",N(INDEX(Settings!$G$14:$G$18,$BF524)),N(INDEX(Settings!$H$14:$H$18,$BF524))),0),6)),IF(NOT(ISNUMBER($G524)),"",ROUND(ABS($G524)*2*IF(AND($BE524&gt;0,ISNUMBER(INDEX(Instruments!$G$6:$G$205,MAX(1,$BE524)))),INDEX(Instruments!$G$6:$G$205,MAX(1,$BE524)),N(INDEX(Settings!$F$14:$F$18,$BF524))),6))))</f>
        <v/>
      </c>
      <c r="AK524" s="55" t="str">
        <f>IF($AM524=0,"",IF(ISNUMBER($O524),$O524,$AI524))</f>
        <v/>
      </c>
      <c r="AL524" s="55" t="str">
        <f>IF($AM524=0,"",IF(ISNUMBER($P524),$P524,N($AJ524)))</f>
        <v/>
      </c>
      <c r="AM524" s="56">
        <f>IF(AND($A524&lt;&gt;"",$E524&lt;&gt;"",OR(AND(ISNUMBER($G524),ISNUMBER($H524),ISNUMBER($K524)),ISNUMBER($O524))),1,0)</f>
        <v>0</v>
      </c>
      <c r="AN524" s="57" t="str">
        <f>IF($A524="","",$A524-WEEKDAY($A524,3))</f>
        <v/>
      </c>
      <c r="AO524" s="56" t="str">
        <f>IF($A524="","",WEEKDAY($A524,2))</f>
        <v/>
      </c>
      <c r="AP524" s="55" t="str">
        <f>IF(OR($AM524=0,$C524=""),"",IFERROR(N(INDEX(Accounts!$E$7:$E$16,MATCH($C524,Accounts!$B$7:$B$16,0))),0)+SUMIFS($Q$6:$Q524,$C$6:$C524,$C524))</f>
        <v/>
      </c>
      <c r="AQ524" s="55" t="str">
        <f>IF(OR($AM524=0,$C524=""),"",SUMIFS($Q$6:$Q$1005,$C$6:$C$1005,$C524,$A$6:$A$1005,$A524))</f>
        <v/>
      </c>
      <c r="AR524" s="55" t="str">
        <f>IF(OR($AM524=0,$C524=""),"",IFERROR(N(INDEX(Accounts!$E$7:$E$16,MATCH($C524,Accounts!$B$7:$B$16,0))),0)+SUMIFS($Q$6:$Q$1005,$C$6:$C$1005,$C524,$A$6:$A$1005,"&lt;="&amp;$A524))</f>
        <v/>
      </c>
      <c r="AS524" s="56">
        <f>IF(OR($AM524=0,$Q524=""),0,IF(AND($A524&gt;=Lists!$W$6,$A524&lt;=Lists!$W$7,OR(Dashboard!$D$6="All accounts",$C524=Dashboard!$D$6),OR(Dashboard!$D$7="All markets",$AF524=Dashboard!$D$7)),1,0))</f>
        <v>0</v>
      </c>
      <c r="AT524" s="55">
        <f>IF($AS524=1,N(AT523)+$Q524,N(AT523))</f>
        <v>1187.10688</v>
      </c>
      <c r="AU524" s="55">
        <f>MAX(N(AU523),$AT524)</f>
        <v>1187.10688</v>
      </c>
      <c r="AV524" s="55">
        <f>$AT524-$AU524</f>
        <v>0</v>
      </c>
      <c r="AW524" s="56">
        <f>IF($AS524=1,IF($S524="Win",N(AW523)+1,IF($S524="Loss",0,N(AW523))),N(AW523))</f>
        <v>5</v>
      </c>
      <c r="AX524" s="56">
        <f>IF($AS524=1,IF($S524="Loss",N(AX523)+1,IF($S524="Win",0,N(AX523))),N(AX523))</f>
        <v>0</v>
      </c>
      <c r="AY524" s="56" t="str">
        <f>IF($AS524=1,COUNTIF($AS$6:$AS524,1),"")</f>
        <v/>
      </c>
      <c r="AZ524" s="56">
        <f>MIN(518,N(Lists!$W$8))</f>
        <v>28</v>
      </c>
      <c r="BA524" s="56">
        <f>IF($AS524=1,IF(COUNTIFS($A$6:$A524,$A524,$AS$6:$AS524,1)=1,1,0),0)</f>
        <v>0</v>
      </c>
      <c r="BB524" s="55" t="str">
        <f>IF($BA524=1,SUMIFS($Q$6:$Q$1005,$A$6:$A$1005,$A524,$AS$6:$AS$1005,1),"")</f>
        <v/>
      </c>
      <c r="BC524" s="56">
        <f>IF(ISNUMBER($R524),1,0)</f>
        <v>0</v>
      </c>
      <c r="BD524" s="55" t="str">
        <f>IF(ISNUMBER($U524),$U524*$V524,"")</f>
        <v/>
      </c>
      <c r="BE524" s="56" t="str">
        <f>IF($AM524=0,"",IFERROR(MATCH($AF524&amp;"|"&amp;UPPER(TRIM($E524)),Lists!$A$6:$A$205,0),0))</f>
        <v/>
      </c>
      <c r="BF524" s="56" t="str">
        <f>IF($AM524=0,"",IFERROR(MATCH($AF524,Settings!$B$14:$B$18,0),IFERROR(MATCH(Settings!$C$6,Settings!$B$14:$B$18,0),1)))</f>
        <v/>
      </c>
      <c r="BG524" s="58" t="str">
        <f>IF($AM524=0,"",IF(NOT(ISNUMBER($I524)),"No stop; ","")&amp;IF(AND(ISNUMBER($H524),ISNUMBER($I524)),IF(OR(AND($F524&lt;&gt;"Short",$I524&gt;=$H524),AND($F524="Short",$I524&lt;=$H524)),"Stop on wrong side; ",""),"")&amp;IF($F524="","No direction; ","")&amp;IF(AND(ISNUMBER(Settings!$C$22),ISNUMBER($V524)),IF($V524&gt;Settings!$C$22,"Risk over max $; ",""),"")&amp;IF(AND(ISNUMBER(Settings!$C$23),ISNUMBER($V524),ISNUMBER($AP524),IFERROR(N(INDEX(Accounts!$E$7:$E$16,MATCH($C524,Accounts!$B$7:$B$16,0))),0)&gt;0),IF($V524&gt;Settings!$C$23*($AP524-N($Q524)),"Risk over max %; ",""),"")&amp;IF(AND(ISNUMBER(Settings!$C$24),ISNUMBER($N524)),IF($N524&gt;Settings!$C$24,"Leverage over max; ",""),"")&amp;IF(AND(ISNUMBER(Settings!$C$27),ISNUMBER($T524)),IF($T524&lt;Settings!$C$27,"R:R below min; ",""),"")&amp;IF(ISNUMBER(Settings!$C$25),IF(COUNTIFS($A$6:$A524,$A524,$AM$6:$AM524,1)&gt;Settings!$C$25,"Over max trades/day; ",""),"")&amp;IF(ISNUMBER(Settings!$C$26),IF(SUMIFS($Q$5:$Q523,$A$5:$A523,$A524)&lt;=-Settings!$C$26,"Traded after daily max loss; ",""),"")&amp;IF(AND($AG524="",NOT(ISNUMBER($O524))),"Symbol not in Instruments; ","")&amp;IF(AND($AH524="",NOT(ISNUMBER($O524))),"Forex cross: type Gross P&amp;L; ",""))</f>
        <v/>
      </c>
      <c r="BH524" s="56">
        <f>IF(ISNUMBER($Q524),1,0)</f>
        <v>0</v>
      </c>
      <c r="BI524" s="56">
        <f>IF($Y524="",0,1)</f>
        <v>0</v>
      </c>
      <c r="BJ524" s="56">
        <f>IF($AB524="",0,1)</f>
        <v>0</v>
      </c>
      <c r="BK524" s="56">
        <f>IF(AND($BH524=1,$W524&lt;&gt;"OK"),1,0)</f>
        <v>0</v>
      </c>
      <c r="BL524" s="55">
        <f>IF(N($AZ524)=0,0,IFERROR(INDEX($AT$6:$AT$1005,MATCH($AZ524,$AY$6:$AY$1005,0)),0))</f>
        <v>1187.10688</v>
      </c>
      <c r="BM524" s="56">
        <f>IF(ISNUMBER(SEARCH("daily max loss",$BG524)),1,0)</f>
        <v>0</v>
      </c>
    </row>
    <row r="525" ht="18" customHeight="1">
      <c r="A525" s="38" t="n"/>
      <c r="B525" s="39" t="n"/>
      <c r="C525" s="40" t="n"/>
      <c r="D525" s="41" t="n"/>
      <c r="E525" s="41" t="n"/>
      <c r="F525" s="41" t="n"/>
      <c r="G525" s="41" t="n"/>
      <c r="H525" s="42" t="n"/>
      <c r="I525" s="42" t="n"/>
      <c r="J525" s="42" t="n"/>
      <c r="K525" s="42" t="n"/>
      <c r="L525" s="41" t="n"/>
      <c r="M525" s="41" t="n"/>
      <c r="N525" s="41" t="n"/>
      <c r="O525" s="43" t="n"/>
      <c r="P525" s="43" t="n"/>
      <c r="Q525" s="44" t="str">
        <f>IF($AM525=0,"",IF(ISNUMBER($AK525),$AK525-N($AL525),""))</f>
        <v/>
      </c>
      <c r="R525" s="45" t="str">
        <f>IF(OR($Q525="",NOT(ISNUMBER($V525))),"",$AK525/$V525)</f>
        <v/>
      </c>
      <c r="S525" s="46" t="str">
        <f>IF($Q525="","",IF(AND(ISNUMBER($R525),ABS(N($R525))&lt;N(Settings!$C$8)),"Scratch",IF($Q525&gt;0,"Win",IF($Q525&lt;0,"Loss","Scratch"))))</f>
        <v/>
      </c>
      <c r="T525" s="47" t="str">
        <f>IF(OR($AM525=0,NOT(ISNUMBER($H525)),NOT(ISNUMBER($I525)),NOT(ISNUMBER($J525))),"",IF($H525=$I525,"",ROUND(ABS($J525-$H525)/ABS($H525-$I525),6)))</f>
        <v/>
      </c>
      <c r="U525" s="48" t="str">
        <f>IF(OR($S525&lt;&gt;"Win",NOT(ISNUMBER($T525)),NOT(ISNUMBER($R525))),"",MAX(0,$T525-$R525))</f>
        <v/>
      </c>
      <c r="V525" s="49" t="str">
        <f>IF(OR($AM525=0,NOT(ISNUMBER($H525)),NOT(ISNUMBER($I525)),NOT(ISNUMBER($G525))),"",IF(OR($AG525="",$AH525=""),"",IF(ROUND(ABS($H525-$I525)*ABS($G525)*$AG525*$AH525,6)=0,"",ROUND(ABS($H525-$I525)*ABS($G525)*$AG525*$AH525,6))))</f>
        <v/>
      </c>
      <c r="W525" s="50" t="str">
        <f>IF($AM525=0,"",IF($BG525="","OK",LEFT($BG525,LEN($BG525)-2)))</f>
        <v/>
      </c>
      <c r="X525" s="41" t="n"/>
      <c r="Y525" s="40" t="n"/>
      <c r="Z525" s="41" t="n"/>
      <c r="AA525" s="41" t="n"/>
      <c r="AB525" s="40" t="n"/>
      <c r="AC525" s="51" t="n"/>
      <c r="AD525" s="51" t="n"/>
      <c r="AE525" s="40" t="n"/>
      <c r="AF525" s="52" t="str">
        <f>IF($AM525=0,"",IF($D525&lt;&gt;"",$D525,IF(IFERROR(INDEX(Accounts!$C$7:$C$16,MATCH($C525,Accounts!$B$7:$B$16,0))&amp;"","")&lt;&gt;"",INDEX(Accounts!$C$7:$C$16,MATCH($C525,Accounts!$B$7:$B$16,0)),Settings!$C$6)))</f>
        <v/>
      </c>
      <c r="AG525" s="53" t="str">
        <f>IF($AM525=0,"",IF(AND($BE525&gt;0,N(INDEX(Instruments!$D$6:$D$205,MAX(1,$BE525)))&gt;0),INDEX(Instruments!$D$6:$D$205,MAX(1,$BE525)),IF(N(INDEX(Settings!$D$14:$D$18,$BF525))&gt;0,INDEX(Settings!$D$14:$D$18,$BF525),"")))</f>
        <v/>
      </c>
      <c r="AH525" s="54" t="str">
        <f>IF($AM525=0,"",IF($AF525&lt;&gt;"Forex",1,IF(MID(UPPER(SUBSTITUTE(TRIM($E525),"/","")),4,3)=UPPER(TRIM(Settings!$C$7)),1,IF(LEFT(UPPER(SUBSTITUTE(TRIM($E525),"/","")),3)=UPPER(TRIM(Settings!$C$7)),IF(AND(ISNUMBER($K525),N($K525)&lt;&gt;0),1/$K525,""),""))))</f>
        <v/>
      </c>
      <c r="AI525" s="55" t="str">
        <f>IF($AM525=0,"",IF(OR(NOT(ISNUMBER($H525)),NOT(ISNUMBER($K525)),NOT(ISNUMBER($G525)),$AG525="",$AH525=""),"",ROUND(($K525-$H525)*IF($F525="Short",-1,1)*$G525*$AG525*$AH525,6)))</f>
        <v/>
      </c>
      <c r="AJ525" s="55" t="str">
        <f>IF($AM525=0,"",IF(INDEX(Settings!$E$14:$E$18,$BF525)="% of notional",IF(OR($AG525="",NOT(ISNUMBER($H525)),NOT(ISNUMBER($G525))),"",ROUND(ABS($H525*$G525*$AG525*N($AH525))*IF($L525="Limit",N(INDEX(Settings!$G$14:$G$18,$BF525)),N(INDEX(Settings!$H$14:$H$18,$BF525)))+IF(ISNUMBER($K525),ABS($K525*$G525*$AG525*N($AH525))*IF($M525="Target",N(INDEX(Settings!$G$14:$G$18,$BF525)),N(INDEX(Settings!$H$14:$H$18,$BF525))),0),6)),IF(NOT(ISNUMBER($G525)),"",ROUND(ABS($G525)*2*IF(AND($BE525&gt;0,ISNUMBER(INDEX(Instruments!$G$6:$G$205,MAX(1,$BE525)))),INDEX(Instruments!$G$6:$G$205,MAX(1,$BE525)),N(INDEX(Settings!$F$14:$F$18,$BF525))),6))))</f>
        <v/>
      </c>
      <c r="AK525" s="55" t="str">
        <f>IF($AM525=0,"",IF(ISNUMBER($O525),$O525,$AI525))</f>
        <v/>
      </c>
      <c r="AL525" s="55" t="str">
        <f>IF($AM525=0,"",IF(ISNUMBER($P525),$P525,N($AJ525)))</f>
        <v/>
      </c>
      <c r="AM525" s="56">
        <f>IF(AND($A525&lt;&gt;"",$E525&lt;&gt;"",OR(AND(ISNUMBER($G525),ISNUMBER($H525),ISNUMBER($K525)),ISNUMBER($O525))),1,0)</f>
        <v>0</v>
      </c>
      <c r="AN525" s="57" t="str">
        <f>IF($A525="","",$A525-WEEKDAY($A525,3))</f>
        <v/>
      </c>
      <c r="AO525" s="56" t="str">
        <f>IF($A525="","",WEEKDAY($A525,2))</f>
        <v/>
      </c>
      <c r="AP525" s="55" t="str">
        <f>IF(OR($AM525=0,$C525=""),"",IFERROR(N(INDEX(Accounts!$E$7:$E$16,MATCH($C525,Accounts!$B$7:$B$16,0))),0)+SUMIFS($Q$6:$Q525,$C$6:$C525,$C525))</f>
        <v/>
      </c>
      <c r="AQ525" s="55" t="str">
        <f>IF(OR($AM525=0,$C525=""),"",SUMIFS($Q$6:$Q$1005,$C$6:$C$1005,$C525,$A$6:$A$1005,$A525))</f>
        <v/>
      </c>
      <c r="AR525" s="55" t="str">
        <f>IF(OR($AM525=0,$C525=""),"",IFERROR(N(INDEX(Accounts!$E$7:$E$16,MATCH($C525,Accounts!$B$7:$B$16,0))),0)+SUMIFS($Q$6:$Q$1005,$C$6:$C$1005,$C525,$A$6:$A$1005,"&lt;="&amp;$A525))</f>
        <v/>
      </c>
      <c r="AS525" s="56">
        <f>IF(OR($AM525=0,$Q525=""),0,IF(AND($A525&gt;=Lists!$W$6,$A525&lt;=Lists!$W$7,OR(Dashboard!$D$6="All accounts",$C525=Dashboard!$D$6),OR(Dashboard!$D$7="All markets",$AF525=Dashboard!$D$7)),1,0))</f>
        <v>0</v>
      </c>
      <c r="AT525" s="55">
        <f>IF($AS525=1,N(AT524)+$Q525,N(AT524))</f>
        <v>1187.10688</v>
      </c>
      <c r="AU525" s="55">
        <f>MAX(N(AU524),$AT525)</f>
        <v>1187.10688</v>
      </c>
      <c r="AV525" s="55">
        <f>$AT525-$AU525</f>
        <v>0</v>
      </c>
      <c r="AW525" s="56">
        <f>IF($AS525=1,IF($S525="Win",N(AW524)+1,IF($S525="Loss",0,N(AW524))),N(AW524))</f>
        <v>5</v>
      </c>
      <c r="AX525" s="56">
        <f>IF($AS525=1,IF($S525="Loss",N(AX524)+1,IF($S525="Win",0,N(AX524))),N(AX524))</f>
        <v>0</v>
      </c>
      <c r="AY525" s="56" t="str">
        <f>IF($AS525=1,COUNTIF($AS$6:$AS525,1),"")</f>
        <v/>
      </c>
      <c r="AZ525" s="56">
        <f>MIN(519,N(Lists!$W$8))</f>
        <v>28</v>
      </c>
      <c r="BA525" s="56">
        <f>IF($AS525=1,IF(COUNTIFS($A$6:$A525,$A525,$AS$6:$AS525,1)=1,1,0),0)</f>
        <v>0</v>
      </c>
      <c r="BB525" s="55" t="str">
        <f>IF($BA525=1,SUMIFS($Q$6:$Q$1005,$A$6:$A$1005,$A525,$AS$6:$AS$1005,1),"")</f>
        <v/>
      </c>
      <c r="BC525" s="56">
        <f>IF(ISNUMBER($R525),1,0)</f>
        <v>0</v>
      </c>
      <c r="BD525" s="55" t="str">
        <f>IF(ISNUMBER($U525),$U525*$V525,"")</f>
        <v/>
      </c>
      <c r="BE525" s="56" t="str">
        <f>IF($AM525=0,"",IFERROR(MATCH($AF525&amp;"|"&amp;UPPER(TRIM($E525)),Lists!$A$6:$A$205,0),0))</f>
        <v/>
      </c>
      <c r="BF525" s="56" t="str">
        <f>IF($AM525=0,"",IFERROR(MATCH($AF525,Settings!$B$14:$B$18,0),IFERROR(MATCH(Settings!$C$6,Settings!$B$14:$B$18,0),1)))</f>
        <v/>
      </c>
      <c r="BG525" s="58" t="str">
        <f>IF($AM525=0,"",IF(NOT(ISNUMBER($I525)),"No stop; ","")&amp;IF(AND(ISNUMBER($H525),ISNUMBER($I525)),IF(OR(AND($F525&lt;&gt;"Short",$I525&gt;=$H525),AND($F525="Short",$I525&lt;=$H525)),"Stop on wrong side; ",""),"")&amp;IF($F525="","No direction; ","")&amp;IF(AND(ISNUMBER(Settings!$C$22),ISNUMBER($V525)),IF($V525&gt;Settings!$C$22,"Risk over max $; ",""),"")&amp;IF(AND(ISNUMBER(Settings!$C$23),ISNUMBER($V525),ISNUMBER($AP525),IFERROR(N(INDEX(Accounts!$E$7:$E$16,MATCH($C525,Accounts!$B$7:$B$16,0))),0)&gt;0),IF($V525&gt;Settings!$C$23*($AP525-N($Q525)),"Risk over max %; ",""),"")&amp;IF(AND(ISNUMBER(Settings!$C$24),ISNUMBER($N525)),IF($N525&gt;Settings!$C$24,"Leverage over max; ",""),"")&amp;IF(AND(ISNUMBER(Settings!$C$27),ISNUMBER($T525)),IF($T525&lt;Settings!$C$27,"R:R below min; ",""),"")&amp;IF(ISNUMBER(Settings!$C$25),IF(COUNTIFS($A$6:$A525,$A525,$AM$6:$AM525,1)&gt;Settings!$C$25,"Over max trades/day; ",""),"")&amp;IF(ISNUMBER(Settings!$C$26),IF(SUMIFS($Q$5:$Q524,$A$5:$A524,$A525)&lt;=-Settings!$C$26,"Traded after daily max loss; ",""),"")&amp;IF(AND($AG525="",NOT(ISNUMBER($O525))),"Symbol not in Instruments; ","")&amp;IF(AND($AH525="",NOT(ISNUMBER($O525))),"Forex cross: type Gross P&amp;L; ",""))</f>
        <v/>
      </c>
      <c r="BH525" s="56">
        <f>IF(ISNUMBER($Q525),1,0)</f>
        <v>0</v>
      </c>
      <c r="BI525" s="56">
        <f>IF($Y525="",0,1)</f>
        <v>0</v>
      </c>
      <c r="BJ525" s="56">
        <f>IF($AB525="",0,1)</f>
        <v>0</v>
      </c>
      <c r="BK525" s="56">
        <f>IF(AND($BH525=1,$W525&lt;&gt;"OK"),1,0)</f>
        <v>0</v>
      </c>
      <c r="BL525" s="55">
        <f>IF(N($AZ525)=0,0,IFERROR(INDEX($AT$6:$AT$1005,MATCH($AZ525,$AY$6:$AY$1005,0)),0))</f>
        <v>1187.10688</v>
      </c>
      <c r="BM525" s="56">
        <f>IF(ISNUMBER(SEARCH("daily max loss",$BG525)),1,0)</f>
        <v>0</v>
      </c>
    </row>
    <row r="526" ht="18" customHeight="1">
      <c r="A526" s="38" t="n"/>
      <c r="B526" s="39" t="n"/>
      <c r="C526" s="40" t="n"/>
      <c r="D526" s="41" t="n"/>
      <c r="E526" s="41" t="n"/>
      <c r="F526" s="41" t="n"/>
      <c r="G526" s="41" t="n"/>
      <c r="H526" s="42" t="n"/>
      <c r="I526" s="42" t="n"/>
      <c r="J526" s="42" t="n"/>
      <c r="K526" s="42" t="n"/>
      <c r="L526" s="41" t="n"/>
      <c r="M526" s="41" t="n"/>
      <c r="N526" s="41" t="n"/>
      <c r="O526" s="43" t="n"/>
      <c r="P526" s="43" t="n"/>
      <c r="Q526" s="44" t="str">
        <f>IF($AM526=0,"",IF(ISNUMBER($AK526),$AK526-N($AL526),""))</f>
        <v/>
      </c>
      <c r="R526" s="45" t="str">
        <f>IF(OR($Q526="",NOT(ISNUMBER($V526))),"",$AK526/$V526)</f>
        <v/>
      </c>
      <c r="S526" s="46" t="str">
        <f>IF($Q526="","",IF(AND(ISNUMBER($R526),ABS(N($R526))&lt;N(Settings!$C$8)),"Scratch",IF($Q526&gt;0,"Win",IF($Q526&lt;0,"Loss","Scratch"))))</f>
        <v/>
      </c>
      <c r="T526" s="47" t="str">
        <f>IF(OR($AM526=0,NOT(ISNUMBER($H526)),NOT(ISNUMBER($I526)),NOT(ISNUMBER($J526))),"",IF($H526=$I526,"",ROUND(ABS($J526-$H526)/ABS($H526-$I526),6)))</f>
        <v/>
      </c>
      <c r="U526" s="48" t="str">
        <f>IF(OR($S526&lt;&gt;"Win",NOT(ISNUMBER($T526)),NOT(ISNUMBER($R526))),"",MAX(0,$T526-$R526))</f>
        <v/>
      </c>
      <c r="V526" s="49" t="str">
        <f>IF(OR($AM526=0,NOT(ISNUMBER($H526)),NOT(ISNUMBER($I526)),NOT(ISNUMBER($G526))),"",IF(OR($AG526="",$AH526=""),"",IF(ROUND(ABS($H526-$I526)*ABS($G526)*$AG526*$AH526,6)=0,"",ROUND(ABS($H526-$I526)*ABS($G526)*$AG526*$AH526,6))))</f>
        <v/>
      </c>
      <c r="W526" s="50" t="str">
        <f>IF($AM526=0,"",IF($BG526="","OK",LEFT($BG526,LEN($BG526)-2)))</f>
        <v/>
      </c>
      <c r="X526" s="41" t="n"/>
      <c r="Y526" s="40" t="n"/>
      <c r="Z526" s="41" t="n"/>
      <c r="AA526" s="41" t="n"/>
      <c r="AB526" s="40" t="n"/>
      <c r="AC526" s="51" t="n"/>
      <c r="AD526" s="51" t="n"/>
      <c r="AE526" s="40" t="n"/>
      <c r="AF526" s="52" t="str">
        <f>IF($AM526=0,"",IF($D526&lt;&gt;"",$D526,IF(IFERROR(INDEX(Accounts!$C$7:$C$16,MATCH($C526,Accounts!$B$7:$B$16,0))&amp;"","")&lt;&gt;"",INDEX(Accounts!$C$7:$C$16,MATCH($C526,Accounts!$B$7:$B$16,0)),Settings!$C$6)))</f>
        <v/>
      </c>
      <c r="AG526" s="53" t="str">
        <f>IF($AM526=0,"",IF(AND($BE526&gt;0,N(INDEX(Instruments!$D$6:$D$205,MAX(1,$BE526)))&gt;0),INDEX(Instruments!$D$6:$D$205,MAX(1,$BE526)),IF(N(INDEX(Settings!$D$14:$D$18,$BF526))&gt;0,INDEX(Settings!$D$14:$D$18,$BF526),"")))</f>
        <v/>
      </c>
      <c r="AH526" s="54" t="str">
        <f>IF($AM526=0,"",IF($AF526&lt;&gt;"Forex",1,IF(MID(UPPER(SUBSTITUTE(TRIM($E526),"/","")),4,3)=UPPER(TRIM(Settings!$C$7)),1,IF(LEFT(UPPER(SUBSTITUTE(TRIM($E526),"/","")),3)=UPPER(TRIM(Settings!$C$7)),IF(AND(ISNUMBER($K526),N($K526)&lt;&gt;0),1/$K526,""),""))))</f>
        <v/>
      </c>
      <c r="AI526" s="55" t="str">
        <f>IF($AM526=0,"",IF(OR(NOT(ISNUMBER($H526)),NOT(ISNUMBER($K526)),NOT(ISNUMBER($G526)),$AG526="",$AH526=""),"",ROUND(($K526-$H526)*IF($F526="Short",-1,1)*$G526*$AG526*$AH526,6)))</f>
        <v/>
      </c>
      <c r="AJ526" s="55" t="str">
        <f>IF($AM526=0,"",IF(INDEX(Settings!$E$14:$E$18,$BF526)="% of notional",IF(OR($AG526="",NOT(ISNUMBER($H526)),NOT(ISNUMBER($G526))),"",ROUND(ABS($H526*$G526*$AG526*N($AH526))*IF($L526="Limit",N(INDEX(Settings!$G$14:$G$18,$BF526)),N(INDEX(Settings!$H$14:$H$18,$BF526)))+IF(ISNUMBER($K526),ABS($K526*$G526*$AG526*N($AH526))*IF($M526="Target",N(INDEX(Settings!$G$14:$G$18,$BF526)),N(INDEX(Settings!$H$14:$H$18,$BF526))),0),6)),IF(NOT(ISNUMBER($G526)),"",ROUND(ABS($G526)*2*IF(AND($BE526&gt;0,ISNUMBER(INDEX(Instruments!$G$6:$G$205,MAX(1,$BE526)))),INDEX(Instruments!$G$6:$G$205,MAX(1,$BE526)),N(INDEX(Settings!$F$14:$F$18,$BF526))),6))))</f>
        <v/>
      </c>
      <c r="AK526" s="55" t="str">
        <f>IF($AM526=0,"",IF(ISNUMBER($O526),$O526,$AI526))</f>
        <v/>
      </c>
      <c r="AL526" s="55" t="str">
        <f>IF($AM526=0,"",IF(ISNUMBER($P526),$P526,N($AJ526)))</f>
        <v/>
      </c>
      <c r="AM526" s="56">
        <f>IF(AND($A526&lt;&gt;"",$E526&lt;&gt;"",OR(AND(ISNUMBER($G526),ISNUMBER($H526),ISNUMBER($K526)),ISNUMBER($O526))),1,0)</f>
        <v>0</v>
      </c>
      <c r="AN526" s="57" t="str">
        <f>IF($A526="","",$A526-WEEKDAY($A526,3))</f>
        <v/>
      </c>
      <c r="AO526" s="56" t="str">
        <f>IF($A526="","",WEEKDAY($A526,2))</f>
        <v/>
      </c>
      <c r="AP526" s="55" t="str">
        <f>IF(OR($AM526=0,$C526=""),"",IFERROR(N(INDEX(Accounts!$E$7:$E$16,MATCH($C526,Accounts!$B$7:$B$16,0))),0)+SUMIFS($Q$6:$Q526,$C$6:$C526,$C526))</f>
        <v/>
      </c>
      <c r="AQ526" s="55" t="str">
        <f>IF(OR($AM526=0,$C526=""),"",SUMIFS($Q$6:$Q$1005,$C$6:$C$1005,$C526,$A$6:$A$1005,$A526))</f>
        <v/>
      </c>
      <c r="AR526" s="55" t="str">
        <f>IF(OR($AM526=0,$C526=""),"",IFERROR(N(INDEX(Accounts!$E$7:$E$16,MATCH($C526,Accounts!$B$7:$B$16,0))),0)+SUMIFS($Q$6:$Q$1005,$C$6:$C$1005,$C526,$A$6:$A$1005,"&lt;="&amp;$A526))</f>
        <v/>
      </c>
      <c r="AS526" s="56">
        <f>IF(OR($AM526=0,$Q526=""),0,IF(AND($A526&gt;=Lists!$W$6,$A526&lt;=Lists!$W$7,OR(Dashboard!$D$6="All accounts",$C526=Dashboard!$D$6),OR(Dashboard!$D$7="All markets",$AF526=Dashboard!$D$7)),1,0))</f>
        <v>0</v>
      </c>
      <c r="AT526" s="55">
        <f>IF($AS526=1,N(AT525)+$Q526,N(AT525))</f>
        <v>1187.10688</v>
      </c>
      <c r="AU526" s="55">
        <f>MAX(N(AU525),$AT526)</f>
        <v>1187.10688</v>
      </c>
      <c r="AV526" s="55">
        <f>$AT526-$AU526</f>
        <v>0</v>
      </c>
      <c r="AW526" s="56">
        <f>IF($AS526=1,IF($S526="Win",N(AW525)+1,IF($S526="Loss",0,N(AW525))),N(AW525))</f>
        <v>5</v>
      </c>
      <c r="AX526" s="56">
        <f>IF($AS526=1,IF($S526="Loss",N(AX525)+1,IF($S526="Win",0,N(AX525))),N(AX525))</f>
        <v>0</v>
      </c>
      <c r="AY526" s="56" t="str">
        <f>IF($AS526=1,COUNTIF($AS$6:$AS526,1),"")</f>
        <v/>
      </c>
      <c r="AZ526" s="56">
        <f>MIN(520,N(Lists!$W$8))</f>
        <v>28</v>
      </c>
      <c r="BA526" s="56">
        <f>IF($AS526=1,IF(COUNTIFS($A$6:$A526,$A526,$AS$6:$AS526,1)=1,1,0),0)</f>
        <v>0</v>
      </c>
      <c r="BB526" s="55" t="str">
        <f>IF($BA526=1,SUMIFS($Q$6:$Q$1005,$A$6:$A$1005,$A526,$AS$6:$AS$1005,1),"")</f>
        <v/>
      </c>
      <c r="BC526" s="56">
        <f>IF(ISNUMBER($R526),1,0)</f>
        <v>0</v>
      </c>
      <c r="BD526" s="55" t="str">
        <f>IF(ISNUMBER($U526),$U526*$V526,"")</f>
        <v/>
      </c>
      <c r="BE526" s="56" t="str">
        <f>IF($AM526=0,"",IFERROR(MATCH($AF526&amp;"|"&amp;UPPER(TRIM($E526)),Lists!$A$6:$A$205,0),0))</f>
        <v/>
      </c>
      <c r="BF526" s="56" t="str">
        <f>IF($AM526=0,"",IFERROR(MATCH($AF526,Settings!$B$14:$B$18,0),IFERROR(MATCH(Settings!$C$6,Settings!$B$14:$B$18,0),1)))</f>
        <v/>
      </c>
      <c r="BG526" s="58" t="str">
        <f>IF($AM526=0,"",IF(NOT(ISNUMBER($I526)),"No stop; ","")&amp;IF(AND(ISNUMBER($H526),ISNUMBER($I526)),IF(OR(AND($F526&lt;&gt;"Short",$I526&gt;=$H526),AND($F526="Short",$I526&lt;=$H526)),"Stop on wrong side; ",""),"")&amp;IF($F526="","No direction; ","")&amp;IF(AND(ISNUMBER(Settings!$C$22),ISNUMBER($V526)),IF($V526&gt;Settings!$C$22,"Risk over max $; ",""),"")&amp;IF(AND(ISNUMBER(Settings!$C$23),ISNUMBER($V526),ISNUMBER($AP526),IFERROR(N(INDEX(Accounts!$E$7:$E$16,MATCH($C526,Accounts!$B$7:$B$16,0))),0)&gt;0),IF($V526&gt;Settings!$C$23*($AP526-N($Q526)),"Risk over max %; ",""),"")&amp;IF(AND(ISNUMBER(Settings!$C$24),ISNUMBER($N526)),IF($N526&gt;Settings!$C$24,"Leverage over max; ",""),"")&amp;IF(AND(ISNUMBER(Settings!$C$27),ISNUMBER($T526)),IF($T526&lt;Settings!$C$27,"R:R below min; ",""),"")&amp;IF(ISNUMBER(Settings!$C$25),IF(COUNTIFS($A$6:$A526,$A526,$AM$6:$AM526,1)&gt;Settings!$C$25,"Over max trades/day; ",""),"")&amp;IF(ISNUMBER(Settings!$C$26),IF(SUMIFS($Q$5:$Q525,$A$5:$A525,$A526)&lt;=-Settings!$C$26,"Traded after daily max loss; ",""),"")&amp;IF(AND($AG526="",NOT(ISNUMBER($O526))),"Symbol not in Instruments; ","")&amp;IF(AND($AH526="",NOT(ISNUMBER($O526))),"Forex cross: type Gross P&amp;L; ",""))</f>
        <v/>
      </c>
      <c r="BH526" s="56">
        <f>IF(ISNUMBER($Q526),1,0)</f>
        <v>0</v>
      </c>
      <c r="BI526" s="56">
        <f>IF($Y526="",0,1)</f>
        <v>0</v>
      </c>
      <c r="BJ526" s="56">
        <f>IF($AB526="",0,1)</f>
        <v>0</v>
      </c>
      <c r="BK526" s="56">
        <f>IF(AND($BH526=1,$W526&lt;&gt;"OK"),1,0)</f>
        <v>0</v>
      </c>
      <c r="BL526" s="55">
        <f>IF(N($AZ526)=0,0,IFERROR(INDEX($AT$6:$AT$1005,MATCH($AZ526,$AY$6:$AY$1005,0)),0))</f>
        <v>1187.10688</v>
      </c>
      <c r="BM526" s="56">
        <f>IF(ISNUMBER(SEARCH("daily max loss",$BG526)),1,0)</f>
        <v>0</v>
      </c>
    </row>
    <row r="527" ht="18" customHeight="1">
      <c r="A527" s="38" t="n"/>
      <c r="B527" s="39" t="n"/>
      <c r="C527" s="40" t="n"/>
      <c r="D527" s="41" t="n"/>
      <c r="E527" s="41" t="n"/>
      <c r="F527" s="41" t="n"/>
      <c r="G527" s="41" t="n"/>
      <c r="H527" s="42" t="n"/>
      <c r="I527" s="42" t="n"/>
      <c r="J527" s="42" t="n"/>
      <c r="K527" s="42" t="n"/>
      <c r="L527" s="41" t="n"/>
      <c r="M527" s="41" t="n"/>
      <c r="N527" s="41" t="n"/>
      <c r="O527" s="43" t="n"/>
      <c r="P527" s="43" t="n"/>
      <c r="Q527" s="44" t="str">
        <f>IF($AM527=0,"",IF(ISNUMBER($AK527),$AK527-N($AL527),""))</f>
        <v/>
      </c>
      <c r="R527" s="45" t="str">
        <f>IF(OR($Q527="",NOT(ISNUMBER($V527))),"",$AK527/$V527)</f>
        <v/>
      </c>
      <c r="S527" s="46" t="str">
        <f>IF($Q527="","",IF(AND(ISNUMBER($R527),ABS(N($R527))&lt;N(Settings!$C$8)),"Scratch",IF($Q527&gt;0,"Win",IF($Q527&lt;0,"Loss","Scratch"))))</f>
        <v/>
      </c>
      <c r="T527" s="47" t="str">
        <f>IF(OR($AM527=0,NOT(ISNUMBER($H527)),NOT(ISNUMBER($I527)),NOT(ISNUMBER($J527))),"",IF($H527=$I527,"",ROUND(ABS($J527-$H527)/ABS($H527-$I527),6)))</f>
        <v/>
      </c>
      <c r="U527" s="48" t="str">
        <f>IF(OR($S527&lt;&gt;"Win",NOT(ISNUMBER($T527)),NOT(ISNUMBER($R527))),"",MAX(0,$T527-$R527))</f>
        <v/>
      </c>
      <c r="V527" s="49" t="str">
        <f>IF(OR($AM527=0,NOT(ISNUMBER($H527)),NOT(ISNUMBER($I527)),NOT(ISNUMBER($G527))),"",IF(OR($AG527="",$AH527=""),"",IF(ROUND(ABS($H527-$I527)*ABS($G527)*$AG527*$AH527,6)=0,"",ROUND(ABS($H527-$I527)*ABS($G527)*$AG527*$AH527,6))))</f>
        <v/>
      </c>
      <c r="W527" s="50" t="str">
        <f>IF($AM527=0,"",IF($BG527="","OK",LEFT($BG527,LEN($BG527)-2)))</f>
        <v/>
      </c>
      <c r="X527" s="41" t="n"/>
      <c r="Y527" s="40" t="n"/>
      <c r="Z527" s="41" t="n"/>
      <c r="AA527" s="41" t="n"/>
      <c r="AB527" s="40" t="n"/>
      <c r="AC527" s="51" t="n"/>
      <c r="AD527" s="51" t="n"/>
      <c r="AE527" s="40" t="n"/>
      <c r="AF527" s="52" t="str">
        <f>IF($AM527=0,"",IF($D527&lt;&gt;"",$D527,IF(IFERROR(INDEX(Accounts!$C$7:$C$16,MATCH($C527,Accounts!$B$7:$B$16,0))&amp;"","")&lt;&gt;"",INDEX(Accounts!$C$7:$C$16,MATCH($C527,Accounts!$B$7:$B$16,0)),Settings!$C$6)))</f>
        <v/>
      </c>
      <c r="AG527" s="53" t="str">
        <f>IF($AM527=0,"",IF(AND($BE527&gt;0,N(INDEX(Instruments!$D$6:$D$205,MAX(1,$BE527)))&gt;0),INDEX(Instruments!$D$6:$D$205,MAX(1,$BE527)),IF(N(INDEX(Settings!$D$14:$D$18,$BF527))&gt;0,INDEX(Settings!$D$14:$D$18,$BF527),"")))</f>
        <v/>
      </c>
      <c r="AH527" s="54" t="str">
        <f>IF($AM527=0,"",IF($AF527&lt;&gt;"Forex",1,IF(MID(UPPER(SUBSTITUTE(TRIM($E527),"/","")),4,3)=UPPER(TRIM(Settings!$C$7)),1,IF(LEFT(UPPER(SUBSTITUTE(TRIM($E527),"/","")),3)=UPPER(TRIM(Settings!$C$7)),IF(AND(ISNUMBER($K527),N($K527)&lt;&gt;0),1/$K527,""),""))))</f>
        <v/>
      </c>
      <c r="AI527" s="55" t="str">
        <f>IF($AM527=0,"",IF(OR(NOT(ISNUMBER($H527)),NOT(ISNUMBER($K527)),NOT(ISNUMBER($G527)),$AG527="",$AH527=""),"",ROUND(($K527-$H527)*IF($F527="Short",-1,1)*$G527*$AG527*$AH527,6)))</f>
        <v/>
      </c>
      <c r="AJ527" s="55" t="str">
        <f>IF($AM527=0,"",IF(INDEX(Settings!$E$14:$E$18,$BF527)="% of notional",IF(OR($AG527="",NOT(ISNUMBER($H527)),NOT(ISNUMBER($G527))),"",ROUND(ABS($H527*$G527*$AG527*N($AH527))*IF($L527="Limit",N(INDEX(Settings!$G$14:$G$18,$BF527)),N(INDEX(Settings!$H$14:$H$18,$BF527)))+IF(ISNUMBER($K527),ABS($K527*$G527*$AG527*N($AH527))*IF($M527="Target",N(INDEX(Settings!$G$14:$G$18,$BF527)),N(INDEX(Settings!$H$14:$H$18,$BF527))),0),6)),IF(NOT(ISNUMBER($G527)),"",ROUND(ABS($G527)*2*IF(AND($BE527&gt;0,ISNUMBER(INDEX(Instruments!$G$6:$G$205,MAX(1,$BE527)))),INDEX(Instruments!$G$6:$G$205,MAX(1,$BE527)),N(INDEX(Settings!$F$14:$F$18,$BF527))),6))))</f>
        <v/>
      </c>
      <c r="AK527" s="55" t="str">
        <f>IF($AM527=0,"",IF(ISNUMBER($O527),$O527,$AI527))</f>
        <v/>
      </c>
      <c r="AL527" s="55" t="str">
        <f>IF($AM527=0,"",IF(ISNUMBER($P527),$P527,N($AJ527)))</f>
        <v/>
      </c>
      <c r="AM527" s="56">
        <f>IF(AND($A527&lt;&gt;"",$E527&lt;&gt;"",OR(AND(ISNUMBER($G527),ISNUMBER($H527),ISNUMBER($K527)),ISNUMBER($O527))),1,0)</f>
        <v>0</v>
      </c>
      <c r="AN527" s="57" t="str">
        <f>IF($A527="","",$A527-WEEKDAY($A527,3))</f>
        <v/>
      </c>
      <c r="AO527" s="56" t="str">
        <f>IF($A527="","",WEEKDAY($A527,2))</f>
        <v/>
      </c>
      <c r="AP527" s="55" t="str">
        <f>IF(OR($AM527=0,$C527=""),"",IFERROR(N(INDEX(Accounts!$E$7:$E$16,MATCH($C527,Accounts!$B$7:$B$16,0))),0)+SUMIFS($Q$6:$Q527,$C$6:$C527,$C527))</f>
        <v/>
      </c>
      <c r="AQ527" s="55" t="str">
        <f>IF(OR($AM527=0,$C527=""),"",SUMIFS($Q$6:$Q$1005,$C$6:$C$1005,$C527,$A$6:$A$1005,$A527))</f>
        <v/>
      </c>
      <c r="AR527" s="55" t="str">
        <f>IF(OR($AM527=0,$C527=""),"",IFERROR(N(INDEX(Accounts!$E$7:$E$16,MATCH($C527,Accounts!$B$7:$B$16,0))),0)+SUMIFS($Q$6:$Q$1005,$C$6:$C$1005,$C527,$A$6:$A$1005,"&lt;="&amp;$A527))</f>
        <v/>
      </c>
      <c r="AS527" s="56">
        <f>IF(OR($AM527=0,$Q527=""),0,IF(AND($A527&gt;=Lists!$W$6,$A527&lt;=Lists!$W$7,OR(Dashboard!$D$6="All accounts",$C527=Dashboard!$D$6),OR(Dashboard!$D$7="All markets",$AF527=Dashboard!$D$7)),1,0))</f>
        <v>0</v>
      </c>
      <c r="AT527" s="55">
        <f>IF($AS527=1,N(AT526)+$Q527,N(AT526))</f>
        <v>1187.10688</v>
      </c>
      <c r="AU527" s="55">
        <f>MAX(N(AU526),$AT527)</f>
        <v>1187.10688</v>
      </c>
      <c r="AV527" s="55">
        <f>$AT527-$AU527</f>
        <v>0</v>
      </c>
      <c r="AW527" s="56">
        <f>IF($AS527=1,IF($S527="Win",N(AW526)+1,IF($S527="Loss",0,N(AW526))),N(AW526))</f>
        <v>5</v>
      </c>
      <c r="AX527" s="56">
        <f>IF($AS527=1,IF($S527="Loss",N(AX526)+1,IF($S527="Win",0,N(AX526))),N(AX526))</f>
        <v>0</v>
      </c>
      <c r="AY527" s="56" t="str">
        <f>IF($AS527=1,COUNTIF($AS$6:$AS527,1),"")</f>
        <v/>
      </c>
      <c r="AZ527" s="56">
        <f>MIN(521,N(Lists!$W$8))</f>
        <v>28</v>
      </c>
      <c r="BA527" s="56">
        <f>IF($AS527=1,IF(COUNTIFS($A$6:$A527,$A527,$AS$6:$AS527,1)=1,1,0),0)</f>
        <v>0</v>
      </c>
      <c r="BB527" s="55" t="str">
        <f>IF($BA527=1,SUMIFS($Q$6:$Q$1005,$A$6:$A$1005,$A527,$AS$6:$AS$1005,1),"")</f>
        <v/>
      </c>
      <c r="BC527" s="56">
        <f>IF(ISNUMBER($R527),1,0)</f>
        <v>0</v>
      </c>
      <c r="BD527" s="55" t="str">
        <f>IF(ISNUMBER($U527),$U527*$V527,"")</f>
        <v/>
      </c>
      <c r="BE527" s="56" t="str">
        <f>IF($AM527=0,"",IFERROR(MATCH($AF527&amp;"|"&amp;UPPER(TRIM($E527)),Lists!$A$6:$A$205,0),0))</f>
        <v/>
      </c>
      <c r="BF527" s="56" t="str">
        <f>IF($AM527=0,"",IFERROR(MATCH($AF527,Settings!$B$14:$B$18,0),IFERROR(MATCH(Settings!$C$6,Settings!$B$14:$B$18,0),1)))</f>
        <v/>
      </c>
      <c r="BG527" s="58" t="str">
        <f>IF($AM527=0,"",IF(NOT(ISNUMBER($I527)),"No stop; ","")&amp;IF(AND(ISNUMBER($H527),ISNUMBER($I527)),IF(OR(AND($F527&lt;&gt;"Short",$I527&gt;=$H527),AND($F527="Short",$I527&lt;=$H527)),"Stop on wrong side; ",""),"")&amp;IF($F527="","No direction; ","")&amp;IF(AND(ISNUMBER(Settings!$C$22),ISNUMBER($V527)),IF($V527&gt;Settings!$C$22,"Risk over max $; ",""),"")&amp;IF(AND(ISNUMBER(Settings!$C$23),ISNUMBER($V527),ISNUMBER($AP527),IFERROR(N(INDEX(Accounts!$E$7:$E$16,MATCH($C527,Accounts!$B$7:$B$16,0))),0)&gt;0),IF($V527&gt;Settings!$C$23*($AP527-N($Q527)),"Risk over max %; ",""),"")&amp;IF(AND(ISNUMBER(Settings!$C$24),ISNUMBER($N527)),IF($N527&gt;Settings!$C$24,"Leverage over max; ",""),"")&amp;IF(AND(ISNUMBER(Settings!$C$27),ISNUMBER($T527)),IF($T527&lt;Settings!$C$27,"R:R below min; ",""),"")&amp;IF(ISNUMBER(Settings!$C$25),IF(COUNTIFS($A$6:$A527,$A527,$AM$6:$AM527,1)&gt;Settings!$C$25,"Over max trades/day; ",""),"")&amp;IF(ISNUMBER(Settings!$C$26),IF(SUMIFS($Q$5:$Q526,$A$5:$A526,$A527)&lt;=-Settings!$C$26,"Traded after daily max loss; ",""),"")&amp;IF(AND($AG527="",NOT(ISNUMBER($O527))),"Symbol not in Instruments; ","")&amp;IF(AND($AH527="",NOT(ISNUMBER($O527))),"Forex cross: type Gross P&amp;L; ",""))</f>
        <v/>
      </c>
      <c r="BH527" s="56">
        <f>IF(ISNUMBER($Q527),1,0)</f>
        <v>0</v>
      </c>
      <c r="BI527" s="56">
        <f>IF($Y527="",0,1)</f>
        <v>0</v>
      </c>
      <c r="BJ527" s="56">
        <f>IF($AB527="",0,1)</f>
        <v>0</v>
      </c>
      <c r="BK527" s="56">
        <f>IF(AND($BH527=1,$W527&lt;&gt;"OK"),1,0)</f>
        <v>0</v>
      </c>
      <c r="BL527" s="55">
        <f>IF(N($AZ527)=0,0,IFERROR(INDEX($AT$6:$AT$1005,MATCH($AZ527,$AY$6:$AY$1005,0)),0))</f>
        <v>1187.10688</v>
      </c>
      <c r="BM527" s="56">
        <f>IF(ISNUMBER(SEARCH("daily max loss",$BG527)),1,0)</f>
        <v>0</v>
      </c>
    </row>
    <row r="528" ht="18" customHeight="1">
      <c r="A528" s="38" t="n"/>
      <c r="B528" s="39" t="n"/>
      <c r="C528" s="40" t="n"/>
      <c r="D528" s="41" t="n"/>
      <c r="E528" s="41" t="n"/>
      <c r="F528" s="41" t="n"/>
      <c r="G528" s="41" t="n"/>
      <c r="H528" s="42" t="n"/>
      <c r="I528" s="42" t="n"/>
      <c r="J528" s="42" t="n"/>
      <c r="K528" s="42" t="n"/>
      <c r="L528" s="41" t="n"/>
      <c r="M528" s="41" t="n"/>
      <c r="N528" s="41" t="n"/>
      <c r="O528" s="43" t="n"/>
      <c r="P528" s="43" t="n"/>
      <c r="Q528" s="44" t="str">
        <f>IF($AM528=0,"",IF(ISNUMBER($AK528),$AK528-N($AL528),""))</f>
        <v/>
      </c>
      <c r="R528" s="45" t="str">
        <f>IF(OR($Q528="",NOT(ISNUMBER($V528))),"",$AK528/$V528)</f>
        <v/>
      </c>
      <c r="S528" s="46" t="str">
        <f>IF($Q528="","",IF(AND(ISNUMBER($R528),ABS(N($R528))&lt;N(Settings!$C$8)),"Scratch",IF($Q528&gt;0,"Win",IF($Q528&lt;0,"Loss","Scratch"))))</f>
        <v/>
      </c>
      <c r="T528" s="47" t="str">
        <f>IF(OR($AM528=0,NOT(ISNUMBER($H528)),NOT(ISNUMBER($I528)),NOT(ISNUMBER($J528))),"",IF($H528=$I528,"",ROUND(ABS($J528-$H528)/ABS($H528-$I528),6)))</f>
        <v/>
      </c>
      <c r="U528" s="48" t="str">
        <f>IF(OR($S528&lt;&gt;"Win",NOT(ISNUMBER($T528)),NOT(ISNUMBER($R528))),"",MAX(0,$T528-$R528))</f>
        <v/>
      </c>
      <c r="V528" s="49" t="str">
        <f>IF(OR($AM528=0,NOT(ISNUMBER($H528)),NOT(ISNUMBER($I528)),NOT(ISNUMBER($G528))),"",IF(OR($AG528="",$AH528=""),"",IF(ROUND(ABS($H528-$I528)*ABS($G528)*$AG528*$AH528,6)=0,"",ROUND(ABS($H528-$I528)*ABS($G528)*$AG528*$AH528,6))))</f>
        <v/>
      </c>
      <c r="W528" s="50" t="str">
        <f>IF($AM528=0,"",IF($BG528="","OK",LEFT($BG528,LEN($BG528)-2)))</f>
        <v/>
      </c>
      <c r="X528" s="41" t="n"/>
      <c r="Y528" s="40" t="n"/>
      <c r="Z528" s="41" t="n"/>
      <c r="AA528" s="41" t="n"/>
      <c r="AB528" s="40" t="n"/>
      <c r="AC528" s="51" t="n"/>
      <c r="AD528" s="51" t="n"/>
      <c r="AE528" s="40" t="n"/>
      <c r="AF528" s="52" t="str">
        <f>IF($AM528=0,"",IF($D528&lt;&gt;"",$D528,IF(IFERROR(INDEX(Accounts!$C$7:$C$16,MATCH($C528,Accounts!$B$7:$B$16,0))&amp;"","")&lt;&gt;"",INDEX(Accounts!$C$7:$C$16,MATCH($C528,Accounts!$B$7:$B$16,0)),Settings!$C$6)))</f>
        <v/>
      </c>
      <c r="AG528" s="53" t="str">
        <f>IF($AM528=0,"",IF(AND($BE528&gt;0,N(INDEX(Instruments!$D$6:$D$205,MAX(1,$BE528)))&gt;0),INDEX(Instruments!$D$6:$D$205,MAX(1,$BE528)),IF(N(INDEX(Settings!$D$14:$D$18,$BF528))&gt;0,INDEX(Settings!$D$14:$D$18,$BF528),"")))</f>
        <v/>
      </c>
      <c r="AH528" s="54" t="str">
        <f>IF($AM528=0,"",IF($AF528&lt;&gt;"Forex",1,IF(MID(UPPER(SUBSTITUTE(TRIM($E528),"/","")),4,3)=UPPER(TRIM(Settings!$C$7)),1,IF(LEFT(UPPER(SUBSTITUTE(TRIM($E528),"/","")),3)=UPPER(TRIM(Settings!$C$7)),IF(AND(ISNUMBER($K528),N($K528)&lt;&gt;0),1/$K528,""),""))))</f>
        <v/>
      </c>
      <c r="AI528" s="55" t="str">
        <f>IF($AM528=0,"",IF(OR(NOT(ISNUMBER($H528)),NOT(ISNUMBER($K528)),NOT(ISNUMBER($G528)),$AG528="",$AH528=""),"",ROUND(($K528-$H528)*IF($F528="Short",-1,1)*$G528*$AG528*$AH528,6)))</f>
        <v/>
      </c>
      <c r="AJ528" s="55" t="str">
        <f>IF($AM528=0,"",IF(INDEX(Settings!$E$14:$E$18,$BF528)="% of notional",IF(OR($AG528="",NOT(ISNUMBER($H528)),NOT(ISNUMBER($G528))),"",ROUND(ABS($H528*$G528*$AG528*N($AH528))*IF($L528="Limit",N(INDEX(Settings!$G$14:$G$18,$BF528)),N(INDEX(Settings!$H$14:$H$18,$BF528)))+IF(ISNUMBER($K528),ABS($K528*$G528*$AG528*N($AH528))*IF($M528="Target",N(INDEX(Settings!$G$14:$G$18,$BF528)),N(INDEX(Settings!$H$14:$H$18,$BF528))),0),6)),IF(NOT(ISNUMBER($G528)),"",ROUND(ABS($G528)*2*IF(AND($BE528&gt;0,ISNUMBER(INDEX(Instruments!$G$6:$G$205,MAX(1,$BE528)))),INDEX(Instruments!$G$6:$G$205,MAX(1,$BE528)),N(INDEX(Settings!$F$14:$F$18,$BF528))),6))))</f>
        <v/>
      </c>
      <c r="AK528" s="55" t="str">
        <f>IF($AM528=0,"",IF(ISNUMBER($O528),$O528,$AI528))</f>
        <v/>
      </c>
      <c r="AL528" s="55" t="str">
        <f>IF($AM528=0,"",IF(ISNUMBER($P528),$P528,N($AJ528)))</f>
        <v/>
      </c>
      <c r="AM528" s="56">
        <f>IF(AND($A528&lt;&gt;"",$E528&lt;&gt;"",OR(AND(ISNUMBER($G528),ISNUMBER($H528),ISNUMBER($K528)),ISNUMBER($O528))),1,0)</f>
        <v>0</v>
      </c>
      <c r="AN528" s="57" t="str">
        <f>IF($A528="","",$A528-WEEKDAY($A528,3))</f>
        <v/>
      </c>
      <c r="AO528" s="56" t="str">
        <f>IF($A528="","",WEEKDAY($A528,2))</f>
        <v/>
      </c>
      <c r="AP528" s="55" t="str">
        <f>IF(OR($AM528=0,$C528=""),"",IFERROR(N(INDEX(Accounts!$E$7:$E$16,MATCH($C528,Accounts!$B$7:$B$16,0))),0)+SUMIFS($Q$6:$Q528,$C$6:$C528,$C528))</f>
        <v/>
      </c>
      <c r="AQ528" s="55" t="str">
        <f>IF(OR($AM528=0,$C528=""),"",SUMIFS($Q$6:$Q$1005,$C$6:$C$1005,$C528,$A$6:$A$1005,$A528))</f>
        <v/>
      </c>
      <c r="AR528" s="55" t="str">
        <f>IF(OR($AM528=0,$C528=""),"",IFERROR(N(INDEX(Accounts!$E$7:$E$16,MATCH($C528,Accounts!$B$7:$B$16,0))),0)+SUMIFS($Q$6:$Q$1005,$C$6:$C$1005,$C528,$A$6:$A$1005,"&lt;="&amp;$A528))</f>
        <v/>
      </c>
      <c r="AS528" s="56">
        <f>IF(OR($AM528=0,$Q528=""),0,IF(AND($A528&gt;=Lists!$W$6,$A528&lt;=Lists!$W$7,OR(Dashboard!$D$6="All accounts",$C528=Dashboard!$D$6),OR(Dashboard!$D$7="All markets",$AF528=Dashboard!$D$7)),1,0))</f>
        <v>0</v>
      </c>
      <c r="AT528" s="55">
        <f>IF($AS528=1,N(AT527)+$Q528,N(AT527))</f>
        <v>1187.10688</v>
      </c>
      <c r="AU528" s="55">
        <f>MAX(N(AU527),$AT528)</f>
        <v>1187.10688</v>
      </c>
      <c r="AV528" s="55">
        <f>$AT528-$AU528</f>
        <v>0</v>
      </c>
      <c r="AW528" s="56">
        <f>IF($AS528=1,IF($S528="Win",N(AW527)+1,IF($S528="Loss",0,N(AW527))),N(AW527))</f>
        <v>5</v>
      </c>
      <c r="AX528" s="56">
        <f>IF($AS528=1,IF($S528="Loss",N(AX527)+1,IF($S528="Win",0,N(AX527))),N(AX527))</f>
        <v>0</v>
      </c>
      <c r="AY528" s="56" t="str">
        <f>IF($AS528=1,COUNTIF($AS$6:$AS528,1),"")</f>
        <v/>
      </c>
      <c r="AZ528" s="56">
        <f>MIN(522,N(Lists!$W$8))</f>
        <v>28</v>
      </c>
      <c r="BA528" s="56">
        <f>IF($AS528=1,IF(COUNTIFS($A$6:$A528,$A528,$AS$6:$AS528,1)=1,1,0),0)</f>
        <v>0</v>
      </c>
      <c r="BB528" s="55" t="str">
        <f>IF($BA528=1,SUMIFS($Q$6:$Q$1005,$A$6:$A$1005,$A528,$AS$6:$AS$1005,1),"")</f>
        <v/>
      </c>
      <c r="BC528" s="56">
        <f>IF(ISNUMBER($R528),1,0)</f>
        <v>0</v>
      </c>
      <c r="BD528" s="55" t="str">
        <f>IF(ISNUMBER($U528),$U528*$V528,"")</f>
        <v/>
      </c>
      <c r="BE528" s="56" t="str">
        <f>IF($AM528=0,"",IFERROR(MATCH($AF528&amp;"|"&amp;UPPER(TRIM($E528)),Lists!$A$6:$A$205,0),0))</f>
        <v/>
      </c>
      <c r="BF528" s="56" t="str">
        <f>IF($AM528=0,"",IFERROR(MATCH($AF528,Settings!$B$14:$B$18,0),IFERROR(MATCH(Settings!$C$6,Settings!$B$14:$B$18,0),1)))</f>
        <v/>
      </c>
      <c r="BG528" s="58" t="str">
        <f>IF($AM528=0,"",IF(NOT(ISNUMBER($I528)),"No stop; ","")&amp;IF(AND(ISNUMBER($H528),ISNUMBER($I528)),IF(OR(AND($F528&lt;&gt;"Short",$I528&gt;=$H528),AND($F528="Short",$I528&lt;=$H528)),"Stop on wrong side; ",""),"")&amp;IF($F528="","No direction; ","")&amp;IF(AND(ISNUMBER(Settings!$C$22),ISNUMBER($V528)),IF($V528&gt;Settings!$C$22,"Risk over max $; ",""),"")&amp;IF(AND(ISNUMBER(Settings!$C$23),ISNUMBER($V528),ISNUMBER($AP528),IFERROR(N(INDEX(Accounts!$E$7:$E$16,MATCH($C528,Accounts!$B$7:$B$16,0))),0)&gt;0),IF($V528&gt;Settings!$C$23*($AP528-N($Q528)),"Risk over max %; ",""),"")&amp;IF(AND(ISNUMBER(Settings!$C$24),ISNUMBER($N528)),IF($N528&gt;Settings!$C$24,"Leverage over max; ",""),"")&amp;IF(AND(ISNUMBER(Settings!$C$27),ISNUMBER($T528)),IF($T528&lt;Settings!$C$27,"R:R below min; ",""),"")&amp;IF(ISNUMBER(Settings!$C$25),IF(COUNTIFS($A$6:$A528,$A528,$AM$6:$AM528,1)&gt;Settings!$C$25,"Over max trades/day; ",""),"")&amp;IF(ISNUMBER(Settings!$C$26),IF(SUMIFS($Q$5:$Q527,$A$5:$A527,$A528)&lt;=-Settings!$C$26,"Traded after daily max loss; ",""),"")&amp;IF(AND($AG528="",NOT(ISNUMBER($O528))),"Symbol not in Instruments; ","")&amp;IF(AND($AH528="",NOT(ISNUMBER($O528))),"Forex cross: type Gross P&amp;L; ",""))</f>
        <v/>
      </c>
      <c r="BH528" s="56">
        <f>IF(ISNUMBER($Q528),1,0)</f>
        <v>0</v>
      </c>
      <c r="BI528" s="56">
        <f>IF($Y528="",0,1)</f>
        <v>0</v>
      </c>
      <c r="BJ528" s="56">
        <f>IF($AB528="",0,1)</f>
        <v>0</v>
      </c>
      <c r="BK528" s="56">
        <f>IF(AND($BH528=1,$W528&lt;&gt;"OK"),1,0)</f>
        <v>0</v>
      </c>
      <c r="BL528" s="55">
        <f>IF(N($AZ528)=0,0,IFERROR(INDEX($AT$6:$AT$1005,MATCH($AZ528,$AY$6:$AY$1005,0)),0))</f>
        <v>1187.10688</v>
      </c>
      <c r="BM528" s="56">
        <f>IF(ISNUMBER(SEARCH("daily max loss",$BG528)),1,0)</f>
        <v>0</v>
      </c>
    </row>
    <row r="529" ht="18" customHeight="1">
      <c r="A529" s="38" t="n"/>
      <c r="B529" s="39" t="n"/>
      <c r="C529" s="40" t="n"/>
      <c r="D529" s="41" t="n"/>
      <c r="E529" s="41" t="n"/>
      <c r="F529" s="41" t="n"/>
      <c r="G529" s="41" t="n"/>
      <c r="H529" s="42" t="n"/>
      <c r="I529" s="42" t="n"/>
      <c r="J529" s="42" t="n"/>
      <c r="K529" s="42" t="n"/>
      <c r="L529" s="41" t="n"/>
      <c r="M529" s="41" t="n"/>
      <c r="N529" s="41" t="n"/>
      <c r="O529" s="43" t="n"/>
      <c r="P529" s="43" t="n"/>
      <c r="Q529" s="44" t="str">
        <f>IF($AM529=0,"",IF(ISNUMBER($AK529),$AK529-N($AL529),""))</f>
        <v/>
      </c>
      <c r="R529" s="45" t="str">
        <f>IF(OR($Q529="",NOT(ISNUMBER($V529))),"",$AK529/$V529)</f>
        <v/>
      </c>
      <c r="S529" s="46" t="str">
        <f>IF($Q529="","",IF(AND(ISNUMBER($R529),ABS(N($R529))&lt;N(Settings!$C$8)),"Scratch",IF($Q529&gt;0,"Win",IF($Q529&lt;0,"Loss","Scratch"))))</f>
        <v/>
      </c>
      <c r="T529" s="47" t="str">
        <f>IF(OR($AM529=0,NOT(ISNUMBER($H529)),NOT(ISNUMBER($I529)),NOT(ISNUMBER($J529))),"",IF($H529=$I529,"",ROUND(ABS($J529-$H529)/ABS($H529-$I529),6)))</f>
        <v/>
      </c>
      <c r="U529" s="48" t="str">
        <f>IF(OR($S529&lt;&gt;"Win",NOT(ISNUMBER($T529)),NOT(ISNUMBER($R529))),"",MAX(0,$T529-$R529))</f>
        <v/>
      </c>
      <c r="V529" s="49" t="str">
        <f>IF(OR($AM529=0,NOT(ISNUMBER($H529)),NOT(ISNUMBER($I529)),NOT(ISNUMBER($G529))),"",IF(OR($AG529="",$AH529=""),"",IF(ROUND(ABS($H529-$I529)*ABS($G529)*$AG529*$AH529,6)=0,"",ROUND(ABS($H529-$I529)*ABS($G529)*$AG529*$AH529,6))))</f>
        <v/>
      </c>
      <c r="W529" s="50" t="str">
        <f>IF($AM529=0,"",IF($BG529="","OK",LEFT($BG529,LEN($BG529)-2)))</f>
        <v/>
      </c>
      <c r="X529" s="41" t="n"/>
      <c r="Y529" s="40" t="n"/>
      <c r="Z529" s="41" t="n"/>
      <c r="AA529" s="41" t="n"/>
      <c r="AB529" s="40" t="n"/>
      <c r="AC529" s="51" t="n"/>
      <c r="AD529" s="51" t="n"/>
      <c r="AE529" s="40" t="n"/>
      <c r="AF529" s="52" t="str">
        <f>IF($AM529=0,"",IF($D529&lt;&gt;"",$D529,IF(IFERROR(INDEX(Accounts!$C$7:$C$16,MATCH($C529,Accounts!$B$7:$B$16,0))&amp;"","")&lt;&gt;"",INDEX(Accounts!$C$7:$C$16,MATCH($C529,Accounts!$B$7:$B$16,0)),Settings!$C$6)))</f>
        <v/>
      </c>
      <c r="AG529" s="53" t="str">
        <f>IF($AM529=0,"",IF(AND($BE529&gt;0,N(INDEX(Instruments!$D$6:$D$205,MAX(1,$BE529)))&gt;0),INDEX(Instruments!$D$6:$D$205,MAX(1,$BE529)),IF(N(INDEX(Settings!$D$14:$D$18,$BF529))&gt;0,INDEX(Settings!$D$14:$D$18,$BF529),"")))</f>
        <v/>
      </c>
      <c r="AH529" s="54" t="str">
        <f>IF($AM529=0,"",IF($AF529&lt;&gt;"Forex",1,IF(MID(UPPER(SUBSTITUTE(TRIM($E529),"/","")),4,3)=UPPER(TRIM(Settings!$C$7)),1,IF(LEFT(UPPER(SUBSTITUTE(TRIM($E529),"/","")),3)=UPPER(TRIM(Settings!$C$7)),IF(AND(ISNUMBER($K529),N($K529)&lt;&gt;0),1/$K529,""),""))))</f>
        <v/>
      </c>
      <c r="AI529" s="55" t="str">
        <f>IF($AM529=0,"",IF(OR(NOT(ISNUMBER($H529)),NOT(ISNUMBER($K529)),NOT(ISNUMBER($G529)),$AG529="",$AH529=""),"",ROUND(($K529-$H529)*IF($F529="Short",-1,1)*$G529*$AG529*$AH529,6)))</f>
        <v/>
      </c>
      <c r="AJ529" s="55" t="str">
        <f>IF($AM529=0,"",IF(INDEX(Settings!$E$14:$E$18,$BF529)="% of notional",IF(OR($AG529="",NOT(ISNUMBER($H529)),NOT(ISNUMBER($G529))),"",ROUND(ABS($H529*$G529*$AG529*N($AH529))*IF($L529="Limit",N(INDEX(Settings!$G$14:$G$18,$BF529)),N(INDEX(Settings!$H$14:$H$18,$BF529)))+IF(ISNUMBER($K529),ABS($K529*$G529*$AG529*N($AH529))*IF($M529="Target",N(INDEX(Settings!$G$14:$G$18,$BF529)),N(INDEX(Settings!$H$14:$H$18,$BF529))),0),6)),IF(NOT(ISNUMBER($G529)),"",ROUND(ABS($G529)*2*IF(AND($BE529&gt;0,ISNUMBER(INDEX(Instruments!$G$6:$G$205,MAX(1,$BE529)))),INDEX(Instruments!$G$6:$G$205,MAX(1,$BE529)),N(INDEX(Settings!$F$14:$F$18,$BF529))),6))))</f>
        <v/>
      </c>
      <c r="AK529" s="55" t="str">
        <f>IF($AM529=0,"",IF(ISNUMBER($O529),$O529,$AI529))</f>
        <v/>
      </c>
      <c r="AL529" s="55" t="str">
        <f>IF($AM529=0,"",IF(ISNUMBER($P529),$P529,N($AJ529)))</f>
        <v/>
      </c>
      <c r="AM529" s="56">
        <f>IF(AND($A529&lt;&gt;"",$E529&lt;&gt;"",OR(AND(ISNUMBER($G529),ISNUMBER($H529),ISNUMBER($K529)),ISNUMBER($O529))),1,0)</f>
        <v>0</v>
      </c>
      <c r="AN529" s="57" t="str">
        <f>IF($A529="","",$A529-WEEKDAY($A529,3))</f>
        <v/>
      </c>
      <c r="AO529" s="56" t="str">
        <f>IF($A529="","",WEEKDAY($A529,2))</f>
        <v/>
      </c>
      <c r="AP529" s="55" t="str">
        <f>IF(OR($AM529=0,$C529=""),"",IFERROR(N(INDEX(Accounts!$E$7:$E$16,MATCH($C529,Accounts!$B$7:$B$16,0))),0)+SUMIFS($Q$6:$Q529,$C$6:$C529,$C529))</f>
        <v/>
      </c>
      <c r="AQ529" s="55" t="str">
        <f>IF(OR($AM529=0,$C529=""),"",SUMIFS($Q$6:$Q$1005,$C$6:$C$1005,$C529,$A$6:$A$1005,$A529))</f>
        <v/>
      </c>
      <c r="AR529" s="55" t="str">
        <f>IF(OR($AM529=0,$C529=""),"",IFERROR(N(INDEX(Accounts!$E$7:$E$16,MATCH($C529,Accounts!$B$7:$B$16,0))),0)+SUMIFS($Q$6:$Q$1005,$C$6:$C$1005,$C529,$A$6:$A$1005,"&lt;="&amp;$A529))</f>
        <v/>
      </c>
      <c r="AS529" s="56">
        <f>IF(OR($AM529=0,$Q529=""),0,IF(AND($A529&gt;=Lists!$W$6,$A529&lt;=Lists!$W$7,OR(Dashboard!$D$6="All accounts",$C529=Dashboard!$D$6),OR(Dashboard!$D$7="All markets",$AF529=Dashboard!$D$7)),1,0))</f>
        <v>0</v>
      </c>
      <c r="AT529" s="55">
        <f>IF($AS529=1,N(AT528)+$Q529,N(AT528))</f>
        <v>1187.10688</v>
      </c>
      <c r="AU529" s="55">
        <f>MAX(N(AU528),$AT529)</f>
        <v>1187.10688</v>
      </c>
      <c r="AV529" s="55">
        <f>$AT529-$AU529</f>
        <v>0</v>
      </c>
      <c r="AW529" s="56">
        <f>IF($AS529=1,IF($S529="Win",N(AW528)+1,IF($S529="Loss",0,N(AW528))),N(AW528))</f>
        <v>5</v>
      </c>
      <c r="AX529" s="56">
        <f>IF($AS529=1,IF($S529="Loss",N(AX528)+1,IF($S529="Win",0,N(AX528))),N(AX528))</f>
        <v>0</v>
      </c>
      <c r="AY529" s="56" t="str">
        <f>IF($AS529=1,COUNTIF($AS$6:$AS529,1),"")</f>
        <v/>
      </c>
      <c r="AZ529" s="56">
        <f>MIN(523,N(Lists!$W$8))</f>
        <v>28</v>
      </c>
      <c r="BA529" s="56">
        <f>IF($AS529=1,IF(COUNTIFS($A$6:$A529,$A529,$AS$6:$AS529,1)=1,1,0),0)</f>
        <v>0</v>
      </c>
      <c r="BB529" s="55" t="str">
        <f>IF($BA529=1,SUMIFS($Q$6:$Q$1005,$A$6:$A$1005,$A529,$AS$6:$AS$1005,1),"")</f>
        <v/>
      </c>
      <c r="BC529" s="56">
        <f>IF(ISNUMBER($R529),1,0)</f>
        <v>0</v>
      </c>
      <c r="BD529" s="55" t="str">
        <f>IF(ISNUMBER($U529),$U529*$V529,"")</f>
        <v/>
      </c>
      <c r="BE529" s="56" t="str">
        <f>IF($AM529=0,"",IFERROR(MATCH($AF529&amp;"|"&amp;UPPER(TRIM($E529)),Lists!$A$6:$A$205,0),0))</f>
        <v/>
      </c>
      <c r="BF529" s="56" t="str">
        <f>IF($AM529=0,"",IFERROR(MATCH($AF529,Settings!$B$14:$B$18,0),IFERROR(MATCH(Settings!$C$6,Settings!$B$14:$B$18,0),1)))</f>
        <v/>
      </c>
      <c r="BG529" s="58" t="str">
        <f>IF($AM529=0,"",IF(NOT(ISNUMBER($I529)),"No stop; ","")&amp;IF(AND(ISNUMBER($H529),ISNUMBER($I529)),IF(OR(AND($F529&lt;&gt;"Short",$I529&gt;=$H529),AND($F529="Short",$I529&lt;=$H529)),"Stop on wrong side; ",""),"")&amp;IF($F529="","No direction; ","")&amp;IF(AND(ISNUMBER(Settings!$C$22),ISNUMBER($V529)),IF($V529&gt;Settings!$C$22,"Risk over max $; ",""),"")&amp;IF(AND(ISNUMBER(Settings!$C$23),ISNUMBER($V529),ISNUMBER($AP529),IFERROR(N(INDEX(Accounts!$E$7:$E$16,MATCH($C529,Accounts!$B$7:$B$16,0))),0)&gt;0),IF($V529&gt;Settings!$C$23*($AP529-N($Q529)),"Risk over max %; ",""),"")&amp;IF(AND(ISNUMBER(Settings!$C$24),ISNUMBER($N529)),IF($N529&gt;Settings!$C$24,"Leverage over max; ",""),"")&amp;IF(AND(ISNUMBER(Settings!$C$27),ISNUMBER($T529)),IF($T529&lt;Settings!$C$27,"R:R below min; ",""),"")&amp;IF(ISNUMBER(Settings!$C$25),IF(COUNTIFS($A$6:$A529,$A529,$AM$6:$AM529,1)&gt;Settings!$C$25,"Over max trades/day; ",""),"")&amp;IF(ISNUMBER(Settings!$C$26),IF(SUMIFS($Q$5:$Q528,$A$5:$A528,$A529)&lt;=-Settings!$C$26,"Traded after daily max loss; ",""),"")&amp;IF(AND($AG529="",NOT(ISNUMBER($O529))),"Symbol not in Instruments; ","")&amp;IF(AND($AH529="",NOT(ISNUMBER($O529))),"Forex cross: type Gross P&amp;L; ",""))</f>
        <v/>
      </c>
      <c r="BH529" s="56">
        <f>IF(ISNUMBER($Q529),1,0)</f>
        <v>0</v>
      </c>
      <c r="BI529" s="56">
        <f>IF($Y529="",0,1)</f>
        <v>0</v>
      </c>
      <c r="BJ529" s="56">
        <f>IF($AB529="",0,1)</f>
        <v>0</v>
      </c>
      <c r="BK529" s="56">
        <f>IF(AND($BH529=1,$W529&lt;&gt;"OK"),1,0)</f>
        <v>0</v>
      </c>
      <c r="BL529" s="55">
        <f>IF(N($AZ529)=0,0,IFERROR(INDEX($AT$6:$AT$1005,MATCH($AZ529,$AY$6:$AY$1005,0)),0))</f>
        <v>1187.10688</v>
      </c>
      <c r="BM529" s="56">
        <f>IF(ISNUMBER(SEARCH("daily max loss",$BG529)),1,0)</f>
        <v>0</v>
      </c>
    </row>
    <row r="530" ht="18" customHeight="1">
      <c r="A530" s="38" t="n"/>
      <c r="B530" s="39" t="n"/>
      <c r="C530" s="40" t="n"/>
      <c r="D530" s="41" t="n"/>
      <c r="E530" s="41" t="n"/>
      <c r="F530" s="41" t="n"/>
      <c r="G530" s="41" t="n"/>
      <c r="H530" s="42" t="n"/>
      <c r="I530" s="42" t="n"/>
      <c r="J530" s="42" t="n"/>
      <c r="K530" s="42" t="n"/>
      <c r="L530" s="41" t="n"/>
      <c r="M530" s="41" t="n"/>
      <c r="N530" s="41" t="n"/>
      <c r="O530" s="43" t="n"/>
      <c r="P530" s="43" t="n"/>
      <c r="Q530" s="44" t="str">
        <f>IF($AM530=0,"",IF(ISNUMBER($AK530),$AK530-N($AL530),""))</f>
        <v/>
      </c>
      <c r="R530" s="45" t="str">
        <f>IF(OR($Q530="",NOT(ISNUMBER($V530))),"",$AK530/$V530)</f>
        <v/>
      </c>
      <c r="S530" s="46" t="str">
        <f>IF($Q530="","",IF(AND(ISNUMBER($R530),ABS(N($R530))&lt;N(Settings!$C$8)),"Scratch",IF($Q530&gt;0,"Win",IF($Q530&lt;0,"Loss","Scratch"))))</f>
        <v/>
      </c>
      <c r="T530" s="47" t="str">
        <f>IF(OR($AM530=0,NOT(ISNUMBER($H530)),NOT(ISNUMBER($I530)),NOT(ISNUMBER($J530))),"",IF($H530=$I530,"",ROUND(ABS($J530-$H530)/ABS($H530-$I530),6)))</f>
        <v/>
      </c>
      <c r="U530" s="48" t="str">
        <f>IF(OR($S530&lt;&gt;"Win",NOT(ISNUMBER($T530)),NOT(ISNUMBER($R530))),"",MAX(0,$T530-$R530))</f>
        <v/>
      </c>
      <c r="V530" s="49" t="str">
        <f>IF(OR($AM530=0,NOT(ISNUMBER($H530)),NOT(ISNUMBER($I530)),NOT(ISNUMBER($G530))),"",IF(OR($AG530="",$AH530=""),"",IF(ROUND(ABS($H530-$I530)*ABS($G530)*$AG530*$AH530,6)=0,"",ROUND(ABS($H530-$I530)*ABS($G530)*$AG530*$AH530,6))))</f>
        <v/>
      </c>
      <c r="W530" s="50" t="str">
        <f>IF($AM530=0,"",IF($BG530="","OK",LEFT($BG530,LEN($BG530)-2)))</f>
        <v/>
      </c>
      <c r="X530" s="41" t="n"/>
      <c r="Y530" s="40" t="n"/>
      <c r="Z530" s="41" t="n"/>
      <c r="AA530" s="41" t="n"/>
      <c r="AB530" s="40" t="n"/>
      <c r="AC530" s="51" t="n"/>
      <c r="AD530" s="51" t="n"/>
      <c r="AE530" s="40" t="n"/>
      <c r="AF530" s="52" t="str">
        <f>IF($AM530=0,"",IF($D530&lt;&gt;"",$D530,IF(IFERROR(INDEX(Accounts!$C$7:$C$16,MATCH($C530,Accounts!$B$7:$B$16,0))&amp;"","")&lt;&gt;"",INDEX(Accounts!$C$7:$C$16,MATCH($C530,Accounts!$B$7:$B$16,0)),Settings!$C$6)))</f>
        <v/>
      </c>
      <c r="AG530" s="53" t="str">
        <f>IF($AM530=0,"",IF(AND($BE530&gt;0,N(INDEX(Instruments!$D$6:$D$205,MAX(1,$BE530)))&gt;0),INDEX(Instruments!$D$6:$D$205,MAX(1,$BE530)),IF(N(INDEX(Settings!$D$14:$D$18,$BF530))&gt;0,INDEX(Settings!$D$14:$D$18,$BF530),"")))</f>
        <v/>
      </c>
      <c r="AH530" s="54" t="str">
        <f>IF($AM530=0,"",IF($AF530&lt;&gt;"Forex",1,IF(MID(UPPER(SUBSTITUTE(TRIM($E530),"/","")),4,3)=UPPER(TRIM(Settings!$C$7)),1,IF(LEFT(UPPER(SUBSTITUTE(TRIM($E530),"/","")),3)=UPPER(TRIM(Settings!$C$7)),IF(AND(ISNUMBER($K530),N($K530)&lt;&gt;0),1/$K530,""),""))))</f>
        <v/>
      </c>
      <c r="AI530" s="55" t="str">
        <f>IF($AM530=0,"",IF(OR(NOT(ISNUMBER($H530)),NOT(ISNUMBER($K530)),NOT(ISNUMBER($G530)),$AG530="",$AH530=""),"",ROUND(($K530-$H530)*IF($F530="Short",-1,1)*$G530*$AG530*$AH530,6)))</f>
        <v/>
      </c>
      <c r="AJ530" s="55" t="str">
        <f>IF($AM530=0,"",IF(INDEX(Settings!$E$14:$E$18,$BF530)="% of notional",IF(OR($AG530="",NOT(ISNUMBER($H530)),NOT(ISNUMBER($G530))),"",ROUND(ABS($H530*$G530*$AG530*N($AH530))*IF($L530="Limit",N(INDEX(Settings!$G$14:$G$18,$BF530)),N(INDEX(Settings!$H$14:$H$18,$BF530)))+IF(ISNUMBER($K530),ABS($K530*$G530*$AG530*N($AH530))*IF($M530="Target",N(INDEX(Settings!$G$14:$G$18,$BF530)),N(INDEX(Settings!$H$14:$H$18,$BF530))),0),6)),IF(NOT(ISNUMBER($G530)),"",ROUND(ABS($G530)*2*IF(AND($BE530&gt;0,ISNUMBER(INDEX(Instruments!$G$6:$G$205,MAX(1,$BE530)))),INDEX(Instruments!$G$6:$G$205,MAX(1,$BE530)),N(INDEX(Settings!$F$14:$F$18,$BF530))),6))))</f>
        <v/>
      </c>
      <c r="AK530" s="55" t="str">
        <f>IF($AM530=0,"",IF(ISNUMBER($O530),$O530,$AI530))</f>
        <v/>
      </c>
      <c r="AL530" s="55" t="str">
        <f>IF($AM530=0,"",IF(ISNUMBER($P530),$P530,N($AJ530)))</f>
        <v/>
      </c>
      <c r="AM530" s="56">
        <f>IF(AND($A530&lt;&gt;"",$E530&lt;&gt;"",OR(AND(ISNUMBER($G530),ISNUMBER($H530),ISNUMBER($K530)),ISNUMBER($O530))),1,0)</f>
        <v>0</v>
      </c>
      <c r="AN530" s="57" t="str">
        <f>IF($A530="","",$A530-WEEKDAY($A530,3))</f>
        <v/>
      </c>
      <c r="AO530" s="56" t="str">
        <f>IF($A530="","",WEEKDAY($A530,2))</f>
        <v/>
      </c>
      <c r="AP530" s="55" t="str">
        <f>IF(OR($AM530=0,$C530=""),"",IFERROR(N(INDEX(Accounts!$E$7:$E$16,MATCH($C530,Accounts!$B$7:$B$16,0))),0)+SUMIFS($Q$6:$Q530,$C$6:$C530,$C530))</f>
        <v/>
      </c>
      <c r="AQ530" s="55" t="str">
        <f>IF(OR($AM530=0,$C530=""),"",SUMIFS($Q$6:$Q$1005,$C$6:$C$1005,$C530,$A$6:$A$1005,$A530))</f>
        <v/>
      </c>
      <c r="AR530" s="55" t="str">
        <f>IF(OR($AM530=0,$C530=""),"",IFERROR(N(INDEX(Accounts!$E$7:$E$16,MATCH($C530,Accounts!$B$7:$B$16,0))),0)+SUMIFS($Q$6:$Q$1005,$C$6:$C$1005,$C530,$A$6:$A$1005,"&lt;="&amp;$A530))</f>
        <v/>
      </c>
      <c r="AS530" s="56">
        <f>IF(OR($AM530=0,$Q530=""),0,IF(AND($A530&gt;=Lists!$W$6,$A530&lt;=Lists!$W$7,OR(Dashboard!$D$6="All accounts",$C530=Dashboard!$D$6),OR(Dashboard!$D$7="All markets",$AF530=Dashboard!$D$7)),1,0))</f>
        <v>0</v>
      </c>
      <c r="AT530" s="55">
        <f>IF($AS530=1,N(AT529)+$Q530,N(AT529))</f>
        <v>1187.10688</v>
      </c>
      <c r="AU530" s="55">
        <f>MAX(N(AU529),$AT530)</f>
        <v>1187.10688</v>
      </c>
      <c r="AV530" s="55">
        <f>$AT530-$AU530</f>
        <v>0</v>
      </c>
      <c r="AW530" s="56">
        <f>IF($AS530=1,IF($S530="Win",N(AW529)+1,IF($S530="Loss",0,N(AW529))),N(AW529))</f>
        <v>5</v>
      </c>
      <c r="AX530" s="56">
        <f>IF($AS530=1,IF($S530="Loss",N(AX529)+1,IF($S530="Win",0,N(AX529))),N(AX529))</f>
        <v>0</v>
      </c>
      <c r="AY530" s="56" t="str">
        <f>IF($AS530=1,COUNTIF($AS$6:$AS530,1),"")</f>
        <v/>
      </c>
      <c r="AZ530" s="56">
        <f>MIN(524,N(Lists!$W$8))</f>
        <v>28</v>
      </c>
      <c r="BA530" s="56">
        <f>IF($AS530=1,IF(COUNTIFS($A$6:$A530,$A530,$AS$6:$AS530,1)=1,1,0),0)</f>
        <v>0</v>
      </c>
      <c r="BB530" s="55" t="str">
        <f>IF($BA530=1,SUMIFS($Q$6:$Q$1005,$A$6:$A$1005,$A530,$AS$6:$AS$1005,1),"")</f>
        <v/>
      </c>
      <c r="BC530" s="56">
        <f>IF(ISNUMBER($R530),1,0)</f>
        <v>0</v>
      </c>
      <c r="BD530" s="55" t="str">
        <f>IF(ISNUMBER($U530),$U530*$V530,"")</f>
        <v/>
      </c>
      <c r="BE530" s="56" t="str">
        <f>IF($AM530=0,"",IFERROR(MATCH($AF530&amp;"|"&amp;UPPER(TRIM($E530)),Lists!$A$6:$A$205,0),0))</f>
        <v/>
      </c>
      <c r="BF530" s="56" t="str">
        <f>IF($AM530=0,"",IFERROR(MATCH($AF530,Settings!$B$14:$B$18,0),IFERROR(MATCH(Settings!$C$6,Settings!$B$14:$B$18,0),1)))</f>
        <v/>
      </c>
      <c r="BG530" s="58" t="str">
        <f>IF($AM530=0,"",IF(NOT(ISNUMBER($I530)),"No stop; ","")&amp;IF(AND(ISNUMBER($H530),ISNUMBER($I530)),IF(OR(AND($F530&lt;&gt;"Short",$I530&gt;=$H530),AND($F530="Short",$I530&lt;=$H530)),"Stop on wrong side; ",""),"")&amp;IF($F530="","No direction; ","")&amp;IF(AND(ISNUMBER(Settings!$C$22),ISNUMBER($V530)),IF($V530&gt;Settings!$C$22,"Risk over max $; ",""),"")&amp;IF(AND(ISNUMBER(Settings!$C$23),ISNUMBER($V530),ISNUMBER($AP530),IFERROR(N(INDEX(Accounts!$E$7:$E$16,MATCH($C530,Accounts!$B$7:$B$16,0))),0)&gt;0),IF($V530&gt;Settings!$C$23*($AP530-N($Q530)),"Risk over max %; ",""),"")&amp;IF(AND(ISNUMBER(Settings!$C$24),ISNUMBER($N530)),IF($N530&gt;Settings!$C$24,"Leverage over max; ",""),"")&amp;IF(AND(ISNUMBER(Settings!$C$27),ISNUMBER($T530)),IF($T530&lt;Settings!$C$27,"R:R below min; ",""),"")&amp;IF(ISNUMBER(Settings!$C$25),IF(COUNTIFS($A$6:$A530,$A530,$AM$6:$AM530,1)&gt;Settings!$C$25,"Over max trades/day; ",""),"")&amp;IF(ISNUMBER(Settings!$C$26),IF(SUMIFS($Q$5:$Q529,$A$5:$A529,$A530)&lt;=-Settings!$C$26,"Traded after daily max loss; ",""),"")&amp;IF(AND($AG530="",NOT(ISNUMBER($O530))),"Symbol not in Instruments; ","")&amp;IF(AND($AH530="",NOT(ISNUMBER($O530))),"Forex cross: type Gross P&amp;L; ",""))</f>
        <v/>
      </c>
      <c r="BH530" s="56">
        <f>IF(ISNUMBER($Q530),1,0)</f>
        <v>0</v>
      </c>
      <c r="BI530" s="56">
        <f>IF($Y530="",0,1)</f>
        <v>0</v>
      </c>
      <c r="BJ530" s="56">
        <f>IF($AB530="",0,1)</f>
        <v>0</v>
      </c>
      <c r="BK530" s="56">
        <f>IF(AND($BH530=1,$W530&lt;&gt;"OK"),1,0)</f>
        <v>0</v>
      </c>
      <c r="BL530" s="55">
        <f>IF(N($AZ530)=0,0,IFERROR(INDEX($AT$6:$AT$1005,MATCH($AZ530,$AY$6:$AY$1005,0)),0))</f>
        <v>1187.10688</v>
      </c>
      <c r="BM530" s="56">
        <f>IF(ISNUMBER(SEARCH("daily max loss",$BG530)),1,0)</f>
        <v>0</v>
      </c>
    </row>
    <row r="531" ht="18" customHeight="1">
      <c r="A531" s="38" t="n"/>
      <c r="B531" s="39" t="n"/>
      <c r="C531" s="40" t="n"/>
      <c r="D531" s="41" t="n"/>
      <c r="E531" s="41" t="n"/>
      <c r="F531" s="41" t="n"/>
      <c r="G531" s="41" t="n"/>
      <c r="H531" s="42" t="n"/>
      <c r="I531" s="42" t="n"/>
      <c r="J531" s="42" t="n"/>
      <c r="K531" s="42" t="n"/>
      <c r="L531" s="41" t="n"/>
      <c r="M531" s="41" t="n"/>
      <c r="N531" s="41" t="n"/>
      <c r="O531" s="43" t="n"/>
      <c r="P531" s="43" t="n"/>
      <c r="Q531" s="44" t="str">
        <f>IF($AM531=0,"",IF(ISNUMBER($AK531),$AK531-N($AL531),""))</f>
        <v/>
      </c>
      <c r="R531" s="45" t="str">
        <f>IF(OR($Q531="",NOT(ISNUMBER($V531))),"",$AK531/$V531)</f>
        <v/>
      </c>
      <c r="S531" s="46" t="str">
        <f>IF($Q531="","",IF(AND(ISNUMBER($R531),ABS(N($R531))&lt;N(Settings!$C$8)),"Scratch",IF($Q531&gt;0,"Win",IF($Q531&lt;0,"Loss","Scratch"))))</f>
        <v/>
      </c>
      <c r="T531" s="47" t="str">
        <f>IF(OR($AM531=0,NOT(ISNUMBER($H531)),NOT(ISNUMBER($I531)),NOT(ISNUMBER($J531))),"",IF($H531=$I531,"",ROUND(ABS($J531-$H531)/ABS($H531-$I531),6)))</f>
        <v/>
      </c>
      <c r="U531" s="48" t="str">
        <f>IF(OR($S531&lt;&gt;"Win",NOT(ISNUMBER($T531)),NOT(ISNUMBER($R531))),"",MAX(0,$T531-$R531))</f>
        <v/>
      </c>
      <c r="V531" s="49" t="str">
        <f>IF(OR($AM531=0,NOT(ISNUMBER($H531)),NOT(ISNUMBER($I531)),NOT(ISNUMBER($G531))),"",IF(OR($AG531="",$AH531=""),"",IF(ROUND(ABS($H531-$I531)*ABS($G531)*$AG531*$AH531,6)=0,"",ROUND(ABS($H531-$I531)*ABS($G531)*$AG531*$AH531,6))))</f>
        <v/>
      </c>
      <c r="W531" s="50" t="str">
        <f>IF($AM531=0,"",IF($BG531="","OK",LEFT($BG531,LEN($BG531)-2)))</f>
        <v/>
      </c>
      <c r="X531" s="41" t="n"/>
      <c r="Y531" s="40" t="n"/>
      <c r="Z531" s="41" t="n"/>
      <c r="AA531" s="41" t="n"/>
      <c r="AB531" s="40" t="n"/>
      <c r="AC531" s="51" t="n"/>
      <c r="AD531" s="51" t="n"/>
      <c r="AE531" s="40" t="n"/>
      <c r="AF531" s="52" t="str">
        <f>IF($AM531=0,"",IF($D531&lt;&gt;"",$D531,IF(IFERROR(INDEX(Accounts!$C$7:$C$16,MATCH($C531,Accounts!$B$7:$B$16,0))&amp;"","")&lt;&gt;"",INDEX(Accounts!$C$7:$C$16,MATCH($C531,Accounts!$B$7:$B$16,0)),Settings!$C$6)))</f>
        <v/>
      </c>
      <c r="AG531" s="53" t="str">
        <f>IF($AM531=0,"",IF(AND($BE531&gt;0,N(INDEX(Instruments!$D$6:$D$205,MAX(1,$BE531)))&gt;0),INDEX(Instruments!$D$6:$D$205,MAX(1,$BE531)),IF(N(INDEX(Settings!$D$14:$D$18,$BF531))&gt;0,INDEX(Settings!$D$14:$D$18,$BF531),"")))</f>
        <v/>
      </c>
      <c r="AH531" s="54" t="str">
        <f>IF($AM531=0,"",IF($AF531&lt;&gt;"Forex",1,IF(MID(UPPER(SUBSTITUTE(TRIM($E531),"/","")),4,3)=UPPER(TRIM(Settings!$C$7)),1,IF(LEFT(UPPER(SUBSTITUTE(TRIM($E531),"/","")),3)=UPPER(TRIM(Settings!$C$7)),IF(AND(ISNUMBER($K531),N($K531)&lt;&gt;0),1/$K531,""),""))))</f>
        <v/>
      </c>
      <c r="AI531" s="55" t="str">
        <f>IF($AM531=0,"",IF(OR(NOT(ISNUMBER($H531)),NOT(ISNUMBER($K531)),NOT(ISNUMBER($G531)),$AG531="",$AH531=""),"",ROUND(($K531-$H531)*IF($F531="Short",-1,1)*$G531*$AG531*$AH531,6)))</f>
        <v/>
      </c>
      <c r="AJ531" s="55" t="str">
        <f>IF($AM531=0,"",IF(INDEX(Settings!$E$14:$E$18,$BF531)="% of notional",IF(OR($AG531="",NOT(ISNUMBER($H531)),NOT(ISNUMBER($G531))),"",ROUND(ABS($H531*$G531*$AG531*N($AH531))*IF($L531="Limit",N(INDEX(Settings!$G$14:$G$18,$BF531)),N(INDEX(Settings!$H$14:$H$18,$BF531)))+IF(ISNUMBER($K531),ABS($K531*$G531*$AG531*N($AH531))*IF($M531="Target",N(INDEX(Settings!$G$14:$G$18,$BF531)),N(INDEX(Settings!$H$14:$H$18,$BF531))),0),6)),IF(NOT(ISNUMBER($G531)),"",ROUND(ABS($G531)*2*IF(AND($BE531&gt;0,ISNUMBER(INDEX(Instruments!$G$6:$G$205,MAX(1,$BE531)))),INDEX(Instruments!$G$6:$G$205,MAX(1,$BE531)),N(INDEX(Settings!$F$14:$F$18,$BF531))),6))))</f>
        <v/>
      </c>
      <c r="AK531" s="55" t="str">
        <f>IF($AM531=0,"",IF(ISNUMBER($O531),$O531,$AI531))</f>
        <v/>
      </c>
      <c r="AL531" s="55" t="str">
        <f>IF($AM531=0,"",IF(ISNUMBER($P531),$P531,N($AJ531)))</f>
        <v/>
      </c>
      <c r="AM531" s="56">
        <f>IF(AND($A531&lt;&gt;"",$E531&lt;&gt;"",OR(AND(ISNUMBER($G531),ISNUMBER($H531),ISNUMBER($K531)),ISNUMBER($O531))),1,0)</f>
        <v>0</v>
      </c>
      <c r="AN531" s="57" t="str">
        <f>IF($A531="","",$A531-WEEKDAY($A531,3))</f>
        <v/>
      </c>
      <c r="AO531" s="56" t="str">
        <f>IF($A531="","",WEEKDAY($A531,2))</f>
        <v/>
      </c>
      <c r="AP531" s="55" t="str">
        <f>IF(OR($AM531=0,$C531=""),"",IFERROR(N(INDEX(Accounts!$E$7:$E$16,MATCH($C531,Accounts!$B$7:$B$16,0))),0)+SUMIFS($Q$6:$Q531,$C$6:$C531,$C531))</f>
        <v/>
      </c>
      <c r="AQ531" s="55" t="str">
        <f>IF(OR($AM531=0,$C531=""),"",SUMIFS($Q$6:$Q$1005,$C$6:$C$1005,$C531,$A$6:$A$1005,$A531))</f>
        <v/>
      </c>
      <c r="AR531" s="55" t="str">
        <f>IF(OR($AM531=0,$C531=""),"",IFERROR(N(INDEX(Accounts!$E$7:$E$16,MATCH($C531,Accounts!$B$7:$B$16,0))),0)+SUMIFS($Q$6:$Q$1005,$C$6:$C$1005,$C531,$A$6:$A$1005,"&lt;="&amp;$A531))</f>
        <v/>
      </c>
      <c r="AS531" s="56">
        <f>IF(OR($AM531=0,$Q531=""),0,IF(AND($A531&gt;=Lists!$W$6,$A531&lt;=Lists!$W$7,OR(Dashboard!$D$6="All accounts",$C531=Dashboard!$D$6),OR(Dashboard!$D$7="All markets",$AF531=Dashboard!$D$7)),1,0))</f>
        <v>0</v>
      </c>
      <c r="AT531" s="55">
        <f>IF($AS531=1,N(AT530)+$Q531,N(AT530))</f>
        <v>1187.10688</v>
      </c>
      <c r="AU531" s="55">
        <f>MAX(N(AU530),$AT531)</f>
        <v>1187.10688</v>
      </c>
      <c r="AV531" s="55">
        <f>$AT531-$AU531</f>
        <v>0</v>
      </c>
      <c r="AW531" s="56">
        <f>IF($AS531=1,IF($S531="Win",N(AW530)+1,IF($S531="Loss",0,N(AW530))),N(AW530))</f>
        <v>5</v>
      </c>
      <c r="AX531" s="56">
        <f>IF($AS531=1,IF($S531="Loss",N(AX530)+1,IF($S531="Win",0,N(AX530))),N(AX530))</f>
        <v>0</v>
      </c>
      <c r="AY531" s="56" t="str">
        <f>IF($AS531=1,COUNTIF($AS$6:$AS531,1),"")</f>
        <v/>
      </c>
      <c r="AZ531" s="56">
        <f>MIN(525,N(Lists!$W$8))</f>
        <v>28</v>
      </c>
      <c r="BA531" s="56">
        <f>IF($AS531=1,IF(COUNTIFS($A$6:$A531,$A531,$AS$6:$AS531,1)=1,1,0),0)</f>
        <v>0</v>
      </c>
      <c r="BB531" s="55" t="str">
        <f>IF($BA531=1,SUMIFS($Q$6:$Q$1005,$A$6:$A$1005,$A531,$AS$6:$AS$1005,1),"")</f>
        <v/>
      </c>
      <c r="BC531" s="56">
        <f>IF(ISNUMBER($R531),1,0)</f>
        <v>0</v>
      </c>
      <c r="BD531" s="55" t="str">
        <f>IF(ISNUMBER($U531),$U531*$V531,"")</f>
        <v/>
      </c>
      <c r="BE531" s="56" t="str">
        <f>IF($AM531=0,"",IFERROR(MATCH($AF531&amp;"|"&amp;UPPER(TRIM($E531)),Lists!$A$6:$A$205,0),0))</f>
        <v/>
      </c>
      <c r="BF531" s="56" t="str">
        <f>IF($AM531=0,"",IFERROR(MATCH($AF531,Settings!$B$14:$B$18,0),IFERROR(MATCH(Settings!$C$6,Settings!$B$14:$B$18,0),1)))</f>
        <v/>
      </c>
      <c r="BG531" s="58" t="str">
        <f>IF($AM531=0,"",IF(NOT(ISNUMBER($I531)),"No stop; ","")&amp;IF(AND(ISNUMBER($H531),ISNUMBER($I531)),IF(OR(AND($F531&lt;&gt;"Short",$I531&gt;=$H531),AND($F531="Short",$I531&lt;=$H531)),"Stop on wrong side; ",""),"")&amp;IF($F531="","No direction; ","")&amp;IF(AND(ISNUMBER(Settings!$C$22),ISNUMBER($V531)),IF($V531&gt;Settings!$C$22,"Risk over max $; ",""),"")&amp;IF(AND(ISNUMBER(Settings!$C$23),ISNUMBER($V531),ISNUMBER($AP531),IFERROR(N(INDEX(Accounts!$E$7:$E$16,MATCH($C531,Accounts!$B$7:$B$16,0))),0)&gt;0),IF($V531&gt;Settings!$C$23*($AP531-N($Q531)),"Risk over max %; ",""),"")&amp;IF(AND(ISNUMBER(Settings!$C$24),ISNUMBER($N531)),IF($N531&gt;Settings!$C$24,"Leverage over max; ",""),"")&amp;IF(AND(ISNUMBER(Settings!$C$27),ISNUMBER($T531)),IF($T531&lt;Settings!$C$27,"R:R below min; ",""),"")&amp;IF(ISNUMBER(Settings!$C$25),IF(COUNTIFS($A$6:$A531,$A531,$AM$6:$AM531,1)&gt;Settings!$C$25,"Over max trades/day; ",""),"")&amp;IF(ISNUMBER(Settings!$C$26),IF(SUMIFS($Q$5:$Q530,$A$5:$A530,$A531)&lt;=-Settings!$C$26,"Traded after daily max loss; ",""),"")&amp;IF(AND($AG531="",NOT(ISNUMBER($O531))),"Symbol not in Instruments; ","")&amp;IF(AND($AH531="",NOT(ISNUMBER($O531))),"Forex cross: type Gross P&amp;L; ",""))</f>
        <v/>
      </c>
      <c r="BH531" s="56">
        <f>IF(ISNUMBER($Q531),1,0)</f>
        <v>0</v>
      </c>
      <c r="BI531" s="56">
        <f>IF($Y531="",0,1)</f>
        <v>0</v>
      </c>
      <c r="BJ531" s="56">
        <f>IF($AB531="",0,1)</f>
        <v>0</v>
      </c>
      <c r="BK531" s="56">
        <f>IF(AND($BH531=1,$W531&lt;&gt;"OK"),1,0)</f>
        <v>0</v>
      </c>
      <c r="BL531" s="55">
        <f>IF(N($AZ531)=0,0,IFERROR(INDEX($AT$6:$AT$1005,MATCH($AZ531,$AY$6:$AY$1005,0)),0))</f>
        <v>1187.10688</v>
      </c>
      <c r="BM531" s="56">
        <f>IF(ISNUMBER(SEARCH("daily max loss",$BG531)),1,0)</f>
        <v>0</v>
      </c>
    </row>
    <row r="532" ht="18" customHeight="1">
      <c r="A532" s="38" t="n"/>
      <c r="B532" s="39" t="n"/>
      <c r="C532" s="40" t="n"/>
      <c r="D532" s="41" t="n"/>
      <c r="E532" s="41" t="n"/>
      <c r="F532" s="41" t="n"/>
      <c r="G532" s="41" t="n"/>
      <c r="H532" s="42" t="n"/>
      <c r="I532" s="42" t="n"/>
      <c r="J532" s="42" t="n"/>
      <c r="K532" s="42" t="n"/>
      <c r="L532" s="41" t="n"/>
      <c r="M532" s="41" t="n"/>
      <c r="N532" s="41" t="n"/>
      <c r="O532" s="43" t="n"/>
      <c r="P532" s="43" t="n"/>
      <c r="Q532" s="44" t="str">
        <f>IF($AM532=0,"",IF(ISNUMBER($AK532),$AK532-N($AL532),""))</f>
        <v/>
      </c>
      <c r="R532" s="45" t="str">
        <f>IF(OR($Q532="",NOT(ISNUMBER($V532))),"",$AK532/$V532)</f>
        <v/>
      </c>
      <c r="S532" s="46" t="str">
        <f>IF($Q532="","",IF(AND(ISNUMBER($R532),ABS(N($R532))&lt;N(Settings!$C$8)),"Scratch",IF($Q532&gt;0,"Win",IF($Q532&lt;0,"Loss","Scratch"))))</f>
        <v/>
      </c>
      <c r="T532" s="47" t="str">
        <f>IF(OR($AM532=0,NOT(ISNUMBER($H532)),NOT(ISNUMBER($I532)),NOT(ISNUMBER($J532))),"",IF($H532=$I532,"",ROUND(ABS($J532-$H532)/ABS($H532-$I532),6)))</f>
        <v/>
      </c>
      <c r="U532" s="48" t="str">
        <f>IF(OR($S532&lt;&gt;"Win",NOT(ISNUMBER($T532)),NOT(ISNUMBER($R532))),"",MAX(0,$T532-$R532))</f>
        <v/>
      </c>
      <c r="V532" s="49" t="str">
        <f>IF(OR($AM532=0,NOT(ISNUMBER($H532)),NOT(ISNUMBER($I532)),NOT(ISNUMBER($G532))),"",IF(OR($AG532="",$AH532=""),"",IF(ROUND(ABS($H532-$I532)*ABS($G532)*$AG532*$AH532,6)=0,"",ROUND(ABS($H532-$I532)*ABS($G532)*$AG532*$AH532,6))))</f>
        <v/>
      </c>
      <c r="W532" s="50" t="str">
        <f>IF($AM532=0,"",IF($BG532="","OK",LEFT($BG532,LEN($BG532)-2)))</f>
        <v/>
      </c>
      <c r="X532" s="41" t="n"/>
      <c r="Y532" s="40" t="n"/>
      <c r="Z532" s="41" t="n"/>
      <c r="AA532" s="41" t="n"/>
      <c r="AB532" s="40" t="n"/>
      <c r="AC532" s="51" t="n"/>
      <c r="AD532" s="51" t="n"/>
      <c r="AE532" s="40" t="n"/>
      <c r="AF532" s="52" t="str">
        <f>IF($AM532=0,"",IF($D532&lt;&gt;"",$D532,IF(IFERROR(INDEX(Accounts!$C$7:$C$16,MATCH($C532,Accounts!$B$7:$B$16,0))&amp;"","")&lt;&gt;"",INDEX(Accounts!$C$7:$C$16,MATCH($C532,Accounts!$B$7:$B$16,0)),Settings!$C$6)))</f>
        <v/>
      </c>
      <c r="AG532" s="53" t="str">
        <f>IF($AM532=0,"",IF(AND($BE532&gt;0,N(INDEX(Instruments!$D$6:$D$205,MAX(1,$BE532)))&gt;0),INDEX(Instruments!$D$6:$D$205,MAX(1,$BE532)),IF(N(INDEX(Settings!$D$14:$D$18,$BF532))&gt;0,INDEX(Settings!$D$14:$D$18,$BF532),"")))</f>
        <v/>
      </c>
      <c r="AH532" s="54" t="str">
        <f>IF($AM532=0,"",IF($AF532&lt;&gt;"Forex",1,IF(MID(UPPER(SUBSTITUTE(TRIM($E532),"/","")),4,3)=UPPER(TRIM(Settings!$C$7)),1,IF(LEFT(UPPER(SUBSTITUTE(TRIM($E532),"/","")),3)=UPPER(TRIM(Settings!$C$7)),IF(AND(ISNUMBER($K532),N($K532)&lt;&gt;0),1/$K532,""),""))))</f>
        <v/>
      </c>
      <c r="AI532" s="55" t="str">
        <f>IF($AM532=0,"",IF(OR(NOT(ISNUMBER($H532)),NOT(ISNUMBER($K532)),NOT(ISNUMBER($G532)),$AG532="",$AH532=""),"",ROUND(($K532-$H532)*IF($F532="Short",-1,1)*$G532*$AG532*$AH532,6)))</f>
        <v/>
      </c>
      <c r="AJ532" s="55" t="str">
        <f>IF($AM532=0,"",IF(INDEX(Settings!$E$14:$E$18,$BF532)="% of notional",IF(OR($AG532="",NOT(ISNUMBER($H532)),NOT(ISNUMBER($G532))),"",ROUND(ABS($H532*$G532*$AG532*N($AH532))*IF($L532="Limit",N(INDEX(Settings!$G$14:$G$18,$BF532)),N(INDEX(Settings!$H$14:$H$18,$BF532)))+IF(ISNUMBER($K532),ABS($K532*$G532*$AG532*N($AH532))*IF($M532="Target",N(INDEX(Settings!$G$14:$G$18,$BF532)),N(INDEX(Settings!$H$14:$H$18,$BF532))),0),6)),IF(NOT(ISNUMBER($G532)),"",ROUND(ABS($G532)*2*IF(AND($BE532&gt;0,ISNUMBER(INDEX(Instruments!$G$6:$G$205,MAX(1,$BE532)))),INDEX(Instruments!$G$6:$G$205,MAX(1,$BE532)),N(INDEX(Settings!$F$14:$F$18,$BF532))),6))))</f>
        <v/>
      </c>
      <c r="AK532" s="55" t="str">
        <f>IF($AM532=0,"",IF(ISNUMBER($O532),$O532,$AI532))</f>
        <v/>
      </c>
      <c r="AL532" s="55" t="str">
        <f>IF($AM532=0,"",IF(ISNUMBER($P532),$P532,N($AJ532)))</f>
        <v/>
      </c>
      <c r="AM532" s="56">
        <f>IF(AND($A532&lt;&gt;"",$E532&lt;&gt;"",OR(AND(ISNUMBER($G532),ISNUMBER($H532),ISNUMBER($K532)),ISNUMBER($O532))),1,0)</f>
        <v>0</v>
      </c>
      <c r="AN532" s="57" t="str">
        <f>IF($A532="","",$A532-WEEKDAY($A532,3))</f>
        <v/>
      </c>
      <c r="AO532" s="56" t="str">
        <f>IF($A532="","",WEEKDAY($A532,2))</f>
        <v/>
      </c>
      <c r="AP532" s="55" t="str">
        <f>IF(OR($AM532=0,$C532=""),"",IFERROR(N(INDEX(Accounts!$E$7:$E$16,MATCH($C532,Accounts!$B$7:$B$16,0))),0)+SUMIFS($Q$6:$Q532,$C$6:$C532,$C532))</f>
        <v/>
      </c>
      <c r="AQ532" s="55" t="str">
        <f>IF(OR($AM532=0,$C532=""),"",SUMIFS($Q$6:$Q$1005,$C$6:$C$1005,$C532,$A$6:$A$1005,$A532))</f>
        <v/>
      </c>
      <c r="AR532" s="55" t="str">
        <f>IF(OR($AM532=0,$C532=""),"",IFERROR(N(INDEX(Accounts!$E$7:$E$16,MATCH($C532,Accounts!$B$7:$B$16,0))),0)+SUMIFS($Q$6:$Q$1005,$C$6:$C$1005,$C532,$A$6:$A$1005,"&lt;="&amp;$A532))</f>
        <v/>
      </c>
      <c r="AS532" s="56">
        <f>IF(OR($AM532=0,$Q532=""),0,IF(AND($A532&gt;=Lists!$W$6,$A532&lt;=Lists!$W$7,OR(Dashboard!$D$6="All accounts",$C532=Dashboard!$D$6),OR(Dashboard!$D$7="All markets",$AF532=Dashboard!$D$7)),1,0))</f>
        <v>0</v>
      </c>
      <c r="AT532" s="55">
        <f>IF($AS532=1,N(AT531)+$Q532,N(AT531))</f>
        <v>1187.10688</v>
      </c>
      <c r="AU532" s="55">
        <f>MAX(N(AU531),$AT532)</f>
        <v>1187.10688</v>
      </c>
      <c r="AV532" s="55">
        <f>$AT532-$AU532</f>
        <v>0</v>
      </c>
      <c r="AW532" s="56">
        <f>IF($AS532=1,IF($S532="Win",N(AW531)+1,IF($S532="Loss",0,N(AW531))),N(AW531))</f>
        <v>5</v>
      </c>
      <c r="AX532" s="56">
        <f>IF($AS532=1,IF($S532="Loss",N(AX531)+1,IF($S532="Win",0,N(AX531))),N(AX531))</f>
        <v>0</v>
      </c>
      <c r="AY532" s="56" t="str">
        <f>IF($AS532=1,COUNTIF($AS$6:$AS532,1),"")</f>
        <v/>
      </c>
      <c r="AZ532" s="56">
        <f>MIN(526,N(Lists!$W$8))</f>
        <v>28</v>
      </c>
      <c r="BA532" s="56">
        <f>IF($AS532=1,IF(COUNTIFS($A$6:$A532,$A532,$AS$6:$AS532,1)=1,1,0),0)</f>
        <v>0</v>
      </c>
      <c r="BB532" s="55" t="str">
        <f>IF($BA532=1,SUMIFS($Q$6:$Q$1005,$A$6:$A$1005,$A532,$AS$6:$AS$1005,1),"")</f>
        <v/>
      </c>
      <c r="BC532" s="56">
        <f>IF(ISNUMBER($R532),1,0)</f>
        <v>0</v>
      </c>
      <c r="BD532" s="55" t="str">
        <f>IF(ISNUMBER($U532),$U532*$V532,"")</f>
        <v/>
      </c>
      <c r="BE532" s="56" t="str">
        <f>IF($AM532=0,"",IFERROR(MATCH($AF532&amp;"|"&amp;UPPER(TRIM($E532)),Lists!$A$6:$A$205,0),0))</f>
        <v/>
      </c>
      <c r="BF532" s="56" t="str">
        <f>IF($AM532=0,"",IFERROR(MATCH($AF532,Settings!$B$14:$B$18,0),IFERROR(MATCH(Settings!$C$6,Settings!$B$14:$B$18,0),1)))</f>
        <v/>
      </c>
      <c r="BG532" s="58" t="str">
        <f>IF($AM532=0,"",IF(NOT(ISNUMBER($I532)),"No stop; ","")&amp;IF(AND(ISNUMBER($H532),ISNUMBER($I532)),IF(OR(AND($F532&lt;&gt;"Short",$I532&gt;=$H532),AND($F532="Short",$I532&lt;=$H532)),"Stop on wrong side; ",""),"")&amp;IF($F532="","No direction; ","")&amp;IF(AND(ISNUMBER(Settings!$C$22),ISNUMBER($V532)),IF($V532&gt;Settings!$C$22,"Risk over max $; ",""),"")&amp;IF(AND(ISNUMBER(Settings!$C$23),ISNUMBER($V532),ISNUMBER($AP532),IFERROR(N(INDEX(Accounts!$E$7:$E$16,MATCH($C532,Accounts!$B$7:$B$16,0))),0)&gt;0),IF($V532&gt;Settings!$C$23*($AP532-N($Q532)),"Risk over max %; ",""),"")&amp;IF(AND(ISNUMBER(Settings!$C$24),ISNUMBER($N532)),IF($N532&gt;Settings!$C$24,"Leverage over max; ",""),"")&amp;IF(AND(ISNUMBER(Settings!$C$27),ISNUMBER($T532)),IF($T532&lt;Settings!$C$27,"R:R below min; ",""),"")&amp;IF(ISNUMBER(Settings!$C$25),IF(COUNTIFS($A$6:$A532,$A532,$AM$6:$AM532,1)&gt;Settings!$C$25,"Over max trades/day; ",""),"")&amp;IF(ISNUMBER(Settings!$C$26),IF(SUMIFS($Q$5:$Q531,$A$5:$A531,$A532)&lt;=-Settings!$C$26,"Traded after daily max loss; ",""),"")&amp;IF(AND($AG532="",NOT(ISNUMBER($O532))),"Symbol not in Instruments; ","")&amp;IF(AND($AH532="",NOT(ISNUMBER($O532))),"Forex cross: type Gross P&amp;L; ",""))</f>
        <v/>
      </c>
      <c r="BH532" s="56">
        <f>IF(ISNUMBER($Q532),1,0)</f>
        <v>0</v>
      </c>
      <c r="BI532" s="56">
        <f>IF($Y532="",0,1)</f>
        <v>0</v>
      </c>
      <c r="BJ532" s="56">
        <f>IF($AB532="",0,1)</f>
        <v>0</v>
      </c>
      <c r="BK532" s="56">
        <f>IF(AND($BH532=1,$W532&lt;&gt;"OK"),1,0)</f>
        <v>0</v>
      </c>
      <c r="BL532" s="55">
        <f>IF(N($AZ532)=0,0,IFERROR(INDEX($AT$6:$AT$1005,MATCH($AZ532,$AY$6:$AY$1005,0)),0))</f>
        <v>1187.10688</v>
      </c>
      <c r="BM532" s="56">
        <f>IF(ISNUMBER(SEARCH("daily max loss",$BG532)),1,0)</f>
        <v>0</v>
      </c>
    </row>
    <row r="533" ht="18" customHeight="1">
      <c r="A533" s="38" t="n"/>
      <c r="B533" s="39" t="n"/>
      <c r="C533" s="40" t="n"/>
      <c r="D533" s="41" t="n"/>
      <c r="E533" s="41" t="n"/>
      <c r="F533" s="41" t="n"/>
      <c r="G533" s="41" t="n"/>
      <c r="H533" s="42" t="n"/>
      <c r="I533" s="42" t="n"/>
      <c r="J533" s="42" t="n"/>
      <c r="K533" s="42" t="n"/>
      <c r="L533" s="41" t="n"/>
      <c r="M533" s="41" t="n"/>
      <c r="N533" s="41" t="n"/>
      <c r="O533" s="43" t="n"/>
      <c r="P533" s="43" t="n"/>
      <c r="Q533" s="44" t="str">
        <f>IF($AM533=0,"",IF(ISNUMBER($AK533),$AK533-N($AL533),""))</f>
        <v/>
      </c>
      <c r="R533" s="45" t="str">
        <f>IF(OR($Q533="",NOT(ISNUMBER($V533))),"",$AK533/$V533)</f>
        <v/>
      </c>
      <c r="S533" s="46" t="str">
        <f>IF($Q533="","",IF(AND(ISNUMBER($R533),ABS(N($R533))&lt;N(Settings!$C$8)),"Scratch",IF($Q533&gt;0,"Win",IF($Q533&lt;0,"Loss","Scratch"))))</f>
        <v/>
      </c>
      <c r="T533" s="47" t="str">
        <f>IF(OR($AM533=0,NOT(ISNUMBER($H533)),NOT(ISNUMBER($I533)),NOT(ISNUMBER($J533))),"",IF($H533=$I533,"",ROUND(ABS($J533-$H533)/ABS($H533-$I533),6)))</f>
        <v/>
      </c>
      <c r="U533" s="48" t="str">
        <f>IF(OR($S533&lt;&gt;"Win",NOT(ISNUMBER($T533)),NOT(ISNUMBER($R533))),"",MAX(0,$T533-$R533))</f>
        <v/>
      </c>
      <c r="V533" s="49" t="str">
        <f>IF(OR($AM533=0,NOT(ISNUMBER($H533)),NOT(ISNUMBER($I533)),NOT(ISNUMBER($G533))),"",IF(OR($AG533="",$AH533=""),"",IF(ROUND(ABS($H533-$I533)*ABS($G533)*$AG533*$AH533,6)=0,"",ROUND(ABS($H533-$I533)*ABS($G533)*$AG533*$AH533,6))))</f>
        <v/>
      </c>
      <c r="W533" s="50" t="str">
        <f>IF($AM533=0,"",IF($BG533="","OK",LEFT($BG533,LEN($BG533)-2)))</f>
        <v/>
      </c>
      <c r="X533" s="41" t="n"/>
      <c r="Y533" s="40" t="n"/>
      <c r="Z533" s="41" t="n"/>
      <c r="AA533" s="41" t="n"/>
      <c r="AB533" s="40" t="n"/>
      <c r="AC533" s="51" t="n"/>
      <c r="AD533" s="51" t="n"/>
      <c r="AE533" s="40" t="n"/>
      <c r="AF533" s="52" t="str">
        <f>IF($AM533=0,"",IF($D533&lt;&gt;"",$D533,IF(IFERROR(INDEX(Accounts!$C$7:$C$16,MATCH($C533,Accounts!$B$7:$B$16,0))&amp;"","")&lt;&gt;"",INDEX(Accounts!$C$7:$C$16,MATCH($C533,Accounts!$B$7:$B$16,0)),Settings!$C$6)))</f>
        <v/>
      </c>
      <c r="AG533" s="53" t="str">
        <f>IF($AM533=0,"",IF(AND($BE533&gt;0,N(INDEX(Instruments!$D$6:$D$205,MAX(1,$BE533)))&gt;0),INDEX(Instruments!$D$6:$D$205,MAX(1,$BE533)),IF(N(INDEX(Settings!$D$14:$D$18,$BF533))&gt;0,INDEX(Settings!$D$14:$D$18,$BF533),"")))</f>
        <v/>
      </c>
      <c r="AH533" s="54" t="str">
        <f>IF($AM533=0,"",IF($AF533&lt;&gt;"Forex",1,IF(MID(UPPER(SUBSTITUTE(TRIM($E533),"/","")),4,3)=UPPER(TRIM(Settings!$C$7)),1,IF(LEFT(UPPER(SUBSTITUTE(TRIM($E533),"/","")),3)=UPPER(TRIM(Settings!$C$7)),IF(AND(ISNUMBER($K533),N($K533)&lt;&gt;0),1/$K533,""),""))))</f>
        <v/>
      </c>
      <c r="AI533" s="55" t="str">
        <f>IF($AM533=0,"",IF(OR(NOT(ISNUMBER($H533)),NOT(ISNUMBER($K533)),NOT(ISNUMBER($G533)),$AG533="",$AH533=""),"",ROUND(($K533-$H533)*IF($F533="Short",-1,1)*$G533*$AG533*$AH533,6)))</f>
        <v/>
      </c>
      <c r="AJ533" s="55" t="str">
        <f>IF($AM533=0,"",IF(INDEX(Settings!$E$14:$E$18,$BF533)="% of notional",IF(OR($AG533="",NOT(ISNUMBER($H533)),NOT(ISNUMBER($G533))),"",ROUND(ABS($H533*$G533*$AG533*N($AH533))*IF($L533="Limit",N(INDEX(Settings!$G$14:$G$18,$BF533)),N(INDEX(Settings!$H$14:$H$18,$BF533)))+IF(ISNUMBER($K533),ABS($K533*$G533*$AG533*N($AH533))*IF($M533="Target",N(INDEX(Settings!$G$14:$G$18,$BF533)),N(INDEX(Settings!$H$14:$H$18,$BF533))),0),6)),IF(NOT(ISNUMBER($G533)),"",ROUND(ABS($G533)*2*IF(AND($BE533&gt;0,ISNUMBER(INDEX(Instruments!$G$6:$G$205,MAX(1,$BE533)))),INDEX(Instruments!$G$6:$G$205,MAX(1,$BE533)),N(INDEX(Settings!$F$14:$F$18,$BF533))),6))))</f>
        <v/>
      </c>
      <c r="AK533" s="55" t="str">
        <f>IF($AM533=0,"",IF(ISNUMBER($O533),$O533,$AI533))</f>
        <v/>
      </c>
      <c r="AL533" s="55" t="str">
        <f>IF($AM533=0,"",IF(ISNUMBER($P533),$P533,N($AJ533)))</f>
        <v/>
      </c>
      <c r="AM533" s="56">
        <f>IF(AND($A533&lt;&gt;"",$E533&lt;&gt;"",OR(AND(ISNUMBER($G533),ISNUMBER($H533),ISNUMBER($K533)),ISNUMBER($O533))),1,0)</f>
        <v>0</v>
      </c>
      <c r="AN533" s="57" t="str">
        <f>IF($A533="","",$A533-WEEKDAY($A533,3))</f>
        <v/>
      </c>
      <c r="AO533" s="56" t="str">
        <f>IF($A533="","",WEEKDAY($A533,2))</f>
        <v/>
      </c>
      <c r="AP533" s="55" t="str">
        <f>IF(OR($AM533=0,$C533=""),"",IFERROR(N(INDEX(Accounts!$E$7:$E$16,MATCH($C533,Accounts!$B$7:$B$16,0))),0)+SUMIFS($Q$6:$Q533,$C$6:$C533,$C533))</f>
        <v/>
      </c>
      <c r="AQ533" s="55" t="str">
        <f>IF(OR($AM533=0,$C533=""),"",SUMIFS($Q$6:$Q$1005,$C$6:$C$1005,$C533,$A$6:$A$1005,$A533))</f>
        <v/>
      </c>
      <c r="AR533" s="55" t="str">
        <f>IF(OR($AM533=0,$C533=""),"",IFERROR(N(INDEX(Accounts!$E$7:$E$16,MATCH($C533,Accounts!$B$7:$B$16,0))),0)+SUMIFS($Q$6:$Q$1005,$C$6:$C$1005,$C533,$A$6:$A$1005,"&lt;="&amp;$A533))</f>
        <v/>
      </c>
      <c r="AS533" s="56">
        <f>IF(OR($AM533=0,$Q533=""),0,IF(AND($A533&gt;=Lists!$W$6,$A533&lt;=Lists!$W$7,OR(Dashboard!$D$6="All accounts",$C533=Dashboard!$D$6),OR(Dashboard!$D$7="All markets",$AF533=Dashboard!$D$7)),1,0))</f>
        <v>0</v>
      </c>
      <c r="AT533" s="55">
        <f>IF($AS533=1,N(AT532)+$Q533,N(AT532))</f>
        <v>1187.10688</v>
      </c>
      <c r="AU533" s="55">
        <f>MAX(N(AU532),$AT533)</f>
        <v>1187.10688</v>
      </c>
      <c r="AV533" s="55">
        <f>$AT533-$AU533</f>
        <v>0</v>
      </c>
      <c r="AW533" s="56">
        <f>IF($AS533=1,IF($S533="Win",N(AW532)+1,IF($S533="Loss",0,N(AW532))),N(AW532))</f>
        <v>5</v>
      </c>
      <c r="AX533" s="56">
        <f>IF($AS533=1,IF($S533="Loss",N(AX532)+1,IF($S533="Win",0,N(AX532))),N(AX532))</f>
        <v>0</v>
      </c>
      <c r="AY533" s="56" t="str">
        <f>IF($AS533=1,COUNTIF($AS$6:$AS533,1),"")</f>
        <v/>
      </c>
      <c r="AZ533" s="56">
        <f>MIN(527,N(Lists!$W$8))</f>
        <v>28</v>
      </c>
      <c r="BA533" s="56">
        <f>IF($AS533=1,IF(COUNTIFS($A$6:$A533,$A533,$AS$6:$AS533,1)=1,1,0),0)</f>
        <v>0</v>
      </c>
      <c r="BB533" s="55" t="str">
        <f>IF($BA533=1,SUMIFS($Q$6:$Q$1005,$A$6:$A$1005,$A533,$AS$6:$AS$1005,1),"")</f>
        <v/>
      </c>
      <c r="BC533" s="56">
        <f>IF(ISNUMBER($R533),1,0)</f>
        <v>0</v>
      </c>
      <c r="BD533" s="55" t="str">
        <f>IF(ISNUMBER($U533),$U533*$V533,"")</f>
        <v/>
      </c>
      <c r="BE533" s="56" t="str">
        <f>IF($AM533=0,"",IFERROR(MATCH($AF533&amp;"|"&amp;UPPER(TRIM($E533)),Lists!$A$6:$A$205,0),0))</f>
        <v/>
      </c>
      <c r="BF533" s="56" t="str">
        <f>IF($AM533=0,"",IFERROR(MATCH($AF533,Settings!$B$14:$B$18,0),IFERROR(MATCH(Settings!$C$6,Settings!$B$14:$B$18,0),1)))</f>
        <v/>
      </c>
      <c r="BG533" s="58" t="str">
        <f>IF($AM533=0,"",IF(NOT(ISNUMBER($I533)),"No stop; ","")&amp;IF(AND(ISNUMBER($H533),ISNUMBER($I533)),IF(OR(AND($F533&lt;&gt;"Short",$I533&gt;=$H533),AND($F533="Short",$I533&lt;=$H533)),"Stop on wrong side; ",""),"")&amp;IF($F533="","No direction; ","")&amp;IF(AND(ISNUMBER(Settings!$C$22),ISNUMBER($V533)),IF($V533&gt;Settings!$C$22,"Risk over max $; ",""),"")&amp;IF(AND(ISNUMBER(Settings!$C$23),ISNUMBER($V533),ISNUMBER($AP533),IFERROR(N(INDEX(Accounts!$E$7:$E$16,MATCH($C533,Accounts!$B$7:$B$16,0))),0)&gt;0),IF($V533&gt;Settings!$C$23*($AP533-N($Q533)),"Risk over max %; ",""),"")&amp;IF(AND(ISNUMBER(Settings!$C$24),ISNUMBER($N533)),IF($N533&gt;Settings!$C$24,"Leverage over max; ",""),"")&amp;IF(AND(ISNUMBER(Settings!$C$27),ISNUMBER($T533)),IF($T533&lt;Settings!$C$27,"R:R below min; ",""),"")&amp;IF(ISNUMBER(Settings!$C$25),IF(COUNTIFS($A$6:$A533,$A533,$AM$6:$AM533,1)&gt;Settings!$C$25,"Over max trades/day; ",""),"")&amp;IF(ISNUMBER(Settings!$C$26),IF(SUMIFS($Q$5:$Q532,$A$5:$A532,$A533)&lt;=-Settings!$C$26,"Traded after daily max loss; ",""),"")&amp;IF(AND($AG533="",NOT(ISNUMBER($O533))),"Symbol not in Instruments; ","")&amp;IF(AND($AH533="",NOT(ISNUMBER($O533))),"Forex cross: type Gross P&amp;L; ",""))</f>
        <v/>
      </c>
      <c r="BH533" s="56">
        <f>IF(ISNUMBER($Q533),1,0)</f>
        <v>0</v>
      </c>
      <c r="BI533" s="56">
        <f>IF($Y533="",0,1)</f>
        <v>0</v>
      </c>
      <c r="BJ533" s="56">
        <f>IF($AB533="",0,1)</f>
        <v>0</v>
      </c>
      <c r="BK533" s="56">
        <f>IF(AND($BH533=1,$W533&lt;&gt;"OK"),1,0)</f>
        <v>0</v>
      </c>
      <c r="BL533" s="55">
        <f>IF(N($AZ533)=0,0,IFERROR(INDEX($AT$6:$AT$1005,MATCH($AZ533,$AY$6:$AY$1005,0)),0))</f>
        <v>1187.10688</v>
      </c>
      <c r="BM533" s="56">
        <f>IF(ISNUMBER(SEARCH("daily max loss",$BG533)),1,0)</f>
        <v>0</v>
      </c>
    </row>
    <row r="534" ht="18" customHeight="1">
      <c r="A534" s="38" t="n"/>
      <c r="B534" s="39" t="n"/>
      <c r="C534" s="40" t="n"/>
      <c r="D534" s="41" t="n"/>
      <c r="E534" s="41" t="n"/>
      <c r="F534" s="41" t="n"/>
      <c r="G534" s="41" t="n"/>
      <c r="H534" s="42" t="n"/>
      <c r="I534" s="42" t="n"/>
      <c r="J534" s="42" t="n"/>
      <c r="K534" s="42" t="n"/>
      <c r="L534" s="41" t="n"/>
      <c r="M534" s="41" t="n"/>
      <c r="N534" s="41" t="n"/>
      <c r="O534" s="43" t="n"/>
      <c r="P534" s="43" t="n"/>
      <c r="Q534" s="44" t="str">
        <f>IF($AM534=0,"",IF(ISNUMBER($AK534),$AK534-N($AL534),""))</f>
        <v/>
      </c>
      <c r="R534" s="45" t="str">
        <f>IF(OR($Q534="",NOT(ISNUMBER($V534))),"",$AK534/$V534)</f>
        <v/>
      </c>
      <c r="S534" s="46" t="str">
        <f>IF($Q534="","",IF(AND(ISNUMBER($R534),ABS(N($R534))&lt;N(Settings!$C$8)),"Scratch",IF($Q534&gt;0,"Win",IF($Q534&lt;0,"Loss","Scratch"))))</f>
        <v/>
      </c>
      <c r="T534" s="47" t="str">
        <f>IF(OR($AM534=0,NOT(ISNUMBER($H534)),NOT(ISNUMBER($I534)),NOT(ISNUMBER($J534))),"",IF($H534=$I534,"",ROUND(ABS($J534-$H534)/ABS($H534-$I534),6)))</f>
        <v/>
      </c>
      <c r="U534" s="48" t="str">
        <f>IF(OR($S534&lt;&gt;"Win",NOT(ISNUMBER($T534)),NOT(ISNUMBER($R534))),"",MAX(0,$T534-$R534))</f>
        <v/>
      </c>
      <c r="V534" s="49" t="str">
        <f>IF(OR($AM534=0,NOT(ISNUMBER($H534)),NOT(ISNUMBER($I534)),NOT(ISNUMBER($G534))),"",IF(OR($AG534="",$AH534=""),"",IF(ROUND(ABS($H534-$I534)*ABS($G534)*$AG534*$AH534,6)=0,"",ROUND(ABS($H534-$I534)*ABS($G534)*$AG534*$AH534,6))))</f>
        <v/>
      </c>
      <c r="W534" s="50" t="str">
        <f>IF($AM534=0,"",IF($BG534="","OK",LEFT($BG534,LEN($BG534)-2)))</f>
        <v/>
      </c>
      <c r="X534" s="41" t="n"/>
      <c r="Y534" s="40" t="n"/>
      <c r="Z534" s="41" t="n"/>
      <c r="AA534" s="41" t="n"/>
      <c r="AB534" s="40" t="n"/>
      <c r="AC534" s="51" t="n"/>
      <c r="AD534" s="51" t="n"/>
      <c r="AE534" s="40" t="n"/>
      <c r="AF534" s="52" t="str">
        <f>IF($AM534=0,"",IF($D534&lt;&gt;"",$D534,IF(IFERROR(INDEX(Accounts!$C$7:$C$16,MATCH($C534,Accounts!$B$7:$B$16,0))&amp;"","")&lt;&gt;"",INDEX(Accounts!$C$7:$C$16,MATCH($C534,Accounts!$B$7:$B$16,0)),Settings!$C$6)))</f>
        <v/>
      </c>
      <c r="AG534" s="53" t="str">
        <f>IF($AM534=0,"",IF(AND($BE534&gt;0,N(INDEX(Instruments!$D$6:$D$205,MAX(1,$BE534)))&gt;0),INDEX(Instruments!$D$6:$D$205,MAX(1,$BE534)),IF(N(INDEX(Settings!$D$14:$D$18,$BF534))&gt;0,INDEX(Settings!$D$14:$D$18,$BF534),"")))</f>
        <v/>
      </c>
      <c r="AH534" s="54" t="str">
        <f>IF($AM534=0,"",IF($AF534&lt;&gt;"Forex",1,IF(MID(UPPER(SUBSTITUTE(TRIM($E534),"/","")),4,3)=UPPER(TRIM(Settings!$C$7)),1,IF(LEFT(UPPER(SUBSTITUTE(TRIM($E534),"/","")),3)=UPPER(TRIM(Settings!$C$7)),IF(AND(ISNUMBER($K534),N($K534)&lt;&gt;0),1/$K534,""),""))))</f>
        <v/>
      </c>
      <c r="AI534" s="55" t="str">
        <f>IF($AM534=0,"",IF(OR(NOT(ISNUMBER($H534)),NOT(ISNUMBER($K534)),NOT(ISNUMBER($G534)),$AG534="",$AH534=""),"",ROUND(($K534-$H534)*IF($F534="Short",-1,1)*$G534*$AG534*$AH534,6)))</f>
        <v/>
      </c>
      <c r="AJ534" s="55" t="str">
        <f>IF($AM534=0,"",IF(INDEX(Settings!$E$14:$E$18,$BF534)="% of notional",IF(OR($AG534="",NOT(ISNUMBER($H534)),NOT(ISNUMBER($G534))),"",ROUND(ABS($H534*$G534*$AG534*N($AH534))*IF($L534="Limit",N(INDEX(Settings!$G$14:$G$18,$BF534)),N(INDEX(Settings!$H$14:$H$18,$BF534)))+IF(ISNUMBER($K534),ABS($K534*$G534*$AG534*N($AH534))*IF($M534="Target",N(INDEX(Settings!$G$14:$G$18,$BF534)),N(INDEX(Settings!$H$14:$H$18,$BF534))),0),6)),IF(NOT(ISNUMBER($G534)),"",ROUND(ABS($G534)*2*IF(AND($BE534&gt;0,ISNUMBER(INDEX(Instruments!$G$6:$G$205,MAX(1,$BE534)))),INDEX(Instruments!$G$6:$G$205,MAX(1,$BE534)),N(INDEX(Settings!$F$14:$F$18,$BF534))),6))))</f>
        <v/>
      </c>
      <c r="AK534" s="55" t="str">
        <f>IF($AM534=0,"",IF(ISNUMBER($O534),$O534,$AI534))</f>
        <v/>
      </c>
      <c r="AL534" s="55" t="str">
        <f>IF($AM534=0,"",IF(ISNUMBER($P534),$P534,N($AJ534)))</f>
        <v/>
      </c>
      <c r="AM534" s="56">
        <f>IF(AND($A534&lt;&gt;"",$E534&lt;&gt;"",OR(AND(ISNUMBER($G534),ISNUMBER($H534),ISNUMBER($K534)),ISNUMBER($O534))),1,0)</f>
        <v>0</v>
      </c>
      <c r="AN534" s="57" t="str">
        <f>IF($A534="","",$A534-WEEKDAY($A534,3))</f>
        <v/>
      </c>
      <c r="AO534" s="56" t="str">
        <f>IF($A534="","",WEEKDAY($A534,2))</f>
        <v/>
      </c>
      <c r="AP534" s="55" t="str">
        <f>IF(OR($AM534=0,$C534=""),"",IFERROR(N(INDEX(Accounts!$E$7:$E$16,MATCH($C534,Accounts!$B$7:$B$16,0))),0)+SUMIFS($Q$6:$Q534,$C$6:$C534,$C534))</f>
        <v/>
      </c>
      <c r="AQ534" s="55" t="str">
        <f>IF(OR($AM534=0,$C534=""),"",SUMIFS($Q$6:$Q$1005,$C$6:$C$1005,$C534,$A$6:$A$1005,$A534))</f>
        <v/>
      </c>
      <c r="AR534" s="55" t="str">
        <f>IF(OR($AM534=0,$C534=""),"",IFERROR(N(INDEX(Accounts!$E$7:$E$16,MATCH($C534,Accounts!$B$7:$B$16,0))),0)+SUMIFS($Q$6:$Q$1005,$C$6:$C$1005,$C534,$A$6:$A$1005,"&lt;="&amp;$A534))</f>
        <v/>
      </c>
      <c r="AS534" s="56">
        <f>IF(OR($AM534=0,$Q534=""),0,IF(AND($A534&gt;=Lists!$W$6,$A534&lt;=Lists!$W$7,OR(Dashboard!$D$6="All accounts",$C534=Dashboard!$D$6),OR(Dashboard!$D$7="All markets",$AF534=Dashboard!$D$7)),1,0))</f>
        <v>0</v>
      </c>
      <c r="AT534" s="55">
        <f>IF($AS534=1,N(AT533)+$Q534,N(AT533))</f>
        <v>1187.10688</v>
      </c>
      <c r="AU534" s="55">
        <f>MAX(N(AU533),$AT534)</f>
        <v>1187.10688</v>
      </c>
      <c r="AV534" s="55">
        <f>$AT534-$AU534</f>
        <v>0</v>
      </c>
      <c r="AW534" s="56">
        <f>IF($AS534=1,IF($S534="Win",N(AW533)+1,IF($S534="Loss",0,N(AW533))),N(AW533))</f>
        <v>5</v>
      </c>
      <c r="AX534" s="56">
        <f>IF($AS534=1,IF($S534="Loss",N(AX533)+1,IF($S534="Win",0,N(AX533))),N(AX533))</f>
        <v>0</v>
      </c>
      <c r="AY534" s="56" t="str">
        <f>IF($AS534=1,COUNTIF($AS$6:$AS534,1),"")</f>
        <v/>
      </c>
      <c r="AZ534" s="56">
        <f>MIN(528,N(Lists!$W$8))</f>
        <v>28</v>
      </c>
      <c r="BA534" s="56">
        <f>IF($AS534=1,IF(COUNTIFS($A$6:$A534,$A534,$AS$6:$AS534,1)=1,1,0),0)</f>
        <v>0</v>
      </c>
      <c r="BB534" s="55" t="str">
        <f>IF($BA534=1,SUMIFS($Q$6:$Q$1005,$A$6:$A$1005,$A534,$AS$6:$AS$1005,1),"")</f>
        <v/>
      </c>
      <c r="BC534" s="56">
        <f>IF(ISNUMBER($R534),1,0)</f>
        <v>0</v>
      </c>
      <c r="BD534" s="55" t="str">
        <f>IF(ISNUMBER($U534),$U534*$V534,"")</f>
        <v/>
      </c>
      <c r="BE534" s="56" t="str">
        <f>IF($AM534=0,"",IFERROR(MATCH($AF534&amp;"|"&amp;UPPER(TRIM($E534)),Lists!$A$6:$A$205,0),0))</f>
        <v/>
      </c>
      <c r="BF534" s="56" t="str">
        <f>IF($AM534=0,"",IFERROR(MATCH($AF534,Settings!$B$14:$B$18,0),IFERROR(MATCH(Settings!$C$6,Settings!$B$14:$B$18,0),1)))</f>
        <v/>
      </c>
      <c r="BG534" s="58" t="str">
        <f>IF($AM534=0,"",IF(NOT(ISNUMBER($I534)),"No stop; ","")&amp;IF(AND(ISNUMBER($H534),ISNUMBER($I534)),IF(OR(AND($F534&lt;&gt;"Short",$I534&gt;=$H534),AND($F534="Short",$I534&lt;=$H534)),"Stop on wrong side; ",""),"")&amp;IF($F534="","No direction; ","")&amp;IF(AND(ISNUMBER(Settings!$C$22),ISNUMBER($V534)),IF($V534&gt;Settings!$C$22,"Risk over max $; ",""),"")&amp;IF(AND(ISNUMBER(Settings!$C$23),ISNUMBER($V534),ISNUMBER($AP534),IFERROR(N(INDEX(Accounts!$E$7:$E$16,MATCH($C534,Accounts!$B$7:$B$16,0))),0)&gt;0),IF($V534&gt;Settings!$C$23*($AP534-N($Q534)),"Risk over max %; ",""),"")&amp;IF(AND(ISNUMBER(Settings!$C$24),ISNUMBER($N534)),IF($N534&gt;Settings!$C$24,"Leverage over max; ",""),"")&amp;IF(AND(ISNUMBER(Settings!$C$27),ISNUMBER($T534)),IF($T534&lt;Settings!$C$27,"R:R below min; ",""),"")&amp;IF(ISNUMBER(Settings!$C$25),IF(COUNTIFS($A$6:$A534,$A534,$AM$6:$AM534,1)&gt;Settings!$C$25,"Over max trades/day; ",""),"")&amp;IF(ISNUMBER(Settings!$C$26),IF(SUMIFS($Q$5:$Q533,$A$5:$A533,$A534)&lt;=-Settings!$C$26,"Traded after daily max loss; ",""),"")&amp;IF(AND($AG534="",NOT(ISNUMBER($O534))),"Symbol not in Instruments; ","")&amp;IF(AND($AH534="",NOT(ISNUMBER($O534))),"Forex cross: type Gross P&amp;L; ",""))</f>
        <v/>
      </c>
      <c r="BH534" s="56">
        <f>IF(ISNUMBER($Q534),1,0)</f>
        <v>0</v>
      </c>
      <c r="BI534" s="56">
        <f>IF($Y534="",0,1)</f>
        <v>0</v>
      </c>
      <c r="BJ534" s="56">
        <f>IF($AB534="",0,1)</f>
        <v>0</v>
      </c>
      <c r="BK534" s="56">
        <f>IF(AND($BH534=1,$W534&lt;&gt;"OK"),1,0)</f>
        <v>0</v>
      </c>
      <c r="BL534" s="55">
        <f>IF(N($AZ534)=0,0,IFERROR(INDEX($AT$6:$AT$1005,MATCH($AZ534,$AY$6:$AY$1005,0)),0))</f>
        <v>1187.10688</v>
      </c>
      <c r="BM534" s="56">
        <f>IF(ISNUMBER(SEARCH("daily max loss",$BG534)),1,0)</f>
        <v>0</v>
      </c>
    </row>
    <row r="535" ht="18" customHeight="1">
      <c r="A535" s="38" t="n"/>
      <c r="B535" s="39" t="n"/>
      <c r="C535" s="40" t="n"/>
      <c r="D535" s="41" t="n"/>
      <c r="E535" s="41" t="n"/>
      <c r="F535" s="41" t="n"/>
      <c r="G535" s="41" t="n"/>
      <c r="H535" s="42" t="n"/>
      <c r="I535" s="42" t="n"/>
      <c r="J535" s="42" t="n"/>
      <c r="K535" s="42" t="n"/>
      <c r="L535" s="41" t="n"/>
      <c r="M535" s="41" t="n"/>
      <c r="N535" s="41" t="n"/>
      <c r="O535" s="43" t="n"/>
      <c r="P535" s="43" t="n"/>
      <c r="Q535" s="44" t="str">
        <f>IF($AM535=0,"",IF(ISNUMBER($AK535),$AK535-N($AL535),""))</f>
        <v/>
      </c>
      <c r="R535" s="45" t="str">
        <f>IF(OR($Q535="",NOT(ISNUMBER($V535))),"",$AK535/$V535)</f>
        <v/>
      </c>
      <c r="S535" s="46" t="str">
        <f>IF($Q535="","",IF(AND(ISNUMBER($R535),ABS(N($R535))&lt;N(Settings!$C$8)),"Scratch",IF($Q535&gt;0,"Win",IF($Q535&lt;0,"Loss","Scratch"))))</f>
        <v/>
      </c>
      <c r="T535" s="47" t="str">
        <f>IF(OR($AM535=0,NOT(ISNUMBER($H535)),NOT(ISNUMBER($I535)),NOT(ISNUMBER($J535))),"",IF($H535=$I535,"",ROUND(ABS($J535-$H535)/ABS($H535-$I535),6)))</f>
        <v/>
      </c>
      <c r="U535" s="48" t="str">
        <f>IF(OR($S535&lt;&gt;"Win",NOT(ISNUMBER($T535)),NOT(ISNUMBER($R535))),"",MAX(0,$T535-$R535))</f>
        <v/>
      </c>
      <c r="V535" s="49" t="str">
        <f>IF(OR($AM535=0,NOT(ISNUMBER($H535)),NOT(ISNUMBER($I535)),NOT(ISNUMBER($G535))),"",IF(OR($AG535="",$AH535=""),"",IF(ROUND(ABS($H535-$I535)*ABS($G535)*$AG535*$AH535,6)=0,"",ROUND(ABS($H535-$I535)*ABS($G535)*$AG535*$AH535,6))))</f>
        <v/>
      </c>
      <c r="W535" s="50" t="str">
        <f>IF($AM535=0,"",IF($BG535="","OK",LEFT($BG535,LEN($BG535)-2)))</f>
        <v/>
      </c>
      <c r="X535" s="41" t="n"/>
      <c r="Y535" s="40" t="n"/>
      <c r="Z535" s="41" t="n"/>
      <c r="AA535" s="41" t="n"/>
      <c r="AB535" s="40" t="n"/>
      <c r="AC535" s="51" t="n"/>
      <c r="AD535" s="51" t="n"/>
      <c r="AE535" s="40" t="n"/>
      <c r="AF535" s="52" t="str">
        <f>IF($AM535=0,"",IF($D535&lt;&gt;"",$D535,IF(IFERROR(INDEX(Accounts!$C$7:$C$16,MATCH($C535,Accounts!$B$7:$B$16,0))&amp;"","")&lt;&gt;"",INDEX(Accounts!$C$7:$C$16,MATCH($C535,Accounts!$B$7:$B$16,0)),Settings!$C$6)))</f>
        <v/>
      </c>
      <c r="AG535" s="53" t="str">
        <f>IF($AM535=0,"",IF(AND($BE535&gt;0,N(INDEX(Instruments!$D$6:$D$205,MAX(1,$BE535)))&gt;0),INDEX(Instruments!$D$6:$D$205,MAX(1,$BE535)),IF(N(INDEX(Settings!$D$14:$D$18,$BF535))&gt;0,INDEX(Settings!$D$14:$D$18,$BF535),"")))</f>
        <v/>
      </c>
      <c r="AH535" s="54" t="str">
        <f>IF($AM535=0,"",IF($AF535&lt;&gt;"Forex",1,IF(MID(UPPER(SUBSTITUTE(TRIM($E535),"/","")),4,3)=UPPER(TRIM(Settings!$C$7)),1,IF(LEFT(UPPER(SUBSTITUTE(TRIM($E535),"/","")),3)=UPPER(TRIM(Settings!$C$7)),IF(AND(ISNUMBER($K535),N($K535)&lt;&gt;0),1/$K535,""),""))))</f>
        <v/>
      </c>
      <c r="AI535" s="55" t="str">
        <f>IF($AM535=0,"",IF(OR(NOT(ISNUMBER($H535)),NOT(ISNUMBER($K535)),NOT(ISNUMBER($G535)),$AG535="",$AH535=""),"",ROUND(($K535-$H535)*IF($F535="Short",-1,1)*$G535*$AG535*$AH535,6)))</f>
        <v/>
      </c>
      <c r="AJ535" s="55" t="str">
        <f>IF($AM535=0,"",IF(INDEX(Settings!$E$14:$E$18,$BF535)="% of notional",IF(OR($AG535="",NOT(ISNUMBER($H535)),NOT(ISNUMBER($G535))),"",ROUND(ABS($H535*$G535*$AG535*N($AH535))*IF($L535="Limit",N(INDEX(Settings!$G$14:$G$18,$BF535)),N(INDEX(Settings!$H$14:$H$18,$BF535)))+IF(ISNUMBER($K535),ABS($K535*$G535*$AG535*N($AH535))*IF($M535="Target",N(INDEX(Settings!$G$14:$G$18,$BF535)),N(INDEX(Settings!$H$14:$H$18,$BF535))),0),6)),IF(NOT(ISNUMBER($G535)),"",ROUND(ABS($G535)*2*IF(AND($BE535&gt;0,ISNUMBER(INDEX(Instruments!$G$6:$G$205,MAX(1,$BE535)))),INDEX(Instruments!$G$6:$G$205,MAX(1,$BE535)),N(INDEX(Settings!$F$14:$F$18,$BF535))),6))))</f>
        <v/>
      </c>
      <c r="AK535" s="55" t="str">
        <f>IF($AM535=0,"",IF(ISNUMBER($O535),$O535,$AI535))</f>
        <v/>
      </c>
      <c r="AL535" s="55" t="str">
        <f>IF($AM535=0,"",IF(ISNUMBER($P535),$P535,N($AJ535)))</f>
        <v/>
      </c>
      <c r="AM535" s="56">
        <f>IF(AND($A535&lt;&gt;"",$E535&lt;&gt;"",OR(AND(ISNUMBER($G535),ISNUMBER($H535),ISNUMBER($K535)),ISNUMBER($O535))),1,0)</f>
        <v>0</v>
      </c>
      <c r="AN535" s="57" t="str">
        <f>IF($A535="","",$A535-WEEKDAY($A535,3))</f>
        <v/>
      </c>
      <c r="AO535" s="56" t="str">
        <f>IF($A535="","",WEEKDAY($A535,2))</f>
        <v/>
      </c>
      <c r="AP535" s="55" t="str">
        <f>IF(OR($AM535=0,$C535=""),"",IFERROR(N(INDEX(Accounts!$E$7:$E$16,MATCH($C535,Accounts!$B$7:$B$16,0))),0)+SUMIFS($Q$6:$Q535,$C$6:$C535,$C535))</f>
        <v/>
      </c>
      <c r="AQ535" s="55" t="str">
        <f>IF(OR($AM535=0,$C535=""),"",SUMIFS($Q$6:$Q$1005,$C$6:$C$1005,$C535,$A$6:$A$1005,$A535))</f>
        <v/>
      </c>
      <c r="AR535" s="55" t="str">
        <f>IF(OR($AM535=0,$C535=""),"",IFERROR(N(INDEX(Accounts!$E$7:$E$16,MATCH($C535,Accounts!$B$7:$B$16,0))),0)+SUMIFS($Q$6:$Q$1005,$C$6:$C$1005,$C535,$A$6:$A$1005,"&lt;="&amp;$A535))</f>
        <v/>
      </c>
      <c r="AS535" s="56">
        <f>IF(OR($AM535=0,$Q535=""),0,IF(AND($A535&gt;=Lists!$W$6,$A535&lt;=Lists!$W$7,OR(Dashboard!$D$6="All accounts",$C535=Dashboard!$D$6),OR(Dashboard!$D$7="All markets",$AF535=Dashboard!$D$7)),1,0))</f>
        <v>0</v>
      </c>
      <c r="AT535" s="55">
        <f>IF($AS535=1,N(AT534)+$Q535,N(AT534))</f>
        <v>1187.10688</v>
      </c>
      <c r="AU535" s="55">
        <f>MAX(N(AU534),$AT535)</f>
        <v>1187.10688</v>
      </c>
      <c r="AV535" s="55">
        <f>$AT535-$AU535</f>
        <v>0</v>
      </c>
      <c r="AW535" s="56">
        <f>IF($AS535=1,IF($S535="Win",N(AW534)+1,IF($S535="Loss",0,N(AW534))),N(AW534))</f>
        <v>5</v>
      </c>
      <c r="AX535" s="56">
        <f>IF($AS535=1,IF($S535="Loss",N(AX534)+1,IF($S535="Win",0,N(AX534))),N(AX534))</f>
        <v>0</v>
      </c>
      <c r="AY535" s="56" t="str">
        <f>IF($AS535=1,COUNTIF($AS$6:$AS535,1),"")</f>
        <v/>
      </c>
      <c r="AZ535" s="56">
        <f>MIN(529,N(Lists!$W$8))</f>
        <v>28</v>
      </c>
      <c r="BA535" s="56">
        <f>IF($AS535=1,IF(COUNTIFS($A$6:$A535,$A535,$AS$6:$AS535,1)=1,1,0),0)</f>
        <v>0</v>
      </c>
      <c r="BB535" s="55" t="str">
        <f>IF($BA535=1,SUMIFS($Q$6:$Q$1005,$A$6:$A$1005,$A535,$AS$6:$AS$1005,1),"")</f>
        <v/>
      </c>
      <c r="BC535" s="56">
        <f>IF(ISNUMBER($R535),1,0)</f>
        <v>0</v>
      </c>
      <c r="BD535" s="55" t="str">
        <f>IF(ISNUMBER($U535),$U535*$V535,"")</f>
        <v/>
      </c>
      <c r="BE535" s="56" t="str">
        <f>IF($AM535=0,"",IFERROR(MATCH($AF535&amp;"|"&amp;UPPER(TRIM($E535)),Lists!$A$6:$A$205,0),0))</f>
        <v/>
      </c>
      <c r="BF535" s="56" t="str">
        <f>IF($AM535=0,"",IFERROR(MATCH($AF535,Settings!$B$14:$B$18,0),IFERROR(MATCH(Settings!$C$6,Settings!$B$14:$B$18,0),1)))</f>
        <v/>
      </c>
      <c r="BG535" s="58" t="str">
        <f>IF($AM535=0,"",IF(NOT(ISNUMBER($I535)),"No stop; ","")&amp;IF(AND(ISNUMBER($H535),ISNUMBER($I535)),IF(OR(AND($F535&lt;&gt;"Short",$I535&gt;=$H535),AND($F535="Short",$I535&lt;=$H535)),"Stop on wrong side; ",""),"")&amp;IF($F535="","No direction; ","")&amp;IF(AND(ISNUMBER(Settings!$C$22),ISNUMBER($V535)),IF($V535&gt;Settings!$C$22,"Risk over max $; ",""),"")&amp;IF(AND(ISNUMBER(Settings!$C$23),ISNUMBER($V535),ISNUMBER($AP535),IFERROR(N(INDEX(Accounts!$E$7:$E$16,MATCH($C535,Accounts!$B$7:$B$16,0))),0)&gt;0),IF($V535&gt;Settings!$C$23*($AP535-N($Q535)),"Risk over max %; ",""),"")&amp;IF(AND(ISNUMBER(Settings!$C$24),ISNUMBER($N535)),IF($N535&gt;Settings!$C$24,"Leverage over max; ",""),"")&amp;IF(AND(ISNUMBER(Settings!$C$27),ISNUMBER($T535)),IF($T535&lt;Settings!$C$27,"R:R below min; ",""),"")&amp;IF(ISNUMBER(Settings!$C$25),IF(COUNTIFS($A$6:$A535,$A535,$AM$6:$AM535,1)&gt;Settings!$C$25,"Over max trades/day; ",""),"")&amp;IF(ISNUMBER(Settings!$C$26),IF(SUMIFS($Q$5:$Q534,$A$5:$A534,$A535)&lt;=-Settings!$C$26,"Traded after daily max loss; ",""),"")&amp;IF(AND($AG535="",NOT(ISNUMBER($O535))),"Symbol not in Instruments; ","")&amp;IF(AND($AH535="",NOT(ISNUMBER($O535))),"Forex cross: type Gross P&amp;L; ",""))</f>
        <v/>
      </c>
      <c r="BH535" s="56">
        <f>IF(ISNUMBER($Q535),1,0)</f>
        <v>0</v>
      </c>
      <c r="BI535" s="56">
        <f>IF($Y535="",0,1)</f>
        <v>0</v>
      </c>
      <c r="BJ535" s="56">
        <f>IF($AB535="",0,1)</f>
        <v>0</v>
      </c>
      <c r="BK535" s="56">
        <f>IF(AND($BH535=1,$W535&lt;&gt;"OK"),1,0)</f>
        <v>0</v>
      </c>
      <c r="BL535" s="55">
        <f>IF(N($AZ535)=0,0,IFERROR(INDEX($AT$6:$AT$1005,MATCH($AZ535,$AY$6:$AY$1005,0)),0))</f>
        <v>1187.10688</v>
      </c>
      <c r="BM535" s="56">
        <f>IF(ISNUMBER(SEARCH("daily max loss",$BG535)),1,0)</f>
        <v>0</v>
      </c>
    </row>
    <row r="536" ht="18" customHeight="1">
      <c r="A536" s="38" t="n"/>
      <c r="B536" s="39" t="n"/>
      <c r="C536" s="40" t="n"/>
      <c r="D536" s="41" t="n"/>
      <c r="E536" s="41" t="n"/>
      <c r="F536" s="41" t="n"/>
      <c r="G536" s="41" t="n"/>
      <c r="H536" s="42" t="n"/>
      <c r="I536" s="42" t="n"/>
      <c r="J536" s="42" t="n"/>
      <c r="K536" s="42" t="n"/>
      <c r="L536" s="41" t="n"/>
      <c r="M536" s="41" t="n"/>
      <c r="N536" s="41" t="n"/>
      <c r="O536" s="43" t="n"/>
      <c r="P536" s="43" t="n"/>
      <c r="Q536" s="44" t="str">
        <f>IF($AM536=0,"",IF(ISNUMBER($AK536),$AK536-N($AL536),""))</f>
        <v/>
      </c>
      <c r="R536" s="45" t="str">
        <f>IF(OR($Q536="",NOT(ISNUMBER($V536))),"",$AK536/$V536)</f>
        <v/>
      </c>
      <c r="S536" s="46" t="str">
        <f>IF($Q536="","",IF(AND(ISNUMBER($R536),ABS(N($R536))&lt;N(Settings!$C$8)),"Scratch",IF($Q536&gt;0,"Win",IF($Q536&lt;0,"Loss","Scratch"))))</f>
        <v/>
      </c>
      <c r="T536" s="47" t="str">
        <f>IF(OR($AM536=0,NOT(ISNUMBER($H536)),NOT(ISNUMBER($I536)),NOT(ISNUMBER($J536))),"",IF($H536=$I536,"",ROUND(ABS($J536-$H536)/ABS($H536-$I536),6)))</f>
        <v/>
      </c>
      <c r="U536" s="48" t="str">
        <f>IF(OR($S536&lt;&gt;"Win",NOT(ISNUMBER($T536)),NOT(ISNUMBER($R536))),"",MAX(0,$T536-$R536))</f>
        <v/>
      </c>
      <c r="V536" s="49" t="str">
        <f>IF(OR($AM536=0,NOT(ISNUMBER($H536)),NOT(ISNUMBER($I536)),NOT(ISNUMBER($G536))),"",IF(OR($AG536="",$AH536=""),"",IF(ROUND(ABS($H536-$I536)*ABS($G536)*$AG536*$AH536,6)=0,"",ROUND(ABS($H536-$I536)*ABS($G536)*$AG536*$AH536,6))))</f>
        <v/>
      </c>
      <c r="W536" s="50" t="str">
        <f>IF($AM536=0,"",IF($BG536="","OK",LEFT($BG536,LEN($BG536)-2)))</f>
        <v/>
      </c>
      <c r="X536" s="41" t="n"/>
      <c r="Y536" s="40" t="n"/>
      <c r="Z536" s="41" t="n"/>
      <c r="AA536" s="41" t="n"/>
      <c r="AB536" s="40" t="n"/>
      <c r="AC536" s="51" t="n"/>
      <c r="AD536" s="51" t="n"/>
      <c r="AE536" s="40" t="n"/>
      <c r="AF536" s="52" t="str">
        <f>IF($AM536=0,"",IF($D536&lt;&gt;"",$D536,IF(IFERROR(INDEX(Accounts!$C$7:$C$16,MATCH($C536,Accounts!$B$7:$B$16,0))&amp;"","")&lt;&gt;"",INDEX(Accounts!$C$7:$C$16,MATCH($C536,Accounts!$B$7:$B$16,0)),Settings!$C$6)))</f>
        <v/>
      </c>
      <c r="AG536" s="53" t="str">
        <f>IF($AM536=0,"",IF(AND($BE536&gt;0,N(INDEX(Instruments!$D$6:$D$205,MAX(1,$BE536)))&gt;0),INDEX(Instruments!$D$6:$D$205,MAX(1,$BE536)),IF(N(INDEX(Settings!$D$14:$D$18,$BF536))&gt;0,INDEX(Settings!$D$14:$D$18,$BF536),"")))</f>
        <v/>
      </c>
      <c r="AH536" s="54" t="str">
        <f>IF($AM536=0,"",IF($AF536&lt;&gt;"Forex",1,IF(MID(UPPER(SUBSTITUTE(TRIM($E536),"/","")),4,3)=UPPER(TRIM(Settings!$C$7)),1,IF(LEFT(UPPER(SUBSTITUTE(TRIM($E536),"/","")),3)=UPPER(TRIM(Settings!$C$7)),IF(AND(ISNUMBER($K536),N($K536)&lt;&gt;0),1/$K536,""),""))))</f>
        <v/>
      </c>
      <c r="AI536" s="55" t="str">
        <f>IF($AM536=0,"",IF(OR(NOT(ISNUMBER($H536)),NOT(ISNUMBER($K536)),NOT(ISNUMBER($G536)),$AG536="",$AH536=""),"",ROUND(($K536-$H536)*IF($F536="Short",-1,1)*$G536*$AG536*$AH536,6)))</f>
        <v/>
      </c>
      <c r="AJ536" s="55" t="str">
        <f>IF($AM536=0,"",IF(INDEX(Settings!$E$14:$E$18,$BF536)="% of notional",IF(OR($AG536="",NOT(ISNUMBER($H536)),NOT(ISNUMBER($G536))),"",ROUND(ABS($H536*$G536*$AG536*N($AH536))*IF($L536="Limit",N(INDEX(Settings!$G$14:$G$18,$BF536)),N(INDEX(Settings!$H$14:$H$18,$BF536)))+IF(ISNUMBER($K536),ABS($K536*$G536*$AG536*N($AH536))*IF($M536="Target",N(INDEX(Settings!$G$14:$G$18,$BF536)),N(INDEX(Settings!$H$14:$H$18,$BF536))),0),6)),IF(NOT(ISNUMBER($G536)),"",ROUND(ABS($G536)*2*IF(AND($BE536&gt;0,ISNUMBER(INDEX(Instruments!$G$6:$G$205,MAX(1,$BE536)))),INDEX(Instruments!$G$6:$G$205,MAX(1,$BE536)),N(INDEX(Settings!$F$14:$F$18,$BF536))),6))))</f>
        <v/>
      </c>
      <c r="AK536" s="55" t="str">
        <f>IF($AM536=0,"",IF(ISNUMBER($O536),$O536,$AI536))</f>
        <v/>
      </c>
      <c r="AL536" s="55" t="str">
        <f>IF($AM536=0,"",IF(ISNUMBER($P536),$P536,N($AJ536)))</f>
        <v/>
      </c>
      <c r="AM536" s="56">
        <f>IF(AND($A536&lt;&gt;"",$E536&lt;&gt;"",OR(AND(ISNUMBER($G536),ISNUMBER($H536),ISNUMBER($K536)),ISNUMBER($O536))),1,0)</f>
        <v>0</v>
      </c>
      <c r="AN536" s="57" t="str">
        <f>IF($A536="","",$A536-WEEKDAY($A536,3))</f>
        <v/>
      </c>
      <c r="AO536" s="56" t="str">
        <f>IF($A536="","",WEEKDAY($A536,2))</f>
        <v/>
      </c>
      <c r="AP536" s="55" t="str">
        <f>IF(OR($AM536=0,$C536=""),"",IFERROR(N(INDEX(Accounts!$E$7:$E$16,MATCH($C536,Accounts!$B$7:$B$16,0))),0)+SUMIFS($Q$6:$Q536,$C$6:$C536,$C536))</f>
        <v/>
      </c>
      <c r="AQ536" s="55" t="str">
        <f>IF(OR($AM536=0,$C536=""),"",SUMIFS($Q$6:$Q$1005,$C$6:$C$1005,$C536,$A$6:$A$1005,$A536))</f>
        <v/>
      </c>
      <c r="AR536" s="55" t="str">
        <f>IF(OR($AM536=0,$C536=""),"",IFERROR(N(INDEX(Accounts!$E$7:$E$16,MATCH($C536,Accounts!$B$7:$B$16,0))),0)+SUMIFS($Q$6:$Q$1005,$C$6:$C$1005,$C536,$A$6:$A$1005,"&lt;="&amp;$A536))</f>
        <v/>
      </c>
      <c r="AS536" s="56">
        <f>IF(OR($AM536=0,$Q536=""),0,IF(AND($A536&gt;=Lists!$W$6,$A536&lt;=Lists!$W$7,OR(Dashboard!$D$6="All accounts",$C536=Dashboard!$D$6),OR(Dashboard!$D$7="All markets",$AF536=Dashboard!$D$7)),1,0))</f>
        <v>0</v>
      </c>
      <c r="AT536" s="55">
        <f>IF($AS536=1,N(AT535)+$Q536,N(AT535))</f>
        <v>1187.10688</v>
      </c>
      <c r="AU536" s="55">
        <f>MAX(N(AU535),$AT536)</f>
        <v>1187.10688</v>
      </c>
      <c r="AV536" s="55">
        <f>$AT536-$AU536</f>
        <v>0</v>
      </c>
      <c r="AW536" s="56">
        <f>IF($AS536=1,IF($S536="Win",N(AW535)+1,IF($S536="Loss",0,N(AW535))),N(AW535))</f>
        <v>5</v>
      </c>
      <c r="AX536" s="56">
        <f>IF($AS536=1,IF($S536="Loss",N(AX535)+1,IF($S536="Win",0,N(AX535))),N(AX535))</f>
        <v>0</v>
      </c>
      <c r="AY536" s="56" t="str">
        <f>IF($AS536=1,COUNTIF($AS$6:$AS536,1),"")</f>
        <v/>
      </c>
      <c r="AZ536" s="56">
        <f>MIN(530,N(Lists!$W$8))</f>
        <v>28</v>
      </c>
      <c r="BA536" s="56">
        <f>IF($AS536=1,IF(COUNTIFS($A$6:$A536,$A536,$AS$6:$AS536,1)=1,1,0),0)</f>
        <v>0</v>
      </c>
      <c r="BB536" s="55" t="str">
        <f>IF($BA536=1,SUMIFS($Q$6:$Q$1005,$A$6:$A$1005,$A536,$AS$6:$AS$1005,1),"")</f>
        <v/>
      </c>
      <c r="BC536" s="56">
        <f>IF(ISNUMBER($R536),1,0)</f>
        <v>0</v>
      </c>
      <c r="BD536" s="55" t="str">
        <f>IF(ISNUMBER($U536),$U536*$V536,"")</f>
        <v/>
      </c>
      <c r="BE536" s="56" t="str">
        <f>IF($AM536=0,"",IFERROR(MATCH($AF536&amp;"|"&amp;UPPER(TRIM($E536)),Lists!$A$6:$A$205,0),0))</f>
        <v/>
      </c>
      <c r="BF536" s="56" t="str">
        <f>IF($AM536=0,"",IFERROR(MATCH($AF536,Settings!$B$14:$B$18,0),IFERROR(MATCH(Settings!$C$6,Settings!$B$14:$B$18,0),1)))</f>
        <v/>
      </c>
      <c r="BG536" s="58" t="str">
        <f>IF($AM536=0,"",IF(NOT(ISNUMBER($I536)),"No stop; ","")&amp;IF(AND(ISNUMBER($H536),ISNUMBER($I536)),IF(OR(AND($F536&lt;&gt;"Short",$I536&gt;=$H536),AND($F536="Short",$I536&lt;=$H536)),"Stop on wrong side; ",""),"")&amp;IF($F536="","No direction; ","")&amp;IF(AND(ISNUMBER(Settings!$C$22),ISNUMBER($V536)),IF($V536&gt;Settings!$C$22,"Risk over max $; ",""),"")&amp;IF(AND(ISNUMBER(Settings!$C$23),ISNUMBER($V536),ISNUMBER($AP536),IFERROR(N(INDEX(Accounts!$E$7:$E$16,MATCH($C536,Accounts!$B$7:$B$16,0))),0)&gt;0),IF($V536&gt;Settings!$C$23*($AP536-N($Q536)),"Risk over max %; ",""),"")&amp;IF(AND(ISNUMBER(Settings!$C$24),ISNUMBER($N536)),IF($N536&gt;Settings!$C$24,"Leverage over max; ",""),"")&amp;IF(AND(ISNUMBER(Settings!$C$27),ISNUMBER($T536)),IF($T536&lt;Settings!$C$27,"R:R below min; ",""),"")&amp;IF(ISNUMBER(Settings!$C$25),IF(COUNTIFS($A$6:$A536,$A536,$AM$6:$AM536,1)&gt;Settings!$C$25,"Over max trades/day; ",""),"")&amp;IF(ISNUMBER(Settings!$C$26),IF(SUMIFS($Q$5:$Q535,$A$5:$A535,$A536)&lt;=-Settings!$C$26,"Traded after daily max loss; ",""),"")&amp;IF(AND($AG536="",NOT(ISNUMBER($O536))),"Symbol not in Instruments; ","")&amp;IF(AND($AH536="",NOT(ISNUMBER($O536))),"Forex cross: type Gross P&amp;L; ",""))</f>
        <v/>
      </c>
      <c r="BH536" s="56">
        <f>IF(ISNUMBER($Q536),1,0)</f>
        <v>0</v>
      </c>
      <c r="BI536" s="56">
        <f>IF($Y536="",0,1)</f>
        <v>0</v>
      </c>
      <c r="BJ536" s="56">
        <f>IF($AB536="",0,1)</f>
        <v>0</v>
      </c>
      <c r="BK536" s="56">
        <f>IF(AND($BH536=1,$W536&lt;&gt;"OK"),1,0)</f>
        <v>0</v>
      </c>
      <c r="BL536" s="55">
        <f>IF(N($AZ536)=0,0,IFERROR(INDEX($AT$6:$AT$1005,MATCH($AZ536,$AY$6:$AY$1005,0)),0))</f>
        <v>1187.10688</v>
      </c>
      <c r="BM536" s="56">
        <f>IF(ISNUMBER(SEARCH("daily max loss",$BG536)),1,0)</f>
        <v>0</v>
      </c>
    </row>
    <row r="537" ht="18" customHeight="1">
      <c r="A537" s="38" t="n"/>
      <c r="B537" s="39" t="n"/>
      <c r="C537" s="40" t="n"/>
      <c r="D537" s="41" t="n"/>
      <c r="E537" s="41" t="n"/>
      <c r="F537" s="41" t="n"/>
      <c r="G537" s="41" t="n"/>
      <c r="H537" s="42" t="n"/>
      <c r="I537" s="42" t="n"/>
      <c r="J537" s="42" t="n"/>
      <c r="K537" s="42" t="n"/>
      <c r="L537" s="41" t="n"/>
      <c r="M537" s="41" t="n"/>
      <c r="N537" s="41" t="n"/>
      <c r="O537" s="43" t="n"/>
      <c r="P537" s="43" t="n"/>
      <c r="Q537" s="44" t="str">
        <f>IF($AM537=0,"",IF(ISNUMBER($AK537),$AK537-N($AL537),""))</f>
        <v/>
      </c>
      <c r="R537" s="45" t="str">
        <f>IF(OR($Q537="",NOT(ISNUMBER($V537))),"",$AK537/$V537)</f>
        <v/>
      </c>
      <c r="S537" s="46" t="str">
        <f>IF($Q537="","",IF(AND(ISNUMBER($R537),ABS(N($R537))&lt;N(Settings!$C$8)),"Scratch",IF($Q537&gt;0,"Win",IF($Q537&lt;0,"Loss","Scratch"))))</f>
        <v/>
      </c>
      <c r="T537" s="47" t="str">
        <f>IF(OR($AM537=0,NOT(ISNUMBER($H537)),NOT(ISNUMBER($I537)),NOT(ISNUMBER($J537))),"",IF($H537=$I537,"",ROUND(ABS($J537-$H537)/ABS($H537-$I537),6)))</f>
        <v/>
      </c>
      <c r="U537" s="48" t="str">
        <f>IF(OR($S537&lt;&gt;"Win",NOT(ISNUMBER($T537)),NOT(ISNUMBER($R537))),"",MAX(0,$T537-$R537))</f>
        <v/>
      </c>
      <c r="V537" s="49" t="str">
        <f>IF(OR($AM537=0,NOT(ISNUMBER($H537)),NOT(ISNUMBER($I537)),NOT(ISNUMBER($G537))),"",IF(OR($AG537="",$AH537=""),"",IF(ROUND(ABS($H537-$I537)*ABS($G537)*$AG537*$AH537,6)=0,"",ROUND(ABS($H537-$I537)*ABS($G537)*$AG537*$AH537,6))))</f>
        <v/>
      </c>
      <c r="W537" s="50" t="str">
        <f>IF($AM537=0,"",IF($BG537="","OK",LEFT($BG537,LEN($BG537)-2)))</f>
        <v/>
      </c>
      <c r="X537" s="41" t="n"/>
      <c r="Y537" s="40" t="n"/>
      <c r="Z537" s="41" t="n"/>
      <c r="AA537" s="41" t="n"/>
      <c r="AB537" s="40" t="n"/>
      <c r="AC537" s="51" t="n"/>
      <c r="AD537" s="51" t="n"/>
      <c r="AE537" s="40" t="n"/>
      <c r="AF537" s="52" t="str">
        <f>IF($AM537=0,"",IF($D537&lt;&gt;"",$D537,IF(IFERROR(INDEX(Accounts!$C$7:$C$16,MATCH($C537,Accounts!$B$7:$B$16,0))&amp;"","")&lt;&gt;"",INDEX(Accounts!$C$7:$C$16,MATCH($C537,Accounts!$B$7:$B$16,0)),Settings!$C$6)))</f>
        <v/>
      </c>
      <c r="AG537" s="53" t="str">
        <f>IF($AM537=0,"",IF(AND($BE537&gt;0,N(INDEX(Instruments!$D$6:$D$205,MAX(1,$BE537)))&gt;0),INDEX(Instruments!$D$6:$D$205,MAX(1,$BE537)),IF(N(INDEX(Settings!$D$14:$D$18,$BF537))&gt;0,INDEX(Settings!$D$14:$D$18,$BF537),"")))</f>
        <v/>
      </c>
      <c r="AH537" s="54" t="str">
        <f>IF($AM537=0,"",IF($AF537&lt;&gt;"Forex",1,IF(MID(UPPER(SUBSTITUTE(TRIM($E537),"/","")),4,3)=UPPER(TRIM(Settings!$C$7)),1,IF(LEFT(UPPER(SUBSTITUTE(TRIM($E537),"/","")),3)=UPPER(TRIM(Settings!$C$7)),IF(AND(ISNUMBER($K537),N($K537)&lt;&gt;0),1/$K537,""),""))))</f>
        <v/>
      </c>
      <c r="AI537" s="55" t="str">
        <f>IF($AM537=0,"",IF(OR(NOT(ISNUMBER($H537)),NOT(ISNUMBER($K537)),NOT(ISNUMBER($G537)),$AG537="",$AH537=""),"",ROUND(($K537-$H537)*IF($F537="Short",-1,1)*$G537*$AG537*$AH537,6)))</f>
        <v/>
      </c>
      <c r="AJ537" s="55" t="str">
        <f>IF($AM537=0,"",IF(INDEX(Settings!$E$14:$E$18,$BF537)="% of notional",IF(OR($AG537="",NOT(ISNUMBER($H537)),NOT(ISNUMBER($G537))),"",ROUND(ABS($H537*$G537*$AG537*N($AH537))*IF($L537="Limit",N(INDEX(Settings!$G$14:$G$18,$BF537)),N(INDEX(Settings!$H$14:$H$18,$BF537)))+IF(ISNUMBER($K537),ABS($K537*$G537*$AG537*N($AH537))*IF($M537="Target",N(INDEX(Settings!$G$14:$G$18,$BF537)),N(INDEX(Settings!$H$14:$H$18,$BF537))),0),6)),IF(NOT(ISNUMBER($G537)),"",ROUND(ABS($G537)*2*IF(AND($BE537&gt;0,ISNUMBER(INDEX(Instruments!$G$6:$G$205,MAX(1,$BE537)))),INDEX(Instruments!$G$6:$G$205,MAX(1,$BE537)),N(INDEX(Settings!$F$14:$F$18,$BF537))),6))))</f>
        <v/>
      </c>
      <c r="AK537" s="55" t="str">
        <f>IF($AM537=0,"",IF(ISNUMBER($O537),$O537,$AI537))</f>
        <v/>
      </c>
      <c r="AL537" s="55" t="str">
        <f>IF($AM537=0,"",IF(ISNUMBER($P537),$P537,N($AJ537)))</f>
        <v/>
      </c>
      <c r="AM537" s="56">
        <f>IF(AND($A537&lt;&gt;"",$E537&lt;&gt;"",OR(AND(ISNUMBER($G537),ISNUMBER($H537),ISNUMBER($K537)),ISNUMBER($O537))),1,0)</f>
        <v>0</v>
      </c>
      <c r="AN537" s="57" t="str">
        <f>IF($A537="","",$A537-WEEKDAY($A537,3))</f>
        <v/>
      </c>
      <c r="AO537" s="56" t="str">
        <f>IF($A537="","",WEEKDAY($A537,2))</f>
        <v/>
      </c>
      <c r="AP537" s="55" t="str">
        <f>IF(OR($AM537=0,$C537=""),"",IFERROR(N(INDEX(Accounts!$E$7:$E$16,MATCH($C537,Accounts!$B$7:$B$16,0))),0)+SUMIFS($Q$6:$Q537,$C$6:$C537,$C537))</f>
        <v/>
      </c>
      <c r="AQ537" s="55" t="str">
        <f>IF(OR($AM537=0,$C537=""),"",SUMIFS($Q$6:$Q$1005,$C$6:$C$1005,$C537,$A$6:$A$1005,$A537))</f>
        <v/>
      </c>
      <c r="AR537" s="55" t="str">
        <f>IF(OR($AM537=0,$C537=""),"",IFERROR(N(INDEX(Accounts!$E$7:$E$16,MATCH($C537,Accounts!$B$7:$B$16,0))),0)+SUMIFS($Q$6:$Q$1005,$C$6:$C$1005,$C537,$A$6:$A$1005,"&lt;="&amp;$A537))</f>
        <v/>
      </c>
      <c r="AS537" s="56">
        <f>IF(OR($AM537=0,$Q537=""),0,IF(AND($A537&gt;=Lists!$W$6,$A537&lt;=Lists!$W$7,OR(Dashboard!$D$6="All accounts",$C537=Dashboard!$D$6),OR(Dashboard!$D$7="All markets",$AF537=Dashboard!$D$7)),1,0))</f>
        <v>0</v>
      </c>
      <c r="AT537" s="55">
        <f>IF($AS537=1,N(AT536)+$Q537,N(AT536))</f>
        <v>1187.10688</v>
      </c>
      <c r="AU537" s="55">
        <f>MAX(N(AU536),$AT537)</f>
        <v>1187.10688</v>
      </c>
      <c r="AV537" s="55">
        <f>$AT537-$AU537</f>
        <v>0</v>
      </c>
      <c r="AW537" s="56">
        <f>IF($AS537=1,IF($S537="Win",N(AW536)+1,IF($S537="Loss",0,N(AW536))),N(AW536))</f>
        <v>5</v>
      </c>
      <c r="AX537" s="56">
        <f>IF($AS537=1,IF($S537="Loss",N(AX536)+1,IF($S537="Win",0,N(AX536))),N(AX536))</f>
        <v>0</v>
      </c>
      <c r="AY537" s="56" t="str">
        <f>IF($AS537=1,COUNTIF($AS$6:$AS537,1),"")</f>
        <v/>
      </c>
      <c r="AZ537" s="56">
        <f>MIN(531,N(Lists!$W$8))</f>
        <v>28</v>
      </c>
      <c r="BA537" s="56">
        <f>IF($AS537=1,IF(COUNTIFS($A$6:$A537,$A537,$AS$6:$AS537,1)=1,1,0),0)</f>
        <v>0</v>
      </c>
      <c r="BB537" s="55" t="str">
        <f>IF($BA537=1,SUMIFS($Q$6:$Q$1005,$A$6:$A$1005,$A537,$AS$6:$AS$1005,1),"")</f>
        <v/>
      </c>
      <c r="BC537" s="56">
        <f>IF(ISNUMBER($R537),1,0)</f>
        <v>0</v>
      </c>
      <c r="BD537" s="55" t="str">
        <f>IF(ISNUMBER($U537),$U537*$V537,"")</f>
        <v/>
      </c>
      <c r="BE537" s="56" t="str">
        <f>IF($AM537=0,"",IFERROR(MATCH($AF537&amp;"|"&amp;UPPER(TRIM($E537)),Lists!$A$6:$A$205,0),0))</f>
        <v/>
      </c>
      <c r="BF537" s="56" t="str">
        <f>IF($AM537=0,"",IFERROR(MATCH($AF537,Settings!$B$14:$B$18,0),IFERROR(MATCH(Settings!$C$6,Settings!$B$14:$B$18,0),1)))</f>
        <v/>
      </c>
      <c r="BG537" s="58" t="str">
        <f>IF($AM537=0,"",IF(NOT(ISNUMBER($I537)),"No stop; ","")&amp;IF(AND(ISNUMBER($H537),ISNUMBER($I537)),IF(OR(AND($F537&lt;&gt;"Short",$I537&gt;=$H537),AND($F537="Short",$I537&lt;=$H537)),"Stop on wrong side; ",""),"")&amp;IF($F537="","No direction; ","")&amp;IF(AND(ISNUMBER(Settings!$C$22),ISNUMBER($V537)),IF($V537&gt;Settings!$C$22,"Risk over max $; ",""),"")&amp;IF(AND(ISNUMBER(Settings!$C$23),ISNUMBER($V537),ISNUMBER($AP537),IFERROR(N(INDEX(Accounts!$E$7:$E$16,MATCH($C537,Accounts!$B$7:$B$16,0))),0)&gt;0),IF($V537&gt;Settings!$C$23*($AP537-N($Q537)),"Risk over max %; ",""),"")&amp;IF(AND(ISNUMBER(Settings!$C$24),ISNUMBER($N537)),IF($N537&gt;Settings!$C$24,"Leverage over max; ",""),"")&amp;IF(AND(ISNUMBER(Settings!$C$27),ISNUMBER($T537)),IF($T537&lt;Settings!$C$27,"R:R below min; ",""),"")&amp;IF(ISNUMBER(Settings!$C$25),IF(COUNTIFS($A$6:$A537,$A537,$AM$6:$AM537,1)&gt;Settings!$C$25,"Over max trades/day; ",""),"")&amp;IF(ISNUMBER(Settings!$C$26),IF(SUMIFS($Q$5:$Q536,$A$5:$A536,$A537)&lt;=-Settings!$C$26,"Traded after daily max loss; ",""),"")&amp;IF(AND($AG537="",NOT(ISNUMBER($O537))),"Symbol not in Instruments; ","")&amp;IF(AND($AH537="",NOT(ISNUMBER($O537))),"Forex cross: type Gross P&amp;L; ",""))</f>
        <v/>
      </c>
      <c r="BH537" s="56">
        <f>IF(ISNUMBER($Q537),1,0)</f>
        <v>0</v>
      </c>
      <c r="BI537" s="56">
        <f>IF($Y537="",0,1)</f>
        <v>0</v>
      </c>
      <c r="BJ537" s="56">
        <f>IF($AB537="",0,1)</f>
        <v>0</v>
      </c>
      <c r="BK537" s="56">
        <f>IF(AND($BH537=1,$W537&lt;&gt;"OK"),1,0)</f>
        <v>0</v>
      </c>
      <c r="BL537" s="55">
        <f>IF(N($AZ537)=0,0,IFERROR(INDEX($AT$6:$AT$1005,MATCH($AZ537,$AY$6:$AY$1005,0)),0))</f>
        <v>1187.10688</v>
      </c>
      <c r="BM537" s="56">
        <f>IF(ISNUMBER(SEARCH("daily max loss",$BG537)),1,0)</f>
        <v>0</v>
      </c>
    </row>
    <row r="538" ht="18" customHeight="1">
      <c r="A538" s="38" t="n"/>
      <c r="B538" s="39" t="n"/>
      <c r="C538" s="40" t="n"/>
      <c r="D538" s="41" t="n"/>
      <c r="E538" s="41" t="n"/>
      <c r="F538" s="41" t="n"/>
      <c r="G538" s="41" t="n"/>
      <c r="H538" s="42" t="n"/>
      <c r="I538" s="42" t="n"/>
      <c r="J538" s="42" t="n"/>
      <c r="K538" s="42" t="n"/>
      <c r="L538" s="41" t="n"/>
      <c r="M538" s="41" t="n"/>
      <c r="N538" s="41" t="n"/>
      <c r="O538" s="43" t="n"/>
      <c r="P538" s="43" t="n"/>
      <c r="Q538" s="44" t="str">
        <f>IF($AM538=0,"",IF(ISNUMBER($AK538),$AK538-N($AL538),""))</f>
        <v/>
      </c>
      <c r="R538" s="45" t="str">
        <f>IF(OR($Q538="",NOT(ISNUMBER($V538))),"",$AK538/$V538)</f>
        <v/>
      </c>
      <c r="S538" s="46" t="str">
        <f>IF($Q538="","",IF(AND(ISNUMBER($R538),ABS(N($R538))&lt;N(Settings!$C$8)),"Scratch",IF($Q538&gt;0,"Win",IF($Q538&lt;0,"Loss","Scratch"))))</f>
        <v/>
      </c>
      <c r="T538" s="47" t="str">
        <f>IF(OR($AM538=0,NOT(ISNUMBER($H538)),NOT(ISNUMBER($I538)),NOT(ISNUMBER($J538))),"",IF($H538=$I538,"",ROUND(ABS($J538-$H538)/ABS($H538-$I538),6)))</f>
        <v/>
      </c>
      <c r="U538" s="48" t="str">
        <f>IF(OR($S538&lt;&gt;"Win",NOT(ISNUMBER($T538)),NOT(ISNUMBER($R538))),"",MAX(0,$T538-$R538))</f>
        <v/>
      </c>
      <c r="V538" s="49" t="str">
        <f>IF(OR($AM538=0,NOT(ISNUMBER($H538)),NOT(ISNUMBER($I538)),NOT(ISNUMBER($G538))),"",IF(OR($AG538="",$AH538=""),"",IF(ROUND(ABS($H538-$I538)*ABS($G538)*$AG538*$AH538,6)=0,"",ROUND(ABS($H538-$I538)*ABS($G538)*$AG538*$AH538,6))))</f>
        <v/>
      </c>
      <c r="W538" s="50" t="str">
        <f>IF($AM538=0,"",IF($BG538="","OK",LEFT($BG538,LEN($BG538)-2)))</f>
        <v/>
      </c>
      <c r="X538" s="41" t="n"/>
      <c r="Y538" s="40" t="n"/>
      <c r="Z538" s="41" t="n"/>
      <c r="AA538" s="41" t="n"/>
      <c r="AB538" s="40" t="n"/>
      <c r="AC538" s="51" t="n"/>
      <c r="AD538" s="51" t="n"/>
      <c r="AE538" s="40" t="n"/>
      <c r="AF538" s="52" t="str">
        <f>IF($AM538=0,"",IF($D538&lt;&gt;"",$D538,IF(IFERROR(INDEX(Accounts!$C$7:$C$16,MATCH($C538,Accounts!$B$7:$B$16,0))&amp;"","")&lt;&gt;"",INDEX(Accounts!$C$7:$C$16,MATCH($C538,Accounts!$B$7:$B$16,0)),Settings!$C$6)))</f>
        <v/>
      </c>
      <c r="AG538" s="53" t="str">
        <f>IF($AM538=0,"",IF(AND($BE538&gt;0,N(INDEX(Instruments!$D$6:$D$205,MAX(1,$BE538)))&gt;0),INDEX(Instruments!$D$6:$D$205,MAX(1,$BE538)),IF(N(INDEX(Settings!$D$14:$D$18,$BF538))&gt;0,INDEX(Settings!$D$14:$D$18,$BF538),"")))</f>
        <v/>
      </c>
      <c r="AH538" s="54" t="str">
        <f>IF($AM538=0,"",IF($AF538&lt;&gt;"Forex",1,IF(MID(UPPER(SUBSTITUTE(TRIM($E538),"/","")),4,3)=UPPER(TRIM(Settings!$C$7)),1,IF(LEFT(UPPER(SUBSTITUTE(TRIM($E538),"/","")),3)=UPPER(TRIM(Settings!$C$7)),IF(AND(ISNUMBER($K538),N($K538)&lt;&gt;0),1/$K538,""),""))))</f>
        <v/>
      </c>
      <c r="AI538" s="55" t="str">
        <f>IF($AM538=0,"",IF(OR(NOT(ISNUMBER($H538)),NOT(ISNUMBER($K538)),NOT(ISNUMBER($G538)),$AG538="",$AH538=""),"",ROUND(($K538-$H538)*IF($F538="Short",-1,1)*$G538*$AG538*$AH538,6)))</f>
        <v/>
      </c>
      <c r="AJ538" s="55" t="str">
        <f>IF($AM538=0,"",IF(INDEX(Settings!$E$14:$E$18,$BF538)="% of notional",IF(OR($AG538="",NOT(ISNUMBER($H538)),NOT(ISNUMBER($G538))),"",ROUND(ABS($H538*$G538*$AG538*N($AH538))*IF($L538="Limit",N(INDEX(Settings!$G$14:$G$18,$BF538)),N(INDEX(Settings!$H$14:$H$18,$BF538)))+IF(ISNUMBER($K538),ABS($K538*$G538*$AG538*N($AH538))*IF($M538="Target",N(INDEX(Settings!$G$14:$G$18,$BF538)),N(INDEX(Settings!$H$14:$H$18,$BF538))),0),6)),IF(NOT(ISNUMBER($G538)),"",ROUND(ABS($G538)*2*IF(AND($BE538&gt;0,ISNUMBER(INDEX(Instruments!$G$6:$G$205,MAX(1,$BE538)))),INDEX(Instruments!$G$6:$G$205,MAX(1,$BE538)),N(INDEX(Settings!$F$14:$F$18,$BF538))),6))))</f>
        <v/>
      </c>
      <c r="AK538" s="55" t="str">
        <f>IF($AM538=0,"",IF(ISNUMBER($O538),$O538,$AI538))</f>
        <v/>
      </c>
      <c r="AL538" s="55" t="str">
        <f>IF($AM538=0,"",IF(ISNUMBER($P538),$P538,N($AJ538)))</f>
        <v/>
      </c>
      <c r="AM538" s="56">
        <f>IF(AND($A538&lt;&gt;"",$E538&lt;&gt;"",OR(AND(ISNUMBER($G538),ISNUMBER($H538),ISNUMBER($K538)),ISNUMBER($O538))),1,0)</f>
        <v>0</v>
      </c>
      <c r="AN538" s="57" t="str">
        <f>IF($A538="","",$A538-WEEKDAY($A538,3))</f>
        <v/>
      </c>
      <c r="AO538" s="56" t="str">
        <f>IF($A538="","",WEEKDAY($A538,2))</f>
        <v/>
      </c>
      <c r="AP538" s="55" t="str">
        <f>IF(OR($AM538=0,$C538=""),"",IFERROR(N(INDEX(Accounts!$E$7:$E$16,MATCH($C538,Accounts!$B$7:$B$16,0))),0)+SUMIFS($Q$6:$Q538,$C$6:$C538,$C538))</f>
        <v/>
      </c>
      <c r="AQ538" s="55" t="str">
        <f>IF(OR($AM538=0,$C538=""),"",SUMIFS($Q$6:$Q$1005,$C$6:$C$1005,$C538,$A$6:$A$1005,$A538))</f>
        <v/>
      </c>
      <c r="AR538" s="55" t="str">
        <f>IF(OR($AM538=0,$C538=""),"",IFERROR(N(INDEX(Accounts!$E$7:$E$16,MATCH($C538,Accounts!$B$7:$B$16,0))),0)+SUMIFS($Q$6:$Q$1005,$C$6:$C$1005,$C538,$A$6:$A$1005,"&lt;="&amp;$A538))</f>
        <v/>
      </c>
      <c r="AS538" s="56">
        <f>IF(OR($AM538=0,$Q538=""),0,IF(AND($A538&gt;=Lists!$W$6,$A538&lt;=Lists!$W$7,OR(Dashboard!$D$6="All accounts",$C538=Dashboard!$D$6),OR(Dashboard!$D$7="All markets",$AF538=Dashboard!$D$7)),1,0))</f>
        <v>0</v>
      </c>
      <c r="AT538" s="55">
        <f>IF($AS538=1,N(AT537)+$Q538,N(AT537))</f>
        <v>1187.10688</v>
      </c>
      <c r="AU538" s="55">
        <f>MAX(N(AU537),$AT538)</f>
        <v>1187.10688</v>
      </c>
      <c r="AV538" s="55">
        <f>$AT538-$AU538</f>
        <v>0</v>
      </c>
      <c r="AW538" s="56">
        <f>IF($AS538=1,IF($S538="Win",N(AW537)+1,IF($S538="Loss",0,N(AW537))),N(AW537))</f>
        <v>5</v>
      </c>
      <c r="AX538" s="56">
        <f>IF($AS538=1,IF($S538="Loss",N(AX537)+1,IF($S538="Win",0,N(AX537))),N(AX537))</f>
        <v>0</v>
      </c>
      <c r="AY538" s="56" t="str">
        <f>IF($AS538=1,COUNTIF($AS$6:$AS538,1),"")</f>
        <v/>
      </c>
      <c r="AZ538" s="56">
        <f>MIN(532,N(Lists!$W$8))</f>
        <v>28</v>
      </c>
      <c r="BA538" s="56">
        <f>IF($AS538=1,IF(COUNTIFS($A$6:$A538,$A538,$AS$6:$AS538,1)=1,1,0),0)</f>
        <v>0</v>
      </c>
      <c r="BB538" s="55" t="str">
        <f>IF($BA538=1,SUMIFS($Q$6:$Q$1005,$A$6:$A$1005,$A538,$AS$6:$AS$1005,1),"")</f>
        <v/>
      </c>
      <c r="BC538" s="56">
        <f>IF(ISNUMBER($R538),1,0)</f>
        <v>0</v>
      </c>
      <c r="BD538" s="55" t="str">
        <f>IF(ISNUMBER($U538),$U538*$V538,"")</f>
        <v/>
      </c>
      <c r="BE538" s="56" t="str">
        <f>IF($AM538=0,"",IFERROR(MATCH($AF538&amp;"|"&amp;UPPER(TRIM($E538)),Lists!$A$6:$A$205,0),0))</f>
        <v/>
      </c>
      <c r="BF538" s="56" t="str">
        <f>IF($AM538=0,"",IFERROR(MATCH($AF538,Settings!$B$14:$B$18,0),IFERROR(MATCH(Settings!$C$6,Settings!$B$14:$B$18,0),1)))</f>
        <v/>
      </c>
      <c r="BG538" s="58" t="str">
        <f>IF($AM538=0,"",IF(NOT(ISNUMBER($I538)),"No stop; ","")&amp;IF(AND(ISNUMBER($H538),ISNUMBER($I538)),IF(OR(AND($F538&lt;&gt;"Short",$I538&gt;=$H538),AND($F538="Short",$I538&lt;=$H538)),"Stop on wrong side; ",""),"")&amp;IF($F538="","No direction; ","")&amp;IF(AND(ISNUMBER(Settings!$C$22),ISNUMBER($V538)),IF($V538&gt;Settings!$C$22,"Risk over max $; ",""),"")&amp;IF(AND(ISNUMBER(Settings!$C$23),ISNUMBER($V538),ISNUMBER($AP538),IFERROR(N(INDEX(Accounts!$E$7:$E$16,MATCH($C538,Accounts!$B$7:$B$16,0))),0)&gt;0),IF($V538&gt;Settings!$C$23*($AP538-N($Q538)),"Risk over max %; ",""),"")&amp;IF(AND(ISNUMBER(Settings!$C$24),ISNUMBER($N538)),IF($N538&gt;Settings!$C$24,"Leverage over max; ",""),"")&amp;IF(AND(ISNUMBER(Settings!$C$27),ISNUMBER($T538)),IF($T538&lt;Settings!$C$27,"R:R below min; ",""),"")&amp;IF(ISNUMBER(Settings!$C$25),IF(COUNTIFS($A$6:$A538,$A538,$AM$6:$AM538,1)&gt;Settings!$C$25,"Over max trades/day; ",""),"")&amp;IF(ISNUMBER(Settings!$C$26),IF(SUMIFS($Q$5:$Q537,$A$5:$A537,$A538)&lt;=-Settings!$C$26,"Traded after daily max loss; ",""),"")&amp;IF(AND($AG538="",NOT(ISNUMBER($O538))),"Symbol not in Instruments; ","")&amp;IF(AND($AH538="",NOT(ISNUMBER($O538))),"Forex cross: type Gross P&amp;L; ",""))</f>
        <v/>
      </c>
      <c r="BH538" s="56">
        <f>IF(ISNUMBER($Q538),1,0)</f>
        <v>0</v>
      </c>
      <c r="BI538" s="56">
        <f>IF($Y538="",0,1)</f>
        <v>0</v>
      </c>
      <c r="BJ538" s="56">
        <f>IF($AB538="",0,1)</f>
        <v>0</v>
      </c>
      <c r="BK538" s="56">
        <f>IF(AND($BH538=1,$W538&lt;&gt;"OK"),1,0)</f>
        <v>0</v>
      </c>
      <c r="BL538" s="55">
        <f>IF(N($AZ538)=0,0,IFERROR(INDEX($AT$6:$AT$1005,MATCH($AZ538,$AY$6:$AY$1005,0)),0))</f>
        <v>1187.10688</v>
      </c>
      <c r="BM538" s="56">
        <f>IF(ISNUMBER(SEARCH("daily max loss",$BG538)),1,0)</f>
        <v>0</v>
      </c>
    </row>
    <row r="539" ht="18" customHeight="1">
      <c r="A539" s="38" t="n"/>
      <c r="B539" s="39" t="n"/>
      <c r="C539" s="40" t="n"/>
      <c r="D539" s="41" t="n"/>
      <c r="E539" s="41" t="n"/>
      <c r="F539" s="41" t="n"/>
      <c r="G539" s="41" t="n"/>
      <c r="H539" s="42" t="n"/>
      <c r="I539" s="42" t="n"/>
      <c r="J539" s="42" t="n"/>
      <c r="K539" s="42" t="n"/>
      <c r="L539" s="41" t="n"/>
      <c r="M539" s="41" t="n"/>
      <c r="N539" s="41" t="n"/>
      <c r="O539" s="43" t="n"/>
      <c r="P539" s="43" t="n"/>
      <c r="Q539" s="44" t="str">
        <f>IF($AM539=0,"",IF(ISNUMBER($AK539),$AK539-N($AL539),""))</f>
        <v/>
      </c>
      <c r="R539" s="45" t="str">
        <f>IF(OR($Q539="",NOT(ISNUMBER($V539))),"",$AK539/$V539)</f>
        <v/>
      </c>
      <c r="S539" s="46" t="str">
        <f>IF($Q539="","",IF(AND(ISNUMBER($R539),ABS(N($R539))&lt;N(Settings!$C$8)),"Scratch",IF($Q539&gt;0,"Win",IF($Q539&lt;0,"Loss","Scratch"))))</f>
        <v/>
      </c>
      <c r="T539" s="47" t="str">
        <f>IF(OR($AM539=0,NOT(ISNUMBER($H539)),NOT(ISNUMBER($I539)),NOT(ISNUMBER($J539))),"",IF($H539=$I539,"",ROUND(ABS($J539-$H539)/ABS($H539-$I539),6)))</f>
        <v/>
      </c>
      <c r="U539" s="48" t="str">
        <f>IF(OR($S539&lt;&gt;"Win",NOT(ISNUMBER($T539)),NOT(ISNUMBER($R539))),"",MAX(0,$T539-$R539))</f>
        <v/>
      </c>
      <c r="V539" s="49" t="str">
        <f>IF(OR($AM539=0,NOT(ISNUMBER($H539)),NOT(ISNUMBER($I539)),NOT(ISNUMBER($G539))),"",IF(OR($AG539="",$AH539=""),"",IF(ROUND(ABS($H539-$I539)*ABS($G539)*$AG539*$AH539,6)=0,"",ROUND(ABS($H539-$I539)*ABS($G539)*$AG539*$AH539,6))))</f>
        <v/>
      </c>
      <c r="W539" s="50" t="str">
        <f>IF($AM539=0,"",IF($BG539="","OK",LEFT($BG539,LEN($BG539)-2)))</f>
        <v/>
      </c>
      <c r="X539" s="41" t="n"/>
      <c r="Y539" s="40" t="n"/>
      <c r="Z539" s="41" t="n"/>
      <c r="AA539" s="41" t="n"/>
      <c r="AB539" s="40" t="n"/>
      <c r="AC539" s="51" t="n"/>
      <c r="AD539" s="51" t="n"/>
      <c r="AE539" s="40" t="n"/>
      <c r="AF539" s="52" t="str">
        <f>IF($AM539=0,"",IF($D539&lt;&gt;"",$D539,IF(IFERROR(INDEX(Accounts!$C$7:$C$16,MATCH($C539,Accounts!$B$7:$B$16,0))&amp;"","")&lt;&gt;"",INDEX(Accounts!$C$7:$C$16,MATCH($C539,Accounts!$B$7:$B$16,0)),Settings!$C$6)))</f>
        <v/>
      </c>
      <c r="AG539" s="53" t="str">
        <f>IF($AM539=0,"",IF(AND($BE539&gt;0,N(INDEX(Instruments!$D$6:$D$205,MAX(1,$BE539)))&gt;0),INDEX(Instruments!$D$6:$D$205,MAX(1,$BE539)),IF(N(INDEX(Settings!$D$14:$D$18,$BF539))&gt;0,INDEX(Settings!$D$14:$D$18,$BF539),"")))</f>
        <v/>
      </c>
      <c r="AH539" s="54" t="str">
        <f>IF($AM539=0,"",IF($AF539&lt;&gt;"Forex",1,IF(MID(UPPER(SUBSTITUTE(TRIM($E539),"/","")),4,3)=UPPER(TRIM(Settings!$C$7)),1,IF(LEFT(UPPER(SUBSTITUTE(TRIM($E539),"/","")),3)=UPPER(TRIM(Settings!$C$7)),IF(AND(ISNUMBER($K539),N($K539)&lt;&gt;0),1/$K539,""),""))))</f>
        <v/>
      </c>
      <c r="AI539" s="55" t="str">
        <f>IF($AM539=0,"",IF(OR(NOT(ISNUMBER($H539)),NOT(ISNUMBER($K539)),NOT(ISNUMBER($G539)),$AG539="",$AH539=""),"",ROUND(($K539-$H539)*IF($F539="Short",-1,1)*$G539*$AG539*$AH539,6)))</f>
        <v/>
      </c>
      <c r="AJ539" s="55" t="str">
        <f>IF($AM539=0,"",IF(INDEX(Settings!$E$14:$E$18,$BF539)="% of notional",IF(OR($AG539="",NOT(ISNUMBER($H539)),NOT(ISNUMBER($G539))),"",ROUND(ABS($H539*$G539*$AG539*N($AH539))*IF($L539="Limit",N(INDEX(Settings!$G$14:$G$18,$BF539)),N(INDEX(Settings!$H$14:$H$18,$BF539)))+IF(ISNUMBER($K539),ABS($K539*$G539*$AG539*N($AH539))*IF($M539="Target",N(INDEX(Settings!$G$14:$G$18,$BF539)),N(INDEX(Settings!$H$14:$H$18,$BF539))),0),6)),IF(NOT(ISNUMBER($G539)),"",ROUND(ABS($G539)*2*IF(AND($BE539&gt;0,ISNUMBER(INDEX(Instruments!$G$6:$G$205,MAX(1,$BE539)))),INDEX(Instruments!$G$6:$G$205,MAX(1,$BE539)),N(INDEX(Settings!$F$14:$F$18,$BF539))),6))))</f>
        <v/>
      </c>
      <c r="AK539" s="55" t="str">
        <f>IF($AM539=0,"",IF(ISNUMBER($O539),$O539,$AI539))</f>
        <v/>
      </c>
      <c r="AL539" s="55" t="str">
        <f>IF($AM539=0,"",IF(ISNUMBER($P539),$P539,N($AJ539)))</f>
        <v/>
      </c>
      <c r="AM539" s="56">
        <f>IF(AND($A539&lt;&gt;"",$E539&lt;&gt;"",OR(AND(ISNUMBER($G539),ISNUMBER($H539),ISNUMBER($K539)),ISNUMBER($O539))),1,0)</f>
        <v>0</v>
      </c>
      <c r="AN539" s="57" t="str">
        <f>IF($A539="","",$A539-WEEKDAY($A539,3))</f>
        <v/>
      </c>
      <c r="AO539" s="56" t="str">
        <f>IF($A539="","",WEEKDAY($A539,2))</f>
        <v/>
      </c>
      <c r="AP539" s="55" t="str">
        <f>IF(OR($AM539=0,$C539=""),"",IFERROR(N(INDEX(Accounts!$E$7:$E$16,MATCH($C539,Accounts!$B$7:$B$16,0))),0)+SUMIFS($Q$6:$Q539,$C$6:$C539,$C539))</f>
        <v/>
      </c>
      <c r="AQ539" s="55" t="str">
        <f>IF(OR($AM539=0,$C539=""),"",SUMIFS($Q$6:$Q$1005,$C$6:$C$1005,$C539,$A$6:$A$1005,$A539))</f>
        <v/>
      </c>
      <c r="AR539" s="55" t="str">
        <f>IF(OR($AM539=0,$C539=""),"",IFERROR(N(INDEX(Accounts!$E$7:$E$16,MATCH($C539,Accounts!$B$7:$B$16,0))),0)+SUMIFS($Q$6:$Q$1005,$C$6:$C$1005,$C539,$A$6:$A$1005,"&lt;="&amp;$A539))</f>
        <v/>
      </c>
      <c r="AS539" s="56">
        <f>IF(OR($AM539=0,$Q539=""),0,IF(AND($A539&gt;=Lists!$W$6,$A539&lt;=Lists!$W$7,OR(Dashboard!$D$6="All accounts",$C539=Dashboard!$D$6),OR(Dashboard!$D$7="All markets",$AF539=Dashboard!$D$7)),1,0))</f>
        <v>0</v>
      </c>
      <c r="AT539" s="55">
        <f>IF($AS539=1,N(AT538)+$Q539,N(AT538))</f>
        <v>1187.10688</v>
      </c>
      <c r="AU539" s="55">
        <f>MAX(N(AU538),$AT539)</f>
        <v>1187.10688</v>
      </c>
      <c r="AV539" s="55">
        <f>$AT539-$AU539</f>
        <v>0</v>
      </c>
      <c r="AW539" s="56">
        <f>IF($AS539=1,IF($S539="Win",N(AW538)+1,IF($S539="Loss",0,N(AW538))),N(AW538))</f>
        <v>5</v>
      </c>
      <c r="AX539" s="56">
        <f>IF($AS539=1,IF($S539="Loss",N(AX538)+1,IF($S539="Win",0,N(AX538))),N(AX538))</f>
        <v>0</v>
      </c>
      <c r="AY539" s="56" t="str">
        <f>IF($AS539=1,COUNTIF($AS$6:$AS539,1),"")</f>
        <v/>
      </c>
      <c r="AZ539" s="56">
        <f>MIN(533,N(Lists!$W$8))</f>
        <v>28</v>
      </c>
      <c r="BA539" s="56">
        <f>IF($AS539=1,IF(COUNTIFS($A$6:$A539,$A539,$AS$6:$AS539,1)=1,1,0),0)</f>
        <v>0</v>
      </c>
      <c r="BB539" s="55" t="str">
        <f>IF($BA539=1,SUMIFS($Q$6:$Q$1005,$A$6:$A$1005,$A539,$AS$6:$AS$1005,1),"")</f>
        <v/>
      </c>
      <c r="BC539" s="56">
        <f>IF(ISNUMBER($R539),1,0)</f>
        <v>0</v>
      </c>
      <c r="BD539" s="55" t="str">
        <f>IF(ISNUMBER($U539),$U539*$V539,"")</f>
        <v/>
      </c>
      <c r="BE539" s="56" t="str">
        <f>IF($AM539=0,"",IFERROR(MATCH($AF539&amp;"|"&amp;UPPER(TRIM($E539)),Lists!$A$6:$A$205,0),0))</f>
        <v/>
      </c>
      <c r="BF539" s="56" t="str">
        <f>IF($AM539=0,"",IFERROR(MATCH($AF539,Settings!$B$14:$B$18,0),IFERROR(MATCH(Settings!$C$6,Settings!$B$14:$B$18,0),1)))</f>
        <v/>
      </c>
      <c r="BG539" s="58" t="str">
        <f>IF($AM539=0,"",IF(NOT(ISNUMBER($I539)),"No stop; ","")&amp;IF(AND(ISNUMBER($H539),ISNUMBER($I539)),IF(OR(AND($F539&lt;&gt;"Short",$I539&gt;=$H539),AND($F539="Short",$I539&lt;=$H539)),"Stop on wrong side; ",""),"")&amp;IF($F539="","No direction; ","")&amp;IF(AND(ISNUMBER(Settings!$C$22),ISNUMBER($V539)),IF($V539&gt;Settings!$C$22,"Risk over max $; ",""),"")&amp;IF(AND(ISNUMBER(Settings!$C$23),ISNUMBER($V539),ISNUMBER($AP539),IFERROR(N(INDEX(Accounts!$E$7:$E$16,MATCH($C539,Accounts!$B$7:$B$16,0))),0)&gt;0),IF($V539&gt;Settings!$C$23*($AP539-N($Q539)),"Risk over max %; ",""),"")&amp;IF(AND(ISNUMBER(Settings!$C$24),ISNUMBER($N539)),IF($N539&gt;Settings!$C$24,"Leverage over max; ",""),"")&amp;IF(AND(ISNUMBER(Settings!$C$27),ISNUMBER($T539)),IF($T539&lt;Settings!$C$27,"R:R below min; ",""),"")&amp;IF(ISNUMBER(Settings!$C$25),IF(COUNTIFS($A$6:$A539,$A539,$AM$6:$AM539,1)&gt;Settings!$C$25,"Over max trades/day; ",""),"")&amp;IF(ISNUMBER(Settings!$C$26),IF(SUMIFS($Q$5:$Q538,$A$5:$A538,$A539)&lt;=-Settings!$C$26,"Traded after daily max loss; ",""),"")&amp;IF(AND($AG539="",NOT(ISNUMBER($O539))),"Symbol not in Instruments; ","")&amp;IF(AND($AH539="",NOT(ISNUMBER($O539))),"Forex cross: type Gross P&amp;L; ",""))</f>
        <v/>
      </c>
      <c r="BH539" s="56">
        <f>IF(ISNUMBER($Q539),1,0)</f>
        <v>0</v>
      </c>
      <c r="BI539" s="56">
        <f>IF($Y539="",0,1)</f>
        <v>0</v>
      </c>
      <c r="BJ539" s="56">
        <f>IF($AB539="",0,1)</f>
        <v>0</v>
      </c>
      <c r="BK539" s="56">
        <f>IF(AND($BH539=1,$W539&lt;&gt;"OK"),1,0)</f>
        <v>0</v>
      </c>
      <c r="BL539" s="55">
        <f>IF(N($AZ539)=0,0,IFERROR(INDEX($AT$6:$AT$1005,MATCH($AZ539,$AY$6:$AY$1005,0)),0))</f>
        <v>1187.10688</v>
      </c>
      <c r="BM539" s="56">
        <f>IF(ISNUMBER(SEARCH("daily max loss",$BG539)),1,0)</f>
        <v>0</v>
      </c>
    </row>
    <row r="540" ht="18" customHeight="1">
      <c r="A540" s="38" t="n"/>
      <c r="B540" s="39" t="n"/>
      <c r="C540" s="40" t="n"/>
      <c r="D540" s="41" t="n"/>
      <c r="E540" s="41" t="n"/>
      <c r="F540" s="41" t="n"/>
      <c r="G540" s="41" t="n"/>
      <c r="H540" s="42" t="n"/>
      <c r="I540" s="42" t="n"/>
      <c r="J540" s="42" t="n"/>
      <c r="K540" s="42" t="n"/>
      <c r="L540" s="41" t="n"/>
      <c r="M540" s="41" t="n"/>
      <c r="N540" s="41" t="n"/>
      <c r="O540" s="43" t="n"/>
      <c r="P540" s="43" t="n"/>
      <c r="Q540" s="44" t="str">
        <f>IF($AM540=0,"",IF(ISNUMBER($AK540),$AK540-N($AL540),""))</f>
        <v/>
      </c>
      <c r="R540" s="45" t="str">
        <f>IF(OR($Q540="",NOT(ISNUMBER($V540))),"",$AK540/$V540)</f>
        <v/>
      </c>
      <c r="S540" s="46" t="str">
        <f>IF($Q540="","",IF(AND(ISNUMBER($R540),ABS(N($R540))&lt;N(Settings!$C$8)),"Scratch",IF($Q540&gt;0,"Win",IF($Q540&lt;0,"Loss","Scratch"))))</f>
        <v/>
      </c>
      <c r="T540" s="47" t="str">
        <f>IF(OR($AM540=0,NOT(ISNUMBER($H540)),NOT(ISNUMBER($I540)),NOT(ISNUMBER($J540))),"",IF($H540=$I540,"",ROUND(ABS($J540-$H540)/ABS($H540-$I540),6)))</f>
        <v/>
      </c>
      <c r="U540" s="48" t="str">
        <f>IF(OR($S540&lt;&gt;"Win",NOT(ISNUMBER($T540)),NOT(ISNUMBER($R540))),"",MAX(0,$T540-$R540))</f>
        <v/>
      </c>
      <c r="V540" s="49" t="str">
        <f>IF(OR($AM540=0,NOT(ISNUMBER($H540)),NOT(ISNUMBER($I540)),NOT(ISNUMBER($G540))),"",IF(OR($AG540="",$AH540=""),"",IF(ROUND(ABS($H540-$I540)*ABS($G540)*$AG540*$AH540,6)=0,"",ROUND(ABS($H540-$I540)*ABS($G540)*$AG540*$AH540,6))))</f>
        <v/>
      </c>
      <c r="W540" s="50" t="str">
        <f>IF($AM540=0,"",IF($BG540="","OK",LEFT($BG540,LEN($BG540)-2)))</f>
        <v/>
      </c>
      <c r="X540" s="41" t="n"/>
      <c r="Y540" s="40" t="n"/>
      <c r="Z540" s="41" t="n"/>
      <c r="AA540" s="41" t="n"/>
      <c r="AB540" s="40" t="n"/>
      <c r="AC540" s="51" t="n"/>
      <c r="AD540" s="51" t="n"/>
      <c r="AE540" s="40" t="n"/>
      <c r="AF540" s="52" t="str">
        <f>IF($AM540=0,"",IF($D540&lt;&gt;"",$D540,IF(IFERROR(INDEX(Accounts!$C$7:$C$16,MATCH($C540,Accounts!$B$7:$B$16,0))&amp;"","")&lt;&gt;"",INDEX(Accounts!$C$7:$C$16,MATCH($C540,Accounts!$B$7:$B$16,0)),Settings!$C$6)))</f>
        <v/>
      </c>
      <c r="AG540" s="53" t="str">
        <f>IF($AM540=0,"",IF(AND($BE540&gt;0,N(INDEX(Instruments!$D$6:$D$205,MAX(1,$BE540)))&gt;0),INDEX(Instruments!$D$6:$D$205,MAX(1,$BE540)),IF(N(INDEX(Settings!$D$14:$D$18,$BF540))&gt;0,INDEX(Settings!$D$14:$D$18,$BF540),"")))</f>
        <v/>
      </c>
      <c r="AH540" s="54" t="str">
        <f>IF($AM540=0,"",IF($AF540&lt;&gt;"Forex",1,IF(MID(UPPER(SUBSTITUTE(TRIM($E540),"/","")),4,3)=UPPER(TRIM(Settings!$C$7)),1,IF(LEFT(UPPER(SUBSTITUTE(TRIM($E540),"/","")),3)=UPPER(TRIM(Settings!$C$7)),IF(AND(ISNUMBER($K540),N($K540)&lt;&gt;0),1/$K540,""),""))))</f>
        <v/>
      </c>
      <c r="AI540" s="55" t="str">
        <f>IF($AM540=0,"",IF(OR(NOT(ISNUMBER($H540)),NOT(ISNUMBER($K540)),NOT(ISNUMBER($G540)),$AG540="",$AH540=""),"",ROUND(($K540-$H540)*IF($F540="Short",-1,1)*$G540*$AG540*$AH540,6)))</f>
        <v/>
      </c>
      <c r="AJ540" s="55" t="str">
        <f>IF($AM540=0,"",IF(INDEX(Settings!$E$14:$E$18,$BF540)="% of notional",IF(OR($AG540="",NOT(ISNUMBER($H540)),NOT(ISNUMBER($G540))),"",ROUND(ABS($H540*$G540*$AG540*N($AH540))*IF($L540="Limit",N(INDEX(Settings!$G$14:$G$18,$BF540)),N(INDEX(Settings!$H$14:$H$18,$BF540)))+IF(ISNUMBER($K540),ABS($K540*$G540*$AG540*N($AH540))*IF($M540="Target",N(INDEX(Settings!$G$14:$G$18,$BF540)),N(INDEX(Settings!$H$14:$H$18,$BF540))),0),6)),IF(NOT(ISNUMBER($G540)),"",ROUND(ABS($G540)*2*IF(AND($BE540&gt;0,ISNUMBER(INDEX(Instruments!$G$6:$G$205,MAX(1,$BE540)))),INDEX(Instruments!$G$6:$G$205,MAX(1,$BE540)),N(INDEX(Settings!$F$14:$F$18,$BF540))),6))))</f>
        <v/>
      </c>
      <c r="AK540" s="55" t="str">
        <f>IF($AM540=0,"",IF(ISNUMBER($O540),$O540,$AI540))</f>
        <v/>
      </c>
      <c r="AL540" s="55" t="str">
        <f>IF($AM540=0,"",IF(ISNUMBER($P540),$P540,N($AJ540)))</f>
        <v/>
      </c>
      <c r="AM540" s="56">
        <f>IF(AND($A540&lt;&gt;"",$E540&lt;&gt;"",OR(AND(ISNUMBER($G540),ISNUMBER($H540),ISNUMBER($K540)),ISNUMBER($O540))),1,0)</f>
        <v>0</v>
      </c>
      <c r="AN540" s="57" t="str">
        <f>IF($A540="","",$A540-WEEKDAY($A540,3))</f>
        <v/>
      </c>
      <c r="AO540" s="56" t="str">
        <f>IF($A540="","",WEEKDAY($A540,2))</f>
        <v/>
      </c>
      <c r="AP540" s="55" t="str">
        <f>IF(OR($AM540=0,$C540=""),"",IFERROR(N(INDEX(Accounts!$E$7:$E$16,MATCH($C540,Accounts!$B$7:$B$16,0))),0)+SUMIFS($Q$6:$Q540,$C$6:$C540,$C540))</f>
        <v/>
      </c>
      <c r="AQ540" s="55" t="str">
        <f>IF(OR($AM540=0,$C540=""),"",SUMIFS($Q$6:$Q$1005,$C$6:$C$1005,$C540,$A$6:$A$1005,$A540))</f>
        <v/>
      </c>
      <c r="AR540" s="55" t="str">
        <f>IF(OR($AM540=0,$C540=""),"",IFERROR(N(INDEX(Accounts!$E$7:$E$16,MATCH($C540,Accounts!$B$7:$B$16,0))),0)+SUMIFS($Q$6:$Q$1005,$C$6:$C$1005,$C540,$A$6:$A$1005,"&lt;="&amp;$A540))</f>
        <v/>
      </c>
      <c r="AS540" s="56">
        <f>IF(OR($AM540=0,$Q540=""),0,IF(AND($A540&gt;=Lists!$W$6,$A540&lt;=Lists!$W$7,OR(Dashboard!$D$6="All accounts",$C540=Dashboard!$D$6),OR(Dashboard!$D$7="All markets",$AF540=Dashboard!$D$7)),1,0))</f>
        <v>0</v>
      </c>
      <c r="AT540" s="55">
        <f>IF($AS540=1,N(AT539)+$Q540,N(AT539))</f>
        <v>1187.10688</v>
      </c>
      <c r="AU540" s="55">
        <f>MAX(N(AU539),$AT540)</f>
        <v>1187.10688</v>
      </c>
      <c r="AV540" s="55">
        <f>$AT540-$AU540</f>
        <v>0</v>
      </c>
      <c r="AW540" s="56">
        <f>IF($AS540=1,IF($S540="Win",N(AW539)+1,IF($S540="Loss",0,N(AW539))),N(AW539))</f>
        <v>5</v>
      </c>
      <c r="AX540" s="56">
        <f>IF($AS540=1,IF($S540="Loss",N(AX539)+1,IF($S540="Win",0,N(AX539))),N(AX539))</f>
        <v>0</v>
      </c>
      <c r="AY540" s="56" t="str">
        <f>IF($AS540=1,COUNTIF($AS$6:$AS540,1),"")</f>
        <v/>
      </c>
      <c r="AZ540" s="56">
        <f>MIN(534,N(Lists!$W$8))</f>
        <v>28</v>
      </c>
      <c r="BA540" s="56">
        <f>IF($AS540=1,IF(COUNTIFS($A$6:$A540,$A540,$AS$6:$AS540,1)=1,1,0),0)</f>
        <v>0</v>
      </c>
      <c r="BB540" s="55" t="str">
        <f>IF($BA540=1,SUMIFS($Q$6:$Q$1005,$A$6:$A$1005,$A540,$AS$6:$AS$1005,1),"")</f>
        <v/>
      </c>
      <c r="BC540" s="56">
        <f>IF(ISNUMBER($R540),1,0)</f>
        <v>0</v>
      </c>
      <c r="BD540" s="55" t="str">
        <f>IF(ISNUMBER($U540),$U540*$V540,"")</f>
        <v/>
      </c>
      <c r="BE540" s="56" t="str">
        <f>IF($AM540=0,"",IFERROR(MATCH($AF540&amp;"|"&amp;UPPER(TRIM($E540)),Lists!$A$6:$A$205,0),0))</f>
        <v/>
      </c>
      <c r="BF540" s="56" t="str">
        <f>IF($AM540=0,"",IFERROR(MATCH($AF540,Settings!$B$14:$B$18,0),IFERROR(MATCH(Settings!$C$6,Settings!$B$14:$B$18,0),1)))</f>
        <v/>
      </c>
      <c r="BG540" s="58" t="str">
        <f>IF($AM540=0,"",IF(NOT(ISNUMBER($I540)),"No stop; ","")&amp;IF(AND(ISNUMBER($H540),ISNUMBER($I540)),IF(OR(AND($F540&lt;&gt;"Short",$I540&gt;=$H540),AND($F540="Short",$I540&lt;=$H540)),"Stop on wrong side; ",""),"")&amp;IF($F540="","No direction; ","")&amp;IF(AND(ISNUMBER(Settings!$C$22),ISNUMBER($V540)),IF($V540&gt;Settings!$C$22,"Risk over max $; ",""),"")&amp;IF(AND(ISNUMBER(Settings!$C$23),ISNUMBER($V540),ISNUMBER($AP540),IFERROR(N(INDEX(Accounts!$E$7:$E$16,MATCH($C540,Accounts!$B$7:$B$16,0))),0)&gt;0),IF($V540&gt;Settings!$C$23*($AP540-N($Q540)),"Risk over max %; ",""),"")&amp;IF(AND(ISNUMBER(Settings!$C$24),ISNUMBER($N540)),IF($N540&gt;Settings!$C$24,"Leverage over max; ",""),"")&amp;IF(AND(ISNUMBER(Settings!$C$27),ISNUMBER($T540)),IF($T540&lt;Settings!$C$27,"R:R below min; ",""),"")&amp;IF(ISNUMBER(Settings!$C$25),IF(COUNTIFS($A$6:$A540,$A540,$AM$6:$AM540,1)&gt;Settings!$C$25,"Over max trades/day; ",""),"")&amp;IF(ISNUMBER(Settings!$C$26),IF(SUMIFS($Q$5:$Q539,$A$5:$A539,$A540)&lt;=-Settings!$C$26,"Traded after daily max loss; ",""),"")&amp;IF(AND($AG540="",NOT(ISNUMBER($O540))),"Symbol not in Instruments; ","")&amp;IF(AND($AH540="",NOT(ISNUMBER($O540))),"Forex cross: type Gross P&amp;L; ",""))</f>
        <v/>
      </c>
      <c r="BH540" s="56">
        <f>IF(ISNUMBER($Q540),1,0)</f>
        <v>0</v>
      </c>
      <c r="BI540" s="56">
        <f>IF($Y540="",0,1)</f>
        <v>0</v>
      </c>
      <c r="BJ540" s="56">
        <f>IF($AB540="",0,1)</f>
        <v>0</v>
      </c>
      <c r="BK540" s="56">
        <f>IF(AND($BH540=1,$W540&lt;&gt;"OK"),1,0)</f>
        <v>0</v>
      </c>
      <c r="BL540" s="55">
        <f>IF(N($AZ540)=0,0,IFERROR(INDEX($AT$6:$AT$1005,MATCH($AZ540,$AY$6:$AY$1005,0)),0))</f>
        <v>1187.10688</v>
      </c>
      <c r="BM540" s="56">
        <f>IF(ISNUMBER(SEARCH("daily max loss",$BG540)),1,0)</f>
        <v>0</v>
      </c>
    </row>
    <row r="541" ht="18" customHeight="1">
      <c r="A541" s="38" t="n"/>
      <c r="B541" s="39" t="n"/>
      <c r="C541" s="40" t="n"/>
      <c r="D541" s="41" t="n"/>
      <c r="E541" s="41" t="n"/>
      <c r="F541" s="41" t="n"/>
      <c r="G541" s="41" t="n"/>
      <c r="H541" s="42" t="n"/>
      <c r="I541" s="42" t="n"/>
      <c r="J541" s="42" t="n"/>
      <c r="K541" s="42" t="n"/>
      <c r="L541" s="41" t="n"/>
      <c r="M541" s="41" t="n"/>
      <c r="N541" s="41" t="n"/>
      <c r="O541" s="43" t="n"/>
      <c r="P541" s="43" t="n"/>
      <c r="Q541" s="44" t="str">
        <f>IF($AM541=0,"",IF(ISNUMBER($AK541),$AK541-N($AL541),""))</f>
        <v/>
      </c>
      <c r="R541" s="45" t="str">
        <f>IF(OR($Q541="",NOT(ISNUMBER($V541))),"",$AK541/$V541)</f>
        <v/>
      </c>
      <c r="S541" s="46" t="str">
        <f>IF($Q541="","",IF(AND(ISNUMBER($R541),ABS(N($R541))&lt;N(Settings!$C$8)),"Scratch",IF($Q541&gt;0,"Win",IF($Q541&lt;0,"Loss","Scratch"))))</f>
        <v/>
      </c>
      <c r="T541" s="47" t="str">
        <f>IF(OR($AM541=0,NOT(ISNUMBER($H541)),NOT(ISNUMBER($I541)),NOT(ISNUMBER($J541))),"",IF($H541=$I541,"",ROUND(ABS($J541-$H541)/ABS($H541-$I541),6)))</f>
        <v/>
      </c>
      <c r="U541" s="48" t="str">
        <f>IF(OR($S541&lt;&gt;"Win",NOT(ISNUMBER($T541)),NOT(ISNUMBER($R541))),"",MAX(0,$T541-$R541))</f>
        <v/>
      </c>
      <c r="V541" s="49" t="str">
        <f>IF(OR($AM541=0,NOT(ISNUMBER($H541)),NOT(ISNUMBER($I541)),NOT(ISNUMBER($G541))),"",IF(OR($AG541="",$AH541=""),"",IF(ROUND(ABS($H541-$I541)*ABS($G541)*$AG541*$AH541,6)=0,"",ROUND(ABS($H541-$I541)*ABS($G541)*$AG541*$AH541,6))))</f>
        <v/>
      </c>
      <c r="W541" s="50" t="str">
        <f>IF($AM541=0,"",IF($BG541="","OK",LEFT($BG541,LEN($BG541)-2)))</f>
        <v/>
      </c>
      <c r="X541" s="41" t="n"/>
      <c r="Y541" s="40" t="n"/>
      <c r="Z541" s="41" t="n"/>
      <c r="AA541" s="41" t="n"/>
      <c r="AB541" s="40" t="n"/>
      <c r="AC541" s="51" t="n"/>
      <c r="AD541" s="51" t="n"/>
      <c r="AE541" s="40" t="n"/>
      <c r="AF541" s="52" t="str">
        <f>IF($AM541=0,"",IF($D541&lt;&gt;"",$D541,IF(IFERROR(INDEX(Accounts!$C$7:$C$16,MATCH($C541,Accounts!$B$7:$B$16,0))&amp;"","")&lt;&gt;"",INDEX(Accounts!$C$7:$C$16,MATCH($C541,Accounts!$B$7:$B$16,0)),Settings!$C$6)))</f>
        <v/>
      </c>
      <c r="AG541" s="53" t="str">
        <f>IF($AM541=0,"",IF(AND($BE541&gt;0,N(INDEX(Instruments!$D$6:$D$205,MAX(1,$BE541)))&gt;0),INDEX(Instruments!$D$6:$D$205,MAX(1,$BE541)),IF(N(INDEX(Settings!$D$14:$D$18,$BF541))&gt;0,INDEX(Settings!$D$14:$D$18,$BF541),"")))</f>
        <v/>
      </c>
      <c r="AH541" s="54" t="str">
        <f>IF($AM541=0,"",IF($AF541&lt;&gt;"Forex",1,IF(MID(UPPER(SUBSTITUTE(TRIM($E541),"/","")),4,3)=UPPER(TRIM(Settings!$C$7)),1,IF(LEFT(UPPER(SUBSTITUTE(TRIM($E541),"/","")),3)=UPPER(TRIM(Settings!$C$7)),IF(AND(ISNUMBER($K541),N($K541)&lt;&gt;0),1/$K541,""),""))))</f>
        <v/>
      </c>
      <c r="AI541" s="55" t="str">
        <f>IF($AM541=0,"",IF(OR(NOT(ISNUMBER($H541)),NOT(ISNUMBER($K541)),NOT(ISNUMBER($G541)),$AG541="",$AH541=""),"",ROUND(($K541-$H541)*IF($F541="Short",-1,1)*$G541*$AG541*$AH541,6)))</f>
        <v/>
      </c>
      <c r="AJ541" s="55" t="str">
        <f>IF($AM541=0,"",IF(INDEX(Settings!$E$14:$E$18,$BF541)="% of notional",IF(OR($AG541="",NOT(ISNUMBER($H541)),NOT(ISNUMBER($G541))),"",ROUND(ABS($H541*$G541*$AG541*N($AH541))*IF($L541="Limit",N(INDEX(Settings!$G$14:$G$18,$BF541)),N(INDEX(Settings!$H$14:$H$18,$BF541)))+IF(ISNUMBER($K541),ABS($K541*$G541*$AG541*N($AH541))*IF($M541="Target",N(INDEX(Settings!$G$14:$G$18,$BF541)),N(INDEX(Settings!$H$14:$H$18,$BF541))),0),6)),IF(NOT(ISNUMBER($G541)),"",ROUND(ABS($G541)*2*IF(AND($BE541&gt;0,ISNUMBER(INDEX(Instruments!$G$6:$G$205,MAX(1,$BE541)))),INDEX(Instruments!$G$6:$G$205,MAX(1,$BE541)),N(INDEX(Settings!$F$14:$F$18,$BF541))),6))))</f>
        <v/>
      </c>
      <c r="AK541" s="55" t="str">
        <f>IF($AM541=0,"",IF(ISNUMBER($O541),$O541,$AI541))</f>
        <v/>
      </c>
      <c r="AL541" s="55" t="str">
        <f>IF($AM541=0,"",IF(ISNUMBER($P541),$P541,N($AJ541)))</f>
        <v/>
      </c>
      <c r="AM541" s="56">
        <f>IF(AND($A541&lt;&gt;"",$E541&lt;&gt;"",OR(AND(ISNUMBER($G541),ISNUMBER($H541),ISNUMBER($K541)),ISNUMBER($O541))),1,0)</f>
        <v>0</v>
      </c>
      <c r="AN541" s="57" t="str">
        <f>IF($A541="","",$A541-WEEKDAY($A541,3))</f>
        <v/>
      </c>
      <c r="AO541" s="56" t="str">
        <f>IF($A541="","",WEEKDAY($A541,2))</f>
        <v/>
      </c>
      <c r="AP541" s="55" t="str">
        <f>IF(OR($AM541=0,$C541=""),"",IFERROR(N(INDEX(Accounts!$E$7:$E$16,MATCH($C541,Accounts!$B$7:$B$16,0))),0)+SUMIFS($Q$6:$Q541,$C$6:$C541,$C541))</f>
        <v/>
      </c>
      <c r="AQ541" s="55" t="str">
        <f>IF(OR($AM541=0,$C541=""),"",SUMIFS($Q$6:$Q$1005,$C$6:$C$1005,$C541,$A$6:$A$1005,$A541))</f>
        <v/>
      </c>
      <c r="AR541" s="55" t="str">
        <f>IF(OR($AM541=0,$C541=""),"",IFERROR(N(INDEX(Accounts!$E$7:$E$16,MATCH($C541,Accounts!$B$7:$B$16,0))),0)+SUMIFS($Q$6:$Q$1005,$C$6:$C$1005,$C541,$A$6:$A$1005,"&lt;="&amp;$A541))</f>
        <v/>
      </c>
      <c r="AS541" s="56">
        <f>IF(OR($AM541=0,$Q541=""),0,IF(AND($A541&gt;=Lists!$W$6,$A541&lt;=Lists!$W$7,OR(Dashboard!$D$6="All accounts",$C541=Dashboard!$D$6),OR(Dashboard!$D$7="All markets",$AF541=Dashboard!$D$7)),1,0))</f>
        <v>0</v>
      </c>
      <c r="AT541" s="55">
        <f>IF($AS541=1,N(AT540)+$Q541,N(AT540))</f>
        <v>1187.10688</v>
      </c>
      <c r="AU541" s="55">
        <f>MAX(N(AU540),$AT541)</f>
        <v>1187.10688</v>
      </c>
      <c r="AV541" s="55">
        <f>$AT541-$AU541</f>
        <v>0</v>
      </c>
      <c r="AW541" s="56">
        <f>IF($AS541=1,IF($S541="Win",N(AW540)+1,IF($S541="Loss",0,N(AW540))),N(AW540))</f>
        <v>5</v>
      </c>
      <c r="AX541" s="56">
        <f>IF($AS541=1,IF($S541="Loss",N(AX540)+1,IF($S541="Win",0,N(AX540))),N(AX540))</f>
        <v>0</v>
      </c>
      <c r="AY541" s="56" t="str">
        <f>IF($AS541=1,COUNTIF($AS$6:$AS541,1),"")</f>
        <v/>
      </c>
      <c r="AZ541" s="56">
        <f>MIN(535,N(Lists!$W$8))</f>
        <v>28</v>
      </c>
      <c r="BA541" s="56">
        <f>IF($AS541=1,IF(COUNTIFS($A$6:$A541,$A541,$AS$6:$AS541,1)=1,1,0),0)</f>
        <v>0</v>
      </c>
      <c r="BB541" s="55" t="str">
        <f>IF($BA541=1,SUMIFS($Q$6:$Q$1005,$A$6:$A$1005,$A541,$AS$6:$AS$1005,1),"")</f>
        <v/>
      </c>
      <c r="BC541" s="56">
        <f>IF(ISNUMBER($R541),1,0)</f>
        <v>0</v>
      </c>
      <c r="BD541" s="55" t="str">
        <f>IF(ISNUMBER($U541),$U541*$V541,"")</f>
        <v/>
      </c>
      <c r="BE541" s="56" t="str">
        <f>IF($AM541=0,"",IFERROR(MATCH($AF541&amp;"|"&amp;UPPER(TRIM($E541)),Lists!$A$6:$A$205,0),0))</f>
        <v/>
      </c>
      <c r="BF541" s="56" t="str">
        <f>IF($AM541=0,"",IFERROR(MATCH($AF541,Settings!$B$14:$B$18,0),IFERROR(MATCH(Settings!$C$6,Settings!$B$14:$B$18,0),1)))</f>
        <v/>
      </c>
      <c r="BG541" s="58" t="str">
        <f>IF($AM541=0,"",IF(NOT(ISNUMBER($I541)),"No stop; ","")&amp;IF(AND(ISNUMBER($H541),ISNUMBER($I541)),IF(OR(AND($F541&lt;&gt;"Short",$I541&gt;=$H541),AND($F541="Short",$I541&lt;=$H541)),"Stop on wrong side; ",""),"")&amp;IF($F541="","No direction; ","")&amp;IF(AND(ISNUMBER(Settings!$C$22),ISNUMBER($V541)),IF($V541&gt;Settings!$C$22,"Risk over max $; ",""),"")&amp;IF(AND(ISNUMBER(Settings!$C$23),ISNUMBER($V541),ISNUMBER($AP541),IFERROR(N(INDEX(Accounts!$E$7:$E$16,MATCH($C541,Accounts!$B$7:$B$16,0))),0)&gt;0),IF($V541&gt;Settings!$C$23*($AP541-N($Q541)),"Risk over max %; ",""),"")&amp;IF(AND(ISNUMBER(Settings!$C$24),ISNUMBER($N541)),IF($N541&gt;Settings!$C$24,"Leverage over max; ",""),"")&amp;IF(AND(ISNUMBER(Settings!$C$27),ISNUMBER($T541)),IF($T541&lt;Settings!$C$27,"R:R below min; ",""),"")&amp;IF(ISNUMBER(Settings!$C$25),IF(COUNTIFS($A$6:$A541,$A541,$AM$6:$AM541,1)&gt;Settings!$C$25,"Over max trades/day; ",""),"")&amp;IF(ISNUMBER(Settings!$C$26),IF(SUMIFS($Q$5:$Q540,$A$5:$A540,$A541)&lt;=-Settings!$C$26,"Traded after daily max loss; ",""),"")&amp;IF(AND($AG541="",NOT(ISNUMBER($O541))),"Symbol not in Instruments; ","")&amp;IF(AND($AH541="",NOT(ISNUMBER($O541))),"Forex cross: type Gross P&amp;L; ",""))</f>
        <v/>
      </c>
      <c r="BH541" s="56">
        <f>IF(ISNUMBER($Q541),1,0)</f>
        <v>0</v>
      </c>
      <c r="BI541" s="56">
        <f>IF($Y541="",0,1)</f>
        <v>0</v>
      </c>
      <c r="BJ541" s="56">
        <f>IF($AB541="",0,1)</f>
        <v>0</v>
      </c>
      <c r="BK541" s="56">
        <f>IF(AND($BH541=1,$W541&lt;&gt;"OK"),1,0)</f>
        <v>0</v>
      </c>
      <c r="BL541" s="55">
        <f>IF(N($AZ541)=0,0,IFERROR(INDEX($AT$6:$AT$1005,MATCH($AZ541,$AY$6:$AY$1005,0)),0))</f>
        <v>1187.10688</v>
      </c>
      <c r="BM541" s="56">
        <f>IF(ISNUMBER(SEARCH("daily max loss",$BG541)),1,0)</f>
        <v>0</v>
      </c>
    </row>
    <row r="542" ht="18" customHeight="1">
      <c r="A542" s="38" t="n"/>
      <c r="B542" s="39" t="n"/>
      <c r="C542" s="40" t="n"/>
      <c r="D542" s="41" t="n"/>
      <c r="E542" s="41" t="n"/>
      <c r="F542" s="41" t="n"/>
      <c r="G542" s="41" t="n"/>
      <c r="H542" s="42" t="n"/>
      <c r="I542" s="42" t="n"/>
      <c r="J542" s="42" t="n"/>
      <c r="K542" s="42" t="n"/>
      <c r="L542" s="41" t="n"/>
      <c r="M542" s="41" t="n"/>
      <c r="N542" s="41" t="n"/>
      <c r="O542" s="43" t="n"/>
      <c r="P542" s="43" t="n"/>
      <c r="Q542" s="44" t="str">
        <f>IF($AM542=0,"",IF(ISNUMBER($AK542),$AK542-N($AL542),""))</f>
        <v/>
      </c>
      <c r="R542" s="45" t="str">
        <f>IF(OR($Q542="",NOT(ISNUMBER($V542))),"",$AK542/$V542)</f>
        <v/>
      </c>
      <c r="S542" s="46" t="str">
        <f>IF($Q542="","",IF(AND(ISNUMBER($R542),ABS(N($R542))&lt;N(Settings!$C$8)),"Scratch",IF($Q542&gt;0,"Win",IF($Q542&lt;0,"Loss","Scratch"))))</f>
        <v/>
      </c>
      <c r="T542" s="47" t="str">
        <f>IF(OR($AM542=0,NOT(ISNUMBER($H542)),NOT(ISNUMBER($I542)),NOT(ISNUMBER($J542))),"",IF($H542=$I542,"",ROUND(ABS($J542-$H542)/ABS($H542-$I542),6)))</f>
        <v/>
      </c>
      <c r="U542" s="48" t="str">
        <f>IF(OR($S542&lt;&gt;"Win",NOT(ISNUMBER($T542)),NOT(ISNUMBER($R542))),"",MAX(0,$T542-$R542))</f>
        <v/>
      </c>
      <c r="V542" s="49" t="str">
        <f>IF(OR($AM542=0,NOT(ISNUMBER($H542)),NOT(ISNUMBER($I542)),NOT(ISNUMBER($G542))),"",IF(OR($AG542="",$AH542=""),"",IF(ROUND(ABS($H542-$I542)*ABS($G542)*$AG542*$AH542,6)=0,"",ROUND(ABS($H542-$I542)*ABS($G542)*$AG542*$AH542,6))))</f>
        <v/>
      </c>
      <c r="W542" s="50" t="str">
        <f>IF($AM542=0,"",IF($BG542="","OK",LEFT($BG542,LEN($BG542)-2)))</f>
        <v/>
      </c>
      <c r="X542" s="41" t="n"/>
      <c r="Y542" s="40" t="n"/>
      <c r="Z542" s="41" t="n"/>
      <c r="AA542" s="41" t="n"/>
      <c r="AB542" s="40" t="n"/>
      <c r="AC542" s="51" t="n"/>
      <c r="AD542" s="51" t="n"/>
      <c r="AE542" s="40" t="n"/>
      <c r="AF542" s="52" t="str">
        <f>IF($AM542=0,"",IF($D542&lt;&gt;"",$D542,IF(IFERROR(INDEX(Accounts!$C$7:$C$16,MATCH($C542,Accounts!$B$7:$B$16,0))&amp;"","")&lt;&gt;"",INDEX(Accounts!$C$7:$C$16,MATCH($C542,Accounts!$B$7:$B$16,0)),Settings!$C$6)))</f>
        <v/>
      </c>
      <c r="AG542" s="53" t="str">
        <f>IF($AM542=0,"",IF(AND($BE542&gt;0,N(INDEX(Instruments!$D$6:$D$205,MAX(1,$BE542)))&gt;0),INDEX(Instruments!$D$6:$D$205,MAX(1,$BE542)),IF(N(INDEX(Settings!$D$14:$D$18,$BF542))&gt;0,INDEX(Settings!$D$14:$D$18,$BF542),"")))</f>
        <v/>
      </c>
      <c r="AH542" s="54" t="str">
        <f>IF($AM542=0,"",IF($AF542&lt;&gt;"Forex",1,IF(MID(UPPER(SUBSTITUTE(TRIM($E542),"/","")),4,3)=UPPER(TRIM(Settings!$C$7)),1,IF(LEFT(UPPER(SUBSTITUTE(TRIM($E542),"/","")),3)=UPPER(TRIM(Settings!$C$7)),IF(AND(ISNUMBER($K542),N($K542)&lt;&gt;0),1/$K542,""),""))))</f>
        <v/>
      </c>
      <c r="AI542" s="55" t="str">
        <f>IF($AM542=0,"",IF(OR(NOT(ISNUMBER($H542)),NOT(ISNUMBER($K542)),NOT(ISNUMBER($G542)),$AG542="",$AH542=""),"",ROUND(($K542-$H542)*IF($F542="Short",-1,1)*$G542*$AG542*$AH542,6)))</f>
        <v/>
      </c>
      <c r="AJ542" s="55" t="str">
        <f>IF($AM542=0,"",IF(INDEX(Settings!$E$14:$E$18,$BF542)="% of notional",IF(OR($AG542="",NOT(ISNUMBER($H542)),NOT(ISNUMBER($G542))),"",ROUND(ABS($H542*$G542*$AG542*N($AH542))*IF($L542="Limit",N(INDEX(Settings!$G$14:$G$18,$BF542)),N(INDEX(Settings!$H$14:$H$18,$BF542)))+IF(ISNUMBER($K542),ABS($K542*$G542*$AG542*N($AH542))*IF($M542="Target",N(INDEX(Settings!$G$14:$G$18,$BF542)),N(INDEX(Settings!$H$14:$H$18,$BF542))),0),6)),IF(NOT(ISNUMBER($G542)),"",ROUND(ABS($G542)*2*IF(AND($BE542&gt;0,ISNUMBER(INDEX(Instruments!$G$6:$G$205,MAX(1,$BE542)))),INDEX(Instruments!$G$6:$G$205,MAX(1,$BE542)),N(INDEX(Settings!$F$14:$F$18,$BF542))),6))))</f>
        <v/>
      </c>
      <c r="AK542" s="55" t="str">
        <f>IF($AM542=0,"",IF(ISNUMBER($O542),$O542,$AI542))</f>
        <v/>
      </c>
      <c r="AL542" s="55" t="str">
        <f>IF($AM542=0,"",IF(ISNUMBER($P542),$P542,N($AJ542)))</f>
        <v/>
      </c>
      <c r="AM542" s="56">
        <f>IF(AND($A542&lt;&gt;"",$E542&lt;&gt;"",OR(AND(ISNUMBER($G542),ISNUMBER($H542),ISNUMBER($K542)),ISNUMBER($O542))),1,0)</f>
        <v>0</v>
      </c>
      <c r="AN542" s="57" t="str">
        <f>IF($A542="","",$A542-WEEKDAY($A542,3))</f>
        <v/>
      </c>
      <c r="AO542" s="56" t="str">
        <f>IF($A542="","",WEEKDAY($A542,2))</f>
        <v/>
      </c>
      <c r="AP542" s="55" t="str">
        <f>IF(OR($AM542=0,$C542=""),"",IFERROR(N(INDEX(Accounts!$E$7:$E$16,MATCH($C542,Accounts!$B$7:$B$16,0))),0)+SUMIFS($Q$6:$Q542,$C$6:$C542,$C542))</f>
        <v/>
      </c>
      <c r="AQ542" s="55" t="str">
        <f>IF(OR($AM542=0,$C542=""),"",SUMIFS($Q$6:$Q$1005,$C$6:$C$1005,$C542,$A$6:$A$1005,$A542))</f>
        <v/>
      </c>
      <c r="AR542" s="55" t="str">
        <f>IF(OR($AM542=0,$C542=""),"",IFERROR(N(INDEX(Accounts!$E$7:$E$16,MATCH($C542,Accounts!$B$7:$B$16,0))),0)+SUMIFS($Q$6:$Q$1005,$C$6:$C$1005,$C542,$A$6:$A$1005,"&lt;="&amp;$A542))</f>
        <v/>
      </c>
      <c r="AS542" s="56">
        <f>IF(OR($AM542=0,$Q542=""),0,IF(AND($A542&gt;=Lists!$W$6,$A542&lt;=Lists!$W$7,OR(Dashboard!$D$6="All accounts",$C542=Dashboard!$D$6),OR(Dashboard!$D$7="All markets",$AF542=Dashboard!$D$7)),1,0))</f>
        <v>0</v>
      </c>
      <c r="AT542" s="55">
        <f>IF($AS542=1,N(AT541)+$Q542,N(AT541))</f>
        <v>1187.10688</v>
      </c>
      <c r="AU542" s="55">
        <f>MAX(N(AU541),$AT542)</f>
        <v>1187.10688</v>
      </c>
      <c r="AV542" s="55">
        <f>$AT542-$AU542</f>
        <v>0</v>
      </c>
      <c r="AW542" s="56">
        <f>IF($AS542=1,IF($S542="Win",N(AW541)+1,IF($S542="Loss",0,N(AW541))),N(AW541))</f>
        <v>5</v>
      </c>
      <c r="AX542" s="56">
        <f>IF($AS542=1,IF($S542="Loss",N(AX541)+1,IF($S542="Win",0,N(AX541))),N(AX541))</f>
        <v>0</v>
      </c>
      <c r="AY542" s="56" t="str">
        <f>IF($AS542=1,COUNTIF($AS$6:$AS542,1),"")</f>
        <v/>
      </c>
      <c r="AZ542" s="56">
        <f>MIN(536,N(Lists!$W$8))</f>
        <v>28</v>
      </c>
      <c r="BA542" s="56">
        <f>IF($AS542=1,IF(COUNTIFS($A$6:$A542,$A542,$AS$6:$AS542,1)=1,1,0),0)</f>
        <v>0</v>
      </c>
      <c r="BB542" s="55" t="str">
        <f>IF($BA542=1,SUMIFS($Q$6:$Q$1005,$A$6:$A$1005,$A542,$AS$6:$AS$1005,1),"")</f>
        <v/>
      </c>
      <c r="BC542" s="56">
        <f>IF(ISNUMBER($R542),1,0)</f>
        <v>0</v>
      </c>
      <c r="BD542" s="55" t="str">
        <f>IF(ISNUMBER($U542),$U542*$V542,"")</f>
        <v/>
      </c>
      <c r="BE542" s="56" t="str">
        <f>IF($AM542=0,"",IFERROR(MATCH($AF542&amp;"|"&amp;UPPER(TRIM($E542)),Lists!$A$6:$A$205,0),0))</f>
        <v/>
      </c>
      <c r="BF542" s="56" t="str">
        <f>IF($AM542=0,"",IFERROR(MATCH($AF542,Settings!$B$14:$B$18,0),IFERROR(MATCH(Settings!$C$6,Settings!$B$14:$B$18,0),1)))</f>
        <v/>
      </c>
      <c r="BG542" s="58" t="str">
        <f>IF($AM542=0,"",IF(NOT(ISNUMBER($I542)),"No stop; ","")&amp;IF(AND(ISNUMBER($H542),ISNUMBER($I542)),IF(OR(AND($F542&lt;&gt;"Short",$I542&gt;=$H542),AND($F542="Short",$I542&lt;=$H542)),"Stop on wrong side; ",""),"")&amp;IF($F542="","No direction; ","")&amp;IF(AND(ISNUMBER(Settings!$C$22),ISNUMBER($V542)),IF($V542&gt;Settings!$C$22,"Risk over max $; ",""),"")&amp;IF(AND(ISNUMBER(Settings!$C$23),ISNUMBER($V542),ISNUMBER($AP542),IFERROR(N(INDEX(Accounts!$E$7:$E$16,MATCH($C542,Accounts!$B$7:$B$16,0))),0)&gt;0),IF($V542&gt;Settings!$C$23*($AP542-N($Q542)),"Risk over max %; ",""),"")&amp;IF(AND(ISNUMBER(Settings!$C$24),ISNUMBER($N542)),IF($N542&gt;Settings!$C$24,"Leverage over max; ",""),"")&amp;IF(AND(ISNUMBER(Settings!$C$27),ISNUMBER($T542)),IF($T542&lt;Settings!$C$27,"R:R below min; ",""),"")&amp;IF(ISNUMBER(Settings!$C$25),IF(COUNTIFS($A$6:$A542,$A542,$AM$6:$AM542,1)&gt;Settings!$C$25,"Over max trades/day; ",""),"")&amp;IF(ISNUMBER(Settings!$C$26),IF(SUMIFS($Q$5:$Q541,$A$5:$A541,$A542)&lt;=-Settings!$C$26,"Traded after daily max loss; ",""),"")&amp;IF(AND($AG542="",NOT(ISNUMBER($O542))),"Symbol not in Instruments; ","")&amp;IF(AND($AH542="",NOT(ISNUMBER($O542))),"Forex cross: type Gross P&amp;L; ",""))</f>
        <v/>
      </c>
      <c r="BH542" s="56">
        <f>IF(ISNUMBER($Q542),1,0)</f>
        <v>0</v>
      </c>
      <c r="BI542" s="56">
        <f>IF($Y542="",0,1)</f>
        <v>0</v>
      </c>
      <c r="BJ542" s="56">
        <f>IF($AB542="",0,1)</f>
        <v>0</v>
      </c>
      <c r="BK542" s="56">
        <f>IF(AND($BH542=1,$W542&lt;&gt;"OK"),1,0)</f>
        <v>0</v>
      </c>
      <c r="BL542" s="55">
        <f>IF(N($AZ542)=0,0,IFERROR(INDEX($AT$6:$AT$1005,MATCH($AZ542,$AY$6:$AY$1005,0)),0))</f>
        <v>1187.10688</v>
      </c>
      <c r="BM542" s="56">
        <f>IF(ISNUMBER(SEARCH("daily max loss",$BG542)),1,0)</f>
        <v>0</v>
      </c>
    </row>
    <row r="543" ht="18" customHeight="1">
      <c r="A543" s="38" t="n"/>
      <c r="B543" s="39" t="n"/>
      <c r="C543" s="40" t="n"/>
      <c r="D543" s="41" t="n"/>
      <c r="E543" s="41" t="n"/>
      <c r="F543" s="41" t="n"/>
      <c r="G543" s="41" t="n"/>
      <c r="H543" s="42" t="n"/>
      <c r="I543" s="42" t="n"/>
      <c r="J543" s="42" t="n"/>
      <c r="K543" s="42" t="n"/>
      <c r="L543" s="41" t="n"/>
      <c r="M543" s="41" t="n"/>
      <c r="N543" s="41" t="n"/>
      <c r="O543" s="43" t="n"/>
      <c r="P543" s="43" t="n"/>
      <c r="Q543" s="44" t="str">
        <f>IF($AM543=0,"",IF(ISNUMBER($AK543),$AK543-N($AL543),""))</f>
        <v/>
      </c>
      <c r="R543" s="45" t="str">
        <f>IF(OR($Q543="",NOT(ISNUMBER($V543))),"",$AK543/$V543)</f>
        <v/>
      </c>
      <c r="S543" s="46" t="str">
        <f>IF($Q543="","",IF(AND(ISNUMBER($R543),ABS(N($R543))&lt;N(Settings!$C$8)),"Scratch",IF($Q543&gt;0,"Win",IF($Q543&lt;0,"Loss","Scratch"))))</f>
        <v/>
      </c>
      <c r="T543" s="47" t="str">
        <f>IF(OR($AM543=0,NOT(ISNUMBER($H543)),NOT(ISNUMBER($I543)),NOT(ISNUMBER($J543))),"",IF($H543=$I543,"",ROUND(ABS($J543-$H543)/ABS($H543-$I543),6)))</f>
        <v/>
      </c>
      <c r="U543" s="48" t="str">
        <f>IF(OR($S543&lt;&gt;"Win",NOT(ISNUMBER($T543)),NOT(ISNUMBER($R543))),"",MAX(0,$T543-$R543))</f>
        <v/>
      </c>
      <c r="V543" s="49" t="str">
        <f>IF(OR($AM543=0,NOT(ISNUMBER($H543)),NOT(ISNUMBER($I543)),NOT(ISNUMBER($G543))),"",IF(OR($AG543="",$AH543=""),"",IF(ROUND(ABS($H543-$I543)*ABS($G543)*$AG543*$AH543,6)=0,"",ROUND(ABS($H543-$I543)*ABS($G543)*$AG543*$AH543,6))))</f>
        <v/>
      </c>
      <c r="W543" s="50" t="str">
        <f>IF($AM543=0,"",IF($BG543="","OK",LEFT($BG543,LEN($BG543)-2)))</f>
        <v/>
      </c>
      <c r="X543" s="41" t="n"/>
      <c r="Y543" s="40" t="n"/>
      <c r="Z543" s="41" t="n"/>
      <c r="AA543" s="41" t="n"/>
      <c r="AB543" s="40" t="n"/>
      <c r="AC543" s="51" t="n"/>
      <c r="AD543" s="51" t="n"/>
      <c r="AE543" s="40" t="n"/>
      <c r="AF543" s="52" t="str">
        <f>IF($AM543=0,"",IF($D543&lt;&gt;"",$D543,IF(IFERROR(INDEX(Accounts!$C$7:$C$16,MATCH($C543,Accounts!$B$7:$B$16,0))&amp;"","")&lt;&gt;"",INDEX(Accounts!$C$7:$C$16,MATCH($C543,Accounts!$B$7:$B$16,0)),Settings!$C$6)))</f>
        <v/>
      </c>
      <c r="AG543" s="53" t="str">
        <f>IF($AM543=0,"",IF(AND($BE543&gt;0,N(INDEX(Instruments!$D$6:$D$205,MAX(1,$BE543)))&gt;0),INDEX(Instruments!$D$6:$D$205,MAX(1,$BE543)),IF(N(INDEX(Settings!$D$14:$D$18,$BF543))&gt;0,INDEX(Settings!$D$14:$D$18,$BF543),"")))</f>
        <v/>
      </c>
      <c r="AH543" s="54" t="str">
        <f>IF($AM543=0,"",IF($AF543&lt;&gt;"Forex",1,IF(MID(UPPER(SUBSTITUTE(TRIM($E543),"/","")),4,3)=UPPER(TRIM(Settings!$C$7)),1,IF(LEFT(UPPER(SUBSTITUTE(TRIM($E543),"/","")),3)=UPPER(TRIM(Settings!$C$7)),IF(AND(ISNUMBER($K543),N($K543)&lt;&gt;0),1/$K543,""),""))))</f>
        <v/>
      </c>
      <c r="AI543" s="55" t="str">
        <f>IF($AM543=0,"",IF(OR(NOT(ISNUMBER($H543)),NOT(ISNUMBER($K543)),NOT(ISNUMBER($G543)),$AG543="",$AH543=""),"",ROUND(($K543-$H543)*IF($F543="Short",-1,1)*$G543*$AG543*$AH543,6)))</f>
        <v/>
      </c>
      <c r="AJ543" s="55" t="str">
        <f>IF($AM543=0,"",IF(INDEX(Settings!$E$14:$E$18,$BF543)="% of notional",IF(OR($AG543="",NOT(ISNUMBER($H543)),NOT(ISNUMBER($G543))),"",ROUND(ABS($H543*$G543*$AG543*N($AH543))*IF($L543="Limit",N(INDEX(Settings!$G$14:$G$18,$BF543)),N(INDEX(Settings!$H$14:$H$18,$BF543)))+IF(ISNUMBER($K543),ABS($K543*$G543*$AG543*N($AH543))*IF($M543="Target",N(INDEX(Settings!$G$14:$G$18,$BF543)),N(INDEX(Settings!$H$14:$H$18,$BF543))),0),6)),IF(NOT(ISNUMBER($G543)),"",ROUND(ABS($G543)*2*IF(AND($BE543&gt;0,ISNUMBER(INDEX(Instruments!$G$6:$G$205,MAX(1,$BE543)))),INDEX(Instruments!$G$6:$G$205,MAX(1,$BE543)),N(INDEX(Settings!$F$14:$F$18,$BF543))),6))))</f>
        <v/>
      </c>
      <c r="AK543" s="55" t="str">
        <f>IF($AM543=0,"",IF(ISNUMBER($O543),$O543,$AI543))</f>
        <v/>
      </c>
      <c r="AL543" s="55" t="str">
        <f>IF($AM543=0,"",IF(ISNUMBER($P543),$P543,N($AJ543)))</f>
        <v/>
      </c>
      <c r="AM543" s="56">
        <f>IF(AND($A543&lt;&gt;"",$E543&lt;&gt;"",OR(AND(ISNUMBER($G543),ISNUMBER($H543),ISNUMBER($K543)),ISNUMBER($O543))),1,0)</f>
        <v>0</v>
      </c>
      <c r="AN543" s="57" t="str">
        <f>IF($A543="","",$A543-WEEKDAY($A543,3))</f>
        <v/>
      </c>
      <c r="AO543" s="56" t="str">
        <f>IF($A543="","",WEEKDAY($A543,2))</f>
        <v/>
      </c>
      <c r="AP543" s="55" t="str">
        <f>IF(OR($AM543=0,$C543=""),"",IFERROR(N(INDEX(Accounts!$E$7:$E$16,MATCH($C543,Accounts!$B$7:$B$16,0))),0)+SUMIFS($Q$6:$Q543,$C$6:$C543,$C543))</f>
        <v/>
      </c>
      <c r="AQ543" s="55" t="str">
        <f>IF(OR($AM543=0,$C543=""),"",SUMIFS($Q$6:$Q$1005,$C$6:$C$1005,$C543,$A$6:$A$1005,$A543))</f>
        <v/>
      </c>
      <c r="AR543" s="55" t="str">
        <f>IF(OR($AM543=0,$C543=""),"",IFERROR(N(INDEX(Accounts!$E$7:$E$16,MATCH($C543,Accounts!$B$7:$B$16,0))),0)+SUMIFS($Q$6:$Q$1005,$C$6:$C$1005,$C543,$A$6:$A$1005,"&lt;="&amp;$A543))</f>
        <v/>
      </c>
      <c r="AS543" s="56">
        <f>IF(OR($AM543=0,$Q543=""),0,IF(AND($A543&gt;=Lists!$W$6,$A543&lt;=Lists!$W$7,OR(Dashboard!$D$6="All accounts",$C543=Dashboard!$D$6),OR(Dashboard!$D$7="All markets",$AF543=Dashboard!$D$7)),1,0))</f>
        <v>0</v>
      </c>
      <c r="AT543" s="55">
        <f>IF($AS543=1,N(AT542)+$Q543,N(AT542))</f>
        <v>1187.10688</v>
      </c>
      <c r="AU543" s="55">
        <f>MAX(N(AU542),$AT543)</f>
        <v>1187.10688</v>
      </c>
      <c r="AV543" s="55">
        <f>$AT543-$AU543</f>
        <v>0</v>
      </c>
      <c r="AW543" s="56">
        <f>IF($AS543=1,IF($S543="Win",N(AW542)+1,IF($S543="Loss",0,N(AW542))),N(AW542))</f>
        <v>5</v>
      </c>
      <c r="AX543" s="56">
        <f>IF($AS543=1,IF($S543="Loss",N(AX542)+1,IF($S543="Win",0,N(AX542))),N(AX542))</f>
        <v>0</v>
      </c>
      <c r="AY543" s="56" t="str">
        <f>IF($AS543=1,COUNTIF($AS$6:$AS543,1),"")</f>
        <v/>
      </c>
      <c r="AZ543" s="56">
        <f>MIN(537,N(Lists!$W$8))</f>
        <v>28</v>
      </c>
      <c r="BA543" s="56">
        <f>IF($AS543=1,IF(COUNTIFS($A$6:$A543,$A543,$AS$6:$AS543,1)=1,1,0),0)</f>
        <v>0</v>
      </c>
      <c r="BB543" s="55" t="str">
        <f>IF($BA543=1,SUMIFS($Q$6:$Q$1005,$A$6:$A$1005,$A543,$AS$6:$AS$1005,1),"")</f>
        <v/>
      </c>
      <c r="BC543" s="56">
        <f>IF(ISNUMBER($R543),1,0)</f>
        <v>0</v>
      </c>
      <c r="BD543" s="55" t="str">
        <f>IF(ISNUMBER($U543),$U543*$V543,"")</f>
        <v/>
      </c>
      <c r="BE543" s="56" t="str">
        <f>IF($AM543=0,"",IFERROR(MATCH($AF543&amp;"|"&amp;UPPER(TRIM($E543)),Lists!$A$6:$A$205,0),0))</f>
        <v/>
      </c>
      <c r="BF543" s="56" t="str">
        <f>IF($AM543=0,"",IFERROR(MATCH($AF543,Settings!$B$14:$B$18,0),IFERROR(MATCH(Settings!$C$6,Settings!$B$14:$B$18,0),1)))</f>
        <v/>
      </c>
      <c r="BG543" s="58" t="str">
        <f>IF($AM543=0,"",IF(NOT(ISNUMBER($I543)),"No stop; ","")&amp;IF(AND(ISNUMBER($H543),ISNUMBER($I543)),IF(OR(AND($F543&lt;&gt;"Short",$I543&gt;=$H543),AND($F543="Short",$I543&lt;=$H543)),"Stop on wrong side; ",""),"")&amp;IF($F543="","No direction; ","")&amp;IF(AND(ISNUMBER(Settings!$C$22),ISNUMBER($V543)),IF($V543&gt;Settings!$C$22,"Risk over max $; ",""),"")&amp;IF(AND(ISNUMBER(Settings!$C$23),ISNUMBER($V543),ISNUMBER($AP543),IFERROR(N(INDEX(Accounts!$E$7:$E$16,MATCH($C543,Accounts!$B$7:$B$16,0))),0)&gt;0),IF($V543&gt;Settings!$C$23*($AP543-N($Q543)),"Risk over max %; ",""),"")&amp;IF(AND(ISNUMBER(Settings!$C$24),ISNUMBER($N543)),IF($N543&gt;Settings!$C$24,"Leverage over max; ",""),"")&amp;IF(AND(ISNUMBER(Settings!$C$27),ISNUMBER($T543)),IF($T543&lt;Settings!$C$27,"R:R below min; ",""),"")&amp;IF(ISNUMBER(Settings!$C$25),IF(COUNTIFS($A$6:$A543,$A543,$AM$6:$AM543,1)&gt;Settings!$C$25,"Over max trades/day; ",""),"")&amp;IF(ISNUMBER(Settings!$C$26),IF(SUMIFS($Q$5:$Q542,$A$5:$A542,$A543)&lt;=-Settings!$C$26,"Traded after daily max loss; ",""),"")&amp;IF(AND($AG543="",NOT(ISNUMBER($O543))),"Symbol not in Instruments; ","")&amp;IF(AND($AH543="",NOT(ISNUMBER($O543))),"Forex cross: type Gross P&amp;L; ",""))</f>
        <v/>
      </c>
      <c r="BH543" s="56">
        <f>IF(ISNUMBER($Q543),1,0)</f>
        <v>0</v>
      </c>
      <c r="BI543" s="56">
        <f>IF($Y543="",0,1)</f>
        <v>0</v>
      </c>
      <c r="BJ543" s="56">
        <f>IF($AB543="",0,1)</f>
        <v>0</v>
      </c>
      <c r="BK543" s="56">
        <f>IF(AND($BH543=1,$W543&lt;&gt;"OK"),1,0)</f>
        <v>0</v>
      </c>
      <c r="BL543" s="55">
        <f>IF(N($AZ543)=0,0,IFERROR(INDEX($AT$6:$AT$1005,MATCH($AZ543,$AY$6:$AY$1005,0)),0))</f>
        <v>1187.10688</v>
      </c>
      <c r="BM543" s="56">
        <f>IF(ISNUMBER(SEARCH("daily max loss",$BG543)),1,0)</f>
        <v>0</v>
      </c>
    </row>
    <row r="544" ht="18" customHeight="1">
      <c r="A544" s="38" t="n"/>
      <c r="B544" s="39" t="n"/>
      <c r="C544" s="40" t="n"/>
      <c r="D544" s="41" t="n"/>
      <c r="E544" s="41" t="n"/>
      <c r="F544" s="41" t="n"/>
      <c r="G544" s="41" t="n"/>
      <c r="H544" s="42" t="n"/>
      <c r="I544" s="42" t="n"/>
      <c r="J544" s="42" t="n"/>
      <c r="K544" s="42" t="n"/>
      <c r="L544" s="41" t="n"/>
      <c r="M544" s="41" t="n"/>
      <c r="N544" s="41" t="n"/>
      <c r="O544" s="43" t="n"/>
      <c r="P544" s="43" t="n"/>
      <c r="Q544" s="44" t="str">
        <f>IF($AM544=0,"",IF(ISNUMBER($AK544),$AK544-N($AL544),""))</f>
        <v/>
      </c>
      <c r="R544" s="45" t="str">
        <f>IF(OR($Q544="",NOT(ISNUMBER($V544))),"",$AK544/$V544)</f>
        <v/>
      </c>
      <c r="S544" s="46" t="str">
        <f>IF($Q544="","",IF(AND(ISNUMBER($R544),ABS(N($R544))&lt;N(Settings!$C$8)),"Scratch",IF($Q544&gt;0,"Win",IF($Q544&lt;0,"Loss","Scratch"))))</f>
        <v/>
      </c>
      <c r="T544" s="47" t="str">
        <f>IF(OR($AM544=0,NOT(ISNUMBER($H544)),NOT(ISNUMBER($I544)),NOT(ISNUMBER($J544))),"",IF($H544=$I544,"",ROUND(ABS($J544-$H544)/ABS($H544-$I544),6)))</f>
        <v/>
      </c>
      <c r="U544" s="48" t="str">
        <f>IF(OR($S544&lt;&gt;"Win",NOT(ISNUMBER($T544)),NOT(ISNUMBER($R544))),"",MAX(0,$T544-$R544))</f>
        <v/>
      </c>
      <c r="V544" s="49" t="str">
        <f>IF(OR($AM544=0,NOT(ISNUMBER($H544)),NOT(ISNUMBER($I544)),NOT(ISNUMBER($G544))),"",IF(OR($AG544="",$AH544=""),"",IF(ROUND(ABS($H544-$I544)*ABS($G544)*$AG544*$AH544,6)=0,"",ROUND(ABS($H544-$I544)*ABS($G544)*$AG544*$AH544,6))))</f>
        <v/>
      </c>
      <c r="W544" s="50" t="str">
        <f>IF($AM544=0,"",IF($BG544="","OK",LEFT($BG544,LEN($BG544)-2)))</f>
        <v/>
      </c>
      <c r="X544" s="41" t="n"/>
      <c r="Y544" s="40" t="n"/>
      <c r="Z544" s="41" t="n"/>
      <c r="AA544" s="41" t="n"/>
      <c r="AB544" s="40" t="n"/>
      <c r="AC544" s="51" t="n"/>
      <c r="AD544" s="51" t="n"/>
      <c r="AE544" s="40" t="n"/>
      <c r="AF544" s="52" t="str">
        <f>IF($AM544=0,"",IF($D544&lt;&gt;"",$D544,IF(IFERROR(INDEX(Accounts!$C$7:$C$16,MATCH($C544,Accounts!$B$7:$B$16,0))&amp;"","")&lt;&gt;"",INDEX(Accounts!$C$7:$C$16,MATCH($C544,Accounts!$B$7:$B$16,0)),Settings!$C$6)))</f>
        <v/>
      </c>
      <c r="AG544" s="53" t="str">
        <f>IF($AM544=0,"",IF(AND($BE544&gt;0,N(INDEX(Instruments!$D$6:$D$205,MAX(1,$BE544)))&gt;0),INDEX(Instruments!$D$6:$D$205,MAX(1,$BE544)),IF(N(INDEX(Settings!$D$14:$D$18,$BF544))&gt;0,INDEX(Settings!$D$14:$D$18,$BF544),"")))</f>
        <v/>
      </c>
      <c r="AH544" s="54" t="str">
        <f>IF($AM544=0,"",IF($AF544&lt;&gt;"Forex",1,IF(MID(UPPER(SUBSTITUTE(TRIM($E544),"/","")),4,3)=UPPER(TRIM(Settings!$C$7)),1,IF(LEFT(UPPER(SUBSTITUTE(TRIM($E544),"/","")),3)=UPPER(TRIM(Settings!$C$7)),IF(AND(ISNUMBER($K544),N($K544)&lt;&gt;0),1/$K544,""),""))))</f>
        <v/>
      </c>
      <c r="AI544" s="55" t="str">
        <f>IF($AM544=0,"",IF(OR(NOT(ISNUMBER($H544)),NOT(ISNUMBER($K544)),NOT(ISNUMBER($G544)),$AG544="",$AH544=""),"",ROUND(($K544-$H544)*IF($F544="Short",-1,1)*$G544*$AG544*$AH544,6)))</f>
        <v/>
      </c>
      <c r="AJ544" s="55" t="str">
        <f>IF($AM544=0,"",IF(INDEX(Settings!$E$14:$E$18,$BF544)="% of notional",IF(OR($AG544="",NOT(ISNUMBER($H544)),NOT(ISNUMBER($G544))),"",ROUND(ABS($H544*$G544*$AG544*N($AH544))*IF($L544="Limit",N(INDEX(Settings!$G$14:$G$18,$BF544)),N(INDEX(Settings!$H$14:$H$18,$BF544)))+IF(ISNUMBER($K544),ABS($K544*$G544*$AG544*N($AH544))*IF($M544="Target",N(INDEX(Settings!$G$14:$G$18,$BF544)),N(INDEX(Settings!$H$14:$H$18,$BF544))),0),6)),IF(NOT(ISNUMBER($G544)),"",ROUND(ABS($G544)*2*IF(AND($BE544&gt;0,ISNUMBER(INDEX(Instruments!$G$6:$G$205,MAX(1,$BE544)))),INDEX(Instruments!$G$6:$G$205,MAX(1,$BE544)),N(INDEX(Settings!$F$14:$F$18,$BF544))),6))))</f>
        <v/>
      </c>
      <c r="AK544" s="55" t="str">
        <f>IF($AM544=0,"",IF(ISNUMBER($O544),$O544,$AI544))</f>
        <v/>
      </c>
      <c r="AL544" s="55" t="str">
        <f>IF($AM544=0,"",IF(ISNUMBER($P544),$P544,N($AJ544)))</f>
        <v/>
      </c>
      <c r="AM544" s="56">
        <f>IF(AND($A544&lt;&gt;"",$E544&lt;&gt;"",OR(AND(ISNUMBER($G544),ISNUMBER($H544),ISNUMBER($K544)),ISNUMBER($O544))),1,0)</f>
        <v>0</v>
      </c>
      <c r="AN544" s="57" t="str">
        <f>IF($A544="","",$A544-WEEKDAY($A544,3))</f>
        <v/>
      </c>
      <c r="AO544" s="56" t="str">
        <f>IF($A544="","",WEEKDAY($A544,2))</f>
        <v/>
      </c>
      <c r="AP544" s="55" t="str">
        <f>IF(OR($AM544=0,$C544=""),"",IFERROR(N(INDEX(Accounts!$E$7:$E$16,MATCH($C544,Accounts!$B$7:$B$16,0))),0)+SUMIFS($Q$6:$Q544,$C$6:$C544,$C544))</f>
        <v/>
      </c>
      <c r="AQ544" s="55" t="str">
        <f>IF(OR($AM544=0,$C544=""),"",SUMIFS($Q$6:$Q$1005,$C$6:$C$1005,$C544,$A$6:$A$1005,$A544))</f>
        <v/>
      </c>
      <c r="AR544" s="55" t="str">
        <f>IF(OR($AM544=0,$C544=""),"",IFERROR(N(INDEX(Accounts!$E$7:$E$16,MATCH($C544,Accounts!$B$7:$B$16,0))),0)+SUMIFS($Q$6:$Q$1005,$C$6:$C$1005,$C544,$A$6:$A$1005,"&lt;="&amp;$A544))</f>
        <v/>
      </c>
      <c r="AS544" s="56">
        <f>IF(OR($AM544=0,$Q544=""),0,IF(AND($A544&gt;=Lists!$W$6,$A544&lt;=Lists!$W$7,OR(Dashboard!$D$6="All accounts",$C544=Dashboard!$D$6),OR(Dashboard!$D$7="All markets",$AF544=Dashboard!$D$7)),1,0))</f>
        <v>0</v>
      </c>
      <c r="AT544" s="55">
        <f>IF($AS544=1,N(AT543)+$Q544,N(AT543))</f>
        <v>1187.10688</v>
      </c>
      <c r="AU544" s="55">
        <f>MAX(N(AU543),$AT544)</f>
        <v>1187.10688</v>
      </c>
      <c r="AV544" s="55">
        <f>$AT544-$AU544</f>
        <v>0</v>
      </c>
      <c r="AW544" s="56">
        <f>IF($AS544=1,IF($S544="Win",N(AW543)+1,IF($S544="Loss",0,N(AW543))),N(AW543))</f>
        <v>5</v>
      </c>
      <c r="AX544" s="56">
        <f>IF($AS544=1,IF($S544="Loss",N(AX543)+1,IF($S544="Win",0,N(AX543))),N(AX543))</f>
        <v>0</v>
      </c>
      <c r="AY544" s="56" t="str">
        <f>IF($AS544=1,COUNTIF($AS$6:$AS544,1),"")</f>
        <v/>
      </c>
      <c r="AZ544" s="56">
        <f>MIN(538,N(Lists!$W$8))</f>
        <v>28</v>
      </c>
      <c r="BA544" s="56">
        <f>IF($AS544=1,IF(COUNTIFS($A$6:$A544,$A544,$AS$6:$AS544,1)=1,1,0),0)</f>
        <v>0</v>
      </c>
      <c r="BB544" s="55" t="str">
        <f>IF($BA544=1,SUMIFS($Q$6:$Q$1005,$A$6:$A$1005,$A544,$AS$6:$AS$1005,1),"")</f>
        <v/>
      </c>
      <c r="BC544" s="56">
        <f>IF(ISNUMBER($R544),1,0)</f>
        <v>0</v>
      </c>
      <c r="BD544" s="55" t="str">
        <f>IF(ISNUMBER($U544),$U544*$V544,"")</f>
        <v/>
      </c>
      <c r="BE544" s="56" t="str">
        <f>IF($AM544=0,"",IFERROR(MATCH($AF544&amp;"|"&amp;UPPER(TRIM($E544)),Lists!$A$6:$A$205,0),0))</f>
        <v/>
      </c>
      <c r="BF544" s="56" t="str">
        <f>IF($AM544=0,"",IFERROR(MATCH($AF544,Settings!$B$14:$B$18,0),IFERROR(MATCH(Settings!$C$6,Settings!$B$14:$B$18,0),1)))</f>
        <v/>
      </c>
      <c r="BG544" s="58" t="str">
        <f>IF($AM544=0,"",IF(NOT(ISNUMBER($I544)),"No stop; ","")&amp;IF(AND(ISNUMBER($H544),ISNUMBER($I544)),IF(OR(AND($F544&lt;&gt;"Short",$I544&gt;=$H544),AND($F544="Short",$I544&lt;=$H544)),"Stop on wrong side; ",""),"")&amp;IF($F544="","No direction; ","")&amp;IF(AND(ISNUMBER(Settings!$C$22),ISNUMBER($V544)),IF($V544&gt;Settings!$C$22,"Risk over max $; ",""),"")&amp;IF(AND(ISNUMBER(Settings!$C$23),ISNUMBER($V544),ISNUMBER($AP544),IFERROR(N(INDEX(Accounts!$E$7:$E$16,MATCH($C544,Accounts!$B$7:$B$16,0))),0)&gt;0),IF($V544&gt;Settings!$C$23*($AP544-N($Q544)),"Risk over max %; ",""),"")&amp;IF(AND(ISNUMBER(Settings!$C$24),ISNUMBER($N544)),IF($N544&gt;Settings!$C$24,"Leverage over max; ",""),"")&amp;IF(AND(ISNUMBER(Settings!$C$27),ISNUMBER($T544)),IF($T544&lt;Settings!$C$27,"R:R below min; ",""),"")&amp;IF(ISNUMBER(Settings!$C$25),IF(COUNTIFS($A$6:$A544,$A544,$AM$6:$AM544,1)&gt;Settings!$C$25,"Over max trades/day; ",""),"")&amp;IF(ISNUMBER(Settings!$C$26),IF(SUMIFS($Q$5:$Q543,$A$5:$A543,$A544)&lt;=-Settings!$C$26,"Traded after daily max loss; ",""),"")&amp;IF(AND($AG544="",NOT(ISNUMBER($O544))),"Symbol not in Instruments; ","")&amp;IF(AND($AH544="",NOT(ISNUMBER($O544))),"Forex cross: type Gross P&amp;L; ",""))</f>
        <v/>
      </c>
      <c r="BH544" s="56">
        <f>IF(ISNUMBER($Q544),1,0)</f>
        <v>0</v>
      </c>
      <c r="BI544" s="56">
        <f>IF($Y544="",0,1)</f>
        <v>0</v>
      </c>
      <c r="BJ544" s="56">
        <f>IF($AB544="",0,1)</f>
        <v>0</v>
      </c>
      <c r="BK544" s="56">
        <f>IF(AND($BH544=1,$W544&lt;&gt;"OK"),1,0)</f>
        <v>0</v>
      </c>
      <c r="BL544" s="55">
        <f>IF(N($AZ544)=0,0,IFERROR(INDEX($AT$6:$AT$1005,MATCH($AZ544,$AY$6:$AY$1005,0)),0))</f>
        <v>1187.10688</v>
      </c>
      <c r="BM544" s="56">
        <f>IF(ISNUMBER(SEARCH("daily max loss",$BG544)),1,0)</f>
        <v>0</v>
      </c>
    </row>
    <row r="545" ht="18" customHeight="1">
      <c r="A545" s="38" t="n"/>
      <c r="B545" s="39" t="n"/>
      <c r="C545" s="40" t="n"/>
      <c r="D545" s="41" t="n"/>
      <c r="E545" s="41" t="n"/>
      <c r="F545" s="41" t="n"/>
      <c r="G545" s="41" t="n"/>
      <c r="H545" s="42" t="n"/>
      <c r="I545" s="42" t="n"/>
      <c r="J545" s="42" t="n"/>
      <c r="K545" s="42" t="n"/>
      <c r="L545" s="41" t="n"/>
      <c r="M545" s="41" t="n"/>
      <c r="N545" s="41" t="n"/>
      <c r="O545" s="43" t="n"/>
      <c r="P545" s="43" t="n"/>
      <c r="Q545" s="44" t="str">
        <f>IF($AM545=0,"",IF(ISNUMBER($AK545),$AK545-N($AL545),""))</f>
        <v/>
      </c>
      <c r="R545" s="45" t="str">
        <f>IF(OR($Q545="",NOT(ISNUMBER($V545))),"",$AK545/$V545)</f>
        <v/>
      </c>
      <c r="S545" s="46" t="str">
        <f>IF($Q545="","",IF(AND(ISNUMBER($R545),ABS(N($R545))&lt;N(Settings!$C$8)),"Scratch",IF($Q545&gt;0,"Win",IF($Q545&lt;0,"Loss","Scratch"))))</f>
        <v/>
      </c>
      <c r="T545" s="47" t="str">
        <f>IF(OR($AM545=0,NOT(ISNUMBER($H545)),NOT(ISNUMBER($I545)),NOT(ISNUMBER($J545))),"",IF($H545=$I545,"",ROUND(ABS($J545-$H545)/ABS($H545-$I545),6)))</f>
        <v/>
      </c>
      <c r="U545" s="48" t="str">
        <f>IF(OR($S545&lt;&gt;"Win",NOT(ISNUMBER($T545)),NOT(ISNUMBER($R545))),"",MAX(0,$T545-$R545))</f>
        <v/>
      </c>
      <c r="V545" s="49" t="str">
        <f>IF(OR($AM545=0,NOT(ISNUMBER($H545)),NOT(ISNUMBER($I545)),NOT(ISNUMBER($G545))),"",IF(OR($AG545="",$AH545=""),"",IF(ROUND(ABS($H545-$I545)*ABS($G545)*$AG545*$AH545,6)=0,"",ROUND(ABS($H545-$I545)*ABS($G545)*$AG545*$AH545,6))))</f>
        <v/>
      </c>
      <c r="W545" s="50" t="str">
        <f>IF($AM545=0,"",IF($BG545="","OK",LEFT($BG545,LEN($BG545)-2)))</f>
        <v/>
      </c>
      <c r="X545" s="41" t="n"/>
      <c r="Y545" s="40" t="n"/>
      <c r="Z545" s="41" t="n"/>
      <c r="AA545" s="41" t="n"/>
      <c r="AB545" s="40" t="n"/>
      <c r="AC545" s="51" t="n"/>
      <c r="AD545" s="51" t="n"/>
      <c r="AE545" s="40" t="n"/>
      <c r="AF545" s="52" t="str">
        <f>IF($AM545=0,"",IF($D545&lt;&gt;"",$D545,IF(IFERROR(INDEX(Accounts!$C$7:$C$16,MATCH($C545,Accounts!$B$7:$B$16,0))&amp;"","")&lt;&gt;"",INDEX(Accounts!$C$7:$C$16,MATCH($C545,Accounts!$B$7:$B$16,0)),Settings!$C$6)))</f>
        <v/>
      </c>
      <c r="AG545" s="53" t="str">
        <f>IF($AM545=0,"",IF(AND($BE545&gt;0,N(INDEX(Instruments!$D$6:$D$205,MAX(1,$BE545)))&gt;0),INDEX(Instruments!$D$6:$D$205,MAX(1,$BE545)),IF(N(INDEX(Settings!$D$14:$D$18,$BF545))&gt;0,INDEX(Settings!$D$14:$D$18,$BF545),"")))</f>
        <v/>
      </c>
      <c r="AH545" s="54" t="str">
        <f>IF($AM545=0,"",IF($AF545&lt;&gt;"Forex",1,IF(MID(UPPER(SUBSTITUTE(TRIM($E545),"/","")),4,3)=UPPER(TRIM(Settings!$C$7)),1,IF(LEFT(UPPER(SUBSTITUTE(TRIM($E545),"/","")),3)=UPPER(TRIM(Settings!$C$7)),IF(AND(ISNUMBER($K545),N($K545)&lt;&gt;0),1/$K545,""),""))))</f>
        <v/>
      </c>
      <c r="AI545" s="55" t="str">
        <f>IF($AM545=0,"",IF(OR(NOT(ISNUMBER($H545)),NOT(ISNUMBER($K545)),NOT(ISNUMBER($G545)),$AG545="",$AH545=""),"",ROUND(($K545-$H545)*IF($F545="Short",-1,1)*$G545*$AG545*$AH545,6)))</f>
        <v/>
      </c>
      <c r="AJ545" s="55" t="str">
        <f>IF($AM545=0,"",IF(INDEX(Settings!$E$14:$E$18,$BF545)="% of notional",IF(OR($AG545="",NOT(ISNUMBER($H545)),NOT(ISNUMBER($G545))),"",ROUND(ABS($H545*$G545*$AG545*N($AH545))*IF($L545="Limit",N(INDEX(Settings!$G$14:$G$18,$BF545)),N(INDEX(Settings!$H$14:$H$18,$BF545)))+IF(ISNUMBER($K545),ABS($K545*$G545*$AG545*N($AH545))*IF($M545="Target",N(INDEX(Settings!$G$14:$G$18,$BF545)),N(INDEX(Settings!$H$14:$H$18,$BF545))),0),6)),IF(NOT(ISNUMBER($G545)),"",ROUND(ABS($G545)*2*IF(AND($BE545&gt;0,ISNUMBER(INDEX(Instruments!$G$6:$G$205,MAX(1,$BE545)))),INDEX(Instruments!$G$6:$G$205,MAX(1,$BE545)),N(INDEX(Settings!$F$14:$F$18,$BF545))),6))))</f>
        <v/>
      </c>
      <c r="AK545" s="55" t="str">
        <f>IF($AM545=0,"",IF(ISNUMBER($O545),$O545,$AI545))</f>
        <v/>
      </c>
      <c r="AL545" s="55" t="str">
        <f>IF($AM545=0,"",IF(ISNUMBER($P545),$P545,N($AJ545)))</f>
        <v/>
      </c>
      <c r="AM545" s="56">
        <f>IF(AND($A545&lt;&gt;"",$E545&lt;&gt;"",OR(AND(ISNUMBER($G545),ISNUMBER($H545),ISNUMBER($K545)),ISNUMBER($O545))),1,0)</f>
        <v>0</v>
      </c>
      <c r="AN545" s="57" t="str">
        <f>IF($A545="","",$A545-WEEKDAY($A545,3))</f>
        <v/>
      </c>
      <c r="AO545" s="56" t="str">
        <f>IF($A545="","",WEEKDAY($A545,2))</f>
        <v/>
      </c>
      <c r="AP545" s="55" t="str">
        <f>IF(OR($AM545=0,$C545=""),"",IFERROR(N(INDEX(Accounts!$E$7:$E$16,MATCH($C545,Accounts!$B$7:$B$16,0))),0)+SUMIFS($Q$6:$Q545,$C$6:$C545,$C545))</f>
        <v/>
      </c>
      <c r="AQ545" s="55" t="str">
        <f>IF(OR($AM545=0,$C545=""),"",SUMIFS($Q$6:$Q$1005,$C$6:$C$1005,$C545,$A$6:$A$1005,$A545))</f>
        <v/>
      </c>
      <c r="AR545" s="55" t="str">
        <f>IF(OR($AM545=0,$C545=""),"",IFERROR(N(INDEX(Accounts!$E$7:$E$16,MATCH($C545,Accounts!$B$7:$B$16,0))),0)+SUMIFS($Q$6:$Q$1005,$C$6:$C$1005,$C545,$A$6:$A$1005,"&lt;="&amp;$A545))</f>
        <v/>
      </c>
      <c r="AS545" s="56">
        <f>IF(OR($AM545=0,$Q545=""),0,IF(AND($A545&gt;=Lists!$W$6,$A545&lt;=Lists!$W$7,OR(Dashboard!$D$6="All accounts",$C545=Dashboard!$D$6),OR(Dashboard!$D$7="All markets",$AF545=Dashboard!$D$7)),1,0))</f>
        <v>0</v>
      </c>
      <c r="AT545" s="55">
        <f>IF($AS545=1,N(AT544)+$Q545,N(AT544))</f>
        <v>1187.10688</v>
      </c>
      <c r="AU545" s="55">
        <f>MAX(N(AU544),$AT545)</f>
        <v>1187.10688</v>
      </c>
      <c r="AV545" s="55">
        <f>$AT545-$AU545</f>
        <v>0</v>
      </c>
      <c r="AW545" s="56">
        <f>IF($AS545=1,IF($S545="Win",N(AW544)+1,IF($S545="Loss",0,N(AW544))),N(AW544))</f>
        <v>5</v>
      </c>
      <c r="AX545" s="56">
        <f>IF($AS545=1,IF($S545="Loss",N(AX544)+1,IF($S545="Win",0,N(AX544))),N(AX544))</f>
        <v>0</v>
      </c>
      <c r="AY545" s="56" t="str">
        <f>IF($AS545=1,COUNTIF($AS$6:$AS545,1),"")</f>
        <v/>
      </c>
      <c r="AZ545" s="56">
        <f>MIN(539,N(Lists!$W$8))</f>
        <v>28</v>
      </c>
      <c r="BA545" s="56">
        <f>IF($AS545=1,IF(COUNTIFS($A$6:$A545,$A545,$AS$6:$AS545,1)=1,1,0),0)</f>
        <v>0</v>
      </c>
      <c r="BB545" s="55" t="str">
        <f>IF($BA545=1,SUMIFS($Q$6:$Q$1005,$A$6:$A$1005,$A545,$AS$6:$AS$1005,1),"")</f>
        <v/>
      </c>
      <c r="BC545" s="56">
        <f>IF(ISNUMBER($R545),1,0)</f>
        <v>0</v>
      </c>
      <c r="BD545" s="55" t="str">
        <f>IF(ISNUMBER($U545),$U545*$V545,"")</f>
        <v/>
      </c>
      <c r="BE545" s="56" t="str">
        <f>IF($AM545=0,"",IFERROR(MATCH($AF545&amp;"|"&amp;UPPER(TRIM($E545)),Lists!$A$6:$A$205,0),0))</f>
        <v/>
      </c>
      <c r="BF545" s="56" t="str">
        <f>IF($AM545=0,"",IFERROR(MATCH($AF545,Settings!$B$14:$B$18,0),IFERROR(MATCH(Settings!$C$6,Settings!$B$14:$B$18,0),1)))</f>
        <v/>
      </c>
      <c r="BG545" s="58" t="str">
        <f>IF($AM545=0,"",IF(NOT(ISNUMBER($I545)),"No stop; ","")&amp;IF(AND(ISNUMBER($H545),ISNUMBER($I545)),IF(OR(AND($F545&lt;&gt;"Short",$I545&gt;=$H545),AND($F545="Short",$I545&lt;=$H545)),"Stop on wrong side; ",""),"")&amp;IF($F545="","No direction; ","")&amp;IF(AND(ISNUMBER(Settings!$C$22),ISNUMBER($V545)),IF($V545&gt;Settings!$C$22,"Risk over max $; ",""),"")&amp;IF(AND(ISNUMBER(Settings!$C$23),ISNUMBER($V545),ISNUMBER($AP545),IFERROR(N(INDEX(Accounts!$E$7:$E$16,MATCH($C545,Accounts!$B$7:$B$16,0))),0)&gt;0),IF($V545&gt;Settings!$C$23*($AP545-N($Q545)),"Risk over max %; ",""),"")&amp;IF(AND(ISNUMBER(Settings!$C$24),ISNUMBER($N545)),IF($N545&gt;Settings!$C$24,"Leverage over max; ",""),"")&amp;IF(AND(ISNUMBER(Settings!$C$27),ISNUMBER($T545)),IF($T545&lt;Settings!$C$27,"R:R below min; ",""),"")&amp;IF(ISNUMBER(Settings!$C$25),IF(COUNTIFS($A$6:$A545,$A545,$AM$6:$AM545,1)&gt;Settings!$C$25,"Over max trades/day; ",""),"")&amp;IF(ISNUMBER(Settings!$C$26),IF(SUMIFS($Q$5:$Q544,$A$5:$A544,$A545)&lt;=-Settings!$C$26,"Traded after daily max loss; ",""),"")&amp;IF(AND($AG545="",NOT(ISNUMBER($O545))),"Symbol not in Instruments; ","")&amp;IF(AND($AH545="",NOT(ISNUMBER($O545))),"Forex cross: type Gross P&amp;L; ",""))</f>
        <v/>
      </c>
      <c r="BH545" s="56">
        <f>IF(ISNUMBER($Q545),1,0)</f>
        <v>0</v>
      </c>
      <c r="BI545" s="56">
        <f>IF($Y545="",0,1)</f>
        <v>0</v>
      </c>
      <c r="BJ545" s="56">
        <f>IF($AB545="",0,1)</f>
        <v>0</v>
      </c>
      <c r="BK545" s="56">
        <f>IF(AND($BH545=1,$W545&lt;&gt;"OK"),1,0)</f>
        <v>0</v>
      </c>
      <c r="BL545" s="55">
        <f>IF(N($AZ545)=0,0,IFERROR(INDEX($AT$6:$AT$1005,MATCH($AZ545,$AY$6:$AY$1005,0)),0))</f>
        <v>1187.10688</v>
      </c>
      <c r="BM545" s="56">
        <f>IF(ISNUMBER(SEARCH("daily max loss",$BG545)),1,0)</f>
        <v>0</v>
      </c>
    </row>
    <row r="546" ht="18" customHeight="1">
      <c r="A546" s="38" t="n"/>
      <c r="B546" s="39" t="n"/>
      <c r="C546" s="40" t="n"/>
      <c r="D546" s="41" t="n"/>
      <c r="E546" s="41" t="n"/>
      <c r="F546" s="41" t="n"/>
      <c r="G546" s="41" t="n"/>
      <c r="H546" s="42" t="n"/>
      <c r="I546" s="42" t="n"/>
      <c r="J546" s="42" t="n"/>
      <c r="K546" s="42" t="n"/>
      <c r="L546" s="41" t="n"/>
      <c r="M546" s="41" t="n"/>
      <c r="N546" s="41" t="n"/>
      <c r="O546" s="43" t="n"/>
      <c r="P546" s="43" t="n"/>
      <c r="Q546" s="44" t="str">
        <f>IF($AM546=0,"",IF(ISNUMBER($AK546),$AK546-N($AL546),""))</f>
        <v/>
      </c>
      <c r="R546" s="45" t="str">
        <f>IF(OR($Q546="",NOT(ISNUMBER($V546))),"",$AK546/$V546)</f>
        <v/>
      </c>
      <c r="S546" s="46" t="str">
        <f>IF($Q546="","",IF(AND(ISNUMBER($R546),ABS(N($R546))&lt;N(Settings!$C$8)),"Scratch",IF($Q546&gt;0,"Win",IF($Q546&lt;0,"Loss","Scratch"))))</f>
        <v/>
      </c>
      <c r="T546" s="47" t="str">
        <f>IF(OR($AM546=0,NOT(ISNUMBER($H546)),NOT(ISNUMBER($I546)),NOT(ISNUMBER($J546))),"",IF($H546=$I546,"",ROUND(ABS($J546-$H546)/ABS($H546-$I546),6)))</f>
        <v/>
      </c>
      <c r="U546" s="48" t="str">
        <f>IF(OR($S546&lt;&gt;"Win",NOT(ISNUMBER($T546)),NOT(ISNUMBER($R546))),"",MAX(0,$T546-$R546))</f>
        <v/>
      </c>
      <c r="V546" s="49" t="str">
        <f>IF(OR($AM546=0,NOT(ISNUMBER($H546)),NOT(ISNUMBER($I546)),NOT(ISNUMBER($G546))),"",IF(OR($AG546="",$AH546=""),"",IF(ROUND(ABS($H546-$I546)*ABS($G546)*$AG546*$AH546,6)=0,"",ROUND(ABS($H546-$I546)*ABS($G546)*$AG546*$AH546,6))))</f>
        <v/>
      </c>
      <c r="W546" s="50" t="str">
        <f>IF($AM546=0,"",IF($BG546="","OK",LEFT($BG546,LEN($BG546)-2)))</f>
        <v/>
      </c>
      <c r="X546" s="41" t="n"/>
      <c r="Y546" s="40" t="n"/>
      <c r="Z546" s="41" t="n"/>
      <c r="AA546" s="41" t="n"/>
      <c r="AB546" s="40" t="n"/>
      <c r="AC546" s="51" t="n"/>
      <c r="AD546" s="51" t="n"/>
      <c r="AE546" s="40" t="n"/>
      <c r="AF546" s="52" t="str">
        <f>IF($AM546=0,"",IF($D546&lt;&gt;"",$D546,IF(IFERROR(INDEX(Accounts!$C$7:$C$16,MATCH($C546,Accounts!$B$7:$B$16,0))&amp;"","")&lt;&gt;"",INDEX(Accounts!$C$7:$C$16,MATCH($C546,Accounts!$B$7:$B$16,0)),Settings!$C$6)))</f>
        <v/>
      </c>
      <c r="AG546" s="53" t="str">
        <f>IF($AM546=0,"",IF(AND($BE546&gt;0,N(INDEX(Instruments!$D$6:$D$205,MAX(1,$BE546)))&gt;0),INDEX(Instruments!$D$6:$D$205,MAX(1,$BE546)),IF(N(INDEX(Settings!$D$14:$D$18,$BF546))&gt;0,INDEX(Settings!$D$14:$D$18,$BF546),"")))</f>
        <v/>
      </c>
      <c r="AH546" s="54" t="str">
        <f>IF($AM546=0,"",IF($AF546&lt;&gt;"Forex",1,IF(MID(UPPER(SUBSTITUTE(TRIM($E546),"/","")),4,3)=UPPER(TRIM(Settings!$C$7)),1,IF(LEFT(UPPER(SUBSTITUTE(TRIM($E546),"/","")),3)=UPPER(TRIM(Settings!$C$7)),IF(AND(ISNUMBER($K546),N($K546)&lt;&gt;0),1/$K546,""),""))))</f>
        <v/>
      </c>
      <c r="AI546" s="55" t="str">
        <f>IF($AM546=0,"",IF(OR(NOT(ISNUMBER($H546)),NOT(ISNUMBER($K546)),NOT(ISNUMBER($G546)),$AG546="",$AH546=""),"",ROUND(($K546-$H546)*IF($F546="Short",-1,1)*$G546*$AG546*$AH546,6)))</f>
        <v/>
      </c>
      <c r="AJ546" s="55" t="str">
        <f>IF($AM546=0,"",IF(INDEX(Settings!$E$14:$E$18,$BF546)="% of notional",IF(OR($AG546="",NOT(ISNUMBER($H546)),NOT(ISNUMBER($G546))),"",ROUND(ABS($H546*$G546*$AG546*N($AH546))*IF($L546="Limit",N(INDEX(Settings!$G$14:$G$18,$BF546)),N(INDEX(Settings!$H$14:$H$18,$BF546)))+IF(ISNUMBER($K546),ABS($K546*$G546*$AG546*N($AH546))*IF($M546="Target",N(INDEX(Settings!$G$14:$G$18,$BF546)),N(INDEX(Settings!$H$14:$H$18,$BF546))),0),6)),IF(NOT(ISNUMBER($G546)),"",ROUND(ABS($G546)*2*IF(AND($BE546&gt;0,ISNUMBER(INDEX(Instruments!$G$6:$G$205,MAX(1,$BE546)))),INDEX(Instruments!$G$6:$G$205,MAX(1,$BE546)),N(INDEX(Settings!$F$14:$F$18,$BF546))),6))))</f>
        <v/>
      </c>
      <c r="AK546" s="55" t="str">
        <f>IF($AM546=0,"",IF(ISNUMBER($O546),$O546,$AI546))</f>
        <v/>
      </c>
      <c r="AL546" s="55" t="str">
        <f>IF($AM546=0,"",IF(ISNUMBER($P546),$P546,N($AJ546)))</f>
        <v/>
      </c>
      <c r="AM546" s="56">
        <f>IF(AND($A546&lt;&gt;"",$E546&lt;&gt;"",OR(AND(ISNUMBER($G546),ISNUMBER($H546),ISNUMBER($K546)),ISNUMBER($O546))),1,0)</f>
        <v>0</v>
      </c>
      <c r="AN546" s="57" t="str">
        <f>IF($A546="","",$A546-WEEKDAY($A546,3))</f>
        <v/>
      </c>
      <c r="AO546" s="56" t="str">
        <f>IF($A546="","",WEEKDAY($A546,2))</f>
        <v/>
      </c>
      <c r="AP546" s="55" t="str">
        <f>IF(OR($AM546=0,$C546=""),"",IFERROR(N(INDEX(Accounts!$E$7:$E$16,MATCH($C546,Accounts!$B$7:$B$16,0))),0)+SUMIFS($Q$6:$Q546,$C$6:$C546,$C546))</f>
        <v/>
      </c>
      <c r="AQ546" s="55" t="str">
        <f>IF(OR($AM546=0,$C546=""),"",SUMIFS($Q$6:$Q$1005,$C$6:$C$1005,$C546,$A$6:$A$1005,$A546))</f>
        <v/>
      </c>
      <c r="AR546" s="55" t="str">
        <f>IF(OR($AM546=0,$C546=""),"",IFERROR(N(INDEX(Accounts!$E$7:$E$16,MATCH($C546,Accounts!$B$7:$B$16,0))),0)+SUMIFS($Q$6:$Q$1005,$C$6:$C$1005,$C546,$A$6:$A$1005,"&lt;="&amp;$A546))</f>
        <v/>
      </c>
      <c r="AS546" s="56">
        <f>IF(OR($AM546=0,$Q546=""),0,IF(AND($A546&gt;=Lists!$W$6,$A546&lt;=Lists!$W$7,OR(Dashboard!$D$6="All accounts",$C546=Dashboard!$D$6),OR(Dashboard!$D$7="All markets",$AF546=Dashboard!$D$7)),1,0))</f>
        <v>0</v>
      </c>
      <c r="AT546" s="55">
        <f>IF($AS546=1,N(AT545)+$Q546,N(AT545))</f>
        <v>1187.10688</v>
      </c>
      <c r="AU546" s="55">
        <f>MAX(N(AU545),$AT546)</f>
        <v>1187.10688</v>
      </c>
      <c r="AV546" s="55">
        <f>$AT546-$AU546</f>
        <v>0</v>
      </c>
      <c r="AW546" s="56">
        <f>IF($AS546=1,IF($S546="Win",N(AW545)+1,IF($S546="Loss",0,N(AW545))),N(AW545))</f>
        <v>5</v>
      </c>
      <c r="AX546" s="56">
        <f>IF($AS546=1,IF($S546="Loss",N(AX545)+1,IF($S546="Win",0,N(AX545))),N(AX545))</f>
        <v>0</v>
      </c>
      <c r="AY546" s="56" t="str">
        <f>IF($AS546=1,COUNTIF($AS$6:$AS546,1),"")</f>
        <v/>
      </c>
      <c r="AZ546" s="56">
        <f>MIN(540,N(Lists!$W$8))</f>
        <v>28</v>
      </c>
      <c r="BA546" s="56">
        <f>IF($AS546=1,IF(COUNTIFS($A$6:$A546,$A546,$AS$6:$AS546,1)=1,1,0),0)</f>
        <v>0</v>
      </c>
      <c r="BB546" s="55" t="str">
        <f>IF($BA546=1,SUMIFS($Q$6:$Q$1005,$A$6:$A$1005,$A546,$AS$6:$AS$1005,1),"")</f>
        <v/>
      </c>
      <c r="BC546" s="56">
        <f>IF(ISNUMBER($R546),1,0)</f>
        <v>0</v>
      </c>
      <c r="BD546" s="55" t="str">
        <f>IF(ISNUMBER($U546),$U546*$V546,"")</f>
        <v/>
      </c>
      <c r="BE546" s="56" t="str">
        <f>IF($AM546=0,"",IFERROR(MATCH($AF546&amp;"|"&amp;UPPER(TRIM($E546)),Lists!$A$6:$A$205,0),0))</f>
        <v/>
      </c>
      <c r="BF546" s="56" t="str">
        <f>IF($AM546=0,"",IFERROR(MATCH($AF546,Settings!$B$14:$B$18,0),IFERROR(MATCH(Settings!$C$6,Settings!$B$14:$B$18,0),1)))</f>
        <v/>
      </c>
      <c r="BG546" s="58" t="str">
        <f>IF($AM546=0,"",IF(NOT(ISNUMBER($I546)),"No stop; ","")&amp;IF(AND(ISNUMBER($H546),ISNUMBER($I546)),IF(OR(AND($F546&lt;&gt;"Short",$I546&gt;=$H546),AND($F546="Short",$I546&lt;=$H546)),"Stop on wrong side; ",""),"")&amp;IF($F546="","No direction; ","")&amp;IF(AND(ISNUMBER(Settings!$C$22),ISNUMBER($V546)),IF($V546&gt;Settings!$C$22,"Risk over max $; ",""),"")&amp;IF(AND(ISNUMBER(Settings!$C$23),ISNUMBER($V546),ISNUMBER($AP546),IFERROR(N(INDEX(Accounts!$E$7:$E$16,MATCH($C546,Accounts!$B$7:$B$16,0))),0)&gt;0),IF($V546&gt;Settings!$C$23*($AP546-N($Q546)),"Risk over max %; ",""),"")&amp;IF(AND(ISNUMBER(Settings!$C$24),ISNUMBER($N546)),IF($N546&gt;Settings!$C$24,"Leverage over max; ",""),"")&amp;IF(AND(ISNUMBER(Settings!$C$27),ISNUMBER($T546)),IF($T546&lt;Settings!$C$27,"R:R below min; ",""),"")&amp;IF(ISNUMBER(Settings!$C$25),IF(COUNTIFS($A$6:$A546,$A546,$AM$6:$AM546,1)&gt;Settings!$C$25,"Over max trades/day; ",""),"")&amp;IF(ISNUMBER(Settings!$C$26),IF(SUMIFS($Q$5:$Q545,$A$5:$A545,$A546)&lt;=-Settings!$C$26,"Traded after daily max loss; ",""),"")&amp;IF(AND($AG546="",NOT(ISNUMBER($O546))),"Symbol not in Instruments; ","")&amp;IF(AND($AH546="",NOT(ISNUMBER($O546))),"Forex cross: type Gross P&amp;L; ",""))</f>
        <v/>
      </c>
      <c r="BH546" s="56">
        <f>IF(ISNUMBER($Q546),1,0)</f>
        <v>0</v>
      </c>
      <c r="BI546" s="56">
        <f>IF($Y546="",0,1)</f>
        <v>0</v>
      </c>
      <c r="BJ546" s="56">
        <f>IF($AB546="",0,1)</f>
        <v>0</v>
      </c>
      <c r="BK546" s="56">
        <f>IF(AND($BH546=1,$W546&lt;&gt;"OK"),1,0)</f>
        <v>0</v>
      </c>
      <c r="BL546" s="55">
        <f>IF(N($AZ546)=0,0,IFERROR(INDEX($AT$6:$AT$1005,MATCH($AZ546,$AY$6:$AY$1005,0)),0))</f>
        <v>1187.10688</v>
      </c>
      <c r="BM546" s="56">
        <f>IF(ISNUMBER(SEARCH("daily max loss",$BG546)),1,0)</f>
        <v>0</v>
      </c>
    </row>
    <row r="547" ht="18" customHeight="1">
      <c r="A547" s="38" t="n"/>
      <c r="B547" s="39" t="n"/>
      <c r="C547" s="40" t="n"/>
      <c r="D547" s="41" t="n"/>
      <c r="E547" s="41" t="n"/>
      <c r="F547" s="41" t="n"/>
      <c r="G547" s="41" t="n"/>
      <c r="H547" s="42" t="n"/>
      <c r="I547" s="42" t="n"/>
      <c r="J547" s="42" t="n"/>
      <c r="K547" s="42" t="n"/>
      <c r="L547" s="41" t="n"/>
      <c r="M547" s="41" t="n"/>
      <c r="N547" s="41" t="n"/>
      <c r="O547" s="43" t="n"/>
      <c r="P547" s="43" t="n"/>
      <c r="Q547" s="44" t="str">
        <f>IF($AM547=0,"",IF(ISNUMBER($AK547),$AK547-N($AL547),""))</f>
        <v/>
      </c>
      <c r="R547" s="45" t="str">
        <f>IF(OR($Q547="",NOT(ISNUMBER($V547))),"",$AK547/$V547)</f>
        <v/>
      </c>
      <c r="S547" s="46" t="str">
        <f>IF($Q547="","",IF(AND(ISNUMBER($R547),ABS(N($R547))&lt;N(Settings!$C$8)),"Scratch",IF($Q547&gt;0,"Win",IF($Q547&lt;0,"Loss","Scratch"))))</f>
        <v/>
      </c>
      <c r="T547" s="47" t="str">
        <f>IF(OR($AM547=0,NOT(ISNUMBER($H547)),NOT(ISNUMBER($I547)),NOT(ISNUMBER($J547))),"",IF($H547=$I547,"",ROUND(ABS($J547-$H547)/ABS($H547-$I547),6)))</f>
        <v/>
      </c>
      <c r="U547" s="48" t="str">
        <f>IF(OR($S547&lt;&gt;"Win",NOT(ISNUMBER($T547)),NOT(ISNUMBER($R547))),"",MAX(0,$T547-$R547))</f>
        <v/>
      </c>
      <c r="V547" s="49" t="str">
        <f>IF(OR($AM547=0,NOT(ISNUMBER($H547)),NOT(ISNUMBER($I547)),NOT(ISNUMBER($G547))),"",IF(OR($AG547="",$AH547=""),"",IF(ROUND(ABS($H547-$I547)*ABS($G547)*$AG547*$AH547,6)=0,"",ROUND(ABS($H547-$I547)*ABS($G547)*$AG547*$AH547,6))))</f>
        <v/>
      </c>
      <c r="W547" s="50" t="str">
        <f>IF($AM547=0,"",IF($BG547="","OK",LEFT($BG547,LEN($BG547)-2)))</f>
        <v/>
      </c>
      <c r="X547" s="41" t="n"/>
      <c r="Y547" s="40" t="n"/>
      <c r="Z547" s="41" t="n"/>
      <c r="AA547" s="41" t="n"/>
      <c r="AB547" s="40" t="n"/>
      <c r="AC547" s="51" t="n"/>
      <c r="AD547" s="51" t="n"/>
      <c r="AE547" s="40" t="n"/>
      <c r="AF547" s="52" t="str">
        <f>IF($AM547=0,"",IF($D547&lt;&gt;"",$D547,IF(IFERROR(INDEX(Accounts!$C$7:$C$16,MATCH($C547,Accounts!$B$7:$B$16,0))&amp;"","")&lt;&gt;"",INDEX(Accounts!$C$7:$C$16,MATCH($C547,Accounts!$B$7:$B$16,0)),Settings!$C$6)))</f>
        <v/>
      </c>
      <c r="AG547" s="53" t="str">
        <f>IF($AM547=0,"",IF(AND($BE547&gt;0,N(INDEX(Instruments!$D$6:$D$205,MAX(1,$BE547)))&gt;0),INDEX(Instruments!$D$6:$D$205,MAX(1,$BE547)),IF(N(INDEX(Settings!$D$14:$D$18,$BF547))&gt;0,INDEX(Settings!$D$14:$D$18,$BF547),"")))</f>
        <v/>
      </c>
      <c r="AH547" s="54" t="str">
        <f>IF($AM547=0,"",IF($AF547&lt;&gt;"Forex",1,IF(MID(UPPER(SUBSTITUTE(TRIM($E547),"/","")),4,3)=UPPER(TRIM(Settings!$C$7)),1,IF(LEFT(UPPER(SUBSTITUTE(TRIM($E547),"/","")),3)=UPPER(TRIM(Settings!$C$7)),IF(AND(ISNUMBER($K547),N($K547)&lt;&gt;0),1/$K547,""),""))))</f>
        <v/>
      </c>
      <c r="AI547" s="55" t="str">
        <f>IF($AM547=0,"",IF(OR(NOT(ISNUMBER($H547)),NOT(ISNUMBER($K547)),NOT(ISNUMBER($G547)),$AG547="",$AH547=""),"",ROUND(($K547-$H547)*IF($F547="Short",-1,1)*$G547*$AG547*$AH547,6)))</f>
        <v/>
      </c>
      <c r="AJ547" s="55" t="str">
        <f>IF($AM547=0,"",IF(INDEX(Settings!$E$14:$E$18,$BF547)="% of notional",IF(OR($AG547="",NOT(ISNUMBER($H547)),NOT(ISNUMBER($G547))),"",ROUND(ABS($H547*$G547*$AG547*N($AH547))*IF($L547="Limit",N(INDEX(Settings!$G$14:$G$18,$BF547)),N(INDEX(Settings!$H$14:$H$18,$BF547)))+IF(ISNUMBER($K547),ABS($K547*$G547*$AG547*N($AH547))*IF($M547="Target",N(INDEX(Settings!$G$14:$G$18,$BF547)),N(INDEX(Settings!$H$14:$H$18,$BF547))),0),6)),IF(NOT(ISNUMBER($G547)),"",ROUND(ABS($G547)*2*IF(AND($BE547&gt;0,ISNUMBER(INDEX(Instruments!$G$6:$G$205,MAX(1,$BE547)))),INDEX(Instruments!$G$6:$G$205,MAX(1,$BE547)),N(INDEX(Settings!$F$14:$F$18,$BF547))),6))))</f>
        <v/>
      </c>
      <c r="AK547" s="55" t="str">
        <f>IF($AM547=0,"",IF(ISNUMBER($O547),$O547,$AI547))</f>
        <v/>
      </c>
      <c r="AL547" s="55" t="str">
        <f>IF($AM547=0,"",IF(ISNUMBER($P547),$P547,N($AJ547)))</f>
        <v/>
      </c>
      <c r="AM547" s="56">
        <f>IF(AND($A547&lt;&gt;"",$E547&lt;&gt;"",OR(AND(ISNUMBER($G547),ISNUMBER($H547),ISNUMBER($K547)),ISNUMBER($O547))),1,0)</f>
        <v>0</v>
      </c>
      <c r="AN547" s="57" t="str">
        <f>IF($A547="","",$A547-WEEKDAY($A547,3))</f>
        <v/>
      </c>
      <c r="AO547" s="56" t="str">
        <f>IF($A547="","",WEEKDAY($A547,2))</f>
        <v/>
      </c>
      <c r="AP547" s="55" t="str">
        <f>IF(OR($AM547=0,$C547=""),"",IFERROR(N(INDEX(Accounts!$E$7:$E$16,MATCH($C547,Accounts!$B$7:$B$16,0))),0)+SUMIFS($Q$6:$Q547,$C$6:$C547,$C547))</f>
        <v/>
      </c>
      <c r="AQ547" s="55" t="str">
        <f>IF(OR($AM547=0,$C547=""),"",SUMIFS($Q$6:$Q$1005,$C$6:$C$1005,$C547,$A$6:$A$1005,$A547))</f>
        <v/>
      </c>
      <c r="AR547" s="55" t="str">
        <f>IF(OR($AM547=0,$C547=""),"",IFERROR(N(INDEX(Accounts!$E$7:$E$16,MATCH($C547,Accounts!$B$7:$B$16,0))),0)+SUMIFS($Q$6:$Q$1005,$C$6:$C$1005,$C547,$A$6:$A$1005,"&lt;="&amp;$A547))</f>
        <v/>
      </c>
      <c r="AS547" s="56">
        <f>IF(OR($AM547=0,$Q547=""),0,IF(AND($A547&gt;=Lists!$W$6,$A547&lt;=Lists!$W$7,OR(Dashboard!$D$6="All accounts",$C547=Dashboard!$D$6),OR(Dashboard!$D$7="All markets",$AF547=Dashboard!$D$7)),1,0))</f>
        <v>0</v>
      </c>
      <c r="AT547" s="55">
        <f>IF($AS547=1,N(AT546)+$Q547,N(AT546))</f>
        <v>1187.10688</v>
      </c>
      <c r="AU547" s="55">
        <f>MAX(N(AU546),$AT547)</f>
        <v>1187.10688</v>
      </c>
      <c r="AV547" s="55">
        <f>$AT547-$AU547</f>
        <v>0</v>
      </c>
      <c r="AW547" s="56">
        <f>IF($AS547=1,IF($S547="Win",N(AW546)+1,IF($S547="Loss",0,N(AW546))),N(AW546))</f>
        <v>5</v>
      </c>
      <c r="AX547" s="56">
        <f>IF($AS547=1,IF($S547="Loss",N(AX546)+1,IF($S547="Win",0,N(AX546))),N(AX546))</f>
        <v>0</v>
      </c>
      <c r="AY547" s="56" t="str">
        <f>IF($AS547=1,COUNTIF($AS$6:$AS547,1),"")</f>
        <v/>
      </c>
      <c r="AZ547" s="56">
        <f>MIN(541,N(Lists!$W$8))</f>
        <v>28</v>
      </c>
      <c r="BA547" s="56">
        <f>IF($AS547=1,IF(COUNTIFS($A$6:$A547,$A547,$AS$6:$AS547,1)=1,1,0),0)</f>
        <v>0</v>
      </c>
      <c r="BB547" s="55" t="str">
        <f>IF($BA547=1,SUMIFS($Q$6:$Q$1005,$A$6:$A$1005,$A547,$AS$6:$AS$1005,1),"")</f>
        <v/>
      </c>
      <c r="BC547" s="56">
        <f>IF(ISNUMBER($R547),1,0)</f>
        <v>0</v>
      </c>
      <c r="BD547" s="55" t="str">
        <f>IF(ISNUMBER($U547),$U547*$V547,"")</f>
        <v/>
      </c>
      <c r="BE547" s="56" t="str">
        <f>IF($AM547=0,"",IFERROR(MATCH($AF547&amp;"|"&amp;UPPER(TRIM($E547)),Lists!$A$6:$A$205,0),0))</f>
        <v/>
      </c>
      <c r="BF547" s="56" t="str">
        <f>IF($AM547=0,"",IFERROR(MATCH($AF547,Settings!$B$14:$B$18,0),IFERROR(MATCH(Settings!$C$6,Settings!$B$14:$B$18,0),1)))</f>
        <v/>
      </c>
      <c r="BG547" s="58" t="str">
        <f>IF($AM547=0,"",IF(NOT(ISNUMBER($I547)),"No stop; ","")&amp;IF(AND(ISNUMBER($H547),ISNUMBER($I547)),IF(OR(AND($F547&lt;&gt;"Short",$I547&gt;=$H547),AND($F547="Short",$I547&lt;=$H547)),"Stop on wrong side; ",""),"")&amp;IF($F547="","No direction; ","")&amp;IF(AND(ISNUMBER(Settings!$C$22),ISNUMBER($V547)),IF($V547&gt;Settings!$C$22,"Risk over max $; ",""),"")&amp;IF(AND(ISNUMBER(Settings!$C$23),ISNUMBER($V547),ISNUMBER($AP547),IFERROR(N(INDEX(Accounts!$E$7:$E$16,MATCH($C547,Accounts!$B$7:$B$16,0))),0)&gt;0),IF($V547&gt;Settings!$C$23*($AP547-N($Q547)),"Risk over max %; ",""),"")&amp;IF(AND(ISNUMBER(Settings!$C$24),ISNUMBER($N547)),IF($N547&gt;Settings!$C$24,"Leverage over max; ",""),"")&amp;IF(AND(ISNUMBER(Settings!$C$27),ISNUMBER($T547)),IF($T547&lt;Settings!$C$27,"R:R below min; ",""),"")&amp;IF(ISNUMBER(Settings!$C$25),IF(COUNTIFS($A$6:$A547,$A547,$AM$6:$AM547,1)&gt;Settings!$C$25,"Over max trades/day; ",""),"")&amp;IF(ISNUMBER(Settings!$C$26),IF(SUMIFS($Q$5:$Q546,$A$5:$A546,$A547)&lt;=-Settings!$C$26,"Traded after daily max loss; ",""),"")&amp;IF(AND($AG547="",NOT(ISNUMBER($O547))),"Symbol not in Instruments; ","")&amp;IF(AND($AH547="",NOT(ISNUMBER($O547))),"Forex cross: type Gross P&amp;L; ",""))</f>
        <v/>
      </c>
      <c r="BH547" s="56">
        <f>IF(ISNUMBER($Q547),1,0)</f>
        <v>0</v>
      </c>
      <c r="BI547" s="56">
        <f>IF($Y547="",0,1)</f>
        <v>0</v>
      </c>
      <c r="BJ547" s="56">
        <f>IF($AB547="",0,1)</f>
        <v>0</v>
      </c>
      <c r="BK547" s="56">
        <f>IF(AND($BH547=1,$W547&lt;&gt;"OK"),1,0)</f>
        <v>0</v>
      </c>
      <c r="BL547" s="55">
        <f>IF(N($AZ547)=0,0,IFERROR(INDEX($AT$6:$AT$1005,MATCH($AZ547,$AY$6:$AY$1005,0)),0))</f>
        <v>1187.10688</v>
      </c>
      <c r="BM547" s="56">
        <f>IF(ISNUMBER(SEARCH("daily max loss",$BG547)),1,0)</f>
        <v>0</v>
      </c>
    </row>
    <row r="548" ht="18" customHeight="1">
      <c r="A548" s="38" t="n"/>
      <c r="B548" s="39" t="n"/>
      <c r="C548" s="40" t="n"/>
      <c r="D548" s="41" t="n"/>
      <c r="E548" s="41" t="n"/>
      <c r="F548" s="41" t="n"/>
      <c r="G548" s="41" t="n"/>
      <c r="H548" s="42" t="n"/>
      <c r="I548" s="42" t="n"/>
      <c r="J548" s="42" t="n"/>
      <c r="K548" s="42" t="n"/>
      <c r="L548" s="41" t="n"/>
      <c r="M548" s="41" t="n"/>
      <c r="N548" s="41" t="n"/>
      <c r="O548" s="43" t="n"/>
      <c r="P548" s="43" t="n"/>
      <c r="Q548" s="44" t="str">
        <f>IF($AM548=0,"",IF(ISNUMBER($AK548),$AK548-N($AL548),""))</f>
        <v/>
      </c>
      <c r="R548" s="45" t="str">
        <f>IF(OR($Q548="",NOT(ISNUMBER($V548))),"",$AK548/$V548)</f>
        <v/>
      </c>
      <c r="S548" s="46" t="str">
        <f>IF($Q548="","",IF(AND(ISNUMBER($R548),ABS(N($R548))&lt;N(Settings!$C$8)),"Scratch",IF($Q548&gt;0,"Win",IF($Q548&lt;0,"Loss","Scratch"))))</f>
        <v/>
      </c>
      <c r="T548" s="47" t="str">
        <f>IF(OR($AM548=0,NOT(ISNUMBER($H548)),NOT(ISNUMBER($I548)),NOT(ISNUMBER($J548))),"",IF($H548=$I548,"",ROUND(ABS($J548-$H548)/ABS($H548-$I548),6)))</f>
        <v/>
      </c>
      <c r="U548" s="48" t="str">
        <f>IF(OR($S548&lt;&gt;"Win",NOT(ISNUMBER($T548)),NOT(ISNUMBER($R548))),"",MAX(0,$T548-$R548))</f>
        <v/>
      </c>
      <c r="V548" s="49" t="str">
        <f>IF(OR($AM548=0,NOT(ISNUMBER($H548)),NOT(ISNUMBER($I548)),NOT(ISNUMBER($G548))),"",IF(OR($AG548="",$AH548=""),"",IF(ROUND(ABS($H548-$I548)*ABS($G548)*$AG548*$AH548,6)=0,"",ROUND(ABS($H548-$I548)*ABS($G548)*$AG548*$AH548,6))))</f>
        <v/>
      </c>
      <c r="W548" s="50" t="str">
        <f>IF($AM548=0,"",IF($BG548="","OK",LEFT($BG548,LEN($BG548)-2)))</f>
        <v/>
      </c>
      <c r="X548" s="41" t="n"/>
      <c r="Y548" s="40" t="n"/>
      <c r="Z548" s="41" t="n"/>
      <c r="AA548" s="41" t="n"/>
      <c r="AB548" s="40" t="n"/>
      <c r="AC548" s="51" t="n"/>
      <c r="AD548" s="51" t="n"/>
      <c r="AE548" s="40" t="n"/>
      <c r="AF548" s="52" t="str">
        <f>IF($AM548=0,"",IF($D548&lt;&gt;"",$D548,IF(IFERROR(INDEX(Accounts!$C$7:$C$16,MATCH($C548,Accounts!$B$7:$B$16,0))&amp;"","")&lt;&gt;"",INDEX(Accounts!$C$7:$C$16,MATCH($C548,Accounts!$B$7:$B$16,0)),Settings!$C$6)))</f>
        <v/>
      </c>
      <c r="AG548" s="53" t="str">
        <f>IF($AM548=0,"",IF(AND($BE548&gt;0,N(INDEX(Instruments!$D$6:$D$205,MAX(1,$BE548)))&gt;0),INDEX(Instruments!$D$6:$D$205,MAX(1,$BE548)),IF(N(INDEX(Settings!$D$14:$D$18,$BF548))&gt;0,INDEX(Settings!$D$14:$D$18,$BF548),"")))</f>
        <v/>
      </c>
      <c r="AH548" s="54" t="str">
        <f>IF($AM548=0,"",IF($AF548&lt;&gt;"Forex",1,IF(MID(UPPER(SUBSTITUTE(TRIM($E548),"/","")),4,3)=UPPER(TRIM(Settings!$C$7)),1,IF(LEFT(UPPER(SUBSTITUTE(TRIM($E548),"/","")),3)=UPPER(TRIM(Settings!$C$7)),IF(AND(ISNUMBER($K548),N($K548)&lt;&gt;0),1/$K548,""),""))))</f>
        <v/>
      </c>
      <c r="AI548" s="55" t="str">
        <f>IF($AM548=0,"",IF(OR(NOT(ISNUMBER($H548)),NOT(ISNUMBER($K548)),NOT(ISNUMBER($G548)),$AG548="",$AH548=""),"",ROUND(($K548-$H548)*IF($F548="Short",-1,1)*$G548*$AG548*$AH548,6)))</f>
        <v/>
      </c>
      <c r="AJ548" s="55" t="str">
        <f>IF($AM548=0,"",IF(INDEX(Settings!$E$14:$E$18,$BF548)="% of notional",IF(OR($AG548="",NOT(ISNUMBER($H548)),NOT(ISNUMBER($G548))),"",ROUND(ABS($H548*$G548*$AG548*N($AH548))*IF($L548="Limit",N(INDEX(Settings!$G$14:$G$18,$BF548)),N(INDEX(Settings!$H$14:$H$18,$BF548)))+IF(ISNUMBER($K548),ABS($K548*$G548*$AG548*N($AH548))*IF($M548="Target",N(INDEX(Settings!$G$14:$G$18,$BF548)),N(INDEX(Settings!$H$14:$H$18,$BF548))),0),6)),IF(NOT(ISNUMBER($G548)),"",ROUND(ABS($G548)*2*IF(AND($BE548&gt;0,ISNUMBER(INDEX(Instruments!$G$6:$G$205,MAX(1,$BE548)))),INDEX(Instruments!$G$6:$G$205,MAX(1,$BE548)),N(INDEX(Settings!$F$14:$F$18,$BF548))),6))))</f>
        <v/>
      </c>
      <c r="AK548" s="55" t="str">
        <f>IF($AM548=0,"",IF(ISNUMBER($O548),$O548,$AI548))</f>
        <v/>
      </c>
      <c r="AL548" s="55" t="str">
        <f>IF($AM548=0,"",IF(ISNUMBER($P548),$P548,N($AJ548)))</f>
        <v/>
      </c>
      <c r="AM548" s="56">
        <f>IF(AND($A548&lt;&gt;"",$E548&lt;&gt;"",OR(AND(ISNUMBER($G548),ISNUMBER($H548),ISNUMBER($K548)),ISNUMBER($O548))),1,0)</f>
        <v>0</v>
      </c>
      <c r="AN548" s="57" t="str">
        <f>IF($A548="","",$A548-WEEKDAY($A548,3))</f>
        <v/>
      </c>
      <c r="AO548" s="56" t="str">
        <f>IF($A548="","",WEEKDAY($A548,2))</f>
        <v/>
      </c>
      <c r="AP548" s="55" t="str">
        <f>IF(OR($AM548=0,$C548=""),"",IFERROR(N(INDEX(Accounts!$E$7:$E$16,MATCH($C548,Accounts!$B$7:$B$16,0))),0)+SUMIFS($Q$6:$Q548,$C$6:$C548,$C548))</f>
        <v/>
      </c>
      <c r="AQ548" s="55" t="str">
        <f>IF(OR($AM548=0,$C548=""),"",SUMIFS($Q$6:$Q$1005,$C$6:$C$1005,$C548,$A$6:$A$1005,$A548))</f>
        <v/>
      </c>
      <c r="AR548" s="55" t="str">
        <f>IF(OR($AM548=0,$C548=""),"",IFERROR(N(INDEX(Accounts!$E$7:$E$16,MATCH($C548,Accounts!$B$7:$B$16,0))),0)+SUMIFS($Q$6:$Q$1005,$C$6:$C$1005,$C548,$A$6:$A$1005,"&lt;="&amp;$A548))</f>
        <v/>
      </c>
      <c r="AS548" s="56">
        <f>IF(OR($AM548=0,$Q548=""),0,IF(AND($A548&gt;=Lists!$W$6,$A548&lt;=Lists!$W$7,OR(Dashboard!$D$6="All accounts",$C548=Dashboard!$D$6),OR(Dashboard!$D$7="All markets",$AF548=Dashboard!$D$7)),1,0))</f>
        <v>0</v>
      </c>
      <c r="AT548" s="55">
        <f>IF($AS548=1,N(AT547)+$Q548,N(AT547))</f>
        <v>1187.10688</v>
      </c>
      <c r="AU548" s="55">
        <f>MAX(N(AU547),$AT548)</f>
        <v>1187.10688</v>
      </c>
      <c r="AV548" s="55">
        <f>$AT548-$AU548</f>
        <v>0</v>
      </c>
      <c r="AW548" s="56">
        <f>IF($AS548=1,IF($S548="Win",N(AW547)+1,IF($S548="Loss",0,N(AW547))),N(AW547))</f>
        <v>5</v>
      </c>
      <c r="AX548" s="56">
        <f>IF($AS548=1,IF($S548="Loss",N(AX547)+1,IF($S548="Win",0,N(AX547))),N(AX547))</f>
        <v>0</v>
      </c>
      <c r="AY548" s="56" t="str">
        <f>IF($AS548=1,COUNTIF($AS$6:$AS548,1),"")</f>
        <v/>
      </c>
      <c r="AZ548" s="56">
        <f>MIN(542,N(Lists!$W$8))</f>
        <v>28</v>
      </c>
      <c r="BA548" s="56">
        <f>IF($AS548=1,IF(COUNTIFS($A$6:$A548,$A548,$AS$6:$AS548,1)=1,1,0),0)</f>
        <v>0</v>
      </c>
      <c r="BB548" s="55" t="str">
        <f>IF($BA548=1,SUMIFS($Q$6:$Q$1005,$A$6:$A$1005,$A548,$AS$6:$AS$1005,1),"")</f>
        <v/>
      </c>
      <c r="BC548" s="56">
        <f>IF(ISNUMBER($R548),1,0)</f>
        <v>0</v>
      </c>
      <c r="BD548" s="55" t="str">
        <f>IF(ISNUMBER($U548),$U548*$V548,"")</f>
        <v/>
      </c>
      <c r="BE548" s="56" t="str">
        <f>IF($AM548=0,"",IFERROR(MATCH($AF548&amp;"|"&amp;UPPER(TRIM($E548)),Lists!$A$6:$A$205,0),0))</f>
        <v/>
      </c>
      <c r="BF548" s="56" t="str">
        <f>IF($AM548=0,"",IFERROR(MATCH($AF548,Settings!$B$14:$B$18,0),IFERROR(MATCH(Settings!$C$6,Settings!$B$14:$B$18,0),1)))</f>
        <v/>
      </c>
      <c r="BG548" s="58" t="str">
        <f>IF($AM548=0,"",IF(NOT(ISNUMBER($I548)),"No stop; ","")&amp;IF(AND(ISNUMBER($H548),ISNUMBER($I548)),IF(OR(AND($F548&lt;&gt;"Short",$I548&gt;=$H548),AND($F548="Short",$I548&lt;=$H548)),"Stop on wrong side; ",""),"")&amp;IF($F548="","No direction; ","")&amp;IF(AND(ISNUMBER(Settings!$C$22),ISNUMBER($V548)),IF($V548&gt;Settings!$C$22,"Risk over max $; ",""),"")&amp;IF(AND(ISNUMBER(Settings!$C$23),ISNUMBER($V548),ISNUMBER($AP548),IFERROR(N(INDEX(Accounts!$E$7:$E$16,MATCH($C548,Accounts!$B$7:$B$16,0))),0)&gt;0),IF($V548&gt;Settings!$C$23*($AP548-N($Q548)),"Risk over max %; ",""),"")&amp;IF(AND(ISNUMBER(Settings!$C$24),ISNUMBER($N548)),IF($N548&gt;Settings!$C$24,"Leverage over max; ",""),"")&amp;IF(AND(ISNUMBER(Settings!$C$27),ISNUMBER($T548)),IF($T548&lt;Settings!$C$27,"R:R below min; ",""),"")&amp;IF(ISNUMBER(Settings!$C$25),IF(COUNTIFS($A$6:$A548,$A548,$AM$6:$AM548,1)&gt;Settings!$C$25,"Over max trades/day; ",""),"")&amp;IF(ISNUMBER(Settings!$C$26),IF(SUMIFS($Q$5:$Q547,$A$5:$A547,$A548)&lt;=-Settings!$C$26,"Traded after daily max loss; ",""),"")&amp;IF(AND($AG548="",NOT(ISNUMBER($O548))),"Symbol not in Instruments; ","")&amp;IF(AND($AH548="",NOT(ISNUMBER($O548))),"Forex cross: type Gross P&amp;L; ",""))</f>
        <v/>
      </c>
      <c r="BH548" s="56">
        <f>IF(ISNUMBER($Q548),1,0)</f>
        <v>0</v>
      </c>
      <c r="BI548" s="56">
        <f>IF($Y548="",0,1)</f>
        <v>0</v>
      </c>
      <c r="BJ548" s="56">
        <f>IF($AB548="",0,1)</f>
        <v>0</v>
      </c>
      <c r="BK548" s="56">
        <f>IF(AND($BH548=1,$W548&lt;&gt;"OK"),1,0)</f>
        <v>0</v>
      </c>
      <c r="BL548" s="55">
        <f>IF(N($AZ548)=0,0,IFERROR(INDEX($AT$6:$AT$1005,MATCH($AZ548,$AY$6:$AY$1005,0)),0))</f>
        <v>1187.10688</v>
      </c>
      <c r="BM548" s="56">
        <f>IF(ISNUMBER(SEARCH("daily max loss",$BG548)),1,0)</f>
        <v>0</v>
      </c>
    </row>
    <row r="549" ht="18" customHeight="1">
      <c r="A549" s="38" t="n"/>
      <c r="B549" s="39" t="n"/>
      <c r="C549" s="40" t="n"/>
      <c r="D549" s="41" t="n"/>
      <c r="E549" s="41" t="n"/>
      <c r="F549" s="41" t="n"/>
      <c r="G549" s="41" t="n"/>
      <c r="H549" s="42" t="n"/>
      <c r="I549" s="42" t="n"/>
      <c r="J549" s="42" t="n"/>
      <c r="K549" s="42" t="n"/>
      <c r="L549" s="41" t="n"/>
      <c r="M549" s="41" t="n"/>
      <c r="N549" s="41" t="n"/>
      <c r="O549" s="43" t="n"/>
      <c r="P549" s="43" t="n"/>
      <c r="Q549" s="44" t="str">
        <f>IF($AM549=0,"",IF(ISNUMBER($AK549),$AK549-N($AL549),""))</f>
        <v/>
      </c>
      <c r="R549" s="45" t="str">
        <f>IF(OR($Q549="",NOT(ISNUMBER($V549))),"",$AK549/$V549)</f>
        <v/>
      </c>
      <c r="S549" s="46" t="str">
        <f>IF($Q549="","",IF(AND(ISNUMBER($R549),ABS(N($R549))&lt;N(Settings!$C$8)),"Scratch",IF($Q549&gt;0,"Win",IF($Q549&lt;0,"Loss","Scratch"))))</f>
        <v/>
      </c>
      <c r="T549" s="47" t="str">
        <f>IF(OR($AM549=0,NOT(ISNUMBER($H549)),NOT(ISNUMBER($I549)),NOT(ISNUMBER($J549))),"",IF($H549=$I549,"",ROUND(ABS($J549-$H549)/ABS($H549-$I549),6)))</f>
        <v/>
      </c>
      <c r="U549" s="48" t="str">
        <f>IF(OR($S549&lt;&gt;"Win",NOT(ISNUMBER($T549)),NOT(ISNUMBER($R549))),"",MAX(0,$T549-$R549))</f>
        <v/>
      </c>
      <c r="V549" s="49" t="str">
        <f>IF(OR($AM549=0,NOT(ISNUMBER($H549)),NOT(ISNUMBER($I549)),NOT(ISNUMBER($G549))),"",IF(OR($AG549="",$AH549=""),"",IF(ROUND(ABS($H549-$I549)*ABS($G549)*$AG549*$AH549,6)=0,"",ROUND(ABS($H549-$I549)*ABS($G549)*$AG549*$AH549,6))))</f>
        <v/>
      </c>
      <c r="W549" s="50" t="str">
        <f>IF($AM549=0,"",IF($BG549="","OK",LEFT($BG549,LEN($BG549)-2)))</f>
        <v/>
      </c>
      <c r="X549" s="41" t="n"/>
      <c r="Y549" s="40" t="n"/>
      <c r="Z549" s="41" t="n"/>
      <c r="AA549" s="41" t="n"/>
      <c r="AB549" s="40" t="n"/>
      <c r="AC549" s="51" t="n"/>
      <c r="AD549" s="51" t="n"/>
      <c r="AE549" s="40" t="n"/>
      <c r="AF549" s="52" t="str">
        <f>IF($AM549=0,"",IF($D549&lt;&gt;"",$D549,IF(IFERROR(INDEX(Accounts!$C$7:$C$16,MATCH($C549,Accounts!$B$7:$B$16,0))&amp;"","")&lt;&gt;"",INDEX(Accounts!$C$7:$C$16,MATCH($C549,Accounts!$B$7:$B$16,0)),Settings!$C$6)))</f>
        <v/>
      </c>
      <c r="AG549" s="53" t="str">
        <f>IF($AM549=0,"",IF(AND($BE549&gt;0,N(INDEX(Instruments!$D$6:$D$205,MAX(1,$BE549)))&gt;0),INDEX(Instruments!$D$6:$D$205,MAX(1,$BE549)),IF(N(INDEX(Settings!$D$14:$D$18,$BF549))&gt;0,INDEX(Settings!$D$14:$D$18,$BF549),"")))</f>
        <v/>
      </c>
      <c r="AH549" s="54" t="str">
        <f>IF($AM549=0,"",IF($AF549&lt;&gt;"Forex",1,IF(MID(UPPER(SUBSTITUTE(TRIM($E549),"/","")),4,3)=UPPER(TRIM(Settings!$C$7)),1,IF(LEFT(UPPER(SUBSTITUTE(TRIM($E549),"/","")),3)=UPPER(TRIM(Settings!$C$7)),IF(AND(ISNUMBER($K549),N($K549)&lt;&gt;0),1/$K549,""),""))))</f>
        <v/>
      </c>
      <c r="AI549" s="55" t="str">
        <f>IF($AM549=0,"",IF(OR(NOT(ISNUMBER($H549)),NOT(ISNUMBER($K549)),NOT(ISNUMBER($G549)),$AG549="",$AH549=""),"",ROUND(($K549-$H549)*IF($F549="Short",-1,1)*$G549*$AG549*$AH549,6)))</f>
        <v/>
      </c>
      <c r="AJ549" s="55" t="str">
        <f>IF($AM549=0,"",IF(INDEX(Settings!$E$14:$E$18,$BF549)="% of notional",IF(OR($AG549="",NOT(ISNUMBER($H549)),NOT(ISNUMBER($G549))),"",ROUND(ABS($H549*$G549*$AG549*N($AH549))*IF($L549="Limit",N(INDEX(Settings!$G$14:$G$18,$BF549)),N(INDEX(Settings!$H$14:$H$18,$BF549)))+IF(ISNUMBER($K549),ABS($K549*$G549*$AG549*N($AH549))*IF($M549="Target",N(INDEX(Settings!$G$14:$G$18,$BF549)),N(INDEX(Settings!$H$14:$H$18,$BF549))),0),6)),IF(NOT(ISNUMBER($G549)),"",ROUND(ABS($G549)*2*IF(AND($BE549&gt;0,ISNUMBER(INDEX(Instruments!$G$6:$G$205,MAX(1,$BE549)))),INDEX(Instruments!$G$6:$G$205,MAX(1,$BE549)),N(INDEX(Settings!$F$14:$F$18,$BF549))),6))))</f>
        <v/>
      </c>
      <c r="AK549" s="55" t="str">
        <f>IF($AM549=0,"",IF(ISNUMBER($O549),$O549,$AI549))</f>
        <v/>
      </c>
      <c r="AL549" s="55" t="str">
        <f>IF($AM549=0,"",IF(ISNUMBER($P549),$P549,N($AJ549)))</f>
        <v/>
      </c>
      <c r="AM549" s="56">
        <f>IF(AND($A549&lt;&gt;"",$E549&lt;&gt;"",OR(AND(ISNUMBER($G549),ISNUMBER($H549),ISNUMBER($K549)),ISNUMBER($O549))),1,0)</f>
        <v>0</v>
      </c>
      <c r="AN549" s="57" t="str">
        <f>IF($A549="","",$A549-WEEKDAY($A549,3))</f>
        <v/>
      </c>
      <c r="AO549" s="56" t="str">
        <f>IF($A549="","",WEEKDAY($A549,2))</f>
        <v/>
      </c>
      <c r="AP549" s="55" t="str">
        <f>IF(OR($AM549=0,$C549=""),"",IFERROR(N(INDEX(Accounts!$E$7:$E$16,MATCH($C549,Accounts!$B$7:$B$16,0))),0)+SUMIFS($Q$6:$Q549,$C$6:$C549,$C549))</f>
        <v/>
      </c>
      <c r="AQ549" s="55" t="str">
        <f>IF(OR($AM549=0,$C549=""),"",SUMIFS($Q$6:$Q$1005,$C$6:$C$1005,$C549,$A$6:$A$1005,$A549))</f>
        <v/>
      </c>
      <c r="AR549" s="55" t="str">
        <f>IF(OR($AM549=0,$C549=""),"",IFERROR(N(INDEX(Accounts!$E$7:$E$16,MATCH($C549,Accounts!$B$7:$B$16,0))),0)+SUMIFS($Q$6:$Q$1005,$C$6:$C$1005,$C549,$A$6:$A$1005,"&lt;="&amp;$A549))</f>
        <v/>
      </c>
      <c r="AS549" s="56">
        <f>IF(OR($AM549=0,$Q549=""),0,IF(AND($A549&gt;=Lists!$W$6,$A549&lt;=Lists!$W$7,OR(Dashboard!$D$6="All accounts",$C549=Dashboard!$D$6),OR(Dashboard!$D$7="All markets",$AF549=Dashboard!$D$7)),1,0))</f>
        <v>0</v>
      </c>
      <c r="AT549" s="55">
        <f>IF($AS549=1,N(AT548)+$Q549,N(AT548))</f>
        <v>1187.10688</v>
      </c>
      <c r="AU549" s="55">
        <f>MAX(N(AU548),$AT549)</f>
        <v>1187.10688</v>
      </c>
      <c r="AV549" s="55">
        <f>$AT549-$AU549</f>
        <v>0</v>
      </c>
      <c r="AW549" s="56">
        <f>IF($AS549=1,IF($S549="Win",N(AW548)+1,IF($S549="Loss",0,N(AW548))),N(AW548))</f>
        <v>5</v>
      </c>
      <c r="AX549" s="56">
        <f>IF($AS549=1,IF($S549="Loss",N(AX548)+1,IF($S549="Win",0,N(AX548))),N(AX548))</f>
        <v>0</v>
      </c>
      <c r="AY549" s="56" t="str">
        <f>IF($AS549=1,COUNTIF($AS$6:$AS549,1),"")</f>
        <v/>
      </c>
      <c r="AZ549" s="56">
        <f>MIN(543,N(Lists!$W$8))</f>
        <v>28</v>
      </c>
      <c r="BA549" s="56">
        <f>IF($AS549=1,IF(COUNTIFS($A$6:$A549,$A549,$AS$6:$AS549,1)=1,1,0),0)</f>
        <v>0</v>
      </c>
      <c r="BB549" s="55" t="str">
        <f>IF($BA549=1,SUMIFS($Q$6:$Q$1005,$A$6:$A$1005,$A549,$AS$6:$AS$1005,1),"")</f>
        <v/>
      </c>
      <c r="BC549" s="56">
        <f>IF(ISNUMBER($R549),1,0)</f>
        <v>0</v>
      </c>
      <c r="BD549" s="55" t="str">
        <f>IF(ISNUMBER($U549),$U549*$V549,"")</f>
        <v/>
      </c>
      <c r="BE549" s="56" t="str">
        <f>IF($AM549=0,"",IFERROR(MATCH($AF549&amp;"|"&amp;UPPER(TRIM($E549)),Lists!$A$6:$A$205,0),0))</f>
        <v/>
      </c>
      <c r="BF549" s="56" t="str">
        <f>IF($AM549=0,"",IFERROR(MATCH($AF549,Settings!$B$14:$B$18,0),IFERROR(MATCH(Settings!$C$6,Settings!$B$14:$B$18,0),1)))</f>
        <v/>
      </c>
      <c r="BG549" s="58" t="str">
        <f>IF($AM549=0,"",IF(NOT(ISNUMBER($I549)),"No stop; ","")&amp;IF(AND(ISNUMBER($H549),ISNUMBER($I549)),IF(OR(AND($F549&lt;&gt;"Short",$I549&gt;=$H549),AND($F549="Short",$I549&lt;=$H549)),"Stop on wrong side; ",""),"")&amp;IF($F549="","No direction; ","")&amp;IF(AND(ISNUMBER(Settings!$C$22),ISNUMBER($V549)),IF($V549&gt;Settings!$C$22,"Risk over max $; ",""),"")&amp;IF(AND(ISNUMBER(Settings!$C$23),ISNUMBER($V549),ISNUMBER($AP549),IFERROR(N(INDEX(Accounts!$E$7:$E$16,MATCH($C549,Accounts!$B$7:$B$16,0))),0)&gt;0),IF($V549&gt;Settings!$C$23*($AP549-N($Q549)),"Risk over max %; ",""),"")&amp;IF(AND(ISNUMBER(Settings!$C$24),ISNUMBER($N549)),IF($N549&gt;Settings!$C$24,"Leverage over max; ",""),"")&amp;IF(AND(ISNUMBER(Settings!$C$27),ISNUMBER($T549)),IF($T549&lt;Settings!$C$27,"R:R below min; ",""),"")&amp;IF(ISNUMBER(Settings!$C$25),IF(COUNTIFS($A$6:$A549,$A549,$AM$6:$AM549,1)&gt;Settings!$C$25,"Over max trades/day; ",""),"")&amp;IF(ISNUMBER(Settings!$C$26),IF(SUMIFS($Q$5:$Q548,$A$5:$A548,$A549)&lt;=-Settings!$C$26,"Traded after daily max loss; ",""),"")&amp;IF(AND($AG549="",NOT(ISNUMBER($O549))),"Symbol not in Instruments; ","")&amp;IF(AND($AH549="",NOT(ISNUMBER($O549))),"Forex cross: type Gross P&amp;L; ",""))</f>
        <v/>
      </c>
      <c r="BH549" s="56">
        <f>IF(ISNUMBER($Q549),1,0)</f>
        <v>0</v>
      </c>
      <c r="BI549" s="56">
        <f>IF($Y549="",0,1)</f>
        <v>0</v>
      </c>
      <c r="BJ549" s="56">
        <f>IF($AB549="",0,1)</f>
        <v>0</v>
      </c>
      <c r="BK549" s="56">
        <f>IF(AND($BH549=1,$W549&lt;&gt;"OK"),1,0)</f>
        <v>0</v>
      </c>
      <c r="BL549" s="55">
        <f>IF(N($AZ549)=0,0,IFERROR(INDEX($AT$6:$AT$1005,MATCH($AZ549,$AY$6:$AY$1005,0)),0))</f>
        <v>1187.10688</v>
      </c>
      <c r="BM549" s="56">
        <f>IF(ISNUMBER(SEARCH("daily max loss",$BG549)),1,0)</f>
        <v>0</v>
      </c>
    </row>
    <row r="550" ht="18" customHeight="1">
      <c r="A550" s="38" t="n"/>
      <c r="B550" s="39" t="n"/>
      <c r="C550" s="40" t="n"/>
      <c r="D550" s="41" t="n"/>
      <c r="E550" s="41" t="n"/>
      <c r="F550" s="41" t="n"/>
      <c r="G550" s="41" t="n"/>
      <c r="H550" s="42" t="n"/>
      <c r="I550" s="42" t="n"/>
      <c r="J550" s="42" t="n"/>
      <c r="K550" s="42" t="n"/>
      <c r="L550" s="41" t="n"/>
      <c r="M550" s="41" t="n"/>
      <c r="N550" s="41" t="n"/>
      <c r="O550" s="43" t="n"/>
      <c r="P550" s="43" t="n"/>
      <c r="Q550" s="44" t="str">
        <f>IF($AM550=0,"",IF(ISNUMBER($AK550),$AK550-N($AL550),""))</f>
        <v/>
      </c>
      <c r="R550" s="45" t="str">
        <f>IF(OR($Q550="",NOT(ISNUMBER($V550))),"",$AK550/$V550)</f>
        <v/>
      </c>
      <c r="S550" s="46" t="str">
        <f>IF($Q550="","",IF(AND(ISNUMBER($R550),ABS(N($R550))&lt;N(Settings!$C$8)),"Scratch",IF($Q550&gt;0,"Win",IF($Q550&lt;0,"Loss","Scratch"))))</f>
        <v/>
      </c>
      <c r="T550" s="47" t="str">
        <f>IF(OR($AM550=0,NOT(ISNUMBER($H550)),NOT(ISNUMBER($I550)),NOT(ISNUMBER($J550))),"",IF($H550=$I550,"",ROUND(ABS($J550-$H550)/ABS($H550-$I550),6)))</f>
        <v/>
      </c>
      <c r="U550" s="48" t="str">
        <f>IF(OR($S550&lt;&gt;"Win",NOT(ISNUMBER($T550)),NOT(ISNUMBER($R550))),"",MAX(0,$T550-$R550))</f>
        <v/>
      </c>
      <c r="V550" s="49" t="str">
        <f>IF(OR($AM550=0,NOT(ISNUMBER($H550)),NOT(ISNUMBER($I550)),NOT(ISNUMBER($G550))),"",IF(OR($AG550="",$AH550=""),"",IF(ROUND(ABS($H550-$I550)*ABS($G550)*$AG550*$AH550,6)=0,"",ROUND(ABS($H550-$I550)*ABS($G550)*$AG550*$AH550,6))))</f>
        <v/>
      </c>
      <c r="W550" s="50" t="str">
        <f>IF($AM550=0,"",IF($BG550="","OK",LEFT($BG550,LEN($BG550)-2)))</f>
        <v/>
      </c>
      <c r="X550" s="41" t="n"/>
      <c r="Y550" s="40" t="n"/>
      <c r="Z550" s="41" t="n"/>
      <c r="AA550" s="41" t="n"/>
      <c r="AB550" s="40" t="n"/>
      <c r="AC550" s="51" t="n"/>
      <c r="AD550" s="51" t="n"/>
      <c r="AE550" s="40" t="n"/>
      <c r="AF550" s="52" t="str">
        <f>IF($AM550=0,"",IF($D550&lt;&gt;"",$D550,IF(IFERROR(INDEX(Accounts!$C$7:$C$16,MATCH($C550,Accounts!$B$7:$B$16,0))&amp;"","")&lt;&gt;"",INDEX(Accounts!$C$7:$C$16,MATCH($C550,Accounts!$B$7:$B$16,0)),Settings!$C$6)))</f>
        <v/>
      </c>
      <c r="AG550" s="53" t="str">
        <f>IF($AM550=0,"",IF(AND($BE550&gt;0,N(INDEX(Instruments!$D$6:$D$205,MAX(1,$BE550)))&gt;0),INDEX(Instruments!$D$6:$D$205,MAX(1,$BE550)),IF(N(INDEX(Settings!$D$14:$D$18,$BF550))&gt;0,INDEX(Settings!$D$14:$D$18,$BF550),"")))</f>
        <v/>
      </c>
      <c r="AH550" s="54" t="str">
        <f>IF($AM550=0,"",IF($AF550&lt;&gt;"Forex",1,IF(MID(UPPER(SUBSTITUTE(TRIM($E550),"/","")),4,3)=UPPER(TRIM(Settings!$C$7)),1,IF(LEFT(UPPER(SUBSTITUTE(TRIM($E550),"/","")),3)=UPPER(TRIM(Settings!$C$7)),IF(AND(ISNUMBER($K550),N($K550)&lt;&gt;0),1/$K550,""),""))))</f>
        <v/>
      </c>
      <c r="AI550" s="55" t="str">
        <f>IF($AM550=0,"",IF(OR(NOT(ISNUMBER($H550)),NOT(ISNUMBER($K550)),NOT(ISNUMBER($G550)),$AG550="",$AH550=""),"",ROUND(($K550-$H550)*IF($F550="Short",-1,1)*$G550*$AG550*$AH550,6)))</f>
        <v/>
      </c>
      <c r="AJ550" s="55" t="str">
        <f>IF($AM550=0,"",IF(INDEX(Settings!$E$14:$E$18,$BF550)="% of notional",IF(OR($AG550="",NOT(ISNUMBER($H550)),NOT(ISNUMBER($G550))),"",ROUND(ABS($H550*$G550*$AG550*N($AH550))*IF($L550="Limit",N(INDEX(Settings!$G$14:$G$18,$BF550)),N(INDEX(Settings!$H$14:$H$18,$BF550)))+IF(ISNUMBER($K550),ABS($K550*$G550*$AG550*N($AH550))*IF($M550="Target",N(INDEX(Settings!$G$14:$G$18,$BF550)),N(INDEX(Settings!$H$14:$H$18,$BF550))),0),6)),IF(NOT(ISNUMBER($G550)),"",ROUND(ABS($G550)*2*IF(AND($BE550&gt;0,ISNUMBER(INDEX(Instruments!$G$6:$G$205,MAX(1,$BE550)))),INDEX(Instruments!$G$6:$G$205,MAX(1,$BE550)),N(INDEX(Settings!$F$14:$F$18,$BF550))),6))))</f>
        <v/>
      </c>
      <c r="AK550" s="55" t="str">
        <f>IF($AM550=0,"",IF(ISNUMBER($O550),$O550,$AI550))</f>
        <v/>
      </c>
      <c r="AL550" s="55" t="str">
        <f>IF($AM550=0,"",IF(ISNUMBER($P550),$P550,N($AJ550)))</f>
        <v/>
      </c>
      <c r="AM550" s="56">
        <f>IF(AND($A550&lt;&gt;"",$E550&lt;&gt;"",OR(AND(ISNUMBER($G550),ISNUMBER($H550),ISNUMBER($K550)),ISNUMBER($O550))),1,0)</f>
        <v>0</v>
      </c>
      <c r="AN550" s="57" t="str">
        <f>IF($A550="","",$A550-WEEKDAY($A550,3))</f>
        <v/>
      </c>
      <c r="AO550" s="56" t="str">
        <f>IF($A550="","",WEEKDAY($A550,2))</f>
        <v/>
      </c>
      <c r="AP550" s="55" t="str">
        <f>IF(OR($AM550=0,$C550=""),"",IFERROR(N(INDEX(Accounts!$E$7:$E$16,MATCH($C550,Accounts!$B$7:$B$16,0))),0)+SUMIFS($Q$6:$Q550,$C$6:$C550,$C550))</f>
        <v/>
      </c>
      <c r="AQ550" s="55" t="str">
        <f>IF(OR($AM550=0,$C550=""),"",SUMIFS($Q$6:$Q$1005,$C$6:$C$1005,$C550,$A$6:$A$1005,$A550))</f>
        <v/>
      </c>
      <c r="AR550" s="55" t="str">
        <f>IF(OR($AM550=0,$C550=""),"",IFERROR(N(INDEX(Accounts!$E$7:$E$16,MATCH($C550,Accounts!$B$7:$B$16,0))),0)+SUMIFS($Q$6:$Q$1005,$C$6:$C$1005,$C550,$A$6:$A$1005,"&lt;="&amp;$A550))</f>
        <v/>
      </c>
      <c r="AS550" s="56">
        <f>IF(OR($AM550=0,$Q550=""),0,IF(AND($A550&gt;=Lists!$W$6,$A550&lt;=Lists!$W$7,OR(Dashboard!$D$6="All accounts",$C550=Dashboard!$D$6),OR(Dashboard!$D$7="All markets",$AF550=Dashboard!$D$7)),1,0))</f>
        <v>0</v>
      </c>
      <c r="AT550" s="55">
        <f>IF($AS550=1,N(AT549)+$Q550,N(AT549))</f>
        <v>1187.10688</v>
      </c>
      <c r="AU550" s="55">
        <f>MAX(N(AU549),$AT550)</f>
        <v>1187.10688</v>
      </c>
      <c r="AV550" s="55">
        <f>$AT550-$AU550</f>
        <v>0</v>
      </c>
      <c r="AW550" s="56">
        <f>IF($AS550=1,IF($S550="Win",N(AW549)+1,IF($S550="Loss",0,N(AW549))),N(AW549))</f>
        <v>5</v>
      </c>
      <c r="AX550" s="56">
        <f>IF($AS550=1,IF($S550="Loss",N(AX549)+1,IF($S550="Win",0,N(AX549))),N(AX549))</f>
        <v>0</v>
      </c>
      <c r="AY550" s="56" t="str">
        <f>IF($AS550=1,COUNTIF($AS$6:$AS550,1),"")</f>
        <v/>
      </c>
      <c r="AZ550" s="56">
        <f>MIN(544,N(Lists!$W$8))</f>
        <v>28</v>
      </c>
      <c r="BA550" s="56">
        <f>IF($AS550=1,IF(COUNTIFS($A$6:$A550,$A550,$AS$6:$AS550,1)=1,1,0),0)</f>
        <v>0</v>
      </c>
      <c r="BB550" s="55" t="str">
        <f>IF($BA550=1,SUMIFS($Q$6:$Q$1005,$A$6:$A$1005,$A550,$AS$6:$AS$1005,1),"")</f>
        <v/>
      </c>
      <c r="BC550" s="56">
        <f>IF(ISNUMBER($R550),1,0)</f>
        <v>0</v>
      </c>
      <c r="BD550" s="55" t="str">
        <f>IF(ISNUMBER($U550),$U550*$V550,"")</f>
        <v/>
      </c>
      <c r="BE550" s="56" t="str">
        <f>IF($AM550=0,"",IFERROR(MATCH($AF550&amp;"|"&amp;UPPER(TRIM($E550)),Lists!$A$6:$A$205,0),0))</f>
        <v/>
      </c>
      <c r="BF550" s="56" t="str">
        <f>IF($AM550=0,"",IFERROR(MATCH($AF550,Settings!$B$14:$B$18,0),IFERROR(MATCH(Settings!$C$6,Settings!$B$14:$B$18,0),1)))</f>
        <v/>
      </c>
      <c r="BG550" s="58" t="str">
        <f>IF($AM550=0,"",IF(NOT(ISNUMBER($I550)),"No stop; ","")&amp;IF(AND(ISNUMBER($H550),ISNUMBER($I550)),IF(OR(AND($F550&lt;&gt;"Short",$I550&gt;=$H550),AND($F550="Short",$I550&lt;=$H550)),"Stop on wrong side; ",""),"")&amp;IF($F550="","No direction; ","")&amp;IF(AND(ISNUMBER(Settings!$C$22),ISNUMBER($V550)),IF($V550&gt;Settings!$C$22,"Risk over max $; ",""),"")&amp;IF(AND(ISNUMBER(Settings!$C$23),ISNUMBER($V550),ISNUMBER($AP550),IFERROR(N(INDEX(Accounts!$E$7:$E$16,MATCH($C550,Accounts!$B$7:$B$16,0))),0)&gt;0),IF($V550&gt;Settings!$C$23*($AP550-N($Q550)),"Risk over max %; ",""),"")&amp;IF(AND(ISNUMBER(Settings!$C$24),ISNUMBER($N550)),IF($N550&gt;Settings!$C$24,"Leverage over max; ",""),"")&amp;IF(AND(ISNUMBER(Settings!$C$27),ISNUMBER($T550)),IF($T550&lt;Settings!$C$27,"R:R below min; ",""),"")&amp;IF(ISNUMBER(Settings!$C$25),IF(COUNTIFS($A$6:$A550,$A550,$AM$6:$AM550,1)&gt;Settings!$C$25,"Over max trades/day; ",""),"")&amp;IF(ISNUMBER(Settings!$C$26),IF(SUMIFS($Q$5:$Q549,$A$5:$A549,$A550)&lt;=-Settings!$C$26,"Traded after daily max loss; ",""),"")&amp;IF(AND($AG550="",NOT(ISNUMBER($O550))),"Symbol not in Instruments; ","")&amp;IF(AND($AH550="",NOT(ISNUMBER($O550))),"Forex cross: type Gross P&amp;L; ",""))</f>
        <v/>
      </c>
      <c r="BH550" s="56">
        <f>IF(ISNUMBER($Q550),1,0)</f>
        <v>0</v>
      </c>
      <c r="BI550" s="56">
        <f>IF($Y550="",0,1)</f>
        <v>0</v>
      </c>
      <c r="BJ550" s="56">
        <f>IF($AB550="",0,1)</f>
        <v>0</v>
      </c>
      <c r="BK550" s="56">
        <f>IF(AND($BH550=1,$W550&lt;&gt;"OK"),1,0)</f>
        <v>0</v>
      </c>
      <c r="BL550" s="55">
        <f>IF(N($AZ550)=0,0,IFERROR(INDEX($AT$6:$AT$1005,MATCH($AZ550,$AY$6:$AY$1005,0)),0))</f>
        <v>1187.10688</v>
      </c>
      <c r="BM550" s="56">
        <f>IF(ISNUMBER(SEARCH("daily max loss",$BG550)),1,0)</f>
        <v>0</v>
      </c>
    </row>
    <row r="551" ht="18" customHeight="1">
      <c r="A551" s="38" t="n"/>
      <c r="B551" s="39" t="n"/>
      <c r="C551" s="40" t="n"/>
      <c r="D551" s="41" t="n"/>
      <c r="E551" s="41" t="n"/>
      <c r="F551" s="41" t="n"/>
      <c r="G551" s="41" t="n"/>
      <c r="H551" s="42" t="n"/>
      <c r="I551" s="42" t="n"/>
      <c r="J551" s="42" t="n"/>
      <c r="K551" s="42" t="n"/>
      <c r="L551" s="41" t="n"/>
      <c r="M551" s="41" t="n"/>
      <c r="N551" s="41" t="n"/>
      <c r="O551" s="43" t="n"/>
      <c r="P551" s="43" t="n"/>
      <c r="Q551" s="44" t="str">
        <f>IF($AM551=0,"",IF(ISNUMBER($AK551),$AK551-N($AL551),""))</f>
        <v/>
      </c>
      <c r="R551" s="45" t="str">
        <f>IF(OR($Q551="",NOT(ISNUMBER($V551))),"",$AK551/$V551)</f>
        <v/>
      </c>
      <c r="S551" s="46" t="str">
        <f>IF($Q551="","",IF(AND(ISNUMBER($R551),ABS(N($R551))&lt;N(Settings!$C$8)),"Scratch",IF($Q551&gt;0,"Win",IF($Q551&lt;0,"Loss","Scratch"))))</f>
        <v/>
      </c>
      <c r="T551" s="47" t="str">
        <f>IF(OR($AM551=0,NOT(ISNUMBER($H551)),NOT(ISNUMBER($I551)),NOT(ISNUMBER($J551))),"",IF($H551=$I551,"",ROUND(ABS($J551-$H551)/ABS($H551-$I551),6)))</f>
        <v/>
      </c>
      <c r="U551" s="48" t="str">
        <f>IF(OR($S551&lt;&gt;"Win",NOT(ISNUMBER($T551)),NOT(ISNUMBER($R551))),"",MAX(0,$T551-$R551))</f>
        <v/>
      </c>
      <c r="V551" s="49" t="str">
        <f>IF(OR($AM551=0,NOT(ISNUMBER($H551)),NOT(ISNUMBER($I551)),NOT(ISNUMBER($G551))),"",IF(OR($AG551="",$AH551=""),"",IF(ROUND(ABS($H551-$I551)*ABS($G551)*$AG551*$AH551,6)=0,"",ROUND(ABS($H551-$I551)*ABS($G551)*$AG551*$AH551,6))))</f>
        <v/>
      </c>
      <c r="W551" s="50" t="str">
        <f>IF($AM551=0,"",IF($BG551="","OK",LEFT($BG551,LEN($BG551)-2)))</f>
        <v/>
      </c>
      <c r="X551" s="41" t="n"/>
      <c r="Y551" s="40" t="n"/>
      <c r="Z551" s="41" t="n"/>
      <c r="AA551" s="41" t="n"/>
      <c r="AB551" s="40" t="n"/>
      <c r="AC551" s="51" t="n"/>
      <c r="AD551" s="51" t="n"/>
      <c r="AE551" s="40" t="n"/>
      <c r="AF551" s="52" t="str">
        <f>IF($AM551=0,"",IF($D551&lt;&gt;"",$D551,IF(IFERROR(INDEX(Accounts!$C$7:$C$16,MATCH($C551,Accounts!$B$7:$B$16,0))&amp;"","")&lt;&gt;"",INDEX(Accounts!$C$7:$C$16,MATCH($C551,Accounts!$B$7:$B$16,0)),Settings!$C$6)))</f>
        <v/>
      </c>
      <c r="AG551" s="53" t="str">
        <f>IF($AM551=0,"",IF(AND($BE551&gt;0,N(INDEX(Instruments!$D$6:$D$205,MAX(1,$BE551)))&gt;0),INDEX(Instruments!$D$6:$D$205,MAX(1,$BE551)),IF(N(INDEX(Settings!$D$14:$D$18,$BF551))&gt;0,INDEX(Settings!$D$14:$D$18,$BF551),"")))</f>
        <v/>
      </c>
      <c r="AH551" s="54" t="str">
        <f>IF($AM551=0,"",IF($AF551&lt;&gt;"Forex",1,IF(MID(UPPER(SUBSTITUTE(TRIM($E551),"/","")),4,3)=UPPER(TRIM(Settings!$C$7)),1,IF(LEFT(UPPER(SUBSTITUTE(TRIM($E551),"/","")),3)=UPPER(TRIM(Settings!$C$7)),IF(AND(ISNUMBER($K551),N($K551)&lt;&gt;0),1/$K551,""),""))))</f>
        <v/>
      </c>
      <c r="AI551" s="55" t="str">
        <f>IF($AM551=0,"",IF(OR(NOT(ISNUMBER($H551)),NOT(ISNUMBER($K551)),NOT(ISNUMBER($G551)),$AG551="",$AH551=""),"",ROUND(($K551-$H551)*IF($F551="Short",-1,1)*$G551*$AG551*$AH551,6)))</f>
        <v/>
      </c>
      <c r="AJ551" s="55" t="str">
        <f>IF($AM551=0,"",IF(INDEX(Settings!$E$14:$E$18,$BF551)="% of notional",IF(OR($AG551="",NOT(ISNUMBER($H551)),NOT(ISNUMBER($G551))),"",ROUND(ABS($H551*$G551*$AG551*N($AH551))*IF($L551="Limit",N(INDEX(Settings!$G$14:$G$18,$BF551)),N(INDEX(Settings!$H$14:$H$18,$BF551)))+IF(ISNUMBER($K551),ABS($K551*$G551*$AG551*N($AH551))*IF($M551="Target",N(INDEX(Settings!$G$14:$G$18,$BF551)),N(INDEX(Settings!$H$14:$H$18,$BF551))),0),6)),IF(NOT(ISNUMBER($G551)),"",ROUND(ABS($G551)*2*IF(AND($BE551&gt;0,ISNUMBER(INDEX(Instruments!$G$6:$G$205,MAX(1,$BE551)))),INDEX(Instruments!$G$6:$G$205,MAX(1,$BE551)),N(INDEX(Settings!$F$14:$F$18,$BF551))),6))))</f>
        <v/>
      </c>
      <c r="AK551" s="55" t="str">
        <f>IF($AM551=0,"",IF(ISNUMBER($O551),$O551,$AI551))</f>
        <v/>
      </c>
      <c r="AL551" s="55" t="str">
        <f>IF($AM551=0,"",IF(ISNUMBER($P551),$P551,N($AJ551)))</f>
        <v/>
      </c>
      <c r="AM551" s="56">
        <f>IF(AND($A551&lt;&gt;"",$E551&lt;&gt;"",OR(AND(ISNUMBER($G551),ISNUMBER($H551),ISNUMBER($K551)),ISNUMBER($O551))),1,0)</f>
        <v>0</v>
      </c>
      <c r="AN551" s="57" t="str">
        <f>IF($A551="","",$A551-WEEKDAY($A551,3))</f>
        <v/>
      </c>
      <c r="AO551" s="56" t="str">
        <f>IF($A551="","",WEEKDAY($A551,2))</f>
        <v/>
      </c>
      <c r="AP551" s="55" t="str">
        <f>IF(OR($AM551=0,$C551=""),"",IFERROR(N(INDEX(Accounts!$E$7:$E$16,MATCH($C551,Accounts!$B$7:$B$16,0))),0)+SUMIFS($Q$6:$Q551,$C$6:$C551,$C551))</f>
        <v/>
      </c>
      <c r="AQ551" s="55" t="str">
        <f>IF(OR($AM551=0,$C551=""),"",SUMIFS($Q$6:$Q$1005,$C$6:$C$1005,$C551,$A$6:$A$1005,$A551))</f>
        <v/>
      </c>
      <c r="AR551" s="55" t="str">
        <f>IF(OR($AM551=0,$C551=""),"",IFERROR(N(INDEX(Accounts!$E$7:$E$16,MATCH($C551,Accounts!$B$7:$B$16,0))),0)+SUMIFS($Q$6:$Q$1005,$C$6:$C$1005,$C551,$A$6:$A$1005,"&lt;="&amp;$A551))</f>
        <v/>
      </c>
      <c r="AS551" s="56">
        <f>IF(OR($AM551=0,$Q551=""),0,IF(AND($A551&gt;=Lists!$W$6,$A551&lt;=Lists!$W$7,OR(Dashboard!$D$6="All accounts",$C551=Dashboard!$D$6),OR(Dashboard!$D$7="All markets",$AF551=Dashboard!$D$7)),1,0))</f>
        <v>0</v>
      </c>
      <c r="AT551" s="55">
        <f>IF($AS551=1,N(AT550)+$Q551,N(AT550))</f>
        <v>1187.10688</v>
      </c>
      <c r="AU551" s="55">
        <f>MAX(N(AU550),$AT551)</f>
        <v>1187.10688</v>
      </c>
      <c r="AV551" s="55">
        <f>$AT551-$AU551</f>
        <v>0</v>
      </c>
      <c r="AW551" s="56">
        <f>IF($AS551=1,IF($S551="Win",N(AW550)+1,IF($S551="Loss",0,N(AW550))),N(AW550))</f>
        <v>5</v>
      </c>
      <c r="AX551" s="56">
        <f>IF($AS551=1,IF($S551="Loss",N(AX550)+1,IF($S551="Win",0,N(AX550))),N(AX550))</f>
        <v>0</v>
      </c>
      <c r="AY551" s="56" t="str">
        <f>IF($AS551=1,COUNTIF($AS$6:$AS551,1),"")</f>
        <v/>
      </c>
      <c r="AZ551" s="56">
        <f>MIN(545,N(Lists!$W$8))</f>
        <v>28</v>
      </c>
      <c r="BA551" s="56">
        <f>IF($AS551=1,IF(COUNTIFS($A$6:$A551,$A551,$AS$6:$AS551,1)=1,1,0),0)</f>
        <v>0</v>
      </c>
      <c r="BB551" s="55" t="str">
        <f>IF($BA551=1,SUMIFS($Q$6:$Q$1005,$A$6:$A$1005,$A551,$AS$6:$AS$1005,1),"")</f>
        <v/>
      </c>
      <c r="BC551" s="56">
        <f>IF(ISNUMBER($R551),1,0)</f>
        <v>0</v>
      </c>
      <c r="BD551" s="55" t="str">
        <f>IF(ISNUMBER($U551),$U551*$V551,"")</f>
        <v/>
      </c>
      <c r="BE551" s="56" t="str">
        <f>IF($AM551=0,"",IFERROR(MATCH($AF551&amp;"|"&amp;UPPER(TRIM($E551)),Lists!$A$6:$A$205,0),0))</f>
        <v/>
      </c>
      <c r="BF551" s="56" t="str">
        <f>IF($AM551=0,"",IFERROR(MATCH($AF551,Settings!$B$14:$B$18,0),IFERROR(MATCH(Settings!$C$6,Settings!$B$14:$B$18,0),1)))</f>
        <v/>
      </c>
      <c r="BG551" s="58" t="str">
        <f>IF($AM551=0,"",IF(NOT(ISNUMBER($I551)),"No stop; ","")&amp;IF(AND(ISNUMBER($H551),ISNUMBER($I551)),IF(OR(AND($F551&lt;&gt;"Short",$I551&gt;=$H551),AND($F551="Short",$I551&lt;=$H551)),"Stop on wrong side; ",""),"")&amp;IF($F551="","No direction; ","")&amp;IF(AND(ISNUMBER(Settings!$C$22),ISNUMBER($V551)),IF($V551&gt;Settings!$C$22,"Risk over max $; ",""),"")&amp;IF(AND(ISNUMBER(Settings!$C$23),ISNUMBER($V551),ISNUMBER($AP551),IFERROR(N(INDEX(Accounts!$E$7:$E$16,MATCH($C551,Accounts!$B$7:$B$16,0))),0)&gt;0),IF($V551&gt;Settings!$C$23*($AP551-N($Q551)),"Risk over max %; ",""),"")&amp;IF(AND(ISNUMBER(Settings!$C$24),ISNUMBER($N551)),IF($N551&gt;Settings!$C$24,"Leverage over max; ",""),"")&amp;IF(AND(ISNUMBER(Settings!$C$27),ISNUMBER($T551)),IF($T551&lt;Settings!$C$27,"R:R below min; ",""),"")&amp;IF(ISNUMBER(Settings!$C$25),IF(COUNTIFS($A$6:$A551,$A551,$AM$6:$AM551,1)&gt;Settings!$C$25,"Over max trades/day; ",""),"")&amp;IF(ISNUMBER(Settings!$C$26),IF(SUMIFS($Q$5:$Q550,$A$5:$A550,$A551)&lt;=-Settings!$C$26,"Traded after daily max loss; ",""),"")&amp;IF(AND($AG551="",NOT(ISNUMBER($O551))),"Symbol not in Instruments; ","")&amp;IF(AND($AH551="",NOT(ISNUMBER($O551))),"Forex cross: type Gross P&amp;L; ",""))</f>
        <v/>
      </c>
      <c r="BH551" s="56">
        <f>IF(ISNUMBER($Q551),1,0)</f>
        <v>0</v>
      </c>
      <c r="BI551" s="56">
        <f>IF($Y551="",0,1)</f>
        <v>0</v>
      </c>
      <c r="BJ551" s="56">
        <f>IF($AB551="",0,1)</f>
        <v>0</v>
      </c>
      <c r="BK551" s="56">
        <f>IF(AND($BH551=1,$W551&lt;&gt;"OK"),1,0)</f>
        <v>0</v>
      </c>
      <c r="BL551" s="55">
        <f>IF(N($AZ551)=0,0,IFERROR(INDEX($AT$6:$AT$1005,MATCH($AZ551,$AY$6:$AY$1005,0)),0))</f>
        <v>1187.10688</v>
      </c>
      <c r="BM551" s="56">
        <f>IF(ISNUMBER(SEARCH("daily max loss",$BG551)),1,0)</f>
        <v>0</v>
      </c>
    </row>
    <row r="552" ht="18" customHeight="1">
      <c r="A552" s="38" t="n"/>
      <c r="B552" s="39" t="n"/>
      <c r="C552" s="40" t="n"/>
      <c r="D552" s="41" t="n"/>
      <c r="E552" s="41" t="n"/>
      <c r="F552" s="41" t="n"/>
      <c r="G552" s="41" t="n"/>
      <c r="H552" s="42" t="n"/>
      <c r="I552" s="42" t="n"/>
      <c r="J552" s="42" t="n"/>
      <c r="K552" s="42" t="n"/>
      <c r="L552" s="41" t="n"/>
      <c r="M552" s="41" t="n"/>
      <c r="N552" s="41" t="n"/>
      <c r="O552" s="43" t="n"/>
      <c r="P552" s="43" t="n"/>
      <c r="Q552" s="44" t="str">
        <f>IF($AM552=0,"",IF(ISNUMBER($AK552),$AK552-N($AL552),""))</f>
        <v/>
      </c>
      <c r="R552" s="45" t="str">
        <f>IF(OR($Q552="",NOT(ISNUMBER($V552))),"",$AK552/$V552)</f>
        <v/>
      </c>
      <c r="S552" s="46" t="str">
        <f>IF($Q552="","",IF(AND(ISNUMBER($R552),ABS(N($R552))&lt;N(Settings!$C$8)),"Scratch",IF($Q552&gt;0,"Win",IF($Q552&lt;0,"Loss","Scratch"))))</f>
        <v/>
      </c>
      <c r="T552" s="47" t="str">
        <f>IF(OR($AM552=0,NOT(ISNUMBER($H552)),NOT(ISNUMBER($I552)),NOT(ISNUMBER($J552))),"",IF($H552=$I552,"",ROUND(ABS($J552-$H552)/ABS($H552-$I552),6)))</f>
        <v/>
      </c>
      <c r="U552" s="48" t="str">
        <f>IF(OR($S552&lt;&gt;"Win",NOT(ISNUMBER($T552)),NOT(ISNUMBER($R552))),"",MAX(0,$T552-$R552))</f>
        <v/>
      </c>
      <c r="V552" s="49" t="str">
        <f>IF(OR($AM552=0,NOT(ISNUMBER($H552)),NOT(ISNUMBER($I552)),NOT(ISNUMBER($G552))),"",IF(OR($AG552="",$AH552=""),"",IF(ROUND(ABS($H552-$I552)*ABS($G552)*$AG552*$AH552,6)=0,"",ROUND(ABS($H552-$I552)*ABS($G552)*$AG552*$AH552,6))))</f>
        <v/>
      </c>
      <c r="W552" s="50" t="str">
        <f>IF($AM552=0,"",IF($BG552="","OK",LEFT($BG552,LEN($BG552)-2)))</f>
        <v/>
      </c>
      <c r="X552" s="41" t="n"/>
      <c r="Y552" s="40" t="n"/>
      <c r="Z552" s="41" t="n"/>
      <c r="AA552" s="41" t="n"/>
      <c r="AB552" s="40" t="n"/>
      <c r="AC552" s="51" t="n"/>
      <c r="AD552" s="51" t="n"/>
      <c r="AE552" s="40" t="n"/>
      <c r="AF552" s="52" t="str">
        <f>IF($AM552=0,"",IF($D552&lt;&gt;"",$D552,IF(IFERROR(INDEX(Accounts!$C$7:$C$16,MATCH($C552,Accounts!$B$7:$B$16,0))&amp;"","")&lt;&gt;"",INDEX(Accounts!$C$7:$C$16,MATCH($C552,Accounts!$B$7:$B$16,0)),Settings!$C$6)))</f>
        <v/>
      </c>
      <c r="AG552" s="53" t="str">
        <f>IF($AM552=0,"",IF(AND($BE552&gt;0,N(INDEX(Instruments!$D$6:$D$205,MAX(1,$BE552)))&gt;0),INDEX(Instruments!$D$6:$D$205,MAX(1,$BE552)),IF(N(INDEX(Settings!$D$14:$D$18,$BF552))&gt;0,INDEX(Settings!$D$14:$D$18,$BF552),"")))</f>
        <v/>
      </c>
      <c r="AH552" s="54" t="str">
        <f>IF($AM552=0,"",IF($AF552&lt;&gt;"Forex",1,IF(MID(UPPER(SUBSTITUTE(TRIM($E552),"/","")),4,3)=UPPER(TRIM(Settings!$C$7)),1,IF(LEFT(UPPER(SUBSTITUTE(TRIM($E552),"/","")),3)=UPPER(TRIM(Settings!$C$7)),IF(AND(ISNUMBER($K552),N($K552)&lt;&gt;0),1/$K552,""),""))))</f>
        <v/>
      </c>
      <c r="AI552" s="55" t="str">
        <f>IF($AM552=0,"",IF(OR(NOT(ISNUMBER($H552)),NOT(ISNUMBER($K552)),NOT(ISNUMBER($G552)),$AG552="",$AH552=""),"",ROUND(($K552-$H552)*IF($F552="Short",-1,1)*$G552*$AG552*$AH552,6)))</f>
        <v/>
      </c>
      <c r="AJ552" s="55" t="str">
        <f>IF($AM552=0,"",IF(INDEX(Settings!$E$14:$E$18,$BF552)="% of notional",IF(OR($AG552="",NOT(ISNUMBER($H552)),NOT(ISNUMBER($G552))),"",ROUND(ABS($H552*$G552*$AG552*N($AH552))*IF($L552="Limit",N(INDEX(Settings!$G$14:$G$18,$BF552)),N(INDEX(Settings!$H$14:$H$18,$BF552)))+IF(ISNUMBER($K552),ABS($K552*$G552*$AG552*N($AH552))*IF($M552="Target",N(INDEX(Settings!$G$14:$G$18,$BF552)),N(INDEX(Settings!$H$14:$H$18,$BF552))),0),6)),IF(NOT(ISNUMBER($G552)),"",ROUND(ABS($G552)*2*IF(AND($BE552&gt;0,ISNUMBER(INDEX(Instruments!$G$6:$G$205,MAX(1,$BE552)))),INDEX(Instruments!$G$6:$G$205,MAX(1,$BE552)),N(INDEX(Settings!$F$14:$F$18,$BF552))),6))))</f>
        <v/>
      </c>
      <c r="AK552" s="55" t="str">
        <f>IF($AM552=0,"",IF(ISNUMBER($O552),$O552,$AI552))</f>
        <v/>
      </c>
      <c r="AL552" s="55" t="str">
        <f>IF($AM552=0,"",IF(ISNUMBER($P552),$P552,N($AJ552)))</f>
        <v/>
      </c>
      <c r="AM552" s="56">
        <f>IF(AND($A552&lt;&gt;"",$E552&lt;&gt;"",OR(AND(ISNUMBER($G552),ISNUMBER($H552),ISNUMBER($K552)),ISNUMBER($O552))),1,0)</f>
        <v>0</v>
      </c>
      <c r="AN552" s="57" t="str">
        <f>IF($A552="","",$A552-WEEKDAY($A552,3))</f>
        <v/>
      </c>
      <c r="AO552" s="56" t="str">
        <f>IF($A552="","",WEEKDAY($A552,2))</f>
        <v/>
      </c>
      <c r="AP552" s="55" t="str">
        <f>IF(OR($AM552=0,$C552=""),"",IFERROR(N(INDEX(Accounts!$E$7:$E$16,MATCH($C552,Accounts!$B$7:$B$16,0))),0)+SUMIFS($Q$6:$Q552,$C$6:$C552,$C552))</f>
        <v/>
      </c>
      <c r="AQ552" s="55" t="str">
        <f>IF(OR($AM552=0,$C552=""),"",SUMIFS($Q$6:$Q$1005,$C$6:$C$1005,$C552,$A$6:$A$1005,$A552))</f>
        <v/>
      </c>
      <c r="AR552" s="55" t="str">
        <f>IF(OR($AM552=0,$C552=""),"",IFERROR(N(INDEX(Accounts!$E$7:$E$16,MATCH($C552,Accounts!$B$7:$B$16,0))),0)+SUMIFS($Q$6:$Q$1005,$C$6:$C$1005,$C552,$A$6:$A$1005,"&lt;="&amp;$A552))</f>
        <v/>
      </c>
      <c r="AS552" s="56">
        <f>IF(OR($AM552=0,$Q552=""),0,IF(AND($A552&gt;=Lists!$W$6,$A552&lt;=Lists!$W$7,OR(Dashboard!$D$6="All accounts",$C552=Dashboard!$D$6),OR(Dashboard!$D$7="All markets",$AF552=Dashboard!$D$7)),1,0))</f>
        <v>0</v>
      </c>
      <c r="AT552" s="55">
        <f>IF($AS552=1,N(AT551)+$Q552,N(AT551))</f>
        <v>1187.10688</v>
      </c>
      <c r="AU552" s="55">
        <f>MAX(N(AU551),$AT552)</f>
        <v>1187.10688</v>
      </c>
      <c r="AV552" s="55">
        <f>$AT552-$AU552</f>
        <v>0</v>
      </c>
      <c r="AW552" s="56">
        <f>IF($AS552=1,IF($S552="Win",N(AW551)+1,IF($S552="Loss",0,N(AW551))),N(AW551))</f>
        <v>5</v>
      </c>
      <c r="AX552" s="56">
        <f>IF($AS552=1,IF($S552="Loss",N(AX551)+1,IF($S552="Win",0,N(AX551))),N(AX551))</f>
        <v>0</v>
      </c>
      <c r="AY552" s="56" t="str">
        <f>IF($AS552=1,COUNTIF($AS$6:$AS552,1),"")</f>
        <v/>
      </c>
      <c r="AZ552" s="56">
        <f>MIN(546,N(Lists!$W$8))</f>
        <v>28</v>
      </c>
      <c r="BA552" s="56">
        <f>IF($AS552=1,IF(COUNTIFS($A$6:$A552,$A552,$AS$6:$AS552,1)=1,1,0),0)</f>
        <v>0</v>
      </c>
      <c r="BB552" s="55" t="str">
        <f>IF($BA552=1,SUMIFS($Q$6:$Q$1005,$A$6:$A$1005,$A552,$AS$6:$AS$1005,1),"")</f>
        <v/>
      </c>
      <c r="BC552" s="56">
        <f>IF(ISNUMBER($R552),1,0)</f>
        <v>0</v>
      </c>
      <c r="BD552" s="55" t="str">
        <f>IF(ISNUMBER($U552),$U552*$V552,"")</f>
        <v/>
      </c>
      <c r="BE552" s="56" t="str">
        <f>IF($AM552=0,"",IFERROR(MATCH($AF552&amp;"|"&amp;UPPER(TRIM($E552)),Lists!$A$6:$A$205,0),0))</f>
        <v/>
      </c>
      <c r="BF552" s="56" t="str">
        <f>IF($AM552=0,"",IFERROR(MATCH($AF552,Settings!$B$14:$B$18,0),IFERROR(MATCH(Settings!$C$6,Settings!$B$14:$B$18,0),1)))</f>
        <v/>
      </c>
      <c r="BG552" s="58" t="str">
        <f>IF($AM552=0,"",IF(NOT(ISNUMBER($I552)),"No stop; ","")&amp;IF(AND(ISNUMBER($H552),ISNUMBER($I552)),IF(OR(AND($F552&lt;&gt;"Short",$I552&gt;=$H552),AND($F552="Short",$I552&lt;=$H552)),"Stop on wrong side; ",""),"")&amp;IF($F552="","No direction; ","")&amp;IF(AND(ISNUMBER(Settings!$C$22),ISNUMBER($V552)),IF($V552&gt;Settings!$C$22,"Risk over max $; ",""),"")&amp;IF(AND(ISNUMBER(Settings!$C$23),ISNUMBER($V552),ISNUMBER($AP552),IFERROR(N(INDEX(Accounts!$E$7:$E$16,MATCH($C552,Accounts!$B$7:$B$16,0))),0)&gt;0),IF($V552&gt;Settings!$C$23*($AP552-N($Q552)),"Risk over max %; ",""),"")&amp;IF(AND(ISNUMBER(Settings!$C$24),ISNUMBER($N552)),IF($N552&gt;Settings!$C$24,"Leverage over max; ",""),"")&amp;IF(AND(ISNUMBER(Settings!$C$27),ISNUMBER($T552)),IF($T552&lt;Settings!$C$27,"R:R below min; ",""),"")&amp;IF(ISNUMBER(Settings!$C$25),IF(COUNTIFS($A$6:$A552,$A552,$AM$6:$AM552,1)&gt;Settings!$C$25,"Over max trades/day; ",""),"")&amp;IF(ISNUMBER(Settings!$C$26),IF(SUMIFS($Q$5:$Q551,$A$5:$A551,$A552)&lt;=-Settings!$C$26,"Traded after daily max loss; ",""),"")&amp;IF(AND($AG552="",NOT(ISNUMBER($O552))),"Symbol not in Instruments; ","")&amp;IF(AND($AH552="",NOT(ISNUMBER($O552))),"Forex cross: type Gross P&amp;L; ",""))</f>
        <v/>
      </c>
      <c r="BH552" s="56">
        <f>IF(ISNUMBER($Q552),1,0)</f>
        <v>0</v>
      </c>
      <c r="BI552" s="56">
        <f>IF($Y552="",0,1)</f>
        <v>0</v>
      </c>
      <c r="BJ552" s="56">
        <f>IF($AB552="",0,1)</f>
        <v>0</v>
      </c>
      <c r="BK552" s="56">
        <f>IF(AND($BH552=1,$W552&lt;&gt;"OK"),1,0)</f>
        <v>0</v>
      </c>
      <c r="BL552" s="55">
        <f>IF(N($AZ552)=0,0,IFERROR(INDEX($AT$6:$AT$1005,MATCH($AZ552,$AY$6:$AY$1005,0)),0))</f>
        <v>1187.10688</v>
      </c>
      <c r="BM552" s="56">
        <f>IF(ISNUMBER(SEARCH("daily max loss",$BG552)),1,0)</f>
        <v>0</v>
      </c>
    </row>
    <row r="553" ht="18" customHeight="1">
      <c r="A553" s="38" t="n"/>
      <c r="B553" s="39" t="n"/>
      <c r="C553" s="40" t="n"/>
      <c r="D553" s="41" t="n"/>
      <c r="E553" s="41" t="n"/>
      <c r="F553" s="41" t="n"/>
      <c r="G553" s="41" t="n"/>
      <c r="H553" s="42" t="n"/>
      <c r="I553" s="42" t="n"/>
      <c r="J553" s="42" t="n"/>
      <c r="K553" s="42" t="n"/>
      <c r="L553" s="41" t="n"/>
      <c r="M553" s="41" t="n"/>
      <c r="N553" s="41" t="n"/>
      <c r="O553" s="43" t="n"/>
      <c r="P553" s="43" t="n"/>
      <c r="Q553" s="44" t="str">
        <f>IF($AM553=0,"",IF(ISNUMBER($AK553),$AK553-N($AL553),""))</f>
        <v/>
      </c>
      <c r="R553" s="45" t="str">
        <f>IF(OR($Q553="",NOT(ISNUMBER($V553))),"",$AK553/$V553)</f>
        <v/>
      </c>
      <c r="S553" s="46" t="str">
        <f>IF($Q553="","",IF(AND(ISNUMBER($R553),ABS(N($R553))&lt;N(Settings!$C$8)),"Scratch",IF($Q553&gt;0,"Win",IF($Q553&lt;0,"Loss","Scratch"))))</f>
        <v/>
      </c>
      <c r="T553" s="47" t="str">
        <f>IF(OR($AM553=0,NOT(ISNUMBER($H553)),NOT(ISNUMBER($I553)),NOT(ISNUMBER($J553))),"",IF($H553=$I553,"",ROUND(ABS($J553-$H553)/ABS($H553-$I553),6)))</f>
        <v/>
      </c>
      <c r="U553" s="48" t="str">
        <f>IF(OR($S553&lt;&gt;"Win",NOT(ISNUMBER($T553)),NOT(ISNUMBER($R553))),"",MAX(0,$T553-$R553))</f>
        <v/>
      </c>
      <c r="V553" s="49" t="str">
        <f>IF(OR($AM553=0,NOT(ISNUMBER($H553)),NOT(ISNUMBER($I553)),NOT(ISNUMBER($G553))),"",IF(OR($AG553="",$AH553=""),"",IF(ROUND(ABS($H553-$I553)*ABS($G553)*$AG553*$AH553,6)=0,"",ROUND(ABS($H553-$I553)*ABS($G553)*$AG553*$AH553,6))))</f>
        <v/>
      </c>
      <c r="W553" s="50" t="str">
        <f>IF($AM553=0,"",IF($BG553="","OK",LEFT($BG553,LEN($BG553)-2)))</f>
        <v/>
      </c>
      <c r="X553" s="41" t="n"/>
      <c r="Y553" s="40" t="n"/>
      <c r="Z553" s="41" t="n"/>
      <c r="AA553" s="41" t="n"/>
      <c r="AB553" s="40" t="n"/>
      <c r="AC553" s="51" t="n"/>
      <c r="AD553" s="51" t="n"/>
      <c r="AE553" s="40" t="n"/>
      <c r="AF553" s="52" t="str">
        <f>IF($AM553=0,"",IF($D553&lt;&gt;"",$D553,IF(IFERROR(INDEX(Accounts!$C$7:$C$16,MATCH($C553,Accounts!$B$7:$B$16,0))&amp;"","")&lt;&gt;"",INDEX(Accounts!$C$7:$C$16,MATCH($C553,Accounts!$B$7:$B$16,0)),Settings!$C$6)))</f>
        <v/>
      </c>
      <c r="AG553" s="53" t="str">
        <f>IF($AM553=0,"",IF(AND($BE553&gt;0,N(INDEX(Instruments!$D$6:$D$205,MAX(1,$BE553)))&gt;0),INDEX(Instruments!$D$6:$D$205,MAX(1,$BE553)),IF(N(INDEX(Settings!$D$14:$D$18,$BF553))&gt;0,INDEX(Settings!$D$14:$D$18,$BF553),"")))</f>
        <v/>
      </c>
      <c r="AH553" s="54" t="str">
        <f>IF($AM553=0,"",IF($AF553&lt;&gt;"Forex",1,IF(MID(UPPER(SUBSTITUTE(TRIM($E553),"/","")),4,3)=UPPER(TRIM(Settings!$C$7)),1,IF(LEFT(UPPER(SUBSTITUTE(TRIM($E553),"/","")),3)=UPPER(TRIM(Settings!$C$7)),IF(AND(ISNUMBER($K553),N($K553)&lt;&gt;0),1/$K553,""),""))))</f>
        <v/>
      </c>
      <c r="AI553" s="55" t="str">
        <f>IF($AM553=0,"",IF(OR(NOT(ISNUMBER($H553)),NOT(ISNUMBER($K553)),NOT(ISNUMBER($G553)),$AG553="",$AH553=""),"",ROUND(($K553-$H553)*IF($F553="Short",-1,1)*$G553*$AG553*$AH553,6)))</f>
        <v/>
      </c>
      <c r="AJ553" s="55" t="str">
        <f>IF($AM553=0,"",IF(INDEX(Settings!$E$14:$E$18,$BF553)="% of notional",IF(OR($AG553="",NOT(ISNUMBER($H553)),NOT(ISNUMBER($G553))),"",ROUND(ABS($H553*$G553*$AG553*N($AH553))*IF($L553="Limit",N(INDEX(Settings!$G$14:$G$18,$BF553)),N(INDEX(Settings!$H$14:$H$18,$BF553)))+IF(ISNUMBER($K553),ABS($K553*$G553*$AG553*N($AH553))*IF($M553="Target",N(INDEX(Settings!$G$14:$G$18,$BF553)),N(INDEX(Settings!$H$14:$H$18,$BF553))),0),6)),IF(NOT(ISNUMBER($G553)),"",ROUND(ABS($G553)*2*IF(AND($BE553&gt;0,ISNUMBER(INDEX(Instruments!$G$6:$G$205,MAX(1,$BE553)))),INDEX(Instruments!$G$6:$G$205,MAX(1,$BE553)),N(INDEX(Settings!$F$14:$F$18,$BF553))),6))))</f>
        <v/>
      </c>
      <c r="AK553" s="55" t="str">
        <f>IF($AM553=0,"",IF(ISNUMBER($O553),$O553,$AI553))</f>
        <v/>
      </c>
      <c r="AL553" s="55" t="str">
        <f>IF($AM553=0,"",IF(ISNUMBER($P553),$P553,N($AJ553)))</f>
        <v/>
      </c>
      <c r="AM553" s="56">
        <f>IF(AND($A553&lt;&gt;"",$E553&lt;&gt;"",OR(AND(ISNUMBER($G553),ISNUMBER($H553),ISNUMBER($K553)),ISNUMBER($O553))),1,0)</f>
        <v>0</v>
      </c>
      <c r="AN553" s="57" t="str">
        <f>IF($A553="","",$A553-WEEKDAY($A553,3))</f>
        <v/>
      </c>
      <c r="AO553" s="56" t="str">
        <f>IF($A553="","",WEEKDAY($A553,2))</f>
        <v/>
      </c>
      <c r="AP553" s="55" t="str">
        <f>IF(OR($AM553=0,$C553=""),"",IFERROR(N(INDEX(Accounts!$E$7:$E$16,MATCH($C553,Accounts!$B$7:$B$16,0))),0)+SUMIFS($Q$6:$Q553,$C$6:$C553,$C553))</f>
        <v/>
      </c>
      <c r="AQ553" s="55" t="str">
        <f>IF(OR($AM553=0,$C553=""),"",SUMIFS($Q$6:$Q$1005,$C$6:$C$1005,$C553,$A$6:$A$1005,$A553))</f>
        <v/>
      </c>
      <c r="AR553" s="55" t="str">
        <f>IF(OR($AM553=0,$C553=""),"",IFERROR(N(INDEX(Accounts!$E$7:$E$16,MATCH($C553,Accounts!$B$7:$B$16,0))),0)+SUMIFS($Q$6:$Q$1005,$C$6:$C$1005,$C553,$A$6:$A$1005,"&lt;="&amp;$A553))</f>
        <v/>
      </c>
      <c r="AS553" s="56">
        <f>IF(OR($AM553=0,$Q553=""),0,IF(AND($A553&gt;=Lists!$W$6,$A553&lt;=Lists!$W$7,OR(Dashboard!$D$6="All accounts",$C553=Dashboard!$D$6),OR(Dashboard!$D$7="All markets",$AF553=Dashboard!$D$7)),1,0))</f>
        <v>0</v>
      </c>
      <c r="AT553" s="55">
        <f>IF($AS553=1,N(AT552)+$Q553,N(AT552))</f>
        <v>1187.10688</v>
      </c>
      <c r="AU553" s="55">
        <f>MAX(N(AU552),$AT553)</f>
        <v>1187.10688</v>
      </c>
      <c r="AV553" s="55">
        <f>$AT553-$AU553</f>
        <v>0</v>
      </c>
      <c r="AW553" s="56">
        <f>IF($AS553=1,IF($S553="Win",N(AW552)+1,IF($S553="Loss",0,N(AW552))),N(AW552))</f>
        <v>5</v>
      </c>
      <c r="AX553" s="56">
        <f>IF($AS553=1,IF($S553="Loss",N(AX552)+1,IF($S553="Win",0,N(AX552))),N(AX552))</f>
        <v>0</v>
      </c>
      <c r="AY553" s="56" t="str">
        <f>IF($AS553=1,COUNTIF($AS$6:$AS553,1),"")</f>
        <v/>
      </c>
      <c r="AZ553" s="56">
        <f>MIN(547,N(Lists!$W$8))</f>
        <v>28</v>
      </c>
      <c r="BA553" s="56">
        <f>IF($AS553=1,IF(COUNTIFS($A$6:$A553,$A553,$AS$6:$AS553,1)=1,1,0),0)</f>
        <v>0</v>
      </c>
      <c r="BB553" s="55" t="str">
        <f>IF($BA553=1,SUMIFS($Q$6:$Q$1005,$A$6:$A$1005,$A553,$AS$6:$AS$1005,1),"")</f>
        <v/>
      </c>
      <c r="BC553" s="56">
        <f>IF(ISNUMBER($R553),1,0)</f>
        <v>0</v>
      </c>
      <c r="BD553" s="55" t="str">
        <f>IF(ISNUMBER($U553),$U553*$V553,"")</f>
        <v/>
      </c>
      <c r="BE553" s="56" t="str">
        <f>IF($AM553=0,"",IFERROR(MATCH($AF553&amp;"|"&amp;UPPER(TRIM($E553)),Lists!$A$6:$A$205,0),0))</f>
        <v/>
      </c>
      <c r="BF553" s="56" t="str">
        <f>IF($AM553=0,"",IFERROR(MATCH($AF553,Settings!$B$14:$B$18,0),IFERROR(MATCH(Settings!$C$6,Settings!$B$14:$B$18,0),1)))</f>
        <v/>
      </c>
      <c r="BG553" s="58" t="str">
        <f>IF($AM553=0,"",IF(NOT(ISNUMBER($I553)),"No stop; ","")&amp;IF(AND(ISNUMBER($H553),ISNUMBER($I553)),IF(OR(AND($F553&lt;&gt;"Short",$I553&gt;=$H553),AND($F553="Short",$I553&lt;=$H553)),"Stop on wrong side; ",""),"")&amp;IF($F553="","No direction; ","")&amp;IF(AND(ISNUMBER(Settings!$C$22),ISNUMBER($V553)),IF($V553&gt;Settings!$C$22,"Risk over max $; ",""),"")&amp;IF(AND(ISNUMBER(Settings!$C$23),ISNUMBER($V553),ISNUMBER($AP553),IFERROR(N(INDEX(Accounts!$E$7:$E$16,MATCH($C553,Accounts!$B$7:$B$16,0))),0)&gt;0),IF($V553&gt;Settings!$C$23*($AP553-N($Q553)),"Risk over max %; ",""),"")&amp;IF(AND(ISNUMBER(Settings!$C$24),ISNUMBER($N553)),IF($N553&gt;Settings!$C$24,"Leverage over max; ",""),"")&amp;IF(AND(ISNUMBER(Settings!$C$27),ISNUMBER($T553)),IF($T553&lt;Settings!$C$27,"R:R below min; ",""),"")&amp;IF(ISNUMBER(Settings!$C$25),IF(COUNTIFS($A$6:$A553,$A553,$AM$6:$AM553,1)&gt;Settings!$C$25,"Over max trades/day; ",""),"")&amp;IF(ISNUMBER(Settings!$C$26),IF(SUMIFS($Q$5:$Q552,$A$5:$A552,$A553)&lt;=-Settings!$C$26,"Traded after daily max loss; ",""),"")&amp;IF(AND($AG553="",NOT(ISNUMBER($O553))),"Symbol not in Instruments; ","")&amp;IF(AND($AH553="",NOT(ISNUMBER($O553))),"Forex cross: type Gross P&amp;L; ",""))</f>
        <v/>
      </c>
      <c r="BH553" s="56">
        <f>IF(ISNUMBER($Q553),1,0)</f>
        <v>0</v>
      </c>
      <c r="BI553" s="56">
        <f>IF($Y553="",0,1)</f>
        <v>0</v>
      </c>
      <c r="BJ553" s="56">
        <f>IF($AB553="",0,1)</f>
        <v>0</v>
      </c>
      <c r="BK553" s="56">
        <f>IF(AND($BH553=1,$W553&lt;&gt;"OK"),1,0)</f>
        <v>0</v>
      </c>
      <c r="BL553" s="55">
        <f>IF(N($AZ553)=0,0,IFERROR(INDEX($AT$6:$AT$1005,MATCH($AZ553,$AY$6:$AY$1005,0)),0))</f>
        <v>1187.10688</v>
      </c>
      <c r="BM553" s="56">
        <f>IF(ISNUMBER(SEARCH("daily max loss",$BG553)),1,0)</f>
        <v>0</v>
      </c>
    </row>
    <row r="554" ht="18" customHeight="1">
      <c r="A554" s="38" t="n"/>
      <c r="B554" s="39" t="n"/>
      <c r="C554" s="40" t="n"/>
      <c r="D554" s="41" t="n"/>
      <c r="E554" s="41" t="n"/>
      <c r="F554" s="41" t="n"/>
      <c r="G554" s="41" t="n"/>
      <c r="H554" s="42" t="n"/>
      <c r="I554" s="42" t="n"/>
      <c r="J554" s="42" t="n"/>
      <c r="K554" s="42" t="n"/>
      <c r="L554" s="41" t="n"/>
      <c r="M554" s="41" t="n"/>
      <c r="N554" s="41" t="n"/>
      <c r="O554" s="43" t="n"/>
      <c r="P554" s="43" t="n"/>
      <c r="Q554" s="44" t="str">
        <f>IF($AM554=0,"",IF(ISNUMBER($AK554),$AK554-N($AL554),""))</f>
        <v/>
      </c>
      <c r="R554" s="45" t="str">
        <f>IF(OR($Q554="",NOT(ISNUMBER($V554))),"",$AK554/$V554)</f>
        <v/>
      </c>
      <c r="S554" s="46" t="str">
        <f>IF($Q554="","",IF(AND(ISNUMBER($R554),ABS(N($R554))&lt;N(Settings!$C$8)),"Scratch",IF($Q554&gt;0,"Win",IF($Q554&lt;0,"Loss","Scratch"))))</f>
        <v/>
      </c>
      <c r="T554" s="47" t="str">
        <f>IF(OR($AM554=0,NOT(ISNUMBER($H554)),NOT(ISNUMBER($I554)),NOT(ISNUMBER($J554))),"",IF($H554=$I554,"",ROUND(ABS($J554-$H554)/ABS($H554-$I554),6)))</f>
        <v/>
      </c>
      <c r="U554" s="48" t="str">
        <f>IF(OR($S554&lt;&gt;"Win",NOT(ISNUMBER($T554)),NOT(ISNUMBER($R554))),"",MAX(0,$T554-$R554))</f>
        <v/>
      </c>
      <c r="V554" s="49" t="str">
        <f>IF(OR($AM554=0,NOT(ISNUMBER($H554)),NOT(ISNUMBER($I554)),NOT(ISNUMBER($G554))),"",IF(OR($AG554="",$AH554=""),"",IF(ROUND(ABS($H554-$I554)*ABS($G554)*$AG554*$AH554,6)=0,"",ROUND(ABS($H554-$I554)*ABS($G554)*$AG554*$AH554,6))))</f>
        <v/>
      </c>
      <c r="W554" s="50" t="str">
        <f>IF($AM554=0,"",IF($BG554="","OK",LEFT($BG554,LEN($BG554)-2)))</f>
        <v/>
      </c>
      <c r="X554" s="41" t="n"/>
      <c r="Y554" s="40" t="n"/>
      <c r="Z554" s="41" t="n"/>
      <c r="AA554" s="41" t="n"/>
      <c r="AB554" s="40" t="n"/>
      <c r="AC554" s="51" t="n"/>
      <c r="AD554" s="51" t="n"/>
      <c r="AE554" s="40" t="n"/>
      <c r="AF554" s="52" t="str">
        <f>IF($AM554=0,"",IF($D554&lt;&gt;"",$D554,IF(IFERROR(INDEX(Accounts!$C$7:$C$16,MATCH($C554,Accounts!$B$7:$B$16,0))&amp;"","")&lt;&gt;"",INDEX(Accounts!$C$7:$C$16,MATCH($C554,Accounts!$B$7:$B$16,0)),Settings!$C$6)))</f>
        <v/>
      </c>
      <c r="AG554" s="53" t="str">
        <f>IF($AM554=0,"",IF(AND($BE554&gt;0,N(INDEX(Instruments!$D$6:$D$205,MAX(1,$BE554)))&gt;0),INDEX(Instruments!$D$6:$D$205,MAX(1,$BE554)),IF(N(INDEX(Settings!$D$14:$D$18,$BF554))&gt;0,INDEX(Settings!$D$14:$D$18,$BF554),"")))</f>
        <v/>
      </c>
      <c r="AH554" s="54" t="str">
        <f>IF($AM554=0,"",IF($AF554&lt;&gt;"Forex",1,IF(MID(UPPER(SUBSTITUTE(TRIM($E554),"/","")),4,3)=UPPER(TRIM(Settings!$C$7)),1,IF(LEFT(UPPER(SUBSTITUTE(TRIM($E554),"/","")),3)=UPPER(TRIM(Settings!$C$7)),IF(AND(ISNUMBER($K554),N($K554)&lt;&gt;0),1/$K554,""),""))))</f>
        <v/>
      </c>
      <c r="AI554" s="55" t="str">
        <f>IF($AM554=0,"",IF(OR(NOT(ISNUMBER($H554)),NOT(ISNUMBER($K554)),NOT(ISNUMBER($G554)),$AG554="",$AH554=""),"",ROUND(($K554-$H554)*IF($F554="Short",-1,1)*$G554*$AG554*$AH554,6)))</f>
        <v/>
      </c>
      <c r="AJ554" s="55" t="str">
        <f>IF($AM554=0,"",IF(INDEX(Settings!$E$14:$E$18,$BF554)="% of notional",IF(OR($AG554="",NOT(ISNUMBER($H554)),NOT(ISNUMBER($G554))),"",ROUND(ABS($H554*$G554*$AG554*N($AH554))*IF($L554="Limit",N(INDEX(Settings!$G$14:$G$18,$BF554)),N(INDEX(Settings!$H$14:$H$18,$BF554)))+IF(ISNUMBER($K554),ABS($K554*$G554*$AG554*N($AH554))*IF($M554="Target",N(INDEX(Settings!$G$14:$G$18,$BF554)),N(INDEX(Settings!$H$14:$H$18,$BF554))),0),6)),IF(NOT(ISNUMBER($G554)),"",ROUND(ABS($G554)*2*IF(AND($BE554&gt;0,ISNUMBER(INDEX(Instruments!$G$6:$G$205,MAX(1,$BE554)))),INDEX(Instruments!$G$6:$G$205,MAX(1,$BE554)),N(INDEX(Settings!$F$14:$F$18,$BF554))),6))))</f>
        <v/>
      </c>
      <c r="AK554" s="55" t="str">
        <f>IF($AM554=0,"",IF(ISNUMBER($O554),$O554,$AI554))</f>
        <v/>
      </c>
      <c r="AL554" s="55" t="str">
        <f>IF($AM554=0,"",IF(ISNUMBER($P554),$P554,N($AJ554)))</f>
        <v/>
      </c>
      <c r="AM554" s="56">
        <f>IF(AND($A554&lt;&gt;"",$E554&lt;&gt;"",OR(AND(ISNUMBER($G554),ISNUMBER($H554),ISNUMBER($K554)),ISNUMBER($O554))),1,0)</f>
        <v>0</v>
      </c>
      <c r="AN554" s="57" t="str">
        <f>IF($A554="","",$A554-WEEKDAY($A554,3))</f>
        <v/>
      </c>
      <c r="AO554" s="56" t="str">
        <f>IF($A554="","",WEEKDAY($A554,2))</f>
        <v/>
      </c>
      <c r="AP554" s="55" t="str">
        <f>IF(OR($AM554=0,$C554=""),"",IFERROR(N(INDEX(Accounts!$E$7:$E$16,MATCH($C554,Accounts!$B$7:$B$16,0))),0)+SUMIFS($Q$6:$Q554,$C$6:$C554,$C554))</f>
        <v/>
      </c>
      <c r="AQ554" s="55" t="str">
        <f>IF(OR($AM554=0,$C554=""),"",SUMIFS($Q$6:$Q$1005,$C$6:$C$1005,$C554,$A$6:$A$1005,$A554))</f>
        <v/>
      </c>
      <c r="AR554" s="55" t="str">
        <f>IF(OR($AM554=0,$C554=""),"",IFERROR(N(INDEX(Accounts!$E$7:$E$16,MATCH($C554,Accounts!$B$7:$B$16,0))),0)+SUMIFS($Q$6:$Q$1005,$C$6:$C$1005,$C554,$A$6:$A$1005,"&lt;="&amp;$A554))</f>
        <v/>
      </c>
      <c r="AS554" s="56">
        <f>IF(OR($AM554=0,$Q554=""),0,IF(AND($A554&gt;=Lists!$W$6,$A554&lt;=Lists!$W$7,OR(Dashboard!$D$6="All accounts",$C554=Dashboard!$D$6),OR(Dashboard!$D$7="All markets",$AF554=Dashboard!$D$7)),1,0))</f>
        <v>0</v>
      </c>
      <c r="AT554" s="55">
        <f>IF($AS554=1,N(AT553)+$Q554,N(AT553))</f>
        <v>1187.10688</v>
      </c>
      <c r="AU554" s="55">
        <f>MAX(N(AU553),$AT554)</f>
        <v>1187.10688</v>
      </c>
      <c r="AV554" s="55">
        <f>$AT554-$AU554</f>
        <v>0</v>
      </c>
      <c r="AW554" s="56">
        <f>IF($AS554=1,IF($S554="Win",N(AW553)+1,IF($S554="Loss",0,N(AW553))),N(AW553))</f>
        <v>5</v>
      </c>
      <c r="AX554" s="56">
        <f>IF($AS554=1,IF($S554="Loss",N(AX553)+1,IF($S554="Win",0,N(AX553))),N(AX553))</f>
        <v>0</v>
      </c>
      <c r="AY554" s="56" t="str">
        <f>IF($AS554=1,COUNTIF($AS$6:$AS554,1),"")</f>
        <v/>
      </c>
      <c r="AZ554" s="56">
        <f>MIN(548,N(Lists!$W$8))</f>
        <v>28</v>
      </c>
      <c r="BA554" s="56">
        <f>IF($AS554=1,IF(COUNTIFS($A$6:$A554,$A554,$AS$6:$AS554,1)=1,1,0),0)</f>
        <v>0</v>
      </c>
      <c r="BB554" s="55" t="str">
        <f>IF($BA554=1,SUMIFS($Q$6:$Q$1005,$A$6:$A$1005,$A554,$AS$6:$AS$1005,1),"")</f>
        <v/>
      </c>
      <c r="BC554" s="56">
        <f>IF(ISNUMBER($R554),1,0)</f>
        <v>0</v>
      </c>
      <c r="BD554" s="55" t="str">
        <f>IF(ISNUMBER($U554),$U554*$V554,"")</f>
        <v/>
      </c>
      <c r="BE554" s="56" t="str">
        <f>IF($AM554=0,"",IFERROR(MATCH($AF554&amp;"|"&amp;UPPER(TRIM($E554)),Lists!$A$6:$A$205,0),0))</f>
        <v/>
      </c>
      <c r="BF554" s="56" t="str">
        <f>IF($AM554=0,"",IFERROR(MATCH($AF554,Settings!$B$14:$B$18,0),IFERROR(MATCH(Settings!$C$6,Settings!$B$14:$B$18,0),1)))</f>
        <v/>
      </c>
      <c r="BG554" s="58" t="str">
        <f>IF($AM554=0,"",IF(NOT(ISNUMBER($I554)),"No stop; ","")&amp;IF(AND(ISNUMBER($H554),ISNUMBER($I554)),IF(OR(AND($F554&lt;&gt;"Short",$I554&gt;=$H554),AND($F554="Short",$I554&lt;=$H554)),"Stop on wrong side; ",""),"")&amp;IF($F554="","No direction; ","")&amp;IF(AND(ISNUMBER(Settings!$C$22),ISNUMBER($V554)),IF($V554&gt;Settings!$C$22,"Risk over max $; ",""),"")&amp;IF(AND(ISNUMBER(Settings!$C$23),ISNUMBER($V554),ISNUMBER($AP554),IFERROR(N(INDEX(Accounts!$E$7:$E$16,MATCH($C554,Accounts!$B$7:$B$16,0))),0)&gt;0),IF($V554&gt;Settings!$C$23*($AP554-N($Q554)),"Risk over max %; ",""),"")&amp;IF(AND(ISNUMBER(Settings!$C$24),ISNUMBER($N554)),IF($N554&gt;Settings!$C$24,"Leverage over max; ",""),"")&amp;IF(AND(ISNUMBER(Settings!$C$27),ISNUMBER($T554)),IF($T554&lt;Settings!$C$27,"R:R below min; ",""),"")&amp;IF(ISNUMBER(Settings!$C$25),IF(COUNTIFS($A$6:$A554,$A554,$AM$6:$AM554,1)&gt;Settings!$C$25,"Over max trades/day; ",""),"")&amp;IF(ISNUMBER(Settings!$C$26),IF(SUMIFS($Q$5:$Q553,$A$5:$A553,$A554)&lt;=-Settings!$C$26,"Traded after daily max loss; ",""),"")&amp;IF(AND($AG554="",NOT(ISNUMBER($O554))),"Symbol not in Instruments; ","")&amp;IF(AND($AH554="",NOT(ISNUMBER($O554))),"Forex cross: type Gross P&amp;L; ",""))</f>
        <v/>
      </c>
      <c r="BH554" s="56">
        <f>IF(ISNUMBER($Q554),1,0)</f>
        <v>0</v>
      </c>
      <c r="BI554" s="56">
        <f>IF($Y554="",0,1)</f>
        <v>0</v>
      </c>
      <c r="BJ554" s="56">
        <f>IF($AB554="",0,1)</f>
        <v>0</v>
      </c>
      <c r="BK554" s="56">
        <f>IF(AND($BH554=1,$W554&lt;&gt;"OK"),1,0)</f>
        <v>0</v>
      </c>
      <c r="BL554" s="55">
        <f>IF(N($AZ554)=0,0,IFERROR(INDEX($AT$6:$AT$1005,MATCH($AZ554,$AY$6:$AY$1005,0)),0))</f>
        <v>1187.10688</v>
      </c>
      <c r="BM554" s="56">
        <f>IF(ISNUMBER(SEARCH("daily max loss",$BG554)),1,0)</f>
        <v>0</v>
      </c>
    </row>
    <row r="555" ht="18" customHeight="1">
      <c r="A555" s="38" t="n"/>
      <c r="B555" s="39" t="n"/>
      <c r="C555" s="40" t="n"/>
      <c r="D555" s="41" t="n"/>
      <c r="E555" s="41" t="n"/>
      <c r="F555" s="41" t="n"/>
      <c r="G555" s="41" t="n"/>
      <c r="H555" s="42" t="n"/>
      <c r="I555" s="42" t="n"/>
      <c r="J555" s="42" t="n"/>
      <c r="K555" s="42" t="n"/>
      <c r="L555" s="41" t="n"/>
      <c r="M555" s="41" t="n"/>
      <c r="N555" s="41" t="n"/>
      <c r="O555" s="43" t="n"/>
      <c r="P555" s="43" t="n"/>
      <c r="Q555" s="44" t="str">
        <f>IF($AM555=0,"",IF(ISNUMBER($AK555),$AK555-N($AL555),""))</f>
        <v/>
      </c>
      <c r="R555" s="45" t="str">
        <f>IF(OR($Q555="",NOT(ISNUMBER($V555))),"",$AK555/$V555)</f>
        <v/>
      </c>
      <c r="S555" s="46" t="str">
        <f>IF($Q555="","",IF(AND(ISNUMBER($R555),ABS(N($R555))&lt;N(Settings!$C$8)),"Scratch",IF($Q555&gt;0,"Win",IF($Q555&lt;0,"Loss","Scratch"))))</f>
        <v/>
      </c>
      <c r="T555" s="47" t="str">
        <f>IF(OR($AM555=0,NOT(ISNUMBER($H555)),NOT(ISNUMBER($I555)),NOT(ISNUMBER($J555))),"",IF($H555=$I555,"",ROUND(ABS($J555-$H555)/ABS($H555-$I555),6)))</f>
        <v/>
      </c>
      <c r="U555" s="48" t="str">
        <f>IF(OR($S555&lt;&gt;"Win",NOT(ISNUMBER($T555)),NOT(ISNUMBER($R555))),"",MAX(0,$T555-$R555))</f>
        <v/>
      </c>
      <c r="V555" s="49" t="str">
        <f>IF(OR($AM555=0,NOT(ISNUMBER($H555)),NOT(ISNUMBER($I555)),NOT(ISNUMBER($G555))),"",IF(OR($AG555="",$AH555=""),"",IF(ROUND(ABS($H555-$I555)*ABS($G555)*$AG555*$AH555,6)=0,"",ROUND(ABS($H555-$I555)*ABS($G555)*$AG555*$AH555,6))))</f>
        <v/>
      </c>
      <c r="W555" s="50" t="str">
        <f>IF($AM555=0,"",IF($BG555="","OK",LEFT($BG555,LEN($BG555)-2)))</f>
        <v/>
      </c>
      <c r="X555" s="41" t="n"/>
      <c r="Y555" s="40" t="n"/>
      <c r="Z555" s="41" t="n"/>
      <c r="AA555" s="41" t="n"/>
      <c r="AB555" s="40" t="n"/>
      <c r="AC555" s="51" t="n"/>
      <c r="AD555" s="51" t="n"/>
      <c r="AE555" s="40" t="n"/>
      <c r="AF555" s="52" t="str">
        <f>IF($AM555=0,"",IF($D555&lt;&gt;"",$D555,IF(IFERROR(INDEX(Accounts!$C$7:$C$16,MATCH($C555,Accounts!$B$7:$B$16,0))&amp;"","")&lt;&gt;"",INDEX(Accounts!$C$7:$C$16,MATCH($C555,Accounts!$B$7:$B$16,0)),Settings!$C$6)))</f>
        <v/>
      </c>
      <c r="AG555" s="53" t="str">
        <f>IF($AM555=0,"",IF(AND($BE555&gt;0,N(INDEX(Instruments!$D$6:$D$205,MAX(1,$BE555)))&gt;0),INDEX(Instruments!$D$6:$D$205,MAX(1,$BE555)),IF(N(INDEX(Settings!$D$14:$D$18,$BF555))&gt;0,INDEX(Settings!$D$14:$D$18,$BF555),"")))</f>
        <v/>
      </c>
      <c r="AH555" s="54" t="str">
        <f>IF($AM555=0,"",IF($AF555&lt;&gt;"Forex",1,IF(MID(UPPER(SUBSTITUTE(TRIM($E555),"/","")),4,3)=UPPER(TRIM(Settings!$C$7)),1,IF(LEFT(UPPER(SUBSTITUTE(TRIM($E555),"/","")),3)=UPPER(TRIM(Settings!$C$7)),IF(AND(ISNUMBER($K555),N($K555)&lt;&gt;0),1/$K555,""),""))))</f>
        <v/>
      </c>
      <c r="AI555" s="55" t="str">
        <f>IF($AM555=0,"",IF(OR(NOT(ISNUMBER($H555)),NOT(ISNUMBER($K555)),NOT(ISNUMBER($G555)),$AG555="",$AH555=""),"",ROUND(($K555-$H555)*IF($F555="Short",-1,1)*$G555*$AG555*$AH555,6)))</f>
        <v/>
      </c>
      <c r="AJ555" s="55" t="str">
        <f>IF($AM555=0,"",IF(INDEX(Settings!$E$14:$E$18,$BF555)="% of notional",IF(OR($AG555="",NOT(ISNUMBER($H555)),NOT(ISNUMBER($G555))),"",ROUND(ABS($H555*$G555*$AG555*N($AH555))*IF($L555="Limit",N(INDEX(Settings!$G$14:$G$18,$BF555)),N(INDEX(Settings!$H$14:$H$18,$BF555)))+IF(ISNUMBER($K555),ABS($K555*$G555*$AG555*N($AH555))*IF($M555="Target",N(INDEX(Settings!$G$14:$G$18,$BF555)),N(INDEX(Settings!$H$14:$H$18,$BF555))),0),6)),IF(NOT(ISNUMBER($G555)),"",ROUND(ABS($G555)*2*IF(AND($BE555&gt;0,ISNUMBER(INDEX(Instruments!$G$6:$G$205,MAX(1,$BE555)))),INDEX(Instruments!$G$6:$G$205,MAX(1,$BE555)),N(INDEX(Settings!$F$14:$F$18,$BF555))),6))))</f>
        <v/>
      </c>
      <c r="AK555" s="55" t="str">
        <f>IF($AM555=0,"",IF(ISNUMBER($O555),$O555,$AI555))</f>
        <v/>
      </c>
      <c r="AL555" s="55" t="str">
        <f>IF($AM555=0,"",IF(ISNUMBER($P555),$P555,N($AJ555)))</f>
        <v/>
      </c>
      <c r="AM555" s="56">
        <f>IF(AND($A555&lt;&gt;"",$E555&lt;&gt;"",OR(AND(ISNUMBER($G555),ISNUMBER($H555),ISNUMBER($K555)),ISNUMBER($O555))),1,0)</f>
        <v>0</v>
      </c>
      <c r="AN555" s="57" t="str">
        <f>IF($A555="","",$A555-WEEKDAY($A555,3))</f>
        <v/>
      </c>
      <c r="AO555" s="56" t="str">
        <f>IF($A555="","",WEEKDAY($A555,2))</f>
        <v/>
      </c>
      <c r="AP555" s="55" t="str">
        <f>IF(OR($AM555=0,$C555=""),"",IFERROR(N(INDEX(Accounts!$E$7:$E$16,MATCH($C555,Accounts!$B$7:$B$16,0))),0)+SUMIFS($Q$6:$Q555,$C$6:$C555,$C555))</f>
        <v/>
      </c>
      <c r="AQ555" s="55" t="str">
        <f>IF(OR($AM555=0,$C555=""),"",SUMIFS($Q$6:$Q$1005,$C$6:$C$1005,$C555,$A$6:$A$1005,$A555))</f>
        <v/>
      </c>
      <c r="AR555" s="55" t="str">
        <f>IF(OR($AM555=0,$C555=""),"",IFERROR(N(INDEX(Accounts!$E$7:$E$16,MATCH($C555,Accounts!$B$7:$B$16,0))),0)+SUMIFS($Q$6:$Q$1005,$C$6:$C$1005,$C555,$A$6:$A$1005,"&lt;="&amp;$A555))</f>
        <v/>
      </c>
      <c r="AS555" s="56">
        <f>IF(OR($AM555=0,$Q555=""),0,IF(AND($A555&gt;=Lists!$W$6,$A555&lt;=Lists!$W$7,OR(Dashboard!$D$6="All accounts",$C555=Dashboard!$D$6),OR(Dashboard!$D$7="All markets",$AF555=Dashboard!$D$7)),1,0))</f>
        <v>0</v>
      </c>
      <c r="AT555" s="55">
        <f>IF($AS555=1,N(AT554)+$Q555,N(AT554))</f>
        <v>1187.10688</v>
      </c>
      <c r="AU555" s="55">
        <f>MAX(N(AU554),$AT555)</f>
        <v>1187.10688</v>
      </c>
      <c r="AV555" s="55">
        <f>$AT555-$AU555</f>
        <v>0</v>
      </c>
      <c r="AW555" s="56">
        <f>IF($AS555=1,IF($S555="Win",N(AW554)+1,IF($S555="Loss",0,N(AW554))),N(AW554))</f>
        <v>5</v>
      </c>
      <c r="AX555" s="56">
        <f>IF($AS555=1,IF($S555="Loss",N(AX554)+1,IF($S555="Win",0,N(AX554))),N(AX554))</f>
        <v>0</v>
      </c>
      <c r="AY555" s="56" t="str">
        <f>IF($AS555=1,COUNTIF($AS$6:$AS555,1),"")</f>
        <v/>
      </c>
      <c r="AZ555" s="56">
        <f>MIN(549,N(Lists!$W$8))</f>
        <v>28</v>
      </c>
      <c r="BA555" s="56">
        <f>IF($AS555=1,IF(COUNTIFS($A$6:$A555,$A555,$AS$6:$AS555,1)=1,1,0),0)</f>
        <v>0</v>
      </c>
      <c r="BB555" s="55" t="str">
        <f>IF($BA555=1,SUMIFS($Q$6:$Q$1005,$A$6:$A$1005,$A555,$AS$6:$AS$1005,1),"")</f>
        <v/>
      </c>
      <c r="BC555" s="56">
        <f>IF(ISNUMBER($R555),1,0)</f>
        <v>0</v>
      </c>
      <c r="BD555" s="55" t="str">
        <f>IF(ISNUMBER($U555),$U555*$V555,"")</f>
        <v/>
      </c>
      <c r="BE555" s="56" t="str">
        <f>IF($AM555=0,"",IFERROR(MATCH($AF555&amp;"|"&amp;UPPER(TRIM($E555)),Lists!$A$6:$A$205,0),0))</f>
        <v/>
      </c>
      <c r="BF555" s="56" t="str">
        <f>IF($AM555=0,"",IFERROR(MATCH($AF555,Settings!$B$14:$B$18,0),IFERROR(MATCH(Settings!$C$6,Settings!$B$14:$B$18,0),1)))</f>
        <v/>
      </c>
      <c r="BG555" s="58" t="str">
        <f>IF($AM555=0,"",IF(NOT(ISNUMBER($I555)),"No stop; ","")&amp;IF(AND(ISNUMBER($H555),ISNUMBER($I555)),IF(OR(AND($F555&lt;&gt;"Short",$I555&gt;=$H555),AND($F555="Short",$I555&lt;=$H555)),"Stop on wrong side; ",""),"")&amp;IF($F555="","No direction; ","")&amp;IF(AND(ISNUMBER(Settings!$C$22),ISNUMBER($V555)),IF($V555&gt;Settings!$C$22,"Risk over max $; ",""),"")&amp;IF(AND(ISNUMBER(Settings!$C$23),ISNUMBER($V555),ISNUMBER($AP555),IFERROR(N(INDEX(Accounts!$E$7:$E$16,MATCH($C555,Accounts!$B$7:$B$16,0))),0)&gt;0),IF($V555&gt;Settings!$C$23*($AP555-N($Q555)),"Risk over max %; ",""),"")&amp;IF(AND(ISNUMBER(Settings!$C$24),ISNUMBER($N555)),IF($N555&gt;Settings!$C$24,"Leverage over max; ",""),"")&amp;IF(AND(ISNUMBER(Settings!$C$27),ISNUMBER($T555)),IF($T555&lt;Settings!$C$27,"R:R below min; ",""),"")&amp;IF(ISNUMBER(Settings!$C$25),IF(COUNTIFS($A$6:$A555,$A555,$AM$6:$AM555,1)&gt;Settings!$C$25,"Over max trades/day; ",""),"")&amp;IF(ISNUMBER(Settings!$C$26),IF(SUMIFS($Q$5:$Q554,$A$5:$A554,$A555)&lt;=-Settings!$C$26,"Traded after daily max loss; ",""),"")&amp;IF(AND($AG555="",NOT(ISNUMBER($O555))),"Symbol not in Instruments; ","")&amp;IF(AND($AH555="",NOT(ISNUMBER($O555))),"Forex cross: type Gross P&amp;L; ",""))</f>
        <v/>
      </c>
      <c r="BH555" s="56">
        <f>IF(ISNUMBER($Q555),1,0)</f>
        <v>0</v>
      </c>
      <c r="BI555" s="56">
        <f>IF($Y555="",0,1)</f>
        <v>0</v>
      </c>
      <c r="BJ555" s="56">
        <f>IF($AB555="",0,1)</f>
        <v>0</v>
      </c>
      <c r="BK555" s="56">
        <f>IF(AND($BH555=1,$W555&lt;&gt;"OK"),1,0)</f>
        <v>0</v>
      </c>
      <c r="BL555" s="55">
        <f>IF(N($AZ555)=0,0,IFERROR(INDEX($AT$6:$AT$1005,MATCH($AZ555,$AY$6:$AY$1005,0)),0))</f>
        <v>1187.10688</v>
      </c>
      <c r="BM555" s="56">
        <f>IF(ISNUMBER(SEARCH("daily max loss",$BG555)),1,0)</f>
        <v>0</v>
      </c>
    </row>
    <row r="556" ht="18" customHeight="1">
      <c r="A556" s="38" t="n"/>
      <c r="B556" s="39" t="n"/>
      <c r="C556" s="40" t="n"/>
      <c r="D556" s="41" t="n"/>
      <c r="E556" s="41" t="n"/>
      <c r="F556" s="41" t="n"/>
      <c r="G556" s="41" t="n"/>
      <c r="H556" s="42" t="n"/>
      <c r="I556" s="42" t="n"/>
      <c r="J556" s="42" t="n"/>
      <c r="K556" s="42" t="n"/>
      <c r="L556" s="41" t="n"/>
      <c r="M556" s="41" t="n"/>
      <c r="N556" s="41" t="n"/>
      <c r="O556" s="43" t="n"/>
      <c r="P556" s="43" t="n"/>
      <c r="Q556" s="44" t="str">
        <f>IF($AM556=0,"",IF(ISNUMBER($AK556),$AK556-N($AL556),""))</f>
        <v/>
      </c>
      <c r="R556" s="45" t="str">
        <f>IF(OR($Q556="",NOT(ISNUMBER($V556))),"",$AK556/$V556)</f>
        <v/>
      </c>
      <c r="S556" s="46" t="str">
        <f>IF($Q556="","",IF(AND(ISNUMBER($R556),ABS(N($R556))&lt;N(Settings!$C$8)),"Scratch",IF($Q556&gt;0,"Win",IF($Q556&lt;0,"Loss","Scratch"))))</f>
        <v/>
      </c>
      <c r="T556" s="47" t="str">
        <f>IF(OR($AM556=0,NOT(ISNUMBER($H556)),NOT(ISNUMBER($I556)),NOT(ISNUMBER($J556))),"",IF($H556=$I556,"",ROUND(ABS($J556-$H556)/ABS($H556-$I556),6)))</f>
        <v/>
      </c>
      <c r="U556" s="48" t="str">
        <f>IF(OR($S556&lt;&gt;"Win",NOT(ISNUMBER($T556)),NOT(ISNUMBER($R556))),"",MAX(0,$T556-$R556))</f>
        <v/>
      </c>
      <c r="V556" s="49" t="str">
        <f>IF(OR($AM556=0,NOT(ISNUMBER($H556)),NOT(ISNUMBER($I556)),NOT(ISNUMBER($G556))),"",IF(OR($AG556="",$AH556=""),"",IF(ROUND(ABS($H556-$I556)*ABS($G556)*$AG556*$AH556,6)=0,"",ROUND(ABS($H556-$I556)*ABS($G556)*$AG556*$AH556,6))))</f>
        <v/>
      </c>
      <c r="W556" s="50" t="str">
        <f>IF($AM556=0,"",IF($BG556="","OK",LEFT($BG556,LEN($BG556)-2)))</f>
        <v/>
      </c>
      <c r="X556" s="41" t="n"/>
      <c r="Y556" s="40" t="n"/>
      <c r="Z556" s="41" t="n"/>
      <c r="AA556" s="41" t="n"/>
      <c r="AB556" s="40" t="n"/>
      <c r="AC556" s="51" t="n"/>
      <c r="AD556" s="51" t="n"/>
      <c r="AE556" s="40" t="n"/>
      <c r="AF556" s="52" t="str">
        <f>IF($AM556=0,"",IF($D556&lt;&gt;"",$D556,IF(IFERROR(INDEX(Accounts!$C$7:$C$16,MATCH($C556,Accounts!$B$7:$B$16,0))&amp;"","")&lt;&gt;"",INDEX(Accounts!$C$7:$C$16,MATCH($C556,Accounts!$B$7:$B$16,0)),Settings!$C$6)))</f>
        <v/>
      </c>
      <c r="AG556" s="53" t="str">
        <f>IF($AM556=0,"",IF(AND($BE556&gt;0,N(INDEX(Instruments!$D$6:$D$205,MAX(1,$BE556)))&gt;0),INDEX(Instruments!$D$6:$D$205,MAX(1,$BE556)),IF(N(INDEX(Settings!$D$14:$D$18,$BF556))&gt;0,INDEX(Settings!$D$14:$D$18,$BF556),"")))</f>
        <v/>
      </c>
      <c r="AH556" s="54" t="str">
        <f>IF($AM556=0,"",IF($AF556&lt;&gt;"Forex",1,IF(MID(UPPER(SUBSTITUTE(TRIM($E556),"/","")),4,3)=UPPER(TRIM(Settings!$C$7)),1,IF(LEFT(UPPER(SUBSTITUTE(TRIM($E556),"/","")),3)=UPPER(TRIM(Settings!$C$7)),IF(AND(ISNUMBER($K556),N($K556)&lt;&gt;0),1/$K556,""),""))))</f>
        <v/>
      </c>
      <c r="AI556" s="55" t="str">
        <f>IF($AM556=0,"",IF(OR(NOT(ISNUMBER($H556)),NOT(ISNUMBER($K556)),NOT(ISNUMBER($G556)),$AG556="",$AH556=""),"",ROUND(($K556-$H556)*IF($F556="Short",-1,1)*$G556*$AG556*$AH556,6)))</f>
        <v/>
      </c>
      <c r="AJ556" s="55" t="str">
        <f>IF($AM556=0,"",IF(INDEX(Settings!$E$14:$E$18,$BF556)="% of notional",IF(OR($AG556="",NOT(ISNUMBER($H556)),NOT(ISNUMBER($G556))),"",ROUND(ABS($H556*$G556*$AG556*N($AH556))*IF($L556="Limit",N(INDEX(Settings!$G$14:$G$18,$BF556)),N(INDEX(Settings!$H$14:$H$18,$BF556)))+IF(ISNUMBER($K556),ABS($K556*$G556*$AG556*N($AH556))*IF($M556="Target",N(INDEX(Settings!$G$14:$G$18,$BF556)),N(INDEX(Settings!$H$14:$H$18,$BF556))),0),6)),IF(NOT(ISNUMBER($G556)),"",ROUND(ABS($G556)*2*IF(AND($BE556&gt;0,ISNUMBER(INDEX(Instruments!$G$6:$G$205,MAX(1,$BE556)))),INDEX(Instruments!$G$6:$G$205,MAX(1,$BE556)),N(INDEX(Settings!$F$14:$F$18,$BF556))),6))))</f>
        <v/>
      </c>
      <c r="AK556" s="55" t="str">
        <f>IF($AM556=0,"",IF(ISNUMBER($O556),$O556,$AI556))</f>
        <v/>
      </c>
      <c r="AL556" s="55" t="str">
        <f>IF($AM556=0,"",IF(ISNUMBER($P556),$P556,N($AJ556)))</f>
        <v/>
      </c>
      <c r="AM556" s="56">
        <f>IF(AND($A556&lt;&gt;"",$E556&lt;&gt;"",OR(AND(ISNUMBER($G556),ISNUMBER($H556),ISNUMBER($K556)),ISNUMBER($O556))),1,0)</f>
        <v>0</v>
      </c>
      <c r="AN556" s="57" t="str">
        <f>IF($A556="","",$A556-WEEKDAY($A556,3))</f>
        <v/>
      </c>
      <c r="AO556" s="56" t="str">
        <f>IF($A556="","",WEEKDAY($A556,2))</f>
        <v/>
      </c>
      <c r="AP556" s="55" t="str">
        <f>IF(OR($AM556=0,$C556=""),"",IFERROR(N(INDEX(Accounts!$E$7:$E$16,MATCH($C556,Accounts!$B$7:$B$16,0))),0)+SUMIFS($Q$6:$Q556,$C$6:$C556,$C556))</f>
        <v/>
      </c>
      <c r="AQ556" s="55" t="str">
        <f>IF(OR($AM556=0,$C556=""),"",SUMIFS($Q$6:$Q$1005,$C$6:$C$1005,$C556,$A$6:$A$1005,$A556))</f>
        <v/>
      </c>
      <c r="AR556" s="55" t="str">
        <f>IF(OR($AM556=0,$C556=""),"",IFERROR(N(INDEX(Accounts!$E$7:$E$16,MATCH($C556,Accounts!$B$7:$B$16,0))),0)+SUMIFS($Q$6:$Q$1005,$C$6:$C$1005,$C556,$A$6:$A$1005,"&lt;="&amp;$A556))</f>
        <v/>
      </c>
      <c r="AS556" s="56">
        <f>IF(OR($AM556=0,$Q556=""),0,IF(AND($A556&gt;=Lists!$W$6,$A556&lt;=Lists!$W$7,OR(Dashboard!$D$6="All accounts",$C556=Dashboard!$D$6),OR(Dashboard!$D$7="All markets",$AF556=Dashboard!$D$7)),1,0))</f>
        <v>0</v>
      </c>
      <c r="AT556" s="55">
        <f>IF($AS556=1,N(AT555)+$Q556,N(AT555))</f>
        <v>1187.10688</v>
      </c>
      <c r="AU556" s="55">
        <f>MAX(N(AU555),$AT556)</f>
        <v>1187.10688</v>
      </c>
      <c r="AV556" s="55">
        <f>$AT556-$AU556</f>
        <v>0</v>
      </c>
      <c r="AW556" s="56">
        <f>IF($AS556=1,IF($S556="Win",N(AW555)+1,IF($S556="Loss",0,N(AW555))),N(AW555))</f>
        <v>5</v>
      </c>
      <c r="AX556" s="56">
        <f>IF($AS556=1,IF($S556="Loss",N(AX555)+1,IF($S556="Win",0,N(AX555))),N(AX555))</f>
        <v>0</v>
      </c>
      <c r="AY556" s="56" t="str">
        <f>IF($AS556=1,COUNTIF($AS$6:$AS556,1),"")</f>
        <v/>
      </c>
      <c r="AZ556" s="56">
        <f>MIN(550,N(Lists!$W$8))</f>
        <v>28</v>
      </c>
      <c r="BA556" s="56">
        <f>IF($AS556=1,IF(COUNTIFS($A$6:$A556,$A556,$AS$6:$AS556,1)=1,1,0),0)</f>
        <v>0</v>
      </c>
      <c r="BB556" s="55" t="str">
        <f>IF($BA556=1,SUMIFS($Q$6:$Q$1005,$A$6:$A$1005,$A556,$AS$6:$AS$1005,1),"")</f>
        <v/>
      </c>
      <c r="BC556" s="56">
        <f>IF(ISNUMBER($R556),1,0)</f>
        <v>0</v>
      </c>
      <c r="BD556" s="55" t="str">
        <f>IF(ISNUMBER($U556),$U556*$V556,"")</f>
        <v/>
      </c>
      <c r="BE556" s="56" t="str">
        <f>IF($AM556=0,"",IFERROR(MATCH($AF556&amp;"|"&amp;UPPER(TRIM($E556)),Lists!$A$6:$A$205,0),0))</f>
        <v/>
      </c>
      <c r="BF556" s="56" t="str">
        <f>IF($AM556=0,"",IFERROR(MATCH($AF556,Settings!$B$14:$B$18,0),IFERROR(MATCH(Settings!$C$6,Settings!$B$14:$B$18,0),1)))</f>
        <v/>
      </c>
      <c r="BG556" s="58" t="str">
        <f>IF($AM556=0,"",IF(NOT(ISNUMBER($I556)),"No stop; ","")&amp;IF(AND(ISNUMBER($H556),ISNUMBER($I556)),IF(OR(AND($F556&lt;&gt;"Short",$I556&gt;=$H556),AND($F556="Short",$I556&lt;=$H556)),"Stop on wrong side; ",""),"")&amp;IF($F556="","No direction; ","")&amp;IF(AND(ISNUMBER(Settings!$C$22),ISNUMBER($V556)),IF($V556&gt;Settings!$C$22,"Risk over max $; ",""),"")&amp;IF(AND(ISNUMBER(Settings!$C$23),ISNUMBER($V556),ISNUMBER($AP556),IFERROR(N(INDEX(Accounts!$E$7:$E$16,MATCH($C556,Accounts!$B$7:$B$16,0))),0)&gt;0),IF($V556&gt;Settings!$C$23*($AP556-N($Q556)),"Risk over max %; ",""),"")&amp;IF(AND(ISNUMBER(Settings!$C$24),ISNUMBER($N556)),IF($N556&gt;Settings!$C$24,"Leverage over max; ",""),"")&amp;IF(AND(ISNUMBER(Settings!$C$27),ISNUMBER($T556)),IF($T556&lt;Settings!$C$27,"R:R below min; ",""),"")&amp;IF(ISNUMBER(Settings!$C$25),IF(COUNTIFS($A$6:$A556,$A556,$AM$6:$AM556,1)&gt;Settings!$C$25,"Over max trades/day; ",""),"")&amp;IF(ISNUMBER(Settings!$C$26),IF(SUMIFS($Q$5:$Q555,$A$5:$A555,$A556)&lt;=-Settings!$C$26,"Traded after daily max loss; ",""),"")&amp;IF(AND($AG556="",NOT(ISNUMBER($O556))),"Symbol not in Instruments; ","")&amp;IF(AND($AH556="",NOT(ISNUMBER($O556))),"Forex cross: type Gross P&amp;L; ",""))</f>
        <v/>
      </c>
      <c r="BH556" s="56">
        <f>IF(ISNUMBER($Q556),1,0)</f>
        <v>0</v>
      </c>
      <c r="BI556" s="56">
        <f>IF($Y556="",0,1)</f>
        <v>0</v>
      </c>
      <c r="BJ556" s="56">
        <f>IF($AB556="",0,1)</f>
        <v>0</v>
      </c>
      <c r="BK556" s="56">
        <f>IF(AND($BH556=1,$W556&lt;&gt;"OK"),1,0)</f>
        <v>0</v>
      </c>
      <c r="BL556" s="55">
        <f>IF(N($AZ556)=0,0,IFERROR(INDEX($AT$6:$AT$1005,MATCH($AZ556,$AY$6:$AY$1005,0)),0))</f>
        <v>1187.10688</v>
      </c>
      <c r="BM556" s="56">
        <f>IF(ISNUMBER(SEARCH("daily max loss",$BG556)),1,0)</f>
        <v>0</v>
      </c>
    </row>
    <row r="557" ht="18" customHeight="1">
      <c r="A557" s="38" t="n"/>
      <c r="B557" s="39" t="n"/>
      <c r="C557" s="40" t="n"/>
      <c r="D557" s="41" t="n"/>
      <c r="E557" s="41" t="n"/>
      <c r="F557" s="41" t="n"/>
      <c r="G557" s="41" t="n"/>
      <c r="H557" s="42" t="n"/>
      <c r="I557" s="42" t="n"/>
      <c r="J557" s="42" t="n"/>
      <c r="K557" s="42" t="n"/>
      <c r="L557" s="41" t="n"/>
      <c r="M557" s="41" t="n"/>
      <c r="N557" s="41" t="n"/>
      <c r="O557" s="43" t="n"/>
      <c r="P557" s="43" t="n"/>
      <c r="Q557" s="44" t="str">
        <f>IF($AM557=0,"",IF(ISNUMBER($AK557),$AK557-N($AL557),""))</f>
        <v/>
      </c>
      <c r="R557" s="45" t="str">
        <f>IF(OR($Q557="",NOT(ISNUMBER($V557))),"",$AK557/$V557)</f>
        <v/>
      </c>
      <c r="S557" s="46" t="str">
        <f>IF($Q557="","",IF(AND(ISNUMBER($R557),ABS(N($R557))&lt;N(Settings!$C$8)),"Scratch",IF($Q557&gt;0,"Win",IF($Q557&lt;0,"Loss","Scratch"))))</f>
        <v/>
      </c>
      <c r="T557" s="47" t="str">
        <f>IF(OR($AM557=0,NOT(ISNUMBER($H557)),NOT(ISNUMBER($I557)),NOT(ISNUMBER($J557))),"",IF($H557=$I557,"",ROUND(ABS($J557-$H557)/ABS($H557-$I557),6)))</f>
        <v/>
      </c>
      <c r="U557" s="48" t="str">
        <f>IF(OR($S557&lt;&gt;"Win",NOT(ISNUMBER($T557)),NOT(ISNUMBER($R557))),"",MAX(0,$T557-$R557))</f>
        <v/>
      </c>
      <c r="V557" s="49" t="str">
        <f>IF(OR($AM557=0,NOT(ISNUMBER($H557)),NOT(ISNUMBER($I557)),NOT(ISNUMBER($G557))),"",IF(OR($AG557="",$AH557=""),"",IF(ROUND(ABS($H557-$I557)*ABS($G557)*$AG557*$AH557,6)=0,"",ROUND(ABS($H557-$I557)*ABS($G557)*$AG557*$AH557,6))))</f>
        <v/>
      </c>
      <c r="W557" s="50" t="str">
        <f>IF($AM557=0,"",IF($BG557="","OK",LEFT($BG557,LEN($BG557)-2)))</f>
        <v/>
      </c>
      <c r="X557" s="41" t="n"/>
      <c r="Y557" s="40" t="n"/>
      <c r="Z557" s="41" t="n"/>
      <c r="AA557" s="41" t="n"/>
      <c r="AB557" s="40" t="n"/>
      <c r="AC557" s="51" t="n"/>
      <c r="AD557" s="51" t="n"/>
      <c r="AE557" s="40" t="n"/>
      <c r="AF557" s="52" t="str">
        <f>IF($AM557=0,"",IF($D557&lt;&gt;"",$D557,IF(IFERROR(INDEX(Accounts!$C$7:$C$16,MATCH($C557,Accounts!$B$7:$B$16,0))&amp;"","")&lt;&gt;"",INDEX(Accounts!$C$7:$C$16,MATCH($C557,Accounts!$B$7:$B$16,0)),Settings!$C$6)))</f>
        <v/>
      </c>
      <c r="AG557" s="53" t="str">
        <f>IF($AM557=0,"",IF(AND($BE557&gt;0,N(INDEX(Instruments!$D$6:$D$205,MAX(1,$BE557)))&gt;0),INDEX(Instruments!$D$6:$D$205,MAX(1,$BE557)),IF(N(INDEX(Settings!$D$14:$D$18,$BF557))&gt;0,INDEX(Settings!$D$14:$D$18,$BF557),"")))</f>
        <v/>
      </c>
      <c r="AH557" s="54" t="str">
        <f>IF($AM557=0,"",IF($AF557&lt;&gt;"Forex",1,IF(MID(UPPER(SUBSTITUTE(TRIM($E557),"/","")),4,3)=UPPER(TRIM(Settings!$C$7)),1,IF(LEFT(UPPER(SUBSTITUTE(TRIM($E557),"/","")),3)=UPPER(TRIM(Settings!$C$7)),IF(AND(ISNUMBER($K557),N($K557)&lt;&gt;0),1/$K557,""),""))))</f>
        <v/>
      </c>
      <c r="AI557" s="55" t="str">
        <f>IF($AM557=0,"",IF(OR(NOT(ISNUMBER($H557)),NOT(ISNUMBER($K557)),NOT(ISNUMBER($G557)),$AG557="",$AH557=""),"",ROUND(($K557-$H557)*IF($F557="Short",-1,1)*$G557*$AG557*$AH557,6)))</f>
        <v/>
      </c>
      <c r="AJ557" s="55" t="str">
        <f>IF($AM557=0,"",IF(INDEX(Settings!$E$14:$E$18,$BF557)="% of notional",IF(OR($AG557="",NOT(ISNUMBER($H557)),NOT(ISNUMBER($G557))),"",ROUND(ABS($H557*$G557*$AG557*N($AH557))*IF($L557="Limit",N(INDEX(Settings!$G$14:$G$18,$BF557)),N(INDEX(Settings!$H$14:$H$18,$BF557)))+IF(ISNUMBER($K557),ABS($K557*$G557*$AG557*N($AH557))*IF($M557="Target",N(INDEX(Settings!$G$14:$G$18,$BF557)),N(INDEX(Settings!$H$14:$H$18,$BF557))),0),6)),IF(NOT(ISNUMBER($G557)),"",ROUND(ABS($G557)*2*IF(AND($BE557&gt;0,ISNUMBER(INDEX(Instruments!$G$6:$G$205,MAX(1,$BE557)))),INDEX(Instruments!$G$6:$G$205,MAX(1,$BE557)),N(INDEX(Settings!$F$14:$F$18,$BF557))),6))))</f>
        <v/>
      </c>
      <c r="AK557" s="55" t="str">
        <f>IF($AM557=0,"",IF(ISNUMBER($O557),$O557,$AI557))</f>
        <v/>
      </c>
      <c r="AL557" s="55" t="str">
        <f>IF($AM557=0,"",IF(ISNUMBER($P557),$P557,N($AJ557)))</f>
        <v/>
      </c>
      <c r="AM557" s="56">
        <f>IF(AND($A557&lt;&gt;"",$E557&lt;&gt;"",OR(AND(ISNUMBER($G557),ISNUMBER($H557),ISNUMBER($K557)),ISNUMBER($O557))),1,0)</f>
        <v>0</v>
      </c>
      <c r="AN557" s="57" t="str">
        <f>IF($A557="","",$A557-WEEKDAY($A557,3))</f>
        <v/>
      </c>
      <c r="AO557" s="56" t="str">
        <f>IF($A557="","",WEEKDAY($A557,2))</f>
        <v/>
      </c>
      <c r="AP557" s="55" t="str">
        <f>IF(OR($AM557=0,$C557=""),"",IFERROR(N(INDEX(Accounts!$E$7:$E$16,MATCH($C557,Accounts!$B$7:$B$16,0))),0)+SUMIFS($Q$6:$Q557,$C$6:$C557,$C557))</f>
        <v/>
      </c>
      <c r="AQ557" s="55" t="str">
        <f>IF(OR($AM557=0,$C557=""),"",SUMIFS($Q$6:$Q$1005,$C$6:$C$1005,$C557,$A$6:$A$1005,$A557))</f>
        <v/>
      </c>
      <c r="AR557" s="55" t="str">
        <f>IF(OR($AM557=0,$C557=""),"",IFERROR(N(INDEX(Accounts!$E$7:$E$16,MATCH($C557,Accounts!$B$7:$B$16,0))),0)+SUMIFS($Q$6:$Q$1005,$C$6:$C$1005,$C557,$A$6:$A$1005,"&lt;="&amp;$A557))</f>
        <v/>
      </c>
      <c r="AS557" s="56">
        <f>IF(OR($AM557=0,$Q557=""),0,IF(AND($A557&gt;=Lists!$W$6,$A557&lt;=Lists!$W$7,OR(Dashboard!$D$6="All accounts",$C557=Dashboard!$D$6),OR(Dashboard!$D$7="All markets",$AF557=Dashboard!$D$7)),1,0))</f>
        <v>0</v>
      </c>
      <c r="AT557" s="55">
        <f>IF($AS557=1,N(AT556)+$Q557,N(AT556))</f>
        <v>1187.10688</v>
      </c>
      <c r="AU557" s="55">
        <f>MAX(N(AU556),$AT557)</f>
        <v>1187.10688</v>
      </c>
      <c r="AV557" s="55">
        <f>$AT557-$AU557</f>
        <v>0</v>
      </c>
      <c r="AW557" s="56">
        <f>IF($AS557=1,IF($S557="Win",N(AW556)+1,IF($S557="Loss",0,N(AW556))),N(AW556))</f>
        <v>5</v>
      </c>
      <c r="AX557" s="56">
        <f>IF($AS557=1,IF($S557="Loss",N(AX556)+1,IF($S557="Win",0,N(AX556))),N(AX556))</f>
        <v>0</v>
      </c>
      <c r="AY557" s="56" t="str">
        <f>IF($AS557=1,COUNTIF($AS$6:$AS557,1),"")</f>
        <v/>
      </c>
      <c r="AZ557" s="56">
        <f>MIN(551,N(Lists!$W$8))</f>
        <v>28</v>
      </c>
      <c r="BA557" s="56">
        <f>IF($AS557=1,IF(COUNTIFS($A$6:$A557,$A557,$AS$6:$AS557,1)=1,1,0),0)</f>
        <v>0</v>
      </c>
      <c r="BB557" s="55" t="str">
        <f>IF($BA557=1,SUMIFS($Q$6:$Q$1005,$A$6:$A$1005,$A557,$AS$6:$AS$1005,1),"")</f>
        <v/>
      </c>
      <c r="BC557" s="56">
        <f>IF(ISNUMBER($R557),1,0)</f>
        <v>0</v>
      </c>
      <c r="BD557" s="55" t="str">
        <f>IF(ISNUMBER($U557),$U557*$V557,"")</f>
        <v/>
      </c>
      <c r="BE557" s="56" t="str">
        <f>IF($AM557=0,"",IFERROR(MATCH($AF557&amp;"|"&amp;UPPER(TRIM($E557)),Lists!$A$6:$A$205,0),0))</f>
        <v/>
      </c>
      <c r="BF557" s="56" t="str">
        <f>IF($AM557=0,"",IFERROR(MATCH($AF557,Settings!$B$14:$B$18,0),IFERROR(MATCH(Settings!$C$6,Settings!$B$14:$B$18,0),1)))</f>
        <v/>
      </c>
      <c r="BG557" s="58" t="str">
        <f>IF($AM557=0,"",IF(NOT(ISNUMBER($I557)),"No stop; ","")&amp;IF(AND(ISNUMBER($H557),ISNUMBER($I557)),IF(OR(AND($F557&lt;&gt;"Short",$I557&gt;=$H557),AND($F557="Short",$I557&lt;=$H557)),"Stop on wrong side; ",""),"")&amp;IF($F557="","No direction; ","")&amp;IF(AND(ISNUMBER(Settings!$C$22),ISNUMBER($V557)),IF($V557&gt;Settings!$C$22,"Risk over max $; ",""),"")&amp;IF(AND(ISNUMBER(Settings!$C$23),ISNUMBER($V557),ISNUMBER($AP557),IFERROR(N(INDEX(Accounts!$E$7:$E$16,MATCH($C557,Accounts!$B$7:$B$16,0))),0)&gt;0),IF($V557&gt;Settings!$C$23*($AP557-N($Q557)),"Risk over max %; ",""),"")&amp;IF(AND(ISNUMBER(Settings!$C$24),ISNUMBER($N557)),IF($N557&gt;Settings!$C$24,"Leverage over max; ",""),"")&amp;IF(AND(ISNUMBER(Settings!$C$27),ISNUMBER($T557)),IF($T557&lt;Settings!$C$27,"R:R below min; ",""),"")&amp;IF(ISNUMBER(Settings!$C$25),IF(COUNTIFS($A$6:$A557,$A557,$AM$6:$AM557,1)&gt;Settings!$C$25,"Over max trades/day; ",""),"")&amp;IF(ISNUMBER(Settings!$C$26),IF(SUMIFS($Q$5:$Q556,$A$5:$A556,$A557)&lt;=-Settings!$C$26,"Traded after daily max loss; ",""),"")&amp;IF(AND($AG557="",NOT(ISNUMBER($O557))),"Symbol not in Instruments; ","")&amp;IF(AND($AH557="",NOT(ISNUMBER($O557))),"Forex cross: type Gross P&amp;L; ",""))</f>
        <v/>
      </c>
      <c r="BH557" s="56">
        <f>IF(ISNUMBER($Q557),1,0)</f>
        <v>0</v>
      </c>
      <c r="BI557" s="56">
        <f>IF($Y557="",0,1)</f>
        <v>0</v>
      </c>
      <c r="BJ557" s="56">
        <f>IF($AB557="",0,1)</f>
        <v>0</v>
      </c>
      <c r="BK557" s="56">
        <f>IF(AND($BH557=1,$W557&lt;&gt;"OK"),1,0)</f>
        <v>0</v>
      </c>
      <c r="BL557" s="55">
        <f>IF(N($AZ557)=0,0,IFERROR(INDEX($AT$6:$AT$1005,MATCH($AZ557,$AY$6:$AY$1005,0)),0))</f>
        <v>1187.10688</v>
      </c>
      <c r="BM557" s="56">
        <f>IF(ISNUMBER(SEARCH("daily max loss",$BG557)),1,0)</f>
        <v>0</v>
      </c>
    </row>
    <row r="558" ht="18" customHeight="1">
      <c r="A558" s="38" t="n"/>
      <c r="B558" s="39" t="n"/>
      <c r="C558" s="40" t="n"/>
      <c r="D558" s="41" t="n"/>
      <c r="E558" s="41" t="n"/>
      <c r="F558" s="41" t="n"/>
      <c r="G558" s="41" t="n"/>
      <c r="H558" s="42" t="n"/>
      <c r="I558" s="42" t="n"/>
      <c r="J558" s="42" t="n"/>
      <c r="K558" s="42" t="n"/>
      <c r="L558" s="41" t="n"/>
      <c r="M558" s="41" t="n"/>
      <c r="N558" s="41" t="n"/>
      <c r="O558" s="43" t="n"/>
      <c r="P558" s="43" t="n"/>
      <c r="Q558" s="44" t="str">
        <f>IF($AM558=0,"",IF(ISNUMBER($AK558),$AK558-N($AL558),""))</f>
        <v/>
      </c>
      <c r="R558" s="45" t="str">
        <f>IF(OR($Q558="",NOT(ISNUMBER($V558))),"",$AK558/$V558)</f>
        <v/>
      </c>
      <c r="S558" s="46" t="str">
        <f>IF($Q558="","",IF(AND(ISNUMBER($R558),ABS(N($R558))&lt;N(Settings!$C$8)),"Scratch",IF($Q558&gt;0,"Win",IF($Q558&lt;0,"Loss","Scratch"))))</f>
        <v/>
      </c>
      <c r="T558" s="47" t="str">
        <f>IF(OR($AM558=0,NOT(ISNUMBER($H558)),NOT(ISNUMBER($I558)),NOT(ISNUMBER($J558))),"",IF($H558=$I558,"",ROUND(ABS($J558-$H558)/ABS($H558-$I558),6)))</f>
        <v/>
      </c>
      <c r="U558" s="48" t="str">
        <f>IF(OR($S558&lt;&gt;"Win",NOT(ISNUMBER($T558)),NOT(ISNUMBER($R558))),"",MAX(0,$T558-$R558))</f>
        <v/>
      </c>
      <c r="V558" s="49" t="str">
        <f>IF(OR($AM558=0,NOT(ISNUMBER($H558)),NOT(ISNUMBER($I558)),NOT(ISNUMBER($G558))),"",IF(OR($AG558="",$AH558=""),"",IF(ROUND(ABS($H558-$I558)*ABS($G558)*$AG558*$AH558,6)=0,"",ROUND(ABS($H558-$I558)*ABS($G558)*$AG558*$AH558,6))))</f>
        <v/>
      </c>
      <c r="W558" s="50" t="str">
        <f>IF($AM558=0,"",IF($BG558="","OK",LEFT($BG558,LEN($BG558)-2)))</f>
        <v/>
      </c>
      <c r="X558" s="41" t="n"/>
      <c r="Y558" s="40" t="n"/>
      <c r="Z558" s="41" t="n"/>
      <c r="AA558" s="41" t="n"/>
      <c r="AB558" s="40" t="n"/>
      <c r="AC558" s="51" t="n"/>
      <c r="AD558" s="51" t="n"/>
      <c r="AE558" s="40" t="n"/>
      <c r="AF558" s="52" t="str">
        <f>IF($AM558=0,"",IF($D558&lt;&gt;"",$D558,IF(IFERROR(INDEX(Accounts!$C$7:$C$16,MATCH($C558,Accounts!$B$7:$B$16,0))&amp;"","")&lt;&gt;"",INDEX(Accounts!$C$7:$C$16,MATCH($C558,Accounts!$B$7:$B$16,0)),Settings!$C$6)))</f>
        <v/>
      </c>
      <c r="AG558" s="53" t="str">
        <f>IF($AM558=0,"",IF(AND($BE558&gt;0,N(INDEX(Instruments!$D$6:$D$205,MAX(1,$BE558)))&gt;0),INDEX(Instruments!$D$6:$D$205,MAX(1,$BE558)),IF(N(INDEX(Settings!$D$14:$D$18,$BF558))&gt;0,INDEX(Settings!$D$14:$D$18,$BF558),"")))</f>
        <v/>
      </c>
      <c r="AH558" s="54" t="str">
        <f>IF($AM558=0,"",IF($AF558&lt;&gt;"Forex",1,IF(MID(UPPER(SUBSTITUTE(TRIM($E558),"/","")),4,3)=UPPER(TRIM(Settings!$C$7)),1,IF(LEFT(UPPER(SUBSTITUTE(TRIM($E558),"/","")),3)=UPPER(TRIM(Settings!$C$7)),IF(AND(ISNUMBER($K558),N($K558)&lt;&gt;0),1/$K558,""),""))))</f>
        <v/>
      </c>
      <c r="AI558" s="55" t="str">
        <f>IF($AM558=0,"",IF(OR(NOT(ISNUMBER($H558)),NOT(ISNUMBER($K558)),NOT(ISNUMBER($G558)),$AG558="",$AH558=""),"",ROUND(($K558-$H558)*IF($F558="Short",-1,1)*$G558*$AG558*$AH558,6)))</f>
        <v/>
      </c>
      <c r="AJ558" s="55" t="str">
        <f>IF($AM558=0,"",IF(INDEX(Settings!$E$14:$E$18,$BF558)="% of notional",IF(OR($AG558="",NOT(ISNUMBER($H558)),NOT(ISNUMBER($G558))),"",ROUND(ABS($H558*$G558*$AG558*N($AH558))*IF($L558="Limit",N(INDEX(Settings!$G$14:$G$18,$BF558)),N(INDEX(Settings!$H$14:$H$18,$BF558)))+IF(ISNUMBER($K558),ABS($K558*$G558*$AG558*N($AH558))*IF($M558="Target",N(INDEX(Settings!$G$14:$G$18,$BF558)),N(INDEX(Settings!$H$14:$H$18,$BF558))),0),6)),IF(NOT(ISNUMBER($G558)),"",ROUND(ABS($G558)*2*IF(AND($BE558&gt;0,ISNUMBER(INDEX(Instruments!$G$6:$G$205,MAX(1,$BE558)))),INDEX(Instruments!$G$6:$G$205,MAX(1,$BE558)),N(INDEX(Settings!$F$14:$F$18,$BF558))),6))))</f>
        <v/>
      </c>
      <c r="AK558" s="55" t="str">
        <f>IF($AM558=0,"",IF(ISNUMBER($O558),$O558,$AI558))</f>
        <v/>
      </c>
      <c r="AL558" s="55" t="str">
        <f>IF($AM558=0,"",IF(ISNUMBER($P558),$P558,N($AJ558)))</f>
        <v/>
      </c>
      <c r="AM558" s="56">
        <f>IF(AND($A558&lt;&gt;"",$E558&lt;&gt;"",OR(AND(ISNUMBER($G558),ISNUMBER($H558),ISNUMBER($K558)),ISNUMBER($O558))),1,0)</f>
        <v>0</v>
      </c>
      <c r="AN558" s="57" t="str">
        <f>IF($A558="","",$A558-WEEKDAY($A558,3))</f>
        <v/>
      </c>
      <c r="AO558" s="56" t="str">
        <f>IF($A558="","",WEEKDAY($A558,2))</f>
        <v/>
      </c>
      <c r="AP558" s="55" t="str">
        <f>IF(OR($AM558=0,$C558=""),"",IFERROR(N(INDEX(Accounts!$E$7:$E$16,MATCH($C558,Accounts!$B$7:$B$16,0))),0)+SUMIFS($Q$6:$Q558,$C$6:$C558,$C558))</f>
        <v/>
      </c>
      <c r="AQ558" s="55" t="str">
        <f>IF(OR($AM558=0,$C558=""),"",SUMIFS($Q$6:$Q$1005,$C$6:$C$1005,$C558,$A$6:$A$1005,$A558))</f>
        <v/>
      </c>
      <c r="AR558" s="55" t="str">
        <f>IF(OR($AM558=0,$C558=""),"",IFERROR(N(INDEX(Accounts!$E$7:$E$16,MATCH($C558,Accounts!$B$7:$B$16,0))),0)+SUMIFS($Q$6:$Q$1005,$C$6:$C$1005,$C558,$A$6:$A$1005,"&lt;="&amp;$A558))</f>
        <v/>
      </c>
      <c r="AS558" s="56">
        <f>IF(OR($AM558=0,$Q558=""),0,IF(AND($A558&gt;=Lists!$W$6,$A558&lt;=Lists!$W$7,OR(Dashboard!$D$6="All accounts",$C558=Dashboard!$D$6),OR(Dashboard!$D$7="All markets",$AF558=Dashboard!$D$7)),1,0))</f>
        <v>0</v>
      </c>
      <c r="AT558" s="55">
        <f>IF($AS558=1,N(AT557)+$Q558,N(AT557))</f>
        <v>1187.10688</v>
      </c>
      <c r="AU558" s="55">
        <f>MAX(N(AU557),$AT558)</f>
        <v>1187.10688</v>
      </c>
      <c r="AV558" s="55">
        <f>$AT558-$AU558</f>
        <v>0</v>
      </c>
      <c r="AW558" s="56">
        <f>IF($AS558=1,IF($S558="Win",N(AW557)+1,IF($S558="Loss",0,N(AW557))),N(AW557))</f>
        <v>5</v>
      </c>
      <c r="AX558" s="56">
        <f>IF($AS558=1,IF($S558="Loss",N(AX557)+1,IF($S558="Win",0,N(AX557))),N(AX557))</f>
        <v>0</v>
      </c>
      <c r="AY558" s="56" t="str">
        <f>IF($AS558=1,COUNTIF($AS$6:$AS558,1),"")</f>
        <v/>
      </c>
      <c r="AZ558" s="56">
        <f>MIN(552,N(Lists!$W$8))</f>
        <v>28</v>
      </c>
      <c r="BA558" s="56">
        <f>IF($AS558=1,IF(COUNTIFS($A$6:$A558,$A558,$AS$6:$AS558,1)=1,1,0),0)</f>
        <v>0</v>
      </c>
      <c r="BB558" s="55" t="str">
        <f>IF($BA558=1,SUMIFS($Q$6:$Q$1005,$A$6:$A$1005,$A558,$AS$6:$AS$1005,1),"")</f>
        <v/>
      </c>
      <c r="BC558" s="56">
        <f>IF(ISNUMBER($R558),1,0)</f>
        <v>0</v>
      </c>
      <c r="BD558" s="55" t="str">
        <f>IF(ISNUMBER($U558),$U558*$V558,"")</f>
        <v/>
      </c>
      <c r="BE558" s="56" t="str">
        <f>IF($AM558=0,"",IFERROR(MATCH($AF558&amp;"|"&amp;UPPER(TRIM($E558)),Lists!$A$6:$A$205,0),0))</f>
        <v/>
      </c>
      <c r="BF558" s="56" t="str">
        <f>IF($AM558=0,"",IFERROR(MATCH($AF558,Settings!$B$14:$B$18,0),IFERROR(MATCH(Settings!$C$6,Settings!$B$14:$B$18,0),1)))</f>
        <v/>
      </c>
      <c r="BG558" s="58" t="str">
        <f>IF($AM558=0,"",IF(NOT(ISNUMBER($I558)),"No stop; ","")&amp;IF(AND(ISNUMBER($H558),ISNUMBER($I558)),IF(OR(AND($F558&lt;&gt;"Short",$I558&gt;=$H558),AND($F558="Short",$I558&lt;=$H558)),"Stop on wrong side; ",""),"")&amp;IF($F558="","No direction; ","")&amp;IF(AND(ISNUMBER(Settings!$C$22),ISNUMBER($V558)),IF($V558&gt;Settings!$C$22,"Risk over max $; ",""),"")&amp;IF(AND(ISNUMBER(Settings!$C$23),ISNUMBER($V558),ISNUMBER($AP558),IFERROR(N(INDEX(Accounts!$E$7:$E$16,MATCH($C558,Accounts!$B$7:$B$16,0))),0)&gt;0),IF($V558&gt;Settings!$C$23*($AP558-N($Q558)),"Risk over max %; ",""),"")&amp;IF(AND(ISNUMBER(Settings!$C$24),ISNUMBER($N558)),IF($N558&gt;Settings!$C$24,"Leverage over max; ",""),"")&amp;IF(AND(ISNUMBER(Settings!$C$27),ISNUMBER($T558)),IF($T558&lt;Settings!$C$27,"R:R below min; ",""),"")&amp;IF(ISNUMBER(Settings!$C$25),IF(COUNTIFS($A$6:$A558,$A558,$AM$6:$AM558,1)&gt;Settings!$C$25,"Over max trades/day; ",""),"")&amp;IF(ISNUMBER(Settings!$C$26),IF(SUMIFS($Q$5:$Q557,$A$5:$A557,$A558)&lt;=-Settings!$C$26,"Traded after daily max loss; ",""),"")&amp;IF(AND($AG558="",NOT(ISNUMBER($O558))),"Symbol not in Instruments; ","")&amp;IF(AND($AH558="",NOT(ISNUMBER($O558))),"Forex cross: type Gross P&amp;L; ",""))</f>
        <v/>
      </c>
      <c r="BH558" s="56">
        <f>IF(ISNUMBER($Q558),1,0)</f>
        <v>0</v>
      </c>
      <c r="BI558" s="56">
        <f>IF($Y558="",0,1)</f>
        <v>0</v>
      </c>
      <c r="BJ558" s="56">
        <f>IF($AB558="",0,1)</f>
        <v>0</v>
      </c>
      <c r="BK558" s="56">
        <f>IF(AND($BH558=1,$W558&lt;&gt;"OK"),1,0)</f>
        <v>0</v>
      </c>
      <c r="BL558" s="55">
        <f>IF(N($AZ558)=0,0,IFERROR(INDEX($AT$6:$AT$1005,MATCH($AZ558,$AY$6:$AY$1005,0)),0))</f>
        <v>1187.10688</v>
      </c>
      <c r="BM558" s="56">
        <f>IF(ISNUMBER(SEARCH("daily max loss",$BG558)),1,0)</f>
        <v>0</v>
      </c>
    </row>
    <row r="559" ht="18" customHeight="1">
      <c r="A559" s="38" t="n"/>
      <c r="B559" s="39" t="n"/>
      <c r="C559" s="40" t="n"/>
      <c r="D559" s="41" t="n"/>
      <c r="E559" s="41" t="n"/>
      <c r="F559" s="41" t="n"/>
      <c r="G559" s="41" t="n"/>
      <c r="H559" s="42" t="n"/>
      <c r="I559" s="42" t="n"/>
      <c r="J559" s="42" t="n"/>
      <c r="K559" s="42" t="n"/>
      <c r="L559" s="41" t="n"/>
      <c r="M559" s="41" t="n"/>
      <c r="N559" s="41" t="n"/>
      <c r="O559" s="43" t="n"/>
      <c r="P559" s="43" t="n"/>
      <c r="Q559" s="44" t="str">
        <f>IF($AM559=0,"",IF(ISNUMBER($AK559),$AK559-N($AL559),""))</f>
        <v/>
      </c>
      <c r="R559" s="45" t="str">
        <f>IF(OR($Q559="",NOT(ISNUMBER($V559))),"",$AK559/$V559)</f>
        <v/>
      </c>
      <c r="S559" s="46" t="str">
        <f>IF($Q559="","",IF(AND(ISNUMBER($R559),ABS(N($R559))&lt;N(Settings!$C$8)),"Scratch",IF($Q559&gt;0,"Win",IF($Q559&lt;0,"Loss","Scratch"))))</f>
        <v/>
      </c>
      <c r="T559" s="47" t="str">
        <f>IF(OR($AM559=0,NOT(ISNUMBER($H559)),NOT(ISNUMBER($I559)),NOT(ISNUMBER($J559))),"",IF($H559=$I559,"",ROUND(ABS($J559-$H559)/ABS($H559-$I559),6)))</f>
        <v/>
      </c>
      <c r="U559" s="48" t="str">
        <f>IF(OR($S559&lt;&gt;"Win",NOT(ISNUMBER($T559)),NOT(ISNUMBER($R559))),"",MAX(0,$T559-$R559))</f>
        <v/>
      </c>
      <c r="V559" s="49" t="str">
        <f>IF(OR($AM559=0,NOT(ISNUMBER($H559)),NOT(ISNUMBER($I559)),NOT(ISNUMBER($G559))),"",IF(OR($AG559="",$AH559=""),"",IF(ROUND(ABS($H559-$I559)*ABS($G559)*$AG559*$AH559,6)=0,"",ROUND(ABS($H559-$I559)*ABS($G559)*$AG559*$AH559,6))))</f>
        <v/>
      </c>
      <c r="W559" s="50" t="str">
        <f>IF($AM559=0,"",IF($BG559="","OK",LEFT($BG559,LEN($BG559)-2)))</f>
        <v/>
      </c>
      <c r="X559" s="41" t="n"/>
      <c r="Y559" s="40" t="n"/>
      <c r="Z559" s="41" t="n"/>
      <c r="AA559" s="41" t="n"/>
      <c r="AB559" s="40" t="n"/>
      <c r="AC559" s="51" t="n"/>
      <c r="AD559" s="51" t="n"/>
      <c r="AE559" s="40" t="n"/>
      <c r="AF559" s="52" t="str">
        <f>IF($AM559=0,"",IF($D559&lt;&gt;"",$D559,IF(IFERROR(INDEX(Accounts!$C$7:$C$16,MATCH($C559,Accounts!$B$7:$B$16,0))&amp;"","")&lt;&gt;"",INDEX(Accounts!$C$7:$C$16,MATCH($C559,Accounts!$B$7:$B$16,0)),Settings!$C$6)))</f>
        <v/>
      </c>
      <c r="AG559" s="53" t="str">
        <f>IF($AM559=0,"",IF(AND($BE559&gt;0,N(INDEX(Instruments!$D$6:$D$205,MAX(1,$BE559)))&gt;0),INDEX(Instruments!$D$6:$D$205,MAX(1,$BE559)),IF(N(INDEX(Settings!$D$14:$D$18,$BF559))&gt;0,INDEX(Settings!$D$14:$D$18,$BF559),"")))</f>
        <v/>
      </c>
      <c r="AH559" s="54" t="str">
        <f>IF($AM559=0,"",IF($AF559&lt;&gt;"Forex",1,IF(MID(UPPER(SUBSTITUTE(TRIM($E559),"/","")),4,3)=UPPER(TRIM(Settings!$C$7)),1,IF(LEFT(UPPER(SUBSTITUTE(TRIM($E559),"/","")),3)=UPPER(TRIM(Settings!$C$7)),IF(AND(ISNUMBER($K559),N($K559)&lt;&gt;0),1/$K559,""),""))))</f>
        <v/>
      </c>
      <c r="AI559" s="55" t="str">
        <f>IF($AM559=0,"",IF(OR(NOT(ISNUMBER($H559)),NOT(ISNUMBER($K559)),NOT(ISNUMBER($G559)),$AG559="",$AH559=""),"",ROUND(($K559-$H559)*IF($F559="Short",-1,1)*$G559*$AG559*$AH559,6)))</f>
        <v/>
      </c>
      <c r="AJ559" s="55" t="str">
        <f>IF($AM559=0,"",IF(INDEX(Settings!$E$14:$E$18,$BF559)="% of notional",IF(OR($AG559="",NOT(ISNUMBER($H559)),NOT(ISNUMBER($G559))),"",ROUND(ABS($H559*$G559*$AG559*N($AH559))*IF($L559="Limit",N(INDEX(Settings!$G$14:$G$18,$BF559)),N(INDEX(Settings!$H$14:$H$18,$BF559)))+IF(ISNUMBER($K559),ABS($K559*$G559*$AG559*N($AH559))*IF($M559="Target",N(INDEX(Settings!$G$14:$G$18,$BF559)),N(INDEX(Settings!$H$14:$H$18,$BF559))),0),6)),IF(NOT(ISNUMBER($G559)),"",ROUND(ABS($G559)*2*IF(AND($BE559&gt;0,ISNUMBER(INDEX(Instruments!$G$6:$G$205,MAX(1,$BE559)))),INDEX(Instruments!$G$6:$G$205,MAX(1,$BE559)),N(INDEX(Settings!$F$14:$F$18,$BF559))),6))))</f>
        <v/>
      </c>
      <c r="AK559" s="55" t="str">
        <f>IF($AM559=0,"",IF(ISNUMBER($O559),$O559,$AI559))</f>
        <v/>
      </c>
      <c r="AL559" s="55" t="str">
        <f>IF($AM559=0,"",IF(ISNUMBER($P559),$P559,N($AJ559)))</f>
        <v/>
      </c>
      <c r="AM559" s="56">
        <f>IF(AND($A559&lt;&gt;"",$E559&lt;&gt;"",OR(AND(ISNUMBER($G559),ISNUMBER($H559),ISNUMBER($K559)),ISNUMBER($O559))),1,0)</f>
        <v>0</v>
      </c>
      <c r="AN559" s="57" t="str">
        <f>IF($A559="","",$A559-WEEKDAY($A559,3))</f>
        <v/>
      </c>
      <c r="AO559" s="56" t="str">
        <f>IF($A559="","",WEEKDAY($A559,2))</f>
        <v/>
      </c>
      <c r="AP559" s="55" t="str">
        <f>IF(OR($AM559=0,$C559=""),"",IFERROR(N(INDEX(Accounts!$E$7:$E$16,MATCH($C559,Accounts!$B$7:$B$16,0))),0)+SUMIFS($Q$6:$Q559,$C$6:$C559,$C559))</f>
        <v/>
      </c>
      <c r="AQ559" s="55" t="str">
        <f>IF(OR($AM559=0,$C559=""),"",SUMIFS($Q$6:$Q$1005,$C$6:$C$1005,$C559,$A$6:$A$1005,$A559))</f>
        <v/>
      </c>
      <c r="AR559" s="55" t="str">
        <f>IF(OR($AM559=0,$C559=""),"",IFERROR(N(INDEX(Accounts!$E$7:$E$16,MATCH($C559,Accounts!$B$7:$B$16,0))),0)+SUMIFS($Q$6:$Q$1005,$C$6:$C$1005,$C559,$A$6:$A$1005,"&lt;="&amp;$A559))</f>
        <v/>
      </c>
      <c r="AS559" s="56">
        <f>IF(OR($AM559=0,$Q559=""),0,IF(AND($A559&gt;=Lists!$W$6,$A559&lt;=Lists!$W$7,OR(Dashboard!$D$6="All accounts",$C559=Dashboard!$D$6),OR(Dashboard!$D$7="All markets",$AF559=Dashboard!$D$7)),1,0))</f>
        <v>0</v>
      </c>
      <c r="AT559" s="55">
        <f>IF($AS559=1,N(AT558)+$Q559,N(AT558))</f>
        <v>1187.10688</v>
      </c>
      <c r="AU559" s="55">
        <f>MAX(N(AU558),$AT559)</f>
        <v>1187.10688</v>
      </c>
      <c r="AV559" s="55">
        <f>$AT559-$AU559</f>
        <v>0</v>
      </c>
      <c r="AW559" s="56">
        <f>IF($AS559=1,IF($S559="Win",N(AW558)+1,IF($S559="Loss",0,N(AW558))),N(AW558))</f>
        <v>5</v>
      </c>
      <c r="AX559" s="56">
        <f>IF($AS559=1,IF($S559="Loss",N(AX558)+1,IF($S559="Win",0,N(AX558))),N(AX558))</f>
        <v>0</v>
      </c>
      <c r="AY559" s="56" t="str">
        <f>IF($AS559=1,COUNTIF($AS$6:$AS559,1),"")</f>
        <v/>
      </c>
      <c r="AZ559" s="56">
        <f>MIN(553,N(Lists!$W$8))</f>
        <v>28</v>
      </c>
      <c r="BA559" s="56">
        <f>IF($AS559=1,IF(COUNTIFS($A$6:$A559,$A559,$AS$6:$AS559,1)=1,1,0),0)</f>
        <v>0</v>
      </c>
      <c r="BB559" s="55" t="str">
        <f>IF($BA559=1,SUMIFS($Q$6:$Q$1005,$A$6:$A$1005,$A559,$AS$6:$AS$1005,1),"")</f>
        <v/>
      </c>
      <c r="BC559" s="56">
        <f>IF(ISNUMBER($R559),1,0)</f>
        <v>0</v>
      </c>
      <c r="BD559" s="55" t="str">
        <f>IF(ISNUMBER($U559),$U559*$V559,"")</f>
        <v/>
      </c>
      <c r="BE559" s="56" t="str">
        <f>IF($AM559=0,"",IFERROR(MATCH($AF559&amp;"|"&amp;UPPER(TRIM($E559)),Lists!$A$6:$A$205,0),0))</f>
        <v/>
      </c>
      <c r="BF559" s="56" t="str">
        <f>IF($AM559=0,"",IFERROR(MATCH($AF559,Settings!$B$14:$B$18,0),IFERROR(MATCH(Settings!$C$6,Settings!$B$14:$B$18,0),1)))</f>
        <v/>
      </c>
      <c r="BG559" s="58" t="str">
        <f>IF($AM559=0,"",IF(NOT(ISNUMBER($I559)),"No stop; ","")&amp;IF(AND(ISNUMBER($H559),ISNUMBER($I559)),IF(OR(AND($F559&lt;&gt;"Short",$I559&gt;=$H559),AND($F559="Short",$I559&lt;=$H559)),"Stop on wrong side; ",""),"")&amp;IF($F559="","No direction; ","")&amp;IF(AND(ISNUMBER(Settings!$C$22),ISNUMBER($V559)),IF($V559&gt;Settings!$C$22,"Risk over max $; ",""),"")&amp;IF(AND(ISNUMBER(Settings!$C$23),ISNUMBER($V559),ISNUMBER($AP559),IFERROR(N(INDEX(Accounts!$E$7:$E$16,MATCH($C559,Accounts!$B$7:$B$16,0))),0)&gt;0),IF($V559&gt;Settings!$C$23*($AP559-N($Q559)),"Risk over max %; ",""),"")&amp;IF(AND(ISNUMBER(Settings!$C$24),ISNUMBER($N559)),IF($N559&gt;Settings!$C$24,"Leverage over max; ",""),"")&amp;IF(AND(ISNUMBER(Settings!$C$27),ISNUMBER($T559)),IF($T559&lt;Settings!$C$27,"R:R below min; ",""),"")&amp;IF(ISNUMBER(Settings!$C$25),IF(COUNTIFS($A$6:$A559,$A559,$AM$6:$AM559,1)&gt;Settings!$C$25,"Over max trades/day; ",""),"")&amp;IF(ISNUMBER(Settings!$C$26),IF(SUMIFS($Q$5:$Q558,$A$5:$A558,$A559)&lt;=-Settings!$C$26,"Traded after daily max loss; ",""),"")&amp;IF(AND($AG559="",NOT(ISNUMBER($O559))),"Symbol not in Instruments; ","")&amp;IF(AND($AH559="",NOT(ISNUMBER($O559))),"Forex cross: type Gross P&amp;L; ",""))</f>
        <v/>
      </c>
      <c r="BH559" s="56">
        <f>IF(ISNUMBER($Q559),1,0)</f>
        <v>0</v>
      </c>
      <c r="BI559" s="56">
        <f>IF($Y559="",0,1)</f>
        <v>0</v>
      </c>
      <c r="BJ559" s="56">
        <f>IF($AB559="",0,1)</f>
        <v>0</v>
      </c>
      <c r="BK559" s="56">
        <f>IF(AND($BH559=1,$W559&lt;&gt;"OK"),1,0)</f>
        <v>0</v>
      </c>
      <c r="BL559" s="55">
        <f>IF(N($AZ559)=0,0,IFERROR(INDEX($AT$6:$AT$1005,MATCH($AZ559,$AY$6:$AY$1005,0)),0))</f>
        <v>1187.10688</v>
      </c>
      <c r="BM559" s="56">
        <f>IF(ISNUMBER(SEARCH("daily max loss",$BG559)),1,0)</f>
        <v>0</v>
      </c>
    </row>
    <row r="560" ht="18" customHeight="1">
      <c r="A560" s="38" t="n"/>
      <c r="B560" s="39" t="n"/>
      <c r="C560" s="40" t="n"/>
      <c r="D560" s="41" t="n"/>
      <c r="E560" s="41" t="n"/>
      <c r="F560" s="41" t="n"/>
      <c r="G560" s="41" t="n"/>
      <c r="H560" s="42" t="n"/>
      <c r="I560" s="42" t="n"/>
      <c r="J560" s="42" t="n"/>
      <c r="K560" s="42" t="n"/>
      <c r="L560" s="41" t="n"/>
      <c r="M560" s="41" t="n"/>
      <c r="N560" s="41" t="n"/>
      <c r="O560" s="43" t="n"/>
      <c r="P560" s="43" t="n"/>
      <c r="Q560" s="44" t="str">
        <f>IF($AM560=0,"",IF(ISNUMBER($AK560),$AK560-N($AL560),""))</f>
        <v/>
      </c>
      <c r="R560" s="45" t="str">
        <f>IF(OR($Q560="",NOT(ISNUMBER($V560))),"",$AK560/$V560)</f>
        <v/>
      </c>
      <c r="S560" s="46" t="str">
        <f>IF($Q560="","",IF(AND(ISNUMBER($R560),ABS(N($R560))&lt;N(Settings!$C$8)),"Scratch",IF($Q560&gt;0,"Win",IF($Q560&lt;0,"Loss","Scratch"))))</f>
        <v/>
      </c>
      <c r="T560" s="47" t="str">
        <f>IF(OR($AM560=0,NOT(ISNUMBER($H560)),NOT(ISNUMBER($I560)),NOT(ISNUMBER($J560))),"",IF($H560=$I560,"",ROUND(ABS($J560-$H560)/ABS($H560-$I560),6)))</f>
        <v/>
      </c>
      <c r="U560" s="48" t="str">
        <f>IF(OR($S560&lt;&gt;"Win",NOT(ISNUMBER($T560)),NOT(ISNUMBER($R560))),"",MAX(0,$T560-$R560))</f>
        <v/>
      </c>
      <c r="V560" s="49" t="str">
        <f>IF(OR($AM560=0,NOT(ISNUMBER($H560)),NOT(ISNUMBER($I560)),NOT(ISNUMBER($G560))),"",IF(OR($AG560="",$AH560=""),"",IF(ROUND(ABS($H560-$I560)*ABS($G560)*$AG560*$AH560,6)=0,"",ROUND(ABS($H560-$I560)*ABS($G560)*$AG560*$AH560,6))))</f>
        <v/>
      </c>
      <c r="W560" s="50" t="str">
        <f>IF($AM560=0,"",IF($BG560="","OK",LEFT($BG560,LEN($BG560)-2)))</f>
        <v/>
      </c>
      <c r="X560" s="41" t="n"/>
      <c r="Y560" s="40" t="n"/>
      <c r="Z560" s="41" t="n"/>
      <c r="AA560" s="41" t="n"/>
      <c r="AB560" s="40" t="n"/>
      <c r="AC560" s="51" t="n"/>
      <c r="AD560" s="51" t="n"/>
      <c r="AE560" s="40" t="n"/>
      <c r="AF560" s="52" t="str">
        <f>IF($AM560=0,"",IF($D560&lt;&gt;"",$D560,IF(IFERROR(INDEX(Accounts!$C$7:$C$16,MATCH($C560,Accounts!$B$7:$B$16,0))&amp;"","")&lt;&gt;"",INDEX(Accounts!$C$7:$C$16,MATCH($C560,Accounts!$B$7:$B$16,0)),Settings!$C$6)))</f>
        <v/>
      </c>
      <c r="AG560" s="53" t="str">
        <f>IF($AM560=0,"",IF(AND($BE560&gt;0,N(INDEX(Instruments!$D$6:$D$205,MAX(1,$BE560)))&gt;0),INDEX(Instruments!$D$6:$D$205,MAX(1,$BE560)),IF(N(INDEX(Settings!$D$14:$D$18,$BF560))&gt;0,INDEX(Settings!$D$14:$D$18,$BF560),"")))</f>
        <v/>
      </c>
      <c r="AH560" s="54" t="str">
        <f>IF($AM560=0,"",IF($AF560&lt;&gt;"Forex",1,IF(MID(UPPER(SUBSTITUTE(TRIM($E560),"/","")),4,3)=UPPER(TRIM(Settings!$C$7)),1,IF(LEFT(UPPER(SUBSTITUTE(TRIM($E560),"/","")),3)=UPPER(TRIM(Settings!$C$7)),IF(AND(ISNUMBER($K560),N($K560)&lt;&gt;0),1/$K560,""),""))))</f>
        <v/>
      </c>
      <c r="AI560" s="55" t="str">
        <f>IF($AM560=0,"",IF(OR(NOT(ISNUMBER($H560)),NOT(ISNUMBER($K560)),NOT(ISNUMBER($G560)),$AG560="",$AH560=""),"",ROUND(($K560-$H560)*IF($F560="Short",-1,1)*$G560*$AG560*$AH560,6)))</f>
        <v/>
      </c>
      <c r="AJ560" s="55" t="str">
        <f>IF($AM560=0,"",IF(INDEX(Settings!$E$14:$E$18,$BF560)="% of notional",IF(OR($AG560="",NOT(ISNUMBER($H560)),NOT(ISNUMBER($G560))),"",ROUND(ABS($H560*$G560*$AG560*N($AH560))*IF($L560="Limit",N(INDEX(Settings!$G$14:$G$18,$BF560)),N(INDEX(Settings!$H$14:$H$18,$BF560)))+IF(ISNUMBER($K560),ABS($K560*$G560*$AG560*N($AH560))*IF($M560="Target",N(INDEX(Settings!$G$14:$G$18,$BF560)),N(INDEX(Settings!$H$14:$H$18,$BF560))),0),6)),IF(NOT(ISNUMBER($G560)),"",ROUND(ABS($G560)*2*IF(AND($BE560&gt;0,ISNUMBER(INDEX(Instruments!$G$6:$G$205,MAX(1,$BE560)))),INDEX(Instruments!$G$6:$G$205,MAX(1,$BE560)),N(INDEX(Settings!$F$14:$F$18,$BF560))),6))))</f>
        <v/>
      </c>
      <c r="AK560" s="55" t="str">
        <f>IF($AM560=0,"",IF(ISNUMBER($O560),$O560,$AI560))</f>
        <v/>
      </c>
      <c r="AL560" s="55" t="str">
        <f>IF($AM560=0,"",IF(ISNUMBER($P560),$P560,N($AJ560)))</f>
        <v/>
      </c>
      <c r="AM560" s="56">
        <f>IF(AND($A560&lt;&gt;"",$E560&lt;&gt;"",OR(AND(ISNUMBER($G560),ISNUMBER($H560),ISNUMBER($K560)),ISNUMBER($O560))),1,0)</f>
        <v>0</v>
      </c>
      <c r="AN560" s="57" t="str">
        <f>IF($A560="","",$A560-WEEKDAY($A560,3))</f>
        <v/>
      </c>
      <c r="AO560" s="56" t="str">
        <f>IF($A560="","",WEEKDAY($A560,2))</f>
        <v/>
      </c>
      <c r="AP560" s="55" t="str">
        <f>IF(OR($AM560=0,$C560=""),"",IFERROR(N(INDEX(Accounts!$E$7:$E$16,MATCH($C560,Accounts!$B$7:$B$16,0))),0)+SUMIFS($Q$6:$Q560,$C$6:$C560,$C560))</f>
        <v/>
      </c>
      <c r="AQ560" s="55" t="str">
        <f>IF(OR($AM560=0,$C560=""),"",SUMIFS($Q$6:$Q$1005,$C$6:$C$1005,$C560,$A$6:$A$1005,$A560))</f>
        <v/>
      </c>
      <c r="AR560" s="55" t="str">
        <f>IF(OR($AM560=0,$C560=""),"",IFERROR(N(INDEX(Accounts!$E$7:$E$16,MATCH($C560,Accounts!$B$7:$B$16,0))),0)+SUMIFS($Q$6:$Q$1005,$C$6:$C$1005,$C560,$A$6:$A$1005,"&lt;="&amp;$A560))</f>
        <v/>
      </c>
      <c r="AS560" s="56">
        <f>IF(OR($AM560=0,$Q560=""),0,IF(AND($A560&gt;=Lists!$W$6,$A560&lt;=Lists!$W$7,OR(Dashboard!$D$6="All accounts",$C560=Dashboard!$D$6),OR(Dashboard!$D$7="All markets",$AF560=Dashboard!$D$7)),1,0))</f>
        <v>0</v>
      </c>
      <c r="AT560" s="55">
        <f>IF($AS560=1,N(AT559)+$Q560,N(AT559))</f>
        <v>1187.10688</v>
      </c>
      <c r="AU560" s="55">
        <f>MAX(N(AU559),$AT560)</f>
        <v>1187.10688</v>
      </c>
      <c r="AV560" s="55">
        <f>$AT560-$AU560</f>
        <v>0</v>
      </c>
      <c r="AW560" s="56">
        <f>IF($AS560=1,IF($S560="Win",N(AW559)+1,IF($S560="Loss",0,N(AW559))),N(AW559))</f>
        <v>5</v>
      </c>
      <c r="AX560" s="56">
        <f>IF($AS560=1,IF($S560="Loss",N(AX559)+1,IF($S560="Win",0,N(AX559))),N(AX559))</f>
        <v>0</v>
      </c>
      <c r="AY560" s="56" t="str">
        <f>IF($AS560=1,COUNTIF($AS$6:$AS560,1),"")</f>
        <v/>
      </c>
      <c r="AZ560" s="56">
        <f>MIN(554,N(Lists!$W$8))</f>
        <v>28</v>
      </c>
      <c r="BA560" s="56">
        <f>IF($AS560=1,IF(COUNTIFS($A$6:$A560,$A560,$AS$6:$AS560,1)=1,1,0),0)</f>
        <v>0</v>
      </c>
      <c r="BB560" s="55" t="str">
        <f>IF($BA560=1,SUMIFS($Q$6:$Q$1005,$A$6:$A$1005,$A560,$AS$6:$AS$1005,1),"")</f>
        <v/>
      </c>
      <c r="BC560" s="56">
        <f>IF(ISNUMBER($R560),1,0)</f>
        <v>0</v>
      </c>
      <c r="BD560" s="55" t="str">
        <f>IF(ISNUMBER($U560),$U560*$V560,"")</f>
        <v/>
      </c>
      <c r="BE560" s="56" t="str">
        <f>IF($AM560=0,"",IFERROR(MATCH($AF560&amp;"|"&amp;UPPER(TRIM($E560)),Lists!$A$6:$A$205,0),0))</f>
        <v/>
      </c>
      <c r="BF560" s="56" t="str">
        <f>IF($AM560=0,"",IFERROR(MATCH($AF560,Settings!$B$14:$B$18,0),IFERROR(MATCH(Settings!$C$6,Settings!$B$14:$B$18,0),1)))</f>
        <v/>
      </c>
      <c r="BG560" s="58" t="str">
        <f>IF($AM560=0,"",IF(NOT(ISNUMBER($I560)),"No stop; ","")&amp;IF(AND(ISNUMBER($H560),ISNUMBER($I560)),IF(OR(AND($F560&lt;&gt;"Short",$I560&gt;=$H560),AND($F560="Short",$I560&lt;=$H560)),"Stop on wrong side; ",""),"")&amp;IF($F560="","No direction; ","")&amp;IF(AND(ISNUMBER(Settings!$C$22),ISNUMBER($V560)),IF($V560&gt;Settings!$C$22,"Risk over max $; ",""),"")&amp;IF(AND(ISNUMBER(Settings!$C$23),ISNUMBER($V560),ISNUMBER($AP560),IFERROR(N(INDEX(Accounts!$E$7:$E$16,MATCH($C560,Accounts!$B$7:$B$16,0))),0)&gt;0),IF($V560&gt;Settings!$C$23*($AP560-N($Q560)),"Risk over max %; ",""),"")&amp;IF(AND(ISNUMBER(Settings!$C$24),ISNUMBER($N560)),IF($N560&gt;Settings!$C$24,"Leverage over max; ",""),"")&amp;IF(AND(ISNUMBER(Settings!$C$27),ISNUMBER($T560)),IF($T560&lt;Settings!$C$27,"R:R below min; ",""),"")&amp;IF(ISNUMBER(Settings!$C$25),IF(COUNTIFS($A$6:$A560,$A560,$AM$6:$AM560,1)&gt;Settings!$C$25,"Over max trades/day; ",""),"")&amp;IF(ISNUMBER(Settings!$C$26),IF(SUMIFS($Q$5:$Q559,$A$5:$A559,$A560)&lt;=-Settings!$C$26,"Traded after daily max loss; ",""),"")&amp;IF(AND($AG560="",NOT(ISNUMBER($O560))),"Symbol not in Instruments; ","")&amp;IF(AND($AH560="",NOT(ISNUMBER($O560))),"Forex cross: type Gross P&amp;L; ",""))</f>
        <v/>
      </c>
      <c r="BH560" s="56">
        <f>IF(ISNUMBER($Q560),1,0)</f>
        <v>0</v>
      </c>
      <c r="BI560" s="56">
        <f>IF($Y560="",0,1)</f>
        <v>0</v>
      </c>
      <c r="BJ560" s="56">
        <f>IF($AB560="",0,1)</f>
        <v>0</v>
      </c>
      <c r="BK560" s="56">
        <f>IF(AND($BH560=1,$W560&lt;&gt;"OK"),1,0)</f>
        <v>0</v>
      </c>
      <c r="BL560" s="55">
        <f>IF(N($AZ560)=0,0,IFERROR(INDEX($AT$6:$AT$1005,MATCH($AZ560,$AY$6:$AY$1005,0)),0))</f>
        <v>1187.10688</v>
      </c>
      <c r="BM560" s="56">
        <f>IF(ISNUMBER(SEARCH("daily max loss",$BG560)),1,0)</f>
        <v>0</v>
      </c>
    </row>
    <row r="561" ht="18" customHeight="1">
      <c r="A561" s="38" t="n"/>
      <c r="B561" s="39" t="n"/>
      <c r="C561" s="40" t="n"/>
      <c r="D561" s="41" t="n"/>
      <c r="E561" s="41" t="n"/>
      <c r="F561" s="41" t="n"/>
      <c r="G561" s="41" t="n"/>
      <c r="H561" s="42" t="n"/>
      <c r="I561" s="42" t="n"/>
      <c r="J561" s="42" t="n"/>
      <c r="K561" s="42" t="n"/>
      <c r="L561" s="41" t="n"/>
      <c r="M561" s="41" t="n"/>
      <c r="N561" s="41" t="n"/>
      <c r="O561" s="43" t="n"/>
      <c r="P561" s="43" t="n"/>
      <c r="Q561" s="44" t="str">
        <f>IF($AM561=0,"",IF(ISNUMBER($AK561),$AK561-N($AL561),""))</f>
        <v/>
      </c>
      <c r="R561" s="45" t="str">
        <f>IF(OR($Q561="",NOT(ISNUMBER($V561))),"",$AK561/$V561)</f>
        <v/>
      </c>
      <c r="S561" s="46" t="str">
        <f>IF($Q561="","",IF(AND(ISNUMBER($R561),ABS(N($R561))&lt;N(Settings!$C$8)),"Scratch",IF($Q561&gt;0,"Win",IF($Q561&lt;0,"Loss","Scratch"))))</f>
        <v/>
      </c>
      <c r="T561" s="47" t="str">
        <f>IF(OR($AM561=0,NOT(ISNUMBER($H561)),NOT(ISNUMBER($I561)),NOT(ISNUMBER($J561))),"",IF($H561=$I561,"",ROUND(ABS($J561-$H561)/ABS($H561-$I561),6)))</f>
        <v/>
      </c>
      <c r="U561" s="48" t="str">
        <f>IF(OR($S561&lt;&gt;"Win",NOT(ISNUMBER($T561)),NOT(ISNUMBER($R561))),"",MAX(0,$T561-$R561))</f>
        <v/>
      </c>
      <c r="V561" s="49" t="str">
        <f>IF(OR($AM561=0,NOT(ISNUMBER($H561)),NOT(ISNUMBER($I561)),NOT(ISNUMBER($G561))),"",IF(OR($AG561="",$AH561=""),"",IF(ROUND(ABS($H561-$I561)*ABS($G561)*$AG561*$AH561,6)=0,"",ROUND(ABS($H561-$I561)*ABS($G561)*$AG561*$AH561,6))))</f>
        <v/>
      </c>
      <c r="W561" s="50" t="str">
        <f>IF($AM561=0,"",IF($BG561="","OK",LEFT($BG561,LEN($BG561)-2)))</f>
        <v/>
      </c>
      <c r="X561" s="41" t="n"/>
      <c r="Y561" s="40" t="n"/>
      <c r="Z561" s="41" t="n"/>
      <c r="AA561" s="41" t="n"/>
      <c r="AB561" s="40" t="n"/>
      <c r="AC561" s="51" t="n"/>
      <c r="AD561" s="51" t="n"/>
      <c r="AE561" s="40" t="n"/>
      <c r="AF561" s="52" t="str">
        <f>IF($AM561=0,"",IF($D561&lt;&gt;"",$D561,IF(IFERROR(INDEX(Accounts!$C$7:$C$16,MATCH($C561,Accounts!$B$7:$B$16,0))&amp;"","")&lt;&gt;"",INDEX(Accounts!$C$7:$C$16,MATCH($C561,Accounts!$B$7:$B$16,0)),Settings!$C$6)))</f>
        <v/>
      </c>
      <c r="AG561" s="53" t="str">
        <f>IF($AM561=0,"",IF(AND($BE561&gt;0,N(INDEX(Instruments!$D$6:$D$205,MAX(1,$BE561)))&gt;0),INDEX(Instruments!$D$6:$D$205,MAX(1,$BE561)),IF(N(INDEX(Settings!$D$14:$D$18,$BF561))&gt;0,INDEX(Settings!$D$14:$D$18,$BF561),"")))</f>
        <v/>
      </c>
      <c r="AH561" s="54" t="str">
        <f>IF($AM561=0,"",IF($AF561&lt;&gt;"Forex",1,IF(MID(UPPER(SUBSTITUTE(TRIM($E561),"/","")),4,3)=UPPER(TRIM(Settings!$C$7)),1,IF(LEFT(UPPER(SUBSTITUTE(TRIM($E561),"/","")),3)=UPPER(TRIM(Settings!$C$7)),IF(AND(ISNUMBER($K561),N($K561)&lt;&gt;0),1/$K561,""),""))))</f>
        <v/>
      </c>
      <c r="AI561" s="55" t="str">
        <f>IF($AM561=0,"",IF(OR(NOT(ISNUMBER($H561)),NOT(ISNUMBER($K561)),NOT(ISNUMBER($G561)),$AG561="",$AH561=""),"",ROUND(($K561-$H561)*IF($F561="Short",-1,1)*$G561*$AG561*$AH561,6)))</f>
        <v/>
      </c>
      <c r="AJ561" s="55" t="str">
        <f>IF($AM561=0,"",IF(INDEX(Settings!$E$14:$E$18,$BF561)="% of notional",IF(OR($AG561="",NOT(ISNUMBER($H561)),NOT(ISNUMBER($G561))),"",ROUND(ABS($H561*$G561*$AG561*N($AH561))*IF($L561="Limit",N(INDEX(Settings!$G$14:$G$18,$BF561)),N(INDEX(Settings!$H$14:$H$18,$BF561)))+IF(ISNUMBER($K561),ABS($K561*$G561*$AG561*N($AH561))*IF($M561="Target",N(INDEX(Settings!$G$14:$G$18,$BF561)),N(INDEX(Settings!$H$14:$H$18,$BF561))),0),6)),IF(NOT(ISNUMBER($G561)),"",ROUND(ABS($G561)*2*IF(AND($BE561&gt;0,ISNUMBER(INDEX(Instruments!$G$6:$G$205,MAX(1,$BE561)))),INDEX(Instruments!$G$6:$G$205,MAX(1,$BE561)),N(INDEX(Settings!$F$14:$F$18,$BF561))),6))))</f>
        <v/>
      </c>
      <c r="AK561" s="55" t="str">
        <f>IF($AM561=0,"",IF(ISNUMBER($O561),$O561,$AI561))</f>
        <v/>
      </c>
      <c r="AL561" s="55" t="str">
        <f>IF($AM561=0,"",IF(ISNUMBER($P561),$P561,N($AJ561)))</f>
        <v/>
      </c>
      <c r="AM561" s="56">
        <f>IF(AND($A561&lt;&gt;"",$E561&lt;&gt;"",OR(AND(ISNUMBER($G561),ISNUMBER($H561),ISNUMBER($K561)),ISNUMBER($O561))),1,0)</f>
        <v>0</v>
      </c>
      <c r="AN561" s="57" t="str">
        <f>IF($A561="","",$A561-WEEKDAY($A561,3))</f>
        <v/>
      </c>
      <c r="AO561" s="56" t="str">
        <f>IF($A561="","",WEEKDAY($A561,2))</f>
        <v/>
      </c>
      <c r="AP561" s="55" t="str">
        <f>IF(OR($AM561=0,$C561=""),"",IFERROR(N(INDEX(Accounts!$E$7:$E$16,MATCH($C561,Accounts!$B$7:$B$16,0))),0)+SUMIFS($Q$6:$Q561,$C$6:$C561,$C561))</f>
        <v/>
      </c>
      <c r="AQ561" s="55" t="str">
        <f>IF(OR($AM561=0,$C561=""),"",SUMIFS($Q$6:$Q$1005,$C$6:$C$1005,$C561,$A$6:$A$1005,$A561))</f>
        <v/>
      </c>
      <c r="AR561" s="55" t="str">
        <f>IF(OR($AM561=0,$C561=""),"",IFERROR(N(INDEX(Accounts!$E$7:$E$16,MATCH($C561,Accounts!$B$7:$B$16,0))),0)+SUMIFS($Q$6:$Q$1005,$C$6:$C$1005,$C561,$A$6:$A$1005,"&lt;="&amp;$A561))</f>
        <v/>
      </c>
      <c r="AS561" s="56">
        <f>IF(OR($AM561=0,$Q561=""),0,IF(AND($A561&gt;=Lists!$W$6,$A561&lt;=Lists!$W$7,OR(Dashboard!$D$6="All accounts",$C561=Dashboard!$D$6),OR(Dashboard!$D$7="All markets",$AF561=Dashboard!$D$7)),1,0))</f>
        <v>0</v>
      </c>
      <c r="AT561" s="55">
        <f>IF($AS561=1,N(AT560)+$Q561,N(AT560))</f>
        <v>1187.10688</v>
      </c>
      <c r="AU561" s="55">
        <f>MAX(N(AU560),$AT561)</f>
        <v>1187.10688</v>
      </c>
      <c r="AV561" s="55">
        <f>$AT561-$AU561</f>
        <v>0</v>
      </c>
      <c r="AW561" s="56">
        <f>IF($AS561=1,IF($S561="Win",N(AW560)+1,IF($S561="Loss",0,N(AW560))),N(AW560))</f>
        <v>5</v>
      </c>
      <c r="AX561" s="56">
        <f>IF($AS561=1,IF($S561="Loss",N(AX560)+1,IF($S561="Win",0,N(AX560))),N(AX560))</f>
        <v>0</v>
      </c>
      <c r="AY561" s="56" t="str">
        <f>IF($AS561=1,COUNTIF($AS$6:$AS561,1),"")</f>
        <v/>
      </c>
      <c r="AZ561" s="56">
        <f>MIN(555,N(Lists!$W$8))</f>
        <v>28</v>
      </c>
      <c r="BA561" s="56">
        <f>IF($AS561=1,IF(COUNTIFS($A$6:$A561,$A561,$AS$6:$AS561,1)=1,1,0),0)</f>
        <v>0</v>
      </c>
      <c r="BB561" s="55" t="str">
        <f>IF($BA561=1,SUMIFS($Q$6:$Q$1005,$A$6:$A$1005,$A561,$AS$6:$AS$1005,1),"")</f>
        <v/>
      </c>
      <c r="BC561" s="56">
        <f>IF(ISNUMBER($R561),1,0)</f>
        <v>0</v>
      </c>
      <c r="BD561" s="55" t="str">
        <f>IF(ISNUMBER($U561),$U561*$V561,"")</f>
        <v/>
      </c>
      <c r="BE561" s="56" t="str">
        <f>IF($AM561=0,"",IFERROR(MATCH($AF561&amp;"|"&amp;UPPER(TRIM($E561)),Lists!$A$6:$A$205,0),0))</f>
        <v/>
      </c>
      <c r="BF561" s="56" t="str">
        <f>IF($AM561=0,"",IFERROR(MATCH($AF561,Settings!$B$14:$B$18,0),IFERROR(MATCH(Settings!$C$6,Settings!$B$14:$B$18,0),1)))</f>
        <v/>
      </c>
      <c r="BG561" s="58" t="str">
        <f>IF($AM561=0,"",IF(NOT(ISNUMBER($I561)),"No stop; ","")&amp;IF(AND(ISNUMBER($H561),ISNUMBER($I561)),IF(OR(AND($F561&lt;&gt;"Short",$I561&gt;=$H561),AND($F561="Short",$I561&lt;=$H561)),"Stop on wrong side; ",""),"")&amp;IF($F561="","No direction; ","")&amp;IF(AND(ISNUMBER(Settings!$C$22),ISNUMBER($V561)),IF($V561&gt;Settings!$C$22,"Risk over max $; ",""),"")&amp;IF(AND(ISNUMBER(Settings!$C$23),ISNUMBER($V561),ISNUMBER($AP561),IFERROR(N(INDEX(Accounts!$E$7:$E$16,MATCH($C561,Accounts!$B$7:$B$16,0))),0)&gt;0),IF($V561&gt;Settings!$C$23*($AP561-N($Q561)),"Risk over max %; ",""),"")&amp;IF(AND(ISNUMBER(Settings!$C$24),ISNUMBER($N561)),IF($N561&gt;Settings!$C$24,"Leverage over max; ",""),"")&amp;IF(AND(ISNUMBER(Settings!$C$27),ISNUMBER($T561)),IF($T561&lt;Settings!$C$27,"R:R below min; ",""),"")&amp;IF(ISNUMBER(Settings!$C$25),IF(COUNTIFS($A$6:$A561,$A561,$AM$6:$AM561,1)&gt;Settings!$C$25,"Over max trades/day; ",""),"")&amp;IF(ISNUMBER(Settings!$C$26),IF(SUMIFS($Q$5:$Q560,$A$5:$A560,$A561)&lt;=-Settings!$C$26,"Traded after daily max loss; ",""),"")&amp;IF(AND($AG561="",NOT(ISNUMBER($O561))),"Symbol not in Instruments; ","")&amp;IF(AND($AH561="",NOT(ISNUMBER($O561))),"Forex cross: type Gross P&amp;L; ",""))</f>
        <v/>
      </c>
      <c r="BH561" s="56">
        <f>IF(ISNUMBER($Q561),1,0)</f>
        <v>0</v>
      </c>
      <c r="BI561" s="56">
        <f>IF($Y561="",0,1)</f>
        <v>0</v>
      </c>
      <c r="BJ561" s="56">
        <f>IF($AB561="",0,1)</f>
        <v>0</v>
      </c>
      <c r="BK561" s="56">
        <f>IF(AND($BH561=1,$W561&lt;&gt;"OK"),1,0)</f>
        <v>0</v>
      </c>
      <c r="BL561" s="55">
        <f>IF(N($AZ561)=0,0,IFERROR(INDEX($AT$6:$AT$1005,MATCH($AZ561,$AY$6:$AY$1005,0)),0))</f>
        <v>1187.10688</v>
      </c>
      <c r="BM561" s="56">
        <f>IF(ISNUMBER(SEARCH("daily max loss",$BG561)),1,0)</f>
        <v>0</v>
      </c>
    </row>
    <row r="562" ht="18" customHeight="1">
      <c r="A562" s="38" t="n"/>
      <c r="B562" s="39" t="n"/>
      <c r="C562" s="40" t="n"/>
      <c r="D562" s="41" t="n"/>
      <c r="E562" s="41" t="n"/>
      <c r="F562" s="41" t="n"/>
      <c r="G562" s="41" t="n"/>
      <c r="H562" s="42" t="n"/>
      <c r="I562" s="42" t="n"/>
      <c r="J562" s="42" t="n"/>
      <c r="K562" s="42" t="n"/>
      <c r="L562" s="41" t="n"/>
      <c r="M562" s="41" t="n"/>
      <c r="N562" s="41" t="n"/>
      <c r="O562" s="43" t="n"/>
      <c r="P562" s="43" t="n"/>
      <c r="Q562" s="44" t="str">
        <f>IF($AM562=0,"",IF(ISNUMBER($AK562),$AK562-N($AL562),""))</f>
        <v/>
      </c>
      <c r="R562" s="45" t="str">
        <f>IF(OR($Q562="",NOT(ISNUMBER($V562))),"",$AK562/$V562)</f>
        <v/>
      </c>
      <c r="S562" s="46" t="str">
        <f>IF($Q562="","",IF(AND(ISNUMBER($R562),ABS(N($R562))&lt;N(Settings!$C$8)),"Scratch",IF($Q562&gt;0,"Win",IF($Q562&lt;0,"Loss","Scratch"))))</f>
        <v/>
      </c>
      <c r="T562" s="47" t="str">
        <f>IF(OR($AM562=0,NOT(ISNUMBER($H562)),NOT(ISNUMBER($I562)),NOT(ISNUMBER($J562))),"",IF($H562=$I562,"",ROUND(ABS($J562-$H562)/ABS($H562-$I562),6)))</f>
        <v/>
      </c>
      <c r="U562" s="48" t="str">
        <f>IF(OR($S562&lt;&gt;"Win",NOT(ISNUMBER($T562)),NOT(ISNUMBER($R562))),"",MAX(0,$T562-$R562))</f>
        <v/>
      </c>
      <c r="V562" s="49" t="str">
        <f>IF(OR($AM562=0,NOT(ISNUMBER($H562)),NOT(ISNUMBER($I562)),NOT(ISNUMBER($G562))),"",IF(OR($AG562="",$AH562=""),"",IF(ROUND(ABS($H562-$I562)*ABS($G562)*$AG562*$AH562,6)=0,"",ROUND(ABS($H562-$I562)*ABS($G562)*$AG562*$AH562,6))))</f>
        <v/>
      </c>
      <c r="W562" s="50" t="str">
        <f>IF($AM562=0,"",IF($BG562="","OK",LEFT($BG562,LEN($BG562)-2)))</f>
        <v/>
      </c>
      <c r="X562" s="41" t="n"/>
      <c r="Y562" s="40" t="n"/>
      <c r="Z562" s="41" t="n"/>
      <c r="AA562" s="41" t="n"/>
      <c r="AB562" s="40" t="n"/>
      <c r="AC562" s="51" t="n"/>
      <c r="AD562" s="51" t="n"/>
      <c r="AE562" s="40" t="n"/>
      <c r="AF562" s="52" t="str">
        <f>IF($AM562=0,"",IF($D562&lt;&gt;"",$D562,IF(IFERROR(INDEX(Accounts!$C$7:$C$16,MATCH($C562,Accounts!$B$7:$B$16,0))&amp;"","")&lt;&gt;"",INDEX(Accounts!$C$7:$C$16,MATCH($C562,Accounts!$B$7:$B$16,0)),Settings!$C$6)))</f>
        <v/>
      </c>
      <c r="AG562" s="53" t="str">
        <f>IF($AM562=0,"",IF(AND($BE562&gt;0,N(INDEX(Instruments!$D$6:$D$205,MAX(1,$BE562)))&gt;0),INDEX(Instruments!$D$6:$D$205,MAX(1,$BE562)),IF(N(INDEX(Settings!$D$14:$D$18,$BF562))&gt;0,INDEX(Settings!$D$14:$D$18,$BF562),"")))</f>
        <v/>
      </c>
      <c r="AH562" s="54" t="str">
        <f>IF($AM562=0,"",IF($AF562&lt;&gt;"Forex",1,IF(MID(UPPER(SUBSTITUTE(TRIM($E562),"/","")),4,3)=UPPER(TRIM(Settings!$C$7)),1,IF(LEFT(UPPER(SUBSTITUTE(TRIM($E562),"/","")),3)=UPPER(TRIM(Settings!$C$7)),IF(AND(ISNUMBER($K562),N($K562)&lt;&gt;0),1/$K562,""),""))))</f>
        <v/>
      </c>
      <c r="AI562" s="55" t="str">
        <f>IF($AM562=0,"",IF(OR(NOT(ISNUMBER($H562)),NOT(ISNUMBER($K562)),NOT(ISNUMBER($G562)),$AG562="",$AH562=""),"",ROUND(($K562-$H562)*IF($F562="Short",-1,1)*$G562*$AG562*$AH562,6)))</f>
        <v/>
      </c>
      <c r="AJ562" s="55" t="str">
        <f>IF($AM562=0,"",IF(INDEX(Settings!$E$14:$E$18,$BF562)="% of notional",IF(OR($AG562="",NOT(ISNUMBER($H562)),NOT(ISNUMBER($G562))),"",ROUND(ABS($H562*$G562*$AG562*N($AH562))*IF($L562="Limit",N(INDEX(Settings!$G$14:$G$18,$BF562)),N(INDEX(Settings!$H$14:$H$18,$BF562)))+IF(ISNUMBER($K562),ABS($K562*$G562*$AG562*N($AH562))*IF($M562="Target",N(INDEX(Settings!$G$14:$G$18,$BF562)),N(INDEX(Settings!$H$14:$H$18,$BF562))),0),6)),IF(NOT(ISNUMBER($G562)),"",ROUND(ABS($G562)*2*IF(AND($BE562&gt;0,ISNUMBER(INDEX(Instruments!$G$6:$G$205,MAX(1,$BE562)))),INDEX(Instruments!$G$6:$G$205,MAX(1,$BE562)),N(INDEX(Settings!$F$14:$F$18,$BF562))),6))))</f>
        <v/>
      </c>
      <c r="AK562" s="55" t="str">
        <f>IF($AM562=0,"",IF(ISNUMBER($O562),$O562,$AI562))</f>
        <v/>
      </c>
      <c r="AL562" s="55" t="str">
        <f>IF($AM562=0,"",IF(ISNUMBER($P562),$P562,N($AJ562)))</f>
        <v/>
      </c>
      <c r="AM562" s="56">
        <f>IF(AND($A562&lt;&gt;"",$E562&lt;&gt;"",OR(AND(ISNUMBER($G562),ISNUMBER($H562),ISNUMBER($K562)),ISNUMBER($O562))),1,0)</f>
        <v>0</v>
      </c>
      <c r="AN562" s="57" t="str">
        <f>IF($A562="","",$A562-WEEKDAY($A562,3))</f>
        <v/>
      </c>
      <c r="AO562" s="56" t="str">
        <f>IF($A562="","",WEEKDAY($A562,2))</f>
        <v/>
      </c>
      <c r="AP562" s="55" t="str">
        <f>IF(OR($AM562=0,$C562=""),"",IFERROR(N(INDEX(Accounts!$E$7:$E$16,MATCH($C562,Accounts!$B$7:$B$16,0))),0)+SUMIFS($Q$6:$Q562,$C$6:$C562,$C562))</f>
        <v/>
      </c>
      <c r="AQ562" s="55" t="str">
        <f>IF(OR($AM562=0,$C562=""),"",SUMIFS($Q$6:$Q$1005,$C$6:$C$1005,$C562,$A$6:$A$1005,$A562))</f>
        <v/>
      </c>
      <c r="AR562" s="55" t="str">
        <f>IF(OR($AM562=0,$C562=""),"",IFERROR(N(INDEX(Accounts!$E$7:$E$16,MATCH($C562,Accounts!$B$7:$B$16,0))),0)+SUMIFS($Q$6:$Q$1005,$C$6:$C$1005,$C562,$A$6:$A$1005,"&lt;="&amp;$A562))</f>
        <v/>
      </c>
      <c r="AS562" s="56">
        <f>IF(OR($AM562=0,$Q562=""),0,IF(AND($A562&gt;=Lists!$W$6,$A562&lt;=Lists!$W$7,OR(Dashboard!$D$6="All accounts",$C562=Dashboard!$D$6),OR(Dashboard!$D$7="All markets",$AF562=Dashboard!$D$7)),1,0))</f>
        <v>0</v>
      </c>
      <c r="AT562" s="55">
        <f>IF($AS562=1,N(AT561)+$Q562,N(AT561))</f>
        <v>1187.10688</v>
      </c>
      <c r="AU562" s="55">
        <f>MAX(N(AU561),$AT562)</f>
        <v>1187.10688</v>
      </c>
      <c r="AV562" s="55">
        <f>$AT562-$AU562</f>
        <v>0</v>
      </c>
      <c r="AW562" s="56">
        <f>IF($AS562=1,IF($S562="Win",N(AW561)+1,IF($S562="Loss",0,N(AW561))),N(AW561))</f>
        <v>5</v>
      </c>
      <c r="AX562" s="56">
        <f>IF($AS562=1,IF($S562="Loss",N(AX561)+1,IF($S562="Win",0,N(AX561))),N(AX561))</f>
        <v>0</v>
      </c>
      <c r="AY562" s="56" t="str">
        <f>IF($AS562=1,COUNTIF($AS$6:$AS562,1),"")</f>
        <v/>
      </c>
      <c r="AZ562" s="56">
        <f>MIN(556,N(Lists!$W$8))</f>
        <v>28</v>
      </c>
      <c r="BA562" s="56">
        <f>IF($AS562=1,IF(COUNTIFS($A$6:$A562,$A562,$AS$6:$AS562,1)=1,1,0),0)</f>
        <v>0</v>
      </c>
      <c r="BB562" s="55" t="str">
        <f>IF($BA562=1,SUMIFS($Q$6:$Q$1005,$A$6:$A$1005,$A562,$AS$6:$AS$1005,1),"")</f>
        <v/>
      </c>
      <c r="BC562" s="56">
        <f>IF(ISNUMBER($R562),1,0)</f>
        <v>0</v>
      </c>
      <c r="BD562" s="55" t="str">
        <f>IF(ISNUMBER($U562),$U562*$V562,"")</f>
        <v/>
      </c>
      <c r="BE562" s="56" t="str">
        <f>IF($AM562=0,"",IFERROR(MATCH($AF562&amp;"|"&amp;UPPER(TRIM($E562)),Lists!$A$6:$A$205,0),0))</f>
        <v/>
      </c>
      <c r="BF562" s="56" t="str">
        <f>IF($AM562=0,"",IFERROR(MATCH($AF562,Settings!$B$14:$B$18,0),IFERROR(MATCH(Settings!$C$6,Settings!$B$14:$B$18,0),1)))</f>
        <v/>
      </c>
      <c r="BG562" s="58" t="str">
        <f>IF($AM562=0,"",IF(NOT(ISNUMBER($I562)),"No stop; ","")&amp;IF(AND(ISNUMBER($H562),ISNUMBER($I562)),IF(OR(AND($F562&lt;&gt;"Short",$I562&gt;=$H562),AND($F562="Short",$I562&lt;=$H562)),"Stop on wrong side; ",""),"")&amp;IF($F562="","No direction; ","")&amp;IF(AND(ISNUMBER(Settings!$C$22),ISNUMBER($V562)),IF($V562&gt;Settings!$C$22,"Risk over max $; ",""),"")&amp;IF(AND(ISNUMBER(Settings!$C$23),ISNUMBER($V562),ISNUMBER($AP562),IFERROR(N(INDEX(Accounts!$E$7:$E$16,MATCH($C562,Accounts!$B$7:$B$16,0))),0)&gt;0),IF($V562&gt;Settings!$C$23*($AP562-N($Q562)),"Risk over max %; ",""),"")&amp;IF(AND(ISNUMBER(Settings!$C$24),ISNUMBER($N562)),IF($N562&gt;Settings!$C$24,"Leverage over max; ",""),"")&amp;IF(AND(ISNUMBER(Settings!$C$27),ISNUMBER($T562)),IF($T562&lt;Settings!$C$27,"R:R below min; ",""),"")&amp;IF(ISNUMBER(Settings!$C$25),IF(COUNTIFS($A$6:$A562,$A562,$AM$6:$AM562,1)&gt;Settings!$C$25,"Over max trades/day; ",""),"")&amp;IF(ISNUMBER(Settings!$C$26),IF(SUMIFS($Q$5:$Q561,$A$5:$A561,$A562)&lt;=-Settings!$C$26,"Traded after daily max loss; ",""),"")&amp;IF(AND($AG562="",NOT(ISNUMBER($O562))),"Symbol not in Instruments; ","")&amp;IF(AND($AH562="",NOT(ISNUMBER($O562))),"Forex cross: type Gross P&amp;L; ",""))</f>
        <v/>
      </c>
      <c r="BH562" s="56">
        <f>IF(ISNUMBER($Q562),1,0)</f>
        <v>0</v>
      </c>
      <c r="BI562" s="56">
        <f>IF($Y562="",0,1)</f>
        <v>0</v>
      </c>
      <c r="BJ562" s="56">
        <f>IF($AB562="",0,1)</f>
        <v>0</v>
      </c>
      <c r="BK562" s="56">
        <f>IF(AND($BH562=1,$W562&lt;&gt;"OK"),1,0)</f>
        <v>0</v>
      </c>
      <c r="BL562" s="55">
        <f>IF(N($AZ562)=0,0,IFERROR(INDEX($AT$6:$AT$1005,MATCH($AZ562,$AY$6:$AY$1005,0)),0))</f>
        <v>1187.10688</v>
      </c>
      <c r="BM562" s="56">
        <f>IF(ISNUMBER(SEARCH("daily max loss",$BG562)),1,0)</f>
        <v>0</v>
      </c>
    </row>
    <row r="563" ht="18" customHeight="1">
      <c r="A563" s="38" t="n"/>
      <c r="B563" s="39" t="n"/>
      <c r="C563" s="40" t="n"/>
      <c r="D563" s="41" t="n"/>
      <c r="E563" s="41" t="n"/>
      <c r="F563" s="41" t="n"/>
      <c r="G563" s="41" t="n"/>
      <c r="H563" s="42" t="n"/>
      <c r="I563" s="42" t="n"/>
      <c r="J563" s="42" t="n"/>
      <c r="K563" s="42" t="n"/>
      <c r="L563" s="41" t="n"/>
      <c r="M563" s="41" t="n"/>
      <c r="N563" s="41" t="n"/>
      <c r="O563" s="43" t="n"/>
      <c r="P563" s="43" t="n"/>
      <c r="Q563" s="44" t="str">
        <f>IF($AM563=0,"",IF(ISNUMBER($AK563),$AK563-N($AL563),""))</f>
        <v/>
      </c>
      <c r="R563" s="45" t="str">
        <f>IF(OR($Q563="",NOT(ISNUMBER($V563))),"",$AK563/$V563)</f>
        <v/>
      </c>
      <c r="S563" s="46" t="str">
        <f>IF($Q563="","",IF(AND(ISNUMBER($R563),ABS(N($R563))&lt;N(Settings!$C$8)),"Scratch",IF($Q563&gt;0,"Win",IF($Q563&lt;0,"Loss","Scratch"))))</f>
        <v/>
      </c>
      <c r="T563" s="47" t="str">
        <f>IF(OR($AM563=0,NOT(ISNUMBER($H563)),NOT(ISNUMBER($I563)),NOT(ISNUMBER($J563))),"",IF($H563=$I563,"",ROUND(ABS($J563-$H563)/ABS($H563-$I563),6)))</f>
        <v/>
      </c>
      <c r="U563" s="48" t="str">
        <f>IF(OR($S563&lt;&gt;"Win",NOT(ISNUMBER($T563)),NOT(ISNUMBER($R563))),"",MAX(0,$T563-$R563))</f>
        <v/>
      </c>
      <c r="V563" s="49" t="str">
        <f>IF(OR($AM563=0,NOT(ISNUMBER($H563)),NOT(ISNUMBER($I563)),NOT(ISNUMBER($G563))),"",IF(OR($AG563="",$AH563=""),"",IF(ROUND(ABS($H563-$I563)*ABS($G563)*$AG563*$AH563,6)=0,"",ROUND(ABS($H563-$I563)*ABS($G563)*$AG563*$AH563,6))))</f>
        <v/>
      </c>
      <c r="W563" s="50" t="str">
        <f>IF($AM563=0,"",IF($BG563="","OK",LEFT($BG563,LEN($BG563)-2)))</f>
        <v/>
      </c>
      <c r="X563" s="41" t="n"/>
      <c r="Y563" s="40" t="n"/>
      <c r="Z563" s="41" t="n"/>
      <c r="AA563" s="41" t="n"/>
      <c r="AB563" s="40" t="n"/>
      <c r="AC563" s="51" t="n"/>
      <c r="AD563" s="51" t="n"/>
      <c r="AE563" s="40" t="n"/>
      <c r="AF563" s="52" t="str">
        <f>IF($AM563=0,"",IF($D563&lt;&gt;"",$D563,IF(IFERROR(INDEX(Accounts!$C$7:$C$16,MATCH($C563,Accounts!$B$7:$B$16,0))&amp;"","")&lt;&gt;"",INDEX(Accounts!$C$7:$C$16,MATCH($C563,Accounts!$B$7:$B$16,0)),Settings!$C$6)))</f>
        <v/>
      </c>
      <c r="AG563" s="53" t="str">
        <f>IF($AM563=0,"",IF(AND($BE563&gt;0,N(INDEX(Instruments!$D$6:$D$205,MAX(1,$BE563)))&gt;0),INDEX(Instruments!$D$6:$D$205,MAX(1,$BE563)),IF(N(INDEX(Settings!$D$14:$D$18,$BF563))&gt;0,INDEX(Settings!$D$14:$D$18,$BF563),"")))</f>
        <v/>
      </c>
      <c r="AH563" s="54" t="str">
        <f>IF($AM563=0,"",IF($AF563&lt;&gt;"Forex",1,IF(MID(UPPER(SUBSTITUTE(TRIM($E563),"/","")),4,3)=UPPER(TRIM(Settings!$C$7)),1,IF(LEFT(UPPER(SUBSTITUTE(TRIM($E563),"/","")),3)=UPPER(TRIM(Settings!$C$7)),IF(AND(ISNUMBER($K563),N($K563)&lt;&gt;0),1/$K563,""),""))))</f>
        <v/>
      </c>
      <c r="AI563" s="55" t="str">
        <f>IF($AM563=0,"",IF(OR(NOT(ISNUMBER($H563)),NOT(ISNUMBER($K563)),NOT(ISNUMBER($G563)),$AG563="",$AH563=""),"",ROUND(($K563-$H563)*IF($F563="Short",-1,1)*$G563*$AG563*$AH563,6)))</f>
        <v/>
      </c>
      <c r="AJ563" s="55" t="str">
        <f>IF($AM563=0,"",IF(INDEX(Settings!$E$14:$E$18,$BF563)="% of notional",IF(OR($AG563="",NOT(ISNUMBER($H563)),NOT(ISNUMBER($G563))),"",ROUND(ABS($H563*$G563*$AG563*N($AH563))*IF($L563="Limit",N(INDEX(Settings!$G$14:$G$18,$BF563)),N(INDEX(Settings!$H$14:$H$18,$BF563)))+IF(ISNUMBER($K563),ABS($K563*$G563*$AG563*N($AH563))*IF($M563="Target",N(INDEX(Settings!$G$14:$G$18,$BF563)),N(INDEX(Settings!$H$14:$H$18,$BF563))),0),6)),IF(NOT(ISNUMBER($G563)),"",ROUND(ABS($G563)*2*IF(AND($BE563&gt;0,ISNUMBER(INDEX(Instruments!$G$6:$G$205,MAX(1,$BE563)))),INDEX(Instruments!$G$6:$G$205,MAX(1,$BE563)),N(INDEX(Settings!$F$14:$F$18,$BF563))),6))))</f>
        <v/>
      </c>
      <c r="AK563" s="55" t="str">
        <f>IF($AM563=0,"",IF(ISNUMBER($O563),$O563,$AI563))</f>
        <v/>
      </c>
      <c r="AL563" s="55" t="str">
        <f>IF($AM563=0,"",IF(ISNUMBER($P563),$P563,N($AJ563)))</f>
        <v/>
      </c>
      <c r="AM563" s="56">
        <f>IF(AND($A563&lt;&gt;"",$E563&lt;&gt;"",OR(AND(ISNUMBER($G563),ISNUMBER($H563),ISNUMBER($K563)),ISNUMBER($O563))),1,0)</f>
        <v>0</v>
      </c>
      <c r="AN563" s="57" t="str">
        <f>IF($A563="","",$A563-WEEKDAY($A563,3))</f>
        <v/>
      </c>
      <c r="AO563" s="56" t="str">
        <f>IF($A563="","",WEEKDAY($A563,2))</f>
        <v/>
      </c>
      <c r="AP563" s="55" t="str">
        <f>IF(OR($AM563=0,$C563=""),"",IFERROR(N(INDEX(Accounts!$E$7:$E$16,MATCH($C563,Accounts!$B$7:$B$16,0))),0)+SUMIFS($Q$6:$Q563,$C$6:$C563,$C563))</f>
        <v/>
      </c>
      <c r="AQ563" s="55" t="str">
        <f>IF(OR($AM563=0,$C563=""),"",SUMIFS($Q$6:$Q$1005,$C$6:$C$1005,$C563,$A$6:$A$1005,$A563))</f>
        <v/>
      </c>
      <c r="AR563" s="55" t="str">
        <f>IF(OR($AM563=0,$C563=""),"",IFERROR(N(INDEX(Accounts!$E$7:$E$16,MATCH($C563,Accounts!$B$7:$B$16,0))),0)+SUMIFS($Q$6:$Q$1005,$C$6:$C$1005,$C563,$A$6:$A$1005,"&lt;="&amp;$A563))</f>
        <v/>
      </c>
      <c r="AS563" s="56">
        <f>IF(OR($AM563=0,$Q563=""),0,IF(AND($A563&gt;=Lists!$W$6,$A563&lt;=Lists!$W$7,OR(Dashboard!$D$6="All accounts",$C563=Dashboard!$D$6),OR(Dashboard!$D$7="All markets",$AF563=Dashboard!$D$7)),1,0))</f>
        <v>0</v>
      </c>
      <c r="AT563" s="55">
        <f>IF($AS563=1,N(AT562)+$Q563,N(AT562))</f>
        <v>1187.10688</v>
      </c>
      <c r="AU563" s="55">
        <f>MAX(N(AU562),$AT563)</f>
        <v>1187.10688</v>
      </c>
      <c r="AV563" s="55">
        <f>$AT563-$AU563</f>
        <v>0</v>
      </c>
      <c r="AW563" s="56">
        <f>IF($AS563=1,IF($S563="Win",N(AW562)+1,IF($S563="Loss",0,N(AW562))),N(AW562))</f>
        <v>5</v>
      </c>
      <c r="AX563" s="56">
        <f>IF($AS563=1,IF($S563="Loss",N(AX562)+1,IF($S563="Win",0,N(AX562))),N(AX562))</f>
        <v>0</v>
      </c>
      <c r="AY563" s="56" t="str">
        <f>IF($AS563=1,COUNTIF($AS$6:$AS563,1),"")</f>
        <v/>
      </c>
      <c r="AZ563" s="56">
        <f>MIN(557,N(Lists!$W$8))</f>
        <v>28</v>
      </c>
      <c r="BA563" s="56">
        <f>IF($AS563=1,IF(COUNTIFS($A$6:$A563,$A563,$AS$6:$AS563,1)=1,1,0),0)</f>
        <v>0</v>
      </c>
      <c r="BB563" s="55" t="str">
        <f>IF($BA563=1,SUMIFS($Q$6:$Q$1005,$A$6:$A$1005,$A563,$AS$6:$AS$1005,1),"")</f>
        <v/>
      </c>
      <c r="BC563" s="56">
        <f>IF(ISNUMBER($R563),1,0)</f>
        <v>0</v>
      </c>
      <c r="BD563" s="55" t="str">
        <f>IF(ISNUMBER($U563),$U563*$V563,"")</f>
        <v/>
      </c>
      <c r="BE563" s="56" t="str">
        <f>IF($AM563=0,"",IFERROR(MATCH($AF563&amp;"|"&amp;UPPER(TRIM($E563)),Lists!$A$6:$A$205,0),0))</f>
        <v/>
      </c>
      <c r="BF563" s="56" t="str">
        <f>IF($AM563=0,"",IFERROR(MATCH($AF563,Settings!$B$14:$B$18,0),IFERROR(MATCH(Settings!$C$6,Settings!$B$14:$B$18,0),1)))</f>
        <v/>
      </c>
      <c r="BG563" s="58" t="str">
        <f>IF($AM563=0,"",IF(NOT(ISNUMBER($I563)),"No stop; ","")&amp;IF(AND(ISNUMBER($H563),ISNUMBER($I563)),IF(OR(AND($F563&lt;&gt;"Short",$I563&gt;=$H563),AND($F563="Short",$I563&lt;=$H563)),"Stop on wrong side; ",""),"")&amp;IF($F563="","No direction; ","")&amp;IF(AND(ISNUMBER(Settings!$C$22),ISNUMBER($V563)),IF($V563&gt;Settings!$C$22,"Risk over max $; ",""),"")&amp;IF(AND(ISNUMBER(Settings!$C$23),ISNUMBER($V563),ISNUMBER($AP563),IFERROR(N(INDEX(Accounts!$E$7:$E$16,MATCH($C563,Accounts!$B$7:$B$16,0))),0)&gt;0),IF($V563&gt;Settings!$C$23*($AP563-N($Q563)),"Risk over max %; ",""),"")&amp;IF(AND(ISNUMBER(Settings!$C$24),ISNUMBER($N563)),IF($N563&gt;Settings!$C$24,"Leverage over max; ",""),"")&amp;IF(AND(ISNUMBER(Settings!$C$27),ISNUMBER($T563)),IF($T563&lt;Settings!$C$27,"R:R below min; ",""),"")&amp;IF(ISNUMBER(Settings!$C$25),IF(COUNTIFS($A$6:$A563,$A563,$AM$6:$AM563,1)&gt;Settings!$C$25,"Over max trades/day; ",""),"")&amp;IF(ISNUMBER(Settings!$C$26),IF(SUMIFS($Q$5:$Q562,$A$5:$A562,$A563)&lt;=-Settings!$C$26,"Traded after daily max loss; ",""),"")&amp;IF(AND($AG563="",NOT(ISNUMBER($O563))),"Symbol not in Instruments; ","")&amp;IF(AND($AH563="",NOT(ISNUMBER($O563))),"Forex cross: type Gross P&amp;L; ",""))</f>
        <v/>
      </c>
      <c r="BH563" s="56">
        <f>IF(ISNUMBER($Q563),1,0)</f>
        <v>0</v>
      </c>
      <c r="BI563" s="56">
        <f>IF($Y563="",0,1)</f>
        <v>0</v>
      </c>
      <c r="BJ563" s="56">
        <f>IF($AB563="",0,1)</f>
        <v>0</v>
      </c>
      <c r="BK563" s="56">
        <f>IF(AND($BH563=1,$W563&lt;&gt;"OK"),1,0)</f>
        <v>0</v>
      </c>
      <c r="BL563" s="55">
        <f>IF(N($AZ563)=0,0,IFERROR(INDEX($AT$6:$AT$1005,MATCH($AZ563,$AY$6:$AY$1005,0)),0))</f>
        <v>1187.10688</v>
      </c>
      <c r="BM563" s="56">
        <f>IF(ISNUMBER(SEARCH("daily max loss",$BG563)),1,0)</f>
        <v>0</v>
      </c>
    </row>
    <row r="564" ht="18" customHeight="1">
      <c r="A564" s="38" t="n"/>
      <c r="B564" s="39" t="n"/>
      <c r="C564" s="40" t="n"/>
      <c r="D564" s="41" t="n"/>
      <c r="E564" s="41" t="n"/>
      <c r="F564" s="41" t="n"/>
      <c r="G564" s="41" t="n"/>
      <c r="H564" s="42" t="n"/>
      <c r="I564" s="42" t="n"/>
      <c r="J564" s="42" t="n"/>
      <c r="K564" s="42" t="n"/>
      <c r="L564" s="41" t="n"/>
      <c r="M564" s="41" t="n"/>
      <c r="N564" s="41" t="n"/>
      <c r="O564" s="43" t="n"/>
      <c r="P564" s="43" t="n"/>
      <c r="Q564" s="44" t="str">
        <f>IF($AM564=0,"",IF(ISNUMBER($AK564),$AK564-N($AL564),""))</f>
        <v/>
      </c>
      <c r="R564" s="45" t="str">
        <f>IF(OR($Q564="",NOT(ISNUMBER($V564))),"",$AK564/$V564)</f>
        <v/>
      </c>
      <c r="S564" s="46" t="str">
        <f>IF($Q564="","",IF(AND(ISNUMBER($R564),ABS(N($R564))&lt;N(Settings!$C$8)),"Scratch",IF($Q564&gt;0,"Win",IF($Q564&lt;0,"Loss","Scratch"))))</f>
        <v/>
      </c>
      <c r="T564" s="47" t="str">
        <f>IF(OR($AM564=0,NOT(ISNUMBER($H564)),NOT(ISNUMBER($I564)),NOT(ISNUMBER($J564))),"",IF($H564=$I564,"",ROUND(ABS($J564-$H564)/ABS($H564-$I564),6)))</f>
        <v/>
      </c>
      <c r="U564" s="48" t="str">
        <f>IF(OR($S564&lt;&gt;"Win",NOT(ISNUMBER($T564)),NOT(ISNUMBER($R564))),"",MAX(0,$T564-$R564))</f>
        <v/>
      </c>
      <c r="V564" s="49" t="str">
        <f>IF(OR($AM564=0,NOT(ISNUMBER($H564)),NOT(ISNUMBER($I564)),NOT(ISNUMBER($G564))),"",IF(OR($AG564="",$AH564=""),"",IF(ROUND(ABS($H564-$I564)*ABS($G564)*$AG564*$AH564,6)=0,"",ROUND(ABS($H564-$I564)*ABS($G564)*$AG564*$AH564,6))))</f>
        <v/>
      </c>
      <c r="W564" s="50" t="str">
        <f>IF($AM564=0,"",IF($BG564="","OK",LEFT($BG564,LEN($BG564)-2)))</f>
        <v/>
      </c>
      <c r="X564" s="41" t="n"/>
      <c r="Y564" s="40" t="n"/>
      <c r="Z564" s="41" t="n"/>
      <c r="AA564" s="41" t="n"/>
      <c r="AB564" s="40" t="n"/>
      <c r="AC564" s="51" t="n"/>
      <c r="AD564" s="51" t="n"/>
      <c r="AE564" s="40" t="n"/>
      <c r="AF564" s="52" t="str">
        <f>IF($AM564=0,"",IF($D564&lt;&gt;"",$D564,IF(IFERROR(INDEX(Accounts!$C$7:$C$16,MATCH($C564,Accounts!$B$7:$B$16,0))&amp;"","")&lt;&gt;"",INDEX(Accounts!$C$7:$C$16,MATCH($C564,Accounts!$B$7:$B$16,0)),Settings!$C$6)))</f>
        <v/>
      </c>
      <c r="AG564" s="53" t="str">
        <f>IF($AM564=0,"",IF(AND($BE564&gt;0,N(INDEX(Instruments!$D$6:$D$205,MAX(1,$BE564)))&gt;0),INDEX(Instruments!$D$6:$D$205,MAX(1,$BE564)),IF(N(INDEX(Settings!$D$14:$D$18,$BF564))&gt;0,INDEX(Settings!$D$14:$D$18,$BF564),"")))</f>
        <v/>
      </c>
      <c r="AH564" s="54" t="str">
        <f>IF($AM564=0,"",IF($AF564&lt;&gt;"Forex",1,IF(MID(UPPER(SUBSTITUTE(TRIM($E564),"/","")),4,3)=UPPER(TRIM(Settings!$C$7)),1,IF(LEFT(UPPER(SUBSTITUTE(TRIM($E564),"/","")),3)=UPPER(TRIM(Settings!$C$7)),IF(AND(ISNUMBER($K564),N($K564)&lt;&gt;0),1/$K564,""),""))))</f>
        <v/>
      </c>
      <c r="AI564" s="55" t="str">
        <f>IF($AM564=0,"",IF(OR(NOT(ISNUMBER($H564)),NOT(ISNUMBER($K564)),NOT(ISNUMBER($G564)),$AG564="",$AH564=""),"",ROUND(($K564-$H564)*IF($F564="Short",-1,1)*$G564*$AG564*$AH564,6)))</f>
        <v/>
      </c>
      <c r="AJ564" s="55" t="str">
        <f>IF($AM564=0,"",IF(INDEX(Settings!$E$14:$E$18,$BF564)="% of notional",IF(OR($AG564="",NOT(ISNUMBER($H564)),NOT(ISNUMBER($G564))),"",ROUND(ABS($H564*$G564*$AG564*N($AH564))*IF($L564="Limit",N(INDEX(Settings!$G$14:$G$18,$BF564)),N(INDEX(Settings!$H$14:$H$18,$BF564)))+IF(ISNUMBER($K564),ABS($K564*$G564*$AG564*N($AH564))*IF($M564="Target",N(INDEX(Settings!$G$14:$G$18,$BF564)),N(INDEX(Settings!$H$14:$H$18,$BF564))),0),6)),IF(NOT(ISNUMBER($G564)),"",ROUND(ABS($G564)*2*IF(AND($BE564&gt;0,ISNUMBER(INDEX(Instruments!$G$6:$G$205,MAX(1,$BE564)))),INDEX(Instruments!$G$6:$G$205,MAX(1,$BE564)),N(INDEX(Settings!$F$14:$F$18,$BF564))),6))))</f>
        <v/>
      </c>
      <c r="AK564" s="55" t="str">
        <f>IF($AM564=0,"",IF(ISNUMBER($O564),$O564,$AI564))</f>
        <v/>
      </c>
      <c r="AL564" s="55" t="str">
        <f>IF($AM564=0,"",IF(ISNUMBER($P564),$P564,N($AJ564)))</f>
        <v/>
      </c>
      <c r="AM564" s="56">
        <f>IF(AND($A564&lt;&gt;"",$E564&lt;&gt;"",OR(AND(ISNUMBER($G564),ISNUMBER($H564),ISNUMBER($K564)),ISNUMBER($O564))),1,0)</f>
        <v>0</v>
      </c>
      <c r="AN564" s="57" t="str">
        <f>IF($A564="","",$A564-WEEKDAY($A564,3))</f>
        <v/>
      </c>
      <c r="AO564" s="56" t="str">
        <f>IF($A564="","",WEEKDAY($A564,2))</f>
        <v/>
      </c>
      <c r="AP564" s="55" t="str">
        <f>IF(OR($AM564=0,$C564=""),"",IFERROR(N(INDEX(Accounts!$E$7:$E$16,MATCH($C564,Accounts!$B$7:$B$16,0))),0)+SUMIFS($Q$6:$Q564,$C$6:$C564,$C564))</f>
        <v/>
      </c>
      <c r="AQ564" s="55" t="str">
        <f>IF(OR($AM564=0,$C564=""),"",SUMIFS($Q$6:$Q$1005,$C$6:$C$1005,$C564,$A$6:$A$1005,$A564))</f>
        <v/>
      </c>
      <c r="AR564" s="55" t="str">
        <f>IF(OR($AM564=0,$C564=""),"",IFERROR(N(INDEX(Accounts!$E$7:$E$16,MATCH($C564,Accounts!$B$7:$B$16,0))),0)+SUMIFS($Q$6:$Q$1005,$C$6:$C$1005,$C564,$A$6:$A$1005,"&lt;="&amp;$A564))</f>
        <v/>
      </c>
      <c r="AS564" s="56">
        <f>IF(OR($AM564=0,$Q564=""),0,IF(AND($A564&gt;=Lists!$W$6,$A564&lt;=Lists!$W$7,OR(Dashboard!$D$6="All accounts",$C564=Dashboard!$D$6),OR(Dashboard!$D$7="All markets",$AF564=Dashboard!$D$7)),1,0))</f>
        <v>0</v>
      </c>
      <c r="AT564" s="55">
        <f>IF($AS564=1,N(AT563)+$Q564,N(AT563))</f>
        <v>1187.10688</v>
      </c>
      <c r="AU564" s="55">
        <f>MAX(N(AU563),$AT564)</f>
        <v>1187.10688</v>
      </c>
      <c r="AV564" s="55">
        <f>$AT564-$AU564</f>
        <v>0</v>
      </c>
      <c r="AW564" s="56">
        <f>IF($AS564=1,IF($S564="Win",N(AW563)+1,IF($S564="Loss",0,N(AW563))),N(AW563))</f>
        <v>5</v>
      </c>
      <c r="AX564" s="56">
        <f>IF($AS564=1,IF($S564="Loss",N(AX563)+1,IF($S564="Win",0,N(AX563))),N(AX563))</f>
        <v>0</v>
      </c>
      <c r="AY564" s="56" t="str">
        <f>IF($AS564=1,COUNTIF($AS$6:$AS564,1),"")</f>
        <v/>
      </c>
      <c r="AZ564" s="56">
        <f>MIN(558,N(Lists!$W$8))</f>
        <v>28</v>
      </c>
      <c r="BA564" s="56">
        <f>IF($AS564=1,IF(COUNTIFS($A$6:$A564,$A564,$AS$6:$AS564,1)=1,1,0),0)</f>
        <v>0</v>
      </c>
      <c r="BB564" s="55" t="str">
        <f>IF($BA564=1,SUMIFS($Q$6:$Q$1005,$A$6:$A$1005,$A564,$AS$6:$AS$1005,1),"")</f>
        <v/>
      </c>
      <c r="BC564" s="56">
        <f>IF(ISNUMBER($R564),1,0)</f>
        <v>0</v>
      </c>
      <c r="BD564" s="55" t="str">
        <f>IF(ISNUMBER($U564),$U564*$V564,"")</f>
        <v/>
      </c>
      <c r="BE564" s="56" t="str">
        <f>IF($AM564=0,"",IFERROR(MATCH($AF564&amp;"|"&amp;UPPER(TRIM($E564)),Lists!$A$6:$A$205,0),0))</f>
        <v/>
      </c>
      <c r="BF564" s="56" t="str">
        <f>IF($AM564=0,"",IFERROR(MATCH($AF564,Settings!$B$14:$B$18,0),IFERROR(MATCH(Settings!$C$6,Settings!$B$14:$B$18,0),1)))</f>
        <v/>
      </c>
      <c r="BG564" s="58" t="str">
        <f>IF($AM564=0,"",IF(NOT(ISNUMBER($I564)),"No stop; ","")&amp;IF(AND(ISNUMBER($H564),ISNUMBER($I564)),IF(OR(AND($F564&lt;&gt;"Short",$I564&gt;=$H564),AND($F564="Short",$I564&lt;=$H564)),"Stop on wrong side; ",""),"")&amp;IF($F564="","No direction; ","")&amp;IF(AND(ISNUMBER(Settings!$C$22),ISNUMBER($V564)),IF($V564&gt;Settings!$C$22,"Risk over max $; ",""),"")&amp;IF(AND(ISNUMBER(Settings!$C$23),ISNUMBER($V564),ISNUMBER($AP564),IFERROR(N(INDEX(Accounts!$E$7:$E$16,MATCH($C564,Accounts!$B$7:$B$16,0))),0)&gt;0),IF($V564&gt;Settings!$C$23*($AP564-N($Q564)),"Risk over max %; ",""),"")&amp;IF(AND(ISNUMBER(Settings!$C$24),ISNUMBER($N564)),IF($N564&gt;Settings!$C$24,"Leverage over max; ",""),"")&amp;IF(AND(ISNUMBER(Settings!$C$27),ISNUMBER($T564)),IF($T564&lt;Settings!$C$27,"R:R below min; ",""),"")&amp;IF(ISNUMBER(Settings!$C$25),IF(COUNTIFS($A$6:$A564,$A564,$AM$6:$AM564,1)&gt;Settings!$C$25,"Over max trades/day; ",""),"")&amp;IF(ISNUMBER(Settings!$C$26),IF(SUMIFS($Q$5:$Q563,$A$5:$A563,$A564)&lt;=-Settings!$C$26,"Traded after daily max loss; ",""),"")&amp;IF(AND($AG564="",NOT(ISNUMBER($O564))),"Symbol not in Instruments; ","")&amp;IF(AND($AH564="",NOT(ISNUMBER($O564))),"Forex cross: type Gross P&amp;L; ",""))</f>
        <v/>
      </c>
      <c r="BH564" s="56">
        <f>IF(ISNUMBER($Q564),1,0)</f>
        <v>0</v>
      </c>
      <c r="BI564" s="56">
        <f>IF($Y564="",0,1)</f>
        <v>0</v>
      </c>
      <c r="BJ564" s="56">
        <f>IF($AB564="",0,1)</f>
        <v>0</v>
      </c>
      <c r="BK564" s="56">
        <f>IF(AND($BH564=1,$W564&lt;&gt;"OK"),1,0)</f>
        <v>0</v>
      </c>
      <c r="BL564" s="55">
        <f>IF(N($AZ564)=0,0,IFERROR(INDEX($AT$6:$AT$1005,MATCH($AZ564,$AY$6:$AY$1005,0)),0))</f>
        <v>1187.10688</v>
      </c>
      <c r="BM564" s="56">
        <f>IF(ISNUMBER(SEARCH("daily max loss",$BG564)),1,0)</f>
        <v>0</v>
      </c>
    </row>
    <row r="565" ht="18" customHeight="1">
      <c r="A565" s="38" t="n"/>
      <c r="B565" s="39" t="n"/>
      <c r="C565" s="40" t="n"/>
      <c r="D565" s="41" t="n"/>
      <c r="E565" s="41" t="n"/>
      <c r="F565" s="41" t="n"/>
      <c r="G565" s="41" t="n"/>
      <c r="H565" s="42" t="n"/>
      <c r="I565" s="42" t="n"/>
      <c r="J565" s="42" t="n"/>
      <c r="K565" s="42" t="n"/>
      <c r="L565" s="41" t="n"/>
      <c r="M565" s="41" t="n"/>
      <c r="N565" s="41" t="n"/>
      <c r="O565" s="43" t="n"/>
      <c r="P565" s="43" t="n"/>
      <c r="Q565" s="44" t="str">
        <f>IF($AM565=0,"",IF(ISNUMBER($AK565),$AK565-N($AL565),""))</f>
        <v/>
      </c>
      <c r="R565" s="45" t="str">
        <f>IF(OR($Q565="",NOT(ISNUMBER($V565))),"",$AK565/$V565)</f>
        <v/>
      </c>
      <c r="S565" s="46" t="str">
        <f>IF($Q565="","",IF(AND(ISNUMBER($R565),ABS(N($R565))&lt;N(Settings!$C$8)),"Scratch",IF($Q565&gt;0,"Win",IF($Q565&lt;0,"Loss","Scratch"))))</f>
        <v/>
      </c>
      <c r="T565" s="47" t="str">
        <f>IF(OR($AM565=0,NOT(ISNUMBER($H565)),NOT(ISNUMBER($I565)),NOT(ISNUMBER($J565))),"",IF($H565=$I565,"",ROUND(ABS($J565-$H565)/ABS($H565-$I565),6)))</f>
        <v/>
      </c>
      <c r="U565" s="48" t="str">
        <f>IF(OR($S565&lt;&gt;"Win",NOT(ISNUMBER($T565)),NOT(ISNUMBER($R565))),"",MAX(0,$T565-$R565))</f>
        <v/>
      </c>
      <c r="V565" s="49" t="str">
        <f>IF(OR($AM565=0,NOT(ISNUMBER($H565)),NOT(ISNUMBER($I565)),NOT(ISNUMBER($G565))),"",IF(OR($AG565="",$AH565=""),"",IF(ROUND(ABS($H565-$I565)*ABS($G565)*$AG565*$AH565,6)=0,"",ROUND(ABS($H565-$I565)*ABS($G565)*$AG565*$AH565,6))))</f>
        <v/>
      </c>
      <c r="W565" s="50" t="str">
        <f>IF($AM565=0,"",IF($BG565="","OK",LEFT($BG565,LEN($BG565)-2)))</f>
        <v/>
      </c>
      <c r="X565" s="41" t="n"/>
      <c r="Y565" s="40" t="n"/>
      <c r="Z565" s="41" t="n"/>
      <c r="AA565" s="41" t="n"/>
      <c r="AB565" s="40" t="n"/>
      <c r="AC565" s="51" t="n"/>
      <c r="AD565" s="51" t="n"/>
      <c r="AE565" s="40" t="n"/>
      <c r="AF565" s="52" t="str">
        <f>IF($AM565=0,"",IF($D565&lt;&gt;"",$D565,IF(IFERROR(INDEX(Accounts!$C$7:$C$16,MATCH($C565,Accounts!$B$7:$B$16,0))&amp;"","")&lt;&gt;"",INDEX(Accounts!$C$7:$C$16,MATCH($C565,Accounts!$B$7:$B$16,0)),Settings!$C$6)))</f>
        <v/>
      </c>
      <c r="AG565" s="53" t="str">
        <f>IF($AM565=0,"",IF(AND($BE565&gt;0,N(INDEX(Instruments!$D$6:$D$205,MAX(1,$BE565)))&gt;0),INDEX(Instruments!$D$6:$D$205,MAX(1,$BE565)),IF(N(INDEX(Settings!$D$14:$D$18,$BF565))&gt;0,INDEX(Settings!$D$14:$D$18,$BF565),"")))</f>
        <v/>
      </c>
      <c r="AH565" s="54" t="str">
        <f>IF($AM565=0,"",IF($AF565&lt;&gt;"Forex",1,IF(MID(UPPER(SUBSTITUTE(TRIM($E565),"/","")),4,3)=UPPER(TRIM(Settings!$C$7)),1,IF(LEFT(UPPER(SUBSTITUTE(TRIM($E565),"/","")),3)=UPPER(TRIM(Settings!$C$7)),IF(AND(ISNUMBER($K565),N($K565)&lt;&gt;0),1/$K565,""),""))))</f>
        <v/>
      </c>
      <c r="AI565" s="55" t="str">
        <f>IF($AM565=0,"",IF(OR(NOT(ISNUMBER($H565)),NOT(ISNUMBER($K565)),NOT(ISNUMBER($G565)),$AG565="",$AH565=""),"",ROUND(($K565-$H565)*IF($F565="Short",-1,1)*$G565*$AG565*$AH565,6)))</f>
        <v/>
      </c>
      <c r="AJ565" s="55" t="str">
        <f>IF($AM565=0,"",IF(INDEX(Settings!$E$14:$E$18,$BF565)="% of notional",IF(OR($AG565="",NOT(ISNUMBER($H565)),NOT(ISNUMBER($G565))),"",ROUND(ABS($H565*$G565*$AG565*N($AH565))*IF($L565="Limit",N(INDEX(Settings!$G$14:$G$18,$BF565)),N(INDEX(Settings!$H$14:$H$18,$BF565)))+IF(ISNUMBER($K565),ABS($K565*$G565*$AG565*N($AH565))*IF($M565="Target",N(INDEX(Settings!$G$14:$G$18,$BF565)),N(INDEX(Settings!$H$14:$H$18,$BF565))),0),6)),IF(NOT(ISNUMBER($G565)),"",ROUND(ABS($G565)*2*IF(AND($BE565&gt;0,ISNUMBER(INDEX(Instruments!$G$6:$G$205,MAX(1,$BE565)))),INDEX(Instruments!$G$6:$G$205,MAX(1,$BE565)),N(INDEX(Settings!$F$14:$F$18,$BF565))),6))))</f>
        <v/>
      </c>
      <c r="AK565" s="55" t="str">
        <f>IF($AM565=0,"",IF(ISNUMBER($O565),$O565,$AI565))</f>
        <v/>
      </c>
      <c r="AL565" s="55" t="str">
        <f>IF($AM565=0,"",IF(ISNUMBER($P565),$P565,N($AJ565)))</f>
        <v/>
      </c>
      <c r="AM565" s="56">
        <f>IF(AND($A565&lt;&gt;"",$E565&lt;&gt;"",OR(AND(ISNUMBER($G565),ISNUMBER($H565),ISNUMBER($K565)),ISNUMBER($O565))),1,0)</f>
        <v>0</v>
      </c>
      <c r="AN565" s="57" t="str">
        <f>IF($A565="","",$A565-WEEKDAY($A565,3))</f>
        <v/>
      </c>
      <c r="AO565" s="56" t="str">
        <f>IF($A565="","",WEEKDAY($A565,2))</f>
        <v/>
      </c>
      <c r="AP565" s="55" t="str">
        <f>IF(OR($AM565=0,$C565=""),"",IFERROR(N(INDEX(Accounts!$E$7:$E$16,MATCH($C565,Accounts!$B$7:$B$16,0))),0)+SUMIFS($Q$6:$Q565,$C$6:$C565,$C565))</f>
        <v/>
      </c>
      <c r="AQ565" s="55" t="str">
        <f>IF(OR($AM565=0,$C565=""),"",SUMIFS($Q$6:$Q$1005,$C$6:$C$1005,$C565,$A$6:$A$1005,$A565))</f>
        <v/>
      </c>
      <c r="AR565" s="55" t="str">
        <f>IF(OR($AM565=0,$C565=""),"",IFERROR(N(INDEX(Accounts!$E$7:$E$16,MATCH($C565,Accounts!$B$7:$B$16,0))),0)+SUMIFS($Q$6:$Q$1005,$C$6:$C$1005,$C565,$A$6:$A$1005,"&lt;="&amp;$A565))</f>
        <v/>
      </c>
      <c r="AS565" s="56">
        <f>IF(OR($AM565=0,$Q565=""),0,IF(AND($A565&gt;=Lists!$W$6,$A565&lt;=Lists!$W$7,OR(Dashboard!$D$6="All accounts",$C565=Dashboard!$D$6),OR(Dashboard!$D$7="All markets",$AF565=Dashboard!$D$7)),1,0))</f>
        <v>0</v>
      </c>
      <c r="AT565" s="55">
        <f>IF($AS565=1,N(AT564)+$Q565,N(AT564))</f>
        <v>1187.10688</v>
      </c>
      <c r="AU565" s="55">
        <f>MAX(N(AU564),$AT565)</f>
        <v>1187.10688</v>
      </c>
      <c r="AV565" s="55">
        <f>$AT565-$AU565</f>
        <v>0</v>
      </c>
      <c r="AW565" s="56">
        <f>IF($AS565=1,IF($S565="Win",N(AW564)+1,IF($S565="Loss",0,N(AW564))),N(AW564))</f>
        <v>5</v>
      </c>
      <c r="AX565" s="56">
        <f>IF($AS565=1,IF($S565="Loss",N(AX564)+1,IF($S565="Win",0,N(AX564))),N(AX564))</f>
        <v>0</v>
      </c>
      <c r="AY565" s="56" t="str">
        <f>IF($AS565=1,COUNTIF($AS$6:$AS565,1),"")</f>
        <v/>
      </c>
      <c r="AZ565" s="56">
        <f>MIN(559,N(Lists!$W$8))</f>
        <v>28</v>
      </c>
      <c r="BA565" s="56">
        <f>IF($AS565=1,IF(COUNTIFS($A$6:$A565,$A565,$AS$6:$AS565,1)=1,1,0),0)</f>
        <v>0</v>
      </c>
      <c r="BB565" s="55" t="str">
        <f>IF($BA565=1,SUMIFS($Q$6:$Q$1005,$A$6:$A$1005,$A565,$AS$6:$AS$1005,1),"")</f>
        <v/>
      </c>
      <c r="BC565" s="56">
        <f>IF(ISNUMBER($R565),1,0)</f>
        <v>0</v>
      </c>
      <c r="BD565" s="55" t="str">
        <f>IF(ISNUMBER($U565),$U565*$V565,"")</f>
        <v/>
      </c>
      <c r="BE565" s="56" t="str">
        <f>IF($AM565=0,"",IFERROR(MATCH($AF565&amp;"|"&amp;UPPER(TRIM($E565)),Lists!$A$6:$A$205,0),0))</f>
        <v/>
      </c>
      <c r="BF565" s="56" t="str">
        <f>IF($AM565=0,"",IFERROR(MATCH($AF565,Settings!$B$14:$B$18,0),IFERROR(MATCH(Settings!$C$6,Settings!$B$14:$B$18,0),1)))</f>
        <v/>
      </c>
      <c r="BG565" s="58" t="str">
        <f>IF($AM565=0,"",IF(NOT(ISNUMBER($I565)),"No stop; ","")&amp;IF(AND(ISNUMBER($H565),ISNUMBER($I565)),IF(OR(AND($F565&lt;&gt;"Short",$I565&gt;=$H565),AND($F565="Short",$I565&lt;=$H565)),"Stop on wrong side; ",""),"")&amp;IF($F565="","No direction; ","")&amp;IF(AND(ISNUMBER(Settings!$C$22),ISNUMBER($V565)),IF($V565&gt;Settings!$C$22,"Risk over max $; ",""),"")&amp;IF(AND(ISNUMBER(Settings!$C$23),ISNUMBER($V565),ISNUMBER($AP565),IFERROR(N(INDEX(Accounts!$E$7:$E$16,MATCH($C565,Accounts!$B$7:$B$16,0))),0)&gt;0),IF($V565&gt;Settings!$C$23*($AP565-N($Q565)),"Risk over max %; ",""),"")&amp;IF(AND(ISNUMBER(Settings!$C$24),ISNUMBER($N565)),IF($N565&gt;Settings!$C$24,"Leverage over max; ",""),"")&amp;IF(AND(ISNUMBER(Settings!$C$27),ISNUMBER($T565)),IF($T565&lt;Settings!$C$27,"R:R below min; ",""),"")&amp;IF(ISNUMBER(Settings!$C$25),IF(COUNTIFS($A$6:$A565,$A565,$AM$6:$AM565,1)&gt;Settings!$C$25,"Over max trades/day; ",""),"")&amp;IF(ISNUMBER(Settings!$C$26),IF(SUMIFS($Q$5:$Q564,$A$5:$A564,$A565)&lt;=-Settings!$C$26,"Traded after daily max loss; ",""),"")&amp;IF(AND($AG565="",NOT(ISNUMBER($O565))),"Symbol not in Instruments; ","")&amp;IF(AND($AH565="",NOT(ISNUMBER($O565))),"Forex cross: type Gross P&amp;L; ",""))</f>
        <v/>
      </c>
      <c r="BH565" s="56">
        <f>IF(ISNUMBER($Q565),1,0)</f>
        <v>0</v>
      </c>
      <c r="BI565" s="56">
        <f>IF($Y565="",0,1)</f>
        <v>0</v>
      </c>
      <c r="BJ565" s="56">
        <f>IF($AB565="",0,1)</f>
        <v>0</v>
      </c>
      <c r="BK565" s="56">
        <f>IF(AND($BH565=1,$W565&lt;&gt;"OK"),1,0)</f>
        <v>0</v>
      </c>
      <c r="BL565" s="55">
        <f>IF(N($AZ565)=0,0,IFERROR(INDEX($AT$6:$AT$1005,MATCH($AZ565,$AY$6:$AY$1005,0)),0))</f>
        <v>1187.10688</v>
      </c>
      <c r="BM565" s="56">
        <f>IF(ISNUMBER(SEARCH("daily max loss",$BG565)),1,0)</f>
        <v>0</v>
      </c>
    </row>
    <row r="566" ht="18" customHeight="1">
      <c r="A566" s="38" t="n"/>
      <c r="B566" s="39" t="n"/>
      <c r="C566" s="40" t="n"/>
      <c r="D566" s="41" t="n"/>
      <c r="E566" s="41" t="n"/>
      <c r="F566" s="41" t="n"/>
      <c r="G566" s="41" t="n"/>
      <c r="H566" s="42" t="n"/>
      <c r="I566" s="42" t="n"/>
      <c r="J566" s="42" t="n"/>
      <c r="K566" s="42" t="n"/>
      <c r="L566" s="41" t="n"/>
      <c r="M566" s="41" t="n"/>
      <c r="N566" s="41" t="n"/>
      <c r="O566" s="43" t="n"/>
      <c r="P566" s="43" t="n"/>
      <c r="Q566" s="44" t="str">
        <f>IF($AM566=0,"",IF(ISNUMBER($AK566),$AK566-N($AL566),""))</f>
        <v/>
      </c>
      <c r="R566" s="45" t="str">
        <f>IF(OR($Q566="",NOT(ISNUMBER($V566))),"",$AK566/$V566)</f>
        <v/>
      </c>
      <c r="S566" s="46" t="str">
        <f>IF($Q566="","",IF(AND(ISNUMBER($R566),ABS(N($R566))&lt;N(Settings!$C$8)),"Scratch",IF($Q566&gt;0,"Win",IF($Q566&lt;0,"Loss","Scratch"))))</f>
        <v/>
      </c>
      <c r="T566" s="47" t="str">
        <f>IF(OR($AM566=0,NOT(ISNUMBER($H566)),NOT(ISNUMBER($I566)),NOT(ISNUMBER($J566))),"",IF($H566=$I566,"",ROUND(ABS($J566-$H566)/ABS($H566-$I566),6)))</f>
        <v/>
      </c>
      <c r="U566" s="48" t="str">
        <f>IF(OR($S566&lt;&gt;"Win",NOT(ISNUMBER($T566)),NOT(ISNUMBER($R566))),"",MAX(0,$T566-$R566))</f>
        <v/>
      </c>
      <c r="V566" s="49" t="str">
        <f>IF(OR($AM566=0,NOT(ISNUMBER($H566)),NOT(ISNUMBER($I566)),NOT(ISNUMBER($G566))),"",IF(OR($AG566="",$AH566=""),"",IF(ROUND(ABS($H566-$I566)*ABS($G566)*$AG566*$AH566,6)=0,"",ROUND(ABS($H566-$I566)*ABS($G566)*$AG566*$AH566,6))))</f>
        <v/>
      </c>
      <c r="W566" s="50" t="str">
        <f>IF($AM566=0,"",IF($BG566="","OK",LEFT($BG566,LEN($BG566)-2)))</f>
        <v/>
      </c>
      <c r="X566" s="41" t="n"/>
      <c r="Y566" s="40" t="n"/>
      <c r="Z566" s="41" t="n"/>
      <c r="AA566" s="41" t="n"/>
      <c r="AB566" s="40" t="n"/>
      <c r="AC566" s="51" t="n"/>
      <c r="AD566" s="51" t="n"/>
      <c r="AE566" s="40" t="n"/>
      <c r="AF566" s="52" t="str">
        <f>IF($AM566=0,"",IF($D566&lt;&gt;"",$D566,IF(IFERROR(INDEX(Accounts!$C$7:$C$16,MATCH($C566,Accounts!$B$7:$B$16,0))&amp;"","")&lt;&gt;"",INDEX(Accounts!$C$7:$C$16,MATCH($C566,Accounts!$B$7:$B$16,0)),Settings!$C$6)))</f>
        <v/>
      </c>
      <c r="AG566" s="53" t="str">
        <f>IF($AM566=0,"",IF(AND($BE566&gt;0,N(INDEX(Instruments!$D$6:$D$205,MAX(1,$BE566)))&gt;0),INDEX(Instruments!$D$6:$D$205,MAX(1,$BE566)),IF(N(INDEX(Settings!$D$14:$D$18,$BF566))&gt;0,INDEX(Settings!$D$14:$D$18,$BF566),"")))</f>
        <v/>
      </c>
      <c r="AH566" s="54" t="str">
        <f>IF($AM566=0,"",IF($AF566&lt;&gt;"Forex",1,IF(MID(UPPER(SUBSTITUTE(TRIM($E566),"/","")),4,3)=UPPER(TRIM(Settings!$C$7)),1,IF(LEFT(UPPER(SUBSTITUTE(TRIM($E566),"/","")),3)=UPPER(TRIM(Settings!$C$7)),IF(AND(ISNUMBER($K566),N($K566)&lt;&gt;0),1/$K566,""),""))))</f>
        <v/>
      </c>
      <c r="AI566" s="55" t="str">
        <f>IF($AM566=0,"",IF(OR(NOT(ISNUMBER($H566)),NOT(ISNUMBER($K566)),NOT(ISNUMBER($G566)),$AG566="",$AH566=""),"",ROUND(($K566-$H566)*IF($F566="Short",-1,1)*$G566*$AG566*$AH566,6)))</f>
        <v/>
      </c>
      <c r="AJ566" s="55" t="str">
        <f>IF($AM566=0,"",IF(INDEX(Settings!$E$14:$E$18,$BF566)="% of notional",IF(OR($AG566="",NOT(ISNUMBER($H566)),NOT(ISNUMBER($G566))),"",ROUND(ABS($H566*$G566*$AG566*N($AH566))*IF($L566="Limit",N(INDEX(Settings!$G$14:$G$18,$BF566)),N(INDEX(Settings!$H$14:$H$18,$BF566)))+IF(ISNUMBER($K566),ABS($K566*$G566*$AG566*N($AH566))*IF($M566="Target",N(INDEX(Settings!$G$14:$G$18,$BF566)),N(INDEX(Settings!$H$14:$H$18,$BF566))),0),6)),IF(NOT(ISNUMBER($G566)),"",ROUND(ABS($G566)*2*IF(AND($BE566&gt;0,ISNUMBER(INDEX(Instruments!$G$6:$G$205,MAX(1,$BE566)))),INDEX(Instruments!$G$6:$G$205,MAX(1,$BE566)),N(INDEX(Settings!$F$14:$F$18,$BF566))),6))))</f>
        <v/>
      </c>
      <c r="AK566" s="55" t="str">
        <f>IF($AM566=0,"",IF(ISNUMBER($O566),$O566,$AI566))</f>
        <v/>
      </c>
      <c r="AL566" s="55" t="str">
        <f>IF($AM566=0,"",IF(ISNUMBER($P566),$P566,N($AJ566)))</f>
        <v/>
      </c>
      <c r="AM566" s="56">
        <f>IF(AND($A566&lt;&gt;"",$E566&lt;&gt;"",OR(AND(ISNUMBER($G566),ISNUMBER($H566),ISNUMBER($K566)),ISNUMBER($O566))),1,0)</f>
        <v>0</v>
      </c>
      <c r="AN566" s="57" t="str">
        <f>IF($A566="","",$A566-WEEKDAY($A566,3))</f>
        <v/>
      </c>
      <c r="AO566" s="56" t="str">
        <f>IF($A566="","",WEEKDAY($A566,2))</f>
        <v/>
      </c>
      <c r="AP566" s="55" t="str">
        <f>IF(OR($AM566=0,$C566=""),"",IFERROR(N(INDEX(Accounts!$E$7:$E$16,MATCH($C566,Accounts!$B$7:$B$16,0))),0)+SUMIFS($Q$6:$Q566,$C$6:$C566,$C566))</f>
        <v/>
      </c>
      <c r="AQ566" s="55" t="str">
        <f>IF(OR($AM566=0,$C566=""),"",SUMIFS($Q$6:$Q$1005,$C$6:$C$1005,$C566,$A$6:$A$1005,$A566))</f>
        <v/>
      </c>
      <c r="AR566" s="55" t="str">
        <f>IF(OR($AM566=0,$C566=""),"",IFERROR(N(INDEX(Accounts!$E$7:$E$16,MATCH($C566,Accounts!$B$7:$B$16,0))),0)+SUMIFS($Q$6:$Q$1005,$C$6:$C$1005,$C566,$A$6:$A$1005,"&lt;="&amp;$A566))</f>
        <v/>
      </c>
      <c r="AS566" s="56">
        <f>IF(OR($AM566=0,$Q566=""),0,IF(AND($A566&gt;=Lists!$W$6,$A566&lt;=Lists!$W$7,OR(Dashboard!$D$6="All accounts",$C566=Dashboard!$D$6),OR(Dashboard!$D$7="All markets",$AF566=Dashboard!$D$7)),1,0))</f>
        <v>0</v>
      </c>
      <c r="AT566" s="55">
        <f>IF($AS566=1,N(AT565)+$Q566,N(AT565))</f>
        <v>1187.10688</v>
      </c>
      <c r="AU566" s="55">
        <f>MAX(N(AU565),$AT566)</f>
        <v>1187.10688</v>
      </c>
      <c r="AV566" s="55">
        <f>$AT566-$AU566</f>
        <v>0</v>
      </c>
      <c r="AW566" s="56">
        <f>IF($AS566=1,IF($S566="Win",N(AW565)+1,IF($S566="Loss",0,N(AW565))),N(AW565))</f>
        <v>5</v>
      </c>
      <c r="AX566" s="56">
        <f>IF($AS566=1,IF($S566="Loss",N(AX565)+1,IF($S566="Win",0,N(AX565))),N(AX565))</f>
        <v>0</v>
      </c>
      <c r="AY566" s="56" t="str">
        <f>IF($AS566=1,COUNTIF($AS$6:$AS566,1),"")</f>
        <v/>
      </c>
      <c r="AZ566" s="56">
        <f>MIN(560,N(Lists!$W$8))</f>
        <v>28</v>
      </c>
      <c r="BA566" s="56">
        <f>IF($AS566=1,IF(COUNTIFS($A$6:$A566,$A566,$AS$6:$AS566,1)=1,1,0),0)</f>
        <v>0</v>
      </c>
      <c r="BB566" s="55" t="str">
        <f>IF($BA566=1,SUMIFS($Q$6:$Q$1005,$A$6:$A$1005,$A566,$AS$6:$AS$1005,1),"")</f>
        <v/>
      </c>
      <c r="BC566" s="56">
        <f>IF(ISNUMBER($R566),1,0)</f>
        <v>0</v>
      </c>
      <c r="BD566" s="55" t="str">
        <f>IF(ISNUMBER($U566),$U566*$V566,"")</f>
        <v/>
      </c>
      <c r="BE566" s="56" t="str">
        <f>IF($AM566=0,"",IFERROR(MATCH($AF566&amp;"|"&amp;UPPER(TRIM($E566)),Lists!$A$6:$A$205,0),0))</f>
        <v/>
      </c>
      <c r="BF566" s="56" t="str">
        <f>IF($AM566=0,"",IFERROR(MATCH($AF566,Settings!$B$14:$B$18,0),IFERROR(MATCH(Settings!$C$6,Settings!$B$14:$B$18,0),1)))</f>
        <v/>
      </c>
      <c r="BG566" s="58" t="str">
        <f>IF($AM566=0,"",IF(NOT(ISNUMBER($I566)),"No stop; ","")&amp;IF(AND(ISNUMBER($H566),ISNUMBER($I566)),IF(OR(AND($F566&lt;&gt;"Short",$I566&gt;=$H566),AND($F566="Short",$I566&lt;=$H566)),"Stop on wrong side; ",""),"")&amp;IF($F566="","No direction; ","")&amp;IF(AND(ISNUMBER(Settings!$C$22),ISNUMBER($V566)),IF($V566&gt;Settings!$C$22,"Risk over max $; ",""),"")&amp;IF(AND(ISNUMBER(Settings!$C$23),ISNUMBER($V566),ISNUMBER($AP566),IFERROR(N(INDEX(Accounts!$E$7:$E$16,MATCH($C566,Accounts!$B$7:$B$16,0))),0)&gt;0),IF($V566&gt;Settings!$C$23*($AP566-N($Q566)),"Risk over max %; ",""),"")&amp;IF(AND(ISNUMBER(Settings!$C$24),ISNUMBER($N566)),IF($N566&gt;Settings!$C$24,"Leverage over max; ",""),"")&amp;IF(AND(ISNUMBER(Settings!$C$27),ISNUMBER($T566)),IF($T566&lt;Settings!$C$27,"R:R below min; ",""),"")&amp;IF(ISNUMBER(Settings!$C$25),IF(COUNTIFS($A$6:$A566,$A566,$AM$6:$AM566,1)&gt;Settings!$C$25,"Over max trades/day; ",""),"")&amp;IF(ISNUMBER(Settings!$C$26),IF(SUMIFS($Q$5:$Q565,$A$5:$A565,$A566)&lt;=-Settings!$C$26,"Traded after daily max loss; ",""),"")&amp;IF(AND($AG566="",NOT(ISNUMBER($O566))),"Symbol not in Instruments; ","")&amp;IF(AND($AH566="",NOT(ISNUMBER($O566))),"Forex cross: type Gross P&amp;L; ",""))</f>
        <v/>
      </c>
      <c r="BH566" s="56">
        <f>IF(ISNUMBER($Q566),1,0)</f>
        <v>0</v>
      </c>
      <c r="BI566" s="56">
        <f>IF($Y566="",0,1)</f>
        <v>0</v>
      </c>
      <c r="BJ566" s="56">
        <f>IF($AB566="",0,1)</f>
        <v>0</v>
      </c>
      <c r="BK566" s="56">
        <f>IF(AND($BH566=1,$W566&lt;&gt;"OK"),1,0)</f>
        <v>0</v>
      </c>
      <c r="BL566" s="55">
        <f>IF(N($AZ566)=0,0,IFERROR(INDEX($AT$6:$AT$1005,MATCH($AZ566,$AY$6:$AY$1005,0)),0))</f>
        <v>1187.10688</v>
      </c>
      <c r="BM566" s="56">
        <f>IF(ISNUMBER(SEARCH("daily max loss",$BG566)),1,0)</f>
        <v>0</v>
      </c>
    </row>
    <row r="567" ht="18" customHeight="1">
      <c r="A567" s="38" t="n"/>
      <c r="B567" s="39" t="n"/>
      <c r="C567" s="40" t="n"/>
      <c r="D567" s="41" t="n"/>
      <c r="E567" s="41" t="n"/>
      <c r="F567" s="41" t="n"/>
      <c r="G567" s="41" t="n"/>
      <c r="H567" s="42" t="n"/>
      <c r="I567" s="42" t="n"/>
      <c r="J567" s="42" t="n"/>
      <c r="K567" s="42" t="n"/>
      <c r="L567" s="41" t="n"/>
      <c r="M567" s="41" t="n"/>
      <c r="N567" s="41" t="n"/>
      <c r="O567" s="43" t="n"/>
      <c r="P567" s="43" t="n"/>
      <c r="Q567" s="44" t="str">
        <f>IF($AM567=0,"",IF(ISNUMBER($AK567),$AK567-N($AL567),""))</f>
        <v/>
      </c>
      <c r="R567" s="45" t="str">
        <f>IF(OR($Q567="",NOT(ISNUMBER($V567))),"",$AK567/$V567)</f>
        <v/>
      </c>
      <c r="S567" s="46" t="str">
        <f>IF($Q567="","",IF(AND(ISNUMBER($R567),ABS(N($R567))&lt;N(Settings!$C$8)),"Scratch",IF($Q567&gt;0,"Win",IF($Q567&lt;0,"Loss","Scratch"))))</f>
        <v/>
      </c>
      <c r="T567" s="47" t="str">
        <f>IF(OR($AM567=0,NOT(ISNUMBER($H567)),NOT(ISNUMBER($I567)),NOT(ISNUMBER($J567))),"",IF($H567=$I567,"",ROUND(ABS($J567-$H567)/ABS($H567-$I567),6)))</f>
        <v/>
      </c>
      <c r="U567" s="48" t="str">
        <f>IF(OR($S567&lt;&gt;"Win",NOT(ISNUMBER($T567)),NOT(ISNUMBER($R567))),"",MAX(0,$T567-$R567))</f>
        <v/>
      </c>
      <c r="V567" s="49" t="str">
        <f>IF(OR($AM567=0,NOT(ISNUMBER($H567)),NOT(ISNUMBER($I567)),NOT(ISNUMBER($G567))),"",IF(OR($AG567="",$AH567=""),"",IF(ROUND(ABS($H567-$I567)*ABS($G567)*$AG567*$AH567,6)=0,"",ROUND(ABS($H567-$I567)*ABS($G567)*$AG567*$AH567,6))))</f>
        <v/>
      </c>
      <c r="W567" s="50" t="str">
        <f>IF($AM567=0,"",IF($BG567="","OK",LEFT($BG567,LEN($BG567)-2)))</f>
        <v/>
      </c>
      <c r="X567" s="41" t="n"/>
      <c r="Y567" s="40" t="n"/>
      <c r="Z567" s="41" t="n"/>
      <c r="AA567" s="41" t="n"/>
      <c r="AB567" s="40" t="n"/>
      <c r="AC567" s="51" t="n"/>
      <c r="AD567" s="51" t="n"/>
      <c r="AE567" s="40" t="n"/>
      <c r="AF567" s="52" t="str">
        <f>IF($AM567=0,"",IF($D567&lt;&gt;"",$D567,IF(IFERROR(INDEX(Accounts!$C$7:$C$16,MATCH($C567,Accounts!$B$7:$B$16,0))&amp;"","")&lt;&gt;"",INDEX(Accounts!$C$7:$C$16,MATCH($C567,Accounts!$B$7:$B$16,0)),Settings!$C$6)))</f>
        <v/>
      </c>
      <c r="AG567" s="53" t="str">
        <f>IF($AM567=0,"",IF(AND($BE567&gt;0,N(INDEX(Instruments!$D$6:$D$205,MAX(1,$BE567)))&gt;0),INDEX(Instruments!$D$6:$D$205,MAX(1,$BE567)),IF(N(INDEX(Settings!$D$14:$D$18,$BF567))&gt;0,INDEX(Settings!$D$14:$D$18,$BF567),"")))</f>
        <v/>
      </c>
      <c r="AH567" s="54" t="str">
        <f>IF($AM567=0,"",IF($AF567&lt;&gt;"Forex",1,IF(MID(UPPER(SUBSTITUTE(TRIM($E567),"/","")),4,3)=UPPER(TRIM(Settings!$C$7)),1,IF(LEFT(UPPER(SUBSTITUTE(TRIM($E567),"/","")),3)=UPPER(TRIM(Settings!$C$7)),IF(AND(ISNUMBER($K567),N($K567)&lt;&gt;0),1/$K567,""),""))))</f>
        <v/>
      </c>
      <c r="AI567" s="55" t="str">
        <f>IF($AM567=0,"",IF(OR(NOT(ISNUMBER($H567)),NOT(ISNUMBER($K567)),NOT(ISNUMBER($G567)),$AG567="",$AH567=""),"",ROUND(($K567-$H567)*IF($F567="Short",-1,1)*$G567*$AG567*$AH567,6)))</f>
        <v/>
      </c>
      <c r="AJ567" s="55" t="str">
        <f>IF($AM567=0,"",IF(INDEX(Settings!$E$14:$E$18,$BF567)="% of notional",IF(OR($AG567="",NOT(ISNUMBER($H567)),NOT(ISNUMBER($G567))),"",ROUND(ABS($H567*$G567*$AG567*N($AH567))*IF($L567="Limit",N(INDEX(Settings!$G$14:$G$18,$BF567)),N(INDEX(Settings!$H$14:$H$18,$BF567)))+IF(ISNUMBER($K567),ABS($K567*$G567*$AG567*N($AH567))*IF($M567="Target",N(INDEX(Settings!$G$14:$G$18,$BF567)),N(INDEX(Settings!$H$14:$H$18,$BF567))),0),6)),IF(NOT(ISNUMBER($G567)),"",ROUND(ABS($G567)*2*IF(AND($BE567&gt;0,ISNUMBER(INDEX(Instruments!$G$6:$G$205,MAX(1,$BE567)))),INDEX(Instruments!$G$6:$G$205,MAX(1,$BE567)),N(INDEX(Settings!$F$14:$F$18,$BF567))),6))))</f>
        <v/>
      </c>
      <c r="AK567" s="55" t="str">
        <f>IF($AM567=0,"",IF(ISNUMBER($O567),$O567,$AI567))</f>
        <v/>
      </c>
      <c r="AL567" s="55" t="str">
        <f>IF($AM567=0,"",IF(ISNUMBER($P567),$P567,N($AJ567)))</f>
        <v/>
      </c>
      <c r="AM567" s="56">
        <f>IF(AND($A567&lt;&gt;"",$E567&lt;&gt;"",OR(AND(ISNUMBER($G567),ISNUMBER($H567),ISNUMBER($K567)),ISNUMBER($O567))),1,0)</f>
        <v>0</v>
      </c>
      <c r="AN567" s="57" t="str">
        <f>IF($A567="","",$A567-WEEKDAY($A567,3))</f>
        <v/>
      </c>
      <c r="AO567" s="56" t="str">
        <f>IF($A567="","",WEEKDAY($A567,2))</f>
        <v/>
      </c>
      <c r="AP567" s="55" t="str">
        <f>IF(OR($AM567=0,$C567=""),"",IFERROR(N(INDEX(Accounts!$E$7:$E$16,MATCH($C567,Accounts!$B$7:$B$16,0))),0)+SUMIFS($Q$6:$Q567,$C$6:$C567,$C567))</f>
        <v/>
      </c>
      <c r="AQ567" s="55" t="str">
        <f>IF(OR($AM567=0,$C567=""),"",SUMIFS($Q$6:$Q$1005,$C$6:$C$1005,$C567,$A$6:$A$1005,$A567))</f>
        <v/>
      </c>
      <c r="AR567" s="55" t="str">
        <f>IF(OR($AM567=0,$C567=""),"",IFERROR(N(INDEX(Accounts!$E$7:$E$16,MATCH($C567,Accounts!$B$7:$B$16,0))),0)+SUMIFS($Q$6:$Q$1005,$C$6:$C$1005,$C567,$A$6:$A$1005,"&lt;="&amp;$A567))</f>
        <v/>
      </c>
      <c r="AS567" s="56">
        <f>IF(OR($AM567=0,$Q567=""),0,IF(AND($A567&gt;=Lists!$W$6,$A567&lt;=Lists!$W$7,OR(Dashboard!$D$6="All accounts",$C567=Dashboard!$D$6),OR(Dashboard!$D$7="All markets",$AF567=Dashboard!$D$7)),1,0))</f>
        <v>0</v>
      </c>
      <c r="AT567" s="55">
        <f>IF($AS567=1,N(AT566)+$Q567,N(AT566))</f>
        <v>1187.10688</v>
      </c>
      <c r="AU567" s="55">
        <f>MAX(N(AU566),$AT567)</f>
        <v>1187.10688</v>
      </c>
      <c r="AV567" s="55">
        <f>$AT567-$AU567</f>
        <v>0</v>
      </c>
      <c r="AW567" s="56">
        <f>IF($AS567=1,IF($S567="Win",N(AW566)+1,IF($S567="Loss",0,N(AW566))),N(AW566))</f>
        <v>5</v>
      </c>
      <c r="AX567" s="56">
        <f>IF($AS567=1,IF($S567="Loss",N(AX566)+1,IF($S567="Win",0,N(AX566))),N(AX566))</f>
        <v>0</v>
      </c>
      <c r="AY567" s="56" t="str">
        <f>IF($AS567=1,COUNTIF($AS$6:$AS567,1),"")</f>
        <v/>
      </c>
      <c r="AZ567" s="56">
        <f>MIN(561,N(Lists!$W$8))</f>
        <v>28</v>
      </c>
      <c r="BA567" s="56">
        <f>IF($AS567=1,IF(COUNTIFS($A$6:$A567,$A567,$AS$6:$AS567,1)=1,1,0),0)</f>
        <v>0</v>
      </c>
      <c r="BB567" s="55" t="str">
        <f>IF($BA567=1,SUMIFS($Q$6:$Q$1005,$A$6:$A$1005,$A567,$AS$6:$AS$1005,1),"")</f>
        <v/>
      </c>
      <c r="BC567" s="56">
        <f>IF(ISNUMBER($R567),1,0)</f>
        <v>0</v>
      </c>
      <c r="BD567" s="55" t="str">
        <f>IF(ISNUMBER($U567),$U567*$V567,"")</f>
        <v/>
      </c>
      <c r="BE567" s="56" t="str">
        <f>IF($AM567=0,"",IFERROR(MATCH($AF567&amp;"|"&amp;UPPER(TRIM($E567)),Lists!$A$6:$A$205,0),0))</f>
        <v/>
      </c>
      <c r="BF567" s="56" t="str">
        <f>IF($AM567=0,"",IFERROR(MATCH($AF567,Settings!$B$14:$B$18,0),IFERROR(MATCH(Settings!$C$6,Settings!$B$14:$B$18,0),1)))</f>
        <v/>
      </c>
      <c r="BG567" s="58" t="str">
        <f>IF($AM567=0,"",IF(NOT(ISNUMBER($I567)),"No stop; ","")&amp;IF(AND(ISNUMBER($H567),ISNUMBER($I567)),IF(OR(AND($F567&lt;&gt;"Short",$I567&gt;=$H567),AND($F567="Short",$I567&lt;=$H567)),"Stop on wrong side; ",""),"")&amp;IF($F567="","No direction; ","")&amp;IF(AND(ISNUMBER(Settings!$C$22),ISNUMBER($V567)),IF($V567&gt;Settings!$C$22,"Risk over max $; ",""),"")&amp;IF(AND(ISNUMBER(Settings!$C$23),ISNUMBER($V567),ISNUMBER($AP567),IFERROR(N(INDEX(Accounts!$E$7:$E$16,MATCH($C567,Accounts!$B$7:$B$16,0))),0)&gt;0),IF($V567&gt;Settings!$C$23*($AP567-N($Q567)),"Risk over max %; ",""),"")&amp;IF(AND(ISNUMBER(Settings!$C$24),ISNUMBER($N567)),IF($N567&gt;Settings!$C$24,"Leverage over max; ",""),"")&amp;IF(AND(ISNUMBER(Settings!$C$27),ISNUMBER($T567)),IF($T567&lt;Settings!$C$27,"R:R below min; ",""),"")&amp;IF(ISNUMBER(Settings!$C$25),IF(COUNTIFS($A$6:$A567,$A567,$AM$6:$AM567,1)&gt;Settings!$C$25,"Over max trades/day; ",""),"")&amp;IF(ISNUMBER(Settings!$C$26),IF(SUMIFS($Q$5:$Q566,$A$5:$A566,$A567)&lt;=-Settings!$C$26,"Traded after daily max loss; ",""),"")&amp;IF(AND($AG567="",NOT(ISNUMBER($O567))),"Symbol not in Instruments; ","")&amp;IF(AND($AH567="",NOT(ISNUMBER($O567))),"Forex cross: type Gross P&amp;L; ",""))</f>
        <v/>
      </c>
      <c r="BH567" s="56">
        <f>IF(ISNUMBER($Q567),1,0)</f>
        <v>0</v>
      </c>
      <c r="BI567" s="56">
        <f>IF($Y567="",0,1)</f>
        <v>0</v>
      </c>
      <c r="BJ567" s="56">
        <f>IF($AB567="",0,1)</f>
        <v>0</v>
      </c>
      <c r="BK567" s="56">
        <f>IF(AND($BH567=1,$W567&lt;&gt;"OK"),1,0)</f>
        <v>0</v>
      </c>
      <c r="BL567" s="55">
        <f>IF(N($AZ567)=0,0,IFERROR(INDEX($AT$6:$AT$1005,MATCH($AZ567,$AY$6:$AY$1005,0)),0))</f>
        <v>1187.10688</v>
      </c>
      <c r="BM567" s="56">
        <f>IF(ISNUMBER(SEARCH("daily max loss",$BG567)),1,0)</f>
        <v>0</v>
      </c>
    </row>
    <row r="568" ht="18" customHeight="1">
      <c r="A568" s="38" t="n"/>
      <c r="B568" s="39" t="n"/>
      <c r="C568" s="40" t="n"/>
      <c r="D568" s="41" t="n"/>
      <c r="E568" s="41" t="n"/>
      <c r="F568" s="41" t="n"/>
      <c r="G568" s="41" t="n"/>
      <c r="H568" s="42" t="n"/>
      <c r="I568" s="42" t="n"/>
      <c r="J568" s="42" t="n"/>
      <c r="K568" s="42" t="n"/>
      <c r="L568" s="41" t="n"/>
      <c r="M568" s="41" t="n"/>
      <c r="N568" s="41" t="n"/>
      <c r="O568" s="43" t="n"/>
      <c r="P568" s="43" t="n"/>
      <c r="Q568" s="44" t="str">
        <f>IF($AM568=0,"",IF(ISNUMBER($AK568),$AK568-N($AL568),""))</f>
        <v/>
      </c>
      <c r="R568" s="45" t="str">
        <f>IF(OR($Q568="",NOT(ISNUMBER($V568))),"",$AK568/$V568)</f>
        <v/>
      </c>
      <c r="S568" s="46" t="str">
        <f>IF($Q568="","",IF(AND(ISNUMBER($R568),ABS(N($R568))&lt;N(Settings!$C$8)),"Scratch",IF($Q568&gt;0,"Win",IF($Q568&lt;0,"Loss","Scratch"))))</f>
        <v/>
      </c>
      <c r="T568" s="47" t="str">
        <f>IF(OR($AM568=0,NOT(ISNUMBER($H568)),NOT(ISNUMBER($I568)),NOT(ISNUMBER($J568))),"",IF($H568=$I568,"",ROUND(ABS($J568-$H568)/ABS($H568-$I568),6)))</f>
        <v/>
      </c>
      <c r="U568" s="48" t="str">
        <f>IF(OR($S568&lt;&gt;"Win",NOT(ISNUMBER($T568)),NOT(ISNUMBER($R568))),"",MAX(0,$T568-$R568))</f>
        <v/>
      </c>
      <c r="V568" s="49" t="str">
        <f>IF(OR($AM568=0,NOT(ISNUMBER($H568)),NOT(ISNUMBER($I568)),NOT(ISNUMBER($G568))),"",IF(OR($AG568="",$AH568=""),"",IF(ROUND(ABS($H568-$I568)*ABS($G568)*$AG568*$AH568,6)=0,"",ROUND(ABS($H568-$I568)*ABS($G568)*$AG568*$AH568,6))))</f>
        <v/>
      </c>
      <c r="W568" s="50" t="str">
        <f>IF($AM568=0,"",IF($BG568="","OK",LEFT($BG568,LEN($BG568)-2)))</f>
        <v/>
      </c>
      <c r="X568" s="41" t="n"/>
      <c r="Y568" s="40" t="n"/>
      <c r="Z568" s="41" t="n"/>
      <c r="AA568" s="41" t="n"/>
      <c r="AB568" s="40" t="n"/>
      <c r="AC568" s="51" t="n"/>
      <c r="AD568" s="51" t="n"/>
      <c r="AE568" s="40" t="n"/>
      <c r="AF568" s="52" t="str">
        <f>IF($AM568=0,"",IF($D568&lt;&gt;"",$D568,IF(IFERROR(INDEX(Accounts!$C$7:$C$16,MATCH($C568,Accounts!$B$7:$B$16,0))&amp;"","")&lt;&gt;"",INDEX(Accounts!$C$7:$C$16,MATCH($C568,Accounts!$B$7:$B$16,0)),Settings!$C$6)))</f>
        <v/>
      </c>
      <c r="AG568" s="53" t="str">
        <f>IF($AM568=0,"",IF(AND($BE568&gt;0,N(INDEX(Instruments!$D$6:$D$205,MAX(1,$BE568)))&gt;0),INDEX(Instruments!$D$6:$D$205,MAX(1,$BE568)),IF(N(INDEX(Settings!$D$14:$D$18,$BF568))&gt;0,INDEX(Settings!$D$14:$D$18,$BF568),"")))</f>
        <v/>
      </c>
      <c r="AH568" s="54" t="str">
        <f>IF($AM568=0,"",IF($AF568&lt;&gt;"Forex",1,IF(MID(UPPER(SUBSTITUTE(TRIM($E568),"/","")),4,3)=UPPER(TRIM(Settings!$C$7)),1,IF(LEFT(UPPER(SUBSTITUTE(TRIM($E568),"/","")),3)=UPPER(TRIM(Settings!$C$7)),IF(AND(ISNUMBER($K568),N($K568)&lt;&gt;0),1/$K568,""),""))))</f>
        <v/>
      </c>
      <c r="AI568" s="55" t="str">
        <f>IF($AM568=0,"",IF(OR(NOT(ISNUMBER($H568)),NOT(ISNUMBER($K568)),NOT(ISNUMBER($G568)),$AG568="",$AH568=""),"",ROUND(($K568-$H568)*IF($F568="Short",-1,1)*$G568*$AG568*$AH568,6)))</f>
        <v/>
      </c>
      <c r="AJ568" s="55" t="str">
        <f>IF($AM568=0,"",IF(INDEX(Settings!$E$14:$E$18,$BF568)="% of notional",IF(OR($AG568="",NOT(ISNUMBER($H568)),NOT(ISNUMBER($G568))),"",ROUND(ABS($H568*$G568*$AG568*N($AH568))*IF($L568="Limit",N(INDEX(Settings!$G$14:$G$18,$BF568)),N(INDEX(Settings!$H$14:$H$18,$BF568)))+IF(ISNUMBER($K568),ABS($K568*$G568*$AG568*N($AH568))*IF($M568="Target",N(INDEX(Settings!$G$14:$G$18,$BF568)),N(INDEX(Settings!$H$14:$H$18,$BF568))),0),6)),IF(NOT(ISNUMBER($G568)),"",ROUND(ABS($G568)*2*IF(AND($BE568&gt;0,ISNUMBER(INDEX(Instruments!$G$6:$G$205,MAX(1,$BE568)))),INDEX(Instruments!$G$6:$G$205,MAX(1,$BE568)),N(INDEX(Settings!$F$14:$F$18,$BF568))),6))))</f>
        <v/>
      </c>
      <c r="AK568" s="55" t="str">
        <f>IF($AM568=0,"",IF(ISNUMBER($O568),$O568,$AI568))</f>
        <v/>
      </c>
      <c r="AL568" s="55" t="str">
        <f>IF($AM568=0,"",IF(ISNUMBER($P568),$P568,N($AJ568)))</f>
        <v/>
      </c>
      <c r="AM568" s="56">
        <f>IF(AND($A568&lt;&gt;"",$E568&lt;&gt;"",OR(AND(ISNUMBER($G568),ISNUMBER($H568),ISNUMBER($K568)),ISNUMBER($O568))),1,0)</f>
        <v>0</v>
      </c>
      <c r="AN568" s="57" t="str">
        <f>IF($A568="","",$A568-WEEKDAY($A568,3))</f>
        <v/>
      </c>
      <c r="AO568" s="56" t="str">
        <f>IF($A568="","",WEEKDAY($A568,2))</f>
        <v/>
      </c>
      <c r="AP568" s="55" t="str">
        <f>IF(OR($AM568=0,$C568=""),"",IFERROR(N(INDEX(Accounts!$E$7:$E$16,MATCH($C568,Accounts!$B$7:$B$16,0))),0)+SUMIFS($Q$6:$Q568,$C$6:$C568,$C568))</f>
        <v/>
      </c>
      <c r="AQ568" s="55" t="str">
        <f>IF(OR($AM568=0,$C568=""),"",SUMIFS($Q$6:$Q$1005,$C$6:$C$1005,$C568,$A$6:$A$1005,$A568))</f>
        <v/>
      </c>
      <c r="AR568" s="55" t="str">
        <f>IF(OR($AM568=0,$C568=""),"",IFERROR(N(INDEX(Accounts!$E$7:$E$16,MATCH($C568,Accounts!$B$7:$B$16,0))),0)+SUMIFS($Q$6:$Q$1005,$C$6:$C$1005,$C568,$A$6:$A$1005,"&lt;="&amp;$A568))</f>
        <v/>
      </c>
      <c r="AS568" s="56">
        <f>IF(OR($AM568=0,$Q568=""),0,IF(AND($A568&gt;=Lists!$W$6,$A568&lt;=Lists!$W$7,OR(Dashboard!$D$6="All accounts",$C568=Dashboard!$D$6),OR(Dashboard!$D$7="All markets",$AF568=Dashboard!$D$7)),1,0))</f>
        <v>0</v>
      </c>
      <c r="AT568" s="55">
        <f>IF($AS568=1,N(AT567)+$Q568,N(AT567))</f>
        <v>1187.10688</v>
      </c>
      <c r="AU568" s="55">
        <f>MAX(N(AU567),$AT568)</f>
        <v>1187.10688</v>
      </c>
      <c r="AV568" s="55">
        <f>$AT568-$AU568</f>
        <v>0</v>
      </c>
      <c r="AW568" s="56">
        <f>IF($AS568=1,IF($S568="Win",N(AW567)+1,IF($S568="Loss",0,N(AW567))),N(AW567))</f>
        <v>5</v>
      </c>
      <c r="AX568" s="56">
        <f>IF($AS568=1,IF($S568="Loss",N(AX567)+1,IF($S568="Win",0,N(AX567))),N(AX567))</f>
        <v>0</v>
      </c>
      <c r="AY568" s="56" t="str">
        <f>IF($AS568=1,COUNTIF($AS$6:$AS568,1),"")</f>
        <v/>
      </c>
      <c r="AZ568" s="56">
        <f>MIN(562,N(Lists!$W$8))</f>
        <v>28</v>
      </c>
      <c r="BA568" s="56">
        <f>IF($AS568=1,IF(COUNTIFS($A$6:$A568,$A568,$AS$6:$AS568,1)=1,1,0),0)</f>
        <v>0</v>
      </c>
      <c r="BB568" s="55" t="str">
        <f>IF($BA568=1,SUMIFS($Q$6:$Q$1005,$A$6:$A$1005,$A568,$AS$6:$AS$1005,1),"")</f>
        <v/>
      </c>
      <c r="BC568" s="56">
        <f>IF(ISNUMBER($R568),1,0)</f>
        <v>0</v>
      </c>
      <c r="BD568" s="55" t="str">
        <f>IF(ISNUMBER($U568),$U568*$V568,"")</f>
        <v/>
      </c>
      <c r="BE568" s="56" t="str">
        <f>IF($AM568=0,"",IFERROR(MATCH($AF568&amp;"|"&amp;UPPER(TRIM($E568)),Lists!$A$6:$A$205,0),0))</f>
        <v/>
      </c>
      <c r="BF568" s="56" t="str">
        <f>IF($AM568=0,"",IFERROR(MATCH($AF568,Settings!$B$14:$B$18,0),IFERROR(MATCH(Settings!$C$6,Settings!$B$14:$B$18,0),1)))</f>
        <v/>
      </c>
      <c r="BG568" s="58" t="str">
        <f>IF($AM568=0,"",IF(NOT(ISNUMBER($I568)),"No stop; ","")&amp;IF(AND(ISNUMBER($H568),ISNUMBER($I568)),IF(OR(AND($F568&lt;&gt;"Short",$I568&gt;=$H568),AND($F568="Short",$I568&lt;=$H568)),"Stop on wrong side; ",""),"")&amp;IF($F568="","No direction; ","")&amp;IF(AND(ISNUMBER(Settings!$C$22),ISNUMBER($V568)),IF($V568&gt;Settings!$C$22,"Risk over max $; ",""),"")&amp;IF(AND(ISNUMBER(Settings!$C$23),ISNUMBER($V568),ISNUMBER($AP568),IFERROR(N(INDEX(Accounts!$E$7:$E$16,MATCH($C568,Accounts!$B$7:$B$16,0))),0)&gt;0),IF($V568&gt;Settings!$C$23*($AP568-N($Q568)),"Risk over max %; ",""),"")&amp;IF(AND(ISNUMBER(Settings!$C$24),ISNUMBER($N568)),IF($N568&gt;Settings!$C$24,"Leverage over max; ",""),"")&amp;IF(AND(ISNUMBER(Settings!$C$27),ISNUMBER($T568)),IF($T568&lt;Settings!$C$27,"R:R below min; ",""),"")&amp;IF(ISNUMBER(Settings!$C$25),IF(COUNTIFS($A$6:$A568,$A568,$AM$6:$AM568,1)&gt;Settings!$C$25,"Over max trades/day; ",""),"")&amp;IF(ISNUMBER(Settings!$C$26),IF(SUMIFS($Q$5:$Q567,$A$5:$A567,$A568)&lt;=-Settings!$C$26,"Traded after daily max loss; ",""),"")&amp;IF(AND($AG568="",NOT(ISNUMBER($O568))),"Symbol not in Instruments; ","")&amp;IF(AND($AH568="",NOT(ISNUMBER($O568))),"Forex cross: type Gross P&amp;L; ",""))</f>
        <v/>
      </c>
      <c r="BH568" s="56">
        <f>IF(ISNUMBER($Q568),1,0)</f>
        <v>0</v>
      </c>
      <c r="BI568" s="56">
        <f>IF($Y568="",0,1)</f>
        <v>0</v>
      </c>
      <c r="BJ568" s="56">
        <f>IF($AB568="",0,1)</f>
        <v>0</v>
      </c>
      <c r="BK568" s="56">
        <f>IF(AND($BH568=1,$W568&lt;&gt;"OK"),1,0)</f>
        <v>0</v>
      </c>
      <c r="BL568" s="55">
        <f>IF(N($AZ568)=0,0,IFERROR(INDEX($AT$6:$AT$1005,MATCH($AZ568,$AY$6:$AY$1005,0)),0))</f>
        <v>1187.10688</v>
      </c>
      <c r="BM568" s="56">
        <f>IF(ISNUMBER(SEARCH("daily max loss",$BG568)),1,0)</f>
        <v>0</v>
      </c>
    </row>
    <row r="569" ht="18" customHeight="1">
      <c r="A569" s="38" t="n"/>
      <c r="B569" s="39" t="n"/>
      <c r="C569" s="40" t="n"/>
      <c r="D569" s="41" t="n"/>
      <c r="E569" s="41" t="n"/>
      <c r="F569" s="41" t="n"/>
      <c r="G569" s="41" t="n"/>
      <c r="H569" s="42" t="n"/>
      <c r="I569" s="42" t="n"/>
      <c r="J569" s="42" t="n"/>
      <c r="K569" s="42" t="n"/>
      <c r="L569" s="41" t="n"/>
      <c r="M569" s="41" t="n"/>
      <c r="N569" s="41" t="n"/>
      <c r="O569" s="43" t="n"/>
      <c r="P569" s="43" t="n"/>
      <c r="Q569" s="44" t="str">
        <f>IF($AM569=0,"",IF(ISNUMBER($AK569),$AK569-N($AL569),""))</f>
        <v/>
      </c>
      <c r="R569" s="45" t="str">
        <f>IF(OR($Q569="",NOT(ISNUMBER($V569))),"",$AK569/$V569)</f>
        <v/>
      </c>
      <c r="S569" s="46" t="str">
        <f>IF($Q569="","",IF(AND(ISNUMBER($R569),ABS(N($R569))&lt;N(Settings!$C$8)),"Scratch",IF($Q569&gt;0,"Win",IF($Q569&lt;0,"Loss","Scratch"))))</f>
        <v/>
      </c>
      <c r="T569" s="47" t="str">
        <f>IF(OR($AM569=0,NOT(ISNUMBER($H569)),NOT(ISNUMBER($I569)),NOT(ISNUMBER($J569))),"",IF($H569=$I569,"",ROUND(ABS($J569-$H569)/ABS($H569-$I569),6)))</f>
        <v/>
      </c>
      <c r="U569" s="48" t="str">
        <f>IF(OR($S569&lt;&gt;"Win",NOT(ISNUMBER($T569)),NOT(ISNUMBER($R569))),"",MAX(0,$T569-$R569))</f>
        <v/>
      </c>
      <c r="V569" s="49" t="str">
        <f>IF(OR($AM569=0,NOT(ISNUMBER($H569)),NOT(ISNUMBER($I569)),NOT(ISNUMBER($G569))),"",IF(OR($AG569="",$AH569=""),"",IF(ROUND(ABS($H569-$I569)*ABS($G569)*$AG569*$AH569,6)=0,"",ROUND(ABS($H569-$I569)*ABS($G569)*$AG569*$AH569,6))))</f>
        <v/>
      </c>
      <c r="W569" s="50" t="str">
        <f>IF($AM569=0,"",IF($BG569="","OK",LEFT($BG569,LEN($BG569)-2)))</f>
        <v/>
      </c>
      <c r="X569" s="41" t="n"/>
      <c r="Y569" s="40" t="n"/>
      <c r="Z569" s="41" t="n"/>
      <c r="AA569" s="41" t="n"/>
      <c r="AB569" s="40" t="n"/>
      <c r="AC569" s="51" t="n"/>
      <c r="AD569" s="51" t="n"/>
      <c r="AE569" s="40" t="n"/>
      <c r="AF569" s="52" t="str">
        <f>IF($AM569=0,"",IF($D569&lt;&gt;"",$D569,IF(IFERROR(INDEX(Accounts!$C$7:$C$16,MATCH($C569,Accounts!$B$7:$B$16,0))&amp;"","")&lt;&gt;"",INDEX(Accounts!$C$7:$C$16,MATCH($C569,Accounts!$B$7:$B$16,0)),Settings!$C$6)))</f>
        <v/>
      </c>
      <c r="AG569" s="53" t="str">
        <f>IF($AM569=0,"",IF(AND($BE569&gt;0,N(INDEX(Instruments!$D$6:$D$205,MAX(1,$BE569)))&gt;0),INDEX(Instruments!$D$6:$D$205,MAX(1,$BE569)),IF(N(INDEX(Settings!$D$14:$D$18,$BF569))&gt;0,INDEX(Settings!$D$14:$D$18,$BF569),"")))</f>
        <v/>
      </c>
      <c r="AH569" s="54" t="str">
        <f>IF($AM569=0,"",IF($AF569&lt;&gt;"Forex",1,IF(MID(UPPER(SUBSTITUTE(TRIM($E569),"/","")),4,3)=UPPER(TRIM(Settings!$C$7)),1,IF(LEFT(UPPER(SUBSTITUTE(TRIM($E569),"/","")),3)=UPPER(TRIM(Settings!$C$7)),IF(AND(ISNUMBER($K569),N($K569)&lt;&gt;0),1/$K569,""),""))))</f>
        <v/>
      </c>
      <c r="AI569" s="55" t="str">
        <f>IF($AM569=0,"",IF(OR(NOT(ISNUMBER($H569)),NOT(ISNUMBER($K569)),NOT(ISNUMBER($G569)),$AG569="",$AH569=""),"",ROUND(($K569-$H569)*IF($F569="Short",-1,1)*$G569*$AG569*$AH569,6)))</f>
        <v/>
      </c>
      <c r="AJ569" s="55" t="str">
        <f>IF($AM569=0,"",IF(INDEX(Settings!$E$14:$E$18,$BF569)="% of notional",IF(OR($AG569="",NOT(ISNUMBER($H569)),NOT(ISNUMBER($G569))),"",ROUND(ABS($H569*$G569*$AG569*N($AH569))*IF($L569="Limit",N(INDEX(Settings!$G$14:$G$18,$BF569)),N(INDEX(Settings!$H$14:$H$18,$BF569)))+IF(ISNUMBER($K569),ABS($K569*$G569*$AG569*N($AH569))*IF($M569="Target",N(INDEX(Settings!$G$14:$G$18,$BF569)),N(INDEX(Settings!$H$14:$H$18,$BF569))),0),6)),IF(NOT(ISNUMBER($G569)),"",ROUND(ABS($G569)*2*IF(AND($BE569&gt;0,ISNUMBER(INDEX(Instruments!$G$6:$G$205,MAX(1,$BE569)))),INDEX(Instruments!$G$6:$G$205,MAX(1,$BE569)),N(INDEX(Settings!$F$14:$F$18,$BF569))),6))))</f>
        <v/>
      </c>
      <c r="AK569" s="55" t="str">
        <f>IF($AM569=0,"",IF(ISNUMBER($O569),$O569,$AI569))</f>
        <v/>
      </c>
      <c r="AL569" s="55" t="str">
        <f>IF($AM569=0,"",IF(ISNUMBER($P569),$P569,N($AJ569)))</f>
        <v/>
      </c>
      <c r="AM569" s="56">
        <f>IF(AND($A569&lt;&gt;"",$E569&lt;&gt;"",OR(AND(ISNUMBER($G569),ISNUMBER($H569),ISNUMBER($K569)),ISNUMBER($O569))),1,0)</f>
        <v>0</v>
      </c>
      <c r="AN569" s="57" t="str">
        <f>IF($A569="","",$A569-WEEKDAY($A569,3))</f>
        <v/>
      </c>
      <c r="AO569" s="56" t="str">
        <f>IF($A569="","",WEEKDAY($A569,2))</f>
        <v/>
      </c>
      <c r="AP569" s="55" t="str">
        <f>IF(OR($AM569=0,$C569=""),"",IFERROR(N(INDEX(Accounts!$E$7:$E$16,MATCH($C569,Accounts!$B$7:$B$16,0))),0)+SUMIFS($Q$6:$Q569,$C$6:$C569,$C569))</f>
        <v/>
      </c>
      <c r="AQ569" s="55" t="str">
        <f>IF(OR($AM569=0,$C569=""),"",SUMIFS($Q$6:$Q$1005,$C$6:$C$1005,$C569,$A$6:$A$1005,$A569))</f>
        <v/>
      </c>
      <c r="AR569" s="55" t="str">
        <f>IF(OR($AM569=0,$C569=""),"",IFERROR(N(INDEX(Accounts!$E$7:$E$16,MATCH($C569,Accounts!$B$7:$B$16,0))),0)+SUMIFS($Q$6:$Q$1005,$C$6:$C$1005,$C569,$A$6:$A$1005,"&lt;="&amp;$A569))</f>
        <v/>
      </c>
      <c r="AS569" s="56">
        <f>IF(OR($AM569=0,$Q569=""),0,IF(AND($A569&gt;=Lists!$W$6,$A569&lt;=Lists!$W$7,OR(Dashboard!$D$6="All accounts",$C569=Dashboard!$D$6),OR(Dashboard!$D$7="All markets",$AF569=Dashboard!$D$7)),1,0))</f>
        <v>0</v>
      </c>
      <c r="AT569" s="55">
        <f>IF($AS569=1,N(AT568)+$Q569,N(AT568))</f>
        <v>1187.10688</v>
      </c>
      <c r="AU569" s="55">
        <f>MAX(N(AU568),$AT569)</f>
        <v>1187.10688</v>
      </c>
      <c r="AV569" s="55">
        <f>$AT569-$AU569</f>
        <v>0</v>
      </c>
      <c r="AW569" s="56">
        <f>IF($AS569=1,IF($S569="Win",N(AW568)+1,IF($S569="Loss",0,N(AW568))),N(AW568))</f>
        <v>5</v>
      </c>
      <c r="AX569" s="56">
        <f>IF($AS569=1,IF($S569="Loss",N(AX568)+1,IF($S569="Win",0,N(AX568))),N(AX568))</f>
        <v>0</v>
      </c>
      <c r="AY569" s="56" t="str">
        <f>IF($AS569=1,COUNTIF($AS$6:$AS569,1),"")</f>
        <v/>
      </c>
      <c r="AZ569" s="56">
        <f>MIN(563,N(Lists!$W$8))</f>
        <v>28</v>
      </c>
      <c r="BA569" s="56">
        <f>IF($AS569=1,IF(COUNTIFS($A$6:$A569,$A569,$AS$6:$AS569,1)=1,1,0),0)</f>
        <v>0</v>
      </c>
      <c r="BB569" s="55" t="str">
        <f>IF($BA569=1,SUMIFS($Q$6:$Q$1005,$A$6:$A$1005,$A569,$AS$6:$AS$1005,1),"")</f>
        <v/>
      </c>
      <c r="BC569" s="56">
        <f>IF(ISNUMBER($R569),1,0)</f>
        <v>0</v>
      </c>
      <c r="BD569" s="55" t="str">
        <f>IF(ISNUMBER($U569),$U569*$V569,"")</f>
        <v/>
      </c>
      <c r="BE569" s="56" t="str">
        <f>IF($AM569=0,"",IFERROR(MATCH($AF569&amp;"|"&amp;UPPER(TRIM($E569)),Lists!$A$6:$A$205,0),0))</f>
        <v/>
      </c>
      <c r="BF569" s="56" t="str">
        <f>IF($AM569=0,"",IFERROR(MATCH($AF569,Settings!$B$14:$B$18,0),IFERROR(MATCH(Settings!$C$6,Settings!$B$14:$B$18,0),1)))</f>
        <v/>
      </c>
      <c r="BG569" s="58" t="str">
        <f>IF($AM569=0,"",IF(NOT(ISNUMBER($I569)),"No stop; ","")&amp;IF(AND(ISNUMBER($H569),ISNUMBER($I569)),IF(OR(AND($F569&lt;&gt;"Short",$I569&gt;=$H569),AND($F569="Short",$I569&lt;=$H569)),"Stop on wrong side; ",""),"")&amp;IF($F569="","No direction; ","")&amp;IF(AND(ISNUMBER(Settings!$C$22),ISNUMBER($V569)),IF($V569&gt;Settings!$C$22,"Risk over max $; ",""),"")&amp;IF(AND(ISNUMBER(Settings!$C$23),ISNUMBER($V569),ISNUMBER($AP569),IFERROR(N(INDEX(Accounts!$E$7:$E$16,MATCH($C569,Accounts!$B$7:$B$16,0))),0)&gt;0),IF($V569&gt;Settings!$C$23*($AP569-N($Q569)),"Risk over max %; ",""),"")&amp;IF(AND(ISNUMBER(Settings!$C$24),ISNUMBER($N569)),IF($N569&gt;Settings!$C$24,"Leverage over max; ",""),"")&amp;IF(AND(ISNUMBER(Settings!$C$27),ISNUMBER($T569)),IF($T569&lt;Settings!$C$27,"R:R below min; ",""),"")&amp;IF(ISNUMBER(Settings!$C$25),IF(COUNTIFS($A$6:$A569,$A569,$AM$6:$AM569,1)&gt;Settings!$C$25,"Over max trades/day; ",""),"")&amp;IF(ISNUMBER(Settings!$C$26),IF(SUMIFS($Q$5:$Q568,$A$5:$A568,$A569)&lt;=-Settings!$C$26,"Traded after daily max loss; ",""),"")&amp;IF(AND($AG569="",NOT(ISNUMBER($O569))),"Symbol not in Instruments; ","")&amp;IF(AND($AH569="",NOT(ISNUMBER($O569))),"Forex cross: type Gross P&amp;L; ",""))</f>
        <v/>
      </c>
      <c r="BH569" s="56">
        <f>IF(ISNUMBER($Q569),1,0)</f>
        <v>0</v>
      </c>
      <c r="BI569" s="56">
        <f>IF($Y569="",0,1)</f>
        <v>0</v>
      </c>
      <c r="BJ569" s="56">
        <f>IF($AB569="",0,1)</f>
        <v>0</v>
      </c>
      <c r="BK569" s="56">
        <f>IF(AND($BH569=1,$W569&lt;&gt;"OK"),1,0)</f>
        <v>0</v>
      </c>
      <c r="BL569" s="55">
        <f>IF(N($AZ569)=0,0,IFERROR(INDEX($AT$6:$AT$1005,MATCH($AZ569,$AY$6:$AY$1005,0)),0))</f>
        <v>1187.10688</v>
      </c>
      <c r="BM569" s="56">
        <f>IF(ISNUMBER(SEARCH("daily max loss",$BG569)),1,0)</f>
        <v>0</v>
      </c>
    </row>
    <row r="570" ht="18" customHeight="1">
      <c r="A570" s="38" t="n"/>
      <c r="B570" s="39" t="n"/>
      <c r="C570" s="40" t="n"/>
      <c r="D570" s="41" t="n"/>
      <c r="E570" s="41" t="n"/>
      <c r="F570" s="41" t="n"/>
      <c r="G570" s="41" t="n"/>
      <c r="H570" s="42" t="n"/>
      <c r="I570" s="42" t="n"/>
      <c r="J570" s="42" t="n"/>
      <c r="K570" s="42" t="n"/>
      <c r="L570" s="41" t="n"/>
      <c r="M570" s="41" t="n"/>
      <c r="N570" s="41" t="n"/>
      <c r="O570" s="43" t="n"/>
      <c r="P570" s="43" t="n"/>
      <c r="Q570" s="44" t="str">
        <f>IF($AM570=0,"",IF(ISNUMBER($AK570),$AK570-N($AL570),""))</f>
        <v/>
      </c>
      <c r="R570" s="45" t="str">
        <f>IF(OR($Q570="",NOT(ISNUMBER($V570))),"",$AK570/$V570)</f>
        <v/>
      </c>
      <c r="S570" s="46" t="str">
        <f>IF($Q570="","",IF(AND(ISNUMBER($R570),ABS(N($R570))&lt;N(Settings!$C$8)),"Scratch",IF($Q570&gt;0,"Win",IF($Q570&lt;0,"Loss","Scratch"))))</f>
        <v/>
      </c>
      <c r="T570" s="47" t="str">
        <f>IF(OR($AM570=0,NOT(ISNUMBER($H570)),NOT(ISNUMBER($I570)),NOT(ISNUMBER($J570))),"",IF($H570=$I570,"",ROUND(ABS($J570-$H570)/ABS($H570-$I570),6)))</f>
        <v/>
      </c>
      <c r="U570" s="48" t="str">
        <f>IF(OR($S570&lt;&gt;"Win",NOT(ISNUMBER($T570)),NOT(ISNUMBER($R570))),"",MAX(0,$T570-$R570))</f>
        <v/>
      </c>
      <c r="V570" s="49" t="str">
        <f>IF(OR($AM570=0,NOT(ISNUMBER($H570)),NOT(ISNUMBER($I570)),NOT(ISNUMBER($G570))),"",IF(OR($AG570="",$AH570=""),"",IF(ROUND(ABS($H570-$I570)*ABS($G570)*$AG570*$AH570,6)=0,"",ROUND(ABS($H570-$I570)*ABS($G570)*$AG570*$AH570,6))))</f>
        <v/>
      </c>
      <c r="W570" s="50" t="str">
        <f>IF($AM570=0,"",IF($BG570="","OK",LEFT($BG570,LEN($BG570)-2)))</f>
        <v/>
      </c>
      <c r="X570" s="41" t="n"/>
      <c r="Y570" s="40" t="n"/>
      <c r="Z570" s="41" t="n"/>
      <c r="AA570" s="41" t="n"/>
      <c r="AB570" s="40" t="n"/>
      <c r="AC570" s="51" t="n"/>
      <c r="AD570" s="51" t="n"/>
      <c r="AE570" s="40" t="n"/>
      <c r="AF570" s="52" t="str">
        <f>IF($AM570=0,"",IF($D570&lt;&gt;"",$D570,IF(IFERROR(INDEX(Accounts!$C$7:$C$16,MATCH($C570,Accounts!$B$7:$B$16,0))&amp;"","")&lt;&gt;"",INDEX(Accounts!$C$7:$C$16,MATCH($C570,Accounts!$B$7:$B$16,0)),Settings!$C$6)))</f>
        <v/>
      </c>
      <c r="AG570" s="53" t="str">
        <f>IF($AM570=0,"",IF(AND($BE570&gt;0,N(INDEX(Instruments!$D$6:$D$205,MAX(1,$BE570)))&gt;0),INDEX(Instruments!$D$6:$D$205,MAX(1,$BE570)),IF(N(INDEX(Settings!$D$14:$D$18,$BF570))&gt;0,INDEX(Settings!$D$14:$D$18,$BF570),"")))</f>
        <v/>
      </c>
      <c r="AH570" s="54" t="str">
        <f>IF($AM570=0,"",IF($AF570&lt;&gt;"Forex",1,IF(MID(UPPER(SUBSTITUTE(TRIM($E570),"/","")),4,3)=UPPER(TRIM(Settings!$C$7)),1,IF(LEFT(UPPER(SUBSTITUTE(TRIM($E570),"/","")),3)=UPPER(TRIM(Settings!$C$7)),IF(AND(ISNUMBER($K570),N($K570)&lt;&gt;0),1/$K570,""),""))))</f>
        <v/>
      </c>
      <c r="AI570" s="55" t="str">
        <f>IF($AM570=0,"",IF(OR(NOT(ISNUMBER($H570)),NOT(ISNUMBER($K570)),NOT(ISNUMBER($G570)),$AG570="",$AH570=""),"",ROUND(($K570-$H570)*IF($F570="Short",-1,1)*$G570*$AG570*$AH570,6)))</f>
        <v/>
      </c>
      <c r="AJ570" s="55" t="str">
        <f>IF($AM570=0,"",IF(INDEX(Settings!$E$14:$E$18,$BF570)="% of notional",IF(OR($AG570="",NOT(ISNUMBER($H570)),NOT(ISNUMBER($G570))),"",ROUND(ABS($H570*$G570*$AG570*N($AH570))*IF($L570="Limit",N(INDEX(Settings!$G$14:$G$18,$BF570)),N(INDEX(Settings!$H$14:$H$18,$BF570)))+IF(ISNUMBER($K570),ABS($K570*$G570*$AG570*N($AH570))*IF($M570="Target",N(INDEX(Settings!$G$14:$G$18,$BF570)),N(INDEX(Settings!$H$14:$H$18,$BF570))),0),6)),IF(NOT(ISNUMBER($G570)),"",ROUND(ABS($G570)*2*IF(AND($BE570&gt;0,ISNUMBER(INDEX(Instruments!$G$6:$G$205,MAX(1,$BE570)))),INDEX(Instruments!$G$6:$G$205,MAX(1,$BE570)),N(INDEX(Settings!$F$14:$F$18,$BF570))),6))))</f>
        <v/>
      </c>
      <c r="AK570" s="55" t="str">
        <f>IF($AM570=0,"",IF(ISNUMBER($O570),$O570,$AI570))</f>
        <v/>
      </c>
      <c r="AL570" s="55" t="str">
        <f>IF($AM570=0,"",IF(ISNUMBER($P570),$P570,N($AJ570)))</f>
        <v/>
      </c>
      <c r="AM570" s="56">
        <f>IF(AND($A570&lt;&gt;"",$E570&lt;&gt;"",OR(AND(ISNUMBER($G570),ISNUMBER($H570),ISNUMBER($K570)),ISNUMBER($O570))),1,0)</f>
        <v>0</v>
      </c>
      <c r="AN570" s="57" t="str">
        <f>IF($A570="","",$A570-WEEKDAY($A570,3))</f>
        <v/>
      </c>
      <c r="AO570" s="56" t="str">
        <f>IF($A570="","",WEEKDAY($A570,2))</f>
        <v/>
      </c>
      <c r="AP570" s="55" t="str">
        <f>IF(OR($AM570=0,$C570=""),"",IFERROR(N(INDEX(Accounts!$E$7:$E$16,MATCH($C570,Accounts!$B$7:$B$16,0))),0)+SUMIFS($Q$6:$Q570,$C$6:$C570,$C570))</f>
        <v/>
      </c>
      <c r="AQ570" s="55" t="str">
        <f>IF(OR($AM570=0,$C570=""),"",SUMIFS($Q$6:$Q$1005,$C$6:$C$1005,$C570,$A$6:$A$1005,$A570))</f>
        <v/>
      </c>
      <c r="AR570" s="55" t="str">
        <f>IF(OR($AM570=0,$C570=""),"",IFERROR(N(INDEX(Accounts!$E$7:$E$16,MATCH($C570,Accounts!$B$7:$B$16,0))),0)+SUMIFS($Q$6:$Q$1005,$C$6:$C$1005,$C570,$A$6:$A$1005,"&lt;="&amp;$A570))</f>
        <v/>
      </c>
      <c r="AS570" s="56">
        <f>IF(OR($AM570=0,$Q570=""),0,IF(AND($A570&gt;=Lists!$W$6,$A570&lt;=Lists!$W$7,OR(Dashboard!$D$6="All accounts",$C570=Dashboard!$D$6),OR(Dashboard!$D$7="All markets",$AF570=Dashboard!$D$7)),1,0))</f>
        <v>0</v>
      </c>
      <c r="AT570" s="55">
        <f>IF($AS570=1,N(AT569)+$Q570,N(AT569))</f>
        <v>1187.10688</v>
      </c>
      <c r="AU570" s="55">
        <f>MAX(N(AU569),$AT570)</f>
        <v>1187.10688</v>
      </c>
      <c r="AV570" s="55">
        <f>$AT570-$AU570</f>
        <v>0</v>
      </c>
      <c r="AW570" s="56">
        <f>IF($AS570=1,IF($S570="Win",N(AW569)+1,IF($S570="Loss",0,N(AW569))),N(AW569))</f>
        <v>5</v>
      </c>
      <c r="AX570" s="56">
        <f>IF($AS570=1,IF($S570="Loss",N(AX569)+1,IF($S570="Win",0,N(AX569))),N(AX569))</f>
        <v>0</v>
      </c>
      <c r="AY570" s="56" t="str">
        <f>IF($AS570=1,COUNTIF($AS$6:$AS570,1),"")</f>
        <v/>
      </c>
      <c r="AZ570" s="56">
        <f>MIN(564,N(Lists!$W$8))</f>
        <v>28</v>
      </c>
      <c r="BA570" s="56">
        <f>IF($AS570=1,IF(COUNTIFS($A$6:$A570,$A570,$AS$6:$AS570,1)=1,1,0),0)</f>
        <v>0</v>
      </c>
      <c r="BB570" s="55" t="str">
        <f>IF($BA570=1,SUMIFS($Q$6:$Q$1005,$A$6:$A$1005,$A570,$AS$6:$AS$1005,1),"")</f>
        <v/>
      </c>
      <c r="BC570" s="56">
        <f>IF(ISNUMBER($R570),1,0)</f>
        <v>0</v>
      </c>
      <c r="BD570" s="55" t="str">
        <f>IF(ISNUMBER($U570),$U570*$V570,"")</f>
        <v/>
      </c>
      <c r="BE570" s="56" t="str">
        <f>IF($AM570=0,"",IFERROR(MATCH($AF570&amp;"|"&amp;UPPER(TRIM($E570)),Lists!$A$6:$A$205,0),0))</f>
        <v/>
      </c>
      <c r="BF570" s="56" t="str">
        <f>IF($AM570=0,"",IFERROR(MATCH($AF570,Settings!$B$14:$B$18,0),IFERROR(MATCH(Settings!$C$6,Settings!$B$14:$B$18,0),1)))</f>
        <v/>
      </c>
      <c r="BG570" s="58" t="str">
        <f>IF($AM570=0,"",IF(NOT(ISNUMBER($I570)),"No stop; ","")&amp;IF(AND(ISNUMBER($H570),ISNUMBER($I570)),IF(OR(AND($F570&lt;&gt;"Short",$I570&gt;=$H570),AND($F570="Short",$I570&lt;=$H570)),"Stop on wrong side; ",""),"")&amp;IF($F570="","No direction; ","")&amp;IF(AND(ISNUMBER(Settings!$C$22),ISNUMBER($V570)),IF($V570&gt;Settings!$C$22,"Risk over max $; ",""),"")&amp;IF(AND(ISNUMBER(Settings!$C$23),ISNUMBER($V570),ISNUMBER($AP570),IFERROR(N(INDEX(Accounts!$E$7:$E$16,MATCH($C570,Accounts!$B$7:$B$16,0))),0)&gt;0),IF($V570&gt;Settings!$C$23*($AP570-N($Q570)),"Risk over max %; ",""),"")&amp;IF(AND(ISNUMBER(Settings!$C$24),ISNUMBER($N570)),IF($N570&gt;Settings!$C$24,"Leverage over max; ",""),"")&amp;IF(AND(ISNUMBER(Settings!$C$27),ISNUMBER($T570)),IF($T570&lt;Settings!$C$27,"R:R below min; ",""),"")&amp;IF(ISNUMBER(Settings!$C$25),IF(COUNTIFS($A$6:$A570,$A570,$AM$6:$AM570,1)&gt;Settings!$C$25,"Over max trades/day; ",""),"")&amp;IF(ISNUMBER(Settings!$C$26),IF(SUMIFS($Q$5:$Q569,$A$5:$A569,$A570)&lt;=-Settings!$C$26,"Traded after daily max loss; ",""),"")&amp;IF(AND($AG570="",NOT(ISNUMBER($O570))),"Symbol not in Instruments; ","")&amp;IF(AND($AH570="",NOT(ISNUMBER($O570))),"Forex cross: type Gross P&amp;L; ",""))</f>
        <v/>
      </c>
      <c r="BH570" s="56">
        <f>IF(ISNUMBER($Q570),1,0)</f>
        <v>0</v>
      </c>
      <c r="BI570" s="56">
        <f>IF($Y570="",0,1)</f>
        <v>0</v>
      </c>
      <c r="BJ570" s="56">
        <f>IF($AB570="",0,1)</f>
        <v>0</v>
      </c>
      <c r="BK570" s="56">
        <f>IF(AND($BH570=1,$W570&lt;&gt;"OK"),1,0)</f>
        <v>0</v>
      </c>
      <c r="BL570" s="55">
        <f>IF(N($AZ570)=0,0,IFERROR(INDEX($AT$6:$AT$1005,MATCH($AZ570,$AY$6:$AY$1005,0)),0))</f>
        <v>1187.10688</v>
      </c>
      <c r="BM570" s="56">
        <f>IF(ISNUMBER(SEARCH("daily max loss",$BG570)),1,0)</f>
        <v>0</v>
      </c>
    </row>
    <row r="571" ht="18" customHeight="1">
      <c r="A571" s="38" t="n"/>
      <c r="B571" s="39" t="n"/>
      <c r="C571" s="40" t="n"/>
      <c r="D571" s="41" t="n"/>
      <c r="E571" s="41" t="n"/>
      <c r="F571" s="41" t="n"/>
      <c r="G571" s="41" t="n"/>
      <c r="H571" s="42" t="n"/>
      <c r="I571" s="42" t="n"/>
      <c r="J571" s="42" t="n"/>
      <c r="K571" s="42" t="n"/>
      <c r="L571" s="41" t="n"/>
      <c r="M571" s="41" t="n"/>
      <c r="N571" s="41" t="n"/>
      <c r="O571" s="43" t="n"/>
      <c r="P571" s="43" t="n"/>
      <c r="Q571" s="44" t="str">
        <f>IF($AM571=0,"",IF(ISNUMBER($AK571),$AK571-N($AL571),""))</f>
        <v/>
      </c>
      <c r="R571" s="45" t="str">
        <f>IF(OR($Q571="",NOT(ISNUMBER($V571))),"",$AK571/$V571)</f>
        <v/>
      </c>
      <c r="S571" s="46" t="str">
        <f>IF($Q571="","",IF(AND(ISNUMBER($R571),ABS(N($R571))&lt;N(Settings!$C$8)),"Scratch",IF($Q571&gt;0,"Win",IF($Q571&lt;0,"Loss","Scratch"))))</f>
        <v/>
      </c>
      <c r="T571" s="47" t="str">
        <f>IF(OR($AM571=0,NOT(ISNUMBER($H571)),NOT(ISNUMBER($I571)),NOT(ISNUMBER($J571))),"",IF($H571=$I571,"",ROUND(ABS($J571-$H571)/ABS($H571-$I571),6)))</f>
        <v/>
      </c>
      <c r="U571" s="48" t="str">
        <f>IF(OR($S571&lt;&gt;"Win",NOT(ISNUMBER($T571)),NOT(ISNUMBER($R571))),"",MAX(0,$T571-$R571))</f>
        <v/>
      </c>
      <c r="V571" s="49" t="str">
        <f>IF(OR($AM571=0,NOT(ISNUMBER($H571)),NOT(ISNUMBER($I571)),NOT(ISNUMBER($G571))),"",IF(OR($AG571="",$AH571=""),"",IF(ROUND(ABS($H571-$I571)*ABS($G571)*$AG571*$AH571,6)=0,"",ROUND(ABS($H571-$I571)*ABS($G571)*$AG571*$AH571,6))))</f>
        <v/>
      </c>
      <c r="W571" s="50" t="str">
        <f>IF($AM571=0,"",IF($BG571="","OK",LEFT($BG571,LEN($BG571)-2)))</f>
        <v/>
      </c>
      <c r="X571" s="41" t="n"/>
      <c r="Y571" s="40" t="n"/>
      <c r="Z571" s="41" t="n"/>
      <c r="AA571" s="41" t="n"/>
      <c r="AB571" s="40" t="n"/>
      <c r="AC571" s="51" t="n"/>
      <c r="AD571" s="51" t="n"/>
      <c r="AE571" s="40" t="n"/>
      <c r="AF571" s="52" t="str">
        <f>IF($AM571=0,"",IF($D571&lt;&gt;"",$D571,IF(IFERROR(INDEX(Accounts!$C$7:$C$16,MATCH($C571,Accounts!$B$7:$B$16,0))&amp;"","")&lt;&gt;"",INDEX(Accounts!$C$7:$C$16,MATCH($C571,Accounts!$B$7:$B$16,0)),Settings!$C$6)))</f>
        <v/>
      </c>
      <c r="AG571" s="53" t="str">
        <f>IF($AM571=0,"",IF(AND($BE571&gt;0,N(INDEX(Instruments!$D$6:$D$205,MAX(1,$BE571)))&gt;0),INDEX(Instruments!$D$6:$D$205,MAX(1,$BE571)),IF(N(INDEX(Settings!$D$14:$D$18,$BF571))&gt;0,INDEX(Settings!$D$14:$D$18,$BF571),"")))</f>
        <v/>
      </c>
      <c r="AH571" s="54" t="str">
        <f>IF($AM571=0,"",IF($AF571&lt;&gt;"Forex",1,IF(MID(UPPER(SUBSTITUTE(TRIM($E571),"/","")),4,3)=UPPER(TRIM(Settings!$C$7)),1,IF(LEFT(UPPER(SUBSTITUTE(TRIM($E571),"/","")),3)=UPPER(TRIM(Settings!$C$7)),IF(AND(ISNUMBER($K571),N($K571)&lt;&gt;0),1/$K571,""),""))))</f>
        <v/>
      </c>
      <c r="AI571" s="55" t="str">
        <f>IF($AM571=0,"",IF(OR(NOT(ISNUMBER($H571)),NOT(ISNUMBER($K571)),NOT(ISNUMBER($G571)),$AG571="",$AH571=""),"",ROUND(($K571-$H571)*IF($F571="Short",-1,1)*$G571*$AG571*$AH571,6)))</f>
        <v/>
      </c>
      <c r="AJ571" s="55" t="str">
        <f>IF($AM571=0,"",IF(INDEX(Settings!$E$14:$E$18,$BF571)="% of notional",IF(OR($AG571="",NOT(ISNUMBER($H571)),NOT(ISNUMBER($G571))),"",ROUND(ABS($H571*$G571*$AG571*N($AH571))*IF($L571="Limit",N(INDEX(Settings!$G$14:$G$18,$BF571)),N(INDEX(Settings!$H$14:$H$18,$BF571)))+IF(ISNUMBER($K571),ABS($K571*$G571*$AG571*N($AH571))*IF($M571="Target",N(INDEX(Settings!$G$14:$G$18,$BF571)),N(INDEX(Settings!$H$14:$H$18,$BF571))),0),6)),IF(NOT(ISNUMBER($G571)),"",ROUND(ABS($G571)*2*IF(AND($BE571&gt;0,ISNUMBER(INDEX(Instruments!$G$6:$G$205,MAX(1,$BE571)))),INDEX(Instruments!$G$6:$G$205,MAX(1,$BE571)),N(INDEX(Settings!$F$14:$F$18,$BF571))),6))))</f>
        <v/>
      </c>
      <c r="AK571" s="55" t="str">
        <f>IF($AM571=0,"",IF(ISNUMBER($O571),$O571,$AI571))</f>
        <v/>
      </c>
      <c r="AL571" s="55" t="str">
        <f>IF($AM571=0,"",IF(ISNUMBER($P571),$P571,N($AJ571)))</f>
        <v/>
      </c>
      <c r="AM571" s="56">
        <f>IF(AND($A571&lt;&gt;"",$E571&lt;&gt;"",OR(AND(ISNUMBER($G571),ISNUMBER($H571),ISNUMBER($K571)),ISNUMBER($O571))),1,0)</f>
        <v>0</v>
      </c>
      <c r="AN571" s="57" t="str">
        <f>IF($A571="","",$A571-WEEKDAY($A571,3))</f>
        <v/>
      </c>
      <c r="AO571" s="56" t="str">
        <f>IF($A571="","",WEEKDAY($A571,2))</f>
        <v/>
      </c>
      <c r="AP571" s="55" t="str">
        <f>IF(OR($AM571=0,$C571=""),"",IFERROR(N(INDEX(Accounts!$E$7:$E$16,MATCH($C571,Accounts!$B$7:$B$16,0))),0)+SUMIFS($Q$6:$Q571,$C$6:$C571,$C571))</f>
        <v/>
      </c>
      <c r="AQ571" s="55" t="str">
        <f>IF(OR($AM571=0,$C571=""),"",SUMIFS($Q$6:$Q$1005,$C$6:$C$1005,$C571,$A$6:$A$1005,$A571))</f>
        <v/>
      </c>
      <c r="AR571" s="55" t="str">
        <f>IF(OR($AM571=0,$C571=""),"",IFERROR(N(INDEX(Accounts!$E$7:$E$16,MATCH($C571,Accounts!$B$7:$B$16,0))),0)+SUMIFS($Q$6:$Q$1005,$C$6:$C$1005,$C571,$A$6:$A$1005,"&lt;="&amp;$A571))</f>
        <v/>
      </c>
      <c r="AS571" s="56">
        <f>IF(OR($AM571=0,$Q571=""),0,IF(AND($A571&gt;=Lists!$W$6,$A571&lt;=Lists!$W$7,OR(Dashboard!$D$6="All accounts",$C571=Dashboard!$D$6),OR(Dashboard!$D$7="All markets",$AF571=Dashboard!$D$7)),1,0))</f>
        <v>0</v>
      </c>
      <c r="AT571" s="55">
        <f>IF($AS571=1,N(AT570)+$Q571,N(AT570))</f>
        <v>1187.10688</v>
      </c>
      <c r="AU571" s="55">
        <f>MAX(N(AU570),$AT571)</f>
        <v>1187.10688</v>
      </c>
      <c r="AV571" s="55">
        <f>$AT571-$AU571</f>
        <v>0</v>
      </c>
      <c r="AW571" s="56">
        <f>IF($AS571=1,IF($S571="Win",N(AW570)+1,IF($S571="Loss",0,N(AW570))),N(AW570))</f>
        <v>5</v>
      </c>
      <c r="AX571" s="56">
        <f>IF($AS571=1,IF($S571="Loss",N(AX570)+1,IF($S571="Win",0,N(AX570))),N(AX570))</f>
        <v>0</v>
      </c>
      <c r="AY571" s="56" t="str">
        <f>IF($AS571=1,COUNTIF($AS$6:$AS571,1),"")</f>
        <v/>
      </c>
      <c r="AZ571" s="56">
        <f>MIN(565,N(Lists!$W$8))</f>
        <v>28</v>
      </c>
      <c r="BA571" s="56">
        <f>IF($AS571=1,IF(COUNTIFS($A$6:$A571,$A571,$AS$6:$AS571,1)=1,1,0),0)</f>
        <v>0</v>
      </c>
      <c r="BB571" s="55" t="str">
        <f>IF($BA571=1,SUMIFS($Q$6:$Q$1005,$A$6:$A$1005,$A571,$AS$6:$AS$1005,1),"")</f>
        <v/>
      </c>
      <c r="BC571" s="56">
        <f>IF(ISNUMBER($R571),1,0)</f>
        <v>0</v>
      </c>
      <c r="BD571" s="55" t="str">
        <f>IF(ISNUMBER($U571),$U571*$V571,"")</f>
        <v/>
      </c>
      <c r="BE571" s="56" t="str">
        <f>IF($AM571=0,"",IFERROR(MATCH($AF571&amp;"|"&amp;UPPER(TRIM($E571)),Lists!$A$6:$A$205,0),0))</f>
        <v/>
      </c>
      <c r="BF571" s="56" t="str">
        <f>IF($AM571=0,"",IFERROR(MATCH($AF571,Settings!$B$14:$B$18,0),IFERROR(MATCH(Settings!$C$6,Settings!$B$14:$B$18,0),1)))</f>
        <v/>
      </c>
      <c r="BG571" s="58" t="str">
        <f>IF($AM571=0,"",IF(NOT(ISNUMBER($I571)),"No stop; ","")&amp;IF(AND(ISNUMBER($H571),ISNUMBER($I571)),IF(OR(AND($F571&lt;&gt;"Short",$I571&gt;=$H571),AND($F571="Short",$I571&lt;=$H571)),"Stop on wrong side; ",""),"")&amp;IF($F571="","No direction; ","")&amp;IF(AND(ISNUMBER(Settings!$C$22),ISNUMBER($V571)),IF($V571&gt;Settings!$C$22,"Risk over max $; ",""),"")&amp;IF(AND(ISNUMBER(Settings!$C$23),ISNUMBER($V571),ISNUMBER($AP571),IFERROR(N(INDEX(Accounts!$E$7:$E$16,MATCH($C571,Accounts!$B$7:$B$16,0))),0)&gt;0),IF($V571&gt;Settings!$C$23*($AP571-N($Q571)),"Risk over max %; ",""),"")&amp;IF(AND(ISNUMBER(Settings!$C$24),ISNUMBER($N571)),IF($N571&gt;Settings!$C$24,"Leverage over max; ",""),"")&amp;IF(AND(ISNUMBER(Settings!$C$27),ISNUMBER($T571)),IF($T571&lt;Settings!$C$27,"R:R below min; ",""),"")&amp;IF(ISNUMBER(Settings!$C$25),IF(COUNTIFS($A$6:$A571,$A571,$AM$6:$AM571,1)&gt;Settings!$C$25,"Over max trades/day; ",""),"")&amp;IF(ISNUMBER(Settings!$C$26),IF(SUMIFS($Q$5:$Q570,$A$5:$A570,$A571)&lt;=-Settings!$C$26,"Traded after daily max loss; ",""),"")&amp;IF(AND($AG571="",NOT(ISNUMBER($O571))),"Symbol not in Instruments; ","")&amp;IF(AND($AH571="",NOT(ISNUMBER($O571))),"Forex cross: type Gross P&amp;L; ",""))</f>
        <v/>
      </c>
      <c r="BH571" s="56">
        <f>IF(ISNUMBER($Q571),1,0)</f>
        <v>0</v>
      </c>
      <c r="BI571" s="56">
        <f>IF($Y571="",0,1)</f>
        <v>0</v>
      </c>
      <c r="BJ571" s="56">
        <f>IF($AB571="",0,1)</f>
        <v>0</v>
      </c>
      <c r="BK571" s="56">
        <f>IF(AND($BH571=1,$W571&lt;&gt;"OK"),1,0)</f>
        <v>0</v>
      </c>
      <c r="BL571" s="55">
        <f>IF(N($AZ571)=0,0,IFERROR(INDEX($AT$6:$AT$1005,MATCH($AZ571,$AY$6:$AY$1005,0)),0))</f>
        <v>1187.10688</v>
      </c>
      <c r="BM571" s="56">
        <f>IF(ISNUMBER(SEARCH("daily max loss",$BG571)),1,0)</f>
        <v>0</v>
      </c>
    </row>
    <row r="572" ht="18" customHeight="1">
      <c r="A572" s="38" t="n"/>
      <c r="B572" s="39" t="n"/>
      <c r="C572" s="40" t="n"/>
      <c r="D572" s="41" t="n"/>
      <c r="E572" s="41" t="n"/>
      <c r="F572" s="41" t="n"/>
      <c r="G572" s="41" t="n"/>
      <c r="H572" s="42" t="n"/>
      <c r="I572" s="42" t="n"/>
      <c r="J572" s="42" t="n"/>
      <c r="K572" s="42" t="n"/>
      <c r="L572" s="41" t="n"/>
      <c r="M572" s="41" t="n"/>
      <c r="N572" s="41" t="n"/>
      <c r="O572" s="43" t="n"/>
      <c r="P572" s="43" t="n"/>
      <c r="Q572" s="44" t="str">
        <f>IF($AM572=0,"",IF(ISNUMBER($AK572),$AK572-N($AL572),""))</f>
        <v/>
      </c>
      <c r="R572" s="45" t="str">
        <f>IF(OR($Q572="",NOT(ISNUMBER($V572))),"",$AK572/$V572)</f>
        <v/>
      </c>
      <c r="S572" s="46" t="str">
        <f>IF($Q572="","",IF(AND(ISNUMBER($R572),ABS(N($R572))&lt;N(Settings!$C$8)),"Scratch",IF($Q572&gt;0,"Win",IF($Q572&lt;0,"Loss","Scratch"))))</f>
        <v/>
      </c>
      <c r="T572" s="47" t="str">
        <f>IF(OR($AM572=0,NOT(ISNUMBER($H572)),NOT(ISNUMBER($I572)),NOT(ISNUMBER($J572))),"",IF($H572=$I572,"",ROUND(ABS($J572-$H572)/ABS($H572-$I572),6)))</f>
        <v/>
      </c>
      <c r="U572" s="48" t="str">
        <f>IF(OR($S572&lt;&gt;"Win",NOT(ISNUMBER($T572)),NOT(ISNUMBER($R572))),"",MAX(0,$T572-$R572))</f>
        <v/>
      </c>
      <c r="V572" s="49" t="str">
        <f>IF(OR($AM572=0,NOT(ISNUMBER($H572)),NOT(ISNUMBER($I572)),NOT(ISNUMBER($G572))),"",IF(OR($AG572="",$AH572=""),"",IF(ROUND(ABS($H572-$I572)*ABS($G572)*$AG572*$AH572,6)=0,"",ROUND(ABS($H572-$I572)*ABS($G572)*$AG572*$AH572,6))))</f>
        <v/>
      </c>
      <c r="W572" s="50" t="str">
        <f>IF($AM572=0,"",IF($BG572="","OK",LEFT($BG572,LEN($BG572)-2)))</f>
        <v/>
      </c>
      <c r="X572" s="41" t="n"/>
      <c r="Y572" s="40" t="n"/>
      <c r="Z572" s="41" t="n"/>
      <c r="AA572" s="41" t="n"/>
      <c r="AB572" s="40" t="n"/>
      <c r="AC572" s="51" t="n"/>
      <c r="AD572" s="51" t="n"/>
      <c r="AE572" s="40" t="n"/>
      <c r="AF572" s="52" t="str">
        <f>IF($AM572=0,"",IF($D572&lt;&gt;"",$D572,IF(IFERROR(INDEX(Accounts!$C$7:$C$16,MATCH($C572,Accounts!$B$7:$B$16,0))&amp;"","")&lt;&gt;"",INDEX(Accounts!$C$7:$C$16,MATCH($C572,Accounts!$B$7:$B$16,0)),Settings!$C$6)))</f>
        <v/>
      </c>
      <c r="AG572" s="53" t="str">
        <f>IF($AM572=0,"",IF(AND($BE572&gt;0,N(INDEX(Instruments!$D$6:$D$205,MAX(1,$BE572)))&gt;0),INDEX(Instruments!$D$6:$D$205,MAX(1,$BE572)),IF(N(INDEX(Settings!$D$14:$D$18,$BF572))&gt;0,INDEX(Settings!$D$14:$D$18,$BF572),"")))</f>
        <v/>
      </c>
      <c r="AH572" s="54" t="str">
        <f>IF($AM572=0,"",IF($AF572&lt;&gt;"Forex",1,IF(MID(UPPER(SUBSTITUTE(TRIM($E572),"/","")),4,3)=UPPER(TRIM(Settings!$C$7)),1,IF(LEFT(UPPER(SUBSTITUTE(TRIM($E572),"/","")),3)=UPPER(TRIM(Settings!$C$7)),IF(AND(ISNUMBER($K572),N($K572)&lt;&gt;0),1/$K572,""),""))))</f>
        <v/>
      </c>
      <c r="AI572" s="55" t="str">
        <f>IF($AM572=0,"",IF(OR(NOT(ISNUMBER($H572)),NOT(ISNUMBER($K572)),NOT(ISNUMBER($G572)),$AG572="",$AH572=""),"",ROUND(($K572-$H572)*IF($F572="Short",-1,1)*$G572*$AG572*$AH572,6)))</f>
        <v/>
      </c>
      <c r="AJ572" s="55" t="str">
        <f>IF($AM572=0,"",IF(INDEX(Settings!$E$14:$E$18,$BF572)="% of notional",IF(OR($AG572="",NOT(ISNUMBER($H572)),NOT(ISNUMBER($G572))),"",ROUND(ABS($H572*$G572*$AG572*N($AH572))*IF($L572="Limit",N(INDEX(Settings!$G$14:$G$18,$BF572)),N(INDEX(Settings!$H$14:$H$18,$BF572)))+IF(ISNUMBER($K572),ABS($K572*$G572*$AG572*N($AH572))*IF($M572="Target",N(INDEX(Settings!$G$14:$G$18,$BF572)),N(INDEX(Settings!$H$14:$H$18,$BF572))),0),6)),IF(NOT(ISNUMBER($G572)),"",ROUND(ABS($G572)*2*IF(AND($BE572&gt;0,ISNUMBER(INDEX(Instruments!$G$6:$G$205,MAX(1,$BE572)))),INDEX(Instruments!$G$6:$G$205,MAX(1,$BE572)),N(INDEX(Settings!$F$14:$F$18,$BF572))),6))))</f>
        <v/>
      </c>
      <c r="AK572" s="55" t="str">
        <f>IF($AM572=0,"",IF(ISNUMBER($O572),$O572,$AI572))</f>
        <v/>
      </c>
      <c r="AL572" s="55" t="str">
        <f>IF($AM572=0,"",IF(ISNUMBER($P572),$P572,N($AJ572)))</f>
        <v/>
      </c>
      <c r="AM572" s="56">
        <f>IF(AND($A572&lt;&gt;"",$E572&lt;&gt;"",OR(AND(ISNUMBER($G572),ISNUMBER($H572),ISNUMBER($K572)),ISNUMBER($O572))),1,0)</f>
        <v>0</v>
      </c>
      <c r="AN572" s="57" t="str">
        <f>IF($A572="","",$A572-WEEKDAY($A572,3))</f>
        <v/>
      </c>
      <c r="AO572" s="56" t="str">
        <f>IF($A572="","",WEEKDAY($A572,2))</f>
        <v/>
      </c>
      <c r="AP572" s="55" t="str">
        <f>IF(OR($AM572=0,$C572=""),"",IFERROR(N(INDEX(Accounts!$E$7:$E$16,MATCH($C572,Accounts!$B$7:$B$16,0))),0)+SUMIFS($Q$6:$Q572,$C$6:$C572,$C572))</f>
        <v/>
      </c>
      <c r="AQ572" s="55" t="str">
        <f>IF(OR($AM572=0,$C572=""),"",SUMIFS($Q$6:$Q$1005,$C$6:$C$1005,$C572,$A$6:$A$1005,$A572))</f>
        <v/>
      </c>
      <c r="AR572" s="55" t="str">
        <f>IF(OR($AM572=0,$C572=""),"",IFERROR(N(INDEX(Accounts!$E$7:$E$16,MATCH($C572,Accounts!$B$7:$B$16,0))),0)+SUMIFS($Q$6:$Q$1005,$C$6:$C$1005,$C572,$A$6:$A$1005,"&lt;="&amp;$A572))</f>
        <v/>
      </c>
      <c r="AS572" s="56">
        <f>IF(OR($AM572=0,$Q572=""),0,IF(AND($A572&gt;=Lists!$W$6,$A572&lt;=Lists!$W$7,OR(Dashboard!$D$6="All accounts",$C572=Dashboard!$D$6),OR(Dashboard!$D$7="All markets",$AF572=Dashboard!$D$7)),1,0))</f>
        <v>0</v>
      </c>
      <c r="AT572" s="55">
        <f>IF($AS572=1,N(AT571)+$Q572,N(AT571))</f>
        <v>1187.10688</v>
      </c>
      <c r="AU572" s="55">
        <f>MAX(N(AU571),$AT572)</f>
        <v>1187.10688</v>
      </c>
      <c r="AV572" s="55">
        <f>$AT572-$AU572</f>
        <v>0</v>
      </c>
      <c r="AW572" s="56">
        <f>IF($AS572=1,IF($S572="Win",N(AW571)+1,IF($S572="Loss",0,N(AW571))),N(AW571))</f>
        <v>5</v>
      </c>
      <c r="AX572" s="56">
        <f>IF($AS572=1,IF($S572="Loss",N(AX571)+1,IF($S572="Win",0,N(AX571))),N(AX571))</f>
        <v>0</v>
      </c>
      <c r="AY572" s="56" t="str">
        <f>IF($AS572=1,COUNTIF($AS$6:$AS572,1),"")</f>
        <v/>
      </c>
      <c r="AZ572" s="56">
        <f>MIN(566,N(Lists!$W$8))</f>
        <v>28</v>
      </c>
      <c r="BA572" s="56">
        <f>IF($AS572=1,IF(COUNTIFS($A$6:$A572,$A572,$AS$6:$AS572,1)=1,1,0),0)</f>
        <v>0</v>
      </c>
      <c r="BB572" s="55" t="str">
        <f>IF($BA572=1,SUMIFS($Q$6:$Q$1005,$A$6:$A$1005,$A572,$AS$6:$AS$1005,1),"")</f>
        <v/>
      </c>
      <c r="BC572" s="56">
        <f>IF(ISNUMBER($R572),1,0)</f>
        <v>0</v>
      </c>
      <c r="BD572" s="55" t="str">
        <f>IF(ISNUMBER($U572),$U572*$V572,"")</f>
        <v/>
      </c>
      <c r="BE572" s="56" t="str">
        <f>IF($AM572=0,"",IFERROR(MATCH($AF572&amp;"|"&amp;UPPER(TRIM($E572)),Lists!$A$6:$A$205,0),0))</f>
        <v/>
      </c>
      <c r="BF572" s="56" t="str">
        <f>IF($AM572=0,"",IFERROR(MATCH($AF572,Settings!$B$14:$B$18,0),IFERROR(MATCH(Settings!$C$6,Settings!$B$14:$B$18,0),1)))</f>
        <v/>
      </c>
      <c r="BG572" s="58" t="str">
        <f>IF($AM572=0,"",IF(NOT(ISNUMBER($I572)),"No stop; ","")&amp;IF(AND(ISNUMBER($H572),ISNUMBER($I572)),IF(OR(AND($F572&lt;&gt;"Short",$I572&gt;=$H572),AND($F572="Short",$I572&lt;=$H572)),"Stop on wrong side; ",""),"")&amp;IF($F572="","No direction; ","")&amp;IF(AND(ISNUMBER(Settings!$C$22),ISNUMBER($V572)),IF($V572&gt;Settings!$C$22,"Risk over max $; ",""),"")&amp;IF(AND(ISNUMBER(Settings!$C$23),ISNUMBER($V572),ISNUMBER($AP572),IFERROR(N(INDEX(Accounts!$E$7:$E$16,MATCH($C572,Accounts!$B$7:$B$16,0))),0)&gt;0),IF($V572&gt;Settings!$C$23*($AP572-N($Q572)),"Risk over max %; ",""),"")&amp;IF(AND(ISNUMBER(Settings!$C$24),ISNUMBER($N572)),IF($N572&gt;Settings!$C$24,"Leverage over max; ",""),"")&amp;IF(AND(ISNUMBER(Settings!$C$27),ISNUMBER($T572)),IF($T572&lt;Settings!$C$27,"R:R below min; ",""),"")&amp;IF(ISNUMBER(Settings!$C$25),IF(COUNTIFS($A$6:$A572,$A572,$AM$6:$AM572,1)&gt;Settings!$C$25,"Over max trades/day; ",""),"")&amp;IF(ISNUMBER(Settings!$C$26),IF(SUMIFS($Q$5:$Q571,$A$5:$A571,$A572)&lt;=-Settings!$C$26,"Traded after daily max loss; ",""),"")&amp;IF(AND($AG572="",NOT(ISNUMBER($O572))),"Symbol not in Instruments; ","")&amp;IF(AND($AH572="",NOT(ISNUMBER($O572))),"Forex cross: type Gross P&amp;L; ",""))</f>
        <v/>
      </c>
      <c r="BH572" s="56">
        <f>IF(ISNUMBER($Q572),1,0)</f>
        <v>0</v>
      </c>
      <c r="BI572" s="56">
        <f>IF($Y572="",0,1)</f>
        <v>0</v>
      </c>
      <c r="BJ572" s="56">
        <f>IF($AB572="",0,1)</f>
        <v>0</v>
      </c>
      <c r="BK572" s="56">
        <f>IF(AND($BH572=1,$W572&lt;&gt;"OK"),1,0)</f>
        <v>0</v>
      </c>
      <c r="BL572" s="55">
        <f>IF(N($AZ572)=0,0,IFERROR(INDEX($AT$6:$AT$1005,MATCH($AZ572,$AY$6:$AY$1005,0)),0))</f>
        <v>1187.10688</v>
      </c>
      <c r="BM572" s="56">
        <f>IF(ISNUMBER(SEARCH("daily max loss",$BG572)),1,0)</f>
        <v>0</v>
      </c>
    </row>
    <row r="573" ht="18" customHeight="1">
      <c r="A573" s="38" t="n"/>
      <c r="B573" s="39" t="n"/>
      <c r="C573" s="40" t="n"/>
      <c r="D573" s="41" t="n"/>
      <c r="E573" s="41" t="n"/>
      <c r="F573" s="41" t="n"/>
      <c r="G573" s="41" t="n"/>
      <c r="H573" s="42" t="n"/>
      <c r="I573" s="42" t="n"/>
      <c r="J573" s="42" t="n"/>
      <c r="K573" s="42" t="n"/>
      <c r="L573" s="41" t="n"/>
      <c r="M573" s="41" t="n"/>
      <c r="N573" s="41" t="n"/>
      <c r="O573" s="43" t="n"/>
      <c r="P573" s="43" t="n"/>
      <c r="Q573" s="44" t="str">
        <f>IF($AM573=0,"",IF(ISNUMBER($AK573),$AK573-N($AL573),""))</f>
        <v/>
      </c>
      <c r="R573" s="45" t="str">
        <f>IF(OR($Q573="",NOT(ISNUMBER($V573))),"",$AK573/$V573)</f>
        <v/>
      </c>
      <c r="S573" s="46" t="str">
        <f>IF($Q573="","",IF(AND(ISNUMBER($R573),ABS(N($R573))&lt;N(Settings!$C$8)),"Scratch",IF($Q573&gt;0,"Win",IF($Q573&lt;0,"Loss","Scratch"))))</f>
        <v/>
      </c>
      <c r="T573" s="47" t="str">
        <f>IF(OR($AM573=0,NOT(ISNUMBER($H573)),NOT(ISNUMBER($I573)),NOT(ISNUMBER($J573))),"",IF($H573=$I573,"",ROUND(ABS($J573-$H573)/ABS($H573-$I573),6)))</f>
        <v/>
      </c>
      <c r="U573" s="48" t="str">
        <f>IF(OR($S573&lt;&gt;"Win",NOT(ISNUMBER($T573)),NOT(ISNUMBER($R573))),"",MAX(0,$T573-$R573))</f>
        <v/>
      </c>
      <c r="V573" s="49" t="str">
        <f>IF(OR($AM573=0,NOT(ISNUMBER($H573)),NOT(ISNUMBER($I573)),NOT(ISNUMBER($G573))),"",IF(OR($AG573="",$AH573=""),"",IF(ROUND(ABS($H573-$I573)*ABS($G573)*$AG573*$AH573,6)=0,"",ROUND(ABS($H573-$I573)*ABS($G573)*$AG573*$AH573,6))))</f>
        <v/>
      </c>
      <c r="W573" s="50" t="str">
        <f>IF($AM573=0,"",IF($BG573="","OK",LEFT($BG573,LEN($BG573)-2)))</f>
        <v/>
      </c>
      <c r="X573" s="41" t="n"/>
      <c r="Y573" s="40" t="n"/>
      <c r="Z573" s="41" t="n"/>
      <c r="AA573" s="41" t="n"/>
      <c r="AB573" s="40" t="n"/>
      <c r="AC573" s="51" t="n"/>
      <c r="AD573" s="51" t="n"/>
      <c r="AE573" s="40" t="n"/>
      <c r="AF573" s="52" t="str">
        <f>IF($AM573=0,"",IF($D573&lt;&gt;"",$D573,IF(IFERROR(INDEX(Accounts!$C$7:$C$16,MATCH($C573,Accounts!$B$7:$B$16,0))&amp;"","")&lt;&gt;"",INDEX(Accounts!$C$7:$C$16,MATCH($C573,Accounts!$B$7:$B$16,0)),Settings!$C$6)))</f>
        <v/>
      </c>
      <c r="AG573" s="53" t="str">
        <f>IF($AM573=0,"",IF(AND($BE573&gt;0,N(INDEX(Instruments!$D$6:$D$205,MAX(1,$BE573)))&gt;0),INDEX(Instruments!$D$6:$D$205,MAX(1,$BE573)),IF(N(INDEX(Settings!$D$14:$D$18,$BF573))&gt;0,INDEX(Settings!$D$14:$D$18,$BF573),"")))</f>
        <v/>
      </c>
      <c r="AH573" s="54" t="str">
        <f>IF($AM573=0,"",IF($AF573&lt;&gt;"Forex",1,IF(MID(UPPER(SUBSTITUTE(TRIM($E573),"/","")),4,3)=UPPER(TRIM(Settings!$C$7)),1,IF(LEFT(UPPER(SUBSTITUTE(TRIM($E573),"/","")),3)=UPPER(TRIM(Settings!$C$7)),IF(AND(ISNUMBER($K573),N($K573)&lt;&gt;0),1/$K573,""),""))))</f>
        <v/>
      </c>
      <c r="AI573" s="55" t="str">
        <f>IF($AM573=0,"",IF(OR(NOT(ISNUMBER($H573)),NOT(ISNUMBER($K573)),NOT(ISNUMBER($G573)),$AG573="",$AH573=""),"",ROUND(($K573-$H573)*IF($F573="Short",-1,1)*$G573*$AG573*$AH573,6)))</f>
        <v/>
      </c>
      <c r="AJ573" s="55" t="str">
        <f>IF($AM573=0,"",IF(INDEX(Settings!$E$14:$E$18,$BF573)="% of notional",IF(OR($AG573="",NOT(ISNUMBER($H573)),NOT(ISNUMBER($G573))),"",ROUND(ABS($H573*$G573*$AG573*N($AH573))*IF($L573="Limit",N(INDEX(Settings!$G$14:$G$18,$BF573)),N(INDEX(Settings!$H$14:$H$18,$BF573)))+IF(ISNUMBER($K573),ABS($K573*$G573*$AG573*N($AH573))*IF($M573="Target",N(INDEX(Settings!$G$14:$G$18,$BF573)),N(INDEX(Settings!$H$14:$H$18,$BF573))),0),6)),IF(NOT(ISNUMBER($G573)),"",ROUND(ABS($G573)*2*IF(AND($BE573&gt;0,ISNUMBER(INDEX(Instruments!$G$6:$G$205,MAX(1,$BE573)))),INDEX(Instruments!$G$6:$G$205,MAX(1,$BE573)),N(INDEX(Settings!$F$14:$F$18,$BF573))),6))))</f>
        <v/>
      </c>
      <c r="AK573" s="55" t="str">
        <f>IF($AM573=0,"",IF(ISNUMBER($O573),$O573,$AI573))</f>
        <v/>
      </c>
      <c r="AL573" s="55" t="str">
        <f>IF($AM573=0,"",IF(ISNUMBER($P573),$P573,N($AJ573)))</f>
        <v/>
      </c>
      <c r="AM573" s="56">
        <f>IF(AND($A573&lt;&gt;"",$E573&lt;&gt;"",OR(AND(ISNUMBER($G573),ISNUMBER($H573),ISNUMBER($K573)),ISNUMBER($O573))),1,0)</f>
        <v>0</v>
      </c>
      <c r="AN573" s="57" t="str">
        <f>IF($A573="","",$A573-WEEKDAY($A573,3))</f>
        <v/>
      </c>
      <c r="AO573" s="56" t="str">
        <f>IF($A573="","",WEEKDAY($A573,2))</f>
        <v/>
      </c>
      <c r="AP573" s="55" t="str">
        <f>IF(OR($AM573=0,$C573=""),"",IFERROR(N(INDEX(Accounts!$E$7:$E$16,MATCH($C573,Accounts!$B$7:$B$16,0))),0)+SUMIFS($Q$6:$Q573,$C$6:$C573,$C573))</f>
        <v/>
      </c>
      <c r="AQ573" s="55" t="str">
        <f>IF(OR($AM573=0,$C573=""),"",SUMIFS($Q$6:$Q$1005,$C$6:$C$1005,$C573,$A$6:$A$1005,$A573))</f>
        <v/>
      </c>
      <c r="AR573" s="55" t="str">
        <f>IF(OR($AM573=0,$C573=""),"",IFERROR(N(INDEX(Accounts!$E$7:$E$16,MATCH($C573,Accounts!$B$7:$B$16,0))),0)+SUMIFS($Q$6:$Q$1005,$C$6:$C$1005,$C573,$A$6:$A$1005,"&lt;="&amp;$A573))</f>
        <v/>
      </c>
      <c r="AS573" s="56">
        <f>IF(OR($AM573=0,$Q573=""),0,IF(AND($A573&gt;=Lists!$W$6,$A573&lt;=Lists!$W$7,OR(Dashboard!$D$6="All accounts",$C573=Dashboard!$D$6),OR(Dashboard!$D$7="All markets",$AF573=Dashboard!$D$7)),1,0))</f>
        <v>0</v>
      </c>
      <c r="AT573" s="55">
        <f>IF($AS573=1,N(AT572)+$Q573,N(AT572))</f>
        <v>1187.10688</v>
      </c>
      <c r="AU573" s="55">
        <f>MAX(N(AU572),$AT573)</f>
        <v>1187.10688</v>
      </c>
      <c r="AV573" s="55">
        <f>$AT573-$AU573</f>
        <v>0</v>
      </c>
      <c r="AW573" s="56">
        <f>IF($AS573=1,IF($S573="Win",N(AW572)+1,IF($S573="Loss",0,N(AW572))),N(AW572))</f>
        <v>5</v>
      </c>
      <c r="AX573" s="56">
        <f>IF($AS573=1,IF($S573="Loss",N(AX572)+1,IF($S573="Win",0,N(AX572))),N(AX572))</f>
        <v>0</v>
      </c>
      <c r="AY573" s="56" t="str">
        <f>IF($AS573=1,COUNTIF($AS$6:$AS573,1),"")</f>
        <v/>
      </c>
      <c r="AZ573" s="56">
        <f>MIN(567,N(Lists!$W$8))</f>
        <v>28</v>
      </c>
      <c r="BA573" s="56">
        <f>IF($AS573=1,IF(COUNTIFS($A$6:$A573,$A573,$AS$6:$AS573,1)=1,1,0),0)</f>
        <v>0</v>
      </c>
      <c r="BB573" s="55" t="str">
        <f>IF($BA573=1,SUMIFS($Q$6:$Q$1005,$A$6:$A$1005,$A573,$AS$6:$AS$1005,1),"")</f>
        <v/>
      </c>
      <c r="BC573" s="56">
        <f>IF(ISNUMBER($R573),1,0)</f>
        <v>0</v>
      </c>
      <c r="BD573" s="55" t="str">
        <f>IF(ISNUMBER($U573),$U573*$V573,"")</f>
        <v/>
      </c>
      <c r="BE573" s="56" t="str">
        <f>IF($AM573=0,"",IFERROR(MATCH($AF573&amp;"|"&amp;UPPER(TRIM($E573)),Lists!$A$6:$A$205,0),0))</f>
        <v/>
      </c>
      <c r="BF573" s="56" t="str">
        <f>IF($AM573=0,"",IFERROR(MATCH($AF573,Settings!$B$14:$B$18,0),IFERROR(MATCH(Settings!$C$6,Settings!$B$14:$B$18,0),1)))</f>
        <v/>
      </c>
      <c r="BG573" s="58" t="str">
        <f>IF($AM573=0,"",IF(NOT(ISNUMBER($I573)),"No stop; ","")&amp;IF(AND(ISNUMBER($H573),ISNUMBER($I573)),IF(OR(AND($F573&lt;&gt;"Short",$I573&gt;=$H573),AND($F573="Short",$I573&lt;=$H573)),"Stop on wrong side; ",""),"")&amp;IF($F573="","No direction; ","")&amp;IF(AND(ISNUMBER(Settings!$C$22),ISNUMBER($V573)),IF($V573&gt;Settings!$C$22,"Risk over max $; ",""),"")&amp;IF(AND(ISNUMBER(Settings!$C$23),ISNUMBER($V573),ISNUMBER($AP573),IFERROR(N(INDEX(Accounts!$E$7:$E$16,MATCH($C573,Accounts!$B$7:$B$16,0))),0)&gt;0),IF($V573&gt;Settings!$C$23*($AP573-N($Q573)),"Risk over max %; ",""),"")&amp;IF(AND(ISNUMBER(Settings!$C$24),ISNUMBER($N573)),IF($N573&gt;Settings!$C$24,"Leverage over max; ",""),"")&amp;IF(AND(ISNUMBER(Settings!$C$27),ISNUMBER($T573)),IF($T573&lt;Settings!$C$27,"R:R below min; ",""),"")&amp;IF(ISNUMBER(Settings!$C$25),IF(COUNTIFS($A$6:$A573,$A573,$AM$6:$AM573,1)&gt;Settings!$C$25,"Over max trades/day; ",""),"")&amp;IF(ISNUMBER(Settings!$C$26),IF(SUMIFS($Q$5:$Q572,$A$5:$A572,$A573)&lt;=-Settings!$C$26,"Traded after daily max loss; ",""),"")&amp;IF(AND($AG573="",NOT(ISNUMBER($O573))),"Symbol not in Instruments; ","")&amp;IF(AND($AH573="",NOT(ISNUMBER($O573))),"Forex cross: type Gross P&amp;L; ",""))</f>
        <v/>
      </c>
      <c r="BH573" s="56">
        <f>IF(ISNUMBER($Q573),1,0)</f>
        <v>0</v>
      </c>
      <c r="BI573" s="56">
        <f>IF($Y573="",0,1)</f>
        <v>0</v>
      </c>
      <c r="BJ573" s="56">
        <f>IF($AB573="",0,1)</f>
        <v>0</v>
      </c>
      <c r="BK573" s="56">
        <f>IF(AND($BH573=1,$W573&lt;&gt;"OK"),1,0)</f>
        <v>0</v>
      </c>
      <c r="BL573" s="55">
        <f>IF(N($AZ573)=0,0,IFERROR(INDEX($AT$6:$AT$1005,MATCH($AZ573,$AY$6:$AY$1005,0)),0))</f>
        <v>1187.10688</v>
      </c>
      <c r="BM573" s="56">
        <f>IF(ISNUMBER(SEARCH("daily max loss",$BG573)),1,0)</f>
        <v>0</v>
      </c>
    </row>
    <row r="574" ht="18" customHeight="1">
      <c r="A574" s="38" t="n"/>
      <c r="B574" s="39" t="n"/>
      <c r="C574" s="40" t="n"/>
      <c r="D574" s="41" t="n"/>
      <c r="E574" s="41" t="n"/>
      <c r="F574" s="41" t="n"/>
      <c r="G574" s="41" t="n"/>
      <c r="H574" s="42" t="n"/>
      <c r="I574" s="42" t="n"/>
      <c r="J574" s="42" t="n"/>
      <c r="K574" s="42" t="n"/>
      <c r="L574" s="41" t="n"/>
      <c r="M574" s="41" t="n"/>
      <c r="N574" s="41" t="n"/>
      <c r="O574" s="43" t="n"/>
      <c r="P574" s="43" t="n"/>
      <c r="Q574" s="44" t="str">
        <f>IF($AM574=0,"",IF(ISNUMBER($AK574),$AK574-N($AL574),""))</f>
        <v/>
      </c>
      <c r="R574" s="45" t="str">
        <f>IF(OR($Q574="",NOT(ISNUMBER($V574))),"",$AK574/$V574)</f>
        <v/>
      </c>
      <c r="S574" s="46" t="str">
        <f>IF($Q574="","",IF(AND(ISNUMBER($R574),ABS(N($R574))&lt;N(Settings!$C$8)),"Scratch",IF($Q574&gt;0,"Win",IF($Q574&lt;0,"Loss","Scratch"))))</f>
        <v/>
      </c>
      <c r="T574" s="47" t="str">
        <f>IF(OR($AM574=0,NOT(ISNUMBER($H574)),NOT(ISNUMBER($I574)),NOT(ISNUMBER($J574))),"",IF($H574=$I574,"",ROUND(ABS($J574-$H574)/ABS($H574-$I574),6)))</f>
        <v/>
      </c>
      <c r="U574" s="48" t="str">
        <f>IF(OR($S574&lt;&gt;"Win",NOT(ISNUMBER($T574)),NOT(ISNUMBER($R574))),"",MAX(0,$T574-$R574))</f>
        <v/>
      </c>
      <c r="V574" s="49" t="str">
        <f>IF(OR($AM574=0,NOT(ISNUMBER($H574)),NOT(ISNUMBER($I574)),NOT(ISNUMBER($G574))),"",IF(OR($AG574="",$AH574=""),"",IF(ROUND(ABS($H574-$I574)*ABS($G574)*$AG574*$AH574,6)=0,"",ROUND(ABS($H574-$I574)*ABS($G574)*$AG574*$AH574,6))))</f>
        <v/>
      </c>
      <c r="W574" s="50" t="str">
        <f>IF($AM574=0,"",IF($BG574="","OK",LEFT($BG574,LEN($BG574)-2)))</f>
        <v/>
      </c>
      <c r="X574" s="41" t="n"/>
      <c r="Y574" s="40" t="n"/>
      <c r="Z574" s="41" t="n"/>
      <c r="AA574" s="41" t="n"/>
      <c r="AB574" s="40" t="n"/>
      <c r="AC574" s="51" t="n"/>
      <c r="AD574" s="51" t="n"/>
      <c r="AE574" s="40" t="n"/>
      <c r="AF574" s="52" t="str">
        <f>IF($AM574=0,"",IF($D574&lt;&gt;"",$D574,IF(IFERROR(INDEX(Accounts!$C$7:$C$16,MATCH($C574,Accounts!$B$7:$B$16,0))&amp;"","")&lt;&gt;"",INDEX(Accounts!$C$7:$C$16,MATCH($C574,Accounts!$B$7:$B$16,0)),Settings!$C$6)))</f>
        <v/>
      </c>
      <c r="AG574" s="53" t="str">
        <f>IF($AM574=0,"",IF(AND($BE574&gt;0,N(INDEX(Instruments!$D$6:$D$205,MAX(1,$BE574)))&gt;0),INDEX(Instruments!$D$6:$D$205,MAX(1,$BE574)),IF(N(INDEX(Settings!$D$14:$D$18,$BF574))&gt;0,INDEX(Settings!$D$14:$D$18,$BF574),"")))</f>
        <v/>
      </c>
      <c r="AH574" s="54" t="str">
        <f>IF($AM574=0,"",IF($AF574&lt;&gt;"Forex",1,IF(MID(UPPER(SUBSTITUTE(TRIM($E574),"/","")),4,3)=UPPER(TRIM(Settings!$C$7)),1,IF(LEFT(UPPER(SUBSTITUTE(TRIM($E574),"/","")),3)=UPPER(TRIM(Settings!$C$7)),IF(AND(ISNUMBER($K574),N($K574)&lt;&gt;0),1/$K574,""),""))))</f>
        <v/>
      </c>
      <c r="AI574" s="55" t="str">
        <f>IF($AM574=0,"",IF(OR(NOT(ISNUMBER($H574)),NOT(ISNUMBER($K574)),NOT(ISNUMBER($G574)),$AG574="",$AH574=""),"",ROUND(($K574-$H574)*IF($F574="Short",-1,1)*$G574*$AG574*$AH574,6)))</f>
        <v/>
      </c>
      <c r="AJ574" s="55" t="str">
        <f>IF($AM574=0,"",IF(INDEX(Settings!$E$14:$E$18,$BF574)="% of notional",IF(OR($AG574="",NOT(ISNUMBER($H574)),NOT(ISNUMBER($G574))),"",ROUND(ABS($H574*$G574*$AG574*N($AH574))*IF($L574="Limit",N(INDEX(Settings!$G$14:$G$18,$BF574)),N(INDEX(Settings!$H$14:$H$18,$BF574)))+IF(ISNUMBER($K574),ABS($K574*$G574*$AG574*N($AH574))*IF($M574="Target",N(INDEX(Settings!$G$14:$G$18,$BF574)),N(INDEX(Settings!$H$14:$H$18,$BF574))),0),6)),IF(NOT(ISNUMBER($G574)),"",ROUND(ABS($G574)*2*IF(AND($BE574&gt;0,ISNUMBER(INDEX(Instruments!$G$6:$G$205,MAX(1,$BE574)))),INDEX(Instruments!$G$6:$G$205,MAX(1,$BE574)),N(INDEX(Settings!$F$14:$F$18,$BF574))),6))))</f>
        <v/>
      </c>
      <c r="AK574" s="55" t="str">
        <f>IF($AM574=0,"",IF(ISNUMBER($O574),$O574,$AI574))</f>
        <v/>
      </c>
      <c r="AL574" s="55" t="str">
        <f>IF($AM574=0,"",IF(ISNUMBER($P574),$P574,N($AJ574)))</f>
        <v/>
      </c>
      <c r="AM574" s="56">
        <f>IF(AND($A574&lt;&gt;"",$E574&lt;&gt;"",OR(AND(ISNUMBER($G574),ISNUMBER($H574),ISNUMBER($K574)),ISNUMBER($O574))),1,0)</f>
        <v>0</v>
      </c>
      <c r="AN574" s="57" t="str">
        <f>IF($A574="","",$A574-WEEKDAY($A574,3))</f>
        <v/>
      </c>
      <c r="AO574" s="56" t="str">
        <f>IF($A574="","",WEEKDAY($A574,2))</f>
        <v/>
      </c>
      <c r="AP574" s="55" t="str">
        <f>IF(OR($AM574=0,$C574=""),"",IFERROR(N(INDEX(Accounts!$E$7:$E$16,MATCH($C574,Accounts!$B$7:$B$16,0))),0)+SUMIFS($Q$6:$Q574,$C$6:$C574,$C574))</f>
        <v/>
      </c>
      <c r="AQ574" s="55" t="str">
        <f>IF(OR($AM574=0,$C574=""),"",SUMIFS($Q$6:$Q$1005,$C$6:$C$1005,$C574,$A$6:$A$1005,$A574))</f>
        <v/>
      </c>
      <c r="AR574" s="55" t="str">
        <f>IF(OR($AM574=0,$C574=""),"",IFERROR(N(INDEX(Accounts!$E$7:$E$16,MATCH($C574,Accounts!$B$7:$B$16,0))),0)+SUMIFS($Q$6:$Q$1005,$C$6:$C$1005,$C574,$A$6:$A$1005,"&lt;="&amp;$A574))</f>
        <v/>
      </c>
      <c r="AS574" s="56">
        <f>IF(OR($AM574=0,$Q574=""),0,IF(AND($A574&gt;=Lists!$W$6,$A574&lt;=Lists!$W$7,OR(Dashboard!$D$6="All accounts",$C574=Dashboard!$D$6),OR(Dashboard!$D$7="All markets",$AF574=Dashboard!$D$7)),1,0))</f>
        <v>0</v>
      </c>
      <c r="AT574" s="55">
        <f>IF($AS574=1,N(AT573)+$Q574,N(AT573))</f>
        <v>1187.10688</v>
      </c>
      <c r="AU574" s="55">
        <f>MAX(N(AU573),$AT574)</f>
        <v>1187.10688</v>
      </c>
      <c r="AV574" s="55">
        <f>$AT574-$AU574</f>
        <v>0</v>
      </c>
      <c r="AW574" s="56">
        <f>IF($AS574=1,IF($S574="Win",N(AW573)+1,IF($S574="Loss",0,N(AW573))),N(AW573))</f>
        <v>5</v>
      </c>
      <c r="AX574" s="56">
        <f>IF($AS574=1,IF($S574="Loss",N(AX573)+1,IF($S574="Win",0,N(AX573))),N(AX573))</f>
        <v>0</v>
      </c>
      <c r="AY574" s="56" t="str">
        <f>IF($AS574=1,COUNTIF($AS$6:$AS574,1),"")</f>
        <v/>
      </c>
      <c r="AZ574" s="56">
        <f>MIN(568,N(Lists!$W$8))</f>
        <v>28</v>
      </c>
      <c r="BA574" s="56">
        <f>IF($AS574=1,IF(COUNTIFS($A$6:$A574,$A574,$AS$6:$AS574,1)=1,1,0),0)</f>
        <v>0</v>
      </c>
      <c r="BB574" s="55" t="str">
        <f>IF($BA574=1,SUMIFS($Q$6:$Q$1005,$A$6:$A$1005,$A574,$AS$6:$AS$1005,1),"")</f>
        <v/>
      </c>
      <c r="BC574" s="56">
        <f>IF(ISNUMBER($R574),1,0)</f>
        <v>0</v>
      </c>
      <c r="BD574" s="55" t="str">
        <f>IF(ISNUMBER($U574),$U574*$V574,"")</f>
        <v/>
      </c>
      <c r="BE574" s="56" t="str">
        <f>IF($AM574=0,"",IFERROR(MATCH($AF574&amp;"|"&amp;UPPER(TRIM($E574)),Lists!$A$6:$A$205,0),0))</f>
        <v/>
      </c>
      <c r="BF574" s="56" t="str">
        <f>IF($AM574=0,"",IFERROR(MATCH($AF574,Settings!$B$14:$B$18,0),IFERROR(MATCH(Settings!$C$6,Settings!$B$14:$B$18,0),1)))</f>
        <v/>
      </c>
      <c r="BG574" s="58" t="str">
        <f>IF($AM574=0,"",IF(NOT(ISNUMBER($I574)),"No stop; ","")&amp;IF(AND(ISNUMBER($H574),ISNUMBER($I574)),IF(OR(AND($F574&lt;&gt;"Short",$I574&gt;=$H574),AND($F574="Short",$I574&lt;=$H574)),"Stop on wrong side; ",""),"")&amp;IF($F574="","No direction; ","")&amp;IF(AND(ISNUMBER(Settings!$C$22),ISNUMBER($V574)),IF($V574&gt;Settings!$C$22,"Risk over max $; ",""),"")&amp;IF(AND(ISNUMBER(Settings!$C$23),ISNUMBER($V574),ISNUMBER($AP574),IFERROR(N(INDEX(Accounts!$E$7:$E$16,MATCH($C574,Accounts!$B$7:$B$16,0))),0)&gt;0),IF($V574&gt;Settings!$C$23*($AP574-N($Q574)),"Risk over max %; ",""),"")&amp;IF(AND(ISNUMBER(Settings!$C$24),ISNUMBER($N574)),IF($N574&gt;Settings!$C$24,"Leverage over max; ",""),"")&amp;IF(AND(ISNUMBER(Settings!$C$27),ISNUMBER($T574)),IF($T574&lt;Settings!$C$27,"R:R below min; ",""),"")&amp;IF(ISNUMBER(Settings!$C$25),IF(COUNTIFS($A$6:$A574,$A574,$AM$6:$AM574,1)&gt;Settings!$C$25,"Over max trades/day; ",""),"")&amp;IF(ISNUMBER(Settings!$C$26),IF(SUMIFS($Q$5:$Q573,$A$5:$A573,$A574)&lt;=-Settings!$C$26,"Traded after daily max loss; ",""),"")&amp;IF(AND($AG574="",NOT(ISNUMBER($O574))),"Symbol not in Instruments; ","")&amp;IF(AND($AH574="",NOT(ISNUMBER($O574))),"Forex cross: type Gross P&amp;L; ",""))</f>
        <v/>
      </c>
      <c r="BH574" s="56">
        <f>IF(ISNUMBER($Q574),1,0)</f>
        <v>0</v>
      </c>
      <c r="BI574" s="56">
        <f>IF($Y574="",0,1)</f>
        <v>0</v>
      </c>
      <c r="BJ574" s="56">
        <f>IF($AB574="",0,1)</f>
        <v>0</v>
      </c>
      <c r="BK574" s="56">
        <f>IF(AND($BH574=1,$W574&lt;&gt;"OK"),1,0)</f>
        <v>0</v>
      </c>
      <c r="BL574" s="55">
        <f>IF(N($AZ574)=0,0,IFERROR(INDEX($AT$6:$AT$1005,MATCH($AZ574,$AY$6:$AY$1005,0)),0))</f>
        <v>1187.10688</v>
      </c>
      <c r="BM574" s="56">
        <f>IF(ISNUMBER(SEARCH("daily max loss",$BG574)),1,0)</f>
        <v>0</v>
      </c>
    </row>
    <row r="575" ht="18" customHeight="1">
      <c r="A575" s="38" t="n"/>
      <c r="B575" s="39" t="n"/>
      <c r="C575" s="40" t="n"/>
      <c r="D575" s="41" t="n"/>
      <c r="E575" s="41" t="n"/>
      <c r="F575" s="41" t="n"/>
      <c r="G575" s="41" t="n"/>
      <c r="H575" s="42" t="n"/>
      <c r="I575" s="42" t="n"/>
      <c r="J575" s="42" t="n"/>
      <c r="K575" s="42" t="n"/>
      <c r="L575" s="41" t="n"/>
      <c r="M575" s="41" t="n"/>
      <c r="N575" s="41" t="n"/>
      <c r="O575" s="43" t="n"/>
      <c r="P575" s="43" t="n"/>
      <c r="Q575" s="44" t="str">
        <f>IF($AM575=0,"",IF(ISNUMBER($AK575),$AK575-N($AL575),""))</f>
        <v/>
      </c>
      <c r="R575" s="45" t="str">
        <f>IF(OR($Q575="",NOT(ISNUMBER($V575))),"",$AK575/$V575)</f>
        <v/>
      </c>
      <c r="S575" s="46" t="str">
        <f>IF($Q575="","",IF(AND(ISNUMBER($R575),ABS(N($R575))&lt;N(Settings!$C$8)),"Scratch",IF($Q575&gt;0,"Win",IF($Q575&lt;0,"Loss","Scratch"))))</f>
        <v/>
      </c>
      <c r="T575" s="47" t="str">
        <f>IF(OR($AM575=0,NOT(ISNUMBER($H575)),NOT(ISNUMBER($I575)),NOT(ISNUMBER($J575))),"",IF($H575=$I575,"",ROUND(ABS($J575-$H575)/ABS($H575-$I575),6)))</f>
        <v/>
      </c>
      <c r="U575" s="48" t="str">
        <f>IF(OR($S575&lt;&gt;"Win",NOT(ISNUMBER($T575)),NOT(ISNUMBER($R575))),"",MAX(0,$T575-$R575))</f>
        <v/>
      </c>
      <c r="V575" s="49" t="str">
        <f>IF(OR($AM575=0,NOT(ISNUMBER($H575)),NOT(ISNUMBER($I575)),NOT(ISNUMBER($G575))),"",IF(OR($AG575="",$AH575=""),"",IF(ROUND(ABS($H575-$I575)*ABS($G575)*$AG575*$AH575,6)=0,"",ROUND(ABS($H575-$I575)*ABS($G575)*$AG575*$AH575,6))))</f>
        <v/>
      </c>
      <c r="W575" s="50" t="str">
        <f>IF($AM575=0,"",IF($BG575="","OK",LEFT($BG575,LEN($BG575)-2)))</f>
        <v/>
      </c>
      <c r="X575" s="41" t="n"/>
      <c r="Y575" s="40" t="n"/>
      <c r="Z575" s="41" t="n"/>
      <c r="AA575" s="41" t="n"/>
      <c r="AB575" s="40" t="n"/>
      <c r="AC575" s="51" t="n"/>
      <c r="AD575" s="51" t="n"/>
      <c r="AE575" s="40" t="n"/>
      <c r="AF575" s="52" t="str">
        <f>IF($AM575=0,"",IF($D575&lt;&gt;"",$D575,IF(IFERROR(INDEX(Accounts!$C$7:$C$16,MATCH($C575,Accounts!$B$7:$B$16,0))&amp;"","")&lt;&gt;"",INDEX(Accounts!$C$7:$C$16,MATCH($C575,Accounts!$B$7:$B$16,0)),Settings!$C$6)))</f>
        <v/>
      </c>
      <c r="AG575" s="53" t="str">
        <f>IF($AM575=0,"",IF(AND($BE575&gt;0,N(INDEX(Instruments!$D$6:$D$205,MAX(1,$BE575)))&gt;0),INDEX(Instruments!$D$6:$D$205,MAX(1,$BE575)),IF(N(INDEX(Settings!$D$14:$D$18,$BF575))&gt;0,INDEX(Settings!$D$14:$D$18,$BF575),"")))</f>
        <v/>
      </c>
      <c r="AH575" s="54" t="str">
        <f>IF($AM575=0,"",IF($AF575&lt;&gt;"Forex",1,IF(MID(UPPER(SUBSTITUTE(TRIM($E575),"/","")),4,3)=UPPER(TRIM(Settings!$C$7)),1,IF(LEFT(UPPER(SUBSTITUTE(TRIM($E575),"/","")),3)=UPPER(TRIM(Settings!$C$7)),IF(AND(ISNUMBER($K575),N($K575)&lt;&gt;0),1/$K575,""),""))))</f>
        <v/>
      </c>
      <c r="AI575" s="55" t="str">
        <f>IF($AM575=0,"",IF(OR(NOT(ISNUMBER($H575)),NOT(ISNUMBER($K575)),NOT(ISNUMBER($G575)),$AG575="",$AH575=""),"",ROUND(($K575-$H575)*IF($F575="Short",-1,1)*$G575*$AG575*$AH575,6)))</f>
        <v/>
      </c>
      <c r="AJ575" s="55" t="str">
        <f>IF($AM575=0,"",IF(INDEX(Settings!$E$14:$E$18,$BF575)="% of notional",IF(OR($AG575="",NOT(ISNUMBER($H575)),NOT(ISNUMBER($G575))),"",ROUND(ABS($H575*$G575*$AG575*N($AH575))*IF($L575="Limit",N(INDEX(Settings!$G$14:$G$18,$BF575)),N(INDEX(Settings!$H$14:$H$18,$BF575)))+IF(ISNUMBER($K575),ABS($K575*$G575*$AG575*N($AH575))*IF($M575="Target",N(INDEX(Settings!$G$14:$G$18,$BF575)),N(INDEX(Settings!$H$14:$H$18,$BF575))),0),6)),IF(NOT(ISNUMBER($G575)),"",ROUND(ABS($G575)*2*IF(AND($BE575&gt;0,ISNUMBER(INDEX(Instruments!$G$6:$G$205,MAX(1,$BE575)))),INDEX(Instruments!$G$6:$G$205,MAX(1,$BE575)),N(INDEX(Settings!$F$14:$F$18,$BF575))),6))))</f>
        <v/>
      </c>
      <c r="AK575" s="55" t="str">
        <f>IF($AM575=0,"",IF(ISNUMBER($O575),$O575,$AI575))</f>
        <v/>
      </c>
      <c r="AL575" s="55" t="str">
        <f>IF($AM575=0,"",IF(ISNUMBER($P575),$P575,N($AJ575)))</f>
        <v/>
      </c>
      <c r="AM575" s="56">
        <f>IF(AND($A575&lt;&gt;"",$E575&lt;&gt;"",OR(AND(ISNUMBER($G575),ISNUMBER($H575),ISNUMBER($K575)),ISNUMBER($O575))),1,0)</f>
        <v>0</v>
      </c>
      <c r="AN575" s="57" t="str">
        <f>IF($A575="","",$A575-WEEKDAY($A575,3))</f>
        <v/>
      </c>
      <c r="AO575" s="56" t="str">
        <f>IF($A575="","",WEEKDAY($A575,2))</f>
        <v/>
      </c>
      <c r="AP575" s="55" t="str">
        <f>IF(OR($AM575=0,$C575=""),"",IFERROR(N(INDEX(Accounts!$E$7:$E$16,MATCH($C575,Accounts!$B$7:$B$16,0))),0)+SUMIFS($Q$6:$Q575,$C$6:$C575,$C575))</f>
        <v/>
      </c>
      <c r="AQ575" s="55" t="str">
        <f>IF(OR($AM575=0,$C575=""),"",SUMIFS($Q$6:$Q$1005,$C$6:$C$1005,$C575,$A$6:$A$1005,$A575))</f>
        <v/>
      </c>
      <c r="AR575" s="55" t="str">
        <f>IF(OR($AM575=0,$C575=""),"",IFERROR(N(INDEX(Accounts!$E$7:$E$16,MATCH($C575,Accounts!$B$7:$B$16,0))),0)+SUMIFS($Q$6:$Q$1005,$C$6:$C$1005,$C575,$A$6:$A$1005,"&lt;="&amp;$A575))</f>
        <v/>
      </c>
      <c r="AS575" s="56">
        <f>IF(OR($AM575=0,$Q575=""),0,IF(AND($A575&gt;=Lists!$W$6,$A575&lt;=Lists!$W$7,OR(Dashboard!$D$6="All accounts",$C575=Dashboard!$D$6),OR(Dashboard!$D$7="All markets",$AF575=Dashboard!$D$7)),1,0))</f>
        <v>0</v>
      </c>
      <c r="AT575" s="55">
        <f>IF($AS575=1,N(AT574)+$Q575,N(AT574))</f>
        <v>1187.10688</v>
      </c>
      <c r="AU575" s="55">
        <f>MAX(N(AU574),$AT575)</f>
        <v>1187.10688</v>
      </c>
      <c r="AV575" s="55">
        <f>$AT575-$AU575</f>
        <v>0</v>
      </c>
      <c r="AW575" s="56">
        <f>IF($AS575=1,IF($S575="Win",N(AW574)+1,IF($S575="Loss",0,N(AW574))),N(AW574))</f>
        <v>5</v>
      </c>
      <c r="AX575" s="56">
        <f>IF($AS575=1,IF($S575="Loss",N(AX574)+1,IF($S575="Win",0,N(AX574))),N(AX574))</f>
        <v>0</v>
      </c>
      <c r="AY575" s="56" t="str">
        <f>IF($AS575=1,COUNTIF($AS$6:$AS575,1),"")</f>
        <v/>
      </c>
      <c r="AZ575" s="56">
        <f>MIN(569,N(Lists!$W$8))</f>
        <v>28</v>
      </c>
      <c r="BA575" s="56">
        <f>IF($AS575=1,IF(COUNTIFS($A$6:$A575,$A575,$AS$6:$AS575,1)=1,1,0),0)</f>
        <v>0</v>
      </c>
      <c r="BB575" s="55" t="str">
        <f>IF($BA575=1,SUMIFS($Q$6:$Q$1005,$A$6:$A$1005,$A575,$AS$6:$AS$1005,1),"")</f>
        <v/>
      </c>
      <c r="BC575" s="56">
        <f>IF(ISNUMBER($R575),1,0)</f>
        <v>0</v>
      </c>
      <c r="BD575" s="55" t="str">
        <f>IF(ISNUMBER($U575),$U575*$V575,"")</f>
        <v/>
      </c>
      <c r="BE575" s="56" t="str">
        <f>IF($AM575=0,"",IFERROR(MATCH($AF575&amp;"|"&amp;UPPER(TRIM($E575)),Lists!$A$6:$A$205,0),0))</f>
        <v/>
      </c>
      <c r="BF575" s="56" t="str">
        <f>IF($AM575=0,"",IFERROR(MATCH($AF575,Settings!$B$14:$B$18,0),IFERROR(MATCH(Settings!$C$6,Settings!$B$14:$B$18,0),1)))</f>
        <v/>
      </c>
      <c r="BG575" s="58" t="str">
        <f>IF($AM575=0,"",IF(NOT(ISNUMBER($I575)),"No stop; ","")&amp;IF(AND(ISNUMBER($H575),ISNUMBER($I575)),IF(OR(AND($F575&lt;&gt;"Short",$I575&gt;=$H575),AND($F575="Short",$I575&lt;=$H575)),"Stop on wrong side; ",""),"")&amp;IF($F575="","No direction; ","")&amp;IF(AND(ISNUMBER(Settings!$C$22),ISNUMBER($V575)),IF($V575&gt;Settings!$C$22,"Risk over max $; ",""),"")&amp;IF(AND(ISNUMBER(Settings!$C$23),ISNUMBER($V575),ISNUMBER($AP575),IFERROR(N(INDEX(Accounts!$E$7:$E$16,MATCH($C575,Accounts!$B$7:$B$16,0))),0)&gt;0),IF($V575&gt;Settings!$C$23*($AP575-N($Q575)),"Risk over max %; ",""),"")&amp;IF(AND(ISNUMBER(Settings!$C$24),ISNUMBER($N575)),IF($N575&gt;Settings!$C$24,"Leverage over max; ",""),"")&amp;IF(AND(ISNUMBER(Settings!$C$27),ISNUMBER($T575)),IF($T575&lt;Settings!$C$27,"R:R below min; ",""),"")&amp;IF(ISNUMBER(Settings!$C$25),IF(COUNTIFS($A$6:$A575,$A575,$AM$6:$AM575,1)&gt;Settings!$C$25,"Over max trades/day; ",""),"")&amp;IF(ISNUMBER(Settings!$C$26),IF(SUMIFS($Q$5:$Q574,$A$5:$A574,$A575)&lt;=-Settings!$C$26,"Traded after daily max loss; ",""),"")&amp;IF(AND($AG575="",NOT(ISNUMBER($O575))),"Symbol not in Instruments; ","")&amp;IF(AND($AH575="",NOT(ISNUMBER($O575))),"Forex cross: type Gross P&amp;L; ",""))</f>
        <v/>
      </c>
      <c r="BH575" s="56">
        <f>IF(ISNUMBER($Q575),1,0)</f>
        <v>0</v>
      </c>
      <c r="BI575" s="56">
        <f>IF($Y575="",0,1)</f>
        <v>0</v>
      </c>
      <c r="BJ575" s="56">
        <f>IF($AB575="",0,1)</f>
        <v>0</v>
      </c>
      <c r="BK575" s="56">
        <f>IF(AND($BH575=1,$W575&lt;&gt;"OK"),1,0)</f>
        <v>0</v>
      </c>
      <c r="BL575" s="55">
        <f>IF(N($AZ575)=0,0,IFERROR(INDEX($AT$6:$AT$1005,MATCH($AZ575,$AY$6:$AY$1005,0)),0))</f>
        <v>1187.10688</v>
      </c>
      <c r="BM575" s="56">
        <f>IF(ISNUMBER(SEARCH("daily max loss",$BG575)),1,0)</f>
        <v>0</v>
      </c>
    </row>
    <row r="576" ht="18" customHeight="1">
      <c r="A576" s="38" t="n"/>
      <c r="B576" s="39" t="n"/>
      <c r="C576" s="40" t="n"/>
      <c r="D576" s="41" t="n"/>
      <c r="E576" s="41" t="n"/>
      <c r="F576" s="41" t="n"/>
      <c r="G576" s="41" t="n"/>
      <c r="H576" s="42" t="n"/>
      <c r="I576" s="42" t="n"/>
      <c r="J576" s="42" t="n"/>
      <c r="K576" s="42" t="n"/>
      <c r="L576" s="41" t="n"/>
      <c r="M576" s="41" t="n"/>
      <c r="N576" s="41" t="n"/>
      <c r="O576" s="43" t="n"/>
      <c r="P576" s="43" t="n"/>
      <c r="Q576" s="44" t="str">
        <f>IF($AM576=0,"",IF(ISNUMBER($AK576),$AK576-N($AL576),""))</f>
        <v/>
      </c>
      <c r="R576" s="45" t="str">
        <f>IF(OR($Q576="",NOT(ISNUMBER($V576))),"",$AK576/$V576)</f>
        <v/>
      </c>
      <c r="S576" s="46" t="str">
        <f>IF($Q576="","",IF(AND(ISNUMBER($R576),ABS(N($R576))&lt;N(Settings!$C$8)),"Scratch",IF($Q576&gt;0,"Win",IF($Q576&lt;0,"Loss","Scratch"))))</f>
        <v/>
      </c>
      <c r="T576" s="47" t="str">
        <f>IF(OR($AM576=0,NOT(ISNUMBER($H576)),NOT(ISNUMBER($I576)),NOT(ISNUMBER($J576))),"",IF($H576=$I576,"",ROUND(ABS($J576-$H576)/ABS($H576-$I576),6)))</f>
        <v/>
      </c>
      <c r="U576" s="48" t="str">
        <f>IF(OR($S576&lt;&gt;"Win",NOT(ISNUMBER($T576)),NOT(ISNUMBER($R576))),"",MAX(0,$T576-$R576))</f>
        <v/>
      </c>
      <c r="V576" s="49" t="str">
        <f>IF(OR($AM576=0,NOT(ISNUMBER($H576)),NOT(ISNUMBER($I576)),NOT(ISNUMBER($G576))),"",IF(OR($AG576="",$AH576=""),"",IF(ROUND(ABS($H576-$I576)*ABS($G576)*$AG576*$AH576,6)=0,"",ROUND(ABS($H576-$I576)*ABS($G576)*$AG576*$AH576,6))))</f>
        <v/>
      </c>
      <c r="W576" s="50" t="str">
        <f>IF($AM576=0,"",IF($BG576="","OK",LEFT($BG576,LEN($BG576)-2)))</f>
        <v/>
      </c>
      <c r="X576" s="41" t="n"/>
      <c r="Y576" s="40" t="n"/>
      <c r="Z576" s="41" t="n"/>
      <c r="AA576" s="41" t="n"/>
      <c r="AB576" s="40" t="n"/>
      <c r="AC576" s="51" t="n"/>
      <c r="AD576" s="51" t="n"/>
      <c r="AE576" s="40" t="n"/>
      <c r="AF576" s="52" t="str">
        <f>IF($AM576=0,"",IF($D576&lt;&gt;"",$D576,IF(IFERROR(INDEX(Accounts!$C$7:$C$16,MATCH($C576,Accounts!$B$7:$B$16,0))&amp;"","")&lt;&gt;"",INDEX(Accounts!$C$7:$C$16,MATCH($C576,Accounts!$B$7:$B$16,0)),Settings!$C$6)))</f>
        <v/>
      </c>
      <c r="AG576" s="53" t="str">
        <f>IF($AM576=0,"",IF(AND($BE576&gt;0,N(INDEX(Instruments!$D$6:$D$205,MAX(1,$BE576)))&gt;0),INDEX(Instruments!$D$6:$D$205,MAX(1,$BE576)),IF(N(INDEX(Settings!$D$14:$D$18,$BF576))&gt;0,INDEX(Settings!$D$14:$D$18,$BF576),"")))</f>
        <v/>
      </c>
      <c r="AH576" s="54" t="str">
        <f>IF($AM576=0,"",IF($AF576&lt;&gt;"Forex",1,IF(MID(UPPER(SUBSTITUTE(TRIM($E576),"/","")),4,3)=UPPER(TRIM(Settings!$C$7)),1,IF(LEFT(UPPER(SUBSTITUTE(TRIM($E576),"/","")),3)=UPPER(TRIM(Settings!$C$7)),IF(AND(ISNUMBER($K576),N($K576)&lt;&gt;0),1/$K576,""),""))))</f>
        <v/>
      </c>
      <c r="AI576" s="55" t="str">
        <f>IF($AM576=0,"",IF(OR(NOT(ISNUMBER($H576)),NOT(ISNUMBER($K576)),NOT(ISNUMBER($G576)),$AG576="",$AH576=""),"",ROUND(($K576-$H576)*IF($F576="Short",-1,1)*$G576*$AG576*$AH576,6)))</f>
        <v/>
      </c>
      <c r="AJ576" s="55" t="str">
        <f>IF($AM576=0,"",IF(INDEX(Settings!$E$14:$E$18,$BF576)="% of notional",IF(OR($AG576="",NOT(ISNUMBER($H576)),NOT(ISNUMBER($G576))),"",ROUND(ABS($H576*$G576*$AG576*N($AH576))*IF($L576="Limit",N(INDEX(Settings!$G$14:$G$18,$BF576)),N(INDEX(Settings!$H$14:$H$18,$BF576)))+IF(ISNUMBER($K576),ABS($K576*$G576*$AG576*N($AH576))*IF($M576="Target",N(INDEX(Settings!$G$14:$G$18,$BF576)),N(INDEX(Settings!$H$14:$H$18,$BF576))),0),6)),IF(NOT(ISNUMBER($G576)),"",ROUND(ABS($G576)*2*IF(AND($BE576&gt;0,ISNUMBER(INDEX(Instruments!$G$6:$G$205,MAX(1,$BE576)))),INDEX(Instruments!$G$6:$G$205,MAX(1,$BE576)),N(INDEX(Settings!$F$14:$F$18,$BF576))),6))))</f>
        <v/>
      </c>
      <c r="AK576" s="55" t="str">
        <f>IF($AM576=0,"",IF(ISNUMBER($O576),$O576,$AI576))</f>
        <v/>
      </c>
      <c r="AL576" s="55" t="str">
        <f>IF($AM576=0,"",IF(ISNUMBER($P576),$P576,N($AJ576)))</f>
        <v/>
      </c>
      <c r="AM576" s="56">
        <f>IF(AND($A576&lt;&gt;"",$E576&lt;&gt;"",OR(AND(ISNUMBER($G576),ISNUMBER($H576),ISNUMBER($K576)),ISNUMBER($O576))),1,0)</f>
        <v>0</v>
      </c>
      <c r="AN576" s="57" t="str">
        <f>IF($A576="","",$A576-WEEKDAY($A576,3))</f>
        <v/>
      </c>
      <c r="AO576" s="56" t="str">
        <f>IF($A576="","",WEEKDAY($A576,2))</f>
        <v/>
      </c>
      <c r="AP576" s="55" t="str">
        <f>IF(OR($AM576=0,$C576=""),"",IFERROR(N(INDEX(Accounts!$E$7:$E$16,MATCH($C576,Accounts!$B$7:$B$16,0))),0)+SUMIFS($Q$6:$Q576,$C$6:$C576,$C576))</f>
        <v/>
      </c>
      <c r="AQ576" s="55" t="str">
        <f>IF(OR($AM576=0,$C576=""),"",SUMIFS($Q$6:$Q$1005,$C$6:$C$1005,$C576,$A$6:$A$1005,$A576))</f>
        <v/>
      </c>
      <c r="AR576" s="55" t="str">
        <f>IF(OR($AM576=0,$C576=""),"",IFERROR(N(INDEX(Accounts!$E$7:$E$16,MATCH($C576,Accounts!$B$7:$B$16,0))),0)+SUMIFS($Q$6:$Q$1005,$C$6:$C$1005,$C576,$A$6:$A$1005,"&lt;="&amp;$A576))</f>
        <v/>
      </c>
      <c r="AS576" s="56">
        <f>IF(OR($AM576=0,$Q576=""),0,IF(AND($A576&gt;=Lists!$W$6,$A576&lt;=Lists!$W$7,OR(Dashboard!$D$6="All accounts",$C576=Dashboard!$D$6),OR(Dashboard!$D$7="All markets",$AF576=Dashboard!$D$7)),1,0))</f>
        <v>0</v>
      </c>
      <c r="AT576" s="55">
        <f>IF($AS576=1,N(AT575)+$Q576,N(AT575))</f>
        <v>1187.10688</v>
      </c>
      <c r="AU576" s="55">
        <f>MAX(N(AU575),$AT576)</f>
        <v>1187.10688</v>
      </c>
      <c r="AV576" s="55">
        <f>$AT576-$AU576</f>
        <v>0</v>
      </c>
      <c r="AW576" s="56">
        <f>IF($AS576=1,IF($S576="Win",N(AW575)+1,IF($S576="Loss",0,N(AW575))),N(AW575))</f>
        <v>5</v>
      </c>
      <c r="AX576" s="56">
        <f>IF($AS576=1,IF($S576="Loss",N(AX575)+1,IF($S576="Win",0,N(AX575))),N(AX575))</f>
        <v>0</v>
      </c>
      <c r="AY576" s="56" t="str">
        <f>IF($AS576=1,COUNTIF($AS$6:$AS576,1),"")</f>
        <v/>
      </c>
      <c r="AZ576" s="56">
        <f>MIN(570,N(Lists!$W$8))</f>
        <v>28</v>
      </c>
      <c r="BA576" s="56">
        <f>IF($AS576=1,IF(COUNTIFS($A$6:$A576,$A576,$AS$6:$AS576,1)=1,1,0),0)</f>
        <v>0</v>
      </c>
      <c r="BB576" s="55" t="str">
        <f>IF($BA576=1,SUMIFS($Q$6:$Q$1005,$A$6:$A$1005,$A576,$AS$6:$AS$1005,1),"")</f>
        <v/>
      </c>
      <c r="BC576" s="56">
        <f>IF(ISNUMBER($R576),1,0)</f>
        <v>0</v>
      </c>
      <c r="BD576" s="55" t="str">
        <f>IF(ISNUMBER($U576),$U576*$V576,"")</f>
        <v/>
      </c>
      <c r="BE576" s="56" t="str">
        <f>IF($AM576=0,"",IFERROR(MATCH($AF576&amp;"|"&amp;UPPER(TRIM($E576)),Lists!$A$6:$A$205,0),0))</f>
        <v/>
      </c>
      <c r="BF576" s="56" t="str">
        <f>IF($AM576=0,"",IFERROR(MATCH($AF576,Settings!$B$14:$B$18,0),IFERROR(MATCH(Settings!$C$6,Settings!$B$14:$B$18,0),1)))</f>
        <v/>
      </c>
      <c r="BG576" s="58" t="str">
        <f>IF($AM576=0,"",IF(NOT(ISNUMBER($I576)),"No stop; ","")&amp;IF(AND(ISNUMBER($H576),ISNUMBER($I576)),IF(OR(AND($F576&lt;&gt;"Short",$I576&gt;=$H576),AND($F576="Short",$I576&lt;=$H576)),"Stop on wrong side; ",""),"")&amp;IF($F576="","No direction; ","")&amp;IF(AND(ISNUMBER(Settings!$C$22),ISNUMBER($V576)),IF($V576&gt;Settings!$C$22,"Risk over max $; ",""),"")&amp;IF(AND(ISNUMBER(Settings!$C$23),ISNUMBER($V576),ISNUMBER($AP576),IFERROR(N(INDEX(Accounts!$E$7:$E$16,MATCH($C576,Accounts!$B$7:$B$16,0))),0)&gt;0),IF($V576&gt;Settings!$C$23*($AP576-N($Q576)),"Risk over max %; ",""),"")&amp;IF(AND(ISNUMBER(Settings!$C$24),ISNUMBER($N576)),IF($N576&gt;Settings!$C$24,"Leverage over max; ",""),"")&amp;IF(AND(ISNUMBER(Settings!$C$27),ISNUMBER($T576)),IF($T576&lt;Settings!$C$27,"R:R below min; ",""),"")&amp;IF(ISNUMBER(Settings!$C$25),IF(COUNTIFS($A$6:$A576,$A576,$AM$6:$AM576,1)&gt;Settings!$C$25,"Over max trades/day; ",""),"")&amp;IF(ISNUMBER(Settings!$C$26),IF(SUMIFS($Q$5:$Q575,$A$5:$A575,$A576)&lt;=-Settings!$C$26,"Traded after daily max loss; ",""),"")&amp;IF(AND($AG576="",NOT(ISNUMBER($O576))),"Symbol not in Instruments; ","")&amp;IF(AND($AH576="",NOT(ISNUMBER($O576))),"Forex cross: type Gross P&amp;L; ",""))</f>
        <v/>
      </c>
      <c r="BH576" s="56">
        <f>IF(ISNUMBER($Q576),1,0)</f>
        <v>0</v>
      </c>
      <c r="BI576" s="56">
        <f>IF($Y576="",0,1)</f>
        <v>0</v>
      </c>
      <c r="BJ576" s="56">
        <f>IF($AB576="",0,1)</f>
        <v>0</v>
      </c>
      <c r="BK576" s="56">
        <f>IF(AND($BH576=1,$W576&lt;&gt;"OK"),1,0)</f>
        <v>0</v>
      </c>
      <c r="BL576" s="55">
        <f>IF(N($AZ576)=0,0,IFERROR(INDEX($AT$6:$AT$1005,MATCH($AZ576,$AY$6:$AY$1005,0)),0))</f>
        <v>1187.10688</v>
      </c>
      <c r="BM576" s="56">
        <f>IF(ISNUMBER(SEARCH("daily max loss",$BG576)),1,0)</f>
        <v>0</v>
      </c>
    </row>
    <row r="577" ht="18" customHeight="1">
      <c r="A577" s="38" t="n"/>
      <c r="B577" s="39" t="n"/>
      <c r="C577" s="40" t="n"/>
      <c r="D577" s="41" t="n"/>
      <c r="E577" s="41" t="n"/>
      <c r="F577" s="41" t="n"/>
      <c r="G577" s="41" t="n"/>
      <c r="H577" s="42" t="n"/>
      <c r="I577" s="42" t="n"/>
      <c r="J577" s="42" t="n"/>
      <c r="K577" s="42" t="n"/>
      <c r="L577" s="41" t="n"/>
      <c r="M577" s="41" t="n"/>
      <c r="N577" s="41" t="n"/>
      <c r="O577" s="43" t="n"/>
      <c r="P577" s="43" t="n"/>
      <c r="Q577" s="44" t="str">
        <f>IF($AM577=0,"",IF(ISNUMBER($AK577),$AK577-N($AL577),""))</f>
        <v/>
      </c>
      <c r="R577" s="45" t="str">
        <f>IF(OR($Q577="",NOT(ISNUMBER($V577))),"",$AK577/$V577)</f>
        <v/>
      </c>
      <c r="S577" s="46" t="str">
        <f>IF($Q577="","",IF(AND(ISNUMBER($R577),ABS(N($R577))&lt;N(Settings!$C$8)),"Scratch",IF($Q577&gt;0,"Win",IF($Q577&lt;0,"Loss","Scratch"))))</f>
        <v/>
      </c>
      <c r="T577" s="47" t="str">
        <f>IF(OR($AM577=0,NOT(ISNUMBER($H577)),NOT(ISNUMBER($I577)),NOT(ISNUMBER($J577))),"",IF($H577=$I577,"",ROUND(ABS($J577-$H577)/ABS($H577-$I577),6)))</f>
        <v/>
      </c>
      <c r="U577" s="48" t="str">
        <f>IF(OR($S577&lt;&gt;"Win",NOT(ISNUMBER($T577)),NOT(ISNUMBER($R577))),"",MAX(0,$T577-$R577))</f>
        <v/>
      </c>
      <c r="V577" s="49" t="str">
        <f>IF(OR($AM577=0,NOT(ISNUMBER($H577)),NOT(ISNUMBER($I577)),NOT(ISNUMBER($G577))),"",IF(OR($AG577="",$AH577=""),"",IF(ROUND(ABS($H577-$I577)*ABS($G577)*$AG577*$AH577,6)=0,"",ROUND(ABS($H577-$I577)*ABS($G577)*$AG577*$AH577,6))))</f>
        <v/>
      </c>
      <c r="W577" s="50" t="str">
        <f>IF($AM577=0,"",IF($BG577="","OK",LEFT($BG577,LEN($BG577)-2)))</f>
        <v/>
      </c>
      <c r="X577" s="41" t="n"/>
      <c r="Y577" s="40" t="n"/>
      <c r="Z577" s="41" t="n"/>
      <c r="AA577" s="41" t="n"/>
      <c r="AB577" s="40" t="n"/>
      <c r="AC577" s="51" t="n"/>
      <c r="AD577" s="51" t="n"/>
      <c r="AE577" s="40" t="n"/>
      <c r="AF577" s="52" t="str">
        <f>IF($AM577=0,"",IF($D577&lt;&gt;"",$D577,IF(IFERROR(INDEX(Accounts!$C$7:$C$16,MATCH($C577,Accounts!$B$7:$B$16,0))&amp;"","")&lt;&gt;"",INDEX(Accounts!$C$7:$C$16,MATCH($C577,Accounts!$B$7:$B$16,0)),Settings!$C$6)))</f>
        <v/>
      </c>
      <c r="AG577" s="53" t="str">
        <f>IF($AM577=0,"",IF(AND($BE577&gt;0,N(INDEX(Instruments!$D$6:$D$205,MAX(1,$BE577)))&gt;0),INDEX(Instruments!$D$6:$D$205,MAX(1,$BE577)),IF(N(INDEX(Settings!$D$14:$D$18,$BF577))&gt;0,INDEX(Settings!$D$14:$D$18,$BF577),"")))</f>
        <v/>
      </c>
      <c r="AH577" s="54" t="str">
        <f>IF($AM577=0,"",IF($AF577&lt;&gt;"Forex",1,IF(MID(UPPER(SUBSTITUTE(TRIM($E577),"/","")),4,3)=UPPER(TRIM(Settings!$C$7)),1,IF(LEFT(UPPER(SUBSTITUTE(TRIM($E577),"/","")),3)=UPPER(TRIM(Settings!$C$7)),IF(AND(ISNUMBER($K577),N($K577)&lt;&gt;0),1/$K577,""),""))))</f>
        <v/>
      </c>
      <c r="AI577" s="55" t="str">
        <f>IF($AM577=0,"",IF(OR(NOT(ISNUMBER($H577)),NOT(ISNUMBER($K577)),NOT(ISNUMBER($G577)),$AG577="",$AH577=""),"",ROUND(($K577-$H577)*IF($F577="Short",-1,1)*$G577*$AG577*$AH577,6)))</f>
        <v/>
      </c>
      <c r="AJ577" s="55" t="str">
        <f>IF($AM577=0,"",IF(INDEX(Settings!$E$14:$E$18,$BF577)="% of notional",IF(OR($AG577="",NOT(ISNUMBER($H577)),NOT(ISNUMBER($G577))),"",ROUND(ABS($H577*$G577*$AG577*N($AH577))*IF($L577="Limit",N(INDEX(Settings!$G$14:$G$18,$BF577)),N(INDEX(Settings!$H$14:$H$18,$BF577)))+IF(ISNUMBER($K577),ABS($K577*$G577*$AG577*N($AH577))*IF($M577="Target",N(INDEX(Settings!$G$14:$G$18,$BF577)),N(INDEX(Settings!$H$14:$H$18,$BF577))),0),6)),IF(NOT(ISNUMBER($G577)),"",ROUND(ABS($G577)*2*IF(AND($BE577&gt;0,ISNUMBER(INDEX(Instruments!$G$6:$G$205,MAX(1,$BE577)))),INDEX(Instruments!$G$6:$G$205,MAX(1,$BE577)),N(INDEX(Settings!$F$14:$F$18,$BF577))),6))))</f>
        <v/>
      </c>
      <c r="AK577" s="55" t="str">
        <f>IF($AM577=0,"",IF(ISNUMBER($O577),$O577,$AI577))</f>
        <v/>
      </c>
      <c r="AL577" s="55" t="str">
        <f>IF($AM577=0,"",IF(ISNUMBER($P577),$P577,N($AJ577)))</f>
        <v/>
      </c>
      <c r="AM577" s="56">
        <f>IF(AND($A577&lt;&gt;"",$E577&lt;&gt;"",OR(AND(ISNUMBER($G577),ISNUMBER($H577),ISNUMBER($K577)),ISNUMBER($O577))),1,0)</f>
        <v>0</v>
      </c>
      <c r="AN577" s="57" t="str">
        <f>IF($A577="","",$A577-WEEKDAY($A577,3))</f>
        <v/>
      </c>
      <c r="AO577" s="56" t="str">
        <f>IF($A577="","",WEEKDAY($A577,2))</f>
        <v/>
      </c>
      <c r="AP577" s="55" t="str">
        <f>IF(OR($AM577=0,$C577=""),"",IFERROR(N(INDEX(Accounts!$E$7:$E$16,MATCH($C577,Accounts!$B$7:$B$16,0))),0)+SUMIFS($Q$6:$Q577,$C$6:$C577,$C577))</f>
        <v/>
      </c>
      <c r="AQ577" s="55" t="str">
        <f>IF(OR($AM577=0,$C577=""),"",SUMIFS($Q$6:$Q$1005,$C$6:$C$1005,$C577,$A$6:$A$1005,$A577))</f>
        <v/>
      </c>
      <c r="AR577" s="55" t="str">
        <f>IF(OR($AM577=0,$C577=""),"",IFERROR(N(INDEX(Accounts!$E$7:$E$16,MATCH($C577,Accounts!$B$7:$B$16,0))),0)+SUMIFS($Q$6:$Q$1005,$C$6:$C$1005,$C577,$A$6:$A$1005,"&lt;="&amp;$A577))</f>
        <v/>
      </c>
      <c r="AS577" s="56">
        <f>IF(OR($AM577=0,$Q577=""),0,IF(AND($A577&gt;=Lists!$W$6,$A577&lt;=Lists!$W$7,OR(Dashboard!$D$6="All accounts",$C577=Dashboard!$D$6),OR(Dashboard!$D$7="All markets",$AF577=Dashboard!$D$7)),1,0))</f>
        <v>0</v>
      </c>
      <c r="AT577" s="55">
        <f>IF($AS577=1,N(AT576)+$Q577,N(AT576))</f>
        <v>1187.10688</v>
      </c>
      <c r="AU577" s="55">
        <f>MAX(N(AU576),$AT577)</f>
        <v>1187.10688</v>
      </c>
      <c r="AV577" s="55">
        <f>$AT577-$AU577</f>
        <v>0</v>
      </c>
      <c r="AW577" s="56">
        <f>IF($AS577=1,IF($S577="Win",N(AW576)+1,IF($S577="Loss",0,N(AW576))),N(AW576))</f>
        <v>5</v>
      </c>
      <c r="AX577" s="56">
        <f>IF($AS577=1,IF($S577="Loss",N(AX576)+1,IF($S577="Win",0,N(AX576))),N(AX576))</f>
        <v>0</v>
      </c>
      <c r="AY577" s="56" t="str">
        <f>IF($AS577=1,COUNTIF($AS$6:$AS577,1),"")</f>
        <v/>
      </c>
      <c r="AZ577" s="56">
        <f>MIN(571,N(Lists!$W$8))</f>
        <v>28</v>
      </c>
      <c r="BA577" s="56">
        <f>IF($AS577=1,IF(COUNTIFS($A$6:$A577,$A577,$AS$6:$AS577,1)=1,1,0),0)</f>
        <v>0</v>
      </c>
      <c r="BB577" s="55" t="str">
        <f>IF($BA577=1,SUMIFS($Q$6:$Q$1005,$A$6:$A$1005,$A577,$AS$6:$AS$1005,1),"")</f>
        <v/>
      </c>
      <c r="BC577" s="56">
        <f>IF(ISNUMBER($R577),1,0)</f>
        <v>0</v>
      </c>
      <c r="BD577" s="55" t="str">
        <f>IF(ISNUMBER($U577),$U577*$V577,"")</f>
        <v/>
      </c>
      <c r="BE577" s="56" t="str">
        <f>IF($AM577=0,"",IFERROR(MATCH($AF577&amp;"|"&amp;UPPER(TRIM($E577)),Lists!$A$6:$A$205,0),0))</f>
        <v/>
      </c>
      <c r="BF577" s="56" t="str">
        <f>IF($AM577=0,"",IFERROR(MATCH($AF577,Settings!$B$14:$B$18,0),IFERROR(MATCH(Settings!$C$6,Settings!$B$14:$B$18,0),1)))</f>
        <v/>
      </c>
      <c r="BG577" s="58" t="str">
        <f>IF($AM577=0,"",IF(NOT(ISNUMBER($I577)),"No stop; ","")&amp;IF(AND(ISNUMBER($H577),ISNUMBER($I577)),IF(OR(AND($F577&lt;&gt;"Short",$I577&gt;=$H577),AND($F577="Short",$I577&lt;=$H577)),"Stop on wrong side; ",""),"")&amp;IF($F577="","No direction; ","")&amp;IF(AND(ISNUMBER(Settings!$C$22),ISNUMBER($V577)),IF($V577&gt;Settings!$C$22,"Risk over max $; ",""),"")&amp;IF(AND(ISNUMBER(Settings!$C$23),ISNUMBER($V577),ISNUMBER($AP577),IFERROR(N(INDEX(Accounts!$E$7:$E$16,MATCH($C577,Accounts!$B$7:$B$16,0))),0)&gt;0),IF($V577&gt;Settings!$C$23*($AP577-N($Q577)),"Risk over max %; ",""),"")&amp;IF(AND(ISNUMBER(Settings!$C$24),ISNUMBER($N577)),IF($N577&gt;Settings!$C$24,"Leverage over max; ",""),"")&amp;IF(AND(ISNUMBER(Settings!$C$27),ISNUMBER($T577)),IF($T577&lt;Settings!$C$27,"R:R below min; ",""),"")&amp;IF(ISNUMBER(Settings!$C$25),IF(COUNTIFS($A$6:$A577,$A577,$AM$6:$AM577,1)&gt;Settings!$C$25,"Over max trades/day; ",""),"")&amp;IF(ISNUMBER(Settings!$C$26),IF(SUMIFS($Q$5:$Q576,$A$5:$A576,$A577)&lt;=-Settings!$C$26,"Traded after daily max loss; ",""),"")&amp;IF(AND($AG577="",NOT(ISNUMBER($O577))),"Symbol not in Instruments; ","")&amp;IF(AND($AH577="",NOT(ISNUMBER($O577))),"Forex cross: type Gross P&amp;L; ",""))</f>
        <v/>
      </c>
      <c r="BH577" s="56">
        <f>IF(ISNUMBER($Q577),1,0)</f>
        <v>0</v>
      </c>
      <c r="BI577" s="56">
        <f>IF($Y577="",0,1)</f>
        <v>0</v>
      </c>
      <c r="BJ577" s="56">
        <f>IF($AB577="",0,1)</f>
        <v>0</v>
      </c>
      <c r="BK577" s="56">
        <f>IF(AND($BH577=1,$W577&lt;&gt;"OK"),1,0)</f>
        <v>0</v>
      </c>
      <c r="BL577" s="55">
        <f>IF(N($AZ577)=0,0,IFERROR(INDEX($AT$6:$AT$1005,MATCH($AZ577,$AY$6:$AY$1005,0)),0))</f>
        <v>1187.10688</v>
      </c>
      <c r="BM577" s="56">
        <f>IF(ISNUMBER(SEARCH("daily max loss",$BG577)),1,0)</f>
        <v>0</v>
      </c>
    </row>
    <row r="578" ht="18" customHeight="1">
      <c r="A578" s="38" t="n"/>
      <c r="B578" s="39" t="n"/>
      <c r="C578" s="40" t="n"/>
      <c r="D578" s="41" t="n"/>
      <c r="E578" s="41" t="n"/>
      <c r="F578" s="41" t="n"/>
      <c r="G578" s="41" t="n"/>
      <c r="H578" s="42" t="n"/>
      <c r="I578" s="42" t="n"/>
      <c r="J578" s="42" t="n"/>
      <c r="K578" s="42" t="n"/>
      <c r="L578" s="41" t="n"/>
      <c r="M578" s="41" t="n"/>
      <c r="N578" s="41" t="n"/>
      <c r="O578" s="43" t="n"/>
      <c r="P578" s="43" t="n"/>
      <c r="Q578" s="44" t="str">
        <f>IF($AM578=0,"",IF(ISNUMBER($AK578),$AK578-N($AL578),""))</f>
        <v/>
      </c>
      <c r="R578" s="45" t="str">
        <f>IF(OR($Q578="",NOT(ISNUMBER($V578))),"",$AK578/$V578)</f>
        <v/>
      </c>
      <c r="S578" s="46" t="str">
        <f>IF($Q578="","",IF(AND(ISNUMBER($R578),ABS(N($R578))&lt;N(Settings!$C$8)),"Scratch",IF($Q578&gt;0,"Win",IF($Q578&lt;0,"Loss","Scratch"))))</f>
        <v/>
      </c>
      <c r="T578" s="47" t="str">
        <f>IF(OR($AM578=0,NOT(ISNUMBER($H578)),NOT(ISNUMBER($I578)),NOT(ISNUMBER($J578))),"",IF($H578=$I578,"",ROUND(ABS($J578-$H578)/ABS($H578-$I578),6)))</f>
        <v/>
      </c>
      <c r="U578" s="48" t="str">
        <f>IF(OR($S578&lt;&gt;"Win",NOT(ISNUMBER($T578)),NOT(ISNUMBER($R578))),"",MAX(0,$T578-$R578))</f>
        <v/>
      </c>
      <c r="V578" s="49" t="str">
        <f>IF(OR($AM578=0,NOT(ISNUMBER($H578)),NOT(ISNUMBER($I578)),NOT(ISNUMBER($G578))),"",IF(OR($AG578="",$AH578=""),"",IF(ROUND(ABS($H578-$I578)*ABS($G578)*$AG578*$AH578,6)=0,"",ROUND(ABS($H578-$I578)*ABS($G578)*$AG578*$AH578,6))))</f>
        <v/>
      </c>
      <c r="W578" s="50" t="str">
        <f>IF($AM578=0,"",IF($BG578="","OK",LEFT($BG578,LEN($BG578)-2)))</f>
        <v/>
      </c>
      <c r="X578" s="41" t="n"/>
      <c r="Y578" s="40" t="n"/>
      <c r="Z578" s="41" t="n"/>
      <c r="AA578" s="41" t="n"/>
      <c r="AB578" s="40" t="n"/>
      <c r="AC578" s="51" t="n"/>
      <c r="AD578" s="51" t="n"/>
      <c r="AE578" s="40" t="n"/>
      <c r="AF578" s="52" t="str">
        <f>IF($AM578=0,"",IF($D578&lt;&gt;"",$D578,IF(IFERROR(INDEX(Accounts!$C$7:$C$16,MATCH($C578,Accounts!$B$7:$B$16,0))&amp;"","")&lt;&gt;"",INDEX(Accounts!$C$7:$C$16,MATCH($C578,Accounts!$B$7:$B$16,0)),Settings!$C$6)))</f>
        <v/>
      </c>
      <c r="AG578" s="53" t="str">
        <f>IF($AM578=0,"",IF(AND($BE578&gt;0,N(INDEX(Instruments!$D$6:$D$205,MAX(1,$BE578)))&gt;0),INDEX(Instruments!$D$6:$D$205,MAX(1,$BE578)),IF(N(INDEX(Settings!$D$14:$D$18,$BF578))&gt;0,INDEX(Settings!$D$14:$D$18,$BF578),"")))</f>
        <v/>
      </c>
      <c r="AH578" s="54" t="str">
        <f>IF($AM578=0,"",IF($AF578&lt;&gt;"Forex",1,IF(MID(UPPER(SUBSTITUTE(TRIM($E578),"/","")),4,3)=UPPER(TRIM(Settings!$C$7)),1,IF(LEFT(UPPER(SUBSTITUTE(TRIM($E578),"/","")),3)=UPPER(TRIM(Settings!$C$7)),IF(AND(ISNUMBER($K578),N($K578)&lt;&gt;0),1/$K578,""),""))))</f>
        <v/>
      </c>
      <c r="AI578" s="55" t="str">
        <f>IF($AM578=0,"",IF(OR(NOT(ISNUMBER($H578)),NOT(ISNUMBER($K578)),NOT(ISNUMBER($G578)),$AG578="",$AH578=""),"",ROUND(($K578-$H578)*IF($F578="Short",-1,1)*$G578*$AG578*$AH578,6)))</f>
        <v/>
      </c>
      <c r="AJ578" s="55" t="str">
        <f>IF($AM578=0,"",IF(INDEX(Settings!$E$14:$E$18,$BF578)="% of notional",IF(OR($AG578="",NOT(ISNUMBER($H578)),NOT(ISNUMBER($G578))),"",ROUND(ABS($H578*$G578*$AG578*N($AH578))*IF($L578="Limit",N(INDEX(Settings!$G$14:$G$18,$BF578)),N(INDEX(Settings!$H$14:$H$18,$BF578)))+IF(ISNUMBER($K578),ABS($K578*$G578*$AG578*N($AH578))*IF($M578="Target",N(INDEX(Settings!$G$14:$G$18,$BF578)),N(INDEX(Settings!$H$14:$H$18,$BF578))),0),6)),IF(NOT(ISNUMBER($G578)),"",ROUND(ABS($G578)*2*IF(AND($BE578&gt;0,ISNUMBER(INDEX(Instruments!$G$6:$G$205,MAX(1,$BE578)))),INDEX(Instruments!$G$6:$G$205,MAX(1,$BE578)),N(INDEX(Settings!$F$14:$F$18,$BF578))),6))))</f>
        <v/>
      </c>
      <c r="AK578" s="55" t="str">
        <f>IF($AM578=0,"",IF(ISNUMBER($O578),$O578,$AI578))</f>
        <v/>
      </c>
      <c r="AL578" s="55" t="str">
        <f>IF($AM578=0,"",IF(ISNUMBER($P578),$P578,N($AJ578)))</f>
        <v/>
      </c>
      <c r="AM578" s="56">
        <f>IF(AND($A578&lt;&gt;"",$E578&lt;&gt;"",OR(AND(ISNUMBER($G578),ISNUMBER($H578),ISNUMBER($K578)),ISNUMBER($O578))),1,0)</f>
        <v>0</v>
      </c>
      <c r="AN578" s="57" t="str">
        <f>IF($A578="","",$A578-WEEKDAY($A578,3))</f>
        <v/>
      </c>
      <c r="AO578" s="56" t="str">
        <f>IF($A578="","",WEEKDAY($A578,2))</f>
        <v/>
      </c>
      <c r="AP578" s="55" t="str">
        <f>IF(OR($AM578=0,$C578=""),"",IFERROR(N(INDEX(Accounts!$E$7:$E$16,MATCH($C578,Accounts!$B$7:$B$16,0))),0)+SUMIFS($Q$6:$Q578,$C$6:$C578,$C578))</f>
        <v/>
      </c>
      <c r="AQ578" s="55" t="str">
        <f>IF(OR($AM578=0,$C578=""),"",SUMIFS($Q$6:$Q$1005,$C$6:$C$1005,$C578,$A$6:$A$1005,$A578))</f>
        <v/>
      </c>
      <c r="AR578" s="55" t="str">
        <f>IF(OR($AM578=0,$C578=""),"",IFERROR(N(INDEX(Accounts!$E$7:$E$16,MATCH($C578,Accounts!$B$7:$B$16,0))),0)+SUMIFS($Q$6:$Q$1005,$C$6:$C$1005,$C578,$A$6:$A$1005,"&lt;="&amp;$A578))</f>
        <v/>
      </c>
      <c r="AS578" s="56">
        <f>IF(OR($AM578=0,$Q578=""),0,IF(AND($A578&gt;=Lists!$W$6,$A578&lt;=Lists!$W$7,OR(Dashboard!$D$6="All accounts",$C578=Dashboard!$D$6),OR(Dashboard!$D$7="All markets",$AF578=Dashboard!$D$7)),1,0))</f>
        <v>0</v>
      </c>
      <c r="AT578" s="55">
        <f>IF($AS578=1,N(AT577)+$Q578,N(AT577))</f>
        <v>1187.10688</v>
      </c>
      <c r="AU578" s="55">
        <f>MAX(N(AU577),$AT578)</f>
        <v>1187.10688</v>
      </c>
      <c r="AV578" s="55">
        <f>$AT578-$AU578</f>
        <v>0</v>
      </c>
      <c r="AW578" s="56">
        <f>IF($AS578=1,IF($S578="Win",N(AW577)+1,IF($S578="Loss",0,N(AW577))),N(AW577))</f>
        <v>5</v>
      </c>
      <c r="AX578" s="56">
        <f>IF($AS578=1,IF($S578="Loss",N(AX577)+1,IF($S578="Win",0,N(AX577))),N(AX577))</f>
        <v>0</v>
      </c>
      <c r="AY578" s="56" t="str">
        <f>IF($AS578=1,COUNTIF($AS$6:$AS578,1),"")</f>
        <v/>
      </c>
      <c r="AZ578" s="56">
        <f>MIN(572,N(Lists!$W$8))</f>
        <v>28</v>
      </c>
      <c r="BA578" s="56">
        <f>IF($AS578=1,IF(COUNTIFS($A$6:$A578,$A578,$AS$6:$AS578,1)=1,1,0),0)</f>
        <v>0</v>
      </c>
      <c r="BB578" s="55" t="str">
        <f>IF($BA578=1,SUMIFS($Q$6:$Q$1005,$A$6:$A$1005,$A578,$AS$6:$AS$1005,1),"")</f>
        <v/>
      </c>
      <c r="BC578" s="56">
        <f>IF(ISNUMBER($R578),1,0)</f>
        <v>0</v>
      </c>
      <c r="BD578" s="55" t="str">
        <f>IF(ISNUMBER($U578),$U578*$V578,"")</f>
        <v/>
      </c>
      <c r="BE578" s="56" t="str">
        <f>IF($AM578=0,"",IFERROR(MATCH($AF578&amp;"|"&amp;UPPER(TRIM($E578)),Lists!$A$6:$A$205,0),0))</f>
        <v/>
      </c>
      <c r="BF578" s="56" t="str">
        <f>IF($AM578=0,"",IFERROR(MATCH($AF578,Settings!$B$14:$B$18,0),IFERROR(MATCH(Settings!$C$6,Settings!$B$14:$B$18,0),1)))</f>
        <v/>
      </c>
      <c r="BG578" s="58" t="str">
        <f>IF($AM578=0,"",IF(NOT(ISNUMBER($I578)),"No stop; ","")&amp;IF(AND(ISNUMBER($H578),ISNUMBER($I578)),IF(OR(AND($F578&lt;&gt;"Short",$I578&gt;=$H578),AND($F578="Short",$I578&lt;=$H578)),"Stop on wrong side; ",""),"")&amp;IF($F578="","No direction; ","")&amp;IF(AND(ISNUMBER(Settings!$C$22),ISNUMBER($V578)),IF($V578&gt;Settings!$C$22,"Risk over max $; ",""),"")&amp;IF(AND(ISNUMBER(Settings!$C$23),ISNUMBER($V578),ISNUMBER($AP578),IFERROR(N(INDEX(Accounts!$E$7:$E$16,MATCH($C578,Accounts!$B$7:$B$16,0))),0)&gt;0),IF($V578&gt;Settings!$C$23*($AP578-N($Q578)),"Risk over max %; ",""),"")&amp;IF(AND(ISNUMBER(Settings!$C$24),ISNUMBER($N578)),IF($N578&gt;Settings!$C$24,"Leverage over max; ",""),"")&amp;IF(AND(ISNUMBER(Settings!$C$27),ISNUMBER($T578)),IF($T578&lt;Settings!$C$27,"R:R below min; ",""),"")&amp;IF(ISNUMBER(Settings!$C$25),IF(COUNTIFS($A$6:$A578,$A578,$AM$6:$AM578,1)&gt;Settings!$C$25,"Over max trades/day; ",""),"")&amp;IF(ISNUMBER(Settings!$C$26),IF(SUMIFS($Q$5:$Q577,$A$5:$A577,$A578)&lt;=-Settings!$C$26,"Traded after daily max loss; ",""),"")&amp;IF(AND($AG578="",NOT(ISNUMBER($O578))),"Symbol not in Instruments; ","")&amp;IF(AND($AH578="",NOT(ISNUMBER($O578))),"Forex cross: type Gross P&amp;L; ",""))</f>
        <v/>
      </c>
      <c r="BH578" s="56">
        <f>IF(ISNUMBER($Q578),1,0)</f>
        <v>0</v>
      </c>
      <c r="BI578" s="56">
        <f>IF($Y578="",0,1)</f>
        <v>0</v>
      </c>
      <c r="BJ578" s="56">
        <f>IF($AB578="",0,1)</f>
        <v>0</v>
      </c>
      <c r="BK578" s="56">
        <f>IF(AND($BH578=1,$W578&lt;&gt;"OK"),1,0)</f>
        <v>0</v>
      </c>
      <c r="BL578" s="55">
        <f>IF(N($AZ578)=0,0,IFERROR(INDEX($AT$6:$AT$1005,MATCH($AZ578,$AY$6:$AY$1005,0)),0))</f>
        <v>1187.10688</v>
      </c>
      <c r="BM578" s="56">
        <f>IF(ISNUMBER(SEARCH("daily max loss",$BG578)),1,0)</f>
        <v>0</v>
      </c>
    </row>
    <row r="579" ht="18" customHeight="1">
      <c r="A579" s="38" t="n"/>
      <c r="B579" s="39" t="n"/>
      <c r="C579" s="40" t="n"/>
      <c r="D579" s="41" t="n"/>
      <c r="E579" s="41" t="n"/>
      <c r="F579" s="41" t="n"/>
      <c r="G579" s="41" t="n"/>
      <c r="H579" s="42" t="n"/>
      <c r="I579" s="42" t="n"/>
      <c r="J579" s="42" t="n"/>
      <c r="K579" s="42" t="n"/>
      <c r="L579" s="41" t="n"/>
      <c r="M579" s="41" t="n"/>
      <c r="N579" s="41" t="n"/>
      <c r="O579" s="43" t="n"/>
      <c r="P579" s="43" t="n"/>
      <c r="Q579" s="44" t="str">
        <f>IF($AM579=0,"",IF(ISNUMBER($AK579),$AK579-N($AL579),""))</f>
        <v/>
      </c>
      <c r="R579" s="45" t="str">
        <f>IF(OR($Q579="",NOT(ISNUMBER($V579))),"",$AK579/$V579)</f>
        <v/>
      </c>
      <c r="S579" s="46" t="str">
        <f>IF($Q579="","",IF(AND(ISNUMBER($R579),ABS(N($R579))&lt;N(Settings!$C$8)),"Scratch",IF($Q579&gt;0,"Win",IF($Q579&lt;0,"Loss","Scratch"))))</f>
        <v/>
      </c>
      <c r="T579" s="47" t="str">
        <f>IF(OR($AM579=0,NOT(ISNUMBER($H579)),NOT(ISNUMBER($I579)),NOT(ISNUMBER($J579))),"",IF($H579=$I579,"",ROUND(ABS($J579-$H579)/ABS($H579-$I579),6)))</f>
        <v/>
      </c>
      <c r="U579" s="48" t="str">
        <f>IF(OR($S579&lt;&gt;"Win",NOT(ISNUMBER($T579)),NOT(ISNUMBER($R579))),"",MAX(0,$T579-$R579))</f>
        <v/>
      </c>
      <c r="V579" s="49" t="str">
        <f>IF(OR($AM579=0,NOT(ISNUMBER($H579)),NOT(ISNUMBER($I579)),NOT(ISNUMBER($G579))),"",IF(OR($AG579="",$AH579=""),"",IF(ROUND(ABS($H579-$I579)*ABS($G579)*$AG579*$AH579,6)=0,"",ROUND(ABS($H579-$I579)*ABS($G579)*$AG579*$AH579,6))))</f>
        <v/>
      </c>
      <c r="W579" s="50" t="str">
        <f>IF($AM579=0,"",IF($BG579="","OK",LEFT($BG579,LEN($BG579)-2)))</f>
        <v/>
      </c>
      <c r="X579" s="41" t="n"/>
      <c r="Y579" s="40" t="n"/>
      <c r="Z579" s="41" t="n"/>
      <c r="AA579" s="41" t="n"/>
      <c r="AB579" s="40" t="n"/>
      <c r="AC579" s="51" t="n"/>
      <c r="AD579" s="51" t="n"/>
      <c r="AE579" s="40" t="n"/>
      <c r="AF579" s="52" t="str">
        <f>IF($AM579=0,"",IF($D579&lt;&gt;"",$D579,IF(IFERROR(INDEX(Accounts!$C$7:$C$16,MATCH($C579,Accounts!$B$7:$B$16,0))&amp;"","")&lt;&gt;"",INDEX(Accounts!$C$7:$C$16,MATCH($C579,Accounts!$B$7:$B$16,0)),Settings!$C$6)))</f>
        <v/>
      </c>
      <c r="AG579" s="53" t="str">
        <f>IF($AM579=0,"",IF(AND($BE579&gt;0,N(INDEX(Instruments!$D$6:$D$205,MAX(1,$BE579)))&gt;0),INDEX(Instruments!$D$6:$D$205,MAX(1,$BE579)),IF(N(INDEX(Settings!$D$14:$D$18,$BF579))&gt;0,INDEX(Settings!$D$14:$D$18,$BF579),"")))</f>
        <v/>
      </c>
      <c r="AH579" s="54" t="str">
        <f>IF($AM579=0,"",IF($AF579&lt;&gt;"Forex",1,IF(MID(UPPER(SUBSTITUTE(TRIM($E579),"/","")),4,3)=UPPER(TRIM(Settings!$C$7)),1,IF(LEFT(UPPER(SUBSTITUTE(TRIM($E579),"/","")),3)=UPPER(TRIM(Settings!$C$7)),IF(AND(ISNUMBER($K579),N($K579)&lt;&gt;0),1/$K579,""),""))))</f>
        <v/>
      </c>
      <c r="AI579" s="55" t="str">
        <f>IF($AM579=0,"",IF(OR(NOT(ISNUMBER($H579)),NOT(ISNUMBER($K579)),NOT(ISNUMBER($G579)),$AG579="",$AH579=""),"",ROUND(($K579-$H579)*IF($F579="Short",-1,1)*$G579*$AG579*$AH579,6)))</f>
        <v/>
      </c>
      <c r="AJ579" s="55" t="str">
        <f>IF($AM579=0,"",IF(INDEX(Settings!$E$14:$E$18,$BF579)="% of notional",IF(OR($AG579="",NOT(ISNUMBER($H579)),NOT(ISNUMBER($G579))),"",ROUND(ABS($H579*$G579*$AG579*N($AH579))*IF($L579="Limit",N(INDEX(Settings!$G$14:$G$18,$BF579)),N(INDEX(Settings!$H$14:$H$18,$BF579)))+IF(ISNUMBER($K579),ABS($K579*$G579*$AG579*N($AH579))*IF($M579="Target",N(INDEX(Settings!$G$14:$G$18,$BF579)),N(INDEX(Settings!$H$14:$H$18,$BF579))),0),6)),IF(NOT(ISNUMBER($G579)),"",ROUND(ABS($G579)*2*IF(AND($BE579&gt;0,ISNUMBER(INDEX(Instruments!$G$6:$G$205,MAX(1,$BE579)))),INDEX(Instruments!$G$6:$G$205,MAX(1,$BE579)),N(INDEX(Settings!$F$14:$F$18,$BF579))),6))))</f>
        <v/>
      </c>
      <c r="AK579" s="55" t="str">
        <f>IF($AM579=0,"",IF(ISNUMBER($O579),$O579,$AI579))</f>
        <v/>
      </c>
      <c r="AL579" s="55" t="str">
        <f>IF($AM579=0,"",IF(ISNUMBER($P579),$P579,N($AJ579)))</f>
        <v/>
      </c>
      <c r="AM579" s="56">
        <f>IF(AND($A579&lt;&gt;"",$E579&lt;&gt;"",OR(AND(ISNUMBER($G579),ISNUMBER($H579),ISNUMBER($K579)),ISNUMBER($O579))),1,0)</f>
        <v>0</v>
      </c>
      <c r="AN579" s="57" t="str">
        <f>IF($A579="","",$A579-WEEKDAY($A579,3))</f>
        <v/>
      </c>
      <c r="AO579" s="56" t="str">
        <f>IF($A579="","",WEEKDAY($A579,2))</f>
        <v/>
      </c>
      <c r="AP579" s="55" t="str">
        <f>IF(OR($AM579=0,$C579=""),"",IFERROR(N(INDEX(Accounts!$E$7:$E$16,MATCH($C579,Accounts!$B$7:$B$16,0))),0)+SUMIFS($Q$6:$Q579,$C$6:$C579,$C579))</f>
        <v/>
      </c>
      <c r="AQ579" s="55" t="str">
        <f>IF(OR($AM579=0,$C579=""),"",SUMIFS($Q$6:$Q$1005,$C$6:$C$1005,$C579,$A$6:$A$1005,$A579))</f>
        <v/>
      </c>
      <c r="AR579" s="55" t="str">
        <f>IF(OR($AM579=0,$C579=""),"",IFERROR(N(INDEX(Accounts!$E$7:$E$16,MATCH($C579,Accounts!$B$7:$B$16,0))),0)+SUMIFS($Q$6:$Q$1005,$C$6:$C$1005,$C579,$A$6:$A$1005,"&lt;="&amp;$A579))</f>
        <v/>
      </c>
      <c r="AS579" s="56">
        <f>IF(OR($AM579=0,$Q579=""),0,IF(AND($A579&gt;=Lists!$W$6,$A579&lt;=Lists!$W$7,OR(Dashboard!$D$6="All accounts",$C579=Dashboard!$D$6),OR(Dashboard!$D$7="All markets",$AF579=Dashboard!$D$7)),1,0))</f>
        <v>0</v>
      </c>
      <c r="AT579" s="55">
        <f>IF($AS579=1,N(AT578)+$Q579,N(AT578))</f>
        <v>1187.10688</v>
      </c>
      <c r="AU579" s="55">
        <f>MAX(N(AU578),$AT579)</f>
        <v>1187.10688</v>
      </c>
      <c r="AV579" s="55">
        <f>$AT579-$AU579</f>
        <v>0</v>
      </c>
      <c r="AW579" s="56">
        <f>IF($AS579=1,IF($S579="Win",N(AW578)+1,IF($S579="Loss",0,N(AW578))),N(AW578))</f>
        <v>5</v>
      </c>
      <c r="AX579" s="56">
        <f>IF($AS579=1,IF($S579="Loss",N(AX578)+1,IF($S579="Win",0,N(AX578))),N(AX578))</f>
        <v>0</v>
      </c>
      <c r="AY579" s="56" t="str">
        <f>IF($AS579=1,COUNTIF($AS$6:$AS579,1),"")</f>
        <v/>
      </c>
      <c r="AZ579" s="56">
        <f>MIN(573,N(Lists!$W$8))</f>
        <v>28</v>
      </c>
      <c r="BA579" s="56">
        <f>IF($AS579=1,IF(COUNTIFS($A$6:$A579,$A579,$AS$6:$AS579,1)=1,1,0),0)</f>
        <v>0</v>
      </c>
      <c r="BB579" s="55" t="str">
        <f>IF($BA579=1,SUMIFS($Q$6:$Q$1005,$A$6:$A$1005,$A579,$AS$6:$AS$1005,1),"")</f>
        <v/>
      </c>
      <c r="BC579" s="56">
        <f>IF(ISNUMBER($R579),1,0)</f>
        <v>0</v>
      </c>
      <c r="BD579" s="55" t="str">
        <f>IF(ISNUMBER($U579),$U579*$V579,"")</f>
        <v/>
      </c>
      <c r="BE579" s="56" t="str">
        <f>IF($AM579=0,"",IFERROR(MATCH($AF579&amp;"|"&amp;UPPER(TRIM($E579)),Lists!$A$6:$A$205,0),0))</f>
        <v/>
      </c>
      <c r="BF579" s="56" t="str">
        <f>IF($AM579=0,"",IFERROR(MATCH($AF579,Settings!$B$14:$B$18,0),IFERROR(MATCH(Settings!$C$6,Settings!$B$14:$B$18,0),1)))</f>
        <v/>
      </c>
      <c r="BG579" s="58" t="str">
        <f>IF($AM579=0,"",IF(NOT(ISNUMBER($I579)),"No stop; ","")&amp;IF(AND(ISNUMBER($H579),ISNUMBER($I579)),IF(OR(AND($F579&lt;&gt;"Short",$I579&gt;=$H579),AND($F579="Short",$I579&lt;=$H579)),"Stop on wrong side; ",""),"")&amp;IF($F579="","No direction; ","")&amp;IF(AND(ISNUMBER(Settings!$C$22),ISNUMBER($V579)),IF($V579&gt;Settings!$C$22,"Risk over max $; ",""),"")&amp;IF(AND(ISNUMBER(Settings!$C$23),ISNUMBER($V579),ISNUMBER($AP579),IFERROR(N(INDEX(Accounts!$E$7:$E$16,MATCH($C579,Accounts!$B$7:$B$16,0))),0)&gt;0),IF($V579&gt;Settings!$C$23*($AP579-N($Q579)),"Risk over max %; ",""),"")&amp;IF(AND(ISNUMBER(Settings!$C$24),ISNUMBER($N579)),IF($N579&gt;Settings!$C$24,"Leverage over max; ",""),"")&amp;IF(AND(ISNUMBER(Settings!$C$27),ISNUMBER($T579)),IF($T579&lt;Settings!$C$27,"R:R below min; ",""),"")&amp;IF(ISNUMBER(Settings!$C$25),IF(COUNTIFS($A$6:$A579,$A579,$AM$6:$AM579,1)&gt;Settings!$C$25,"Over max trades/day; ",""),"")&amp;IF(ISNUMBER(Settings!$C$26),IF(SUMIFS($Q$5:$Q578,$A$5:$A578,$A579)&lt;=-Settings!$C$26,"Traded after daily max loss; ",""),"")&amp;IF(AND($AG579="",NOT(ISNUMBER($O579))),"Symbol not in Instruments; ","")&amp;IF(AND($AH579="",NOT(ISNUMBER($O579))),"Forex cross: type Gross P&amp;L; ",""))</f>
        <v/>
      </c>
      <c r="BH579" s="56">
        <f>IF(ISNUMBER($Q579),1,0)</f>
        <v>0</v>
      </c>
      <c r="BI579" s="56">
        <f>IF($Y579="",0,1)</f>
        <v>0</v>
      </c>
      <c r="BJ579" s="56">
        <f>IF($AB579="",0,1)</f>
        <v>0</v>
      </c>
      <c r="BK579" s="56">
        <f>IF(AND($BH579=1,$W579&lt;&gt;"OK"),1,0)</f>
        <v>0</v>
      </c>
      <c r="BL579" s="55">
        <f>IF(N($AZ579)=0,0,IFERROR(INDEX($AT$6:$AT$1005,MATCH($AZ579,$AY$6:$AY$1005,0)),0))</f>
        <v>1187.10688</v>
      </c>
      <c r="BM579" s="56">
        <f>IF(ISNUMBER(SEARCH("daily max loss",$BG579)),1,0)</f>
        <v>0</v>
      </c>
    </row>
    <row r="580" ht="18" customHeight="1">
      <c r="A580" s="38" t="n"/>
      <c r="B580" s="39" t="n"/>
      <c r="C580" s="40" t="n"/>
      <c r="D580" s="41" t="n"/>
      <c r="E580" s="41" t="n"/>
      <c r="F580" s="41" t="n"/>
      <c r="G580" s="41" t="n"/>
      <c r="H580" s="42" t="n"/>
      <c r="I580" s="42" t="n"/>
      <c r="J580" s="42" t="n"/>
      <c r="K580" s="42" t="n"/>
      <c r="L580" s="41" t="n"/>
      <c r="M580" s="41" t="n"/>
      <c r="N580" s="41" t="n"/>
      <c r="O580" s="43" t="n"/>
      <c r="P580" s="43" t="n"/>
      <c r="Q580" s="44" t="str">
        <f>IF($AM580=0,"",IF(ISNUMBER($AK580),$AK580-N($AL580),""))</f>
        <v/>
      </c>
      <c r="R580" s="45" t="str">
        <f>IF(OR($Q580="",NOT(ISNUMBER($V580))),"",$AK580/$V580)</f>
        <v/>
      </c>
      <c r="S580" s="46" t="str">
        <f>IF($Q580="","",IF(AND(ISNUMBER($R580),ABS(N($R580))&lt;N(Settings!$C$8)),"Scratch",IF($Q580&gt;0,"Win",IF($Q580&lt;0,"Loss","Scratch"))))</f>
        <v/>
      </c>
      <c r="T580" s="47" t="str">
        <f>IF(OR($AM580=0,NOT(ISNUMBER($H580)),NOT(ISNUMBER($I580)),NOT(ISNUMBER($J580))),"",IF($H580=$I580,"",ROUND(ABS($J580-$H580)/ABS($H580-$I580),6)))</f>
        <v/>
      </c>
      <c r="U580" s="48" t="str">
        <f>IF(OR($S580&lt;&gt;"Win",NOT(ISNUMBER($T580)),NOT(ISNUMBER($R580))),"",MAX(0,$T580-$R580))</f>
        <v/>
      </c>
      <c r="V580" s="49" t="str">
        <f>IF(OR($AM580=0,NOT(ISNUMBER($H580)),NOT(ISNUMBER($I580)),NOT(ISNUMBER($G580))),"",IF(OR($AG580="",$AH580=""),"",IF(ROUND(ABS($H580-$I580)*ABS($G580)*$AG580*$AH580,6)=0,"",ROUND(ABS($H580-$I580)*ABS($G580)*$AG580*$AH580,6))))</f>
        <v/>
      </c>
      <c r="W580" s="50" t="str">
        <f>IF($AM580=0,"",IF($BG580="","OK",LEFT($BG580,LEN($BG580)-2)))</f>
        <v/>
      </c>
      <c r="X580" s="41" t="n"/>
      <c r="Y580" s="40" t="n"/>
      <c r="Z580" s="41" t="n"/>
      <c r="AA580" s="41" t="n"/>
      <c r="AB580" s="40" t="n"/>
      <c r="AC580" s="51" t="n"/>
      <c r="AD580" s="51" t="n"/>
      <c r="AE580" s="40" t="n"/>
      <c r="AF580" s="52" t="str">
        <f>IF($AM580=0,"",IF($D580&lt;&gt;"",$D580,IF(IFERROR(INDEX(Accounts!$C$7:$C$16,MATCH($C580,Accounts!$B$7:$B$16,0))&amp;"","")&lt;&gt;"",INDEX(Accounts!$C$7:$C$16,MATCH($C580,Accounts!$B$7:$B$16,0)),Settings!$C$6)))</f>
        <v/>
      </c>
      <c r="AG580" s="53" t="str">
        <f>IF($AM580=0,"",IF(AND($BE580&gt;0,N(INDEX(Instruments!$D$6:$D$205,MAX(1,$BE580)))&gt;0),INDEX(Instruments!$D$6:$D$205,MAX(1,$BE580)),IF(N(INDEX(Settings!$D$14:$D$18,$BF580))&gt;0,INDEX(Settings!$D$14:$D$18,$BF580),"")))</f>
        <v/>
      </c>
      <c r="AH580" s="54" t="str">
        <f>IF($AM580=0,"",IF($AF580&lt;&gt;"Forex",1,IF(MID(UPPER(SUBSTITUTE(TRIM($E580),"/","")),4,3)=UPPER(TRIM(Settings!$C$7)),1,IF(LEFT(UPPER(SUBSTITUTE(TRIM($E580),"/","")),3)=UPPER(TRIM(Settings!$C$7)),IF(AND(ISNUMBER($K580),N($K580)&lt;&gt;0),1/$K580,""),""))))</f>
        <v/>
      </c>
      <c r="AI580" s="55" t="str">
        <f>IF($AM580=0,"",IF(OR(NOT(ISNUMBER($H580)),NOT(ISNUMBER($K580)),NOT(ISNUMBER($G580)),$AG580="",$AH580=""),"",ROUND(($K580-$H580)*IF($F580="Short",-1,1)*$G580*$AG580*$AH580,6)))</f>
        <v/>
      </c>
      <c r="AJ580" s="55" t="str">
        <f>IF($AM580=0,"",IF(INDEX(Settings!$E$14:$E$18,$BF580)="% of notional",IF(OR($AG580="",NOT(ISNUMBER($H580)),NOT(ISNUMBER($G580))),"",ROUND(ABS($H580*$G580*$AG580*N($AH580))*IF($L580="Limit",N(INDEX(Settings!$G$14:$G$18,$BF580)),N(INDEX(Settings!$H$14:$H$18,$BF580)))+IF(ISNUMBER($K580),ABS($K580*$G580*$AG580*N($AH580))*IF($M580="Target",N(INDEX(Settings!$G$14:$G$18,$BF580)),N(INDEX(Settings!$H$14:$H$18,$BF580))),0),6)),IF(NOT(ISNUMBER($G580)),"",ROUND(ABS($G580)*2*IF(AND($BE580&gt;0,ISNUMBER(INDEX(Instruments!$G$6:$G$205,MAX(1,$BE580)))),INDEX(Instruments!$G$6:$G$205,MAX(1,$BE580)),N(INDEX(Settings!$F$14:$F$18,$BF580))),6))))</f>
        <v/>
      </c>
      <c r="AK580" s="55" t="str">
        <f>IF($AM580=0,"",IF(ISNUMBER($O580),$O580,$AI580))</f>
        <v/>
      </c>
      <c r="AL580" s="55" t="str">
        <f>IF($AM580=0,"",IF(ISNUMBER($P580),$P580,N($AJ580)))</f>
        <v/>
      </c>
      <c r="AM580" s="56">
        <f>IF(AND($A580&lt;&gt;"",$E580&lt;&gt;"",OR(AND(ISNUMBER($G580),ISNUMBER($H580),ISNUMBER($K580)),ISNUMBER($O580))),1,0)</f>
        <v>0</v>
      </c>
      <c r="AN580" s="57" t="str">
        <f>IF($A580="","",$A580-WEEKDAY($A580,3))</f>
        <v/>
      </c>
      <c r="AO580" s="56" t="str">
        <f>IF($A580="","",WEEKDAY($A580,2))</f>
        <v/>
      </c>
      <c r="AP580" s="55" t="str">
        <f>IF(OR($AM580=0,$C580=""),"",IFERROR(N(INDEX(Accounts!$E$7:$E$16,MATCH($C580,Accounts!$B$7:$B$16,0))),0)+SUMIFS($Q$6:$Q580,$C$6:$C580,$C580))</f>
        <v/>
      </c>
      <c r="AQ580" s="55" t="str">
        <f>IF(OR($AM580=0,$C580=""),"",SUMIFS($Q$6:$Q$1005,$C$6:$C$1005,$C580,$A$6:$A$1005,$A580))</f>
        <v/>
      </c>
      <c r="AR580" s="55" t="str">
        <f>IF(OR($AM580=0,$C580=""),"",IFERROR(N(INDEX(Accounts!$E$7:$E$16,MATCH($C580,Accounts!$B$7:$B$16,0))),0)+SUMIFS($Q$6:$Q$1005,$C$6:$C$1005,$C580,$A$6:$A$1005,"&lt;="&amp;$A580))</f>
        <v/>
      </c>
      <c r="AS580" s="56">
        <f>IF(OR($AM580=0,$Q580=""),0,IF(AND($A580&gt;=Lists!$W$6,$A580&lt;=Lists!$W$7,OR(Dashboard!$D$6="All accounts",$C580=Dashboard!$D$6),OR(Dashboard!$D$7="All markets",$AF580=Dashboard!$D$7)),1,0))</f>
        <v>0</v>
      </c>
      <c r="AT580" s="55">
        <f>IF($AS580=1,N(AT579)+$Q580,N(AT579))</f>
        <v>1187.10688</v>
      </c>
      <c r="AU580" s="55">
        <f>MAX(N(AU579),$AT580)</f>
        <v>1187.10688</v>
      </c>
      <c r="AV580" s="55">
        <f>$AT580-$AU580</f>
        <v>0</v>
      </c>
      <c r="AW580" s="56">
        <f>IF($AS580=1,IF($S580="Win",N(AW579)+1,IF($S580="Loss",0,N(AW579))),N(AW579))</f>
        <v>5</v>
      </c>
      <c r="AX580" s="56">
        <f>IF($AS580=1,IF($S580="Loss",N(AX579)+1,IF($S580="Win",0,N(AX579))),N(AX579))</f>
        <v>0</v>
      </c>
      <c r="AY580" s="56" t="str">
        <f>IF($AS580=1,COUNTIF($AS$6:$AS580,1),"")</f>
        <v/>
      </c>
      <c r="AZ580" s="56">
        <f>MIN(574,N(Lists!$W$8))</f>
        <v>28</v>
      </c>
      <c r="BA580" s="56">
        <f>IF($AS580=1,IF(COUNTIFS($A$6:$A580,$A580,$AS$6:$AS580,1)=1,1,0),0)</f>
        <v>0</v>
      </c>
      <c r="BB580" s="55" t="str">
        <f>IF($BA580=1,SUMIFS($Q$6:$Q$1005,$A$6:$A$1005,$A580,$AS$6:$AS$1005,1),"")</f>
        <v/>
      </c>
      <c r="BC580" s="56">
        <f>IF(ISNUMBER($R580),1,0)</f>
        <v>0</v>
      </c>
      <c r="BD580" s="55" t="str">
        <f>IF(ISNUMBER($U580),$U580*$V580,"")</f>
        <v/>
      </c>
      <c r="BE580" s="56" t="str">
        <f>IF($AM580=0,"",IFERROR(MATCH($AF580&amp;"|"&amp;UPPER(TRIM($E580)),Lists!$A$6:$A$205,0),0))</f>
        <v/>
      </c>
      <c r="BF580" s="56" t="str">
        <f>IF($AM580=0,"",IFERROR(MATCH($AF580,Settings!$B$14:$B$18,0),IFERROR(MATCH(Settings!$C$6,Settings!$B$14:$B$18,0),1)))</f>
        <v/>
      </c>
      <c r="BG580" s="58" t="str">
        <f>IF($AM580=0,"",IF(NOT(ISNUMBER($I580)),"No stop; ","")&amp;IF(AND(ISNUMBER($H580),ISNUMBER($I580)),IF(OR(AND($F580&lt;&gt;"Short",$I580&gt;=$H580),AND($F580="Short",$I580&lt;=$H580)),"Stop on wrong side; ",""),"")&amp;IF($F580="","No direction; ","")&amp;IF(AND(ISNUMBER(Settings!$C$22),ISNUMBER($V580)),IF($V580&gt;Settings!$C$22,"Risk over max $; ",""),"")&amp;IF(AND(ISNUMBER(Settings!$C$23),ISNUMBER($V580),ISNUMBER($AP580),IFERROR(N(INDEX(Accounts!$E$7:$E$16,MATCH($C580,Accounts!$B$7:$B$16,0))),0)&gt;0),IF($V580&gt;Settings!$C$23*($AP580-N($Q580)),"Risk over max %; ",""),"")&amp;IF(AND(ISNUMBER(Settings!$C$24),ISNUMBER($N580)),IF($N580&gt;Settings!$C$24,"Leverage over max; ",""),"")&amp;IF(AND(ISNUMBER(Settings!$C$27),ISNUMBER($T580)),IF($T580&lt;Settings!$C$27,"R:R below min; ",""),"")&amp;IF(ISNUMBER(Settings!$C$25),IF(COUNTIFS($A$6:$A580,$A580,$AM$6:$AM580,1)&gt;Settings!$C$25,"Over max trades/day; ",""),"")&amp;IF(ISNUMBER(Settings!$C$26),IF(SUMIFS($Q$5:$Q579,$A$5:$A579,$A580)&lt;=-Settings!$C$26,"Traded after daily max loss; ",""),"")&amp;IF(AND($AG580="",NOT(ISNUMBER($O580))),"Symbol not in Instruments; ","")&amp;IF(AND($AH580="",NOT(ISNUMBER($O580))),"Forex cross: type Gross P&amp;L; ",""))</f>
        <v/>
      </c>
      <c r="BH580" s="56">
        <f>IF(ISNUMBER($Q580),1,0)</f>
        <v>0</v>
      </c>
      <c r="BI580" s="56">
        <f>IF($Y580="",0,1)</f>
        <v>0</v>
      </c>
      <c r="BJ580" s="56">
        <f>IF($AB580="",0,1)</f>
        <v>0</v>
      </c>
      <c r="BK580" s="56">
        <f>IF(AND($BH580=1,$W580&lt;&gt;"OK"),1,0)</f>
        <v>0</v>
      </c>
      <c r="BL580" s="55">
        <f>IF(N($AZ580)=0,0,IFERROR(INDEX($AT$6:$AT$1005,MATCH($AZ580,$AY$6:$AY$1005,0)),0))</f>
        <v>1187.10688</v>
      </c>
      <c r="BM580" s="56">
        <f>IF(ISNUMBER(SEARCH("daily max loss",$BG580)),1,0)</f>
        <v>0</v>
      </c>
    </row>
    <row r="581" ht="18" customHeight="1">
      <c r="A581" s="38" t="n"/>
      <c r="B581" s="39" t="n"/>
      <c r="C581" s="40" t="n"/>
      <c r="D581" s="41" t="n"/>
      <c r="E581" s="41" t="n"/>
      <c r="F581" s="41" t="n"/>
      <c r="G581" s="41" t="n"/>
      <c r="H581" s="42" t="n"/>
      <c r="I581" s="42" t="n"/>
      <c r="J581" s="42" t="n"/>
      <c r="K581" s="42" t="n"/>
      <c r="L581" s="41" t="n"/>
      <c r="M581" s="41" t="n"/>
      <c r="N581" s="41" t="n"/>
      <c r="O581" s="43" t="n"/>
      <c r="P581" s="43" t="n"/>
      <c r="Q581" s="44" t="str">
        <f>IF($AM581=0,"",IF(ISNUMBER($AK581),$AK581-N($AL581),""))</f>
        <v/>
      </c>
      <c r="R581" s="45" t="str">
        <f>IF(OR($Q581="",NOT(ISNUMBER($V581))),"",$AK581/$V581)</f>
        <v/>
      </c>
      <c r="S581" s="46" t="str">
        <f>IF($Q581="","",IF(AND(ISNUMBER($R581),ABS(N($R581))&lt;N(Settings!$C$8)),"Scratch",IF($Q581&gt;0,"Win",IF($Q581&lt;0,"Loss","Scratch"))))</f>
        <v/>
      </c>
      <c r="T581" s="47" t="str">
        <f>IF(OR($AM581=0,NOT(ISNUMBER($H581)),NOT(ISNUMBER($I581)),NOT(ISNUMBER($J581))),"",IF($H581=$I581,"",ROUND(ABS($J581-$H581)/ABS($H581-$I581),6)))</f>
        <v/>
      </c>
      <c r="U581" s="48" t="str">
        <f>IF(OR($S581&lt;&gt;"Win",NOT(ISNUMBER($T581)),NOT(ISNUMBER($R581))),"",MAX(0,$T581-$R581))</f>
        <v/>
      </c>
      <c r="V581" s="49" t="str">
        <f>IF(OR($AM581=0,NOT(ISNUMBER($H581)),NOT(ISNUMBER($I581)),NOT(ISNUMBER($G581))),"",IF(OR($AG581="",$AH581=""),"",IF(ROUND(ABS($H581-$I581)*ABS($G581)*$AG581*$AH581,6)=0,"",ROUND(ABS($H581-$I581)*ABS($G581)*$AG581*$AH581,6))))</f>
        <v/>
      </c>
      <c r="W581" s="50" t="str">
        <f>IF($AM581=0,"",IF($BG581="","OK",LEFT($BG581,LEN($BG581)-2)))</f>
        <v/>
      </c>
      <c r="X581" s="41" t="n"/>
      <c r="Y581" s="40" t="n"/>
      <c r="Z581" s="41" t="n"/>
      <c r="AA581" s="41" t="n"/>
      <c r="AB581" s="40" t="n"/>
      <c r="AC581" s="51" t="n"/>
      <c r="AD581" s="51" t="n"/>
      <c r="AE581" s="40" t="n"/>
      <c r="AF581" s="52" t="str">
        <f>IF($AM581=0,"",IF($D581&lt;&gt;"",$D581,IF(IFERROR(INDEX(Accounts!$C$7:$C$16,MATCH($C581,Accounts!$B$7:$B$16,0))&amp;"","")&lt;&gt;"",INDEX(Accounts!$C$7:$C$16,MATCH($C581,Accounts!$B$7:$B$16,0)),Settings!$C$6)))</f>
        <v/>
      </c>
      <c r="AG581" s="53" t="str">
        <f>IF($AM581=0,"",IF(AND($BE581&gt;0,N(INDEX(Instruments!$D$6:$D$205,MAX(1,$BE581)))&gt;0),INDEX(Instruments!$D$6:$D$205,MAX(1,$BE581)),IF(N(INDEX(Settings!$D$14:$D$18,$BF581))&gt;0,INDEX(Settings!$D$14:$D$18,$BF581),"")))</f>
        <v/>
      </c>
      <c r="AH581" s="54" t="str">
        <f>IF($AM581=0,"",IF($AF581&lt;&gt;"Forex",1,IF(MID(UPPER(SUBSTITUTE(TRIM($E581),"/","")),4,3)=UPPER(TRIM(Settings!$C$7)),1,IF(LEFT(UPPER(SUBSTITUTE(TRIM($E581),"/","")),3)=UPPER(TRIM(Settings!$C$7)),IF(AND(ISNUMBER($K581),N($K581)&lt;&gt;0),1/$K581,""),""))))</f>
        <v/>
      </c>
      <c r="AI581" s="55" t="str">
        <f>IF($AM581=0,"",IF(OR(NOT(ISNUMBER($H581)),NOT(ISNUMBER($K581)),NOT(ISNUMBER($G581)),$AG581="",$AH581=""),"",ROUND(($K581-$H581)*IF($F581="Short",-1,1)*$G581*$AG581*$AH581,6)))</f>
        <v/>
      </c>
      <c r="AJ581" s="55" t="str">
        <f>IF($AM581=0,"",IF(INDEX(Settings!$E$14:$E$18,$BF581)="% of notional",IF(OR($AG581="",NOT(ISNUMBER($H581)),NOT(ISNUMBER($G581))),"",ROUND(ABS($H581*$G581*$AG581*N($AH581))*IF($L581="Limit",N(INDEX(Settings!$G$14:$G$18,$BF581)),N(INDEX(Settings!$H$14:$H$18,$BF581)))+IF(ISNUMBER($K581),ABS($K581*$G581*$AG581*N($AH581))*IF($M581="Target",N(INDEX(Settings!$G$14:$G$18,$BF581)),N(INDEX(Settings!$H$14:$H$18,$BF581))),0),6)),IF(NOT(ISNUMBER($G581)),"",ROUND(ABS($G581)*2*IF(AND($BE581&gt;0,ISNUMBER(INDEX(Instruments!$G$6:$G$205,MAX(1,$BE581)))),INDEX(Instruments!$G$6:$G$205,MAX(1,$BE581)),N(INDEX(Settings!$F$14:$F$18,$BF581))),6))))</f>
        <v/>
      </c>
      <c r="AK581" s="55" t="str">
        <f>IF($AM581=0,"",IF(ISNUMBER($O581),$O581,$AI581))</f>
        <v/>
      </c>
      <c r="AL581" s="55" t="str">
        <f>IF($AM581=0,"",IF(ISNUMBER($P581),$P581,N($AJ581)))</f>
        <v/>
      </c>
      <c r="AM581" s="56">
        <f>IF(AND($A581&lt;&gt;"",$E581&lt;&gt;"",OR(AND(ISNUMBER($G581),ISNUMBER($H581),ISNUMBER($K581)),ISNUMBER($O581))),1,0)</f>
        <v>0</v>
      </c>
      <c r="AN581" s="57" t="str">
        <f>IF($A581="","",$A581-WEEKDAY($A581,3))</f>
        <v/>
      </c>
      <c r="AO581" s="56" t="str">
        <f>IF($A581="","",WEEKDAY($A581,2))</f>
        <v/>
      </c>
      <c r="AP581" s="55" t="str">
        <f>IF(OR($AM581=0,$C581=""),"",IFERROR(N(INDEX(Accounts!$E$7:$E$16,MATCH($C581,Accounts!$B$7:$B$16,0))),0)+SUMIFS($Q$6:$Q581,$C$6:$C581,$C581))</f>
        <v/>
      </c>
      <c r="AQ581" s="55" t="str">
        <f>IF(OR($AM581=0,$C581=""),"",SUMIFS($Q$6:$Q$1005,$C$6:$C$1005,$C581,$A$6:$A$1005,$A581))</f>
        <v/>
      </c>
      <c r="AR581" s="55" t="str">
        <f>IF(OR($AM581=0,$C581=""),"",IFERROR(N(INDEX(Accounts!$E$7:$E$16,MATCH($C581,Accounts!$B$7:$B$16,0))),0)+SUMIFS($Q$6:$Q$1005,$C$6:$C$1005,$C581,$A$6:$A$1005,"&lt;="&amp;$A581))</f>
        <v/>
      </c>
      <c r="AS581" s="56">
        <f>IF(OR($AM581=0,$Q581=""),0,IF(AND($A581&gt;=Lists!$W$6,$A581&lt;=Lists!$W$7,OR(Dashboard!$D$6="All accounts",$C581=Dashboard!$D$6),OR(Dashboard!$D$7="All markets",$AF581=Dashboard!$D$7)),1,0))</f>
        <v>0</v>
      </c>
      <c r="AT581" s="55">
        <f>IF($AS581=1,N(AT580)+$Q581,N(AT580))</f>
        <v>1187.10688</v>
      </c>
      <c r="AU581" s="55">
        <f>MAX(N(AU580),$AT581)</f>
        <v>1187.10688</v>
      </c>
      <c r="AV581" s="55">
        <f>$AT581-$AU581</f>
        <v>0</v>
      </c>
      <c r="AW581" s="56">
        <f>IF($AS581=1,IF($S581="Win",N(AW580)+1,IF($S581="Loss",0,N(AW580))),N(AW580))</f>
        <v>5</v>
      </c>
      <c r="AX581" s="56">
        <f>IF($AS581=1,IF($S581="Loss",N(AX580)+1,IF($S581="Win",0,N(AX580))),N(AX580))</f>
        <v>0</v>
      </c>
      <c r="AY581" s="56" t="str">
        <f>IF($AS581=1,COUNTIF($AS$6:$AS581,1),"")</f>
        <v/>
      </c>
      <c r="AZ581" s="56">
        <f>MIN(575,N(Lists!$W$8))</f>
        <v>28</v>
      </c>
      <c r="BA581" s="56">
        <f>IF($AS581=1,IF(COUNTIFS($A$6:$A581,$A581,$AS$6:$AS581,1)=1,1,0),0)</f>
        <v>0</v>
      </c>
      <c r="BB581" s="55" t="str">
        <f>IF($BA581=1,SUMIFS($Q$6:$Q$1005,$A$6:$A$1005,$A581,$AS$6:$AS$1005,1),"")</f>
        <v/>
      </c>
      <c r="BC581" s="56">
        <f>IF(ISNUMBER($R581),1,0)</f>
        <v>0</v>
      </c>
      <c r="BD581" s="55" t="str">
        <f>IF(ISNUMBER($U581),$U581*$V581,"")</f>
        <v/>
      </c>
      <c r="BE581" s="56" t="str">
        <f>IF($AM581=0,"",IFERROR(MATCH($AF581&amp;"|"&amp;UPPER(TRIM($E581)),Lists!$A$6:$A$205,0),0))</f>
        <v/>
      </c>
      <c r="BF581" s="56" t="str">
        <f>IF($AM581=0,"",IFERROR(MATCH($AF581,Settings!$B$14:$B$18,0),IFERROR(MATCH(Settings!$C$6,Settings!$B$14:$B$18,0),1)))</f>
        <v/>
      </c>
      <c r="BG581" s="58" t="str">
        <f>IF($AM581=0,"",IF(NOT(ISNUMBER($I581)),"No stop; ","")&amp;IF(AND(ISNUMBER($H581),ISNUMBER($I581)),IF(OR(AND($F581&lt;&gt;"Short",$I581&gt;=$H581),AND($F581="Short",$I581&lt;=$H581)),"Stop on wrong side; ",""),"")&amp;IF($F581="","No direction; ","")&amp;IF(AND(ISNUMBER(Settings!$C$22),ISNUMBER($V581)),IF($V581&gt;Settings!$C$22,"Risk over max $; ",""),"")&amp;IF(AND(ISNUMBER(Settings!$C$23),ISNUMBER($V581),ISNUMBER($AP581),IFERROR(N(INDEX(Accounts!$E$7:$E$16,MATCH($C581,Accounts!$B$7:$B$16,0))),0)&gt;0),IF($V581&gt;Settings!$C$23*($AP581-N($Q581)),"Risk over max %; ",""),"")&amp;IF(AND(ISNUMBER(Settings!$C$24),ISNUMBER($N581)),IF($N581&gt;Settings!$C$24,"Leverage over max; ",""),"")&amp;IF(AND(ISNUMBER(Settings!$C$27),ISNUMBER($T581)),IF($T581&lt;Settings!$C$27,"R:R below min; ",""),"")&amp;IF(ISNUMBER(Settings!$C$25),IF(COUNTIFS($A$6:$A581,$A581,$AM$6:$AM581,1)&gt;Settings!$C$25,"Over max trades/day; ",""),"")&amp;IF(ISNUMBER(Settings!$C$26),IF(SUMIFS($Q$5:$Q580,$A$5:$A580,$A581)&lt;=-Settings!$C$26,"Traded after daily max loss; ",""),"")&amp;IF(AND($AG581="",NOT(ISNUMBER($O581))),"Symbol not in Instruments; ","")&amp;IF(AND($AH581="",NOT(ISNUMBER($O581))),"Forex cross: type Gross P&amp;L; ",""))</f>
        <v/>
      </c>
      <c r="BH581" s="56">
        <f>IF(ISNUMBER($Q581),1,0)</f>
        <v>0</v>
      </c>
      <c r="BI581" s="56">
        <f>IF($Y581="",0,1)</f>
        <v>0</v>
      </c>
      <c r="BJ581" s="56">
        <f>IF($AB581="",0,1)</f>
        <v>0</v>
      </c>
      <c r="BK581" s="56">
        <f>IF(AND($BH581=1,$W581&lt;&gt;"OK"),1,0)</f>
        <v>0</v>
      </c>
      <c r="BL581" s="55">
        <f>IF(N($AZ581)=0,0,IFERROR(INDEX($AT$6:$AT$1005,MATCH($AZ581,$AY$6:$AY$1005,0)),0))</f>
        <v>1187.10688</v>
      </c>
      <c r="BM581" s="56">
        <f>IF(ISNUMBER(SEARCH("daily max loss",$BG581)),1,0)</f>
        <v>0</v>
      </c>
    </row>
    <row r="582" ht="18" customHeight="1">
      <c r="A582" s="38" t="n"/>
      <c r="B582" s="39" t="n"/>
      <c r="C582" s="40" t="n"/>
      <c r="D582" s="41" t="n"/>
      <c r="E582" s="41" t="n"/>
      <c r="F582" s="41" t="n"/>
      <c r="G582" s="41" t="n"/>
      <c r="H582" s="42" t="n"/>
      <c r="I582" s="42" t="n"/>
      <c r="J582" s="42" t="n"/>
      <c r="K582" s="42" t="n"/>
      <c r="L582" s="41" t="n"/>
      <c r="M582" s="41" t="n"/>
      <c r="N582" s="41" t="n"/>
      <c r="O582" s="43" t="n"/>
      <c r="P582" s="43" t="n"/>
      <c r="Q582" s="44" t="str">
        <f>IF($AM582=0,"",IF(ISNUMBER($AK582),$AK582-N($AL582),""))</f>
        <v/>
      </c>
      <c r="R582" s="45" t="str">
        <f>IF(OR($Q582="",NOT(ISNUMBER($V582))),"",$AK582/$V582)</f>
        <v/>
      </c>
      <c r="S582" s="46" t="str">
        <f>IF($Q582="","",IF(AND(ISNUMBER($R582),ABS(N($R582))&lt;N(Settings!$C$8)),"Scratch",IF($Q582&gt;0,"Win",IF($Q582&lt;0,"Loss","Scratch"))))</f>
        <v/>
      </c>
      <c r="T582" s="47" t="str">
        <f>IF(OR($AM582=0,NOT(ISNUMBER($H582)),NOT(ISNUMBER($I582)),NOT(ISNUMBER($J582))),"",IF($H582=$I582,"",ROUND(ABS($J582-$H582)/ABS($H582-$I582),6)))</f>
        <v/>
      </c>
      <c r="U582" s="48" t="str">
        <f>IF(OR($S582&lt;&gt;"Win",NOT(ISNUMBER($T582)),NOT(ISNUMBER($R582))),"",MAX(0,$T582-$R582))</f>
        <v/>
      </c>
      <c r="V582" s="49" t="str">
        <f>IF(OR($AM582=0,NOT(ISNUMBER($H582)),NOT(ISNUMBER($I582)),NOT(ISNUMBER($G582))),"",IF(OR($AG582="",$AH582=""),"",IF(ROUND(ABS($H582-$I582)*ABS($G582)*$AG582*$AH582,6)=0,"",ROUND(ABS($H582-$I582)*ABS($G582)*$AG582*$AH582,6))))</f>
        <v/>
      </c>
      <c r="W582" s="50" t="str">
        <f>IF($AM582=0,"",IF($BG582="","OK",LEFT($BG582,LEN($BG582)-2)))</f>
        <v/>
      </c>
      <c r="X582" s="41" t="n"/>
      <c r="Y582" s="40" t="n"/>
      <c r="Z582" s="41" t="n"/>
      <c r="AA582" s="41" t="n"/>
      <c r="AB582" s="40" t="n"/>
      <c r="AC582" s="51" t="n"/>
      <c r="AD582" s="51" t="n"/>
      <c r="AE582" s="40" t="n"/>
      <c r="AF582" s="52" t="str">
        <f>IF($AM582=0,"",IF($D582&lt;&gt;"",$D582,IF(IFERROR(INDEX(Accounts!$C$7:$C$16,MATCH($C582,Accounts!$B$7:$B$16,0))&amp;"","")&lt;&gt;"",INDEX(Accounts!$C$7:$C$16,MATCH($C582,Accounts!$B$7:$B$16,0)),Settings!$C$6)))</f>
        <v/>
      </c>
      <c r="AG582" s="53" t="str">
        <f>IF($AM582=0,"",IF(AND($BE582&gt;0,N(INDEX(Instruments!$D$6:$D$205,MAX(1,$BE582)))&gt;0),INDEX(Instruments!$D$6:$D$205,MAX(1,$BE582)),IF(N(INDEX(Settings!$D$14:$D$18,$BF582))&gt;0,INDEX(Settings!$D$14:$D$18,$BF582),"")))</f>
        <v/>
      </c>
      <c r="AH582" s="54" t="str">
        <f>IF($AM582=0,"",IF($AF582&lt;&gt;"Forex",1,IF(MID(UPPER(SUBSTITUTE(TRIM($E582),"/","")),4,3)=UPPER(TRIM(Settings!$C$7)),1,IF(LEFT(UPPER(SUBSTITUTE(TRIM($E582),"/","")),3)=UPPER(TRIM(Settings!$C$7)),IF(AND(ISNUMBER($K582),N($K582)&lt;&gt;0),1/$K582,""),""))))</f>
        <v/>
      </c>
      <c r="AI582" s="55" t="str">
        <f>IF($AM582=0,"",IF(OR(NOT(ISNUMBER($H582)),NOT(ISNUMBER($K582)),NOT(ISNUMBER($G582)),$AG582="",$AH582=""),"",ROUND(($K582-$H582)*IF($F582="Short",-1,1)*$G582*$AG582*$AH582,6)))</f>
        <v/>
      </c>
      <c r="AJ582" s="55" t="str">
        <f>IF($AM582=0,"",IF(INDEX(Settings!$E$14:$E$18,$BF582)="% of notional",IF(OR($AG582="",NOT(ISNUMBER($H582)),NOT(ISNUMBER($G582))),"",ROUND(ABS($H582*$G582*$AG582*N($AH582))*IF($L582="Limit",N(INDEX(Settings!$G$14:$G$18,$BF582)),N(INDEX(Settings!$H$14:$H$18,$BF582)))+IF(ISNUMBER($K582),ABS($K582*$G582*$AG582*N($AH582))*IF($M582="Target",N(INDEX(Settings!$G$14:$G$18,$BF582)),N(INDEX(Settings!$H$14:$H$18,$BF582))),0),6)),IF(NOT(ISNUMBER($G582)),"",ROUND(ABS($G582)*2*IF(AND($BE582&gt;0,ISNUMBER(INDEX(Instruments!$G$6:$G$205,MAX(1,$BE582)))),INDEX(Instruments!$G$6:$G$205,MAX(1,$BE582)),N(INDEX(Settings!$F$14:$F$18,$BF582))),6))))</f>
        <v/>
      </c>
      <c r="AK582" s="55" t="str">
        <f>IF($AM582=0,"",IF(ISNUMBER($O582),$O582,$AI582))</f>
        <v/>
      </c>
      <c r="AL582" s="55" t="str">
        <f>IF($AM582=0,"",IF(ISNUMBER($P582),$P582,N($AJ582)))</f>
        <v/>
      </c>
      <c r="AM582" s="56">
        <f>IF(AND($A582&lt;&gt;"",$E582&lt;&gt;"",OR(AND(ISNUMBER($G582),ISNUMBER($H582),ISNUMBER($K582)),ISNUMBER($O582))),1,0)</f>
        <v>0</v>
      </c>
      <c r="AN582" s="57" t="str">
        <f>IF($A582="","",$A582-WEEKDAY($A582,3))</f>
        <v/>
      </c>
      <c r="AO582" s="56" t="str">
        <f>IF($A582="","",WEEKDAY($A582,2))</f>
        <v/>
      </c>
      <c r="AP582" s="55" t="str">
        <f>IF(OR($AM582=0,$C582=""),"",IFERROR(N(INDEX(Accounts!$E$7:$E$16,MATCH($C582,Accounts!$B$7:$B$16,0))),0)+SUMIFS($Q$6:$Q582,$C$6:$C582,$C582))</f>
        <v/>
      </c>
      <c r="AQ582" s="55" t="str">
        <f>IF(OR($AM582=0,$C582=""),"",SUMIFS($Q$6:$Q$1005,$C$6:$C$1005,$C582,$A$6:$A$1005,$A582))</f>
        <v/>
      </c>
      <c r="AR582" s="55" t="str">
        <f>IF(OR($AM582=0,$C582=""),"",IFERROR(N(INDEX(Accounts!$E$7:$E$16,MATCH($C582,Accounts!$B$7:$B$16,0))),0)+SUMIFS($Q$6:$Q$1005,$C$6:$C$1005,$C582,$A$6:$A$1005,"&lt;="&amp;$A582))</f>
        <v/>
      </c>
      <c r="AS582" s="56">
        <f>IF(OR($AM582=0,$Q582=""),0,IF(AND($A582&gt;=Lists!$W$6,$A582&lt;=Lists!$W$7,OR(Dashboard!$D$6="All accounts",$C582=Dashboard!$D$6),OR(Dashboard!$D$7="All markets",$AF582=Dashboard!$D$7)),1,0))</f>
        <v>0</v>
      </c>
      <c r="AT582" s="55">
        <f>IF($AS582=1,N(AT581)+$Q582,N(AT581))</f>
        <v>1187.10688</v>
      </c>
      <c r="AU582" s="55">
        <f>MAX(N(AU581),$AT582)</f>
        <v>1187.10688</v>
      </c>
      <c r="AV582" s="55">
        <f>$AT582-$AU582</f>
        <v>0</v>
      </c>
      <c r="AW582" s="56">
        <f>IF($AS582=1,IF($S582="Win",N(AW581)+1,IF($S582="Loss",0,N(AW581))),N(AW581))</f>
        <v>5</v>
      </c>
      <c r="AX582" s="56">
        <f>IF($AS582=1,IF($S582="Loss",N(AX581)+1,IF($S582="Win",0,N(AX581))),N(AX581))</f>
        <v>0</v>
      </c>
      <c r="AY582" s="56" t="str">
        <f>IF($AS582=1,COUNTIF($AS$6:$AS582,1),"")</f>
        <v/>
      </c>
      <c r="AZ582" s="56">
        <f>MIN(576,N(Lists!$W$8))</f>
        <v>28</v>
      </c>
      <c r="BA582" s="56">
        <f>IF($AS582=1,IF(COUNTIFS($A$6:$A582,$A582,$AS$6:$AS582,1)=1,1,0),0)</f>
        <v>0</v>
      </c>
      <c r="BB582" s="55" t="str">
        <f>IF($BA582=1,SUMIFS($Q$6:$Q$1005,$A$6:$A$1005,$A582,$AS$6:$AS$1005,1),"")</f>
        <v/>
      </c>
      <c r="BC582" s="56">
        <f>IF(ISNUMBER($R582),1,0)</f>
        <v>0</v>
      </c>
      <c r="BD582" s="55" t="str">
        <f>IF(ISNUMBER($U582),$U582*$V582,"")</f>
        <v/>
      </c>
      <c r="BE582" s="56" t="str">
        <f>IF($AM582=0,"",IFERROR(MATCH($AF582&amp;"|"&amp;UPPER(TRIM($E582)),Lists!$A$6:$A$205,0),0))</f>
        <v/>
      </c>
      <c r="BF582" s="56" t="str">
        <f>IF($AM582=0,"",IFERROR(MATCH($AF582,Settings!$B$14:$B$18,0),IFERROR(MATCH(Settings!$C$6,Settings!$B$14:$B$18,0),1)))</f>
        <v/>
      </c>
      <c r="BG582" s="58" t="str">
        <f>IF($AM582=0,"",IF(NOT(ISNUMBER($I582)),"No stop; ","")&amp;IF(AND(ISNUMBER($H582),ISNUMBER($I582)),IF(OR(AND($F582&lt;&gt;"Short",$I582&gt;=$H582),AND($F582="Short",$I582&lt;=$H582)),"Stop on wrong side; ",""),"")&amp;IF($F582="","No direction; ","")&amp;IF(AND(ISNUMBER(Settings!$C$22),ISNUMBER($V582)),IF($V582&gt;Settings!$C$22,"Risk over max $; ",""),"")&amp;IF(AND(ISNUMBER(Settings!$C$23),ISNUMBER($V582),ISNUMBER($AP582),IFERROR(N(INDEX(Accounts!$E$7:$E$16,MATCH($C582,Accounts!$B$7:$B$16,0))),0)&gt;0),IF($V582&gt;Settings!$C$23*($AP582-N($Q582)),"Risk over max %; ",""),"")&amp;IF(AND(ISNUMBER(Settings!$C$24),ISNUMBER($N582)),IF($N582&gt;Settings!$C$24,"Leverage over max; ",""),"")&amp;IF(AND(ISNUMBER(Settings!$C$27),ISNUMBER($T582)),IF($T582&lt;Settings!$C$27,"R:R below min; ",""),"")&amp;IF(ISNUMBER(Settings!$C$25),IF(COUNTIFS($A$6:$A582,$A582,$AM$6:$AM582,1)&gt;Settings!$C$25,"Over max trades/day; ",""),"")&amp;IF(ISNUMBER(Settings!$C$26),IF(SUMIFS($Q$5:$Q581,$A$5:$A581,$A582)&lt;=-Settings!$C$26,"Traded after daily max loss; ",""),"")&amp;IF(AND($AG582="",NOT(ISNUMBER($O582))),"Symbol not in Instruments; ","")&amp;IF(AND($AH582="",NOT(ISNUMBER($O582))),"Forex cross: type Gross P&amp;L; ",""))</f>
        <v/>
      </c>
      <c r="BH582" s="56">
        <f>IF(ISNUMBER($Q582),1,0)</f>
        <v>0</v>
      </c>
      <c r="BI582" s="56">
        <f>IF($Y582="",0,1)</f>
        <v>0</v>
      </c>
      <c r="BJ582" s="56">
        <f>IF($AB582="",0,1)</f>
        <v>0</v>
      </c>
      <c r="BK582" s="56">
        <f>IF(AND($BH582=1,$W582&lt;&gt;"OK"),1,0)</f>
        <v>0</v>
      </c>
      <c r="BL582" s="55">
        <f>IF(N($AZ582)=0,0,IFERROR(INDEX($AT$6:$AT$1005,MATCH($AZ582,$AY$6:$AY$1005,0)),0))</f>
        <v>1187.10688</v>
      </c>
      <c r="BM582" s="56">
        <f>IF(ISNUMBER(SEARCH("daily max loss",$BG582)),1,0)</f>
        <v>0</v>
      </c>
    </row>
    <row r="583" ht="18" customHeight="1">
      <c r="A583" s="38" t="n"/>
      <c r="B583" s="39" t="n"/>
      <c r="C583" s="40" t="n"/>
      <c r="D583" s="41" t="n"/>
      <c r="E583" s="41" t="n"/>
      <c r="F583" s="41" t="n"/>
      <c r="G583" s="41" t="n"/>
      <c r="H583" s="42" t="n"/>
      <c r="I583" s="42" t="n"/>
      <c r="J583" s="42" t="n"/>
      <c r="K583" s="42" t="n"/>
      <c r="L583" s="41" t="n"/>
      <c r="M583" s="41" t="n"/>
      <c r="N583" s="41" t="n"/>
      <c r="O583" s="43" t="n"/>
      <c r="P583" s="43" t="n"/>
      <c r="Q583" s="44" t="str">
        <f>IF($AM583=0,"",IF(ISNUMBER($AK583),$AK583-N($AL583),""))</f>
        <v/>
      </c>
      <c r="R583" s="45" t="str">
        <f>IF(OR($Q583="",NOT(ISNUMBER($V583))),"",$AK583/$V583)</f>
        <v/>
      </c>
      <c r="S583" s="46" t="str">
        <f>IF($Q583="","",IF(AND(ISNUMBER($R583),ABS(N($R583))&lt;N(Settings!$C$8)),"Scratch",IF($Q583&gt;0,"Win",IF($Q583&lt;0,"Loss","Scratch"))))</f>
        <v/>
      </c>
      <c r="T583" s="47" t="str">
        <f>IF(OR($AM583=0,NOT(ISNUMBER($H583)),NOT(ISNUMBER($I583)),NOT(ISNUMBER($J583))),"",IF($H583=$I583,"",ROUND(ABS($J583-$H583)/ABS($H583-$I583),6)))</f>
        <v/>
      </c>
      <c r="U583" s="48" t="str">
        <f>IF(OR($S583&lt;&gt;"Win",NOT(ISNUMBER($T583)),NOT(ISNUMBER($R583))),"",MAX(0,$T583-$R583))</f>
        <v/>
      </c>
      <c r="V583" s="49" t="str">
        <f>IF(OR($AM583=0,NOT(ISNUMBER($H583)),NOT(ISNUMBER($I583)),NOT(ISNUMBER($G583))),"",IF(OR($AG583="",$AH583=""),"",IF(ROUND(ABS($H583-$I583)*ABS($G583)*$AG583*$AH583,6)=0,"",ROUND(ABS($H583-$I583)*ABS($G583)*$AG583*$AH583,6))))</f>
        <v/>
      </c>
      <c r="W583" s="50" t="str">
        <f>IF($AM583=0,"",IF($BG583="","OK",LEFT($BG583,LEN($BG583)-2)))</f>
        <v/>
      </c>
      <c r="X583" s="41" t="n"/>
      <c r="Y583" s="40" t="n"/>
      <c r="Z583" s="41" t="n"/>
      <c r="AA583" s="41" t="n"/>
      <c r="AB583" s="40" t="n"/>
      <c r="AC583" s="51" t="n"/>
      <c r="AD583" s="51" t="n"/>
      <c r="AE583" s="40" t="n"/>
      <c r="AF583" s="52" t="str">
        <f>IF($AM583=0,"",IF($D583&lt;&gt;"",$D583,IF(IFERROR(INDEX(Accounts!$C$7:$C$16,MATCH($C583,Accounts!$B$7:$B$16,0))&amp;"","")&lt;&gt;"",INDEX(Accounts!$C$7:$C$16,MATCH($C583,Accounts!$B$7:$B$16,0)),Settings!$C$6)))</f>
        <v/>
      </c>
      <c r="AG583" s="53" t="str">
        <f>IF($AM583=0,"",IF(AND($BE583&gt;0,N(INDEX(Instruments!$D$6:$D$205,MAX(1,$BE583)))&gt;0),INDEX(Instruments!$D$6:$D$205,MAX(1,$BE583)),IF(N(INDEX(Settings!$D$14:$D$18,$BF583))&gt;0,INDEX(Settings!$D$14:$D$18,$BF583),"")))</f>
        <v/>
      </c>
      <c r="AH583" s="54" t="str">
        <f>IF($AM583=0,"",IF($AF583&lt;&gt;"Forex",1,IF(MID(UPPER(SUBSTITUTE(TRIM($E583),"/","")),4,3)=UPPER(TRIM(Settings!$C$7)),1,IF(LEFT(UPPER(SUBSTITUTE(TRIM($E583),"/","")),3)=UPPER(TRIM(Settings!$C$7)),IF(AND(ISNUMBER($K583),N($K583)&lt;&gt;0),1/$K583,""),""))))</f>
        <v/>
      </c>
      <c r="AI583" s="55" t="str">
        <f>IF($AM583=0,"",IF(OR(NOT(ISNUMBER($H583)),NOT(ISNUMBER($K583)),NOT(ISNUMBER($G583)),$AG583="",$AH583=""),"",ROUND(($K583-$H583)*IF($F583="Short",-1,1)*$G583*$AG583*$AH583,6)))</f>
        <v/>
      </c>
      <c r="AJ583" s="55" t="str">
        <f>IF($AM583=0,"",IF(INDEX(Settings!$E$14:$E$18,$BF583)="% of notional",IF(OR($AG583="",NOT(ISNUMBER($H583)),NOT(ISNUMBER($G583))),"",ROUND(ABS($H583*$G583*$AG583*N($AH583))*IF($L583="Limit",N(INDEX(Settings!$G$14:$G$18,$BF583)),N(INDEX(Settings!$H$14:$H$18,$BF583)))+IF(ISNUMBER($K583),ABS($K583*$G583*$AG583*N($AH583))*IF($M583="Target",N(INDEX(Settings!$G$14:$G$18,$BF583)),N(INDEX(Settings!$H$14:$H$18,$BF583))),0),6)),IF(NOT(ISNUMBER($G583)),"",ROUND(ABS($G583)*2*IF(AND($BE583&gt;0,ISNUMBER(INDEX(Instruments!$G$6:$G$205,MAX(1,$BE583)))),INDEX(Instruments!$G$6:$G$205,MAX(1,$BE583)),N(INDEX(Settings!$F$14:$F$18,$BF583))),6))))</f>
        <v/>
      </c>
      <c r="AK583" s="55" t="str">
        <f>IF($AM583=0,"",IF(ISNUMBER($O583),$O583,$AI583))</f>
        <v/>
      </c>
      <c r="AL583" s="55" t="str">
        <f>IF($AM583=0,"",IF(ISNUMBER($P583),$P583,N($AJ583)))</f>
        <v/>
      </c>
      <c r="AM583" s="56">
        <f>IF(AND($A583&lt;&gt;"",$E583&lt;&gt;"",OR(AND(ISNUMBER($G583),ISNUMBER($H583),ISNUMBER($K583)),ISNUMBER($O583))),1,0)</f>
        <v>0</v>
      </c>
      <c r="AN583" s="57" t="str">
        <f>IF($A583="","",$A583-WEEKDAY($A583,3))</f>
        <v/>
      </c>
      <c r="AO583" s="56" t="str">
        <f>IF($A583="","",WEEKDAY($A583,2))</f>
        <v/>
      </c>
      <c r="AP583" s="55" t="str">
        <f>IF(OR($AM583=0,$C583=""),"",IFERROR(N(INDEX(Accounts!$E$7:$E$16,MATCH($C583,Accounts!$B$7:$B$16,0))),0)+SUMIFS($Q$6:$Q583,$C$6:$C583,$C583))</f>
        <v/>
      </c>
      <c r="AQ583" s="55" t="str">
        <f>IF(OR($AM583=0,$C583=""),"",SUMIFS($Q$6:$Q$1005,$C$6:$C$1005,$C583,$A$6:$A$1005,$A583))</f>
        <v/>
      </c>
      <c r="AR583" s="55" t="str">
        <f>IF(OR($AM583=0,$C583=""),"",IFERROR(N(INDEX(Accounts!$E$7:$E$16,MATCH($C583,Accounts!$B$7:$B$16,0))),0)+SUMIFS($Q$6:$Q$1005,$C$6:$C$1005,$C583,$A$6:$A$1005,"&lt;="&amp;$A583))</f>
        <v/>
      </c>
      <c r="AS583" s="56">
        <f>IF(OR($AM583=0,$Q583=""),0,IF(AND($A583&gt;=Lists!$W$6,$A583&lt;=Lists!$W$7,OR(Dashboard!$D$6="All accounts",$C583=Dashboard!$D$6),OR(Dashboard!$D$7="All markets",$AF583=Dashboard!$D$7)),1,0))</f>
        <v>0</v>
      </c>
      <c r="AT583" s="55">
        <f>IF($AS583=1,N(AT582)+$Q583,N(AT582))</f>
        <v>1187.10688</v>
      </c>
      <c r="AU583" s="55">
        <f>MAX(N(AU582),$AT583)</f>
        <v>1187.10688</v>
      </c>
      <c r="AV583" s="55">
        <f>$AT583-$AU583</f>
        <v>0</v>
      </c>
      <c r="AW583" s="56">
        <f>IF($AS583=1,IF($S583="Win",N(AW582)+1,IF($S583="Loss",0,N(AW582))),N(AW582))</f>
        <v>5</v>
      </c>
      <c r="AX583" s="56">
        <f>IF($AS583=1,IF($S583="Loss",N(AX582)+1,IF($S583="Win",0,N(AX582))),N(AX582))</f>
        <v>0</v>
      </c>
      <c r="AY583" s="56" t="str">
        <f>IF($AS583=1,COUNTIF($AS$6:$AS583,1),"")</f>
        <v/>
      </c>
      <c r="AZ583" s="56">
        <f>MIN(577,N(Lists!$W$8))</f>
        <v>28</v>
      </c>
      <c r="BA583" s="56">
        <f>IF($AS583=1,IF(COUNTIFS($A$6:$A583,$A583,$AS$6:$AS583,1)=1,1,0),0)</f>
        <v>0</v>
      </c>
      <c r="BB583" s="55" t="str">
        <f>IF($BA583=1,SUMIFS($Q$6:$Q$1005,$A$6:$A$1005,$A583,$AS$6:$AS$1005,1),"")</f>
        <v/>
      </c>
      <c r="BC583" s="56">
        <f>IF(ISNUMBER($R583),1,0)</f>
        <v>0</v>
      </c>
      <c r="BD583" s="55" t="str">
        <f>IF(ISNUMBER($U583),$U583*$V583,"")</f>
        <v/>
      </c>
      <c r="BE583" s="56" t="str">
        <f>IF($AM583=0,"",IFERROR(MATCH($AF583&amp;"|"&amp;UPPER(TRIM($E583)),Lists!$A$6:$A$205,0),0))</f>
        <v/>
      </c>
      <c r="BF583" s="56" t="str">
        <f>IF($AM583=0,"",IFERROR(MATCH($AF583,Settings!$B$14:$B$18,0),IFERROR(MATCH(Settings!$C$6,Settings!$B$14:$B$18,0),1)))</f>
        <v/>
      </c>
      <c r="BG583" s="58" t="str">
        <f>IF($AM583=0,"",IF(NOT(ISNUMBER($I583)),"No stop; ","")&amp;IF(AND(ISNUMBER($H583),ISNUMBER($I583)),IF(OR(AND($F583&lt;&gt;"Short",$I583&gt;=$H583),AND($F583="Short",$I583&lt;=$H583)),"Stop on wrong side; ",""),"")&amp;IF($F583="","No direction; ","")&amp;IF(AND(ISNUMBER(Settings!$C$22),ISNUMBER($V583)),IF($V583&gt;Settings!$C$22,"Risk over max $; ",""),"")&amp;IF(AND(ISNUMBER(Settings!$C$23),ISNUMBER($V583),ISNUMBER($AP583),IFERROR(N(INDEX(Accounts!$E$7:$E$16,MATCH($C583,Accounts!$B$7:$B$16,0))),0)&gt;0),IF($V583&gt;Settings!$C$23*($AP583-N($Q583)),"Risk over max %; ",""),"")&amp;IF(AND(ISNUMBER(Settings!$C$24),ISNUMBER($N583)),IF($N583&gt;Settings!$C$24,"Leverage over max; ",""),"")&amp;IF(AND(ISNUMBER(Settings!$C$27),ISNUMBER($T583)),IF($T583&lt;Settings!$C$27,"R:R below min; ",""),"")&amp;IF(ISNUMBER(Settings!$C$25),IF(COUNTIFS($A$6:$A583,$A583,$AM$6:$AM583,1)&gt;Settings!$C$25,"Over max trades/day; ",""),"")&amp;IF(ISNUMBER(Settings!$C$26),IF(SUMIFS($Q$5:$Q582,$A$5:$A582,$A583)&lt;=-Settings!$C$26,"Traded after daily max loss; ",""),"")&amp;IF(AND($AG583="",NOT(ISNUMBER($O583))),"Symbol not in Instruments; ","")&amp;IF(AND($AH583="",NOT(ISNUMBER($O583))),"Forex cross: type Gross P&amp;L; ",""))</f>
        <v/>
      </c>
      <c r="BH583" s="56">
        <f>IF(ISNUMBER($Q583),1,0)</f>
        <v>0</v>
      </c>
      <c r="BI583" s="56">
        <f>IF($Y583="",0,1)</f>
        <v>0</v>
      </c>
      <c r="BJ583" s="56">
        <f>IF($AB583="",0,1)</f>
        <v>0</v>
      </c>
      <c r="BK583" s="56">
        <f>IF(AND($BH583=1,$W583&lt;&gt;"OK"),1,0)</f>
        <v>0</v>
      </c>
      <c r="BL583" s="55">
        <f>IF(N($AZ583)=0,0,IFERROR(INDEX($AT$6:$AT$1005,MATCH($AZ583,$AY$6:$AY$1005,0)),0))</f>
        <v>1187.10688</v>
      </c>
      <c r="BM583" s="56">
        <f>IF(ISNUMBER(SEARCH("daily max loss",$BG583)),1,0)</f>
        <v>0</v>
      </c>
    </row>
    <row r="584" ht="18" customHeight="1">
      <c r="A584" s="38" t="n"/>
      <c r="B584" s="39" t="n"/>
      <c r="C584" s="40" t="n"/>
      <c r="D584" s="41" t="n"/>
      <c r="E584" s="41" t="n"/>
      <c r="F584" s="41" t="n"/>
      <c r="G584" s="41" t="n"/>
      <c r="H584" s="42" t="n"/>
      <c r="I584" s="42" t="n"/>
      <c r="J584" s="42" t="n"/>
      <c r="K584" s="42" t="n"/>
      <c r="L584" s="41" t="n"/>
      <c r="M584" s="41" t="n"/>
      <c r="N584" s="41" t="n"/>
      <c r="O584" s="43" t="n"/>
      <c r="P584" s="43" t="n"/>
      <c r="Q584" s="44" t="str">
        <f>IF($AM584=0,"",IF(ISNUMBER($AK584),$AK584-N($AL584),""))</f>
        <v/>
      </c>
      <c r="R584" s="45" t="str">
        <f>IF(OR($Q584="",NOT(ISNUMBER($V584))),"",$AK584/$V584)</f>
        <v/>
      </c>
      <c r="S584" s="46" t="str">
        <f>IF($Q584="","",IF(AND(ISNUMBER($R584),ABS(N($R584))&lt;N(Settings!$C$8)),"Scratch",IF($Q584&gt;0,"Win",IF($Q584&lt;0,"Loss","Scratch"))))</f>
        <v/>
      </c>
      <c r="T584" s="47" t="str">
        <f>IF(OR($AM584=0,NOT(ISNUMBER($H584)),NOT(ISNUMBER($I584)),NOT(ISNUMBER($J584))),"",IF($H584=$I584,"",ROUND(ABS($J584-$H584)/ABS($H584-$I584),6)))</f>
        <v/>
      </c>
      <c r="U584" s="48" t="str">
        <f>IF(OR($S584&lt;&gt;"Win",NOT(ISNUMBER($T584)),NOT(ISNUMBER($R584))),"",MAX(0,$T584-$R584))</f>
        <v/>
      </c>
      <c r="V584" s="49" t="str">
        <f>IF(OR($AM584=0,NOT(ISNUMBER($H584)),NOT(ISNUMBER($I584)),NOT(ISNUMBER($G584))),"",IF(OR($AG584="",$AH584=""),"",IF(ROUND(ABS($H584-$I584)*ABS($G584)*$AG584*$AH584,6)=0,"",ROUND(ABS($H584-$I584)*ABS($G584)*$AG584*$AH584,6))))</f>
        <v/>
      </c>
      <c r="W584" s="50" t="str">
        <f>IF($AM584=0,"",IF($BG584="","OK",LEFT($BG584,LEN($BG584)-2)))</f>
        <v/>
      </c>
      <c r="X584" s="41" t="n"/>
      <c r="Y584" s="40" t="n"/>
      <c r="Z584" s="41" t="n"/>
      <c r="AA584" s="41" t="n"/>
      <c r="AB584" s="40" t="n"/>
      <c r="AC584" s="51" t="n"/>
      <c r="AD584" s="51" t="n"/>
      <c r="AE584" s="40" t="n"/>
      <c r="AF584" s="52" t="str">
        <f>IF($AM584=0,"",IF($D584&lt;&gt;"",$D584,IF(IFERROR(INDEX(Accounts!$C$7:$C$16,MATCH($C584,Accounts!$B$7:$B$16,0))&amp;"","")&lt;&gt;"",INDEX(Accounts!$C$7:$C$16,MATCH($C584,Accounts!$B$7:$B$16,0)),Settings!$C$6)))</f>
        <v/>
      </c>
      <c r="AG584" s="53" t="str">
        <f>IF($AM584=0,"",IF(AND($BE584&gt;0,N(INDEX(Instruments!$D$6:$D$205,MAX(1,$BE584)))&gt;0),INDEX(Instruments!$D$6:$D$205,MAX(1,$BE584)),IF(N(INDEX(Settings!$D$14:$D$18,$BF584))&gt;0,INDEX(Settings!$D$14:$D$18,$BF584),"")))</f>
        <v/>
      </c>
      <c r="AH584" s="54" t="str">
        <f>IF($AM584=0,"",IF($AF584&lt;&gt;"Forex",1,IF(MID(UPPER(SUBSTITUTE(TRIM($E584),"/","")),4,3)=UPPER(TRIM(Settings!$C$7)),1,IF(LEFT(UPPER(SUBSTITUTE(TRIM($E584),"/","")),3)=UPPER(TRIM(Settings!$C$7)),IF(AND(ISNUMBER($K584),N($K584)&lt;&gt;0),1/$K584,""),""))))</f>
        <v/>
      </c>
      <c r="AI584" s="55" t="str">
        <f>IF($AM584=0,"",IF(OR(NOT(ISNUMBER($H584)),NOT(ISNUMBER($K584)),NOT(ISNUMBER($G584)),$AG584="",$AH584=""),"",ROUND(($K584-$H584)*IF($F584="Short",-1,1)*$G584*$AG584*$AH584,6)))</f>
        <v/>
      </c>
      <c r="AJ584" s="55" t="str">
        <f>IF($AM584=0,"",IF(INDEX(Settings!$E$14:$E$18,$BF584)="% of notional",IF(OR($AG584="",NOT(ISNUMBER($H584)),NOT(ISNUMBER($G584))),"",ROUND(ABS($H584*$G584*$AG584*N($AH584))*IF($L584="Limit",N(INDEX(Settings!$G$14:$G$18,$BF584)),N(INDEX(Settings!$H$14:$H$18,$BF584)))+IF(ISNUMBER($K584),ABS($K584*$G584*$AG584*N($AH584))*IF($M584="Target",N(INDEX(Settings!$G$14:$G$18,$BF584)),N(INDEX(Settings!$H$14:$H$18,$BF584))),0),6)),IF(NOT(ISNUMBER($G584)),"",ROUND(ABS($G584)*2*IF(AND($BE584&gt;0,ISNUMBER(INDEX(Instruments!$G$6:$G$205,MAX(1,$BE584)))),INDEX(Instruments!$G$6:$G$205,MAX(1,$BE584)),N(INDEX(Settings!$F$14:$F$18,$BF584))),6))))</f>
        <v/>
      </c>
      <c r="AK584" s="55" t="str">
        <f>IF($AM584=0,"",IF(ISNUMBER($O584),$O584,$AI584))</f>
        <v/>
      </c>
      <c r="AL584" s="55" t="str">
        <f>IF($AM584=0,"",IF(ISNUMBER($P584),$P584,N($AJ584)))</f>
        <v/>
      </c>
      <c r="AM584" s="56">
        <f>IF(AND($A584&lt;&gt;"",$E584&lt;&gt;"",OR(AND(ISNUMBER($G584),ISNUMBER($H584),ISNUMBER($K584)),ISNUMBER($O584))),1,0)</f>
        <v>0</v>
      </c>
      <c r="AN584" s="57" t="str">
        <f>IF($A584="","",$A584-WEEKDAY($A584,3))</f>
        <v/>
      </c>
      <c r="AO584" s="56" t="str">
        <f>IF($A584="","",WEEKDAY($A584,2))</f>
        <v/>
      </c>
      <c r="AP584" s="55" t="str">
        <f>IF(OR($AM584=0,$C584=""),"",IFERROR(N(INDEX(Accounts!$E$7:$E$16,MATCH($C584,Accounts!$B$7:$B$16,0))),0)+SUMIFS($Q$6:$Q584,$C$6:$C584,$C584))</f>
        <v/>
      </c>
      <c r="AQ584" s="55" t="str">
        <f>IF(OR($AM584=0,$C584=""),"",SUMIFS($Q$6:$Q$1005,$C$6:$C$1005,$C584,$A$6:$A$1005,$A584))</f>
        <v/>
      </c>
      <c r="AR584" s="55" t="str">
        <f>IF(OR($AM584=0,$C584=""),"",IFERROR(N(INDEX(Accounts!$E$7:$E$16,MATCH($C584,Accounts!$B$7:$B$16,0))),0)+SUMIFS($Q$6:$Q$1005,$C$6:$C$1005,$C584,$A$6:$A$1005,"&lt;="&amp;$A584))</f>
        <v/>
      </c>
      <c r="AS584" s="56">
        <f>IF(OR($AM584=0,$Q584=""),0,IF(AND($A584&gt;=Lists!$W$6,$A584&lt;=Lists!$W$7,OR(Dashboard!$D$6="All accounts",$C584=Dashboard!$D$6),OR(Dashboard!$D$7="All markets",$AF584=Dashboard!$D$7)),1,0))</f>
        <v>0</v>
      </c>
      <c r="AT584" s="55">
        <f>IF($AS584=1,N(AT583)+$Q584,N(AT583))</f>
        <v>1187.10688</v>
      </c>
      <c r="AU584" s="55">
        <f>MAX(N(AU583),$AT584)</f>
        <v>1187.10688</v>
      </c>
      <c r="AV584" s="55">
        <f>$AT584-$AU584</f>
        <v>0</v>
      </c>
      <c r="AW584" s="56">
        <f>IF($AS584=1,IF($S584="Win",N(AW583)+1,IF($S584="Loss",0,N(AW583))),N(AW583))</f>
        <v>5</v>
      </c>
      <c r="AX584" s="56">
        <f>IF($AS584=1,IF($S584="Loss",N(AX583)+1,IF($S584="Win",0,N(AX583))),N(AX583))</f>
        <v>0</v>
      </c>
      <c r="AY584" s="56" t="str">
        <f>IF($AS584=1,COUNTIF($AS$6:$AS584,1),"")</f>
        <v/>
      </c>
      <c r="AZ584" s="56">
        <f>MIN(578,N(Lists!$W$8))</f>
        <v>28</v>
      </c>
      <c r="BA584" s="56">
        <f>IF($AS584=1,IF(COUNTIFS($A$6:$A584,$A584,$AS$6:$AS584,1)=1,1,0),0)</f>
        <v>0</v>
      </c>
      <c r="BB584" s="55" t="str">
        <f>IF($BA584=1,SUMIFS($Q$6:$Q$1005,$A$6:$A$1005,$A584,$AS$6:$AS$1005,1),"")</f>
        <v/>
      </c>
      <c r="BC584" s="56">
        <f>IF(ISNUMBER($R584),1,0)</f>
        <v>0</v>
      </c>
      <c r="BD584" s="55" t="str">
        <f>IF(ISNUMBER($U584),$U584*$V584,"")</f>
        <v/>
      </c>
      <c r="BE584" s="56" t="str">
        <f>IF($AM584=0,"",IFERROR(MATCH($AF584&amp;"|"&amp;UPPER(TRIM($E584)),Lists!$A$6:$A$205,0),0))</f>
        <v/>
      </c>
      <c r="BF584" s="56" t="str">
        <f>IF($AM584=0,"",IFERROR(MATCH($AF584,Settings!$B$14:$B$18,0),IFERROR(MATCH(Settings!$C$6,Settings!$B$14:$B$18,0),1)))</f>
        <v/>
      </c>
      <c r="BG584" s="58" t="str">
        <f>IF($AM584=0,"",IF(NOT(ISNUMBER($I584)),"No stop; ","")&amp;IF(AND(ISNUMBER($H584),ISNUMBER($I584)),IF(OR(AND($F584&lt;&gt;"Short",$I584&gt;=$H584),AND($F584="Short",$I584&lt;=$H584)),"Stop on wrong side; ",""),"")&amp;IF($F584="","No direction; ","")&amp;IF(AND(ISNUMBER(Settings!$C$22),ISNUMBER($V584)),IF($V584&gt;Settings!$C$22,"Risk over max $; ",""),"")&amp;IF(AND(ISNUMBER(Settings!$C$23),ISNUMBER($V584),ISNUMBER($AP584),IFERROR(N(INDEX(Accounts!$E$7:$E$16,MATCH($C584,Accounts!$B$7:$B$16,0))),0)&gt;0),IF($V584&gt;Settings!$C$23*($AP584-N($Q584)),"Risk over max %; ",""),"")&amp;IF(AND(ISNUMBER(Settings!$C$24),ISNUMBER($N584)),IF($N584&gt;Settings!$C$24,"Leverage over max; ",""),"")&amp;IF(AND(ISNUMBER(Settings!$C$27),ISNUMBER($T584)),IF($T584&lt;Settings!$C$27,"R:R below min; ",""),"")&amp;IF(ISNUMBER(Settings!$C$25),IF(COUNTIFS($A$6:$A584,$A584,$AM$6:$AM584,1)&gt;Settings!$C$25,"Over max trades/day; ",""),"")&amp;IF(ISNUMBER(Settings!$C$26),IF(SUMIFS($Q$5:$Q583,$A$5:$A583,$A584)&lt;=-Settings!$C$26,"Traded after daily max loss; ",""),"")&amp;IF(AND($AG584="",NOT(ISNUMBER($O584))),"Symbol not in Instruments; ","")&amp;IF(AND($AH584="",NOT(ISNUMBER($O584))),"Forex cross: type Gross P&amp;L; ",""))</f>
        <v/>
      </c>
      <c r="BH584" s="56">
        <f>IF(ISNUMBER($Q584),1,0)</f>
        <v>0</v>
      </c>
      <c r="BI584" s="56">
        <f>IF($Y584="",0,1)</f>
        <v>0</v>
      </c>
      <c r="BJ584" s="56">
        <f>IF($AB584="",0,1)</f>
        <v>0</v>
      </c>
      <c r="BK584" s="56">
        <f>IF(AND($BH584=1,$W584&lt;&gt;"OK"),1,0)</f>
        <v>0</v>
      </c>
      <c r="BL584" s="55">
        <f>IF(N($AZ584)=0,0,IFERROR(INDEX($AT$6:$AT$1005,MATCH($AZ584,$AY$6:$AY$1005,0)),0))</f>
        <v>1187.10688</v>
      </c>
      <c r="BM584" s="56">
        <f>IF(ISNUMBER(SEARCH("daily max loss",$BG584)),1,0)</f>
        <v>0</v>
      </c>
    </row>
    <row r="585" ht="18" customHeight="1">
      <c r="A585" s="38" t="n"/>
      <c r="B585" s="39" t="n"/>
      <c r="C585" s="40" t="n"/>
      <c r="D585" s="41" t="n"/>
      <c r="E585" s="41" t="n"/>
      <c r="F585" s="41" t="n"/>
      <c r="G585" s="41" t="n"/>
      <c r="H585" s="42" t="n"/>
      <c r="I585" s="42" t="n"/>
      <c r="J585" s="42" t="n"/>
      <c r="K585" s="42" t="n"/>
      <c r="L585" s="41" t="n"/>
      <c r="M585" s="41" t="n"/>
      <c r="N585" s="41" t="n"/>
      <c r="O585" s="43" t="n"/>
      <c r="P585" s="43" t="n"/>
      <c r="Q585" s="44" t="str">
        <f>IF($AM585=0,"",IF(ISNUMBER($AK585),$AK585-N($AL585),""))</f>
        <v/>
      </c>
      <c r="R585" s="45" t="str">
        <f>IF(OR($Q585="",NOT(ISNUMBER($V585))),"",$AK585/$V585)</f>
        <v/>
      </c>
      <c r="S585" s="46" t="str">
        <f>IF($Q585="","",IF(AND(ISNUMBER($R585),ABS(N($R585))&lt;N(Settings!$C$8)),"Scratch",IF($Q585&gt;0,"Win",IF($Q585&lt;0,"Loss","Scratch"))))</f>
        <v/>
      </c>
      <c r="T585" s="47" t="str">
        <f>IF(OR($AM585=0,NOT(ISNUMBER($H585)),NOT(ISNUMBER($I585)),NOT(ISNUMBER($J585))),"",IF($H585=$I585,"",ROUND(ABS($J585-$H585)/ABS($H585-$I585),6)))</f>
        <v/>
      </c>
      <c r="U585" s="48" t="str">
        <f>IF(OR($S585&lt;&gt;"Win",NOT(ISNUMBER($T585)),NOT(ISNUMBER($R585))),"",MAX(0,$T585-$R585))</f>
        <v/>
      </c>
      <c r="V585" s="49" t="str">
        <f>IF(OR($AM585=0,NOT(ISNUMBER($H585)),NOT(ISNUMBER($I585)),NOT(ISNUMBER($G585))),"",IF(OR($AG585="",$AH585=""),"",IF(ROUND(ABS($H585-$I585)*ABS($G585)*$AG585*$AH585,6)=0,"",ROUND(ABS($H585-$I585)*ABS($G585)*$AG585*$AH585,6))))</f>
        <v/>
      </c>
      <c r="W585" s="50" t="str">
        <f>IF($AM585=0,"",IF($BG585="","OK",LEFT($BG585,LEN($BG585)-2)))</f>
        <v/>
      </c>
      <c r="X585" s="41" t="n"/>
      <c r="Y585" s="40" t="n"/>
      <c r="Z585" s="41" t="n"/>
      <c r="AA585" s="41" t="n"/>
      <c r="AB585" s="40" t="n"/>
      <c r="AC585" s="51" t="n"/>
      <c r="AD585" s="51" t="n"/>
      <c r="AE585" s="40" t="n"/>
      <c r="AF585" s="52" t="str">
        <f>IF($AM585=0,"",IF($D585&lt;&gt;"",$D585,IF(IFERROR(INDEX(Accounts!$C$7:$C$16,MATCH($C585,Accounts!$B$7:$B$16,0))&amp;"","")&lt;&gt;"",INDEX(Accounts!$C$7:$C$16,MATCH($C585,Accounts!$B$7:$B$16,0)),Settings!$C$6)))</f>
        <v/>
      </c>
      <c r="AG585" s="53" t="str">
        <f>IF($AM585=0,"",IF(AND($BE585&gt;0,N(INDEX(Instruments!$D$6:$D$205,MAX(1,$BE585)))&gt;0),INDEX(Instruments!$D$6:$D$205,MAX(1,$BE585)),IF(N(INDEX(Settings!$D$14:$D$18,$BF585))&gt;0,INDEX(Settings!$D$14:$D$18,$BF585),"")))</f>
        <v/>
      </c>
      <c r="AH585" s="54" t="str">
        <f>IF($AM585=0,"",IF($AF585&lt;&gt;"Forex",1,IF(MID(UPPER(SUBSTITUTE(TRIM($E585),"/","")),4,3)=UPPER(TRIM(Settings!$C$7)),1,IF(LEFT(UPPER(SUBSTITUTE(TRIM($E585),"/","")),3)=UPPER(TRIM(Settings!$C$7)),IF(AND(ISNUMBER($K585),N($K585)&lt;&gt;0),1/$K585,""),""))))</f>
        <v/>
      </c>
      <c r="AI585" s="55" t="str">
        <f>IF($AM585=0,"",IF(OR(NOT(ISNUMBER($H585)),NOT(ISNUMBER($K585)),NOT(ISNUMBER($G585)),$AG585="",$AH585=""),"",ROUND(($K585-$H585)*IF($F585="Short",-1,1)*$G585*$AG585*$AH585,6)))</f>
        <v/>
      </c>
      <c r="AJ585" s="55" t="str">
        <f>IF($AM585=0,"",IF(INDEX(Settings!$E$14:$E$18,$BF585)="% of notional",IF(OR($AG585="",NOT(ISNUMBER($H585)),NOT(ISNUMBER($G585))),"",ROUND(ABS($H585*$G585*$AG585*N($AH585))*IF($L585="Limit",N(INDEX(Settings!$G$14:$G$18,$BF585)),N(INDEX(Settings!$H$14:$H$18,$BF585)))+IF(ISNUMBER($K585),ABS($K585*$G585*$AG585*N($AH585))*IF($M585="Target",N(INDEX(Settings!$G$14:$G$18,$BF585)),N(INDEX(Settings!$H$14:$H$18,$BF585))),0),6)),IF(NOT(ISNUMBER($G585)),"",ROUND(ABS($G585)*2*IF(AND($BE585&gt;0,ISNUMBER(INDEX(Instruments!$G$6:$G$205,MAX(1,$BE585)))),INDEX(Instruments!$G$6:$G$205,MAX(1,$BE585)),N(INDEX(Settings!$F$14:$F$18,$BF585))),6))))</f>
        <v/>
      </c>
      <c r="AK585" s="55" t="str">
        <f>IF($AM585=0,"",IF(ISNUMBER($O585),$O585,$AI585))</f>
        <v/>
      </c>
      <c r="AL585" s="55" t="str">
        <f>IF($AM585=0,"",IF(ISNUMBER($P585),$P585,N($AJ585)))</f>
        <v/>
      </c>
      <c r="AM585" s="56">
        <f>IF(AND($A585&lt;&gt;"",$E585&lt;&gt;"",OR(AND(ISNUMBER($G585),ISNUMBER($H585),ISNUMBER($K585)),ISNUMBER($O585))),1,0)</f>
        <v>0</v>
      </c>
      <c r="AN585" s="57" t="str">
        <f>IF($A585="","",$A585-WEEKDAY($A585,3))</f>
        <v/>
      </c>
      <c r="AO585" s="56" t="str">
        <f>IF($A585="","",WEEKDAY($A585,2))</f>
        <v/>
      </c>
      <c r="AP585" s="55" t="str">
        <f>IF(OR($AM585=0,$C585=""),"",IFERROR(N(INDEX(Accounts!$E$7:$E$16,MATCH($C585,Accounts!$B$7:$B$16,0))),0)+SUMIFS($Q$6:$Q585,$C$6:$C585,$C585))</f>
        <v/>
      </c>
      <c r="AQ585" s="55" t="str">
        <f>IF(OR($AM585=0,$C585=""),"",SUMIFS($Q$6:$Q$1005,$C$6:$C$1005,$C585,$A$6:$A$1005,$A585))</f>
        <v/>
      </c>
      <c r="AR585" s="55" t="str">
        <f>IF(OR($AM585=0,$C585=""),"",IFERROR(N(INDEX(Accounts!$E$7:$E$16,MATCH($C585,Accounts!$B$7:$B$16,0))),0)+SUMIFS($Q$6:$Q$1005,$C$6:$C$1005,$C585,$A$6:$A$1005,"&lt;="&amp;$A585))</f>
        <v/>
      </c>
      <c r="AS585" s="56">
        <f>IF(OR($AM585=0,$Q585=""),0,IF(AND($A585&gt;=Lists!$W$6,$A585&lt;=Lists!$W$7,OR(Dashboard!$D$6="All accounts",$C585=Dashboard!$D$6),OR(Dashboard!$D$7="All markets",$AF585=Dashboard!$D$7)),1,0))</f>
        <v>0</v>
      </c>
      <c r="AT585" s="55">
        <f>IF($AS585=1,N(AT584)+$Q585,N(AT584))</f>
        <v>1187.10688</v>
      </c>
      <c r="AU585" s="55">
        <f>MAX(N(AU584),$AT585)</f>
        <v>1187.10688</v>
      </c>
      <c r="AV585" s="55">
        <f>$AT585-$AU585</f>
        <v>0</v>
      </c>
      <c r="AW585" s="56">
        <f>IF($AS585=1,IF($S585="Win",N(AW584)+1,IF($S585="Loss",0,N(AW584))),N(AW584))</f>
        <v>5</v>
      </c>
      <c r="AX585" s="56">
        <f>IF($AS585=1,IF($S585="Loss",N(AX584)+1,IF($S585="Win",0,N(AX584))),N(AX584))</f>
        <v>0</v>
      </c>
      <c r="AY585" s="56" t="str">
        <f>IF($AS585=1,COUNTIF($AS$6:$AS585,1),"")</f>
        <v/>
      </c>
      <c r="AZ585" s="56">
        <f>MIN(579,N(Lists!$W$8))</f>
        <v>28</v>
      </c>
      <c r="BA585" s="56">
        <f>IF($AS585=1,IF(COUNTIFS($A$6:$A585,$A585,$AS$6:$AS585,1)=1,1,0),0)</f>
        <v>0</v>
      </c>
      <c r="BB585" s="55" t="str">
        <f>IF($BA585=1,SUMIFS($Q$6:$Q$1005,$A$6:$A$1005,$A585,$AS$6:$AS$1005,1),"")</f>
        <v/>
      </c>
      <c r="BC585" s="56">
        <f>IF(ISNUMBER($R585),1,0)</f>
        <v>0</v>
      </c>
      <c r="BD585" s="55" t="str">
        <f>IF(ISNUMBER($U585),$U585*$V585,"")</f>
        <v/>
      </c>
      <c r="BE585" s="56" t="str">
        <f>IF($AM585=0,"",IFERROR(MATCH($AF585&amp;"|"&amp;UPPER(TRIM($E585)),Lists!$A$6:$A$205,0),0))</f>
        <v/>
      </c>
      <c r="BF585" s="56" t="str">
        <f>IF($AM585=0,"",IFERROR(MATCH($AF585,Settings!$B$14:$B$18,0),IFERROR(MATCH(Settings!$C$6,Settings!$B$14:$B$18,0),1)))</f>
        <v/>
      </c>
      <c r="BG585" s="58" t="str">
        <f>IF($AM585=0,"",IF(NOT(ISNUMBER($I585)),"No stop; ","")&amp;IF(AND(ISNUMBER($H585),ISNUMBER($I585)),IF(OR(AND($F585&lt;&gt;"Short",$I585&gt;=$H585),AND($F585="Short",$I585&lt;=$H585)),"Stop on wrong side; ",""),"")&amp;IF($F585="","No direction; ","")&amp;IF(AND(ISNUMBER(Settings!$C$22),ISNUMBER($V585)),IF($V585&gt;Settings!$C$22,"Risk over max $; ",""),"")&amp;IF(AND(ISNUMBER(Settings!$C$23),ISNUMBER($V585),ISNUMBER($AP585),IFERROR(N(INDEX(Accounts!$E$7:$E$16,MATCH($C585,Accounts!$B$7:$B$16,0))),0)&gt;0),IF($V585&gt;Settings!$C$23*($AP585-N($Q585)),"Risk over max %; ",""),"")&amp;IF(AND(ISNUMBER(Settings!$C$24),ISNUMBER($N585)),IF($N585&gt;Settings!$C$24,"Leverage over max; ",""),"")&amp;IF(AND(ISNUMBER(Settings!$C$27),ISNUMBER($T585)),IF($T585&lt;Settings!$C$27,"R:R below min; ",""),"")&amp;IF(ISNUMBER(Settings!$C$25),IF(COUNTIFS($A$6:$A585,$A585,$AM$6:$AM585,1)&gt;Settings!$C$25,"Over max trades/day; ",""),"")&amp;IF(ISNUMBER(Settings!$C$26),IF(SUMIFS($Q$5:$Q584,$A$5:$A584,$A585)&lt;=-Settings!$C$26,"Traded after daily max loss; ",""),"")&amp;IF(AND($AG585="",NOT(ISNUMBER($O585))),"Symbol not in Instruments; ","")&amp;IF(AND($AH585="",NOT(ISNUMBER($O585))),"Forex cross: type Gross P&amp;L; ",""))</f>
        <v/>
      </c>
      <c r="BH585" s="56">
        <f>IF(ISNUMBER($Q585),1,0)</f>
        <v>0</v>
      </c>
      <c r="BI585" s="56">
        <f>IF($Y585="",0,1)</f>
        <v>0</v>
      </c>
      <c r="BJ585" s="56">
        <f>IF($AB585="",0,1)</f>
        <v>0</v>
      </c>
      <c r="BK585" s="56">
        <f>IF(AND($BH585=1,$W585&lt;&gt;"OK"),1,0)</f>
        <v>0</v>
      </c>
      <c r="BL585" s="55">
        <f>IF(N($AZ585)=0,0,IFERROR(INDEX($AT$6:$AT$1005,MATCH($AZ585,$AY$6:$AY$1005,0)),0))</f>
        <v>1187.10688</v>
      </c>
      <c r="BM585" s="56">
        <f>IF(ISNUMBER(SEARCH("daily max loss",$BG585)),1,0)</f>
        <v>0</v>
      </c>
    </row>
    <row r="586" ht="18" customHeight="1">
      <c r="A586" s="38" t="n"/>
      <c r="B586" s="39" t="n"/>
      <c r="C586" s="40" t="n"/>
      <c r="D586" s="41" t="n"/>
      <c r="E586" s="41" t="n"/>
      <c r="F586" s="41" t="n"/>
      <c r="G586" s="41" t="n"/>
      <c r="H586" s="42" t="n"/>
      <c r="I586" s="42" t="n"/>
      <c r="J586" s="42" t="n"/>
      <c r="K586" s="42" t="n"/>
      <c r="L586" s="41" t="n"/>
      <c r="M586" s="41" t="n"/>
      <c r="N586" s="41" t="n"/>
      <c r="O586" s="43" t="n"/>
      <c r="P586" s="43" t="n"/>
      <c r="Q586" s="44" t="str">
        <f>IF($AM586=0,"",IF(ISNUMBER($AK586),$AK586-N($AL586),""))</f>
        <v/>
      </c>
      <c r="R586" s="45" t="str">
        <f>IF(OR($Q586="",NOT(ISNUMBER($V586))),"",$AK586/$V586)</f>
        <v/>
      </c>
      <c r="S586" s="46" t="str">
        <f>IF($Q586="","",IF(AND(ISNUMBER($R586),ABS(N($R586))&lt;N(Settings!$C$8)),"Scratch",IF($Q586&gt;0,"Win",IF($Q586&lt;0,"Loss","Scratch"))))</f>
        <v/>
      </c>
      <c r="T586" s="47" t="str">
        <f>IF(OR($AM586=0,NOT(ISNUMBER($H586)),NOT(ISNUMBER($I586)),NOT(ISNUMBER($J586))),"",IF($H586=$I586,"",ROUND(ABS($J586-$H586)/ABS($H586-$I586),6)))</f>
        <v/>
      </c>
      <c r="U586" s="48" t="str">
        <f>IF(OR($S586&lt;&gt;"Win",NOT(ISNUMBER($T586)),NOT(ISNUMBER($R586))),"",MAX(0,$T586-$R586))</f>
        <v/>
      </c>
      <c r="V586" s="49" t="str">
        <f>IF(OR($AM586=0,NOT(ISNUMBER($H586)),NOT(ISNUMBER($I586)),NOT(ISNUMBER($G586))),"",IF(OR($AG586="",$AH586=""),"",IF(ROUND(ABS($H586-$I586)*ABS($G586)*$AG586*$AH586,6)=0,"",ROUND(ABS($H586-$I586)*ABS($G586)*$AG586*$AH586,6))))</f>
        <v/>
      </c>
      <c r="W586" s="50" t="str">
        <f>IF($AM586=0,"",IF($BG586="","OK",LEFT($BG586,LEN($BG586)-2)))</f>
        <v/>
      </c>
      <c r="X586" s="41" t="n"/>
      <c r="Y586" s="40" t="n"/>
      <c r="Z586" s="41" t="n"/>
      <c r="AA586" s="41" t="n"/>
      <c r="AB586" s="40" t="n"/>
      <c r="AC586" s="51" t="n"/>
      <c r="AD586" s="51" t="n"/>
      <c r="AE586" s="40" t="n"/>
      <c r="AF586" s="52" t="str">
        <f>IF($AM586=0,"",IF($D586&lt;&gt;"",$D586,IF(IFERROR(INDEX(Accounts!$C$7:$C$16,MATCH($C586,Accounts!$B$7:$B$16,0))&amp;"","")&lt;&gt;"",INDEX(Accounts!$C$7:$C$16,MATCH($C586,Accounts!$B$7:$B$16,0)),Settings!$C$6)))</f>
        <v/>
      </c>
      <c r="AG586" s="53" t="str">
        <f>IF($AM586=0,"",IF(AND($BE586&gt;0,N(INDEX(Instruments!$D$6:$D$205,MAX(1,$BE586)))&gt;0),INDEX(Instruments!$D$6:$D$205,MAX(1,$BE586)),IF(N(INDEX(Settings!$D$14:$D$18,$BF586))&gt;0,INDEX(Settings!$D$14:$D$18,$BF586),"")))</f>
        <v/>
      </c>
      <c r="AH586" s="54" t="str">
        <f>IF($AM586=0,"",IF($AF586&lt;&gt;"Forex",1,IF(MID(UPPER(SUBSTITUTE(TRIM($E586),"/","")),4,3)=UPPER(TRIM(Settings!$C$7)),1,IF(LEFT(UPPER(SUBSTITUTE(TRIM($E586),"/","")),3)=UPPER(TRIM(Settings!$C$7)),IF(AND(ISNUMBER($K586),N($K586)&lt;&gt;0),1/$K586,""),""))))</f>
        <v/>
      </c>
      <c r="AI586" s="55" t="str">
        <f>IF($AM586=0,"",IF(OR(NOT(ISNUMBER($H586)),NOT(ISNUMBER($K586)),NOT(ISNUMBER($G586)),$AG586="",$AH586=""),"",ROUND(($K586-$H586)*IF($F586="Short",-1,1)*$G586*$AG586*$AH586,6)))</f>
        <v/>
      </c>
      <c r="AJ586" s="55" t="str">
        <f>IF($AM586=0,"",IF(INDEX(Settings!$E$14:$E$18,$BF586)="% of notional",IF(OR($AG586="",NOT(ISNUMBER($H586)),NOT(ISNUMBER($G586))),"",ROUND(ABS($H586*$G586*$AG586*N($AH586))*IF($L586="Limit",N(INDEX(Settings!$G$14:$G$18,$BF586)),N(INDEX(Settings!$H$14:$H$18,$BF586)))+IF(ISNUMBER($K586),ABS($K586*$G586*$AG586*N($AH586))*IF($M586="Target",N(INDEX(Settings!$G$14:$G$18,$BF586)),N(INDEX(Settings!$H$14:$H$18,$BF586))),0),6)),IF(NOT(ISNUMBER($G586)),"",ROUND(ABS($G586)*2*IF(AND($BE586&gt;0,ISNUMBER(INDEX(Instruments!$G$6:$G$205,MAX(1,$BE586)))),INDEX(Instruments!$G$6:$G$205,MAX(1,$BE586)),N(INDEX(Settings!$F$14:$F$18,$BF586))),6))))</f>
        <v/>
      </c>
      <c r="AK586" s="55" t="str">
        <f>IF($AM586=0,"",IF(ISNUMBER($O586),$O586,$AI586))</f>
        <v/>
      </c>
      <c r="AL586" s="55" t="str">
        <f>IF($AM586=0,"",IF(ISNUMBER($P586),$P586,N($AJ586)))</f>
        <v/>
      </c>
      <c r="AM586" s="56">
        <f>IF(AND($A586&lt;&gt;"",$E586&lt;&gt;"",OR(AND(ISNUMBER($G586),ISNUMBER($H586),ISNUMBER($K586)),ISNUMBER($O586))),1,0)</f>
        <v>0</v>
      </c>
      <c r="AN586" s="57" t="str">
        <f>IF($A586="","",$A586-WEEKDAY($A586,3))</f>
        <v/>
      </c>
      <c r="AO586" s="56" t="str">
        <f>IF($A586="","",WEEKDAY($A586,2))</f>
        <v/>
      </c>
      <c r="AP586" s="55" t="str">
        <f>IF(OR($AM586=0,$C586=""),"",IFERROR(N(INDEX(Accounts!$E$7:$E$16,MATCH($C586,Accounts!$B$7:$B$16,0))),0)+SUMIFS($Q$6:$Q586,$C$6:$C586,$C586))</f>
        <v/>
      </c>
      <c r="AQ586" s="55" t="str">
        <f>IF(OR($AM586=0,$C586=""),"",SUMIFS($Q$6:$Q$1005,$C$6:$C$1005,$C586,$A$6:$A$1005,$A586))</f>
        <v/>
      </c>
      <c r="AR586" s="55" t="str">
        <f>IF(OR($AM586=0,$C586=""),"",IFERROR(N(INDEX(Accounts!$E$7:$E$16,MATCH($C586,Accounts!$B$7:$B$16,0))),0)+SUMIFS($Q$6:$Q$1005,$C$6:$C$1005,$C586,$A$6:$A$1005,"&lt;="&amp;$A586))</f>
        <v/>
      </c>
      <c r="AS586" s="56">
        <f>IF(OR($AM586=0,$Q586=""),0,IF(AND($A586&gt;=Lists!$W$6,$A586&lt;=Lists!$W$7,OR(Dashboard!$D$6="All accounts",$C586=Dashboard!$D$6),OR(Dashboard!$D$7="All markets",$AF586=Dashboard!$D$7)),1,0))</f>
        <v>0</v>
      </c>
      <c r="AT586" s="55">
        <f>IF($AS586=1,N(AT585)+$Q586,N(AT585))</f>
        <v>1187.10688</v>
      </c>
      <c r="AU586" s="55">
        <f>MAX(N(AU585),$AT586)</f>
        <v>1187.10688</v>
      </c>
      <c r="AV586" s="55">
        <f>$AT586-$AU586</f>
        <v>0</v>
      </c>
      <c r="AW586" s="56">
        <f>IF($AS586=1,IF($S586="Win",N(AW585)+1,IF($S586="Loss",0,N(AW585))),N(AW585))</f>
        <v>5</v>
      </c>
      <c r="AX586" s="56">
        <f>IF($AS586=1,IF($S586="Loss",N(AX585)+1,IF($S586="Win",0,N(AX585))),N(AX585))</f>
        <v>0</v>
      </c>
      <c r="AY586" s="56" t="str">
        <f>IF($AS586=1,COUNTIF($AS$6:$AS586,1),"")</f>
        <v/>
      </c>
      <c r="AZ586" s="56">
        <f>MIN(580,N(Lists!$W$8))</f>
        <v>28</v>
      </c>
      <c r="BA586" s="56">
        <f>IF($AS586=1,IF(COUNTIFS($A$6:$A586,$A586,$AS$6:$AS586,1)=1,1,0),0)</f>
        <v>0</v>
      </c>
      <c r="BB586" s="55" t="str">
        <f>IF($BA586=1,SUMIFS($Q$6:$Q$1005,$A$6:$A$1005,$A586,$AS$6:$AS$1005,1),"")</f>
        <v/>
      </c>
      <c r="BC586" s="56">
        <f>IF(ISNUMBER($R586),1,0)</f>
        <v>0</v>
      </c>
      <c r="BD586" s="55" t="str">
        <f>IF(ISNUMBER($U586),$U586*$V586,"")</f>
        <v/>
      </c>
      <c r="BE586" s="56" t="str">
        <f>IF($AM586=0,"",IFERROR(MATCH($AF586&amp;"|"&amp;UPPER(TRIM($E586)),Lists!$A$6:$A$205,0),0))</f>
        <v/>
      </c>
      <c r="BF586" s="56" t="str">
        <f>IF($AM586=0,"",IFERROR(MATCH($AF586,Settings!$B$14:$B$18,0),IFERROR(MATCH(Settings!$C$6,Settings!$B$14:$B$18,0),1)))</f>
        <v/>
      </c>
      <c r="BG586" s="58" t="str">
        <f>IF($AM586=0,"",IF(NOT(ISNUMBER($I586)),"No stop; ","")&amp;IF(AND(ISNUMBER($H586),ISNUMBER($I586)),IF(OR(AND($F586&lt;&gt;"Short",$I586&gt;=$H586),AND($F586="Short",$I586&lt;=$H586)),"Stop on wrong side; ",""),"")&amp;IF($F586="","No direction; ","")&amp;IF(AND(ISNUMBER(Settings!$C$22),ISNUMBER($V586)),IF($V586&gt;Settings!$C$22,"Risk over max $; ",""),"")&amp;IF(AND(ISNUMBER(Settings!$C$23),ISNUMBER($V586),ISNUMBER($AP586),IFERROR(N(INDEX(Accounts!$E$7:$E$16,MATCH($C586,Accounts!$B$7:$B$16,0))),0)&gt;0),IF($V586&gt;Settings!$C$23*($AP586-N($Q586)),"Risk over max %; ",""),"")&amp;IF(AND(ISNUMBER(Settings!$C$24),ISNUMBER($N586)),IF($N586&gt;Settings!$C$24,"Leverage over max; ",""),"")&amp;IF(AND(ISNUMBER(Settings!$C$27),ISNUMBER($T586)),IF($T586&lt;Settings!$C$27,"R:R below min; ",""),"")&amp;IF(ISNUMBER(Settings!$C$25),IF(COUNTIFS($A$6:$A586,$A586,$AM$6:$AM586,1)&gt;Settings!$C$25,"Over max trades/day; ",""),"")&amp;IF(ISNUMBER(Settings!$C$26),IF(SUMIFS($Q$5:$Q585,$A$5:$A585,$A586)&lt;=-Settings!$C$26,"Traded after daily max loss; ",""),"")&amp;IF(AND($AG586="",NOT(ISNUMBER($O586))),"Symbol not in Instruments; ","")&amp;IF(AND($AH586="",NOT(ISNUMBER($O586))),"Forex cross: type Gross P&amp;L; ",""))</f>
        <v/>
      </c>
      <c r="BH586" s="56">
        <f>IF(ISNUMBER($Q586),1,0)</f>
        <v>0</v>
      </c>
      <c r="BI586" s="56">
        <f>IF($Y586="",0,1)</f>
        <v>0</v>
      </c>
      <c r="BJ586" s="56">
        <f>IF($AB586="",0,1)</f>
        <v>0</v>
      </c>
      <c r="BK586" s="56">
        <f>IF(AND($BH586=1,$W586&lt;&gt;"OK"),1,0)</f>
        <v>0</v>
      </c>
      <c r="BL586" s="55">
        <f>IF(N($AZ586)=0,0,IFERROR(INDEX($AT$6:$AT$1005,MATCH($AZ586,$AY$6:$AY$1005,0)),0))</f>
        <v>1187.10688</v>
      </c>
      <c r="BM586" s="56">
        <f>IF(ISNUMBER(SEARCH("daily max loss",$BG586)),1,0)</f>
        <v>0</v>
      </c>
    </row>
    <row r="587" ht="18" customHeight="1">
      <c r="A587" s="38" t="n"/>
      <c r="B587" s="39" t="n"/>
      <c r="C587" s="40" t="n"/>
      <c r="D587" s="41" t="n"/>
      <c r="E587" s="41" t="n"/>
      <c r="F587" s="41" t="n"/>
      <c r="G587" s="41" t="n"/>
      <c r="H587" s="42" t="n"/>
      <c r="I587" s="42" t="n"/>
      <c r="J587" s="42" t="n"/>
      <c r="K587" s="42" t="n"/>
      <c r="L587" s="41" t="n"/>
      <c r="M587" s="41" t="n"/>
      <c r="N587" s="41" t="n"/>
      <c r="O587" s="43" t="n"/>
      <c r="P587" s="43" t="n"/>
      <c r="Q587" s="44" t="str">
        <f>IF($AM587=0,"",IF(ISNUMBER($AK587),$AK587-N($AL587),""))</f>
        <v/>
      </c>
      <c r="R587" s="45" t="str">
        <f>IF(OR($Q587="",NOT(ISNUMBER($V587))),"",$AK587/$V587)</f>
        <v/>
      </c>
      <c r="S587" s="46" t="str">
        <f>IF($Q587="","",IF(AND(ISNUMBER($R587),ABS(N($R587))&lt;N(Settings!$C$8)),"Scratch",IF($Q587&gt;0,"Win",IF($Q587&lt;0,"Loss","Scratch"))))</f>
        <v/>
      </c>
      <c r="T587" s="47" t="str">
        <f>IF(OR($AM587=0,NOT(ISNUMBER($H587)),NOT(ISNUMBER($I587)),NOT(ISNUMBER($J587))),"",IF($H587=$I587,"",ROUND(ABS($J587-$H587)/ABS($H587-$I587),6)))</f>
        <v/>
      </c>
      <c r="U587" s="48" t="str">
        <f>IF(OR($S587&lt;&gt;"Win",NOT(ISNUMBER($T587)),NOT(ISNUMBER($R587))),"",MAX(0,$T587-$R587))</f>
        <v/>
      </c>
      <c r="V587" s="49" t="str">
        <f>IF(OR($AM587=0,NOT(ISNUMBER($H587)),NOT(ISNUMBER($I587)),NOT(ISNUMBER($G587))),"",IF(OR($AG587="",$AH587=""),"",IF(ROUND(ABS($H587-$I587)*ABS($G587)*$AG587*$AH587,6)=0,"",ROUND(ABS($H587-$I587)*ABS($G587)*$AG587*$AH587,6))))</f>
        <v/>
      </c>
      <c r="W587" s="50" t="str">
        <f>IF($AM587=0,"",IF($BG587="","OK",LEFT($BG587,LEN($BG587)-2)))</f>
        <v/>
      </c>
      <c r="X587" s="41" t="n"/>
      <c r="Y587" s="40" t="n"/>
      <c r="Z587" s="41" t="n"/>
      <c r="AA587" s="41" t="n"/>
      <c r="AB587" s="40" t="n"/>
      <c r="AC587" s="51" t="n"/>
      <c r="AD587" s="51" t="n"/>
      <c r="AE587" s="40" t="n"/>
      <c r="AF587" s="52" t="str">
        <f>IF($AM587=0,"",IF($D587&lt;&gt;"",$D587,IF(IFERROR(INDEX(Accounts!$C$7:$C$16,MATCH($C587,Accounts!$B$7:$B$16,0))&amp;"","")&lt;&gt;"",INDEX(Accounts!$C$7:$C$16,MATCH($C587,Accounts!$B$7:$B$16,0)),Settings!$C$6)))</f>
        <v/>
      </c>
      <c r="AG587" s="53" t="str">
        <f>IF($AM587=0,"",IF(AND($BE587&gt;0,N(INDEX(Instruments!$D$6:$D$205,MAX(1,$BE587)))&gt;0),INDEX(Instruments!$D$6:$D$205,MAX(1,$BE587)),IF(N(INDEX(Settings!$D$14:$D$18,$BF587))&gt;0,INDEX(Settings!$D$14:$D$18,$BF587),"")))</f>
        <v/>
      </c>
      <c r="AH587" s="54" t="str">
        <f>IF($AM587=0,"",IF($AF587&lt;&gt;"Forex",1,IF(MID(UPPER(SUBSTITUTE(TRIM($E587),"/","")),4,3)=UPPER(TRIM(Settings!$C$7)),1,IF(LEFT(UPPER(SUBSTITUTE(TRIM($E587),"/","")),3)=UPPER(TRIM(Settings!$C$7)),IF(AND(ISNUMBER($K587),N($K587)&lt;&gt;0),1/$K587,""),""))))</f>
        <v/>
      </c>
      <c r="AI587" s="55" t="str">
        <f>IF($AM587=0,"",IF(OR(NOT(ISNUMBER($H587)),NOT(ISNUMBER($K587)),NOT(ISNUMBER($G587)),$AG587="",$AH587=""),"",ROUND(($K587-$H587)*IF($F587="Short",-1,1)*$G587*$AG587*$AH587,6)))</f>
        <v/>
      </c>
      <c r="AJ587" s="55" t="str">
        <f>IF($AM587=0,"",IF(INDEX(Settings!$E$14:$E$18,$BF587)="% of notional",IF(OR($AG587="",NOT(ISNUMBER($H587)),NOT(ISNUMBER($G587))),"",ROUND(ABS($H587*$G587*$AG587*N($AH587))*IF($L587="Limit",N(INDEX(Settings!$G$14:$G$18,$BF587)),N(INDEX(Settings!$H$14:$H$18,$BF587)))+IF(ISNUMBER($K587),ABS($K587*$G587*$AG587*N($AH587))*IF($M587="Target",N(INDEX(Settings!$G$14:$G$18,$BF587)),N(INDEX(Settings!$H$14:$H$18,$BF587))),0),6)),IF(NOT(ISNUMBER($G587)),"",ROUND(ABS($G587)*2*IF(AND($BE587&gt;0,ISNUMBER(INDEX(Instruments!$G$6:$G$205,MAX(1,$BE587)))),INDEX(Instruments!$G$6:$G$205,MAX(1,$BE587)),N(INDEX(Settings!$F$14:$F$18,$BF587))),6))))</f>
        <v/>
      </c>
      <c r="AK587" s="55" t="str">
        <f>IF($AM587=0,"",IF(ISNUMBER($O587),$O587,$AI587))</f>
        <v/>
      </c>
      <c r="AL587" s="55" t="str">
        <f>IF($AM587=0,"",IF(ISNUMBER($P587),$P587,N($AJ587)))</f>
        <v/>
      </c>
      <c r="AM587" s="56">
        <f>IF(AND($A587&lt;&gt;"",$E587&lt;&gt;"",OR(AND(ISNUMBER($G587),ISNUMBER($H587),ISNUMBER($K587)),ISNUMBER($O587))),1,0)</f>
        <v>0</v>
      </c>
      <c r="AN587" s="57" t="str">
        <f>IF($A587="","",$A587-WEEKDAY($A587,3))</f>
        <v/>
      </c>
      <c r="AO587" s="56" t="str">
        <f>IF($A587="","",WEEKDAY($A587,2))</f>
        <v/>
      </c>
      <c r="AP587" s="55" t="str">
        <f>IF(OR($AM587=0,$C587=""),"",IFERROR(N(INDEX(Accounts!$E$7:$E$16,MATCH($C587,Accounts!$B$7:$B$16,0))),0)+SUMIFS($Q$6:$Q587,$C$6:$C587,$C587))</f>
        <v/>
      </c>
      <c r="AQ587" s="55" t="str">
        <f>IF(OR($AM587=0,$C587=""),"",SUMIFS($Q$6:$Q$1005,$C$6:$C$1005,$C587,$A$6:$A$1005,$A587))</f>
        <v/>
      </c>
      <c r="AR587" s="55" t="str">
        <f>IF(OR($AM587=0,$C587=""),"",IFERROR(N(INDEX(Accounts!$E$7:$E$16,MATCH($C587,Accounts!$B$7:$B$16,0))),0)+SUMIFS($Q$6:$Q$1005,$C$6:$C$1005,$C587,$A$6:$A$1005,"&lt;="&amp;$A587))</f>
        <v/>
      </c>
      <c r="AS587" s="56">
        <f>IF(OR($AM587=0,$Q587=""),0,IF(AND($A587&gt;=Lists!$W$6,$A587&lt;=Lists!$W$7,OR(Dashboard!$D$6="All accounts",$C587=Dashboard!$D$6),OR(Dashboard!$D$7="All markets",$AF587=Dashboard!$D$7)),1,0))</f>
        <v>0</v>
      </c>
      <c r="AT587" s="55">
        <f>IF($AS587=1,N(AT586)+$Q587,N(AT586))</f>
        <v>1187.10688</v>
      </c>
      <c r="AU587" s="55">
        <f>MAX(N(AU586),$AT587)</f>
        <v>1187.10688</v>
      </c>
      <c r="AV587" s="55">
        <f>$AT587-$AU587</f>
        <v>0</v>
      </c>
      <c r="AW587" s="56">
        <f>IF($AS587=1,IF($S587="Win",N(AW586)+1,IF($S587="Loss",0,N(AW586))),N(AW586))</f>
        <v>5</v>
      </c>
      <c r="AX587" s="56">
        <f>IF($AS587=1,IF($S587="Loss",N(AX586)+1,IF($S587="Win",0,N(AX586))),N(AX586))</f>
        <v>0</v>
      </c>
      <c r="AY587" s="56" t="str">
        <f>IF($AS587=1,COUNTIF($AS$6:$AS587,1),"")</f>
        <v/>
      </c>
      <c r="AZ587" s="56">
        <f>MIN(581,N(Lists!$W$8))</f>
        <v>28</v>
      </c>
      <c r="BA587" s="56">
        <f>IF($AS587=1,IF(COUNTIFS($A$6:$A587,$A587,$AS$6:$AS587,1)=1,1,0),0)</f>
        <v>0</v>
      </c>
      <c r="BB587" s="55" t="str">
        <f>IF($BA587=1,SUMIFS($Q$6:$Q$1005,$A$6:$A$1005,$A587,$AS$6:$AS$1005,1),"")</f>
        <v/>
      </c>
      <c r="BC587" s="56">
        <f>IF(ISNUMBER($R587),1,0)</f>
        <v>0</v>
      </c>
      <c r="BD587" s="55" t="str">
        <f>IF(ISNUMBER($U587),$U587*$V587,"")</f>
        <v/>
      </c>
      <c r="BE587" s="56" t="str">
        <f>IF($AM587=0,"",IFERROR(MATCH($AF587&amp;"|"&amp;UPPER(TRIM($E587)),Lists!$A$6:$A$205,0),0))</f>
        <v/>
      </c>
      <c r="BF587" s="56" t="str">
        <f>IF($AM587=0,"",IFERROR(MATCH($AF587,Settings!$B$14:$B$18,0),IFERROR(MATCH(Settings!$C$6,Settings!$B$14:$B$18,0),1)))</f>
        <v/>
      </c>
      <c r="BG587" s="58" t="str">
        <f>IF($AM587=0,"",IF(NOT(ISNUMBER($I587)),"No stop; ","")&amp;IF(AND(ISNUMBER($H587),ISNUMBER($I587)),IF(OR(AND($F587&lt;&gt;"Short",$I587&gt;=$H587),AND($F587="Short",$I587&lt;=$H587)),"Stop on wrong side; ",""),"")&amp;IF($F587="","No direction; ","")&amp;IF(AND(ISNUMBER(Settings!$C$22),ISNUMBER($V587)),IF($V587&gt;Settings!$C$22,"Risk over max $; ",""),"")&amp;IF(AND(ISNUMBER(Settings!$C$23),ISNUMBER($V587),ISNUMBER($AP587),IFERROR(N(INDEX(Accounts!$E$7:$E$16,MATCH($C587,Accounts!$B$7:$B$16,0))),0)&gt;0),IF($V587&gt;Settings!$C$23*($AP587-N($Q587)),"Risk over max %; ",""),"")&amp;IF(AND(ISNUMBER(Settings!$C$24),ISNUMBER($N587)),IF($N587&gt;Settings!$C$24,"Leverage over max; ",""),"")&amp;IF(AND(ISNUMBER(Settings!$C$27),ISNUMBER($T587)),IF($T587&lt;Settings!$C$27,"R:R below min; ",""),"")&amp;IF(ISNUMBER(Settings!$C$25),IF(COUNTIFS($A$6:$A587,$A587,$AM$6:$AM587,1)&gt;Settings!$C$25,"Over max trades/day; ",""),"")&amp;IF(ISNUMBER(Settings!$C$26),IF(SUMIFS($Q$5:$Q586,$A$5:$A586,$A587)&lt;=-Settings!$C$26,"Traded after daily max loss; ",""),"")&amp;IF(AND($AG587="",NOT(ISNUMBER($O587))),"Symbol not in Instruments; ","")&amp;IF(AND($AH587="",NOT(ISNUMBER($O587))),"Forex cross: type Gross P&amp;L; ",""))</f>
        <v/>
      </c>
      <c r="BH587" s="56">
        <f>IF(ISNUMBER($Q587),1,0)</f>
        <v>0</v>
      </c>
      <c r="BI587" s="56">
        <f>IF($Y587="",0,1)</f>
        <v>0</v>
      </c>
      <c r="BJ587" s="56">
        <f>IF($AB587="",0,1)</f>
        <v>0</v>
      </c>
      <c r="BK587" s="56">
        <f>IF(AND($BH587=1,$W587&lt;&gt;"OK"),1,0)</f>
        <v>0</v>
      </c>
      <c r="BL587" s="55">
        <f>IF(N($AZ587)=0,0,IFERROR(INDEX($AT$6:$AT$1005,MATCH($AZ587,$AY$6:$AY$1005,0)),0))</f>
        <v>1187.10688</v>
      </c>
      <c r="BM587" s="56">
        <f>IF(ISNUMBER(SEARCH("daily max loss",$BG587)),1,0)</f>
        <v>0</v>
      </c>
    </row>
    <row r="588" ht="18" customHeight="1">
      <c r="A588" s="38" t="n"/>
      <c r="B588" s="39" t="n"/>
      <c r="C588" s="40" t="n"/>
      <c r="D588" s="41" t="n"/>
      <c r="E588" s="41" t="n"/>
      <c r="F588" s="41" t="n"/>
      <c r="G588" s="41" t="n"/>
      <c r="H588" s="42" t="n"/>
      <c r="I588" s="42" t="n"/>
      <c r="J588" s="42" t="n"/>
      <c r="K588" s="42" t="n"/>
      <c r="L588" s="41" t="n"/>
      <c r="M588" s="41" t="n"/>
      <c r="N588" s="41" t="n"/>
      <c r="O588" s="43" t="n"/>
      <c r="P588" s="43" t="n"/>
      <c r="Q588" s="44" t="str">
        <f>IF($AM588=0,"",IF(ISNUMBER($AK588),$AK588-N($AL588),""))</f>
        <v/>
      </c>
      <c r="R588" s="45" t="str">
        <f>IF(OR($Q588="",NOT(ISNUMBER($V588))),"",$AK588/$V588)</f>
        <v/>
      </c>
      <c r="S588" s="46" t="str">
        <f>IF($Q588="","",IF(AND(ISNUMBER($R588),ABS(N($R588))&lt;N(Settings!$C$8)),"Scratch",IF($Q588&gt;0,"Win",IF($Q588&lt;0,"Loss","Scratch"))))</f>
        <v/>
      </c>
      <c r="T588" s="47" t="str">
        <f>IF(OR($AM588=0,NOT(ISNUMBER($H588)),NOT(ISNUMBER($I588)),NOT(ISNUMBER($J588))),"",IF($H588=$I588,"",ROUND(ABS($J588-$H588)/ABS($H588-$I588),6)))</f>
        <v/>
      </c>
      <c r="U588" s="48" t="str">
        <f>IF(OR($S588&lt;&gt;"Win",NOT(ISNUMBER($T588)),NOT(ISNUMBER($R588))),"",MAX(0,$T588-$R588))</f>
        <v/>
      </c>
      <c r="V588" s="49" t="str">
        <f>IF(OR($AM588=0,NOT(ISNUMBER($H588)),NOT(ISNUMBER($I588)),NOT(ISNUMBER($G588))),"",IF(OR($AG588="",$AH588=""),"",IF(ROUND(ABS($H588-$I588)*ABS($G588)*$AG588*$AH588,6)=0,"",ROUND(ABS($H588-$I588)*ABS($G588)*$AG588*$AH588,6))))</f>
        <v/>
      </c>
      <c r="W588" s="50" t="str">
        <f>IF($AM588=0,"",IF($BG588="","OK",LEFT($BG588,LEN($BG588)-2)))</f>
        <v/>
      </c>
      <c r="X588" s="41" t="n"/>
      <c r="Y588" s="40" t="n"/>
      <c r="Z588" s="41" t="n"/>
      <c r="AA588" s="41" t="n"/>
      <c r="AB588" s="40" t="n"/>
      <c r="AC588" s="51" t="n"/>
      <c r="AD588" s="51" t="n"/>
      <c r="AE588" s="40" t="n"/>
      <c r="AF588" s="52" t="str">
        <f>IF($AM588=0,"",IF($D588&lt;&gt;"",$D588,IF(IFERROR(INDEX(Accounts!$C$7:$C$16,MATCH($C588,Accounts!$B$7:$B$16,0))&amp;"","")&lt;&gt;"",INDEX(Accounts!$C$7:$C$16,MATCH($C588,Accounts!$B$7:$B$16,0)),Settings!$C$6)))</f>
        <v/>
      </c>
      <c r="AG588" s="53" t="str">
        <f>IF($AM588=0,"",IF(AND($BE588&gt;0,N(INDEX(Instruments!$D$6:$D$205,MAX(1,$BE588)))&gt;0),INDEX(Instruments!$D$6:$D$205,MAX(1,$BE588)),IF(N(INDEX(Settings!$D$14:$D$18,$BF588))&gt;0,INDEX(Settings!$D$14:$D$18,$BF588),"")))</f>
        <v/>
      </c>
      <c r="AH588" s="54" t="str">
        <f>IF($AM588=0,"",IF($AF588&lt;&gt;"Forex",1,IF(MID(UPPER(SUBSTITUTE(TRIM($E588),"/","")),4,3)=UPPER(TRIM(Settings!$C$7)),1,IF(LEFT(UPPER(SUBSTITUTE(TRIM($E588),"/","")),3)=UPPER(TRIM(Settings!$C$7)),IF(AND(ISNUMBER($K588),N($K588)&lt;&gt;0),1/$K588,""),""))))</f>
        <v/>
      </c>
      <c r="AI588" s="55" t="str">
        <f>IF($AM588=0,"",IF(OR(NOT(ISNUMBER($H588)),NOT(ISNUMBER($K588)),NOT(ISNUMBER($G588)),$AG588="",$AH588=""),"",ROUND(($K588-$H588)*IF($F588="Short",-1,1)*$G588*$AG588*$AH588,6)))</f>
        <v/>
      </c>
      <c r="AJ588" s="55" t="str">
        <f>IF($AM588=0,"",IF(INDEX(Settings!$E$14:$E$18,$BF588)="% of notional",IF(OR($AG588="",NOT(ISNUMBER($H588)),NOT(ISNUMBER($G588))),"",ROUND(ABS($H588*$G588*$AG588*N($AH588))*IF($L588="Limit",N(INDEX(Settings!$G$14:$G$18,$BF588)),N(INDEX(Settings!$H$14:$H$18,$BF588)))+IF(ISNUMBER($K588),ABS($K588*$G588*$AG588*N($AH588))*IF($M588="Target",N(INDEX(Settings!$G$14:$G$18,$BF588)),N(INDEX(Settings!$H$14:$H$18,$BF588))),0),6)),IF(NOT(ISNUMBER($G588)),"",ROUND(ABS($G588)*2*IF(AND($BE588&gt;0,ISNUMBER(INDEX(Instruments!$G$6:$G$205,MAX(1,$BE588)))),INDEX(Instruments!$G$6:$G$205,MAX(1,$BE588)),N(INDEX(Settings!$F$14:$F$18,$BF588))),6))))</f>
        <v/>
      </c>
      <c r="AK588" s="55" t="str">
        <f>IF($AM588=0,"",IF(ISNUMBER($O588),$O588,$AI588))</f>
        <v/>
      </c>
      <c r="AL588" s="55" t="str">
        <f>IF($AM588=0,"",IF(ISNUMBER($P588),$P588,N($AJ588)))</f>
        <v/>
      </c>
      <c r="AM588" s="56">
        <f>IF(AND($A588&lt;&gt;"",$E588&lt;&gt;"",OR(AND(ISNUMBER($G588),ISNUMBER($H588),ISNUMBER($K588)),ISNUMBER($O588))),1,0)</f>
        <v>0</v>
      </c>
      <c r="AN588" s="57" t="str">
        <f>IF($A588="","",$A588-WEEKDAY($A588,3))</f>
        <v/>
      </c>
      <c r="AO588" s="56" t="str">
        <f>IF($A588="","",WEEKDAY($A588,2))</f>
        <v/>
      </c>
      <c r="AP588" s="55" t="str">
        <f>IF(OR($AM588=0,$C588=""),"",IFERROR(N(INDEX(Accounts!$E$7:$E$16,MATCH($C588,Accounts!$B$7:$B$16,0))),0)+SUMIFS($Q$6:$Q588,$C$6:$C588,$C588))</f>
        <v/>
      </c>
      <c r="AQ588" s="55" t="str">
        <f>IF(OR($AM588=0,$C588=""),"",SUMIFS($Q$6:$Q$1005,$C$6:$C$1005,$C588,$A$6:$A$1005,$A588))</f>
        <v/>
      </c>
      <c r="AR588" s="55" t="str">
        <f>IF(OR($AM588=0,$C588=""),"",IFERROR(N(INDEX(Accounts!$E$7:$E$16,MATCH($C588,Accounts!$B$7:$B$16,0))),0)+SUMIFS($Q$6:$Q$1005,$C$6:$C$1005,$C588,$A$6:$A$1005,"&lt;="&amp;$A588))</f>
        <v/>
      </c>
      <c r="AS588" s="56">
        <f>IF(OR($AM588=0,$Q588=""),0,IF(AND($A588&gt;=Lists!$W$6,$A588&lt;=Lists!$W$7,OR(Dashboard!$D$6="All accounts",$C588=Dashboard!$D$6),OR(Dashboard!$D$7="All markets",$AF588=Dashboard!$D$7)),1,0))</f>
        <v>0</v>
      </c>
      <c r="AT588" s="55">
        <f>IF($AS588=1,N(AT587)+$Q588,N(AT587))</f>
        <v>1187.10688</v>
      </c>
      <c r="AU588" s="55">
        <f>MAX(N(AU587),$AT588)</f>
        <v>1187.10688</v>
      </c>
      <c r="AV588" s="55">
        <f>$AT588-$AU588</f>
        <v>0</v>
      </c>
      <c r="AW588" s="56">
        <f>IF($AS588=1,IF($S588="Win",N(AW587)+1,IF($S588="Loss",0,N(AW587))),N(AW587))</f>
        <v>5</v>
      </c>
      <c r="AX588" s="56">
        <f>IF($AS588=1,IF($S588="Loss",N(AX587)+1,IF($S588="Win",0,N(AX587))),N(AX587))</f>
        <v>0</v>
      </c>
      <c r="AY588" s="56" t="str">
        <f>IF($AS588=1,COUNTIF($AS$6:$AS588,1),"")</f>
        <v/>
      </c>
      <c r="AZ588" s="56">
        <f>MIN(582,N(Lists!$W$8))</f>
        <v>28</v>
      </c>
      <c r="BA588" s="56">
        <f>IF($AS588=1,IF(COUNTIFS($A$6:$A588,$A588,$AS$6:$AS588,1)=1,1,0),0)</f>
        <v>0</v>
      </c>
      <c r="BB588" s="55" t="str">
        <f>IF($BA588=1,SUMIFS($Q$6:$Q$1005,$A$6:$A$1005,$A588,$AS$6:$AS$1005,1),"")</f>
        <v/>
      </c>
      <c r="BC588" s="56">
        <f>IF(ISNUMBER($R588),1,0)</f>
        <v>0</v>
      </c>
      <c r="BD588" s="55" t="str">
        <f>IF(ISNUMBER($U588),$U588*$V588,"")</f>
        <v/>
      </c>
      <c r="BE588" s="56" t="str">
        <f>IF($AM588=0,"",IFERROR(MATCH($AF588&amp;"|"&amp;UPPER(TRIM($E588)),Lists!$A$6:$A$205,0),0))</f>
        <v/>
      </c>
      <c r="BF588" s="56" t="str">
        <f>IF($AM588=0,"",IFERROR(MATCH($AF588,Settings!$B$14:$B$18,0),IFERROR(MATCH(Settings!$C$6,Settings!$B$14:$B$18,0),1)))</f>
        <v/>
      </c>
      <c r="BG588" s="58" t="str">
        <f>IF($AM588=0,"",IF(NOT(ISNUMBER($I588)),"No stop; ","")&amp;IF(AND(ISNUMBER($H588),ISNUMBER($I588)),IF(OR(AND($F588&lt;&gt;"Short",$I588&gt;=$H588),AND($F588="Short",$I588&lt;=$H588)),"Stop on wrong side; ",""),"")&amp;IF($F588="","No direction; ","")&amp;IF(AND(ISNUMBER(Settings!$C$22),ISNUMBER($V588)),IF($V588&gt;Settings!$C$22,"Risk over max $; ",""),"")&amp;IF(AND(ISNUMBER(Settings!$C$23),ISNUMBER($V588),ISNUMBER($AP588),IFERROR(N(INDEX(Accounts!$E$7:$E$16,MATCH($C588,Accounts!$B$7:$B$16,0))),0)&gt;0),IF($V588&gt;Settings!$C$23*($AP588-N($Q588)),"Risk over max %; ",""),"")&amp;IF(AND(ISNUMBER(Settings!$C$24),ISNUMBER($N588)),IF($N588&gt;Settings!$C$24,"Leverage over max; ",""),"")&amp;IF(AND(ISNUMBER(Settings!$C$27),ISNUMBER($T588)),IF($T588&lt;Settings!$C$27,"R:R below min; ",""),"")&amp;IF(ISNUMBER(Settings!$C$25),IF(COUNTIFS($A$6:$A588,$A588,$AM$6:$AM588,1)&gt;Settings!$C$25,"Over max trades/day; ",""),"")&amp;IF(ISNUMBER(Settings!$C$26),IF(SUMIFS($Q$5:$Q587,$A$5:$A587,$A588)&lt;=-Settings!$C$26,"Traded after daily max loss; ",""),"")&amp;IF(AND($AG588="",NOT(ISNUMBER($O588))),"Symbol not in Instruments; ","")&amp;IF(AND($AH588="",NOT(ISNUMBER($O588))),"Forex cross: type Gross P&amp;L; ",""))</f>
        <v/>
      </c>
      <c r="BH588" s="56">
        <f>IF(ISNUMBER($Q588),1,0)</f>
        <v>0</v>
      </c>
      <c r="BI588" s="56">
        <f>IF($Y588="",0,1)</f>
        <v>0</v>
      </c>
      <c r="BJ588" s="56">
        <f>IF($AB588="",0,1)</f>
        <v>0</v>
      </c>
      <c r="BK588" s="56">
        <f>IF(AND($BH588=1,$W588&lt;&gt;"OK"),1,0)</f>
        <v>0</v>
      </c>
      <c r="BL588" s="55">
        <f>IF(N($AZ588)=0,0,IFERROR(INDEX($AT$6:$AT$1005,MATCH($AZ588,$AY$6:$AY$1005,0)),0))</f>
        <v>1187.10688</v>
      </c>
      <c r="BM588" s="56">
        <f>IF(ISNUMBER(SEARCH("daily max loss",$BG588)),1,0)</f>
        <v>0</v>
      </c>
    </row>
    <row r="589" ht="18" customHeight="1">
      <c r="A589" s="38" t="n"/>
      <c r="B589" s="39" t="n"/>
      <c r="C589" s="40" t="n"/>
      <c r="D589" s="41" t="n"/>
      <c r="E589" s="41" t="n"/>
      <c r="F589" s="41" t="n"/>
      <c r="G589" s="41" t="n"/>
      <c r="H589" s="42" t="n"/>
      <c r="I589" s="42" t="n"/>
      <c r="J589" s="42" t="n"/>
      <c r="K589" s="42" t="n"/>
      <c r="L589" s="41" t="n"/>
      <c r="M589" s="41" t="n"/>
      <c r="N589" s="41" t="n"/>
      <c r="O589" s="43" t="n"/>
      <c r="P589" s="43" t="n"/>
      <c r="Q589" s="44" t="str">
        <f>IF($AM589=0,"",IF(ISNUMBER($AK589),$AK589-N($AL589),""))</f>
        <v/>
      </c>
      <c r="R589" s="45" t="str">
        <f>IF(OR($Q589="",NOT(ISNUMBER($V589))),"",$AK589/$V589)</f>
        <v/>
      </c>
      <c r="S589" s="46" t="str">
        <f>IF($Q589="","",IF(AND(ISNUMBER($R589),ABS(N($R589))&lt;N(Settings!$C$8)),"Scratch",IF($Q589&gt;0,"Win",IF($Q589&lt;0,"Loss","Scratch"))))</f>
        <v/>
      </c>
      <c r="T589" s="47" t="str">
        <f>IF(OR($AM589=0,NOT(ISNUMBER($H589)),NOT(ISNUMBER($I589)),NOT(ISNUMBER($J589))),"",IF($H589=$I589,"",ROUND(ABS($J589-$H589)/ABS($H589-$I589),6)))</f>
        <v/>
      </c>
      <c r="U589" s="48" t="str">
        <f>IF(OR($S589&lt;&gt;"Win",NOT(ISNUMBER($T589)),NOT(ISNUMBER($R589))),"",MAX(0,$T589-$R589))</f>
        <v/>
      </c>
      <c r="V589" s="49" t="str">
        <f>IF(OR($AM589=0,NOT(ISNUMBER($H589)),NOT(ISNUMBER($I589)),NOT(ISNUMBER($G589))),"",IF(OR($AG589="",$AH589=""),"",IF(ROUND(ABS($H589-$I589)*ABS($G589)*$AG589*$AH589,6)=0,"",ROUND(ABS($H589-$I589)*ABS($G589)*$AG589*$AH589,6))))</f>
        <v/>
      </c>
      <c r="W589" s="50" t="str">
        <f>IF($AM589=0,"",IF($BG589="","OK",LEFT($BG589,LEN($BG589)-2)))</f>
        <v/>
      </c>
      <c r="X589" s="41" t="n"/>
      <c r="Y589" s="40" t="n"/>
      <c r="Z589" s="41" t="n"/>
      <c r="AA589" s="41" t="n"/>
      <c r="AB589" s="40" t="n"/>
      <c r="AC589" s="51" t="n"/>
      <c r="AD589" s="51" t="n"/>
      <c r="AE589" s="40" t="n"/>
      <c r="AF589" s="52" t="str">
        <f>IF($AM589=0,"",IF($D589&lt;&gt;"",$D589,IF(IFERROR(INDEX(Accounts!$C$7:$C$16,MATCH($C589,Accounts!$B$7:$B$16,0))&amp;"","")&lt;&gt;"",INDEX(Accounts!$C$7:$C$16,MATCH($C589,Accounts!$B$7:$B$16,0)),Settings!$C$6)))</f>
        <v/>
      </c>
      <c r="AG589" s="53" t="str">
        <f>IF($AM589=0,"",IF(AND($BE589&gt;0,N(INDEX(Instruments!$D$6:$D$205,MAX(1,$BE589)))&gt;0),INDEX(Instruments!$D$6:$D$205,MAX(1,$BE589)),IF(N(INDEX(Settings!$D$14:$D$18,$BF589))&gt;0,INDEX(Settings!$D$14:$D$18,$BF589),"")))</f>
        <v/>
      </c>
      <c r="AH589" s="54" t="str">
        <f>IF($AM589=0,"",IF($AF589&lt;&gt;"Forex",1,IF(MID(UPPER(SUBSTITUTE(TRIM($E589),"/","")),4,3)=UPPER(TRIM(Settings!$C$7)),1,IF(LEFT(UPPER(SUBSTITUTE(TRIM($E589),"/","")),3)=UPPER(TRIM(Settings!$C$7)),IF(AND(ISNUMBER($K589),N($K589)&lt;&gt;0),1/$K589,""),""))))</f>
        <v/>
      </c>
      <c r="AI589" s="55" t="str">
        <f>IF($AM589=0,"",IF(OR(NOT(ISNUMBER($H589)),NOT(ISNUMBER($K589)),NOT(ISNUMBER($G589)),$AG589="",$AH589=""),"",ROUND(($K589-$H589)*IF($F589="Short",-1,1)*$G589*$AG589*$AH589,6)))</f>
        <v/>
      </c>
      <c r="AJ589" s="55" t="str">
        <f>IF($AM589=0,"",IF(INDEX(Settings!$E$14:$E$18,$BF589)="% of notional",IF(OR($AG589="",NOT(ISNUMBER($H589)),NOT(ISNUMBER($G589))),"",ROUND(ABS($H589*$G589*$AG589*N($AH589))*IF($L589="Limit",N(INDEX(Settings!$G$14:$G$18,$BF589)),N(INDEX(Settings!$H$14:$H$18,$BF589)))+IF(ISNUMBER($K589),ABS($K589*$G589*$AG589*N($AH589))*IF($M589="Target",N(INDEX(Settings!$G$14:$G$18,$BF589)),N(INDEX(Settings!$H$14:$H$18,$BF589))),0),6)),IF(NOT(ISNUMBER($G589)),"",ROUND(ABS($G589)*2*IF(AND($BE589&gt;0,ISNUMBER(INDEX(Instruments!$G$6:$G$205,MAX(1,$BE589)))),INDEX(Instruments!$G$6:$G$205,MAX(1,$BE589)),N(INDEX(Settings!$F$14:$F$18,$BF589))),6))))</f>
        <v/>
      </c>
      <c r="AK589" s="55" t="str">
        <f>IF($AM589=0,"",IF(ISNUMBER($O589),$O589,$AI589))</f>
        <v/>
      </c>
      <c r="AL589" s="55" t="str">
        <f>IF($AM589=0,"",IF(ISNUMBER($P589),$P589,N($AJ589)))</f>
        <v/>
      </c>
      <c r="AM589" s="56">
        <f>IF(AND($A589&lt;&gt;"",$E589&lt;&gt;"",OR(AND(ISNUMBER($G589),ISNUMBER($H589),ISNUMBER($K589)),ISNUMBER($O589))),1,0)</f>
        <v>0</v>
      </c>
      <c r="AN589" s="57" t="str">
        <f>IF($A589="","",$A589-WEEKDAY($A589,3))</f>
        <v/>
      </c>
      <c r="AO589" s="56" t="str">
        <f>IF($A589="","",WEEKDAY($A589,2))</f>
        <v/>
      </c>
      <c r="AP589" s="55" t="str">
        <f>IF(OR($AM589=0,$C589=""),"",IFERROR(N(INDEX(Accounts!$E$7:$E$16,MATCH($C589,Accounts!$B$7:$B$16,0))),0)+SUMIFS($Q$6:$Q589,$C$6:$C589,$C589))</f>
        <v/>
      </c>
      <c r="AQ589" s="55" t="str">
        <f>IF(OR($AM589=0,$C589=""),"",SUMIFS($Q$6:$Q$1005,$C$6:$C$1005,$C589,$A$6:$A$1005,$A589))</f>
        <v/>
      </c>
      <c r="AR589" s="55" t="str">
        <f>IF(OR($AM589=0,$C589=""),"",IFERROR(N(INDEX(Accounts!$E$7:$E$16,MATCH($C589,Accounts!$B$7:$B$16,0))),0)+SUMIFS($Q$6:$Q$1005,$C$6:$C$1005,$C589,$A$6:$A$1005,"&lt;="&amp;$A589))</f>
        <v/>
      </c>
      <c r="AS589" s="56">
        <f>IF(OR($AM589=0,$Q589=""),0,IF(AND($A589&gt;=Lists!$W$6,$A589&lt;=Lists!$W$7,OR(Dashboard!$D$6="All accounts",$C589=Dashboard!$D$6),OR(Dashboard!$D$7="All markets",$AF589=Dashboard!$D$7)),1,0))</f>
        <v>0</v>
      </c>
      <c r="AT589" s="55">
        <f>IF($AS589=1,N(AT588)+$Q589,N(AT588))</f>
        <v>1187.10688</v>
      </c>
      <c r="AU589" s="55">
        <f>MAX(N(AU588),$AT589)</f>
        <v>1187.10688</v>
      </c>
      <c r="AV589" s="55">
        <f>$AT589-$AU589</f>
        <v>0</v>
      </c>
      <c r="AW589" s="56">
        <f>IF($AS589=1,IF($S589="Win",N(AW588)+1,IF($S589="Loss",0,N(AW588))),N(AW588))</f>
        <v>5</v>
      </c>
      <c r="AX589" s="56">
        <f>IF($AS589=1,IF($S589="Loss",N(AX588)+1,IF($S589="Win",0,N(AX588))),N(AX588))</f>
        <v>0</v>
      </c>
      <c r="AY589" s="56" t="str">
        <f>IF($AS589=1,COUNTIF($AS$6:$AS589,1),"")</f>
        <v/>
      </c>
      <c r="AZ589" s="56">
        <f>MIN(583,N(Lists!$W$8))</f>
        <v>28</v>
      </c>
      <c r="BA589" s="56">
        <f>IF($AS589=1,IF(COUNTIFS($A$6:$A589,$A589,$AS$6:$AS589,1)=1,1,0),0)</f>
        <v>0</v>
      </c>
      <c r="BB589" s="55" t="str">
        <f>IF($BA589=1,SUMIFS($Q$6:$Q$1005,$A$6:$A$1005,$A589,$AS$6:$AS$1005,1),"")</f>
        <v/>
      </c>
      <c r="BC589" s="56">
        <f>IF(ISNUMBER($R589),1,0)</f>
        <v>0</v>
      </c>
      <c r="BD589" s="55" t="str">
        <f>IF(ISNUMBER($U589),$U589*$V589,"")</f>
        <v/>
      </c>
      <c r="BE589" s="56" t="str">
        <f>IF($AM589=0,"",IFERROR(MATCH($AF589&amp;"|"&amp;UPPER(TRIM($E589)),Lists!$A$6:$A$205,0),0))</f>
        <v/>
      </c>
      <c r="BF589" s="56" t="str">
        <f>IF($AM589=0,"",IFERROR(MATCH($AF589,Settings!$B$14:$B$18,0),IFERROR(MATCH(Settings!$C$6,Settings!$B$14:$B$18,0),1)))</f>
        <v/>
      </c>
      <c r="BG589" s="58" t="str">
        <f>IF($AM589=0,"",IF(NOT(ISNUMBER($I589)),"No stop; ","")&amp;IF(AND(ISNUMBER($H589),ISNUMBER($I589)),IF(OR(AND($F589&lt;&gt;"Short",$I589&gt;=$H589),AND($F589="Short",$I589&lt;=$H589)),"Stop on wrong side; ",""),"")&amp;IF($F589="","No direction; ","")&amp;IF(AND(ISNUMBER(Settings!$C$22),ISNUMBER($V589)),IF($V589&gt;Settings!$C$22,"Risk over max $; ",""),"")&amp;IF(AND(ISNUMBER(Settings!$C$23),ISNUMBER($V589),ISNUMBER($AP589),IFERROR(N(INDEX(Accounts!$E$7:$E$16,MATCH($C589,Accounts!$B$7:$B$16,0))),0)&gt;0),IF($V589&gt;Settings!$C$23*($AP589-N($Q589)),"Risk over max %; ",""),"")&amp;IF(AND(ISNUMBER(Settings!$C$24),ISNUMBER($N589)),IF($N589&gt;Settings!$C$24,"Leverage over max; ",""),"")&amp;IF(AND(ISNUMBER(Settings!$C$27),ISNUMBER($T589)),IF($T589&lt;Settings!$C$27,"R:R below min; ",""),"")&amp;IF(ISNUMBER(Settings!$C$25),IF(COUNTIFS($A$6:$A589,$A589,$AM$6:$AM589,1)&gt;Settings!$C$25,"Over max trades/day; ",""),"")&amp;IF(ISNUMBER(Settings!$C$26),IF(SUMIFS($Q$5:$Q588,$A$5:$A588,$A589)&lt;=-Settings!$C$26,"Traded after daily max loss; ",""),"")&amp;IF(AND($AG589="",NOT(ISNUMBER($O589))),"Symbol not in Instruments; ","")&amp;IF(AND($AH589="",NOT(ISNUMBER($O589))),"Forex cross: type Gross P&amp;L; ",""))</f>
        <v/>
      </c>
      <c r="BH589" s="56">
        <f>IF(ISNUMBER($Q589),1,0)</f>
        <v>0</v>
      </c>
      <c r="BI589" s="56">
        <f>IF($Y589="",0,1)</f>
        <v>0</v>
      </c>
      <c r="BJ589" s="56">
        <f>IF($AB589="",0,1)</f>
        <v>0</v>
      </c>
      <c r="BK589" s="56">
        <f>IF(AND($BH589=1,$W589&lt;&gt;"OK"),1,0)</f>
        <v>0</v>
      </c>
      <c r="BL589" s="55">
        <f>IF(N($AZ589)=0,0,IFERROR(INDEX($AT$6:$AT$1005,MATCH($AZ589,$AY$6:$AY$1005,0)),0))</f>
        <v>1187.10688</v>
      </c>
      <c r="BM589" s="56">
        <f>IF(ISNUMBER(SEARCH("daily max loss",$BG589)),1,0)</f>
        <v>0</v>
      </c>
    </row>
    <row r="590" ht="18" customHeight="1">
      <c r="A590" s="38" t="n"/>
      <c r="B590" s="39" t="n"/>
      <c r="C590" s="40" t="n"/>
      <c r="D590" s="41" t="n"/>
      <c r="E590" s="41" t="n"/>
      <c r="F590" s="41" t="n"/>
      <c r="G590" s="41" t="n"/>
      <c r="H590" s="42" t="n"/>
      <c r="I590" s="42" t="n"/>
      <c r="J590" s="42" t="n"/>
      <c r="K590" s="42" t="n"/>
      <c r="L590" s="41" t="n"/>
      <c r="M590" s="41" t="n"/>
      <c r="N590" s="41" t="n"/>
      <c r="O590" s="43" t="n"/>
      <c r="P590" s="43" t="n"/>
      <c r="Q590" s="44" t="str">
        <f>IF($AM590=0,"",IF(ISNUMBER($AK590),$AK590-N($AL590),""))</f>
        <v/>
      </c>
      <c r="R590" s="45" t="str">
        <f>IF(OR($Q590="",NOT(ISNUMBER($V590))),"",$AK590/$V590)</f>
        <v/>
      </c>
      <c r="S590" s="46" t="str">
        <f>IF($Q590="","",IF(AND(ISNUMBER($R590),ABS(N($R590))&lt;N(Settings!$C$8)),"Scratch",IF($Q590&gt;0,"Win",IF($Q590&lt;0,"Loss","Scratch"))))</f>
        <v/>
      </c>
      <c r="T590" s="47" t="str">
        <f>IF(OR($AM590=0,NOT(ISNUMBER($H590)),NOT(ISNUMBER($I590)),NOT(ISNUMBER($J590))),"",IF($H590=$I590,"",ROUND(ABS($J590-$H590)/ABS($H590-$I590),6)))</f>
        <v/>
      </c>
      <c r="U590" s="48" t="str">
        <f>IF(OR($S590&lt;&gt;"Win",NOT(ISNUMBER($T590)),NOT(ISNUMBER($R590))),"",MAX(0,$T590-$R590))</f>
        <v/>
      </c>
      <c r="V590" s="49" t="str">
        <f>IF(OR($AM590=0,NOT(ISNUMBER($H590)),NOT(ISNUMBER($I590)),NOT(ISNUMBER($G590))),"",IF(OR($AG590="",$AH590=""),"",IF(ROUND(ABS($H590-$I590)*ABS($G590)*$AG590*$AH590,6)=0,"",ROUND(ABS($H590-$I590)*ABS($G590)*$AG590*$AH590,6))))</f>
        <v/>
      </c>
      <c r="W590" s="50" t="str">
        <f>IF($AM590=0,"",IF($BG590="","OK",LEFT($BG590,LEN($BG590)-2)))</f>
        <v/>
      </c>
      <c r="X590" s="41" t="n"/>
      <c r="Y590" s="40" t="n"/>
      <c r="Z590" s="41" t="n"/>
      <c r="AA590" s="41" t="n"/>
      <c r="AB590" s="40" t="n"/>
      <c r="AC590" s="51" t="n"/>
      <c r="AD590" s="51" t="n"/>
      <c r="AE590" s="40" t="n"/>
      <c r="AF590" s="52" t="str">
        <f>IF($AM590=0,"",IF($D590&lt;&gt;"",$D590,IF(IFERROR(INDEX(Accounts!$C$7:$C$16,MATCH($C590,Accounts!$B$7:$B$16,0))&amp;"","")&lt;&gt;"",INDEX(Accounts!$C$7:$C$16,MATCH($C590,Accounts!$B$7:$B$16,0)),Settings!$C$6)))</f>
        <v/>
      </c>
      <c r="AG590" s="53" t="str">
        <f>IF($AM590=0,"",IF(AND($BE590&gt;0,N(INDEX(Instruments!$D$6:$D$205,MAX(1,$BE590)))&gt;0),INDEX(Instruments!$D$6:$D$205,MAX(1,$BE590)),IF(N(INDEX(Settings!$D$14:$D$18,$BF590))&gt;0,INDEX(Settings!$D$14:$D$18,$BF590),"")))</f>
        <v/>
      </c>
      <c r="AH590" s="54" t="str">
        <f>IF($AM590=0,"",IF($AF590&lt;&gt;"Forex",1,IF(MID(UPPER(SUBSTITUTE(TRIM($E590),"/","")),4,3)=UPPER(TRIM(Settings!$C$7)),1,IF(LEFT(UPPER(SUBSTITUTE(TRIM($E590),"/","")),3)=UPPER(TRIM(Settings!$C$7)),IF(AND(ISNUMBER($K590),N($K590)&lt;&gt;0),1/$K590,""),""))))</f>
        <v/>
      </c>
      <c r="AI590" s="55" t="str">
        <f>IF($AM590=0,"",IF(OR(NOT(ISNUMBER($H590)),NOT(ISNUMBER($K590)),NOT(ISNUMBER($G590)),$AG590="",$AH590=""),"",ROUND(($K590-$H590)*IF($F590="Short",-1,1)*$G590*$AG590*$AH590,6)))</f>
        <v/>
      </c>
      <c r="AJ590" s="55" t="str">
        <f>IF($AM590=0,"",IF(INDEX(Settings!$E$14:$E$18,$BF590)="% of notional",IF(OR($AG590="",NOT(ISNUMBER($H590)),NOT(ISNUMBER($G590))),"",ROUND(ABS($H590*$G590*$AG590*N($AH590))*IF($L590="Limit",N(INDEX(Settings!$G$14:$G$18,$BF590)),N(INDEX(Settings!$H$14:$H$18,$BF590)))+IF(ISNUMBER($K590),ABS($K590*$G590*$AG590*N($AH590))*IF($M590="Target",N(INDEX(Settings!$G$14:$G$18,$BF590)),N(INDEX(Settings!$H$14:$H$18,$BF590))),0),6)),IF(NOT(ISNUMBER($G590)),"",ROUND(ABS($G590)*2*IF(AND($BE590&gt;0,ISNUMBER(INDEX(Instruments!$G$6:$G$205,MAX(1,$BE590)))),INDEX(Instruments!$G$6:$G$205,MAX(1,$BE590)),N(INDEX(Settings!$F$14:$F$18,$BF590))),6))))</f>
        <v/>
      </c>
      <c r="AK590" s="55" t="str">
        <f>IF($AM590=0,"",IF(ISNUMBER($O590),$O590,$AI590))</f>
        <v/>
      </c>
      <c r="AL590" s="55" t="str">
        <f>IF($AM590=0,"",IF(ISNUMBER($P590),$P590,N($AJ590)))</f>
        <v/>
      </c>
      <c r="AM590" s="56">
        <f>IF(AND($A590&lt;&gt;"",$E590&lt;&gt;"",OR(AND(ISNUMBER($G590),ISNUMBER($H590),ISNUMBER($K590)),ISNUMBER($O590))),1,0)</f>
        <v>0</v>
      </c>
      <c r="AN590" s="57" t="str">
        <f>IF($A590="","",$A590-WEEKDAY($A590,3))</f>
        <v/>
      </c>
      <c r="AO590" s="56" t="str">
        <f>IF($A590="","",WEEKDAY($A590,2))</f>
        <v/>
      </c>
      <c r="AP590" s="55" t="str">
        <f>IF(OR($AM590=0,$C590=""),"",IFERROR(N(INDEX(Accounts!$E$7:$E$16,MATCH($C590,Accounts!$B$7:$B$16,0))),0)+SUMIFS($Q$6:$Q590,$C$6:$C590,$C590))</f>
        <v/>
      </c>
      <c r="AQ590" s="55" t="str">
        <f>IF(OR($AM590=0,$C590=""),"",SUMIFS($Q$6:$Q$1005,$C$6:$C$1005,$C590,$A$6:$A$1005,$A590))</f>
        <v/>
      </c>
      <c r="AR590" s="55" t="str">
        <f>IF(OR($AM590=0,$C590=""),"",IFERROR(N(INDEX(Accounts!$E$7:$E$16,MATCH($C590,Accounts!$B$7:$B$16,0))),0)+SUMIFS($Q$6:$Q$1005,$C$6:$C$1005,$C590,$A$6:$A$1005,"&lt;="&amp;$A590))</f>
        <v/>
      </c>
      <c r="AS590" s="56">
        <f>IF(OR($AM590=0,$Q590=""),0,IF(AND($A590&gt;=Lists!$W$6,$A590&lt;=Lists!$W$7,OR(Dashboard!$D$6="All accounts",$C590=Dashboard!$D$6),OR(Dashboard!$D$7="All markets",$AF590=Dashboard!$D$7)),1,0))</f>
        <v>0</v>
      </c>
      <c r="AT590" s="55">
        <f>IF($AS590=1,N(AT589)+$Q590,N(AT589))</f>
        <v>1187.10688</v>
      </c>
      <c r="AU590" s="55">
        <f>MAX(N(AU589),$AT590)</f>
        <v>1187.10688</v>
      </c>
      <c r="AV590" s="55">
        <f>$AT590-$AU590</f>
        <v>0</v>
      </c>
      <c r="AW590" s="56">
        <f>IF($AS590=1,IF($S590="Win",N(AW589)+1,IF($S590="Loss",0,N(AW589))),N(AW589))</f>
        <v>5</v>
      </c>
      <c r="AX590" s="56">
        <f>IF($AS590=1,IF($S590="Loss",N(AX589)+1,IF($S590="Win",0,N(AX589))),N(AX589))</f>
        <v>0</v>
      </c>
      <c r="AY590" s="56" t="str">
        <f>IF($AS590=1,COUNTIF($AS$6:$AS590,1),"")</f>
        <v/>
      </c>
      <c r="AZ590" s="56">
        <f>MIN(584,N(Lists!$W$8))</f>
        <v>28</v>
      </c>
      <c r="BA590" s="56">
        <f>IF($AS590=1,IF(COUNTIFS($A$6:$A590,$A590,$AS$6:$AS590,1)=1,1,0),0)</f>
        <v>0</v>
      </c>
      <c r="BB590" s="55" t="str">
        <f>IF($BA590=1,SUMIFS($Q$6:$Q$1005,$A$6:$A$1005,$A590,$AS$6:$AS$1005,1),"")</f>
        <v/>
      </c>
      <c r="BC590" s="56">
        <f>IF(ISNUMBER($R590),1,0)</f>
        <v>0</v>
      </c>
      <c r="BD590" s="55" t="str">
        <f>IF(ISNUMBER($U590),$U590*$V590,"")</f>
        <v/>
      </c>
      <c r="BE590" s="56" t="str">
        <f>IF($AM590=0,"",IFERROR(MATCH($AF590&amp;"|"&amp;UPPER(TRIM($E590)),Lists!$A$6:$A$205,0),0))</f>
        <v/>
      </c>
      <c r="BF590" s="56" t="str">
        <f>IF($AM590=0,"",IFERROR(MATCH($AF590,Settings!$B$14:$B$18,0),IFERROR(MATCH(Settings!$C$6,Settings!$B$14:$B$18,0),1)))</f>
        <v/>
      </c>
      <c r="BG590" s="58" t="str">
        <f>IF($AM590=0,"",IF(NOT(ISNUMBER($I590)),"No stop; ","")&amp;IF(AND(ISNUMBER($H590),ISNUMBER($I590)),IF(OR(AND($F590&lt;&gt;"Short",$I590&gt;=$H590),AND($F590="Short",$I590&lt;=$H590)),"Stop on wrong side; ",""),"")&amp;IF($F590="","No direction; ","")&amp;IF(AND(ISNUMBER(Settings!$C$22),ISNUMBER($V590)),IF($V590&gt;Settings!$C$22,"Risk over max $; ",""),"")&amp;IF(AND(ISNUMBER(Settings!$C$23),ISNUMBER($V590),ISNUMBER($AP590),IFERROR(N(INDEX(Accounts!$E$7:$E$16,MATCH($C590,Accounts!$B$7:$B$16,0))),0)&gt;0),IF($V590&gt;Settings!$C$23*($AP590-N($Q590)),"Risk over max %; ",""),"")&amp;IF(AND(ISNUMBER(Settings!$C$24),ISNUMBER($N590)),IF($N590&gt;Settings!$C$24,"Leverage over max; ",""),"")&amp;IF(AND(ISNUMBER(Settings!$C$27),ISNUMBER($T590)),IF($T590&lt;Settings!$C$27,"R:R below min; ",""),"")&amp;IF(ISNUMBER(Settings!$C$25),IF(COUNTIFS($A$6:$A590,$A590,$AM$6:$AM590,1)&gt;Settings!$C$25,"Over max trades/day; ",""),"")&amp;IF(ISNUMBER(Settings!$C$26),IF(SUMIFS($Q$5:$Q589,$A$5:$A589,$A590)&lt;=-Settings!$C$26,"Traded after daily max loss; ",""),"")&amp;IF(AND($AG590="",NOT(ISNUMBER($O590))),"Symbol not in Instruments; ","")&amp;IF(AND($AH590="",NOT(ISNUMBER($O590))),"Forex cross: type Gross P&amp;L; ",""))</f>
        <v/>
      </c>
      <c r="BH590" s="56">
        <f>IF(ISNUMBER($Q590),1,0)</f>
        <v>0</v>
      </c>
      <c r="BI590" s="56">
        <f>IF($Y590="",0,1)</f>
        <v>0</v>
      </c>
      <c r="BJ590" s="56">
        <f>IF($AB590="",0,1)</f>
        <v>0</v>
      </c>
      <c r="BK590" s="56">
        <f>IF(AND($BH590=1,$W590&lt;&gt;"OK"),1,0)</f>
        <v>0</v>
      </c>
      <c r="BL590" s="55">
        <f>IF(N($AZ590)=0,0,IFERROR(INDEX($AT$6:$AT$1005,MATCH($AZ590,$AY$6:$AY$1005,0)),0))</f>
        <v>1187.10688</v>
      </c>
      <c r="BM590" s="56">
        <f>IF(ISNUMBER(SEARCH("daily max loss",$BG590)),1,0)</f>
        <v>0</v>
      </c>
    </row>
    <row r="591" ht="18" customHeight="1">
      <c r="A591" s="38" t="n"/>
      <c r="B591" s="39" t="n"/>
      <c r="C591" s="40" t="n"/>
      <c r="D591" s="41" t="n"/>
      <c r="E591" s="41" t="n"/>
      <c r="F591" s="41" t="n"/>
      <c r="G591" s="41" t="n"/>
      <c r="H591" s="42" t="n"/>
      <c r="I591" s="42" t="n"/>
      <c r="J591" s="42" t="n"/>
      <c r="K591" s="42" t="n"/>
      <c r="L591" s="41" t="n"/>
      <c r="M591" s="41" t="n"/>
      <c r="N591" s="41" t="n"/>
      <c r="O591" s="43" t="n"/>
      <c r="P591" s="43" t="n"/>
      <c r="Q591" s="44" t="str">
        <f>IF($AM591=0,"",IF(ISNUMBER($AK591),$AK591-N($AL591),""))</f>
        <v/>
      </c>
      <c r="R591" s="45" t="str">
        <f>IF(OR($Q591="",NOT(ISNUMBER($V591))),"",$AK591/$V591)</f>
        <v/>
      </c>
      <c r="S591" s="46" t="str">
        <f>IF($Q591="","",IF(AND(ISNUMBER($R591),ABS(N($R591))&lt;N(Settings!$C$8)),"Scratch",IF($Q591&gt;0,"Win",IF($Q591&lt;0,"Loss","Scratch"))))</f>
        <v/>
      </c>
      <c r="T591" s="47" t="str">
        <f>IF(OR($AM591=0,NOT(ISNUMBER($H591)),NOT(ISNUMBER($I591)),NOT(ISNUMBER($J591))),"",IF($H591=$I591,"",ROUND(ABS($J591-$H591)/ABS($H591-$I591),6)))</f>
        <v/>
      </c>
      <c r="U591" s="48" t="str">
        <f>IF(OR($S591&lt;&gt;"Win",NOT(ISNUMBER($T591)),NOT(ISNUMBER($R591))),"",MAX(0,$T591-$R591))</f>
        <v/>
      </c>
      <c r="V591" s="49" t="str">
        <f>IF(OR($AM591=0,NOT(ISNUMBER($H591)),NOT(ISNUMBER($I591)),NOT(ISNUMBER($G591))),"",IF(OR($AG591="",$AH591=""),"",IF(ROUND(ABS($H591-$I591)*ABS($G591)*$AG591*$AH591,6)=0,"",ROUND(ABS($H591-$I591)*ABS($G591)*$AG591*$AH591,6))))</f>
        <v/>
      </c>
      <c r="W591" s="50" t="str">
        <f>IF($AM591=0,"",IF($BG591="","OK",LEFT($BG591,LEN($BG591)-2)))</f>
        <v/>
      </c>
      <c r="X591" s="41" t="n"/>
      <c r="Y591" s="40" t="n"/>
      <c r="Z591" s="41" t="n"/>
      <c r="AA591" s="41" t="n"/>
      <c r="AB591" s="40" t="n"/>
      <c r="AC591" s="51" t="n"/>
      <c r="AD591" s="51" t="n"/>
      <c r="AE591" s="40" t="n"/>
      <c r="AF591" s="52" t="str">
        <f>IF($AM591=0,"",IF($D591&lt;&gt;"",$D591,IF(IFERROR(INDEX(Accounts!$C$7:$C$16,MATCH($C591,Accounts!$B$7:$B$16,0))&amp;"","")&lt;&gt;"",INDEX(Accounts!$C$7:$C$16,MATCH($C591,Accounts!$B$7:$B$16,0)),Settings!$C$6)))</f>
        <v/>
      </c>
      <c r="AG591" s="53" t="str">
        <f>IF($AM591=0,"",IF(AND($BE591&gt;0,N(INDEX(Instruments!$D$6:$D$205,MAX(1,$BE591)))&gt;0),INDEX(Instruments!$D$6:$D$205,MAX(1,$BE591)),IF(N(INDEX(Settings!$D$14:$D$18,$BF591))&gt;0,INDEX(Settings!$D$14:$D$18,$BF591),"")))</f>
        <v/>
      </c>
      <c r="AH591" s="54" t="str">
        <f>IF($AM591=0,"",IF($AF591&lt;&gt;"Forex",1,IF(MID(UPPER(SUBSTITUTE(TRIM($E591),"/","")),4,3)=UPPER(TRIM(Settings!$C$7)),1,IF(LEFT(UPPER(SUBSTITUTE(TRIM($E591),"/","")),3)=UPPER(TRIM(Settings!$C$7)),IF(AND(ISNUMBER($K591),N($K591)&lt;&gt;0),1/$K591,""),""))))</f>
        <v/>
      </c>
      <c r="AI591" s="55" t="str">
        <f>IF($AM591=0,"",IF(OR(NOT(ISNUMBER($H591)),NOT(ISNUMBER($K591)),NOT(ISNUMBER($G591)),$AG591="",$AH591=""),"",ROUND(($K591-$H591)*IF($F591="Short",-1,1)*$G591*$AG591*$AH591,6)))</f>
        <v/>
      </c>
      <c r="AJ591" s="55" t="str">
        <f>IF($AM591=0,"",IF(INDEX(Settings!$E$14:$E$18,$BF591)="% of notional",IF(OR($AG591="",NOT(ISNUMBER($H591)),NOT(ISNUMBER($G591))),"",ROUND(ABS($H591*$G591*$AG591*N($AH591))*IF($L591="Limit",N(INDEX(Settings!$G$14:$G$18,$BF591)),N(INDEX(Settings!$H$14:$H$18,$BF591)))+IF(ISNUMBER($K591),ABS($K591*$G591*$AG591*N($AH591))*IF($M591="Target",N(INDEX(Settings!$G$14:$G$18,$BF591)),N(INDEX(Settings!$H$14:$H$18,$BF591))),0),6)),IF(NOT(ISNUMBER($G591)),"",ROUND(ABS($G591)*2*IF(AND($BE591&gt;0,ISNUMBER(INDEX(Instruments!$G$6:$G$205,MAX(1,$BE591)))),INDEX(Instruments!$G$6:$G$205,MAX(1,$BE591)),N(INDEX(Settings!$F$14:$F$18,$BF591))),6))))</f>
        <v/>
      </c>
      <c r="AK591" s="55" t="str">
        <f>IF($AM591=0,"",IF(ISNUMBER($O591),$O591,$AI591))</f>
        <v/>
      </c>
      <c r="AL591" s="55" t="str">
        <f>IF($AM591=0,"",IF(ISNUMBER($P591),$P591,N($AJ591)))</f>
        <v/>
      </c>
      <c r="AM591" s="56">
        <f>IF(AND($A591&lt;&gt;"",$E591&lt;&gt;"",OR(AND(ISNUMBER($G591),ISNUMBER($H591),ISNUMBER($K591)),ISNUMBER($O591))),1,0)</f>
        <v>0</v>
      </c>
      <c r="AN591" s="57" t="str">
        <f>IF($A591="","",$A591-WEEKDAY($A591,3))</f>
        <v/>
      </c>
      <c r="AO591" s="56" t="str">
        <f>IF($A591="","",WEEKDAY($A591,2))</f>
        <v/>
      </c>
      <c r="AP591" s="55" t="str">
        <f>IF(OR($AM591=0,$C591=""),"",IFERROR(N(INDEX(Accounts!$E$7:$E$16,MATCH($C591,Accounts!$B$7:$B$16,0))),0)+SUMIFS($Q$6:$Q591,$C$6:$C591,$C591))</f>
        <v/>
      </c>
      <c r="AQ591" s="55" t="str">
        <f>IF(OR($AM591=0,$C591=""),"",SUMIFS($Q$6:$Q$1005,$C$6:$C$1005,$C591,$A$6:$A$1005,$A591))</f>
        <v/>
      </c>
      <c r="AR591" s="55" t="str">
        <f>IF(OR($AM591=0,$C591=""),"",IFERROR(N(INDEX(Accounts!$E$7:$E$16,MATCH($C591,Accounts!$B$7:$B$16,0))),0)+SUMIFS($Q$6:$Q$1005,$C$6:$C$1005,$C591,$A$6:$A$1005,"&lt;="&amp;$A591))</f>
        <v/>
      </c>
      <c r="AS591" s="56">
        <f>IF(OR($AM591=0,$Q591=""),0,IF(AND($A591&gt;=Lists!$W$6,$A591&lt;=Lists!$W$7,OR(Dashboard!$D$6="All accounts",$C591=Dashboard!$D$6),OR(Dashboard!$D$7="All markets",$AF591=Dashboard!$D$7)),1,0))</f>
        <v>0</v>
      </c>
      <c r="AT591" s="55">
        <f>IF($AS591=1,N(AT590)+$Q591,N(AT590))</f>
        <v>1187.10688</v>
      </c>
      <c r="AU591" s="55">
        <f>MAX(N(AU590),$AT591)</f>
        <v>1187.10688</v>
      </c>
      <c r="AV591" s="55">
        <f>$AT591-$AU591</f>
        <v>0</v>
      </c>
      <c r="AW591" s="56">
        <f>IF($AS591=1,IF($S591="Win",N(AW590)+1,IF($S591="Loss",0,N(AW590))),N(AW590))</f>
        <v>5</v>
      </c>
      <c r="AX591" s="56">
        <f>IF($AS591=1,IF($S591="Loss",N(AX590)+1,IF($S591="Win",0,N(AX590))),N(AX590))</f>
        <v>0</v>
      </c>
      <c r="AY591" s="56" t="str">
        <f>IF($AS591=1,COUNTIF($AS$6:$AS591,1),"")</f>
        <v/>
      </c>
      <c r="AZ591" s="56">
        <f>MIN(585,N(Lists!$W$8))</f>
        <v>28</v>
      </c>
      <c r="BA591" s="56">
        <f>IF($AS591=1,IF(COUNTIFS($A$6:$A591,$A591,$AS$6:$AS591,1)=1,1,0),0)</f>
        <v>0</v>
      </c>
      <c r="BB591" s="55" t="str">
        <f>IF($BA591=1,SUMIFS($Q$6:$Q$1005,$A$6:$A$1005,$A591,$AS$6:$AS$1005,1),"")</f>
        <v/>
      </c>
      <c r="BC591" s="56">
        <f>IF(ISNUMBER($R591),1,0)</f>
        <v>0</v>
      </c>
      <c r="BD591" s="55" t="str">
        <f>IF(ISNUMBER($U591),$U591*$V591,"")</f>
        <v/>
      </c>
      <c r="BE591" s="56" t="str">
        <f>IF($AM591=0,"",IFERROR(MATCH($AF591&amp;"|"&amp;UPPER(TRIM($E591)),Lists!$A$6:$A$205,0),0))</f>
        <v/>
      </c>
      <c r="BF591" s="56" t="str">
        <f>IF($AM591=0,"",IFERROR(MATCH($AF591,Settings!$B$14:$B$18,0),IFERROR(MATCH(Settings!$C$6,Settings!$B$14:$B$18,0),1)))</f>
        <v/>
      </c>
      <c r="BG591" s="58" t="str">
        <f>IF($AM591=0,"",IF(NOT(ISNUMBER($I591)),"No stop; ","")&amp;IF(AND(ISNUMBER($H591),ISNUMBER($I591)),IF(OR(AND($F591&lt;&gt;"Short",$I591&gt;=$H591),AND($F591="Short",$I591&lt;=$H591)),"Stop on wrong side; ",""),"")&amp;IF($F591="","No direction; ","")&amp;IF(AND(ISNUMBER(Settings!$C$22),ISNUMBER($V591)),IF($V591&gt;Settings!$C$22,"Risk over max $; ",""),"")&amp;IF(AND(ISNUMBER(Settings!$C$23),ISNUMBER($V591),ISNUMBER($AP591),IFERROR(N(INDEX(Accounts!$E$7:$E$16,MATCH($C591,Accounts!$B$7:$B$16,0))),0)&gt;0),IF($V591&gt;Settings!$C$23*($AP591-N($Q591)),"Risk over max %; ",""),"")&amp;IF(AND(ISNUMBER(Settings!$C$24),ISNUMBER($N591)),IF($N591&gt;Settings!$C$24,"Leverage over max; ",""),"")&amp;IF(AND(ISNUMBER(Settings!$C$27),ISNUMBER($T591)),IF($T591&lt;Settings!$C$27,"R:R below min; ",""),"")&amp;IF(ISNUMBER(Settings!$C$25),IF(COUNTIFS($A$6:$A591,$A591,$AM$6:$AM591,1)&gt;Settings!$C$25,"Over max trades/day; ",""),"")&amp;IF(ISNUMBER(Settings!$C$26),IF(SUMIFS($Q$5:$Q590,$A$5:$A590,$A591)&lt;=-Settings!$C$26,"Traded after daily max loss; ",""),"")&amp;IF(AND($AG591="",NOT(ISNUMBER($O591))),"Symbol not in Instruments; ","")&amp;IF(AND($AH591="",NOT(ISNUMBER($O591))),"Forex cross: type Gross P&amp;L; ",""))</f>
        <v/>
      </c>
      <c r="BH591" s="56">
        <f>IF(ISNUMBER($Q591),1,0)</f>
        <v>0</v>
      </c>
      <c r="BI591" s="56">
        <f>IF($Y591="",0,1)</f>
        <v>0</v>
      </c>
      <c r="BJ591" s="56">
        <f>IF($AB591="",0,1)</f>
        <v>0</v>
      </c>
      <c r="BK591" s="56">
        <f>IF(AND($BH591=1,$W591&lt;&gt;"OK"),1,0)</f>
        <v>0</v>
      </c>
      <c r="BL591" s="55">
        <f>IF(N($AZ591)=0,0,IFERROR(INDEX($AT$6:$AT$1005,MATCH($AZ591,$AY$6:$AY$1005,0)),0))</f>
        <v>1187.10688</v>
      </c>
      <c r="BM591" s="56">
        <f>IF(ISNUMBER(SEARCH("daily max loss",$BG591)),1,0)</f>
        <v>0</v>
      </c>
    </row>
    <row r="592" ht="18" customHeight="1">
      <c r="A592" s="38" t="n"/>
      <c r="B592" s="39" t="n"/>
      <c r="C592" s="40" t="n"/>
      <c r="D592" s="41" t="n"/>
      <c r="E592" s="41" t="n"/>
      <c r="F592" s="41" t="n"/>
      <c r="G592" s="41" t="n"/>
      <c r="H592" s="42" t="n"/>
      <c r="I592" s="42" t="n"/>
      <c r="J592" s="42" t="n"/>
      <c r="K592" s="42" t="n"/>
      <c r="L592" s="41" t="n"/>
      <c r="M592" s="41" t="n"/>
      <c r="N592" s="41" t="n"/>
      <c r="O592" s="43" t="n"/>
      <c r="P592" s="43" t="n"/>
      <c r="Q592" s="44" t="str">
        <f>IF($AM592=0,"",IF(ISNUMBER($AK592),$AK592-N($AL592),""))</f>
        <v/>
      </c>
      <c r="R592" s="45" t="str">
        <f>IF(OR($Q592="",NOT(ISNUMBER($V592))),"",$AK592/$V592)</f>
        <v/>
      </c>
      <c r="S592" s="46" t="str">
        <f>IF($Q592="","",IF(AND(ISNUMBER($R592),ABS(N($R592))&lt;N(Settings!$C$8)),"Scratch",IF($Q592&gt;0,"Win",IF($Q592&lt;0,"Loss","Scratch"))))</f>
        <v/>
      </c>
      <c r="T592" s="47" t="str">
        <f>IF(OR($AM592=0,NOT(ISNUMBER($H592)),NOT(ISNUMBER($I592)),NOT(ISNUMBER($J592))),"",IF($H592=$I592,"",ROUND(ABS($J592-$H592)/ABS($H592-$I592),6)))</f>
        <v/>
      </c>
      <c r="U592" s="48" t="str">
        <f>IF(OR($S592&lt;&gt;"Win",NOT(ISNUMBER($T592)),NOT(ISNUMBER($R592))),"",MAX(0,$T592-$R592))</f>
        <v/>
      </c>
      <c r="V592" s="49" t="str">
        <f>IF(OR($AM592=0,NOT(ISNUMBER($H592)),NOT(ISNUMBER($I592)),NOT(ISNUMBER($G592))),"",IF(OR($AG592="",$AH592=""),"",IF(ROUND(ABS($H592-$I592)*ABS($G592)*$AG592*$AH592,6)=0,"",ROUND(ABS($H592-$I592)*ABS($G592)*$AG592*$AH592,6))))</f>
        <v/>
      </c>
      <c r="W592" s="50" t="str">
        <f>IF($AM592=0,"",IF($BG592="","OK",LEFT($BG592,LEN($BG592)-2)))</f>
        <v/>
      </c>
      <c r="X592" s="41" t="n"/>
      <c r="Y592" s="40" t="n"/>
      <c r="Z592" s="41" t="n"/>
      <c r="AA592" s="41" t="n"/>
      <c r="AB592" s="40" t="n"/>
      <c r="AC592" s="51" t="n"/>
      <c r="AD592" s="51" t="n"/>
      <c r="AE592" s="40" t="n"/>
      <c r="AF592" s="52" t="str">
        <f>IF($AM592=0,"",IF($D592&lt;&gt;"",$D592,IF(IFERROR(INDEX(Accounts!$C$7:$C$16,MATCH($C592,Accounts!$B$7:$B$16,0))&amp;"","")&lt;&gt;"",INDEX(Accounts!$C$7:$C$16,MATCH($C592,Accounts!$B$7:$B$16,0)),Settings!$C$6)))</f>
        <v/>
      </c>
      <c r="AG592" s="53" t="str">
        <f>IF($AM592=0,"",IF(AND($BE592&gt;0,N(INDEX(Instruments!$D$6:$D$205,MAX(1,$BE592)))&gt;0),INDEX(Instruments!$D$6:$D$205,MAX(1,$BE592)),IF(N(INDEX(Settings!$D$14:$D$18,$BF592))&gt;0,INDEX(Settings!$D$14:$D$18,$BF592),"")))</f>
        <v/>
      </c>
      <c r="AH592" s="54" t="str">
        <f>IF($AM592=0,"",IF($AF592&lt;&gt;"Forex",1,IF(MID(UPPER(SUBSTITUTE(TRIM($E592),"/","")),4,3)=UPPER(TRIM(Settings!$C$7)),1,IF(LEFT(UPPER(SUBSTITUTE(TRIM($E592),"/","")),3)=UPPER(TRIM(Settings!$C$7)),IF(AND(ISNUMBER($K592),N($K592)&lt;&gt;0),1/$K592,""),""))))</f>
        <v/>
      </c>
      <c r="AI592" s="55" t="str">
        <f>IF($AM592=0,"",IF(OR(NOT(ISNUMBER($H592)),NOT(ISNUMBER($K592)),NOT(ISNUMBER($G592)),$AG592="",$AH592=""),"",ROUND(($K592-$H592)*IF($F592="Short",-1,1)*$G592*$AG592*$AH592,6)))</f>
        <v/>
      </c>
      <c r="AJ592" s="55" t="str">
        <f>IF($AM592=0,"",IF(INDEX(Settings!$E$14:$E$18,$BF592)="% of notional",IF(OR($AG592="",NOT(ISNUMBER($H592)),NOT(ISNUMBER($G592))),"",ROUND(ABS($H592*$G592*$AG592*N($AH592))*IF($L592="Limit",N(INDEX(Settings!$G$14:$G$18,$BF592)),N(INDEX(Settings!$H$14:$H$18,$BF592)))+IF(ISNUMBER($K592),ABS($K592*$G592*$AG592*N($AH592))*IF($M592="Target",N(INDEX(Settings!$G$14:$G$18,$BF592)),N(INDEX(Settings!$H$14:$H$18,$BF592))),0),6)),IF(NOT(ISNUMBER($G592)),"",ROUND(ABS($G592)*2*IF(AND($BE592&gt;0,ISNUMBER(INDEX(Instruments!$G$6:$G$205,MAX(1,$BE592)))),INDEX(Instruments!$G$6:$G$205,MAX(1,$BE592)),N(INDEX(Settings!$F$14:$F$18,$BF592))),6))))</f>
        <v/>
      </c>
      <c r="AK592" s="55" t="str">
        <f>IF($AM592=0,"",IF(ISNUMBER($O592),$O592,$AI592))</f>
        <v/>
      </c>
      <c r="AL592" s="55" t="str">
        <f>IF($AM592=0,"",IF(ISNUMBER($P592),$P592,N($AJ592)))</f>
        <v/>
      </c>
      <c r="AM592" s="56">
        <f>IF(AND($A592&lt;&gt;"",$E592&lt;&gt;"",OR(AND(ISNUMBER($G592),ISNUMBER($H592),ISNUMBER($K592)),ISNUMBER($O592))),1,0)</f>
        <v>0</v>
      </c>
      <c r="AN592" s="57" t="str">
        <f>IF($A592="","",$A592-WEEKDAY($A592,3))</f>
        <v/>
      </c>
      <c r="AO592" s="56" t="str">
        <f>IF($A592="","",WEEKDAY($A592,2))</f>
        <v/>
      </c>
      <c r="AP592" s="55" t="str">
        <f>IF(OR($AM592=0,$C592=""),"",IFERROR(N(INDEX(Accounts!$E$7:$E$16,MATCH($C592,Accounts!$B$7:$B$16,0))),0)+SUMIFS($Q$6:$Q592,$C$6:$C592,$C592))</f>
        <v/>
      </c>
      <c r="AQ592" s="55" t="str">
        <f>IF(OR($AM592=0,$C592=""),"",SUMIFS($Q$6:$Q$1005,$C$6:$C$1005,$C592,$A$6:$A$1005,$A592))</f>
        <v/>
      </c>
      <c r="AR592" s="55" t="str">
        <f>IF(OR($AM592=0,$C592=""),"",IFERROR(N(INDEX(Accounts!$E$7:$E$16,MATCH($C592,Accounts!$B$7:$B$16,0))),0)+SUMIFS($Q$6:$Q$1005,$C$6:$C$1005,$C592,$A$6:$A$1005,"&lt;="&amp;$A592))</f>
        <v/>
      </c>
      <c r="AS592" s="56">
        <f>IF(OR($AM592=0,$Q592=""),0,IF(AND($A592&gt;=Lists!$W$6,$A592&lt;=Lists!$W$7,OR(Dashboard!$D$6="All accounts",$C592=Dashboard!$D$6),OR(Dashboard!$D$7="All markets",$AF592=Dashboard!$D$7)),1,0))</f>
        <v>0</v>
      </c>
      <c r="AT592" s="55">
        <f>IF($AS592=1,N(AT591)+$Q592,N(AT591))</f>
        <v>1187.10688</v>
      </c>
      <c r="AU592" s="55">
        <f>MAX(N(AU591),$AT592)</f>
        <v>1187.10688</v>
      </c>
      <c r="AV592" s="55">
        <f>$AT592-$AU592</f>
        <v>0</v>
      </c>
      <c r="AW592" s="56">
        <f>IF($AS592=1,IF($S592="Win",N(AW591)+1,IF($S592="Loss",0,N(AW591))),N(AW591))</f>
        <v>5</v>
      </c>
      <c r="AX592" s="56">
        <f>IF($AS592=1,IF($S592="Loss",N(AX591)+1,IF($S592="Win",0,N(AX591))),N(AX591))</f>
        <v>0</v>
      </c>
      <c r="AY592" s="56" t="str">
        <f>IF($AS592=1,COUNTIF($AS$6:$AS592,1),"")</f>
        <v/>
      </c>
      <c r="AZ592" s="56">
        <f>MIN(586,N(Lists!$W$8))</f>
        <v>28</v>
      </c>
      <c r="BA592" s="56">
        <f>IF($AS592=1,IF(COUNTIFS($A$6:$A592,$A592,$AS$6:$AS592,1)=1,1,0),0)</f>
        <v>0</v>
      </c>
      <c r="BB592" s="55" t="str">
        <f>IF($BA592=1,SUMIFS($Q$6:$Q$1005,$A$6:$A$1005,$A592,$AS$6:$AS$1005,1),"")</f>
        <v/>
      </c>
      <c r="BC592" s="56">
        <f>IF(ISNUMBER($R592),1,0)</f>
        <v>0</v>
      </c>
      <c r="BD592" s="55" t="str">
        <f>IF(ISNUMBER($U592),$U592*$V592,"")</f>
        <v/>
      </c>
      <c r="BE592" s="56" t="str">
        <f>IF($AM592=0,"",IFERROR(MATCH($AF592&amp;"|"&amp;UPPER(TRIM($E592)),Lists!$A$6:$A$205,0),0))</f>
        <v/>
      </c>
      <c r="BF592" s="56" t="str">
        <f>IF($AM592=0,"",IFERROR(MATCH($AF592,Settings!$B$14:$B$18,0),IFERROR(MATCH(Settings!$C$6,Settings!$B$14:$B$18,0),1)))</f>
        <v/>
      </c>
      <c r="BG592" s="58" t="str">
        <f>IF($AM592=0,"",IF(NOT(ISNUMBER($I592)),"No stop; ","")&amp;IF(AND(ISNUMBER($H592),ISNUMBER($I592)),IF(OR(AND($F592&lt;&gt;"Short",$I592&gt;=$H592),AND($F592="Short",$I592&lt;=$H592)),"Stop on wrong side; ",""),"")&amp;IF($F592="","No direction; ","")&amp;IF(AND(ISNUMBER(Settings!$C$22),ISNUMBER($V592)),IF($V592&gt;Settings!$C$22,"Risk over max $; ",""),"")&amp;IF(AND(ISNUMBER(Settings!$C$23),ISNUMBER($V592),ISNUMBER($AP592),IFERROR(N(INDEX(Accounts!$E$7:$E$16,MATCH($C592,Accounts!$B$7:$B$16,0))),0)&gt;0),IF($V592&gt;Settings!$C$23*($AP592-N($Q592)),"Risk over max %; ",""),"")&amp;IF(AND(ISNUMBER(Settings!$C$24),ISNUMBER($N592)),IF($N592&gt;Settings!$C$24,"Leverage over max; ",""),"")&amp;IF(AND(ISNUMBER(Settings!$C$27),ISNUMBER($T592)),IF($T592&lt;Settings!$C$27,"R:R below min; ",""),"")&amp;IF(ISNUMBER(Settings!$C$25),IF(COUNTIFS($A$6:$A592,$A592,$AM$6:$AM592,1)&gt;Settings!$C$25,"Over max trades/day; ",""),"")&amp;IF(ISNUMBER(Settings!$C$26),IF(SUMIFS($Q$5:$Q591,$A$5:$A591,$A592)&lt;=-Settings!$C$26,"Traded after daily max loss; ",""),"")&amp;IF(AND($AG592="",NOT(ISNUMBER($O592))),"Symbol not in Instruments; ","")&amp;IF(AND($AH592="",NOT(ISNUMBER($O592))),"Forex cross: type Gross P&amp;L; ",""))</f>
        <v/>
      </c>
      <c r="BH592" s="56">
        <f>IF(ISNUMBER($Q592),1,0)</f>
        <v>0</v>
      </c>
      <c r="BI592" s="56">
        <f>IF($Y592="",0,1)</f>
        <v>0</v>
      </c>
      <c r="BJ592" s="56">
        <f>IF($AB592="",0,1)</f>
        <v>0</v>
      </c>
      <c r="BK592" s="56">
        <f>IF(AND($BH592=1,$W592&lt;&gt;"OK"),1,0)</f>
        <v>0</v>
      </c>
      <c r="BL592" s="55">
        <f>IF(N($AZ592)=0,0,IFERROR(INDEX($AT$6:$AT$1005,MATCH($AZ592,$AY$6:$AY$1005,0)),0))</f>
        <v>1187.10688</v>
      </c>
      <c r="BM592" s="56">
        <f>IF(ISNUMBER(SEARCH("daily max loss",$BG592)),1,0)</f>
        <v>0</v>
      </c>
    </row>
    <row r="593" ht="18" customHeight="1">
      <c r="A593" s="38" t="n"/>
      <c r="B593" s="39" t="n"/>
      <c r="C593" s="40" t="n"/>
      <c r="D593" s="41" t="n"/>
      <c r="E593" s="41" t="n"/>
      <c r="F593" s="41" t="n"/>
      <c r="G593" s="41" t="n"/>
      <c r="H593" s="42" t="n"/>
      <c r="I593" s="42" t="n"/>
      <c r="J593" s="42" t="n"/>
      <c r="K593" s="42" t="n"/>
      <c r="L593" s="41" t="n"/>
      <c r="M593" s="41" t="n"/>
      <c r="N593" s="41" t="n"/>
      <c r="O593" s="43" t="n"/>
      <c r="P593" s="43" t="n"/>
      <c r="Q593" s="44" t="str">
        <f>IF($AM593=0,"",IF(ISNUMBER($AK593),$AK593-N($AL593),""))</f>
        <v/>
      </c>
      <c r="R593" s="45" t="str">
        <f>IF(OR($Q593="",NOT(ISNUMBER($V593))),"",$AK593/$V593)</f>
        <v/>
      </c>
      <c r="S593" s="46" t="str">
        <f>IF($Q593="","",IF(AND(ISNUMBER($R593),ABS(N($R593))&lt;N(Settings!$C$8)),"Scratch",IF($Q593&gt;0,"Win",IF($Q593&lt;0,"Loss","Scratch"))))</f>
        <v/>
      </c>
      <c r="T593" s="47" t="str">
        <f>IF(OR($AM593=0,NOT(ISNUMBER($H593)),NOT(ISNUMBER($I593)),NOT(ISNUMBER($J593))),"",IF($H593=$I593,"",ROUND(ABS($J593-$H593)/ABS($H593-$I593),6)))</f>
        <v/>
      </c>
      <c r="U593" s="48" t="str">
        <f>IF(OR($S593&lt;&gt;"Win",NOT(ISNUMBER($T593)),NOT(ISNUMBER($R593))),"",MAX(0,$T593-$R593))</f>
        <v/>
      </c>
      <c r="V593" s="49" t="str">
        <f>IF(OR($AM593=0,NOT(ISNUMBER($H593)),NOT(ISNUMBER($I593)),NOT(ISNUMBER($G593))),"",IF(OR($AG593="",$AH593=""),"",IF(ROUND(ABS($H593-$I593)*ABS($G593)*$AG593*$AH593,6)=0,"",ROUND(ABS($H593-$I593)*ABS($G593)*$AG593*$AH593,6))))</f>
        <v/>
      </c>
      <c r="W593" s="50" t="str">
        <f>IF($AM593=0,"",IF($BG593="","OK",LEFT($BG593,LEN($BG593)-2)))</f>
        <v/>
      </c>
      <c r="X593" s="41" t="n"/>
      <c r="Y593" s="40" t="n"/>
      <c r="Z593" s="41" t="n"/>
      <c r="AA593" s="41" t="n"/>
      <c r="AB593" s="40" t="n"/>
      <c r="AC593" s="51" t="n"/>
      <c r="AD593" s="51" t="n"/>
      <c r="AE593" s="40" t="n"/>
      <c r="AF593" s="52" t="str">
        <f>IF($AM593=0,"",IF($D593&lt;&gt;"",$D593,IF(IFERROR(INDEX(Accounts!$C$7:$C$16,MATCH($C593,Accounts!$B$7:$B$16,0))&amp;"","")&lt;&gt;"",INDEX(Accounts!$C$7:$C$16,MATCH($C593,Accounts!$B$7:$B$16,0)),Settings!$C$6)))</f>
        <v/>
      </c>
      <c r="AG593" s="53" t="str">
        <f>IF($AM593=0,"",IF(AND($BE593&gt;0,N(INDEX(Instruments!$D$6:$D$205,MAX(1,$BE593)))&gt;0),INDEX(Instruments!$D$6:$D$205,MAX(1,$BE593)),IF(N(INDEX(Settings!$D$14:$D$18,$BF593))&gt;0,INDEX(Settings!$D$14:$D$18,$BF593),"")))</f>
        <v/>
      </c>
      <c r="AH593" s="54" t="str">
        <f>IF($AM593=0,"",IF($AF593&lt;&gt;"Forex",1,IF(MID(UPPER(SUBSTITUTE(TRIM($E593),"/","")),4,3)=UPPER(TRIM(Settings!$C$7)),1,IF(LEFT(UPPER(SUBSTITUTE(TRIM($E593),"/","")),3)=UPPER(TRIM(Settings!$C$7)),IF(AND(ISNUMBER($K593),N($K593)&lt;&gt;0),1/$K593,""),""))))</f>
        <v/>
      </c>
      <c r="AI593" s="55" t="str">
        <f>IF($AM593=0,"",IF(OR(NOT(ISNUMBER($H593)),NOT(ISNUMBER($K593)),NOT(ISNUMBER($G593)),$AG593="",$AH593=""),"",ROUND(($K593-$H593)*IF($F593="Short",-1,1)*$G593*$AG593*$AH593,6)))</f>
        <v/>
      </c>
      <c r="AJ593" s="55" t="str">
        <f>IF($AM593=0,"",IF(INDEX(Settings!$E$14:$E$18,$BF593)="% of notional",IF(OR($AG593="",NOT(ISNUMBER($H593)),NOT(ISNUMBER($G593))),"",ROUND(ABS($H593*$G593*$AG593*N($AH593))*IF($L593="Limit",N(INDEX(Settings!$G$14:$G$18,$BF593)),N(INDEX(Settings!$H$14:$H$18,$BF593)))+IF(ISNUMBER($K593),ABS($K593*$G593*$AG593*N($AH593))*IF($M593="Target",N(INDEX(Settings!$G$14:$G$18,$BF593)),N(INDEX(Settings!$H$14:$H$18,$BF593))),0),6)),IF(NOT(ISNUMBER($G593)),"",ROUND(ABS($G593)*2*IF(AND($BE593&gt;0,ISNUMBER(INDEX(Instruments!$G$6:$G$205,MAX(1,$BE593)))),INDEX(Instruments!$G$6:$G$205,MAX(1,$BE593)),N(INDEX(Settings!$F$14:$F$18,$BF593))),6))))</f>
        <v/>
      </c>
      <c r="AK593" s="55" t="str">
        <f>IF($AM593=0,"",IF(ISNUMBER($O593),$O593,$AI593))</f>
        <v/>
      </c>
      <c r="AL593" s="55" t="str">
        <f>IF($AM593=0,"",IF(ISNUMBER($P593),$P593,N($AJ593)))</f>
        <v/>
      </c>
      <c r="AM593" s="56">
        <f>IF(AND($A593&lt;&gt;"",$E593&lt;&gt;"",OR(AND(ISNUMBER($G593),ISNUMBER($H593),ISNUMBER($K593)),ISNUMBER($O593))),1,0)</f>
        <v>0</v>
      </c>
      <c r="AN593" s="57" t="str">
        <f>IF($A593="","",$A593-WEEKDAY($A593,3))</f>
        <v/>
      </c>
      <c r="AO593" s="56" t="str">
        <f>IF($A593="","",WEEKDAY($A593,2))</f>
        <v/>
      </c>
      <c r="AP593" s="55" t="str">
        <f>IF(OR($AM593=0,$C593=""),"",IFERROR(N(INDEX(Accounts!$E$7:$E$16,MATCH($C593,Accounts!$B$7:$B$16,0))),0)+SUMIFS($Q$6:$Q593,$C$6:$C593,$C593))</f>
        <v/>
      </c>
      <c r="AQ593" s="55" t="str">
        <f>IF(OR($AM593=0,$C593=""),"",SUMIFS($Q$6:$Q$1005,$C$6:$C$1005,$C593,$A$6:$A$1005,$A593))</f>
        <v/>
      </c>
      <c r="AR593" s="55" t="str">
        <f>IF(OR($AM593=0,$C593=""),"",IFERROR(N(INDEX(Accounts!$E$7:$E$16,MATCH($C593,Accounts!$B$7:$B$16,0))),0)+SUMIFS($Q$6:$Q$1005,$C$6:$C$1005,$C593,$A$6:$A$1005,"&lt;="&amp;$A593))</f>
        <v/>
      </c>
      <c r="AS593" s="56">
        <f>IF(OR($AM593=0,$Q593=""),0,IF(AND($A593&gt;=Lists!$W$6,$A593&lt;=Lists!$W$7,OR(Dashboard!$D$6="All accounts",$C593=Dashboard!$D$6),OR(Dashboard!$D$7="All markets",$AF593=Dashboard!$D$7)),1,0))</f>
        <v>0</v>
      </c>
      <c r="AT593" s="55">
        <f>IF($AS593=1,N(AT592)+$Q593,N(AT592))</f>
        <v>1187.10688</v>
      </c>
      <c r="AU593" s="55">
        <f>MAX(N(AU592),$AT593)</f>
        <v>1187.10688</v>
      </c>
      <c r="AV593" s="55">
        <f>$AT593-$AU593</f>
        <v>0</v>
      </c>
      <c r="AW593" s="56">
        <f>IF($AS593=1,IF($S593="Win",N(AW592)+1,IF($S593="Loss",0,N(AW592))),N(AW592))</f>
        <v>5</v>
      </c>
      <c r="AX593" s="56">
        <f>IF($AS593=1,IF($S593="Loss",N(AX592)+1,IF($S593="Win",0,N(AX592))),N(AX592))</f>
        <v>0</v>
      </c>
      <c r="AY593" s="56" t="str">
        <f>IF($AS593=1,COUNTIF($AS$6:$AS593,1),"")</f>
        <v/>
      </c>
      <c r="AZ593" s="56">
        <f>MIN(587,N(Lists!$W$8))</f>
        <v>28</v>
      </c>
      <c r="BA593" s="56">
        <f>IF($AS593=1,IF(COUNTIFS($A$6:$A593,$A593,$AS$6:$AS593,1)=1,1,0),0)</f>
        <v>0</v>
      </c>
      <c r="BB593" s="55" t="str">
        <f>IF($BA593=1,SUMIFS($Q$6:$Q$1005,$A$6:$A$1005,$A593,$AS$6:$AS$1005,1),"")</f>
        <v/>
      </c>
      <c r="BC593" s="56">
        <f>IF(ISNUMBER($R593),1,0)</f>
        <v>0</v>
      </c>
      <c r="BD593" s="55" t="str">
        <f>IF(ISNUMBER($U593),$U593*$V593,"")</f>
        <v/>
      </c>
      <c r="BE593" s="56" t="str">
        <f>IF($AM593=0,"",IFERROR(MATCH($AF593&amp;"|"&amp;UPPER(TRIM($E593)),Lists!$A$6:$A$205,0),0))</f>
        <v/>
      </c>
      <c r="BF593" s="56" t="str">
        <f>IF($AM593=0,"",IFERROR(MATCH($AF593,Settings!$B$14:$B$18,0),IFERROR(MATCH(Settings!$C$6,Settings!$B$14:$B$18,0),1)))</f>
        <v/>
      </c>
      <c r="BG593" s="58" t="str">
        <f>IF($AM593=0,"",IF(NOT(ISNUMBER($I593)),"No stop; ","")&amp;IF(AND(ISNUMBER($H593),ISNUMBER($I593)),IF(OR(AND($F593&lt;&gt;"Short",$I593&gt;=$H593),AND($F593="Short",$I593&lt;=$H593)),"Stop on wrong side; ",""),"")&amp;IF($F593="","No direction; ","")&amp;IF(AND(ISNUMBER(Settings!$C$22),ISNUMBER($V593)),IF($V593&gt;Settings!$C$22,"Risk over max $; ",""),"")&amp;IF(AND(ISNUMBER(Settings!$C$23),ISNUMBER($V593),ISNUMBER($AP593),IFERROR(N(INDEX(Accounts!$E$7:$E$16,MATCH($C593,Accounts!$B$7:$B$16,0))),0)&gt;0),IF($V593&gt;Settings!$C$23*($AP593-N($Q593)),"Risk over max %; ",""),"")&amp;IF(AND(ISNUMBER(Settings!$C$24),ISNUMBER($N593)),IF($N593&gt;Settings!$C$24,"Leverage over max; ",""),"")&amp;IF(AND(ISNUMBER(Settings!$C$27),ISNUMBER($T593)),IF($T593&lt;Settings!$C$27,"R:R below min; ",""),"")&amp;IF(ISNUMBER(Settings!$C$25),IF(COUNTIFS($A$6:$A593,$A593,$AM$6:$AM593,1)&gt;Settings!$C$25,"Over max trades/day; ",""),"")&amp;IF(ISNUMBER(Settings!$C$26),IF(SUMIFS($Q$5:$Q592,$A$5:$A592,$A593)&lt;=-Settings!$C$26,"Traded after daily max loss; ",""),"")&amp;IF(AND($AG593="",NOT(ISNUMBER($O593))),"Symbol not in Instruments; ","")&amp;IF(AND($AH593="",NOT(ISNUMBER($O593))),"Forex cross: type Gross P&amp;L; ",""))</f>
        <v/>
      </c>
      <c r="BH593" s="56">
        <f>IF(ISNUMBER($Q593),1,0)</f>
        <v>0</v>
      </c>
      <c r="BI593" s="56">
        <f>IF($Y593="",0,1)</f>
        <v>0</v>
      </c>
      <c r="BJ593" s="56">
        <f>IF($AB593="",0,1)</f>
        <v>0</v>
      </c>
      <c r="BK593" s="56">
        <f>IF(AND($BH593=1,$W593&lt;&gt;"OK"),1,0)</f>
        <v>0</v>
      </c>
      <c r="BL593" s="55">
        <f>IF(N($AZ593)=0,0,IFERROR(INDEX($AT$6:$AT$1005,MATCH($AZ593,$AY$6:$AY$1005,0)),0))</f>
        <v>1187.10688</v>
      </c>
      <c r="BM593" s="56">
        <f>IF(ISNUMBER(SEARCH("daily max loss",$BG593)),1,0)</f>
        <v>0</v>
      </c>
    </row>
    <row r="594" ht="18" customHeight="1">
      <c r="A594" s="38" t="n"/>
      <c r="B594" s="39" t="n"/>
      <c r="C594" s="40" t="n"/>
      <c r="D594" s="41" t="n"/>
      <c r="E594" s="41" t="n"/>
      <c r="F594" s="41" t="n"/>
      <c r="G594" s="41" t="n"/>
      <c r="H594" s="42" t="n"/>
      <c r="I594" s="42" t="n"/>
      <c r="J594" s="42" t="n"/>
      <c r="K594" s="42" t="n"/>
      <c r="L594" s="41" t="n"/>
      <c r="M594" s="41" t="n"/>
      <c r="N594" s="41" t="n"/>
      <c r="O594" s="43" t="n"/>
      <c r="P594" s="43" t="n"/>
      <c r="Q594" s="44" t="str">
        <f>IF($AM594=0,"",IF(ISNUMBER($AK594),$AK594-N($AL594),""))</f>
        <v/>
      </c>
      <c r="R594" s="45" t="str">
        <f>IF(OR($Q594="",NOT(ISNUMBER($V594))),"",$AK594/$V594)</f>
        <v/>
      </c>
      <c r="S594" s="46" t="str">
        <f>IF($Q594="","",IF(AND(ISNUMBER($R594),ABS(N($R594))&lt;N(Settings!$C$8)),"Scratch",IF($Q594&gt;0,"Win",IF($Q594&lt;0,"Loss","Scratch"))))</f>
        <v/>
      </c>
      <c r="T594" s="47" t="str">
        <f>IF(OR($AM594=0,NOT(ISNUMBER($H594)),NOT(ISNUMBER($I594)),NOT(ISNUMBER($J594))),"",IF($H594=$I594,"",ROUND(ABS($J594-$H594)/ABS($H594-$I594),6)))</f>
        <v/>
      </c>
      <c r="U594" s="48" t="str">
        <f>IF(OR($S594&lt;&gt;"Win",NOT(ISNUMBER($T594)),NOT(ISNUMBER($R594))),"",MAX(0,$T594-$R594))</f>
        <v/>
      </c>
      <c r="V594" s="49" t="str">
        <f>IF(OR($AM594=0,NOT(ISNUMBER($H594)),NOT(ISNUMBER($I594)),NOT(ISNUMBER($G594))),"",IF(OR($AG594="",$AH594=""),"",IF(ROUND(ABS($H594-$I594)*ABS($G594)*$AG594*$AH594,6)=0,"",ROUND(ABS($H594-$I594)*ABS($G594)*$AG594*$AH594,6))))</f>
        <v/>
      </c>
      <c r="W594" s="50" t="str">
        <f>IF($AM594=0,"",IF($BG594="","OK",LEFT($BG594,LEN($BG594)-2)))</f>
        <v/>
      </c>
      <c r="X594" s="41" t="n"/>
      <c r="Y594" s="40" t="n"/>
      <c r="Z594" s="41" t="n"/>
      <c r="AA594" s="41" t="n"/>
      <c r="AB594" s="40" t="n"/>
      <c r="AC594" s="51" t="n"/>
      <c r="AD594" s="51" t="n"/>
      <c r="AE594" s="40" t="n"/>
      <c r="AF594" s="52" t="str">
        <f>IF($AM594=0,"",IF($D594&lt;&gt;"",$D594,IF(IFERROR(INDEX(Accounts!$C$7:$C$16,MATCH($C594,Accounts!$B$7:$B$16,0))&amp;"","")&lt;&gt;"",INDEX(Accounts!$C$7:$C$16,MATCH($C594,Accounts!$B$7:$B$16,0)),Settings!$C$6)))</f>
        <v/>
      </c>
      <c r="AG594" s="53" t="str">
        <f>IF($AM594=0,"",IF(AND($BE594&gt;0,N(INDEX(Instruments!$D$6:$D$205,MAX(1,$BE594)))&gt;0),INDEX(Instruments!$D$6:$D$205,MAX(1,$BE594)),IF(N(INDEX(Settings!$D$14:$D$18,$BF594))&gt;0,INDEX(Settings!$D$14:$D$18,$BF594),"")))</f>
        <v/>
      </c>
      <c r="AH594" s="54" t="str">
        <f>IF($AM594=0,"",IF($AF594&lt;&gt;"Forex",1,IF(MID(UPPER(SUBSTITUTE(TRIM($E594),"/","")),4,3)=UPPER(TRIM(Settings!$C$7)),1,IF(LEFT(UPPER(SUBSTITUTE(TRIM($E594),"/","")),3)=UPPER(TRIM(Settings!$C$7)),IF(AND(ISNUMBER($K594),N($K594)&lt;&gt;0),1/$K594,""),""))))</f>
        <v/>
      </c>
      <c r="AI594" s="55" t="str">
        <f>IF($AM594=0,"",IF(OR(NOT(ISNUMBER($H594)),NOT(ISNUMBER($K594)),NOT(ISNUMBER($G594)),$AG594="",$AH594=""),"",ROUND(($K594-$H594)*IF($F594="Short",-1,1)*$G594*$AG594*$AH594,6)))</f>
        <v/>
      </c>
      <c r="AJ594" s="55" t="str">
        <f>IF($AM594=0,"",IF(INDEX(Settings!$E$14:$E$18,$BF594)="% of notional",IF(OR($AG594="",NOT(ISNUMBER($H594)),NOT(ISNUMBER($G594))),"",ROUND(ABS($H594*$G594*$AG594*N($AH594))*IF($L594="Limit",N(INDEX(Settings!$G$14:$G$18,$BF594)),N(INDEX(Settings!$H$14:$H$18,$BF594)))+IF(ISNUMBER($K594),ABS($K594*$G594*$AG594*N($AH594))*IF($M594="Target",N(INDEX(Settings!$G$14:$G$18,$BF594)),N(INDEX(Settings!$H$14:$H$18,$BF594))),0),6)),IF(NOT(ISNUMBER($G594)),"",ROUND(ABS($G594)*2*IF(AND($BE594&gt;0,ISNUMBER(INDEX(Instruments!$G$6:$G$205,MAX(1,$BE594)))),INDEX(Instruments!$G$6:$G$205,MAX(1,$BE594)),N(INDEX(Settings!$F$14:$F$18,$BF594))),6))))</f>
        <v/>
      </c>
      <c r="AK594" s="55" t="str">
        <f>IF($AM594=0,"",IF(ISNUMBER($O594),$O594,$AI594))</f>
        <v/>
      </c>
      <c r="AL594" s="55" t="str">
        <f>IF($AM594=0,"",IF(ISNUMBER($P594),$P594,N($AJ594)))</f>
        <v/>
      </c>
      <c r="AM594" s="56">
        <f>IF(AND($A594&lt;&gt;"",$E594&lt;&gt;"",OR(AND(ISNUMBER($G594),ISNUMBER($H594),ISNUMBER($K594)),ISNUMBER($O594))),1,0)</f>
        <v>0</v>
      </c>
      <c r="AN594" s="57" t="str">
        <f>IF($A594="","",$A594-WEEKDAY($A594,3))</f>
        <v/>
      </c>
      <c r="AO594" s="56" t="str">
        <f>IF($A594="","",WEEKDAY($A594,2))</f>
        <v/>
      </c>
      <c r="AP594" s="55" t="str">
        <f>IF(OR($AM594=0,$C594=""),"",IFERROR(N(INDEX(Accounts!$E$7:$E$16,MATCH($C594,Accounts!$B$7:$B$16,0))),0)+SUMIFS($Q$6:$Q594,$C$6:$C594,$C594))</f>
        <v/>
      </c>
      <c r="AQ594" s="55" t="str">
        <f>IF(OR($AM594=0,$C594=""),"",SUMIFS($Q$6:$Q$1005,$C$6:$C$1005,$C594,$A$6:$A$1005,$A594))</f>
        <v/>
      </c>
      <c r="AR594" s="55" t="str">
        <f>IF(OR($AM594=0,$C594=""),"",IFERROR(N(INDEX(Accounts!$E$7:$E$16,MATCH($C594,Accounts!$B$7:$B$16,0))),0)+SUMIFS($Q$6:$Q$1005,$C$6:$C$1005,$C594,$A$6:$A$1005,"&lt;="&amp;$A594))</f>
        <v/>
      </c>
      <c r="AS594" s="56">
        <f>IF(OR($AM594=0,$Q594=""),0,IF(AND($A594&gt;=Lists!$W$6,$A594&lt;=Lists!$W$7,OR(Dashboard!$D$6="All accounts",$C594=Dashboard!$D$6),OR(Dashboard!$D$7="All markets",$AF594=Dashboard!$D$7)),1,0))</f>
        <v>0</v>
      </c>
      <c r="AT594" s="55">
        <f>IF($AS594=1,N(AT593)+$Q594,N(AT593))</f>
        <v>1187.10688</v>
      </c>
      <c r="AU594" s="55">
        <f>MAX(N(AU593),$AT594)</f>
        <v>1187.10688</v>
      </c>
      <c r="AV594" s="55">
        <f>$AT594-$AU594</f>
        <v>0</v>
      </c>
      <c r="AW594" s="56">
        <f>IF($AS594=1,IF($S594="Win",N(AW593)+1,IF($S594="Loss",0,N(AW593))),N(AW593))</f>
        <v>5</v>
      </c>
      <c r="AX594" s="56">
        <f>IF($AS594=1,IF($S594="Loss",N(AX593)+1,IF($S594="Win",0,N(AX593))),N(AX593))</f>
        <v>0</v>
      </c>
      <c r="AY594" s="56" t="str">
        <f>IF($AS594=1,COUNTIF($AS$6:$AS594,1),"")</f>
        <v/>
      </c>
      <c r="AZ594" s="56">
        <f>MIN(588,N(Lists!$W$8))</f>
        <v>28</v>
      </c>
      <c r="BA594" s="56">
        <f>IF($AS594=1,IF(COUNTIFS($A$6:$A594,$A594,$AS$6:$AS594,1)=1,1,0),0)</f>
        <v>0</v>
      </c>
      <c r="BB594" s="55" t="str">
        <f>IF($BA594=1,SUMIFS($Q$6:$Q$1005,$A$6:$A$1005,$A594,$AS$6:$AS$1005,1),"")</f>
        <v/>
      </c>
      <c r="BC594" s="56">
        <f>IF(ISNUMBER($R594),1,0)</f>
        <v>0</v>
      </c>
      <c r="BD594" s="55" t="str">
        <f>IF(ISNUMBER($U594),$U594*$V594,"")</f>
        <v/>
      </c>
      <c r="BE594" s="56" t="str">
        <f>IF($AM594=0,"",IFERROR(MATCH($AF594&amp;"|"&amp;UPPER(TRIM($E594)),Lists!$A$6:$A$205,0),0))</f>
        <v/>
      </c>
      <c r="BF594" s="56" t="str">
        <f>IF($AM594=0,"",IFERROR(MATCH($AF594,Settings!$B$14:$B$18,0),IFERROR(MATCH(Settings!$C$6,Settings!$B$14:$B$18,0),1)))</f>
        <v/>
      </c>
      <c r="BG594" s="58" t="str">
        <f>IF($AM594=0,"",IF(NOT(ISNUMBER($I594)),"No stop; ","")&amp;IF(AND(ISNUMBER($H594),ISNUMBER($I594)),IF(OR(AND($F594&lt;&gt;"Short",$I594&gt;=$H594),AND($F594="Short",$I594&lt;=$H594)),"Stop on wrong side; ",""),"")&amp;IF($F594="","No direction; ","")&amp;IF(AND(ISNUMBER(Settings!$C$22),ISNUMBER($V594)),IF($V594&gt;Settings!$C$22,"Risk over max $; ",""),"")&amp;IF(AND(ISNUMBER(Settings!$C$23),ISNUMBER($V594),ISNUMBER($AP594),IFERROR(N(INDEX(Accounts!$E$7:$E$16,MATCH($C594,Accounts!$B$7:$B$16,0))),0)&gt;0),IF($V594&gt;Settings!$C$23*($AP594-N($Q594)),"Risk over max %; ",""),"")&amp;IF(AND(ISNUMBER(Settings!$C$24),ISNUMBER($N594)),IF($N594&gt;Settings!$C$24,"Leverage over max; ",""),"")&amp;IF(AND(ISNUMBER(Settings!$C$27),ISNUMBER($T594)),IF($T594&lt;Settings!$C$27,"R:R below min; ",""),"")&amp;IF(ISNUMBER(Settings!$C$25),IF(COUNTIFS($A$6:$A594,$A594,$AM$6:$AM594,1)&gt;Settings!$C$25,"Over max trades/day; ",""),"")&amp;IF(ISNUMBER(Settings!$C$26),IF(SUMIFS($Q$5:$Q593,$A$5:$A593,$A594)&lt;=-Settings!$C$26,"Traded after daily max loss; ",""),"")&amp;IF(AND($AG594="",NOT(ISNUMBER($O594))),"Symbol not in Instruments; ","")&amp;IF(AND($AH594="",NOT(ISNUMBER($O594))),"Forex cross: type Gross P&amp;L; ",""))</f>
        <v/>
      </c>
      <c r="BH594" s="56">
        <f>IF(ISNUMBER($Q594),1,0)</f>
        <v>0</v>
      </c>
      <c r="BI594" s="56">
        <f>IF($Y594="",0,1)</f>
        <v>0</v>
      </c>
      <c r="BJ594" s="56">
        <f>IF($AB594="",0,1)</f>
        <v>0</v>
      </c>
      <c r="BK594" s="56">
        <f>IF(AND($BH594=1,$W594&lt;&gt;"OK"),1,0)</f>
        <v>0</v>
      </c>
      <c r="BL594" s="55">
        <f>IF(N($AZ594)=0,0,IFERROR(INDEX($AT$6:$AT$1005,MATCH($AZ594,$AY$6:$AY$1005,0)),0))</f>
        <v>1187.10688</v>
      </c>
      <c r="BM594" s="56">
        <f>IF(ISNUMBER(SEARCH("daily max loss",$BG594)),1,0)</f>
        <v>0</v>
      </c>
    </row>
    <row r="595" ht="18" customHeight="1">
      <c r="A595" s="38" t="n"/>
      <c r="B595" s="39" t="n"/>
      <c r="C595" s="40" t="n"/>
      <c r="D595" s="41" t="n"/>
      <c r="E595" s="41" t="n"/>
      <c r="F595" s="41" t="n"/>
      <c r="G595" s="41" t="n"/>
      <c r="H595" s="42" t="n"/>
      <c r="I595" s="42" t="n"/>
      <c r="J595" s="42" t="n"/>
      <c r="K595" s="42" t="n"/>
      <c r="L595" s="41" t="n"/>
      <c r="M595" s="41" t="n"/>
      <c r="N595" s="41" t="n"/>
      <c r="O595" s="43" t="n"/>
      <c r="P595" s="43" t="n"/>
      <c r="Q595" s="44" t="str">
        <f>IF($AM595=0,"",IF(ISNUMBER($AK595),$AK595-N($AL595),""))</f>
        <v/>
      </c>
      <c r="R595" s="45" t="str">
        <f>IF(OR($Q595="",NOT(ISNUMBER($V595))),"",$AK595/$V595)</f>
        <v/>
      </c>
      <c r="S595" s="46" t="str">
        <f>IF($Q595="","",IF(AND(ISNUMBER($R595),ABS(N($R595))&lt;N(Settings!$C$8)),"Scratch",IF($Q595&gt;0,"Win",IF($Q595&lt;0,"Loss","Scratch"))))</f>
        <v/>
      </c>
      <c r="T595" s="47" t="str">
        <f>IF(OR($AM595=0,NOT(ISNUMBER($H595)),NOT(ISNUMBER($I595)),NOT(ISNUMBER($J595))),"",IF($H595=$I595,"",ROUND(ABS($J595-$H595)/ABS($H595-$I595),6)))</f>
        <v/>
      </c>
      <c r="U595" s="48" t="str">
        <f>IF(OR($S595&lt;&gt;"Win",NOT(ISNUMBER($T595)),NOT(ISNUMBER($R595))),"",MAX(0,$T595-$R595))</f>
        <v/>
      </c>
      <c r="V595" s="49" t="str">
        <f>IF(OR($AM595=0,NOT(ISNUMBER($H595)),NOT(ISNUMBER($I595)),NOT(ISNUMBER($G595))),"",IF(OR($AG595="",$AH595=""),"",IF(ROUND(ABS($H595-$I595)*ABS($G595)*$AG595*$AH595,6)=0,"",ROUND(ABS($H595-$I595)*ABS($G595)*$AG595*$AH595,6))))</f>
        <v/>
      </c>
      <c r="W595" s="50" t="str">
        <f>IF($AM595=0,"",IF($BG595="","OK",LEFT($BG595,LEN($BG595)-2)))</f>
        <v/>
      </c>
      <c r="X595" s="41" t="n"/>
      <c r="Y595" s="40" t="n"/>
      <c r="Z595" s="41" t="n"/>
      <c r="AA595" s="41" t="n"/>
      <c r="AB595" s="40" t="n"/>
      <c r="AC595" s="51" t="n"/>
      <c r="AD595" s="51" t="n"/>
      <c r="AE595" s="40" t="n"/>
      <c r="AF595" s="52" t="str">
        <f>IF($AM595=0,"",IF($D595&lt;&gt;"",$D595,IF(IFERROR(INDEX(Accounts!$C$7:$C$16,MATCH($C595,Accounts!$B$7:$B$16,0))&amp;"","")&lt;&gt;"",INDEX(Accounts!$C$7:$C$16,MATCH($C595,Accounts!$B$7:$B$16,0)),Settings!$C$6)))</f>
        <v/>
      </c>
      <c r="AG595" s="53" t="str">
        <f>IF($AM595=0,"",IF(AND($BE595&gt;0,N(INDEX(Instruments!$D$6:$D$205,MAX(1,$BE595)))&gt;0),INDEX(Instruments!$D$6:$D$205,MAX(1,$BE595)),IF(N(INDEX(Settings!$D$14:$D$18,$BF595))&gt;0,INDEX(Settings!$D$14:$D$18,$BF595),"")))</f>
        <v/>
      </c>
      <c r="AH595" s="54" t="str">
        <f>IF($AM595=0,"",IF($AF595&lt;&gt;"Forex",1,IF(MID(UPPER(SUBSTITUTE(TRIM($E595),"/","")),4,3)=UPPER(TRIM(Settings!$C$7)),1,IF(LEFT(UPPER(SUBSTITUTE(TRIM($E595),"/","")),3)=UPPER(TRIM(Settings!$C$7)),IF(AND(ISNUMBER($K595),N($K595)&lt;&gt;0),1/$K595,""),""))))</f>
        <v/>
      </c>
      <c r="AI595" s="55" t="str">
        <f>IF($AM595=0,"",IF(OR(NOT(ISNUMBER($H595)),NOT(ISNUMBER($K595)),NOT(ISNUMBER($G595)),$AG595="",$AH595=""),"",ROUND(($K595-$H595)*IF($F595="Short",-1,1)*$G595*$AG595*$AH595,6)))</f>
        <v/>
      </c>
      <c r="AJ595" s="55" t="str">
        <f>IF($AM595=0,"",IF(INDEX(Settings!$E$14:$E$18,$BF595)="% of notional",IF(OR($AG595="",NOT(ISNUMBER($H595)),NOT(ISNUMBER($G595))),"",ROUND(ABS($H595*$G595*$AG595*N($AH595))*IF($L595="Limit",N(INDEX(Settings!$G$14:$G$18,$BF595)),N(INDEX(Settings!$H$14:$H$18,$BF595)))+IF(ISNUMBER($K595),ABS($K595*$G595*$AG595*N($AH595))*IF($M595="Target",N(INDEX(Settings!$G$14:$G$18,$BF595)),N(INDEX(Settings!$H$14:$H$18,$BF595))),0),6)),IF(NOT(ISNUMBER($G595)),"",ROUND(ABS($G595)*2*IF(AND($BE595&gt;0,ISNUMBER(INDEX(Instruments!$G$6:$G$205,MAX(1,$BE595)))),INDEX(Instruments!$G$6:$G$205,MAX(1,$BE595)),N(INDEX(Settings!$F$14:$F$18,$BF595))),6))))</f>
        <v/>
      </c>
      <c r="AK595" s="55" t="str">
        <f>IF($AM595=0,"",IF(ISNUMBER($O595),$O595,$AI595))</f>
        <v/>
      </c>
      <c r="AL595" s="55" t="str">
        <f>IF($AM595=0,"",IF(ISNUMBER($P595),$P595,N($AJ595)))</f>
        <v/>
      </c>
      <c r="AM595" s="56">
        <f>IF(AND($A595&lt;&gt;"",$E595&lt;&gt;"",OR(AND(ISNUMBER($G595),ISNUMBER($H595),ISNUMBER($K595)),ISNUMBER($O595))),1,0)</f>
        <v>0</v>
      </c>
      <c r="AN595" s="57" t="str">
        <f>IF($A595="","",$A595-WEEKDAY($A595,3))</f>
        <v/>
      </c>
      <c r="AO595" s="56" t="str">
        <f>IF($A595="","",WEEKDAY($A595,2))</f>
        <v/>
      </c>
      <c r="AP595" s="55" t="str">
        <f>IF(OR($AM595=0,$C595=""),"",IFERROR(N(INDEX(Accounts!$E$7:$E$16,MATCH($C595,Accounts!$B$7:$B$16,0))),0)+SUMIFS($Q$6:$Q595,$C$6:$C595,$C595))</f>
        <v/>
      </c>
      <c r="AQ595" s="55" t="str">
        <f>IF(OR($AM595=0,$C595=""),"",SUMIFS($Q$6:$Q$1005,$C$6:$C$1005,$C595,$A$6:$A$1005,$A595))</f>
        <v/>
      </c>
      <c r="AR595" s="55" t="str">
        <f>IF(OR($AM595=0,$C595=""),"",IFERROR(N(INDEX(Accounts!$E$7:$E$16,MATCH($C595,Accounts!$B$7:$B$16,0))),0)+SUMIFS($Q$6:$Q$1005,$C$6:$C$1005,$C595,$A$6:$A$1005,"&lt;="&amp;$A595))</f>
        <v/>
      </c>
      <c r="AS595" s="56">
        <f>IF(OR($AM595=0,$Q595=""),0,IF(AND($A595&gt;=Lists!$W$6,$A595&lt;=Lists!$W$7,OR(Dashboard!$D$6="All accounts",$C595=Dashboard!$D$6),OR(Dashboard!$D$7="All markets",$AF595=Dashboard!$D$7)),1,0))</f>
        <v>0</v>
      </c>
      <c r="AT595" s="55">
        <f>IF($AS595=1,N(AT594)+$Q595,N(AT594))</f>
        <v>1187.10688</v>
      </c>
      <c r="AU595" s="55">
        <f>MAX(N(AU594),$AT595)</f>
        <v>1187.10688</v>
      </c>
      <c r="AV595" s="55">
        <f>$AT595-$AU595</f>
        <v>0</v>
      </c>
      <c r="AW595" s="56">
        <f>IF($AS595=1,IF($S595="Win",N(AW594)+1,IF($S595="Loss",0,N(AW594))),N(AW594))</f>
        <v>5</v>
      </c>
      <c r="AX595" s="56">
        <f>IF($AS595=1,IF($S595="Loss",N(AX594)+1,IF($S595="Win",0,N(AX594))),N(AX594))</f>
        <v>0</v>
      </c>
      <c r="AY595" s="56" t="str">
        <f>IF($AS595=1,COUNTIF($AS$6:$AS595,1),"")</f>
        <v/>
      </c>
      <c r="AZ595" s="56">
        <f>MIN(589,N(Lists!$W$8))</f>
        <v>28</v>
      </c>
      <c r="BA595" s="56">
        <f>IF($AS595=1,IF(COUNTIFS($A$6:$A595,$A595,$AS$6:$AS595,1)=1,1,0),0)</f>
        <v>0</v>
      </c>
      <c r="BB595" s="55" t="str">
        <f>IF($BA595=1,SUMIFS($Q$6:$Q$1005,$A$6:$A$1005,$A595,$AS$6:$AS$1005,1),"")</f>
        <v/>
      </c>
      <c r="BC595" s="56">
        <f>IF(ISNUMBER($R595),1,0)</f>
        <v>0</v>
      </c>
      <c r="BD595" s="55" t="str">
        <f>IF(ISNUMBER($U595),$U595*$V595,"")</f>
        <v/>
      </c>
      <c r="BE595" s="56" t="str">
        <f>IF($AM595=0,"",IFERROR(MATCH($AF595&amp;"|"&amp;UPPER(TRIM($E595)),Lists!$A$6:$A$205,0),0))</f>
        <v/>
      </c>
      <c r="BF595" s="56" t="str">
        <f>IF($AM595=0,"",IFERROR(MATCH($AF595,Settings!$B$14:$B$18,0),IFERROR(MATCH(Settings!$C$6,Settings!$B$14:$B$18,0),1)))</f>
        <v/>
      </c>
      <c r="BG595" s="58" t="str">
        <f>IF($AM595=0,"",IF(NOT(ISNUMBER($I595)),"No stop; ","")&amp;IF(AND(ISNUMBER($H595),ISNUMBER($I595)),IF(OR(AND($F595&lt;&gt;"Short",$I595&gt;=$H595),AND($F595="Short",$I595&lt;=$H595)),"Stop on wrong side; ",""),"")&amp;IF($F595="","No direction; ","")&amp;IF(AND(ISNUMBER(Settings!$C$22),ISNUMBER($V595)),IF($V595&gt;Settings!$C$22,"Risk over max $; ",""),"")&amp;IF(AND(ISNUMBER(Settings!$C$23),ISNUMBER($V595),ISNUMBER($AP595),IFERROR(N(INDEX(Accounts!$E$7:$E$16,MATCH($C595,Accounts!$B$7:$B$16,0))),0)&gt;0),IF($V595&gt;Settings!$C$23*($AP595-N($Q595)),"Risk over max %; ",""),"")&amp;IF(AND(ISNUMBER(Settings!$C$24),ISNUMBER($N595)),IF($N595&gt;Settings!$C$24,"Leverage over max; ",""),"")&amp;IF(AND(ISNUMBER(Settings!$C$27),ISNUMBER($T595)),IF($T595&lt;Settings!$C$27,"R:R below min; ",""),"")&amp;IF(ISNUMBER(Settings!$C$25),IF(COUNTIFS($A$6:$A595,$A595,$AM$6:$AM595,1)&gt;Settings!$C$25,"Over max trades/day; ",""),"")&amp;IF(ISNUMBER(Settings!$C$26),IF(SUMIFS($Q$5:$Q594,$A$5:$A594,$A595)&lt;=-Settings!$C$26,"Traded after daily max loss; ",""),"")&amp;IF(AND($AG595="",NOT(ISNUMBER($O595))),"Symbol not in Instruments; ","")&amp;IF(AND($AH595="",NOT(ISNUMBER($O595))),"Forex cross: type Gross P&amp;L; ",""))</f>
        <v/>
      </c>
      <c r="BH595" s="56">
        <f>IF(ISNUMBER($Q595),1,0)</f>
        <v>0</v>
      </c>
      <c r="BI595" s="56">
        <f>IF($Y595="",0,1)</f>
        <v>0</v>
      </c>
      <c r="BJ595" s="56">
        <f>IF($AB595="",0,1)</f>
        <v>0</v>
      </c>
      <c r="BK595" s="56">
        <f>IF(AND($BH595=1,$W595&lt;&gt;"OK"),1,0)</f>
        <v>0</v>
      </c>
      <c r="BL595" s="55">
        <f>IF(N($AZ595)=0,0,IFERROR(INDEX($AT$6:$AT$1005,MATCH($AZ595,$AY$6:$AY$1005,0)),0))</f>
        <v>1187.10688</v>
      </c>
      <c r="BM595" s="56">
        <f>IF(ISNUMBER(SEARCH("daily max loss",$BG595)),1,0)</f>
        <v>0</v>
      </c>
    </row>
    <row r="596" ht="18" customHeight="1">
      <c r="A596" s="38" t="n"/>
      <c r="B596" s="39" t="n"/>
      <c r="C596" s="40" t="n"/>
      <c r="D596" s="41" t="n"/>
      <c r="E596" s="41" t="n"/>
      <c r="F596" s="41" t="n"/>
      <c r="G596" s="41" t="n"/>
      <c r="H596" s="42" t="n"/>
      <c r="I596" s="42" t="n"/>
      <c r="J596" s="42" t="n"/>
      <c r="K596" s="42" t="n"/>
      <c r="L596" s="41" t="n"/>
      <c r="M596" s="41" t="n"/>
      <c r="N596" s="41" t="n"/>
      <c r="O596" s="43" t="n"/>
      <c r="P596" s="43" t="n"/>
      <c r="Q596" s="44" t="str">
        <f>IF($AM596=0,"",IF(ISNUMBER($AK596),$AK596-N($AL596),""))</f>
        <v/>
      </c>
      <c r="R596" s="45" t="str">
        <f>IF(OR($Q596="",NOT(ISNUMBER($V596))),"",$AK596/$V596)</f>
        <v/>
      </c>
      <c r="S596" s="46" t="str">
        <f>IF($Q596="","",IF(AND(ISNUMBER($R596),ABS(N($R596))&lt;N(Settings!$C$8)),"Scratch",IF($Q596&gt;0,"Win",IF($Q596&lt;0,"Loss","Scratch"))))</f>
        <v/>
      </c>
      <c r="T596" s="47" t="str">
        <f>IF(OR($AM596=0,NOT(ISNUMBER($H596)),NOT(ISNUMBER($I596)),NOT(ISNUMBER($J596))),"",IF($H596=$I596,"",ROUND(ABS($J596-$H596)/ABS($H596-$I596),6)))</f>
        <v/>
      </c>
      <c r="U596" s="48" t="str">
        <f>IF(OR($S596&lt;&gt;"Win",NOT(ISNUMBER($T596)),NOT(ISNUMBER($R596))),"",MAX(0,$T596-$R596))</f>
        <v/>
      </c>
      <c r="V596" s="49" t="str">
        <f>IF(OR($AM596=0,NOT(ISNUMBER($H596)),NOT(ISNUMBER($I596)),NOT(ISNUMBER($G596))),"",IF(OR($AG596="",$AH596=""),"",IF(ROUND(ABS($H596-$I596)*ABS($G596)*$AG596*$AH596,6)=0,"",ROUND(ABS($H596-$I596)*ABS($G596)*$AG596*$AH596,6))))</f>
        <v/>
      </c>
      <c r="W596" s="50" t="str">
        <f>IF($AM596=0,"",IF($BG596="","OK",LEFT($BG596,LEN($BG596)-2)))</f>
        <v/>
      </c>
      <c r="X596" s="41" t="n"/>
      <c r="Y596" s="40" t="n"/>
      <c r="Z596" s="41" t="n"/>
      <c r="AA596" s="41" t="n"/>
      <c r="AB596" s="40" t="n"/>
      <c r="AC596" s="51" t="n"/>
      <c r="AD596" s="51" t="n"/>
      <c r="AE596" s="40" t="n"/>
      <c r="AF596" s="52" t="str">
        <f>IF($AM596=0,"",IF($D596&lt;&gt;"",$D596,IF(IFERROR(INDEX(Accounts!$C$7:$C$16,MATCH($C596,Accounts!$B$7:$B$16,0))&amp;"","")&lt;&gt;"",INDEX(Accounts!$C$7:$C$16,MATCH($C596,Accounts!$B$7:$B$16,0)),Settings!$C$6)))</f>
        <v/>
      </c>
      <c r="AG596" s="53" t="str">
        <f>IF($AM596=0,"",IF(AND($BE596&gt;0,N(INDEX(Instruments!$D$6:$D$205,MAX(1,$BE596)))&gt;0),INDEX(Instruments!$D$6:$D$205,MAX(1,$BE596)),IF(N(INDEX(Settings!$D$14:$D$18,$BF596))&gt;0,INDEX(Settings!$D$14:$D$18,$BF596),"")))</f>
        <v/>
      </c>
      <c r="AH596" s="54" t="str">
        <f>IF($AM596=0,"",IF($AF596&lt;&gt;"Forex",1,IF(MID(UPPER(SUBSTITUTE(TRIM($E596),"/","")),4,3)=UPPER(TRIM(Settings!$C$7)),1,IF(LEFT(UPPER(SUBSTITUTE(TRIM($E596),"/","")),3)=UPPER(TRIM(Settings!$C$7)),IF(AND(ISNUMBER($K596),N($K596)&lt;&gt;0),1/$K596,""),""))))</f>
        <v/>
      </c>
      <c r="AI596" s="55" t="str">
        <f>IF($AM596=0,"",IF(OR(NOT(ISNUMBER($H596)),NOT(ISNUMBER($K596)),NOT(ISNUMBER($G596)),$AG596="",$AH596=""),"",ROUND(($K596-$H596)*IF($F596="Short",-1,1)*$G596*$AG596*$AH596,6)))</f>
        <v/>
      </c>
      <c r="AJ596" s="55" t="str">
        <f>IF($AM596=0,"",IF(INDEX(Settings!$E$14:$E$18,$BF596)="% of notional",IF(OR($AG596="",NOT(ISNUMBER($H596)),NOT(ISNUMBER($G596))),"",ROUND(ABS($H596*$G596*$AG596*N($AH596))*IF($L596="Limit",N(INDEX(Settings!$G$14:$G$18,$BF596)),N(INDEX(Settings!$H$14:$H$18,$BF596)))+IF(ISNUMBER($K596),ABS($K596*$G596*$AG596*N($AH596))*IF($M596="Target",N(INDEX(Settings!$G$14:$G$18,$BF596)),N(INDEX(Settings!$H$14:$H$18,$BF596))),0),6)),IF(NOT(ISNUMBER($G596)),"",ROUND(ABS($G596)*2*IF(AND($BE596&gt;0,ISNUMBER(INDEX(Instruments!$G$6:$G$205,MAX(1,$BE596)))),INDEX(Instruments!$G$6:$G$205,MAX(1,$BE596)),N(INDEX(Settings!$F$14:$F$18,$BF596))),6))))</f>
        <v/>
      </c>
      <c r="AK596" s="55" t="str">
        <f>IF($AM596=0,"",IF(ISNUMBER($O596),$O596,$AI596))</f>
        <v/>
      </c>
      <c r="AL596" s="55" t="str">
        <f>IF($AM596=0,"",IF(ISNUMBER($P596),$P596,N($AJ596)))</f>
        <v/>
      </c>
      <c r="AM596" s="56">
        <f>IF(AND($A596&lt;&gt;"",$E596&lt;&gt;"",OR(AND(ISNUMBER($G596),ISNUMBER($H596),ISNUMBER($K596)),ISNUMBER($O596))),1,0)</f>
        <v>0</v>
      </c>
      <c r="AN596" s="57" t="str">
        <f>IF($A596="","",$A596-WEEKDAY($A596,3))</f>
        <v/>
      </c>
      <c r="AO596" s="56" t="str">
        <f>IF($A596="","",WEEKDAY($A596,2))</f>
        <v/>
      </c>
      <c r="AP596" s="55" t="str">
        <f>IF(OR($AM596=0,$C596=""),"",IFERROR(N(INDEX(Accounts!$E$7:$E$16,MATCH($C596,Accounts!$B$7:$B$16,0))),0)+SUMIFS($Q$6:$Q596,$C$6:$C596,$C596))</f>
        <v/>
      </c>
      <c r="AQ596" s="55" t="str">
        <f>IF(OR($AM596=0,$C596=""),"",SUMIFS($Q$6:$Q$1005,$C$6:$C$1005,$C596,$A$6:$A$1005,$A596))</f>
        <v/>
      </c>
      <c r="AR596" s="55" t="str">
        <f>IF(OR($AM596=0,$C596=""),"",IFERROR(N(INDEX(Accounts!$E$7:$E$16,MATCH($C596,Accounts!$B$7:$B$16,0))),0)+SUMIFS($Q$6:$Q$1005,$C$6:$C$1005,$C596,$A$6:$A$1005,"&lt;="&amp;$A596))</f>
        <v/>
      </c>
      <c r="AS596" s="56">
        <f>IF(OR($AM596=0,$Q596=""),0,IF(AND($A596&gt;=Lists!$W$6,$A596&lt;=Lists!$W$7,OR(Dashboard!$D$6="All accounts",$C596=Dashboard!$D$6),OR(Dashboard!$D$7="All markets",$AF596=Dashboard!$D$7)),1,0))</f>
        <v>0</v>
      </c>
      <c r="AT596" s="55">
        <f>IF($AS596=1,N(AT595)+$Q596,N(AT595))</f>
        <v>1187.10688</v>
      </c>
      <c r="AU596" s="55">
        <f>MAX(N(AU595),$AT596)</f>
        <v>1187.10688</v>
      </c>
      <c r="AV596" s="55">
        <f>$AT596-$AU596</f>
        <v>0</v>
      </c>
      <c r="AW596" s="56">
        <f>IF($AS596=1,IF($S596="Win",N(AW595)+1,IF($S596="Loss",0,N(AW595))),N(AW595))</f>
        <v>5</v>
      </c>
      <c r="AX596" s="56">
        <f>IF($AS596=1,IF($S596="Loss",N(AX595)+1,IF($S596="Win",0,N(AX595))),N(AX595))</f>
        <v>0</v>
      </c>
      <c r="AY596" s="56" t="str">
        <f>IF($AS596=1,COUNTIF($AS$6:$AS596,1),"")</f>
        <v/>
      </c>
      <c r="AZ596" s="56">
        <f>MIN(590,N(Lists!$W$8))</f>
        <v>28</v>
      </c>
      <c r="BA596" s="56">
        <f>IF($AS596=1,IF(COUNTIFS($A$6:$A596,$A596,$AS$6:$AS596,1)=1,1,0),0)</f>
        <v>0</v>
      </c>
      <c r="BB596" s="55" t="str">
        <f>IF($BA596=1,SUMIFS($Q$6:$Q$1005,$A$6:$A$1005,$A596,$AS$6:$AS$1005,1),"")</f>
        <v/>
      </c>
      <c r="BC596" s="56">
        <f>IF(ISNUMBER($R596),1,0)</f>
        <v>0</v>
      </c>
      <c r="BD596" s="55" t="str">
        <f>IF(ISNUMBER($U596),$U596*$V596,"")</f>
        <v/>
      </c>
      <c r="BE596" s="56" t="str">
        <f>IF($AM596=0,"",IFERROR(MATCH($AF596&amp;"|"&amp;UPPER(TRIM($E596)),Lists!$A$6:$A$205,0),0))</f>
        <v/>
      </c>
      <c r="BF596" s="56" t="str">
        <f>IF($AM596=0,"",IFERROR(MATCH($AF596,Settings!$B$14:$B$18,0),IFERROR(MATCH(Settings!$C$6,Settings!$B$14:$B$18,0),1)))</f>
        <v/>
      </c>
      <c r="BG596" s="58" t="str">
        <f>IF($AM596=0,"",IF(NOT(ISNUMBER($I596)),"No stop; ","")&amp;IF(AND(ISNUMBER($H596),ISNUMBER($I596)),IF(OR(AND($F596&lt;&gt;"Short",$I596&gt;=$H596),AND($F596="Short",$I596&lt;=$H596)),"Stop on wrong side; ",""),"")&amp;IF($F596="","No direction; ","")&amp;IF(AND(ISNUMBER(Settings!$C$22),ISNUMBER($V596)),IF($V596&gt;Settings!$C$22,"Risk over max $; ",""),"")&amp;IF(AND(ISNUMBER(Settings!$C$23),ISNUMBER($V596),ISNUMBER($AP596),IFERROR(N(INDEX(Accounts!$E$7:$E$16,MATCH($C596,Accounts!$B$7:$B$16,0))),0)&gt;0),IF($V596&gt;Settings!$C$23*($AP596-N($Q596)),"Risk over max %; ",""),"")&amp;IF(AND(ISNUMBER(Settings!$C$24),ISNUMBER($N596)),IF($N596&gt;Settings!$C$24,"Leverage over max; ",""),"")&amp;IF(AND(ISNUMBER(Settings!$C$27),ISNUMBER($T596)),IF($T596&lt;Settings!$C$27,"R:R below min; ",""),"")&amp;IF(ISNUMBER(Settings!$C$25),IF(COUNTIFS($A$6:$A596,$A596,$AM$6:$AM596,1)&gt;Settings!$C$25,"Over max trades/day; ",""),"")&amp;IF(ISNUMBER(Settings!$C$26),IF(SUMIFS($Q$5:$Q595,$A$5:$A595,$A596)&lt;=-Settings!$C$26,"Traded after daily max loss; ",""),"")&amp;IF(AND($AG596="",NOT(ISNUMBER($O596))),"Symbol not in Instruments; ","")&amp;IF(AND($AH596="",NOT(ISNUMBER($O596))),"Forex cross: type Gross P&amp;L; ",""))</f>
        <v/>
      </c>
      <c r="BH596" s="56">
        <f>IF(ISNUMBER($Q596),1,0)</f>
        <v>0</v>
      </c>
      <c r="BI596" s="56">
        <f>IF($Y596="",0,1)</f>
        <v>0</v>
      </c>
      <c r="BJ596" s="56">
        <f>IF($AB596="",0,1)</f>
        <v>0</v>
      </c>
      <c r="BK596" s="56">
        <f>IF(AND($BH596=1,$W596&lt;&gt;"OK"),1,0)</f>
        <v>0</v>
      </c>
      <c r="BL596" s="55">
        <f>IF(N($AZ596)=0,0,IFERROR(INDEX($AT$6:$AT$1005,MATCH($AZ596,$AY$6:$AY$1005,0)),0))</f>
        <v>1187.10688</v>
      </c>
      <c r="BM596" s="56">
        <f>IF(ISNUMBER(SEARCH("daily max loss",$BG596)),1,0)</f>
        <v>0</v>
      </c>
    </row>
    <row r="597" ht="18" customHeight="1">
      <c r="A597" s="38" t="n"/>
      <c r="B597" s="39" t="n"/>
      <c r="C597" s="40" t="n"/>
      <c r="D597" s="41" t="n"/>
      <c r="E597" s="41" t="n"/>
      <c r="F597" s="41" t="n"/>
      <c r="G597" s="41" t="n"/>
      <c r="H597" s="42" t="n"/>
      <c r="I597" s="42" t="n"/>
      <c r="J597" s="42" t="n"/>
      <c r="K597" s="42" t="n"/>
      <c r="L597" s="41" t="n"/>
      <c r="M597" s="41" t="n"/>
      <c r="N597" s="41" t="n"/>
      <c r="O597" s="43" t="n"/>
      <c r="P597" s="43" t="n"/>
      <c r="Q597" s="44" t="str">
        <f>IF($AM597=0,"",IF(ISNUMBER($AK597),$AK597-N($AL597),""))</f>
        <v/>
      </c>
      <c r="R597" s="45" t="str">
        <f>IF(OR($Q597="",NOT(ISNUMBER($V597))),"",$AK597/$V597)</f>
        <v/>
      </c>
      <c r="S597" s="46" t="str">
        <f>IF($Q597="","",IF(AND(ISNUMBER($R597),ABS(N($R597))&lt;N(Settings!$C$8)),"Scratch",IF($Q597&gt;0,"Win",IF($Q597&lt;0,"Loss","Scratch"))))</f>
        <v/>
      </c>
      <c r="T597" s="47" t="str">
        <f>IF(OR($AM597=0,NOT(ISNUMBER($H597)),NOT(ISNUMBER($I597)),NOT(ISNUMBER($J597))),"",IF($H597=$I597,"",ROUND(ABS($J597-$H597)/ABS($H597-$I597),6)))</f>
        <v/>
      </c>
      <c r="U597" s="48" t="str">
        <f>IF(OR($S597&lt;&gt;"Win",NOT(ISNUMBER($T597)),NOT(ISNUMBER($R597))),"",MAX(0,$T597-$R597))</f>
        <v/>
      </c>
      <c r="V597" s="49" t="str">
        <f>IF(OR($AM597=0,NOT(ISNUMBER($H597)),NOT(ISNUMBER($I597)),NOT(ISNUMBER($G597))),"",IF(OR($AG597="",$AH597=""),"",IF(ROUND(ABS($H597-$I597)*ABS($G597)*$AG597*$AH597,6)=0,"",ROUND(ABS($H597-$I597)*ABS($G597)*$AG597*$AH597,6))))</f>
        <v/>
      </c>
      <c r="W597" s="50" t="str">
        <f>IF($AM597=0,"",IF($BG597="","OK",LEFT($BG597,LEN($BG597)-2)))</f>
        <v/>
      </c>
      <c r="X597" s="41" t="n"/>
      <c r="Y597" s="40" t="n"/>
      <c r="Z597" s="41" t="n"/>
      <c r="AA597" s="41" t="n"/>
      <c r="AB597" s="40" t="n"/>
      <c r="AC597" s="51" t="n"/>
      <c r="AD597" s="51" t="n"/>
      <c r="AE597" s="40" t="n"/>
      <c r="AF597" s="52" t="str">
        <f>IF($AM597=0,"",IF($D597&lt;&gt;"",$D597,IF(IFERROR(INDEX(Accounts!$C$7:$C$16,MATCH($C597,Accounts!$B$7:$B$16,0))&amp;"","")&lt;&gt;"",INDEX(Accounts!$C$7:$C$16,MATCH($C597,Accounts!$B$7:$B$16,0)),Settings!$C$6)))</f>
        <v/>
      </c>
      <c r="AG597" s="53" t="str">
        <f>IF($AM597=0,"",IF(AND($BE597&gt;0,N(INDEX(Instruments!$D$6:$D$205,MAX(1,$BE597)))&gt;0),INDEX(Instruments!$D$6:$D$205,MAX(1,$BE597)),IF(N(INDEX(Settings!$D$14:$D$18,$BF597))&gt;0,INDEX(Settings!$D$14:$D$18,$BF597),"")))</f>
        <v/>
      </c>
      <c r="AH597" s="54" t="str">
        <f>IF($AM597=0,"",IF($AF597&lt;&gt;"Forex",1,IF(MID(UPPER(SUBSTITUTE(TRIM($E597),"/","")),4,3)=UPPER(TRIM(Settings!$C$7)),1,IF(LEFT(UPPER(SUBSTITUTE(TRIM($E597),"/","")),3)=UPPER(TRIM(Settings!$C$7)),IF(AND(ISNUMBER($K597),N($K597)&lt;&gt;0),1/$K597,""),""))))</f>
        <v/>
      </c>
      <c r="AI597" s="55" t="str">
        <f>IF($AM597=0,"",IF(OR(NOT(ISNUMBER($H597)),NOT(ISNUMBER($K597)),NOT(ISNUMBER($G597)),$AG597="",$AH597=""),"",ROUND(($K597-$H597)*IF($F597="Short",-1,1)*$G597*$AG597*$AH597,6)))</f>
        <v/>
      </c>
      <c r="AJ597" s="55" t="str">
        <f>IF($AM597=0,"",IF(INDEX(Settings!$E$14:$E$18,$BF597)="% of notional",IF(OR($AG597="",NOT(ISNUMBER($H597)),NOT(ISNUMBER($G597))),"",ROUND(ABS($H597*$G597*$AG597*N($AH597))*IF($L597="Limit",N(INDEX(Settings!$G$14:$G$18,$BF597)),N(INDEX(Settings!$H$14:$H$18,$BF597)))+IF(ISNUMBER($K597),ABS($K597*$G597*$AG597*N($AH597))*IF($M597="Target",N(INDEX(Settings!$G$14:$G$18,$BF597)),N(INDEX(Settings!$H$14:$H$18,$BF597))),0),6)),IF(NOT(ISNUMBER($G597)),"",ROUND(ABS($G597)*2*IF(AND($BE597&gt;0,ISNUMBER(INDEX(Instruments!$G$6:$G$205,MAX(1,$BE597)))),INDEX(Instruments!$G$6:$G$205,MAX(1,$BE597)),N(INDEX(Settings!$F$14:$F$18,$BF597))),6))))</f>
        <v/>
      </c>
      <c r="AK597" s="55" t="str">
        <f>IF($AM597=0,"",IF(ISNUMBER($O597),$O597,$AI597))</f>
        <v/>
      </c>
      <c r="AL597" s="55" t="str">
        <f>IF($AM597=0,"",IF(ISNUMBER($P597),$P597,N($AJ597)))</f>
        <v/>
      </c>
      <c r="AM597" s="56">
        <f>IF(AND($A597&lt;&gt;"",$E597&lt;&gt;"",OR(AND(ISNUMBER($G597),ISNUMBER($H597),ISNUMBER($K597)),ISNUMBER($O597))),1,0)</f>
        <v>0</v>
      </c>
      <c r="AN597" s="57" t="str">
        <f>IF($A597="","",$A597-WEEKDAY($A597,3))</f>
        <v/>
      </c>
      <c r="AO597" s="56" t="str">
        <f>IF($A597="","",WEEKDAY($A597,2))</f>
        <v/>
      </c>
      <c r="AP597" s="55" t="str">
        <f>IF(OR($AM597=0,$C597=""),"",IFERROR(N(INDEX(Accounts!$E$7:$E$16,MATCH($C597,Accounts!$B$7:$B$16,0))),0)+SUMIFS($Q$6:$Q597,$C$6:$C597,$C597))</f>
        <v/>
      </c>
      <c r="AQ597" s="55" t="str">
        <f>IF(OR($AM597=0,$C597=""),"",SUMIFS($Q$6:$Q$1005,$C$6:$C$1005,$C597,$A$6:$A$1005,$A597))</f>
        <v/>
      </c>
      <c r="AR597" s="55" t="str">
        <f>IF(OR($AM597=0,$C597=""),"",IFERROR(N(INDEX(Accounts!$E$7:$E$16,MATCH($C597,Accounts!$B$7:$B$16,0))),0)+SUMIFS($Q$6:$Q$1005,$C$6:$C$1005,$C597,$A$6:$A$1005,"&lt;="&amp;$A597))</f>
        <v/>
      </c>
      <c r="AS597" s="56">
        <f>IF(OR($AM597=0,$Q597=""),0,IF(AND($A597&gt;=Lists!$W$6,$A597&lt;=Lists!$W$7,OR(Dashboard!$D$6="All accounts",$C597=Dashboard!$D$6),OR(Dashboard!$D$7="All markets",$AF597=Dashboard!$D$7)),1,0))</f>
        <v>0</v>
      </c>
      <c r="AT597" s="55">
        <f>IF($AS597=1,N(AT596)+$Q597,N(AT596))</f>
        <v>1187.10688</v>
      </c>
      <c r="AU597" s="55">
        <f>MAX(N(AU596),$AT597)</f>
        <v>1187.10688</v>
      </c>
      <c r="AV597" s="55">
        <f>$AT597-$AU597</f>
        <v>0</v>
      </c>
      <c r="AW597" s="56">
        <f>IF($AS597=1,IF($S597="Win",N(AW596)+1,IF($S597="Loss",0,N(AW596))),N(AW596))</f>
        <v>5</v>
      </c>
      <c r="AX597" s="56">
        <f>IF($AS597=1,IF($S597="Loss",N(AX596)+1,IF($S597="Win",0,N(AX596))),N(AX596))</f>
        <v>0</v>
      </c>
      <c r="AY597" s="56" t="str">
        <f>IF($AS597=1,COUNTIF($AS$6:$AS597,1),"")</f>
        <v/>
      </c>
      <c r="AZ597" s="56">
        <f>MIN(591,N(Lists!$W$8))</f>
        <v>28</v>
      </c>
      <c r="BA597" s="56">
        <f>IF($AS597=1,IF(COUNTIFS($A$6:$A597,$A597,$AS$6:$AS597,1)=1,1,0),0)</f>
        <v>0</v>
      </c>
      <c r="BB597" s="55" t="str">
        <f>IF($BA597=1,SUMIFS($Q$6:$Q$1005,$A$6:$A$1005,$A597,$AS$6:$AS$1005,1),"")</f>
        <v/>
      </c>
      <c r="BC597" s="56">
        <f>IF(ISNUMBER($R597),1,0)</f>
        <v>0</v>
      </c>
      <c r="BD597" s="55" t="str">
        <f>IF(ISNUMBER($U597),$U597*$V597,"")</f>
        <v/>
      </c>
      <c r="BE597" s="56" t="str">
        <f>IF($AM597=0,"",IFERROR(MATCH($AF597&amp;"|"&amp;UPPER(TRIM($E597)),Lists!$A$6:$A$205,0),0))</f>
        <v/>
      </c>
      <c r="BF597" s="56" t="str">
        <f>IF($AM597=0,"",IFERROR(MATCH($AF597,Settings!$B$14:$B$18,0),IFERROR(MATCH(Settings!$C$6,Settings!$B$14:$B$18,0),1)))</f>
        <v/>
      </c>
      <c r="BG597" s="58" t="str">
        <f>IF($AM597=0,"",IF(NOT(ISNUMBER($I597)),"No stop; ","")&amp;IF(AND(ISNUMBER($H597),ISNUMBER($I597)),IF(OR(AND($F597&lt;&gt;"Short",$I597&gt;=$H597),AND($F597="Short",$I597&lt;=$H597)),"Stop on wrong side; ",""),"")&amp;IF($F597="","No direction; ","")&amp;IF(AND(ISNUMBER(Settings!$C$22),ISNUMBER($V597)),IF($V597&gt;Settings!$C$22,"Risk over max $; ",""),"")&amp;IF(AND(ISNUMBER(Settings!$C$23),ISNUMBER($V597),ISNUMBER($AP597),IFERROR(N(INDEX(Accounts!$E$7:$E$16,MATCH($C597,Accounts!$B$7:$B$16,0))),0)&gt;0),IF($V597&gt;Settings!$C$23*($AP597-N($Q597)),"Risk over max %; ",""),"")&amp;IF(AND(ISNUMBER(Settings!$C$24),ISNUMBER($N597)),IF($N597&gt;Settings!$C$24,"Leverage over max; ",""),"")&amp;IF(AND(ISNUMBER(Settings!$C$27),ISNUMBER($T597)),IF($T597&lt;Settings!$C$27,"R:R below min; ",""),"")&amp;IF(ISNUMBER(Settings!$C$25),IF(COUNTIFS($A$6:$A597,$A597,$AM$6:$AM597,1)&gt;Settings!$C$25,"Over max trades/day; ",""),"")&amp;IF(ISNUMBER(Settings!$C$26),IF(SUMIFS($Q$5:$Q596,$A$5:$A596,$A597)&lt;=-Settings!$C$26,"Traded after daily max loss; ",""),"")&amp;IF(AND($AG597="",NOT(ISNUMBER($O597))),"Symbol not in Instruments; ","")&amp;IF(AND($AH597="",NOT(ISNUMBER($O597))),"Forex cross: type Gross P&amp;L; ",""))</f>
        <v/>
      </c>
      <c r="BH597" s="56">
        <f>IF(ISNUMBER($Q597),1,0)</f>
        <v>0</v>
      </c>
      <c r="BI597" s="56">
        <f>IF($Y597="",0,1)</f>
        <v>0</v>
      </c>
      <c r="BJ597" s="56">
        <f>IF($AB597="",0,1)</f>
        <v>0</v>
      </c>
      <c r="BK597" s="56">
        <f>IF(AND($BH597=1,$W597&lt;&gt;"OK"),1,0)</f>
        <v>0</v>
      </c>
      <c r="BL597" s="55">
        <f>IF(N($AZ597)=0,0,IFERROR(INDEX($AT$6:$AT$1005,MATCH($AZ597,$AY$6:$AY$1005,0)),0))</f>
        <v>1187.10688</v>
      </c>
      <c r="BM597" s="56">
        <f>IF(ISNUMBER(SEARCH("daily max loss",$BG597)),1,0)</f>
        <v>0</v>
      </c>
    </row>
    <row r="598" ht="18" customHeight="1">
      <c r="A598" s="38" t="n"/>
      <c r="B598" s="39" t="n"/>
      <c r="C598" s="40" t="n"/>
      <c r="D598" s="41" t="n"/>
      <c r="E598" s="41" t="n"/>
      <c r="F598" s="41" t="n"/>
      <c r="G598" s="41" t="n"/>
      <c r="H598" s="42" t="n"/>
      <c r="I598" s="42" t="n"/>
      <c r="J598" s="42" t="n"/>
      <c r="K598" s="42" t="n"/>
      <c r="L598" s="41" t="n"/>
      <c r="M598" s="41" t="n"/>
      <c r="N598" s="41" t="n"/>
      <c r="O598" s="43" t="n"/>
      <c r="P598" s="43" t="n"/>
      <c r="Q598" s="44" t="str">
        <f>IF($AM598=0,"",IF(ISNUMBER($AK598),$AK598-N($AL598),""))</f>
        <v/>
      </c>
      <c r="R598" s="45" t="str">
        <f>IF(OR($Q598="",NOT(ISNUMBER($V598))),"",$AK598/$V598)</f>
        <v/>
      </c>
      <c r="S598" s="46" t="str">
        <f>IF($Q598="","",IF(AND(ISNUMBER($R598),ABS(N($R598))&lt;N(Settings!$C$8)),"Scratch",IF($Q598&gt;0,"Win",IF($Q598&lt;0,"Loss","Scratch"))))</f>
        <v/>
      </c>
      <c r="T598" s="47" t="str">
        <f>IF(OR($AM598=0,NOT(ISNUMBER($H598)),NOT(ISNUMBER($I598)),NOT(ISNUMBER($J598))),"",IF($H598=$I598,"",ROUND(ABS($J598-$H598)/ABS($H598-$I598),6)))</f>
        <v/>
      </c>
      <c r="U598" s="48" t="str">
        <f>IF(OR($S598&lt;&gt;"Win",NOT(ISNUMBER($T598)),NOT(ISNUMBER($R598))),"",MAX(0,$T598-$R598))</f>
        <v/>
      </c>
      <c r="V598" s="49" t="str">
        <f>IF(OR($AM598=0,NOT(ISNUMBER($H598)),NOT(ISNUMBER($I598)),NOT(ISNUMBER($G598))),"",IF(OR($AG598="",$AH598=""),"",IF(ROUND(ABS($H598-$I598)*ABS($G598)*$AG598*$AH598,6)=0,"",ROUND(ABS($H598-$I598)*ABS($G598)*$AG598*$AH598,6))))</f>
        <v/>
      </c>
      <c r="W598" s="50" t="str">
        <f>IF($AM598=0,"",IF($BG598="","OK",LEFT($BG598,LEN($BG598)-2)))</f>
        <v/>
      </c>
      <c r="X598" s="41" t="n"/>
      <c r="Y598" s="40" t="n"/>
      <c r="Z598" s="41" t="n"/>
      <c r="AA598" s="41" t="n"/>
      <c r="AB598" s="40" t="n"/>
      <c r="AC598" s="51" t="n"/>
      <c r="AD598" s="51" t="n"/>
      <c r="AE598" s="40" t="n"/>
      <c r="AF598" s="52" t="str">
        <f>IF($AM598=0,"",IF($D598&lt;&gt;"",$D598,IF(IFERROR(INDEX(Accounts!$C$7:$C$16,MATCH($C598,Accounts!$B$7:$B$16,0))&amp;"","")&lt;&gt;"",INDEX(Accounts!$C$7:$C$16,MATCH($C598,Accounts!$B$7:$B$16,0)),Settings!$C$6)))</f>
        <v/>
      </c>
      <c r="AG598" s="53" t="str">
        <f>IF($AM598=0,"",IF(AND($BE598&gt;0,N(INDEX(Instruments!$D$6:$D$205,MAX(1,$BE598)))&gt;0),INDEX(Instruments!$D$6:$D$205,MAX(1,$BE598)),IF(N(INDEX(Settings!$D$14:$D$18,$BF598))&gt;0,INDEX(Settings!$D$14:$D$18,$BF598),"")))</f>
        <v/>
      </c>
      <c r="AH598" s="54" t="str">
        <f>IF($AM598=0,"",IF($AF598&lt;&gt;"Forex",1,IF(MID(UPPER(SUBSTITUTE(TRIM($E598),"/","")),4,3)=UPPER(TRIM(Settings!$C$7)),1,IF(LEFT(UPPER(SUBSTITUTE(TRIM($E598),"/","")),3)=UPPER(TRIM(Settings!$C$7)),IF(AND(ISNUMBER($K598),N($K598)&lt;&gt;0),1/$K598,""),""))))</f>
        <v/>
      </c>
      <c r="AI598" s="55" t="str">
        <f>IF($AM598=0,"",IF(OR(NOT(ISNUMBER($H598)),NOT(ISNUMBER($K598)),NOT(ISNUMBER($G598)),$AG598="",$AH598=""),"",ROUND(($K598-$H598)*IF($F598="Short",-1,1)*$G598*$AG598*$AH598,6)))</f>
        <v/>
      </c>
      <c r="AJ598" s="55" t="str">
        <f>IF($AM598=0,"",IF(INDEX(Settings!$E$14:$E$18,$BF598)="% of notional",IF(OR($AG598="",NOT(ISNUMBER($H598)),NOT(ISNUMBER($G598))),"",ROUND(ABS($H598*$G598*$AG598*N($AH598))*IF($L598="Limit",N(INDEX(Settings!$G$14:$G$18,$BF598)),N(INDEX(Settings!$H$14:$H$18,$BF598)))+IF(ISNUMBER($K598),ABS($K598*$G598*$AG598*N($AH598))*IF($M598="Target",N(INDEX(Settings!$G$14:$G$18,$BF598)),N(INDEX(Settings!$H$14:$H$18,$BF598))),0),6)),IF(NOT(ISNUMBER($G598)),"",ROUND(ABS($G598)*2*IF(AND($BE598&gt;0,ISNUMBER(INDEX(Instruments!$G$6:$G$205,MAX(1,$BE598)))),INDEX(Instruments!$G$6:$G$205,MAX(1,$BE598)),N(INDEX(Settings!$F$14:$F$18,$BF598))),6))))</f>
        <v/>
      </c>
      <c r="AK598" s="55" t="str">
        <f>IF($AM598=0,"",IF(ISNUMBER($O598),$O598,$AI598))</f>
        <v/>
      </c>
      <c r="AL598" s="55" t="str">
        <f>IF($AM598=0,"",IF(ISNUMBER($P598),$P598,N($AJ598)))</f>
        <v/>
      </c>
      <c r="AM598" s="56">
        <f>IF(AND($A598&lt;&gt;"",$E598&lt;&gt;"",OR(AND(ISNUMBER($G598),ISNUMBER($H598),ISNUMBER($K598)),ISNUMBER($O598))),1,0)</f>
        <v>0</v>
      </c>
      <c r="AN598" s="57" t="str">
        <f>IF($A598="","",$A598-WEEKDAY($A598,3))</f>
        <v/>
      </c>
      <c r="AO598" s="56" t="str">
        <f>IF($A598="","",WEEKDAY($A598,2))</f>
        <v/>
      </c>
      <c r="AP598" s="55" t="str">
        <f>IF(OR($AM598=0,$C598=""),"",IFERROR(N(INDEX(Accounts!$E$7:$E$16,MATCH($C598,Accounts!$B$7:$B$16,0))),0)+SUMIFS($Q$6:$Q598,$C$6:$C598,$C598))</f>
        <v/>
      </c>
      <c r="AQ598" s="55" t="str">
        <f>IF(OR($AM598=0,$C598=""),"",SUMIFS($Q$6:$Q$1005,$C$6:$C$1005,$C598,$A$6:$A$1005,$A598))</f>
        <v/>
      </c>
      <c r="AR598" s="55" t="str">
        <f>IF(OR($AM598=0,$C598=""),"",IFERROR(N(INDEX(Accounts!$E$7:$E$16,MATCH($C598,Accounts!$B$7:$B$16,0))),0)+SUMIFS($Q$6:$Q$1005,$C$6:$C$1005,$C598,$A$6:$A$1005,"&lt;="&amp;$A598))</f>
        <v/>
      </c>
      <c r="AS598" s="56">
        <f>IF(OR($AM598=0,$Q598=""),0,IF(AND($A598&gt;=Lists!$W$6,$A598&lt;=Lists!$W$7,OR(Dashboard!$D$6="All accounts",$C598=Dashboard!$D$6),OR(Dashboard!$D$7="All markets",$AF598=Dashboard!$D$7)),1,0))</f>
        <v>0</v>
      </c>
      <c r="AT598" s="55">
        <f>IF($AS598=1,N(AT597)+$Q598,N(AT597))</f>
        <v>1187.10688</v>
      </c>
      <c r="AU598" s="55">
        <f>MAX(N(AU597),$AT598)</f>
        <v>1187.10688</v>
      </c>
      <c r="AV598" s="55">
        <f>$AT598-$AU598</f>
        <v>0</v>
      </c>
      <c r="AW598" s="56">
        <f>IF($AS598=1,IF($S598="Win",N(AW597)+1,IF($S598="Loss",0,N(AW597))),N(AW597))</f>
        <v>5</v>
      </c>
      <c r="AX598" s="56">
        <f>IF($AS598=1,IF($S598="Loss",N(AX597)+1,IF($S598="Win",0,N(AX597))),N(AX597))</f>
        <v>0</v>
      </c>
      <c r="AY598" s="56" t="str">
        <f>IF($AS598=1,COUNTIF($AS$6:$AS598,1),"")</f>
        <v/>
      </c>
      <c r="AZ598" s="56">
        <f>MIN(592,N(Lists!$W$8))</f>
        <v>28</v>
      </c>
      <c r="BA598" s="56">
        <f>IF($AS598=1,IF(COUNTIFS($A$6:$A598,$A598,$AS$6:$AS598,1)=1,1,0),0)</f>
        <v>0</v>
      </c>
      <c r="BB598" s="55" t="str">
        <f>IF($BA598=1,SUMIFS($Q$6:$Q$1005,$A$6:$A$1005,$A598,$AS$6:$AS$1005,1),"")</f>
        <v/>
      </c>
      <c r="BC598" s="56">
        <f>IF(ISNUMBER($R598),1,0)</f>
        <v>0</v>
      </c>
      <c r="BD598" s="55" t="str">
        <f>IF(ISNUMBER($U598),$U598*$V598,"")</f>
        <v/>
      </c>
      <c r="BE598" s="56" t="str">
        <f>IF($AM598=0,"",IFERROR(MATCH($AF598&amp;"|"&amp;UPPER(TRIM($E598)),Lists!$A$6:$A$205,0),0))</f>
        <v/>
      </c>
      <c r="BF598" s="56" t="str">
        <f>IF($AM598=0,"",IFERROR(MATCH($AF598,Settings!$B$14:$B$18,0),IFERROR(MATCH(Settings!$C$6,Settings!$B$14:$B$18,0),1)))</f>
        <v/>
      </c>
      <c r="BG598" s="58" t="str">
        <f>IF($AM598=0,"",IF(NOT(ISNUMBER($I598)),"No stop; ","")&amp;IF(AND(ISNUMBER($H598),ISNUMBER($I598)),IF(OR(AND($F598&lt;&gt;"Short",$I598&gt;=$H598),AND($F598="Short",$I598&lt;=$H598)),"Stop on wrong side; ",""),"")&amp;IF($F598="","No direction; ","")&amp;IF(AND(ISNUMBER(Settings!$C$22),ISNUMBER($V598)),IF($V598&gt;Settings!$C$22,"Risk over max $; ",""),"")&amp;IF(AND(ISNUMBER(Settings!$C$23),ISNUMBER($V598),ISNUMBER($AP598),IFERROR(N(INDEX(Accounts!$E$7:$E$16,MATCH($C598,Accounts!$B$7:$B$16,0))),0)&gt;0),IF($V598&gt;Settings!$C$23*($AP598-N($Q598)),"Risk over max %; ",""),"")&amp;IF(AND(ISNUMBER(Settings!$C$24),ISNUMBER($N598)),IF($N598&gt;Settings!$C$24,"Leverage over max; ",""),"")&amp;IF(AND(ISNUMBER(Settings!$C$27),ISNUMBER($T598)),IF($T598&lt;Settings!$C$27,"R:R below min; ",""),"")&amp;IF(ISNUMBER(Settings!$C$25),IF(COUNTIFS($A$6:$A598,$A598,$AM$6:$AM598,1)&gt;Settings!$C$25,"Over max trades/day; ",""),"")&amp;IF(ISNUMBER(Settings!$C$26),IF(SUMIFS($Q$5:$Q597,$A$5:$A597,$A598)&lt;=-Settings!$C$26,"Traded after daily max loss; ",""),"")&amp;IF(AND($AG598="",NOT(ISNUMBER($O598))),"Symbol not in Instruments; ","")&amp;IF(AND($AH598="",NOT(ISNUMBER($O598))),"Forex cross: type Gross P&amp;L; ",""))</f>
        <v/>
      </c>
      <c r="BH598" s="56">
        <f>IF(ISNUMBER($Q598),1,0)</f>
        <v>0</v>
      </c>
      <c r="BI598" s="56">
        <f>IF($Y598="",0,1)</f>
        <v>0</v>
      </c>
      <c r="BJ598" s="56">
        <f>IF($AB598="",0,1)</f>
        <v>0</v>
      </c>
      <c r="BK598" s="56">
        <f>IF(AND($BH598=1,$W598&lt;&gt;"OK"),1,0)</f>
        <v>0</v>
      </c>
      <c r="BL598" s="55">
        <f>IF(N($AZ598)=0,0,IFERROR(INDEX($AT$6:$AT$1005,MATCH($AZ598,$AY$6:$AY$1005,0)),0))</f>
        <v>1187.10688</v>
      </c>
      <c r="BM598" s="56">
        <f>IF(ISNUMBER(SEARCH("daily max loss",$BG598)),1,0)</f>
        <v>0</v>
      </c>
    </row>
    <row r="599" ht="18" customHeight="1">
      <c r="A599" s="38" t="n"/>
      <c r="B599" s="39" t="n"/>
      <c r="C599" s="40" t="n"/>
      <c r="D599" s="41" t="n"/>
      <c r="E599" s="41" t="n"/>
      <c r="F599" s="41" t="n"/>
      <c r="G599" s="41" t="n"/>
      <c r="H599" s="42" t="n"/>
      <c r="I599" s="42" t="n"/>
      <c r="J599" s="42" t="n"/>
      <c r="K599" s="42" t="n"/>
      <c r="L599" s="41" t="n"/>
      <c r="M599" s="41" t="n"/>
      <c r="N599" s="41" t="n"/>
      <c r="O599" s="43" t="n"/>
      <c r="P599" s="43" t="n"/>
      <c r="Q599" s="44" t="str">
        <f>IF($AM599=0,"",IF(ISNUMBER($AK599),$AK599-N($AL599),""))</f>
        <v/>
      </c>
      <c r="R599" s="45" t="str">
        <f>IF(OR($Q599="",NOT(ISNUMBER($V599))),"",$AK599/$V599)</f>
        <v/>
      </c>
      <c r="S599" s="46" t="str">
        <f>IF($Q599="","",IF(AND(ISNUMBER($R599),ABS(N($R599))&lt;N(Settings!$C$8)),"Scratch",IF($Q599&gt;0,"Win",IF($Q599&lt;0,"Loss","Scratch"))))</f>
        <v/>
      </c>
      <c r="T599" s="47" t="str">
        <f>IF(OR($AM599=0,NOT(ISNUMBER($H599)),NOT(ISNUMBER($I599)),NOT(ISNUMBER($J599))),"",IF($H599=$I599,"",ROUND(ABS($J599-$H599)/ABS($H599-$I599),6)))</f>
        <v/>
      </c>
      <c r="U599" s="48" t="str">
        <f>IF(OR($S599&lt;&gt;"Win",NOT(ISNUMBER($T599)),NOT(ISNUMBER($R599))),"",MAX(0,$T599-$R599))</f>
        <v/>
      </c>
      <c r="V599" s="49" t="str">
        <f>IF(OR($AM599=0,NOT(ISNUMBER($H599)),NOT(ISNUMBER($I599)),NOT(ISNUMBER($G599))),"",IF(OR($AG599="",$AH599=""),"",IF(ROUND(ABS($H599-$I599)*ABS($G599)*$AG599*$AH599,6)=0,"",ROUND(ABS($H599-$I599)*ABS($G599)*$AG599*$AH599,6))))</f>
        <v/>
      </c>
      <c r="W599" s="50" t="str">
        <f>IF($AM599=0,"",IF($BG599="","OK",LEFT($BG599,LEN($BG599)-2)))</f>
        <v/>
      </c>
      <c r="X599" s="41" t="n"/>
      <c r="Y599" s="40" t="n"/>
      <c r="Z599" s="41" t="n"/>
      <c r="AA599" s="41" t="n"/>
      <c r="AB599" s="40" t="n"/>
      <c r="AC599" s="51" t="n"/>
      <c r="AD599" s="51" t="n"/>
      <c r="AE599" s="40" t="n"/>
      <c r="AF599" s="52" t="str">
        <f>IF($AM599=0,"",IF($D599&lt;&gt;"",$D599,IF(IFERROR(INDEX(Accounts!$C$7:$C$16,MATCH($C599,Accounts!$B$7:$B$16,0))&amp;"","")&lt;&gt;"",INDEX(Accounts!$C$7:$C$16,MATCH($C599,Accounts!$B$7:$B$16,0)),Settings!$C$6)))</f>
        <v/>
      </c>
      <c r="AG599" s="53" t="str">
        <f>IF($AM599=0,"",IF(AND($BE599&gt;0,N(INDEX(Instruments!$D$6:$D$205,MAX(1,$BE599)))&gt;0),INDEX(Instruments!$D$6:$D$205,MAX(1,$BE599)),IF(N(INDEX(Settings!$D$14:$D$18,$BF599))&gt;0,INDEX(Settings!$D$14:$D$18,$BF599),"")))</f>
        <v/>
      </c>
      <c r="AH599" s="54" t="str">
        <f>IF($AM599=0,"",IF($AF599&lt;&gt;"Forex",1,IF(MID(UPPER(SUBSTITUTE(TRIM($E599),"/","")),4,3)=UPPER(TRIM(Settings!$C$7)),1,IF(LEFT(UPPER(SUBSTITUTE(TRIM($E599),"/","")),3)=UPPER(TRIM(Settings!$C$7)),IF(AND(ISNUMBER($K599),N($K599)&lt;&gt;0),1/$K599,""),""))))</f>
        <v/>
      </c>
      <c r="AI599" s="55" t="str">
        <f>IF($AM599=0,"",IF(OR(NOT(ISNUMBER($H599)),NOT(ISNUMBER($K599)),NOT(ISNUMBER($G599)),$AG599="",$AH599=""),"",ROUND(($K599-$H599)*IF($F599="Short",-1,1)*$G599*$AG599*$AH599,6)))</f>
        <v/>
      </c>
      <c r="AJ599" s="55" t="str">
        <f>IF($AM599=0,"",IF(INDEX(Settings!$E$14:$E$18,$BF599)="% of notional",IF(OR($AG599="",NOT(ISNUMBER($H599)),NOT(ISNUMBER($G599))),"",ROUND(ABS($H599*$G599*$AG599*N($AH599))*IF($L599="Limit",N(INDEX(Settings!$G$14:$G$18,$BF599)),N(INDEX(Settings!$H$14:$H$18,$BF599)))+IF(ISNUMBER($K599),ABS($K599*$G599*$AG599*N($AH599))*IF($M599="Target",N(INDEX(Settings!$G$14:$G$18,$BF599)),N(INDEX(Settings!$H$14:$H$18,$BF599))),0),6)),IF(NOT(ISNUMBER($G599)),"",ROUND(ABS($G599)*2*IF(AND($BE599&gt;0,ISNUMBER(INDEX(Instruments!$G$6:$G$205,MAX(1,$BE599)))),INDEX(Instruments!$G$6:$G$205,MAX(1,$BE599)),N(INDEX(Settings!$F$14:$F$18,$BF599))),6))))</f>
        <v/>
      </c>
      <c r="AK599" s="55" t="str">
        <f>IF($AM599=0,"",IF(ISNUMBER($O599),$O599,$AI599))</f>
        <v/>
      </c>
      <c r="AL599" s="55" t="str">
        <f>IF($AM599=0,"",IF(ISNUMBER($P599),$P599,N($AJ599)))</f>
        <v/>
      </c>
      <c r="AM599" s="56">
        <f>IF(AND($A599&lt;&gt;"",$E599&lt;&gt;"",OR(AND(ISNUMBER($G599),ISNUMBER($H599),ISNUMBER($K599)),ISNUMBER($O599))),1,0)</f>
        <v>0</v>
      </c>
      <c r="AN599" s="57" t="str">
        <f>IF($A599="","",$A599-WEEKDAY($A599,3))</f>
        <v/>
      </c>
      <c r="AO599" s="56" t="str">
        <f>IF($A599="","",WEEKDAY($A599,2))</f>
        <v/>
      </c>
      <c r="AP599" s="55" t="str">
        <f>IF(OR($AM599=0,$C599=""),"",IFERROR(N(INDEX(Accounts!$E$7:$E$16,MATCH($C599,Accounts!$B$7:$B$16,0))),0)+SUMIFS($Q$6:$Q599,$C$6:$C599,$C599))</f>
        <v/>
      </c>
      <c r="AQ599" s="55" t="str">
        <f>IF(OR($AM599=0,$C599=""),"",SUMIFS($Q$6:$Q$1005,$C$6:$C$1005,$C599,$A$6:$A$1005,$A599))</f>
        <v/>
      </c>
      <c r="AR599" s="55" t="str">
        <f>IF(OR($AM599=0,$C599=""),"",IFERROR(N(INDEX(Accounts!$E$7:$E$16,MATCH($C599,Accounts!$B$7:$B$16,0))),0)+SUMIFS($Q$6:$Q$1005,$C$6:$C$1005,$C599,$A$6:$A$1005,"&lt;="&amp;$A599))</f>
        <v/>
      </c>
      <c r="AS599" s="56">
        <f>IF(OR($AM599=0,$Q599=""),0,IF(AND($A599&gt;=Lists!$W$6,$A599&lt;=Lists!$W$7,OR(Dashboard!$D$6="All accounts",$C599=Dashboard!$D$6),OR(Dashboard!$D$7="All markets",$AF599=Dashboard!$D$7)),1,0))</f>
        <v>0</v>
      </c>
      <c r="AT599" s="55">
        <f>IF($AS599=1,N(AT598)+$Q599,N(AT598))</f>
        <v>1187.10688</v>
      </c>
      <c r="AU599" s="55">
        <f>MAX(N(AU598),$AT599)</f>
        <v>1187.10688</v>
      </c>
      <c r="AV599" s="55">
        <f>$AT599-$AU599</f>
        <v>0</v>
      </c>
      <c r="AW599" s="56">
        <f>IF($AS599=1,IF($S599="Win",N(AW598)+1,IF($S599="Loss",0,N(AW598))),N(AW598))</f>
        <v>5</v>
      </c>
      <c r="AX599" s="56">
        <f>IF($AS599=1,IF($S599="Loss",N(AX598)+1,IF($S599="Win",0,N(AX598))),N(AX598))</f>
        <v>0</v>
      </c>
      <c r="AY599" s="56" t="str">
        <f>IF($AS599=1,COUNTIF($AS$6:$AS599,1),"")</f>
        <v/>
      </c>
      <c r="AZ599" s="56">
        <f>MIN(593,N(Lists!$W$8))</f>
        <v>28</v>
      </c>
      <c r="BA599" s="56">
        <f>IF($AS599=1,IF(COUNTIFS($A$6:$A599,$A599,$AS$6:$AS599,1)=1,1,0),0)</f>
        <v>0</v>
      </c>
      <c r="BB599" s="55" t="str">
        <f>IF($BA599=1,SUMIFS($Q$6:$Q$1005,$A$6:$A$1005,$A599,$AS$6:$AS$1005,1),"")</f>
        <v/>
      </c>
      <c r="BC599" s="56">
        <f>IF(ISNUMBER($R599),1,0)</f>
        <v>0</v>
      </c>
      <c r="BD599" s="55" t="str">
        <f>IF(ISNUMBER($U599),$U599*$V599,"")</f>
        <v/>
      </c>
      <c r="BE599" s="56" t="str">
        <f>IF($AM599=0,"",IFERROR(MATCH($AF599&amp;"|"&amp;UPPER(TRIM($E599)),Lists!$A$6:$A$205,0),0))</f>
        <v/>
      </c>
      <c r="BF599" s="56" t="str">
        <f>IF($AM599=0,"",IFERROR(MATCH($AF599,Settings!$B$14:$B$18,0),IFERROR(MATCH(Settings!$C$6,Settings!$B$14:$B$18,0),1)))</f>
        <v/>
      </c>
      <c r="BG599" s="58" t="str">
        <f>IF($AM599=0,"",IF(NOT(ISNUMBER($I599)),"No stop; ","")&amp;IF(AND(ISNUMBER($H599),ISNUMBER($I599)),IF(OR(AND($F599&lt;&gt;"Short",$I599&gt;=$H599),AND($F599="Short",$I599&lt;=$H599)),"Stop on wrong side; ",""),"")&amp;IF($F599="","No direction; ","")&amp;IF(AND(ISNUMBER(Settings!$C$22),ISNUMBER($V599)),IF($V599&gt;Settings!$C$22,"Risk over max $; ",""),"")&amp;IF(AND(ISNUMBER(Settings!$C$23),ISNUMBER($V599),ISNUMBER($AP599),IFERROR(N(INDEX(Accounts!$E$7:$E$16,MATCH($C599,Accounts!$B$7:$B$16,0))),0)&gt;0),IF($V599&gt;Settings!$C$23*($AP599-N($Q599)),"Risk over max %; ",""),"")&amp;IF(AND(ISNUMBER(Settings!$C$24),ISNUMBER($N599)),IF($N599&gt;Settings!$C$24,"Leverage over max; ",""),"")&amp;IF(AND(ISNUMBER(Settings!$C$27),ISNUMBER($T599)),IF($T599&lt;Settings!$C$27,"R:R below min; ",""),"")&amp;IF(ISNUMBER(Settings!$C$25),IF(COUNTIFS($A$6:$A599,$A599,$AM$6:$AM599,1)&gt;Settings!$C$25,"Over max trades/day; ",""),"")&amp;IF(ISNUMBER(Settings!$C$26),IF(SUMIFS($Q$5:$Q598,$A$5:$A598,$A599)&lt;=-Settings!$C$26,"Traded after daily max loss; ",""),"")&amp;IF(AND($AG599="",NOT(ISNUMBER($O599))),"Symbol not in Instruments; ","")&amp;IF(AND($AH599="",NOT(ISNUMBER($O599))),"Forex cross: type Gross P&amp;L; ",""))</f>
        <v/>
      </c>
      <c r="BH599" s="56">
        <f>IF(ISNUMBER($Q599),1,0)</f>
        <v>0</v>
      </c>
      <c r="BI599" s="56">
        <f>IF($Y599="",0,1)</f>
        <v>0</v>
      </c>
      <c r="BJ599" s="56">
        <f>IF($AB599="",0,1)</f>
        <v>0</v>
      </c>
      <c r="BK599" s="56">
        <f>IF(AND($BH599=1,$W599&lt;&gt;"OK"),1,0)</f>
        <v>0</v>
      </c>
      <c r="BL599" s="55">
        <f>IF(N($AZ599)=0,0,IFERROR(INDEX($AT$6:$AT$1005,MATCH($AZ599,$AY$6:$AY$1005,0)),0))</f>
        <v>1187.10688</v>
      </c>
      <c r="BM599" s="56">
        <f>IF(ISNUMBER(SEARCH("daily max loss",$BG599)),1,0)</f>
        <v>0</v>
      </c>
    </row>
    <row r="600" ht="18" customHeight="1">
      <c r="A600" s="38" t="n"/>
      <c r="B600" s="39" t="n"/>
      <c r="C600" s="40" t="n"/>
      <c r="D600" s="41" t="n"/>
      <c r="E600" s="41" t="n"/>
      <c r="F600" s="41" t="n"/>
      <c r="G600" s="41" t="n"/>
      <c r="H600" s="42" t="n"/>
      <c r="I600" s="42" t="n"/>
      <c r="J600" s="42" t="n"/>
      <c r="K600" s="42" t="n"/>
      <c r="L600" s="41" t="n"/>
      <c r="M600" s="41" t="n"/>
      <c r="N600" s="41" t="n"/>
      <c r="O600" s="43" t="n"/>
      <c r="P600" s="43" t="n"/>
      <c r="Q600" s="44" t="str">
        <f>IF($AM600=0,"",IF(ISNUMBER($AK600),$AK600-N($AL600),""))</f>
        <v/>
      </c>
      <c r="R600" s="45" t="str">
        <f>IF(OR($Q600="",NOT(ISNUMBER($V600))),"",$AK600/$V600)</f>
        <v/>
      </c>
      <c r="S600" s="46" t="str">
        <f>IF($Q600="","",IF(AND(ISNUMBER($R600),ABS(N($R600))&lt;N(Settings!$C$8)),"Scratch",IF($Q600&gt;0,"Win",IF($Q600&lt;0,"Loss","Scratch"))))</f>
        <v/>
      </c>
      <c r="T600" s="47" t="str">
        <f>IF(OR($AM600=0,NOT(ISNUMBER($H600)),NOT(ISNUMBER($I600)),NOT(ISNUMBER($J600))),"",IF($H600=$I600,"",ROUND(ABS($J600-$H600)/ABS($H600-$I600),6)))</f>
        <v/>
      </c>
      <c r="U600" s="48" t="str">
        <f>IF(OR($S600&lt;&gt;"Win",NOT(ISNUMBER($T600)),NOT(ISNUMBER($R600))),"",MAX(0,$T600-$R600))</f>
        <v/>
      </c>
      <c r="V600" s="49" t="str">
        <f>IF(OR($AM600=0,NOT(ISNUMBER($H600)),NOT(ISNUMBER($I600)),NOT(ISNUMBER($G600))),"",IF(OR($AG600="",$AH600=""),"",IF(ROUND(ABS($H600-$I600)*ABS($G600)*$AG600*$AH600,6)=0,"",ROUND(ABS($H600-$I600)*ABS($G600)*$AG600*$AH600,6))))</f>
        <v/>
      </c>
      <c r="W600" s="50" t="str">
        <f>IF($AM600=0,"",IF($BG600="","OK",LEFT($BG600,LEN($BG600)-2)))</f>
        <v/>
      </c>
      <c r="X600" s="41" t="n"/>
      <c r="Y600" s="40" t="n"/>
      <c r="Z600" s="41" t="n"/>
      <c r="AA600" s="41" t="n"/>
      <c r="AB600" s="40" t="n"/>
      <c r="AC600" s="51" t="n"/>
      <c r="AD600" s="51" t="n"/>
      <c r="AE600" s="40" t="n"/>
      <c r="AF600" s="52" t="str">
        <f>IF($AM600=0,"",IF($D600&lt;&gt;"",$D600,IF(IFERROR(INDEX(Accounts!$C$7:$C$16,MATCH($C600,Accounts!$B$7:$B$16,0))&amp;"","")&lt;&gt;"",INDEX(Accounts!$C$7:$C$16,MATCH($C600,Accounts!$B$7:$B$16,0)),Settings!$C$6)))</f>
        <v/>
      </c>
      <c r="AG600" s="53" t="str">
        <f>IF($AM600=0,"",IF(AND($BE600&gt;0,N(INDEX(Instruments!$D$6:$D$205,MAX(1,$BE600)))&gt;0),INDEX(Instruments!$D$6:$D$205,MAX(1,$BE600)),IF(N(INDEX(Settings!$D$14:$D$18,$BF600))&gt;0,INDEX(Settings!$D$14:$D$18,$BF600),"")))</f>
        <v/>
      </c>
      <c r="AH600" s="54" t="str">
        <f>IF($AM600=0,"",IF($AF600&lt;&gt;"Forex",1,IF(MID(UPPER(SUBSTITUTE(TRIM($E600),"/","")),4,3)=UPPER(TRIM(Settings!$C$7)),1,IF(LEFT(UPPER(SUBSTITUTE(TRIM($E600),"/","")),3)=UPPER(TRIM(Settings!$C$7)),IF(AND(ISNUMBER($K600),N($K600)&lt;&gt;0),1/$K600,""),""))))</f>
        <v/>
      </c>
      <c r="AI600" s="55" t="str">
        <f>IF($AM600=0,"",IF(OR(NOT(ISNUMBER($H600)),NOT(ISNUMBER($K600)),NOT(ISNUMBER($G600)),$AG600="",$AH600=""),"",ROUND(($K600-$H600)*IF($F600="Short",-1,1)*$G600*$AG600*$AH600,6)))</f>
        <v/>
      </c>
      <c r="AJ600" s="55" t="str">
        <f>IF($AM600=0,"",IF(INDEX(Settings!$E$14:$E$18,$BF600)="% of notional",IF(OR($AG600="",NOT(ISNUMBER($H600)),NOT(ISNUMBER($G600))),"",ROUND(ABS($H600*$G600*$AG600*N($AH600))*IF($L600="Limit",N(INDEX(Settings!$G$14:$G$18,$BF600)),N(INDEX(Settings!$H$14:$H$18,$BF600)))+IF(ISNUMBER($K600),ABS($K600*$G600*$AG600*N($AH600))*IF($M600="Target",N(INDEX(Settings!$G$14:$G$18,$BF600)),N(INDEX(Settings!$H$14:$H$18,$BF600))),0),6)),IF(NOT(ISNUMBER($G600)),"",ROUND(ABS($G600)*2*IF(AND($BE600&gt;0,ISNUMBER(INDEX(Instruments!$G$6:$G$205,MAX(1,$BE600)))),INDEX(Instruments!$G$6:$G$205,MAX(1,$BE600)),N(INDEX(Settings!$F$14:$F$18,$BF600))),6))))</f>
        <v/>
      </c>
      <c r="AK600" s="55" t="str">
        <f>IF($AM600=0,"",IF(ISNUMBER($O600),$O600,$AI600))</f>
        <v/>
      </c>
      <c r="AL600" s="55" t="str">
        <f>IF($AM600=0,"",IF(ISNUMBER($P600),$P600,N($AJ600)))</f>
        <v/>
      </c>
      <c r="AM600" s="56">
        <f>IF(AND($A600&lt;&gt;"",$E600&lt;&gt;"",OR(AND(ISNUMBER($G600),ISNUMBER($H600),ISNUMBER($K600)),ISNUMBER($O600))),1,0)</f>
        <v>0</v>
      </c>
      <c r="AN600" s="57" t="str">
        <f>IF($A600="","",$A600-WEEKDAY($A600,3))</f>
        <v/>
      </c>
      <c r="AO600" s="56" t="str">
        <f>IF($A600="","",WEEKDAY($A600,2))</f>
        <v/>
      </c>
      <c r="AP600" s="55" t="str">
        <f>IF(OR($AM600=0,$C600=""),"",IFERROR(N(INDEX(Accounts!$E$7:$E$16,MATCH($C600,Accounts!$B$7:$B$16,0))),0)+SUMIFS($Q$6:$Q600,$C$6:$C600,$C600))</f>
        <v/>
      </c>
      <c r="AQ600" s="55" t="str">
        <f>IF(OR($AM600=0,$C600=""),"",SUMIFS($Q$6:$Q$1005,$C$6:$C$1005,$C600,$A$6:$A$1005,$A600))</f>
        <v/>
      </c>
      <c r="AR600" s="55" t="str">
        <f>IF(OR($AM600=0,$C600=""),"",IFERROR(N(INDEX(Accounts!$E$7:$E$16,MATCH($C600,Accounts!$B$7:$B$16,0))),0)+SUMIFS($Q$6:$Q$1005,$C$6:$C$1005,$C600,$A$6:$A$1005,"&lt;="&amp;$A600))</f>
        <v/>
      </c>
      <c r="AS600" s="56">
        <f>IF(OR($AM600=0,$Q600=""),0,IF(AND($A600&gt;=Lists!$W$6,$A600&lt;=Lists!$W$7,OR(Dashboard!$D$6="All accounts",$C600=Dashboard!$D$6),OR(Dashboard!$D$7="All markets",$AF600=Dashboard!$D$7)),1,0))</f>
        <v>0</v>
      </c>
      <c r="AT600" s="55">
        <f>IF($AS600=1,N(AT599)+$Q600,N(AT599))</f>
        <v>1187.10688</v>
      </c>
      <c r="AU600" s="55">
        <f>MAX(N(AU599),$AT600)</f>
        <v>1187.10688</v>
      </c>
      <c r="AV600" s="55">
        <f>$AT600-$AU600</f>
        <v>0</v>
      </c>
      <c r="AW600" s="56">
        <f>IF($AS600=1,IF($S600="Win",N(AW599)+1,IF($S600="Loss",0,N(AW599))),N(AW599))</f>
        <v>5</v>
      </c>
      <c r="AX600" s="56">
        <f>IF($AS600=1,IF($S600="Loss",N(AX599)+1,IF($S600="Win",0,N(AX599))),N(AX599))</f>
        <v>0</v>
      </c>
      <c r="AY600" s="56" t="str">
        <f>IF($AS600=1,COUNTIF($AS$6:$AS600,1),"")</f>
        <v/>
      </c>
      <c r="AZ600" s="56">
        <f>MIN(594,N(Lists!$W$8))</f>
        <v>28</v>
      </c>
      <c r="BA600" s="56">
        <f>IF($AS600=1,IF(COUNTIFS($A$6:$A600,$A600,$AS$6:$AS600,1)=1,1,0),0)</f>
        <v>0</v>
      </c>
      <c r="BB600" s="55" t="str">
        <f>IF($BA600=1,SUMIFS($Q$6:$Q$1005,$A$6:$A$1005,$A600,$AS$6:$AS$1005,1),"")</f>
        <v/>
      </c>
      <c r="BC600" s="56">
        <f>IF(ISNUMBER($R600),1,0)</f>
        <v>0</v>
      </c>
      <c r="BD600" s="55" t="str">
        <f>IF(ISNUMBER($U600),$U600*$V600,"")</f>
        <v/>
      </c>
      <c r="BE600" s="56" t="str">
        <f>IF($AM600=0,"",IFERROR(MATCH($AF600&amp;"|"&amp;UPPER(TRIM($E600)),Lists!$A$6:$A$205,0),0))</f>
        <v/>
      </c>
      <c r="BF600" s="56" t="str">
        <f>IF($AM600=0,"",IFERROR(MATCH($AF600,Settings!$B$14:$B$18,0),IFERROR(MATCH(Settings!$C$6,Settings!$B$14:$B$18,0),1)))</f>
        <v/>
      </c>
      <c r="BG600" s="58" t="str">
        <f>IF($AM600=0,"",IF(NOT(ISNUMBER($I600)),"No stop; ","")&amp;IF(AND(ISNUMBER($H600),ISNUMBER($I600)),IF(OR(AND($F600&lt;&gt;"Short",$I600&gt;=$H600),AND($F600="Short",$I600&lt;=$H600)),"Stop on wrong side; ",""),"")&amp;IF($F600="","No direction; ","")&amp;IF(AND(ISNUMBER(Settings!$C$22),ISNUMBER($V600)),IF($V600&gt;Settings!$C$22,"Risk over max $; ",""),"")&amp;IF(AND(ISNUMBER(Settings!$C$23),ISNUMBER($V600),ISNUMBER($AP600),IFERROR(N(INDEX(Accounts!$E$7:$E$16,MATCH($C600,Accounts!$B$7:$B$16,0))),0)&gt;0),IF($V600&gt;Settings!$C$23*($AP600-N($Q600)),"Risk over max %; ",""),"")&amp;IF(AND(ISNUMBER(Settings!$C$24),ISNUMBER($N600)),IF($N600&gt;Settings!$C$24,"Leverage over max; ",""),"")&amp;IF(AND(ISNUMBER(Settings!$C$27),ISNUMBER($T600)),IF($T600&lt;Settings!$C$27,"R:R below min; ",""),"")&amp;IF(ISNUMBER(Settings!$C$25),IF(COUNTIFS($A$6:$A600,$A600,$AM$6:$AM600,1)&gt;Settings!$C$25,"Over max trades/day; ",""),"")&amp;IF(ISNUMBER(Settings!$C$26),IF(SUMIFS($Q$5:$Q599,$A$5:$A599,$A600)&lt;=-Settings!$C$26,"Traded after daily max loss; ",""),"")&amp;IF(AND($AG600="",NOT(ISNUMBER($O600))),"Symbol not in Instruments; ","")&amp;IF(AND($AH600="",NOT(ISNUMBER($O600))),"Forex cross: type Gross P&amp;L; ",""))</f>
        <v/>
      </c>
      <c r="BH600" s="56">
        <f>IF(ISNUMBER($Q600),1,0)</f>
        <v>0</v>
      </c>
      <c r="BI600" s="56">
        <f>IF($Y600="",0,1)</f>
        <v>0</v>
      </c>
      <c r="BJ600" s="56">
        <f>IF($AB600="",0,1)</f>
        <v>0</v>
      </c>
      <c r="BK600" s="56">
        <f>IF(AND($BH600=1,$W600&lt;&gt;"OK"),1,0)</f>
        <v>0</v>
      </c>
      <c r="BL600" s="55">
        <f>IF(N($AZ600)=0,0,IFERROR(INDEX($AT$6:$AT$1005,MATCH($AZ600,$AY$6:$AY$1005,0)),0))</f>
        <v>1187.10688</v>
      </c>
      <c r="BM600" s="56">
        <f>IF(ISNUMBER(SEARCH("daily max loss",$BG600)),1,0)</f>
        <v>0</v>
      </c>
    </row>
    <row r="601" ht="18" customHeight="1">
      <c r="A601" s="38" t="n"/>
      <c r="B601" s="39" t="n"/>
      <c r="C601" s="40" t="n"/>
      <c r="D601" s="41" t="n"/>
      <c r="E601" s="41" t="n"/>
      <c r="F601" s="41" t="n"/>
      <c r="G601" s="41" t="n"/>
      <c r="H601" s="42" t="n"/>
      <c r="I601" s="42" t="n"/>
      <c r="J601" s="42" t="n"/>
      <c r="K601" s="42" t="n"/>
      <c r="L601" s="41" t="n"/>
      <c r="M601" s="41" t="n"/>
      <c r="N601" s="41" t="n"/>
      <c r="O601" s="43" t="n"/>
      <c r="P601" s="43" t="n"/>
      <c r="Q601" s="44" t="str">
        <f>IF($AM601=0,"",IF(ISNUMBER($AK601),$AK601-N($AL601),""))</f>
        <v/>
      </c>
      <c r="R601" s="45" t="str">
        <f>IF(OR($Q601="",NOT(ISNUMBER($V601))),"",$AK601/$V601)</f>
        <v/>
      </c>
      <c r="S601" s="46" t="str">
        <f>IF($Q601="","",IF(AND(ISNUMBER($R601),ABS(N($R601))&lt;N(Settings!$C$8)),"Scratch",IF($Q601&gt;0,"Win",IF($Q601&lt;0,"Loss","Scratch"))))</f>
        <v/>
      </c>
      <c r="T601" s="47" t="str">
        <f>IF(OR($AM601=0,NOT(ISNUMBER($H601)),NOT(ISNUMBER($I601)),NOT(ISNUMBER($J601))),"",IF($H601=$I601,"",ROUND(ABS($J601-$H601)/ABS($H601-$I601),6)))</f>
        <v/>
      </c>
      <c r="U601" s="48" t="str">
        <f>IF(OR($S601&lt;&gt;"Win",NOT(ISNUMBER($T601)),NOT(ISNUMBER($R601))),"",MAX(0,$T601-$R601))</f>
        <v/>
      </c>
      <c r="V601" s="49" t="str">
        <f>IF(OR($AM601=0,NOT(ISNUMBER($H601)),NOT(ISNUMBER($I601)),NOT(ISNUMBER($G601))),"",IF(OR($AG601="",$AH601=""),"",IF(ROUND(ABS($H601-$I601)*ABS($G601)*$AG601*$AH601,6)=0,"",ROUND(ABS($H601-$I601)*ABS($G601)*$AG601*$AH601,6))))</f>
        <v/>
      </c>
      <c r="W601" s="50" t="str">
        <f>IF($AM601=0,"",IF($BG601="","OK",LEFT($BG601,LEN($BG601)-2)))</f>
        <v/>
      </c>
      <c r="X601" s="41" t="n"/>
      <c r="Y601" s="40" t="n"/>
      <c r="Z601" s="41" t="n"/>
      <c r="AA601" s="41" t="n"/>
      <c r="AB601" s="40" t="n"/>
      <c r="AC601" s="51" t="n"/>
      <c r="AD601" s="51" t="n"/>
      <c r="AE601" s="40" t="n"/>
      <c r="AF601" s="52" t="str">
        <f>IF($AM601=0,"",IF($D601&lt;&gt;"",$D601,IF(IFERROR(INDEX(Accounts!$C$7:$C$16,MATCH($C601,Accounts!$B$7:$B$16,0))&amp;"","")&lt;&gt;"",INDEX(Accounts!$C$7:$C$16,MATCH($C601,Accounts!$B$7:$B$16,0)),Settings!$C$6)))</f>
        <v/>
      </c>
      <c r="AG601" s="53" t="str">
        <f>IF($AM601=0,"",IF(AND($BE601&gt;0,N(INDEX(Instruments!$D$6:$D$205,MAX(1,$BE601)))&gt;0),INDEX(Instruments!$D$6:$D$205,MAX(1,$BE601)),IF(N(INDEX(Settings!$D$14:$D$18,$BF601))&gt;0,INDEX(Settings!$D$14:$D$18,$BF601),"")))</f>
        <v/>
      </c>
      <c r="AH601" s="54" t="str">
        <f>IF($AM601=0,"",IF($AF601&lt;&gt;"Forex",1,IF(MID(UPPER(SUBSTITUTE(TRIM($E601),"/","")),4,3)=UPPER(TRIM(Settings!$C$7)),1,IF(LEFT(UPPER(SUBSTITUTE(TRIM($E601),"/","")),3)=UPPER(TRIM(Settings!$C$7)),IF(AND(ISNUMBER($K601),N($K601)&lt;&gt;0),1/$K601,""),""))))</f>
        <v/>
      </c>
      <c r="AI601" s="55" t="str">
        <f>IF($AM601=0,"",IF(OR(NOT(ISNUMBER($H601)),NOT(ISNUMBER($K601)),NOT(ISNUMBER($G601)),$AG601="",$AH601=""),"",ROUND(($K601-$H601)*IF($F601="Short",-1,1)*$G601*$AG601*$AH601,6)))</f>
        <v/>
      </c>
      <c r="AJ601" s="55" t="str">
        <f>IF($AM601=0,"",IF(INDEX(Settings!$E$14:$E$18,$BF601)="% of notional",IF(OR($AG601="",NOT(ISNUMBER($H601)),NOT(ISNUMBER($G601))),"",ROUND(ABS($H601*$G601*$AG601*N($AH601))*IF($L601="Limit",N(INDEX(Settings!$G$14:$G$18,$BF601)),N(INDEX(Settings!$H$14:$H$18,$BF601)))+IF(ISNUMBER($K601),ABS($K601*$G601*$AG601*N($AH601))*IF($M601="Target",N(INDEX(Settings!$G$14:$G$18,$BF601)),N(INDEX(Settings!$H$14:$H$18,$BF601))),0),6)),IF(NOT(ISNUMBER($G601)),"",ROUND(ABS($G601)*2*IF(AND($BE601&gt;0,ISNUMBER(INDEX(Instruments!$G$6:$G$205,MAX(1,$BE601)))),INDEX(Instruments!$G$6:$G$205,MAX(1,$BE601)),N(INDEX(Settings!$F$14:$F$18,$BF601))),6))))</f>
        <v/>
      </c>
      <c r="AK601" s="55" t="str">
        <f>IF($AM601=0,"",IF(ISNUMBER($O601),$O601,$AI601))</f>
        <v/>
      </c>
      <c r="AL601" s="55" t="str">
        <f>IF($AM601=0,"",IF(ISNUMBER($P601),$P601,N($AJ601)))</f>
        <v/>
      </c>
      <c r="AM601" s="56">
        <f>IF(AND($A601&lt;&gt;"",$E601&lt;&gt;"",OR(AND(ISNUMBER($G601),ISNUMBER($H601),ISNUMBER($K601)),ISNUMBER($O601))),1,0)</f>
        <v>0</v>
      </c>
      <c r="AN601" s="57" t="str">
        <f>IF($A601="","",$A601-WEEKDAY($A601,3))</f>
        <v/>
      </c>
      <c r="AO601" s="56" t="str">
        <f>IF($A601="","",WEEKDAY($A601,2))</f>
        <v/>
      </c>
      <c r="AP601" s="55" t="str">
        <f>IF(OR($AM601=0,$C601=""),"",IFERROR(N(INDEX(Accounts!$E$7:$E$16,MATCH($C601,Accounts!$B$7:$B$16,0))),0)+SUMIFS($Q$6:$Q601,$C$6:$C601,$C601))</f>
        <v/>
      </c>
      <c r="AQ601" s="55" t="str">
        <f>IF(OR($AM601=0,$C601=""),"",SUMIFS($Q$6:$Q$1005,$C$6:$C$1005,$C601,$A$6:$A$1005,$A601))</f>
        <v/>
      </c>
      <c r="AR601" s="55" t="str">
        <f>IF(OR($AM601=0,$C601=""),"",IFERROR(N(INDEX(Accounts!$E$7:$E$16,MATCH($C601,Accounts!$B$7:$B$16,0))),0)+SUMIFS($Q$6:$Q$1005,$C$6:$C$1005,$C601,$A$6:$A$1005,"&lt;="&amp;$A601))</f>
        <v/>
      </c>
      <c r="AS601" s="56">
        <f>IF(OR($AM601=0,$Q601=""),0,IF(AND($A601&gt;=Lists!$W$6,$A601&lt;=Lists!$W$7,OR(Dashboard!$D$6="All accounts",$C601=Dashboard!$D$6),OR(Dashboard!$D$7="All markets",$AF601=Dashboard!$D$7)),1,0))</f>
        <v>0</v>
      </c>
      <c r="AT601" s="55">
        <f>IF($AS601=1,N(AT600)+$Q601,N(AT600))</f>
        <v>1187.10688</v>
      </c>
      <c r="AU601" s="55">
        <f>MAX(N(AU600),$AT601)</f>
        <v>1187.10688</v>
      </c>
      <c r="AV601" s="55">
        <f>$AT601-$AU601</f>
        <v>0</v>
      </c>
      <c r="AW601" s="56">
        <f>IF($AS601=1,IF($S601="Win",N(AW600)+1,IF($S601="Loss",0,N(AW600))),N(AW600))</f>
        <v>5</v>
      </c>
      <c r="AX601" s="56">
        <f>IF($AS601=1,IF($S601="Loss",N(AX600)+1,IF($S601="Win",0,N(AX600))),N(AX600))</f>
        <v>0</v>
      </c>
      <c r="AY601" s="56" t="str">
        <f>IF($AS601=1,COUNTIF($AS$6:$AS601,1),"")</f>
        <v/>
      </c>
      <c r="AZ601" s="56">
        <f>MIN(595,N(Lists!$W$8))</f>
        <v>28</v>
      </c>
      <c r="BA601" s="56">
        <f>IF($AS601=1,IF(COUNTIFS($A$6:$A601,$A601,$AS$6:$AS601,1)=1,1,0),0)</f>
        <v>0</v>
      </c>
      <c r="BB601" s="55" t="str">
        <f>IF($BA601=1,SUMIFS($Q$6:$Q$1005,$A$6:$A$1005,$A601,$AS$6:$AS$1005,1),"")</f>
        <v/>
      </c>
      <c r="BC601" s="56">
        <f>IF(ISNUMBER($R601),1,0)</f>
        <v>0</v>
      </c>
      <c r="BD601" s="55" t="str">
        <f>IF(ISNUMBER($U601),$U601*$V601,"")</f>
        <v/>
      </c>
      <c r="BE601" s="56" t="str">
        <f>IF($AM601=0,"",IFERROR(MATCH($AF601&amp;"|"&amp;UPPER(TRIM($E601)),Lists!$A$6:$A$205,0),0))</f>
        <v/>
      </c>
      <c r="BF601" s="56" t="str">
        <f>IF($AM601=0,"",IFERROR(MATCH($AF601,Settings!$B$14:$B$18,0),IFERROR(MATCH(Settings!$C$6,Settings!$B$14:$B$18,0),1)))</f>
        <v/>
      </c>
      <c r="BG601" s="58" t="str">
        <f>IF($AM601=0,"",IF(NOT(ISNUMBER($I601)),"No stop; ","")&amp;IF(AND(ISNUMBER($H601),ISNUMBER($I601)),IF(OR(AND($F601&lt;&gt;"Short",$I601&gt;=$H601),AND($F601="Short",$I601&lt;=$H601)),"Stop on wrong side; ",""),"")&amp;IF($F601="","No direction; ","")&amp;IF(AND(ISNUMBER(Settings!$C$22),ISNUMBER($V601)),IF($V601&gt;Settings!$C$22,"Risk over max $; ",""),"")&amp;IF(AND(ISNUMBER(Settings!$C$23),ISNUMBER($V601),ISNUMBER($AP601),IFERROR(N(INDEX(Accounts!$E$7:$E$16,MATCH($C601,Accounts!$B$7:$B$16,0))),0)&gt;0),IF($V601&gt;Settings!$C$23*($AP601-N($Q601)),"Risk over max %; ",""),"")&amp;IF(AND(ISNUMBER(Settings!$C$24),ISNUMBER($N601)),IF($N601&gt;Settings!$C$24,"Leverage over max; ",""),"")&amp;IF(AND(ISNUMBER(Settings!$C$27),ISNUMBER($T601)),IF($T601&lt;Settings!$C$27,"R:R below min; ",""),"")&amp;IF(ISNUMBER(Settings!$C$25),IF(COUNTIFS($A$6:$A601,$A601,$AM$6:$AM601,1)&gt;Settings!$C$25,"Over max trades/day; ",""),"")&amp;IF(ISNUMBER(Settings!$C$26),IF(SUMIFS($Q$5:$Q600,$A$5:$A600,$A601)&lt;=-Settings!$C$26,"Traded after daily max loss; ",""),"")&amp;IF(AND($AG601="",NOT(ISNUMBER($O601))),"Symbol not in Instruments; ","")&amp;IF(AND($AH601="",NOT(ISNUMBER($O601))),"Forex cross: type Gross P&amp;L; ",""))</f>
        <v/>
      </c>
      <c r="BH601" s="56">
        <f>IF(ISNUMBER($Q601),1,0)</f>
        <v>0</v>
      </c>
      <c r="BI601" s="56">
        <f>IF($Y601="",0,1)</f>
        <v>0</v>
      </c>
      <c r="BJ601" s="56">
        <f>IF($AB601="",0,1)</f>
        <v>0</v>
      </c>
      <c r="BK601" s="56">
        <f>IF(AND($BH601=1,$W601&lt;&gt;"OK"),1,0)</f>
        <v>0</v>
      </c>
      <c r="BL601" s="55">
        <f>IF(N($AZ601)=0,0,IFERROR(INDEX($AT$6:$AT$1005,MATCH($AZ601,$AY$6:$AY$1005,0)),0))</f>
        <v>1187.10688</v>
      </c>
      <c r="BM601" s="56">
        <f>IF(ISNUMBER(SEARCH("daily max loss",$BG601)),1,0)</f>
        <v>0</v>
      </c>
    </row>
    <row r="602" ht="18" customHeight="1">
      <c r="A602" s="38" t="n"/>
      <c r="B602" s="39" t="n"/>
      <c r="C602" s="40" t="n"/>
      <c r="D602" s="41" t="n"/>
      <c r="E602" s="41" t="n"/>
      <c r="F602" s="41" t="n"/>
      <c r="G602" s="41" t="n"/>
      <c r="H602" s="42" t="n"/>
      <c r="I602" s="42" t="n"/>
      <c r="J602" s="42" t="n"/>
      <c r="K602" s="42" t="n"/>
      <c r="L602" s="41" t="n"/>
      <c r="M602" s="41" t="n"/>
      <c r="N602" s="41" t="n"/>
      <c r="O602" s="43" t="n"/>
      <c r="P602" s="43" t="n"/>
      <c r="Q602" s="44" t="str">
        <f>IF($AM602=0,"",IF(ISNUMBER($AK602),$AK602-N($AL602),""))</f>
        <v/>
      </c>
      <c r="R602" s="45" t="str">
        <f>IF(OR($Q602="",NOT(ISNUMBER($V602))),"",$AK602/$V602)</f>
        <v/>
      </c>
      <c r="S602" s="46" t="str">
        <f>IF($Q602="","",IF(AND(ISNUMBER($R602),ABS(N($R602))&lt;N(Settings!$C$8)),"Scratch",IF($Q602&gt;0,"Win",IF($Q602&lt;0,"Loss","Scratch"))))</f>
        <v/>
      </c>
      <c r="T602" s="47" t="str">
        <f>IF(OR($AM602=0,NOT(ISNUMBER($H602)),NOT(ISNUMBER($I602)),NOT(ISNUMBER($J602))),"",IF($H602=$I602,"",ROUND(ABS($J602-$H602)/ABS($H602-$I602),6)))</f>
        <v/>
      </c>
      <c r="U602" s="48" t="str">
        <f>IF(OR($S602&lt;&gt;"Win",NOT(ISNUMBER($T602)),NOT(ISNUMBER($R602))),"",MAX(0,$T602-$R602))</f>
        <v/>
      </c>
      <c r="V602" s="49" t="str">
        <f>IF(OR($AM602=0,NOT(ISNUMBER($H602)),NOT(ISNUMBER($I602)),NOT(ISNUMBER($G602))),"",IF(OR($AG602="",$AH602=""),"",IF(ROUND(ABS($H602-$I602)*ABS($G602)*$AG602*$AH602,6)=0,"",ROUND(ABS($H602-$I602)*ABS($G602)*$AG602*$AH602,6))))</f>
        <v/>
      </c>
      <c r="W602" s="50" t="str">
        <f>IF($AM602=0,"",IF($BG602="","OK",LEFT($BG602,LEN($BG602)-2)))</f>
        <v/>
      </c>
      <c r="X602" s="41" t="n"/>
      <c r="Y602" s="40" t="n"/>
      <c r="Z602" s="41" t="n"/>
      <c r="AA602" s="41" t="n"/>
      <c r="AB602" s="40" t="n"/>
      <c r="AC602" s="51" t="n"/>
      <c r="AD602" s="51" t="n"/>
      <c r="AE602" s="40" t="n"/>
      <c r="AF602" s="52" t="str">
        <f>IF($AM602=0,"",IF($D602&lt;&gt;"",$D602,IF(IFERROR(INDEX(Accounts!$C$7:$C$16,MATCH($C602,Accounts!$B$7:$B$16,0))&amp;"","")&lt;&gt;"",INDEX(Accounts!$C$7:$C$16,MATCH($C602,Accounts!$B$7:$B$16,0)),Settings!$C$6)))</f>
        <v/>
      </c>
      <c r="AG602" s="53" t="str">
        <f>IF($AM602=0,"",IF(AND($BE602&gt;0,N(INDEX(Instruments!$D$6:$D$205,MAX(1,$BE602)))&gt;0),INDEX(Instruments!$D$6:$D$205,MAX(1,$BE602)),IF(N(INDEX(Settings!$D$14:$D$18,$BF602))&gt;0,INDEX(Settings!$D$14:$D$18,$BF602),"")))</f>
        <v/>
      </c>
      <c r="AH602" s="54" t="str">
        <f>IF($AM602=0,"",IF($AF602&lt;&gt;"Forex",1,IF(MID(UPPER(SUBSTITUTE(TRIM($E602),"/","")),4,3)=UPPER(TRIM(Settings!$C$7)),1,IF(LEFT(UPPER(SUBSTITUTE(TRIM($E602),"/","")),3)=UPPER(TRIM(Settings!$C$7)),IF(AND(ISNUMBER($K602),N($K602)&lt;&gt;0),1/$K602,""),""))))</f>
        <v/>
      </c>
      <c r="AI602" s="55" t="str">
        <f>IF($AM602=0,"",IF(OR(NOT(ISNUMBER($H602)),NOT(ISNUMBER($K602)),NOT(ISNUMBER($G602)),$AG602="",$AH602=""),"",ROUND(($K602-$H602)*IF($F602="Short",-1,1)*$G602*$AG602*$AH602,6)))</f>
        <v/>
      </c>
      <c r="AJ602" s="55" t="str">
        <f>IF($AM602=0,"",IF(INDEX(Settings!$E$14:$E$18,$BF602)="% of notional",IF(OR($AG602="",NOT(ISNUMBER($H602)),NOT(ISNUMBER($G602))),"",ROUND(ABS($H602*$G602*$AG602*N($AH602))*IF($L602="Limit",N(INDEX(Settings!$G$14:$G$18,$BF602)),N(INDEX(Settings!$H$14:$H$18,$BF602)))+IF(ISNUMBER($K602),ABS($K602*$G602*$AG602*N($AH602))*IF($M602="Target",N(INDEX(Settings!$G$14:$G$18,$BF602)),N(INDEX(Settings!$H$14:$H$18,$BF602))),0),6)),IF(NOT(ISNUMBER($G602)),"",ROUND(ABS($G602)*2*IF(AND($BE602&gt;0,ISNUMBER(INDEX(Instruments!$G$6:$G$205,MAX(1,$BE602)))),INDEX(Instruments!$G$6:$G$205,MAX(1,$BE602)),N(INDEX(Settings!$F$14:$F$18,$BF602))),6))))</f>
        <v/>
      </c>
      <c r="AK602" s="55" t="str">
        <f>IF($AM602=0,"",IF(ISNUMBER($O602),$O602,$AI602))</f>
        <v/>
      </c>
      <c r="AL602" s="55" t="str">
        <f>IF($AM602=0,"",IF(ISNUMBER($P602),$P602,N($AJ602)))</f>
        <v/>
      </c>
      <c r="AM602" s="56">
        <f>IF(AND($A602&lt;&gt;"",$E602&lt;&gt;"",OR(AND(ISNUMBER($G602),ISNUMBER($H602),ISNUMBER($K602)),ISNUMBER($O602))),1,0)</f>
        <v>0</v>
      </c>
      <c r="AN602" s="57" t="str">
        <f>IF($A602="","",$A602-WEEKDAY($A602,3))</f>
        <v/>
      </c>
      <c r="AO602" s="56" t="str">
        <f>IF($A602="","",WEEKDAY($A602,2))</f>
        <v/>
      </c>
      <c r="AP602" s="55" t="str">
        <f>IF(OR($AM602=0,$C602=""),"",IFERROR(N(INDEX(Accounts!$E$7:$E$16,MATCH($C602,Accounts!$B$7:$B$16,0))),0)+SUMIFS($Q$6:$Q602,$C$6:$C602,$C602))</f>
        <v/>
      </c>
      <c r="AQ602" s="55" t="str">
        <f>IF(OR($AM602=0,$C602=""),"",SUMIFS($Q$6:$Q$1005,$C$6:$C$1005,$C602,$A$6:$A$1005,$A602))</f>
        <v/>
      </c>
      <c r="AR602" s="55" t="str">
        <f>IF(OR($AM602=0,$C602=""),"",IFERROR(N(INDEX(Accounts!$E$7:$E$16,MATCH($C602,Accounts!$B$7:$B$16,0))),0)+SUMIFS($Q$6:$Q$1005,$C$6:$C$1005,$C602,$A$6:$A$1005,"&lt;="&amp;$A602))</f>
        <v/>
      </c>
      <c r="AS602" s="56">
        <f>IF(OR($AM602=0,$Q602=""),0,IF(AND($A602&gt;=Lists!$W$6,$A602&lt;=Lists!$W$7,OR(Dashboard!$D$6="All accounts",$C602=Dashboard!$D$6),OR(Dashboard!$D$7="All markets",$AF602=Dashboard!$D$7)),1,0))</f>
        <v>0</v>
      </c>
      <c r="AT602" s="55">
        <f>IF($AS602=1,N(AT601)+$Q602,N(AT601))</f>
        <v>1187.10688</v>
      </c>
      <c r="AU602" s="55">
        <f>MAX(N(AU601),$AT602)</f>
        <v>1187.10688</v>
      </c>
      <c r="AV602" s="55">
        <f>$AT602-$AU602</f>
        <v>0</v>
      </c>
      <c r="AW602" s="56">
        <f>IF($AS602=1,IF($S602="Win",N(AW601)+1,IF($S602="Loss",0,N(AW601))),N(AW601))</f>
        <v>5</v>
      </c>
      <c r="AX602" s="56">
        <f>IF($AS602=1,IF($S602="Loss",N(AX601)+1,IF($S602="Win",0,N(AX601))),N(AX601))</f>
        <v>0</v>
      </c>
      <c r="AY602" s="56" t="str">
        <f>IF($AS602=1,COUNTIF($AS$6:$AS602,1),"")</f>
        <v/>
      </c>
      <c r="AZ602" s="56">
        <f>MIN(596,N(Lists!$W$8))</f>
        <v>28</v>
      </c>
      <c r="BA602" s="56">
        <f>IF($AS602=1,IF(COUNTIFS($A$6:$A602,$A602,$AS$6:$AS602,1)=1,1,0),0)</f>
        <v>0</v>
      </c>
      <c r="BB602" s="55" t="str">
        <f>IF($BA602=1,SUMIFS($Q$6:$Q$1005,$A$6:$A$1005,$A602,$AS$6:$AS$1005,1),"")</f>
        <v/>
      </c>
      <c r="BC602" s="56">
        <f>IF(ISNUMBER($R602),1,0)</f>
        <v>0</v>
      </c>
      <c r="BD602" s="55" t="str">
        <f>IF(ISNUMBER($U602),$U602*$V602,"")</f>
        <v/>
      </c>
      <c r="BE602" s="56" t="str">
        <f>IF($AM602=0,"",IFERROR(MATCH($AF602&amp;"|"&amp;UPPER(TRIM($E602)),Lists!$A$6:$A$205,0),0))</f>
        <v/>
      </c>
      <c r="BF602" s="56" t="str">
        <f>IF($AM602=0,"",IFERROR(MATCH($AF602,Settings!$B$14:$B$18,0),IFERROR(MATCH(Settings!$C$6,Settings!$B$14:$B$18,0),1)))</f>
        <v/>
      </c>
      <c r="BG602" s="58" t="str">
        <f>IF($AM602=0,"",IF(NOT(ISNUMBER($I602)),"No stop; ","")&amp;IF(AND(ISNUMBER($H602),ISNUMBER($I602)),IF(OR(AND($F602&lt;&gt;"Short",$I602&gt;=$H602),AND($F602="Short",$I602&lt;=$H602)),"Stop on wrong side; ",""),"")&amp;IF($F602="","No direction; ","")&amp;IF(AND(ISNUMBER(Settings!$C$22),ISNUMBER($V602)),IF($V602&gt;Settings!$C$22,"Risk over max $; ",""),"")&amp;IF(AND(ISNUMBER(Settings!$C$23),ISNUMBER($V602),ISNUMBER($AP602),IFERROR(N(INDEX(Accounts!$E$7:$E$16,MATCH($C602,Accounts!$B$7:$B$16,0))),0)&gt;0),IF($V602&gt;Settings!$C$23*($AP602-N($Q602)),"Risk over max %; ",""),"")&amp;IF(AND(ISNUMBER(Settings!$C$24),ISNUMBER($N602)),IF($N602&gt;Settings!$C$24,"Leverage over max; ",""),"")&amp;IF(AND(ISNUMBER(Settings!$C$27),ISNUMBER($T602)),IF($T602&lt;Settings!$C$27,"R:R below min; ",""),"")&amp;IF(ISNUMBER(Settings!$C$25),IF(COUNTIFS($A$6:$A602,$A602,$AM$6:$AM602,1)&gt;Settings!$C$25,"Over max trades/day; ",""),"")&amp;IF(ISNUMBER(Settings!$C$26),IF(SUMIFS($Q$5:$Q601,$A$5:$A601,$A602)&lt;=-Settings!$C$26,"Traded after daily max loss; ",""),"")&amp;IF(AND($AG602="",NOT(ISNUMBER($O602))),"Symbol not in Instruments; ","")&amp;IF(AND($AH602="",NOT(ISNUMBER($O602))),"Forex cross: type Gross P&amp;L; ",""))</f>
        <v/>
      </c>
      <c r="BH602" s="56">
        <f>IF(ISNUMBER($Q602),1,0)</f>
        <v>0</v>
      </c>
      <c r="BI602" s="56">
        <f>IF($Y602="",0,1)</f>
        <v>0</v>
      </c>
      <c r="BJ602" s="56">
        <f>IF($AB602="",0,1)</f>
        <v>0</v>
      </c>
      <c r="BK602" s="56">
        <f>IF(AND($BH602=1,$W602&lt;&gt;"OK"),1,0)</f>
        <v>0</v>
      </c>
      <c r="BL602" s="55">
        <f>IF(N($AZ602)=0,0,IFERROR(INDEX($AT$6:$AT$1005,MATCH($AZ602,$AY$6:$AY$1005,0)),0))</f>
        <v>1187.10688</v>
      </c>
      <c r="BM602" s="56">
        <f>IF(ISNUMBER(SEARCH("daily max loss",$BG602)),1,0)</f>
        <v>0</v>
      </c>
    </row>
    <row r="603" ht="18" customHeight="1">
      <c r="A603" s="38" t="n"/>
      <c r="B603" s="39" t="n"/>
      <c r="C603" s="40" t="n"/>
      <c r="D603" s="41" t="n"/>
      <c r="E603" s="41" t="n"/>
      <c r="F603" s="41" t="n"/>
      <c r="G603" s="41" t="n"/>
      <c r="H603" s="42" t="n"/>
      <c r="I603" s="42" t="n"/>
      <c r="J603" s="42" t="n"/>
      <c r="K603" s="42" t="n"/>
      <c r="L603" s="41" t="n"/>
      <c r="M603" s="41" t="n"/>
      <c r="N603" s="41" t="n"/>
      <c r="O603" s="43" t="n"/>
      <c r="P603" s="43" t="n"/>
      <c r="Q603" s="44" t="str">
        <f>IF($AM603=0,"",IF(ISNUMBER($AK603),$AK603-N($AL603),""))</f>
        <v/>
      </c>
      <c r="R603" s="45" t="str">
        <f>IF(OR($Q603="",NOT(ISNUMBER($V603))),"",$AK603/$V603)</f>
        <v/>
      </c>
      <c r="S603" s="46" t="str">
        <f>IF($Q603="","",IF(AND(ISNUMBER($R603),ABS(N($R603))&lt;N(Settings!$C$8)),"Scratch",IF($Q603&gt;0,"Win",IF($Q603&lt;0,"Loss","Scratch"))))</f>
        <v/>
      </c>
      <c r="T603" s="47" t="str">
        <f>IF(OR($AM603=0,NOT(ISNUMBER($H603)),NOT(ISNUMBER($I603)),NOT(ISNUMBER($J603))),"",IF($H603=$I603,"",ROUND(ABS($J603-$H603)/ABS($H603-$I603),6)))</f>
        <v/>
      </c>
      <c r="U603" s="48" t="str">
        <f>IF(OR($S603&lt;&gt;"Win",NOT(ISNUMBER($T603)),NOT(ISNUMBER($R603))),"",MAX(0,$T603-$R603))</f>
        <v/>
      </c>
      <c r="V603" s="49" t="str">
        <f>IF(OR($AM603=0,NOT(ISNUMBER($H603)),NOT(ISNUMBER($I603)),NOT(ISNUMBER($G603))),"",IF(OR($AG603="",$AH603=""),"",IF(ROUND(ABS($H603-$I603)*ABS($G603)*$AG603*$AH603,6)=0,"",ROUND(ABS($H603-$I603)*ABS($G603)*$AG603*$AH603,6))))</f>
        <v/>
      </c>
      <c r="W603" s="50" t="str">
        <f>IF($AM603=0,"",IF($BG603="","OK",LEFT($BG603,LEN($BG603)-2)))</f>
        <v/>
      </c>
      <c r="X603" s="41" t="n"/>
      <c r="Y603" s="40" t="n"/>
      <c r="Z603" s="41" t="n"/>
      <c r="AA603" s="41" t="n"/>
      <c r="AB603" s="40" t="n"/>
      <c r="AC603" s="51" t="n"/>
      <c r="AD603" s="51" t="n"/>
      <c r="AE603" s="40" t="n"/>
      <c r="AF603" s="52" t="str">
        <f>IF($AM603=0,"",IF($D603&lt;&gt;"",$D603,IF(IFERROR(INDEX(Accounts!$C$7:$C$16,MATCH($C603,Accounts!$B$7:$B$16,0))&amp;"","")&lt;&gt;"",INDEX(Accounts!$C$7:$C$16,MATCH($C603,Accounts!$B$7:$B$16,0)),Settings!$C$6)))</f>
        <v/>
      </c>
      <c r="AG603" s="53" t="str">
        <f>IF($AM603=0,"",IF(AND($BE603&gt;0,N(INDEX(Instruments!$D$6:$D$205,MAX(1,$BE603)))&gt;0),INDEX(Instruments!$D$6:$D$205,MAX(1,$BE603)),IF(N(INDEX(Settings!$D$14:$D$18,$BF603))&gt;0,INDEX(Settings!$D$14:$D$18,$BF603),"")))</f>
        <v/>
      </c>
      <c r="AH603" s="54" t="str">
        <f>IF($AM603=0,"",IF($AF603&lt;&gt;"Forex",1,IF(MID(UPPER(SUBSTITUTE(TRIM($E603),"/","")),4,3)=UPPER(TRIM(Settings!$C$7)),1,IF(LEFT(UPPER(SUBSTITUTE(TRIM($E603),"/","")),3)=UPPER(TRIM(Settings!$C$7)),IF(AND(ISNUMBER($K603),N($K603)&lt;&gt;0),1/$K603,""),""))))</f>
        <v/>
      </c>
      <c r="AI603" s="55" t="str">
        <f>IF($AM603=0,"",IF(OR(NOT(ISNUMBER($H603)),NOT(ISNUMBER($K603)),NOT(ISNUMBER($G603)),$AG603="",$AH603=""),"",ROUND(($K603-$H603)*IF($F603="Short",-1,1)*$G603*$AG603*$AH603,6)))</f>
        <v/>
      </c>
      <c r="AJ603" s="55" t="str">
        <f>IF($AM603=0,"",IF(INDEX(Settings!$E$14:$E$18,$BF603)="% of notional",IF(OR($AG603="",NOT(ISNUMBER($H603)),NOT(ISNUMBER($G603))),"",ROUND(ABS($H603*$G603*$AG603*N($AH603))*IF($L603="Limit",N(INDEX(Settings!$G$14:$G$18,$BF603)),N(INDEX(Settings!$H$14:$H$18,$BF603)))+IF(ISNUMBER($K603),ABS($K603*$G603*$AG603*N($AH603))*IF($M603="Target",N(INDEX(Settings!$G$14:$G$18,$BF603)),N(INDEX(Settings!$H$14:$H$18,$BF603))),0),6)),IF(NOT(ISNUMBER($G603)),"",ROUND(ABS($G603)*2*IF(AND($BE603&gt;0,ISNUMBER(INDEX(Instruments!$G$6:$G$205,MAX(1,$BE603)))),INDEX(Instruments!$G$6:$G$205,MAX(1,$BE603)),N(INDEX(Settings!$F$14:$F$18,$BF603))),6))))</f>
        <v/>
      </c>
      <c r="AK603" s="55" t="str">
        <f>IF($AM603=0,"",IF(ISNUMBER($O603),$O603,$AI603))</f>
        <v/>
      </c>
      <c r="AL603" s="55" t="str">
        <f>IF($AM603=0,"",IF(ISNUMBER($P603),$P603,N($AJ603)))</f>
        <v/>
      </c>
      <c r="AM603" s="56">
        <f>IF(AND($A603&lt;&gt;"",$E603&lt;&gt;"",OR(AND(ISNUMBER($G603),ISNUMBER($H603),ISNUMBER($K603)),ISNUMBER($O603))),1,0)</f>
        <v>0</v>
      </c>
      <c r="AN603" s="57" t="str">
        <f>IF($A603="","",$A603-WEEKDAY($A603,3))</f>
        <v/>
      </c>
      <c r="AO603" s="56" t="str">
        <f>IF($A603="","",WEEKDAY($A603,2))</f>
        <v/>
      </c>
      <c r="AP603" s="55" t="str">
        <f>IF(OR($AM603=0,$C603=""),"",IFERROR(N(INDEX(Accounts!$E$7:$E$16,MATCH($C603,Accounts!$B$7:$B$16,0))),0)+SUMIFS($Q$6:$Q603,$C$6:$C603,$C603))</f>
        <v/>
      </c>
      <c r="AQ603" s="55" t="str">
        <f>IF(OR($AM603=0,$C603=""),"",SUMIFS($Q$6:$Q$1005,$C$6:$C$1005,$C603,$A$6:$A$1005,$A603))</f>
        <v/>
      </c>
      <c r="AR603" s="55" t="str">
        <f>IF(OR($AM603=0,$C603=""),"",IFERROR(N(INDEX(Accounts!$E$7:$E$16,MATCH($C603,Accounts!$B$7:$B$16,0))),0)+SUMIFS($Q$6:$Q$1005,$C$6:$C$1005,$C603,$A$6:$A$1005,"&lt;="&amp;$A603))</f>
        <v/>
      </c>
      <c r="AS603" s="56">
        <f>IF(OR($AM603=0,$Q603=""),0,IF(AND($A603&gt;=Lists!$W$6,$A603&lt;=Lists!$W$7,OR(Dashboard!$D$6="All accounts",$C603=Dashboard!$D$6),OR(Dashboard!$D$7="All markets",$AF603=Dashboard!$D$7)),1,0))</f>
        <v>0</v>
      </c>
      <c r="AT603" s="55">
        <f>IF($AS603=1,N(AT602)+$Q603,N(AT602))</f>
        <v>1187.10688</v>
      </c>
      <c r="AU603" s="55">
        <f>MAX(N(AU602),$AT603)</f>
        <v>1187.10688</v>
      </c>
      <c r="AV603" s="55">
        <f>$AT603-$AU603</f>
        <v>0</v>
      </c>
      <c r="AW603" s="56">
        <f>IF($AS603=1,IF($S603="Win",N(AW602)+1,IF($S603="Loss",0,N(AW602))),N(AW602))</f>
        <v>5</v>
      </c>
      <c r="AX603" s="56">
        <f>IF($AS603=1,IF($S603="Loss",N(AX602)+1,IF($S603="Win",0,N(AX602))),N(AX602))</f>
        <v>0</v>
      </c>
      <c r="AY603" s="56" t="str">
        <f>IF($AS603=1,COUNTIF($AS$6:$AS603,1),"")</f>
        <v/>
      </c>
      <c r="AZ603" s="56">
        <f>MIN(597,N(Lists!$W$8))</f>
        <v>28</v>
      </c>
      <c r="BA603" s="56">
        <f>IF($AS603=1,IF(COUNTIFS($A$6:$A603,$A603,$AS$6:$AS603,1)=1,1,0),0)</f>
        <v>0</v>
      </c>
      <c r="BB603" s="55" t="str">
        <f>IF($BA603=1,SUMIFS($Q$6:$Q$1005,$A$6:$A$1005,$A603,$AS$6:$AS$1005,1),"")</f>
        <v/>
      </c>
      <c r="BC603" s="56">
        <f>IF(ISNUMBER($R603),1,0)</f>
        <v>0</v>
      </c>
      <c r="BD603" s="55" t="str">
        <f>IF(ISNUMBER($U603),$U603*$V603,"")</f>
        <v/>
      </c>
      <c r="BE603" s="56" t="str">
        <f>IF($AM603=0,"",IFERROR(MATCH($AF603&amp;"|"&amp;UPPER(TRIM($E603)),Lists!$A$6:$A$205,0),0))</f>
        <v/>
      </c>
      <c r="BF603" s="56" t="str">
        <f>IF($AM603=0,"",IFERROR(MATCH($AF603,Settings!$B$14:$B$18,0),IFERROR(MATCH(Settings!$C$6,Settings!$B$14:$B$18,0),1)))</f>
        <v/>
      </c>
      <c r="BG603" s="58" t="str">
        <f>IF($AM603=0,"",IF(NOT(ISNUMBER($I603)),"No stop; ","")&amp;IF(AND(ISNUMBER($H603),ISNUMBER($I603)),IF(OR(AND($F603&lt;&gt;"Short",$I603&gt;=$H603),AND($F603="Short",$I603&lt;=$H603)),"Stop on wrong side; ",""),"")&amp;IF($F603="","No direction; ","")&amp;IF(AND(ISNUMBER(Settings!$C$22),ISNUMBER($V603)),IF($V603&gt;Settings!$C$22,"Risk over max $; ",""),"")&amp;IF(AND(ISNUMBER(Settings!$C$23),ISNUMBER($V603),ISNUMBER($AP603),IFERROR(N(INDEX(Accounts!$E$7:$E$16,MATCH($C603,Accounts!$B$7:$B$16,0))),0)&gt;0),IF($V603&gt;Settings!$C$23*($AP603-N($Q603)),"Risk over max %; ",""),"")&amp;IF(AND(ISNUMBER(Settings!$C$24),ISNUMBER($N603)),IF($N603&gt;Settings!$C$24,"Leverage over max; ",""),"")&amp;IF(AND(ISNUMBER(Settings!$C$27),ISNUMBER($T603)),IF($T603&lt;Settings!$C$27,"R:R below min; ",""),"")&amp;IF(ISNUMBER(Settings!$C$25),IF(COUNTIFS($A$6:$A603,$A603,$AM$6:$AM603,1)&gt;Settings!$C$25,"Over max trades/day; ",""),"")&amp;IF(ISNUMBER(Settings!$C$26),IF(SUMIFS($Q$5:$Q602,$A$5:$A602,$A603)&lt;=-Settings!$C$26,"Traded after daily max loss; ",""),"")&amp;IF(AND($AG603="",NOT(ISNUMBER($O603))),"Symbol not in Instruments; ","")&amp;IF(AND($AH603="",NOT(ISNUMBER($O603))),"Forex cross: type Gross P&amp;L; ",""))</f>
        <v/>
      </c>
      <c r="BH603" s="56">
        <f>IF(ISNUMBER($Q603),1,0)</f>
        <v>0</v>
      </c>
      <c r="BI603" s="56">
        <f>IF($Y603="",0,1)</f>
        <v>0</v>
      </c>
      <c r="BJ603" s="56">
        <f>IF($AB603="",0,1)</f>
        <v>0</v>
      </c>
      <c r="BK603" s="56">
        <f>IF(AND($BH603=1,$W603&lt;&gt;"OK"),1,0)</f>
        <v>0</v>
      </c>
      <c r="BL603" s="55">
        <f>IF(N($AZ603)=0,0,IFERROR(INDEX($AT$6:$AT$1005,MATCH($AZ603,$AY$6:$AY$1005,0)),0))</f>
        <v>1187.10688</v>
      </c>
      <c r="BM603" s="56">
        <f>IF(ISNUMBER(SEARCH("daily max loss",$BG603)),1,0)</f>
        <v>0</v>
      </c>
    </row>
    <row r="604" ht="18" customHeight="1">
      <c r="A604" s="38" t="n"/>
      <c r="B604" s="39" t="n"/>
      <c r="C604" s="40" t="n"/>
      <c r="D604" s="41" t="n"/>
      <c r="E604" s="41" t="n"/>
      <c r="F604" s="41" t="n"/>
      <c r="G604" s="41" t="n"/>
      <c r="H604" s="42" t="n"/>
      <c r="I604" s="42" t="n"/>
      <c r="J604" s="42" t="n"/>
      <c r="K604" s="42" t="n"/>
      <c r="L604" s="41" t="n"/>
      <c r="M604" s="41" t="n"/>
      <c r="N604" s="41" t="n"/>
      <c r="O604" s="43" t="n"/>
      <c r="P604" s="43" t="n"/>
      <c r="Q604" s="44" t="str">
        <f>IF($AM604=0,"",IF(ISNUMBER($AK604),$AK604-N($AL604),""))</f>
        <v/>
      </c>
      <c r="R604" s="45" t="str">
        <f>IF(OR($Q604="",NOT(ISNUMBER($V604))),"",$AK604/$V604)</f>
        <v/>
      </c>
      <c r="S604" s="46" t="str">
        <f>IF($Q604="","",IF(AND(ISNUMBER($R604),ABS(N($R604))&lt;N(Settings!$C$8)),"Scratch",IF($Q604&gt;0,"Win",IF($Q604&lt;0,"Loss","Scratch"))))</f>
        <v/>
      </c>
      <c r="T604" s="47" t="str">
        <f>IF(OR($AM604=0,NOT(ISNUMBER($H604)),NOT(ISNUMBER($I604)),NOT(ISNUMBER($J604))),"",IF($H604=$I604,"",ROUND(ABS($J604-$H604)/ABS($H604-$I604),6)))</f>
        <v/>
      </c>
      <c r="U604" s="48" t="str">
        <f>IF(OR($S604&lt;&gt;"Win",NOT(ISNUMBER($T604)),NOT(ISNUMBER($R604))),"",MAX(0,$T604-$R604))</f>
        <v/>
      </c>
      <c r="V604" s="49" t="str">
        <f>IF(OR($AM604=0,NOT(ISNUMBER($H604)),NOT(ISNUMBER($I604)),NOT(ISNUMBER($G604))),"",IF(OR($AG604="",$AH604=""),"",IF(ROUND(ABS($H604-$I604)*ABS($G604)*$AG604*$AH604,6)=0,"",ROUND(ABS($H604-$I604)*ABS($G604)*$AG604*$AH604,6))))</f>
        <v/>
      </c>
      <c r="W604" s="50" t="str">
        <f>IF($AM604=0,"",IF($BG604="","OK",LEFT($BG604,LEN($BG604)-2)))</f>
        <v/>
      </c>
      <c r="X604" s="41" t="n"/>
      <c r="Y604" s="40" t="n"/>
      <c r="Z604" s="41" t="n"/>
      <c r="AA604" s="41" t="n"/>
      <c r="AB604" s="40" t="n"/>
      <c r="AC604" s="51" t="n"/>
      <c r="AD604" s="51" t="n"/>
      <c r="AE604" s="40" t="n"/>
      <c r="AF604" s="52" t="str">
        <f>IF($AM604=0,"",IF($D604&lt;&gt;"",$D604,IF(IFERROR(INDEX(Accounts!$C$7:$C$16,MATCH($C604,Accounts!$B$7:$B$16,0))&amp;"","")&lt;&gt;"",INDEX(Accounts!$C$7:$C$16,MATCH($C604,Accounts!$B$7:$B$16,0)),Settings!$C$6)))</f>
        <v/>
      </c>
      <c r="AG604" s="53" t="str">
        <f>IF($AM604=0,"",IF(AND($BE604&gt;0,N(INDEX(Instruments!$D$6:$D$205,MAX(1,$BE604)))&gt;0),INDEX(Instruments!$D$6:$D$205,MAX(1,$BE604)),IF(N(INDEX(Settings!$D$14:$D$18,$BF604))&gt;0,INDEX(Settings!$D$14:$D$18,$BF604),"")))</f>
        <v/>
      </c>
      <c r="AH604" s="54" t="str">
        <f>IF($AM604=0,"",IF($AF604&lt;&gt;"Forex",1,IF(MID(UPPER(SUBSTITUTE(TRIM($E604),"/","")),4,3)=UPPER(TRIM(Settings!$C$7)),1,IF(LEFT(UPPER(SUBSTITUTE(TRIM($E604),"/","")),3)=UPPER(TRIM(Settings!$C$7)),IF(AND(ISNUMBER($K604),N($K604)&lt;&gt;0),1/$K604,""),""))))</f>
        <v/>
      </c>
      <c r="AI604" s="55" t="str">
        <f>IF($AM604=0,"",IF(OR(NOT(ISNUMBER($H604)),NOT(ISNUMBER($K604)),NOT(ISNUMBER($G604)),$AG604="",$AH604=""),"",ROUND(($K604-$H604)*IF($F604="Short",-1,1)*$G604*$AG604*$AH604,6)))</f>
        <v/>
      </c>
      <c r="AJ604" s="55" t="str">
        <f>IF($AM604=0,"",IF(INDEX(Settings!$E$14:$E$18,$BF604)="% of notional",IF(OR($AG604="",NOT(ISNUMBER($H604)),NOT(ISNUMBER($G604))),"",ROUND(ABS($H604*$G604*$AG604*N($AH604))*IF($L604="Limit",N(INDEX(Settings!$G$14:$G$18,$BF604)),N(INDEX(Settings!$H$14:$H$18,$BF604)))+IF(ISNUMBER($K604),ABS($K604*$G604*$AG604*N($AH604))*IF($M604="Target",N(INDEX(Settings!$G$14:$G$18,$BF604)),N(INDEX(Settings!$H$14:$H$18,$BF604))),0),6)),IF(NOT(ISNUMBER($G604)),"",ROUND(ABS($G604)*2*IF(AND($BE604&gt;0,ISNUMBER(INDEX(Instruments!$G$6:$G$205,MAX(1,$BE604)))),INDEX(Instruments!$G$6:$G$205,MAX(1,$BE604)),N(INDEX(Settings!$F$14:$F$18,$BF604))),6))))</f>
        <v/>
      </c>
      <c r="AK604" s="55" t="str">
        <f>IF($AM604=0,"",IF(ISNUMBER($O604),$O604,$AI604))</f>
        <v/>
      </c>
      <c r="AL604" s="55" t="str">
        <f>IF($AM604=0,"",IF(ISNUMBER($P604),$P604,N($AJ604)))</f>
        <v/>
      </c>
      <c r="AM604" s="56">
        <f>IF(AND($A604&lt;&gt;"",$E604&lt;&gt;"",OR(AND(ISNUMBER($G604),ISNUMBER($H604),ISNUMBER($K604)),ISNUMBER($O604))),1,0)</f>
        <v>0</v>
      </c>
      <c r="AN604" s="57" t="str">
        <f>IF($A604="","",$A604-WEEKDAY($A604,3))</f>
        <v/>
      </c>
      <c r="AO604" s="56" t="str">
        <f>IF($A604="","",WEEKDAY($A604,2))</f>
        <v/>
      </c>
      <c r="AP604" s="55" t="str">
        <f>IF(OR($AM604=0,$C604=""),"",IFERROR(N(INDEX(Accounts!$E$7:$E$16,MATCH($C604,Accounts!$B$7:$B$16,0))),0)+SUMIFS($Q$6:$Q604,$C$6:$C604,$C604))</f>
        <v/>
      </c>
      <c r="AQ604" s="55" t="str">
        <f>IF(OR($AM604=0,$C604=""),"",SUMIFS($Q$6:$Q$1005,$C$6:$C$1005,$C604,$A$6:$A$1005,$A604))</f>
        <v/>
      </c>
      <c r="AR604" s="55" t="str">
        <f>IF(OR($AM604=0,$C604=""),"",IFERROR(N(INDEX(Accounts!$E$7:$E$16,MATCH($C604,Accounts!$B$7:$B$16,0))),0)+SUMIFS($Q$6:$Q$1005,$C$6:$C$1005,$C604,$A$6:$A$1005,"&lt;="&amp;$A604))</f>
        <v/>
      </c>
      <c r="AS604" s="56">
        <f>IF(OR($AM604=0,$Q604=""),0,IF(AND($A604&gt;=Lists!$W$6,$A604&lt;=Lists!$W$7,OR(Dashboard!$D$6="All accounts",$C604=Dashboard!$D$6),OR(Dashboard!$D$7="All markets",$AF604=Dashboard!$D$7)),1,0))</f>
        <v>0</v>
      </c>
      <c r="AT604" s="55">
        <f>IF($AS604=1,N(AT603)+$Q604,N(AT603))</f>
        <v>1187.10688</v>
      </c>
      <c r="AU604" s="55">
        <f>MAX(N(AU603),$AT604)</f>
        <v>1187.10688</v>
      </c>
      <c r="AV604" s="55">
        <f>$AT604-$AU604</f>
        <v>0</v>
      </c>
      <c r="AW604" s="56">
        <f>IF($AS604=1,IF($S604="Win",N(AW603)+1,IF($S604="Loss",0,N(AW603))),N(AW603))</f>
        <v>5</v>
      </c>
      <c r="AX604" s="56">
        <f>IF($AS604=1,IF($S604="Loss",N(AX603)+1,IF($S604="Win",0,N(AX603))),N(AX603))</f>
        <v>0</v>
      </c>
      <c r="AY604" s="56" t="str">
        <f>IF($AS604=1,COUNTIF($AS$6:$AS604,1),"")</f>
        <v/>
      </c>
      <c r="AZ604" s="56">
        <f>MIN(598,N(Lists!$W$8))</f>
        <v>28</v>
      </c>
      <c r="BA604" s="56">
        <f>IF($AS604=1,IF(COUNTIFS($A$6:$A604,$A604,$AS$6:$AS604,1)=1,1,0),0)</f>
        <v>0</v>
      </c>
      <c r="BB604" s="55" t="str">
        <f>IF($BA604=1,SUMIFS($Q$6:$Q$1005,$A$6:$A$1005,$A604,$AS$6:$AS$1005,1),"")</f>
        <v/>
      </c>
      <c r="BC604" s="56">
        <f>IF(ISNUMBER($R604),1,0)</f>
        <v>0</v>
      </c>
      <c r="BD604" s="55" t="str">
        <f>IF(ISNUMBER($U604),$U604*$V604,"")</f>
        <v/>
      </c>
      <c r="BE604" s="56" t="str">
        <f>IF($AM604=0,"",IFERROR(MATCH($AF604&amp;"|"&amp;UPPER(TRIM($E604)),Lists!$A$6:$A$205,0),0))</f>
        <v/>
      </c>
      <c r="BF604" s="56" t="str">
        <f>IF($AM604=0,"",IFERROR(MATCH($AF604,Settings!$B$14:$B$18,0),IFERROR(MATCH(Settings!$C$6,Settings!$B$14:$B$18,0),1)))</f>
        <v/>
      </c>
      <c r="BG604" s="58" t="str">
        <f>IF($AM604=0,"",IF(NOT(ISNUMBER($I604)),"No stop; ","")&amp;IF(AND(ISNUMBER($H604),ISNUMBER($I604)),IF(OR(AND($F604&lt;&gt;"Short",$I604&gt;=$H604),AND($F604="Short",$I604&lt;=$H604)),"Stop on wrong side; ",""),"")&amp;IF($F604="","No direction; ","")&amp;IF(AND(ISNUMBER(Settings!$C$22),ISNUMBER($V604)),IF($V604&gt;Settings!$C$22,"Risk over max $; ",""),"")&amp;IF(AND(ISNUMBER(Settings!$C$23),ISNUMBER($V604),ISNUMBER($AP604),IFERROR(N(INDEX(Accounts!$E$7:$E$16,MATCH($C604,Accounts!$B$7:$B$16,0))),0)&gt;0),IF($V604&gt;Settings!$C$23*($AP604-N($Q604)),"Risk over max %; ",""),"")&amp;IF(AND(ISNUMBER(Settings!$C$24),ISNUMBER($N604)),IF($N604&gt;Settings!$C$24,"Leverage over max; ",""),"")&amp;IF(AND(ISNUMBER(Settings!$C$27),ISNUMBER($T604)),IF($T604&lt;Settings!$C$27,"R:R below min; ",""),"")&amp;IF(ISNUMBER(Settings!$C$25),IF(COUNTIFS($A$6:$A604,$A604,$AM$6:$AM604,1)&gt;Settings!$C$25,"Over max trades/day; ",""),"")&amp;IF(ISNUMBER(Settings!$C$26),IF(SUMIFS($Q$5:$Q603,$A$5:$A603,$A604)&lt;=-Settings!$C$26,"Traded after daily max loss; ",""),"")&amp;IF(AND($AG604="",NOT(ISNUMBER($O604))),"Symbol not in Instruments; ","")&amp;IF(AND($AH604="",NOT(ISNUMBER($O604))),"Forex cross: type Gross P&amp;L; ",""))</f>
        <v/>
      </c>
      <c r="BH604" s="56">
        <f>IF(ISNUMBER($Q604),1,0)</f>
        <v>0</v>
      </c>
      <c r="BI604" s="56">
        <f>IF($Y604="",0,1)</f>
        <v>0</v>
      </c>
      <c r="BJ604" s="56">
        <f>IF($AB604="",0,1)</f>
        <v>0</v>
      </c>
      <c r="BK604" s="56">
        <f>IF(AND($BH604=1,$W604&lt;&gt;"OK"),1,0)</f>
        <v>0</v>
      </c>
      <c r="BL604" s="55">
        <f>IF(N($AZ604)=0,0,IFERROR(INDEX($AT$6:$AT$1005,MATCH($AZ604,$AY$6:$AY$1005,0)),0))</f>
        <v>1187.10688</v>
      </c>
      <c r="BM604" s="56">
        <f>IF(ISNUMBER(SEARCH("daily max loss",$BG604)),1,0)</f>
        <v>0</v>
      </c>
    </row>
    <row r="605" ht="18" customHeight="1">
      <c r="A605" s="38" t="n"/>
      <c r="B605" s="39" t="n"/>
      <c r="C605" s="40" t="n"/>
      <c r="D605" s="41" t="n"/>
      <c r="E605" s="41" t="n"/>
      <c r="F605" s="41" t="n"/>
      <c r="G605" s="41" t="n"/>
      <c r="H605" s="42" t="n"/>
      <c r="I605" s="42" t="n"/>
      <c r="J605" s="42" t="n"/>
      <c r="K605" s="42" t="n"/>
      <c r="L605" s="41" t="n"/>
      <c r="M605" s="41" t="n"/>
      <c r="N605" s="41" t="n"/>
      <c r="O605" s="43" t="n"/>
      <c r="P605" s="43" t="n"/>
      <c r="Q605" s="44" t="str">
        <f>IF($AM605=0,"",IF(ISNUMBER($AK605),$AK605-N($AL605),""))</f>
        <v/>
      </c>
      <c r="R605" s="45" t="str">
        <f>IF(OR($Q605="",NOT(ISNUMBER($V605))),"",$AK605/$V605)</f>
        <v/>
      </c>
      <c r="S605" s="46" t="str">
        <f>IF($Q605="","",IF(AND(ISNUMBER($R605),ABS(N($R605))&lt;N(Settings!$C$8)),"Scratch",IF($Q605&gt;0,"Win",IF($Q605&lt;0,"Loss","Scratch"))))</f>
        <v/>
      </c>
      <c r="T605" s="47" t="str">
        <f>IF(OR($AM605=0,NOT(ISNUMBER($H605)),NOT(ISNUMBER($I605)),NOT(ISNUMBER($J605))),"",IF($H605=$I605,"",ROUND(ABS($J605-$H605)/ABS($H605-$I605),6)))</f>
        <v/>
      </c>
      <c r="U605" s="48" t="str">
        <f>IF(OR($S605&lt;&gt;"Win",NOT(ISNUMBER($T605)),NOT(ISNUMBER($R605))),"",MAX(0,$T605-$R605))</f>
        <v/>
      </c>
      <c r="V605" s="49" t="str">
        <f>IF(OR($AM605=0,NOT(ISNUMBER($H605)),NOT(ISNUMBER($I605)),NOT(ISNUMBER($G605))),"",IF(OR($AG605="",$AH605=""),"",IF(ROUND(ABS($H605-$I605)*ABS($G605)*$AG605*$AH605,6)=0,"",ROUND(ABS($H605-$I605)*ABS($G605)*$AG605*$AH605,6))))</f>
        <v/>
      </c>
      <c r="W605" s="50" t="str">
        <f>IF($AM605=0,"",IF($BG605="","OK",LEFT($BG605,LEN($BG605)-2)))</f>
        <v/>
      </c>
      <c r="X605" s="41" t="n"/>
      <c r="Y605" s="40" t="n"/>
      <c r="Z605" s="41" t="n"/>
      <c r="AA605" s="41" t="n"/>
      <c r="AB605" s="40" t="n"/>
      <c r="AC605" s="51" t="n"/>
      <c r="AD605" s="51" t="n"/>
      <c r="AE605" s="40" t="n"/>
      <c r="AF605" s="52" t="str">
        <f>IF($AM605=0,"",IF($D605&lt;&gt;"",$D605,IF(IFERROR(INDEX(Accounts!$C$7:$C$16,MATCH($C605,Accounts!$B$7:$B$16,0))&amp;"","")&lt;&gt;"",INDEX(Accounts!$C$7:$C$16,MATCH($C605,Accounts!$B$7:$B$16,0)),Settings!$C$6)))</f>
        <v/>
      </c>
      <c r="AG605" s="53" t="str">
        <f>IF($AM605=0,"",IF(AND($BE605&gt;0,N(INDEX(Instruments!$D$6:$D$205,MAX(1,$BE605)))&gt;0),INDEX(Instruments!$D$6:$D$205,MAX(1,$BE605)),IF(N(INDEX(Settings!$D$14:$D$18,$BF605))&gt;0,INDEX(Settings!$D$14:$D$18,$BF605),"")))</f>
        <v/>
      </c>
      <c r="AH605" s="54" t="str">
        <f>IF($AM605=0,"",IF($AF605&lt;&gt;"Forex",1,IF(MID(UPPER(SUBSTITUTE(TRIM($E605),"/","")),4,3)=UPPER(TRIM(Settings!$C$7)),1,IF(LEFT(UPPER(SUBSTITUTE(TRIM($E605),"/","")),3)=UPPER(TRIM(Settings!$C$7)),IF(AND(ISNUMBER($K605),N($K605)&lt;&gt;0),1/$K605,""),""))))</f>
        <v/>
      </c>
      <c r="AI605" s="55" t="str">
        <f>IF($AM605=0,"",IF(OR(NOT(ISNUMBER($H605)),NOT(ISNUMBER($K605)),NOT(ISNUMBER($G605)),$AG605="",$AH605=""),"",ROUND(($K605-$H605)*IF($F605="Short",-1,1)*$G605*$AG605*$AH605,6)))</f>
        <v/>
      </c>
      <c r="AJ605" s="55" t="str">
        <f>IF($AM605=0,"",IF(INDEX(Settings!$E$14:$E$18,$BF605)="% of notional",IF(OR($AG605="",NOT(ISNUMBER($H605)),NOT(ISNUMBER($G605))),"",ROUND(ABS($H605*$G605*$AG605*N($AH605))*IF($L605="Limit",N(INDEX(Settings!$G$14:$G$18,$BF605)),N(INDEX(Settings!$H$14:$H$18,$BF605)))+IF(ISNUMBER($K605),ABS($K605*$G605*$AG605*N($AH605))*IF($M605="Target",N(INDEX(Settings!$G$14:$G$18,$BF605)),N(INDEX(Settings!$H$14:$H$18,$BF605))),0),6)),IF(NOT(ISNUMBER($G605)),"",ROUND(ABS($G605)*2*IF(AND($BE605&gt;0,ISNUMBER(INDEX(Instruments!$G$6:$G$205,MAX(1,$BE605)))),INDEX(Instruments!$G$6:$G$205,MAX(1,$BE605)),N(INDEX(Settings!$F$14:$F$18,$BF605))),6))))</f>
        <v/>
      </c>
      <c r="AK605" s="55" t="str">
        <f>IF($AM605=0,"",IF(ISNUMBER($O605),$O605,$AI605))</f>
        <v/>
      </c>
      <c r="AL605" s="55" t="str">
        <f>IF($AM605=0,"",IF(ISNUMBER($P605),$P605,N($AJ605)))</f>
        <v/>
      </c>
      <c r="AM605" s="56">
        <f>IF(AND($A605&lt;&gt;"",$E605&lt;&gt;"",OR(AND(ISNUMBER($G605),ISNUMBER($H605),ISNUMBER($K605)),ISNUMBER($O605))),1,0)</f>
        <v>0</v>
      </c>
      <c r="AN605" s="57" t="str">
        <f>IF($A605="","",$A605-WEEKDAY($A605,3))</f>
        <v/>
      </c>
      <c r="AO605" s="56" t="str">
        <f>IF($A605="","",WEEKDAY($A605,2))</f>
        <v/>
      </c>
      <c r="AP605" s="55" t="str">
        <f>IF(OR($AM605=0,$C605=""),"",IFERROR(N(INDEX(Accounts!$E$7:$E$16,MATCH($C605,Accounts!$B$7:$B$16,0))),0)+SUMIFS($Q$6:$Q605,$C$6:$C605,$C605))</f>
        <v/>
      </c>
      <c r="AQ605" s="55" t="str">
        <f>IF(OR($AM605=0,$C605=""),"",SUMIFS($Q$6:$Q$1005,$C$6:$C$1005,$C605,$A$6:$A$1005,$A605))</f>
        <v/>
      </c>
      <c r="AR605" s="55" t="str">
        <f>IF(OR($AM605=0,$C605=""),"",IFERROR(N(INDEX(Accounts!$E$7:$E$16,MATCH($C605,Accounts!$B$7:$B$16,0))),0)+SUMIFS($Q$6:$Q$1005,$C$6:$C$1005,$C605,$A$6:$A$1005,"&lt;="&amp;$A605))</f>
        <v/>
      </c>
      <c r="AS605" s="56">
        <f>IF(OR($AM605=0,$Q605=""),0,IF(AND($A605&gt;=Lists!$W$6,$A605&lt;=Lists!$W$7,OR(Dashboard!$D$6="All accounts",$C605=Dashboard!$D$6),OR(Dashboard!$D$7="All markets",$AF605=Dashboard!$D$7)),1,0))</f>
        <v>0</v>
      </c>
      <c r="AT605" s="55">
        <f>IF($AS605=1,N(AT604)+$Q605,N(AT604))</f>
        <v>1187.10688</v>
      </c>
      <c r="AU605" s="55">
        <f>MAX(N(AU604),$AT605)</f>
        <v>1187.10688</v>
      </c>
      <c r="AV605" s="55">
        <f>$AT605-$AU605</f>
        <v>0</v>
      </c>
      <c r="AW605" s="56">
        <f>IF($AS605=1,IF($S605="Win",N(AW604)+1,IF($S605="Loss",0,N(AW604))),N(AW604))</f>
        <v>5</v>
      </c>
      <c r="AX605" s="56">
        <f>IF($AS605=1,IF($S605="Loss",N(AX604)+1,IF($S605="Win",0,N(AX604))),N(AX604))</f>
        <v>0</v>
      </c>
      <c r="AY605" s="56" t="str">
        <f>IF($AS605=1,COUNTIF($AS$6:$AS605,1),"")</f>
        <v/>
      </c>
      <c r="AZ605" s="56">
        <f>MIN(599,N(Lists!$W$8))</f>
        <v>28</v>
      </c>
      <c r="BA605" s="56">
        <f>IF($AS605=1,IF(COUNTIFS($A$6:$A605,$A605,$AS$6:$AS605,1)=1,1,0),0)</f>
        <v>0</v>
      </c>
      <c r="BB605" s="55" t="str">
        <f>IF($BA605=1,SUMIFS($Q$6:$Q$1005,$A$6:$A$1005,$A605,$AS$6:$AS$1005,1),"")</f>
        <v/>
      </c>
      <c r="BC605" s="56">
        <f>IF(ISNUMBER($R605),1,0)</f>
        <v>0</v>
      </c>
      <c r="BD605" s="55" t="str">
        <f>IF(ISNUMBER($U605),$U605*$V605,"")</f>
        <v/>
      </c>
      <c r="BE605" s="56" t="str">
        <f>IF($AM605=0,"",IFERROR(MATCH($AF605&amp;"|"&amp;UPPER(TRIM($E605)),Lists!$A$6:$A$205,0),0))</f>
        <v/>
      </c>
      <c r="BF605" s="56" t="str">
        <f>IF($AM605=0,"",IFERROR(MATCH($AF605,Settings!$B$14:$B$18,0),IFERROR(MATCH(Settings!$C$6,Settings!$B$14:$B$18,0),1)))</f>
        <v/>
      </c>
      <c r="BG605" s="58" t="str">
        <f>IF($AM605=0,"",IF(NOT(ISNUMBER($I605)),"No stop; ","")&amp;IF(AND(ISNUMBER($H605),ISNUMBER($I605)),IF(OR(AND($F605&lt;&gt;"Short",$I605&gt;=$H605),AND($F605="Short",$I605&lt;=$H605)),"Stop on wrong side; ",""),"")&amp;IF($F605="","No direction; ","")&amp;IF(AND(ISNUMBER(Settings!$C$22),ISNUMBER($V605)),IF($V605&gt;Settings!$C$22,"Risk over max $; ",""),"")&amp;IF(AND(ISNUMBER(Settings!$C$23),ISNUMBER($V605),ISNUMBER($AP605),IFERROR(N(INDEX(Accounts!$E$7:$E$16,MATCH($C605,Accounts!$B$7:$B$16,0))),0)&gt;0),IF($V605&gt;Settings!$C$23*($AP605-N($Q605)),"Risk over max %; ",""),"")&amp;IF(AND(ISNUMBER(Settings!$C$24),ISNUMBER($N605)),IF($N605&gt;Settings!$C$24,"Leverage over max; ",""),"")&amp;IF(AND(ISNUMBER(Settings!$C$27),ISNUMBER($T605)),IF($T605&lt;Settings!$C$27,"R:R below min; ",""),"")&amp;IF(ISNUMBER(Settings!$C$25),IF(COUNTIFS($A$6:$A605,$A605,$AM$6:$AM605,1)&gt;Settings!$C$25,"Over max trades/day; ",""),"")&amp;IF(ISNUMBER(Settings!$C$26),IF(SUMIFS($Q$5:$Q604,$A$5:$A604,$A605)&lt;=-Settings!$C$26,"Traded after daily max loss; ",""),"")&amp;IF(AND($AG605="",NOT(ISNUMBER($O605))),"Symbol not in Instruments; ","")&amp;IF(AND($AH605="",NOT(ISNUMBER($O605))),"Forex cross: type Gross P&amp;L; ",""))</f>
        <v/>
      </c>
      <c r="BH605" s="56">
        <f>IF(ISNUMBER($Q605),1,0)</f>
        <v>0</v>
      </c>
      <c r="BI605" s="56">
        <f>IF($Y605="",0,1)</f>
        <v>0</v>
      </c>
      <c r="BJ605" s="56">
        <f>IF($AB605="",0,1)</f>
        <v>0</v>
      </c>
      <c r="BK605" s="56">
        <f>IF(AND($BH605=1,$W605&lt;&gt;"OK"),1,0)</f>
        <v>0</v>
      </c>
      <c r="BL605" s="55">
        <f>IF(N($AZ605)=0,0,IFERROR(INDEX($AT$6:$AT$1005,MATCH($AZ605,$AY$6:$AY$1005,0)),0))</f>
        <v>1187.10688</v>
      </c>
      <c r="BM605" s="56">
        <f>IF(ISNUMBER(SEARCH("daily max loss",$BG605)),1,0)</f>
        <v>0</v>
      </c>
    </row>
    <row r="606" ht="18" customHeight="1">
      <c r="A606" s="38" t="n"/>
      <c r="B606" s="39" t="n"/>
      <c r="C606" s="40" t="n"/>
      <c r="D606" s="41" t="n"/>
      <c r="E606" s="41" t="n"/>
      <c r="F606" s="41" t="n"/>
      <c r="G606" s="41" t="n"/>
      <c r="H606" s="42" t="n"/>
      <c r="I606" s="42" t="n"/>
      <c r="J606" s="42" t="n"/>
      <c r="K606" s="42" t="n"/>
      <c r="L606" s="41" t="n"/>
      <c r="M606" s="41" t="n"/>
      <c r="N606" s="41" t="n"/>
      <c r="O606" s="43" t="n"/>
      <c r="P606" s="43" t="n"/>
      <c r="Q606" s="44" t="str">
        <f>IF($AM606=0,"",IF(ISNUMBER($AK606),$AK606-N($AL606),""))</f>
        <v/>
      </c>
      <c r="R606" s="45" t="str">
        <f>IF(OR($Q606="",NOT(ISNUMBER($V606))),"",$AK606/$V606)</f>
        <v/>
      </c>
      <c r="S606" s="46" t="str">
        <f>IF($Q606="","",IF(AND(ISNUMBER($R606),ABS(N($R606))&lt;N(Settings!$C$8)),"Scratch",IF($Q606&gt;0,"Win",IF($Q606&lt;0,"Loss","Scratch"))))</f>
        <v/>
      </c>
      <c r="T606" s="47" t="str">
        <f>IF(OR($AM606=0,NOT(ISNUMBER($H606)),NOT(ISNUMBER($I606)),NOT(ISNUMBER($J606))),"",IF($H606=$I606,"",ROUND(ABS($J606-$H606)/ABS($H606-$I606),6)))</f>
        <v/>
      </c>
      <c r="U606" s="48" t="str">
        <f>IF(OR($S606&lt;&gt;"Win",NOT(ISNUMBER($T606)),NOT(ISNUMBER($R606))),"",MAX(0,$T606-$R606))</f>
        <v/>
      </c>
      <c r="V606" s="49" t="str">
        <f>IF(OR($AM606=0,NOT(ISNUMBER($H606)),NOT(ISNUMBER($I606)),NOT(ISNUMBER($G606))),"",IF(OR($AG606="",$AH606=""),"",IF(ROUND(ABS($H606-$I606)*ABS($G606)*$AG606*$AH606,6)=0,"",ROUND(ABS($H606-$I606)*ABS($G606)*$AG606*$AH606,6))))</f>
        <v/>
      </c>
      <c r="W606" s="50" t="str">
        <f>IF($AM606=0,"",IF($BG606="","OK",LEFT($BG606,LEN($BG606)-2)))</f>
        <v/>
      </c>
      <c r="X606" s="41" t="n"/>
      <c r="Y606" s="40" t="n"/>
      <c r="Z606" s="41" t="n"/>
      <c r="AA606" s="41" t="n"/>
      <c r="AB606" s="40" t="n"/>
      <c r="AC606" s="51" t="n"/>
      <c r="AD606" s="51" t="n"/>
      <c r="AE606" s="40" t="n"/>
      <c r="AF606" s="52" t="str">
        <f>IF($AM606=0,"",IF($D606&lt;&gt;"",$D606,IF(IFERROR(INDEX(Accounts!$C$7:$C$16,MATCH($C606,Accounts!$B$7:$B$16,0))&amp;"","")&lt;&gt;"",INDEX(Accounts!$C$7:$C$16,MATCH($C606,Accounts!$B$7:$B$16,0)),Settings!$C$6)))</f>
        <v/>
      </c>
      <c r="AG606" s="53" t="str">
        <f>IF($AM606=0,"",IF(AND($BE606&gt;0,N(INDEX(Instruments!$D$6:$D$205,MAX(1,$BE606)))&gt;0),INDEX(Instruments!$D$6:$D$205,MAX(1,$BE606)),IF(N(INDEX(Settings!$D$14:$D$18,$BF606))&gt;0,INDEX(Settings!$D$14:$D$18,$BF606),"")))</f>
        <v/>
      </c>
      <c r="AH606" s="54" t="str">
        <f>IF($AM606=0,"",IF($AF606&lt;&gt;"Forex",1,IF(MID(UPPER(SUBSTITUTE(TRIM($E606),"/","")),4,3)=UPPER(TRIM(Settings!$C$7)),1,IF(LEFT(UPPER(SUBSTITUTE(TRIM($E606),"/","")),3)=UPPER(TRIM(Settings!$C$7)),IF(AND(ISNUMBER($K606),N($K606)&lt;&gt;0),1/$K606,""),""))))</f>
        <v/>
      </c>
      <c r="AI606" s="55" t="str">
        <f>IF($AM606=0,"",IF(OR(NOT(ISNUMBER($H606)),NOT(ISNUMBER($K606)),NOT(ISNUMBER($G606)),$AG606="",$AH606=""),"",ROUND(($K606-$H606)*IF($F606="Short",-1,1)*$G606*$AG606*$AH606,6)))</f>
        <v/>
      </c>
      <c r="AJ606" s="55" t="str">
        <f>IF($AM606=0,"",IF(INDEX(Settings!$E$14:$E$18,$BF606)="% of notional",IF(OR($AG606="",NOT(ISNUMBER($H606)),NOT(ISNUMBER($G606))),"",ROUND(ABS($H606*$G606*$AG606*N($AH606))*IF($L606="Limit",N(INDEX(Settings!$G$14:$G$18,$BF606)),N(INDEX(Settings!$H$14:$H$18,$BF606)))+IF(ISNUMBER($K606),ABS($K606*$G606*$AG606*N($AH606))*IF($M606="Target",N(INDEX(Settings!$G$14:$G$18,$BF606)),N(INDEX(Settings!$H$14:$H$18,$BF606))),0),6)),IF(NOT(ISNUMBER($G606)),"",ROUND(ABS($G606)*2*IF(AND($BE606&gt;0,ISNUMBER(INDEX(Instruments!$G$6:$G$205,MAX(1,$BE606)))),INDEX(Instruments!$G$6:$G$205,MAX(1,$BE606)),N(INDEX(Settings!$F$14:$F$18,$BF606))),6))))</f>
        <v/>
      </c>
      <c r="AK606" s="55" t="str">
        <f>IF($AM606=0,"",IF(ISNUMBER($O606),$O606,$AI606))</f>
        <v/>
      </c>
      <c r="AL606" s="55" t="str">
        <f>IF($AM606=0,"",IF(ISNUMBER($P606),$P606,N($AJ606)))</f>
        <v/>
      </c>
      <c r="AM606" s="56">
        <f>IF(AND($A606&lt;&gt;"",$E606&lt;&gt;"",OR(AND(ISNUMBER($G606),ISNUMBER($H606),ISNUMBER($K606)),ISNUMBER($O606))),1,0)</f>
        <v>0</v>
      </c>
      <c r="AN606" s="57" t="str">
        <f>IF($A606="","",$A606-WEEKDAY($A606,3))</f>
        <v/>
      </c>
      <c r="AO606" s="56" t="str">
        <f>IF($A606="","",WEEKDAY($A606,2))</f>
        <v/>
      </c>
      <c r="AP606" s="55" t="str">
        <f>IF(OR($AM606=0,$C606=""),"",IFERROR(N(INDEX(Accounts!$E$7:$E$16,MATCH($C606,Accounts!$B$7:$B$16,0))),0)+SUMIFS($Q$6:$Q606,$C$6:$C606,$C606))</f>
        <v/>
      </c>
      <c r="AQ606" s="55" t="str">
        <f>IF(OR($AM606=0,$C606=""),"",SUMIFS($Q$6:$Q$1005,$C$6:$C$1005,$C606,$A$6:$A$1005,$A606))</f>
        <v/>
      </c>
      <c r="AR606" s="55" t="str">
        <f>IF(OR($AM606=0,$C606=""),"",IFERROR(N(INDEX(Accounts!$E$7:$E$16,MATCH($C606,Accounts!$B$7:$B$16,0))),0)+SUMIFS($Q$6:$Q$1005,$C$6:$C$1005,$C606,$A$6:$A$1005,"&lt;="&amp;$A606))</f>
        <v/>
      </c>
      <c r="AS606" s="56">
        <f>IF(OR($AM606=0,$Q606=""),0,IF(AND($A606&gt;=Lists!$W$6,$A606&lt;=Lists!$W$7,OR(Dashboard!$D$6="All accounts",$C606=Dashboard!$D$6),OR(Dashboard!$D$7="All markets",$AF606=Dashboard!$D$7)),1,0))</f>
        <v>0</v>
      </c>
      <c r="AT606" s="55">
        <f>IF($AS606=1,N(AT605)+$Q606,N(AT605))</f>
        <v>1187.10688</v>
      </c>
      <c r="AU606" s="55">
        <f>MAX(N(AU605),$AT606)</f>
        <v>1187.10688</v>
      </c>
      <c r="AV606" s="55">
        <f>$AT606-$AU606</f>
        <v>0</v>
      </c>
      <c r="AW606" s="56">
        <f>IF($AS606=1,IF($S606="Win",N(AW605)+1,IF($S606="Loss",0,N(AW605))),N(AW605))</f>
        <v>5</v>
      </c>
      <c r="AX606" s="56">
        <f>IF($AS606=1,IF($S606="Loss",N(AX605)+1,IF($S606="Win",0,N(AX605))),N(AX605))</f>
        <v>0</v>
      </c>
      <c r="AY606" s="56" t="str">
        <f>IF($AS606=1,COUNTIF($AS$6:$AS606,1),"")</f>
        <v/>
      </c>
      <c r="AZ606" s="56">
        <f>MIN(600,N(Lists!$W$8))</f>
        <v>28</v>
      </c>
      <c r="BA606" s="56">
        <f>IF($AS606=1,IF(COUNTIFS($A$6:$A606,$A606,$AS$6:$AS606,1)=1,1,0),0)</f>
        <v>0</v>
      </c>
      <c r="BB606" s="55" t="str">
        <f>IF($BA606=1,SUMIFS($Q$6:$Q$1005,$A$6:$A$1005,$A606,$AS$6:$AS$1005,1),"")</f>
        <v/>
      </c>
      <c r="BC606" s="56">
        <f>IF(ISNUMBER($R606),1,0)</f>
        <v>0</v>
      </c>
      <c r="BD606" s="55" t="str">
        <f>IF(ISNUMBER($U606),$U606*$V606,"")</f>
        <v/>
      </c>
      <c r="BE606" s="56" t="str">
        <f>IF($AM606=0,"",IFERROR(MATCH($AF606&amp;"|"&amp;UPPER(TRIM($E606)),Lists!$A$6:$A$205,0),0))</f>
        <v/>
      </c>
      <c r="BF606" s="56" t="str">
        <f>IF($AM606=0,"",IFERROR(MATCH($AF606,Settings!$B$14:$B$18,0),IFERROR(MATCH(Settings!$C$6,Settings!$B$14:$B$18,0),1)))</f>
        <v/>
      </c>
      <c r="BG606" s="58" t="str">
        <f>IF($AM606=0,"",IF(NOT(ISNUMBER($I606)),"No stop; ","")&amp;IF(AND(ISNUMBER($H606),ISNUMBER($I606)),IF(OR(AND($F606&lt;&gt;"Short",$I606&gt;=$H606),AND($F606="Short",$I606&lt;=$H606)),"Stop on wrong side; ",""),"")&amp;IF($F606="","No direction; ","")&amp;IF(AND(ISNUMBER(Settings!$C$22),ISNUMBER($V606)),IF($V606&gt;Settings!$C$22,"Risk over max $; ",""),"")&amp;IF(AND(ISNUMBER(Settings!$C$23),ISNUMBER($V606),ISNUMBER($AP606),IFERROR(N(INDEX(Accounts!$E$7:$E$16,MATCH($C606,Accounts!$B$7:$B$16,0))),0)&gt;0),IF($V606&gt;Settings!$C$23*($AP606-N($Q606)),"Risk over max %; ",""),"")&amp;IF(AND(ISNUMBER(Settings!$C$24),ISNUMBER($N606)),IF($N606&gt;Settings!$C$24,"Leverage over max; ",""),"")&amp;IF(AND(ISNUMBER(Settings!$C$27),ISNUMBER($T606)),IF($T606&lt;Settings!$C$27,"R:R below min; ",""),"")&amp;IF(ISNUMBER(Settings!$C$25),IF(COUNTIFS($A$6:$A606,$A606,$AM$6:$AM606,1)&gt;Settings!$C$25,"Over max trades/day; ",""),"")&amp;IF(ISNUMBER(Settings!$C$26),IF(SUMIFS($Q$5:$Q605,$A$5:$A605,$A606)&lt;=-Settings!$C$26,"Traded after daily max loss; ",""),"")&amp;IF(AND($AG606="",NOT(ISNUMBER($O606))),"Symbol not in Instruments; ","")&amp;IF(AND($AH606="",NOT(ISNUMBER($O606))),"Forex cross: type Gross P&amp;L; ",""))</f>
        <v/>
      </c>
      <c r="BH606" s="56">
        <f>IF(ISNUMBER($Q606),1,0)</f>
        <v>0</v>
      </c>
      <c r="BI606" s="56">
        <f>IF($Y606="",0,1)</f>
        <v>0</v>
      </c>
      <c r="BJ606" s="56">
        <f>IF($AB606="",0,1)</f>
        <v>0</v>
      </c>
      <c r="BK606" s="56">
        <f>IF(AND($BH606=1,$W606&lt;&gt;"OK"),1,0)</f>
        <v>0</v>
      </c>
      <c r="BL606" s="55">
        <f>IF(N($AZ606)=0,0,IFERROR(INDEX($AT$6:$AT$1005,MATCH($AZ606,$AY$6:$AY$1005,0)),0))</f>
        <v>1187.10688</v>
      </c>
      <c r="BM606" s="56">
        <f>IF(ISNUMBER(SEARCH("daily max loss",$BG606)),1,0)</f>
        <v>0</v>
      </c>
    </row>
    <row r="607" ht="18" customHeight="1">
      <c r="A607" s="38" t="n"/>
      <c r="B607" s="39" t="n"/>
      <c r="C607" s="40" t="n"/>
      <c r="D607" s="41" t="n"/>
      <c r="E607" s="41" t="n"/>
      <c r="F607" s="41" t="n"/>
      <c r="G607" s="41" t="n"/>
      <c r="H607" s="42" t="n"/>
      <c r="I607" s="42" t="n"/>
      <c r="J607" s="42" t="n"/>
      <c r="K607" s="42" t="n"/>
      <c r="L607" s="41" t="n"/>
      <c r="M607" s="41" t="n"/>
      <c r="N607" s="41" t="n"/>
      <c r="O607" s="43" t="n"/>
      <c r="P607" s="43" t="n"/>
      <c r="Q607" s="44" t="str">
        <f>IF($AM607=0,"",IF(ISNUMBER($AK607),$AK607-N($AL607),""))</f>
        <v/>
      </c>
      <c r="R607" s="45" t="str">
        <f>IF(OR($Q607="",NOT(ISNUMBER($V607))),"",$AK607/$V607)</f>
        <v/>
      </c>
      <c r="S607" s="46" t="str">
        <f>IF($Q607="","",IF(AND(ISNUMBER($R607),ABS(N($R607))&lt;N(Settings!$C$8)),"Scratch",IF($Q607&gt;0,"Win",IF($Q607&lt;0,"Loss","Scratch"))))</f>
        <v/>
      </c>
      <c r="T607" s="47" t="str">
        <f>IF(OR($AM607=0,NOT(ISNUMBER($H607)),NOT(ISNUMBER($I607)),NOT(ISNUMBER($J607))),"",IF($H607=$I607,"",ROUND(ABS($J607-$H607)/ABS($H607-$I607),6)))</f>
        <v/>
      </c>
      <c r="U607" s="48" t="str">
        <f>IF(OR($S607&lt;&gt;"Win",NOT(ISNUMBER($T607)),NOT(ISNUMBER($R607))),"",MAX(0,$T607-$R607))</f>
        <v/>
      </c>
      <c r="V607" s="49" t="str">
        <f>IF(OR($AM607=0,NOT(ISNUMBER($H607)),NOT(ISNUMBER($I607)),NOT(ISNUMBER($G607))),"",IF(OR($AG607="",$AH607=""),"",IF(ROUND(ABS($H607-$I607)*ABS($G607)*$AG607*$AH607,6)=0,"",ROUND(ABS($H607-$I607)*ABS($G607)*$AG607*$AH607,6))))</f>
        <v/>
      </c>
      <c r="W607" s="50" t="str">
        <f>IF($AM607=0,"",IF($BG607="","OK",LEFT($BG607,LEN($BG607)-2)))</f>
        <v/>
      </c>
      <c r="X607" s="41" t="n"/>
      <c r="Y607" s="40" t="n"/>
      <c r="Z607" s="41" t="n"/>
      <c r="AA607" s="41" t="n"/>
      <c r="AB607" s="40" t="n"/>
      <c r="AC607" s="51" t="n"/>
      <c r="AD607" s="51" t="n"/>
      <c r="AE607" s="40" t="n"/>
      <c r="AF607" s="52" t="str">
        <f>IF($AM607=0,"",IF($D607&lt;&gt;"",$D607,IF(IFERROR(INDEX(Accounts!$C$7:$C$16,MATCH($C607,Accounts!$B$7:$B$16,0))&amp;"","")&lt;&gt;"",INDEX(Accounts!$C$7:$C$16,MATCH($C607,Accounts!$B$7:$B$16,0)),Settings!$C$6)))</f>
        <v/>
      </c>
      <c r="AG607" s="53" t="str">
        <f>IF($AM607=0,"",IF(AND($BE607&gt;0,N(INDEX(Instruments!$D$6:$D$205,MAX(1,$BE607)))&gt;0),INDEX(Instruments!$D$6:$D$205,MAX(1,$BE607)),IF(N(INDEX(Settings!$D$14:$D$18,$BF607))&gt;0,INDEX(Settings!$D$14:$D$18,$BF607),"")))</f>
        <v/>
      </c>
      <c r="AH607" s="54" t="str">
        <f>IF($AM607=0,"",IF($AF607&lt;&gt;"Forex",1,IF(MID(UPPER(SUBSTITUTE(TRIM($E607),"/","")),4,3)=UPPER(TRIM(Settings!$C$7)),1,IF(LEFT(UPPER(SUBSTITUTE(TRIM($E607),"/","")),3)=UPPER(TRIM(Settings!$C$7)),IF(AND(ISNUMBER($K607),N($K607)&lt;&gt;0),1/$K607,""),""))))</f>
        <v/>
      </c>
      <c r="AI607" s="55" t="str">
        <f>IF($AM607=0,"",IF(OR(NOT(ISNUMBER($H607)),NOT(ISNUMBER($K607)),NOT(ISNUMBER($G607)),$AG607="",$AH607=""),"",ROUND(($K607-$H607)*IF($F607="Short",-1,1)*$G607*$AG607*$AH607,6)))</f>
        <v/>
      </c>
      <c r="AJ607" s="55" t="str">
        <f>IF($AM607=0,"",IF(INDEX(Settings!$E$14:$E$18,$BF607)="% of notional",IF(OR($AG607="",NOT(ISNUMBER($H607)),NOT(ISNUMBER($G607))),"",ROUND(ABS($H607*$G607*$AG607*N($AH607))*IF($L607="Limit",N(INDEX(Settings!$G$14:$G$18,$BF607)),N(INDEX(Settings!$H$14:$H$18,$BF607)))+IF(ISNUMBER($K607),ABS($K607*$G607*$AG607*N($AH607))*IF($M607="Target",N(INDEX(Settings!$G$14:$G$18,$BF607)),N(INDEX(Settings!$H$14:$H$18,$BF607))),0),6)),IF(NOT(ISNUMBER($G607)),"",ROUND(ABS($G607)*2*IF(AND($BE607&gt;0,ISNUMBER(INDEX(Instruments!$G$6:$G$205,MAX(1,$BE607)))),INDEX(Instruments!$G$6:$G$205,MAX(1,$BE607)),N(INDEX(Settings!$F$14:$F$18,$BF607))),6))))</f>
        <v/>
      </c>
      <c r="AK607" s="55" t="str">
        <f>IF($AM607=0,"",IF(ISNUMBER($O607),$O607,$AI607))</f>
        <v/>
      </c>
      <c r="AL607" s="55" t="str">
        <f>IF($AM607=0,"",IF(ISNUMBER($P607),$P607,N($AJ607)))</f>
        <v/>
      </c>
      <c r="AM607" s="56">
        <f>IF(AND($A607&lt;&gt;"",$E607&lt;&gt;"",OR(AND(ISNUMBER($G607),ISNUMBER($H607),ISNUMBER($K607)),ISNUMBER($O607))),1,0)</f>
        <v>0</v>
      </c>
      <c r="AN607" s="57" t="str">
        <f>IF($A607="","",$A607-WEEKDAY($A607,3))</f>
        <v/>
      </c>
      <c r="AO607" s="56" t="str">
        <f>IF($A607="","",WEEKDAY($A607,2))</f>
        <v/>
      </c>
      <c r="AP607" s="55" t="str">
        <f>IF(OR($AM607=0,$C607=""),"",IFERROR(N(INDEX(Accounts!$E$7:$E$16,MATCH($C607,Accounts!$B$7:$B$16,0))),0)+SUMIFS($Q$6:$Q607,$C$6:$C607,$C607))</f>
        <v/>
      </c>
      <c r="AQ607" s="55" t="str">
        <f>IF(OR($AM607=0,$C607=""),"",SUMIFS($Q$6:$Q$1005,$C$6:$C$1005,$C607,$A$6:$A$1005,$A607))</f>
        <v/>
      </c>
      <c r="AR607" s="55" t="str">
        <f>IF(OR($AM607=0,$C607=""),"",IFERROR(N(INDEX(Accounts!$E$7:$E$16,MATCH($C607,Accounts!$B$7:$B$16,0))),0)+SUMIFS($Q$6:$Q$1005,$C$6:$C$1005,$C607,$A$6:$A$1005,"&lt;="&amp;$A607))</f>
        <v/>
      </c>
      <c r="AS607" s="56">
        <f>IF(OR($AM607=0,$Q607=""),0,IF(AND($A607&gt;=Lists!$W$6,$A607&lt;=Lists!$W$7,OR(Dashboard!$D$6="All accounts",$C607=Dashboard!$D$6),OR(Dashboard!$D$7="All markets",$AF607=Dashboard!$D$7)),1,0))</f>
        <v>0</v>
      </c>
      <c r="AT607" s="55">
        <f>IF($AS607=1,N(AT606)+$Q607,N(AT606))</f>
        <v>1187.10688</v>
      </c>
      <c r="AU607" s="55">
        <f>MAX(N(AU606),$AT607)</f>
        <v>1187.10688</v>
      </c>
      <c r="AV607" s="55">
        <f>$AT607-$AU607</f>
        <v>0</v>
      </c>
      <c r="AW607" s="56">
        <f>IF($AS607=1,IF($S607="Win",N(AW606)+1,IF($S607="Loss",0,N(AW606))),N(AW606))</f>
        <v>5</v>
      </c>
      <c r="AX607" s="56">
        <f>IF($AS607=1,IF($S607="Loss",N(AX606)+1,IF($S607="Win",0,N(AX606))),N(AX606))</f>
        <v>0</v>
      </c>
      <c r="AY607" s="56" t="str">
        <f>IF($AS607=1,COUNTIF($AS$6:$AS607,1),"")</f>
        <v/>
      </c>
      <c r="AZ607" s="56">
        <f>MIN(601,N(Lists!$W$8))</f>
        <v>28</v>
      </c>
      <c r="BA607" s="56">
        <f>IF($AS607=1,IF(COUNTIFS($A$6:$A607,$A607,$AS$6:$AS607,1)=1,1,0),0)</f>
        <v>0</v>
      </c>
      <c r="BB607" s="55" t="str">
        <f>IF($BA607=1,SUMIFS($Q$6:$Q$1005,$A$6:$A$1005,$A607,$AS$6:$AS$1005,1),"")</f>
        <v/>
      </c>
      <c r="BC607" s="56">
        <f>IF(ISNUMBER($R607),1,0)</f>
        <v>0</v>
      </c>
      <c r="BD607" s="55" t="str">
        <f>IF(ISNUMBER($U607),$U607*$V607,"")</f>
        <v/>
      </c>
      <c r="BE607" s="56" t="str">
        <f>IF($AM607=0,"",IFERROR(MATCH($AF607&amp;"|"&amp;UPPER(TRIM($E607)),Lists!$A$6:$A$205,0),0))</f>
        <v/>
      </c>
      <c r="BF607" s="56" t="str">
        <f>IF($AM607=0,"",IFERROR(MATCH($AF607,Settings!$B$14:$B$18,0),IFERROR(MATCH(Settings!$C$6,Settings!$B$14:$B$18,0),1)))</f>
        <v/>
      </c>
      <c r="BG607" s="58" t="str">
        <f>IF($AM607=0,"",IF(NOT(ISNUMBER($I607)),"No stop; ","")&amp;IF(AND(ISNUMBER($H607),ISNUMBER($I607)),IF(OR(AND($F607&lt;&gt;"Short",$I607&gt;=$H607),AND($F607="Short",$I607&lt;=$H607)),"Stop on wrong side; ",""),"")&amp;IF($F607="","No direction; ","")&amp;IF(AND(ISNUMBER(Settings!$C$22),ISNUMBER($V607)),IF($V607&gt;Settings!$C$22,"Risk over max $; ",""),"")&amp;IF(AND(ISNUMBER(Settings!$C$23),ISNUMBER($V607),ISNUMBER($AP607),IFERROR(N(INDEX(Accounts!$E$7:$E$16,MATCH($C607,Accounts!$B$7:$B$16,0))),0)&gt;0),IF($V607&gt;Settings!$C$23*($AP607-N($Q607)),"Risk over max %; ",""),"")&amp;IF(AND(ISNUMBER(Settings!$C$24),ISNUMBER($N607)),IF($N607&gt;Settings!$C$24,"Leverage over max; ",""),"")&amp;IF(AND(ISNUMBER(Settings!$C$27),ISNUMBER($T607)),IF($T607&lt;Settings!$C$27,"R:R below min; ",""),"")&amp;IF(ISNUMBER(Settings!$C$25),IF(COUNTIFS($A$6:$A607,$A607,$AM$6:$AM607,1)&gt;Settings!$C$25,"Over max trades/day; ",""),"")&amp;IF(ISNUMBER(Settings!$C$26),IF(SUMIFS($Q$5:$Q606,$A$5:$A606,$A607)&lt;=-Settings!$C$26,"Traded after daily max loss; ",""),"")&amp;IF(AND($AG607="",NOT(ISNUMBER($O607))),"Symbol not in Instruments; ","")&amp;IF(AND($AH607="",NOT(ISNUMBER($O607))),"Forex cross: type Gross P&amp;L; ",""))</f>
        <v/>
      </c>
      <c r="BH607" s="56">
        <f>IF(ISNUMBER($Q607),1,0)</f>
        <v>0</v>
      </c>
      <c r="BI607" s="56">
        <f>IF($Y607="",0,1)</f>
        <v>0</v>
      </c>
      <c r="BJ607" s="56">
        <f>IF($AB607="",0,1)</f>
        <v>0</v>
      </c>
      <c r="BK607" s="56">
        <f>IF(AND($BH607=1,$W607&lt;&gt;"OK"),1,0)</f>
        <v>0</v>
      </c>
      <c r="BL607" s="55">
        <f>IF(N($AZ607)=0,0,IFERROR(INDEX($AT$6:$AT$1005,MATCH($AZ607,$AY$6:$AY$1005,0)),0))</f>
        <v>1187.10688</v>
      </c>
      <c r="BM607" s="56">
        <f>IF(ISNUMBER(SEARCH("daily max loss",$BG607)),1,0)</f>
        <v>0</v>
      </c>
    </row>
    <row r="608" ht="18" customHeight="1">
      <c r="A608" s="38" t="n"/>
      <c r="B608" s="39" t="n"/>
      <c r="C608" s="40" t="n"/>
      <c r="D608" s="41" t="n"/>
      <c r="E608" s="41" t="n"/>
      <c r="F608" s="41" t="n"/>
      <c r="G608" s="41" t="n"/>
      <c r="H608" s="42" t="n"/>
      <c r="I608" s="42" t="n"/>
      <c r="J608" s="42" t="n"/>
      <c r="K608" s="42" t="n"/>
      <c r="L608" s="41" t="n"/>
      <c r="M608" s="41" t="n"/>
      <c r="N608" s="41" t="n"/>
      <c r="O608" s="43" t="n"/>
      <c r="P608" s="43" t="n"/>
      <c r="Q608" s="44" t="str">
        <f>IF($AM608=0,"",IF(ISNUMBER($AK608),$AK608-N($AL608),""))</f>
        <v/>
      </c>
      <c r="R608" s="45" t="str">
        <f>IF(OR($Q608="",NOT(ISNUMBER($V608))),"",$AK608/$V608)</f>
        <v/>
      </c>
      <c r="S608" s="46" t="str">
        <f>IF($Q608="","",IF(AND(ISNUMBER($R608),ABS(N($R608))&lt;N(Settings!$C$8)),"Scratch",IF($Q608&gt;0,"Win",IF($Q608&lt;0,"Loss","Scratch"))))</f>
        <v/>
      </c>
      <c r="T608" s="47" t="str">
        <f>IF(OR($AM608=0,NOT(ISNUMBER($H608)),NOT(ISNUMBER($I608)),NOT(ISNUMBER($J608))),"",IF($H608=$I608,"",ROUND(ABS($J608-$H608)/ABS($H608-$I608),6)))</f>
        <v/>
      </c>
      <c r="U608" s="48" t="str">
        <f>IF(OR($S608&lt;&gt;"Win",NOT(ISNUMBER($T608)),NOT(ISNUMBER($R608))),"",MAX(0,$T608-$R608))</f>
        <v/>
      </c>
      <c r="V608" s="49" t="str">
        <f>IF(OR($AM608=0,NOT(ISNUMBER($H608)),NOT(ISNUMBER($I608)),NOT(ISNUMBER($G608))),"",IF(OR($AG608="",$AH608=""),"",IF(ROUND(ABS($H608-$I608)*ABS($G608)*$AG608*$AH608,6)=0,"",ROUND(ABS($H608-$I608)*ABS($G608)*$AG608*$AH608,6))))</f>
        <v/>
      </c>
      <c r="W608" s="50" t="str">
        <f>IF($AM608=0,"",IF($BG608="","OK",LEFT($BG608,LEN($BG608)-2)))</f>
        <v/>
      </c>
      <c r="X608" s="41" t="n"/>
      <c r="Y608" s="40" t="n"/>
      <c r="Z608" s="41" t="n"/>
      <c r="AA608" s="41" t="n"/>
      <c r="AB608" s="40" t="n"/>
      <c r="AC608" s="51" t="n"/>
      <c r="AD608" s="51" t="n"/>
      <c r="AE608" s="40" t="n"/>
      <c r="AF608" s="52" t="str">
        <f>IF($AM608=0,"",IF($D608&lt;&gt;"",$D608,IF(IFERROR(INDEX(Accounts!$C$7:$C$16,MATCH($C608,Accounts!$B$7:$B$16,0))&amp;"","")&lt;&gt;"",INDEX(Accounts!$C$7:$C$16,MATCH($C608,Accounts!$B$7:$B$16,0)),Settings!$C$6)))</f>
        <v/>
      </c>
      <c r="AG608" s="53" t="str">
        <f>IF($AM608=0,"",IF(AND($BE608&gt;0,N(INDEX(Instruments!$D$6:$D$205,MAX(1,$BE608)))&gt;0),INDEX(Instruments!$D$6:$D$205,MAX(1,$BE608)),IF(N(INDEX(Settings!$D$14:$D$18,$BF608))&gt;0,INDEX(Settings!$D$14:$D$18,$BF608),"")))</f>
        <v/>
      </c>
      <c r="AH608" s="54" t="str">
        <f>IF($AM608=0,"",IF($AF608&lt;&gt;"Forex",1,IF(MID(UPPER(SUBSTITUTE(TRIM($E608),"/","")),4,3)=UPPER(TRIM(Settings!$C$7)),1,IF(LEFT(UPPER(SUBSTITUTE(TRIM($E608),"/","")),3)=UPPER(TRIM(Settings!$C$7)),IF(AND(ISNUMBER($K608),N($K608)&lt;&gt;0),1/$K608,""),""))))</f>
        <v/>
      </c>
      <c r="AI608" s="55" t="str">
        <f>IF($AM608=0,"",IF(OR(NOT(ISNUMBER($H608)),NOT(ISNUMBER($K608)),NOT(ISNUMBER($G608)),$AG608="",$AH608=""),"",ROUND(($K608-$H608)*IF($F608="Short",-1,1)*$G608*$AG608*$AH608,6)))</f>
        <v/>
      </c>
      <c r="AJ608" s="55" t="str">
        <f>IF($AM608=0,"",IF(INDEX(Settings!$E$14:$E$18,$BF608)="% of notional",IF(OR($AG608="",NOT(ISNUMBER($H608)),NOT(ISNUMBER($G608))),"",ROUND(ABS($H608*$G608*$AG608*N($AH608))*IF($L608="Limit",N(INDEX(Settings!$G$14:$G$18,$BF608)),N(INDEX(Settings!$H$14:$H$18,$BF608)))+IF(ISNUMBER($K608),ABS($K608*$G608*$AG608*N($AH608))*IF($M608="Target",N(INDEX(Settings!$G$14:$G$18,$BF608)),N(INDEX(Settings!$H$14:$H$18,$BF608))),0),6)),IF(NOT(ISNUMBER($G608)),"",ROUND(ABS($G608)*2*IF(AND($BE608&gt;0,ISNUMBER(INDEX(Instruments!$G$6:$G$205,MAX(1,$BE608)))),INDEX(Instruments!$G$6:$G$205,MAX(1,$BE608)),N(INDEX(Settings!$F$14:$F$18,$BF608))),6))))</f>
        <v/>
      </c>
      <c r="AK608" s="55" t="str">
        <f>IF($AM608=0,"",IF(ISNUMBER($O608),$O608,$AI608))</f>
        <v/>
      </c>
      <c r="AL608" s="55" t="str">
        <f>IF($AM608=0,"",IF(ISNUMBER($P608),$P608,N($AJ608)))</f>
        <v/>
      </c>
      <c r="AM608" s="56">
        <f>IF(AND($A608&lt;&gt;"",$E608&lt;&gt;"",OR(AND(ISNUMBER($G608),ISNUMBER($H608),ISNUMBER($K608)),ISNUMBER($O608))),1,0)</f>
        <v>0</v>
      </c>
      <c r="AN608" s="57" t="str">
        <f>IF($A608="","",$A608-WEEKDAY($A608,3))</f>
        <v/>
      </c>
      <c r="AO608" s="56" t="str">
        <f>IF($A608="","",WEEKDAY($A608,2))</f>
        <v/>
      </c>
      <c r="AP608" s="55" t="str">
        <f>IF(OR($AM608=0,$C608=""),"",IFERROR(N(INDEX(Accounts!$E$7:$E$16,MATCH($C608,Accounts!$B$7:$B$16,0))),0)+SUMIFS($Q$6:$Q608,$C$6:$C608,$C608))</f>
        <v/>
      </c>
      <c r="AQ608" s="55" t="str">
        <f>IF(OR($AM608=0,$C608=""),"",SUMIFS($Q$6:$Q$1005,$C$6:$C$1005,$C608,$A$6:$A$1005,$A608))</f>
        <v/>
      </c>
      <c r="AR608" s="55" t="str">
        <f>IF(OR($AM608=0,$C608=""),"",IFERROR(N(INDEX(Accounts!$E$7:$E$16,MATCH($C608,Accounts!$B$7:$B$16,0))),0)+SUMIFS($Q$6:$Q$1005,$C$6:$C$1005,$C608,$A$6:$A$1005,"&lt;="&amp;$A608))</f>
        <v/>
      </c>
      <c r="AS608" s="56">
        <f>IF(OR($AM608=0,$Q608=""),0,IF(AND($A608&gt;=Lists!$W$6,$A608&lt;=Lists!$W$7,OR(Dashboard!$D$6="All accounts",$C608=Dashboard!$D$6),OR(Dashboard!$D$7="All markets",$AF608=Dashboard!$D$7)),1,0))</f>
        <v>0</v>
      </c>
      <c r="AT608" s="55">
        <f>IF($AS608=1,N(AT607)+$Q608,N(AT607))</f>
        <v>1187.10688</v>
      </c>
      <c r="AU608" s="55">
        <f>MAX(N(AU607),$AT608)</f>
        <v>1187.10688</v>
      </c>
      <c r="AV608" s="55">
        <f>$AT608-$AU608</f>
        <v>0</v>
      </c>
      <c r="AW608" s="56">
        <f>IF($AS608=1,IF($S608="Win",N(AW607)+1,IF($S608="Loss",0,N(AW607))),N(AW607))</f>
        <v>5</v>
      </c>
      <c r="AX608" s="56">
        <f>IF($AS608=1,IF($S608="Loss",N(AX607)+1,IF($S608="Win",0,N(AX607))),N(AX607))</f>
        <v>0</v>
      </c>
      <c r="AY608" s="56" t="str">
        <f>IF($AS608=1,COUNTIF($AS$6:$AS608,1),"")</f>
        <v/>
      </c>
      <c r="AZ608" s="56">
        <f>MIN(602,N(Lists!$W$8))</f>
        <v>28</v>
      </c>
      <c r="BA608" s="56">
        <f>IF($AS608=1,IF(COUNTIFS($A$6:$A608,$A608,$AS$6:$AS608,1)=1,1,0),0)</f>
        <v>0</v>
      </c>
      <c r="BB608" s="55" t="str">
        <f>IF($BA608=1,SUMIFS($Q$6:$Q$1005,$A$6:$A$1005,$A608,$AS$6:$AS$1005,1),"")</f>
        <v/>
      </c>
      <c r="BC608" s="56">
        <f>IF(ISNUMBER($R608),1,0)</f>
        <v>0</v>
      </c>
      <c r="BD608" s="55" t="str">
        <f>IF(ISNUMBER($U608),$U608*$V608,"")</f>
        <v/>
      </c>
      <c r="BE608" s="56" t="str">
        <f>IF($AM608=0,"",IFERROR(MATCH($AF608&amp;"|"&amp;UPPER(TRIM($E608)),Lists!$A$6:$A$205,0),0))</f>
        <v/>
      </c>
      <c r="BF608" s="56" t="str">
        <f>IF($AM608=0,"",IFERROR(MATCH($AF608,Settings!$B$14:$B$18,0),IFERROR(MATCH(Settings!$C$6,Settings!$B$14:$B$18,0),1)))</f>
        <v/>
      </c>
      <c r="BG608" s="58" t="str">
        <f>IF($AM608=0,"",IF(NOT(ISNUMBER($I608)),"No stop; ","")&amp;IF(AND(ISNUMBER($H608),ISNUMBER($I608)),IF(OR(AND($F608&lt;&gt;"Short",$I608&gt;=$H608),AND($F608="Short",$I608&lt;=$H608)),"Stop on wrong side; ",""),"")&amp;IF($F608="","No direction; ","")&amp;IF(AND(ISNUMBER(Settings!$C$22),ISNUMBER($V608)),IF($V608&gt;Settings!$C$22,"Risk over max $; ",""),"")&amp;IF(AND(ISNUMBER(Settings!$C$23),ISNUMBER($V608),ISNUMBER($AP608),IFERROR(N(INDEX(Accounts!$E$7:$E$16,MATCH($C608,Accounts!$B$7:$B$16,0))),0)&gt;0),IF($V608&gt;Settings!$C$23*($AP608-N($Q608)),"Risk over max %; ",""),"")&amp;IF(AND(ISNUMBER(Settings!$C$24),ISNUMBER($N608)),IF($N608&gt;Settings!$C$24,"Leverage over max; ",""),"")&amp;IF(AND(ISNUMBER(Settings!$C$27),ISNUMBER($T608)),IF($T608&lt;Settings!$C$27,"R:R below min; ",""),"")&amp;IF(ISNUMBER(Settings!$C$25),IF(COUNTIFS($A$6:$A608,$A608,$AM$6:$AM608,1)&gt;Settings!$C$25,"Over max trades/day; ",""),"")&amp;IF(ISNUMBER(Settings!$C$26),IF(SUMIFS($Q$5:$Q607,$A$5:$A607,$A608)&lt;=-Settings!$C$26,"Traded after daily max loss; ",""),"")&amp;IF(AND($AG608="",NOT(ISNUMBER($O608))),"Symbol not in Instruments; ","")&amp;IF(AND($AH608="",NOT(ISNUMBER($O608))),"Forex cross: type Gross P&amp;L; ",""))</f>
        <v/>
      </c>
      <c r="BH608" s="56">
        <f>IF(ISNUMBER($Q608),1,0)</f>
        <v>0</v>
      </c>
      <c r="BI608" s="56">
        <f>IF($Y608="",0,1)</f>
        <v>0</v>
      </c>
      <c r="BJ608" s="56">
        <f>IF($AB608="",0,1)</f>
        <v>0</v>
      </c>
      <c r="BK608" s="56">
        <f>IF(AND($BH608=1,$W608&lt;&gt;"OK"),1,0)</f>
        <v>0</v>
      </c>
      <c r="BL608" s="55">
        <f>IF(N($AZ608)=0,0,IFERROR(INDEX($AT$6:$AT$1005,MATCH($AZ608,$AY$6:$AY$1005,0)),0))</f>
        <v>1187.10688</v>
      </c>
      <c r="BM608" s="56">
        <f>IF(ISNUMBER(SEARCH("daily max loss",$BG608)),1,0)</f>
        <v>0</v>
      </c>
    </row>
    <row r="609" ht="18" customHeight="1">
      <c r="A609" s="38" t="n"/>
      <c r="B609" s="39" t="n"/>
      <c r="C609" s="40" t="n"/>
      <c r="D609" s="41" t="n"/>
      <c r="E609" s="41" t="n"/>
      <c r="F609" s="41" t="n"/>
      <c r="G609" s="41" t="n"/>
      <c r="H609" s="42" t="n"/>
      <c r="I609" s="42" t="n"/>
      <c r="J609" s="42" t="n"/>
      <c r="K609" s="42" t="n"/>
      <c r="L609" s="41" t="n"/>
      <c r="M609" s="41" t="n"/>
      <c r="N609" s="41" t="n"/>
      <c r="O609" s="43" t="n"/>
      <c r="P609" s="43" t="n"/>
      <c r="Q609" s="44" t="str">
        <f>IF($AM609=0,"",IF(ISNUMBER($AK609),$AK609-N($AL609),""))</f>
        <v/>
      </c>
      <c r="R609" s="45" t="str">
        <f>IF(OR($Q609="",NOT(ISNUMBER($V609))),"",$AK609/$V609)</f>
        <v/>
      </c>
      <c r="S609" s="46" t="str">
        <f>IF($Q609="","",IF(AND(ISNUMBER($R609),ABS(N($R609))&lt;N(Settings!$C$8)),"Scratch",IF($Q609&gt;0,"Win",IF($Q609&lt;0,"Loss","Scratch"))))</f>
        <v/>
      </c>
      <c r="T609" s="47" t="str">
        <f>IF(OR($AM609=0,NOT(ISNUMBER($H609)),NOT(ISNUMBER($I609)),NOT(ISNUMBER($J609))),"",IF($H609=$I609,"",ROUND(ABS($J609-$H609)/ABS($H609-$I609),6)))</f>
        <v/>
      </c>
      <c r="U609" s="48" t="str">
        <f>IF(OR($S609&lt;&gt;"Win",NOT(ISNUMBER($T609)),NOT(ISNUMBER($R609))),"",MAX(0,$T609-$R609))</f>
        <v/>
      </c>
      <c r="V609" s="49" t="str">
        <f>IF(OR($AM609=0,NOT(ISNUMBER($H609)),NOT(ISNUMBER($I609)),NOT(ISNUMBER($G609))),"",IF(OR($AG609="",$AH609=""),"",IF(ROUND(ABS($H609-$I609)*ABS($G609)*$AG609*$AH609,6)=0,"",ROUND(ABS($H609-$I609)*ABS($G609)*$AG609*$AH609,6))))</f>
        <v/>
      </c>
      <c r="W609" s="50" t="str">
        <f>IF($AM609=0,"",IF($BG609="","OK",LEFT($BG609,LEN($BG609)-2)))</f>
        <v/>
      </c>
      <c r="X609" s="41" t="n"/>
      <c r="Y609" s="40" t="n"/>
      <c r="Z609" s="41" t="n"/>
      <c r="AA609" s="41" t="n"/>
      <c r="AB609" s="40" t="n"/>
      <c r="AC609" s="51" t="n"/>
      <c r="AD609" s="51" t="n"/>
      <c r="AE609" s="40" t="n"/>
      <c r="AF609" s="52" t="str">
        <f>IF($AM609=0,"",IF($D609&lt;&gt;"",$D609,IF(IFERROR(INDEX(Accounts!$C$7:$C$16,MATCH($C609,Accounts!$B$7:$B$16,0))&amp;"","")&lt;&gt;"",INDEX(Accounts!$C$7:$C$16,MATCH($C609,Accounts!$B$7:$B$16,0)),Settings!$C$6)))</f>
        <v/>
      </c>
      <c r="AG609" s="53" t="str">
        <f>IF($AM609=0,"",IF(AND($BE609&gt;0,N(INDEX(Instruments!$D$6:$D$205,MAX(1,$BE609)))&gt;0),INDEX(Instruments!$D$6:$D$205,MAX(1,$BE609)),IF(N(INDEX(Settings!$D$14:$D$18,$BF609))&gt;0,INDEX(Settings!$D$14:$D$18,$BF609),"")))</f>
        <v/>
      </c>
      <c r="AH609" s="54" t="str">
        <f>IF($AM609=0,"",IF($AF609&lt;&gt;"Forex",1,IF(MID(UPPER(SUBSTITUTE(TRIM($E609),"/","")),4,3)=UPPER(TRIM(Settings!$C$7)),1,IF(LEFT(UPPER(SUBSTITUTE(TRIM($E609),"/","")),3)=UPPER(TRIM(Settings!$C$7)),IF(AND(ISNUMBER($K609),N($K609)&lt;&gt;0),1/$K609,""),""))))</f>
        <v/>
      </c>
      <c r="AI609" s="55" t="str">
        <f>IF($AM609=0,"",IF(OR(NOT(ISNUMBER($H609)),NOT(ISNUMBER($K609)),NOT(ISNUMBER($G609)),$AG609="",$AH609=""),"",ROUND(($K609-$H609)*IF($F609="Short",-1,1)*$G609*$AG609*$AH609,6)))</f>
        <v/>
      </c>
      <c r="AJ609" s="55" t="str">
        <f>IF($AM609=0,"",IF(INDEX(Settings!$E$14:$E$18,$BF609)="% of notional",IF(OR($AG609="",NOT(ISNUMBER($H609)),NOT(ISNUMBER($G609))),"",ROUND(ABS($H609*$G609*$AG609*N($AH609))*IF($L609="Limit",N(INDEX(Settings!$G$14:$G$18,$BF609)),N(INDEX(Settings!$H$14:$H$18,$BF609)))+IF(ISNUMBER($K609),ABS($K609*$G609*$AG609*N($AH609))*IF($M609="Target",N(INDEX(Settings!$G$14:$G$18,$BF609)),N(INDEX(Settings!$H$14:$H$18,$BF609))),0),6)),IF(NOT(ISNUMBER($G609)),"",ROUND(ABS($G609)*2*IF(AND($BE609&gt;0,ISNUMBER(INDEX(Instruments!$G$6:$G$205,MAX(1,$BE609)))),INDEX(Instruments!$G$6:$G$205,MAX(1,$BE609)),N(INDEX(Settings!$F$14:$F$18,$BF609))),6))))</f>
        <v/>
      </c>
      <c r="AK609" s="55" t="str">
        <f>IF($AM609=0,"",IF(ISNUMBER($O609),$O609,$AI609))</f>
        <v/>
      </c>
      <c r="AL609" s="55" t="str">
        <f>IF($AM609=0,"",IF(ISNUMBER($P609),$P609,N($AJ609)))</f>
        <v/>
      </c>
      <c r="AM609" s="56">
        <f>IF(AND($A609&lt;&gt;"",$E609&lt;&gt;"",OR(AND(ISNUMBER($G609),ISNUMBER($H609),ISNUMBER($K609)),ISNUMBER($O609))),1,0)</f>
        <v>0</v>
      </c>
      <c r="AN609" s="57" t="str">
        <f>IF($A609="","",$A609-WEEKDAY($A609,3))</f>
        <v/>
      </c>
      <c r="AO609" s="56" t="str">
        <f>IF($A609="","",WEEKDAY($A609,2))</f>
        <v/>
      </c>
      <c r="AP609" s="55" t="str">
        <f>IF(OR($AM609=0,$C609=""),"",IFERROR(N(INDEX(Accounts!$E$7:$E$16,MATCH($C609,Accounts!$B$7:$B$16,0))),0)+SUMIFS($Q$6:$Q609,$C$6:$C609,$C609))</f>
        <v/>
      </c>
      <c r="AQ609" s="55" t="str">
        <f>IF(OR($AM609=0,$C609=""),"",SUMIFS($Q$6:$Q$1005,$C$6:$C$1005,$C609,$A$6:$A$1005,$A609))</f>
        <v/>
      </c>
      <c r="AR609" s="55" t="str">
        <f>IF(OR($AM609=0,$C609=""),"",IFERROR(N(INDEX(Accounts!$E$7:$E$16,MATCH($C609,Accounts!$B$7:$B$16,0))),0)+SUMIFS($Q$6:$Q$1005,$C$6:$C$1005,$C609,$A$6:$A$1005,"&lt;="&amp;$A609))</f>
        <v/>
      </c>
      <c r="AS609" s="56">
        <f>IF(OR($AM609=0,$Q609=""),0,IF(AND($A609&gt;=Lists!$W$6,$A609&lt;=Lists!$W$7,OR(Dashboard!$D$6="All accounts",$C609=Dashboard!$D$6),OR(Dashboard!$D$7="All markets",$AF609=Dashboard!$D$7)),1,0))</f>
        <v>0</v>
      </c>
      <c r="AT609" s="55">
        <f>IF($AS609=1,N(AT608)+$Q609,N(AT608))</f>
        <v>1187.10688</v>
      </c>
      <c r="AU609" s="55">
        <f>MAX(N(AU608),$AT609)</f>
        <v>1187.10688</v>
      </c>
      <c r="AV609" s="55">
        <f>$AT609-$AU609</f>
        <v>0</v>
      </c>
      <c r="AW609" s="56">
        <f>IF($AS609=1,IF($S609="Win",N(AW608)+1,IF($S609="Loss",0,N(AW608))),N(AW608))</f>
        <v>5</v>
      </c>
      <c r="AX609" s="56">
        <f>IF($AS609=1,IF($S609="Loss",N(AX608)+1,IF($S609="Win",0,N(AX608))),N(AX608))</f>
        <v>0</v>
      </c>
      <c r="AY609" s="56" t="str">
        <f>IF($AS609=1,COUNTIF($AS$6:$AS609,1),"")</f>
        <v/>
      </c>
      <c r="AZ609" s="56">
        <f>MIN(603,N(Lists!$W$8))</f>
        <v>28</v>
      </c>
      <c r="BA609" s="56">
        <f>IF($AS609=1,IF(COUNTIFS($A$6:$A609,$A609,$AS$6:$AS609,1)=1,1,0),0)</f>
        <v>0</v>
      </c>
      <c r="BB609" s="55" t="str">
        <f>IF($BA609=1,SUMIFS($Q$6:$Q$1005,$A$6:$A$1005,$A609,$AS$6:$AS$1005,1),"")</f>
        <v/>
      </c>
      <c r="BC609" s="56">
        <f>IF(ISNUMBER($R609),1,0)</f>
        <v>0</v>
      </c>
      <c r="BD609" s="55" t="str">
        <f>IF(ISNUMBER($U609),$U609*$V609,"")</f>
        <v/>
      </c>
      <c r="BE609" s="56" t="str">
        <f>IF($AM609=0,"",IFERROR(MATCH($AF609&amp;"|"&amp;UPPER(TRIM($E609)),Lists!$A$6:$A$205,0),0))</f>
        <v/>
      </c>
      <c r="BF609" s="56" t="str">
        <f>IF($AM609=0,"",IFERROR(MATCH($AF609,Settings!$B$14:$B$18,0),IFERROR(MATCH(Settings!$C$6,Settings!$B$14:$B$18,0),1)))</f>
        <v/>
      </c>
      <c r="BG609" s="58" t="str">
        <f>IF($AM609=0,"",IF(NOT(ISNUMBER($I609)),"No stop; ","")&amp;IF(AND(ISNUMBER($H609),ISNUMBER($I609)),IF(OR(AND($F609&lt;&gt;"Short",$I609&gt;=$H609),AND($F609="Short",$I609&lt;=$H609)),"Stop on wrong side; ",""),"")&amp;IF($F609="","No direction; ","")&amp;IF(AND(ISNUMBER(Settings!$C$22),ISNUMBER($V609)),IF($V609&gt;Settings!$C$22,"Risk over max $; ",""),"")&amp;IF(AND(ISNUMBER(Settings!$C$23),ISNUMBER($V609),ISNUMBER($AP609),IFERROR(N(INDEX(Accounts!$E$7:$E$16,MATCH($C609,Accounts!$B$7:$B$16,0))),0)&gt;0),IF($V609&gt;Settings!$C$23*($AP609-N($Q609)),"Risk over max %; ",""),"")&amp;IF(AND(ISNUMBER(Settings!$C$24),ISNUMBER($N609)),IF($N609&gt;Settings!$C$24,"Leverage over max; ",""),"")&amp;IF(AND(ISNUMBER(Settings!$C$27),ISNUMBER($T609)),IF($T609&lt;Settings!$C$27,"R:R below min; ",""),"")&amp;IF(ISNUMBER(Settings!$C$25),IF(COUNTIFS($A$6:$A609,$A609,$AM$6:$AM609,1)&gt;Settings!$C$25,"Over max trades/day; ",""),"")&amp;IF(ISNUMBER(Settings!$C$26),IF(SUMIFS($Q$5:$Q608,$A$5:$A608,$A609)&lt;=-Settings!$C$26,"Traded after daily max loss; ",""),"")&amp;IF(AND($AG609="",NOT(ISNUMBER($O609))),"Symbol not in Instruments; ","")&amp;IF(AND($AH609="",NOT(ISNUMBER($O609))),"Forex cross: type Gross P&amp;L; ",""))</f>
        <v/>
      </c>
      <c r="BH609" s="56">
        <f>IF(ISNUMBER($Q609),1,0)</f>
        <v>0</v>
      </c>
      <c r="BI609" s="56">
        <f>IF($Y609="",0,1)</f>
        <v>0</v>
      </c>
      <c r="BJ609" s="56">
        <f>IF($AB609="",0,1)</f>
        <v>0</v>
      </c>
      <c r="BK609" s="56">
        <f>IF(AND($BH609=1,$W609&lt;&gt;"OK"),1,0)</f>
        <v>0</v>
      </c>
      <c r="BL609" s="55">
        <f>IF(N($AZ609)=0,0,IFERROR(INDEX($AT$6:$AT$1005,MATCH($AZ609,$AY$6:$AY$1005,0)),0))</f>
        <v>1187.10688</v>
      </c>
      <c r="BM609" s="56">
        <f>IF(ISNUMBER(SEARCH("daily max loss",$BG609)),1,0)</f>
        <v>0</v>
      </c>
    </row>
    <row r="610" ht="18" customHeight="1">
      <c r="A610" s="38" t="n"/>
      <c r="B610" s="39" t="n"/>
      <c r="C610" s="40" t="n"/>
      <c r="D610" s="41" t="n"/>
      <c r="E610" s="41" t="n"/>
      <c r="F610" s="41" t="n"/>
      <c r="G610" s="41" t="n"/>
      <c r="H610" s="42" t="n"/>
      <c r="I610" s="42" t="n"/>
      <c r="J610" s="42" t="n"/>
      <c r="K610" s="42" t="n"/>
      <c r="L610" s="41" t="n"/>
      <c r="M610" s="41" t="n"/>
      <c r="N610" s="41" t="n"/>
      <c r="O610" s="43" t="n"/>
      <c r="P610" s="43" t="n"/>
      <c r="Q610" s="44" t="str">
        <f>IF($AM610=0,"",IF(ISNUMBER($AK610),$AK610-N($AL610),""))</f>
        <v/>
      </c>
      <c r="R610" s="45" t="str">
        <f>IF(OR($Q610="",NOT(ISNUMBER($V610))),"",$AK610/$V610)</f>
        <v/>
      </c>
      <c r="S610" s="46" t="str">
        <f>IF($Q610="","",IF(AND(ISNUMBER($R610),ABS(N($R610))&lt;N(Settings!$C$8)),"Scratch",IF($Q610&gt;0,"Win",IF($Q610&lt;0,"Loss","Scratch"))))</f>
        <v/>
      </c>
      <c r="T610" s="47" t="str">
        <f>IF(OR($AM610=0,NOT(ISNUMBER($H610)),NOT(ISNUMBER($I610)),NOT(ISNUMBER($J610))),"",IF($H610=$I610,"",ROUND(ABS($J610-$H610)/ABS($H610-$I610),6)))</f>
        <v/>
      </c>
      <c r="U610" s="48" t="str">
        <f>IF(OR($S610&lt;&gt;"Win",NOT(ISNUMBER($T610)),NOT(ISNUMBER($R610))),"",MAX(0,$T610-$R610))</f>
        <v/>
      </c>
      <c r="V610" s="49" t="str">
        <f>IF(OR($AM610=0,NOT(ISNUMBER($H610)),NOT(ISNUMBER($I610)),NOT(ISNUMBER($G610))),"",IF(OR($AG610="",$AH610=""),"",IF(ROUND(ABS($H610-$I610)*ABS($G610)*$AG610*$AH610,6)=0,"",ROUND(ABS($H610-$I610)*ABS($G610)*$AG610*$AH610,6))))</f>
        <v/>
      </c>
      <c r="W610" s="50" t="str">
        <f>IF($AM610=0,"",IF($BG610="","OK",LEFT($BG610,LEN($BG610)-2)))</f>
        <v/>
      </c>
      <c r="X610" s="41" t="n"/>
      <c r="Y610" s="40" t="n"/>
      <c r="Z610" s="41" t="n"/>
      <c r="AA610" s="41" t="n"/>
      <c r="AB610" s="40" t="n"/>
      <c r="AC610" s="51" t="n"/>
      <c r="AD610" s="51" t="n"/>
      <c r="AE610" s="40" t="n"/>
      <c r="AF610" s="52" t="str">
        <f>IF($AM610=0,"",IF($D610&lt;&gt;"",$D610,IF(IFERROR(INDEX(Accounts!$C$7:$C$16,MATCH($C610,Accounts!$B$7:$B$16,0))&amp;"","")&lt;&gt;"",INDEX(Accounts!$C$7:$C$16,MATCH($C610,Accounts!$B$7:$B$16,0)),Settings!$C$6)))</f>
        <v/>
      </c>
      <c r="AG610" s="53" t="str">
        <f>IF($AM610=0,"",IF(AND($BE610&gt;0,N(INDEX(Instruments!$D$6:$D$205,MAX(1,$BE610)))&gt;0),INDEX(Instruments!$D$6:$D$205,MAX(1,$BE610)),IF(N(INDEX(Settings!$D$14:$D$18,$BF610))&gt;0,INDEX(Settings!$D$14:$D$18,$BF610),"")))</f>
        <v/>
      </c>
      <c r="AH610" s="54" t="str">
        <f>IF($AM610=0,"",IF($AF610&lt;&gt;"Forex",1,IF(MID(UPPER(SUBSTITUTE(TRIM($E610),"/","")),4,3)=UPPER(TRIM(Settings!$C$7)),1,IF(LEFT(UPPER(SUBSTITUTE(TRIM($E610),"/","")),3)=UPPER(TRIM(Settings!$C$7)),IF(AND(ISNUMBER($K610),N($K610)&lt;&gt;0),1/$K610,""),""))))</f>
        <v/>
      </c>
      <c r="AI610" s="55" t="str">
        <f>IF($AM610=0,"",IF(OR(NOT(ISNUMBER($H610)),NOT(ISNUMBER($K610)),NOT(ISNUMBER($G610)),$AG610="",$AH610=""),"",ROUND(($K610-$H610)*IF($F610="Short",-1,1)*$G610*$AG610*$AH610,6)))</f>
        <v/>
      </c>
      <c r="AJ610" s="55" t="str">
        <f>IF($AM610=0,"",IF(INDEX(Settings!$E$14:$E$18,$BF610)="% of notional",IF(OR($AG610="",NOT(ISNUMBER($H610)),NOT(ISNUMBER($G610))),"",ROUND(ABS($H610*$G610*$AG610*N($AH610))*IF($L610="Limit",N(INDEX(Settings!$G$14:$G$18,$BF610)),N(INDEX(Settings!$H$14:$H$18,$BF610)))+IF(ISNUMBER($K610),ABS($K610*$G610*$AG610*N($AH610))*IF($M610="Target",N(INDEX(Settings!$G$14:$G$18,$BF610)),N(INDEX(Settings!$H$14:$H$18,$BF610))),0),6)),IF(NOT(ISNUMBER($G610)),"",ROUND(ABS($G610)*2*IF(AND($BE610&gt;0,ISNUMBER(INDEX(Instruments!$G$6:$G$205,MAX(1,$BE610)))),INDEX(Instruments!$G$6:$G$205,MAX(1,$BE610)),N(INDEX(Settings!$F$14:$F$18,$BF610))),6))))</f>
        <v/>
      </c>
      <c r="AK610" s="55" t="str">
        <f>IF($AM610=0,"",IF(ISNUMBER($O610),$O610,$AI610))</f>
        <v/>
      </c>
      <c r="AL610" s="55" t="str">
        <f>IF($AM610=0,"",IF(ISNUMBER($P610),$P610,N($AJ610)))</f>
        <v/>
      </c>
      <c r="AM610" s="56">
        <f>IF(AND($A610&lt;&gt;"",$E610&lt;&gt;"",OR(AND(ISNUMBER($G610),ISNUMBER($H610),ISNUMBER($K610)),ISNUMBER($O610))),1,0)</f>
        <v>0</v>
      </c>
      <c r="AN610" s="57" t="str">
        <f>IF($A610="","",$A610-WEEKDAY($A610,3))</f>
        <v/>
      </c>
      <c r="AO610" s="56" t="str">
        <f>IF($A610="","",WEEKDAY($A610,2))</f>
        <v/>
      </c>
      <c r="AP610" s="55" t="str">
        <f>IF(OR($AM610=0,$C610=""),"",IFERROR(N(INDEX(Accounts!$E$7:$E$16,MATCH($C610,Accounts!$B$7:$B$16,0))),0)+SUMIFS($Q$6:$Q610,$C$6:$C610,$C610))</f>
        <v/>
      </c>
      <c r="AQ610" s="55" t="str">
        <f>IF(OR($AM610=0,$C610=""),"",SUMIFS($Q$6:$Q$1005,$C$6:$C$1005,$C610,$A$6:$A$1005,$A610))</f>
        <v/>
      </c>
      <c r="AR610" s="55" t="str">
        <f>IF(OR($AM610=0,$C610=""),"",IFERROR(N(INDEX(Accounts!$E$7:$E$16,MATCH($C610,Accounts!$B$7:$B$16,0))),0)+SUMIFS($Q$6:$Q$1005,$C$6:$C$1005,$C610,$A$6:$A$1005,"&lt;="&amp;$A610))</f>
        <v/>
      </c>
      <c r="AS610" s="56">
        <f>IF(OR($AM610=0,$Q610=""),0,IF(AND($A610&gt;=Lists!$W$6,$A610&lt;=Lists!$W$7,OR(Dashboard!$D$6="All accounts",$C610=Dashboard!$D$6),OR(Dashboard!$D$7="All markets",$AF610=Dashboard!$D$7)),1,0))</f>
        <v>0</v>
      </c>
      <c r="AT610" s="55">
        <f>IF($AS610=1,N(AT609)+$Q610,N(AT609))</f>
        <v>1187.10688</v>
      </c>
      <c r="AU610" s="55">
        <f>MAX(N(AU609),$AT610)</f>
        <v>1187.10688</v>
      </c>
      <c r="AV610" s="55">
        <f>$AT610-$AU610</f>
        <v>0</v>
      </c>
      <c r="AW610" s="56">
        <f>IF($AS610=1,IF($S610="Win",N(AW609)+1,IF($S610="Loss",0,N(AW609))),N(AW609))</f>
        <v>5</v>
      </c>
      <c r="AX610" s="56">
        <f>IF($AS610=1,IF($S610="Loss",N(AX609)+1,IF($S610="Win",0,N(AX609))),N(AX609))</f>
        <v>0</v>
      </c>
      <c r="AY610" s="56" t="str">
        <f>IF($AS610=1,COUNTIF($AS$6:$AS610,1),"")</f>
        <v/>
      </c>
      <c r="AZ610" s="56">
        <f>MIN(604,N(Lists!$W$8))</f>
        <v>28</v>
      </c>
      <c r="BA610" s="56">
        <f>IF($AS610=1,IF(COUNTIFS($A$6:$A610,$A610,$AS$6:$AS610,1)=1,1,0),0)</f>
        <v>0</v>
      </c>
      <c r="BB610" s="55" t="str">
        <f>IF($BA610=1,SUMIFS($Q$6:$Q$1005,$A$6:$A$1005,$A610,$AS$6:$AS$1005,1),"")</f>
        <v/>
      </c>
      <c r="BC610" s="56">
        <f>IF(ISNUMBER($R610),1,0)</f>
        <v>0</v>
      </c>
      <c r="BD610" s="55" t="str">
        <f>IF(ISNUMBER($U610),$U610*$V610,"")</f>
        <v/>
      </c>
      <c r="BE610" s="56" t="str">
        <f>IF($AM610=0,"",IFERROR(MATCH($AF610&amp;"|"&amp;UPPER(TRIM($E610)),Lists!$A$6:$A$205,0),0))</f>
        <v/>
      </c>
      <c r="BF610" s="56" t="str">
        <f>IF($AM610=0,"",IFERROR(MATCH($AF610,Settings!$B$14:$B$18,0),IFERROR(MATCH(Settings!$C$6,Settings!$B$14:$B$18,0),1)))</f>
        <v/>
      </c>
      <c r="BG610" s="58" t="str">
        <f>IF($AM610=0,"",IF(NOT(ISNUMBER($I610)),"No stop; ","")&amp;IF(AND(ISNUMBER($H610),ISNUMBER($I610)),IF(OR(AND($F610&lt;&gt;"Short",$I610&gt;=$H610),AND($F610="Short",$I610&lt;=$H610)),"Stop on wrong side; ",""),"")&amp;IF($F610="","No direction; ","")&amp;IF(AND(ISNUMBER(Settings!$C$22),ISNUMBER($V610)),IF($V610&gt;Settings!$C$22,"Risk over max $; ",""),"")&amp;IF(AND(ISNUMBER(Settings!$C$23),ISNUMBER($V610),ISNUMBER($AP610),IFERROR(N(INDEX(Accounts!$E$7:$E$16,MATCH($C610,Accounts!$B$7:$B$16,0))),0)&gt;0),IF($V610&gt;Settings!$C$23*($AP610-N($Q610)),"Risk over max %; ",""),"")&amp;IF(AND(ISNUMBER(Settings!$C$24),ISNUMBER($N610)),IF($N610&gt;Settings!$C$24,"Leverage over max; ",""),"")&amp;IF(AND(ISNUMBER(Settings!$C$27),ISNUMBER($T610)),IF($T610&lt;Settings!$C$27,"R:R below min; ",""),"")&amp;IF(ISNUMBER(Settings!$C$25),IF(COUNTIFS($A$6:$A610,$A610,$AM$6:$AM610,1)&gt;Settings!$C$25,"Over max trades/day; ",""),"")&amp;IF(ISNUMBER(Settings!$C$26),IF(SUMIFS($Q$5:$Q609,$A$5:$A609,$A610)&lt;=-Settings!$C$26,"Traded after daily max loss; ",""),"")&amp;IF(AND($AG610="",NOT(ISNUMBER($O610))),"Symbol not in Instruments; ","")&amp;IF(AND($AH610="",NOT(ISNUMBER($O610))),"Forex cross: type Gross P&amp;L; ",""))</f>
        <v/>
      </c>
      <c r="BH610" s="56">
        <f>IF(ISNUMBER($Q610),1,0)</f>
        <v>0</v>
      </c>
      <c r="BI610" s="56">
        <f>IF($Y610="",0,1)</f>
        <v>0</v>
      </c>
      <c r="BJ610" s="56">
        <f>IF($AB610="",0,1)</f>
        <v>0</v>
      </c>
      <c r="BK610" s="56">
        <f>IF(AND($BH610=1,$W610&lt;&gt;"OK"),1,0)</f>
        <v>0</v>
      </c>
      <c r="BL610" s="55">
        <f>IF(N($AZ610)=0,0,IFERROR(INDEX($AT$6:$AT$1005,MATCH($AZ610,$AY$6:$AY$1005,0)),0))</f>
        <v>1187.10688</v>
      </c>
      <c r="BM610" s="56">
        <f>IF(ISNUMBER(SEARCH("daily max loss",$BG610)),1,0)</f>
        <v>0</v>
      </c>
    </row>
    <row r="611" ht="18" customHeight="1">
      <c r="A611" s="38" t="n"/>
      <c r="B611" s="39" t="n"/>
      <c r="C611" s="40" t="n"/>
      <c r="D611" s="41" t="n"/>
      <c r="E611" s="41" t="n"/>
      <c r="F611" s="41" t="n"/>
      <c r="G611" s="41" t="n"/>
      <c r="H611" s="42" t="n"/>
      <c r="I611" s="42" t="n"/>
      <c r="J611" s="42" t="n"/>
      <c r="K611" s="42" t="n"/>
      <c r="L611" s="41" t="n"/>
      <c r="M611" s="41" t="n"/>
      <c r="N611" s="41" t="n"/>
      <c r="O611" s="43" t="n"/>
      <c r="P611" s="43" t="n"/>
      <c r="Q611" s="44" t="str">
        <f>IF($AM611=0,"",IF(ISNUMBER($AK611),$AK611-N($AL611),""))</f>
        <v/>
      </c>
      <c r="R611" s="45" t="str">
        <f>IF(OR($Q611="",NOT(ISNUMBER($V611))),"",$AK611/$V611)</f>
        <v/>
      </c>
      <c r="S611" s="46" t="str">
        <f>IF($Q611="","",IF(AND(ISNUMBER($R611),ABS(N($R611))&lt;N(Settings!$C$8)),"Scratch",IF($Q611&gt;0,"Win",IF($Q611&lt;0,"Loss","Scratch"))))</f>
        <v/>
      </c>
      <c r="T611" s="47" t="str">
        <f>IF(OR($AM611=0,NOT(ISNUMBER($H611)),NOT(ISNUMBER($I611)),NOT(ISNUMBER($J611))),"",IF($H611=$I611,"",ROUND(ABS($J611-$H611)/ABS($H611-$I611),6)))</f>
        <v/>
      </c>
      <c r="U611" s="48" t="str">
        <f>IF(OR($S611&lt;&gt;"Win",NOT(ISNUMBER($T611)),NOT(ISNUMBER($R611))),"",MAX(0,$T611-$R611))</f>
        <v/>
      </c>
      <c r="V611" s="49" t="str">
        <f>IF(OR($AM611=0,NOT(ISNUMBER($H611)),NOT(ISNUMBER($I611)),NOT(ISNUMBER($G611))),"",IF(OR($AG611="",$AH611=""),"",IF(ROUND(ABS($H611-$I611)*ABS($G611)*$AG611*$AH611,6)=0,"",ROUND(ABS($H611-$I611)*ABS($G611)*$AG611*$AH611,6))))</f>
        <v/>
      </c>
      <c r="W611" s="50" t="str">
        <f>IF($AM611=0,"",IF($BG611="","OK",LEFT($BG611,LEN($BG611)-2)))</f>
        <v/>
      </c>
      <c r="X611" s="41" t="n"/>
      <c r="Y611" s="40" t="n"/>
      <c r="Z611" s="41" t="n"/>
      <c r="AA611" s="41" t="n"/>
      <c r="AB611" s="40" t="n"/>
      <c r="AC611" s="51" t="n"/>
      <c r="AD611" s="51" t="n"/>
      <c r="AE611" s="40" t="n"/>
      <c r="AF611" s="52" t="str">
        <f>IF($AM611=0,"",IF($D611&lt;&gt;"",$D611,IF(IFERROR(INDEX(Accounts!$C$7:$C$16,MATCH($C611,Accounts!$B$7:$B$16,0))&amp;"","")&lt;&gt;"",INDEX(Accounts!$C$7:$C$16,MATCH($C611,Accounts!$B$7:$B$16,0)),Settings!$C$6)))</f>
        <v/>
      </c>
      <c r="AG611" s="53" t="str">
        <f>IF($AM611=0,"",IF(AND($BE611&gt;0,N(INDEX(Instruments!$D$6:$D$205,MAX(1,$BE611)))&gt;0),INDEX(Instruments!$D$6:$D$205,MAX(1,$BE611)),IF(N(INDEX(Settings!$D$14:$D$18,$BF611))&gt;0,INDEX(Settings!$D$14:$D$18,$BF611),"")))</f>
        <v/>
      </c>
      <c r="AH611" s="54" t="str">
        <f>IF($AM611=0,"",IF($AF611&lt;&gt;"Forex",1,IF(MID(UPPER(SUBSTITUTE(TRIM($E611),"/","")),4,3)=UPPER(TRIM(Settings!$C$7)),1,IF(LEFT(UPPER(SUBSTITUTE(TRIM($E611),"/","")),3)=UPPER(TRIM(Settings!$C$7)),IF(AND(ISNUMBER($K611),N($K611)&lt;&gt;0),1/$K611,""),""))))</f>
        <v/>
      </c>
      <c r="AI611" s="55" t="str">
        <f>IF($AM611=0,"",IF(OR(NOT(ISNUMBER($H611)),NOT(ISNUMBER($K611)),NOT(ISNUMBER($G611)),$AG611="",$AH611=""),"",ROUND(($K611-$H611)*IF($F611="Short",-1,1)*$G611*$AG611*$AH611,6)))</f>
        <v/>
      </c>
      <c r="AJ611" s="55" t="str">
        <f>IF($AM611=0,"",IF(INDEX(Settings!$E$14:$E$18,$BF611)="% of notional",IF(OR($AG611="",NOT(ISNUMBER($H611)),NOT(ISNUMBER($G611))),"",ROUND(ABS($H611*$G611*$AG611*N($AH611))*IF($L611="Limit",N(INDEX(Settings!$G$14:$G$18,$BF611)),N(INDEX(Settings!$H$14:$H$18,$BF611)))+IF(ISNUMBER($K611),ABS($K611*$G611*$AG611*N($AH611))*IF($M611="Target",N(INDEX(Settings!$G$14:$G$18,$BF611)),N(INDEX(Settings!$H$14:$H$18,$BF611))),0),6)),IF(NOT(ISNUMBER($G611)),"",ROUND(ABS($G611)*2*IF(AND($BE611&gt;0,ISNUMBER(INDEX(Instruments!$G$6:$G$205,MAX(1,$BE611)))),INDEX(Instruments!$G$6:$G$205,MAX(1,$BE611)),N(INDEX(Settings!$F$14:$F$18,$BF611))),6))))</f>
        <v/>
      </c>
      <c r="AK611" s="55" t="str">
        <f>IF($AM611=0,"",IF(ISNUMBER($O611),$O611,$AI611))</f>
        <v/>
      </c>
      <c r="AL611" s="55" t="str">
        <f>IF($AM611=0,"",IF(ISNUMBER($P611),$P611,N($AJ611)))</f>
        <v/>
      </c>
      <c r="AM611" s="56">
        <f>IF(AND($A611&lt;&gt;"",$E611&lt;&gt;"",OR(AND(ISNUMBER($G611),ISNUMBER($H611),ISNUMBER($K611)),ISNUMBER($O611))),1,0)</f>
        <v>0</v>
      </c>
      <c r="AN611" s="57" t="str">
        <f>IF($A611="","",$A611-WEEKDAY($A611,3))</f>
        <v/>
      </c>
      <c r="AO611" s="56" t="str">
        <f>IF($A611="","",WEEKDAY($A611,2))</f>
        <v/>
      </c>
      <c r="AP611" s="55" t="str">
        <f>IF(OR($AM611=0,$C611=""),"",IFERROR(N(INDEX(Accounts!$E$7:$E$16,MATCH($C611,Accounts!$B$7:$B$16,0))),0)+SUMIFS($Q$6:$Q611,$C$6:$C611,$C611))</f>
        <v/>
      </c>
      <c r="AQ611" s="55" t="str">
        <f>IF(OR($AM611=0,$C611=""),"",SUMIFS($Q$6:$Q$1005,$C$6:$C$1005,$C611,$A$6:$A$1005,$A611))</f>
        <v/>
      </c>
      <c r="AR611" s="55" t="str">
        <f>IF(OR($AM611=0,$C611=""),"",IFERROR(N(INDEX(Accounts!$E$7:$E$16,MATCH($C611,Accounts!$B$7:$B$16,0))),0)+SUMIFS($Q$6:$Q$1005,$C$6:$C$1005,$C611,$A$6:$A$1005,"&lt;="&amp;$A611))</f>
        <v/>
      </c>
      <c r="AS611" s="56">
        <f>IF(OR($AM611=0,$Q611=""),0,IF(AND($A611&gt;=Lists!$W$6,$A611&lt;=Lists!$W$7,OR(Dashboard!$D$6="All accounts",$C611=Dashboard!$D$6),OR(Dashboard!$D$7="All markets",$AF611=Dashboard!$D$7)),1,0))</f>
        <v>0</v>
      </c>
      <c r="AT611" s="55">
        <f>IF($AS611=1,N(AT610)+$Q611,N(AT610))</f>
        <v>1187.10688</v>
      </c>
      <c r="AU611" s="55">
        <f>MAX(N(AU610),$AT611)</f>
        <v>1187.10688</v>
      </c>
      <c r="AV611" s="55">
        <f>$AT611-$AU611</f>
        <v>0</v>
      </c>
      <c r="AW611" s="56">
        <f>IF($AS611=1,IF($S611="Win",N(AW610)+1,IF($S611="Loss",0,N(AW610))),N(AW610))</f>
        <v>5</v>
      </c>
      <c r="AX611" s="56">
        <f>IF($AS611=1,IF($S611="Loss",N(AX610)+1,IF($S611="Win",0,N(AX610))),N(AX610))</f>
        <v>0</v>
      </c>
      <c r="AY611" s="56" t="str">
        <f>IF($AS611=1,COUNTIF($AS$6:$AS611,1),"")</f>
        <v/>
      </c>
      <c r="AZ611" s="56">
        <f>MIN(605,N(Lists!$W$8))</f>
        <v>28</v>
      </c>
      <c r="BA611" s="56">
        <f>IF($AS611=1,IF(COUNTIFS($A$6:$A611,$A611,$AS$6:$AS611,1)=1,1,0),0)</f>
        <v>0</v>
      </c>
      <c r="BB611" s="55" t="str">
        <f>IF($BA611=1,SUMIFS($Q$6:$Q$1005,$A$6:$A$1005,$A611,$AS$6:$AS$1005,1),"")</f>
        <v/>
      </c>
      <c r="BC611" s="56">
        <f>IF(ISNUMBER($R611),1,0)</f>
        <v>0</v>
      </c>
      <c r="BD611" s="55" t="str">
        <f>IF(ISNUMBER($U611),$U611*$V611,"")</f>
        <v/>
      </c>
      <c r="BE611" s="56" t="str">
        <f>IF($AM611=0,"",IFERROR(MATCH($AF611&amp;"|"&amp;UPPER(TRIM($E611)),Lists!$A$6:$A$205,0),0))</f>
        <v/>
      </c>
      <c r="BF611" s="56" t="str">
        <f>IF($AM611=0,"",IFERROR(MATCH($AF611,Settings!$B$14:$B$18,0),IFERROR(MATCH(Settings!$C$6,Settings!$B$14:$B$18,0),1)))</f>
        <v/>
      </c>
      <c r="BG611" s="58" t="str">
        <f>IF($AM611=0,"",IF(NOT(ISNUMBER($I611)),"No stop; ","")&amp;IF(AND(ISNUMBER($H611),ISNUMBER($I611)),IF(OR(AND($F611&lt;&gt;"Short",$I611&gt;=$H611),AND($F611="Short",$I611&lt;=$H611)),"Stop on wrong side; ",""),"")&amp;IF($F611="","No direction; ","")&amp;IF(AND(ISNUMBER(Settings!$C$22),ISNUMBER($V611)),IF($V611&gt;Settings!$C$22,"Risk over max $; ",""),"")&amp;IF(AND(ISNUMBER(Settings!$C$23),ISNUMBER($V611),ISNUMBER($AP611),IFERROR(N(INDEX(Accounts!$E$7:$E$16,MATCH($C611,Accounts!$B$7:$B$16,0))),0)&gt;0),IF($V611&gt;Settings!$C$23*($AP611-N($Q611)),"Risk over max %; ",""),"")&amp;IF(AND(ISNUMBER(Settings!$C$24),ISNUMBER($N611)),IF($N611&gt;Settings!$C$24,"Leverage over max; ",""),"")&amp;IF(AND(ISNUMBER(Settings!$C$27),ISNUMBER($T611)),IF($T611&lt;Settings!$C$27,"R:R below min; ",""),"")&amp;IF(ISNUMBER(Settings!$C$25),IF(COUNTIFS($A$6:$A611,$A611,$AM$6:$AM611,1)&gt;Settings!$C$25,"Over max trades/day; ",""),"")&amp;IF(ISNUMBER(Settings!$C$26),IF(SUMIFS($Q$5:$Q610,$A$5:$A610,$A611)&lt;=-Settings!$C$26,"Traded after daily max loss; ",""),"")&amp;IF(AND($AG611="",NOT(ISNUMBER($O611))),"Symbol not in Instruments; ","")&amp;IF(AND($AH611="",NOT(ISNUMBER($O611))),"Forex cross: type Gross P&amp;L; ",""))</f>
        <v/>
      </c>
      <c r="BH611" s="56">
        <f>IF(ISNUMBER($Q611),1,0)</f>
        <v>0</v>
      </c>
      <c r="BI611" s="56">
        <f>IF($Y611="",0,1)</f>
        <v>0</v>
      </c>
      <c r="BJ611" s="56">
        <f>IF($AB611="",0,1)</f>
        <v>0</v>
      </c>
      <c r="BK611" s="56">
        <f>IF(AND($BH611=1,$W611&lt;&gt;"OK"),1,0)</f>
        <v>0</v>
      </c>
      <c r="BL611" s="55">
        <f>IF(N($AZ611)=0,0,IFERROR(INDEX($AT$6:$AT$1005,MATCH($AZ611,$AY$6:$AY$1005,0)),0))</f>
        <v>1187.10688</v>
      </c>
      <c r="BM611" s="56">
        <f>IF(ISNUMBER(SEARCH("daily max loss",$BG611)),1,0)</f>
        <v>0</v>
      </c>
    </row>
    <row r="612" ht="18" customHeight="1">
      <c r="A612" s="38" t="n"/>
      <c r="B612" s="39" t="n"/>
      <c r="C612" s="40" t="n"/>
      <c r="D612" s="41" t="n"/>
      <c r="E612" s="41" t="n"/>
      <c r="F612" s="41" t="n"/>
      <c r="G612" s="41" t="n"/>
      <c r="H612" s="42" t="n"/>
      <c r="I612" s="42" t="n"/>
      <c r="J612" s="42" t="n"/>
      <c r="K612" s="42" t="n"/>
      <c r="L612" s="41" t="n"/>
      <c r="M612" s="41" t="n"/>
      <c r="N612" s="41" t="n"/>
      <c r="O612" s="43" t="n"/>
      <c r="P612" s="43" t="n"/>
      <c r="Q612" s="44" t="str">
        <f>IF($AM612=0,"",IF(ISNUMBER($AK612),$AK612-N($AL612),""))</f>
        <v/>
      </c>
      <c r="R612" s="45" t="str">
        <f>IF(OR($Q612="",NOT(ISNUMBER($V612))),"",$AK612/$V612)</f>
        <v/>
      </c>
      <c r="S612" s="46" t="str">
        <f>IF($Q612="","",IF(AND(ISNUMBER($R612),ABS(N($R612))&lt;N(Settings!$C$8)),"Scratch",IF($Q612&gt;0,"Win",IF($Q612&lt;0,"Loss","Scratch"))))</f>
        <v/>
      </c>
      <c r="T612" s="47" t="str">
        <f>IF(OR($AM612=0,NOT(ISNUMBER($H612)),NOT(ISNUMBER($I612)),NOT(ISNUMBER($J612))),"",IF($H612=$I612,"",ROUND(ABS($J612-$H612)/ABS($H612-$I612),6)))</f>
        <v/>
      </c>
      <c r="U612" s="48" t="str">
        <f>IF(OR($S612&lt;&gt;"Win",NOT(ISNUMBER($T612)),NOT(ISNUMBER($R612))),"",MAX(0,$T612-$R612))</f>
        <v/>
      </c>
      <c r="V612" s="49" t="str">
        <f>IF(OR($AM612=0,NOT(ISNUMBER($H612)),NOT(ISNUMBER($I612)),NOT(ISNUMBER($G612))),"",IF(OR($AG612="",$AH612=""),"",IF(ROUND(ABS($H612-$I612)*ABS($G612)*$AG612*$AH612,6)=0,"",ROUND(ABS($H612-$I612)*ABS($G612)*$AG612*$AH612,6))))</f>
        <v/>
      </c>
      <c r="W612" s="50" t="str">
        <f>IF($AM612=0,"",IF($BG612="","OK",LEFT($BG612,LEN($BG612)-2)))</f>
        <v/>
      </c>
      <c r="X612" s="41" t="n"/>
      <c r="Y612" s="40" t="n"/>
      <c r="Z612" s="41" t="n"/>
      <c r="AA612" s="41" t="n"/>
      <c r="AB612" s="40" t="n"/>
      <c r="AC612" s="51" t="n"/>
      <c r="AD612" s="51" t="n"/>
      <c r="AE612" s="40" t="n"/>
      <c r="AF612" s="52" t="str">
        <f>IF($AM612=0,"",IF($D612&lt;&gt;"",$D612,IF(IFERROR(INDEX(Accounts!$C$7:$C$16,MATCH($C612,Accounts!$B$7:$B$16,0))&amp;"","")&lt;&gt;"",INDEX(Accounts!$C$7:$C$16,MATCH($C612,Accounts!$B$7:$B$16,0)),Settings!$C$6)))</f>
        <v/>
      </c>
      <c r="AG612" s="53" t="str">
        <f>IF($AM612=0,"",IF(AND($BE612&gt;0,N(INDEX(Instruments!$D$6:$D$205,MAX(1,$BE612)))&gt;0),INDEX(Instruments!$D$6:$D$205,MAX(1,$BE612)),IF(N(INDEX(Settings!$D$14:$D$18,$BF612))&gt;0,INDEX(Settings!$D$14:$D$18,$BF612),"")))</f>
        <v/>
      </c>
      <c r="AH612" s="54" t="str">
        <f>IF($AM612=0,"",IF($AF612&lt;&gt;"Forex",1,IF(MID(UPPER(SUBSTITUTE(TRIM($E612),"/","")),4,3)=UPPER(TRIM(Settings!$C$7)),1,IF(LEFT(UPPER(SUBSTITUTE(TRIM($E612),"/","")),3)=UPPER(TRIM(Settings!$C$7)),IF(AND(ISNUMBER($K612),N($K612)&lt;&gt;0),1/$K612,""),""))))</f>
        <v/>
      </c>
      <c r="AI612" s="55" t="str">
        <f>IF($AM612=0,"",IF(OR(NOT(ISNUMBER($H612)),NOT(ISNUMBER($K612)),NOT(ISNUMBER($G612)),$AG612="",$AH612=""),"",ROUND(($K612-$H612)*IF($F612="Short",-1,1)*$G612*$AG612*$AH612,6)))</f>
        <v/>
      </c>
      <c r="AJ612" s="55" t="str">
        <f>IF($AM612=0,"",IF(INDEX(Settings!$E$14:$E$18,$BF612)="% of notional",IF(OR($AG612="",NOT(ISNUMBER($H612)),NOT(ISNUMBER($G612))),"",ROUND(ABS($H612*$G612*$AG612*N($AH612))*IF($L612="Limit",N(INDEX(Settings!$G$14:$G$18,$BF612)),N(INDEX(Settings!$H$14:$H$18,$BF612)))+IF(ISNUMBER($K612),ABS($K612*$G612*$AG612*N($AH612))*IF($M612="Target",N(INDEX(Settings!$G$14:$G$18,$BF612)),N(INDEX(Settings!$H$14:$H$18,$BF612))),0),6)),IF(NOT(ISNUMBER($G612)),"",ROUND(ABS($G612)*2*IF(AND($BE612&gt;0,ISNUMBER(INDEX(Instruments!$G$6:$G$205,MAX(1,$BE612)))),INDEX(Instruments!$G$6:$G$205,MAX(1,$BE612)),N(INDEX(Settings!$F$14:$F$18,$BF612))),6))))</f>
        <v/>
      </c>
      <c r="AK612" s="55" t="str">
        <f>IF($AM612=0,"",IF(ISNUMBER($O612),$O612,$AI612))</f>
        <v/>
      </c>
      <c r="AL612" s="55" t="str">
        <f>IF($AM612=0,"",IF(ISNUMBER($P612),$P612,N($AJ612)))</f>
        <v/>
      </c>
      <c r="AM612" s="56">
        <f>IF(AND($A612&lt;&gt;"",$E612&lt;&gt;"",OR(AND(ISNUMBER($G612),ISNUMBER($H612),ISNUMBER($K612)),ISNUMBER($O612))),1,0)</f>
        <v>0</v>
      </c>
      <c r="AN612" s="57" t="str">
        <f>IF($A612="","",$A612-WEEKDAY($A612,3))</f>
        <v/>
      </c>
      <c r="AO612" s="56" t="str">
        <f>IF($A612="","",WEEKDAY($A612,2))</f>
        <v/>
      </c>
      <c r="AP612" s="55" t="str">
        <f>IF(OR($AM612=0,$C612=""),"",IFERROR(N(INDEX(Accounts!$E$7:$E$16,MATCH($C612,Accounts!$B$7:$B$16,0))),0)+SUMIFS($Q$6:$Q612,$C$6:$C612,$C612))</f>
        <v/>
      </c>
      <c r="AQ612" s="55" t="str">
        <f>IF(OR($AM612=0,$C612=""),"",SUMIFS($Q$6:$Q$1005,$C$6:$C$1005,$C612,$A$6:$A$1005,$A612))</f>
        <v/>
      </c>
      <c r="AR612" s="55" t="str">
        <f>IF(OR($AM612=0,$C612=""),"",IFERROR(N(INDEX(Accounts!$E$7:$E$16,MATCH($C612,Accounts!$B$7:$B$16,0))),0)+SUMIFS($Q$6:$Q$1005,$C$6:$C$1005,$C612,$A$6:$A$1005,"&lt;="&amp;$A612))</f>
        <v/>
      </c>
      <c r="AS612" s="56">
        <f>IF(OR($AM612=0,$Q612=""),0,IF(AND($A612&gt;=Lists!$W$6,$A612&lt;=Lists!$W$7,OR(Dashboard!$D$6="All accounts",$C612=Dashboard!$D$6),OR(Dashboard!$D$7="All markets",$AF612=Dashboard!$D$7)),1,0))</f>
        <v>0</v>
      </c>
      <c r="AT612" s="55">
        <f>IF($AS612=1,N(AT611)+$Q612,N(AT611))</f>
        <v>1187.10688</v>
      </c>
      <c r="AU612" s="55">
        <f>MAX(N(AU611),$AT612)</f>
        <v>1187.10688</v>
      </c>
      <c r="AV612" s="55">
        <f>$AT612-$AU612</f>
        <v>0</v>
      </c>
      <c r="AW612" s="56">
        <f>IF($AS612=1,IF($S612="Win",N(AW611)+1,IF($S612="Loss",0,N(AW611))),N(AW611))</f>
        <v>5</v>
      </c>
      <c r="AX612" s="56">
        <f>IF($AS612=1,IF($S612="Loss",N(AX611)+1,IF($S612="Win",0,N(AX611))),N(AX611))</f>
        <v>0</v>
      </c>
      <c r="AY612" s="56" t="str">
        <f>IF($AS612=1,COUNTIF($AS$6:$AS612,1),"")</f>
        <v/>
      </c>
      <c r="AZ612" s="56">
        <f>MIN(606,N(Lists!$W$8))</f>
        <v>28</v>
      </c>
      <c r="BA612" s="56">
        <f>IF($AS612=1,IF(COUNTIFS($A$6:$A612,$A612,$AS$6:$AS612,1)=1,1,0),0)</f>
        <v>0</v>
      </c>
      <c r="BB612" s="55" t="str">
        <f>IF($BA612=1,SUMIFS($Q$6:$Q$1005,$A$6:$A$1005,$A612,$AS$6:$AS$1005,1),"")</f>
        <v/>
      </c>
      <c r="BC612" s="56">
        <f>IF(ISNUMBER($R612),1,0)</f>
        <v>0</v>
      </c>
      <c r="BD612" s="55" t="str">
        <f>IF(ISNUMBER($U612),$U612*$V612,"")</f>
        <v/>
      </c>
      <c r="BE612" s="56" t="str">
        <f>IF($AM612=0,"",IFERROR(MATCH($AF612&amp;"|"&amp;UPPER(TRIM($E612)),Lists!$A$6:$A$205,0),0))</f>
        <v/>
      </c>
      <c r="BF612" s="56" t="str">
        <f>IF($AM612=0,"",IFERROR(MATCH($AF612,Settings!$B$14:$B$18,0),IFERROR(MATCH(Settings!$C$6,Settings!$B$14:$B$18,0),1)))</f>
        <v/>
      </c>
      <c r="BG612" s="58" t="str">
        <f>IF($AM612=0,"",IF(NOT(ISNUMBER($I612)),"No stop; ","")&amp;IF(AND(ISNUMBER($H612),ISNUMBER($I612)),IF(OR(AND($F612&lt;&gt;"Short",$I612&gt;=$H612),AND($F612="Short",$I612&lt;=$H612)),"Stop on wrong side; ",""),"")&amp;IF($F612="","No direction; ","")&amp;IF(AND(ISNUMBER(Settings!$C$22),ISNUMBER($V612)),IF($V612&gt;Settings!$C$22,"Risk over max $; ",""),"")&amp;IF(AND(ISNUMBER(Settings!$C$23),ISNUMBER($V612),ISNUMBER($AP612),IFERROR(N(INDEX(Accounts!$E$7:$E$16,MATCH($C612,Accounts!$B$7:$B$16,0))),0)&gt;0),IF($V612&gt;Settings!$C$23*($AP612-N($Q612)),"Risk over max %; ",""),"")&amp;IF(AND(ISNUMBER(Settings!$C$24),ISNUMBER($N612)),IF($N612&gt;Settings!$C$24,"Leverage over max; ",""),"")&amp;IF(AND(ISNUMBER(Settings!$C$27),ISNUMBER($T612)),IF($T612&lt;Settings!$C$27,"R:R below min; ",""),"")&amp;IF(ISNUMBER(Settings!$C$25),IF(COUNTIFS($A$6:$A612,$A612,$AM$6:$AM612,1)&gt;Settings!$C$25,"Over max trades/day; ",""),"")&amp;IF(ISNUMBER(Settings!$C$26),IF(SUMIFS($Q$5:$Q611,$A$5:$A611,$A612)&lt;=-Settings!$C$26,"Traded after daily max loss; ",""),"")&amp;IF(AND($AG612="",NOT(ISNUMBER($O612))),"Symbol not in Instruments; ","")&amp;IF(AND($AH612="",NOT(ISNUMBER($O612))),"Forex cross: type Gross P&amp;L; ",""))</f>
        <v/>
      </c>
      <c r="BH612" s="56">
        <f>IF(ISNUMBER($Q612),1,0)</f>
        <v>0</v>
      </c>
      <c r="BI612" s="56">
        <f>IF($Y612="",0,1)</f>
        <v>0</v>
      </c>
      <c r="BJ612" s="56">
        <f>IF($AB612="",0,1)</f>
        <v>0</v>
      </c>
      <c r="BK612" s="56">
        <f>IF(AND($BH612=1,$W612&lt;&gt;"OK"),1,0)</f>
        <v>0</v>
      </c>
      <c r="BL612" s="55">
        <f>IF(N($AZ612)=0,0,IFERROR(INDEX($AT$6:$AT$1005,MATCH($AZ612,$AY$6:$AY$1005,0)),0))</f>
        <v>1187.10688</v>
      </c>
      <c r="BM612" s="56">
        <f>IF(ISNUMBER(SEARCH("daily max loss",$BG612)),1,0)</f>
        <v>0</v>
      </c>
    </row>
    <row r="613" ht="18" customHeight="1">
      <c r="A613" s="38" t="n"/>
      <c r="B613" s="39" t="n"/>
      <c r="C613" s="40" t="n"/>
      <c r="D613" s="41" t="n"/>
      <c r="E613" s="41" t="n"/>
      <c r="F613" s="41" t="n"/>
      <c r="G613" s="41" t="n"/>
      <c r="H613" s="42" t="n"/>
      <c r="I613" s="42" t="n"/>
      <c r="J613" s="42" t="n"/>
      <c r="K613" s="42" t="n"/>
      <c r="L613" s="41" t="n"/>
      <c r="M613" s="41" t="n"/>
      <c r="N613" s="41" t="n"/>
      <c r="O613" s="43" t="n"/>
      <c r="P613" s="43" t="n"/>
      <c r="Q613" s="44" t="str">
        <f>IF($AM613=0,"",IF(ISNUMBER($AK613),$AK613-N($AL613),""))</f>
        <v/>
      </c>
      <c r="R613" s="45" t="str">
        <f>IF(OR($Q613="",NOT(ISNUMBER($V613))),"",$AK613/$V613)</f>
        <v/>
      </c>
      <c r="S613" s="46" t="str">
        <f>IF($Q613="","",IF(AND(ISNUMBER($R613),ABS(N($R613))&lt;N(Settings!$C$8)),"Scratch",IF($Q613&gt;0,"Win",IF($Q613&lt;0,"Loss","Scratch"))))</f>
        <v/>
      </c>
      <c r="T613" s="47" t="str">
        <f>IF(OR($AM613=0,NOT(ISNUMBER($H613)),NOT(ISNUMBER($I613)),NOT(ISNUMBER($J613))),"",IF($H613=$I613,"",ROUND(ABS($J613-$H613)/ABS($H613-$I613),6)))</f>
        <v/>
      </c>
      <c r="U613" s="48" t="str">
        <f>IF(OR($S613&lt;&gt;"Win",NOT(ISNUMBER($T613)),NOT(ISNUMBER($R613))),"",MAX(0,$T613-$R613))</f>
        <v/>
      </c>
      <c r="V613" s="49" t="str">
        <f>IF(OR($AM613=0,NOT(ISNUMBER($H613)),NOT(ISNUMBER($I613)),NOT(ISNUMBER($G613))),"",IF(OR($AG613="",$AH613=""),"",IF(ROUND(ABS($H613-$I613)*ABS($G613)*$AG613*$AH613,6)=0,"",ROUND(ABS($H613-$I613)*ABS($G613)*$AG613*$AH613,6))))</f>
        <v/>
      </c>
      <c r="W613" s="50" t="str">
        <f>IF($AM613=0,"",IF($BG613="","OK",LEFT($BG613,LEN($BG613)-2)))</f>
        <v/>
      </c>
      <c r="X613" s="41" t="n"/>
      <c r="Y613" s="40" t="n"/>
      <c r="Z613" s="41" t="n"/>
      <c r="AA613" s="41" t="n"/>
      <c r="AB613" s="40" t="n"/>
      <c r="AC613" s="51" t="n"/>
      <c r="AD613" s="51" t="n"/>
      <c r="AE613" s="40" t="n"/>
      <c r="AF613" s="52" t="str">
        <f>IF($AM613=0,"",IF($D613&lt;&gt;"",$D613,IF(IFERROR(INDEX(Accounts!$C$7:$C$16,MATCH($C613,Accounts!$B$7:$B$16,0))&amp;"","")&lt;&gt;"",INDEX(Accounts!$C$7:$C$16,MATCH($C613,Accounts!$B$7:$B$16,0)),Settings!$C$6)))</f>
        <v/>
      </c>
      <c r="AG613" s="53" t="str">
        <f>IF($AM613=0,"",IF(AND($BE613&gt;0,N(INDEX(Instruments!$D$6:$D$205,MAX(1,$BE613)))&gt;0),INDEX(Instruments!$D$6:$D$205,MAX(1,$BE613)),IF(N(INDEX(Settings!$D$14:$D$18,$BF613))&gt;0,INDEX(Settings!$D$14:$D$18,$BF613),"")))</f>
        <v/>
      </c>
      <c r="AH613" s="54" t="str">
        <f>IF($AM613=0,"",IF($AF613&lt;&gt;"Forex",1,IF(MID(UPPER(SUBSTITUTE(TRIM($E613),"/","")),4,3)=UPPER(TRIM(Settings!$C$7)),1,IF(LEFT(UPPER(SUBSTITUTE(TRIM($E613),"/","")),3)=UPPER(TRIM(Settings!$C$7)),IF(AND(ISNUMBER($K613),N($K613)&lt;&gt;0),1/$K613,""),""))))</f>
        <v/>
      </c>
      <c r="AI613" s="55" t="str">
        <f>IF($AM613=0,"",IF(OR(NOT(ISNUMBER($H613)),NOT(ISNUMBER($K613)),NOT(ISNUMBER($G613)),$AG613="",$AH613=""),"",ROUND(($K613-$H613)*IF($F613="Short",-1,1)*$G613*$AG613*$AH613,6)))</f>
        <v/>
      </c>
      <c r="AJ613" s="55" t="str">
        <f>IF($AM613=0,"",IF(INDEX(Settings!$E$14:$E$18,$BF613)="% of notional",IF(OR($AG613="",NOT(ISNUMBER($H613)),NOT(ISNUMBER($G613))),"",ROUND(ABS($H613*$G613*$AG613*N($AH613))*IF($L613="Limit",N(INDEX(Settings!$G$14:$G$18,$BF613)),N(INDEX(Settings!$H$14:$H$18,$BF613)))+IF(ISNUMBER($K613),ABS($K613*$G613*$AG613*N($AH613))*IF($M613="Target",N(INDEX(Settings!$G$14:$G$18,$BF613)),N(INDEX(Settings!$H$14:$H$18,$BF613))),0),6)),IF(NOT(ISNUMBER($G613)),"",ROUND(ABS($G613)*2*IF(AND($BE613&gt;0,ISNUMBER(INDEX(Instruments!$G$6:$G$205,MAX(1,$BE613)))),INDEX(Instruments!$G$6:$G$205,MAX(1,$BE613)),N(INDEX(Settings!$F$14:$F$18,$BF613))),6))))</f>
        <v/>
      </c>
      <c r="AK613" s="55" t="str">
        <f>IF($AM613=0,"",IF(ISNUMBER($O613),$O613,$AI613))</f>
        <v/>
      </c>
      <c r="AL613" s="55" t="str">
        <f>IF($AM613=0,"",IF(ISNUMBER($P613),$P613,N($AJ613)))</f>
        <v/>
      </c>
      <c r="AM613" s="56">
        <f>IF(AND($A613&lt;&gt;"",$E613&lt;&gt;"",OR(AND(ISNUMBER($G613),ISNUMBER($H613),ISNUMBER($K613)),ISNUMBER($O613))),1,0)</f>
        <v>0</v>
      </c>
      <c r="AN613" s="57" t="str">
        <f>IF($A613="","",$A613-WEEKDAY($A613,3))</f>
        <v/>
      </c>
      <c r="AO613" s="56" t="str">
        <f>IF($A613="","",WEEKDAY($A613,2))</f>
        <v/>
      </c>
      <c r="AP613" s="55" t="str">
        <f>IF(OR($AM613=0,$C613=""),"",IFERROR(N(INDEX(Accounts!$E$7:$E$16,MATCH($C613,Accounts!$B$7:$B$16,0))),0)+SUMIFS($Q$6:$Q613,$C$6:$C613,$C613))</f>
        <v/>
      </c>
      <c r="AQ613" s="55" t="str">
        <f>IF(OR($AM613=0,$C613=""),"",SUMIFS($Q$6:$Q$1005,$C$6:$C$1005,$C613,$A$6:$A$1005,$A613))</f>
        <v/>
      </c>
      <c r="AR613" s="55" t="str">
        <f>IF(OR($AM613=0,$C613=""),"",IFERROR(N(INDEX(Accounts!$E$7:$E$16,MATCH($C613,Accounts!$B$7:$B$16,0))),0)+SUMIFS($Q$6:$Q$1005,$C$6:$C$1005,$C613,$A$6:$A$1005,"&lt;="&amp;$A613))</f>
        <v/>
      </c>
      <c r="AS613" s="56">
        <f>IF(OR($AM613=0,$Q613=""),0,IF(AND($A613&gt;=Lists!$W$6,$A613&lt;=Lists!$W$7,OR(Dashboard!$D$6="All accounts",$C613=Dashboard!$D$6),OR(Dashboard!$D$7="All markets",$AF613=Dashboard!$D$7)),1,0))</f>
        <v>0</v>
      </c>
      <c r="AT613" s="55">
        <f>IF($AS613=1,N(AT612)+$Q613,N(AT612))</f>
        <v>1187.10688</v>
      </c>
      <c r="AU613" s="55">
        <f>MAX(N(AU612),$AT613)</f>
        <v>1187.10688</v>
      </c>
      <c r="AV613" s="55">
        <f>$AT613-$AU613</f>
        <v>0</v>
      </c>
      <c r="AW613" s="56">
        <f>IF($AS613=1,IF($S613="Win",N(AW612)+1,IF($S613="Loss",0,N(AW612))),N(AW612))</f>
        <v>5</v>
      </c>
      <c r="AX613" s="56">
        <f>IF($AS613=1,IF($S613="Loss",N(AX612)+1,IF($S613="Win",0,N(AX612))),N(AX612))</f>
        <v>0</v>
      </c>
      <c r="AY613" s="56" t="str">
        <f>IF($AS613=1,COUNTIF($AS$6:$AS613,1),"")</f>
        <v/>
      </c>
      <c r="AZ613" s="56">
        <f>MIN(607,N(Lists!$W$8))</f>
        <v>28</v>
      </c>
      <c r="BA613" s="56">
        <f>IF($AS613=1,IF(COUNTIFS($A$6:$A613,$A613,$AS$6:$AS613,1)=1,1,0),0)</f>
        <v>0</v>
      </c>
      <c r="BB613" s="55" t="str">
        <f>IF($BA613=1,SUMIFS($Q$6:$Q$1005,$A$6:$A$1005,$A613,$AS$6:$AS$1005,1),"")</f>
        <v/>
      </c>
      <c r="BC613" s="56">
        <f>IF(ISNUMBER($R613),1,0)</f>
        <v>0</v>
      </c>
      <c r="BD613" s="55" t="str">
        <f>IF(ISNUMBER($U613),$U613*$V613,"")</f>
        <v/>
      </c>
      <c r="BE613" s="56" t="str">
        <f>IF($AM613=0,"",IFERROR(MATCH($AF613&amp;"|"&amp;UPPER(TRIM($E613)),Lists!$A$6:$A$205,0),0))</f>
        <v/>
      </c>
      <c r="BF613" s="56" t="str">
        <f>IF($AM613=0,"",IFERROR(MATCH($AF613,Settings!$B$14:$B$18,0),IFERROR(MATCH(Settings!$C$6,Settings!$B$14:$B$18,0),1)))</f>
        <v/>
      </c>
      <c r="BG613" s="58" t="str">
        <f>IF($AM613=0,"",IF(NOT(ISNUMBER($I613)),"No stop; ","")&amp;IF(AND(ISNUMBER($H613),ISNUMBER($I613)),IF(OR(AND($F613&lt;&gt;"Short",$I613&gt;=$H613),AND($F613="Short",$I613&lt;=$H613)),"Stop on wrong side; ",""),"")&amp;IF($F613="","No direction; ","")&amp;IF(AND(ISNUMBER(Settings!$C$22),ISNUMBER($V613)),IF($V613&gt;Settings!$C$22,"Risk over max $; ",""),"")&amp;IF(AND(ISNUMBER(Settings!$C$23),ISNUMBER($V613),ISNUMBER($AP613),IFERROR(N(INDEX(Accounts!$E$7:$E$16,MATCH($C613,Accounts!$B$7:$B$16,0))),0)&gt;0),IF($V613&gt;Settings!$C$23*($AP613-N($Q613)),"Risk over max %; ",""),"")&amp;IF(AND(ISNUMBER(Settings!$C$24),ISNUMBER($N613)),IF($N613&gt;Settings!$C$24,"Leverage over max; ",""),"")&amp;IF(AND(ISNUMBER(Settings!$C$27),ISNUMBER($T613)),IF($T613&lt;Settings!$C$27,"R:R below min; ",""),"")&amp;IF(ISNUMBER(Settings!$C$25),IF(COUNTIFS($A$6:$A613,$A613,$AM$6:$AM613,1)&gt;Settings!$C$25,"Over max trades/day; ",""),"")&amp;IF(ISNUMBER(Settings!$C$26),IF(SUMIFS($Q$5:$Q612,$A$5:$A612,$A613)&lt;=-Settings!$C$26,"Traded after daily max loss; ",""),"")&amp;IF(AND($AG613="",NOT(ISNUMBER($O613))),"Symbol not in Instruments; ","")&amp;IF(AND($AH613="",NOT(ISNUMBER($O613))),"Forex cross: type Gross P&amp;L; ",""))</f>
        <v/>
      </c>
      <c r="BH613" s="56">
        <f>IF(ISNUMBER($Q613),1,0)</f>
        <v>0</v>
      </c>
      <c r="BI613" s="56">
        <f>IF($Y613="",0,1)</f>
        <v>0</v>
      </c>
      <c r="BJ613" s="56">
        <f>IF($AB613="",0,1)</f>
        <v>0</v>
      </c>
      <c r="BK613" s="56">
        <f>IF(AND($BH613=1,$W613&lt;&gt;"OK"),1,0)</f>
        <v>0</v>
      </c>
      <c r="BL613" s="55">
        <f>IF(N($AZ613)=0,0,IFERROR(INDEX($AT$6:$AT$1005,MATCH($AZ613,$AY$6:$AY$1005,0)),0))</f>
        <v>1187.10688</v>
      </c>
      <c r="BM613" s="56">
        <f>IF(ISNUMBER(SEARCH("daily max loss",$BG613)),1,0)</f>
        <v>0</v>
      </c>
    </row>
    <row r="614" ht="18" customHeight="1">
      <c r="A614" s="38" t="n"/>
      <c r="B614" s="39" t="n"/>
      <c r="C614" s="40" t="n"/>
      <c r="D614" s="41" t="n"/>
      <c r="E614" s="41" t="n"/>
      <c r="F614" s="41" t="n"/>
      <c r="G614" s="41" t="n"/>
      <c r="H614" s="42" t="n"/>
      <c r="I614" s="42" t="n"/>
      <c r="J614" s="42" t="n"/>
      <c r="K614" s="42" t="n"/>
      <c r="L614" s="41" t="n"/>
      <c r="M614" s="41" t="n"/>
      <c r="N614" s="41" t="n"/>
      <c r="O614" s="43" t="n"/>
      <c r="P614" s="43" t="n"/>
      <c r="Q614" s="44" t="str">
        <f>IF($AM614=0,"",IF(ISNUMBER($AK614),$AK614-N($AL614),""))</f>
        <v/>
      </c>
      <c r="R614" s="45" t="str">
        <f>IF(OR($Q614="",NOT(ISNUMBER($V614))),"",$AK614/$V614)</f>
        <v/>
      </c>
      <c r="S614" s="46" t="str">
        <f>IF($Q614="","",IF(AND(ISNUMBER($R614),ABS(N($R614))&lt;N(Settings!$C$8)),"Scratch",IF($Q614&gt;0,"Win",IF($Q614&lt;0,"Loss","Scratch"))))</f>
        <v/>
      </c>
      <c r="T614" s="47" t="str">
        <f>IF(OR($AM614=0,NOT(ISNUMBER($H614)),NOT(ISNUMBER($I614)),NOT(ISNUMBER($J614))),"",IF($H614=$I614,"",ROUND(ABS($J614-$H614)/ABS($H614-$I614),6)))</f>
        <v/>
      </c>
      <c r="U614" s="48" t="str">
        <f>IF(OR($S614&lt;&gt;"Win",NOT(ISNUMBER($T614)),NOT(ISNUMBER($R614))),"",MAX(0,$T614-$R614))</f>
        <v/>
      </c>
      <c r="V614" s="49" t="str">
        <f>IF(OR($AM614=0,NOT(ISNUMBER($H614)),NOT(ISNUMBER($I614)),NOT(ISNUMBER($G614))),"",IF(OR($AG614="",$AH614=""),"",IF(ROUND(ABS($H614-$I614)*ABS($G614)*$AG614*$AH614,6)=0,"",ROUND(ABS($H614-$I614)*ABS($G614)*$AG614*$AH614,6))))</f>
        <v/>
      </c>
      <c r="W614" s="50" t="str">
        <f>IF($AM614=0,"",IF($BG614="","OK",LEFT($BG614,LEN($BG614)-2)))</f>
        <v/>
      </c>
      <c r="X614" s="41" t="n"/>
      <c r="Y614" s="40" t="n"/>
      <c r="Z614" s="41" t="n"/>
      <c r="AA614" s="41" t="n"/>
      <c r="AB614" s="40" t="n"/>
      <c r="AC614" s="51" t="n"/>
      <c r="AD614" s="51" t="n"/>
      <c r="AE614" s="40" t="n"/>
      <c r="AF614" s="52" t="str">
        <f>IF($AM614=0,"",IF($D614&lt;&gt;"",$D614,IF(IFERROR(INDEX(Accounts!$C$7:$C$16,MATCH($C614,Accounts!$B$7:$B$16,0))&amp;"","")&lt;&gt;"",INDEX(Accounts!$C$7:$C$16,MATCH($C614,Accounts!$B$7:$B$16,0)),Settings!$C$6)))</f>
        <v/>
      </c>
      <c r="AG614" s="53" t="str">
        <f>IF($AM614=0,"",IF(AND($BE614&gt;0,N(INDEX(Instruments!$D$6:$D$205,MAX(1,$BE614)))&gt;0),INDEX(Instruments!$D$6:$D$205,MAX(1,$BE614)),IF(N(INDEX(Settings!$D$14:$D$18,$BF614))&gt;0,INDEX(Settings!$D$14:$D$18,$BF614),"")))</f>
        <v/>
      </c>
      <c r="AH614" s="54" t="str">
        <f>IF($AM614=0,"",IF($AF614&lt;&gt;"Forex",1,IF(MID(UPPER(SUBSTITUTE(TRIM($E614),"/","")),4,3)=UPPER(TRIM(Settings!$C$7)),1,IF(LEFT(UPPER(SUBSTITUTE(TRIM($E614),"/","")),3)=UPPER(TRIM(Settings!$C$7)),IF(AND(ISNUMBER($K614),N($K614)&lt;&gt;0),1/$K614,""),""))))</f>
        <v/>
      </c>
      <c r="AI614" s="55" t="str">
        <f>IF($AM614=0,"",IF(OR(NOT(ISNUMBER($H614)),NOT(ISNUMBER($K614)),NOT(ISNUMBER($G614)),$AG614="",$AH614=""),"",ROUND(($K614-$H614)*IF($F614="Short",-1,1)*$G614*$AG614*$AH614,6)))</f>
        <v/>
      </c>
      <c r="AJ614" s="55" t="str">
        <f>IF($AM614=0,"",IF(INDEX(Settings!$E$14:$E$18,$BF614)="% of notional",IF(OR($AG614="",NOT(ISNUMBER($H614)),NOT(ISNUMBER($G614))),"",ROUND(ABS($H614*$G614*$AG614*N($AH614))*IF($L614="Limit",N(INDEX(Settings!$G$14:$G$18,$BF614)),N(INDEX(Settings!$H$14:$H$18,$BF614)))+IF(ISNUMBER($K614),ABS($K614*$G614*$AG614*N($AH614))*IF($M614="Target",N(INDEX(Settings!$G$14:$G$18,$BF614)),N(INDEX(Settings!$H$14:$H$18,$BF614))),0),6)),IF(NOT(ISNUMBER($G614)),"",ROUND(ABS($G614)*2*IF(AND($BE614&gt;0,ISNUMBER(INDEX(Instruments!$G$6:$G$205,MAX(1,$BE614)))),INDEX(Instruments!$G$6:$G$205,MAX(1,$BE614)),N(INDEX(Settings!$F$14:$F$18,$BF614))),6))))</f>
        <v/>
      </c>
      <c r="AK614" s="55" t="str">
        <f>IF($AM614=0,"",IF(ISNUMBER($O614),$O614,$AI614))</f>
        <v/>
      </c>
      <c r="AL614" s="55" t="str">
        <f>IF($AM614=0,"",IF(ISNUMBER($P614),$P614,N($AJ614)))</f>
        <v/>
      </c>
      <c r="AM614" s="56">
        <f>IF(AND($A614&lt;&gt;"",$E614&lt;&gt;"",OR(AND(ISNUMBER($G614),ISNUMBER($H614),ISNUMBER($K614)),ISNUMBER($O614))),1,0)</f>
        <v>0</v>
      </c>
      <c r="AN614" s="57" t="str">
        <f>IF($A614="","",$A614-WEEKDAY($A614,3))</f>
        <v/>
      </c>
      <c r="AO614" s="56" t="str">
        <f>IF($A614="","",WEEKDAY($A614,2))</f>
        <v/>
      </c>
      <c r="AP614" s="55" t="str">
        <f>IF(OR($AM614=0,$C614=""),"",IFERROR(N(INDEX(Accounts!$E$7:$E$16,MATCH($C614,Accounts!$B$7:$B$16,0))),0)+SUMIFS($Q$6:$Q614,$C$6:$C614,$C614))</f>
        <v/>
      </c>
      <c r="AQ614" s="55" t="str">
        <f>IF(OR($AM614=0,$C614=""),"",SUMIFS($Q$6:$Q$1005,$C$6:$C$1005,$C614,$A$6:$A$1005,$A614))</f>
        <v/>
      </c>
      <c r="AR614" s="55" t="str">
        <f>IF(OR($AM614=0,$C614=""),"",IFERROR(N(INDEX(Accounts!$E$7:$E$16,MATCH($C614,Accounts!$B$7:$B$16,0))),0)+SUMIFS($Q$6:$Q$1005,$C$6:$C$1005,$C614,$A$6:$A$1005,"&lt;="&amp;$A614))</f>
        <v/>
      </c>
      <c r="AS614" s="56">
        <f>IF(OR($AM614=0,$Q614=""),0,IF(AND($A614&gt;=Lists!$W$6,$A614&lt;=Lists!$W$7,OR(Dashboard!$D$6="All accounts",$C614=Dashboard!$D$6),OR(Dashboard!$D$7="All markets",$AF614=Dashboard!$D$7)),1,0))</f>
        <v>0</v>
      </c>
      <c r="AT614" s="55">
        <f>IF($AS614=1,N(AT613)+$Q614,N(AT613))</f>
        <v>1187.10688</v>
      </c>
      <c r="AU614" s="55">
        <f>MAX(N(AU613),$AT614)</f>
        <v>1187.10688</v>
      </c>
      <c r="AV614" s="55">
        <f>$AT614-$AU614</f>
        <v>0</v>
      </c>
      <c r="AW614" s="56">
        <f>IF($AS614=1,IF($S614="Win",N(AW613)+1,IF($S614="Loss",0,N(AW613))),N(AW613))</f>
        <v>5</v>
      </c>
      <c r="AX614" s="56">
        <f>IF($AS614=1,IF($S614="Loss",N(AX613)+1,IF($S614="Win",0,N(AX613))),N(AX613))</f>
        <v>0</v>
      </c>
      <c r="AY614" s="56" t="str">
        <f>IF($AS614=1,COUNTIF($AS$6:$AS614,1),"")</f>
        <v/>
      </c>
      <c r="AZ614" s="56">
        <f>MIN(608,N(Lists!$W$8))</f>
        <v>28</v>
      </c>
      <c r="BA614" s="56">
        <f>IF($AS614=1,IF(COUNTIFS($A$6:$A614,$A614,$AS$6:$AS614,1)=1,1,0),0)</f>
        <v>0</v>
      </c>
      <c r="BB614" s="55" t="str">
        <f>IF($BA614=1,SUMIFS($Q$6:$Q$1005,$A$6:$A$1005,$A614,$AS$6:$AS$1005,1),"")</f>
        <v/>
      </c>
      <c r="BC614" s="56">
        <f>IF(ISNUMBER($R614),1,0)</f>
        <v>0</v>
      </c>
      <c r="BD614" s="55" t="str">
        <f>IF(ISNUMBER($U614),$U614*$V614,"")</f>
        <v/>
      </c>
      <c r="BE614" s="56" t="str">
        <f>IF($AM614=0,"",IFERROR(MATCH($AF614&amp;"|"&amp;UPPER(TRIM($E614)),Lists!$A$6:$A$205,0),0))</f>
        <v/>
      </c>
      <c r="BF614" s="56" t="str">
        <f>IF($AM614=0,"",IFERROR(MATCH($AF614,Settings!$B$14:$B$18,0),IFERROR(MATCH(Settings!$C$6,Settings!$B$14:$B$18,0),1)))</f>
        <v/>
      </c>
      <c r="BG614" s="58" t="str">
        <f>IF($AM614=0,"",IF(NOT(ISNUMBER($I614)),"No stop; ","")&amp;IF(AND(ISNUMBER($H614),ISNUMBER($I614)),IF(OR(AND($F614&lt;&gt;"Short",$I614&gt;=$H614),AND($F614="Short",$I614&lt;=$H614)),"Stop on wrong side; ",""),"")&amp;IF($F614="","No direction; ","")&amp;IF(AND(ISNUMBER(Settings!$C$22),ISNUMBER($V614)),IF($V614&gt;Settings!$C$22,"Risk over max $; ",""),"")&amp;IF(AND(ISNUMBER(Settings!$C$23),ISNUMBER($V614),ISNUMBER($AP614),IFERROR(N(INDEX(Accounts!$E$7:$E$16,MATCH($C614,Accounts!$B$7:$B$16,0))),0)&gt;0),IF($V614&gt;Settings!$C$23*($AP614-N($Q614)),"Risk over max %; ",""),"")&amp;IF(AND(ISNUMBER(Settings!$C$24),ISNUMBER($N614)),IF($N614&gt;Settings!$C$24,"Leverage over max; ",""),"")&amp;IF(AND(ISNUMBER(Settings!$C$27),ISNUMBER($T614)),IF($T614&lt;Settings!$C$27,"R:R below min; ",""),"")&amp;IF(ISNUMBER(Settings!$C$25),IF(COUNTIFS($A$6:$A614,$A614,$AM$6:$AM614,1)&gt;Settings!$C$25,"Over max trades/day; ",""),"")&amp;IF(ISNUMBER(Settings!$C$26),IF(SUMIFS($Q$5:$Q613,$A$5:$A613,$A614)&lt;=-Settings!$C$26,"Traded after daily max loss; ",""),"")&amp;IF(AND($AG614="",NOT(ISNUMBER($O614))),"Symbol not in Instruments; ","")&amp;IF(AND($AH614="",NOT(ISNUMBER($O614))),"Forex cross: type Gross P&amp;L; ",""))</f>
        <v/>
      </c>
      <c r="BH614" s="56">
        <f>IF(ISNUMBER($Q614),1,0)</f>
        <v>0</v>
      </c>
      <c r="BI614" s="56">
        <f>IF($Y614="",0,1)</f>
        <v>0</v>
      </c>
      <c r="BJ614" s="56">
        <f>IF($AB614="",0,1)</f>
        <v>0</v>
      </c>
      <c r="BK614" s="56">
        <f>IF(AND($BH614=1,$W614&lt;&gt;"OK"),1,0)</f>
        <v>0</v>
      </c>
      <c r="BL614" s="55">
        <f>IF(N($AZ614)=0,0,IFERROR(INDEX($AT$6:$AT$1005,MATCH($AZ614,$AY$6:$AY$1005,0)),0))</f>
        <v>1187.10688</v>
      </c>
      <c r="BM614" s="56">
        <f>IF(ISNUMBER(SEARCH("daily max loss",$BG614)),1,0)</f>
        <v>0</v>
      </c>
    </row>
    <row r="615" ht="18" customHeight="1">
      <c r="A615" s="38" t="n"/>
      <c r="B615" s="39" t="n"/>
      <c r="C615" s="40" t="n"/>
      <c r="D615" s="41" t="n"/>
      <c r="E615" s="41" t="n"/>
      <c r="F615" s="41" t="n"/>
      <c r="G615" s="41" t="n"/>
      <c r="H615" s="42" t="n"/>
      <c r="I615" s="42" t="n"/>
      <c r="J615" s="42" t="n"/>
      <c r="K615" s="42" t="n"/>
      <c r="L615" s="41" t="n"/>
      <c r="M615" s="41" t="n"/>
      <c r="N615" s="41" t="n"/>
      <c r="O615" s="43" t="n"/>
      <c r="P615" s="43" t="n"/>
      <c r="Q615" s="44" t="str">
        <f>IF($AM615=0,"",IF(ISNUMBER($AK615),$AK615-N($AL615),""))</f>
        <v/>
      </c>
      <c r="R615" s="45" t="str">
        <f>IF(OR($Q615="",NOT(ISNUMBER($V615))),"",$AK615/$V615)</f>
        <v/>
      </c>
      <c r="S615" s="46" t="str">
        <f>IF($Q615="","",IF(AND(ISNUMBER($R615),ABS(N($R615))&lt;N(Settings!$C$8)),"Scratch",IF($Q615&gt;0,"Win",IF($Q615&lt;0,"Loss","Scratch"))))</f>
        <v/>
      </c>
      <c r="T615" s="47" t="str">
        <f>IF(OR($AM615=0,NOT(ISNUMBER($H615)),NOT(ISNUMBER($I615)),NOT(ISNUMBER($J615))),"",IF($H615=$I615,"",ROUND(ABS($J615-$H615)/ABS($H615-$I615),6)))</f>
        <v/>
      </c>
      <c r="U615" s="48" t="str">
        <f>IF(OR($S615&lt;&gt;"Win",NOT(ISNUMBER($T615)),NOT(ISNUMBER($R615))),"",MAX(0,$T615-$R615))</f>
        <v/>
      </c>
      <c r="V615" s="49" t="str">
        <f>IF(OR($AM615=0,NOT(ISNUMBER($H615)),NOT(ISNUMBER($I615)),NOT(ISNUMBER($G615))),"",IF(OR($AG615="",$AH615=""),"",IF(ROUND(ABS($H615-$I615)*ABS($G615)*$AG615*$AH615,6)=0,"",ROUND(ABS($H615-$I615)*ABS($G615)*$AG615*$AH615,6))))</f>
        <v/>
      </c>
      <c r="W615" s="50" t="str">
        <f>IF($AM615=0,"",IF($BG615="","OK",LEFT($BG615,LEN($BG615)-2)))</f>
        <v/>
      </c>
      <c r="X615" s="41" t="n"/>
      <c r="Y615" s="40" t="n"/>
      <c r="Z615" s="41" t="n"/>
      <c r="AA615" s="41" t="n"/>
      <c r="AB615" s="40" t="n"/>
      <c r="AC615" s="51" t="n"/>
      <c r="AD615" s="51" t="n"/>
      <c r="AE615" s="40" t="n"/>
      <c r="AF615" s="52" t="str">
        <f>IF($AM615=0,"",IF($D615&lt;&gt;"",$D615,IF(IFERROR(INDEX(Accounts!$C$7:$C$16,MATCH($C615,Accounts!$B$7:$B$16,0))&amp;"","")&lt;&gt;"",INDEX(Accounts!$C$7:$C$16,MATCH($C615,Accounts!$B$7:$B$16,0)),Settings!$C$6)))</f>
        <v/>
      </c>
      <c r="AG615" s="53" t="str">
        <f>IF($AM615=0,"",IF(AND($BE615&gt;0,N(INDEX(Instruments!$D$6:$D$205,MAX(1,$BE615)))&gt;0),INDEX(Instruments!$D$6:$D$205,MAX(1,$BE615)),IF(N(INDEX(Settings!$D$14:$D$18,$BF615))&gt;0,INDEX(Settings!$D$14:$D$18,$BF615),"")))</f>
        <v/>
      </c>
      <c r="AH615" s="54" t="str">
        <f>IF($AM615=0,"",IF($AF615&lt;&gt;"Forex",1,IF(MID(UPPER(SUBSTITUTE(TRIM($E615),"/","")),4,3)=UPPER(TRIM(Settings!$C$7)),1,IF(LEFT(UPPER(SUBSTITUTE(TRIM($E615),"/","")),3)=UPPER(TRIM(Settings!$C$7)),IF(AND(ISNUMBER($K615),N($K615)&lt;&gt;0),1/$K615,""),""))))</f>
        <v/>
      </c>
      <c r="AI615" s="55" t="str">
        <f>IF($AM615=0,"",IF(OR(NOT(ISNUMBER($H615)),NOT(ISNUMBER($K615)),NOT(ISNUMBER($G615)),$AG615="",$AH615=""),"",ROUND(($K615-$H615)*IF($F615="Short",-1,1)*$G615*$AG615*$AH615,6)))</f>
        <v/>
      </c>
      <c r="AJ615" s="55" t="str">
        <f>IF($AM615=0,"",IF(INDEX(Settings!$E$14:$E$18,$BF615)="% of notional",IF(OR($AG615="",NOT(ISNUMBER($H615)),NOT(ISNUMBER($G615))),"",ROUND(ABS($H615*$G615*$AG615*N($AH615))*IF($L615="Limit",N(INDEX(Settings!$G$14:$G$18,$BF615)),N(INDEX(Settings!$H$14:$H$18,$BF615)))+IF(ISNUMBER($K615),ABS($K615*$G615*$AG615*N($AH615))*IF($M615="Target",N(INDEX(Settings!$G$14:$G$18,$BF615)),N(INDEX(Settings!$H$14:$H$18,$BF615))),0),6)),IF(NOT(ISNUMBER($G615)),"",ROUND(ABS($G615)*2*IF(AND($BE615&gt;0,ISNUMBER(INDEX(Instruments!$G$6:$G$205,MAX(1,$BE615)))),INDEX(Instruments!$G$6:$G$205,MAX(1,$BE615)),N(INDEX(Settings!$F$14:$F$18,$BF615))),6))))</f>
        <v/>
      </c>
      <c r="AK615" s="55" t="str">
        <f>IF($AM615=0,"",IF(ISNUMBER($O615),$O615,$AI615))</f>
        <v/>
      </c>
      <c r="AL615" s="55" t="str">
        <f>IF($AM615=0,"",IF(ISNUMBER($P615),$P615,N($AJ615)))</f>
        <v/>
      </c>
      <c r="AM615" s="56">
        <f>IF(AND($A615&lt;&gt;"",$E615&lt;&gt;"",OR(AND(ISNUMBER($G615),ISNUMBER($H615),ISNUMBER($K615)),ISNUMBER($O615))),1,0)</f>
        <v>0</v>
      </c>
      <c r="AN615" s="57" t="str">
        <f>IF($A615="","",$A615-WEEKDAY($A615,3))</f>
        <v/>
      </c>
      <c r="AO615" s="56" t="str">
        <f>IF($A615="","",WEEKDAY($A615,2))</f>
        <v/>
      </c>
      <c r="AP615" s="55" t="str">
        <f>IF(OR($AM615=0,$C615=""),"",IFERROR(N(INDEX(Accounts!$E$7:$E$16,MATCH($C615,Accounts!$B$7:$B$16,0))),0)+SUMIFS($Q$6:$Q615,$C$6:$C615,$C615))</f>
        <v/>
      </c>
      <c r="AQ615" s="55" t="str">
        <f>IF(OR($AM615=0,$C615=""),"",SUMIFS($Q$6:$Q$1005,$C$6:$C$1005,$C615,$A$6:$A$1005,$A615))</f>
        <v/>
      </c>
      <c r="AR615" s="55" t="str">
        <f>IF(OR($AM615=0,$C615=""),"",IFERROR(N(INDEX(Accounts!$E$7:$E$16,MATCH($C615,Accounts!$B$7:$B$16,0))),0)+SUMIFS($Q$6:$Q$1005,$C$6:$C$1005,$C615,$A$6:$A$1005,"&lt;="&amp;$A615))</f>
        <v/>
      </c>
      <c r="AS615" s="56">
        <f>IF(OR($AM615=0,$Q615=""),0,IF(AND($A615&gt;=Lists!$W$6,$A615&lt;=Lists!$W$7,OR(Dashboard!$D$6="All accounts",$C615=Dashboard!$D$6),OR(Dashboard!$D$7="All markets",$AF615=Dashboard!$D$7)),1,0))</f>
        <v>0</v>
      </c>
      <c r="AT615" s="55">
        <f>IF($AS615=1,N(AT614)+$Q615,N(AT614))</f>
        <v>1187.10688</v>
      </c>
      <c r="AU615" s="55">
        <f>MAX(N(AU614),$AT615)</f>
        <v>1187.10688</v>
      </c>
      <c r="AV615" s="55">
        <f>$AT615-$AU615</f>
        <v>0</v>
      </c>
      <c r="AW615" s="56">
        <f>IF($AS615=1,IF($S615="Win",N(AW614)+1,IF($S615="Loss",0,N(AW614))),N(AW614))</f>
        <v>5</v>
      </c>
      <c r="AX615" s="56">
        <f>IF($AS615=1,IF($S615="Loss",N(AX614)+1,IF($S615="Win",0,N(AX614))),N(AX614))</f>
        <v>0</v>
      </c>
      <c r="AY615" s="56" t="str">
        <f>IF($AS615=1,COUNTIF($AS$6:$AS615,1),"")</f>
        <v/>
      </c>
      <c r="AZ615" s="56">
        <f>MIN(609,N(Lists!$W$8))</f>
        <v>28</v>
      </c>
      <c r="BA615" s="56">
        <f>IF($AS615=1,IF(COUNTIFS($A$6:$A615,$A615,$AS$6:$AS615,1)=1,1,0),0)</f>
        <v>0</v>
      </c>
      <c r="BB615" s="55" t="str">
        <f>IF($BA615=1,SUMIFS($Q$6:$Q$1005,$A$6:$A$1005,$A615,$AS$6:$AS$1005,1),"")</f>
        <v/>
      </c>
      <c r="BC615" s="56">
        <f>IF(ISNUMBER($R615),1,0)</f>
        <v>0</v>
      </c>
      <c r="BD615" s="55" t="str">
        <f>IF(ISNUMBER($U615),$U615*$V615,"")</f>
        <v/>
      </c>
      <c r="BE615" s="56" t="str">
        <f>IF($AM615=0,"",IFERROR(MATCH($AF615&amp;"|"&amp;UPPER(TRIM($E615)),Lists!$A$6:$A$205,0),0))</f>
        <v/>
      </c>
      <c r="BF615" s="56" t="str">
        <f>IF($AM615=0,"",IFERROR(MATCH($AF615,Settings!$B$14:$B$18,0),IFERROR(MATCH(Settings!$C$6,Settings!$B$14:$B$18,0),1)))</f>
        <v/>
      </c>
      <c r="BG615" s="58" t="str">
        <f>IF($AM615=0,"",IF(NOT(ISNUMBER($I615)),"No stop; ","")&amp;IF(AND(ISNUMBER($H615),ISNUMBER($I615)),IF(OR(AND($F615&lt;&gt;"Short",$I615&gt;=$H615),AND($F615="Short",$I615&lt;=$H615)),"Stop on wrong side; ",""),"")&amp;IF($F615="","No direction; ","")&amp;IF(AND(ISNUMBER(Settings!$C$22),ISNUMBER($V615)),IF($V615&gt;Settings!$C$22,"Risk over max $; ",""),"")&amp;IF(AND(ISNUMBER(Settings!$C$23),ISNUMBER($V615),ISNUMBER($AP615),IFERROR(N(INDEX(Accounts!$E$7:$E$16,MATCH($C615,Accounts!$B$7:$B$16,0))),0)&gt;0),IF($V615&gt;Settings!$C$23*($AP615-N($Q615)),"Risk over max %; ",""),"")&amp;IF(AND(ISNUMBER(Settings!$C$24),ISNUMBER($N615)),IF($N615&gt;Settings!$C$24,"Leverage over max; ",""),"")&amp;IF(AND(ISNUMBER(Settings!$C$27),ISNUMBER($T615)),IF($T615&lt;Settings!$C$27,"R:R below min; ",""),"")&amp;IF(ISNUMBER(Settings!$C$25),IF(COUNTIFS($A$6:$A615,$A615,$AM$6:$AM615,1)&gt;Settings!$C$25,"Over max trades/day; ",""),"")&amp;IF(ISNUMBER(Settings!$C$26),IF(SUMIFS($Q$5:$Q614,$A$5:$A614,$A615)&lt;=-Settings!$C$26,"Traded after daily max loss; ",""),"")&amp;IF(AND($AG615="",NOT(ISNUMBER($O615))),"Symbol not in Instruments; ","")&amp;IF(AND($AH615="",NOT(ISNUMBER($O615))),"Forex cross: type Gross P&amp;L; ",""))</f>
        <v/>
      </c>
      <c r="BH615" s="56">
        <f>IF(ISNUMBER($Q615),1,0)</f>
        <v>0</v>
      </c>
      <c r="BI615" s="56">
        <f>IF($Y615="",0,1)</f>
        <v>0</v>
      </c>
      <c r="BJ615" s="56">
        <f>IF($AB615="",0,1)</f>
        <v>0</v>
      </c>
      <c r="BK615" s="56">
        <f>IF(AND($BH615=1,$W615&lt;&gt;"OK"),1,0)</f>
        <v>0</v>
      </c>
      <c r="BL615" s="55">
        <f>IF(N($AZ615)=0,0,IFERROR(INDEX($AT$6:$AT$1005,MATCH($AZ615,$AY$6:$AY$1005,0)),0))</f>
        <v>1187.10688</v>
      </c>
      <c r="BM615" s="56">
        <f>IF(ISNUMBER(SEARCH("daily max loss",$BG615)),1,0)</f>
        <v>0</v>
      </c>
    </row>
    <row r="616" ht="18" customHeight="1">
      <c r="A616" s="38" t="n"/>
      <c r="B616" s="39" t="n"/>
      <c r="C616" s="40" t="n"/>
      <c r="D616" s="41" t="n"/>
      <c r="E616" s="41" t="n"/>
      <c r="F616" s="41" t="n"/>
      <c r="G616" s="41" t="n"/>
      <c r="H616" s="42" t="n"/>
      <c r="I616" s="42" t="n"/>
      <c r="J616" s="42" t="n"/>
      <c r="K616" s="42" t="n"/>
      <c r="L616" s="41" t="n"/>
      <c r="M616" s="41" t="n"/>
      <c r="N616" s="41" t="n"/>
      <c r="O616" s="43" t="n"/>
      <c r="P616" s="43" t="n"/>
      <c r="Q616" s="44" t="str">
        <f>IF($AM616=0,"",IF(ISNUMBER($AK616),$AK616-N($AL616),""))</f>
        <v/>
      </c>
      <c r="R616" s="45" t="str">
        <f>IF(OR($Q616="",NOT(ISNUMBER($V616))),"",$AK616/$V616)</f>
        <v/>
      </c>
      <c r="S616" s="46" t="str">
        <f>IF($Q616="","",IF(AND(ISNUMBER($R616),ABS(N($R616))&lt;N(Settings!$C$8)),"Scratch",IF($Q616&gt;0,"Win",IF($Q616&lt;0,"Loss","Scratch"))))</f>
        <v/>
      </c>
      <c r="T616" s="47" t="str">
        <f>IF(OR($AM616=0,NOT(ISNUMBER($H616)),NOT(ISNUMBER($I616)),NOT(ISNUMBER($J616))),"",IF($H616=$I616,"",ROUND(ABS($J616-$H616)/ABS($H616-$I616),6)))</f>
        <v/>
      </c>
      <c r="U616" s="48" t="str">
        <f>IF(OR($S616&lt;&gt;"Win",NOT(ISNUMBER($T616)),NOT(ISNUMBER($R616))),"",MAX(0,$T616-$R616))</f>
        <v/>
      </c>
      <c r="V616" s="49" t="str">
        <f>IF(OR($AM616=0,NOT(ISNUMBER($H616)),NOT(ISNUMBER($I616)),NOT(ISNUMBER($G616))),"",IF(OR($AG616="",$AH616=""),"",IF(ROUND(ABS($H616-$I616)*ABS($G616)*$AG616*$AH616,6)=0,"",ROUND(ABS($H616-$I616)*ABS($G616)*$AG616*$AH616,6))))</f>
        <v/>
      </c>
      <c r="W616" s="50" t="str">
        <f>IF($AM616=0,"",IF($BG616="","OK",LEFT($BG616,LEN($BG616)-2)))</f>
        <v/>
      </c>
      <c r="X616" s="41" t="n"/>
      <c r="Y616" s="40" t="n"/>
      <c r="Z616" s="41" t="n"/>
      <c r="AA616" s="41" t="n"/>
      <c r="AB616" s="40" t="n"/>
      <c r="AC616" s="51" t="n"/>
      <c r="AD616" s="51" t="n"/>
      <c r="AE616" s="40" t="n"/>
      <c r="AF616" s="52" t="str">
        <f>IF($AM616=0,"",IF($D616&lt;&gt;"",$D616,IF(IFERROR(INDEX(Accounts!$C$7:$C$16,MATCH($C616,Accounts!$B$7:$B$16,0))&amp;"","")&lt;&gt;"",INDEX(Accounts!$C$7:$C$16,MATCH($C616,Accounts!$B$7:$B$16,0)),Settings!$C$6)))</f>
        <v/>
      </c>
      <c r="AG616" s="53" t="str">
        <f>IF($AM616=0,"",IF(AND($BE616&gt;0,N(INDEX(Instruments!$D$6:$D$205,MAX(1,$BE616)))&gt;0),INDEX(Instruments!$D$6:$D$205,MAX(1,$BE616)),IF(N(INDEX(Settings!$D$14:$D$18,$BF616))&gt;0,INDEX(Settings!$D$14:$D$18,$BF616),"")))</f>
        <v/>
      </c>
      <c r="AH616" s="54" t="str">
        <f>IF($AM616=0,"",IF($AF616&lt;&gt;"Forex",1,IF(MID(UPPER(SUBSTITUTE(TRIM($E616),"/","")),4,3)=UPPER(TRIM(Settings!$C$7)),1,IF(LEFT(UPPER(SUBSTITUTE(TRIM($E616),"/","")),3)=UPPER(TRIM(Settings!$C$7)),IF(AND(ISNUMBER($K616),N($K616)&lt;&gt;0),1/$K616,""),""))))</f>
        <v/>
      </c>
      <c r="AI616" s="55" t="str">
        <f>IF($AM616=0,"",IF(OR(NOT(ISNUMBER($H616)),NOT(ISNUMBER($K616)),NOT(ISNUMBER($G616)),$AG616="",$AH616=""),"",ROUND(($K616-$H616)*IF($F616="Short",-1,1)*$G616*$AG616*$AH616,6)))</f>
        <v/>
      </c>
      <c r="AJ616" s="55" t="str">
        <f>IF($AM616=0,"",IF(INDEX(Settings!$E$14:$E$18,$BF616)="% of notional",IF(OR($AG616="",NOT(ISNUMBER($H616)),NOT(ISNUMBER($G616))),"",ROUND(ABS($H616*$G616*$AG616*N($AH616))*IF($L616="Limit",N(INDEX(Settings!$G$14:$G$18,$BF616)),N(INDEX(Settings!$H$14:$H$18,$BF616)))+IF(ISNUMBER($K616),ABS($K616*$G616*$AG616*N($AH616))*IF($M616="Target",N(INDEX(Settings!$G$14:$G$18,$BF616)),N(INDEX(Settings!$H$14:$H$18,$BF616))),0),6)),IF(NOT(ISNUMBER($G616)),"",ROUND(ABS($G616)*2*IF(AND($BE616&gt;0,ISNUMBER(INDEX(Instruments!$G$6:$G$205,MAX(1,$BE616)))),INDEX(Instruments!$G$6:$G$205,MAX(1,$BE616)),N(INDEX(Settings!$F$14:$F$18,$BF616))),6))))</f>
        <v/>
      </c>
      <c r="AK616" s="55" t="str">
        <f>IF($AM616=0,"",IF(ISNUMBER($O616),$O616,$AI616))</f>
        <v/>
      </c>
      <c r="AL616" s="55" t="str">
        <f>IF($AM616=0,"",IF(ISNUMBER($P616),$P616,N($AJ616)))</f>
        <v/>
      </c>
      <c r="AM616" s="56">
        <f>IF(AND($A616&lt;&gt;"",$E616&lt;&gt;"",OR(AND(ISNUMBER($G616),ISNUMBER($H616),ISNUMBER($K616)),ISNUMBER($O616))),1,0)</f>
        <v>0</v>
      </c>
      <c r="AN616" s="57" t="str">
        <f>IF($A616="","",$A616-WEEKDAY($A616,3))</f>
        <v/>
      </c>
      <c r="AO616" s="56" t="str">
        <f>IF($A616="","",WEEKDAY($A616,2))</f>
        <v/>
      </c>
      <c r="AP616" s="55" t="str">
        <f>IF(OR($AM616=0,$C616=""),"",IFERROR(N(INDEX(Accounts!$E$7:$E$16,MATCH($C616,Accounts!$B$7:$B$16,0))),0)+SUMIFS($Q$6:$Q616,$C$6:$C616,$C616))</f>
        <v/>
      </c>
      <c r="AQ616" s="55" t="str">
        <f>IF(OR($AM616=0,$C616=""),"",SUMIFS($Q$6:$Q$1005,$C$6:$C$1005,$C616,$A$6:$A$1005,$A616))</f>
        <v/>
      </c>
      <c r="AR616" s="55" t="str">
        <f>IF(OR($AM616=0,$C616=""),"",IFERROR(N(INDEX(Accounts!$E$7:$E$16,MATCH($C616,Accounts!$B$7:$B$16,0))),0)+SUMIFS($Q$6:$Q$1005,$C$6:$C$1005,$C616,$A$6:$A$1005,"&lt;="&amp;$A616))</f>
        <v/>
      </c>
      <c r="AS616" s="56">
        <f>IF(OR($AM616=0,$Q616=""),0,IF(AND($A616&gt;=Lists!$W$6,$A616&lt;=Lists!$W$7,OR(Dashboard!$D$6="All accounts",$C616=Dashboard!$D$6),OR(Dashboard!$D$7="All markets",$AF616=Dashboard!$D$7)),1,0))</f>
        <v>0</v>
      </c>
      <c r="AT616" s="55">
        <f>IF($AS616=1,N(AT615)+$Q616,N(AT615))</f>
        <v>1187.10688</v>
      </c>
      <c r="AU616" s="55">
        <f>MAX(N(AU615),$AT616)</f>
        <v>1187.10688</v>
      </c>
      <c r="AV616" s="55">
        <f>$AT616-$AU616</f>
        <v>0</v>
      </c>
      <c r="AW616" s="56">
        <f>IF($AS616=1,IF($S616="Win",N(AW615)+1,IF($S616="Loss",0,N(AW615))),N(AW615))</f>
        <v>5</v>
      </c>
      <c r="AX616" s="56">
        <f>IF($AS616=1,IF($S616="Loss",N(AX615)+1,IF($S616="Win",0,N(AX615))),N(AX615))</f>
        <v>0</v>
      </c>
      <c r="AY616" s="56" t="str">
        <f>IF($AS616=1,COUNTIF($AS$6:$AS616,1),"")</f>
        <v/>
      </c>
      <c r="AZ616" s="56">
        <f>MIN(610,N(Lists!$W$8))</f>
        <v>28</v>
      </c>
      <c r="BA616" s="56">
        <f>IF($AS616=1,IF(COUNTIFS($A$6:$A616,$A616,$AS$6:$AS616,1)=1,1,0),0)</f>
        <v>0</v>
      </c>
      <c r="BB616" s="55" t="str">
        <f>IF($BA616=1,SUMIFS($Q$6:$Q$1005,$A$6:$A$1005,$A616,$AS$6:$AS$1005,1),"")</f>
        <v/>
      </c>
      <c r="BC616" s="56">
        <f>IF(ISNUMBER($R616),1,0)</f>
        <v>0</v>
      </c>
      <c r="BD616" s="55" t="str">
        <f>IF(ISNUMBER($U616),$U616*$V616,"")</f>
        <v/>
      </c>
      <c r="BE616" s="56" t="str">
        <f>IF($AM616=0,"",IFERROR(MATCH($AF616&amp;"|"&amp;UPPER(TRIM($E616)),Lists!$A$6:$A$205,0),0))</f>
        <v/>
      </c>
      <c r="BF616" s="56" t="str">
        <f>IF($AM616=0,"",IFERROR(MATCH($AF616,Settings!$B$14:$B$18,0),IFERROR(MATCH(Settings!$C$6,Settings!$B$14:$B$18,0),1)))</f>
        <v/>
      </c>
      <c r="BG616" s="58" t="str">
        <f>IF($AM616=0,"",IF(NOT(ISNUMBER($I616)),"No stop; ","")&amp;IF(AND(ISNUMBER($H616),ISNUMBER($I616)),IF(OR(AND($F616&lt;&gt;"Short",$I616&gt;=$H616),AND($F616="Short",$I616&lt;=$H616)),"Stop on wrong side; ",""),"")&amp;IF($F616="","No direction; ","")&amp;IF(AND(ISNUMBER(Settings!$C$22),ISNUMBER($V616)),IF($V616&gt;Settings!$C$22,"Risk over max $; ",""),"")&amp;IF(AND(ISNUMBER(Settings!$C$23),ISNUMBER($V616),ISNUMBER($AP616),IFERROR(N(INDEX(Accounts!$E$7:$E$16,MATCH($C616,Accounts!$B$7:$B$16,0))),0)&gt;0),IF($V616&gt;Settings!$C$23*($AP616-N($Q616)),"Risk over max %; ",""),"")&amp;IF(AND(ISNUMBER(Settings!$C$24),ISNUMBER($N616)),IF($N616&gt;Settings!$C$24,"Leverage over max; ",""),"")&amp;IF(AND(ISNUMBER(Settings!$C$27),ISNUMBER($T616)),IF($T616&lt;Settings!$C$27,"R:R below min; ",""),"")&amp;IF(ISNUMBER(Settings!$C$25),IF(COUNTIFS($A$6:$A616,$A616,$AM$6:$AM616,1)&gt;Settings!$C$25,"Over max trades/day; ",""),"")&amp;IF(ISNUMBER(Settings!$C$26),IF(SUMIFS($Q$5:$Q615,$A$5:$A615,$A616)&lt;=-Settings!$C$26,"Traded after daily max loss; ",""),"")&amp;IF(AND($AG616="",NOT(ISNUMBER($O616))),"Symbol not in Instruments; ","")&amp;IF(AND($AH616="",NOT(ISNUMBER($O616))),"Forex cross: type Gross P&amp;L; ",""))</f>
        <v/>
      </c>
      <c r="BH616" s="56">
        <f>IF(ISNUMBER($Q616),1,0)</f>
        <v>0</v>
      </c>
      <c r="BI616" s="56">
        <f>IF($Y616="",0,1)</f>
        <v>0</v>
      </c>
      <c r="BJ616" s="56">
        <f>IF($AB616="",0,1)</f>
        <v>0</v>
      </c>
      <c r="BK616" s="56">
        <f>IF(AND($BH616=1,$W616&lt;&gt;"OK"),1,0)</f>
        <v>0</v>
      </c>
      <c r="BL616" s="55">
        <f>IF(N($AZ616)=0,0,IFERROR(INDEX($AT$6:$AT$1005,MATCH($AZ616,$AY$6:$AY$1005,0)),0))</f>
        <v>1187.10688</v>
      </c>
      <c r="BM616" s="56">
        <f>IF(ISNUMBER(SEARCH("daily max loss",$BG616)),1,0)</f>
        <v>0</v>
      </c>
    </row>
    <row r="617" ht="18" customHeight="1">
      <c r="A617" s="38" t="n"/>
      <c r="B617" s="39" t="n"/>
      <c r="C617" s="40" t="n"/>
      <c r="D617" s="41" t="n"/>
      <c r="E617" s="41" t="n"/>
      <c r="F617" s="41" t="n"/>
      <c r="G617" s="41" t="n"/>
      <c r="H617" s="42" t="n"/>
      <c r="I617" s="42" t="n"/>
      <c r="J617" s="42" t="n"/>
      <c r="K617" s="42" t="n"/>
      <c r="L617" s="41" t="n"/>
      <c r="M617" s="41" t="n"/>
      <c r="N617" s="41" t="n"/>
      <c r="O617" s="43" t="n"/>
      <c r="P617" s="43" t="n"/>
      <c r="Q617" s="44" t="str">
        <f>IF($AM617=0,"",IF(ISNUMBER($AK617),$AK617-N($AL617),""))</f>
        <v/>
      </c>
      <c r="R617" s="45" t="str">
        <f>IF(OR($Q617="",NOT(ISNUMBER($V617))),"",$AK617/$V617)</f>
        <v/>
      </c>
      <c r="S617" s="46" t="str">
        <f>IF($Q617="","",IF(AND(ISNUMBER($R617),ABS(N($R617))&lt;N(Settings!$C$8)),"Scratch",IF($Q617&gt;0,"Win",IF($Q617&lt;0,"Loss","Scratch"))))</f>
        <v/>
      </c>
      <c r="T617" s="47" t="str">
        <f>IF(OR($AM617=0,NOT(ISNUMBER($H617)),NOT(ISNUMBER($I617)),NOT(ISNUMBER($J617))),"",IF($H617=$I617,"",ROUND(ABS($J617-$H617)/ABS($H617-$I617),6)))</f>
        <v/>
      </c>
      <c r="U617" s="48" t="str">
        <f>IF(OR($S617&lt;&gt;"Win",NOT(ISNUMBER($T617)),NOT(ISNUMBER($R617))),"",MAX(0,$T617-$R617))</f>
        <v/>
      </c>
      <c r="V617" s="49" t="str">
        <f>IF(OR($AM617=0,NOT(ISNUMBER($H617)),NOT(ISNUMBER($I617)),NOT(ISNUMBER($G617))),"",IF(OR($AG617="",$AH617=""),"",IF(ROUND(ABS($H617-$I617)*ABS($G617)*$AG617*$AH617,6)=0,"",ROUND(ABS($H617-$I617)*ABS($G617)*$AG617*$AH617,6))))</f>
        <v/>
      </c>
      <c r="W617" s="50" t="str">
        <f>IF($AM617=0,"",IF($BG617="","OK",LEFT($BG617,LEN($BG617)-2)))</f>
        <v/>
      </c>
      <c r="X617" s="41" t="n"/>
      <c r="Y617" s="40" t="n"/>
      <c r="Z617" s="41" t="n"/>
      <c r="AA617" s="41" t="n"/>
      <c r="AB617" s="40" t="n"/>
      <c r="AC617" s="51" t="n"/>
      <c r="AD617" s="51" t="n"/>
      <c r="AE617" s="40" t="n"/>
      <c r="AF617" s="52" t="str">
        <f>IF($AM617=0,"",IF($D617&lt;&gt;"",$D617,IF(IFERROR(INDEX(Accounts!$C$7:$C$16,MATCH($C617,Accounts!$B$7:$B$16,0))&amp;"","")&lt;&gt;"",INDEX(Accounts!$C$7:$C$16,MATCH($C617,Accounts!$B$7:$B$16,0)),Settings!$C$6)))</f>
        <v/>
      </c>
      <c r="AG617" s="53" t="str">
        <f>IF($AM617=0,"",IF(AND($BE617&gt;0,N(INDEX(Instruments!$D$6:$D$205,MAX(1,$BE617)))&gt;0),INDEX(Instruments!$D$6:$D$205,MAX(1,$BE617)),IF(N(INDEX(Settings!$D$14:$D$18,$BF617))&gt;0,INDEX(Settings!$D$14:$D$18,$BF617),"")))</f>
        <v/>
      </c>
      <c r="AH617" s="54" t="str">
        <f>IF($AM617=0,"",IF($AF617&lt;&gt;"Forex",1,IF(MID(UPPER(SUBSTITUTE(TRIM($E617),"/","")),4,3)=UPPER(TRIM(Settings!$C$7)),1,IF(LEFT(UPPER(SUBSTITUTE(TRIM($E617),"/","")),3)=UPPER(TRIM(Settings!$C$7)),IF(AND(ISNUMBER($K617),N($K617)&lt;&gt;0),1/$K617,""),""))))</f>
        <v/>
      </c>
      <c r="AI617" s="55" t="str">
        <f>IF($AM617=0,"",IF(OR(NOT(ISNUMBER($H617)),NOT(ISNUMBER($K617)),NOT(ISNUMBER($G617)),$AG617="",$AH617=""),"",ROUND(($K617-$H617)*IF($F617="Short",-1,1)*$G617*$AG617*$AH617,6)))</f>
        <v/>
      </c>
      <c r="AJ617" s="55" t="str">
        <f>IF($AM617=0,"",IF(INDEX(Settings!$E$14:$E$18,$BF617)="% of notional",IF(OR($AG617="",NOT(ISNUMBER($H617)),NOT(ISNUMBER($G617))),"",ROUND(ABS($H617*$G617*$AG617*N($AH617))*IF($L617="Limit",N(INDEX(Settings!$G$14:$G$18,$BF617)),N(INDEX(Settings!$H$14:$H$18,$BF617)))+IF(ISNUMBER($K617),ABS($K617*$G617*$AG617*N($AH617))*IF($M617="Target",N(INDEX(Settings!$G$14:$G$18,$BF617)),N(INDEX(Settings!$H$14:$H$18,$BF617))),0),6)),IF(NOT(ISNUMBER($G617)),"",ROUND(ABS($G617)*2*IF(AND($BE617&gt;0,ISNUMBER(INDEX(Instruments!$G$6:$G$205,MAX(1,$BE617)))),INDEX(Instruments!$G$6:$G$205,MAX(1,$BE617)),N(INDEX(Settings!$F$14:$F$18,$BF617))),6))))</f>
        <v/>
      </c>
      <c r="AK617" s="55" t="str">
        <f>IF($AM617=0,"",IF(ISNUMBER($O617),$O617,$AI617))</f>
        <v/>
      </c>
      <c r="AL617" s="55" t="str">
        <f>IF($AM617=0,"",IF(ISNUMBER($P617),$P617,N($AJ617)))</f>
        <v/>
      </c>
      <c r="AM617" s="56">
        <f>IF(AND($A617&lt;&gt;"",$E617&lt;&gt;"",OR(AND(ISNUMBER($G617),ISNUMBER($H617),ISNUMBER($K617)),ISNUMBER($O617))),1,0)</f>
        <v>0</v>
      </c>
      <c r="AN617" s="57" t="str">
        <f>IF($A617="","",$A617-WEEKDAY($A617,3))</f>
        <v/>
      </c>
      <c r="AO617" s="56" t="str">
        <f>IF($A617="","",WEEKDAY($A617,2))</f>
        <v/>
      </c>
      <c r="AP617" s="55" t="str">
        <f>IF(OR($AM617=0,$C617=""),"",IFERROR(N(INDEX(Accounts!$E$7:$E$16,MATCH($C617,Accounts!$B$7:$B$16,0))),0)+SUMIFS($Q$6:$Q617,$C$6:$C617,$C617))</f>
        <v/>
      </c>
      <c r="AQ617" s="55" t="str">
        <f>IF(OR($AM617=0,$C617=""),"",SUMIFS($Q$6:$Q$1005,$C$6:$C$1005,$C617,$A$6:$A$1005,$A617))</f>
        <v/>
      </c>
      <c r="AR617" s="55" t="str">
        <f>IF(OR($AM617=0,$C617=""),"",IFERROR(N(INDEX(Accounts!$E$7:$E$16,MATCH($C617,Accounts!$B$7:$B$16,0))),0)+SUMIFS($Q$6:$Q$1005,$C$6:$C$1005,$C617,$A$6:$A$1005,"&lt;="&amp;$A617))</f>
        <v/>
      </c>
      <c r="AS617" s="56">
        <f>IF(OR($AM617=0,$Q617=""),0,IF(AND($A617&gt;=Lists!$W$6,$A617&lt;=Lists!$W$7,OR(Dashboard!$D$6="All accounts",$C617=Dashboard!$D$6),OR(Dashboard!$D$7="All markets",$AF617=Dashboard!$D$7)),1,0))</f>
        <v>0</v>
      </c>
      <c r="AT617" s="55">
        <f>IF($AS617=1,N(AT616)+$Q617,N(AT616))</f>
        <v>1187.10688</v>
      </c>
      <c r="AU617" s="55">
        <f>MAX(N(AU616),$AT617)</f>
        <v>1187.10688</v>
      </c>
      <c r="AV617" s="55">
        <f>$AT617-$AU617</f>
        <v>0</v>
      </c>
      <c r="AW617" s="56">
        <f>IF($AS617=1,IF($S617="Win",N(AW616)+1,IF($S617="Loss",0,N(AW616))),N(AW616))</f>
        <v>5</v>
      </c>
      <c r="AX617" s="56">
        <f>IF($AS617=1,IF($S617="Loss",N(AX616)+1,IF($S617="Win",0,N(AX616))),N(AX616))</f>
        <v>0</v>
      </c>
      <c r="AY617" s="56" t="str">
        <f>IF($AS617=1,COUNTIF($AS$6:$AS617,1),"")</f>
        <v/>
      </c>
      <c r="AZ617" s="56">
        <f>MIN(611,N(Lists!$W$8))</f>
        <v>28</v>
      </c>
      <c r="BA617" s="56">
        <f>IF($AS617=1,IF(COUNTIFS($A$6:$A617,$A617,$AS$6:$AS617,1)=1,1,0),0)</f>
        <v>0</v>
      </c>
      <c r="BB617" s="55" t="str">
        <f>IF($BA617=1,SUMIFS($Q$6:$Q$1005,$A$6:$A$1005,$A617,$AS$6:$AS$1005,1),"")</f>
        <v/>
      </c>
      <c r="BC617" s="56">
        <f>IF(ISNUMBER($R617),1,0)</f>
        <v>0</v>
      </c>
      <c r="BD617" s="55" t="str">
        <f>IF(ISNUMBER($U617),$U617*$V617,"")</f>
        <v/>
      </c>
      <c r="BE617" s="56" t="str">
        <f>IF($AM617=0,"",IFERROR(MATCH($AF617&amp;"|"&amp;UPPER(TRIM($E617)),Lists!$A$6:$A$205,0),0))</f>
        <v/>
      </c>
      <c r="BF617" s="56" t="str">
        <f>IF($AM617=0,"",IFERROR(MATCH($AF617,Settings!$B$14:$B$18,0),IFERROR(MATCH(Settings!$C$6,Settings!$B$14:$B$18,0),1)))</f>
        <v/>
      </c>
      <c r="BG617" s="58" t="str">
        <f>IF($AM617=0,"",IF(NOT(ISNUMBER($I617)),"No stop; ","")&amp;IF(AND(ISNUMBER($H617),ISNUMBER($I617)),IF(OR(AND($F617&lt;&gt;"Short",$I617&gt;=$H617),AND($F617="Short",$I617&lt;=$H617)),"Stop on wrong side; ",""),"")&amp;IF($F617="","No direction; ","")&amp;IF(AND(ISNUMBER(Settings!$C$22),ISNUMBER($V617)),IF($V617&gt;Settings!$C$22,"Risk over max $; ",""),"")&amp;IF(AND(ISNUMBER(Settings!$C$23),ISNUMBER($V617),ISNUMBER($AP617),IFERROR(N(INDEX(Accounts!$E$7:$E$16,MATCH($C617,Accounts!$B$7:$B$16,0))),0)&gt;0),IF($V617&gt;Settings!$C$23*($AP617-N($Q617)),"Risk over max %; ",""),"")&amp;IF(AND(ISNUMBER(Settings!$C$24),ISNUMBER($N617)),IF($N617&gt;Settings!$C$24,"Leverage over max; ",""),"")&amp;IF(AND(ISNUMBER(Settings!$C$27),ISNUMBER($T617)),IF($T617&lt;Settings!$C$27,"R:R below min; ",""),"")&amp;IF(ISNUMBER(Settings!$C$25),IF(COUNTIFS($A$6:$A617,$A617,$AM$6:$AM617,1)&gt;Settings!$C$25,"Over max trades/day; ",""),"")&amp;IF(ISNUMBER(Settings!$C$26),IF(SUMIFS($Q$5:$Q616,$A$5:$A616,$A617)&lt;=-Settings!$C$26,"Traded after daily max loss; ",""),"")&amp;IF(AND($AG617="",NOT(ISNUMBER($O617))),"Symbol not in Instruments; ","")&amp;IF(AND($AH617="",NOT(ISNUMBER($O617))),"Forex cross: type Gross P&amp;L; ",""))</f>
        <v/>
      </c>
      <c r="BH617" s="56">
        <f>IF(ISNUMBER($Q617),1,0)</f>
        <v>0</v>
      </c>
      <c r="BI617" s="56">
        <f>IF($Y617="",0,1)</f>
        <v>0</v>
      </c>
      <c r="BJ617" s="56">
        <f>IF($AB617="",0,1)</f>
        <v>0</v>
      </c>
      <c r="BK617" s="56">
        <f>IF(AND($BH617=1,$W617&lt;&gt;"OK"),1,0)</f>
        <v>0</v>
      </c>
      <c r="BL617" s="55">
        <f>IF(N($AZ617)=0,0,IFERROR(INDEX($AT$6:$AT$1005,MATCH($AZ617,$AY$6:$AY$1005,0)),0))</f>
        <v>1187.10688</v>
      </c>
      <c r="BM617" s="56">
        <f>IF(ISNUMBER(SEARCH("daily max loss",$BG617)),1,0)</f>
        <v>0</v>
      </c>
    </row>
    <row r="618" ht="18" customHeight="1">
      <c r="A618" s="38" t="n"/>
      <c r="B618" s="39" t="n"/>
      <c r="C618" s="40" t="n"/>
      <c r="D618" s="41" t="n"/>
      <c r="E618" s="41" t="n"/>
      <c r="F618" s="41" t="n"/>
      <c r="G618" s="41" t="n"/>
      <c r="H618" s="42" t="n"/>
      <c r="I618" s="42" t="n"/>
      <c r="J618" s="42" t="n"/>
      <c r="K618" s="42" t="n"/>
      <c r="L618" s="41" t="n"/>
      <c r="M618" s="41" t="n"/>
      <c r="N618" s="41" t="n"/>
      <c r="O618" s="43" t="n"/>
      <c r="P618" s="43" t="n"/>
      <c r="Q618" s="44" t="str">
        <f>IF($AM618=0,"",IF(ISNUMBER($AK618),$AK618-N($AL618),""))</f>
        <v/>
      </c>
      <c r="R618" s="45" t="str">
        <f>IF(OR($Q618="",NOT(ISNUMBER($V618))),"",$AK618/$V618)</f>
        <v/>
      </c>
      <c r="S618" s="46" t="str">
        <f>IF($Q618="","",IF(AND(ISNUMBER($R618),ABS(N($R618))&lt;N(Settings!$C$8)),"Scratch",IF($Q618&gt;0,"Win",IF($Q618&lt;0,"Loss","Scratch"))))</f>
        <v/>
      </c>
      <c r="T618" s="47" t="str">
        <f>IF(OR($AM618=0,NOT(ISNUMBER($H618)),NOT(ISNUMBER($I618)),NOT(ISNUMBER($J618))),"",IF($H618=$I618,"",ROUND(ABS($J618-$H618)/ABS($H618-$I618),6)))</f>
        <v/>
      </c>
      <c r="U618" s="48" t="str">
        <f>IF(OR($S618&lt;&gt;"Win",NOT(ISNUMBER($T618)),NOT(ISNUMBER($R618))),"",MAX(0,$T618-$R618))</f>
        <v/>
      </c>
      <c r="V618" s="49" t="str">
        <f>IF(OR($AM618=0,NOT(ISNUMBER($H618)),NOT(ISNUMBER($I618)),NOT(ISNUMBER($G618))),"",IF(OR($AG618="",$AH618=""),"",IF(ROUND(ABS($H618-$I618)*ABS($G618)*$AG618*$AH618,6)=0,"",ROUND(ABS($H618-$I618)*ABS($G618)*$AG618*$AH618,6))))</f>
        <v/>
      </c>
      <c r="W618" s="50" t="str">
        <f>IF($AM618=0,"",IF($BG618="","OK",LEFT($BG618,LEN($BG618)-2)))</f>
        <v/>
      </c>
      <c r="X618" s="41" t="n"/>
      <c r="Y618" s="40" t="n"/>
      <c r="Z618" s="41" t="n"/>
      <c r="AA618" s="41" t="n"/>
      <c r="AB618" s="40" t="n"/>
      <c r="AC618" s="51" t="n"/>
      <c r="AD618" s="51" t="n"/>
      <c r="AE618" s="40" t="n"/>
      <c r="AF618" s="52" t="str">
        <f>IF($AM618=0,"",IF($D618&lt;&gt;"",$D618,IF(IFERROR(INDEX(Accounts!$C$7:$C$16,MATCH($C618,Accounts!$B$7:$B$16,0))&amp;"","")&lt;&gt;"",INDEX(Accounts!$C$7:$C$16,MATCH($C618,Accounts!$B$7:$B$16,0)),Settings!$C$6)))</f>
        <v/>
      </c>
      <c r="AG618" s="53" t="str">
        <f>IF($AM618=0,"",IF(AND($BE618&gt;0,N(INDEX(Instruments!$D$6:$D$205,MAX(1,$BE618)))&gt;0),INDEX(Instruments!$D$6:$D$205,MAX(1,$BE618)),IF(N(INDEX(Settings!$D$14:$D$18,$BF618))&gt;0,INDEX(Settings!$D$14:$D$18,$BF618),"")))</f>
        <v/>
      </c>
      <c r="AH618" s="54" t="str">
        <f>IF($AM618=0,"",IF($AF618&lt;&gt;"Forex",1,IF(MID(UPPER(SUBSTITUTE(TRIM($E618),"/","")),4,3)=UPPER(TRIM(Settings!$C$7)),1,IF(LEFT(UPPER(SUBSTITUTE(TRIM($E618),"/","")),3)=UPPER(TRIM(Settings!$C$7)),IF(AND(ISNUMBER($K618),N($K618)&lt;&gt;0),1/$K618,""),""))))</f>
        <v/>
      </c>
      <c r="AI618" s="55" t="str">
        <f>IF($AM618=0,"",IF(OR(NOT(ISNUMBER($H618)),NOT(ISNUMBER($K618)),NOT(ISNUMBER($G618)),$AG618="",$AH618=""),"",ROUND(($K618-$H618)*IF($F618="Short",-1,1)*$G618*$AG618*$AH618,6)))</f>
        <v/>
      </c>
      <c r="AJ618" s="55" t="str">
        <f>IF($AM618=0,"",IF(INDEX(Settings!$E$14:$E$18,$BF618)="% of notional",IF(OR($AG618="",NOT(ISNUMBER($H618)),NOT(ISNUMBER($G618))),"",ROUND(ABS($H618*$G618*$AG618*N($AH618))*IF($L618="Limit",N(INDEX(Settings!$G$14:$G$18,$BF618)),N(INDEX(Settings!$H$14:$H$18,$BF618)))+IF(ISNUMBER($K618),ABS($K618*$G618*$AG618*N($AH618))*IF($M618="Target",N(INDEX(Settings!$G$14:$G$18,$BF618)),N(INDEX(Settings!$H$14:$H$18,$BF618))),0),6)),IF(NOT(ISNUMBER($G618)),"",ROUND(ABS($G618)*2*IF(AND($BE618&gt;0,ISNUMBER(INDEX(Instruments!$G$6:$G$205,MAX(1,$BE618)))),INDEX(Instruments!$G$6:$G$205,MAX(1,$BE618)),N(INDEX(Settings!$F$14:$F$18,$BF618))),6))))</f>
        <v/>
      </c>
      <c r="AK618" s="55" t="str">
        <f>IF($AM618=0,"",IF(ISNUMBER($O618),$O618,$AI618))</f>
        <v/>
      </c>
      <c r="AL618" s="55" t="str">
        <f>IF($AM618=0,"",IF(ISNUMBER($P618),$P618,N($AJ618)))</f>
        <v/>
      </c>
      <c r="AM618" s="56">
        <f>IF(AND($A618&lt;&gt;"",$E618&lt;&gt;"",OR(AND(ISNUMBER($G618),ISNUMBER($H618),ISNUMBER($K618)),ISNUMBER($O618))),1,0)</f>
        <v>0</v>
      </c>
      <c r="AN618" s="57" t="str">
        <f>IF($A618="","",$A618-WEEKDAY($A618,3))</f>
        <v/>
      </c>
      <c r="AO618" s="56" t="str">
        <f>IF($A618="","",WEEKDAY($A618,2))</f>
        <v/>
      </c>
      <c r="AP618" s="55" t="str">
        <f>IF(OR($AM618=0,$C618=""),"",IFERROR(N(INDEX(Accounts!$E$7:$E$16,MATCH($C618,Accounts!$B$7:$B$16,0))),0)+SUMIFS($Q$6:$Q618,$C$6:$C618,$C618))</f>
        <v/>
      </c>
      <c r="AQ618" s="55" t="str">
        <f>IF(OR($AM618=0,$C618=""),"",SUMIFS($Q$6:$Q$1005,$C$6:$C$1005,$C618,$A$6:$A$1005,$A618))</f>
        <v/>
      </c>
      <c r="AR618" s="55" t="str">
        <f>IF(OR($AM618=0,$C618=""),"",IFERROR(N(INDEX(Accounts!$E$7:$E$16,MATCH($C618,Accounts!$B$7:$B$16,0))),0)+SUMIFS($Q$6:$Q$1005,$C$6:$C$1005,$C618,$A$6:$A$1005,"&lt;="&amp;$A618))</f>
        <v/>
      </c>
      <c r="AS618" s="56">
        <f>IF(OR($AM618=0,$Q618=""),0,IF(AND($A618&gt;=Lists!$W$6,$A618&lt;=Lists!$W$7,OR(Dashboard!$D$6="All accounts",$C618=Dashboard!$D$6),OR(Dashboard!$D$7="All markets",$AF618=Dashboard!$D$7)),1,0))</f>
        <v>0</v>
      </c>
      <c r="AT618" s="55">
        <f>IF($AS618=1,N(AT617)+$Q618,N(AT617))</f>
        <v>1187.10688</v>
      </c>
      <c r="AU618" s="55">
        <f>MAX(N(AU617),$AT618)</f>
        <v>1187.10688</v>
      </c>
      <c r="AV618" s="55">
        <f>$AT618-$AU618</f>
        <v>0</v>
      </c>
      <c r="AW618" s="56">
        <f>IF($AS618=1,IF($S618="Win",N(AW617)+1,IF($S618="Loss",0,N(AW617))),N(AW617))</f>
        <v>5</v>
      </c>
      <c r="AX618" s="56">
        <f>IF($AS618=1,IF($S618="Loss",N(AX617)+1,IF($S618="Win",0,N(AX617))),N(AX617))</f>
        <v>0</v>
      </c>
      <c r="AY618" s="56" t="str">
        <f>IF($AS618=1,COUNTIF($AS$6:$AS618,1),"")</f>
        <v/>
      </c>
      <c r="AZ618" s="56">
        <f>MIN(612,N(Lists!$W$8))</f>
        <v>28</v>
      </c>
      <c r="BA618" s="56">
        <f>IF($AS618=1,IF(COUNTIFS($A$6:$A618,$A618,$AS$6:$AS618,1)=1,1,0),0)</f>
        <v>0</v>
      </c>
      <c r="BB618" s="55" t="str">
        <f>IF($BA618=1,SUMIFS($Q$6:$Q$1005,$A$6:$A$1005,$A618,$AS$6:$AS$1005,1),"")</f>
        <v/>
      </c>
      <c r="BC618" s="56">
        <f>IF(ISNUMBER($R618),1,0)</f>
        <v>0</v>
      </c>
      <c r="BD618" s="55" t="str">
        <f>IF(ISNUMBER($U618),$U618*$V618,"")</f>
        <v/>
      </c>
      <c r="BE618" s="56" t="str">
        <f>IF($AM618=0,"",IFERROR(MATCH($AF618&amp;"|"&amp;UPPER(TRIM($E618)),Lists!$A$6:$A$205,0),0))</f>
        <v/>
      </c>
      <c r="BF618" s="56" t="str">
        <f>IF($AM618=0,"",IFERROR(MATCH($AF618,Settings!$B$14:$B$18,0),IFERROR(MATCH(Settings!$C$6,Settings!$B$14:$B$18,0),1)))</f>
        <v/>
      </c>
      <c r="BG618" s="58" t="str">
        <f>IF($AM618=0,"",IF(NOT(ISNUMBER($I618)),"No stop; ","")&amp;IF(AND(ISNUMBER($H618),ISNUMBER($I618)),IF(OR(AND($F618&lt;&gt;"Short",$I618&gt;=$H618),AND($F618="Short",$I618&lt;=$H618)),"Stop on wrong side; ",""),"")&amp;IF($F618="","No direction; ","")&amp;IF(AND(ISNUMBER(Settings!$C$22),ISNUMBER($V618)),IF($V618&gt;Settings!$C$22,"Risk over max $; ",""),"")&amp;IF(AND(ISNUMBER(Settings!$C$23),ISNUMBER($V618),ISNUMBER($AP618),IFERROR(N(INDEX(Accounts!$E$7:$E$16,MATCH($C618,Accounts!$B$7:$B$16,0))),0)&gt;0),IF($V618&gt;Settings!$C$23*($AP618-N($Q618)),"Risk over max %; ",""),"")&amp;IF(AND(ISNUMBER(Settings!$C$24),ISNUMBER($N618)),IF($N618&gt;Settings!$C$24,"Leverage over max; ",""),"")&amp;IF(AND(ISNUMBER(Settings!$C$27),ISNUMBER($T618)),IF($T618&lt;Settings!$C$27,"R:R below min; ",""),"")&amp;IF(ISNUMBER(Settings!$C$25),IF(COUNTIFS($A$6:$A618,$A618,$AM$6:$AM618,1)&gt;Settings!$C$25,"Over max trades/day; ",""),"")&amp;IF(ISNUMBER(Settings!$C$26),IF(SUMIFS($Q$5:$Q617,$A$5:$A617,$A618)&lt;=-Settings!$C$26,"Traded after daily max loss; ",""),"")&amp;IF(AND($AG618="",NOT(ISNUMBER($O618))),"Symbol not in Instruments; ","")&amp;IF(AND($AH618="",NOT(ISNUMBER($O618))),"Forex cross: type Gross P&amp;L; ",""))</f>
        <v/>
      </c>
      <c r="BH618" s="56">
        <f>IF(ISNUMBER($Q618),1,0)</f>
        <v>0</v>
      </c>
      <c r="BI618" s="56">
        <f>IF($Y618="",0,1)</f>
        <v>0</v>
      </c>
      <c r="BJ618" s="56">
        <f>IF($AB618="",0,1)</f>
        <v>0</v>
      </c>
      <c r="BK618" s="56">
        <f>IF(AND($BH618=1,$W618&lt;&gt;"OK"),1,0)</f>
        <v>0</v>
      </c>
      <c r="BL618" s="55">
        <f>IF(N($AZ618)=0,0,IFERROR(INDEX($AT$6:$AT$1005,MATCH($AZ618,$AY$6:$AY$1005,0)),0))</f>
        <v>1187.10688</v>
      </c>
      <c r="BM618" s="56">
        <f>IF(ISNUMBER(SEARCH("daily max loss",$BG618)),1,0)</f>
        <v>0</v>
      </c>
    </row>
    <row r="619" ht="18" customHeight="1">
      <c r="A619" s="38" t="n"/>
      <c r="B619" s="39" t="n"/>
      <c r="C619" s="40" t="n"/>
      <c r="D619" s="41" t="n"/>
      <c r="E619" s="41" t="n"/>
      <c r="F619" s="41" t="n"/>
      <c r="G619" s="41" t="n"/>
      <c r="H619" s="42" t="n"/>
      <c r="I619" s="42" t="n"/>
      <c r="J619" s="42" t="n"/>
      <c r="K619" s="42" t="n"/>
      <c r="L619" s="41" t="n"/>
      <c r="M619" s="41" t="n"/>
      <c r="N619" s="41" t="n"/>
      <c r="O619" s="43" t="n"/>
      <c r="P619" s="43" t="n"/>
      <c r="Q619" s="44" t="str">
        <f>IF($AM619=0,"",IF(ISNUMBER($AK619),$AK619-N($AL619),""))</f>
        <v/>
      </c>
      <c r="R619" s="45" t="str">
        <f>IF(OR($Q619="",NOT(ISNUMBER($V619))),"",$AK619/$V619)</f>
        <v/>
      </c>
      <c r="S619" s="46" t="str">
        <f>IF($Q619="","",IF(AND(ISNUMBER($R619),ABS(N($R619))&lt;N(Settings!$C$8)),"Scratch",IF($Q619&gt;0,"Win",IF($Q619&lt;0,"Loss","Scratch"))))</f>
        <v/>
      </c>
      <c r="T619" s="47" t="str">
        <f>IF(OR($AM619=0,NOT(ISNUMBER($H619)),NOT(ISNUMBER($I619)),NOT(ISNUMBER($J619))),"",IF($H619=$I619,"",ROUND(ABS($J619-$H619)/ABS($H619-$I619),6)))</f>
        <v/>
      </c>
      <c r="U619" s="48" t="str">
        <f>IF(OR($S619&lt;&gt;"Win",NOT(ISNUMBER($T619)),NOT(ISNUMBER($R619))),"",MAX(0,$T619-$R619))</f>
        <v/>
      </c>
      <c r="V619" s="49" t="str">
        <f>IF(OR($AM619=0,NOT(ISNUMBER($H619)),NOT(ISNUMBER($I619)),NOT(ISNUMBER($G619))),"",IF(OR($AG619="",$AH619=""),"",IF(ROUND(ABS($H619-$I619)*ABS($G619)*$AG619*$AH619,6)=0,"",ROUND(ABS($H619-$I619)*ABS($G619)*$AG619*$AH619,6))))</f>
        <v/>
      </c>
      <c r="W619" s="50" t="str">
        <f>IF($AM619=0,"",IF($BG619="","OK",LEFT($BG619,LEN($BG619)-2)))</f>
        <v/>
      </c>
      <c r="X619" s="41" t="n"/>
      <c r="Y619" s="40" t="n"/>
      <c r="Z619" s="41" t="n"/>
      <c r="AA619" s="41" t="n"/>
      <c r="AB619" s="40" t="n"/>
      <c r="AC619" s="51" t="n"/>
      <c r="AD619" s="51" t="n"/>
      <c r="AE619" s="40" t="n"/>
      <c r="AF619" s="52" t="str">
        <f>IF($AM619=0,"",IF($D619&lt;&gt;"",$D619,IF(IFERROR(INDEX(Accounts!$C$7:$C$16,MATCH($C619,Accounts!$B$7:$B$16,0))&amp;"","")&lt;&gt;"",INDEX(Accounts!$C$7:$C$16,MATCH($C619,Accounts!$B$7:$B$16,0)),Settings!$C$6)))</f>
        <v/>
      </c>
      <c r="AG619" s="53" t="str">
        <f>IF($AM619=0,"",IF(AND($BE619&gt;0,N(INDEX(Instruments!$D$6:$D$205,MAX(1,$BE619)))&gt;0),INDEX(Instruments!$D$6:$D$205,MAX(1,$BE619)),IF(N(INDEX(Settings!$D$14:$D$18,$BF619))&gt;0,INDEX(Settings!$D$14:$D$18,$BF619),"")))</f>
        <v/>
      </c>
      <c r="AH619" s="54" t="str">
        <f>IF($AM619=0,"",IF($AF619&lt;&gt;"Forex",1,IF(MID(UPPER(SUBSTITUTE(TRIM($E619),"/","")),4,3)=UPPER(TRIM(Settings!$C$7)),1,IF(LEFT(UPPER(SUBSTITUTE(TRIM($E619),"/","")),3)=UPPER(TRIM(Settings!$C$7)),IF(AND(ISNUMBER($K619),N($K619)&lt;&gt;0),1/$K619,""),""))))</f>
        <v/>
      </c>
      <c r="AI619" s="55" t="str">
        <f>IF($AM619=0,"",IF(OR(NOT(ISNUMBER($H619)),NOT(ISNUMBER($K619)),NOT(ISNUMBER($G619)),$AG619="",$AH619=""),"",ROUND(($K619-$H619)*IF($F619="Short",-1,1)*$G619*$AG619*$AH619,6)))</f>
        <v/>
      </c>
      <c r="AJ619" s="55" t="str">
        <f>IF($AM619=0,"",IF(INDEX(Settings!$E$14:$E$18,$BF619)="% of notional",IF(OR($AG619="",NOT(ISNUMBER($H619)),NOT(ISNUMBER($G619))),"",ROUND(ABS($H619*$G619*$AG619*N($AH619))*IF($L619="Limit",N(INDEX(Settings!$G$14:$G$18,$BF619)),N(INDEX(Settings!$H$14:$H$18,$BF619)))+IF(ISNUMBER($K619),ABS($K619*$G619*$AG619*N($AH619))*IF($M619="Target",N(INDEX(Settings!$G$14:$G$18,$BF619)),N(INDEX(Settings!$H$14:$H$18,$BF619))),0),6)),IF(NOT(ISNUMBER($G619)),"",ROUND(ABS($G619)*2*IF(AND($BE619&gt;0,ISNUMBER(INDEX(Instruments!$G$6:$G$205,MAX(1,$BE619)))),INDEX(Instruments!$G$6:$G$205,MAX(1,$BE619)),N(INDEX(Settings!$F$14:$F$18,$BF619))),6))))</f>
        <v/>
      </c>
      <c r="AK619" s="55" t="str">
        <f>IF($AM619=0,"",IF(ISNUMBER($O619),$O619,$AI619))</f>
        <v/>
      </c>
      <c r="AL619" s="55" t="str">
        <f>IF($AM619=0,"",IF(ISNUMBER($P619),$P619,N($AJ619)))</f>
        <v/>
      </c>
      <c r="AM619" s="56">
        <f>IF(AND($A619&lt;&gt;"",$E619&lt;&gt;"",OR(AND(ISNUMBER($G619),ISNUMBER($H619),ISNUMBER($K619)),ISNUMBER($O619))),1,0)</f>
        <v>0</v>
      </c>
      <c r="AN619" s="57" t="str">
        <f>IF($A619="","",$A619-WEEKDAY($A619,3))</f>
        <v/>
      </c>
      <c r="AO619" s="56" t="str">
        <f>IF($A619="","",WEEKDAY($A619,2))</f>
        <v/>
      </c>
      <c r="AP619" s="55" t="str">
        <f>IF(OR($AM619=0,$C619=""),"",IFERROR(N(INDEX(Accounts!$E$7:$E$16,MATCH($C619,Accounts!$B$7:$B$16,0))),0)+SUMIFS($Q$6:$Q619,$C$6:$C619,$C619))</f>
        <v/>
      </c>
      <c r="AQ619" s="55" t="str">
        <f>IF(OR($AM619=0,$C619=""),"",SUMIFS($Q$6:$Q$1005,$C$6:$C$1005,$C619,$A$6:$A$1005,$A619))</f>
        <v/>
      </c>
      <c r="AR619" s="55" t="str">
        <f>IF(OR($AM619=0,$C619=""),"",IFERROR(N(INDEX(Accounts!$E$7:$E$16,MATCH($C619,Accounts!$B$7:$B$16,0))),0)+SUMIFS($Q$6:$Q$1005,$C$6:$C$1005,$C619,$A$6:$A$1005,"&lt;="&amp;$A619))</f>
        <v/>
      </c>
      <c r="AS619" s="56">
        <f>IF(OR($AM619=0,$Q619=""),0,IF(AND($A619&gt;=Lists!$W$6,$A619&lt;=Lists!$W$7,OR(Dashboard!$D$6="All accounts",$C619=Dashboard!$D$6),OR(Dashboard!$D$7="All markets",$AF619=Dashboard!$D$7)),1,0))</f>
        <v>0</v>
      </c>
      <c r="AT619" s="55">
        <f>IF($AS619=1,N(AT618)+$Q619,N(AT618))</f>
        <v>1187.10688</v>
      </c>
      <c r="AU619" s="55">
        <f>MAX(N(AU618),$AT619)</f>
        <v>1187.10688</v>
      </c>
      <c r="AV619" s="55">
        <f>$AT619-$AU619</f>
        <v>0</v>
      </c>
      <c r="AW619" s="56">
        <f>IF($AS619=1,IF($S619="Win",N(AW618)+1,IF($S619="Loss",0,N(AW618))),N(AW618))</f>
        <v>5</v>
      </c>
      <c r="AX619" s="56">
        <f>IF($AS619=1,IF($S619="Loss",N(AX618)+1,IF($S619="Win",0,N(AX618))),N(AX618))</f>
        <v>0</v>
      </c>
      <c r="AY619" s="56" t="str">
        <f>IF($AS619=1,COUNTIF($AS$6:$AS619,1),"")</f>
        <v/>
      </c>
      <c r="AZ619" s="56">
        <f>MIN(613,N(Lists!$W$8))</f>
        <v>28</v>
      </c>
      <c r="BA619" s="56">
        <f>IF($AS619=1,IF(COUNTIFS($A$6:$A619,$A619,$AS$6:$AS619,1)=1,1,0),0)</f>
        <v>0</v>
      </c>
      <c r="BB619" s="55" t="str">
        <f>IF($BA619=1,SUMIFS($Q$6:$Q$1005,$A$6:$A$1005,$A619,$AS$6:$AS$1005,1),"")</f>
        <v/>
      </c>
      <c r="BC619" s="56">
        <f>IF(ISNUMBER($R619),1,0)</f>
        <v>0</v>
      </c>
      <c r="BD619" s="55" t="str">
        <f>IF(ISNUMBER($U619),$U619*$V619,"")</f>
        <v/>
      </c>
      <c r="BE619" s="56" t="str">
        <f>IF($AM619=0,"",IFERROR(MATCH($AF619&amp;"|"&amp;UPPER(TRIM($E619)),Lists!$A$6:$A$205,0),0))</f>
        <v/>
      </c>
      <c r="BF619" s="56" t="str">
        <f>IF($AM619=0,"",IFERROR(MATCH($AF619,Settings!$B$14:$B$18,0),IFERROR(MATCH(Settings!$C$6,Settings!$B$14:$B$18,0),1)))</f>
        <v/>
      </c>
      <c r="BG619" s="58" t="str">
        <f>IF($AM619=0,"",IF(NOT(ISNUMBER($I619)),"No stop; ","")&amp;IF(AND(ISNUMBER($H619),ISNUMBER($I619)),IF(OR(AND($F619&lt;&gt;"Short",$I619&gt;=$H619),AND($F619="Short",$I619&lt;=$H619)),"Stop on wrong side; ",""),"")&amp;IF($F619="","No direction; ","")&amp;IF(AND(ISNUMBER(Settings!$C$22),ISNUMBER($V619)),IF($V619&gt;Settings!$C$22,"Risk over max $; ",""),"")&amp;IF(AND(ISNUMBER(Settings!$C$23),ISNUMBER($V619),ISNUMBER($AP619),IFERROR(N(INDEX(Accounts!$E$7:$E$16,MATCH($C619,Accounts!$B$7:$B$16,0))),0)&gt;0),IF($V619&gt;Settings!$C$23*($AP619-N($Q619)),"Risk over max %; ",""),"")&amp;IF(AND(ISNUMBER(Settings!$C$24),ISNUMBER($N619)),IF($N619&gt;Settings!$C$24,"Leverage over max; ",""),"")&amp;IF(AND(ISNUMBER(Settings!$C$27),ISNUMBER($T619)),IF($T619&lt;Settings!$C$27,"R:R below min; ",""),"")&amp;IF(ISNUMBER(Settings!$C$25),IF(COUNTIFS($A$6:$A619,$A619,$AM$6:$AM619,1)&gt;Settings!$C$25,"Over max trades/day; ",""),"")&amp;IF(ISNUMBER(Settings!$C$26),IF(SUMIFS($Q$5:$Q618,$A$5:$A618,$A619)&lt;=-Settings!$C$26,"Traded after daily max loss; ",""),"")&amp;IF(AND($AG619="",NOT(ISNUMBER($O619))),"Symbol not in Instruments; ","")&amp;IF(AND($AH619="",NOT(ISNUMBER($O619))),"Forex cross: type Gross P&amp;L; ",""))</f>
        <v/>
      </c>
      <c r="BH619" s="56">
        <f>IF(ISNUMBER($Q619),1,0)</f>
        <v>0</v>
      </c>
      <c r="BI619" s="56">
        <f>IF($Y619="",0,1)</f>
        <v>0</v>
      </c>
      <c r="BJ619" s="56">
        <f>IF($AB619="",0,1)</f>
        <v>0</v>
      </c>
      <c r="BK619" s="56">
        <f>IF(AND($BH619=1,$W619&lt;&gt;"OK"),1,0)</f>
        <v>0</v>
      </c>
      <c r="BL619" s="55">
        <f>IF(N($AZ619)=0,0,IFERROR(INDEX($AT$6:$AT$1005,MATCH($AZ619,$AY$6:$AY$1005,0)),0))</f>
        <v>1187.10688</v>
      </c>
      <c r="BM619" s="56">
        <f>IF(ISNUMBER(SEARCH("daily max loss",$BG619)),1,0)</f>
        <v>0</v>
      </c>
    </row>
    <row r="620" ht="18" customHeight="1">
      <c r="A620" s="38" t="n"/>
      <c r="B620" s="39" t="n"/>
      <c r="C620" s="40" t="n"/>
      <c r="D620" s="41" t="n"/>
      <c r="E620" s="41" t="n"/>
      <c r="F620" s="41" t="n"/>
      <c r="G620" s="41" t="n"/>
      <c r="H620" s="42" t="n"/>
      <c r="I620" s="42" t="n"/>
      <c r="J620" s="42" t="n"/>
      <c r="K620" s="42" t="n"/>
      <c r="L620" s="41" t="n"/>
      <c r="M620" s="41" t="n"/>
      <c r="N620" s="41" t="n"/>
      <c r="O620" s="43" t="n"/>
      <c r="P620" s="43" t="n"/>
      <c r="Q620" s="44" t="str">
        <f>IF($AM620=0,"",IF(ISNUMBER($AK620),$AK620-N($AL620),""))</f>
        <v/>
      </c>
      <c r="R620" s="45" t="str">
        <f>IF(OR($Q620="",NOT(ISNUMBER($V620))),"",$AK620/$V620)</f>
        <v/>
      </c>
      <c r="S620" s="46" t="str">
        <f>IF($Q620="","",IF(AND(ISNUMBER($R620),ABS(N($R620))&lt;N(Settings!$C$8)),"Scratch",IF($Q620&gt;0,"Win",IF($Q620&lt;0,"Loss","Scratch"))))</f>
        <v/>
      </c>
      <c r="T620" s="47" t="str">
        <f>IF(OR($AM620=0,NOT(ISNUMBER($H620)),NOT(ISNUMBER($I620)),NOT(ISNUMBER($J620))),"",IF($H620=$I620,"",ROUND(ABS($J620-$H620)/ABS($H620-$I620),6)))</f>
        <v/>
      </c>
      <c r="U620" s="48" t="str">
        <f>IF(OR($S620&lt;&gt;"Win",NOT(ISNUMBER($T620)),NOT(ISNUMBER($R620))),"",MAX(0,$T620-$R620))</f>
        <v/>
      </c>
      <c r="V620" s="49" t="str">
        <f>IF(OR($AM620=0,NOT(ISNUMBER($H620)),NOT(ISNUMBER($I620)),NOT(ISNUMBER($G620))),"",IF(OR($AG620="",$AH620=""),"",IF(ROUND(ABS($H620-$I620)*ABS($G620)*$AG620*$AH620,6)=0,"",ROUND(ABS($H620-$I620)*ABS($G620)*$AG620*$AH620,6))))</f>
        <v/>
      </c>
      <c r="W620" s="50" t="str">
        <f>IF($AM620=0,"",IF($BG620="","OK",LEFT($BG620,LEN($BG620)-2)))</f>
        <v/>
      </c>
      <c r="X620" s="41" t="n"/>
      <c r="Y620" s="40" t="n"/>
      <c r="Z620" s="41" t="n"/>
      <c r="AA620" s="41" t="n"/>
      <c r="AB620" s="40" t="n"/>
      <c r="AC620" s="51" t="n"/>
      <c r="AD620" s="51" t="n"/>
      <c r="AE620" s="40" t="n"/>
      <c r="AF620" s="52" t="str">
        <f>IF($AM620=0,"",IF($D620&lt;&gt;"",$D620,IF(IFERROR(INDEX(Accounts!$C$7:$C$16,MATCH($C620,Accounts!$B$7:$B$16,0))&amp;"","")&lt;&gt;"",INDEX(Accounts!$C$7:$C$16,MATCH($C620,Accounts!$B$7:$B$16,0)),Settings!$C$6)))</f>
        <v/>
      </c>
      <c r="AG620" s="53" t="str">
        <f>IF($AM620=0,"",IF(AND($BE620&gt;0,N(INDEX(Instruments!$D$6:$D$205,MAX(1,$BE620)))&gt;0),INDEX(Instruments!$D$6:$D$205,MAX(1,$BE620)),IF(N(INDEX(Settings!$D$14:$D$18,$BF620))&gt;0,INDEX(Settings!$D$14:$D$18,$BF620),"")))</f>
        <v/>
      </c>
      <c r="AH620" s="54" t="str">
        <f>IF($AM620=0,"",IF($AF620&lt;&gt;"Forex",1,IF(MID(UPPER(SUBSTITUTE(TRIM($E620),"/","")),4,3)=UPPER(TRIM(Settings!$C$7)),1,IF(LEFT(UPPER(SUBSTITUTE(TRIM($E620),"/","")),3)=UPPER(TRIM(Settings!$C$7)),IF(AND(ISNUMBER($K620),N($K620)&lt;&gt;0),1/$K620,""),""))))</f>
        <v/>
      </c>
      <c r="AI620" s="55" t="str">
        <f>IF($AM620=0,"",IF(OR(NOT(ISNUMBER($H620)),NOT(ISNUMBER($K620)),NOT(ISNUMBER($G620)),$AG620="",$AH620=""),"",ROUND(($K620-$H620)*IF($F620="Short",-1,1)*$G620*$AG620*$AH620,6)))</f>
        <v/>
      </c>
      <c r="AJ620" s="55" t="str">
        <f>IF($AM620=0,"",IF(INDEX(Settings!$E$14:$E$18,$BF620)="% of notional",IF(OR($AG620="",NOT(ISNUMBER($H620)),NOT(ISNUMBER($G620))),"",ROUND(ABS($H620*$G620*$AG620*N($AH620))*IF($L620="Limit",N(INDEX(Settings!$G$14:$G$18,$BF620)),N(INDEX(Settings!$H$14:$H$18,$BF620)))+IF(ISNUMBER($K620),ABS($K620*$G620*$AG620*N($AH620))*IF($M620="Target",N(INDEX(Settings!$G$14:$G$18,$BF620)),N(INDEX(Settings!$H$14:$H$18,$BF620))),0),6)),IF(NOT(ISNUMBER($G620)),"",ROUND(ABS($G620)*2*IF(AND($BE620&gt;0,ISNUMBER(INDEX(Instruments!$G$6:$G$205,MAX(1,$BE620)))),INDEX(Instruments!$G$6:$G$205,MAX(1,$BE620)),N(INDEX(Settings!$F$14:$F$18,$BF620))),6))))</f>
        <v/>
      </c>
      <c r="AK620" s="55" t="str">
        <f>IF($AM620=0,"",IF(ISNUMBER($O620),$O620,$AI620))</f>
        <v/>
      </c>
      <c r="AL620" s="55" t="str">
        <f>IF($AM620=0,"",IF(ISNUMBER($P620),$P620,N($AJ620)))</f>
        <v/>
      </c>
      <c r="AM620" s="56">
        <f>IF(AND($A620&lt;&gt;"",$E620&lt;&gt;"",OR(AND(ISNUMBER($G620),ISNUMBER($H620),ISNUMBER($K620)),ISNUMBER($O620))),1,0)</f>
        <v>0</v>
      </c>
      <c r="AN620" s="57" t="str">
        <f>IF($A620="","",$A620-WEEKDAY($A620,3))</f>
        <v/>
      </c>
      <c r="AO620" s="56" t="str">
        <f>IF($A620="","",WEEKDAY($A620,2))</f>
        <v/>
      </c>
      <c r="AP620" s="55" t="str">
        <f>IF(OR($AM620=0,$C620=""),"",IFERROR(N(INDEX(Accounts!$E$7:$E$16,MATCH($C620,Accounts!$B$7:$B$16,0))),0)+SUMIFS($Q$6:$Q620,$C$6:$C620,$C620))</f>
        <v/>
      </c>
      <c r="AQ620" s="55" t="str">
        <f>IF(OR($AM620=0,$C620=""),"",SUMIFS($Q$6:$Q$1005,$C$6:$C$1005,$C620,$A$6:$A$1005,$A620))</f>
        <v/>
      </c>
      <c r="AR620" s="55" t="str">
        <f>IF(OR($AM620=0,$C620=""),"",IFERROR(N(INDEX(Accounts!$E$7:$E$16,MATCH($C620,Accounts!$B$7:$B$16,0))),0)+SUMIFS($Q$6:$Q$1005,$C$6:$C$1005,$C620,$A$6:$A$1005,"&lt;="&amp;$A620))</f>
        <v/>
      </c>
      <c r="AS620" s="56">
        <f>IF(OR($AM620=0,$Q620=""),0,IF(AND($A620&gt;=Lists!$W$6,$A620&lt;=Lists!$W$7,OR(Dashboard!$D$6="All accounts",$C620=Dashboard!$D$6),OR(Dashboard!$D$7="All markets",$AF620=Dashboard!$D$7)),1,0))</f>
        <v>0</v>
      </c>
      <c r="AT620" s="55">
        <f>IF($AS620=1,N(AT619)+$Q620,N(AT619))</f>
        <v>1187.10688</v>
      </c>
      <c r="AU620" s="55">
        <f>MAX(N(AU619),$AT620)</f>
        <v>1187.10688</v>
      </c>
      <c r="AV620" s="55">
        <f>$AT620-$AU620</f>
        <v>0</v>
      </c>
      <c r="AW620" s="56">
        <f>IF($AS620=1,IF($S620="Win",N(AW619)+1,IF($S620="Loss",0,N(AW619))),N(AW619))</f>
        <v>5</v>
      </c>
      <c r="AX620" s="56">
        <f>IF($AS620=1,IF($S620="Loss",N(AX619)+1,IF($S620="Win",0,N(AX619))),N(AX619))</f>
        <v>0</v>
      </c>
      <c r="AY620" s="56" t="str">
        <f>IF($AS620=1,COUNTIF($AS$6:$AS620,1),"")</f>
        <v/>
      </c>
      <c r="AZ620" s="56">
        <f>MIN(614,N(Lists!$W$8))</f>
        <v>28</v>
      </c>
      <c r="BA620" s="56">
        <f>IF($AS620=1,IF(COUNTIFS($A$6:$A620,$A620,$AS$6:$AS620,1)=1,1,0),0)</f>
        <v>0</v>
      </c>
      <c r="BB620" s="55" t="str">
        <f>IF($BA620=1,SUMIFS($Q$6:$Q$1005,$A$6:$A$1005,$A620,$AS$6:$AS$1005,1),"")</f>
        <v/>
      </c>
      <c r="BC620" s="56">
        <f>IF(ISNUMBER($R620),1,0)</f>
        <v>0</v>
      </c>
      <c r="BD620" s="55" t="str">
        <f>IF(ISNUMBER($U620),$U620*$V620,"")</f>
        <v/>
      </c>
      <c r="BE620" s="56" t="str">
        <f>IF($AM620=0,"",IFERROR(MATCH($AF620&amp;"|"&amp;UPPER(TRIM($E620)),Lists!$A$6:$A$205,0),0))</f>
        <v/>
      </c>
      <c r="BF620" s="56" t="str">
        <f>IF($AM620=0,"",IFERROR(MATCH($AF620,Settings!$B$14:$B$18,0),IFERROR(MATCH(Settings!$C$6,Settings!$B$14:$B$18,0),1)))</f>
        <v/>
      </c>
      <c r="BG620" s="58" t="str">
        <f>IF($AM620=0,"",IF(NOT(ISNUMBER($I620)),"No stop; ","")&amp;IF(AND(ISNUMBER($H620),ISNUMBER($I620)),IF(OR(AND($F620&lt;&gt;"Short",$I620&gt;=$H620),AND($F620="Short",$I620&lt;=$H620)),"Stop on wrong side; ",""),"")&amp;IF($F620="","No direction; ","")&amp;IF(AND(ISNUMBER(Settings!$C$22),ISNUMBER($V620)),IF($V620&gt;Settings!$C$22,"Risk over max $; ",""),"")&amp;IF(AND(ISNUMBER(Settings!$C$23),ISNUMBER($V620),ISNUMBER($AP620),IFERROR(N(INDEX(Accounts!$E$7:$E$16,MATCH($C620,Accounts!$B$7:$B$16,0))),0)&gt;0),IF($V620&gt;Settings!$C$23*($AP620-N($Q620)),"Risk over max %; ",""),"")&amp;IF(AND(ISNUMBER(Settings!$C$24),ISNUMBER($N620)),IF($N620&gt;Settings!$C$24,"Leverage over max; ",""),"")&amp;IF(AND(ISNUMBER(Settings!$C$27),ISNUMBER($T620)),IF($T620&lt;Settings!$C$27,"R:R below min; ",""),"")&amp;IF(ISNUMBER(Settings!$C$25),IF(COUNTIFS($A$6:$A620,$A620,$AM$6:$AM620,1)&gt;Settings!$C$25,"Over max trades/day; ",""),"")&amp;IF(ISNUMBER(Settings!$C$26),IF(SUMIFS($Q$5:$Q619,$A$5:$A619,$A620)&lt;=-Settings!$C$26,"Traded after daily max loss; ",""),"")&amp;IF(AND($AG620="",NOT(ISNUMBER($O620))),"Symbol not in Instruments; ","")&amp;IF(AND($AH620="",NOT(ISNUMBER($O620))),"Forex cross: type Gross P&amp;L; ",""))</f>
        <v/>
      </c>
      <c r="BH620" s="56">
        <f>IF(ISNUMBER($Q620),1,0)</f>
        <v>0</v>
      </c>
      <c r="BI620" s="56">
        <f>IF($Y620="",0,1)</f>
        <v>0</v>
      </c>
      <c r="BJ620" s="56">
        <f>IF($AB620="",0,1)</f>
        <v>0</v>
      </c>
      <c r="BK620" s="56">
        <f>IF(AND($BH620=1,$W620&lt;&gt;"OK"),1,0)</f>
        <v>0</v>
      </c>
      <c r="BL620" s="55">
        <f>IF(N($AZ620)=0,0,IFERROR(INDEX($AT$6:$AT$1005,MATCH($AZ620,$AY$6:$AY$1005,0)),0))</f>
        <v>1187.10688</v>
      </c>
      <c r="BM620" s="56">
        <f>IF(ISNUMBER(SEARCH("daily max loss",$BG620)),1,0)</f>
        <v>0</v>
      </c>
    </row>
    <row r="621" ht="18" customHeight="1">
      <c r="A621" s="38" t="n"/>
      <c r="B621" s="39" t="n"/>
      <c r="C621" s="40" t="n"/>
      <c r="D621" s="41" t="n"/>
      <c r="E621" s="41" t="n"/>
      <c r="F621" s="41" t="n"/>
      <c r="G621" s="41" t="n"/>
      <c r="H621" s="42" t="n"/>
      <c r="I621" s="42" t="n"/>
      <c r="J621" s="42" t="n"/>
      <c r="K621" s="42" t="n"/>
      <c r="L621" s="41" t="n"/>
      <c r="M621" s="41" t="n"/>
      <c r="N621" s="41" t="n"/>
      <c r="O621" s="43" t="n"/>
      <c r="P621" s="43" t="n"/>
      <c r="Q621" s="44" t="str">
        <f>IF($AM621=0,"",IF(ISNUMBER($AK621),$AK621-N($AL621),""))</f>
        <v/>
      </c>
      <c r="R621" s="45" t="str">
        <f>IF(OR($Q621="",NOT(ISNUMBER($V621))),"",$AK621/$V621)</f>
        <v/>
      </c>
      <c r="S621" s="46" t="str">
        <f>IF($Q621="","",IF(AND(ISNUMBER($R621),ABS(N($R621))&lt;N(Settings!$C$8)),"Scratch",IF($Q621&gt;0,"Win",IF($Q621&lt;0,"Loss","Scratch"))))</f>
        <v/>
      </c>
      <c r="T621" s="47" t="str">
        <f>IF(OR($AM621=0,NOT(ISNUMBER($H621)),NOT(ISNUMBER($I621)),NOT(ISNUMBER($J621))),"",IF($H621=$I621,"",ROUND(ABS($J621-$H621)/ABS($H621-$I621),6)))</f>
        <v/>
      </c>
      <c r="U621" s="48" t="str">
        <f>IF(OR($S621&lt;&gt;"Win",NOT(ISNUMBER($T621)),NOT(ISNUMBER($R621))),"",MAX(0,$T621-$R621))</f>
        <v/>
      </c>
      <c r="V621" s="49" t="str">
        <f>IF(OR($AM621=0,NOT(ISNUMBER($H621)),NOT(ISNUMBER($I621)),NOT(ISNUMBER($G621))),"",IF(OR($AG621="",$AH621=""),"",IF(ROUND(ABS($H621-$I621)*ABS($G621)*$AG621*$AH621,6)=0,"",ROUND(ABS($H621-$I621)*ABS($G621)*$AG621*$AH621,6))))</f>
        <v/>
      </c>
      <c r="W621" s="50" t="str">
        <f>IF($AM621=0,"",IF($BG621="","OK",LEFT($BG621,LEN($BG621)-2)))</f>
        <v/>
      </c>
      <c r="X621" s="41" t="n"/>
      <c r="Y621" s="40" t="n"/>
      <c r="Z621" s="41" t="n"/>
      <c r="AA621" s="41" t="n"/>
      <c r="AB621" s="40" t="n"/>
      <c r="AC621" s="51" t="n"/>
      <c r="AD621" s="51" t="n"/>
      <c r="AE621" s="40" t="n"/>
      <c r="AF621" s="52" t="str">
        <f>IF($AM621=0,"",IF($D621&lt;&gt;"",$D621,IF(IFERROR(INDEX(Accounts!$C$7:$C$16,MATCH($C621,Accounts!$B$7:$B$16,0))&amp;"","")&lt;&gt;"",INDEX(Accounts!$C$7:$C$16,MATCH($C621,Accounts!$B$7:$B$16,0)),Settings!$C$6)))</f>
        <v/>
      </c>
      <c r="AG621" s="53" t="str">
        <f>IF($AM621=0,"",IF(AND($BE621&gt;0,N(INDEX(Instruments!$D$6:$D$205,MAX(1,$BE621)))&gt;0),INDEX(Instruments!$D$6:$D$205,MAX(1,$BE621)),IF(N(INDEX(Settings!$D$14:$D$18,$BF621))&gt;0,INDEX(Settings!$D$14:$D$18,$BF621),"")))</f>
        <v/>
      </c>
      <c r="AH621" s="54" t="str">
        <f>IF($AM621=0,"",IF($AF621&lt;&gt;"Forex",1,IF(MID(UPPER(SUBSTITUTE(TRIM($E621),"/","")),4,3)=UPPER(TRIM(Settings!$C$7)),1,IF(LEFT(UPPER(SUBSTITUTE(TRIM($E621),"/","")),3)=UPPER(TRIM(Settings!$C$7)),IF(AND(ISNUMBER($K621),N($K621)&lt;&gt;0),1/$K621,""),""))))</f>
        <v/>
      </c>
      <c r="AI621" s="55" t="str">
        <f>IF($AM621=0,"",IF(OR(NOT(ISNUMBER($H621)),NOT(ISNUMBER($K621)),NOT(ISNUMBER($G621)),$AG621="",$AH621=""),"",ROUND(($K621-$H621)*IF($F621="Short",-1,1)*$G621*$AG621*$AH621,6)))</f>
        <v/>
      </c>
      <c r="AJ621" s="55" t="str">
        <f>IF($AM621=0,"",IF(INDEX(Settings!$E$14:$E$18,$BF621)="% of notional",IF(OR($AG621="",NOT(ISNUMBER($H621)),NOT(ISNUMBER($G621))),"",ROUND(ABS($H621*$G621*$AG621*N($AH621))*IF($L621="Limit",N(INDEX(Settings!$G$14:$G$18,$BF621)),N(INDEX(Settings!$H$14:$H$18,$BF621)))+IF(ISNUMBER($K621),ABS($K621*$G621*$AG621*N($AH621))*IF($M621="Target",N(INDEX(Settings!$G$14:$G$18,$BF621)),N(INDEX(Settings!$H$14:$H$18,$BF621))),0),6)),IF(NOT(ISNUMBER($G621)),"",ROUND(ABS($G621)*2*IF(AND($BE621&gt;0,ISNUMBER(INDEX(Instruments!$G$6:$G$205,MAX(1,$BE621)))),INDEX(Instruments!$G$6:$G$205,MAX(1,$BE621)),N(INDEX(Settings!$F$14:$F$18,$BF621))),6))))</f>
        <v/>
      </c>
      <c r="AK621" s="55" t="str">
        <f>IF($AM621=0,"",IF(ISNUMBER($O621),$O621,$AI621))</f>
        <v/>
      </c>
      <c r="AL621" s="55" t="str">
        <f>IF($AM621=0,"",IF(ISNUMBER($P621),$P621,N($AJ621)))</f>
        <v/>
      </c>
      <c r="AM621" s="56">
        <f>IF(AND($A621&lt;&gt;"",$E621&lt;&gt;"",OR(AND(ISNUMBER($G621),ISNUMBER($H621),ISNUMBER($K621)),ISNUMBER($O621))),1,0)</f>
        <v>0</v>
      </c>
      <c r="AN621" s="57" t="str">
        <f>IF($A621="","",$A621-WEEKDAY($A621,3))</f>
        <v/>
      </c>
      <c r="AO621" s="56" t="str">
        <f>IF($A621="","",WEEKDAY($A621,2))</f>
        <v/>
      </c>
      <c r="AP621" s="55" t="str">
        <f>IF(OR($AM621=0,$C621=""),"",IFERROR(N(INDEX(Accounts!$E$7:$E$16,MATCH($C621,Accounts!$B$7:$B$16,0))),0)+SUMIFS($Q$6:$Q621,$C$6:$C621,$C621))</f>
        <v/>
      </c>
      <c r="AQ621" s="55" t="str">
        <f>IF(OR($AM621=0,$C621=""),"",SUMIFS($Q$6:$Q$1005,$C$6:$C$1005,$C621,$A$6:$A$1005,$A621))</f>
        <v/>
      </c>
      <c r="AR621" s="55" t="str">
        <f>IF(OR($AM621=0,$C621=""),"",IFERROR(N(INDEX(Accounts!$E$7:$E$16,MATCH($C621,Accounts!$B$7:$B$16,0))),0)+SUMIFS($Q$6:$Q$1005,$C$6:$C$1005,$C621,$A$6:$A$1005,"&lt;="&amp;$A621))</f>
        <v/>
      </c>
      <c r="AS621" s="56">
        <f>IF(OR($AM621=0,$Q621=""),0,IF(AND($A621&gt;=Lists!$W$6,$A621&lt;=Lists!$W$7,OR(Dashboard!$D$6="All accounts",$C621=Dashboard!$D$6),OR(Dashboard!$D$7="All markets",$AF621=Dashboard!$D$7)),1,0))</f>
        <v>0</v>
      </c>
      <c r="AT621" s="55">
        <f>IF($AS621=1,N(AT620)+$Q621,N(AT620))</f>
        <v>1187.10688</v>
      </c>
      <c r="AU621" s="55">
        <f>MAX(N(AU620),$AT621)</f>
        <v>1187.10688</v>
      </c>
      <c r="AV621" s="55">
        <f>$AT621-$AU621</f>
        <v>0</v>
      </c>
      <c r="AW621" s="56">
        <f>IF($AS621=1,IF($S621="Win",N(AW620)+1,IF($S621="Loss",0,N(AW620))),N(AW620))</f>
        <v>5</v>
      </c>
      <c r="AX621" s="56">
        <f>IF($AS621=1,IF($S621="Loss",N(AX620)+1,IF($S621="Win",0,N(AX620))),N(AX620))</f>
        <v>0</v>
      </c>
      <c r="AY621" s="56" t="str">
        <f>IF($AS621=1,COUNTIF($AS$6:$AS621,1),"")</f>
        <v/>
      </c>
      <c r="AZ621" s="56">
        <f>MIN(615,N(Lists!$W$8))</f>
        <v>28</v>
      </c>
      <c r="BA621" s="56">
        <f>IF($AS621=1,IF(COUNTIFS($A$6:$A621,$A621,$AS$6:$AS621,1)=1,1,0),0)</f>
        <v>0</v>
      </c>
      <c r="BB621" s="55" t="str">
        <f>IF($BA621=1,SUMIFS($Q$6:$Q$1005,$A$6:$A$1005,$A621,$AS$6:$AS$1005,1),"")</f>
        <v/>
      </c>
      <c r="BC621" s="56">
        <f>IF(ISNUMBER($R621),1,0)</f>
        <v>0</v>
      </c>
      <c r="BD621" s="55" t="str">
        <f>IF(ISNUMBER($U621),$U621*$V621,"")</f>
        <v/>
      </c>
      <c r="BE621" s="56" t="str">
        <f>IF($AM621=0,"",IFERROR(MATCH($AF621&amp;"|"&amp;UPPER(TRIM($E621)),Lists!$A$6:$A$205,0),0))</f>
        <v/>
      </c>
      <c r="BF621" s="56" t="str">
        <f>IF($AM621=0,"",IFERROR(MATCH($AF621,Settings!$B$14:$B$18,0),IFERROR(MATCH(Settings!$C$6,Settings!$B$14:$B$18,0),1)))</f>
        <v/>
      </c>
      <c r="BG621" s="58" t="str">
        <f>IF($AM621=0,"",IF(NOT(ISNUMBER($I621)),"No stop; ","")&amp;IF(AND(ISNUMBER($H621),ISNUMBER($I621)),IF(OR(AND($F621&lt;&gt;"Short",$I621&gt;=$H621),AND($F621="Short",$I621&lt;=$H621)),"Stop on wrong side; ",""),"")&amp;IF($F621="","No direction; ","")&amp;IF(AND(ISNUMBER(Settings!$C$22),ISNUMBER($V621)),IF($V621&gt;Settings!$C$22,"Risk over max $; ",""),"")&amp;IF(AND(ISNUMBER(Settings!$C$23),ISNUMBER($V621),ISNUMBER($AP621),IFERROR(N(INDEX(Accounts!$E$7:$E$16,MATCH($C621,Accounts!$B$7:$B$16,0))),0)&gt;0),IF($V621&gt;Settings!$C$23*($AP621-N($Q621)),"Risk over max %; ",""),"")&amp;IF(AND(ISNUMBER(Settings!$C$24),ISNUMBER($N621)),IF($N621&gt;Settings!$C$24,"Leverage over max; ",""),"")&amp;IF(AND(ISNUMBER(Settings!$C$27),ISNUMBER($T621)),IF($T621&lt;Settings!$C$27,"R:R below min; ",""),"")&amp;IF(ISNUMBER(Settings!$C$25),IF(COUNTIFS($A$6:$A621,$A621,$AM$6:$AM621,1)&gt;Settings!$C$25,"Over max trades/day; ",""),"")&amp;IF(ISNUMBER(Settings!$C$26),IF(SUMIFS($Q$5:$Q620,$A$5:$A620,$A621)&lt;=-Settings!$C$26,"Traded after daily max loss; ",""),"")&amp;IF(AND($AG621="",NOT(ISNUMBER($O621))),"Symbol not in Instruments; ","")&amp;IF(AND($AH621="",NOT(ISNUMBER($O621))),"Forex cross: type Gross P&amp;L; ",""))</f>
        <v/>
      </c>
      <c r="BH621" s="56">
        <f>IF(ISNUMBER($Q621),1,0)</f>
        <v>0</v>
      </c>
      <c r="BI621" s="56">
        <f>IF($Y621="",0,1)</f>
        <v>0</v>
      </c>
      <c r="BJ621" s="56">
        <f>IF($AB621="",0,1)</f>
        <v>0</v>
      </c>
      <c r="BK621" s="56">
        <f>IF(AND($BH621=1,$W621&lt;&gt;"OK"),1,0)</f>
        <v>0</v>
      </c>
      <c r="BL621" s="55">
        <f>IF(N($AZ621)=0,0,IFERROR(INDEX($AT$6:$AT$1005,MATCH($AZ621,$AY$6:$AY$1005,0)),0))</f>
        <v>1187.10688</v>
      </c>
      <c r="BM621" s="56">
        <f>IF(ISNUMBER(SEARCH("daily max loss",$BG621)),1,0)</f>
        <v>0</v>
      </c>
    </row>
    <row r="622" ht="18" customHeight="1">
      <c r="A622" s="38" t="n"/>
      <c r="B622" s="39" t="n"/>
      <c r="C622" s="40" t="n"/>
      <c r="D622" s="41" t="n"/>
      <c r="E622" s="41" t="n"/>
      <c r="F622" s="41" t="n"/>
      <c r="G622" s="41" t="n"/>
      <c r="H622" s="42" t="n"/>
      <c r="I622" s="42" t="n"/>
      <c r="J622" s="42" t="n"/>
      <c r="K622" s="42" t="n"/>
      <c r="L622" s="41" t="n"/>
      <c r="M622" s="41" t="n"/>
      <c r="N622" s="41" t="n"/>
      <c r="O622" s="43" t="n"/>
      <c r="P622" s="43" t="n"/>
      <c r="Q622" s="44" t="str">
        <f>IF($AM622=0,"",IF(ISNUMBER($AK622),$AK622-N($AL622),""))</f>
        <v/>
      </c>
      <c r="R622" s="45" t="str">
        <f>IF(OR($Q622="",NOT(ISNUMBER($V622))),"",$AK622/$V622)</f>
        <v/>
      </c>
      <c r="S622" s="46" t="str">
        <f>IF($Q622="","",IF(AND(ISNUMBER($R622),ABS(N($R622))&lt;N(Settings!$C$8)),"Scratch",IF($Q622&gt;0,"Win",IF($Q622&lt;0,"Loss","Scratch"))))</f>
        <v/>
      </c>
      <c r="T622" s="47" t="str">
        <f>IF(OR($AM622=0,NOT(ISNUMBER($H622)),NOT(ISNUMBER($I622)),NOT(ISNUMBER($J622))),"",IF($H622=$I622,"",ROUND(ABS($J622-$H622)/ABS($H622-$I622),6)))</f>
        <v/>
      </c>
      <c r="U622" s="48" t="str">
        <f>IF(OR($S622&lt;&gt;"Win",NOT(ISNUMBER($T622)),NOT(ISNUMBER($R622))),"",MAX(0,$T622-$R622))</f>
        <v/>
      </c>
      <c r="V622" s="49" t="str">
        <f>IF(OR($AM622=0,NOT(ISNUMBER($H622)),NOT(ISNUMBER($I622)),NOT(ISNUMBER($G622))),"",IF(OR($AG622="",$AH622=""),"",IF(ROUND(ABS($H622-$I622)*ABS($G622)*$AG622*$AH622,6)=0,"",ROUND(ABS($H622-$I622)*ABS($G622)*$AG622*$AH622,6))))</f>
        <v/>
      </c>
      <c r="W622" s="50" t="str">
        <f>IF($AM622=0,"",IF($BG622="","OK",LEFT($BG622,LEN($BG622)-2)))</f>
        <v/>
      </c>
      <c r="X622" s="41" t="n"/>
      <c r="Y622" s="40" t="n"/>
      <c r="Z622" s="41" t="n"/>
      <c r="AA622" s="41" t="n"/>
      <c r="AB622" s="40" t="n"/>
      <c r="AC622" s="51" t="n"/>
      <c r="AD622" s="51" t="n"/>
      <c r="AE622" s="40" t="n"/>
      <c r="AF622" s="52" t="str">
        <f>IF($AM622=0,"",IF($D622&lt;&gt;"",$D622,IF(IFERROR(INDEX(Accounts!$C$7:$C$16,MATCH($C622,Accounts!$B$7:$B$16,0))&amp;"","")&lt;&gt;"",INDEX(Accounts!$C$7:$C$16,MATCH($C622,Accounts!$B$7:$B$16,0)),Settings!$C$6)))</f>
        <v/>
      </c>
      <c r="AG622" s="53" t="str">
        <f>IF($AM622=0,"",IF(AND($BE622&gt;0,N(INDEX(Instruments!$D$6:$D$205,MAX(1,$BE622)))&gt;0),INDEX(Instruments!$D$6:$D$205,MAX(1,$BE622)),IF(N(INDEX(Settings!$D$14:$D$18,$BF622))&gt;0,INDEX(Settings!$D$14:$D$18,$BF622),"")))</f>
        <v/>
      </c>
      <c r="AH622" s="54" t="str">
        <f>IF($AM622=0,"",IF($AF622&lt;&gt;"Forex",1,IF(MID(UPPER(SUBSTITUTE(TRIM($E622),"/","")),4,3)=UPPER(TRIM(Settings!$C$7)),1,IF(LEFT(UPPER(SUBSTITUTE(TRIM($E622),"/","")),3)=UPPER(TRIM(Settings!$C$7)),IF(AND(ISNUMBER($K622),N($K622)&lt;&gt;0),1/$K622,""),""))))</f>
        <v/>
      </c>
      <c r="AI622" s="55" t="str">
        <f>IF($AM622=0,"",IF(OR(NOT(ISNUMBER($H622)),NOT(ISNUMBER($K622)),NOT(ISNUMBER($G622)),$AG622="",$AH622=""),"",ROUND(($K622-$H622)*IF($F622="Short",-1,1)*$G622*$AG622*$AH622,6)))</f>
        <v/>
      </c>
      <c r="AJ622" s="55" t="str">
        <f>IF($AM622=0,"",IF(INDEX(Settings!$E$14:$E$18,$BF622)="% of notional",IF(OR($AG622="",NOT(ISNUMBER($H622)),NOT(ISNUMBER($G622))),"",ROUND(ABS($H622*$G622*$AG622*N($AH622))*IF($L622="Limit",N(INDEX(Settings!$G$14:$G$18,$BF622)),N(INDEX(Settings!$H$14:$H$18,$BF622)))+IF(ISNUMBER($K622),ABS($K622*$G622*$AG622*N($AH622))*IF($M622="Target",N(INDEX(Settings!$G$14:$G$18,$BF622)),N(INDEX(Settings!$H$14:$H$18,$BF622))),0),6)),IF(NOT(ISNUMBER($G622)),"",ROUND(ABS($G622)*2*IF(AND($BE622&gt;0,ISNUMBER(INDEX(Instruments!$G$6:$G$205,MAX(1,$BE622)))),INDEX(Instruments!$G$6:$G$205,MAX(1,$BE622)),N(INDEX(Settings!$F$14:$F$18,$BF622))),6))))</f>
        <v/>
      </c>
      <c r="AK622" s="55" t="str">
        <f>IF($AM622=0,"",IF(ISNUMBER($O622),$O622,$AI622))</f>
        <v/>
      </c>
      <c r="AL622" s="55" t="str">
        <f>IF($AM622=0,"",IF(ISNUMBER($P622),$P622,N($AJ622)))</f>
        <v/>
      </c>
      <c r="AM622" s="56">
        <f>IF(AND($A622&lt;&gt;"",$E622&lt;&gt;"",OR(AND(ISNUMBER($G622),ISNUMBER($H622),ISNUMBER($K622)),ISNUMBER($O622))),1,0)</f>
        <v>0</v>
      </c>
      <c r="AN622" s="57" t="str">
        <f>IF($A622="","",$A622-WEEKDAY($A622,3))</f>
        <v/>
      </c>
      <c r="AO622" s="56" t="str">
        <f>IF($A622="","",WEEKDAY($A622,2))</f>
        <v/>
      </c>
      <c r="AP622" s="55" t="str">
        <f>IF(OR($AM622=0,$C622=""),"",IFERROR(N(INDEX(Accounts!$E$7:$E$16,MATCH($C622,Accounts!$B$7:$B$16,0))),0)+SUMIFS($Q$6:$Q622,$C$6:$C622,$C622))</f>
        <v/>
      </c>
      <c r="AQ622" s="55" t="str">
        <f>IF(OR($AM622=0,$C622=""),"",SUMIFS($Q$6:$Q$1005,$C$6:$C$1005,$C622,$A$6:$A$1005,$A622))</f>
        <v/>
      </c>
      <c r="AR622" s="55" t="str">
        <f>IF(OR($AM622=0,$C622=""),"",IFERROR(N(INDEX(Accounts!$E$7:$E$16,MATCH($C622,Accounts!$B$7:$B$16,0))),0)+SUMIFS($Q$6:$Q$1005,$C$6:$C$1005,$C622,$A$6:$A$1005,"&lt;="&amp;$A622))</f>
        <v/>
      </c>
      <c r="AS622" s="56">
        <f>IF(OR($AM622=0,$Q622=""),0,IF(AND($A622&gt;=Lists!$W$6,$A622&lt;=Lists!$W$7,OR(Dashboard!$D$6="All accounts",$C622=Dashboard!$D$6),OR(Dashboard!$D$7="All markets",$AF622=Dashboard!$D$7)),1,0))</f>
        <v>0</v>
      </c>
      <c r="AT622" s="55">
        <f>IF($AS622=1,N(AT621)+$Q622,N(AT621))</f>
        <v>1187.10688</v>
      </c>
      <c r="AU622" s="55">
        <f>MAX(N(AU621),$AT622)</f>
        <v>1187.10688</v>
      </c>
      <c r="AV622" s="55">
        <f>$AT622-$AU622</f>
        <v>0</v>
      </c>
      <c r="AW622" s="56">
        <f>IF($AS622=1,IF($S622="Win",N(AW621)+1,IF($S622="Loss",0,N(AW621))),N(AW621))</f>
        <v>5</v>
      </c>
      <c r="AX622" s="56">
        <f>IF($AS622=1,IF($S622="Loss",N(AX621)+1,IF($S622="Win",0,N(AX621))),N(AX621))</f>
        <v>0</v>
      </c>
      <c r="AY622" s="56" t="str">
        <f>IF($AS622=1,COUNTIF($AS$6:$AS622,1),"")</f>
        <v/>
      </c>
      <c r="AZ622" s="56">
        <f>MIN(616,N(Lists!$W$8))</f>
        <v>28</v>
      </c>
      <c r="BA622" s="56">
        <f>IF($AS622=1,IF(COUNTIFS($A$6:$A622,$A622,$AS$6:$AS622,1)=1,1,0),0)</f>
        <v>0</v>
      </c>
      <c r="BB622" s="55" t="str">
        <f>IF($BA622=1,SUMIFS($Q$6:$Q$1005,$A$6:$A$1005,$A622,$AS$6:$AS$1005,1),"")</f>
        <v/>
      </c>
      <c r="BC622" s="56">
        <f>IF(ISNUMBER($R622),1,0)</f>
        <v>0</v>
      </c>
      <c r="BD622" s="55" t="str">
        <f>IF(ISNUMBER($U622),$U622*$V622,"")</f>
        <v/>
      </c>
      <c r="BE622" s="56" t="str">
        <f>IF($AM622=0,"",IFERROR(MATCH($AF622&amp;"|"&amp;UPPER(TRIM($E622)),Lists!$A$6:$A$205,0),0))</f>
        <v/>
      </c>
      <c r="BF622" s="56" t="str">
        <f>IF($AM622=0,"",IFERROR(MATCH($AF622,Settings!$B$14:$B$18,0),IFERROR(MATCH(Settings!$C$6,Settings!$B$14:$B$18,0),1)))</f>
        <v/>
      </c>
      <c r="BG622" s="58" t="str">
        <f>IF($AM622=0,"",IF(NOT(ISNUMBER($I622)),"No stop; ","")&amp;IF(AND(ISNUMBER($H622),ISNUMBER($I622)),IF(OR(AND($F622&lt;&gt;"Short",$I622&gt;=$H622),AND($F622="Short",$I622&lt;=$H622)),"Stop on wrong side; ",""),"")&amp;IF($F622="","No direction; ","")&amp;IF(AND(ISNUMBER(Settings!$C$22),ISNUMBER($V622)),IF($V622&gt;Settings!$C$22,"Risk over max $; ",""),"")&amp;IF(AND(ISNUMBER(Settings!$C$23),ISNUMBER($V622),ISNUMBER($AP622),IFERROR(N(INDEX(Accounts!$E$7:$E$16,MATCH($C622,Accounts!$B$7:$B$16,0))),0)&gt;0),IF($V622&gt;Settings!$C$23*($AP622-N($Q622)),"Risk over max %; ",""),"")&amp;IF(AND(ISNUMBER(Settings!$C$24),ISNUMBER($N622)),IF($N622&gt;Settings!$C$24,"Leverage over max; ",""),"")&amp;IF(AND(ISNUMBER(Settings!$C$27),ISNUMBER($T622)),IF($T622&lt;Settings!$C$27,"R:R below min; ",""),"")&amp;IF(ISNUMBER(Settings!$C$25),IF(COUNTIFS($A$6:$A622,$A622,$AM$6:$AM622,1)&gt;Settings!$C$25,"Over max trades/day; ",""),"")&amp;IF(ISNUMBER(Settings!$C$26),IF(SUMIFS($Q$5:$Q621,$A$5:$A621,$A622)&lt;=-Settings!$C$26,"Traded after daily max loss; ",""),"")&amp;IF(AND($AG622="",NOT(ISNUMBER($O622))),"Symbol not in Instruments; ","")&amp;IF(AND($AH622="",NOT(ISNUMBER($O622))),"Forex cross: type Gross P&amp;L; ",""))</f>
        <v/>
      </c>
      <c r="BH622" s="56">
        <f>IF(ISNUMBER($Q622),1,0)</f>
        <v>0</v>
      </c>
      <c r="BI622" s="56">
        <f>IF($Y622="",0,1)</f>
        <v>0</v>
      </c>
      <c r="BJ622" s="56">
        <f>IF($AB622="",0,1)</f>
        <v>0</v>
      </c>
      <c r="BK622" s="56">
        <f>IF(AND($BH622=1,$W622&lt;&gt;"OK"),1,0)</f>
        <v>0</v>
      </c>
      <c r="BL622" s="55">
        <f>IF(N($AZ622)=0,0,IFERROR(INDEX($AT$6:$AT$1005,MATCH($AZ622,$AY$6:$AY$1005,0)),0))</f>
        <v>1187.10688</v>
      </c>
      <c r="BM622" s="56">
        <f>IF(ISNUMBER(SEARCH("daily max loss",$BG622)),1,0)</f>
        <v>0</v>
      </c>
    </row>
    <row r="623" ht="18" customHeight="1">
      <c r="A623" s="38" t="n"/>
      <c r="B623" s="39" t="n"/>
      <c r="C623" s="40" t="n"/>
      <c r="D623" s="41" t="n"/>
      <c r="E623" s="41" t="n"/>
      <c r="F623" s="41" t="n"/>
      <c r="G623" s="41" t="n"/>
      <c r="H623" s="42" t="n"/>
      <c r="I623" s="42" t="n"/>
      <c r="J623" s="42" t="n"/>
      <c r="K623" s="42" t="n"/>
      <c r="L623" s="41" t="n"/>
      <c r="M623" s="41" t="n"/>
      <c r="N623" s="41" t="n"/>
      <c r="O623" s="43" t="n"/>
      <c r="P623" s="43" t="n"/>
      <c r="Q623" s="44" t="str">
        <f>IF($AM623=0,"",IF(ISNUMBER($AK623),$AK623-N($AL623),""))</f>
        <v/>
      </c>
      <c r="R623" s="45" t="str">
        <f>IF(OR($Q623="",NOT(ISNUMBER($V623))),"",$AK623/$V623)</f>
        <v/>
      </c>
      <c r="S623" s="46" t="str">
        <f>IF($Q623="","",IF(AND(ISNUMBER($R623),ABS(N($R623))&lt;N(Settings!$C$8)),"Scratch",IF($Q623&gt;0,"Win",IF($Q623&lt;0,"Loss","Scratch"))))</f>
        <v/>
      </c>
      <c r="T623" s="47" t="str">
        <f>IF(OR($AM623=0,NOT(ISNUMBER($H623)),NOT(ISNUMBER($I623)),NOT(ISNUMBER($J623))),"",IF($H623=$I623,"",ROUND(ABS($J623-$H623)/ABS($H623-$I623),6)))</f>
        <v/>
      </c>
      <c r="U623" s="48" t="str">
        <f>IF(OR($S623&lt;&gt;"Win",NOT(ISNUMBER($T623)),NOT(ISNUMBER($R623))),"",MAX(0,$T623-$R623))</f>
        <v/>
      </c>
      <c r="V623" s="49" t="str">
        <f>IF(OR($AM623=0,NOT(ISNUMBER($H623)),NOT(ISNUMBER($I623)),NOT(ISNUMBER($G623))),"",IF(OR($AG623="",$AH623=""),"",IF(ROUND(ABS($H623-$I623)*ABS($G623)*$AG623*$AH623,6)=0,"",ROUND(ABS($H623-$I623)*ABS($G623)*$AG623*$AH623,6))))</f>
        <v/>
      </c>
      <c r="W623" s="50" t="str">
        <f>IF($AM623=0,"",IF($BG623="","OK",LEFT($BG623,LEN($BG623)-2)))</f>
        <v/>
      </c>
      <c r="X623" s="41" t="n"/>
      <c r="Y623" s="40" t="n"/>
      <c r="Z623" s="41" t="n"/>
      <c r="AA623" s="41" t="n"/>
      <c r="AB623" s="40" t="n"/>
      <c r="AC623" s="51" t="n"/>
      <c r="AD623" s="51" t="n"/>
      <c r="AE623" s="40" t="n"/>
      <c r="AF623" s="52" t="str">
        <f>IF($AM623=0,"",IF($D623&lt;&gt;"",$D623,IF(IFERROR(INDEX(Accounts!$C$7:$C$16,MATCH($C623,Accounts!$B$7:$B$16,0))&amp;"","")&lt;&gt;"",INDEX(Accounts!$C$7:$C$16,MATCH($C623,Accounts!$B$7:$B$16,0)),Settings!$C$6)))</f>
        <v/>
      </c>
      <c r="AG623" s="53" t="str">
        <f>IF($AM623=0,"",IF(AND($BE623&gt;0,N(INDEX(Instruments!$D$6:$D$205,MAX(1,$BE623)))&gt;0),INDEX(Instruments!$D$6:$D$205,MAX(1,$BE623)),IF(N(INDEX(Settings!$D$14:$D$18,$BF623))&gt;0,INDEX(Settings!$D$14:$D$18,$BF623),"")))</f>
        <v/>
      </c>
      <c r="AH623" s="54" t="str">
        <f>IF($AM623=0,"",IF($AF623&lt;&gt;"Forex",1,IF(MID(UPPER(SUBSTITUTE(TRIM($E623),"/","")),4,3)=UPPER(TRIM(Settings!$C$7)),1,IF(LEFT(UPPER(SUBSTITUTE(TRIM($E623),"/","")),3)=UPPER(TRIM(Settings!$C$7)),IF(AND(ISNUMBER($K623),N($K623)&lt;&gt;0),1/$K623,""),""))))</f>
        <v/>
      </c>
      <c r="AI623" s="55" t="str">
        <f>IF($AM623=0,"",IF(OR(NOT(ISNUMBER($H623)),NOT(ISNUMBER($K623)),NOT(ISNUMBER($G623)),$AG623="",$AH623=""),"",ROUND(($K623-$H623)*IF($F623="Short",-1,1)*$G623*$AG623*$AH623,6)))</f>
        <v/>
      </c>
      <c r="AJ623" s="55" t="str">
        <f>IF($AM623=0,"",IF(INDEX(Settings!$E$14:$E$18,$BF623)="% of notional",IF(OR($AG623="",NOT(ISNUMBER($H623)),NOT(ISNUMBER($G623))),"",ROUND(ABS($H623*$G623*$AG623*N($AH623))*IF($L623="Limit",N(INDEX(Settings!$G$14:$G$18,$BF623)),N(INDEX(Settings!$H$14:$H$18,$BF623)))+IF(ISNUMBER($K623),ABS($K623*$G623*$AG623*N($AH623))*IF($M623="Target",N(INDEX(Settings!$G$14:$G$18,$BF623)),N(INDEX(Settings!$H$14:$H$18,$BF623))),0),6)),IF(NOT(ISNUMBER($G623)),"",ROUND(ABS($G623)*2*IF(AND($BE623&gt;0,ISNUMBER(INDEX(Instruments!$G$6:$G$205,MAX(1,$BE623)))),INDEX(Instruments!$G$6:$G$205,MAX(1,$BE623)),N(INDEX(Settings!$F$14:$F$18,$BF623))),6))))</f>
        <v/>
      </c>
      <c r="AK623" s="55" t="str">
        <f>IF($AM623=0,"",IF(ISNUMBER($O623),$O623,$AI623))</f>
        <v/>
      </c>
      <c r="AL623" s="55" t="str">
        <f>IF($AM623=0,"",IF(ISNUMBER($P623),$P623,N($AJ623)))</f>
        <v/>
      </c>
      <c r="AM623" s="56">
        <f>IF(AND($A623&lt;&gt;"",$E623&lt;&gt;"",OR(AND(ISNUMBER($G623),ISNUMBER($H623),ISNUMBER($K623)),ISNUMBER($O623))),1,0)</f>
        <v>0</v>
      </c>
      <c r="AN623" s="57" t="str">
        <f>IF($A623="","",$A623-WEEKDAY($A623,3))</f>
        <v/>
      </c>
      <c r="AO623" s="56" t="str">
        <f>IF($A623="","",WEEKDAY($A623,2))</f>
        <v/>
      </c>
      <c r="AP623" s="55" t="str">
        <f>IF(OR($AM623=0,$C623=""),"",IFERROR(N(INDEX(Accounts!$E$7:$E$16,MATCH($C623,Accounts!$B$7:$B$16,0))),0)+SUMIFS($Q$6:$Q623,$C$6:$C623,$C623))</f>
        <v/>
      </c>
      <c r="AQ623" s="55" t="str">
        <f>IF(OR($AM623=0,$C623=""),"",SUMIFS($Q$6:$Q$1005,$C$6:$C$1005,$C623,$A$6:$A$1005,$A623))</f>
        <v/>
      </c>
      <c r="AR623" s="55" t="str">
        <f>IF(OR($AM623=0,$C623=""),"",IFERROR(N(INDEX(Accounts!$E$7:$E$16,MATCH($C623,Accounts!$B$7:$B$16,0))),0)+SUMIFS($Q$6:$Q$1005,$C$6:$C$1005,$C623,$A$6:$A$1005,"&lt;="&amp;$A623))</f>
        <v/>
      </c>
      <c r="AS623" s="56">
        <f>IF(OR($AM623=0,$Q623=""),0,IF(AND($A623&gt;=Lists!$W$6,$A623&lt;=Lists!$W$7,OR(Dashboard!$D$6="All accounts",$C623=Dashboard!$D$6),OR(Dashboard!$D$7="All markets",$AF623=Dashboard!$D$7)),1,0))</f>
        <v>0</v>
      </c>
      <c r="AT623" s="55">
        <f>IF($AS623=1,N(AT622)+$Q623,N(AT622))</f>
        <v>1187.10688</v>
      </c>
      <c r="AU623" s="55">
        <f>MAX(N(AU622),$AT623)</f>
        <v>1187.10688</v>
      </c>
      <c r="AV623" s="55">
        <f>$AT623-$AU623</f>
        <v>0</v>
      </c>
      <c r="AW623" s="56">
        <f>IF($AS623=1,IF($S623="Win",N(AW622)+1,IF($S623="Loss",0,N(AW622))),N(AW622))</f>
        <v>5</v>
      </c>
      <c r="AX623" s="56">
        <f>IF($AS623=1,IF($S623="Loss",N(AX622)+1,IF($S623="Win",0,N(AX622))),N(AX622))</f>
        <v>0</v>
      </c>
      <c r="AY623" s="56" t="str">
        <f>IF($AS623=1,COUNTIF($AS$6:$AS623,1),"")</f>
        <v/>
      </c>
      <c r="AZ623" s="56">
        <f>MIN(617,N(Lists!$W$8))</f>
        <v>28</v>
      </c>
      <c r="BA623" s="56">
        <f>IF($AS623=1,IF(COUNTIFS($A$6:$A623,$A623,$AS$6:$AS623,1)=1,1,0),0)</f>
        <v>0</v>
      </c>
      <c r="BB623" s="55" t="str">
        <f>IF($BA623=1,SUMIFS($Q$6:$Q$1005,$A$6:$A$1005,$A623,$AS$6:$AS$1005,1),"")</f>
        <v/>
      </c>
      <c r="BC623" s="56">
        <f>IF(ISNUMBER($R623),1,0)</f>
        <v>0</v>
      </c>
      <c r="BD623" s="55" t="str">
        <f>IF(ISNUMBER($U623),$U623*$V623,"")</f>
        <v/>
      </c>
      <c r="BE623" s="56" t="str">
        <f>IF($AM623=0,"",IFERROR(MATCH($AF623&amp;"|"&amp;UPPER(TRIM($E623)),Lists!$A$6:$A$205,0),0))</f>
        <v/>
      </c>
      <c r="BF623" s="56" t="str">
        <f>IF($AM623=0,"",IFERROR(MATCH($AF623,Settings!$B$14:$B$18,0),IFERROR(MATCH(Settings!$C$6,Settings!$B$14:$B$18,0),1)))</f>
        <v/>
      </c>
      <c r="BG623" s="58" t="str">
        <f>IF($AM623=0,"",IF(NOT(ISNUMBER($I623)),"No stop; ","")&amp;IF(AND(ISNUMBER($H623),ISNUMBER($I623)),IF(OR(AND($F623&lt;&gt;"Short",$I623&gt;=$H623),AND($F623="Short",$I623&lt;=$H623)),"Stop on wrong side; ",""),"")&amp;IF($F623="","No direction; ","")&amp;IF(AND(ISNUMBER(Settings!$C$22),ISNUMBER($V623)),IF($V623&gt;Settings!$C$22,"Risk over max $; ",""),"")&amp;IF(AND(ISNUMBER(Settings!$C$23),ISNUMBER($V623),ISNUMBER($AP623),IFERROR(N(INDEX(Accounts!$E$7:$E$16,MATCH($C623,Accounts!$B$7:$B$16,0))),0)&gt;0),IF($V623&gt;Settings!$C$23*($AP623-N($Q623)),"Risk over max %; ",""),"")&amp;IF(AND(ISNUMBER(Settings!$C$24),ISNUMBER($N623)),IF($N623&gt;Settings!$C$24,"Leverage over max; ",""),"")&amp;IF(AND(ISNUMBER(Settings!$C$27),ISNUMBER($T623)),IF($T623&lt;Settings!$C$27,"R:R below min; ",""),"")&amp;IF(ISNUMBER(Settings!$C$25),IF(COUNTIFS($A$6:$A623,$A623,$AM$6:$AM623,1)&gt;Settings!$C$25,"Over max trades/day; ",""),"")&amp;IF(ISNUMBER(Settings!$C$26),IF(SUMIFS($Q$5:$Q622,$A$5:$A622,$A623)&lt;=-Settings!$C$26,"Traded after daily max loss; ",""),"")&amp;IF(AND($AG623="",NOT(ISNUMBER($O623))),"Symbol not in Instruments; ","")&amp;IF(AND($AH623="",NOT(ISNUMBER($O623))),"Forex cross: type Gross P&amp;L; ",""))</f>
        <v/>
      </c>
      <c r="BH623" s="56">
        <f>IF(ISNUMBER($Q623),1,0)</f>
        <v>0</v>
      </c>
      <c r="BI623" s="56">
        <f>IF($Y623="",0,1)</f>
        <v>0</v>
      </c>
      <c r="BJ623" s="56">
        <f>IF($AB623="",0,1)</f>
        <v>0</v>
      </c>
      <c r="BK623" s="56">
        <f>IF(AND($BH623=1,$W623&lt;&gt;"OK"),1,0)</f>
        <v>0</v>
      </c>
      <c r="BL623" s="55">
        <f>IF(N($AZ623)=0,0,IFERROR(INDEX($AT$6:$AT$1005,MATCH($AZ623,$AY$6:$AY$1005,0)),0))</f>
        <v>1187.10688</v>
      </c>
      <c r="BM623" s="56">
        <f>IF(ISNUMBER(SEARCH("daily max loss",$BG623)),1,0)</f>
        <v>0</v>
      </c>
    </row>
    <row r="624" ht="18" customHeight="1">
      <c r="A624" s="38" t="n"/>
      <c r="B624" s="39" t="n"/>
      <c r="C624" s="40" t="n"/>
      <c r="D624" s="41" t="n"/>
      <c r="E624" s="41" t="n"/>
      <c r="F624" s="41" t="n"/>
      <c r="G624" s="41" t="n"/>
      <c r="H624" s="42" t="n"/>
      <c r="I624" s="42" t="n"/>
      <c r="J624" s="42" t="n"/>
      <c r="K624" s="42" t="n"/>
      <c r="L624" s="41" t="n"/>
      <c r="M624" s="41" t="n"/>
      <c r="N624" s="41" t="n"/>
      <c r="O624" s="43" t="n"/>
      <c r="P624" s="43" t="n"/>
      <c r="Q624" s="44" t="str">
        <f>IF($AM624=0,"",IF(ISNUMBER($AK624),$AK624-N($AL624),""))</f>
        <v/>
      </c>
      <c r="R624" s="45" t="str">
        <f>IF(OR($Q624="",NOT(ISNUMBER($V624))),"",$AK624/$V624)</f>
        <v/>
      </c>
      <c r="S624" s="46" t="str">
        <f>IF($Q624="","",IF(AND(ISNUMBER($R624),ABS(N($R624))&lt;N(Settings!$C$8)),"Scratch",IF($Q624&gt;0,"Win",IF($Q624&lt;0,"Loss","Scratch"))))</f>
        <v/>
      </c>
      <c r="T624" s="47" t="str">
        <f>IF(OR($AM624=0,NOT(ISNUMBER($H624)),NOT(ISNUMBER($I624)),NOT(ISNUMBER($J624))),"",IF($H624=$I624,"",ROUND(ABS($J624-$H624)/ABS($H624-$I624),6)))</f>
        <v/>
      </c>
      <c r="U624" s="48" t="str">
        <f>IF(OR($S624&lt;&gt;"Win",NOT(ISNUMBER($T624)),NOT(ISNUMBER($R624))),"",MAX(0,$T624-$R624))</f>
        <v/>
      </c>
      <c r="V624" s="49" t="str">
        <f>IF(OR($AM624=0,NOT(ISNUMBER($H624)),NOT(ISNUMBER($I624)),NOT(ISNUMBER($G624))),"",IF(OR($AG624="",$AH624=""),"",IF(ROUND(ABS($H624-$I624)*ABS($G624)*$AG624*$AH624,6)=0,"",ROUND(ABS($H624-$I624)*ABS($G624)*$AG624*$AH624,6))))</f>
        <v/>
      </c>
      <c r="W624" s="50" t="str">
        <f>IF($AM624=0,"",IF($BG624="","OK",LEFT($BG624,LEN($BG624)-2)))</f>
        <v/>
      </c>
      <c r="X624" s="41" t="n"/>
      <c r="Y624" s="40" t="n"/>
      <c r="Z624" s="41" t="n"/>
      <c r="AA624" s="41" t="n"/>
      <c r="AB624" s="40" t="n"/>
      <c r="AC624" s="51" t="n"/>
      <c r="AD624" s="51" t="n"/>
      <c r="AE624" s="40" t="n"/>
      <c r="AF624" s="52" t="str">
        <f>IF($AM624=0,"",IF($D624&lt;&gt;"",$D624,IF(IFERROR(INDEX(Accounts!$C$7:$C$16,MATCH($C624,Accounts!$B$7:$B$16,0))&amp;"","")&lt;&gt;"",INDEX(Accounts!$C$7:$C$16,MATCH($C624,Accounts!$B$7:$B$16,0)),Settings!$C$6)))</f>
        <v/>
      </c>
      <c r="AG624" s="53" t="str">
        <f>IF($AM624=0,"",IF(AND($BE624&gt;0,N(INDEX(Instruments!$D$6:$D$205,MAX(1,$BE624)))&gt;0),INDEX(Instruments!$D$6:$D$205,MAX(1,$BE624)),IF(N(INDEX(Settings!$D$14:$D$18,$BF624))&gt;0,INDEX(Settings!$D$14:$D$18,$BF624),"")))</f>
        <v/>
      </c>
      <c r="AH624" s="54" t="str">
        <f>IF($AM624=0,"",IF($AF624&lt;&gt;"Forex",1,IF(MID(UPPER(SUBSTITUTE(TRIM($E624),"/","")),4,3)=UPPER(TRIM(Settings!$C$7)),1,IF(LEFT(UPPER(SUBSTITUTE(TRIM($E624),"/","")),3)=UPPER(TRIM(Settings!$C$7)),IF(AND(ISNUMBER($K624),N($K624)&lt;&gt;0),1/$K624,""),""))))</f>
        <v/>
      </c>
      <c r="AI624" s="55" t="str">
        <f>IF($AM624=0,"",IF(OR(NOT(ISNUMBER($H624)),NOT(ISNUMBER($K624)),NOT(ISNUMBER($G624)),$AG624="",$AH624=""),"",ROUND(($K624-$H624)*IF($F624="Short",-1,1)*$G624*$AG624*$AH624,6)))</f>
        <v/>
      </c>
      <c r="AJ624" s="55" t="str">
        <f>IF($AM624=0,"",IF(INDEX(Settings!$E$14:$E$18,$BF624)="% of notional",IF(OR($AG624="",NOT(ISNUMBER($H624)),NOT(ISNUMBER($G624))),"",ROUND(ABS($H624*$G624*$AG624*N($AH624))*IF($L624="Limit",N(INDEX(Settings!$G$14:$G$18,$BF624)),N(INDEX(Settings!$H$14:$H$18,$BF624)))+IF(ISNUMBER($K624),ABS($K624*$G624*$AG624*N($AH624))*IF($M624="Target",N(INDEX(Settings!$G$14:$G$18,$BF624)),N(INDEX(Settings!$H$14:$H$18,$BF624))),0),6)),IF(NOT(ISNUMBER($G624)),"",ROUND(ABS($G624)*2*IF(AND($BE624&gt;0,ISNUMBER(INDEX(Instruments!$G$6:$G$205,MAX(1,$BE624)))),INDEX(Instruments!$G$6:$G$205,MAX(1,$BE624)),N(INDEX(Settings!$F$14:$F$18,$BF624))),6))))</f>
        <v/>
      </c>
      <c r="AK624" s="55" t="str">
        <f>IF($AM624=0,"",IF(ISNUMBER($O624),$O624,$AI624))</f>
        <v/>
      </c>
      <c r="AL624" s="55" t="str">
        <f>IF($AM624=0,"",IF(ISNUMBER($P624),$P624,N($AJ624)))</f>
        <v/>
      </c>
      <c r="AM624" s="56">
        <f>IF(AND($A624&lt;&gt;"",$E624&lt;&gt;"",OR(AND(ISNUMBER($G624),ISNUMBER($H624),ISNUMBER($K624)),ISNUMBER($O624))),1,0)</f>
        <v>0</v>
      </c>
      <c r="AN624" s="57" t="str">
        <f>IF($A624="","",$A624-WEEKDAY($A624,3))</f>
        <v/>
      </c>
      <c r="AO624" s="56" t="str">
        <f>IF($A624="","",WEEKDAY($A624,2))</f>
        <v/>
      </c>
      <c r="AP624" s="55" t="str">
        <f>IF(OR($AM624=0,$C624=""),"",IFERROR(N(INDEX(Accounts!$E$7:$E$16,MATCH($C624,Accounts!$B$7:$B$16,0))),0)+SUMIFS($Q$6:$Q624,$C$6:$C624,$C624))</f>
        <v/>
      </c>
      <c r="AQ624" s="55" t="str">
        <f>IF(OR($AM624=0,$C624=""),"",SUMIFS($Q$6:$Q$1005,$C$6:$C$1005,$C624,$A$6:$A$1005,$A624))</f>
        <v/>
      </c>
      <c r="AR624" s="55" t="str">
        <f>IF(OR($AM624=0,$C624=""),"",IFERROR(N(INDEX(Accounts!$E$7:$E$16,MATCH($C624,Accounts!$B$7:$B$16,0))),0)+SUMIFS($Q$6:$Q$1005,$C$6:$C$1005,$C624,$A$6:$A$1005,"&lt;="&amp;$A624))</f>
        <v/>
      </c>
      <c r="AS624" s="56">
        <f>IF(OR($AM624=0,$Q624=""),0,IF(AND($A624&gt;=Lists!$W$6,$A624&lt;=Lists!$W$7,OR(Dashboard!$D$6="All accounts",$C624=Dashboard!$D$6),OR(Dashboard!$D$7="All markets",$AF624=Dashboard!$D$7)),1,0))</f>
        <v>0</v>
      </c>
      <c r="AT624" s="55">
        <f>IF($AS624=1,N(AT623)+$Q624,N(AT623))</f>
        <v>1187.10688</v>
      </c>
      <c r="AU624" s="55">
        <f>MAX(N(AU623),$AT624)</f>
        <v>1187.10688</v>
      </c>
      <c r="AV624" s="55">
        <f>$AT624-$AU624</f>
        <v>0</v>
      </c>
      <c r="AW624" s="56">
        <f>IF($AS624=1,IF($S624="Win",N(AW623)+1,IF($S624="Loss",0,N(AW623))),N(AW623))</f>
        <v>5</v>
      </c>
      <c r="AX624" s="56">
        <f>IF($AS624=1,IF($S624="Loss",N(AX623)+1,IF($S624="Win",0,N(AX623))),N(AX623))</f>
        <v>0</v>
      </c>
      <c r="AY624" s="56" t="str">
        <f>IF($AS624=1,COUNTIF($AS$6:$AS624,1),"")</f>
        <v/>
      </c>
      <c r="AZ624" s="56">
        <f>MIN(618,N(Lists!$W$8))</f>
        <v>28</v>
      </c>
      <c r="BA624" s="56">
        <f>IF($AS624=1,IF(COUNTIFS($A$6:$A624,$A624,$AS$6:$AS624,1)=1,1,0),0)</f>
        <v>0</v>
      </c>
      <c r="BB624" s="55" t="str">
        <f>IF($BA624=1,SUMIFS($Q$6:$Q$1005,$A$6:$A$1005,$A624,$AS$6:$AS$1005,1),"")</f>
        <v/>
      </c>
      <c r="BC624" s="56">
        <f>IF(ISNUMBER($R624),1,0)</f>
        <v>0</v>
      </c>
      <c r="BD624" s="55" t="str">
        <f>IF(ISNUMBER($U624),$U624*$V624,"")</f>
        <v/>
      </c>
      <c r="BE624" s="56" t="str">
        <f>IF($AM624=0,"",IFERROR(MATCH($AF624&amp;"|"&amp;UPPER(TRIM($E624)),Lists!$A$6:$A$205,0),0))</f>
        <v/>
      </c>
      <c r="BF624" s="56" t="str">
        <f>IF($AM624=0,"",IFERROR(MATCH($AF624,Settings!$B$14:$B$18,0),IFERROR(MATCH(Settings!$C$6,Settings!$B$14:$B$18,0),1)))</f>
        <v/>
      </c>
      <c r="BG624" s="58" t="str">
        <f>IF($AM624=0,"",IF(NOT(ISNUMBER($I624)),"No stop; ","")&amp;IF(AND(ISNUMBER($H624),ISNUMBER($I624)),IF(OR(AND($F624&lt;&gt;"Short",$I624&gt;=$H624),AND($F624="Short",$I624&lt;=$H624)),"Stop on wrong side; ",""),"")&amp;IF($F624="","No direction; ","")&amp;IF(AND(ISNUMBER(Settings!$C$22),ISNUMBER($V624)),IF($V624&gt;Settings!$C$22,"Risk over max $; ",""),"")&amp;IF(AND(ISNUMBER(Settings!$C$23),ISNUMBER($V624),ISNUMBER($AP624),IFERROR(N(INDEX(Accounts!$E$7:$E$16,MATCH($C624,Accounts!$B$7:$B$16,0))),0)&gt;0),IF($V624&gt;Settings!$C$23*($AP624-N($Q624)),"Risk over max %; ",""),"")&amp;IF(AND(ISNUMBER(Settings!$C$24),ISNUMBER($N624)),IF($N624&gt;Settings!$C$24,"Leverage over max; ",""),"")&amp;IF(AND(ISNUMBER(Settings!$C$27),ISNUMBER($T624)),IF($T624&lt;Settings!$C$27,"R:R below min; ",""),"")&amp;IF(ISNUMBER(Settings!$C$25),IF(COUNTIFS($A$6:$A624,$A624,$AM$6:$AM624,1)&gt;Settings!$C$25,"Over max trades/day; ",""),"")&amp;IF(ISNUMBER(Settings!$C$26),IF(SUMIFS($Q$5:$Q623,$A$5:$A623,$A624)&lt;=-Settings!$C$26,"Traded after daily max loss; ",""),"")&amp;IF(AND($AG624="",NOT(ISNUMBER($O624))),"Symbol not in Instruments; ","")&amp;IF(AND($AH624="",NOT(ISNUMBER($O624))),"Forex cross: type Gross P&amp;L; ",""))</f>
        <v/>
      </c>
      <c r="BH624" s="56">
        <f>IF(ISNUMBER($Q624),1,0)</f>
        <v>0</v>
      </c>
      <c r="BI624" s="56">
        <f>IF($Y624="",0,1)</f>
        <v>0</v>
      </c>
      <c r="BJ624" s="56">
        <f>IF($AB624="",0,1)</f>
        <v>0</v>
      </c>
      <c r="BK624" s="56">
        <f>IF(AND($BH624=1,$W624&lt;&gt;"OK"),1,0)</f>
        <v>0</v>
      </c>
      <c r="BL624" s="55">
        <f>IF(N($AZ624)=0,0,IFERROR(INDEX($AT$6:$AT$1005,MATCH($AZ624,$AY$6:$AY$1005,0)),0))</f>
        <v>1187.10688</v>
      </c>
      <c r="BM624" s="56">
        <f>IF(ISNUMBER(SEARCH("daily max loss",$BG624)),1,0)</f>
        <v>0</v>
      </c>
    </row>
    <row r="625" ht="18" customHeight="1">
      <c r="A625" s="38" t="n"/>
      <c r="B625" s="39" t="n"/>
      <c r="C625" s="40" t="n"/>
      <c r="D625" s="41" t="n"/>
      <c r="E625" s="41" t="n"/>
      <c r="F625" s="41" t="n"/>
      <c r="G625" s="41" t="n"/>
      <c r="H625" s="42" t="n"/>
      <c r="I625" s="42" t="n"/>
      <c r="J625" s="42" t="n"/>
      <c r="K625" s="42" t="n"/>
      <c r="L625" s="41" t="n"/>
      <c r="M625" s="41" t="n"/>
      <c r="N625" s="41" t="n"/>
      <c r="O625" s="43" t="n"/>
      <c r="P625" s="43" t="n"/>
      <c r="Q625" s="44" t="str">
        <f>IF($AM625=0,"",IF(ISNUMBER($AK625),$AK625-N($AL625),""))</f>
        <v/>
      </c>
      <c r="R625" s="45" t="str">
        <f>IF(OR($Q625="",NOT(ISNUMBER($V625))),"",$AK625/$V625)</f>
        <v/>
      </c>
      <c r="S625" s="46" t="str">
        <f>IF($Q625="","",IF(AND(ISNUMBER($R625),ABS(N($R625))&lt;N(Settings!$C$8)),"Scratch",IF($Q625&gt;0,"Win",IF($Q625&lt;0,"Loss","Scratch"))))</f>
        <v/>
      </c>
      <c r="T625" s="47" t="str">
        <f>IF(OR($AM625=0,NOT(ISNUMBER($H625)),NOT(ISNUMBER($I625)),NOT(ISNUMBER($J625))),"",IF($H625=$I625,"",ROUND(ABS($J625-$H625)/ABS($H625-$I625),6)))</f>
        <v/>
      </c>
      <c r="U625" s="48" t="str">
        <f>IF(OR($S625&lt;&gt;"Win",NOT(ISNUMBER($T625)),NOT(ISNUMBER($R625))),"",MAX(0,$T625-$R625))</f>
        <v/>
      </c>
      <c r="V625" s="49" t="str">
        <f>IF(OR($AM625=0,NOT(ISNUMBER($H625)),NOT(ISNUMBER($I625)),NOT(ISNUMBER($G625))),"",IF(OR($AG625="",$AH625=""),"",IF(ROUND(ABS($H625-$I625)*ABS($G625)*$AG625*$AH625,6)=0,"",ROUND(ABS($H625-$I625)*ABS($G625)*$AG625*$AH625,6))))</f>
        <v/>
      </c>
      <c r="W625" s="50" t="str">
        <f>IF($AM625=0,"",IF($BG625="","OK",LEFT($BG625,LEN($BG625)-2)))</f>
        <v/>
      </c>
      <c r="X625" s="41" t="n"/>
      <c r="Y625" s="40" t="n"/>
      <c r="Z625" s="41" t="n"/>
      <c r="AA625" s="41" t="n"/>
      <c r="AB625" s="40" t="n"/>
      <c r="AC625" s="51" t="n"/>
      <c r="AD625" s="51" t="n"/>
      <c r="AE625" s="40" t="n"/>
      <c r="AF625" s="52" t="str">
        <f>IF($AM625=0,"",IF($D625&lt;&gt;"",$D625,IF(IFERROR(INDEX(Accounts!$C$7:$C$16,MATCH($C625,Accounts!$B$7:$B$16,0))&amp;"","")&lt;&gt;"",INDEX(Accounts!$C$7:$C$16,MATCH($C625,Accounts!$B$7:$B$16,0)),Settings!$C$6)))</f>
        <v/>
      </c>
      <c r="AG625" s="53" t="str">
        <f>IF($AM625=0,"",IF(AND($BE625&gt;0,N(INDEX(Instruments!$D$6:$D$205,MAX(1,$BE625)))&gt;0),INDEX(Instruments!$D$6:$D$205,MAX(1,$BE625)),IF(N(INDEX(Settings!$D$14:$D$18,$BF625))&gt;0,INDEX(Settings!$D$14:$D$18,$BF625),"")))</f>
        <v/>
      </c>
      <c r="AH625" s="54" t="str">
        <f>IF($AM625=0,"",IF($AF625&lt;&gt;"Forex",1,IF(MID(UPPER(SUBSTITUTE(TRIM($E625),"/","")),4,3)=UPPER(TRIM(Settings!$C$7)),1,IF(LEFT(UPPER(SUBSTITUTE(TRIM($E625),"/","")),3)=UPPER(TRIM(Settings!$C$7)),IF(AND(ISNUMBER($K625),N($K625)&lt;&gt;0),1/$K625,""),""))))</f>
        <v/>
      </c>
      <c r="AI625" s="55" t="str">
        <f>IF($AM625=0,"",IF(OR(NOT(ISNUMBER($H625)),NOT(ISNUMBER($K625)),NOT(ISNUMBER($G625)),$AG625="",$AH625=""),"",ROUND(($K625-$H625)*IF($F625="Short",-1,1)*$G625*$AG625*$AH625,6)))</f>
        <v/>
      </c>
      <c r="AJ625" s="55" t="str">
        <f>IF($AM625=0,"",IF(INDEX(Settings!$E$14:$E$18,$BF625)="% of notional",IF(OR($AG625="",NOT(ISNUMBER($H625)),NOT(ISNUMBER($G625))),"",ROUND(ABS($H625*$G625*$AG625*N($AH625))*IF($L625="Limit",N(INDEX(Settings!$G$14:$G$18,$BF625)),N(INDEX(Settings!$H$14:$H$18,$BF625)))+IF(ISNUMBER($K625),ABS($K625*$G625*$AG625*N($AH625))*IF($M625="Target",N(INDEX(Settings!$G$14:$G$18,$BF625)),N(INDEX(Settings!$H$14:$H$18,$BF625))),0),6)),IF(NOT(ISNUMBER($G625)),"",ROUND(ABS($G625)*2*IF(AND($BE625&gt;0,ISNUMBER(INDEX(Instruments!$G$6:$G$205,MAX(1,$BE625)))),INDEX(Instruments!$G$6:$G$205,MAX(1,$BE625)),N(INDEX(Settings!$F$14:$F$18,$BF625))),6))))</f>
        <v/>
      </c>
      <c r="AK625" s="55" t="str">
        <f>IF($AM625=0,"",IF(ISNUMBER($O625),$O625,$AI625))</f>
        <v/>
      </c>
      <c r="AL625" s="55" t="str">
        <f>IF($AM625=0,"",IF(ISNUMBER($P625),$P625,N($AJ625)))</f>
        <v/>
      </c>
      <c r="AM625" s="56">
        <f>IF(AND($A625&lt;&gt;"",$E625&lt;&gt;"",OR(AND(ISNUMBER($G625),ISNUMBER($H625),ISNUMBER($K625)),ISNUMBER($O625))),1,0)</f>
        <v>0</v>
      </c>
      <c r="AN625" s="57" t="str">
        <f>IF($A625="","",$A625-WEEKDAY($A625,3))</f>
        <v/>
      </c>
      <c r="AO625" s="56" t="str">
        <f>IF($A625="","",WEEKDAY($A625,2))</f>
        <v/>
      </c>
      <c r="AP625" s="55" t="str">
        <f>IF(OR($AM625=0,$C625=""),"",IFERROR(N(INDEX(Accounts!$E$7:$E$16,MATCH($C625,Accounts!$B$7:$B$16,0))),0)+SUMIFS($Q$6:$Q625,$C$6:$C625,$C625))</f>
        <v/>
      </c>
      <c r="AQ625" s="55" t="str">
        <f>IF(OR($AM625=0,$C625=""),"",SUMIFS($Q$6:$Q$1005,$C$6:$C$1005,$C625,$A$6:$A$1005,$A625))</f>
        <v/>
      </c>
      <c r="AR625" s="55" t="str">
        <f>IF(OR($AM625=0,$C625=""),"",IFERROR(N(INDEX(Accounts!$E$7:$E$16,MATCH($C625,Accounts!$B$7:$B$16,0))),0)+SUMIFS($Q$6:$Q$1005,$C$6:$C$1005,$C625,$A$6:$A$1005,"&lt;="&amp;$A625))</f>
        <v/>
      </c>
      <c r="AS625" s="56">
        <f>IF(OR($AM625=0,$Q625=""),0,IF(AND($A625&gt;=Lists!$W$6,$A625&lt;=Lists!$W$7,OR(Dashboard!$D$6="All accounts",$C625=Dashboard!$D$6),OR(Dashboard!$D$7="All markets",$AF625=Dashboard!$D$7)),1,0))</f>
        <v>0</v>
      </c>
      <c r="AT625" s="55">
        <f>IF($AS625=1,N(AT624)+$Q625,N(AT624))</f>
        <v>1187.10688</v>
      </c>
      <c r="AU625" s="55">
        <f>MAX(N(AU624),$AT625)</f>
        <v>1187.10688</v>
      </c>
      <c r="AV625" s="55">
        <f>$AT625-$AU625</f>
        <v>0</v>
      </c>
      <c r="AW625" s="56">
        <f>IF($AS625=1,IF($S625="Win",N(AW624)+1,IF($S625="Loss",0,N(AW624))),N(AW624))</f>
        <v>5</v>
      </c>
      <c r="AX625" s="56">
        <f>IF($AS625=1,IF($S625="Loss",N(AX624)+1,IF($S625="Win",0,N(AX624))),N(AX624))</f>
        <v>0</v>
      </c>
      <c r="AY625" s="56" t="str">
        <f>IF($AS625=1,COUNTIF($AS$6:$AS625,1),"")</f>
        <v/>
      </c>
      <c r="AZ625" s="56">
        <f>MIN(619,N(Lists!$W$8))</f>
        <v>28</v>
      </c>
      <c r="BA625" s="56">
        <f>IF($AS625=1,IF(COUNTIFS($A$6:$A625,$A625,$AS$6:$AS625,1)=1,1,0),0)</f>
        <v>0</v>
      </c>
      <c r="BB625" s="55" t="str">
        <f>IF($BA625=1,SUMIFS($Q$6:$Q$1005,$A$6:$A$1005,$A625,$AS$6:$AS$1005,1),"")</f>
        <v/>
      </c>
      <c r="BC625" s="56">
        <f>IF(ISNUMBER($R625),1,0)</f>
        <v>0</v>
      </c>
      <c r="BD625" s="55" t="str">
        <f>IF(ISNUMBER($U625),$U625*$V625,"")</f>
        <v/>
      </c>
      <c r="BE625" s="56" t="str">
        <f>IF($AM625=0,"",IFERROR(MATCH($AF625&amp;"|"&amp;UPPER(TRIM($E625)),Lists!$A$6:$A$205,0),0))</f>
        <v/>
      </c>
      <c r="BF625" s="56" t="str">
        <f>IF($AM625=0,"",IFERROR(MATCH($AF625,Settings!$B$14:$B$18,0),IFERROR(MATCH(Settings!$C$6,Settings!$B$14:$B$18,0),1)))</f>
        <v/>
      </c>
      <c r="BG625" s="58" t="str">
        <f>IF($AM625=0,"",IF(NOT(ISNUMBER($I625)),"No stop; ","")&amp;IF(AND(ISNUMBER($H625),ISNUMBER($I625)),IF(OR(AND($F625&lt;&gt;"Short",$I625&gt;=$H625),AND($F625="Short",$I625&lt;=$H625)),"Stop on wrong side; ",""),"")&amp;IF($F625="","No direction; ","")&amp;IF(AND(ISNUMBER(Settings!$C$22),ISNUMBER($V625)),IF($V625&gt;Settings!$C$22,"Risk over max $; ",""),"")&amp;IF(AND(ISNUMBER(Settings!$C$23),ISNUMBER($V625),ISNUMBER($AP625),IFERROR(N(INDEX(Accounts!$E$7:$E$16,MATCH($C625,Accounts!$B$7:$B$16,0))),0)&gt;0),IF($V625&gt;Settings!$C$23*($AP625-N($Q625)),"Risk over max %; ",""),"")&amp;IF(AND(ISNUMBER(Settings!$C$24),ISNUMBER($N625)),IF($N625&gt;Settings!$C$24,"Leverage over max; ",""),"")&amp;IF(AND(ISNUMBER(Settings!$C$27),ISNUMBER($T625)),IF($T625&lt;Settings!$C$27,"R:R below min; ",""),"")&amp;IF(ISNUMBER(Settings!$C$25),IF(COUNTIFS($A$6:$A625,$A625,$AM$6:$AM625,1)&gt;Settings!$C$25,"Over max trades/day; ",""),"")&amp;IF(ISNUMBER(Settings!$C$26),IF(SUMIFS($Q$5:$Q624,$A$5:$A624,$A625)&lt;=-Settings!$C$26,"Traded after daily max loss; ",""),"")&amp;IF(AND($AG625="",NOT(ISNUMBER($O625))),"Symbol not in Instruments; ","")&amp;IF(AND($AH625="",NOT(ISNUMBER($O625))),"Forex cross: type Gross P&amp;L; ",""))</f>
        <v/>
      </c>
      <c r="BH625" s="56">
        <f>IF(ISNUMBER($Q625),1,0)</f>
        <v>0</v>
      </c>
      <c r="BI625" s="56">
        <f>IF($Y625="",0,1)</f>
        <v>0</v>
      </c>
      <c r="BJ625" s="56">
        <f>IF($AB625="",0,1)</f>
        <v>0</v>
      </c>
      <c r="BK625" s="56">
        <f>IF(AND($BH625=1,$W625&lt;&gt;"OK"),1,0)</f>
        <v>0</v>
      </c>
      <c r="BL625" s="55">
        <f>IF(N($AZ625)=0,0,IFERROR(INDEX($AT$6:$AT$1005,MATCH($AZ625,$AY$6:$AY$1005,0)),0))</f>
        <v>1187.10688</v>
      </c>
      <c r="BM625" s="56">
        <f>IF(ISNUMBER(SEARCH("daily max loss",$BG625)),1,0)</f>
        <v>0</v>
      </c>
    </row>
    <row r="626" ht="18" customHeight="1">
      <c r="A626" s="38" t="n"/>
      <c r="B626" s="39" t="n"/>
      <c r="C626" s="40" t="n"/>
      <c r="D626" s="41" t="n"/>
      <c r="E626" s="41" t="n"/>
      <c r="F626" s="41" t="n"/>
      <c r="G626" s="41" t="n"/>
      <c r="H626" s="42" t="n"/>
      <c r="I626" s="42" t="n"/>
      <c r="J626" s="42" t="n"/>
      <c r="K626" s="42" t="n"/>
      <c r="L626" s="41" t="n"/>
      <c r="M626" s="41" t="n"/>
      <c r="N626" s="41" t="n"/>
      <c r="O626" s="43" t="n"/>
      <c r="P626" s="43" t="n"/>
      <c r="Q626" s="44" t="str">
        <f>IF($AM626=0,"",IF(ISNUMBER($AK626),$AK626-N($AL626),""))</f>
        <v/>
      </c>
      <c r="R626" s="45" t="str">
        <f>IF(OR($Q626="",NOT(ISNUMBER($V626))),"",$AK626/$V626)</f>
        <v/>
      </c>
      <c r="S626" s="46" t="str">
        <f>IF($Q626="","",IF(AND(ISNUMBER($R626),ABS(N($R626))&lt;N(Settings!$C$8)),"Scratch",IF($Q626&gt;0,"Win",IF($Q626&lt;0,"Loss","Scratch"))))</f>
        <v/>
      </c>
      <c r="T626" s="47" t="str">
        <f>IF(OR($AM626=0,NOT(ISNUMBER($H626)),NOT(ISNUMBER($I626)),NOT(ISNUMBER($J626))),"",IF($H626=$I626,"",ROUND(ABS($J626-$H626)/ABS($H626-$I626),6)))</f>
        <v/>
      </c>
      <c r="U626" s="48" t="str">
        <f>IF(OR($S626&lt;&gt;"Win",NOT(ISNUMBER($T626)),NOT(ISNUMBER($R626))),"",MAX(0,$T626-$R626))</f>
        <v/>
      </c>
      <c r="V626" s="49" t="str">
        <f>IF(OR($AM626=0,NOT(ISNUMBER($H626)),NOT(ISNUMBER($I626)),NOT(ISNUMBER($G626))),"",IF(OR($AG626="",$AH626=""),"",IF(ROUND(ABS($H626-$I626)*ABS($G626)*$AG626*$AH626,6)=0,"",ROUND(ABS($H626-$I626)*ABS($G626)*$AG626*$AH626,6))))</f>
        <v/>
      </c>
      <c r="W626" s="50" t="str">
        <f>IF($AM626=0,"",IF($BG626="","OK",LEFT($BG626,LEN($BG626)-2)))</f>
        <v/>
      </c>
      <c r="X626" s="41" t="n"/>
      <c r="Y626" s="40" t="n"/>
      <c r="Z626" s="41" t="n"/>
      <c r="AA626" s="41" t="n"/>
      <c r="AB626" s="40" t="n"/>
      <c r="AC626" s="51" t="n"/>
      <c r="AD626" s="51" t="n"/>
      <c r="AE626" s="40" t="n"/>
      <c r="AF626" s="52" t="str">
        <f>IF($AM626=0,"",IF($D626&lt;&gt;"",$D626,IF(IFERROR(INDEX(Accounts!$C$7:$C$16,MATCH($C626,Accounts!$B$7:$B$16,0))&amp;"","")&lt;&gt;"",INDEX(Accounts!$C$7:$C$16,MATCH($C626,Accounts!$B$7:$B$16,0)),Settings!$C$6)))</f>
        <v/>
      </c>
      <c r="AG626" s="53" t="str">
        <f>IF($AM626=0,"",IF(AND($BE626&gt;0,N(INDEX(Instruments!$D$6:$D$205,MAX(1,$BE626)))&gt;0),INDEX(Instruments!$D$6:$D$205,MAX(1,$BE626)),IF(N(INDEX(Settings!$D$14:$D$18,$BF626))&gt;0,INDEX(Settings!$D$14:$D$18,$BF626),"")))</f>
        <v/>
      </c>
      <c r="AH626" s="54" t="str">
        <f>IF($AM626=0,"",IF($AF626&lt;&gt;"Forex",1,IF(MID(UPPER(SUBSTITUTE(TRIM($E626),"/","")),4,3)=UPPER(TRIM(Settings!$C$7)),1,IF(LEFT(UPPER(SUBSTITUTE(TRIM($E626),"/","")),3)=UPPER(TRIM(Settings!$C$7)),IF(AND(ISNUMBER($K626),N($K626)&lt;&gt;0),1/$K626,""),""))))</f>
        <v/>
      </c>
      <c r="AI626" s="55" t="str">
        <f>IF($AM626=0,"",IF(OR(NOT(ISNUMBER($H626)),NOT(ISNUMBER($K626)),NOT(ISNUMBER($G626)),$AG626="",$AH626=""),"",ROUND(($K626-$H626)*IF($F626="Short",-1,1)*$G626*$AG626*$AH626,6)))</f>
        <v/>
      </c>
      <c r="AJ626" s="55" t="str">
        <f>IF($AM626=0,"",IF(INDEX(Settings!$E$14:$E$18,$BF626)="% of notional",IF(OR($AG626="",NOT(ISNUMBER($H626)),NOT(ISNUMBER($G626))),"",ROUND(ABS($H626*$G626*$AG626*N($AH626))*IF($L626="Limit",N(INDEX(Settings!$G$14:$G$18,$BF626)),N(INDEX(Settings!$H$14:$H$18,$BF626)))+IF(ISNUMBER($K626),ABS($K626*$G626*$AG626*N($AH626))*IF($M626="Target",N(INDEX(Settings!$G$14:$G$18,$BF626)),N(INDEX(Settings!$H$14:$H$18,$BF626))),0),6)),IF(NOT(ISNUMBER($G626)),"",ROUND(ABS($G626)*2*IF(AND($BE626&gt;0,ISNUMBER(INDEX(Instruments!$G$6:$G$205,MAX(1,$BE626)))),INDEX(Instruments!$G$6:$G$205,MAX(1,$BE626)),N(INDEX(Settings!$F$14:$F$18,$BF626))),6))))</f>
        <v/>
      </c>
      <c r="AK626" s="55" t="str">
        <f>IF($AM626=0,"",IF(ISNUMBER($O626),$O626,$AI626))</f>
        <v/>
      </c>
      <c r="AL626" s="55" t="str">
        <f>IF($AM626=0,"",IF(ISNUMBER($P626),$P626,N($AJ626)))</f>
        <v/>
      </c>
      <c r="AM626" s="56">
        <f>IF(AND($A626&lt;&gt;"",$E626&lt;&gt;"",OR(AND(ISNUMBER($G626),ISNUMBER($H626),ISNUMBER($K626)),ISNUMBER($O626))),1,0)</f>
        <v>0</v>
      </c>
      <c r="AN626" s="57" t="str">
        <f>IF($A626="","",$A626-WEEKDAY($A626,3))</f>
        <v/>
      </c>
      <c r="AO626" s="56" t="str">
        <f>IF($A626="","",WEEKDAY($A626,2))</f>
        <v/>
      </c>
      <c r="AP626" s="55" t="str">
        <f>IF(OR($AM626=0,$C626=""),"",IFERROR(N(INDEX(Accounts!$E$7:$E$16,MATCH($C626,Accounts!$B$7:$B$16,0))),0)+SUMIFS($Q$6:$Q626,$C$6:$C626,$C626))</f>
        <v/>
      </c>
      <c r="AQ626" s="55" t="str">
        <f>IF(OR($AM626=0,$C626=""),"",SUMIFS($Q$6:$Q$1005,$C$6:$C$1005,$C626,$A$6:$A$1005,$A626))</f>
        <v/>
      </c>
      <c r="AR626" s="55" t="str">
        <f>IF(OR($AM626=0,$C626=""),"",IFERROR(N(INDEX(Accounts!$E$7:$E$16,MATCH($C626,Accounts!$B$7:$B$16,0))),0)+SUMIFS($Q$6:$Q$1005,$C$6:$C$1005,$C626,$A$6:$A$1005,"&lt;="&amp;$A626))</f>
        <v/>
      </c>
      <c r="AS626" s="56">
        <f>IF(OR($AM626=0,$Q626=""),0,IF(AND($A626&gt;=Lists!$W$6,$A626&lt;=Lists!$W$7,OR(Dashboard!$D$6="All accounts",$C626=Dashboard!$D$6),OR(Dashboard!$D$7="All markets",$AF626=Dashboard!$D$7)),1,0))</f>
        <v>0</v>
      </c>
      <c r="AT626" s="55">
        <f>IF($AS626=1,N(AT625)+$Q626,N(AT625))</f>
        <v>1187.10688</v>
      </c>
      <c r="AU626" s="55">
        <f>MAX(N(AU625),$AT626)</f>
        <v>1187.10688</v>
      </c>
      <c r="AV626" s="55">
        <f>$AT626-$AU626</f>
        <v>0</v>
      </c>
      <c r="AW626" s="56">
        <f>IF($AS626=1,IF($S626="Win",N(AW625)+1,IF($S626="Loss",0,N(AW625))),N(AW625))</f>
        <v>5</v>
      </c>
      <c r="AX626" s="56">
        <f>IF($AS626=1,IF($S626="Loss",N(AX625)+1,IF($S626="Win",0,N(AX625))),N(AX625))</f>
        <v>0</v>
      </c>
      <c r="AY626" s="56" t="str">
        <f>IF($AS626=1,COUNTIF($AS$6:$AS626,1),"")</f>
        <v/>
      </c>
      <c r="AZ626" s="56">
        <f>MIN(620,N(Lists!$W$8))</f>
        <v>28</v>
      </c>
      <c r="BA626" s="56">
        <f>IF($AS626=1,IF(COUNTIFS($A$6:$A626,$A626,$AS$6:$AS626,1)=1,1,0),0)</f>
        <v>0</v>
      </c>
      <c r="BB626" s="55" t="str">
        <f>IF($BA626=1,SUMIFS($Q$6:$Q$1005,$A$6:$A$1005,$A626,$AS$6:$AS$1005,1),"")</f>
        <v/>
      </c>
      <c r="BC626" s="56">
        <f>IF(ISNUMBER($R626),1,0)</f>
        <v>0</v>
      </c>
      <c r="BD626" s="55" t="str">
        <f>IF(ISNUMBER($U626),$U626*$V626,"")</f>
        <v/>
      </c>
      <c r="BE626" s="56" t="str">
        <f>IF($AM626=0,"",IFERROR(MATCH($AF626&amp;"|"&amp;UPPER(TRIM($E626)),Lists!$A$6:$A$205,0),0))</f>
        <v/>
      </c>
      <c r="BF626" s="56" t="str">
        <f>IF($AM626=0,"",IFERROR(MATCH($AF626,Settings!$B$14:$B$18,0),IFERROR(MATCH(Settings!$C$6,Settings!$B$14:$B$18,0),1)))</f>
        <v/>
      </c>
      <c r="BG626" s="58" t="str">
        <f>IF($AM626=0,"",IF(NOT(ISNUMBER($I626)),"No stop; ","")&amp;IF(AND(ISNUMBER($H626),ISNUMBER($I626)),IF(OR(AND($F626&lt;&gt;"Short",$I626&gt;=$H626),AND($F626="Short",$I626&lt;=$H626)),"Stop on wrong side; ",""),"")&amp;IF($F626="","No direction; ","")&amp;IF(AND(ISNUMBER(Settings!$C$22),ISNUMBER($V626)),IF($V626&gt;Settings!$C$22,"Risk over max $; ",""),"")&amp;IF(AND(ISNUMBER(Settings!$C$23),ISNUMBER($V626),ISNUMBER($AP626),IFERROR(N(INDEX(Accounts!$E$7:$E$16,MATCH($C626,Accounts!$B$7:$B$16,0))),0)&gt;0),IF($V626&gt;Settings!$C$23*($AP626-N($Q626)),"Risk over max %; ",""),"")&amp;IF(AND(ISNUMBER(Settings!$C$24),ISNUMBER($N626)),IF($N626&gt;Settings!$C$24,"Leverage over max; ",""),"")&amp;IF(AND(ISNUMBER(Settings!$C$27),ISNUMBER($T626)),IF($T626&lt;Settings!$C$27,"R:R below min; ",""),"")&amp;IF(ISNUMBER(Settings!$C$25),IF(COUNTIFS($A$6:$A626,$A626,$AM$6:$AM626,1)&gt;Settings!$C$25,"Over max trades/day; ",""),"")&amp;IF(ISNUMBER(Settings!$C$26),IF(SUMIFS($Q$5:$Q625,$A$5:$A625,$A626)&lt;=-Settings!$C$26,"Traded after daily max loss; ",""),"")&amp;IF(AND($AG626="",NOT(ISNUMBER($O626))),"Symbol not in Instruments; ","")&amp;IF(AND($AH626="",NOT(ISNUMBER($O626))),"Forex cross: type Gross P&amp;L; ",""))</f>
        <v/>
      </c>
      <c r="BH626" s="56">
        <f>IF(ISNUMBER($Q626),1,0)</f>
        <v>0</v>
      </c>
      <c r="BI626" s="56">
        <f>IF($Y626="",0,1)</f>
        <v>0</v>
      </c>
      <c r="BJ626" s="56">
        <f>IF($AB626="",0,1)</f>
        <v>0</v>
      </c>
      <c r="BK626" s="56">
        <f>IF(AND($BH626=1,$W626&lt;&gt;"OK"),1,0)</f>
        <v>0</v>
      </c>
      <c r="BL626" s="55">
        <f>IF(N($AZ626)=0,0,IFERROR(INDEX($AT$6:$AT$1005,MATCH($AZ626,$AY$6:$AY$1005,0)),0))</f>
        <v>1187.10688</v>
      </c>
      <c r="BM626" s="56">
        <f>IF(ISNUMBER(SEARCH("daily max loss",$BG626)),1,0)</f>
        <v>0</v>
      </c>
    </row>
    <row r="627" ht="18" customHeight="1">
      <c r="A627" s="38" t="n"/>
      <c r="B627" s="39" t="n"/>
      <c r="C627" s="40" t="n"/>
      <c r="D627" s="41" t="n"/>
      <c r="E627" s="41" t="n"/>
      <c r="F627" s="41" t="n"/>
      <c r="G627" s="41" t="n"/>
      <c r="H627" s="42" t="n"/>
      <c r="I627" s="42" t="n"/>
      <c r="J627" s="42" t="n"/>
      <c r="K627" s="42" t="n"/>
      <c r="L627" s="41" t="n"/>
      <c r="M627" s="41" t="n"/>
      <c r="N627" s="41" t="n"/>
      <c r="O627" s="43" t="n"/>
      <c r="P627" s="43" t="n"/>
      <c r="Q627" s="44" t="str">
        <f>IF($AM627=0,"",IF(ISNUMBER($AK627),$AK627-N($AL627),""))</f>
        <v/>
      </c>
      <c r="R627" s="45" t="str">
        <f>IF(OR($Q627="",NOT(ISNUMBER($V627))),"",$AK627/$V627)</f>
        <v/>
      </c>
      <c r="S627" s="46" t="str">
        <f>IF($Q627="","",IF(AND(ISNUMBER($R627),ABS(N($R627))&lt;N(Settings!$C$8)),"Scratch",IF($Q627&gt;0,"Win",IF($Q627&lt;0,"Loss","Scratch"))))</f>
        <v/>
      </c>
      <c r="T627" s="47" t="str">
        <f>IF(OR($AM627=0,NOT(ISNUMBER($H627)),NOT(ISNUMBER($I627)),NOT(ISNUMBER($J627))),"",IF($H627=$I627,"",ROUND(ABS($J627-$H627)/ABS($H627-$I627),6)))</f>
        <v/>
      </c>
      <c r="U627" s="48" t="str">
        <f>IF(OR($S627&lt;&gt;"Win",NOT(ISNUMBER($T627)),NOT(ISNUMBER($R627))),"",MAX(0,$T627-$R627))</f>
        <v/>
      </c>
      <c r="V627" s="49" t="str">
        <f>IF(OR($AM627=0,NOT(ISNUMBER($H627)),NOT(ISNUMBER($I627)),NOT(ISNUMBER($G627))),"",IF(OR($AG627="",$AH627=""),"",IF(ROUND(ABS($H627-$I627)*ABS($G627)*$AG627*$AH627,6)=0,"",ROUND(ABS($H627-$I627)*ABS($G627)*$AG627*$AH627,6))))</f>
        <v/>
      </c>
      <c r="W627" s="50" t="str">
        <f>IF($AM627=0,"",IF($BG627="","OK",LEFT($BG627,LEN($BG627)-2)))</f>
        <v/>
      </c>
      <c r="X627" s="41" t="n"/>
      <c r="Y627" s="40" t="n"/>
      <c r="Z627" s="41" t="n"/>
      <c r="AA627" s="41" t="n"/>
      <c r="AB627" s="40" t="n"/>
      <c r="AC627" s="51" t="n"/>
      <c r="AD627" s="51" t="n"/>
      <c r="AE627" s="40" t="n"/>
      <c r="AF627" s="52" t="str">
        <f>IF($AM627=0,"",IF($D627&lt;&gt;"",$D627,IF(IFERROR(INDEX(Accounts!$C$7:$C$16,MATCH($C627,Accounts!$B$7:$B$16,0))&amp;"","")&lt;&gt;"",INDEX(Accounts!$C$7:$C$16,MATCH($C627,Accounts!$B$7:$B$16,0)),Settings!$C$6)))</f>
        <v/>
      </c>
      <c r="AG627" s="53" t="str">
        <f>IF($AM627=0,"",IF(AND($BE627&gt;0,N(INDEX(Instruments!$D$6:$D$205,MAX(1,$BE627)))&gt;0),INDEX(Instruments!$D$6:$D$205,MAX(1,$BE627)),IF(N(INDEX(Settings!$D$14:$D$18,$BF627))&gt;0,INDEX(Settings!$D$14:$D$18,$BF627),"")))</f>
        <v/>
      </c>
      <c r="AH627" s="54" t="str">
        <f>IF($AM627=0,"",IF($AF627&lt;&gt;"Forex",1,IF(MID(UPPER(SUBSTITUTE(TRIM($E627),"/","")),4,3)=UPPER(TRIM(Settings!$C$7)),1,IF(LEFT(UPPER(SUBSTITUTE(TRIM($E627),"/","")),3)=UPPER(TRIM(Settings!$C$7)),IF(AND(ISNUMBER($K627),N($K627)&lt;&gt;0),1/$K627,""),""))))</f>
        <v/>
      </c>
      <c r="AI627" s="55" t="str">
        <f>IF($AM627=0,"",IF(OR(NOT(ISNUMBER($H627)),NOT(ISNUMBER($K627)),NOT(ISNUMBER($G627)),$AG627="",$AH627=""),"",ROUND(($K627-$H627)*IF($F627="Short",-1,1)*$G627*$AG627*$AH627,6)))</f>
        <v/>
      </c>
      <c r="AJ627" s="55" t="str">
        <f>IF($AM627=0,"",IF(INDEX(Settings!$E$14:$E$18,$BF627)="% of notional",IF(OR($AG627="",NOT(ISNUMBER($H627)),NOT(ISNUMBER($G627))),"",ROUND(ABS($H627*$G627*$AG627*N($AH627))*IF($L627="Limit",N(INDEX(Settings!$G$14:$G$18,$BF627)),N(INDEX(Settings!$H$14:$H$18,$BF627)))+IF(ISNUMBER($K627),ABS($K627*$G627*$AG627*N($AH627))*IF($M627="Target",N(INDEX(Settings!$G$14:$G$18,$BF627)),N(INDEX(Settings!$H$14:$H$18,$BF627))),0),6)),IF(NOT(ISNUMBER($G627)),"",ROUND(ABS($G627)*2*IF(AND($BE627&gt;0,ISNUMBER(INDEX(Instruments!$G$6:$G$205,MAX(1,$BE627)))),INDEX(Instruments!$G$6:$G$205,MAX(1,$BE627)),N(INDEX(Settings!$F$14:$F$18,$BF627))),6))))</f>
        <v/>
      </c>
      <c r="AK627" s="55" t="str">
        <f>IF($AM627=0,"",IF(ISNUMBER($O627),$O627,$AI627))</f>
        <v/>
      </c>
      <c r="AL627" s="55" t="str">
        <f>IF($AM627=0,"",IF(ISNUMBER($P627),$P627,N($AJ627)))</f>
        <v/>
      </c>
      <c r="AM627" s="56">
        <f>IF(AND($A627&lt;&gt;"",$E627&lt;&gt;"",OR(AND(ISNUMBER($G627),ISNUMBER($H627),ISNUMBER($K627)),ISNUMBER($O627))),1,0)</f>
        <v>0</v>
      </c>
      <c r="AN627" s="57" t="str">
        <f>IF($A627="","",$A627-WEEKDAY($A627,3))</f>
        <v/>
      </c>
      <c r="AO627" s="56" t="str">
        <f>IF($A627="","",WEEKDAY($A627,2))</f>
        <v/>
      </c>
      <c r="AP627" s="55" t="str">
        <f>IF(OR($AM627=0,$C627=""),"",IFERROR(N(INDEX(Accounts!$E$7:$E$16,MATCH($C627,Accounts!$B$7:$B$16,0))),0)+SUMIFS($Q$6:$Q627,$C$6:$C627,$C627))</f>
        <v/>
      </c>
      <c r="AQ627" s="55" t="str">
        <f>IF(OR($AM627=0,$C627=""),"",SUMIFS($Q$6:$Q$1005,$C$6:$C$1005,$C627,$A$6:$A$1005,$A627))</f>
        <v/>
      </c>
      <c r="AR627" s="55" t="str">
        <f>IF(OR($AM627=0,$C627=""),"",IFERROR(N(INDEX(Accounts!$E$7:$E$16,MATCH($C627,Accounts!$B$7:$B$16,0))),0)+SUMIFS($Q$6:$Q$1005,$C$6:$C$1005,$C627,$A$6:$A$1005,"&lt;="&amp;$A627))</f>
        <v/>
      </c>
      <c r="AS627" s="56">
        <f>IF(OR($AM627=0,$Q627=""),0,IF(AND($A627&gt;=Lists!$W$6,$A627&lt;=Lists!$W$7,OR(Dashboard!$D$6="All accounts",$C627=Dashboard!$D$6),OR(Dashboard!$D$7="All markets",$AF627=Dashboard!$D$7)),1,0))</f>
        <v>0</v>
      </c>
      <c r="AT627" s="55">
        <f>IF($AS627=1,N(AT626)+$Q627,N(AT626))</f>
        <v>1187.10688</v>
      </c>
      <c r="AU627" s="55">
        <f>MAX(N(AU626),$AT627)</f>
        <v>1187.10688</v>
      </c>
      <c r="AV627" s="55">
        <f>$AT627-$AU627</f>
        <v>0</v>
      </c>
      <c r="AW627" s="56">
        <f>IF($AS627=1,IF($S627="Win",N(AW626)+1,IF($S627="Loss",0,N(AW626))),N(AW626))</f>
        <v>5</v>
      </c>
      <c r="AX627" s="56">
        <f>IF($AS627=1,IF($S627="Loss",N(AX626)+1,IF($S627="Win",0,N(AX626))),N(AX626))</f>
        <v>0</v>
      </c>
      <c r="AY627" s="56" t="str">
        <f>IF($AS627=1,COUNTIF($AS$6:$AS627,1),"")</f>
        <v/>
      </c>
      <c r="AZ627" s="56">
        <f>MIN(621,N(Lists!$W$8))</f>
        <v>28</v>
      </c>
      <c r="BA627" s="56">
        <f>IF($AS627=1,IF(COUNTIFS($A$6:$A627,$A627,$AS$6:$AS627,1)=1,1,0),0)</f>
        <v>0</v>
      </c>
      <c r="BB627" s="55" t="str">
        <f>IF($BA627=1,SUMIFS($Q$6:$Q$1005,$A$6:$A$1005,$A627,$AS$6:$AS$1005,1),"")</f>
        <v/>
      </c>
      <c r="BC627" s="56">
        <f>IF(ISNUMBER($R627),1,0)</f>
        <v>0</v>
      </c>
      <c r="BD627" s="55" t="str">
        <f>IF(ISNUMBER($U627),$U627*$V627,"")</f>
        <v/>
      </c>
      <c r="BE627" s="56" t="str">
        <f>IF($AM627=0,"",IFERROR(MATCH($AF627&amp;"|"&amp;UPPER(TRIM($E627)),Lists!$A$6:$A$205,0),0))</f>
        <v/>
      </c>
      <c r="BF627" s="56" t="str">
        <f>IF($AM627=0,"",IFERROR(MATCH($AF627,Settings!$B$14:$B$18,0),IFERROR(MATCH(Settings!$C$6,Settings!$B$14:$B$18,0),1)))</f>
        <v/>
      </c>
      <c r="BG627" s="58" t="str">
        <f>IF($AM627=0,"",IF(NOT(ISNUMBER($I627)),"No stop; ","")&amp;IF(AND(ISNUMBER($H627),ISNUMBER($I627)),IF(OR(AND($F627&lt;&gt;"Short",$I627&gt;=$H627),AND($F627="Short",$I627&lt;=$H627)),"Stop on wrong side; ",""),"")&amp;IF($F627="","No direction; ","")&amp;IF(AND(ISNUMBER(Settings!$C$22),ISNUMBER($V627)),IF($V627&gt;Settings!$C$22,"Risk over max $; ",""),"")&amp;IF(AND(ISNUMBER(Settings!$C$23),ISNUMBER($V627),ISNUMBER($AP627),IFERROR(N(INDEX(Accounts!$E$7:$E$16,MATCH($C627,Accounts!$B$7:$B$16,0))),0)&gt;0),IF($V627&gt;Settings!$C$23*($AP627-N($Q627)),"Risk over max %; ",""),"")&amp;IF(AND(ISNUMBER(Settings!$C$24),ISNUMBER($N627)),IF($N627&gt;Settings!$C$24,"Leverage over max; ",""),"")&amp;IF(AND(ISNUMBER(Settings!$C$27),ISNUMBER($T627)),IF($T627&lt;Settings!$C$27,"R:R below min; ",""),"")&amp;IF(ISNUMBER(Settings!$C$25),IF(COUNTIFS($A$6:$A627,$A627,$AM$6:$AM627,1)&gt;Settings!$C$25,"Over max trades/day; ",""),"")&amp;IF(ISNUMBER(Settings!$C$26),IF(SUMIFS($Q$5:$Q626,$A$5:$A626,$A627)&lt;=-Settings!$C$26,"Traded after daily max loss; ",""),"")&amp;IF(AND($AG627="",NOT(ISNUMBER($O627))),"Symbol not in Instruments; ","")&amp;IF(AND($AH627="",NOT(ISNUMBER($O627))),"Forex cross: type Gross P&amp;L; ",""))</f>
        <v/>
      </c>
      <c r="BH627" s="56">
        <f>IF(ISNUMBER($Q627),1,0)</f>
        <v>0</v>
      </c>
      <c r="BI627" s="56">
        <f>IF($Y627="",0,1)</f>
        <v>0</v>
      </c>
      <c r="BJ627" s="56">
        <f>IF($AB627="",0,1)</f>
        <v>0</v>
      </c>
      <c r="BK627" s="56">
        <f>IF(AND($BH627=1,$W627&lt;&gt;"OK"),1,0)</f>
        <v>0</v>
      </c>
      <c r="BL627" s="55">
        <f>IF(N($AZ627)=0,0,IFERROR(INDEX($AT$6:$AT$1005,MATCH($AZ627,$AY$6:$AY$1005,0)),0))</f>
        <v>1187.10688</v>
      </c>
      <c r="BM627" s="56">
        <f>IF(ISNUMBER(SEARCH("daily max loss",$BG627)),1,0)</f>
        <v>0</v>
      </c>
    </row>
    <row r="628" ht="18" customHeight="1">
      <c r="A628" s="38" t="n"/>
      <c r="B628" s="39" t="n"/>
      <c r="C628" s="40" t="n"/>
      <c r="D628" s="41" t="n"/>
      <c r="E628" s="41" t="n"/>
      <c r="F628" s="41" t="n"/>
      <c r="G628" s="41" t="n"/>
      <c r="H628" s="42" t="n"/>
      <c r="I628" s="42" t="n"/>
      <c r="J628" s="42" t="n"/>
      <c r="K628" s="42" t="n"/>
      <c r="L628" s="41" t="n"/>
      <c r="M628" s="41" t="n"/>
      <c r="N628" s="41" t="n"/>
      <c r="O628" s="43" t="n"/>
      <c r="P628" s="43" t="n"/>
      <c r="Q628" s="44" t="str">
        <f>IF($AM628=0,"",IF(ISNUMBER($AK628),$AK628-N($AL628),""))</f>
        <v/>
      </c>
      <c r="R628" s="45" t="str">
        <f>IF(OR($Q628="",NOT(ISNUMBER($V628))),"",$AK628/$V628)</f>
        <v/>
      </c>
      <c r="S628" s="46" t="str">
        <f>IF($Q628="","",IF(AND(ISNUMBER($R628),ABS(N($R628))&lt;N(Settings!$C$8)),"Scratch",IF($Q628&gt;0,"Win",IF($Q628&lt;0,"Loss","Scratch"))))</f>
        <v/>
      </c>
      <c r="T628" s="47" t="str">
        <f>IF(OR($AM628=0,NOT(ISNUMBER($H628)),NOT(ISNUMBER($I628)),NOT(ISNUMBER($J628))),"",IF($H628=$I628,"",ROUND(ABS($J628-$H628)/ABS($H628-$I628),6)))</f>
        <v/>
      </c>
      <c r="U628" s="48" t="str">
        <f>IF(OR($S628&lt;&gt;"Win",NOT(ISNUMBER($T628)),NOT(ISNUMBER($R628))),"",MAX(0,$T628-$R628))</f>
        <v/>
      </c>
      <c r="V628" s="49" t="str">
        <f>IF(OR($AM628=0,NOT(ISNUMBER($H628)),NOT(ISNUMBER($I628)),NOT(ISNUMBER($G628))),"",IF(OR($AG628="",$AH628=""),"",IF(ROUND(ABS($H628-$I628)*ABS($G628)*$AG628*$AH628,6)=0,"",ROUND(ABS($H628-$I628)*ABS($G628)*$AG628*$AH628,6))))</f>
        <v/>
      </c>
      <c r="W628" s="50" t="str">
        <f>IF($AM628=0,"",IF($BG628="","OK",LEFT($BG628,LEN($BG628)-2)))</f>
        <v/>
      </c>
      <c r="X628" s="41" t="n"/>
      <c r="Y628" s="40" t="n"/>
      <c r="Z628" s="41" t="n"/>
      <c r="AA628" s="41" t="n"/>
      <c r="AB628" s="40" t="n"/>
      <c r="AC628" s="51" t="n"/>
      <c r="AD628" s="51" t="n"/>
      <c r="AE628" s="40" t="n"/>
      <c r="AF628" s="52" t="str">
        <f>IF($AM628=0,"",IF($D628&lt;&gt;"",$D628,IF(IFERROR(INDEX(Accounts!$C$7:$C$16,MATCH($C628,Accounts!$B$7:$B$16,0))&amp;"","")&lt;&gt;"",INDEX(Accounts!$C$7:$C$16,MATCH($C628,Accounts!$B$7:$B$16,0)),Settings!$C$6)))</f>
        <v/>
      </c>
      <c r="AG628" s="53" t="str">
        <f>IF($AM628=0,"",IF(AND($BE628&gt;0,N(INDEX(Instruments!$D$6:$D$205,MAX(1,$BE628)))&gt;0),INDEX(Instruments!$D$6:$D$205,MAX(1,$BE628)),IF(N(INDEX(Settings!$D$14:$D$18,$BF628))&gt;0,INDEX(Settings!$D$14:$D$18,$BF628),"")))</f>
        <v/>
      </c>
      <c r="AH628" s="54" t="str">
        <f>IF($AM628=0,"",IF($AF628&lt;&gt;"Forex",1,IF(MID(UPPER(SUBSTITUTE(TRIM($E628),"/","")),4,3)=UPPER(TRIM(Settings!$C$7)),1,IF(LEFT(UPPER(SUBSTITUTE(TRIM($E628),"/","")),3)=UPPER(TRIM(Settings!$C$7)),IF(AND(ISNUMBER($K628),N($K628)&lt;&gt;0),1/$K628,""),""))))</f>
        <v/>
      </c>
      <c r="AI628" s="55" t="str">
        <f>IF($AM628=0,"",IF(OR(NOT(ISNUMBER($H628)),NOT(ISNUMBER($K628)),NOT(ISNUMBER($G628)),$AG628="",$AH628=""),"",ROUND(($K628-$H628)*IF($F628="Short",-1,1)*$G628*$AG628*$AH628,6)))</f>
        <v/>
      </c>
      <c r="AJ628" s="55" t="str">
        <f>IF($AM628=0,"",IF(INDEX(Settings!$E$14:$E$18,$BF628)="% of notional",IF(OR($AG628="",NOT(ISNUMBER($H628)),NOT(ISNUMBER($G628))),"",ROUND(ABS($H628*$G628*$AG628*N($AH628))*IF($L628="Limit",N(INDEX(Settings!$G$14:$G$18,$BF628)),N(INDEX(Settings!$H$14:$H$18,$BF628)))+IF(ISNUMBER($K628),ABS($K628*$G628*$AG628*N($AH628))*IF($M628="Target",N(INDEX(Settings!$G$14:$G$18,$BF628)),N(INDEX(Settings!$H$14:$H$18,$BF628))),0),6)),IF(NOT(ISNUMBER($G628)),"",ROUND(ABS($G628)*2*IF(AND($BE628&gt;0,ISNUMBER(INDEX(Instruments!$G$6:$G$205,MAX(1,$BE628)))),INDEX(Instruments!$G$6:$G$205,MAX(1,$BE628)),N(INDEX(Settings!$F$14:$F$18,$BF628))),6))))</f>
        <v/>
      </c>
      <c r="AK628" s="55" t="str">
        <f>IF($AM628=0,"",IF(ISNUMBER($O628),$O628,$AI628))</f>
        <v/>
      </c>
      <c r="AL628" s="55" t="str">
        <f>IF($AM628=0,"",IF(ISNUMBER($P628),$P628,N($AJ628)))</f>
        <v/>
      </c>
      <c r="AM628" s="56">
        <f>IF(AND($A628&lt;&gt;"",$E628&lt;&gt;"",OR(AND(ISNUMBER($G628),ISNUMBER($H628),ISNUMBER($K628)),ISNUMBER($O628))),1,0)</f>
        <v>0</v>
      </c>
      <c r="AN628" s="57" t="str">
        <f>IF($A628="","",$A628-WEEKDAY($A628,3))</f>
        <v/>
      </c>
      <c r="AO628" s="56" t="str">
        <f>IF($A628="","",WEEKDAY($A628,2))</f>
        <v/>
      </c>
      <c r="AP628" s="55" t="str">
        <f>IF(OR($AM628=0,$C628=""),"",IFERROR(N(INDEX(Accounts!$E$7:$E$16,MATCH($C628,Accounts!$B$7:$B$16,0))),0)+SUMIFS($Q$6:$Q628,$C$6:$C628,$C628))</f>
        <v/>
      </c>
      <c r="AQ628" s="55" t="str">
        <f>IF(OR($AM628=0,$C628=""),"",SUMIFS($Q$6:$Q$1005,$C$6:$C$1005,$C628,$A$6:$A$1005,$A628))</f>
        <v/>
      </c>
      <c r="AR628" s="55" t="str">
        <f>IF(OR($AM628=0,$C628=""),"",IFERROR(N(INDEX(Accounts!$E$7:$E$16,MATCH($C628,Accounts!$B$7:$B$16,0))),0)+SUMIFS($Q$6:$Q$1005,$C$6:$C$1005,$C628,$A$6:$A$1005,"&lt;="&amp;$A628))</f>
        <v/>
      </c>
      <c r="AS628" s="56">
        <f>IF(OR($AM628=0,$Q628=""),0,IF(AND($A628&gt;=Lists!$W$6,$A628&lt;=Lists!$W$7,OR(Dashboard!$D$6="All accounts",$C628=Dashboard!$D$6),OR(Dashboard!$D$7="All markets",$AF628=Dashboard!$D$7)),1,0))</f>
        <v>0</v>
      </c>
      <c r="AT628" s="55">
        <f>IF($AS628=1,N(AT627)+$Q628,N(AT627))</f>
        <v>1187.10688</v>
      </c>
      <c r="AU628" s="55">
        <f>MAX(N(AU627),$AT628)</f>
        <v>1187.10688</v>
      </c>
      <c r="AV628" s="55">
        <f>$AT628-$AU628</f>
        <v>0</v>
      </c>
      <c r="AW628" s="56">
        <f>IF($AS628=1,IF($S628="Win",N(AW627)+1,IF($S628="Loss",0,N(AW627))),N(AW627))</f>
        <v>5</v>
      </c>
      <c r="AX628" s="56">
        <f>IF($AS628=1,IF($S628="Loss",N(AX627)+1,IF($S628="Win",0,N(AX627))),N(AX627))</f>
        <v>0</v>
      </c>
      <c r="AY628" s="56" t="str">
        <f>IF($AS628=1,COUNTIF($AS$6:$AS628,1),"")</f>
        <v/>
      </c>
      <c r="AZ628" s="56">
        <f>MIN(622,N(Lists!$W$8))</f>
        <v>28</v>
      </c>
      <c r="BA628" s="56">
        <f>IF($AS628=1,IF(COUNTIFS($A$6:$A628,$A628,$AS$6:$AS628,1)=1,1,0),0)</f>
        <v>0</v>
      </c>
      <c r="BB628" s="55" t="str">
        <f>IF($BA628=1,SUMIFS($Q$6:$Q$1005,$A$6:$A$1005,$A628,$AS$6:$AS$1005,1),"")</f>
        <v/>
      </c>
      <c r="BC628" s="56">
        <f>IF(ISNUMBER($R628),1,0)</f>
        <v>0</v>
      </c>
      <c r="BD628" s="55" t="str">
        <f>IF(ISNUMBER($U628),$U628*$V628,"")</f>
        <v/>
      </c>
      <c r="BE628" s="56" t="str">
        <f>IF($AM628=0,"",IFERROR(MATCH($AF628&amp;"|"&amp;UPPER(TRIM($E628)),Lists!$A$6:$A$205,0),0))</f>
        <v/>
      </c>
      <c r="BF628" s="56" t="str">
        <f>IF($AM628=0,"",IFERROR(MATCH($AF628,Settings!$B$14:$B$18,0),IFERROR(MATCH(Settings!$C$6,Settings!$B$14:$B$18,0),1)))</f>
        <v/>
      </c>
      <c r="BG628" s="58" t="str">
        <f>IF($AM628=0,"",IF(NOT(ISNUMBER($I628)),"No stop; ","")&amp;IF(AND(ISNUMBER($H628),ISNUMBER($I628)),IF(OR(AND($F628&lt;&gt;"Short",$I628&gt;=$H628),AND($F628="Short",$I628&lt;=$H628)),"Stop on wrong side; ",""),"")&amp;IF($F628="","No direction; ","")&amp;IF(AND(ISNUMBER(Settings!$C$22),ISNUMBER($V628)),IF($V628&gt;Settings!$C$22,"Risk over max $; ",""),"")&amp;IF(AND(ISNUMBER(Settings!$C$23),ISNUMBER($V628),ISNUMBER($AP628),IFERROR(N(INDEX(Accounts!$E$7:$E$16,MATCH($C628,Accounts!$B$7:$B$16,0))),0)&gt;0),IF($V628&gt;Settings!$C$23*($AP628-N($Q628)),"Risk over max %; ",""),"")&amp;IF(AND(ISNUMBER(Settings!$C$24),ISNUMBER($N628)),IF($N628&gt;Settings!$C$24,"Leverage over max; ",""),"")&amp;IF(AND(ISNUMBER(Settings!$C$27),ISNUMBER($T628)),IF($T628&lt;Settings!$C$27,"R:R below min; ",""),"")&amp;IF(ISNUMBER(Settings!$C$25),IF(COUNTIFS($A$6:$A628,$A628,$AM$6:$AM628,1)&gt;Settings!$C$25,"Over max trades/day; ",""),"")&amp;IF(ISNUMBER(Settings!$C$26),IF(SUMIFS($Q$5:$Q627,$A$5:$A627,$A628)&lt;=-Settings!$C$26,"Traded after daily max loss; ",""),"")&amp;IF(AND($AG628="",NOT(ISNUMBER($O628))),"Symbol not in Instruments; ","")&amp;IF(AND($AH628="",NOT(ISNUMBER($O628))),"Forex cross: type Gross P&amp;L; ",""))</f>
        <v/>
      </c>
      <c r="BH628" s="56">
        <f>IF(ISNUMBER($Q628),1,0)</f>
        <v>0</v>
      </c>
      <c r="BI628" s="56">
        <f>IF($Y628="",0,1)</f>
        <v>0</v>
      </c>
      <c r="BJ628" s="56">
        <f>IF($AB628="",0,1)</f>
        <v>0</v>
      </c>
      <c r="BK628" s="56">
        <f>IF(AND($BH628=1,$W628&lt;&gt;"OK"),1,0)</f>
        <v>0</v>
      </c>
      <c r="BL628" s="55">
        <f>IF(N($AZ628)=0,0,IFERROR(INDEX($AT$6:$AT$1005,MATCH($AZ628,$AY$6:$AY$1005,0)),0))</f>
        <v>1187.10688</v>
      </c>
      <c r="BM628" s="56">
        <f>IF(ISNUMBER(SEARCH("daily max loss",$BG628)),1,0)</f>
        <v>0</v>
      </c>
    </row>
    <row r="629" ht="18" customHeight="1">
      <c r="A629" s="38" t="n"/>
      <c r="B629" s="39" t="n"/>
      <c r="C629" s="40" t="n"/>
      <c r="D629" s="41" t="n"/>
      <c r="E629" s="41" t="n"/>
      <c r="F629" s="41" t="n"/>
      <c r="G629" s="41" t="n"/>
      <c r="H629" s="42" t="n"/>
      <c r="I629" s="42" t="n"/>
      <c r="J629" s="42" t="n"/>
      <c r="K629" s="42" t="n"/>
      <c r="L629" s="41" t="n"/>
      <c r="M629" s="41" t="n"/>
      <c r="N629" s="41" t="n"/>
      <c r="O629" s="43" t="n"/>
      <c r="P629" s="43" t="n"/>
      <c r="Q629" s="44" t="str">
        <f>IF($AM629=0,"",IF(ISNUMBER($AK629),$AK629-N($AL629),""))</f>
        <v/>
      </c>
      <c r="R629" s="45" t="str">
        <f>IF(OR($Q629="",NOT(ISNUMBER($V629))),"",$AK629/$V629)</f>
        <v/>
      </c>
      <c r="S629" s="46" t="str">
        <f>IF($Q629="","",IF(AND(ISNUMBER($R629),ABS(N($R629))&lt;N(Settings!$C$8)),"Scratch",IF($Q629&gt;0,"Win",IF($Q629&lt;0,"Loss","Scratch"))))</f>
        <v/>
      </c>
      <c r="T629" s="47" t="str">
        <f>IF(OR($AM629=0,NOT(ISNUMBER($H629)),NOT(ISNUMBER($I629)),NOT(ISNUMBER($J629))),"",IF($H629=$I629,"",ROUND(ABS($J629-$H629)/ABS($H629-$I629),6)))</f>
        <v/>
      </c>
      <c r="U629" s="48" t="str">
        <f>IF(OR($S629&lt;&gt;"Win",NOT(ISNUMBER($T629)),NOT(ISNUMBER($R629))),"",MAX(0,$T629-$R629))</f>
        <v/>
      </c>
      <c r="V629" s="49" t="str">
        <f>IF(OR($AM629=0,NOT(ISNUMBER($H629)),NOT(ISNUMBER($I629)),NOT(ISNUMBER($G629))),"",IF(OR($AG629="",$AH629=""),"",IF(ROUND(ABS($H629-$I629)*ABS($G629)*$AG629*$AH629,6)=0,"",ROUND(ABS($H629-$I629)*ABS($G629)*$AG629*$AH629,6))))</f>
        <v/>
      </c>
      <c r="W629" s="50" t="str">
        <f>IF($AM629=0,"",IF($BG629="","OK",LEFT($BG629,LEN($BG629)-2)))</f>
        <v/>
      </c>
      <c r="X629" s="41" t="n"/>
      <c r="Y629" s="40" t="n"/>
      <c r="Z629" s="41" t="n"/>
      <c r="AA629" s="41" t="n"/>
      <c r="AB629" s="40" t="n"/>
      <c r="AC629" s="51" t="n"/>
      <c r="AD629" s="51" t="n"/>
      <c r="AE629" s="40" t="n"/>
      <c r="AF629" s="52" t="str">
        <f>IF($AM629=0,"",IF($D629&lt;&gt;"",$D629,IF(IFERROR(INDEX(Accounts!$C$7:$C$16,MATCH($C629,Accounts!$B$7:$B$16,0))&amp;"","")&lt;&gt;"",INDEX(Accounts!$C$7:$C$16,MATCH($C629,Accounts!$B$7:$B$16,0)),Settings!$C$6)))</f>
        <v/>
      </c>
      <c r="AG629" s="53" t="str">
        <f>IF($AM629=0,"",IF(AND($BE629&gt;0,N(INDEX(Instruments!$D$6:$D$205,MAX(1,$BE629)))&gt;0),INDEX(Instruments!$D$6:$D$205,MAX(1,$BE629)),IF(N(INDEX(Settings!$D$14:$D$18,$BF629))&gt;0,INDEX(Settings!$D$14:$D$18,$BF629),"")))</f>
        <v/>
      </c>
      <c r="AH629" s="54" t="str">
        <f>IF($AM629=0,"",IF($AF629&lt;&gt;"Forex",1,IF(MID(UPPER(SUBSTITUTE(TRIM($E629),"/","")),4,3)=UPPER(TRIM(Settings!$C$7)),1,IF(LEFT(UPPER(SUBSTITUTE(TRIM($E629),"/","")),3)=UPPER(TRIM(Settings!$C$7)),IF(AND(ISNUMBER($K629),N($K629)&lt;&gt;0),1/$K629,""),""))))</f>
        <v/>
      </c>
      <c r="AI629" s="55" t="str">
        <f>IF($AM629=0,"",IF(OR(NOT(ISNUMBER($H629)),NOT(ISNUMBER($K629)),NOT(ISNUMBER($G629)),$AG629="",$AH629=""),"",ROUND(($K629-$H629)*IF($F629="Short",-1,1)*$G629*$AG629*$AH629,6)))</f>
        <v/>
      </c>
      <c r="AJ629" s="55" t="str">
        <f>IF($AM629=0,"",IF(INDEX(Settings!$E$14:$E$18,$BF629)="% of notional",IF(OR($AG629="",NOT(ISNUMBER($H629)),NOT(ISNUMBER($G629))),"",ROUND(ABS($H629*$G629*$AG629*N($AH629))*IF($L629="Limit",N(INDEX(Settings!$G$14:$G$18,$BF629)),N(INDEX(Settings!$H$14:$H$18,$BF629)))+IF(ISNUMBER($K629),ABS($K629*$G629*$AG629*N($AH629))*IF($M629="Target",N(INDEX(Settings!$G$14:$G$18,$BF629)),N(INDEX(Settings!$H$14:$H$18,$BF629))),0),6)),IF(NOT(ISNUMBER($G629)),"",ROUND(ABS($G629)*2*IF(AND($BE629&gt;0,ISNUMBER(INDEX(Instruments!$G$6:$G$205,MAX(1,$BE629)))),INDEX(Instruments!$G$6:$G$205,MAX(1,$BE629)),N(INDEX(Settings!$F$14:$F$18,$BF629))),6))))</f>
        <v/>
      </c>
      <c r="AK629" s="55" t="str">
        <f>IF($AM629=0,"",IF(ISNUMBER($O629),$O629,$AI629))</f>
        <v/>
      </c>
      <c r="AL629" s="55" t="str">
        <f>IF($AM629=0,"",IF(ISNUMBER($P629),$P629,N($AJ629)))</f>
        <v/>
      </c>
      <c r="AM629" s="56">
        <f>IF(AND($A629&lt;&gt;"",$E629&lt;&gt;"",OR(AND(ISNUMBER($G629),ISNUMBER($H629),ISNUMBER($K629)),ISNUMBER($O629))),1,0)</f>
        <v>0</v>
      </c>
      <c r="AN629" s="57" t="str">
        <f>IF($A629="","",$A629-WEEKDAY($A629,3))</f>
        <v/>
      </c>
      <c r="AO629" s="56" t="str">
        <f>IF($A629="","",WEEKDAY($A629,2))</f>
        <v/>
      </c>
      <c r="AP629" s="55" t="str">
        <f>IF(OR($AM629=0,$C629=""),"",IFERROR(N(INDEX(Accounts!$E$7:$E$16,MATCH($C629,Accounts!$B$7:$B$16,0))),0)+SUMIFS($Q$6:$Q629,$C$6:$C629,$C629))</f>
        <v/>
      </c>
      <c r="AQ629" s="55" t="str">
        <f>IF(OR($AM629=0,$C629=""),"",SUMIFS($Q$6:$Q$1005,$C$6:$C$1005,$C629,$A$6:$A$1005,$A629))</f>
        <v/>
      </c>
      <c r="AR629" s="55" t="str">
        <f>IF(OR($AM629=0,$C629=""),"",IFERROR(N(INDEX(Accounts!$E$7:$E$16,MATCH($C629,Accounts!$B$7:$B$16,0))),0)+SUMIFS($Q$6:$Q$1005,$C$6:$C$1005,$C629,$A$6:$A$1005,"&lt;="&amp;$A629))</f>
        <v/>
      </c>
      <c r="AS629" s="56">
        <f>IF(OR($AM629=0,$Q629=""),0,IF(AND($A629&gt;=Lists!$W$6,$A629&lt;=Lists!$W$7,OR(Dashboard!$D$6="All accounts",$C629=Dashboard!$D$6),OR(Dashboard!$D$7="All markets",$AF629=Dashboard!$D$7)),1,0))</f>
        <v>0</v>
      </c>
      <c r="AT629" s="55">
        <f>IF($AS629=1,N(AT628)+$Q629,N(AT628))</f>
        <v>1187.10688</v>
      </c>
      <c r="AU629" s="55">
        <f>MAX(N(AU628),$AT629)</f>
        <v>1187.10688</v>
      </c>
      <c r="AV629" s="55">
        <f>$AT629-$AU629</f>
        <v>0</v>
      </c>
      <c r="AW629" s="56">
        <f>IF($AS629=1,IF($S629="Win",N(AW628)+1,IF($S629="Loss",0,N(AW628))),N(AW628))</f>
        <v>5</v>
      </c>
      <c r="AX629" s="56">
        <f>IF($AS629=1,IF($S629="Loss",N(AX628)+1,IF($S629="Win",0,N(AX628))),N(AX628))</f>
        <v>0</v>
      </c>
      <c r="AY629" s="56" t="str">
        <f>IF($AS629=1,COUNTIF($AS$6:$AS629,1),"")</f>
        <v/>
      </c>
      <c r="AZ629" s="56">
        <f>MIN(623,N(Lists!$W$8))</f>
        <v>28</v>
      </c>
      <c r="BA629" s="56">
        <f>IF($AS629=1,IF(COUNTIFS($A$6:$A629,$A629,$AS$6:$AS629,1)=1,1,0),0)</f>
        <v>0</v>
      </c>
      <c r="BB629" s="55" t="str">
        <f>IF($BA629=1,SUMIFS($Q$6:$Q$1005,$A$6:$A$1005,$A629,$AS$6:$AS$1005,1),"")</f>
        <v/>
      </c>
      <c r="BC629" s="56">
        <f>IF(ISNUMBER($R629),1,0)</f>
        <v>0</v>
      </c>
      <c r="BD629" s="55" t="str">
        <f>IF(ISNUMBER($U629),$U629*$V629,"")</f>
        <v/>
      </c>
      <c r="BE629" s="56" t="str">
        <f>IF($AM629=0,"",IFERROR(MATCH($AF629&amp;"|"&amp;UPPER(TRIM($E629)),Lists!$A$6:$A$205,0),0))</f>
        <v/>
      </c>
      <c r="BF629" s="56" t="str">
        <f>IF($AM629=0,"",IFERROR(MATCH($AF629,Settings!$B$14:$B$18,0),IFERROR(MATCH(Settings!$C$6,Settings!$B$14:$B$18,0),1)))</f>
        <v/>
      </c>
      <c r="BG629" s="58" t="str">
        <f>IF($AM629=0,"",IF(NOT(ISNUMBER($I629)),"No stop; ","")&amp;IF(AND(ISNUMBER($H629),ISNUMBER($I629)),IF(OR(AND($F629&lt;&gt;"Short",$I629&gt;=$H629),AND($F629="Short",$I629&lt;=$H629)),"Stop on wrong side; ",""),"")&amp;IF($F629="","No direction; ","")&amp;IF(AND(ISNUMBER(Settings!$C$22),ISNUMBER($V629)),IF($V629&gt;Settings!$C$22,"Risk over max $; ",""),"")&amp;IF(AND(ISNUMBER(Settings!$C$23),ISNUMBER($V629),ISNUMBER($AP629),IFERROR(N(INDEX(Accounts!$E$7:$E$16,MATCH($C629,Accounts!$B$7:$B$16,0))),0)&gt;0),IF($V629&gt;Settings!$C$23*($AP629-N($Q629)),"Risk over max %; ",""),"")&amp;IF(AND(ISNUMBER(Settings!$C$24),ISNUMBER($N629)),IF($N629&gt;Settings!$C$24,"Leverage over max; ",""),"")&amp;IF(AND(ISNUMBER(Settings!$C$27),ISNUMBER($T629)),IF($T629&lt;Settings!$C$27,"R:R below min; ",""),"")&amp;IF(ISNUMBER(Settings!$C$25),IF(COUNTIFS($A$6:$A629,$A629,$AM$6:$AM629,1)&gt;Settings!$C$25,"Over max trades/day; ",""),"")&amp;IF(ISNUMBER(Settings!$C$26),IF(SUMIFS($Q$5:$Q628,$A$5:$A628,$A629)&lt;=-Settings!$C$26,"Traded after daily max loss; ",""),"")&amp;IF(AND($AG629="",NOT(ISNUMBER($O629))),"Symbol not in Instruments; ","")&amp;IF(AND($AH629="",NOT(ISNUMBER($O629))),"Forex cross: type Gross P&amp;L; ",""))</f>
        <v/>
      </c>
      <c r="BH629" s="56">
        <f>IF(ISNUMBER($Q629),1,0)</f>
        <v>0</v>
      </c>
      <c r="BI629" s="56">
        <f>IF($Y629="",0,1)</f>
        <v>0</v>
      </c>
      <c r="BJ629" s="56">
        <f>IF($AB629="",0,1)</f>
        <v>0</v>
      </c>
      <c r="BK629" s="56">
        <f>IF(AND($BH629=1,$W629&lt;&gt;"OK"),1,0)</f>
        <v>0</v>
      </c>
      <c r="BL629" s="55">
        <f>IF(N($AZ629)=0,0,IFERROR(INDEX($AT$6:$AT$1005,MATCH($AZ629,$AY$6:$AY$1005,0)),0))</f>
        <v>1187.10688</v>
      </c>
      <c r="BM629" s="56">
        <f>IF(ISNUMBER(SEARCH("daily max loss",$BG629)),1,0)</f>
        <v>0</v>
      </c>
    </row>
    <row r="630" ht="18" customHeight="1">
      <c r="A630" s="38" t="n"/>
      <c r="B630" s="39" t="n"/>
      <c r="C630" s="40" t="n"/>
      <c r="D630" s="41" t="n"/>
      <c r="E630" s="41" t="n"/>
      <c r="F630" s="41" t="n"/>
      <c r="G630" s="41" t="n"/>
      <c r="H630" s="42" t="n"/>
      <c r="I630" s="42" t="n"/>
      <c r="J630" s="42" t="n"/>
      <c r="K630" s="42" t="n"/>
      <c r="L630" s="41" t="n"/>
      <c r="M630" s="41" t="n"/>
      <c r="N630" s="41" t="n"/>
      <c r="O630" s="43" t="n"/>
      <c r="P630" s="43" t="n"/>
      <c r="Q630" s="44" t="str">
        <f>IF($AM630=0,"",IF(ISNUMBER($AK630),$AK630-N($AL630),""))</f>
        <v/>
      </c>
      <c r="R630" s="45" t="str">
        <f>IF(OR($Q630="",NOT(ISNUMBER($V630))),"",$AK630/$V630)</f>
        <v/>
      </c>
      <c r="S630" s="46" t="str">
        <f>IF($Q630="","",IF(AND(ISNUMBER($R630),ABS(N($R630))&lt;N(Settings!$C$8)),"Scratch",IF($Q630&gt;0,"Win",IF($Q630&lt;0,"Loss","Scratch"))))</f>
        <v/>
      </c>
      <c r="T630" s="47" t="str">
        <f>IF(OR($AM630=0,NOT(ISNUMBER($H630)),NOT(ISNUMBER($I630)),NOT(ISNUMBER($J630))),"",IF($H630=$I630,"",ROUND(ABS($J630-$H630)/ABS($H630-$I630),6)))</f>
        <v/>
      </c>
      <c r="U630" s="48" t="str">
        <f>IF(OR($S630&lt;&gt;"Win",NOT(ISNUMBER($T630)),NOT(ISNUMBER($R630))),"",MAX(0,$T630-$R630))</f>
        <v/>
      </c>
      <c r="V630" s="49" t="str">
        <f>IF(OR($AM630=0,NOT(ISNUMBER($H630)),NOT(ISNUMBER($I630)),NOT(ISNUMBER($G630))),"",IF(OR($AG630="",$AH630=""),"",IF(ROUND(ABS($H630-$I630)*ABS($G630)*$AG630*$AH630,6)=0,"",ROUND(ABS($H630-$I630)*ABS($G630)*$AG630*$AH630,6))))</f>
        <v/>
      </c>
      <c r="W630" s="50" t="str">
        <f>IF($AM630=0,"",IF($BG630="","OK",LEFT($BG630,LEN($BG630)-2)))</f>
        <v/>
      </c>
      <c r="X630" s="41" t="n"/>
      <c r="Y630" s="40" t="n"/>
      <c r="Z630" s="41" t="n"/>
      <c r="AA630" s="41" t="n"/>
      <c r="AB630" s="40" t="n"/>
      <c r="AC630" s="51" t="n"/>
      <c r="AD630" s="51" t="n"/>
      <c r="AE630" s="40" t="n"/>
      <c r="AF630" s="52" t="str">
        <f>IF($AM630=0,"",IF($D630&lt;&gt;"",$D630,IF(IFERROR(INDEX(Accounts!$C$7:$C$16,MATCH($C630,Accounts!$B$7:$B$16,0))&amp;"","")&lt;&gt;"",INDEX(Accounts!$C$7:$C$16,MATCH($C630,Accounts!$B$7:$B$16,0)),Settings!$C$6)))</f>
        <v/>
      </c>
      <c r="AG630" s="53" t="str">
        <f>IF($AM630=0,"",IF(AND($BE630&gt;0,N(INDEX(Instruments!$D$6:$D$205,MAX(1,$BE630)))&gt;0),INDEX(Instruments!$D$6:$D$205,MAX(1,$BE630)),IF(N(INDEX(Settings!$D$14:$D$18,$BF630))&gt;0,INDEX(Settings!$D$14:$D$18,$BF630),"")))</f>
        <v/>
      </c>
      <c r="AH630" s="54" t="str">
        <f>IF($AM630=0,"",IF($AF630&lt;&gt;"Forex",1,IF(MID(UPPER(SUBSTITUTE(TRIM($E630),"/","")),4,3)=UPPER(TRIM(Settings!$C$7)),1,IF(LEFT(UPPER(SUBSTITUTE(TRIM($E630),"/","")),3)=UPPER(TRIM(Settings!$C$7)),IF(AND(ISNUMBER($K630),N($K630)&lt;&gt;0),1/$K630,""),""))))</f>
        <v/>
      </c>
      <c r="AI630" s="55" t="str">
        <f>IF($AM630=0,"",IF(OR(NOT(ISNUMBER($H630)),NOT(ISNUMBER($K630)),NOT(ISNUMBER($G630)),$AG630="",$AH630=""),"",ROUND(($K630-$H630)*IF($F630="Short",-1,1)*$G630*$AG630*$AH630,6)))</f>
        <v/>
      </c>
      <c r="AJ630" s="55" t="str">
        <f>IF($AM630=0,"",IF(INDEX(Settings!$E$14:$E$18,$BF630)="% of notional",IF(OR($AG630="",NOT(ISNUMBER($H630)),NOT(ISNUMBER($G630))),"",ROUND(ABS($H630*$G630*$AG630*N($AH630))*IF($L630="Limit",N(INDEX(Settings!$G$14:$G$18,$BF630)),N(INDEX(Settings!$H$14:$H$18,$BF630)))+IF(ISNUMBER($K630),ABS($K630*$G630*$AG630*N($AH630))*IF($M630="Target",N(INDEX(Settings!$G$14:$G$18,$BF630)),N(INDEX(Settings!$H$14:$H$18,$BF630))),0),6)),IF(NOT(ISNUMBER($G630)),"",ROUND(ABS($G630)*2*IF(AND($BE630&gt;0,ISNUMBER(INDEX(Instruments!$G$6:$G$205,MAX(1,$BE630)))),INDEX(Instruments!$G$6:$G$205,MAX(1,$BE630)),N(INDEX(Settings!$F$14:$F$18,$BF630))),6))))</f>
        <v/>
      </c>
      <c r="AK630" s="55" t="str">
        <f>IF($AM630=0,"",IF(ISNUMBER($O630),$O630,$AI630))</f>
        <v/>
      </c>
      <c r="AL630" s="55" t="str">
        <f>IF($AM630=0,"",IF(ISNUMBER($P630),$P630,N($AJ630)))</f>
        <v/>
      </c>
      <c r="AM630" s="56">
        <f>IF(AND($A630&lt;&gt;"",$E630&lt;&gt;"",OR(AND(ISNUMBER($G630),ISNUMBER($H630),ISNUMBER($K630)),ISNUMBER($O630))),1,0)</f>
        <v>0</v>
      </c>
      <c r="AN630" s="57" t="str">
        <f>IF($A630="","",$A630-WEEKDAY($A630,3))</f>
        <v/>
      </c>
      <c r="AO630" s="56" t="str">
        <f>IF($A630="","",WEEKDAY($A630,2))</f>
        <v/>
      </c>
      <c r="AP630" s="55" t="str">
        <f>IF(OR($AM630=0,$C630=""),"",IFERROR(N(INDEX(Accounts!$E$7:$E$16,MATCH($C630,Accounts!$B$7:$B$16,0))),0)+SUMIFS($Q$6:$Q630,$C$6:$C630,$C630))</f>
        <v/>
      </c>
      <c r="AQ630" s="55" t="str">
        <f>IF(OR($AM630=0,$C630=""),"",SUMIFS($Q$6:$Q$1005,$C$6:$C$1005,$C630,$A$6:$A$1005,$A630))</f>
        <v/>
      </c>
      <c r="AR630" s="55" t="str">
        <f>IF(OR($AM630=0,$C630=""),"",IFERROR(N(INDEX(Accounts!$E$7:$E$16,MATCH($C630,Accounts!$B$7:$B$16,0))),0)+SUMIFS($Q$6:$Q$1005,$C$6:$C$1005,$C630,$A$6:$A$1005,"&lt;="&amp;$A630))</f>
        <v/>
      </c>
      <c r="AS630" s="56">
        <f>IF(OR($AM630=0,$Q630=""),0,IF(AND($A630&gt;=Lists!$W$6,$A630&lt;=Lists!$W$7,OR(Dashboard!$D$6="All accounts",$C630=Dashboard!$D$6),OR(Dashboard!$D$7="All markets",$AF630=Dashboard!$D$7)),1,0))</f>
        <v>0</v>
      </c>
      <c r="AT630" s="55">
        <f>IF($AS630=1,N(AT629)+$Q630,N(AT629))</f>
        <v>1187.10688</v>
      </c>
      <c r="AU630" s="55">
        <f>MAX(N(AU629),$AT630)</f>
        <v>1187.10688</v>
      </c>
      <c r="AV630" s="55">
        <f>$AT630-$AU630</f>
        <v>0</v>
      </c>
      <c r="AW630" s="56">
        <f>IF($AS630=1,IF($S630="Win",N(AW629)+1,IF($S630="Loss",0,N(AW629))),N(AW629))</f>
        <v>5</v>
      </c>
      <c r="AX630" s="56">
        <f>IF($AS630=1,IF($S630="Loss",N(AX629)+1,IF($S630="Win",0,N(AX629))),N(AX629))</f>
        <v>0</v>
      </c>
      <c r="AY630" s="56" t="str">
        <f>IF($AS630=1,COUNTIF($AS$6:$AS630,1),"")</f>
        <v/>
      </c>
      <c r="AZ630" s="56">
        <f>MIN(624,N(Lists!$W$8))</f>
        <v>28</v>
      </c>
      <c r="BA630" s="56">
        <f>IF($AS630=1,IF(COUNTIFS($A$6:$A630,$A630,$AS$6:$AS630,1)=1,1,0),0)</f>
        <v>0</v>
      </c>
      <c r="BB630" s="55" t="str">
        <f>IF($BA630=1,SUMIFS($Q$6:$Q$1005,$A$6:$A$1005,$A630,$AS$6:$AS$1005,1),"")</f>
        <v/>
      </c>
      <c r="BC630" s="56">
        <f>IF(ISNUMBER($R630),1,0)</f>
        <v>0</v>
      </c>
      <c r="BD630" s="55" t="str">
        <f>IF(ISNUMBER($U630),$U630*$V630,"")</f>
        <v/>
      </c>
      <c r="BE630" s="56" t="str">
        <f>IF($AM630=0,"",IFERROR(MATCH($AF630&amp;"|"&amp;UPPER(TRIM($E630)),Lists!$A$6:$A$205,0),0))</f>
        <v/>
      </c>
      <c r="BF630" s="56" t="str">
        <f>IF($AM630=0,"",IFERROR(MATCH($AF630,Settings!$B$14:$B$18,0),IFERROR(MATCH(Settings!$C$6,Settings!$B$14:$B$18,0),1)))</f>
        <v/>
      </c>
      <c r="BG630" s="58" t="str">
        <f>IF($AM630=0,"",IF(NOT(ISNUMBER($I630)),"No stop; ","")&amp;IF(AND(ISNUMBER($H630),ISNUMBER($I630)),IF(OR(AND($F630&lt;&gt;"Short",$I630&gt;=$H630),AND($F630="Short",$I630&lt;=$H630)),"Stop on wrong side; ",""),"")&amp;IF($F630="","No direction; ","")&amp;IF(AND(ISNUMBER(Settings!$C$22),ISNUMBER($V630)),IF($V630&gt;Settings!$C$22,"Risk over max $; ",""),"")&amp;IF(AND(ISNUMBER(Settings!$C$23),ISNUMBER($V630),ISNUMBER($AP630),IFERROR(N(INDEX(Accounts!$E$7:$E$16,MATCH($C630,Accounts!$B$7:$B$16,0))),0)&gt;0),IF($V630&gt;Settings!$C$23*($AP630-N($Q630)),"Risk over max %; ",""),"")&amp;IF(AND(ISNUMBER(Settings!$C$24),ISNUMBER($N630)),IF($N630&gt;Settings!$C$24,"Leverage over max; ",""),"")&amp;IF(AND(ISNUMBER(Settings!$C$27),ISNUMBER($T630)),IF($T630&lt;Settings!$C$27,"R:R below min; ",""),"")&amp;IF(ISNUMBER(Settings!$C$25),IF(COUNTIFS($A$6:$A630,$A630,$AM$6:$AM630,1)&gt;Settings!$C$25,"Over max trades/day; ",""),"")&amp;IF(ISNUMBER(Settings!$C$26),IF(SUMIFS($Q$5:$Q629,$A$5:$A629,$A630)&lt;=-Settings!$C$26,"Traded after daily max loss; ",""),"")&amp;IF(AND($AG630="",NOT(ISNUMBER($O630))),"Symbol not in Instruments; ","")&amp;IF(AND($AH630="",NOT(ISNUMBER($O630))),"Forex cross: type Gross P&amp;L; ",""))</f>
        <v/>
      </c>
      <c r="BH630" s="56">
        <f>IF(ISNUMBER($Q630),1,0)</f>
        <v>0</v>
      </c>
      <c r="BI630" s="56">
        <f>IF($Y630="",0,1)</f>
        <v>0</v>
      </c>
      <c r="BJ630" s="56">
        <f>IF($AB630="",0,1)</f>
        <v>0</v>
      </c>
      <c r="BK630" s="56">
        <f>IF(AND($BH630=1,$W630&lt;&gt;"OK"),1,0)</f>
        <v>0</v>
      </c>
      <c r="BL630" s="55">
        <f>IF(N($AZ630)=0,0,IFERROR(INDEX($AT$6:$AT$1005,MATCH($AZ630,$AY$6:$AY$1005,0)),0))</f>
        <v>1187.10688</v>
      </c>
      <c r="BM630" s="56">
        <f>IF(ISNUMBER(SEARCH("daily max loss",$BG630)),1,0)</f>
        <v>0</v>
      </c>
    </row>
    <row r="631" ht="18" customHeight="1">
      <c r="A631" s="38" t="n"/>
      <c r="B631" s="39" t="n"/>
      <c r="C631" s="40" t="n"/>
      <c r="D631" s="41" t="n"/>
      <c r="E631" s="41" t="n"/>
      <c r="F631" s="41" t="n"/>
      <c r="G631" s="41" t="n"/>
      <c r="H631" s="42" t="n"/>
      <c r="I631" s="42" t="n"/>
      <c r="J631" s="42" t="n"/>
      <c r="K631" s="42" t="n"/>
      <c r="L631" s="41" t="n"/>
      <c r="M631" s="41" t="n"/>
      <c r="N631" s="41" t="n"/>
      <c r="O631" s="43" t="n"/>
      <c r="P631" s="43" t="n"/>
      <c r="Q631" s="44" t="str">
        <f>IF($AM631=0,"",IF(ISNUMBER($AK631),$AK631-N($AL631),""))</f>
        <v/>
      </c>
      <c r="R631" s="45" t="str">
        <f>IF(OR($Q631="",NOT(ISNUMBER($V631))),"",$AK631/$V631)</f>
        <v/>
      </c>
      <c r="S631" s="46" t="str">
        <f>IF($Q631="","",IF(AND(ISNUMBER($R631),ABS(N($R631))&lt;N(Settings!$C$8)),"Scratch",IF($Q631&gt;0,"Win",IF($Q631&lt;0,"Loss","Scratch"))))</f>
        <v/>
      </c>
      <c r="T631" s="47" t="str">
        <f>IF(OR($AM631=0,NOT(ISNUMBER($H631)),NOT(ISNUMBER($I631)),NOT(ISNUMBER($J631))),"",IF($H631=$I631,"",ROUND(ABS($J631-$H631)/ABS($H631-$I631),6)))</f>
        <v/>
      </c>
      <c r="U631" s="48" t="str">
        <f>IF(OR($S631&lt;&gt;"Win",NOT(ISNUMBER($T631)),NOT(ISNUMBER($R631))),"",MAX(0,$T631-$R631))</f>
        <v/>
      </c>
      <c r="V631" s="49" t="str">
        <f>IF(OR($AM631=0,NOT(ISNUMBER($H631)),NOT(ISNUMBER($I631)),NOT(ISNUMBER($G631))),"",IF(OR($AG631="",$AH631=""),"",IF(ROUND(ABS($H631-$I631)*ABS($G631)*$AG631*$AH631,6)=0,"",ROUND(ABS($H631-$I631)*ABS($G631)*$AG631*$AH631,6))))</f>
        <v/>
      </c>
      <c r="W631" s="50" t="str">
        <f>IF($AM631=0,"",IF($BG631="","OK",LEFT($BG631,LEN($BG631)-2)))</f>
        <v/>
      </c>
      <c r="X631" s="41" t="n"/>
      <c r="Y631" s="40" t="n"/>
      <c r="Z631" s="41" t="n"/>
      <c r="AA631" s="41" t="n"/>
      <c r="AB631" s="40" t="n"/>
      <c r="AC631" s="51" t="n"/>
      <c r="AD631" s="51" t="n"/>
      <c r="AE631" s="40" t="n"/>
      <c r="AF631" s="52" t="str">
        <f>IF($AM631=0,"",IF($D631&lt;&gt;"",$D631,IF(IFERROR(INDEX(Accounts!$C$7:$C$16,MATCH($C631,Accounts!$B$7:$B$16,0))&amp;"","")&lt;&gt;"",INDEX(Accounts!$C$7:$C$16,MATCH($C631,Accounts!$B$7:$B$16,0)),Settings!$C$6)))</f>
        <v/>
      </c>
      <c r="AG631" s="53" t="str">
        <f>IF($AM631=0,"",IF(AND($BE631&gt;0,N(INDEX(Instruments!$D$6:$D$205,MAX(1,$BE631)))&gt;0),INDEX(Instruments!$D$6:$D$205,MAX(1,$BE631)),IF(N(INDEX(Settings!$D$14:$D$18,$BF631))&gt;0,INDEX(Settings!$D$14:$D$18,$BF631),"")))</f>
        <v/>
      </c>
      <c r="AH631" s="54" t="str">
        <f>IF($AM631=0,"",IF($AF631&lt;&gt;"Forex",1,IF(MID(UPPER(SUBSTITUTE(TRIM($E631),"/","")),4,3)=UPPER(TRIM(Settings!$C$7)),1,IF(LEFT(UPPER(SUBSTITUTE(TRIM($E631),"/","")),3)=UPPER(TRIM(Settings!$C$7)),IF(AND(ISNUMBER($K631),N($K631)&lt;&gt;0),1/$K631,""),""))))</f>
        <v/>
      </c>
      <c r="AI631" s="55" t="str">
        <f>IF($AM631=0,"",IF(OR(NOT(ISNUMBER($H631)),NOT(ISNUMBER($K631)),NOT(ISNUMBER($G631)),$AG631="",$AH631=""),"",ROUND(($K631-$H631)*IF($F631="Short",-1,1)*$G631*$AG631*$AH631,6)))</f>
        <v/>
      </c>
      <c r="AJ631" s="55" t="str">
        <f>IF($AM631=0,"",IF(INDEX(Settings!$E$14:$E$18,$BF631)="% of notional",IF(OR($AG631="",NOT(ISNUMBER($H631)),NOT(ISNUMBER($G631))),"",ROUND(ABS($H631*$G631*$AG631*N($AH631))*IF($L631="Limit",N(INDEX(Settings!$G$14:$G$18,$BF631)),N(INDEX(Settings!$H$14:$H$18,$BF631)))+IF(ISNUMBER($K631),ABS($K631*$G631*$AG631*N($AH631))*IF($M631="Target",N(INDEX(Settings!$G$14:$G$18,$BF631)),N(INDEX(Settings!$H$14:$H$18,$BF631))),0),6)),IF(NOT(ISNUMBER($G631)),"",ROUND(ABS($G631)*2*IF(AND($BE631&gt;0,ISNUMBER(INDEX(Instruments!$G$6:$G$205,MAX(1,$BE631)))),INDEX(Instruments!$G$6:$G$205,MAX(1,$BE631)),N(INDEX(Settings!$F$14:$F$18,$BF631))),6))))</f>
        <v/>
      </c>
      <c r="AK631" s="55" t="str">
        <f>IF($AM631=0,"",IF(ISNUMBER($O631),$O631,$AI631))</f>
        <v/>
      </c>
      <c r="AL631" s="55" t="str">
        <f>IF($AM631=0,"",IF(ISNUMBER($P631),$P631,N($AJ631)))</f>
        <v/>
      </c>
      <c r="AM631" s="56">
        <f>IF(AND($A631&lt;&gt;"",$E631&lt;&gt;"",OR(AND(ISNUMBER($G631),ISNUMBER($H631),ISNUMBER($K631)),ISNUMBER($O631))),1,0)</f>
        <v>0</v>
      </c>
      <c r="AN631" s="57" t="str">
        <f>IF($A631="","",$A631-WEEKDAY($A631,3))</f>
        <v/>
      </c>
      <c r="AO631" s="56" t="str">
        <f>IF($A631="","",WEEKDAY($A631,2))</f>
        <v/>
      </c>
      <c r="AP631" s="55" t="str">
        <f>IF(OR($AM631=0,$C631=""),"",IFERROR(N(INDEX(Accounts!$E$7:$E$16,MATCH($C631,Accounts!$B$7:$B$16,0))),0)+SUMIFS($Q$6:$Q631,$C$6:$C631,$C631))</f>
        <v/>
      </c>
      <c r="AQ631" s="55" t="str">
        <f>IF(OR($AM631=0,$C631=""),"",SUMIFS($Q$6:$Q$1005,$C$6:$C$1005,$C631,$A$6:$A$1005,$A631))</f>
        <v/>
      </c>
      <c r="AR631" s="55" t="str">
        <f>IF(OR($AM631=0,$C631=""),"",IFERROR(N(INDEX(Accounts!$E$7:$E$16,MATCH($C631,Accounts!$B$7:$B$16,0))),0)+SUMIFS($Q$6:$Q$1005,$C$6:$C$1005,$C631,$A$6:$A$1005,"&lt;="&amp;$A631))</f>
        <v/>
      </c>
      <c r="AS631" s="56">
        <f>IF(OR($AM631=0,$Q631=""),0,IF(AND($A631&gt;=Lists!$W$6,$A631&lt;=Lists!$W$7,OR(Dashboard!$D$6="All accounts",$C631=Dashboard!$D$6),OR(Dashboard!$D$7="All markets",$AF631=Dashboard!$D$7)),1,0))</f>
        <v>0</v>
      </c>
      <c r="AT631" s="55">
        <f>IF($AS631=1,N(AT630)+$Q631,N(AT630))</f>
        <v>1187.10688</v>
      </c>
      <c r="AU631" s="55">
        <f>MAX(N(AU630),$AT631)</f>
        <v>1187.10688</v>
      </c>
      <c r="AV631" s="55">
        <f>$AT631-$AU631</f>
        <v>0</v>
      </c>
      <c r="AW631" s="56">
        <f>IF($AS631=1,IF($S631="Win",N(AW630)+1,IF($S631="Loss",0,N(AW630))),N(AW630))</f>
        <v>5</v>
      </c>
      <c r="AX631" s="56">
        <f>IF($AS631=1,IF($S631="Loss",N(AX630)+1,IF($S631="Win",0,N(AX630))),N(AX630))</f>
        <v>0</v>
      </c>
      <c r="AY631" s="56" t="str">
        <f>IF($AS631=1,COUNTIF($AS$6:$AS631,1),"")</f>
        <v/>
      </c>
      <c r="AZ631" s="56">
        <f>MIN(625,N(Lists!$W$8))</f>
        <v>28</v>
      </c>
      <c r="BA631" s="56">
        <f>IF($AS631=1,IF(COUNTIFS($A$6:$A631,$A631,$AS$6:$AS631,1)=1,1,0),0)</f>
        <v>0</v>
      </c>
      <c r="BB631" s="55" t="str">
        <f>IF($BA631=1,SUMIFS($Q$6:$Q$1005,$A$6:$A$1005,$A631,$AS$6:$AS$1005,1),"")</f>
        <v/>
      </c>
      <c r="BC631" s="56">
        <f>IF(ISNUMBER($R631),1,0)</f>
        <v>0</v>
      </c>
      <c r="BD631" s="55" t="str">
        <f>IF(ISNUMBER($U631),$U631*$V631,"")</f>
        <v/>
      </c>
      <c r="BE631" s="56" t="str">
        <f>IF($AM631=0,"",IFERROR(MATCH($AF631&amp;"|"&amp;UPPER(TRIM($E631)),Lists!$A$6:$A$205,0),0))</f>
        <v/>
      </c>
      <c r="BF631" s="56" t="str">
        <f>IF($AM631=0,"",IFERROR(MATCH($AF631,Settings!$B$14:$B$18,0),IFERROR(MATCH(Settings!$C$6,Settings!$B$14:$B$18,0),1)))</f>
        <v/>
      </c>
      <c r="BG631" s="58" t="str">
        <f>IF($AM631=0,"",IF(NOT(ISNUMBER($I631)),"No stop; ","")&amp;IF(AND(ISNUMBER($H631),ISNUMBER($I631)),IF(OR(AND($F631&lt;&gt;"Short",$I631&gt;=$H631),AND($F631="Short",$I631&lt;=$H631)),"Stop on wrong side; ",""),"")&amp;IF($F631="","No direction; ","")&amp;IF(AND(ISNUMBER(Settings!$C$22),ISNUMBER($V631)),IF($V631&gt;Settings!$C$22,"Risk over max $; ",""),"")&amp;IF(AND(ISNUMBER(Settings!$C$23),ISNUMBER($V631),ISNUMBER($AP631),IFERROR(N(INDEX(Accounts!$E$7:$E$16,MATCH($C631,Accounts!$B$7:$B$16,0))),0)&gt;0),IF($V631&gt;Settings!$C$23*($AP631-N($Q631)),"Risk over max %; ",""),"")&amp;IF(AND(ISNUMBER(Settings!$C$24),ISNUMBER($N631)),IF($N631&gt;Settings!$C$24,"Leverage over max; ",""),"")&amp;IF(AND(ISNUMBER(Settings!$C$27),ISNUMBER($T631)),IF($T631&lt;Settings!$C$27,"R:R below min; ",""),"")&amp;IF(ISNUMBER(Settings!$C$25),IF(COUNTIFS($A$6:$A631,$A631,$AM$6:$AM631,1)&gt;Settings!$C$25,"Over max trades/day; ",""),"")&amp;IF(ISNUMBER(Settings!$C$26),IF(SUMIFS($Q$5:$Q630,$A$5:$A630,$A631)&lt;=-Settings!$C$26,"Traded after daily max loss; ",""),"")&amp;IF(AND($AG631="",NOT(ISNUMBER($O631))),"Symbol not in Instruments; ","")&amp;IF(AND($AH631="",NOT(ISNUMBER($O631))),"Forex cross: type Gross P&amp;L; ",""))</f>
        <v/>
      </c>
      <c r="BH631" s="56">
        <f>IF(ISNUMBER($Q631),1,0)</f>
        <v>0</v>
      </c>
      <c r="BI631" s="56">
        <f>IF($Y631="",0,1)</f>
        <v>0</v>
      </c>
      <c r="BJ631" s="56">
        <f>IF($AB631="",0,1)</f>
        <v>0</v>
      </c>
      <c r="BK631" s="56">
        <f>IF(AND($BH631=1,$W631&lt;&gt;"OK"),1,0)</f>
        <v>0</v>
      </c>
      <c r="BL631" s="55">
        <f>IF(N($AZ631)=0,0,IFERROR(INDEX($AT$6:$AT$1005,MATCH($AZ631,$AY$6:$AY$1005,0)),0))</f>
        <v>1187.10688</v>
      </c>
      <c r="BM631" s="56">
        <f>IF(ISNUMBER(SEARCH("daily max loss",$BG631)),1,0)</f>
        <v>0</v>
      </c>
    </row>
    <row r="632" ht="18" customHeight="1">
      <c r="A632" s="38" t="n"/>
      <c r="B632" s="39" t="n"/>
      <c r="C632" s="40" t="n"/>
      <c r="D632" s="41" t="n"/>
      <c r="E632" s="41" t="n"/>
      <c r="F632" s="41" t="n"/>
      <c r="G632" s="41" t="n"/>
      <c r="H632" s="42" t="n"/>
      <c r="I632" s="42" t="n"/>
      <c r="J632" s="42" t="n"/>
      <c r="K632" s="42" t="n"/>
      <c r="L632" s="41" t="n"/>
      <c r="M632" s="41" t="n"/>
      <c r="N632" s="41" t="n"/>
      <c r="O632" s="43" t="n"/>
      <c r="P632" s="43" t="n"/>
      <c r="Q632" s="44" t="str">
        <f>IF($AM632=0,"",IF(ISNUMBER($AK632),$AK632-N($AL632),""))</f>
        <v/>
      </c>
      <c r="R632" s="45" t="str">
        <f>IF(OR($Q632="",NOT(ISNUMBER($V632))),"",$AK632/$V632)</f>
        <v/>
      </c>
      <c r="S632" s="46" t="str">
        <f>IF($Q632="","",IF(AND(ISNUMBER($R632),ABS(N($R632))&lt;N(Settings!$C$8)),"Scratch",IF($Q632&gt;0,"Win",IF($Q632&lt;0,"Loss","Scratch"))))</f>
        <v/>
      </c>
      <c r="T632" s="47" t="str">
        <f>IF(OR($AM632=0,NOT(ISNUMBER($H632)),NOT(ISNUMBER($I632)),NOT(ISNUMBER($J632))),"",IF($H632=$I632,"",ROUND(ABS($J632-$H632)/ABS($H632-$I632),6)))</f>
        <v/>
      </c>
      <c r="U632" s="48" t="str">
        <f>IF(OR($S632&lt;&gt;"Win",NOT(ISNUMBER($T632)),NOT(ISNUMBER($R632))),"",MAX(0,$T632-$R632))</f>
        <v/>
      </c>
      <c r="V632" s="49" t="str">
        <f>IF(OR($AM632=0,NOT(ISNUMBER($H632)),NOT(ISNUMBER($I632)),NOT(ISNUMBER($G632))),"",IF(OR($AG632="",$AH632=""),"",IF(ROUND(ABS($H632-$I632)*ABS($G632)*$AG632*$AH632,6)=0,"",ROUND(ABS($H632-$I632)*ABS($G632)*$AG632*$AH632,6))))</f>
        <v/>
      </c>
      <c r="W632" s="50" t="str">
        <f>IF($AM632=0,"",IF($BG632="","OK",LEFT($BG632,LEN($BG632)-2)))</f>
        <v/>
      </c>
      <c r="X632" s="41" t="n"/>
      <c r="Y632" s="40" t="n"/>
      <c r="Z632" s="41" t="n"/>
      <c r="AA632" s="41" t="n"/>
      <c r="AB632" s="40" t="n"/>
      <c r="AC632" s="51" t="n"/>
      <c r="AD632" s="51" t="n"/>
      <c r="AE632" s="40" t="n"/>
      <c r="AF632" s="52" t="str">
        <f>IF($AM632=0,"",IF($D632&lt;&gt;"",$D632,IF(IFERROR(INDEX(Accounts!$C$7:$C$16,MATCH($C632,Accounts!$B$7:$B$16,0))&amp;"","")&lt;&gt;"",INDEX(Accounts!$C$7:$C$16,MATCH($C632,Accounts!$B$7:$B$16,0)),Settings!$C$6)))</f>
        <v/>
      </c>
      <c r="AG632" s="53" t="str">
        <f>IF($AM632=0,"",IF(AND($BE632&gt;0,N(INDEX(Instruments!$D$6:$D$205,MAX(1,$BE632)))&gt;0),INDEX(Instruments!$D$6:$D$205,MAX(1,$BE632)),IF(N(INDEX(Settings!$D$14:$D$18,$BF632))&gt;0,INDEX(Settings!$D$14:$D$18,$BF632),"")))</f>
        <v/>
      </c>
      <c r="AH632" s="54" t="str">
        <f>IF($AM632=0,"",IF($AF632&lt;&gt;"Forex",1,IF(MID(UPPER(SUBSTITUTE(TRIM($E632),"/","")),4,3)=UPPER(TRIM(Settings!$C$7)),1,IF(LEFT(UPPER(SUBSTITUTE(TRIM($E632),"/","")),3)=UPPER(TRIM(Settings!$C$7)),IF(AND(ISNUMBER($K632),N($K632)&lt;&gt;0),1/$K632,""),""))))</f>
        <v/>
      </c>
      <c r="AI632" s="55" t="str">
        <f>IF($AM632=0,"",IF(OR(NOT(ISNUMBER($H632)),NOT(ISNUMBER($K632)),NOT(ISNUMBER($G632)),$AG632="",$AH632=""),"",ROUND(($K632-$H632)*IF($F632="Short",-1,1)*$G632*$AG632*$AH632,6)))</f>
        <v/>
      </c>
      <c r="AJ632" s="55" t="str">
        <f>IF($AM632=0,"",IF(INDEX(Settings!$E$14:$E$18,$BF632)="% of notional",IF(OR($AG632="",NOT(ISNUMBER($H632)),NOT(ISNUMBER($G632))),"",ROUND(ABS($H632*$G632*$AG632*N($AH632))*IF($L632="Limit",N(INDEX(Settings!$G$14:$G$18,$BF632)),N(INDEX(Settings!$H$14:$H$18,$BF632)))+IF(ISNUMBER($K632),ABS($K632*$G632*$AG632*N($AH632))*IF($M632="Target",N(INDEX(Settings!$G$14:$G$18,$BF632)),N(INDEX(Settings!$H$14:$H$18,$BF632))),0),6)),IF(NOT(ISNUMBER($G632)),"",ROUND(ABS($G632)*2*IF(AND($BE632&gt;0,ISNUMBER(INDEX(Instruments!$G$6:$G$205,MAX(1,$BE632)))),INDEX(Instruments!$G$6:$G$205,MAX(1,$BE632)),N(INDEX(Settings!$F$14:$F$18,$BF632))),6))))</f>
        <v/>
      </c>
      <c r="AK632" s="55" t="str">
        <f>IF($AM632=0,"",IF(ISNUMBER($O632),$O632,$AI632))</f>
        <v/>
      </c>
      <c r="AL632" s="55" t="str">
        <f>IF($AM632=0,"",IF(ISNUMBER($P632),$P632,N($AJ632)))</f>
        <v/>
      </c>
      <c r="AM632" s="56">
        <f>IF(AND($A632&lt;&gt;"",$E632&lt;&gt;"",OR(AND(ISNUMBER($G632),ISNUMBER($H632),ISNUMBER($K632)),ISNUMBER($O632))),1,0)</f>
        <v>0</v>
      </c>
      <c r="AN632" s="57" t="str">
        <f>IF($A632="","",$A632-WEEKDAY($A632,3))</f>
        <v/>
      </c>
      <c r="AO632" s="56" t="str">
        <f>IF($A632="","",WEEKDAY($A632,2))</f>
        <v/>
      </c>
      <c r="AP632" s="55" t="str">
        <f>IF(OR($AM632=0,$C632=""),"",IFERROR(N(INDEX(Accounts!$E$7:$E$16,MATCH($C632,Accounts!$B$7:$B$16,0))),0)+SUMIFS($Q$6:$Q632,$C$6:$C632,$C632))</f>
        <v/>
      </c>
      <c r="AQ632" s="55" t="str">
        <f>IF(OR($AM632=0,$C632=""),"",SUMIFS($Q$6:$Q$1005,$C$6:$C$1005,$C632,$A$6:$A$1005,$A632))</f>
        <v/>
      </c>
      <c r="AR632" s="55" t="str">
        <f>IF(OR($AM632=0,$C632=""),"",IFERROR(N(INDEX(Accounts!$E$7:$E$16,MATCH($C632,Accounts!$B$7:$B$16,0))),0)+SUMIFS($Q$6:$Q$1005,$C$6:$C$1005,$C632,$A$6:$A$1005,"&lt;="&amp;$A632))</f>
        <v/>
      </c>
      <c r="AS632" s="56">
        <f>IF(OR($AM632=0,$Q632=""),0,IF(AND($A632&gt;=Lists!$W$6,$A632&lt;=Lists!$W$7,OR(Dashboard!$D$6="All accounts",$C632=Dashboard!$D$6),OR(Dashboard!$D$7="All markets",$AF632=Dashboard!$D$7)),1,0))</f>
        <v>0</v>
      </c>
      <c r="AT632" s="55">
        <f>IF($AS632=1,N(AT631)+$Q632,N(AT631))</f>
        <v>1187.10688</v>
      </c>
      <c r="AU632" s="55">
        <f>MAX(N(AU631),$AT632)</f>
        <v>1187.10688</v>
      </c>
      <c r="AV632" s="55">
        <f>$AT632-$AU632</f>
        <v>0</v>
      </c>
      <c r="AW632" s="56">
        <f>IF($AS632=1,IF($S632="Win",N(AW631)+1,IF($S632="Loss",0,N(AW631))),N(AW631))</f>
        <v>5</v>
      </c>
      <c r="AX632" s="56">
        <f>IF($AS632=1,IF($S632="Loss",N(AX631)+1,IF($S632="Win",0,N(AX631))),N(AX631))</f>
        <v>0</v>
      </c>
      <c r="AY632" s="56" t="str">
        <f>IF($AS632=1,COUNTIF($AS$6:$AS632,1),"")</f>
        <v/>
      </c>
      <c r="AZ632" s="56">
        <f>MIN(626,N(Lists!$W$8))</f>
        <v>28</v>
      </c>
      <c r="BA632" s="56">
        <f>IF($AS632=1,IF(COUNTIFS($A$6:$A632,$A632,$AS$6:$AS632,1)=1,1,0),0)</f>
        <v>0</v>
      </c>
      <c r="BB632" s="55" t="str">
        <f>IF($BA632=1,SUMIFS($Q$6:$Q$1005,$A$6:$A$1005,$A632,$AS$6:$AS$1005,1),"")</f>
        <v/>
      </c>
      <c r="BC632" s="56">
        <f>IF(ISNUMBER($R632),1,0)</f>
        <v>0</v>
      </c>
      <c r="BD632" s="55" t="str">
        <f>IF(ISNUMBER($U632),$U632*$V632,"")</f>
        <v/>
      </c>
      <c r="BE632" s="56" t="str">
        <f>IF($AM632=0,"",IFERROR(MATCH($AF632&amp;"|"&amp;UPPER(TRIM($E632)),Lists!$A$6:$A$205,0),0))</f>
        <v/>
      </c>
      <c r="BF632" s="56" t="str">
        <f>IF($AM632=0,"",IFERROR(MATCH($AF632,Settings!$B$14:$B$18,0),IFERROR(MATCH(Settings!$C$6,Settings!$B$14:$B$18,0),1)))</f>
        <v/>
      </c>
      <c r="BG632" s="58" t="str">
        <f>IF($AM632=0,"",IF(NOT(ISNUMBER($I632)),"No stop; ","")&amp;IF(AND(ISNUMBER($H632),ISNUMBER($I632)),IF(OR(AND($F632&lt;&gt;"Short",$I632&gt;=$H632),AND($F632="Short",$I632&lt;=$H632)),"Stop on wrong side; ",""),"")&amp;IF($F632="","No direction; ","")&amp;IF(AND(ISNUMBER(Settings!$C$22),ISNUMBER($V632)),IF($V632&gt;Settings!$C$22,"Risk over max $; ",""),"")&amp;IF(AND(ISNUMBER(Settings!$C$23),ISNUMBER($V632),ISNUMBER($AP632),IFERROR(N(INDEX(Accounts!$E$7:$E$16,MATCH($C632,Accounts!$B$7:$B$16,0))),0)&gt;0),IF($V632&gt;Settings!$C$23*($AP632-N($Q632)),"Risk over max %; ",""),"")&amp;IF(AND(ISNUMBER(Settings!$C$24),ISNUMBER($N632)),IF($N632&gt;Settings!$C$24,"Leverage over max; ",""),"")&amp;IF(AND(ISNUMBER(Settings!$C$27),ISNUMBER($T632)),IF($T632&lt;Settings!$C$27,"R:R below min; ",""),"")&amp;IF(ISNUMBER(Settings!$C$25),IF(COUNTIFS($A$6:$A632,$A632,$AM$6:$AM632,1)&gt;Settings!$C$25,"Over max trades/day; ",""),"")&amp;IF(ISNUMBER(Settings!$C$26),IF(SUMIFS($Q$5:$Q631,$A$5:$A631,$A632)&lt;=-Settings!$C$26,"Traded after daily max loss; ",""),"")&amp;IF(AND($AG632="",NOT(ISNUMBER($O632))),"Symbol not in Instruments; ","")&amp;IF(AND($AH632="",NOT(ISNUMBER($O632))),"Forex cross: type Gross P&amp;L; ",""))</f>
        <v/>
      </c>
      <c r="BH632" s="56">
        <f>IF(ISNUMBER($Q632),1,0)</f>
        <v>0</v>
      </c>
      <c r="BI632" s="56">
        <f>IF($Y632="",0,1)</f>
        <v>0</v>
      </c>
      <c r="BJ632" s="56">
        <f>IF($AB632="",0,1)</f>
        <v>0</v>
      </c>
      <c r="BK632" s="56">
        <f>IF(AND($BH632=1,$W632&lt;&gt;"OK"),1,0)</f>
        <v>0</v>
      </c>
      <c r="BL632" s="55">
        <f>IF(N($AZ632)=0,0,IFERROR(INDEX($AT$6:$AT$1005,MATCH($AZ632,$AY$6:$AY$1005,0)),0))</f>
        <v>1187.10688</v>
      </c>
      <c r="BM632" s="56">
        <f>IF(ISNUMBER(SEARCH("daily max loss",$BG632)),1,0)</f>
        <v>0</v>
      </c>
    </row>
    <row r="633" ht="18" customHeight="1">
      <c r="A633" s="38" t="n"/>
      <c r="B633" s="39" t="n"/>
      <c r="C633" s="40" t="n"/>
      <c r="D633" s="41" t="n"/>
      <c r="E633" s="41" t="n"/>
      <c r="F633" s="41" t="n"/>
      <c r="G633" s="41" t="n"/>
      <c r="H633" s="42" t="n"/>
      <c r="I633" s="42" t="n"/>
      <c r="J633" s="42" t="n"/>
      <c r="K633" s="42" t="n"/>
      <c r="L633" s="41" t="n"/>
      <c r="M633" s="41" t="n"/>
      <c r="N633" s="41" t="n"/>
      <c r="O633" s="43" t="n"/>
      <c r="P633" s="43" t="n"/>
      <c r="Q633" s="44" t="str">
        <f>IF($AM633=0,"",IF(ISNUMBER($AK633),$AK633-N($AL633),""))</f>
        <v/>
      </c>
      <c r="R633" s="45" t="str">
        <f>IF(OR($Q633="",NOT(ISNUMBER($V633))),"",$AK633/$V633)</f>
        <v/>
      </c>
      <c r="S633" s="46" t="str">
        <f>IF($Q633="","",IF(AND(ISNUMBER($R633),ABS(N($R633))&lt;N(Settings!$C$8)),"Scratch",IF($Q633&gt;0,"Win",IF($Q633&lt;0,"Loss","Scratch"))))</f>
        <v/>
      </c>
      <c r="T633" s="47" t="str">
        <f>IF(OR($AM633=0,NOT(ISNUMBER($H633)),NOT(ISNUMBER($I633)),NOT(ISNUMBER($J633))),"",IF($H633=$I633,"",ROUND(ABS($J633-$H633)/ABS($H633-$I633),6)))</f>
        <v/>
      </c>
      <c r="U633" s="48" t="str">
        <f>IF(OR($S633&lt;&gt;"Win",NOT(ISNUMBER($T633)),NOT(ISNUMBER($R633))),"",MAX(0,$T633-$R633))</f>
        <v/>
      </c>
      <c r="V633" s="49" t="str">
        <f>IF(OR($AM633=0,NOT(ISNUMBER($H633)),NOT(ISNUMBER($I633)),NOT(ISNUMBER($G633))),"",IF(OR($AG633="",$AH633=""),"",IF(ROUND(ABS($H633-$I633)*ABS($G633)*$AG633*$AH633,6)=0,"",ROUND(ABS($H633-$I633)*ABS($G633)*$AG633*$AH633,6))))</f>
        <v/>
      </c>
      <c r="W633" s="50" t="str">
        <f>IF($AM633=0,"",IF($BG633="","OK",LEFT($BG633,LEN($BG633)-2)))</f>
        <v/>
      </c>
      <c r="X633" s="41" t="n"/>
      <c r="Y633" s="40" t="n"/>
      <c r="Z633" s="41" t="n"/>
      <c r="AA633" s="41" t="n"/>
      <c r="AB633" s="40" t="n"/>
      <c r="AC633" s="51" t="n"/>
      <c r="AD633" s="51" t="n"/>
      <c r="AE633" s="40" t="n"/>
      <c r="AF633" s="52" t="str">
        <f>IF($AM633=0,"",IF($D633&lt;&gt;"",$D633,IF(IFERROR(INDEX(Accounts!$C$7:$C$16,MATCH($C633,Accounts!$B$7:$B$16,0))&amp;"","")&lt;&gt;"",INDEX(Accounts!$C$7:$C$16,MATCH($C633,Accounts!$B$7:$B$16,0)),Settings!$C$6)))</f>
        <v/>
      </c>
      <c r="AG633" s="53" t="str">
        <f>IF($AM633=0,"",IF(AND($BE633&gt;0,N(INDEX(Instruments!$D$6:$D$205,MAX(1,$BE633)))&gt;0),INDEX(Instruments!$D$6:$D$205,MAX(1,$BE633)),IF(N(INDEX(Settings!$D$14:$D$18,$BF633))&gt;0,INDEX(Settings!$D$14:$D$18,$BF633),"")))</f>
        <v/>
      </c>
      <c r="AH633" s="54" t="str">
        <f>IF($AM633=0,"",IF($AF633&lt;&gt;"Forex",1,IF(MID(UPPER(SUBSTITUTE(TRIM($E633),"/","")),4,3)=UPPER(TRIM(Settings!$C$7)),1,IF(LEFT(UPPER(SUBSTITUTE(TRIM($E633),"/","")),3)=UPPER(TRIM(Settings!$C$7)),IF(AND(ISNUMBER($K633),N($K633)&lt;&gt;0),1/$K633,""),""))))</f>
        <v/>
      </c>
      <c r="AI633" s="55" t="str">
        <f>IF($AM633=0,"",IF(OR(NOT(ISNUMBER($H633)),NOT(ISNUMBER($K633)),NOT(ISNUMBER($G633)),$AG633="",$AH633=""),"",ROUND(($K633-$H633)*IF($F633="Short",-1,1)*$G633*$AG633*$AH633,6)))</f>
        <v/>
      </c>
      <c r="AJ633" s="55" t="str">
        <f>IF($AM633=0,"",IF(INDEX(Settings!$E$14:$E$18,$BF633)="% of notional",IF(OR($AG633="",NOT(ISNUMBER($H633)),NOT(ISNUMBER($G633))),"",ROUND(ABS($H633*$G633*$AG633*N($AH633))*IF($L633="Limit",N(INDEX(Settings!$G$14:$G$18,$BF633)),N(INDEX(Settings!$H$14:$H$18,$BF633)))+IF(ISNUMBER($K633),ABS($K633*$G633*$AG633*N($AH633))*IF($M633="Target",N(INDEX(Settings!$G$14:$G$18,$BF633)),N(INDEX(Settings!$H$14:$H$18,$BF633))),0),6)),IF(NOT(ISNUMBER($G633)),"",ROUND(ABS($G633)*2*IF(AND($BE633&gt;0,ISNUMBER(INDEX(Instruments!$G$6:$G$205,MAX(1,$BE633)))),INDEX(Instruments!$G$6:$G$205,MAX(1,$BE633)),N(INDEX(Settings!$F$14:$F$18,$BF633))),6))))</f>
        <v/>
      </c>
      <c r="AK633" s="55" t="str">
        <f>IF($AM633=0,"",IF(ISNUMBER($O633),$O633,$AI633))</f>
        <v/>
      </c>
      <c r="AL633" s="55" t="str">
        <f>IF($AM633=0,"",IF(ISNUMBER($P633),$P633,N($AJ633)))</f>
        <v/>
      </c>
      <c r="AM633" s="56">
        <f>IF(AND($A633&lt;&gt;"",$E633&lt;&gt;"",OR(AND(ISNUMBER($G633),ISNUMBER($H633),ISNUMBER($K633)),ISNUMBER($O633))),1,0)</f>
        <v>0</v>
      </c>
      <c r="AN633" s="57" t="str">
        <f>IF($A633="","",$A633-WEEKDAY($A633,3))</f>
        <v/>
      </c>
      <c r="AO633" s="56" t="str">
        <f>IF($A633="","",WEEKDAY($A633,2))</f>
        <v/>
      </c>
      <c r="AP633" s="55" t="str">
        <f>IF(OR($AM633=0,$C633=""),"",IFERROR(N(INDEX(Accounts!$E$7:$E$16,MATCH($C633,Accounts!$B$7:$B$16,0))),0)+SUMIFS($Q$6:$Q633,$C$6:$C633,$C633))</f>
        <v/>
      </c>
      <c r="AQ633" s="55" t="str">
        <f>IF(OR($AM633=0,$C633=""),"",SUMIFS($Q$6:$Q$1005,$C$6:$C$1005,$C633,$A$6:$A$1005,$A633))</f>
        <v/>
      </c>
      <c r="AR633" s="55" t="str">
        <f>IF(OR($AM633=0,$C633=""),"",IFERROR(N(INDEX(Accounts!$E$7:$E$16,MATCH($C633,Accounts!$B$7:$B$16,0))),0)+SUMIFS($Q$6:$Q$1005,$C$6:$C$1005,$C633,$A$6:$A$1005,"&lt;="&amp;$A633))</f>
        <v/>
      </c>
      <c r="AS633" s="56">
        <f>IF(OR($AM633=0,$Q633=""),0,IF(AND($A633&gt;=Lists!$W$6,$A633&lt;=Lists!$W$7,OR(Dashboard!$D$6="All accounts",$C633=Dashboard!$D$6),OR(Dashboard!$D$7="All markets",$AF633=Dashboard!$D$7)),1,0))</f>
        <v>0</v>
      </c>
      <c r="AT633" s="55">
        <f>IF($AS633=1,N(AT632)+$Q633,N(AT632))</f>
        <v>1187.10688</v>
      </c>
      <c r="AU633" s="55">
        <f>MAX(N(AU632),$AT633)</f>
        <v>1187.10688</v>
      </c>
      <c r="AV633" s="55">
        <f>$AT633-$AU633</f>
        <v>0</v>
      </c>
      <c r="AW633" s="56">
        <f>IF($AS633=1,IF($S633="Win",N(AW632)+1,IF($S633="Loss",0,N(AW632))),N(AW632))</f>
        <v>5</v>
      </c>
      <c r="AX633" s="56">
        <f>IF($AS633=1,IF($S633="Loss",N(AX632)+1,IF($S633="Win",0,N(AX632))),N(AX632))</f>
        <v>0</v>
      </c>
      <c r="AY633" s="56" t="str">
        <f>IF($AS633=1,COUNTIF($AS$6:$AS633,1),"")</f>
        <v/>
      </c>
      <c r="AZ633" s="56">
        <f>MIN(627,N(Lists!$W$8))</f>
        <v>28</v>
      </c>
      <c r="BA633" s="56">
        <f>IF($AS633=1,IF(COUNTIFS($A$6:$A633,$A633,$AS$6:$AS633,1)=1,1,0),0)</f>
        <v>0</v>
      </c>
      <c r="BB633" s="55" t="str">
        <f>IF($BA633=1,SUMIFS($Q$6:$Q$1005,$A$6:$A$1005,$A633,$AS$6:$AS$1005,1),"")</f>
        <v/>
      </c>
      <c r="BC633" s="56">
        <f>IF(ISNUMBER($R633),1,0)</f>
        <v>0</v>
      </c>
      <c r="BD633" s="55" t="str">
        <f>IF(ISNUMBER($U633),$U633*$V633,"")</f>
        <v/>
      </c>
      <c r="BE633" s="56" t="str">
        <f>IF($AM633=0,"",IFERROR(MATCH($AF633&amp;"|"&amp;UPPER(TRIM($E633)),Lists!$A$6:$A$205,0),0))</f>
        <v/>
      </c>
      <c r="BF633" s="56" t="str">
        <f>IF($AM633=0,"",IFERROR(MATCH($AF633,Settings!$B$14:$B$18,0),IFERROR(MATCH(Settings!$C$6,Settings!$B$14:$B$18,0),1)))</f>
        <v/>
      </c>
      <c r="BG633" s="58" t="str">
        <f>IF($AM633=0,"",IF(NOT(ISNUMBER($I633)),"No stop; ","")&amp;IF(AND(ISNUMBER($H633),ISNUMBER($I633)),IF(OR(AND($F633&lt;&gt;"Short",$I633&gt;=$H633),AND($F633="Short",$I633&lt;=$H633)),"Stop on wrong side; ",""),"")&amp;IF($F633="","No direction; ","")&amp;IF(AND(ISNUMBER(Settings!$C$22),ISNUMBER($V633)),IF($V633&gt;Settings!$C$22,"Risk over max $; ",""),"")&amp;IF(AND(ISNUMBER(Settings!$C$23),ISNUMBER($V633),ISNUMBER($AP633),IFERROR(N(INDEX(Accounts!$E$7:$E$16,MATCH($C633,Accounts!$B$7:$B$16,0))),0)&gt;0),IF($V633&gt;Settings!$C$23*($AP633-N($Q633)),"Risk over max %; ",""),"")&amp;IF(AND(ISNUMBER(Settings!$C$24),ISNUMBER($N633)),IF($N633&gt;Settings!$C$24,"Leverage over max; ",""),"")&amp;IF(AND(ISNUMBER(Settings!$C$27),ISNUMBER($T633)),IF($T633&lt;Settings!$C$27,"R:R below min; ",""),"")&amp;IF(ISNUMBER(Settings!$C$25),IF(COUNTIFS($A$6:$A633,$A633,$AM$6:$AM633,1)&gt;Settings!$C$25,"Over max trades/day; ",""),"")&amp;IF(ISNUMBER(Settings!$C$26),IF(SUMIFS($Q$5:$Q632,$A$5:$A632,$A633)&lt;=-Settings!$C$26,"Traded after daily max loss; ",""),"")&amp;IF(AND($AG633="",NOT(ISNUMBER($O633))),"Symbol not in Instruments; ","")&amp;IF(AND($AH633="",NOT(ISNUMBER($O633))),"Forex cross: type Gross P&amp;L; ",""))</f>
        <v/>
      </c>
      <c r="BH633" s="56">
        <f>IF(ISNUMBER($Q633),1,0)</f>
        <v>0</v>
      </c>
      <c r="BI633" s="56">
        <f>IF($Y633="",0,1)</f>
        <v>0</v>
      </c>
      <c r="BJ633" s="56">
        <f>IF($AB633="",0,1)</f>
        <v>0</v>
      </c>
      <c r="BK633" s="56">
        <f>IF(AND($BH633=1,$W633&lt;&gt;"OK"),1,0)</f>
        <v>0</v>
      </c>
      <c r="BL633" s="55">
        <f>IF(N($AZ633)=0,0,IFERROR(INDEX($AT$6:$AT$1005,MATCH($AZ633,$AY$6:$AY$1005,0)),0))</f>
        <v>1187.10688</v>
      </c>
      <c r="BM633" s="56">
        <f>IF(ISNUMBER(SEARCH("daily max loss",$BG633)),1,0)</f>
        <v>0</v>
      </c>
    </row>
    <row r="634" ht="18" customHeight="1">
      <c r="A634" s="38" t="n"/>
      <c r="B634" s="39" t="n"/>
      <c r="C634" s="40" t="n"/>
      <c r="D634" s="41" t="n"/>
      <c r="E634" s="41" t="n"/>
      <c r="F634" s="41" t="n"/>
      <c r="G634" s="41" t="n"/>
      <c r="H634" s="42" t="n"/>
      <c r="I634" s="42" t="n"/>
      <c r="J634" s="42" t="n"/>
      <c r="K634" s="42" t="n"/>
      <c r="L634" s="41" t="n"/>
      <c r="M634" s="41" t="n"/>
      <c r="N634" s="41" t="n"/>
      <c r="O634" s="43" t="n"/>
      <c r="P634" s="43" t="n"/>
      <c r="Q634" s="44" t="str">
        <f>IF($AM634=0,"",IF(ISNUMBER($AK634),$AK634-N($AL634),""))</f>
        <v/>
      </c>
      <c r="R634" s="45" t="str">
        <f>IF(OR($Q634="",NOT(ISNUMBER($V634))),"",$AK634/$V634)</f>
        <v/>
      </c>
      <c r="S634" s="46" t="str">
        <f>IF($Q634="","",IF(AND(ISNUMBER($R634),ABS(N($R634))&lt;N(Settings!$C$8)),"Scratch",IF($Q634&gt;0,"Win",IF($Q634&lt;0,"Loss","Scratch"))))</f>
        <v/>
      </c>
      <c r="T634" s="47" t="str">
        <f>IF(OR($AM634=0,NOT(ISNUMBER($H634)),NOT(ISNUMBER($I634)),NOT(ISNUMBER($J634))),"",IF($H634=$I634,"",ROUND(ABS($J634-$H634)/ABS($H634-$I634),6)))</f>
        <v/>
      </c>
      <c r="U634" s="48" t="str">
        <f>IF(OR($S634&lt;&gt;"Win",NOT(ISNUMBER($T634)),NOT(ISNUMBER($R634))),"",MAX(0,$T634-$R634))</f>
        <v/>
      </c>
      <c r="V634" s="49" t="str">
        <f>IF(OR($AM634=0,NOT(ISNUMBER($H634)),NOT(ISNUMBER($I634)),NOT(ISNUMBER($G634))),"",IF(OR($AG634="",$AH634=""),"",IF(ROUND(ABS($H634-$I634)*ABS($G634)*$AG634*$AH634,6)=0,"",ROUND(ABS($H634-$I634)*ABS($G634)*$AG634*$AH634,6))))</f>
        <v/>
      </c>
      <c r="W634" s="50" t="str">
        <f>IF($AM634=0,"",IF($BG634="","OK",LEFT($BG634,LEN($BG634)-2)))</f>
        <v/>
      </c>
      <c r="X634" s="41" t="n"/>
      <c r="Y634" s="40" t="n"/>
      <c r="Z634" s="41" t="n"/>
      <c r="AA634" s="41" t="n"/>
      <c r="AB634" s="40" t="n"/>
      <c r="AC634" s="51" t="n"/>
      <c r="AD634" s="51" t="n"/>
      <c r="AE634" s="40" t="n"/>
      <c r="AF634" s="52" t="str">
        <f>IF($AM634=0,"",IF($D634&lt;&gt;"",$D634,IF(IFERROR(INDEX(Accounts!$C$7:$C$16,MATCH($C634,Accounts!$B$7:$B$16,0))&amp;"","")&lt;&gt;"",INDEX(Accounts!$C$7:$C$16,MATCH($C634,Accounts!$B$7:$B$16,0)),Settings!$C$6)))</f>
        <v/>
      </c>
      <c r="AG634" s="53" t="str">
        <f>IF($AM634=0,"",IF(AND($BE634&gt;0,N(INDEX(Instruments!$D$6:$D$205,MAX(1,$BE634)))&gt;0),INDEX(Instruments!$D$6:$D$205,MAX(1,$BE634)),IF(N(INDEX(Settings!$D$14:$D$18,$BF634))&gt;0,INDEX(Settings!$D$14:$D$18,$BF634),"")))</f>
        <v/>
      </c>
      <c r="AH634" s="54" t="str">
        <f>IF($AM634=0,"",IF($AF634&lt;&gt;"Forex",1,IF(MID(UPPER(SUBSTITUTE(TRIM($E634),"/","")),4,3)=UPPER(TRIM(Settings!$C$7)),1,IF(LEFT(UPPER(SUBSTITUTE(TRIM($E634),"/","")),3)=UPPER(TRIM(Settings!$C$7)),IF(AND(ISNUMBER($K634),N($K634)&lt;&gt;0),1/$K634,""),""))))</f>
        <v/>
      </c>
      <c r="AI634" s="55" t="str">
        <f>IF($AM634=0,"",IF(OR(NOT(ISNUMBER($H634)),NOT(ISNUMBER($K634)),NOT(ISNUMBER($G634)),$AG634="",$AH634=""),"",ROUND(($K634-$H634)*IF($F634="Short",-1,1)*$G634*$AG634*$AH634,6)))</f>
        <v/>
      </c>
      <c r="AJ634" s="55" t="str">
        <f>IF($AM634=0,"",IF(INDEX(Settings!$E$14:$E$18,$BF634)="% of notional",IF(OR($AG634="",NOT(ISNUMBER($H634)),NOT(ISNUMBER($G634))),"",ROUND(ABS($H634*$G634*$AG634*N($AH634))*IF($L634="Limit",N(INDEX(Settings!$G$14:$G$18,$BF634)),N(INDEX(Settings!$H$14:$H$18,$BF634)))+IF(ISNUMBER($K634),ABS($K634*$G634*$AG634*N($AH634))*IF($M634="Target",N(INDEX(Settings!$G$14:$G$18,$BF634)),N(INDEX(Settings!$H$14:$H$18,$BF634))),0),6)),IF(NOT(ISNUMBER($G634)),"",ROUND(ABS($G634)*2*IF(AND($BE634&gt;0,ISNUMBER(INDEX(Instruments!$G$6:$G$205,MAX(1,$BE634)))),INDEX(Instruments!$G$6:$G$205,MAX(1,$BE634)),N(INDEX(Settings!$F$14:$F$18,$BF634))),6))))</f>
        <v/>
      </c>
      <c r="AK634" s="55" t="str">
        <f>IF($AM634=0,"",IF(ISNUMBER($O634),$O634,$AI634))</f>
        <v/>
      </c>
      <c r="AL634" s="55" t="str">
        <f>IF($AM634=0,"",IF(ISNUMBER($P634),$P634,N($AJ634)))</f>
        <v/>
      </c>
      <c r="AM634" s="56">
        <f>IF(AND($A634&lt;&gt;"",$E634&lt;&gt;"",OR(AND(ISNUMBER($G634),ISNUMBER($H634),ISNUMBER($K634)),ISNUMBER($O634))),1,0)</f>
        <v>0</v>
      </c>
      <c r="AN634" s="57" t="str">
        <f>IF($A634="","",$A634-WEEKDAY($A634,3))</f>
        <v/>
      </c>
      <c r="AO634" s="56" t="str">
        <f>IF($A634="","",WEEKDAY($A634,2))</f>
        <v/>
      </c>
      <c r="AP634" s="55" t="str">
        <f>IF(OR($AM634=0,$C634=""),"",IFERROR(N(INDEX(Accounts!$E$7:$E$16,MATCH($C634,Accounts!$B$7:$B$16,0))),0)+SUMIFS($Q$6:$Q634,$C$6:$C634,$C634))</f>
        <v/>
      </c>
      <c r="AQ634" s="55" t="str">
        <f>IF(OR($AM634=0,$C634=""),"",SUMIFS($Q$6:$Q$1005,$C$6:$C$1005,$C634,$A$6:$A$1005,$A634))</f>
        <v/>
      </c>
      <c r="AR634" s="55" t="str">
        <f>IF(OR($AM634=0,$C634=""),"",IFERROR(N(INDEX(Accounts!$E$7:$E$16,MATCH($C634,Accounts!$B$7:$B$16,0))),0)+SUMIFS($Q$6:$Q$1005,$C$6:$C$1005,$C634,$A$6:$A$1005,"&lt;="&amp;$A634))</f>
        <v/>
      </c>
      <c r="AS634" s="56">
        <f>IF(OR($AM634=0,$Q634=""),0,IF(AND($A634&gt;=Lists!$W$6,$A634&lt;=Lists!$W$7,OR(Dashboard!$D$6="All accounts",$C634=Dashboard!$D$6),OR(Dashboard!$D$7="All markets",$AF634=Dashboard!$D$7)),1,0))</f>
        <v>0</v>
      </c>
      <c r="AT634" s="55">
        <f>IF($AS634=1,N(AT633)+$Q634,N(AT633))</f>
        <v>1187.10688</v>
      </c>
      <c r="AU634" s="55">
        <f>MAX(N(AU633),$AT634)</f>
        <v>1187.10688</v>
      </c>
      <c r="AV634" s="55">
        <f>$AT634-$AU634</f>
        <v>0</v>
      </c>
      <c r="AW634" s="56">
        <f>IF($AS634=1,IF($S634="Win",N(AW633)+1,IF($S634="Loss",0,N(AW633))),N(AW633))</f>
        <v>5</v>
      </c>
      <c r="AX634" s="56">
        <f>IF($AS634=1,IF($S634="Loss",N(AX633)+1,IF($S634="Win",0,N(AX633))),N(AX633))</f>
        <v>0</v>
      </c>
      <c r="AY634" s="56" t="str">
        <f>IF($AS634=1,COUNTIF($AS$6:$AS634,1),"")</f>
        <v/>
      </c>
      <c r="AZ634" s="56">
        <f>MIN(628,N(Lists!$W$8))</f>
        <v>28</v>
      </c>
      <c r="BA634" s="56">
        <f>IF($AS634=1,IF(COUNTIFS($A$6:$A634,$A634,$AS$6:$AS634,1)=1,1,0),0)</f>
        <v>0</v>
      </c>
      <c r="BB634" s="55" t="str">
        <f>IF($BA634=1,SUMIFS($Q$6:$Q$1005,$A$6:$A$1005,$A634,$AS$6:$AS$1005,1),"")</f>
        <v/>
      </c>
      <c r="BC634" s="56">
        <f>IF(ISNUMBER($R634),1,0)</f>
        <v>0</v>
      </c>
      <c r="BD634" s="55" t="str">
        <f>IF(ISNUMBER($U634),$U634*$V634,"")</f>
        <v/>
      </c>
      <c r="BE634" s="56" t="str">
        <f>IF($AM634=0,"",IFERROR(MATCH($AF634&amp;"|"&amp;UPPER(TRIM($E634)),Lists!$A$6:$A$205,0),0))</f>
        <v/>
      </c>
      <c r="BF634" s="56" t="str">
        <f>IF($AM634=0,"",IFERROR(MATCH($AF634,Settings!$B$14:$B$18,0),IFERROR(MATCH(Settings!$C$6,Settings!$B$14:$B$18,0),1)))</f>
        <v/>
      </c>
      <c r="BG634" s="58" t="str">
        <f>IF($AM634=0,"",IF(NOT(ISNUMBER($I634)),"No stop; ","")&amp;IF(AND(ISNUMBER($H634),ISNUMBER($I634)),IF(OR(AND($F634&lt;&gt;"Short",$I634&gt;=$H634),AND($F634="Short",$I634&lt;=$H634)),"Stop on wrong side; ",""),"")&amp;IF($F634="","No direction; ","")&amp;IF(AND(ISNUMBER(Settings!$C$22),ISNUMBER($V634)),IF($V634&gt;Settings!$C$22,"Risk over max $; ",""),"")&amp;IF(AND(ISNUMBER(Settings!$C$23),ISNUMBER($V634),ISNUMBER($AP634),IFERROR(N(INDEX(Accounts!$E$7:$E$16,MATCH($C634,Accounts!$B$7:$B$16,0))),0)&gt;0),IF($V634&gt;Settings!$C$23*($AP634-N($Q634)),"Risk over max %; ",""),"")&amp;IF(AND(ISNUMBER(Settings!$C$24),ISNUMBER($N634)),IF($N634&gt;Settings!$C$24,"Leverage over max; ",""),"")&amp;IF(AND(ISNUMBER(Settings!$C$27),ISNUMBER($T634)),IF($T634&lt;Settings!$C$27,"R:R below min; ",""),"")&amp;IF(ISNUMBER(Settings!$C$25),IF(COUNTIFS($A$6:$A634,$A634,$AM$6:$AM634,1)&gt;Settings!$C$25,"Over max trades/day; ",""),"")&amp;IF(ISNUMBER(Settings!$C$26),IF(SUMIFS($Q$5:$Q633,$A$5:$A633,$A634)&lt;=-Settings!$C$26,"Traded after daily max loss; ",""),"")&amp;IF(AND($AG634="",NOT(ISNUMBER($O634))),"Symbol not in Instruments; ","")&amp;IF(AND($AH634="",NOT(ISNUMBER($O634))),"Forex cross: type Gross P&amp;L; ",""))</f>
        <v/>
      </c>
      <c r="BH634" s="56">
        <f>IF(ISNUMBER($Q634),1,0)</f>
        <v>0</v>
      </c>
      <c r="BI634" s="56">
        <f>IF($Y634="",0,1)</f>
        <v>0</v>
      </c>
      <c r="BJ634" s="56">
        <f>IF($AB634="",0,1)</f>
        <v>0</v>
      </c>
      <c r="BK634" s="56">
        <f>IF(AND($BH634=1,$W634&lt;&gt;"OK"),1,0)</f>
        <v>0</v>
      </c>
      <c r="BL634" s="55">
        <f>IF(N($AZ634)=0,0,IFERROR(INDEX($AT$6:$AT$1005,MATCH($AZ634,$AY$6:$AY$1005,0)),0))</f>
        <v>1187.10688</v>
      </c>
      <c r="BM634" s="56">
        <f>IF(ISNUMBER(SEARCH("daily max loss",$BG634)),1,0)</f>
        <v>0</v>
      </c>
    </row>
    <row r="635" ht="18" customHeight="1">
      <c r="A635" s="38" t="n"/>
      <c r="B635" s="39" t="n"/>
      <c r="C635" s="40" t="n"/>
      <c r="D635" s="41" t="n"/>
      <c r="E635" s="41" t="n"/>
      <c r="F635" s="41" t="n"/>
      <c r="G635" s="41" t="n"/>
      <c r="H635" s="42" t="n"/>
      <c r="I635" s="42" t="n"/>
      <c r="J635" s="42" t="n"/>
      <c r="K635" s="42" t="n"/>
      <c r="L635" s="41" t="n"/>
      <c r="M635" s="41" t="n"/>
      <c r="N635" s="41" t="n"/>
      <c r="O635" s="43" t="n"/>
      <c r="P635" s="43" t="n"/>
      <c r="Q635" s="44" t="str">
        <f>IF($AM635=0,"",IF(ISNUMBER($AK635),$AK635-N($AL635),""))</f>
        <v/>
      </c>
      <c r="R635" s="45" t="str">
        <f>IF(OR($Q635="",NOT(ISNUMBER($V635))),"",$AK635/$V635)</f>
        <v/>
      </c>
      <c r="S635" s="46" t="str">
        <f>IF($Q635="","",IF(AND(ISNUMBER($R635),ABS(N($R635))&lt;N(Settings!$C$8)),"Scratch",IF($Q635&gt;0,"Win",IF($Q635&lt;0,"Loss","Scratch"))))</f>
        <v/>
      </c>
      <c r="T635" s="47" t="str">
        <f>IF(OR($AM635=0,NOT(ISNUMBER($H635)),NOT(ISNUMBER($I635)),NOT(ISNUMBER($J635))),"",IF($H635=$I635,"",ROUND(ABS($J635-$H635)/ABS($H635-$I635),6)))</f>
        <v/>
      </c>
      <c r="U635" s="48" t="str">
        <f>IF(OR($S635&lt;&gt;"Win",NOT(ISNUMBER($T635)),NOT(ISNUMBER($R635))),"",MAX(0,$T635-$R635))</f>
        <v/>
      </c>
      <c r="V635" s="49" t="str">
        <f>IF(OR($AM635=0,NOT(ISNUMBER($H635)),NOT(ISNUMBER($I635)),NOT(ISNUMBER($G635))),"",IF(OR($AG635="",$AH635=""),"",IF(ROUND(ABS($H635-$I635)*ABS($G635)*$AG635*$AH635,6)=0,"",ROUND(ABS($H635-$I635)*ABS($G635)*$AG635*$AH635,6))))</f>
        <v/>
      </c>
      <c r="W635" s="50" t="str">
        <f>IF($AM635=0,"",IF($BG635="","OK",LEFT($BG635,LEN($BG635)-2)))</f>
        <v/>
      </c>
      <c r="X635" s="41" t="n"/>
      <c r="Y635" s="40" t="n"/>
      <c r="Z635" s="41" t="n"/>
      <c r="AA635" s="41" t="n"/>
      <c r="AB635" s="40" t="n"/>
      <c r="AC635" s="51" t="n"/>
      <c r="AD635" s="51" t="n"/>
      <c r="AE635" s="40" t="n"/>
      <c r="AF635" s="52" t="str">
        <f>IF($AM635=0,"",IF($D635&lt;&gt;"",$D635,IF(IFERROR(INDEX(Accounts!$C$7:$C$16,MATCH($C635,Accounts!$B$7:$B$16,0))&amp;"","")&lt;&gt;"",INDEX(Accounts!$C$7:$C$16,MATCH($C635,Accounts!$B$7:$B$16,0)),Settings!$C$6)))</f>
        <v/>
      </c>
      <c r="AG635" s="53" t="str">
        <f>IF($AM635=0,"",IF(AND($BE635&gt;0,N(INDEX(Instruments!$D$6:$D$205,MAX(1,$BE635)))&gt;0),INDEX(Instruments!$D$6:$D$205,MAX(1,$BE635)),IF(N(INDEX(Settings!$D$14:$D$18,$BF635))&gt;0,INDEX(Settings!$D$14:$D$18,$BF635),"")))</f>
        <v/>
      </c>
      <c r="AH635" s="54" t="str">
        <f>IF($AM635=0,"",IF($AF635&lt;&gt;"Forex",1,IF(MID(UPPER(SUBSTITUTE(TRIM($E635),"/","")),4,3)=UPPER(TRIM(Settings!$C$7)),1,IF(LEFT(UPPER(SUBSTITUTE(TRIM($E635),"/","")),3)=UPPER(TRIM(Settings!$C$7)),IF(AND(ISNUMBER($K635),N($K635)&lt;&gt;0),1/$K635,""),""))))</f>
        <v/>
      </c>
      <c r="AI635" s="55" t="str">
        <f>IF($AM635=0,"",IF(OR(NOT(ISNUMBER($H635)),NOT(ISNUMBER($K635)),NOT(ISNUMBER($G635)),$AG635="",$AH635=""),"",ROUND(($K635-$H635)*IF($F635="Short",-1,1)*$G635*$AG635*$AH635,6)))</f>
        <v/>
      </c>
      <c r="AJ635" s="55" t="str">
        <f>IF($AM635=0,"",IF(INDEX(Settings!$E$14:$E$18,$BF635)="% of notional",IF(OR($AG635="",NOT(ISNUMBER($H635)),NOT(ISNUMBER($G635))),"",ROUND(ABS($H635*$G635*$AG635*N($AH635))*IF($L635="Limit",N(INDEX(Settings!$G$14:$G$18,$BF635)),N(INDEX(Settings!$H$14:$H$18,$BF635)))+IF(ISNUMBER($K635),ABS($K635*$G635*$AG635*N($AH635))*IF($M635="Target",N(INDEX(Settings!$G$14:$G$18,$BF635)),N(INDEX(Settings!$H$14:$H$18,$BF635))),0),6)),IF(NOT(ISNUMBER($G635)),"",ROUND(ABS($G635)*2*IF(AND($BE635&gt;0,ISNUMBER(INDEX(Instruments!$G$6:$G$205,MAX(1,$BE635)))),INDEX(Instruments!$G$6:$G$205,MAX(1,$BE635)),N(INDEX(Settings!$F$14:$F$18,$BF635))),6))))</f>
        <v/>
      </c>
      <c r="AK635" s="55" t="str">
        <f>IF($AM635=0,"",IF(ISNUMBER($O635),$O635,$AI635))</f>
        <v/>
      </c>
      <c r="AL635" s="55" t="str">
        <f>IF($AM635=0,"",IF(ISNUMBER($P635),$P635,N($AJ635)))</f>
        <v/>
      </c>
      <c r="AM635" s="56">
        <f>IF(AND($A635&lt;&gt;"",$E635&lt;&gt;"",OR(AND(ISNUMBER($G635),ISNUMBER($H635),ISNUMBER($K635)),ISNUMBER($O635))),1,0)</f>
        <v>0</v>
      </c>
      <c r="AN635" s="57" t="str">
        <f>IF($A635="","",$A635-WEEKDAY($A635,3))</f>
        <v/>
      </c>
      <c r="AO635" s="56" t="str">
        <f>IF($A635="","",WEEKDAY($A635,2))</f>
        <v/>
      </c>
      <c r="AP635" s="55" t="str">
        <f>IF(OR($AM635=0,$C635=""),"",IFERROR(N(INDEX(Accounts!$E$7:$E$16,MATCH($C635,Accounts!$B$7:$B$16,0))),0)+SUMIFS($Q$6:$Q635,$C$6:$C635,$C635))</f>
        <v/>
      </c>
      <c r="AQ635" s="55" t="str">
        <f>IF(OR($AM635=0,$C635=""),"",SUMIFS($Q$6:$Q$1005,$C$6:$C$1005,$C635,$A$6:$A$1005,$A635))</f>
        <v/>
      </c>
      <c r="AR635" s="55" t="str">
        <f>IF(OR($AM635=0,$C635=""),"",IFERROR(N(INDEX(Accounts!$E$7:$E$16,MATCH($C635,Accounts!$B$7:$B$16,0))),0)+SUMIFS($Q$6:$Q$1005,$C$6:$C$1005,$C635,$A$6:$A$1005,"&lt;="&amp;$A635))</f>
        <v/>
      </c>
      <c r="AS635" s="56">
        <f>IF(OR($AM635=0,$Q635=""),0,IF(AND($A635&gt;=Lists!$W$6,$A635&lt;=Lists!$W$7,OR(Dashboard!$D$6="All accounts",$C635=Dashboard!$D$6),OR(Dashboard!$D$7="All markets",$AF635=Dashboard!$D$7)),1,0))</f>
        <v>0</v>
      </c>
      <c r="AT635" s="55">
        <f>IF($AS635=1,N(AT634)+$Q635,N(AT634))</f>
        <v>1187.10688</v>
      </c>
      <c r="AU635" s="55">
        <f>MAX(N(AU634),$AT635)</f>
        <v>1187.10688</v>
      </c>
      <c r="AV635" s="55">
        <f>$AT635-$AU635</f>
        <v>0</v>
      </c>
      <c r="AW635" s="56">
        <f>IF($AS635=1,IF($S635="Win",N(AW634)+1,IF($S635="Loss",0,N(AW634))),N(AW634))</f>
        <v>5</v>
      </c>
      <c r="AX635" s="56">
        <f>IF($AS635=1,IF($S635="Loss",N(AX634)+1,IF($S635="Win",0,N(AX634))),N(AX634))</f>
        <v>0</v>
      </c>
      <c r="AY635" s="56" t="str">
        <f>IF($AS635=1,COUNTIF($AS$6:$AS635,1),"")</f>
        <v/>
      </c>
      <c r="AZ635" s="56">
        <f>MIN(629,N(Lists!$W$8))</f>
        <v>28</v>
      </c>
      <c r="BA635" s="56">
        <f>IF($AS635=1,IF(COUNTIFS($A$6:$A635,$A635,$AS$6:$AS635,1)=1,1,0),0)</f>
        <v>0</v>
      </c>
      <c r="BB635" s="55" t="str">
        <f>IF($BA635=1,SUMIFS($Q$6:$Q$1005,$A$6:$A$1005,$A635,$AS$6:$AS$1005,1),"")</f>
        <v/>
      </c>
      <c r="BC635" s="56">
        <f>IF(ISNUMBER($R635),1,0)</f>
        <v>0</v>
      </c>
      <c r="BD635" s="55" t="str">
        <f>IF(ISNUMBER($U635),$U635*$V635,"")</f>
        <v/>
      </c>
      <c r="BE635" s="56" t="str">
        <f>IF($AM635=0,"",IFERROR(MATCH($AF635&amp;"|"&amp;UPPER(TRIM($E635)),Lists!$A$6:$A$205,0),0))</f>
        <v/>
      </c>
      <c r="BF635" s="56" t="str">
        <f>IF($AM635=0,"",IFERROR(MATCH($AF635,Settings!$B$14:$B$18,0),IFERROR(MATCH(Settings!$C$6,Settings!$B$14:$B$18,0),1)))</f>
        <v/>
      </c>
      <c r="BG635" s="58" t="str">
        <f>IF($AM635=0,"",IF(NOT(ISNUMBER($I635)),"No stop; ","")&amp;IF(AND(ISNUMBER($H635),ISNUMBER($I635)),IF(OR(AND($F635&lt;&gt;"Short",$I635&gt;=$H635),AND($F635="Short",$I635&lt;=$H635)),"Stop on wrong side; ",""),"")&amp;IF($F635="","No direction; ","")&amp;IF(AND(ISNUMBER(Settings!$C$22),ISNUMBER($V635)),IF($V635&gt;Settings!$C$22,"Risk over max $; ",""),"")&amp;IF(AND(ISNUMBER(Settings!$C$23),ISNUMBER($V635),ISNUMBER($AP635),IFERROR(N(INDEX(Accounts!$E$7:$E$16,MATCH($C635,Accounts!$B$7:$B$16,0))),0)&gt;0),IF($V635&gt;Settings!$C$23*($AP635-N($Q635)),"Risk over max %; ",""),"")&amp;IF(AND(ISNUMBER(Settings!$C$24),ISNUMBER($N635)),IF($N635&gt;Settings!$C$24,"Leverage over max; ",""),"")&amp;IF(AND(ISNUMBER(Settings!$C$27),ISNUMBER($T635)),IF($T635&lt;Settings!$C$27,"R:R below min; ",""),"")&amp;IF(ISNUMBER(Settings!$C$25),IF(COUNTIFS($A$6:$A635,$A635,$AM$6:$AM635,1)&gt;Settings!$C$25,"Over max trades/day; ",""),"")&amp;IF(ISNUMBER(Settings!$C$26),IF(SUMIFS($Q$5:$Q634,$A$5:$A634,$A635)&lt;=-Settings!$C$26,"Traded after daily max loss; ",""),"")&amp;IF(AND($AG635="",NOT(ISNUMBER($O635))),"Symbol not in Instruments; ","")&amp;IF(AND($AH635="",NOT(ISNUMBER($O635))),"Forex cross: type Gross P&amp;L; ",""))</f>
        <v/>
      </c>
      <c r="BH635" s="56">
        <f>IF(ISNUMBER($Q635),1,0)</f>
        <v>0</v>
      </c>
      <c r="BI635" s="56">
        <f>IF($Y635="",0,1)</f>
        <v>0</v>
      </c>
      <c r="BJ635" s="56">
        <f>IF($AB635="",0,1)</f>
        <v>0</v>
      </c>
      <c r="BK635" s="56">
        <f>IF(AND($BH635=1,$W635&lt;&gt;"OK"),1,0)</f>
        <v>0</v>
      </c>
      <c r="BL635" s="55">
        <f>IF(N($AZ635)=0,0,IFERROR(INDEX($AT$6:$AT$1005,MATCH($AZ635,$AY$6:$AY$1005,0)),0))</f>
        <v>1187.10688</v>
      </c>
      <c r="BM635" s="56">
        <f>IF(ISNUMBER(SEARCH("daily max loss",$BG635)),1,0)</f>
        <v>0</v>
      </c>
    </row>
    <row r="636" ht="18" customHeight="1">
      <c r="A636" s="38" t="n"/>
      <c r="B636" s="39" t="n"/>
      <c r="C636" s="40" t="n"/>
      <c r="D636" s="41" t="n"/>
      <c r="E636" s="41" t="n"/>
      <c r="F636" s="41" t="n"/>
      <c r="G636" s="41" t="n"/>
      <c r="H636" s="42" t="n"/>
      <c r="I636" s="42" t="n"/>
      <c r="J636" s="42" t="n"/>
      <c r="K636" s="42" t="n"/>
      <c r="L636" s="41" t="n"/>
      <c r="M636" s="41" t="n"/>
      <c r="N636" s="41" t="n"/>
      <c r="O636" s="43" t="n"/>
      <c r="P636" s="43" t="n"/>
      <c r="Q636" s="44" t="str">
        <f>IF($AM636=0,"",IF(ISNUMBER($AK636),$AK636-N($AL636),""))</f>
        <v/>
      </c>
      <c r="R636" s="45" t="str">
        <f>IF(OR($Q636="",NOT(ISNUMBER($V636))),"",$AK636/$V636)</f>
        <v/>
      </c>
      <c r="S636" s="46" t="str">
        <f>IF($Q636="","",IF(AND(ISNUMBER($R636),ABS(N($R636))&lt;N(Settings!$C$8)),"Scratch",IF($Q636&gt;0,"Win",IF($Q636&lt;0,"Loss","Scratch"))))</f>
        <v/>
      </c>
      <c r="T636" s="47" t="str">
        <f>IF(OR($AM636=0,NOT(ISNUMBER($H636)),NOT(ISNUMBER($I636)),NOT(ISNUMBER($J636))),"",IF($H636=$I636,"",ROUND(ABS($J636-$H636)/ABS($H636-$I636),6)))</f>
        <v/>
      </c>
      <c r="U636" s="48" t="str">
        <f>IF(OR($S636&lt;&gt;"Win",NOT(ISNUMBER($T636)),NOT(ISNUMBER($R636))),"",MAX(0,$T636-$R636))</f>
        <v/>
      </c>
      <c r="V636" s="49" t="str">
        <f>IF(OR($AM636=0,NOT(ISNUMBER($H636)),NOT(ISNUMBER($I636)),NOT(ISNUMBER($G636))),"",IF(OR($AG636="",$AH636=""),"",IF(ROUND(ABS($H636-$I636)*ABS($G636)*$AG636*$AH636,6)=0,"",ROUND(ABS($H636-$I636)*ABS($G636)*$AG636*$AH636,6))))</f>
        <v/>
      </c>
      <c r="W636" s="50" t="str">
        <f>IF($AM636=0,"",IF($BG636="","OK",LEFT($BG636,LEN($BG636)-2)))</f>
        <v/>
      </c>
      <c r="X636" s="41" t="n"/>
      <c r="Y636" s="40" t="n"/>
      <c r="Z636" s="41" t="n"/>
      <c r="AA636" s="41" t="n"/>
      <c r="AB636" s="40" t="n"/>
      <c r="AC636" s="51" t="n"/>
      <c r="AD636" s="51" t="n"/>
      <c r="AE636" s="40" t="n"/>
      <c r="AF636" s="52" t="str">
        <f>IF($AM636=0,"",IF($D636&lt;&gt;"",$D636,IF(IFERROR(INDEX(Accounts!$C$7:$C$16,MATCH($C636,Accounts!$B$7:$B$16,0))&amp;"","")&lt;&gt;"",INDEX(Accounts!$C$7:$C$16,MATCH($C636,Accounts!$B$7:$B$16,0)),Settings!$C$6)))</f>
        <v/>
      </c>
      <c r="AG636" s="53" t="str">
        <f>IF($AM636=0,"",IF(AND($BE636&gt;0,N(INDEX(Instruments!$D$6:$D$205,MAX(1,$BE636)))&gt;0),INDEX(Instruments!$D$6:$D$205,MAX(1,$BE636)),IF(N(INDEX(Settings!$D$14:$D$18,$BF636))&gt;0,INDEX(Settings!$D$14:$D$18,$BF636),"")))</f>
        <v/>
      </c>
      <c r="AH636" s="54" t="str">
        <f>IF($AM636=0,"",IF($AF636&lt;&gt;"Forex",1,IF(MID(UPPER(SUBSTITUTE(TRIM($E636),"/","")),4,3)=UPPER(TRIM(Settings!$C$7)),1,IF(LEFT(UPPER(SUBSTITUTE(TRIM($E636),"/","")),3)=UPPER(TRIM(Settings!$C$7)),IF(AND(ISNUMBER($K636),N($K636)&lt;&gt;0),1/$K636,""),""))))</f>
        <v/>
      </c>
      <c r="AI636" s="55" t="str">
        <f>IF($AM636=0,"",IF(OR(NOT(ISNUMBER($H636)),NOT(ISNUMBER($K636)),NOT(ISNUMBER($G636)),$AG636="",$AH636=""),"",ROUND(($K636-$H636)*IF($F636="Short",-1,1)*$G636*$AG636*$AH636,6)))</f>
        <v/>
      </c>
      <c r="AJ636" s="55" t="str">
        <f>IF($AM636=0,"",IF(INDEX(Settings!$E$14:$E$18,$BF636)="% of notional",IF(OR($AG636="",NOT(ISNUMBER($H636)),NOT(ISNUMBER($G636))),"",ROUND(ABS($H636*$G636*$AG636*N($AH636))*IF($L636="Limit",N(INDEX(Settings!$G$14:$G$18,$BF636)),N(INDEX(Settings!$H$14:$H$18,$BF636)))+IF(ISNUMBER($K636),ABS($K636*$G636*$AG636*N($AH636))*IF($M636="Target",N(INDEX(Settings!$G$14:$G$18,$BF636)),N(INDEX(Settings!$H$14:$H$18,$BF636))),0),6)),IF(NOT(ISNUMBER($G636)),"",ROUND(ABS($G636)*2*IF(AND($BE636&gt;0,ISNUMBER(INDEX(Instruments!$G$6:$G$205,MAX(1,$BE636)))),INDEX(Instruments!$G$6:$G$205,MAX(1,$BE636)),N(INDEX(Settings!$F$14:$F$18,$BF636))),6))))</f>
        <v/>
      </c>
      <c r="AK636" s="55" t="str">
        <f>IF($AM636=0,"",IF(ISNUMBER($O636),$O636,$AI636))</f>
        <v/>
      </c>
      <c r="AL636" s="55" t="str">
        <f>IF($AM636=0,"",IF(ISNUMBER($P636),$P636,N($AJ636)))</f>
        <v/>
      </c>
      <c r="AM636" s="56">
        <f>IF(AND($A636&lt;&gt;"",$E636&lt;&gt;"",OR(AND(ISNUMBER($G636),ISNUMBER($H636),ISNUMBER($K636)),ISNUMBER($O636))),1,0)</f>
        <v>0</v>
      </c>
      <c r="AN636" s="57" t="str">
        <f>IF($A636="","",$A636-WEEKDAY($A636,3))</f>
        <v/>
      </c>
      <c r="AO636" s="56" t="str">
        <f>IF($A636="","",WEEKDAY($A636,2))</f>
        <v/>
      </c>
      <c r="AP636" s="55" t="str">
        <f>IF(OR($AM636=0,$C636=""),"",IFERROR(N(INDEX(Accounts!$E$7:$E$16,MATCH($C636,Accounts!$B$7:$B$16,0))),0)+SUMIFS($Q$6:$Q636,$C$6:$C636,$C636))</f>
        <v/>
      </c>
      <c r="AQ636" s="55" t="str">
        <f>IF(OR($AM636=0,$C636=""),"",SUMIFS($Q$6:$Q$1005,$C$6:$C$1005,$C636,$A$6:$A$1005,$A636))</f>
        <v/>
      </c>
      <c r="AR636" s="55" t="str">
        <f>IF(OR($AM636=0,$C636=""),"",IFERROR(N(INDEX(Accounts!$E$7:$E$16,MATCH($C636,Accounts!$B$7:$B$16,0))),0)+SUMIFS($Q$6:$Q$1005,$C$6:$C$1005,$C636,$A$6:$A$1005,"&lt;="&amp;$A636))</f>
        <v/>
      </c>
      <c r="AS636" s="56">
        <f>IF(OR($AM636=0,$Q636=""),0,IF(AND($A636&gt;=Lists!$W$6,$A636&lt;=Lists!$W$7,OR(Dashboard!$D$6="All accounts",$C636=Dashboard!$D$6),OR(Dashboard!$D$7="All markets",$AF636=Dashboard!$D$7)),1,0))</f>
        <v>0</v>
      </c>
      <c r="AT636" s="55">
        <f>IF($AS636=1,N(AT635)+$Q636,N(AT635))</f>
        <v>1187.10688</v>
      </c>
      <c r="AU636" s="55">
        <f>MAX(N(AU635),$AT636)</f>
        <v>1187.10688</v>
      </c>
      <c r="AV636" s="55">
        <f>$AT636-$AU636</f>
        <v>0</v>
      </c>
      <c r="AW636" s="56">
        <f>IF($AS636=1,IF($S636="Win",N(AW635)+1,IF($S636="Loss",0,N(AW635))),N(AW635))</f>
        <v>5</v>
      </c>
      <c r="AX636" s="56">
        <f>IF($AS636=1,IF($S636="Loss",N(AX635)+1,IF($S636="Win",0,N(AX635))),N(AX635))</f>
        <v>0</v>
      </c>
      <c r="AY636" s="56" t="str">
        <f>IF($AS636=1,COUNTIF($AS$6:$AS636,1),"")</f>
        <v/>
      </c>
      <c r="AZ636" s="56">
        <f>MIN(630,N(Lists!$W$8))</f>
        <v>28</v>
      </c>
      <c r="BA636" s="56">
        <f>IF($AS636=1,IF(COUNTIFS($A$6:$A636,$A636,$AS$6:$AS636,1)=1,1,0),0)</f>
        <v>0</v>
      </c>
      <c r="BB636" s="55" t="str">
        <f>IF($BA636=1,SUMIFS($Q$6:$Q$1005,$A$6:$A$1005,$A636,$AS$6:$AS$1005,1),"")</f>
        <v/>
      </c>
      <c r="BC636" s="56">
        <f>IF(ISNUMBER($R636),1,0)</f>
        <v>0</v>
      </c>
      <c r="BD636" s="55" t="str">
        <f>IF(ISNUMBER($U636),$U636*$V636,"")</f>
        <v/>
      </c>
      <c r="BE636" s="56" t="str">
        <f>IF($AM636=0,"",IFERROR(MATCH($AF636&amp;"|"&amp;UPPER(TRIM($E636)),Lists!$A$6:$A$205,0),0))</f>
        <v/>
      </c>
      <c r="BF636" s="56" t="str">
        <f>IF($AM636=0,"",IFERROR(MATCH($AF636,Settings!$B$14:$B$18,0),IFERROR(MATCH(Settings!$C$6,Settings!$B$14:$B$18,0),1)))</f>
        <v/>
      </c>
      <c r="BG636" s="58" t="str">
        <f>IF($AM636=0,"",IF(NOT(ISNUMBER($I636)),"No stop; ","")&amp;IF(AND(ISNUMBER($H636),ISNUMBER($I636)),IF(OR(AND($F636&lt;&gt;"Short",$I636&gt;=$H636),AND($F636="Short",$I636&lt;=$H636)),"Stop on wrong side; ",""),"")&amp;IF($F636="","No direction; ","")&amp;IF(AND(ISNUMBER(Settings!$C$22),ISNUMBER($V636)),IF($V636&gt;Settings!$C$22,"Risk over max $; ",""),"")&amp;IF(AND(ISNUMBER(Settings!$C$23),ISNUMBER($V636),ISNUMBER($AP636),IFERROR(N(INDEX(Accounts!$E$7:$E$16,MATCH($C636,Accounts!$B$7:$B$16,0))),0)&gt;0),IF($V636&gt;Settings!$C$23*($AP636-N($Q636)),"Risk over max %; ",""),"")&amp;IF(AND(ISNUMBER(Settings!$C$24),ISNUMBER($N636)),IF($N636&gt;Settings!$C$24,"Leverage over max; ",""),"")&amp;IF(AND(ISNUMBER(Settings!$C$27),ISNUMBER($T636)),IF($T636&lt;Settings!$C$27,"R:R below min; ",""),"")&amp;IF(ISNUMBER(Settings!$C$25),IF(COUNTIFS($A$6:$A636,$A636,$AM$6:$AM636,1)&gt;Settings!$C$25,"Over max trades/day; ",""),"")&amp;IF(ISNUMBER(Settings!$C$26),IF(SUMIFS($Q$5:$Q635,$A$5:$A635,$A636)&lt;=-Settings!$C$26,"Traded after daily max loss; ",""),"")&amp;IF(AND($AG636="",NOT(ISNUMBER($O636))),"Symbol not in Instruments; ","")&amp;IF(AND($AH636="",NOT(ISNUMBER($O636))),"Forex cross: type Gross P&amp;L; ",""))</f>
        <v/>
      </c>
      <c r="BH636" s="56">
        <f>IF(ISNUMBER($Q636),1,0)</f>
        <v>0</v>
      </c>
      <c r="BI636" s="56">
        <f>IF($Y636="",0,1)</f>
        <v>0</v>
      </c>
      <c r="BJ636" s="56">
        <f>IF($AB636="",0,1)</f>
        <v>0</v>
      </c>
      <c r="BK636" s="56">
        <f>IF(AND($BH636=1,$W636&lt;&gt;"OK"),1,0)</f>
        <v>0</v>
      </c>
      <c r="BL636" s="55">
        <f>IF(N($AZ636)=0,0,IFERROR(INDEX($AT$6:$AT$1005,MATCH($AZ636,$AY$6:$AY$1005,0)),0))</f>
        <v>1187.10688</v>
      </c>
      <c r="BM636" s="56">
        <f>IF(ISNUMBER(SEARCH("daily max loss",$BG636)),1,0)</f>
        <v>0</v>
      </c>
    </row>
    <row r="637" ht="18" customHeight="1">
      <c r="A637" s="38" t="n"/>
      <c r="B637" s="39" t="n"/>
      <c r="C637" s="40" t="n"/>
      <c r="D637" s="41" t="n"/>
      <c r="E637" s="41" t="n"/>
      <c r="F637" s="41" t="n"/>
      <c r="G637" s="41" t="n"/>
      <c r="H637" s="42" t="n"/>
      <c r="I637" s="42" t="n"/>
      <c r="J637" s="42" t="n"/>
      <c r="K637" s="42" t="n"/>
      <c r="L637" s="41" t="n"/>
      <c r="M637" s="41" t="n"/>
      <c r="N637" s="41" t="n"/>
      <c r="O637" s="43" t="n"/>
      <c r="P637" s="43" t="n"/>
      <c r="Q637" s="44" t="str">
        <f>IF($AM637=0,"",IF(ISNUMBER($AK637),$AK637-N($AL637),""))</f>
        <v/>
      </c>
      <c r="R637" s="45" t="str">
        <f>IF(OR($Q637="",NOT(ISNUMBER($V637))),"",$AK637/$V637)</f>
        <v/>
      </c>
      <c r="S637" s="46" t="str">
        <f>IF($Q637="","",IF(AND(ISNUMBER($R637),ABS(N($R637))&lt;N(Settings!$C$8)),"Scratch",IF($Q637&gt;0,"Win",IF($Q637&lt;0,"Loss","Scratch"))))</f>
        <v/>
      </c>
      <c r="T637" s="47" t="str">
        <f>IF(OR($AM637=0,NOT(ISNUMBER($H637)),NOT(ISNUMBER($I637)),NOT(ISNUMBER($J637))),"",IF($H637=$I637,"",ROUND(ABS($J637-$H637)/ABS($H637-$I637),6)))</f>
        <v/>
      </c>
      <c r="U637" s="48" t="str">
        <f>IF(OR($S637&lt;&gt;"Win",NOT(ISNUMBER($T637)),NOT(ISNUMBER($R637))),"",MAX(0,$T637-$R637))</f>
        <v/>
      </c>
      <c r="V637" s="49" t="str">
        <f>IF(OR($AM637=0,NOT(ISNUMBER($H637)),NOT(ISNUMBER($I637)),NOT(ISNUMBER($G637))),"",IF(OR($AG637="",$AH637=""),"",IF(ROUND(ABS($H637-$I637)*ABS($G637)*$AG637*$AH637,6)=0,"",ROUND(ABS($H637-$I637)*ABS($G637)*$AG637*$AH637,6))))</f>
        <v/>
      </c>
      <c r="W637" s="50" t="str">
        <f>IF($AM637=0,"",IF($BG637="","OK",LEFT($BG637,LEN($BG637)-2)))</f>
        <v/>
      </c>
      <c r="X637" s="41" t="n"/>
      <c r="Y637" s="40" t="n"/>
      <c r="Z637" s="41" t="n"/>
      <c r="AA637" s="41" t="n"/>
      <c r="AB637" s="40" t="n"/>
      <c r="AC637" s="51" t="n"/>
      <c r="AD637" s="51" t="n"/>
      <c r="AE637" s="40" t="n"/>
      <c r="AF637" s="52" t="str">
        <f>IF($AM637=0,"",IF($D637&lt;&gt;"",$D637,IF(IFERROR(INDEX(Accounts!$C$7:$C$16,MATCH($C637,Accounts!$B$7:$B$16,0))&amp;"","")&lt;&gt;"",INDEX(Accounts!$C$7:$C$16,MATCH($C637,Accounts!$B$7:$B$16,0)),Settings!$C$6)))</f>
        <v/>
      </c>
      <c r="AG637" s="53" t="str">
        <f>IF($AM637=0,"",IF(AND($BE637&gt;0,N(INDEX(Instruments!$D$6:$D$205,MAX(1,$BE637)))&gt;0),INDEX(Instruments!$D$6:$D$205,MAX(1,$BE637)),IF(N(INDEX(Settings!$D$14:$D$18,$BF637))&gt;0,INDEX(Settings!$D$14:$D$18,$BF637),"")))</f>
        <v/>
      </c>
      <c r="AH637" s="54" t="str">
        <f>IF($AM637=0,"",IF($AF637&lt;&gt;"Forex",1,IF(MID(UPPER(SUBSTITUTE(TRIM($E637),"/","")),4,3)=UPPER(TRIM(Settings!$C$7)),1,IF(LEFT(UPPER(SUBSTITUTE(TRIM($E637),"/","")),3)=UPPER(TRIM(Settings!$C$7)),IF(AND(ISNUMBER($K637),N($K637)&lt;&gt;0),1/$K637,""),""))))</f>
        <v/>
      </c>
      <c r="AI637" s="55" t="str">
        <f>IF($AM637=0,"",IF(OR(NOT(ISNUMBER($H637)),NOT(ISNUMBER($K637)),NOT(ISNUMBER($G637)),$AG637="",$AH637=""),"",ROUND(($K637-$H637)*IF($F637="Short",-1,1)*$G637*$AG637*$AH637,6)))</f>
        <v/>
      </c>
      <c r="AJ637" s="55" t="str">
        <f>IF($AM637=0,"",IF(INDEX(Settings!$E$14:$E$18,$BF637)="% of notional",IF(OR($AG637="",NOT(ISNUMBER($H637)),NOT(ISNUMBER($G637))),"",ROUND(ABS($H637*$G637*$AG637*N($AH637))*IF($L637="Limit",N(INDEX(Settings!$G$14:$G$18,$BF637)),N(INDEX(Settings!$H$14:$H$18,$BF637)))+IF(ISNUMBER($K637),ABS($K637*$G637*$AG637*N($AH637))*IF($M637="Target",N(INDEX(Settings!$G$14:$G$18,$BF637)),N(INDEX(Settings!$H$14:$H$18,$BF637))),0),6)),IF(NOT(ISNUMBER($G637)),"",ROUND(ABS($G637)*2*IF(AND($BE637&gt;0,ISNUMBER(INDEX(Instruments!$G$6:$G$205,MAX(1,$BE637)))),INDEX(Instruments!$G$6:$G$205,MAX(1,$BE637)),N(INDEX(Settings!$F$14:$F$18,$BF637))),6))))</f>
        <v/>
      </c>
      <c r="AK637" s="55" t="str">
        <f>IF($AM637=0,"",IF(ISNUMBER($O637),$O637,$AI637))</f>
        <v/>
      </c>
      <c r="AL637" s="55" t="str">
        <f>IF($AM637=0,"",IF(ISNUMBER($P637),$P637,N($AJ637)))</f>
        <v/>
      </c>
      <c r="AM637" s="56">
        <f>IF(AND($A637&lt;&gt;"",$E637&lt;&gt;"",OR(AND(ISNUMBER($G637),ISNUMBER($H637),ISNUMBER($K637)),ISNUMBER($O637))),1,0)</f>
        <v>0</v>
      </c>
      <c r="AN637" s="57" t="str">
        <f>IF($A637="","",$A637-WEEKDAY($A637,3))</f>
        <v/>
      </c>
      <c r="AO637" s="56" t="str">
        <f>IF($A637="","",WEEKDAY($A637,2))</f>
        <v/>
      </c>
      <c r="AP637" s="55" t="str">
        <f>IF(OR($AM637=0,$C637=""),"",IFERROR(N(INDEX(Accounts!$E$7:$E$16,MATCH($C637,Accounts!$B$7:$B$16,0))),0)+SUMIFS($Q$6:$Q637,$C$6:$C637,$C637))</f>
        <v/>
      </c>
      <c r="AQ637" s="55" t="str">
        <f>IF(OR($AM637=0,$C637=""),"",SUMIFS($Q$6:$Q$1005,$C$6:$C$1005,$C637,$A$6:$A$1005,$A637))</f>
        <v/>
      </c>
      <c r="AR637" s="55" t="str">
        <f>IF(OR($AM637=0,$C637=""),"",IFERROR(N(INDEX(Accounts!$E$7:$E$16,MATCH($C637,Accounts!$B$7:$B$16,0))),0)+SUMIFS($Q$6:$Q$1005,$C$6:$C$1005,$C637,$A$6:$A$1005,"&lt;="&amp;$A637))</f>
        <v/>
      </c>
      <c r="AS637" s="56">
        <f>IF(OR($AM637=0,$Q637=""),0,IF(AND($A637&gt;=Lists!$W$6,$A637&lt;=Lists!$W$7,OR(Dashboard!$D$6="All accounts",$C637=Dashboard!$D$6),OR(Dashboard!$D$7="All markets",$AF637=Dashboard!$D$7)),1,0))</f>
        <v>0</v>
      </c>
      <c r="AT637" s="55">
        <f>IF($AS637=1,N(AT636)+$Q637,N(AT636))</f>
        <v>1187.10688</v>
      </c>
      <c r="AU637" s="55">
        <f>MAX(N(AU636),$AT637)</f>
        <v>1187.10688</v>
      </c>
      <c r="AV637" s="55">
        <f>$AT637-$AU637</f>
        <v>0</v>
      </c>
      <c r="AW637" s="56">
        <f>IF($AS637=1,IF($S637="Win",N(AW636)+1,IF($S637="Loss",0,N(AW636))),N(AW636))</f>
        <v>5</v>
      </c>
      <c r="AX637" s="56">
        <f>IF($AS637=1,IF($S637="Loss",N(AX636)+1,IF($S637="Win",0,N(AX636))),N(AX636))</f>
        <v>0</v>
      </c>
      <c r="AY637" s="56" t="str">
        <f>IF($AS637=1,COUNTIF($AS$6:$AS637,1),"")</f>
        <v/>
      </c>
      <c r="AZ637" s="56">
        <f>MIN(631,N(Lists!$W$8))</f>
        <v>28</v>
      </c>
      <c r="BA637" s="56">
        <f>IF($AS637=1,IF(COUNTIFS($A$6:$A637,$A637,$AS$6:$AS637,1)=1,1,0),0)</f>
        <v>0</v>
      </c>
      <c r="BB637" s="55" t="str">
        <f>IF($BA637=1,SUMIFS($Q$6:$Q$1005,$A$6:$A$1005,$A637,$AS$6:$AS$1005,1),"")</f>
        <v/>
      </c>
      <c r="BC637" s="56">
        <f>IF(ISNUMBER($R637),1,0)</f>
        <v>0</v>
      </c>
      <c r="BD637" s="55" t="str">
        <f>IF(ISNUMBER($U637),$U637*$V637,"")</f>
        <v/>
      </c>
      <c r="BE637" s="56" t="str">
        <f>IF($AM637=0,"",IFERROR(MATCH($AF637&amp;"|"&amp;UPPER(TRIM($E637)),Lists!$A$6:$A$205,0),0))</f>
        <v/>
      </c>
      <c r="BF637" s="56" t="str">
        <f>IF($AM637=0,"",IFERROR(MATCH($AF637,Settings!$B$14:$B$18,0),IFERROR(MATCH(Settings!$C$6,Settings!$B$14:$B$18,0),1)))</f>
        <v/>
      </c>
      <c r="BG637" s="58" t="str">
        <f>IF($AM637=0,"",IF(NOT(ISNUMBER($I637)),"No stop; ","")&amp;IF(AND(ISNUMBER($H637),ISNUMBER($I637)),IF(OR(AND($F637&lt;&gt;"Short",$I637&gt;=$H637),AND($F637="Short",$I637&lt;=$H637)),"Stop on wrong side; ",""),"")&amp;IF($F637="","No direction; ","")&amp;IF(AND(ISNUMBER(Settings!$C$22),ISNUMBER($V637)),IF($V637&gt;Settings!$C$22,"Risk over max $; ",""),"")&amp;IF(AND(ISNUMBER(Settings!$C$23),ISNUMBER($V637),ISNUMBER($AP637),IFERROR(N(INDEX(Accounts!$E$7:$E$16,MATCH($C637,Accounts!$B$7:$B$16,0))),0)&gt;0),IF($V637&gt;Settings!$C$23*($AP637-N($Q637)),"Risk over max %; ",""),"")&amp;IF(AND(ISNUMBER(Settings!$C$24),ISNUMBER($N637)),IF($N637&gt;Settings!$C$24,"Leverage over max; ",""),"")&amp;IF(AND(ISNUMBER(Settings!$C$27),ISNUMBER($T637)),IF($T637&lt;Settings!$C$27,"R:R below min; ",""),"")&amp;IF(ISNUMBER(Settings!$C$25),IF(COUNTIFS($A$6:$A637,$A637,$AM$6:$AM637,1)&gt;Settings!$C$25,"Over max trades/day; ",""),"")&amp;IF(ISNUMBER(Settings!$C$26),IF(SUMIFS($Q$5:$Q636,$A$5:$A636,$A637)&lt;=-Settings!$C$26,"Traded after daily max loss; ",""),"")&amp;IF(AND($AG637="",NOT(ISNUMBER($O637))),"Symbol not in Instruments; ","")&amp;IF(AND($AH637="",NOT(ISNUMBER($O637))),"Forex cross: type Gross P&amp;L; ",""))</f>
        <v/>
      </c>
      <c r="BH637" s="56">
        <f>IF(ISNUMBER($Q637),1,0)</f>
        <v>0</v>
      </c>
      <c r="BI637" s="56">
        <f>IF($Y637="",0,1)</f>
        <v>0</v>
      </c>
      <c r="BJ637" s="56">
        <f>IF($AB637="",0,1)</f>
        <v>0</v>
      </c>
      <c r="BK637" s="56">
        <f>IF(AND($BH637=1,$W637&lt;&gt;"OK"),1,0)</f>
        <v>0</v>
      </c>
      <c r="BL637" s="55">
        <f>IF(N($AZ637)=0,0,IFERROR(INDEX($AT$6:$AT$1005,MATCH($AZ637,$AY$6:$AY$1005,0)),0))</f>
        <v>1187.10688</v>
      </c>
      <c r="BM637" s="56">
        <f>IF(ISNUMBER(SEARCH("daily max loss",$BG637)),1,0)</f>
        <v>0</v>
      </c>
    </row>
    <row r="638" ht="18" customHeight="1">
      <c r="A638" s="38" t="n"/>
      <c r="B638" s="39" t="n"/>
      <c r="C638" s="40" t="n"/>
      <c r="D638" s="41" t="n"/>
      <c r="E638" s="41" t="n"/>
      <c r="F638" s="41" t="n"/>
      <c r="G638" s="41" t="n"/>
      <c r="H638" s="42" t="n"/>
      <c r="I638" s="42" t="n"/>
      <c r="J638" s="42" t="n"/>
      <c r="K638" s="42" t="n"/>
      <c r="L638" s="41" t="n"/>
      <c r="M638" s="41" t="n"/>
      <c r="N638" s="41" t="n"/>
      <c r="O638" s="43" t="n"/>
      <c r="P638" s="43" t="n"/>
      <c r="Q638" s="44" t="str">
        <f>IF($AM638=0,"",IF(ISNUMBER($AK638),$AK638-N($AL638),""))</f>
        <v/>
      </c>
      <c r="R638" s="45" t="str">
        <f>IF(OR($Q638="",NOT(ISNUMBER($V638))),"",$AK638/$V638)</f>
        <v/>
      </c>
      <c r="S638" s="46" t="str">
        <f>IF($Q638="","",IF(AND(ISNUMBER($R638),ABS(N($R638))&lt;N(Settings!$C$8)),"Scratch",IF($Q638&gt;0,"Win",IF($Q638&lt;0,"Loss","Scratch"))))</f>
        <v/>
      </c>
      <c r="T638" s="47" t="str">
        <f>IF(OR($AM638=0,NOT(ISNUMBER($H638)),NOT(ISNUMBER($I638)),NOT(ISNUMBER($J638))),"",IF($H638=$I638,"",ROUND(ABS($J638-$H638)/ABS($H638-$I638),6)))</f>
        <v/>
      </c>
      <c r="U638" s="48" t="str">
        <f>IF(OR($S638&lt;&gt;"Win",NOT(ISNUMBER($T638)),NOT(ISNUMBER($R638))),"",MAX(0,$T638-$R638))</f>
        <v/>
      </c>
      <c r="V638" s="49" t="str">
        <f>IF(OR($AM638=0,NOT(ISNUMBER($H638)),NOT(ISNUMBER($I638)),NOT(ISNUMBER($G638))),"",IF(OR($AG638="",$AH638=""),"",IF(ROUND(ABS($H638-$I638)*ABS($G638)*$AG638*$AH638,6)=0,"",ROUND(ABS($H638-$I638)*ABS($G638)*$AG638*$AH638,6))))</f>
        <v/>
      </c>
      <c r="W638" s="50" t="str">
        <f>IF($AM638=0,"",IF($BG638="","OK",LEFT($BG638,LEN($BG638)-2)))</f>
        <v/>
      </c>
      <c r="X638" s="41" t="n"/>
      <c r="Y638" s="40" t="n"/>
      <c r="Z638" s="41" t="n"/>
      <c r="AA638" s="41" t="n"/>
      <c r="AB638" s="40" t="n"/>
      <c r="AC638" s="51" t="n"/>
      <c r="AD638" s="51" t="n"/>
      <c r="AE638" s="40" t="n"/>
      <c r="AF638" s="52" t="str">
        <f>IF($AM638=0,"",IF($D638&lt;&gt;"",$D638,IF(IFERROR(INDEX(Accounts!$C$7:$C$16,MATCH($C638,Accounts!$B$7:$B$16,0))&amp;"","")&lt;&gt;"",INDEX(Accounts!$C$7:$C$16,MATCH($C638,Accounts!$B$7:$B$16,0)),Settings!$C$6)))</f>
        <v/>
      </c>
      <c r="AG638" s="53" t="str">
        <f>IF($AM638=0,"",IF(AND($BE638&gt;0,N(INDEX(Instruments!$D$6:$D$205,MAX(1,$BE638)))&gt;0),INDEX(Instruments!$D$6:$D$205,MAX(1,$BE638)),IF(N(INDEX(Settings!$D$14:$D$18,$BF638))&gt;0,INDEX(Settings!$D$14:$D$18,$BF638),"")))</f>
        <v/>
      </c>
      <c r="AH638" s="54" t="str">
        <f>IF($AM638=0,"",IF($AF638&lt;&gt;"Forex",1,IF(MID(UPPER(SUBSTITUTE(TRIM($E638),"/","")),4,3)=UPPER(TRIM(Settings!$C$7)),1,IF(LEFT(UPPER(SUBSTITUTE(TRIM($E638),"/","")),3)=UPPER(TRIM(Settings!$C$7)),IF(AND(ISNUMBER($K638),N($K638)&lt;&gt;0),1/$K638,""),""))))</f>
        <v/>
      </c>
      <c r="AI638" s="55" t="str">
        <f>IF($AM638=0,"",IF(OR(NOT(ISNUMBER($H638)),NOT(ISNUMBER($K638)),NOT(ISNUMBER($G638)),$AG638="",$AH638=""),"",ROUND(($K638-$H638)*IF($F638="Short",-1,1)*$G638*$AG638*$AH638,6)))</f>
        <v/>
      </c>
      <c r="AJ638" s="55" t="str">
        <f>IF($AM638=0,"",IF(INDEX(Settings!$E$14:$E$18,$BF638)="% of notional",IF(OR($AG638="",NOT(ISNUMBER($H638)),NOT(ISNUMBER($G638))),"",ROUND(ABS($H638*$G638*$AG638*N($AH638))*IF($L638="Limit",N(INDEX(Settings!$G$14:$G$18,$BF638)),N(INDEX(Settings!$H$14:$H$18,$BF638)))+IF(ISNUMBER($K638),ABS($K638*$G638*$AG638*N($AH638))*IF($M638="Target",N(INDEX(Settings!$G$14:$G$18,$BF638)),N(INDEX(Settings!$H$14:$H$18,$BF638))),0),6)),IF(NOT(ISNUMBER($G638)),"",ROUND(ABS($G638)*2*IF(AND($BE638&gt;0,ISNUMBER(INDEX(Instruments!$G$6:$G$205,MAX(1,$BE638)))),INDEX(Instruments!$G$6:$G$205,MAX(1,$BE638)),N(INDEX(Settings!$F$14:$F$18,$BF638))),6))))</f>
        <v/>
      </c>
      <c r="AK638" s="55" t="str">
        <f>IF($AM638=0,"",IF(ISNUMBER($O638),$O638,$AI638))</f>
        <v/>
      </c>
      <c r="AL638" s="55" t="str">
        <f>IF($AM638=0,"",IF(ISNUMBER($P638),$P638,N($AJ638)))</f>
        <v/>
      </c>
      <c r="AM638" s="56">
        <f>IF(AND($A638&lt;&gt;"",$E638&lt;&gt;"",OR(AND(ISNUMBER($G638),ISNUMBER($H638),ISNUMBER($K638)),ISNUMBER($O638))),1,0)</f>
        <v>0</v>
      </c>
      <c r="AN638" s="57" t="str">
        <f>IF($A638="","",$A638-WEEKDAY($A638,3))</f>
        <v/>
      </c>
      <c r="AO638" s="56" t="str">
        <f>IF($A638="","",WEEKDAY($A638,2))</f>
        <v/>
      </c>
      <c r="AP638" s="55" t="str">
        <f>IF(OR($AM638=0,$C638=""),"",IFERROR(N(INDEX(Accounts!$E$7:$E$16,MATCH($C638,Accounts!$B$7:$B$16,0))),0)+SUMIFS($Q$6:$Q638,$C$6:$C638,$C638))</f>
        <v/>
      </c>
      <c r="AQ638" s="55" t="str">
        <f>IF(OR($AM638=0,$C638=""),"",SUMIFS($Q$6:$Q$1005,$C$6:$C$1005,$C638,$A$6:$A$1005,$A638))</f>
        <v/>
      </c>
      <c r="AR638" s="55" t="str">
        <f>IF(OR($AM638=0,$C638=""),"",IFERROR(N(INDEX(Accounts!$E$7:$E$16,MATCH($C638,Accounts!$B$7:$B$16,0))),0)+SUMIFS($Q$6:$Q$1005,$C$6:$C$1005,$C638,$A$6:$A$1005,"&lt;="&amp;$A638))</f>
        <v/>
      </c>
      <c r="AS638" s="56">
        <f>IF(OR($AM638=0,$Q638=""),0,IF(AND($A638&gt;=Lists!$W$6,$A638&lt;=Lists!$W$7,OR(Dashboard!$D$6="All accounts",$C638=Dashboard!$D$6),OR(Dashboard!$D$7="All markets",$AF638=Dashboard!$D$7)),1,0))</f>
        <v>0</v>
      </c>
      <c r="AT638" s="55">
        <f>IF($AS638=1,N(AT637)+$Q638,N(AT637))</f>
        <v>1187.10688</v>
      </c>
      <c r="AU638" s="55">
        <f>MAX(N(AU637),$AT638)</f>
        <v>1187.10688</v>
      </c>
      <c r="AV638" s="55">
        <f>$AT638-$AU638</f>
        <v>0</v>
      </c>
      <c r="AW638" s="56">
        <f>IF($AS638=1,IF($S638="Win",N(AW637)+1,IF($S638="Loss",0,N(AW637))),N(AW637))</f>
        <v>5</v>
      </c>
      <c r="AX638" s="56">
        <f>IF($AS638=1,IF($S638="Loss",N(AX637)+1,IF($S638="Win",0,N(AX637))),N(AX637))</f>
        <v>0</v>
      </c>
      <c r="AY638" s="56" t="str">
        <f>IF($AS638=1,COUNTIF($AS$6:$AS638,1),"")</f>
        <v/>
      </c>
      <c r="AZ638" s="56">
        <f>MIN(632,N(Lists!$W$8))</f>
        <v>28</v>
      </c>
      <c r="BA638" s="56">
        <f>IF($AS638=1,IF(COUNTIFS($A$6:$A638,$A638,$AS$6:$AS638,1)=1,1,0),0)</f>
        <v>0</v>
      </c>
      <c r="BB638" s="55" t="str">
        <f>IF($BA638=1,SUMIFS($Q$6:$Q$1005,$A$6:$A$1005,$A638,$AS$6:$AS$1005,1),"")</f>
        <v/>
      </c>
      <c r="BC638" s="56">
        <f>IF(ISNUMBER($R638),1,0)</f>
        <v>0</v>
      </c>
      <c r="BD638" s="55" t="str">
        <f>IF(ISNUMBER($U638),$U638*$V638,"")</f>
        <v/>
      </c>
      <c r="BE638" s="56" t="str">
        <f>IF($AM638=0,"",IFERROR(MATCH($AF638&amp;"|"&amp;UPPER(TRIM($E638)),Lists!$A$6:$A$205,0),0))</f>
        <v/>
      </c>
      <c r="BF638" s="56" t="str">
        <f>IF($AM638=0,"",IFERROR(MATCH($AF638,Settings!$B$14:$B$18,0),IFERROR(MATCH(Settings!$C$6,Settings!$B$14:$B$18,0),1)))</f>
        <v/>
      </c>
      <c r="BG638" s="58" t="str">
        <f>IF($AM638=0,"",IF(NOT(ISNUMBER($I638)),"No stop; ","")&amp;IF(AND(ISNUMBER($H638),ISNUMBER($I638)),IF(OR(AND($F638&lt;&gt;"Short",$I638&gt;=$H638),AND($F638="Short",$I638&lt;=$H638)),"Stop on wrong side; ",""),"")&amp;IF($F638="","No direction; ","")&amp;IF(AND(ISNUMBER(Settings!$C$22),ISNUMBER($V638)),IF($V638&gt;Settings!$C$22,"Risk over max $; ",""),"")&amp;IF(AND(ISNUMBER(Settings!$C$23),ISNUMBER($V638),ISNUMBER($AP638),IFERROR(N(INDEX(Accounts!$E$7:$E$16,MATCH($C638,Accounts!$B$7:$B$16,0))),0)&gt;0),IF($V638&gt;Settings!$C$23*($AP638-N($Q638)),"Risk over max %; ",""),"")&amp;IF(AND(ISNUMBER(Settings!$C$24),ISNUMBER($N638)),IF($N638&gt;Settings!$C$24,"Leverage over max; ",""),"")&amp;IF(AND(ISNUMBER(Settings!$C$27),ISNUMBER($T638)),IF($T638&lt;Settings!$C$27,"R:R below min; ",""),"")&amp;IF(ISNUMBER(Settings!$C$25),IF(COUNTIFS($A$6:$A638,$A638,$AM$6:$AM638,1)&gt;Settings!$C$25,"Over max trades/day; ",""),"")&amp;IF(ISNUMBER(Settings!$C$26),IF(SUMIFS($Q$5:$Q637,$A$5:$A637,$A638)&lt;=-Settings!$C$26,"Traded after daily max loss; ",""),"")&amp;IF(AND($AG638="",NOT(ISNUMBER($O638))),"Symbol not in Instruments; ","")&amp;IF(AND($AH638="",NOT(ISNUMBER($O638))),"Forex cross: type Gross P&amp;L; ",""))</f>
        <v/>
      </c>
      <c r="BH638" s="56">
        <f>IF(ISNUMBER($Q638),1,0)</f>
        <v>0</v>
      </c>
      <c r="BI638" s="56">
        <f>IF($Y638="",0,1)</f>
        <v>0</v>
      </c>
      <c r="BJ638" s="56">
        <f>IF($AB638="",0,1)</f>
        <v>0</v>
      </c>
      <c r="BK638" s="56">
        <f>IF(AND($BH638=1,$W638&lt;&gt;"OK"),1,0)</f>
        <v>0</v>
      </c>
      <c r="BL638" s="55">
        <f>IF(N($AZ638)=0,0,IFERROR(INDEX($AT$6:$AT$1005,MATCH($AZ638,$AY$6:$AY$1005,0)),0))</f>
        <v>1187.10688</v>
      </c>
      <c r="BM638" s="56">
        <f>IF(ISNUMBER(SEARCH("daily max loss",$BG638)),1,0)</f>
        <v>0</v>
      </c>
    </row>
    <row r="639" ht="18" customHeight="1">
      <c r="A639" s="38" t="n"/>
      <c r="B639" s="39" t="n"/>
      <c r="C639" s="40" t="n"/>
      <c r="D639" s="41" t="n"/>
      <c r="E639" s="41" t="n"/>
      <c r="F639" s="41" t="n"/>
      <c r="G639" s="41" t="n"/>
      <c r="H639" s="42" t="n"/>
      <c r="I639" s="42" t="n"/>
      <c r="J639" s="42" t="n"/>
      <c r="K639" s="42" t="n"/>
      <c r="L639" s="41" t="n"/>
      <c r="M639" s="41" t="n"/>
      <c r="N639" s="41" t="n"/>
      <c r="O639" s="43" t="n"/>
      <c r="P639" s="43" t="n"/>
      <c r="Q639" s="44" t="str">
        <f>IF($AM639=0,"",IF(ISNUMBER($AK639),$AK639-N($AL639),""))</f>
        <v/>
      </c>
      <c r="R639" s="45" t="str">
        <f>IF(OR($Q639="",NOT(ISNUMBER($V639))),"",$AK639/$V639)</f>
        <v/>
      </c>
      <c r="S639" s="46" t="str">
        <f>IF($Q639="","",IF(AND(ISNUMBER($R639),ABS(N($R639))&lt;N(Settings!$C$8)),"Scratch",IF($Q639&gt;0,"Win",IF($Q639&lt;0,"Loss","Scratch"))))</f>
        <v/>
      </c>
      <c r="T639" s="47" t="str">
        <f>IF(OR($AM639=0,NOT(ISNUMBER($H639)),NOT(ISNUMBER($I639)),NOT(ISNUMBER($J639))),"",IF($H639=$I639,"",ROUND(ABS($J639-$H639)/ABS($H639-$I639),6)))</f>
        <v/>
      </c>
      <c r="U639" s="48" t="str">
        <f>IF(OR($S639&lt;&gt;"Win",NOT(ISNUMBER($T639)),NOT(ISNUMBER($R639))),"",MAX(0,$T639-$R639))</f>
        <v/>
      </c>
      <c r="V639" s="49" t="str">
        <f>IF(OR($AM639=0,NOT(ISNUMBER($H639)),NOT(ISNUMBER($I639)),NOT(ISNUMBER($G639))),"",IF(OR($AG639="",$AH639=""),"",IF(ROUND(ABS($H639-$I639)*ABS($G639)*$AG639*$AH639,6)=0,"",ROUND(ABS($H639-$I639)*ABS($G639)*$AG639*$AH639,6))))</f>
        <v/>
      </c>
      <c r="W639" s="50" t="str">
        <f>IF($AM639=0,"",IF($BG639="","OK",LEFT($BG639,LEN($BG639)-2)))</f>
        <v/>
      </c>
      <c r="X639" s="41" t="n"/>
      <c r="Y639" s="40" t="n"/>
      <c r="Z639" s="41" t="n"/>
      <c r="AA639" s="41" t="n"/>
      <c r="AB639" s="40" t="n"/>
      <c r="AC639" s="51" t="n"/>
      <c r="AD639" s="51" t="n"/>
      <c r="AE639" s="40" t="n"/>
      <c r="AF639" s="52" t="str">
        <f>IF($AM639=0,"",IF($D639&lt;&gt;"",$D639,IF(IFERROR(INDEX(Accounts!$C$7:$C$16,MATCH($C639,Accounts!$B$7:$B$16,0))&amp;"","")&lt;&gt;"",INDEX(Accounts!$C$7:$C$16,MATCH($C639,Accounts!$B$7:$B$16,0)),Settings!$C$6)))</f>
        <v/>
      </c>
      <c r="AG639" s="53" t="str">
        <f>IF($AM639=0,"",IF(AND($BE639&gt;0,N(INDEX(Instruments!$D$6:$D$205,MAX(1,$BE639)))&gt;0),INDEX(Instruments!$D$6:$D$205,MAX(1,$BE639)),IF(N(INDEX(Settings!$D$14:$D$18,$BF639))&gt;0,INDEX(Settings!$D$14:$D$18,$BF639),"")))</f>
        <v/>
      </c>
      <c r="AH639" s="54" t="str">
        <f>IF($AM639=0,"",IF($AF639&lt;&gt;"Forex",1,IF(MID(UPPER(SUBSTITUTE(TRIM($E639),"/","")),4,3)=UPPER(TRIM(Settings!$C$7)),1,IF(LEFT(UPPER(SUBSTITUTE(TRIM($E639),"/","")),3)=UPPER(TRIM(Settings!$C$7)),IF(AND(ISNUMBER($K639),N($K639)&lt;&gt;0),1/$K639,""),""))))</f>
        <v/>
      </c>
      <c r="AI639" s="55" t="str">
        <f>IF($AM639=0,"",IF(OR(NOT(ISNUMBER($H639)),NOT(ISNUMBER($K639)),NOT(ISNUMBER($G639)),$AG639="",$AH639=""),"",ROUND(($K639-$H639)*IF($F639="Short",-1,1)*$G639*$AG639*$AH639,6)))</f>
        <v/>
      </c>
      <c r="AJ639" s="55" t="str">
        <f>IF($AM639=0,"",IF(INDEX(Settings!$E$14:$E$18,$BF639)="% of notional",IF(OR($AG639="",NOT(ISNUMBER($H639)),NOT(ISNUMBER($G639))),"",ROUND(ABS($H639*$G639*$AG639*N($AH639))*IF($L639="Limit",N(INDEX(Settings!$G$14:$G$18,$BF639)),N(INDEX(Settings!$H$14:$H$18,$BF639)))+IF(ISNUMBER($K639),ABS($K639*$G639*$AG639*N($AH639))*IF($M639="Target",N(INDEX(Settings!$G$14:$G$18,$BF639)),N(INDEX(Settings!$H$14:$H$18,$BF639))),0),6)),IF(NOT(ISNUMBER($G639)),"",ROUND(ABS($G639)*2*IF(AND($BE639&gt;0,ISNUMBER(INDEX(Instruments!$G$6:$G$205,MAX(1,$BE639)))),INDEX(Instruments!$G$6:$G$205,MAX(1,$BE639)),N(INDEX(Settings!$F$14:$F$18,$BF639))),6))))</f>
        <v/>
      </c>
      <c r="AK639" s="55" t="str">
        <f>IF($AM639=0,"",IF(ISNUMBER($O639),$O639,$AI639))</f>
        <v/>
      </c>
      <c r="AL639" s="55" t="str">
        <f>IF($AM639=0,"",IF(ISNUMBER($P639),$P639,N($AJ639)))</f>
        <v/>
      </c>
      <c r="AM639" s="56">
        <f>IF(AND($A639&lt;&gt;"",$E639&lt;&gt;"",OR(AND(ISNUMBER($G639),ISNUMBER($H639),ISNUMBER($K639)),ISNUMBER($O639))),1,0)</f>
        <v>0</v>
      </c>
      <c r="AN639" s="57" t="str">
        <f>IF($A639="","",$A639-WEEKDAY($A639,3))</f>
        <v/>
      </c>
      <c r="AO639" s="56" t="str">
        <f>IF($A639="","",WEEKDAY($A639,2))</f>
        <v/>
      </c>
      <c r="AP639" s="55" t="str">
        <f>IF(OR($AM639=0,$C639=""),"",IFERROR(N(INDEX(Accounts!$E$7:$E$16,MATCH($C639,Accounts!$B$7:$B$16,0))),0)+SUMIFS($Q$6:$Q639,$C$6:$C639,$C639))</f>
        <v/>
      </c>
      <c r="AQ639" s="55" t="str">
        <f>IF(OR($AM639=0,$C639=""),"",SUMIFS($Q$6:$Q$1005,$C$6:$C$1005,$C639,$A$6:$A$1005,$A639))</f>
        <v/>
      </c>
      <c r="AR639" s="55" t="str">
        <f>IF(OR($AM639=0,$C639=""),"",IFERROR(N(INDEX(Accounts!$E$7:$E$16,MATCH($C639,Accounts!$B$7:$B$16,0))),0)+SUMIFS($Q$6:$Q$1005,$C$6:$C$1005,$C639,$A$6:$A$1005,"&lt;="&amp;$A639))</f>
        <v/>
      </c>
      <c r="AS639" s="56">
        <f>IF(OR($AM639=0,$Q639=""),0,IF(AND($A639&gt;=Lists!$W$6,$A639&lt;=Lists!$W$7,OR(Dashboard!$D$6="All accounts",$C639=Dashboard!$D$6),OR(Dashboard!$D$7="All markets",$AF639=Dashboard!$D$7)),1,0))</f>
        <v>0</v>
      </c>
      <c r="AT639" s="55">
        <f>IF($AS639=1,N(AT638)+$Q639,N(AT638))</f>
        <v>1187.10688</v>
      </c>
      <c r="AU639" s="55">
        <f>MAX(N(AU638),$AT639)</f>
        <v>1187.10688</v>
      </c>
      <c r="AV639" s="55">
        <f>$AT639-$AU639</f>
        <v>0</v>
      </c>
      <c r="AW639" s="56">
        <f>IF($AS639=1,IF($S639="Win",N(AW638)+1,IF($S639="Loss",0,N(AW638))),N(AW638))</f>
        <v>5</v>
      </c>
      <c r="AX639" s="56">
        <f>IF($AS639=1,IF($S639="Loss",N(AX638)+1,IF($S639="Win",0,N(AX638))),N(AX638))</f>
        <v>0</v>
      </c>
      <c r="AY639" s="56" t="str">
        <f>IF($AS639=1,COUNTIF($AS$6:$AS639,1),"")</f>
        <v/>
      </c>
      <c r="AZ639" s="56">
        <f>MIN(633,N(Lists!$W$8))</f>
        <v>28</v>
      </c>
      <c r="BA639" s="56">
        <f>IF($AS639=1,IF(COUNTIFS($A$6:$A639,$A639,$AS$6:$AS639,1)=1,1,0),0)</f>
        <v>0</v>
      </c>
      <c r="BB639" s="55" t="str">
        <f>IF($BA639=1,SUMIFS($Q$6:$Q$1005,$A$6:$A$1005,$A639,$AS$6:$AS$1005,1),"")</f>
        <v/>
      </c>
      <c r="BC639" s="56">
        <f>IF(ISNUMBER($R639),1,0)</f>
        <v>0</v>
      </c>
      <c r="BD639" s="55" t="str">
        <f>IF(ISNUMBER($U639),$U639*$V639,"")</f>
        <v/>
      </c>
      <c r="BE639" s="56" t="str">
        <f>IF($AM639=0,"",IFERROR(MATCH($AF639&amp;"|"&amp;UPPER(TRIM($E639)),Lists!$A$6:$A$205,0),0))</f>
        <v/>
      </c>
      <c r="BF639" s="56" t="str">
        <f>IF($AM639=0,"",IFERROR(MATCH($AF639,Settings!$B$14:$B$18,0),IFERROR(MATCH(Settings!$C$6,Settings!$B$14:$B$18,0),1)))</f>
        <v/>
      </c>
      <c r="BG639" s="58" t="str">
        <f>IF($AM639=0,"",IF(NOT(ISNUMBER($I639)),"No stop; ","")&amp;IF(AND(ISNUMBER($H639),ISNUMBER($I639)),IF(OR(AND($F639&lt;&gt;"Short",$I639&gt;=$H639),AND($F639="Short",$I639&lt;=$H639)),"Stop on wrong side; ",""),"")&amp;IF($F639="","No direction; ","")&amp;IF(AND(ISNUMBER(Settings!$C$22),ISNUMBER($V639)),IF($V639&gt;Settings!$C$22,"Risk over max $; ",""),"")&amp;IF(AND(ISNUMBER(Settings!$C$23),ISNUMBER($V639),ISNUMBER($AP639),IFERROR(N(INDEX(Accounts!$E$7:$E$16,MATCH($C639,Accounts!$B$7:$B$16,0))),0)&gt;0),IF($V639&gt;Settings!$C$23*($AP639-N($Q639)),"Risk over max %; ",""),"")&amp;IF(AND(ISNUMBER(Settings!$C$24),ISNUMBER($N639)),IF($N639&gt;Settings!$C$24,"Leverage over max; ",""),"")&amp;IF(AND(ISNUMBER(Settings!$C$27),ISNUMBER($T639)),IF($T639&lt;Settings!$C$27,"R:R below min; ",""),"")&amp;IF(ISNUMBER(Settings!$C$25),IF(COUNTIFS($A$6:$A639,$A639,$AM$6:$AM639,1)&gt;Settings!$C$25,"Over max trades/day; ",""),"")&amp;IF(ISNUMBER(Settings!$C$26),IF(SUMIFS($Q$5:$Q638,$A$5:$A638,$A639)&lt;=-Settings!$C$26,"Traded after daily max loss; ",""),"")&amp;IF(AND($AG639="",NOT(ISNUMBER($O639))),"Symbol not in Instruments; ","")&amp;IF(AND($AH639="",NOT(ISNUMBER($O639))),"Forex cross: type Gross P&amp;L; ",""))</f>
        <v/>
      </c>
      <c r="BH639" s="56">
        <f>IF(ISNUMBER($Q639),1,0)</f>
        <v>0</v>
      </c>
      <c r="BI639" s="56">
        <f>IF($Y639="",0,1)</f>
        <v>0</v>
      </c>
      <c r="BJ639" s="56">
        <f>IF($AB639="",0,1)</f>
        <v>0</v>
      </c>
      <c r="BK639" s="56">
        <f>IF(AND($BH639=1,$W639&lt;&gt;"OK"),1,0)</f>
        <v>0</v>
      </c>
      <c r="BL639" s="55">
        <f>IF(N($AZ639)=0,0,IFERROR(INDEX($AT$6:$AT$1005,MATCH($AZ639,$AY$6:$AY$1005,0)),0))</f>
        <v>1187.10688</v>
      </c>
      <c r="BM639" s="56">
        <f>IF(ISNUMBER(SEARCH("daily max loss",$BG639)),1,0)</f>
        <v>0</v>
      </c>
    </row>
    <row r="640" ht="18" customHeight="1">
      <c r="A640" s="38" t="n"/>
      <c r="B640" s="39" t="n"/>
      <c r="C640" s="40" t="n"/>
      <c r="D640" s="41" t="n"/>
      <c r="E640" s="41" t="n"/>
      <c r="F640" s="41" t="n"/>
      <c r="G640" s="41" t="n"/>
      <c r="H640" s="42" t="n"/>
      <c r="I640" s="42" t="n"/>
      <c r="J640" s="42" t="n"/>
      <c r="K640" s="42" t="n"/>
      <c r="L640" s="41" t="n"/>
      <c r="M640" s="41" t="n"/>
      <c r="N640" s="41" t="n"/>
      <c r="O640" s="43" t="n"/>
      <c r="P640" s="43" t="n"/>
      <c r="Q640" s="44" t="str">
        <f>IF($AM640=0,"",IF(ISNUMBER($AK640),$AK640-N($AL640),""))</f>
        <v/>
      </c>
      <c r="R640" s="45" t="str">
        <f>IF(OR($Q640="",NOT(ISNUMBER($V640))),"",$AK640/$V640)</f>
        <v/>
      </c>
      <c r="S640" s="46" t="str">
        <f>IF($Q640="","",IF(AND(ISNUMBER($R640),ABS(N($R640))&lt;N(Settings!$C$8)),"Scratch",IF($Q640&gt;0,"Win",IF($Q640&lt;0,"Loss","Scratch"))))</f>
        <v/>
      </c>
      <c r="T640" s="47" t="str">
        <f>IF(OR($AM640=0,NOT(ISNUMBER($H640)),NOT(ISNUMBER($I640)),NOT(ISNUMBER($J640))),"",IF($H640=$I640,"",ROUND(ABS($J640-$H640)/ABS($H640-$I640),6)))</f>
        <v/>
      </c>
      <c r="U640" s="48" t="str">
        <f>IF(OR($S640&lt;&gt;"Win",NOT(ISNUMBER($T640)),NOT(ISNUMBER($R640))),"",MAX(0,$T640-$R640))</f>
        <v/>
      </c>
      <c r="V640" s="49" t="str">
        <f>IF(OR($AM640=0,NOT(ISNUMBER($H640)),NOT(ISNUMBER($I640)),NOT(ISNUMBER($G640))),"",IF(OR($AG640="",$AH640=""),"",IF(ROUND(ABS($H640-$I640)*ABS($G640)*$AG640*$AH640,6)=0,"",ROUND(ABS($H640-$I640)*ABS($G640)*$AG640*$AH640,6))))</f>
        <v/>
      </c>
      <c r="W640" s="50" t="str">
        <f>IF($AM640=0,"",IF($BG640="","OK",LEFT($BG640,LEN($BG640)-2)))</f>
        <v/>
      </c>
      <c r="X640" s="41" t="n"/>
      <c r="Y640" s="40" t="n"/>
      <c r="Z640" s="41" t="n"/>
      <c r="AA640" s="41" t="n"/>
      <c r="AB640" s="40" t="n"/>
      <c r="AC640" s="51" t="n"/>
      <c r="AD640" s="51" t="n"/>
      <c r="AE640" s="40" t="n"/>
      <c r="AF640" s="52" t="str">
        <f>IF($AM640=0,"",IF($D640&lt;&gt;"",$D640,IF(IFERROR(INDEX(Accounts!$C$7:$C$16,MATCH($C640,Accounts!$B$7:$B$16,0))&amp;"","")&lt;&gt;"",INDEX(Accounts!$C$7:$C$16,MATCH($C640,Accounts!$B$7:$B$16,0)),Settings!$C$6)))</f>
        <v/>
      </c>
      <c r="AG640" s="53" t="str">
        <f>IF($AM640=0,"",IF(AND($BE640&gt;0,N(INDEX(Instruments!$D$6:$D$205,MAX(1,$BE640)))&gt;0),INDEX(Instruments!$D$6:$D$205,MAX(1,$BE640)),IF(N(INDEX(Settings!$D$14:$D$18,$BF640))&gt;0,INDEX(Settings!$D$14:$D$18,$BF640),"")))</f>
        <v/>
      </c>
      <c r="AH640" s="54" t="str">
        <f>IF($AM640=0,"",IF($AF640&lt;&gt;"Forex",1,IF(MID(UPPER(SUBSTITUTE(TRIM($E640),"/","")),4,3)=UPPER(TRIM(Settings!$C$7)),1,IF(LEFT(UPPER(SUBSTITUTE(TRIM($E640),"/","")),3)=UPPER(TRIM(Settings!$C$7)),IF(AND(ISNUMBER($K640),N($K640)&lt;&gt;0),1/$K640,""),""))))</f>
        <v/>
      </c>
      <c r="AI640" s="55" t="str">
        <f>IF($AM640=0,"",IF(OR(NOT(ISNUMBER($H640)),NOT(ISNUMBER($K640)),NOT(ISNUMBER($G640)),$AG640="",$AH640=""),"",ROUND(($K640-$H640)*IF($F640="Short",-1,1)*$G640*$AG640*$AH640,6)))</f>
        <v/>
      </c>
      <c r="AJ640" s="55" t="str">
        <f>IF($AM640=0,"",IF(INDEX(Settings!$E$14:$E$18,$BF640)="% of notional",IF(OR($AG640="",NOT(ISNUMBER($H640)),NOT(ISNUMBER($G640))),"",ROUND(ABS($H640*$G640*$AG640*N($AH640))*IF($L640="Limit",N(INDEX(Settings!$G$14:$G$18,$BF640)),N(INDEX(Settings!$H$14:$H$18,$BF640)))+IF(ISNUMBER($K640),ABS($K640*$G640*$AG640*N($AH640))*IF($M640="Target",N(INDEX(Settings!$G$14:$G$18,$BF640)),N(INDEX(Settings!$H$14:$H$18,$BF640))),0),6)),IF(NOT(ISNUMBER($G640)),"",ROUND(ABS($G640)*2*IF(AND($BE640&gt;0,ISNUMBER(INDEX(Instruments!$G$6:$G$205,MAX(1,$BE640)))),INDEX(Instruments!$G$6:$G$205,MAX(1,$BE640)),N(INDEX(Settings!$F$14:$F$18,$BF640))),6))))</f>
        <v/>
      </c>
      <c r="AK640" s="55" t="str">
        <f>IF($AM640=0,"",IF(ISNUMBER($O640),$O640,$AI640))</f>
        <v/>
      </c>
      <c r="AL640" s="55" t="str">
        <f>IF($AM640=0,"",IF(ISNUMBER($P640),$P640,N($AJ640)))</f>
        <v/>
      </c>
      <c r="AM640" s="56">
        <f>IF(AND($A640&lt;&gt;"",$E640&lt;&gt;"",OR(AND(ISNUMBER($G640),ISNUMBER($H640),ISNUMBER($K640)),ISNUMBER($O640))),1,0)</f>
        <v>0</v>
      </c>
      <c r="AN640" s="57" t="str">
        <f>IF($A640="","",$A640-WEEKDAY($A640,3))</f>
        <v/>
      </c>
      <c r="AO640" s="56" t="str">
        <f>IF($A640="","",WEEKDAY($A640,2))</f>
        <v/>
      </c>
      <c r="AP640" s="55" t="str">
        <f>IF(OR($AM640=0,$C640=""),"",IFERROR(N(INDEX(Accounts!$E$7:$E$16,MATCH($C640,Accounts!$B$7:$B$16,0))),0)+SUMIFS($Q$6:$Q640,$C$6:$C640,$C640))</f>
        <v/>
      </c>
      <c r="AQ640" s="55" t="str">
        <f>IF(OR($AM640=0,$C640=""),"",SUMIFS($Q$6:$Q$1005,$C$6:$C$1005,$C640,$A$6:$A$1005,$A640))</f>
        <v/>
      </c>
      <c r="AR640" s="55" t="str">
        <f>IF(OR($AM640=0,$C640=""),"",IFERROR(N(INDEX(Accounts!$E$7:$E$16,MATCH($C640,Accounts!$B$7:$B$16,0))),0)+SUMIFS($Q$6:$Q$1005,$C$6:$C$1005,$C640,$A$6:$A$1005,"&lt;="&amp;$A640))</f>
        <v/>
      </c>
      <c r="AS640" s="56">
        <f>IF(OR($AM640=0,$Q640=""),0,IF(AND($A640&gt;=Lists!$W$6,$A640&lt;=Lists!$W$7,OR(Dashboard!$D$6="All accounts",$C640=Dashboard!$D$6),OR(Dashboard!$D$7="All markets",$AF640=Dashboard!$D$7)),1,0))</f>
        <v>0</v>
      </c>
      <c r="AT640" s="55">
        <f>IF($AS640=1,N(AT639)+$Q640,N(AT639))</f>
        <v>1187.10688</v>
      </c>
      <c r="AU640" s="55">
        <f>MAX(N(AU639),$AT640)</f>
        <v>1187.10688</v>
      </c>
      <c r="AV640" s="55">
        <f>$AT640-$AU640</f>
        <v>0</v>
      </c>
      <c r="AW640" s="56">
        <f>IF($AS640=1,IF($S640="Win",N(AW639)+1,IF($S640="Loss",0,N(AW639))),N(AW639))</f>
        <v>5</v>
      </c>
      <c r="AX640" s="56">
        <f>IF($AS640=1,IF($S640="Loss",N(AX639)+1,IF($S640="Win",0,N(AX639))),N(AX639))</f>
        <v>0</v>
      </c>
      <c r="AY640" s="56" t="str">
        <f>IF($AS640=1,COUNTIF($AS$6:$AS640,1),"")</f>
        <v/>
      </c>
      <c r="AZ640" s="56">
        <f>MIN(634,N(Lists!$W$8))</f>
        <v>28</v>
      </c>
      <c r="BA640" s="56">
        <f>IF($AS640=1,IF(COUNTIFS($A$6:$A640,$A640,$AS$6:$AS640,1)=1,1,0),0)</f>
        <v>0</v>
      </c>
      <c r="BB640" s="55" t="str">
        <f>IF($BA640=1,SUMIFS($Q$6:$Q$1005,$A$6:$A$1005,$A640,$AS$6:$AS$1005,1),"")</f>
        <v/>
      </c>
      <c r="BC640" s="56">
        <f>IF(ISNUMBER($R640),1,0)</f>
        <v>0</v>
      </c>
      <c r="BD640" s="55" t="str">
        <f>IF(ISNUMBER($U640),$U640*$V640,"")</f>
        <v/>
      </c>
      <c r="BE640" s="56" t="str">
        <f>IF($AM640=0,"",IFERROR(MATCH($AF640&amp;"|"&amp;UPPER(TRIM($E640)),Lists!$A$6:$A$205,0),0))</f>
        <v/>
      </c>
      <c r="BF640" s="56" t="str">
        <f>IF($AM640=0,"",IFERROR(MATCH($AF640,Settings!$B$14:$B$18,0),IFERROR(MATCH(Settings!$C$6,Settings!$B$14:$B$18,0),1)))</f>
        <v/>
      </c>
      <c r="BG640" s="58" t="str">
        <f>IF($AM640=0,"",IF(NOT(ISNUMBER($I640)),"No stop; ","")&amp;IF(AND(ISNUMBER($H640),ISNUMBER($I640)),IF(OR(AND($F640&lt;&gt;"Short",$I640&gt;=$H640),AND($F640="Short",$I640&lt;=$H640)),"Stop on wrong side; ",""),"")&amp;IF($F640="","No direction; ","")&amp;IF(AND(ISNUMBER(Settings!$C$22),ISNUMBER($V640)),IF($V640&gt;Settings!$C$22,"Risk over max $; ",""),"")&amp;IF(AND(ISNUMBER(Settings!$C$23),ISNUMBER($V640),ISNUMBER($AP640),IFERROR(N(INDEX(Accounts!$E$7:$E$16,MATCH($C640,Accounts!$B$7:$B$16,0))),0)&gt;0),IF($V640&gt;Settings!$C$23*($AP640-N($Q640)),"Risk over max %; ",""),"")&amp;IF(AND(ISNUMBER(Settings!$C$24),ISNUMBER($N640)),IF($N640&gt;Settings!$C$24,"Leverage over max; ",""),"")&amp;IF(AND(ISNUMBER(Settings!$C$27),ISNUMBER($T640)),IF($T640&lt;Settings!$C$27,"R:R below min; ",""),"")&amp;IF(ISNUMBER(Settings!$C$25),IF(COUNTIFS($A$6:$A640,$A640,$AM$6:$AM640,1)&gt;Settings!$C$25,"Over max trades/day; ",""),"")&amp;IF(ISNUMBER(Settings!$C$26),IF(SUMIFS($Q$5:$Q639,$A$5:$A639,$A640)&lt;=-Settings!$C$26,"Traded after daily max loss; ",""),"")&amp;IF(AND($AG640="",NOT(ISNUMBER($O640))),"Symbol not in Instruments; ","")&amp;IF(AND($AH640="",NOT(ISNUMBER($O640))),"Forex cross: type Gross P&amp;L; ",""))</f>
        <v/>
      </c>
      <c r="BH640" s="56">
        <f>IF(ISNUMBER($Q640),1,0)</f>
        <v>0</v>
      </c>
      <c r="BI640" s="56">
        <f>IF($Y640="",0,1)</f>
        <v>0</v>
      </c>
      <c r="BJ640" s="56">
        <f>IF($AB640="",0,1)</f>
        <v>0</v>
      </c>
      <c r="BK640" s="56">
        <f>IF(AND($BH640=1,$W640&lt;&gt;"OK"),1,0)</f>
        <v>0</v>
      </c>
      <c r="BL640" s="55">
        <f>IF(N($AZ640)=0,0,IFERROR(INDEX($AT$6:$AT$1005,MATCH($AZ640,$AY$6:$AY$1005,0)),0))</f>
        <v>1187.10688</v>
      </c>
      <c r="BM640" s="56">
        <f>IF(ISNUMBER(SEARCH("daily max loss",$BG640)),1,0)</f>
        <v>0</v>
      </c>
    </row>
    <row r="641" ht="18" customHeight="1">
      <c r="A641" s="38" t="n"/>
      <c r="B641" s="39" t="n"/>
      <c r="C641" s="40" t="n"/>
      <c r="D641" s="41" t="n"/>
      <c r="E641" s="41" t="n"/>
      <c r="F641" s="41" t="n"/>
      <c r="G641" s="41" t="n"/>
      <c r="H641" s="42" t="n"/>
      <c r="I641" s="42" t="n"/>
      <c r="J641" s="42" t="n"/>
      <c r="K641" s="42" t="n"/>
      <c r="L641" s="41" t="n"/>
      <c r="M641" s="41" t="n"/>
      <c r="N641" s="41" t="n"/>
      <c r="O641" s="43" t="n"/>
      <c r="P641" s="43" t="n"/>
      <c r="Q641" s="44" t="str">
        <f>IF($AM641=0,"",IF(ISNUMBER($AK641),$AK641-N($AL641),""))</f>
        <v/>
      </c>
      <c r="R641" s="45" t="str">
        <f>IF(OR($Q641="",NOT(ISNUMBER($V641))),"",$AK641/$V641)</f>
        <v/>
      </c>
      <c r="S641" s="46" t="str">
        <f>IF($Q641="","",IF(AND(ISNUMBER($R641),ABS(N($R641))&lt;N(Settings!$C$8)),"Scratch",IF($Q641&gt;0,"Win",IF($Q641&lt;0,"Loss","Scratch"))))</f>
        <v/>
      </c>
      <c r="T641" s="47" t="str">
        <f>IF(OR($AM641=0,NOT(ISNUMBER($H641)),NOT(ISNUMBER($I641)),NOT(ISNUMBER($J641))),"",IF($H641=$I641,"",ROUND(ABS($J641-$H641)/ABS($H641-$I641),6)))</f>
        <v/>
      </c>
      <c r="U641" s="48" t="str">
        <f>IF(OR($S641&lt;&gt;"Win",NOT(ISNUMBER($T641)),NOT(ISNUMBER($R641))),"",MAX(0,$T641-$R641))</f>
        <v/>
      </c>
      <c r="V641" s="49" t="str">
        <f>IF(OR($AM641=0,NOT(ISNUMBER($H641)),NOT(ISNUMBER($I641)),NOT(ISNUMBER($G641))),"",IF(OR($AG641="",$AH641=""),"",IF(ROUND(ABS($H641-$I641)*ABS($G641)*$AG641*$AH641,6)=0,"",ROUND(ABS($H641-$I641)*ABS($G641)*$AG641*$AH641,6))))</f>
        <v/>
      </c>
      <c r="W641" s="50" t="str">
        <f>IF($AM641=0,"",IF($BG641="","OK",LEFT($BG641,LEN($BG641)-2)))</f>
        <v/>
      </c>
      <c r="X641" s="41" t="n"/>
      <c r="Y641" s="40" t="n"/>
      <c r="Z641" s="41" t="n"/>
      <c r="AA641" s="41" t="n"/>
      <c r="AB641" s="40" t="n"/>
      <c r="AC641" s="51" t="n"/>
      <c r="AD641" s="51" t="n"/>
      <c r="AE641" s="40" t="n"/>
      <c r="AF641" s="52" t="str">
        <f>IF($AM641=0,"",IF($D641&lt;&gt;"",$D641,IF(IFERROR(INDEX(Accounts!$C$7:$C$16,MATCH($C641,Accounts!$B$7:$B$16,0))&amp;"","")&lt;&gt;"",INDEX(Accounts!$C$7:$C$16,MATCH($C641,Accounts!$B$7:$B$16,0)),Settings!$C$6)))</f>
        <v/>
      </c>
      <c r="AG641" s="53" t="str">
        <f>IF($AM641=0,"",IF(AND($BE641&gt;0,N(INDEX(Instruments!$D$6:$D$205,MAX(1,$BE641)))&gt;0),INDEX(Instruments!$D$6:$D$205,MAX(1,$BE641)),IF(N(INDEX(Settings!$D$14:$D$18,$BF641))&gt;0,INDEX(Settings!$D$14:$D$18,$BF641),"")))</f>
        <v/>
      </c>
      <c r="AH641" s="54" t="str">
        <f>IF($AM641=0,"",IF($AF641&lt;&gt;"Forex",1,IF(MID(UPPER(SUBSTITUTE(TRIM($E641),"/","")),4,3)=UPPER(TRIM(Settings!$C$7)),1,IF(LEFT(UPPER(SUBSTITUTE(TRIM($E641),"/","")),3)=UPPER(TRIM(Settings!$C$7)),IF(AND(ISNUMBER($K641),N($K641)&lt;&gt;0),1/$K641,""),""))))</f>
        <v/>
      </c>
      <c r="AI641" s="55" t="str">
        <f>IF($AM641=0,"",IF(OR(NOT(ISNUMBER($H641)),NOT(ISNUMBER($K641)),NOT(ISNUMBER($G641)),$AG641="",$AH641=""),"",ROUND(($K641-$H641)*IF($F641="Short",-1,1)*$G641*$AG641*$AH641,6)))</f>
        <v/>
      </c>
      <c r="AJ641" s="55" t="str">
        <f>IF($AM641=0,"",IF(INDEX(Settings!$E$14:$E$18,$BF641)="% of notional",IF(OR($AG641="",NOT(ISNUMBER($H641)),NOT(ISNUMBER($G641))),"",ROUND(ABS($H641*$G641*$AG641*N($AH641))*IF($L641="Limit",N(INDEX(Settings!$G$14:$G$18,$BF641)),N(INDEX(Settings!$H$14:$H$18,$BF641)))+IF(ISNUMBER($K641),ABS($K641*$G641*$AG641*N($AH641))*IF($M641="Target",N(INDEX(Settings!$G$14:$G$18,$BF641)),N(INDEX(Settings!$H$14:$H$18,$BF641))),0),6)),IF(NOT(ISNUMBER($G641)),"",ROUND(ABS($G641)*2*IF(AND($BE641&gt;0,ISNUMBER(INDEX(Instruments!$G$6:$G$205,MAX(1,$BE641)))),INDEX(Instruments!$G$6:$G$205,MAX(1,$BE641)),N(INDEX(Settings!$F$14:$F$18,$BF641))),6))))</f>
        <v/>
      </c>
      <c r="AK641" s="55" t="str">
        <f>IF($AM641=0,"",IF(ISNUMBER($O641),$O641,$AI641))</f>
        <v/>
      </c>
      <c r="AL641" s="55" t="str">
        <f>IF($AM641=0,"",IF(ISNUMBER($P641),$P641,N($AJ641)))</f>
        <v/>
      </c>
      <c r="AM641" s="56">
        <f>IF(AND($A641&lt;&gt;"",$E641&lt;&gt;"",OR(AND(ISNUMBER($G641),ISNUMBER($H641),ISNUMBER($K641)),ISNUMBER($O641))),1,0)</f>
        <v>0</v>
      </c>
      <c r="AN641" s="57" t="str">
        <f>IF($A641="","",$A641-WEEKDAY($A641,3))</f>
        <v/>
      </c>
      <c r="AO641" s="56" t="str">
        <f>IF($A641="","",WEEKDAY($A641,2))</f>
        <v/>
      </c>
      <c r="AP641" s="55" t="str">
        <f>IF(OR($AM641=0,$C641=""),"",IFERROR(N(INDEX(Accounts!$E$7:$E$16,MATCH($C641,Accounts!$B$7:$B$16,0))),0)+SUMIFS($Q$6:$Q641,$C$6:$C641,$C641))</f>
        <v/>
      </c>
      <c r="AQ641" s="55" t="str">
        <f>IF(OR($AM641=0,$C641=""),"",SUMIFS($Q$6:$Q$1005,$C$6:$C$1005,$C641,$A$6:$A$1005,$A641))</f>
        <v/>
      </c>
      <c r="AR641" s="55" t="str">
        <f>IF(OR($AM641=0,$C641=""),"",IFERROR(N(INDEX(Accounts!$E$7:$E$16,MATCH($C641,Accounts!$B$7:$B$16,0))),0)+SUMIFS($Q$6:$Q$1005,$C$6:$C$1005,$C641,$A$6:$A$1005,"&lt;="&amp;$A641))</f>
        <v/>
      </c>
      <c r="AS641" s="56">
        <f>IF(OR($AM641=0,$Q641=""),0,IF(AND($A641&gt;=Lists!$W$6,$A641&lt;=Lists!$W$7,OR(Dashboard!$D$6="All accounts",$C641=Dashboard!$D$6),OR(Dashboard!$D$7="All markets",$AF641=Dashboard!$D$7)),1,0))</f>
        <v>0</v>
      </c>
      <c r="AT641" s="55">
        <f>IF($AS641=1,N(AT640)+$Q641,N(AT640))</f>
        <v>1187.10688</v>
      </c>
      <c r="AU641" s="55">
        <f>MAX(N(AU640),$AT641)</f>
        <v>1187.10688</v>
      </c>
      <c r="AV641" s="55">
        <f>$AT641-$AU641</f>
        <v>0</v>
      </c>
      <c r="AW641" s="56">
        <f>IF($AS641=1,IF($S641="Win",N(AW640)+1,IF($S641="Loss",0,N(AW640))),N(AW640))</f>
        <v>5</v>
      </c>
      <c r="AX641" s="56">
        <f>IF($AS641=1,IF($S641="Loss",N(AX640)+1,IF($S641="Win",0,N(AX640))),N(AX640))</f>
        <v>0</v>
      </c>
      <c r="AY641" s="56" t="str">
        <f>IF($AS641=1,COUNTIF($AS$6:$AS641,1),"")</f>
        <v/>
      </c>
      <c r="AZ641" s="56">
        <f>MIN(635,N(Lists!$W$8))</f>
        <v>28</v>
      </c>
      <c r="BA641" s="56">
        <f>IF($AS641=1,IF(COUNTIFS($A$6:$A641,$A641,$AS$6:$AS641,1)=1,1,0),0)</f>
        <v>0</v>
      </c>
      <c r="BB641" s="55" t="str">
        <f>IF($BA641=1,SUMIFS($Q$6:$Q$1005,$A$6:$A$1005,$A641,$AS$6:$AS$1005,1),"")</f>
        <v/>
      </c>
      <c r="BC641" s="56">
        <f>IF(ISNUMBER($R641),1,0)</f>
        <v>0</v>
      </c>
      <c r="BD641" s="55" t="str">
        <f>IF(ISNUMBER($U641),$U641*$V641,"")</f>
        <v/>
      </c>
      <c r="BE641" s="56" t="str">
        <f>IF($AM641=0,"",IFERROR(MATCH($AF641&amp;"|"&amp;UPPER(TRIM($E641)),Lists!$A$6:$A$205,0),0))</f>
        <v/>
      </c>
      <c r="BF641" s="56" t="str">
        <f>IF($AM641=0,"",IFERROR(MATCH($AF641,Settings!$B$14:$B$18,0),IFERROR(MATCH(Settings!$C$6,Settings!$B$14:$B$18,0),1)))</f>
        <v/>
      </c>
      <c r="BG641" s="58" t="str">
        <f>IF($AM641=0,"",IF(NOT(ISNUMBER($I641)),"No stop; ","")&amp;IF(AND(ISNUMBER($H641),ISNUMBER($I641)),IF(OR(AND($F641&lt;&gt;"Short",$I641&gt;=$H641),AND($F641="Short",$I641&lt;=$H641)),"Stop on wrong side; ",""),"")&amp;IF($F641="","No direction; ","")&amp;IF(AND(ISNUMBER(Settings!$C$22),ISNUMBER($V641)),IF($V641&gt;Settings!$C$22,"Risk over max $; ",""),"")&amp;IF(AND(ISNUMBER(Settings!$C$23),ISNUMBER($V641),ISNUMBER($AP641),IFERROR(N(INDEX(Accounts!$E$7:$E$16,MATCH($C641,Accounts!$B$7:$B$16,0))),0)&gt;0),IF($V641&gt;Settings!$C$23*($AP641-N($Q641)),"Risk over max %; ",""),"")&amp;IF(AND(ISNUMBER(Settings!$C$24),ISNUMBER($N641)),IF($N641&gt;Settings!$C$24,"Leverage over max; ",""),"")&amp;IF(AND(ISNUMBER(Settings!$C$27),ISNUMBER($T641)),IF($T641&lt;Settings!$C$27,"R:R below min; ",""),"")&amp;IF(ISNUMBER(Settings!$C$25),IF(COUNTIFS($A$6:$A641,$A641,$AM$6:$AM641,1)&gt;Settings!$C$25,"Over max trades/day; ",""),"")&amp;IF(ISNUMBER(Settings!$C$26),IF(SUMIFS($Q$5:$Q640,$A$5:$A640,$A641)&lt;=-Settings!$C$26,"Traded after daily max loss; ",""),"")&amp;IF(AND($AG641="",NOT(ISNUMBER($O641))),"Symbol not in Instruments; ","")&amp;IF(AND($AH641="",NOT(ISNUMBER($O641))),"Forex cross: type Gross P&amp;L; ",""))</f>
        <v/>
      </c>
      <c r="BH641" s="56">
        <f>IF(ISNUMBER($Q641),1,0)</f>
        <v>0</v>
      </c>
      <c r="BI641" s="56">
        <f>IF($Y641="",0,1)</f>
        <v>0</v>
      </c>
      <c r="BJ641" s="56">
        <f>IF($AB641="",0,1)</f>
        <v>0</v>
      </c>
      <c r="BK641" s="56">
        <f>IF(AND($BH641=1,$W641&lt;&gt;"OK"),1,0)</f>
        <v>0</v>
      </c>
      <c r="BL641" s="55">
        <f>IF(N($AZ641)=0,0,IFERROR(INDEX($AT$6:$AT$1005,MATCH($AZ641,$AY$6:$AY$1005,0)),0))</f>
        <v>1187.10688</v>
      </c>
      <c r="BM641" s="56">
        <f>IF(ISNUMBER(SEARCH("daily max loss",$BG641)),1,0)</f>
        <v>0</v>
      </c>
    </row>
    <row r="642" ht="18" customHeight="1">
      <c r="A642" s="38" t="n"/>
      <c r="B642" s="39" t="n"/>
      <c r="C642" s="40" t="n"/>
      <c r="D642" s="41" t="n"/>
      <c r="E642" s="41" t="n"/>
      <c r="F642" s="41" t="n"/>
      <c r="G642" s="41" t="n"/>
      <c r="H642" s="42" t="n"/>
      <c r="I642" s="42" t="n"/>
      <c r="J642" s="42" t="n"/>
      <c r="K642" s="42" t="n"/>
      <c r="L642" s="41" t="n"/>
      <c r="M642" s="41" t="n"/>
      <c r="N642" s="41" t="n"/>
      <c r="O642" s="43" t="n"/>
      <c r="P642" s="43" t="n"/>
      <c r="Q642" s="44" t="str">
        <f>IF($AM642=0,"",IF(ISNUMBER($AK642),$AK642-N($AL642),""))</f>
        <v/>
      </c>
      <c r="R642" s="45" t="str">
        <f>IF(OR($Q642="",NOT(ISNUMBER($V642))),"",$AK642/$V642)</f>
        <v/>
      </c>
      <c r="S642" s="46" t="str">
        <f>IF($Q642="","",IF(AND(ISNUMBER($R642),ABS(N($R642))&lt;N(Settings!$C$8)),"Scratch",IF($Q642&gt;0,"Win",IF($Q642&lt;0,"Loss","Scratch"))))</f>
        <v/>
      </c>
      <c r="T642" s="47" t="str">
        <f>IF(OR($AM642=0,NOT(ISNUMBER($H642)),NOT(ISNUMBER($I642)),NOT(ISNUMBER($J642))),"",IF($H642=$I642,"",ROUND(ABS($J642-$H642)/ABS($H642-$I642),6)))</f>
        <v/>
      </c>
      <c r="U642" s="48" t="str">
        <f>IF(OR($S642&lt;&gt;"Win",NOT(ISNUMBER($T642)),NOT(ISNUMBER($R642))),"",MAX(0,$T642-$R642))</f>
        <v/>
      </c>
      <c r="V642" s="49" t="str">
        <f>IF(OR($AM642=0,NOT(ISNUMBER($H642)),NOT(ISNUMBER($I642)),NOT(ISNUMBER($G642))),"",IF(OR($AG642="",$AH642=""),"",IF(ROUND(ABS($H642-$I642)*ABS($G642)*$AG642*$AH642,6)=0,"",ROUND(ABS($H642-$I642)*ABS($G642)*$AG642*$AH642,6))))</f>
        <v/>
      </c>
      <c r="W642" s="50" t="str">
        <f>IF($AM642=0,"",IF($BG642="","OK",LEFT($BG642,LEN($BG642)-2)))</f>
        <v/>
      </c>
      <c r="X642" s="41" t="n"/>
      <c r="Y642" s="40" t="n"/>
      <c r="Z642" s="41" t="n"/>
      <c r="AA642" s="41" t="n"/>
      <c r="AB642" s="40" t="n"/>
      <c r="AC642" s="51" t="n"/>
      <c r="AD642" s="51" t="n"/>
      <c r="AE642" s="40" t="n"/>
      <c r="AF642" s="52" t="str">
        <f>IF($AM642=0,"",IF($D642&lt;&gt;"",$D642,IF(IFERROR(INDEX(Accounts!$C$7:$C$16,MATCH($C642,Accounts!$B$7:$B$16,0))&amp;"","")&lt;&gt;"",INDEX(Accounts!$C$7:$C$16,MATCH($C642,Accounts!$B$7:$B$16,0)),Settings!$C$6)))</f>
        <v/>
      </c>
      <c r="AG642" s="53" t="str">
        <f>IF($AM642=0,"",IF(AND($BE642&gt;0,N(INDEX(Instruments!$D$6:$D$205,MAX(1,$BE642)))&gt;0),INDEX(Instruments!$D$6:$D$205,MAX(1,$BE642)),IF(N(INDEX(Settings!$D$14:$D$18,$BF642))&gt;0,INDEX(Settings!$D$14:$D$18,$BF642),"")))</f>
        <v/>
      </c>
      <c r="AH642" s="54" t="str">
        <f>IF($AM642=0,"",IF($AF642&lt;&gt;"Forex",1,IF(MID(UPPER(SUBSTITUTE(TRIM($E642),"/","")),4,3)=UPPER(TRIM(Settings!$C$7)),1,IF(LEFT(UPPER(SUBSTITUTE(TRIM($E642),"/","")),3)=UPPER(TRIM(Settings!$C$7)),IF(AND(ISNUMBER($K642),N($K642)&lt;&gt;0),1/$K642,""),""))))</f>
        <v/>
      </c>
      <c r="AI642" s="55" t="str">
        <f>IF($AM642=0,"",IF(OR(NOT(ISNUMBER($H642)),NOT(ISNUMBER($K642)),NOT(ISNUMBER($G642)),$AG642="",$AH642=""),"",ROUND(($K642-$H642)*IF($F642="Short",-1,1)*$G642*$AG642*$AH642,6)))</f>
        <v/>
      </c>
      <c r="AJ642" s="55" t="str">
        <f>IF($AM642=0,"",IF(INDEX(Settings!$E$14:$E$18,$BF642)="% of notional",IF(OR($AG642="",NOT(ISNUMBER($H642)),NOT(ISNUMBER($G642))),"",ROUND(ABS($H642*$G642*$AG642*N($AH642))*IF($L642="Limit",N(INDEX(Settings!$G$14:$G$18,$BF642)),N(INDEX(Settings!$H$14:$H$18,$BF642)))+IF(ISNUMBER($K642),ABS($K642*$G642*$AG642*N($AH642))*IF($M642="Target",N(INDEX(Settings!$G$14:$G$18,$BF642)),N(INDEX(Settings!$H$14:$H$18,$BF642))),0),6)),IF(NOT(ISNUMBER($G642)),"",ROUND(ABS($G642)*2*IF(AND($BE642&gt;0,ISNUMBER(INDEX(Instruments!$G$6:$G$205,MAX(1,$BE642)))),INDEX(Instruments!$G$6:$G$205,MAX(1,$BE642)),N(INDEX(Settings!$F$14:$F$18,$BF642))),6))))</f>
        <v/>
      </c>
      <c r="AK642" s="55" t="str">
        <f>IF($AM642=0,"",IF(ISNUMBER($O642),$O642,$AI642))</f>
        <v/>
      </c>
      <c r="AL642" s="55" t="str">
        <f>IF($AM642=0,"",IF(ISNUMBER($P642),$P642,N($AJ642)))</f>
        <v/>
      </c>
      <c r="AM642" s="56">
        <f>IF(AND($A642&lt;&gt;"",$E642&lt;&gt;"",OR(AND(ISNUMBER($G642),ISNUMBER($H642),ISNUMBER($K642)),ISNUMBER($O642))),1,0)</f>
        <v>0</v>
      </c>
      <c r="AN642" s="57" t="str">
        <f>IF($A642="","",$A642-WEEKDAY($A642,3))</f>
        <v/>
      </c>
      <c r="AO642" s="56" t="str">
        <f>IF($A642="","",WEEKDAY($A642,2))</f>
        <v/>
      </c>
      <c r="AP642" s="55" t="str">
        <f>IF(OR($AM642=0,$C642=""),"",IFERROR(N(INDEX(Accounts!$E$7:$E$16,MATCH($C642,Accounts!$B$7:$B$16,0))),0)+SUMIFS($Q$6:$Q642,$C$6:$C642,$C642))</f>
        <v/>
      </c>
      <c r="AQ642" s="55" t="str">
        <f>IF(OR($AM642=0,$C642=""),"",SUMIFS($Q$6:$Q$1005,$C$6:$C$1005,$C642,$A$6:$A$1005,$A642))</f>
        <v/>
      </c>
      <c r="AR642" s="55" t="str">
        <f>IF(OR($AM642=0,$C642=""),"",IFERROR(N(INDEX(Accounts!$E$7:$E$16,MATCH($C642,Accounts!$B$7:$B$16,0))),0)+SUMIFS($Q$6:$Q$1005,$C$6:$C$1005,$C642,$A$6:$A$1005,"&lt;="&amp;$A642))</f>
        <v/>
      </c>
      <c r="AS642" s="56">
        <f>IF(OR($AM642=0,$Q642=""),0,IF(AND($A642&gt;=Lists!$W$6,$A642&lt;=Lists!$W$7,OR(Dashboard!$D$6="All accounts",$C642=Dashboard!$D$6),OR(Dashboard!$D$7="All markets",$AF642=Dashboard!$D$7)),1,0))</f>
        <v>0</v>
      </c>
      <c r="AT642" s="55">
        <f>IF($AS642=1,N(AT641)+$Q642,N(AT641))</f>
        <v>1187.10688</v>
      </c>
      <c r="AU642" s="55">
        <f>MAX(N(AU641),$AT642)</f>
        <v>1187.10688</v>
      </c>
      <c r="AV642" s="55">
        <f>$AT642-$AU642</f>
        <v>0</v>
      </c>
      <c r="AW642" s="56">
        <f>IF($AS642=1,IF($S642="Win",N(AW641)+1,IF($S642="Loss",0,N(AW641))),N(AW641))</f>
        <v>5</v>
      </c>
      <c r="AX642" s="56">
        <f>IF($AS642=1,IF($S642="Loss",N(AX641)+1,IF($S642="Win",0,N(AX641))),N(AX641))</f>
        <v>0</v>
      </c>
      <c r="AY642" s="56" t="str">
        <f>IF($AS642=1,COUNTIF($AS$6:$AS642,1),"")</f>
        <v/>
      </c>
      <c r="AZ642" s="56">
        <f>MIN(636,N(Lists!$W$8))</f>
        <v>28</v>
      </c>
      <c r="BA642" s="56">
        <f>IF($AS642=1,IF(COUNTIFS($A$6:$A642,$A642,$AS$6:$AS642,1)=1,1,0),0)</f>
        <v>0</v>
      </c>
      <c r="BB642" s="55" t="str">
        <f>IF($BA642=1,SUMIFS($Q$6:$Q$1005,$A$6:$A$1005,$A642,$AS$6:$AS$1005,1),"")</f>
        <v/>
      </c>
      <c r="BC642" s="56">
        <f>IF(ISNUMBER($R642),1,0)</f>
        <v>0</v>
      </c>
      <c r="BD642" s="55" t="str">
        <f>IF(ISNUMBER($U642),$U642*$V642,"")</f>
        <v/>
      </c>
      <c r="BE642" s="56" t="str">
        <f>IF($AM642=0,"",IFERROR(MATCH($AF642&amp;"|"&amp;UPPER(TRIM($E642)),Lists!$A$6:$A$205,0),0))</f>
        <v/>
      </c>
      <c r="BF642" s="56" t="str">
        <f>IF($AM642=0,"",IFERROR(MATCH($AF642,Settings!$B$14:$B$18,0),IFERROR(MATCH(Settings!$C$6,Settings!$B$14:$B$18,0),1)))</f>
        <v/>
      </c>
      <c r="BG642" s="58" t="str">
        <f>IF($AM642=0,"",IF(NOT(ISNUMBER($I642)),"No stop; ","")&amp;IF(AND(ISNUMBER($H642),ISNUMBER($I642)),IF(OR(AND($F642&lt;&gt;"Short",$I642&gt;=$H642),AND($F642="Short",$I642&lt;=$H642)),"Stop on wrong side; ",""),"")&amp;IF($F642="","No direction; ","")&amp;IF(AND(ISNUMBER(Settings!$C$22),ISNUMBER($V642)),IF($V642&gt;Settings!$C$22,"Risk over max $; ",""),"")&amp;IF(AND(ISNUMBER(Settings!$C$23),ISNUMBER($V642),ISNUMBER($AP642),IFERROR(N(INDEX(Accounts!$E$7:$E$16,MATCH($C642,Accounts!$B$7:$B$16,0))),0)&gt;0),IF($V642&gt;Settings!$C$23*($AP642-N($Q642)),"Risk over max %; ",""),"")&amp;IF(AND(ISNUMBER(Settings!$C$24),ISNUMBER($N642)),IF($N642&gt;Settings!$C$24,"Leverage over max; ",""),"")&amp;IF(AND(ISNUMBER(Settings!$C$27),ISNUMBER($T642)),IF($T642&lt;Settings!$C$27,"R:R below min; ",""),"")&amp;IF(ISNUMBER(Settings!$C$25),IF(COUNTIFS($A$6:$A642,$A642,$AM$6:$AM642,1)&gt;Settings!$C$25,"Over max trades/day; ",""),"")&amp;IF(ISNUMBER(Settings!$C$26),IF(SUMIFS($Q$5:$Q641,$A$5:$A641,$A642)&lt;=-Settings!$C$26,"Traded after daily max loss; ",""),"")&amp;IF(AND($AG642="",NOT(ISNUMBER($O642))),"Symbol not in Instruments; ","")&amp;IF(AND($AH642="",NOT(ISNUMBER($O642))),"Forex cross: type Gross P&amp;L; ",""))</f>
        <v/>
      </c>
      <c r="BH642" s="56">
        <f>IF(ISNUMBER($Q642),1,0)</f>
        <v>0</v>
      </c>
      <c r="BI642" s="56">
        <f>IF($Y642="",0,1)</f>
        <v>0</v>
      </c>
      <c r="BJ642" s="56">
        <f>IF($AB642="",0,1)</f>
        <v>0</v>
      </c>
      <c r="BK642" s="56">
        <f>IF(AND($BH642=1,$W642&lt;&gt;"OK"),1,0)</f>
        <v>0</v>
      </c>
      <c r="BL642" s="55">
        <f>IF(N($AZ642)=0,0,IFERROR(INDEX($AT$6:$AT$1005,MATCH($AZ642,$AY$6:$AY$1005,0)),0))</f>
        <v>1187.10688</v>
      </c>
      <c r="BM642" s="56">
        <f>IF(ISNUMBER(SEARCH("daily max loss",$BG642)),1,0)</f>
        <v>0</v>
      </c>
    </row>
    <row r="643" ht="18" customHeight="1">
      <c r="A643" s="38" t="n"/>
      <c r="B643" s="39" t="n"/>
      <c r="C643" s="40" t="n"/>
      <c r="D643" s="41" t="n"/>
      <c r="E643" s="41" t="n"/>
      <c r="F643" s="41" t="n"/>
      <c r="G643" s="41" t="n"/>
      <c r="H643" s="42" t="n"/>
      <c r="I643" s="42" t="n"/>
      <c r="J643" s="42" t="n"/>
      <c r="K643" s="42" t="n"/>
      <c r="L643" s="41" t="n"/>
      <c r="M643" s="41" t="n"/>
      <c r="N643" s="41" t="n"/>
      <c r="O643" s="43" t="n"/>
      <c r="P643" s="43" t="n"/>
      <c r="Q643" s="44" t="str">
        <f>IF($AM643=0,"",IF(ISNUMBER($AK643),$AK643-N($AL643),""))</f>
        <v/>
      </c>
      <c r="R643" s="45" t="str">
        <f>IF(OR($Q643="",NOT(ISNUMBER($V643))),"",$AK643/$V643)</f>
        <v/>
      </c>
      <c r="S643" s="46" t="str">
        <f>IF($Q643="","",IF(AND(ISNUMBER($R643),ABS(N($R643))&lt;N(Settings!$C$8)),"Scratch",IF($Q643&gt;0,"Win",IF($Q643&lt;0,"Loss","Scratch"))))</f>
        <v/>
      </c>
      <c r="T643" s="47" t="str">
        <f>IF(OR($AM643=0,NOT(ISNUMBER($H643)),NOT(ISNUMBER($I643)),NOT(ISNUMBER($J643))),"",IF($H643=$I643,"",ROUND(ABS($J643-$H643)/ABS($H643-$I643),6)))</f>
        <v/>
      </c>
      <c r="U643" s="48" t="str">
        <f>IF(OR($S643&lt;&gt;"Win",NOT(ISNUMBER($T643)),NOT(ISNUMBER($R643))),"",MAX(0,$T643-$R643))</f>
        <v/>
      </c>
      <c r="V643" s="49" t="str">
        <f>IF(OR($AM643=0,NOT(ISNUMBER($H643)),NOT(ISNUMBER($I643)),NOT(ISNUMBER($G643))),"",IF(OR($AG643="",$AH643=""),"",IF(ROUND(ABS($H643-$I643)*ABS($G643)*$AG643*$AH643,6)=0,"",ROUND(ABS($H643-$I643)*ABS($G643)*$AG643*$AH643,6))))</f>
        <v/>
      </c>
      <c r="W643" s="50" t="str">
        <f>IF($AM643=0,"",IF($BG643="","OK",LEFT($BG643,LEN($BG643)-2)))</f>
        <v/>
      </c>
      <c r="X643" s="41" t="n"/>
      <c r="Y643" s="40" t="n"/>
      <c r="Z643" s="41" t="n"/>
      <c r="AA643" s="41" t="n"/>
      <c r="AB643" s="40" t="n"/>
      <c r="AC643" s="51" t="n"/>
      <c r="AD643" s="51" t="n"/>
      <c r="AE643" s="40" t="n"/>
      <c r="AF643" s="52" t="str">
        <f>IF($AM643=0,"",IF($D643&lt;&gt;"",$D643,IF(IFERROR(INDEX(Accounts!$C$7:$C$16,MATCH($C643,Accounts!$B$7:$B$16,0))&amp;"","")&lt;&gt;"",INDEX(Accounts!$C$7:$C$16,MATCH($C643,Accounts!$B$7:$B$16,0)),Settings!$C$6)))</f>
        <v/>
      </c>
      <c r="AG643" s="53" t="str">
        <f>IF($AM643=0,"",IF(AND($BE643&gt;0,N(INDEX(Instruments!$D$6:$D$205,MAX(1,$BE643)))&gt;0),INDEX(Instruments!$D$6:$D$205,MAX(1,$BE643)),IF(N(INDEX(Settings!$D$14:$D$18,$BF643))&gt;0,INDEX(Settings!$D$14:$D$18,$BF643),"")))</f>
        <v/>
      </c>
      <c r="AH643" s="54" t="str">
        <f>IF($AM643=0,"",IF($AF643&lt;&gt;"Forex",1,IF(MID(UPPER(SUBSTITUTE(TRIM($E643),"/","")),4,3)=UPPER(TRIM(Settings!$C$7)),1,IF(LEFT(UPPER(SUBSTITUTE(TRIM($E643),"/","")),3)=UPPER(TRIM(Settings!$C$7)),IF(AND(ISNUMBER($K643),N($K643)&lt;&gt;0),1/$K643,""),""))))</f>
        <v/>
      </c>
      <c r="AI643" s="55" t="str">
        <f>IF($AM643=0,"",IF(OR(NOT(ISNUMBER($H643)),NOT(ISNUMBER($K643)),NOT(ISNUMBER($G643)),$AG643="",$AH643=""),"",ROUND(($K643-$H643)*IF($F643="Short",-1,1)*$G643*$AG643*$AH643,6)))</f>
        <v/>
      </c>
      <c r="AJ643" s="55" t="str">
        <f>IF($AM643=0,"",IF(INDEX(Settings!$E$14:$E$18,$BF643)="% of notional",IF(OR($AG643="",NOT(ISNUMBER($H643)),NOT(ISNUMBER($G643))),"",ROUND(ABS($H643*$G643*$AG643*N($AH643))*IF($L643="Limit",N(INDEX(Settings!$G$14:$G$18,$BF643)),N(INDEX(Settings!$H$14:$H$18,$BF643)))+IF(ISNUMBER($K643),ABS($K643*$G643*$AG643*N($AH643))*IF($M643="Target",N(INDEX(Settings!$G$14:$G$18,$BF643)),N(INDEX(Settings!$H$14:$H$18,$BF643))),0),6)),IF(NOT(ISNUMBER($G643)),"",ROUND(ABS($G643)*2*IF(AND($BE643&gt;0,ISNUMBER(INDEX(Instruments!$G$6:$G$205,MAX(1,$BE643)))),INDEX(Instruments!$G$6:$G$205,MAX(1,$BE643)),N(INDEX(Settings!$F$14:$F$18,$BF643))),6))))</f>
        <v/>
      </c>
      <c r="AK643" s="55" t="str">
        <f>IF($AM643=0,"",IF(ISNUMBER($O643),$O643,$AI643))</f>
        <v/>
      </c>
      <c r="AL643" s="55" t="str">
        <f>IF($AM643=0,"",IF(ISNUMBER($P643),$P643,N($AJ643)))</f>
        <v/>
      </c>
      <c r="AM643" s="56">
        <f>IF(AND($A643&lt;&gt;"",$E643&lt;&gt;"",OR(AND(ISNUMBER($G643),ISNUMBER($H643),ISNUMBER($K643)),ISNUMBER($O643))),1,0)</f>
        <v>0</v>
      </c>
      <c r="AN643" s="57" t="str">
        <f>IF($A643="","",$A643-WEEKDAY($A643,3))</f>
        <v/>
      </c>
      <c r="AO643" s="56" t="str">
        <f>IF($A643="","",WEEKDAY($A643,2))</f>
        <v/>
      </c>
      <c r="AP643" s="55" t="str">
        <f>IF(OR($AM643=0,$C643=""),"",IFERROR(N(INDEX(Accounts!$E$7:$E$16,MATCH($C643,Accounts!$B$7:$B$16,0))),0)+SUMIFS($Q$6:$Q643,$C$6:$C643,$C643))</f>
        <v/>
      </c>
      <c r="AQ643" s="55" t="str">
        <f>IF(OR($AM643=0,$C643=""),"",SUMIFS($Q$6:$Q$1005,$C$6:$C$1005,$C643,$A$6:$A$1005,$A643))</f>
        <v/>
      </c>
      <c r="AR643" s="55" t="str">
        <f>IF(OR($AM643=0,$C643=""),"",IFERROR(N(INDEX(Accounts!$E$7:$E$16,MATCH($C643,Accounts!$B$7:$B$16,0))),0)+SUMIFS($Q$6:$Q$1005,$C$6:$C$1005,$C643,$A$6:$A$1005,"&lt;="&amp;$A643))</f>
        <v/>
      </c>
      <c r="AS643" s="56">
        <f>IF(OR($AM643=0,$Q643=""),0,IF(AND($A643&gt;=Lists!$W$6,$A643&lt;=Lists!$W$7,OR(Dashboard!$D$6="All accounts",$C643=Dashboard!$D$6),OR(Dashboard!$D$7="All markets",$AF643=Dashboard!$D$7)),1,0))</f>
        <v>0</v>
      </c>
      <c r="AT643" s="55">
        <f>IF($AS643=1,N(AT642)+$Q643,N(AT642))</f>
        <v>1187.10688</v>
      </c>
      <c r="AU643" s="55">
        <f>MAX(N(AU642),$AT643)</f>
        <v>1187.10688</v>
      </c>
      <c r="AV643" s="55">
        <f>$AT643-$AU643</f>
        <v>0</v>
      </c>
      <c r="AW643" s="56">
        <f>IF($AS643=1,IF($S643="Win",N(AW642)+1,IF($S643="Loss",0,N(AW642))),N(AW642))</f>
        <v>5</v>
      </c>
      <c r="AX643" s="56">
        <f>IF($AS643=1,IF($S643="Loss",N(AX642)+1,IF($S643="Win",0,N(AX642))),N(AX642))</f>
        <v>0</v>
      </c>
      <c r="AY643" s="56" t="str">
        <f>IF($AS643=1,COUNTIF($AS$6:$AS643,1),"")</f>
        <v/>
      </c>
      <c r="AZ643" s="56">
        <f>MIN(637,N(Lists!$W$8))</f>
        <v>28</v>
      </c>
      <c r="BA643" s="56">
        <f>IF($AS643=1,IF(COUNTIFS($A$6:$A643,$A643,$AS$6:$AS643,1)=1,1,0),0)</f>
        <v>0</v>
      </c>
      <c r="BB643" s="55" t="str">
        <f>IF($BA643=1,SUMIFS($Q$6:$Q$1005,$A$6:$A$1005,$A643,$AS$6:$AS$1005,1),"")</f>
        <v/>
      </c>
      <c r="BC643" s="56">
        <f>IF(ISNUMBER($R643),1,0)</f>
        <v>0</v>
      </c>
      <c r="BD643" s="55" t="str">
        <f>IF(ISNUMBER($U643),$U643*$V643,"")</f>
        <v/>
      </c>
      <c r="BE643" s="56" t="str">
        <f>IF($AM643=0,"",IFERROR(MATCH($AF643&amp;"|"&amp;UPPER(TRIM($E643)),Lists!$A$6:$A$205,0),0))</f>
        <v/>
      </c>
      <c r="BF643" s="56" t="str">
        <f>IF($AM643=0,"",IFERROR(MATCH($AF643,Settings!$B$14:$B$18,0),IFERROR(MATCH(Settings!$C$6,Settings!$B$14:$B$18,0),1)))</f>
        <v/>
      </c>
      <c r="BG643" s="58" t="str">
        <f>IF($AM643=0,"",IF(NOT(ISNUMBER($I643)),"No stop; ","")&amp;IF(AND(ISNUMBER($H643),ISNUMBER($I643)),IF(OR(AND($F643&lt;&gt;"Short",$I643&gt;=$H643),AND($F643="Short",$I643&lt;=$H643)),"Stop on wrong side; ",""),"")&amp;IF($F643="","No direction; ","")&amp;IF(AND(ISNUMBER(Settings!$C$22),ISNUMBER($V643)),IF($V643&gt;Settings!$C$22,"Risk over max $; ",""),"")&amp;IF(AND(ISNUMBER(Settings!$C$23),ISNUMBER($V643),ISNUMBER($AP643),IFERROR(N(INDEX(Accounts!$E$7:$E$16,MATCH($C643,Accounts!$B$7:$B$16,0))),0)&gt;0),IF($V643&gt;Settings!$C$23*($AP643-N($Q643)),"Risk over max %; ",""),"")&amp;IF(AND(ISNUMBER(Settings!$C$24),ISNUMBER($N643)),IF($N643&gt;Settings!$C$24,"Leverage over max; ",""),"")&amp;IF(AND(ISNUMBER(Settings!$C$27),ISNUMBER($T643)),IF($T643&lt;Settings!$C$27,"R:R below min; ",""),"")&amp;IF(ISNUMBER(Settings!$C$25),IF(COUNTIFS($A$6:$A643,$A643,$AM$6:$AM643,1)&gt;Settings!$C$25,"Over max trades/day; ",""),"")&amp;IF(ISNUMBER(Settings!$C$26),IF(SUMIFS($Q$5:$Q642,$A$5:$A642,$A643)&lt;=-Settings!$C$26,"Traded after daily max loss; ",""),"")&amp;IF(AND($AG643="",NOT(ISNUMBER($O643))),"Symbol not in Instruments; ","")&amp;IF(AND($AH643="",NOT(ISNUMBER($O643))),"Forex cross: type Gross P&amp;L; ",""))</f>
        <v/>
      </c>
      <c r="BH643" s="56">
        <f>IF(ISNUMBER($Q643),1,0)</f>
        <v>0</v>
      </c>
      <c r="BI643" s="56">
        <f>IF($Y643="",0,1)</f>
        <v>0</v>
      </c>
      <c r="BJ643" s="56">
        <f>IF($AB643="",0,1)</f>
        <v>0</v>
      </c>
      <c r="BK643" s="56">
        <f>IF(AND($BH643=1,$W643&lt;&gt;"OK"),1,0)</f>
        <v>0</v>
      </c>
      <c r="BL643" s="55">
        <f>IF(N($AZ643)=0,0,IFERROR(INDEX($AT$6:$AT$1005,MATCH($AZ643,$AY$6:$AY$1005,0)),0))</f>
        <v>1187.10688</v>
      </c>
      <c r="BM643" s="56">
        <f>IF(ISNUMBER(SEARCH("daily max loss",$BG643)),1,0)</f>
        <v>0</v>
      </c>
    </row>
    <row r="644" ht="18" customHeight="1">
      <c r="A644" s="38" t="n"/>
      <c r="B644" s="39" t="n"/>
      <c r="C644" s="40" t="n"/>
      <c r="D644" s="41" t="n"/>
      <c r="E644" s="41" t="n"/>
      <c r="F644" s="41" t="n"/>
      <c r="G644" s="41" t="n"/>
      <c r="H644" s="42" t="n"/>
      <c r="I644" s="42" t="n"/>
      <c r="J644" s="42" t="n"/>
      <c r="K644" s="42" t="n"/>
      <c r="L644" s="41" t="n"/>
      <c r="M644" s="41" t="n"/>
      <c r="N644" s="41" t="n"/>
      <c r="O644" s="43" t="n"/>
      <c r="P644" s="43" t="n"/>
      <c r="Q644" s="44" t="str">
        <f>IF($AM644=0,"",IF(ISNUMBER($AK644),$AK644-N($AL644),""))</f>
        <v/>
      </c>
      <c r="R644" s="45" t="str">
        <f>IF(OR($Q644="",NOT(ISNUMBER($V644))),"",$AK644/$V644)</f>
        <v/>
      </c>
      <c r="S644" s="46" t="str">
        <f>IF($Q644="","",IF(AND(ISNUMBER($R644),ABS(N($R644))&lt;N(Settings!$C$8)),"Scratch",IF($Q644&gt;0,"Win",IF($Q644&lt;0,"Loss","Scratch"))))</f>
        <v/>
      </c>
      <c r="T644" s="47" t="str">
        <f>IF(OR($AM644=0,NOT(ISNUMBER($H644)),NOT(ISNUMBER($I644)),NOT(ISNUMBER($J644))),"",IF($H644=$I644,"",ROUND(ABS($J644-$H644)/ABS($H644-$I644),6)))</f>
        <v/>
      </c>
      <c r="U644" s="48" t="str">
        <f>IF(OR($S644&lt;&gt;"Win",NOT(ISNUMBER($T644)),NOT(ISNUMBER($R644))),"",MAX(0,$T644-$R644))</f>
        <v/>
      </c>
      <c r="V644" s="49" t="str">
        <f>IF(OR($AM644=0,NOT(ISNUMBER($H644)),NOT(ISNUMBER($I644)),NOT(ISNUMBER($G644))),"",IF(OR($AG644="",$AH644=""),"",IF(ROUND(ABS($H644-$I644)*ABS($G644)*$AG644*$AH644,6)=0,"",ROUND(ABS($H644-$I644)*ABS($G644)*$AG644*$AH644,6))))</f>
        <v/>
      </c>
      <c r="W644" s="50" t="str">
        <f>IF($AM644=0,"",IF($BG644="","OK",LEFT($BG644,LEN($BG644)-2)))</f>
        <v/>
      </c>
      <c r="X644" s="41" t="n"/>
      <c r="Y644" s="40" t="n"/>
      <c r="Z644" s="41" t="n"/>
      <c r="AA644" s="41" t="n"/>
      <c r="AB644" s="40" t="n"/>
      <c r="AC644" s="51" t="n"/>
      <c r="AD644" s="51" t="n"/>
      <c r="AE644" s="40" t="n"/>
      <c r="AF644" s="52" t="str">
        <f>IF($AM644=0,"",IF($D644&lt;&gt;"",$D644,IF(IFERROR(INDEX(Accounts!$C$7:$C$16,MATCH($C644,Accounts!$B$7:$B$16,0))&amp;"","")&lt;&gt;"",INDEX(Accounts!$C$7:$C$16,MATCH($C644,Accounts!$B$7:$B$16,0)),Settings!$C$6)))</f>
        <v/>
      </c>
      <c r="AG644" s="53" t="str">
        <f>IF($AM644=0,"",IF(AND($BE644&gt;0,N(INDEX(Instruments!$D$6:$D$205,MAX(1,$BE644)))&gt;0),INDEX(Instruments!$D$6:$D$205,MAX(1,$BE644)),IF(N(INDEX(Settings!$D$14:$D$18,$BF644))&gt;0,INDEX(Settings!$D$14:$D$18,$BF644),"")))</f>
        <v/>
      </c>
      <c r="AH644" s="54" t="str">
        <f>IF($AM644=0,"",IF($AF644&lt;&gt;"Forex",1,IF(MID(UPPER(SUBSTITUTE(TRIM($E644),"/","")),4,3)=UPPER(TRIM(Settings!$C$7)),1,IF(LEFT(UPPER(SUBSTITUTE(TRIM($E644),"/","")),3)=UPPER(TRIM(Settings!$C$7)),IF(AND(ISNUMBER($K644),N($K644)&lt;&gt;0),1/$K644,""),""))))</f>
        <v/>
      </c>
      <c r="AI644" s="55" t="str">
        <f>IF($AM644=0,"",IF(OR(NOT(ISNUMBER($H644)),NOT(ISNUMBER($K644)),NOT(ISNUMBER($G644)),$AG644="",$AH644=""),"",ROUND(($K644-$H644)*IF($F644="Short",-1,1)*$G644*$AG644*$AH644,6)))</f>
        <v/>
      </c>
      <c r="AJ644" s="55" t="str">
        <f>IF($AM644=0,"",IF(INDEX(Settings!$E$14:$E$18,$BF644)="% of notional",IF(OR($AG644="",NOT(ISNUMBER($H644)),NOT(ISNUMBER($G644))),"",ROUND(ABS($H644*$G644*$AG644*N($AH644))*IF($L644="Limit",N(INDEX(Settings!$G$14:$G$18,$BF644)),N(INDEX(Settings!$H$14:$H$18,$BF644)))+IF(ISNUMBER($K644),ABS($K644*$G644*$AG644*N($AH644))*IF($M644="Target",N(INDEX(Settings!$G$14:$G$18,$BF644)),N(INDEX(Settings!$H$14:$H$18,$BF644))),0),6)),IF(NOT(ISNUMBER($G644)),"",ROUND(ABS($G644)*2*IF(AND($BE644&gt;0,ISNUMBER(INDEX(Instruments!$G$6:$G$205,MAX(1,$BE644)))),INDEX(Instruments!$G$6:$G$205,MAX(1,$BE644)),N(INDEX(Settings!$F$14:$F$18,$BF644))),6))))</f>
        <v/>
      </c>
      <c r="AK644" s="55" t="str">
        <f>IF($AM644=0,"",IF(ISNUMBER($O644),$O644,$AI644))</f>
        <v/>
      </c>
      <c r="AL644" s="55" t="str">
        <f>IF($AM644=0,"",IF(ISNUMBER($P644),$P644,N($AJ644)))</f>
        <v/>
      </c>
      <c r="AM644" s="56">
        <f>IF(AND($A644&lt;&gt;"",$E644&lt;&gt;"",OR(AND(ISNUMBER($G644),ISNUMBER($H644),ISNUMBER($K644)),ISNUMBER($O644))),1,0)</f>
        <v>0</v>
      </c>
      <c r="AN644" s="57" t="str">
        <f>IF($A644="","",$A644-WEEKDAY($A644,3))</f>
        <v/>
      </c>
      <c r="AO644" s="56" t="str">
        <f>IF($A644="","",WEEKDAY($A644,2))</f>
        <v/>
      </c>
      <c r="AP644" s="55" t="str">
        <f>IF(OR($AM644=0,$C644=""),"",IFERROR(N(INDEX(Accounts!$E$7:$E$16,MATCH($C644,Accounts!$B$7:$B$16,0))),0)+SUMIFS($Q$6:$Q644,$C$6:$C644,$C644))</f>
        <v/>
      </c>
      <c r="AQ644" s="55" t="str">
        <f>IF(OR($AM644=0,$C644=""),"",SUMIFS($Q$6:$Q$1005,$C$6:$C$1005,$C644,$A$6:$A$1005,$A644))</f>
        <v/>
      </c>
      <c r="AR644" s="55" t="str">
        <f>IF(OR($AM644=0,$C644=""),"",IFERROR(N(INDEX(Accounts!$E$7:$E$16,MATCH($C644,Accounts!$B$7:$B$16,0))),0)+SUMIFS($Q$6:$Q$1005,$C$6:$C$1005,$C644,$A$6:$A$1005,"&lt;="&amp;$A644))</f>
        <v/>
      </c>
      <c r="AS644" s="56">
        <f>IF(OR($AM644=0,$Q644=""),0,IF(AND($A644&gt;=Lists!$W$6,$A644&lt;=Lists!$W$7,OR(Dashboard!$D$6="All accounts",$C644=Dashboard!$D$6),OR(Dashboard!$D$7="All markets",$AF644=Dashboard!$D$7)),1,0))</f>
        <v>0</v>
      </c>
      <c r="AT644" s="55">
        <f>IF($AS644=1,N(AT643)+$Q644,N(AT643))</f>
        <v>1187.10688</v>
      </c>
      <c r="AU644" s="55">
        <f>MAX(N(AU643),$AT644)</f>
        <v>1187.10688</v>
      </c>
      <c r="AV644" s="55">
        <f>$AT644-$AU644</f>
        <v>0</v>
      </c>
      <c r="AW644" s="56">
        <f>IF($AS644=1,IF($S644="Win",N(AW643)+1,IF($S644="Loss",0,N(AW643))),N(AW643))</f>
        <v>5</v>
      </c>
      <c r="AX644" s="56">
        <f>IF($AS644=1,IF($S644="Loss",N(AX643)+1,IF($S644="Win",0,N(AX643))),N(AX643))</f>
        <v>0</v>
      </c>
      <c r="AY644" s="56" t="str">
        <f>IF($AS644=1,COUNTIF($AS$6:$AS644,1),"")</f>
        <v/>
      </c>
      <c r="AZ644" s="56">
        <f>MIN(638,N(Lists!$W$8))</f>
        <v>28</v>
      </c>
      <c r="BA644" s="56">
        <f>IF($AS644=1,IF(COUNTIFS($A$6:$A644,$A644,$AS$6:$AS644,1)=1,1,0),0)</f>
        <v>0</v>
      </c>
      <c r="BB644" s="55" t="str">
        <f>IF($BA644=1,SUMIFS($Q$6:$Q$1005,$A$6:$A$1005,$A644,$AS$6:$AS$1005,1),"")</f>
        <v/>
      </c>
      <c r="BC644" s="56">
        <f>IF(ISNUMBER($R644),1,0)</f>
        <v>0</v>
      </c>
      <c r="BD644" s="55" t="str">
        <f>IF(ISNUMBER($U644),$U644*$V644,"")</f>
        <v/>
      </c>
      <c r="BE644" s="56" t="str">
        <f>IF($AM644=0,"",IFERROR(MATCH($AF644&amp;"|"&amp;UPPER(TRIM($E644)),Lists!$A$6:$A$205,0),0))</f>
        <v/>
      </c>
      <c r="BF644" s="56" t="str">
        <f>IF($AM644=0,"",IFERROR(MATCH($AF644,Settings!$B$14:$B$18,0),IFERROR(MATCH(Settings!$C$6,Settings!$B$14:$B$18,0),1)))</f>
        <v/>
      </c>
      <c r="BG644" s="58" t="str">
        <f>IF($AM644=0,"",IF(NOT(ISNUMBER($I644)),"No stop; ","")&amp;IF(AND(ISNUMBER($H644),ISNUMBER($I644)),IF(OR(AND($F644&lt;&gt;"Short",$I644&gt;=$H644),AND($F644="Short",$I644&lt;=$H644)),"Stop on wrong side; ",""),"")&amp;IF($F644="","No direction; ","")&amp;IF(AND(ISNUMBER(Settings!$C$22),ISNUMBER($V644)),IF($V644&gt;Settings!$C$22,"Risk over max $; ",""),"")&amp;IF(AND(ISNUMBER(Settings!$C$23),ISNUMBER($V644),ISNUMBER($AP644),IFERROR(N(INDEX(Accounts!$E$7:$E$16,MATCH($C644,Accounts!$B$7:$B$16,0))),0)&gt;0),IF($V644&gt;Settings!$C$23*($AP644-N($Q644)),"Risk over max %; ",""),"")&amp;IF(AND(ISNUMBER(Settings!$C$24),ISNUMBER($N644)),IF($N644&gt;Settings!$C$24,"Leverage over max; ",""),"")&amp;IF(AND(ISNUMBER(Settings!$C$27),ISNUMBER($T644)),IF($T644&lt;Settings!$C$27,"R:R below min; ",""),"")&amp;IF(ISNUMBER(Settings!$C$25),IF(COUNTIFS($A$6:$A644,$A644,$AM$6:$AM644,1)&gt;Settings!$C$25,"Over max trades/day; ",""),"")&amp;IF(ISNUMBER(Settings!$C$26),IF(SUMIFS($Q$5:$Q643,$A$5:$A643,$A644)&lt;=-Settings!$C$26,"Traded after daily max loss; ",""),"")&amp;IF(AND($AG644="",NOT(ISNUMBER($O644))),"Symbol not in Instruments; ","")&amp;IF(AND($AH644="",NOT(ISNUMBER($O644))),"Forex cross: type Gross P&amp;L; ",""))</f>
        <v/>
      </c>
      <c r="BH644" s="56">
        <f>IF(ISNUMBER($Q644),1,0)</f>
        <v>0</v>
      </c>
      <c r="BI644" s="56">
        <f>IF($Y644="",0,1)</f>
        <v>0</v>
      </c>
      <c r="BJ644" s="56">
        <f>IF($AB644="",0,1)</f>
        <v>0</v>
      </c>
      <c r="BK644" s="56">
        <f>IF(AND($BH644=1,$W644&lt;&gt;"OK"),1,0)</f>
        <v>0</v>
      </c>
      <c r="BL644" s="55">
        <f>IF(N($AZ644)=0,0,IFERROR(INDEX($AT$6:$AT$1005,MATCH($AZ644,$AY$6:$AY$1005,0)),0))</f>
        <v>1187.10688</v>
      </c>
      <c r="BM644" s="56">
        <f>IF(ISNUMBER(SEARCH("daily max loss",$BG644)),1,0)</f>
        <v>0</v>
      </c>
    </row>
    <row r="645" ht="18" customHeight="1">
      <c r="A645" s="38" t="n"/>
      <c r="B645" s="39" t="n"/>
      <c r="C645" s="40" t="n"/>
      <c r="D645" s="41" t="n"/>
      <c r="E645" s="41" t="n"/>
      <c r="F645" s="41" t="n"/>
      <c r="G645" s="41" t="n"/>
      <c r="H645" s="42" t="n"/>
      <c r="I645" s="42" t="n"/>
      <c r="J645" s="42" t="n"/>
      <c r="K645" s="42" t="n"/>
      <c r="L645" s="41" t="n"/>
      <c r="M645" s="41" t="n"/>
      <c r="N645" s="41" t="n"/>
      <c r="O645" s="43" t="n"/>
      <c r="P645" s="43" t="n"/>
      <c r="Q645" s="44" t="str">
        <f>IF($AM645=0,"",IF(ISNUMBER($AK645),$AK645-N($AL645),""))</f>
        <v/>
      </c>
      <c r="R645" s="45" t="str">
        <f>IF(OR($Q645="",NOT(ISNUMBER($V645))),"",$AK645/$V645)</f>
        <v/>
      </c>
      <c r="S645" s="46" t="str">
        <f>IF($Q645="","",IF(AND(ISNUMBER($R645),ABS(N($R645))&lt;N(Settings!$C$8)),"Scratch",IF($Q645&gt;0,"Win",IF($Q645&lt;0,"Loss","Scratch"))))</f>
        <v/>
      </c>
      <c r="T645" s="47" t="str">
        <f>IF(OR($AM645=0,NOT(ISNUMBER($H645)),NOT(ISNUMBER($I645)),NOT(ISNUMBER($J645))),"",IF($H645=$I645,"",ROUND(ABS($J645-$H645)/ABS($H645-$I645),6)))</f>
        <v/>
      </c>
      <c r="U645" s="48" t="str">
        <f>IF(OR($S645&lt;&gt;"Win",NOT(ISNUMBER($T645)),NOT(ISNUMBER($R645))),"",MAX(0,$T645-$R645))</f>
        <v/>
      </c>
      <c r="V645" s="49" t="str">
        <f>IF(OR($AM645=0,NOT(ISNUMBER($H645)),NOT(ISNUMBER($I645)),NOT(ISNUMBER($G645))),"",IF(OR($AG645="",$AH645=""),"",IF(ROUND(ABS($H645-$I645)*ABS($G645)*$AG645*$AH645,6)=0,"",ROUND(ABS($H645-$I645)*ABS($G645)*$AG645*$AH645,6))))</f>
        <v/>
      </c>
      <c r="W645" s="50" t="str">
        <f>IF($AM645=0,"",IF($BG645="","OK",LEFT($BG645,LEN($BG645)-2)))</f>
        <v/>
      </c>
      <c r="X645" s="41" t="n"/>
      <c r="Y645" s="40" t="n"/>
      <c r="Z645" s="41" t="n"/>
      <c r="AA645" s="41" t="n"/>
      <c r="AB645" s="40" t="n"/>
      <c r="AC645" s="51" t="n"/>
      <c r="AD645" s="51" t="n"/>
      <c r="AE645" s="40" t="n"/>
      <c r="AF645" s="52" t="str">
        <f>IF($AM645=0,"",IF($D645&lt;&gt;"",$D645,IF(IFERROR(INDEX(Accounts!$C$7:$C$16,MATCH($C645,Accounts!$B$7:$B$16,0))&amp;"","")&lt;&gt;"",INDEX(Accounts!$C$7:$C$16,MATCH($C645,Accounts!$B$7:$B$16,0)),Settings!$C$6)))</f>
        <v/>
      </c>
      <c r="AG645" s="53" t="str">
        <f>IF($AM645=0,"",IF(AND($BE645&gt;0,N(INDEX(Instruments!$D$6:$D$205,MAX(1,$BE645)))&gt;0),INDEX(Instruments!$D$6:$D$205,MAX(1,$BE645)),IF(N(INDEX(Settings!$D$14:$D$18,$BF645))&gt;0,INDEX(Settings!$D$14:$D$18,$BF645),"")))</f>
        <v/>
      </c>
      <c r="AH645" s="54" t="str">
        <f>IF($AM645=0,"",IF($AF645&lt;&gt;"Forex",1,IF(MID(UPPER(SUBSTITUTE(TRIM($E645),"/","")),4,3)=UPPER(TRIM(Settings!$C$7)),1,IF(LEFT(UPPER(SUBSTITUTE(TRIM($E645),"/","")),3)=UPPER(TRIM(Settings!$C$7)),IF(AND(ISNUMBER($K645),N($K645)&lt;&gt;0),1/$K645,""),""))))</f>
        <v/>
      </c>
      <c r="AI645" s="55" t="str">
        <f>IF($AM645=0,"",IF(OR(NOT(ISNUMBER($H645)),NOT(ISNUMBER($K645)),NOT(ISNUMBER($G645)),$AG645="",$AH645=""),"",ROUND(($K645-$H645)*IF($F645="Short",-1,1)*$G645*$AG645*$AH645,6)))</f>
        <v/>
      </c>
      <c r="AJ645" s="55" t="str">
        <f>IF($AM645=0,"",IF(INDEX(Settings!$E$14:$E$18,$BF645)="% of notional",IF(OR($AG645="",NOT(ISNUMBER($H645)),NOT(ISNUMBER($G645))),"",ROUND(ABS($H645*$G645*$AG645*N($AH645))*IF($L645="Limit",N(INDEX(Settings!$G$14:$G$18,$BF645)),N(INDEX(Settings!$H$14:$H$18,$BF645)))+IF(ISNUMBER($K645),ABS($K645*$G645*$AG645*N($AH645))*IF($M645="Target",N(INDEX(Settings!$G$14:$G$18,$BF645)),N(INDEX(Settings!$H$14:$H$18,$BF645))),0),6)),IF(NOT(ISNUMBER($G645)),"",ROUND(ABS($G645)*2*IF(AND($BE645&gt;0,ISNUMBER(INDEX(Instruments!$G$6:$G$205,MAX(1,$BE645)))),INDEX(Instruments!$G$6:$G$205,MAX(1,$BE645)),N(INDEX(Settings!$F$14:$F$18,$BF645))),6))))</f>
        <v/>
      </c>
      <c r="AK645" s="55" t="str">
        <f>IF($AM645=0,"",IF(ISNUMBER($O645),$O645,$AI645))</f>
        <v/>
      </c>
      <c r="AL645" s="55" t="str">
        <f>IF($AM645=0,"",IF(ISNUMBER($P645),$P645,N($AJ645)))</f>
        <v/>
      </c>
      <c r="AM645" s="56">
        <f>IF(AND($A645&lt;&gt;"",$E645&lt;&gt;"",OR(AND(ISNUMBER($G645),ISNUMBER($H645),ISNUMBER($K645)),ISNUMBER($O645))),1,0)</f>
        <v>0</v>
      </c>
      <c r="AN645" s="57" t="str">
        <f>IF($A645="","",$A645-WEEKDAY($A645,3))</f>
        <v/>
      </c>
      <c r="AO645" s="56" t="str">
        <f>IF($A645="","",WEEKDAY($A645,2))</f>
        <v/>
      </c>
      <c r="AP645" s="55" t="str">
        <f>IF(OR($AM645=0,$C645=""),"",IFERROR(N(INDEX(Accounts!$E$7:$E$16,MATCH($C645,Accounts!$B$7:$B$16,0))),0)+SUMIFS($Q$6:$Q645,$C$6:$C645,$C645))</f>
        <v/>
      </c>
      <c r="AQ645" s="55" t="str">
        <f>IF(OR($AM645=0,$C645=""),"",SUMIFS($Q$6:$Q$1005,$C$6:$C$1005,$C645,$A$6:$A$1005,$A645))</f>
        <v/>
      </c>
      <c r="AR645" s="55" t="str">
        <f>IF(OR($AM645=0,$C645=""),"",IFERROR(N(INDEX(Accounts!$E$7:$E$16,MATCH($C645,Accounts!$B$7:$B$16,0))),0)+SUMIFS($Q$6:$Q$1005,$C$6:$C$1005,$C645,$A$6:$A$1005,"&lt;="&amp;$A645))</f>
        <v/>
      </c>
      <c r="AS645" s="56">
        <f>IF(OR($AM645=0,$Q645=""),0,IF(AND($A645&gt;=Lists!$W$6,$A645&lt;=Lists!$W$7,OR(Dashboard!$D$6="All accounts",$C645=Dashboard!$D$6),OR(Dashboard!$D$7="All markets",$AF645=Dashboard!$D$7)),1,0))</f>
        <v>0</v>
      </c>
      <c r="AT645" s="55">
        <f>IF($AS645=1,N(AT644)+$Q645,N(AT644))</f>
        <v>1187.10688</v>
      </c>
      <c r="AU645" s="55">
        <f>MAX(N(AU644),$AT645)</f>
        <v>1187.10688</v>
      </c>
      <c r="AV645" s="55">
        <f>$AT645-$AU645</f>
        <v>0</v>
      </c>
      <c r="AW645" s="56">
        <f>IF($AS645=1,IF($S645="Win",N(AW644)+1,IF($S645="Loss",0,N(AW644))),N(AW644))</f>
        <v>5</v>
      </c>
      <c r="AX645" s="56">
        <f>IF($AS645=1,IF($S645="Loss",N(AX644)+1,IF($S645="Win",0,N(AX644))),N(AX644))</f>
        <v>0</v>
      </c>
      <c r="AY645" s="56" t="str">
        <f>IF($AS645=1,COUNTIF($AS$6:$AS645,1),"")</f>
        <v/>
      </c>
      <c r="AZ645" s="56">
        <f>MIN(639,N(Lists!$W$8))</f>
        <v>28</v>
      </c>
      <c r="BA645" s="56">
        <f>IF($AS645=1,IF(COUNTIFS($A$6:$A645,$A645,$AS$6:$AS645,1)=1,1,0),0)</f>
        <v>0</v>
      </c>
      <c r="BB645" s="55" t="str">
        <f>IF($BA645=1,SUMIFS($Q$6:$Q$1005,$A$6:$A$1005,$A645,$AS$6:$AS$1005,1),"")</f>
        <v/>
      </c>
      <c r="BC645" s="56">
        <f>IF(ISNUMBER($R645),1,0)</f>
        <v>0</v>
      </c>
      <c r="BD645" s="55" t="str">
        <f>IF(ISNUMBER($U645),$U645*$V645,"")</f>
        <v/>
      </c>
      <c r="BE645" s="56" t="str">
        <f>IF($AM645=0,"",IFERROR(MATCH($AF645&amp;"|"&amp;UPPER(TRIM($E645)),Lists!$A$6:$A$205,0),0))</f>
        <v/>
      </c>
      <c r="BF645" s="56" t="str">
        <f>IF($AM645=0,"",IFERROR(MATCH($AF645,Settings!$B$14:$B$18,0),IFERROR(MATCH(Settings!$C$6,Settings!$B$14:$B$18,0),1)))</f>
        <v/>
      </c>
      <c r="BG645" s="58" t="str">
        <f>IF($AM645=0,"",IF(NOT(ISNUMBER($I645)),"No stop; ","")&amp;IF(AND(ISNUMBER($H645),ISNUMBER($I645)),IF(OR(AND($F645&lt;&gt;"Short",$I645&gt;=$H645),AND($F645="Short",$I645&lt;=$H645)),"Stop on wrong side; ",""),"")&amp;IF($F645="","No direction; ","")&amp;IF(AND(ISNUMBER(Settings!$C$22),ISNUMBER($V645)),IF($V645&gt;Settings!$C$22,"Risk over max $; ",""),"")&amp;IF(AND(ISNUMBER(Settings!$C$23),ISNUMBER($V645),ISNUMBER($AP645),IFERROR(N(INDEX(Accounts!$E$7:$E$16,MATCH($C645,Accounts!$B$7:$B$16,0))),0)&gt;0),IF($V645&gt;Settings!$C$23*($AP645-N($Q645)),"Risk over max %; ",""),"")&amp;IF(AND(ISNUMBER(Settings!$C$24),ISNUMBER($N645)),IF($N645&gt;Settings!$C$24,"Leverage over max; ",""),"")&amp;IF(AND(ISNUMBER(Settings!$C$27),ISNUMBER($T645)),IF($T645&lt;Settings!$C$27,"R:R below min; ",""),"")&amp;IF(ISNUMBER(Settings!$C$25),IF(COUNTIFS($A$6:$A645,$A645,$AM$6:$AM645,1)&gt;Settings!$C$25,"Over max trades/day; ",""),"")&amp;IF(ISNUMBER(Settings!$C$26),IF(SUMIFS($Q$5:$Q644,$A$5:$A644,$A645)&lt;=-Settings!$C$26,"Traded after daily max loss; ",""),"")&amp;IF(AND($AG645="",NOT(ISNUMBER($O645))),"Symbol not in Instruments; ","")&amp;IF(AND($AH645="",NOT(ISNUMBER($O645))),"Forex cross: type Gross P&amp;L; ",""))</f>
        <v/>
      </c>
      <c r="BH645" s="56">
        <f>IF(ISNUMBER($Q645),1,0)</f>
        <v>0</v>
      </c>
      <c r="BI645" s="56">
        <f>IF($Y645="",0,1)</f>
        <v>0</v>
      </c>
      <c r="BJ645" s="56">
        <f>IF($AB645="",0,1)</f>
        <v>0</v>
      </c>
      <c r="BK645" s="56">
        <f>IF(AND($BH645=1,$W645&lt;&gt;"OK"),1,0)</f>
        <v>0</v>
      </c>
      <c r="BL645" s="55">
        <f>IF(N($AZ645)=0,0,IFERROR(INDEX($AT$6:$AT$1005,MATCH($AZ645,$AY$6:$AY$1005,0)),0))</f>
        <v>1187.10688</v>
      </c>
      <c r="BM645" s="56">
        <f>IF(ISNUMBER(SEARCH("daily max loss",$BG645)),1,0)</f>
        <v>0</v>
      </c>
    </row>
    <row r="646" ht="18" customHeight="1">
      <c r="A646" s="38" t="n"/>
      <c r="B646" s="39" t="n"/>
      <c r="C646" s="40" t="n"/>
      <c r="D646" s="41" t="n"/>
      <c r="E646" s="41" t="n"/>
      <c r="F646" s="41" t="n"/>
      <c r="G646" s="41" t="n"/>
      <c r="H646" s="42" t="n"/>
      <c r="I646" s="42" t="n"/>
      <c r="J646" s="42" t="n"/>
      <c r="K646" s="42" t="n"/>
      <c r="L646" s="41" t="n"/>
      <c r="M646" s="41" t="n"/>
      <c r="N646" s="41" t="n"/>
      <c r="O646" s="43" t="n"/>
      <c r="P646" s="43" t="n"/>
      <c r="Q646" s="44" t="str">
        <f>IF($AM646=0,"",IF(ISNUMBER($AK646),$AK646-N($AL646),""))</f>
        <v/>
      </c>
      <c r="R646" s="45" t="str">
        <f>IF(OR($Q646="",NOT(ISNUMBER($V646))),"",$AK646/$V646)</f>
        <v/>
      </c>
      <c r="S646" s="46" t="str">
        <f>IF($Q646="","",IF(AND(ISNUMBER($R646),ABS(N($R646))&lt;N(Settings!$C$8)),"Scratch",IF($Q646&gt;0,"Win",IF($Q646&lt;0,"Loss","Scratch"))))</f>
        <v/>
      </c>
      <c r="T646" s="47" t="str">
        <f>IF(OR($AM646=0,NOT(ISNUMBER($H646)),NOT(ISNUMBER($I646)),NOT(ISNUMBER($J646))),"",IF($H646=$I646,"",ROUND(ABS($J646-$H646)/ABS($H646-$I646),6)))</f>
        <v/>
      </c>
      <c r="U646" s="48" t="str">
        <f>IF(OR($S646&lt;&gt;"Win",NOT(ISNUMBER($T646)),NOT(ISNUMBER($R646))),"",MAX(0,$T646-$R646))</f>
        <v/>
      </c>
      <c r="V646" s="49" t="str">
        <f>IF(OR($AM646=0,NOT(ISNUMBER($H646)),NOT(ISNUMBER($I646)),NOT(ISNUMBER($G646))),"",IF(OR($AG646="",$AH646=""),"",IF(ROUND(ABS($H646-$I646)*ABS($G646)*$AG646*$AH646,6)=0,"",ROUND(ABS($H646-$I646)*ABS($G646)*$AG646*$AH646,6))))</f>
        <v/>
      </c>
      <c r="W646" s="50" t="str">
        <f>IF($AM646=0,"",IF($BG646="","OK",LEFT($BG646,LEN($BG646)-2)))</f>
        <v/>
      </c>
      <c r="X646" s="41" t="n"/>
      <c r="Y646" s="40" t="n"/>
      <c r="Z646" s="41" t="n"/>
      <c r="AA646" s="41" t="n"/>
      <c r="AB646" s="40" t="n"/>
      <c r="AC646" s="51" t="n"/>
      <c r="AD646" s="51" t="n"/>
      <c r="AE646" s="40" t="n"/>
      <c r="AF646" s="52" t="str">
        <f>IF($AM646=0,"",IF($D646&lt;&gt;"",$D646,IF(IFERROR(INDEX(Accounts!$C$7:$C$16,MATCH($C646,Accounts!$B$7:$B$16,0))&amp;"","")&lt;&gt;"",INDEX(Accounts!$C$7:$C$16,MATCH($C646,Accounts!$B$7:$B$16,0)),Settings!$C$6)))</f>
        <v/>
      </c>
      <c r="AG646" s="53" t="str">
        <f>IF($AM646=0,"",IF(AND($BE646&gt;0,N(INDEX(Instruments!$D$6:$D$205,MAX(1,$BE646)))&gt;0),INDEX(Instruments!$D$6:$D$205,MAX(1,$BE646)),IF(N(INDEX(Settings!$D$14:$D$18,$BF646))&gt;0,INDEX(Settings!$D$14:$D$18,$BF646),"")))</f>
        <v/>
      </c>
      <c r="AH646" s="54" t="str">
        <f>IF($AM646=0,"",IF($AF646&lt;&gt;"Forex",1,IF(MID(UPPER(SUBSTITUTE(TRIM($E646),"/","")),4,3)=UPPER(TRIM(Settings!$C$7)),1,IF(LEFT(UPPER(SUBSTITUTE(TRIM($E646),"/","")),3)=UPPER(TRIM(Settings!$C$7)),IF(AND(ISNUMBER($K646),N($K646)&lt;&gt;0),1/$K646,""),""))))</f>
        <v/>
      </c>
      <c r="AI646" s="55" t="str">
        <f>IF($AM646=0,"",IF(OR(NOT(ISNUMBER($H646)),NOT(ISNUMBER($K646)),NOT(ISNUMBER($G646)),$AG646="",$AH646=""),"",ROUND(($K646-$H646)*IF($F646="Short",-1,1)*$G646*$AG646*$AH646,6)))</f>
        <v/>
      </c>
      <c r="AJ646" s="55" t="str">
        <f>IF($AM646=0,"",IF(INDEX(Settings!$E$14:$E$18,$BF646)="% of notional",IF(OR($AG646="",NOT(ISNUMBER($H646)),NOT(ISNUMBER($G646))),"",ROUND(ABS($H646*$G646*$AG646*N($AH646))*IF($L646="Limit",N(INDEX(Settings!$G$14:$G$18,$BF646)),N(INDEX(Settings!$H$14:$H$18,$BF646)))+IF(ISNUMBER($K646),ABS($K646*$G646*$AG646*N($AH646))*IF($M646="Target",N(INDEX(Settings!$G$14:$G$18,$BF646)),N(INDEX(Settings!$H$14:$H$18,$BF646))),0),6)),IF(NOT(ISNUMBER($G646)),"",ROUND(ABS($G646)*2*IF(AND($BE646&gt;0,ISNUMBER(INDEX(Instruments!$G$6:$G$205,MAX(1,$BE646)))),INDEX(Instruments!$G$6:$G$205,MAX(1,$BE646)),N(INDEX(Settings!$F$14:$F$18,$BF646))),6))))</f>
        <v/>
      </c>
      <c r="AK646" s="55" t="str">
        <f>IF($AM646=0,"",IF(ISNUMBER($O646),$O646,$AI646))</f>
        <v/>
      </c>
      <c r="AL646" s="55" t="str">
        <f>IF($AM646=0,"",IF(ISNUMBER($P646),$P646,N($AJ646)))</f>
        <v/>
      </c>
      <c r="AM646" s="56">
        <f>IF(AND($A646&lt;&gt;"",$E646&lt;&gt;"",OR(AND(ISNUMBER($G646),ISNUMBER($H646),ISNUMBER($K646)),ISNUMBER($O646))),1,0)</f>
        <v>0</v>
      </c>
      <c r="AN646" s="57" t="str">
        <f>IF($A646="","",$A646-WEEKDAY($A646,3))</f>
        <v/>
      </c>
      <c r="AO646" s="56" t="str">
        <f>IF($A646="","",WEEKDAY($A646,2))</f>
        <v/>
      </c>
      <c r="AP646" s="55" t="str">
        <f>IF(OR($AM646=0,$C646=""),"",IFERROR(N(INDEX(Accounts!$E$7:$E$16,MATCH($C646,Accounts!$B$7:$B$16,0))),0)+SUMIFS($Q$6:$Q646,$C$6:$C646,$C646))</f>
        <v/>
      </c>
      <c r="AQ646" s="55" t="str">
        <f>IF(OR($AM646=0,$C646=""),"",SUMIFS($Q$6:$Q$1005,$C$6:$C$1005,$C646,$A$6:$A$1005,$A646))</f>
        <v/>
      </c>
      <c r="AR646" s="55" t="str">
        <f>IF(OR($AM646=0,$C646=""),"",IFERROR(N(INDEX(Accounts!$E$7:$E$16,MATCH($C646,Accounts!$B$7:$B$16,0))),0)+SUMIFS($Q$6:$Q$1005,$C$6:$C$1005,$C646,$A$6:$A$1005,"&lt;="&amp;$A646))</f>
        <v/>
      </c>
      <c r="AS646" s="56">
        <f>IF(OR($AM646=0,$Q646=""),0,IF(AND($A646&gt;=Lists!$W$6,$A646&lt;=Lists!$W$7,OR(Dashboard!$D$6="All accounts",$C646=Dashboard!$D$6),OR(Dashboard!$D$7="All markets",$AF646=Dashboard!$D$7)),1,0))</f>
        <v>0</v>
      </c>
      <c r="AT646" s="55">
        <f>IF($AS646=1,N(AT645)+$Q646,N(AT645))</f>
        <v>1187.10688</v>
      </c>
      <c r="AU646" s="55">
        <f>MAX(N(AU645),$AT646)</f>
        <v>1187.10688</v>
      </c>
      <c r="AV646" s="55">
        <f>$AT646-$AU646</f>
        <v>0</v>
      </c>
      <c r="AW646" s="56">
        <f>IF($AS646=1,IF($S646="Win",N(AW645)+1,IF($S646="Loss",0,N(AW645))),N(AW645))</f>
        <v>5</v>
      </c>
      <c r="AX646" s="56">
        <f>IF($AS646=1,IF($S646="Loss",N(AX645)+1,IF($S646="Win",0,N(AX645))),N(AX645))</f>
        <v>0</v>
      </c>
      <c r="AY646" s="56" t="str">
        <f>IF($AS646=1,COUNTIF($AS$6:$AS646,1),"")</f>
        <v/>
      </c>
      <c r="AZ646" s="56">
        <f>MIN(640,N(Lists!$W$8))</f>
        <v>28</v>
      </c>
      <c r="BA646" s="56">
        <f>IF($AS646=1,IF(COUNTIFS($A$6:$A646,$A646,$AS$6:$AS646,1)=1,1,0),0)</f>
        <v>0</v>
      </c>
      <c r="BB646" s="55" t="str">
        <f>IF($BA646=1,SUMIFS($Q$6:$Q$1005,$A$6:$A$1005,$A646,$AS$6:$AS$1005,1),"")</f>
        <v/>
      </c>
      <c r="BC646" s="56">
        <f>IF(ISNUMBER($R646),1,0)</f>
        <v>0</v>
      </c>
      <c r="BD646" s="55" t="str">
        <f>IF(ISNUMBER($U646),$U646*$V646,"")</f>
        <v/>
      </c>
      <c r="BE646" s="56" t="str">
        <f>IF($AM646=0,"",IFERROR(MATCH($AF646&amp;"|"&amp;UPPER(TRIM($E646)),Lists!$A$6:$A$205,0),0))</f>
        <v/>
      </c>
      <c r="BF646" s="56" t="str">
        <f>IF($AM646=0,"",IFERROR(MATCH($AF646,Settings!$B$14:$B$18,0),IFERROR(MATCH(Settings!$C$6,Settings!$B$14:$B$18,0),1)))</f>
        <v/>
      </c>
      <c r="BG646" s="58" t="str">
        <f>IF($AM646=0,"",IF(NOT(ISNUMBER($I646)),"No stop; ","")&amp;IF(AND(ISNUMBER($H646),ISNUMBER($I646)),IF(OR(AND($F646&lt;&gt;"Short",$I646&gt;=$H646),AND($F646="Short",$I646&lt;=$H646)),"Stop on wrong side; ",""),"")&amp;IF($F646="","No direction; ","")&amp;IF(AND(ISNUMBER(Settings!$C$22),ISNUMBER($V646)),IF($V646&gt;Settings!$C$22,"Risk over max $; ",""),"")&amp;IF(AND(ISNUMBER(Settings!$C$23),ISNUMBER($V646),ISNUMBER($AP646),IFERROR(N(INDEX(Accounts!$E$7:$E$16,MATCH($C646,Accounts!$B$7:$B$16,0))),0)&gt;0),IF($V646&gt;Settings!$C$23*($AP646-N($Q646)),"Risk over max %; ",""),"")&amp;IF(AND(ISNUMBER(Settings!$C$24),ISNUMBER($N646)),IF($N646&gt;Settings!$C$24,"Leverage over max; ",""),"")&amp;IF(AND(ISNUMBER(Settings!$C$27),ISNUMBER($T646)),IF($T646&lt;Settings!$C$27,"R:R below min; ",""),"")&amp;IF(ISNUMBER(Settings!$C$25),IF(COUNTIFS($A$6:$A646,$A646,$AM$6:$AM646,1)&gt;Settings!$C$25,"Over max trades/day; ",""),"")&amp;IF(ISNUMBER(Settings!$C$26),IF(SUMIFS($Q$5:$Q645,$A$5:$A645,$A646)&lt;=-Settings!$C$26,"Traded after daily max loss; ",""),"")&amp;IF(AND($AG646="",NOT(ISNUMBER($O646))),"Symbol not in Instruments; ","")&amp;IF(AND($AH646="",NOT(ISNUMBER($O646))),"Forex cross: type Gross P&amp;L; ",""))</f>
        <v/>
      </c>
      <c r="BH646" s="56">
        <f>IF(ISNUMBER($Q646),1,0)</f>
        <v>0</v>
      </c>
      <c r="BI646" s="56">
        <f>IF($Y646="",0,1)</f>
        <v>0</v>
      </c>
      <c r="BJ646" s="56">
        <f>IF($AB646="",0,1)</f>
        <v>0</v>
      </c>
      <c r="BK646" s="56">
        <f>IF(AND($BH646=1,$W646&lt;&gt;"OK"),1,0)</f>
        <v>0</v>
      </c>
      <c r="BL646" s="55">
        <f>IF(N($AZ646)=0,0,IFERROR(INDEX($AT$6:$AT$1005,MATCH($AZ646,$AY$6:$AY$1005,0)),0))</f>
        <v>1187.10688</v>
      </c>
      <c r="BM646" s="56">
        <f>IF(ISNUMBER(SEARCH("daily max loss",$BG646)),1,0)</f>
        <v>0</v>
      </c>
    </row>
    <row r="647" ht="18" customHeight="1">
      <c r="A647" s="38" t="n"/>
      <c r="B647" s="39" t="n"/>
      <c r="C647" s="40" t="n"/>
      <c r="D647" s="41" t="n"/>
      <c r="E647" s="41" t="n"/>
      <c r="F647" s="41" t="n"/>
      <c r="G647" s="41" t="n"/>
      <c r="H647" s="42" t="n"/>
      <c r="I647" s="42" t="n"/>
      <c r="J647" s="42" t="n"/>
      <c r="K647" s="42" t="n"/>
      <c r="L647" s="41" t="n"/>
      <c r="M647" s="41" t="n"/>
      <c r="N647" s="41" t="n"/>
      <c r="O647" s="43" t="n"/>
      <c r="P647" s="43" t="n"/>
      <c r="Q647" s="44" t="str">
        <f>IF($AM647=0,"",IF(ISNUMBER($AK647),$AK647-N($AL647),""))</f>
        <v/>
      </c>
      <c r="R647" s="45" t="str">
        <f>IF(OR($Q647="",NOT(ISNUMBER($V647))),"",$AK647/$V647)</f>
        <v/>
      </c>
      <c r="S647" s="46" t="str">
        <f>IF($Q647="","",IF(AND(ISNUMBER($R647),ABS(N($R647))&lt;N(Settings!$C$8)),"Scratch",IF($Q647&gt;0,"Win",IF($Q647&lt;0,"Loss","Scratch"))))</f>
        <v/>
      </c>
      <c r="T647" s="47" t="str">
        <f>IF(OR($AM647=0,NOT(ISNUMBER($H647)),NOT(ISNUMBER($I647)),NOT(ISNUMBER($J647))),"",IF($H647=$I647,"",ROUND(ABS($J647-$H647)/ABS($H647-$I647),6)))</f>
        <v/>
      </c>
      <c r="U647" s="48" t="str">
        <f>IF(OR($S647&lt;&gt;"Win",NOT(ISNUMBER($T647)),NOT(ISNUMBER($R647))),"",MAX(0,$T647-$R647))</f>
        <v/>
      </c>
      <c r="V647" s="49" t="str">
        <f>IF(OR($AM647=0,NOT(ISNUMBER($H647)),NOT(ISNUMBER($I647)),NOT(ISNUMBER($G647))),"",IF(OR($AG647="",$AH647=""),"",IF(ROUND(ABS($H647-$I647)*ABS($G647)*$AG647*$AH647,6)=0,"",ROUND(ABS($H647-$I647)*ABS($G647)*$AG647*$AH647,6))))</f>
        <v/>
      </c>
      <c r="W647" s="50" t="str">
        <f>IF($AM647=0,"",IF($BG647="","OK",LEFT($BG647,LEN($BG647)-2)))</f>
        <v/>
      </c>
      <c r="X647" s="41" t="n"/>
      <c r="Y647" s="40" t="n"/>
      <c r="Z647" s="41" t="n"/>
      <c r="AA647" s="41" t="n"/>
      <c r="AB647" s="40" t="n"/>
      <c r="AC647" s="51" t="n"/>
      <c r="AD647" s="51" t="n"/>
      <c r="AE647" s="40" t="n"/>
      <c r="AF647" s="52" t="str">
        <f>IF($AM647=0,"",IF($D647&lt;&gt;"",$D647,IF(IFERROR(INDEX(Accounts!$C$7:$C$16,MATCH($C647,Accounts!$B$7:$B$16,0))&amp;"","")&lt;&gt;"",INDEX(Accounts!$C$7:$C$16,MATCH($C647,Accounts!$B$7:$B$16,0)),Settings!$C$6)))</f>
        <v/>
      </c>
      <c r="AG647" s="53" t="str">
        <f>IF($AM647=0,"",IF(AND($BE647&gt;0,N(INDEX(Instruments!$D$6:$D$205,MAX(1,$BE647)))&gt;0),INDEX(Instruments!$D$6:$D$205,MAX(1,$BE647)),IF(N(INDEX(Settings!$D$14:$D$18,$BF647))&gt;0,INDEX(Settings!$D$14:$D$18,$BF647),"")))</f>
        <v/>
      </c>
      <c r="AH647" s="54" t="str">
        <f>IF($AM647=0,"",IF($AF647&lt;&gt;"Forex",1,IF(MID(UPPER(SUBSTITUTE(TRIM($E647),"/","")),4,3)=UPPER(TRIM(Settings!$C$7)),1,IF(LEFT(UPPER(SUBSTITUTE(TRIM($E647),"/","")),3)=UPPER(TRIM(Settings!$C$7)),IF(AND(ISNUMBER($K647),N($K647)&lt;&gt;0),1/$K647,""),""))))</f>
        <v/>
      </c>
      <c r="AI647" s="55" t="str">
        <f>IF($AM647=0,"",IF(OR(NOT(ISNUMBER($H647)),NOT(ISNUMBER($K647)),NOT(ISNUMBER($G647)),$AG647="",$AH647=""),"",ROUND(($K647-$H647)*IF($F647="Short",-1,1)*$G647*$AG647*$AH647,6)))</f>
        <v/>
      </c>
      <c r="AJ647" s="55" t="str">
        <f>IF($AM647=0,"",IF(INDEX(Settings!$E$14:$E$18,$BF647)="% of notional",IF(OR($AG647="",NOT(ISNUMBER($H647)),NOT(ISNUMBER($G647))),"",ROUND(ABS($H647*$G647*$AG647*N($AH647))*IF($L647="Limit",N(INDEX(Settings!$G$14:$G$18,$BF647)),N(INDEX(Settings!$H$14:$H$18,$BF647)))+IF(ISNUMBER($K647),ABS($K647*$G647*$AG647*N($AH647))*IF($M647="Target",N(INDEX(Settings!$G$14:$G$18,$BF647)),N(INDEX(Settings!$H$14:$H$18,$BF647))),0),6)),IF(NOT(ISNUMBER($G647)),"",ROUND(ABS($G647)*2*IF(AND($BE647&gt;0,ISNUMBER(INDEX(Instruments!$G$6:$G$205,MAX(1,$BE647)))),INDEX(Instruments!$G$6:$G$205,MAX(1,$BE647)),N(INDEX(Settings!$F$14:$F$18,$BF647))),6))))</f>
        <v/>
      </c>
      <c r="AK647" s="55" t="str">
        <f>IF($AM647=0,"",IF(ISNUMBER($O647),$O647,$AI647))</f>
        <v/>
      </c>
      <c r="AL647" s="55" t="str">
        <f>IF($AM647=0,"",IF(ISNUMBER($P647),$P647,N($AJ647)))</f>
        <v/>
      </c>
      <c r="AM647" s="56">
        <f>IF(AND($A647&lt;&gt;"",$E647&lt;&gt;"",OR(AND(ISNUMBER($G647),ISNUMBER($H647),ISNUMBER($K647)),ISNUMBER($O647))),1,0)</f>
        <v>0</v>
      </c>
      <c r="AN647" s="57" t="str">
        <f>IF($A647="","",$A647-WEEKDAY($A647,3))</f>
        <v/>
      </c>
      <c r="AO647" s="56" t="str">
        <f>IF($A647="","",WEEKDAY($A647,2))</f>
        <v/>
      </c>
      <c r="AP647" s="55" t="str">
        <f>IF(OR($AM647=0,$C647=""),"",IFERROR(N(INDEX(Accounts!$E$7:$E$16,MATCH($C647,Accounts!$B$7:$B$16,0))),0)+SUMIFS($Q$6:$Q647,$C$6:$C647,$C647))</f>
        <v/>
      </c>
      <c r="AQ647" s="55" t="str">
        <f>IF(OR($AM647=0,$C647=""),"",SUMIFS($Q$6:$Q$1005,$C$6:$C$1005,$C647,$A$6:$A$1005,$A647))</f>
        <v/>
      </c>
      <c r="AR647" s="55" t="str">
        <f>IF(OR($AM647=0,$C647=""),"",IFERROR(N(INDEX(Accounts!$E$7:$E$16,MATCH($C647,Accounts!$B$7:$B$16,0))),0)+SUMIFS($Q$6:$Q$1005,$C$6:$C$1005,$C647,$A$6:$A$1005,"&lt;="&amp;$A647))</f>
        <v/>
      </c>
      <c r="AS647" s="56">
        <f>IF(OR($AM647=0,$Q647=""),0,IF(AND($A647&gt;=Lists!$W$6,$A647&lt;=Lists!$W$7,OR(Dashboard!$D$6="All accounts",$C647=Dashboard!$D$6),OR(Dashboard!$D$7="All markets",$AF647=Dashboard!$D$7)),1,0))</f>
        <v>0</v>
      </c>
      <c r="AT647" s="55">
        <f>IF($AS647=1,N(AT646)+$Q647,N(AT646))</f>
        <v>1187.10688</v>
      </c>
      <c r="AU647" s="55">
        <f>MAX(N(AU646),$AT647)</f>
        <v>1187.10688</v>
      </c>
      <c r="AV647" s="55">
        <f>$AT647-$AU647</f>
        <v>0</v>
      </c>
      <c r="AW647" s="56">
        <f>IF($AS647=1,IF($S647="Win",N(AW646)+1,IF($S647="Loss",0,N(AW646))),N(AW646))</f>
        <v>5</v>
      </c>
      <c r="AX647" s="56">
        <f>IF($AS647=1,IF($S647="Loss",N(AX646)+1,IF($S647="Win",0,N(AX646))),N(AX646))</f>
        <v>0</v>
      </c>
      <c r="AY647" s="56" t="str">
        <f>IF($AS647=1,COUNTIF($AS$6:$AS647,1),"")</f>
        <v/>
      </c>
      <c r="AZ647" s="56">
        <f>MIN(641,N(Lists!$W$8))</f>
        <v>28</v>
      </c>
      <c r="BA647" s="56">
        <f>IF($AS647=1,IF(COUNTIFS($A$6:$A647,$A647,$AS$6:$AS647,1)=1,1,0),0)</f>
        <v>0</v>
      </c>
      <c r="BB647" s="55" t="str">
        <f>IF($BA647=1,SUMIFS($Q$6:$Q$1005,$A$6:$A$1005,$A647,$AS$6:$AS$1005,1),"")</f>
        <v/>
      </c>
      <c r="BC647" s="56">
        <f>IF(ISNUMBER($R647),1,0)</f>
        <v>0</v>
      </c>
      <c r="BD647" s="55" t="str">
        <f>IF(ISNUMBER($U647),$U647*$V647,"")</f>
        <v/>
      </c>
      <c r="BE647" s="56" t="str">
        <f>IF($AM647=0,"",IFERROR(MATCH($AF647&amp;"|"&amp;UPPER(TRIM($E647)),Lists!$A$6:$A$205,0),0))</f>
        <v/>
      </c>
      <c r="BF647" s="56" t="str">
        <f>IF($AM647=0,"",IFERROR(MATCH($AF647,Settings!$B$14:$B$18,0),IFERROR(MATCH(Settings!$C$6,Settings!$B$14:$B$18,0),1)))</f>
        <v/>
      </c>
      <c r="BG647" s="58" t="str">
        <f>IF($AM647=0,"",IF(NOT(ISNUMBER($I647)),"No stop; ","")&amp;IF(AND(ISNUMBER($H647),ISNUMBER($I647)),IF(OR(AND($F647&lt;&gt;"Short",$I647&gt;=$H647),AND($F647="Short",$I647&lt;=$H647)),"Stop on wrong side; ",""),"")&amp;IF($F647="","No direction; ","")&amp;IF(AND(ISNUMBER(Settings!$C$22),ISNUMBER($V647)),IF($V647&gt;Settings!$C$22,"Risk over max $; ",""),"")&amp;IF(AND(ISNUMBER(Settings!$C$23),ISNUMBER($V647),ISNUMBER($AP647),IFERROR(N(INDEX(Accounts!$E$7:$E$16,MATCH($C647,Accounts!$B$7:$B$16,0))),0)&gt;0),IF($V647&gt;Settings!$C$23*($AP647-N($Q647)),"Risk over max %; ",""),"")&amp;IF(AND(ISNUMBER(Settings!$C$24),ISNUMBER($N647)),IF($N647&gt;Settings!$C$24,"Leverage over max; ",""),"")&amp;IF(AND(ISNUMBER(Settings!$C$27),ISNUMBER($T647)),IF($T647&lt;Settings!$C$27,"R:R below min; ",""),"")&amp;IF(ISNUMBER(Settings!$C$25),IF(COUNTIFS($A$6:$A647,$A647,$AM$6:$AM647,1)&gt;Settings!$C$25,"Over max trades/day; ",""),"")&amp;IF(ISNUMBER(Settings!$C$26),IF(SUMIFS($Q$5:$Q646,$A$5:$A646,$A647)&lt;=-Settings!$C$26,"Traded after daily max loss; ",""),"")&amp;IF(AND($AG647="",NOT(ISNUMBER($O647))),"Symbol not in Instruments; ","")&amp;IF(AND($AH647="",NOT(ISNUMBER($O647))),"Forex cross: type Gross P&amp;L; ",""))</f>
        <v/>
      </c>
      <c r="BH647" s="56">
        <f>IF(ISNUMBER($Q647),1,0)</f>
        <v>0</v>
      </c>
      <c r="BI647" s="56">
        <f>IF($Y647="",0,1)</f>
        <v>0</v>
      </c>
      <c r="BJ647" s="56">
        <f>IF($AB647="",0,1)</f>
        <v>0</v>
      </c>
      <c r="BK647" s="56">
        <f>IF(AND($BH647=1,$W647&lt;&gt;"OK"),1,0)</f>
        <v>0</v>
      </c>
      <c r="BL647" s="55">
        <f>IF(N($AZ647)=0,0,IFERROR(INDEX($AT$6:$AT$1005,MATCH($AZ647,$AY$6:$AY$1005,0)),0))</f>
        <v>1187.10688</v>
      </c>
      <c r="BM647" s="56">
        <f>IF(ISNUMBER(SEARCH("daily max loss",$BG647)),1,0)</f>
        <v>0</v>
      </c>
    </row>
    <row r="648" ht="18" customHeight="1">
      <c r="A648" s="38" t="n"/>
      <c r="B648" s="39" t="n"/>
      <c r="C648" s="40" t="n"/>
      <c r="D648" s="41" t="n"/>
      <c r="E648" s="41" t="n"/>
      <c r="F648" s="41" t="n"/>
      <c r="G648" s="41" t="n"/>
      <c r="H648" s="42" t="n"/>
      <c r="I648" s="42" t="n"/>
      <c r="J648" s="42" t="n"/>
      <c r="K648" s="42" t="n"/>
      <c r="L648" s="41" t="n"/>
      <c r="M648" s="41" t="n"/>
      <c r="N648" s="41" t="n"/>
      <c r="O648" s="43" t="n"/>
      <c r="P648" s="43" t="n"/>
      <c r="Q648" s="44" t="str">
        <f>IF($AM648=0,"",IF(ISNUMBER($AK648),$AK648-N($AL648),""))</f>
        <v/>
      </c>
      <c r="R648" s="45" t="str">
        <f>IF(OR($Q648="",NOT(ISNUMBER($V648))),"",$AK648/$V648)</f>
        <v/>
      </c>
      <c r="S648" s="46" t="str">
        <f>IF($Q648="","",IF(AND(ISNUMBER($R648),ABS(N($R648))&lt;N(Settings!$C$8)),"Scratch",IF($Q648&gt;0,"Win",IF($Q648&lt;0,"Loss","Scratch"))))</f>
        <v/>
      </c>
      <c r="T648" s="47" t="str">
        <f>IF(OR($AM648=0,NOT(ISNUMBER($H648)),NOT(ISNUMBER($I648)),NOT(ISNUMBER($J648))),"",IF($H648=$I648,"",ROUND(ABS($J648-$H648)/ABS($H648-$I648),6)))</f>
        <v/>
      </c>
      <c r="U648" s="48" t="str">
        <f>IF(OR($S648&lt;&gt;"Win",NOT(ISNUMBER($T648)),NOT(ISNUMBER($R648))),"",MAX(0,$T648-$R648))</f>
        <v/>
      </c>
      <c r="V648" s="49" t="str">
        <f>IF(OR($AM648=0,NOT(ISNUMBER($H648)),NOT(ISNUMBER($I648)),NOT(ISNUMBER($G648))),"",IF(OR($AG648="",$AH648=""),"",IF(ROUND(ABS($H648-$I648)*ABS($G648)*$AG648*$AH648,6)=0,"",ROUND(ABS($H648-$I648)*ABS($G648)*$AG648*$AH648,6))))</f>
        <v/>
      </c>
      <c r="W648" s="50" t="str">
        <f>IF($AM648=0,"",IF($BG648="","OK",LEFT($BG648,LEN($BG648)-2)))</f>
        <v/>
      </c>
      <c r="X648" s="41" t="n"/>
      <c r="Y648" s="40" t="n"/>
      <c r="Z648" s="41" t="n"/>
      <c r="AA648" s="41" t="n"/>
      <c r="AB648" s="40" t="n"/>
      <c r="AC648" s="51" t="n"/>
      <c r="AD648" s="51" t="n"/>
      <c r="AE648" s="40" t="n"/>
      <c r="AF648" s="52" t="str">
        <f>IF($AM648=0,"",IF($D648&lt;&gt;"",$D648,IF(IFERROR(INDEX(Accounts!$C$7:$C$16,MATCH($C648,Accounts!$B$7:$B$16,0))&amp;"","")&lt;&gt;"",INDEX(Accounts!$C$7:$C$16,MATCH($C648,Accounts!$B$7:$B$16,0)),Settings!$C$6)))</f>
        <v/>
      </c>
      <c r="AG648" s="53" t="str">
        <f>IF($AM648=0,"",IF(AND($BE648&gt;0,N(INDEX(Instruments!$D$6:$D$205,MAX(1,$BE648)))&gt;0),INDEX(Instruments!$D$6:$D$205,MAX(1,$BE648)),IF(N(INDEX(Settings!$D$14:$D$18,$BF648))&gt;0,INDEX(Settings!$D$14:$D$18,$BF648),"")))</f>
        <v/>
      </c>
      <c r="AH648" s="54" t="str">
        <f>IF($AM648=0,"",IF($AF648&lt;&gt;"Forex",1,IF(MID(UPPER(SUBSTITUTE(TRIM($E648),"/","")),4,3)=UPPER(TRIM(Settings!$C$7)),1,IF(LEFT(UPPER(SUBSTITUTE(TRIM($E648),"/","")),3)=UPPER(TRIM(Settings!$C$7)),IF(AND(ISNUMBER($K648),N($K648)&lt;&gt;0),1/$K648,""),""))))</f>
        <v/>
      </c>
      <c r="AI648" s="55" t="str">
        <f>IF($AM648=0,"",IF(OR(NOT(ISNUMBER($H648)),NOT(ISNUMBER($K648)),NOT(ISNUMBER($G648)),$AG648="",$AH648=""),"",ROUND(($K648-$H648)*IF($F648="Short",-1,1)*$G648*$AG648*$AH648,6)))</f>
        <v/>
      </c>
      <c r="AJ648" s="55" t="str">
        <f>IF($AM648=0,"",IF(INDEX(Settings!$E$14:$E$18,$BF648)="% of notional",IF(OR($AG648="",NOT(ISNUMBER($H648)),NOT(ISNUMBER($G648))),"",ROUND(ABS($H648*$G648*$AG648*N($AH648))*IF($L648="Limit",N(INDEX(Settings!$G$14:$G$18,$BF648)),N(INDEX(Settings!$H$14:$H$18,$BF648)))+IF(ISNUMBER($K648),ABS($K648*$G648*$AG648*N($AH648))*IF($M648="Target",N(INDEX(Settings!$G$14:$G$18,$BF648)),N(INDEX(Settings!$H$14:$H$18,$BF648))),0),6)),IF(NOT(ISNUMBER($G648)),"",ROUND(ABS($G648)*2*IF(AND($BE648&gt;0,ISNUMBER(INDEX(Instruments!$G$6:$G$205,MAX(1,$BE648)))),INDEX(Instruments!$G$6:$G$205,MAX(1,$BE648)),N(INDEX(Settings!$F$14:$F$18,$BF648))),6))))</f>
        <v/>
      </c>
      <c r="AK648" s="55" t="str">
        <f>IF($AM648=0,"",IF(ISNUMBER($O648),$O648,$AI648))</f>
        <v/>
      </c>
      <c r="AL648" s="55" t="str">
        <f>IF($AM648=0,"",IF(ISNUMBER($P648),$P648,N($AJ648)))</f>
        <v/>
      </c>
      <c r="AM648" s="56">
        <f>IF(AND($A648&lt;&gt;"",$E648&lt;&gt;"",OR(AND(ISNUMBER($G648),ISNUMBER($H648),ISNUMBER($K648)),ISNUMBER($O648))),1,0)</f>
        <v>0</v>
      </c>
      <c r="AN648" s="57" t="str">
        <f>IF($A648="","",$A648-WEEKDAY($A648,3))</f>
        <v/>
      </c>
      <c r="AO648" s="56" t="str">
        <f>IF($A648="","",WEEKDAY($A648,2))</f>
        <v/>
      </c>
      <c r="AP648" s="55" t="str">
        <f>IF(OR($AM648=0,$C648=""),"",IFERROR(N(INDEX(Accounts!$E$7:$E$16,MATCH($C648,Accounts!$B$7:$B$16,0))),0)+SUMIFS($Q$6:$Q648,$C$6:$C648,$C648))</f>
        <v/>
      </c>
      <c r="AQ648" s="55" t="str">
        <f>IF(OR($AM648=0,$C648=""),"",SUMIFS($Q$6:$Q$1005,$C$6:$C$1005,$C648,$A$6:$A$1005,$A648))</f>
        <v/>
      </c>
      <c r="AR648" s="55" t="str">
        <f>IF(OR($AM648=0,$C648=""),"",IFERROR(N(INDEX(Accounts!$E$7:$E$16,MATCH($C648,Accounts!$B$7:$B$16,0))),0)+SUMIFS($Q$6:$Q$1005,$C$6:$C$1005,$C648,$A$6:$A$1005,"&lt;="&amp;$A648))</f>
        <v/>
      </c>
      <c r="AS648" s="56">
        <f>IF(OR($AM648=0,$Q648=""),0,IF(AND($A648&gt;=Lists!$W$6,$A648&lt;=Lists!$W$7,OR(Dashboard!$D$6="All accounts",$C648=Dashboard!$D$6),OR(Dashboard!$D$7="All markets",$AF648=Dashboard!$D$7)),1,0))</f>
        <v>0</v>
      </c>
      <c r="AT648" s="55">
        <f>IF($AS648=1,N(AT647)+$Q648,N(AT647))</f>
        <v>1187.10688</v>
      </c>
      <c r="AU648" s="55">
        <f>MAX(N(AU647),$AT648)</f>
        <v>1187.10688</v>
      </c>
      <c r="AV648" s="55">
        <f>$AT648-$AU648</f>
        <v>0</v>
      </c>
      <c r="AW648" s="56">
        <f>IF($AS648=1,IF($S648="Win",N(AW647)+1,IF($S648="Loss",0,N(AW647))),N(AW647))</f>
        <v>5</v>
      </c>
      <c r="AX648" s="56">
        <f>IF($AS648=1,IF($S648="Loss",N(AX647)+1,IF($S648="Win",0,N(AX647))),N(AX647))</f>
        <v>0</v>
      </c>
      <c r="AY648" s="56" t="str">
        <f>IF($AS648=1,COUNTIF($AS$6:$AS648,1),"")</f>
        <v/>
      </c>
      <c r="AZ648" s="56">
        <f>MIN(642,N(Lists!$W$8))</f>
        <v>28</v>
      </c>
      <c r="BA648" s="56">
        <f>IF($AS648=1,IF(COUNTIFS($A$6:$A648,$A648,$AS$6:$AS648,1)=1,1,0),0)</f>
        <v>0</v>
      </c>
      <c r="BB648" s="55" t="str">
        <f>IF($BA648=1,SUMIFS($Q$6:$Q$1005,$A$6:$A$1005,$A648,$AS$6:$AS$1005,1),"")</f>
        <v/>
      </c>
      <c r="BC648" s="56">
        <f>IF(ISNUMBER($R648),1,0)</f>
        <v>0</v>
      </c>
      <c r="BD648" s="55" t="str">
        <f>IF(ISNUMBER($U648),$U648*$V648,"")</f>
        <v/>
      </c>
      <c r="BE648" s="56" t="str">
        <f>IF($AM648=0,"",IFERROR(MATCH($AF648&amp;"|"&amp;UPPER(TRIM($E648)),Lists!$A$6:$A$205,0),0))</f>
        <v/>
      </c>
      <c r="BF648" s="56" t="str">
        <f>IF($AM648=0,"",IFERROR(MATCH($AF648,Settings!$B$14:$B$18,0),IFERROR(MATCH(Settings!$C$6,Settings!$B$14:$B$18,0),1)))</f>
        <v/>
      </c>
      <c r="BG648" s="58" t="str">
        <f>IF($AM648=0,"",IF(NOT(ISNUMBER($I648)),"No stop; ","")&amp;IF(AND(ISNUMBER($H648),ISNUMBER($I648)),IF(OR(AND($F648&lt;&gt;"Short",$I648&gt;=$H648),AND($F648="Short",$I648&lt;=$H648)),"Stop on wrong side; ",""),"")&amp;IF($F648="","No direction; ","")&amp;IF(AND(ISNUMBER(Settings!$C$22),ISNUMBER($V648)),IF($V648&gt;Settings!$C$22,"Risk over max $; ",""),"")&amp;IF(AND(ISNUMBER(Settings!$C$23),ISNUMBER($V648),ISNUMBER($AP648),IFERROR(N(INDEX(Accounts!$E$7:$E$16,MATCH($C648,Accounts!$B$7:$B$16,0))),0)&gt;0),IF($V648&gt;Settings!$C$23*($AP648-N($Q648)),"Risk over max %; ",""),"")&amp;IF(AND(ISNUMBER(Settings!$C$24),ISNUMBER($N648)),IF($N648&gt;Settings!$C$24,"Leverage over max; ",""),"")&amp;IF(AND(ISNUMBER(Settings!$C$27),ISNUMBER($T648)),IF($T648&lt;Settings!$C$27,"R:R below min; ",""),"")&amp;IF(ISNUMBER(Settings!$C$25),IF(COUNTIFS($A$6:$A648,$A648,$AM$6:$AM648,1)&gt;Settings!$C$25,"Over max trades/day; ",""),"")&amp;IF(ISNUMBER(Settings!$C$26),IF(SUMIFS($Q$5:$Q647,$A$5:$A647,$A648)&lt;=-Settings!$C$26,"Traded after daily max loss; ",""),"")&amp;IF(AND($AG648="",NOT(ISNUMBER($O648))),"Symbol not in Instruments; ","")&amp;IF(AND($AH648="",NOT(ISNUMBER($O648))),"Forex cross: type Gross P&amp;L; ",""))</f>
        <v/>
      </c>
      <c r="BH648" s="56">
        <f>IF(ISNUMBER($Q648),1,0)</f>
        <v>0</v>
      </c>
      <c r="BI648" s="56">
        <f>IF($Y648="",0,1)</f>
        <v>0</v>
      </c>
      <c r="BJ648" s="56">
        <f>IF($AB648="",0,1)</f>
        <v>0</v>
      </c>
      <c r="BK648" s="56">
        <f>IF(AND($BH648=1,$W648&lt;&gt;"OK"),1,0)</f>
        <v>0</v>
      </c>
      <c r="BL648" s="55">
        <f>IF(N($AZ648)=0,0,IFERROR(INDEX($AT$6:$AT$1005,MATCH($AZ648,$AY$6:$AY$1005,0)),0))</f>
        <v>1187.10688</v>
      </c>
      <c r="BM648" s="56">
        <f>IF(ISNUMBER(SEARCH("daily max loss",$BG648)),1,0)</f>
        <v>0</v>
      </c>
    </row>
    <row r="649" ht="18" customHeight="1">
      <c r="A649" s="38" t="n"/>
      <c r="B649" s="39" t="n"/>
      <c r="C649" s="40" t="n"/>
      <c r="D649" s="41" t="n"/>
      <c r="E649" s="41" t="n"/>
      <c r="F649" s="41" t="n"/>
      <c r="G649" s="41" t="n"/>
      <c r="H649" s="42" t="n"/>
      <c r="I649" s="42" t="n"/>
      <c r="J649" s="42" t="n"/>
      <c r="K649" s="42" t="n"/>
      <c r="L649" s="41" t="n"/>
      <c r="M649" s="41" t="n"/>
      <c r="N649" s="41" t="n"/>
      <c r="O649" s="43" t="n"/>
      <c r="P649" s="43" t="n"/>
      <c r="Q649" s="44" t="str">
        <f>IF($AM649=0,"",IF(ISNUMBER($AK649),$AK649-N($AL649),""))</f>
        <v/>
      </c>
      <c r="R649" s="45" t="str">
        <f>IF(OR($Q649="",NOT(ISNUMBER($V649))),"",$AK649/$V649)</f>
        <v/>
      </c>
      <c r="S649" s="46" t="str">
        <f>IF($Q649="","",IF(AND(ISNUMBER($R649),ABS(N($R649))&lt;N(Settings!$C$8)),"Scratch",IF($Q649&gt;0,"Win",IF($Q649&lt;0,"Loss","Scratch"))))</f>
        <v/>
      </c>
      <c r="T649" s="47" t="str">
        <f>IF(OR($AM649=0,NOT(ISNUMBER($H649)),NOT(ISNUMBER($I649)),NOT(ISNUMBER($J649))),"",IF($H649=$I649,"",ROUND(ABS($J649-$H649)/ABS($H649-$I649),6)))</f>
        <v/>
      </c>
      <c r="U649" s="48" t="str">
        <f>IF(OR($S649&lt;&gt;"Win",NOT(ISNUMBER($T649)),NOT(ISNUMBER($R649))),"",MAX(0,$T649-$R649))</f>
        <v/>
      </c>
      <c r="V649" s="49" t="str">
        <f>IF(OR($AM649=0,NOT(ISNUMBER($H649)),NOT(ISNUMBER($I649)),NOT(ISNUMBER($G649))),"",IF(OR($AG649="",$AH649=""),"",IF(ROUND(ABS($H649-$I649)*ABS($G649)*$AG649*$AH649,6)=0,"",ROUND(ABS($H649-$I649)*ABS($G649)*$AG649*$AH649,6))))</f>
        <v/>
      </c>
      <c r="W649" s="50" t="str">
        <f>IF($AM649=0,"",IF($BG649="","OK",LEFT($BG649,LEN($BG649)-2)))</f>
        <v/>
      </c>
      <c r="X649" s="41" t="n"/>
      <c r="Y649" s="40" t="n"/>
      <c r="Z649" s="41" t="n"/>
      <c r="AA649" s="41" t="n"/>
      <c r="AB649" s="40" t="n"/>
      <c r="AC649" s="51" t="n"/>
      <c r="AD649" s="51" t="n"/>
      <c r="AE649" s="40" t="n"/>
      <c r="AF649" s="52" t="str">
        <f>IF($AM649=0,"",IF($D649&lt;&gt;"",$D649,IF(IFERROR(INDEX(Accounts!$C$7:$C$16,MATCH($C649,Accounts!$B$7:$B$16,0))&amp;"","")&lt;&gt;"",INDEX(Accounts!$C$7:$C$16,MATCH($C649,Accounts!$B$7:$B$16,0)),Settings!$C$6)))</f>
        <v/>
      </c>
      <c r="AG649" s="53" t="str">
        <f>IF($AM649=0,"",IF(AND($BE649&gt;0,N(INDEX(Instruments!$D$6:$D$205,MAX(1,$BE649)))&gt;0),INDEX(Instruments!$D$6:$D$205,MAX(1,$BE649)),IF(N(INDEX(Settings!$D$14:$D$18,$BF649))&gt;0,INDEX(Settings!$D$14:$D$18,$BF649),"")))</f>
        <v/>
      </c>
      <c r="AH649" s="54" t="str">
        <f>IF($AM649=0,"",IF($AF649&lt;&gt;"Forex",1,IF(MID(UPPER(SUBSTITUTE(TRIM($E649),"/","")),4,3)=UPPER(TRIM(Settings!$C$7)),1,IF(LEFT(UPPER(SUBSTITUTE(TRIM($E649),"/","")),3)=UPPER(TRIM(Settings!$C$7)),IF(AND(ISNUMBER($K649),N($K649)&lt;&gt;0),1/$K649,""),""))))</f>
        <v/>
      </c>
      <c r="AI649" s="55" t="str">
        <f>IF($AM649=0,"",IF(OR(NOT(ISNUMBER($H649)),NOT(ISNUMBER($K649)),NOT(ISNUMBER($G649)),$AG649="",$AH649=""),"",ROUND(($K649-$H649)*IF($F649="Short",-1,1)*$G649*$AG649*$AH649,6)))</f>
        <v/>
      </c>
      <c r="AJ649" s="55" t="str">
        <f>IF($AM649=0,"",IF(INDEX(Settings!$E$14:$E$18,$BF649)="% of notional",IF(OR($AG649="",NOT(ISNUMBER($H649)),NOT(ISNUMBER($G649))),"",ROUND(ABS($H649*$G649*$AG649*N($AH649))*IF($L649="Limit",N(INDEX(Settings!$G$14:$G$18,$BF649)),N(INDEX(Settings!$H$14:$H$18,$BF649)))+IF(ISNUMBER($K649),ABS($K649*$G649*$AG649*N($AH649))*IF($M649="Target",N(INDEX(Settings!$G$14:$G$18,$BF649)),N(INDEX(Settings!$H$14:$H$18,$BF649))),0),6)),IF(NOT(ISNUMBER($G649)),"",ROUND(ABS($G649)*2*IF(AND($BE649&gt;0,ISNUMBER(INDEX(Instruments!$G$6:$G$205,MAX(1,$BE649)))),INDEX(Instruments!$G$6:$G$205,MAX(1,$BE649)),N(INDEX(Settings!$F$14:$F$18,$BF649))),6))))</f>
        <v/>
      </c>
      <c r="AK649" s="55" t="str">
        <f>IF($AM649=0,"",IF(ISNUMBER($O649),$O649,$AI649))</f>
        <v/>
      </c>
      <c r="AL649" s="55" t="str">
        <f>IF($AM649=0,"",IF(ISNUMBER($P649),$P649,N($AJ649)))</f>
        <v/>
      </c>
      <c r="AM649" s="56">
        <f>IF(AND($A649&lt;&gt;"",$E649&lt;&gt;"",OR(AND(ISNUMBER($G649),ISNUMBER($H649),ISNUMBER($K649)),ISNUMBER($O649))),1,0)</f>
        <v>0</v>
      </c>
      <c r="AN649" s="57" t="str">
        <f>IF($A649="","",$A649-WEEKDAY($A649,3))</f>
        <v/>
      </c>
      <c r="AO649" s="56" t="str">
        <f>IF($A649="","",WEEKDAY($A649,2))</f>
        <v/>
      </c>
      <c r="AP649" s="55" t="str">
        <f>IF(OR($AM649=0,$C649=""),"",IFERROR(N(INDEX(Accounts!$E$7:$E$16,MATCH($C649,Accounts!$B$7:$B$16,0))),0)+SUMIFS($Q$6:$Q649,$C$6:$C649,$C649))</f>
        <v/>
      </c>
      <c r="AQ649" s="55" t="str">
        <f>IF(OR($AM649=0,$C649=""),"",SUMIFS($Q$6:$Q$1005,$C$6:$C$1005,$C649,$A$6:$A$1005,$A649))</f>
        <v/>
      </c>
      <c r="AR649" s="55" t="str">
        <f>IF(OR($AM649=0,$C649=""),"",IFERROR(N(INDEX(Accounts!$E$7:$E$16,MATCH($C649,Accounts!$B$7:$B$16,0))),0)+SUMIFS($Q$6:$Q$1005,$C$6:$C$1005,$C649,$A$6:$A$1005,"&lt;="&amp;$A649))</f>
        <v/>
      </c>
      <c r="AS649" s="56">
        <f>IF(OR($AM649=0,$Q649=""),0,IF(AND($A649&gt;=Lists!$W$6,$A649&lt;=Lists!$W$7,OR(Dashboard!$D$6="All accounts",$C649=Dashboard!$D$6),OR(Dashboard!$D$7="All markets",$AF649=Dashboard!$D$7)),1,0))</f>
        <v>0</v>
      </c>
      <c r="AT649" s="55">
        <f>IF($AS649=1,N(AT648)+$Q649,N(AT648))</f>
        <v>1187.10688</v>
      </c>
      <c r="AU649" s="55">
        <f>MAX(N(AU648),$AT649)</f>
        <v>1187.10688</v>
      </c>
      <c r="AV649" s="55">
        <f>$AT649-$AU649</f>
        <v>0</v>
      </c>
      <c r="AW649" s="56">
        <f>IF($AS649=1,IF($S649="Win",N(AW648)+1,IF($S649="Loss",0,N(AW648))),N(AW648))</f>
        <v>5</v>
      </c>
      <c r="AX649" s="56">
        <f>IF($AS649=1,IF($S649="Loss",N(AX648)+1,IF($S649="Win",0,N(AX648))),N(AX648))</f>
        <v>0</v>
      </c>
      <c r="AY649" s="56" t="str">
        <f>IF($AS649=1,COUNTIF($AS$6:$AS649,1),"")</f>
        <v/>
      </c>
      <c r="AZ649" s="56">
        <f>MIN(643,N(Lists!$W$8))</f>
        <v>28</v>
      </c>
      <c r="BA649" s="56">
        <f>IF($AS649=1,IF(COUNTIFS($A$6:$A649,$A649,$AS$6:$AS649,1)=1,1,0),0)</f>
        <v>0</v>
      </c>
      <c r="BB649" s="55" t="str">
        <f>IF($BA649=1,SUMIFS($Q$6:$Q$1005,$A$6:$A$1005,$A649,$AS$6:$AS$1005,1),"")</f>
        <v/>
      </c>
      <c r="BC649" s="56">
        <f>IF(ISNUMBER($R649),1,0)</f>
        <v>0</v>
      </c>
      <c r="BD649" s="55" t="str">
        <f>IF(ISNUMBER($U649),$U649*$V649,"")</f>
        <v/>
      </c>
      <c r="BE649" s="56" t="str">
        <f>IF($AM649=0,"",IFERROR(MATCH($AF649&amp;"|"&amp;UPPER(TRIM($E649)),Lists!$A$6:$A$205,0),0))</f>
        <v/>
      </c>
      <c r="BF649" s="56" t="str">
        <f>IF($AM649=0,"",IFERROR(MATCH($AF649,Settings!$B$14:$B$18,0),IFERROR(MATCH(Settings!$C$6,Settings!$B$14:$B$18,0),1)))</f>
        <v/>
      </c>
      <c r="BG649" s="58" t="str">
        <f>IF($AM649=0,"",IF(NOT(ISNUMBER($I649)),"No stop; ","")&amp;IF(AND(ISNUMBER($H649),ISNUMBER($I649)),IF(OR(AND($F649&lt;&gt;"Short",$I649&gt;=$H649),AND($F649="Short",$I649&lt;=$H649)),"Stop on wrong side; ",""),"")&amp;IF($F649="","No direction; ","")&amp;IF(AND(ISNUMBER(Settings!$C$22),ISNUMBER($V649)),IF($V649&gt;Settings!$C$22,"Risk over max $; ",""),"")&amp;IF(AND(ISNUMBER(Settings!$C$23),ISNUMBER($V649),ISNUMBER($AP649),IFERROR(N(INDEX(Accounts!$E$7:$E$16,MATCH($C649,Accounts!$B$7:$B$16,0))),0)&gt;0),IF($V649&gt;Settings!$C$23*($AP649-N($Q649)),"Risk over max %; ",""),"")&amp;IF(AND(ISNUMBER(Settings!$C$24),ISNUMBER($N649)),IF($N649&gt;Settings!$C$24,"Leverage over max; ",""),"")&amp;IF(AND(ISNUMBER(Settings!$C$27),ISNUMBER($T649)),IF($T649&lt;Settings!$C$27,"R:R below min; ",""),"")&amp;IF(ISNUMBER(Settings!$C$25),IF(COUNTIFS($A$6:$A649,$A649,$AM$6:$AM649,1)&gt;Settings!$C$25,"Over max trades/day; ",""),"")&amp;IF(ISNUMBER(Settings!$C$26),IF(SUMIFS($Q$5:$Q648,$A$5:$A648,$A649)&lt;=-Settings!$C$26,"Traded after daily max loss; ",""),"")&amp;IF(AND($AG649="",NOT(ISNUMBER($O649))),"Symbol not in Instruments; ","")&amp;IF(AND($AH649="",NOT(ISNUMBER($O649))),"Forex cross: type Gross P&amp;L; ",""))</f>
        <v/>
      </c>
      <c r="BH649" s="56">
        <f>IF(ISNUMBER($Q649),1,0)</f>
        <v>0</v>
      </c>
      <c r="BI649" s="56">
        <f>IF($Y649="",0,1)</f>
        <v>0</v>
      </c>
      <c r="BJ649" s="56">
        <f>IF($AB649="",0,1)</f>
        <v>0</v>
      </c>
      <c r="BK649" s="56">
        <f>IF(AND($BH649=1,$W649&lt;&gt;"OK"),1,0)</f>
        <v>0</v>
      </c>
      <c r="BL649" s="55">
        <f>IF(N($AZ649)=0,0,IFERROR(INDEX($AT$6:$AT$1005,MATCH($AZ649,$AY$6:$AY$1005,0)),0))</f>
        <v>1187.10688</v>
      </c>
      <c r="BM649" s="56">
        <f>IF(ISNUMBER(SEARCH("daily max loss",$BG649)),1,0)</f>
        <v>0</v>
      </c>
    </row>
    <row r="650" ht="18" customHeight="1">
      <c r="A650" s="38" t="n"/>
      <c r="B650" s="39" t="n"/>
      <c r="C650" s="40" t="n"/>
      <c r="D650" s="41" t="n"/>
      <c r="E650" s="41" t="n"/>
      <c r="F650" s="41" t="n"/>
      <c r="G650" s="41" t="n"/>
      <c r="H650" s="42" t="n"/>
      <c r="I650" s="42" t="n"/>
      <c r="J650" s="42" t="n"/>
      <c r="K650" s="42" t="n"/>
      <c r="L650" s="41" t="n"/>
      <c r="M650" s="41" t="n"/>
      <c r="N650" s="41" t="n"/>
      <c r="O650" s="43" t="n"/>
      <c r="P650" s="43" t="n"/>
      <c r="Q650" s="44" t="str">
        <f>IF($AM650=0,"",IF(ISNUMBER($AK650),$AK650-N($AL650),""))</f>
        <v/>
      </c>
      <c r="R650" s="45" t="str">
        <f>IF(OR($Q650="",NOT(ISNUMBER($V650))),"",$AK650/$V650)</f>
        <v/>
      </c>
      <c r="S650" s="46" t="str">
        <f>IF($Q650="","",IF(AND(ISNUMBER($R650),ABS(N($R650))&lt;N(Settings!$C$8)),"Scratch",IF($Q650&gt;0,"Win",IF($Q650&lt;0,"Loss","Scratch"))))</f>
        <v/>
      </c>
      <c r="T650" s="47" t="str">
        <f>IF(OR($AM650=0,NOT(ISNUMBER($H650)),NOT(ISNUMBER($I650)),NOT(ISNUMBER($J650))),"",IF($H650=$I650,"",ROUND(ABS($J650-$H650)/ABS($H650-$I650),6)))</f>
        <v/>
      </c>
      <c r="U650" s="48" t="str">
        <f>IF(OR($S650&lt;&gt;"Win",NOT(ISNUMBER($T650)),NOT(ISNUMBER($R650))),"",MAX(0,$T650-$R650))</f>
        <v/>
      </c>
      <c r="V650" s="49" t="str">
        <f>IF(OR($AM650=0,NOT(ISNUMBER($H650)),NOT(ISNUMBER($I650)),NOT(ISNUMBER($G650))),"",IF(OR($AG650="",$AH650=""),"",IF(ROUND(ABS($H650-$I650)*ABS($G650)*$AG650*$AH650,6)=0,"",ROUND(ABS($H650-$I650)*ABS($G650)*$AG650*$AH650,6))))</f>
        <v/>
      </c>
      <c r="W650" s="50" t="str">
        <f>IF($AM650=0,"",IF($BG650="","OK",LEFT($BG650,LEN($BG650)-2)))</f>
        <v/>
      </c>
      <c r="X650" s="41" t="n"/>
      <c r="Y650" s="40" t="n"/>
      <c r="Z650" s="41" t="n"/>
      <c r="AA650" s="41" t="n"/>
      <c r="AB650" s="40" t="n"/>
      <c r="AC650" s="51" t="n"/>
      <c r="AD650" s="51" t="n"/>
      <c r="AE650" s="40" t="n"/>
      <c r="AF650" s="52" t="str">
        <f>IF($AM650=0,"",IF($D650&lt;&gt;"",$D650,IF(IFERROR(INDEX(Accounts!$C$7:$C$16,MATCH($C650,Accounts!$B$7:$B$16,0))&amp;"","")&lt;&gt;"",INDEX(Accounts!$C$7:$C$16,MATCH($C650,Accounts!$B$7:$B$16,0)),Settings!$C$6)))</f>
        <v/>
      </c>
      <c r="AG650" s="53" t="str">
        <f>IF($AM650=0,"",IF(AND($BE650&gt;0,N(INDEX(Instruments!$D$6:$D$205,MAX(1,$BE650)))&gt;0),INDEX(Instruments!$D$6:$D$205,MAX(1,$BE650)),IF(N(INDEX(Settings!$D$14:$D$18,$BF650))&gt;0,INDEX(Settings!$D$14:$D$18,$BF650),"")))</f>
        <v/>
      </c>
      <c r="AH650" s="54" t="str">
        <f>IF($AM650=0,"",IF($AF650&lt;&gt;"Forex",1,IF(MID(UPPER(SUBSTITUTE(TRIM($E650),"/","")),4,3)=UPPER(TRIM(Settings!$C$7)),1,IF(LEFT(UPPER(SUBSTITUTE(TRIM($E650),"/","")),3)=UPPER(TRIM(Settings!$C$7)),IF(AND(ISNUMBER($K650),N($K650)&lt;&gt;0),1/$K650,""),""))))</f>
        <v/>
      </c>
      <c r="AI650" s="55" t="str">
        <f>IF($AM650=0,"",IF(OR(NOT(ISNUMBER($H650)),NOT(ISNUMBER($K650)),NOT(ISNUMBER($G650)),$AG650="",$AH650=""),"",ROUND(($K650-$H650)*IF($F650="Short",-1,1)*$G650*$AG650*$AH650,6)))</f>
        <v/>
      </c>
      <c r="AJ650" s="55" t="str">
        <f>IF($AM650=0,"",IF(INDEX(Settings!$E$14:$E$18,$BF650)="% of notional",IF(OR($AG650="",NOT(ISNUMBER($H650)),NOT(ISNUMBER($G650))),"",ROUND(ABS($H650*$G650*$AG650*N($AH650))*IF($L650="Limit",N(INDEX(Settings!$G$14:$G$18,$BF650)),N(INDEX(Settings!$H$14:$H$18,$BF650)))+IF(ISNUMBER($K650),ABS($K650*$G650*$AG650*N($AH650))*IF($M650="Target",N(INDEX(Settings!$G$14:$G$18,$BF650)),N(INDEX(Settings!$H$14:$H$18,$BF650))),0),6)),IF(NOT(ISNUMBER($G650)),"",ROUND(ABS($G650)*2*IF(AND($BE650&gt;0,ISNUMBER(INDEX(Instruments!$G$6:$G$205,MAX(1,$BE650)))),INDEX(Instruments!$G$6:$G$205,MAX(1,$BE650)),N(INDEX(Settings!$F$14:$F$18,$BF650))),6))))</f>
        <v/>
      </c>
      <c r="AK650" s="55" t="str">
        <f>IF($AM650=0,"",IF(ISNUMBER($O650),$O650,$AI650))</f>
        <v/>
      </c>
      <c r="AL650" s="55" t="str">
        <f>IF($AM650=0,"",IF(ISNUMBER($P650),$P650,N($AJ650)))</f>
        <v/>
      </c>
      <c r="AM650" s="56">
        <f>IF(AND($A650&lt;&gt;"",$E650&lt;&gt;"",OR(AND(ISNUMBER($G650),ISNUMBER($H650),ISNUMBER($K650)),ISNUMBER($O650))),1,0)</f>
        <v>0</v>
      </c>
      <c r="AN650" s="57" t="str">
        <f>IF($A650="","",$A650-WEEKDAY($A650,3))</f>
        <v/>
      </c>
      <c r="AO650" s="56" t="str">
        <f>IF($A650="","",WEEKDAY($A650,2))</f>
        <v/>
      </c>
      <c r="AP650" s="55" t="str">
        <f>IF(OR($AM650=0,$C650=""),"",IFERROR(N(INDEX(Accounts!$E$7:$E$16,MATCH($C650,Accounts!$B$7:$B$16,0))),0)+SUMIFS($Q$6:$Q650,$C$6:$C650,$C650))</f>
        <v/>
      </c>
      <c r="AQ650" s="55" t="str">
        <f>IF(OR($AM650=0,$C650=""),"",SUMIFS($Q$6:$Q$1005,$C$6:$C$1005,$C650,$A$6:$A$1005,$A650))</f>
        <v/>
      </c>
      <c r="AR650" s="55" t="str">
        <f>IF(OR($AM650=0,$C650=""),"",IFERROR(N(INDEX(Accounts!$E$7:$E$16,MATCH($C650,Accounts!$B$7:$B$16,0))),0)+SUMIFS($Q$6:$Q$1005,$C$6:$C$1005,$C650,$A$6:$A$1005,"&lt;="&amp;$A650))</f>
        <v/>
      </c>
      <c r="AS650" s="56">
        <f>IF(OR($AM650=0,$Q650=""),0,IF(AND($A650&gt;=Lists!$W$6,$A650&lt;=Lists!$W$7,OR(Dashboard!$D$6="All accounts",$C650=Dashboard!$D$6),OR(Dashboard!$D$7="All markets",$AF650=Dashboard!$D$7)),1,0))</f>
        <v>0</v>
      </c>
      <c r="AT650" s="55">
        <f>IF($AS650=1,N(AT649)+$Q650,N(AT649))</f>
        <v>1187.10688</v>
      </c>
      <c r="AU650" s="55">
        <f>MAX(N(AU649),$AT650)</f>
        <v>1187.10688</v>
      </c>
      <c r="AV650" s="55">
        <f>$AT650-$AU650</f>
        <v>0</v>
      </c>
      <c r="AW650" s="56">
        <f>IF($AS650=1,IF($S650="Win",N(AW649)+1,IF($S650="Loss",0,N(AW649))),N(AW649))</f>
        <v>5</v>
      </c>
      <c r="AX650" s="56">
        <f>IF($AS650=1,IF($S650="Loss",N(AX649)+1,IF($S650="Win",0,N(AX649))),N(AX649))</f>
        <v>0</v>
      </c>
      <c r="AY650" s="56" t="str">
        <f>IF($AS650=1,COUNTIF($AS$6:$AS650,1),"")</f>
        <v/>
      </c>
      <c r="AZ650" s="56">
        <f>MIN(644,N(Lists!$W$8))</f>
        <v>28</v>
      </c>
      <c r="BA650" s="56">
        <f>IF($AS650=1,IF(COUNTIFS($A$6:$A650,$A650,$AS$6:$AS650,1)=1,1,0),0)</f>
        <v>0</v>
      </c>
      <c r="BB650" s="55" t="str">
        <f>IF($BA650=1,SUMIFS($Q$6:$Q$1005,$A$6:$A$1005,$A650,$AS$6:$AS$1005,1),"")</f>
        <v/>
      </c>
      <c r="BC650" s="56">
        <f>IF(ISNUMBER($R650),1,0)</f>
        <v>0</v>
      </c>
      <c r="BD650" s="55" t="str">
        <f>IF(ISNUMBER($U650),$U650*$V650,"")</f>
        <v/>
      </c>
      <c r="BE650" s="56" t="str">
        <f>IF($AM650=0,"",IFERROR(MATCH($AF650&amp;"|"&amp;UPPER(TRIM($E650)),Lists!$A$6:$A$205,0),0))</f>
        <v/>
      </c>
      <c r="BF650" s="56" t="str">
        <f>IF($AM650=0,"",IFERROR(MATCH($AF650,Settings!$B$14:$B$18,0),IFERROR(MATCH(Settings!$C$6,Settings!$B$14:$B$18,0),1)))</f>
        <v/>
      </c>
      <c r="BG650" s="58" t="str">
        <f>IF($AM650=0,"",IF(NOT(ISNUMBER($I650)),"No stop; ","")&amp;IF(AND(ISNUMBER($H650),ISNUMBER($I650)),IF(OR(AND($F650&lt;&gt;"Short",$I650&gt;=$H650),AND($F650="Short",$I650&lt;=$H650)),"Stop on wrong side; ",""),"")&amp;IF($F650="","No direction; ","")&amp;IF(AND(ISNUMBER(Settings!$C$22),ISNUMBER($V650)),IF($V650&gt;Settings!$C$22,"Risk over max $; ",""),"")&amp;IF(AND(ISNUMBER(Settings!$C$23),ISNUMBER($V650),ISNUMBER($AP650),IFERROR(N(INDEX(Accounts!$E$7:$E$16,MATCH($C650,Accounts!$B$7:$B$16,0))),0)&gt;0),IF($V650&gt;Settings!$C$23*($AP650-N($Q650)),"Risk over max %; ",""),"")&amp;IF(AND(ISNUMBER(Settings!$C$24),ISNUMBER($N650)),IF($N650&gt;Settings!$C$24,"Leverage over max; ",""),"")&amp;IF(AND(ISNUMBER(Settings!$C$27),ISNUMBER($T650)),IF($T650&lt;Settings!$C$27,"R:R below min; ",""),"")&amp;IF(ISNUMBER(Settings!$C$25),IF(COUNTIFS($A$6:$A650,$A650,$AM$6:$AM650,1)&gt;Settings!$C$25,"Over max trades/day; ",""),"")&amp;IF(ISNUMBER(Settings!$C$26),IF(SUMIFS($Q$5:$Q649,$A$5:$A649,$A650)&lt;=-Settings!$C$26,"Traded after daily max loss; ",""),"")&amp;IF(AND($AG650="",NOT(ISNUMBER($O650))),"Symbol not in Instruments; ","")&amp;IF(AND($AH650="",NOT(ISNUMBER($O650))),"Forex cross: type Gross P&amp;L; ",""))</f>
        <v/>
      </c>
      <c r="BH650" s="56">
        <f>IF(ISNUMBER($Q650),1,0)</f>
        <v>0</v>
      </c>
      <c r="BI650" s="56">
        <f>IF($Y650="",0,1)</f>
        <v>0</v>
      </c>
      <c r="BJ650" s="56">
        <f>IF($AB650="",0,1)</f>
        <v>0</v>
      </c>
      <c r="BK650" s="56">
        <f>IF(AND($BH650=1,$W650&lt;&gt;"OK"),1,0)</f>
        <v>0</v>
      </c>
      <c r="BL650" s="55">
        <f>IF(N($AZ650)=0,0,IFERROR(INDEX($AT$6:$AT$1005,MATCH($AZ650,$AY$6:$AY$1005,0)),0))</f>
        <v>1187.10688</v>
      </c>
      <c r="BM650" s="56">
        <f>IF(ISNUMBER(SEARCH("daily max loss",$BG650)),1,0)</f>
        <v>0</v>
      </c>
    </row>
    <row r="651" ht="18" customHeight="1">
      <c r="A651" s="38" t="n"/>
      <c r="B651" s="39" t="n"/>
      <c r="C651" s="40" t="n"/>
      <c r="D651" s="41" t="n"/>
      <c r="E651" s="41" t="n"/>
      <c r="F651" s="41" t="n"/>
      <c r="G651" s="41" t="n"/>
      <c r="H651" s="42" t="n"/>
      <c r="I651" s="42" t="n"/>
      <c r="J651" s="42" t="n"/>
      <c r="K651" s="42" t="n"/>
      <c r="L651" s="41" t="n"/>
      <c r="M651" s="41" t="n"/>
      <c r="N651" s="41" t="n"/>
      <c r="O651" s="43" t="n"/>
      <c r="P651" s="43" t="n"/>
      <c r="Q651" s="44" t="str">
        <f>IF($AM651=0,"",IF(ISNUMBER($AK651),$AK651-N($AL651),""))</f>
        <v/>
      </c>
      <c r="R651" s="45" t="str">
        <f>IF(OR($Q651="",NOT(ISNUMBER($V651))),"",$AK651/$V651)</f>
        <v/>
      </c>
      <c r="S651" s="46" t="str">
        <f>IF($Q651="","",IF(AND(ISNUMBER($R651),ABS(N($R651))&lt;N(Settings!$C$8)),"Scratch",IF($Q651&gt;0,"Win",IF($Q651&lt;0,"Loss","Scratch"))))</f>
        <v/>
      </c>
      <c r="T651" s="47" t="str">
        <f>IF(OR($AM651=0,NOT(ISNUMBER($H651)),NOT(ISNUMBER($I651)),NOT(ISNUMBER($J651))),"",IF($H651=$I651,"",ROUND(ABS($J651-$H651)/ABS($H651-$I651),6)))</f>
        <v/>
      </c>
      <c r="U651" s="48" t="str">
        <f>IF(OR($S651&lt;&gt;"Win",NOT(ISNUMBER($T651)),NOT(ISNUMBER($R651))),"",MAX(0,$T651-$R651))</f>
        <v/>
      </c>
      <c r="V651" s="49" t="str">
        <f>IF(OR($AM651=0,NOT(ISNUMBER($H651)),NOT(ISNUMBER($I651)),NOT(ISNUMBER($G651))),"",IF(OR($AG651="",$AH651=""),"",IF(ROUND(ABS($H651-$I651)*ABS($G651)*$AG651*$AH651,6)=0,"",ROUND(ABS($H651-$I651)*ABS($G651)*$AG651*$AH651,6))))</f>
        <v/>
      </c>
      <c r="W651" s="50" t="str">
        <f>IF($AM651=0,"",IF($BG651="","OK",LEFT($BG651,LEN($BG651)-2)))</f>
        <v/>
      </c>
      <c r="X651" s="41" t="n"/>
      <c r="Y651" s="40" t="n"/>
      <c r="Z651" s="41" t="n"/>
      <c r="AA651" s="41" t="n"/>
      <c r="AB651" s="40" t="n"/>
      <c r="AC651" s="51" t="n"/>
      <c r="AD651" s="51" t="n"/>
      <c r="AE651" s="40" t="n"/>
      <c r="AF651" s="52" t="str">
        <f>IF($AM651=0,"",IF($D651&lt;&gt;"",$D651,IF(IFERROR(INDEX(Accounts!$C$7:$C$16,MATCH($C651,Accounts!$B$7:$B$16,0))&amp;"","")&lt;&gt;"",INDEX(Accounts!$C$7:$C$16,MATCH($C651,Accounts!$B$7:$B$16,0)),Settings!$C$6)))</f>
        <v/>
      </c>
      <c r="AG651" s="53" t="str">
        <f>IF($AM651=0,"",IF(AND($BE651&gt;0,N(INDEX(Instruments!$D$6:$D$205,MAX(1,$BE651)))&gt;0),INDEX(Instruments!$D$6:$D$205,MAX(1,$BE651)),IF(N(INDEX(Settings!$D$14:$D$18,$BF651))&gt;0,INDEX(Settings!$D$14:$D$18,$BF651),"")))</f>
        <v/>
      </c>
      <c r="AH651" s="54" t="str">
        <f>IF($AM651=0,"",IF($AF651&lt;&gt;"Forex",1,IF(MID(UPPER(SUBSTITUTE(TRIM($E651),"/","")),4,3)=UPPER(TRIM(Settings!$C$7)),1,IF(LEFT(UPPER(SUBSTITUTE(TRIM($E651),"/","")),3)=UPPER(TRIM(Settings!$C$7)),IF(AND(ISNUMBER($K651),N($K651)&lt;&gt;0),1/$K651,""),""))))</f>
        <v/>
      </c>
      <c r="AI651" s="55" t="str">
        <f>IF($AM651=0,"",IF(OR(NOT(ISNUMBER($H651)),NOT(ISNUMBER($K651)),NOT(ISNUMBER($G651)),$AG651="",$AH651=""),"",ROUND(($K651-$H651)*IF($F651="Short",-1,1)*$G651*$AG651*$AH651,6)))</f>
        <v/>
      </c>
      <c r="AJ651" s="55" t="str">
        <f>IF($AM651=0,"",IF(INDEX(Settings!$E$14:$E$18,$BF651)="% of notional",IF(OR($AG651="",NOT(ISNUMBER($H651)),NOT(ISNUMBER($G651))),"",ROUND(ABS($H651*$G651*$AG651*N($AH651))*IF($L651="Limit",N(INDEX(Settings!$G$14:$G$18,$BF651)),N(INDEX(Settings!$H$14:$H$18,$BF651)))+IF(ISNUMBER($K651),ABS($K651*$G651*$AG651*N($AH651))*IF($M651="Target",N(INDEX(Settings!$G$14:$G$18,$BF651)),N(INDEX(Settings!$H$14:$H$18,$BF651))),0),6)),IF(NOT(ISNUMBER($G651)),"",ROUND(ABS($G651)*2*IF(AND($BE651&gt;0,ISNUMBER(INDEX(Instruments!$G$6:$G$205,MAX(1,$BE651)))),INDEX(Instruments!$G$6:$G$205,MAX(1,$BE651)),N(INDEX(Settings!$F$14:$F$18,$BF651))),6))))</f>
        <v/>
      </c>
      <c r="AK651" s="55" t="str">
        <f>IF($AM651=0,"",IF(ISNUMBER($O651),$O651,$AI651))</f>
        <v/>
      </c>
      <c r="AL651" s="55" t="str">
        <f>IF($AM651=0,"",IF(ISNUMBER($P651),$P651,N($AJ651)))</f>
        <v/>
      </c>
      <c r="AM651" s="56">
        <f>IF(AND($A651&lt;&gt;"",$E651&lt;&gt;"",OR(AND(ISNUMBER($G651),ISNUMBER($H651),ISNUMBER($K651)),ISNUMBER($O651))),1,0)</f>
        <v>0</v>
      </c>
      <c r="AN651" s="57" t="str">
        <f>IF($A651="","",$A651-WEEKDAY($A651,3))</f>
        <v/>
      </c>
      <c r="AO651" s="56" t="str">
        <f>IF($A651="","",WEEKDAY($A651,2))</f>
        <v/>
      </c>
      <c r="AP651" s="55" t="str">
        <f>IF(OR($AM651=0,$C651=""),"",IFERROR(N(INDEX(Accounts!$E$7:$E$16,MATCH($C651,Accounts!$B$7:$B$16,0))),0)+SUMIFS($Q$6:$Q651,$C$6:$C651,$C651))</f>
        <v/>
      </c>
      <c r="AQ651" s="55" t="str">
        <f>IF(OR($AM651=0,$C651=""),"",SUMIFS($Q$6:$Q$1005,$C$6:$C$1005,$C651,$A$6:$A$1005,$A651))</f>
        <v/>
      </c>
      <c r="AR651" s="55" t="str">
        <f>IF(OR($AM651=0,$C651=""),"",IFERROR(N(INDEX(Accounts!$E$7:$E$16,MATCH($C651,Accounts!$B$7:$B$16,0))),0)+SUMIFS($Q$6:$Q$1005,$C$6:$C$1005,$C651,$A$6:$A$1005,"&lt;="&amp;$A651))</f>
        <v/>
      </c>
      <c r="AS651" s="56">
        <f>IF(OR($AM651=0,$Q651=""),0,IF(AND($A651&gt;=Lists!$W$6,$A651&lt;=Lists!$W$7,OR(Dashboard!$D$6="All accounts",$C651=Dashboard!$D$6),OR(Dashboard!$D$7="All markets",$AF651=Dashboard!$D$7)),1,0))</f>
        <v>0</v>
      </c>
      <c r="AT651" s="55">
        <f>IF($AS651=1,N(AT650)+$Q651,N(AT650))</f>
        <v>1187.10688</v>
      </c>
      <c r="AU651" s="55">
        <f>MAX(N(AU650),$AT651)</f>
        <v>1187.10688</v>
      </c>
      <c r="AV651" s="55">
        <f>$AT651-$AU651</f>
        <v>0</v>
      </c>
      <c r="AW651" s="56">
        <f>IF($AS651=1,IF($S651="Win",N(AW650)+1,IF($S651="Loss",0,N(AW650))),N(AW650))</f>
        <v>5</v>
      </c>
      <c r="AX651" s="56">
        <f>IF($AS651=1,IF($S651="Loss",N(AX650)+1,IF($S651="Win",0,N(AX650))),N(AX650))</f>
        <v>0</v>
      </c>
      <c r="AY651" s="56" t="str">
        <f>IF($AS651=1,COUNTIF($AS$6:$AS651,1),"")</f>
        <v/>
      </c>
      <c r="AZ651" s="56">
        <f>MIN(645,N(Lists!$W$8))</f>
        <v>28</v>
      </c>
      <c r="BA651" s="56">
        <f>IF($AS651=1,IF(COUNTIFS($A$6:$A651,$A651,$AS$6:$AS651,1)=1,1,0),0)</f>
        <v>0</v>
      </c>
      <c r="BB651" s="55" t="str">
        <f>IF($BA651=1,SUMIFS($Q$6:$Q$1005,$A$6:$A$1005,$A651,$AS$6:$AS$1005,1),"")</f>
        <v/>
      </c>
      <c r="BC651" s="56">
        <f>IF(ISNUMBER($R651),1,0)</f>
        <v>0</v>
      </c>
      <c r="BD651" s="55" t="str">
        <f>IF(ISNUMBER($U651),$U651*$V651,"")</f>
        <v/>
      </c>
      <c r="BE651" s="56" t="str">
        <f>IF($AM651=0,"",IFERROR(MATCH($AF651&amp;"|"&amp;UPPER(TRIM($E651)),Lists!$A$6:$A$205,0),0))</f>
        <v/>
      </c>
      <c r="BF651" s="56" t="str">
        <f>IF($AM651=0,"",IFERROR(MATCH($AF651,Settings!$B$14:$B$18,0),IFERROR(MATCH(Settings!$C$6,Settings!$B$14:$B$18,0),1)))</f>
        <v/>
      </c>
      <c r="BG651" s="58" t="str">
        <f>IF($AM651=0,"",IF(NOT(ISNUMBER($I651)),"No stop; ","")&amp;IF(AND(ISNUMBER($H651),ISNUMBER($I651)),IF(OR(AND($F651&lt;&gt;"Short",$I651&gt;=$H651),AND($F651="Short",$I651&lt;=$H651)),"Stop on wrong side; ",""),"")&amp;IF($F651="","No direction; ","")&amp;IF(AND(ISNUMBER(Settings!$C$22),ISNUMBER($V651)),IF($V651&gt;Settings!$C$22,"Risk over max $; ",""),"")&amp;IF(AND(ISNUMBER(Settings!$C$23),ISNUMBER($V651),ISNUMBER($AP651),IFERROR(N(INDEX(Accounts!$E$7:$E$16,MATCH($C651,Accounts!$B$7:$B$16,0))),0)&gt;0),IF($V651&gt;Settings!$C$23*($AP651-N($Q651)),"Risk over max %; ",""),"")&amp;IF(AND(ISNUMBER(Settings!$C$24),ISNUMBER($N651)),IF($N651&gt;Settings!$C$24,"Leverage over max; ",""),"")&amp;IF(AND(ISNUMBER(Settings!$C$27),ISNUMBER($T651)),IF($T651&lt;Settings!$C$27,"R:R below min; ",""),"")&amp;IF(ISNUMBER(Settings!$C$25),IF(COUNTIFS($A$6:$A651,$A651,$AM$6:$AM651,1)&gt;Settings!$C$25,"Over max trades/day; ",""),"")&amp;IF(ISNUMBER(Settings!$C$26),IF(SUMIFS($Q$5:$Q650,$A$5:$A650,$A651)&lt;=-Settings!$C$26,"Traded after daily max loss; ",""),"")&amp;IF(AND($AG651="",NOT(ISNUMBER($O651))),"Symbol not in Instruments; ","")&amp;IF(AND($AH651="",NOT(ISNUMBER($O651))),"Forex cross: type Gross P&amp;L; ",""))</f>
        <v/>
      </c>
      <c r="BH651" s="56">
        <f>IF(ISNUMBER($Q651),1,0)</f>
        <v>0</v>
      </c>
      <c r="BI651" s="56">
        <f>IF($Y651="",0,1)</f>
        <v>0</v>
      </c>
      <c r="BJ651" s="56">
        <f>IF($AB651="",0,1)</f>
        <v>0</v>
      </c>
      <c r="BK651" s="56">
        <f>IF(AND($BH651=1,$W651&lt;&gt;"OK"),1,0)</f>
        <v>0</v>
      </c>
      <c r="BL651" s="55">
        <f>IF(N($AZ651)=0,0,IFERROR(INDEX($AT$6:$AT$1005,MATCH($AZ651,$AY$6:$AY$1005,0)),0))</f>
        <v>1187.10688</v>
      </c>
      <c r="BM651" s="56">
        <f>IF(ISNUMBER(SEARCH("daily max loss",$BG651)),1,0)</f>
        <v>0</v>
      </c>
    </row>
    <row r="652" ht="18" customHeight="1">
      <c r="A652" s="38" t="n"/>
      <c r="B652" s="39" t="n"/>
      <c r="C652" s="40" t="n"/>
      <c r="D652" s="41" t="n"/>
      <c r="E652" s="41" t="n"/>
      <c r="F652" s="41" t="n"/>
      <c r="G652" s="41" t="n"/>
      <c r="H652" s="42" t="n"/>
      <c r="I652" s="42" t="n"/>
      <c r="J652" s="42" t="n"/>
      <c r="K652" s="42" t="n"/>
      <c r="L652" s="41" t="n"/>
      <c r="M652" s="41" t="n"/>
      <c r="N652" s="41" t="n"/>
      <c r="O652" s="43" t="n"/>
      <c r="P652" s="43" t="n"/>
      <c r="Q652" s="44" t="str">
        <f>IF($AM652=0,"",IF(ISNUMBER($AK652),$AK652-N($AL652),""))</f>
        <v/>
      </c>
      <c r="R652" s="45" t="str">
        <f>IF(OR($Q652="",NOT(ISNUMBER($V652))),"",$AK652/$V652)</f>
        <v/>
      </c>
      <c r="S652" s="46" t="str">
        <f>IF($Q652="","",IF(AND(ISNUMBER($R652),ABS(N($R652))&lt;N(Settings!$C$8)),"Scratch",IF($Q652&gt;0,"Win",IF($Q652&lt;0,"Loss","Scratch"))))</f>
        <v/>
      </c>
      <c r="T652" s="47" t="str">
        <f>IF(OR($AM652=0,NOT(ISNUMBER($H652)),NOT(ISNUMBER($I652)),NOT(ISNUMBER($J652))),"",IF($H652=$I652,"",ROUND(ABS($J652-$H652)/ABS($H652-$I652),6)))</f>
        <v/>
      </c>
      <c r="U652" s="48" t="str">
        <f>IF(OR($S652&lt;&gt;"Win",NOT(ISNUMBER($T652)),NOT(ISNUMBER($R652))),"",MAX(0,$T652-$R652))</f>
        <v/>
      </c>
      <c r="V652" s="49" t="str">
        <f>IF(OR($AM652=0,NOT(ISNUMBER($H652)),NOT(ISNUMBER($I652)),NOT(ISNUMBER($G652))),"",IF(OR($AG652="",$AH652=""),"",IF(ROUND(ABS($H652-$I652)*ABS($G652)*$AG652*$AH652,6)=0,"",ROUND(ABS($H652-$I652)*ABS($G652)*$AG652*$AH652,6))))</f>
        <v/>
      </c>
      <c r="W652" s="50" t="str">
        <f>IF($AM652=0,"",IF($BG652="","OK",LEFT($BG652,LEN($BG652)-2)))</f>
        <v/>
      </c>
      <c r="X652" s="41" t="n"/>
      <c r="Y652" s="40" t="n"/>
      <c r="Z652" s="41" t="n"/>
      <c r="AA652" s="41" t="n"/>
      <c r="AB652" s="40" t="n"/>
      <c r="AC652" s="51" t="n"/>
      <c r="AD652" s="51" t="n"/>
      <c r="AE652" s="40" t="n"/>
      <c r="AF652" s="52" t="str">
        <f>IF($AM652=0,"",IF($D652&lt;&gt;"",$D652,IF(IFERROR(INDEX(Accounts!$C$7:$C$16,MATCH($C652,Accounts!$B$7:$B$16,0))&amp;"","")&lt;&gt;"",INDEX(Accounts!$C$7:$C$16,MATCH($C652,Accounts!$B$7:$B$16,0)),Settings!$C$6)))</f>
        <v/>
      </c>
      <c r="AG652" s="53" t="str">
        <f>IF($AM652=0,"",IF(AND($BE652&gt;0,N(INDEX(Instruments!$D$6:$D$205,MAX(1,$BE652)))&gt;0),INDEX(Instruments!$D$6:$D$205,MAX(1,$BE652)),IF(N(INDEX(Settings!$D$14:$D$18,$BF652))&gt;0,INDEX(Settings!$D$14:$D$18,$BF652),"")))</f>
        <v/>
      </c>
      <c r="AH652" s="54" t="str">
        <f>IF($AM652=0,"",IF($AF652&lt;&gt;"Forex",1,IF(MID(UPPER(SUBSTITUTE(TRIM($E652),"/","")),4,3)=UPPER(TRIM(Settings!$C$7)),1,IF(LEFT(UPPER(SUBSTITUTE(TRIM($E652),"/","")),3)=UPPER(TRIM(Settings!$C$7)),IF(AND(ISNUMBER($K652),N($K652)&lt;&gt;0),1/$K652,""),""))))</f>
        <v/>
      </c>
      <c r="AI652" s="55" t="str">
        <f>IF($AM652=0,"",IF(OR(NOT(ISNUMBER($H652)),NOT(ISNUMBER($K652)),NOT(ISNUMBER($G652)),$AG652="",$AH652=""),"",ROUND(($K652-$H652)*IF($F652="Short",-1,1)*$G652*$AG652*$AH652,6)))</f>
        <v/>
      </c>
      <c r="AJ652" s="55" t="str">
        <f>IF($AM652=0,"",IF(INDEX(Settings!$E$14:$E$18,$BF652)="% of notional",IF(OR($AG652="",NOT(ISNUMBER($H652)),NOT(ISNUMBER($G652))),"",ROUND(ABS($H652*$G652*$AG652*N($AH652))*IF($L652="Limit",N(INDEX(Settings!$G$14:$G$18,$BF652)),N(INDEX(Settings!$H$14:$H$18,$BF652)))+IF(ISNUMBER($K652),ABS($K652*$G652*$AG652*N($AH652))*IF($M652="Target",N(INDEX(Settings!$G$14:$G$18,$BF652)),N(INDEX(Settings!$H$14:$H$18,$BF652))),0),6)),IF(NOT(ISNUMBER($G652)),"",ROUND(ABS($G652)*2*IF(AND($BE652&gt;0,ISNUMBER(INDEX(Instruments!$G$6:$G$205,MAX(1,$BE652)))),INDEX(Instruments!$G$6:$G$205,MAX(1,$BE652)),N(INDEX(Settings!$F$14:$F$18,$BF652))),6))))</f>
        <v/>
      </c>
      <c r="AK652" s="55" t="str">
        <f>IF($AM652=0,"",IF(ISNUMBER($O652),$O652,$AI652))</f>
        <v/>
      </c>
      <c r="AL652" s="55" t="str">
        <f>IF($AM652=0,"",IF(ISNUMBER($P652),$P652,N($AJ652)))</f>
        <v/>
      </c>
      <c r="AM652" s="56">
        <f>IF(AND($A652&lt;&gt;"",$E652&lt;&gt;"",OR(AND(ISNUMBER($G652),ISNUMBER($H652),ISNUMBER($K652)),ISNUMBER($O652))),1,0)</f>
        <v>0</v>
      </c>
      <c r="AN652" s="57" t="str">
        <f>IF($A652="","",$A652-WEEKDAY($A652,3))</f>
        <v/>
      </c>
      <c r="AO652" s="56" t="str">
        <f>IF($A652="","",WEEKDAY($A652,2))</f>
        <v/>
      </c>
      <c r="AP652" s="55" t="str">
        <f>IF(OR($AM652=0,$C652=""),"",IFERROR(N(INDEX(Accounts!$E$7:$E$16,MATCH($C652,Accounts!$B$7:$B$16,0))),0)+SUMIFS($Q$6:$Q652,$C$6:$C652,$C652))</f>
        <v/>
      </c>
      <c r="AQ652" s="55" t="str">
        <f>IF(OR($AM652=0,$C652=""),"",SUMIFS($Q$6:$Q$1005,$C$6:$C$1005,$C652,$A$6:$A$1005,$A652))</f>
        <v/>
      </c>
      <c r="AR652" s="55" t="str">
        <f>IF(OR($AM652=0,$C652=""),"",IFERROR(N(INDEX(Accounts!$E$7:$E$16,MATCH($C652,Accounts!$B$7:$B$16,0))),0)+SUMIFS($Q$6:$Q$1005,$C$6:$C$1005,$C652,$A$6:$A$1005,"&lt;="&amp;$A652))</f>
        <v/>
      </c>
      <c r="AS652" s="56">
        <f>IF(OR($AM652=0,$Q652=""),0,IF(AND($A652&gt;=Lists!$W$6,$A652&lt;=Lists!$W$7,OR(Dashboard!$D$6="All accounts",$C652=Dashboard!$D$6),OR(Dashboard!$D$7="All markets",$AF652=Dashboard!$D$7)),1,0))</f>
        <v>0</v>
      </c>
      <c r="AT652" s="55">
        <f>IF($AS652=1,N(AT651)+$Q652,N(AT651))</f>
        <v>1187.10688</v>
      </c>
      <c r="AU652" s="55">
        <f>MAX(N(AU651),$AT652)</f>
        <v>1187.10688</v>
      </c>
      <c r="AV652" s="55">
        <f>$AT652-$AU652</f>
        <v>0</v>
      </c>
      <c r="AW652" s="56">
        <f>IF($AS652=1,IF($S652="Win",N(AW651)+1,IF($S652="Loss",0,N(AW651))),N(AW651))</f>
        <v>5</v>
      </c>
      <c r="AX652" s="56">
        <f>IF($AS652=1,IF($S652="Loss",N(AX651)+1,IF($S652="Win",0,N(AX651))),N(AX651))</f>
        <v>0</v>
      </c>
      <c r="AY652" s="56" t="str">
        <f>IF($AS652=1,COUNTIF($AS$6:$AS652,1),"")</f>
        <v/>
      </c>
      <c r="AZ652" s="56">
        <f>MIN(646,N(Lists!$W$8))</f>
        <v>28</v>
      </c>
      <c r="BA652" s="56">
        <f>IF($AS652=1,IF(COUNTIFS($A$6:$A652,$A652,$AS$6:$AS652,1)=1,1,0),0)</f>
        <v>0</v>
      </c>
      <c r="BB652" s="55" t="str">
        <f>IF($BA652=1,SUMIFS($Q$6:$Q$1005,$A$6:$A$1005,$A652,$AS$6:$AS$1005,1),"")</f>
        <v/>
      </c>
      <c r="BC652" s="56">
        <f>IF(ISNUMBER($R652),1,0)</f>
        <v>0</v>
      </c>
      <c r="BD652" s="55" t="str">
        <f>IF(ISNUMBER($U652),$U652*$V652,"")</f>
        <v/>
      </c>
      <c r="BE652" s="56" t="str">
        <f>IF($AM652=0,"",IFERROR(MATCH($AF652&amp;"|"&amp;UPPER(TRIM($E652)),Lists!$A$6:$A$205,0),0))</f>
        <v/>
      </c>
      <c r="BF652" s="56" t="str">
        <f>IF($AM652=0,"",IFERROR(MATCH($AF652,Settings!$B$14:$B$18,0),IFERROR(MATCH(Settings!$C$6,Settings!$B$14:$B$18,0),1)))</f>
        <v/>
      </c>
      <c r="BG652" s="58" t="str">
        <f>IF($AM652=0,"",IF(NOT(ISNUMBER($I652)),"No stop; ","")&amp;IF(AND(ISNUMBER($H652),ISNUMBER($I652)),IF(OR(AND($F652&lt;&gt;"Short",$I652&gt;=$H652),AND($F652="Short",$I652&lt;=$H652)),"Stop on wrong side; ",""),"")&amp;IF($F652="","No direction; ","")&amp;IF(AND(ISNUMBER(Settings!$C$22),ISNUMBER($V652)),IF($V652&gt;Settings!$C$22,"Risk over max $; ",""),"")&amp;IF(AND(ISNUMBER(Settings!$C$23),ISNUMBER($V652),ISNUMBER($AP652),IFERROR(N(INDEX(Accounts!$E$7:$E$16,MATCH($C652,Accounts!$B$7:$B$16,0))),0)&gt;0),IF($V652&gt;Settings!$C$23*($AP652-N($Q652)),"Risk over max %; ",""),"")&amp;IF(AND(ISNUMBER(Settings!$C$24),ISNUMBER($N652)),IF($N652&gt;Settings!$C$24,"Leverage over max; ",""),"")&amp;IF(AND(ISNUMBER(Settings!$C$27),ISNUMBER($T652)),IF($T652&lt;Settings!$C$27,"R:R below min; ",""),"")&amp;IF(ISNUMBER(Settings!$C$25),IF(COUNTIFS($A$6:$A652,$A652,$AM$6:$AM652,1)&gt;Settings!$C$25,"Over max trades/day; ",""),"")&amp;IF(ISNUMBER(Settings!$C$26),IF(SUMIFS($Q$5:$Q651,$A$5:$A651,$A652)&lt;=-Settings!$C$26,"Traded after daily max loss; ",""),"")&amp;IF(AND($AG652="",NOT(ISNUMBER($O652))),"Symbol not in Instruments; ","")&amp;IF(AND($AH652="",NOT(ISNUMBER($O652))),"Forex cross: type Gross P&amp;L; ",""))</f>
        <v/>
      </c>
      <c r="BH652" s="56">
        <f>IF(ISNUMBER($Q652),1,0)</f>
        <v>0</v>
      </c>
      <c r="BI652" s="56">
        <f>IF($Y652="",0,1)</f>
        <v>0</v>
      </c>
      <c r="BJ652" s="56">
        <f>IF($AB652="",0,1)</f>
        <v>0</v>
      </c>
      <c r="BK652" s="56">
        <f>IF(AND($BH652=1,$W652&lt;&gt;"OK"),1,0)</f>
        <v>0</v>
      </c>
      <c r="BL652" s="55">
        <f>IF(N($AZ652)=0,0,IFERROR(INDEX($AT$6:$AT$1005,MATCH($AZ652,$AY$6:$AY$1005,0)),0))</f>
        <v>1187.10688</v>
      </c>
      <c r="BM652" s="56">
        <f>IF(ISNUMBER(SEARCH("daily max loss",$BG652)),1,0)</f>
        <v>0</v>
      </c>
    </row>
    <row r="653" ht="18" customHeight="1">
      <c r="A653" s="38" t="n"/>
      <c r="B653" s="39" t="n"/>
      <c r="C653" s="40" t="n"/>
      <c r="D653" s="41" t="n"/>
      <c r="E653" s="41" t="n"/>
      <c r="F653" s="41" t="n"/>
      <c r="G653" s="41" t="n"/>
      <c r="H653" s="42" t="n"/>
      <c r="I653" s="42" t="n"/>
      <c r="J653" s="42" t="n"/>
      <c r="K653" s="42" t="n"/>
      <c r="L653" s="41" t="n"/>
      <c r="M653" s="41" t="n"/>
      <c r="N653" s="41" t="n"/>
      <c r="O653" s="43" t="n"/>
      <c r="P653" s="43" t="n"/>
      <c r="Q653" s="44" t="str">
        <f>IF($AM653=0,"",IF(ISNUMBER($AK653),$AK653-N($AL653),""))</f>
        <v/>
      </c>
      <c r="R653" s="45" t="str">
        <f>IF(OR($Q653="",NOT(ISNUMBER($V653))),"",$AK653/$V653)</f>
        <v/>
      </c>
      <c r="S653" s="46" t="str">
        <f>IF($Q653="","",IF(AND(ISNUMBER($R653),ABS(N($R653))&lt;N(Settings!$C$8)),"Scratch",IF($Q653&gt;0,"Win",IF($Q653&lt;0,"Loss","Scratch"))))</f>
        <v/>
      </c>
      <c r="T653" s="47" t="str">
        <f>IF(OR($AM653=0,NOT(ISNUMBER($H653)),NOT(ISNUMBER($I653)),NOT(ISNUMBER($J653))),"",IF($H653=$I653,"",ROUND(ABS($J653-$H653)/ABS($H653-$I653),6)))</f>
        <v/>
      </c>
      <c r="U653" s="48" t="str">
        <f>IF(OR($S653&lt;&gt;"Win",NOT(ISNUMBER($T653)),NOT(ISNUMBER($R653))),"",MAX(0,$T653-$R653))</f>
        <v/>
      </c>
      <c r="V653" s="49" t="str">
        <f>IF(OR($AM653=0,NOT(ISNUMBER($H653)),NOT(ISNUMBER($I653)),NOT(ISNUMBER($G653))),"",IF(OR($AG653="",$AH653=""),"",IF(ROUND(ABS($H653-$I653)*ABS($G653)*$AG653*$AH653,6)=0,"",ROUND(ABS($H653-$I653)*ABS($G653)*$AG653*$AH653,6))))</f>
        <v/>
      </c>
      <c r="W653" s="50" t="str">
        <f>IF($AM653=0,"",IF($BG653="","OK",LEFT($BG653,LEN($BG653)-2)))</f>
        <v/>
      </c>
      <c r="X653" s="41" t="n"/>
      <c r="Y653" s="40" t="n"/>
      <c r="Z653" s="41" t="n"/>
      <c r="AA653" s="41" t="n"/>
      <c r="AB653" s="40" t="n"/>
      <c r="AC653" s="51" t="n"/>
      <c r="AD653" s="51" t="n"/>
      <c r="AE653" s="40" t="n"/>
      <c r="AF653" s="52" t="str">
        <f>IF($AM653=0,"",IF($D653&lt;&gt;"",$D653,IF(IFERROR(INDEX(Accounts!$C$7:$C$16,MATCH($C653,Accounts!$B$7:$B$16,0))&amp;"","")&lt;&gt;"",INDEX(Accounts!$C$7:$C$16,MATCH($C653,Accounts!$B$7:$B$16,0)),Settings!$C$6)))</f>
        <v/>
      </c>
      <c r="AG653" s="53" t="str">
        <f>IF($AM653=0,"",IF(AND($BE653&gt;0,N(INDEX(Instruments!$D$6:$D$205,MAX(1,$BE653)))&gt;0),INDEX(Instruments!$D$6:$D$205,MAX(1,$BE653)),IF(N(INDEX(Settings!$D$14:$D$18,$BF653))&gt;0,INDEX(Settings!$D$14:$D$18,$BF653),"")))</f>
        <v/>
      </c>
      <c r="AH653" s="54" t="str">
        <f>IF($AM653=0,"",IF($AF653&lt;&gt;"Forex",1,IF(MID(UPPER(SUBSTITUTE(TRIM($E653),"/","")),4,3)=UPPER(TRIM(Settings!$C$7)),1,IF(LEFT(UPPER(SUBSTITUTE(TRIM($E653),"/","")),3)=UPPER(TRIM(Settings!$C$7)),IF(AND(ISNUMBER($K653),N($K653)&lt;&gt;0),1/$K653,""),""))))</f>
        <v/>
      </c>
      <c r="AI653" s="55" t="str">
        <f>IF($AM653=0,"",IF(OR(NOT(ISNUMBER($H653)),NOT(ISNUMBER($K653)),NOT(ISNUMBER($G653)),$AG653="",$AH653=""),"",ROUND(($K653-$H653)*IF($F653="Short",-1,1)*$G653*$AG653*$AH653,6)))</f>
        <v/>
      </c>
      <c r="AJ653" s="55" t="str">
        <f>IF($AM653=0,"",IF(INDEX(Settings!$E$14:$E$18,$BF653)="% of notional",IF(OR($AG653="",NOT(ISNUMBER($H653)),NOT(ISNUMBER($G653))),"",ROUND(ABS($H653*$G653*$AG653*N($AH653))*IF($L653="Limit",N(INDEX(Settings!$G$14:$G$18,$BF653)),N(INDEX(Settings!$H$14:$H$18,$BF653)))+IF(ISNUMBER($K653),ABS($K653*$G653*$AG653*N($AH653))*IF($M653="Target",N(INDEX(Settings!$G$14:$G$18,$BF653)),N(INDEX(Settings!$H$14:$H$18,$BF653))),0),6)),IF(NOT(ISNUMBER($G653)),"",ROUND(ABS($G653)*2*IF(AND($BE653&gt;0,ISNUMBER(INDEX(Instruments!$G$6:$G$205,MAX(1,$BE653)))),INDEX(Instruments!$G$6:$G$205,MAX(1,$BE653)),N(INDEX(Settings!$F$14:$F$18,$BF653))),6))))</f>
        <v/>
      </c>
      <c r="AK653" s="55" t="str">
        <f>IF($AM653=0,"",IF(ISNUMBER($O653),$O653,$AI653))</f>
        <v/>
      </c>
      <c r="AL653" s="55" t="str">
        <f>IF($AM653=0,"",IF(ISNUMBER($P653),$P653,N($AJ653)))</f>
        <v/>
      </c>
      <c r="AM653" s="56">
        <f>IF(AND($A653&lt;&gt;"",$E653&lt;&gt;"",OR(AND(ISNUMBER($G653),ISNUMBER($H653),ISNUMBER($K653)),ISNUMBER($O653))),1,0)</f>
        <v>0</v>
      </c>
      <c r="AN653" s="57" t="str">
        <f>IF($A653="","",$A653-WEEKDAY($A653,3))</f>
        <v/>
      </c>
      <c r="AO653" s="56" t="str">
        <f>IF($A653="","",WEEKDAY($A653,2))</f>
        <v/>
      </c>
      <c r="AP653" s="55" t="str">
        <f>IF(OR($AM653=0,$C653=""),"",IFERROR(N(INDEX(Accounts!$E$7:$E$16,MATCH($C653,Accounts!$B$7:$B$16,0))),0)+SUMIFS($Q$6:$Q653,$C$6:$C653,$C653))</f>
        <v/>
      </c>
      <c r="AQ653" s="55" t="str">
        <f>IF(OR($AM653=0,$C653=""),"",SUMIFS($Q$6:$Q$1005,$C$6:$C$1005,$C653,$A$6:$A$1005,$A653))</f>
        <v/>
      </c>
      <c r="AR653" s="55" t="str">
        <f>IF(OR($AM653=0,$C653=""),"",IFERROR(N(INDEX(Accounts!$E$7:$E$16,MATCH($C653,Accounts!$B$7:$B$16,0))),0)+SUMIFS($Q$6:$Q$1005,$C$6:$C$1005,$C653,$A$6:$A$1005,"&lt;="&amp;$A653))</f>
        <v/>
      </c>
      <c r="AS653" s="56">
        <f>IF(OR($AM653=0,$Q653=""),0,IF(AND($A653&gt;=Lists!$W$6,$A653&lt;=Lists!$W$7,OR(Dashboard!$D$6="All accounts",$C653=Dashboard!$D$6),OR(Dashboard!$D$7="All markets",$AF653=Dashboard!$D$7)),1,0))</f>
        <v>0</v>
      </c>
      <c r="AT653" s="55">
        <f>IF($AS653=1,N(AT652)+$Q653,N(AT652))</f>
        <v>1187.10688</v>
      </c>
      <c r="AU653" s="55">
        <f>MAX(N(AU652),$AT653)</f>
        <v>1187.10688</v>
      </c>
      <c r="AV653" s="55">
        <f>$AT653-$AU653</f>
        <v>0</v>
      </c>
      <c r="AW653" s="56">
        <f>IF($AS653=1,IF($S653="Win",N(AW652)+1,IF($S653="Loss",0,N(AW652))),N(AW652))</f>
        <v>5</v>
      </c>
      <c r="AX653" s="56">
        <f>IF($AS653=1,IF($S653="Loss",N(AX652)+1,IF($S653="Win",0,N(AX652))),N(AX652))</f>
        <v>0</v>
      </c>
      <c r="AY653" s="56" t="str">
        <f>IF($AS653=1,COUNTIF($AS$6:$AS653,1),"")</f>
        <v/>
      </c>
      <c r="AZ653" s="56">
        <f>MIN(647,N(Lists!$W$8))</f>
        <v>28</v>
      </c>
      <c r="BA653" s="56">
        <f>IF($AS653=1,IF(COUNTIFS($A$6:$A653,$A653,$AS$6:$AS653,1)=1,1,0),0)</f>
        <v>0</v>
      </c>
      <c r="BB653" s="55" t="str">
        <f>IF($BA653=1,SUMIFS($Q$6:$Q$1005,$A$6:$A$1005,$A653,$AS$6:$AS$1005,1),"")</f>
        <v/>
      </c>
      <c r="BC653" s="56">
        <f>IF(ISNUMBER($R653),1,0)</f>
        <v>0</v>
      </c>
      <c r="BD653" s="55" t="str">
        <f>IF(ISNUMBER($U653),$U653*$V653,"")</f>
        <v/>
      </c>
      <c r="BE653" s="56" t="str">
        <f>IF($AM653=0,"",IFERROR(MATCH($AF653&amp;"|"&amp;UPPER(TRIM($E653)),Lists!$A$6:$A$205,0),0))</f>
        <v/>
      </c>
      <c r="BF653" s="56" t="str">
        <f>IF($AM653=0,"",IFERROR(MATCH($AF653,Settings!$B$14:$B$18,0),IFERROR(MATCH(Settings!$C$6,Settings!$B$14:$B$18,0),1)))</f>
        <v/>
      </c>
      <c r="BG653" s="58" t="str">
        <f>IF($AM653=0,"",IF(NOT(ISNUMBER($I653)),"No stop; ","")&amp;IF(AND(ISNUMBER($H653),ISNUMBER($I653)),IF(OR(AND($F653&lt;&gt;"Short",$I653&gt;=$H653),AND($F653="Short",$I653&lt;=$H653)),"Stop on wrong side; ",""),"")&amp;IF($F653="","No direction; ","")&amp;IF(AND(ISNUMBER(Settings!$C$22),ISNUMBER($V653)),IF($V653&gt;Settings!$C$22,"Risk over max $; ",""),"")&amp;IF(AND(ISNUMBER(Settings!$C$23),ISNUMBER($V653),ISNUMBER($AP653),IFERROR(N(INDEX(Accounts!$E$7:$E$16,MATCH($C653,Accounts!$B$7:$B$16,0))),0)&gt;0),IF($V653&gt;Settings!$C$23*($AP653-N($Q653)),"Risk over max %; ",""),"")&amp;IF(AND(ISNUMBER(Settings!$C$24),ISNUMBER($N653)),IF($N653&gt;Settings!$C$24,"Leverage over max; ",""),"")&amp;IF(AND(ISNUMBER(Settings!$C$27),ISNUMBER($T653)),IF($T653&lt;Settings!$C$27,"R:R below min; ",""),"")&amp;IF(ISNUMBER(Settings!$C$25),IF(COUNTIFS($A$6:$A653,$A653,$AM$6:$AM653,1)&gt;Settings!$C$25,"Over max trades/day; ",""),"")&amp;IF(ISNUMBER(Settings!$C$26),IF(SUMIFS($Q$5:$Q652,$A$5:$A652,$A653)&lt;=-Settings!$C$26,"Traded after daily max loss; ",""),"")&amp;IF(AND($AG653="",NOT(ISNUMBER($O653))),"Symbol not in Instruments; ","")&amp;IF(AND($AH653="",NOT(ISNUMBER($O653))),"Forex cross: type Gross P&amp;L; ",""))</f>
        <v/>
      </c>
      <c r="BH653" s="56">
        <f>IF(ISNUMBER($Q653),1,0)</f>
        <v>0</v>
      </c>
      <c r="BI653" s="56">
        <f>IF($Y653="",0,1)</f>
        <v>0</v>
      </c>
      <c r="BJ653" s="56">
        <f>IF($AB653="",0,1)</f>
        <v>0</v>
      </c>
      <c r="BK653" s="56">
        <f>IF(AND($BH653=1,$W653&lt;&gt;"OK"),1,0)</f>
        <v>0</v>
      </c>
      <c r="BL653" s="55">
        <f>IF(N($AZ653)=0,0,IFERROR(INDEX($AT$6:$AT$1005,MATCH($AZ653,$AY$6:$AY$1005,0)),0))</f>
        <v>1187.10688</v>
      </c>
      <c r="BM653" s="56">
        <f>IF(ISNUMBER(SEARCH("daily max loss",$BG653)),1,0)</f>
        <v>0</v>
      </c>
    </row>
    <row r="654" ht="18" customHeight="1">
      <c r="A654" s="38" t="n"/>
      <c r="B654" s="39" t="n"/>
      <c r="C654" s="40" t="n"/>
      <c r="D654" s="41" t="n"/>
      <c r="E654" s="41" t="n"/>
      <c r="F654" s="41" t="n"/>
      <c r="G654" s="41" t="n"/>
      <c r="H654" s="42" t="n"/>
      <c r="I654" s="42" t="n"/>
      <c r="J654" s="42" t="n"/>
      <c r="K654" s="42" t="n"/>
      <c r="L654" s="41" t="n"/>
      <c r="M654" s="41" t="n"/>
      <c r="N654" s="41" t="n"/>
      <c r="O654" s="43" t="n"/>
      <c r="P654" s="43" t="n"/>
      <c r="Q654" s="44" t="str">
        <f>IF($AM654=0,"",IF(ISNUMBER($AK654),$AK654-N($AL654),""))</f>
        <v/>
      </c>
      <c r="R654" s="45" t="str">
        <f>IF(OR($Q654="",NOT(ISNUMBER($V654))),"",$AK654/$V654)</f>
        <v/>
      </c>
      <c r="S654" s="46" t="str">
        <f>IF($Q654="","",IF(AND(ISNUMBER($R654),ABS(N($R654))&lt;N(Settings!$C$8)),"Scratch",IF($Q654&gt;0,"Win",IF($Q654&lt;0,"Loss","Scratch"))))</f>
        <v/>
      </c>
      <c r="T654" s="47" t="str">
        <f>IF(OR($AM654=0,NOT(ISNUMBER($H654)),NOT(ISNUMBER($I654)),NOT(ISNUMBER($J654))),"",IF($H654=$I654,"",ROUND(ABS($J654-$H654)/ABS($H654-$I654),6)))</f>
        <v/>
      </c>
      <c r="U654" s="48" t="str">
        <f>IF(OR($S654&lt;&gt;"Win",NOT(ISNUMBER($T654)),NOT(ISNUMBER($R654))),"",MAX(0,$T654-$R654))</f>
        <v/>
      </c>
      <c r="V654" s="49" t="str">
        <f>IF(OR($AM654=0,NOT(ISNUMBER($H654)),NOT(ISNUMBER($I654)),NOT(ISNUMBER($G654))),"",IF(OR($AG654="",$AH654=""),"",IF(ROUND(ABS($H654-$I654)*ABS($G654)*$AG654*$AH654,6)=0,"",ROUND(ABS($H654-$I654)*ABS($G654)*$AG654*$AH654,6))))</f>
        <v/>
      </c>
      <c r="W654" s="50" t="str">
        <f>IF($AM654=0,"",IF($BG654="","OK",LEFT($BG654,LEN($BG654)-2)))</f>
        <v/>
      </c>
      <c r="X654" s="41" t="n"/>
      <c r="Y654" s="40" t="n"/>
      <c r="Z654" s="41" t="n"/>
      <c r="AA654" s="41" t="n"/>
      <c r="AB654" s="40" t="n"/>
      <c r="AC654" s="51" t="n"/>
      <c r="AD654" s="51" t="n"/>
      <c r="AE654" s="40" t="n"/>
      <c r="AF654" s="52" t="str">
        <f>IF($AM654=0,"",IF($D654&lt;&gt;"",$D654,IF(IFERROR(INDEX(Accounts!$C$7:$C$16,MATCH($C654,Accounts!$B$7:$B$16,0))&amp;"","")&lt;&gt;"",INDEX(Accounts!$C$7:$C$16,MATCH($C654,Accounts!$B$7:$B$16,0)),Settings!$C$6)))</f>
        <v/>
      </c>
      <c r="AG654" s="53" t="str">
        <f>IF($AM654=0,"",IF(AND($BE654&gt;0,N(INDEX(Instruments!$D$6:$D$205,MAX(1,$BE654)))&gt;0),INDEX(Instruments!$D$6:$D$205,MAX(1,$BE654)),IF(N(INDEX(Settings!$D$14:$D$18,$BF654))&gt;0,INDEX(Settings!$D$14:$D$18,$BF654),"")))</f>
        <v/>
      </c>
      <c r="AH654" s="54" t="str">
        <f>IF($AM654=0,"",IF($AF654&lt;&gt;"Forex",1,IF(MID(UPPER(SUBSTITUTE(TRIM($E654),"/","")),4,3)=UPPER(TRIM(Settings!$C$7)),1,IF(LEFT(UPPER(SUBSTITUTE(TRIM($E654),"/","")),3)=UPPER(TRIM(Settings!$C$7)),IF(AND(ISNUMBER($K654),N($K654)&lt;&gt;0),1/$K654,""),""))))</f>
        <v/>
      </c>
      <c r="AI654" s="55" t="str">
        <f>IF($AM654=0,"",IF(OR(NOT(ISNUMBER($H654)),NOT(ISNUMBER($K654)),NOT(ISNUMBER($G654)),$AG654="",$AH654=""),"",ROUND(($K654-$H654)*IF($F654="Short",-1,1)*$G654*$AG654*$AH654,6)))</f>
        <v/>
      </c>
      <c r="AJ654" s="55" t="str">
        <f>IF($AM654=0,"",IF(INDEX(Settings!$E$14:$E$18,$BF654)="% of notional",IF(OR($AG654="",NOT(ISNUMBER($H654)),NOT(ISNUMBER($G654))),"",ROUND(ABS($H654*$G654*$AG654*N($AH654))*IF($L654="Limit",N(INDEX(Settings!$G$14:$G$18,$BF654)),N(INDEX(Settings!$H$14:$H$18,$BF654)))+IF(ISNUMBER($K654),ABS($K654*$G654*$AG654*N($AH654))*IF($M654="Target",N(INDEX(Settings!$G$14:$G$18,$BF654)),N(INDEX(Settings!$H$14:$H$18,$BF654))),0),6)),IF(NOT(ISNUMBER($G654)),"",ROUND(ABS($G654)*2*IF(AND($BE654&gt;0,ISNUMBER(INDEX(Instruments!$G$6:$G$205,MAX(1,$BE654)))),INDEX(Instruments!$G$6:$G$205,MAX(1,$BE654)),N(INDEX(Settings!$F$14:$F$18,$BF654))),6))))</f>
        <v/>
      </c>
      <c r="AK654" s="55" t="str">
        <f>IF($AM654=0,"",IF(ISNUMBER($O654),$O654,$AI654))</f>
        <v/>
      </c>
      <c r="AL654" s="55" t="str">
        <f>IF($AM654=0,"",IF(ISNUMBER($P654),$P654,N($AJ654)))</f>
        <v/>
      </c>
      <c r="AM654" s="56">
        <f>IF(AND($A654&lt;&gt;"",$E654&lt;&gt;"",OR(AND(ISNUMBER($G654),ISNUMBER($H654),ISNUMBER($K654)),ISNUMBER($O654))),1,0)</f>
        <v>0</v>
      </c>
      <c r="AN654" s="57" t="str">
        <f>IF($A654="","",$A654-WEEKDAY($A654,3))</f>
        <v/>
      </c>
      <c r="AO654" s="56" t="str">
        <f>IF($A654="","",WEEKDAY($A654,2))</f>
        <v/>
      </c>
      <c r="AP654" s="55" t="str">
        <f>IF(OR($AM654=0,$C654=""),"",IFERROR(N(INDEX(Accounts!$E$7:$E$16,MATCH($C654,Accounts!$B$7:$B$16,0))),0)+SUMIFS($Q$6:$Q654,$C$6:$C654,$C654))</f>
        <v/>
      </c>
      <c r="AQ654" s="55" t="str">
        <f>IF(OR($AM654=0,$C654=""),"",SUMIFS($Q$6:$Q$1005,$C$6:$C$1005,$C654,$A$6:$A$1005,$A654))</f>
        <v/>
      </c>
      <c r="AR654" s="55" t="str">
        <f>IF(OR($AM654=0,$C654=""),"",IFERROR(N(INDEX(Accounts!$E$7:$E$16,MATCH($C654,Accounts!$B$7:$B$16,0))),0)+SUMIFS($Q$6:$Q$1005,$C$6:$C$1005,$C654,$A$6:$A$1005,"&lt;="&amp;$A654))</f>
        <v/>
      </c>
      <c r="AS654" s="56">
        <f>IF(OR($AM654=0,$Q654=""),0,IF(AND($A654&gt;=Lists!$W$6,$A654&lt;=Lists!$W$7,OR(Dashboard!$D$6="All accounts",$C654=Dashboard!$D$6),OR(Dashboard!$D$7="All markets",$AF654=Dashboard!$D$7)),1,0))</f>
        <v>0</v>
      </c>
      <c r="AT654" s="55">
        <f>IF($AS654=1,N(AT653)+$Q654,N(AT653))</f>
        <v>1187.10688</v>
      </c>
      <c r="AU654" s="55">
        <f>MAX(N(AU653),$AT654)</f>
        <v>1187.10688</v>
      </c>
      <c r="AV654" s="55">
        <f>$AT654-$AU654</f>
        <v>0</v>
      </c>
      <c r="AW654" s="56">
        <f>IF($AS654=1,IF($S654="Win",N(AW653)+1,IF($S654="Loss",0,N(AW653))),N(AW653))</f>
        <v>5</v>
      </c>
      <c r="AX654" s="56">
        <f>IF($AS654=1,IF($S654="Loss",N(AX653)+1,IF($S654="Win",0,N(AX653))),N(AX653))</f>
        <v>0</v>
      </c>
      <c r="AY654" s="56" t="str">
        <f>IF($AS654=1,COUNTIF($AS$6:$AS654,1),"")</f>
        <v/>
      </c>
      <c r="AZ654" s="56">
        <f>MIN(648,N(Lists!$W$8))</f>
        <v>28</v>
      </c>
      <c r="BA654" s="56">
        <f>IF($AS654=1,IF(COUNTIFS($A$6:$A654,$A654,$AS$6:$AS654,1)=1,1,0),0)</f>
        <v>0</v>
      </c>
      <c r="BB654" s="55" t="str">
        <f>IF($BA654=1,SUMIFS($Q$6:$Q$1005,$A$6:$A$1005,$A654,$AS$6:$AS$1005,1),"")</f>
        <v/>
      </c>
      <c r="BC654" s="56">
        <f>IF(ISNUMBER($R654),1,0)</f>
        <v>0</v>
      </c>
      <c r="BD654" s="55" t="str">
        <f>IF(ISNUMBER($U654),$U654*$V654,"")</f>
        <v/>
      </c>
      <c r="BE654" s="56" t="str">
        <f>IF($AM654=0,"",IFERROR(MATCH($AF654&amp;"|"&amp;UPPER(TRIM($E654)),Lists!$A$6:$A$205,0),0))</f>
        <v/>
      </c>
      <c r="BF654" s="56" t="str">
        <f>IF($AM654=0,"",IFERROR(MATCH($AF654,Settings!$B$14:$B$18,0),IFERROR(MATCH(Settings!$C$6,Settings!$B$14:$B$18,0),1)))</f>
        <v/>
      </c>
      <c r="BG654" s="58" t="str">
        <f>IF($AM654=0,"",IF(NOT(ISNUMBER($I654)),"No stop; ","")&amp;IF(AND(ISNUMBER($H654),ISNUMBER($I654)),IF(OR(AND($F654&lt;&gt;"Short",$I654&gt;=$H654),AND($F654="Short",$I654&lt;=$H654)),"Stop on wrong side; ",""),"")&amp;IF($F654="","No direction; ","")&amp;IF(AND(ISNUMBER(Settings!$C$22),ISNUMBER($V654)),IF($V654&gt;Settings!$C$22,"Risk over max $; ",""),"")&amp;IF(AND(ISNUMBER(Settings!$C$23),ISNUMBER($V654),ISNUMBER($AP654),IFERROR(N(INDEX(Accounts!$E$7:$E$16,MATCH($C654,Accounts!$B$7:$B$16,0))),0)&gt;0),IF($V654&gt;Settings!$C$23*($AP654-N($Q654)),"Risk over max %; ",""),"")&amp;IF(AND(ISNUMBER(Settings!$C$24),ISNUMBER($N654)),IF($N654&gt;Settings!$C$24,"Leverage over max; ",""),"")&amp;IF(AND(ISNUMBER(Settings!$C$27),ISNUMBER($T654)),IF($T654&lt;Settings!$C$27,"R:R below min; ",""),"")&amp;IF(ISNUMBER(Settings!$C$25),IF(COUNTIFS($A$6:$A654,$A654,$AM$6:$AM654,1)&gt;Settings!$C$25,"Over max trades/day; ",""),"")&amp;IF(ISNUMBER(Settings!$C$26),IF(SUMIFS($Q$5:$Q653,$A$5:$A653,$A654)&lt;=-Settings!$C$26,"Traded after daily max loss; ",""),"")&amp;IF(AND($AG654="",NOT(ISNUMBER($O654))),"Symbol not in Instruments; ","")&amp;IF(AND($AH654="",NOT(ISNUMBER($O654))),"Forex cross: type Gross P&amp;L; ",""))</f>
        <v/>
      </c>
      <c r="BH654" s="56">
        <f>IF(ISNUMBER($Q654),1,0)</f>
        <v>0</v>
      </c>
      <c r="BI654" s="56">
        <f>IF($Y654="",0,1)</f>
        <v>0</v>
      </c>
      <c r="BJ654" s="56">
        <f>IF($AB654="",0,1)</f>
        <v>0</v>
      </c>
      <c r="BK654" s="56">
        <f>IF(AND($BH654=1,$W654&lt;&gt;"OK"),1,0)</f>
        <v>0</v>
      </c>
      <c r="BL654" s="55">
        <f>IF(N($AZ654)=0,0,IFERROR(INDEX($AT$6:$AT$1005,MATCH($AZ654,$AY$6:$AY$1005,0)),0))</f>
        <v>1187.10688</v>
      </c>
      <c r="BM654" s="56">
        <f>IF(ISNUMBER(SEARCH("daily max loss",$BG654)),1,0)</f>
        <v>0</v>
      </c>
    </row>
    <row r="655" ht="18" customHeight="1">
      <c r="A655" s="38" t="n"/>
      <c r="B655" s="39" t="n"/>
      <c r="C655" s="40" t="n"/>
      <c r="D655" s="41" t="n"/>
      <c r="E655" s="41" t="n"/>
      <c r="F655" s="41" t="n"/>
      <c r="G655" s="41" t="n"/>
      <c r="H655" s="42" t="n"/>
      <c r="I655" s="42" t="n"/>
      <c r="J655" s="42" t="n"/>
      <c r="K655" s="42" t="n"/>
      <c r="L655" s="41" t="n"/>
      <c r="M655" s="41" t="n"/>
      <c r="N655" s="41" t="n"/>
      <c r="O655" s="43" t="n"/>
      <c r="P655" s="43" t="n"/>
      <c r="Q655" s="44" t="str">
        <f>IF($AM655=0,"",IF(ISNUMBER($AK655),$AK655-N($AL655),""))</f>
        <v/>
      </c>
      <c r="R655" s="45" t="str">
        <f>IF(OR($Q655="",NOT(ISNUMBER($V655))),"",$AK655/$V655)</f>
        <v/>
      </c>
      <c r="S655" s="46" t="str">
        <f>IF($Q655="","",IF(AND(ISNUMBER($R655),ABS(N($R655))&lt;N(Settings!$C$8)),"Scratch",IF($Q655&gt;0,"Win",IF($Q655&lt;0,"Loss","Scratch"))))</f>
        <v/>
      </c>
      <c r="T655" s="47" t="str">
        <f>IF(OR($AM655=0,NOT(ISNUMBER($H655)),NOT(ISNUMBER($I655)),NOT(ISNUMBER($J655))),"",IF($H655=$I655,"",ROUND(ABS($J655-$H655)/ABS($H655-$I655),6)))</f>
        <v/>
      </c>
      <c r="U655" s="48" t="str">
        <f>IF(OR($S655&lt;&gt;"Win",NOT(ISNUMBER($T655)),NOT(ISNUMBER($R655))),"",MAX(0,$T655-$R655))</f>
        <v/>
      </c>
      <c r="V655" s="49" t="str">
        <f>IF(OR($AM655=0,NOT(ISNUMBER($H655)),NOT(ISNUMBER($I655)),NOT(ISNUMBER($G655))),"",IF(OR($AG655="",$AH655=""),"",IF(ROUND(ABS($H655-$I655)*ABS($G655)*$AG655*$AH655,6)=0,"",ROUND(ABS($H655-$I655)*ABS($G655)*$AG655*$AH655,6))))</f>
        <v/>
      </c>
      <c r="W655" s="50" t="str">
        <f>IF($AM655=0,"",IF($BG655="","OK",LEFT($BG655,LEN($BG655)-2)))</f>
        <v/>
      </c>
      <c r="X655" s="41" t="n"/>
      <c r="Y655" s="40" t="n"/>
      <c r="Z655" s="41" t="n"/>
      <c r="AA655" s="41" t="n"/>
      <c r="AB655" s="40" t="n"/>
      <c r="AC655" s="51" t="n"/>
      <c r="AD655" s="51" t="n"/>
      <c r="AE655" s="40" t="n"/>
      <c r="AF655" s="52" t="str">
        <f>IF($AM655=0,"",IF($D655&lt;&gt;"",$D655,IF(IFERROR(INDEX(Accounts!$C$7:$C$16,MATCH($C655,Accounts!$B$7:$B$16,0))&amp;"","")&lt;&gt;"",INDEX(Accounts!$C$7:$C$16,MATCH($C655,Accounts!$B$7:$B$16,0)),Settings!$C$6)))</f>
        <v/>
      </c>
      <c r="AG655" s="53" t="str">
        <f>IF($AM655=0,"",IF(AND($BE655&gt;0,N(INDEX(Instruments!$D$6:$D$205,MAX(1,$BE655)))&gt;0),INDEX(Instruments!$D$6:$D$205,MAX(1,$BE655)),IF(N(INDEX(Settings!$D$14:$D$18,$BF655))&gt;0,INDEX(Settings!$D$14:$D$18,$BF655),"")))</f>
        <v/>
      </c>
      <c r="AH655" s="54" t="str">
        <f>IF($AM655=0,"",IF($AF655&lt;&gt;"Forex",1,IF(MID(UPPER(SUBSTITUTE(TRIM($E655),"/","")),4,3)=UPPER(TRIM(Settings!$C$7)),1,IF(LEFT(UPPER(SUBSTITUTE(TRIM($E655),"/","")),3)=UPPER(TRIM(Settings!$C$7)),IF(AND(ISNUMBER($K655),N($K655)&lt;&gt;0),1/$K655,""),""))))</f>
        <v/>
      </c>
      <c r="AI655" s="55" t="str">
        <f>IF($AM655=0,"",IF(OR(NOT(ISNUMBER($H655)),NOT(ISNUMBER($K655)),NOT(ISNUMBER($G655)),$AG655="",$AH655=""),"",ROUND(($K655-$H655)*IF($F655="Short",-1,1)*$G655*$AG655*$AH655,6)))</f>
        <v/>
      </c>
      <c r="AJ655" s="55" t="str">
        <f>IF($AM655=0,"",IF(INDEX(Settings!$E$14:$E$18,$BF655)="% of notional",IF(OR($AG655="",NOT(ISNUMBER($H655)),NOT(ISNUMBER($G655))),"",ROUND(ABS($H655*$G655*$AG655*N($AH655))*IF($L655="Limit",N(INDEX(Settings!$G$14:$G$18,$BF655)),N(INDEX(Settings!$H$14:$H$18,$BF655)))+IF(ISNUMBER($K655),ABS($K655*$G655*$AG655*N($AH655))*IF($M655="Target",N(INDEX(Settings!$G$14:$G$18,$BF655)),N(INDEX(Settings!$H$14:$H$18,$BF655))),0),6)),IF(NOT(ISNUMBER($G655)),"",ROUND(ABS($G655)*2*IF(AND($BE655&gt;0,ISNUMBER(INDEX(Instruments!$G$6:$G$205,MAX(1,$BE655)))),INDEX(Instruments!$G$6:$G$205,MAX(1,$BE655)),N(INDEX(Settings!$F$14:$F$18,$BF655))),6))))</f>
        <v/>
      </c>
      <c r="AK655" s="55" t="str">
        <f>IF($AM655=0,"",IF(ISNUMBER($O655),$O655,$AI655))</f>
        <v/>
      </c>
      <c r="AL655" s="55" t="str">
        <f>IF($AM655=0,"",IF(ISNUMBER($P655),$P655,N($AJ655)))</f>
        <v/>
      </c>
      <c r="AM655" s="56">
        <f>IF(AND($A655&lt;&gt;"",$E655&lt;&gt;"",OR(AND(ISNUMBER($G655),ISNUMBER($H655),ISNUMBER($K655)),ISNUMBER($O655))),1,0)</f>
        <v>0</v>
      </c>
      <c r="AN655" s="57" t="str">
        <f>IF($A655="","",$A655-WEEKDAY($A655,3))</f>
        <v/>
      </c>
      <c r="AO655" s="56" t="str">
        <f>IF($A655="","",WEEKDAY($A655,2))</f>
        <v/>
      </c>
      <c r="AP655" s="55" t="str">
        <f>IF(OR($AM655=0,$C655=""),"",IFERROR(N(INDEX(Accounts!$E$7:$E$16,MATCH($C655,Accounts!$B$7:$B$16,0))),0)+SUMIFS($Q$6:$Q655,$C$6:$C655,$C655))</f>
        <v/>
      </c>
      <c r="AQ655" s="55" t="str">
        <f>IF(OR($AM655=0,$C655=""),"",SUMIFS($Q$6:$Q$1005,$C$6:$C$1005,$C655,$A$6:$A$1005,$A655))</f>
        <v/>
      </c>
      <c r="AR655" s="55" t="str">
        <f>IF(OR($AM655=0,$C655=""),"",IFERROR(N(INDEX(Accounts!$E$7:$E$16,MATCH($C655,Accounts!$B$7:$B$16,0))),0)+SUMIFS($Q$6:$Q$1005,$C$6:$C$1005,$C655,$A$6:$A$1005,"&lt;="&amp;$A655))</f>
        <v/>
      </c>
      <c r="AS655" s="56">
        <f>IF(OR($AM655=0,$Q655=""),0,IF(AND($A655&gt;=Lists!$W$6,$A655&lt;=Lists!$W$7,OR(Dashboard!$D$6="All accounts",$C655=Dashboard!$D$6),OR(Dashboard!$D$7="All markets",$AF655=Dashboard!$D$7)),1,0))</f>
        <v>0</v>
      </c>
      <c r="AT655" s="55">
        <f>IF($AS655=1,N(AT654)+$Q655,N(AT654))</f>
        <v>1187.10688</v>
      </c>
      <c r="AU655" s="55">
        <f>MAX(N(AU654),$AT655)</f>
        <v>1187.10688</v>
      </c>
      <c r="AV655" s="55">
        <f>$AT655-$AU655</f>
        <v>0</v>
      </c>
      <c r="AW655" s="56">
        <f>IF($AS655=1,IF($S655="Win",N(AW654)+1,IF($S655="Loss",0,N(AW654))),N(AW654))</f>
        <v>5</v>
      </c>
      <c r="AX655" s="56">
        <f>IF($AS655=1,IF($S655="Loss",N(AX654)+1,IF($S655="Win",0,N(AX654))),N(AX654))</f>
        <v>0</v>
      </c>
      <c r="AY655" s="56" t="str">
        <f>IF($AS655=1,COUNTIF($AS$6:$AS655,1),"")</f>
        <v/>
      </c>
      <c r="AZ655" s="56">
        <f>MIN(649,N(Lists!$W$8))</f>
        <v>28</v>
      </c>
      <c r="BA655" s="56">
        <f>IF($AS655=1,IF(COUNTIFS($A$6:$A655,$A655,$AS$6:$AS655,1)=1,1,0),0)</f>
        <v>0</v>
      </c>
      <c r="BB655" s="55" t="str">
        <f>IF($BA655=1,SUMIFS($Q$6:$Q$1005,$A$6:$A$1005,$A655,$AS$6:$AS$1005,1),"")</f>
        <v/>
      </c>
      <c r="BC655" s="56">
        <f>IF(ISNUMBER($R655),1,0)</f>
        <v>0</v>
      </c>
      <c r="BD655" s="55" t="str">
        <f>IF(ISNUMBER($U655),$U655*$V655,"")</f>
        <v/>
      </c>
      <c r="BE655" s="56" t="str">
        <f>IF($AM655=0,"",IFERROR(MATCH($AF655&amp;"|"&amp;UPPER(TRIM($E655)),Lists!$A$6:$A$205,0),0))</f>
        <v/>
      </c>
      <c r="BF655" s="56" t="str">
        <f>IF($AM655=0,"",IFERROR(MATCH($AF655,Settings!$B$14:$B$18,0),IFERROR(MATCH(Settings!$C$6,Settings!$B$14:$B$18,0),1)))</f>
        <v/>
      </c>
      <c r="BG655" s="58" t="str">
        <f>IF($AM655=0,"",IF(NOT(ISNUMBER($I655)),"No stop; ","")&amp;IF(AND(ISNUMBER($H655),ISNUMBER($I655)),IF(OR(AND($F655&lt;&gt;"Short",$I655&gt;=$H655),AND($F655="Short",$I655&lt;=$H655)),"Stop on wrong side; ",""),"")&amp;IF($F655="","No direction; ","")&amp;IF(AND(ISNUMBER(Settings!$C$22),ISNUMBER($V655)),IF($V655&gt;Settings!$C$22,"Risk over max $; ",""),"")&amp;IF(AND(ISNUMBER(Settings!$C$23),ISNUMBER($V655),ISNUMBER($AP655),IFERROR(N(INDEX(Accounts!$E$7:$E$16,MATCH($C655,Accounts!$B$7:$B$16,0))),0)&gt;0),IF($V655&gt;Settings!$C$23*($AP655-N($Q655)),"Risk over max %; ",""),"")&amp;IF(AND(ISNUMBER(Settings!$C$24),ISNUMBER($N655)),IF($N655&gt;Settings!$C$24,"Leverage over max; ",""),"")&amp;IF(AND(ISNUMBER(Settings!$C$27),ISNUMBER($T655)),IF($T655&lt;Settings!$C$27,"R:R below min; ",""),"")&amp;IF(ISNUMBER(Settings!$C$25),IF(COUNTIFS($A$6:$A655,$A655,$AM$6:$AM655,1)&gt;Settings!$C$25,"Over max trades/day; ",""),"")&amp;IF(ISNUMBER(Settings!$C$26),IF(SUMIFS($Q$5:$Q654,$A$5:$A654,$A655)&lt;=-Settings!$C$26,"Traded after daily max loss; ",""),"")&amp;IF(AND($AG655="",NOT(ISNUMBER($O655))),"Symbol not in Instruments; ","")&amp;IF(AND($AH655="",NOT(ISNUMBER($O655))),"Forex cross: type Gross P&amp;L; ",""))</f>
        <v/>
      </c>
      <c r="BH655" s="56">
        <f>IF(ISNUMBER($Q655),1,0)</f>
        <v>0</v>
      </c>
      <c r="BI655" s="56">
        <f>IF($Y655="",0,1)</f>
        <v>0</v>
      </c>
      <c r="BJ655" s="56">
        <f>IF($AB655="",0,1)</f>
        <v>0</v>
      </c>
      <c r="BK655" s="56">
        <f>IF(AND($BH655=1,$W655&lt;&gt;"OK"),1,0)</f>
        <v>0</v>
      </c>
      <c r="BL655" s="55">
        <f>IF(N($AZ655)=0,0,IFERROR(INDEX($AT$6:$AT$1005,MATCH($AZ655,$AY$6:$AY$1005,0)),0))</f>
        <v>1187.10688</v>
      </c>
      <c r="BM655" s="56">
        <f>IF(ISNUMBER(SEARCH("daily max loss",$BG655)),1,0)</f>
        <v>0</v>
      </c>
    </row>
    <row r="656" ht="18" customHeight="1">
      <c r="A656" s="38" t="n"/>
      <c r="B656" s="39" t="n"/>
      <c r="C656" s="40" t="n"/>
      <c r="D656" s="41" t="n"/>
      <c r="E656" s="41" t="n"/>
      <c r="F656" s="41" t="n"/>
      <c r="G656" s="41" t="n"/>
      <c r="H656" s="42" t="n"/>
      <c r="I656" s="42" t="n"/>
      <c r="J656" s="42" t="n"/>
      <c r="K656" s="42" t="n"/>
      <c r="L656" s="41" t="n"/>
      <c r="M656" s="41" t="n"/>
      <c r="N656" s="41" t="n"/>
      <c r="O656" s="43" t="n"/>
      <c r="P656" s="43" t="n"/>
      <c r="Q656" s="44" t="str">
        <f>IF($AM656=0,"",IF(ISNUMBER($AK656),$AK656-N($AL656),""))</f>
        <v/>
      </c>
      <c r="R656" s="45" t="str">
        <f>IF(OR($Q656="",NOT(ISNUMBER($V656))),"",$AK656/$V656)</f>
        <v/>
      </c>
      <c r="S656" s="46" t="str">
        <f>IF($Q656="","",IF(AND(ISNUMBER($R656),ABS(N($R656))&lt;N(Settings!$C$8)),"Scratch",IF($Q656&gt;0,"Win",IF($Q656&lt;0,"Loss","Scratch"))))</f>
        <v/>
      </c>
      <c r="T656" s="47" t="str">
        <f>IF(OR($AM656=0,NOT(ISNUMBER($H656)),NOT(ISNUMBER($I656)),NOT(ISNUMBER($J656))),"",IF($H656=$I656,"",ROUND(ABS($J656-$H656)/ABS($H656-$I656),6)))</f>
        <v/>
      </c>
      <c r="U656" s="48" t="str">
        <f>IF(OR($S656&lt;&gt;"Win",NOT(ISNUMBER($T656)),NOT(ISNUMBER($R656))),"",MAX(0,$T656-$R656))</f>
        <v/>
      </c>
      <c r="V656" s="49" t="str">
        <f>IF(OR($AM656=0,NOT(ISNUMBER($H656)),NOT(ISNUMBER($I656)),NOT(ISNUMBER($G656))),"",IF(OR($AG656="",$AH656=""),"",IF(ROUND(ABS($H656-$I656)*ABS($G656)*$AG656*$AH656,6)=0,"",ROUND(ABS($H656-$I656)*ABS($G656)*$AG656*$AH656,6))))</f>
        <v/>
      </c>
      <c r="W656" s="50" t="str">
        <f>IF($AM656=0,"",IF($BG656="","OK",LEFT($BG656,LEN($BG656)-2)))</f>
        <v/>
      </c>
      <c r="X656" s="41" t="n"/>
      <c r="Y656" s="40" t="n"/>
      <c r="Z656" s="41" t="n"/>
      <c r="AA656" s="41" t="n"/>
      <c r="AB656" s="40" t="n"/>
      <c r="AC656" s="51" t="n"/>
      <c r="AD656" s="51" t="n"/>
      <c r="AE656" s="40" t="n"/>
      <c r="AF656" s="52" t="str">
        <f>IF($AM656=0,"",IF($D656&lt;&gt;"",$D656,IF(IFERROR(INDEX(Accounts!$C$7:$C$16,MATCH($C656,Accounts!$B$7:$B$16,0))&amp;"","")&lt;&gt;"",INDEX(Accounts!$C$7:$C$16,MATCH($C656,Accounts!$B$7:$B$16,0)),Settings!$C$6)))</f>
        <v/>
      </c>
      <c r="AG656" s="53" t="str">
        <f>IF($AM656=0,"",IF(AND($BE656&gt;0,N(INDEX(Instruments!$D$6:$D$205,MAX(1,$BE656)))&gt;0),INDEX(Instruments!$D$6:$D$205,MAX(1,$BE656)),IF(N(INDEX(Settings!$D$14:$D$18,$BF656))&gt;0,INDEX(Settings!$D$14:$D$18,$BF656),"")))</f>
        <v/>
      </c>
      <c r="AH656" s="54" t="str">
        <f>IF($AM656=0,"",IF($AF656&lt;&gt;"Forex",1,IF(MID(UPPER(SUBSTITUTE(TRIM($E656),"/","")),4,3)=UPPER(TRIM(Settings!$C$7)),1,IF(LEFT(UPPER(SUBSTITUTE(TRIM($E656),"/","")),3)=UPPER(TRIM(Settings!$C$7)),IF(AND(ISNUMBER($K656),N($K656)&lt;&gt;0),1/$K656,""),""))))</f>
        <v/>
      </c>
      <c r="AI656" s="55" t="str">
        <f>IF($AM656=0,"",IF(OR(NOT(ISNUMBER($H656)),NOT(ISNUMBER($K656)),NOT(ISNUMBER($G656)),$AG656="",$AH656=""),"",ROUND(($K656-$H656)*IF($F656="Short",-1,1)*$G656*$AG656*$AH656,6)))</f>
        <v/>
      </c>
      <c r="AJ656" s="55" t="str">
        <f>IF($AM656=0,"",IF(INDEX(Settings!$E$14:$E$18,$BF656)="% of notional",IF(OR($AG656="",NOT(ISNUMBER($H656)),NOT(ISNUMBER($G656))),"",ROUND(ABS($H656*$G656*$AG656*N($AH656))*IF($L656="Limit",N(INDEX(Settings!$G$14:$G$18,$BF656)),N(INDEX(Settings!$H$14:$H$18,$BF656)))+IF(ISNUMBER($K656),ABS($K656*$G656*$AG656*N($AH656))*IF($M656="Target",N(INDEX(Settings!$G$14:$G$18,$BF656)),N(INDEX(Settings!$H$14:$H$18,$BF656))),0),6)),IF(NOT(ISNUMBER($G656)),"",ROUND(ABS($G656)*2*IF(AND($BE656&gt;0,ISNUMBER(INDEX(Instruments!$G$6:$G$205,MAX(1,$BE656)))),INDEX(Instruments!$G$6:$G$205,MAX(1,$BE656)),N(INDEX(Settings!$F$14:$F$18,$BF656))),6))))</f>
        <v/>
      </c>
      <c r="AK656" s="55" t="str">
        <f>IF($AM656=0,"",IF(ISNUMBER($O656),$O656,$AI656))</f>
        <v/>
      </c>
      <c r="AL656" s="55" t="str">
        <f>IF($AM656=0,"",IF(ISNUMBER($P656),$P656,N($AJ656)))</f>
        <v/>
      </c>
      <c r="AM656" s="56">
        <f>IF(AND($A656&lt;&gt;"",$E656&lt;&gt;"",OR(AND(ISNUMBER($G656),ISNUMBER($H656),ISNUMBER($K656)),ISNUMBER($O656))),1,0)</f>
        <v>0</v>
      </c>
      <c r="AN656" s="57" t="str">
        <f>IF($A656="","",$A656-WEEKDAY($A656,3))</f>
        <v/>
      </c>
      <c r="AO656" s="56" t="str">
        <f>IF($A656="","",WEEKDAY($A656,2))</f>
        <v/>
      </c>
      <c r="AP656" s="55" t="str">
        <f>IF(OR($AM656=0,$C656=""),"",IFERROR(N(INDEX(Accounts!$E$7:$E$16,MATCH($C656,Accounts!$B$7:$B$16,0))),0)+SUMIFS($Q$6:$Q656,$C$6:$C656,$C656))</f>
        <v/>
      </c>
      <c r="AQ656" s="55" t="str">
        <f>IF(OR($AM656=0,$C656=""),"",SUMIFS($Q$6:$Q$1005,$C$6:$C$1005,$C656,$A$6:$A$1005,$A656))</f>
        <v/>
      </c>
      <c r="AR656" s="55" t="str">
        <f>IF(OR($AM656=0,$C656=""),"",IFERROR(N(INDEX(Accounts!$E$7:$E$16,MATCH($C656,Accounts!$B$7:$B$16,0))),0)+SUMIFS($Q$6:$Q$1005,$C$6:$C$1005,$C656,$A$6:$A$1005,"&lt;="&amp;$A656))</f>
        <v/>
      </c>
      <c r="AS656" s="56">
        <f>IF(OR($AM656=0,$Q656=""),0,IF(AND($A656&gt;=Lists!$W$6,$A656&lt;=Lists!$W$7,OR(Dashboard!$D$6="All accounts",$C656=Dashboard!$D$6),OR(Dashboard!$D$7="All markets",$AF656=Dashboard!$D$7)),1,0))</f>
        <v>0</v>
      </c>
      <c r="AT656" s="55">
        <f>IF($AS656=1,N(AT655)+$Q656,N(AT655))</f>
        <v>1187.10688</v>
      </c>
      <c r="AU656" s="55">
        <f>MAX(N(AU655),$AT656)</f>
        <v>1187.10688</v>
      </c>
      <c r="AV656" s="55">
        <f>$AT656-$AU656</f>
        <v>0</v>
      </c>
      <c r="AW656" s="56">
        <f>IF($AS656=1,IF($S656="Win",N(AW655)+1,IF($S656="Loss",0,N(AW655))),N(AW655))</f>
        <v>5</v>
      </c>
      <c r="AX656" s="56">
        <f>IF($AS656=1,IF($S656="Loss",N(AX655)+1,IF($S656="Win",0,N(AX655))),N(AX655))</f>
        <v>0</v>
      </c>
      <c r="AY656" s="56" t="str">
        <f>IF($AS656=1,COUNTIF($AS$6:$AS656,1),"")</f>
        <v/>
      </c>
      <c r="AZ656" s="56">
        <f>MIN(650,N(Lists!$W$8))</f>
        <v>28</v>
      </c>
      <c r="BA656" s="56">
        <f>IF($AS656=1,IF(COUNTIFS($A$6:$A656,$A656,$AS$6:$AS656,1)=1,1,0),0)</f>
        <v>0</v>
      </c>
      <c r="BB656" s="55" t="str">
        <f>IF($BA656=1,SUMIFS($Q$6:$Q$1005,$A$6:$A$1005,$A656,$AS$6:$AS$1005,1),"")</f>
        <v/>
      </c>
      <c r="BC656" s="56">
        <f>IF(ISNUMBER($R656),1,0)</f>
        <v>0</v>
      </c>
      <c r="BD656" s="55" t="str">
        <f>IF(ISNUMBER($U656),$U656*$V656,"")</f>
        <v/>
      </c>
      <c r="BE656" s="56" t="str">
        <f>IF($AM656=0,"",IFERROR(MATCH($AF656&amp;"|"&amp;UPPER(TRIM($E656)),Lists!$A$6:$A$205,0),0))</f>
        <v/>
      </c>
      <c r="BF656" s="56" t="str">
        <f>IF($AM656=0,"",IFERROR(MATCH($AF656,Settings!$B$14:$B$18,0),IFERROR(MATCH(Settings!$C$6,Settings!$B$14:$B$18,0),1)))</f>
        <v/>
      </c>
      <c r="BG656" s="58" t="str">
        <f>IF($AM656=0,"",IF(NOT(ISNUMBER($I656)),"No stop; ","")&amp;IF(AND(ISNUMBER($H656),ISNUMBER($I656)),IF(OR(AND($F656&lt;&gt;"Short",$I656&gt;=$H656),AND($F656="Short",$I656&lt;=$H656)),"Stop on wrong side; ",""),"")&amp;IF($F656="","No direction; ","")&amp;IF(AND(ISNUMBER(Settings!$C$22),ISNUMBER($V656)),IF($V656&gt;Settings!$C$22,"Risk over max $; ",""),"")&amp;IF(AND(ISNUMBER(Settings!$C$23),ISNUMBER($V656),ISNUMBER($AP656),IFERROR(N(INDEX(Accounts!$E$7:$E$16,MATCH($C656,Accounts!$B$7:$B$16,0))),0)&gt;0),IF($V656&gt;Settings!$C$23*($AP656-N($Q656)),"Risk over max %; ",""),"")&amp;IF(AND(ISNUMBER(Settings!$C$24),ISNUMBER($N656)),IF($N656&gt;Settings!$C$24,"Leverage over max; ",""),"")&amp;IF(AND(ISNUMBER(Settings!$C$27),ISNUMBER($T656)),IF($T656&lt;Settings!$C$27,"R:R below min; ",""),"")&amp;IF(ISNUMBER(Settings!$C$25),IF(COUNTIFS($A$6:$A656,$A656,$AM$6:$AM656,1)&gt;Settings!$C$25,"Over max trades/day; ",""),"")&amp;IF(ISNUMBER(Settings!$C$26),IF(SUMIFS($Q$5:$Q655,$A$5:$A655,$A656)&lt;=-Settings!$C$26,"Traded after daily max loss; ",""),"")&amp;IF(AND($AG656="",NOT(ISNUMBER($O656))),"Symbol not in Instruments; ","")&amp;IF(AND($AH656="",NOT(ISNUMBER($O656))),"Forex cross: type Gross P&amp;L; ",""))</f>
        <v/>
      </c>
      <c r="BH656" s="56">
        <f>IF(ISNUMBER($Q656),1,0)</f>
        <v>0</v>
      </c>
      <c r="BI656" s="56">
        <f>IF($Y656="",0,1)</f>
        <v>0</v>
      </c>
      <c r="BJ656" s="56">
        <f>IF($AB656="",0,1)</f>
        <v>0</v>
      </c>
      <c r="BK656" s="56">
        <f>IF(AND($BH656=1,$W656&lt;&gt;"OK"),1,0)</f>
        <v>0</v>
      </c>
      <c r="BL656" s="55">
        <f>IF(N($AZ656)=0,0,IFERROR(INDEX($AT$6:$AT$1005,MATCH($AZ656,$AY$6:$AY$1005,0)),0))</f>
        <v>1187.10688</v>
      </c>
      <c r="BM656" s="56">
        <f>IF(ISNUMBER(SEARCH("daily max loss",$BG656)),1,0)</f>
        <v>0</v>
      </c>
    </row>
    <row r="657" ht="18" customHeight="1">
      <c r="A657" s="38" t="n"/>
      <c r="B657" s="39" t="n"/>
      <c r="C657" s="40" t="n"/>
      <c r="D657" s="41" t="n"/>
      <c r="E657" s="41" t="n"/>
      <c r="F657" s="41" t="n"/>
      <c r="G657" s="41" t="n"/>
      <c r="H657" s="42" t="n"/>
      <c r="I657" s="42" t="n"/>
      <c r="J657" s="42" t="n"/>
      <c r="K657" s="42" t="n"/>
      <c r="L657" s="41" t="n"/>
      <c r="M657" s="41" t="n"/>
      <c r="N657" s="41" t="n"/>
      <c r="O657" s="43" t="n"/>
      <c r="P657" s="43" t="n"/>
      <c r="Q657" s="44" t="str">
        <f>IF($AM657=0,"",IF(ISNUMBER($AK657),$AK657-N($AL657),""))</f>
        <v/>
      </c>
      <c r="R657" s="45" t="str">
        <f>IF(OR($Q657="",NOT(ISNUMBER($V657))),"",$AK657/$V657)</f>
        <v/>
      </c>
      <c r="S657" s="46" t="str">
        <f>IF($Q657="","",IF(AND(ISNUMBER($R657),ABS(N($R657))&lt;N(Settings!$C$8)),"Scratch",IF($Q657&gt;0,"Win",IF($Q657&lt;0,"Loss","Scratch"))))</f>
        <v/>
      </c>
      <c r="T657" s="47" t="str">
        <f>IF(OR($AM657=0,NOT(ISNUMBER($H657)),NOT(ISNUMBER($I657)),NOT(ISNUMBER($J657))),"",IF($H657=$I657,"",ROUND(ABS($J657-$H657)/ABS($H657-$I657),6)))</f>
        <v/>
      </c>
      <c r="U657" s="48" t="str">
        <f>IF(OR($S657&lt;&gt;"Win",NOT(ISNUMBER($T657)),NOT(ISNUMBER($R657))),"",MAX(0,$T657-$R657))</f>
        <v/>
      </c>
      <c r="V657" s="49" t="str">
        <f>IF(OR($AM657=0,NOT(ISNUMBER($H657)),NOT(ISNUMBER($I657)),NOT(ISNUMBER($G657))),"",IF(OR($AG657="",$AH657=""),"",IF(ROUND(ABS($H657-$I657)*ABS($G657)*$AG657*$AH657,6)=0,"",ROUND(ABS($H657-$I657)*ABS($G657)*$AG657*$AH657,6))))</f>
        <v/>
      </c>
      <c r="W657" s="50" t="str">
        <f>IF($AM657=0,"",IF($BG657="","OK",LEFT($BG657,LEN($BG657)-2)))</f>
        <v/>
      </c>
      <c r="X657" s="41" t="n"/>
      <c r="Y657" s="40" t="n"/>
      <c r="Z657" s="41" t="n"/>
      <c r="AA657" s="41" t="n"/>
      <c r="AB657" s="40" t="n"/>
      <c r="AC657" s="51" t="n"/>
      <c r="AD657" s="51" t="n"/>
      <c r="AE657" s="40" t="n"/>
      <c r="AF657" s="52" t="str">
        <f>IF($AM657=0,"",IF($D657&lt;&gt;"",$D657,IF(IFERROR(INDEX(Accounts!$C$7:$C$16,MATCH($C657,Accounts!$B$7:$B$16,0))&amp;"","")&lt;&gt;"",INDEX(Accounts!$C$7:$C$16,MATCH($C657,Accounts!$B$7:$B$16,0)),Settings!$C$6)))</f>
        <v/>
      </c>
      <c r="AG657" s="53" t="str">
        <f>IF($AM657=0,"",IF(AND($BE657&gt;0,N(INDEX(Instruments!$D$6:$D$205,MAX(1,$BE657)))&gt;0),INDEX(Instruments!$D$6:$D$205,MAX(1,$BE657)),IF(N(INDEX(Settings!$D$14:$D$18,$BF657))&gt;0,INDEX(Settings!$D$14:$D$18,$BF657),"")))</f>
        <v/>
      </c>
      <c r="AH657" s="54" t="str">
        <f>IF($AM657=0,"",IF($AF657&lt;&gt;"Forex",1,IF(MID(UPPER(SUBSTITUTE(TRIM($E657),"/","")),4,3)=UPPER(TRIM(Settings!$C$7)),1,IF(LEFT(UPPER(SUBSTITUTE(TRIM($E657),"/","")),3)=UPPER(TRIM(Settings!$C$7)),IF(AND(ISNUMBER($K657),N($K657)&lt;&gt;0),1/$K657,""),""))))</f>
        <v/>
      </c>
      <c r="AI657" s="55" t="str">
        <f>IF($AM657=0,"",IF(OR(NOT(ISNUMBER($H657)),NOT(ISNUMBER($K657)),NOT(ISNUMBER($G657)),$AG657="",$AH657=""),"",ROUND(($K657-$H657)*IF($F657="Short",-1,1)*$G657*$AG657*$AH657,6)))</f>
        <v/>
      </c>
      <c r="AJ657" s="55" t="str">
        <f>IF($AM657=0,"",IF(INDEX(Settings!$E$14:$E$18,$BF657)="% of notional",IF(OR($AG657="",NOT(ISNUMBER($H657)),NOT(ISNUMBER($G657))),"",ROUND(ABS($H657*$G657*$AG657*N($AH657))*IF($L657="Limit",N(INDEX(Settings!$G$14:$G$18,$BF657)),N(INDEX(Settings!$H$14:$H$18,$BF657)))+IF(ISNUMBER($K657),ABS($K657*$G657*$AG657*N($AH657))*IF($M657="Target",N(INDEX(Settings!$G$14:$G$18,$BF657)),N(INDEX(Settings!$H$14:$H$18,$BF657))),0),6)),IF(NOT(ISNUMBER($G657)),"",ROUND(ABS($G657)*2*IF(AND($BE657&gt;0,ISNUMBER(INDEX(Instruments!$G$6:$G$205,MAX(1,$BE657)))),INDEX(Instruments!$G$6:$G$205,MAX(1,$BE657)),N(INDEX(Settings!$F$14:$F$18,$BF657))),6))))</f>
        <v/>
      </c>
      <c r="AK657" s="55" t="str">
        <f>IF($AM657=0,"",IF(ISNUMBER($O657),$O657,$AI657))</f>
        <v/>
      </c>
      <c r="AL657" s="55" t="str">
        <f>IF($AM657=0,"",IF(ISNUMBER($P657),$P657,N($AJ657)))</f>
        <v/>
      </c>
      <c r="AM657" s="56">
        <f>IF(AND($A657&lt;&gt;"",$E657&lt;&gt;"",OR(AND(ISNUMBER($G657),ISNUMBER($H657),ISNUMBER($K657)),ISNUMBER($O657))),1,0)</f>
        <v>0</v>
      </c>
      <c r="AN657" s="57" t="str">
        <f>IF($A657="","",$A657-WEEKDAY($A657,3))</f>
        <v/>
      </c>
      <c r="AO657" s="56" t="str">
        <f>IF($A657="","",WEEKDAY($A657,2))</f>
        <v/>
      </c>
      <c r="AP657" s="55" t="str">
        <f>IF(OR($AM657=0,$C657=""),"",IFERROR(N(INDEX(Accounts!$E$7:$E$16,MATCH($C657,Accounts!$B$7:$B$16,0))),0)+SUMIFS($Q$6:$Q657,$C$6:$C657,$C657))</f>
        <v/>
      </c>
      <c r="AQ657" s="55" t="str">
        <f>IF(OR($AM657=0,$C657=""),"",SUMIFS($Q$6:$Q$1005,$C$6:$C$1005,$C657,$A$6:$A$1005,$A657))</f>
        <v/>
      </c>
      <c r="AR657" s="55" t="str">
        <f>IF(OR($AM657=0,$C657=""),"",IFERROR(N(INDEX(Accounts!$E$7:$E$16,MATCH($C657,Accounts!$B$7:$B$16,0))),0)+SUMIFS($Q$6:$Q$1005,$C$6:$C$1005,$C657,$A$6:$A$1005,"&lt;="&amp;$A657))</f>
        <v/>
      </c>
      <c r="AS657" s="56">
        <f>IF(OR($AM657=0,$Q657=""),0,IF(AND($A657&gt;=Lists!$W$6,$A657&lt;=Lists!$W$7,OR(Dashboard!$D$6="All accounts",$C657=Dashboard!$D$6),OR(Dashboard!$D$7="All markets",$AF657=Dashboard!$D$7)),1,0))</f>
        <v>0</v>
      </c>
      <c r="AT657" s="55">
        <f>IF($AS657=1,N(AT656)+$Q657,N(AT656))</f>
        <v>1187.10688</v>
      </c>
      <c r="AU657" s="55">
        <f>MAX(N(AU656),$AT657)</f>
        <v>1187.10688</v>
      </c>
      <c r="AV657" s="55">
        <f>$AT657-$AU657</f>
        <v>0</v>
      </c>
      <c r="AW657" s="56">
        <f>IF($AS657=1,IF($S657="Win",N(AW656)+1,IF($S657="Loss",0,N(AW656))),N(AW656))</f>
        <v>5</v>
      </c>
      <c r="AX657" s="56">
        <f>IF($AS657=1,IF($S657="Loss",N(AX656)+1,IF($S657="Win",0,N(AX656))),N(AX656))</f>
        <v>0</v>
      </c>
      <c r="AY657" s="56" t="str">
        <f>IF($AS657=1,COUNTIF($AS$6:$AS657,1),"")</f>
        <v/>
      </c>
      <c r="AZ657" s="56">
        <f>MIN(651,N(Lists!$W$8))</f>
        <v>28</v>
      </c>
      <c r="BA657" s="56">
        <f>IF($AS657=1,IF(COUNTIFS($A$6:$A657,$A657,$AS$6:$AS657,1)=1,1,0),0)</f>
        <v>0</v>
      </c>
      <c r="BB657" s="55" t="str">
        <f>IF($BA657=1,SUMIFS($Q$6:$Q$1005,$A$6:$A$1005,$A657,$AS$6:$AS$1005,1),"")</f>
        <v/>
      </c>
      <c r="BC657" s="56">
        <f>IF(ISNUMBER($R657),1,0)</f>
        <v>0</v>
      </c>
      <c r="BD657" s="55" t="str">
        <f>IF(ISNUMBER($U657),$U657*$V657,"")</f>
        <v/>
      </c>
      <c r="BE657" s="56" t="str">
        <f>IF($AM657=0,"",IFERROR(MATCH($AF657&amp;"|"&amp;UPPER(TRIM($E657)),Lists!$A$6:$A$205,0),0))</f>
        <v/>
      </c>
      <c r="BF657" s="56" t="str">
        <f>IF($AM657=0,"",IFERROR(MATCH($AF657,Settings!$B$14:$B$18,0),IFERROR(MATCH(Settings!$C$6,Settings!$B$14:$B$18,0),1)))</f>
        <v/>
      </c>
      <c r="BG657" s="58" t="str">
        <f>IF($AM657=0,"",IF(NOT(ISNUMBER($I657)),"No stop; ","")&amp;IF(AND(ISNUMBER($H657),ISNUMBER($I657)),IF(OR(AND($F657&lt;&gt;"Short",$I657&gt;=$H657),AND($F657="Short",$I657&lt;=$H657)),"Stop on wrong side; ",""),"")&amp;IF($F657="","No direction; ","")&amp;IF(AND(ISNUMBER(Settings!$C$22),ISNUMBER($V657)),IF($V657&gt;Settings!$C$22,"Risk over max $; ",""),"")&amp;IF(AND(ISNUMBER(Settings!$C$23),ISNUMBER($V657),ISNUMBER($AP657),IFERROR(N(INDEX(Accounts!$E$7:$E$16,MATCH($C657,Accounts!$B$7:$B$16,0))),0)&gt;0),IF($V657&gt;Settings!$C$23*($AP657-N($Q657)),"Risk over max %; ",""),"")&amp;IF(AND(ISNUMBER(Settings!$C$24),ISNUMBER($N657)),IF($N657&gt;Settings!$C$24,"Leverage over max; ",""),"")&amp;IF(AND(ISNUMBER(Settings!$C$27),ISNUMBER($T657)),IF($T657&lt;Settings!$C$27,"R:R below min; ",""),"")&amp;IF(ISNUMBER(Settings!$C$25),IF(COUNTIFS($A$6:$A657,$A657,$AM$6:$AM657,1)&gt;Settings!$C$25,"Over max trades/day; ",""),"")&amp;IF(ISNUMBER(Settings!$C$26),IF(SUMIFS($Q$5:$Q656,$A$5:$A656,$A657)&lt;=-Settings!$C$26,"Traded after daily max loss; ",""),"")&amp;IF(AND($AG657="",NOT(ISNUMBER($O657))),"Symbol not in Instruments; ","")&amp;IF(AND($AH657="",NOT(ISNUMBER($O657))),"Forex cross: type Gross P&amp;L; ",""))</f>
        <v/>
      </c>
      <c r="BH657" s="56">
        <f>IF(ISNUMBER($Q657),1,0)</f>
        <v>0</v>
      </c>
      <c r="BI657" s="56">
        <f>IF($Y657="",0,1)</f>
        <v>0</v>
      </c>
      <c r="BJ657" s="56">
        <f>IF($AB657="",0,1)</f>
        <v>0</v>
      </c>
      <c r="BK657" s="56">
        <f>IF(AND($BH657=1,$W657&lt;&gt;"OK"),1,0)</f>
        <v>0</v>
      </c>
      <c r="BL657" s="55">
        <f>IF(N($AZ657)=0,0,IFERROR(INDEX($AT$6:$AT$1005,MATCH($AZ657,$AY$6:$AY$1005,0)),0))</f>
        <v>1187.10688</v>
      </c>
      <c r="BM657" s="56">
        <f>IF(ISNUMBER(SEARCH("daily max loss",$BG657)),1,0)</f>
        <v>0</v>
      </c>
    </row>
    <row r="658" ht="18" customHeight="1">
      <c r="A658" s="38" t="n"/>
      <c r="B658" s="39" t="n"/>
      <c r="C658" s="40" t="n"/>
      <c r="D658" s="41" t="n"/>
      <c r="E658" s="41" t="n"/>
      <c r="F658" s="41" t="n"/>
      <c r="G658" s="41" t="n"/>
      <c r="H658" s="42" t="n"/>
      <c r="I658" s="42" t="n"/>
      <c r="J658" s="42" t="n"/>
      <c r="K658" s="42" t="n"/>
      <c r="L658" s="41" t="n"/>
      <c r="M658" s="41" t="n"/>
      <c r="N658" s="41" t="n"/>
      <c r="O658" s="43" t="n"/>
      <c r="P658" s="43" t="n"/>
      <c r="Q658" s="44" t="str">
        <f>IF($AM658=0,"",IF(ISNUMBER($AK658),$AK658-N($AL658),""))</f>
        <v/>
      </c>
      <c r="R658" s="45" t="str">
        <f>IF(OR($Q658="",NOT(ISNUMBER($V658))),"",$AK658/$V658)</f>
        <v/>
      </c>
      <c r="S658" s="46" t="str">
        <f>IF($Q658="","",IF(AND(ISNUMBER($R658),ABS(N($R658))&lt;N(Settings!$C$8)),"Scratch",IF($Q658&gt;0,"Win",IF($Q658&lt;0,"Loss","Scratch"))))</f>
        <v/>
      </c>
      <c r="T658" s="47" t="str">
        <f>IF(OR($AM658=0,NOT(ISNUMBER($H658)),NOT(ISNUMBER($I658)),NOT(ISNUMBER($J658))),"",IF($H658=$I658,"",ROUND(ABS($J658-$H658)/ABS($H658-$I658),6)))</f>
        <v/>
      </c>
      <c r="U658" s="48" t="str">
        <f>IF(OR($S658&lt;&gt;"Win",NOT(ISNUMBER($T658)),NOT(ISNUMBER($R658))),"",MAX(0,$T658-$R658))</f>
        <v/>
      </c>
      <c r="V658" s="49" t="str">
        <f>IF(OR($AM658=0,NOT(ISNUMBER($H658)),NOT(ISNUMBER($I658)),NOT(ISNUMBER($G658))),"",IF(OR($AG658="",$AH658=""),"",IF(ROUND(ABS($H658-$I658)*ABS($G658)*$AG658*$AH658,6)=0,"",ROUND(ABS($H658-$I658)*ABS($G658)*$AG658*$AH658,6))))</f>
        <v/>
      </c>
      <c r="W658" s="50" t="str">
        <f>IF($AM658=0,"",IF($BG658="","OK",LEFT($BG658,LEN($BG658)-2)))</f>
        <v/>
      </c>
      <c r="X658" s="41" t="n"/>
      <c r="Y658" s="40" t="n"/>
      <c r="Z658" s="41" t="n"/>
      <c r="AA658" s="41" t="n"/>
      <c r="AB658" s="40" t="n"/>
      <c r="AC658" s="51" t="n"/>
      <c r="AD658" s="51" t="n"/>
      <c r="AE658" s="40" t="n"/>
      <c r="AF658" s="52" t="str">
        <f>IF($AM658=0,"",IF($D658&lt;&gt;"",$D658,IF(IFERROR(INDEX(Accounts!$C$7:$C$16,MATCH($C658,Accounts!$B$7:$B$16,0))&amp;"","")&lt;&gt;"",INDEX(Accounts!$C$7:$C$16,MATCH($C658,Accounts!$B$7:$B$16,0)),Settings!$C$6)))</f>
        <v/>
      </c>
      <c r="AG658" s="53" t="str">
        <f>IF($AM658=0,"",IF(AND($BE658&gt;0,N(INDEX(Instruments!$D$6:$D$205,MAX(1,$BE658)))&gt;0),INDEX(Instruments!$D$6:$D$205,MAX(1,$BE658)),IF(N(INDEX(Settings!$D$14:$D$18,$BF658))&gt;0,INDEX(Settings!$D$14:$D$18,$BF658),"")))</f>
        <v/>
      </c>
      <c r="AH658" s="54" t="str">
        <f>IF($AM658=0,"",IF($AF658&lt;&gt;"Forex",1,IF(MID(UPPER(SUBSTITUTE(TRIM($E658),"/","")),4,3)=UPPER(TRIM(Settings!$C$7)),1,IF(LEFT(UPPER(SUBSTITUTE(TRIM($E658),"/","")),3)=UPPER(TRIM(Settings!$C$7)),IF(AND(ISNUMBER($K658),N($K658)&lt;&gt;0),1/$K658,""),""))))</f>
        <v/>
      </c>
      <c r="AI658" s="55" t="str">
        <f>IF($AM658=0,"",IF(OR(NOT(ISNUMBER($H658)),NOT(ISNUMBER($K658)),NOT(ISNUMBER($G658)),$AG658="",$AH658=""),"",ROUND(($K658-$H658)*IF($F658="Short",-1,1)*$G658*$AG658*$AH658,6)))</f>
        <v/>
      </c>
      <c r="AJ658" s="55" t="str">
        <f>IF($AM658=0,"",IF(INDEX(Settings!$E$14:$E$18,$BF658)="% of notional",IF(OR($AG658="",NOT(ISNUMBER($H658)),NOT(ISNUMBER($G658))),"",ROUND(ABS($H658*$G658*$AG658*N($AH658))*IF($L658="Limit",N(INDEX(Settings!$G$14:$G$18,$BF658)),N(INDEX(Settings!$H$14:$H$18,$BF658)))+IF(ISNUMBER($K658),ABS($K658*$G658*$AG658*N($AH658))*IF($M658="Target",N(INDEX(Settings!$G$14:$G$18,$BF658)),N(INDEX(Settings!$H$14:$H$18,$BF658))),0),6)),IF(NOT(ISNUMBER($G658)),"",ROUND(ABS($G658)*2*IF(AND($BE658&gt;0,ISNUMBER(INDEX(Instruments!$G$6:$G$205,MAX(1,$BE658)))),INDEX(Instruments!$G$6:$G$205,MAX(1,$BE658)),N(INDEX(Settings!$F$14:$F$18,$BF658))),6))))</f>
        <v/>
      </c>
      <c r="AK658" s="55" t="str">
        <f>IF($AM658=0,"",IF(ISNUMBER($O658),$O658,$AI658))</f>
        <v/>
      </c>
      <c r="AL658" s="55" t="str">
        <f>IF($AM658=0,"",IF(ISNUMBER($P658),$P658,N($AJ658)))</f>
        <v/>
      </c>
      <c r="AM658" s="56">
        <f>IF(AND($A658&lt;&gt;"",$E658&lt;&gt;"",OR(AND(ISNUMBER($G658),ISNUMBER($H658),ISNUMBER($K658)),ISNUMBER($O658))),1,0)</f>
        <v>0</v>
      </c>
      <c r="AN658" s="57" t="str">
        <f>IF($A658="","",$A658-WEEKDAY($A658,3))</f>
        <v/>
      </c>
      <c r="AO658" s="56" t="str">
        <f>IF($A658="","",WEEKDAY($A658,2))</f>
        <v/>
      </c>
      <c r="AP658" s="55" t="str">
        <f>IF(OR($AM658=0,$C658=""),"",IFERROR(N(INDEX(Accounts!$E$7:$E$16,MATCH($C658,Accounts!$B$7:$B$16,0))),0)+SUMIFS($Q$6:$Q658,$C$6:$C658,$C658))</f>
        <v/>
      </c>
      <c r="AQ658" s="55" t="str">
        <f>IF(OR($AM658=0,$C658=""),"",SUMIFS($Q$6:$Q$1005,$C$6:$C$1005,$C658,$A$6:$A$1005,$A658))</f>
        <v/>
      </c>
      <c r="AR658" s="55" t="str">
        <f>IF(OR($AM658=0,$C658=""),"",IFERROR(N(INDEX(Accounts!$E$7:$E$16,MATCH($C658,Accounts!$B$7:$B$16,0))),0)+SUMIFS($Q$6:$Q$1005,$C$6:$C$1005,$C658,$A$6:$A$1005,"&lt;="&amp;$A658))</f>
        <v/>
      </c>
      <c r="AS658" s="56">
        <f>IF(OR($AM658=0,$Q658=""),0,IF(AND($A658&gt;=Lists!$W$6,$A658&lt;=Lists!$W$7,OR(Dashboard!$D$6="All accounts",$C658=Dashboard!$D$6),OR(Dashboard!$D$7="All markets",$AF658=Dashboard!$D$7)),1,0))</f>
        <v>0</v>
      </c>
      <c r="AT658" s="55">
        <f>IF($AS658=1,N(AT657)+$Q658,N(AT657))</f>
        <v>1187.10688</v>
      </c>
      <c r="AU658" s="55">
        <f>MAX(N(AU657),$AT658)</f>
        <v>1187.10688</v>
      </c>
      <c r="AV658" s="55">
        <f>$AT658-$AU658</f>
        <v>0</v>
      </c>
      <c r="AW658" s="56">
        <f>IF($AS658=1,IF($S658="Win",N(AW657)+1,IF($S658="Loss",0,N(AW657))),N(AW657))</f>
        <v>5</v>
      </c>
      <c r="AX658" s="56">
        <f>IF($AS658=1,IF($S658="Loss",N(AX657)+1,IF($S658="Win",0,N(AX657))),N(AX657))</f>
        <v>0</v>
      </c>
      <c r="AY658" s="56" t="str">
        <f>IF($AS658=1,COUNTIF($AS$6:$AS658,1),"")</f>
        <v/>
      </c>
      <c r="AZ658" s="56">
        <f>MIN(652,N(Lists!$W$8))</f>
        <v>28</v>
      </c>
      <c r="BA658" s="56">
        <f>IF($AS658=1,IF(COUNTIFS($A$6:$A658,$A658,$AS$6:$AS658,1)=1,1,0),0)</f>
        <v>0</v>
      </c>
      <c r="BB658" s="55" t="str">
        <f>IF($BA658=1,SUMIFS($Q$6:$Q$1005,$A$6:$A$1005,$A658,$AS$6:$AS$1005,1),"")</f>
        <v/>
      </c>
      <c r="BC658" s="56">
        <f>IF(ISNUMBER($R658),1,0)</f>
        <v>0</v>
      </c>
      <c r="BD658" s="55" t="str">
        <f>IF(ISNUMBER($U658),$U658*$V658,"")</f>
        <v/>
      </c>
      <c r="BE658" s="56" t="str">
        <f>IF($AM658=0,"",IFERROR(MATCH($AF658&amp;"|"&amp;UPPER(TRIM($E658)),Lists!$A$6:$A$205,0),0))</f>
        <v/>
      </c>
      <c r="BF658" s="56" t="str">
        <f>IF($AM658=0,"",IFERROR(MATCH($AF658,Settings!$B$14:$B$18,0),IFERROR(MATCH(Settings!$C$6,Settings!$B$14:$B$18,0),1)))</f>
        <v/>
      </c>
      <c r="BG658" s="58" t="str">
        <f>IF($AM658=0,"",IF(NOT(ISNUMBER($I658)),"No stop; ","")&amp;IF(AND(ISNUMBER($H658),ISNUMBER($I658)),IF(OR(AND($F658&lt;&gt;"Short",$I658&gt;=$H658),AND($F658="Short",$I658&lt;=$H658)),"Stop on wrong side; ",""),"")&amp;IF($F658="","No direction; ","")&amp;IF(AND(ISNUMBER(Settings!$C$22),ISNUMBER($V658)),IF($V658&gt;Settings!$C$22,"Risk over max $; ",""),"")&amp;IF(AND(ISNUMBER(Settings!$C$23),ISNUMBER($V658),ISNUMBER($AP658),IFERROR(N(INDEX(Accounts!$E$7:$E$16,MATCH($C658,Accounts!$B$7:$B$16,0))),0)&gt;0),IF($V658&gt;Settings!$C$23*($AP658-N($Q658)),"Risk over max %; ",""),"")&amp;IF(AND(ISNUMBER(Settings!$C$24),ISNUMBER($N658)),IF($N658&gt;Settings!$C$24,"Leverage over max; ",""),"")&amp;IF(AND(ISNUMBER(Settings!$C$27),ISNUMBER($T658)),IF($T658&lt;Settings!$C$27,"R:R below min; ",""),"")&amp;IF(ISNUMBER(Settings!$C$25),IF(COUNTIFS($A$6:$A658,$A658,$AM$6:$AM658,1)&gt;Settings!$C$25,"Over max trades/day; ",""),"")&amp;IF(ISNUMBER(Settings!$C$26),IF(SUMIFS($Q$5:$Q657,$A$5:$A657,$A658)&lt;=-Settings!$C$26,"Traded after daily max loss; ",""),"")&amp;IF(AND($AG658="",NOT(ISNUMBER($O658))),"Symbol not in Instruments; ","")&amp;IF(AND($AH658="",NOT(ISNUMBER($O658))),"Forex cross: type Gross P&amp;L; ",""))</f>
        <v/>
      </c>
      <c r="BH658" s="56">
        <f>IF(ISNUMBER($Q658),1,0)</f>
        <v>0</v>
      </c>
      <c r="BI658" s="56">
        <f>IF($Y658="",0,1)</f>
        <v>0</v>
      </c>
      <c r="BJ658" s="56">
        <f>IF($AB658="",0,1)</f>
        <v>0</v>
      </c>
      <c r="BK658" s="56">
        <f>IF(AND($BH658=1,$W658&lt;&gt;"OK"),1,0)</f>
        <v>0</v>
      </c>
      <c r="BL658" s="55">
        <f>IF(N($AZ658)=0,0,IFERROR(INDEX($AT$6:$AT$1005,MATCH($AZ658,$AY$6:$AY$1005,0)),0))</f>
        <v>1187.10688</v>
      </c>
      <c r="BM658" s="56">
        <f>IF(ISNUMBER(SEARCH("daily max loss",$BG658)),1,0)</f>
        <v>0</v>
      </c>
    </row>
    <row r="659" ht="18" customHeight="1">
      <c r="A659" s="38" t="n"/>
      <c r="B659" s="39" t="n"/>
      <c r="C659" s="40" t="n"/>
      <c r="D659" s="41" t="n"/>
      <c r="E659" s="41" t="n"/>
      <c r="F659" s="41" t="n"/>
      <c r="G659" s="41" t="n"/>
      <c r="H659" s="42" t="n"/>
      <c r="I659" s="42" t="n"/>
      <c r="J659" s="42" t="n"/>
      <c r="K659" s="42" t="n"/>
      <c r="L659" s="41" t="n"/>
      <c r="M659" s="41" t="n"/>
      <c r="N659" s="41" t="n"/>
      <c r="O659" s="43" t="n"/>
      <c r="P659" s="43" t="n"/>
      <c r="Q659" s="44" t="str">
        <f>IF($AM659=0,"",IF(ISNUMBER($AK659),$AK659-N($AL659),""))</f>
        <v/>
      </c>
      <c r="R659" s="45" t="str">
        <f>IF(OR($Q659="",NOT(ISNUMBER($V659))),"",$AK659/$V659)</f>
        <v/>
      </c>
      <c r="S659" s="46" t="str">
        <f>IF($Q659="","",IF(AND(ISNUMBER($R659),ABS(N($R659))&lt;N(Settings!$C$8)),"Scratch",IF($Q659&gt;0,"Win",IF($Q659&lt;0,"Loss","Scratch"))))</f>
        <v/>
      </c>
      <c r="T659" s="47" t="str">
        <f>IF(OR($AM659=0,NOT(ISNUMBER($H659)),NOT(ISNUMBER($I659)),NOT(ISNUMBER($J659))),"",IF($H659=$I659,"",ROUND(ABS($J659-$H659)/ABS($H659-$I659),6)))</f>
        <v/>
      </c>
      <c r="U659" s="48" t="str">
        <f>IF(OR($S659&lt;&gt;"Win",NOT(ISNUMBER($T659)),NOT(ISNUMBER($R659))),"",MAX(0,$T659-$R659))</f>
        <v/>
      </c>
      <c r="V659" s="49" t="str">
        <f>IF(OR($AM659=0,NOT(ISNUMBER($H659)),NOT(ISNUMBER($I659)),NOT(ISNUMBER($G659))),"",IF(OR($AG659="",$AH659=""),"",IF(ROUND(ABS($H659-$I659)*ABS($G659)*$AG659*$AH659,6)=0,"",ROUND(ABS($H659-$I659)*ABS($G659)*$AG659*$AH659,6))))</f>
        <v/>
      </c>
      <c r="W659" s="50" t="str">
        <f>IF($AM659=0,"",IF($BG659="","OK",LEFT($BG659,LEN($BG659)-2)))</f>
        <v/>
      </c>
      <c r="X659" s="41" t="n"/>
      <c r="Y659" s="40" t="n"/>
      <c r="Z659" s="41" t="n"/>
      <c r="AA659" s="41" t="n"/>
      <c r="AB659" s="40" t="n"/>
      <c r="AC659" s="51" t="n"/>
      <c r="AD659" s="51" t="n"/>
      <c r="AE659" s="40" t="n"/>
      <c r="AF659" s="52" t="str">
        <f>IF($AM659=0,"",IF($D659&lt;&gt;"",$D659,IF(IFERROR(INDEX(Accounts!$C$7:$C$16,MATCH($C659,Accounts!$B$7:$B$16,0))&amp;"","")&lt;&gt;"",INDEX(Accounts!$C$7:$C$16,MATCH($C659,Accounts!$B$7:$B$16,0)),Settings!$C$6)))</f>
        <v/>
      </c>
      <c r="AG659" s="53" t="str">
        <f>IF($AM659=0,"",IF(AND($BE659&gt;0,N(INDEX(Instruments!$D$6:$D$205,MAX(1,$BE659)))&gt;0),INDEX(Instruments!$D$6:$D$205,MAX(1,$BE659)),IF(N(INDEX(Settings!$D$14:$D$18,$BF659))&gt;0,INDEX(Settings!$D$14:$D$18,$BF659),"")))</f>
        <v/>
      </c>
      <c r="AH659" s="54" t="str">
        <f>IF($AM659=0,"",IF($AF659&lt;&gt;"Forex",1,IF(MID(UPPER(SUBSTITUTE(TRIM($E659),"/","")),4,3)=UPPER(TRIM(Settings!$C$7)),1,IF(LEFT(UPPER(SUBSTITUTE(TRIM($E659),"/","")),3)=UPPER(TRIM(Settings!$C$7)),IF(AND(ISNUMBER($K659),N($K659)&lt;&gt;0),1/$K659,""),""))))</f>
        <v/>
      </c>
      <c r="AI659" s="55" t="str">
        <f>IF($AM659=0,"",IF(OR(NOT(ISNUMBER($H659)),NOT(ISNUMBER($K659)),NOT(ISNUMBER($G659)),$AG659="",$AH659=""),"",ROUND(($K659-$H659)*IF($F659="Short",-1,1)*$G659*$AG659*$AH659,6)))</f>
        <v/>
      </c>
      <c r="AJ659" s="55" t="str">
        <f>IF($AM659=0,"",IF(INDEX(Settings!$E$14:$E$18,$BF659)="% of notional",IF(OR($AG659="",NOT(ISNUMBER($H659)),NOT(ISNUMBER($G659))),"",ROUND(ABS($H659*$G659*$AG659*N($AH659))*IF($L659="Limit",N(INDEX(Settings!$G$14:$G$18,$BF659)),N(INDEX(Settings!$H$14:$H$18,$BF659)))+IF(ISNUMBER($K659),ABS($K659*$G659*$AG659*N($AH659))*IF($M659="Target",N(INDEX(Settings!$G$14:$G$18,$BF659)),N(INDEX(Settings!$H$14:$H$18,$BF659))),0),6)),IF(NOT(ISNUMBER($G659)),"",ROUND(ABS($G659)*2*IF(AND($BE659&gt;0,ISNUMBER(INDEX(Instruments!$G$6:$G$205,MAX(1,$BE659)))),INDEX(Instruments!$G$6:$G$205,MAX(1,$BE659)),N(INDEX(Settings!$F$14:$F$18,$BF659))),6))))</f>
        <v/>
      </c>
      <c r="AK659" s="55" t="str">
        <f>IF($AM659=0,"",IF(ISNUMBER($O659),$O659,$AI659))</f>
        <v/>
      </c>
      <c r="AL659" s="55" t="str">
        <f>IF($AM659=0,"",IF(ISNUMBER($P659),$P659,N($AJ659)))</f>
        <v/>
      </c>
      <c r="AM659" s="56">
        <f>IF(AND($A659&lt;&gt;"",$E659&lt;&gt;"",OR(AND(ISNUMBER($G659),ISNUMBER($H659),ISNUMBER($K659)),ISNUMBER($O659))),1,0)</f>
        <v>0</v>
      </c>
      <c r="AN659" s="57" t="str">
        <f>IF($A659="","",$A659-WEEKDAY($A659,3))</f>
        <v/>
      </c>
      <c r="AO659" s="56" t="str">
        <f>IF($A659="","",WEEKDAY($A659,2))</f>
        <v/>
      </c>
      <c r="AP659" s="55" t="str">
        <f>IF(OR($AM659=0,$C659=""),"",IFERROR(N(INDEX(Accounts!$E$7:$E$16,MATCH($C659,Accounts!$B$7:$B$16,0))),0)+SUMIFS($Q$6:$Q659,$C$6:$C659,$C659))</f>
        <v/>
      </c>
      <c r="AQ659" s="55" t="str">
        <f>IF(OR($AM659=0,$C659=""),"",SUMIFS($Q$6:$Q$1005,$C$6:$C$1005,$C659,$A$6:$A$1005,$A659))</f>
        <v/>
      </c>
      <c r="AR659" s="55" t="str">
        <f>IF(OR($AM659=0,$C659=""),"",IFERROR(N(INDEX(Accounts!$E$7:$E$16,MATCH($C659,Accounts!$B$7:$B$16,0))),0)+SUMIFS($Q$6:$Q$1005,$C$6:$C$1005,$C659,$A$6:$A$1005,"&lt;="&amp;$A659))</f>
        <v/>
      </c>
      <c r="AS659" s="56">
        <f>IF(OR($AM659=0,$Q659=""),0,IF(AND($A659&gt;=Lists!$W$6,$A659&lt;=Lists!$W$7,OR(Dashboard!$D$6="All accounts",$C659=Dashboard!$D$6),OR(Dashboard!$D$7="All markets",$AF659=Dashboard!$D$7)),1,0))</f>
        <v>0</v>
      </c>
      <c r="AT659" s="55">
        <f>IF($AS659=1,N(AT658)+$Q659,N(AT658))</f>
        <v>1187.10688</v>
      </c>
      <c r="AU659" s="55">
        <f>MAX(N(AU658),$AT659)</f>
        <v>1187.10688</v>
      </c>
      <c r="AV659" s="55">
        <f>$AT659-$AU659</f>
        <v>0</v>
      </c>
      <c r="AW659" s="56">
        <f>IF($AS659=1,IF($S659="Win",N(AW658)+1,IF($S659="Loss",0,N(AW658))),N(AW658))</f>
        <v>5</v>
      </c>
      <c r="AX659" s="56">
        <f>IF($AS659=1,IF($S659="Loss",N(AX658)+1,IF($S659="Win",0,N(AX658))),N(AX658))</f>
        <v>0</v>
      </c>
      <c r="AY659" s="56" t="str">
        <f>IF($AS659=1,COUNTIF($AS$6:$AS659,1),"")</f>
        <v/>
      </c>
      <c r="AZ659" s="56">
        <f>MIN(653,N(Lists!$W$8))</f>
        <v>28</v>
      </c>
      <c r="BA659" s="56">
        <f>IF($AS659=1,IF(COUNTIFS($A$6:$A659,$A659,$AS$6:$AS659,1)=1,1,0),0)</f>
        <v>0</v>
      </c>
      <c r="BB659" s="55" t="str">
        <f>IF($BA659=1,SUMIFS($Q$6:$Q$1005,$A$6:$A$1005,$A659,$AS$6:$AS$1005,1),"")</f>
        <v/>
      </c>
      <c r="BC659" s="56">
        <f>IF(ISNUMBER($R659),1,0)</f>
        <v>0</v>
      </c>
      <c r="BD659" s="55" t="str">
        <f>IF(ISNUMBER($U659),$U659*$V659,"")</f>
        <v/>
      </c>
      <c r="BE659" s="56" t="str">
        <f>IF($AM659=0,"",IFERROR(MATCH($AF659&amp;"|"&amp;UPPER(TRIM($E659)),Lists!$A$6:$A$205,0),0))</f>
        <v/>
      </c>
      <c r="BF659" s="56" t="str">
        <f>IF($AM659=0,"",IFERROR(MATCH($AF659,Settings!$B$14:$B$18,0),IFERROR(MATCH(Settings!$C$6,Settings!$B$14:$B$18,0),1)))</f>
        <v/>
      </c>
      <c r="BG659" s="58" t="str">
        <f>IF($AM659=0,"",IF(NOT(ISNUMBER($I659)),"No stop; ","")&amp;IF(AND(ISNUMBER($H659),ISNUMBER($I659)),IF(OR(AND($F659&lt;&gt;"Short",$I659&gt;=$H659),AND($F659="Short",$I659&lt;=$H659)),"Stop on wrong side; ",""),"")&amp;IF($F659="","No direction; ","")&amp;IF(AND(ISNUMBER(Settings!$C$22),ISNUMBER($V659)),IF($V659&gt;Settings!$C$22,"Risk over max $; ",""),"")&amp;IF(AND(ISNUMBER(Settings!$C$23),ISNUMBER($V659),ISNUMBER($AP659),IFERROR(N(INDEX(Accounts!$E$7:$E$16,MATCH($C659,Accounts!$B$7:$B$16,0))),0)&gt;0),IF($V659&gt;Settings!$C$23*($AP659-N($Q659)),"Risk over max %; ",""),"")&amp;IF(AND(ISNUMBER(Settings!$C$24),ISNUMBER($N659)),IF($N659&gt;Settings!$C$24,"Leverage over max; ",""),"")&amp;IF(AND(ISNUMBER(Settings!$C$27),ISNUMBER($T659)),IF($T659&lt;Settings!$C$27,"R:R below min; ",""),"")&amp;IF(ISNUMBER(Settings!$C$25),IF(COUNTIFS($A$6:$A659,$A659,$AM$6:$AM659,1)&gt;Settings!$C$25,"Over max trades/day; ",""),"")&amp;IF(ISNUMBER(Settings!$C$26),IF(SUMIFS($Q$5:$Q658,$A$5:$A658,$A659)&lt;=-Settings!$C$26,"Traded after daily max loss; ",""),"")&amp;IF(AND($AG659="",NOT(ISNUMBER($O659))),"Symbol not in Instruments; ","")&amp;IF(AND($AH659="",NOT(ISNUMBER($O659))),"Forex cross: type Gross P&amp;L; ",""))</f>
        <v/>
      </c>
      <c r="BH659" s="56">
        <f>IF(ISNUMBER($Q659),1,0)</f>
        <v>0</v>
      </c>
      <c r="BI659" s="56">
        <f>IF($Y659="",0,1)</f>
        <v>0</v>
      </c>
      <c r="BJ659" s="56">
        <f>IF($AB659="",0,1)</f>
        <v>0</v>
      </c>
      <c r="BK659" s="56">
        <f>IF(AND($BH659=1,$W659&lt;&gt;"OK"),1,0)</f>
        <v>0</v>
      </c>
      <c r="BL659" s="55">
        <f>IF(N($AZ659)=0,0,IFERROR(INDEX($AT$6:$AT$1005,MATCH($AZ659,$AY$6:$AY$1005,0)),0))</f>
        <v>1187.10688</v>
      </c>
      <c r="BM659" s="56">
        <f>IF(ISNUMBER(SEARCH("daily max loss",$BG659)),1,0)</f>
        <v>0</v>
      </c>
    </row>
    <row r="660" ht="18" customHeight="1">
      <c r="A660" s="38" t="n"/>
      <c r="B660" s="39" t="n"/>
      <c r="C660" s="40" t="n"/>
      <c r="D660" s="41" t="n"/>
      <c r="E660" s="41" t="n"/>
      <c r="F660" s="41" t="n"/>
      <c r="G660" s="41" t="n"/>
      <c r="H660" s="42" t="n"/>
      <c r="I660" s="42" t="n"/>
      <c r="J660" s="42" t="n"/>
      <c r="K660" s="42" t="n"/>
      <c r="L660" s="41" t="n"/>
      <c r="M660" s="41" t="n"/>
      <c r="N660" s="41" t="n"/>
      <c r="O660" s="43" t="n"/>
      <c r="P660" s="43" t="n"/>
      <c r="Q660" s="44" t="str">
        <f>IF($AM660=0,"",IF(ISNUMBER($AK660),$AK660-N($AL660),""))</f>
        <v/>
      </c>
      <c r="R660" s="45" t="str">
        <f>IF(OR($Q660="",NOT(ISNUMBER($V660))),"",$AK660/$V660)</f>
        <v/>
      </c>
      <c r="S660" s="46" t="str">
        <f>IF($Q660="","",IF(AND(ISNUMBER($R660),ABS(N($R660))&lt;N(Settings!$C$8)),"Scratch",IF($Q660&gt;0,"Win",IF($Q660&lt;0,"Loss","Scratch"))))</f>
        <v/>
      </c>
      <c r="T660" s="47" t="str">
        <f>IF(OR($AM660=0,NOT(ISNUMBER($H660)),NOT(ISNUMBER($I660)),NOT(ISNUMBER($J660))),"",IF($H660=$I660,"",ROUND(ABS($J660-$H660)/ABS($H660-$I660),6)))</f>
        <v/>
      </c>
      <c r="U660" s="48" t="str">
        <f>IF(OR($S660&lt;&gt;"Win",NOT(ISNUMBER($T660)),NOT(ISNUMBER($R660))),"",MAX(0,$T660-$R660))</f>
        <v/>
      </c>
      <c r="V660" s="49" t="str">
        <f>IF(OR($AM660=0,NOT(ISNUMBER($H660)),NOT(ISNUMBER($I660)),NOT(ISNUMBER($G660))),"",IF(OR($AG660="",$AH660=""),"",IF(ROUND(ABS($H660-$I660)*ABS($G660)*$AG660*$AH660,6)=0,"",ROUND(ABS($H660-$I660)*ABS($G660)*$AG660*$AH660,6))))</f>
        <v/>
      </c>
      <c r="W660" s="50" t="str">
        <f>IF($AM660=0,"",IF($BG660="","OK",LEFT($BG660,LEN($BG660)-2)))</f>
        <v/>
      </c>
      <c r="X660" s="41" t="n"/>
      <c r="Y660" s="40" t="n"/>
      <c r="Z660" s="41" t="n"/>
      <c r="AA660" s="41" t="n"/>
      <c r="AB660" s="40" t="n"/>
      <c r="AC660" s="51" t="n"/>
      <c r="AD660" s="51" t="n"/>
      <c r="AE660" s="40" t="n"/>
      <c r="AF660" s="52" t="str">
        <f>IF($AM660=0,"",IF($D660&lt;&gt;"",$D660,IF(IFERROR(INDEX(Accounts!$C$7:$C$16,MATCH($C660,Accounts!$B$7:$B$16,0))&amp;"","")&lt;&gt;"",INDEX(Accounts!$C$7:$C$16,MATCH($C660,Accounts!$B$7:$B$16,0)),Settings!$C$6)))</f>
        <v/>
      </c>
      <c r="AG660" s="53" t="str">
        <f>IF($AM660=0,"",IF(AND($BE660&gt;0,N(INDEX(Instruments!$D$6:$D$205,MAX(1,$BE660)))&gt;0),INDEX(Instruments!$D$6:$D$205,MAX(1,$BE660)),IF(N(INDEX(Settings!$D$14:$D$18,$BF660))&gt;0,INDEX(Settings!$D$14:$D$18,$BF660),"")))</f>
        <v/>
      </c>
      <c r="AH660" s="54" t="str">
        <f>IF($AM660=0,"",IF($AF660&lt;&gt;"Forex",1,IF(MID(UPPER(SUBSTITUTE(TRIM($E660),"/","")),4,3)=UPPER(TRIM(Settings!$C$7)),1,IF(LEFT(UPPER(SUBSTITUTE(TRIM($E660),"/","")),3)=UPPER(TRIM(Settings!$C$7)),IF(AND(ISNUMBER($K660),N($K660)&lt;&gt;0),1/$K660,""),""))))</f>
        <v/>
      </c>
      <c r="AI660" s="55" t="str">
        <f>IF($AM660=0,"",IF(OR(NOT(ISNUMBER($H660)),NOT(ISNUMBER($K660)),NOT(ISNUMBER($G660)),$AG660="",$AH660=""),"",ROUND(($K660-$H660)*IF($F660="Short",-1,1)*$G660*$AG660*$AH660,6)))</f>
        <v/>
      </c>
      <c r="AJ660" s="55" t="str">
        <f>IF($AM660=0,"",IF(INDEX(Settings!$E$14:$E$18,$BF660)="% of notional",IF(OR($AG660="",NOT(ISNUMBER($H660)),NOT(ISNUMBER($G660))),"",ROUND(ABS($H660*$G660*$AG660*N($AH660))*IF($L660="Limit",N(INDEX(Settings!$G$14:$G$18,$BF660)),N(INDEX(Settings!$H$14:$H$18,$BF660)))+IF(ISNUMBER($K660),ABS($K660*$G660*$AG660*N($AH660))*IF($M660="Target",N(INDEX(Settings!$G$14:$G$18,$BF660)),N(INDEX(Settings!$H$14:$H$18,$BF660))),0),6)),IF(NOT(ISNUMBER($G660)),"",ROUND(ABS($G660)*2*IF(AND($BE660&gt;0,ISNUMBER(INDEX(Instruments!$G$6:$G$205,MAX(1,$BE660)))),INDEX(Instruments!$G$6:$G$205,MAX(1,$BE660)),N(INDEX(Settings!$F$14:$F$18,$BF660))),6))))</f>
        <v/>
      </c>
      <c r="AK660" s="55" t="str">
        <f>IF($AM660=0,"",IF(ISNUMBER($O660),$O660,$AI660))</f>
        <v/>
      </c>
      <c r="AL660" s="55" t="str">
        <f>IF($AM660=0,"",IF(ISNUMBER($P660),$P660,N($AJ660)))</f>
        <v/>
      </c>
      <c r="AM660" s="56">
        <f>IF(AND($A660&lt;&gt;"",$E660&lt;&gt;"",OR(AND(ISNUMBER($G660),ISNUMBER($H660),ISNUMBER($K660)),ISNUMBER($O660))),1,0)</f>
        <v>0</v>
      </c>
      <c r="AN660" s="57" t="str">
        <f>IF($A660="","",$A660-WEEKDAY($A660,3))</f>
        <v/>
      </c>
      <c r="AO660" s="56" t="str">
        <f>IF($A660="","",WEEKDAY($A660,2))</f>
        <v/>
      </c>
      <c r="AP660" s="55" t="str">
        <f>IF(OR($AM660=0,$C660=""),"",IFERROR(N(INDEX(Accounts!$E$7:$E$16,MATCH($C660,Accounts!$B$7:$B$16,0))),0)+SUMIFS($Q$6:$Q660,$C$6:$C660,$C660))</f>
        <v/>
      </c>
      <c r="AQ660" s="55" t="str">
        <f>IF(OR($AM660=0,$C660=""),"",SUMIFS($Q$6:$Q$1005,$C$6:$C$1005,$C660,$A$6:$A$1005,$A660))</f>
        <v/>
      </c>
      <c r="AR660" s="55" t="str">
        <f>IF(OR($AM660=0,$C660=""),"",IFERROR(N(INDEX(Accounts!$E$7:$E$16,MATCH($C660,Accounts!$B$7:$B$16,0))),0)+SUMIFS($Q$6:$Q$1005,$C$6:$C$1005,$C660,$A$6:$A$1005,"&lt;="&amp;$A660))</f>
        <v/>
      </c>
      <c r="AS660" s="56">
        <f>IF(OR($AM660=0,$Q660=""),0,IF(AND($A660&gt;=Lists!$W$6,$A660&lt;=Lists!$W$7,OR(Dashboard!$D$6="All accounts",$C660=Dashboard!$D$6),OR(Dashboard!$D$7="All markets",$AF660=Dashboard!$D$7)),1,0))</f>
        <v>0</v>
      </c>
      <c r="AT660" s="55">
        <f>IF($AS660=1,N(AT659)+$Q660,N(AT659))</f>
        <v>1187.10688</v>
      </c>
      <c r="AU660" s="55">
        <f>MAX(N(AU659),$AT660)</f>
        <v>1187.10688</v>
      </c>
      <c r="AV660" s="55">
        <f>$AT660-$AU660</f>
        <v>0</v>
      </c>
      <c r="AW660" s="56">
        <f>IF($AS660=1,IF($S660="Win",N(AW659)+1,IF($S660="Loss",0,N(AW659))),N(AW659))</f>
        <v>5</v>
      </c>
      <c r="AX660" s="56">
        <f>IF($AS660=1,IF($S660="Loss",N(AX659)+1,IF($S660="Win",0,N(AX659))),N(AX659))</f>
        <v>0</v>
      </c>
      <c r="AY660" s="56" t="str">
        <f>IF($AS660=1,COUNTIF($AS$6:$AS660,1),"")</f>
        <v/>
      </c>
      <c r="AZ660" s="56">
        <f>MIN(654,N(Lists!$W$8))</f>
        <v>28</v>
      </c>
      <c r="BA660" s="56">
        <f>IF($AS660=1,IF(COUNTIFS($A$6:$A660,$A660,$AS$6:$AS660,1)=1,1,0),0)</f>
        <v>0</v>
      </c>
      <c r="BB660" s="55" t="str">
        <f>IF($BA660=1,SUMIFS($Q$6:$Q$1005,$A$6:$A$1005,$A660,$AS$6:$AS$1005,1),"")</f>
        <v/>
      </c>
      <c r="BC660" s="56">
        <f>IF(ISNUMBER($R660),1,0)</f>
        <v>0</v>
      </c>
      <c r="BD660" s="55" t="str">
        <f>IF(ISNUMBER($U660),$U660*$V660,"")</f>
        <v/>
      </c>
      <c r="BE660" s="56" t="str">
        <f>IF($AM660=0,"",IFERROR(MATCH($AF660&amp;"|"&amp;UPPER(TRIM($E660)),Lists!$A$6:$A$205,0),0))</f>
        <v/>
      </c>
      <c r="BF660" s="56" t="str">
        <f>IF($AM660=0,"",IFERROR(MATCH($AF660,Settings!$B$14:$B$18,0),IFERROR(MATCH(Settings!$C$6,Settings!$B$14:$B$18,0),1)))</f>
        <v/>
      </c>
      <c r="BG660" s="58" t="str">
        <f>IF($AM660=0,"",IF(NOT(ISNUMBER($I660)),"No stop; ","")&amp;IF(AND(ISNUMBER($H660),ISNUMBER($I660)),IF(OR(AND($F660&lt;&gt;"Short",$I660&gt;=$H660),AND($F660="Short",$I660&lt;=$H660)),"Stop on wrong side; ",""),"")&amp;IF($F660="","No direction; ","")&amp;IF(AND(ISNUMBER(Settings!$C$22),ISNUMBER($V660)),IF($V660&gt;Settings!$C$22,"Risk over max $; ",""),"")&amp;IF(AND(ISNUMBER(Settings!$C$23),ISNUMBER($V660),ISNUMBER($AP660),IFERROR(N(INDEX(Accounts!$E$7:$E$16,MATCH($C660,Accounts!$B$7:$B$16,0))),0)&gt;0),IF($V660&gt;Settings!$C$23*($AP660-N($Q660)),"Risk over max %; ",""),"")&amp;IF(AND(ISNUMBER(Settings!$C$24),ISNUMBER($N660)),IF($N660&gt;Settings!$C$24,"Leverage over max; ",""),"")&amp;IF(AND(ISNUMBER(Settings!$C$27),ISNUMBER($T660)),IF($T660&lt;Settings!$C$27,"R:R below min; ",""),"")&amp;IF(ISNUMBER(Settings!$C$25),IF(COUNTIFS($A$6:$A660,$A660,$AM$6:$AM660,1)&gt;Settings!$C$25,"Over max trades/day; ",""),"")&amp;IF(ISNUMBER(Settings!$C$26),IF(SUMIFS($Q$5:$Q659,$A$5:$A659,$A660)&lt;=-Settings!$C$26,"Traded after daily max loss; ",""),"")&amp;IF(AND($AG660="",NOT(ISNUMBER($O660))),"Symbol not in Instruments; ","")&amp;IF(AND($AH660="",NOT(ISNUMBER($O660))),"Forex cross: type Gross P&amp;L; ",""))</f>
        <v/>
      </c>
      <c r="BH660" s="56">
        <f>IF(ISNUMBER($Q660),1,0)</f>
        <v>0</v>
      </c>
      <c r="BI660" s="56">
        <f>IF($Y660="",0,1)</f>
        <v>0</v>
      </c>
      <c r="BJ660" s="56">
        <f>IF($AB660="",0,1)</f>
        <v>0</v>
      </c>
      <c r="BK660" s="56">
        <f>IF(AND($BH660=1,$W660&lt;&gt;"OK"),1,0)</f>
        <v>0</v>
      </c>
      <c r="BL660" s="55">
        <f>IF(N($AZ660)=0,0,IFERROR(INDEX($AT$6:$AT$1005,MATCH($AZ660,$AY$6:$AY$1005,0)),0))</f>
        <v>1187.10688</v>
      </c>
      <c r="BM660" s="56">
        <f>IF(ISNUMBER(SEARCH("daily max loss",$BG660)),1,0)</f>
        <v>0</v>
      </c>
    </row>
    <row r="661" ht="18" customHeight="1">
      <c r="A661" s="38" t="n"/>
      <c r="B661" s="39" t="n"/>
      <c r="C661" s="40" t="n"/>
      <c r="D661" s="41" t="n"/>
      <c r="E661" s="41" t="n"/>
      <c r="F661" s="41" t="n"/>
      <c r="G661" s="41" t="n"/>
      <c r="H661" s="42" t="n"/>
      <c r="I661" s="42" t="n"/>
      <c r="J661" s="42" t="n"/>
      <c r="K661" s="42" t="n"/>
      <c r="L661" s="41" t="n"/>
      <c r="M661" s="41" t="n"/>
      <c r="N661" s="41" t="n"/>
      <c r="O661" s="43" t="n"/>
      <c r="P661" s="43" t="n"/>
      <c r="Q661" s="44" t="str">
        <f>IF($AM661=0,"",IF(ISNUMBER($AK661),$AK661-N($AL661),""))</f>
        <v/>
      </c>
      <c r="R661" s="45" t="str">
        <f>IF(OR($Q661="",NOT(ISNUMBER($V661))),"",$AK661/$V661)</f>
        <v/>
      </c>
      <c r="S661" s="46" t="str">
        <f>IF($Q661="","",IF(AND(ISNUMBER($R661),ABS(N($R661))&lt;N(Settings!$C$8)),"Scratch",IF($Q661&gt;0,"Win",IF($Q661&lt;0,"Loss","Scratch"))))</f>
        <v/>
      </c>
      <c r="T661" s="47" t="str">
        <f>IF(OR($AM661=0,NOT(ISNUMBER($H661)),NOT(ISNUMBER($I661)),NOT(ISNUMBER($J661))),"",IF($H661=$I661,"",ROUND(ABS($J661-$H661)/ABS($H661-$I661),6)))</f>
        <v/>
      </c>
      <c r="U661" s="48" t="str">
        <f>IF(OR($S661&lt;&gt;"Win",NOT(ISNUMBER($T661)),NOT(ISNUMBER($R661))),"",MAX(0,$T661-$R661))</f>
        <v/>
      </c>
      <c r="V661" s="49" t="str">
        <f>IF(OR($AM661=0,NOT(ISNUMBER($H661)),NOT(ISNUMBER($I661)),NOT(ISNUMBER($G661))),"",IF(OR($AG661="",$AH661=""),"",IF(ROUND(ABS($H661-$I661)*ABS($G661)*$AG661*$AH661,6)=0,"",ROUND(ABS($H661-$I661)*ABS($G661)*$AG661*$AH661,6))))</f>
        <v/>
      </c>
      <c r="W661" s="50" t="str">
        <f>IF($AM661=0,"",IF($BG661="","OK",LEFT($BG661,LEN($BG661)-2)))</f>
        <v/>
      </c>
      <c r="X661" s="41" t="n"/>
      <c r="Y661" s="40" t="n"/>
      <c r="Z661" s="41" t="n"/>
      <c r="AA661" s="41" t="n"/>
      <c r="AB661" s="40" t="n"/>
      <c r="AC661" s="51" t="n"/>
      <c r="AD661" s="51" t="n"/>
      <c r="AE661" s="40" t="n"/>
      <c r="AF661" s="52" t="str">
        <f>IF($AM661=0,"",IF($D661&lt;&gt;"",$D661,IF(IFERROR(INDEX(Accounts!$C$7:$C$16,MATCH($C661,Accounts!$B$7:$B$16,0))&amp;"","")&lt;&gt;"",INDEX(Accounts!$C$7:$C$16,MATCH($C661,Accounts!$B$7:$B$16,0)),Settings!$C$6)))</f>
        <v/>
      </c>
      <c r="AG661" s="53" t="str">
        <f>IF($AM661=0,"",IF(AND($BE661&gt;0,N(INDEX(Instruments!$D$6:$D$205,MAX(1,$BE661)))&gt;0),INDEX(Instruments!$D$6:$D$205,MAX(1,$BE661)),IF(N(INDEX(Settings!$D$14:$D$18,$BF661))&gt;0,INDEX(Settings!$D$14:$D$18,$BF661),"")))</f>
        <v/>
      </c>
      <c r="AH661" s="54" t="str">
        <f>IF($AM661=0,"",IF($AF661&lt;&gt;"Forex",1,IF(MID(UPPER(SUBSTITUTE(TRIM($E661),"/","")),4,3)=UPPER(TRIM(Settings!$C$7)),1,IF(LEFT(UPPER(SUBSTITUTE(TRIM($E661),"/","")),3)=UPPER(TRIM(Settings!$C$7)),IF(AND(ISNUMBER($K661),N($K661)&lt;&gt;0),1/$K661,""),""))))</f>
        <v/>
      </c>
      <c r="AI661" s="55" t="str">
        <f>IF($AM661=0,"",IF(OR(NOT(ISNUMBER($H661)),NOT(ISNUMBER($K661)),NOT(ISNUMBER($G661)),$AG661="",$AH661=""),"",ROUND(($K661-$H661)*IF($F661="Short",-1,1)*$G661*$AG661*$AH661,6)))</f>
        <v/>
      </c>
      <c r="AJ661" s="55" t="str">
        <f>IF($AM661=0,"",IF(INDEX(Settings!$E$14:$E$18,$BF661)="% of notional",IF(OR($AG661="",NOT(ISNUMBER($H661)),NOT(ISNUMBER($G661))),"",ROUND(ABS($H661*$G661*$AG661*N($AH661))*IF($L661="Limit",N(INDEX(Settings!$G$14:$G$18,$BF661)),N(INDEX(Settings!$H$14:$H$18,$BF661)))+IF(ISNUMBER($K661),ABS($K661*$G661*$AG661*N($AH661))*IF($M661="Target",N(INDEX(Settings!$G$14:$G$18,$BF661)),N(INDEX(Settings!$H$14:$H$18,$BF661))),0),6)),IF(NOT(ISNUMBER($G661)),"",ROUND(ABS($G661)*2*IF(AND($BE661&gt;0,ISNUMBER(INDEX(Instruments!$G$6:$G$205,MAX(1,$BE661)))),INDEX(Instruments!$G$6:$G$205,MAX(1,$BE661)),N(INDEX(Settings!$F$14:$F$18,$BF661))),6))))</f>
        <v/>
      </c>
      <c r="AK661" s="55" t="str">
        <f>IF($AM661=0,"",IF(ISNUMBER($O661),$O661,$AI661))</f>
        <v/>
      </c>
      <c r="AL661" s="55" t="str">
        <f>IF($AM661=0,"",IF(ISNUMBER($P661),$P661,N($AJ661)))</f>
        <v/>
      </c>
      <c r="AM661" s="56">
        <f>IF(AND($A661&lt;&gt;"",$E661&lt;&gt;"",OR(AND(ISNUMBER($G661),ISNUMBER($H661),ISNUMBER($K661)),ISNUMBER($O661))),1,0)</f>
        <v>0</v>
      </c>
      <c r="AN661" s="57" t="str">
        <f>IF($A661="","",$A661-WEEKDAY($A661,3))</f>
        <v/>
      </c>
      <c r="AO661" s="56" t="str">
        <f>IF($A661="","",WEEKDAY($A661,2))</f>
        <v/>
      </c>
      <c r="AP661" s="55" t="str">
        <f>IF(OR($AM661=0,$C661=""),"",IFERROR(N(INDEX(Accounts!$E$7:$E$16,MATCH($C661,Accounts!$B$7:$B$16,0))),0)+SUMIFS($Q$6:$Q661,$C$6:$C661,$C661))</f>
        <v/>
      </c>
      <c r="AQ661" s="55" t="str">
        <f>IF(OR($AM661=0,$C661=""),"",SUMIFS($Q$6:$Q$1005,$C$6:$C$1005,$C661,$A$6:$A$1005,$A661))</f>
        <v/>
      </c>
      <c r="AR661" s="55" t="str">
        <f>IF(OR($AM661=0,$C661=""),"",IFERROR(N(INDEX(Accounts!$E$7:$E$16,MATCH($C661,Accounts!$B$7:$B$16,0))),0)+SUMIFS($Q$6:$Q$1005,$C$6:$C$1005,$C661,$A$6:$A$1005,"&lt;="&amp;$A661))</f>
        <v/>
      </c>
      <c r="AS661" s="56">
        <f>IF(OR($AM661=0,$Q661=""),0,IF(AND($A661&gt;=Lists!$W$6,$A661&lt;=Lists!$W$7,OR(Dashboard!$D$6="All accounts",$C661=Dashboard!$D$6),OR(Dashboard!$D$7="All markets",$AF661=Dashboard!$D$7)),1,0))</f>
        <v>0</v>
      </c>
      <c r="AT661" s="55">
        <f>IF($AS661=1,N(AT660)+$Q661,N(AT660))</f>
        <v>1187.10688</v>
      </c>
      <c r="AU661" s="55">
        <f>MAX(N(AU660),$AT661)</f>
        <v>1187.10688</v>
      </c>
      <c r="AV661" s="55">
        <f>$AT661-$AU661</f>
        <v>0</v>
      </c>
      <c r="AW661" s="56">
        <f>IF($AS661=1,IF($S661="Win",N(AW660)+1,IF($S661="Loss",0,N(AW660))),N(AW660))</f>
        <v>5</v>
      </c>
      <c r="AX661" s="56">
        <f>IF($AS661=1,IF($S661="Loss",N(AX660)+1,IF($S661="Win",0,N(AX660))),N(AX660))</f>
        <v>0</v>
      </c>
      <c r="AY661" s="56" t="str">
        <f>IF($AS661=1,COUNTIF($AS$6:$AS661,1),"")</f>
        <v/>
      </c>
      <c r="AZ661" s="56">
        <f>MIN(655,N(Lists!$W$8))</f>
        <v>28</v>
      </c>
      <c r="BA661" s="56">
        <f>IF($AS661=1,IF(COUNTIFS($A$6:$A661,$A661,$AS$6:$AS661,1)=1,1,0),0)</f>
        <v>0</v>
      </c>
      <c r="BB661" s="55" t="str">
        <f>IF($BA661=1,SUMIFS($Q$6:$Q$1005,$A$6:$A$1005,$A661,$AS$6:$AS$1005,1),"")</f>
        <v/>
      </c>
      <c r="BC661" s="56">
        <f>IF(ISNUMBER($R661),1,0)</f>
        <v>0</v>
      </c>
      <c r="BD661" s="55" t="str">
        <f>IF(ISNUMBER($U661),$U661*$V661,"")</f>
        <v/>
      </c>
      <c r="BE661" s="56" t="str">
        <f>IF($AM661=0,"",IFERROR(MATCH($AF661&amp;"|"&amp;UPPER(TRIM($E661)),Lists!$A$6:$A$205,0),0))</f>
        <v/>
      </c>
      <c r="BF661" s="56" t="str">
        <f>IF($AM661=0,"",IFERROR(MATCH($AF661,Settings!$B$14:$B$18,0),IFERROR(MATCH(Settings!$C$6,Settings!$B$14:$B$18,0),1)))</f>
        <v/>
      </c>
      <c r="BG661" s="58" t="str">
        <f>IF($AM661=0,"",IF(NOT(ISNUMBER($I661)),"No stop; ","")&amp;IF(AND(ISNUMBER($H661),ISNUMBER($I661)),IF(OR(AND($F661&lt;&gt;"Short",$I661&gt;=$H661),AND($F661="Short",$I661&lt;=$H661)),"Stop on wrong side; ",""),"")&amp;IF($F661="","No direction; ","")&amp;IF(AND(ISNUMBER(Settings!$C$22),ISNUMBER($V661)),IF($V661&gt;Settings!$C$22,"Risk over max $; ",""),"")&amp;IF(AND(ISNUMBER(Settings!$C$23),ISNUMBER($V661),ISNUMBER($AP661),IFERROR(N(INDEX(Accounts!$E$7:$E$16,MATCH($C661,Accounts!$B$7:$B$16,0))),0)&gt;0),IF($V661&gt;Settings!$C$23*($AP661-N($Q661)),"Risk over max %; ",""),"")&amp;IF(AND(ISNUMBER(Settings!$C$24),ISNUMBER($N661)),IF($N661&gt;Settings!$C$24,"Leverage over max; ",""),"")&amp;IF(AND(ISNUMBER(Settings!$C$27),ISNUMBER($T661)),IF($T661&lt;Settings!$C$27,"R:R below min; ",""),"")&amp;IF(ISNUMBER(Settings!$C$25),IF(COUNTIFS($A$6:$A661,$A661,$AM$6:$AM661,1)&gt;Settings!$C$25,"Over max trades/day; ",""),"")&amp;IF(ISNUMBER(Settings!$C$26),IF(SUMIFS($Q$5:$Q660,$A$5:$A660,$A661)&lt;=-Settings!$C$26,"Traded after daily max loss; ",""),"")&amp;IF(AND($AG661="",NOT(ISNUMBER($O661))),"Symbol not in Instruments; ","")&amp;IF(AND($AH661="",NOT(ISNUMBER($O661))),"Forex cross: type Gross P&amp;L; ",""))</f>
        <v/>
      </c>
      <c r="BH661" s="56">
        <f>IF(ISNUMBER($Q661),1,0)</f>
        <v>0</v>
      </c>
      <c r="BI661" s="56">
        <f>IF($Y661="",0,1)</f>
        <v>0</v>
      </c>
      <c r="BJ661" s="56">
        <f>IF($AB661="",0,1)</f>
        <v>0</v>
      </c>
      <c r="BK661" s="56">
        <f>IF(AND($BH661=1,$W661&lt;&gt;"OK"),1,0)</f>
        <v>0</v>
      </c>
      <c r="BL661" s="55">
        <f>IF(N($AZ661)=0,0,IFERROR(INDEX($AT$6:$AT$1005,MATCH($AZ661,$AY$6:$AY$1005,0)),0))</f>
        <v>1187.10688</v>
      </c>
      <c r="BM661" s="56">
        <f>IF(ISNUMBER(SEARCH("daily max loss",$BG661)),1,0)</f>
        <v>0</v>
      </c>
    </row>
    <row r="662" ht="18" customHeight="1">
      <c r="A662" s="38" t="n"/>
      <c r="B662" s="39" t="n"/>
      <c r="C662" s="40" t="n"/>
      <c r="D662" s="41" t="n"/>
      <c r="E662" s="41" t="n"/>
      <c r="F662" s="41" t="n"/>
      <c r="G662" s="41" t="n"/>
      <c r="H662" s="42" t="n"/>
      <c r="I662" s="42" t="n"/>
      <c r="J662" s="42" t="n"/>
      <c r="K662" s="42" t="n"/>
      <c r="L662" s="41" t="n"/>
      <c r="M662" s="41" t="n"/>
      <c r="N662" s="41" t="n"/>
      <c r="O662" s="43" t="n"/>
      <c r="P662" s="43" t="n"/>
      <c r="Q662" s="44" t="str">
        <f>IF($AM662=0,"",IF(ISNUMBER($AK662),$AK662-N($AL662),""))</f>
        <v/>
      </c>
      <c r="R662" s="45" t="str">
        <f>IF(OR($Q662="",NOT(ISNUMBER($V662))),"",$AK662/$V662)</f>
        <v/>
      </c>
      <c r="S662" s="46" t="str">
        <f>IF($Q662="","",IF(AND(ISNUMBER($R662),ABS(N($R662))&lt;N(Settings!$C$8)),"Scratch",IF($Q662&gt;0,"Win",IF($Q662&lt;0,"Loss","Scratch"))))</f>
        <v/>
      </c>
      <c r="T662" s="47" t="str">
        <f>IF(OR($AM662=0,NOT(ISNUMBER($H662)),NOT(ISNUMBER($I662)),NOT(ISNUMBER($J662))),"",IF($H662=$I662,"",ROUND(ABS($J662-$H662)/ABS($H662-$I662),6)))</f>
        <v/>
      </c>
      <c r="U662" s="48" t="str">
        <f>IF(OR($S662&lt;&gt;"Win",NOT(ISNUMBER($T662)),NOT(ISNUMBER($R662))),"",MAX(0,$T662-$R662))</f>
        <v/>
      </c>
      <c r="V662" s="49" t="str">
        <f>IF(OR($AM662=0,NOT(ISNUMBER($H662)),NOT(ISNUMBER($I662)),NOT(ISNUMBER($G662))),"",IF(OR($AG662="",$AH662=""),"",IF(ROUND(ABS($H662-$I662)*ABS($G662)*$AG662*$AH662,6)=0,"",ROUND(ABS($H662-$I662)*ABS($G662)*$AG662*$AH662,6))))</f>
        <v/>
      </c>
      <c r="W662" s="50" t="str">
        <f>IF($AM662=0,"",IF($BG662="","OK",LEFT($BG662,LEN($BG662)-2)))</f>
        <v/>
      </c>
      <c r="X662" s="41" t="n"/>
      <c r="Y662" s="40" t="n"/>
      <c r="Z662" s="41" t="n"/>
      <c r="AA662" s="41" t="n"/>
      <c r="AB662" s="40" t="n"/>
      <c r="AC662" s="51" t="n"/>
      <c r="AD662" s="51" t="n"/>
      <c r="AE662" s="40" t="n"/>
      <c r="AF662" s="52" t="str">
        <f>IF($AM662=0,"",IF($D662&lt;&gt;"",$D662,IF(IFERROR(INDEX(Accounts!$C$7:$C$16,MATCH($C662,Accounts!$B$7:$B$16,0))&amp;"","")&lt;&gt;"",INDEX(Accounts!$C$7:$C$16,MATCH($C662,Accounts!$B$7:$B$16,0)),Settings!$C$6)))</f>
        <v/>
      </c>
      <c r="AG662" s="53" t="str">
        <f>IF($AM662=0,"",IF(AND($BE662&gt;0,N(INDEX(Instruments!$D$6:$D$205,MAX(1,$BE662)))&gt;0),INDEX(Instruments!$D$6:$D$205,MAX(1,$BE662)),IF(N(INDEX(Settings!$D$14:$D$18,$BF662))&gt;0,INDEX(Settings!$D$14:$D$18,$BF662),"")))</f>
        <v/>
      </c>
      <c r="AH662" s="54" t="str">
        <f>IF($AM662=0,"",IF($AF662&lt;&gt;"Forex",1,IF(MID(UPPER(SUBSTITUTE(TRIM($E662),"/","")),4,3)=UPPER(TRIM(Settings!$C$7)),1,IF(LEFT(UPPER(SUBSTITUTE(TRIM($E662),"/","")),3)=UPPER(TRIM(Settings!$C$7)),IF(AND(ISNUMBER($K662),N($K662)&lt;&gt;0),1/$K662,""),""))))</f>
        <v/>
      </c>
      <c r="AI662" s="55" t="str">
        <f>IF($AM662=0,"",IF(OR(NOT(ISNUMBER($H662)),NOT(ISNUMBER($K662)),NOT(ISNUMBER($G662)),$AG662="",$AH662=""),"",ROUND(($K662-$H662)*IF($F662="Short",-1,1)*$G662*$AG662*$AH662,6)))</f>
        <v/>
      </c>
      <c r="AJ662" s="55" t="str">
        <f>IF($AM662=0,"",IF(INDEX(Settings!$E$14:$E$18,$BF662)="% of notional",IF(OR($AG662="",NOT(ISNUMBER($H662)),NOT(ISNUMBER($G662))),"",ROUND(ABS($H662*$G662*$AG662*N($AH662))*IF($L662="Limit",N(INDEX(Settings!$G$14:$G$18,$BF662)),N(INDEX(Settings!$H$14:$H$18,$BF662)))+IF(ISNUMBER($K662),ABS($K662*$G662*$AG662*N($AH662))*IF($M662="Target",N(INDEX(Settings!$G$14:$G$18,$BF662)),N(INDEX(Settings!$H$14:$H$18,$BF662))),0),6)),IF(NOT(ISNUMBER($G662)),"",ROUND(ABS($G662)*2*IF(AND($BE662&gt;0,ISNUMBER(INDEX(Instruments!$G$6:$G$205,MAX(1,$BE662)))),INDEX(Instruments!$G$6:$G$205,MAX(1,$BE662)),N(INDEX(Settings!$F$14:$F$18,$BF662))),6))))</f>
        <v/>
      </c>
      <c r="AK662" s="55" t="str">
        <f>IF($AM662=0,"",IF(ISNUMBER($O662),$O662,$AI662))</f>
        <v/>
      </c>
      <c r="AL662" s="55" t="str">
        <f>IF($AM662=0,"",IF(ISNUMBER($P662),$P662,N($AJ662)))</f>
        <v/>
      </c>
      <c r="AM662" s="56">
        <f>IF(AND($A662&lt;&gt;"",$E662&lt;&gt;"",OR(AND(ISNUMBER($G662),ISNUMBER($H662),ISNUMBER($K662)),ISNUMBER($O662))),1,0)</f>
        <v>0</v>
      </c>
      <c r="AN662" s="57" t="str">
        <f>IF($A662="","",$A662-WEEKDAY($A662,3))</f>
        <v/>
      </c>
      <c r="AO662" s="56" t="str">
        <f>IF($A662="","",WEEKDAY($A662,2))</f>
        <v/>
      </c>
      <c r="AP662" s="55" t="str">
        <f>IF(OR($AM662=0,$C662=""),"",IFERROR(N(INDEX(Accounts!$E$7:$E$16,MATCH($C662,Accounts!$B$7:$B$16,0))),0)+SUMIFS($Q$6:$Q662,$C$6:$C662,$C662))</f>
        <v/>
      </c>
      <c r="AQ662" s="55" t="str">
        <f>IF(OR($AM662=0,$C662=""),"",SUMIFS($Q$6:$Q$1005,$C$6:$C$1005,$C662,$A$6:$A$1005,$A662))</f>
        <v/>
      </c>
      <c r="AR662" s="55" t="str">
        <f>IF(OR($AM662=0,$C662=""),"",IFERROR(N(INDEX(Accounts!$E$7:$E$16,MATCH($C662,Accounts!$B$7:$B$16,0))),0)+SUMIFS($Q$6:$Q$1005,$C$6:$C$1005,$C662,$A$6:$A$1005,"&lt;="&amp;$A662))</f>
        <v/>
      </c>
      <c r="AS662" s="56">
        <f>IF(OR($AM662=0,$Q662=""),0,IF(AND($A662&gt;=Lists!$W$6,$A662&lt;=Lists!$W$7,OR(Dashboard!$D$6="All accounts",$C662=Dashboard!$D$6),OR(Dashboard!$D$7="All markets",$AF662=Dashboard!$D$7)),1,0))</f>
        <v>0</v>
      </c>
      <c r="AT662" s="55">
        <f>IF($AS662=1,N(AT661)+$Q662,N(AT661))</f>
        <v>1187.10688</v>
      </c>
      <c r="AU662" s="55">
        <f>MAX(N(AU661),$AT662)</f>
        <v>1187.10688</v>
      </c>
      <c r="AV662" s="55">
        <f>$AT662-$AU662</f>
        <v>0</v>
      </c>
      <c r="AW662" s="56">
        <f>IF($AS662=1,IF($S662="Win",N(AW661)+1,IF($S662="Loss",0,N(AW661))),N(AW661))</f>
        <v>5</v>
      </c>
      <c r="AX662" s="56">
        <f>IF($AS662=1,IF($S662="Loss",N(AX661)+1,IF($S662="Win",0,N(AX661))),N(AX661))</f>
        <v>0</v>
      </c>
      <c r="AY662" s="56" t="str">
        <f>IF($AS662=1,COUNTIF($AS$6:$AS662,1),"")</f>
        <v/>
      </c>
      <c r="AZ662" s="56">
        <f>MIN(656,N(Lists!$W$8))</f>
        <v>28</v>
      </c>
      <c r="BA662" s="56">
        <f>IF($AS662=1,IF(COUNTIFS($A$6:$A662,$A662,$AS$6:$AS662,1)=1,1,0),0)</f>
        <v>0</v>
      </c>
      <c r="BB662" s="55" t="str">
        <f>IF($BA662=1,SUMIFS($Q$6:$Q$1005,$A$6:$A$1005,$A662,$AS$6:$AS$1005,1),"")</f>
        <v/>
      </c>
      <c r="BC662" s="56">
        <f>IF(ISNUMBER($R662),1,0)</f>
        <v>0</v>
      </c>
      <c r="BD662" s="55" t="str">
        <f>IF(ISNUMBER($U662),$U662*$V662,"")</f>
        <v/>
      </c>
      <c r="BE662" s="56" t="str">
        <f>IF($AM662=0,"",IFERROR(MATCH($AF662&amp;"|"&amp;UPPER(TRIM($E662)),Lists!$A$6:$A$205,0),0))</f>
        <v/>
      </c>
      <c r="BF662" s="56" t="str">
        <f>IF($AM662=0,"",IFERROR(MATCH($AF662,Settings!$B$14:$B$18,0),IFERROR(MATCH(Settings!$C$6,Settings!$B$14:$B$18,0),1)))</f>
        <v/>
      </c>
      <c r="BG662" s="58" t="str">
        <f>IF($AM662=0,"",IF(NOT(ISNUMBER($I662)),"No stop; ","")&amp;IF(AND(ISNUMBER($H662),ISNUMBER($I662)),IF(OR(AND($F662&lt;&gt;"Short",$I662&gt;=$H662),AND($F662="Short",$I662&lt;=$H662)),"Stop on wrong side; ",""),"")&amp;IF($F662="","No direction; ","")&amp;IF(AND(ISNUMBER(Settings!$C$22),ISNUMBER($V662)),IF($V662&gt;Settings!$C$22,"Risk over max $; ",""),"")&amp;IF(AND(ISNUMBER(Settings!$C$23),ISNUMBER($V662),ISNUMBER($AP662),IFERROR(N(INDEX(Accounts!$E$7:$E$16,MATCH($C662,Accounts!$B$7:$B$16,0))),0)&gt;0),IF($V662&gt;Settings!$C$23*($AP662-N($Q662)),"Risk over max %; ",""),"")&amp;IF(AND(ISNUMBER(Settings!$C$24),ISNUMBER($N662)),IF($N662&gt;Settings!$C$24,"Leverage over max; ",""),"")&amp;IF(AND(ISNUMBER(Settings!$C$27),ISNUMBER($T662)),IF($T662&lt;Settings!$C$27,"R:R below min; ",""),"")&amp;IF(ISNUMBER(Settings!$C$25),IF(COUNTIFS($A$6:$A662,$A662,$AM$6:$AM662,1)&gt;Settings!$C$25,"Over max trades/day; ",""),"")&amp;IF(ISNUMBER(Settings!$C$26),IF(SUMIFS($Q$5:$Q661,$A$5:$A661,$A662)&lt;=-Settings!$C$26,"Traded after daily max loss; ",""),"")&amp;IF(AND($AG662="",NOT(ISNUMBER($O662))),"Symbol not in Instruments; ","")&amp;IF(AND($AH662="",NOT(ISNUMBER($O662))),"Forex cross: type Gross P&amp;L; ",""))</f>
        <v/>
      </c>
      <c r="BH662" s="56">
        <f>IF(ISNUMBER($Q662),1,0)</f>
        <v>0</v>
      </c>
      <c r="BI662" s="56">
        <f>IF($Y662="",0,1)</f>
        <v>0</v>
      </c>
      <c r="BJ662" s="56">
        <f>IF($AB662="",0,1)</f>
        <v>0</v>
      </c>
      <c r="BK662" s="56">
        <f>IF(AND($BH662=1,$W662&lt;&gt;"OK"),1,0)</f>
        <v>0</v>
      </c>
      <c r="BL662" s="55">
        <f>IF(N($AZ662)=0,0,IFERROR(INDEX($AT$6:$AT$1005,MATCH($AZ662,$AY$6:$AY$1005,0)),0))</f>
        <v>1187.10688</v>
      </c>
      <c r="BM662" s="56">
        <f>IF(ISNUMBER(SEARCH("daily max loss",$BG662)),1,0)</f>
        <v>0</v>
      </c>
    </row>
    <row r="663" ht="18" customHeight="1">
      <c r="A663" s="38" t="n"/>
      <c r="B663" s="39" t="n"/>
      <c r="C663" s="40" t="n"/>
      <c r="D663" s="41" t="n"/>
      <c r="E663" s="41" t="n"/>
      <c r="F663" s="41" t="n"/>
      <c r="G663" s="41" t="n"/>
      <c r="H663" s="42" t="n"/>
      <c r="I663" s="42" t="n"/>
      <c r="J663" s="42" t="n"/>
      <c r="K663" s="42" t="n"/>
      <c r="L663" s="41" t="n"/>
      <c r="M663" s="41" t="n"/>
      <c r="N663" s="41" t="n"/>
      <c r="O663" s="43" t="n"/>
      <c r="P663" s="43" t="n"/>
      <c r="Q663" s="44" t="str">
        <f>IF($AM663=0,"",IF(ISNUMBER($AK663),$AK663-N($AL663),""))</f>
        <v/>
      </c>
      <c r="R663" s="45" t="str">
        <f>IF(OR($Q663="",NOT(ISNUMBER($V663))),"",$AK663/$V663)</f>
        <v/>
      </c>
      <c r="S663" s="46" t="str">
        <f>IF($Q663="","",IF(AND(ISNUMBER($R663),ABS(N($R663))&lt;N(Settings!$C$8)),"Scratch",IF($Q663&gt;0,"Win",IF($Q663&lt;0,"Loss","Scratch"))))</f>
        <v/>
      </c>
      <c r="T663" s="47" t="str">
        <f>IF(OR($AM663=0,NOT(ISNUMBER($H663)),NOT(ISNUMBER($I663)),NOT(ISNUMBER($J663))),"",IF($H663=$I663,"",ROUND(ABS($J663-$H663)/ABS($H663-$I663),6)))</f>
        <v/>
      </c>
      <c r="U663" s="48" t="str">
        <f>IF(OR($S663&lt;&gt;"Win",NOT(ISNUMBER($T663)),NOT(ISNUMBER($R663))),"",MAX(0,$T663-$R663))</f>
        <v/>
      </c>
      <c r="V663" s="49" t="str">
        <f>IF(OR($AM663=0,NOT(ISNUMBER($H663)),NOT(ISNUMBER($I663)),NOT(ISNUMBER($G663))),"",IF(OR($AG663="",$AH663=""),"",IF(ROUND(ABS($H663-$I663)*ABS($G663)*$AG663*$AH663,6)=0,"",ROUND(ABS($H663-$I663)*ABS($G663)*$AG663*$AH663,6))))</f>
        <v/>
      </c>
      <c r="W663" s="50" t="str">
        <f>IF($AM663=0,"",IF($BG663="","OK",LEFT($BG663,LEN($BG663)-2)))</f>
        <v/>
      </c>
      <c r="X663" s="41" t="n"/>
      <c r="Y663" s="40" t="n"/>
      <c r="Z663" s="41" t="n"/>
      <c r="AA663" s="41" t="n"/>
      <c r="AB663" s="40" t="n"/>
      <c r="AC663" s="51" t="n"/>
      <c r="AD663" s="51" t="n"/>
      <c r="AE663" s="40" t="n"/>
      <c r="AF663" s="52" t="str">
        <f>IF($AM663=0,"",IF($D663&lt;&gt;"",$D663,IF(IFERROR(INDEX(Accounts!$C$7:$C$16,MATCH($C663,Accounts!$B$7:$B$16,0))&amp;"","")&lt;&gt;"",INDEX(Accounts!$C$7:$C$16,MATCH($C663,Accounts!$B$7:$B$16,0)),Settings!$C$6)))</f>
        <v/>
      </c>
      <c r="AG663" s="53" t="str">
        <f>IF($AM663=0,"",IF(AND($BE663&gt;0,N(INDEX(Instruments!$D$6:$D$205,MAX(1,$BE663)))&gt;0),INDEX(Instruments!$D$6:$D$205,MAX(1,$BE663)),IF(N(INDEX(Settings!$D$14:$D$18,$BF663))&gt;0,INDEX(Settings!$D$14:$D$18,$BF663),"")))</f>
        <v/>
      </c>
      <c r="AH663" s="54" t="str">
        <f>IF($AM663=0,"",IF($AF663&lt;&gt;"Forex",1,IF(MID(UPPER(SUBSTITUTE(TRIM($E663),"/","")),4,3)=UPPER(TRIM(Settings!$C$7)),1,IF(LEFT(UPPER(SUBSTITUTE(TRIM($E663),"/","")),3)=UPPER(TRIM(Settings!$C$7)),IF(AND(ISNUMBER($K663),N($K663)&lt;&gt;0),1/$K663,""),""))))</f>
        <v/>
      </c>
      <c r="AI663" s="55" t="str">
        <f>IF($AM663=0,"",IF(OR(NOT(ISNUMBER($H663)),NOT(ISNUMBER($K663)),NOT(ISNUMBER($G663)),$AG663="",$AH663=""),"",ROUND(($K663-$H663)*IF($F663="Short",-1,1)*$G663*$AG663*$AH663,6)))</f>
        <v/>
      </c>
      <c r="AJ663" s="55" t="str">
        <f>IF($AM663=0,"",IF(INDEX(Settings!$E$14:$E$18,$BF663)="% of notional",IF(OR($AG663="",NOT(ISNUMBER($H663)),NOT(ISNUMBER($G663))),"",ROUND(ABS($H663*$G663*$AG663*N($AH663))*IF($L663="Limit",N(INDEX(Settings!$G$14:$G$18,$BF663)),N(INDEX(Settings!$H$14:$H$18,$BF663)))+IF(ISNUMBER($K663),ABS($K663*$G663*$AG663*N($AH663))*IF($M663="Target",N(INDEX(Settings!$G$14:$G$18,$BF663)),N(INDEX(Settings!$H$14:$H$18,$BF663))),0),6)),IF(NOT(ISNUMBER($G663)),"",ROUND(ABS($G663)*2*IF(AND($BE663&gt;0,ISNUMBER(INDEX(Instruments!$G$6:$G$205,MAX(1,$BE663)))),INDEX(Instruments!$G$6:$G$205,MAX(1,$BE663)),N(INDEX(Settings!$F$14:$F$18,$BF663))),6))))</f>
        <v/>
      </c>
      <c r="AK663" s="55" t="str">
        <f>IF($AM663=0,"",IF(ISNUMBER($O663),$O663,$AI663))</f>
        <v/>
      </c>
      <c r="AL663" s="55" t="str">
        <f>IF($AM663=0,"",IF(ISNUMBER($P663),$P663,N($AJ663)))</f>
        <v/>
      </c>
      <c r="AM663" s="56">
        <f>IF(AND($A663&lt;&gt;"",$E663&lt;&gt;"",OR(AND(ISNUMBER($G663),ISNUMBER($H663),ISNUMBER($K663)),ISNUMBER($O663))),1,0)</f>
        <v>0</v>
      </c>
      <c r="AN663" s="57" t="str">
        <f>IF($A663="","",$A663-WEEKDAY($A663,3))</f>
        <v/>
      </c>
      <c r="AO663" s="56" t="str">
        <f>IF($A663="","",WEEKDAY($A663,2))</f>
        <v/>
      </c>
      <c r="AP663" s="55" t="str">
        <f>IF(OR($AM663=0,$C663=""),"",IFERROR(N(INDEX(Accounts!$E$7:$E$16,MATCH($C663,Accounts!$B$7:$B$16,0))),0)+SUMIFS($Q$6:$Q663,$C$6:$C663,$C663))</f>
        <v/>
      </c>
      <c r="AQ663" s="55" t="str">
        <f>IF(OR($AM663=0,$C663=""),"",SUMIFS($Q$6:$Q$1005,$C$6:$C$1005,$C663,$A$6:$A$1005,$A663))</f>
        <v/>
      </c>
      <c r="AR663" s="55" t="str">
        <f>IF(OR($AM663=0,$C663=""),"",IFERROR(N(INDEX(Accounts!$E$7:$E$16,MATCH($C663,Accounts!$B$7:$B$16,0))),0)+SUMIFS($Q$6:$Q$1005,$C$6:$C$1005,$C663,$A$6:$A$1005,"&lt;="&amp;$A663))</f>
        <v/>
      </c>
      <c r="AS663" s="56">
        <f>IF(OR($AM663=0,$Q663=""),0,IF(AND($A663&gt;=Lists!$W$6,$A663&lt;=Lists!$W$7,OR(Dashboard!$D$6="All accounts",$C663=Dashboard!$D$6),OR(Dashboard!$D$7="All markets",$AF663=Dashboard!$D$7)),1,0))</f>
        <v>0</v>
      </c>
      <c r="AT663" s="55">
        <f>IF($AS663=1,N(AT662)+$Q663,N(AT662))</f>
        <v>1187.10688</v>
      </c>
      <c r="AU663" s="55">
        <f>MAX(N(AU662),$AT663)</f>
        <v>1187.10688</v>
      </c>
      <c r="AV663" s="55">
        <f>$AT663-$AU663</f>
        <v>0</v>
      </c>
      <c r="AW663" s="56">
        <f>IF($AS663=1,IF($S663="Win",N(AW662)+1,IF($S663="Loss",0,N(AW662))),N(AW662))</f>
        <v>5</v>
      </c>
      <c r="AX663" s="56">
        <f>IF($AS663=1,IF($S663="Loss",N(AX662)+1,IF($S663="Win",0,N(AX662))),N(AX662))</f>
        <v>0</v>
      </c>
      <c r="AY663" s="56" t="str">
        <f>IF($AS663=1,COUNTIF($AS$6:$AS663,1),"")</f>
        <v/>
      </c>
      <c r="AZ663" s="56">
        <f>MIN(657,N(Lists!$W$8))</f>
        <v>28</v>
      </c>
      <c r="BA663" s="56">
        <f>IF($AS663=1,IF(COUNTIFS($A$6:$A663,$A663,$AS$6:$AS663,1)=1,1,0),0)</f>
        <v>0</v>
      </c>
      <c r="BB663" s="55" t="str">
        <f>IF($BA663=1,SUMIFS($Q$6:$Q$1005,$A$6:$A$1005,$A663,$AS$6:$AS$1005,1),"")</f>
        <v/>
      </c>
      <c r="BC663" s="56">
        <f>IF(ISNUMBER($R663),1,0)</f>
        <v>0</v>
      </c>
      <c r="BD663" s="55" t="str">
        <f>IF(ISNUMBER($U663),$U663*$V663,"")</f>
        <v/>
      </c>
      <c r="BE663" s="56" t="str">
        <f>IF($AM663=0,"",IFERROR(MATCH($AF663&amp;"|"&amp;UPPER(TRIM($E663)),Lists!$A$6:$A$205,0),0))</f>
        <v/>
      </c>
      <c r="BF663" s="56" t="str">
        <f>IF($AM663=0,"",IFERROR(MATCH($AF663,Settings!$B$14:$B$18,0),IFERROR(MATCH(Settings!$C$6,Settings!$B$14:$B$18,0),1)))</f>
        <v/>
      </c>
      <c r="BG663" s="58" t="str">
        <f>IF($AM663=0,"",IF(NOT(ISNUMBER($I663)),"No stop; ","")&amp;IF(AND(ISNUMBER($H663),ISNUMBER($I663)),IF(OR(AND($F663&lt;&gt;"Short",$I663&gt;=$H663),AND($F663="Short",$I663&lt;=$H663)),"Stop on wrong side; ",""),"")&amp;IF($F663="","No direction; ","")&amp;IF(AND(ISNUMBER(Settings!$C$22),ISNUMBER($V663)),IF($V663&gt;Settings!$C$22,"Risk over max $; ",""),"")&amp;IF(AND(ISNUMBER(Settings!$C$23),ISNUMBER($V663),ISNUMBER($AP663),IFERROR(N(INDEX(Accounts!$E$7:$E$16,MATCH($C663,Accounts!$B$7:$B$16,0))),0)&gt;0),IF($V663&gt;Settings!$C$23*($AP663-N($Q663)),"Risk over max %; ",""),"")&amp;IF(AND(ISNUMBER(Settings!$C$24),ISNUMBER($N663)),IF($N663&gt;Settings!$C$24,"Leverage over max; ",""),"")&amp;IF(AND(ISNUMBER(Settings!$C$27),ISNUMBER($T663)),IF($T663&lt;Settings!$C$27,"R:R below min; ",""),"")&amp;IF(ISNUMBER(Settings!$C$25),IF(COUNTIFS($A$6:$A663,$A663,$AM$6:$AM663,1)&gt;Settings!$C$25,"Over max trades/day; ",""),"")&amp;IF(ISNUMBER(Settings!$C$26),IF(SUMIFS($Q$5:$Q662,$A$5:$A662,$A663)&lt;=-Settings!$C$26,"Traded after daily max loss; ",""),"")&amp;IF(AND($AG663="",NOT(ISNUMBER($O663))),"Symbol not in Instruments; ","")&amp;IF(AND($AH663="",NOT(ISNUMBER($O663))),"Forex cross: type Gross P&amp;L; ",""))</f>
        <v/>
      </c>
      <c r="BH663" s="56">
        <f>IF(ISNUMBER($Q663),1,0)</f>
        <v>0</v>
      </c>
      <c r="BI663" s="56">
        <f>IF($Y663="",0,1)</f>
        <v>0</v>
      </c>
      <c r="BJ663" s="56">
        <f>IF($AB663="",0,1)</f>
        <v>0</v>
      </c>
      <c r="BK663" s="56">
        <f>IF(AND($BH663=1,$W663&lt;&gt;"OK"),1,0)</f>
        <v>0</v>
      </c>
      <c r="BL663" s="55">
        <f>IF(N($AZ663)=0,0,IFERROR(INDEX($AT$6:$AT$1005,MATCH($AZ663,$AY$6:$AY$1005,0)),0))</f>
        <v>1187.10688</v>
      </c>
      <c r="BM663" s="56">
        <f>IF(ISNUMBER(SEARCH("daily max loss",$BG663)),1,0)</f>
        <v>0</v>
      </c>
    </row>
    <row r="664" ht="18" customHeight="1">
      <c r="A664" s="38" t="n"/>
      <c r="B664" s="39" t="n"/>
      <c r="C664" s="40" t="n"/>
      <c r="D664" s="41" t="n"/>
      <c r="E664" s="41" t="n"/>
      <c r="F664" s="41" t="n"/>
      <c r="G664" s="41" t="n"/>
      <c r="H664" s="42" t="n"/>
      <c r="I664" s="42" t="n"/>
      <c r="J664" s="42" t="n"/>
      <c r="K664" s="42" t="n"/>
      <c r="L664" s="41" t="n"/>
      <c r="M664" s="41" t="n"/>
      <c r="N664" s="41" t="n"/>
      <c r="O664" s="43" t="n"/>
      <c r="P664" s="43" t="n"/>
      <c r="Q664" s="44" t="str">
        <f>IF($AM664=0,"",IF(ISNUMBER($AK664),$AK664-N($AL664),""))</f>
        <v/>
      </c>
      <c r="R664" s="45" t="str">
        <f>IF(OR($Q664="",NOT(ISNUMBER($V664))),"",$AK664/$V664)</f>
        <v/>
      </c>
      <c r="S664" s="46" t="str">
        <f>IF($Q664="","",IF(AND(ISNUMBER($R664),ABS(N($R664))&lt;N(Settings!$C$8)),"Scratch",IF($Q664&gt;0,"Win",IF($Q664&lt;0,"Loss","Scratch"))))</f>
        <v/>
      </c>
      <c r="T664" s="47" t="str">
        <f>IF(OR($AM664=0,NOT(ISNUMBER($H664)),NOT(ISNUMBER($I664)),NOT(ISNUMBER($J664))),"",IF($H664=$I664,"",ROUND(ABS($J664-$H664)/ABS($H664-$I664),6)))</f>
        <v/>
      </c>
      <c r="U664" s="48" t="str">
        <f>IF(OR($S664&lt;&gt;"Win",NOT(ISNUMBER($T664)),NOT(ISNUMBER($R664))),"",MAX(0,$T664-$R664))</f>
        <v/>
      </c>
      <c r="V664" s="49" t="str">
        <f>IF(OR($AM664=0,NOT(ISNUMBER($H664)),NOT(ISNUMBER($I664)),NOT(ISNUMBER($G664))),"",IF(OR($AG664="",$AH664=""),"",IF(ROUND(ABS($H664-$I664)*ABS($G664)*$AG664*$AH664,6)=0,"",ROUND(ABS($H664-$I664)*ABS($G664)*$AG664*$AH664,6))))</f>
        <v/>
      </c>
      <c r="W664" s="50" t="str">
        <f>IF($AM664=0,"",IF($BG664="","OK",LEFT($BG664,LEN($BG664)-2)))</f>
        <v/>
      </c>
      <c r="X664" s="41" t="n"/>
      <c r="Y664" s="40" t="n"/>
      <c r="Z664" s="41" t="n"/>
      <c r="AA664" s="41" t="n"/>
      <c r="AB664" s="40" t="n"/>
      <c r="AC664" s="51" t="n"/>
      <c r="AD664" s="51" t="n"/>
      <c r="AE664" s="40" t="n"/>
      <c r="AF664" s="52" t="str">
        <f>IF($AM664=0,"",IF($D664&lt;&gt;"",$D664,IF(IFERROR(INDEX(Accounts!$C$7:$C$16,MATCH($C664,Accounts!$B$7:$B$16,0))&amp;"","")&lt;&gt;"",INDEX(Accounts!$C$7:$C$16,MATCH($C664,Accounts!$B$7:$B$16,0)),Settings!$C$6)))</f>
        <v/>
      </c>
      <c r="AG664" s="53" t="str">
        <f>IF($AM664=0,"",IF(AND($BE664&gt;0,N(INDEX(Instruments!$D$6:$D$205,MAX(1,$BE664)))&gt;0),INDEX(Instruments!$D$6:$D$205,MAX(1,$BE664)),IF(N(INDEX(Settings!$D$14:$D$18,$BF664))&gt;0,INDEX(Settings!$D$14:$D$18,$BF664),"")))</f>
        <v/>
      </c>
      <c r="AH664" s="54" t="str">
        <f>IF($AM664=0,"",IF($AF664&lt;&gt;"Forex",1,IF(MID(UPPER(SUBSTITUTE(TRIM($E664),"/","")),4,3)=UPPER(TRIM(Settings!$C$7)),1,IF(LEFT(UPPER(SUBSTITUTE(TRIM($E664),"/","")),3)=UPPER(TRIM(Settings!$C$7)),IF(AND(ISNUMBER($K664),N($K664)&lt;&gt;0),1/$K664,""),""))))</f>
        <v/>
      </c>
      <c r="AI664" s="55" t="str">
        <f>IF($AM664=0,"",IF(OR(NOT(ISNUMBER($H664)),NOT(ISNUMBER($K664)),NOT(ISNUMBER($G664)),$AG664="",$AH664=""),"",ROUND(($K664-$H664)*IF($F664="Short",-1,1)*$G664*$AG664*$AH664,6)))</f>
        <v/>
      </c>
      <c r="AJ664" s="55" t="str">
        <f>IF($AM664=0,"",IF(INDEX(Settings!$E$14:$E$18,$BF664)="% of notional",IF(OR($AG664="",NOT(ISNUMBER($H664)),NOT(ISNUMBER($G664))),"",ROUND(ABS($H664*$G664*$AG664*N($AH664))*IF($L664="Limit",N(INDEX(Settings!$G$14:$G$18,$BF664)),N(INDEX(Settings!$H$14:$H$18,$BF664)))+IF(ISNUMBER($K664),ABS($K664*$G664*$AG664*N($AH664))*IF($M664="Target",N(INDEX(Settings!$G$14:$G$18,$BF664)),N(INDEX(Settings!$H$14:$H$18,$BF664))),0),6)),IF(NOT(ISNUMBER($G664)),"",ROUND(ABS($G664)*2*IF(AND($BE664&gt;0,ISNUMBER(INDEX(Instruments!$G$6:$G$205,MAX(1,$BE664)))),INDEX(Instruments!$G$6:$G$205,MAX(1,$BE664)),N(INDEX(Settings!$F$14:$F$18,$BF664))),6))))</f>
        <v/>
      </c>
      <c r="AK664" s="55" t="str">
        <f>IF($AM664=0,"",IF(ISNUMBER($O664),$O664,$AI664))</f>
        <v/>
      </c>
      <c r="AL664" s="55" t="str">
        <f>IF($AM664=0,"",IF(ISNUMBER($P664),$P664,N($AJ664)))</f>
        <v/>
      </c>
      <c r="AM664" s="56">
        <f>IF(AND($A664&lt;&gt;"",$E664&lt;&gt;"",OR(AND(ISNUMBER($G664),ISNUMBER($H664),ISNUMBER($K664)),ISNUMBER($O664))),1,0)</f>
        <v>0</v>
      </c>
      <c r="AN664" s="57" t="str">
        <f>IF($A664="","",$A664-WEEKDAY($A664,3))</f>
        <v/>
      </c>
      <c r="AO664" s="56" t="str">
        <f>IF($A664="","",WEEKDAY($A664,2))</f>
        <v/>
      </c>
      <c r="AP664" s="55" t="str">
        <f>IF(OR($AM664=0,$C664=""),"",IFERROR(N(INDEX(Accounts!$E$7:$E$16,MATCH($C664,Accounts!$B$7:$B$16,0))),0)+SUMIFS($Q$6:$Q664,$C$6:$C664,$C664))</f>
        <v/>
      </c>
      <c r="AQ664" s="55" t="str">
        <f>IF(OR($AM664=0,$C664=""),"",SUMIFS($Q$6:$Q$1005,$C$6:$C$1005,$C664,$A$6:$A$1005,$A664))</f>
        <v/>
      </c>
      <c r="AR664" s="55" t="str">
        <f>IF(OR($AM664=0,$C664=""),"",IFERROR(N(INDEX(Accounts!$E$7:$E$16,MATCH($C664,Accounts!$B$7:$B$16,0))),0)+SUMIFS($Q$6:$Q$1005,$C$6:$C$1005,$C664,$A$6:$A$1005,"&lt;="&amp;$A664))</f>
        <v/>
      </c>
      <c r="AS664" s="56">
        <f>IF(OR($AM664=0,$Q664=""),0,IF(AND($A664&gt;=Lists!$W$6,$A664&lt;=Lists!$W$7,OR(Dashboard!$D$6="All accounts",$C664=Dashboard!$D$6),OR(Dashboard!$D$7="All markets",$AF664=Dashboard!$D$7)),1,0))</f>
        <v>0</v>
      </c>
      <c r="AT664" s="55">
        <f>IF($AS664=1,N(AT663)+$Q664,N(AT663))</f>
        <v>1187.10688</v>
      </c>
      <c r="AU664" s="55">
        <f>MAX(N(AU663),$AT664)</f>
        <v>1187.10688</v>
      </c>
      <c r="AV664" s="55">
        <f>$AT664-$AU664</f>
        <v>0</v>
      </c>
      <c r="AW664" s="56">
        <f>IF($AS664=1,IF($S664="Win",N(AW663)+1,IF($S664="Loss",0,N(AW663))),N(AW663))</f>
        <v>5</v>
      </c>
      <c r="AX664" s="56">
        <f>IF($AS664=1,IF($S664="Loss",N(AX663)+1,IF($S664="Win",0,N(AX663))),N(AX663))</f>
        <v>0</v>
      </c>
      <c r="AY664" s="56" t="str">
        <f>IF($AS664=1,COUNTIF($AS$6:$AS664,1),"")</f>
        <v/>
      </c>
      <c r="AZ664" s="56">
        <f>MIN(658,N(Lists!$W$8))</f>
        <v>28</v>
      </c>
      <c r="BA664" s="56">
        <f>IF($AS664=1,IF(COUNTIFS($A$6:$A664,$A664,$AS$6:$AS664,1)=1,1,0),0)</f>
        <v>0</v>
      </c>
      <c r="BB664" s="55" t="str">
        <f>IF($BA664=1,SUMIFS($Q$6:$Q$1005,$A$6:$A$1005,$A664,$AS$6:$AS$1005,1),"")</f>
        <v/>
      </c>
      <c r="BC664" s="56">
        <f>IF(ISNUMBER($R664),1,0)</f>
        <v>0</v>
      </c>
      <c r="BD664" s="55" t="str">
        <f>IF(ISNUMBER($U664),$U664*$V664,"")</f>
        <v/>
      </c>
      <c r="BE664" s="56" t="str">
        <f>IF($AM664=0,"",IFERROR(MATCH($AF664&amp;"|"&amp;UPPER(TRIM($E664)),Lists!$A$6:$A$205,0),0))</f>
        <v/>
      </c>
      <c r="BF664" s="56" t="str">
        <f>IF($AM664=0,"",IFERROR(MATCH($AF664,Settings!$B$14:$B$18,0),IFERROR(MATCH(Settings!$C$6,Settings!$B$14:$B$18,0),1)))</f>
        <v/>
      </c>
      <c r="BG664" s="58" t="str">
        <f>IF($AM664=0,"",IF(NOT(ISNUMBER($I664)),"No stop; ","")&amp;IF(AND(ISNUMBER($H664),ISNUMBER($I664)),IF(OR(AND($F664&lt;&gt;"Short",$I664&gt;=$H664),AND($F664="Short",$I664&lt;=$H664)),"Stop on wrong side; ",""),"")&amp;IF($F664="","No direction; ","")&amp;IF(AND(ISNUMBER(Settings!$C$22),ISNUMBER($V664)),IF($V664&gt;Settings!$C$22,"Risk over max $; ",""),"")&amp;IF(AND(ISNUMBER(Settings!$C$23),ISNUMBER($V664),ISNUMBER($AP664),IFERROR(N(INDEX(Accounts!$E$7:$E$16,MATCH($C664,Accounts!$B$7:$B$16,0))),0)&gt;0),IF($V664&gt;Settings!$C$23*($AP664-N($Q664)),"Risk over max %; ",""),"")&amp;IF(AND(ISNUMBER(Settings!$C$24),ISNUMBER($N664)),IF($N664&gt;Settings!$C$24,"Leverage over max; ",""),"")&amp;IF(AND(ISNUMBER(Settings!$C$27),ISNUMBER($T664)),IF($T664&lt;Settings!$C$27,"R:R below min; ",""),"")&amp;IF(ISNUMBER(Settings!$C$25),IF(COUNTIFS($A$6:$A664,$A664,$AM$6:$AM664,1)&gt;Settings!$C$25,"Over max trades/day; ",""),"")&amp;IF(ISNUMBER(Settings!$C$26),IF(SUMIFS($Q$5:$Q663,$A$5:$A663,$A664)&lt;=-Settings!$C$26,"Traded after daily max loss; ",""),"")&amp;IF(AND($AG664="",NOT(ISNUMBER($O664))),"Symbol not in Instruments; ","")&amp;IF(AND($AH664="",NOT(ISNUMBER($O664))),"Forex cross: type Gross P&amp;L; ",""))</f>
        <v/>
      </c>
      <c r="BH664" s="56">
        <f>IF(ISNUMBER($Q664),1,0)</f>
        <v>0</v>
      </c>
      <c r="BI664" s="56">
        <f>IF($Y664="",0,1)</f>
        <v>0</v>
      </c>
      <c r="BJ664" s="56">
        <f>IF($AB664="",0,1)</f>
        <v>0</v>
      </c>
      <c r="BK664" s="56">
        <f>IF(AND($BH664=1,$W664&lt;&gt;"OK"),1,0)</f>
        <v>0</v>
      </c>
      <c r="BL664" s="55">
        <f>IF(N($AZ664)=0,0,IFERROR(INDEX($AT$6:$AT$1005,MATCH($AZ664,$AY$6:$AY$1005,0)),0))</f>
        <v>1187.10688</v>
      </c>
      <c r="BM664" s="56">
        <f>IF(ISNUMBER(SEARCH("daily max loss",$BG664)),1,0)</f>
        <v>0</v>
      </c>
    </row>
    <row r="665" ht="18" customHeight="1">
      <c r="A665" s="38" t="n"/>
      <c r="B665" s="39" t="n"/>
      <c r="C665" s="40" t="n"/>
      <c r="D665" s="41" t="n"/>
      <c r="E665" s="41" t="n"/>
      <c r="F665" s="41" t="n"/>
      <c r="G665" s="41" t="n"/>
      <c r="H665" s="42" t="n"/>
      <c r="I665" s="42" t="n"/>
      <c r="J665" s="42" t="n"/>
      <c r="K665" s="42" t="n"/>
      <c r="L665" s="41" t="n"/>
      <c r="M665" s="41" t="n"/>
      <c r="N665" s="41" t="n"/>
      <c r="O665" s="43" t="n"/>
      <c r="P665" s="43" t="n"/>
      <c r="Q665" s="44" t="str">
        <f>IF($AM665=0,"",IF(ISNUMBER($AK665),$AK665-N($AL665),""))</f>
        <v/>
      </c>
      <c r="R665" s="45" t="str">
        <f>IF(OR($Q665="",NOT(ISNUMBER($V665))),"",$AK665/$V665)</f>
        <v/>
      </c>
      <c r="S665" s="46" t="str">
        <f>IF($Q665="","",IF(AND(ISNUMBER($R665),ABS(N($R665))&lt;N(Settings!$C$8)),"Scratch",IF($Q665&gt;0,"Win",IF($Q665&lt;0,"Loss","Scratch"))))</f>
        <v/>
      </c>
      <c r="T665" s="47" t="str">
        <f>IF(OR($AM665=0,NOT(ISNUMBER($H665)),NOT(ISNUMBER($I665)),NOT(ISNUMBER($J665))),"",IF($H665=$I665,"",ROUND(ABS($J665-$H665)/ABS($H665-$I665),6)))</f>
        <v/>
      </c>
      <c r="U665" s="48" t="str">
        <f>IF(OR($S665&lt;&gt;"Win",NOT(ISNUMBER($T665)),NOT(ISNUMBER($R665))),"",MAX(0,$T665-$R665))</f>
        <v/>
      </c>
      <c r="V665" s="49" t="str">
        <f>IF(OR($AM665=0,NOT(ISNUMBER($H665)),NOT(ISNUMBER($I665)),NOT(ISNUMBER($G665))),"",IF(OR($AG665="",$AH665=""),"",IF(ROUND(ABS($H665-$I665)*ABS($G665)*$AG665*$AH665,6)=0,"",ROUND(ABS($H665-$I665)*ABS($G665)*$AG665*$AH665,6))))</f>
        <v/>
      </c>
      <c r="W665" s="50" t="str">
        <f>IF($AM665=0,"",IF($BG665="","OK",LEFT($BG665,LEN($BG665)-2)))</f>
        <v/>
      </c>
      <c r="X665" s="41" t="n"/>
      <c r="Y665" s="40" t="n"/>
      <c r="Z665" s="41" t="n"/>
      <c r="AA665" s="41" t="n"/>
      <c r="AB665" s="40" t="n"/>
      <c r="AC665" s="51" t="n"/>
      <c r="AD665" s="51" t="n"/>
      <c r="AE665" s="40" t="n"/>
      <c r="AF665" s="52" t="str">
        <f>IF($AM665=0,"",IF($D665&lt;&gt;"",$D665,IF(IFERROR(INDEX(Accounts!$C$7:$C$16,MATCH($C665,Accounts!$B$7:$B$16,0))&amp;"","")&lt;&gt;"",INDEX(Accounts!$C$7:$C$16,MATCH($C665,Accounts!$B$7:$B$16,0)),Settings!$C$6)))</f>
        <v/>
      </c>
      <c r="AG665" s="53" t="str">
        <f>IF($AM665=0,"",IF(AND($BE665&gt;0,N(INDEX(Instruments!$D$6:$D$205,MAX(1,$BE665)))&gt;0),INDEX(Instruments!$D$6:$D$205,MAX(1,$BE665)),IF(N(INDEX(Settings!$D$14:$D$18,$BF665))&gt;0,INDEX(Settings!$D$14:$D$18,$BF665),"")))</f>
        <v/>
      </c>
      <c r="AH665" s="54" t="str">
        <f>IF($AM665=0,"",IF($AF665&lt;&gt;"Forex",1,IF(MID(UPPER(SUBSTITUTE(TRIM($E665),"/","")),4,3)=UPPER(TRIM(Settings!$C$7)),1,IF(LEFT(UPPER(SUBSTITUTE(TRIM($E665),"/","")),3)=UPPER(TRIM(Settings!$C$7)),IF(AND(ISNUMBER($K665),N($K665)&lt;&gt;0),1/$K665,""),""))))</f>
        <v/>
      </c>
      <c r="AI665" s="55" t="str">
        <f>IF($AM665=0,"",IF(OR(NOT(ISNUMBER($H665)),NOT(ISNUMBER($K665)),NOT(ISNUMBER($G665)),$AG665="",$AH665=""),"",ROUND(($K665-$H665)*IF($F665="Short",-1,1)*$G665*$AG665*$AH665,6)))</f>
        <v/>
      </c>
      <c r="AJ665" s="55" t="str">
        <f>IF($AM665=0,"",IF(INDEX(Settings!$E$14:$E$18,$BF665)="% of notional",IF(OR($AG665="",NOT(ISNUMBER($H665)),NOT(ISNUMBER($G665))),"",ROUND(ABS($H665*$G665*$AG665*N($AH665))*IF($L665="Limit",N(INDEX(Settings!$G$14:$G$18,$BF665)),N(INDEX(Settings!$H$14:$H$18,$BF665)))+IF(ISNUMBER($K665),ABS($K665*$G665*$AG665*N($AH665))*IF($M665="Target",N(INDEX(Settings!$G$14:$G$18,$BF665)),N(INDEX(Settings!$H$14:$H$18,$BF665))),0),6)),IF(NOT(ISNUMBER($G665)),"",ROUND(ABS($G665)*2*IF(AND($BE665&gt;0,ISNUMBER(INDEX(Instruments!$G$6:$G$205,MAX(1,$BE665)))),INDEX(Instruments!$G$6:$G$205,MAX(1,$BE665)),N(INDEX(Settings!$F$14:$F$18,$BF665))),6))))</f>
        <v/>
      </c>
      <c r="AK665" s="55" t="str">
        <f>IF($AM665=0,"",IF(ISNUMBER($O665),$O665,$AI665))</f>
        <v/>
      </c>
      <c r="AL665" s="55" t="str">
        <f>IF($AM665=0,"",IF(ISNUMBER($P665),$P665,N($AJ665)))</f>
        <v/>
      </c>
      <c r="AM665" s="56">
        <f>IF(AND($A665&lt;&gt;"",$E665&lt;&gt;"",OR(AND(ISNUMBER($G665),ISNUMBER($H665),ISNUMBER($K665)),ISNUMBER($O665))),1,0)</f>
        <v>0</v>
      </c>
      <c r="AN665" s="57" t="str">
        <f>IF($A665="","",$A665-WEEKDAY($A665,3))</f>
        <v/>
      </c>
      <c r="AO665" s="56" t="str">
        <f>IF($A665="","",WEEKDAY($A665,2))</f>
        <v/>
      </c>
      <c r="AP665" s="55" t="str">
        <f>IF(OR($AM665=0,$C665=""),"",IFERROR(N(INDEX(Accounts!$E$7:$E$16,MATCH($C665,Accounts!$B$7:$B$16,0))),0)+SUMIFS($Q$6:$Q665,$C$6:$C665,$C665))</f>
        <v/>
      </c>
      <c r="AQ665" s="55" t="str">
        <f>IF(OR($AM665=0,$C665=""),"",SUMIFS($Q$6:$Q$1005,$C$6:$C$1005,$C665,$A$6:$A$1005,$A665))</f>
        <v/>
      </c>
      <c r="AR665" s="55" t="str">
        <f>IF(OR($AM665=0,$C665=""),"",IFERROR(N(INDEX(Accounts!$E$7:$E$16,MATCH($C665,Accounts!$B$7:$B$16,0))),0)+SUMIFS($Q$6:$Q$1005,$C$6:$C$1005,$C665,$A$6:$A$1005,"&lt;="&amp;$A665))</f>
        <v/>
      </c>
      <c r="AS665" s="56">
        <f>IF(OR($AM665=0,$Q665=""),0,IF(AND($A665&gt;=Lists!$W$6,$A665&lt;=Lists!$W$7,OR(Dashboard!$D$6="All accounts",$C665=Dashboard!$D$6),OR(Dashboard!$D$7="All markets",$AF665=Dashboard!$D$7)),1,0))</f>
        <v>0</v>
      </c>
      <c r="AT665" s="55">
        <f>IF($AS665=1,N(AT664)+$Q665,N(AT664))</f>
        <v>1187.10688</v>
      </c>
      <c r="AU665" s="55">
        <f>MAX(N(AU664),$AT665)</f>
        <v>1187.10688</v>
      </c>
      <c r="AV665" s="55">
        <f>$AT665-$AU665</f>
        <v>0</v>
      </c>
      <c r="AW665" s="56">
        <f>IF($AS665=1,IF($S665="Win",N(AW664)+1,IF($S665="Loss",0,N(AW664))),N(AW664))</f>
        <v>5</v>
      </c>
      <c r="AX665" s="56">
        <f>IF($AS665=1,IF($S665="Loss",N(AX664)+1,IF($S665="Win",0,N(AX664))),N(AX664))</f>
        <v>0</v>
      </c>
      <c r="AY665" s="56" t="str">
        <f>IF($AS665=1,COUNTIF($AS$6:$AS665,1),"")</f>
        <v/>
      </c>
      <c r="AZ665" s="56">
        <f>MIN(659,N(Lists!$W$8))</f>
        <v>28</v>
      </c>
      <c r="BA665" s="56">
        <f>IF($AS665=1,IF(COUNTIFS($A$6:$A665,$A665,$AS$6:$AS665,1)=1,1,0),0)</f>
        <v>0</v>
      </c>
      <c r="BB665" s="55" t="str">
        <f>IF($BA665=1,SUMIFS($Q$6:$Q$1005,$A$6:$A$1005,$A665,$AS$6:$AS$1005,1),"")</f>
        <v/>
      </c>
      <c r="BC665" s="56">
        <f>IF(ISNUMBER($R665),1,0)</f>
        <v>0</v>
      </c>
      <c r="BD665" s="55" t="str">
        <f>IF(ISNUMBER($U665),$U665*$V665,"")</f>
        <v/>
      </c>
      <c r="BE665" s="56" t="str">
        <f>IF($AM665=0,"",IFERROR(MATCH($AF665&amp;"|"&amp;UPPER(TRIM($E665)),Lists!$A$6:$A$205,0),0))</f>
        <v/>
      </c>
      <c r="BF665" s="56" t="str">
        <f>IF($AM665=0,"",IFERROR(MATCH($AF665,Settings!$B$14:$B$18,0),IFERROR(MATCH(Settings!$C$6,Settings!$B$14:$B$18,0),1)))</f>
        <v/>
      </c>
      <c r="BG665" s="58" t="str">
        <f>IF($AM665=0,"",IF(NOT(ISNUMBER($I665)),"No stop; ","")&amp;IF(AND(ISNUMBER($H665),ISNUMBER($I665)),IF(OR(AND($F665&lt;&gt;"Short",$I665&gt;=$H665),AND($F665="Short",$I665&lt;=$H665)),"Stop on wrong side; ",""),"")&amp;IF($F665="","No direction; ","")&amp;IF(AND(ISNUMBER(Settings!$C$22),ISNUMBER($V665)),IF($V665&gt;Settings!$C$22,"Risk over max $; ",""),"")&amp;IF(AND(ISNUMBER(Settings!$C$23),ISNUMBER($V665),ISNUMBER($AP665),IFERROR(N(INDEX(Accounts!$E$7:$E$16,MATCH($C665,Accounts!$B$7:$B$16,0))),0)&gt;0),IF($V665&gt;Settings!$C$23*($AP665-N($Q665)),"Risk over max %; ",""),"")&amp;IF(AND(ISNUMBER(Settings!$C$24),ISNUMBER($N665)),IF($N665&gt;Settings!$C$24,"Leverage over max; ",""),"")&amp;IF(AND(ISNUMBER(Settings!$C$27),ISNUMBER($T665)),IF($T665&lt;Settings!$C$27,"R:R below min; ",""),"")&amp;IF(ISNUMBER(Settings!$C$25),IF(COUNTIFS($A$6:$A665,$A665,$AM$6:$AM665,1)&gt;Settings!$C$25,"Over max trades/day; ",""),"")&amp;IF(ISNUMBER(Settings!$C$26),IF(SUMIFS($Q$5:$Q664,$A$5:$A664,$A665)&lt;=-Settings!$C$26,"Traded after daily max loss; ",""),"")&amp;IF(AND($AG665="",NOT(ISNUMBER($O665))),"Symbol not in Instruments; ","")&amp;IF(AND($AH665="",NOT(ISNUMBER($O665))),"Forex cross: type Gross P&amp;L; ",""))</f>
        <v/>
      </c>
      <c r="BH665" s="56">
        <f>IF(ISNUMBER($Q665),1,0)</f>
        <v>0</v>
      </c>
      <c r="BI665" s="56">
        <f>IF($Y665="",0,1)</f>
        <v>0</v>
      </c>
      <c r="BJ665" s="56">
        <f>IF($AB665="",0,1)</f>
        <v>0</v>
      </c>
      <c r="BK665" s="56">
        <f>IF(AND($BH665=1,$W665&lt;&gt;"OK"),1,0)</f>
        <v>0</v>
      </c>
      <c r="BL665" s="55">
        <f>IF(N($AZ665)=0,0,IFERROR(INDEX($AT$6:$AT$1005,MATCH($AZ665,$AY$6:$AY$1005,0)),0))</f>
        <v>1187.10688</v>
      </c>
      <c r="BM665" s="56">
        <f>IF(ISNUMBER(SEARCH("daily max loss",$BG665)),1,0)</f>
        <v>0</v>
      </c>
    </row>
    <row r="666" ht="18" customHeight="1">
      <c r="A666" s="38" t="n"/>
      <c r="B666" s="39" t="n"/>
      <c r="C666" s="40" t="n"/>
      <c r="D666" s="41" t="n"/>
      <c r="E666" s="41" t="n"/>
      <c r="F666" s="41" t="n"/>
      <c r="G666" s="41" t="n"/>
      <c r="H666" s="42" t="n"/>
      <c r="I666" s="42" t="n"/>
      <c r="J666" s="42" t="n"/>
      <c r="K666" s="42" t="n"/>
      <c r="L666" s="41" t="n"/>
      <c r="M666" s="41" t="n"/>
      <c r="N666" s="41" t="n"/>
      <c r="O666" s="43" t="n"/>
      <c r="P666" s="43" t="n"/>
      <c r="Q666" s="44" t="str">
        <f>IF($AM666=0,"",IF(ISNUMBER($AK666),$AK666-N($AL666),""))</f>
        <v/>
      </c>
      <c r="R666" s="45" t="str">
        <f>IF(OR($Q666="",NOT(ISNUMBER($V666))),"",$AK666/$V666)</f>
        <v/>
      </c>
      <c r="S666" s="46" t="str">
        <f>IF($Q666="","",IF(AND(ISNUMBER($R666),ABS(N($R666))&lt;N(Settings!$C$8)),"Scratch",IF($Q666&gt;0,"Win",IF($Q666&lt;0,"Loss","Scratch"))))</f>
        <v/>
      </c>
      <c r="T666" s="47" t="str">
        <f>IF(OR($AM666=0,NOT(ISNUMBER($H666)),NOT(ISNUMBER($I666)),NOT(ISNUMBER($J666))),"",IF($H666=$I666,"",ROUND(ABS($J666-$H666)/ABS($H666-$I666),6)))</f>
        <v/>
      </c>
      <c r="U666" s="48" t="str">
        <f>IF(OR($S666&lt;&gt;"Win",NOT(ISNUMBER($T666)),NOT(ISNUMBER($R666))),"",MAX(0,$T666-$R666))</f>
        <v/>
      </c>
      <c r="V666" s="49" t="str">
        <f>IF(OR($AM666=0,NOT(ISNUMBER($H666)),NOT(ISNUMBER($I666)),NOT(ISNUMBER($G666))),"",IF(OR($AG666="",$AH666=""),"",IF(ROUND(ABS($H666-$I666)*ABS($G666)*$AG666*$AH666,6)=0,"",ROUND(ABS($H666-$I666)*ABS($G666)*$AG666*$AH666,6))))</f>
        <v/>
      </c>
      <c r="W666" s="50" t="str">
        <f>IF($AM666=0,"",IF($BG666="","OK",LEFT($BG666,LEN($BG666)-2)))</f>
        <v/>
      </c>
      <c r="X666" s="41" t="n"/>
      <c r="Y666" s="40" t="n"/>
      <c r="Z666" s="41" t="n"/>
      <c r="AA666" s="41" t="n"/>
      <c r="AB666" s="40" t="n"/>
      <c r="AC666" s="51" t="n"/>
      <c r="AD666" s="51" t="n"/>
      <c r="AE666" s="40" t="n"/>
      <c r="AF666" s="52" t="str">
        <f>IF($AM666=0,"",IF($D666&lt;&gt;"",$D666,IF(IFERROR(INDEX(Accounts!$C$7:$C$16,MATCH($C666,Accounts!$B$7:$B$16,0))&amp;"","")&lt;&gt;"",INDEX(Accounts!$C$7:$C$16,MATCH($C666,Accounts!$B$7:$B$16,0)),Settings!$C$6)))</f>
        <v/>
      </c>
      <c r="AG666" s="53" t="str">
        <f>IF($AM666=0,"",IF(AND($BE666&gt;0,N(INDEX(Instruments!$D$6:$D$205,MAX(1,$BE666)))&gt;0),INDEX(Instruments!$D$6:$D$205,MAX(1,$BE666)),IF(N(INDEX(Settings!$D$14:$D$18,$BF666))&gt;0,INDEX(Settings!$D$14:$D$18,$BF666),"")))</f>
        <v/>
      </c>
      <c r="AH666" s="54" t="str">
        <f>IF($AM666=0,"",IF($AF666&lt;&gt;"Forex",1,IF(MID(UPPER(SUBSTITUTE(TRIM($E666),"/","")),4,3)=UPPER(TRIM(Settings!$C$7)),1,IF(LEFT(UPPER(SUBSTITUTE(TRIM($E666),"/","")),3)=UPPER(TRIM(Settings!$C$7)),IF(AND(ISNUMBER($K666),N($K666)&lt;&gt;0),1/$K666,""),""))))</f>
        <v/>
      </c>
      <c r="AI666" s="55" t="str">
        <f>IF($AM666=0,"",IF(OR(NOT(ISNUMBER($H666)),NOT(ISNUMBER($K666)),NOT(ISNUMBER($G666)),$AG666="",$AH666=""),"",ROUND(($K666-$H666)*IF($F666="Short",-1,1)*$G666*$AG666*$AH666,6)))</f>
        <v/>
      </c>
      <c r="AJ666" s="55" t="str">
        <f>IF($AM666=0,"",IF(INDEX(Settings!$E$14:$E$18,$BF666)="% of notional",IF(OR($AG666="",NOT(ISNUMBER($H666)),NOT(ISNUMBER($G666))),"",ROUND(ABS($H666*$G666*$AG666*N($AH666))*IF($L666="Limit",N(INDEX(Settings!$G$14:$G$18,$BF666)),N(INDEX(Settings!$H$14:$H$18,$BF666)))+IF(ISNUMBER($K666),ABS($K666*$G666*$AG666*N($AH666))*IF($M666="Target",N(INDEX(Settings!$G$14:$G$18,$BF666)),N(INDEX(Settings!$H$14:$H$18,$BF666))),0),6)),IF(NOT(ISNUMBER($G666)),"",ROUND(ABS($G666)*2*IF(AND($BE666&gt;0,ISNUMBER(INDEX(Instruments!$G$6:$G$205,MAX(1,$BE666)))),INDEX(Instruments!$G$6:$G$205,MAX(1,$BE666)),N(INDEX(Settings!$F$14:$F$18,$BF666))),6))))</f>
        <v/>
      </c>
      <c r="AK666" s="55" t="str">
        <f>IF($AM666=0,"",IF(ISNUMBER($O666),$O666,$AI666))</f>
        <v/>
      </c>
      <c r="AL666" s="55" t="str">
        <f>IF($AM666=0,"",IF(ISNUMBER($P666),$P666,N($AJ666)))</f>
        <v/>
      </c>
      <c r="AM666" s="56">
        <f>IF(AND($A666&lt;&gt;"",$E666&lt;&gt;"",OR(AND(ISNUMBER($G666),ISNUMBER($H666),ISNUMBER($K666)),ISNUMBER($O666))),1,0)</f>
        <v>0</v>
      </c>
      <c r="AN666" s="57" t="str">
        <f>IF($A666="","",$A666-WEEKDAY($A666,3))</f>
        <v/>
      </c>
      <c r="AO666" s="56" t="str">
        <f>IF($A666="","",WEEKDAY($A666,2))</f>
        <v/>
      </c>
      <c r="AP666" s="55" t="str">
        <f>IF(OR($AM666=0,$C666=""),"",IFERROR(N(INDEX(Accounts!$E$7:$E$16,MATCH($C666,Accounts!$B$7:$B$16,0))),0)+SUMIFS($Q$6:$Q666,$C$6:$C666,$C666))</f>
        <v/>
      </c>
      <c r="AQ666" s="55" t="str">
        <f>IF(OR($AM666=0,$C666=""),"",SUMIFS($Q$6:$Q$1005,$C$6:$C$1005,$C666,$A$6:$A$1005,$A666))</f>
        <v/>
      </c>
      <c r="AR666" s="55" t="str">
        <f>IF(OR($AM666=0,$C666=""),"",IFERROR(N(INDEX(Accounts!$E$7:$E$16,MATCH($C666,Accounts!$B$7:$B$16,0))),0)+SUMIFS($Q$6:$Q$1005,$C$6:$C$1005,$C666,$A$6:$A$1005,"&lt;="&amp;$A666))</f>
        <v/>
      </c>
      <c r="AS666" s="56">
        <f>IF(OR($AM666=0,$Q666=""),0,IF(AND($A666&gt;=Lists!$W$6,$A666&lt;=Lists!$W$7,OR(Dashboard!$D$6="All accounts",$C666=Dashboard!$D$6),OR(Dashboard!$D$7="All markets",$AF666=Dashboard!$D$7)),1,0))</f>
        <v>0</v>
      </c>
      <c r="AT666" s="55">
        <f>IF($AS666=1,N(AT665)+$Q666,N(AT665))</f>
        <v>1187.10688</v>
      </c>
      <c r="AU666" s="55">
        <f>MAX(N(AU665),$AT666)</f>
        <v>1187.10688</v>
      </c>
      <c r="AV666" s="55">
        <f>$AT666-$AU666</f>
        <v>0</v>
      </c>
      <c r="AW666" s="56">
        <f>IF($AS666=1,IF($S666="Win",N(AW665)+1,IF($S666="Loss",0,N(AW665))),N(AW665))</f>
        <v>5</v>
      </c>
      <c r="AX666" s="56">
        <f>IF($AS666=1,IF($S666="Loss",N(AX665)+1,IF($S666="Win",0,N(AX665))),N(AX665))</f>
        <v>0</v>
      </c>
      <c r="AY666" s="56" t="str">
        <f>IF($AS666=1,COUNTIF($AS$6:$AS666,1),"")</f>
        <v/>
      </c>
      <c r="AZ666" s="56">
        <f>MIN(660,N(Lists!$W$8))</f>
        <v>28</v>
      </c>
      <c r="BA666" s="56">
        <f>IF($AS666=1,IF(COUNTIFS($A$6:$A666,$A666,$AS$6:$AS666,1)=1,1,0),0)</f>
        <v>0</v>
      </c>
      <c r="BB666" s="55" t="str">
        <f>IF($BA666=1,SUMIFS($Q$6:$Q$1005,$A$6:$A$1005,$A666,$AS$6:$AS$1005,1),"")</f>
        <v/>
      </c>
      <c r="BC666" s="56">
        <f>IF(ISNUMBER($R666),1,0)</f>
        <v>0</v>
      </c>
      <c r="BD666" s="55" t="str">
        <f>IF(ISNUMBER($U666),$U666*$V666,"")</f>
        <v/>
      </c>
      <c r="BE666" s="56" t="str">
        <f>IF($AM666=0,"",IFERROR(MATCH($AF666&amp;"|"&amp;UPPER(TRIM($E666)),Lists!$A$6:$A$205,0),0))</f>
        <v/>
      </c>
      <c r="BF666" s="56" t="str">
        <f>IF($AM666=0,"",IFERROR(MATCH($AF666,Settings!$B$14:$B$18,0),IFERROR(MATCH(Settings!$C$6,Settings!$B$14:$B$18,0),1)))</f>
        <v/>
      </c>
      <c r="BG666" s="58" t="str">
        <f>IF($AM666=0,"",IF(NOT(ISNUMBER($I666)),"No stop; ","")&amp;IF(AND(ISNUMBER($H666),ISNUMBER($I666)),IF(OR(AND($F666&lt;&gt;"Short",$I666&gt;=$H666),AND($F666="Short",$I666&lt;=$H666)),"Stop on wrong side; ",""),"")&amp;IF($F666="","No direction; ","")&amp;IF(AND(ISNUMBER(Settings!$C$22),ISNUMBER($V666)),IF($V666&gt;Settings!$C$22,"Risk over max $; ",""),"")&amp;IF(AND(ISNUMBER(Settings!$C$23),ISNUMBER($V666),ISNUMBER($AP666),IFERROR(N(INDEX(Accounts!$E$7:$E$16,MATCH($C666,Accounts!$B$7:$B$16,0))),0)&gt;0),IF($V666&gt;Settings!$C$23*($AP666-N($Q666)),"Risk over max %; ",""),"")&amp;IF(AND(ISNUMBER(Settings!$C$24),ISNUMBER($N666)),IF($N666&gt;Settings!$C$24,"Leverage over max; ",""),"")&amp;IF(AND(ISNUMBER(Settings!$C$27),ISNUMBER($T666)),IF($T666&lt;Settings!$C$27,"R:R below min; ",""),"")&amp;IF(ISNUMBER(Settings!$C$25),IF(COUNTIFS($A$6:$A666,$A666,$AM$6:$AM666,1)&gt;Settings!$C$25,"Over max trades/day; ",""),"")&amp;IF(ISNUMBER(Settings!$C$26),IF(SUMIFS($Q$5:$Q665,$A$5:$A665,$A666)&lt;=-Settings!$C$26,"Traded after daily max loss; ",""),"")&amp;IF(AND($AG666="",NOT(ISNUMBER($O666))),"Symbol not in Instruments; ","")&amp;IF(AND($AH666="",NOT(ISNUMBER($O666))),"Forex cross: type Gross P&amp;L; ",""))</f>
        <v/>
      </c>
      <c r="BH666" s="56">
        <f>IF(ISNUMBER($Q666),1,0)</f>
        <v>0</v>
      </c>
      <c r="BI666" s="56">
        <f>IF($Y666="",0,1)</f>
        <v>0</v>
      </c>
      <c r="BJ666" s="56">
        <f>IF($AB666="",0,1)</f>
        <v>0</v>
      </c>
      <c r="BK666" s="56">
        <f>IF(AND($BH666=1,$W666&lt;&gt;"OK"),1,0)</f>
        <v>0</v>
      </c>
      <c r="BL666" s="55">
        <f>IF(N($AZ666)=0,0,IFERROR(INDEX($AT$6:$AT$1005,MATCH($AZ666,$AY$6:$AY$1005,0)),0))</f>
        <v>1187.10688</v>
      </c>
      <c r="BM666" s="56">
        <f>IF(ISNUMBER(SEARCH("daily max loss",$BG666)),1,0)</f>
        <v>0</v>
      </c>
    </row>
    <row r="667" ht="18" customHeight="1">
      <c r="A667" s="38" t="n"/>
      <c r="B667" s="39" t="n"/>
      <c r="C667" s="40" t="n"/>
      <c r="D667" s="41" t="n"/>
      <c r="E667" s="41" t="n"/>
      <c r="F667" s="41" t="n"/>
      <c r="G667" s="41" t="n"/>
      <c r="H667" s="42" t="n"/>
      <c r="I667" s="42" t="n"/>
      <c r="J667" s="42" t="n"/>
      <c r="K667" s="42" t="n"/>
      <c r="L667" s="41" t="n"/>
      <c r="M667" s="41" t="n"/>
      <c r="N667" s="41" t="n"/>
      <c r="O667" s="43" t="n"/>
      <c r="P667" s="43" t="n"/>
      <c r="Q667" s="44" t="str">
        <f>IF($AM667=0,"",IF(ISNUMBER($AK667),$AK667-N($AL667),""))</f>
        <v/>
      </c>
      <c r="R667" s="45" t="str">
        <f>IF(OR($Q667="",NOT(ISNUMBER($V667))),"",$AK667/$V667)</f>
        <v/>
      </c>
      <c r="S667" s="46" t="str">
        <f>IF($Q667="","",IF(AND(ISNUMBER($R667),ABS(N($R667))&lt;N(Settings!$C$8)),"Scratch",IF($Q667&gt;0,"Win",IF($Q667&lt;0,"Loss","Scratch"))))</f>
        <v/>
      </c>
      <c r="T667" s="47" t="str">
        <f>IF(OR($AM667=0,NOT(ISNUMBER($H667)),NOT(ISNUMBER($I667)),NOT(ISNUMBER($J667))),"",IF($H667=$I667,"",ROUND(ABS($J667-$H667)/ABS($H667-$I667),6)))</f>
        <v/>
      </c>
      <c r="U667" s="48" t="str">
        <f>IF(OR($S667&lt;&gt;"Win",NOT(ISNUMBER($T667)),NOT(ISNUMBER($R667))),"",MAX(0,$T667-$R667))</f>
        <v/>
      </c>
      <c r="V667" s="49" t="str">
        <f>IF(OR($AM667=0,NOT(ISNUMBER($H667)),NOT(ISNUMBER($I667)),NOT(ISNUMBER($G667))),"",IF(OR($AG667="",$AH667=""),"",IF(ROUND(ABS($H667-$I667)*ABS($G667)*$AG667*$AH667,6)=0,"",ROUND(ABS($H667-$I667)*ABS($G667)*$AG667*$AH667,6))))</f>
        <v/>
      </c>
      <c r="W667" s="50" t="str">
        <f>IF($AM667=0,"",IF($BG667="","OK",LEFT($BG667,LEN($BG667)-2)))</f>
        <v/>
      </c>
      <c r="X667" s="41" t="n"/>
      <c r="Y667" s="40" t="n"/>
      <c r="Z667" s="41" t="n"/>
      <c r="AA667" s="41" t="n"/>
      <c r="AB667" s="40" t="n"/>
      <c r="AC667" s="51" t="n"/>
      <c r="AD667" s="51" t="n"/>
      <c r="AE667" s="40" t="n"/>
      <c r="AF667" s="52" t="str">
        <f>IF($AM667=0,"",IF($D667&lt;&gt;"",$D667,IF(IFERROR(INDEX(Accounts!$C$7:$C$16,MATCH($C667,Accounts!$B$7:$B$16,0))&amp;"","")&lt;&gt;"",INDEX(Accounts!$C$7:$C$16,MATCH($C667,Accounts!$B$7:$B$16,0)),Settings!$C$6)))</f>
        <v/>
      </c>
      <c r="AG667" s="53" t="str">
        <f>IF($AM667=0,"",IF(AND($BE667&gt;0,N(INDEX(Instruments!$D$6:$D$205,MAX(1,$BE667)))&gt;0),INDEX(Instruments!$D$6:$D$205,MAX(1,$BE667)),IF(N(INDEX(Settings!$D$14:$D$18,$BF667))&gt;0,INDEX(Settings!$D$14:$D$18,$BF667),"")))</f>
        <v/>
      </c>
      <c r="AH667" s="54" t="str">
        <f>IF($AM667=0,"",IF($AF667&lt;&gt;"Forex",1,IF(MID(UPPER(SUBSTITUTE(TRIM($E667),"/","")),4,3)=UPPER(TRIM(Settings!$C$7)),1,IF(LEFT(UPPER(SUBSTITUTE(TRIM($E667),"/","")),3)=UPPER(TRIM(Settings!$C$7)),IF(AND(ISNUMBER($K667),N($K667)&lt;&gt;0),1/$K667,""),""))))</f>
        <v/>
      </c>
      <c r="AI667" s="55" t="str">
        <f>IF($AM667=0,"",IF(OR(NOT(ISNUMBER($H667)),NOT(ISNUMBER($K667)),NOT(ISNUMBER($G667)),$AG667="",$AH667=""),"",ROUND(($K667-$H667)*IF($F667="Short",-1,1)*$G667*$AG667*$AH667,6)))</f>
        <v/>
      </c>
      <c r="AJ667" s="55" t="str">
        <f>IF($AM667=0,"",IF(INDEX(Settings!$E$14:$E$18,$BF667)="% of notional",IF(OR($AG667="",NOT(ISNUMBER($H667)),NOT(ISNUMBER($G667))),"",ROUND(ABS($H667*$G667*$AG667*N($AH667))*IF($L667="Limit",N(INDEX(Settings!$G$14:$G$18,$BF667)),N(INDEX(Settings!$H$14:$H$18,$BF667)))+IF(ISNUMBER($K667),ABS($K667*$G667*$AG667*N($AH667))*IF($M667="Target",N(INDEX(Settings!$G$14:$G$18,$BF667)),N(INDEX(Settings!$H$14:$H$18,$BF667))),0),6)),IF(NOT(ISNUMBER($G667)),"",ROUND(ABS($G667)*2*IF(AND($BE667&gt;0,ISNUMBER(INDEX(Instruments!$G$6:$G$205,MAX(1,$BE667)))),INDEX(Instruments!$G$6:$G$205,MAX(1,$BE667)),N(INDEX(Settings!$F$14:$F$18,$BF667))),6))))</f>
        <v/>
      </c>
      <c r="AK667" s="55" t="str">
        <f>IF($AM667=0,"",IF(ISNUMBER($O667),$O667,$AI667))</f>
        <v/>
      </c>
      <c r="AL667" s="55" t="str">
        <f>IF($AM667=0,"",IF(ISNUMBER($P667),$P667,N($AJ667)))</f>
        <v/>
      </c>
      <c r="AM667" s="56">
        <f>IF(AND($A667&lt;&gt;"",$E667&lt;&gt;"",OR(AND(ISNUMBER($G667),ISNUMBER($H667),ISNUMBER($K667)),ISNUMBER($O667))),1,0)</f>
        <v>0</v>
      </c>
      <c r="AN667" s="57" t="str">
        <f>IF($A667="","",$A667-WEEKDAY($A667,3))</f>
        <v/>
      </c>
      <c r="AO667" s="56" t="str">
        <f>IF($A667="","",WEEKDAY($A667,2))</f>
        <v/>
      </c>
      <c r="AP667" s="55" t="str">
        <f>IF(OR($AM667=0,$C667=""),"",IFERROR(N(INDEX(Accounts!$E$7:$E$16,MATCH($C667,Accounts!$B$7:$B$16,0))),0)+SUMIFS($Q$6:$Q667,$C$6:$C667,$C667))</f>
        <v/>
      </c>
      <c r="AQ667" s="55" t="str">
        <f>IF(OR($AM667=0,$C667=""),"",SUMIFS($Q$6:$Q$1005,$C$6:$C$1005,$C667,$A$6:$A$1005,$A667))</f>
        <v/>
      </c>
      <c r="AR667" s="55" t="str">
        <f>IF(OR($AM667=0,$C667=""),"",IFERROR(N(INDEX(Accounts!$E$7:$E$16,MATCH($C667,Accounts!$B$7:$B$16,0))),0)+SUMIFS($Q$6:$Q$1005,$C$6:$C$1005,$C667,$A$6:$A$1005,"&lt;="&amp;$A667))</f>
        <v/>
      </c>
      <c r="AS667" s="56">
        <f>IF(OR($AM667=0,$Q667=""),0,IF(AND($A667&gt;=Lists!$W$6,$A667&lt;=Lists!$W$7,OR(Dashboard!$D$6="All accounts",$C667=Dashboard!$D$6),OR(Dashboard!$D$7="All markets",$AF667=Dashboard!$D$7)),1,0))</f>
        <v>0</v>
      </c>
      <c r="AT667" s="55">
        <f>IF($AS667=1,N(AT666)+$Q667,N(AT666))</f>
        <v>1187.10688</v>
      </c>
      <c r="AU667" s="55">
        <f>MAX(N(AU666),$AT667)</f>
        <v>1187.10688</v>
      </c>
      <c r="AV667" s="55">
        <f>$AT667-$AU667</f>
        <v>0</v>
      </c>
      <c r="AW667" s="56">
        <f>IF($AS667=1,IF($S667="Win",N(AW666)+1,IF($S667="Loss",0,N(AW666))),N(AW666))</f>
        <v>5</v>
      </c>
      <c r="AX667" s="56">
        <f>IF($AS667=1,IF($S667="Loss",N(AX666)+1,IF($S667="Win",0,N(AX666))),N(AX666))</f>
        <v>0</v>
      </c>
      <c r="AY667" s="56" t="str">
        <f>IF($AS667=1,COUNTIF($AS$6:$AS667,1),"")</f>
        <v/>
      </c>
      <c r="AZ667" s="56">
        <f>MIN(661,N(Lists!$W$8))</f>
        <v>28</v>
      </c>
      <c r="BA667" s="56">
        <f>IF($AS667=1,IF(COUNTIFS($A$6:$A667,$A667,$AS$6:$AS667,1)=1,1,0),0)</f>
        <v>0</v>
      </c>
      <c r="BB667" s="55" t="str">
        <f>IF($BA667=1,SUMIFS($Q$6:$Q$1005,$A$6:$A$1005,$A667,$AS$6:$AS$1005,1),"")</f>
        <v/>
      </c>
      <c r="BC667" s="56">
        <f>IF(ISNUMBER($R667),1,0)</f>
        <v>0</v>
      </c>
      <c r="BD667" s="55" t="str">
        <f>IF(ISNUMBER($U667),$U667*$V667,"")</f>
        <v/>
      </c>
      <c r="BE667" s="56" t="str">
        <f>IF($AM667=0,"",IFERROR(MATCH($AF667&amp;"|"&amp;UPPER(TRIM($E667)),Lists!$A$6:$A$205,0),0))</f>
        <v/>
      </c>
      <c r="BF667" s="56" t="str">
        <f>IF($AM667=0,"",IFERROR(MATCH($AF667,Settings!$B$14:$B$18,0),IFERROR(MATCH(Settings!$C$6,Settings!$B$14:$B$18,0),1)))</f>
        <v/>
      </c>
      <c r="BG667" s="58" t="str">
        <f>IF($AM667=0,"",IF(NOT(ISNUMBER($I667)),"No stop; ","")&amp;IF(AND(ISNUMBER($H667),ISNUMBER($I667)),IF(OR(AND($F667&lt;&gt;"Short",$I667&gt;=$H667),AND($F667="Short",$I667&lt;=$H667)),"Stop on wrong side; ",""),"")&amp;IF($F667="","No direction; ","")&amp;IF(AND(ISNUMBER(Settings!$C$22),ISNUMBER($V667)),IF($V667&gt;Settings!$C$22,"Risk over max $; ",""),"")&amp;IF(AND(ISNUMBER(Settings!$C$23),ISNUMBER($V667),ISNUMBER($AP667),IFERROR(N(INDEX(Accounts!$E$7:$E$16,MATCH($C667,Accounts!$B$7:$B$16,0))),0)&gt;0),IF($V667&gt;Settings!$C$23*($AP667-N($Q667)),"Risk over max %; ",""),"")&amp;IF(AND(ISNUMBER(Settings!$C$24),ISNUMBER($N667)),IF($N667&gt;Settings!$C$24,"Leverage over max; ",""),"")&amp;IF(AND(ISNUMBER(Settings!$C$27),ISNUMBER($T667)),IF($T667&lt;Settings!$C$27,"R:R below min; ",""),"")&amp;IF(ISNUMBER(Settings!$C$25),IF(COUNTIFS($A$6:$A667,$A667,$AM$6:$AM667,1)&gt;Settings!$C$25,"Over max trades/day; ",""),"")&amp;IF(ISNUMBER(Settings!$C$26),IF(SUMIFS($Q$5:$Q666,$A$5:$A666,$A667)&lt;=-Settings!$C$26,"Traded after daily max loss; ",""),"")&amp;IF(AND($AG667="",NOT(ISNUMBER($O667))),"Symbol not in Instruments; ","")&amp;IF(AND($AH667="",NOT(ISNUMBER($O667))),"Forex cross: type Gross P&amp;L; ",""))</f>
        <v/>
      </c>
      <c r="BH667" s="56">
        <f>IF(ISNUMBER($Q667),1,0)</f>
        <v>0</v>
      </c>
      <c r="BI667" s="56">
        <f>IF($Y667="",0,1)</f>
        <v>0</v>
      </c>
      <c r="BJ667" s="56">
        <f>IF($AB667="",0,1)</f>
        <v>0</v>
      </c>
      <c r="BK667" s="56">
        <f>IF(AND($BH667=1,$W667&lt;&gt;"OK"),1,0)</f>
        <v>0</v>
      </c>
      <c r="BL667" s="55">
        <f>IF(N($AZ667)=0,0,IFERROR(INDEX($AT$6:$AT$1005,MATCH($AZ667,$AY$6:$AY$1005,0)),0))</f>
        <v>1187.10688</v>
      </c>
      <c r="BM667" s="56">
        <f>IF(ISNUMBER(SEARCH("daily max loss",$BG667)),1,0)</f>
        <v>0</v>
      </c>
    </row>
    <row r="668" ht="18" customHeight="1">
      <c r="A668" s="38" t="n"/>
      <c r="B668" s="39" t="n"/>
      <c r="C668" s="40" t="n"/>
      <c r="D668" s="41" t="n"/>
      <c r="E668" s="41" t="n"/>
      <c r="F668" s="41" t="n"/>
      <c r="G668" s="41" t="n"/>
      <c r="H668" s="42" t="n"/>
      <c r="I668" s="42" t="n"/>
      <c r="J668" s="42" t="n"/>
      <c r="K668" s="42" t="n"/>
      <c r="L668" s="41" t="n"/>
      <c r="M668" s="41" t="n"/>
      <c r="N668" s="41" t="n"/>
      <c r="O668" s="43" t="n"/>
      <c r="P668" s="43" t="n"/>
      <c r="Q668" s="44" t="str">
        <f>IF($AM668=0,"",IF(ISNUMBER($AK668),$AK668-N($AL668),""))</f>
        <v/>
      </c>
      <c r="R668" s="45" t="str">
        <f>IF(OR($Q668="",NOT(ISNUMBER($V668))),"",$AK668/$V668)</f>
        <v/>
      </c>
      <c r="S668" s="46" t="str">
        <f>IF($Q668="","",IF(AND(ISNUMBER($R668),ABS(N($R668))&lt;N(Settings!$C$8)),"Scratch",IF($Q668&gt;0,"Win",IF($Q668&lt;0,"Loss","Scratch"))))</f>
        <v/>
      </c>
      <c r="T668" s="47" t="str">
        <f>IF(OR($AM668=0,NOT(ISNUMBER($H668)),NOT(ISNUMBER($I668)),NOT(ISNUMBER($J668))),"",IF($H668=$I668,"",ROUND(ABS($J668-$H668)/ABS($H668-$I668),6)))</f>
        <v/>
      </c>
      <c r="U668" s="48" t="str">
        <f>IF(OR($S668&lt;&gt;"Win",NOT(ISNUMBER($T668)),NOT(ISNUMBER($R668))),"",MAX(0,$T668-$R668))</f>
        <v/>
      </c>
      <c r="V668" s="49" t="str">
        <f>IF(OR($AM668=0,NOT(ISNUMBER($H668)),NOT(ISNUMBER($I668)),NOT(ISNUMBER($G668))),"",IF(OR($AG668="",$AH668=""),"",IF(ROUND(ABS($H668-$I668)*ABS($G668)*$AG668*$AH668,6)=0,"",ROUND(ABS($H668-$I668)*ABS($G668)*$AG668*$AH668,6))))</f>
        <v/>
      </c>
      <c r="W668" s="50" t="str">
        <f>IF($AM668=0,"",IF($BG668="","OK",LEFT($BG668,LEN($BG668)-2)))</f>
        <v/>
      </c>
      <c r="X668" s="41" t="n"/>
      <c r="Y668" s="40" t="n"/>
      <c r="Z668" s="41" t="n"/>
      <c r="AA668" s="41" t="n"/>
      <c r="AB668" s="40" t="n"/>
      <c r="AC668" s="51" t="n"/>
      <c r="AD668" s="51" t="n"/>
      <c r="AE668" s="40" t="n"/>
      <c r="AF668" s="52" t="str">
        <f>IF($AM668=0,"",IF($D668&lt;&gt;"",$D668,IF(IFERROR(INDEX(Accounts!$C$7:$C$16,MATCH($C668,Accounts!$B$7:$B$16,0))&amp;"","")&lt;&gt;"",INDEX(Accounts!$C$7:$C$16,MATCH($C668,Accounts!$B$7:$B$16,0)),Settings!$C$6)))</f>
        <v/>
      </c>
      <c r="AG668" s="53" t="str">
        <f>IF($AM668=0,"",IF(AND($BE668&gt;0,N(INDEX(Instruments!$D$6:$D$205,MAX(1,$BE668)))&gt;0),INDEX(Instruments!$D$6:$D$205,MAX(1,$BE668)),IF(N(INDEX(Settings!$D$14:$D$18,$BF668))&gt;0,INDEX(Settings!$D$14:$D$18,$BF668),"")))</f>
        <v/>
      </c>
      <c r="AH668" s="54" t="str">
        <f>IF($AM668=0,"",IF($AF668&lt;&gt;"Forex",1,IF(MID(UPPER(SUBSTITUTE(TRIM($E668),"/","")),4,3)=UPPER(TRIM(Settings!$C$7)),1,IF(LEFT(UPPER(SUBSTITUTE(TRIM($E668),"/","")),3)=UPPER(TRIM(Settings!$C$7)),IF(AND(ISNUMBER($K668),N($K668)&lt;&gt;0),1/$K668,""),""))))</f>
        <v/>
      </c>
      <c r="AI668" s="55" t="str">
        <f>IF($AM668=0,"",IF(OR(NOT(ISNUMBER($H668)),NOT(ISNUMBER($K668)),NOT(ISNUMBER($G668)),$AG668="",$AH668=""),"",ROUND(($K668-$H668)*IF($F668="Short",-1,1)*$G668*$AG668*$AH668,6)))</f>
        <v/>
      </c>
      <c r="AJ668" s="55" t="str">
        <f>IF($AM668=0,"",IF(INDEX(Settings!$E$14:$E$18,$BF668)="% of notional",IF(OR($AG668="",NOT(ISNUMBER($H668)),NOT(ISNUMBER($G668))),"",ROUND(ABS($H668*$G668*$AG668*N($AH668))*IF($L668="Limit",N(INDEX(Settings!$G$14:$G$18,$BF668)),N(INDEX(Settings!$H$14:$H$18,$BF668)))+IF(ISNUMBER($K668),ABS($K668*$G668*$AG668*N($AH668))*IF($M668="Target",N(INDEX(Settings!$G$14:$G$18,$BF668)),N(INDEX(Settings!$H$14:$H$18,$BF668))),0),6)),IF(NOT(ISNUMBER($G668)),"",ROUND(ABS($G668)*2*IF(AND($BE668&gt;0,ISNUMBER(INDEX(Instruments!$G$6:$G$205,MAX(1,$BE668)))),INDEX(Instruments!$G$6:$G$205,MAX(1,$BE668)),N(INDEX(Settings!$F$14:$F$18,$BF668))),6))))</f>
        <v/>
      </c>
      <c r="AK668" s="55" t="str">
        <f>IF($AM668=0,"",IF(ISNUMBER($O668),$O668,$AI668))</f>
        <v/>
      </c>
      <c r="AL668" s="55" t="str">
        <f>IF($AM668=0,"",IF(ISNUMBER($P668),$P668,N($AJ668)))</f>
        <v/>
      </c>
      <c r="AM668" s="56">
        <f>IF(AND($A668&lt;&gt;"",$E668&lt;&gt;"",OR(AND(ISNUMBER($G668),ISNUMBER($H668),ISNUMBER($K668)),ISNUMBER($O668))),1,0)</f>
        <v>0</v>
      </c>
      <c r="AN668" s="57" t="str">
        <f>IF($A668="","",$A668-WEEKDAY($A668,3))</f>
        <v/>
      </c>
      <c r="AO668" s="56" t="str">
        <f>IF($A668="","",WEEKDAY($A668,2))</f>
        <v/>
      </c>
      <c r="AP668" s="55" t="str">
        <f>IF(OR($AM668=0,$C668=""),"",IFERROR(N(INDEX(Accounts!$E$7:$E$16,MATCH($C668,Accounts!$B$7:$B$16,0))),0)+SUMIFS($Q$6:$Q668,$C$6:$C668,$C668))</f>
        <v/>
      </c>
      <c r="AQ668" s="55" t="str">
        <f>IF(OR($AM668=0,$C668=""),"",SUMIFS($Q$6:$Q$1005,$C$6:$C$1005,$C668,$A$6:$A$1005,$A668))</f>
        <v/>
      </c>
      <c r="AR668" s="55" t="str">
        <f>IF(OR($AM668=0,$C668=""),"",IFERROR(N(INDEX(Accounts!$E$7:$E$16,MATCH($C668,Accounts!$B$7:$B$16,0))),0)+SUMIFS($Q$6:$Q$1005,$C$6:$C$1005,$C668,$A$6:$A$1005,"&lt;="&amp;$A668))</f>
        <v/>
      </c>
      <c r="AS668" s="56">
        <f>IF(OR($AM668=0,$Q668=""),0,IF(AND($A668&gt;=Lists!$W$6,$A668&lt;=Lists!$W$7,OR(Dashboard!$D$6="All accounts",$C668=Dashboard!$D$6),OR(Dashboard!$D$7="All markets",$AF668=Dashboard!$D$7)),1,0))</f>
        <v>0</v>
      </c>
      <c r="AT668" s="55">
        <f>IF($AS668=1,N(AT667)+$Q668,N(AT667))</f>
        <v>1187.10688</v>
      </c>
      <c r="AU668" s="55">
        <f>MAX(N(AU667),$AT668)</f>
        <v>1187.10688</v>
      </c>
      <c r="AV668" s="55">
        <f>$AT668-$AU668</f>
        <v>0</v>
      </c>
      <c r="AW668" s="56">
        <f>IF($AS668=1,IF($S668="Win",N(AW667)+1,IF($S668="Loss",0,N(AW667))),N(AW667))</f>
        <v>5</v>
      </c>
      <c r="AX668" s="56">
        <f>IF($AS668=1,IF($S668="Loss",N(AX667)+1,IF($S668="Win",0,N(AX667))),N(AX667))</f>
        <v>0</v>
      </c>
      <c r="AY668" s="56" t="str">
        <f>IF($AS668=1,COUNTIF($AS$6:$AS668,1),"")</f>
        <v/>
      </c>
      <c r="AZ668" s="56">
        <f>MIN(662,N(Lists!$W$8))</f>
        <v>28</v>
      </c>
      <c r="BA668" s="56">
        <f>IF($AS668=1,IF(COUNTIFS($A$6:$A668,$A668,$AS$6:$AS668,1)=1,1,0),0)</f>
        <v>0</v>
      </c>
      <c r="BB668" s="55" t="str">
        <f>IF($BA668=1,SUMIFS($Q$6:$Q$1005,$A$6:$A$1005,$A668,$AS$6:$AS$1005,1),"")</f>
        <v/>
      </c>
      <c r="BC668" s="56">
        <f>IF(ISNUMBER($R668),1,0)</f>
        <v>0</v>
      </c>
      <c r="BD668" s="55" t="str">
        <f>IF(ISNUMBER($U668),$U668*$V668,"")</f>
        <v/>
      </c>
      <c r="BE668" s="56" t="str">
        <f>IF($AM668=0,"",IFERROR(MATCH($AF668&amp;"|"&amp;UPPER(TRIM($E668)),Lists!$A$6:$A$205,0),0))</f>
        <v/>
      </c>
      <c r="BF668" s="56" t="str">
        <f>IF($AM668=0,"",IFERROR(MATCH($AF668,Settings!$B$14:$B$18,0),IFERROR(MATCH(Settings!$C$6,Settings!$B$14:$B$18,0),1)))</f>
        <v/>
      </c>
      <c r="BG668" s="58" t="str">
        <f>IF($AM668=0,"",IF(NOT(ISNUMBER($I668)),"No stop; ","")&amp;IF(AND(ISNUMBER($H668),ISNUMBER($I668)),IF(OR(AND($F668&lt;&gt;"Short",$I668&gt;=$H668),AND($F668="Short",$I668&lt;=$H668)),"Stop on wrong side; ",""),"")&amp;IF($F668="","No direction; ","")&amp;IF(AND(ISNUMBER(Settings!$C$22),ISNUMBER($V668)),IF($V668&gt;Settings!$C$22,"Risk over max $; ",""),"")&amp;IF(AND(ISNUMBER(Settings!$C$23),ISNUMBER($V668),ISNUMBER($AP668),IFERROR(N(INDEX(Accounts!$E$7:$E$16,MATCH($C668,Accounts!$B$7:$B$16,0))),0)&gt;0),IF($V668&gt;Settings!$C$23*($AP668-N($Q668)),"Risk over max %; ",""),"")&amp;IF(AND(ISNUMBER(Settings!$C$24),ISNUMBER($N668)),IF($N668&gt;Settings!$C$24,"Leverage over max; ",""),"")&amp;IF(AND(ISNUMBER(Settings!$C$27),ISNUMBER($T668)),IF($T668&lt;Settings!$C$27,"R:R below min; ",""),"")&amp;IF(ISNUMBER(Settings!$C$25),IF(COUNTIFS($A$6:$A668,$A668,$AM$6:$AM668,1)&gt;Settings!$C$25,"Over max trades/day; ",""),"")&amp;IF(ISNUMBER(Settings!$C$26),IF(SUMIFS($Q$5:$Q667,$A$5:$A667,$A668)&lt;=-Settings!$C$26,"Traded after daily max loss; ",""),"")&amp;IF(AND($AG668="",NOT(ISNUMBER($O668))),"Symbol not in Instruments; ","")&amp;IF(AND($AH668="",NOT(ISNUMBER($O668))),"Forex cross: type Gross P&amp;L; ",""))</f>
        <v/>
      </c>
      <c r="BH668" s="56">
        <f>IF(ISNUMBER($Q668),1,0)</f>
        <v>0</v>
      </c>
      <c r="BI668" s="56">
        <f>IF($Y668="",0,1)</f>
        <v>0</v>
      </c>
      <c r="BJ668" s="56">
        <f>IF($AB668="",0,1)</f>
        <v>0</v>
      </c>
      <c r="BK668" s="56">
        <f>IF(AND($BH668=1,$W668&lt;&gt;"OK"),1,0)</f>
        <v>0</v>
      </c>
      <c r="BL668" s="55">
        <f>IF(N($AZ668)=0,0,IFERROR(INDEX($AT$6:$AT$1005,MATCH($AZ668,$AY$6:$AY$1005,0)),0))</f>
        <v>1187.10688</v>
      </c>
      <c r="BM668" s="56">
        <f>IF(ISNUMBER(SEARCH("daily max loss",$BG668)),1,0)</f>
        <v>0</v>
      </c>
    </row>
    <row r="669" ht="18" customHeight="1">
      <c r="A669" s="38" t="n"/>
      <c r="B669" s="39" t="n"/>
      <c r="C669" s="40" t="n"/>
      <c r="D669" s="41" t="n"/>
      <c r="E669" s="41" t="n"/>
      <c r="F669" s="41" t="n"/>
      <c r="G669" s="41" t="n"/>
      <c r="H669" s="42" t="n"/>
      <c r="I669" s="42" t="n"/>
      <c r="J669" s="42" t="n"/>
      <c r="K669" s="42" t="n"/>
      <c r="L669" s="41" t="n"/>
      <c r="M669" s="41" t="n"/>
      <c r="N669" s="41" t="n"/>
      <c r="O669" s="43" t="n"/>
      <c r="P669" s="43" t="n"/>
      <c r="Q669" s="44" t="str">
        <f>IF($AM669=0,"",IF(ISNUMBER($AK669),$AK669-N($AL669),""))</f>
        <v/>
      </c>
      <c r="R669" s="45" t="str">
        <f>IF(OR($Q669="",NOT(ISNUMBER($V669))),"",$AK669/$V669)</f>
        <v/>
      </c>
      <c r="S669" s="46" t="str">
        <f>IF($Q669="","",IF(AND(ISNUMBER($R669),ABS(N($R669))&lt;N(Settings!$C$8)),"Scratch",IF($Q669&gt;0,"Win",IF($Q669&lt;0,"Loss","Scratch"))))</f>
        <v/>
      </c>
      <c r="T669" s="47" t="str">
        <f>IF(OR($AM669=0,NOT(ISNUMBER($H669)),NOT(ISNUMBER($I669)),NOT(ISNUMBER($J669))),"",IF($H669=$I669,"",ROUND(ABS($J669-$H669)/ABS($H669-$I669),6)))</f>
        <v/>
      </c>
      <c r="U669" s="48" t="str">
        <f>IF(OR($S669&lt;&gt;"Win",NOT(ISNUMBER($T669)),NOT(ISNUMBER($R669))),"",MAX(0,$T669-$R669))</f>
        <v/>
      </c>
      <c r="V669" s="49" t="str">
        <f>IF(OR($AM669=0,NOT(ISNUMBER($H669)),NOT(ISNUMBER($I669)),NOT(ISNUMBER($G669))),"",IF(OR($AG669="",$AH669=""),"",IF(ROUND(ABS($H669-$I669)*ABS($G669)*$AG669*$AH669,6)=0,"",ROUND(ABS($H669-$I669)*ABS($G669)*$AG669*$AH669,6))))</f>
        <v/>
      </c>
      <c r="W669" s="50" t="str">
        <f>IF($AM669=0,"",IF($BG669="","OK",LEFT($BG669,LEN($BG669)-2)))</f>
        <v/>
      </c>
      <c r="X669" s="41" t="n"/>
      <c r="Y669" s="40" t="n"/>
      <c r="Z669" s="41" t="n"/>
      <c r="AA669" s="41" t="n"/>
      <c r="AB669" s="40" t="n"/>
      <c r="AC669" s="51" t="n"/>
      <c r="AD669" s="51" t="n"/>
      <c r="AE669" s="40" t="n"/>
      <c r="AF669" s="52" t="str">
        <f>IF($AM669=0,"",IF($D669&lt;&gt;"",$D669,IF(IFERROR(INDEX(Accounts!$C$7:$C$16,MATCH($C669,Accounts!$B$7:$B$16,0))&amp;"","")&lt;&gt;"",INDEX(Accounts!$C$7:$C$16,MATCH($C669,Accounts!$B$7:$B$16,0)),Settings!$C$6)))</f>
        <v/>
      </c>
      <c r="AG669" s="53" t="str">
        <f>IF($AM669=0,"",IF(AND($BE669&gt;0,N(INDEX(Instruments!$D$6:$D$205,MAX(1,$BE669)))&gt;0),INDEX(Instruments!$D$6:$D$205,MAX(1,$BE669)),IF(N(INDEX(Settings!$D$14:$D$18,$BF669))&gt;0,INDEX(Settings!$D$14:$D$18,$BF669),"")))</f>
        <v/>
      </c>
      <c r="AH669" s="54" t="str">
        <f>IF($AM669=0,"",IF($AF669&lt;&gt;"Forex",1,IF(MID(UPPER(SUBSTITUTE(TRIM($E669),"/","")),4,3)=UPPER(TRIM(Settings!$C$7)),1,IF(LEFT(UPPER(SUBSTITUTE(TRIM($E669),"/","")),3)=UPPER(TRIM(Settings!$C$7)),IF(AND(ISNUMBER($K669),N($K669)&lt;&gt;0),1/$K669,""),""))))</f>
        <v/>
      </c>
      <c r="AI669" s="55" t="str">
        <f>IF($AM669=0,"",IF(OR(NOT(ISNUMBER($H669)),NOT(ISNUMBER($K669)),NOT(ISNUMBER($G669)),$AG669="",$AH669=""),"",ROUND(($K669-$H669)*IF($F669="Short",-1,1)*$G669*$AG669*$AH669,6)))</f>
        <v/>
      </c>
      <c r="AJ669" s="55" t="str">
        <f>IF($AM669=0,"",IF(INDEX(Settings!$E$14:$E$18,$BF669)="% of notional",IF(OR($AG669="",NOT(ISNUMBER($H669)),NOT(ISNUMBER($G669))),"",ROUND(ABS($H669*$G669*$AG669*N($AH669))*IF($L669="Limit",N(INDEX(Settings!$G$14:$G$18,$BF669)),N(INDEX(Settings!$H$14:$H$18,$BF669)))+IF(ISNUMBER($K669),ABS($K669*$G669*$AG669*N($AH669))*IF($M669="Target",N(INDEX(Settings!$G$14:$G$18,$BF669)),N(INDEX(Settings!$H$14:$H$18,$BF669))),0),6)),IF(NOT(ISNUMBER($G669)),"",ROUND(ABS($G669)*2*IF(AND($BE669&gt;0,ISNUMBER(INDEX(Instruments!$G$6:$G$205,MAX(1,$BE669)))),INDEX(Instruments!$G$6:$G$205,MAX(1,$BE669)),N(INDEX(Settings!$F$14:$F$18,$BF669))),6))))</f>
        <v/>
      </c>
      <c r="AK669" s="55" t="str">
        <f>IF($AM669=0,"",IF(ISNUMBER($O669),$O669,$AI669))</f>
        <v/>
      </c>
      <c r="AL669" s="55" t="str">
        <f>IF($AM669=0,"",IF(ISNUMBER($P669),$P669,N($AJ669)))</f>
        <v/>
      </c>
      <c r="AM669" s="56">
        <f>IF(AND($A669&lt;&gt;"",$E669&lt;&gt;"",OR(AND(ISNUMBER($G669),ISNUMBER($H669),ISNUMBER($K669)),ISNUMBER($O669))),1,0)</f>
        <v>0</v>
      </c>
      <c r="AN669" s="57" t="str">
        <f>IF($A669="","",$A669-WEEKDAY($A669,3))</f>
        <v/>
      </c>
      <c r="AO669" s="56" t="str">
        <f>IF($A669="","",WEEKDAY($A669,2))</f>
        <v/>
      </c>
      <c r="AP669" s="55" t="str">
        <f>IF(OR($AM669=0,$C669=""),"",IFERROR(N(INDEX(Accounts!$E$7:$E$16,MATCH($C669,Accounts!$B$7:$B$16,0))),0)+SUMIFS($Q$6:$Q669,$C$6:$C669,$C669))</f>
        <v/>
      </c>
      <c r="AQ669" s="55" t="str">
        <f>IF(OR($AM669=0,$C669=""),"",SUMIFS($Q$6:$Q$1005,$C$6:$C$1005,$C669,$A$6:$A$1005,$A669))</f>
        <v/>
      </c>
      <c r="AR669" s="55" t="str">
        <f>IF(OR($AM669=0,$C669=""),"",IFERROR(N(INDEX(Accounts!$E$7:$E$16,MATCH($C669,Accounts!$B$7:$B$16,0))),0)+SUMIFS($Q$6:$Q$1005,$C$6:$C$1005,$C669,$A$6:$A$1005,"&lt;="&amp;$A669))</f>
        <v/>
      </c>
      <c r="AS669" s="56">
        <f>IF(OR($AM669=0,$Q669=""),0,IF(AND($A669&gt;=Lists!$W$6,$A669&lt;=Lists!$W$7,OR(Dashboard!$D$6="All accounts",$C669=Dashboard!$D$6),OR(Dashboard!$D$7="All markets",$AF669=Dashboard!$D$7)),1,0))</f>
        <v>0</v>
      </c>
      <c r="AT669" s="55">
        <f>IF($AS669=1,N(AT668)+$Q669,N(AT668))</f>
        <v>1187.10688</v>
      </c>
      <c r="AU669" s="55">
        <f>MAX(N(AU668),$AT669)</f>
        <v>1187.10688</v>
      </c>
      <c r="AV669" s="55">
        <f>$AT669-$AU669</f>
        <v>0</v>
      </c>
      <c r="AW669" s="56">
        <f>IF($AS669=1,IF($S669="Win",N(AW668)+1,IF($S669="Loss",0,N(AW668))),N(AW668))</f>
        <v>5</v>
      </c>
      <c r="AX669" s="56">
        <f>IF($AS669=1,IF($S669="Loss",N(AX668)+1,IF($S669="Win",0,N(AX668))),N(AX668))</f>
        <v>0</v>
      </c>
      <c r="AY669" s="56" t="str">
        <f>IF($AS669=1,COUNTIF($AS$6:$AS669,1),"")</f>
        <v/>
      </c>
      <c r="AZ669" s="56">
        <f>MIN(663,N(Lists!$W$8))</f>
        <v>28</v>
      </c>
      <c r="BA669" s="56">
        <f>IF($AS669=1,IF(COUNTIFS($A$6:$A669,$A669,$AS$6:$AS669,1)=1,1,0),0)</f>
        <v>0</v>
      </c>
      <c r="BB669" s="55" t="str">
        <f>IF($BA669=1,SUMIFS($Q$6:$Q$1005,$A$6:$A$1005,$A669,$AS$6:$AS$1005,1),"")</f>
        <v/>
      </c>
      <c r="BC669" s="56">
        <f>IF(ISNUMBER($R669),1,0)</f>
        <v>0</v>
      </c>
      <c r="BD669" s="55" t="str">
        <f>IF(ISNUMBER($U669),$U669*$V669,"")</f>
        <v/>
      </c>
      <c r="BE669" s="56" t="str">
        <f>IF($AM669=0,"",IFERROR(MATCH($AF669&amp;"|"&amp;UPPER(TRIM($E669)),Lists!$A$6:$A$205,0),0))</f>
        <v/>
      </c>
      <c r="BF669" s="56" t="str">
        <f>IF($AM669=0,"",IFERROR(MATCH($AF669,Settings!$B$14:$B$18,0),IFERROR(MATCH(Settings!$C$6,Settings!$B$14:$B$18,0),1)))</f>
        <v/>
      </c>
      <c r="BG669" s="58" t="str">
        <f>IF($AM669=0,"",IF(NOT(ISNUMBER($I669)),"No stop; ","")&amp;IF(AND(ISNUMBER($H669),ISNUMBER($I669)),IF(OR(AND($F669&lt;&gt;"Short",$I669&gt;=$H669),AND($F669="Short",$I669&lt;=$H669)),"Stop on wrong side; ",""),"")&amp;IF($F669="","No direction; ","")&amp;IF(AND(ISNUMBER(Settings!$C$22),ISNUMBER($V669)),IF($V669&gt;Settings!$C$22,"Risk over max $; ",""),"")&amp;IF(AND(ISNUMBER(Settings!$C$23),ISNUMBER($V669),ISNUMBER($AP669),IFERROR(N(INDEX(Accounts!$E$7:$E$16,MATCH($C669,Accounts!$B$7:$B$16,0))),0)&gt;0),IF($V669&gt;Settings!$C$23*($AP669-N($Q669)),"Risk over max %; ",""),"")&amp;IF(AND(ISNUMBER(Settings!$C$24),ISNUMBER($N669)),IF($N669&gt;Settings!$C$24,"Leverage over max; ",""),"")&amp;IF(AND(ISNUMBER(Settings!$C$27),ISNUMBER($T669)),IF($T669&lt;Settings!$C$27,"R:R below min; ",""),"")&amp;IF(ISNUMBER(Settings!$C$25),IF(COUNTIFS($A$6:$A669,$A669,$AM$6:$AM669,1)&gt;Settings!$C$25,"Over max trades/day; ",""),"")&amp;IF(ISNUMBER(Settings!$C$26),IF(SUMIFS($Q$5:$Q668,$A$5:$A668,$A669)&lt;=-Settings!$C$26,"Traded after daily max loss; ",""),"")&amp;IF(AND($AG669="",NOT(ISNUMBER($O669))),"Symbol not in Instruments; ","")&amp;IF(AND($AH669="",NOT(ISNUMBER($O669))),"Forex cross: type Gross P&amp;L; ",""))</f>
        <v/>
      </c>
      <c r="BH669" s="56">
        <f>IF(ISNUMBER($Q669),1,0)</f>
        <v>0</v>
      </c>
      <c r="BI669" s="56">
        <f>IF($Y669="",0,1)</f>
        <v>0</v>
      </c>
      <c r="BJ669" s="56">
        <f>IF($AB669="",0,1)</f>
        <v>0</v>
      </c>
      <c r="BK669" s="56">
        <f>IF(AND($BH669=1,$W669&lt;&gt;"OK"),1,0)</f>
        <v>0</v>
      </c>
      <c r="BL669" s="55">
        <f>IF(N($AZ669)=0,0,IFERROR(INDEX($AT$6:$AT$1005,MATCH($AZ669,$AY$6:$AY$1005,0)),0))</f>
        <v>1187.10688</v>
      </c>
      <c r="BM669" s="56">
        <f>IF(ISNUMBER(SEARCH("daily max loss",$BG669)),1,0)</f>
        <v>0</v>
      </c>
    </row>
    <row r="670" ht="18" customHeight="1">
      <c r="A670" s="38" t="n"/>
      <c r="B670" s="39" t="n"/>
      <c r="C670" s="40" t="n"/>
      <c r="D670" s="41" t="n"/>
      <c r="E670" s="41" t="n"/>
      <c r="F670" s="41" t="n"/>
      <c r="G670" s="41" t="n"/>
      <c r="H670" s="42" t="n"/>
      <c r="I670" s="42" t="n"/>
      <c r="J670" s="42" t="n"/>
      <c r="K670" s="42" t="n"/>
      <c r="L670" s="41" t="n"/>
      <c r="M670" s="41" t="n"/>
      <c r="N670" s="41" t="n"/>
      <c r="O670" s="43" t="n"/>
      <c r="P670" s="43" t="n"/>
      <c r="Q670" s="44" t="str">
        <f>IF($AM670=0,"",IF(ISNUMBER($AK670),$AK670-N($AL670),""))</f>
        <v/>
      </c>
      <c r="R670" s="45" t="str">
        <f>IF(OR($Q670="",NOT(ISNUMBER($V670))),"",$AK670/$V670)</f>
        <v/>
      </c>
      <c r="S670" s="46" t="str">
        <f>IF($Q670="","",IF(AND(ISNUMBER($R670),ABS(N($R670))&lt;N(Settings!$C$8)),"Scratch",IF($Q670&gt;0,"Win",IF($Q670&lt;0,"Loss","Scratch"))))</f>
        <v/>
      </c>
      <c r="T670" s="47" t="str">
        <f>IF(OR($AM670=0,NOT(ISNUMBER($H670)),NOT(ISNUMBER($I670)),NOT(ISNUMBER($J670))),"",IF($H670=$I670,"",ROUND(ABS($J670-$H670)/ABS($H670-$I670),6)))</f>
        <v/>
      </c>
      <c r="U670" s="48" t="str">
        <f>IF(OR($S670&lt;&gt;"Win",NOT(ISNUMBER($T670)),NOT(ISNUMBER($R670))),"",MAX(0,$T670-$R670))</f>
        <v/>
      </c>
      <c r="V670" s="49" t="str">
        <f>IF(OR($AM670=0,NOT(ISNUMBER($H670)),NOT(ISNUMBER($I670)),NOT(ISNUMBER($G670))),"",IF(OR($AG670="",$AH670=""),"",IF(ROUND(ABS($H670-$I670)*ABS($G670)*$AG670*$AH670,6)=0,"",ROUND(ABS($H670-$I670)*ABS($G670)*$AG670*$AH670,6))))</f>
        <v/>
      </c>
      <c r="W670" s="50" t="str">
        <f>IF($AM670=0,"",IF($BG670="","OK",LEFT($BG670,LEN($BG670)-2)))</f>
        <v/>
      </c>
      <c r="X670" s="41" t="n"/>
      <c r="Y670" s="40" t="n"/>
      <c r="Z670" s="41" t="n"/>
      <c r="AA670" s="41" t="n"/>
      <c r="AB670" s="40" t="n"/>
      <c r="AC670" s="51" t="n"/>
      <c r="AD670" s="51" t="n"/>
      <c r="AE670" s="40" t="n"/>
      <c r="AF670" s="52" t="str">
        <f>IF($AM670=0,"",IF($D670&lt;&gt;"",$D670,IF(IFERROR(INDEX(Accounts!$C$7:$C$16,MATCH($C670,Accounts!$B$7:$B$16,0))&amp;"","")&lt;&gt;"",INDEX(Accounts!$C$7:$C$16,MATCH($C670,Accounts!$B$7:$B$16,0)),Settings!$C$6)))</f>
        <v/>
      </c>
      <c r="AG670" s="53" t="str">
        <f>IF($AM670=0,"",IF(AND($BE670&gt;0,N(INDEX(Instruments!$D$6:$D$205,MAX(1,$BE670)))&gt;0),INDEX(Instruments!$D$6:$D$205,MAX(1,$BE670)),IF(N(INDEX(Settings!$D$14:$D$18,$BF670))&gt;0,INDEX(Settings!$D$14:$D$18,$BF670),"")))</f>
        <v/>
      </c>
      <c r="AH670" s="54" t="str">
        <f>IF($AM670=0,"",IF($AF670&lt;&gt;"Forex",1,IF(MID(UPPER(SUBSTITUTE(TRIM($E670),"/","")),4,3)=UPPER(TRIM(Settings!$C$7)),1,IF(LEFT(UPPER(SUBSTITUTE(TRIM($E670),"/","")),3)=UPPER(TRIM(Settings!$C$7)),IF(AND(ISNUMBER($K670),N($K670)&lt;&gt;0),1/$K670,""),""))))</f>
        <v/>
      </c>
      <c r="AI670" s="55" t="str">
        <f>IF($AM670=0,"",IF(OR(NOT(ISNUMBER($H670)),NOT(ISNUMBER($K670)),NOT(ISNUMBER($G670)),$AG670="",$AH670=""),"",ROUND(($K670-$H670)*IF($F670="Short",-1,1)*$G670*$AG670*$AH670,6)))</f>
        <v/>
      </c>
      <c r="AJ670" s="55" t="str">
        <f>IF($AM670=0,"",IF(INDEX(Settings!$E$14:$E$18,$BF670)="% of notional",IF(OR($AG670="",NOT(ISNUMBER($H670)),NOT(ISNUMBER($G670))),"",ROUND(ABS($H670*$G670*$AG670*N($AH670))*IF($L670="Limit",N(INDEX(Settings!$G$14:$G$18,$BF670)),N(INDEX(Settings!$H$14:$H$18,$BF670)))+IF(ISNUMBER($K670),ABS($K670*$G670*$AG670*N($AH670))*IF($M670="Target",N(INDEX(Settings!$G$14:$G$18,$BF670)),N(INDEX(Settings!$H$14:$H$18,$BF670))),0),6)),IF(NOT(ISNUMBER($G670)),"",ROUND(ABS($G670)*2*IF(AND($BE670&gt;0,ISNUMBER(INDEX(Instruments!$G$6:$G$205,MAX(1,$BE670)))),INDEX(Instruments!$G$6:$G$205,MAX(1,$BE670)),N(INDEX(Settings!$F$14:$F$18,$BF670))),6))))</f>
        <v/>
      </c>
      <c r="AK670" s="55" t="str">
        <f>IF($AM670=0,"",IF(ISNUMBER($O670),$O670,$AI670))</f>
        <v/>
      </c>
      <c r="AL670" s="55" t="str">
        <f>IF($AM670=0,"",IF(ISNUMBER($P670),$P670,N($AJ670)))</f>
        <v/>
      </c>
      <c r="AM670" s="56">
        <f>IF(AND($A670&lt;&gt;"",$E670&lt;&gt;"",OR(AND(ISNUMBER($G670),ISNUMBER($H670),ISNUMBER($K670)),ISNUMBER($O670))),1,0)</f>
        <v>0</v>
      </c>
      <c r="AN670" s="57" t="str">
        <f>IF($A670="","",$A670-WEEKDAY($A670,3))</f>
        <v/>
      </c>
      <c r="AO670" s="56" t="str">
        <f>IF($A670="","",WEEKDAY($A670,2))</f>
        <v/>
      </c>
      <c r="AP670" s="55" t="str">
        <f>IF(OR($AM670=0,$C670=""),"",IFERROR(N(INDEX(Accounts!$E$7:$E$16,MATCH($C670,Accounts!$B$7:$B$16,0))),0)+SUMIFS($Q$6:$Q670,$C$6:$C670,$C670))</f>
        <v/>
      </c>
      <c r="AQ670" s="55" t="str">
        <f>IF(OR($AM670=0,$C670=""),"",SUMIFS($Q$6:$Q$1005,$C$6:$C$1005,$C670,$A$6:$A$1005,$A670))</f>
        <v/>
      </c>
      <c r="AR670" s="55" t="str">
        <f>IF(OR($AM670=0,$C670=""),"",IFERROR(N(INDEX(Accounts!$E$7:$E$16,MATCH($C670,Accounts!$B$7:$B$16,0))),0)+SUMIFS($Q$6:$Q$1005,$C$6:$C$1005,$C670,$A$6:$A$1005,"&lt;="&amp;$A670))</f>
        <v/>
      </c>
      <c r="AS670" s="56">
        <f>IF(OR($AM670=0,$Q670=""),0,IF(AND($A670&gt;=Lists!$W$6,$A670&lt;=Lists!$W$7,OR(Dashboard!$D$6="All accounts",$C670=Dashboard!$D$6),OR(Dashboard!$D$7="All markets",$AF670=Dashboard!$D$7)),1,0))</f>
        <v>0</v>
      </c>
      <c r="AT670" s="55">
        <f>IF($AS670=1,N(AT669)+$Q670,N(AT669))</f>
        <v>1187.10688</v>
      </c>
      <c r="AU670" s="55">
        <f>MAX(N(AU669),$AT670)</f>
        <v>1187.10688</v>
      </c>
      <c r="AV670" s="55">
        <f>$AT670-$AU670</f>
        <v>0</v>
      </c>
      <c r="AW670" s="56">
        <f>IF($AS670=1,IF($S670="Win",N(AW669)+1,IF($S670="Loss",0,N(AW669))),N(AW669))</f>
        <v>5</v>
      </c>
      <c r="AX670" s="56">
        <f>IF($AS670=1,IF($S670="Loss",N(AX669)+1,IF($S670="Win",0,N(AX669))),N(AX669))</f>
        <v>0</v>
      </c>
      <c r="AY670" s="56" t="str">
        <f>IF($AS670=1,COUNTIF($AS$6:$AS670,1),"")</f>
        <v/>
      </c>
      <c r="AZ670" s="56">
        <f>MIN(664,N(Lists!$W$8))</f>
        <v>28</v>
      </c>
      <c r="BA670" s="56">
        <f>IF($AS670=1,IF(COUNTIFS($A$6:$A670,$A670,$AS$6:$AS670,1)=1,1,0),0)</f>
        <v>0</v>
      </c>
      <c r="BB670" s="55" t="str">
        <f>IF($BA670=1,SUMIFS($Q$6:$Q$1005,$A$6:$A$1005,$A670,$AS$6:$AS$1005,1),"")</f>
        <v/>
      </c>
      <c r="BC670" s="56">
        <f>IF(ISNUMBER($R670),1,0)</f>
        <v>0</v>
      </c>
      <c r="BD670" s="55" t="str">
        <f>IF(ISNUMBER($U670),$U670*$V670,"")</f>
        <v/>
      </c>
      <c r="BE670" s="56" t="str">
        <f>IF($AM670=0,"",IFERROR(MATCH($AF670&amp;"|"&amp;UPPER(TRIM($E670)),Lists!$A$6:$A$205,0),0))</f>
        <v/>
      </c>
      <c r="BF670" s="56" t="str">
        <f>IF($AM670=0,"",IFERROR(MATCH($AF670,Settings!$B$14:$B$18,0),IFERROR(MATCH(Settings!$C$6,Settings!$B$14:$B$18,0),1)))</f>
        <v/>
      </c>
      <c r="BG670" s="58" t="str">
        <f>IF($AM670=0,"",IF(NOT(ISNUMBER($I670)),"No stop; ","")&amp;IF(AND(ISNUMBER($H670),ISNUMBER($I670)),IF(OR(AND($F670&lt;&gt;"Short",$I670&gt;=$H670),AND($F670="Short",$I670&lt;=$H670)),"Stop on wrong side; ",""),"")&amp;IF($F670="","No direction; ","")&amp;IF(AND(ISNUMBER(Settings!$C$22),ISNUMBER($V670)),IF($V670&gt;Settings!$C$22,"Risk over max $; ",""),"")&amp;IF(AND(ISNUMBER(Settings!$C$23),ISNUMBER($V670),ISNUMBER($AP670),IFERROR(N(INDEX(Accounts!$E$7:$E$16,MATCH($C670,Accounts!$B$7:$B$16,0))),0)&gt;0),IF($V670&gt;Settings!$C$23*($AP670-N($Q670)),"Risk over max %; ",""),"")&amp;IF(AND(ISNUMBER(Settings!$C$24),ISNUMBER($N670)),IF($N670&gt;Settings!$C$24,"Leverage over max; ",""),"")&amp;IF(AND(ISNUMBER(Settings!$C$27),ISNUMBER($T670)),IF($T670&lt;Settings!$C$27,"R:R below min; ",""),"")&amp;IF(ISNUMBER(Settings!$C$25),IF(COUNTIFS($A$6:$A670,$A670,$AM$6:$AM670,1)&gt;Settings!$C$25,"Over max trades/day; ",""),"")&amp;IF(ISNUMBER(Settings!$C$26),IF(SUMIFS($Q$5:$Q669,$A$5:$A669,$A670)&lt;=-Settings!$C$26,"Traded after daily max loss; ",""),"")&amp;IF(AND($AG670="",NOT(ISNUMBER($O670))),"Symbol not in Instruments; ","")&amp;IF(AND($AH670="",NOT(ISNUMBER($O670))),"Forex cross: type Gross P&amp;L; ",""))</f>
        <v/>
      </c>
      <c r="BH670" s="56">
        <f>IF(ISNUMBER($Q670),1,0)</f>
        <v>0</v>
      </c>
      <c r="BI670" s="56">
        <f>IF($Y670="",0,1)</f>
        <v>0</v>
      </c>
      <c r="BJ670" s="56">
        <f>IF($AB670="",0,1)</f>
        <v>0</v>
      </c>
      <c r="BK670" s="56">
        <f>IF(AND($BH670=1,$W670&lt;&gt;"OK"),1,0)</f>
        <v>0</v>
      </c>
      <c r="BL670" s="55">
        <f>IF(N($AZ670)=0,0,IFERROR(INDEX($AT$6:$AT$1005,MATCH($AZ670,$AY$6:$AY$1005,0)),0))</f>
        <v>1187.10688</v>
      </c>
      <c r="BM670" s="56">
        <f>IF(ISNUMBER(SEARCH("daily max loss",$BG670)),1,0)</f>
        <v>0</v>
      </c>
    </row>
    <row r="671" ht="18" customHeight="1">
      <c r="A671" s="38" t="n"/>
      <c r="B671" s="39" t="n"/>
      <c r="C671" s="40" t="n"/>
      <c r="D671" s="41" t="n"/>
      <c r="E671" s="41" t="n"/>
      <c r="F671" s="41" t="n"/>
      <c r="G671" s="41" t="n"/>
      <c r="H671" s="42" t="n"/>
      <c r="I671" s="42" t="n"/>
      <c r="J671" s="42" t="n"/>
      <c r="K671" s="42" t="n"/>
      <c r="L671" s="41" t="n"/>
      <c r="M671" s="41" t="n"/>
      <c r="N671" s="41" t="n"/>
      <c r="O671" s="43" t="n"/>
      <c r="P671" s="43" t="n"/>
      <c r="Q671" s="44" t="str">
        <f>IF($AM671=0,"",IF(ISNUMBER($AK671),$AK671-N($AL671),""))</f>
        <v/>
      </c>
      <c r="R671" s="45" t="str">
        <f>IF(OR($Q671="",NOT(ISNUMBER($V671))),"",$AK671/$V671)</f>
        <v/>
      </c>
      <c r="S671" s="46" t="str">
        <f>IF($Q671="","",IF(AND(ISNUMBER($R671),ABS(N($R671))&lt;N(Settings!$C$8)),"Scratch",IF($Q671&gt;0,"Win",IF($Q671&lt;0,"Loss","Scratch"))))</f>
        <v/>
      </c>
      <c r="T671" s="47" t="str">
        <f>IF(OR($AM671=0,NOT(ISNUMBER($H671)),NOT(ISNUMBER($I671)),NOT(ISNUMBER($J671))),"",IF($H671=$I671,"",ROUND(ABS($J671-$H671)/ABS($H671-$I671),6)))</f>
        <v/>
      </c>
      <c r="U671" s="48" t="str">
        <f>IF(OR($S671&lt;&gt;"Win",NOT(ISNUMBER($T671)),NOT(ISNUMBER($R671))),"",MAX(0,$T671-$R671))</f>
        <v/>
      </c>
      <c r="V671" s="49" t="str">
        <f>IF(OR($AM671=0,NOT(ISNUMBER($H671)),NOT(ISNUMBER($I671)),NOT(ISNUMBER($G671))),"",IF(OR($AG671="",$AH671=""),"",IF(ROUND(ABS($H671-$I671)*ABS($G671)*$AG671*$AH671,6)=0,"",ROUND(ABS($H671-$I671)*ABS($G671)*$AG671*$AH671,6))))</f>
        <v/>
      </c>
      <c r="W671" s="50" t="str">
        <f>IF($AM671=0,"",IF($BG671="","OK",LEFT($BG671,LEN($BG671)-2)))</f>
        <v/>
      </c>
      <c r="X671" s="41" t="n"/>
      <c r="Y671" s="40" t="n"/>
      <c r="Z671" s="41" t="n"/>
      <c r="AA671" s="41" t="n"/>
      <c r="AB671" s="40" t="n"/>
      <c r="AC671" s="51" t="n"/>
      <c r="AD671" s="51" t="n"/>
      <c r="AE671" s="40" t="n"/>
      <c r="AF671" s="52" t="str">
        <f>IF($AM671=0,"",IF($D671&lt;&gt;"",$D671,IF(IFERROR(INDEX(Accounts!$C$7:$C$16,MATCH($C671,Accounts!$B$7:$B$16,0))&amp;"","")&lt;&gt;"",INDEX(Accounts!$C$7:$C$16,MATCH($C671,Accounts!$B$7:$B$16,0)),Settings!$C$6)))</f>
        <v/>
      </c>
      <c r="AG671" s="53" t="str">
        <f>IF($AM671=0,"",IF(AND($BE671&gt;0,N(INDEX(Instruments!$D$6:$D$205,MAX(1,$BE671)))&gt;0),INDEX(Instruments!$D$6:$D$205,MAX(1,$BE671)),IF(N(INDEX(Settings!$D$14:$D$18,$BF671))&gt;0,INDEX(Settings!$D$14:$D$18,$BF671),"")))</f>
        <v/>
      </c>
      <c r="AH671" s="54" t="str">
        <f>IF($AM671=0,"",IF($AF671&lt;&gt;"Forex",1,IF(MID(UPPER(SUBSTITUTE(TRIM($E671),"/","")),4,3)=UPPER(TRIM(Settings!$C$7)),1,IF(LEFT(UPPER(SUBSTITUTE(TRIM($E671),"/","")),3)=UPPER(TRIM(Settings!$C$7)),IF(AND(ISNUMBER($K671),N($K671)&lt;&gt;0),1/$K671,""),""))))</f>
        <v/>
      </c>
      <c r="AI671" s="55" t="str">
        <f>IF($AM671=0,"",IF(OR(NOT(ISNUMBER($H671)),NOT(ISNUMBER($K671)),NOT(ISNUMBER($G671)),$AG671="",$AH671=""),"",ROUND(($K671-$H671)*IF($F671="Short",-1,1)*$G671*$AG671*$AH671,6)))</f>
        <v/>
      </c>
      <c r="AJ671" s="55" t="str">
        <f>IF($AM671=0,"",IF(INDEX(Settings!$E$14:$E$18,$BF671)="% of notional",IF(OR($AG671="",NOT(ISNUMBER($H671)),NOT(ISNUMBER($G671))),"",ROUND(ABS($H671*$G671*$AG671*N($AH671))*IF($L671="Limit",N(INDEX(Settings!$G$14:$G$18,$BF671)),N(INDEX(Settings!$H$14:$H$18,$BF671)))+IF(ISNUMBER($K671),ABS($K671*$G671*$AG671*N($AH671))*IF($M671="Target",N(INDEX(Settings!$G$14:$G$18,$BF671)),N(INDEX(Settings!$H$14:$H$18,$BF671))),0),6)),IF(NOT(ISNUMBER($G671)),"",ROUND(ABS($G671)*2*IF(AND($BE671&gt;0,ISNUMBER(INDEX(Instruments!$G$6:$G$205,MAX(1,$BE671)))),INDEX(Instruments!$G$6:$G$205,MAX(1,$BE671)),N(INDEX(Settings!$F$14:$F$18,$BF671))),6))))</f>
        <v/>
      </c>
      <c r="AK671" s="55" t="str">
        <f>IF($AM671=0,"",IF(ISNUMBER($O671),$O671,$AI671))</f>
        <v/>
      </c>
      <c r="AL671" s="55" t="str">
        <f>IF($AM671=0,"",IF(ISNUMBER($P671),$P671,N($AJ671)))</f>
        <v/>
      </c>
      <c r="AM671" s="56">
        <f>IF(AND($A671&lt;&gt;"",$E671&lt;&gt;"",OR(AND(ISNUMBER($G671),ISNUMBER($H671),ISNUMBER($K671)),ISNUMBER($O671))),1,0)</f>
        <v>0</v>
      </c>
      <c r="AN671" s="57" t="str">
        <f>IF($A671="","",$A671-WEEKDAY($A671,3))</f>
        <v/>
      </c>
      <c r="AO671" s="56" t="str">
        <f>IF($A671="","",WEEKDAY($A671,2))</f>
        <v/>
      </c>
      <c r="AP671" s="55" t="str">
        <f>IF(OR($AM671=0,$C671=""),"",IFERROR(N(INDEX(Accounts!$E$7:$E$16,MATCH($C671,Accounts!$B$7:$B$16,0))),0)+SUMIFS($Q$6:$Q671,$C$6:$C671,$C671))</f>
        <v/>
      </c>
      <c r="AQ671" s="55" t="str">
        <f>IF(OR($AM671=0,$C671=""),"",SUMIFS($Q$6:$Q$1005,$C$6:$C$1005,$C671,$A$6:$A$1005,$A671))</f>
        <v/>
      </c>
      <c r="AR671" s="55" t="str">
        <f>IF(OR($AM671=0,$C671=""),"",IFERROR(N(INDEX(Accounts!$E$7:$E$16,MATCH($C671,Accounts!$B$7:$B$16,0))),0)+SUMIFS($Q$6:$Q$1005,$C$6:$C$1005,$C671,$A$6:$A$1005,"&lt;="&amp;$A671))</f>
        <v/>
      </c>
      <c r="AS671" s="56">
        <f>IF(OR($AM671=0,$Q671=""),0,IF(AND($A671&gt;=Lists!$W$6,$A671&lt;=Lists!$W$7,OR(Dashboard!$D$6="All accounts",$C671=Dashboard!$D$6),OR(Dashboard!$D$7="All markets",$AF671=Dashboard!$D$7)),1,0))</f>
        <v>0</v>
      </c>
      <c r="AT671" s="55">
        <f>IF($AS671=1,N(AT670)+$Q671,N(AT670))</f>
        <v>1187.10688</v>
      </c>
      <c r="AU671" s="55">
        <f>MAX(N(AU670),$AT671)</f>
        <v>1187.10688</v>
      </c>
      <c r="AV671" s="55">
        <f>$AT671-$AU671</f>
        <v>0</v>
      </c>
      <c r="AW671" s="56">
        <f>IF($AS671=1,IF($S671="Win",N(AW670)+1,IF($S671="Loss",0,N(AW670))),N(AW670))</f>
        <v>5</v>
      </c>
      <c r="AX671" s="56">
        <f>IF($AS671=1,IF($S671="Loss",N(AX670)+1,IF($S671="Win",0,N(AX670))),N(AX670))</f>
        <v>0</v>
      </c>
      <c r="AY671" s="56" t="str">
        <f>IF($AS671=1,COUNTIF($AS$6:$AS671,1),"")</f>
        <v/>
      </c>
      <c r="AZ671" s="56">
        <f>MIN(665,N(Lists!$W$8))</f>
        <v>28</v>
      </c>
      <c r="BA671" s="56">
        <f>IF($AS671=1,IF(COUNTIFS($A$6:$A671,$A671,$AS$6:$AS671,1)=1,1,0),0)</f>
        <v>0</v>
      </c>
      <c r="BB671" s="55" t="str">
        <f>IF($BA671=1,SUMIFS($Q$6:$Q$1005,$A$6:$A$1005,$A671,$AS$6:$AS$1005,1),"")</f>
        <v/>
      </c>
      <c r="BC671" s="56">
        <f>IF(ISNUMBER($R671),1,0)</f>
        <v>0</v>
      </c>
      <c r="BD671" s="55" t="str">
        <f>IF(ISNUMBER($U671),$U671*$V671,"")</f>
        <v/>
      </c>
      <c r="BE671" s="56" t="str">
        <f>IF($AM671=0,"",IFERROR(MATCH($AF671&amp;"|"&amp;UPPER(TRIM($E671)),Lists!$A$6:$A$205,0),0))</f>
        <v/>
      </c>
      <c r="BF671" s="56" t="str">
        <f>IF($AM671=0,"",IFERROR(MATCH($AF671,Settings!$B$14:$B$18,0),IFERROR(MATCH(Settings!$C$6,Settings!$B$14:$B$18,0),1)))</f>
        <v/>
      </c>
      <c r="BG671" s="58" t="str">
        <f>IF($AM671=0,"",IF(NOT(ISNUMBER($I671)),"No stop; ","")&amp;IF(AND(ISNUMBER($H671),ISNUMBER($I671)),IF(OR(AND($F671&lt;&gt;"Short",$I671&gt;=$H671),AND($F671="Short",$I671&lt;=$H671)),"Stop on wrong side; ",""),"")&amp;IF($F671="","No direction; ","")&amp;IF(AND(ISNUMBER(Settings!$C$22),ISNUMBER($V671)),IF($V671&gt;Settings!$C$22,"Risk over max $; ",""),"")&amp;IF(AND(ISNUMBER(Settings!$C$23),ISNUMBER($V671),ISNUMBER($AP671),IFERROR(N(INDEX(Accounts!$E$7:$E$16,MATCH($C671,Accounts!$B$7:$B$16,0))),0)&gt;0),IF($V671&gt;Settings!$C$23*($AP671-N($Q671)),"Risk over max %; ",""),"")&amp;IF(AND(ISNUMBER(Settings!$C$24),ISNUMBER($N671)),IF($N671&gt;Settings!$C$24,"Leverage over max; ",""),"")&amp;IF(AND(ISNUMBER(Settings!$C$27),ISNUMBER($T671)),IF($T671&lt;Settings!$C$27,"R:R below min; ",""),"")&amp;IF(ISNUMBER(Settings!$C$25),IF(COUNTIFS($A$6:$A671,$A671,$AM$6:$AM671,1)&gt;Settings!$C$25,"Over max trades/day; ",""),"")&amp;IF(ISNUMBER(Settings!$C$26),IF(SUMIFS($Q$5:$Q670,$A$5:$A670,$A671)&lt;=-Settings!$C$26,"Traded after daily max loss; ",""),"")&amp;IF(AND($AG671="",NOT(ISNUMBER($O671))),"Symbol not in Instruments; ","")&amp;IF(AND($AH671="",NOT(ISNUMBER($O671))),"Forex cross: type Gross P&amp;L; ",""))</f>
        <v/>
      </c>
      <c r="BH671" s="56">
        <f>IF(ISNUMBER($Q671),1,0)</f>
        <v>0</v>
      </c>
      <c r="BI671" s="56">
        <f>IF($Y671="",0,1)</f>
        <v>0</v>
      </c>
      <c r="BJ671" s="56">
        <f>IF($AB671="",0,1)</f>
        <v>0</v>
      </c>
      <c r="BK671" s="56">
        <f>IF(AND($BH671=1,$W671&lt;&gt;"OK"),1,0)</f>
        <v>0</v>
      </c>
      <c r="BL671" s="55">
        <f>IF(N($AZ671)=0,0,IFERROR(INDEX($AT$6:$AT$1005,MATCH($AZ671,$AY$6:$AY$1005,0)),0))</f>
        <v>1187.10688</v>
      </c>
      <c r="BM671" s="56">
        <f>IF(ISNUMBER(SEARCH("daily max loss",$BG671)),1,0)</f>
        <v>0</v>
      </c>
    </row>
    <row r="672" ht="18" customHeight="1">
      <c r="A672" s="38" t="n"/>
      <c r="B672" s="39" t="n"/>
      <c r="C672" s="40" t="n"/>
      <c r="D672" s="41" t="n"/>
      <c r="E672" s="41" t="n"/>
      <c r="F672" s="41" t="n"/>
      <c r="G672" s="41" t="n"/>
      <c r="H672" s="42" t="n"/>
      <c r="I672" s="42" t="n"/>
      <c r="J672" s="42" t="n"/>
      <c r="K672" s="42" t="n"/>
      <c r="L672" s="41" t="n"/>
      <c r="M672" s="41" t="n"/>
      <c r="N672" s="41" t="n"/>
      <c r="O672" s="43" t="n"/>
      <c r="P672" s="43" t="n"/>
      <c r="Q672" s="44" t="str">
        <f>IF($AM672=0,"",IF(ISNUMBER($AK672),$AK672-N($AL672),""))</f>
        <v/>
      </c>
      <c r="R672" s="45" t="str">
        <f>IF(OR($Q672="",NOT(ISNUMBER($V672))),"",$AK672/$V672)</f>
        <v/>
      </c>
      <c r="S672" s="46" t="str">
        <f>IF($Q672="","",IF(AND(ISNUMBER($R672),ABS(N($R672))&lt;N(Settings!$C$8)),"Scratch",IF($Q672&gt;0,"Win",IF($Q672&lt;0,"Loss","Scratch"))))</f>
        <v/>
      </c>
      <c r="T672" s="47" t="str">
        <f>IF(OR($AM672=0,NOT(ISNUMBER($H672)),NOT(ISNUMBER($I672)),NOT(ISNUMBER($J672))),"",IF($H672=$I672,"",ROUND(ABS($J672-$H672)/ABS($H672-$I672),6)))</f>
        <v/>
      </c>
      <c r="U672" s="48" t="str">
        <f>IF(OR($S672&lt;&gt;"Win",NOT(ISNUMBER($T672)),NOT(ISNUMBER($R672))),"",MAX(0,$T672-$R672))</f>
        <v/>
      </c>
      <c r="V672" s="49" t="str">
        <f>IF(OR($AM672=0,NOT(ISNUMBER($H672)),NOT(ISNUMBER($I672)),NOT(ISNUMBER($G672))),"",IF(OR($AG672="",$AH672=""),"",IF(ROUND(ABS($H672-$I672)*ABS($G672)*$AG672*$AH672,6)=0,"",ROUND(ABS($H672-$I672)*ABS($G672)*$AG672*$AH672,6))))</f>
        <v/>
      </c>
      <c r="W672" s="50" t="str">
        <f>IF($AM672=0,"",IF($BG672="","OK",LEFT($BG672,LEN($BG672)-2)))</f>
        <v/>
      </c>
      <c r="X672" s="41" t="n"/>
      <c r="Y672" s="40" t="n"/>
      <c r="Z672" s="41" t="n"/>
      <c r="AA672" s="41" t="n"/>
      <c r="AB672" s="40" t="n"/>
      <c r="AC672" s="51" t="n"/>
      <c r="AD672" s="51" t="n"/>
      <c r="AE672" s="40" t="n"/>
      <c r="AF672" s="52" t="str">
        <f>IF($AM672=0,"",IF($D672&lt;&gt;"",$D672,IF(IFERROR(INDEX(Accounts!$C$7:$C$16,MATCH($C672,Accounts!$B$7:$B$16,0))&amp;"","")&lt;&gt;"",INDEX(Accounts!$C$7:$C$16,MATCH($C672,Accounts!$B$7:$B$16,0)),Settings!$C$6)))</f>
        <v/>
      </c>
      <c r="AG672" s="53" t="str">
        <f>IF($AM672=0,"",IF(AND($BE672&gt;0,N(INDEX(Instruments!$D$6:$D$205,MAX(1,$BE672)))&gt;0),INDEX(Instruments!$D$6:$D$205,MAX(1,$BE672)),IF(N(INDEX(Settings!$D$14:$D$18,$BF672))&gt;0,INDEX(Settings!$D$14:$D$18,$BF672),"")))</f>
        <v/>
      </c>
      <c r="AH672" s="54" t="str">
        <f>IF($AM672=0,"",IF($AF672&lt;&gt;"Forex",1,IF(MID(UPPER(SUBSTITUTE(TRIM($E672),"/","")),4,3)=UPPER(TRIM(Settings!$C$7)),1,IF(LEFT(UPPER(SUBSTITUTE(TRIM($E672),"/","")),3)=UPPER(TRIM(Settings!$C$7)),IF(AND(ISNUMBER($K672),N($K672)&lt;&gt;0),1/$K672,""),""))))</f>
        <v/>
      </c>
      <c r="AI672" s="55" t="str">
        <f>IF($AM672=0,"",IF(OR(NOT(ISNUMBER($H672)),NOT(ISNUMBER($K672)),NOT(ISNUMBER($G672)),$AG672="",$AH672=""),"",ROUND(($K672-$H672)*IF($F672="Short",-1,1)*$G672*$AG672*$AH672,6)))</f>
        <v/>
      </c>
      <c r="AJ672" s="55" t="str">
        <f>IF($AM672=0,"",IF(INDEX(Settings!$E$14:$E$18,$BF672)="% of notional",IF(OR($AG672="",NOT(ISNUMBER($H672)),NOT(ISNUMBER($G672))),"",ROUND(ABS($H672*$G672*$AG672*N($AH672))*IF($L672="Limit",N(INDEX(Settings!$G$14:$G$18,$BF672)),N(INDEX(Settings!$H$14:$H$18,$BF672)))+IF(ISNUMBER($K672),ABS($K672*$G672*$AG672*N($AH672))*IF($M672="Target",N(INDEX(Settings!$G$14:$G$18,$BF672)),N(INDEX(Settings!$H$14:$H$18,$BF672))),0),6)),IF(NOT(ISNUMBER($G672)),"",ROUND(ABS($G672)*2*IF(AND($BE672&gt;0,ISNUMBER(INDEX(Instruments!$G$6:$G$205,MAX(1,$BE672)))),INDEX(Instruments!$G$6:$G$205,MAX(1,$BE672)),N(INDEX(Settings!$F$14:$F$18,$BF672))),6))))</f>
        <v/>
      </c>
      <c r="AK672" s="55" t="str">
        <f>IF($AM672=0,"",IF(ISNUMBER($O672),$O672,$AI672))</f>
        <v/>
      </c>
      <c r="AL672" s="55" t="str">
        <f>IF($AM672=0,"",IF(ISNUMBER($P672),$P672,N($AJ672)))</f>
        <v/>
      </c>
      <c r="AM672" s="56">
        <f>IF(AND($A672&lt;&gt;"",$E672&lt;&gt;"",OR(AND(ISNUMBER($G672),ISNUMBER($H672),ISNUMBER($K672)),ISNUMBER($O672))),1,0)</f>
        <v>0</v>
      </c>
      <c r="AN672" s="57" t="str">
        <f>IF($A672="","",$A672-WEEKDAY($A672,3))</f>
        <v/>
      </c>
      <c r="AO672" s="56" t="str">
        <f>IF($A672="","",WEEKDAY($A672,2))</f>
        <v/>
      </c>
      <c r="AP672" s="55" t="str">
        <f>IF(OR($AM672=0,$C672=""),"",IFERROR(N(INDEX(Accounts!$E$7:$E$16,MATCH($C672,Accounts!$B$7:$B$16,0))),0)+SUMIFS($Q$6:$Q672,$C$6:$C672,$C672))</f>
        <v/>
      </c>
      <c r="AQ672" s="55" t="str">
        <f>IF(OR($AM672=0,$C672=""),"",SUMIFS($Q$6:$Q$1005,$C$6:$C$1005,$C672,$A$6:$A$1005,$A672))</f>
        <v/>
      </c>
      <c r="AR672" s="55" t="str">
        <f>IF(OR($AM672=0,$C672=""),"",IFERROR(N(INDEX(Accounts!$E$7:$E$16,MATCH($C672,Accounts!$B$7:$B$16,0))),0)+SUMIFS($Q$6:$Q$1005,$C$6:$C$1005,$C672,$A$6:$A$1005,"&lt;="&amp;$A672))</f>
        <v/>
      </c>
      <c r="AS672" s="56">
        <f>IF(OR($AM672=0,$Q672=""),0,IF(AND($A672&gt;=Lists!$W$6,$A672&lt;=Lists!$W$7,OR(Dashboard!$D$6="All accounts",$C672=Dashboard!$D$6),OR(Dashboard!$D$7="All markets",$AF672=Dashboard!$D$7)),1,0))</f>
        <v>0</v>
      </c>
      <c r="AT672" s="55">
        <f>IF($AS672=1,N(AT671)+$Q672,N(AT671))</f>
        <v>1187.10688</v>
      </c>
      <c r="AU672" s="55">
        <f>MAX(N(AU671),$AT672)</f>
        <v>1187.10688</v>
      </c>
      <c r="AV672" s="55">
        <f>$AT672-$AU672</f>
        <v>0</v>
      </c>
      <c r="AW672" s="56">
        <f>IF($AS672=1,IF($S672="Win",N(AW671)+1,IF($S672="Loss",0,N(AW671))),N(AW671))</f>
        <v>5</v>
      </c>
      <c r="AX672" s="56">
        <f>IF($AS672=1,IF($S672="Loss",N(AX671)+1,IF($S672="Win",0,N(AX671))),N(AX671))</f>
        <v>0</v>
      </c>
      <c r="AY672" s="56" t="str">
        <f>IF($AS672=1,COUNTIF($AS$6:$AS672,1),"")</f>
        <v/>
      </c>
      <c r="AZ672" s="56">
        <f>MIN(666,N(Lists!$W$8))</f>
        <v>28</v>
      </c>
      <c r="BA672" s="56">
        <f>IF($AS672=1,IF(COUNTIFS($A$6:$A672,$A672,$AS$6:$AS672,1)=1,1,0),0)</f>
        <v>0</v>
      </c>
      <c r="BB672" s="55" t="str">
        <f>IF($BA672=1,SUMIFS($Q$6:$Q$1005,$A$6:$A$1005,$A672,$AS$6:$AS$1005,1),"")</f>
        <v/>
      </c>
      <c r="BC672" s="56">
        <f>IF(ISNUMBER($R672),1,0)</f>
        <v>0</v>
      </c>
      <c r="BD672" s="55" t="str">
        <f>IF(ISNUMBER($U672),$U672*$V672,"")</f>
        <v/>
      </c>
      <c r="BE672" s="56" t="str">
        <f>IF($AM672=0,"",IFERROR(MATCH($AF672&amp;"|"&amp;UPPER(TRIM($E672)),Lists!$A$6:$A$205,0),0))</f>
        <v/>
      </c>
      <c r="BF672" s="56" t="str">
        <f>IF($AM672=0,"",IFERROR(MATCH($AF672,Settings!$B$14:$B$18,0),IFERROR(MATCH(Settings!$C$6,Settings!$B$14:$B$18,0),1)))</f>
        <v/>
      </c>
      <c r="BG672" s="58" t="str">
        <f>IF($AM672=0,"",IF(NOT(ISNUMBER($I672)),"No stop; ","")&amp;IF(AND(ISNUMBER($H672),ISNUMBER($I672)),IF(OR(AND($F672&lt;&gt;"Short",$I672&gt;=$H672),AND($F672="Short",$I672&lt;=$H672)),"Stop on wrong side; ",""),"")&amp;IF($F672="","No direction; ","")&amp;IF(AND(ISNUMBER(Settings!$C$22),ISNUMBER($V672)),IF($V672&gt;Settings!$C$22,"Risk over max $; ",""),"")&amp;IF(AND(ISNUMBER(Settings!$C$23),ISNUMBER($V672),ISNUMBER($AP672),IFERROR(N(INDEX(Accounts!$E$7:$E$16,MATCH($C672,Accounts!$B$7:$B$16,0))),0)&gt;0),IF($V672&gt;Settings!$C$23*($AP672-N($Q672)),"Risk over max %; ",""),"")&amp;IF(AND(ISNUMBER(Settings!$C$24),ISNUMBER($N672)),IF($N672&gt;Settings!$C$24,"Leverage over max; ",""),"")&amp;IF(AND(ISNUMBER(Settings!$C$27),ISNUMBER($T672)),IF($T672&lt;Settings!$C$27,"R:R below min; ",""),"")&amp;IF(ISNUMBER(Settings!$C$25),IF(COUNTIFS($A$6:$A672,$A672,$AM$6:$AM672,1)&gt;Settings!$C$25,"Over max trades/day; ",""),"")&amp;IF(ISNUMBER(Settings!$C$26),IF(SUMIFS($Q$5:$Q671,$A$5:$A671,$A672)&lt;=-Settings!$C$26,"Traded after daily max loss; ",""),"")&amp;IF(AND($AG672="",NOT(ISNUMBER($O672))),"Symbol not in Instruments; ","")&amp;IF(AND($AH672="",NOT(ISNUMBER($O672))),"Forex cross: type Gross P&amp;L; ",""))</f>
        <v/>
      </c>
      <c r="BH672" s="56">
        <f>IF(ISNUMBER($Q672),1,0)</f>
        <v>0</v>
      </c>
      <c r="BI672" s="56">
        <f>IF($Y672="",0,1)</f>
        <v>0</v>
      </c>
      <c r="BJ672" s="56">
        <f>IF($AB672="",0,1)</f>
        <v>0</v>
      </c>
      <c r="BK672" s="56">
        <f>IF(AND($BH672=1,$W672&lt;&gt;"OK"),1,0)</f>
        <v>0</v>
      </c>
      <c r="BL672" s="55">
        <f>IF(N($AZ672)=0,0,IFERROR(INDEX($AT$6:$AT$1005,MATCH($AZ672,$AY$6:$AY$1005,0)),0))</f>
        <v>1187.10688</v>
      </c>
      <c r="BM672" s="56">
        <f>IF(ISNUMBER(SEARCH("daily max loss",$BG672)),1,0)</f>
        <v>0</v>
      </c>
    </row>
    <row r="673" ht="18" customHeight="1">
      <c r="A673" s="38" t="n"/>
      <c r="B673" s="39" t="n"/>
      <c r="C673" s="40" t="n"/>
      <c r="D673" s="41" t="n"/>
      <c r="E673" s="41" t="n"/>
      <c r="F673" s="41" t="n"/>
      <c r="G673" s="41" t="n"/>
      <c r="H673" s="42" t="n"/>
      <c r="I673" s="42" t="n"/>
      <c r="J673" s="42" t="n"/>
      <c r="K673" s="42" t="n"/>
      <c r="L673" s="41" t="n"/>
      <c r="M673" s="41" t="n"/>
      <c r="N673" s="41" t="n"/>
      <c r="O673" s="43" t="n"/>
      <c r="P673" s="43" t="n"/>
      <c r="Q673" s="44" t="str">
        <f>IF($AM673=0,"",IF(ISNUMBER($AK673),$AK673-N($AL673),""))</f>
        <v/>
      </c>
      <c r="R673" s="45" t="str">
        <f>IF(OR($Q673="",NOT(ISNUMBER($V673))),"",$AK673/$V673)</f>
        <v/>
      </c>
      <c r="S673" s="46" t="str">
        <f>IF($Q673="","",IF(AND(ISNUMBER($R673),ABS(N($R673))&lt;N(Settings!$C$8)),"Scratch",IF($Q673&gt;0,"Win",IF($Q673&lt;0,"Loss","Scratch"))))</f>
        <v/>
      </c>
      <c r="T673" s="47" t="str">
        <f>IF(OR($AM673=0,NOT(ISNUMBER($H673)),NOT(ISNUMBER($I673)),NOT(ISNUMBER($J673))),"",IF($H673=$I673,"",ROUND(ABS($J673-$H673)/ABS($H673-$I673),6)))</f>
        <v/>
      </c>
      <c r="U673" s="48" t="str">
        <f>IF(OR($S673&lt;&gt;"Win",NOT(ISNUMBER($T673)),NOT(ISNUMBER($R673))),"",MAX(0,$T673-$R673))</f>
        <v/>
      </c>
      <c r="V673" s="49" t="str">
        <f>IF(OR($AM673=0,NOT(ISNUMBER($H673)),NOT(ISNUMBER($I673)),NOT(ISNUMBER($G673))),"",IF(OR($AG673="",$AH673=""),"",IF(ROUND(ABS($H673-$I673)*ABS($G673)*$AG673*$AH673,6)=0,"",ROUND(ABS($H673-$I673)*ABS($G673)*$AG673*$AH673,6))))</f>
        <v/>
      </c>
      <c r="W673" s="50" t="str">
        <f>IF($AM673=0,"",IF($BG673="","OK",LEFT($BG673,LEN($BG673)-2)))</f>
        <v/>
      </c>
      <c r="X673" s="41" t="n"/>
      <c r="Y673" s="40" t="n"/>
      <c r="Z673" s="41" t="n"/>
      <c r="AA673" s="41" t="n"/>
      <c r="AB673" s="40" t="n"/>
      <c r="AC673" s="51" t="n"/>
      <c r="AD673" s="51" t="n"/>
      <c r="AE673" s="40" t="n"/>
      <c r="AF673" s="52" t="str">
        <f>IF($AM673=0,"",IF($D673&lt;&gt;"",$D673,IF(IFERROR(INDEX(Accounts!$C$7:$C$16,MATCH($C673,Accounts!$B$7:$B$16,0))&amp;"","")&lt;&gt;"",INDEX(Accounts!$C$7:$C$16,MATCH($C673,Accounts!$B$7:$B$16,0)),Settings!$C$6)))</f>
        <v/>
      </c>
      <c r="AG673" s="53" t="str">
        <f>IF($AM673=0,"",IF(AND($BE673&gt;0,N(INDEX(Instruments!$D$6:$D$205,MAX(1,$BE673)))&gt;0),INDEX(Instruments!$D$6:$D$205,MAX(1,$BE673)),IF(N(INDEX(Settings!$D$14:$D$18,$BF673))&gt;0,INDEX(Settings!$D$14:$D$18,$BF673),"")))</f>
        <v/>
      </c>
      <c r="AH673" s="54" t="str">
        <f>IF($AM673=0,"",IF($AF673&lt;&gt;"Forex",1,IF(MID(UPPER(SUBSTITUTE(TRIM($E673),"/","")),4,3)=UPPER(TRIM(Settings!$C$7)),1,IF(LEFT(UPPER(SUBSTITUTE(TRIM($E673),"/","")),3)=UPPER(TRIM(Settings!$C$7)),IF(AND(ISNUMBER($K673),N($K673)&lt;&gt;0),1/$K673,""),""))))</f>
        <v/>
      </c>
      <c r="AI673" s="55" t="str">
        <f>IF($AM673=0,"",IF(OR(NOT(ISNUMBER($H673)),NOT(ISNUMBER($K673)),NOT(ISNUMBER($G673)),$AG673="",$AH673=""),"",ROUND(($K673-$H673)*IF($F673="Short",-1,1)*$G673*$AG673*$AH673,6)))</f>
        <v/>
      </c>
      <c r="AJ673" s="55" t="str">
        <f>IF($AM673=0,"",IF(INDEX(Settings!$E$14:$E$18,$BF673)="% of notional",IF(OR($AG673="",NOT(ISNUMBER($H673)),NOT(ISNUMBER($G673))),"",ROUND(ABS($H673*$G673*$AG673*N($AH673))*IF($L673="Limit",N(INDEX(Settings!$G$14:$G$18,$BF673)),N(INDEX(Settings!$H$14:$H$18,$BF673)))+IF(ISNUMBER($K673),ABS($K673*$G673*$AG673*N($AH673))*IF($M673="Target",N(INDEX(Settings!$G$14:$G$18,$BF673)),N(INDEX(Settings!$H$14:$H$18,$BF673))),0),6)),IF(NOT(ISNUMBER($G673)),"",ROUND(ABS($G673)*2*IF(AND($BE673&gt;0,ISNUMBER(INDEX(Instruments!$G$6:$G$205,MAX(1,$BE673)))),INDEX(Instruments!$G$6:$G$205,MAX(1,$BE673)),N(INDEX(Settings!$F$14:$F$18,$BF673))),6))))</f>
        <v/>
      </c>
      <c r="AK673" s="55" t="str">
        <f>IF($AM673=0,"",IF(ISNUMBER($O673),$O673,$AI673))</f>
        <v/>
      </c>
      <c r="AL673" s="55" t="str">
        <f>IF($AM673=0,"",IF(ISNUMBER($P673),$P673,N($AJ673)))</f>
        <v/>
      </c>
      <c r="AM673" s="56">
        <f>IF(AND($A673&lt;&gt;"",$E673&lt;&gt;"",OR(AND(ISNUMBER($G673),ISNUMBER($H673),ISNUMBER($K673)),ISNUMBER($O673))),1,0)</f>
        <v>0</v>
      </c>
      <c r="AN673" s="57" t="str">
        <f>IF($A673="","",$A673-WEEKDAY($A673,3))</f>
        <v/>
      </c>
      <c r="AO673" s="56" t="str">
        <f>IF($A673="","",WEEKDAY($A673,2))</f>
        <v/>
      </c>
      <c r="AP673" s="55" t="str">
        <f>IF(OR($AM673=0,$C673=""),"",IFERROR(N(INDEX(Accounts!$E$7:$E$16,MATCH($C673,Accounts!$B$7:$B$16,0))),0)+SUMIFS($Q$6:$Q673,$C$6:$C673,$C673))</f>
        <v/>
      </c>
      <c r="AQ673" s="55" t="str">
        <f>IF(OR($AM673=0,$C673=""),"",SUMIFS($Q$6:$Q$1005,$C$6:$C$1005,$C673,$A$6:$A$1005,$A673))</f>
        <v/>
      </c>
      <c r="AR673" s="55" t="str">
        <f>IF(OR($AM673=0,$C673=""),"",IFERROR(N(INDEX(Accounts!$E$7:$E$16,MATCH($C673,Accounts!$B$7:$B$16,0))),0)+SUMIFS($Q$6:$Q$1005,$C$6:$C$1005,$C673,$A$6:$A$1005,"&lt;="&amp;$A673))</f>
        <v/>
      </c>
      <c r="AS673" s="56">
        <f>IF(OR($AM673=0,$Q673=""),0,IF(AND($A673&gt;=Lists!$W$6,$A673&lt;=Lists!$W$7,OR(Dashboard!$D$6="All accounts",$C673=Dashboard!$D$6),OR(Dashboard!$D$7="All markets",$AF673=Dashboard!$D$7)),1,0))</f>
        <v>0</v>
      </c>
      <c r="AT673" s="55">
        <f>IF($AS673=1,N(AT672)+$Q673,N(AT672))</f>
        <v>1187.10688</v>
      </c>
      <c r="AU673" s="55">
        <f>MAX(N(AU672),$AT673)</f>
        <v>1187.10688</v>
      </c>
      <c r="AV673" s="55">
        <f>$AT673-$AU673</f>
        <v>0</v>
      </c>
      <c r="AW673" s="56">
        <f>IF($AS673=1,IF($S673="Win",N(AW672)+1,IF($S673="Loss",0,N(AW672))),N(AW672))</f>
        <v>5</v>
      </c>
      <c r="AX673" s="56">
        <f>IF($AS673=1,IF($S673="Loss",N(AX672)+1,IF($S673="Win",0,N(AX672))),N(AX672))</f>
        <v>0</v>
      </c>
      <c r="AY673" s="56" t="str">
        <f>IF($AS673=1,COUNTIF($AS$6:$AS673,1),"")</f>
        <v/>
      </c>
      <c r="AZ673" s="56">
        <f>MIN(667,N(Lists!$W$8))</f>
        <v>28</v>
      </c>
      <c r="BA673" s="56">
        <f>IF($AS673=1,IF(COUNTIFS($A$6:$A673,$A673,$AS$6:$AS673,1)=1,1,0),0)</f>
        <v>0</v>
      </c>
      <c r="BB673" s="55" t="str">
        <f>IF($BA673=1,SUMIFS($Q$6:$Q$1005,$A$6:$A$1005,$A673,$AS$6:$AS$1005,1),"")</f>
        <v/>
      </c>
      <c r="BC673" s="56">
        <f>IF(ISNUMBER($R673),1,0)</f>
        <v>0</v>
      </c>
      <c r="BD673" s="55" t="str">
        <f>IF(ISNUMBER($U673),$U673*$V673,"")</f>
        <v/>
      </c>
      <c r="BE673" s="56" t="str">
        <f>IF($AM673=0,"",IFERROR(MATCH($AF673&amp;"|"&amp;UPPER(TRIM($E673)),Lists!$A$6:$A$205,0),0))</f>
        <v/>
      </c>
      <c r="BF673" s="56" t="str">
        <f>IF($AM673=0,"",IFERROR(MATCH($AF673,Settings!$B$14:$B$18,0),IFERROR(MATCH(Settings!$C$6,Settings!$B$14:$B$18,0),1)))</f>
        <v/>
      </c>
      <c r="BG673" s="58" t="str">
        <f>IF($AM673=0,"",IF(NOT(ISNUMBER($I673)),"No stop; ","")&amp;IF(AND(ISNUMBER($H673),ISNUMBER($I673)),IF(OR(AND($F673&lt;&gt;"Short",$I673&gt;=$H673),AND($F673="Short",$I673&lt;=$H673)),"Stop on wrong side; ",""),"")&amp;IF($F673="","No direction; ","")&amp;IF(AND(ISNUMBER(Settings!$C$22),ISNUMBER($V673)),IF($V673&gt;Settings!$C$22,"Risk over max $; ",""),"")&amp;IF(AND(ISNUMBER(Settings!$C$23),ISNUMBER($V673),ISNUMBER($AP673),IFERROR(N(INDEX(Accounts!$E$7:$E$16,MATCH($C673,Accounts!$B$7:$B$16,0))),0)&gt;0),IF($V673&gt;Settings!$C$23*($AP673-N($Q673)),"Risk over max %; ",""),"")&amp;IF(AND(ISNUMBER(Settings!$C$24),ISNUMBER($N673)),IF($N673&gt;Settings!$C$24,"Leverage over max; ",""),"")&amp;IF(AND(ISNUMBER(Settings!$C$27),ISNUMBER($T673)),IF($T673&lt;Settings!$C$27,"R:R below min; ",""),"")&amp;IF(ISNUMBER(Settings!$C$25),IF(COUNTIFS($A$6:$A673,$A673,$AM$6:$AM673,1)&gt;Settings!$C$25,"Over max trades/day; ",""),"")&amp;IF(ISNUMBER(Settings!$C$26),IF(SUMIFS($Q$5:$Q672,$A$5:$A672,$A673)&lt;=-Settings!$C$26,"Traded after daily max loss; ",""),"")&amp;IF(AND($AG673="",NOT(ISNUMBER($O673))),"Symbol not in Instruments; ","")&amp;IF(AND($AH673="",NOT(ISNUMBER($O673))),"Forex cross: type Gross P&amp;L; ",""))</f>
        <v/>
      </c>
      <c r="BH673" s="56">
        <f>IF(ISNUMBER($Q673),1,0)</f>
        <v>0</v>
      </c>
      <c r="BI673" s="56">
        <f>IF($Y673="",0,1)</f>
        <v>0</v>
      </c>
      <c r="BJ673" s="56">
        <f>IF($AB673="",0,1)</f>
        <v>0</v>
      </c>
      <c r="BK673" s="56">
        <f>IF(AND($BH673=1,$W673&lt;&gt;"OK"),1,0)</f>
        <v>0</v>
      </c>
      <c r="BL673" s="55">
        <f>IF(N($AZ673)=0,0,IFERROR(INDEX($AT$6:$AT$1005,MATCH($AZ673,$AY$6:$AY$1005,0)),0))</f>
        <v>1187.10688</v>
      </c>
      <c r="BM673" s="56">
        <f>IF(ISNUMBER(SEARCH("daily max loss",$BG673)),1,0)</f>
        <v>0</v>
      </c>
    </row>
    <row r="674" ht="18" customHeight="1">
      <c r="A674" s="38" t="n"/>
      <c r="B674" s="39" t="n"/>
      <c r="C674" s="40" t="n"/>
      <c r="D674" s="41" t="n"/>
      <c r="E674" s="41" t="n"/>
      <c r="F674" s="41" t="n"/>
      <c r="G674" s="41" t="n"/>
      <c r="H674" s="42" t="n"/>
      <c r="I674" s="42" t="n"/>
      <c r="J674" s="42" t="n"/>
      <c r="K674" s="42" t="n"/>
      <c r="L674" s="41" t="n"/>
      <c r="M674" s="41" t="n"/>
      <c r="N674" s="41" t="n"/>
      <c r="O674" s="43" t="n"/>
      <c r="P674" s="43" t="n"/>
      <c r="Q674" s="44" t="str">
        <f>IF($AM674=0,"",IF(ISNUMBER($AK674),$AK674-N($AL674),""))</f>
        <v/>
      </c>
      <c r="R674" s="45" t="str">
        <f>IF(OR($Q674="",NOT(ISNUMBER($V674))),"",$AK674/$V674)</f>
        <v/>
      </c>
      <c r="S674" s="46" t="str">
        <f>IF($Q674="","",IF(AND(ISNUMBER($R674),ABS(N($R674))&lt;N(Settings!$C$8)),"Scratch",IF($Q674&gt;0,"Win",IF($Q674&lt;0,"Loss","Scratch"))))</f>
        <v/>
      </c>
      <c r="T674" s="47" t="str">
        <f>IF(OR($AM674=0,NOT(ISNUMBER($H674)),NOT(ISNUMBER($I674)),NOT(ISNUMBER($J674))),"",IF($H674=$I674,"",ROUND(ABS($J674-$H674)/ABS($H674-$I674),6)))</f>
        <v/>
      </c>
      <c r="U674" s="48" t="str">
        <f>IF(OR($S674&lt;&gt;"Win",NOT(ISNUMBER($T674)),NOT(ISNUMBER($R674))),"",MAX(0,$T674-$R674))</f>
        <v/>
      </c>
      <c r="V674" s="49" t="str">
        <f>IF(OR($AM674=0,NOT(ISNUMBER($H674)),NOT(ISNUMBER($I674)),NOT(ISNUMBER($G674))),"",IF(OR($AG674="",$AH674=""),"",IF(ROUND(ABS($H674-$I674)*ABS($G674)*$AG674*$AH674,6)=0,"",ROUND(ABS($H674-$I674)*ABS($G674)*$AG674*$AH674,6))))</f>
        <v/>
      </c>
      <c r="W674" s="50" t="str">
        <f>IF($AM674=0,"",IF($BG674="","OK",LEFT($BG674,LEN($BG674)-2)))</f>
        <v/>
      </c>
      <c r="X674" s="41" t="n"/>
      <c r="Y674" s="40" t="n"/>
      <c r="Z674" s="41" t="n"/>
      <c r="AA674" s="41" t="n"/>
      <c r="AB674" s="40" t="n"/>
      <c r="AC674" s="51" t="n"/>
      <c r="AD674" s="51" t="n"/>
      <c r="AE674" s="40" t="n"/>
      <c r="AF674" s="52" t="str">
        <f>IF($AM674=0,"",IF($D674&lt;&gt;"",$D674,IF(IFERROR(INDEX(Accounts!$C$7:$C$16,MATCH($C674,Accounts!$B$7:$B$16,0))&amp;"","")&lt;&gt;"",INDEX(Accounts!$C$7:$C$16,MATCH($C674,Accounts!$B$7:$B$16,0)),Settings!$C$6)))</f>
        <v/>
      </c>
      <c r="AG674" s="53" t="str">
        <f>IF($AM674=0,"",IF(AND($BE674&gt;0,N(INDEX(Instruments!$D$6:$D$205,MAX(1,$BE674)))&gt;0),INDEX(Instruments!$D$6:$D$205,MAX(1,$BE674)),IF(N(INDEX(Settings!$D$14:$D$18,$BF674))&gt;0,INDEX(Settings!$D$14:$D$18,$BF674),"")))</f>
        <v/>
      </c>
      <c r="AH674" s="54" t="str">
        <f>IF($AM674=0,"",IF($AF674&lt;&gt;"Forex",1,IF(MID(UPPER(SUBSTITUTE(TRIM($E674),"/","")),4,3)=UPPER(TRIM(Settings!$C$7)),1,IF(LEFT(UPPER(SUBSTITUTE(TRIM($E674),"/","")),3)=UPPER(TRIM(Settings!$C$7)),IF(AND(ISNUMBER($K674),N($K674)&lt;&gt;0),1/$K674,""),""))))</f>
        <v/>
      </c>
      <c r="AI674" s="55" t="str">
        <f>IF($AM674=0,"",IF(OR(NOT(ISNUMBER($H674)),NOT(ISNUMBER($K674)),NOT(ISNUMBER($G674)),$AG674="",$AH674=""),"",ROUND(($K674-$H674)*IF($F674="Short",-1,1)*$G674*$AG674*$AH674,6)))</f>
        <v/>
      </c>
      <c r="AJ674" s="55" t="str">
        <f>IF($AM674=0,"",IF(INDEX(Settings!$E$14:$E$18,$BF674)="% of notional",IF(OR($AG674="",NOT(ISNUMBER($H674)),NOT(ISNUMBER($G674))),"",ROUND(ABS($H674*$G674*$AG674*N($AH674))*IF($L674="Limit",N(INDEX(Settings!$G$14:$G$18,$BF674)),N(INDEX(Settings!$H$14:$H$18,$BF674)))+IF(ISNUMBER($K674),ABS($K674*$G674*$AG674*N($AH674))*IF($M674="Target",N(INDEX(Settings!$G$14:$G$18,$BF674)),N(INDEX(Settings!$H$14:$H$18,$BF674))),0),6)),IF(NOT(ISNUMBER($G674)),"",ROUND(ABS($G674)*2*IF(AND($BE674&gt;0,ISNUMBER(INDEX(Instruments!$G$6:$G$205,MAX(1,$BE674)))),INDEX(Instruments!$G$6:$G$205,MAX(1,$BE674)),N(INDEX(Settings!$F$14:$F$18,$BF674))),6))))</f>
        <v/>
      </c>
      <c r="AK674" s="55" t="str">
        <f>IF($AM674=0,"",IF(ISNUMBER($O674),$O674,$AI674))</f>
        <v/>
      </c>
      <c r="AL674" s="55" t="str">
        <f>IF($AM674=0,"",IF(ISNUMBER($P674),$P674,N($AJ674)))</f>
        <v/>
      </c>
      <c r="AM674" s="56">
        <f>IF(AND($A674&lt;&gt;"",$E674&lt;&gt;"",OR(AND(ISNUMBER($G674),ISNUMBER($H674),ISNUMBER($K674)),ISNUMBER($O674))),1,0)</f>
        <v>0</v>
      </c>
      <c r="AN674" s="57" t="str">
        <f>IF($A674="","",$A674-WEEKDAY($A674,3))</f>
        <v/>
      </c>
      <c r="AO674" s="56" t="str">
        <f>IF($A674="","",WEEKDAY($A674,2))</f>
        <v/>
      </c>
      <c r="AP674" s="55" t="str">
        <f>IF(OR($AM674=0,$C674=""),"",IFERROR(N(INDEX(Accounts!$E$7:$E$16,MATCH($C674,Accounts!$B$7:$B$16,0))),0)+SUMIFS($Q$6:$Q674,$C$6:$C674,$C674))</f>
        <v/>
      </c>
      <c r="AQ674" s="55" t="str">
        <f>IF(OR($AM674=0,$C674=""),"",SUMIFS($Q$6:$Q$1005,$C$6:$C$1005,$C674,$A$6:$A$1005,$A674))</f>
        <v/>
      </c>
      <c r="AR674" s="55" t="str">
        <f>IF(OR($AM674=0,$C674=""),"",IFERROR(N(INDEX(Accounts!$E$7:$E$16,MATCH($C674,Accounts!$B$7:$B$16,0))),0)+SUMIFS($Q$6:$Q$1005,$C$6:$C$1005,$C674,$A$6:$A$1005,"&lt;="&amp;$A674))</f>
        <v/>
      </c>
      <c r="AS674" s="56">
        <f>IF(OR($AM674=0,$Q674=""),0,IF(AND($A674&gt;=Lists!$W$6,$A674&lt;=Lists!$W$7,OR(Dashboard!$D$6="All accounts",$C674=Dashboard!$D$6),OR(Dashboard!$D$7="All markets",$AF674=Dashboard!$D$7)),1,0))</f>
        <v>0</v>
      </c>
      <c r="AT674" s="55">
        <f>IF($AS674=1,N(AT673)+$Q674,N(AT673))</f>
        <v>1187.10688</v>
      </c>
      <c r="AU674" s="55">
        <f>MAX(N(AU673),$AT674)</f>
        <v>1187.10688</v>
      </c>
      <c r="AV674" s="55">
        <f>$AT674-$AU674</f>
        <v>0</v>
      </c>
      <c r="AW674" s="56">
        <f>IF($AS674=1,IF($S674="Win",N(AW673)+1,IF($S674="Loss",0,N(AW673))),N(AW673))</f>
        <v>5</v>
      </c>
      <c r="AX674" s="56">
        <f>IF($AS674=1,IF($S674="Loss",N(AX673)+1,IF($S674="Win",0,N(AX673))),N(AX673))</f>
        <v>0</v>
      </c>
      <c r="AY674" s="56" t="str">
        <f>IF($AS674=1,COUNTIF($AS$6:$AS674,1),"")</f>
        <v/>
      </c>
      <c r="AZ674" s="56">
        <f>MIN(668,N(Lists!$W$8))</f>
        <v>28</v>
      </c>
      <c r="BA674" s="56">
        <f>IF($AS674=1,IF(COUNTIFS($A$6:$A674,$A674,$AS$6:$AS674,1)=1,1,0),0)</f>
        <v>0</v>
      </c>
      <c r="BB674" s="55" t="str">
        <f>IF($BA674=1,SUMIFS($Q$6:$Q$1005,$A$6:$A$1005,$A674,$AS$6:$AS$1005,1),"")</f>
        <v/>
      </c>
      <c r="BC674" s="56">
        <f>IF(ISNUMBER($R674),1,0)</f>
        <v>0</v>
      </c>
      <c r="BD674" s="55" t="str">
        <f>IF(ISNUMBER($U674),$U674*$V674,"")</f>
        <v/>
      </c>
      <c r="BE674" s="56" t="str">
        <f>IF($AM674=0,"",IFERROR(MATCH($AF674&amp;"|"&amp;UPPER(TRIM($E674)),Lists!$A$6:$A$205,0),0))</f>
        <v/>
      </c>
      <c r="BF674" s="56" t="str">
        <f>IF($AM674=0,"",IFERROR(MATCH($AF674,Settings!$B$14:$B$18,0),IFERROR(MATCH(Settings!$C$6,Settings!$B$14:$B$18,0),1)))</f>
        <v/>
      </c>
      <c r="BG674" s="58" t="str">
        <f>IF($AM674=0,"",IF(NOT(ISNUMBER($I674)),"No stop; ","")&amp;IF(AND(ISNUMBER($H674),ISNUMBER($I674)),IF(OR(AND($F674&lt;&gt;"Short",$I674&gt;=$H674),AND($F674="Short",$I674&lt;=$H674)),"Stop on wrong side; ",""),"")&amp;IF($F674="","No direction; ","")&amp;IF(AND(ISNUMBER(Settings!$C$22),ISNUMBER($V674)),IF($V674&gt;Settings!$C$22,"Risk over max $; ",""),"")&amp;IF(AND(ISNUMBER(Settings!$C$23),ISNUMBER($V674),ISNUMBER($AP674),IFERROR(N(INDEX(Accounts!$E$7:$E$16,MATCH($C674,Accounts!$B$7:$B$16,0))),0)&gt;0),IF($V674&gt;Settings!$C$23*($AP674-N($Q674)),"Risk over max %; ",""),"")&amp;IF(AND(ISNUMBER(Settings!$C$24),ISNUMBER($N674)),IF($N674&gt;Settings!$C$24,"Leverage over max; ",""),"")&amp;IF(AND(ISNUMBER(Settings!$C$27),ISNUMBER($T674)),IF($T674&lt;Settings!$C$27,"R:R below min; ",""),"")&amp;IF(ISNUMBER(Settings!$C$25),IF(COUNTIFS($A$6:$A674,$A674,$AM$6:$AM674,1)&gt;Settings!$C$25,"Over max trades/day; ",""),"")&amp;IF(ISNUMBER(Settings!$C$26),IF(SUMIFS($Q$5:$Q673,$A$5:$A673,$A674)&lt;=-Settings!$C$26,"Traded after daily max loss; ",""),"")&amp;IF(AND($AG674="",NOT(ISNUMBER($O674))),"Symbol not in Instruments; ","")&amp;IF(AND($AH674="",NOT(ISNUMBER($O674))),"Forex cross: type Gross P&amp;L; ",""))</f>
        <v/>
      </c>
      <c r="BH674" s="56">
        <f>IF(ISNUMBER($Q674),1,0)</f>
        <v>0</v>
      </c>
      <c r="BI674" s="56">
        <f>IF($Y674="",0,1)</f>
        <v>0</v>
      </c>
      <c r="BJ674" s="56">
        <f>IF($AB674="",0,1)</f>
        <v>0</v>
      </c>
      <c r="BK674" s="56">
        <f>IF(AND($BH674=1,$W674&lt;&gt;"OK"),1,0)</f>
        <v>0</v>
      </c>
      <c r="BL674" s="55">
        <f>IF(N($AZ674)=0,0,IFERROR(INDEX($AT$6:$AT$1005,MATCH($AZ674,$AY$6:$AY$1005,0)),0))</f>
        <v>1187.10688</v>
      </c>
      <c r="BM674" s="56">
        <f>IF(ISNUMBER(SEARCH("daily max loss",$BG674)),1,0)</f>
        <v>0</v>
      </c>
    </row>
    <row r="675" ht="18" customHeight="1">
      <c r="A675" s="38" t="n"/>
      <c r="B675" s="39" t="n"/>
      <c r="C675" s="40" t="n"/>
      <c r="D675" s="41" t="n"/>
      <c r="E675" s="41" t="n"/>
      <c r="F675" s="41" t="n"/>
      <c r="G675" s="41" t="n"/>
      <c r="H675" s="42" t="n"/>
      <c r="I675" s="42" t="n"/>
      <c r="J675" s="42" t="n"/>
      <c r="K675" s="42" t="n"/>
      <c r="L675" s="41" t="n"/>
      <c r="M675" s="41" t="n"/>
      <c r="N675" s="41" t="n"/>
      <c r="O675" s="43" t="n"/>
      <c r="P675" s="43" t="n"/>
      <c r="Q675" s="44" t="str">
        <f>IF($AM675=0,"",IF(ISNUMBER($AK675),$AK675-N($AL675),""))</f>
        <v/>
      </c>
      <c r="R675" s="45" t="str">
        <f>IF(OR($Q675="",NOT(ISNUMBER($V675))),"",$AK675/$V675)</f>
        <v/>
      </c>
      <c r="S675" s="46" t="str">
        <f>IF($Q675="","",IF(AND(ISNUMBER($R675),ABS(N($R675))&lt;N(Settings!$C$8)),"Scratch",IF($Q675&gt;0,"Win",IF($Q675&lt;0,"Loss","Scratch"))))</f>
        <v/>
      </c>
      <c r="T675" s="47" t="str">
        <f>IF(OR($AM675=0,NOT(ISNUMBER($H675)),NOT(ISNUMBER($I675)),NOT(ISNUMBER($J675))),"",IF($H675=$I675,"",ROUND(ABS($J675-$H675)/ABS($H675-$I675),6)))</f>
        <v/>
      </c>
      <c r="U675" s="48" t="str">
        <f>IF(OR($S675&lt;&gt;"Win",NOT(ISNUMBER($T675)),NOT(ISNUMBER($R675))),"",MAX(0,$T675-$R675))</f>
        <v/>
      </c>
      <c r="V675" s="49" t="str">
        <f>IF(OR($AM675=0,NOT(ISNUMBER($H675)),NOT(ISNUMBER($I675)),NOT(ISNUMBER($G675))),"",IF(OR($AG675="",$AH675=""),"",IF(ROUND(ABS($H675-$I675)*ABS($G675)*$AG675*$AH675,6)=0,"",ROUND(ABS($H675-$I675)*ABS($G675)*$AG675*$AH675,6))))</f>
        <v/>
      </c>
      <c r="W675" s="50" t="str">
        <f>IF($AM675=0,"",IF($BG675="","OK",LEFT($BG675,LEN($BG675)-2)))</f>
        <v/>
      </c>
      <c r="X675" s="41" t="n"/>
      <c r="Y675" s="40" t="n"/>
      <c r="Z675" s="41" t="n"/>
      <c r="AA675" s="41" t="n"/>
      <c r="AB675" s="40" t="n"/>
      <c r="AC675" s="51" t="n"/>
      <c r="AD675" s="51" t="n"/>
      <c r="AE675" s="40" t="n"/>
      <c r="AF675" s="52" t="str">
        <f>IF($AM675=0,"",IF($D675&lt;&gt;"",$D675,IF(IFERROR(INDEX(Accounts!$C$7:$C$16,MATCH($C675,Accounts!$B$7:$B$16,0))&amp;"","")&lt;&gt;"",INDEX(Accounts!$C$7:$C$16,MATCH($C675,Accounts!$B$7:$B$16,0)),Settings!$C$6)))</f>
        <v/>
      </c>
      <c r="AG675" s="53" t="str">
        <f>IF($AM675=0,"",IF(AND($BE675&gt;0,N(INDEX(Instruments!$D$6:$D$205,MAX(1,$BE675)))&gt;0),INDEX(Instruments!$D$6:$D$205,MAX(1,$BE675)),IF(N(INDEX(Settings!$D$14:$D$18,$BF675))&gt;0,INDEX(Settings!$D$14:$D$18,$BF675),"")))</f>
        <v/>
      </c>
      <c r="AH675" s="54" t="str">
        <f>IF($AM675=0,"",IF($AF675&lt;&gt;"Forex",1,IF(MID(UPPER(SUBSTITUTE(TRIM($E675),"/","")),4,3)=UPPER(TRIM(Settings!$C$7)),1,IF(LEFT(UPPER(SUBSTITUTE(TRIM($E675),"/","")),3)=UPPER(TRIM(Settings!$C$7)),IF(AND(ISNUMBER($K675),N($K675)&lt;&gt;0),1/$K675,""),""))))</f>
        <v/>
      </c>
      <c r="AI675" s="55" t="str">
        <f>IF($AM675=0,"",IF(OR(NOT(ISNUMBER($H675)),NOT(ISNUMBER($K675)),NOT(ISNUMBER($G675)),$AG675="",$AH675=""),"",ROUND(($K675-$H675)*IF($F675="Short",-1,1)*$G675*$AG675*$AH675,6)))</f>
        <v/>
      </c>
      <c r="AJ675" s="55" t="str">
        <f>IF($AM675=0,"",IF(INDEX(Settings!$E$14:$E$18,$BF675)="% of notional",IF(OR($AG675="",NOT(ISNUMBER($H675)),NOT(ISNUMBER($G675))),"",ROUND(ABS($H675*$G675*$AG675*N($AH675))*IF($L675="Limit",N(INDEX(Settings!$G$14:$G$18,$BF675)),N(INDEX(Settings!$H$14:$H$18,$BF675)))+IF(ISNUMBER($K675),ABS($K675*$G675*$AG675*N($AH675))*IF($M675="Target",N(INDEX(Settings!$G$14:$G$18,$BF675)),N(INDEX(Settings!$H$14:$H$18,$BF675))),0),6)),IF(NOT(ISNUMBER($G675)),"",ROUND(ABS($G675)*2*IF(AND($BE675&gt;0,ISNUMBER(INDEX(Instruments!$G$6:$G$205,MAX(1,$BE675)))),INDEX(Instruments!$G$6:$G$205,MAX(1,$BE675)),N(INDEX(Settings!$F$14:$F$18,$BF675))),6))))</f>
        <v/>
      </c>
      <c r="AK675" s="55" t="str">
        <f>IF($AM675=0,"",IF(ISNUMBER($O675),$O675,$AI675))</f>
        <v/>
      </c>
      <c r="AL675" s="55" t="str">
        <f>IF($AM675=0,"",IF(ISNUMBER($P675),$P675,N($AJ675)))</f>
        <v/>
      </c>
      <c r="AM675" s="56">
        <f>IF(AND($A675&lt;&gt;"",$E675&lt;&gt;"",OR(AND(ISNUMBER($G675),ISNUMBER($H675),ISNUMBER($K675)),ISNUMBER($O675))),1,0)</f>
        <v>0</v>
      </c>
      <c r="AN675" s="57" t="str">
        <f>IF($A675="","",$A675-WEEKDAY($A675,3))</f>
        <v/>
      </c>
      <c r="AO675" s="56" t="str">
        <f>IF($A675="","",WEEKDAY($A675,2))</f>
        <v/>
      </c>
      <c r="AP675" s="55" t="str">
        <f>IF(OR($AM675=0,$C675=""),"",IFERROR(N(INDEX(Accounts!$E$7:$E$16,MATCH($C675,Accounts!$B$7:$B$16,0))),0)+SUMIFS($Q$6:$Q675,$C$6:$C675,$C675))</f>
        <v/>
      </c>
      <c r="AQ675" s="55" t="str">
        <f>IF(OR($AM675=0,$C675=""),"",SUMIFS($Q$6:$Q$1005,$C$6:$C$1005,$C675,$A$6:$A$1005,$A675))</f>
        <v/>
      </c>
      <c r="AR675" s="55" t="str">
        <f>IF(OR($AM675=0,$C675=""),"",IFERROR(N(INDEX(Accounts!$E$7:$E$16,MATCH($C675,Accounts!$B$7:$B$16,0))),0)+SUMIFS($Q$6:$Q$1005,$C$6:$C$1005,$C675,$A$6:$A$1005,"&lt;="&amp;$A675))</f>
        <v/>
      </c>
      <c r="AS675" s="56">
        <f>IF(OR($AM675=0,$Q675=""),0,IF(AND($A675&gt;=Lists!$W$6,$A675&lt;=Lists!$W$7,OR(Dashboard!$D$6="All accounts",$C675=Dashboard!$D$6),OR(Dashboard!$D$7="All markets",$AF675=Dashboard!$D$7)),1,0))</f>
        <v>0</v>
      </c>
      <c r="AT675" s="55">
        <f>IF($AS675=1,N(AT674)+$Q675,N(AT674))</f>
        <v>1187.10688</v>
      </c>
      <c r="AU675" s="55">
        <f>MAX(N(AU674),$AT675)</f>
        <v>1187.10688</v>
      </c>
      <c r="AV675" s="55">
        <f>$AT675-$AU675</f>
        <v>0</v>
      </c>
      <c r="AW675" s="56">
        <f>IF($AS675=1,IF($S675="Win",N(AW674)+1,IF($S675="Loss",0,N(AW674))),N(AW674))</f>
        <v>5</v>
      </c>
      <c r="AX675" s="56">
        <f>IF($AS675=1,IF($S675="Loss",N(AX674)+1,IF($S675="Win",0,N(AX674))),N(AX674))</f>
        <v>0</v>
      </c>
      <c r="AY675" s="56" t="str">
        <f>IF($AS675=1,COUNTIF($AS$6:$AS675,1),"")</f>
        <v/>
      </c>
      <c r="AZ675" s="56">
        <f>MIN(669,N(Lists!$W$8))</f>
        <v>28</v>
      </c>
      <c r="BA675" s="56">
        <f>IF($AS675=1,IF(COUNTIFS($A$6:$A675,$A675,$AS$6:$AS675,1)=1,1,0),0)</f>
        <v>0</v>
      </c>
      <c r="BB675" s="55" t="str">
        <f>IF($BA675=1,SUMIFS($Q$6:$Q$1005,$A$6:$A$1005,$A675,$AS$6:$AS$1005,1),"")</f>
        <v/>
      </c>
      <c r="BC675" s="56">
        <f>IF(ISNUMBER($R675),1,0)</f>
        <v>0</v>
      </c>
      <c r="BD675" s="55" t="str">
        <f>IF(ISNUMBER($U675),$U675*$V675,"")</f>
        <v/>
      </c>
      <c r="BE675" s="56" t="str">
        <f>IF($AM675=0,"",IFERROR(MATCH($AF675&amp;"|"&amp;UPPER(TRIM($E675)),Lists!$A$6:$A$205,0),0))</f>
        <v/>
      </c>
      <c r="BF675" s="56" t="str">
        <f>IF($AM675=0,"",IFERROR(MATCH($AF675,Settings!$B$14:$B$18,0),IFERROR(MATCH(Settings!$C$6,Settings!$B$14:$B$18,0),1)))</f>
        <v/>
      </c>
      <c r="BG675" s="58" t="str">
        <f>IF($AM675=0,"",IF(NOT(ISNUMBER($I675)),"No stop; ","")&amp;IF(AND(ISNUMBER($H675),ISNUMBER($I675)),IF(OR(AND($F675&lt;&gt;"Short",$I675&gt;=$H675),AND($F675="Short",$I675&lt;=$H675)),"Stop on wrong side; ",""),"")&amp;IF($F675="","No direction; ","")&amp;IF(AND(ISNUMBER(Settings!$C$22),ISNUMBER($V675)),IF($V675&gt;Settings!$C$22,"Risk over max $; ",""),"")&amp;IF(AND(ISNUMBER(Settings!$C$23),ISNUMBER($V675),ISNUMBER($AP675),IFERROR(N(INDEX(Accounts!$E$7:$E$16,MATCH($C675,Accounts!$B$7:$B$16,0))),0)&gt;0),IF($V675&gt;Settings!$C$23*($AP675-N($Q675)),"Risk over max %; ",""),"")&amp;IF(AND(ISNUMBER(Settings!$C$24),ISNUMBER($N675)),IF($N675&gt;Settings!$C$24,"Leverage over max; ",""),"")&amp;IF(AND(ISNUMBER(Settings!$C$27),ISNUMBER($T675)),IF($T675&lt;Settings!$C$27,"R:R below min; ",""),"")&amp;IF(ISNUMBER(Settings!$C$25),IF(COUNTIFS($A$6:$A675,$A675,$AM$6:$AM675,1)&gt;Settings!$C$25,"Over max trades/day; ",""),"")&amp;IF(ISNUMBER(Settings!$C$26),IF(SUMIFS($Q$5:$Q674,$A$5:$A674,$A675)&lt;=-Settings!$C$26,"Traded after daily max loss; ",""),"")&amp;IF(AND($AG675="",NOT(ISNUMBER($O675))),"Symbol not in Instruments; ","")&amp;IF(AND($AH675="",NOT(ISNUMBER($O675))),"Forex cross: type Gross P&amp;L; ",""))</f>
        <v/>
      </c>
      <c r="BH675" s="56">
        <f>IF(ISNUMBER($Q675),1,0)</f>
        <v>0</v>
      </c>
      <c r="BI675" s="56">
        <f>IF($Y675="",0,1)</f>
        <v>0</v>
      </c>
      <c r="BJ675" s="56">
        <f>IF($AB675="",0,1)</f>
        <v>0</v>
      </c>
      <c r="BK675" s="56">
        <f>IF(AND($BH675=1,$W675&lt;&gt;"OK"),1,0)</f>
        <v>0</v>
      </c>
      <c r="BL675" s="55">
        <f>IF(N($AZ675)=0,0,IFERROR(INDEX($AT$6:$AT$1005,MATCH($AZ675,$AY$6:$AY$1005,0)),0))</f>
        <v>1187.10688</v>
      </c>
      <c r="BM675" s="56">
        <f>IF(ISNUMBER(SEARCH("daily max loss",$BG675)),1,0)</f>
        <v>0</v>
      </c>
    </row>
    <row r="676" ht="18" customHeight="1">
      <c r="A676" s="38" t="n"/>
      <c r="B676" s="39" t="n"/>
      <c r="C676" s="40" t="n"/>
      <c r="D676" s="41" t="n"/>
      <c r="E676" s="41" t="n"/>
      <c r="F676" s="41" t="n"/>
      <c r="G676" s="41" t="n"/>
      <c r="H676" s="42" t="n"/>
      <c r="I676" s="42" t="n"/>
      <c r="J676" s="42" t="n"/>
      <c r="K676" s="42" t="n"/>
      <c r="L676" s="41" t="n"/>
      <c r="M676" s="41" t="n"/>
      <c r="N676" s="41" t="n"/>
      <c r="O676" s="43" t="n"/>
      <c r="P676" s="43" t="n"/>
      <c r="Q676" s="44" t="str">
        <f>IF($AM676=0,"",IF(ISNUMBER($AK676),$AK676-N($AL676),""))</f>
        <v/>
      </c>
      <c r="R676" s="45" t="str">
        <f>IF(OR($Q676="",NOT(ISNUMBER($V676))),"",$AK676/$V676)</f>
        <v/>
      </c>
      <c r="S676" s="46" t="str">
        <f>IF($Q676="","",IF(AND(ISNUMBER($R676),ABS(N($R676))&lt;N(Settings!$C$8)),"Scratch",IF($Q676&gt;0,"Win",IF($Q676&lt;0,"Loss","Scratch"))))</f>
        <v/>
      </c>
      <c r="T676" s="47" t="str">
        <f>IF(OR($AM676=0,NOT(ISNUMBER($H676)),NOT(ISNUMBER($I676)),NOT(ISNUMBER($J676))),"",IF($H676=$I676,"",ROUND(ABS($J676-$H676)/ABS($H676-$I676),6)))</f>
        <v/>
      </c>
      <c r="U676" s="48" t="str">
        <f>IF(OR($S676&lt;&gt;"Win",NOT(ISNUMBER($T676)),NOT(ISNUMBER($R676))),"",MAX(0,$T676-$R676))</f>
        <v/>
      </c>
      <c r="V676" s="49" t="str">
        <f>IF(OR($AM676=0,NOT(ISNUMBER($H676)),NOT(ISNUMBER($I676)),NOT(ISNUMBER($G676))),"",IF(OR($AG676="",$AH676=""),"",IF(ROUND(ABS($H676-$I676)*ABS($G676)*$AG676*$AH676,6)=0,"",ROUND(ABS($H676-$I676)*ABS($G676)*$AG676*$AH676,6))))</f>
        <v/>
      </c>
      <c r="W676" s="50" t="str">
        <f>IF($AM676=0,"",IF($BG676="","OK",LEFT($BG676,LEN($BG676)-2)))</f>
        <v/>
      </c>
      <c r="X676" s="41" t="n"/>
      <c r="Y676" s="40" t="n"/>
      <c r="Z676" s="41" t="n"/>
      <c r="AA676" s="41" t="n"/>
      <c r="AB676" s="40" t="n"/>
      <c r="AC676" s="51" t="n"/>
      <c r="AD676" s="51" t="n"/>
      <c r="AE676" s="40" t="n"/>
      <c r="AF676" s="52" t="str">
        <f>IF($AM676=0,"",IF($D676&lt;&gt;"",$D676,IF(IFERROR(INDEX(Accounts!$C$7:$C$16,MATCH($C676,Accounts!$B$7:$B$16,0))&amp;"","")&lt;&gt;"",INDEX(Accounts!$C$7:$C$16,MATCH($C676,Accounts!$B$7:$B$16,0)),Settings!$C$6)))</f>
        <v/>
      </c>
      <c r="AG676" s="53" t="str">
        <f>IF($AM676=0,"",IF(AND($BE676&gt;0,N(INDEX(Instruments!$D$6:$D$205,MAX(1,$BE676)))&gt;0),INDEX(Instruments!$D$6:$D$205,MAX(1,$BE676)),IF(N(INDEX(Settings!$D$14:$D$18,$BF676))&gt;0,INDEX(Settings!$D$14:$D$18,$BF676),"")))</f>
        <v/>
      </c>
      <c r="AH676" s="54" t="str">
        <f>IF($AM676=0,"",IF($AF676&lt;&gt;"Forex",1,IF(MID(UPPER(SUBSTITUTE(TRIM($E676),"/","")),4,3)=UPPER(TRIM(Settings!$C$7)),1,IF(LEFT(UPPER(SUBSTITUTE(TRIM($E676),"/","")),3)=UPPER(TRIM(Settings!$C$7)),IF(AND(ISNUMBER($K676),N($K676)&lt;&gt;0),1/$K676,""),""))))</f>
        <v/>
      </c>
      <c r="AI676" s="55" t="str">
        <f>IF($AM676=0,"",IF(OR(NOT(ISNUMBER($H676)),NOT(ISNUMBER($K676)),NOT(ISNUMBER($G676)),$AG676="",$AH676=""),"",ROUND(($K676-$H676)*IF($F676="Short",-1,1)*$G676*$AG676*$AH676,6)))</f>
        <v/>
      </c>
      <c r="AJ676" s="55" t="str">
        <f>IF($AM676=0,"",IF(INDEX(Settings!$E$14:$E$18,$BF676)="% of notional",IF(OR($AG676="",NOT(ISNUMBER($H676)),NOT(ISNUMBER($G676))),"",ROUND(ABS($H676*$G676*$AG676*N($AH676))*IF($L676="Limit",N(INDEX(Settings!$G$14:$G$18,$BF676)),N(INDEX(Settings!$H$14:$H$18,$BF676)))+IF(ISNUMBER($K676),ABS($K676*$G676*$AG676*N($AH676))*IF($M676="Target",N(INDEX(Settings!$G$14:$G$18,$BF676)),N(INDEX(Settings!$H$14:$H$18,$BF676))),0),6)),IF(NOT(ISNUMBER($G676)),"",ROUND(ABS($G676)*2*IF(AND($BE676&gt;0,ISNUMBER(INDEX(Instruments!$G$6:$G$205,MAX(1,$BE676)))),INDEX(Instruments!$G$6:$G$205,MAX(1,$BE676)),N(INDEX(Settings!$F$14:$F$18,$BF676))),6))))</f>
        <v/>
      </c>
      <c r="AK676" s="55" t="str">
        <f>IF($AM676=0,"",IF(ISNUMBER($O676),$O676,$AI676))</f>
        <v/>
      </c>
      <c r="AL676" s="55" t="str">
        <f>IF($AM676=0,"",IF(ISNUMBER($P676),$P676,N($AJ676)))</f>
        <v/>
      </c>
      <c r="AM676" s="56">
        <f>IF(AND($A676&lt;&gt;"",$E676&lt;&gt;"",OR(AND(ISNUMBER($G676),ISNUMBER($H676),ISNUMBER($K676)),ISNUMBER($O676))),1,0)</f>
        <v>0</v>
      </c>
      <c r="AN676" s="57" t="str">
        <f>IF($A676="","",$A676-WEEKDAY($A676,3))</f>
        <v/>
      </c>
      <c r="AO676" s="56" t="str">
        <f>IF($A676="","",WEEKDAY($A676,2))</f>
        <v/>
      </c>
      <c r="AP676" s="55" t="str">
        <f>IF(OR($AM676=0,$C676=""),"",IFERROR(N(INDEX(Accounts!$E$7:$E$16,MATCH($C676,Accounts!$B$7:$B$16,0))),0)+SUMIFS($Q$6:$Q676,$C$6:$C676,$C676))</f>
        <v/>
      </c>
      <c r="AQ676" s="55" t="str">
        <f>IF(OR($AM676=0,$C676=""),"",SUMIFS($Q$6:$Q$1005,$C$6:$C$1005,$C676,$A$6:$A$1005,$A676))</f>
        <v/>
      </c>
      <c r="AR676" s="55" t="str">
        <f>IF(OR($AM676=0,$C676=""),"",IFERROR(N(INDEX(Accounts!$E$7:$E$16,MATCH($C676,Accounts!$B$7:$B$16,0))),0)+SUMIFS($Q$6:$Q$1005,$C$6:$C$1005,$C676,$A$6:$A$1005,"&lt;="&amp;$A676))</f>
        <v/>
      </c>
      <c r="AS676" s="56">
        <f>IF(OR($AM676=0,$Q676=""),0,IF(AND($A676&gt;=Lists!$W$6,$A676&lt;=Lists!$W$7,OR(Dashboard!$D$6="All accounts",$C676=Dashboard!$D$6),OR(Dashboard!$D$7="All markets",$AF676=Dashboard!$D$7)),1,0))</f>
        <v>0</v>
      </c>
      <c r="AT676" s="55">
        <f>IF($AS676=1,N(AT675)+$Q676,N(AT675))</f>
        <v>1187.10688</v>
      </c>
      <c r="AU676" s="55">
        <f>MAX(N(AU675),$AT676)</f>
        <v>1187.10688</v>
      </c>
      <c r="AV676" s="55">
        <f>$AT676-$AU676</f>
        <v>0</v>
      </c>
      <c r="AW676" s="56">
        <f>IF($AS676=1,IF($S676="Win",N(AW675)+1,IF($S676="Loss",0,N(AW675))),N(AW675))</f>
        <v>5</v>
      </c>
      <c r="AX676" s="56">
        <f>IF($AS676=1,IF($S676="Loss",N(AX675)+1,IF($S676="Win",0,N(AX675))),N(AX675))</f>
        <v>0</v>
      </c>
      <c r="AY676" s="56" t="str">
        <f>IF($AS676=1,COUNTIF($AS$6:$AS676,1),"")</f>
        <v/>
      </c>
      <c r="AZ676" s="56">
        <f>MIN(670,N(Lists!$W$8))</f>
        <v>28</v>
      </c>
      <c r="BA676" s="56">
        <f>IF($AS676=1,IF(COUNTIFS($A$6:$A676,$A676,$AS$6:$AS676,1)=1,1,0),0)</f>
        <v>0</v>
      </c>
      <c r="BB676" s="55" t="str">
        <f>IF($BA676=1,SUMIFS($Q$6:$Q$1005,$A$6:$A$1005,$A676,$AS$6:$AS$1005,1),"")</f>
        <v/>
      </c>
      <c r="BC676" s="56">
        <f>IF(ISNUMBER($R676),1,0)</f>
        <v>0</v>
      </c>
      <c r="BD676" s="55" t="str">
        <f>IF(ISNUMBER($U676),$U676*$V676,"")</f>
        <v/>
      </c>
      <c r="BE676" s="56" t="str">
        <f>IF($AM676=0,"",IFERROR(MATCH($AF676&amp;"|"&amp;UPPER(TRIM($E676)),Lists!$A$6:$A$205,0),0))</f>
        <v/>
      </c>
      <c r="BF676" s="56" t="str">
        <f>IF($AM676=0,"",IFERROR(MATCH($AF676,Settings!$B$14:$B$18,0),IFERROR(MATCH(Settings!$C$6,Settings!$B$14:$B$18,0),1)))</f>
        <v/>
      </c>
      <c r="BG676" s="58" t="str">
        <f>IF($AM676=0,"",IF(NOT(ISNUMBER($I676)),"No stop; ","")&amp;IF(AND(ISNUMBER($H676),ISNUMBER($I676)),IF(OR(AND($F676&lt;&gt;"Short",$I676&gt;=$H676),AND($F676="Short",$I676&lt;=$H676)),"Stop on wrong side; ",""),"")&amp;IF($F676="","No direction; ","")&amp;IF(AND(ISNUMBER(Settings!$C$22),ISNUMBER($V676)),IF($V676&gt;Settings!$C$22,"Risk over max $; ",""),"")&amp;IF(AND(ISNUMBER(Settings!$C$23),ISNUMBER($V676),ISNUMBER($AP676),IFERROR(N(INDEX(Accounts!$E$7:$E$16,MATCH($C676,Accounts!$B$7:$B$16,0))),0)&gt;0),IF($V676&gt;Settings!$C$23*($AP676-N($Q676)),"Risk over max %; ",""),"")&amp;IF(AND(ISNUMBER(Settings!$C$24),ISNUMBER($N676)),IF($N676&gt;Settings!$C$24,"Leverage over max; ",""),"")&amp;IF(AND(ISNUMBER(Settings!$C$27),ISNUMBER($T676)),IF($T676&lt;Settings!$C$27,"R:R below min; ",""),"")&amp;IF(ISNUMBER(Settings!$C$25),IF(COUNTIFS($A$6:$A676,$A676,$AM$6:$AM676,1)&gt;Settings!$C$25,"Over max trades/day; ",""),"")&amp;IF(ISNUMBER(Settings!$C$26),IF(SUMIFS($Q$5:$Q675,$A$5:$A675,$A676)&lt;=-Settings!$C$26,"Traded after daily max loss; ",""),"")&amp;IF(AND($AG676="",NOT(ISNUMBER($O676))),"Symbol not in Instruments; ","")&amp;IF(AND($AH676="",NOT(ISNUMBER($O676))),"Forex cross: type Gross P&amp;L; ",""))</f>
        <v/>
      </c>
      <c r="BH676" s="56">
        <f>IF(ISNUMBER($Q676),1,0)</f>
        <v>0</v>
      </c>
      <c r="BI676" s="56">
        <f>IF($Y676="",0,1)</f>
        <v>0</v>
      </c>
      <c r="BJ676" s="56">
        <f>IF($AB676="",0,1)</f>
        <v>0</v>
      </c>
      <c r="BK676" s="56">
        <f>IF(AND($BH676=1,$W676&lt;&gt;"OK"),1,0)</f>
        <v>0</v>
      </c>
      <c r="BL676" s="55">
        <f>IF(N($AZ676)=0,0,IFERROR(INDEX($AT$6:$AT$1005,MATCH($AZ676,$AY$6:$AY$1005,0)),0))</f>
        <v>1187.10688</v>
      </c>
      <c r="BM676" s="56">
        <f>IF(ISNUMBER(SEARCH("daily max loss",$BG676)),1,0)</f>
        <v>0</v>
      </c>
    </row>
    <row r="677" ht="18" customHeight="1">
      <c r="A677" s="38" t="n"/>
      <c r="B677" s="39" t="n"/>
      <c r="C677" s="40" t="n"/>
      <c r="D677" s="41" t="n"/>
      <c r="E677" s="41" t="n"/>
      <c r="F677" s="41" t="n"/>
      <c r="G677" s="41" t="n"/>
      <c r="H677" s="42" t="n"/>
      <c r="I677" s="42" t="n"/>
      <c r="J677" s="42" t="n"/>
      <c r="K677" s="42" t="n"/>
      <c r="L677" s="41" t="n"/>
      <c r="M677" s="41" t="n"/>
      <c r="N677" s="41" t="n"/>
      <c r="O677" s="43" t="n"/>
      <c r="P677" s="43" t="n"/>
      <c r="Q677" s="44" t="str">
        <f>IF($AM677=0,"",IF(ISNUMBER($AK677),$AK677-N($AL677),""))</f>
        <v/>
      </c>
      <c r="R677" s="45" t="str">
        <f>IF(OR($Q677="",NOT(ISNUMBER($V677))),"",$AK677/$V677)</f>
        <v/>
      </c>
      <c r="S677" s="46" t="str">
        <f>IF($Q677="","",IF(AND(ISNUMBER($R677),ABS(N($R677))&lt;N(Settings!$C$8)),"Scratch",IF($Q677&gt;0,"Win",IF($Q677&lt;0,"Loss","Scratch"))))</f>
        <v/>
      </c>
      <c r="T677" s="47" t="str">
        <f>IF(OR($AM677=0,NOT(ISNUMBER($H677)),NOT(ISNUMBER($I677)),NOT(ISNUMBER($J677))),"",IF($H677=$I677,"",ROUND(ABS($J677-$H677)/ABS($H677-$I677),6)))</f>
        <v/>
      </c>
      <c r="U677" s="48" t="str">
        <f>IF(OR($S677&lt;&gt;"Win",NOT(ISNUMBER($T677)),NOT(ISNUMBER($R677))),"",MAX(0,$T677-$R677))</f>
        <v/>
      </c>
      <c r="V677" s="49" t="str">
        <f>IF(OR($AM677=0,NOT(ISNUMBER($H677)),NOT(ISNUMBER($I677)),NOT(ISNUMBER($G677))),"",IF(OR($AG677="",$AH677=""),"",IF(ROUND(ABS($H677-$I677)*ABS($G677)*$AG677*$AH677,6)=0,"",ROUND(ABS($H677-$I677)*ABS($G677)*$AG677*$AH677,6))))</f>
        <v/>
      </c>
      <c r="W677" s="50" t="str">
        <f>IF($AM677=0,"",IF($BG677="","OK",LEFT($BG677,LEN($BG677)-2)))</f>
        <v/>
      </c>
      <c r="X677" s="41" t="n"/>
      <c r="Y677" s="40" t="n"/>
      <c r="Z677" s="41" t="n"/>
      <c r="AA677" s="41" t="n"/>
      <c r="AB677" s="40" t="n"/>
      <c r="AC677" s="51" t="n"/>
      <c r="AD677" s="51" t="n"/>
      <c r="AE677" s="40" t="n"/>
      <c r="AF677" s="52" t="str">
        <f>IF($AM677=0,"",IF($D677&lt;&gt;"",$D677,IF(IFERROR(INDEX(Accounts!$C$7:$C$16,MATCH($C677,Accounts!$B$7:$B$16,0))&amp;"","")&lt;&gt;"",INDEX(Accounts!$C$7:$C$16,MATCH($C677,Accounts!$B$7:$B$16,0)),Settings!$C$6)))</f>
        <v/>
      </c>
      <c r="AG677" s="53" t="str">
        <f>IF($AM677=0,"",IF(AND($BE677&gt;0,N(INDEX(Instruments!$D$6:$D$205,MAX(1,$BE677)))&gt;0),INDEX(Instruments!$D$6:$D$205,MAX(1,$BE677)),IF(N(INDEX(Settings!$D$14:$D$18,$BF677))&gt;0,INDEX(Settings!$D$14:$D$18,$BF677),"")))</f>
        <v/>
      </c>
      <c r="AH677" s="54" t="str">
        <f>IF($AM677=0,"",IF($AF677&lt;&gt;"Forex",1,IF(MID(UPPER(SUBSTITUTE(TRIM($E677),"/","")),4,3)=UPPER(TRIM(Settings!$C$7)),1,IF(LEFT(UPPER(SUBSTITUTE(TRIM($E677),"/","")),3)=UPPER(TRIM(Settings!$C$7)),IF(AND(ISNUMBER($K677),N($K677)&lt;&gt;0),1/$K677,""),""))))</f>
        <v/>
      </c>
      <c r="AI677" s="55" t="str">
        <f>IF($AM677=0,"",IF(OR(NOT(ISNUMBER($H677)),NOT(ISNUMBER($K677)),NOT(ISNUMBER($G677)),$AG677="",$AH677=""),"",ROUND(($K677-$H677)*IF($F677="Short",-1,1)*$G677*$AG677*$AH677,6)))</f>
        <v/>
      </c>
      <c r="AJ677" s="55" t="str">
        <f>IF($AM677=0,"",IF(INDEX(Settings!$E$14:$E$18,$BF677)="% of notional",IF(OR($AG677="",NOT(ISNUMBER($H677)),NOT(ISNUMBER($G677))),"",ROUND(ABS($H677*$G677*$AG677*N($AH677))*IF($L677="Limit",N(INDEX(Settings!$G$14:$G$18,$BF677)),N(INDEX(Settings!$H$14:$H$18,$BF677)))+IF(ISNUMBER($K677),ABS($K677*$G677*$AG677*N($AH677))*IF($M677="Target",N(INDEX(Settings!$G$14:$G$18,$BF677)),N(INDEX(Settings!$H$14:$H$18,$BF677))),0),6)),IF(NOT(ISNUMBER($G677)),"",ROUND(ABS($G677)*2*IF(AND($BE677&gt;0,ISNUMBER(INDEX(Instruments!$G$6:$G$205,MAX(1,$BE677)))),INDEX(Instruments!$G$6:$G$205,MAX(1,$BE677)),N(INDEX(Settings!$F$14:$F$18,$BF677))),6))))</f>
        <v/>
      </c>
      <c r="AK677" s="55" t="str">
        <f>IF($AM677=0,"",IF(ISNUMBER($O677),$O677,$AI677))</f>
        <v/>
      </c>
      <c r="AL677" s="55" t="str">
        <f>IF($AM677=0,"",IF(ISNUMBER($P677),$P677,N($AJ677)))</f>
        <v/>
      </c>
      <c r="AM677" s="56">
        <f>IF(AND($A677&lt;&gt;"",$E677&lt;&gt;"",OR(AND(ISNUMBER($G677),ISNUMBER($H677),ISNUMBER($K677)),ISNUMBER($O677))),1,0)</f>
        <v>0</v>
      </c>
      <c r="AN677" s="57" t="str">
        <f>IF($A677="","",$A677-WEEKDAY($A677,3))</f>
        <v/>
      </c>
      <c r="AO677" s="56" t="str">
        <f>IF($A677="","",WEEKDAY($A677,2))</f>
        <v/>
      </c>
      <c r="AP677" s="55" t="str">
        <f>IF(OR($AM677=0,$C677=""),"",IFERROR(N(INDEX(Accounts!$E$7:$E$16,MATCH($C677,Accounts!$B$7:$B$16,0))),0)+SUMIFS($Q$6:$Q677,$C$6:$C677,$C677))</f>
        <v/>
      </c>
      <c r="AQ677" s="55" t="str">
        <f>IF(OR($AM677=0,$C677=""),"",SUMIFS($Q$6:$Q$1005,$C$6:$C$1005,$C677,$A$6:$A$1005,$A677))</f>
        <v/>
      </c>
      <c r="AR677" s="55" t="str">
        <f>IF(OR($AM677=0,$C677=""),"",IFERROR(N(INDEX(Accounts!$E$7:$E$16,MATCH($C677,Accounts!$B$7:$B$16,0))),0)+SUMIFS($Q$6:$Q$1005,$C$6:$C$1005,$C677,$A$6:$A$1005,"&lt;="&amp;$A677))</f>
        <v/>
      </c>
      <c r="AS677" s="56">
        <f>IF(OR($AM677=0,$Q677=""),0,IF(AND($A677&gt;=Lists!$W$6,$A677&lt;=Lists!$W$7,OR(Dashboard!$D$6="All accounts",$C677=Dashboard!$D$6),OR(Dashboard!$D$7="All markets",$AF677=Dashboard!$D$7)),1,0))</f>
        <v>0</v>
      </c>
      <c r="AT677" s="55">
        <f>IF($AS677=1,N(AT676)+$Q677,N(AT676))</f>
        <v>1187.10688</v>
      </c>
      <c r="AU677" s="55">
        <f>MAX(N(AU676),$AT677)</f>
        <v>1187.10688</v>
      </c>
      <c r="AV677" s="55">
        <f>$AT677-$AU677</f>
        <v>0</v>
      </c>
      <c r="AW677" s="56">
        <f>IF($AS677=1,IF($S677="Win",N(AW676)+1,IF($S677="Loss",0,N(AW676))),N(AW676))</f>
        <v>5</v>
      </c>
      <c r="AX677" s="56">
        <f>IF($AS677=1,IF($S677="Loss",N(AX676)+1,IF($S677="Win",0,N(AX676))),N(AX676))</f>
        <v>0</v>
      </c>
      <c r="AY677" s="56" t="str">
        <f>IF($AS677=1,COUNTIF($AS$6:$AS677,1),"")</f>
        <v/>
      </c>
      <c r="AZ677" s="56">
        <f>MIN(671,N(Lists!$W$8))</f>
        <v>28</v>
      </c>
      <c r="BA677" s="56">
        <f>IF($AS677=1,IF(COUNTIFS($A$6:$A677,$A677,$AS$6:$AS677,1)=1,1,0),0)</f>
        <v>0</v>
      </c>
      <c r="BB677" s="55" t="str">
        <f>IF($BA677=1,SUMIFS($Q$6:$Q$1005,$A$6:$A$1005,$A677,$AS$6:$AS$1005,1),"")</f>
        <v/>
      </c>
      <c r="BC677" s="56">
        <f>IF(ISNUMBER($R677),1,0)</f>
        <v>0</v>
      </c>
      <c r="BD677" s="55" t="str">
        <f>IF(ISNUMBER($U677),$U677*$V677,"")</f>
        <v/>
      </c>
      <c r="BE677" s="56" t="str">
        <f>IF($AM677=0,"",IFERROR(MATCH($AF677&amp;"|"&amp;UPPER(TRIM($E677)),Lists!$A$6:$A$205,0),0))</f>
        <v/>
      </c>
      <c r="BF677" s="56" t="str">
        <f>IF($AM677=0,"",IFERROR(MATCH($AF677,Settings!$B$14:$B$18,0),IFERROR(MATCH(Settings!$C$6,Settings!$B$14:$B$18,0),1)))</f>
        <v/>
      </c>
      <c r="BG677" s="58" t="str">
        <f>IF($AM677=0,"",IF(NOT(ISNUMBER($I677)),"No stop; ","")&amp;IF(AND(ISNUMBER($H677),ISNUMBER($I677)),IF(OR(AND($F677&lt;&gt;"Short",$I677&gt;=$H677),AND($F677="Short",$I677&lt;=$H677)),"Stop on wrong side; ",""),"")&amp;IF($F677="","No direction; ","")&amp;IF(AND(ISNUMBER(Settings!$C$22),ISNUMBER($V677)),IF($V677&gt;Settings!$C$22,"Risk over max $; ",""),"")&amp;IF(AND(ISNUMBER(Settings!$C$23),ISNUMBER($V677),ISNUMBER($AP677),IFERROR(N(INDEX(Accounts!$E$7:$E$16,MATCH($C677,Accounts!$B$7:$B$16,0))),0)&gt;0),IF($V677&gt;Settings!$C$23*($AP677-N($Q677)),"Risk over max %; ",""),"")&amp;IF(AND(ISNUMBER(Settings!$C$24),ISNUMBER($N677)),IF($N677&gt;Settings!$C$24,"Leverage over max; ",""),"")&amp;IF(AND(ISNUMBER(Settings!$C$27),ISNUMBER($T677)),IF($T677&lt;Settings!$C$27,"R:R below min; ",""),"")&amp;IF(ISNUMBER(Settings!$C$25),IF(COUNTIFS($A$6:$A677,$A677,$AM$6:$AM677,1)&gt;Settings!$C$25,"Over max trades/day; ",""),"")&amp;IF(ISNUMBER(Settings!$C$26),IF(SUMIFS($Q$5:$Q676,$A$5:$A676,$A677)&lt;=-Settings!$C$26,"Traded after daily max loss; ",""),"")&amp;IF(AND($AG677="",NOT(ISNUMBER($O677))),"Symbol not in Instruments; ","")&amp;IF(AND($AH677="",NOT(ISNUMBER($O677))),"Forex cross: type Gross P&amp;L; ",""))</f>
        <v/>
      </c>
      <c r="BH677" s="56">
        <f>IF(ISNUMBER($Q677),1,0)</f>
        <v>0</v>
      </c>
      <c r="BI677" s="56">
        <f>IF($Y677="",0,1)</f>
        <v>0</v>
      </c>
      <c r="BJ677" s="56">
        <f>IF($AB677="",0,1)</f>
        <v>0</v>
      </c>
      <c r="BK677" s="56">
        <f>IF(AND($BH677=1,$W677&lt;&gt;"OK"),1,0)</f>
        <v>0</v>
      </c>
      <c r="BL677" s="55">
        <f>IF(N($AZ677)=0,0,IFERROR(INDEX($AT$6:$AT$1005,MATCH($AZ677,$AY$6:$AY$1005,0)),0))</f>
        <v>1187.10688</v>
      </c>
      <c r="BM677" s="56">
        <f>IF(ISNUMBER(SEARCH("daily max loss",$BG677)),1,0)</f>
        <v>0</v>
      </c>
    </row>
    <row r="678" ht="18" customHeight="1">
      <c r="A678" s="38" t="n"/>
      <c r="B678" s="39" t="n"/>
      <c r="C678" s="40" t="n"/>
      <c r="D678" s="41" t="n"/>
      <c r="E678" s="41" t="n"/>
      <c r="F678" s="41" t="n"/>
      <c r="G678" s="41" t="n"/>
      <c r="H678" s="42" t="n"/>
      <c r="I678" s="42" t="n"/>
      <c r="J678" s="42" t="n"/>
      <c r="K678" s="42" t="n"/>
      <c r="L678" s="41" t="n"/>
      <c r="M678" s="41" t="n"/>
      <c r="N678" s="41" t="n"/>
      <c r="O678" s="43" t="n"/>
      <c r="P678" s="43" t="n"/>
      <c r="Q678" s="44" t="str">
        <f>IF($AM678=0,"",IF(ISNUMBER($AK678),$AK678-N($AL678),""))</f>
        <v/>
      </c>
      <c r="R678" s="45" t="str">
        <f>IF(OR($Q678="",NOT(ISNUMBER($V678))),"",$AK678/$V678)</f>
        <v/>
      </c>
      <c r="S678" s="46" t="str">
        <f>IF($Q678="","",IF(AND(ISNUMBER($R678),ABS(N($R678))&lt;N(Settings!$C$8)),"Scratch",IF($Q678&gt;0,"Win",IF($Q678&lt;0,"Loss","Scratch"))))</f>
        <v/>
      </c>
      <c r="T678" s="47" t="str">
        <f>IF(OR($AM678=0,NOT(ISNUMBER($H678)),NOT(ISNUMBER($I678)),NOT(ISNUMBER($J678))),"",IF($H678=$I678,"",ROUND(ABS($J678-$H678)/ABS($H678-$I678),6)))</f>
        <v/>
      </c>
      <c r="U678" s="48" t="str">
        <f>IF(OR($S678&lt;&gt;"Win",NOT(ISNUMBER($T678)),NOT(ISNUMBER($R678))),"",MAX(0,$T678-$R678))</f>
        <v/>
      </c>
      <c r="V678" s="49" t="str">
        <f>IF(OR($AM678=0,NOT(ISNUMBER($H678)),NOT(ISNUMBER($I678)),NOT(ISNUMBER($G678))),"",IF(OR($AG678="",$AH678=""),"",IF(ROUND(ABS($H678-$I678)*ABS($G678)*$AG678*$AH678,6)=0,"",ROUND(ABS($H678-$I678)*ABS($G678)*$AG678*$AH678,6))))</f>
        <v/>
      </c>
      <c r="W678" s="50" t="str">
        <f>IF($AM678=0,"",IF($BG678="","OK",LEFT($BG678,LEN($BG678)-2)))</f>
        <v/>
      </c>
      <c r="X678" s="41" t="n"/>
      <c r="Y678" s="40" t="n"/>
      <c r="Z678" s="41" t="n"/>
      <c r="AA678" s="41" t="n"/>
      <c r="AB678" s="40" t="n"/>
      <c r="AC678" s="51" t="n"/>
      <c r="AD678" s="51" t="n"/>
      <c r="AE678" s="40" t="n"/>
      <c r="AF678" s="52" t="str">
        <f>IF($AM678=0,"",IF($D678&lt;&gt;"",$D678,IF(IFERROR(INDEX(Accounts!$C$7:$C$16,MATCH($C678,Accounts!$B$7:$B$16,0))&amp;"","")&lt;&gt;"",INDEX(Accounts!$C$7:$C$16,MATCH($C678,Accounts!$B$7:$B$16,0)),Settings!$C$6)))</f>
        <v/>
      </c>
      <c r="AG678" s="53" t="str">
        <f>IF($AM678=0,"",IF(AND($BE678&gt;0,N(INDEX(Instruments!$D$6:$D$205,MAX(1,$BE678)))&gt;0),INDEX(Instruments!$D$6:$D$205,MAX(1,$BE678)),IF(N(INDEX(Settings!$D$14:$D$18,$BF678))&gt;0,INDEX(Settings!$D$14:$D$18,$BF678),"")))</f>
        <v/>
      </c>
      <c r="AH678" s="54" t="str">
        <f>IF($AM678=0,"",IF($AF678&lt;&gt;"Forex",1,IF(MID(UPPER(SUBSTITUTE(TRIM($E678),"/","")),4,3)=UPPER(TRIM(Settings!$C$7)),1,IF(LEFT(UPPER(SUBSTITUTE(TRIM($E678),"/","")),3)=UPPER(TRIM(Settings!$C$7)),IF(AND(ISNUMBER($K678),N($K678)&lt;&gt;0),1/$K678,""),""))))</f>
        <v/>
      </c>
      <c r="AI678" s="55" t="str">
        <f>IF($AM678=0,"",IF(OR(NOT(ISNUMBER($H678)),NOT(ISNUMBER($K678)),NOT(ISNUMBER($G678)),$AG678="",$AH678=""),"",ROUND(($K678-$H678)*IF($F678="Short",-1,1)*$G678*$AG678*$AH678,6)))</f>
        <v/>
      </c>
      <c r="AJ678" s="55" t="str">
        <f>IF($AM678=0,"",IF(INDEX(Settings!$E$14:$E$18,$BF678)="% of notional",IF(OR($AG678="",NOT(ISNUMBER($H678)),NOT(ISNUMBER($G678))),"",ROUND(ABS($H678*$G678*$AG678*N($AH678))*IF($L678="Limit",N(INDEX(Settings!$G$14:$G$18,$BF678)),N(INDEX(Settings!$H$14:$H$18,$BF678)))+IF(ISNUMBER($K678),ABS($K678*$G678*$AG678*N($AH678))*IF($M678="Target",N(INDEX(Settings!$G$14:$G$18,$BF678)),N(INDEX(Settings!$H$14:$H$18,$BF678))),0),6)),IF(NOT(ISNUMBER($G678)),"",ROUND(ABS($G678)*2*IF(AND($BE678&gt;0,ISNUMBER(INDEX(Instruments!$G$6:$G$205,MAX(1,$BE678)))),INDEX(Instruments!$G$6:$G$205,MAX(1,$BE678)),N(INDEX(Settings!$F$14:$F$18,$BF678))),6))))</f>
        <v/>
      </c>
      <c r="AK678" s="55" t="str">
        <f>IF($AM678=0,"",IF(ISNUMBER($O678),$O678,$AI678))</f>
        <v/>
      </c>
      <c r="AL678" s="55" t="str">
        <f>IF($AM678=0,"",IF(ISNUMBER($P678),$P678,N($AJ678)))</f>
        <v/>
      </c>
      <c r="AM678" s="56">
        <f>IF(AND($A678&lt;&gt;"",$E678&lt;&gt;"",OR(AND(ISNUMBER($G678),ISNUMBER($H678),ISNUMBER($K678)),ISNUMBER($O678))),1,0)</f>
        <v>0</v>
      </c>
      <c r="AN678" s="57" t="str">
        <f>IF($A678="","",$A678-WEEKDAY($A678,3))</f>
        <v/>
      </c>
      <c r="AO678" s="56" t="str">
        <f>IF($A678="","",WEEKDAY($A678,2))</f>
        <v/>
      </c>
      <c r="AP678" s="55" t="str">
        <f>IF(OR($AM678=0,$C678=""),"",IFERROR(N(INDEX(Accounts!$E$7:$E$16,MATCH($C678,Accounts!$B$7:$B$16,0))),0)+SUMIFS($Q$6:$Q678,$C$6:$C678,$C678))</f>
        <v/>
      </c>
      <c r="AQ678" s="55" t="str">
        <f>IF(OR($AM678=0,$C678=""),"",SUMIFS($Q$6:$Q$1005,$C$6:$C$1005,$C678,$A$6:$A$1005,$A678))</f>
        <v/>
      </c>
      <c r="AR678" s="55" t="str">
        <f>IF(OR($AM678=0,$C678=""),"",IFERROR(N(INDEX(Accounts!$E$7:$E$16,MATCH($C678,Accounts!$B$7:$B$16,0))),0)+SUMIFS($Q$6:$Q$1005,$C$6:$C$1005,$C678,$A$6:$A$1005,"&lt;="&amp;$A678))</f>
        <v/>
      </c>
      <c r="AS678" s="56">
        <f>IF(OR($AM678=0,$Q678=""),0,IF(AND($A678&gt;=Lists!$W$6,$A678&lt;=Lists!$W$7,OR(Dashboard!$D$6="All accounts",$C678=Dashboard!$D$6),OR(Dashboard!$D$7="All markets",$AF678=Dashboard!$D$7)),1,0))</f>
        <v>0</v>
      </c>
      <c r="AT678" s="55">
        <f>IF($AS678=1,N(AT677)+$Q678,N(AT677))</f>
        <v>1187.10688</v>
      </c>
      <c r="AU678" s="55">
        <f>MAX(N(AU677),$AT678)</f>
        <v>1187.10688</v>
      </c>
      <c r="AV678" s="55">
        <f>$AT678-$AU678</f>
        <v>0</v>
      </c>
      <c r="AW678" s="56">
        <f>IF($AS678=1,IF($S678="Win",N(AW677)+1,IF($S678="Loss",0,N(AW677))),N(AW677))</f>
        <v>5</v>
      </c>
      <c r="AX678" s="56">
        <f>IF($AS678=1,IF($S678="Loss",N(AX677)+1,IF($S678="Win",0,N(AX677))),N(AX677))</f>
        <v>0</v>
      </c>
      <c r="AY678" s="56" t="str">
        <f>IF($AS678=1,COUNTIF($AS$6:$AS678,1),"")</f>
        <v/>
      </c>
      <c r="AZ678" s="56">
        <f>MIN(672,N(Lists!$W$8))</f>
        <v>28</v>
      </c>
      <c r="BA678" s="56">
        <f>IF($AS678=1,IF(COUNTIFS($A$6:$A678,$A678,$AS$6:$AS678,1)=1,1,0),0)</f>
        <v>0</v>
      </c>
      <c r="BB678" s="55" t="str">
        <f>IF($BA678=1,SUMIFS($Q$6:$Q$1005,$A$6:$A$1005,$A678,$AS$6:$AS$1005,1),"")</f>
        <v/>
      </c>
      <c r="BC678" s="56">
        <f>IF(ISNUMBER($R678),1,0)</f>
        <v>0</v>
      </c>
      <c r="BD678" s="55" t="str">
        <f>IF(ISNUMBER($U678),$U678*$V678,"")</f>
        <v/>
      </c>
      <c r="BE678" s="56" t="str">
        <f>IF($AM678=0,"",IFERROR(MATCH($AF678&amp;"|"&amp;UPPER(TRIM($E678)),Lists!$A$6:$A$205,0),0))</f>
        <v/>
      </c>
      <c r="BF678" s="56" t="str">
        <f>IF($AM678=0,"",IFERROR(MATCH($AF678,Settings!$B$14:$B$18,0),IFERROR(MATCH(Settings!$C$6,Settings!$B$14:$B$18,0),1)))</f>
        <v/>
      </c>
      <c r="BG678" s="58" t="str">
        <f>IF($AM678=0,"",IF(NOT(ISNUMBER($I678)),"No stop; ","")&amp;IF(AND(ISNUMBER($H678),ISNUMBER($I678)),IF(OR(AND($F678&lt;&gt;"Short",$I678&gt;=$H678),AND($F678="Short",$I678&lt;=$H678)),"Stop on wrong side; ",""),"")&amp;IF($F678="","No direction; ","")&amp;IF(AND(ISNUMBER(Settings!$C$22),ISNUMBER($V678)),IF($V678&gt;Settings!$C$22,"Risk over max $; ",""),"")&amp;IF(AND(ISNUMBER(Settings!$C$23),ISNUMBER($V678),ISNUMBER($AP678),IFERROR(N(INDEX(Accounts!$E$7:$E$16,MATCH($C678,Accounts!$B$7:$B$16,0))),0)&gt;0),IF($V678&gt;Settings!$C$23*($AP678-N($Q678)),"Risk over max %; ",""),"")&amp;IF(AND(ISNUMBER(Settings!$C$24),ISNUMBER($N678)),IF($N678&gt;Settings!$C$24,"Leverage over max; ",""),"")&amp;IF(AND(ISNUMBER(Settings!$C$27),ISNUMBER($T678)),IF($T678&lt;Settings!$C$27,"R:R below min; ",""),"")&amp;IF(ISNUMBER(Settings!$C$25),IF(COUNTIFS($A$6:$A678,$A678,$AM$6:$AM678,1)&gt;Settings!$C$25,"Over max trades/day; ",""),"")&amp;IF(ISNUMBER(Settings!$C$26),IF(SUMIFS($Q$5:$Q677,$A$5:$A677,$A678)&lt;=-Settings!$C$26,"Traded after daily max loss; ",""),"")&amp;IF(AND($AG678="",NOT(ISNUMBER($O678))),"Symbol not in Instruments; ","")&amp;IF(AND($AH678="",NOT(ISNUMBER($O678))),"Forex cross: type Gross P&amp;L; ",""))</f>
        <v/>
      </c>
      <c r="BH678" s="56">
        <f>IF(ISNUMBER($Q678),1,0)</f>
        <v>0</v>
      </c>
      <c r="BI678" s="56">
        <f>IF($Y678="",0,1)</f>
        <v>0</v>
      </c>
      <c r="BJ678" s="56">
        <f>IF($AB678="",0,1)</f>
        <v>0</v>
      </c>
      <c r="BK678" s="56">
        <f>IF(AND($BH678=1,$W678&lt;&gt;"OK"),1,0)</f>
        <v>0</v>
      </c>
      <c r="BL678" s="55">
        <f>IF(N($AZ678)=0,0,IFERROR(INDEX($AT$6:$AT$1005,MATCH($AZ678,$AY$6:$AY$1005,0)),0))</f>
        <v>1187.10688</v>
      </c>
      <c r="BM678" s="56">
        <f>IF(ISNUMBER(SEARCH("daily max loss",$BG678)),1,0)</f>
        <v>0</v>
      </c>
    </row>
    <row r="679" ht="18" customHeight="1">
      <c r="A679" s="38" t="n"/>
      <c r="B679" s="39" t="n"/>
      <c r="C679" s="40" t="n"/>
      <c r="D679" s="41" t="n"/>
      <c r="E679" s="41" t="n"/>
      <c r="F679" s="41" t="n"/>
      <c r="G679" s="41" t="n"/>
      <c r="H679" s="42" t="n"/>
      <c r="I679" s="42" t="n"/>
      <c r="J679" s="42" t="n"/>
      <c r="K679" s="42" t="n"/>
      <c r="L679" s="41" t="n"/>
      <c r="M679" s="41" t="n"/>
      <c r="N679" s="41" t="n"/>
      <c r="O679" s="43" t="n"/>
      <c r="P679" s="43" t="n"/>
      <c r="Q679" s="44" t="str">
        <f>IF($AM679=0,"",IF(ISNUMBER($AK679),$AK679-N($AL679),""))</f>
        <v/>
      </c>
      <c r="R679" s="45" t="str">
        <f>IF(OR($Q679="",NOT(ISNUMBER($V679))),"",$AK679/$V679)</f>
        <v/>
      </c>
      <c r="S679" s="46" t="str">
        <f>IF($Q679="","",IF(AND(ISNUMBER($R679),ABS(N($R679))&lt;N(Settings!$C$8)),"Scratch",IF($Q679&gt;0,"Win",IF($Q679&lt;0,"Loss","Scratch"))))</f>
        <v/>
      </c>
      <c r="T679" s="47" t="str">
        <f>IF(OR($AM679=0,NOT(ISNUMBER($H679)),NOT(ISNUMBER($I679)),NOT(ISNUMBER($J679))),"",IF($H679=$I679,"",ROUND(ABS($J679-$H679)/ABS($H679-$I679),6)))</f>
        <v/>
      </c>
      <c r="U679" s="48" t="str">
        <f>IF(OR($S679&lt;&gt;"Win",NOT(ISNUMBER($T679)),NOT(ISNUMBER($R679))),"",MAX(0,$T679-$R679))</f>
        <v/>
      </c>
      <c r="V679" s="49" t="str">
        <f>IF(OR($AM679=0,NOT(ISNUMBER($H679)),NOT(ISNUMBER($I679)),NOT(ISNUMBER($G679))),"",IF(OR($AG679="",$AH679=""),"",IF(ROUND(ABS($H679-$I679)*ABS($G679)*$AG679*$AH679,6)=0,"",ROUND(ABS($H679-$I679)*ABS($G679)*$AG679*$AH679,6))))</f>
        <v/>
      </c>
      <c r="W679" s="50" t="str">
        <f>IF($AM679=0,"",IF($BG679="","OK",LEFT($BG679,LEN($BG679)-2)))</f>
        <v/>
      </c>
      <c r="X679" s="41" t="n"/>
      <c r="Y679" s="40" t="n"/>
      <c r="Z679" s="41" t="n"/>
      <c r="AA679" s="41" t="n"/>
      <c r="AB679" s="40" t="n"/>
      <c r="AC679" s="51" t="n"/>
      <c r="AD679" s="51" t="n"/>
      <c r="AE679" s="40" t="n"/>
      <c r="AF679" s="52" t="str">
        <f>IF($AM679=0,"",IF($D679&lt;&gt;"",$D679,IF(IFERROR(INDEX(Accounts!$C$7:$C$16,MATCH($C679,Accounts!$B$7:$B$16,0))&amp;"","")&lt;&gt;"",INDEX(Accounts!$C$7:$C$16,MATCH($C679,Accounts!$B$7:$B$16,0)),Settings!$C$6)))</f>
        <v/>
      </c>
      <c r="AG679" s="53" t="str">
        <f>IF($AM679=0,"",IF(AND($BE679&gt;0,N(INDEX(Instruments!$D$6:$D$205,MAX(1,$BE679)))&gt;0),INDEX(Instruments!$D$6:$D$205,MAX(1,$BE679)),IF(N(INDEX(Settings!$D$14:$D$18,$BF679))&gt;0,INDEX(Settings!$D$14:$D$18,$BF679),"")))</f>
        <v/>
      </c>
      <c r="AH679" s="54" t="str">
        <f>IF($AM679=0,"",IF($AF679&lt;&gt;"Forex",1,IF(MID(UPPER(SUBSTITUTE(TRIM($E679),"/","")),4,3)=UPPER(TRIM(Settings!$C$7)),1,IF(LEFT(UPPER(SUBSTITUTE(TRIM($E679),"/","")),3)=UPPER(TRIM(Settings!$C$7)),IF(AND(ISNUMBER($K679),N($K679)&lt;&gt;0),1/$K679,""),""))))</f>
        <v/>
      </c>
      <c r="AI679" s="55" t="str">
        <f>IF($AM679=0,"",IF(OR(NOT(ISNUMBER($H679)),NOT(ISNUMBER($K679)),NOT(ISNUMBER($G679)),$AG679="",$AH679=""),"",ROUND(($K679-$H679)*IF($F679="Short",-1,1)*$G679*$AG679*$AH679,6)))</f>
        <v/>
      </c>
      <c r="AJ679" s="55" t="str">
        <f>IF($AM679=0,"",IF(INDEX(Settings!$E$14:$E$18,$BF679)="% of notional",IF(OR($AG679="",NOT(ISNUMBER($H679)),NOT(ISNUMBER($G679))),"",ROUND(ABS($H679*$G679*$AG679*N($AH679))*IF($L679="Limit",N(INDEX(Settings!$G$14:$G$18,$BF679)),N(INDEX(Settings!$H$14:$H$18,$BF679)))+IF(ISNUMBER($K679),ABS($K679*$G679*$AG679*N($AH679))*IF($M679="Target",N(INDEX(Settings!$G$14:$G$18,$BF679)),N(INDEX(Settings!$H$14:$H$18,$BF679))),0),6)),IF(NOT(ISNUMBER($G679)),"",ROUND(ABS($G679)*2*IF(AND($BE679&gt;0,ISNUMBER(INDEX(Instruments!$G$6:$G$205,MAX(1,$BE679)))),INDEX(Instruments!$G$6:$G$205,MAX(1,$BE679)),N(INDEX(Settings!$F$14:$F$18,$BF679))),6))))</f>
        <v/>
      </c>
      <c r="AK679" s="55" t="str">
        <f>IF($AM679=0,"",IF(ISNUMBER($O679),$O679,$AI679))</f>
        <v/>
      </c>
      <c r="AL679" s="55" t="str">
        <f>IF($AM679=0,"",IF(ISNUMBER($P679),$P679,N($AJ679)))</f>
        <v/>
      </c>
      <c r="AM679" s="56">
        <f>IF(AND($A679&lt;&gt;"",$E679&lt;&gt;"",OR(AND(ISNUMBER($G679),ISNUMBER($H679),ISNUMBER($K679)),ISNUMBER($O679))),1,0)</f>
        <v>0</v>
      </c>
      <c r="AN679" s="57" t="str">
        <f>IF($A679="","",$A679-WEEKDAY($A679,3))</f>
        <v/>
      </c>
      <c r="AO679" s="56" t="str">
        <f>IF($A679="","",WEEKDAY($A679,2))</f>
        <v/>
      </c>
      <c r="AP679" s="55" t="str">
        <f>IF(OR($AM679=0,$C679=""),"",IFERROR(N(INDEX(Accounts!$E$7:$E$16,MATCH($C679,Accounts!$B$7:$B$16,0))),0)+SUMIFS($Q$6:$Q679,$C$6:$C679,$C679))</f>
        <v/>
      </c>
      <c r="AQ679" s="55" t="str">
        <f>IF(OR($AM679=0,$C679=""),"",SUMIFS($Q$6:$Q$1005,$C$6:$C$1005,$C679,$A$6:$A$1005,$A679))</f>
        <v/>
      </c>
      <c r="AR679" s="55" t="str">
        <f>IF(OR($AM679=0,$C679=""),"",IFERROR(N(INDEX(Accounts!$E$7:$E$16,MATCH($C679,Accounts!$B$7:$B$16,0))),0)+SUMIFS($Q$6:$Q$1005,$C$6:$C$1005,$C679,$A$6:$A$1005,"&lt;="&amp;$A679))</f>
        <v/>
      </c>
      <c r="AS679" s="56">
        <f>IF(OR($AM679=0,$Q679=""),0,IF(AND($A679&gt;=Lists!$W$6,$A679&lt;=Lists!$W$7,OR(Dashboard!$D$6="All accounts",$C679=Dashboard!$D$6),OR(Dashboard!$D$7="All markets",$AF679=Dashboard!$D$7)),1,0))</f>
        <v>0</v>
      </c>
      <c r="AT679" s="55">
        <f>IF($AS679=1,N(AT678)+$Q679,N(AT678))</f>
        <v>1187.10688</v>
      </c>
      <c r="AU679" s="55">
        <f>MAX(N(AU678),$AT679)</f>
        <v>1187.10688</v>
      </c>
      <c r="AV679" s="55">
        <f>$AT679-$AU679</f>
        <v>0</v>
      </c>
      <c r="AW679" s="56">
        <f>IF($AS679=1,IF($S679="Win",N(AW678)+1,IF($S679="Loss",0,N(AW678))),N(AW678))</f>
        <v>5</v>
      </c>
      <c r="AX679" s="56">
        <f>IF($AS679=1,IF($S679="Loss",N(AX678)+1,IF($S679="Win",0,N(AX678))),N(AX678))</f>
        <v>0</v>
      </c>
      <c r="AY679" s="56" t="str">
        <f>IF($AS679=1,COUNTIF($AS$6:$AS679,1),"")</f>
        <v/>
      </c>
      <c r="AZ679" s="56">
        <f>MIN(673,N(Lists!$W$8))</f>
        <v>28</v>
      </c>
      <c r="BA679" s="56">
        <f>IF($AS679=1,IF(COUNTIFS($A$6:$A679,$A679,$AS$6:$AS679,1)=1,1,0),0)</f>
        <v>0</v>
      </c>
      <c r="BB679" s="55" t="str">
        <f>IF($BA679=1,SUMIFS($Q$6:$Q$1005,$A$6:$A$1005,$A679,$AS$6:$AS$1005,1),"")</f>
        <v/>
      </c>
      <c r="BC679" s="56">
        <f>IF(ISNUMBER($R679),1,0)</f>
        <v>0</v>
      </c>
      <c r="BD679" s="55" t="str">
        <f>IF(ISNUMBER($U679),$U679*$V679,"")</f>
        <v/>
      </c>
      <c r="BE679" s="56" t="str">
        <f>IF($AM679=0,"",IFERROR(MATCH($AF679&amp;"|"&amp;UPPER(TRIM($E679)),Lists!$A$6:$A$205,0),0))</f>
        <v/>
      </c>
      <c r="BF679" s="56" t="str">
        <f>IF($AM679=0,"",IFERROR(MATCH($AF679,Settings!$B$14:$B$18,0),IFERROR(MATCH(Settings!$C$6,Settings!$B$14:$B$18,0),1)))</f>
        <v/>
      </c>
      <c r="BG679" s="58" t="str">
        <f>IF($AM679=0,"",IF(NOT(ISNUMBER($I679)),"No stop; ","")&amp;IF(AND(ISNUMBER($H679),ISNUMBER($I679)),IF(OR(AND($F679&lt;&gt;"Short",$I679&gt;=$H679),AND($F679="Short",$I679&lt;=$H679)),"Stop on wrong side; ",""),"")&amp;IF($F679="","No direction; ","")&amp;IF(AND(ISNUMBER(Settings!$C$22),ISNUMBER($V679)),IF($V679&gt;Settings!$C$22,"Risk over max $; ",""),"")&amp;IF(AND(ISNUMBER(Settings!$C$23),ISNUMBER($V679),ISNUMBER($AP679),IFERROR(N(INDEX(Accounts!$E$7:$E$16,MATCH($C679,Accounts!$B$7:$B$16,0))),0)&gt;0),IF($V679&gt;Settings!$C$23*($AP679-N($Q679)),"Risk over max %; ",""),"")&amp;IF(AND(ISNUMBER(Settings!$C$24),ISNUMBER($N679)),IF($N679&gt;Settings!$C$24,"Leverage over max; ",""),"")&amp;IF(AND(ISNUMBER(Settings!$C$27),ISNUMBER($T679)),IF($T679&lt;Settings!$C$27,"R:R below min; ",""),"")&amp;IF(ISNUMBER(Settings!$C$25),IF(COUNTIFS($A$6:$A679,$A679,$AM$6:$AM679,1)&gt;Settings!$C$25,"Over max trades/day; ",""),"")&amp;IF(ISNUMBER(Settings!$C$26),IF(SUMIFS($Q$5:$Q678,$A$5:$A678,$A679)&lt;=-Settings!$C$26,"Traded after daily max loss; ",""),"")&amp;IF(AND($AG679="",NOT(ISNUMBER($O679))),"Symbol not in Instruments; ","")&amp;IF(AND($AH679="",NOT(ISNUMBER($O679))),"Forex cross: type Gross P&amp;L; ",""))</f>
        <v/>
      </c>
      <c r="BH679" s="56">
        <f>IF(ISNUMBER($Q679),1,0)</f>
        <v>0</v>
      </c>
      <c r="BI679" s="56">
        <f>IF($Y679="",0,1)</f>
        <v>0</v>
      </c>
      <c r="BJ679" s="56">
        <f>IF($AB679="",0,1)</f>
        <v>0</v>
      </c>
      <c r="BK679" s="56">
        <f>IF(AND($BH679=1,$W679&lt;&gt;"OK"),1,0)</f>
        <v>0</v>
      </c>
      <c r="BL679" s="55">
        <f>IF(N($AZ679)=0,0,IFERROR(INDEX($AT$6:$AT$1005,MATCH($AZ679,$AY$6:$AY$1005,0)),0))</f>
        <v>1187.10688</v>
      </c>
      <c r="BM679" s="56">
        <f>IF(ISNUMBER(SEARCH("daily max loss",$BG679)),1,0)</f>
        <v>0</v>
      </c>
    </row>
    <row r="680" ht="18" customHeight="1">
      <c r="A680" s="38" t="n"/>
      <c r="B680" s="39" t="n"/>
      <c r="C680" s="40" t="n"/>
      <c r="D680" s="41" t="n"/>
      <c r="E680" s="41" t="n"/>
      <c r="F680" s="41" t="n"/>
      <c r="G680" s="41" t="n"/>
      <c r="H680" s="42" t="n"/>
      <c r="I680" s="42" t="n"/>
      <c r="J680" s="42" t="n"/>
      <c r="K680" s="42" t="n"/>
      <c r="L680" s="41" t="n"/>
      <c r="M680" s="41" t="n"/>
      <c r="N680" s="41" t="n"/>
      <c r="O680" s="43" t="n"/>
      <c r="P680" s="43" t="n"/>
      <c r="Q680" s="44" t="str">
        <f>IF($AM680=0,"",IF(ISNUMBER($AK680),$AK680-N($AL680),""))</f>
        <v/>
      </c>
      <c r="R680" s="45" t="str">
        <f>IF(OR($Q680="",NOT(ISNUMBER($V680))),"",$AK680/$V680)</f>
        <v/>
      </c>
      <c r="S680" s="46" t="str">
        <f>IF($Q680="","",IF(AND(ISNUMBER($R680),ABS(N($R680))&lt;N(Settings!$C$8)),"Scratch",IF($Q680&gt;0,"Win",IF($Q680&lt;0,"Loss","Scratch"))))</f>
        <v/>
      </c>
      <c r="T680" s="47" t="str">
        <f>IF(OR($AM680=0,NOT(ISNUMBER($H680)),NOT(ISNUMBER($I680)),NOT(ISNUMBER($J680))),"",IF($H680=$I680,"",ROUND(ABS($J680-$H680)/ABS($H680-$I680),6)))</f>
        <v/>
      </c>
      <c r="U680" s="48" t="str">
        <f>IF(OR($S680&lt;&gt;"Win",NOT(ISNUMBER($T680)),NOT(ISNUMBER($R680))),"",MAX(0,$T680-$R680))</f>
        <v/>
      </c>
      <c r="V680" s="49" t="str">
        <f>IF(OR($AM680=0,NOT(ISNUMBER($H680)),NOT(ISNUMBER($I680)),NOT(ISNUMBER($G680))),"",IF(OR($AG680="",$AH680=""),"",IF(ROUND(ABS($H680-$I680)*ABS($G680)*$AG680*$AH680,6)=0,"",ROUND(ABS($H680-$I680)*ABS($G680)*$AG680*$AH680,6))))</f>
        <v/>
      </c>
      <c r="W680" s="50" t="str">
        <f>IF($AM680=0,"",IF($BG680="","OK",LEFT($BG680,LEN($BG680)-2)))</f>
        <v/>
      </c>
      <c r="X680" s="41" t="n"/>
      <c r="Y680" s="40" t="n"/>
      <c r="Z680" s="41" t="n"/>
      <c r="AA680" s="41" t="n"/>
      <c r="AB680" s="40" t="n"/>
      <c r="AC680" s="51" t="n"/>
      <c r="AD680" s="51" t="n"/>
      <c r="AE680" s="40" t="n"/>
      <c r="AF680" s="52" t="str">
        <f>IF($AM680=0,"",IF($D680&lt;&gt;"",$D680,IF(IFERROR(INDEX(Accounts!$C$7:$C$16,MATCH($C680,Accounts!$B$7:$B$16,0))&amp;"","")&lt;&gt;"",INDEX(Accounts!$C$7:$C$16,MATCH($C680,Accounts!$B$7:$B$16,0)),Settings!$C$6)))</f>
        <v/>
      </c>
      <c r="AG680" s="53" t="str">
        <f>IF($AM680=0,"",IF(AND($BE680&gt;0,N(INDEX(Instruments!$D$6:$D$205,MAX(1,$BE680)))&gt;0),INDEX(Instruments!$D$6:$D$205,MAX(1,$BE680)),IF(N(INDEX(Settings!$D$14:$D$18,$BF680))&gt;0,INDEX(Settings!$D$14:$D$18,$BF680),"")))</f>
        <v/>
      </c>
      <c r="AH680" s="54" t="str">
        <f>IF($AM680=0,"",IF($AF680&lt;&gt;"Forex",1,IF(MID(UPPER(SUBSTITUTE(TRIM($E680),"/","")),4,3)=UPPER(TRIM(Settings!$C$7)),1,IF(LEFT(UPPER(SUBSTITUTE(TRIM($E680),"/","")),3)=UPPER(TRIM(Settings!$C$7)),IF(AND(ISNUMBER($K680),N($K680)&lt;&gt;0),1/$K680,""),""))))</f>
        <v/>
      </c>
      <c r="AI680" s="55" t="str">
        <f>IF($AM680=0,"",IF(OR(NOT(ISNUMBER($H680)),NOT(ISNUMBER($K680)),NOT(ISNUMBER($G680)),$AG680="",$AH680=""),"",ROUND(($K680-$H680)*IF($F680="Short",-1,1)*$G680*$AG680*$AH680,6)))</f>
        <v/>
      </c>
      <c r="AJ680" s="55" t="str">
        <f>IF($AM680=0,"",IF(INDEX(Settings!$E$14:$E$18,$BF680)="% of notional",IF(OR($AG680="",NOT(ISNUMBER($H680)),NOT(ISNUMBER($G680))),"",ROUND(ABS($H680*$G680*$AG680*N($AH680))*IF($L680="Limit",N(INDEX(Settings!$G$14:$G$18,$BF680)),N(INDEX(Settings!$H$14:$H$18,$BF680)))+IF(ISNUMBER($K680),ABS($K680*$G680*$AG680*N($AH680))*IF($M680="Target",N(INDEX(Settings!$G$14:$G$18,$BF680)),N(INDEX(Settings!$H$14:$H$18,$BF680))),0),6)),IF(NOT(ISNUMBER($G680)),"",ROUND(ABS($G680)*2*IF(AND($BE680&gt;0,ISNUMBER(INDEX(Instruments!$G$6:$G$205,MAX(1,$BE680)))),INDEX(Instruments!$G$6:$G$205,MAX(1,$BE680)),N(INDEX(Settings!$F$14:$F$18,$BF680))),6))))</f>
        <v/>
      </c>
      <c r="AK680" s="55" t="str">
        <f>IF($AM680=0,"",IF(ISNUMBER($O680),$O680,$AI680))</f>
        <v/>
      </c>
      <c r="AL680" s="55" t="str">
        <f>IF($AM680=0,"",IF(ISNUMBER($P680),$P680,N($AJ680)))</f>
        <v/>
      </c>
      <c r="AM680" s="56">
        <f>IF(AND($A680&lt;&gt;"",$E680&lt;&gt;"",OR(AND(ISNUMBER($G680),ISNUMBER($H680),ISNUMBER($K680)),ISNUMBER($O680))),1,0)</f>
        <v>0</v>
      </c>
      <c r="AN680" s="57" t="str">
        <f>IF($A680="","",$A680-WEEKDAY($A680,3))</f>
        <v/>
      </c>
      <c r="AO680" s="56" t="str">
        <f>IF($A680="","",WEEKDAY($A680,2))</f>
        <v/>
      </c>
      <c r="AP680" s="55" t="str">
        <f>IF(OR($AM680=0,$C680=""),"",IFERROR(N(INDEX(Accounts!$E$7:$E$16,MATCH($C680,Accounts!$B$7:$B$16,0))),0)+SUMIFS($Q$6:$Q680,$C$6:$C680,$C680))</f>
        <v/>
      </c>
      <c r="AQ680" s="55" t="str">
        <f>IF(OR($AM680=0,$C680=""),"",SUMIFS($Q$6:$Q$1005,$C$6:$C$1005,$C680,$A$6:$A$1005,$A680))</f>
        <v/>
      </c>
      <c r="AR680" s="55" t="str">
        <f>IF(OR($AM680=0,$C680=""),"",IFERROR(N(INDEX(Accounts!$E$7:$E$16,MATCH($C680,Accounts!$B$7:$B$16,0))),0)+SUMIFS($Q$6:$Q$1005,$C$6:$C$1005,$C680,$A$6:$A$1005,"&lt;="&amp;$A680))</f>
        <v/>
      </c>
      <c r="AS680" s="56">
        <f>IF(OR($AM680=0,$Q680=""),0,IF(AND($A680&gt;=Lists!$W$6,$A680&lt;=Lists!$W$7,OR(Dashboard!$D$6="All accounts",$C680=Dashboard!$D$6),OR(Dashboard!$D$7="All markets",$AF680=Dashboard!$D$7)),1,0))</f>
        <v>0</v>
      </c>
      <c r="AT680" s="55">
        <f>IF($AS680=1,N(AT679)+$Q680,N(AT679))</f>
        <v>1187.10688</v>
      </c>
      <c r="AU680" s="55">
        <f>MAX(N(AU679),$AT680)</f>
        <v>1187.10688</v>
      </c>
      <c r="AV680" s="55">
        <f>$AT680-$AU680</f>
        <v>0</v>
      </c>
      <c r="AW680" s="56">
        <f>IF($AS680=1,IF($S680="Win",N(AW679)+1,IF($S680="Loss",0,N(AW679))),N(AW679))</f>
        <v>5</v>
      </c>
      <c r="AX680" s="56">
        <f>IF($AS680=1,IF($S680="Loss",N(AX679)+1,IF($S680="Win",0,N(AX679))),N(AX679))</f>
        <v>0</v>
      </c>
      <c r="AY680" s="56" t="str">
        <f>IF($AS680=1,COUNTIF($AS$6:$AS680,1),"")</f>
        <v/>
      </c>
      <c r="AZ680" s="56">
        <f>MIN(674,N(Lists!$W$8))</f>
        <v>28</v>
      </c>
      <c r="BA680" s="56">
        <f>IF($AS680=1,IF(COUNTIFS($A$6:$A680,$A680,$AS$6:$AS680,1)=1,1,0),0)</f>
        <v>0</v>
      </c>
      <c r="BB680" s="55" t="str">
        <f>IF($BA680=1,SUMIFS($Q$6:$Q$1005,$A$6:$A$1005,$A680,$AS$6:$AS$1005,1),"")</f>
        <v/>
      </c>
      <c r="BC680" s="56">
        <f>IF(ISNUMBER($R680),1,0)</f>
        <v>0</v>
      </c>
      <c r="BD680" s="55" t="str">
        <f>IF(ISNUMBER($U680),$U680*$V680,"")</f>
        <v/>
      </c>
      <c r="BE680" s="56" t="str">
        <f>IF($AM680=0,"",IFERROR(MATCH($AF680&amp;"|"&amp;UPPER(TRIM($E680)),Lists!$A$6:$A$205,0),0))</f>
        <v/>
      </c>
      <c r="BF680" s="56" t="str">
        <f>IF($AM680=0,"",IFERROR(MATCH($AF680,Settings!$B$14:$B$18,0),IFERROR(MATCH(Settings!$C$6,Settings!$B$14:$B$18,0),1)))</f>
        <v/>
      </c>
      <c r="BG680" s="58" t="str">
        <f>IF($AM680=0,"",IF(NOT(ISNUMBER($I680)),"No stop; ","")&amp;IF(AND(ISNUMBER($H680),ISNUMBER($I680)),IF(OR(AND($F680&lt;&gt;"Short",$I680&gt;=$H680),AND($F680="Short",$I680&lt;=$H680)),"Stop on wrong side; ",""),"")&amp;IF($F680="","No direction; ","")&amp;IF(AND(ISNUMBER(Settings!$C$22),ISNUMBER($V680)),IF($V680&gt;Settings!$C$22,"Risk over max $; ",""),"")&amp;IF(AND(ISNUMBER(Settings!$C$23),ISNUMBER($V680),ISNUMBER($AP680),IFERROR(N(INDEX(Accounts!$E$7:$E$16,MATCH($C680,Accounts!$B$7:$B$16,0))),0)&gt;0),IF($V680&gt;Settings!$C$23*($AP680-N($Q680)),"Risk over max %; ",""),"")&amp;IF(AND(ISNUMBER(Settings!$C$24),ISNUMBER($N680)),IF($N680&gt;Settings!$C$24,"Leverage over max; ",""),"")&amp;IF(AND(ISNUMBER(Settings!$C$27),ISNUMBER($T680)),IF($T680&lt;Settings!$C$27,"R:R below min; ",""),"")&amp;IF(ISNUMBER(Settings!$C$25),IF(COUNTIFS($A$6:$A680,$A680,$AM$6:$AM680,1)&gt;Settings!$C$25,"Over max trades/day; ",""),"")&amp;IF(ISNUMBER(Settings!$C$26),IF(SUMIFS($Q$5:$Q679,$A$5:$A679,$A680)&lt;=-Settings!$C$26,"Traded after daily max loss; ",""),"")&amp;IF(AND($AG680="",NOT(ISNUMBER($O680))),"Symbol not in Instruments; ","")&amp;IF(AND($AH680="",NOT(ISNUMBER($O680))),"Forex cross: type Gross P&amp;L; ",""))</f>
        <v/>
      </c>
      <c r="BH680" s="56">
        <f>IF(ISNUMBER($Q680),1,0)</f>
        <v>0</v>
      </c>
      <c r="BI680" s="56">
        <f>IF($Y680="",0,1)</f>
        <v>0</v>
      </c>
      <c r="BJ680" s="56">
        <f>IF($AB680="",0,1)</f>
        <v>0</v>
      </c>
      <c r="BK680" s="56">
        <f>IF(AND($BH680=1,$W680&lt;&gt;"OK"),1,0)</f>
        <v>0</v>
      </c>
      <c r="BL680" s="55">
        <f>IF(N($AZ680)=0,0,IFERROR(INDEX($AT$6:$AT$1005,MATCH($AZ680,$AY$6:$AY$1005,0)),0))</f>
        <v>1187.10688</v>
      </c>
      <c r="BM680" s="56">
        <f>IF(ISNUMBER(SEARCH("daily max loss",$BG680)),1,0)</f>
        <v>0</v>
      </c>
    </row>
    <row r="681" ht="18" customHeight="1">
      <c r="A681" s="38" t="n"/>
      <c r="B681" s="39" t="n"/>
      <c r="C681" s="40" t="n"/>
      <c r="D681" s="41" t="n"/>
      <c r="E681" s="41" t="n"/>
      <c r="F681" s="41" t="n"/>
      <c r="G681" s="41" t="n"/>
      <c r="H681" s="42" t="n"/>
      <c r="I681" s="42" t="n"/>
      <c r="J681" s="42" t="n"/>
      <c r="K681" s="42" t="n"/>
      <c r="L681" s="41" t="n"/>
      <c r="M681" s="41" t="n"/>
      <c r="N681" s="41" t="n"/>
      <c r="O681" s="43" t="n"/>
      <c r="P681" s="43" t="n"/>
      <c r="Q681" s="44" t="str">
        <f>IF($AM681=0,"",IF(ISNUMBER($AK681),$AK681-N($AL681),""))</f>
        <v/>
      </c>
      <c r="R681" s="45" t="str">
        <f>IF(OR($Q681="",NOT(ISNUMBER($V681))),"",$AK681/$V681)</f>
        <v/>
      </c>
      <c r="S681" s="46" t="str">
        <f>IF($Q681="","",IF(AND(ISNUMBER($R681),ABS(N($R681))&lt;N(Settings!$C$8)),"Scratch",IF($Q681&gt;0,"Win",IF($Q681&lt;0,"Loss","Scratch"))))</f>
        <v/>
      </c>
      <c r="T681" s="47" t="str">
        <f>IF(OR($AM681=0,NOT(ISNUMBER($H681)),NOT(ISNUMBER($I681)),NOT(ISNUMBER($J681))),"",IF($H681=$I681,"",ROUND(ABS($J681-$H681)/ABS($H681-$I681),6)))</f>
        <v/>
      </c>
      <c r="U681" s="48" t="str">
        <f>IF(OR($S681&lt;&gt;"Win",NOT(ISNUMBER($T681)),NOT(ISNUMBER($R681))),"",MAX(0,$T681-$R681))</f>
        <v/>
      </c>
      <c r="V681" s="49" t="str">
        <f>IF(OR($AM681=0,NOT(ISNUMBER($H681)),NOT(ISNUMBER($I681)),NOT(ISNUMBER($G681))),"",IF(OR($AG681="",$AH681=""),"",IF(ROUND(ABS($H681-$I681)*ABS($G681)*$AG681*$AH681,6)=0,"",ROUND(ABS($H681-$I681)*ABS($G681)*$AG681*$AH681,6))))</f>
        <v/>
      </c>
      <c r="W681" s="50" t="str">
        <f>IF($AM681=0,"",IF($BG681="","OK",LEFT($BG681,LEN($BG681)-2)))</f>
        <v/>
      </c>
      <c r="X681" s="41" t="n"/>
      <c r="Y681" s="40" t="n"/>
      <c r="Z681" s="41" t="n"/>
      <c r="AA681" s="41" t="n"/>
      <c r="AB681" s="40" t="n"/>
      <c r="AC681" s="51" t="n"/>
      <c r="AD681" s="51" t="n"/>
      <c r="AE681" s="40" t="n"/>
      <c r="AF681" s="52" t="str">
        <f>IF($AM681=0,"",IF($D681&lt;&gt;"",$D681,IF(IFERROR(INDEX(Accounts!$C$7:$C$16,MATCH($C681,Accounts!$B$7:$B$16,0))&amp;"","")&lt;&gt;"",INDEX(Accounts!$C$7:$C$16,MATCH($C681,Accounts!$B$7:$B$16,0)),Settings!$C$6)))</f>
        <v/>
      </c>
      <c r="AG681" s="53" t="str">
        <f>IF($AM681=0,"",IF(AND($BE681&gt;0,N(INDEX(Instruments!$D$6:$D$205,MAX(1,$BE681)))&gt;0),INDEX(Instruments!$D$6:$D$205,MAX(1,$BE681)),IF(N(INDEX(Settings!$D$14:$D$18,$BF681))&gt;0,INDEX(Settings!$D$14:$D$18,$BF681),"")))</f>
        <v/>
      </c>
      <c r="AH681" s="54" t="str">
        <f>IF($AM681=0,"",IF($AF681&lt;&gt;"Forex",1,IF(MID(UPPER(SUBSTITUTE(TRIM($E681),"/","")),4,3)=UPPER(TRIM(Settings!$C$7)),1,IF(LEFT(UPPER(SUBSTITUTE(TRIM($E681),"/","")),3)=UPPER(TRIM(Settings!$C$7)),IF(AND(ISNUMBER($K681),N($K681)&lt;&gt;0),1/$K681,""),""))))</f>
        <v/>
      </c>
      <c r="AI681" s="55" t="str">
        <f>IF($AM681=0,"",IF(OR(NOT(ISNUMBER($H681)),NOT(ISNUMBER($K681)),NOT(ISNUMBER($G681)),$AG681="",$AH681=""),"",ROUND(($K681-$H681)*IF($F681="Short",-1,1)*$G681*$AG681*$AH681,6)))</f>
        <v/>
      </c>
      <c r="AJ681" s="55" t="str">
        <f>IF($AM681=0,"",IF(INDEX(Settings!$E$14:$E$18,$BF681)="% of notional",IF(OR($AG681="",NOT(ISNUMBER($H681)),NOT(ISNUMBER($G681))),"",ROUND(ABS($H681*$G681*$AG681*N($AH681))*IF($L681="Limit",N(INDEX(Settings!$G$14:$G$18,$BF681)),N(INDEX(Settings!$H$14:$H$18,$BF681)))+IF(ISNUMBER($K681),ABS($K681*$G681*$AG681*N($AH681))*IF($M681="Target",N(INDEX(Settings!$G$14:$G$18,$BF681)),N(INDEX(Settings!$H$14:$H$18,$BF681))),0),6)),IF(NOT(ISNUMBER($G681)),"",ROUND(ABS($G681)*2*IF(AND($BE681&gt;0,ISNUMBER(INDEX(Instruments!$G$6:$G$205,MAX(1,$BE681)))),INDEX(Instruments!$G$6:$G$205,MAX(1,$BE681)),N(INDEX(Settings!$F$14:$F$18,$BF681))),6))))</f>
        <v/>
      </c>
      <c r="AK681" s="55" t="str">
        <f>IF($AM681=0,"",IF(ISNUMBER($O681),$O681,$AI681))</f>
        <v/>
      </c>
      <c r="AL681" s="55" t="str">
        <f>IF($AM681=0,"",IF(ISNUMBER($P681),$P681,N($AJ681)))</f>
        <v/>
      </c>
      <c r="AM681" s="56">
        <f>IF(AND($A681&lt;&gt;"",$E681&lt;&gt;"",OR(AND(ISNUMBER($G681),ISNUMBER($H681),ISNUMBER($K681)),ISNUMBER($O681))),1,0)</f>
        <v>0</v>
      </c>
      <c r="AN681" s="57" t="str">
        <f>IF($A681="","",$A681-WEEKDAY($A681,3))</f>
        <v/>
      </c>
      <c r="AO681" s="56" t="str">
        <f>IF($A681="","",WEEKDAY($A681,2))</f>
        <v/>
      </c>
      <c r="AP681" s="55" t="str">
        <f>IF(OR($AM681=0,$C681=""),"",IFERROR(N(INDEX(Accounts!$E$7:$E$16,MATCH($C681,Accounts!$B$7:$B$16,0))),0)+SUMIFS($Q$6:$Q681,$C$6:$C681,$C681))</f>
        <v/>
      </c>
      <c r="AQ681" s="55" t="str">
        <f>IF(OR($AM681=0,$C681=""),"",SUMIFS($Q$6:$Q$1005,$C$6:$C$1005,$C681,$A$6:$A$1005,$A681))</f>
        <v/>
      </c>
      <c r="AR681" s="55" t="str">
        <f>IF(OR($AM681=0,$C681=""),"",IFERROR(N(INDEX(Accounts!$E$7:$E$16,MATCH($C681,Accounts!$B$7:$B$16,0))),0)+SUMIFS($Q$6:$Q$1005,$C$6:$C$1005,$C681,$A$6:$A$1005,"&lt;="&amp;$A681))</f>
        <v/>
      </c>
      <c r="AS681" s="56">
        <f>IF(OR($AM681=0,$Q681=""),0,IF(AND($A681&gt;=Lists!$W$6,$A681&lt;=Lists!$W$7,OR(Dashboard!$D$6="All accounts",$C681=Dashboard!$D$6),OR(Dashboard!$D$7="All markets",$AF681=Dashboard!$D$7)),1,0))</f>
        <v>0</v>
      </c>
      <c r="AT681" s="55">
        <f>IF($AS681=1,N(AT680)+$Q681,N(AT680))</f>
        <v>1187.10688</v>
      </c>
      <c r="AU681" s="55">
        <f>MAX(N(AU680),$AT681)</f>
        <v>1187.10688</v>
      </c>
      <c r="AV681" s="55">
        <f>$AT681-$AU681</f>
        <v>0</v>
      </c>
      <c r="AW681" s="56">
        <f>IF($AS681=1,IF($S681="Win",N(AW680)+1,IF($S681="Loss",0,N(AW680))),N(AW680))</f>
        <v>5</v>
      </c>
      <c r="AX681" s="56">
        <f>IF($AS681=1,IF($S681="Loss",N(AX680)+1,IF($S681="Win",0,N(AX680))),N(AX680))</f>
        <v>0</v>
      </c>
      <c r="AY681" s="56" t="str">
        <f>IF($AS681=1,COUNTIF($AS$6:$AS681,1),"")</f>
        <v/>
      </c>
      <c r="AZ681" s="56">
        <f>MIN(675,N(Lists!$W$8))</f>
        <v>28</v>
      </c>
      <c r="BA681" s="56">
        <f>IF($AS681=1,IF(COUNTIFS($A$6:$A681,$A681,$AS$6:$AS681,1)=1,1,0),0)</f>
        <v>0</v>
      </c>
      <c r="BB681" s="55" t="str">
        <f>IF($BA681=1,SUMIFS($Q$6:$Q$1005,$A$6:$A$1005,$A681,$AS$6:$AS$1005,1),"")</f>
        <v/>
      </c>
      <c r="BC681" s="56">
        <f>IF(ISNUMBER($R681),1,0)</f>
        <v>0</v>
      </c>
      <c r="BD681" s="55" t="str">
        <f>IF(ISNUMBER($U681),$U681*$V681,"")</f>
        <v/>
      </c>
      <c r="BE681" s="56" t="str">
        <f>IF($AM681=0,"",IFERROR(MATCH($AF681&amp;"|"&amp;UPPER(TRIM($E681)),Lists!$A$6:$A$205,0),0))</f>
        <v/>
      </c>
      <c r="BF681" s="56" t="str">
        <f>IF($AM681=0,"",IFERROR(MATCH($AF681,Settings!$B$14:$B$18,0),IFERROR(MATCH(Settings!$C$6,Settings!$B$14:$B$18,0),1)))</f>
        <v/>
      </c>
      <c r="BG681" s="58" t="str">
        <f>IF($AM681=0,"",IF(NOT(ISNUMBER($I681)),"No stop; ","")&amp;IF(AND(ISNUMBER($H681),ISNUMBER($I681)),IF(OR(AND($F681&lt;&gt;"Short",$I681&gt;=$H681),AND($F681="Short",$I681&lt;=$H681)),"Stop on wrong side; ",""),"")&amp;IF($F681="","No direction; ","")&amp;IF(AND(ISNUMBER(Settings!$C$22),ISNUMBER($V681)),IF($V681&gt;Settings!$C$22,"Risk over max $; ",""),"")&amp;IF(AND(ISNUMBER(Settings!$C$23),ISNUMBER($V681),ISNUMBER($AP681),IFERROR(N(INDEX(Accounts!$E$7:$E$16,MATCH($C681,Accounts!$B$7:$B$16,0))),0)&gt;0),IF($V681&gt;Settings!$C$23*($AP681-N($Q681)),"Risk over max %; ",""),"")&amp;IF(AND(ISNUMBER(Settings!$C$24),ISNUMBER($N681)),IF($N681&gt;Settings!$C$24,"Leverage over max; ",""),"")&amp;IF(AND(ISNUMBER(Settings!$C$27),ISNUMBER($T681)),IF($T681&lt;Settings!$C$27,"R:R below min; ",""),"")&amp;IF(ISNUMBER(Settings!$C$25),IF(COUNTIFS($A$6:$A681,$A681,$AM$6:$AM681,1)&gt;Settings!$C$25,"Over max trades/day; ",""),"")&amp;IF(ISNUMBER(Settings!$C$26),IF(SUMIFS($Q$5:$Q680,$A$5:$A680,$A681)&lt;=-Settings!$C$26,"Traded after daily max loss; ",""),"")&amp;IF(AND($AG681="",NOT(ISNUMBER($O681))),"Symbol not in Instruments; ","")&amp;IF(AND($AH681="",NOT(ISNUMBER($O681))),"Forex cross: type Gross P&amp;L; ",""))</f>
        <v/>
      </c>
      <c r="BH681" s="56">
        <f>IF(ISNUMBER($Q681),1,0)</f>
        <v>0</v>
      </c>
      <c r="BI681" s="56">
        <f>IF($Y681="",0,1)</f>
        <v>0</v>
      </c>
      <c r="BJ681" s="56">
        <f>IF($AB681="",0,1)</f>
        <v>0</v>
      </c>
      <c r="BK681" s="56">
        <f>IF(AND($BH681=1,$W681&lt;&gt;"OK"),1,0)</f>
        <v>0</v>
      </c>
      <c r="BL681" s="55">
        <f>IF(N($AZ681)=0,0,IFERROR(INDEX($AT$6:$AT$1005,MATCH($AZ681,$AY$6:$AY$1005,0)),0))</f>
        <v>1187.10688</v>
      </c>
      <c r="BM681" s="56">
        <f>IF(ISNUMBER(SEARCH("daily max loss",$BG681)),1,0)</f>
        <v>0</v>
      </c>
    </row>
    <row r="682" ht="18" customHeight="1">
      <c r="A682" s="38" t="n"/>
      <c r="B682" s="39" t="n"/>
      <c r="C682" s="40" t="n"/>
      <c r="D682" s="41" t="n"/>
      <c r="E682" s="41" t="n"/>
      <c r="F682" s="41" t="n"/>
      <c r="G682" s="41" t="n"/>
      <c r="H682" s="42" t="n"/>
      <c r="I682" s="42" t="n"/>
      <c r="J682" s="42" t="n"/>
      <c r="K682" s="42" t="n"/>
      <c r="L682" s="41" t="n"/>
      <c r="M682" s="41" t="n"/>
      <c r="N682" s="41" t="n"/>
      <c r="O682" s="43" t="n"/>
      <c r="P682" s="43" t="n"/>
      <c r="Q682" s="44" t="str">
        <f>IF($AM682=0,"",IF(ISNUMBER($AK682),$AK682-N($AL682),""))</f>
        <v/>
      </c>
      <c r="R682" s="45" t="str">
        <f>IF(OR($Q682="",NOT(ISNUMBER($V682))),"",$AK682/$V682)</f>
        <v/>
      </c>
      <c r="S682" s="46" t="str">
        <f>IF($Q682="","",IF(AND(ISNUMBER($R682),ABS(N($R682))&lt;N(Settings!$C$8)),"Scratch",IF($Q682&gt;0,"Win",IF($Q682&lt;0,"Loss","Scratch"))))</f>
        <v/>
      </c>
      <c r="T682" s="47" t="str">
        <f>IF(OR($AM682=0,NOT(ISNUMBER($H682)),NOT(ISNUMBER($I682)),NOT(ISNUMBER($J682))),"",IF($H682=$I682,"",ROUND(ABS($J682-$H682)/ABS($H682-$I682),6)))</f>
        <v/>
      </c>
      <c r="U682" s="48" t="str">
        <f>IF(OR($S682&lt;&gt;"Win",NOT(ISNUMBER($T682)),NOT(ISNUMBER($R682))),"",MAX(0,$T682-$R682))</f>
        <v/>
      </c>
      <c r="V682" s="49" t="str">
        <f>IF(OR($AM682=0,NOT(ISNUMBER($H682)),NOT(ISNUMBER($I682)),NOT(ISNUMBER($G682))),"",IF(OR($AG682="",$AH682=""),"",IF(ROUND(ABS($H682-$I682)*ABS($G682)*$AG682*$AH682,6)=0,"",ROUND(ABS($H682-$I682)*ABS($G682)*$AG682*$AH682,6))))</f>
        <v/>
      </c>
      <c r="W682" s="50" t="str">
        <f>IF($AM682=0,"",IF($BG682="","OK",LEFT($BG682,LEN($BG682)-2)))</f>
        <v/>
      </c>
      <c r="X682" s="41" t="n"/>
      <c r="Y682" s="40" t="n"/>
      <c r="Z682" s="41" t="n"/>
      <c r="AA682" s="41" t="n"/>
      <c r="AB682" s="40" t="n"/>
      <c r="AC682" s="51" t="n"/>
      <c r="AD682" s="51" t="n"/>
      <c r="AE682" s="40" t="n"/>
      <c r="AF682" s="52" t="str">
        <f>IF($AM682=0,"",IF($D682&lt;&gt;"",$D682,IF(IFERROR(INDEX(Accounts!$C$7:$C$16,MATCH($C682,Accounts!$B$7:$B$16,0))&amp;"","")&lt;&gt;"",INDEX(Accounts!$C$7:$C$16,MATCH($C682,Accounts!$B$7:$B$16,0)),Settings!$C$6)))</f>
        <v/>
      </c>
      <c r="AG682" s="53" t="str">
        <f>IF($AM682=0,"",IF(AND($BE682&gt;0,N(INDEX(Instruments!$D$6:$D$205,MAX(1,$BE682)))&gt;0),INDEX(Instruments!$D$6:$D$205,MAX(1,$BE682)),IF(N(INDEX(Settings!$D$14:$D$18,$BF682))&gt;0,INDEX(Settings!$D$14:$D$18,$BF682),"")))</f>
        <v/>
      </c>
      <c r="AH682" s="54" t="str">
        <f>IF($AM682=0,"",IF($AF682&lt;&gt;"Forex",1,IF(MID(UPPER(SUBSTITUTE(TRIM($E682),"/","")),4,3)=UPPER(TRIM(Settings!$C$7)),1,IF(LEFT(UPPER(SUBSTITUTE(TRIM($E682),"/","")),3)=UPPER(TRIM(Settings!$C$7)),IF(AND(ISNUMBER($K682),N($K682)&lt;&gt;0),1/$K682,""),""))))</f>
        <v/>
      </c>
      <c r="AI682" s="55" t="str">
        <f>IF($AM682=0,"",IF(OR(NOT(ISNUMBER($H682)),NOT(ISNUMBER($K682)),NOT(ISNUMBER($G682)),$AG682="",$AH682=""),"",ROUND(($K682-$H682)*IF($F682="Short",-1,1)*$G682*$AG682*$AH682,6)))</f>
        <v/>
      </c>
      <c r="AJ682" s="55" t="str">
        <f>IF($AM682=0,"",IF(INDEX(Settings!$E$14:$E$18,$BF682)="% of notional",IF(OR($AG682="",NOT(ISNUMBER($H682)),NOT(ISNUMBER($G682))),"",ROUND(ABS($H682*$G682*$AG682*N($AH682))*IF($L682="Limit",N(INDEX(Settings!$G$14:$G$18,$BF682)),N(INDEX(Settings!$H$14:$H$18,$BF682)))+IF(ISNUMBER($K682),ABS($K682*$G682*$AG682*N($AH682))*IF($M682="Target",N(INDEX(Settings!$G$14:$G$18,$BF682)),N(INDEX(Settings!$H$14:$H$18,$BF682))),0),6)),IF(NOT(ISNUMBER($G682)),"",ROUND(ABS($G682)*2*IF(AND($BE682&gt;0,ISNUMBER(INDEX(Instruments!$G$6:$G$205,MAX(1,$BE682)))),INDEX(Instruments!$G$6:$G$205,MAX(1,$BE682)),N(INDEX(Settings!$F$14:$F$18,$BF682))),6))))</f>
        <v/>
      </c>
      <c r="AK682" s="55" t="str">
        <f>IF($AM682=0,"",IF(ISNUMBER($O682),$O682,$AI682))</f>
        <v/>
      </c>
      <c r="AL682" s="55" t="str">
        <f>IF($AM682=0,"",IF(ISNUMBER($P682),$P682,N($AJ682)))</f>
        <v/>
      </c>
      <c r="AM682" s="56">
        <f>IF(AND($A682&lt;&gt;"",$E682&lt;&gt;"",OR(AND(ISNUMBER($G682),ISNUMBER($H682),ISNUMBER($K682)),ISNUMBER($O682))),1,0)</f>
        <v>0</v>
      </c>
      <c r="AN682" s="57" t="str">
        <f>IF($A682="","",$A682-WEEKDAY($A682,3))</f>
        <v/>
      </c>
      <c r="AO682" s="56" t="str">
        <f>IF($A682="","",WEEKDAY($A682,2))</f>
        <v/>
      </c>
      <c r="AP682" s="55" t="str">
        <f>IF(OR($AM682=0,$C682=""),"",IFERROR(N(INDEX(Accounts!$E$7:$E$16,MATCH($C682,Accounts!$B$7:$B$16,0))),0)+SUMIFS($Q$6:$Q682,$C$6:$C682,$C682))</f>
        <v/>
      </c>
      <c r="AQ682" s="55" t="str">
        <f>IF(OR($AM682=0,$C682=""),"",SUMIFS($Q$6:$Q$1005,$C$6:$C$1005,$C682,$A$6:$A$1005,$A682))</f>
        <v/>
      </c>
      <c r="AR682" s="55" t="str">
        <f>IF(OR($AM682=0,$C682=""),"",IFERROR(N(INDEX(Accounts!$E$7:$E$16,MATCH($C682,Accounts!$B$7:$B$16,0))),0)+SUMIFS($Q$6:$Q$1005,$C$6:$C$1005,$C682,$A$6:$A$1005,"&lt;="&amp;$A682))</f>
        <v/>
      </c>
      <c r="AS682" s="56">
        <f>IF(OR($AM682=0,$Q682=""),0,IF(AND($A682&gt;=Lists!$W$6,$A682&lt;=Lists!$W$7,OR(Dashboard!$D$6="All accounts",$C682=Dashboard!$D$6),OR(Dashboard!$D$7="All markets",$AF682=Dashboard!$D$7)),1,0))</f>
        <v>0</v>
      </c>
      <c r="AT682" s="55">
        <f>IF($AS682=1,N(AT681)+$Q682,N(AT681))</f>
        <v>1187.10688</v>
      </c>
      <c r="AU682" s="55">
        <f>MAX(N(AU681),$AT682)</f>
        <v>1187.10688</v>
      </c>
      <c r="AV682" s="55">
        <f>$AT682-$AU682</f>
        <v>0</v>
      </c>
      <c r="AW682" s="56">
        <f>IF($AS682=1,IF($S682="Win",N(AW681)+1,IF($S682="Loss",0,N(AW681))),N(AW681))</f>
        <v>5</v>
      </c>
      <c r="AX682" s="56">
        <f>IF($AS682=1,IF($S682="Loss",N(AX681)+1,IF($S682="Win",0,N(AX681))),N(AX681))</f>
        <v>0</v>
      </c>
      <c r="AY682" s="56" t="str">
        <f>IF($AS682=1,COUNTIF($AS$6:$AS682,1),"")</f>
        <v/>
      </c>
      <c r="AZ682" s="56">
        <f>MIN(676,N(Lists!$W$8))</f>
        <v>28</v>
      </c>
      <c r="BA682" s="56">
        <f>IF($AS682=1,IF(COUNTIFS($A$6:$A682,$A682,$AS$6:$AS682,1)=1,1,0),0)</f>
        <v>0</v>
      </c>
      <c r="BB682" s="55" t="str">
        <f>IF($BA682=1,SUMIFS($Q$6:$Q$1005,$A$6:$A$1005,$A682,$AS$6:$AS$1005,1),"")</f>
        <v/>
      </c>
      <c r="BC682" s="56">
        <f>IF(ISNUMBER($R682),1,0)</f>
        <v>0</v>
      </c>
      <c r="BD682" s="55" t="str">
        <f>IF(ISNUMBER($U682),$U682*$V682,"")</f>
        <v/>
      </c>
      <c r="BE682" s="56" t="str">
        <f>IF($AM682=0,"",IFERROR(MATCH($AF682&amp;"|"&amp;UPPER(TRIM($E682)),Lists!$A$6:$A$205,0),0))</f>
        <v/>
      </c>
      <c r="BF682" s="56" t="str">
        <f>IF($AM682=0,"",IFERROR(MATCH($AF682,Settings!$B$14:$B$18,0),IFERROR(MATCH(Settings!$C$6,Settings!$B$14:$B$18,0),1)))</f>
        <v/>
      </c>
      <c r="BG682" s="58" t="str">
        <f>IF($AM682=0,"",IF(NOT(ISNUMBER($I682)),"No stop; ","")&amp;IF(AND(ISNUMBER($H682),ISNUMBER($I682)),IF(OR(AND($F682&lt;&gt;"Short",$I682&gt;=$H682),AND($F682="Short",$I682&lt;=$H682)),"Stop on wrong side; ",""),"")&amp;IF($F682="","No direction; ","")&amp;IF(AND(ISNUMBER(Settings!$C$22),ISNUMBER($V682)),IF($V682&gt;Settings!$C$22,"Risk over max $; ",""),"")&amp;IF(AND(ISNUMBER(Settings!$C$23),ISNUMBER($V682),ISNUMBER($AP682),IFERROR(N(INDEX(Accounts!$E$7:$E$16,MATCH($C682,Accounts!$B$7:$B$16,0))),0)&gt;0),IF($V682&gt;Settings!$C$23*($AP682-N($Q682)),"Risk over max %; ",""),"")&amp;IF(AND(ISNUMBER(Settings!$C$24),ISNUMBER($N682)),IF($N682&gt;Settings!$C$24,"Leverage over max; ",""),"")&amp;IF(AND(ISNUMBER(Settings!$C$27),ISNUMBER($T682)),IF($T682&lt;Settings!$C$27,"R:R below min; ",""),"")&amp;IF(ISNUMBER(Settings!$C$25),IF(COUNTIFS($A$6:$A682,$A682,$AM$6:$AM682,1)&gt;Settings!$C$25,"Over max trades/day; ",""),"")&amp;IF(ISNUMBER(Settings!$C$26),IF(SUMIFS($Q$5:$Q681,$A$5:$A681,$A682)&lt;=-Settings!$C$26,"Traded after daily max loss; ",""),"")&amp;IF(AND($AG682="",NOT(ISNUMBER($O682))),"Symbol not in Instruments; ","")&amp;IF(AND($AH682="",NOT(ISNUMBER($O682))),"Forex cross: type Gross P&amp;L; ",""))</f>
        <v/>
      </c>
      <c r="BH682" s="56">
        <f>IF(ISNUMBER($Q682),1,0)</f>
        <v>0</v>
      </c>
      <c r="BI682" s="56">
        <f>IF($Y682="",0,1)</f>
        <v>0</v>
      </c>
      <c r="BJ682" s="56">
        <f>IF($AB682="",0,1)</f>
        <v>0</v>
      </c>
      <c r="BK682" s="56">
        <f>IF(AND($BH682=1,$W682&lt;&gt;"OK"),1,0)</f>
        <v>0</v>
      </c>
      <c r="BL682" s="55">
        <f>IF(N($AZ682)=0,0,IFERROR(INDEX($AT$6:$AT$1005,MATCH($AZ682,$AY$6:$AY$1005,0)),0))</f>
        <v>1187.10688</v>
      </c>
      <c r="BM682" s="56">
        <f>IF(ISNUMBER(SEARCH("daily max loss",$BG682)),1,0)</f>
        <v>0</v>
      </c>
    </row>
    <row r="683" ht="18" customHeight="1">
      <c r="A683" s="38" t="n"/>
      <c r="B683" s="39" t="n"/>
      <c r="C683" s="40" t="n"/>
      <c r="D683" s="41" t="n"/>
      <c r="E683" s="41" t="n"/>
      <c r="F683" s="41" t="n"/>
      <c r="G683" s="41" t="n"/>
      <c r="H683" s="42" t="n"/>
      <c r="I683" s="42" t="n"/>
      <c r="J683" s="42" t="n"/>
      <c r="K683" s="42" t="n"/>
      <c r="L683" s="41" t="n"/>
      <c r="M683" s="41" t="n"/>
      <c r="N683" s="41" t="n"/>
      <c r="O683" s="43" t="n"/>
      <c r="P683" s="43" t="n"/>
      <c r="Q683" s="44" t="str">
        <f>IF($AM683=0,"",IF(ISNUMBER($AK683),$AK683-N($AL683),""))</f>
        <v/>
      </c>
      <c r="R683" s="45" t="str">
        <f>IF(OR($Q683="",NOT(ISNUMBER($V683))),"",$AK683/$V683)</f>
        <v/>
      </c>
      <c r="S683" s="46" t="str">
        <f>IF($Q683="","",IF(AND(ISNUMBER($R683),ABS(N($R683))&lt;N(Settings!$C$8)),"Scratch",IF($Q683&gt;0,"Win",IF($Q683&lt;0,"Loss","Scratch"))))</f>
        <v/>
      </c>
      <c r="T683" s="47" t="str">
        <f>IF(OR($AM683=0,NOT(ISNUMBER($H683)),NOT(ISNUMBER($I683)),NOT(ISNUMBER($J683))),"",IF($H683=$I683,"",ROUND(ABS($J683-$H683)/ABS($H683-$I683),6)))</f>
        <v/>
      </c>
      <c r="U683" s="48" t="str">
        <f>IF(OR($S683&lt;&gt;"Win",NOT(ISNUMBER($T683)),NOT(ISNUMBER($R683))),"",MAX(0,$T683-$R683))</f>
        <v/>
      </c>
      <c r="V683" s="49" t="str">
        <f>IF(OR($AM683=0,NOT(ISNUMBER($H683)),NOT(ISNUMBER($I683)),NOT(ISNUMBER($G683))),"",IF(OR($AG683="",$AH683=""),"",IF(ROUND(ABS($H683-$I683)*ABS($G683)*$AG683*$AH683,6)=0,"",ROUND(ABS($H683-$I683)*ABS($G683)*$AG683*$AH683,6))))</f>
        <v/>
      </c>
      <c r="W683" s="50" t="str">
        <f>IF($AM683=0,"",IF($BG683="","OK",LEFT($BG683,LEN($BG683)-2)))</f>
        <v/>
      </c>
      <c r="X683" s="41" t="n"/>
      <c r="Y683" s="40" t="n"/>
      <c r="Z683" s="41" t="n"/>
      <c r="AA683" s="41" t="n"/>
      <c r="AB683" s="40" t="n"/>
      <c r="AC683" s="51" t="n"/>
      <c r="AD683" s="51" t="n"/>
      <c r="AE683" s="40" t="n"/>
      <c r="AF683" s="52" t="str">
        <f>IF($AM683=0,"",IF($D683&lt;&gt;"",$D683,IF(IFERROR(INDEX(Accounts!$C$7:$C$16,MATCH($C683,Accounts!$B$7:$B$16,0))&amp;"","")&lt;&gt;"",INDEX(Accounts!$C$7:$C$16,MATCH($C683,Accounts!$B$7:$B$16,0)),Settings!$C$6)))</f>
        <v/>
      </c>
      <c r="AG683" s="53" t="str">
        <f>IF($AM683=0,"",IF(AND($BE683&gt;0,N(INDEX(Instruments!$D$6:$D$205,MAX(1,$BE683)))&gt;0),INDEX(Instruments!$D$6:$D$205,MAX(1,$BE683)),IF(N(INDEX(Settings!$D$14:$D$18,$BF683))&gt;0,INDEX(Settings!$D$14:$D$18,$BF683),"")))</f>
        <v/>
      </c>
      <c r="AH683" s="54" t="str">
        <f>IF($AM683=0,"",IF($AF683&lt;&gt;"Forex",1,IF(MID(UPPER(SUBSTITUTE(TRIM($E683),"/","")),4,3)=UPPER(TRIM(Settings!$C$7)),1,IF(LEFT(UPPER(SUBSTITUTE(TRIM($E683),"/","")),3)=UPPER(TRIM(Settings!$C$7)),IF(AND(ISNUMBER($K683),N($K683)&lt;&gt;0),1/$K683,""),""))))</f>
        <v/>
      </c>
      <c r="AI683" s="55" t="str">
        <f>IF($AM683=0,"",IF(OR(NOT(ISNUMBER($H683)),NOT(ISNUMBER($K683)),NOT(ISNUMBER($G683)),$AG683="",$AH683=""),"",ROUND(($K683-$H683)*IF($F683="Short",-1,1)*$G683*$AG683*$AH683,6)))</f>
        <v/>
      </c>
      <c r="AJ683" s="55" t="str">
        <f>IF($AM683=0,"",IF(INDEX(Settings!$E$14:$E$18,$BF683)="% of notional",IF(OR($AG683="",NOT(ISNUMBER($H683)),NOT(ISNUMBER($G683))),"",ROUND(ABS($H683*$G683*$AG683*N($AH683))*IF($L683="Limit",N(INDEX(Settings!$G$14:$G$18,$BF683)),N(INDEX(Settings!$H$14:$H$18,$BF683)))+IF(ISNUMBER($K683),ABS($K683*$G683*$AG683*N($AH683))*IF($M683="Target",N(INDEX(Settings!$G$14:$G$18,$BF683)),N(INDEX(Settings!$H$14:$H$18,$BF683))),0),6)),IF(NOT(ISNUMBER($G683)),"",ROUND(ABS($G683)*2*IF(AND($BE683&gt;0,ISNUMBER(INDEX(Instruments!$G$6:$G$205,MAX(1,$BE683)))),INDEX(Instruments!$G$6:$G$205,MAX(1,$BE683)),N(INDEX(Settings!$F$14:$F$18,$BF683))),6))))</f>
        <v/>
      </c>
      <c r="AK683" s="55" t="str">
        <f>IF($AM683=0,"",IF(ISNUMBER($O683),$O683,$AI683))</f>
        <v/>
      </c>
      <c r="AL683" s="55" t="str">
        <f>IF($AM683=0,"",IF(ISNUMBER($P683),$P683,N($AJ683)))</f>
        <v/>
      </c>
      <c r="AM683" s="56">
        <f>IF(AND($A683&lt;&gt;"",$E683&lt;&gt;"",OR(AND(ISNUMBER($G683),ISNUMBER($H683),ISNUMBER($K683)),ISNUMBER($O683))),1,0)</f>
        <v>0</v>
      </c>
      <c r="AN683" s="57" t="str">
        <f>IF($A683="","",$A683-WEEKDAY($A683,3))</f>
        <v/>
      </c>
      <c r="AO683" s="56" t="str">
        <f>IF($A683="","",WEEKDAY($A683,2))</f>
        <v/>
      </c>
      <c r="AP683" s="55" t="str">
        <f>IF(OR($AM683=0,$C683=""),"",IFERROR(N(INDEX(Accounts!$E$7:$E$16,MATCH($C683,Accounts!$B$7:$B$16,0))),0)+SUMIFS($Q$6:$Q683,$C$6:$C683,$C683))</f>
        <v/>
      </c>
      <c r="AQ683" s="55" t="str">
        <f>IF(OR($AM683=0,$C683=""),"",SUMIFS($Q$6:$Q$1005,$C$6:$C$1005,$C683,$A$6:$A$1005,$A683))</f>
        <v/>
      </c>
      <c r="AR683" s="55" t="str">
        <f>IF(OR($AM683=0,$C683=""),"",IFERROR(N(INDEX(Accounts!$E$7:$E$16,MATCH($C683,Accounts!$B$7:$B$16,0))),0)+SUMIFS($Q$6:$Q$1005,$C$6:$C$1005,$C683,$A$6:$A$1005,"&lt;="&amp;$A683))</f>
        <v/>
      </c>
      <c r="AS683" s="56">
        <f>IF(OR($AM683=0,$Q683=""),0,IF(AND($A683&gt;=Lists!$W$6,$A683&lt;=Lists!$W$7,OR(Dashboard!$D$6="All accounts",$C683=Dashboard!$D$6),OR(Dashboard!$D$7="All markets",$AF683=Dashboard!$D$7)),1,0))</f>
        <v>0</v>
      </c>
      <c r="AT683" s="55">
        <f>IF($AS683=1,N(AT682)+$Q683,N(AT682))</f>
        <v>1187.10688</v>
      </c>
      <c r="AU683" s="55">
        <f>MAX(N(AU682),$AT683)</f>
        <v>1187.10688</v>
      </c>
      <c r="AV683" s="55">
        <f>$AT683-$AU683</f>
        <v>0</v>
      </c>
      <c r="AW683" s="56">
        <f>IF($AS683=1,IF($S683="Win",N(AW682)+1,IF($S683="Loss",0,N(AW682))),N(AW682))</f>
        <v>5</v>
      </c>
      <c r="AX683" s="56">
        <f>IF($AS683=1,IF($S683="Loss",N(AX682)+1,IF($S683="Win",0,N(AX682))),N(AX682))</f>
        <v>0</v>
      </c>
      <c r="AY683" s="56" t="str">
        <f>IF($AS683=1,COUNTIF($AS$6:$AS683,1),"")</f>
        <v/>
      </c>
      <c r="AZ683" s="56">
        <f>MIN(677,N(Lists!$W$8))</f>
        <v>28</v>
      </c>
      <c r="BA683" s="56">
        <f>IF($AS683=1,IF(COUNTIFS($A$6:$A683,$A683,$AS$6:$AS683,1)=1,1,0),0)</f>
        <v>0</v>
      </c>
      <c r="BB683" s="55" t="str">
        <f>IF($BA683=1,SUMIFS($Q$6:$Q$1005,$A$6:$A$1005,$A683,$AS$6:$AS$1005,1),"")</f>
        <v/>
      </c>
      <c r="BC683" s="56">
        <f>IF(ISNUMBER($R683),1,0)</f>
        <v>0</v>
      </c>
      <c r="BD683" s="55" t="str">
        <f>IF(ISNUMBER($U683),$U683*$V683,"")</f>
        <v/>
      </c>
      <c r="BE683" s="56" t="str">
        <f>IF($AM683=0,"",IFERROR(MATCH($AF683&amp;"|"&amp;UPPER(TRIM($E683)),Lists!$A$6:$A$205,0),0))</f>
        <v/>
      </c>
      <c r="BF683" s="56" t="str">
        <f>IF($AM683=0,"",IFERROR(MATCH($AF683,Settings!$B$14:$B$18,0),IFERROR(MATCH(Settings!$C$6,Settings!$B$14:$B$18,0),1)))</f>
        <v/>
      </c>
      <c r="BG683" s="58" t="str">
        <f>IF($AM683=0,"",IF(NOT(ISNUMBER($I683)),"No stop; ","")&amp;IF(AND(ISNUMBER($H683),ISNUMBER($I683)),IF(OR(AND($F683&lt;&gt;"Short",$I683&gt;=$H683),AND($F683="Short",$I683&lt;=$H683)),"Stop on wrong side; ",""),"")&amp;IF($F683="","No direction; ","")&amp;IF(AND(ISNUMBER(Settings!$C$22),ISNUMBER($V683)),IF($V683&gt;Settings!$C$22,"Risk over max $; ",""),"")&amp;IF(AND(ISNUMBER(Settings!$C$23),ISNUMBER($V683),ISNUMBER($AP683),IFERROR(N(INDEX(Accounts!$E$7:$E$16,MATCH($C683,Accounts!$B$7:$B$16,0))),0)&gt;0),IF($V683&gt;Settings!$C$23*($AP683-N($Q683)),"Risk over max %; ",""),"")&amp;IF(AND(ISNUMBER(Settings!$C$24),ISNUMBER($N683)),IF($N683&gt;Settings!$C$24,"Leverage over max; ",""),"")&amp;IF(AND(ISNUMBER(Settings!$C$27),ISNUMBER($T683)),IF($T683&lt;Settings!$C$27,"R:R below min; ",""),"")&amp;IF(ISNUMBER(Settings!$C$25),IF(COUNTIFS($A$6:$A683,$A683,$AM$6:$AM683,1)&gt;Settings!$C$25,"Over max trades/day; ",""),"")&amp;IF(ISNUMBER(Settings!$C$26),IF(SUMIFS($Q$5:$Q682,$A$5:$A682,$A683)&lt;=-Settings!$C$26,"Traded after daily max loss; ",""),"")&amp;IF(AND($AG683="",NOT(ISNUMBER($O683))),"Symbol not in Instruments; ","")&amp;IF(AND($AH683="",NOT(ISNUMBER($O683))),"Forex cross: type Gross P&amp;L; ",""))</f>
        <v/>
      </c>
      <c r="BH683" s="56">
        <f>IF(ISNUMBER($Q683),1,0)</f>
        <v>0</v>
      </c>
      <c r="BI683" s="56">
        <f>IF($Y683="",0,1)</f>
        <v>0</v>
      </c>
      <c r="BJ683" s="56">
        <f>IF($AB683="",0,1)</f>
        <v>0</v>
      </c>
      <c r="BK683" s="56">
        <f>IF(AND($BH683=1,$W683&lt;&gt;"OK"),1,0)</f>
        <v>0</v>
      </c>
      <c r="BL683" s="55">
        <f>IF(N($AZ683)=0,0,IFERROR(INDEX($AT$6:$AT$1005,MATCH($AZ683,$AY$6:$AY$1005,0)),0))</f>
        <v>1187.10688</v>
      </c>
      <c r="BM683" s="56">
        <f>IF(ISNUMBER(SEARCH("daily max loss",$BG683)),1,0)</f>
        <v>0</v>
      </c>
    </row>
    <row r="684" ht="18" customHeight="1">
      <c r="A684" s="38" t="n"/>
      <c r="B684" s="39" t="n"/>
      <c r="C684" s="40" t="n"/>
      <c r="D684" s="41" t="n"/>
      <c r="E684" s="41" t="n"/>
      <c r="F684" s="41" t="n"/>
      <c r="G684" s="41" t="n"/>
      <c r="H684" s="42" t="n"/>
      <c r="I684" s="42" t="n"/>
      <c r="J684" s="42" t="n"/>
      <c r="K684" s="42" t="n"/>
      <c r="L684" s="41" t="n"/>
      <c r="M684" s="41" t="n"/>
      <c r="N684" s="41" t="n"/>
      <c r="O684" s="43" t="n"/>
      <c r="P684" s="43" t="n"/>
      <c r="Q684" s="44" t="str">
        <f>IF($AM684=0,"",IF(ISNUMBER($AK684),$AK684-N($AL684),""))</f>
        <v/>
      </c>
      <c r="R684" s="45" t="str">
        <f>IF(OR($Q684="",NOT(ISNUMBER($V684))),"",$AK684/$V684)</f>
        <v/>
      </c>
      <c r="S684" s="46" t="str">
        <f>IF($Q684="","",IF(AND(ISNUMBER($R684),ABS(N($R684))&lt;N(Settings!$C$8)),"Scratch",IF($Q684&gt;0,"Win",IF($Q684&lt;0,"Loss","Scratch"))))</f>
        <v/>
      </c>
      <c r="T684" s="47" t="str">
        <f>IF(OR($AM684=0,NOT(ISNUMBER($H684)),NOT(ISNUMBER($I684)),NOT(ISNUMBER($J684))),"",IF($H684=$I684,"",ROUND(ABS($J684-$H684)/ABS($H684-$I684),6)))</f>
        <v/>
      </c>
      <c r="U684" s="48" t="str">
        <f>IF(OR($S684&lt;&gt;"Win",NOT(ISNUMBER($T684)),NOT(ISNUMBER($R684))),"",MAX(0,$T684-$R684))</f>
        <v/>
      </c>
      <c r="V684" s="49" t="str">
        <f>IF(OR($AM684=0,NOT(ISNUMBER($H684)),NOT(ISNUMBER($I684)),NOT(ISNUMBER($G684))),"",IF(OR($AG684="",$AH684=""),"",IF(ROUND(ABS($H684-$I684)*ABS($G684)*$AG684*$AH684,6)=0,"",ROUND(ABS($H684-$I684)*ABS($G684)*$AG684*$AH684,6))))</f>
        <v/>
      </c>
      <c r="W684" s="50" t="str">
        <f>IF($AM684=0,"",IF($BG684="","OK",LEFT($BG684,LEN($BG684)-2)))</f>
        <v/>
      </c>
      <c r="X684" s="41" t="n"/>
      <c r="Y684" s="40" t="n"/>
      <c r="Z684" s="41" t="n"/>
      <c r="AA684" s="41" t="n"/>
      <c r="AB684" s="40" t="n"/>
      <c r="AC684" s="51" t="n"/>
      <c r="AD684" s="51" t="n"/>
      <c r="AE684" s="40" t="n"/>
      <c r="AF684" s="52" t="str">
        <f>IF($AM684=0,"",IF($D684&lt;&gt;"",$D684,IF(IFERROR(INDEX(Accounts!$C$7:$C$16,MATCH($C684,Accounts!$B$7:$B$16,0))&amp;"","")&lt;&gt;"",INDEX(Accounts!$C$7:$C$16,MATCH($C684,Accounts!$B$7:$B$16,0)),Settings!$C$6)))</f>
        <v/>
      </c>
      <c r="AG684" s="53" t="str">
        <f>IF($AM684=0,"",IF(AND($BE684&gt;0,N(INDEX(Instruments!$D$6:$D$205,MAX(1,$BE684)))&gt;0),INDEX(Instruments!$D$6:$D$205,MAX(1,$BE684)),IF(N(INDEX(Settings!$D$14:$D$18,$BF684))&gt;0,INDEX(Settings!$D$14:$D$18,$BF684),"")))</f>
        <v/>
      </c>
      <c r="AH684" s="54" t="str">
        <f>IF($AM684=0,"",IF($AF684&lt;&gt;"Forex",1,IF(MID(UPPER(SUBSTITUTE(TRIM($E684),"/","")),4,3)=UPPER(TRIM(Settings!$C$7)),1,IF(LEFT(UPPER(SUBSTITUTE(TRIM($E684),"/","")),3)=UPPER(TRIM(Settings!$C$7)),IF(AND(ISNUMBER($K684),N($K684)&lt;&gt;0),1/$K684,""),""))))</f>
        <v/>
      </c>
      <c r="AI684" s="55" t="str">
        <f>IF($AM684=0,"",IF(OR(NOT(ISNUMBER($H684)),NOT(ISNUMBER($K684)),NOT(ISNUMBER($G684)),$AG684="",$AH684=""),"",ROUND(($K684-$H684)*IF($F684="Short",-1,1)*$G684*$AG684*$AH684,6)))</f>
        <v/>
      </c>
      <c r="AJ684" s="55" t="str">
        <f>IF($AM684=0,"",IF(INDEX(Settings!$E$14:$E$18,$BF684)="% of notional",IF(OR($AG684="",NOT(ISNUMBER($H684)),NOT(ISNUMBER($G684))),"",ROUND(ABS($H684*$G684*$AG684*N($AH684))*IF($L684="Limit",N(INDEX(Settings!$G$14:$G$18,$BF684)),N(INDEX(Settings!$H$14:$H$18,$BF684)))+IF(ISNUMBER($K684),ABS($K684*$G684*$AG684*N($AH684))*IF($M684="Target",N(INDEX(Settings!$G$14:$G$18,$BF684)),N(INDEX(Settings!$H$14:$H$18,$BF684))),0),6)),IF(NOT(ISNUMBER($G684)),"",ROUND(ABS($G684)*2*IF(AND($BE684&gt;0,ISNUMBER(INDEX(Instruments!$G$6:$G$205,MAX(1,$BE684)))),INDEX(Instruments!$G$6:$G$205,MAX(1,$BE684)),N(INDEX(Settings!$F$14:$F$18,$BF684))),6))))</f>
        <v/>
      </c>
      <c r="AK684" s="55" t="str">
        <f>IF($AM684=0,"",IF(ISNUMBER($O684),$O684,$AI684))</f>
        <v/>
      </c>
      <c r="AL684" s="55" t="str">
        <f>IF($AM684=0,"",IF(ISNUMBER($P684),$P684,N($AJ684)))</f>
        <v/>
      </c>
      <c r="AM684" s="56">
        <f>IF(AND($A684&lt;&gt;"",$E684&lt;&gt;"",OR(AND(ISNUMBER($G684),ISNUMBER($H684),ISNUMBER($K684)),ISNUMBER($O684))),1,0)</f>
        <v>0</v>
      </c>
      <c r="AN684" s="57" t="str">
        <f>IF($A684="","",$A684-WEEKDAY($A684,3))</f>
        <v/>
      </c>
      <c r="AO684" s="56" t="str">
        <f>IF($A684="","",WEEKDAY($A684,2))</f>
        <v/>
      </c>
      <c r="AP684" s="55" t="str">
        <f>IF(OR($AM684=0,$C684=""),"",IFERROR(N(INDEX(Accounts!$E$7:$E$16,MATCH($C684,Accounts!$B$7:$B$16,0))),0)+SUMIFS($Q$6:$Q684,$C$6:$C684,$C684))</f>
        <v/>
      </c>
      <c r="AQ684" s="55" t="str">
        <f>IF(OR($AM684=0,$C684=""),"",SUMIFS($Q$6:$Q$1005,$C$6:$C$1005,$C684,$A$6:$A$1005,$A684))</f>
        <v/>
      </c>
      <c r="AR684" s="55" t="str">
        <f>IF(OR($AM684=0,$C684=""),"",IFERROR(N(INDEX(Accounts!$E$7:$E$16,MATCH($C684,Accounts!$B$7:$B$16,0))),0)+SUMIFS($Q$6:$Q$1005,$C$6:$C$1005,$C684,$A$6:$A$1005,"&lt;="&amp;$A684))</f>
        <v/>
      </c>
      <c r="AS684" s="56">
        <f>IF(OR($AM684=0,$Q684=""),0,IF(AND($A684&gt;=Lists!$W$6,$A684&lt;=Lists!$W$7,OR(Dashboard!$D$6="All accounts",$C684=Dashboard!$D$6),OR(Dashboard!$D$7="All markets",$AF684=Dashboard!$D$7)),1,0))</f>
        <v>0</v>
      </c>
      <c r="AT684" s="55">
        <f>IF($AS684=1,N(AT683)+$Q684,N(AT683))</f>
        <v>1187.10688</v>
      </c>
      <c r="AU684" s="55">
        <f>MAX(N(AU683),$AT684)</f>
        <v>1187.10688</v>
      </c>
      <c r="AV684" s="55">
        <f>$AT684-$AU684</f>
        <v>0</v>
      </c>
      <c r="AW684" s="56">
        <f>IF($AS684=1,IF($S684="Win",N(AW683)+1,IF($S684="Loss",0,N(AW683))),N(AW683))</f>
        <v>5</v>
      </c>
      <c r="AX684" s="56">
        <f>IF($AS684=1,IF($S684="Loss",N(AX683)+1,IF($S684="Win",0,N(AX683))),N(AX683))</f>
        <v>0</v>
      </c>
      <c r="AY684" s="56" t="str">
        <f>IF($AS684=1,COUNTIF($AS$6:$AS684,1),"")</f>
        <v/>
      </c>
      <c r="AZ684" s="56">
        <f>MIN(678,N(Lists!$W$8))</f>
        <v>28</v>
      </c>
      <c r="BA684" s="56">
        <f>IF($AS684=1,IF(COUNTIFS($A$6:$A684,$A684,$AS$6:$AS684,1)=1,1,0),0)</f>
        <v>0</v>
      </c>
      <c r="BB684" s="55" t="str">
        <f>IF($BA684=1,SUMIFS($Q$6:$Q$1005,$A$6:$A$1005,$A684,$AS$6:$AS$1005,1),"")</f>
        <v/>
      </c>
      <c r="BC684" s="56">
        <f>IF(ISNUMBER($R684),1,0)</f>
        <v>0</v>
      </c>
      <c r="BD684" s="55" t="str">
        <f>IF(ISNUMBER($U684),$U684*$V684,"")</f>
        <v/>
      </c>
      <c r="BE684" s="56" t="str">
        <f>IF($AM684=0,"",IFERROR(MATCH($AF684&amp;"|"&amp;UPPER(TRIM($E684)),Lists!$A$6:$A$205,0),0))</f>
        <v/>
      </c>
      <c r="BF684" s="56" t="str">
        <f>IF($AM684=0,"",IFERROR(MATCH($AF684,Settings!$B$14:$B$18,0),IFERROR(MATCH(Settings!$C$6,Settings!$B$14:$B$18,0),1)))</f>
        <v/>
      </c>
      <c r="BG684" s="58" t="str">
        <f>IF($AM684=0,"",IF(NOT(ISNUMBER($I684)),"No stop; ","")&amp;IF(AND(ISNUMBER($H684),ISNUMBER($I684)),IF(OR(AND($F684&lt;&gt;"Short",$I684&gt;=$H684),AND($F684="Short",$I684&lt;=$H684)),"Stop on wrong side; ",""),"")&amp;IF($F684="","No direction; ","")&amp;IF(AND(ISNUMBER(Settings!$C$22),ISNUMBER($V684)),IF($V684&gt;Settings!$C$22,"Risk over max $; ",""),"")&amp;IF(AND(ISNUMBER(Settings!$C$23),ISNUMBER($V684),ISNUMBER($AP684),IFERROR(N(INDEX(Accounts!$E$7:$E$16,MATCH($C684,Accounts!$B$7:$B$16,0))),0)&gt;0),IF($V684&gt;Settings!$C$23*($AP684-N($Q684)),"Risk over max %; ",""),"")&amp;IF(AND(ISNUMBER(Settings!$C$24),ISNUMBER($N684)),IF($N684&gt;Settings!$C$24,"Leverage over max; ",""),"")&amp;IF(AND(ISNUMBER(Settings!$C$27),ISNUMBER($T684)),IF($T684&lt;Settings!$C$27,"R:R below min; ",""),"")&amp;IF(ISNUMBER(Settings!$C$25),IF(COUNTIFS($A$6:$A684,$A684,$AM$6:$AM684,1)&gt;Settings!$C$25,"Over max trades/day; ",""),"")&amp;IF(ISNUMBER(Settings!$C$26),IF(SUMIFS($Q$5:$Q683,$A$5:$A683,$A684)&lt;=-Settings!$C$26,"Traded after daily max loss; ",""),"")&amp;IF(AND($AG684="",NOT(ISNUMBER($O684))),"Symbol not in Instruments; ","")&amp;IF(AND($AH684="",NOT(ISNUMBER($O684))),"Forex cross: type Gross P&amp;L; ",""))</f>
        <v/>
      </c>
      <c r="BH684" s="56">
        <f>IF(ISNUMBER($Q684),1,0)</f>
        <v>0</v>
      </c>
      <c r="BI684" s="56">
        <f>IF($Y684="",0,1)</f>
        <v>0</v>
      </c>
      <c r="BJ684" s="56">
        <f>IF($AB684="",0,1)</f>
        <v>0</v>
      </c>
      <c r="BK684" s="56">
        <f>IF(AND($BH684=1,$W684&lt;&gt;"OK"),1,0)</f>
        <v>0</v>
      </c>
      <c r="BL684" s="55">
        <f>IF(N($AZ684)=0,0,IFERROR(INDEX($AT$6:$AT$1005,MATCH($AZ684,$AY$6:$AY$1005,0)),0))</f>
        <v>1187.10688</v>
      </c>
      <c r="BM684" s="56">
        <f>IF(ISNUMBER(SEARCH("daily max loss",$BG684)),1,0)</f>
        <v>0</v>
      </c>
    </row>
    <row r="685" ht="18" customHeight="1">
      <c r="A685" s="38" t="n"/>
      <c r="B685" s="39" t="n"/>
      <c r="C685" s="40" t="n"/>
      <c r="D685" s="41" t="n"/>
      <c r="E685" s="41" t="n"/>
      <c r="F685" s="41" t="n"/>
      <c r="G685" s="41" t="n"/>
      <c r="H685" s="42" t="n"/>
      <c r="I685" s="42" t="n"/>
      <c r="J685" s="42" t="n"/>
      <c r="K685" s="42" t="n"/>
      <c r="L685" s="41" t="n"/>
      <c r="M685" s="41" t="n"/>
      <c r="N685" s="41" t="n"/>
      <c r="O685" s="43" t="n"/>
      <c r="P685" s="43" t="n"/>
      <c r="Q685" s="44" t="str">
        <f>IF($AM685=0,"",IF(ISNUMBER($AK685),$AK685-N($AL685),""))</f>
        <v/>
      </c>
      <c r="R685" s="45" t="str">
        <f>IF(OR($Q685="",NOT(ISNUMBER($V685))),"",$AK685/$V685)</f>
        <v/>
      </c>
      <c r="S685" s="46" t="str">
        <f>IF($Q685="","",IF(AND(ISNUMBER($R685),ABS(N($R685))&lt;N(Settings!$C$8)),"Scratch",IF($Q685&gt;0,"Win",IF($Q685&lt;0,"Loss","Scratch"))))</f>
        <v/>
      </c>
      <c r="T685" s="47" t="str">
        <f>IF(OR($AM685=0,NOT(ISNUMBER($H685)),NOT(ISNUMBER($I685)),NOT(ISNUMBER($J685))),"",IF($H685=$I685,"",ROUND(ABS($J685-$H685)/ABS($H685-$I685),6)))</f>
        <v/>
      </c>
      <c r="U685" s="48" t="str">
        <f>IF(OR($S685&lt;&gt;"Win",NOT(ISNUMBER($T685)),NOT(ISNUMBER($R685))),"",MAX(0,$T685-$R685))</f>
        <v/>
      </c>
      <c r="V685" s="49" t="str">
        <f>IF(OR($AM685=0,NOT(ISNUMBER($H685)),NOT(ISNUMBER($I685)),NOT(ISNUMBER($G685))),"",IF(OR($AG685="",$AH685=""),"",IF(ROUND(ABS($H685-$I685)*ABS($G685)*$AG685*$AH685,6)=0,"",ROUND(ABS($H685-$I685)*ABS($G685)*$AG685*$AH685,6))))</f>
        <v/>
      </c>
      <c r="W685" s="50" t="str">
        <f>IF($AM685=0,"",IF($BG685="","OK",LEFT($BG685,LEN($BG685)-2)))</f>
        <v/>
      </c>
      <c r="X685" s="41" t="n"/>
      <c r="Y685" s="40" t="n"/>
      <c r="Z685" s="41" t="n"/>
      <c r="AA685" s="41" t="n"/>
      <c r="AB685" s="40" t="n"/>
      <c r="AC685" s="51" t="n"/>
      <c r="AD685" s="51" t="n"/>
      <c r="AE685" s="40" t="n"/>
      <c r="AF685" s="52" t="str">
        <f>IF($AM685=0,"",IF($D685&lt;&gt;"",$D685,IF(IFERROR(INDEX(Accounts!$C$7:$C$16,MATCH($C685,Accounts!$B$7:$B$16,0))&amp;"","")&lt;&gt;"",INDEX(Accounts!$C$7:$C$16,MATCH($C685,Accounts!$B$7:$B$16,0)),Settings!$C$6)))</f>
        <v/>
      </c>
      <c r="AG685" s="53" t="str">
        <f>IF($AM685=0,"",IF(AND($BE685&gt;0,N(INDEX(Instruments!$D$6:$D$205,MAX(1,$BE685)))&gt;0),INDEX(Instruments!$D$6:$D$205,MAX(1,$BE685)),IF(N(INDEX(Settings!$D$14:$D$18,$BF685))&gt;0,INDEX(Settings!$D$14:$D$18,$BF685),"")))</f>
        <v/>
      </c>
      <c r="AH685" s="54" t="str">
        <f>IF($AM685=0,"",IF($AF685&lt;&gt;"Forex",1,IF(MID(UPPER(SUBSTITUTE(TRIM($E685),"/","")),4,3)=UPPER(TRIM(Settings!$C$7)),1,IF(LEFT(UPPER(SUBSTITUTE(TRIM($E685),"/","")),3)=UPPER(TRIM(Settings!$C$7)),IF(AND(ISNUMBER($K685),N($K685)&lt;&gt;0),1/$K685,""),""))))</f>
        <v/>
      </c>
      <c r="AI685" s="55" t="str">
        <f>IF($AM685=0,"",IF(OR(NOT(ISNUMBER($H685)),NOT(ISNUMBER($K685)),NOT(ISNUMBER($G685)),$AG685="",$AH685=""),"",ROUND(($K685-$H685)*IF($F685="Short",-1,1)*$G685*$AG685*$AH685,6)))</f>
        <v/>
      </c>
      <c r="AJ685" s="55" t="str">
        <f>IF($AM685=0,"",IF(INDEX(Settings!$E$14:$E$18,$BF685)="% of notional",IF(OR($AG685="",NOT(ISNUMBER($H685)),NOT(ISNUMBER($G685))),"",ROUND(ABS($H685*$G685*$AG685*N($AH685))*IF($L685="Limit",N(INDEX(Settings!$G$14:$G$18,$BF685)),N(INDEX(Settings!$H$14:$H$18,$BF685)))+IF(ISNUMBER($K685),ABS($K685*$G685*$AG685*N($AH685))*IF($M685="Target",N(INDEX(Settings!$G$14:$G$18,$BF685)),N(INDEX(Settings!$H$14:$H$18,$BF685))),0),6)),IF(NOT(ISNUMBER($G685)),"",ROUND(ABS($G685)*2*IF(AND($BE685&gt;0,ISNUMBER(INDEX(Instruments!$G$6:$G$205,MAX(1,$BE685)))),INDEX(Instruments!$G$6:$G$205,MAX(1,$BE685)),N(INDEX(Settings!$F$14:$F$18,$BF685))),6))))</f>
        <v/>
      </c>
      <c r="AK685" s="55" t="str">
        <f>IF($AM685=0,"",IF(ISNUMBER($O685),$O685,$AI685))</f>
        <v/>
      </c>
      <c r="AL685" s="55" t="str">
        <f>IF($AM685=0,"",IF(ISNUMBER($P685),$P685,N($AJ685)))</f>
        <v/>
      </c>
      <c r="AM685" s="56">
        <f>IF(AND($A685&lt;&gt;"",$E685&lt;&gt;"",OR(AND(ISNUMBER($G685),ISNUMBER($H685),ISNUMBER($K685)),ISNUMBER($O685))),1,0)</f>
        <v>0</v>
      </c>
      <c r="AN685" s="57" t="str">
        <f>IF($A685="","",$A685-WEEKDAY($A685,3))</f>
        <v/>
      </c>
      <c r="AO685" s="56" t="str">
        <f>IF($A685="","",WEEKDAY($A685,2))</f>
        <v/>
      </c>
      <c r="AP685" s="55" t="str">
        <f>IF(OR($AM685=0,$C685=""),"",IFERROR(N(INDEX(Accounts!$E$7:$E$16,MATCH($C685,Accounts!$B$7:$B$16,0))),0)+SUMIFS($Q$6:$Q685,$C$6:$C685,$C685))</f>
        <v/>
      </c>
      <c r="AQ685" s="55" t="str">
        <f>IF(OR($AM685=0,$C685=""),"",SUMIFS($Q$6:$Q$1005,$C$6:$C$1005,$C685,$A$6:$A$1005,$A685))</f>
        <v/>
      </c>
      <c r="AR685" s="55" t="str">
        <f>IF(OR($AM685=0,$C685=""),"",IFERROR(N(INDEX(Accounts!$E$7:$E$16,MATCH($C685,Accounts!$B$7:$B$16,0))),0)+SUMIFS($Q$6:$Q$1005,$C$6:$C$1005,$C685,$A$6:$A$1005,"&lt;="&amp;$A685))</f>
        <v/>
      </c>
      <c r="AS685" s="56">
        <f>IF(OR($AM685=0,$Q685=""),0,IF(AND($A685&gt;=Lists!$W$6,$A685&lt;=Lists!$W$7,OR(Dashboard!$D$6="All accounts",$C685=Dashboard!$D$6),OR(Dashboard!$D$7="All markets",$AF685=Dashboard!$D$7)),1,0))</f>
        <v>0</v>
      </c>
      <c r="AT685" s="55">
        <f>IF($AS685=1,N(AT684)+$Q685,N(AT684))</f>
        <v>1187.10688</v>
      </c>
      <c r="AU685" s="55">
        <f>MAX(N(AU684),$AT685)</f>
        <v>1187.10688</v>
      </c>
      <c r="AV685" s="55">
        <f>$AT685-$AU685</f>
        <v>0</v>
      </c>
      <c r="AW685" s="56">
        <f>IF($AS685=1,IF($S685="Win",N(AW684)+1,IF($S685="Loss",0,N(AW684))),N(AW684))</f>
        <v>5</v>
      </c>
      <c r="AX685" s="56">
        <f>IF($AS685=1,IF($S685="Loss",N(AX684)+1,IF($S685="Win",0,N(AX684))),N(AX684))</f>
        <v>0</v>
      </c>
      <c r="AY685" s="56" t="str">
        <f>IF($AS685=1,COUNTIF($AS$6:$AS685,1),"")</f>
        <v/>
      </c>
      <c r="AZ685" s="56">
        <f>MIN(679,N(Lists!$W$8))</f>
        <v>28</v>
      </c>
      <c r="BA685" s="56">
        <f>IF($AS685=1,IF(COUNTIFS($A$6:$A685,$A685,$AS$6:$AS685,1)=1,1,0),0)</f>
        <v>0</v>
      </c>
      <c r="BB685" s="55" t="str">
        <f>IF($BA685=1,SUMIFS($Q$6:$Q$1005,$A$6:$A$1005,$A685,$AS$6:$AS$1005,1),"")</f>
        <v/>
      </c>
      <c r="BC685" s="56">
        <f>IF(ISNUMBER($R685),1,0)</f>
        <v>0</v>
      </c>
      <c r="BD685" s="55" t="str">
        <f>IF(ISNUMBER($U685),$U685*$V685,"")</f>
        <v/>
      </c>
      <c r="BE685" s="56" t="str">
        <f>IF($AM685=0,"",IFERROR(MATCH($AF685&amp;"|"&amp;UPPER(TRIM($E685)),Lists!$A$6:$A$205,0),0))</f>
        <v/>
      </c>
      <c r="BF685" s="56" t="str">
        <f>IF($AM685=0,"",IFERROR(MATCH($AF685,Settings!$B$14:$B$18,0),IFERROR(MATCH(Settings!$C$6,Settings!$B$14:$B$18,0),1)))</f>
        <v/>
      </c>
      <c r="BG685" s="58" t="str">
        <f>IF($AM685=0,"",IF(NOT(ISNUMBER($I685)),"No stop; ","")&amp;IF(AND(ISNUMBER($H685),ISNUMBER($I685)),IF(OR(AND($F685&lt;&gt;"Short",$I685&gt;=$H685),AND($F685="Short",$I685&lt;=$H685)),"Stop on wrong side; ",""),"")&amp;IF($F685="","No direction; ","")&amp;IF(AND(ISNUMBER(Settings!$C$22),ISNUMBER($V685)),IF($V685&gt;Settings!$C$22,"Risk over max $; ",""),"")&amp;IF(AND(ISNUMBER(Settings!$C$23),ISNUMBER($V685),ISNUMBER($AP685),IFERROR(N(INDEX(Accounts!$E$7:$E$16,MATCH($C685,Accounts!$B$7:$B$16,0))),0)&gt;0),IF($V685&gt;Settings!$C$23*($AP685-N($Q685)),"Risk over max %; ",""),"")&amp;IF(AND(ISNUMBER(Settings!$C$24),ISNUMBER($N685)),IF($N685&gt;Settings!$C$24,"Leverage over max; ",""),"")&amp;IF(AND(ISNUMBER(Settings!$C$27),ISNUMBER($T685)),IF($T685&lt;Settings!$C$27,"R:R below min; ",""),"")&amp;IF(ISNUMBER(Settings!$C$25),IF(COUNTIFS($A$6:$A685,$A685,$AM$6:$AM685,1)&gt;Settings!$C$25,"Over max trades/day; ",""),"")&amp;IF(ISNUMBER(Settings!$C$26),IF(SUMIFS($Q$5:$Q684,$A$5:$A684,$A685)&lt;=-Settings!$C$26,"Traded after daily max loss; ",""),"")&amp;IF(AND($AG685="",NOT(ISNUMBER($O685))),"Symbol not in Instruments; ","")&amp;IF(AND($AH685="",NOT(ISNUMBER($O685))),"Forex cross: type Gross P&amp;L; ",""))</f>
        <v/>
      </c>
      <c r="BH685" s="56">
        <f>IF(ISNUMBER($Q685),1,0)</f>
        <v>0</v>
      </c>
      <c r="BI685" s="56">
        <f>IF($Y685="",0,1)</f>
        <v>0</v>
      </c>
      <c r="BJ685" s="56">
        <f>IF($AB685="",0,1)</f>
        <v>0</v>
      </c>
      <c r="BK685" s="56">
        <f>IF(AND($BH685=1,$W685&lt;&gt;"OK"),1,0)</f>
        <v>0</v>
      </c>
      <c r="BL685" s="55">
        <f>IF(N($AZ685)=0,0,IFERROR(INDEX($AT$6:$AT$1005,MATCH($AZ685,$AY$6:$AY$1005,0)),0))</f>
        <v>1187.10688</v>
      </c>
      <c r="BM685" s="56">
        <f>IF(ISNUMBER(SEARCH("daily max loss",$BG685)),1,0)</f>
        <v>0</v>
      </c>
    </row>
    <row r="686" ht="18" customHeight="1">
      <c r="A686" s="38" t="n"/>
      <c r="B686" s="39" t="n"/>
      <c r="C686" s="40" t="n"/>
      <c r="D686" s="41" t="n"/>
      <c r="E686" s="41" t="n"/>
      <c r="F686" s="41" t="n"/>
      <c r="G686" s="41" t="n"/>
      <c r="H686" s="42" t="n"/>
      <c r="I686" s="42" t="n"/>
      <c r="J686" s="42" t="n"/>
      <c r="K686" s="42" t="n"/>
      <c r="L686" s="41" t="n"/>
      <c r="M686" s="41" t="n"/>
      <c r="N686" s="41" t="n"/>
      <c r="O686" s="43" t="n"/>
      <c r="P686" s="43" t="n"/>
      <c r="Q686" s="44" t="str">
        <f>IF($AM686=0,"",IF(ISNUMBER($AK686),$AK686-N($AL686),""))</f>
        <v/>
      </c>
      <c r="R686" s="45" t="str">
        <f>IF(OR($Q686="",NOT(ISNUMBER($V686))),"",$AK686/$V686)</f>
        <v/>
      </c>
      <c r="S686" s="46" t="str">
        <f>IF($Q686="","",IF(AND(ISNUMBER($R686),ABS(N($R686))&lt;N(Settings!$C$8)),"Scratch",IF($Q686&gt;0,"Win",IF($Q686&lt;0,"Loss","Scratch"))))</f>
        <v/>
      </c>
      <c r="T686" s="47" t="str">
        <f>IF(OR($AM686=0,NOT(ISNUMBER($H686)),NOT(ISNUMBER($I686)),NOT(ISNUMBER($J686))),"",IF($H686=$I686,"",ROUND(ABS($J686-$H686)/ABS($H686-$I686),6)))</f>
        <v/>
      </c>
      <c r="U686" s="48" t="str">
        <f>IF(OR($S686&lt;&gt;"Win",NOT(ISNUMBER($T686)),NOT(ISNUMBER($R686))),"",MAX(0,$T686-$R686))</f>
        <v/>
      </c>
      <c r="V686" s="49" t="str">
        <f>IF(OR($AM686=0,NOT(ISNUMBER($H686)),NOT(ISNUMBER($I686)),NOT(ISNUMBER($G686))),"",IF(OR($AG686="",$AH686=""),"",IF(ROUND(ABS($H686-$I686)*ABS($G686)*$AG686*$AH686,6)=0,"",ROUND(ABS($H686-$I686)*ABS($G686)*$AG686*$AH686,6))))</f>
        <v/>
      </c>
      <c r="W686" s="50" t="str">
        <f>IF($AM686=0,"",IF($BG686="","OK",LEFT($BG686,LEN($BG686)-2)))</f>
        <v/>
      </c>
      <c r="X686" s="41" t="n"/>
      <c r="Y686" s="40" t="n"/>
      <c r="Z686" s="41" t="n"/>
      <c r="AA686" s="41" t="n"/>
      <c r="AB686" s="40" t="n"/>
      <c r="AC686" s="51" t="n"/>
      <c r="AD686" s="51" t="n"/>
      <c r="AE686" s="40" t="n"/>
      <c r="AF686" s="52" t="str">
        <f>IF($AM686=0,"",IF($D686&lt;&gt;"",$D686,IF(IFERROR(INDEX(Accounts!$C$7:$C$16,MATCH($C686,Accounts!$B$7:$B$16,0))&amp;"","")&lt;&gt;"",INDEX(Accounts!$C$7:$C$16,MATCH($C686,Accounts!$B$7:$B$16,0)),Settings!$C$6)))</f>
        <v/>
      </c>
      <c r="AG686" s="53" t="str">
        <f>IF($AM686=0,"",IF(AND($BE686&gt;0,N(INDEX(Instruments!$D$6:$D$205,MAX(1,$BE686)))&gt;0),INDEX(Instruments!$D$6:$D$205,MAX(1,$BE686)),IF(N(INDEX(Settings!$D$14:$D$18,$BF686))&gt;0,INDEX(Settings!$D$14:$D$18,$BF686),"")))</f>
        <v/>
      </c>
      <c r="AH686" s="54" t="str">
        <f>IF($AM686=0,"",IF($AF686&lt;&gt;"Forex",1,IF(MID(UPPER(SUBSTITUTE(TRIM($E686),"/","")),4,3)=UPPER(TRIM(Settings!$C$7)),1,IF(LEFT(UPPER(SUBSTITUTE(TRIM($E686),"/","")),3)=UPPER(TRIM(Settings!$C$7)),IF(AND(ISNUMBER($K686),N($K686)&lt;&gt;0),1/$K686,""),""))))</f>
        <v/>
      </c>
      <c r="AI686" s="55" t="str">
        <f>IF($AM686=0,"",IF(OR(NOT(ISNUMBER($H686)),NOT(ISNUMBER($K686)),NOT(ISNUMBER($G686)),$AG686="",$AH686=""),"",ROUND(($K686-$H686)*IF($F686="Short",-1,1)*$G686*$AG686*$AH686,6)))</f>
        <v/>
      </c>
      <c r="AJ686" s="55" t="str">
        <f>IF($AM686=0,"",IF(INDEX(Settings!$E$14:$E$18,$BF686)="% of notional",IF(OR($AG686="",NOT(ISNUMBER($H686)),NOT(ISNUMBER($G686))),"",ROUND(ABS($H686*$G686*$AG686*N($AH686))*IF($L686="Limit",N(INDEX(Settings!$G$14:$G$18,$BF686)),N(INDEX(Settings!$H$14:$H$18,$BF686)))+IF(ISNUMBER($K686),ABS($K686*$G686*$AG686*N($AH686))*IF($M686="Target",N(INDEX(Settings!$G$14:$G$18,$BF686)),N(INDEX(Settings!$H$14:$H$18,$BF686))),0),6)),IF(NOT(ISNUMBER($G686)),"",ROUND(ABS($G686)*2*IF(AND($BE686&gt;0,ISNUMBER(INDEX(Instruments!$G$6:$G$205,MAX(1,$BE686)))),INDEX(Instruments!$G$6:$G$205,MAX(1,$BE686)),N(INDEX(Settings!$F$14:$F$18,$BF686))),6))))</f>
        <v/>
      </c>
      <c r="AK686" s="55" t="str">
        <f>IF($AM686=0,"",IF(ISNUMBER($O686),$O686,$AI686))</f>
        <v/>
      </c>
      <c r="AL686" s="55" t="str">
        <f>IF($AM686=0,"",IF(ISNUMBER($P686),$P686,N($AJ686)))</f>
        <v/>
      </c>
      <c r="AM686" s="56">
        <f>IF(AND($A686&lt;&gt;"",$E686&lt;&gt;"",OR(AND(ISNUMBER($G686),ISNUMBER($H686),ISNUMBER($K686)),ISNUMBER($O686))),1,0)</f>
        <v>0</v>
      </c>
      <c r="AN686" s="57" t="str">
        <f>IF($A686="","",$A686-WEEKDAY($A686,3))</f>
        <v/>
      </c>
      <c r="AO686" s="56" t="str">
        <f>IF($A686="","",WEEKDAY($A686,2))</f>
        <v/>
      </c>
      <c r="AP686" s="55" t="str">
        <f>IF(OR($AM686=0,$C686=""),"",IFERROR(N(INDEX(Accounts!$E$7:$E$16,MATCH($C686,Accounts!$B$7:$B$16,0))),0)+SUMIFS($Q$6:$Q686,$C$6:$C686,$C686))</f>
        <v/>
      </c>
      <c r="AQ686" s="55" t="str">
        <f>IF(OR($AM686=0,$C686=""),"",SUMIFS($Q$6:$Q$1005,$C$6:$C$1005,$C686,$A$6:$A$1005,$A686))</f>
        <v/>
      </c>
      <c r="AR686" s="55" t="str">
        <f>IF(OR($AM686=0,$C686=""),"",IFERROR(N(INDEX(Accounts!$E$7:$E$16,MATCH($C686,Accounts!$B$7:$B$16,0))),0)+SUMIFS($Q$6:$Q$1005,$C$6:$C$1005,$C686,$A$6:$A$1005,"&lt;="&amp;$A686))</f>
        <v/>
      </c>
      <c r="AS686" s="56">
        <f>IF(OR($AM686=0,$Q686=""),0,IF(AND($A686&gt;=Lists!$W$6,$A686&lt;=Lists!$W$7,OR(Dashboard!$D$6="All accounts",$C686=Dashboard!$D$6),OR(Dashboard!$D$7="All markets",$AF686=Dashboard!$D$7)),1,0))</f>
        <v>0</v>
      </c>
      <c r="AT686" s="55">
        <f>IF($AS686=1,N(AT685)+$Q686,N(AT685))</f>
        <v>1187.10688</v>
      </c>
      <c r="AU686" s="55">
        <f>MAX(N(AU685),$AT686)</f>
        <v>1187.10688</v>
      </c>
      <c r="AV686" s="55">
        <f>$AT686-$AU686</f>
        <v>0</v>
      </c>
      <c r="AW686" s="56">
        <f>IF($AS686=1,IF($S686="Win",N(AW685)+1,IF($S686="Loss",0,N(AW685))),N(AW685))</f>
        <v>5</v>
      </c>
      <c r="AX686" s="56">
        <f>IF($AS686=1,IF($S686="Loss",N(AX685)+1,IF($S686="Win",0,N(AX685))),N(AX685))</f>
        <v>0</v>
      </c>
      <c r="AY686" s="56" t="str">
        <f>IF($AS686=1,COUNTIF($AS$6:$AS686,1),"")</f>
        <v/>
      </c>
      <c r="AZ686" s="56">
        <f>MIN(680,N(Lists!$W$8))</f>
        <v>28</v>
      </c>
      <c r="BA686" s="56">
        <f>IF($AS686=1,IF(COUNTIFS($A$6:$A686,$A686,$AS$6:$AS686,1)=1,1,0),0)</f>
        <v>0</v>
      </c>
      <c r="BB686" s="55" t="str">
        <f>IF($BA686=1,SUMIFS($Q$6:$Q$1005,$A$6:$A$1005,$A686,$AS$6:$AS$1005,1),"")</f>
        <v/>
      </c>
      <c r="BC686" s="56">
        <f>IF(ISNUMBER($R686),1,0)</f>
        <v>0</v>
      </c>
      <c r="BD686" s="55" t="str">
        <f>IF(ISNUMBER($U686),$U686*$V686,"")</f>
        <v/>
      </c>
      <c r="BE686" s="56" t="str">
        <f>IF($AM686=0,"",IFERROR(MATCH($AF686&amp;"|"&amp;UPPER(TRIM($E686)),Lists!$A$6:$A$205,0),0))</f>
        <v/>
      </c>
      <c r="BF686" s="56" t="str">
        <f>IF($AM686=0,"",IFERROR(MATCH($AF686,Settings!$B$14:$B$18,0),IFERROR(MATCH(Settings!$C$6,Settings!$B$14:$B$18,0),1)))</f>
        <v/>
      </c>
      <c r="BG686" s="58" t="str">
        <f>IF($AM686=0,"",IF(NOT(ISNUMBER($I686)),"No stop; ","")&amp;IF(AND(ISNUMBER($H686),ISNUMBER($I686)),IF(OR(AND($F686&lt;&gt;"Short",$I686&gt;=$H686),AND($F686="Short",$I686&lt;=$H686)),"Stop on wrong side; ",""),"")&amp;IF($F686="","No direction; ","")&amp;IF(AND(ISNUMBER(Settings!$C$22),ISNUMBER($V686)),IF($V686&gt;Settings!$C$22,"Risk over max $; ",""),"")&amp;IF(AND(ISNUMBER(Settings!$C$23),ISNUMBER($V686),ISNUMBER($AP686),IFERROR(N(INDEX(Accounts!$E$7:$E$16,MATCH($C686,Accounts!$B$7:$B$16,0))),0)&gt;0),IF($V686&gt;Settings!$C$23*($AP686-N($Q686)),"Risk over max %; ",""),"")&amp;IF(AND(ISNUMBER(Settings!$C$24),ISNUMBER($N686)),IF($N686&gt;Settings!$C$24,"Leverage over max; ",""),"")&amp;IF(AND(ISNUMBER(Settings!$C$27),ISNUMBER($T686)),IF($T686&lt;Settings!$C$27,"R:R below min; ",""),"")&amp;IF(ISNUMBER(Settings!$C$25),IF(COUNTIFS($A$6:$A686,$A686,$AM$6:$AM686,1)&gt;Settings!$C$25,"Over max trades/day; ",""),"")&amp;IF(ISNUMBER(Settings!$C$26),IF(SUMIFS($Q$5:$Q685,$A$5:$A685,$A686)&lt;=-Settings!$C$26,"Traded after daily max loss; ",""),"")&amp;IF(AND($AG686="",NOT(ISNUMBER($O686))),"Symbol not in Instruments; ","")&amp;IF(AND($AH686="",NOT(ISNUMBER($O686))),"Forex cross: type Gross P&amp;L; ",""))</f>
        <v/>
      </c>
      <c r="BH686" s="56">
        <f>IF(ISNUMBER($Q686),1,0)</f>
        <v>0</v>
      </c>
      <c r="BI686" s="56">
        <f>IF($Y686="",0,1)</f>
        <v>0</v>
      </c>
      <c r="BJ686" s="56">
        <f>IF($AB686="",0,1)</f>
        <v>0</v>
      </c>
      <c r="BK686" s="56">
        <f>IF(AND($BH686=1,$W686&lt;&gt;"OK"),1,0)</f>
        <v>0</v>
      </c>
      <c r="BL686" s="55">
        <f>IF(N($AZ686)=0,0,IFERROR(INDEX($AT$6:$AT$1005,MATCH($AZ686,$AY$6:$AY$1005,0)),0))</f>
        <v>1187.10688</v>
      </c>
      <c r="BM686" s="56">
        <f>IF(ISNUMBER(SEARCH("daily max loss",$BG686)),1,0)</f>
        <v>0</v>
      </c>
    </row>
    <row r="687" ht="18" customHeight="1">
      <c r="A687" s="38" t="n"/>
      <c r="B687" s="39" t="n"/>
      <c r="C687" s="40" t="n"/>
      <c r="D687" s="41" t="n"/>
      <c r="E687" s="41" t="n"/>
      <c r="F687" s="41" t="n"/>
      <c r="G687" s="41" t="n"/>
      <c r="H687" s="42" t="n"/>
      <c r="I687" s="42" t="n"/>
      <c r="J687" s="42" t="n"/>
      <c r="K687" s="42" t="n"/>
      <c r="L687" s="41" t="n"/>
      <c r="M687" s="41" t="n"/>
      <c r="N687" s="41" t="n"/>
      <c r="O687" s="43" t="n"/>
      <c r="P687" s="43" t="n"/>
      <c r="Q687" s="44" t="str">
        <f>IF($AM687=0,"",IF(ISNUMBER($AK687),$AK687-N($AL687),""))</f>
        <v/>
      </c>
      <c r="R687" s="45" t="str">
        <f>IF(OR($Q687="",NOT(ISNUMBER($V687))),"",$AK687/$V687)</f>
        <v/>
      </c>
      <c r="S687" s="46" t="str">
        <f>IF($Q687="","",IF(AND(ISNUMBER($R687),ABS(N($R687))&lt;N(Settings!$C$8)),"Scratch",IF($Q687&gt;0,"Win",IF($Q687&lt;0,"Loss","Scratch"))))</f>
        <v/>
      </c>
      <c r="T687" s="47" t="str">
        <f>IF(OR($AM687=0,NOT(ISNUMBER($H687)),NOT(ISNUMBER($I687)),NOT(ISNUMBER($J687))),"",IF($H687=$I687,"",ROUND(ABS($J687-$H687)/ABS($H687-$I687),6)))</f>
        <v/>
      </c>
      <c r="U687" s="48" t="str">
        <f>IF(OR($S687&lt;&gt;"Win",NOT(ISNUMBER($T687)),NOT(ISNUMBER($R687))),"",MAX(0,$T687-$R687))</f>
        <v/>
      </c>
      <c r="V687" s="49" t="str">
        <f>IF(OR($AM687=0,NOT(ISNUMBER($H687)),NOT(ISNUMBER($I687)),NOT(ISNUMBER($G687))),"",IF(OR($AG687="",$AH687=""),"",IF(ROUND(ABS($H687-$I687)*ABS($G687)*$AG687*$AH687,6)=0,"",ROUND(ABS($H687-$I687)*ABS($G687)*$AG687*$AH687,6))))</f>
        <v/>
      </c>
      <c r="W687" s="50" t="str">
        <f>IF($AM687=0,"",IF($BG687="","OK",LEFT($BG687,LEN($BG687)-2)))</f>
        <v/>
      </c>
      <c r="X687" s="41" t="n"/>
      <c r="Y687" s="40" t="n"/>
      <c r="Z687" s="41" t="n"/>
      <c r="AA687" s="41" t="n"/>
      <c r="AB687" s="40" t="n"/>
      <c r="AC687" s="51" t="n"/>
      <c r="AD687" s="51" t="n"/>
      <c r="AE687" s="40" t="n"/>
      <c r="AF687" s="52" t="str">
        <f>IF($AM687=0,"",IF($D687&lt;&gt;"",$D687,IF(IFERROR(INDEX(Accounts!$C$7:$C$16,MATCH($C687,Accounts!$B$7:$B$16,0))&amp;"","")&lt;&gt;"",INDEX(Accounts!$C$7:$C$16,MATCH($C687,Accounts!$B$7:$B$16,0)),Settings!$C$6)))</f>
        <v/>
      </c>
      <c r="AG687" s="53" t="str">
        <f>IF($AM687=0,"",IF(AND($BE687&gt;0,N(INDEX(Instruments!$D$6:$D$205,MAX(1,$BE687)))&gt;0),INDEX(Instruments!$D$6:$D$205,MAX(1,$BE687)),IF(N(INDEX(Settings!$D$14:$D$18,$BF687))&gt;0,INDEX(Settings!$D$14:$D$18,$BF687),"")))</f>
        <v/>
      </c>
      <c r="AH687" s="54" t="str">
        <f>IF($AM687=0,"",IF($AF687&lt;&gt;"Forex",1,IF(MID(UPPER(SUBSTITUTE(TRIM($E687),"/","")),4,3)=UPPER(TRIM(Settings!$C$7)),1,IF(LEFT(UPPER(SUBSTITUTE(TRIM($E687),"/","")),3)=UPPER(TRIM(Settings!$C$7)),IF(AND(ISNUMBER($K687),N($K687)&lt;&gt;0),1/$K687,""),""))))</f>
        <v/>
      </c>
      <c r="AI687" s="55" t="str">
        <f>IF($AM687=0,"",IF(OR(NOT(ISNUMBER($H687)),NOT(ISNUMBER($K687)),NOT(ISNUMBER($G687)),$AG687="",$AH687=""),"",ROUND(($K687-$H687)*IF($F687="Short",-1,1)*$G687*$AG687*$AH687,6)))</f>
        <v/>
      </c>
      <c r="AJ687" s="55" t="str">
        <f>IF($AM687=0,"",IF(INDEX(Settings!$E$14:$E$18,$BF687)="% of notional",IF(OR($AG687="",NOT(ISNUMBER($H687)),NOT(ISNUMBER($G687))),"",ROUND(ABS($H687*$G687*$AG687*N($AH687))*IF($L687="Limit",N(INDEX(Settings!$G$14:$G$18,$BF687)),N(INDEX(Settings!$H$14:$H$18,$BF687)))+IF(ISNUMBER($K687),ABS($K687*$G687*$AG687*N($AH687))*IF($M687="Target",N(INDEX(Settings!$G$14:$G$18,$BF687)),N(INDEX(Settings!$H$14:$H$18,$BF687))),0),6)),IF(NOT(ISNUMBER($G687)),"",ROUND(ABS($G687)*2*IF(AND($BE687&gt;0,ISNUMBER(INDEX(Instruments!$G$6:$G$205,MAX(1,$BE687)))),INDEX(Instruments!$G$6:$G$205,MAX(1,$BE687)),N(INDEX(Settings!$F$14:$F$18,$BF687))),6))))</f>
        <v/>
      </c>
      <c r="AK687" s="55" t="str">
        <f>IF($AM687=0,"",IF(ISNUMBER($O687),$O687,$AI687))</f>
        <v/>
      </c>
      <c r="AL687" s="55" t="str">
        <f>IF($AM687=0,"",IF(ISNUMBER($P687),$P687,N($AJ687)))</f>
        <v/>
      </c>
      <c r="AM687" s="56">
        <f>IF(AND($A687&lt;&gt;"",$E687&lt;&gt;"",OR(AND(ISNUMBER($G687),ISNUMBER($H687),ISNUMBER($K687)),ISNUMBER($O687))),1,0)</f>
        <v>0</v>
      </c>
      <c r="AN687" s="57" t="str">
        <f>IF($A687="","",$A687-WEEKDAY($A687,3))</f>
        <v/>
      </c>
      <c r="AO687" s="56" t="str">
        <f>IF($A687="","",WEEKDAY($A687,2))</f>
        <v/>
      </c>
      <c r="AP687" s="55" t="str">
        <f>IF(OR($AM687=0,$C687=""),"",IFERROR(N(INDEX(Accounts!$E$7:$E$16,MATCH($C687,Accounts!$B$7:$B$16,0))),0)+SUMIFS($Q$6:$Q687,$C$6:$C687,$C687))</f>
        <v/>
      </c>
      <c r="AQ687" s="55" t="str">
        <f>IF(OR($AM687=0,$C687=""),"",SUMIFS($Q$6:$Q$1005,$C$6:$C$1005,$C687,$A$6:$A$1005,$A687))</f>
        <v/>
      </c>
      <c r="AR687" s="55" t="str">
        <f>IF(OR($AM687=0,$C687=""),"",IFERROR(N(INDEX(Accounts!$E$7:$E$16,MATCH($C687,Accounts!$B$7:$B$16,0))),0)+SUMIFS($Q$6:$Q$1005,$C$6:$C$1005,$C687,$A$6:$A$1005,"&lt;="&amp;$A687))</f>
        <v/>
      </c>
      <c r="AS687" s="56">
        <f>IF(OR($AM687=0,$Q687=""),0,IF(AND($A687&gt;=Lists!$W$6,$A687&lt;=Lists!$W$7,OR(Dashboard!$D$6="All accounts",$C687=Dashboard!$D$6),OR(Dashboard!$D$7="All markets",$AF687=Dashboard!$D$7)),1,0))</f>
        <v>0</v>
      </c>
      <c r="AT687" s="55">
        <f>IF($AS687=1,N(AT686)+$Q687,N(AT686))</f>
        <v>1187.10688</v>
      </c>
      <c r="AU687" s="55">
        <f>MAX(N(AU686),$AT687)</f>
        <v>1187.10688</v>
      </c>
      <c r="AV687" s="55">
        <f>$AT687-$AU687</f>
        <v>0</v>
      </c>
      <c r="AW687" s="56">
        <f>IF($AS687=1,IF($S687="Win",N(AW686)+1,IF($S687="Loss",0,N(AW686))),N(AW686))</f>
        <v>5</v>
      </c>
      <c r="AX687" s="56">
        <f>IF($AS687=1,IF($S687="Loss",N(AX686)+1,IF($S687="Win",0,N(AX686))),N(AX686))</f>
        <v>0</v>
      </c>
      <c r="AY687" s="56" t="str">
        <f>IF($AS687=1,COUNTIF($AS$6:$AS687,1),"")</f>
        <v/>
      </c>
      <c r="AZ687" s="56">
        <f>MIN(681,N(Lists!$W$8))</f>
        <v>28</v>
      </c>
      <c r="BA687" s="56">
        <f>IF($AS687=1,IF(COUNTIFS($A$6:$A687,$A687,$AS$6:$AS687,1)=1,1,0),0)</f>
        <v>0</v>
      </c>
      <c r="BB687" s="55" t="str">
        <f>IF($BA687=1,SUMIFS($Q$6:$Q$1005,$A$6:$A$1005,$A687,$AS$6:$AS$1005,1),"")</f>
        <v/>
      </c>
      <c r="BC687" s="56">
        <f>IF(ISNUMBER($R687),1,0)</f>
        <v>0</v>
      </c>
      <c r="BD687" s="55" t="str">
        <f>IF(ISNUMBER($U687),$U687*$V687,"")</f>
        <v/>
      </c>
      <c r="BE687" s="56" t="str">
        <f>IF($AM687=0,"",IFERROR(MATCH($AF687&amp;"|"&amp;UPPER(TRIM($E687)),Lists!$A$6:$A$205,0),0))</f>
        <v/>
      </c>
      <c r="BF687" s="56" t="str">
        <f>IF($AM687=0,"",IFERROR(MATCH($AF687,Settings!$B$14:$B$18,0),IFERROR(MATCH(Settings!$C$6,Settings!$B$14:$B$18,0),1)))</f>
        <v/>
      </c>
      <c r="BG687" s="58" t="str">
        <f>IF($AM687=0,"",IF(NOT(ISNUMBER($I687)),"No stop; ","")&amp;IF(AND(ISNUMBER($H687),ISNUMBER($I687)),IF(OR(AND($F687&lt;&gt;"Short",$I687&gt;=$H687),AND($F687="Short",$I687&lt;=$H687)),"Stop on wrong side; ",""),"")&amp;IF($F687="","No direction; ","")&amp;IF(AND(ISNUMBER(Settings!$C$22),ISNUMBER($V687)),IF($V687&gt;Settings!$C$22,"Risk over max $; ",""),"")&amp;IF(AND(ISNUMBER(Settings!$C$23),ISNUMBER($V687),ISNUMBER($AP687),IFERROR(N(INDEX(Accounts!$E$7:$E$16,MATCH($C687,Accounts!$B$7:$B$16,0))),0)&gt;0),IF($V687&gt;Settings!$C$23*($AP687-N($Q687)),"Risk over max %; ",""),"")&amp;IF(AND(ISNUMBER(Settings!$C$24),ISNUMBER($N687)),IF($N687&gt;Settings!$C$24,"Leverage over max; ",""),"")&amp;IF(AND(ISNUMBER(Settings!$C$27),ISNUMBER($T687)),IF($T687&lt;Settings!$C$27,"R:R below min; ",""),"")&amp;IF(ISNUMBER(Settings!$C$25),IF(COUNTIFS($A$6:$A687,$A687,$AM$6:$AM687,1)&gt;Settings!$C$25,"Over max trades/day; ",""),"")&amp;IF(ISNUMBER(Settings!$C$26),IF(SUMIFS($Q$5:$Q686,$A$5:$A686,$A687)&lt;=-Settings!$C$26,"Traded after daily max loss; ",""),"")&amp;IF(AND($AG687="",NOT(ISNUMBER($O687))),"Symbol not in Instruments; ","")&amp;IF(AND($AH687="",NOT(ISNUMBER($O687))),"Forex cross: type Gross P&amp;L; ",""))</f>
        <v/>
      </c>
      <c r="BH687" s="56">
        <f>IF(ISNUMBER($Q687),1,0)</f>
        <v>0</v>
      </c>
      <c r="BI687" s="56">
        <f>IF($Y687="",0,1)</f>
        <v>0</v>
      </c>
      <c r="BJ687" s="56">
        <f>IF($AB687="",0,1)</f>
        <v>0</v>
      </c>
      <c r="BK687" s="56">
        <f>IF(AND($BH687=1,$W687&lt;&gt;"OK"),1,0)</f>
        <v>0</v>
      </c>
      <c r="BL687" s="55">
        <f>IF(N($AZ687)=0,0,IFERROR(INDEX($AT$6:$AT$1005,MATCH($AZ687,$AY$6:$AY$1005,0)),0))</f>
        <v>1187.10688</v>
      </c>
      <c r="BM687" s="56">
        <f>IF(ISNUMBER(SEARCH("daily max loss",$BG687)),1,0)</f>
        <v>0</v>
      </c>
    </row>
    <row r="688" ht="18" customHeight="1">
      <c r="A688" s="38" t="n"/>
      <c r="B688" s="39" t="n"/>
      <c r="C688" s="40" t="n"/>
      <c r="D688" s="41" t="n"/>
      <c r="E688" s="41" t="n"/>
      <c r="F688" s="41" t="n"/>
      <c r="G688" s="41" t="n"/>
      <c r="H688" s="42" t="n"/>
      <c r="I688" s="42" t="n"/>
      <c r="J688" s="42" t="n"/>
      <c r="K688" s="42" t="n"/>
      <c r="L688" s="41" t="n"/>
      <c r="M688" s="41" t="n"/>
      <c r="N688" s="41" t="n"/>
      <c r="O688" s="43" t="n"/>
      <c r="P688" s="43" t="n"/>
      <c r="Q688" s="44" t="str">
        <f>IF($AM688=0,"",IF(ISNUMBER($AK688),$AK688-N($AL688),""))</f>
        <v/>
      </c>
      <c r="R688" s="45" t="str">
        <f>IF(OR($Q688="",NOT(ISNUMBER($V688))),"",$AK688/$V688)</f>
        <v/>
      </c>
      <c r="S688" s="46" t="str">
        <f>IF($Q688="","",IF(AND(ISNUMBER($R688),ABS(N($R688))&lt;N(Settings!$C$8)),"Scratch",IF($Q688&gt;0,"Win",IF($Q688&lt;0,"Loss","Scratch"))))</f>
        <v/>
      </c>
      <c r="T688" s="47" t="str">
        <f>IF(OR($AM688=0,NOT(ISNUMBER($H688)),NOT(ISNUMBER($I688)),NOT(ISNUMBER($J688))),"",IF($H688=$I688,"",ROUND(ABS($J688-$H688)/ABS($H688-$I688),6)))</f>
        <v/>
      </c>
      <c r="U688" s="48" t="str">
        <f>IF(OR($S688&lt;&gt;"Win",NOT(ISNUMBER($T688)),NOT(ISNUMBER($R688))),"",MAX(0,$T688-$R688))</f>
        <v/>
      </c>
      <c r="V688" s="49" t="str">
        <f>IF(OR($AM688=0,NOT(ISNUMBER($H688)),NOT(ISNUMBER($I688)),NOT(ISNUMBER($G688))),"",IF(OR($AG688="",$AH688=""),"",IF(ROUND(ABS($H688-$I688)*ABS($G688)*$AG688*$AH688,6)=0,"",ROUND(ABS($H688-$I688)*ABS($G688)*$AG688*$AH688,6))))</f>
        <v/>
      </c>
      <c r="W688" s="50" t="str">
        <f>IF($AM688=0,"",IF($BG688="","OK",LEFT($BG688,LEN($BG688)-2)))</f>
        <v/>
      </c>
      <c r="X688" s="41" t="n"/>
      <c r="Y688" s="40" t="n"/>
      <c r="Z688" s="41" t="n"/>
      <c r="AA688" s="41" t="n"/>
      <c r="AB688" s="40" t="n"/>
      <c r="AC688" s="51" t="n"/>
      <c r="AD688" s="51" t="n"/>
      <c r="AE688" s="40" t="n"/>
      <c r="AF688" s="52" t="str">
        <f>IF($AM688=0,"",IF($D688&lt;&gt;"",$D688,IF(IFERROR(INDEX(Accounts!$C$7:$C$16,MATCH($C688,Accounts!$B$7:$B$16,0))&amp;"","")&lt;&gt;"",INDEX(Accounts!$C$7:$C$16,MATCH($C688,Accounts!$B$7:$B$16,0)),Settings!$C$6)))</f>
        <v/>
      </c>
      <c r="AG688" s="53" t="str">
        <f>IF($AM688=0,"",IF(AND($BE688&gt;0,N(INDEX(Instruments!$D$6:$D$205,MAX(1,$BE688)))&gt;0),INDEX(Instruments!$D$6:$D$205,MAX(1,$BE688)),IF(N(INDEX(Settings!$D$14:$D$18,$BF688))&gt;0,INDEX(Settings!$D$14:$D$18,$BF688),"")))</f>
        <v/>
      </c>
      <c r="AH688" s="54" t="str">
        <f>IF($AM688=0,"",IF($AF688&lt;&gt;"Forex",1,IF(MID(UPPER(SUBSTITUTE(TRIM($E688),"/","")),4,3)=UPPER(TRIM(Settings!$C$7)),1,IF(LEFT(UPPER(SUBSTITUTE(TRIM($E688),"/","")),3)=UPPER(TRIM(Settings!$C$7)),IF(AND(ISNUMBER($K688),N($K688)&lt;&gt;0),1/$K688,""),""))))</f>
        <v/>
      </c>
      <c r="AI688" s="55" t="str">
        <f>IF($AM688=0,"",IF(OR(NOT(ISNUMBER($H688)),NOT(ISNUMBER($K688)),NOT(ISNUMBER($G688)),$AG688="",$AH688=""),"",ROUND(($K688-$H688)*IF($F688="Short",-1,1)*$G688*$AG688*$AH688,6)))</f>
        <v/>
      </c>
      <c r="AJ688" s="55" t="str">
        <f>IF($AM688=0,"",IF(INDEX(Settings!$E$14:$E$18,$BF688)="% of notional",IF(OR($AG688="",NOT(ISNUMBER($H688)),NOT(ISNUMBER($G688))),"",ROUND(ABS($H688*$G688*$AG688*N($AH688))*IF($L688="Limit",N(INDEX(Settings!$G$14:$G$18,$BF688)),N(INDEX(Settings!$H$14:$H$18,$BF688)))+IF(ISNUMBER($K688),ABS($K688*$G688*$AG688*N($AH688))*IF($M688="Target",N(INDEX(Settings!$G$14:$G$18,$BF688)),N(INDEX(Settings!$H$14:$H$18,$BF688))),0),6)),IF(NOT(ISNUMBER($G688)),"",ROUND(ABS($G688)*2*IF(AND($BE688&gt;0,ISNUMBER(INDEX(Instruments!$G$6:$G$205,MAX(1,$BE688)))),INDEX(Instruments!$G$6:$G$205,MAX(1,$BE688)),N(INDEX(Settings!$F$14:$F$18,$BF688))),6))))</f>
        <v/>
      </c>
      <c r="AK688" s="55" t="str">
        <f>IF($AM688=0,"",IF(ISNUMBER($O688),$O688,$AI688))</f>
        <v/>
      </c>
      <c r="AL688" s="55" t="str">
        <f>IF($AM688=0,"",IF(ISNUMBER($P688),$P688,N($AJ688)))</f>
        <v/>
      </c>
      <c r="AM688" s="56">
        <f>IF(AND($A688&lt;&gt;"",$E688&lt;&gt;"",OR(AND(ISNUMBER($G688),ISNUMBER($H688),ISNUMBER($K688)),ISNUMBER($O688))),1,0)</f>
        <v>0</v>
      </c>
      <c r="AN688" s="57" t="str">
        <f>IF($A688="","",$A688-WEEKDAY($A688,3))</f>
        <v/>
      </c>
      <c r="AO688" s="56" t="str">
        <f>IF($A688="","",WEEKDAY($A688,2))</f>
        <v/>
      </c>
      <c r="AP688" s="55" t="str">
        <f>IF(OR($AM688=0,$C688=""),"",IFERROR(N(INDEX(Accounts!$E$7:$E$16,MATCH($C688,Accounts!$B$7:$B$16,0))),0)+SUMIFS($Q$6:$Q688,$C$6:$C688,$C688))</f>
        <v/>
      </c>
      <c r="AQ688" s="55" t="str">
        <f>IF(OR($AM688=0,$C688=""),"",SUMIFS($Q$6:$Q$1005,$C$6:$C$1005,$C688,$A$6:$A$1005,$A688))</f>
        <v/>
      </c>
      <c r="AR688" s="55" t="str">
        <f>IF(OR($AM688=0,$C688=""),"",IFERROR(N(INDEX(Accounts!$E$7:$E$16,MATCH($C688,Accounts!$B$7:$B$16,0))),0)+SUMIFS($Q$6:$Q$1005,$C$6:$C$1005,$C688,$A$6:$A$1005,"&lt;="&amp;$A688))</f>
        <v/>
      </c>
      <c r="AS688" s="56">
        <f>IF(OR($AM688=0,$Q688=""),0,IF(AND($A688&gt;=Lists!$W$6,$A688&lt;=Lists!$W$7,OR(Dashboard!$D$6="All accounts",$C688=Dashboard!$D$6),OR(Dashboard!$D$7="All markets",$AF688=Dashboard!$D$7)),1,0))</f>
        <v>0</v>
      </c>
      <c r="AT688" s="55">
        <f>IF($AS688=1,N(AT687)+$Q688,N(AT687))</f>
        <v>1187.10688</v>
      </c>
      <c r="AU688" s="55">
        <f>MAX(N(AU687),$AT688)</f>
        <v>1187.10688</v>
      </c>
      <c r="AV688" s="55">
        <f>$AT688-$AU688</f>
        <v>0</v>
      </c>
      <c r="AW688" s="56">
        <f>IF($AS688=1,IF($S688="Win",N(AW687)+1,IF($S688="Loss",0,N(AW687))),N(AW687))</f>
        <v>5</v>
      </c>
      <c r="AX688" s="56">
        <f>IF($AS688=1,IF($S688="Loss",N(AX687)+1,IF($S688="Win",0,N(AX687))),N(AX687))</f>
        <v>0</v>
      </c>
      <c r="AY688" s="56" t="str">
        <f>IF($AS688=1,COUNTIF($AS$6:$AS688,1),"")</f>
        <v/>
      </c>
      <c r="AZ688" s="56">
        <f>MIN(682,N(Lists!$W$8))</f>
        <v>28</v>
      </c>
      <c r="BA688" s="56">
        <f>IF($AS688=1,IF(COUNTIFS($A$6:$A688,$A688,$AS$6:$AS688,1)=1,1,0),0)</f>
        <v>0</v>
      </c>
      <c r="BB688" s="55" t="str">
        <f>IF($BA688=1,SUMIFS($Q$6:$Q$1005,$A$6:$A$1005,$A688,$AS$6:$AS$1005,1),"")</f>
        <v/>
      </c>
      <c r="BC688" s="56">
        <f>IF(ISNUMBER($R688),1,0)</f>
        <v>0</v>
      </c>
      <c r="BD688" s="55" t="str">
        <f>IF(ISNUMBER($U688),$U688*$V688,"")</f>
        <v/>
      </c>
      <c r="BE688" s="56" t="str">
        <f>IF($AM688=0,"",IFERROR(MATCH($AF688&amp;"|"&amp;UPPER(TRIM($E688)),Lists!$A$6:$A$205,0),0))</f>
        <v/>
      </c>
      <c r="BF688" s="56" t="str">
        <f>IF($AM688=0,"",IFERROR(MATCH($AF688,Settings!$B$14:$B$18,0),IFERROR(MATCH(Settings!$C$6,Settings!$B$14:$B$18,0),1)))</f>
        <v/>
      </c>
      <c r="BG688" s="58" t="str">
        <f>IF($AM688=0,"",IF(NOT(ISNUMBER($I688)),"No stop; ","")&amp;IF(AND(ISNUMBER($H688),ISNUMBER($I688)),IF(OR(AND($F688&lt;&gt;"Short",$I688&gt;=$H688),AND($F688="Short",$I688&lt;=$H688)),"Stop on wrong side; ",""),"")&amp;IF($F688="","No direction; ","")&amp;IF(AND(ISNUMBER(Settings!$C$22),ISNUMBER($V688)),IF($V688&gt;Settings!$C$22,"Risk over max $; ",""),"")&amp;IF(AND(ISNUMBER(Settings!$C$23),ISNUMBER($V688),ISNUMBER($AP688),IFERROR(N(INDEX(Accounts!$E$7:$E$16,MATCH($C688,Accounts!$B$7:$B$16,0))),0)&gt;0),IF($V688&gt;Settings!$C$23*($AP688-N($Q688)),"Risk over max %; ",""),"")&amp;IF(AND(ISNUMBER(Settings!$C$24),ISNUMBER($N688)),IF($N688&gt;Settings!$C$24,"Leverage over max; ",""),"")&amp;IF(AND(ISNUMBER(Settings!$C$27),ISNUMBER($T688)),IF($T688&lt;Settings!$C$27,"R:R below min; ",""),"")&amp;IF(ISNUMBER(Settings!$C$25),IF(COUNTIFS($A$6:$A688,$A688,$AM$6:$AM688,1)&gt;Settings!$C$25,"Over max trades/day; ",""),"")&amp;IF(ISNUMBER(Settings!$C$26),IF(SUMIFS($Q$5:$Q687,$A$5:$A687,$A688)&lt;=-Settings!$C$26,"Traded after daily max loss; ",""),"")&amp;IF(AND($AG688="",NOT(ISNUMBER($O688))),"Symbol not in Instruments; ","")&amp;IF(AND($AH688="",NOT(ISNUMBER($O688))),"Forex cross: type Gross P&amp;L; ",""))</f>
        <v/>
      </c>
      <c r="BH688" s="56">
        <f>IF(ISNUMBER($Q688),1,0)</f>
        <v>0</v>
      </c>
      <c r="BI688" s="56">
        <f>IF($Y688="",0,1)</f>
        <v>0</v>
      </c>
      <c r="BJ688" s="56">
        <f>IF($AB688="",0,1)</f>
        <v>0</v>
      </c>
      <c r="BK688" s="56">
        <f>IF(AND($BH688=1,$W688&lt;&gt;"OK"),1,0)</f>
        <v>0</v>
      </c>
      <c r="BL688" s="55">
        <f>IF(N($AZ688)=0,0,IFERROR(INDEX($AT$6:$AT$1005,MATCH($AZ688,$AY$6:$AY$1005,0)),0))</f>
        <v>1187.10688</v>
      </c>
      <c r="BM688" s="56">
        <f>IF(ISNUMBER(SEARCH("daily max loss",$BG688)),1,0)</f>
        <v>0</v>
      </c>
    </row>
    <row r="689" ht="18" customHeight="1">
      <c r="A689" s="38" t="n"/>
      <c r="B689" s="39" t="n"/>
      <c r="C689" s="40" t="n"/>
      <c r="D689" s="41" t="n"/>
      <c r="E689" s="41" t="n"/>
      <c r="F689" s="41" t="n"/>
      <c r="G689" s="41" t="n"/>
      <c r="H689" s="42" t="n"/>
      <c r="I689" s="42" t="n"/>
      <c r="J689" s="42" t="n"/>
      <c r="K689" s="42" t="n"/>
      <c r="L689" s="41" t="n"/>
      <c r="M689" s="41" t="n"/>
      <c r="N689" s="41" t="n"/>
      <c r="O689" s="43" t="n"/>
      <c r="P689" s="43" t="n"/>
      <c r="Q689" s="44" t="str">
        <f>IF($AM689=0,"",IF(ISNUMBER($AK689),$AK689-N($AL689),""))</f>
        <v/>
      </c>
      <c r="R689" s="45" t="str">
        <f>IF(OR($Q689="",NOT(ISNUMBER($V689))),"",$AK689/$V689)</f>
        <v/>
      </c>
      <c r="S689" s="46" t="str">
        <f>IF($Q689="","",IF(AND(ISNUMBER($R689),ABS(N($R689))&lt;N(Settings!$C$8)),"Scratch",IF($Q689&gt;0,"Win",IF($Q689&lt;0,"Loss","Scratch"))))</f>
        <v/>
      </c>
      <c r="T689" s="47" t="str">
        <f>IF(OR($AM689=0,NOT(ISNUMBER($H689)),NOT(ISNUMBER($I689)),NOT(ISNUMBER($J689))),"",IF($H689=$I689,"",ROUND(ABS($J689-$H689)/ABS($H689-$I689),6)))</f>
        <v/>
      </c>
      <c r="U689" s="48" t="str">
        <f>IF(OR($S689&lt;&gt;"Win",NOT(ISNUMBER($T689)),NOT(ISNUMBER($R689))),"",MAX(0,$T689-$R689))</f>
        <v/>
      </c>
      <c r="V689" s="49" t="str">
        <f>IF(OR($AM689=0,NOT(ISNUMBER($H689)),NOT(ISNUMBER($I689)),NOT(ISNUMBER($G689))),"",IF(OR($AG689="",$AH689=""),"",IF(ROUND(ABS($H689-$I689)*ABS($G689)*$AG689*$AH689,6)=0,"",ROUND(ABS($H689-$I689)*ABS($G689)*$AG689*$AH689,6))))</f>
        <v/>
      </c>
      <c r="W689" s="50" t="str">
        <f>IF($AM689=0,"",IF($BG689="","OK",LEFT($BG689,LEN($BG689)-2)))</f>
        <v/>
      </c>
      <c r="X689" s="41" t="n"/>
      <c r="Y689" s="40" t="n"/>
      <c r="Z689" s="41" t="n"/>
      <c r="AA689" s="41" t="n"/>
      <c r="AB689" s="40" t="n"/>
      <c r="AC689" s="51" t="n"/>
      <c r="AD689" s="51" t="n"/>
      <c r="AE689" s="40" t="n"/>
      <c r="AF689" s="52" t="str">
        <f>IF($AM689=0,"",IF($D689&lt;&gt;"",$D689,IF(IFERROR(INDEX(Accounts!$C$7:$C$16,MATCH($C689,Accounts!$B$7:$B$16,0))&amp;"","")&lt;&gt;"",INDEX(Accounts!$C$7:$C$16,MATCH($C689,Accounts!$B$7:$B$16,0)),Settings!$C$6)))</f>
        <v/>
      </c>
      <c r="AG689" s="53" t="str">
        <f>IF($AM689=0,"",IF(AND($BE689&gt;0,N(INDEX(Instruments!$D$6:$D$205,MAX(1,$BE689)))&gt;0),INDEX(Instruments!$D$6:$D$205,MAX(1,$BE689)),IF(N(INDEX(Settings!$D$14:$D$18,$BF689))&gt;0,INDEX(Settings!$D$14:$D$18,$BF689),"")))</f>
        <v/>
      </c>
      <c r="AH689" s="54" t="str">
        <f>IF($AM689=0,"",IF($AF689&lt;&gt;"Forex",1,IF(MID(UPPER(SUBSTITUTE(TRIM($E689),"/","")),4,3)=UPPER(TRIM(Settings!$C$7)),1,IF(LEFT(UPPER(SUBSTITUTE(TRIM($E689),"/","")),3)=UPPER(TRIM(Settings!$C$7)),IF(AND(ISNUMBER($K689),N($K689)&lt;&gt;0),1/$K689,""),""))))</f>
        <v/>
      </c>
      <c r="AI689" s="55" t="str">
        <f>IF($AM689=0,"",IF(OR(NOT(ISNUMBER($H689)),NOT(ISNUMBER($K689)),NOT(ISNUMBER($G689)),$AG689="",$AH689=""),"",ROUND(($K689-$H689)*IF($F689="Short",-1,1)*$G689*$AG689*$AH689,6)))</f>
        <v/>
      </c>
      <c r="AJ689" s="55" t="str">
        <f>IF($AM689=0,"",IF(INDEX(Settings!$E$14:$E$18,$BF689)="% of notional",IF(OR($AG689="",NOT(ISNUMBER($H689)),NOT(ISNUMBER($G689))),"",ROUND(ABS($H689*$G689*$AG689*N($AH689))*IF($L689="Limit",N(INDEX(Settings!$G$14:$G$18,$BF689)),N(INDEX(Settings!$H$14:$H$18,$BF689)))+IF(ISNUMBER($K689),ABS($K689*$G689*$AG689*N($AH689))*IF($M689="Target",N(INDEX(Settings!$G$14:$G$18,$BF689)),N(INDEX(Settings!$H$14:$H$18,$BF689))),0),6)),IF(NOT(ISNUMBER($G689)),"",ROUND(ABS($G689)*2*IF(AND($BE689&gt;0,ISNUMBER(INDEX(Instruments!$G$6:$G$205,MAX(1,$BE689)))),INDEX(Instruments!$G$6:$G$205,MAX(1,$BE689)),N(INDEX(Settings!$F$14:$F$18,$BF689))),6))))</f>
        <v/>
      </c>
      <c r="AK689" s="55" t="str">
        <f>IF($AM689=0,"",IF(ISNUMBER($O689),$O689,$AI689))</f>
        <v/>
      </c>
      <c r="AL689" s="55" t="str">
        <f>IF($AM689=0,"",IF(ISNUMBER($P689),$P689,N($AJ689)))</f>
        <v/>
      </c>
      <c r="AM689" s="56">
        <f>IF(AND($A689&lt;&gt;"",$E689&lt;&gt;"",OR(AND(ISNUMBER($G689),ISNUMBER($H689),ISNUMBER($K689)),ISNUMBER($O689))),1,0)</f>
        <v>0</v>
      </c>
      <c r="AN689" s="57" t="str">
        <f>IF($A689="","",$A689-WEEKDAY($A689,3))</f>
        <v/>
      </c>
      <c r="AO689" s="56" t="str">
        <f>IF($A689="","",WEEKDAY($A689,2))</f>
        <v/>
      </c>
      <c r="AP689" s="55" t="str">
        <f>IF(OR($AM689=0,$C689=""),"",IFERROR(N(INDEX(Accounts!$E$7:$E$16,MATCH($C689,Accounts!$B$7:$B$16,0))),0)+SUMIFS($Q$6:$Q689,$C$6:$C689,$C689))</f>
        <v/>
      </c>
      <c r="AQ689" s="55" t="str">
        <f>IF(OR($AM689=0,$C689=""),"",SUMIFS($Q$6:$Q$1005,$C$6:$C$1005,$C689,$A$6:$A$1005,$A689))</f>
        <v/>
      </c>
      <c r="AR689" s="55" t="str">
        <f>IF(OR($AM689=0,$C689=""),"",IFERROR(N(INDEX(Accounts!$E$7:$E$16,MATCH($C689,Accounts!$B$7:$B$16,0))),0)+SUMIFS($Q$6:$Q$1005,$C$6:$C$1005,$C689,$A$6:$A$1005,"&lt;="&amp;$A689))</f>
        <v/>
      </c>
      <c r="AS689" s="56">
        <f>IF(OR($AM689=0,$Q689=""),0,IF(AND($A689&gt;=Lists!$W$6,$A689&lt;=Lists!$W$7,OR(Dashboard!$D$6="All accounts",$C689=Dashboard!$D$6),OR(Dashboard!$D$7="All markets",$AF689=Dashboard!$D$7)),1,0))</f>
        <v>0</v>
      </c>
      <c r="AT689" s="55">
        <f>IF($AS689=1,N(AT688)+$Q689,N(AT688))</f>
        <v>1187.10688</v>
      </c>
      <c r="AU689" s="55">
        <f>MAX(N(AU688),$AT689)</f>
        <v>1187.10688</v>
      </c>
      <c r="AV689" s="55">
        <f>$AT689-$AU689</f>
        <v>0</v>
      </c>
      <c r="AW689" s="56">
        <f>IF($AS689=1,IF($S689="Win",N(AW688)+1,IF($S689="Loss",0,N(AW688))),N(AW688))</f>
        <v>5</v>
      </c>
      <c r="AX689" s="56">
        <f>IF($AS689=1,IF($S689="Loss",N(AX688)+1,IF($S689="Win",0,N(AX688))),N(AX688))</f>
        <v>0</v>
      </c>
      <c r="AY689" s="56" t="str">
        <f>IF($AS689=1,COUNTIF($AS$6:$AS689,1),"")</f>
        <v/>
      </c>
      <c r="AZ689" s="56">
        <f>MIN(683,N(Lists!$W$8))</f>
        <v>28</v>
      </c>
      <c r="BA689" s="56">
        <f>IF($AS689=1,IF(COUNTIFS($A$6:$A689,$A689,$AS$6:$AS689,1)=1,1,0),0)</f>
        <v>0</v>
      </c>
      <c r="BB689" s="55" t="str">
        <f>IF($BA689=1,SUMIFS($Q$6:$Q$1005,$A$6:$A$1005,$A689,$AS$6:$AS$1005,1),"")</f>
        <v/>
      </c>
      <c r="BC689" s="56">
        <f>IF(ISNUMBER($R689),1,0)</f>
        <v>0</v>
      </c>
      <c r="BD689" s="55" t="str">
        <f>IF(ISNUMBER($U689),$U689*$V689,"")</f>
        <v/>
      </c>
      <c r="BE689" s="56" t="str">
        <f>IF($AM689=0,"",IFERROR(MATCH($AF689&amp;"|"&amp;UPPER(TRIM($E689)),Lists!$A$6:$A$205,0),0))</f>
        <v/>
      </c>
      <c r="BF689" s="56" t="str">
        <f>IF($AM689=0,"",IFERROR(MATCH($AF689,Settings!$B$14:$B$18,0),IFERROR(MATCH(Settings!$C$6,Settings!$B$14:$B$18,0),1)))</f>
        <v/>
      </c>
      <c r="BG689" s="58" t="str">
        <f>IF($AM689=0,"",IF(NOT(ISNUMBER($I689)),"No stop; ","")&amp;IF(AND(ISNUMBER($H689),ISNUMBER($I689)),IF(OR(AND($F689&lt;&gt;"Short",$I689&gt;=$H689),AND($F689="Short",$I689&lt;=$H689)),"Stop on wrong side; ",""),"")&amp;IF($F689="","No direction; ","")&amp;IF(AND(ISNUMBER(Settings!$C$22),ISNUMBER($V689)),IF($V689&gt;Settings!$C$22,"Risk over max $; ",""),"")&amp;IF(AND(ISNUMBER(Settings!$C$23),ISNUMBER($V689),ISNUMBER($AP689),IFERROR(N(INDEX(Accounts!$E$7:$E$16,MATCH($C689,Accounts!$B$7:$B$16,0))),0)&gt;0),IF($V689&gt;Settings!$C$23*($AP689-N($Q689)),"Risk over max %; ",""),"")&amp;IF(AND(ISNUMBER(Settings!$C$24),ISNUMBER($N689)),IF($N689&gt;Settings!$C$24,"Leverage over max; ",""),"")&amp;IF(AND(ISNUMBER(Settings!$C$27),ISNUMBER($T689)),IF($T689&lt;Settings!$C$27,"R:R below min; ",""),"")&amp;IF(ISNUMBER(Settings!$C$25),IF(COUNTIFS($A$6:$A689,$A689,$AM$6:$AM689,1)&gt;Settings!$C$25,"Over max trades/day; ",""),"")&amp;IF(ISNUMBER(Settings!$C$26),IF(SUMIFS($Q$5:$Q688,$A$5:$A688,$A689)&lt;=-Settings!$C$26,"Traded after daily max loss; ",""),"")&amp;IF(AND($AG689="",NOT(ISNUMBER($O689))),"Symbol not in Instruments; ","")&amp;IF(AND($AH689="",NOT(ISNUMBER($O689))),"Forex cross: type Gross P&amp;L; ",""))</f>
        <v/>
      </c>
      <c r="BH689" s="56">
        <f>IF(ISNUMBER($Q689),1,0)</f>
        <v>0</v>
      </c>
      <c r="BI689" s="56">
        <f>IF($Y689="",0,1)</f>
        <v>0</v>
      </c>
      <c r="BJ689" s="56">
        <f>IF($AB689="",0,1)</f>
        <v>0</v>
      </c>
      <c r="BK689" s="56">
        <f>IF(AND($BH689=1,$W689&lt;&gt;"OK"),1,0)</f>
        <v>0</v>
      </c>
      <c r="BL689" s="55">
        <f>IF(N($AZ689)=0,0,IFERROR(INDEX($AT$6:$AT$1005,MATCH($AZ689,$AY$6:$AY$1005,0)),0))</f>
        <v>1187.10688</v>
      </c>
      <c r="BM689" s="56">
        <f>IF(ISNUMBER(SEARCH("daily max loss",$BG689)),1,0)</f>
        <v>0</v>
      </c>
    </row>
    <row r="690" ht="18" customHeight="1">
      <c r="A690" s="38" t="n"/>
      <c r="B690" s="39" t="n"/>
      <c r="C690" s="40" t="n"/>
      <c r="D690" s="41" t="n"/>
      <c r="E690" s="41" t="n"/>
      <c r="F690" s="41" t="n"/>
      <c r="G690" s="41" t="n"/>
      <c r="H690" s="42" t="n"/>
      <c r="I690" s="42" t="n"/>
      <c r="J690" s="42" t="n"/>
      <c r="K690" s="42" t="n"/>
      <c r="L690" s="41" t="n"/>
      <c r="M690" s="41" t="n"/>
      <c r="N690" s="41" t="n"/>
      <c r="O690" s="43" t="n"/>
      <c r="P690" s="43" t="n"/>
      <c r="Q690" s="44" t="str">
        <f>IF($AM690=0,"",IF(ISNUMBER($AK690),$AK690-N($AL690),""))</f>
        <v/>
      </c>
      <c r="R690" s="45" t="str">
        <f>IF(OR($Q690="",NOT(ISNUMBER($V690))),"",$AK690/$V690)</f>
        <v/>
      </c>
      <c r="S690" s="46" t="str">
        <f>IF($Q690="","",IF(AND(ISNUMBER($R690),ABS(N($R690))&lt;N(Settings!$C$8)),"Scratch",IF($Q690&gt;0,"Win",IF($Q690&lt;0,"Loss","Scratch"))))</f>
        <v/>
      </c>
      <c r="T690" s="47" t="str">
        <f>IF(OR($AM690=0,NOT(ISNUMBER($H690)),NOT(ISNUMBER($I690)),NOT(ISNUMBER($J690))),"",IF($H690=$I690,"",ROUND(ABS($J690-$H690)/ABS($H690-$I690),6)))</f>
        <v/>
      </c>
      <c r="U690" s="48" t="str">
        <f>IF(OR($S690&lt;&gt;"Win",NOT(ISNUMBER($T690)),NOT(ISNUMBER($R690))),"",MAX(0,$T690-$R690))</f>
        <v/>
      </c>
      <c r="V690" s="49" t="str">
        <f>IF(OR($AM690=0,NOT(ISNUMBER($H690)),NOT(ISNUMBER($I690)),NOT(ISNUMBER($G690))),"",IF(OR($AG690="",$AH690=""),"",IF(ROUND(ABS($H690-$I690)*ABS($G690)*$AG690*$AH690,6)=0,"",ROUND(ABS($H690-$I690)*ABS($G690)*$AG690*$AH690,6))))</f>
        <v/>
      </c>
      <c r="W690" s="50" t="str">
        <f>IF($AM690=0,"",IF($BG690="","OK",LEFT($BG690,LEN($BG690)-2)))</f>
        <v/>
      </c>
      <c r="X690" s="41" t="n"/>
      <c r="Y690" s="40" t="n"/>
      <c r="Z690" s="41" t="n"/>
      <c r="AA690" s="41" t="n"/>
      <c r="AB690" s="40" t="n"/>
      <c r="AC690" s="51" t="n"/>
      <c r="AD690" s="51" t="n"/>
      <c r="AE690" s="40" t="n"/>
      <c r="AF690" s="52" t="str">
        <f>IF($AM690=0,"",IF($D690&lt;&gt;"",$D690,IF(IFERROR(INDEX(Accounts!$C$7:$C$16,MATCH($C690,Accounts!$B$7:$B$16,0))&amp;"","")&lt;&gt;"",INDEX(Accounts!$C$7:$C$16,MATCH($C690,Accounts!$B$7:$B$16,0)),Settings!$C$6)))</f>
        <v/>
      </c>
      <c r="AG690" s="53" t="str">
        <f>IF($AM690=0,"",IF(AND($BE690&gt;0,N(INDEX(Instruments!$D$6:$D$205,MAX(1,$BE690)))&gt;0),INDEX(Instruments!$D$6:$D$205,MAX(1,$BE690)),IF(N(INDEX(Settings!$D$14:$D$18,$BF690))&gt;0,INDEX(Settings!$D$14:$D$18,$BF690),"")))</f>
        <v/>
      </c>
      <c r="AH690" s="54" t="str">
        <f>IF($AM690=0,"",IF($AF690&lt;&gt;"Forex",1,IF(MID(UPPER(SUBSTITUTE(TRIM($E690),"/","")),4,3)=UPPER(TRIM(Settings!$C$7)),1,IF(LEFT(UPPER(SUBSTITUTE(TRIM($E690),"/","")),3)=UPPER(TRIM(Settings!$C$7)),IF(AND(ISNUMBER($K690),N($K690)&lt;&gt;0),1/$K690,""),""))))</f>
        <v/>
      </c>
      <c r="AI690" s="55" t="str">
        <f>IF($AM690=0,"",IF(OR(NOT(ISNUMBER($H690)),NOT(ISNUMBER($K690)),NOT(ISNUMBER($G690)),$AG690="",$AH690=""),"",ROUND(($K690-$H690)*IF($F690="Short",-1,1)*$G690*$AG690*$AH690,6)))</f>
        <v/>
      </c>
      <c r="AJ690" s="55" t="str">
        <f>IF($AM690=0,"",IF(INDEX(Settings!$E$14:$E$18,$BF690)="% of notional",IF(OR($AG690="",NOT(ISNUMBER($H690)),NOT(ISNUMBER($G690))),"",ROUND(ABS($H690*$G690*$AG690*N($AH690))*IF($L690="Limit",N(INDEX(Settings!$G$14:$G$18,$BF690)),N(INDEX(Settings!$H$14:$H$18,$BF690)))+IF(ISNUMBER($K690),ABS($K690*$G690*$AG690*N($AH690))*IF($M690="Target",N(INDEX(Settings!$G$14:$G$18,$BF690)),N(INDEX(Settings!$H$14:$H$18,$BF690))),0),6)),IF(NOT(ISNUMBER($G690)),"",ROUND(ABS($G690)*2*IF(AND($BE690&gt;0,ISNUMBER(INDEX(Instruments!$G$6:$G$205,MAX(1,$BE690)))),INDEX(Instruments!$G$6:$G$205,MAX(1,$BE690)),N(INDEX(Settings!$F$14:$F$18,$BF690))),6))))</f>
        <v/>
      </c>
      <c r="AK690" s="55" t="str">
        <f>IF($AM690=0,"",IF(ISNUMBER($O690),$O690,$AI690))</f>
        <v/>
      </c>
      <c r="AL690" s="55" t="str">
        <f>IF($AM690=0,"",IF(ISNUMBER($P690),$P690,N($AJ690)))</f>
        <v/>
      </c>
      <c r="AM690" s="56">
        <f>IF(AND($A690&lt;&gt;"",$E690&lt;&gt;"",OR(AND(ISNUMBER($G690),ISNUMBER($H690),ISNUMBER($K690)),ISNUMBER($O690))),1,0)</f>
        <v>0</v>
      </c>
      <c r="AN690" s="57" t="str">
        <f>IF($A690="","",$A690-WEEKDAY($A690,3))</f>
        <v/>
      </c>
      <c r="AO690" s="56" t="str">
        <f>IF($A690="","",WEEKDAY($A690,2))</f>
        <v/>
      </c>
      <c r="AP690" s="55" t="str">
        <f>IF(OR($AM690=0,$C690=""),"",IFERROR(N(INDEX(Accounts!$E$7:$E$16,MATCH($C690,Accounts!$B$7:$B$16,0))),0)+SUMIFS($Q$6:$Q690,$C$6:$C690,$C690))</f>
        <v/>
      </c>
      <c r="AQ690" s="55" t="str">
        <f>IF(OR($AM690=0,$C690=""),"",SUMIFS($Q$6:$Q$1005,$C$6:$C$1005,$C690,$A$6:$A$1005,$A690))</f>
        <v/>
      </c>
      <c r="AR690" s="55" t="str">
        <f>IF(OR($AM690=0,$C690=""),"",IFERROR(N(INDEX(Accounts!$E$7:$E$16,MATCH($C690,Accounts!$B$7:$B$16,0))),0)+SUMIFS($Q$6:$Q$1005,$C$6:$C$1005,$C690,$A$6:$A$1005,"&lt;="&amp;$A690))</f>
        <v/>
      </c>
      <c r="AS690" s="56">
        <f>IF(OR($AM690=0,$Q690=""),0,IF(AND($A690&gt;=Lists!$W$6,$A690&lt;=Lists!$W$7,OR(Dashboard!$D$6="All accounts",$C690=Dashboard!$D$6),OR(Dashboard!$D$7="All markets",$AF690=Dashboard!$D$7)),1,0))</f>
        <v>0</v>
      </c>
      <c r="AT690" s="55">
        <f>IF($AS690=1,N(AT689)+$Q690,N(AT689))</f>
        <v>1187.10688</v>
      </c>
      <c r="AU690" s="55">
        <f>MAX(N(AU689),$AT690)</f>
        <v>1187.10688</v>
      </c>
      <c r="AV690" s="55">
        <f>$AT690-$AU690</f>
        <v>0</v>
      </c>
      <c r="AW690" s="56">
        <f>IF($AS690=1,IF($S690="Win",N(AW689)+1,IF($S690="Loss",0,N(AW689))),N(AW689))</f>
        <v>5</v>
      </c>
      <c r="AX690" s="56">
        <f>IF($AS690=1,IF($S690="Loss",N(AX689)+1,IF($S690="Win",0,N(AX689))),N(AX689))</f>
        <v>0</v>
      </c>
      <c r="AY690" s="56" t="str">
        <f>IF($AS690=1,COUNTIF($AS$6:$AS690,1),"")</f>
        <v/>
      </c>
      <c r="AZ690" s="56">
        <f>MIN(684,N(Lists!$W$8))</f>
        <v>28</v>
      </c>
      <c r="BA690" s="56">
        <f>IF($AS690=1,IF(COUNTIFS($A$6:$A690,$A690,$AS$6:$AS690,1)=1,1,0),0)</f>
        <v>0</v>
      </c>
      <c r="BB690" s="55" t="str">
        <f>IF($BA690=1,SUMIFS($Q$6:$Q$1005,$A$6:$A$1005,$A690,$AS$6:$AS$1005,1),"")</f>
        <v/>
      </c>
      <c r="BC690" s="56">
        <f>IF(ISNUMBER($R690),1,0)</f>
        <v>0</v>
      </c>
      <c r="BD690" s="55" t="str">
        <f>IF(ISNUMBER($U690),$U690*$V690,"")</f>
        <v/>
      </c>
      <c r="BE690" s="56" t="str">
        <f>IF($AM690=0,"",IFERROR(MATCH($AF690&amp;"|"&amp;UPPER(TRIM($E690)),Lists!$A$6:$A$205,0),0))</f>
        <v/>
      </c>
      <c r="BF690" s="56" t="str">
        <f>IF($AM690=0,"",IFERROR(MATCH($AF690,Settings!$B$14:$B$18,0),IFERROR(MATCH(Settings!$C$6,Settings!$B$14:$B$18,0),1)))</f>
        <v/>
      </c>
      <c r="BG690" s="58" t="str">
        <f>IF($AM690=0,"",IF(NOT(ISNUMBER($I690)),"No stop; ","")&amp;IF(AND(ISNUMBER($H690),ISNUMBER($I690)),IF(OR(AND($F690&lt;&gt;"Short",$I690&gt;=$H690),AND($F690="Short",$I690&lt;=$H690)),"Stop on wrong side; ",""),"")&amp;IF($F690="","No direction; ","")&amp;IF(AND(ISNUMBER(Settings!$C$22),ISNUMBER($V690)),IF($V690&gt;Settings!$C$22,"Risk over max $; ",""),"")&amp;IF(AND(ISNUMBER(Settings!$C$23),ISNUMBER($V690),ISNUMBER($AP690),IFERROR(N(INDEX(Accounts!$E$7:$E$16,MATCH($C690,Accounts!$B$7:$B$16,0))),0)&gt;0),IF($V690&gt;Settings!$C$23*($AP690-N($Q690)),"Risk over max %; ",""),"")&amp;IF(AND(ISNUMBER(Settings!$C$24),ISNUMBER($N690)),IF($N690&gt;Settings!$C$24,"Leverage over max; ",""),"")&amp;IF(AND(ISNUMBER(Settings!$C$27),ISNUMBER($T690)),IF($T690&lt;Settings!$C$27,"R:R below min; ",""),"")&amp;IF(ISNUMBER(Settings!$C$25),IF(COUNTIFS($A$6:$A690,$A690,$AM$6:$AM690,1)&gt;Settings!$C$25,"Over max trades/day; ",""),"")&amp;IF(ISNUMBER(Settings!$C$26),IF(SUMIFS($Q$5:$Q689,$A$5:$A689,$A690)&lt;=-Settings!$C$26,"Traded after daily max loss; ",""),"")&amp;IF(AND($AG690="",NOT(ISNUMBER($O690))),"Symbol not in Instruments; ","")&amp;IF(AND($AH690="",NOT(ISNUMBER($O690))),"Forex cross: type Gross P&amp;L; ",""))</f>
        <v/>
      </c>
      <c r="BH690" s="56">
        <f>IF(ISNUMBER($Q690),1,0)</f>
        <v>0</v>
      </c>
      <c r="BI690" s="56">
        <f>IF($Y690="",0,1)</f>
        <v>0</v>
      </c>
      <c r="BJ690" s="56">
        <f>IF($AB690="",0,1)</f>
        <v>0</v>
      </c>
      <c r="BK690" s="56">
        <f>IF(AND($BH690=1,$W690&lt;&gt;"OK"),1,0)</f>
        <v>0</v>
      </c>
      <c r="BL690" s="55">
        <f>IF(N($AZ690)=0,0,IFERROR(INDEX($AT$6:$AT$1005,MATCH($AZ690,$AY$6:$AY$1005,0)),0))</f>
        <v>1187.10688</v>
      </c>
      <c r="BM690" s="56">
        <f>IF(ISNUMBER(SEARCH("daily max loss",$BG690)),1,0)</f>
        <v>0</v>
      </c>
    </row>
    <row r="691" ht="18" customHeight="1">
      <c r="A691" s="38" t="n"/>
      <c r="B691" s="39" t="n"/>
      <c r="C691" s="40" t="n"/>
      <c r="D691" s="41" t="n"/>
      <c r="E691" s="41" t="n"/>
      <c r="F691" s="41" t="n"/>
      <c r="G691" s="41" t="n"/>
      <c r="H691" s="42" t="n"/>
      <c r="I691" s="42" t="n"/>
      <c r="J691" s="42" t="n"/>
      <c r="K691" s="42" t="n"/>
      <c r="L691" s="41" t="n"/>
      <c r="M691" s="41" t="n"/>
      <c r="N691" s="41" t="n"/>
      <c r="O691" s="43" t="n"/>
      <c r="P691" s="43" t="n"/>
      <c r="Q691" s="44" t="str">
        <f>IF($AM691=0,"",IF(ISNUMBER($AK691),$AK691-N($AL691),""))</f>
        <v/>
      </c>
      <c r="R691" s="45" t="str">
        <f>IF(OR($Q691="",NOT(ISNUMBER($V691))),"",$AK691/$V691)</f>
        <v/>
      </c>
      <c r="S691" s="46" t="str">
        <f>IF($Q691="","",IF(AND(ISNUMBER($R691),ABS(N($R691))&lt;N(Settings!$C$8)),"Scratch",IF($Q691&gt;0,"Win",IF($Q691&lt;0,"Loss","Scratch"))))</f>
        <v/>
      </c>
      <c r="T691" s="47" t="str">
        <f>IF(OR($AM691=0,NOT(ISNUMBER($H691)),NOT(ISNUMBER($I691)),NOT(ISNUMBER($J691))),"",IF($H691=$I691,"",ROUND(ABS($J691-$H691)/ABS($H691-$I691),6)))</f>
        <v/>
      </c>
      <c r="U691" s="48" t="str">
        <f>IF(OR($S691&lt;&gt;"Win",NOT(ISNUMBER($T691)),NOT(ISNUMBER($R691))),"",MAX(0,$T691-$R691))</f>
        <v/>
      </c>
      <c r="V691" s="49" t="str">
        <f>IF(OR($AM691=0,NOT(ISNUMBER($H691)),NOT(ISNUMBER($I691)),NOT(ISNUMBER($G691))),"",IF(OR($AG691="",$AH691=""),"",IF(ROUND(ABS($H691-$I691)*ABS($G691)*$AG691*$AH691,6)=0,"",ROUND(ABS($H691-$I691)*ABS($G691)*$AG691*$AH691,6))))</f>
        <v/>
      </c>
      <c r="W691" s="50" t="str">
        <f>IF($AM691=0,"",IF($BG691="","OK",LEFT($BG691,LEN($BG691)-2)))</f>
        <v/>
      </c>
      <c r="X691" s="41" t="n"/>
      <c r="Y691" s="40" t="n"/>
      <c r="Z691" s="41" t="n"/>
      <c r="AA691" s="41" t="n"/>
      <c r="AB691" s="40" t="n"/>
      <c r="AC691" s="51" t="n"/>
      <c r="AD691" s="51" t="n"/>
      <c r="AE691" s="40" t="n"/>
      <c r="AF691" s="52" t="str">
        <f>IF($AM691=0,"",IF($D691&lt;&gt;"",$D691,IF(IFERROR(INDEX(Accounts!$C$7:$C$16,MATCH($C691,Accounts!$B$7:$B$16,0))&amp;"","")&lt;&gt;"",INDEX(Accounts!$C$7:$C$16,MATCH($C691,Accounts!$B$7:$B$16,0)),Settings!$C$6)))</f>
        <v/>
      </c>
      <c r="AG691" s="53" t="str">
        <f>IF($AM691=0,"",IF(AND($BE691&gt;0,N(INDEX(Instruments!$D$6:$D$205,MAX(1,$BE691)))&gt;0),INDEX(Instruments!$D$6:$D$205,MAX(1,$BE691)),IF(N(INDEX(Settings!$D$14:$D$18,$BF691))&gt;0,INDEX(Settings!$D$14:$D$18,$BF691),"")))</f>
        <v/>
      </c>
      <c r="AH691" s="54" t="str">
        <f>IF($AM691=0,"",IF($AF691&lt;&gt;"Forex",1,IF(MID(UPPER(SUBSTITUTE(TRIM($E691),"/","")),4,3)=UPPER(TRIM(Settings!$C$7)),1,IF(LEFT(UPPER(SUBSTITUTE(TRIM($E691),"/","")),3)=UPPER(TRIM(Settings!$C$7)),IF(AND(ISNUMBER($K691),N($K691)&lt;&gt;0),1/$K691,""),""))))</f>
        <v/>
      </c>
      <c r="AI691" s="55" t="str">
        <f>IF($AM691=0,"",IF(OR(NOT(ISNUMBER($H691)),NOT(ISNUMBER($K691)),NOT(ISNUMBER($G691)),$AG691="",$AH691=""),"",ROUND(($K691-$H691)*IF($F691="Short",-1,1)*$G691*$AG691*$AH691,6)))</f>
        <v/>
      </c>
      <c r="AJ691" s="55" t="str">
        <f>IF($AM691=0,"",IF(INDEX(Settings!$E$14:$E$18,$BF691)="% of notional",IF(OR($AG691="",NOT(ISNUMBER($H691)),NOT(ISNUMBER($G691))),"",ROUND(ABS($H691*$G691*$AG691*N($AH691))*IF($L691="Limit",N(INDEX(Settings!$G$14:$G$18,$BF691)),N(INDEX(Settings!$H$14:$H$18,$BF691)))+IF(ISNUMBER($K691),ABS($K691*$G691*$AG691*N($AH691))*IF($M691="Target",N(INDEX(Settings!$G$14:$G$18,$BF691)),N(INDEX(Settings!$H$14:$H$18,$BF691))),0),6)),IF(NOT(ISNUMBER($G691)),"",ROUND(ABS($G691)*2*IF(AND($BE691&gt;0,ISNUMBER(INDEX(Instruments!$G$6:$G$205,MAX(1,$BE691)))),INDEX(Instruments!$G$6:$G$205,MAX(1,$BE691)),N(INDEX(Settings!$F$14:$F$18,$BF691))),6))))</f>
        <v/>
      </c>
      <c r="AK691" s="55" t="str">
        <f>IF($AM691=0,"",IF(ISNUMBER($O691),$O691,$AI691))</f>
        <v/>
      </c>
      <c r="AL691" s="55" t="str">
        <f>IF($AM691=0,"",IF(ISNUMBER($P691),$P691,N($AJ691)))</f>
        <v/>
      </c>
      <c r="AM691" s="56">
        <f>IF(AND($A691&lt;&gt;"",$E691&lt;&gt;"",OR(AND(ISNUMBER($G691),ISNUMBER($H691),ISNUMBER($K691)),ISNUMBER($O691))),1,0)</f>
        <v>0</v>
      </c>
      <c r="AN691" s="57" t="str">
        <f>IF($A691="","",$A691-WEEKDAY($A691,3))</f>
        <v/>
      </c>
      <c r="AO691" s="56" t="str">
        <f>IF($A691="","",WEEKDAY($A691,2))</f>
        <v/>
      </c>
      <c r="AP691" s="55" t="str">
        <f>IF(OR($AM691=0,$C691=""),"",IFERROR(N(INDEX(Accounts!$E$7:$E$16,MATCH($C691,Accounts!$B$7:$B$16,0))),0)+SUMIFS($Q$6:$Q691,$C$6:$C691,$C691))</f>
        <v/>
      </c>
      <c r="AQ691" s="55" t="str">
        <f>IF(OR($AM691=0,$C691=""),"",SUMIFS($Q$6:$Q$1005,$C$6:$C$1005,$C691,$A$6:$A$1005,$A691))</f>
        <v/>
      </c>
      <c r="AR691" s="55" t="str">
        <f>IF(OR($AM691=0,$C691=""),"",IFERROR(N(INDEX(Accounts!$E$7:$E$16,MATCH($C691,Accounts!$B$7:$B$16,0))),0)+SUMIFS($Q$6:$Q$1005,$C$6:$C$1005,$C691,$A$6:$A$1005,"&lt;="&amp;$A691))</f>
        <v/>
      </c>
      <c r="AS691" s="56">
        <f>IF(OR($AM691=0,$Q691=""),0,IF(AND($A691&gt;=Lists!$W$6,$A691&lt;=Lists!$W$7,OR(Dashboard!$D$6="All accounts",$C691=Dashboard!$D$6),OR(Dashboard!$D$7="All markets",$AF691=Dashboard!$D$7)),1,0))</f>
        <v>0</v>
      </c>
      <c r="AT691" s="55">
        <f>IF($AS691=1,N(AT690)+$Q691,N(AT690))</f>
        <v>1187.10688</v>
      </c>
      <c r="AU691" s="55">
        <f>MAX(N(AU690),$AT691)</f>
        <v>1187.10688</v>
      </c>
      <c r="AV691" s="55">
        <f>$AT691-$AU691</f>
        <v>0</v>
      </c>
      <c r="AW691" s="56">
        <f>IF($AS691=1,IF($S691="Win",N(AW690)+1,IF($S691="Loss",0,N(AW690))),N(AW690))</f>
        <v>5</v>
      </c>
      <c r="AX691" s="56">
        <f>IF($AS691=1,IF($S691="Loss",N(AX690)+1,IF($S691="Win",0,N(AX690))),N(AX690))</f>
        <v>0</v>
      </c>
      <c r="AY691" s="56" t="str">
        <f>IF($AS691=1,COUNTIF($AS$6:$AS691,1),"")</f>
        <v/>
      </c>
      <c r="AZ691" s="56">
        <f>MIN(685,N(Lists!$W$8))</f>
        <v>28</v>
      </c>
      <c r="BA691" s="56">
        <f>IF($AS691=1,IF(COUNTIFS($A$6:$A691,$A691,$AS$6:$AS691,1)=1,1,0),0)</f>
        <v>0</v>
      </c>
      <c r="BB691" s="55" t="str">
        <f>IF($BA691=1,SUMIFS($Q$6:$Q$1005,$A$6:$A$1005,$A691,$AS$6:$AS$1005,1),"")</f>
        <v/>
      </c>
      <c r="BC691" s="56">
        <f>IF(ISNUMBER($R691),1,0)</f>
        <v>0</v>
      </c>
      <c r="BD691" s="55" t="str">
        <f>IF(ISNUMBER($U691),$U691*$V691,"")</f>
        <v/>
      </c>
      <c r="BE691" s="56" t="str">
        <f>IF($AM691=0,"",IFERROR(MATCH($AF691&amp;"|"&amp;UPPER(TRIM($E691)),Lists!$A$6:$A$205,0),0))</f>
        <v/>
      </c>
      <c r="BF691" s="56" t="str">
        <f>IF($AM691=0,"",IFERROR(MATCH($AF691,Settings!$B$14:$B$18,0),IFERROR(MATCH(Settings!$C$6,Settings!$B$14:$B$18,0),1)))</f>
        <v/>
      </c>
      <c r="BG691" s="58" t="str">
        <f>IF($AM691=0,"",IF(NOT(ISNUMBER($I691)),"No stop; ","")&amp;IF(AND(ISNUMBER($H691),ISNUMBER($I691)),IF(OR(AND($F691&lt;&gt;"Short",$I691&gt;=$H691),AND($F691="Short",$I691&lt;=$H691)),"Stop on wrong side; ",""),"")&amp;IF($F691="","No direction; ","")&amp;IF(AND(ISNUMBER(Settings!$C$22),ISNUMBER($V691)),IF($V691&gt;Settings!$C$22,"Risk over max $; ",""),"")&amp;IF(AND(ISNUMBER(Settings!$C$23),ISNUMBER($V691),ISNUMBER($AP691),IFERROR(N(INDEX(Accounts!$E$7:$E$16,MATCH($C691,Accounts!$B$7:$B$16,0))),0)&gt;0),IF($V691&gt;Settings!$C$23*($AP691-N($Q691)),"Risk over max %; ",""),"")&amp;IF(AND(ISNUMBER(Settings!$C$24),ISNUMBER($N691)),IF($N691&gt;Settings!$C$24,"Leverage over max; ",""),"")&amp;IF(AND(ISNUMBER(Settings!$C$27),ISNUMBER($T691)),IF($T691&lt;Settings!$C$27,"R:R below min; ",""),"")&amp;IF(ISNUMBER(Settings!$C$25),IF(COUNTIFS($A$6:$A691,$A691,$AM$6:$AM691,1)&gt;Settings!$C$25,"Over max trades/day; ",""),"")&amp;IF(ISNUMBER(Settings!$C$26),IF(SUMIFS($Q$5:$Q690,$A$5:$A690,$A691)&lt;=-Settings!$C$26,"Traded after daily max loss; ",""),"")&amp;IF(AND($AG691="",NOT(ISNUMBER($O691))),"Symbol not in Instruments; ","")&amp;IF(AND($AH691="",NOT(ISNUMBER($O691))),"Forex cross: type Gross P&amp;L; ",""))</f>
        <v/>
      </c>
      <c r="BH691" s="56">
        <f>IF(ISNUMBER($Q691),1,0)</f>
        <v>0</v>
      </c>
      <c r="BI691" s="56">
        <f>IF($Y691="",0,1)</f>
        <v>0</v>
      </c>
      <c r="BJ691" s="56">
        <f>IF($AB691="",0,1)</f>
        <v>0</v>
      </c>
      <c r="BK691" s="56">
        <f>IF(AND($BH691=1,$W691&lt;&gt;"OK"),1,0)</f>
        <v>0</v>
      </c>
      <c r="BL691" s="55">
        <f>IF(N($AZ691)=0,0,IFERROR(INDEX($AT$6:$AT$1005,MATCH($AZ691,$AY$6:$AY$1005,0)),0))</f>
        <v>1187.10688</v>
      </c>
      <c r="BM691" s="56">
        <f>IF(ISNUMBER(SEARCH("daily max loss",$BG691)),1,0)</f>
        <v>0</v>
      </c>
    </row>
    <row r="692" ht="18" customHeight="1">
      <c r="A692" s="38" t="n"/>
      <c r="B692" s="39" t="n"/>
      <c r="C692" s="40" t="n"/>
      <c r="D692" s="41" t="n"/>
      <c r="E692" s="41" t="n"/>
      <c r="F692" s="41" t="n"/>
      <c r="G692" s="41" t="n"/>
      <c r="H692" s="42" t="n"/>
      <c r="I692" s="42" t="n"/>
      <c r="J692" s="42" t="n"/>
      <c r="K692" s="42" t="n"/>
      <c r="L692" s="41" t="n"/>
      <c r="M692" s="41" t="n"/>
      <c r="N692" s="41" t="n"/>
      <c r="O692" s="43" t="n"/>
      <c r="P692" s="43" t="n"/>
      <c r="Q692" s="44" t="str">
        <f>IF($AM692=0,"",IF(ISNUMBER($AK692),$AK692-N($AL692),""))</f>
        <v/>
      </c>
      <c r="R692" s="45" t="str">
        <f>IF(OR($Q692="",NOT(ISNUMBER($V692))),"",$AK692/$V692)</f>
        <v/>
      </c>
      <c r="S692" s="46" t="str">
        <f>IF($Q692="","",IF(AND(ISNUMBER($R692),ABS(N($R692))&lt;N(Settings!$C$8)),"Scratch",IF($Q692&gt;0,"Win",IF($Q692&lt;0,"Loss","Scratch"))))</f>
        <v/>
      </c>
      <c r="T692" s="47" t="str">
        <f>IF(OR($AM692=0,NOT(ISNUMBER($H692)),NOT(ISNUMBER($I692)),NOT(ISNUMBER($J692))),"",IF($H692=$I692,"",ROUND(ABS($J692-$H692)/ABS($H692-$I692),6)))</f>
        <v/>
      </c>
      <c r="U692" s="48" t="str">
        <f>IF(OR($S692&lt;&gt;"Win",NOT(ISNUMBER($T692)),NOT(ISNUMBER($R692))),"",MAX(0,$T692-$R692))</f>
        <v/>
      </c>
      <c r="V692" s="49" t="str">
        <f>IF(OR($AM692=0,NOT(ISNUMBER($H692)),NOT(ISNUMBER($I692)),NOT(ISNUMBER($G692))),"",IF(OR($AG692="",$AH692=""),"",IF(ROUND(ABS($H692-$I692)*ABS($G692)*$AG692*$AH692,6)=0,"",ROUND(ABS($H692-$I692)*ABS($G692)*$AG692*$AH692,6))))</f>
        <v/>
      </c>
      <c r="W692" s="50" t="str">
        <f>IF($AM692=0,"",IF($BG692="","OK",LEFT($BG692,LEN($BG692)-2)))</f>
        <v/>
      </c>
      <c r="X692" s="41" t="n"/>
      <c r="Y692" s="40" t="n"/>
      <c r="Z692" s="41" t="n"/>
      <c r="AA692" s="41" t="n"/>
      <c r="AB692" s="40" t="n"/>
      <c r="AC692" s="51" t="n"/>
      <c r="AD692" s="51" t="n"/>
      <c r="AE692" s="40" t="n"/>
      <c r="AF692" s="52" t="str">
        <f>IF($AM692=0,"",IF($D692&lt;&gt;"",$D692,IF(IFERROR(INDEX(Accounts!$C$7:$C$16,MATCH($C692,Accounts!$B$7:$B$16,0))&amp;"","")&lt;&gt;"",INDEX(Accounts!$C$7:$C$16,MATCH($C692,Accounts!$B$7:$B$16,0)),Settings!$C$6)))</f>
        <v/>
      </c>
      <c r="AG692" s="53" t="str">
        <f>IF($AM692=0,"",IF(AND($BE692&gt;0,N(INDEX(Instruments!$D$6:$D$205,MAX(1,$BE692)))&gt;0),INDEX(Instruments!$D$6:$D$205,MAX(1,$BE692)),IF(N(INDEX(Settings!$D$14:$D$18,$BF692))&gt;0,INDEX(Settings!$D$14:$D$18,$BF692),"")))</f>
        <v/>
      </c>
      <c r="AH692" s="54" t="str">
        <f>IF($AM692=0,"",IF($AF692&lt;&gt;"Forex",1,IF(MID(UPPER(SUBSTITUTE(TRIM($E692),"/","")),4,3)=UPPER(TRIM(Settings!$C$7)),1,IF(LEFT(UPPER(SUBSTITUTE(TRIM($E692),"/","")),3)=UPPER(TRIM(Settings!$C$7)),IF(AND(ISNUMBER($K692),N($K692)&lt;&gt;0),1/$K692,""),""))))</f>
        <v/>
      </c>
      <c r="AI692" s="55" t="str">
        <f>IF($AM692=0,"",IF(OR(NOT(ISNUMBER($H692)),NOT(ISNUMBER($K692)),NOT(ISNUMBER($G692)),$AG692="",$AH692=""),"",ROUND(($K692-$H692)*IF($F692="Short",-1,1)*$G692*$AG692*$AH692,6)))</f>
        <v/>
      </c>
      <c r="AJ692" s="55" t="str">
        <f>IF($AM692=0,"",IF(INDEX(Settings!$E$14:$E$18,$BF692)="% of notional",IF(OR($AG692="",NOT(ISNUMBER($H692)),NOT(ISNUMBER($G692))),"",ROUND(ABS($H692*$G692*$AG692*N($AH692))*IF($L692="Limit",N(INDEX(Settings!$G$14:$G$18,$BF692)),N(INDEX(Settings!$H$14:$H$18,$BF692)))+IF(ISNUMBER($K692),ABS($K692*$G692*$AG692*N($AH692))*IF($M692="Target",N(INDEX(Settings!$G$14:$G$18,$BF692)),N(INDEX(Settings!$H$14:$H$18,$BF692))),0),6)),IF(NOT(ISNUMBER($G692)),"",ROUND(ABS($G692)*2*IF(AND($BE692&gt;0,ISNUMBER(INDEX(Instruments!$G$6:$G$205,MAX(1,$BE692)))),INDEX(Instruments!$G$6:$G$205,MAX(1,$BE692)),N(INDEX(Settings!$F$14:$F$18,$BF692))),6))))</f>
        <v/>
      </c>
      <c r="AK692" s="55" t="str">
        <f>IF($AM692=0,"",IF(ISNUMBER($O692),$O692,$AI692))</f>
        <v/>
      </c>
      <c r="AL692" s="55" t="str">
        <f>IF($AM692=0,"",IF(ISNUMBER($P692),$P692,N($AJ692)))</f>
        <v/>
      </c>
      <c r="AM692" s="56">
        <f>IF(AND($A692&lt;&gt;"",$E692&lt;&gt;"",OR(AND(ISNUMBER($G692),ISNUMBER($H692),ISNUMBER($K692)),ISNUMBER($O692))),1,0)</f>
        <v>0</v>
      </c>
      <c r="AN692" s="57" t="str">
        <f>IF($A692="","",$A692-WEEKDAY($A692,3))</f>
        <v/>
      </c>
      <c r="AO692" s="56" t="str">
        <f>IF($A692="","",WEEKDAY($A692,2))</f>
        <v/>
      </c>
      <c r="AP692" s="55" t="str">
        <f>IF(OR($AM692=0,$C692=""),"",IFERROR(N(INDEX(Accounts!$E$7:$E$16,MATCH($C692,Accounts!$B$7:$B$16,0))),0)+SUMIFS($Q$6:$Q692,$C$6:$C692,$C692))</f>
        <v/>
      </c>
      <c r="AQ692" s="55" t="str">
        <f>IF(OR($AM692=0,$C692=""),"",SUMIFS($Q$6:$Q$1005,$C$6:$C$1005,$C692,$A$6:$A$1005,$A692))</f>
        <v/>
      </c>
      <c r="AR692" s="55" t="str">
        <f>IF(OR($AM692=0,$C692=""),"",IFERROR(N(INDEX(Accounts!$E$7:$E$16,MATCH($C692,Accounts!$B$7:$B$16,0))),0)+SUMIFS($Q$6:$Q$1005,$C$6:$C$1005,$C692,$A$6:$A$1005,"&lt;="&amp;$A692))</f>
        <v/>
      </c>
      <c r="AS692" s="56">
        <f>IF(OR($AM692=0,$Q692=""),0,IF(AND($A692&gt;=Lists!$W$6,$A692&lt;=Lists!$W$7,OR(Dashboard!$D$6="All accounts",$C692=Dashboard!$D$6),OR(Dashboard!$D$7="All markets",$AF692=Dashboard!$D$7)),1,0))</f>
        <v>0</v>
      </c>
      <c r="AT692" s="55">
        <f>IF($AS692=1,N(AT691)+$Q692,N(AT691))</f>
        <v>1187.10688</v>
      </c>
      <c r="AU692" s="55">
        <f>MAX(N(AU691),$AT692)</f>
        <v>1187.10688</v>
      </c>
      <c r="AV692" s="55">
        <f>$AT692-$AU692</f>
        <v>0</v>
      </c>
      <c r="AW692" s="56">
        <f>IF($AS692=1,IF($S692="Win",N(AW691)+1,IF($S692="Loss",0,N(AW691))),N(AW691))</f>
        <v>5</v>
      </c>
      <c r="AX692" s="56">
        <f>IF($AS692=1,IF($S692="Loss",N(AX691)+1,IF($S692="Win",0,N(AX691))),N(AX691))</f>
        <v>0</v>
      </c>
      <c r="AY692" s="56" t="str">
        <f>IF($AS692=1,COUNTIF($AS$6:$AS692,1),"")</f>
        <v/>
      </c>
      <c r="AZ692" s="56">
        <f>MIN(686,N(Lists!$W$8))</f>
        <v>28</v>
      </c>
      <c r="BA692" s="56">
        <f>IF($AS692=1,IF(COUNTIFS($A$6:$A692,$A692,$AS$6:$AS692,1)=1,1,0),0)</f>
        <v>0</v>
      </c>
      <c r="BB692" s="55" t="str">
        <f>IF($BA692=1,SUMIFS($Q$6:$Q$1005,$A$6:$A$1005,$A692,$AS$6:$AS$1005,1),"")</f>
        <v/>
      </c>
      <c r="BC692" s="56">
        <f>IF(ISNUMBER($R692),1,0)</f>
        <v>0</v>
      </c>
      <c r="BD692" s="55" t="str">
        <f>IF(ISNUMBER($U692),$U692*$V692,"")</f>
        <v/>
      </c>
      <c r="BE692" s="56" t="str">
        <f>IF($AM692=0,"",IFERROR(MATCH($AF692&amp;"|"&amp;UPPER(TRIM($E692)),Lists!$A$6:$A$205,0),0))</f>
        <v/>
      </c>
      <c r="BF692" s="56" t="str">
        <f>IF($AM692=0,"",IFERROR(MATCH($AF692,Settings!$B$14:$B$18,0),IFERROR(MATCH(Settings!$C$6,Settings!$B$14:$B$18,0),1)))</f>
        <v/>
      </c>
      <c r="BG692" s="58" t="str">
        <f>IF($AM692=0,"",IF(NOT(ISNUMBER($I692)),"No stop; ","")&amp;IF(AND(ISNUMBER($H692),ISNUMBER($I692)),IF(OR(AND($F692&lt;&gt;"Short",$I692&gt;=$H692),AND($F692="Short",$I692&lt;=$H692)),"Stop on wrong side; ",""),"")&amp;IF($F692="","No direction; ","")&amp;IF(AND(ISNUMBER(Settings!$C$22),ISNUMBER($V692)),IF($V692&gt;Settings!$C$22,"Risk over max $; ",""),"")&amp;IF(AND(ISNUMBER(Settings!$C$23),ISNUMBER($V692),ISNUMBER($AP692),IFERROR(N(INDEX(Accounts!$E$7:$E$16,MATCH($C692,Accounts!$B$7:$B$16,0))),0)&gt;0),IF($V692&gt;Settings!$C$23*($AP692-N($Q692)),"Risk over max %; ",""),"")&amp;IF(AND(ISNUMBER(Settings!$C$24),ISNUMBER($N692)),IF($N692&gt;Settings!$C$24,"Leverage over max; ",""),"")&amp;IF(AND(ISNUMBER(Settings!$C$27),ISNUMBER($T692)),IF($T692&lt;Settings!$C$27,"R:R below min; ",""),"")&amp;IF(ISNUMBER(Settings!$C$25),IF(COUNTIFS($A$6:$A692,$A692,$AM$6:$AM692,1)&gt;Settings!$C$25,"Over max trades/day; ",""),"")&amp;IF(ISNUMBER(Settings!$C$26),IF(SUMIFS($Q$5:$Q691,$A$5:$A691,$A692)&lt;=-Settings!$C$26,"Traded after daily max loss; ",""),"")&amp;IF(AND($AG692="",NOT(ISNUMBER($O692))),"Symbol not in Instruments; ","")&amp;IF(AND($AH692="",NOT(ISNUMBER($O692))),"Forex cross: type Gross P&amp;L; ",""))</f>
        <v/>
      </c>
      <c r="BH692" s="56">
        <f>IF(ISNUMBER($Q692),1,0)</f>
        <v>0</v>
      </c>
      <c r="BI692" s="56">
        <f>IF($Y692="",0,1)</f>
        <v>0</v>
      </c>
      <c r="BJ692" s="56">
        <f>IF($AB692="",0,1)</f>
        <v>0</v>
      </c>
      <c r="BK692" s="56">
        <f>IF(AND($BH692=1,$W692&lt;&gt;"OK"),1,0)</f>
        <v>0</v>
      </c>
      <c r="BL692" s="55">
        <f>IF(N($AZ692)=0,0,IFERROR(INDEX($AT$6:$AT$1005,MATCH($AZ692,$AY$6:$AY$1005,0)),0))</f>
        <v>1187.10688</v>
      </c>
      <c r="BM692" s="56">
        <f>IF(ISNUMBER(SEARCH("daily max loss",$BG692)),1,0)</f>
        <v>0</v>
      </c>
    </row>
    <row r="693" ht="18" customHeight="1">
      <c r="A693" s="38" t="n"/>
      <c r="B693" s="39" t="n"/>
      <c r="C693" s="40" t="n"/>
      <c r="D693" s="41" t="n"/>
      <c r="E693" s="41" t="n"/>
      <c r="F693" s="41" t="n"/>
      <c r="G693" s="41" t="n"/>
      <c r="H693" s="42" t="n"/>
      <c r="I693" s="42" t="n"/>
      <c r="J693" s="42" t="n"/>
      <c r="K693" s="42" t="n"/>
      <c r="L693" s="41" t="n"/>
      <c r="M693" s="41" t="n"/>
      <c r="N693" s="41" t="n"/>
      <c r="O693" s="43" t="n"/>
      <c r="P693" s="43" t="n"/>
      <c r="Q693" s="44" t="str">
        <f>IF($AM693=0,"",IF(ISNUMBER($AK693),$AK693-N($AL693),""))</f>
        <v/>
      </c>
      <c r="R693" s="45" t="str">
        <f>IF(OR($Q693="",NOT(ISNUMBER($V693))),"",$AK693/$V693)</f>
        <v/>
      </c>
      <c r="S693" s="46" t="str">
        <f>IF($Q693="","",IF(AND(ISNUMBER($R693),ABS(N($R693))&lt;N(Settings!$C$8)),"Scratch",IF($Q693&gt;0,"Win",IF($Q693&lt;0,"Loss","Scratch"))))</f>
        <v/>
      </c>
      <c r="T693" s="47" t="str">
        <f>IF(OR($AM693=0,NOT(ISNUMBER($H693)),NOT(ISNUMBER($I693)),NOT(ISNUMBER($J693))),"",IF($H693=$I693,"",ROUND(ABS($J693-$H693)/ABS($H693-$I693),6)))</f>
        <v/>
      </c>
      <c r="U693" s="48" t="str">
        <f>IF(OR($S693&lt;&gt;"Win",NOT(ISNUMBER($T693)),NOT(ISNUMBER($R693))),"",MAX(0,$T693-$R693))</f>
        <v/>
      </c>
      <c r="V693" s="49" t="str">
        <f>IF(OR($AM693=0,NOT(ISNUMBER($H693)),NOT(ISNUMBER($I693)),NOT(ISNUMBER($G693))),"",IF(OR($AG693="",$AH693=""),"",IF(ROUND(ABS($H693-$I693)*ABS($G693)*$AG693*$AH693,6)=0,"",ROUND(ABS($H693-$I693)*ABS($G693)*$AG693*$AH693,6))))</f>
        <v/>
      </c>
      <c r="W693" s="50" t="str">
        <f>IF($AM693=0,"",IF($BG693="","OK",LEFT($BG693,LEN($BG693)-2)))</f>
        <v/>
      </c>
      <c r="X693" s="41" t="n"/>
      <c r="Y693" s="40" t="n"/>
      <c r="Z693" s="41" t="n"/>
      <c r="AA693" s="41" t="n"/>
      <c r="AB693" s="40" t="n"/>
      <c r="AC693" s="51" t="n"/>
      <c r="AD693" s="51" t="n"/>
      <c r="AE693" s="40" t="n"/>
      <c r="AF693" s="52" t="str">
        <f>IF($AM693=0,"",IF($D693&lt;&gt;"",$D693,IF(IFERROR(INDEX(Accounts!$C$7:$C$16,MATCH($C693,Accounts!$B$7:$B$16,0))&amp;"","")&lt;&gt;"",INDEX(Accounts!$C$7:$C$16,MATCH($C693,Accounts!$B$7:$B$16,0)),Settings!$C$6)))</f>
        <v/>
      </c>
      <c r="AG693" s="53" t="str">
        <f>IF($AM693=0,"",IF(AND($BE693&gt;0,N(INDEX(Instruments!$D$6:$D$205,MAX(1,$BE693)))&gt;0),INDEX(Instruments!$D$6:$D$205,MAX(1,$BE693)),IF(N(INDEX(Settings!$D$14:$D$18,$BF693))&gt;0,INDEX(Settings!$D$14:$D$18,$BF693),"")))</f>
        <v/>
      </c>
      <c r="AH693" s="54" t="str">
        <f>IF($AM693=0,"",IF($AF693&lt;&gt;"Forex",1,IF(MID(UPPER(SUBSTITUTE(TRIM($E693),"/","")),4,3)=UPPER(TRIM(Settings!$C$7)),1,IF(LEFT(UPPER(SUBSTITUTE(TRIM($E693),"/","")),3)=UPPER(TRIM(Settings!$C$7)),IF(AND(ISNUMBER($K693),N($K693)&lt;&gt;0),1/$K693,""),""))))</f>
        <v/>
      </c>
      <c r="AI693" s="55" t="str">
        <f>IF($AM693=0,"",IF(OR(NOT(ISNUMBER($H693)),NOT(ISNUMBER($K693)),NOT(ISNUMBER($G693)),$AG693="",$AH693=""),"",ROUND(($K693-$H693)*IF($F693="Short",-1,1)*$G693*$AG693*$AH693,6)))</f>
        <v/>
      </c>
      <c r="AJ693" s="55" t="str">
        <f>IF($AM693=0,"",IF(INDEX(Settings!$E$14:$E$18,$BF693)="% of notional",IF(OR($AG693="",NOT(ISNUMBER($H693)),NOT(ISNUMBER($G693))),"",ROUND(ABS($H693*$G693*$AG693*N($AH693))*IF($L693="Limit",N(INDEX(Settings!$G$14:$G$18,$BF693)),N(INDEX(Settings!$H$14:$H$18,$BF693)))+IF(ISNUMBER($K693),ABS($K693*$G693*$AG693*N($AH693))*IF($M693="Target",N(INDEX(Settings!$G$14:$G$18,$BF693)),N(INDEX(Settings!$H$14:$H$18,$BF693))),0),6)),IF(NOT(ISNUMBER($G693)),"",ROUND(ABS($G693)*2*IF(AND($BE693&gt;0,ISNUMBER(INDEX(Instruments!$G$6:$G$205,MAX(1,$BE693)))),INDEX(Instruments!$G$6:$G$205,MAX(1,$BE693)),N(INDEX(Settings!$F$14:$F$18,$BF693))),6))))</f>
        <v/>
      </c>
      <c r="AK693" s="55" t="str">
        <f>IF($AM693=0,"",IF(ISNUMBER($O693),$O693,$AI693))</f>
        <v/>
      </c>
      <c r="AL693" s="55" t="str">
        <f>IF($AM693=0,"",IF(ISNUMBER($P693),$P693,N($AJ693)))</f>
        <v/>
      </c>
      <c r="AM693" s="56">
        <f>IF(AND($A693&lt;&gt;"",$E693&lt;&gt;"",OR(AND(ISNUMBER($G693),ISNUMBER($H693),ISNUMBER($K693)),ISNUMBER($O693))),1,0)</f>
        <v>0</v>
      </c>
      <c r="AN693" s="57" t="str">
        <f>IF($A693="","",$A693-WEEKDAY($A693,3))</f>
        <v/>
      </c>
      <c r="AO693" s="56" t="str">
        <f>IF($A693="","",WEEKDAY($A693,2))</f>
        <v/>
      </c>
      <c r="AP693" s="55" t="str">
        <f>IF(OR($AM693=0,$C693=""),"",IFERROR(N(INDEX(Accounts!$E$7:$E$16,MATCH($C693,Accounts!$B$7:$B$16,0))),0)+SUMIFS($Q$6:$Q693,$C$6:$C693,$C693))</f>
        <v/>
      </c>
      <c r="AQ693" s="55" t="str">
        <f>IF(OR($AM693=0,$C693=""),"",SUMIFS($Q$6:$Q$1005,$C$6:$C$1005,$C693,$A$6:$A$1005,$A693))</f>
        <v/>
      </c>
      <c r="AR693" s="55" t="str">
        <f>IF(OR($AM693=0,$C693=""),"",IFERROR(N(INDEX(Accounts!$E$7:$E$16,MATCH($C693,Accounts!$B$7:$B$16,0))),0)+SUMIFS($Q$6:$Q$1005,$C$6:$C$1005,$C693,$A$6:$A$1005,"&lt;="&amp;$A693))</f>
        <v/>
      </c>
      <c r="AS693" s="56">
        <f>IF(OR($AM693=0,$Q693=""),0,IF(AND($A693&gt;=Lists!$W$6,$A693&lt;=Lists!$W$7,OR(Dashboard!$D$6="All accounts",$C693=Dashboard!$D$6),OR(Dashboard!$D$7="All markets",$AF693=Dashboard!$D$7)),1,0))</f>
        <v>0</v>
      </c>
      <c r="AT693" s="55">
        <f>IF($AS693=1,N(AT692)+$Q693,N(AT692))</f>
        <v>1187.10688</v>
      </c>
      <c r="AU693" s="55">
        <f>MAX(N(AU692),$AT693)</f>
        <v>1187.10688</v>
      </c>
      <c r="AV693" s="55">
        <f>$AT693-$AU693</f>
        <v>0</v>
      </c>
      <c r="AW693" s="56">
        <f>IF($AS693=1,IF($S693="Win",N(AW692)+1,IF($S693="Loss",0,N(AW692))),N(AW692))</f>
        <v>5</v>
      </c>
      <c r="AX693" s="56">
        <f>IF($AS693=1,IF($S693="Loss",N(AX692)+1,IF($S693="Win",0,N(AX692))),N(AX692))</f>
        <v>0</v>
      </c>
      <c r="AY693" s="56" t="str">
        <f>IF($AS693=1,COUNTIF($AS$6:$AS693,1),"")</f>
        <v/>
      </c>
      <c r="AZ693" s="56">
        <f>MIN(687,N(Lists!$W$8))</f>
        <v>28</v>
      </c>
      <c r="BA693" s="56">
        <f>IF($AS693=1,IF(COUNTIFS($A$6:$A693,$A693,$AS$6:$AS693,1)=1,1,0),0)</f>
        <v>0</v>
      </c>
      <c r="BB693" s="55" t="str">
        <f>IF($BA693=1,SUMIFS($Q$6:$Q$1005,$A$6:$A$1005,$A693,$AS$6:$AS$1005,1),"")</f>
        <v/>
      </c>
      <c r="BC693" s="56">
        <f>IF(ISNUMBER($R693),1,0)</f>
        <v>0</v>
      </c>
      <c r="BD693" s="55" t="str">
        <f>IF(ISNUMBER($U693),$U693*$V693,"")</f>
        <v/>
      </c>
      <c r="BE693" s="56" t="str">
        <f>IF($AM693=0,"",IFERROR(MATCH($AF693&amp;"|"&amp;UPPER(TRIM($E693)),Lists!$A$6:$A$205,0),0))</f>
        <v/>
      </c>
      <c r="BF693" s="56" t="str">
        <f>IF($AM693=0,"",IFERROR(MATCH($AF693,Settings!$B$14:$B$18,0),IFERROR(MATCH(Settings!$C$6,Settings!$B$14:$B$18,0),1)))</f>
        <v/>
      </c>
      <c r="BG693" s="58" t="str">
        <f>IF($AM693=0,"",IF(NOT(ISNUMBER($I693)),"No stop; ","")&amp;IF(AND(ISNUMBER($H693),ISNUMBER($I693)),IF(OR(AND($F693&lt;&gt;"Short",$I693&gt;=$H693),AND($F693="Short",$I693&lt;=$H693)),"Stop on wrong side; ",""),"")&amp;IF($F693="","No direction; ","")&amp;IF(AND(ISNUMBER(Settings!$C$22),ISNUMBER($V693)),IF($V693&gt;Settings!$C$22,"Risk over max $; ",""),"")&amp;IF(AND(ISNUMBER(Settings!$C$23),ISNUMBER($V693),ISNUMBER($AP693),IFERROR(N(INDEX(Accounts!$E$7:$E$16,MATCH($C693,Accounts!$B$7:$B$16,0))),0)&gt;0),IF($V693&gt;Settings!$C$23*($AP693-N($Q693)),"Risk over max %; ",""),"")&amp;IF(AND(ISNUMBER(Settings!$C$24),ISNUMBER($N693)),IF($N693&gt;Settings!$C$24,"Leverage over max; ",""),"")&amp;IF(AND(ISNUMBER(Settings!$C$27),ISNUMBER($T693)),IF($T693&lt;Settings!$C$27,"R:R below min; ",""),"")&amp;IF(ISNUMBER(Settings!$C$25),IF(COUNTIFS($A$6:$A693,$A693,$AM$6:$AM693,1)&gt;Settings!$C$25,"Over max trades/day; ",""),"")&amp;IF(ISNUMBER(Settings!$C$26),IF(SUMIFS($Q$5:$Q692,$A$5:$A692,$A693)&lt;=-Settings!$C$26,"Traded after daily max loss; ",""),"")&amp;IF(AND($AG693="",NOT(ISNUMBER($O693))),"Symbol not in Instruments; ","")&amp;IF(AND($AH693="",NOT(ISNUMBER($O693))),"Forex cross: type Gross P&amp;L; ",""))</f>
        <v/>
      </c>
      <c r="BH693" s="56">
        <f>IF(ISNUMBER($Q693),1,0)</f>
        <v>0</v>
      </c>
      <c r="BI693" s="56">
        <f>IF($Y693="",0,1)</f>
        <v>0</v>
      </c>
      <c r="BJ693" s="56">
        <f>IF($AB693="",0,1)</f>
        <v>0</v>
      </c>
      <c r="BK693" s="56">
        <f>IF(AND($BH693=1,$W693&lt;&gt;"OK"),1,0)</f>
        <v>0</v>
      </c>
      <c r="BL693" s="55">
        <f>IF(N($AZ693)=0,0,IFERROR(INDEX($AT$6:$AT$1005,MATCH($AZ693,$AY$6:$AY$1005,0)),0))</f>
        <v>1187.10688</v>
      </c>
      <c r="BM693" s="56">
        <f>IF(ISNUMBER(SEARCH("daily max loss",$BG693)),1,0)</f>
        <v>0</v>
      </c>
    </row>
    <row r="694" ht="18" customHeight="1">
      <c r="A694" s="38" t="n"/>
      <c r="B694" s="39" t="n"/>
      <c r="C694" s="40" t="n"/>
      <c r="D694" s="41" t="n"/>
      <c r="E694" s="41" t="n"/>
      <c r="F694" s="41" t="n"/>
      <c r="G694" s="41" t="n"/>
      <c r="H694" s="42" t="n"/>
      <c r="I694" s="42" t="n"/>
      <c r="J694" s="42" t="n"/>
      <c r="K694" s="42" t="n"/>
      <c r="L694" s="41" t="n"/>
      <c r="M694" s="41" t="n"/>
      <c r="N694" s="41" t="n"/>
      <c r="O694" s="43" t="n"/>
      <c r="P694" s="43" t="n"/>
      <c r="Q694" s="44" t="str">
        <f>IF($AM694=0,"",IF(ISNUMBER($AK694),$AK694-N($AL694),""))</f>
        <v/>
      </c>
      <c r="R694" s="45" t="str">
        <f>IF(OR($Q694="",NOT(ISNUMBER($V694))),"",$AK694/$V694)</f>
        <v/>
      </c>
      <c r="S694" s="46" t="str">
        <f>IF($Q694="","",IF(AND(ISNUMBER($R694),ABS(N($R694))&lt;N(Settings!$C$8)),"Scratch",IF($Q694&gt;0,"Win",IF($Q694&lt;0,"Loss","Scratch"))))</f>
        <v/>
      </c>
      <c r="T694" s="47" t="str">
        <f>IF(OR($AM694=0,NOT(ISNUMBER($H694)),NOT(ISNUMBER($I694)),NOT(ISNUMBER($J694))),"",IF($H694=$I694,"",ROUND(ABS($J694-$H694)/ABS($H694-$I694),6)))</f>
        <v/>
      </c>
      <c r="U694" s="48" t="str">
        <f>IF(OR($S694&lt;&gt;"Win",NOT(ISNUMBER($T694)),NOT(ISNUMBER($R694))),"",MAX(0,$T694-$R694))</f>
        <v/>
      </c>
      <c r="V694" s="49" t="str">
        <f>IF(OR($AM694=0,NOT(ISNUMBER($H694)),NOT(ISNUMBER($I694)),NOT(ISNUMBER($G694))),"",IF(OR($AG694="",$AH694=""),"",IF(ROUND(ABS($H694-$I694)*ABS($G694)*$AG694*$AH694,6)=0,"",ROUND(ABS($H694-$I694)*ABS($G694)*$AG694*$AH694,6))))</f>
        <v/>
      </c>
      <c r="W694" s="50" t="str">
        <f>IF($AM694=0,"",IF($BG694="","OK",LEFT($BG694,LEN($BG694)-2)))</f>
        <v/>
      </c>
      <c r="X694" s="41" t="n"/>
      <c r="Y694" s="40" t="n"/>
      <c r="Z694" s="41" t="n"/>
      <c r="AA694" s="41" t="n"/>
      <c r="AB694" s="40" t="n"/>
      <c r="AC694" s="51" t="n"/>
      <c r="AD694" s="51" t="n"/>
      <c r="AE694" s="40" t="n"/>
      <c r="AF694" s="52" t="str">
        <f>IF($AM694=0,"",IF($D694&lt;&gt;"",$D694,IF(IFERROR(INDEX(Accounts!$C$7:$C$16,MATCH($C694,Accounts!$B$7:$B$16,0))&amp;"","")&lt;&gt;"",INDEX(Accounts!$C$7:$C$16,MATCH($C694,Accounts!$B$7:$B$16,0)),Settings!$C$6)))</f>
        <v/>
      </c>
      <c r="AG694" s="53" t="str">
        <f>IF($AM694=0,"",IF(AND($BE694&gt;0,N(INDEX(Instruments!$D$6:$D$205,MAX(1,$BE694)))&gt;0),INDEX(Instruments!$D$6:$D$205,MAX(1,$BE694)),IF(N(INDEX(Settings!$D$14:$D$18,$BF694))&gt;0,INDEX(Settings!$D$14:$D$18,$BF694),"")))</f>
        <v/>
      </c>
      <c r="AH694" s="54" t="str">
        <f>IF($AM694=0,"",IF($AF694&lt;&gt;"Forex",1,IF(MID(UPPER(SUBSTITUTE(TRIM($E694),"/","")),4,3)=UPPER(TRIM(Settings!$C$7)),1,IF(LEFT(UPPER(SUBSTITUTE(TRIM($E694),"/","")),3)=UPPER(TRIM(Settings!$C$7)),IF(AND(ISNUMBER($K694),N($K694)&lt;&gt;0),1/$K694,""),""))))</f>
        <v/>
      </c>
      <c r="AI694" s="55" t="str">
        <f>IF($AM694=0,"",IF(OR(NOT(ISNUMBER($H694)),NOT(ISNUMBER($K694)),NOT(ISNUMBER($G694)),$AG694="",$AH694=""),"",ROUND(($K694-$H694)*IF($F694="Short",-1,1)*$G694*$AG694*$AH694,6)))</f>
        <v/>
      </c>
      <c r="AJ694" s="55" t="str">
        <f>IF($AM694=0,"",IF(INDEX(Settings!$E$14:$E$18,$BF694)="% of notional",IF(OR($AG694="",NOT(ISNUMBER($H694)),NOT(ISNUMBER($G694))),"",ROUND(ABS($H694*$G694*$AG694*N($AH694))*IF($L694="Limit",N(INDEX(Settings!$G$14:$G$18,$BF694)),N(INDEX(Settings!$H$14:$H$18,$BF694)))+IF(ISNUMBER($K694),ABS($K694*$G694*$AG694*N($AH694))*IF($M694="Target",N(INDEX(Settings!$G$14:$G$18,$BF694)),N(INDEX(Settings!$H$14:$H$18,$BF694))),0),6)),IF(NOT(ISNUMBER($G694)),"",ROUND(ABS($G694)*2*IF(AND($BE694&gt;0,ISNUMBER(INDEX(Instruments!$G$6:$G$205,MAX(1,$BE694)))),INDEX(Instruments!$G$6:$G$205,MAX(1,$BE694)),N(INDEX(Settings!$F$14:$F$18,$BF694))),6))))</f>
        <v/>
      </c>
      <c r="AK694" s="55" t="str">
        <f>IF($AM694=0,"",IF(ISNUMBER($O694),$O694,$AI694))</f>
        <v/>
      </c>
      <c r="AL694" s="55" t="str">
        <f>IF($AM694=0,"",IF(ISNUMBER($P694),$P694,N($AJ694)))</f>
        <v/>
      </c>
      <c r="AM694" s="56">
        <f>IF(AND($A694&lt;&gt;"",$E694&lt;&gt;"",OR(AND(ISNUMBER($G694),ISNUMBER($H694),ISNUMBER($K694)),ISNUMBER($O694))),1,0)</f>
        <v>0</v>
      </c>
      <c r="AN694" s="57" t="str">
        <f>IF($A694="","",$A694-WEEKDAY($A694,3))</f>
        <v/>
      </c>
      <c r="AO694" s="56" t="str">
        <f>IF($A694="","",WEEKDAY($A694,2))</f>
        <v/>
      </c>
      <c r="AP694" s="55" t="str">
        <f>IF(OR($AM694=0,$C694=""),"",IFERROR(N(INDEX(Accounts!$E$7:$E$16,MATCH($C694,Accounts!$B$7:$B$16,0))),0)+SUMIFS($Q$6:$Q694,$C$6:$C694,$C694))</f>
        <v/>
      </c>
      <c r="AQ694" s="55" t="str">
        <f>IF(OR($AM694=0,$C694=""),"",SUMIFS($Q$6:$Q$1005,$C$6:$C$1005,$C694,$A$6:$A$1005,$A694))</f>
        <v/>
      </c>
      <c r="AR694" s="55" t="str">
        <f>IF(OR($AM694=0,$C694=""),"",IFERROR(N(INDEX(Accounts!$E$7:$E$16,MATCH($C694,Accounts!$B$7:$B$16,0))),0)+SUMIFS($Q$6:$Q$1005,$C$6:$C$1005,$C694,$A$6:$A$1005,"&lt;="&amp;$A694))</f>
        <v/>
      </c>
      <c r="AS694" s="56">
        <f>IF(OR($AM694=0,$Q694=""),0,IF(AND($A694&gt;=Lists!$W$6,$A694&lt;=Lists!$W$7,OR(Dashboard!$D$6="All accounts",$C694=Dashboard!$D$6),OR(Dashboard!$D$7="All markets",$AF694=Dashboard!$D$7)),1,0))</f>
        <v>0</v>
      </c>
      <c r="AT694" s="55">
        <f>IF($AS694=1,N(AT693)+$Q694,N(AT693))</f>
        <v>1187.10688</v>
      </c>
      <c r="AU694" s="55">
        <f>MAX(N(AU693),$AT694)</f>
        <v>1187.10688</v>
      </c>
      <c r="AV694" s="55">
        <f>$AT694-$AU694</f>
        <v>0</v>
      </c>
      <c r="AW694" s="56">
        <f>IF($AS694=1,IF($S694="Win",N(AW693)+1,IF($S694="Loss",0,N(AW693))),N(AW693))</f>
        <v>5</v>
      </c>
      <c r="AX694" s="56">
        <f>IF($AS694=1,IF($S694="Loss",N(AX693)+1,IF($S694="Win",0,N(AX693))),N(AX693))</f>
        <v>0</v>
      </c>
      <c r="AY694" s="56" t="str">
        <f>IF($AS694=1,COUNTIF($AS$6:$AS694,1),"")</f>
        <v/>
      </c>
      <c r="AZ694" s="56">
        <f>MIN(688,N(Lists!$W$8))</f>
        <v>28</v>
      </c>
      <c r="BA694" s="56">
        <f>IF($AS694=1,IF(COUNTIFS($A$6:$A694,$A694,$AS$6:$AS694,1)=1,1,0),0)</f>
        <v>0</v>
      </c>
      <c r="BB694" s="55" t="str">
        <f>IF($BA694=1,SUMIFS($Q$6:$Q$1005,$A$6:$A$1005,$A694,$AS$6:$AS$1005,1),"")</f>
        <v/>
      </c>
      <c r="BC694" s="56">
        <f>IF(ISNUMBER($R694),1,0)</f>
        <v>0</v>
      </c>
      <c r="BD694" s="55" t="str">
        <f>IF(ISNUMBER($U694),$U694*$V694,"")</f>
        <v/>
      </c>
      <c r="BE694" s="56" t="str">
        <f>IF($AM694=0,"",IFERROR(MATCH($AF694&amp;"|"&amp;UPPER(TRIM($E694)),Lists!$A$6:$A$205,0),0))</f>
        <v/>
      </c>
      <c r="BF694" s="56" t="str">
        <f>IF($AM694=0,"",IFERROR(MATCH($AF694,Settings!$B$14:$B$18,0),IFERROR(MATCH(Settings!$C$6,Settings!$B$14:$B$18,0),1)))</f>
        <v/>
      </c>
      <c r="BG694" s="58" t="str">
        <f>IF($AM694=0,"",IF(NOT(ISNUMBER($I694)),"No stop; ","")&amp;IF(AND(ISNUMBER($H694),ISNUMBER($I694)),IF(OR(AND($F694&lt;&gt;"Short",$I694&gt;=$H694),AND($F694="Short",$I694&lt;=$H694)),"Stop on wrong side; ",""),"")&amp;IF($F694="","No direction; ","")&amp;IF(AND(ISNUMBER(Settings!$C$22),ISNUMBER($V694)),IF($V694&gt;Settings!$C$22,"Risk over max $; ",""),"")&amp;IF(AND(ISNUMBER(Settings!$C$23),ISNUMBER($V694),ISNUMBER($AP694),IFERROR(N(INDEX(Accounts!$E$7:$E$16,MATCH($C694,Accounts!$B$7:$B$16,0))),0)&gt;0),IF($V694&gt;Settings!$C$23*($AP694-N($Q694)),"Risk over max %; ",""),"")&amp;IF(AND(ISNUMBER(Settings!$C$24),ISNUMBER($N694)),IF($N694&gt;Settings!$C$24,"Leverage over max; ",""),"")&amp;IF(AND(ISNUMBER(Settings!$C$27),ISNUMBER($T694)),IF($T694&lt;Settings!$C$27,"R:R below min; ",""),"")&amp;IF(ISNUMBER(Settings!$C$25),IF(COUNTIFS($A$6:$A694,$A694,$AM$6:$AM694,1)&gt;Settings!$C$25,"Over max trades/day; ",""),"")&amp;IF(ISNUMBER(Settings!$C$26),IF(SUMIFS($Q$5:$Q693,$A$5:$A693,$A694)&lt;=-Settings!$C$26,"Traded after daily max loss; ",""),"")&amp;IF(AND($AG694="",NOT(ISNUMBER($O694))),"Symbol not in Instruments; ","")&amp;IF(AND($AH694="",NOT(ISNUMBER($O694))),"Forex cross: type Gross P&amp;L; ",""))</f>
        <v/>
      </c>
      <c r="BH694" s="56">
        <f>IF(ISNUMBER($Q694),1,0)</f>
        <v>0</v>
      </c>
      <c r="BI694" s="56">
        <f>IF($Y694="",0,1)</f>
        <v>0</v>
      </c>
      <c r="BJ694" s="56">
        <f>IF($AB694="",0,1)</f>
        <v>0</v>
      </c>
      <c r="BK694" s="56">
        <f>IF(AND($BH694=1,$W694&lt;&gt;"OK"),1,0)</f>
        <v>0</v>
      </c>
      <c r="BL694" s="55">
        <f>IF(N($AZ694)=0,0,IFERROR(INDEX($AT$6:$AT$1005,MATCH($AZ694,$AY$6:$AY$1005,0)),0))</f>
        <v>1187.10688</v>
      </c>
      <c r="BM694" s="56">
        <f>IF(ISNUMBER(SEARCH("daily max loss",$BG694)),1,0)</f>
        <v>0</v>
      </c>
    </row>
    <row r="695" ht="18" customHeight="1">
      <c r="A695" s="38" t="n"/>
      <c r="B695" s="39" t="n"/>
      <c r="C695" s="40" t="n"/>
      <c r="D695" s="41" t="n"/>
      <c r="E695" s="41" t="n"/>
      <c r="F695" s="41" t="n"/>
      <c r="G695" s="41" t="n"/>
      <c r="H695" s="42" t="n"/>
      <c r="I695" s="42" t="n"/>
      <c r="J695" s="42" t="n"/>
      <c r="K695" s="42" t="n"/>
      <c r="L695" s="41" t="n"/>
      <c r="M695" s="41" t="n"/>
      <c r="N695" s="41" t="n"/>
      <c r="O695" s="43" t="n"/>
      <c r="P695" s="43" t="n"/>
      <c r="Q695" s="44" t="str">
        <f>IF($AM695=0,"",IF(ISNUMBER($AK695),$AK695-N($AL695),""))</f>
        <v/>
      </c>
      <c r="R695" s="45" t="str">
        <f>IF(OR($Q695="",NOT(ISNUMBER($V695))),"",$AK695/$V695)</f>
        <v/>
      </c>
      <c r="S695" s="46" t="str">
        <f>IF($Q695="","",IF(AND(ISNUMBER($R695),ABS(N($R695))&lt;N(Settings!$C$8)),"Scratch",IF($Q695&gt;0,"Win",IF($Q695&lt;0,"Loss","Scratch"))))</f>
        <v/>
      </c>
      <c r="T695" s="47" t="str">
        <f>IF(OR($AM695=0,NOT(ISNUMBER($H695)),NOT(ISNUMBER($I695)),NOT(ISNUMBER($J695))),"",IF($H695=$I695,"",ROUND(ABS($J695-$H695)/ABS($H695-$I695),6)))</f>
        <v/>
      </c>
      <c r="U695" s="48" t="str">
        <f>IF(OR($S695&lt;&gt;"Win",NOT(ISNUMBER($T695)),NOT(ISNUMBER($R695))),"",MAX(0,$T695-$R695))</f>
        <v/>
      </c>
      <c r="V695" s="49" t="str">
        <f>IF(OR($AM695=0,NOT(ISNUMBER($H695)),NOT(ISNUMBER($I695)),NOT(ISNUMBER($G695))),"",IF(OR($AG695="",$AH695=""),"",IF(ROUND(ABS($H695-$I695)*ABS($G695)*$AG695*$AH695,6)=0,"",ROUND(ABS($H695-$I695)*ABS($G695)*$AG695*$AH695,6))))</f>
        <v/>
      </c>
      <c r="W695" s="50" t="str">
        <f>IF($AM695=0,"",IF($BG695="","OK",LEFT($BG695,LEN($BG695)-2)))</f>
        <v/>
      </c>
      <c r="X695" s="41" t="n"/>
      <c r="Y695" s="40" t="n"/>
      <c r="Z695" s="41" t="n"/>
      <c r="AA695" s="41" t="n"/>
      <c r="AB695" s="40" t="n"/>
      <c r="AC695" s="51" t="n"/>
      <c r="AD695" s="51" t="n"/>
      <c r="AE695" s="40" t="n"/>
      <c r="AF695" s="52" t="str">
        <f>IF($AM695=0,"",IF($D695&lt;&gt;"",$D695,IF(IFERROR(INDEX(Accounts!$C$7:$C$16,MATCH($C695,Accounts!$B$7:$B$16,0))&amp;"","")&lt;&gt;"",INDEX(Accounts!$C$7:$C$16,MATCH($C695,Accounts!$B$7:$B$16,0)),Settings!$C$6)))</f>
        <v/>
      </c>
      <c r="AG695" s="53" t="str">
        <f>IF($AM695=0,"",IF(AND($BE695&gt;0,N(INDEX(Instruments!$D$6:$D$205,MAX(1,$BE695)))&gt;0),INDEX(Instruments!$D$6:$D$205,MAX(1,$BE695)),IF(N(INDEX(Settings!$D$14:$D$18,$BF695))&gt;0,INDEX(Settings!$D$14:$D$18,$BF695),"")))</f>
        <v/>
      </c>
      <c r="AH695" s="54" t="str">
        <f>IF($AM695=0,"",IF($AF695&lt;&gt;"Forex",1,IF(MID(UPPER(SUBSTITUTE(TRIM($E695),"/","")),4,3)=UPPER(TRIM(Settings!$C$7)),1,IF(LEFT(UPPER(SUBSTITUTE(TRIM($E695),"/","")),3)=UPPER(TRIM(Settings!$C$7)),IF(AND(ISNUMBER($K695),N($K695)&lt;&gt;0),1/$K695,""),""))))</f>
        <v/>
      </c>
      <c r="AI695" s="55" t="str">
        <f>IF($AM695=0,"",IF(OR(NOT(ISNUMBER($H695)),NOT(ISNUMBER($K695)),NOT(ISNUMBER($G695)),$AG695="",$AH695=""),"",ROUND(($K695-$H695)*IF($F695="Short",-1,1)*$G695*$AG695*$AH695,6)))</f>
        <v/>
      </c>
      <c r="AJ695" s="55" t="str">
        <f>IF($AM695=0,"",IF(INDEX(Settings!$E$14:$E$18,$BF695)="% of notional",IF(OR($AG695="",NOT(ISNUMBER($H695)),NOT(ISNUMBER($G695))),"",ROUND(ABS($H695*$G695*$AG695*N($AH695))*IF($L695="Limit",N(INDEX(Settings!$G$14:$G$18,$BF695)),N(INDEX(Settings!$H$14:$H$18,$BF695)))+IF(ISNUMBER($K695),ABS($K695*$G695*$AG695*N($AH695))*IF($M695="Target",N(INDEX(Settings!$G$14:$G$18,$BF695)),N(INDEX(Settings!$H$14:$H$18,$BF695))),0),6)),IF(NOT(ISNUMBER($G695)),"",ROUND(ABS($G695)*2*IF(AND($BE695&gt;0,ISNUMBER(INDEX(Instruments!$G$6:$G$205,MAX(1,$BE695)))),INDEX(Instruments!$G$6:$G$205,MAX(1,$BE695)),N(INDEX(Settings!$F$14:$F$18,$BF695))),6))))</f>
        <v/>
      </c>
      <c r="AK695" s="55" t="str">
        <f>IF($AM695=0,"",IF(ISNUMBER($O695),$O695,$AI695))</f>
        <v/>
      </c>
      <c r="AL695" s="55" t="str">
        <f>IF($AM695=0,"",IF(ISNUMBER($P695),$P695,N($AJ695)))</f>
        <v/>
      </c>
      <c r="AM695" s="56">
        <f>IF(AND($A695&lt;&gt;"",$E695&lt;&gt;"",OR(AND(ISNUMBER($G695),ISNUMBER($H695),ISNUMBER($K695)),ISNUMBER($O695))),1,0)</f>
        <v>0</v>
      </c>
      <c r="AN695" s="57" t="str">
        <f>IF($A695="","",$A695-WEEKDAY($A695,3))</f>
        <v/>
      </c>
      <c r="AO695" s="56" t="str">
        <f>IF($A695="","",WEEKDAY($A695,2))</f>
        <v/>
      </c>
      <c r="AP695" s="55" t="str">
        <f>IF(OR($AM695=0,$C695=""),"",IFERROR(N(INDEX(Accounts!$E$7:$E$16,MATCH($C695,Accounts!$B$7:$B$16,0))),0)+SUMIFS($Q$6:$Q695,$C$6:$C695,$C695))</f>
        <v/>
      </c>
      <c r="AQ695" s="55" t="str">
        <f>IF(OR($AM695=0,$C695=""),"",SUMIFS($Q$6:$Q$1005,$C$6:$C$1005,$C695,$A$6:$A$1005,$A695))</f>
        <v/>
      </c>
      <c r="AR695" s="55" t="str">
        <f>IF(OR($AM695=0,$C695=""),"",IFERROR(N(INDEX(Accounts!$E$7:$E$16,MATCH($C695,Accounts!$B$7:$B$16,0))),0)+SUMIFS($Q$6:$Q$1005,$C$6:$C$1005,$C695,$A$6:$A$1005,"&lt;="&amp;$A695))</f>
        <v/>
      </c>
      <c r="AS695" s="56">
        <f>IF(OR($AM695=0,$Q695=""),0,IF(AND($A695&gt;=Lists!$W$6,$A695&lt;=Lists!$W$7,OR(Dashboard!$D$6="All accounts",$C695=Dashboard!$D$6),OR(Dashboard!$D$7="All markets",$AF695=Dashboard!$D$7)),1,0))</f>
        <v>0</v>
      </c>
      <c r="AT695" s="55">
        <f>IF($AS695=1,N(AT694)+$Q695,N(AT694))</f>
        <v>1187.10688</v>
      </c>
      <c r="AU695" s="55">
        <f>MAX(N(AU694),$AT695)</f>
        <v>1187.10688</v>
      </c>
      <c r="AV695" s="55">
        <f>$AT695-$AU695</f>
        <v>0</v>
      </c>
      <c r="AW695" s="56">
        <f>IF($AS695=1,IF($S695="Win",N(AW694)+1,IF($S695="Loss",0,N(AW694))),N(AW694))</f>
        <v>5</v>
      </c>
      <c r="AX695" s="56">
        <f>IF($AS695=1,IF($S695="Loss",N(AX694)+1,IF($S695="Win",0,N(AX694))),N(AX694))</f>
        <v>0</v>
      </c>
      <c r="AY695" s="56" t="str">
        <f>IF($AS695=1,COUNTIF($AS$6:$AS695,1),"")</f>
        <v/>
      </c>
      <c r="AZ695" s="56">
        <f>MIN(689,N(Lists!$W$8))</f>
        <v>28</v>
      </c>
      <c r="BA695" s="56">
        <f>IF($AS695=1,IF(COUNTIFS($A$6:$A695,$A695,$AS$6:$AS695,1)=1,1,0),0)</f>
        <v>0</v>
      </c>
      <c r="BB695" s="55" t="str">
        <f>IF($BA695=1,SUMIFS($Q$6:$Q$1005,$A$6:$A$1005,$A695,$AS$6:$AS$1005,1),"")</f>
        <v/>
      </c>
      <c r="BC695" s="56">
        <f>IF(ISNUMBER($R695),1,0)</f>
        <v>0</v>
      </c>
      <c r="BD695" s="55" t="str">
        <f>IF(ISNUMBER($U695),$U695*$V695,"")</f>
        <v/>
      </c>
      <c r="BE695" s="56" t="str">
        <f>IF($AM695=0,"",IFERROR(MATCH($AF695&amp;"|"&amp;UPPER(TRIM($E695)),Lists!$A$6:$A$205,0),0))</f>
        <v/>
      </c>
      <c r="BF695" s="56" t="str">
        <f>IF($AM695=0,"",IFERROR(MATCH($AF695,Settings!$B$14:$B$18,0),IFERROR(MATCH(Settings!$C$6,Settings!$B$14:$B$18,0),1)))</f>
        <v/>
      </c>
      <c r="BG695" s="58" t="str">
        <f>IF($AM695=0,"",IF(NOT(ISNUMBER($I695)),"No stop; ","")&amp;IF(AND(ISNUMBER($H695),ISNUMBER($I695)),IF(OR(AND($F695&lt;&gt;"Short",$I695&gt;=$H695),AND($F695="Short",$I695&lt;=$H695)),"Stop on wrong side; ",""),"")&amp;IF($F695="","No direction; ","")&amp;IF(AND(ISNUMBER(Settings!$C$22),ISNUMBER($V695)),IF($V695&gt;Settings!$C$22,"Risk over max $; ",""),"")&amp;IF(AND(ISNUMBER(Settings!$C$23),ISNUMBER($V695),ISNUMBER($AP695),IFERROR(N(INDEX(Accounts!$E$7:$E$16,MATCH($C695,Accounts!$B$7:$B$16,0))),0)&gt;0),IF($V695&gt;Settings!$C$23*($AP695-N($Q695)),"Risk over max %; ",""),"")&amp;IF(AND(ISNUMBER(Settings!$C$24),ISNUMBER($N695)),IF($N695&gt;Settings!$C$24,"Leverage over max; ",""),"")&amp;IF(AND(ISNUMBER(Settings!$C$27),ISNUMBER($T695)),IF($T695&lt;Settings!$C$27,"R:R below min; ",""),"")&amp;IF(ISNUMBER(Settings!$C$25),IF(COUNTIFS($A$6:$A695,$A695,$AM$6:$AM695,1)&gt;Settings!$C$25,"Over max trades/day; ",""),"")&amp;IF(ISNUMBER(Settings!$C$26),IF(SUMIFS($Q$5:$Q694,$A$5:$A694,$A695)&lt;=-Settings!$C$26,"Traded after daily max loss; ",""),"")&amp;IF(AND($AG695="",NOT(ISNUMBER($O695))),"Symbol not in Instruments; ","")&amp;IF(AND($AH695="",NOT(ISNUMBER($O695))),"Forex cross: type Gross P&amp;L; ",""))</f>
        <v/>
      </c>
      <c r="BH695" s="56">
        <f>IF(ISNUMBER($Q695),1,0)</f>
        <v>0</v>
      </c>
      <c r="BI695" s="56">
        <f>IF($Y695="",0,1)</f>
        <v>0</v>
      </c>
      <c r="BJ695" s="56">
        <f>IF($AB695="",0,1)</f>
        <v>0</v>
      </c>
      <c r="BK695" s="56">
        <f>IF(AND($BH695=1,$W695&lt;&gt;"OK"),1,0)</f>
        <v>0</v>
      </c>
      <c r="BL695" s="55">
        <f>IF(N($AZ695)=0,0,IFERROR(INDEX($AT$6:$AT$1005,MATCH($AZ695,$AY$6:$AY$1005,0)),0))</f>
        <v>1187.10688</v>
      </c>
      <c r="BM695" s="56">
        <f>IF(ISNUMBER(SEARCH("daily max loss",$BG695)),1,0)</f>
        <v>0</v>
      </c>
    </row>
    <row r="696" ht="18" customHeight="1">
      <c r="A696" s="38" t="n"/>
      <c r="B696" s="39" t="n"/>
      <c r="C696" s="40" t="n"/>
      <c r="D696" s="41" t="n"/>
      <c r="E696" s="41" t="n"/>
      <c r="F696" s="41" t="n"/>
      <c r="G696" s="41" t="n"/>
      <c r="H696" s="42" t="n"/>
      <c r="I696" s="42" t="n"/>
      <c r="J696" s="42" t="n"/>
      <c r="K696" s="42" t="n"/>
      <c r="L696" s="41" t="n"/>
      <c r="M696" s="41" t="n"/>
      <c r="N696" s="41" t="n"/>
      <c r="O696" s="43" t="n"/>
      <c r="P696" s="43" t="n"/>
      <c r="Q696" s="44" t="str">
        <f>IF($AM696=0,"",IF(ISNUMBER($AK696),$AK696-N($AL696),""))</f>
        <v/>
      </c>
      <c r="R696" s="45" t="str">
        <f>IF(OR($Q696="",NOT(ISNUMBER($V696))),"",$AK696/$V696)</f>
        <v/>
      </c>
      <c r="S696" s="46" t="str">
        <f>IF($Q696="","",IF(AND(ISNUMBER($R696),ABS(N($R696))&lt;N(Settings!$C$8)),"Scratch",IF($Q696&gt;0,"Win",IF($Q696&lt;0,"Loss","Scratch"))))</f>
        <v/>
      </c>
      <c r="T696" s="47" t="str">
        <f>IF(OR($AM696=0,NOT(ISNUMBER($H696)),NOT(ISNUMBER($I696)),NOT(ISNUMBER($J696))),"",IF($H696=$I696,"",ROUND(ABS($J696-$H696)/ABS($H696-$I696),6)))</f>
        <v/>
      </c>
      <c r="U696" s="48" t="str">
        <f>IF(OR($S696&lt;&gt;"Win",NOT(ISNUMBER($T696)),NOT(ISNUMBER($R696))),"",MAX(0,$T696-$R696))</f>
        <v/>
      </c>
      <c r="V696" s="49" t="str">
        <f>IF(OR($AM696=0,NOT(ISNUMBER($H696)),NOT(ISNUMBER($I696)),NOT(ISNUMBER($G696))),"",IF(OR($AG696="",$AH696=""),"",IF(ROUND(ABS($H696-$I696)*ABS($G696)*$AG696*$AH696,6)=0,"",ROUND(ABS($H696-$I696)*ABS($G696)*$AG696*$AH696,6))))</f>
        <v/>
      </c>
      <c r="W696" s="50" t="str">
        <f>IF($AM696=0,"",IF($BG696="","OK",LEFT($BG696,LEN($BG696)-2)))</f>
        <v/>
      </c>
      <c r="X696" s="41" t="n"/>
      <c r="Y696" s="40" t="n"/>
      <c r="Z696" s="41" t="n"/>
      <c r="AA696" s="41" t="n"/>
      <c r="AB696" s="40" t="n"/>
      <c r="AC696" s="51" t="n"/>
      <c r="AD696" s="51" t="n"/>
      <c r="AE696" s="40" t="n"/>
      <c r="AF696" s="52" t="str">
        <f>IF($AM696=0,"",IF($D696&lt;&gt;"",$D696,IF(IFERROR(INDEX(Accounts!$C$7:$C$16,MATCH($C696,Accounts!$B$7:$B$16,0))&amp;"","")&lt;&gt;"",INDEX(Accounts!$C$7:$C$16,MATCH($C696,Accounts!$B$7:$B$16,0)),Settings!$C$6)))</f>
        <v/>
      </c>
      <c r="AG696" s="53" t="str">
        <f>IF($AM696=0,"",IF(AND($BE696&gt;0,N(INDEX(Instruments!$D$6:$D$205,MAX(1,$BE696)))&gt;0),INDEX(Instruments!$D$6:$D$205,MAX(1,$BE696)),IF(N(INDEX(Settings!$D$14:$D$18,$BF696))&gt;0,INDEX(Settings!$D$14:$D$18,$BF696),"")))</f>
        <v/>
      </c>
      <c r="AH696" s="54" t="str">
        <f>IF($AM696=0,"",IF($AF696&lt;&gt;"Forex",1,IF(MID(UPPER(SUBSTITUTE(TRIM($E696),"/","")),4,3)=UPPER(TRIM(Settings!$C$7)),1,IF(LEFT(UPPER(SUBSTITUTE(TRIM($E696),"/","")),3)=UPPER(TRIM(Settings!$C$7)),IF(AND(ISNUMBER($K696),N($K696)&lt;&gt;0),1/$K696,""),""))))</f>
        <v/>
      </c>
      <c r="AI696" s="55" t="str">
        <f>IF($AM696=0,"",IF(OR(NOT(ISNUMBER($H696)),NOT(ISNUMBER($K696)),NOT(ISNUMBER($G696)),$AG696="",$AH696=""),"",ROUND(($K696-$H696)*IF($F696="Short",-1,1)*$G696*$AG696*$AH696,6)))</f>
        <v/>
      </c>
      <c r="AJ696" s="55" t="str">
        <f>IF($AM696=0,"",IF(INDEX(Settings!$E$14:$E$18,$BF696)="% of notional",IF(OR($AG696="",NOT(ISNUMBER($H696)),NOT(ISNUMBER($G696))),"",ROUND(ABS($H696*$G696*$AG696*N($AH696))*IF($L696="Limit",N(INDEX(Settings!$G$14:$G$18,$BF696)),N(INDEX(Settings!$H$14:$H$18,$BF696)))+IF(ISNUMBER($K696),ABS($K696*$G696*$AG696*N($AH696))*IF($M696="Target",N(INDEX(Settings!$G$14:$G$18,$BF696)),N(INDEX(Settings!$H$14:$H$18,$BF696))),0),6)),IF(NOT(ISNUMBER($G696)),"",ROUND(ABS($G696)*2*IF(AND($BE696&gt;0,ISNUMBER(INDEX(Instruments!$G$6:$G$205,MAX(1,$BE696)))),INDEX(Instruments!$G$6:$G$205,MAX(1,$BE696)),N(INDEX(Settings!$F$14:$F$18,$BF696))),6))))</f>
        <v/>
      </c>
      <c r="AK696" s="55" t="str">
        <f>IF($AM696=0,"",IF(ISNUMBER($O696),$O696,$AI696))</f>
        <v/>
      </c>
      <c r="AL696" s="55" t="str">
        <f>IF($AM696=0,"",IF(ISNUMBER($P696),$P696,N($AJ696)))</f>
        <v/>
      </c>
      <c r="AM696" s="56">
        <f>IF(AND($A696&lt;&gt;"",$E696&lt;&gt;"",OR(AND(ISNUMBER($G696),ISNUMBER($H696),ISNUMBER($K696)),ISNUMBER($O696))),1,0)</f>
        <v>0</v>
      </c>
      <c r="AN696" s="57" t="str">
        <f>IF($A696="","",$A696-WEEKDAY($A696,3))</f>
        <v/>
      </c>
      <c r="AO696" s="56" t="str">
        <f>IF($A696="","",WEEKDAY($A696,2))</f>
        <v/>
      </c>
      <c r="AP696" s="55" t="str">
        <f>IF(OR($AM696=0,$C696=""),"",IFERROR(N(INDEX(Accounts!$E$7:$E$16,MATCH($C696,Accounts!$B$7:$B$16,0))),0)+SUMIFS($Q$6:$Q696,$C$6:$C696,$C696))</f>
        <v/>
      </c>
      <c r="AQ696" s="55" t="str">
        <f>IF(OR($AM696=0,$C696=""),"",SUMIFS($Q$6:$Q$1005,$C$6:$C$1005,$C696,$A$6:$A$1005,$A696))</f>
        <v/>
      </c>
      <c r="AR696" s="55" t="str">
        <f>IF(OR($AM696=0,$C696=""),"",IFERROR(N(INDEX(Accounts!$E$7:$E$16,MATCH($C696,Accounts!$B$7:$B$16,0))),0)+SUMIFS($Q$6:$Q$1005,$C$6:$C$1005,$C696,$A$6:$A$1005,"&lt;="&amp;$A696))</f>
        <v/>
      </c>
      <c r="AS696" s="56">
        <f>IF(OR($AM696=0,$Q696=""),0,IF(AND($A696&gt;=Lists!$W$6,$A696&lt;=Lists!$W$7,OR(Dashboard!$D$6="All accounts",$C696=Dashboard!$D$6),OR(Dashboard!$D$7="All markets",$AF696=Dashboard!$D$7)),1,0))</f>
        <v>0</v>
      </c>
      <c r="AT696" s="55">
        <f>IF($AS696=1,N(AT695)+$Q696,N(AT695))</f>
        <v>1187.10688</v>
      </c>
      <c r="AU696" s="55">
        <f>MAX(N(AU695),$AT696)</f>
        <v>1187.10688</v>
      </c>
      <c r="AV696" s="55">
        <f>$AT696-$AU696</f>
        <v>0</v>
      </c>
      <c r="AW696" s="56">
        <f>IF($AS696=1,IF($S696="Win",N(AW695)+1,IF($S696="Loss",0,N(AW695))),N(AW695))</f>
        <v>5</v>
      </c>
      <c r="AX696" s="56">
        <f>IF($AS696=1,IF($S696="Loss",N(AX695)+1,IF($S696="Win",0,N(AX695))),N(AX695))</f>
        <v>0</v>
      </c>
      <c r="AY696" s="56" t="str">
        <f>IF($AS696=1,COUNTIF($AS$6:$AS696,1),"")</f>
        <v/>
      </c>
      <c r="AZ696" s="56">
        <f>MIN(690,N(Lists!$W$8))</f>
        <v>28</v>
      </c>
      <c r="BA696" s="56">
        <f>IF($AS696=1,IF(COUNTIFS($A$6:$A696,$A696,$AS$6:$AS696,1)=1,1,0),0)</f>
        <v>0</v>
      </c>
      <c r="BB696" s="55" t="str">
        <f>IF($BA696=1,SUMIFS($Q$6:$Q$1005,$A$6:$A$1005,$A696,$AS$6:$AS$1005,1),"")</f>
        <v/>
      </c>
      <c r="BC696" s="56">
        <f>IF(ISNUMBER($R696),1,0)</f>
        <v>0</v>
      </c>
      <c r="BD696" s="55" t="str">
        <f>IF(ISNUMBER($U696),$U696*$V696,"")</f>
        <v/>
      </c>
      <c r="BE696" s="56" t="str">
        <f>IF($AM696=0,"",IFERROR(MATCH($AF696&amp;"|"&amp;UPPER(TRIM($E696)),Lists!$A$6:$A$205,0),0))</f>
        <v/>
      </c>
      <c r="BF696" s="56" t="str">
        <f>IF($AM696=0,"",IFERROR(MATCH($AF696,Settings!$B$14:$B$18,0),IFERROR(MATCH(Settings!$C$6,Settings!$B$14:$B$18,0),1)))</f>
        <v/>
      </c>
      <c r="BG696" s="58" t="str">
        <f>IF($AM696=0,"",IF(NOT(ISNUMBER($I696)),"No stop; ","")&amp;IF(AND(ISNUMBER($H696),ISNUMBER($I696)),IF(OR(AND($F696&lt;&gt;"Short",$I696&gt;=$H696),AND($F696="Short",$I696&lt;=$H696)),"Stop on wrong side; ",""),"")&amp;IF($F696="","No direction; ","")&amp;IF(AND(ISNUMBER(Settings!$C$22),ISNUMBER($V696)),IF($V696&gt;Settings!$C$22,"Risk over max $; ",""),"")&amp;IF(AND(ISNUMBER(Settings!$C$23),ISNUMBER($V696),ISNUMBER($AP696),IFERROR(N(INDEX(Accounts!$E$7:$E$16,MATCH($C696,Accounts!$B$7:$B$16,0))),0)&gt;0),IF($V696&gt;Settings!$C$23*($AP696-N($Q696)),"Risk over max %; ",""),"")&amp;IF(AND(ISNUMBER(Settings!$C$24),ISNUMBER($N696)),IF($N696&gt;Settings!$C$24,"Leverage over max; ",""),"")&amp;IF(AND(ISNUMBER(Settings!$C$27),ISNUMBER($T696)),IF($T696&lt;Settings!$C$27,"R:R below min; ",""),"")&amp;IF(ISNUMBER(Settings!$C$25),IF(COUNTIFS($A$6:$A696,$A696,$AM$6:$AM696,1)&gt;Settings!$C$25,"Over max trades/day; ",""),"")&amp;IF(ISNUMBER(Settings!$C$26),IF(SUMIFS($Q$5:$Q695,$A$5:$A695,$A696)&lt;=-Settings!$C$26,"Traded after daily max loss; ",""),"")&amp;IF(AND($AG696="",NOT(ISNUMBER($O696))),"Symbol not in Instruments; ","")&amp;IF(AND($AH696="",NOT(ISNUMBER($O696))),"Forex cross: type Gross P&amp;L; ",""))</f>
        <v/>
      </c>
      <c r="BH696" s="56">
        <f>IF(ISNUMBER($Q696),1,0)</f>
        <v>0</v>
      </c>
      <c r="BI696" s="56">
        <f>IF($Y696="",0,1)</f>
        <v>0</v>
      </c>
      <c r="BJ696" s="56">
        <f>IF($AB696="",0,1)</f>
        <v>0</v>
      </c>
      <c r="BK696" s="56">
        <f>IF(AND($BH696=1,$W696&lt;&gt;"OK"),1,0)</f>
        <v>0</v>
      </c>
      <c r="BL696" s="55">
        <f>IF(N($AZ696)=0,0,IFERROR(INDEX($AT$6:$AT$1005,MATCH($AZ696,$AY$6:$AY$1005,0)),0))</f>
        <v>1187.10688</v>
      </c>
      <c r="BM696" s="56">
        <f>IF(ISNUMBER(SEARCH("daily max loss",$BG696)),1,0)</f>
        <v>0</v>
      </c>
    </row>
    <row r="697" ht="18" customHeight="1">
      <c r="A697" s="38" t="n"/>
      <c r="B697" s="39" t="n"/>
      <c r="C697" s="40" t="n"/>
      <c r="D697" s="41" t="n"/>
      <c r="E697" s="41" t="n"/>
      <c r="F697" s="41" t="n"/>
      <c r="G697" s="41" t="n"/>
      <c r="H697" s="42" t="n"/>
      <c r="I697" s="42" t="n"/>
      <c r="J697" s="42" t="n"/>
      <c r="K697" s="42" t="n"/>
      <c r="L697" s="41" t="n"/>
      <c r="M697" s="41" t="n"/>
      <c r="N697" s="41" t="n"/>
      <c r="O697" s="43" t="n"/>
      <c r="P697" s="43" t="n"/>
      <c r="Q697" s="44" t="str">
        <f>IF($AM697=0,"",IF(ISNUMBER($AK697),$AK697-N($AL697),""))</f>
        <v/>
      </c>
      <c r="R697" s="45" t="str">
        <f>IF(OR($Q697="",NOT(ISNUMBER($V697))),"",$AK697/$V697)</f>
        <v/>
      </c>
      <c r="S697" s="46" t="str">
        <f>IF($Q697="","",IF(AND(ISNUMBER($R697),ABS(N($R697))&lt;N(Settings!$C$8)),"Scratch",IF($Q697&gt;0,"Win",IF($Q697&lt;0,"Loss","Scratch"))))</f>
        <v/>
      </c>
      <c r="T697" s="47" t="str">
        <f>IF(OR($AM697=0,NOT(ISNUMBER($H697)),NOT(ISNUMBER($I697)),NOT(ISNUMBER($J697))),"",IF($H697=$I697,"",ROUND(ABS($J697-$H697)/ABS($H697-$I697),6)))</f>
        <v/>
      </c>
      <c r="U697" s="48" t="str">
        <f>IF(OR($S697&lt;&gt;"Win",NOT(ISNUMBER($T697)),NOT(ISNUMBER($R697))),"",MAX(0,$T697-$R697))</f>
        <v/>
      </c>
      <c r="V697" s="49" t="str">
        <f>IF(OR($AM697=0,NOT(ISNUMBER($H697)),NOT(ISNUMBER($I697)),NOT(ISNUMBER($G697))),"",IF(OR($AG697="",$AH697=""),"",IF(ROUND(ABS($H697-$I697)*ABS($G697)*$AG697*$AH697,6)=0,"",ROUND(ABS($H697-$I697)*ABS($G697)*$AG697*$AH697,6))))</f>
        <v/>
      </c>
      <c r="W697" s="50" t="str">
        <f>IF($AM697=0,"",IF($BG697="","OK",LEFT($BG697,LEN($BG697)-2)))</f>
        <v/>
      </c>
      <c r="X697" s="41" t="n"/>
      <c r="Y697" s="40" t="n"/>
      <c r="Z697" s="41" t="n"/>
      <c r="AA697" s="41" t="n"/>
      <c r="AB697" s="40" t="n"/>
      <c r="AC697" s="51" t="n"/>
      <c r="AD697" s="51" t="n"/>
      <c r="AE697" s="40" t="n"/>
      <c r="AF697" s="52" t="str">
        <f>IF($AM697=0,"",IF($D697&lt;&gt;"",$D697,IF(IFERROR(INDEX(Accounts!$C$7:$C$16,MATCH($C697,Accounts!$B$7:$B$16,0))&amp;"","")&lt;&gt;"",INDEX(Accounts!$C$7:$C$16,MATCH($C697,Accounts!$B$7:$B$16,0)),Settings!$C$6)))</f>
        <v/>
      </c>
      <c r="AG697" s="53" t="str">
        <f>IF($AM697=0,"",IF(AND($BE697&gt;0,N(INDEX(Instruments!$D$6:$D$205,MAX(1,$BE697)))&gt;0),INDEX(Instruments!$D$6:$D$205,MAX(1,$BE697)),IF(N(INDEX(Settings!$D$14:$D$18,$BF697))&gt;0,INDEX(Settings!$D$14:$D$18,$BF697),"")))</f>
        <v/>
      </c>
      <c r="AH697" s="54" t="str">
        <f>IF($AM697=0,"",IF($AF697&lt;&gt;"Forex",1,IF(MID(UPPER(SUBSTITUTE(TRIM($E697),"/","")),4,3)=UPPER(TRIM(Settings!$C$7)),1,IF(LEFT(UPPER(SUBSTITUTE(TRIM($E697),"/","")),3)=UPPER(TRIM(Settings!$C$7)),IF(AND(ISNUMBER($K697),N($K697)&lt;&gt;0),1/$K697,""),""))))</f>
        <v/>
      </c>
      <c r="AI697" s="55" t="str">
        <f>IF($AM697=0,"",IF(OR(NOT(ISNUMBER($H697)),NOT(ISNUMBER($K697)),NOT(ISNUMBER($G697)),$AG697="",$AH697=""),"",ROUND(($K697-$H697)*IF($F697="Short",-1,1)*$G697*$AG697*$AH697,6)))</f>
        <v/>
      </c>
      <c r="AJ697" s="55" t="str">
        <f>IF($AM697=0,"",IF(INDEX(Settings!$E$14:$E$18,$BF697)="% of notional",IF(OR($AG697="",NOT(ISNUMBER($H697)),NOT(ISNUMBER($G697))),"",ROUND(ABS($H697*$G697*$AG697*N($AH697))*IF($L697="Limit",N(INDEX(Settings!$G$14:$G$18,$BF697)),N(INDEX(Settings!$H$14:$H$18,$BF697)))+IF(ISNUMBER($K697),ABS($K697*$G697*$AG697*N($AH697))*IF($M697="Target",N(INDEX(Settings!$G$14:$G$18,$BF697)),N(INDEX(Settings!$H$14:$H$18,$BF697))),0),6)),IF(NOT(ISNUMBER($G697)),"",ROUND(ABS($G697)*2*IF(AND($BE697&gt;0,ISNUMBER(INDEX(Instruments!$G$6:$G$205,MAX(1,$BE697)))),INDEX(Instruments!$G$6:$G$205,MAX(1,$BE697)),N(INDEX(Settings!$F$14:$F$18,$BF697))),6))))</f>
        <v/>
      </c>
      <c r="AK697" s="55" t="str">
        <f>IF($AM697=0,"",IF(ISNUMBER($O697),$O697,$AI697))</f>
        <v/>
      </c>
      <c r="AL697" s="55" t="str">
        <f>IF($AM697=0,"",IF(ISNUMBER($P697),$P697,N($AJ697)))</f>
        <v/>
      </c>
      <c r="AM697" s="56">
        <f>IF(AND($A697&lt;&gt;"",$E697&lt;&gt;"",OR(AND(ISNUMBER($G697),ISNUMBER($H697),ISNUMBER($K697)),ISNUMBER($O697))),1,0)</f>
        <v>0</v>
      </c>
      <c r="AN697" s="57" t="str">
        <f>IF($A697="","",$A697-WEEKDAY($A697,3))</f>
        <v/>
      </c>
      <c r="AO697" s="56" t="str">
        <f>IF($A697="","",WEEKDAY($A697,2))</f>
        <v/>
      </c>
      <c r="AP697" s="55" t="str">
        <f>IF(OR($AM697=0,$C697=""),"",IFERROR(N(INDEX(Accounts!$E$7:$E$16,MATCH($C697,Accounts!$B$7:$B$16,0))),0)+SUMIFS($Q$6:$Q697,$C$6:$C697,$C697))</f>
        <v/>
      </c>
      <c r="AQ697" s="55" t="str">
        <f>IF(OR($AM697=0,$C697=""),"",SUMIFS($Q$6:$Q$1005,$C$6:$C$1005,$C697,$A$6:$A$1005,$A697))</f>
        <v/>
      </c>
      <c r="AR697" s="55" t="str">
        <f>IF(OR($AM697=0,$C697=""),"",IFERROR(N(INDEX(Accounts!$E$7:$E$16,MATCH($C697,Accounts!$B$7:$B$16,0))),0)+SUMIFS($Q$6:$Q$1005,$C$6:$C$1005,$C697,$A$6:$A$1005,"&lt;="&amp;$A697))</f>
        <v/>
      </c>
      <c r="AS697" s="56">
        <f>IF(OR($AM697=0,$Q697=""),0,IF(AND($A697&gt;=Lists!$W$6,$A697&lt;=Lists!$W$7,OR(Dashboard!$D$6="All accounts",$C697=Dashboard!$D$6),OR(Dashboard!$D$7="All markets",$AF697=Dashboard!$D$7)),1,0))</f>
        <v>0</v>
      </c>
      <c r="AT697" s="55">
        <f>IF($AS697=1,N(AT696)+$Q697,N(AT696))</f>
        <v>1187.10688</v>
      </c>
      <c r="AU697" s="55">
        <f>MAX(N(AU696),$AT697)</f>
        <v>1187.10688</v>
      </c>
      <c r="AV697" s="55">
        <f>$AT697-$AU697</f>
        <v>0</v>
      </c>
      <c r="AW697" s="56">
        <f>IF($AS697=1,IF($S697="Win",N(AW696)+1,IF($S697="Loss",0,N(AW696))),N(AW696))</f>
        <v>5</v>
      </c>
      <c r="AX697" s="56">
        <f>IF($AS697=1,IF($S697="Loss",N(AX696)+1,IF($S697="Win",0,N(AX696))),N(AX696))</f>
        <v>0</v>
      </c>
      <c r="AY697" s="56" t="str">
        <f>IF($AS697=1,COUNTIF($AS$6:$AS697,1),"")</f>
        <v/>
      </c>
      <c r="AZ697" s="56">
        <f>MIN(691,N(Lists!$W$8))</f>
        <v>28</v>
      </c>
      <c r="BA697" s="56">
        <f>IF($AS697=1,IF(COUNTIFS($A$6:$A697,$A697,$AS$6:$AS697,1)=1,1,0),0)</f>
        <v>0</v>
      </c>
      <c r="BB697" s="55" t="str">
        <f>IF($BA697=1,SUMIFS($Q$6:$Q$1005,$A$6:$A$1005,$A697,$AS$6:$AS$1005,1),"")</f>
        <v/>
      </c>
      <c r="BC697" s="56">
        <f>IF(ISNUMBER($R697),1,0)</f>
        <v>0</v>
      </c>
      <c r="BD697" s="55" t="str">
        <f>IF(ISNUMBER($U697),$U697*$V697,"")</f>
        <v/>
      </c>
      <c r="BE697" s="56" t="str">
        <f>IF($AM697=0,"",IFERROR(MATCH($AF697&amp;"|"&amp;UPPER(TRIM($E697)),Lists!$A$6:$A$205,0),0))</f>
        <v/>
      </c>
      <c r="BF697" s="56" t="str">
        <f>IF($AM697=0,"",IFERROR(MATCH($AF697,Settings!$B$14:$B$18,0),IFERROR(MATCH(Settings!$C$6,Settings!$B$14:$B$18,0),1)))</f>
        <v/>
      </c>
      <c r="BG697" s="58" t="str">
        <f>IF($AM697=0,"",IF(NOT(ISNUMBER($I697)),"No stop; ","")&amp;IF(AND(ISNUMBER($H697),ISNUMBER($I697)),IF(OR(AND($F697&lt;&gt;"Short",$I697&gt;=$H697),AND($F697="Short",$I697&lt;=$H697)),"Stop on wrong side; ",""),"")&amp;IF($F697="","No direction; ","")&amp;IF(AND(ISNUMBER(Settings!$C$22),ISNUMBER($V697)),IF($V697&gt;Settings!$C$22,"Risk over max $; ",""),"")&amp;IF(AND(ISNUMBER(Settings!$C$23),ISNUMBER($V697),ISNUMBER($AP697),IFERROR(N(INDEX(Accounts!$E$7:$E$16,MATCH($C697,Accounts!$B$7:$B$16,0))),0)&gt;0),IF($V697&gt;Settings!$C$23*($AP697-N($Q697)),"Risk over max %; ",""),"")&amp;IF(AND(ISNUMBER(Settings!$C$24),ISNUMBER($N697)),IF($N697&gt;Settings!$C$24,"Leverage over max; ",""),"")&amp;IF(AND(ISNUMBER(Settings!$C$27),ISNUMBER($T697)),IF($T697&lt;Settings!$C$27,"R:R below min; ",""),"")&amp;IF(ISNUMBER(Settings!$C$25),IF(COUNTIFS($A$6:$A697,$A697,$AM$6:$AM697,1)&gt;Settings!$C$25,"Over max trades/day; ",""),"")&amp;IF(ISNUMBER(Settings!$C$26),IF(SUMIFS($Q$5:$Q696,$A$5:$A696,$A697)&lt;=-Settings!$C$26,"Traded after daily max loss; ",""),"")&amp;IF(AND($AG697="",NOT(ISNUMBER($O697))),"Symbol not in Instruments; ","")&amp;IF(AND($AH697="",NOT(ISNUMBER($O697))),"Forex cross: type Gross P&amp;L; ",""))</f>
        <v/>
      </c>
      <c r="BH697" s="56">
        <f>IF(ISNUMBER($Q697),1,0)</f>
        <v>0</v>
      </c>
      <c r="BI697" s="56">
        <f>IF($Y697="",0,1)</f>
        <v>0</v>
      </c>
      <c r="BJ697" s="56">
        <f>IF($AB697="",0,1)</f>
        <v>0</v>
      </c>
      <c r="BK697" s="56">
        <f>IF(AND($BH697=1,$W697&lt;&gt;"OK"),1,0)</f>
        <v>0</v>
      </c>
      <c r="BL697" s="55">
        <f>IF(N($AZ697)=0,0,IFERROR(INDEX($AT$6:$AT$1005,MATCH($AZ697,$AY$6:$AY$1005,0)),0))</f>
        <v>1187.10688</v>
      </c>
      <c r="BM697" s="56">
        <f>IF(ISNUMBER(SEARCH("daily max loss",$BG697)),1,0)</f>
        <v>0</v>
      </c>
    </row>
    <row r="698" ht="18" customHeight="1">
      <c r="A698" s="38" t="n"/>
      <c r="B698" s="39" t="n"/>
      <c r="C698" s="40" t="n"/>
      <c r="D698" s="41" t="n"/>
      <c r="E698" s="41" t="n"/>
      <c r="F698" s="41" t="n"/>
      <c r="G698" s="41" t="n"/>
      <c r="H698" s="42" t="n"/>
      <c r="I698" s="42" t="n"/>
      <c r="J698" s="42" t="n"/>
      <c r="K698" s="42" t="n"/>
      <c r="L698" s="41" t="n"/>
      <c r="M698" s="41" t="n"/>
      <c r="N698" s="41" t="n"/>
      <c r="O698" s="43" t="n"/>
      <c r="P698" s="43" t="n"/>
      <c r="Q698" s="44" t="str">
        <f>IF($AM698=0,"",IF(ISNUMBER($AK698),$AK698-N($AL698),""))</f>
        <v/>
      </c>
      <c r="R698" s="45" t="str">
        <f>IF(OR($Q698="",NOT(ISNUMBER($V698))),"",$AK698/$V698)</f>
        <v/>
      </c>
      <c r="S698" s="46" t="str">
        <f>IF($Q698="","",IF(AND(ISNUMBER($R698),ABS(N($R698))&lt;N(Settings!$C$8)),"Scratch",IF($Q698&gt;0,"Win",IF($Q698&lt;0,"Loss","Scratch"))))</f>
        <v/>
      </c>
      <c r="T698" s="47" t="str">
        <f>IF(OR($AM698=0,NOT(ISNUMBER($H698)),NOT(ISNUMBER($I698)),NOT(ISNUMBER($J698))),"",IF($H698=$I698,"",ROUND(ABS($J698-$H698)/ABS($H698-$I698),6)))</f>
        <v/>
      </c>
      <c r="U698" s="48" t="str">
        <f>IF(OR($S698&lt;&gt;"Win",NOT(ISNUMBER($T698)),NOT(ISNUMBER($R698))),"",MAX(0,$T698-$R698))</f>
        <v/>
      </c>
      <c r="V698" s="49" t="str">
        <f>IF(OR($AM698=0,NOT(ISNUMBER($H698)),NOT(ISNUMBER($I698)),NOT(ISNUMBER($G698))),"",IF(OR($AG698="",$AH698=""),"",IF(ROUND(ABS($H698-$I698)*ABS($G698)*$AG698*$AH698,6)=0,"",ROUND(ABS($H698-$I698)*ABS($G698)*$AG698*$AH698,6))))</f>
        <v/>
      </c>
      <c r="W698" s="50" t="str">
        <f>IF($AM698=0,"",IF($BG698="","OK",LEFT($BG698,LEN($BG698)-2)))</f>
        <v/>
      </c>
      <c r="X698" s="41" t="n"/>
      <c r="Y698" s="40" t="n"/>
      <c r="Z698" s="41" t="n"/>
      <c r="AA698" s="41" t="n"/>
      <c r="AB698" s="40" t="n"/>
      <c r="AC698" s="51" t="n"/>
      <c r="AD698" s="51" t="n"/>
      <c r="AE698" s="40" t="n"/>
      <c r="AF698" s="52" t="str">
        <f>IF($AM698=0,"",IF($D698&lt;&gt;"",$D698,IF(IFERROR(INDEX(Accounts!$C$7:$C$16,MATCH($C698,Accounts!$B$7:$B$16,0))&amp;"","")&lt;&gt;"",INDEX(Accounts!$C$7:$C$16,MATCH($C698,Accounts!$B$7:$B$16,0)),Settings!$C$6)))</f>
        <v/>
      </c>
      <c r="AG698" s="53" t="str">
        <f>IF($AM698=0,"",IF(AND($BE698&gt;0,N(INDEX(Instruments!$D$6:$D$205,MAX(1,$BE698)))&gt;0),INDEX(Instruments!$D$6:$D$205,MAX(1,$BE698)),IF(N(INDEX(Settings!$D$14:$D$18,$BF698))&gt;0,INDEX(Settings!$D$14:$D$18,$BF698),"")))</f>
        <v/>
      </c>
      <c r="AH698" s="54" t="str">
        <f>IF($AM698=0,"",IF($AF698&lt;&gt;"Forex",1,IF(MID(UPPER(SUBSTITUTE(TRIM($E698),"/","")),4,3)=UPPER(TRIM(Settings!$C$7)),1,IF(LEFT(UPPER(SUBSTITUTE(TRIM($E698),"/","")),3)=UPPER(TRIM(Settings!$C$7)),IF(AND(ISNUMBER($K698),N($K698)&lt;&gt;0),1/$K698,""),""))))</f>
        <v/>
      </c>
      <c r="AI698" s="55" t="str">
        <f>IF($AM698=0,"",IF(OR(NOT(ISNUMBER($H698)),NOT(ISNUMBER($K698)),NOT(ISNUMBER($G698)),$AG698="",$AH698=""),"",ROUND(($K698-$H698)*IF($F698="Short",-1,1)*$G698*$AG698*$AH698,6)))</f>
        <v/>
      </c>
      <c r="AJ698" s="55" t="str">
        <f>IF($AM698=0,"",IF(INDEX(Settings!$E$14:$E$18,$BF698)="% of notional",IF(OR($AG698="",NOT(ISNUMBER($H698)),NOT(ISNUMBER($G698))),"",ROUND(ABS($H698*$G698*$AG698*N($AH698))*IF($L698="Limit",N(INDEX(Settings!$G$14:$G$18,$BF698)),N(INDEX(Settings!$H$14:$H$18,$BF698)))+IF(ISNUMBER($K698),ABS($K698*$G698*$AG698*N($AH698))*IF($M698="Target",N(INDEX(Settings!$G$14:$G$18,$BF698)),N(INDEX(Settings!$H$14:$H$18,$BF698))),0),6)),IF(NOT(ISNUMBER($G698)),"",ROUND(ABS($G698)*2*IF(AND($BE698&gt;0,ISNUMBER(INDEX(Instruments!$G$6:$G$205,MAX(1,$BE698)))),INDEX(Instruments!$G$6:$G$205,MAX(1,$BE698)),N(INDEX(Settings!$F$14:$F$18,$BF698))),6))))</f>
        <v/>
      </c>
      <c r="AK698" s="55" t="str">
        <f>IF($AM698=0,"",IF(ISNUMBER($O698),$O698,$AI698))</f>
        <v/>
      </c>
      <c r="AL698" s="55" t="str">
        <f>IF($AM698=0,"",IF(ISNUMBER($P698),$P698,N($AJ698)))</f>
        <v/>
      </c>
      <c r="AM698" s="56">
        <f>IF(AND($A698&lt;&gt;"",$E698&lt;&gt;"",OR(AND(ISNUMBER($G698),ISNUMBER($H698),ISNUMBER($K698)),ISNUMBER($O698))),1,0)</f>
        <v>0</v>
      </c>
      <c r="AN698" s="57" t="str">
        <f>IF($A698="","",$A698-WEEKDAY($A698,3))</f>
        <v/>
      </c>
      <c r="AO698" s="56" t="str">
        <f>IF($A698="","",WEEKDAY($A698,2))</f>
        <v/>
      </c>
      <c r="AP698" s="55" t="str">
        <f>IF(OR($AM698=0,$C698=""),"",IFERROR(N(INDEX(Accounts!$E$7:$E$16,MATCH($C698,Accounts!$B$7:$B$16,0))),0)+SUMIFS($Q$6:$Q698,$C$6:$C698,$C698))</f>
        <v/>
      </c>
      <c r="AQ698" s="55" t="str">
        <f>IF(OR($AM698=0,$C698=""),"",SUMIFS($Q$6:$Q$1005,$C$6:$C$1005,$C698,$A$6:$A$1005,$A698))</f>
        <v/>
      </c>
      <c r="AR698" s="55" t="str">
        <f>IF(OR($AM698=0,$C698=""),"",IFERROR(N(INDEX(Accounts!$E$7:$E$16,MATCH($C698,Accounts!$B$7:$B$16,0))),0)+SUMIFS($Q$6:$Q$1005,$C$6:$C$1005,$C698,$A$6:$A$1005,"&lt;="&amp;$A698))</f>
        <v/>
      </c>
      <c r="AS698" s="56">
        <f>IF(OR($AM698=0,$Q698=""),0,IF(AND($A698&gt;=Lists!$W$6,$A698&lt;=Lists!$W$7,OR(Dashboard!$D$6="All accounts",$C698=Dashboard!$D$6),OR(Dashboard!$D$7="All markets",$AF698=Dashboard!$D$7)),1,0))</f>
        <v>0</v>
      </c>
      <c r="AT698" s="55">
        <f>IF($AS698=1,N(AT697)+$Q698,N(AT697))</f>
        <v>1187.10688</v>
      </c>
      <c r="AU698" s="55">
        <f>MAX(N(AU697),$AT698)</f>
        <v>1187.10688</v>
      </c>
      <c r="AV698" s="55">
        <f>$AT698-$AU698</f>
        <v>0</v>
      </c>
      <c r="AW698" s="56">
        <f>IF($AS698=1,IF($S698="Win",N(AW697)+1,IF($S698="Loss",0,N(AW697))),N(AW697))</f>
        <v>5</v>
      </c>
      <c r="AX698" s="56">
        <f>IF($AS698=1,IF($S698="Loss",N(AX697)+1,IF($S698="Win",0,N(AX697))),N(AX697))</f>
        <v>0</v>
      </c>
      <c r="AY698" s="56" t="str">
        <f>IF($AS698=1,COUNTIF($AS$6:$AS698,1),"")</f>
        <v/>
      </c>
      <c r="AZ698" s="56">
        <f>MIN(692,N(Lists!$W$8))</f>
        <v>28</v>
      </c>
      <c r="BA698" s="56">
        <f>IF($AS698=1,IF(COUNTIFS($A$6:$A698,$A698,$AS$6:$AS698,1)=1,1,0),0)</f>
        <v>0</v>
      </c>
      <c r="BB698" s="55" t="str">
        <f>IF($BA698=1,SUMIFS($Q$6:$Q$1005,$A$6:$A$1005,$A698,$AS$6:$AS$1005,1),"")</f>
        <v/>
      </c>
      <c r="BC698" s="56">
        <f>IF(ISNUMBER($R698),1,0)</f>
        <v>0</v>
      </c>
      <c r="BD698" s="55" t="str">
        <f>IF(ISNUMBER($U698),$U698*$V698,"")</f>
        <v/>
      </c>
      <c r="BE698" s="56" t="str">
        <f>IF($AM698=0,"",IFERROR(MATCH($AF698&amp;"|"&amp;UPPER(TRIM($E698)),Lists!$A$6:$A$205,0),0))</f>
        <v/>
      </c>
      <c r="BF698" s="56" t="str">
        <f>IF($AM698=0,"",IFERROR(MATCH($AF698,Settings!$B$14:$B$18,0),IFERROR(MATCH(Settings!$C$6,Settings!$B$14:$B$18,0),1)))</f>
        <v/>
      </c>
      <c r="BG698" s="58" t="str">
        <f>IF($AM698=0,"",IF(NOT(ISNUMBER($I698)),"No stop; ","")&amp;IF(AND(ISNUMBER($H698),ISNUMBER($I698)),IF(OR(AND($F698&lt;&gt;"Short",$I698&gt;=$H698),AND($F698="Short",$I698&lt;=$H698)),"Stop on wrong side; ",""),"")&amp;IF($F698="","No direction; ","")&amp;IF(AND(ISNUMBER(Settings!$C$22),ISNUMBER($V698)),IF($V698&gt;Settings!$C$22,"Risk over max $; ",""),"")&amp;IF(AND(ISNUMBER(Settings!$C$23),ISNUMBER($V698),ISNUMBER($AP698),IFERROR(N(INDEX(Accounts!$E$7:$E$16,MATCH($C698,Accounts!$B$7:$B$16,0))),0)&gt;0),IF($V698&gt;Settings!$C$23*($AP698-N($Q698)),"Risk over max %; ",""),"")&amp;IF(AND(ISNUMBER(Settings!$C$24),ISNUMBER($N698)),IF($N698&gt;Settings!$C$24,"Leverage over max; ",""),"")&amp;IF(AND(ISNUMBER(Settings!$C$27),ISNUMBER($T698)),IF($T698&lt;Settings!$C$27,"R:R below min; ",""),"")&amp;IF(ISNUMBER(Settings!$C$25),IF(COUNTIFS($A$6:$A698,$A698,$AM$6:$AM698,1)&gt;Settings!$C$25,"Over max trades/day; ",""),"")&amp;IF(ISNUMBER(Settings!$C$26),IF(SUMIFS($Q$5:$Q697,$A$5:$A697,$A698)&lt;=-Settings!$C$26,"Traded after daily max loss; ",""),"")&amp;IF(AND($AG698="",NOT(ISNUMBER($O698))),"Symbol not in Instruments; ","")&amp;IF(AND($AH698="",NOT(ISNUMBER($O698))),"Forex cross: type Gross P&amp;L; ",""))</f>
        <v/>
      </c>
      <c r="BH698" s="56">
        <f>IF(ISNUMBER($Q698),1,0)</f>
        <v>0</v>
      </c>
      <c r="BI698" s="56">
        <f>IF($Y698="",0,1)</f>
        <v>0</v>
      </c>
      <c r="BJ698" s="56">
        <f>IF($AB698="",0,1)</f>
        <v>0</v>
      </c>
      <c r="BK698" s="56">
        <f>IF(AND($BH698=1,$W698&lt;&gt;"OK"),1,0)</f>
        <v>0</v>
      </c>
      <c r="BL698" s="55">
        <f>IF(N($AZ698)=0,0,IFERROR(INDEX($AT$6:$AT$1005,MATCH($AZ698,$AY$6:$AY$1005,0)),0))</f>
        <v>1187.10688</v>
      </c>
      <c r="BM698" s="56">
        <f>IF(ISNUMBER(SEARCH("daily max loss",$BG698)),1,0)</f>
        <v>0</v>
      </c>
    </row>
    <row r="699" ht="18" customHeight="1">
      <c r="A699" s="38" t="n"/>
      <c r="B699" s="39" t="n"/>
      <c r="C699" s="40" t="n"/>
      <c r="D699" s="41" t="n"/>
      <c r="E699" s="41" t="n"/>
      <c r="F699" s="41" t="n"/>
      <c r="G699" s="41" t="n"/>
      <c r="H699" s="42" t="n"/>
      <c r="I699" s="42" t="n"/>
      <c r="J699" s="42" t="n"/>
      <c r="K699" s="42" t="n"/>
      <c r="L699" s="41" t="n"/>
      <c r="M699" s="41" t="n"/>
      <c r="N699" s="41" t="n"/>
      <c r="O699" s="43" t="n"/>
      <c r="P699" s="43" t="n"/>
      <c r="Q699" s="44" t="str">
        <f>IF($AM699=0,"",IF(ISNUMBER($AK699),$AK699-N($AL699),""))</f>
        <v/>
      </c>
      <c r="R699" s="45" t="str">
        <f>IF(OR($Q699="",NOT(ISNUMBER($V699))),"",$AK699/$V699)</f>
        <v/>
      </c>
      <c r="S699" s="46" t="str">
        <f>IF($Q699="","",IF(AND(ISNUMBER($R699),ABS(N($R699))&lt;N(Settings!$C$8)),"Scratch",IF($Q699&gt;0,"Win",IF($Q699&lt;0,"Loss","Scratch"))))</f>
        <v/>
      </c>
      <c r="T699" s="47" t="str">
        <f>IF(OR($AM699=0,NOT(ISNUMBER($H699)),NOT(ISNUMBER($I699)),NOT(ISNUMBER($J699))),"",IF($H699=$I699,"",ROUND(ABS($J699-$H699)/ABS($H699-$I699),6)))</f>
        <v/>
      </c>
      <c r="U699" s="48" t="str">
        <f>IF(OR($S699&lt;&gt;"Win",NOT(ISNUMBER($T699)),NOT(ISNUMBER($R699))),"",MAX(0,$T699-$R699))</f>
        <v/>
      </c>
      <c r="V699" s="49" t="str">
        <f>IF(OR($AM699=0,NOT(ISNUMBER($H699)),NOT(ISNUMBER($I699)),NOT(ISNUMBER($G699))),"",IF(OR($AG699="",$AH699=""),"",IF(ROUND(ABS($H699-$I699)*ABS($G699)*$AG699*$AH699,6)=0,"",ROUND(ABS($H699-$I699)*ABS($G699)*$AG699*$AH699,6))))</f>
        <v/>
      </c>
      <c r="W699" s="50" t="str">
        <f>IF($AM699=0,"",IF($BG699="","OK",LEFT($BG699,LEN($BG699)-2)))</f>
        <v/>
      </c>
      <c r="X699" s="41" t="n"/>
      <c r="Y699" s="40" t="n"/>
      <c r="Z699" s="41" t="n"/>
      <c r="AA699" s="41" t="n"/>
      <c r="AB699" s="40" t="n"/>
      <c r="AC699" s="51" t="n"/>
      <c r="AD699" s="51" t="n"/>
      <c r="AE699" s="40" t="n"/>
      <c r="AF699" s="52" t="str">
        <f>IF($AM699=0,"",IF($D699&lt;&gt;"",$D699,IF(IFERROR(INDEX(Accounts!$C$7:$C$16,MATCH($C699,Accounts!$B$7:$B$16,0))&amp;"","")&lt;&gt;"",INDEX(Accounts!$C$7:$C$16,MATCH($C699,Accounts!$B$7:$B$16,0)),Settings!$C$6)))</f>
        <v/>
      </c>
      <c r="AG699" s="53" t="str">
        <f>IF($AM699=0,"",IF(AND($BE699&gt;0,N(INDEX(Instruments!$D$6:$D$205,MAX(1,$BE699)))&gt;0),INDEX(Instruments!$D$6:$D$205,MAX(1,$BE699)),IF(N(INDEX(Settings!$D$14:$D$18,$BF699))&gt;0,INDEX(Settings!$D$14:$D$18,$BF699),"")))</f>
        <v/>
      </c>
      <c r="AH699" s="54" t="str">
        <f>IF($AM699=0,"",IF($AF699&lt;&gt;"Forex",1,IF(MID(UPPER(SUBSTITUTE(TRIM($E699),"/","")),4,3)=UPPER(TRIM(Settings!$C$7)),1,IF(LEFT(UPPER(SUBSTITUTE(TRIM($E699),"/","")),3)=UPPER(TRIM(Settings!$C$7)),IF(AND(ISNUMBER($K699),N($K699)&lt;&gt;0),1/$K699,""),""))))</f>
        <v/>
      </c>
      <c r="AI699" s="55" t="str">
        <f>IF($AM699=0,"",IF(OR(NOT(ISNUMBER($H699)),NOT(ISNUMBER($K699)),NOT(ISNUMBER($G699)),$AG699="",$AH699=""),"",ROUND(($K699-$H699)*IF($F699="Short",-1,1)*$G699*$AG699*$AH699,6)))</f>
        <v/>
      </c>
      <c r="AJ699" s="55" t="str">
        <f>IF($AM699=0,"",IF(INDEX(Settings!$E$14:$E$18,$BF699)="% of notional",IF(OR($AG699="",NOT(ISNUMBER($H699)),NOT(ISNUMBER($G699))),"",ROUND(ABS($H699*$G699*$AG699*N($AH699))*IF($L699="Limit",N(INDEX(Settings!$G$14:$G$18,$BF699)),N(INDEX(Settings!$H$14:$H$18,$BF699)))+IF(ISNUMBER($K699),ABS($K699*$G699*$AG699*N($AH699))*IF($M699="Target",N(INDEX(Settings!$G$14:$G$18,$BF699)),N(INDEX(Settings!$H$14:$H$18,$BF699))),0),6)),IF(NOT(ISNUMBER($G699)),"",ROUND(ABS($G699)*2*IF(AND($BE699&gt;0,ISNUMBER(INDEX(Instruments!$G$6:$G$205,MAX(1,$BE699)))),INDEX(Instruments!$G$6:$G$205,MAX(1,$BE699)),N(INDEX(Settings!$F$14:$F$18,$BF699))),6))))</f>
        <v/>
      </c>
      <c r="AK699" s="55" t="str">
        <f>IF($AM699=0,"",IF(ISNUMBER($O699),$O699,$AI699))</f>
        <v/>
      </c>
      <c r="AL699" s="55" t="str">
        <f>IF($AM699=0,"",IF(ISNUMBER($P699),$P699,N($AJ699)))</f>
        <v/>
      </c>
      <c r="AM699" s="56">
        <f>IF(AND($A699&lt;&gt;"",$E699&lt;&gt;"",OR(AND(ISNUMBER($G699),ISNUMBER($H699),ISNUMBER($K699)),ISNUMBER($O699))),1,0)</f>
        <v>0</v>
      </c>
      <c r="AN699" s="57" t="str">
        <f>IF($A699="","",$A699-WEEKDAY($A699,3))</f>
        <v/>
      </c>
      <c r="AO699" s="56" t="str">
        <f>IF($A699="","",WEEKDAY($A699,2))</f>
        <v/>
      </c>
      <c r="AP699" s="55" t="str">
        <f>IF(OR($AM699=0,$C699=""),"",IFERROR(N(INDEX(Accounts!$E$7:$E$16,MATCH($C699,Accounts!$B$7:$B$16,0))),0)+SUMIFS($Q$6:$Q699,$C$6:$C699,$C699))</f>
        <v/>
      </c>
      <c r="AQ699" s="55" t="str">
        <f>IF(OR($AM699=0,$C699=""),"",SUMIFS($Q$6:$Q$1005,$C$6:$C$1005,$C699,$A$6:$A$1005,$A699))</f>
        <v/>
      </c>
      <c r="AR699" s="55" t="str">
        <f>IF(OR($AM699=0,$C699=""),"",IFERROR(N(INDEX(Accounts!$E$7:$E$16,MATCH($C699,Accounts!$B$7:$B$16,0))),0)+SUMIFS($Q$6:$Q$1005,$C$6:$C$1005,$C699,$A$6:$A$1005,"&lt;="&amp;$A699))</f>
        <v/>
      </c>
      <c r="AS699" s="56">
        <f>IF(OR($AM699=0,$Q699=""),0,IF(AND($A699&gt;=Lists!$W$6,$A699&lt;=Lists!$W$7,OR(Dashboard!$D$6="All accounts",$C699=Dashboard!$D$6),OR(Dashboard!$D$7="All markets",$AF699=Dashboard!$D$7)),1,0))</f>
        <v>0</v>
      </c>
      <c r="AT699" s="55">
        <f>IF($AS699=1,N(AT698)+$Q699,N(AT698))</f>
        <v>1187.10688</v>
      </c>
      <c r="AU699" s="55">
        <f>MAX(N(AU698),$AT699)</f>
        <v>1187.10688</v>
      </c>
      <c r="AV699" s="55">
        <f>$AT699-$AU699</f>
        <v>0</v>
      </c>
      <c r="AW699" s="56">
        <f>IF($AS699=1,IF($S699="Win",N(AW698)+1,IF($S699="Loss",0,N(AW698))),N(AW698))</f>
        <v>5</v>
      </c>
      <c r="AX699" s="56">
        <f>IF($AS699=1,IF($S699="Loss",N(AX698)+1,IF($S699="Win",0,N(AX698))),N(AX698))</f>
        <v>0</v>
      </c>
      <c r="AY699" s="56" t="str">
        <f>IF($AS699=1,COUNTIF($AS$6:$AS699,1),"")</f>
        <v/>
      </c>
      <c r="AZ699" s="56">
        <f>MIN(693,N(Lists!$W$8))</f>
        <v>28</v>
      </c>
      <c r="BA699" s="56">
        <f>IF($AS699=1,IF(COUNTIFS($A$6:$A699,$A699,$AS$6:$AS699,1)=1,1,0),0)</f>
        <v>0</v>
      </c>
      <c r="BB699" s="55" t="str">
        <f>IF($BA699=1,SUMIFS($Q$6:$Q$1005,$A$6:$A$1005,$A699,$AS$6:$AS$1005,1),"")</f>
        <v/>
      </c>
      <c r="BC699" s="56">
        <f>IF(ISNUMBER($R699),1,0)</f>
        <v>0</v>
      </c>
      <c r="BD699" s="55" t="str">
        <f>IF(ISNUMBER($U699),$U699*$V699,"")</f>
        <v/>
      </c>
      <c r="BE699" s="56" t="str">
        <f>IF($AM699=0,"",IFERROR(MATCH($AF699&amp;"|"&amp;UPPER(TRIM($E699)),Lists!$A$6:$A$205,0),0))</f>
        <v/>
      </c>
      <c r="BF699" s="56" t="str">
        <f>IF($AM699=0,"",IFERROR(MATCH($AF699,Settings!$B$14:$B$18,0),IFERROR(MATCH(Settings!$C$6,Settings!$B$14:$B$18,0),1)))</f>
        <v/>
      </c>
      <c r="BG699" s="58" t="str">
        <f>IF($AM699=0,"",IF(NOT(ISNUMBER($I699)),"No stop; ","")&amp;IF(AND(ISNUMBER($H699),ISNUMBER($I699)),IF(OR(AND($F699&lt;&gt;"Short",$I699&gt;=$H699),AND($F699="Short",$I699&lt;=$H699)),"Stop on wrong side; ",""),"")&amp;IF($F699="","No direction; ","")&amp;IF(AND(ISNUMBER(Settings!$C$22),ISNUMBER($V699)),IF($V699&gt;Settings!$C$22,"Risk over max $; ",""),"")&amp;IF(AND(ISNUMBER(Settings!$C$23),ISNUMBER($V699),ISNUMBER($AP699),IFERROR(N(INDEX(Accounts!$E$7:$E$16,MATCH($C699,Accounts!$B$7:$B$16,0))),0)&gt;0),IF($V699&gt;Settings!$C$23*($AP699-N($Q699)),"Risk over max %; ",""),"")&amp;IF(AND(ISNUMBER(Settings!$C$24),ISNUMBER($N699)),IF($N699&gt;Settings!$C$24,"Leverage over max; ",""),"")&amp;IF(AND(ISNUMBER(Settings!$C$27),ISNUMBER($T699)),IF($T699&lt;Settings!$C$27,"R:R below min; ",""),"")&amp;IF(ISNUMBER(Settings!$C$25),IF(COUNTIFS($A$6:$A699,$A699,$AM$6:$AM699,1)&gt;Settings!$C$25,"Over max trades/day; ",""),"")&amp;IF(ISNUMBER(Settings!$C$26),IF(SUMIFS($Q$5:$Q698,$A$5:$A698,$A699)&lt;=-Settings!$C$26,"Traded after daily max loss; ",""),"")&amp;IF(AND($AG699="",NOT(ISNUMBER($O699))),"Symbol not in Instruments; ","")&amp;IF(AND($AH699="",NOT(ISNUMBER($O699))),"Forex cross: type Gross P&amp;L; ",""))</f>
        <v/>
      </c>
      <c r="BH699" s="56">
        <f>IF(ISNUMBER($Q699),1,0)</f>
        <v>0</v>
      </c>
      <c r="BI699" s="56">
        <f>IF($Y699="",0,1)</f>
        <v>0</v>
      </c>
      <c r="BJ699" s="56">
        <f>IF($AB699="",0,1)</f>
        <v>0</v>
      </c>
      <c r="BK699" s="56">
        <f>IF(AND($BH699=1,$W699&lt;&gt;"OK"),1,0)</f>
        <v>0</v>
      </c>
      <c r="BL699" s="55">
        <f>IF(N($AZ699)=0,0,IFERROR(INDEX($AT$6:$AT$1005,MATCH($AZ699,$AY$6:$AY$1005,0)),0))</f>
        <v>1187.10688</v>
      </c>
      <c r="BM699" s="56">
        <f>IF(ISNUMBER(SEARCH("daily max loss",$BG699)),1,0)</f>
        <v>0</v>
      </c>
    </row>
    <row r="700" ht="18" customHeight="1">
      <c r="A700" s="38" t="n"/>
      <c r="B700" s="39" t="n"/>
      <c r="C700" s="40" t="n"/>
      <c r="D700" s="41" t="n"/>
      <c r="E700" s="41" t="n"/>
      <c r="F700" s="41" t="n"/>
      <c r="G700" s="41" t="n"/>
      <c r="H700" s="42" t="n"/>
      <c r="I700" s="42" t="n"/>
      <c r="J700" s="42" t="n"/>
      <c r="K700" s="42" t="n"/>
      <c r="L700" s="41" t="n"/>
      <c r="M700" s="41" t="n"/>
      <c r="N700" s="41" t="n"/>
      <c r="O700" s="43" t="n"/>
      <c r="P700" s="43" t="n"/>
      <c r="Q700" s="44" t="str">
        <f>IF($AM700=0,"",IF(ISNUMBER($AK700),$AK700-N($AL700),""))</f>
        <v/>
      </c>
      <c r="R700" s="45" t="str">
        <f>IF(OR($Q700="",NOT(ISNUMBER($V700))),"",$AK700/$V700)</f>
        <v/>
      </c>
      <c r="S700" s="46" t="str">
        <f>IF($Q700="","",IF(AND(ISNUMBER($R700),ABS(N($R700))&lt;N(Settings!$C$8)),"Scratch",IF($Q700&gt;0,"Win",IF($Q700&lt;0,"Loss","Scratch"))))</f>
        <v/>
      </c>
      <c r="T700" s="47" t="str">
        <f>IF(OR($AM700=0,NOT(ISNUMBER($H700)),NOT(ISNUMBER($I700)),NOT(ISNUMBER($J700))),"",IF($H700=$I700,"",ROUND(ABS($J700-$H700)/ABS($H700-$I700),6)))</f>
        <v/>
      </c>
      <c r="U700" s="48" t="str">
        <f>IF(OR($S700&lt;&gt;"Win",NOT(ISNUMBER($T700)),NOT(ISNUMBER($R700))),"",MAX(0,$T700-$R700))</f>
        <v/>
      </c>
      <c r="V700" s="49" t="str">
        <f>IF(OR($AM700=0,NOT(ISNUMBER($H700)),NOT(ISNUMBER($I700)),NOT(ISNUMBER($G700))),"",IF(OR($AG700="",$AH700=""),"",IF(ROUND(ABS($H700-$I700)*ABS($G700)*$AG700*$AH700,6)=0,"",ROUND(ABS($H700-$I700)*ABS($G700)*$AG700*$AH700,6))))</f>
        <v/>
      </c>
      <c r="W700" s="50" t="str">
        <f>IF($AM700=0,"",IF($BG700="","OK",LEFT($BG700,LEN($BG700)-2)))</f>
        <v/>
      </c>
      <c r="X700" s="41" t="n"/>
      <c r="Y700" s="40" t="n"/>
      <c r="Z700" s="41" t="n"/>
      <c r="AA700" s="41" t="n"/>
      <c r="AB700" s="40" t="n"/>
      <c r="AC700" s="51" t="n"/>
      <c r="AD700" s="51" t="n"/>
      <c r="AE700" s="40" t="n"/>
      <c r="AF700" s="52" t="str">
        <f>IF($AM700=0,"",IF($D700&lt;&gt;"",$D700,IF(IFERROR(INDEX(Accounts!$C$7:$C$16,MATCH($C700,Accounts!$B$7:$B$16,0))&amp;"","")&lt;&gt;"",INDEX(Accounts!$C$7:$C$16,MATCH($C700,Accounts!$B$7:$B$16,0)),Settings!$C$6)))</f>
        <v/>
      </c>
      <c r="AG700" s="53" t="str">
        <f>IF($AM700=0,"",IF(AND($BE700&gt;0,N(INDEX(Instruments!$D$6:$D$205,MAX(1,$BE700)))&gt;0),INDEX(Instruments!$D$6:$D$205,MAX(1,$BE700)),IF(N(INDEX(Settings!$D$14:$D$18,$BF700))&gt;0,INDEX(Settings!$D$14:$D$18,$BF700),"")))</f>
        <v/>
      </c>
      <c r="AH700" s="54" t="str">
        <f>IF($AM700=0,"",IF($AF700&lt;&gt;"Forex",1,IF(MID(UPPER(SUBSTITUTE(TRIM($E700),"/","")),4,3)=UPPER(TRIM(Settings!$C$7)),1,IF(LEFT(UPPER(SUBSTITUTE(TRIM($E700),"/","")),3)=UPPER(TRIM(Settings!$C$7)),IF(AND(ISNUMBER($K700),N($K700)&lt;&gt;0),1/$K700,""),""))))</f>
        <v/>
      </c>
      <c r="AI700" s="55" t="str">
        <f>IF($AM700=0,"",IF(OR(NOT(ISNUMBER($H700)),NOT(ISNUMBER($K700)),NOT(ISNUMBER($G700)),$AG700="",$AH700=""),"",ROUND(($K700-$H700)*IF($F700="Short",-1,1)*$G700*$AG700*$AH700,6)))</f>
        <v/>
      </c>
      <c r="AJ700" s="55" t="str">
        <f>IF($AM700=0,"",IF(INDEX(Settings!$E$14:$E$18,$BF700)="% of notional",IF(OR($AG700="",NOT(ISNUMBER($H700)),NOT(ISNUMBER($G700))),"",ROUND(ABS($H700*$G700*$AG700*N($AH700))*IF($L700="Limit",N(INDEX(Settings!$G$14:$G$18,$BF700)),N(INDEX(Settings!$H$14:$H$18,$BF700)))+IF(ISNUMBER($K700),ABS($K700*$G700*$AG700*N($AH700))*IF($M700="Target",N(INDEX(Settings!$G$14:$G$18,$BF700)),N(INDEX(Settings!$H$14:$H$18,$BF700))),0),6)),IF(NOT(ISNUMBER($G700)),"",ROUND(ABS($G700)*2*IF(AND($BE700&gt;0,ISNUMBER(INDEX(Instruments!$G$6:$G$205,MAX(1,$BE700)))),INDEX(Instruments!$G$6:$G$205,MAX(1,$BE700)),N(INDEX(Settings!$F$14:$F$18,$BF700))),6))))</f>
        <v/>
      </c>
      <c r="AK700" s="55" t="str">
        <f>IF($AM700=0,"",IF(ISNUMBER($O700),$O700,$AI700))</f>
        <v/>
      </c>
      <c r="AL700" s="55" t="str">
        <f>IF($AM700=0,"",IF(ISNUMBER($P700),$P700,N($AJ700)))</f>
        <v/>
      </c>
      <c r="AM700" s="56">
        <f>IF(AND($A700&lt;&gt;"",$E700&lt;&gt;"",OR(AND(ISNUMBER($G700),ISNUMBER($H700),ISNUMBER($K700)),ISNUMBER($O700))),1,0)</f>
        <v>0</v>
      </c>
      <c r="AN700" s="57" t="str">
        <f>IF($A700="","",$A700-WEEKDAY($A700,3))</f>
        <v/>
      </c>
      <c r="AO700" s="56" t="str">
        <f>IF($A700="","",WEEKDAY($A700,2))</f>
        <v/>
      </c>
      <c r="AP700" s="55" t="str">
        <f>IF(OR($AM700=0,$C700=""),"",IFERROR(N(INDEX(Accounts!$E$7:$E$16,MATCH($C700,Accounts!$B$7:$B$16,0))),0)+SUMIFS($Q$6:$Q700,$C$6:$C700,$C700))</f>
        <v/>
      </c>
      <c r="AQ700" s="55" t="str">
        <f>IF(OR($AM700=0,$C700=""),"",SUMIFS($Q$6:$Q$1005,$C$6:$C$1005,$C700,$A$6:$A$1005,$A700))</f>
        <v/>
      </c>
      <c r="AR700" s="55" t="str">
        <f>IF(OR($AM700=0,$C700=""),"",IFERROR(N(INDEX(Accounts!$E$7:$E$16,MATCH($C700,Accounts!$B$7:$B$16,0))),0)+SUMIFS($Q$6:$Q$1005,$C$6:$C$1005,$C700,$A$6:$A$1005,"&lt;="&amp;$A700))</f>
        <v/>
      </c>
      <c r="AS700" s="56">
        <f>IF(OR($AM700=0,$Q700=""),0,IF(AND($A700&gt;=Lists!$W$6,$A700&lt;=Lists!$W$7,OR(Dashboard!$D$6="All accounts",$C700=Dashboard!$D$6),OR(Dashboard!$D$7="All markets",$AF700=Dashboard!$D$7)),1,0))</f>
        <v>0</v>
      </c>
      <c r="AT700" s="55">
        <f>IF($AS700=1,N(AT699)+$Q700,N(AT699))</f>
        <v>1187.10688</v>
      </c>
      <c r="AU700" s="55">
        <f>MAX(N(AU699),$AT700)</f>
        <v>1187.10688</v>
      </c>
      <c r="AV700" s="55">
        <f>$AT700-$AU700</f>
        <v>0</v>
      </c>
      <c r="AW700" s="56">
        <f>IF($AS700=1,IF($S700="Win",N(AW699)+1,IF($S700="Loss",0,N(AW699))),N(AW699))</f>
        <v>5</v>
      </c>
      <c r="AX700" s="56">
        <f>IF($AS700=1,IF($S700="Loss",N(AX699)+1,IF($S700="Win",0,N(AX699))),N(AX699))</f>
        <v>0</v>
      </c>
      <c r="AY700" s="56" t="str">
        <f>IF($AS700=1,COUNTIF($AS$6:$AS700,1),"")</f>
        <v/>
      </c>
      <c r="AZ700" s="56">
        <f>MIN(694,N(Lists!$W$8))</f>
        <v>28</v>
      </c>
      <c r="BA700" s="56">
        <f>IF($AS700=1,IF(COUNTIFS($A$6:$A700,$A700,$AS$6:$AS700,1)=1,1,0),0)</f>
        <v>0</v>
      </c>
      <c r="BB700" s="55" t="str">
        <f>IF($BA700=1,SUMIFS($Q$6:$Q$1005,$A$6:$A$1005,$A700,$AS$6:$AS$1005,1),"")</f>
        <v/>
      </c>
      <c r="BC700" s="56">
        <f>IF(ISNUMBER($R700),1,0)</f>
        <v>0</v>
      </c>
      <c r="BD700" s="55" t="str">
        <f>IF(ISNUMBER($U700),$U700*$V700,"")</f>
        <v/>
      </c>
      <c r="BE700" s="56" t="str">
        <f>IF($AM700=0,"",IFERROR(MATCH($AF700&amp;"|"&amp;UPPER(TRIM($E700)),Lists!$A$6:$A$205,0),0))</f>
        <v/>
      </c>
      <c r="BF700" s="56" t="str">
        <f>IF($AM700=0,"",IFERROR(MATCH($AF700,Settings!$B$14:$B$18,0),IFERROR(MATCH(Settings!$C$6,Settings!$B$14:$B$18,0),1)))</f>
        <v/>
      </c>
      <c r="BG700" s="58" t="str">
        <f>IF($AM700=0,"",IF(NOT(ISNUMBER($I700)),"No stop; ","")&amp;IF(AND(ISNUMBER($H700),ISNUMBER($I700)),IF(OR(AND($F700&lt;&gt;"Short",$I700&gt;=$H700),AND($F700="Short",$I700&lt;=$H700)),"Stop on wrong side; ",""),"")&amp;IF($F700="","No direction; ","")&amp;IF(AND(ISNUMBER(Settings!$C$22),ISNUMBER($V700)),IF($V700&gt;Settings!$C$22,"Risk over max $; ",""),"")&amp;IF(AND(ISNUMBER(Settings!$C$23),ISNUMBER($V700),ISNUMBER($AP700),IFERROR(N(INDEX(Accounts!$E$7:$E$16,MATCH($C700,Accounts!$B$7:$B$16,0))),0)&gt;0),IF($V700&gt;Settings!$C$23*($AP700-N($Q700)),"Risk over max %; ",""),"")&amp;IF(AND(ISNUMBER(Settings!$C$24),ISNUMBER($N700)),IF($N700&gt;Settings!$C$24,"Leverage over max; ",""),"")&amp;IF(AND(ISNUMBER(Settings!$C$27),ISNUMBER($T700)),IF($T700&lt;Settings!$C$27,"R:R below min; ",""),"")&amp;IF(ISNUMBER(Settings!$C$25),IF(COUNTIFS($A$6:$A700,$A700,$AM$6:$AM700,1)&gt;Settings!$C$25,"Over max trades/day; ",""),"")&amp;IF(ISNUMBER(Settings!$C$26),IF(SUMIFS($Q$5:$Q699,$A$5:$A699,$A700)&lt;=-Settings!$C$26,"Traded after daily max loss; ",""),"")&amp;IF(AND($AG700="",NOT(ISNUMBER($O700))),"Symbol not in Instruments; ","")&amp;IF(AND($AH700="",NOT(ISNUMBER($O700))),"Forex cross: type Gross P&amp;L; ",""))</f>
        <v/>
      </c>
      <c r="BH700" s="56">
        <f>IF(ISNUMBER($Q700),1,0)</f>
        <v>0</v>
      </c>
      <c r="BI700" s="56">
        <f>IF($Y700="",0,1)</f>
        <v>0</v>
      </c>
      <c r="BJ700" s="56">
        <f>IF($AB700="",0,1)</f>
        <v>0</v>
      </c>
      <c r="BK700" s="56">
        <f>IF(AND($BH700=1,$W700&lt;&gt;"OK"),1,0)</f>
        <v>0</v>
      </c>
      <c r="BL700" s="55">
        <f>IF(N($AZ700)=0,0,IFERROR(INDEX($AT$6:$AT$1005,MATCH($AZ700,$AY$6:$AY$1005,0)),0))</f>
        <v>1187.10688</v>
      </c>
      <c r="BM700" s="56">
        <f>IF(ISNUMBER(SEARCH("daily max loss",$BG700)),1,0)</f>
        <v>0</v>
      </c>
    </row>
    <row r="701" ht="18" customHeight="1">
      <c r="A701" s="38" t="n"/>
      <c r="B701" s="39" t="n"/>
      <c r="C701" s="40" t="n"/>
      <c r="D701" s="41" t="n"/>
      <c r="E701" s="41" t="n"/>
      <c r="F701" s="41" t="n"/>
      <c r="G701" s="41" t="n"/>
      <c r="H701" s="42" t="n"/>
      <c r="I701" s="42" t="n"/>
      <c r="J701" s="42" t="n"/>
      <c r="K701" s="42" t="n"/>
      <c r="L701" s="41" t="n"/>
      <c r="M701" s="41" t="n"/>
      <c r="N701" s="41" t="n"/>
      <c r="O701" s="43" t="n"/>
      <c r="P701" s="43" t="n"/>
      <c r="Q701" s="44" t="str">
        <f>IF($AM701=0,"",IF(ISNUMBER($AK701),$AK701-N($AL701),""))</f>
        <v/>
      </c>
      <c r="R701" s="45" t="str">
        <f>IF(OR($Q701="",NOT(ISNUMBER($V701))),"",$AK701/$V701)</f>
        <v/>
      </c>
      <c r="S701" s="46" t="str">
        <f>IF($Q701="","",IF(AND(ISNUMBER($R701),ABS(N($R701))&lt;N(Settings!$C$8)),"Scratch",IF($Q701&gt;0,"Win",IF($Q701&lt;0,"Loss","Scratch"))))</f>
        <v/>
      </c>
      <c r="T701" s="47" t="str">
        <f>IF(OR($AM701=0,NOT(ISNUMBER($H701)),NOT(ISNUMBER($I701)),NOT(ISNUMBER($J701))),"",IF($H701=$I701,"",ROUND(ABS($J701-$H701)/ABS($H701-$I701),6)))</f>
        <v/>
      </c>
      <c r="U701" s="48" t="str">
        <f>IF(OR($S701&lt;&gt;"Win",NOT(ISNUMBER($T701)),NOT(ISNUMBER($R701))),"",MAX(0,$T701-$R701))</f>
        <v/>
      </c>
      <c r="V701" s="49" t="str">
        <f>IF(OR($AM701=0,NOT(ISNUMBER($H701)),NOT(ISNUMBER($I701)),NOT(ISNUMBER($G701))),"",IF(OR($AG701="",$AH701=""),"",IF(ROUND(ABS($H701-$I701)*ABS($G701)*$AG701*$AH701,6)=0,"",ROUND(ABS($H701-$I701)*ABS($G701)*$AG701*$AH701,6))))</f>
        <v/>
      </c>
      <c r="W701" s="50" t="str">
        <f>IF($AM701=0,"",IF($BG701="","OK",LEFT($BG701,LEN($BG701)-2)))</f>
        <v/>
      </c>
      <c r="X701" s="41" t="n"/>
      <c r="Y701" s="40" t="n"/>
      <c r="Z701" s="41" t="n"/>
      <c r="AA701" s="41" t="n"/>
      <c r="AB701" s="40" t="n"/>
      <c r="AC701" s="51" t="n"/>
      <c r="AD701" s="51" t="n"/>
      <c r="AE701" s="40" t="n"/>
      <c r="AF701" s="52" t="str">
        <f>IF($AM701=0,"",IF($D701&lt;&gt;"",$D701,IF(IFERROR(INDEX(Accounts!$C$7:$C$16,MATCH($C701,Accounts!$B$7:$B$16,0))&amp;"","")&lt;&gt;"",INDEX(Accounts!$C$7:$C$16,MATCH($C701,Accounts!$B$7:$B$16,0)),Settings!$C$6)))</f>
        <v/>
      </c>
      <c r="AG701" s="53" t="str">
        <f>IF($AM701=0,"",IF(AND($BE701&gt;0,N(INDEX(Instruments!$D$6:$D$205,MAX(1,$BE701)))&gt;0),INDEX(Instruments!$D$6:$D$205,MAX(1,$BE701)),IF(N(INDEX(Settings!$D$14:$D$18,$BF701))&gt;0,INDEX(Settings!$D$14:$D$18,$BF701),"")))</f>
        <v/>
      </c>
      <c r="AH701" s="54" t="str">
        <f>IF($AM701=0,"",IF($AF701&lt;&gt;"Forex",1,IF(MID(UPPER(SUBSTITUTE(TRIM($E701),"/","")),4,3)=UPPER(TRIM(Settings!$C$7)),1,IF(LEFT(UPPER(SUBSTITUTE(TRIM($E701),"/","")),3)=UPPER(TRIM(Settings!$C$7)),IF(AND(ISNUMBER($K701),N($K701)&lt;&gt;0),1/$K701,""),""))))</f>
        <v/>
      </c>
      <c r="AI701" s="55" t="str">
        <f>IF($AM701=0,"",IF(OR(NOT(ISNUMBER($H701)),NOT(ISNUMBER($K701)),NOT(ISNUMBER($G701)),$AG701="",$AH701=""),"",ROUND(($K701-$H701)*IF($F701="Short",-1,1)*$G701*$AG701*$AH701,6)))</f>
        <v/>
      </c>
      <c r="AJ701" s="55" t="str">
        <f>IF($AM701=0,"",IF(INDEX(Settings!$E$14:$E$18,$BF701)="% of notional",IF(OR($AG701="",NOT(ISNUMBER($H701)),NOT(ISNUMBER($G701))),"",ROUND(ABS($H701*$G701*$AG701*N($AH701))*IF($L701="Limit",N(INDEX(Settings!$G$14:$G$18,$BF701)),N(INDEX(Settings!$H$14:$H$18,$BF701)))+IF(ISNUMBER($K701),ABS($K701*$G701*$AG701*N($AH701))*IF($M701="Target",N(INDEX(Settings!$G$14:$G$18,$BF701)),N(INDEX(Settings!$H$14:$H$18,$BF701))),0),6)),IF(NOT(ISNUMBER($G701)),"",ROUND(ABS($G701)*2*IF(AND($BE701&gt;0,ISNUMBER(INDEX(Instruments!$G$6:$G$205,MAX(1,$BE701)))),INDEX(Instruments!$G$6:$G$205,MAX(1,$BE701)),N(INDEX(Settings!$F$14:$F$18,$BF701))),6))))</f>
        <v/>
      </c>
      <c r="AK701" s="55" t="str">
        <f>IF($AM701=0,"",IF(ISNUMBER($O701),$O701,$AI701))</f>
        <v/>
      </c>
      <c r="AL701" s="55" t="str">
        <f>IF($AM701=0,"",IF(ISNUMBER($P701),$P701,N($AJ701)))</f>
        <v/>
      </c>
      <c r="AM701" s="56">
        <f>IF(AND($A701&lt;&gt;"",$E701&lt;&gt;"",OR(AND(ISNUMBER($G701),ISNUMBER($H701),ISNUMBER($K701)),ISNUMBER($O701))),1,0)</f>
        <v>0</v>
      </c>
      <c r="AN701" s="57" t="str">
        <f>IF($A701="","",$A701-WEEKDAY($A701,3))</f>
        <v/>
      </c>
      <c r="AO701" s="56" t="str">
        <f>IF($A701="","",WEEKDAY($A701,2))</f>
        <v/>
      </c>
      <c r="AP701" s="55" t="str">
        <f>IF(OR($AM701=0,$C701=""),"",IFERROR(N(INDEX(Accounts!$E$7:$E$16,MATCH($C701,Accounts!$B$7:$B$16,0))),0)+SUMIFS($Q$6:$Q701,$C$6:$C701,$C701))</f>
        <v/>
      </c>
      <c r="AQ701" s="55" t="str">
        <f>IF(OR($AM701=0,$C701=""),"",SUMIFS($Q$6:$Q$1005,$C$6:$C$1005,$C701,$A$6:$A$1005,$A701))</f>
        <v/>
      </c>
      <c r="AR701" s="55" t="str">
        <f>IF(OR($AM701=0,$C701=""),"",IFERROR(N(INDEX(Accounts!$E$7:$E$16,MATCH($C701,Accounts!$B$7:$B$16,0))),0)+SUMIFS($Q$6:$Q$1005,$C$6:$C$1005,$C701,$A$6:$A$1005,"&lt;="&amp;$A701))</f>
        <v/>
      </c>
      <c r="AS701" s="56">
        <f>IF(OR($AM701=0,$Q701=""),0,IF(AND($A701&gt;=Lists!$W$6,$A701&lt;=Lists!$W$7,OR(Dashboard!$D$6="All accounts",$C701=Dashboard!$D$6),OR(Dashboard!$D$7="All markets",$AF701=Dashboard!$D$7)),1,0))</f>
        <v>0</v>
      </c>
      <c r="AT701" s="55">
        <f>IF($AS701=1,N(AT700)+$Q701,N(AT700))</f>
        <v>1187.10688</v>
      </c>
      <c r="AU701" s="55">
        <f>MAX(N(AU700),$AT701)</f>
        <v>1187.10688</v>
      </c>
      <c r="AV701" s="55">
        <f>$AT701-$AU701</f>
        <v>0</v>
      </c>
      <c r="AW701" s="56">
        <f>IF($AS701=1,IF($S701="Win",N(AW700)+1,IF($S701="Loss",0,N(AW700))),N(AW700))</f>
        <v>5</v>
      </c>
      <c r="AX701" s="56">
        <f>IF($AS701=1,IF($S701="Loss",N(AX700)+1,IF($S701="Win",0,N(AX700))),N(AX700))</f>
        <v>0</v>
      </c>
      <c r="AY701" s="56" t="str">
        <f>IF($AS701=1,COUNTIF($AS$6:$AS701,1),"")</f>
        <v/>
      </c>
      <c r="AZ701" s="56">
        <f>MIN(695,N(Lists!$W$8))</f>
        <v>28</v>
      </c>
      <c r="BA701" s="56">
        <f>IF($AS701=1,IF(COUNTIFS($A$6:$A701,$A701,$AS$6:$AS701,1)=1,1,0),0)</f>
        <v>0</v>
      </c>
      <c r="BB701" s="55" t="str">
        <f>IF($BA701=1,SUMIFS($Q$6:$Q$1005,$A$6:$A$1005,$A701,$AS$6:$AS$1005,1),"")</f>
        <v/>
      </c>
      <c r="BC701" s="56">
        <f>IF(ISNUMBER($R701),1,0)</f>
        <v>0</v>
      </c>
      <c r="BD701" s="55" t="str">
        <f>IF(ISNUMBER($U701),$U701*$V701,"")</f>
        <v/>
      </c>
      <c r="BE701" s="56" t="str">
        <f>IF($AM701=0,"",IFERROR(MATCH($AF701&amp;"|"&amp;UPPER(TRIM($E701)),Lists!$A$6:$A$205,0),0))</f>
        <v/>
      </c>
      <c r="BF701" s="56" t="str">
        <f>IF($AM701=0,"",IFERROR(MATCH($AF701,Settings!$B$14:$B$18,0),IFERROR(MATCH(Settings!$C$6,Settings!$B$14:$B$18,0),1)))</f>
        <v/>
      </c>
      <c r="BG701" s="58" t="str">
        <f>IF($AM701=0,"",IF(NOT(ISNUMBER($I701)),"No stop; ","")&amp;IF(AND(ISNUMBER($H701),ISNUMBER($I701)),IF(OR(AND($F701&lt;&gt;"Short",$I701&gt;=$H701),AND($F701="Short",$I701&lt;=$H701)),"Stop on wrong side; ",""),"")&amp;IF($F701="","No direction; ","")&amp;IF(AND(ISNUMBER(Settings!$C$22),ISNUMBER($V701)),IF($V701&gt;Settings!$C$22,"Risk over max $; ",""),"")&amp;IF(AND(ISNUMBER(Settings!$C$23),ISNUMBER($V701),ISNUMBER($AP701),IFERROR(N(INDEX(Accounts!$E$7:$E$16,MATCH($C701,Accounts!$B$7:$B$16,0))),0)&gt;0),IF($V701&gt;Settings!$C$23*($AP701-N($Q701)),"Risk over max %; ",""),"")&amp;IF(AND(ISNUMBER(Settings!$C$24),ISNUMBER($N701)),IF($N701&gt;Settings!$C$24,"Leverage over max; ",""),"")&amp;IF(AND(ISNUMBER(Settings!$C$27),ISNUMBER($T701)),IF($T701&lt;Settings!$C$27,"R:R below min; ",""),"")&amp;IF(ISNUMBER(Settings!$C$25),IF(COUNTIFS($A$6:$A701,$A701,$AM$6:$AM701,1)&gt;Settings!$C$25,"Over max trades/day; ",""),"")&amp;IF(ISNUMBER(Settings!$C$26),IF(SUMIFS($Q$5:$Q700,$A$5:$A700,$A701)&lt;=-Settings!$C$26,"Traded after daily max loss; ",""),"")&amp;IF(AND($AG701="",NOT(ISNUMBER($O701))),"Symbol not in Instruments; ","")&amp;IF(AND($AH701="",NOT(ISNUMBER($O701))),"Forex cross: type Gross P&amp;L; ",""))</f>
        <v/>
      </c>
      <c r="BH701" s="56">
        <f>IF(ISNUMBER($Q701),1,0)</f>
        <v>0</v>
      </c>
      <c r="BI701" s="56">
        <f>IF($Y701="",0,1)</f>
        <v>0</v>
      </c>
      <c r="BJ701" s="56">
        <f>IF($AB701="",0,1)</f>
        <v>0</v>
      </c>
      <c r="BK701" s="56">
        <f>IF(AND($BH701=1,$W701&lt;&gt;"OK"),1,0)</f>
        <v>0</v>
      </c>
      <c r="BL701" s="55">
        <f>IF(N($AZ701)=0,0,IFERROR(INDEX($AT$6:$AT$1005,MATCH($AZ701,$AY$6:$AY$1005,0)),0))</f>
        <v>1187.10688</v>
      </c>
      <c r="BM701" s="56">
        <f>IF(ISNUMBER(SEARCH("daily max loss",$BG701)),1,0)</f>
        <v>0</v>
      </c>
    </row>
    <row r="702" ht="18" customHeight="1">
      <c r="A702" s="38" t="n"/>
      <c r="B702" s="39" t="n"/>
      <c r="C702" s="40" t="n"/>
      <c r="D702" s="41" t="n"/>
      <c r="E702" s="41" t="n"/>
      <c r="F702" s="41" t="n"/>
      <c r="G702" s="41" t="n"/>
      <c r="H702" s="42" t="n"/>
      <c r="I702" s="42" t="n"/>
      <c r="J702" s="42" t="n"/>
      <c r="K702" s="42" t="n"/>
      <c r="L702" s="41" t="n"/>
      <c r="M702" s="41" t="n"/>
      <c r="N702" s="41" t="n"/>
      <c r="O702" s="43" t="n"/>
      <c r="P702" s="43" t="n"/>
      <c r="Q702" s="44" t="str">
        <f>IF($AM702=0,"",IF(ISNUMBER($AK702),$AK702-N($AL702),""))</f>
        <v/>
      </c>
      <c r="R702" s="45" t="str">
        <f>IF(OR($Q702="",NOT(ISNUMBER($V702))),"",$AK702/$V702)</f>
        <v/>
      </c>
      <c r="S702" s="46" t="str">
        <f>IF($Q702="","",IF(AND(ISNUMBER($R702),ABS(N($R702))&lt;N(Settings!$C$8)),"Scratch",IF($Q702&gt;0,"Win",IF($Q702&lt;0,"Loss","Scratch"))))</f>
        <v/>
      </c>
      <c r="T702" s="47" t="str">
        <f>IF(OR($AM702=0,NOT(ISNUMBER($H702)),NOT(ISNUMBER($I702)),NOT(ISNUMBER($J702))),"",IF($H702=$I702,"",ROUND(ABS($J702-$H702)/ABS($H702-$I702),6)))</f>
        <v/>
      </c>
      <c r="U702" s="48" t="str">
        <f>IF(OR($S702&lt;&gt;"Win",NOT(ISNUMBER($T702)),NOT(ISNUMBER($R702))),"",MAX(0,$T702-$R702))</f>
        <v/>
      </c>
      <c r="V702" s="49" t="str">
        <f>IF(OR($AM702=0,NOT(ISNUMBER($H702)),NOT(ISNUMBER($I702)),NOT(ISNUMBER($G702))),"",IF(OR($AG702="",$AH702=""),"",IF(ROUND(ABS($H702-$I702)*ABS($G702)*$AG702*$AH702,6)=0,"",ROUND(ABS($H702-$I702)*ABS($G702)*$AG702*$AH702,6))))</f>
        <v/>
      </c>
      <c r="W702" s="50" t="str">
        <f>IF($AM702=0,"",IF($BG702="","OK",LEFT($BG702,LEN($BG702)-2)))</f>
        <v/>
      </c>
      <c r="X702" s="41" t="n"/>
      <c r="Y702" s="40" t="n"/>
      <c r="Z702" s="41" t="n"/>
      <c r="AA702" s="41" t="n"/>
      <c r="AB702" s="40" t="n"/>
      <c r="AC702" s="51" t="n"/>
      <c r="AD702" s="51" t="n"/>
      <c r="AE702" s="40" t="n"/>
      <c r="AF702" s="52" t="str">
        <f>IF($AM702=0,"",IF($D702&lt;&gt;"",$D702,IF(IFERROR(INDEX(Accounts!$C$7:$C$16,MATCH($C702,Accounts!$B$7:$B$16,0))&amp;"","")&lt;&gt;"",INDEX(Accounts!$C$7:$C$16,MATCH($C702,Accounts!$B$7:$B$16,0)),Settings!$C$6)))</f>
        <v/>
      </c>
      <c r="AG702" s="53" t="str">
        <f>IF($AM702=0,"",IF(AND($BE702&gt;0,N(INDEX(Instruments!$D$6:$D$205,MAX(1,$BE702)))&gt;0),INDEX(Instruments!$D$6:$D$205,MAX(1,$BE702)),IF(N(INDEX(Settings!$D$14:$D$18,$BF702))&gt;0,INDEX(Settings!$D$14:$D$18,$BF702),"")))</f>
        <v/>
      </c>
      <c r="AH702" s="54" t="str">
        <f>IF($AM702=0,"",IF($AF702&lt;&gt;"Forex",1,IF(MID(UPPER(SUBSTITUTE(TRIM($E702),"/","")),4,3)=UPPER(TRIM(Settings!$C$7)),1,IF(LEFT(UPPER(SUBSTITUTE(TRIM($E702),"/","")),3)=UPPER(TRIM(Settings!$C$7)),IF(AND(ISNUMBER($K702),N($K702)&lt;&gt;0),1/$K702,""),""))))</f>
        <v/>
      </c>
      <c r="AI702" s="55" t="str">
        <f>IF($AM702=0,"",IF(OR(NOT(ISNUMBER($H702)),NOT(ISNUMBER($K702)),NOT(ISNUMBER($G702)),$AG702="",$AH702=""),"",ROUND(($K702-$H702)*IF($F702="Short",-1,1)*$G702*$AG702*$AH702,6)))</f>
        <v/>
      </c>
      <c r="AJ702" s="55" t="str">
        <f>IF($AM702=0,"",IF(INDEX(Settings!$E$14:$E$18,$BF702)="% of notional",IF(OR($AG702="",NOT(ISNUMBER($H702)),NOT(ISNUMBER($G702))),"",ROUND(ABS($H702*$G702*$AG702*N($AH702))*IF($L702="Limit",N(INDEX(Settings!$G$14:$G$18,$BF702)),N(INDEX(Settings!$H$14:$H$18,$BF702)))+IF(ISNUMBER($K702),ABS($K702*$G702*$AG702*N($AH702))*IF($M702="Target",N(INDEX(Settings!$G$14:$G$18,$BF702)),N(INDEX(Settings!$H$14:$H$18,$BF702))),0),6)),IF(NOT(ISNUMBER($G702)),"",ROUND(ABS($G702)*2*IF(AND($BE702&gt;0,ISNUMBER(INDEX(Instruments!$G$6:$G$205,MAX(1,$BE702)))),INDEX(Instruments!$G$6:$G$205,MAX(1,$BE702)),N(INDEX(Settings!$F$14:$F$18,$BF702))),6))))</f>
        <v/>
      </c>
      <c r="AK702" s="55" t="str">
        <f>IF($AM702=0,"",IF(ISNUMBER($O702),$O702,$AI702))</f>
        <v/>
      </c>
      <c r="AL702" s="55" t="str">
        <f>IF($AM702=0,"",IF(ISNUMBER($P702),$P702,N($AJ702)))</f>
        <v/>
      </c>
      <c r="AM702" s="56">
        <f>IF(AND($A702&lt;&gt;"",$E702&lt;&gt;"",OR(AND(ISNUMBER($G702),ISNUMBER($H702),ISNUMBER($K702)),ISNUMBER($O702))),1,0)</f>
        <v>0</v>
      </c>
      <c r="AN702" s="57" t="str">
        <f>IF($A702="","",$A702-WEEKDAY($A702,3))</f>
        <v/>
      </c>
      <c r="AO702" s="56" t="str">
        <f>IF($A702="","",WEEKDAY($A702,2))</f>
        <v/>
      </c>
      <c r="AP702" s="55" t="str">
        <f>IF(OR($AM702=0,$C702=""),"",IFERROR(N(INDEX(Accounts!$E$7:$E$16,MATCH($C702,Accounts!$B$7:$B$16,0))),0)+SUMIFS($Q$6:$Q702,$C$6:$C702,$C702))</f>
        <v/>
      </c>
      <c r="AQ702" s="55" t="str">
        <f>IF(OR($AM702=0,$C702=""),"",SUMIFS($Q$6:$Q$1005,$C$6:$C$1005,$C702,$A$6:$A$1005,$A702))</f>
        <v/>
      </c>
      <c r="AR702" s="55" t="str">
        <f>IF(OR($AM702=0,$C702=""),"",IFERROR(N(INDEX(Accounts!$E$7:$E$16,MATCH($C702,Accounts!$B$7:$B$16,0))),0)+SUMIFS($Q$6:$Q$1005,$C$6:$C$1005,$C702,$A$6:$A$1005,"&lt;="&amp;$A702))</f>
        <v/>
      </c>
      <c r="AS702" s="56">
        <f>IF(OR($AM702=0,$Q702=""),0,IF(AND($A702&gt;=Lists!$W$6,$A702&lt;=Lists!$W$7,OR(Dashboard!$D$6="All accounts",$C702=Dashboard!$D$6),OR(Dashboard!$D$7="All markets",$AF702=Dashboard!$D$7)),1,0))</f>
        <v>0</v>
      </c>
      <c r="AT702" s="55">
        <f>IF($AS702=1,N(AT701)+$Q702,N(AT701))</f>
        <v>1187.10688</v>
      </c>
      <c r="AU702" s="55">
        <f>MAX(N(AU701),$AT702)</f>
        <v>1187.10688</v>
      </c>
      <c r="AV702" s="55">
        <f>$AT702-$AU702</f>
        <v>0</v>
      </c>
      <c r="AW702" s="56">
        <f>IF($AS702=1,IF($S702="Win",N(AW701)+1,IF($S702="Loss",0,N(AW701))),N(AW701))</f>
        <v>5</v>
      </c>
      <c r="AX702" s="56">
        <f>IF($AS702=1,IF($S702="Loss",N(AX701)+1,IF($S702="Win",0,N(AX701))),N(AX701))</f>
        <v>0</v>
      </c>
      <c r="AY702" s="56" t="str">
        <f>IF($AS702=1,COUNTIF($AS$6:$AS702,1),"")</f>
        <v/>
      </c>
      <c r="AZ702" s="56">
        <f>MIN(696,N(Lists!$W$8))</f>
        <v>28</v>
      </c>
      <c r="BA702" s="56">
        <f>IF($AS702=1,IF(COUNTIFS($A$6:$A702,$A702,$AS$6:$AS702,1)=1,1,0),0)</f>
        <v>0</v>
      </c>
      <c r="BB702" s="55" t="str">
        <f>IF($BA702=1,SUMIFS($Q$6:$Q$1005,$A$6:$A$1005,$A702,$AS$6:$AS$1005,1),"")</f>
        <v/>
      </c>
      <c r="BC702" s="56">
        <f>IF(ISNUMBER($R702),1,0)</f>
        <v>0</v>
      </c>
      <c r="BD702" s="55" t="str">
        <f>IF(ISNUMBER($U702),$U702*$V702,"")</f>
        <v/>
      </c>
      <c r="BE702" s="56" t="str">
        <f>IF($AM702=0,"",IFERROR(MATCH($AF702&amp;"|"&amp;UPPER(TRIM($E702)),Lists!$A$6:$A$205,0),0))</f>
        <v/>
      </c>
      <c r="BF702" s="56" t="str">
        <f>IF($AM702=0,"",IFERROR(MATCH($AF702,Settings!$B$14:$B$18,0),IFERROR(MATCH(Settings!$C$6,Settings!$B$14:$B$18,0),1)))</f>
        <v/>
      </c>
      <c r="BG702" s="58" t="str">
        <f>IF($AM702=0,"",IF(NOT(ISNUMBER($I702)),"No stop; ","")&amp;IF(AND(ISNUMBER($H702),ISNUMBER($I702)),IF(OR(AND($F702&lt;&gt;"Short",$I702&gt;=$H702),AND($F702="Short",$I702&lt;=$H702)),"Stop on wrong side; ",""),"")&amp;IF($F702="","No direction; ","")&amp;IF(AND(ISNUMBER(Settings!$C$22),ISNUMBER($V702)),IF($V702&gt;Settings!$C$22,"Risk over max $; ",""),"")&amp;IF(AND(ISNUMBER(Settings!$C$23),ISNUMBER($V702),ISNUMBER($AP702),IFERROR(N(INDEX(Accounts!$E$7:$E$16,MATCH($C702,Accounts!$B$7:$B$16,0))),0)&gt;0),IF($V702&gt;Settings!$C$23*($AP702-N($Q702)),"Risk over max %; ",""),"")&amp;IF(AND(ISNUMBER(Settings!$C$24),ISNUMBER($N702)),IF($N702&gt;Settings!$C$24,"Leverage over max; ",""),"")&amp;IF(AND(ISNUMBER(Settings!$C$27),ISNUMBER($T702)),IF($T702&lt;Settings!$C$27,"R:R below min; ",""),"")&amp;IF(ISNUMBER(Settings!$C$25),IF(COUNTIFS($A$6:$A702,$A702,$AM$6:$AM702,1)&gt;Settings!$C$25,"Over max trades/day; ",""),"")&amp;IF(ISNUMBER(Settings!$C$26),IF(SUMIFS($Q$5:$Q701,$A$5:$A701,$A702)&lt;=-Settings!$C$26,"Traded after daily max loss; ",""),"")&amp;IF(AND($AG702="",NOT(ISNUMBER($O702))),"Symbol not in Instruments; ","")&amp;IF(AND($AH702="",NOT(ISNUMBER($O702))),"Forex cross: type Gross P&amp;L; ",""))</f>
        <v/>
      </c>
      <c r="BH702" s="56">
        <f>IF(ISNUMBER($Q702),1,0)</f>
        <v>0</v>
      </c>
      <c r="BI702" s="56">
        <f>IF($Y702="",0,1)</f>
        <v>0</v>
      </c>
      <c r="BJ702" s="56">
        <f>IF($AB702="",0,1)</f>
        <v>0</v>
      </c>
      <c r="BK702" s="56">
        <f>IF(AND($BH702=1,$W702&lt;&gt;"OK"),1,0)</f>
        <v>0</v>
      </c>
      <c r="BL702" s="55">
        <f>IF(N($AZ702)=0,0,IFERROR(INDEX($AT$6:$AT$1005,MATCH($AZ702,$AY$6:$AY$1005,0)),0))</f>
        <v>1187.10688</v>
      </c>
      <c r="BM702" s="56">
        <f>IF(ISNUMBER(SEARCH("daily max loss",$BG702)),1,0)</f>
        <v>0</v>
      </c>
    </row>
    <row r="703" ht="18" customHeight="1">
      <c r="A703" s="38" t="n"/>
      <c r="B703" s="39" t="n"/>
      <c r="C703" s="40" t="n"/>
      <c r="D703" s="41" t="n"/>
      <c r="E703" s="41" t="n"/>
      <c r="F703" s="41" t="n"/>
      <c r="G703" s="41" t="n"/>
      <c r="H703" s="42" t="n"/>
      <c r="I703" s="42" t="n"/>
      <c r="J703" s="42" t="n"/>
      <c r="K703" s="42" t="n"/>
      <c r="L703" s="41" t="n"/>
      <c r="M703" s="41" t="n"/>
      <c r="N703" s="41" t="n"/>
      <c r="O703" s="43" t="n"/>
      <c r="P703" s="43" t="n"/>
      <c r="Q703" s="44" t="str">
        <f>IF($AM703=0,"",IF(ISNUMBER($AK703),$AK703-N($AL703),""))</f>
        <v/>
      </c>
      <c r="R703" s="45" t="str">
        <f>IF(OR($Q703="",NOT(ISNUMBER($V703))),"",$AK703/$V703)</f>
        <v/>
      </c>
      <c r="S703" s="46" t="str">
        <f>IF($Q703="","",IF(AND(ISNUMBER($R703),ABS(N($R703))&lt;N(Settings!$C$8)),"Scratch",IF($Q703&gt;0,"Win",IF($Q703&lt;0,"Loss","Scratch"))))</f>
        <v/>
      </c>
      <c r="T703" s="47" t="str">
        <f>IF(OR($AM703=0,NOT(ISNUMBER($H703)),NOT(ISNUMBER($I703)),NOT(ISNUMBER($J703))),"",IF($H703=$I703,"",ROUND(ABS($J703-$H703)/ABS($H703-$I703),6)))</f>
        <v/>
      </c>
      <c r="U703" s="48" t="str">
        <f>IF(OR($S703&lt;&gt;"Win",NOT(ISNUMBER($T703)),NOT(ISNUMBER($R703))),"",MAX(0,$T703-$R703))</f>
        <v/>
      </c>
      <c r="V703" s="49" t="str">
        <f>IF(OR($AM703=0,NOT(ISNUMBER($H703)),NOT(ISNUMBER($I703)),NOT(ISNUMBER($G703))),"",IF(OR($AG703="",$AH703=""),"",IF(ROUND(ABS($H703-$I703)*ABS($G703)*$AG703*$AH703,6)=0,"",ROUND(ABS($H703-$I703)*ABS($G703)*$AG703*$AH703,6))))</f>
        <v/>
      </c>
      <c r="W703" s="50" t="str">
        <f>IF($AM703=0,"",IF($BG703="","OK",LEFT($BG703,LEN($BG703)-2)))</f>
        <v/>
      </c>
      <c r="X703" s="41" t="n"/>
      <c r="Y703" s="40" t="n"/>
      <c r="Z703" s="41" t="n"/>
      <c r="AA703" s="41" t="n"/>
      <c r="AB703" s="40" t="n"/>
      <c r="AC703" s="51" t="n"/>
      <c r="AD703" s="51" t="n"/>
      <c r="AE703" s="40" t="n"/>
      <c r="AF703" s="52" t="str">
        <f>IF($AM703=0,"",IF($D703&lt;&gt;"",$D703,IF(IFERROR(INDEX(Accounts!$C$7:$C$16,MATCH($C703,Accounts!$B$7:$B$16,0))&amp;"","")&lt;&gt;"",INDEX(Accounts!$C$7:$C$16,MATCH($C703,Accounts!$B$7:$B$16,0)),Settings!$C$6)))</f>
        <v/>
      </c>
      <c r="AG703" s="53" t="str">
        <f>IF($AM703=0,"",IF(AND($BE703&gt;0,N(INDEX(Instruments!$D$6:$D$205,MAX(1,$BE703)))&gt;0),INDEX(Instruments!$D$6:$D$205,MAX(1,$BE703)),IF(N(INDEX(Settings!$D$14:$D$18,$BF703))&gt;0,INDEX(Settings!$D$14:$D$18,$BF703),"")))</f>
        <v/>
      </c>
      <c r="AH703" s="54" t="str">
        <f>IF($AM703=0,"",IF($AF703&lt;&gt;"Forex",1,IF(MID(UPPER(SUBSTITUTE(TRIM($E703),"/","")),4,3)=UPPER(TRIM(Settings!$C$7)),1,IF(LEFT(UPPER(SUBSTITUTE(TRIM($E703),"/","")),3)=UPPER(TRIM(Settings!$C$7)),IF(AND(ISNUMBER($K703),N($K703)&lt;&gt;0),1/$K703,""),""))))</f>
        <v/>
      </c>
      <c r="AI703" s="55" t="str">
        <f>IF($AM703=0,"",IF(OR(NOT(ISNUMBER($H703)),NOT(ISNUMBER($K703)),NOT(ISNUMBER($G703)),$AG703="",$AH703=""),"",ROUND(($K703-$H703)*IF($F703="Short",-1,1)*$G703*$AG703*$AH703,6)))</f>
        <v/>
      </c>
      <c r="AJ703" s="55" t="str">
        <f>IF($AM703=0,"",IF(INDEX(Settings!$E$14:$E$18,$BF703)="% of notional",IF(OR($AG703="",NOT(ISNUMBER($H703)),NOT(ISNUMBER($G703))),"",ROUND(ABS($H703*$G703*$AG703*N($AH703))*IF($L703="Limit",N(INDEX(Settings!$G$14:$G$18,$BF703)),N(INDEX(Settings!$H$14:$H$18,$BF703)))+IF(ISNUMBER($K703),ABS($K703*$G703*$AG703*N($AH703))*IF($M703="Target",N(INDEX(Settings!$G$14:$G$18,$BF703)),N(INDEX(Settings!$H$14:$H$18,$BF703))),0),6)),IF(NOT(ISNUMBER($G703)),"",ROUND(ABS($G703)*2*IF(AND($BE703&gt;0,ISNUMBER(INDEX(Instruments!$G$6:$G$205,MAX(1,$BE703)))),INDEX(Instruments!$G$6:$G$205,MAX(1,$BE703)),N(INDEX(Settings!$F$14:$F$18,$BF703))),6))))</f>
        <v/>
      </c>
      <c r="AK703" s="55" t="str">
        <f>IF($AM703=0,"",IF(ISNUMBER($O703),$O703,$AI703))</f>
        <v/>
      </c>
      <c r="AL703" s="55" t="str">
        <f>IF($AM703=0,"",IF(ISNUMBER($P703),$P703,N($AJ703)))</f>
        <v/>
      </c>
      <c r="AM703" s="56">
        <f>IF(AND($A703&lt;&gt;"",$E703&lt;&gt;"",OR(AND(ISNUMBER($G703),ISNUMBER($H703),ISNUMBER($K703)),ISNUMBER($O703))),1,0)</f>
        <v>0</v>
      </c>
      <c r="AN703" s="57" t="str">
        <f>IF($A703="","",$A703-WEEKDAY($A703,3))</f>
        <v/>
      </c>
      <c r="AO703" s="56" t="str">
        <f>IF($A703="","",WEEKDAY($A703,2))</f>
        <v/>
      </c>
      <c r="AP703" s="55" t="str">
        <f>IF(OR($AM703=0,$C703=""),"",IFERROR(N(INDEX(Accounts!$E$7:$E$16,MATCH($C703,Accounts!$B$7:$B$16,0))),0)+SUMIFS($Q$6:$Q703,$C$6:$C703,$C703))</f>
        <v/>
      </c>
      <c r="AQ703" s="55" t="str">
        <f>IF(OR($AM703=0,$C703=""),"",SUMIFS($Q$6:$Q$1005,$C$6:$C$1005,$C703,$A$6:$A$1005,$A703))</f>
        <v/>
      </c>
      <c r="AR703" s="55" t="str">
        <f>IF(OR($AM703=0,$C703=""),"",IFERROR(N(INDEX(Accounts!$E$7:$E$16,MATCH($C703,Accounts!$B$7:$B$16,0))),0)+SUMIFS($Q$6:$Q$1005,$C$6:$C$1005,$C703,$A$6:$A$1005,"&lt;="&amp;$A703))</f>
        <v/>
      </c>
      <c r="AS703" s="56">
        <f>IF(OR($AM703=0,$Q703=""),0,IF(AND($A703&gt;=Lists!$W$6,$A703&lt;=Lists!$W$7,OR(Dashboard!$D$6="All accounts",$C703=Dashboard!$D$6),OR(Dashboard!$D$7="All markets",$AF703=Dashboard!$D$7)),1,0))</f>
        <v>0</v>
      </c>
      <c r="AT703" s="55">
        <f>IF($AS703=1,N(AT702)+$Q703,N(AT702))</f>
        <v>1187.10688</v>
      </c>
      <c r="AU703" s="55">
        <f>MAX(N(AU702),$AT703)</f>
        <v>1187.10688</v>
      </c>
      <c r="AV703" s="55">
        <f>$AT703-$AU703</f>
        <v>0</v>
      </c>
      <c r="AW703" s="56">
        <f>IF($AS703=1,IF($S703="Win",N(AW702)+1,IF($S703="Loss",0,N(AW702))),N(AW702))</f>
        <v>5</v>
      </c>
      <c r="AX703" s="56">
        <f>IF($AS703=1,IF($S703="Loss",N(AX702)+1,IF($S703="Win",0,N(AX702))),N(AX702))</f>
        <v>0</v>
      </c>
      <c r="AY703" s="56" t="str">
        <f>IF($AS703=1,COUNTIF($AS$6:$AS703,1),"")</f>
        <v/>
      </c>
      <c r="AZ703" s="56">
        <f>MIN(697,N(Lists!$W$8))</f>
        <v>28</v>
      </c>
      <c r="BA703" s="56">
        <f>IF($AS703=1,IF(COUNTIFS($A$6:$A703,$A703,$AS$6:$AS703,1)=1,1,0),0)</f>
        <v>0</v>
      </c>
      <c r="BB703" s="55" t="str">
        <f>IF($BA703=1,SUMIFS($Q$6:$Q$1005,$A$6:$A$1005,$A703,$AS$6:$AS$1005,1),"")</f>
        <v/>
      </c>
      <c r="BC703" s="56">
        <f>IF(ISNUMBER($R703),1,0)</f>
        <v>0</v>
      </c>
      <c r="BD703" s="55" t="str">
        <f>IF(ISNUMBER($U703),$U703*$V703,"")</f>
        <v/>
      </c>
      <c r="BE703" s="56" t="str">
        <f>IF($AM703=0,"",IFERROR(MATCH($AF703&amp;"|"&amp;UPPER(TRIM($E703)),Lists!$A$6:$A$205,0),0))</f>
        <v/>
      </c>
      <c r="BF703" s="56" t="str">
        <f>IF($AM703=0,"",IFERROR(MATCH($AF703,Settings!$B$14:$B$18,0),IFERROR(MATCH(Settings!$C$6,Settings!$B$14:$B$18,0),1)))</f>
        <v/>
      </c>
      <c r="BG703" s="58" t="str">
        <f>IF($AM703=0,"",IF(NOT(ISNUMBER($I703)),"No stop; ","")&amp;IF(AND(ISNUMBER($H703),ISNUMBER($I703)),IF(OR(AND($F703&lt;&gt;"Short",$I703&gt;=$H703),AND($F703="Short",$I703&lt;=$H703)),"Stop on wrong side; ",""),"")&amp;IF($F703="","No direction; ","")&amp;IF(AND(ISNUMBER(Settings!$C$22),ISNUMBER($V703)),IF($V703&gt;Settings!$C$22,"Risk over max $; ",""),"")&amp;IF(AND(ISNUMBER(Settings!$C$23),ISNUMBER($V703),ISNUMBER($AP703),IFERROR(N(INDEX(Accounts!$E$7:$E$16,MATCH($C703,Accounts!$B$7:$B$16,0))),0)&gt;0),IF($V703&gt;Settings!$C$23*($AP703-N($Q703)),"Risk over max %; ",""),"")&amp;IF(AND(ISNUMBER(Settings!$C$24),ISNUMBER($N703)),IF($N703&gt;Settings!$C$24,"Leverage over max; ",""),"")&amp;IF(AND(ISNUMBER(Settings!$C$27),ISNUMBER($T703)),IF($T703&lt;Settings!$C$27,"R:R below min; ",""),"")&amp;IF(ISNUMBER(Settings!$C$25),IF(COUNTIFS($A$6:$A703,$A703,$AM$6:$AM703,1)&gt;Settings!$C$25,"Over max trades/day; ",""),"")&amp;IF(ISNUMBER(Settings!$C$26),IF(SUMIFS($Q$5:$Q702,$A$5:$A702,$A703)&lt;=-Settings!$C$26,"Traded after daily max loss; ",""),"")&amp;IF(AND($AG703="",NOT(ISNUMBER($O703))),"Symbol not in Instruments; ","")&amp;IF(AND($AH703="",NOT(ISNUMBER($O703))),"Forex cross: type Gross P&amp;L; ",""))</f>
        <v/>
      </c>
      <c r="BH703" s="56">
        <f>IF(ISNUMBER($Q703),1,0)</f>
        <v>0</v>
      </c>
      <c r="BI703" s="56">
        <f>IF($Y703="",0,1)</f>
        <v>0</v>
      </c>
      <c r="BJ703" s="56">
        <f>IF($AB703="",0,1)</f>
        <v>0</v>
      </c>
      <c r="BK703" s="56">
        <f>IF(AND($BH703=1,$W703&lt;&gt;"OK"),1,0)</f>
        <v>0</v>
      </c>
      <c r="BL703" s="55">
        <f>IF(N($AZ703)=0,0,IFERROR(INDEX($AT$6:$AT$1005,MATCH($AZ703,$AY$6:$AY$1005,0)),0))</f>
        <v>1187.10688</v>
      </c>
      <c r="BM703" s="56">
        <f>IF(ISNUMBER(SEARCH("daily max loss",$BG703)),1,0)</f>
        <v>0</v>
      </c>
    </row>
    <row r="704" ht="18" customHeight="1">
      <c r="A704" s="38" t="n"/>
      <c r="B704" s="39" t="n"/>
      <c r="C704" s="40" t="n"/>
      <c r="D704" s="41" t="n"/>
      <c r="E704" s="41" t="n"/>
      <c r="F704" s="41" t="n"/>
      <c r="G704" s="41" t="n"/>
      <c r="H704" s="42" t="n"/>
      <c r="I704" s="42" t="n"/>
      <c r="J704" s="42" t="n"/>
      <c r="K704" s="42" t="n"/>
      <c r="L704" s="41" t="n"/>
      <c r="M704" s="41" t="n"/>
      <c r="N704" s="41" t="n"/>
      <c r="O704" s="43" t="n"/>
      <c r="P704" s="43" t="n"/>
      <c r="Q704" s="44" t="str">
        <f>IF($AM704=0,"",IF(ISNUMBER($AK704),$AK704-N($AL704),""))</f>
        <v/>
      </c>
      <c r="R704" s="45" t="str">
        <f>IF(OR($Q704="",NOT(ISNUMBER($V704))),"",$AK704/$V704)</f>
        <v/>
      </c>
      <c r="S704" s="46" t="str">
        <f>IF($Q704="","",IF(AND(ISNUMBER($R704),ABS(N($R704))&lt;N(Settings!$C$8)),"Scratch",IF($Q704&gt;0,"Win",IF($Q704&lt;0,"Loss","Scratch"))))</f>
        <v/>
      </c>
      <c r="T704" s="47" t="str">
        <f>IF(OR($AM704=0,NOT(ISNUMBER($H704)),NOT(ISNUMBER($I704)),NOT(ISNUMBER($J704))),"",IF($H704=$I704,"",ROUND(ABS($J704-$H704)/ABS($H704-$I704),6)))</f>
        <v/>
      </c>
      <c r="U704" s="48" t="str">
        <f>IF(OR($S704&lt;&gt;"Win",NOT(ISNUMBER($T704)),NOT(ISNUMBER($R704))),"",MAX(0,$T704-$R704))</f>
        <v/>
      </c>
      <c r="V704" s="49" t="str">
        <f>IF(OR($AM704=0,NOT(ISNUMBER($H704)),NOT(ISNUMBER($I704)),NOT(ISNUMBER($G704))),"",IF(OR($AG704="",$AH704=""),"",IF(ROUND(ABS($H704-$I704)*ABS($G704)*$AG704*$AH704,6)=0,"",ROUND(ABS($H704-$I704)*ABS($G704)*$AG704*$AH704,6))))</f>
        <v/>
      </c>
      <c r="W704" s="50" t="str">
        <f>IF($AM704=0,"",IF($BG704="","OK",LEFT($BG704,LEN($BG704)-2)))</f>
        <v/>
      </c>
      <c r="X704" s="41" t="n"/>
      <c r="Y704" s="40" t="n"/>
      <c r="Z704" s="41" t="n"/>
      <c r="AA704" s="41" t="n"/>
      <c r="AB704" s="40" t="n"/>
      <c r="AC704" s="51" t="n"/>
      <c r="AD704" s="51" t="n"/>
      <c r="AE704" s="40" t="n"/>
      <c r="AF704" s="52" t="str">
        <f>IF($AM704=0,"",IF($D704&lt;&gt;"",$D704,IF(IFERROR(INDEX(Accounts!$C$7:$C$16,MATCH($C704,Accounts!$B$7:$B$16,0))&amp;"","")&lt;&gt;"",INDEX(Accounts!$C$7:$C$16,MATCH($C704,Accounts!$B$7:$B$16,0)),Settings!$C$6)))</f>
        <v/>
      </c>
      <c r="AG704" s="53" t="str">
        <f>IF($AM704=0,"",IF(AND($BE704&gt;0,N(INDEX(Instruments!$D$6:$D$205,MAX(1,$BE704)))&gt;0),INDEX(Instruments!$D$6:$D$205,MAX(1,$BE704)),IF(N(INDEX(Settings!$D$14:$D$18,$BF704))&gt;0,INDEX(Settings!$D$14:$D$18,$BF704),"")))</f>
        <v/>
      </c>
      <c r="AH704" s="54" t="str">
        <f>IF($AM704=0,"",IF($AF704&lt;&gt;"Forex",1,IF(MID(UPPER(SUBSTITUTE(TRIM($E704),"/","")),4,3)=UPPER(TRIM(Settings!$C$7)),1,IF(LEFT(UPPER(SUBSTITUTE(TRIM($E704),"/","")),3)=UPPER(TRIM(Settings!$C$7)),IF(AND(ISNUMBER($K704),N($K704)&lt;&gt;0),1/$K704,""),""))))</f>
        <v/>
      </c>
      <c r="AI704" s="55" t="str">
        <f>IF($AM704=0,"",IF(OR(NOT(ISNUMBER($H704)),NOT(ISNUMBER($K704)),NOT(ISNUMBER($G704)),$AG704="",$AH704=""),"",ROUND(($K704-$H704)*IF($F704="Short",-1,1)*$G704*$AG704*$AH704,6)))</f>
        <v/>
      </c>
      <c r="AJ704" s="55" t="str">
        <f>IF($AM704=0,"",IF(INDEX(Settings!$E$14:$E$18,$BF704)="% of notional",IF(OR($AG704="",NOT(ISNUMBER($H704)),NOT(ISNUMBER($G704))),"",ROUND(ABS($H704*$G704*$AG704*N($AH704))*IF($L704="Limit",N(INDEX(Settings!$G$14:$G$18,$BF704)),N(INDEX(Settings!$H$14:$H$18,$BF704)))+IF(ISNUMBER($K704),ABS($K704*$G704*$AG704*N($AH704))*IF($M704="Target",N(INDEX(Settings!$G$14:$G$18,$BF704)),N(INDEX(Settings!$H$14:$H$18,$BF704))),0),6)),IF(NOT(ISNUMBER($G704)),"",ROUND(ABS($G704)*2*IF(AND($BE704&gt;0,ISNUMBER(INDEX(Instruments!$G$6:$G$205,MAX(1,$BE704)))),INDEX(Instruments!$G$6:$G$205,MAX(1,$BE704)),N(INDEX(Settings!$F$14:$F$18,$BF704))),6))))</f>
        <v/>
      </c>
      <c r="AK704" s="55" t="str">
        <f>IF($AM704=0,"",IF(ISNUMBER($O704),$O704,$AI704))</f>
        <v/>
      </c>
      <c r="AL704" s="55" t="str">
        <f>IF($AM704=0,"",IF(ISNUMBER($P704),$P704,N($AJ704)))</f>
        <v/>
      </c>
      <c r="AM704" s="56">
        <f>IF(AND($A704&lt;&gt;"",$E704&lt;&gt;"",OR(AND(ISNUMBER($G704),ISNUMBER($H704),ISNUMBER($K704)),ISNUMBER($O704))),1,0)</f>
        <v>0</v>
      </c>
      <c r="AN704" s="57" t="str">
        <f>IF($A704="","",$A704-WEEKDAY($A704,3))</f>
        <v/>
      </c>
      <c r="AO704" s="56" t="str">
        <f>IF($A704="","",WEEKDAY($A704,2))</f>
        <v/>
      </c>
      <c r="AP704" s="55" t="str">
        <f>IF(OR($AM704=0,$C704=""),"",IFERROR(N(INDEX(Accounts!$E$7:$E$16,MATCH($C704,Accounts!$B$7:$B$16,0))),0)+SUMIFS($Q$6:$Q704,$C$6:$C704,$C704))</f>
        <v/>
      </c>
      <c r="AQ704" s="55" t="str">
        <f>IF(OR($AM704=0,$C704=""),"",SUMIFS($Q$6:$Q$1005,$C$6:$C$1005,$C704,$A$6:$A$1005,$A704))</f>
        <v/>
      </c>
      <c r="AR704" s="55" t="str">
        <f>IF(OR($AM704=0,$C704=""),"",IFERROR(N(INDEX(Accounts!$E$7:$E$16,MATCH($C704,Accounts!$B$7:$B$16,0))),0)+SUMIFS($Q$6:$Q$1005,$C$6:$C$1005,$C704,$A$6:$A$1005,"&lt;="&amp;$A704))</f>
        <v/>
      </c>
      <c r="AS704" s="56">
        <f>IF(OR($AM704=0,$Q704=""),0,IF(AND($A704&gt;=Lists!$W$6,$A704&lt;=Lists!$W$7,OR(Dashboard!$D$6="All accounts",$C704=Dashboard!$D$6),OR(Dashboard!$D$7="All markets",$AF704=Dashboard!$D$7)),1,0))</f>
        <v>0</v>
      </c>
      <c r="AT704" s="55">
        <f>IF($AS704=1,N(AT703)+$Q704,N(AT703))</f>
        <v>1187.10688</v>
      </c>
      <c r="AU704" s="55">
        <f>MAX(N(AU703),$AT704)</f>
        <v>1187.10688</v>
      </c>
      <c r="AV704" s="55">
        <f>$AT704-$AU704</f>
        <v>0</v>
      </c>
      <c r="AW704" s="56">
        <f>IF($AS704=1,IF($S704="Win",N(AW703)+1,IF($S704="Loss",0,N(AW703))),N(AW703))</f>
        <v>5</v>
      </c>
      <c r="AX704" s="56">
        <f>IF($AS704=1,IF($S704="Loss",N(AX703)+1,IF($S704="Win",0,N(AX703))),N(AX703))</f>
        <v>0</v>
      </c>
      <c r="AY704" s="56" t="str">
        <f>IF($AS704=1,COUNTIF($AS$6:$AS704,1),"")</f>
        <v/>
      </c>
      <c r="AZ704" s="56">
        <f>MIN(698,N(Lists!$W$8))</f>
        <v>28</v>
      </c>
      <c r="BA704" s="56">
        <f>IF($AS704=1,IF(COUNTIFS($A$6:$A704,$A704,$AS$6:$AS704,1)=1,1,0),0)</f>
        <v>0</v>
      </c>
      <c r="BB704" s="55" t="str">
        <f>IF($BA704=1,SUMIFS($Q$6:$Q$1005,$A$6:$A$1005,$A704,$AS$6:$AS$1005,1),"")</f>
        <v/>
      </c>
      <c r="BC704" s="56">
        <f>IF(ISNUMBER($R704),1,0)</f>
        <v>0</v>
      </c>
      <c r="BD704" s="55" t="str">
        <f>IF(ISNUMBER($U704),$U704*$V704,"")</f>
        <v/>
      </c>
      <c r="BE704" s="56" t="str">
        <f>IF($AM704=0,"",IFERROR(MATCH($AF704&amp;"|"&amp;UPPER(TRIM($E704)),Lists!$A$6:$A$205,0),0))</f>
        <v/>
      </c>
      <c r="BF704" s="56" t="str">
        <f>IF($AM704=0,"",IFERROR(MATCH($AF704,Settings!$B$14:$B$18,0),IFERROR(MATCH(Settings!$C$6,Settings!$B$14:$B$18,0),1)))</f>
        <v/>
      </c>
      <c r="BG704" s="58" t="str">
        <f>IF($AM704=0,"",IF(NOT(ISNUMBER($I704)),"No stop; ","")&amp;IF(AND(ISNUMBER($H704),ISNUMBER($I704)),IF(OR(AND($F704&lt;&gt;"Short",$I704&gt;=$H704),AND($F704="Short",$I704&lt;=$H704)),"Stop on wrong side; ",""),"")&amp;IF($F704="","No direction; ","")&amp;IF(AND(ISNUMBER(Settings!$C$22),ISNUMBER($V704)),IF($V704&gt;Settings!$C$22,"Risk over max $; ",""),"")&amp;IF(AND(ISNUMBER(Settings!$C$23),ISNUMBER($V704),ISNUMBER($AP704),IFERROR(N(INDEX(Accounts!$E$7:$E$16,MATCH($C704,Accounts!$B$7:$B$16,0))),0)&gt;0),IF($V704&gt;Settings!$C$23*($AP704-N($Q704)),"Risk over max %; ",""),"")&amp;IF(AND(ISNUMBER(Settings!$C$24),ISNUMBER($N704)),IF($N704&gt;Settings!$C$24,"Leverage over max; ",""),"")&amp;IF(AND(ISNUMBER(Settings!$C$27),ISNUMBER($T704)),IF($T704&lt;Settings!$C$27,"R:R below min; ",""),"")&amp;IF(ISNUMBER(Settings!$C$25),IF(COUNTIFS($A$6:$A704,$A704,$AM$6:$AM704,1)&gt;Settings!$C$25,"Over max trades/day; ",""),"")&amp;IF(ISNUMBER(Settings!$C$26),IF(SUMIFS($Q$5:$Q703,$A$5:$A703,$A704)&lt;=-Settings!$C$26,"Traded after daily max loss; ",""),"")&amp;IF(AND($AG704="",NOT(ISNUMBER($O704))),"Symbol not in Instruments; ","")&amp;IF(AND($AH704="",NOT(ISNUMBER($O704))),"Forex cross: type Gross P&amp;L; ",""))</f>
        <v/>
      </c>
      <c r="BH704" s="56">
        <f>IF(ISNUMBER($Q704),1,0)</f>
        <v>0</v>
      </c>
      <c r="BI704" s="56">
        <f>IF($Y704="",0,1)</f>
        <v>0</v>
      </c>
      <c r="BJ704" s="56">
        <f>IF($AB704="",0,1)</f>
        <v>0</v>
      </c>
      <c r="BK704" s="56">
        <f>IF(AND($BH704=1,$W704&lt;&gt;"OK"),1,0)</f>
        <v>0</v>
      </c>
      <c r="BL704" s="55">
        <f>IF(N($AZ704)=0,0,IFERROR(INDEX($AT$6:$AT$1005,MATCH($AZ704,$AY$6:$AY$1005,0)),0))</f>
        <v>1187.10688</v>
      </c>
      <c r="BM704" s="56">
        <f>IF(ISNUMBER(SEARCH("daily max loss",$BG704)),1,0)</f>
        <v>0</v>
      </c>
    </row>
    <row r="705" ht="18" customHeight="1">
      <c r="A705" s="38" t="n"/>
      <c r="B705" s="39" t="n"/>
      <c r="C705" s="40" t="n"/>
      <c r="D705" s="41" t="n"/>
      <c r="E705" s="41" t="n"/>
      <c r="F705" s="41" t="n"/>
      <c r="G705" s="41" t="n"/>
      <c r="H705" s="42" t="n"/>
      <c r="I705" s="42" t="n"/>
      <c r="J705" s="42" t="n"/>
      <c r="K705" s="42" t="n"/>
      <c r="L705" s="41" t="n"/>
      <c r="M705" s="41" t="n"/>
      <c r="N705" s="41" t="n"/>
      <c r="O705" s="43" t="n"/>
      <c r="P705" s="43" t="n"/>
      <c r="Q705" s="44" t="str">
        <f>IF($AM705=0,"",IF(ISNUMBER($AK705),$AK705-N($AL705),""))</f>
        <v/>
      </c>
      <c r="R705" s="45" t="str">
        <f>IF(OR($Q705="",NOT(ISNUMBER($V705))),"",$AK705/$V705)</f>
        <v/>
      </c>
      <c r="S705" s="46" t="str">
        <f>IF($Q705="","",IF(AND(ISNUMBER($R705),ABS(N($R705))&lt;N(Settings!$C$8)),"Scratch",IF($Q705&gt;0,"Win",IF($Q705&lt;0,"Loss","Scratch"))))</f>
        <v/>
      </c>
      <c r="T705" s="47" t="str">
        <f>IF(OR($AM705=0,NOT(ISNUMBER($H705)),NOT(ISNUMBER($I705)),NOT(ISNUMBER($J705))),"",IF($H705=$I705,"",ROUND(ABS($J705-$H705)/ABS($H705-$I705),6)))</f>
        <v/>
      </c>
      <c r="U705" s="48" t="str">
        <f>IF(OR($S705&lt;&gt;"Win",NOT(ISNUMBER($T705)),NOT(ISNUMBER($R705))),"",MAX(0,$T705-$R705))</f>
        <v/>
      </c>
      <c r="V705" s="49" t="str">
        <f>IF(OR($AM705=0,NOT(ISNUMBER($H705)),NOT(ISNUMBER($I705)),NOT(ISNUMBER($G705))),"",IF(OR($AG705="",$AH705=""),"",IF(ROUND(ABS($H705-$I705)*ABS($G705)*$AG705*$AH705,6)=0,"",ROUND(ABS($H705-$I705)*ABS($G705)*$AG705*$AH705,6))))</f>
        <v/>
      </c>
      <c r="W705" s="50" t="str">
        <f>IF($AM705=0,"",IF($BG705="","OK",LEFT($BG705,LEN($BG705)-2)))</f>
        <v/>
      </c>
      <c r="X705" s="41" t="n"/>
      <c r="Y705" s="40" t="n"/>
      <c r="Z705" s="41" t="n"/>
      <c r="AA705" s="41" t="n"/>
      <c r="AB705" s="40" t="n"/>
      <c r="AC705" s="51" t="n"/>
      <c r="AD705" s="51" t="n"/>
      <c r="AE705" s="40" t="n"/>
      <c r="AF705" s="52" t="str">
        <f>IF($AM705=0,"",IF($D705&lt;&gt;"",$D705,IF(IFERROR(INDEX(Accounts!$C$7:$C$16,MATCH($C705,Accounts!$B$7:$B$16,0))&amp;"","")&lt;&gt;"",INDEX(Accounts!$C$7:$C$16,MATCH($C705,Accounts!$B$7:$B$16,0)),Settings!$C$6)))</f>
        <v/>
      </c>
      <c r="AG705" s="53" t="str">
        <f>IF($AM705=0,"",IF(AND($BE705&gt;0,N(INDEX(Instruments!$D$6:$D$205,MAX(1,$BE705)))&gt;0),INDEX(Instruments!$D$6:$D$205,MAX(1,$BE705)),IF(N(INDEX(Settings!$D$14:$D$18,$BF705))&gt;0,INDEX(Settings!$D$14:$D$18,$BF705),"")))</f>
        <v/>
      </c>
      <c r="AH705" s="54" t="str">
        <f>IF($AM705=0,"",IF($AF705&lt;&gt;"Forex",1,IF(MID(UPPER(SUBSTITUTE(TRIM($E705),"/","")),4,3)=UPPER(TRIM(Settings!$C$7)),1,IF(LEFT(UPPER(SUBSTITUTE(TRIM($E705),"/","")),3)=UPPER(TRIM(Settings!$C$7)),IF(AND(ISNUMBER($K705),N($K705)&lt;&gt;0),1/$K705,""),""))))</f>
        <v/>
      </c>
      <c r="AI705" s="55" t="str">
        <f>IF($AM705=0,"",IF(OR(NOT(ISNUMBER($H705)),NOT(ISNUMBER($K705)),NOT(ISNUMBER($G705)),$AG705="",$AH705=""),"",ROUND(($K705-$H705)*IF($F705="Short",-1,1)*$G705*$AG705*$AH705,6)))</f>
        <v/>
      </c>
      <c r="AJ705" s="55" t="str">
        <f>IF($AM705=0,"",IF(INDEX(Settings!$E$14:$E$18,$BF705)="% of notional",IF(OR($AG705="",NOT(ISNUMBER($H705)),NOT(ISNUMBER($G705))),"",ROUND(ABS($H705*$G705*$AG705*N($AH705))*IF($L705="Limit",N(INDEX(Settings!$G$14:$G$18,$BF705)),N(INDEX(Settings!$H$14:$H$18,$BF705)))+IF(ISNUMBER($K705),ABS($K705*$G705*$AG705*N($AH705))*IF($M705="Target",N(INDEX(Settings!$G$14:$G$18,$BF705)),N(INDEX(Settings!$H$14:$H$18,$BF705))),0),6)),IF(NOT(ISNUMBER($G705)),"",ROUND(ABS($G705)*2*IF(AND($BE705&gt;0,ISNUMBER(INDEX(Instruments!$G$6:$G$205,MAX(1,$BE705)))),INDEX(Instruments!$G$6:$G$205,MAX(1,$BE705)),N(INDEX(Settings!$F$14:$F$18,$BF705))),6))))</f>
        <v/>
      </c>
      <c r="AK705" s="55" t="str">
        <f>IF($AM705=0,"",IF(ISNUMBER($O705),$O705,$AI705))</f>
        <v/>
      </c>
      <c r="AL705" s="55" t="str">
        <f>IF($AM705=0,"",IF(ISNUMBER($P705),$P705,N($AJ705)))</f>
        <v/>
      </c>
      <c r="AM705" s="56">
        <f>IF(AND($A705&lt;&gt;"",$E705&lt;&gt;"",OR(AND(ISNUMBER($G705),ISNUMBER($H705),ISNUMBER($K705)),ISNUMBER($O705))),1,0)</f>
        <v>0</v>
      </c>
      <c r="AN705" s="57" t="str">
        <f>IF($A705="","",$A705-WEEKDAY($A705,3))</f>
        <v/>
      </c>
      <c r="AO705" s="56" t="str">
        <f>IF($A705="","",WEEKDAY($A705,2))</f>
        <v/>
      </c>
      <c r="AP705" s="55" t="str">
        <f>IF(OR($AM705=0,$C705=""),"",IFERROR(N(INDEX(Accounts!$E$7:$E$16,MATCH($C705,Accounts!$B$7:$B$16,0))),0)+SUMIFS($Q$6:$Q705,$C$6:$C705,$C705))</f>
        <v/>
      </c>
      <c r="AQ705" s="55" t="str">
        <f>IF(OR($AM705=0,$C705=""),"",SUMIFS($Q$6:$Q$1005,$C$6:$C$1005,$C705,$A$6:$A$1005,$A705))</f>
        <v/>
      </c>
      <c r="AR705" s="55" t="str">
        <f>IF(OR($AM705=0,$C705=""),"",IFERROR(N(INDEX(Accounts!$E$7:$E$16,MATCH($C705,Accounts!$B$7:$B$16,0))),0)+SUMIFS($Q$6:$Q$1005,$C$6:$C$1005,$C705,$A$6:$A$1005,"&lt;="&amp;$A705))</f>
        <v/>
      </c>
      <c r="AS705" s="56">
        <f>IF(OR($AM705=0,$Q705=""),0,IF(AND($A705&gt;=Lists!$W$6,$A705&lt;=Lists!$W$7,OR(Dashboard!$D$6="All accounts",$C705=Dashboard!$D$6),OR(Dashboard!$D$7="All markets",$AF705=Dashboard!$D$7)),1,0))</f>
        <v>0</v>
      </c>
      <c r="AT705" s="55">
        <f>IF($AS705=1,N(AT704)+$Q705,N(AT704))</f>
        <v>1187.10688</v>
      </c>
      <c r="AU705" s="55">
        <f>MAX(N(AU704),$AT705)</f>
        <v>1187.10688</v>
      </c>
      <c r="AV705" s="55">
        <f>$AT705-$AU705</f>
        <v>0</v>
      </c>
      <c r="AW705" s="56">
        <f>IF($AS705=1,IF($S705="Win",N(AW704)+1,IF($S705="Loss",0,N(AW704))),N(AW704))</f>
        <v>5</v>
      </c>
      <c r="AX705" s="56">
        <f>IF($AS705=1,IF($S705="Loss",N(AX704)+1,IF($S705="Win",0,N(AX704))),N(AX704))</f>
        <v>0</v>
      </c>
      <c r="AY705" s="56" t="str">
        <f>IF($AS705=1,COUNTIF($AS$6:$AS705,1),"")</f>
        <v/>
      </c>
      <c r="AZ705" s="56">
        <f>MIN(699,N(Lists!$W$8))</f>
        <v>28</v>
      </c>
      <c r="BA705" s="56">
        <f>IF($AS705=1,IF(COUNTIFS($A$6:$A705,$A705,$AS$6:$AS705,1)=1,1,0),0)</f>
        <v>0</v>
      </c>
      <c r="BB705" s="55" t="str">
        <f>IF($BA705=1,SUMIFS($Q$6:$Q$1005,$A$6:$A$1005,$A705,$AS$6:$AS$1005,1),"")</f>
        <v/>
      </c>
      <c r="BC705" s="56">
        <f>IF(ISNUMBER($R705),1,0)</f>
        <v>0</v>
      </c>
      <c r="BD705" s="55" t="str">
        <f>IF(ISNUMBER($U705),$U705*$V705,"")</f>
        <v/>
      </c>
      <c r="BE705" s="56" t="str">
        <f>IF($AM705=0,"",IFERROR(MATCH($AF705&amp;"|"&amp;UPPER(TRIM($E705)),Lists!$A$6:$A$205,0),0))</f>
        <v/>
      </c>
      <c r="BF705" s="56" t="str">
        <f>IF($AM705=0,"",IFERROR(MATCH($AF705,Settings!$B$14:$B$18,0),IFERROR(MATCH(Settings!$C$6,Settings!$B$14:$B$18,0),1)))</f>
        <v/>
      </c>
      <c r="BG705" s="58" t="str">
        <f>IF($AM705=0,"",IF(NOT(ISNUMBER($I705)),"No stop; ","")&amp;IF(AND(ISNUMBER($H705),ISNUMBER($I705)),IF(OR(AND($F705&lt;&gt;"Short",$I705&gt;=$H705),AND($F705="Short",$I705&lt;=$H705)),"Stop on wrong side; ",""),"")&amp;IF($F705="","No direction; ","")&amp;IF(AND(ISNUMBER(Settings!$C$22),ISNUMBER($V705)),IF($V705&gt;Settings!$C$22,"Risk over max $; ",""),"")&amp;IF(AND(ISNUMBER(Settings!$C$23),ISNUMBER($V705),ISNUMBER($AP705),IFERROR(N(INDEX(Accounts!$E$7:$E$16,MATCH($C705,Accounts!$B$7:$B$16,0))),0)&gt;0),IF($V705&gt;Settings!$C$23*($AP705-N($Q705)),"Risk over max %; ",""),"")&amp;IF(AND(ISNUMBER(Settings!$C$24),ISNUMBER($N705)),IF($N705&gt;Settings!$C$24,"Leverage over max; ",""),"")&amp;IF(AND(ISNUMBER(Settings!$C$27),ISNUMBER($T705)),IF($T705&lt;Settings!$C$27,"R:R below min; ",""),"")&amp;IF(ISNUMBER(Settings!$C$25),IF(COUNTIFS($A$6:$A705,$A705,$AM$6:$AM705,1)&gt;Settings!$C$25,"Over max trades/day; ",""),"")&amp;IF(ISNUMBER(Settings!$C$26),IF(SUMIFS($Q$5:$Q704,$A$5:$A704,$A705)&lt;=-Settings!$C$26,"Traded after daily max loss; ",""),"")&amp;IF(AND($AG705="",NOT(ISNUMBER($O705))),"Symbol not in Instruments; ","")&amp;IF(AND($AH705="",NOT(ISNUMBER($O705))),"Forex cross: type Gross P&amp;L; ",""))</f>
        <v/>
      </c>
      <c r="BH705" s="56">
        <f>IF(ISNUMBER($Q705),1,0)</f>
        <v>0</v>
      </c>
      <c r="BI705" s="56">
        <f>IF($Y705="",0,1)</f>
        <v>0</v>
      </c>
      <c r="BJ705" s="56">
        <f>IF($AB705="",0,1)</f>
        <v>0</v>
      </c>
      <c r="BK705" s="56">
        <f>IF(AND($BH705=1,$W705&lt;&gt;"OK"),1,0)</f>
        <v>0</v>
      </c>
      <c r="BL705" s="55">
        <f>IF(N($AZ705)=0,0,IFERROR(INDEX($AT$6:$AT$1005,MATCH($AZ705,$AY$6:$AY$1005,0)),0))</f>
        <v>1187.10688</v>
      </c>
      <c r="BM705" s="56">
        <f>IF(ISNUMBER(SEARCH("daily max loss",$BG705)),1,0)</f>
        <v>0</v>
      </c>
    </row>
    <row r="706" ht="18" customHeight="1">
      <c r="A706" s="38" t="n"/>
      <c r="B706" s="39" t="n"/>
      <c r="C706" s="40" t="n"/>
      <c r="D706" s="41" t="n"/>
      <c r="E706" s="41" t="n"/>
      <c r="F706" s="41" t="n"/>
      <c r="G706" s="41" t="n"/>
      <c r="H706" s="42" t="n"/>
      <c r="I706" s="42" t="n"/>
      <c r="J706" s="42" t="n"/>
      <c r="K706" s="42" t="n"/>
      <c r="L706" s="41" t="n"/>
      <c r="M706" s="41" t="n"/>
      <c r="N706" s="41" t="n"/>
      <c r="O706" s="43" t="n"/>
      <c r="P706" s="43" t="n"/>
      <c r="Q706" s="44" t="str">
        <f>IF($AM706=0,"",IF(ISNUMBER($AK706),$AK706-N($AL706),""))</f>
        <v/>
      </c>
      <c r="R706" s="45" t="str">
        <f>IF(OR($Q706="",NOT(ISNUMBER($V706))),"",$AK706/$V706)</f>
        <v/>
      </c>
      <c r="S706" s="46" t="str">
        <f>IF($Q706="","",IF(AND(ISNUMBER($R706),ABS(N($R706))&lt;N(Settings!$C$8)),"Scratch",IF($Q706&gt;0,"Win",IF($Q706&lt;0,"Loss","Scratch"))))</f>
        <v/>
      </c>
      <c r="T706" s="47" t="str">
        <f>IF(OR($AM706=0,NOT(ISNUMBER($H706)),NOT(ISNUMBER($I706)),NOT(ISNUMBER($J706))),"",IF($H706=$I706,"",ROUND(ABS($J706-$H706)/ABS($H706-$I706),6)))</f>
        <v/>
      </c>
      <c r="U706" s="48" t="str">
        <f>IF(OR($S706&lt;&gt;"Win",NOT(ISNUMBER($T706)),NOT(ISNUMBER($R706))),"",MAX(0,$T706-$R706))</f>
        <v/>
      </c>
      <c r="V706" s="49" t="str">
        <f>IF(OR($AM706=0,NOT(ISNUMBER($H706)),NOT(ISNUMBER($I706)),NOT(ISNUMBER($G706))),"",IF(OR($AG706="",$AH706=""),"",IF(ROUND(ABS($H706-$I706)*ABS($G706)*$AG706*$AH706,6)=0,"",ROUND(ABS($H706-$I706)*ABS($G706)*$AG706*$AH706,6))))</f>
        <v/>
      </c>
      <c r="W706" s="50" t="str">
        <f>IF($AM706=0,"",IF($BG706="","OK",LEFT($BG706,LEN($BG706)-2)))</f>
        <v/>
      </c>
      <c r="X706" s="41" t="n"/>
      <c r="Y706" s="40" t="n"/>
      <c r="Z706" s="41" t="n"/>
      <c r="AA706" s="41" t="n"/>
      <c r="AB706" s="40" t="n"/>
      <c r="AC706" s="51" t="n"/>
      <c r="AD706" s="51" t="n"/>
      <c r="AE706" s="40" t="n"/>
      <c r="AF706" s="52" t="str">
        <f>IF($AM706=0,"",IF($D706&lt;&gt;"",$D706,IF(IFERROR(INDEX(Accounts!$C$7:$C$16,MATCH($C706,Accounts!$B$7:$B$16,0))&amp;"","")&lt;&gt;"",INDEX(Accounts!$C$7:$C$16,MATCH($C706,Accounts!$B$7:$B$16,0)),Settings!$C$6)))</f>
        <v/>
      </c>
      <c r="AG706" s="53" t="str">
        <f>IF($AM706=0,"",IF(AND($BE706&gt;0,N(INDEX(Instruments!$D$6:$D$205,MAX(1,$BE706)))&gt;0),INDEX(Instruments!$D$6:$D$205,MAX(1,$BE706)),IF(N(INDEX(Settings!$D$14:$D$18,$BF706))&gt;0,INDEX(Settings!$D$14:$D$18,$BF706),"")))</f>
        <v/>
      </c>
      <c r="AH706" s="54" t="str">
        <f>IF($AM706=0,"",IF($AF706&lt;&gt;"Forex",1,IF(MID(UPPER(SUBSTITUTE(TRIM($E706),"/","")),4,3)=UPPER(TRIM(Settings!$C$7)),1,IF(LEFT(UPPER(SUBSTITUTE(TRIM($E706),"/","")),3)=UPPER(TRIM(Settings!$C$7)),IF(AND(ISNUMBER($K706),N($K706)&lt;&gt;0),1/$K706,""),""))))</f>
        <v/>
      </c>
      <c r="AI706" s="55" t="str">
        <f>IF($AM706=0,"",IF(OR(NOT(ISNUMBER($H706)),NOT(ISNUMBER($K706)),NOT(ISNUMBER($G706)),$AG706="",$AH706=""),"",ROUND(($K706-$H706)*IF($F706="Short",-1,1)*$G706*$AG706*$AH706,6)))</f>
        <v/>
      </c>
      <c r="AJ706" s="55" t="str">
        <f>IF($AM706=0,"",IF(INDEX(Settings!$E$14:$E$18,$BF706)="% of notional",IF(OR($AG706="",NOT(ISNUMBER($H706)),NOT(ISNUMBER($G706))),"",ROUND(ABS($H706*$G706*$AG706*N($AH706))*IF($L706="Limit",N(INDEX(Settings!$G$14:$G$18,$BF706)),N(INDEX(Settings!$H$14:$H$18,$BF706)))+IF(ISNUMBER($K706),ABS($K706*$G706*$AG706*N($AH706))*IF($M706="Target",N(INDEX(Settings!$G$14:$G$18,$BF706)),N(INDEX(Settings!$H$14:$H$18,$BF706))),0),6)),IF(NOT(ISNUMBER($G706)),"",ROUND(ABS($G706)*2*IF(AND($BE706&gt;0,ISNUMBER(INDEX(Instruments!$G$6:$G$205,MAX(1,$BE706)))),INDEX(Instruments!$G$6:$G$205,MAX(1,$BE706)),N(INDEX(Settings!$F$14:$F$18,$BF706))),6))))</f>
        <v/>
      </c>
      <c r="AK706" s="55" t="str">
        <f>IF($AM706=0,"",IF(ISNUMBER($O706),$O706,$AI706))</f>
        <v/>
      </c>
      <c r="AL706" s="55" t="str">
        <f>IF($AM706=0,"",IF(ISNUMBER($P706),$P706,N($AJ706)))</f>
        <v/>
      </c>
      <c r="AM706" s="56">
        <f>IF(AND($A706&lt;&gt;"",$E706&lt;&gt;"",OR(AND(ISNUMBER($G706),ISNUMBER($H706),ISNUMBER($K706)),ISNUMBER($O706))),1,0)</f>
        <v>0</v>
      </c>
      <c r="AN706" s="57" t="str">
        <f>IF($A706="","",$A706-WEEKDAY($A706,3))</f>
        <v/>
      </c>
      <c r="AO706" s="56" t="str">
        <f>IF($A706="","",WEEKDAY($A706,2))</f>
        <v/>
      </c>
      <c r="AP706" s="55" t="str">
        <f>IF(OR($AM706=0,$C706=""),"",IFERROR(N(INDEX(Accounts!$E$7:$E$16,MATCH($C706,Accounts!$B$7:$B$16,0))),0)+SUMIFS($Q$6:$Q706,$C$6:$C706,$C706))</f>
        <v/>
      </c>
      <c r="AQ706" s="55" t="str">
        <f>IF(OR($AM706=0,$C706=""),"",SUMIFS($Q$6:$Q$1005,$C$6:$C$1005,$C706,$A$6:$A$1005,$A706))</f>
        <v/>
      </c>
      <c r="AR706" s="55" t="str">
        <f>IF(OR($AM706=0,$C706=""),"",IFERROR(N(INDEX(Accounts!$E$7:$E$16,MATCH($C706,Accounts!$B$7:$B$16,0))),0)+SUMIFS($Q$6:$Q$1005,$C$6:$C$1005,$C706,$A$6:$A$1005,"&lt;="&amp;$A706))</f>
        <v/>
      </c>
      <c r="AS706" s="56">
        <f>IF(OR($AM706=0,$Q706=""),0,IF(AND($A706&gt;=Lists!$W$6,$A706&lt;=Lists!$W$7,OR(Dashboard!$D$6="All accounts",$C706=Dashboard!$D$6),OR(Dashboard!$D$7="All markets",$AF706=Dashboard!$D$7)),1,0))</f>
        <v>0</v>
      </c>
      <c r="AT706" s="55">
        <f>IF($AS706=1,N(AT705)+$Q706,N(AT705))</f>
        <v>1187.10688</v>
      </c>
      <c r="AU706" s="55">
        <f>MAX(N(AU705),$AT706)</f>
        <v>1187.10688</v>
      </c>
      <c r="AV706" s="55">
        <f>$AT706-$AU706</f>
        <v>0</v>
      </c>
      <c r="AW706" s="56">
        <f>IF($AS706=1,IF($S706="Win",N(AW705)+1,IF($S706="Loss",0,N(AW705))),N(AW705))</f>
        <v>5</v>
      </c>
      <c r="AX706" s="56">
        <f>IF($AS706=1,IF($S706="Loss",N(AX705)+1,IF($S706="Win",0,N(AX705))),N(AX705))</f>
        <v>0</v>
      </c>
      <c r="AY706" s="56" t="str">
        <f>IF($AS706=1,COUNTIF($AS$6:$AS706,1),"")</f>
        <v/>
      </c>
      <c r="AZ706" s="56">
        <f>MIN(700,N(Lists!$W$8))</f>
        <v>28</v>
      </c>
      <c r="BA706" s="56">
        <f>IF($AS706=1,IF(COUNTIFS($A$6:$A706,$A706,$AS$6:$AS706,1)=1,1,0),0)</f>
        <v>0</v>
      </c>
      <c r="BB706" s="55" t="str">
        <f>IF($BA706=1,SUMIFS($Q$6:$Q$1005,$A$6:$A$1005,$A706,$AS$6:$AS$1005,1),"")</f>
        <v/>
      </c>
      <c r="BC706" s="56">
        <f>IF(ISNUMBER($R706),1,0)</f>
        <v>0</v>
      </c>
      <c r="BD706" s="55" t="str">
        <f>IF(ISNUMBER($U706),$U706*$V706,"")</f>
        <v/>
      </c>
      <c r="BE706" s="56" t="str">
        <f>IF($AM706=0,"",IFERROR(MATCH($AF706&amp;"|"&amp;UPPER(TRIM($E706)),Lists!$A$6:$A$205,0),0))</f>
        <v/>
      </c>
      <c r="BF706" s="56" t="str">
        <f>IF($AM706=0,"",IFERROR(MATCH($AF706,Settings!$B$14:$B$18,0),IFERROR(MATCH(Settings!$C$6,Settings!$B$14:$B$18,0),1)))</f>
        <v/>
      </c>
      <c r="BG706" s="58" t="str">
        <f>IF($AM706=0,"",IF(NOT(ISNUMBER($I706)),"No stop; ","")&amp;IF(AND(ISNUMBER($H706),ISNUMBER($I706)),IF(OR(AND($F706&lt;&gt;"Short",$I706&gt;=$H706),AND($F706="Short",$I706&lt;=$H706)),"Stop on wrong side; ",""),"")&amp;IF($F706="","No direction; ","")&amp;IF(AND(ISNUMBER(Settings!$C$22),ISNUMBER($V706)),IF($V706&gt;Settings!$C$22,"Risk over max $; ",""),"")&amp;IF(AND(ISNUMBER(Settings!$C$23),ISNUMBER($V706),ISNUMBER($AP706),IFERROR(N(INDEX(Accounts!$E$7:$E$16,MATCH($C706,Accounts!$B$7:$B$16,0))),0)&gt;0),IF($V706&gt;Settings!$C$23*($AP706-N($Q706)),"Risk over max %; ",""),"")&amp;IF(AND(ISNUMBER(Settings!$C$24),ISNUMBER($N706)),IF($N706&gt;Settings!$C$24,"Leverage over max; ",""),"")&amp;IF(AND(ISNUMBER(Settings!$C$27),ISNUMBER($T706)),IF($T706&lt;Settings!$C$27,"R:R below min; ",""),"")&amp;IF(ISNUMBER(Settings!$C$25),IF(COUNTIFS($A$6:$A706,$A706,$AM$6:$AM706,1)&gt;Settings!$C$25,"Over max trades/day; ",""),"")&amp;IF(ISNUMBER(Settings!$C$26),IF(SUMIFS($Q$5:$Q705,$A$5:$A705,$A706)&lt;=-Settings!$C$26,"Traded after daily max loss; ",""),"")&amp;IF(AND($AG706="",NOT(ISNUMBER($O706))),"Symbol not in Instruments; ","")&amp;IF(AND($AH706="",NOT(ISNUMBER($O706))),"Forex cross: type Gross P&amp;L; ",""))</f>
        <v/>
      </c>
      <c r="BH706" s="56">
        <f>IF(ISNUMBER($Q706),1,0)</f>
        <v>0</v>
      </c>
      <c r="BI706" s="56">
        <f>IF($Y706="",0,1)</f>
        <v>0</v>
      </c>
      <c r="BJ706" s="56">
        <f>IF($AB706="",0,1)</f>
        <v>0</v>
      </c>
      <c r="BK706" s="56">
        <f>IF(AND($BH706=1,$W706&lt;&gt;"OK"),1,0)</f>
        <v>0</v>
      </c>
      <c r="BL706" s="55">
        <f>IF(N($AZ706)=0,0,IFERROR(INDEX($AT$6:$AT$1005,MATCH($AZ706,$AY$6:$AY$1005,0)),0))</f>
        <v>1187.10688</v>
      </c>
      <c r="BM706" s="56">
        <f>IF(ISNUMBER(SEARCH("daily max loss",$BG706)),1,0)</f>
        <v>0</v>
      </c>
    </row>
    <row r="707" ht="18" customHeight="1">
      <c r="A707" s="38" t="n"/>
      <c r="B707" s="39" t="n"/>
      <c r="C707" s="40" t="n"/>
      <c r="D707" s="41" t="n"/>
      <c r="E707" s="41" t="n"/>
      <c r="F707" s="41" t="n"/>
      <c r="G707" s="41" t="n"/>
      <c r="H707" s="42" t="n"/>
      <c r="I707" s="42" t="n"/>
      <c r="J707" s="42" t="n"/>
      <c r="K707" s="42" t="n"/>
      <c r="L707" s="41" t="n"/>
      <c r="M707" s="41" t="n"/>
      <c r="N707" s="41" t="n"/>
      <c r="O707" s="43" t="n"/>
      <c r="P707" s="43" t="n"/>
      <c r="Q707" s="44" t="str">
        <f>IF($AM707=0,"",IF(ISNUMBER($AK707),$AK707-N($AL707),""))</f>
        <v/>
      </c>
      <c r="R707" s="45" t="str">
        <f>IF(OR($Q707="",NOT(ISNUMBER($V707))),"",$AK707/$V707)</f>
        <v/>
      </c>
      <c r="S707" s="46" t="str">
        <f>IF($Q707="","",IF(AND(ISNUMBER($R707),ABS(N($R707))&lt;N(Settings!$C$8)),"Scratch",IF($Q707&gt;0,"Win",IF($Q707&lt;0,"Loss","Scratch"))))</f>
        <v/>
      </c>
      <c r="T707" s="47" t="str">
        <f>IF(OR($AM707=0,NOT(ISNUMBER($H707)),NOT(ISNUMBER($I707)),NOT(ISNUMBER($J707))),"",IF($H707=$I707,"",ROUND(ABS($J707-$H707)/ABS($H707-$I707),6)))</f>
        <v/>
      </c>
      <c r="U707" s="48" t="str">
        <f>IF(OR($S707&lt;&gt;"Win",NOT(ISNUMBER($T707)),NOT(ISNUMBER($R707))),"",MAX(0,$T707-$R707))</f>
        <v/>
      </c>
      <c r="V707" s="49" t="str">
        <f>IF(OR($AM707=0,NOT(ISNUMBER($H707)),NOT(ISNUMBER($I707)),NOT(ISNUMBER($G707))),"",IF(OR($AG707="",$AH707=""),"",IF(ROUND(ABS($H707-$I707)*ABS($G707)*$AG707*$AH707,6)=0,"",ROUND(ABS($H707-$I707)*ABS($G707)*$AG707*$AH707,6))))</f>
        <v/>
      </c>
      <c r="W707" s="50" t="str">
        <f>IF($AM707=0,"",IF($BG707="","OK",LEFT($BG707,LEN($BG707)-2)))</f>
        <v/>
      </c>
      <c r="X707" s="41" t="n"/>
      <c r="Y707" s="40" t="n"/>
      <c r="Z707" s="41" t="n"/>
      <c r="AA707" s="41" t="n"/>
      <c r="AB707" s="40" t="n"/>
      <c r="AC707" s="51" t="n"/>
      <c r="AD707" s="51" t="n"/>
      <c r="AE707" s="40" t="n"/>
      <c r="AF707" s="52" t="str">
        <f>IF($AM707=0,"",IF($D707&lt;&gt;"",$D707,IF(IFERROR(INDEX(Accounts!$C$7:$C$16,MATCH($C707,Accounts!$B$7:$B$16,0))&amp;"","")&lt;&gt;"",INDEX(Accounts!$C$7:$C$16,MATCH($C707,Accounts!$B$7:$B$16,0)),Settings!$C$6)))</f>
        <v/>
      </c>
      <c r="AG707" s="53" t="str">
        <f>IF($AM707=0,"",IF(AND($BE707&gt;0,N(INDEX(Instruments!$D$6:$D$205,MAX(1,$BE707)))&gt;0),INDEX(Instruments!$D$6:$D$205,MAX(1,$BE707)),IF(N(INDEX(Settings!$D$14:$D$18,$BF707))&gt;0,INDEX(Settings!$D$14:$D$18,$BF707),"")))</f>
        <v/>
      </c>
      <c r="AH707" s="54" t="str">
        <f>IF($AM707=0,"",IF($AF707&lt;&gt;"Forex",1,IF(MID(UPPER(SUBSTITUTE(TRIM($E707),"/","")),4,3)=UPPER(TRIM(Settings!$C$7)),1,IF(LEFT(UPPER(SUBSTITUTE(TRIM($E707),"/","")),3)=UPPER(TRIM(Settings!$C$7)),IF(AND(ISNUMBER($K707),N($K707)&lt;&gt;0),1/$K707,""),""))))</f>
        <v/>
      </c>
      <c r="AI707" s="55" t="str">
        <f>IF($AM707=0,"",IF(OR(NOT(ISNUMBER($H707)),NOT(ISNUMBER($K707)),NOT(ISNUMBER($G707)),$AG707="",$AH707=""),"",ROUND(($K707-$H707)*IF($F707="Short",-1,1)*$G707*$AG707*$AH707,6)))</f>
        <v/>
      </c>
      <c r="AJ707" s="55" t="str">
        <f>IF($AM707=0,"",IF(INDEX(Settings!$E$14:$E$18,$BF707)="% of notional",IF(OR($AG707="",NOT(ISNUMBER($H707)),NOT(ISNUMBER($G707))),"",ROUND(ABS($H707*$G707*$AG707*N($AH707))*IF($L707="Limit",N(INDEX(Settings!$G$14:$G$18,$BF707)),N(INDEX(Settings!$H$14:$H$18,$BF707)))+IF(ISNUMBER($K707),ABS($K707*$G707*$AG707*N($AH707))*IF($M707="Target",N(INDEX(Settings!$G$14:$G$18,$BF707)),N(INDEX(Settings!$H$14:$H$18,$BF707))),0),6)),IF(NOT(ISNUMBER($G707)),"",ROUND(ABS($G707)*2*IF(AND($BE707&gt;0,ISNUMBER(INDEX(Instruments!$G$6:$G$205,MAX(1,$BE707)))),INDEX(Instruments!$G$6:$G$205,MAX(1,$BE707)),N(INDEX(Settings!$F$14:$F$18,$BF707))),6))))</f>
        <v/>
      </c>
      <c r="AK707" s="55" t="str">
        <f>IF($AM707=0,"",IF(ISNUMBER($O707),$O707,$AI707))</f>
        <v/>
      </c>
      <c r="AL707" s="55" t="str">
        <f>IF($AM707=0,"",IF(ISNUMBER($P707),$P707,N($AJ707)))</f>
        <v/>
      </c>
      <c r="AM707" s="56">
        <f>IF(AND($A707&lt;&gt;"",$E707&lt;&gt;"",OR(AND(ISNUMBER($G707),ISNUMBER($H707),ISNUMBER($K707)),ISNUMBER($O707))),1,0)</f>
        <v>0</v>
      </c>
      <c r="AN707" s="57" t="str">
        <f>IF($A707="","",$A707-WEEKDAY($A707,3))</f>
        <v/>
      </c>
      <c r="AO707" s="56" t="str">
        <f>IF($A707="","",WEEKDAY($A707,2))</f>
        <v/>
      </c>
      <c r="AP707" s="55" t="str">
        <f>IF(OR($AM707=0,$C707=""),"",IFERROR(N(INDEX(Accounts!$E$7:$E$16,MATCH($C707,Accounts!$B$7:$B$16,0))),0)+SUMIFS($Q$6:$Q707,$C$6:$C707,$C707))</f>
        <v/>
      </c>
      <c r="AQ707" s="55" t="str">
        <f>IF(OR($AM707=0,$C707=""),"",SUMIFS($Q$6:$Q$1005,$C$6:$C$1005,$C707,$A$6:$A$1005,$A707))</f>
        <v/>
      </c>
      <c r="AR707" s="55" t="str">
        <f>IF(OR($AM707=0,$C707=""),"",IFERROR(N(INDEX(Accounts!$E$7:$E$16,MATCH($C707,Accounts!$B$7:$B$16,0))),0)+SUMIFS($Q$6:$Q$1005,$C$6:$C$1005,$C707,$A$6:$A$1005,"&lt;="&amp;$A707))</f>
        <v/>
      </c>
      <c r="AS707" s="56">
        <f>IF(OR($AM707=0,$Q707=""),0,IF(AND($A707&gt;=Lists!$W$6,$A707&lt;=Lists!$W$7,OR(Dashboard!$D$6="All accounts",$C707=Dashboard!$D$6),OR(Dashboard!$D$7="All markets",$AF707=Dashboard!$D$7)),1,0))</f>
        <v>0</v>
      </c>
      <c r="AT707" s="55">
        <f>IF($AS707=1,N(AT706)+$Q707,N(AT706))</f>
        <v>1187.10688</v>
      </c>
      <c r="AU707" s="55">
        <f>MAX(N(AU706),$AT707)</f>
        <v>1187.10688</v>
      </c>
      <c r="AV707" s="55">
        <f>$AT707-$AU707</f>
        <v>0</v>
      </c>
      <c r="AW707" s="56">
        <f>IF($AS707=1,IF($S707="Win",N(AW706)+1,IF($S707="Loss",0,N(AW706))),N(AW706))</f>
        <v>5</v>
      </c>
      <c r="AX707" s="56">
        <f>IF($AS707=1,IF($S707="Loss",N(AX706)+1,IF($S707="Win",0,N(AX706))),N(AX706))</f>
        <v>0</v>
      </c>
      <c r="AY707" s="56" t="str">
        <f>IF($AS707=1,COUNTIF($AS$6:$AS707,1),"")</f>
        <v/>
      </c>
      <c r="AZ707" s="56">
        <f>MIN(701,N(Lists!$W$8))</f>
        <v>28</v>
      </c>
      <c r="BA707" s="56">
        <f>IF($AS707=1,IF(COUNTIFS($A$6:$A707,$A707,$AS$6:$AS707,1)=1,1,0),0)</f>
        <v>0</v>
      </c>
      <c r="BB707" s="55" t="str">
        <f>IF($BA707=1,SUMIFS($Q$6:$Q$1005,$A$6:$A$1005,$A707,$AS$6:$AS$1005,1),"")</f>
        <v/>
      </c>
      <c r="BC707" s="56">
        <f>IF(ISNUMBER($R707),1,0)</f>
        <v>0</v>
      </c>
      <c r="BD707" s="55" t="str">
        <f>IF(ISNUMBER($U707),$U707*$V707,"")</f>
        <v/>
      </c>
      <c r="BE707" s="56" t="str">
        <f>IF($AM707=0,"",IFERROR(MATCH($AF707&amp;"|"&amp;UPPER(TRIM($E707)),Lists!$A$6:$A$205,0),0))</f>
        <v/>
      </c>
      <c r="BF707" s="56" t="str">
        <f>IF($AM707=0,"",IFERROR(MATCH($AF707,Settings!$B$14:$B$18,0),IFERROR(MATCH(Settings!$C$6,Settings!$B$14:$B$18,0),1)))</f>
        <v/>
      </c>
      <c r="BG707" s="58" t="str">
        <f>IF($AM707=0,"",IF(NOT(ISNUMBER($I707)),"No stop; ","")&amp;IF(AND(ISNUMBER($H707),ISNUMBER($I707)),IF(OR(AND($F707&lt;&gt;"Short",$I707&gt;=$H707),AND($F707="Short",$I707&lt;=$H707)),"Stop on wrong side; ",""),"")&amp;IF($F707="","No direction; ","")&amp;IF(AND(ISNUMBER(Settings!$C$22),ISNUMBER($V707)),IF($V707&gt;Settings!$C$22,"Risk over max $; ",""),"")&amp;IF(AND(ISNUMBER(Settings!$C$23),ISNUMBER($V707),ISNUMBER($AP707),IFERROR(N(INDEX(Accounts!$E$7:$E$16,MATCH($C707,Accounts!$B$7:$B$16,0))),0)&gt;0),IF($V707&gt;Settings!$C$23*($AP707-N($Q707)),"Risk over max %; ",""),"")&amp;IF(AND(ISNUMBER(Settings!$C$24),ISNUMBER($N707)),IF($N707&gt;Settings!$C$24,"Leverage over max; ",""),"")&amp;IF(AND(ISNUMBER(Settings!$C$27),ISNUMBER($T707)),IF($T707&lt;Settings!$C$27,"R:R below min; ",""),"")&amp;IF(ISNUMBER(Settings!$C$25),IF(COUNTIFS($A$6:$A707,$A707,$AM$6:$AM707,1)&gt;Settings!$C$25,"Over max trades/day; ",""),"")&amp;IF(ISNUMBER(Settings!$C$26),IF(SUMIFS($Q$5:$Q706,$A$5:$A706,$A707)&lt;=-Settings!$C$26,"Traded after daily max loss; ",""),"")&amp;IF(AND($AG707="",NOT(ISNUMBER($O707))),"Symbol not in Instruments; ","")&amp;IF(AND($AH707="",NOT(ISNUMBER($O707))),"Forex cross: type Gross P&amp;L; ",""))</f>
        <v/>
      </c>
      <c r="BH707" s="56">
        <f>IF(ISNUMBER($Q707),1,0)</f>
        <v>0</v>
      </c>
      <c r="BI707" s="56">
        <f>IF($Y707="",0,1)</f>
        <v>0</v>
      </c>
      <c r="BJ707" s="56">
        <f>IF($AB707="",0,1)</f>
        <v>0</v>
      </c>
      <c r="BK707" s="56">
        <f>IF(AND($BH707=1,$W707&lt;&gt;"OK"),1,0)</f>
        <v>0</v>
      </c>
      <c r="BL707" s="55">
        <f>IF(N($AZ707)=0,0,IFERROR(INDEX($AT$6:$AT$1005,MATCH($AZ707,$AY$6:$AY$1005,0)),0))</f>
        <v>1187.10688</v>
      </c>
      <c r="BM707" s="56">
        <f>IF(ISNUMBER(SEARCH("daily max loss",$BG707)),1,0)</f>
        <v>0</v>
      </c>
    </row>
    <row r="708" ht="18" customHeight="1">
      <c r="A708" s="38" t="n"/>
      <c r="B708" s="39" t="n"/>
      <c r="C708" s="40" t="n"/>
      <c r="D708" s="41" t="n"/>
      <c r="E708" s="41" t="n"/>
      <c r="F708" s="41" t="n"/>
      <c r="G708" s="41" t="n"/>
      <c r="H708" s="42" t="n"/>
      <c r="I708" s="42" t="n"/>
      <c r="J708" s="42" t="n"/>
      <c r="K708" s="42" t="n"/>
      <c r="L708" s="41" t="n"/>
      <c r="M708" s="41" t="n"/>
      <c r="N708" s="41" t="n"/>
      <c r="O708" s="43" t="n"/>
      <c r="P708" s="43" t="n"/>
      <c r="Q708" s="44" t="str">
        <f>IF($AM708=0,"",IF(ISNUMBER($AK708),$AK708-N($AL708),""))</f>
        <v/>
      </c>
      <c r="R708" s="45" t="str">
        <f>IF(OR($Q708="",NOT(ISNUMBER($V708))),"",$AK708/$V708)</f>
        <v/>
      </c>
      <c r="S708" s="46" t="str">
        <f>IF($Q708="","",IF(AND(ISNUMBER($R708),ABS(N($R708))&lt;N(Settings!$C$8)),"Scratch",IF($Q708&gt;0,"Win",IF($Q708&lt;0,"Loss","Scratch"))))</f>
        <v/>
      </c>
      <c r="T708" s="47" t="str">
        <f>IF(OR($AM708=0,NOT(ISNUMBER($H708)),NOT(ISNUMBER($I708)),NOT(ISNUMBER($J708))),"",IF($H708=$I708,"",ROUND(ABS($J708-$H708)/ABS($H708-$I708),6)))</f>
        <v/>
      </c>
      <c r="U708" s="48" t="str">
        <f>IF(OR($S708&lt;&gt;"Win",NOT(ISNUMBER($T708)),NOT(ISNUMBER($R708))),"",MAX(0,$T708-$R708))</f>
        <v/>
      </c>
      <c r="V708" s="49" t="str">
        <f>IF(OR($AM708=0,NOT(ISNUMBER($H708)),NOT(ISNUMBER($I708)),NOT(ISNUMBER($G708))),"",IF(OR($AG708="",$AH708=""),"",IF(ROUND(ABS($H708-$I708)*ABS($G708)*$AG708*$AH708,6)=0,"",ROUND(ABS($H708-$I708)*ABS($G708)*$AG708*$AH708,6))))</f>
        <v/>
      </c>
      <c r="W708" s="50" t="str">
        <f>IF($AM708=0,"",IF($BG708="","OK",LEFT($BG708,LEN($BG708)-2)))</f>
        <v/>
      </c>
      <c r="X708" s="41" t="n"/>
      <c r="Y708" s="40" t="n"/>
      <c r="Z708" s="41" t="n"/>
      <c r="AA708" s="41" t="n"/>
      <c r="AB708" s="40" t="n"/>
      <c r="AC708" s="51" t="n"/>
      <c r="AD708" s="51" t="n"/>
      <c r="AE708" s="40" t="n"/>
      <c r="AF708" s="52" t="str">
        <f>IF($AM708=0,"",IF($D708&lt;&gt;"",$D708,IF(IFERROR(INDEX(Accounts!$C$7:$C$16,MATCH($C708,Accounts!$B$7:$B$16,0))&amp;"","")&lt;&gt;"",INDEX(Accounts!$C$7:$C$16,MATCH($C708,Accounts!$B$7:$B$16,0)),Settings!$C$6)))</f>
        <v/>
      </c>
      <c r="AG708" s="53" t="str">
        <f>IF($AM708=0,"",IF(AND($BE708&gt;0,N(INDEX(Instruments!$D$6:$D$205,MAX(1,$BE708)))&gt;0),INDEX(Instruments!$D$6:$D$205,MAX(1,$BE708)),IF(N(INDEX(Settings!$D$14:$D$18,$BF708))&gt;0,INDEX(Settings!$D$14:$D$18,$BF708),"")))</f>
        <v/>
      </c>
      <c r="AH708" s="54" t="str">
        <f>IF($AM708=0,"",IF($AF708&lt;&gt;"Forex",1,IF(MID(UPPER(SUBSTITUTE(TRIM($E708),"/","")),4,3)=UPPER(TRIM(Settings!$C$7)),1,IF(LEFT(UPPER(SUBSTITUTE(TRIM($E708),"/","")),3)=UPPER(TRIM(Settings!$C$7)),IF(AND(ISNUMBER($K708),N($K708)&lt;&gt;0),1/$K708,""),""))))</f>
        <v/>
      </c>
      <c r="AI708" s="55" t="str">
        <f>IF($AM708=0,"",IF(OR(NOT(ISNUMBER($H708)),NOT(ISNUMBER($K708)),NOT(ISNUMBER($G708)),$AG708="",$AH708=""),"",ROUND(($K708-$H708)*IF($F708="Short",-1,1)*$G708*$AG708*$AH708,6)))</f>
        <v/>
      </c>
      <c r="AJ708" s="55" t="str">
        <f>IF($AM708=0,"",IF(INDEX(Settings!$E$14:$E$18,$BF708)="% of notional",IF(OR($AG708="",NOT(ISNUMBER($H708)),NOT(ISNUMBER($G708))),"",ROUND(ABS($H708*$G708*$AG708*N($AH708))*IF($L708="Limit",N(INDEX(Settings!$G$14:$G$18,$BF708)),N(INDEX(Settings!$H$14:$H$18,$BF708)))+IF(ISNUMBER($K708),ABS($K708*$G708*$AG708*N($AH708))*IF($M708="Target",N(INDEX(Settings!$G$14:$G$18,$BF708)),N(INDEX(Settings!$H$14:$H$18,$BF708))),0),6)),IF(NOT(ISNUMBER($G708)),"",ROUND(ABS($G708)*2*IF(AND($BE708&gt;0,ISNUMBER(INDEX(Instruments!$G$6:$G$205,MAX(1,$BE708)))),INDEX(Instruments!$G$6:$G$205,MAX(1,$BE708)),N(INDEX(Settings!$F$14:$F$18,$BF708))),6))))</f>
        <v/>
      </c>
      <c r="AK708" s="55" t="str">
        <f>IF($AM708=0,"",IF(ISNUMBER($O708),$O708,$AI708))</f>
        <v/>
      </c>
      <c r="AL708" s="55" t="str">
        <f>IF($AM708=0,"",IF(ISNUMBER($P708),$P708,N($AJ708)))</f>
        <v/>
      </c>
      <c r="AM708" s="56">
        <f>IF(AND($A708&lt;&gt;"",$E708&lt;&gt;"",OR(AND(ISNUMBER($G708),ISNUMBER($H708),ISNUMBER($K708)),ISNUMBER($O708))),1,0)</f>
        <v>0</v>
      </c>
      <c r="AN708" s="57" t="str">
        <f>IF($A708="","",$A708-WEEKDAY($A708,3))</f>
        <v/>
      </c>
      <c r="AO708" s="56" t="str">
        <f>IF($A708="","",WEEKDAY($A708,2))</f>
        <v/>
      </c>
      <c r="AP708" s="55" t="str">
        <f>IF(OR($AM708=0,$C708=""),"",IFERROR(N(INDEX(Accounts!$E$7:$E$16,MATCH($C708,Accounts!$B$7:$B$16,0))),0)+SUMIFS($Q$6:$Q708,$C$6:$C708,$C708))</f>
        <v/>
      </c>
      <c r="AQ708" s="55" t="str">
        <f>IF(OR($AM708=0,$C708=""),"",SUMIFS($Q$6:$Q$1005,$C$6:$C$1005,$C708,$A$6:$A$1005,$A708))</f>
        <v/>
      </c>
      <c r="AR708" s="55" t="str">
        <f>IF(OR($AM708=0,$C708=""),"",IFERROR(N(INDEX(Accounts!$E$7:$E$16,MATCH($C708,Accounts!$B$7:$B$16,0))),0)+SUMIFS($Q$6:$Q$1005,$C$6:$C$1005,$C708,$A$6:$A$1005,"&lt;="&amp;$A708))</f>
        <v/>
      </c>
      <c r="AS708" s="56">
        <f>IF(OR($AM708=0,$Q708=""),0,IF(AND($A708&gt;=Lists!$W$6,$A708&lt;=Lists!$W$7,OR(Dashboard!$D$6="All accounts",$C708=Dashboard!$D$6),OR(Dashboard!$D$7="All markets",$AF708=Dashboard!$D$7)),1,0))</f>
        <v>0</v>
      </c>
      <c r="AT708" s="55">
        <f>IF($AS708=1,N(AT707)+$Q708,N(AT707))</f>
        <v>1187.10688</v>
      </c>
      <c r="AU708" s="55">
        <f>MAX(N(AU707),$AT708)</f>
        <v>1187.10688</v>
      </c>
      <c r="AV708" s="55">
        <f>$AT708-$AU708</f>
        <v>0</v>
      </c>
      <c r="AW708" s="56">
        <f>IF($AS708=1,IF($S708="Win",N(AW707)+1,IF($S708="Loss",0,N(AW707))),N(AW707))</f>
        <v>5</v>
      </c>
      <c r="AX708" s="56">
        <f>IF($AS708=1,IF($S708="Loss",N(AX707)+1,IF($S708="Win",0,N(AX707))),N(AX707))</f>
        <v>0</v>
      </c>
      <c r="AY708" s="56" t="str">
        <f>IF($AS708=1,COUNTIF($AS$6:$AS708,1),"")</f>
        <v/>
      </c>
      <c r="AZ708" s="56">
        <f>MIN(702,N(Lists!$W$8))</f>
        <v>28</v>
      </c>
      <c r="BA708" s="56">
        <f>IF($AS708=1,IF(COUNTIFS($A$6:$A708,$A708,$AS$6:$AS708,1)=1,1,0),0)</f>
        <v>0</v>
      </c>
      <c r="BB708" s="55" t="str">
        <f>IF($BA708=1,SUMIFS($Q$6:$Q$1005,$A$6:$A$1005,$A708,$AS$6:$AS$1005,1),"")</f>
        <v/>
      </c>
      <c r="BC708" s="56">
        <f>IF(ISNUMBER($R708),1,0)</f>
        <v>0</v>
      </c>
      <c r="BD708" s="55" t="str">
        <f>IF(ISNUMBER($U708),$U708*$V708,"")</f>
        <v/>
      </c>
      <c r="BE708" s="56" t="str">
        <f>IF($AM708=0,"",IFERROR(MATCH($AF708&amp;"|"&amp;UPPER(TRIM($E708)),Lists!$A$6:$A$205,0),0))</f>
        <v/>
      </c>
      <c r="BF708" s="56" t="str">
        <f>IF($AM708=0,"",IFERROR(MATCH($AF708,Settings!$B$14:$B$18,0),IFERROR(MATCH(Settings!$C$6,Settings!$B$14:$B$18,0),1)))</f>
        <v/>
      </c>
      <c r="BG708" s="58" t="str">
        <f>IF($AM708=0,"",IF(NOT(ISNUMBER($I708)),"No stop; ","")&amp;IF(AND(ISNUMBER($H708),ISNUMBER($I708)),IF(OR(AND($F708&lt;&gt;"Short",$I708&gt;=$H708),AND($F708="Short",$I708&lt;=$H708)),"Stop on wrong side; ",""),"")&amp;IF($F708="","No direction; ","")&amp;IF(AND(ISNUMBER(Settings!$C$22),ISNUMBER($V708)),IF($V708&gt;Settings!$C$22,"Risk over max $; ",""),"")&amp;IF(AND(ISNUMBER(Settings!$C$23),ISNUMBER($V708),ISNUMBER($AP708),IFERROR(N(INDEX(Accounts!$E$7:$E$16,MATCH($C708,Accounts!$B$7:$B$16,0))),0)&gt;0),IF($V708&gt;Settings!$C$23*($AP708-N($Q708)),"Risk over max %; ",""),"")&amp;IF(AND(ISNUMBER(Settings!$C$24),ISNUMBER($N708)),IF($N708&gt;Settings!$C$24,"Leverage over max; ",""),"")&amp;IF(AND(ISNUMBER(Settings!$C$27),ISNUMBER($T708)),IF($T708&lt;Settings!$C$27,"R:R below min; ",""),"")&amp;IF(ISNUMBER(Settings!$C$25),IF(COUNTIFS($A$6:$A708,$A708,$AM$6:$AM708,1)&gt;Settings!$C$25,"Over max trades/day; ",""),"")&amp;IF(ISNUMBER(Settings!$C$26),IF(SUMIFS($Q$5:$Q707,$A$5:$A707,$A708)&lt;=-Settings!$C$26,"Traded after daily max loss; ",""),"")&amp;IF(AND($AG708="",NOT(ISNUMBER($O708))),"Symbol not in Instruments; ","")&amp;IF(AND($AH708="",NOT(ISNUMBER($O708))),"Forex cross: type Gross P&amp;L; ",""))</f>
        <v/>
      </c>
      <c r="BH708" s="56">
        <f>IF(ISNUMBER($Q708),1,0)</f>
        <v>0</v>
      </c>
      <c r="BI708" s="56">
        <f>IF($Y708="",0,1)</f>
        <v>0</v>
      </c>
      <c r="BJ708" s="56">
        <f>IF($AB708="",0,1)</f>
        <v>0</v>
      </c>
      <c r="BK708" s="56">
        <f>IF(AND($BH708=1,$W708&lt;&gt;"OK"),1,0)</f>
        <v>0</v>
      </c>
      <c r="BL708" s="55">
        <f>IF(N($AZ708)=0,0,IFERROR(INDEX($AT$6:$AT$1005,MATCH($AZ708,$AY$6:$AY$1005,0)),0))</f>
        <v>1187.10688</v>
      </c>
      <c r="BM708" s="56">
        <f>IF(ISNUMBER(SEARCH("daily max loss",$BG708)),1,0)</f>
        <v>0</v>
      </c>
    </row>
    <row r="709" ht="18" customHeight="1">
      <c r="A709" s="38" t="n"/>
      <c r="B709" s="39" t="n"/>
      <c r="C709" s="40" t="n"/>
      <c r="D709" s="41" t="n"/>
      <c r="E709" s="41" t="n"/>
      <c r="F709" s="41" t="n"/>
      <c r="G709" s="41" t="n"/>
      <c r="H709" s="42" t="n"/>
      <c r="I709" s="42" t="n"/>
      <c r="J709" s="42" t="n"/>
      <c r="K709" s="42" t="n"/>
      <c r="L709" s="41" t="n"/>
      <c r="M709" s="41" t="n"/>
      <c r="N709" s="41" t="n"/>
      <c r="O709" s="43" t="n"/>
      <c r="P709" s="43" t="n"/>
      <c r="Q709" s="44" t="str">
        <f>IF($AM709=0,"",IF(ISNUMBER($AK709),$AK709-N($AL709),""))</f>
        <v/>
      </c>
      <c r="R709" s="45" t="str">
        <f>IF(OR($Q709="",NOT(ISNUMBER($V709))),"",$AK709/$V709)</f>
        <v/>
      </c>
      <c r="S709" s="46" t="str">
        <f>IF($Q709="","",IF(AND(ISNUMBER($R709),ABS(N($R709))&lt;N(Settings!$C$8)),"Scratch",IF($Q709&gt;0,"Win",IF($Q709&lt;0,"Loss","Scratch"))))</f>
        <v/>
      </c>
      <c r="T709" s="47" t="str">
        <f>IF(OR($AM709=0,NOT(ISNUMBER($H709)),NOT(ISNUMBER($I709)),NOT(ISNUMBER($J709))),"",IF($H709=$I709,"",ROUND(ABS($J709-$H709)/ABS($H709-$I709),6)))</f>
        <v/>
      </c>
      <c r="U709" s="48" t="str">
        <f>IF(OR($S709&lt;&gt;"Win",NOT(ISNUMBER($T709)),NOT(ISNUMBER($R709))),"",MAX(0,$T709-$R709))</f>
        <v/>
      </c>
      <c r="V709" s="49" t="str">
        <f>IF(OR($AM709=0,NOT(ISNUMBER($H709)),NOT(ISNUMBER($I709)),NOT(ISNUMBER($G709))),"",IF(OR($AG709="",$AH709=""),"",IF(ROUND(ABS($H709-$I709)*ABS($G709)*$AG709*$AH709,6)=0,"",ROUND(ABS($H709-$I709)*ABS($G709)*$AG709*$AH709,6))))</f>
        <v/>
      </c>
      <c r="W709" s="50" t="str">
        <f>IF($AM709=0,"",IF($BG709="","OK",LEFT($BG709,LEN($BG709)-2)))</f>
        <v/>
      </c>
      <c r="X709" s="41" t="n"/>
      <c r="Y709" s="40" t="n"/>
      <c r="Z709" s="41" t="n"/>
      <c r="AA709" s="41" t="n"/>
      <c r="AB709" s="40" t="n"/>
      <c r="AC709" s="51" t="n"/>
      <c r="AD709" s="51" t="n"/>
      <c r="AE709" s="40" t="n"/>
      <c r="AF709" s="52" t="str">
        <f>IF($AM709=0,"",IF($D709&lt;&gt;"",$D709,IF(IFERROR(INDEX(Accounts!$C$7:$C$16,MATCH($C709,Accounts!$B$7:$B$16,0))&amp;"","")&lt;&gt;"",INDEX(Accounts!$C$7:$C$16,MATCH($C709,Accounts!$B$7:$B$16,0)),Settings!$C$6)))</f>
        <v/>
      </c>
      <c r="AG709" s="53" t="str">
        <f>IF($AM709=0,"",IF(AND($BE709&gt;0,N(INDEX(Instruments!$D$6:$D$205,MAX(1,$BE709)))&gt;0),INDEX(Instruments!$D$6:$D$205,MAX(1,$BE709)),IF(N(INDEX(Settings!$D$14:$D$18,$BF709))&gt;0,INDEX(Settings!$D$14:$D$18,$BF709),"")))</f>
        <v/>
      </c>
      <c r="AH709" s="54" t="str">
        <f>IF($AM709=0,"",IF($AF709&lt;&gt;"Forex",1,IF(MID(UPPER(SUBSTITUTE(TRIM($E709),"/","")),4,3)=UPPER(TRIM(Settings!$C$7)),1,IF(LEFT(UPPER(SUBSTITUTE(TRIM($E709),"/","")),3)=UPPER(TRIM(Settings!$C$7)),IF(AND(ISNUMBER($K709),N($K709)&lt;&gt;0),1/$K709,""),""))))</f>
        <v/>
      </c>
      <c r="AI709" s="55" t="str">
        <f>IF($AM709=0,"",IF(OR(NOT(ISNUMBER($H709)),NOT(ISNUMBER($K709)),NOT(ISNUMBER($G709)),$AG709="",$AH709=""),"",ROUND(($K709-$H709)*IF($F709="Short",-1,1)*$G709*$AG709*$AH709,6)))</f>
        <v/>
      </c>
      <c r="AJ709" s="55" t="str">
        <f>IF($AM709=0,"",IF(INDEX(Settings!$E$14:$E$18,$BF709)="% of notional",IF(OR($AG709="",NOT(ISNUMBER($H709)),NOT(ISNUMBER($G709))),"",ROUND(ABS($H709*$G709*$AG709*N($AH709))*IF($L709="Limit",N(INDEX(Settings!$G$14:$G$18,$BF709)),N(INDEX(Settings!$H$14:$H$18,$BF709)))+IF(ISNUMBER($K709),ABS($K709*$G709*$AG709*N($AH709))*IF($M709="Target",N(INDEX(Settings!$G$14:$G$18,$BF709)),N(INDEX(Settings!$H$14:$H$18,$BF709))),0),6)),IF(NOT(ISNUMBER($G709)),"",ROUND(ABS($G709)*2*IF(AND($BE709&gt;0,ISNUMBER(INDEX(Instruments!$G$6:$G$205,MAX(1,$BE709)))),INDEX(Instruments!$G$6:$G$205,MAX(1,$BE709)),N(INDEX(Settings!$F$14:$F$18,$BF709))),6))))</f>
        <v/>
      </c>
      <c r="AK709" s="55" t="str">
        <f>IF($AM709=0,"",IF(ISNUMBER($O709),$O709,$AI709))</f>
        <v/>
      </c>
      <c r="AL709" s="55" t="str">
        <f>IF($AM709=0,"",IF(ISNUMBER($P709),$P709,N($AJ709)))</f>
        <v/>
      </c>
      <c r="AM709" s="56">
        <f>IF(AND($A709&lt;&gt;"",$E709&lt;&gt;"",OR(AND(ISNUMBER($G709),ISNUMBER($H709),ISNUMBER($K709)),ISNUMBER($O709))),1,0)</f>
        <v>0</v>
      </c>
      <c r="AN709" s="57" t="str">
        <f>IF($A709="","",$A709-WEEKDAY($A709,3))</f>
        <v/>
      </c>
      <c r="AO709" s="56" t="str">
        <f>IF($A709="","",WEEKDAY($A709,2))</f>
        <v/>
      </c>
      <c r="AP709" s="55" t="str">
        <f>IF(OR($AM709=0,$C709=""),"",IFERROR(N(INDEX(Accounts!$E$7:$E$16,MATCH($C709,Accounts!$B$7:$B$16,0))),0)+SUMIFS($Q$6:$Q709,$C$6:$C709,$C709))</f>
        <v/>
      </c>
      <c r="AQ709" s="55" t="str">
        <f>IF(OR($AM709=0,$C709=""),"",SUMIFS($Q$6:$Q$1005,$C$6:$C$1005,$C709,$A$6:$A$1005,$A709))</f>
        <v/>
      </c>
      <c r="AR709" s="55" t="str">
        <f>IF(OR($AM709=0,$C709=""),"",IFERROR(N(INDEX(Accounts!$E$7:$E$16,MATCH($C709,Accounts!$B$7:$B$16,0))),0)+SUMIFS($Q$6:$Q$1005,$C$6:$C$1005,$C709,$A$6:$A$1005,"&lt;="&amp;$A709))</f>
        <v/>
      </c>
      <c r="AS709" s="56">
        <f>IF(OR($AM709=0,$Q709=""),0,IF(AND($A709&gt;=Lists!$W$6,$A709&lt;=Lists!$W$7,OR(Dashboard!$D$6="All accounts",$C709=Dashboard!$D$6),OR(Dashboard!$D$7="All markets",$AF709=Dashboard!$D$7)),1,0))</f>
        <v>0</v>
      </c>
      <c r="AT709" s="55">
        <f>IF($AS709=1,N(AT708)+$Q709,N(AT708))</f>
        <v>1187.10688</v>
      </c>
      <c r="AU709" s="55">
        <f>MAX(N(AU708),$AT709)</f>
        <v>1187.10688</v>
      </c>
      <c r="AV709" s="55">
        <f>$AT709-$AU709</f>
        <v>0</v>
      </c>
      <c r="AW709" s="56">
        <f>IF($AS709=1,IF($S709="Win",N(AW708)+1,IF($S709="Loss",0,N(AW708))),N(AW708))</f>
        <v>5</v>
      </c>
      <c r="AX709" s="56">
        <f>IF($AS709=1,IF($S709="Loss",N(AX708)+1,IF($S709="Win",0,N(AX708))),N(AX708))</f>
        <v>0</v>
      </c>
      <c r="AY709" s="56" t="str">
        <f>IF($AS709=1,COUNTIF($AS$6:$AS709,1),"")</f>
        <v/>
      </c>
      <c r="AZ709" s="56">
        <f>MIN(703,N(Lists!$W$8))</f>
        <v>28</v>
      </c>
      <c r="BA709" s="56">
        <f>IF($AS709=1,IF(COUNTIFS($A$6:$A709,$A709,$AS$6:$AS709,1)=1,1,0),0)</f>
        <v>0</v>
      </c>
      <c r="BB709" s="55" t="str">
        <f>IF($BA709=1,SUMIFS($Q$6:$Q$1005,$A$6:$A$1005,$A709,$AS$6:$AS$1005,1),"")</f>
        <v/>
      </c>
      <c r="BC709" s="56">
        <f>IF(ISNUMBER($R709),1,0)</f>
        <v>0</v>
      </c>
      <c r="BD709" s="55" t="str">
        <f>IF(ISNUMBER($U709),$U709*$V709,"")</f>
        <v/>
      </c>
      <c r="BE709" s="56" t="str">
        <f>IF($AM709=0,"",IFERROR(MATCH($AF709&amp;"|"&amp;UPPER(TRIM($E709)),Lists!$A$6:$A$205,0),0))</f>
        <v/>
      </c>
      <c r="BF709" s="56" t="str">
        <f>IF($AM709=0,"",IFERROR(MATCH($AF709,Settings!$B$14:$B$18,0),IFERROR(MATCH(Settings!$C$6,Settings!$B$14:$B$18,0),1)))</f>
        <v/>
      </c>
      <c r="BG709" s="58" t="str">
        <f>IF($AM709=0,"",IF(NOT(ISNUMBER($I709)),"No stop; ","")&amp;IF(AND(ISNUMBER($H709),ISNUMBER($I709)),IF(OR(AND($F709&lt;&gt;"Short",$I709&gt;=$H709),AND($F709="Short",$I709&lt;=$H709)),"Stop on wrong side; ",""),"")&amp;IF($F709="","No direction; ","")&amp;IF(AND(ISNUMBER(Settings!$C$22),ISNUMBER($V709)),IF($V709&gt;Settings!$C$22,"Risk over max $; ",""),"")&amp;IF(AND(ISNUMBER(Settings!$C$23),ISNUMBER($V709),ISNUMBER($AP709),IFERROR(N(INDEX(Accounts!$E$7:$E$16,MATCH($C709,Accounts!$B$7:$B$16,0))),0)&gt;0),IF($V709&gt;Settings!$C$23*($AP709-N($Q709)),"Risk over max %; ",""),"")&amp;IF(AND(ISNUMBER(Settings!$C$24),ISNUMBER($N709)),IF($N709&gt;Settings!$C$24,"Leverage over max; ",""),"")&amp;IF(AND(ISNUMBER(Settings!$C$27),ISNUMBER($T709)),IF($T709&lt;Settings!$C$27,"R:R below min; ",""),"")&amp;IF(ISNUMBER(Settings!$C$25),IF(COUNTIFS($A$6:$A709,$A709,$AM$6:$AM709,1)&gt;Settings!$C$25,"Over max trades/day; ",""),"")&amp;IF(ISNUMBER(Settings!$C$26),IF(SUMIFS($Q$5:$Q708,$A$5:$A708,$A709)&lt;=-Settings!$C$26,"Traded after daily max loss; ",""),"")&amp;IF(AND($AG709="",NOT(ISNUMBER($O709))),"Symbol not in Instruments; ","")&amp;IF(AND($AH709="",NOT(ISNUMBER($O709))),"Forex cross: type Gross P&amp;L; ",""))</f>
        <v/>
      </c>
      <c r="BH709" s="56">
        <f>IF(ISNUMBER($Q709),1,0)</f>
        <v>0</v>
      </c>
      <c r="BI709" s="56">
        <f>IF($Y709="",0,1)</f>
        <v>0</v>
      </c>
      <c r="BJ709" s="56">
        <f>IF($AB709="",0,1)</f>
        <v>0</v>
      </c>
      <c r="BK709" s="56">
        <f>IF(AND($BH709=1,$W709&lt;&gt;"OK"),1,0)</f>
        <v>0</v>
      </c>
      <c r="BL709" s="55">
        <f>IF(N($AZ709)=0,0,IFERROR(INDEX($AT$6:$AT$1005,MATCH($AZ709,$AY$6:$AY$1005,0)),0))</f>
        <v>1187.10688</v>
      </c>
      <c r="BM709" s="56">
        <f>IF(ISNUMBER(SEARCH("daily max loss",$BG709)),1,0)</f>
        <v>0</v>
      </c>
    </row>
    <row r="710" ht="18" customHeight="1">
      <c r="A710" s="38" t="n"/>
      <c r="B710" s="39" t="n"/>
      <c r="C710" s="40" t="n"/>
      <c r="D710" s="41" t="n"/>
      <c r="E710" s="41" t="n"/>
      <c r="F710" s="41" t="n"/>
      <c r="G710" s="41" t="n"/>
      <c r="H710" s="42" t="n"/>
      <c r="I710" s="42" t="n"/>
      <c r="J710" s="42" t="n"/>
      <c r="K710" s="42" t="n"/>
      <c r="L710" s="41" t="n"/>
      <c r="M710" s="41" t="n"/>
      <c r="N710" s="41" t="n"/>
      <c r="O710" s="43" t="n"/>
      <c r="P710" s="43" t="n"/>
      <c r="Q710" s="44" t="str">
        <f>IF($AM710=0,"",IF(ISNUMBER($AK710),$AK710-N($AL710),""))</f>
        <v/>
      </c>
      <c r="R710" s="45" t="str">
        <f>IF(OR($Q710="",NOT(ISNUMBER($V710))),"",$AK710/$V710)</f>
        <v/>
      </c>
      <c r="S710" s="46" t="str">
        <f>IF($Q710="","",IF(AND(ISNUMBER($R710),ABS(N($R710))&lt;N(Settings!$C$8)),"Scratch",IF($Q710&gt;0,"Win",IF($Q710&lt;0,"Loss","Scratch"))))</f>
        <v/>
      </c>
      <c r="T710" s="47" t="str">
        <f>IF(OR($AM710=0,NOT(ISNUMBER($H710)),NOT(ISNUMBER($I710)),NOT(ISNUMBER($J710))),"",IF($H710=$I710,"",ROUND(ABS($J710-$H710)/ABS($H710-$I710),6)))</f>
        <v/>
      </c>
      <c r="U710" s="48" t="str">
        <f>IF(OR($S710&lt;&gt;"Win",NOT(ISNUMBER($T710)),NOT(ISNUMBER($R710))),"",MAX(0,$T710-$R710))</f>
        <v/>
      </c>
      <c r="V710" s="49" t="str">
        <f>IF(OR($AM710=0,NOT(ISNUMBER($H710)),NOT(ISNUMBER($I710)),NOT(ISNUMBER($G710))),"",IF(OR($AG710="",$AH710=""),"",IF(ROUND(ABS($H710-$I710)*ABS($G710)*$AG710*$AH710,6)=0,"",ROUND(ABS($H710-$I710)*ABS($G710)*$AG710*$AH710,6))))</f>
        <v/>
      </c>
      <c r="W710" s="50" t="str">
        <f>IF($AM710=0,"",IF($BG710="","OK",LEFT($BG710,LEN($BG710)-2)))</f>
        <v/>
      </c>
      <c r="X710" s="41" t="n"/>
      <c r="Y710" s="40" t="n"/>
      <c r="Z710" s="41" t="n"/>
      <c r="AA710" s="41" t="n"/>
      <c r="AB710" s="40" t="n"/>
      <c r="AC710" s="51" t="n"/>
      <c r="AD710" s="51" t="n"/>
      <c r="AE710" s="40" t="n"/>
      <c r="AF710" s="52" t="str">
        <f>IF($AM710=0,"",IF($D710&lt;&gt;"",$D710,IF(IFERROR(INDEX(Accounts!$C$7:$C$16,MATCH($C710,Accounts!$B$7:$B$16,0))&amp;"","")&lt;&gt;"",INDEX(Accounts!$C$7:$C$16,MATCH($C710,Accounts!$B$7:$B$16,0)),Settings!$C$6)))</f>
        <v/>
      </c>
      <c r="AG710" s="53" t="str">
        <f>IF($AM710=0,"",IF(AND($BE710&gt;0,N(INDEX(Instruments!$D$6:$D$205,MAX(1,$BE710)))&gt;0),INDEX(Instruments!$D$6:$D$205,MAX(1,$BE710)),IF(N(INDEX(Settings!$D$14:$D$18,$BF710))&gt;0,INDEX(Settings!$D$14:$D$18,$BF710),"")))</f>
        <v/>
      </c>
      <c r="AH710" s="54" t="str">
        <f>IF($AM710=0,"",IF($AF710&lt;&gt;"Forex",1,IF(MID(UPPER(SUBSTITUTE(TRIM($E710),"/","")),4,3)=UPPER(TRIM(Settings!$C$7)),1,IF(LEFT(UPPER(SUBSTITUTE(TRIM($E710),"/","")),3)=UPPER(TRIM(Settings!$C$7)),IF(AND(ISNUMBER($K710),N($K710)&lt;&gt;0),1/$K710,""),""))))</f>
        <v/>
      </c>
      <c r="AI710" s="55" t="str">
        <f>IF($AM710=0,"",IF(OR(NOT(ISNUMBER($H710)),NOT(ISNUMBER($K710)),NOT(ISNUMBER($G710)),$AG710="",$AH710=""),"",ROUND(($K710-$H710)*IF($F710="Short",-1,1)*$G710*$AG710*$AH710,6)))</f>
        <v/>
      </c>
      <c r="AJ710" s="55" t="str">
        <f>IF($AM710=0,"",IF(INDEX(Settings!$E$14:$E$18,$BF710)="% of notional",IF(OR($AG710="",NOT(ISNUMBER($H710)),NOT(ISNUMBER($G710))),"",ROUND(ABS($H710*$G710*$AG710*N($AH710))*IF($L710="Limit",N(INDEX(Settings!$G$14:$G$18,$BF710)),N(INDEX(Settings!$H$14:$H$18,$BF710)))+IF(ISNUMBER($K710),ABS($K710*$G710*$AG710*N($AH710))*IF($M710="Target",N(INDEX(Settings!$G$14:$G$18,$BF710)),N(INDEX(Settings!$H$14:$H$18,$BF710))),0),6)),IF(NOT(ISNUMBER($G710)),"",ROUND(ABS($G710)*2*IF(AND($BE710&gt;0,ISNUMBER(INDEX(Instruments!$G$6:$G$205,MAX(1,$BE710)))),INDEX(Instruments!$G$6:$G$205,MAX(1,$BE710)),N(INDEX(Settings!$F$14:$F$18,$BF710))),6))))</f>
        <v/>
      </c>
      <c r="AK710" s="55" t="str">
        <f>IF($AM710=0,"",IF(ISNUMBER($O710),$O710,$AI710))</f>
        <v/>
      </c>
      <c r="AL710" s="55" t="str">
        <f>IF($AM710=0,"",IF(ISNUMBER($P710),$P710,N($AJ710)))</f>
        <v/>
      </c>
      <c r="AM710" s="56">
        <f>IF(AND($A710&lt;&gt;"",$E710&lt;&gt;"",OR(AND(ISNUMBER($G710),ISNUMBER($H710),ISNUMBER($K710)),ISNUMBER($O710))),1,0)</f>
        <v>0</v>
      </c>
      <c r="AN710" s="57" t="str">
        <f>IF($A710="","",$A710-WEEKDAY($A710,3))</f>
        <v/>
      </c>
      <c r="AO710" s="56" t="str">
        <f>IF($A710="","",WEEKDAY($A710,2))</f>
        <v/>
      </c>
      <c r="AP710" s="55" t="str">
        <f>IF(OR($AM710=0,$C710=""),"",IFERROR(N(INDEX(Accounts!$E$7:$E$16,MATCH($C710,Accounts!$B$7:$B$16,0))),0)+SUMIFS($Q$6:$Q710,$C$6:$C710,$C710))</f>
        <v/>
      </c>
      <c r="AQ710" s="55" t="str">
        <f>IF(OR($AM710=0,$C710=""),"",SUMIFS($Q$6:$Q$1005,$C$6:$C$1005,$C710,$A$6:$A$1005,$A710))</f>
        <v/>
      </c>
      <c r="AR710" s="55" t="str">
        <f>IF(OR($AM710=0,$C710=""),"",IFERROR(N(INDEX(Accounts!$E$7:$E$16,MATCH($C710,Accounts!$B$7:$B$16,0))),0)+SUMIFS($Q$6:$Q$1005,$C$6:$C$1005,$C710,$A$6:$A$1005,"&lt;="&amp;$A710))</f>
        <v/>
      </c>
      <c r="AS710" s="56">
        <f>IF(OR($AM710=0,$Q710=""),0,IF(AND($A710&gt;=Lists!$W$6,$A710&lt;=Lists!$W$7,OR(Dashboard!$D$6="All accounts",$C710=Dashboard!$D$6),OR(Dashboard!$D$7="All markets",$AF710=Dashboard!$D$7)),1,0))</f>
        <v>0</v>
      </c>
      <c r="AT710" s="55">
        <f>IF($AS710=1,N(AT709)+$Q710,N(AT709))</f>
        <v>1187.10688</v>
      </c>
      <c r="AU710" s="55">
        <f>MAX(N(AU709),$AT710)</f>
        <v>1187.10688</v>
      </c>
      <c r="AV710" s="55">
        <f>$AT710-$AU710</f>
        <v>0</v>
      </c>
      <c r="AW710" s="56">
        <f>IF($AS710=1,IF($S710="Win",N(AW709)+1,IF($S710="Loss",0,N(AW709))),N(AW709))</f>
        <v>5</v>
      </c>
      <c r="AX710" s="56">
        <f>IF($AS710=1,IF($S710="Loss",N(AX709)+1,IF($S710="Win",0,N(AX709))),N(AX709))</f>
        <v>0</v>
      </c>
      <c r="AY710" s="56" t="str">
        <f>IF($AS710=1,COUNTIF($AS$6:$AS710,1),"")</f>
        <v/>
      </c>
      <c r="AZ710" s="56">
        <f>MIN(704,N(Lists!$W$8))</f>
        <v>28</v>
      </c>
      <c r="BA710" s="56">
        <f>IF($AS710=1,IF(COUNTIFS($A$6:$A710,$A710,$AS$6:$AS710,1)=1,1,0),0)</f>
        <v>0</v>
      </c>
      <c r="BB710" s="55" t="str">
        <f>IF($BA710=1,SUMIFS($Q$6:$Q$1005,$A$6:$A$1005,$A710,$AS$6:$AS$1005,1),"")</f>
        <v/>
      </c>
      <c r="BC710" s="56">
        <f>IF(ISNUMBER($R710),1,0)</f>
        <v>0</v>
      </c>
      <c r="BD710" s="55" t="str">
        <f>IF(ISNUMBER($U710),$U710*$V710,"")</f>
        <v/>
      </c>
      <c r="BE710" s="56" t="str">
        <f>IF($AM710=0,"",IFERROR(MATCH($AF710&amp;"|"&amp;UPPER(TRIM($E710)),Lists!$A$6:$A$205,0),0))</f>
        <v/>
      </c>
      <c r="BF710" s="56" t="str">
        <f>IF($AM710=0,"",IFERROR(MATCH($AF710,Settings!$B$14:$B$18,0),IFERROR(MATCH(Settings!$C$6,Settings!$B$14:$B$18,0),1)))</f>
        <v/>
      </c>
      <c r="BG710" s="58" t="str">
        <f>IF($AM710=0,"",IF(NOT(ISNUMBER($I710)),"No stop; ","")&amp;IF(AND(ISNUMBER($H710),ISNUMBER($I710)),IF(OR(AND($F710&lt;&gt;"Short",$I710&gt;=$H710),AND($F710="Short",$I710&lt;=$H710)),"Stop on wrong side; ",""),"")&amp;IF($F710="","No direction; ","")&amp;IF(AND(ISNUMBER(Settings!$C$22),ISNUMBER($V710)),IF($V710&gt;Settings!$C$22,"Risk over max $; ",""),"")&amp;IF(AND(ISNUMBER(Settings!$C$23),ISNUMBER($V710),ISNUMBER($AP710),IFERROR(N(INDEX(Accounts!$E$7:$E$16,MATCH($C710,Accounts!$B$7:$B$16,0))),0)&gt;0),IF($V710&gt;Settings!$C$23*($AP710-N($Q710)),"Risk over max %; ",""),"")&amp;IF(AND(ISNUMBER(Settings!$C$24),ISNUMBER($N710)),IF($N710&gt;Settings!$C$24,"Leverage over max; ",""),"")&amp;IF(AND(ISNUMBER(Settings!$C$27),ISNUMBER($T710)),IF($T710&lt;Settings!$C$27,"R:R below min; ",""),"")&amp;IF(ISNUMBER(Settings!$C$25),IF(COUNTIFS($A$6:$A710,$A710,$AM$6:$AM710,1)&gt;Settings!$C$25,"Over max trades/day; ",""),"")&amp;IF(ISNUMBER(Settings!$C$26),IF(SUMIFS($Q$5:$Q709,$A$5:$A709,$A710)&lt;=-Settings!$C$26,"Traded after daily max loss; ",""),"")&amp;IF(AND($AG710="",NOT(ISNUMBER($O710))),"Symbol not in Instruments; ","")&amp;IF(AND($AH710="",NOT(ISNUMBER($O710))),"Forex cross: type Gross P&amp;L; ",""))</f>
        <v/>
      </c>
      <c r="BH710" s="56">
        <f>IF(ISNUMBER($Q710),1,0)</f>
        <v>0</v>
      </c>
      <c r="BI710" s="56">
        <f>IF($Y710="",0,1)</f>
        <v>0</v>
      </c>
      <c r="BJ710" s="56">
        <f>IF($AB710="",0,1)</f>
        <v>0</v>
      </c>
      <c r="BK710" s="56">
        <f>IF(AND($BH710=1,$W710&lt;&gt;"OK"),1,0)</f>
        <v>0</v>
      </c>
      <c r="BL710" s="55">
        <f>IF(N($AZ710)=0,0,IFERROR(INDEX($AT$6:$AT$1005,MATCH($AZ710,$AY$6:$AY$1005,0)),0))</f>
        <v>1187.10688</v>
      </c>
      <c r="BM710" s="56">
        <f>IF(ISNUMBER(SEARCH("daily max loss",$BG710)),1,0)</f>
        <v>0</v>
      </c>
    </row>
    <row r="711" ht="18" customHeight="1">
      <c r="A711" s="38" t="n"/>
      <c r="B711" s="39" t="n"/>
      <c r="C711" s="40" t="n"/>
      <c r="D711" s="41" t="n"/>
      <c r="E711" s="41" t="n"/>
      <c r="F711" s="41" t="n"/>
      <c r="G711" s="41" t="n"/>
      <c r="H711" s="42" t="n"/>
      <c r="I711" s="42" t="n"/>
      <c r="J711" s="42" t="n"/>
      <c r="K711" s="42" t="n"/>
      <c r="L711" s="41" t="n"/>
      <c r="M711" s="41" t="n"/>
      <c r="N711" s="41" t="n"/>
      <c r="O711" s="43" t="n"/>
      <c r="P711" s="43" t="n"/>
      <c r="Q711" s="44" t="str">
        <f>IF($AM711=0,"",IF(ISNUMBER($AK711),$AK711-N($AL711),""))</f>
        <v/>
      </c>
      <c r="R711" s="45" t="str">
        <f>IF(OR($Q711="",NOT(ISNUMBER($V711))),"",$AK711/$V711)</f>
        <v/>
      </c>
      <c r="S711" s="46" t="str">
        <f>IF($Q711="","",IF(AND(ISNUMBER($R711),ABS(N($R711))&lt;N(Settings!$C$8)),"Scratch",IF($Q711&gt;0,"Win",IF($Q711&lt;0,"Loss","Scratch"))))</f>
        <v/>
      </c>
      <c r="T711" s="47" t="str">
        <f>IF(OR($AM711=0,NOT(ISNUMBER($H711)),NOT(ISNUMBER($I711)),NOT(ISNUMBER($J711))),"",IF($H711=$I711,"",ROUND(ABS($J711-$H711)/ABS($H711-$I711),6)))</f>
        <v/>
      </c>
      <c r="U711" s="48" t="str">
        <f>IF(OR($S711&lt;&gt;"Win",NOT(ISNUMBER($T711)),NOT(ISNUMBER($R711))),"",MAX(0,$T711-$R711))</f>
        <v/>
      </c>
      <c r="V711" s="49" t="str">
        <f>IF(OR($AM711=0,NOT(ISNUMBER($H711)),NOT(ISNUMBER($I711)),NOT(ISNUMBER($G711))),"",IF(OR($AG711="",$AH711=""),"",IF(ROUND(ABS($H711-$I711)*ABS($G711)*$AG711*$AH711,6)=0,"",ROUND(ABS($H711-$I711)*ABS($G711)*$AG711*$AH711,6))))</f>
        <v/>
      </c>
      <c r="W711" s="50" t="str">
        <f>IF($AM711=0,"",IF($BG711="","OK",LEFT($BG711,LEN($BG711)-2)))</f>
        <v/>
      </c>
      <c r="X711" s="41" t="n"/>
      <c r="Y711" s="40" t="n"/>
      <c r="Z711" s="41" t="n"/>
      <c r="AA711" s="41" t="n"/>
      <c r="AB711" s="40" t="n"/>
      <c r="AC711" s="51" t="n"/>
      <c r="AD711" s="51" t="n"/>
      <c r="AE711" s="40" t="n"/>
      <c r="AF711" s="52" t="str">
        <f>IF($AM711=0,"",IF($D711&lt;&gt;"",$D711,IF(IFERROR(INDEX(Accounts!$C$7:$C$16,MATCH($C711,Accounts!$B$7:$B$16,0))&amp;"","")&lt;&gt;"",INDEX(Accounts!$C$7:$C$16,MATCH($C711,Accounts!$B$7:$B$16,0)),Settings!$C$6)))</f>
        <v/>
      </c>
      <c r="AG711" s="53" t="str">
        <f>IF($AM711=0,"",IF(AND($BE711&gt;0,N(INDEX(Instruments!$D$6:$D$205,MAX(1,$BE711)))&gt;0),INDEX(Instruments!$D$6:$D$205,MAX(1,$BE711)),IF(N(INDEX(Settings!$D$14:$D$18,$BF711))&gt;0,INDEX(Settings!$D$14:$D$18,$BF711),"")))</f>
        <v/>
      </c>
      <c r="AH711" s="54" t="str">
        <f>IF($AM711=0,"",IF($AF711&lt;&gt;"Forex",1,IF(MID(UPPER(SUBSTITUTE(TRIM($E711),"/","")),4,3)=UPPER(TRIM(Settings!$C$7)),1,IF(LEFT(UPPER(SUBSTITUTE(TRIM($E711),"/","")),3)=UPPER(TRIM(Settings!$C$7)),IF(AND(ISNUMBER($K711),N($K711)&lt;&gt;0),1/$K711,""),""))))</f>
        <v/>
      </c>
      <c r="AI711" s="55" t="str">
        <f>IF($AM711=0,"",IF(OR(NOT(ISNUMBER($H711)),NOT(ISNUMBER($K711)),NOT(ISNUMBER($G711)),$AG711="",$AH711=""),"",ROUND(($K711-$H711)*IF($F711="Short",-1,1)*$G711*$AG711*$AH711,6)))</f>
        <v/>
      </c>
      <c r="AJ711" s="55" t="str">
        <f>IF($AM711=0,"",IF(INDEX(Settings!$E$14:$E$18,$BF711)="% of notional",IF(OR($AG711="",NOT(ISNUMBER($H711)),NOT(ISNUMBER($G711))),"",ROUND(ABS($H711*$G711*$AG711*N($AH711))*IF($L711="Limit",N(INDEX(Settings!$G$14:$G$18,$BF711)),N(INDEX(Settings!$H$14:$H$18,$BF711)))+IF(ISNUMBER($K711),ABS($K711*$G711*$AG711*N($AH711))*IF($M711="Target",N(INDEX(Settings!$G$14:$G$18,$BF711)),N(INDEX(Settings!$H$14:$H$18,$BF711))),0),6)),IF(NOT(ISNUMBER($G711)),"",ROUND(ABS($G711)*2*IF(AND($BE711&gt;0,ISNUMBER(INDEX(Instruments!$G$6:$G$205,MAX(1,$BE711)))),INDEX(Instruments!$G$6:$G$205,MAX(1,$BE711)),N(INDEX(Settings!$F$14:$F$18,$BF711))),6))))</f>
        <v/>
      </c>
      <c r="AK711" s="55" t="str">
        <f>IF($AM711=0,"",IF(ISNUMBER($O711),$O711,$AI711))</f>
        <v/>
      </c>
      <c r="AL711" s="55" t="str">
        <f>IF($AM711=0,"",IF(ISNUMBER($P711),$P711,N($AJ711)))</f>
        <v/>
      </c>
      <c r="AM711" s="56">
        <f>IF(AND($A711&lt;&gt;"",$E711&lt;&gt;"",OR(AND(ISNUMBER($G711),ISNUMBER($H711),ISNUMBER($K711)),ISNUMBER($O711))),1,0)</f>
        <v>0</v>
      </c>
      <c r="AN711" s="57" t="str">
        <f>IF($A711="","",$A711-WEEKDAY($A711,3))</f>
        <v/>
      </c>
      <c r="AO711" s="56" t="str">
        <f>IF($A711="","",WEEKDAY($A711,2))</f>
        <v/>
      </c>
      <c r="AP711" s="55" t="str">
        <f>IF(OR($AM711=0,$C711=""),"",IFERROR(N(INDEX(Accounts!$E$7:$E$16,MATCH($C711,Accounts!$B$7:$B$16,0))),0)+SUMIFS($Q$6:$Q711,$C$6:$C711,$C711))</f>
        <v/>
      </c>
      <c r="AQ711" s="55" t="str">
        <f>IF(OR($AM711=0,$C711=""),"",SUMIFS($Q$6:$Q$1005,$C$6:$C$1005,$C711,$A$6:$A$1005,$A711))</f>
        <v/>
      </c>
      <c r="AR711" s="55" t="str">
        <f>IF(OR($AM711=0,$C711=""),"",IFERROR(N(INDEX(Accounts!$E$7:$E$16,MATCH($C711,Accounts!$B$7:$B$16,0))),0)+SUMIFS($Q$6:$Q$1005,$C$6:$C$1005,$C711,$A$6:$A$1005,"&lt;="&amp;$A711))</f>
        <v/>
      </c>
      <c r="AS711" s="56">
        <f>IF(OR($AM711=0,$Q711=""),0,IF(AND($A711&gt;=Lists!$W$6,$A711&lt;=Lists!$W$7,OR(Dashboard!$D$6="All accounts",$C711=Dashboard!$D$6),OR(Dashboard!$D$7="All markets",$AF711=Dashboard!$D$7)),1,0))</f>
        <v>0</v>
      </c>
      <c r="AT711" s="55">
        <f>IF($AS711=1,N(AT710)+$Q711,N(AT710))</f>
        <v>1187.10688</v>
      </c>
      <c r="AU711" s="55">
        <f>MAX(N(AU710),$AT711)</f>
        <v>1187.10688</v>
      </c>
      <c r="AV711" s="55">
        <f>$AT711-$AU711</f>
        <v>0</v>
      </c>
      <c r="AW711" s="56">
        <f>IF($AS711=1,IF($S711="Win",N(AW710)+1,IF($S711="Loss",0,N(AW710))),N(AW710))</f>
        <v>5</v>
      </c>
      <c r="AX711" s="56">
        <f>IF($AS711=1,IF($S711="Loss",N(AX710)+1,IF($S711="Win",0,N(AX710))),N(AX710))</f>
        <v>0</v>
      </c>
      <c r="AY711" s="56" t="str">
        <f>IF($AS711=1,COUNTIF($AS$6:$AS711,1),"")</f>
        <v/>
      </c>
      <c r="AZ711" s="56">
        <f>MIN(705,N(Lists!$W$8))</f>
        <v>28</v>
      </c>
      <c r="BA711" s="56">
        <f>IF($AS711=1,IF(COUNTIFS($A$6:$A711,$A711,$AS$6:$AS711,1)=1,1,0),0)</f>
        <v>0</v>
      </c>
      <c r="BB711" s="55" t="str">
        <f>IF($BA711=1,SUMIFS($Q$6:$Q$1005,$A$6:$A$1005,$A711,$AS$6:$AS$1005,1),"")</f>
        <v/>
      </c>
      <c r="BC711" s="56">
        <f>IF(ISNUMBER($R711),1,0)</f>
        <v>0</v>
      </c>
      <c r="BD711" s="55" t="str">
        <f>IF(ISNUMBER($U711),$U711*$V711,"")</f>
        <v/>
      </c>
      <c r="BE711" s="56" t="str">
        <f>IF($AM711=0,"",IFERROR(MATCH($AF711&amp;"|"&amp;UPPER(TRIM($E711)),Lists!$A$6:$A$205,0),0))</f>
        <v/>
      </c>
      <c r="BF711" s="56" t="str">
        <f>IF($AM711=0,"",IFERROR(MATCH($AF711,Settings!$B$14:$B$18,0),IFERROR(MATCH(Settings!$C$6,Settings!$B$14:$B$18,0),1)))</f>
        <v/>
      </c>
      <c r="BG711" s="58" t="str">
        <f>IF($AM711=0,"",IF(NOT(ISNUMBER($I711)),"No stop; ","")&amp;IF(AND(ISNUMBER($H711),ISNUMBER($I711)),IF(OR(AND($F711&lt;&gt;"Short",$I711&gt;=$H711),AND($F711="Short",$I711&lt;=$H711)),"Stop on wrong side; ",""),"")&amp;IF($F711="","No direction; ","")&amp;IF(AND(ISNUMBER(Settings!$C$22),ISNUMBER($V711)),IF($V711&gt;Settings!$C$22,"Risk over max $; ",""),"")&amp;IF(AND(ISNUMBER(Settings!$C$23),ISNUMBER($V711),ISNUMBER($AP711),IFERROR(N(INDEX(Accounts!$E$7:$E$16,MATCH($C711,Accounts!$B$7:$B$16,0))),0)&gt;0),IF($V711&gt;Settings!$C$23*($AP711-N($Q711)),"Risk over max %; ",""),"")&amp;IF(AND(ISNUMBER(Settings!$C$24),ISNUMBER($N711)),IF($N711&gt;Settings!$C$24,"Leverage over max; ",""),"")&amp;IF(AND(ISNUMBER(Settings!$C$27),ISNUMBER($T711)),IF($T711&lt;Settings!$C$27,"R:R below min; ",""),"")&amp;IF(ISNUMBER(Settings!$C$25),IF(COUNTIFS($A$6:$A711,$A711,$AM$6:$AM711,1)&gt;Settings!$C$25,"Over max trades/day; ",""),"")&amp;IF(ISNUMBER(Settings!$C$26),IF(SUMIFS($Q$5:$Q710,$A$5:$A710,$A711)&lt;=-Settings!$C$26,"Traded after daily max loss; ",""),"")&amp;IF(AND($AG711="",NOT(ISNUMBER($O711))),"Symbol not in Instruments; ","")&amp;IF(AND($AH711="",NOT(ISNUMBER($O711))),"Forex cross: type Gross P&amp;L; ",""))</f>
        <v/>
      </c>
      <c r="BH711" s="56">
        <f>IF(ISNUMBER($Q711),1,0)</f>
        <v>0</v>
      </c>
      <c r="BI711" s="56">
        <f>IF($Y711="",0,1)</f>
        <v>0</v>
      </c>
      <c r="BJ711" s="56">
        <f>IF($AB711="",0,1)</f>
        <v>0</v>
      </c>
      <c r="BK711" s="56">
        <f>IF(AND($BH711=1,$W711&lt;&gt;"OK"),1,0)</f>
        <v>0</v>
      </c>
      <c r="BL711" s="55">
        <f>IF(N($AZ711)=0,0,IFERROR(INDEX($AT$6:$AT$1005,MATCH($AZ711,$AY$6:$AY$1005,0)),0))</f>
        <v>1187.10688</v>
      </c>
      <c r="BM711" s="56">
        <f>IF(ISNUMBER(SEARCH("daily max loss",$BG711)),1,0)</f>
        <v>0</v>
      </c>
    </row>
    <row r="712" ht="18" customHeight="1">
      <c r="A712" s="38" t="n"/>
      <c r="B712" s="39" t="n"/>
      <c r="C712" s="40" t="n"/>
      <c r="D712" s="41" t="n"/>
      <c r="E712" s="41" t="n"/>
      <c r="F712" s="41" t="n"/>
      <c r="G712" s="41" t="n"/>
      <c r="H712" s="42" t="n"/>
      <c r="I712" s="42" t="n"/>
      <c r="J712" s="42" t="n"/>
      <c r="K712" s="42" t="n"/>
      <c r="L712" s="41" t="n"/>
      <c r="M712" s="41" t="n"/>
      <c r="N712" s="41" t="n"/>
      <c r="O712" s="43" t="n"/>
      <c r="P712" s="43" t="n"/>
      <c r="Q712" s="44" t="str">
        <f>IF($AM712=0,"",IF(ISNUMBER($AK712),$AK712-N($AL712),""))</f>
        <v/>
      </c>
      <c r="R712" s="45" t="str">
        <f>IF(OR($Q712="",NOT(ISNUMBER($V712))),"",$AK712/$V712)</f>
        <v/>
      </c>
      <c r="S712" s="46" t="str">
        <f>IF($Q712="","",IF(AND(ISNUMBER($R712),ABS(N($R712))&lt;N(Settings!$C$8)),"Scratch",IF($Q712&gt;0,"Win",IF($Q712&lt;0,"Loss","Scratch"))))</f>
        <v/>
      </c>
      <c r="T712" s="47" t="str">
        <f>IF(OR($AM712=0,NOT(ISNUMBER($H712)),NOT(ISNUMBER($I712)),NOT(ISNUMBER($J712))),"",IF($H712=$I712,"",ROUND(ABS($J712-$H712)/ABS($H712-$I712),6)))</f>
        <v/>
      </c>
      <c r="U712" s="48" t="str">
        <f>IF(OR($S712&lt;&gt;"Win",NOT(ISNUMBER($T712)),NOT(ISNUMBER($R712))),"",MAX(0,$T712-$R712))</f>
        <v/>
      </c>
      <c r="V712" s="49" t="str">
        <f>IF(OR($AM712=0,NOT(ISNUMBER($H712)),NOT(ISNUMBER($I712)),NOT(ISNUMBER($G712))),"",IF(OR($AG712="",$AH712=""),"",IF(ROUND(ABS($H712-$I712)*ABS($G712)*$AG712*$AH712,6)=0,"",ROUND(ABS($H712-$I712)*ABS($G712)*$AG712*$AH712,6))))</f>
        <v/>
      </c>
      <c r="W712" s="50" t="str">
        <f>IF($AM712=0,"",IF($BG712="","OK",LEFT($BG712,LEN($BG712)-2)))</f>
        <v/>
      </c>
      <c r="X712" s="41" t="n"/>
      <c r="Y712" s="40" t="n"/>
      <c r="Z712" s="41" t="n"/>
      <c r="AA712" s="41" t="n"/>
      <c r="AB712" s="40" t="n"/>
      <c r="AC712" s="51" t="n"/>
      <c r="AD712" s="51" t="n"/>
      <c r="AE712" s="40" t="n"/>
      <c r="AF712" s="52" t="str">
        <f>IF($AM712=0,"",IF($D712&lt;&gt;"",$D712,IF(IFERROR(INDEX(Accounts!$C$7:$C$16,MATCH($C712,Accounts!$B$7:$B$16,0))&amp;"","")&lt;&gt;"",INDEX(Accounts!$C$7:$C$16,MATCH($C712,Accounts!$B$7:$B$16,0)),Settings!$C$6)))</f>
        <v/>
      </c>
      <c r="AG712" s="53" t="str">
        <f>IF($AM712=0,"",IF(AND($BE712&gt;0,N(INDEX(Instruments!$D$6:$D$205,MAX(1,$BE712)))&gt;0),INDEX(Instruments!$D$6:$D$205,MAX(1,$BE712)),IF(N(INDEX(Settings!$D$14:$D$18,$BF712))&gt;0,INDEX(Settings!$D$14:$D$18,$BF712),"")))</f>
        <v/>
      </c>
      <c r="AH712" s="54" t="str">
        <f>IF($AM712=0,"",IF($AF712&lt;&gt;"Forex",1,IF(MID(UPPER(SUBSTITUTE(TRIM($E712),"/","")),4,3)=UPPER(TRIM(Settings!$C$7)),1,IF(LEFT(UPPER(SUBSTITUTE(TRIM($E712),"/","")),3)=UPPER(TRIM(Settings!$C$7)),IF(AND(ISNUMBER($K712),N($K712)&lt;&gt;0),1/$K712,""),""))))</f>
        <v/>
      </c>
      <c r="AI712" s="55" t="str">
        <f>IF($AM712=0,"",IF(OR(NOT(ISNUMBER($H712)),NOT(ISNUMBER($K712)),NOT(ISNUMBER($G712)),$AG712="",$AH712=""),"",ROUND(($K712-$H712)*IF($F712="Short",-1,1)*$G712*$AG712*$AH712,6)))</f>
        <v/>
      </c>
      <c r="AJ712" s="55" t="str">
        <f>IF($AM712=0,"",IF(INDEX(Settings!$E$14:$E$18,$BF712)="% of notional",IF(OR($AG712="",NOT(ISNUMBER($H712)),NOT(ISNUMBER($G712))),"",ROUND(ABS($H712*$G712*$AG712*N($AH712))*IF($L712="Limit",N(INDEX(Settings!$G$14:$G$18,$BF712)),N(INDEX(Settings!$H$14:$H$18,$BF712)))+IF(ISNUMBER($K712),ABS($K712*$G712*$AG712*N($AH712))*IF($M712="Target",N(INDEX(Settings!$G$14:$G$18,$BF712)),N(INDEX(Settings!$H$14:$H$18,$BF712))),0),6)),IF(NOT(ISNUMBER($G712)),"",ROUND(ABS($G712)*2*IF(AND($BE712&gt;0,ISNUMBER(INDEX(Instruments!$G$6:$G$205,MAX(1,$BE712)))),INDEX(Instruments!$G$6:$G$205,MAX(1,$BE712)),N(INDEX(Settings!$F$14:$F$18,$BF712))),6))))</f>
        <v/>
      </c>
      <c r="AK712" s="55" t="str">
        <f>IF($AM712=0,"",IF(ISNUMBER($O712),$O712,$AI712))</f>
        <v/>
      </c>
      <c r="AL712" s="55" t="str">
        <f>IF($AM712=0,"",IF(ISNUMBER($P712),$P712,N($AJ712)))</f>
        <v/>
      </c>
      <c r="AM712" s="56">
        <f>IF(AND($A712&lt;&gt;"",$E712&lt;&gt;"",OR(AND(ISNUMBER($G712),ISNUMBER($H712),ISNUMBER($K712)),ISNUMBER($O712))),1,0)</f>
        <v>0</v>
      </c>
      <c r="AN712" s="57" t="str">
        <f>IF($A712="","",$A712-WEEKDAY($A712,3))</f>
        <v/>
      </c>
      <c r="AO712" s="56" t="str">
        <f>IF($A712="","",WEEKDAY($A712,2))</f>
        <v/>
      </c>
      <c r="AP712" s="55" t="str">
        <f>IF(OR($AM712=0,$C712=""),"",IFERROR(N(INDEX(Accounts!$E$7:$E$16,MATCH($C712,Accounts!$B$7:$B$16,0))),0)+SUMIFS($Q$6:$Q712,$C$6:$C712,$C712))</f>
        <v/>
      </c>
      <c r="AQ712" s="55" t="str">
        <f>IF(OR($AM712=0,$C712=""),"",SUMIFS($Q$6:$Q$1005,$C$6:$C$1005,$C712,$A$6:$A$1005,$A712))</f>
        <v/>
      </c>
      <c r="AR712" s="55" t="str">
        <f>IF(OR($AM712=0,$C712=""),"",IFERROR(N(INDEX(Accounts!$E$7:$E$16,MATCH($C712,Accounts!$B$7:$B$16,0))),0)+SUMIFS($Q$6:$Q$1005,$C$6:$C$1005,$C712,$A$6:$A$1005,"&lt;="&amp;$A712))</f>
        <v/>
      </c>
      <c r="AS712" s="56">
        <f>IF(OR($AM712=0,$Q712=""),0,IF(AND($A712&gt;=Lists!$W$6,$A712&lt;=Lists!$W$7,OR(Dashboard!$D$6="All accounts",$C712=Dashboard!$D$6),OR(Dashboard!$D$7="All markets",$AF712=Dashboard!$D$7)),1,0))</f>
        <v>0</v>
      </c>
      <c r="AT712" s="55">
        <f>IF($AS712=1,N(AT711)+$Q712,N(AT711))</f>
        <v>1187.10688</v>
      </c>
      <c r="AU712" s="55">
        <f>MAX(N(AU711),$AT712)</f>
        <v>1187.10688</v>
      </c>
      <c r="AV712" s="55">
        <f>$AT712-$AU712</f>
        <v>0</v>
      </c>
      <c r="AW712" s="56">
        <f>IF($AS712=1,IF($S712="Win",N(AW711)+1,IF($S712="Loss",0,N(AW711))),N(AW711))</f>
        <v>5</v>
      </c>
      <c r="AX712" s="56">
        <f>IF($AS712=1,IF($S712="Loss",N(AX711)+1,IF($S712="Win",0,N(AX711))),N(AX711))</f>
        <v>0</v>
      </c>
      <c r="AY712" s="56" t="str">
        <f>IF($AS712=1,COUNTIF($AS$6:$AS712,1),"")</f>
        <v/>
      </c>
      <c r="AZ712" s="56">
        <f>MIN(706,N(Lists!$W$8))</f>
        <v>28</v>
      </c>
      <c r="BA712" s="56">
        <f>IF($AS712=1,IF(COUNTIFS($A$6:$A712,$A712,$AS$6:$AS712,1)=1,1,0),0)</f>
        <v>0</v>
      </c>
      <c r="BB712" s="55" t="str">
        <f>IF($BA712=1,SUMIFS($Q$6:$Q$1005,$A$6:$A$1005,$A712,$AS$6:$AS$1005,1),"")</f>
        <v/>
      </c>
      <c r="BC712" s="56">
        <f>IF(ISNUMBER($R712),1,0)</f>
        <v>0</v>
      </c>
      <c r="BD712" s="55" t="str">
        <f>IF(ISNUMBER($U712),$U712*$V712,"")</f>
        <v/>
      </c>
      <c r="BE712" s="56" t="str">
        <f>IF($AM712=0,"",IFERROR(MATCH($AF712&amp;"|"&amp;UPPER(TRIM($E712)),Lists!$A$6:$A$205,0),0))</f>
        <v/>
      </c>
      <c r="BF712" s="56" t="str">
        <f>IF($AM712=0,"",IFERROR(MATCH($AF712,Settings!$B$14:$B$18,0),IFERROR(MATCH(Settings!$C$6,Settings!$B$14:$B$18,0),1)))</f>
        <v/>
      </c>
      <c r="BG712" s="58" t="str">
        <f>IF($AM712=0,"",IF(NOT(ISNUMBER($I712)),"No stop; ","")&amp;IF(AND(ISNUMBER($H712),ISNUMBER($I712)),IF(OR(AND($F712&lt;&gt;"Short",$I712&gt;=$H712),AND($F712="Short",$I712&lt;=$H712)),"Stop on wrong side; ",""),"")&amp;IF($F712="","No direction; ","")&amp;IF(AND(ISNUMBER(Settings!$C$22),ISNUMBER($V712)),IF($V712&gt;Settings!$C$22,"Risk over max $; ",""),"")&amp;IF(AND(ISNUMBER(Settings!$C$23),ISNUMBER($V712),ISNUMBER($AP712),IFERROR(N(INDEX(Accounts!$E$7:$E$16,MATCH($C712,Accounts!$B$7:$B$16,0))),0)&gt;0),IF($V712&gt;Settings!$C$23*($AP712-N($Q712)),"Risk over max %; ",""),"")&amp;IF(AND(ISNUMBER(Settings!$C$24),ISNUMBER($N712)),IF($N712&gt;Settings!$C$24,"Leverage over max; ",""),"")&amp;IF(AND(ISNUMBER(Settings!$C$27),ISNUMBER($T712)),IF($T712&lt;Settings!$C$27,"R:R below min; ",""),"")&amp;IF(ISNUMBER(Settings!$C$25),IF(COUNTIFS($A$6:$A712,$A712,$AM$6:$AM712,1)&gt;Settings!$C$25,"Over max trades/day; ",""),"")&amp;IF(ISNUMBER(Settings!$C$26),IF(SUMIFS($Q$5:$Q711,$A$5:$A711,$A712)&lt;=-Settings!$C$26,"Traded after daily max loss; ",""),"")&amp;IF(AND($AG712="",NOT(ISNUMBER($O712))),"Symbol not in Instruments; ","")&amp;IF(AND($AH712="",NOT(ISNUMBER($O712))),"Forex cross: type Gross P&amp;L; ",""))</f>
        <v/>
      </c>
      <c r="BH712" s="56">
        <f>IF(ISNUMBER($Q712),1,0)</f>
        <v>0</v>
      </c>
      <c r="BI712" s="56">
        <f>IF($Y712="",0,1)</f>
        <v>0</v>
      </c>
      <c r="BJ712" s="56">
        <f>IF($AB712="",0,1)</f>
        <v>0</v>
      </c>
      <c r="BK712" s="56">
        <f>IF(AND($BH712=1,$W712&lt;&gt;"OK"),1,0)</f>
        <v>0</v>
      </c>
      <c r="BL712" s="55">
        <f>IF(N($AZ712)=0,0,IFERROR(INDEX($AT$6:$AT$1005,MATCH($AZ712,$AY$6:$AY$1005,0)),0))</f>
        <v>1187.10688</v>
      </c>
      <c r="BM712" s="56">
        <f>IF(ISNUMBER(SEARCH("daily max loss",$BG712)),1,0)</f>
        <v>0</v>
      </c>
    </row>
    <row r="713" ht="18" customHeight="1">
      <c r="A713" s="38" t="n"/>
      <c r="B713" s="39" t="n"/>
      <c r="C713" s="40" t="n"/>
      <c r="D713" s="41" t="n"/>
      <c r="E713" s="41" t="n"/>
      <c r="F713" s="41" t="n"/>
      <c r="G713" s="41" t="n"/>
      <c r="H713" s="42" t="n"/>
      <c r="I713" s="42" t="n"/>
      <c r="J713" s="42" t="n"/>
      <c r="K713" s="42" t="n"/>
      <c r="L713" s="41" t="n"/>
      <c r="M713" s="41" t="n"/>
      <c r="N713" s="41" t="n"/>
      <c r="O713" s="43" t="n"/>
      <c r="P713" s="43" t="n"/>
      <c r="Q713" s="44" t="str">
        <f>IF($AM713=0,"",IF(ISNUMBER($AK713),$AK713-N($AL713),""))</f>
        <v/>
      </c>
      <c r="R713" s="45" t="str">
        <f>IF(OR($Q713="",NOT(ISNUMBER($V713))),"",$AK713/$V713)</f>
        <v/>
      </c>
      <c r="S713" s="46" t="str">
        <f>IF($Q713="","",IF(AND(ISNUMBER($R713),ABS(N($R713))&lt;N(Settings!$C$8)),"Scratch",IF($Q713&gt;0,"Win",IF($Q713&lt;0,"Loss","Scratch"))))</f>
        <v/>
      </c>
      <c r="T713" s="47" t="str">
        <f>IF(OR($AM713=0,NOT(ISNUMBER($H713)),NOT(ISNUMBER($I713)),NOT(ISNUMBER($J713))),"",IF($H713=$I713,"",ROUND(ABS($J713-$H713)/ABS($H713-$I713),6)))</f>
        <v/>
      </c>
      <c r="U713" s="48" t="str">
        <f>IF(OR($S713&lt;&gt;"Win",NOT(ISNUMBER($T713)),NOT(ISNUMBER($R713))),"",MAX(0,$T713-$R713))</f>
        <v/>
      </c>
      <c r="V713" s="49" t="str">
        <f>IF(OR($AM713=0,NOT(ISNUMBER($H713)),NOT(ISNUMBER($I713)),NOT(ISNUMBER($G713))),"",IF(OR($AG713="",$AH713=""),"",IF(ROUND(ABS($H713-$I713)*ABS($G713)*$AG713*$AH713,6)=0,"",ROUND(ABS($H713-$I713)*ABS($G713)*$AG713*$AH713,6))))</f>
        <v/>
      </c>
      <c r="W713" s="50" t="str">
        <f>IF($AM713=0,"",IF($BG713="","OK",LEFT($BG713,LEN($BG713)-2)))</f>
        <v/>
      </c>
      <c r="X713" s="41" t="n"/>
      <c r="Y713" s="40" t="n"/>
      <c r="Z713" s="41" t="n"/>
      <c r="AA713" s="41" t="n"/>
      <c r="AB713" s="40" t="n"/>
      <c r="AC713" s="51" t="n"/>
      <c r="AD713" s="51" t="n"/>
      <c r="AE713" s="40" t="n"/>
      <c r="AF713" s="52" t="str">
        <f>IF($AM713=0,"",IF($D713&lt;&gt;"",$D713,IF(IFERROR(INDEX(Accounts!$C$7:$C$16,MATCH($C713,Accounts!$B$7:$B$16,0))&amp;"","")&lt;&gt;"",INDEX(Accounts!$C$7:$C$16,MATCH($C713,Accounts!$B$7:$B$16,0)),Settings!$C$6)))</f>
        <v/>
      </c>
      <c r="AG713" s="53" t="str">
        <f>IF($AM713=0,"",IF(AND($BE713&gt;0,N(INDEX(Instruments!$D$6:$D$205,MAX(1,$BE713)))&gt;0),INDEX(Instruments!$D$6:$D$205,MAX(1,$BE713)),IF(N(INDEX(Settings!$D$14:$D$18,$BF713))&gt;0,INDEX(Settings!$D$14:$D$18,$BF713),"")))</f>
        <v/>
      </c>
      <c r="AH713" s="54" t="str">
        <f>IF($AM713=0,"",IF($AF713&lt;&gt;"Forex",1,IF(MID(UPPER(SUBSTITUTE(TRIM($E713),"/","")),4,3)=UPPER(TRIM(Settings!$C$7)),1,IF(LEFT(UPPER(SUBSTITUTE(TRIM($E713),"/","")),3)=UPPER(TRIM(Settings!$C$7)),IF(AND(ISNUMBER($K713),N($K713)&lt;&gt;0),1/$K713,""),""))))</f>
        <v/>
      </c>
      <c r="AI713" s="55" t="str">
        <f>IF($AM713=0,"",IF(OR(NOT(ISNUMBER($H713)),NOT(ISNUMBER($K713)),NOT(ISNUMBER($G713)),$AG713="",$AH713=""),"",ROUND(($K713-$H713)*IF($F713="Short",-1,1)*$G713*$AG713*$AH713,6)))</f>
        <v/>
      </c>
      <c r="AJ713" s="55" t="str">
        <f>IF($AM713=0,"",IF(INDEX(Settings!$E$14:$E$18,$BF713)="% of notional",IF(OR($AG713="",NOT(ISNUMBER($H713)),NOT(ISNUMBER($G713))),"",ROUND(ABS($H713*$G713*$AG713*N($AH713))*IF($L713="Limit",N(INDEX(Settings!$G$14:$G$18,$BF713)),N(INDEX(Settings!$H$14:$H$18,$BF713)))+IF(ISNUMBER($K713),ABS($K713*$G713*$AG713*N($AH713))*IF($M713="Target",N(INDEX(Settings!$G$14:$G$18,$BF713)),N(INDEX(Settings!$H$14:$H$18,$BF713))),0),6)),IF(NOT(ISNUMBER($G713)),"",ROUND(ABS($G713)*2*IF(AND($BE713&gt;0,ISNUMBER(INDEX(Instruments!$G$6:$G$205,MAX(1,$BE713)))),INDEX(Instruments!$G$6:$G$205,MAX(1,$BE713)),N(INDEX(Settings!$F$14:$F$18,$BF713))),6))))</f>
        <v/>
      </c>
      <c r="AK713" s="55" t="str">
        <f>IF($AM713=0,"",IF(ISNUMBER($O713),$O713,$AI713))</f>
        <v/>
      </c>
      <c r="AL713" s="55" t="str">
        <f>IF($AM713=0,"",IF(ISNUMBER($P713),$P713,N($AJ713)))</f>
        <v/>
      </c>
      <c r="AM713" s="56">
        <f>IF(AND($A713&lt;&gt;"",$E713&lt;&gt;"",OR(AND(ISNUMBER($G713),ISNUMBER($H713),ISNUMBER($K713)),ISNUMBER($O713))),1,0)</f>
        <v>0</v>
      </c>
      <c r="AN713" s="57" t="str">
        <f>IF($A713="","",$A713-WEEKDAY($A713,3))</f>
        <v/>
      </c>
      <c r="AO713" s="56" t="str">
        <f>IF($A713="","",WEEKDAY($A713,2))</f>
        <v/>
      </c>
      <c r="AP713" s="55" t="str">
        <f>IF(OR($AM713=0,$C713=""),"",IFERROR(N(INDEX(Accounts!$E$7:$E$16,MATCH($C713,Accounts!$B$7:$B$16,0))),0)+SUMIFS($Q$6:$Q713,$C$6:$C713,$C713))</f>
        <v/>
      </c>
      <c r="AQ713" s="55" t="str">
        <f>IF(OR($AM713=0,$C713=""),"",SUMIFS($Q$6:$Q$1005,$C$6:$C$1005,$C713,$A$6:$A$1005,$A713))</f>
        <v/>
      </c>
      <c r="AR713" s="55" t="str">
        <f>IF(OR($AM713=0,$C713=""),"",IFERROR(N(INDEX(Accounts!$E$7:$E$16,MATCH($C713,Accounts!$B$7:$B$16,0))),0)+SUMIFS($Q$6:$Q$1005,$C$6:$C$1005,$C713,$A$6:$A$1005,"&lt;="&amp;$A713))</f>
        <v/>
      </c>
      <c r="AS713" s="56">
        <f>IF(OR($AM713=0,$Q713=""),0,IF(AND($A713&gt;=Lists!$W$6,$A713&lt;=Lists!$W$7,OR(Dashboard!$D$6="All accounts",$C713=Dashboard!$D$6),OR(Dashboard!$D$7="All markets",$AF713=Dashboard!$D$7)),1,0))</f>
        <v>0</v>
      </c>
      <c r="AT713" s="55">
        <f>IF($AS713=1,N(AT712)+$Q713,N(AT712))</f>
        <v>1187.10688</v>
      </c>
      <c r="AU713" s="55">
        <f>MAX(N(AU712),$AT713)</f>
        <v>1187.10688</v>
      </c>
      <c r="AV713" s="55">
        <f>$AT713-$AU713</f>
        <v>0</v>
      </c>
      <c r="AW713" s="56">
        <f>IF($AS713=1,IF($S713="Win",N(AW712)+1,IF($S713="Loss",0,N(AW712))),N(AW712))</f>
        <v>5</v>
      </c>
      <c r="AX713" s="56">
        <f>IF($AS713=1,IF($S713="Loss",N(AX712)+1,IF($S713="Win",0,N(AX712))),N(AX712))</f>
        <v>0</v>
      </c>
      <c r="AY713" s="56" t="str">
        <f>IF($AS713=1,COUNTIF($AS$6:$AS713,1),"")</f>
        <v/>
      </c>
      <c r="AZ713" s="56">
        <f>MIN(707,N(Lists!$W$8))</f>
        <v>28</v>
      </c>
      <c r="BA713" s="56">
        <f>IF($AS713=1,IF(COUNTIFS($A$6:$A713,$A713,$AS$6:$AS713,1)=1,1,0),0)</f>
        <v>0</v>
      </c>
      <c r="BB713" s="55" t="str">
        <f>IF($BA713=1,SUMIFS($Q$6:$Q$1005,$A$6:$A$1005,$A713,$AS$6:$AS$1005,1),"")</f>
        <v/>
      </c>
      <c r="BC713" s="56">
        <f>IF(ISNUMBER($R713),1,0)</f>
        <v>0</v>
      </c>
      <c r="BD713" s="55" t="str">
        <f>IF(ISNUMBER($U713),$U713*$V713,"")</f>
        <v/>
      </c>
      <c r="BE713" s="56" t="str">
        <f>IF($AM713=0,"",IFERROR(MATCH($AF713&amp;"|"&amp;UPPER(TRIM($E713)),Lists!$A$6:$A$205,0),0))</f>
        <v/>
      </c>
      <c r="BF713" s="56" t="str">
        <f>IF($AM713=0,"",IFERROR(MATCH($AF713,Settings!$B$14:$B$18,0),IFERROR(MATCH(Settings!$C$6,Settings!$B$14:$B$18,0),1)))</f>
        <v/>
      </c>
      <c r="BG713" s="58" t="str">
        <f>IF($AM713=0,"",IF(NOT(ISNUMBER($I713)),"No stop; ","")&amp;IF(AND(ISNUMBER($H713),ISNUMBER($I713)),IF(OR(AND($F713&lt;&gt;"Short",$I713&gt;=$H713),AND($F713="Short",$I713&lt;=$H713)),"Stop on wrong side; ",""),"")&amp;IF($F713="","No direction; ","")&amp;IF(AND(ISNUMBER(Settings!$C$22),ISNUMBER($V713)),IF($V713&gt;Settings!$C$22,"Risk over max $; ",""),"")&amp;IF(AND(ISNUMBER(Settings!$C$23),ISNUMBER($V713),ISNUMBER($AP713),IFERROR(N(INDEX(Accounts!$E$7:$E$16,MATCH($C713,Accounts!$B$7:$B$16,0))),0)&gt;0),IF($V713&gt;Settings!$C$23*($AP713-N($Q713)),"Risk over max %; ",""),"")&amp;IF(AND(ISNUMBER(Settings!$C$24),ISNUMBER($N713)),IF($N713&gt;Settings!$C$24,"Leverage over max; ",""),"")&amp;IF(AND(ISNUMBER(Settings!$C$27),ISNUMBER($T713)),IF($T713&lt;Settings!$C$27,"R:R below min; ",""),"")&amp;IF(ISNUMBER(Settings!$C$25),IF(COUNTIFS($A$6:$A713,$A713,$AM$6:$AM713,1)&gt;Settings!$C$25,"Over max trades/day; ",""),"")&amp;IF(ISNUMBER(Settings!$C$26),IF(SUMIFS($Q$5:$Q712,$A$5:$A712,$A713)&lt;=-Settings!$C$26,"Traded after daily max loss; ",""),"")&amp;IF(AND($AG713="",NOT(ISNUMBER($O713))),"Symbol not in Instruments; ","")&amp;IF(AND($AH713="",NOT(ISNUMBER($O713))),"Forex cross: type Gross P&amp;L; ",""))</f>
        <v/>
      </c>
      <c r="BH713" s="56">
        <f>IF(ISNUMBER($Q713),1,0)</f>
        <v>0</v>
      </c>
      <c r="BI713" s="56">
        <f>IF($Y713="",0,1)</f>
        <v>0</v>
      </c>
      <c r="BJ713" s="56">
        <f>IF($AB713="",0,1)</f>
        <v>0</v>
      </c>
      <c r="BK713" s="56">
        <f>IF(AND($BH713=1,$W713&lt;&gt;"OK"),1,0)</f>
        <v>0</v>
      </c>
      <c r="BL713" s="55">
        <f>IF(N($AZ713)=0,0,IFERROR(INDEX($AT$6:$AT$1005,MATCH($AZ713,$AY$6:$AY$1005,0)),0))</f>
        <v>1187.10688</v>
      </c>
      <c r="BM713" s="56">
        <f>IF(ISNUMBER(SEARCH("daily max loss",$BG713)),1,0)</f>
        <v>0</v>
      </c>
    </row>
    <row r="714" ht="18" customHeight="1">
      <c r="A714" s="38" t="n"/>
      <c r="B714" s="39" t="n"/>
      <c r="C714" s="40" t="n"/>
      <c r="D714" s="41" t="n"/>
      <c r="E714" s="41" t="n"/>
      <c r="F714" s="41" t="n"/>
      <c r="G714" s="41" t="n"/>
      <c r="H714" s="42" t="n"/>
      <c r="I714" s="42" t="n"/>
      <c r="J714" s="42" t="n"/>
      <c r="K714" s="42" t="n"/>
      <c r="L714" s="41" t="n"/>
      <c r="M714" s="41" t="n"/>
      <c r="N714" s="41" t="n"/>
      <c r="O714" s="43" t="n"/>
      <c r="P714" s="43" t="n"/>
      <c r="Q714" s="44" t="str">
        <f>IF($AM714=0,"",IF(ISNUMBER($AK714),$AK714-N($AL714),""))</f>
        <v/>
      </c>
      <c r="R714" s="45" t="str">
        <f>IF(OR($Q714="",NOT(ISNUMBER($V714))),"",$AK714/$V714)</f>
        <v/>
      </c>
      <c r="S714" s="46" t="str">
        <f>IF($Q714="","",IF(AND(ISNUMBER($R714),ABS(N($R714))&lt;N(Settings!$C$8)),"Scratch",IF($Q714&gt;0,"Win",IF($Q714&lt;0,"Loss","Scratch"))))</f>
        <v/>
      </c>
      <c r="T714" s="47" t="str">
        <f>IF(OR($AM714=0,NOT(ISNUMBER($H714)),NOT(ISNUMBER($I714)),NOT(ISNUMBER($J714))),"",IF($H714=$I714,"",ROUND(ABS($J714-$H714)/ABS($H714-$I714),6)))</f>
        <v/>
      </c>
      <c r="U714" s="48" t="str">
        <f>IF(OR($S714&lt;&gt;"Win",NOT(ISNUMBER($T714)),NOT(ISNUMBER($R714))),"",MAX(0,$T714-$R714))</f>
        <v/>
      </c>
      <c r="V714" s="49" t="str">
        <f>IF(OR($AM714=0,NOT(ISNUMBER($H714)),NOT(ISNUMBER($I714)),NOT(ISNUMBER($G714))),"",IF(OR($AG714="",$AH714=""),"",IF(ROUND(ABS($H714-$I714)*ABS($G714)*$AG714*$AH714,6)=0,"",ROUND(ABS($H714-$I714)*ABS($G714)*$AG714*$AH714,6))))</f>
        <v/>
      </c>
      <c r="W714" s="50" t="str">
        <f>IF($AM714=0,"",IF($BG714="","OK",LEFT($BG714,LEN($BG714)-2)))</f>
        <v/>
      </c>
      <c r="X714" s="41" t="n"/>
      <c r="Y714" s="40" t="n"/>
      <c r="Z714" s="41" t="n"/>
      <c r="AA714" s="41" t="n"/>
      <c r="AB714" s="40" t="n"/>
      <c r="AC714" s="51" t="n"/>
      <c r="AD714" s="51" t="n"/>
      <c r="AE714" s="40" t="n"/>
      <c r="AF714" s="52" t="str">
        <f>IF($AM714=0,"",IF($D714&lt;&gt;"",$D714,IF(IFERROR(INDEX(Accounts!$C$7:$C$16,MATCH($C714,Accounts!$B$7:$B$16,0))&amp;"","")&lt;&gt;"",INDEX(Accounts!$C$7:$C$16,MATCH($C714,Accounts!$B$7:$B$16,0)),Settings!$C$6)))</f>
        <v/>
      </c>
      <c r="AG714" s="53" t="str">
        <f>IF($AM714=0,"",IF(AND($BE714&gt;0,N(INDEX(Instruments!$D$6:$D$205,MAX(1,$BE714)))&gt;0),INDEX(Instruments!$D$6:$D$205,MAX(1,$BE714)),IF(N(INDEX(Settings!$D$14:$D$18,$BF714))&gt;0,INDEX(Settings!$D$14:$D$18,$BF714),"")))</f>
        <v/>
      </c>
      <c r="AH714" s="54" t="str">
        <f>IF($AM714=0,"",IF($AF714&lt;&gt;"Forex",1,IF(MID(UPPER(SUBSTITUTE(TRIM($E714),"/","")),4,3)=UPPER(TRIM(Settings!$C$7)),1,IF(LEFT(UPPER(SUBSTITUTE(TRIM($E714),"/","")),3)=UPPER(TRIM(Settings!$C$7)),IF(AND(ISNUMBER($K714),N($K714)&lt;&gt;0),1/$K714,""),""))))</f>
        <v/>
      </c>
      <c r="AI714" s="55" t="str">
        <f>IF($AM714=0,"",IF(OR(NOT(ISNUMBER($H714)),NOT(ISNUMBER($K714)),NOT(ISNUMBER($G714)),$AG714="",$AH714=""),"",ROUND(($K714-$H714)*IF($F714="Short",-1,1)*$G714*$AG714*$AH714,6)))</f>
        <v/>
      </c>
      <c r="AJ714" s="55" t="str">
        <f>IF($AM714=0,"",IF(INDEX(Settings!$E$14:$E$18,$BF714)="% of notional",IF(OR($AG714="",NOT(ISNUMBER($H714)),NOT(ISNUMBER($G714))),"",ROUND(ABS($H714*$G714*$AG714*N($AH714))*IF($L714="Limit",N(INDEX(Settings!$G$14:$G$18,$BF714)),N(INDEX(Settings!$H$14:$H$18,$BF714)))+IF(ISNUMBER($K714),ABS($K714*$G714*$AG714*N($AH714))*IF($M714="Target",N(INDEX(Settings!$G$14:$G$18,$BF714)),N(INDEX(Settings!$H$14:$H$18,$BF714))),0),6)),IF(NOT(ISNUMBER($G714)),"",ROUND(ABS($G714)*2*IF(AND($BE714&gt;0,ISNUMBER(INDEX(Instruments!$G$6:$G$205,MAX(1,$BE714)))),INDEX(Instruments!$G$6:$G$205,MAX(1,$BE714)),N(INDEX(Settings!$F$14:$F$18,$BF714))),6))))</f>
        <v/>
      </c>
      <c r="AK714" s="55" t="str">
        <f>IF($AM714=0,"",IF(ISNUMBER($O714),$O714,$AI714))</f>
        <v/>
      </c>
      <c r="AL714" s="55" t="str">
        <f>IF($AM714=0,"",IF(ISNUMBER($P714),$P714,N($AJ714)))</f>
        <v/>
      </c>
      <c r="AM714" s="56">
        <f>IF(AND($A714&lt;&gt;"",$E714&lt;&gt;"",OR(AND(ISNUMBER($G714),ISNUMBER($H714),ISNUMBER($K714)),ISNUMBER($O714))),1,0)</f>
        <v>0</v>
      </c>
      <c r="AN714" s="57" t="str">
        <f>IF($A714="","",$A714-WEEKDAY($A714,3))</f>
        <v/>
      </c>
      <c r="AO714" s="56" t="str">
        <f>IF($A714="","",WEEKDAY($A714,2))</f>
        <v/>
      </c>
      <c r="AP714" s="55" t="str">
        <f>IF(OR($AM714=0,$C714=""),"",IFERROR(N(INDEX(Accounts!$E$7:$E$16,MATCH($C714,Accounts!$B$7:$B$16,0))),0)+SUMIFS($Q$6:$Q714,$C$6:$C714,$C714))</f>
        <v/>
      </c>
      <c r="AQ714" s="55" t="str">
        <f>IF(OR($AM714=0,$C714=""),"",SUMIFS($Q$6:$Q$1005,$C$6:$C$1005,$C714,$A$6:$A$1005,$A714))</f>
        <v/>
      </c>
      <c r="AR714" s="55" t="str">
        <f>IF(OR($AM714=0,$C714=""),"",IFERROR(N(INDEX(Accounts!$E$7:$E$16,MATCH($C714,Accounts!$B$7:$B$16,0))),0)+SUMIFS($Q$6:$Q$1005,$C$6:$C$1005,$C714,$A$6:$A$1005,"&lt;="&amp;$A714))</f>
        <v/>
      </c>
      <c r="AS714" s="56">
        <f>IF(OR($AM714=0,$Q714=""),0,IF(AND($A714&gt;=Lists!$W$6,$A714&lt;=Lists!$W$7,OR(Dashboard!$D$6="All accounts",$C714=Dashboard!$D$6),OR(Dashboard!$D$7="All markets",$AF714=Dashboard!$D$7)),1,0))</f>
        <v>0</v>
      </c>
      <c r="AT714" s="55">
        <f>IF($AS714=1,N(AT713)+$Q714,N(AT713))</f>
        <v>1187.10688</v>
      </c>
      <c r="AU714" s="55">
        <f>MAX(N(AU713),$AT714)</f>
        <v>1187.10688</v>
      </c>
      <c r="AV714" s="55">
        <f>$AT714-$AU714</f>
        <v>0</v>
      </c>
      <c r="AW714" s="56">
        <f>IF($AS714=1,IF($S714="Win",N(AW713)+1,IF($S714="Loss",0,N(AW713))),N(AW713))</f>
        <v>5</v>
      </c>
      <c r="AX714" s="56">
        <f>IF($AS714=1,IF($S714="Loss",N(AX713)+1,IF($S714="Win",0,N(AX713))),N(AX713))</f>
        <v>0</v>
      </c>
      <c r="AY714" s="56" t="str">
        <f>IF($AS714=1,COUNTIF($AS$6:$AS714,1),"")</f>
        <v/>
      </c>
      <c r="AZ714" s="56">
        <f>MIN(708,N(Lists!$W$8))</f>
        <v>28</v>
      </c>
      <c r="BA714" s="56">
        <f>IF($AS714=1,IF(COUNTIFS($A$6:$A714,$A714,$AS$6:$AS714,1)=1,1,0),0)</f>
        <v>0</v>
      </c>
      <c r="BB714" s="55" t="str">
        <f>IF($BA714=1,SUMIFS($Q$6:$Q$1005,$A$6:$A$1005,$A714,$AS$6:$AS$1005,1),"")</f>
        <v/>
      </c>
      <c r="BC714" s="56">
        <f>IF(ISNUMBER($R714),1,0)</f>
        <v>0</v>
      </c>
      <c r="BD714" s="55" t="str">
        <f>IF(ISNUMBER($U714),$U714*$V714,"")</f>
        <v/>
      </c>
      <c r="BE714" s="56" t="str">
        <f>IF($AM714=0,"",IFERROR(MATCH($AF714&amp;"|"&amp;UPPER(TRIM($E714)),Lists!$A$6:$A$205,0),0))</f>
        <v/>
      </c>
      <c r="BF714" s="56" t="str">
        <f>IF($AM714=0,"",IFERROR(MATCH($AF714,Settings!$B$14:$B$18,0),IFERROR(MATCH(Settings!$C$6,Settings!$B$14:$B$18,0),1)))</f>
        <v/>
      </c>
      <c r="BG714" s="58" t="str">
        <f>IF($AM714=0,"",IF(NOT(ISNUMBER($I714)),"No stop; ","")&amp;IF(AND(ISNUMBER($H714),ISNUMBER($I714)),IF(OR(AND($F714&lt;&gt;"Short",$I714&gt;=$H714),AND($F714="Short",$I714&lt;=$H714)),"Stop on wrong side; ",""),"")&amp;IF($F714="","No direction; ","")&amp;IF(AND(ISNUMBER(Settings!$C$22),ISNUMBER($V714)),IF($V714&gt;Settings!$C$22,"Risk over max $; ",""),"")&amp;IF(AND(ISNUMBER(Settings!$C$23),ISNUMBER($V714),ISNUMBER($AP714),IFERROR(N(INDEX(Accounts!$E$7:$E$16,MATCH($C714,Accounts!$B$7:$B$16,0))),0)&gt;0),IF($V714&gt;Settings!$C$23*($AP714-N($Q714)),"Risk over max %; ",""),"")&amp;IF(AND(ISNUMBER(Settings!$C$24),ISNUMBER($N714)),IF($N714&gt;Settings!$C$24,"Leverage over max; ",""),"")&amp;IF(AND(ISNUMBER(Settings!$C$27),ISNUMBER($T714)),IF($T714&lt;Settings!$C$27,"R:R below min; ",""),"")&amp;IF(ISNUMBER(Settings!$C$25),IF(COUNTIFS($A$6:$A714,$A714,$AM$6:$AM714,1)&gt;Settings!$C$25,"Over max trades/day; ",""),"")&amp;IF(ISNUMBER(Settings!$C$26),IF(SUMIFS($Q$5:$Q713,$A$5:$A713,$A714)&lt;=-Settings!$C$26,"Traded after daily max loss; ",""),"")&amp;IF(AND($AG714="",NOT(ISNUMBER($O714))),"Symbol not in Instruments; ","")&amp;IF(AND($AH714="",NOT(ISNUMBER($O714))),"Forex cross: type Gross P&amp;L; ",""))</f>
        <v/>
      </c>
      <c r="BH714" s="56">
        <f>IF(ISNUMBER($Q714),1,0)</f>
        <v>0</v>
      </c>
      <c r="BI714" s="56">
        <f>IF($Y714="",0,1)</f>
        <v>0</v>
      </c>
      <c r="BJ714" s="56">
        <f>IF($AB714="",0,1)</f>
        <v>0</v>
      </c>
      <c r="BK714" s="56">
        <f>IF(AND($BH714=1,$W714&lt;&gt;"OK"),1,0)</f>
        <v>0</v>
      </c>
      <c r="BL714" s="55">
        <f>IF(N($AZ714)=0,0,IFERROR(INDEX($AT$6:$AT$1005,MATCH($AZ714,$AY$6:$AY$1005,0)),0))</f>
        <v>1187.10688</v>
      </c>
      <c r="BM714" s="56">
        <f>IF(ISNUMBER(SEARCH("daily max loss",$BG714)),1,0)</f>
        <v>0</v>
      </c>
    </row>
    <row r="715" ht="18" customHeight="1">
      <c r="A715" s="38" t="n"/>
      <c r="B715" s="39" t="n"/>
      <c r="C715" s="40" t="n"/>
      <c r="D715" s="41" t="n"/>
      <c r="E715" s="41" t="n"/>
      <c r="F715" s="41" t="n"/>
      <c r="G715" s="41" t="n"/>
      <c r="H715" s="42" t="n"/>
      <c r="I715" s="42" t="n"/>
      <c r="J715" s="42" t="n"/>
      <c r="K715" s="42" t="n"/>
      <c r="L715" s="41" t="n"/>
      <c r="M715" s="41" t="n"/>
      <c r="N715" s="41" t="n"/>
      <c r="O715" s="43" t="n"/>
      <c r="P715" s="43" t="n"/>
      <c r="Q715" s="44" t="str">
        <f>IF($AM715=0,"",IF(ISNUMBER($AK715),$AK715-N($AL715),""))</f>
        <v/>
      </c>
      <c r="R715" s="45" t="str">
        <f>IF(OR($Q715="",NOT(ISNUMBER($V715))),"",$AK715/$V715)</f>
        <v/>
      </c>
      <c r="S715" s="46" t="str">
        <f>IF($Q715="","",IF(AND(ISNUMBER($R715),ABS(N($R715))&lt;N(Settings!$C$8)),"Scratch",IF($Q715&gt;0,"Win",IF($Q715&lt;0,"Loss","Scratch"))))</f>
        <v/>
      </c>
      <c r="T715" s="47" t="str">
        <f>IF(OR($AM715=0,NOT(ISNUMBER($H715)),NOT(ISNUMBER($I715)),NOT(ISNUMBER($J715))),"",IF($H715=$I715,"",ROUND(ABS($J715-$H715)/ABS($H715-$I715),6)))</f>
        <v/>
      </c>
      <c r="U715" s="48" t="str">
        <f>IF(OR($S715&lt;&gt;"Win",NOT(ISNUMBER($T715)),NOT(ISNUMBER($R715))),"",MAX(0,$T715-$R715))</f>
        <v/>
      </c>
      <c r="V715" s="49" t="str">
        <f>IF(OR($AM715=0,NOT(ISNUMBER($H715)),NOT(ISNUMBER($I715)),NOT(ISNUMBER($G715))),"",IF(OR($AG715="",$AH715=""),"",IF(ROUND(ABS($H715-$I715)*ABS($G715)*$AG715*$AH715,6)=0,"",ROUND(ABS($H715-$I715)*ABS($G715)*$AG715*$AH715,6))))</f>
        <v/>
      </c>
      <c r="W715" s="50" t="str">
        <f>IF($AM715=0,"",IF($BG715="","OK",LEFT($BG715,LEN($BG715)-2)))</f>
        <v/>
      </c>
      <c r="X715" s="41" t="n"/>
      <c r="Y715" s="40" t="n"/>
      <c r="Z715" s="41" t="n"/>
      <c r="AA715" s="41" t="n"/>
      <c r="AB715" s="40" t="n"/>
      <c r="AC715" s="51" t="n"/>
      <c r="AD715" s="51" t="n"/>
      <c r="AE715" s="40" t="n"/>
      <c r="AF715" s="52" t="str">
        <f>IF($AM715=0,"",IF($D715&lt;&gt;"",$D715,IF(IFERROR(INDEX(Accounts!$C$7:$C$16,MATCH($C715,Accounts!$B$7:$B$16,0))&amp;"","")&lt;&gt;"",INDEX(Accounts!$C$7:$C$16,MATCH($C715,Accounts!$B$7:$B$16,0)),Settings!$C$6)))</f>
        <v/>
      </c>
      <c r="AG715" s="53" t="str">
        <f>IF($AM715=0,"",IF(AND($BE715&gt;0,N(INDEX(Instruments!$D$6:$D$205,MAX(1,$BE715)))&gt;0),INDEX(Instruments!$D$6:$D$205,MAX(1,$BE715)),IF(N(INDEX(Settings!$D$14:$D$18,$BF715))&gt;0,INDEX(Settings!$D$14:$D$18,$BF715),"")))</f>
        <v/>
      </c>
      <c r="AH715" s="54" t="str">
        <f>IF($AM715=0,"",IF($AF715&lt;&gt;"Forex",1,IF(MID(UPPER(SUBSTITUTE(TRIM($E715),"/","")),4,3)=UPPER(TRIM(Settings!$C$7)),1,IF(LEFT(UPPER(SUBSTITUTE(TRIM($E715),"/","")),3)=UPPER(TRIM(Settings!$C$7)),IF(AND(ISNUMBER($K715),N($K715)&lt;&gt;0),1/$K715,""),""))))</f>
        <v/>
      </c>
      <c r="AI715" s="55" t="str">
        <f>IF($AM715=0,"",IF(OR(NOT(ISNUMBER($H715)),NOT(ISNUMBER($K715)),NOT(ISNUMBER($G715)),$AG715="",$AH715=""),"",ROUND(($K715-$H715)*IF($F715="Short",-1,1)*$G715*$AG715*$AH715,6)))</f>
        <v/>
      </c>
      <c r="AJ715" s="55" t="str">
        <f>IF($AM715=0,"",IF(INDEX(Settings!$E$14:$E$18,$BF715)="% of notional",IF(OR($AG715="",NOT(ISNUMBER($H715)),NOT(ISNUMBER($G715))),"",ROUND(ABS($H715*$G715*$AG715*N($AH715))*IF($L715="Limit",N(INDEX(Settings!$G$14:$G$18,$BF715)),N(INDEX(Settings!$H$14:$H$18,$BF715)))+IF(ISNUMBER($K715),ABS($K715*$G715*$AG715*N($AH715))*IF($M715="Target",N(INDEX(Settings!$G$14:$G$18,$BF715)),N(INDEX(Settings!$H$14:$H$18,$BF715))),0),6)),IF(NOT(ISNUMBER($G715)),"",ROUND(ABS($G715)*2*IF(AND($BE715&gt;0,ISNUMBER(INDEX(Instruments!$G$6:$G$205,MAX(1,$BE715)))),INDEX(Instruments!$G$6:$G$205,MAX(1,$BE715)),N(INDEX(Settings!$F$14:$F$18,$BF715))),6))))</f>
        <v/>
      </c>
      <c r="AK715" s="55" t="str">
        <f>IF($AM715=0,"",IF(ISNUMBER($O715),$O715,$AI715))</f>
        <v/>
      </c>
      <c r="AL715" s="55" t="str">
        <f>IF($AM715=0,"",IF(ISNUMBER($P715),$P715,N($AJ715)))</f>
        <v/>
      </c>
      <c r="AM715" s="56">
        <f>IF(AND($A715&lt;&gt;"",$E715&lt;&gt;"",OR(AND(ISNUMBER($G715),ISNUMBER($H715),ISNUMBER($K715)),ISNUMBER($O715))),1,0)</f>
        <v>0</v>
      </c>
      <c r="AN715" s="57" t="str">
        <f>IF($A715="","",$A715-WEEKDAY($A715,3))</f>
        <v/>
      </c>
      <c r="AO715" s="56" t="str">
        <f>IF($A715="","",WEEKDAY($A715,2))</f>
        <v/>
      </c>
      <c r="AP715" s="55" t="str">
        <f>IF(OR($AM715=0,$C715=""),"",IFERROR(N(INDEX(Accounts!$E$7:$E$16,MATCH($C715,Accounts!$B$7:$B$16,0))),0)+SUMIFS($Q$6:$Q715,$C$6:$C715,$C715))</f>
        <v/>
      </c>
      <c r="AQ715" s="55" t="str">
        <f>IF(OR($AM715=0,$C715=""),"",SUMIFS($Q$6:$Q$1005,$C$6:$C$1005,$C715,$A$6:$A$1005,$A715))</f>
        <v/>
      </c>
      <c r="AR715" s="55" t="str">
        <f>IF(OR($AM715=0,$C715=""),"",IFERROR(N(INDEX(Accounts!$E$7:$E$16,MATCH($C715,Accounts!$B$7:$B$16,0))),0)+SUMIFS($Q$6:$Q$1005,$C$6:$C$1005,$C715,$A$6:$A$1005,"&lt;="&amp;$A715))</f>
        <v/>
      </c>
      <c r="AS715" s="56">
        <f>IF(OR($AM715=0,$Q715=""),0,IF(AND($A715&gt;=Lists!$W$6,$A715&lt;=Lists!$W$7,OR(Dashboard!$D$6="All accounts",$C715=Dashboard!$D$6),OR(Dashboard!$D$7="All markets",$AF715=Dashboard!$D$7)),1,0))</f>
        <v>0</v>
      </c>
      <c r="AT715" s="55">
        <f>IF($AS715=1,N(AT714)+$Q715,N(AT714))</f>
        <v>1187.10688</v>
      </c>
      <c r="AU715" s="55">
        <f>MAX(N(AU714),$AT715)</f>
        <v>1187.10688</v>
      </c>
      <c r="AV715" s="55">
        <f>$AT715-$AU715</f>
        <v>0</v>
      </c>
      <c r="AW715" s="56">
        <f>IF($AS715=1,IF($S715="Win",N(AW714)+1,IF($S715="Loss",0,N(AW714))),N(AW714))</f>
        <v>5</v>
      </c>
      <c r="AX715" s="56">
        <f>IF($AS715=1,IF($S715="Loss",N(AX714)+1,IF($S715="Win",0,N(AX714))),N(AX714))</f>
        <v>0</v>
      </c>
      <c r="AY715" s="56" t="str">
        <f>IF($AS715=1,COUNTIF($AS$6:$AS715,1),"")</f>
        <v/>
      </c>
      <c r="AZ715" s="56">
        <f>MIN(709,N(Lists!$W$8))</f>
        <v>28</v>
      </c>
      <c r="BA715" s="56">
        <f>IF($AS715=1,IF(COUNTIFS($A$6:$A715,$A715,$AS$6:$AS715,1)=1,1,0),0)</f>
        <v>0</v>
      </c>
      <c r="BB715" s="55" t="str">
        <f>IF($BA715=1,SUMIFS($Q$6:$Q$1005,$A$6:$A$1005,$A715,$AS$6:$AS$1005,1),"")</f>
        <v/>
      </c>
      <c r="BC715" s="56">
        <f>IF(ISNUMBER($R715),1,0)</f>
        <v>0</v>
      </c>
      <c r="BD715" s="55" t="str">
        <f>IF(ISNUMBER($U715),$U715*$V715,"")</f>
        <v/>
      </c>
      <c r="BE715" s="56" t="str">
        <f>IF($AM715=0,"",IFERROR(MATCH($AF715&amp;"|"&amp;UPPER(TRIM($E715)),Lists!$A$6:$A$205,0),0))</f>
        <v/>
      </c>
      <c r="BF715" s="56" t="str">
        <f>IF($AM715=0,"",IFERROR(MATCH($AF715,Settings!$B$14:$B$18,0),IFERROR(MATCH(Settings!$C$6,Settings!$B$14:$B$18,0),1)))</f>
        <v/>
      </c>
      <c r="BG715" s="58" t="str">
        <f>IF($AM715=0,"",IF(NOT(ISNUMBER($I715)),"No stop; ","")&amp;IF(AND(ISNUMBER($H715),ISNUMBER($I715)),IF(OR(AND($F715&lt;&gt;"Short",$I715&gt;=$H715),AND($F715="Short",$I715&lt;=$H715)),"Stop on wrong side; ",""),"")&amp;IF($F715="","No direction; ","")&amp;IF(AND(ISNUMBER(Settings!$C$22),ISNUMBER($V715)),IF($V715&gt;Settings!$C$22,"Risk over max $; ",""),"")&amp;IF(AND(ISNUMBER(Settings!$C$23),ISNUMBER($V715),ISNUMBER($AP715),IFERROR(N(INDEX(Accounts!$E$7:$E$16,MATCH($C715,Accounts!$B$7:$B$16,0))),0)&gt;0),IF($V715&gt;Settings!$C$23*($AP715-N($Q715)),"Risk over max %; ",""),"")&amp;IF(AND(ISNUMBER(Settings!$C$24),ISNUMBER($N715)),IF($N715&gt;Settings!$C$24,"Leverage over max; ",""),"")&amp;IF(AND(ISNUMBER(Settings!$C$27),ISNUMBER($T715)),IF($T715&lt;Settings!$C$27,"R:R below min; ",""),"")&amp;IF(ISNUMBER(Settings!$C$25),IF(COUNTIFS($A$6:$A715,$A715,$AM$6:$AM715,1)&gt;Settings!$C$25,"Over max trades/day; ",""),"")&amp;IF(ISNUMBER(Settings!$C$26),IF(SUMIFS($Q$5:$Q714,$A$5:$A714,$A715)&lt;=-Settings!$C$26,"Traded after daily max loss; ",""),"")&amp;IF(AND($AG715="",NOT(ISNUMBER($O715))),"Symbol not in Instruments; ","")&amp;IF(AND($AH715="",NOT(ISNUMBER($O715))),"Forex cross: type Gross P&amp;L; ",""))</f>
        <v/>
      </c>
      <c r="BH715" s="56">
        <f>IF(ISNUMBER($Q715),1,0)</f>
        <v>0</v>
      </c>
      <c r="BI715" s="56">
        <f>IF($Y715="",0,1)</f>
        <v>0</v>
      </c>
      <c r="BJ715" s="56">
        <f>IF($AB715="",0,1)</f>
        <v>0</v>
      </c>
      <c r="BK715" s="56">
        <f>IF(AND($BH715=1,$W715&lt;&gt;"OK"),1,0)</f>
        <v>0</v>
      </c>
      <c r="BL715" s="55">
        <f>IF(N($AZ715)=0,0,IFERROR(INDEX($AT$6:$AT$1005,MATCH($AZ715,$AY$6:$AY$1005,0)),0))</f>
        <v>1187.10688</v>
      </c>
      <c r="BM715" s="56">
        <f>IF(ISNUMBER(SEARCH("daily max loss",$BG715)),1,0)</f>
        <v>0</v>
      </c>
    </row>
    <row r="716" ht="18" customHeight="1">
      <c r="A716" s="38" t="n"/>
      <c r="B716" s="39" t="n"/>
      <c r="C716" s="40" t="n"/>
      <c r="D716" s="41" t="n"/>
      <c r="E716" s="41" t="n"/>
      <c r="F716" s="41" t="n"/>
      <c r="G716" s="41" t="n"/>
      <c r="H716" s="42" t="n"/>
      <c r="I716" s="42" t="n"/>
      <c r="J716" s="42" t="n"/>
      <c r="K716" s="42" t="n"/>
      <c r="L716" s="41" t="n"/>
      <c r="M716" s="41" t="n"/>
      <c r="N716" s="41" t="n"/>
      <c r="O716" s="43" t="n"/>
      <c r="P716" s="43" t="n"/>
      <c r="Q716" s="44" t="str">
        <f>IF($AM716=0,"",IF(ISNUMBER($AK716),$AK716-N($AL716),""))</f>
        <v/>
      </c>
      <c r="R716" s="45" t="str">
        <f>IF(OR($Q716="",NOT(ISNUMBER($V716))),"",$AK716/$V716)</f>
        <v/>
      </c>
      <c r="S716" s="46" t="str">
        <f>IF($Q716="","",IF(AND(ISNUMBER($R716),ABS(N($R716))&lt;N(Settings!$C$8)),"Scratch",IF($Q716&gt;0,"Win",IF($Q716&lt;0,"Loss","Scratch"))))</f>
        <v/>
      </c>
      <c r="T716" s="47" t="str">
        <f>IF(OR($AM716=0,NOT(ISNUMBER($H716)),NOT(ISNUMBER($I716)),NOT(ISNUMBER($J716))),"",IF($H716=$I716,"",ROUND(ABS($J716-$H716)/ABS($H716-$I716),6)))</f>
        <v/>
      </c>
      <c r="U716" s="48" t="str">
        <f>IF(OR($S716&lt;&gt;"Win",NOT(ISNUMBER($T716)),NOT(ISNUMBER($R716))),"",MAX(0,$T716-$R716))</f>
        <v/>
      </c>
      <c r="V716" s="49" t="str">
        <f>IF(OR($AM716=0,NOT(ISNUMBER($H716)),NOT(ISNUMBER($I716)),NOT(ISNUMBER($G716))),"",IF(OR($AG716="",$AH716=""),"",IF(ROUND(ABS($H716-$I716)*ABS($G716)*$AG716*$AH716,6)=0,"",ROUND(ABS($H716-$I716)*ABS($G716)*$AG716*$AH716,6))))</f>
        <v/>
      </c>
      <c r="W716" s="50" t="str">
        <f>IF($AM716=0,"",IF($BG716="","OK",LEFT($BG716,LEN($BG716)-2)))</f>
        <v/>
      </c>
      <c r="X716" s="41" t="n"/>
      <c r="Y716" s="40" t="n"/>
      <c r="Z716" s="41" t="n"/>
      <c r="AA716" s="41" t="n"/>
      <c r="AB716" s="40" t="n"/>
      <c r="AC716" s="51" t="n"/>
      <c r="AD716" s="51" t="n"/>
      <c r="AE716" s="40" t="n"/>
      <c r="AF716" s="52" t="str">
        <f>IF($AM716=0,"",IF($D716&lt;&gt;"",$D716,IF(IFERROR(INDEX(Accounts!$C$7:$C$16,MATCH($C716,Accounts!$B$7:$B$16,0))&amp;"","")&lt;&gt;"",INDEX(Accounts!$C$7:$C$16,MATCH($C716,Accounts!$B$7:$B$16,0)),Settings!$C$6)))</f>
        <v/>
      </c>
      <c r="AG716" s="53" t="str">
        <f>IF($AM716=0,"",IF(AND($BE716&gt;0,N(INDEX(Instruments!$D$6:$D$205,MAX(1,$BE716)))&gt;0),INDEX(Instruments!$D$6:$D$205,MAX(1,$BE716)),IF(N(INDEX(Settings!$D$14:$D$18,$BF716))&gt;0,INDEX(Settings!$D$14:$D$18,$BF716),"")))</f>
        <v/>
      </c>
      <c r="AH716" s="54" t="str">
        <f>IF($AM716=0,"",IF($AF716&lt;&gt;"Forex",1,IF(MID(UPPER(SUBSTITUTE(TRIM($E716),"/","")),4,3)=UPPER(TRIM(Settings!$C$7)),1,IF(LEFT(UPPER(SUBSTITUTE(TRIM($E716),"/","")),3)=UPPER(TRIM(Settings!$C$7)),IF(AND(ISNUMBER($K716),N($K716)&lt;&gt;0),1/$K716,""),""))))</f>
        <v/>
      </c>
      <c r="AI716" s="55" t="str">
        <f>IF($AM716=0,"",IF(OR(NOT(ISNUMBER($H716)),NOT(ISNUMBER($K716)),NOT(ISNUMBER($G716)),$AG716="",$AH716=""),"",ROUND(($K716-$H716)*IF($F716="Short",-1,1)*$G716*$AG716*$AH716,6)))</f>
        <v/>
      </c>
      <c r="AJ716" s="55" t="str">
        <f>IF($AM716=0,"",IF(INDEX(Settings!$E$14:$E$18,$BF716)="% of notional",IF(OR($AG716="",NOT(ISNUMBER($H716)),NOT(ISNUMBER($G716))),"",ROUND(ABS($H716*$G716*$AG716*N($AH716))*IF($L716="Limit",N(INDEX(Settings!$G$14:$G$18,$BF716)),N(INDEX(Settings!$H$14:$H$18,$BF716)))+IF(ISNUMBER($K716),ABS($K716*$G716*$AG716*N($AH716))*IF($M716="Target",N(INDEX(Settings!$G$14:$G$18,$BF716)),N(INDEX(Settings!$H$14:$H$18,$BF716))),0),6)),IF(NOT(ISNUMBER($G716)),"",ROUND(ABS($G716)*2*IF(AND($BE716&gt;0,ISNUMBER(INDEX(Instruments!$G$6:$G$205,MAX(1,$BE716)))),INDEX(Instruments!$G$6:$G$205,MAX(1,$BE716)),N(INDEX(Settings!$F$14:$F$18,$BF716))),6))))</f>
        <v/>
      </c>
      <c r="AK716" s="55" t="str">
        <f>IF($AM716=0,"",IF(ISNUMBER($O716),$O716,$AI716))</f>
        <v/>
      </c>
      <c r="AL716" s="55" t="str">
        <f>IF($AM716=0,"",IF(ISNUMBER($P716),$P716,N($AJ716)))</f>
        <v/>
      </c>
      <c r="AM716" s="56">
        <f>IF(AND($A716&lt;&gt;"",$E716&lt;&gt;"",OR(AND(ISNUMBER($G716),ISNUMBER($H716),ISNUMBER($K716)),ISNUMBER($O716))),1,0)</f>
        <v>0</v>
      </c>
      <c r="AN716" s="57" t="str">
        <f>IF($A716="","",$A716-WEEKDAY($A716,3))</f>
        <v/>
      </c>
      <c r="AO716" s="56" t="str">
        <f>IF($A716="","",WEEKDAY($A716,2))</f>
        <v/>
      </c>
      <c r="AP716" s="55" t="str">
        <f>IF(OR($AM716=0,$C716=""),"",IFERROR(N(INDEX(Accounts!$E$7:$E$16,MATCH($C716,Accounts!$B$7:$B$16,0))),0)+SUMIFS($Q$6:$Q716,$C$6:$C716,$C716))</f>
        <v/>
      </c>
      <c r="AQ716" s="55" t="str">
        <f>IF(OR($AM716=0,$C716=""),"",SUMIFS($Q$6:$Q$1005,$C$6:$C$1005,$C716,$A$6:$A$1005,$A716))</f>
        <v/>
      </c>
      <c r="AR716" s="55" t="str">
        <f>IF(OR($AM716=0,$C716=""),"",IFERROR(N(INDEX(Accounts!$E$7:$E$16,MATCH($C716,Accounts!$B$7:$B$16,0))),0)+SUMIFS($Q$6:$Q$1005,$C$6:$C$1005,$C716,$A$6:$A$1005,"&lt;="&amp;$A716))</f>
        <v/>
      </c>
      <c r="AS716" s="56">
        <f>IF(OR($AM716=0,$Q716=""),0,IF(AND($A716&gt;=Lists!$W$6,$A716&lt;=Lists!$W$7,OR(Dashboard!$D$6="All accounts",$C716=Dashboard!$D$6),OR(Dashboard!$D$7="All markets",$AF716=Dashboard!$D$7)),1,0))</f>
        <v>0</v>
      </c>
      <c r="AT716" s="55">
        <f>IF($AS716=1,N(AT715)+$Q716,N(AT715))</f>
        <v>1187.10688</v>
      </c>
      <c r="AU716" s="55">
        <f>MAX(N(AU715),$AT716)</f>
        <v>1187.10688</v>
      </c>
      <c r="AV716" s="55">
        <f>$AT716-$AU716</f>
        <v>0</v>
      </c>
      <c r="AW716" s="56">
        <f>IF($AS716=1,IF($S716="Win",N(AW715)+1,IF($S716="Loss",0,N(AW715))),N(AW715))</f>
        <v>5</v>
      </c>
      <c r="AX716" s="56">
        <f>IF($AS716=1,IF($S716="Loss",N(AX715)+1,IF($S716="Win",0,N(AX715))),N(AX715))</f>
        <v>0</v>
      </c>
      <c r="AY716" s="56" t="str">
        <f>IF($AS716=1,COUNTIF($AS$6:$AS716,1),"")</f>
        <v/>
      </c>
      <c r="AZ716" s="56">
        <f>MIN(710,N(Lists!$W$8))</f>
        <v>28</v>
      </c>
      <c r="BA716" s="56">
        <f>IF($AS716=1,IF(COUNTIFS($A$6:$A716,$A716,$AS$6:$AS716,1)=1,1,0),0)</f>
        <v>0</v>
      </c>
      <c r="BB716" s="55" t="str">
        <f>IF($BA716=1,SUMIFS($Q$6:$Q$1005,$A$6:$A$1005,$A716,$AS$6:$AS$1005,1),"")</f>
        <v/>
      </c>
      <c r="BC716" s="56">
        <f>IF(ISNUMBER($R716),1,0)</f>
        <v>0</v>
      </c>
      <c r="BD716" s="55" t="str">
        <f>IF(ISNUMBER($U716),$U716*$V716,"")</f>
        <v/>
      </c>
      <c r="BE716" s="56" t="str">
        <f>IF($AM716=0,"",IFERROR(MATCH($AF716&amp;"|"&amp;UPPER(TRIM($E716)),Lists!$A$6:$A$205,0),0))</f>
        <v/>
      </c>
      <c r="BF716" s="56" t="str">
        <f>IF($AM716=0,"",IFERROR(MATCH($AF716,Settings!$B$14:$B$18,0),IFERROR(MATCH(Settings!$C$6,Settings!$B$14:$B$18,0),1)))</f>
        <v/>
      </c>
      <c r="BG716" s="58" t="str">
        <f>IF($AM716=0,"",IF(NOT(ISNUMBER($I716)),"No stop; ","")&amp;IF(AND(ISNUMBER($H716),ISNUMBER($I716)),IF(OR(AND($F716&lt;&gt;"Short",$I716&gt;=$H716),AND($F716="Short",$I716&lt;=$H716)),"Stop on wrong side; ",""),"")&amp;IF($F716="","No direction; ","")&amp;IF(AND(ISNUMBER(Settings!$C$22),ISNUMBER($V716)),IF($V716&gt;Settings!$C$22,"Risk over max $; ",""),"")&amp;IF(AND(ISNUMBER(Settings!$C$23),ISNUMBER($V716),ISNUMBER($AP716),IFERROR(N(INDEX(Accounts!$E$7:$E$16,MATCH($C716,Accounts!$B$7:$B$16,0))),0)&gt;0),IF($V716&gt;Settings!$C$23*($AP716-N($Q716)),"Risk over max %; ",""),"")&amp;IF(AND(ISNUMBER(Settings!$C$24),ISNUMBER($N716)),IF($N716&gt;Settings!$C$24,"Leverage over max; ",""),"")&amp;IF(AND(ISNUMBER(Settings!$C$27),ISNUMBER($T716)),IF($T716&lt;Settings!$C$27,"R:R below min; ",""),"")&amp;IF(ISNUMBER(Settings!$C$25),IF(COUNTIFS($A$6:$A716,$A716,$AM$6:$AM716,1)&gt;Settings!$C$25,"Over max trades/day; ",""),"")&amp;IF(ISNUMBER(Settings!$C$26),IF(SUMIFS($Q$5:$Q715,$A$5:$A715,$A716)&lt;=-Settings!$C$26,"Traded after daily max loss; ",""),"")&amp;IF(AND($AG716="",NOT(ISNUMBER($O716))),"Symbol not in Instruments; ","")&amp;IF(AND($AH716="",NOT(ISNUMBER($O716))),"Forex cross: type Gross P&amp;L; ",""))</f>
        <v/>
      </c>
      <c r="BH716" s="56">
        <f>IF(ISNUMBER($Q716),1,0)</f>
        <v>0</v>
      </c>
      <c r="BI716" s="56">
        <f>IF($Y716="",0,1)</f>
        <v>0</v>
      </c>
      <c r="BJ716" s="56">
        <f>IF($AB716="",0,1)</f>
        <v>0</v>
      </c>
      <c r="BK716" s="56">
        <f>IF(AND($BH716=1,$W716&lt;&gt;"OK"),1,0)</f>
        <v>0</v>
      </c>
      <c r="BL716" s="55">
        <f>IF(N($AZ716)=0,0,IFERROR(INDEX($AT$6:$AT$1005,MATCH($AZ716,$AY$6:$AY$1005,0)),0))</f>
        <v>1187.10688</v>
      </c>
      <c r="BM716" s="56">
        <f>IF(ISNUMBER(SEARCH("daily max loss",$BG716)),1,0)</f>
        <v>0</v>
      </c>
    </row>
    <row r="717" ht="18" customHeight="1">
      <c r="A717" s="38" t="n"/>
      <c r="B717" s="39" t="n"/>
      <c r="C717" s="40" t="n"/>
      <c r="D717" s="41" t="n"/>
      <c r="E717" s="41" t="n"/>
      <c r="F717" s="41" t="n"/>
      <c r="G717" s="41" t="n"/>
      <c r="H717" s="42" t="n"/>
      <c r="I717" s="42" t="n"/>
      <c r="J717" s="42" t="n"/>
      <c r="K717" s="42" t="n"/>
      <c r="L717" s="41" t="n"/>
      <c r="M717" s="41" t="n"/>
      <c r="N717" s="41" t="n"/>
      <c r="O717" s="43" t="n"/>
      <c r="P717" s="43" t="n"/>
      <c r="Q717" s="44" t="str">
        <f>IF($AM717=0,"",IF(ISNUMBER($AK717),$AK717-N($AL717),""))</f>
        <v/>
      </c>
      <c r="R717" s="45" t="str">
        <f>IF(OR($Q717="",NOT(ISNUMBER($V717))),"",$AK717/$V717)</f>
        <v/>
      </c>
      <c r="S717" s="46" t="str">
        <f>IF($Q717="","",IF(AND(ISNUMBER($R717),ABS(N($R717))&lt;N(Settings!$C$8)),"Scratch",IF($Q717&gt;0,"Win",IF($Q717&lt;0,"Loss","Scratch"))))</f>
        <v/>
      </c>
      <c r="T717" s="47" t="str">
        <f>IF(OR($AM717=0,NOT(ISNUMBER($H717)),NOT(ISNUMBER($I717)),NOT(ISNUMBER($J717))),"",IF($H717=$I717,"",ROUND(ABS($J717-$H717)/ABS($H717-$I717),6)))</f>
        <v/>
      </c>
      <c r="U717" s="48" t="str">
        <f>IF(OR($S717&lt;&gt;"Win",NOT(ISNUMBER($T717)),NOT(ISNUMBER($R717))),"",MAX(0,$T717-$R717))</f>
        <v/>
      </c>
      <c r="V717" s="49" t="str">
        <f>IF(OR($AM717=0,NOT(ISNUMBER($H717)),NOT(ISNUMBER($I717)),NOT(ISNUMBER($G717))),"",IF(OR($AG717="",$AH717=""),"",IF(ROUND(ABS($H717-$I717)*ABS($G717)*$AG717*$AH717,6)=0,"",ROUND(ABS($H717-$I717)*ABS($G717)*$AG717*$AH717,6))))</f>
        <v/>
      </c>
      <c r="W717" s="50" t="str">
        <f>IF($AM717=0,"",IF($BG717="","OK",LEFT($BG717,LEN($BG717)-2)))</f>
        <v/>
      </c>
      <c r="X717" s="41" t="n"/>
      <c r="Y717" s="40" t="n"/>
      <c r="Z717" s="41" t="n"/>
      <c r="AA717" s="41" t="n"/>
      <c r="AB717" s="40" t="n"/>
      <c r="AC717" s="51" t="n"/>
      <c r="AD717" s="51" t="n"/>
      <c r="AE717" s="40" t="n"/>
      <c r="AF717" s="52" t="str">
        <f>IF($AM717=0,"",IF($D717&lt;&gt;"",$D717,IF(IFERROR(INDEX(Accounts!$C$7:$C$16,MATCH($C717,Accounts!$B$7:$B$16,0))&amp;"","")&lt;&gt;"",INDEX(Accounts!$C$7:$C$16,MATCH($C717,Accounts!$B$7:$B$16,0)),Settings!$C$6)))</f>
        <v/>
      </c>
      <c r="AG717" s="53" t="str">
        <f>IF($AM717=0,"",IF(AND($BE717&gt;0,N(INDEX(Instruments!$D$6:$D$205,MAX(1,$BE717)))&gt;0),INDEX(Instruments!$D$6:$D$205,MAX(1,$BE717)),IF(N(INDEX(Settings!$D$14:$D$18,$BF717))&gt;0,INDEX(Settings!$D$14:$D$18,$BF717),"")))</f>
        <v/>
      </c>
      <c r="AH717" s="54" t="str">
        <f>IF($AM717=0,"",IF($AF717&lt;&gt;"Forex",1,IF(MID(UPPER(SUBSTITUTE(TRIM($E717),"/","")),4,3)=UPPER(TRIM(Settings!$C$7)),1,IF(LEFT(UPPER(SUBSTITUTE(TRIM($E717),"/","")),3)=UPPER(TRIM(Settings!$C$7)),IF(AND(ISNUMBER($K717),N($K717)&lt;&gt;0),1/$K717,""),""))))</f>
        <v/>
      </c>
      <c r="AI717" s="55" t="str">
        <f>IF($AM717=0,"",IF(OR(NOT(ISNUMBER($H717)),NOT(ISNUMBER($K717)),NOT(ISNUMBER($G717)),$AG717="",$AH717=""),"",ROUND(($K717-$H717)*IF($F717="Short",-1,1)*$G717*$AG717*$AH717,6)))</f>
        <v/>
      </c>
      <c r="AJ717" s="55" t="str">
        <f>IF($AM717=0,"",IF(INDEX(Settings!$E$14:$E$18,$BF717)="% of notional",IF(OR($AG717="",NOT(ISNUMBER($H717)),NOT(ISNUMBER($G717))),"",ROUND(ABS($H717*$G717*$AG717*N($AH717))*IF($L717="Limit",N(INDEX(Settings!$G$14:$G$18,$BF717)),N(INDEX(Settings!$H$14:$H$18,$BF717)))+IF(ISNUMBER($K717),ABS($K717*$G717*$AG717*N($AH717))*IF($M717="Target",N(INDEX(Settings!$G$14:$G$18,$BF717)),N(INDEX(Settings!$H$14:$H$18,$BF717))),0),6)),IF(NOT(ISNUMBER($G717)),"",ROUND(ABS($G717)*2*IF(AND($BE717&gt;0,ISNUMBER(INDEX(Instruments!$G$6:$G$205,MAX(1,$BE717)))),INDEX(Instruments!$G$6:$G$205,MAX(1,$BE717)),N(INDEX(Settings!$F$14:$F$18,$BF717))),6))))</f>
        <v/>
      </c>
      <c r="AK717" s="55" t="str">
        <f>IF($AM717=0,"",IF(ISNUMBER($O717),$O717,$AI717))</f>
        <v/>
      </c>
      <c r="AL717" s="55" t="str">
        <f>IF($AM717=0,"",IF(ISNUMBER($P717),$P717,N($AJ717)))</f>
        <v/>
      </c>
      <c r="AM717" s="56">
        <f>IF(AND($A717&lt;&gt;"",$E717&lt;&gt;"",OR(AND(ISNUMBER($G717),ISNUMBER($H717),ISNUMBER($K717)),ISNUMBER($O717))),1,0)</f>
        <v>0</v>
      </c>
      <c r="AN717" s="57" t="str">
        <f>IF($A717="","",$A717-WEEKDAY($A717,3))</f>
        <v/>
      </c>
      <c r="AO717" s="56" t="str">
        <f>IF($A717="","",WEEKDAY($A717,2))</f>
        <v/>
      </c>
      <c r="AP717" s="55" t="str">
        <f>IF(OR($AM717=0,$C717=""),"",IFERROR(N(INDEX(Accounts!$E$7:$E$16,MATCH($C717,Accounts!$B$7:$B$16,0))),0)+SUMIFS($Q$6:$Q717,$C$6:$C717,$C717))</f>
        <v/>
      </c>
      <c r="AQ717" s="55" t="str">
        <f>IF(OR($AM717=0,$C717=""),"",SUMIFS($Q$6:$Q$1005,$C$6:$C$1005,$C717,$A$6:$A$1005,$A717))</f>
        <v/>
      </c>
      <c r="AR717" s="55" t="str">
        <f>IF(OR($AM717=0,$C717=""),"",IFERROR(N(INDEX(Accounts!$E$7:$E$16,MATCH($C717,Accounts!$B$7:$B$16,0))),0)+SUMIFS($Q$6:$Q$1005,$C$6:$C$1005,$C717,$A$6:$A$1005,"&lt;="&amp;$A717))</f>
        <v/>
      </c>
      <c r="AS717" s="56">
        <f>IF(OR($AM717=0,$Q717=""),0,IF(AND($A717&gt;=Lists!$W$6,$A717&lt;=Lists!$W$7,OR(Dashboard!$D$6="All accounts",$C717=Dashboard!$D$6),OR(Dashboard!$D$7="All markets",$AF717=Dashboard!$D$7)),1,0))</f>
        <v>0</v>
      </c>
      <c r="AT717" s="55">
        <f>IF($AS717=1,N(AT716)+$Q717,N(AT716))</f>
        <v>1187.10688</v>
      </c>
      <c r="AU717" s="55">
        <f>MAX(N(AU716),$AT717)</f>
        <v>1187.10688</v>
      </c>
      <c r="AV717" s="55">
        <f>$AT717-$AU717</f>
        <v>0</v>
      </c>
      <c r="AW717" s="56">
        <f>IF($AS717=1,IF($S717="Win",N(AW716)+1,IF($S717="Loss",0,N(AW716))),N(AW716))</f>
        <v>5</v>
      </c>
      <c r="AX717" s="56">
        <f>IF($AS717=1,IF($S717="Loss",N(AX716)+1,IF($S717="Win",0,N(AX716))),N(AX716))</f>
        <v>0</v>
      </c>
      <c r="AY717" s="56" t="str">
        <f>IF($AS717=1,COUNTIF($AS$6:$AS717,1),"")</f>
        <v/>
      </c>
      <c r="AZ717" s="56">
        <f>MIN(711,N(Lists!$W$8))</f>
        <v>28</v>
      </c>
      <c r="BA717" s="56">
        <f>IF($AS717=1,IF(COUNTIFS($A$6:$A717,$A717,$AS$6:$AS717,1)=1,1,0),0)</f>
        <v>0</v>
      </c>
      <c r="BB717" s="55" t="str">
        <f>IF($BA717=1,SUMIFS($Q$6:$Q$1005,$A$6:$A$1005,$A717,$AS$6:$AS$1005,1),"")</f>
        <v/>
      </c>
      <c r="BC717" s="56">
        <f>IF(ISNUMBER($R717),1,0)</f>
        <v>0</v>
      </c>
      <c r="BD717" s="55" t="str">
        <f>IF(ISNUMBER($U717),$U717*$V717,"")</f>
        <v/>
      </c>
      <c r="BE717" s="56" t="str">
        <f>IF($AM717=0,"",IFERROR(MATCH($AF717&amp;"|"&amp;UPPER(TRIM($E717)),Lists!$A$6:$A$205,0),0))</f>
        <v/>
      </c>
      <c r="BF717" s="56" t="str">
        <f>IF($AM717=0,"",IFERROR(MATCH($AF717,Settings!$B$14:$B$18,0),IFERROR(MATCH(Settings!$C$6,Settings!$B$14:$B$18,0),1)))</f>
        <v/>
      </c>
      <c r="BG717" s="58" t="str">
        <f>IF($AM717=0,"",IF(NOT(ISNUMBER($I717)),"No stop; ","")&amp;IF(AND(ISNUMBER($H717),ISNUMBER($I717)),IF(OR(AND($F717&lt;&gt;"Short",$I717&gt;=$H717),AND($F717="Short",$I717&lt;=$H717)),"Stop on wrong side; ",""),"")&amp;IF($F717="","No direction; ","")&amp;IF(AND(ISNUMBER(Settings!$C$22),ISNUMBER($V717)),IF($V717&gt;Settings!$C$22,"Risk over max $; ",""),"")&amp;IF(AND(ISNUMBER(Settings!$C$23),ISNUMBER($V717),ISNUMBER($AP717),IFERROR(N(INDEX(Accounts!$E$7:$E$16,MATCH($C717,Accounts!$B$7:$B$16,0))),0)&gt;0),IF($V717&gt;Settings!$C$23*($AP717-N($Q717)),"Risk over max %; ",""),"")&amp;IF(AND(ISNUMBER(Settings!$C$24),ISNUMBER($N717)),IF($N717&gt;Settings!$C$24,"Leverage over max; ",""),"")&amp;IF(AND(ISNUMBER(Settings!$C$27),ISNUMBER($T717)),IF($T717&lt;Settings!$C$27,"R:R below min; ",""),"")&amp;IF(ISNUMBER(Settings!$C$25),IF(COUNTIFS($A$6:$A717,$A717,$AM$6:$AM717,1)&gt;Settings!$C$25,"Over max trades/day; ",""),"")&amp;IF(ISNUMBER(Settings!$C$26),IF(SUMIFS($Q$5:$Q716,$A$5:$A716,$A717)&lt;=-Settings!$C$26,"Traded after daily max loss; ",""),"")&amp;IF(AND($AG717="",NOT(ISNUMBER($O717))),"Symbol not in Instruments; ","")&amp;IF(AND($AH717="",NOT(ISNUMBER($O717))),"Forex cross: type Gross P&amp;L; ",""))</f>
        <v/>
      </c>
      <c r="BH717" s="56">
        <f>IF(ISNUMBER($Q717),1,0)</f>
        <v>0</v>
      </c>
      <c r="BI717" s="56">
        <f>IF($Y717="",0,1)</f>
        <v>0</v>
      </c>
      <c r="BJ717" s="56">
        <f>IF($AB717="",0,1)</f>
        <v>0</v>
      </c>
      <c r="BK717" s="56">
        <f>IF(AND($BH717=1,$W717&lt;&gt;"OK"),1,0)</f>
        <v>0</v>
      </c>
      <c r="BL717" s="55">
        <f>IF(N($AZ717)=0,0,IFERROR(INDEX($AT$6:$AT$1005,MATCH($AZ717,$AY$6:$AY$1005,0)),0))</f>
        <v>1187.10688</v>
      </c>
      <c r="BM717" s="56">
        <f>IF(ISNUMBER(SEARCH("daily max loss",$BG717)),1,0)</f>
        <v>0</v>
      </c>
    </row>
    <row r="718" ht="18" customHeight="1">
      <c r="A718" s="38" t="n"/>
      <c r="B718" s="39" t="n"/>
      <c r="C718" s="40" t="n"/>
      <c r="D718" s="41" t="n"/>
      <c r="E718" s="41" t="n"/>
      <c r="F718" s="41" t="n"/>
      <c r="G718" s="41" t="n"/>
      <c r="H718" s="42" t="n"/>
      <c r="I718" s="42" t="n"/>
      <c r="J718" s="42" t="n"/>
      <c r="K718" s="42" t="n"/>
      <c r="L718" s="41" t="n"/>
      <c r="M718" s="41" t="n"/>
      <c r="N718" s="41" t="n"/>
      <c r="O718" s="43" t="n"/>
      <c r="P718" s="43" t="n"/>
      <c r="Q718" s="44" t="str">
        <f>IF($AM718=0,"",IF(ISNUMBER($AK718),$AK718-N($AL718),""))</f>
        <v/>
      </c>
      <c r="R718" s="45" t="str">
        <f>IF(OR($Q718="",NOT(ISNUMBER($V718))),"",$AK718/$V718)</f>
        <v/>
      </c>
      <c r="S718" s="46" t="str">
        <f>IF($Q718="","",IF(AND(ISNUMBER($R718),ABS(N($R718))&lt;N(Settings!$C$8)),"Scratch",IF($Q718&gt;0,"Win",IF($Q718&lt;0,"Loss","Scratch"))))</f>
        <v/>
      </c>
      <c r="T718" s="47" t="str">
        <f>IF(OR($AM718=0,NOT(ISNUMBER($H718)),NOT(ISNUMBER($I718)),NOT(ISNUMBER($J718))),"",IF($H718=$I718,"",ROUND(ABS($J718-$H718)/ABS($H718-$I718),6)))</f>
        <v/>
      </c>
      <c r="U718" s="48" t="str">
        <f>IF(OR($S718&lt;&gt;"Win",NOT(ISNUMBER($T718)),NOT(ISNUMBER($R718))),"",MAX(0,$T718-$R718))</f>
        <v/>
      </c>
      <c r="V718" s="49" t="str">
        <f>IF(OR($AM718=0,NOT(ISNUMBER($H718)),NOT(ISNUMBER($I718)),NOT(ISNUMBER($G718))),"",IF(OR($AG718="",$AH718=""),"",IF(ROUND(ABS($H718-$I718)*ABS($G718)*$AG718*$AH718,6)=0,"",ROUND(ABS($H718-$I718)*ABS($G718)*$AG718*$AH718,6))))</f>
        <v/>
      </c>
      <c r="W718" s="50" t="str">
        <f>IF($AM718=0,"",IF($BG718="","OK",LEFT($BG718,LEN($BG718)-2)))</f>
        <v/>
      </c>
      <c r="X718" s="41" t="n"/>
      <c r="Y718" s="40" t="n"/>
      <c r="Z718" s="41" t="n"/>
      <c r="AA718" s="41" t="n"/>
      <c r="AB718" s="40" t="n"/>
      <c r="AC718" s="51" t="n"/>
      <c r="AD718" s="51" t="n"/>
      <c r="AE718" s="40" t="n"/>
      <c r="AF718" s="52" t="str">
        <f>IF($AM718=0,"",IF($D718&lt;&gt;"",$D718,IF(IFERROR(INDEX(Accounts!$C$7:$C$16,MATCH($C718,Accounts!$B$7:$B$16,0))&amp;"","")&lt;&gt;"",INDEX(Accounts!$C$7:$C$16,MATCH($C718,Accounts!$B$7:$B$16,0)),Settings!$C$6)))</f>
        <v/>
      </c>
      <c r="AG718" s="53" t="str">
        <f>IF($AM718=0,"",IF(AND($BE718&gt;0,N(INDEX(Instruments!$D$6:$D$205,MAX(1,$BE718)))&gt;0),INDEX(Instruments!$D$6:$D$205,MAX(1,$BE718)),IF(N(INDEX(Settings!$D$14:$D$18,$BF718))&gt;0,INDEX(Settings!$D$14:$D$18,$BF718),"")))</f>
        <v/>
      </c>
      <c r="AH718" s="54" t="str">
        <f>IF($AM718=0,"",IF($AF718&lt;&gt;"Forex",1,IF(MID(UPPER(SUBSTITUTE(TRIM($E718),"/","")),4,3)=UPPER(TRIM(Settings!$C$7)),1,IF(LEFT(UPPER(SUBSTITUTE(TRIM($E718),"/","")),3)=UPPER(TRIM(Settings!$C$7)),IF(AND(ISNUMBER($K718),N($K718)&lt;&gt;0),1/$K718,""),""))))</f>
        <v/>
      </c>
      <c r="AI718" s="55" t="str">
        <f>IF($AM718=0,"",IF(OR(NOT(ISNUMBER($H718)),NOT(ISNUMBER($K718)),NOT(ISNUMBER($G718)),$AG718="",$AH718=""),"",ROUND(($K718-$H718)*IF($F718="Short",-1,1)*$G718*$AG718*$AH718,6)))</f>
        <v/>
      </c>
      <c r="AJ718" s="55" t="str">
        <f>IF($AM718=0,"",IF(INDEX(Settings!$E$14:$E$18,$BF718)="% of notional",IF(OR($AG718="",NOT(ISNUMBER($H718)),NOT(ISNUMBER($G718))),"",ROUND(ABS($H718*$G718*$AG718*N($AH718))*IF($L718="Limit",N(INDEX(Settings!$G$14:$G$18,$BF718)),N(INDEX(Settings!$H$14:$H$18,$BF718)))+IF(ISNUMBER($K718),ABS($K718*$G718*$AG718*N($AH718))*IF($M718="Target",N(INDEX(Settings!$G$14:$G$18,$BF718)),N(INDEX(Settings!$H$14:$H$18,$BF718))),0),6)),IF(NOT(ISNUMBER($G718)),"",ROUND(ABS($G718)*2*IF(AND($BE718&gt;0,ISNUMBER(INDEX(Instruments!$G$6:$G$205,MAX(1,$BE718)))),INDEX(Instruments!$G$6:$G$205,MAX(1,$BE718)),N(INDEX(Settings!$F$14:$F$18,$BF718))),6))))</f>
        <v/>
      </c>
      <c r="AK718" s="55" t="str">
        <f>IF($AM718=0,"",IF(ISNUMBER($O718),$O718,$AI718))</f>
        <v/>
      </c>
      <c r="AL718" s="55" t="str">
        <f>IF($AM718=0,"",IF(ISNUMBER($P718),$P718,N($AJ718)))</f>
        <v/>
      </c>
      <c r="AM718" s="56">
        <f>IF(AND($A718&lt;&gt;"",$E718&lt;&gt;"",OR(AND(ISNUMBER($G718),ISNUMBER($H718),ISNUMBER($K718)),ISNUMBER($O718))),1,0)</f>
        <v>0</v>
      </c>
      <c r="AN718" s="57" t="str">
        <f>IF($A718="","",$A718-WEEKDAY($A718,3))</f>
        <v/>
      </c>
      <c r="AO718" s="56" t="str">
        <f>IF($A718="","",WEEKDAY($A718,2))</f>
        <v/>
      </c>
      <c r="AP718" s="55" t="str">
        <f>IF(OR($AM718=0,$C718=""),"",IFERROR(N(INDEX(Accounts!$E$7:$E$16,MATCH($C718,Accounts!$B$7:$B$16,0))),0)+SUMIFS($Q$6:$Q718,$C$6:$C718,$C718))</f>
        <v/>
      </c>
      <c r="AQ718" s="55" t="str">
        <f>IF(OR($AM718=0,$C718=""),"",SUMIFS($Q$6:$Q$1005,$C$6:$C$1005,$C718,$A$6:$A$1005,$A718))</f>
        <v/>
      </c>
      <c r="AR718" s="55" t="str">
        <f>IF(OR($AM718=0,$C718=""),"",IFERROR(N(INDEX(Accounts!$E$7:$E$16,MATCH($C718,Accounts!$B$7:$B$16,0))),0)+SUMIFS($Q$6:$Q$1005,$C$6:$C$1005,$C718,$A$6:$A$1005,"&lt;="&amp;$A718))</f>
        <v/>
      </c>
      <c r="AS718" s="56">
        <f>IF(OR($AM718=0,$Q718=""),0,IF(AND($A718&gt;=Lists!$W$6,$A718&lt;=Lists!$W$7,OR(Dashboard!$D$6="All accounts",$C718=Dashboard!$D$6),OR(Dashboard!$D$7="All markets",$AF718=Dashboard!$D$7)),1,0))</f>
        <v>0</v>
      </c>
      <c r="AT718" s="55">
        <f>IF($AS718=1,N(AT717)+$Q718,N(AT717))</f>
        <v>1187.10688</v>
      </c>
      <c r="AU718" s="55">
        <f>MAX(N(AU717),$AT718)</f>
        <v>1187.10688</v>
      </c>
      <c r="AV718" s="55">
        <f>$AT718-$AU718</f>
        <v>0</v>
      </c>
      <c r="AW718" s="56">
        <f>IF($AS718=1,IF($S718="Win",N(AW717)+1,IF($S718="Loss",0,N(AW717))),N(AW717))</f>
        <v>5</v>
      </c>
      <c r="AX718" s="56">
        <f>IF($AS718=1,IF($S718="Loss",N(AX717)+1,IF($S718="Win",0,N(AX717))),N(AX717))</f>
        <v>0</v>
      </c>
      <c r="AY718" s="56" t="str">
        <f>IF($AS718=1,COUNTIF($AS$6:$AS718,1),"")</f>
        <v/>
      </c>
      <c r="AZ718" s="56">
        <f>MIN(712,N(Lists!$W$8))</f>
        <v>28</v>
      </c>
      <c r="BA718" s="56">
        <f>IF($AS718=1,IF(COUNTIFS($A$6:$A718,$A718,$AS$6:$AS718,1)=1,1,0),0)</f>
        <v>0</v>
      </c>
      <c r="BB718" s="55" t="str">
        <f>IF($BA718=1,SUMIFS($Q$6:$Q$1005,$A$6:$A$1005,$A718,$AS$6:$AS$1005,1),"")</f>
        <v/>
      </c>
      <c r="BC718" s="56">
        <f>IF(ISNUMBER($R718),1,0)</f>
        <v>0</v>
      </c>
      <c r="BD718" s="55" t="str">
        <f>IF(ISNUMBER($U718),$U718*$V718,"")</f>
        <v/>
      </c>
      <c r="BE718" s="56" t="str">
        <f>IF($AM718=0,"",IFERROR(MATCH($AF718&amp;"|"&amp;UPPER(TRIM($E718)),Lists!$A$6:$A$205,0),0))</f>
        <v/>
      </c>
      <c r="BF718" s="56" t="str">
        <f>IF($AM718=0,"",IFERROR(MATCH($AF718,Settings!$B$14:$B$18,0),IFERROR(MATCH(Settings!$C$6,Settings!$B$14:$B$18,0),1)))</f>
        <v/>
      </c>
      <c r="BG718" s="58" t="str">
        <f>IF($AM718=0,"",IF(NOT(ISNUMBER($I718)),"No stop; ","")&amp;IF(AND(ISNUMBER($H718),ISNUMBER($I718)),IF(OR(AND($F718&lt;&gt;"Short",$I718&gt;=$H718),AND($F718="Short",$I718&lt;=$H718)),"Stop on wrong side; ",""),"")&amp;IF($F718="","No direction; ","")&amp;IF(AND(ISNUMBER(Settings!$C$22),ISNUMBER($V718)),IF($V718&gt;Settings!$C$22,"Risk over max $; ",""),"")&amp;IF(AND(ISNUMBER(Settings!$C$23),ISNUMBER($V718),ISNUMBER($AP718),IFERROR(N(INDEX(Accounts!$E$7:$E$16,MATCH($C718,Accounts!$B$7:$B$16,0))),0)&gt;0),IF($V718&gt;Settings!$C$23*($AP718-N($Q718)),"Risk over max %; ",""),"")&amp;IF(AND(ISNUMBER(Settings!$C$24),ISNUMBER($N718)),IF($N718&gt;Settings!$C$24,"Leverage over max; ",""),"")&amp;IF(AND(ISNUMBER(Settings!$C$27),ISNUMBER($T718)),IF($T718&lt;Settings!$C$27,"R:R below min; ",""),"")&amp;IF(ISNUMBER(Settings!$C$25),IF(COUNTIFS($A$6:$A718,$A718,$AM$6:$AM718,1)&gt;Settings!$C$25,"Over max trades/day; ",""),"")&amp;IF(ISNUMBER(Settings!$C$26),IF(SUMIFS($Q$5:$Q717,$A$5:$A717,$A718)&lt;=-Settings!$C$26,"Traded after daily max loss; ",""),"")&amp;IF(AND($AG718="",NOT(ISNUMBER($O718))),"Symbol not in Instruments; ","")&amp;IF(AND($AH718="",NOT(ISNUMBER($O718))),"Forex cross: type Gross P&amp;L; ",""))</f>
        <v/>
      </c>
      <c r="BH718" s="56">
        <f>IF(ISNUMBER($Q718),1,0)</f>
        <v>0</v>
      </c>
      <c r="BI718" s="56">
        <f>IF($Y718="",0,1)</f>
        <v>0</v>
      </c>
      <c r="BJ718" s="56">
        <f>IF($AB718="",0,1)</f>
        <v>0</v>
      </c>
      <c r="BK718" s="56">
        <f>IF(AND($BH718=1,$W718&lt;&gt;"OK"),1,0)</f>
        <v>0</v>
      </c>
      <c r="BL718" s="55">
        <f>IF(N($AZ718)=0,0,IFERROR(INDEX($AT$6:$AT$1005,MATCH($AZ718,$AY$6:$AY$1005,0)),0))</f>
        <v>1187.10688</v>
      </c>
      <c r="BM718" s="56">
        <f>IF(ISNUMBER(SEARCH("daily max loss",$BG718)),1,0)</f>
        <v>0</v>
      </c>
    </row>
    <row r="719" ht="18" customHeight="1">
      <c r="A719" s="38" t="n"/>
      <c r="B719" s="39" t="n"/>
      <c r="C719" s="40" t="n"/>
      <c r="D719" s="41" t="n"/>
      <c r="E719" s="41" t="n"/>
      <c r="F719" s="41" t="n"/>
      <c r="G719" s="41" t="n"/>
      <c r="H719" s="42" t="n"/>
      <c r="I719" s="42" t="n"/>
      <c r="J719" s="42" t="n"/>
      <c r="K719" s="42" t="n"/>
      <c r="L719" s="41" t="n"/>
      <c r="M719" s="41" t="n"/>
      <c r="N719" s="41" t="n"/>
      <c r="O719" s="43" t="n"/>
      <c r="P719" s="43" t="n"/>
      <c r="Q719" s="44" t="str">
        <f>IF($AM719=0,"",IF(ISNUMBER($AK719),$AK719-N($AL719),""))</f>
        <v/>
      </c>
      <c r="R719" s="45" t="str">
        <f>IF(OR($Q719="",NOT(ISNUMBER($V719))),"",$AK719/$V719)</f>
        <v/>
      </c>
      <c r="S719" s="46" t="str">
        <f>IF($Q719="","",IF(AND(ISNUMBER($R719),ABS(N($R719))&lt;N(Settings!$C$8)),"Scratch",IF($Q719&gt;0,"Win",IF($Q719&lt;0,"Loss","Scratch"))))</f>
        <v/>
      </c>
      <c r="T719" s="47" t="str">
        <f>IF(OR($AM719=0,NOT(ISNUMBER($H719)),NOT(ISNUMBER($I719)),NOT(ISNUMBER($J719))),"",IF($H719=$I719,"",ROUND(ABS($J719-$H719)/ABS($H719-$I719),6)))</f>
        <v/>
      </c>
      <c r="U719" s="48" t="str">
        <f>IF(OR($S719&lt;&gt;"Win",NOT(ISNUMBER($T719)),NOT(ISNUMBER($R719))),"",MAX(0,$T719-$R719))</f>
        <v/>
      </c>
      <c r="V719" s="49" t="str">
        <f>IF(OR($AM719=0,NOT(ISNUMBER($H719)),NOT(ISNUMBER($I719)),NOT(ISNUMBER($G719))),"",IF(OR($AG719="",$AH719=""),"",IF(ROUND(ABS($H719-$I719)*ABS($G719)*$AG719*$AH719,6)=0,"",ROUND(ABS($H719-$I719)*ABS($G719)*$AG719*$AH719,6))))</f>
        <v/>
      </c>
      <c r="W719" s="50" t="str">
        <f>IF($AM719=0,"",IF($BG719="","OK",LEFT($BG719,LEN($BG719)-2)))</f>
        <v/>
      </c>
      <c r="X719" s="41" t="n"/>
      <c r="Y719" s="40" t="n"/>
      <c r="Z719" s="41" t="n"/>
      <c r="AA719" s="41" t="n"/>
      <c r="AB719" s="40" t="n"/>
      <c r="AC719" s="51" t="n"/>
      <c r="AD719" s="51" t="n"/>
      <c r="AE719" s="40" t="n"/>
      <c r="AF719" s="52" t="str">
        <f>IF($AM719=0,"",IF($D719&lt;&gt;"",$D719,IF(IFERROR(INDEX(Accounts!$C$7:$C$16,MATCH($C719,Accounts!$B$7:$B$16,0))&amp;"","")&lt;&gt;"",INDEX(Accounts!$C$7:$C$16,MATCH($C719,Accounts!$B$7:$B$16,0)),Settings!$C$6)))</f>
        <v/>
      </c>
      <c r="AG719" s="53" t="str">
        <f>IF($AM719=0,"",IF(AND($BE719&gt;0,N(INDEX(Instruments!$D$6:$D$205,MAX(1,$BE719)))&gt;0),INDEX(Instruments!$D$6:$D$205,MAX(1,$BE719)),IF(N(INDEX(Settings!$D$14:$D$18,$BF719))&gt;0,INDEX(Settings!$D$14:$D$18,$BF719),"")))</f>
        <v/>
      </c>
      <c r="AH719" s="54" t="str">
        <f>IF($AM719=0,"",IF($AF719&lt;&gt;"Forex",1,IF(MID(UPPER(SUBSTITUTE(TRIM($E719),"/","")),4,3)=UPPER(TRIM(Settings!$C$7)),1,IF(LEFT(UPPER(SUBSTITUTE(TRIM($E719),"/","")),3)=UPPER(TRIM(Settings!$C$7)),IF(AND(ISNUMBER($K719),N($K719)&lt;&gt;0),1/$K719,""),""))))</f>
        <v/>
      </c>
      <c r="AI719" s="55" t="str">
        <f>IF($AM719=0,"",IF(OR(NOT(ISNUMBER($H719)),NOT(ISNUMBER($K719)),NOT(ISNUMBER($G719)),$AG719="",$AH719=""),"",ROUND(($K719-$H719)*IF($F719="Short",-1,1)*$G719*$AG719*$AH719,6)))</f>
        <v/>
      </c>
      <c r="AJ719" s="55" t="str">
        <f>IF($AM719=0,"",IF(INDEX(Settings!$E$14:$E$18,$BF719)="% of notional",IF(OR($AG719="",NOT(ISNUMBER($H719)),NOT(ISNUMBER($G719))),"",ROUND(ABS($H719*$G719*$AG719*N($AH719))*IF($L719="Limit",N(INDEX(Settings!$G$14:$G$18,$BF719)),N(INDEX(Settings!$H$14:$H$18,$BF719)))+IF(ISNUMBER($K719),ABS($K719*$G719*$AG719*N($AH719))*IF($M719="Target",N(INDEX(Settings!$G$14:$G$18,$BF719)),N(INDEX(Settings!$H$14:$H$18,$BF719))),0),6)),IF(NOT(ISNUMBER($G719)),"",ROUND(ABS($G719)*2*IF(AND($BE719&gt;0,ISNUMBER(INDEX(Instruments!$G$6:$G$205,MAX(1,$BE719)))),INDEX(Instruments!$G$6:$G$205,MAX(1,$BE719)),N(INDEX(Settings!$F$14:$F$18,$BF719))),6))))</f>
        <v/>
      </c>
      <c r="AK719" s="55" t="str">
        <f>IF($AM719=0,"",IF(ISNUMBER($O719),$O719,$AI719))</f>
        <v/>
      </c>
      <c r="AL719" s="55" t="str">
        <f>IF($AM719=0,"",IF(ISNUMBER($P719),$P719,N($AJ719)))</f>
        <v/>
      </c>
      <c r="AM719" s="56">
        <f>IF(AND($A719&lt;&gt;"",$E719&lt;&gt;"",OR(AND(ISNUMBER($G719),ISNUMBER($H719),ISNUMBER($K719)),ISNUMBER($O719))),1,0)</f>
        <v>0</v>
      </c>
      <c r="AN719" s="57" t="str">
        <f>IF($A719="","",$A719-WEEKDAY($A719,3))</f>
        <v/>
      </c>
      <c r="AO719" s="56" t="str">
        <f>IF($A719="","",WEEKDAY($A719,2))</f>
        <v/>
      </c>
      <c r="AP719" s="55" t="str">
        <f>IF(OR($AM719=0,$C719=""),"",IFERROR(N(INDEX(Accounts!$E$7:$E$16,MATCH($C719,Accounts!$B$7:$B$16,0))),0)+SUMIFS($Q$6:$Q719,$C$6:$C719,$C719))</f>
        <v/>
      </c>
      <c r="AQ719" s="55" t="str">
        <f>IF(OR($AM719=0,$C719=""),"",SUMIFS($Q$6:$Q$1005,$C$6:$C$1005,$C719,$A$6:$A$1005,$A719))</f>
        <v/>
      </c>
      <c r="AR719" s="55" t="str">
        <f>IF(OR($AM719=0,$C719=""),"",IFERROR(N(INDEX(Accounts!$E$7:$E$16,MATCH($C719,Accounts!$B$7:$B$16,0))),0)+SUMIFS($Q$6:$Q$1005,$C$6:$C$1005,$C719,$A$6:$A$1005,"&lt;="&amp;$A719))</f>
        <v/>
      </c>
      <c r="AS719" s="56">
        <f>IF(OR($AM719=0,$Q719=""),0,IF(AND($A719&gt;=Lists!$W$6,$A719&lt;=Lists!$W$7,OR(Dashboard!$D$6="All accounts",$C719=Dashboard!$D$6),OR(Dashboard!$D$7="All markets",$AF719=Dashboard!$D$7)),1,0))</f>
        <v>0</v>
      </c>
      <c r="AT719" s="55">
        <f>IF($AS719=1,N(AT718)+$Q719,N(AT718))</f>
        <v>1187.10688</v>
      </c>
      <c r="AU719" s="55">
        <f>MAX(N(AU718),$AT719)</f>
        <v>1187.10688</v>
      </c>
      <c r="AV719" s="55">
        <f>$AT719-$AU719</f>
        <v>0</v>
      </c>
      <c r="AW719" s="56">
        <f>IF($AS719=1,IF($S719="Win",N(AW718)+1,IF($S719="Loss",0,N(AW718))),N(AW718))</f>
        <v>5</v>
      </c>
      <c r="AX719" s="56">
        <f>IF($AS719=1,IF($S719="Loss",N(AX718)+1,IF($S719="Win",0,N(AX718))),N(AX718))</f>
        <v>0</v>
      </c>
      <c r="AY719" s="56" t="str">
        <f>IF($AS719=1,COUNTIF($AS$6:$AS719,1),"")</f>
        <v/>
      </c>
      <c r="AZ719" s="56">
        <f>MIN(713,N(Lists!$W$8))</f>
        <v>28</v>
      </c>
      <c r="BA719" s="56">
        <f>IF($AS719=1,IF(COUNTIFS($A$6:$A719,$A719,$AS$6:$AS719,1)=1,1,0),0)</f>
        <v>0</v>
      </c>
      <c r="BB719" s="55" t="str">
        <f>IF($BA719=1,SUMIFS($Q$6:$Q$1005,$A$6:$A$1005,$A719,$AS$6:$AS$1005,1),"")</f>
        <v/>
      </c>
      <c r="BC719" s="56">
        <f>IF(ISNUMBER($R719),1,0)</f>
        <v>0</v>
      </c>
      <c r="BD719" s="55" t="str">
        <f>IF(ISNUMBER($U719),$U719*$V719,"")</f>
        <v/>
      </c>
      <c r="BE719" s="56" t="str">
        <f>IF($AM719=0,"",IFERROR(MATCH($AF719&amp;"|"&amp;UPPER(TRIM($E719)),Lists!$A$6:$A$205,0),0))</f>
        <v/>
      </c>
      <c r="BF719" s="56" t="str">
        <f>IF($AM719=0,"",IFERROR(MATCH($AF719,Settings!$B$14:$B$18,0),IFERROR(MATCH(Settings!$C$6,Settings!$B$14:$B$18,0),1)))</f>
        <v/>
      </c>
      <c r="BG719" s="58" t="str">
        <f>IF($AM719=0,"",IF(NOT(ISNUMBER($I719)),"No stop; ","")&amp;IF(AND(ISNUMBER($H719),ISNUMBER($I719)),IF(OR(AND($F719&lt;&gt;"Short",$I719&gt;=$H719),AND($F719="Short",$I719&lt;=$H719)),"Stop on wrong side; ",""),"")&amp;IF($F719="","No direction; ","")&amp;IF(AND(ISNUMBER(Settings!$C$22),ISNUMBER($V719)),IF($V719&gt;Settings!$C$22,"Risk over max $; ",""),"")&amp;IF(AND(ISNUMBER(Settings!$C$23),ISNUMBER($V719),ISNUMBER($AP719),IFERROR(N(INDEX(Accounts!$E$7:$E$16,MATCH($C719,Accounts!$B$7:$B$16,0))),0)&gt;0),IF($V719&gt;Settings!$C$23*($AP719-N($Q719)),"Risk over max %; ",""),"")&amp;IF(AND(ISNUMBER(Settings!$C$24),ISNUMBER($N719)),IF($N719&gt;Settings!$C$24,"Leverage over max; ",""),"")&amp;IF(AND(ISNUMBER(Settings!$C$27),ISNUMBER($T719)),IF($T719&lt;Settings!$C$27,"R:R below min; ",""),"")&amp;IF(ISNUMBER(Settings!$C$25),IF(COUNTIFS($A$6:$A719,$A719,$AM$6:$AM719,1)&gt;Settings!$C$25,"Over max trades/day; ",""),"")&amp;IF(ISNUMBER(Settings!$C$26),IF(SUMIFS($Q$5:$Q718,$A$5:$A718,$A719)&lt;=-Settings!$C$26,"Traded after daily max loss; ",""),"")&amp;IF(AND($AG719="",NOT(ISNUMBER($O719))),"Symbol not in Instruments; ","")&amp;IF(AND($AH719="",NOT(ISNUMBER($O719))),"Forex cross: type Gross P&amp;L; ",""))</f>
        <v/>
      </c>
      <c r="BH719" s="56">
        <f>IF(ISNUMBER($Q719),1,0)</f>
        <v>0</v>
      </c>
      <c r="BI719" s="56">
        <f>IF($Y719="",0,1)</f>
        <v>0</v>
      </c>
      <c r="BJ719" s="56">
        <f>IF($AB719="",0,1)</f>
        <v>0</v>
      </c>
      <c r="BK719" s="56">
        <f>IF(AND($BH719=1,$W719&lt;&gt;"OK"),1,0)</f>
        <v>0</v>
      </c>
      <c r="BL719" s="55">
        <f>IF(N($AZ719)=0,0,IFERROR(INDEX($AT$6:$AT$1005,MATCH($AZ719,$AY$6:$AY$1005,0)),0))</f>
        <v>1187.10688</v>
      </c>
      <c r="BM719" s="56">
        <f>IF(ISNUMBER(SEARCH("daily max loss",$BG719)),1,0)</f>
        <v>0</v>
      </c>
    </row>
    <row r="720" ht="18" customHeight="1">
      <c r="A720" s="38" t="n"/>
      <c r="B720" s="39" t="n"/>
      <c r="C720" s="40" t="n"/>
      <c r="D720" s="41" t="n"/>
      <c r="E720" s="41" t="n"/>
      <c r="F720" s="41" t="n"/>
      <c r="G720" s="41" t="n"/>
      <c r="H720" s="42" t="n"/>
      <c r="I720" s="42" t="n"/>
      <c r="J720" s="42" t="n"/>
      <c r="K720" s="42" t="n"/>
      <c r="L720" s="41" t="n"/>
      <c r="M720" s="41" t="n"/>
      <c r="N720" s="41" t="n"/>
      <c r="O720" s="43" t="n"/>
      <c r="P720" s="43" t="n"/>
      <c r="Q720" s="44" t="str">
        <f>IF($AM720=0,"",IF(ISNUMBER($AK720),$AK720-N($AL720),""))</f>
        <v/>
      </c>
      <c r="R720" s="45" t="str">
        <f>IF(OR($Q720="",NOT(ISNUMBER($V720))),"",$AK720/$V720)</f>
        <v/>
      </c>
      <c r="S720" s="46" t="str">
        <f>IF($Q720="","",IF(AND(ISNUMBER($R720),ABS(N($R720))&lt;N(Settings!$C$8)),"Scratch",IF($Q720&gt;0,"Win",IF($Q720&lt;0,"Loss","Scratch"))))</f>
        <v/>
      </c>
      <c r="T720" s="47" t="str">
        <f>IF(OR($AM720=0,NOT(ISNUMBER($H720)),NOT(ISNUMBER($I720)),NOT(ISNUMBER($J720))),"",IF($H720=$I720,"",ROUND(ABS($J720-$H720)/ABS($H720-$I720),6)))</f>
        <v/>
      </c>
      <c r="U720" s="48" t="str">
        <f>IF(OR($S720&lt;&gt;"Win",NOT(ISNUMBER($T720)),NOT(ISNUMBER($R720))),"",MAX(0,$T720-$R720))</f>
        <v/>
      </c>
      <c r="V720" s="49" t="str">
        <f>IF(OR($AM720=0,NOT(ISNUMBER($H720)),NOT(ISNUMBER($I720)),NOT(ISNUMBER($G720))),"",IF(OR($AG720="",$AH720=""),"",IF(ROUND(ABS($H720-$I720)*ABS($G720)*$AG720*$AH720,6)=0,"",ROUND(ABS($H720-$I720)*ABS($G720)*$AG720*$AH720,6))))</f>
        <v/>
      </c>
      <c r="W720" s="50" t="str">
        <f>IF($AM720=0,"",IF($BG720="","OK",LEFT($BG720,LEN($BG720)-2)))</f>
        <v/>
      </c>
      <c r="X720" s="41" t="n"/>
      <c r="Y720" s="40" t="n"/>
      <c r="Z720" s="41" t="n"/>
      <c r="AA720" s="41" t="n"/>
      <c r="AB720" s="40" t="n"/>
      <c r="AC720" s="51" t="n"/>
      <c r="AD720" s="51" t="n"/>
      <c r="AE720" s="40" t="n"/>
      <c r="AF720" s="52" t="str">
        <f>IF($AM720=0,"",IF($D720&lt;&gt;"",$D720,IF(IFERROR(INDEX(Accounts!$C$7:$C$16,MATCH($C720,Accounts!$B$7:$B$16,0))&amp;"","")&lt;&gt;"",INDEX(Accounts!$C$7:$C$16,MATCH($C720,Accounts!$B$7:$B$16,0)),Settings!$C$6)))</f>
        <v/>
      </c>
      <c r="AG720" s="53" t="str">
        <f>IF($AM720=0,"",IF(AND($BE720&gt;0,N(INDEX(Instruments!$D$6:$D$205,MAX(1,$BE720)))&gt;0),INDEX(Instruments!$D$6:$D$205,MAX(1,$BE720)),IF(N(INDEX(Settings!$D$14:$D$18,$BF720))&gt;0,INDEX(Settings!$D$14:$D$18,$BF720),"")))</f>
        <v/>
      </c>
      <c r="AH720" s="54" t="str">
        <f>IF($AM720=0,"",IF($AF720&lt;&gt;"Forex",1,IF(MID(UPPER(SUBSTITUTE(TRIM($E720),"/","")),4,3)=UPPER(TRIM(Settings!$C$7)),1,IF(LEFT(UPPER(SUBSTITUTE(TRIM($E720),"/","")),3)=UPPER(TRIM(Settings!$C$7)),IF(AND(ISNUMBER($K720),N($K720)&lt;&gt;0),1/$K720,""),""))))</f>
        <v/>
      </c>
      <c r="AI720" s="55" t="str">
        <f>IF($AM720=0,"",IF(OR(NOT(ISNUMBER($H720)),NOT(ISNUMBER($K720)),NOT(ISNUMBER($G720)),$AG720="",$AH720=""),"",ROUND(($K720-$H720)*IF($F720="Short",-1,1)*$G720*$AG720*$AH720,6)))</f>
        <v/>
      </c>
      <c r="AJ720" s="55" t="str">
        <f>IF($AM720=0,"",IF(INDEX(Settings!$E$14:$E$18,$BF720)="% of notional",IF(OR($AG720="",NOT(ISNUMBER($H720)),NOT(ISNUMBER($G720))),"",ROUND(ABS($H720*$G720*$AG720*N($AH720))*IF($L720="Limit",N(INDEX(Settings!$G$14:$G$18,$BF720)),N(INDEX(Settings!$H$14:$H$18,$BF720)))+IF(ISNUMBER($K720),ABS($K720*$G720*$AG720*N($AH720))*IF($M720="Target",N(INDEX(Settings!$G$14:$G$18,$BF720)),N(INDEX(Settings!$H$14:$H$18,$BF720))),0),6)),IF(NOT(ISNUMBER($G720)),"",ROUND(ABS($G720)*2*IF(AND($BE720&gt;0,ISNUMBER(INDEX(Instruments!$G$6:$G$205,MAX(1,$BE720)))),INDEX(Instruments!$G$6:$G$205,MAX(1,$BE720)),N(INDEX(Settings!$F$14:$F$18,$BF720))),6))))</f>
        <v/>
      </c>
      <c r="AK720" s="55" t="str">
        <f>IF($AM720=0,"",IF(ISNUMBER($O720),$O720,$AI720))</f>
        <v/>
      </c>
      <c r="AL720" s="55" t="str">
        <f>IF($AM720=0,"",IF(ISNUMBER($P720),$P720,N($AJ720)))</f>
        <v/>
      </c>
      <c r="AM720" s="56">
        <f>IF(AND($A720&lt;&gt;"",$E720&lt;&gt;"",OR(AND(ISNUMBER($G720),ISNUMBER($H720),ISNUMBER($K720)),ISNUMBER($O720))),1,0)</f>
        <v>0</v>
      </c>
      <c r="AN720" s="57" t="str">
        <f>IF($A720="","",$A720-WEEKDAY($A720,3))</f>
        <v/>
      </c>
      <c r="AO720" s="56" t="str">
        <f>IF($A720="","",WEEKDAY($A720,2))</f>
        <v/>
      </c>
      <c r="AP720" s="55" t="str">
        <f>IF(OR($AM720=0,$C720=""),"",IFERROR(N(INDEX(Accounts!$E$7:$E$16,MATCH($C720,Accounts!$B$7:$B$16,0))),0)+SUMIFS($Q$6:$Q720,$C$6:$C720,$C720))</f>
        <v/>
      </c>
      <c r="AQ720" s="55" t="str">
        <f>IF(OR($AM720=0,$C720=""),"",SUMIFS($Q$6:$Q$1005,$C$6:$C$1005,$C720,$A$6:$A$1005,$A720))</f>
        <v/>
      </c>
      <c r="AR720" s="55" t="str">
        <f>IF(OR($AM720=0,$C720=""),"",IFERROR(N(INDEX(Accounts!$E$7:$E$16,MATCH($C720,Accounts!$B$7:$B$16,0))),0)+SUMIFS($Q$6:$Q$1005,$C$6:$C$1005,$C720,$A$6:$A$1005,"&lt;="&amp;$A720))</f>
        <v/>
      </c>
      <c r="AS720" s="56">
        <f>IF(OR($AM720=0,$Q720=""),0,IF(AND($A720&gt;=Lists!$W$6,$A720&lt;=Lists!$W$7,OR(Dashboard!$D$6="All accounts",$C720=Dashboard!$D$6),OR(Dashboard!$D$7="All markets",$AF720=Dashboard!$D$7)),1,0))</f>
        <v>0</v>
      </c>
      <c r="AT720" s="55">
        <f>IF($AS720=1,N(AT719)+$Q720,N(AT719))</f>
        <v>1187.10688</v>
      </c>
      <c r="AU720" s="55">
        <f>MAX(N(AU719),$AT720)</f>
        <v>1187.10688</v>
      </c>
      <c r="AV720" s="55">
        <f>$AT720-$AU720</f>
        <v>0</v>
      </c>
      <c r="AW720" s="56">
        <f>IF($AS720=1,IF($S720="Win",N(AW719)+1,IF($S720="Loss",0,N(AW719))),N(AW719))</f>
        <v>5</v>
      </c>
      <c r="AX720" s="56">
        <f>IF($AS720=1,IF($S720="Loss",N(AX719)+1,IF($S720="Win",0,N(AX719))),N(AX719))</f>
        <v>0</v>
      </c>
      <c r="AY720" s="56" t="str">
        <f>IF($AS720=1,COUNTIF($AS$6:$AS720,1),"")</f>
        <v/>
      </c>
      <c r="AZ720" s="56">
        <f>MIN(714,N(Lists!$W$8))</f>
        <v>28</v>
      </c>
      <c r="BA720" s="56">
        <f>IF($AS720=1,IF(COUNTIFS($A$6:$A720,$A720,$AS$6:$AS720,1)=1,1,0),0)</f>
        <v>0</v>
      </c>
      <c r="BB720" s="55" t="str">
        <f>IF($BA720=1,SUMIFS($Q$6:$Q$1005,$A$6:$A$1005,$A720,$AS$6:$AS$1005,1),"")</f>
        <v/>
      </c>
      <c r="BC720" s="56">
        <f>IF(ISNUMBER($R720),1,0)</f>
        <v>0</v>
      </c>
      <c r="BD720" s="55" t="str">
        <f>IF(ISNUMBER($U720),$U720*$V720,"")</f>
        <v/>
      </c>
      <c r="BE720" s="56" t="str">
        <f>IF($AM720=0,"",IFERROR(MATCH($AF720&amp;"|"&amp;UPPER(TRIM($E720)),Lists!$A$6:$A$205,0),0))</f>
        <v/>
      </c>
      <c r="BF720" s="56" t="str">
        <f>IF($AM720=0,"",IFERROR(MATCH($AF720,Settings!$B$14:$B$18,0),IFERROR(MATCH(Settings!$C$6,Settings!$B$14:$B$18,0),1)))</f>
        <v/>
      </c>
      <c r="BG720" s="58" t="str">
        <f>IF($AM720=0,"",IF(NOT(ISNUMBER($I720)),"No stop; ","")&amp;IF(AND(ISNUMBER($H720),ISNUMBER($I720)),IF(OR(AND($F720&lt;&gt;"Short",$I720&gt;=$H720),AND($F720="Short",$I720&lt;=$H720)),"Stop on wrong side; ",""),"")&amp;IF($F720="","No direction; ","")&amp;IF(AND(ISNUMBER(Settings!$C$22),ISNUMBER($V720)),IF($V720&gt;Settings!$C$22,"Risk over max $; ",""),"")&amp;IF(AND(ISNUMBER(Settings!$C$23),ISNUMBER($V720),ISNUMBER($AP720),IFERROR(N(INDEX(Accounts!$E$7:$E$16,MATCH($C720,Accounts!$B$7:$B$16,0))),0)&gt;0),IF($V720&gt;Settings!$C$23*($AP720-N($Q720)),"Risk over max %; ",""),"")&amp;IF(AND(ISNUMBER(Settings!$C$24),ISNUMBER($N720)),IF($N720&gt;Settings!$C$24,"Leverage over max; ",""),"")&amp;IF(AND(ISNUMBER(Settings!$C$27),ISNUMBER($T720)),IF($T720&lt;Settings!$C$27,"R:R below min; ",""),"")&amp;IF(ISNUMBER(Settings!$C$25),IF(COUNTIFS($A$6:$A720,$A720,$AM$6:$AM720,1)&gt;Settings!$C$25,"Over max trades/day; ",""),"")&amp;IF(ISNUMBER(Settings!$C$26),IF(SUMIFS($Q$5:$Q719,$A$5:$A719,$A720)&lt;=-Settings!$C$26,"Traded after daily max loss; ",""),"")&amp;IF(AND($AG720="",NOT(ISNUMBER($O720))),"Symbol not in Instruments; ","")&amp;IF(AND($AH720="",NOT(ISNUMBER($O720))),"Forex cross: type Gross P&amp;L; ",""))</f>
        <v/>
      </c>
      <c r="BH720" s="56">
        <f>IF(ISNUMBER($Q720),1,0)</f>
        <v>0</v>
      </c>
      <c r="BI720" s="56">
        <f>IF($Y720="",0,1)</f>
        <v>0</v>
      </c>
      <c r="BJ720" s="56">
        <f>IF($AB720="",0,1)</f>
        <v>0</v>
      </c>
      <c r="BK720" s="56">
        <f>IF(AND($BH720=1,$W720&lt;&gt;"OK"),1,0)</f>
        <v>0</v>
      </c>
      <c r="BL720" s="55">
        <f>IF(N($AZ720)=0,0,IFERROR(INDEX($AT$6:$AT$1005,MATCH($AZ720,$AY$6:$AY$1005,0)),0))</f>
        <v>1187.10688</v>
      </c>
      <c r="BM720" s="56">
        <f>IF(ISNUMBER(SEARCH("daily max loss",$BG720)),1,0)</f>
        <v>0</v>
      </c>
    </row>
    <row r="721" ht="18" customHeight="1">
      <c r="A721" s="38" t="n"/>
      <c r="B721" s="39" t="n"/>
      <c r="C721" s="40" t="n"/>
      <c r="D721" s="41" t="n"/>
      <c r="E721" s="41" t="n"/>
      <c r="F721" s="41" t="n"/>
      <c r="G721" s="41" t="n"/>
      <c r="H721" s="42" t="n"/>
      <c r="I721" s="42" t="n"/>
      <c r="J721" s="42" t="n"/>
      <c r="K721" s="42" t="n"/>
      <c r="L721" s="41" t="n"/>
      <c r="M721" s="41" t="n"/>
      <c r="N721" s="41" t="n"/>
      <c r="O721" s="43" t="n"/>
      <c r="P721" s="43" t="n"/>
      <c r="Q721" s="44" t="str">
        <f>IF($AM721=0,"",IF(ISNUMBER($AK721),$AK721-N($AL721),""))</f>
        <v/>
      </c>
      <c r="R721" s="45" t="str">
        <f>IF(OR($Q721="",NOT(ISNUMBER($V721))),"",$AK721/$V721)</f>
        <v/>
      </c>
      <c r="S721" s="46" t="str">
        <f>IF($Q721="","",IF(AND(ISNUMBER($R721),ABS(N($R721))&lt;N(Settings!$C$8)),"Scratch",IF($Q721&gt;0,"Win",IF($Q721&lt;0,"Loss","Scratch"))))</f>
        <v/>
      </c>
      <c r="T721" s="47" t="str">
        <f>IF(OR($AM721=0,NOT(ISNUMBER($H721)),NOT(ISNUMBER($I721)),NOT(ISNUMBER($J721))),"",IF($H721=$I721,"",ROUND(ABS($J721-$H721)/ABS($H721-$I721),6)))</f>
        <v/>
      </c>
      <c r="U721" s="48" t="str">
        <f>IF(OR($S721&lt;&gt;"Win",NOT(ISNUMBER($T721)),NOT(ISNUMBER($R721))),"",MAX(0,$T721-$R721))</f>
        <v/>
      </c>
      <c r="V721" s="49" t="str">
        <f>IF(OR($AM721=0,NOT(ISNUMBER($H721)),NOT(ISNUMBER($I721)),NOT(ISNUMBER($G721))),"",IF(OR($AG721="",$AH721=""),"",IF(ROUND(ABS($H721-$I721)*ABS($G721)*$AG721*$AH721,6)=0,"",ROUND(ABS($H721-$I721)*ABS($G721)*$AG721*$AH721,6))))</f>
        <v/>
      </c>
      <c r="W721" s="50" t="str">
        <f>IF($AM721=0,"",IF($BG721="","OK",LEFT($BG721,LEN($BG721)-2)))</f>
        <v/>
      </c>
      <c r="X721" s="41" t="n"/>
      <c r="Y721" s="40" t="n"/>
      <c r="Z721" s="41" t="n"/>
      <c r="AA721" s="41" t="n"/>
      <c r="AB721" s="40" t="n"/>
      <c r="AC721" s="51" t="n"/>
      <c r="AD721" s="51" t="n"/>
      <c r="AE721" s="40" t="n"/>
      <c r="AF721" s="52" t="str">
        <f>IF($AM721=0,"",IF($D721&lt;&gt;"",$D721,IF(IFERROR(INDEX(Accounts!$C$7:$C$16,MATCH($C721,Accounts!$B$7:$B$16,0))&amp;"","")&lt;&gt;"",INDEX(Accounts!$C$7:$C$16,MATCH($C721,Accounts!$B$7:$B$16,0)),Settings!$C$6)))</f>
        <v/>
      </c>
      <c r="AG721" s="53" t="str">
        <f>IF($AM721=0,"",IF(AND($BE721&gt;0,N(INDEX(Instruments!$D$6:$D$205,MAX(1,$BE721)))&gt;0),INDEX(Instruments!$D$6:$D$205,MAX(1,$BE721)),IF(N(INDEX(Settings!$D$14:$D$18,$BF721))&gt;0,INDEX(Settings!$D$14:$D$18,$BF721),"")))</f>
        <v/>
      </c>
      <c r="AH721" s="54" t="str">
        <f>IF($AM721=0,"",IF($AF721&lt;&gt;"Forex",1,IF(MID(UPPER(SUBSTITUTE(TRIM($E721),"/","")),4,3)=UPPER(TRIM(Settings!$C$7)),1,IF(LEFT(UPPER(SUBSTITUTE(TRIM($E721),"/","")),3)=UPPER(TRIM(Settings!$C$7)),IF(AND(ISNUMBER($K721),N($K721)&lt;&gt;0),1/$K721,""),""))))</f>
        <v/>
      </c>
      <c r="AI721" s="55" t="str">
        <f>IF($AM721=0,"",IF(OR(NOT(ISNUMBER($H721)),NOT(ISNUMBER($K721)),NOT(ISNUMBER($G721)),$AG721="",$AH721=""),"",ROUND(($K721-$H721)*IF($F721="Short",-1,1)*$G721*$AG721*$AH721,6)))</f>
        <v/>
      </c>
      <c r="AJ721" s="55" t="str">
        <f>IF($AM721=0,"",IF(INDEX(Settings!$E$14:$E$18,$BF721)="% of notional",IF(OR($AG721="",NOT(ISNUMBER($H721)),NOT(ISNUMBER($G721))),"",ROUND(ABS($H721*$G721*$AG721*N($AH721))*IF($L721="Limit",N(INDEX(Settings!$G$14:$G$18,$BF721)),N(INDEX(Settings!$H$14:$H$18,$BF721)))+IF(ISNUMBER($K721),ABS($K721*$G721*$AG721*N($AH721))*IF($M721="Target",N(INDEX(Settings!$G$14:$G$18,$BF721)),N(INDEX(Settings!$H$14:$H$18,$BF721))),0),6)),IF(NOT(ISNUMBER($G721)),"",ROUND(ABS($G721)*2*IF(AND($BE721&gt;0,ISNUMBER(INDEX(Instruments!$G$6:$G$205,MAX(1,$BE721)))),INDEX(Instruments!$G$6:$G$205,MAX(1,$BE721)),N(INDEX(Settings!$F$14:$F$18,$BF721))),6))))</f>
        <v/>
      </c>
      <c r="AK721" s="55" t="str">
        <f>IF($AM721=0,"",IF(ISNUMBER($O721),$O721,$AI721))</f>
        <v/>
      </c>
      <c r="AL721" s="55" t="str">
        <f>IF($AM721=0,"",IF(ISNUMBER($P721),$P721,N($AJ721)))</f>
        <v/>
      </c>
      <c r="AM721" s="56">
        <f>IF(AND($A721&lt;&gt;"",$E721&lt;&gt;"",OR(AND(ISNUMBER($G721),ISNUMBER($H721),ISNUMBER($K721)),ISNUMBER($O721))),1,0)</f>
        <v>0</v>
      </c>
      <c r="AN721" s="57" t="str">
        <f>IF($A721="","",$A721-WEEKDAY($A721,3))</f>
        <v/>
      </c>
      <c r="AO721" s="56" t="str">
        <f>IF($A721="","",WEEKDAY($A721,2))</f>
        <v/>
      </c>
      <c r="AP721" s="55" t="str">
        <f>IF(OR($AM721=0,$C721=""),"",IFERROR(N(INDEX(Accounts!$E$7:$E$16,MATCH($C721,Accounts!$B$7:$B$16,0))),0)+SUMIFS($Q$6:$Q721,$C$6:$C721,$C721))</f>
        <v/>
      </c>
      <c r="AQ721" s="55" t="str">
        <f>IF(OR($AM721=0,$C721=""),"",SUMIFS($Q$6:$Q$1005,$C$6:$C$1005,$C721,$A$6:$A$1005,$A721))</f>
        <v/>
      </c>
      <c r="AR721" s="55" t="str">
        <f>IF(OR($AM721=0,$C721=""),"",IFERROR(N(INDEX(Accounts!$E$7:$E$16,MATCH($C721,Accounts!$B$7:$B$16,0))),0)+SUMIFS($Q$6:$Q$1005,$C$6:$C$1005,$C721,$A$6:$A$1005,"&lt;="&amp;$A721))</f>
        <v/>
      </c>
      <c r="AS721" s="56">
        <f>IF(OR($AM721=0,$Q721=""),0,IF(AND($A721&gt;=Lists!$W$6,$A721&lt;=Lists!$W$7,OR(Dashboard!$D$6="All accounts",$C721=Dashboard!$D$6),OR(Dashboard!$D$7="All markets",$AF721=Dashboard!$D$7)),1,0))</f>
        <v>0</v>
      </c>
      <c r="AT721" s="55">
        <f>IF($AS721=1,N(AT720)+$Q721,N(AT720))</f>
        <v>1187.10688</v>
      </c>
      <c r="AU721" s="55">
        <f>MAX(N(AU720),$AT721)</f>
        <v>1187.10688</v>
      </c>
      <c r="AV721" s="55">
        <f>$AT721-$AU721</f>
        <v>0</v>
      </c>
      <c r="AW721" s="56">
        <f>IF($AS721=1,IF($S721="Win",N(AW720)+1,IF($S721="Loss",0,N(AW720))),N(AW720))</f>
        <v>5</v>
      </c>
      <c r="AX721" s="56">
        <f>IF($AS721=1,IF($S721="Loss",N(AX720)+1,IF($S721="Win",0,N(AX720))),N(AX720))</f>
        <v>0</v>
      </c>
      <c r="AY721" s="56" t="str">
        <f>IF($AS721=1,COUNTIF($AS$6:$AS721,1),"")</f>
        <v/>
      </c>
      <c r="AZ721" s="56">
        <f>MIN(715,N(Lists!$W$8))</f>
        <v>28</v>
      </c>
      <c r="BA721" s="56">
        <f>IF($AS721=1,IF(COUNTIFS($A$6:$A721,$A721,$AS$6:$AS721,1)=1,1,0),0)</f>
        <v>0</v>
      </c>
      <c r="BB721" s="55" t="str">
        <f>IF($BA721=1,SUMIFS($Q$6:$Q$1005,$A$6:$A$1005,$A721,$AS$6:$AS$1005,1),"")</f>
        <v/>
      </c>
      <c r="BC721" s="56">
        <f>IF(ISNUMBER($R721),1,0)</f>
        <v>0</v>
      </c>
      <c r="BD721" s="55" t="str">
        <f>IF(ISNUMBER($U721),$U721*$V721,"")</f>
        <v/>
      </c>
      <c r="BE721" s="56" t="str">
        <f>IF($AM721=0,"",IFERROR(MATCH($AF721&amp;"|"&amp;UPPER(TRIM($E721)),Lists!$A$6:$A$205,0),0))</f>
        <v/>
      </c>
      <c r="BF721" s="56" t="str">
        <f>IF($AM721=0,"",IFERROR(MATCH($AF721,Settings!$B$14:$B$18,0),IFERROR(MATCH(Settings!$C$6,Settings!$B$14:$B$18,0),1)))</f>
        <v/>
      </c>
      <c r="BG721" s="58" t="str">
        <f>IF($AM721=0,"",IF(NOT(ISNUMBER($I721)),"No stop; ","")&amp;IF(AND(ISNUMBER($H721),ISNUMBER($I721)),IF(OR(AND($F721&lt;&gt;"Short",$I721&gt;=$H721),AND($F721="Short",$I721&lt;=$H721)),"Stop on wrong side; ",""),"")&amp;IF($F721="","No direction; ","")&amp;IF(AND(ISNUMBER(Settings!$C$22),ISNUMBER($V721)),IF($V721&gt;Settings!$C$22,"Risk over max $; ",""),"")&amp;IF(AND(ISNUMBER(Settings!$C$23),ISNUMBER($V721),ISNUMBER($AP721),IFERROR(N(INDEX(Accounts!$E$7:$E$16,MATCH($C721,Accounts!$B$7:$B$16,0))),0)&gt;0),IF($V721&gt;Settings!$C$23*($AP721-N($Q721)),"Risk over max %; ",""),"")&amp;IF(AND(ISNUMBER(Settings!$C$24),ISNUMBER($N721)),IF($N721&gt;Settings!$C$24,"Leverage over max; ",""),"")&amp;IF(AND(ISNUMBER(Settings!$C$27),ISNUMBER($T721)),IF($T721&lt;Settings!$C$27,"R:R below min; ",""),"")&amp;IF(ISNUMBER(Settings!$C$25),IF(COUNTIFS($A$6:$A721,$A721,$AM$6:$AM721,1)&gt;Settings!$C$25,"Over max trades/day; ",""),"")&amp;IF(ISNUMBER(Settings!$C$26),IF(SUMIFS($Q$5:$Q720,$A$5:$A720,$A721)&lt;=-Settings!$C$26,"Traded after daily max loss; ",""),"")&amp;IF(AND($AG721="",NOT(ISNUMBER($O721))),"Symbol not in Instruments; ","")&amp;IF(AND($AH721="",NOT(ISNUMBER($O721))),"Forex cross: type Gross P&amp;L; ",""))</f>
        <v/>
      </c>
      <c r="BH721" s="56">
        <f>IF(ISNUMBER($Q721),1,0)</f>
        <v>0</v>
      </c>
      <c r="BI721" s="56">
        <f>IF($Y721="",0,1)</f>
        <v>0</v>
      </c>
      <c r="BJ721" s="56">
        <f>IF($AB721="",0,1)</f>
        <v>0</v>
      </c>
      <c r="BK721" s="56">
        <f>IF(AND($BH721=1,$W721&lt;&gt;"OK"),1,0)</f>
        <v>0</v>
      </c>
      <c r="BL721" s="55">
        <f>IF(N($AZ721)=0,0,IFERROR(INDEX($AT$6:$AT$1005,MATCH($AZ721,$AY$6:$AY$1005,0)),0))</f>
        <v>1187.10688</v>
      </c>
      <c r="BM721" s="56">
        <f>IF(ISNUMBER(SEARCH("daily max loss",$BG721)),1,0)</f>
        <v>0</v>
      </c>
    </row>
    <row r="722" ht="18" customHeight="1">
      <c r="A722" s="38" t="n"/>
      <c r="B722" s="39" t="n"/>
      <c r="C722" s="40" t="n"/>
      <c r="D722" s="41" t="n"/>
      <c r="E722" s="41" t="n"/>
      <c r="F722" s="41" t="n"/>
      <c r="G722" s="41" t="n"/>
      <c r="H722" s="42" t="n"/>
      <c r="I722" s="42" t="n"/>
      <c r="J722" s="42" t="n"/>
      <c r="K722" s="42" t="n"/>
      <c r="L722" s="41" t="n"/>
      <c r="M722" s="41" t="n"/>
      <c r="N722" s="41" t="n"/>
      <c r="O722" s="43" t="n"/>
      <c r="P722" s="43" t="n"/>
      <c r="Q722" s="44" t="str">
        <f>IF($AM722=0,"",IF(ISNUMBER($AK722),$AK722-N($AL722),""))</f>
        <v/>
      </c>
      <c r="R722" s="45" t="str">
        <f>IF(OR($Q722="",NOT(ISNUMBER($V722))),"",$AK722/$V722)</f>
        <v/>
      </c>
      <c r="S722" s="46" t="str">
        <f>IF($Q722="","",IF(AND(ISNUMBER($R722),ABS(N($R722))&lt;N(Settings!$C$8)),"Scratch",IF($Q722&gt;0,"Win",IF($Q722&lt;0,"Loss","Scratch"))))</f>
        <v/>
      </c>
      <c r="T722" s="47" t="str">
        <f>IF(OR($AM722=0,NOT(ISNUMBER($H722)),NOT(ISNUMBER($I722)),NOT(ISNUMBER($J722))),"",IF($H722=$I722,"",ROUND(ABS($J722-$H722)/ABS($H722-$I722),6)))</f>
        <v/>
      </c>
      <c r="U722" s="48" t="str">
        <f>IF(OR($S722&lt;&gt;"Win",NOT(ISNUMBER($T722)),NOT(ISNUMBER($R722))),"",MAX(0,$T722-$R722))</f>
        <v/>
      </c>
      <c r="V722" s="49" t="str">
        <f>IF(OR($AM722=0,NOT(ISNUMBER($H722)),NOT(ISNUMBER($I722)),NOT(ISNUMBER($G722))),"",IF(OR($AG722="",$AH722=""),"",IF(ROUND(ABS($H722-$I722)*ABS($G722)*$AG722*$AH722,6)=0,"",ROUND(ABS($H722-$I722)*ABS($G722)*$AG722*$AH722,6))))</f>
        <v/>
      </c>
      <c r="W722" s="50" t="str">
        <f>IF($AM722=0,"",IF($BG722="","OK",LEFT($BG722,LEN($BG722)-2)))</f>
        <v/>
      </c>
      <c r="X722" s="41" t="n"/>
      <c r="Y722" s="40" t="n"/>
      <c r="Z722" s="41" t="n"/>
      <c r="AA722" s="41" t="n"/>
      <c r="AB722" s="40" t="n"/>
      <c r="AC722" s="51" t="n"/>
      <c r="AD722" s="51" t="n"/>
      <c r="AE722" s="40" t="n"/>
      <c r="AF722" s="52" t="str">
        <f>IF($AM722=0,"",IF($D722&lt;&gt;"",$D722,IF(IFERROR(INDEX(Accounts!$C$7:$C$16,MATCH($C722,Accounts!$B$7:$B$16,0))&amp;"","")&lt;&gt;"",INDEX(Accounts!$C$7:$C$16,MATCH($C722,Accounts!$B$7:$B$16,0)),Settings!$C$6)))</f>
        <v/>
      </c>
      <c r="AG722" s="53" t="str">
        <f>IF($AM722=0,"",IF(AND($BE722&gt;0,N(INDEX(Instruments!$D$6:$D$205,MAX(1,$BE722)))&gt;0),INDEX(Instruments!$D$6:$D$205,MAX(1,$BE722)),IF(N(INDEX(Settings!$D$14:$D$18,$BF722))&gt;0,INDEX(Settings!$D$14:$D$18,$BF722),"")))</f>
        <v/>
      </c>
      <c r="AH722" s="54" t="str">
        <f>IF($AM722=0,"",IF($AF722&lt;&gt;"Forex",1,IF(MID(UPPER(SUBSTITUTE(TRIM($E722),"/","")),4,3)=UPPER(TRIM(Settings!$C$7)),1,IF(LEFT(UPPER(SUBSTITUTE(TRIM($E722),"/","")),3)=UPPER(TRIM(Settings!$C$7)),IF(AND(ISNUMBER($K722),N($K722)&lt;&gt;0),1/$K722,""),""))))</f>
        <v/>
      </c>
      <c r="AI722" s="55" t="str">
        <f>IF($AM722=0,"",IF(OR(NOT(ISNUMBER($H722)),NOT(ISNUMBER($K722)),NOT(ISNUMBER($G722)),$AG722="",$AH722=""),"",ROUND(($K722-$H722)*IF($F722="Short",-1,1)*$G722*$AG722*$AH722,6)))</f>
        <v/>
      </c>
      <c r="AJ722" s="55" t="str">
        <f>IF($AM722=0,"",IF(INDEX(Settings!$E$14:$E$18,$BF722)="% of notional",IF(OR($AG722="",NOT(ISNUMBER($H722)),NOT(ISNUMBER($G722))),"",ROUND(ABS($H722*$G722*$AG722*N($AH722))*IF($L722="Limit",N(INDEX(Settings!$G$14:$G$18,$BF722)),N(INDEX(Settings!$H$14:$H$18,$BF722)))+IF(ISNUMBER($K722),ABS($K722*$G722*$AG722*N($AH722))*IF($M722="Target",N(INDEX(Settings!$G$14:$G$18,$BF722)),N(INDEX(Settings!$H$14:$H$18,$BF722))),0),6)),IF(NOT(ISNUMBER($G722)),"",ROUND(ABS($G722)*2*IF(AND($BE722&gt;0,ISNUMBER(INDEX(Instruments!$G$6:$G$205,MAX(1,$BE722)))),INDEX(Instruments!$G$6:$G$205,MAX(1,$BE722)),N(INDEX(Settings!$F$14:$F$18,$BF722))),6))))</f>
        <v/>
      </c>
      <c r="AK722" s="55" t="str">
        <f>IF($AM722=0,"",IF(ISNUMBER($O722),$O722,$AI722))</f>
        <v/>
      </c>
      <c r="AL722" s="55" t="str">
        <f>IF($AM722=0,"",IF(ISNUMBER($P722),$P722,N($AJ722)))</f>
        <v/>
      </c>
      <c r="AM722" s="56">
        <f>IF(AND($A722&lt;&gt;"",$E722&lt;&gt;"",OR(AND(ISNUMBER($G722),ISNUMBER($H722),ISNUMBER($K722)),ISNUMBER($O722))),1,0)</f>
        <v>0</v>
      </c>
      <c r="AN722" s="57" t="str">
        <f>IF($A722="","",$A722-WEEKDAY($A722,3))</f>
        <v/>
      </c>
      <c r="AO722" s="56" t="str">
        <f>IF($A722="","",WEEKDAY($A722,2))</f>
        <v/>
      </c>
      <c r="AP722" s="55" t="str">
        <f>IF(OR($AM722=0,$C722=""),"",IFERROR(N(INDEX(Accounts!$E$7:$E$16,MATCH($C722,Accounts!$B$7:$B$16,0))),0)+SUMIFS($Q$6:$Q722,$C$6:$C722,$C722))</f>
        <v/>
      </c>
      <c r="AQ722" s="55" t="str">
        <f>IF(OR($AM722=0,$C722=""),"",SUMIFS($Q$6:$Q$1005,$C$6:$C$1005,$C722,$A$6:$A$1005,$A722))</f>
        <v/>
      </c>
      <c r="AR722" s="55" t="str">
        <f>IF(OR($AM722=0,$C722=""),"",IFERROR(N(INDEX(Accounts!$E$7:$E$16,MATCH($C722,Accounts!$B$7:$B$16,0))),0)+SUMIFS($Q$6:$Q$1005,$C$6:$C$1005,$C722,$A$6:$A$1005,"&lt;="&amp;$A722))</f>
        <v/>
      </c>
      <c r="AS722" s="56">
        <f>IF(OR($AM722=0,$Q722=""),0,IF(AND($A722&gt;=Lists!$W$6,$A722&lt;=Lists!$W$7,OR(Dashboard!$D$6="All accounts",$C722=Dashboard!$D$6),OR(Dashboard!$D$7="All markets",$AF722=Dashboard!$D$7)),1,0))</f>
        <v>0</v>
      </c>
      <c r="AT722" s="55">
        <f>IF($AS722=1,N(AT721)+$Q722,N(AT721))</f>
        <v>1187.10688</v>
      </c>
      <c r="AU722" s="55">
        <f>MAX(N(AU721),$AT722)</f>
        <v>1187.10688</v>
      </c>
      <c r="AV722" s="55">
        <f>$AT722-$AU722</f>
        <v>0</v>
      </c>
      <c r="AW722" s="56">
        <f>IF($AS722=1,IF($S722="Win",N(AW721)+1,IF($S722="Loss",0,N(AW721))),N(AW721))</f>
        <v>5</v>
      </c>
      <c r="AX722" s="56">
        <f>IF($AS722=1,IF($S722="Loss",N(AX721)+1,IF($S722="Win",0,N(AX721))),N(AX721))</f>
        <v>0</v>
      </c>
      <c r="AY722" s="56" t="str">
        <f>IF($AS722=1,COUNTIF($AS$6:$AS722,1),"")</f>
        <v/>
      </c>
      <c r="AZ722" s="56">
        <f>MIN(716,N(Lists!$W$8))</f>
        <v>28</v>
      </c>
      <c r="BA722" s="56">
        <f>IF($AS722=1,IF(COUNTIFS($A$6:$A722,$A722,$AS$6:$AS722,1)=1,1,0),0)</f>
        <v>0</v>
      </c>
      <c r="BB722" s="55" t="str">
        <f>IF($BA722=1,SUMIFS($Q$6:$Q$1005,$A$6:$A$1005,$A722,$AS$6:$AS$1005,1),"")</f>
        <v/>
      </c>
      <c r="BC722" s="56">
        <f>IF(ISNUMBER($R722),1,0)</f>
        <v>0</v>
      </c>
      <c r="BD722" s="55" t="str">
        <f>IF(ISNUMBER($U722),$U722*$V722,"")</f>
        <v/>
      </c>
      <c r="BE722" s="56" t="str">
        <f>IF($AM722=0,"",IFERROR(MATCH($AF722&amp;"|"&amp;UPPER(TRIM($E722)),Lists!$A$6:$A$205,0),0))</f>
        <v/>
      </c>
      <c r="BF722" s="56" t="str">
        <f>IF($AM722=0,"",IFERROR(MATCH($AF722,Settings!$B$14:$B$18,0),IFERROR(MATCH(Settings!$C$6,Settings!$B$14:$B$18,0),1)))</f>
        <v/>
      </c>
      <c r="BG722" s="58" t="str">
        <f>IF($AM722=0,"",IF(NOT(ISNUMBER($I722)),"No stop; ","")&amp;IF(AND(ISNUMBER($H722),ISNUMBER($I722)),IF(OR(AND($F722&lt;&gt;"Short",$I722&gt;=$H722),AND($F722="Short",$I722&lt;=$H722)),"Stop on wrong side; ",""),"")&amp;IF($F722="","No direction; ","")&amp;IF(AND(ISNUMBER(Settings!$C$22),ISNUMBER($V722)),IF($V722&gt;Settings!$C$22,"Risk over max $; ",""),"")&amp;IF(AND(ISNUMBER(Settings!$C$23),ISNUMBER($V722),ISNUMBER($AP722),IFERROR(N(INDEX(Accounts!$E$7:$E$16,MATCH($C722,Accounts!$B$7:$B$16,0))),0)&gt;0),IF($V722&gt;Settings!$C$23*($AP722-N($Q722)),"Risk over max %; ",""),"")&amp;IF(AND(ISNUMBER(Settings!$C$24),ISNUMBER($N722)),IF($N722&gt;Settings!$C$24,"Leverage over max; ",""),"")&amp;IF(AND(ISNUMBER(Settings!$C$27),ISNUMBER($T722)),IF($T722&lt;Settings!$C$27,"R:R below min; ",""),"")&amp;IF(ISNUMBER(Settings!$C$25),IF(COUNTIFS($A$6:$A722,$A722,$AM$6:$AM722,1)&gt;Settings!$C$25,"Over max trades/day; ",""),"")&amp;IF(ISNUMBER(Settings!$C$26),IF(SUMIFS($Q$5:$Q721,$A$5:$A721,$A722)&lt;=-Settings!$C$26,"Traded after daily max loss; ",""),"")&amp;IF(AND($AG722="",NOT(ISNUMBER($O722))),"Symbol not in Instruments; ","")&amp;IF(AND($AH722="",NOT(ISNUMBER($O722))),"Forex cross: type Gross P&amp;L; ",""))</f>
        <v/>
      </c>
      <c r="BH722" s="56">
        <f>IF(ISNUMBER($Q722),1,0)</f>
        <v>0</v>
      </c>
      <c r="BI722" s="56">
        <f>IF($Y722="",0,1)</f>
        <v>0</v>
      </c>
      <c r="BJ722" s="56">
        <f>IF($AB722="",0,1)</f>
        <v>0</v>
      </c>
      <c r="BK722" s="56">
        <f>IF(AND($BH722=1,$W722&lt;&gt;"OK"),1,0)</f>
        <v>0</v>
      </c>
      <c r="BL722" s="55">
        <f>IF(N($AZ722)=0,0,IFERROR(INDEX($AT$6:$AT$1005,MATCH($AZ722,$AY$6:$AY$1005,0)),0))</f>
        <v>1187.10688</v>
      </c>
      <c r="BM722" s="56">
        <f>IF(ISNUMBER(SEARCH("daily max loss",$BG722)),1,0)</f>
        <v>0</v>
      </c>
    </row>
    <row r="723" ht="18" customHeight="1">
      <c r="A723" s="38" t="n"/>
      <c r="B723" s="39" t="n"/>
      <c r="C723" s="40" t="n"/>
      <c r="D723" s="41" t="n"/>
      <c r="E723" s="41" t="n"/>
      <c r="F723" s="41" t="n"/>
      <c r="G723" s="41" t="n"/>
      <c r="H723" s="42" t="n"/>
      <c r="I723" s="42" t="n"/>
      <c r="J723" s="42" t="n"/>
      <c r="K723" s="42" t="n"/>
      <c r="L723" s="41" t="n"/>
      <c r="M723" s="41" t="n"/>
      <c r="N723" s="41" t="n"/>
      <c r="O723" s="43" t="n"/>
      <c r="P723" s="43" t="n"/>
      <c r="Q723" s="44" t="str">
        <f>IF($AM723=0,"",IF(ISNUMBER($AK723),$AK723-N($AL723),""))</f>
        <v/>
      </c>
      <c r="R723" s="45" t="str">
        <f>IF(OR($Q723="",NOT(ISNUMBER($V723))),"",$AK723/$V723)</f>
        <v/>
      </c>
      <c r="S723" s="46" t="str">
        <f>IF($Q723="","",IF(AND(ISNUMBER($R723),ABS(N($R723))&lt;N(Settings!$C$8)),"Scratch",IF($Q723&gt;0,"Win",IF($Q723&lt;0,"Loss","Scratch"))))</f>
        <v/>
      </c>
      <c r="T723" s="47" t="str">
        <f>IF(OR($AM723=0,NOT(ISNUMBER($H723)),NOT(ISNUMBER($I723)),NOT(ISNUMBER($J723))),"",IF($H723=$I723,"",ROUND(ABS($J723-$H723)/ABS($H723-$I723),6)))</f>
        <v/>
      </c>
      <c r="U723" s="48" t="str">
        <f>IF(OR($S723&lt;&gt;"Win",NOT(ISNUMBER($T723)),NOT(ISNUMBER($R723))),"",MAX(0,$T723-$R723))</f>
        <v/>
      </c>
      <c r="V723" s="49" t="str">
        <f>IF(OR($AM723=0,NOT(ISNUMBER($H723)),NOT(ISNUMBER($I723)),NOT(ISNUMBER($G723))),"",IF(OR($AG723="",$AH723=""),"",IF(ROUND(ABS($H723-$I723)*ABS($G723)*$AG723*$AH723,6)=0,"",ROUND(ABS($H723-$I723)*ABS($G723)*$AG723*$AH723,6))))</f>
        <v/>
      </c>
      <c r="W723" s="50" t="str">
        <f>IF($AM723=0,"",IF($BG723="","OK",LEFT($BG723,LEN($BG723)-2)))</f>
        <v/>
      </c>
      <c r="X723" s="41" t="n"/>
      <c r="Y723" s="40" t="n"/>
      <c r="Z723" s="41" t="n"/>
      <c r="AA723" s="41" t="n"/>
      <c r="AB723" s="40" t="n"/>
      <c r="AC723" s="51" t="n"/>
      <c r="AD723" s="51" t="n"/>
      <c r="AE723" s="40" t="n"/>
      <c r="AF723" s="52" t="str">
        <f>IF($AM723=0,"",IF($D723&lt;&gt;"",$D723,IF(IFERROR(INDEX(Accounts!$C$7:$C$16,MATCH($C723,Accounts!$B$7:$B$16,0))&amp;"","")&lt;&gt;"",INDEX(Accounts!$C$7:$C$16,MATCH($C723,Accounts!$B$7:$B$16,0)),Settings!$C$6)))</f>
        <v/>
      </c>
      <c r="AG723" s="53" t="str">
        <f>IF($AM723=0,"",IF(AND($BE723&gt;0,N(INDEX(Instruments!$D$6:$D$205,MAX(1,$BE723)))&gt;0),INDEX(Instruments!$D$6:$D$205,MAX(1,$BE723)),IF(N(INDEX(Settings!$D$14:$D$18,$BF723))&gt;0,INDEX(Settings!$D$14:$D$18,$BF723),"")))</f>
        <v/>
      </c>
      <c r="AH723" s="54" t="str">
        <f>IF($AM723=0,"",IF($AF723&lt;&gt;"Forex",1,IF(MID(UPPER(SUBSTITUTE(TRIM($E723),"/","")),4,3)=UPPER(TRIM(Settings!$C$7)),1,IF(LEFT(UPPER(SUBSTITUTE(TRIM($E723),"/","")),3)=UPPER(TRIM(Settings!$C$7)),IF(AND(ISNUMBER($K723),N($K723)&lt;&gt;0),1/$K723,""),""))))</f>
        <v/>
      </c>
      <c r="AI723" s="55" t="str">
        <f>IF($AM723=0,"",IF(OR(NOT(ISNUMBER($H723)),NOT(ISNUMBER($K723)),NOT(ISNUMBER($G723)),$AG723="",$AH723=""),"",ROUND(($K723-$H723)*IF($F723="Short",-1,1)*$G723*$AG723*$AH723,6)))</f>
        <v/>
      </c>
      <c r="AJ723" s="55" t="str">
        <f>IF($AM723=0,"",IF(INDEX(Settings!$E$14:$E$18,$BF723)="% of notional",IF(OR($AG723="",NOT(ISNUMBER($H723)),NOT(ISNUMBER($G723))),"",ROUND(ABS($H723*$G723*$AG723*N($AH723))*IF($L723="Limit",N(INDEX(Settings!$G$14:$G$18,$BF723)),N(INDEX(Settings!$H$14:$H$18,$BF723)))+IF(ISNUMBER($K723),ABS($K723*$G723*$AG723*N($AH723))*IF($M723="Target",N(INDEX(Settings!$G$14:$G$18,$BF723)),N(INDEX(Settings!$H$14:$H$18,$BF723))),0),6)),IF(NOT(ISNUMBER($G723)),"",ROUND(ABS($G723)*2*IF(AND($BE723&gt;0,ISNUMBER(INDEX(Instruments!$G$6:$G$205,MAX(1,$BE723)))),INDEX(Instruments!$G$6:$G$205,MAX(1,$BE723)),N(INDEX(Settings!$F$14:$F$18,$BF723))),6))))</f>
        <v/>
      </c>
      <c r="AK723" s="55" t="str">
        <f>IF($AM723=0,"",IF(ISNUMBER($O723),$O723,$AI723))</f>
        <v/>
      </c>
      <c r="AL723" s="55" t="str">
        <f>IF($AM723=0,"",IF(ISNUMBER($P723),$P723,N($AJ723)))</f>
        <v/>
      </c>
      <c r="AM723" s="56">
        <f>IF(AND($A723&lt;&gt;"",$E723&lt;&gt;"",OR(AND(ISNUMBER($G723),ISNUMBER($H723),ISNUMBER($K723)),ISNUMBER($O723))),1,0)</f>
        <v>0</v>
      </c>
      <c r="AN723" s="57" t="str">
        <f>IF($A723="","",$A723-WEEKDAY($A723,3))</f>
        <v/>
      </c>
      <c r="AO723" s="56" t="str">
        <f>IF($A723="","",WEEKDAY($A723,2))</f>
        <v/>
      </c>
      <c r="AP723" s="55" t="str">
        <f>IF(OR($AM723=0,$C723=""),"",IFERROR(N(INDEX(Accounts!$E$7:$E$16,MATCH($C723,Accounts!$B$7:$B$16,0))),0)+SUMIFS($Q$6:$Q723,$C$6:$C723,$C723))</f>
        <v/>
      </c>
      <c r="AQ723" s="55" t="str">
        <f>IF(OR($AM723=0,$C723=""),"",SUMIFS($Q$6:$Q$1005,$C$6:$C$1005,$C723,$A$6:$A$1005,$A723))</f>
        <v/>
      </c>
      <c r="AR723" s="55" t="str">
        <f>IF(OR($AM723=0,$C723=""),"",IFERROR(N(INDEX(Accounts!$E$7:$E$16,MATCH($C723,Accounts!$B$7:$B$16,0))),0)+SUMIFS($Q$6:$Q$1005,$C$6:$C$1005,$C723,$A$6:$A$1005,"&lt;="&amp;$A723))</f>
        <v/>
      </c>
      <c r="AS723" s="56">
        <f>IF(OR($AM723=0,$Q723=""),0,IF(AND($A723&gt;=Lists!$W$6,$A723&lt;=Lists!$W$7,OR(Dashboard!$D$6="All accounts",$C723=Dashboard!$D$6),OR(Dashboard!$D$7="All markets",$AF723=Dashboard!$D$7)),1,0))</f>
        <v>0</v>
      </c>
      <c r="AT723" s="55">
        <f>IF($AS723=1,N(AT722)+$Q723,N(AT722))</f>
        <v>1187.10688</v>
      </c>
      <c r="AU723" s="55">
        <f>MAX(N(AU722),$AT723)</f>
        <v>1187.10688</v>
      </c>
      <c r="AV723" s="55">
        <f>$AT723-$AU723</f>
        <v>0</v>
      </c>
      <c r="AW723" s="56">
        <f>IF($AS723=1,IF($S723="Win",N(AW722)+1,IF($S723="Loss",0,N(AW722))),N(AW722))</f>
        <v>5</v>
      </c>
      <c r="AX723" s="56">
        <f>IF($AS723=1,IF($S723="Loss",N(AX722)+1,IF($S723="Win",0,N(AX722))),N(AX722))</f>
        <v>0</v>
      </c>
      <c r="AY723" s="56" t="str">
        <f>IF($AS723=1,COUNTIF($AS$6:$AS723,1),"")</f>
        <v/>
      </c>
      <c r="AZ723" s="56">
        <f>MIN(717,N(Lists!$W$8))</f>
        <v>28</v>
      </c>
      <c r="BA723" s="56">
        <f>IF($AS723=1,IF(COUNTIFS($A$6:$A723,$A723,$AS$6:$AS723,1)=1,1,0),0)</f>
        <v>0</v>
      </c>
      <c r="BB723" s="55" t="str">
        <f>IF($BA723=1,SUMIFS($Q$6:$Q$1005,$A$6:$A$1005,$A723,$AS$6:$AS$1005,1),"")</f>
        <v/>
      </c>
      <c r="BC723" s="56">
        <f>IF(ISNUMBER($R723),1,0)</f>
        <v>0</v>
      </c>
      <c r="BD723" s="55" t="str">
        <f>IF(ISNUMBER($U723),$U723*$V723,"")</f>
        <v/>
      </c>
      <c r="BE723" s="56" t="str">
        <f>IF($AM723=0,"",IFERROR(MATCH($AF723&amp;"|"&amp;UPPER(TRIM($E723)),Lists!$A$6:$A$205,0),0))</f>
        <v/>
      </c>
      <c r="BF723" s="56" t="str">
        <f>IF($AM723=0,"",IFERROR(MATCH($AF723,Settings!$B$14:$B$18,0),IFERROR(MATCH(Settings!$C$6,Settings!$B$14:$B$18,0),1)))</f>
        <v/>
      </c>
      <c r="BG723" s="58" t="str">
        <f>IF($AM723=0,"",IF(NOT(ISNUMBER($I723)),"No stop; ","")&amp;IF(AND(ISNUMBER($H723),ISNUMBER($I723)),IF(OR(AND($F723&lt;&gt;"Short",$I723&gt;=$H723),AND($F723="Short",$I723&lt;=$H723)),"Stop on wrong side; ",""),"")&amp;IF($F723="","No direction; ","")&amp;IF(AND(ISNUMBER(Settings!$C$22),ISNUMBER($V723)),IF($V723&gt;Settings!$C$22,"Risk over max $; ",""),"")&amp;IF(AND(ISNUMBER(Settings!$C$23),ISNUMBER($V723),ISNUMBER($AP723),IFERROR(N(INDEX(Accounts!$E$7:$E$16,MATCH($C723,Accounts!$B$7:$B$16,0))),0)&gt;0),IF($V723&gt;Settings!$C$23*($AP723-N($Q723)),"Risk over max %; ",""),"")&amp;IF(AND(ISNUMBER(Settings!$C$24),ISNUMBER($N723)),IF($N723&gt;Settings!$C$24,"Leverage over max; ",""),"")&amp;IF(AND(ISNUMBER(Settings!$C$27),ISNUMBER($T723)),IF($T723&lt;Settings!$C$27,"R:R below min; ",""),"")&amp;IF(ISNUMBER(Settings!$C$25),IF(COUNTIFS($A$6:$A723,$A723,$AM$6:$AM723,1)&gt;Settings!$C$25,"Over max trades/day; ",""),"")&amp;IF(ISNUMBER(Settings!$C$26),IF(SUMIFS($Q$5:$Q722,$A$5:$A722,$A723)&lt;=-Settings!$C$26,"Traded after daily max loss; ",""),"")&amp;IF(AND($AG723="",NOT(ISNUMBER($O723))),"Symbol not in Instruments; ","")&amp;IF(AND($AH723="",NOT(ISNUMBER($O723))),"Forex cross: type Gross P&amp;L; ",""))</f>
        <v/>
      </c>
      <c r="BH723" s="56">
        <f>IF(ISNUMBER($Q723),1,0)</f>
        <v>0</v>
      </c>
      <c r="BI723" s="56">
        <f>IF($Y723="",0,1)</f>
        <v>0</v>
      </c>
      <c r="BJ723" s="56">
        <f>IF($AB723="",0,1)</f>
        <v>0</v>
      </c>
      <c r="BK723" s="56">
        <f>IF(AND($BH723=1,$W723&lt;&gt;"OK"),1,0)</f>
        <v>0</v>
      </c>
      <c r="BL723" s="55">
        <f>IF(N($AZ723)=0,0,IFERROR(INDEX($AT$6:$AT$1005,MATCH($AZ723,$AY$6:$AY$1005,0)),0))</f>
        <v>1187.10688</v>
      </c>
      <c r="BM723" s="56">
        <f>IF(ISNUMBER(SEARCH("daily max loss",$BG723)),1,0)</f>
        <v>0</v>
      </c>
    </row>
    <row r="724" ht="18" customHeight="1">
      <c r="A724" s="38" t="n"/>
      <c r="B724" s="39" t="n"/>
      <c r="C724" s="40" t="n"/>
      <c r="D724" s="41" t="n"/>
      <c r="E724" s="41" t="n"/>
      <c r="F724" s="41" t="n"/>
      <c r="G724" s="41" t="n"/>
      <c r="H724" s="42" t="n"/>
      <c r="I724" s="42" t="n"/>
      <c r="J724" s="42" t="n"/>
      <c r="K724" s="42" t="n"/>
      <c r="L724" s="41" t="n"/>
      <c r="M724" s="41" t="n"/>
      <c r="N724" s="41" t="n"/>
      <c r="O724" s="43" t="n"/>
      <c r="P724" s="43" t="n"/>
      <c r="Q724" s="44" t="str">
        <f>IF($AM724=0,"",IF(ISNUMBER($AK724),$AK724-N($AL724),""))</f>
        <v/>
      </c>
      <c r="R724" s="45" t="str">
        <f>IF(OR($Q724="",NOT(ISNUMBER($V724))),"",$AK724/$V724)</f>
        <v/>
      </c>
      <c r="S724" s="46" t="str">
        <f>IF($Q724="","",IF(AND(ISNUMBER($R724),ABS(N($R724))&lt;N(Settings!$C$8)),"Scratch",IF($Q724&gt;0,"Win",IF($Q724&lt;0,"Loss","Scratch"))))</f>
        <v/>
      </c>
      <c r="T724" s="47" t="str">
        <f>IF(OR($AM724=0,NOT(ISNUMBER($H724)),NOT(ISNUMBER($I724)),NOT(ISNUMBER($J724))),"",IF($H724=$I724,"",ROUND(ABS($J724-$H724)/ABS($H724-$I724),6)))</f>
        <v/>
      </c>
      <c r="U724" s="48" t="str">
        <f>IF(OR($S724&lt;&gt;"Win",NOT(ISNUMBER($T724)),NOT(ISNUMBER($R724))),"",MAX(0,$T724-$R724))</f>
        <v/>
      </c>
      <c r="V724" s="49" t="str">
        <f>IF(OR($AM724=0,NOT(ISNUMBER($H724)),NOT(ISNUMBER($I724)),NOT(ISNUMBER($G724))),"",IF(OR($AG724="",$AH724=""),"",IF(ROUND(ABS($H724-$I724)*ABS($G724)*$AG724*$AH724,6)=0,"",ROUND(ABS($H724-$I724)*ABS($G724)*$AG724*$AH724,6))))</f>
        <v/>
      </c>
      <c r="W724" s="50" t="str">
        <f>IF($AM724=0,"",IF($BG724="","OK",LEFT($BG724,LEN($BG724)-2)))</f>
        <v/>
      </c>
      <c r="X724" s="41" t="n"/>
      <c r="Y724" s="40" t="n"/>
      <c r="Z724" s="41" t="n"/>
      <c r="AA724" s="41" t="n"/>
      <c r="AB724" s="40" t="n"/>
      <c r="AC724" s="51" t="n"/>
      <c r="AD724" s="51" t="n"/>
      <c r="AE724" s="40" t="n"/>
      <c r="AF724" s="52" t="str">
        <f>IF($AM724=0,"",IF($D724&lt;&gt;"",$D724,IF(IFERROR(INDEX(Accounts!$C$7:$C$16,MATCH($C724,Accounts!$B$7:$B$16,0))&amp;"","")&lt;&gt;"",INDEX(Accounts!$C$7:$C$16,MATCH($C724,Accounts!$B$7:$B$16,0)),Settings!$C$6)))</f>
        <v/>
      </c>
      <c r="AG724" s="53" t="str">
        <f>IF($AM724=0,"",IF(AND($BE724&gt;0,N(INDEX(Instruments!$D$6:$D$205,MAX(1,$BE724)))&gt;0),INDEX(Instruments!$D$6:$D$205,MAX(1,$BE724)),IF(N(INDEX(Settings!$D$14:$D$18,$BF724))&gt;0,INDEX(Settings!$D$14:$D$18,$BF724),"")))</f>
        <v/>
      </c>
      <c r="AH724" s="54" t="str">
        <f>IF($AM724=0,"",IF($AF724&lt;&gt;"Forex",1,IF(MID(UPPER(SUBSTITUTE(TRIM($E724),"/","")),4,3)=UPPER(TRIM(Settings!$C$7)),1,IF(LEFT(UPPER(SUBSTITUTE(TRIM($E724),"/","")),3)=UPPER(TRIM(Settings!$C$7)),IF(AND(ISNUMBER($K724),N($K724)&lt;&gt;0),1/$K724,""),""))))</f>
        <v/>
      </c>
      <c r="AI724" s="55" t="str">
        <f>IF($AM724=0,"",IF(OR(NOT(ISNUMBER($H724)),NOT(ISNUMBER($K724)),NOT(ISNUMBER($G724)),$AG724="",$AH724=""),"",ROUND(($K724-$H724)*IF($F724="Short",-1,1)*$G724*$AG724*$AH724,6)))</f>
        <v/>
      </c>
      <c r="AJ724" s="55" t="str">
        <f>IF($AM724=0,"",IF(INDEX(Settings!$E$14:$E$18,$BF724)="% of notional",IF(OR($AG724="",NOT(ISNUMBER($H724)),NOT(ISNUMBER($G724))),"",ROUND(ABS($H724*$G724*$AG724*N($AH724))*IF($L724="Limit",N(INDEX(Settings!$G$14:$G$18,$BF724)),N(INDEX(Settings!$H$14:$H$18,$BF724)))+IF(ISNUMBER($K724),ABS($K724*$G724*$AG724*N($AH724))*IF($M724="Target",N(INDEX(Settings!$G$14:$G$18,$BF724)),N(INDEX(Settings!$H$14:$H$18,$BF724))),0),6)),IF(NOT(ISNUMBER($G724)),"",ROUND(ABS($G724)*2*IF(AND($BE724&gt;0,ISNUMBER(INDEX(Instruments!$G$6:$G$205,MAX(1,$BE724)))),INDEX(Instruments!$G$6:$G$205,MAX(1,$BE724)),N(INDEX(Settings!$F$14:$F$18,$BF724))),6))))</f>
        <v/>
      </c>
      <c r="AK724" s="55" t="str">
        <f>IF($AM724=0,"",IF(ISNUMBER($O724),$O724,$AI724))</f>
        <v/>
      </c>
      <c r="AL724" s="55" t="str">
        <f>IF($AM724=0,"",IF(ISNUMBER($P724),$P724,N($AJ724)))</f>
        <v/>
      </c>
      <c r="AM724" s="56">
        <f>IF(AND($A724&lt;&gt;"",$E724&lt;&gt;"",OR(AND(ISNUMBER($G724),ISNUMBER($H724),ISNUMBER($K724)),ISNUMBER($O724))),1,0)</f>
        <v>0</v>
      </c>
      <c r="AN724" s="57" t="str">
        <f>IF($A724="","",$A724-WEEKDAY($A724,3))</f>
        <v/>
      </c>
      <c r="AO724" s="56" t="str">
        <f>IF($A724="","",WEEKDAY($A724,2))</f>
        <v/>
      </c>
      <c r="AP724" s="55" t="str">
        <f>IF(OR($AM724=0,$C724=""),"",IFERROR(N(INDEX(Accounts!$E$7:$E$16,MATCH($C724,Accounts!$B$7:$B$16,0))),0)+SUMIFS($Q$6:$Q724,$C$6:$C724,$C724))</f>
        <v/>
      </c>
      <c r="AQ724" s="55" t="str">
        <f>IF(OR($AM724=0,$C724=""),"",SUMIFS($Q$6:$Q$1005,$C$6:$C$1005,$C724,$A$6:$A$1005,$A724))</f>
        <v/>
      </c>
      <c r="AR724" s="55" t="str">
        <f>IF(OR($AM724=0,$C724=""),"",IFERROR(N(INDEX(Accounts!$E$7:$E$16,MATCH($C724,Accounts!$B$7:$B$16,0))),0)+SUMIFS($Q$6:$Q$1005,$C$6:$C$1005,$C724,$A$6:$A$1005,"&lt;="&amp;$A724))</f>
        <v/>
      </c>
      <c r="AS724" s="56">
        <f>IF(OR($AM724=0,$Q724=""),0,IF(AND($A724&gt;=Lists!$W$6,$A724&lt;=Lists!$W$7,OR(Dashboard!$D$6="All accounts",$C724=Dashboard!$D$6),OR(Dashboard!$D$7="All markets",$AF724=Dashboard!$D$7)),1,0))</f>
        <v>0</v>
      </c>
      <c r="AT724" s="55">
        <f>IF($AS724=1,N(AT723)+$Q724,N(AT723))</f>
        <v>1187.10688</v>
      </c>
      <c r="AU724" s="55">
        <f>MAX(N(AU723),$AT724)</f>
        <v>1187.10688</v>
      </c>
      <c r="AV724" s="55">
        <f>$AT724-$AU724</f>
        <v>0</v>
      </c>
      <c r="AW724" s="56">
        <f>IF($AS724=1,IF($S724="Win",N(AW723)+1,IF($S724="Loss",0,N(AW723))),N(AW723))</f>
        <v>5</v>
      </c>
      <c r="AX724" s="56">
        <f>IF($AS724=1,IF($S724="Loss",N(AX723)+1,IF($S724="Win",0,N(AX723))),N(AX723))</f>
        <v>0</v>
      </c>
      <c r="AY724" s="56" t="str">
        <f>IF($AS724=1,COUNTIF($AS$6:$AS724,1),"")</f>
        <v/>
      </c>
      <c r="AZ724" s="56">
        <f>MIN(718,N(Lists!$W$8))</f>
        <v>28</v>
      </c>
      <c r="BA724" s="56">
        <f>IF($AS724=1,IF(COUNTIFS($A$6:$A724,$A724,$AS$6:$AS724,1)=1,1,0),0)</f>
        <v>0</v>
      </c>
      <c r="BB724" s="55" t="str">
        <f>IF($BA724=1,SUMIFS($Q$6:$Q$1005,$A$6:$A$1005,$A724,$AS$6:$AS$1005,1),"")</f>
        <v/>
      </c>
      <c r="BC724" s="56">
        <f>IF(ISNUMBER($R724),1,0)</f>
        <v>0</v>
      </c>
      <c r="BD724" s="55" t="str">
        <f>IF(ISNUMBER($U724),$U724*$V724,"")</f>
        <v/>
      </c>
      <c r="BE724" s="56" t="str">
        <f>IF($AM724=0,"",IFERROR(MATCH($AF724&amp;"|"&amp;UPPER(TRIM($E724)),Lists!$A$6:$A$205,0),0))</f>
        <v/>
      </c>
      <c r="BF724" s="56" t="str">
        <f>IF($AM724=0,"",IFERROR(MATCH($AF724,Settings!$B$14:$B$18,0),IFERROR(MATCH(Settings!$C$6,Settings!$B$14:$B$18,0),1)))</f>
        <v/>
      </c>
      <c r="BG724" s="58" t="str">
        <f>IF($AM724=0,"",IF(NOT(ISNUMBER($I724)),"No stop; ","")&amp;IF(AND(ISNUMBER($H724),ISNUMBER($I724)),IF(OR(AND($F724&lt;&gt;"Short",$I724&gt;=$H724),AND($F724="Short",$I724&lt;=$H724)),"Stop on wrong side; ",""),"")&amp;IF($F724="","No direction; ","")&amp;IF(AND(ISNUMBER(Settings!$C$22),ISNUMBER($V724)),IF($V724&gt;Settings!$C$22,"Risk over max $; ",""),"")&amp;IF(AND(ISNUMBER(Settings!$C$23),ISNUMBER($V724),ISNUMBER($AP724),IFERROR(N(INDEX(Accounts!$E$7:$E$16,MATCH($C724,Accounts!$B$7:$B$16,0))),0)&gt;0),IF($V724&gt;Settings!$C$23*($AP724-N($Q724)),"Risk over max %; ",""),"")&amp;IF(AND(ISNUMBER(Settings!$C$24),ISNUMBER($N724)),IF($N724&gt;Settings!$C$24,"Leverage over max; ",""),"")&amp;IF(AND(ISNUMBER(Settings!$C$27),ISNUMBER($T724)),IF($T724&lt;Settings!$C$27,"R:R below min; ",""),"")&amp;IF(ISNUMBER(Settings!$C$25),IF(COUNTIFS($A$6:$A724,$A724,$AM$6:$AM724,1)&gt;Settings!$C$25,"Over max trades/day; ",""),"")&amp;IF(ISNUMBER(Settings!$C$26),IF(SUMIFS($Q$5:$Q723,$A$5:$A723,$A724)&lt;=-Settings!$C$26,"Traded after daily max loss; ",""),"")&amp;IF(AND($AG724="",NOT(ISNUMBER($O724))),"Symbol not in Instruments; ","")&amp;IF(AND($AH724="",NOT(ISNUMBER($O724))),"Forex cross: type Gross P&amp;L; ",""))</f>
        <v/>
      </c>
      <c r="BH724" s="56">
        <f>IF(ISNUMBER($Q724),1,0)</f>
        <v>0</v>
      </c>
      <c r="BI724" s="56">
        <f>IF($Y724="",0,1)</f>
        <v>0</v>
      </c>
      <c r="BJ724" s="56">
        <f>IF($AB724="",0,1)</f>
        <v>0</v>
      </c>
      <c r="BK724" s="56">
        <f>IF(AND($BH724=1,$W724&lt;&gt;"OK"),1,0)</f>
        <v>0</v>
      </c>
      <c r="BL724" s="55">
        <f>IF(N($AZ724)=0,0,IFERROR(INDEX($AT$6:$AT$1005,MATCH($AZ724,$AY$6:$AY$1005,0)),0))</f>
        <v>1187.10688</v>
      </c>
      <c r="BM724" s="56">
        <f>IF(ISNUMBER(SEARCH("daily max loss",$BG724)),1,0)</f>
        <v>0</v>
      </c>
    </row>
    <row r="725" ht="18" customHeight="1">
      <c r="A725" s="38" t="n"/>
      <c r="B725" s="39" t="n"/>
      <c r="C725" s="40" t="n"/>
      <c r="D725" s="41" t="n"/>
      <c r="E725" s="41" t="n"/>
      <c r="F725" s="41" t="n"/>
      <c r="G725" s="41" t="n"/>
      <c r="H725" s="42" t="n"/>
      <c r="I725" s="42" t="n"/>
      <c r="J725" s="42" t="n"/>
      <c r="K725" s="42" t="n"/>
      <c r="L725" s="41" t="n"/>
      <c r="M725" s="41" t="n"/>
      <c r="N725" s="41" t="n"/>
      <c r="O725" s="43" t="n"/>
      <c r="P725" s="43" t="n"/>
      <c r="Q725" s="44" t="str">
        <f>IF($AM725=0,"",IF(ISNUMBER($AK725),$AK725-N($AL725),""))</f>
        <v/>
      </c>
      <c r="R725" s="45" t="str">
        <f>IF(OR($Q725="",NOT(ISNUMBER($V725))),"",$AK725/$V725)</f>
        <v/>
      </c>
      <c r="S725" s="46" t="str">
        <f>IF($Q725="","",IF(AND(ISNUMBER($R725),ABS(N($R725))&lt;N(Settings!$C$8)),"Scratch",IF($Q725&gt;0,"Win",IF($Q725&lt;0,"Loss","Scratch"))))</f>
        <v/>
      </c>
      <c r="T725" s="47" t="str">
        <f>IF(OR($AM725=0,NOT(ISNUMBER($H725)),NOT(ISNUMBER($I725)),NOT(ISNUMBER($J725))),"",IF($H725=$I725,"",ROUND(ABS($J725-$H725)/ABS($H725-$I725),6)))</f>
        <v/>
      </c>
      <c r="U725" s="48" t="str">
        <f>IF(OR($S725&lt;&gt;"Win",NOT(ISNUMBER($T725)),NOT(ISNUMBER($R725))),"",MAX(0,$T725-$R725))</f>
        <v/>
      </c>
      <c r="V725" s="49" t="str">
        <f>IF(OR($AM725=0,NOT(ISNUMBER($H725)),NOT(ISNUMBER($I725)),NOT(ISNUMBER($G725))),"",IF(OR($AG725="",$AH725=""),"",IF(ROUND(ABS($H725-$I725)*ABS($G725)*$AG725*$AH725,6)=0,"",ROUND(ABS($H725-$I725)*ABS($G725)*$AG725*$AH725,6))))</f>
        <v/>
      </c>
      <c r="W725" s="50" t="str">
        <f>IF($AM725=0,"",IF($BG725="","OK",LEFT($BG725,LEN($BG725)-2)))</f>
        <v/>
      </c>
      <c r="X725" s="41" t="n"/>
      <c r="Y725" s="40" t="n"/>
      <c r="Z725" s="41" t="n"/>
      <c r="AA725" s="41" t="n"/>
      <c r="AB725" s="40" t="n"/>
      <c r="AC725" s="51" t="n"/>
      <c r="AD725" s="51" t="n"/>
      <c r="AE725" s="40" t="n"/>
      <c r="AF725" s="52" t="str">
        <f>IF($AM725=0,"",IF($D725&lt;&gt;"",$D725,IF(IFERROR(INDEX(Accounts!$C$7:$C$16,MATCH($C725,Accounts!$B$7:$B$16,0))&amp;"","")&lt;&gt;"",INDEX(Accounts!$C$7:$C$16,MATCH($C725,Accounts!$B$7:$B$16,0)),Settings!$C$6)))</f>
        <v/>
      </c>
      <c r="AG725" s="53" t="str">
        <f>IF($AM725=0,"",IF(AND($BE725&gt;0,N(INDEX(Instruments!$D$6:$D$205,MAX(1,$BE725)))&gt;0),INDEX(Instruments!$D$6:$D$205,MAX(1,$BE725)),IF(N(INDEX(Settings!$D$14:$D$18,$BF725))&gt;0,INDEX(Settings!$D$14:$D$18,$BF725),"")))</f>
        <v/>
      </c>
      <c r="AH725" s="54" t="str">
        <f>IF($AM725=0,"",IF($AF725&lt;&gt;"Forex",1,IF(MID(UPPER(SUBSTITUTE(TRIM($E725),"/","")),4,3)=UPPER(TRIM(Settings!$C$7)),1,IF(LEFT(UPPER(SUBSTITUTE(TRIM($E725),"/","")),3)=UPPER(TRIM(Settings!$C$7)),IF(AND(ISNUMBER($K725),N($K725)&lt;&gt;0),1/$K725,""),""))))</f>
        <v/>
      </c>
      <c r="AI725" s="55" t="str">
        <f>IF($AM725=0,"",IF(OR(NOT(ISNUMBER($H725)),NOT(ISNUMBER($K725)),NOT(ISNUMBER($G725)),$AG725="",$AH725=""),"",ROUND(($K725-$H725)*IF($F725="Short",-1,1)*$G725*$AG725*$AH725,6)))</f>
        <v/>
      </c>
      <c r="AJ725" s="55" t="str">
        <f>IF($AM725=0,"",IF(INDEX(Settings!$E$14:$E$18,$BF725)="% of notional",IF(OR($AG725="",NOT(ISNUMBER($H725)),NOT(ISNUMBER($G725))),"",ROUND(ABS($H725*$G725*$AG725*N($AH725))*IF($L725="Limit",N(INDEX(Settings!$G$14:$G$18,$BF725)),N(INDEX(Settings!$H$14:$H$18,$BF725)))+IF(ISNUMBER($K725),ABS($K725*$G725*$AG725*N($AH725))*IF($M725="Target",N(INDEX(Settings!$G$14:$G$18,$BF725)),N(INDEX(Settings!$H$14:$H$18,$BF725))),0),6)),IF(NOT(ISNUMBER($G725)),"",ROUND(ABS($G725)*2*IF(AND($BE725&gt;0,ISNUMBER(INDEX(Instruments!$G$6:$G$205,MAX(1,$BE725)))),INDEX(Instruments!$G$6:$G$205,MAX(1,$BE725)),N(INDEX(Settings!$F$14:$F$18,$BF725))),6))))</f>
        <v/>
      </c>
      <c r="AK725" s="55" t="str">
        <f>IF($AM725=0,"",IF(ISNUMBER($O725),$O725,$AI725))</f>
        <v/>
      </c>
      <c r="AL725" s="55" t="str">
        <f>IF($AM725=0,"",IF(ISNUMBER($P725),$P725,N($AJ725)))</f>
        <v/>
      </c>
      <c r="AM725" s="56">
        <f>IF(AND($A725&lt;&gt;"",$E725&lt;&gt;"",OR(AND(ISNUMBER($G725),ISNUMBER($H725),ISNUMBER($K725)),ISNUMBER($O725))),1,0)</f>
        <v>0</v>
      </c>
      <c r="AN725" s="57" t="str">
        <f>IF($A725="","",$A725-WEEKDAY($A725,3))</f>
        <v/>
      </c>
      <c r="AO725" s="56" t="str">
        <f>IF($A725="","",WEEKDAY($A725,2))</f>
        <v/>
      </c>
      <c r="AP725" s="55" t="str">
        <f>IF(OR($AM725=0,$C725=""),"",IFERROR(N(INDEX(Accounts!$E$7:$E$16,MATCH($C725,Accounts!$B$7:$B$16,0))),0)+SUMIFS($Q$6:$Q725,$C$6:$C725,$C725))</f>
        <v/>
      </c>
      <c r="AQ725" s="55" t="str">
        <f>IF(OR($AM725=0,$C725=""),"",SUMIFS($Q$6:$Q$1005,$C$6:$C$1005,$C725,$A$6:$A$1005,$A725))</f>
        <v/>
      </c>
      <c r="AR725" s="55" t="str">
        <f>IF(OR($AM725=0,$C725=""),"",IFERROR(N(INDEX(Accounts!$E$7:$E$16,MATCH($C725,Accounts!$B$7:$B$16,0))),0)+SUMIFS($Q$6:$Q$1005,$C$6:$C$1005,$C725,$A$6:$A$1005,"&lt;="&amp;$A725))</f>
        <v/>
      </c>
      <c r="AS725" s="56">
        <f>IF(OR($AM725=0,$Q725=""),0,IF(AND($A725&gt;=Lists!$W$6,$A725&lt;=Lists!$W$7,OR(Dashboard!$D$6="All accounts",$C725=Dashboard!$D$6),OR(Dashboard!$D$7="All markets",$AF725=Dashboard!$D$7)),1,0))</f>
        <v>0</v>
      </c>
      <c r="AT725" s="55">
        <f>IF($AS725=1,N(AT724)+$Q725,N(AT724))</f>
        <v>1187.10688</v>
      </c>
      <c r="AU725" s="55">
        <f>MAX(N(AU724),$AT725)</f>
        <v>1187.10688</v>
      </c>
      <c r="AV725" s="55">
        <f>$AT725-$AU725</f>
        <v>0</v>
      </c>
      <c r="AW725" s="56">
        <f>IF($AS725=1,IF($S725="Win",N(AW724)+1,IF($S725="Loss",0,N(AW724))),N(AW724))</f>
        <v>5</v>
      </c>
      <c r="AX725" s="56">
        <f>IF($AS725=1,IF($S725="Loss",N(AX724)+1,IF($S725="Win",0,N(AX724))),N(AX724))</f>
        <v>0</v>
      </c>
      <c r="AY725" s="56" t="str">
        <f>IF($AS725=1,COUNTIF($AS$6:$AS725,1),"")</f>
        <v/>
      </c>
      <c r="AZ725" s="56">
        <f>MIN(719,N(Lists!$W$8))</f>
        <v>28</v>
      </c>
      <c r="BA725" s="56">
        <f>IF($AS725=1,IF(COUNTIFS($A$6:$A725,$A725,$AS$6:$AS725,1)=1,1,0),0)</f>
        <v>0</v>
      </c>
      <c r="BB725" s="55" t="str">
        <f>IF($BA725=1,SUMIFS($Q$6:$Q$1005,$A$6:$A$1005,$A725,$AS$6:$AS$1005,1),"")</f>
        <v/>
      </c>
      <c r="BC725" s="56">
        <f>IF(ISNUMBER($R725),1,0)</f>
        <v>0</v>
      </c>
      <c r="BD725" s="55" t="str">
        <f>IF(ISNUMBER($U725),$U725*$V725,"")</f>
        <v/>
      </c>
      <c r="BE725" s="56" t="str">
        <f>IF($AM725=0,"",IFERROR(MATCH($AF725&amp;"|"&amp;UPPER(TRIM($E725)),Lists!$A$6:$A$205,0),0))</f>
        <v/>
      </c>
      <c r="BF725" s="56" t="str">
        <f>IF($AM725=0,"",IFERROR(MATCH($AF725,Settings!$B$14:$B$18,0),IFERROR(MATCH(Settings!$C$6,Settings!$B$14:$B$18,0),1)))</f>
        <v/>
      </c>
      <c r="BG725" s="58" t="str">
        <f>IF($AM725=0,"",IF(NOT(ISNUMBER($I725)),"No stop; ","")&amp;IF(AND(ISNUMBER($H725),ISNUMBER($I725)),IF(OR(AND($F725&lt;&gt;"Short",$I725&gt;=$H725),AND($F725="Short",$I725&lt;=$H725)),"Stop on wrong side; ",""),"")&amp;IF($F725="","No direction; ","")&amp;IF(AND(ISNUMBER(Settings!$C$22),ISNUMBER($V725)),IF($V725&gt;Settings!$C$22,"Risk over max $; ",""),"")&amp;IF(AND(ISNUMBER(Settings!$C$23),ISNUMBER($V725),ISNUMBER($AP725),IFERROR(N(INDEX(Accounts!$E$7:$E$16,MATCH($C725,Accounts!$B$7:$B$16,0))),0)&gt;0),IF($V725&gt;Settings!$C$23*($AP725-N($Q725)),"Risk over max %; ",""),"")&amp;IF(AND(ISNUMBER(Settings!$C$24),ISNUMBER($N725)),IF($N725&gt;Settings!$C$24,"Leverage over max; ",""),"")&amp;IF(AND(ISNUMBER(Settings!$C$27),ISNUMBER($T725)),IF($T725&lt;Settings!$C$27,"R:R below min; ",""),"")&amp;IF(ISNUMBER(Settings!$C$25),IF(COUNTIFS($A$6:$A725,$A725,$AM$6:$AM725,1)&gt;Settings!$C$25,"Over max trades/day; ",""),"")&amp;IF(ISNUMBER(Settings!$C$26),IF(SUMIFS($Q$5:$Q724,$A$5:$A724,$A725)&lt;=-Settings!$C$26,"Traded after daily max loss; ",""),"")&amp;IF(AND($AG725="",NOT(ISNUMBER($O725))),"Symbol not in Instruments; ","")&amp;IF(AND($AH725="",NOT(ISNUMBER($O725))),"Forex cross: type Gross P&amp;L; ",""))</f>
        <v/>
      </c>
      <c r="BH725" s="56">
        <f>IF(ISNUMBER($Q725),1,0)</f>
        <v>0</v>
      </c>
      <c r="BI725" s="56">
        <f>IF($Y725="",0,1)</f>
        <v>0</v>
      </c>
      <c r="BJ725" s="56">
        <f>IF($AB725="",0,1)</f>
        <v>0</v>
      </c>
      <c r="BK725" s="56">
        <f>IF(AND($BH725=1,$W725&lt;&gt;"OK"),1,0)</f>
        <v>0</v>
      </c>
      <c r="BL725" s="55">
        <f>IF(N($AZ725)=0,0,IFERROR(INDEX($AT$6:$AT$1005,MATCH($AZ725,$AY$6:$AY$1005,0)),0))</f>
        <v>1187.10688</v>
      </c>
      <c r="BM725" s="56">
        <f>IF(ISNUMBER(SEARCH("daily max loss",$BG725)),1,0)</f>
        <v>0</v>
      </c>
    </row>
    <row r="726" ht="18" customHeight="1">
      <c r="A726" s="38" t="n"/>
      <c r="B726" s="39" t="n"/>
      <c r="C726" s="40" t="n"/>
      <c r="D726" s="41" t="n"/>
      <c r="E726" s="41" t="n"/>
      <c r="F726" s="41" t="n"/>
      <c r="G726" s="41" t="n"/>
      <c r="H726" s="42" t="n"/>
      <c r="I726" s="42" t="n"/>
      <c r="J726" s="42" t="n"/>
      <c r="K726" s="42" t="n"/>
      <c r="L726" s="41" t="n"/>
      <c r="M726" s="41" t="n"/>
      <c r="N726" s="41" t="n"/>
      <c r="O726" s="43" t="n"/>
      <c r="P726" s="43" t="n"/>
      <c r="Q726" s="44" t="str">
        <f>IF($AM726=0,"",IF(ISNUMBER($AK726),$AK726-N($AL726),""))</f>
        <v/>
      </c>
      <c r="R726" s="45" t="str">
        <f>IF(OR($Q726="",NOT(ISNUMBER($V726))),"",$AK726/$V726)</f>
        <v/>
      </c>
      <c r="S726" s="46" t="str">
        <f>IF($Q726="","",IF(AND(ISNUMBER($R726),ABS(N($R726))&lt;N(Settings!$C$8)),"Scratch",IF($Q726&gt;0,"Win",IF($Q726&lt;0,"Loss","Scratch"))))</f>
        <v/>
      </c>
      <c r="T726" s="47" t="str">
        <f>IF(OR($AM726=0,NOT(ISNUMBER($H726)),NOT(ISNUMBER($I726)),NOT(ISNUMBER($J726))),"",IF($H726=$I726,"",ROUND(ABS($J726-$H726)/ABS($H726-$I726),6)))</f>
        <v/>
      </c>
      <c r="U726" s="48" t="str">
        <f>IF(OR($S726&lt;&gt;"Win",NOT(ISNUMBER($T726)),NOT(ISNUMBER($R726))),"",MAX(0,$T726-$R726))</f>
        <v/>
      </c>
      <c r="V726" s="49" t="str">
        <f>IF(OR($AM726=0,NOT(ISNUMBER($H726)),NOT(ISNUMBER($I726)),NOT(ISNUMBER($G726))),"",IF(OR($AG726="",$AH726=""),"",IF(ROUND(ABS($H726-$I726)*ABS($G726)*$AG726*$AH726,6)=0,"",ROUND(ABS($H726-$I726)*ABS($G726)*$AG726*$AH726,6))))</f>
        <v/>
      </c>
      <c r="W726" s="50" t="str">
        <f>IF($AM726=0,"",IF($BG726="","OK",LEFT($BG726,LEN($BG726)-2)))</f>
        <v/>
      </c>
      <c r="X726" s="41" t="n"/>
      <c r="Y726" s="40" t="n"/>
      <c r="Z726" s="41" t="n"/>
      <c r="AA726" s="41" t="n"/>
      <c r="AB726" s="40" t="n"/>
      <c r="AC726" s="51" t="n"/>
      <c r="AD726" s="51" t="n"/>
      <c r="AE726" s="40" t="n"/>
      <c r="AF726" s="52" t="str">
        <f>IF($AM726=0,"",IF($D726&lt;&gt;"",$D726,IF(IFERROR(INDEX(Accounts!$C$7:$C$16,MATCH($C726,Accounts!$B$7:$B$16,0))&amp;"","")&lt;&gt;"",INDEX(Accounts!$C$7:$C$16,MATCH($C726,Accounts!$B$7:$B$16,0)),Settings!$C$6)))</f>
        <v/>
      </c>
      <c r="AG726" s="53" t="str">
        <f>IF($AM726=0,"",IF(AND($BE726&gt;0,N(INDEX(Instruments!$D$6:$D$205,MAX(1,$BE726)))&gt;0),INDEX(Instruments!$D$6:$D$205,MAX(1,$BE726)),IF(N(INDEX(Settings!$D$14:$D$18,$BF726))&gt;0,INDEX(Settings!$D$14:$D$18,$BF726),"")))</f>
        <v/>
      </c>
      <c r="AH726" s="54" t="str">
        <f>IF($AM726=0,"",IF($AF726&lt;&gt;"Forex",1,IF(MID(UPPER(SUBSTITUTE(TRIM($E726),"/","")),4,3)=UPPER(TRIM(Settings!$C$7)),1,IF(LEFT(UPPER(SUBSTITUTE(TRIM($E726),"/","")),3)=UPPER(TRIM(Settings!$C$7)),IF(AND(ISNUMBER($K726),N($K726)&lt;&gt;0),1/$K726,""),""))))</f>
        <v/>
      </c>
      <c r="AI726" s="55" t="str">
        <f>IF($AM726=0,"",IF(OR(NOT(ISNUMBER($H726)),NOT(ISNUMBER($K726)),NOT(ISNUMBER($G726)),$AG726="",$AH726=""),"",ROUND(($K726-$H726)*IF($F726="Short",-1,1)*$G726*$AG726*$AH726,6)))</f>
        <v/>
      </c>
      <c r="AJ726" s="55" t="str">
        <f>IF($AM726=0,"",IF(INDEX(Settings!$E$14:$E$18,$BF726)="% of notional",IF(OR($AG726="",NOT(ISNUMBER($H726)),NOT(ISNUMBER($G726))),"",ROUND(ABS($H726*$G726*$AG726*N($AH726))*IF($L726="Limit",N(INDEX(Settings!$G$14:$G$18,$BF726)),N(INDEX(Settings!$H$14:$H$18,$BF726)))+IF(ISNUMBER($K726),ABS($K726*$G726*$AG726*N($AH726))*IF($M726="Target",N(INDEX(Settings!$G$14:$G$18,$BF726)),N(INDEX(Settings!$H$14:$H$18,$BF726))),0),6)),IF(NOT(ISNUMBER($G726)),"",ROUND(ABS($G726)*2*IF(AND($BE726&gt;0,ISNUMBER(INDEX(Instruments!$G$6:$G$205,MAX(1,$BE726)))),INDEX(Instruments!$G$6:$G$205,MAX(1,$BE726)),N(INDEX(Settings!$F$14:$F$18,$BF726))),6))))</f>
        <v/>
      </c>
      <c r="AK726" s="55" t="str">
        <f>IF($AM726=0,"",IF(ISNUMBER($O726),$O726,$AI726))</f>
        <v/>
      </c>
      <c r="AL726" s="55" t="str">
        <f>IF($AM726=0,"",IF(ISNUMBER($P726),$P726,N($AJ726)))</f>
        <v/>
      </c>
      <c r="AM726" s="56">
        <f>IF(AND($A726&lt;&gt;"",$E726&lt;&gt;"",OR(AND(ISNUMBER($G726),ISNUMBER($H726),ISNUMBER($K726)),ISNUMBER($O726))),1,0)</f>
        <v>0</v>
      </c>
      <c r="AN726" s="57" t="str">
        <f>IF($A726="","",$A726-WEEKDAY($A726,3))</f>
        <v/>
      </c>
      <c r="AO726" s="56" t="str">
        <f>IF($A726="","",WEEKDAY($A726,2))</f>
        <v/>
      </c>
      <c r="AP726" s="55" t="str">
        <f>IF(OR($AM726=0,$C726=""),"",IFERROR(N(INDEX(Accounts!$E$7:$E$16,MATCH($C726,Accounts!$B$7:$B$16,0))),0)+SUMIFS($Q$6:$Q726,$C$6:$C726,$C726))</f>
        <v/>
      </c>
      <c r="AQ726" s="55" t="str">
        <f>IF(OR($AM726=0,$C726=""),"",SUMIFS($Q$6:$Q$1005,$C$6:$C$1005,$C726,$A$6:$A$1005,$A726))</f>
        <v/>
      </c>
      <c r="AR726" s="55" t="str">
        <f>IF(OR($AM726=0,$C726=""),"",IFERROR(N(INDEX(Accounts!$E$7:$E$16,MATCH($C726,Accounts!$B$7:$B$16,0))),0)+SUMIFS($Q$6:$Q$1005,$C$6:$C$1005,$C726,$A$6:$A$1005,"&lt;="&amp;$A726))</f>
        <v/>
      </c>
      <c r="AS726" s="56">
        <f>IF(OR($AM726=0,$Q726=""),0,IF(AND($A726&gt;=Lists!$W$6,$A726&lt;=Lists!$W$7,OR(Dashboard!$D$6="All accounts",$C726=Dashboard!$D$6),OR(Dashboard!$D$7="All markets",$AF726=Dashboard!$D$7)),1,0))</f>
        <v>0</v>
      </c>
      <c r="AT726" s="55">
        <f>IF($AS726=1,N(AT725)+$Q726,N(AT725))</f>
        <v>1187.10688</v>
      </c>
      <c r="AU726" s="55">
        <f>MAX(N(AU725),$AT726)</f>
        <v>1187.10688</v>
      </c>
      <c r="AV726" s="55">
        <f>$AT726-$AU726</f>
        <v>0</v>
      </c>
      <c r="AW726" s="56">
        <f>IF($AS726=1,IF($S726="Win",N(AW725)+1,IF($S726="Loss",0,N(AW725))),N(AW725))</f>
        <v>5</v>
      </c>
      <c r="AX726" s="56">
        <f>IF($AS726=1,IF($S726="Loss",N(AX725)+1,IF($S726="Win",0,N(AX725))),N(AX725))</f>
        <v>0</v>
      </c>
      <c r="AY726" s="56" t="str">
        <f>IF($AS726=1,COUNTIF($AS$6:$AS726,1),"")</f>
        <v/>
      </c>
      <c r="AZ726" s="56">
        <f>MIN(720,N(Lists!$W$8))</f>
        <v>28</v>
      </c>
      <c r="BA726" s="56">
        <f>IF($AS726=1,IF(COUNTIFS($A$6:$A726,$A726,$AS$6:$AS726,1)=1,1,0),0)</f>
        <v>0</v>
      </c>
      <c r="BB726" s="55" t="str">
        <f>IF($BA726=1,SUMIFS($Q$6:$Q$1005,$A$6:$A$1005,$A726,$AS$6:$AS$1005,1),"")</f>
        <v/>
      </c>
      <c r="BC726" s="56">
        <f>IF(ISNUMBER($R726),1,0)</f>
        <v>0</v>
      </c>
      <c r="BD726" s="55" t="str">
        <f>IF(ISNUMBER($U726),$U726*$V726,"")</f>
        <v/>
      </c>
      <c r="BE726" s="56" t="str">
        <f>IF($AM726=0,"",IFERROR(MATCH($AF726&amp;"|"&amp;UPPER(TRIM($E726)),Lists!$A$6:$A$205,0),0))</f>
        <v/>
      </c>
      <c r="BF726" s="56" t="str">
        <f>IF($AM726=0,"",IFERROR(MATCH($AF726,Settings!$B$14:$B$18,0),IFERROR(MATCH(Settings!$C$6,Settings!$B$14:$B$18,0),1)))</f>
        <v/>
      </c>
      <c r="BG726" s="58" t="str">
        <f>IF($AM726=0,"",IF(NOT(ISNUMBER($I726)),"No stop; ","")&amp;IF(AND(ISNUMBER($H726),ISNUMBER($I726)),IF(OR(AND($F726&lt;&gt;"Short",$I726&gt;=$H726),AND($F726="Short",$I726&lt;=$H726)),"Stop on wrong side; ",""),"")&amp;IF($F726="","No direction; ","")&amp;IF(AND(ISNUMBER(Settings!$C$22),ISNUMBER($V726)),IF($V726&gt;Settings!$C$22,"Risk over max $; ",""),"")&amp;IF(AND(ISNUMBER(Settings!$C$23),ISNUMBER($V726),ISNUMBER($AP726),IFERROR(N(INDEX(Accounts!$E$7:$E$16,MATCH($C726,Accounts!$B$7:$B$16,0))),0)&gt;0),IF($V726&gt;Settings!$C$23*($AP726-N($Q726)),"Risk over max %; ",""),"")&amp;IF(AND(ISNUMBER(Settings!$C$24),ISNUMBER($N726)),IF($N726&gt;Settings!$C$24,"Leverage over max; ",""),"")&amp;IF(AND(ISNUMBER(Settings!$C$27),ISNUMBER($T726)),IF($T726&lt;Settings!$C$27,"R:R below min; ",""),"")&amp;IF(ISNUMBER(Settings!$C$25),IF(COUNTIFS($A$6:$A726,$A726,$AM$6:$AM726,1)&gt;Settings!$C$25,"Over max trades/day; ",""),"")&amp;IF(ISNUMBER(Settings!$C$26),IF(SUMIFS($Q$5:$Q725,$A$5:$A725,$A726)&lt;=-Settings!$C$26,"Traded after daily max loss; ",""),"")&amp;IF(AND($AG726="",NOT(ISNUMBER($O726))),"Symbol not in Instruments; ","")&amp;IF(AND($AH726="",NOT(ISNUMBER($O726))),"Forex cross: type Gross P&amp;L; ",""))</f>
        <v/>
      </c>
      <c r="BH726" s="56">
        <f>IF(ISNUMBER($Q726),1,0)</f>
        <v>0</v>
      </c>
      <c r="BI726" s="56">
        <f>IF($Y726="",0,1)</f>
        <v>0</v>
      </c>
      <c r="BJ726" s="56">
        <f>IF($AB726="",0,1)</f>
        <v>0</v>
      </c>
      <c r="BK726" s="56">
        <f>IF(AND($BH726=1,$W726&lt;&gt;"OK"),1,0)</f>
        <v>0</v>
      </c>
      <c r="BL726" s="55">
        <f>IF(N($AZ726)=0,0,IFERROR(INDEX($AT$6:$AT$1005,MATCH($AZ726,$AY$6:$AY$1005,0)),0))</f>
        <v>1187.10688</v>
      </c>
      <c r="BM726" s="56">
        <f>IF(ISNUMBER(SEARCH("daily max loss",$BG726)),1,0)</f>
        <v>0</v>
      </c>
    </row>
    <row r="727" ht="18" customHeight="1">
      <c r="A727" s="38" t="n"/>
      <c r="B727" s="39" t="n"/>
      <c r="C727" s="40" t="n"/>
      <c r="D727" s="41" t="n"/>
      <c r="E727" s="41" t="n"/>
      <c r="F727" s="41" t="n"/>
      <c r="G727" s="41" t="n"/>
      <c r="H727" s="42" t="n"/>
      <c r="I727" s="42" t="n"/>
      <c r="J727" s="42" t="n"/>
      <c r="K727" s="42" t="n"/>
      <c r="L727" s="41" t="n"/>
      <c r="M727" s="41" t="n"/>
      <c r="N727" s="41" t="n"/>
      <c r="O727" s="43" t="n"/>
      <c r="P727" s="43" t="n"/>
      <c r="Q727" s="44" t="str">
        <f>IF($AM727=0,"",IF(ISNUMBER($AK727),$AK727-N($AL727),""))</f>
        <v/>
      </c>
      <c r="R727" s="45" t="str">
        <f>IF(OR($Q727="",NOT(ISNUMBER($V727))),"",$AK727/$V727)</f>
        <v/>
      </c>
      <c r="S727" s="46" t="str">
        <f>IF($Q727="","",IF(AND(ISNUMBER($R727),ABS(N($R727))&lt;N(Settings!$C$8)),"Scratch",IF($Q727&gt;0,"Win",IF($Q727&lt;0,"Loss","Scratch"))))</f>
        <v/>
      </c>
      <c r="T727" s="47" t="str">
        <f>IF(OR($AM727=0,NOT(ISNUMBER($H727)),NOT(ISNUMBER($I727)),NOT(ISNUMBER($J727))),"",IF($H727=$I727,"",ROUND(ABS($J727-$H727)/ABS($H727-$I727),6)))</f>
        <v/>
      </c>
      <c r="U727" s="48" t="str">
        <f>IF(OR($S727&lt;&gt;"Win",NOT(ISNUMBER($T727)),NOT(ISNUMBER($R727))),"",MAX(0,$T727-$R727))</f>
        <v/>
      </c>
      <c r="V727" s="49" t="str">
        <f>IF(OR($AM727=0,NOT(ISNUMBER($H727)),NOT(ISNUMBER($I727)),NOT(ISNUMBER($G727))),"",IF(OR($AG727="",$AH727=""),"",IF(ROUND(ABS($H727-$I727)*ABS($G727)*$AG727*$AH727,6)=0,"",ROUND(ABS($H727-$I727)*ABS($G727)*$AG727*$AH727,6))))</f>
        <v/>
      </c>
      <c r="W727" s="50" t="str">
        <f>IF($AM727=0,"",IF($BG727="","OK",LEFT($BG727,LEN($BG727)-2)))</f>
        <v/>
      </c>
      <c r="X727" s="41" t="n"/>
      <c r="Y727" s="40" t="n"/>
      <c r="Z727" s="41" t="n"/>
      <c r="AA727" s="41" t="n"/>
      <c r="AB727" s="40" t="n"/>
      <c r="AC727" s="51" t="n"/>
      <c r="AD727" s="51" t="n"/>
      <c r="AE727" s="40" t="n"/>
      <c r="AF727" s="52" t="str">
        <f>IF($AM727=0,"",IF($D727&lt;&gt;"",$D727,IF(IFERROR(INDEX(Accounts!$C$7:$C$16,MATCH($C727,Accounts!$B$7:$B$16,0))&amp;"","")&lt;&gt;"",INDEX(Accounts!$C$7:$C$16,MATCH($C727,Accounts!$B$7:$B$16,0)),Settings!$C$6)))</f>
        <v/>
      </c>
      <c r="AG727" s="53" t="str">
        <f>IF($AM727=0,"",IF(AND($BE727&gt;0,N(INDEX(Instruments!$D$6:$D$205,MAX(1,$BE727)))&gt;0),INDEX(Instruments!$D$6:$D$205,MAX(1,$BE727)),IF(N(INDEX(Settings!$D$14:$D$18,$BF727))&gt;0,INDEX(Settings!$D$14:$D$18,$BF727),"")))</f>
        <v/>
      </c>
      <c r="AH727" s="54" t="str">
        <f>IF($AM727=0,"",IF($AF727&lt;&gt;"Forex",1,IF(MID(UPPER(SUBSTITUTE(TRIM($E727),"/","")),4,3)=UPPER(TRIM(Settings!$C$7)),1,IF(LEFT(UPPER(SUBSTITUTE(TRIM($E727),"/","")),3)=UPPER(TRIM(Settings!$C$7)),IF(AND(ISNUMBER($K727),N($K727)&lt;&gt;0),1/$K727,""),""))))</f>
        <v/>
      </c>
      <c r="AI727" s="55" t="str">
        <f>IF($AM727=0,"",IF(OR(NOT(ISNUMBER($H727)),NOT(ISNUMBER($K727)),NOT(ISNUMBER($G727)),$AG727="",$AH727=""),"",ROUND(($K727-$H727)*IF($F727="Short",-1,1)*$G727*$AG727*$AH727,6)))</f>
        <v/>
      </c>
      <c r="AJ727" s="55" t="str">
        <f>IF($AM727=0,"",IF(INDEX(Settings!$E$14:$E$18,$BF727)="% of notional",IF(OR($AG727="",NOT(ISNUMBER($H727)),NOT(ISNUMBER($G727))),"",ROUND(ABS($H727*$G727*$AG727*N($AH727))*IF($L727="Limit",N(INDEX(Settings!$G$14:$G$18,$BF727)),N(INDEX(Settings!$H$14:$H$18,$BF727)))+IF(ISNUMBER($K727),ABS($K727*$G727*$AG727*N($AH727))*IF($M727="Target",N(INDEX(Settings!$G$14:$G$18,$BF727)),N(INDEX(Settings!$H$14:$H$18,$BF727))),0),6)),IF(NOT(ISNUMBER($G727)),"",ROUND(ABS($G727)*2*IF(AND($BE727&gt;0,ISNUMBER(INDEX(Instruments!$G$6:$G$205,MAX(1,$BE727)))),INDEX(Instruments!$G$6:$G$205,MAX(1,$BE727)),N(INDEX(Settings!$F$14:$F$18,$BF727))),6))))</f>
        <v/>
      </c>
      <c r="AK727" s="55" t="str">
        <f>IF($AM727=0,"",IF(ISNUMBER($O727),$O727,$AI727))</f>
        <v/>
      </c>
      <c r="AL727" s="55" t="str">
        <f>IF($AM727=0,"",IF(ISNUMBER($P727),$P727,N($AJ727)))</f>
        <v/>
      </c>
      <c r="AM727" s="56">
        <f>IF(AND($A727&lt;&gt;"",$E727&lt;&gt;"",OR(AND(ISNUMBER($G727),ISNUMBER($H727),ISNUMBER($K727)),ISNUMBER($O727))),1,0)</f>
        <v>0</v>
      </c>
      <c r="AN727" s="57" t="str">
        <f>IF($A727="","",$A727-WEEKDAY($A727,3))</f>
        <v/>
      </c>
      <c r="AO727" s="56" t="str">
        <f>IF($A727="","",WEEKDAY($A727,2))</f>
        <v/>
      </c>
      <c r="AP727" s="55" t="str">
        <f>IF(OR($AM727=0,$C727=""),"",IFERROR(N(INDEX(Accounts!$E$7:$E$16,MATCH($C727,Accounts!$B$7:$B$16,0))),0)+SUMIFS($Q$6:$Q727,$C$6:$C727,$C727))</f>
        <v/>
      </c>
      <c r="AQ727" s="55" t="str">
        <f>IF(OR($AM727=0,$C727=""),"",SUMIFS($Q$6:$Q$1005,$C$6:$C$1005,$C727,$A$6:$A$1005,$A727))</f>
        <v/>
      </c>
      <c r="AR727" s="55" t="str">
        <f>IF(OR($AM727=0,$C727=""),"",IFERROR(N(INDEX(Accounts!$E$7:$E$16,MATCH($C727,Accounts!$B$7:$B$16,0))),0)+SUMIFS($Q$6:$Q$1005,$C$6:$C$1005,$C727,$A$6:$A$1005,"&lt;="&amp;$A727))</f>
        <v/>
      </c>
      <c r="AS727" s="56">
        <f>IF(OR($AM727=0,$Q727=""),0,IF(AND($A727&gt;=Lists!$W$6,$A727&lt;=Lists!$W$7,OR(Dashboard!$D$6="All accounts",$C727=Dashboard!$D$6),OR(Dashboard!$D$7="All markets",$AF727=Dashboard!$D$7)),1,0))</f>
        <v>0</v>
      </c>
      <c r="AT727" s="55">
        <f>IF($AS727=1,N(AT726)+$Q727,N(AT726))</f>
        <v>1187.10688</v>
      </c>
      <c r="AU727" s="55">
        <f>MAX(N(AU726),$AT727)</f>
        <v>1187.10688</v>
      </c>
      <c r="AV727" s="55">
        <f>$AT727-$AU727</f>
        <v>0</v>
      </c>
      <c r="AW727" s="56">
        <f>IF($AS727=1,IF($S727="Win",N(AW726)+1,IF($S727="Loss",0,N(AW726))),N(AW726))</f>
        <v>5</v>
      </c>
      <c r="AX727" s="56">
        <f>IF($AS727=1,IF($S727="Loss",N(AX726)+1,IF($S727="Win",0,N(AX726))),N(AX726))</f>
        <v>0</v>
      </c>
      <c r="AY727" s="56" t="str">
        <f>IF($AS727=1,COUNTIF($AS$6:$AS727,1),"")</f>
        <v/>
      </c>
      <c r="AZ727" s="56">
        <f>MIN(721,N(Lists!$W$8))</f>
        <v>28</v>
      </c>
      <c r="BA727" s="56">
        <f>IF($AS727=1,IF(COUNTIFS($A$6:$A727,$A727,$AS$6:$AS727,1)=1,1,0),0)</f>
        <v>0</v>
      </c>
      <c r="BB727" s="55" t="str">
        <f>IF($BA727=1,SUMIFS($Q$6:$Q$1005,$A$6:$A$1005,$A727,$AS$6:$AS$1005,1),"")</f>
        <v/>
      </c>
      <c r="BC727" s="56">
        <f>IF(ISNUMBER($R727),1,0)</f>
        <v>0</v>
      </c>
      <c r="BD727" s="55" t="str">
        <f>IF(ISNUMBER($U727),$U727*$V727,"")</f>
        <v/>
      </c>
      <c r="BE727" s="56" t="str">
        <f>IF($AM727=0,"",IFERROR(MATCH($AF727&amp;"|"&amp;UPPER(TRIM($E727)),Lists!$A$6:$A$205,0),0))</f>
        <v/>
      </c>
      <c r="BF727" s="56" t="str">
        <f>IF($AM727=0,"",IFERROR(MATCH($AF727,Settings!$B$14:$B$18,0),IFERROR(MATCH(Settings!$C$6,Settings!$B$14:$B$18,0),1)))</f>
        <v/>
      </c>
      <c r="BG727" s="58" t="str">
        <f>IF($AM727=0,"",IF(NOT(ISNUMBER($I727)),"No stop; ","")&amp;IF(AND(ISNUMBER($H727),ISNUMBER($I727)),IF(OR(AND($F727&lt;&gt;"Short",$I727&gt;=$H727),AND($F727="Short",$I727&lt;=$H727)),"Stop on wrong side; ",""),"")&amp;IF($F727="","No direction; ","")&amp;IF(AND(ISNUMBER(Settings!$C$22),ISNUMBER($V727)),IF($V727&gt;Settings!$C$22,"Risk over max $; ",""),"")&amp;IF(AND(ISNUMBER(Settings!$C$23),ISNUMBER($V727),ISNUMBER($AP727),IFERROR(N(INDEX(Accounts!$E$7:$E$16,MATCH($C727,Accounts!$B$7:$B$16,0))),0)&gt;0),IF($V727&gt;Settings!$C$23*($AP727-N($Q727)),"Risk over max %; ",""),"")&amp;IF(AND(ISNUMBER(Settings!$C$24),ISNUMBER($N727)),IF($N727&gt;Settings!$C$24,"Leverage over max; ",""),"")&amp;IF(AND(ISNUMBER(Settings!$C$27),ISNUMBER($T727)),IF($T727&lt;Settings!$C$27,"R:R below min; ",""),"")&amp;IF(ISNUMBER(Settings!$C$25),IF(COUNTIFS($A$6:$A727,$A727,$AM$6:$AM727,1)&gt;Settings!$C$25,"Over max trades/day; ",""),"")&amp;IF(ISNUMBER(Settings!$C$26),IF(SUMIFS($Q$5:$Q726,$A$5:$A726,$A727)&lt;=-Settings!$C$26,"Traded after daily max loss; ",""),"")&amp;IF(AND($AG727="",NOT(ISNUMBER($O727))),"Symbol not in Instruments; ","")&amp;IF(AND($AH727="",NOT(ISNUMBER($O727))),"Forex cross: type Gross P&amp;L; ",""))</f>
        <v/>
      </c>
      <c r="BH727" s="56">
        <f>IF(ISNUMBER($Q727),1,0)</f>
        <v>0</v>
      </c>
      <c r="BI727" s="56">
        <f>IF($Y727="",0,1)</f>
        <v>0</v>
      </c>
      <c r="BJ727" s="56">
        <f>IF($AB727="",0,1)</f>
        <v>0</v>
      </c>
      <c r="BK727" s="56">
        <f>IF(AND($BH727=1,$W727&lt;&gt;"OK"),1,0)</f>
        <v>0</v>
      </c>
      <c r="BL727" s="55">
        <f>IF(N($AZ727)=0,0,IFERROR(INDEX($AT$6:$AT$1005,MATCH($AZ727,$AY$6:$AY$1005,0)),0))</f>
        <v>1187.10688</v>
      </c>
      <c r="BM727" s="56">
        <f>IF(ISNUMBER(SEARCH("daily max loss",$BG727)),1,0)</f>
        <v>0</v>
      </c>
    </row>
    <row r="728" ht="18" customHeight="1">
      <c r="A728" s="38" t="n"/>
      <c r="B728" s="39" t="n"/>
      <c r="C728" s="40" t="n"/>
      <c r="D728" s="41" t="n"/>
      <c r="E728" s="41" t="n"/>
      <c r="F728" s="41" t="n"/>
      <c r="G728" s="41" t="n"/>
      <c r="H728" s="42" t="n"/>
      <c r="I728" s="42" t="n"/>
      <c r="J728" s="42" t="n"/>
      <c r="K728" s="42" t="n"/>
      <c r="L728" s="41" t="n"/>
      <c r="M728" s="41" t="n"/>
      <c r="N728" s="41" t="n"/>
      <c r="O728" s="43" t="n"/>
      <c r="P728" s="43" t="n"/>
      <c r="Q728" s="44" t="str">
        <f>IF($AM728=0,"",IF(ISNUMBER($AK728),$AK728-N($AL728),""))</f>
        <v/>
      </c>
      <c r="R728" s="45" t="str">
        <f>IF(OR($Q728="",NOT(ISNUMBER($V728))),"",$AK728/$V728)</f>
        <v/>
      </c>
      <c r="S728" s="46" t="str">
        <f>IF($Q728="","",IF(AND(ISNUMBER($R728),ABS(N($R728))&lt;N(Settings!$C$8)),"Scratch",IF($Q728&gt;0,"Win",IF($Q728&lt;0,"Loss","Scratch"))))</f>
        <v/>
      </c>
      <c r="T728" s="47" t="str">
        <f>IF(OR($AM728=0,NOT(ISNUMBER($H728)),NOT(ISNUMBER($I728)),NOT(ISNUMBER($J728))),"",IF($H728=$I728,"",ROUND(ABS($J728-$H728)/ABS($H728-$I728),6)))</f>
        <v/>
      </c>
      <c r="U728" s="48" t="str">
        <f>IF(OR($S728&lt;&gt;"Win",NOT(ISNUMBER($T728)),NOT(ISNUMBER($R728))),"",MAX(0,$T728-$R728))</f>
        <v/>
      </c>
      <c r="V728" s="49" t="str">
        <f>IF(OR($AM728=0,NOT(ISNUMBER($H728)),NOT(ISNUMBER($I728)),NOT(ISNUMBER($G728))),"",IF(OR($AG728="",$AH728=""),"",IF(ROUND(ABS($H728-$I728)*ABS($G728)*$AG728*$AH728,6)=0,"",ROUND(ABS($H728-$I728)*ABS($G728)*$AG728*$AH728,6))))</f>
        <v/>
      </c>
      <c r="W728" s="50" t="str">
        <f>IF($AM728=0,"",IF($BG728="","OK",LEFT($BG728,LEN($BG728)-2)))</f>
        <v/>
      </c>
      <c r="X728" s="41" t="n"/>
      <c r="Y728" s="40" t="n"/>
      <c r="Z728" s="41" t="n"/>
      <c r="AA728" s="41" t="n"/>
      <c r="AB728" s="40" t="n"/>
      <c r="AC728" s="51" t="n"/>
      <c r="AD728" s="51" t="n"/>
      <c r="AE728" s="40" t="n"/>
      <c r="AF728" s="52" t="str">
        <f>IF($AM728=0,"",IF($D728&lt;&gt;"",$D728,IF(IFERROR(INDEX(Accounts!$C$7:$C$16,MATCH($C728,Accounts!$B$7:$B$16,0))&amp;"","")&lt;&gt;"",INDEX(Accounts!$C$7:$C$16,MATCH($C728,Accounts!$B$7:$B$16,0)),Settings!$C$6)))</f>
        <v/>
      </c>
      <c r="AG728" s="53" t="str">
        <f>IF($AM728=0,"",IF(AND($BE728&gt;0,N(INDEX(Instruments!$D$6:$D$205,MAX(1,$BE728)))&gt;0),INDEX(Instruments!$D$6:$D$205,MAX(1,$BE728)),IF(N(INDEX(Settings!$D$14:$D$18,$BF728))&gt;0,INDEX(Settings!$D$14:$D$18,$BF728),"")))</f>
        <v/>
      </c>
      <c r="AH728" s="54" t="str">
        <f>IF($AM728=0,"",IF($AF728&lt;&gt;"Forex",1,IF(MID(UPPER(SUBSTITUTE(TRIM($E728),"/","")),4,3)=UPPER(TRIM(Settings!$C$7)),1,IF(LEFT(UPPER(SUBSTITUTE(TRIM($E728),"/","")),3)=UPPER(TRIM(Settings!$C$7)),IF(AND(ISNUMBER($K728),N($K728)&lt;&gt;0),1/$K728,""),""))))</f>
        <v/>
      </c>
      <c r="AI728" s="55" t="str">
        <f>IF($AM728=0,"",IF(OR(NOT(ISNUMBER($H728)),NOT(ISNUMBER($K728)),NOT(ISNUMBER($G728)),$AG728="",$AH728=""),"",ROUND(($K728-$H728)*IF($F728="Short",-1,1)*$G728*$AG728*$AH728,6)))</f>
        <v/>
      </c>
      <c r="AJ728" s="55" t="str">
        <f>IF($AM728=0,"",IF(INDEX(Settings!$E$14:$E$18,$BF728)="% of notional",IF(OR($AG728="",NOT(ISNUMBER($H728)),NOT(ISNUMBER($G728))),"",ROUND(ABS($H728*$G728*$AG728*N($AH728))*IF($L728="Limit",N(INDEX(Settings!$G$14:$G$18,$BF728)),N(INDEX(Settings!$H$14:$H$18,$BF728)))+IF(ISNUMBER($K728),ABS($K728*$G728*$AG728*N($AH728))*IF($M728="Target",N(INDEX(Settings!$G$14:$G$18,$BF728)),N(INDEX(Settings!$H$14:$H$18,$BF728))),0),6)),IF(NOT(ISNUMBER($G728)),"",ROUND(ABS($G728)*2*IF(AND($BE728&gt;0,ISNUMBER(INDEX(Instruments!$G$6:$G$205,MAX(1,$BE728)))),INDEX(Instruments!$G$6:$G$205,MAX(1,$BE728)),N(INDEX(Settings!$F$14:$F$18,$BF728))),6))))</f>
        <v/>
      </c>
      <c r="AK728" s="55" t="str">
        <f>IF($AM728=0,"",IF(ISNUMBER($O728),$O728,$AI728))</f>
        <v/>
      </c>
      <c r="AL728" s="55" t="str">
        <f>IF($AM728=0,"",IF(ISNUMBER($P728),$P728,N($AJ728)))</f>
        <v/>
      </c>
      <c r="AM728" s="56">
        <f>IF(AND($A728&lt;&gt;"",$E728&lt;&gt;"",OR(AND(ISNUMBER($G728),ISNUMBER($H728),ISNUMBER($K728)),ISNUMBER($O728))),1,0)</f>
        <v>0</v>
      </c>
      <c r="AN728" s="57" t="str">
        <f>IF($A728="","",$A728-WEEKDAY($A728,3))</f>
        <v/>
      </c>
      <c r="AO728" s="56" t="str">
        <f>IF($A728="","",WEEKDAY($A728,2))</f>
        <v/>
      </c>
      <c r="AP728" s="55" t="str">
        <f>IF(OR($AM728=0,$C728=""),"",IFERROR(N(INDEX(Accounts!$E$7:$E$16,MATCH($C728,Accounts!$B$7:$B$16,0))),0)+SUMIFS($Q$6:$Q728,$C$6:$C728,$C728))</f>
        <v/>
      </c>
      <c r="AQ728" s="55" t="str">
        <f>IF(OR($AM728=0,$C728=""),"",SUMIFS($Q$6:$Q$1005,$C$6:$C$1005,$C728,$A$6:$A$1005,$A728))</f>
        <v/>
      </c>
      <c r="AR728" s="55" t="str">
        <f>IF(OR($AM728=0,$C728=""),"",IFERROR(N(INDEX(Accounts!$E$7:$E$16,MATCH($C728,Accounts!$B$7:$B$16,0))),0)+SUMIFS($Q$6:$Q$1005,$C$6:$C$1005,$C728,$A$6:$A$1005,"&lt;="&amp;$A728))</f>
        <v/>
      </c>
      <c r="AS728" s="56">
        <f>IF(OR($AM728=0,$Q728=""),0,IF(AND($A728&gt;=Lists!$W$6,$A728&lt;=Lists!$W$7,OR(Dashboard!$D$6="All accounts",$C728=Dashboard!$D$6),OR(Dashboard!$D$7="All markets",$AF728=Dashboard!$D$7)),1,0))</f>
        <v>0</v>
      </c>
      <c r="AT728" s="55">
        <f>IF($AS728=1,N(AT727)+$Q728,N(AT727))</f>
        <v>1187.10688</v>
      </c>
      <c r="AU728" s="55">
        <f>MAX(N(AU727),$AT728)</f>
        <v>1187.10688</v>
      </c>
      <c r="AV728" s="55">
        <f>$AT728-$AU728</f>
        <v>0</v>
      </c>
      <c r="AW728" s="56">
        <f>IF($AS728=1,IF($S728="Win",N(AW727)+1,IF($S728="Loss",0,N(AW727))),N(AW727))</f>
        <v>5</v>
      </c>
      <c r="AX728" s="56">
        <f>IF($AS728=1,IF($S728="Loss",N(AX727)+1,IF($S728="Win",0,N(AX727))),N(AX727))</f>
        <v>0</v>
      </c>
      <c r="AY728" s="56" t="str">
        <f>IF($AS728=1,COUNTIF($AS$6:$AS728,1),"")</f>
        <v/>
      </c>
      <c r="AZ728" s="56">
        <f>MIN(722,N(Lists!$W$8))</f>
        <v>28</v>
      </c>
      <c r="BA728" s="56">
        <f>IF($AS728=1,IF(COUNTIFS($A$6:$A728,$A728,$AS$6:$AS728,1)=1,1,0),0)</f>
        <v>0</v>
      </c>
      <c r="BB728" s="55" t="str">
        <f>IF($BA728=1,SUMIFS($Q$6:$Q$1005,$A$6:$A$1005,$A728,$AS$6:$AS$1005,1),"")</f>
        <v/>
      </c>
      <c r="BC728" s="56">
        <f>IF(ISNUMBER($R728),1,0)</f>
        <v>0</v>
      </c>
      <c r="BD728" s="55" t="str">
        <f>IF(ISNUMBER($U728),$U728*$V728,"")</f>
        <v/>
      </c>
      <c r="BE728" s="56" t="str">
        <f>IF($AM728=0,"",IFERROR(MATCH($AF728&amp;"|"&amp;UPPER(TRIM($E728)),Lists!$A$6:$A$205,0),0))</f>
        <v/>
      </c>
      <c r="BF728" s="56" t="str">
        <f>IF($AM728=0,"",IFERROR(MATCH($AF728,Settings!$B$14:$B$18,0),IFERROR(MATCH(Settings!$C$6,Settings!$B$14:$B$18,0),1)))</f>
        <v/>
      </c>
      <c r="BG728" s="58" t="str">
        <f>IF($AM728=0,"",IF(NOT(ISNUMBER($I728)),"No stop; ","")&amp;IF(AND(ISNUMBER($H728),ISNUMBER($I728)),IF(OR(AND($F728&lt;&gt;"Short",$I728&gt;=$H728),AND($F728="Short",$I728&lt;=$H728)),"Stop on wrong side; ",""),"")&amp;IF($F728="","No direction; ","")&amp;IF(AND(ISNUMBER(Settings!$C$22),ISNUMBER($V728)),IF($V728&gt;Settings!$C$22,"Risk over max $; ",""),"")&amp;IF(AND(ISNUMBER(Settings!$C$23),ISNUMBER($V728),ISNUMBER($AP728),IFERROR(N(INDEX(Accounts!$E$7:$E$16,MATCH($C728,Accounts!$B$7:$B$16,0))),0)&gt;0),IF($V728&gt;Settings!$C$23*($AP728-N($Q728)),"Risk over max %; ",""),"")&amp;IF(AND(ISNUMBER(Settings!$C$24),ISNUMBER($N728)),IF($N728&gt;Settings!$C$24,"Leverage over max; ",""),"")&amp;IF(AND(ISNUMBER(Settings!$C$27),ISNUMBER($T728)),IF($T728&lt;Settings!$C$27,"R:R below min; ",""),"")&amp;IF(ISNUMBER(Settings!$C$25),IF(COUNTIFS($A$6:$A728,$A728,$AM$6:$AM728,1)&gt;Settings!$C$25,"Over max trades/day; ",""),"")&amp;IF(ISNUMBER(Settings!$C$26),IF(SUMIFS($Q$5:$Q727,$A$5:$A727,$A728)&lt;=-Settings!$C$26,"Traded after daily max loss; ",""),"")&amp;IF(AND($AG728="",NOT(ISNUMBER($O728))),"Symbol not in Instruments; ","")&amp;IF(AND($AH728="",NOT(ISNUMBER($O728))),"Forex cross: type Gross P&amp;L; ",""))</f>
        <v/>
      </c>
      <c r="BH728" s="56">
        <f>IF(ISNUMBER($Q728),1,0)</f>
        <v>0</v>
      </c>
      <c r="BI728" s="56">
        <f>IF($Y728="",0,1)</f>
        <v>0</v>
      </c>
      <c r="BJ728" s="56">
        <f>IF($AB728="",0,1)</f>
        <v>0</v>
      </c>
      <c r="BK728" s="56">
        <f>IF(AND($BH728=1,$W728&lt;&gt;"OK"),1,0)</f>
        <v>0</v>
      </c>
      <c r="BL728" s="55">
        <f>IF(N($AZ728)=0,0,IFERROR(INDEX($AT$6:$AT$1005,MATCH($AZ728,$AY$6:$AY$1005,0)),0))</f>
        <v>1187.10688</v>
      </c>
      <c r="BM728" s="56">
        <f>IF(ISNUMBER(SEARCH("daily max loss",$BG728)),1,0)</f>
        <v>0</v>
      </c>
    </row>
    <row r="729" ht="18" customHeight="1">
      <c r="A729" s="38" t="n"/>
      <c r="B729" s="39" t="n"/>
      <c r="C729" s="40" t="n"/>
      <c r="D729" s="41" t="n"/>
      <c r="E729" s="41" t="n"/>
      <c r="F729" s="41" t="n"/>
      <c r="G729" s="41" t="n"/>
      <c r="H729" s="42" t="n"/>
      <c r="I729" s="42" t="n"/>
      <c r="J729" s="42" t="n"/>
      <c r="K729" s="42" t="n"/>
      <c r="L729" s="41" t="n"/>
      <c r="M729" s="41" t="n"/>
      <c r="N729" s="41" t="n"/>
      <c r="O729" s="43" t="n"/>
      <c r="P729" s="43" t="n"/>
      <c r="Q729" s="44" t="str">
        <f>IF($AM729=0,"",IF(ISNUMBER($AK729),$AK729-N($AL729),""))</f>
        <v/>
      </c>
      <c r="R729" s="45" t="str">
        <f>IF(OR($Q729="",NOT(ISNUMBER($V729))),"",$AK729/$V729)</f>
        <v/>
      </c>
      <c r="S729" s="46" t="str">
        <f>IF($Q729="","",IF(AND(ISNUMBER($R729),ABS(N($R729))&lt;N(Settings!$C$8)),"Scratch",IF($Q729&gt;0,"Win",IF($Q729&lt;0,"Loss","Scratch"))))</f>
        <v/>
      </c>
      <c r="T729" s="47" t="str">
        <f>IF(OR($AM729=0,NOT(ISNUMBER($H729)),NOT(ISNUMBER($I729)),NOT(ISNUMBER($J729))),"",IF($H729=$I729,"",ROUND(ABS($J729-$H729)/ABS($H729-$I729),6)))</f>
        <v/>
      </c>
      <c r="U729" s="48" t="str">
        <f>IF(OR($S729&lt;&gt;"Win",NOT(ISNUMBER($T729)),NOT(ISNUMBER($R729))),"",MAX(0,$T729-$R729))</f>
        <v/>
      </c>
      <c r="V729" s="49" t="str">
        <f>IF(OR($AM729=0,NOT(ISNUMBER($H729)),NOT(ISNUMBER($I729)),NOT(ISNUMBER($G729))),"",IF(OR($AG729="",$AH729=""),"",IF(ROUND(ABS($H729-$I729)*ABS($G729)*$AG729*$AH729,6)=0,"",ROUND(ABS($H729-$I729)*ABS($G729)*$AG729*$AH729,6))))</f>
        <v/>
      </c>
      <c r="W729" s="50" t="str">
        <f>IF($AM729=0,"",IF($BG729="","OK",LEFT($BG729,LEN($BG729)-2)))</f>
        <v/>
      </c>
      <c r="X729" s="41" t="n"/>
      <c r="Y729" s="40" t="n"/>
      <c r="Z729" s="41" t="n"/>
      <c r="AA729" s="41" t="n"/>
      <c r="AB729" s="40" t="n"/>
      <c r="AC729" s="51" t="n"/>
      <c r="AD729" s="51" t="n"/>
      <c r="AE729" s="40" t="n"/>
      <c r="AF729" s="52" t="str">
        <f>IF($AM729=0,"",IF($D729&lt;&gt;"",$D729,IF(IFERROR(INDEX(Accounts!$C$7:$C$16,MATCH($C729,Accounts!$B$7:$B$16,0))&amp;"","")&lt;&gt;"",INDEX(Accounts!$C$7:$C$16,MATCH($C729,Accounts!$B$7:$B$16,0)),Settings!$C$6)))</f>
        <v/>
      </c>
      <c r="AG729" s="53" t="str">
        <f>IF($AM729=0,"",IF(AND($BE729&gt;0,N(INDEX(Instruments!$D$6:$D$205,MAX(1,$BE729)))&gt;0),INDEX(Instruments!$D$6:$D$205,MAX(1,$BE729)),IF(N(INDEX(Settings!$D$14:$D$18,$BF729))&gt;0,INDEX(Settings!$D$14:$D$18,$BF729),"")))</f>
        <v/>
      </c>
      <c r="AH729" s="54" t="str">
        <f>IF($AM729=0,"",IF($AF729&lt;&gt;"Forex",1,IF(MID(UPPER(SUBSTITUTE(TRIM($E729),"/","")),4,3)=UPPER(TRIM(Settings!$C$7)),1,IF(LEFT(UPPER(SUBSTITUTE(TRIM($E729),"/","")),3)=UPPER(TRIM(Settings!$C$7)),IF(AND(ISNUMBER($K729),N($K729)&lt;&gt;0),1/$K729,""),""))))</f>
        <v/>
      </c>
      <c r="AI729" s="55" t="str">
        <f>IF($AM729=0,"",IF(OR(NOT(ISNUMBER($H729)),NOT(ISNUMBER($K729)),NOT(ISNUMBER($G729)),$AG729="",$AH729=""),"",ROUND(($K729-$H729)*IF($F729="Short",-1,1)*$G729*$AG729*$AH729,6)))</f>
        <v/>
      </c>
      <c r="AJ729" s="55" t="str">
        <f>IF($AM729=0,"",IF(INDEX(Settings!$E$14:$E$18,$BF729)="% of notional",IF(OR($AG729="",NOT(ISNUMBER($H729)),NOT(ISNUMBER($G729))),"",ROUND(ABS($H729*$G729*$AG729*N($AH729))*IF($L729="Limit",N(INDEX(Settings!$G$14:$G$18,$BF729)),N(INDEX(Settings!$H$14:$H$18,$BF729)))+IF(ISNUMBER($K729),ABS($K729*$G729*$AG729*N($AH729))*IF($M729="Target",N(INDEX(Settings!$G$14:$G$18,$BF729)),N(INDEX(Settings!$H$14:$H$18,$BF729))),0),6)),IF(NOT(ISNUMBER($G729)),"",ROUND(ABS($G729)*2*IF(AND($BE729&gt;0,ISNUMBER(INDEX(Instruments!$G$6:$G$205,MAX(1,$BE729)))),INDEX(Instruments!$G$6:$G$205,MAX(1,$BE729)),N(INDEX(Settings!$F$14:$F$18,$BF729))),6))))</f>
        <v/>
      </c>
      <c r="AK729" s="55" t="str">
        <f>IF($AM729=0,"",IF(ISNUMBER($O729),$O729,$AI729))</f>
        <v/>
      </c>
      <c r="AL729" s="55" t="str">
        <f>IF($AM729=0,"",IF(ISNUMBER($P729),$P729,N($AJ729)))</f>
        <v/>
      </c>
      <c r="AM729" s="56">
        <f>IF(AND($A729&lt;&gt;"",$E729&lt;&gt;"",OR(AND(ISNUMBER($G729),ISNUMBER($H729),ISNUMBER($K729)),ISNUMBER($O729))),1,0)</f>
        <v>0</v>
      </c>
      <c r="AN729" s="57" t="str">
        <f>IF($A729="","",$A729-WEEKDAY($A729,3))</f>
        <v/>
      </c>
      <c r="AO729" s="56" t="str">
        <f>IF($A729="","",WEEKDAY($A729,2))</f>
        <v/>
      </c>
      <c r="AP729" s="55" t="str">
        <f>IF(OR($AM729=0,$C729=""),"",IFERROR(N(INDEX(Accounts!$E$7:$E$16,MATCH($C729,Accounts!$B$7:$B$16,0))),0)+SUMIFS($Q$6:$Q729,$C$6:$C729,$C729))</f>
        <v/>
      </c>
      <c r="AQ729" s="55" t="str">
        <f>IF(OR($AM729=0,$C729=""),"",SUMIFS($Q$6:$Q$1005,$C$6:$C$1005,$C729,$A$6:$A$1005,$A729))</f>
        <v/>
      </c>
      <c r="AR729" s="55" t="str">
        <f>IF(OR($AM729=0,$C729=""),"",IFERROR(N(INDEX(Accounts!$E$7:$E$16,MATCH($C729,Accounts!$B$7:$B$16,0))),0)+SUMIFS($Q$6:$Q$1005,$C$6:$C$1005,$C729,$A$6:$A$1005,"&lt;="&amp;$A729))</f>
        <v/>
      </c>
      <c r="AS729" s="56">
        <f>IF(OR($AM729=0,$Q729=""),0,IF(AND($A729&gt;=Lists!$W$6,$A729&lt;=Lists!$W$7,OR(Dashboard!$D$6="All accounts",$C729=Dashboard!$D$6),OR(Dashboard!$D$7="All markets",$AF729=Dashboard!$D$7)),1,0))</f>
        <v>0</v>
      </c>
      <c r="AT729" s="55">
        <f>IF($AS729=1,N(AT728)+$Q729,N(AT728))</f>
        <v>1187.10688</v>
      </c>
      <c r="AU729" s="55">
        <f>MAX(N(AU728),$AT729)</f>
        <v>1187.10688</v>
      </c>
      <c r="AV729" s="55">
        <f>$AT729-$AU729</f>
        <v>0</v>
      </c>
      <c r="AW729" s="56">
        <f>IF($AS729=1,IF($S729="Win",N(AW728)+1,IF($S729="Loss",0,N(AW728))),N(AW728))</f>
        <v>5</v>
      </c>
      <c r="AX729" s="56">
        <f>IF($AS729=1,IF($S729="Loss",N(AX728)+1,IF($S729="Win",0,N(AX728))),N(AX728))</f>
        <v>0</v>
      </c>
      <c r="AY729" s="56" t="str">
        <f>IF($AS729=1,COUNTIF($AS$6:$AS729,1),"")</f>
        <v/>
      </c>
      <c r="AZ729" s="56">
        <f>MIN(723,N(Lists!$W$8))</f>
        <v>28</v>
      </c>
      <c r="BA729" s="56">
        <f>IF($AS729=1,IF(COUNTIFS($A$6:$A729,$A729,$AS$6:$AS729,1)=1,1,0),0)</f>
        <v>0</v>
      </c>
      <c r="BB729" s="55" t="str">
        <f>IF($BA729=1,SUMIFS($Q$6:$Q$1005,$A$6:$A$1005,$A729,$AS$6:$AS$1005,1),"")</f>
        <v/>
      </c>
      <c r="BC729" s="56">
        <f>IF(ISNUMBER($R729),1,0)</f>
        <v>0</v>
      </c>
      <c r="BD729" s="55" t="str">
        <f>IF(ISNUMBER($U729),$U729*$V729,"")</f>
        <v/>
      </c>
      <c r="BE729" s="56" t="str">
        <f>IF($AM729=0,"",IFERROR(MATCH($AF729&amp;"|"&amp;UPPER(TRIM($E729)),Lists!$A$6:$A$205,0),0))</f>
        <v/>
      </c>
      <c r="BF729" s="56" t="str">
        <f>IF($AM729=0,"",IFERROR(MATCH($AF729,Settings!$B$14:$B$18,0),IFERROR(MATCH(Settings!$C$6,Settings!$B$14:$B$18,0),1)))</f>
        <v/>
      </c>
      <c r="BG729" s="58" t="str">
        <f>IF($AM729=0,"",IF(NOT(ISNUMBER($I729)),"No stop; ","")&amp;IF(AND(ISNUMBER($H729),ISNUMBER($I729)),IF(OR(AND($F729&lt;&gt;"Short",$I729&gt;=$H729),AND($F729="Short",$I729&lt;=$H729)),"Stop on wrong side; ",""),"")&amp;IF($F729="","No direction; ","")&amp;IF(AND(ISNUMBER(Settings!$C$22),ISNUMBER($V729)),IF($V729&gt;Settings!$C$22,"Risk over max $; ",""),"")&amp;IF(AND(ISNUMBER(Settings!$C$23),ISNUMBER($V729),ISNUMBER($AP729),IFERROR(N(INDEX(Accounts!$E$7:$E$16,MATCH($C729,Accounts!$B$7:$B$16,0))),0)&gt;0),IF($V729&gt;Settings!$C$23*($AP729-N($Q729)),"Risk over max %; ",""),"")&amp;IF(AND(ISNUMBER(Settings!$C$24),ISNUMBER($N729)),IF($N729&gt;Settings!$C$24,"Leverage over max; ",""),"")&amp;IF(AND(ISNUMBER(Settings!$C$27),ISNUMBER($T729)),IF($T729&lt;Settings!$C$27,"R:R below min; ",""),"")&amp;IF(ISNUMBER(Settings!$C$25),IF(COUNTIFS($A$6:$A729,$A729,$AM$6:$AM729,1)&gt;Settings!$C$25,"Over max trades/day; ",""),"")&amp;IF(ISNUMBER(Settings!$C$26),IF(SUMIFS($Q$5:$Q728,$A$5:$A728,$A729)&lt;=-Settings!$C$26,"Traded after daily max loss; ",""),"")&amp;IF(AND($AG729="",NOT(ISNUMBER($O729))),"Symbol not in Instruments; ","")&amp;IF(AND($AH729="",NOT(ISNUMBER($O729))),"Forex cross: type Gross P&amp;L; ",""))</f>
        <v/>
      </c>
      <c r="BH729" s="56">
        <f>IF(ISNUMBER($Q729),1,0)</f>
        <v>0</v>
      </c>
      <c r="BI729" s="56">
        <f>IF($Y729="",0,1)</f>
        <v>0</v>
      </c>
      <c r="BJ729" s="56">
        <f>IF($AB729="",0,1)</f>
        <v>0</v>
      </c>
      <c r="BK729" s="56">
        <f>IF(AND($BH729=1,$W729&lt;&gt;"OK"),1,0)</f>
        <v>0</v>
      </c>
      <c r="BL729" s="55">
        <f>IF(N($AZ729)=0,0,IFERROR(INDEX($AT$6:$AT$1005,MATCH($AZ729,$AY$6:$AY$1005,0)),0))</f>
        <v>1187.10688</v>
      </c>
      <c r="BM729" s="56">
        <f>IF(ISNUMBER(SEARCH("daily max loss",$BG729)),1,0)</f>
        <v>0</v>
      </c>
    </row>
    <row r="730" ht="18" customHeight="1">
      <c r="A730" s="38" t="n"/>
      <c r="B730" s="39" t="n"/>
      <c r="C730" s="40" t="n"/>
      <c r="D730" s="41" t="n"/>
      <c r="E730" s="41" t="n"/>
      <c r="F730" s="41" t="n"/>
      <c r="G730" s="41" t="n"/>
      <c r="H730" s="42" t="n"/>
      <c r="I730" s="42" t="n"/>
      <c r="J730" s="42" t="n"/>
      <c r="K730" s="42" t="n"/>
      <c r="L730" s="41" t="n"/>
      <c r="M730" s="41" t="n"/>
      <c r="N730" s="41" t="n"/>
      <c r="O730" s="43" t="n"/>
      <c r="P730" s="43" t="n"/>
      <c r="Q730" s="44" t="str">
        <f>IF($AM730=0,"",IF(ISNUMBER($AK730),$AK730-N($AL730),""))</f>
        <v/>
      </c>
      <c r="R730" s="45" t="str">
        <f>IF(OR($Q730="",NOT(ISNUMBER($V730))),"",$AK730/$V730)</f>
        <v/>
      </c>
      <c r="S730" s="46" t="str">
        <f>IF($Q730="","",IF(AND(ISNUMBER($R730),ABS(N($R730))&lt;N(Settings!$C$8)),"Scratch",IF($Q730&gt;0,"Win",IF($Q730&lt;0,"Loss","Scratch"))))</f>
        <v/>
      </c>
      <c r="T730" s="47" t="str">
        <f>IF(OR($AM730=0,NOT(ISNUMBER($H730)),NOT(ISNUMBER($I730)),NOT(ISNUMBER($J730))),"",IF($H730=$I730,"",ROUND(ABS($J730-$H730)/ABS($H730-$I730),6)))</f>
        <v/>
      </c>
      <c r="U730" s="48" t="str">
        <f>IF(OR($S730&lt;&gt;"Win",NOT(ISNUMBER($T730)),NOT(ISNUMBER($R730))),"",MAX(0,$T730-$R730))</f>
        <v/>
      </c>
      <c r="V730" s="49" t="str">
        <f>IF(OR($AM730=0,NOT(ISNUMBER($H730)),NOT(ISNUMBER($I730)),NOT(ISNUMBER($G730))),"",IF(OR($AG730="",$AH730=""),"",IF(ROUND(ABS($H730-$I730)*ABS($G730)*$AG730*$AH730,6)=0,"",ROUND(ABS($H730-$I730)*ABS($G730)*$AG730*$AH730,6))))</f>
        <v/>
      </c>
      <c r="W730" s="50" t="str">
        <f>IF($AM730=0,"",IF($BG730="","OK",LEFT($BG730,LEN($BG730)-2)))</f>
        <v/>
      </c>
      <c r="X730" s="41" t="n"/>
      <c r="Y730" s="40" t="n"/>
      <c r="Z730" s="41" t="n"/>
      <c r="AA730" s="41" t="n"/>
      <c r="AB730" s="40" t="n"/>
      <c r="AC730" s="51" t="n"/>
      <c r="AD730" s="51" t="n"/>
      <c r="AE730" s="40" t="n"/>
      <c r="AF730" s="52" t="str">
        <f>IF($AM730=0,"",IF($D730&lt;&gt;"",$D730,IF(IFERROR(INDEX(Accounts!$C$7:$C$16,MATCH($C730,Accounts!$B$7:$B$16,0))&amp;"","")&lt;&gt;"",INDEX(Accounts!$C$7:$C$16,MATCH($C730,Accounts!$B$7:$B$16,0)),Settings!$C$6)))</f>
        <v/>
      </c>
      <c r="AG730" s="53" t="str">
        <f>IF($AM730=0,"",IF(AND($BE730&gt;0,N(INDEX(Instruments!$D$6:$D$205,MAX(1,$BE730)))&gt;0),INDEX(Instruments!$D$6:$D$205,MAX(1,$BE730)),IF(N(INDEX(Settings!$D$14:$D$18,$BF730))&gt;0,INDEX(Settings!$D$14:$D$18,$BF730),"")))</f>
        <v/>
      </c>
      <c r="AH730" s="54" t="str">
        <f>IF($AM730=0,"",IF($AF730&lt;&gt;"Forex",1,IF(MID(UPPER(SUBSTITUTE(TRIM($E730),"/","")),4,3)=UPPER(TRIM(Settings!$C$7)),1,IF(LEFT(UPPER(SUBSTITUTE(TRIM($E730),"/","")),3)=UPPER(TRIM(Settings!$C$7)),IF(AND(ISNUMBER($K730),N($K730)&lt;&gt;0),1/$K730,""),""))))</f>
        <v/>
      </c>
      <c r="AI730" s="55" t="str">
        <f>IF($AM730=0,"",IF(OR(NOT(ISNUMBER($H730)),NOT(ISNUMBER($K730)),NOT(ISNUMBER($G730)),$AG730="",$AH730=""),"",ROUND(($K730-$H730)*IF($F730="Short",-1,1)*$G730*$AG730*$AH730,6)))</f>
        <v/>
      </c>
      <c r="AJ730" s="55" t="str">
        <f>IF($AM730=0,"",IF(INDEX(Settings!$E$14:$E$18,$BF730)="% of notional",IF(OR($AG730="",NOT(ISNUMBER($H730)),NOT(ISNUMBER($G730))),"",ROUND(ABS($H730*$G730*$AG730*N($AH730))*IF($L730="Limit",N(INDEX(Settings!$G$14:$G$18,$BF730)),N(INDEX(Settings!$H$14:$H$18,$BF730)))+IF(ISNUMBER($K730),ABS($K730*$G730*$AG730*N($AH730))*IF($M730="Target",N(INDEX(Settings!$G$14:$G$18,$BF730)),N(INDEX(Settings!$H$14:$H$18,$BF730))),0),6)),IF(NOT(ISNUMBER($G730)),"",ROUND(ABS($G730)*2*IF(AND($BE730&gt;0,ISNUMBER(INDEX(Instruments!$G$6:$G$205,MAX(1,$BE730)))),INDEX(Instruments!$G$6:$G$205,MAX(1,$BE730)),N(INDEX(Settings!$F$14:$F$18,$BF730))),6))))</f>
        <v/>
      </c>
      <c r="AK730" s="55" t="str">
        <f>IF($AM730=0,"",IF(ISNUMBER($O730),$O730,$AI730))</f>
        <v/>
      </c>
      <c r="AL730" s="55" t="str">
        <f>IF($AM730=0,"",IF(ISNUMBER($P730),$P730,N($AJ730)))</f>
        <v/>
      </c>
      <c r="AM730" s="56">
        <f>IF(AND($A730&lt;&gt;"",$E730&lt;&gt;"",OR(AND(ISNUMBER($G730),ISNUMBER($H730),ISNUMBER($K730)),ISNUMBER($O730))),1,0)</f>
        <v>0</v>
      </c>
      <c r="AN730" s="57" t="str">
        <f>IF($A730="","",$A730-WEEKDAY($A730,3))</f>
        <v/>
      </c>
      <c r="AO730" s="56" t="str">
        <f>IF($A730="","",WEEKDAY($A730,2))</f>
        <v/>
      </c>
      <c r="AP730" s="55" t="str">
        <f>IF(OR($AM730=0,$C730=""),"",IFERROR(N(INDEX(Accounts!$E$7:$E$16,MATCH($C730,Accounts!$B$7:$B$16,0))),0)+SUMIFS($Q$6:$Q730,$C$6:$C730,$C730))</f>
        <v/>
      </c>
      <c r="AQ730" s="55" t="str">
        <f>IF(OR($AM730=0,$C730=""),"",SUMIFS($Q$6:$Q$1005,$C$6:$C$1005,$C730,$A$6:$A$1005,$A730))</f>
        <v/>
      </c>
      <c r="AR730" s="55" t="str">
        <f>IF(OR($AM730=0,$C730=""),"",IFERROR(N(INDEX(Accounts!$E$7:$E$16,MATCH($C730,Accounts!$B$7:$B$16,0))),0)+SUMIFS($Q$6:$Q$1005,$C$6:$C$1005,$C730,$A$6:$A$1005,"&lt;="&amp;$A730))</f>
        <v/>
      </c>
      <c r="AS730" s="56">
        <f>IF(OR($AM730=0,$Q730=""),0,IF(AND($A730&gt;=Lists!$W$6,$A730&lt;=Lists!$W$7,OR(Dashboard!$D$6="All accounts",$C730=Dashboard!$D$6),OR(Dashboard!$D$7="All markets",$AF730=Dashboard!$D$7)),1,0))</f>
        <v>0</v>
      </c>
      <c r="AT730" s="55">
        <f>IF($AS730=1,N(AT729)+$Q730,N(AT729))</f>
        <v>1187.10688</v>
      </c>
      <c r="AU730" s="55">
        <f>MAX(N(AU729),$AT730)</f>
        <v>1187.10688</v>
      </c>
      <c r="AV730" s="55">
        <f>$AT730-$AU730</f>
        <v>0</v>
      </c>
      <c r="AW730" s="56">
        <f>IF($AS730=1,IF($S730="Win",N(AW729)+1,IF($S730="Loss",0,N(AW729))),N(AW729))</f>
        <v>5</v>
      </c>
      <c r="AX730" s="56">
        <f>IF($AS730=1,IF($S730="Loss",N(AX729)+1,IF($S730="Win",0,N(AX729))),N(AX729))</f>
        <v>0</v>
      </c>
      <c r="AY730" s="56" t="str">
        <f>IF($AS730=1,COUNTIF($AS$6:$AS730,1),"")</f>
        <v/>
      </c>
      <c r="AZ730" s="56">
        <f>MIN(724,N(Lists!$W$8))</f>
        <v>28</v>
      </c>
      <c r="BA730" s="56">
        <f>IF($AS730=1,IF(COUNTIFS($A$6:$A730,$A730,$AS$6:$AS730,1)=1,1,0),0)</f>
        <v>0</v>
      </c>
      <c r="BB730" s="55" t="str">
        <f>IF($BA730=1,SUMIFS($Q$6:$Q$1005,$A$6:$A$1005,$A730,$AS$6:$AS$1005,1),"")</f>
        <v/>
      </c>
      <c r="BC730" s="56">
        <f>IF(ISNUMBER($R730),1,0)</f>
        <v>0</v>
      </c>
      <c r="BD730" s="55" t="str">
        <f>IF(ISNUMBER($U730),$U730*$V730,"")</f>
        <v/>
      </c>
      <c r="BE730" s="56" t="str">
        <f>IF($AM730=0,"",IFERROR(MATCH($AF730&amp;"|"&amp;UPPER(TRIM($E730)),Lists!$A$6:$A$205,0),0))</f>
        <v/>
      </c>
      <c r="BF730" s="56" t="str">
        <f>IF($AM730=0,"",IFERROR(MATCH($AF730,Settings!$B$14:$B$18,0),IFERROR(MATCH(Settings!$C$6,Settings!$B$14:$B$18,0),1)))</f>
        <v/>
      </c>
      <c r="BG730" s="58" t="str">
        <f>IF($AM730=0,"",IF(NOT(ISNUMBER($I730)),"No stop; ","")&amp;IF(AND(ISNUMBER($H730),ISNUMBER($I730)),IF(OR(AND($F730&lt;&gt;"Short",$I730&gt;=$H730),AND($F730="Short",$I730&lt;=$H730)),"Stop on wrong side; ",""),"")&amp;IF($F730="","No direction; ","")&amp;IF(AND(ISNUMBER(Settings!$C$22),ISNUMBER($V730)),IF($V730&gt;Settings!$C$22,"Risk over max $; ",""),"")&amp;IF(AND(ISNUMBER(Settings!$C$23),ISNUMBER($V730),ISNUMBER($AP730),IFERROR(N(INDEX(Accounts!$E$7:$E$16,MATCH($C730,Accounts!$B$7:$B$16,0))),0)&gt;0),IF($V730&gt;Settings!$C$23*($AP730-N($Q730)),"Risk over max %; ",""),"")&amp;IF(AND(ISNUMBER(Settings!$C$24),ISNUMBER($N730)),IF($N730&gt;Settings!$C$24,"Leverage over max; ",""),"")&amp;IF(AND(ISNUMBER(Settings!$C$27),ISNUMBER($T730)),IF($T730&lt;Settings!$C$27,"R:R below min; ",""),"")&amp;IF(ISNUMBER(Settings!$C$25),IF(COUNTIFS($A$6:$A730,$A730,$AM$6:$AM730,1)&gt;Settings!$C$25,"Over max trades/day; ",""),"")&amp;IF(ISNUMBER(Settings!$C$26),IF(SUMIFS($Q$5:$Q729,$A$5:$A729,$A730)&lt;=-Settings!$C$26,"Traded after daily max loss; ",""),"")&amp;IF(AND($AG730="",NOT(ISNUMBER($O730))),"Symbol not in Instruments; ","")&amp;IF(AND($AH730="",NOT(ISNUMBER($O730))),"Forex cross: type Gross P&amp;L; ",""))</f>
        <v/>
      </c>
      <c r="BH730" s="56">
        <f>IF(ISNUMBER($Q730),1,0)</f>
        <v>0</v>
      </c>
      <c r="BI730" s="56">
        <f>IF($Y730="",0,1)</f>
        <v>0</v>
      </c>
      <c r="BJ730" s="56">
        <f>IF($AB730="",0,1)</f>
        <v>0</v>
      </c>
      <c r="BK730" s="56">
        <f>IF(AND($BH730=1,$W730&lt;&gt;"OK"),1,0)</f>
        <v>0</v>
      </c>
      <c r="BL730" s="55">
        <f>IF(N($AZ730)=0,0,IFERROR(INDEX($AT$6:$AT$1005,MATCH($AZ730,$AY$6:$AY$1005,0)),0))</f>
        <v>1187.10688</v>
      </c>
      <c r="BM730" s="56">
        <f>IF(ISNUMBER(SEARCH("daily max loss",$BG730)),1,0)</f>
        <v>0</v>
      </c>
    </row>
    <row r="731" ht="18" customHeight="1">
      <c r="A731" s="38" t="n"/>
      <c r="B731" s="39" t="n"/>
      <c r="C731" s="40" t="n"/>
      <c r="D731" s="41" t="n"/>
      <c r="E731" s="41" t="n"/>
      <c r="F731" s="41" t="n"/>
      <c r="G731" s="41" t="n"/>
      <c r="H731" s="42" t="n"/>
      <c r="I731" s="42" t="n"/>
      <c r="J731" s="42" t="n"/>
      <c r="K731" s="42" t="n"/>
      <c r="L731" s="41" t="n"/>
      <c r="M731" s="41" t="n"/>
      <c r="N731" s="41" t="n"/>
      <c r="O731" s="43" t="n"/>
      <c r="P731" s="43" t="n"/>
      <c r="Q731" s="44" t="str">
        <f>IF($AM731=0,"",IF(ISNUMBER($AK731),$AK731-N($AL731),""))</f>
        <v/>
      </c>
      <c r="R731" s="45" t="str">
        <f>IF(OR($Q731="",NOT(ISNUMBER($V731))),"",$AK731/$V731)</f>
        <v/>
      </c>
      <c r="S731" s="46" t="str">
        <f>IF($Q731="","",IF(AND(ISNUMBER($R731),ABS(N($R731))&lt;N(Settings!$C$8)),"Scratch",IF($Q731&gt;0,"Win",IF($Q731&lt;0,"Loss","Scratch"))))</f>
        <v/>
      </c>
      <c r="T731" s="47" t="str">
        <f>IF(OR($AM731=0,NOT(ISNUMBER($H731)),NOT(ISNUMBER($I731)),NOT(ISNUMBER($J731))),"",IF($H731=$I731,"",ROUND(ABS($J731-$H731)/ABS($H731-$I731),6)))</f>
        <v/>
      </c>
      <c r="U731" s="48" t="str">
        <f>IF(OR($S731&lt;&gt;"Win",NOT(ISNUMBER($T731)),NOT(ISNUMBER($R731))),"",MAX(0,$T731-$R731))</f>
        <v/>
      </c>
      <c r="V731" s="49" t="str">
        <f>IF(OR($AM731=0,NOT(ISNUMBER($H731)),NOT(ISNUMBER($I731)),NOT(ISNUMBER($G731))),"",IF(OR($AG731="",$AH731=""),"",IF(ROUND(ABS($H731-$I731)*ABS($G731)*$AG731*$AH731,6)=0,"",ROUND(ABS($H731-$I731)*ABS($G731)*$AG731*$AH731,6))))</f>
        <v/>
      </c>
      <c r="W731" s="50" t="str">
        <f>IF($AM731=0,"",IF($BG731="","OK",LEFT($BG731,LEN($BG731)-2)))</f>
        <v/>
      </c>
      <c r="X731" s="41" t="n"/>
      <c r="Y731" s="40" t="n"/>
      <c r="Z731" s="41" t="n"/>
      <c r="AA731" s="41" t="n"/>
      <c r="AB731" s="40" t="n"/>
      <c r="AC731" s="51" t="n"/>
      <c r="AD731" s="51" t="n"/>
      <c r="AE731" s="40" t="n"/>
      <c r="AF731" s="52" t="str">
        <f>IF($AM731=0,"",IF($D731&lt;&gt;"",$D731,IF(IFERROR(INDEX(Accounts!$C$7:$C$16,MATCH($C731,Accounts!$B$7:$B$16,0))&amp;"","")&lt;&gt;"",INDEX(Accounts!$C$7:$C$16,MATCH($C731,Accounts!$B$7:$B$16,0)),Settings!$C$6)))</f>
        <v/>
      </c>
      <c r="AG731" s="53" t="str">
        <f>IF($AM731=0,"",IF(AND($BE731&gt;0,N(INDEX(Instruments!$D$6:$D$205,MAX(1,$BE731)))&gt;0),INDEX(Instruments!$D$6:$D$205,MAX(1,$BE731)),IF(N(INDEX(Settings!$D$14:$D$18,$BF731))&gt;0,INDEX(Settings!$D$14:$D$18,$BF731),"")))</f>
        <v/>
      </c>
      <c r="AH731" s="54" t="str">
        <f>IF($AM731=0,"",IF($AF731&lt;&gt;"Forex",1,IF(MID(UPPER(SUBSTITUTE(TRIM($E731),"/","")),4,3)=UPPER(TRIM(Settings!$C$7)),1,IF(LEFT(UPPER(SUBSTITUTE(TRIM($E731),"/","")),3)=UPPER(TRIM(Settings!$C$7)),IF(AND(ISNUMBER($K731),N($K731)&lt;&gt;0),1/$K731,""),""))))</f>
        <v/>
      </c>
      <c r="AI731" s="55" t="str">
        <f>IF($AM731=0,"",IF(OR(NOT(ISNUMBER($H731)),NOT(ISNUMBER($K731)),NOT(ISNUMBER($G731)),$AG731="",$AH731=""),"",ROUND(($K731-$H731)*IF($F731="Short",-1,1)*$G731*$AG731*$AH731,6)))</f>
        <v/>
      </c>
      <c r="AJ731" s="55" t="str">
        <f>IF($AM731=0,"",IF(INDEX(Settings!$E$14:$E$18,$BF731)="% of notional",IF(OR($AG731="",NOT(ISNUMBER($H731)),NOT(ISNUMBER($G731))),"",ROUND(ABS($H731*$G731*$AG731*N($AH731))*IF($L731="Limit",N(INDEX(Settings!$G$14:$G$18,$BF731)),N(INDEX(Settings!$H$14:$H$18,$BF731)))+IF(ISNUMBER($K731),ABS($K731*$G731*$AG731*N($AH731))*IF($M731="Target",N(INDEX(Settings!$G$14:$G$18,$BF731)),N(INDEX(Settings!$H$14:$H$18,$BF731))),0),6)),IF(NOT(ISNUMBER($G731)),"",ROUND(ABS($G731)*2*IF(AND($BE731&gt;0,ISNUMBER(INDEX(Instruments!$G$6:$G$205,MAX(1,$BE731)))),INDEX(Instruments!$G$6:$G$205,MAX(1,$BE731)),N(INDEX(Settings!$F$14:$F$18,$BF731))),6))))</f>
        <v/>
      </c>
      <c r="AK731" s="55" t="str">
        <f>IF($AM731=0,"",IF(ISNUMBER($O731),$O731,$AI731))</f>
        <v/>
      </c>
      <c r="AL731" s="55" t="str">
        <f>IF($AM731=0,"",IF(ISNUMBER($P731),$P731,N($AJ731)))</f>
        <v/>
      </c>
      <c r="AM731" s="56">
        <f>IF(AND($A731&lt;&gt;"",$E731&lt;&gt;"",OR(AND(ISNUMBER($G731),ISNUMBER($H731),ISNUMBER($K731)),ISNUMBER($O731))),1,0)</f>
        <v>0</v>
      </c>
      <c r="AN731" s="57" t="str">
        <f>IF($A731="","",$A731-WEEKDAY($A731,3))</f>
        <v/>
      </c>
      <c r="AO731" s="56" t="str">
        <f>IF($A731="","",WEEKDAY($A731,2))</f>
        <v/>
      </c>
      <c r="AP731" s="55" t="str">
        <f>IF(OR($AM731=0,$C731=""),"",IFERROR(N(INDEX(Accounts!$E$7:$E$16,MATCH($C731,Accounts!$B$7:$B$16,0))),0)+SUMIFS($Q$6:$Q731,$C$6:$C731,$C731))</f>
        <v/>
      </c>
      <c r="AQ731" s="55" t="str">
        <f>IF(OR($AM731=0,$C731=""),"",SUMIFS($Q$6:$Q$1005,$C$6:$C$1005,$C731,$A$6:$A$1005,$A731))</f>
        <v/>
      </c>
      <c r="AR731" s="55" t="str">
        <f>IF(OR($AM731=0,$C731=""),"",IFERROR(N(INDEX(Accounts!$E$7:$E$16,MATCH($C731,Accounts!$B$7:$B$16,0))),0)+SUMIFS($Q$6:$Q$1005,$C$6:$C$1005,$C731,$A$6:$A$1005,"&lt;="&amp;$A731))</f>
        <v/>
      </c>
      <c r="AS731" s="56">
        <f>IF(OR($AM731=0,$Q731=""),0,IF(AND($A731&gt;=Lists!$W$6,$A731&lt;=Lists!$W$7,OR(Dashboard!$D$6="All accounts",$C731=Dashboard!$D$6),OR(Dashboard!$D$7="All markets",$AF731=Dashboard!$D$7)),1,0))</f>
        <v>0</v>
      </c>
      <c r="AT731" s="55">
        <f>IF($AS731=1,N(AT730)+$Q731,N(AT730))</f>
        <v>1187.10688</v>
      </c>
      <c r="AU731" s="55">
        <f>MAX(N(AU730),$AT731)</f>
        <v>1187.10688</v>
      </c>
      <c r="AV731" s="55">
        <f>$AT731-$AU731</f>
        <v>0</v>
      </c>
      <c r="AW731" s="56">
        <f>IF($AS731=1,IF($S731="Win",N(AW730)+1,IF($S731="Loss",0,N(AW730))),N(AW730))</f>
        <v>5</v>
      </c>
      <c r="AX731" s="56">
        <f>IF($AS731=1,IF($S731="Loss",N(AX730)+1,IF($S731="Win",0,N(AX730))),N(AX730))</f>
        <v>0</v>
      </c>
      <c r="AY731" s="56" t="str">
        <f>IF($AS731=1,COUNTIF($AS$6:$AS731,1),"")</f>
        <v/>
      </c>
      <c r="AZ731" s="56">
        <f>MIN(725,N(Lists!$W$8))</f>
        <v>28</v>
      </c>
      <c r="BA731" s="56">
        <f>IF($AS731=1,IF(COUNTIFS($A$6:$A731,$A731,$AS$6:$AS731,1)=1,1,0),0)</f>
        <v>0</v>
      </c>
      <c r="BB731" s="55" t="str">
        <f>IF($BA731=1,SUMIFS($Q$6:$Q$1005,$A$6:$A$1005,$A731,$AS$6:$AS$1005,1),"")</f>
        <v/>
      </c>
      <c r="BC731" s="56">
        <f>IF(ISNUMBER($R731),1,0)</f>
        <v>0</v>
      </c>
      <c r="BD731" s="55" t="str">
        <f>IF(ISNUMBER($U731),$U731*$V731,"")</f>
        <v/>
      </c>
      <c r="BE731" s="56" t="str">
        <f>IF($AM731=0,"",IFERROR(MATCH($AF731&amp;"|"&amp;UPPER(TRIM($E731)),Lists!$A$6:$A$205,0),0))</f>
        <v/>
      </c>
      <c r="BF731" s="56" t="str">
        <f>IF($AM731=0,"",IFERROR(MATCH($AF731,Settings!$B$14:$B$18,0),IFERROR(MATCH(Settings!$C$6,Settings!$B$14:$B$18,0),1)))</f>
        <v/>
      </c>
      <c r="BG731" s="58" t="str">
        <f>IF($AM731=0,"",IF(NOT(ISNUMBER($I731)),"No stop; ","")&amp;IF(AND(ISNUMBER($H731),ISNUMBER($I731)),IF(OR(AND($F731&lt;&gt;"Short",$I731&gt;=$H731),AND($F731="Short",$I731&lt;=$H731)),"Stop on wrong side; ",""),"")&amp;IF($F731="","No direction; ","")&amp;IF(AND(ISNUMBER(Settings!$C$22),ISNUMBER($V731)),IF($V731&gt;Settings!$C$22,"Risk over max $; ",""),"")&amp;IF(AND(ISNUMBER(Settings!$C$23),ISNUMBER($V731),ISNUMBER($AP731),IFERROR(N(INDEX(Accounts!$E$7:$E$16,MATCH($C731,Accounts!$B$7:$B$16,0))),0)&gt;0),IF($V731&gt;Settings!$C$23*($AP731-N($Q731)),"Risk over max %; ",""),"")&amp;IF(AND(ISNUMBER(Settings!$C$24),ISNUMBER($N731)),IF($N731&gt;Settings!$C$24,"Leverage over max; ",""),"")&amp;IF(AND(ISNUMBER(Settings!$C$27),ISNUMBER($T731)),IF($T731&lt;Settings!$C$27,"R:R below min; ",""),"")&amp;IF(ISNUMBER(Settings!$C$25),IF(COUNTIFS($A$6:$A731,$A731,$AM$6:$AM731,1)&gt;Settings!$C$25,"Over max trades/day; ",""),"")&amp;IF(ISNUMBER(Settings!$C$26),IF(SUMIFS($Q$5:$Q730,$A$5:$A730,$A731)&lt;=-Settings!$C$26,"Traded after daily max loss; ",""),"")&amp;IF(AND($AG731="",NOT(ISNUMBER($O731))),"Symbol not in Instruments; ","")&amp;IF(AND($AH731="",NOT(ISNUMBER($O731))),"Forex cross: type Gross P&amp;L; ",""))</f>
        <v/>
      </c>
      <c r="BH731" s="56">
        <f>IF(ISNUMBER($Q731),1,0)</f>
        <v>0</v>
      </c>
      <c r="BI731" s="56">
        <f>IF($Y731="",0,1)</f>
        <v>0</v>
      </c>
      <c r="BJ731" s="56">
        <f>IF($AB731="",0,1)</f>
        <v>0</v>
      </c>
      <c r="BK731" s="56">
        <f>IF(AND($BH731=1,$W731&lt;&gt;"OK"),1,0)</f>
        <v>0</v>
      </c>
      <c r="BL731" s="55">
        <f>IF(N($AZ731)=0,0,IFERROR(INDEX($AT$6:$AT$1005,MATCH($AZ731,$AY$6:$AY$1005,0)),0))</f>
        <v>1187.10688</v>
      </c>
      <c r="BM731" s="56">
        <f>IF(ISNUMBER(SEARCH("daily max loss",$BG731)),1,0)</f>
        <v>0</v>
      </c>
    </row>
    <row r="732" ht="18" customHeight="1">
      <c r="A732" s="38" t="n"/>
      <c r="B732" s="39" t="n"/>
      <c r="C732" s="40" t="n"/>
      <c r="D732" s="41" t="n"/>
      <c r="E732" s="41" t="n"/>
      <c r="F732" s="41" t="n"/>
      <c r="G732" s="41" t="n"/>
      <c r="H732" s="42" t="n"/>
      <c r="I732" s="42" t="n"/>
      <c r="J732" s="42" t="n"/>
      <c r="K732" s="42" t="n"/>
      <c r="L732" s="41" t="n"/>
      <c r="M732" s="41" t="n"/>
      <c r="N732" s="41" t="n"/>
      <c r="O732" s="43" t="n"/>
      <c r="P732" s="43" t="n"/>
      <c r="Q732" s="44" t="str">
        <f>IF($AM732=0,"",IF(ISNUMBER($AK732),$AK732-N($AL732),""))</f>
        <v/>
      </c>
      <c r="R732" s="45" t="str">
        <f>IF(OR($Q732="",NOT(ISNUMBER($V732))),"",$AK732/$V732)</f>
        <v/>
      </c>
      <c r="S732" s="46" t="str">
        <f>IF($Q732="","",IF(AND(ISNUMBER($R732),ABS(N($R732))&lt;N(Settings!$C$8)),"Scratch",IF($Q732&gt;0,"Win",IF($Q732&lt;0,"Loss","Scratch"))))</f>
        <v/>
      </c>
      <c r="T732" s="47" t="str">
        <f>IF(OR($AM732=0,NOT(ISNUMBER($H732)),NOT(ISNUMBER($I732)),NOT(ISNUMBER($J732))),"",IF($H732=$I732,"",ROUND(ABS($J732-$H732)/ABS($H732-$I732),6)))</f>
        <v/>
      </c>
      <c r="U732" s="48" t="str">
        <f>IF(OR($S732&lt;&gt;"Win",NOT(ISNUMBER($T732)),NOT(ISNUMBER($R732))),"",MAX(0,$T732-$R732))</f>
        <v/>
      </c>
      <c r="V732" s="49" t="str">
        <f>IF(OR($AM732=0,NOT(ISNUMBER($H732)),NOT(ISNUMBER($I732)),NOT(ISNUMBER($G732))),"",IF(OR($AG732="",$AH732=""),"",IF(ROUND(ABS($H732-$I732)*ABS($G732)*$AG732*$AH732,6)=0,"",ROUND(ABS($H732-$I732)*ABS($G732)*$AG732*$AH732,6))))</f>
        <v/>
      </c>
      <c r="W732" s="50" t="str">
        <f>IF($AM732=0,"",IF($BG732="","OK",LEFT($BG732,LEN($BG732)-2)))</f>
        <v/>
      </c>
      <c r="X732" s="41" t="n"/>
      <c r="Y732" s="40" t="n"/>
      <c r="Z732" s="41" t="n"/>
      <c r="AA732" s="41" t="n"/>
      <c r="AB732" s="40" t="n"/>
      <c r="AC732" s="51" t="n"/>
      <c r="AD732" s="51" t="n"/>
      <c r="AE732" s="40" t="n"/>
      <c r="AF732" s="52" t="str">
        <f>IF($AM732=0,"",IF($D732&lt;&gt;"",$D732,IF(IFERROR(INDEX(Accounts!$C$7:$C$16,MATCH($C732,Accounts!$B$7:$B$16,0))&amp;"","")&lt;&gt;"",INDEX(Accounts!$C$7:$C$16,MATCH($C732,Accounts!$B$7:$B$16,0)),Settings!$C$6)))</f>
        <v/>
      </c>
      <c r="AG732" s="53" t="str">
        <f>IF($AM732=0,"",IF(AND($BE732&gt;0,N(INDEX(Instruments!$D$6:$D$205,MAX(1,$BE732)))&gt;0),INDEX(Instruments!$D$6:$D$205,MAX(1,$BE732)),IF(N(INDEX(Settings!$D$14:$D$18,$BF732))&gt;0,INDEX(Settings!$D$14:$D$18,$BF732),"")))</f>
        <v/>
      </c>
      <c r="AH732" s="54" t="str">
        <f>IF($AM732=0,"",IF($AF732&lt;&gt;"Forex",1,IF(MID(UPPER(SUBSTITUTE(TRIM($E732),"/","")),4,3)=UPPER(TRIM(Settings!$C$7)),1,IF(LEFT(UPPER(SUBSTITUTE(TRIM($E732),"/","")),3)=UPPER(TRIM(Settings!$C$7)),IF(AND(ISNUMBER($K732),N($K732)&lt;&gt;0),1/$K732,""),""))))</f>
        <v/>
      </c>
      <c r="AI732" s="55" t="str">
        <f>IF($AM732=0,"",IF(OR(NOT(ISNUMBER($H732)),NOT(ISNUMBER($K732)),NOT(ISNUMBER($G732)),$AG732="",$AH732=""),"",ROUND(($K732-$H732)*IF($F732="Short",-1,1)*$G732*$AG732*$AH732,6)))</f>
        <v/>
      </c>
      <c r="AJ732" s="55" t="str">
        <f>IF($AM732=0,"",IF(INDEX(Settings!$E$14:$E$18,$BF732)="% of notional",IF(OR($AG732="",NOT(ISNUMBER($H732)),NOT(ISNUMBER($G732))),"",ROUND(ABS($H732*$G732*$AG732*N($AH732))*IF($L732="Limit",N(INDEX(Settings!$G$14:$G$18,$BF732)),N(INDEX(Settings!$H$14:$H$18,$BF732)))+IF(ISNUMBER($K732),ABS($K732*$G732*$AG732*N($AH732))*IF($M732="Target",N(INDEX(Settings!$G$14:$G$18,$BF732)),N(INDEX(Settings!$H$14:$H$18,$BF732))),0),6)),IF(NOT(ISNUMBER($G732)),"",ROUND(ABS($G732)*2*IF(AND($BE732&gt;0,ISNUMBER(INDEX(Instruments!$G$6:$G$205,MAX(1,$BE732)))),INDEX(Instruments!$G$6:$G$205,MAX(1,$BE732)),N(INDEX(Settings!$F$14:$F$18,$BF732))),6))))</f>
        <v/>
      </c>
      <c r="AK732" s="55" t="str">
        <f>IF($AM732=0,"",IF(ISNUMBER($O732),$O732,$AI732))</f>
        <v/>
      </c>
      <c r="AL732" s="55" t="str">
        <f>IF($AM732=0,"",IF(ISNUMBER($P732),$P732,N($AJ732)))</f>
        <v/>
      </c>
      <c r="AM732" s="56">
        <f>IF(AND($A732&lt;&gt;"",$E732&lt;&gt;"",OR(AND(ISNUMBER($G732),ISNUMBER($H732),ISNUMBER($K732)),ISNUMBER($O732))),1,0)</f>
        <v>0</v>
      </c>
      <c r="AN732" s="57" t="str">
        <f>IF($A732="","",$A732-WEEKDAY($A732,3))</f>
        <v/>
      </c>
      <c r="AO732" s="56" t="str">
        <f>IF($A732="","",WEEKDAY($A732,2))</f>
        <v/>
      </c>
      <c r="AP732" s="55" t="str">
        <f>IF(OR($AM732=0,$C732=""),"",IFERROR(N(INDEX(Accounts!$E$7:$E$16,MATCH($C732,Accounts!$B$7:$B$16,0))),0)+SUMIFS($Q$6:$Q732,$C$6:$C732,$C732))</f>
        <v/>
      </c>
      <c r="AQ732" s="55" t="str">
        <f>IF(OR($AM732=0,$C732=""),"",SUMIFS($Q$6:$Q$1005,$C$6:$C$1005,$C732,$A$6:$A$1005,$A732))</f>
        <v/>
      </c>
      <c r="AR732" s="55" t="str">
        <f>IF(OR($AM732=0,$C732=""),"",IFERROR(N(INDEX(Accounts!$E$7:$E$16,MATCH($C732,Accounts!$B$7:$B$16,0))),0)+SUMIFS($Q$6:$Q$1005,$C$6:$C$1005,$C732,$A$6:$A$1005,"&lt;="&amp;$A732))</f>
        <v/>
      </c>
      <c r="AS732" s="56">
        <f>IF(OR($AM732=0,$Q732=""),0,IF(AND($A732&gt;=Lists!$W$6,$A732&lt;=Lists!$W$7,OR(Dashboard!$D$6="All accounts",$C732=Dashboard!$D$6),OR(Dashboard!$D$7="All markets",$AF732=Dashboard!$D$7)),1,0))</f>
        <v>0</v>
      </c>
      <c r="AT732" s="55">
        <f>IF($AS732=1,N(AT731)+$Q732,N(AT731))</f>
        <v>1187.10688</v>
      </c>
      <c r="AU732" s="55">
        <f>MAX(N(AU731),$AT732)</f>
        <v>1187.10688</v>
      </c>
      <c r="AV732" s="55">
        <f>$AT732-$AU732</f>
        <v>0</v>
      </c>
      <c r="AW732" s="56">
        <f>IF($AS732=1,IF($S732="Win",N(AW731)+1,IF($S732="Loss",0,N(AW731))),N(AW731))</f>
        <v>5</v>
      </c>
      <c r="AX732" s="56">
        <f>IF($AS732=1,IF($S732="Loss",N(AX731)+1,IF($S732="Win",0,N(AX731))),N(AX731))</f>
        <v>0</v>
      </c>
      <c r="AY732" s="56" t="str">
        <f>IF($AS732=1,COUNTIF($AS$6:$AS732,1),"")</f>
        <v/>
      </c>
      <c r="AZ732" s="56">
        <f>MIN(726,N(Lists!$W$8))</f>
        <v>28</v>
      </c>
      <c r="BA732" s="56">
        <f>IF($AS732=1,IF(COUNTIFS($A$6:$A732,$A732,$AS$6:$AS732,1)=1,1,0),0)</f>
        <v>0</v>
      </c>
      <c r="BB732" s="55" t="str">
        <f>IF($BA732=1,SUMIFS($Q$6:$Q$1005,$A$6:$A$1005,$A732,$AS$6:$AS$1005,1),"")</f>
        <v/>
      </c>
      <c r="BC732" s="56">
        <f>IF(ISNUMBER($R732),1,0)</f>
        <v>0</v>
      </c>
      <c r="BD732" s="55" t="str">
        <f>IF(ISNUMBER($U732),$U732*$V732,"")</f>
        <v/>
      </c>
      <c r="BE732" s="56" t="str">
        <f>IF($AM732=0,"",IFERROR(MATCH($AF732&amp;"|"&amp;UPPER(TRIM($E732)),Lists!$A$6:$A$205,0),0))</f>
        <v/>
      </c>
      <c r="BF732" s="56" t="str">
        <f>IF($AM732=0,"",IFERROR(MATCH($AF732,Settings!$B$14:$B$18,0),IFERROR(MATCH(Settings!$C$6,Settings!$B$14:$B$18,0),1)))</f>
        <v/>
      </c>
      <c r="BG732" s="58" t="str">
        <f>IF($AM732=0,"",IF(NOT(ISNUMBER($I732)),"No stop; ","")&amp;IF(AND(ISNUMBER($H732),ISNUMBER($I732)),IF(OR(AND($F732&lt;&gt;"Short",$I732&gt;=$H732),AND($F732="Short",$I732&lt;=$H732)),"Stop on wrong side; ",""),"")&amp;IF($F732="","No direction; ","")&amp;IF(AND(ISNUMBER(Settings!$C$22),ISNUMBER($V732)),IF($V732&gt;Settings!$C$22,"Risk over max $; ",""),"")&amp;IF(AND(ISNUMBER(Settings!$C$23),ISNUMBER($V732),ISNUMBER($AP732),IFERROR(N(INDEX(Accounts!$E$7:$E$16,MATCH($C732,Accounts!$B$7:$B$16,0))),0)&gt;0),IF($V732&gt;Settings!$C$23*($AP732-N($Q732)),"Risk over max %; ",""),"")&amp;IF(AND(ISNUMBER(Settings!$C$24),ISNUMBER($N732)),IF($N732&gt;Settings!$C$24,"Leverage over max; ",""),"")&amp;IF(AND(ISNUMBER(Settings!$C$27),ISNUMBER($T732)),IF($T732&lt;Settings!$C$27,"R:R below min; ",""),"")&amp;IF(ISNUMBER(Settings!$C$25),IF(COUNTIFS($A$6:$A732,$A732,$AM$6:$AM732,1)&gt;Settings!$C$25,"Over max trades/day; ",""),"")&amp;IF(ISNUMBER(Settings!$C$26),IF(SUMIFS($Q$5:$Q731,$A$5:$A731,$A732)&lt;=-Settings!$C$26,"Traded after daily max loss; ",""),"")&amp;IF(AND($AG732="",NOT(ISNUMBER($O732))),"Symbol not in Instruments; ","")&amp;IF(AND($AH732="",NOT(ISNUMBER($O732))),"Forex cross: type Gross P&amp;L; ",""))</f>
        <v/>
      </c>
      <c r="BH732" s="56">
        <f>IF(ISNUMBER($Q732),1,0)</f>
        <v>0</v>
      </c>
      <c r="BI732" s="56">
        <f>IF($Y732="",0,1)</f>
        <v>0</v>
      </c>
      <c r="BJ732" s="56">
        <f>IF($AB732="",0,1)</f>
        <v>0</v>
      </c>
      <c r="BK732" s="56">
        <f>IF(AND($BH732=1,$W732&lt;&gt;"OK"),1,0)</f>
        <v>0</v>
      </c>
      <c r="BL732" s="55">
        <f>IF(N($AZ732)=0,0,IFERROR(INDEX($AT$6:$AT$1005,MATCH($AZ732,$AY$6:$AY$1005,0)),0))</f>
        <v>1187.10688</v>
      </c>
      <c r="BM732" s="56">
        <f>IF(ISNUMBER(SEARCH("daily max loss",$BG732)),1,0)</f>
        <v>0</v>
      </c>
    </row>
    <row r="733" ht="18" customHeight="1">
      <c r="A733" s="38" t="n"/>
      <c r="B733" s="39" t="n"/>
      <c r="C733" s="40" t="n"/>
      <c r="D733" s="41" t="n"/>
      <c r="E733" s="41" t="n"/>
      <c r="F733" s="41" t="n"/>
      <c r="G733" s="41" t="n"/>
      <c r="H733" s="42" t="n"/>
      <c r="I733" s="42" t="n"/>
      <c r="J733" s="42" t="n"/>
      <c r="K733" s="42" t="n"/>
      <c r="L733" s="41" t="n"/>
      <c r="M733" s="41" t="n"/>
      <c r="N733" s="41" t="n"/>
      <c r="O733" s="43" t="n"/>
      <c r="P733" s="43" t="n"/>
      <c r="Q733" s="44" t="str">
        <f>IF($AM733=0,"",IF(ISNUMBER($AK733),$AK733-N($AL733),""))</f>
        <v/>
      </c>
      <c r="R733" s="45" t="str">
        <f>IF(OR($Q733="",NOT(ISNUMBER($V733))),"",$AK733/$V733)</f>
        <v/>
      </c>
      <c r="S733" s="46" t="str">
        <f>IF($Q733="","",IF(AND(ISNUMBER($R733),ABS(N($R733))&lt;N(Settings!$C$8)),"Scratch",IF($Q733&gt;0,"Win",IF($Q733&lt;0,"Loss","Scratch"))))</f>
        <v/>
      </c>
      <c r="T733" s="47" t="str">
        <f>IF(OR($AM733=0,NOT(ISNUMBER($H733)),NOT(ISNUMBER($I733)),NOT(ISNUMBER($J733))),"",IF($H733=$I733,"",ROUND(ABS($J733-$H733)/ABS($H733-$I733),6)))</f>
        <v/>
      </c>
      <c r="U733" s="48" t="str">
        <f>IF(OR($S733&lt;&gt;"Win",NOT(ISNUMBER($T733)),NOT(ISNUMBER($R733))),"",MAX(0,$T733-$R733))</f>
        <v/>
      </c>
      <c r="V733" s="49" t="str">
        <f>IF(OR($AM733=0,NOT(ISNUMBER($H733)),NOT(ISNUMBER($I733)),NOT(ISNUMBER($G733))),"",IF(OR($AG733="",$AH733=""),"",IF(ROUND(ABS($H733-$I733)*ABS($G733)*$AG733*$AH733,6)=0,"",ROUND(ABS($H733-$I733)*ABS($G733)*$AG733*$AH733,6))))</f>
        <v/>
      </c>
      <c r="W733" s="50" t="str">
        <f>IF($AM733=0,"",IF($BG733="","OK",LEFT($BG733,LEN($BG733)-2)))</f>
        <v/>
      </c>
      <c r="X733" s="41" t="n"/>
      <c r="Y733" s="40" t="n"/>
      <c r="Z733" s="41" t="n"/>
      <c r="AA733" s="41" t="n"/>
      <c r="AB733" s="40" t="n"/>
      <c r="AC733" s="51" t="n"/>
      <c r="AD733" s="51" t="n"/>
      <c r="AE733" s="40" t="n"/>
      <c r="AF733" s="52" t="str">
        <f>IF($AM733=0,"",IF($D733&lt;&gt;"",$D733,IF(IFERROR(INDEX(Accounts!$C$7:$C$16,MATCH($C733,Accounts!$B$7:$B$16,0))&amp;"","")&lt;&gt;"",INDEX(Accounts!$C$7:$C$16,MATCH($C733,Accounts!$B$7:$B$16,0)),Settings!$C$6)))</f>
        <v/>
      </c>
      <c r="AG733" s="53" t="str">
        <f>IF($AM733=0,"",IF(AND($BE733&gt;0,N(INDEX(Instruments!$D$6:$D$205,MAX(1,$BE733)))&gt;0),INDEX(Instruments!$D$6:$D$205,MAX(1,$BE733)),IF(N(INDEX(Settings!$D$14:$D$18,$BF733))&gt;0,INDEX(Settings!$D$14:$D$18,$BF733),"")))</f>
        <v/>
      </c>
      <c r="AH733" s="54" t="str">
        <f>IF($AM733=0,"",IF($AF733&lt;&gt;"Forex",1,IF(MID(UPPER(SUBSTITUTE(TRIM($E733),"/","")),4,3)=UPPER(TRIM(Settings!$C$7)),1,IF(LEFT(UPPER(SUBSTITUTE(TRIM($E733),"/","")),3)=UPPER(TRIM(Settings!$C$7)),IF(AND(ISNUMBER($K733),N($K733)&lt;&gt;0),1/$K733,""),""))))</f>
        <v/>
      </c>
      <c r="AI733" s="55" t="str">
        <f>IF($AM733=0,"",IF(OR(NOT(ISNUMBER($H733)),NOT(ISNUMBER($K733)),NOT(ISNUMBER($G733)),$AG733="",$AH733=""),"",ROUND(($K733-$H733)*IF($F733="Short",-1,1)*$G733*$AG733*$AH733,6)))</f>
        <v/>
      </c>
      <c r="AJ733" s="55" t="str">
        <f>IF($AM733=0,"",IF(INDEX(Settings!$E$14:$E$18,$BF733)="% of notional",IF(OR($AG733="",NOT(ISNUMBER($H733)),NOT(ISNUMBER($G733))),"",ROUND(ABS($H733*$G733*$AG733*N($AH733))*IF($L733="Limit",N(INDEX(Settings!$G$14:$G$18,$BF733)),N(INDEX(Settings!$H$14:$H$18,$BF733)))+IF(ISNUMBER($K733),ABS($K733*$G733*$AG733*N($AH733))*IF($M733="Target",N(INDEX(Settings!$G$14:$G$18,$BF733)),N(INDEX(Settings!$H$14:$H$18,$BF733))),0),6)),IF(NOT(ISNUMBER($G733)),"",ROUND(ABS($G733)*2*IF(AND($BE733&gt;0,ISNUMBER(INDEX(Instruments!$G$6:$G$205,MAX(1,$BE733)))),INDEX(Instruments!$G$6:$G$205,MAX(1,$BE733)),N(INDEX(Settings!$F$14:$F$18,$BF733))),6))))</f>
        <v/>
      </c>
      <c r="AK733" s="55" t="str">
        <f>IF($AM733=0,"",IF(ISNUMBER($O733),$O733,$AI733))</f>
        <v/>
      </c>
      <c r="AL733" s="55" t="str">
        <f>IF($AM733=0,"",IF(ISNUMBER($P733),$P733,N($AJ733)))</f>
        <v/>
      </c>
      <c r="AM733" s="56">
        <f>IF(AND($A733&lt;&gt;"",$E733&lt;&gt;"",OR(AND(ISNUMBER($G733),ISNUMBER($H733),ISNUMBER($K733)),ISNUMBER($O733))),1,0)</f>
        <v>0</v>
      </c>
      <c r="AN733" s="57" t="str">
        <f>IF($A733="","",$A733-WEEKDAY($A733,3))</f>
        <v/>
      </c>
      <c r="AO733" s="56" t="str">
        <f>IF($A733="","",WEEKDAY($A733,2))</f>
        <v/>
      </c>
      <c r="AP733" s="55" t="str">
        <f>IF(OR($AM733=0,$C733=""),"",IFERROR(N(INDEX(Accounts!$E$7:$E$16,MATCH($C733,Accounts!$B$7:$B$16,0))),0)+SUMIFS($Q$6:$Q733,$C$6:$C733,$C733))</f>
        <v/>
      </c>
      <c r="AQ733" s="55" t="str">
        <f>IF(OR($AM733=0,$C733=""),"",SUMIFS($Q$6:$Q$1005,$C$6:$C$1005,$C733,$A$6:$A$1005,$A733))</f>
        <v/>
      </c>
      <c r="AR733" s="55" t="str">
        <f>IF(OR($AM733=0,$C733=""),"",IFERROR(N(INDEX(Accounts!$E$7:$E$16,MATCH($C733,Accounts!$B$7:$B$16,0))),0)+SUMIFS($Q$6:$Q$1005,$C$6:$C$1005,$C733,$A$6:$A$1005,"&lt;="&amp;$A733))</f>
        <v/>
      </c>
      <c r="AS733" s="56">
        <f>IF(OR($AM733=0,$Q733=""),0,IF(AND($A733&gt;=Lists!$W$6,$A733&lt;=Lists!$W$7,OR(Dashboard!$D$6="All accounts",$C733=Dashboard!$D$6),OR(Dashboard!$D$7="All markets",$AF733=Dashboard!$D$7)),1,0))</f>
        <v>0</v>
      </c>
      <c r="AT733" s="55">
        <f>IF($AS733=1,N(AT732)+$Q733,N(AT732))</f>
        <v>1187.10688</v>
      </c>
      <c r="AU733" s="55">
        <f>MAX(N(AU732),$AT733)</f>
        <v>1187.10688</v>
      </c>
      <c r="AV733" s="55">
        <f>$AT733-$AU733</f>
        <v>0</v>
      </c>
      <c r="AW733" s="56">
        <f>IF($AS733=1,IF($S733="Win",N(AW732)+1,IF($S733="Loss",0,N(AW732))),N(AW732))</f>
        <v>5</v>
      </c>
      <c r="AX733" s="56">
        <f>IF($AS733=1,IF($S733="Loss",N(AX732)+1,IF($S733="Win",0,N(AX732))),N(AX732))</f>
        <v>0</v>
      </c>
      <c r="AY733" s="56" t="str">
        <f>IF($AS733=1,COUNTIF($AS$6:$AS733,1),"")</f>
        <v/>
      </c>
      <c r="AZ733" s="56">
        <f>MIN(727,N(Lists!$W$8))</f>
        <v>28</v>
      </c>
      <c r="BA733" s="56">
        <f>IF($AS733=1,IF(COUNTIFS($A$6:$A733,$A733,$AS$6:$AS733,1)=1,1,0),0)</f>
        <v>0</v>
      </c>
      <c r="BB733" s="55" t="str">
        <f>IF($BA733=1,SUMIFS($Q$6:$Q$1005,$A$6:$A$1005,$A733,$AS$6:$AS$1005,1),"")</f>
        <v/>
      </c>
      <c r="BC733" s="56">
        <f>IF(ISNUMBER($R733),1,0)</f>
        <v>0</v>
      </c>
      <c r="BD733" s="55" t="str">
        <f>IF(ISNUMBER($U733),$U733*$V733,"")</f>
        <v/>
      </c>
      <c r="BE733" s="56" t="str">
        <f>IF($AM733=0,"",IFERROR(MATCH($AF733&amp;"|"&amp;UPPER(TRIM($E733)),Lists!$A$6:$A$205,0),0))</f>
        <v/>
      </c>
      <c r="BF733" s="56" t="str">
        <f>IF($AM733=0,"",IFERROR(MATCH($AF733,Settings!$B$14:$B$18,0),IFERROR(MATCH(Settings!$C$6,Settings!$B$14:$B$18,0),1)))</f>
        <v/>
      </c>
      <c r="BG733" s="58" t="str">
        <f>IF($AM733=0,"",IF(NOT(ISNUMBER($I733)),"No stop; ","")&amp;IF(AND(ISNUMBER($H733),ISNUMBER($I733)),IF(OR(AND($F733&lt;&gt;"Short",$I733&gt;=$H733),AND($F733="Short",$I733&lt;=$H733)),"Stop on wrong side; ",""),"")&amp;IF($F733="","No direction; ","")&amp;IF(AND(ISNUMBER(Settings!$C$22),ISNUMBER($V733)),IF($V733&gt;Settings!$C$22,"Risk over max $; ",""),"")&amp;IF(AND(ISNUMBER(Settings!$C$23),ISNUMBER($V733),ISNUMBER($AP733),IFERROR(N(INDEX(Accounts!$E$7:$E$16,MATCH($C733,Accounts!$B$7:$B$16,0))),0)&gt;0),IF($V733&gt;Settings!$C$23*($AP733-N($Q733)),"Risk over max %; ",""),"")&amp;IF(AND(ISNUMBER(Settings!$C$24),ISNUMBER($N733)),IF($N733&gt;Settings!$C$24,"Leverage over max; ",""),"")&amp;IF(AND(ISNUMBER(Settings!$C$27),ISNUMBER($T733)),IF($T733&lt;Settings!$C$27,"R:R below min; ",""),"")&amp;IF(ISNUMBER(Settings!$C$25),IF(COUNTIFS($A$6:$A733,$A733,$AM$6:$AM733,1)&gt;Settings!$C$25,"Over max trades/day; ",""),"")&amp;IF(ISNUMBER(Settings!$C$26),IF(SUMIFS($Q$5:$Q732,$A$5:$A732,$A733)&lt;=-Settings!$C$26,"Traded after daily max loss; ",""),"")&amp;IF(AND($AG733="",NOT(ISNUMBER($O733))),"Symbol not in Instruments; ","")&amp;IF(AND($AH733="",NOT(ISNUMBER($O733))),"Forex cross: type Gross P&amp;L; ",""))</f>
        <v/>
      </c>
      <c r="BH733" s="56">
        <f>IF(ISNUMBER($Q733),1,0)</f>
        <v>0</v>
      </c>
      <c r="BI733" s="56">
        <f>IF($Y733="",0,1)</f>
        <v>0</v>
      </c>
      <c r="BJ733" s="56">
        <f>IF($AB733="",0,1)</f>
        <v>0</v>
      </c>
      <c r="BK733" s="56">
        <f>IF(AND($BH733=1,$W733&lt;&gt;"OK"),1,0)</f>
        <v>0</v>
      </c>
      <c r="BL733" s="55">
        <f>IF(N($AZ733)=0,0,IFERROR(INDEX($AT$6:$AT$1005,MATCH($AZ733,$AY$6:$AY$1005,0)),0))</f>
        <v>1187.10688</v>
      </c>
      <c r="BM733" s="56">
        <f>IF(ISNUMBER(SEARCH("daily max loss",$BG733)),1,0)</f>
        <v>0</v>
      </c>
    </row>
    <row r="734" ht="18" customHeight="1">
      <c r="A734" s="38" t="n"/>
      <c r="B734" s="39" t="n"/>
      <c r="C734" s="40" t="n"/>
      <c r="D734" s="41" t="n"/>
      <c r="E734" s="41" t="n"/>
      <c r="F734" s="41" t="n"/>
      <c r="G734" s="41" t="n"/>
      <c r="H734" s="42" t="n"/>
      <c r="I734" s="42" t="n"/>
      <c r="J734" s="42" t="n"/>
      <c r="K734" s="42" t="n"/>
      <c r="L734" s="41" t="n"/>
      <c r="M734" s="41" t="n"/>
      <c r="N734" s="41" t="n"/>
      <c r="O734" s="43" t="n"/>
      <c r="P734" s="43" t="n"/>
      <c r="Q734" s="44" t="str">
        <f>IF($AM734=0,"",IF(ISNUMBER($AK734),$AK734-N($AL734),""))</f>
        <v/>
      </c>
      <c r="R734" s="45" t="str">
        <f>IF(OR($Q734="",NOT(ISNUMBER($V734))),"",$AK734/$V734)</f>
        <v/>
      </c>
      <c r="S734" s="46" t="str">
        <f>IF($Q734="","",IF(AND(ISNUMBER($R734),ABS(N($R734))&lt;N(Settings!$C$8)),"Scratch",IF($Q734&gt;0,"Win",IF($Q734&lt;0,"Loss","Scratch"))))</f>
        <v/>
      </c>
      <c r="T734" s="47" t="str">
        <f>IF(OR($AM734=0,NOT(ISNUMBER($H734)),NOT(ISNUMBER($I734)),NOT(ISNUMBER($J734))),"",IF($H734=$I734,"",ROUND(ABS($J734-$H734)/ABS($H734-$I734),6)))</f>
        <v/>
      </c>
      <c r="U734" s="48" t="str">
        <f>IF(OR($S734&lt;&gt;"Win",NOT(ISNUMBER($T734)),NOT(ISNUMBER($R734))),"",MAX(0,$T734-$R734))</f>
        <v/>
      </c>
      <c r="V734" s="49" t="str">
        <f>IF(OR($AM734=0,NOT(ISNUMBER($H734)),NOT(ISNUMBER($I734)),NOT(ISNUMBER($G734))),"",IF(OR($AG734="",$AH734=""),"",IF(ROUND(ABS($H734-$I734)*ABS($G734)*$AG734*$AH734,6)=0,"",ROUND(ABS($H734-$I734)*ABS($G734)*$AG734*$AH734,6))))</f>
        <v/>
      </c>
      <c r="W734" s="50" t="str">
        <f>IF($AM734=0,"",IF($BG734="","OK",LEFT($BG734,LEN($BG734)-2)))</f>
        <v/>
      </c>
      <c r="X734" s="41" t="n"/>
      <c r="Y734" s="40" t="n"/>
      <c r="Z734" s="41" t="n"/>
      <c r="AA734" s="41" t="n"/>
      <c r="AB734" s="40" t="n"/>
      <c r="AC734" s="51" t="n"/>
      <c r="AD734" s="51" t="n"/>
      <c r="AE734" s="40" t="n"/>
      <c r="AF734" s="52" t="str">
        <f>IF($AM734=0,"",IF($D734&lt;&gt;"",$D734,IF(IFERROR(INDEX(Accounts!$C$7:$C$16,MATCH($C734,Accounts!$B$7:$B$16,0))&amp;"","")&lt;&gt;"",INDEX(Accounts!$C$7:$C$16,MATCH($C734,Accounts!$B$7:$B$16,0)),Settings!$C$6)))</f>
        <v/>
      </c>
      <c r="AG734" s="53" t="str">
        <f>IF($AM734=0,"",IF(AND($BE734&gt;0,N(INDEX(Instruments!$D$6:$D$205,MAX(1,$BE734)))&gt;0),INDEX(Instruments!$D$6:$D$205,MAX(1,$BE734)),IF(N(INDEX(Settings!$D$14:$D$18,$BF734))&gt;0,INDEX(Settings!$D$14:$D$18,$BF734),"")))</f>
        <v/>
      </c>
      <c r="AH734" s="54" t="str">
        <f>IF($AM734=0,"",IF($AF734&lt;&gt;"Forex",1,IF(MID(UPPER(SUBSTITUTE(TRIM($E734),"/","")),4,3)=UPPER(TRIM(Settings!$C$7)),1,IF(LEFT(UPPER(SUBSTITUTE(TRIM($E734),"/","")),3)=UPPER(TRIM(Settings!$C$7)),IF(AND(ISNUMBER($K734),N($K734)&lt;&gt;0),1/$K734,""),""))))</f>
        <v/>
      </c>
      <c r="AI734" s="55" t="str">
        <f>IF($AM734=0,"",IF(OR(NOT(ISNUMBER($H734)),NOT(ISNUMBER($K734)),NOT(ISNUMBER($G734)),$AG734="",$AH734=""),"",ROUND(($K734-$H734)*IF($F734="Short",-1,1)*$G734*$AG734*$AH734,6)))</f>
        <v/>
      </c>
      <c r="AJ734" s="55" t="str">
        <f>IF($AM734=0,"",IF(INDEX(Settings!$E$14:$E$18,$BF734)="% of notional",IF(OR($AG734="",NOT(ISNUMBER($H734)),NOT(ISNUMBER($G734))),"",ROUND(ABS($H734*$G734*$AG734*N($AH734))*IF($L734="Limit",N(INDEX(Settings!$G$14:$G$18,$BF734)),N(INDEX(Settings!$H$14:$H$18,$BF734)))+IF(ISNUMBER($K734),ABS($K734*$G734*$AG734*N($AH734))*IF($M734="Target",N(INDEX(Settings!$G$14:$G$18,$BF734)),N(INDEX(Settings!$H$14:$H$18,$BF734))),0),6)),IF(NOT(ISNUMBER($G734)),"",ROUND(ABS($G734)*2*IF(AND($BE734&gt;0,ISNUMBER(INDEX(Instruments!$G$6:$G$205,MAX(1,$BE734)))),INDEX(Instruments!$G$6:$G$205,MAX(1,$BE734)),N(INDEX(Settings!$F$14:$F$18,$BF734))),6))))</f>
        <v/>
      </c>
      <c r="AK734" s="55" t="str">
        <f>IF($AM734=0,"",IF(ISNUMBER($O734),$O734,$AI734))</f>
        <v/>
      </c>
      <c r="AL734" s="55" t="str">
        <f>IF($AM734=0,"",IF(ISNUMBER($P734),$P734,N($AJ734)))</f>
        <v/>
      </c>
      <c r="AM734" s="56">
        <f>IF(AND($A734&lt;&gt;"",$E734&lt;&gt;"",OR(AND(ISNUMBER($G734),ISNUMBER($H734),ISNUMBER($K734)),ISNUMBER($O734))),1,0)</f>
        <v>0</v>
      </c>
      <c r="AN734" s="57" t="str">
        <f>IF($A734="","",$A734-WEEKDAY($A734,3))</f>
        <v/>
      </c>
      <c r="AO734" s="56" t="str">
        <f>IF($A734="","",WEEKDAY($A734,2))</f>
        <v/>
      </c>
      <c r="AP734" s="55" t="str">
        <f>IF(OR($AM734=0,$C734=""),"",IFERROR(N(INDEX(Accounts!$E$7:$E$16,MATCH($C734,Accounts!$B$7:$B$16,0))),0)+SUMIFS($Q$6:$Q734,$C$6:$C734,$C734))</f>
        <v/>
      </c>
      <c r="AQ734" s="55" t="str">
        <f>IF(OR($AM734=0,$C734=""),"",SUMIFS($Q$6:$Q$1005,$C$6:$C$1005,$C734,$A$6:$A$1005,$A734))</f>
        <v/>
      </c>
      <c r="AR734" s="55" t="str">
        <f>IF(OR($AM734=0,$C734=""),"",IFERROR(N(INDEX(Accounts!$E$7:$E$16,MATCH($C734,Accounts!$B$7:$B$16,0))),0)+SUMIFS($Q$6:$Q$1005,$C$6:$C$1005,$C734,$A$6:$A$1005,"&lt;="&amp;$A734))</f>
        <v/>
      </c>
      <c r="AS734" s="56">
        <f>IF(OR($AM734=0,$Q734=""),0,IF(AND($A734&gt;=Lists!$W$6,$A734&lt;=Lists!$W$7,OR(Dashboard!$D$6="All accounts",$C734=Dashboard!$D$6),OR(Dashboard!$D$7="All markets",$AF734=Dashboard!$D$7)),1,0))</f>
        <v>0</v>
      </c>
      <c r="AT734" s="55">
        <f>IF($AS734=1,N(AT733)+$Q734,N(AT733))</f>
        <v>1187.10688</v>
      </c>
      <c r="AU734" s="55">
        <f>MAX(N(AU733),$AT734)</f>
        <v>1187.10688</v>
      </c>
      <c r="AV734" s="55">
        <f>$AT734-$AU734</f>
        <v>0</v>
      </c>
      <c r="AW734" s="56">
        <f>IF($AS734=1,IF($S734="Win",N(AW733)+1,IF($S734="Loss",0,N(AW733))),N(AW733))</f>
        <v>5</v>
      </c>
      <c r="AX734" s="56">
        <f>IF($AS734=1,IF($S734="Loss",N(AX733)+1,IF($S734="Win",0,N(AX733))),N(AX733))</f>
        <v>0</v>
      </c>
      <c r="AY734" s="56" t="str">
        <f>IF($AS734=1,COUNTIF($AS$6:$AS734,1),"")</f>
        <v/>
      </c>
      <c r="AZ734" s="56">
        <f>MIN(728,N(Lists!$W$8))</f>
        <v>28</v>
      </c>
      <c r="BA734" s="56">
        <f>IF($AS734=1,IF(COUNTIFS($A$6:$A734,$A734,$AS$6:$AS734,1)=1,1,0),0)</f>
        <v>0</v>
      </c>
      <c r="BB734" s="55" t="str">
        <f>IF($BA734=1,SUMIFS($Q$6:$Q$1005,$A$6:$A$1005,$A734,$AS$6:$AS$1005,1),"")</f>
        <v/>
      </c>
      <c r="BC734" s="56">
        <f>IF(ISNUMBER($R734),1,0)</f>
        <v>0</v>
      </c>
      <c r="BD734" s="55" t="str">
        <f>IF(ISNUMBER($U734),$U734*$V734,"")</f>
        <v/>
      </c>
      <c r="BE734" s="56" t="str">
        <f>IF($AM734=0,"",IFERROR(MATCH($AF734&amp;"|"&amp;UPPER(TRIM($E734)),Lists!$A$6:$A$205,0),0))</f>
        <v/>
      </c>
      <c r="BF734" s="56" t="str">
        <f>IF($AM734=0,"",IFERROR(MATCH($AF734,Settings!$B$14:$B$18,0),IFERROR(MATCH(Settings!$C$6,Settings!$B$14:$B$18,0),1)))</f>
        <v/>
      </c>
      <c r="BG734" s="58" t="str">
        <f>IF($AM734=0,"",IF(NOT(ISNUMBER($I734)),"No stop; ","")&amp;IF(AND(ISNUMBER($H734),ISNUMBER($I734)),IF(OR(AND($F734&lt;&gt;"Short",$I734&gt;=$H734),AND($F734="Short",$I734&lt;=$H734)),"Stop on wrong side; ",""),"")&amp;IF($F734="","No direction; ","")&amp;IF(AND(ISNUMBER(Settings!$C$22),ISNUMBER($V734)),IF($V734&gt;Settings!$C$22,"Risk over max $; ",""),"")&amp;IF(AND(ISNUMBER(Settings!$C$23),ISNUMBER($V734),ISNUMBER($AP734),IFERROR(N(INDEX(Accounts!$E$7:$E$16,MATCH($C734,Accounts!$B$7:$B$16,0))),0)&gt;0),IF($V734&gt;Settings!$C$23*($AP734-N($Q734)),"Risk over max %; ",""),"")&amp;IF(AND(ISNUMBER(Settings!$C$24),ISNUMBER($N734)),IF($N734&gt;Settings!$C$24,"Leverage over max; ",""),"")&amp;IF(AND(ISNUMBER(Settings!$C$27),ISNUMBER($T734)),IF($T734&lt;Settings!$C$27,"R:R below min; ",""),"")&amp;IF(ISNUMBER(Settings!$C$25),IF(COUNTIFS($A$6:$A734,$A734,$AM$6:$AM734,1)&gt;Settings!$C$25,"Over max trades/day; ",""),"")&amp;IF(ISNUMBER(Settings!$C$26),IF(SUMIFS($Q$5:$Q733,$A$5:$A733,$A734)&lt;=-Settings!$C$26,"Traded after daily max loss; ",""),"")&amp;IF(AND($AG734="",NOT(ISNUMBER($O734))),"Symbol not in Instruments; ","")&amp;IF(AND($AH734="",NOT(ISNUMBER($O734))),"Forex cross: type Gross P&amp;L; ",""))</f>
        <v/>
      </c>
      <c r="BH734" s="56">
        <f>IF(ISNUMBER($Q734),1,0)</f>
        <v>0</v>
      </c>
      <c r="BI734" s="56">
        <f>IF($Y734="",0,1)</f>
        <v>0</v>
      </c>
      <c r="BJ734" s="56">
        <f>IF($AB734="",0,1)</f>
        <v>0</v>
      </c>
      <c r="BK734" s="56">
        <f>IF(AND($BH734=1,$W734&lt;&gt;"OK"),1,0)</f>
        <v>0</v>
      </c>
      <c r="BL734" s="55">
        <f>IF(N($AZ734)=0,0,IFERROR(INDEX($AT$6:$AT$1005,MATCH($AZ734,$AY$6:$AY$1005,0)),0))</f>
        <v>1187.10688</v>
      </c>
      <c r="BM734" s="56">
        <f>IF(ISNUMBER(SEARCH("daily max loss",$BG734)),1,0)</f>
        <v>0</v>
      </c>
    </row>
    <row r="735" ht="18" customHeight="1">
      <c r="A735" s="38" t="n"/>
      <c r="B735" s="39" t="n"/>
      <c r="C735" s="40" t="n"/>
      <c r="D735" s="41" t="n"/>
      <c r="E735" s="41" t="n"/>
      <c r="F735" s="41" t="n"/>
      <c r="G735" s="41" t="n"/>
      <c r="H735" s="42" t="n"/>
      <c r="I735" s="42" t="n"/>
      <c r="J735" s="42" t="n"/>
      <c r="K735" s="42" t="n"/>
      <c r="L735" s="41" t="n"/>
      <c r="M735" s="41" t="n"/>
      <c r="N735" s="41" t="n"/>
      <c r="O735" s="43" t="n"/>
      <c r="P735" s="43" t="n"/>
      <c r="Q735" s="44" t="str">
        <f>IF($AM735=0,"",IF(ISNUMBER($AK735),$AK735-N($AL735),""))</f>
        <v/>
      </c>
      <c r="R735" s="45" t="str">
        <f>IF(OR($Q735="",NOT(ISNUMBER($V735))),"",$AK735/$V735)</f>
        <v/>
      </c>
      <c r="S735" s="46" t="str">
        <f>IF($Q735="","",IF(AND(ISNUMBER($R735),ABS(N($R735))&lt;N(Settings!$C$8)),"Scratch",IF($Q735&gt;0,"Win",IF($Q735&lt;0,"Loss","Scratch"))))</f>
        <v/>
      </c>
      <c r="T735" s="47" t="str">
        <f>IF(OR($AM735=0,NOT(ISNUMBER($H735)),NOT(ISNUMBER($I735)),NOT(ISNUMBER($J735))),"",IF($H735=$I735,"",ROUND(ABS($J735-$H735)/ABS($H735-$I735),6)))</f>
        <v/>
      </c>
      <c r="U735" s="48" t="str">
        <f>IF(OR($S735&lt;&gt;"Win",NOT(ISNUMBER($T735)),NOT(ISNUMBER($R735))),"",MAX(0,$T735-$R735))</f>
        <v/>
      </c>
      <c r="V735" s="49" t="str">
        <f>IF(OR($AM735=0,NOT(ISNUMBER($H735)),NOT(ISNUMBER($I735)),NOT(ISNUMBER($G735))),"",IF(OR($AG735="",$AH735=""),"",IF(ROUND(ABS($H735-$I735)*ABS($G735)*$AG735*$AH735,6)=0,"",ROUND(ABS($H735-$I735)*ABS($G735)*$AG735*$AH735,6))))</f>
        <v/>
      </c>
      <c r="W735" s="50" t="str">
        <f>IF($AM735=0,"",IF($BG735="","OK",LEFT($BG735,LEN($BG735)-2)))</f>
        <v/>
      </c>
      <c r="X735" s="41" t="n"/>
      <c r="Y735" s="40" t="n"/>
      <c r="Z735" s="41" t="n"/>
      <c r="AA735" s="41" t="n"/>
      <c r="AB735" s="40" t="n"/>
      <c r="AC735" s="51" t="n"/>
      <c r="AD735" s="51" t="n"/>
      <c r="AE735" s="40" t="n"/>
      <c r="AF735" s="52" t="str">
        <f>IF($AM735=0,"",IF($D735&lt;&gt;"",$D735,IF(IFERROR(INDEX(Accounts!$C$7:$C$16,MATCH($C735,Accounts!$B$7:$B$16,0))&amp;"","")&lt;&gt;"",INDEX(Accounts!$C$7:$C$16,MATCH($C735,Accounts!$B$7:$B$16,0)),Settings!$C$6)))</f>
        <v/>
      </c>
      <c r="AG735" s="53" t="str">
        <f>IF($AM735=0,"",IF(AND($BE735&gt;0,N(INDEX(Instruments!$D$6:$D$205,MAX(1,$BE735)))&gt;0),INDEX(Instruments!$D$6:$D$205,MAX(1,$BE735)),IF(N(INDEX(Settings!$D$14:$D$18,$BF735))&gt;0,INDEX(Settings!$D$14:$D$18,$BF735),"")))</f>
        <v/>
      </c>
      <c r="AH735" s="54" t="str">
        <f>IF($AM735=0,"",IF($AF735&lt;&gt;"Forex",1,IF(MID(UPPER(SUBSTITUTE(TRIM($E735),"/","")),4,3)=UPPER(TRIM(Settings!$C$7)),1,IF(LEFT(UPPER(SUBSTITUTE(TRIM($E735),"/","")),3)=UPPER(TRIM(Settings!$C$7)),IF(AND(ISNUMBER($K735),N($K735)&lt;&gt;0),1/$K735,""),""))))</f>
        <v/>
      </c>
      <c r="AI735" s="55" t="str">
        <f>IF($AM735=0,"",IF(OR(NOT(ISNUMBER($H735)),NOT(ISNUMBER($K735)),NOT(ISNUMBER($G735)),$AG735="",$AH735=""),"",ROUND(($K735-$H735)*IF($F735="Short",-1,1)*$G735*$AG735*$AH735,6)))</f>
        <v/>
      </c>
      <c r="AJ735" s="55" t="str">
        <f>IF($AM735=0,"",IF(INDEX(Settings!$E$14:$E$18,$BF735)="% of notional",IF(OR($AG735="",NOT(ISNUMBER($H735)),NOT(ISNUMBER($G735))),"",ROUND(ABS($H735*$G735*$AG735*N($AH735))*IF($L735="Limit",N(INDEX(Settings!$G$14:$G$18,$BF735)),N(INDEX(Settings!$H$14:$H$18,$BF735)))+IF(ISNUMBER($K735),ABS($K735*$G735*$AG735*N($AH735))*IF($M735="Target",N(INDEX(Settings!$G$14:$G$18,$BF735)),N(INDEX(Settings!$H$14:$H$18,$BF735))),0),6)),IF(NOT(ISNUMBER($G735)),"",ROUND(ABS($G735)*2*IF(AND($BE735&gt;0,ISNUMBER(INDEX(Instruments!$G$6:$G$205,MAX(1,$BE735)))),INDEX(Instruments!$G$6:$G$205,MAX(1,$BE735)),N(INDEX(Settings!$F$14:$F$18,$BF735))),6))))</f>
        <v/>
      </c>
      <c r="AK735" s="55" t="str">
        <f>IF($AM735=0,"",IF(ISNUMBER($O735),$O735,$AI735))</f>
        <v/>
      </c>
      <c r="AL735" s="55" t="str">
        <f>IF($AM735=0,"",IF(ISNUMBER($P735),$P735,N($AJ735)))</f>
        <v/>
      </c>
      <c r="AM735" s="56">
        <f>IF(AND($A735&lt;&gt;"",$E735&lt;&gt;"",OR(AND(ISNUMBER($G735),ISNUMBER($H735),ISNUMBER($K735)),ISNUMBER($O735))),1,0)</f>
        <v>0</v>
      </c>
      <c r="AN735" s="57" t="str">
        <f>IF($A735="","",$A735-WEEKDAY($A735,3))</f>
        <v/>
      </c>
      <c r="AO735" s="56" t="str">
        <f>IF($A735="","",WEEKDAY($A735,2))</f>
        <v/>
      </c>
      <c r="AP735" s="55" t="str">
        <f>IF(OR($AM735=0,$C735=""),"",IFERROR(N(INDEX(Accounts!$E$7:$E$16,MATCH($C735,Accounts!$B$7:$B$16,0))),0)+SUMIFS($Q$6:$Q735,$C$6:$C735,$C735))</f>
        <v/>
      </c>
      <c r="AQ735" s="55" t="str">
        <f>IF(OR($AM735=0,$C735=""),"",SUMIFS($Q$6:$Q$1005,$C$6:$C$1005,$C735,$A$6:$A$1005,$A735))</f>
        <v/>
      </c>
      <c r="AR735" s="55" t="str">
        <f>IF(OR($AM735=0,$C735=""),"",IFERROR(N(INDEX(Accounts!$E$7:$E$16,MATCH($C735,Accounts!$B$7:$B$16,0))),0)+SUMIFS($Q$6:$Q$1005,$C$6:$C$1005,$C735,$A$6:$A$1005,"&lt;="&amp;$A735))</f>
        <v/>
      </c>
      <c r="AS735" s="56">
        <f>IF(OR($AM735=0,$Q735=""),0,IF(AND($A735&gt;=Lists!$W$6,$A735&lt;=Lists!$W$7,OR(Dashboard!$D$6="All accounts",$C735=Dashboard!$D$6),OR(Dashboard!$D$7="All markets",$AF735=Dashboard!$D$7)),1,0))</f>
        <v>0</v>
      </c>
      <c r="AT735" s="55">
        <f>IF($AS735=1,N(AT734)+$Q735,N(AT734))</f>
        <v>1187.10688</v>
      </c>
      <c r="AU735" s="55">
        <f>MAX(N(AU734),$AT735)</f>
        <v>1187.10688</v>
      </c>
      <c r="AV735" s="55">
        <f>$AT735-$AU735</f>
        <v>0</v>
      </c>
      <c r="AW735" s="56">
        <f>IF($AS735=1,IF($S735="Win",N(AW734)+1,IF($S735="Loss",0,N(AW734))),N(AW734))</f>
        <v>5</v>
      </c>
      <c r="AX735" s="56">
        <f>IF($AS735=1,IF($S735="Loss",N(AX734)+1,IF($S735="Win",0,N(AX734))),N(AX734))</f>
        <v>0</v>
      </c>
      <c r="AY735" s="56" t="str">
        <f>IF($AS735=1,COUNTIF($AS$6:$AS735,1),"")</f>
        <v/>
      </c>
      <c r="AZ735" s="56">
        <f>MIN(729,N(Lists!$W$8))</f>
        <v>28</v>
      </c>
      <c r="BA735" s="56">
        <f>IF($AS735=1,IF(COUNTIFS($A$6:$A735,$A735,$AS$6:$AS735,1)=1,1,0),0)</f>
        <v>0</v>
      </c>
      <c r="BB735" s="55" t="str">
        <f>IF($BA735=1,SUMIFS($Q$6:$Q$1005,$A$6:$A$1005,$A735,$AS$6:$AS$1005,1),"")</f>
        <v/>
      </c>
      <c r="BC735" s="56">
        <f>IF(ISNUMBER($R735),1,0)</f>
        <v>0</v>
      </c>
      <c r="BD735" s="55" t="str">
        <f>IF(ISNUMBER($U735),$U735*$V735,"")</f>
        <v/>
      </c>
      <c r="BE735" s="56" t="str">
        <f>IF($AM735=0,"",IFERROR(MATCH($AF735&amp;"|"&amp;UPPER(TRIM($E735)),Lists!$A$6:$A$205,0),0))</f>
        <v/>
      </c>
      <c r="BF735" s="56" t="str">
        <f>IF($AM735=0,"",IFERROR(MATCH($AF735,Settings!$B$14:$B$18,0),IFERROR(MATCH(Settings!$C$6,Settings!$B$14:$B$18,0),1)))</f>
        <v/>
      </c>
      <c r="BG735" s="58" t="str">
        <f>IF($AM735=0,"",IF(NOT(ISNUMBER($I735)),"No stop; ","")&amp;IF(AND(ISNUMBER($H735),ISNUMBER($I735)),IF(OR(AND($F735&lt;&gt;"Short",$I735&gt;=$H735),AND($F735="Short",$I735&lt;=$H735)),"Stop on wrong side; ",""),"")&amp;IF($F735="","No direction; ","")&amp;IF(AND(ISNUMBER(Settings!$C$22),ISNUMBER($V735)),IF($V735&gt;Settings!$C$22,"Risk over max $; ",""),"")&amp;IF(AND(ISNUMBER(Settings!$C$23),ISNUMBER($V735),ISNUMBER($AP735),IFERROR(N(INDEX(Accounts!$E$7:$E$16,MATCH($C735,Accounts!$B$7:$B$16,0))),0)&gt;0),IF($V735&gt;Settings!$C$23*($AP735-N($Q735)),"Risk over max %; ",""),"")&amp;IF(AND(ISNUMBER(Settings!$C$24),ISNUMBER($N735)),IF($N735&gt;Settings!$C$24,"Leverage over max; ",""),"")&amp;IF(AND(ISNUMBER(Settings!$C$27),ISNUMBER($T735)),IF($T735&lt;Settings!$C$27,"R:R below min; ",""),"")&amp;IF(ISNUMBER(Settings!$C$25),IF(COUNTIFS($A$6:$A735,$A735,$AM$6:$AM735,1)&gt;Settings!$C$25,"Over max trades/day; ",""),"")&amp;IF(ISNUMBER(Settings!$C$26),IF(SUMIFS($Q$5:$Q734,$A$5:$A734,$A735)&lt;=-Settings!$C$26,"Traded after daily max loss; ",""),"")&amp;IF(AND($AG735="",NOT(ISNUMBER($O735))),"Symbol not in Instruments; ","")&amp;IF(AND($AH735="",NOT(ISNUMBER($O735))),"Forex cross: type Gross P&amp;L; ",""))</f>
        <v/>
      </c>
      <c r="BH735" s="56">
        <f>IF(ISNUMBER($Q735),1,0)</f>
        <v>0</v>
      </c>
      <c r="BI735" s="56">
        <f>IF($Y735="",0,1)</f>
        <v>0</v>
      </c>
      <c r="BJ735" s="56">
        <f>IF($AB735="",0,1)</f>
        <v>0</v>
      </c>
      <c r="BK735" s="56">
        <f>IF(AND($BH735=1,$W735&lt;&gt;"OK"),1,0)</f>
        <v>0</v>
      </c>
      <c r="BL735" s="55">
        <f>IF(N($AZ735)=0,0,IFERROR(INDEX($AT$6:$AT$1005,MATCH($AZ735,$AY$6:$AY$1005,0)),0))</f>
        <v>1187.10688</v>
      </c>
      <c r="BM735" s="56">
        <f>IF(ISNUMBER(SEARCH("daily max loss",$BG735)),1,0)</f>
        <v>0</v>
      </c>
    </row>
    <row r="736" ht="18" customHeight="1">
      <c r="A736" s="38" t="n"/>
      <c r="B736" s="39" t="n"/>
      <c r="C736" s="40" t="n"/>
      <c r="D736" s="41" t="n"/>
      <c r="E736" s="41" t="n"/>
      <c r="F736" s="41" t="n"/>
      <c r="G736" s="41" t="n"/>
      <c r="H736" s="42" t="n"/>
      <c r="I736" s="42" t="n"/>
      <c r="J736" s="42" t="n"/>
      <c r="K736" s="42" t="n"/>
      <c r="L736" s="41" t="n"/>
      <c r="M736" s="41" t="n"/>
      <c r="N736" s="41" t="n"/>
      <c r="O736" s="43" t="n"/>
      <c r="P736" s="43" t="n"/>
      <c r="Q736" s="44" t="str">
        <f>IF($AM736=0,"",IF(ISNUMBER($AK736),$AK736-N($AL736),""))</f>
        <v/>
      </c>
      <c r="R736" s="45" t="str">
        <f>IF(OR($Q736="",NOT(ISNUMBER($V736))),"",$AK736/$V736)</f>
        <v/>
      </c>
      <c r="S736" s="46" t="str">
        <f>IF($Q736="","",IF(AND(ISNUMBER($R736),ABS(N($R736))&lt;N(Settings!$C$8)),"Scratch",IF($Q736&gt;0,"Win",IF($Q736&lt;0,"Loss","Scratch"))))</f>
        <v/>
      </c>
      <c r="T736" s="47" t="str">
        <f>IF(OR($AM736=0,NOT(ISNUMBER($H736)),NOT(ISNUMBER($I736)),NOT(ISNUMBER($J736))),"",IF($H736=$I736,"",ROUND(ABS($J736-$H736)/ABS($H736-$I736),6)))</f>
        <v/>
      </c>
      <c r="U736" s="48" t="str">
        <f>IF(OR($S736&lt;&gt;"Win",NOT(ISNUMBER($T736)),NOT(ISNUMBER($R736))),"",MAX(0,$T736-$R736))</f>
        <v/>
      </c>
      <c r="V736" s="49" t="str">
        <f>IF(OR($AM736=0,NOT(ISNUMBER($H736)),NOT(ISNUMBER($I736)),NOT(ISNUMBER($G736))),"",IF(OR($AG736="",$AH736=""),"",IF(ROUND(ABS($H736-$I736)*ABS($G736)*$AG736*$AH736,6)=0,"",ROUND(ABS($H736-$I736)*ABS($G736)*$AG736*$AH736,6))))</f>
        <v/>
      </c>
      <c r="W736" s="50" t="str">
        <f>IF($AM736=0,"",IF($BG736="","OK",LEFT($BG736,LEN($BG736)-2)))</f>
        <v/>
      </c>
      <c r="X736" s="41" t="n"/>
      <c r="Y736" s="40" t="n"/>
      <c r="Z736" s="41" t="n"/>
      <c r="AA736" s="41" t="n"/>
      <c r="AB736" s="40" t="n"/>
      <c r="AC736" s="51" t="n"/>
      <c r="AD736" s="51" t="n"/>
      <c r="AE736" s="40" t="n"/>
      <c r="AF736" s="52" t="str">
        <f>IF($AM736=0,"",IF($D736&lt;&gt;"",$D736,IF(IFERROR(INDEX(Accounts!$C$7:$C$16,MATCH($C736,Accounts!$B$7:$B$16,0))&amp;"","")&lt;&gt;"",INDEX(Accounts!$C$7:$C$16,MATCH($C736,Accounts!$B$7:$B$16,0)),Settings!$C$6)))</f>
        <v/>
      </c>
      <c r="AG736" s="53" t="str">
        <f>IF($AM736=0,"",IF(AND($BE736&gt;0,N(INDEX(Instruments!$D$6:$D$205,MAX(1,$BE736)))&gt;0),INDEX(Instruments!$D$6:$D$205,MAX(1,$BE736)),IF(N(INDEX(Settings!$D$14:$D$18,$BF736))&gt;0,INDEX(Settings!$D$14:$D$18,$BF736),"")))</f>
        <v/>
      </c>
      <c r="AH736" s="54" t="str">
        <f>IF($AM736=0,"",IF($AF736&lt;&gt;"Forex",1,IF(MID(UPPER(SUBSTITUTE(TRIM($E736),"/","")),4,3)=UPPER(TRIM(Settings!$C$7)),1,IF(LEFT(UPPER(SUBSTITUTE(TRIM($E736),"/","")),3)=UPPER(TRIM(Settings!$C$7)),IF(AND(ISNUMBER($K736),N($K736)&lt;&gt;0),1/$K736,""),""))))</f>
        <v/>
      </c>
      <c r="AI736" s="55" t="str">
        <f>IF($AM736=0,"",IF(OR(NOT(ISNUMBER($H736)),NOT(ISNUMBER($K736)),NOT(ISNUMBER($G736)),$AG736="",$AH736=""),"",ROUND(($K736-$H736)*IF($F736="Short",-1,1)*$G736*$AG736*$AH736,6)))</f>
        <v/>
      </c>
      <c r="AJ736" s="55" t="str">
        <f>IF($AM736=0,"",IF(INDEX(Settings!$E$14:$E$18,$BF736)="% of notional",IF(OR($AG736="",NOT(ISNUMBER($H736)),NOT(ISNUMBER($G736))),"",ROUND(ABS($H736*$G736*$AG736*N($AH736))*IF($L736="Limit",N(INDEX(Settings!$G$14:$G$18,$BF736)),N(INDEX(Settings!$H$14:$H$18,$BF736)))+IF(ISNUMBER($K736),ABS($K736*$G736*$AG736*N($AH736))*IF($M736="Target",N(INDEX(Settings!$G$14:$G$18,$BF736)),N(INDEX(Settings!$H$14:$H$18,$BF736))),0),6)),IF(NOT(ISNUMBER($G736)),"",ROUND(ABS($G736)*2*IF(AND($BE736&gt;0,ISNUMBER(INDEX(Instruments!$G$6:$G$205,MAX(1,$BE736)))),INDEX(Instruments!$G$6:$G$205,MAX(1,$BE736)),N(INDEX(Settings!$F$14:$F$18,$BF736))),6))))</f>
        <v/>
      </c>
      <c r="AK736" s="55" t="str">
        <f>IF($AM736=0,"",IF(ISNUMBER($O736),$O736,$AI736))</f>
        <v/>
      </c>
      <c r="AL736" s="55" t="str">
        <f>IF($AM736=0,"",IF(ISNUMBER($P736),$P736,N($AJ736)))</f>
        <v/>
      </c>
      <c r="AM736" s="56">
        <f>IF(AND($A736&lt;&gt;"",$E736&lt;&gt;"",OR(AND(ISNUMBER($G736),ISNUMBER($H736),ISNUMBER($K736)),ISNUMBER($O736))),1,0)</f>
        <v>0</v>
      </c>
      <c r="AN736" s="57" t="str">
        <f>IF($A736="","",$A736-WEEKDAY($A736,3))</f>
        <v/>
      </c>
      <c r="AO736" s="56" t="str">
        <f>IF($A736="","",WEEKDAY($A736,2))</f>
        <v/>
      </c>
      <c r="AP736" s="55" t="str">
        <f>IF(OR($AM736=0,$C736=""),"",IFERROR(N(INDEX(Accounts!$E$7:$E$16,MATCH($C736,Accounts!$B$7:$B$16,0))),0)+SUMIFS($Q$6:$Q736,$C$6:$C736,$C736))</f>
        <v/>
      </c>
      <c r="AQ736" s="55" t="str">
        <f>IF(OR($AM736=0,$C736=""),"",SUMIFS($Q$6:$Q$1005,$C$6:$C$1005,$C736,$A$6:$A$1005,$A736))</f>
        <v/>
      </c>
      <c r="AR736" s="55" t="str">
        <f>IF(OR($AM736=0,$C736=""),"",IFERROR(N(INDEX(Accounts!$E$7:$E$16,MATCH($C736,Accounts!$B$7:$B$16,0))),0)+SUMIFS($Q$6:$Q$1005,$C$6:$C$1005,$C736,$A$6:$A$1005,"&lt;="&amp;$A736))</f>
        <v/>
      </c>
      <c r="AS736" s="56">
        <f>IF(OR($AM736=0,$Q736=""),0,IF(AND($A736&gt;=Lists!$W$6,$A736&lt;=Lists!$W$7,OR(Dashboard!$D$6="All accounts",$C736=Dashboard!$D$6),OR(Dashboard!$D$7="All markets",$AF736=Dashboard!$D$7)),1,0))</f>
        <v>0</v>
      </c>
      <c r="AT736" s="55">
        <f>IF($AS736=1,N(AT735)+$Q736,N(AT735))</f>
        <v>1187.10688</v>
      </c>
      <c r="AU736" s="55">
        <f>MAX(N(AU735),$AT736)</f>
        <v>1187.10688</v>
      </c>
      <c r="AV736" s="55">
        <f>$AT736-$AU736</f>
        <v>0</v>
      </c>
      <c r="AW736" s="56">
        <f>IF($AS736=1,IF($S736="Win",N(AW735)+1,IF($S736="Loss",0,N(AW735))),N(AW735))</f>
        <v>5</v>
      </c>
      <c r="AX736" s="56">
        <f>IF($AS736=1,IF($S736="Loss",N(AX735)+1,IF($S736="Win",0,N(AX735))),N(AX735))</f>
        <v>0</v>
      </c>
      <c r="AY736" s="56" t="str">
        <f>IF($AS736=1,COUNTIF($AS$6:$AS736,1),"")</f>
        <v/>
      </c>
      <c r="AZ736" s="56">
        <f>MIN(730,N(Lists!$W$8))</f>
        <v>28</v>
      </c>
      <c r="BA736" s="56">
        <f>IF($AS736=1,IF(COUNTIFS($A$6:$A736,$A736,$AS$6:$AS736,1)=1,1,0),0)</f>
        <v>0</v>
      </c>
      <c r="BB736" s="55" t="str">
        <f>IF($BA736=1,SUMIFS($Q$6:$Q$1005,$A$6:$A$1005,$A736,$AS$6:$AS$1005,1),"")</f>
        <v/>
      </c>
      <c r="BC736" s="56">
        <f>IF(ISNUMBER($R736),1,0)</f>
        <v>0</v>
      </c>
      <c r="BD736" s="55" t="str">
        <f>IF(ISNUMBER($U736),$U736*$V736,"")</f>
        <v/>
      </c>
      <c r="BE736" s="56" t="str">
        <f>IF($AM736=0,"",IFERROR(MATCH($AF736&amp;"|"&amp;UPPER(TRIM($E736)),Lists!$A$6:$A$205,0),0))</f>
        <v/>
      </c>
      <c r="BF736" s="56" t="str">
        <f>IF($AM736=0,"",IFERROR(MATCH($AF736,Settings!$B$14:$B$18,0),IFERROR(MATCH(Settings!$C$6,Settings!$B$14:$B$18,0),1)))</f>
        <v/>
      </c>
      <c r="BG736" s="58" t="str">
        <f>IF($AM736=0,"",IF(NOT(ISNUMBER($I736)),"No stop; ","")&amp;IF(AND(ISNUMBER($H736),ISNUMBER($I736)),IF(OR(AND($F736&lt;&gt;"Short",$I736&gt;=$H736),AND($F736="Short",$I736&lt;=$H736)),"Stop on wrong side; ",""),"")&amp;IF($F736="","No direction; ","")&amp;IF(AND(ISNUMBER(Settings!$C$22),ISNUMBER($V736)),IF($V736&gt;Settings!$C$22,"Risk over max $; ",""),"")&amp;IF(AND(ISNUMBER(Settings!$C$23),ISNUMBER($V736),ISNUMBER($AP736),IFERROR(N(INDEX(Accounts!$E$7:$E$16,MATCH($C736,Accounts!$B$7:$B$16,0))),0)&gt;0),IF($V736&gt;Settings!$C$23*($AP736-N($Q736)),"Risk over max %; ",""),"")&amp;IF(AND(ISNUMBER(Settings!$C$24),ISNUMBER($N736)),IF($N736&gt;Settings!$C$24,"Leverage over max; ",""),"")&amp;IF(AND(ISNUMBER(Settings!$C$27),ISNUMBER($T736)),IF($T736&lt;Settings!$C$27,"R:R below min; ",""),"")&amp;IF(ISNUMBER(Settings!$C$25),IF(COUNTIFS($A$6:$A736,$A736,$AM$6:$AM736,1)&gt;Settings!$C$25,"Over max trades/day; ",""),"")&amp;IF(ISNUMBER(Settings!$C$26),IF(SUMIFS($Q$5:$Q735,$A$5:$A735,$A736)&lt;=-Settings!$C$26,"Traded after daily max loss; ",""),"")&amp;IF(AND($AG736="",NOT(ISNUMBER($O736))),"Symbol not in Instruments; ","")&amp;IF(AND($AH736="",NOT(ISNUMBER($O736))),"Forex cross: type Gross P&amp;L; ",""))</f>
        <v/>
      </c>
      <c r="BH736" s="56">
        <f>IF(ISNUMBER($Q736),1,0)</f>
        <v>0</v>
      </c>
      <c r="BI736" s="56">
        <f>IF($Y736="",0,1)</f>
        <v>0</v>
      </c>
      <c r="BJ736" s="56">
        <f>IF($AB736="",0,1)</f>
        <v>0</v>
      </c>
      <c r="BK736" s="56">
        <f>IF(AND($BH736=1,$W736&lt;&gt;"OK"),1,0)</f>
        <v>0</v>
      </c>
      <c r="BL736" s="55">
        <f>IF(N($AZ736)=0,0,IFERROR(INDEX($AT$6:$AT$1005,MATCH($AZ736,$AY$6:$AY$1005,0)),0))</f>
        <v>1187.10688</v>
      </c>
      <c r="BM736" s="56">
        <f>IF(ISNUMBER(SEARCH("daily max loss",$BG736)),1,0)</f>
        <v>0</v>
      </c>
    </row>
    <row r="737" ht="18" customHeight="1">
      <c r="A737" s="38" t="n"/>
      <c r="B737" s="39" t="n"/>
      <c r="C737" s="40" t="n"/>
      <c r="D737" s="41" t="n"/>
      <c r="E737" s="41" t="n"/>
      <c r="F737" s="41" t="n"/>
      <c r="G737" s="41" t="n"/>
      <c r="H737" s="42" t="n"/>
      <c r="I737" s="42" t="n"/>
      <c r="J737" s="42" t="n"/>
      <c r="K737" s="42" t="n"/>
      <c r="L737" s="41" t="n"/>
      <c r="M737" s="41" t="n"/>
      <c r="N737" s="41" t="n"/>
      <c r="O737" s="43" t="n"/>
      <c r="P737" s="43" t="n"/>
      <c r="Q737" s="44" t="str">
        <f>IF($AM737=0,"",IF(ISNUMBER($AK737),$AK737-N($AL737),""))</f>
        <v/>
      </c>
      <c r="R737" s="45" t="str">
        <f>IF(OR($Q737="",NOT(ISNUMBER($V737))),"",$AK737/$V737)</f>
        <v/>
      </c>
      <c r="S737" s="46" t="str">
        <f>IF($Q737="","",IF(AND(ISNUMBER($R737),ABS(N($R737))&lt;N(Settings!$C$8)),"Scratch",IF($Q737&gt;0,"Win",IF($Q737&lt;0,"Loss","Scratch"))))</f>
        <v/>
      </c>
      <c r="T737" s="47" t="str">
        <f>IF(OR($AM737=0,NOT(ISNUMBER($H737)),NOT(ISNUMBER($I737)),NOT(ISNUMBER($J737))),"",IF($H737=$I737,"",ROUND(ABS($J737-$H737)/ABS($H737-$I737),6)))</f>
        <v/>
      </c>
      <c r="U737" s="48" t="str">
        <f>IF(OR($S737&lt;&gt;"Win",NOT(ISNUMBER($T737)),NOT(ISNUMBER($R737))),"",MAX(0,$T737-$R737))</f>
        <v/>
      </c>
      <c r="V737" s="49" t="str">
        <f>IF(OR($AM737=0,NOT(ISNUMBER($H737)),NOT(ISNUMBER($I737)),NOT(ISNUMBER($G737))),"",IF(OR($AG737="",$AH737=""),"",IF(ROUND(ABS($H737-$I737)*ABS($G737)*$AG737*$AH737,6)=0,"",ROUND(ABS($H737-$I737)*ABS($G737)*$AG737*$AH737,6))))</f>
        <v/>
      </c>
      <c r="W737" s="50" t="str">
        <f>IF($AM737=0,"",IF($BG737="","OK",LEFT($BG737,LEN($BG737)-2)))</f>
        <v/>
      </c>
      <c r="X737" s="41" t="n"/>
      <c r="Y737" s="40" t="n"/>
      <c r="Z737" s="41" t="n"/>
      <c r="AA737" s="41" t="n"/>
      <c r="AB737" s="40" t="n"/>
      <c r="AC737" s="51" t="n"/>
      <c r="AD737" s="51" t="n"/>
      <c r="AE737" s="40" t="n"/>
      <c r="AF737" s="52" t="str">
        <f>IF($AM737=0,"",IF($D737&lt;&gt;"",$D737,IF(IFERROR(INDEX(Accounts!$C$7:$C$16,MATCH($C737,Accounts!$B$7:$B$16,0))&amp;"","")&lt;&gt;"",INDEX(Accounts!$C$7:$C$16,MATCH($C737,Accounts!$B$7:$B$16,0)),Settings!$C$6)))</f>
        <v/>
      </c>
      <c r="AG737" s="53" t="str">
        <f>IF($AM737=0,"",IF(AND($BE737&gt;0,N(INDEX(Instruments!$D$6:$D$205,MAX(1,$BE737)))&gt;0),INDEX(Instruments!$D$6:$D$205,MAX(1,$BE737)),IF(N(INDEX(Settings!$D$14:$D$18,$BF737))&gt;0,INDEX(Settings!$D$14:$D$18,$BF737),"")))</f>
        <v/>
      </c>
      <c r="AH737" s="54" t="str">
        <f>IF($AM737=0,"",IF($AF737&lt;&gt;"Forex",1,IF(MID(UPPER(SUBSTITUTE(TRIM($E737),"/","")),4,3)=UPPER(TRIM(Settings!$C$7)),1,IF(LEFT(UPPER(SUBSTITUTE(TRIM($E737),"/","")),3)=UPPER(TRIM(Settings!$C$7)),IF(AND(ISNUMBER($K737),N($K737)&lt;&gt;0),1/$K737,""),""))))</f>
        <v/>
      </c>
      <c r="AI737" s="55" t="str">
        <f>IF($AM737=0,"",IF(OR(NOT(ISNUMBER($H737)),NOT(ISNUMBER($K737)),NOT(ISNUMBER($G737)),$AG737="",$AH737=""),"",ROUND(($K737-$H737)*IF($F737="Short",-1,1)*$G737*$AG737*$AH737,6)))</f>
        <v/>
      </c>
      <c r="AJ737" s="55" t="str">
        <f>IF($AM737=0,"",IF(INDEX(Settings!$E$14:$E$18,$BF737)="% of notional",IF(OR($AG737="",NOT(ISNUMBER($H737)),NOT(ISNUMBER($G737))),"",ROUND(ABS($H737*$G737*$AG737*N($AH737))*IF($L737="Limit",N(INDEX(Settings!$G$14:$G$18,$BF737)),N(INDEX(Settings!$H$14:$H$18,$BF737)))+IF(ISNUMBER($K737),ABS($K737*$G737*$AG737*N($AH737))*IF($M737="Target",N(INDEX(Settings!$G$14:$G$18,$BF737)),N(INDEX(Settings!$H$14:$H$18,$BF737))),0),6)),IF(NOT(ISNUMBER($G737)),"",ROUND(ABS($G737)*2*IF(AND($BE737&gt;0,ISNUMBER(INDEX(Instruments!$G$6:$G$205,MAX(1,$BE737)))),INDEX(Instruments!$G$6:$G$205,MAX(1,$BE737)),N(INDEX(Settings!$F$14:$F$18,$BF737))),6))))</f>
        <v/>
      </c>
      <c r="AK737" s="55" t="str">
        <f>IF($AM737=0,"",IF(ISNUMBER($O737),$O737,$AI737))</f>
        <v/>
      </c>
      <c r="AL737" s="55" t="str">
        <f>IF($AM737=0,"",IF(ISNUMBER($P737),$P737,N($AJ737)))</f>
        <v/>
      </c>
      <c r="AM737" s="56">
        <f>IF(AND($A737&lt;&gt;"",$E737&lt;&gt;"",OR(AND(ISNUMBER($G737),ISNUMBER($H737),ISNUMBER($K737)),ISNUMBER($O737))),1,0)</f>
        <v>0</v>
      </c>
      <c r="AN737" s="57" t="str">
        <f>IF($A737="","",$A737-WEEKDAY($A737,3))</f>
        <v/>
      </c>
      <c r="AO737" s="56" t="str">
        <f>IF($A737="","",WEEKDAY($A737,2))</f>
        <v/>
      </c>
      <c r="AP737" s="55" t="str">
        <f>IF(OR($AM737=0,$C737=""),"",IFERROR(N(INDEX(Accounts!$E$7:$E$16,MATCH($C737,Accounts!$B$7:$B$16,0))),0)+SUMIFS($Q$6:$Q737,$C$6:$C737,$C737))</f>
        <v/>
      </c>
      <c r="AQ737" s="55" t="str">
        <f>IF(OR($AM737=0,$C737=""),"",SUMIFS($Q$6:$Q$1005,$C$6:$C$1005,$C737,$A$6:$A$1005,$A737))</f>
        <v/>
      </c>
      <c r="AR737" s="55" t="str">
        <f>IF(OR($AM737=0,$C737=""),"",IFERROR(N(INDEX(Accounts!$E$7:$E$16,MATCH($C737,Accounts!$B$7:$B$16,0))),0)+SUMIFS($Q$6:$Q$1005,$C$6:$C$1005,$C737,$A$6:$A$1005,"&lt;="&amp;$A737))</f>
        <v/>
      </c>
      <c r="AS737" s="56">
        <f>IF(OR($AM737=0,$Q737=""),0,IF(AND($A737&gt;=Lists!$W$6,$A737&lt;=Lists!$W$7,OR(Dashboard!$D$6="All accounts",$C737=Dashboard!$D$6),OR(Dashboard!$D$7="All markets",$AF737=Dashboard!$D$7)),1,0))</f>
        <v>0</v>
      </c>
      <c r="AT737" s="55">
        <f>IF($AS737=1,N(AT736)+$Q737,N(AT736))</f>
        <v>1187.10688</v>
      </c>
      <c r="AU737" s="55">
        <f>MAX(N(AU736),$AT737)</f>
        <v>1187.10688</v>
      </c>
      <c r="AV737" s="55">
        <f>$AT737-$AU737</f>
        <v>0</v>
      </c>
      <c r="AW737" s="56">
        <f>IF($AS737=1,IF($S737="Win",N(AW736)+1,IF($S737="Loss",0,N(AW736))),N(AW736))</f>
        <v>5</v>
      </c>
      <c r="AX737" s="56">
        <f>IF($AS737=1,IF($S737="Loss",N(AX736)+1,IF($S737="Win",0,N(AX736))),N(AX736))</f>
        <v>0</v>
      </c>
      <c r="AY737" s="56" t="str">
        <f>IF($AS737=1,COUNTIF($AS$6:$AS737,1),"")</f>
        <v/>
      </c>
      <c r="AZ737" s="56">
        <f>MIN(731,N(Lists!$W$8))</f>
        <v>28</v>
      </c>
      <c r="BA737" s="56">
        <f>IF($AS737=1,IF(COUNTIFS($A$6:$A737,$A737,$AS$6:$AS737,1)=1,1,0),0)</f>
        <v>0</v>
      </c>
      <c r="BB737" s="55" t="str">
        <f>IF($BA737=1,SUMIFS($Q$6:$Q$1005,$A$6:$A$1005,$A737,$AS$6:$AS$1005,1),"")</f>
        <v/>
      </c>
      <c r="BC737" s="56">
        <f>IF(ISNUMBER($R737),1,0)</f>
        <v>0</v>
      </c>
      <c r="BD737" s="55" t="str">
        <f>IF(ISNUMBER($U737),$U737*$V737,"")</f>
        <v/>
      </c>
      <c r="BE737" s="56" t="str">
        <f>IF($AM737=0,"",IFERROR(MATCH($AF737&amp;"|"&amp;UPPER(TRIM($E737)),Lists!$A$6:$A$205,0),0))</f>
        <v/>
      </c>
      <c r="BF737" s="56" t="str">
        <f>IF($AM737=0,"",IFERROR(MATCH($AF737,Settings!$B$14:$B$18,0),IFERROR(MATCH(Settings!$C$6,Settings!$B$14:$B$18,0),1)))</f>
        <v/>
      </c>
      <c r="BG737" s="58" t="str">
        <f>IF($AM737=0,"",IF(NOT(ISNUMBER($I737)),"No stop; ","")&amp;IF(AND(ISNUMBER($H737),ISNUMBER($I737)),IF(OR(AND($F737&lt;&gt;"Short",$I737&gt;=$H737),AND($F737="Short",$I737&lt;=$H737)),"Stop on wrong side; ",""),"")&amp;IF($F737="","No direction; ","")&amp;IF(AND(ISNUMBER(Settings!$C$22),ISNUMBER($V737)),IF($V737&gt;Settings!$C$22,"Risk over max $; ",""),"")&amp;IF(AND(ISNUMBER(Settings!$C$23),ISNUMBER($V737),ISNUMBER($AP737),IFERROR(N(INDEX(Accounts!$E$7:$E$16,MATCH($C737,Accounts!$B$7:$B$16,0))),0)&gt;0),IF($V737&gt;Settings!$C$23*($AP737-N($Q737)),"Risk over max %; ",""),"")&amp;IF(AND(ISNUMBER(Settings!$C$24),ISNUMBER($N737)),IF($N737&gt;Settings!$C$24,"Leverage over max; ",""),"")&amp;IF(AND(ISNUMBER(Settings!$C$27),ISNUMBER($T737)),IF($T737&lt;Settings!$C$27,"R:R below min; ",""),"")&amp;IF(ISNUMBER(Settings!$C$25),IF(COUNTIFS($A$6:$A737,$A737,$AM$6:$AM737,1)&gt;Settings!$C$25,"Over max trades/day; ",""),"")&amp;IF(ISNUMBER(Settings!$C$26),IF(SUMIFS($Q$5:$Q736,$A$5:$A736,$A737)&lt;=-Settings!$C$26,"Traded after daily max loss; ",""),"")&amp;IF(AND($AG737="",NOT(ISNUMBER($O737))),"Symbol not in Instruments; ","")&amp;IF(AND($AH737="",NOT(ISNUMBER($O737))),"Forex cross: type Gross P&amp;L; ",""))</f>
        <v/>
      </c>
      <c r="BH737" s="56">
        <f>IF(ISNUMBER($Q737),1,0)</f>
        <v>0</v>
      </c>
      <c r="BI737" s="56">
        <f>IF($Y737="",0,1)</f>
        <v>0</v>
      </c>
      <c r="BJ737" s="56">
        <f>IF($AB737="",0,1)</f>
        <v>0</v>
      </c>
      <c r="BK737" s="56">
        <f>IF(AND($BH737=1,$W737&lt;&gt;"OK"),1,0)</f>
        <v>0</v>
      </c>
      <c r="BL737" s="55">
        <f>IF(N($AZ737)=0,0,IFERROR(INDEX($AT$6:$AT$1005,MATCH($AZ737,$AY$6:$AY$1005,0)),0))</f>
        <v>1187.10688</v>
      </c>
      <c r="BM737" s="56">
        <f>IF(ISNUMBER(SEARCH("daily max loss",$BG737)),1,0)</f>
        <v>0</v>
      </c>
    </row>
    <row r="738" ht="18" customHeight="1">
      <c r="A738" s="38" t="n"/>
      <c r="B738" s="39" t="n"/>
      <c r="C738" s="40" t="n"/>
      <c r="D738" s="41" t="n"/>
      <c r="E738" s="41" t="n"/>
      <c r="F738" s="41" t="n"/>
      <c r="G738" s="41" t="n"/>
      <c r="H738" s="42" t="n"/>
      <c r="I738" s="42" t="n"/>
      <c r="J738" s="42" t="n"/>
      <c r="K738" s="42" t="n"/>
      <c r="L738" s="41" t="n"/>
      <c r="M738" s="41" t="n"/>
      <c r="N738" s="41" t="n"/>
      <c r="O738" s="43" t="n"/>
      <c r="P738" s="43" t="n"/>
      <c r="Q738" s="44" t="str">
        <f>IF($AM738=0,"",IF(ISNUMBER($AK738),$AK738-N($AL738),""))</f>
        <v/>
      </c>
      <c r="R738" s="45" t="str">
        <f>IF(OR($Q738="",NOT(ISNUMBER($V738))),"",$AK738/$V738)</f>
        <v/>
      </c>
      <c r="S738" s="46" t="str">
        <f>IF($Q738="","",IF(AND(ISNUMBER($R738),ABS(N($R738))&lt;N(Settings!$C$8)),"Scratch",IF($Q738&gt;0,"Win",IF($Q738&lt;0,"Loss","Scratch"))))</f>
        <v/>
      </c>
      <c r="T738" s="47" t="str">
        <f>IF(OR($AM738=0,NOT(ISNUMBER($H738)),NOT(ISNUMBER($I738)),NOT(ISNUMBER($J738))),"",IF($H738=$I738,"",ROUND(ABS($J738-$H738)/ABS($H738-$I738),6)))</f>
        <v/>
      </c>
      <c r="U738" s="48" t="str">
        <f>IF(OR($S738&lt;&gt;"Win",NOT(ISNUMBER($T738)),NOT(ISNUMBER($R738))),"",MAX(0,$T738-$R738))</f>
        <v/>
      </c>
      <c r="V738" s="49" t="str">
        <f>IF(OR($AM738=0,NOT(ISNUMBER($H738)),NOT(ISNUMBER($I738)),NOT(ISNUMBER($G738))),"",IF(OR($AG738="",$AH738=""),"",IF(ROUND(ABS($H738-$I738)*ABS($G738)*$AG738*$AH738,6)=0,"",ROUND(ABS($H738-$I738)*ABS($G738)*$AG738*$AH738,6))))</f>
        <v/>
      </c>
      <c r="W738" s="50" t="str">
        <f>IF($AM738=0,"",IF($BG738="","OK",LEFT($BG738,LEN($BG738)-2)))</f>
        <v/>
      </c>
      <c r="X738" s="41" t="n"/>
      <c r="Y738" s="40" t="n"/>
      <c r="Z738" s="41" t="n"/>
      <c r="AA738" s="41" t="n"/>
      <c r="AB738" s="40" t="n"/>
      <c r="AC738" s="51" t="n"/>
      <c r="AD738" s="51" t="n"/>
      <c r="AE738" s="40" t="n"/>
      <c r="AF738" s="52" t="str">
        <f>IF($AM738=0,"",IF($D738&lt;&gt;"",$D738,IF(IFERROR(INDEX(Accounts!$C$7:$C$16,MATCH($C738,Accounts!$B$7:$B$16,0))&amp;"","")&lt;&gt;"",INDEX(Accounts!$C$7:$C$16,MATCH($C738,Accounts!$B$7:$B$16,0)),Settings!$C$6)))</f>
        <v/>
      </c>
      <c r="AG738" s="53" t="str">
        <f>IF($AM738=0,"",IF(AND($BE738&gt;0,N(INDEX(Instruments!$D$6:$D$205,MAX(1,$BE738)))&gt;0),INDEX(Instruments!$D$6:$D$205,MAX(1,$BE738)),IF(N(INDEX(Settings!$D$14:$D$18,$BF738))&gt;0,INDEX(Settings!$D$14:$D$18,$BF738),"")))</f>
        <v/>
      </c>
      <c r="AH738" s="54" t="str">
        <f>IF($AM738=0,"",IF($AF738&lt;&gt;"Forex",1,IF(MID(UPPER(SUBSTITUTE(TRIM($E738),"/","")),4,3)=UPPER(TRIM(Settings!$C$7)),1,IF(LEFT(UPPER(SUBSTITUTE(TRIM($E738),"/","")),3)=UPPER(TRIM(Settings!$C$7)),IF(AND(ISNUMBER($K738),N($K738)&lt;&gt;0),1/$K738,""),""))))</f>
        <v/>
      </c>
      <c r="AI738" s="55" t="str">
        <f>IF($AM738=0,"",IF(OR(NOT(ISNUMBER($H738)),NOT(ISNUMBER($K738)),NOT(ISNUMBER($G738)),$AG738="",$AH738=""),"",ROUND(($K738-$H738)*IF($F738="Short",-1,1)*$G738*$AG738*$AH738,6)))</f>
        <v/>
      </c>
      <c r="AJ738" s="55" t="str">
        <f>IF($AM738=0,"",IF(INDEX(Settings!$E$14:$E$18,$BF738)="% of notional",IF(OR($AG738="",NOT(ISNUMBER($H738)),NOT(ISNUMBER($G738))),"",ROUND(ABS($H738*$G738*$AG738*N($AH738))*IF($L738="Limit",N(INDEX(Settings!$G$14:$G$18,$BF738)),N(INDEX(Settings!$H$14:$H$18,$BF738)))+IF(ISNUMBER($K738),ABS($K738*$G738*$AG738*N($AH738))*IF($M738="Target",N(INDEX(Settings!$G$14:$G$18,$BF738)),N(INDEX(Settings!$H$14:$H$18,$BF738))),0),6)),IF(NOT(ISNUMBER($G738)),"",ROUND(ABS($G738)*2*IF(AND($BE738&gt;0,ISNUMBER(INDEX(Instruments!$G$6:$G$205,MAX(1,$BE738)))),INDEX(Instruments!$G$6:$G$205,MAX(1,$BE738)),N(INDEX(Settings!$F$14:$F$18,$BF738))),6))))</f>
        <v/>
      </c>
      <c r="AK738" s="55" t="str">
        <f>IF($AM738=0,"",IF(ISNUMBER($O738),$O738,$AI738))</f>
        <v/>
      </c>
      <c r="AL738" s="55" t="str">
        <f>IF($AM738=0,"",IF(ISNUMBER($P738),$P738,N($AJ738)))</f>
        <v/>
      </c>
      <c r="AM738" s="56">
        <f>IF(AND($A738&lt;&gt;"",$E738&lt;&gt;"",OR(AND(ISNUMBER($G738),ISNUMBER($H738),ISNUMBER($K738)),ISNUMBER($O738))),1,0)</f>
        <v>0</v>
      </c>
      <c r="AN738" s="57" t="str">
        <f>IF($A738="","",$A738-WEEKDAY($A738,3))</f>
        <v/>
      </c>
      <c r="AO738" s="56" t="str">
        <f>IF($A738="","",WEEKDAY($A738,2))</f>
        <v/>
      </c>
      <c r="AP738" s="55" t="str">
        <f>IF(OR($AM738=0,$C738=""),"",IFERROR(N(INDEX(Accounts!$E$7:$E$16,MATCH($C738,Accounts!$B$7:$B$16,0))),0)+SUMIFS($Q$6:$Q738,$C$6:$C738,$C738))</f>
        <v/>
      </c>
      <c r="AQ738" s="55" t="str">
        <f>IF(OR($AM738=0,$C738=""),"",SUMIFS($Q$6:$Q$1005,$C$6:$C$1005,$C738,$A$6:$A$1005,$A738))</f>
        <v/>
      </c>
      <c r="AR738" s="55" t="str">
        <f>IF(OR($AM738=0,$C738=""),"",IFERROR(N(INDEX(Accounts!$E$7:$E$16,MATCH($C738,Accounts!$B$7:$B$16,0))),0)+SUMIFS($Q$6:$Q$1005,$C$6:$C$1005,$C738,$A$6:$A$1005,"&lt;="&amp;$A738))</f>
        <v/>
      </c>
      <c r="AS738" s="56">
        <f>IF(OR($AM738=0,$Q738=""),0,IF(AND($A738&gt;=Lists!$W$6,$A738&lt;=Lists!$W$7,OR(Dashboard!$D$6="All accounts",$C738=Dashboard!$D$6),OR(Dashboard!$D$7="All markets",$AF738=Dashboard!$D$7)),1,0))</f>
        <v>0</v>
      </c>
      <c r="AT738" s="55">
        <f>IF($AS738=1,N(AT737)+$Q738,N(AT737))</f>
        <v>1187.10688</v>
      </c>
      <c r="AU738" s="55">
        <f>MAX(N(AU737),$AT738)</f>
        <v>1187.10688</v>
      </c>
      <c r="AV738" s="55">
        <f>$AT738-$AU738</f>
        <v>0</v>
      </c>
      <c r="AW738" s="56">
        <f>IF($AS738=1,IF($S738="Win",N(AW737)+1,IF($S738="Loss",0,N(AW737))),N(AW737))</f>
        <v>5</v>
      </c>
      <c r="AX738" s="56">
        <f>IF($AS738=1,IF($S738="Loss",N(AX737)+1,IF($S738="Win",0,N(AX737))),N(AX737))</f>
        <v>0</v>
      </c>
      <c r="AY738" s="56" t="str">
        <f>IF($AS738=1,COUNTIF($AS$6:$AS738,1),"")</f>
        <v/>
      </c>
      <c r="AZ738" s="56">
        <f>MIN(732,N(Lists!$W$8))</f>
        <v>28</v>
      </c>
      <c r="BA738" s="56">
        <f>IF($AS738=1,IF(COUNTIFS($A$6:$A738,$A738,$AS$6:$AS738,1)=1,1,0),0)</f>
        <v>0</v>
      </c>
      <c r="BB738" s="55" t="str">
        <f>IF($BA738=1,SUMIFS($Q$6:$Q$1005,$A$6:$A$1005,$A738,$AS$6:$AS$1005,1),"")</f>
        <v/>
      </c>
      <c r="BC738" s="56">
        <f>IF(ISNUMBER($R738),1,0)</f>
        <v>0</v>
      </c>
      <c r="BD738" s="55" t="str">
        <f>IF(ISNUMBER($U738),$U738*$V738,"")</f>
        <v/>
      </c>
      <c r="BE738" s="56" t="str">
        <f>IF($AM738=0,"",IFERROR(MATCH($AF738&amp;"|"&amp;UPPER(TRIM($E738)),Lists!$A$6:$A$205,0),0))</f>
        <v/>
      </c>
      <c r="BF738" s="56" t="str">
        <f>IF($AM738=0,"",IFERROR(MATCH($AF738,Settings!$B$14:$B$18,0),IFERROR(MATCH(Settings!$C$6,Settings!$B$14:$B$18,0),1)))</f>
        <v/>
      </c>
      <c r="BG738" s="58" t="str">
        <f>IF($AM738=0,"",IF(NOT(ISNUMBER($I738)),"No stop; ","")&amp;IF(AND(ISNUMBER($H738),ISNUMBER($I738)),IF(OR(AND($F738&lt;&gt;"Short",$I738&gt;=$H738),AND($F738="Short",$I738&lt;=$H738)),"Stop on wrong side; ",""),"")&amp;IF($F738="","No direction; ","")&amp;IF(AND(ISNUMBER(Settings!$C$22),ISNUMBER($V738)),IF($V738&gt;Settings!$C$22,"Risk over max $; ",""),"")&amp;IF(AND(ISNUMBER(Settings!$C$23),ISNUMBER($V738),ISNUMBER($AP738),IFERROR(N(INDEX(Accounts!$E$7:$E$16,MATCH($C738,Accounts!$B$7:$B$16,0))),0)&gt;0),IF($V738&gt;Settings!$C$23*($AP738-N($Q738)),"Risk over max %; ",""),"")&amp;IF(AND(ISNUMBER(Settings!$C$24),ISNUMBER($N738)),IF($N738&gt;Settings!$C$24,"Leverage over max; ",""),"")&amp;IF(AND(ISNUMBER(Settings!$C$27),ISNUMBER($T738)),IF($T738&lt;Settings!$C$27,"R:R below min; ",""),"")&amp;IF(ISNUMBER(Settings!$C$25),IF(COUNTIFS($A$6:$A738,$A738,$AM$6:$AM738,1)&gt;Settings!$C$25,"Over max trades/day; ",""),"")&amp;IF(ISNUMBER(Settings!$C$26),IF(SUMIFS($Q$5:$Q737,$A$5:$A737,$A738)&lt;=-Settings!$C$26,"Traded after daily max loss; ",""),"")&amp;IF(AND($AG738="",NOT(ISNUMBER($O738))),"Symbol not in Instruments; ","")&amp;IF(AND($AH738="",NOT(ISNUMBER($O738))),"Forex cross: type Gross P&amp;L; ",""))</f>
        <v/>
      </c>
      <c r="BH738" s="56">
        <f>IF(ISNUMBER($Q738),1,0)</f>
        <v>0</v>
      </c>
      <c r="BI738" s="56">
        <f>IF($Y738="",0,1)</f>
        <v>0</v>
      </c>
      <c r="BJ738" s="56">
        <f>IF($AB738="",0,1)</f>
        <v>0</v>
      </c>
      <c r="BK738" s="56">
        <f>IF(AND($BH738=1,$W738&lt;&gt;"OK"),1,0)</f>
        <v>0</v>
      </c>
      <c r="BL738" s="55">
        <f>IF(N($AZ738)=0,0,IFERROR(INDEX($AT$6:$AT$1005,MATCH($AZ738,$AY$6:$AY$1005,0)),0))</f>
        <v>1187.10688</v>
      </c>
      <c r="BM738" s="56">
        <f>IF(ISNUMBER(SEARCH("daily max loss",$BG738)),1,0)</f>
        <v>0</v>
      </c>
    </row>
    <row r="739" ht="18" customHeight="1">
      <c r="A739" s="38" t="n"/>
      <c r="B739" s="39" t="n"/>
      <c r="C739" s="40" t="n"/>
      <c r="D739" s="41" t="n"/>
      <c r="E739" s="41" t="n"/>
      <c r="F739" s="41" t="n"/>
      <c r="G739" s="41" t="n"/>
      <c r="H739" s="42" t="n"/>
      <c r="I739" s="42" t="n"/>
      <c r="J739" s="42" t="n"/>
      <c r="K739" s="42" t="n"/>
      <c r="L739" s="41" t="n"/>
      <c r="M739" s="41" t="n"/>
      <c r="N739" s="41" t="n"/>
      <c r="O739" s="43" t="n"/>
      <c r="P739" s="43" t="n"/>
      <c r="Q739" s="44" t="str">
        <f>IF($AM739=0,"",IF(ISNUMBER($AK739),$AK739-N($AL739),""))</f>
        <v/>
      </c>
      <c r="R739" s="45" t="str">
        <f>IF(OR($Q739="",NOT(ISNUMBER($V739))),"",$AK739/$V739)</f>
        <v/>
      </c>
      <c r="S739" s="46" t="str">
        <f>IF($Q739="","",IF(AND(ISNUMBER($R739),ABS(N($R739))&lt;N(Settings!$C$8)),"Scratch",IF($Q739&gt;0,"Win",IF($Q739&lt;0,"Loss","Scratch"))))</f>
        <v/>
      </c>
      <c r="T739" s="47" t="str">
        <f>IF(OR($AM739=0,NOT(ISNUMBER($H739)),NOT(ISNUMBER($I739)),NOT(ISNUMBER($J739))),"",IF($H739=$I739,"",ROUND(ABS($J739-$H739)/ABS($H739-$I739),6)))</f>
        <v/>
      </c>
      <c r="U739" s="48" t="str">
        <f>IF(OR($S739&lt;&gt;"Win",NOT(ISNUMBER($T739)),NOT(ISNUMBER($R739))),"",MAX(0,$T739-$R739))</f>
        <v/>
      </c>
      <c r="V739" s="49" t="str">
        <f>IF(OR($AM739=0,NOT(ISNUMBER($H739)),NOT(ISNUMBER($I739)),NOT(ISNUMBER($G739))),"",IF(OR($AG739="",$AH739=""),"",IF(ROUND(ABS($H739-$I739)*ABS($G739)*$AG739*$AH739,6)=0,"",ROUND(ABS($H739-$I739)*ABS($G739)*$AG739*$AH739,6))))</f>
        <v/>
      </c>
      <c r="W739" s="50" t="str">
        <f>IF($AM739=0,"",IF($BG739="","OK",LEFT($BG739,LEN($BG739)-2)))</f>
        <v/>
      </c>
      <c r="X739" s="41" t="n"/>
      <c r="Y739" s="40" t="n"/>
      <c r="Z739" s="41" t="n"/>
      <c r="AA739" s="41" t="n"/>
      <c r="AB739" s="40" t="n"/>
      <c r="AC739" s="51" t="n"/>
      <c r="AD739" s="51" t="n"/>
      <c r="AE739" s="40" t="n"/>
      <c r="AF739" s="52" t="str">
        <f>IF($AM739=0,"",IF($D739&lt;&gt;"",$D739,IF(IFERROR(INDEX(Accounts!$C$7:$C$16,MATCH($C739,Accounts!$B$7:$B$16,0))&amp;"","")&lt;&gt;"",INDEX(Accounts!$C$7:$C$16,MATCH($C739,Accounts!$B$7:$B$16,0)),Settings!$C$6)))</f>
        <v/>
      </c>
      <c r="AG739" s="53" t="str">
        <f>IF($AM739=0,"",IF(AND($BE739&gt;0,N(INDEX(Instruments!$D$6:$D$205,MAX(1,$BE739)))&gt;0),INDEX(Instruments!$D$6:$D$205,MAX(1,$BE739)),IF(N(INDEX(Settings!$D$14:$D$18,$BF739))&gt;0,INDEX(Settings!$D$14:$D$18,$BF739),"")))</f>
        <v/>
      </c>
      <c r="AH739" s="54" t="str">
        <f>IF($AM739=0,"",IF($AF739&lt;&gt;"Forex",1,IF(MID(UPPER(SUBSTITUTE(TRIM($E739),"/","")),4,3)=UPPER(TRIM(Settings!$C$7)),1,IF(LEFT(UPPER(SUBSTITUTE(TRIM($E739),"/","")),3)=UPPER(TRIM(Settings!$C$7)),IF(AND(ISNUMBER($K739),N($K739)&lt;&gt;0),1/$K739,""),""))))</f>
        <v/>
      </c>
      <c r="AI739" s="55" t="str">
        <f>IF($AM739=0,"",IF(OR(NOT(ISNUMBER($H739)),NOT(ISNUMBER($K739)),NOT(ISNUMBER($G739)),$AG739="",$AH739=""),"",ROUND(($K739-$H739)*IF($F739="Short",-1,1)*$G739*$AG739*$AH739,6)))</f>
        <v/>
      </c>
      <c r="AJ739" s="55" t="str">
        <f>IF($AM739=0,"",IF(INDEX(Settings!$E$14:$E$18,$BF739)="% of notional",IF(OR($AG739="",NOT(ISNUMBER($H739)),NOT(ISNUMBER($G739))),"",ROUND(ABS($H739*$G739*$AG739*N($AH739))*IF($L739="Limit",N(INDEX(Settings!$G$14:$G$18,$BF739)),N(INDEX(Settings!$H$14:$H$18,$BF739)))+IF(ISNUMBER($K739),ABS($K739*$G739*$AG739*N($AH739))*IF($M739="Target",N(INDEX(Settings!$G$14:$G$18,$BF739)),N(INDEX(Settings!$H$14:$H$18,$BF739))),0),6)),IF(NOT(ISNUMBER($G739)),"",ROUND(ABS($G739)*2*IF(AND($BE739&gt;0,ISNUMBER(INDEX(Instruments!$G$6:$G$205,MAX(1,$BE739)))),INDEX(Instruments!$G$6:$G$205,MAX(1,$BE739)),N(INDEX(Settings!$F$14:$F$18,$BF739))),6))))</f>
        <v/>
      </c>
      <c r="AK739" s="55" t="str">
        <f>IF($AM739=0,"",IF(ISNUMBER($O739),$O739,$AI739))</f>
        <v/>
      </c>
      <c r="AL739" s="55" t="str">
        <f>IF($AM739=0,"",IF(ISNUMBER($P739),$P739,N($AJ739)))</f>
        <v/>
      </c>
      <c r="AM739" s="56">
        <f>IF(AND($A739&lt;&gt;"",$E739&lt;&gt;"",OR(AND(ISNUMBER($G739),ISNUMBER($H739),ISNUMBER($K739)),ISNUMBER($O739))),1,0)</f>
        <v>0</v>
      </c>
      <c r="AN739" s="57" t="str">
        <f>IF($A739="","",$A739-WEEKDAY($A739,3))</f>
        <v/>
      </c>
      <c r="AO739" s="56" t="str">
        <f>IF($A739="","",WEEKDAY($A739,2))</f>
        <v/>
      </c>
      <c r="AP739" s="55" t="str">
        <f>IF(OR($AM739=0,$C739=""),"",IFERROR(N(INDEX(Accounts!$E$7:$E$16,MATCH($C739,Accounts!$B$7:$B$16,0))),0)+SUMIFS($Q$6:$Q739,$C$6:$C739,$C739))</f>
        <v/>
      </c>
      <c r="AQ739" s="55" t="str">
        <f>IF(OR($AM739=0,$C739=""),"",SUMIFS($Q$6:$Q$1005,$C$6:$C$1005,$C739,$A$6:$A$1005,$A739))</f>
        <v/>
      </c>
      <c r="AR739" s="55" t="str">
        <f>IF(OR($AM739=0,$C739=""),"",IFERROR(N(INDEX(Accounts!$E$7:$E$16,MATCH($C739,Accounts!$B$7:$B$16,0))),0)+SUMIFS($Q$6:$Q$1005,$C$6:$C$1005,$C739,$A$6:$A$1005,"&lt;="&amp;$A739))</f>
        <v/>
      </c>
      <c r="AS739" s="56">
        <f>IF(OR($AM739=0,$Q739=""),0,IF(AND($A739&gt;=Lists!$W$6,$A739&lt;=Lists!$W$7,OR(Dashboard!$D$6="All accounts",$C739=Dashboard!$D$6),OR(Dashboard!$D$7="All markets",$AF739=Dashboard!$D$7)),1,0))</f>
        <v>0</v>
      </c>
      <c r="AT739" s="55">
        <f>IF($AS739=1,N(AT738)+$Q739,N(AT738))</f>
        <v>1187.10688</v>
      </c>
      <c r="AU739" s="55">
        <f>MAX(N(AU738),$AT739)</f>
        <v>1187.10688</v>
      </c>
      <c r="AV739" s="55">
        <f>$AT739-$AU739</f>
        <v>0</v>
      </c>
      <c r="AW739" s="56">
        <f>IF($AS739=1,IF($S739="Win",N(AW738)+1,IF($S739="Loss",0,N(AW738))),N(AW738))</f>
        <v>5</v>
      </c>
      <c r="AX739" s="56">
        <f>IF($AS739=1,IF($S739="Loss",N(AX738)+1,IF($S739="Win",0,N(AX738))),N(AX738))</f>
        <v>0</v>
      </c>
      <c r="AY739" s="56" t="str">
        <f>IF($AS739=1,COUNTIF($AS$6:$AS739,1),"")</f>
        <v/>
      </c>
      <c r="AZ739" s="56">
        <f>MIN(733,N(Lists!$W$8))</f>
        <v>28</v>
      </c>
      <c r="BA739" s="56">
        <f>IF($AS739=1,IF(COUNTIFS($A$6:$A739,$A739,$AS$6:$AS739,1)=1,1,0),0)</f>
        <v>0</v>
      </c>
      <c r="BB739" s="55" t="str">
        <f>IF($BA739=1,SUMIFS($Q$6:$Q$1005,$A$6:$A$1005,$A739,$AS$6:$AS$1005,1),"")</f>
        <v/>
      </c>
      <c r="BC739" s="56">
        <f>IF(ISNUMBER($R739),1,0)</f>
        <v>0</v>
      </c>
      <c r="BD739" s="55" t="str">
        <f>IF(ISNUMBER($U739),$U739*$V739,"")</f>
        <v/>
      </c>
      <c r="BE739" s="56" t="str">
        <f>IF($AM739=0,"",IFERROR(MATCH($AF739&amp;"|"&amp;UPPER(TRIM($E739)),Lists!$A$6:$A$205,0),0))</f>
        <v/>
      </c>
      <c r="BF739" s="56" t="str">
        <f>IF($AM739=0,"",IFERROR(MATCH($AF739,Settings!$B$14:$B$18,0),IFERROR(MATCH(Settings!$C$6,Settings!$B$14:$B$18,0),1)))</f>
        <v/>
      </c>
      <c r="BG739" s="58" t="str">
        <f>IF($AM739=0,"",IF(NOT(ISNUMBER($I739)),"No stop; ","")&amp;IF(AND(ISNUMBER($H739),ISNUMBER($I739)),IF(OR(AND($F739&lt;&gt;"Short",$I739&gt;=$H739),AND($F739="Short",$I739&lt;=$H739)),"Stop on wrong side; ",""),"")&amp;IF($F739="","No direction; ","")&amp;IF(AND(ISNUMBER(Settings!$C$22),ISNUMBER($V739)),IF($V739&gt;Settings!$C$22,"Risk over max $; ",""),"")&amp;IF(AND(ISNUMBER(Settings!$C$23),ISNUMBER($V739),ISNUMBER($AP739),IFERROR(N(INDEX(Accounts!$E$7:$E$16,MATCH($C739,Accounts!$B$7:$B$16,0))),0)&gt;0),IF($V739&gt;Settings!$C$23*($AP739-N($Q739)),"Risk over max %; ",""),"")&amp;IF(AND(ISNUMBER(Settings!$C$24),ISNUMBER($N739)),IF($N739&gt;Settings!$C$24,"Leverage over max; ",""),"")&amp;IF(AND(ISNUMBER(Settings!$C$27),ISNUMBER($T739)),IF($T739&lt;Settings!$C$27,"R:R below min; ",""),"")&amp;IF(ISNUMBER(Settings!$C$25),IF(COUNTIFS($A$6:$A739,$A739,$AM$6:$AM739,1)&gt;Settings!$C$25,"Over max trades/day; ",""),"")&amp;IF(ISNUMBER(Settings!$C$26),IF(SUMIFS($Q$5:$Q738,$A$5:$A738,$A739)&lt;=-Settings!$C$26,"Traded after daily max loss; ",""),"")&amp;IF(AND($AG739="",NOT(ISNUMBER($O739))),"Symbol not in Instruments; ","")&amp;IF(AND($AH739="",NOT(ISNUMBER($O739))),"Forex cross: type Gross P&amp;L; ",""))</f>
        <v/>
      </c>
      <c r="BH739" s="56">
        <f>IF(ISNUMBER($Q739),1,0)</f>
        <v>0</v>
      </c>
      <c r="BI739" s="56">
        <f>IF($Y739="",0,1)</f>
        <v>0</v>
      </c>
      <c r="BJ739" s="56">
        <f>IF($AB739="",0,1)</f>
        <v>0</v>
      </c>
      <c r="BK739" s="56">
        <f>IF(AND($BH739=1,$W739&lt;&gt;"OK"),1,0)</f>
        <v>0</v>
      </c>
      <c r="BL739" s="55">
        <f>IF(N($AZ739)=0,0,IFERROR(INDEX($AT$6:$AT$1005,MATCH($AZ739,$AY$6:$AY$1005,0)),0))</f>
        <v>1187.10688</v>
      </c>
      <c r="BM739" s="56">
        <f>IF(ISNUMBER(SEARCH("daily max loss",$BG739)),1,0)</f>
        <v>0</v>
      </c>
    </row>
    <row r="740" ht="18" customHeight="1">
      <c r="A740" s="38" t="n"/>
      <c r="B740" s="39" t="n"/>
      <c r="C740" s="40" t="n"/>
      <c r="D740" s="41" t="n"/>
      <c r="E740" s="41" t="n"/>
      <c r="F740" s="41" t="n"/>
      <c r="G740" s="41" t="n"/>
      <c r="H740" s="42" t="n"/>
      <c r="I740" s="42" t="n"/>
      <c r="J740" s="42" t="n"/>
      <c r="K740" s="42" t="n"/>
      <c r="L740" s="41" t="n"/>
      <c r="M740" s="41" t="n"/>
      <c r="N740" s="41" t="n"/>
      <c r="O740" s="43" t="n"/>
      <c r="P740" s="43" t="n"/>
      <c r="Q740" s="44" t="str">
        <f>IF($AM740=0,"",IF(ISNUMBER($AK740),$AK740-N($AL740),""))</f>
        <v/>
      </c>
      <c r="R740" s="45" t="str">
        <f>IF(OR($Q740="",NOT(ISNUMBER($V740))),"",$AK740/$V740)</f>
        <v/>
      </c>
      <c r="S740" s="46" t="str">
        <f>IF($Q740="","",IF(AND(ISNUMBER($R740),ABS(N($R740))&lt;N(Settings!$C$8)),"Scratch",IF($Q740&gt;0,"Win",IF($Q740&lt;0,"Loss","Scratch"))))</f>
        <v/>
      </c>
      <c r="T740" s="47" t="str">
        <f>IF(OR($AM740=0,NOT(ISNUMBER($H740)),NOT(ISNUMBER($I740)),NOT(ISNUMBER($J740))),"",IF($H740=$I740,"",ROUND(ABS($J740-$H740)/ABS($H740-$I740),6)))</f>
        <v/>
      </c>
      <c r="U740" s="48" t="str">
        <f>IF(OR($S740&lt;&gt;"Win",NOT(ISNUMBER($T740)),NOT(ISNUMBER($R740))),"",MAX(0,$T740-$R740))</f>
        <v/>
      </c>
      <c r="V740" s="49" t="str">
        <f>IF(OR($AM740=0,NOT(ISNUMBER($H740)),NOT(ISNUMBER($I740)),NOT(ISNUMBER($G740))),"",IF(OR($AG740="",$AH740=""),"",IF(ROUND(ABS($H740-$I740)*ABS($G740)*$AG740*$AH740,6)=0,"",ROUND(ABS($H740-$I740)*ABS($G740)*$AG740*$AH740,6))))</f>
        <v/>
      </c>
      <c r="W740" s="50" t="str">
        <f>IF($AM740=0,"",IF($BG740="","OK",LEFT($BG740,LEN($BG740)-2)))</f>
        <v/>
      </c>
      <c r="X740" s="41" t="n"/>
      <c r="Y740" s="40" t="n"/>
      <c r="Z740" s="41" t="n"/>
      <c r="AA740" s="41" t="n"/>
      <c r="AB740" s="40" t="n"/>
      <c r="AC740" s="51" t="n"/>
      <c r="AD740" s="51" t="n"/>
      <c r="AE740" s="40" t="n"/>
      <c r="AF740" s="52" t="str">
        <f>IF($AM740=0,"",IF($D740&lt;&gt;"",$D740,IF(IFERROR(INDEX(Accounts!$C$7:$C$16,MATCH($C740,Accounts!$B$7:$B$16,0))&amp;"","")&lt;&gt;"",INDEX(Accounts!$C$7:$C$16,MATCH($C740,Accounts!$B$7:$B$16,0)),Settings!$C$6)))</f>
        <v/>
      </c>
      <c r="AG740" s="53" t="str">
        <f>IF($AM740=0,"",IF(AND($BE740&gt;0,N(INDEX(Instruments!$D$6:$D$205,MAX(1,$BE740)))&gt;0),INDEX(Instruments!$D$6:$D$205,MAX(1,$BE740)),IF(N(INDEX(Settings!$D$14:$D$18,$BF740))&gt;0,INDEX(Settings!$D$14:$D$18,$BF740),"")))</f>
        <v/>
      </c>
      <c r="AH740" s="54" t="str">
        <f>IF($AM740=0,"",IF($AF740&lt;&gt;"Forex",1,IF(MID(UPPER(SUBSTITUTE(TRIM($E740),"/","")),4,3)=UPPER(TRIM(Settings!$C$7)),1,IF(LEFT(UPPER(SUBSTITUTE(TRIM($E740),"/","")),3)=UPPER(TRIM(Settings!$C$7)),IF(AND(ISNUMBER($K740),N($K740)&lt;&gt;0),1/$K740,""),""))))</f>
        <v/>
      </c>
      <c r="AI740" s="55" t="str">
        <f>IF($AM740=0,"",IF(OR(NOT(ISNUMBER($H740)),NOT(ISNUMBER($K740)),NOT(ISNUMBER($G740)),$AG740="",$AH740=""),"",ROUND(($K740-$H740)*IF($F740="Short",-1,1)*$G740*$AG740*$AH740,6)))</f>
        <v/>
      </c>
      <c r="AJ740" s="55" t="str">
        <f>IF($AM740=0,"",IF(INDEX(Settings!$E$14:$E$18,$BF740)="% of notional",IF(OR($AG740="",NOT(ISNUMBER($H740)),NOT(ISNUMBER($G740))),"",ROUND(ABS($H740*$G740*$AG740*N($AH740))*IF($L740="Limit",N(INDEX(Settings!$G$14:$G$18,$BF740)),N(INDEX(Settings!$H$14:$H$18,$BF740)))+IF(ISNUMBER($K740),ABS($K740*$G740*$AG740*N($AH740))*IF($M740="Target",N(INDEX(Settings!$G$14:$G$18,$BF740)),N(INDEX(Settings!$H$14:$H$18,$BF740))),0),6)),IF(NOT(ISNUMBER($G740)),"",ROUND(ABS($G740)*2*IF(AND($BE740&gt;0,ISNUMBER(INDEX(Instruments!$G$6:$G$205,MAX(1,$BE740)))),INDEX(Instruments!$G$6:$G$205,MAX(1,$BE740)),N(INDEX(Settings!$F$14:$F$18,$BF740))),6))))</f>
        <v/>
      </c>
      <c r="AK740" s="55" t="str">
        <f>IF($AM740=0,"",IF(ISNUMBER($O740),$O740,$AI740))</f>
        <v/>
      </c>
      <c r="AL740" s="55" t="str">
        <f>IF($AM740=0,"",IF(ISNUMBER($P740),$P740,N($AJ740)))</f>
        <v/>
      </c>
      <c r="AM740" s="56">
        <f>IF(AND($A740&lt;&gt;"",$E740&lt;&gt;"",OR(AND(ISNUMBER($G740),ISNUMBER($H740),ISNUMBER($K740)),ISNUMBER($O740))),1,0)</f>
        <v>0</v>
      </c>
      <c r="AN740" s="57" t="str">
        <f>IF($A740="","",$A740-WEEKDAY($A740,3))</f>
        <v/>
      </c>
      <c r="AO740" s="56" t="str">
        <f>IF($A740="","",WEEKDAY($A740,2))</f>
        <v/>
      </c>
      <c r="AP740" s="55" t="str">
        <f>IF(OR($AM740=0,$C740=""),"",IFERROR(N(INDEX(Accounts!$E$7:$E$16,MATCH($C740,Accounts!$B$7:$B$16,0))),0)+SUMIFS($Q$6:$Q740,$C$6:$C740,$C740))</f>
        <v/>
      </c>
      <c r="AQ740" s="55" t="str">
        <f>IF(OR($AM740=0,$C740=""),"",SUMIFS($Q$6:$Q$1005,$C$6:$C$1005,$C740,$A$6:$A$1005,$A740))</f>
        <v/>
      </c>
      <c r="AR740" s="55" t="str">
        <f>IF(OR($AM740=0,$C740=""),"",IFERROR(N(INDEX(Accounts!$E$7:$E$16,MATCH($C740,Accounts!$B$7:$B$16,0))),0)+SUMIFS($Q$6:$Q$1005,$C$6:$C$1005,$C740,$A$6:$A$1005,"&lt;="&amp;$A740))</f>
        <v/>
      </c>
      <c r="AS740" s="56">
        <f>IF(OR($AM740=0,$Q740=""),0,IF(AND($A740&gt;=Lists!$W$6,$A740&lt;=Lists!$W$7,OR(Dashboard!$D$6="All accounts",$C740=Dashboard!$D$6),OR(Dashboard!$D$7="All markets",$AF740=Dashboard!$D$7)),1,0))</f>
        <v>0</v>
      </c>
      <c r="AT740" s="55">
        <f>IF($AS740=1,N(AT739)+$Q740,N(AT739))</f>
        <v>1187.10688</v>
      </c>
      <c r="AU740" s="55">
        <f>MAX(N(AU739),$AT740)</f>
        <v>1187.10688</v>
      </c>
      <c r="AV740" s="55">
        <f>$AT740-$AU740</f>
        <v>0</v>
      </c>
      <c r="AW740" s="56">
        <f>IF($AS740=1,IF($S740="Win",N(AW739)+1,IF($S740="Loss",0,N(AW739))),N(AW739))</f>
        <v>5</v>
      </c>
      <c r="AX740" s="56">
        <f>IF($AS740=1,IF($S740="Loss",N(AX739)+1,IF($S740="Win",0,N(AX739))),N(AX739))</f>
        <v>0</v>
      </c>
      <c r="AY740" s="56" t="str">
        <f>IF($AS740=1,COUNTIF($AS$6:$AS740,1),"")</f>
        <v/>
      </c>
      <c r="AZ740" s="56">
        <f>MIN(734,N(Lists!$W$8))</f>
        <v>28</v>
      </c>
      <c r="BA740" s="56">
        <f>IF($AS740=1,IF(COUNTIFS($A$6:$A740,$A740,$AS$6:$AS740,1)=1,1,0),0)</f>
        <v>0</v>
      </c>
      <c r="BB740" s="55" t="str">
        <f>IF($BA740=1,SUMIFS($Q$6:$Q$1005,$A$6:$A$1005,$A740,$AS$6:$AS$1005,1),"")</f>
        <v/>
      </c>
      <c r="BC740" s="56">
        <f>IF(ISNUMBER($R740),1,0)</f>
        <v>0</v>
      </c>
      <c r="BD740" s="55" t="str">
        <f>IF(ISNUMBER($U740),$U740*$V740,"")</f>
        <v/>
      </c>
      <c r="BE740" s="56" t="str">
        <f>IF($AM740=0,"",IFERROR(MATCH($AF740&amp;"|"&amp;UPPER(TRIM($E740)),Lists!$A$6:$A$205,0),0))</f>
        <v/>
      </c>
      <c r="BF740" s="56" t="str">
        <f>IF($AM740=0,"",IFERROR(MATCH($AF740,Settings!$B$14:$B$18,0),IFERROR(MATCH(Settings!$C$6,Settings!$B$14:$B$18,0),1)))</f>
        <v/>
      </c>
      <c r="BG740" s="58" t="str">
        <f>IF($AM740=0,"",IF(NOT(ISNUMBER($I740)),"No stop; ","")&amp;IF(AND(ISNUMBER($H740),ISNUMBER($I740)),IF(OR(AND($F740&lt;&gt;"Short",$I740&gt;=$H740),AND($F740="Short",$I740&lt;=$H740)),"Stop on wrong side; ",""),"")&amp;IF($F740="","No direction; ","")&amp;IF(AND(ISNUMBER(Settings!$C$22),ISNUMBER($V740)),IF($V740&gt;Settings!$C$22,"Risk over max $; ",""),"")&amp;IF(AND(ISNUMBER(Settings!$C$23),ISNUMBER($V740),ISNUMBER($AP740),IFERROR(N(INDEX(Accounts!$E$7:$E$16,MATCH($C740,Accounts!$B$7:$B$16,0))),0)&gt;0),IF($V740&gt;Settings!$C$23*($AP740-N($Q740)),"Risk over max %; ",""),"")&amp;IF(AND(ISNUMBER(Settings!$C$24),ISNUMBER($N740)),IF($N740&gt;Settings!$C$24,"Leverage over max; ",""),"")&amp;IF(AND(ISNUMBER(Settings!$C$27),ISNUMBER($T740)),IF($T740&lt;Settings!$C$27,"R:R below min; ",""),"")&amp;IF(ISNUMBER(Settings!$C$25),IF(COUNTIFS($A$6:$A740,$A740,$AM$6:$AM740,1)&gt;Settings!$C$25,"Over max trades/day; ",""),"")&amp;IF(ISNUMBER(Settings!$C$26),IF(SUMIFS($Q$5:$Q739,$A$5:$A739,$A740)&lt;=-Settings!$C$26,"Traded after daily max loss; ",""),"")&amp;IF(AND($AG740="",NOT(ISNUMBER($O740))),"Symbol not in Instruments; ","")&amp;IF(AND($AH740="",NOT(ISNUMBER($O740))),"Forex cross: type Gross P&amp;L; ",""))</f>
        <v/>
      </c>
      <c r="BH740" s="56">
        <f>IF(ISNUMBER($Q740),1,0)</f>
        <v>0</v>
      </c>
      <c r="BI740" s="56">
        <f>IF($Y740="",0,1)</f>
        <v>0</v>
      </c>
      <c r="BJ740" s="56">
        <f>IF($AB740="",0,1)</f>
        <v>0</v>
      </c>
      <c r="BK740" s="56">
        <f>IF(AND($BH740=1,$W740&lt;&gt;"OK"),1,0)</f>
        <v>0</v>
      </c>
      <c r="BL740" s="55">
        <f>IF(N($AZ740)=0,0,IFERROR(INDEX($AT$6:$AT$1005,MATCH($AZ740,$AY$6:$AY$1005,0)),0))</f>
        <v>1187.10688</v>
      </c>
      <c r="BM740" s="56">
        <f>IF(ISNUMBER(SEARCH("daily max loss",$BG740)),1,0)</f>
        <v>0</v>
      </c>
    </row>
    <row r="741" ht="18" customHeight="1">
      <c r="A741" s="38" t="n"/>
      <c r="B741" s="39" t="n"/>
      <c r="C741" s="40" t="n"/>
      <c r="D741" s="41" t="n"/>
      <c r="E741" s="41" t="n"/>
      <c r="F741" s="41" t="n"/>
      <c r="G741" s="41" t="n"/>
      <c r="H741" s="42" t="n"/>
      <c r="I741" s="42" t="n"/>
      <c r="J741" s="42" t="n"/>
      <c r="K741" s="42" t="n"/>
      <c r="L741" s="41" t="n"/>
      <c r="M741" s="41" t="n"/>
      <c r="N741" s="41" t="n"/>
      <c r="O741" s="43" t="n"/>
      <c r="P741" s="43" t="n"/>
      <c r="Q741" s="44" t="str">
        <f>IF($AM741=0,"",IF(ISNUMBER($AK741),$AK741-N($AL741),""))</f>
        <v/>
      </c>
      <c r="R741" s="45" t="str">
        <f>IF(OR($Q741="",NOT(ISNUMBER($V741))),"",$AK741/$V741)</f>
        <v/>
      </c>
      <c r="S741" s="46" t="str">
        <f>IF($Q741="","",IF(AND(ISNUMBER($R741),ABS(N($R741))&lt;N(Settings!$C$8)),"Scratch",IF($Q741&gt;0,"Win",IF($Q741&lt;0,"Loss","Scratch"))))</f>
        <v/>
      </c>
      <c r="T741" s="47" t="str">
        <f>IF(OR($AM741=0,NOT(ISNUMBER($H741)),NOT(ISNUMBER($I741)),NOT(ISNUMBER($J741))),"",IF($H741=$I741,"",ROUND(ABS($J741-$H741)/ABS($H741-$I741),6)))</f>
        <v/>
      </c>
      <c r="U741" s="48" t="str">
        <f>IF(OR($S741&lt;&gt;"Win",NOT(ISNUMBER($T741)),NOT(ISNUMBER($R741))),"",MAX(0,$T741-$R741))</f>
        <v/>
      </c>
      <c r="V741" s="49" t="str">
        <f>IF(OR($AM741=0,NOT(ISNUMBER($H741)),NOT(ISNUMBER($I741)),NOT(ISNUMBER($G741))),"",IF(OR($AG741="",$AH741=""),"",IF(ROUND(ABS($H741-$I741)*ABS($G741)*$AG741*$AH741,6)=0,"",ROUND(ABS($H741-$I741)*ABS($G741)*$AG741*$AH741,6))))</f>
        <v/>
      </c>
      <c r="W741" s="50" t="str">
        <f>IF($AM741=0,"",IF($BG741="","OK",LEFT($BG741,LEN($BG741)-2)))</f>
        <v/>
      </c>
      <c r="X741" s="41" t="n"/>
      <c r="Y741" s="40" t="n"/>
      <c r="Z741" s="41" t="n"/>
      <c r="AA741" s="41" t="n"/>
      <c r="AB741" s="40" t="n"/>
      <c r="AC741" s="51" t="n"/>
      <c r="AD741" s="51" t="n"/>
      <c r="AE741" s="40" t="n"/>
      <c r="AF741" s="52" t="str">
        <f>IF($AM741=0,"",IF($D741&lt;&gt;"",$D741,IF(IFERROR(INDEX(Accounts!$C$7:$C$16,MATCH($C741,Accounts!$B$7:$B$16,0))&amp;"","")&lt;&gt;"",INDEX(Accounts!$C$7:$C$16,MATCH($C741,Accounts!$B$7:$B$16,0)),Settings!$C$6)))</f>
        <v/>
      </c>
      <c r="AG741" s="53" t="str">
        <f>IF($AM741=0,"",IF(AND($BE741&gt;0,N(INDEX(Instruments!$D$6:$D$205,MAX(1,$BE741)))&gt;0),INDEX(Instruments!$D$6:$D$205,MAX(1,$BE741)),IF(N(INDEX(Settings!$D$14:$D$18,$BF741))&gt;0,INDEX(Settings!$D$14:$D$18,$BF741),"")))</f>
        <v/>
      </c>
      <c r="AH741" s="54" t="str">
        <f>IF($AM741=0,"",IF($AF741&lt;&gt;"Forex",1,IF(MID(UPPER(SUBSTITUTE(TRIM($E741),"/","")),4,3)=UPPER(TRIM(Settings!$C$7)),1,IF(LEFT(UPPER(SUBSTITUTE(TRIM($E741),"/","")),3)=UPPER(TRIM(Settings!$C$7)),IF(AND(ISNUMBER($K741),N($K741)&lt;&gt;0),1/$K741,""),""))))</f>
        <v/>
      </c>
      <c r="AI741" s="55" t="str">
        <f>IF($AM741=0,"",IF(OR(NOT(ISNUMBER($H741)),NOT(ISNUMBER($K741)),NOT(ISNUMBER($G741)),$AG741="",$AH741=""),"",ROUND(($K741-$H741)*IF($F741="Short",-1,1)*$G741*$AG741*$AH741,6)))</f>
        <v/>
      </c>
      <c r="AJ741" s="55" t="str">
        <f>IF($AM741=0,"",IF(INDEX(Settings!$E$14:$E$18,$BF741)="% of notional",IF(OR($AG741="",NOT(ISNUMBER($H741)),NOT(ISNUMBER($G741))),"",ROUND(ABS($H741*$G741*$AG741*N($AH741))*IF($L741="Limit",N(INDEX(Settings!$G$14:$G$18,$BF741)),N(INDEX(Settings!$H$14:$H$18,$BF741)))+IF(ISNUMBER($K741),ABS($K741*$G741*$AG741*N($AH741))*IF($M741="Target",N(INDEX(Settings!$G$14:$G$18,$BF741)),N(INDEX(Settings!$H$14:$H$18,$BF741))),0),6)),IF(NOT(ISNUMBER($G741)),"",ROUND(ABS($G741)*2*IF(AND($BE741&gt;0,ISNUMBER(INDEX(Instruments!$G$6:$G$205,MAX(1,$BE741)))),INDEX(Instruments!$G$6:$G$205,MAX(1,$BE741)),N(INDEX(Settings!$F$14:$F$18,$BF741))),6))))</f>
        <v/>
      </c>
      <c r="AK741" s="55" t="str">
        <f>IF($AM741=0,"",IF(ISNUMBER($O741),$O741,$AI741))</f>
        <v/>
      </c>
      <c r="AL741" s="55" t="str">
        <f>IF($AM741=0,"",IF(ISNUMBER($P741),$P741,N($AJ741)))</f>
        <v/>
      </c>
      <c r="AM741" s="56">
        <f>IF(AND($A741&lt;&gt;"",$E741&lt;&gt;"",OR(AND(ISNUMBER($G741),ISNUMBER($H741),ISNUMBER($K741)),ISNUMBER($O741))),1,0)</f>
        <v>0</v>
      </c>
      <c r="AN741" s="57" t="str">
        <f>IF($A741="","",$A741-WEEKDAY($A741,3))</f>
        <v/>
      </c>
      <c r="AO741" s="56" t="str">
        <f>IF($A741="","",WEEKDAY($A741,2))</f>
        <v/>
      </c>
      <c r="AP741" s="55" t="str">
        <f>IF(OR($AM741=0,$C741=""),"",IFERROR(N(INDEX(Accounts!$E$7:$E$16,MATCH($C741,Accounts!$B$7:$B$16,0))),0)+SUMIFS($Q$6:$Q741,$C$6:$C741,$C741))</f>
        <v/>
      </c>
      <c r="AQ741" s="55" t="str">
        <f>IF(OR($AM741=0,$C741=""),"",SUMIFS($Q$6:$Q$1005,$C$6:$C$1005,$C741,$A$6:$A$1005,$A741))</f>
        <v/>
      </c>
      <c r="AR741" s="55" t="str">
        <f>IF(OR($AM741=0,$C741=""),"",IFERROR(N(INDEX(Accounts!$E$7:$E$16,MATCH($C741,Accounts!$B$7:$B$16,0))),0)+SUMIFS($Q$6:$Q$1005,$C$6:$C$1005,$C741,$A$6:$A$1005,"&lt;="&amp;$A741))</f>
        <v/>
      </c>
      <c r="AS741" s="56">
        <f>IF(OR($AM741=0,$Q741=""),0,IF(AND($A741&gt;=Lists!$W$6,$A741&lt;=Lists!$W$7,OR(Dashboard!$D$6="All accounts",$C741=Dashboard!$D$6),OR(Dashboard!$D$7="All markets",$AF741=Dashboard!$D$7)),1,0))</f>
        <v>0</v>
      </c>
      <c r="AT741" s="55">
        <f>IF($AS741=1,N(AT740)+$Q741,N(AT740))</f>
        <v>1187.10688</v>
      </c>
      <c r="AU741" s="55">
        <f>MAX(N(AU740),$AT741)</f>
        <v>1187.10688</v>
      </c>
      <c r="AV741" s="55">
        <f>$AT741-$AU741</f>
        <v>0</v>
      </c>
      <c r="AW741" s="56">
        <f>IF($AS741=1,IF($S741="Win",N(AW740)+1,IF($S741="Loss",0,N(AW740))),N(AW740))</f>
        <v>5</v>
      </c>
      <c r="AX741" s="56">
        <f>IF($AS741=1,IF($S741="Loss",N(AX740)+1,IF($S741="Win",0,N(AX740))),N(AX740))</f>
        <v>0</v>
      </c>
      <c r="AY741" s="56" t="str">
        <f>IF($AS741=1,COUNTIF($AS$6:$AS741,1),"")</f>
        <v/>
      </c>
      <c r="AZ741" s="56">
        <f>MIN(735,N(Lists!$W$8))</f>
        <v>28</v>
      </c>
      <c r="BA741" s="56">
        <f>IF($AS741=1,IF(COUNTIFS($A$6:$A741,$A741,$AS$6:$AS741,1)=1,1,0),0)</f>
        <v>0</v>
      </c>
      <c r="BB741" s="55" t="str">
        <f>IF($BA741=1,SUMIFS($Q$6:$Q$1005,$A$6:$A$1005,$A741,$AS$6:$AS$1005,1),"")</f>
        <v/>
      </c>
      <c r="BC741" s="56">
        <f>IF(ISNUMBER($R741),1,0)</f>
        <v>0</v>
      </c>
      <c r="BD741" s="55" t="str">
        <f>IF(ISNUMBER($U741),$U741*$V741,"")</f>
        <v/>
      </c>
      <c r="BE741" s="56" t="str">
        <f>IF($AM741=0,"",IFERROR(MATCH($AF741&amp;"|"&amp;UPPER(TRIM($E741)),Lists!$A$6:$A$205,0),0))</f>
        <v/>
      </c>
      <c r="BF741" s="56" t="str">
        <f>IF($AM741=0,"",IFERROR(MATCH($AF741,Settings!$B$14:$B$18,0),IFERROR(MATCH(Settings!$C$6,Settings!$B$14:$B$18,0),1)))</f>
        <v/>
      </c>
      <c r="BG741" s="58" t="str">
        <f>IF($AM741=0,"",IF(NOT(ISNUMBER($I741)),"No stop; ","")&amp;IF(AND(ISNUMBER($H741),ISNUMBER($I741)),IF(OR(AND($F741&lt;&gt;"Short",$I741&gt;=$H741),AND($F741="Short",$I741&lt;=$H741)),"Stop on wrong side; ",""),"")&amp;IF($F741="","No direction; ","")&amp;IF(AND(ISNUMBER(Settings!$C$22),ISNUMBER($V741)),IF($V741&gt;Settings!$C$22,"Risk over max $; ",""),"")&amp;IF(AND(ISNUMBER(Settings!$C$23),ISNUMBER($V741),ISNUMBER($AP741),IFERROR(N(INDEX(Accounts!$E$7:$E$16,MATCH($C741,Accounts!$B$7:$B$16,0))),0)&gt;0),IF($V741&gt;Settings!$C$23*($AP741-N($Q741)),"Risk over max %; ",""),"")&amp;IF(AND(ISNUMBER(Settings!$C$24),ISNUMBER($N741)),IF($N741&gt;Settings!$C$24,"Leverage over max; ",""),"")&amp;IF(AND(ISNUMBER(Settings!$C$27),ISNUMBER($T741)),IF($T741&lt;Settings!$C$27,"R:R below min; ",""),"")&amp;IF(ISNUMBER(Settings!$C$25),IF(COUNTIFS($A$6:$A741,$A741,$AM$6:$AM741,1)&gt;Settings!$C$25,"Over max trades/day; ",""),"")&amp;IF(ISNUMBER(Settings!$C$26),IF(SUMIFS($Q$5:$Q740,$A$5:$A740,$A741)&lt;=-Settings!$C$26,"Traded after daily max loss; ",""),"")&amp;IF(AND($AG741="",NOT(ISNUMBER($O741))),"Symbol not in Instruments; ","")&amp;IF(AND($AH741="",NOT(ISNUMBER($O741))),"Forex cross: type Gross P&amp;L; ",""))</f>
        <v/>
      </c>
      <c r="BH741" s="56">
        <f>IF(ISNUMBER($Q741),1,0)</f>
        <v>0</v>
      </c>
      <c r="BI741" s="56">
        <f>IF($Y741="",0,1)</f>
        <v>0</v>
      </c>
      <c r="BJ741" s="56">
        <f>IF($AB741="",0,1)</f>
        <v>0</v>
      </c>
      <c r="BK741" s="56">
        <f>IF(AND($BH741=1,$W741&lt;&gt;"OK"),1,0)</f>
        <v>0</v>
      </c>
      <c r="BL741" s="55">
        <f>IF(N($AZ741)=0,0,IFERROR(INDEX($AT$6:$AT$1005,MATCH($AZ741,$AY$6:$AY$1005,0)),0))</f>
        <v>1187.10688</v>
      </c>
      <c r="BM741" s="56">
        <f>IF(ISNUMBER(SEARCH("daily max loss",$BG741)),1,0)</f>
        <v>0</v>
      </c>
    </row>
    <row r="742" ht="18" customHeight="1">
      <c r="A742" s="38" t="n"/>
      <c r="B742" s="39" t="n"/>
      <c r="C742" s="40" t="n"/>
      <c r="D742" s="41" t="n"/>
      <c r="E742" s="41" t="n"/>
      <c r="F742" s="41" t="n"/>
      <c r="G742" s="41" t="n"/>
      <c r="H742" s="42" t="n"/>
      <c r="I742" s="42" t="n"/>
      <c r="J742" s="42" t="n"/>
      <c r="K742" s="42" t="n"/>
      <c r="L742" s="41" t="n"/>
      <c r="M742" s="41" t="n"/>
      <c r="N742" s="41" t="n"/>
      <c r="O742" s="43" t="n"/>
      <c r="P742" s="43" t="n"/>
      <c r="Q742" s="44" t="str">
        <f>IF($AM742=0,"",IF(ISNUMBER($AK742),$AK742-N($AL742),""))</f>
        <v/>
      </c>
      <c r="R742" s="45" t="str">
        <f>IF(OR($Q742="",NOT(ISNUMBER($V742))),"",$AK742/$V742)</f>
        <v/>
      </c>
      <c r="S742" s="46" t="str">
        <f>IF($Q742="","",IF(AND(ISNUMBER($R742),ABS(N($R742))&lt;N(Settings!$C$8)),"Scratch",IF($Q742&gt;0,"Win",IF($Q742&lt;0,"Loss","Scratch"))))</f>
        <v/>
      </c>
      <c r="T742" s="47" t="str">
        <f>IF(OR($AM742=0,NOT(ISNUMBER($H742)),NOT(ISNUMBER($I742)),NOT(ISNUMBER($J742))),"",IF($H742=$I742,"",ROUND(ABS($J742-$H742)/ABS($H742-$I742),6)))</f>
        <v/>
      </c>
      <c r="U742" s="48" t="str">
        <f>IF(OR($S742&lt;&gt;"Win",NOT(ISNUMBER($T742)),NOT(ISNUMBER($R742))),"",MAX(0,$T742-$R742))</f>
        <v/>
      </c>
      <c r="V742" s="49" t="str">
        <f>IF(OR($AM742=0,NOT(ISNUMBER($H742)),NOT(ISNUMBER($I742)),NOT(ISNUMBER($G742))),"",IF(OR($AG742="",$AH742=""),"",IF(ROUND(ABS($H742-$I742)*ABS($G742)*$AG742*$AH742,6)=0,"",ROUND(ABS($H742-$I742)*ABS($G742)*$AG742*$AH742,6))))</f>
        <v/>
      </c>
      <c r="W742" s="50" t="str">
        <f>IF($AM742=0,"",IF($BG742="","OK",LEFT($BG742,LEN($BG742)-2)))</f>
        <v/>
      </c>
      <c r="X742" s="41" t="n"/>
      <c r="Y742" s="40" t="n"/>
      <c r="Z742" s="41" t="n"/>
      <c r="AA742" s="41" t="n"/>
      <c r="AB742" s="40" t="n"/>
      <c r="AC742" s="51" t="n"/>
      <c r="AD742" s="51" t="n"/>
      <c r="AE742" s="40" t="n"/>
      <c r="AF742" s="52" t="str">
        <f>IF($AM742=0,"",IF($D742&lt;&gt;"",$D742,IF(IFERROR(INDEX(Accounts!$C$7:$C$16,MATCH($C742,Accounts!$B$7:$B$16,0))&amp;"","")&lt;&gt;"",INDEX(Accounts!$C$7:$C$16,MATCH($C742,Accounts!$B$7:$B$16,0)),Settings!$C$6)))</f>
        <v/>
      </c>
      <c r="AG742" s="53" t="str">
        <f>IF($AM742=0,"",IF(AND($BE742&gt;0,N(INDEX(Instruments!$D$6:$D$205,MAX(1,$BE742)))&gt;0),INDEX(Instruments!$D$6:$D$205,MAX(1,$BE742)),IF(N(INDEX(Settings!$D$14:$D$18,$BF742))&gt;0,INDEX(Settings!$D$14:$D$18,$BF742),"")))</f>
        <v/>
      </c>
      <c r="AH742" s="54" t="str">
        <f>IF($AM742=0,"",IF($AF742&lt;&gt;"Forex",1,IF(MID(UPPER(SUBSTITUTE(TRIM($E742),"/","")),4,3)=UPPER(TRIM(Settings!$C$7)),1,IF(LEFT(UPPER(SUBSTITUTE(TRIM($E742),"/","")),3)=UPPER(TRIM(Settings!$C$7)),IF(AND(ISNUMBER($K742),N($K742)&lt;&gt;0),1/$K742,""),""))))</f>
        <v/>
      </c>
      <c r="AI742" s="55" t="str">
        <f>IF($AM742=0,"",IF(OR(NOT(ISNUMBER($H742)),NOT(ISNUMBER($K742)),NOT(ISNUMBER($G742)),$AG742="",$AH742=""),"",ROUND(($K742-$H742)*IF($F742="Short",-1,1)*$G742*$AG742*$AH742,6)))</f>
        <v/>
      </c>
      <c r="AJ742" s="55" t="str">
        <f>IF($AM742=0,"",IF(INDEX(Settings!$E$14:$E$18,$BF742)="% of notional",IF(OR($AG742="",NOT(ISNUMBER($H742)),NOT(ISNUMBER($G742))),"",ROUND(ABS($H742*$G742*$AG742*N($AH742))*IF($L742="Limit",N(INDEX(Settings!$G$14:$G$18,$BF742)),N(INDEX(Settings!$H$14:$H$18,$BF742)))+IF(ISNUMBER($K742),ABS($K742*$G742*$AG742*N($AH742))*IF($M742="Target",N(INDEX(Settings!$G$14:$G$18,$BF742)),N(INDEX(Settings!$H$14:$H$18,$BF742))),0),6)),IF(NOT(ISNUMBER($G742)),"",ROUND(ABS($G742)*2*IF(AND($BE742&gt;0,ISNUMBER(INDEX(Instruments!$G$6:$G$205,MAX(1,$BE742)))),INDEX(Instruments!$G$6:$G$205,MAX(1,$BE742)),N(INDEX(Settings!$F$14:$F$18,$BF742))),6))))</f>
        <v/>
      </c>
      <c r="AK742" s="55" t="str">
        <f>IF($AM742=0,"",IF(ISNUMBER($O742),$O742,$AI742))</f>
        <v/>
      </c>
      <c r="AL742" s="55" t="str">
        <f>IF($AM742=0,"",IF(ISNUMBER($P742),$P742,N($AJ742)))</f>
        <v/>
      </c>
      <c r="AM742" s="56">
        <f>IF(AND($A742&lt;&gt;"",$E742&lt;&gt;"",OR(AND(ISNUMBER($G742),ISNUMBER($H742),ISNUMBER($K742)),ISNUMBER($O742))),1,0)</f>
        <v>0</v>
      </c>
      <c r="AN742" s="57" t="str">
        <f>IF($A742="","",$A742-WEEKDAY($A742,3))</f>
        <v/>
      </c>
      <c r="AO742" s="56" t="str">
        <f>IF($A742="","",WEEKDAY($A742,2))</f>
        <v/>
      </c>
      <c r="AP742" s="55" t="str">
        <f>IF(OR($AM742=0,$C742=""),"",IFERROR(N(INDEX(Accounts!$E$7:$E$16,MATCH($C742,Accounts!$B$7:$B$16,0))),0)+SUMIFS($Q$6:$Q742,$C$6:$C742,$C742))</f>
        <v/>
      </c>
      <c r="AQ742" s="55" t="str">
        <f>IF(OR($AM742=0,$C742=""),"",SUMIFS($Q$6:$Q$1005,$C$6:$C$1005,$C742,$A$6:$A$1005,$A742))</f>
        <v/>
      </c>
      <c r="AR742" s="55" t="str">
        <f>IF(OR($AM742=0,$C742=""),"",IFERROR(N(INDEX(Accounts!$E$7:$E$16,MATCH($C742,Accounts!$B$7:$B$16,0))),0)+SUMIFS($Q$6:$Q$1005,$C$6:$C$1005,$C742,$A$6:$A$1005,"&lt;="&amp;$A742))</f>
        <v/>
      </c>
      <c r="AS742" s="56">
        <f>IF(OR($AM742=0,$Q742=""),0,IF(AND($A742&gt;=Lists!$W$6,$A742&lt;=Lists!$W$7,OR(Dashboard!$D$6="All accounts",$C742=Dashboard!$D$6),OR(Dashboard!$D$7="All markets",$AF742=Dashboard!$D$7)),1,0))</f>
        <v>0</v>
      </c>
      <c r="AT742" s="55">
        <f>IF($AS742=1,N(AT741)+$Q742,N(AT741))</f>
        <v>1187.10688</v>
      </c>
      <c r="AU742" s="55">
        <f>MAX(N(AU741),$AT742)</f>
        <v>1187.10688</v>
      </c>
      <c r="AV742" s="55">
        <f>$AT742-$AU742</f>
        <v>0</v>
      </c>
      <c r="AW742" s="56">
        <f>IF($AS742=1,IF($S742="Win",N(AW741)+1,IF($S742="Loss",0,N(AW741))),N(AW741))</f>
        <v>5</v>
      </c>
      <c r="AX742" s="56">
        <f>IF($AS742=1,IF($S742="Loss",N(AX741)+1,IF($S742="Win",0,N(AX741))),N(AX741))</f>
        <v>0</v>
      </c>
      <c r="AY742" s="56" t="str">
        <f>IF($AS742=1,COUNTIF($AS$6:$AS742,1),"")</f>
        <v/>
      </c>
      <c r="AZ742" s="56">
        <f>MIN(736,N(Lists!$W$8))</f>
        <v>28</v>
      </c>
      <c r="BA742" s="56">
        <f>IF($AS742=1,IF(COUNTIFS($A$6:$A742,$A742,$AS$6:$AS742,1)=1,1,0),0)</f>
        <v>0</v>
      </c>
      <c r="BB742" s="55" t="str">
        <f>IF($BA742=1,SUMIFS($Q$6:$Q$1005,$A$6:$A$1005,$A742,$AS$6:$AS$1005,1),"")</f>
        <v/>
      </c>
      <c r="BC742" s="56">
        <f>IF(ISNUMBER($R742),1,0)</f>
        <v>0</v>
      </c>
      <c r="BD742" s="55" t="str">
        <f>IF(ISNUMBER($U742),$U742*$V742,"")</f>
        <v/>
      </c>
      <c r="BE742" s="56" t="str">
        <f>IF($AM742=0,"",IFERROR(MATCH($AF742&amp;"|"&amp;UPPER(TRIM($E742)),Lists!$A$6:$A$205,0),0))</f>
        <v/>
      </c>
      <c r="BF742" s="56" t="str">
        <f>IF($AM742=0,"",IFERROR(MATCH($AF742,Settings!$B$14:$B$18,0),IFERROR(MATCH(Settings!$C$6,Settings!$B$14:$B$18,0),1)))</f>
        <v/>
      </c>
      <c r="BG742" s="58" t="str">
        <f>IF($AM742=0,"",IF(NOT(ISNUMBER($I742)),"No stop; ","")&amp;IF(AND(ISNUMBER($H742),ISNUMBER($I742)),IF(OR(AND($F742&lt;&gt;"Short",$I742&gt;=$H742),AND($F742="Short",$I742&lt;=$H742)),"Stop on wrong side; ",""),"")&amp;IF($F742="","No direction; ","")&amp;IF(AND(ISNUMBER(Settings!$C$22),ISNUMBER($V742)),IF($V742&gt;Settings!$C$22,"Risk over max $; ",""),"")&amp;IF(AND(ISNUMBER(Settings!$C$23),ISNUMBER($V742),ISNUMBER($AP742),IFERROR(N(INDEX(Accounts!$E$7:$E$16,MATCH($C742,Accounts!$B$7:$B$16,0))),0)&gt;0),IF($V742&gt;Settings!$C$23*($AP742-N($Q742)),"Risk over max %; ",""),"")&amp;IF(AND(ISNUMBER(Settings!$C$24),ISNUMBER($N742)),IF($N742&gt;Settings!$C$24,"Leverage over max; ",""),"")&amp;IF(AND(ISNUMBER(Settings!$C$27),ISNUMBER($T742)),IF($T742&lt;Settings!$C$27,"R:R below min; ",""),"")&amp;IF(ISNUMBER(Settings!$C$25),IF(COUNTIFS($A$6:$A742,$A742,$AM$6:$AM742,1)&gt;Settings!$C$25,"Over max trades/day; ",""),"")&amp;IF(ISNUMBER(Settings!$C$26),IF(SUMIFS($Q$5:$Q741,$A$5:$A741,$A742)&lt;=-Settings!$C$26,"Traded after daily max loss; ",""),"")&amp;IF(AND($AG742="",NOT(ISNUMBER($O742))),"Symbol not in Instruments; ","")&amp;IF(AND($AH742="",NOT(ISNUMBER($O742))),"Forex cross: type Gross P&amp;L; ",""))</f>
        <v/>
      </c>
      <c r="BH742" s="56">
        <f>IF(ISNUMBER($Q742),1,0)</f>
        <v>0</v>
      </c>
      <c r="BI742" s="56">
        <f>IF($Y742="",0,1)</f>
        <v>0</v>
      </c>
      <c r="BJ742" s="56">
        <f>IF($AB742="",0,1)</f>
        <v>0</v>
      </c>
      <c r="BK742" s="56">
        <f>IF(AND($BH742=1,$W742&lt;&gt;"OK"),1,0)</f>
        <v>0</v>
      </c>
      <c r="BL742" s="55">
        <f>IF(N($AZ742)=0,0,IFERROR(INDEX($AT$6:$AT$1005,MATCH($AZ742,$AY$6:$AY$1005,0)),0))</f>
        <v>1187.10688</v>
      </c>
      <c r="BM742" s="56">
        <f>IF(ISNUMBER(SEARCH("daily max loss",$BG742)),1,0)</f>
        <v>0</v>
      </c>
    </row>
    <row r="743" ht="18" customHeight="1">
      <c r="A743" s="38" t="n"/>
      <c r="B743" s="39" t="n"/>
      <c r="C743" s="40" t="n"/>
      <c r="D743" s="41" t="n"/>
      <c r="E743" s="41" t="n"/>
      <c r="F743" s="41" t="n"/>
      <c r="G743" s="41" t="n"/>
      <c r="H743" s="42" t="n"/>
      <c r="I743" s="42" t="n"/>
      <c r="J743" s="42" t="n"/>
      <c r="K743" s="42" t="n"/>
      <c r="L743" s="41" t="n"/>
      <c r="M743" s="41" t="n"/>
      <c r="N743" s="41" t="n"/>
      <c r="O743" s="43" t="n"/>
      <c r="P743" s="43" t="n"/>
      <c r="Q743" s="44" t="str">
        <f>IF($AM743=0,"",IF(ISNUMBER($AK743),$AK743-N($AL743),""))</f>
        <v/>
      </c>
      <c r="R743" s="45" t="str">
        <f>IF(OR($Q743="",NOT(ISNUMBER($V743))),"",$AK743/$V743)</f>
        <v/>
      </c>
      <c r="S743" s="46" t="str">
        <f>IF($Q743="","",IF(AND(ISNUMBER($R743),ABS(N($R743))&lt;N(Settings!$C$8)),"Scratch",IF($Q743&gt;0,"Win",IF($Q743&lt;0,"Loss","Scratch"))))</f>
        <v/>
      </c>
      <c r="T743" s="47" t="str">
        <f>IF(OR($AM743=0,NOT(ISNUMBER($H743)),NOT(ISNUMBER($I743)),NOT(ISNUMBER($J743))),"",IF($H743=$I743,"",ROUND(ABS($J743-$H743)/ABS($H743-$I743),6)))</f>
        <v/>
      </c>
      <c r="U743" s="48" t="str">
        <f>IF(OR($S743&lt;&gt;"Win",NOT(ISNUMBER($T743)),NOT(ISNUMBER($R743))),"",MAX(0,$T743-$R743))</f>
        <v/>
      </c>
      <c r="V743" s="49" t="str">
        <f>IF(OR($AM743=0,NOT(ISNUMBER($H743)),NOT(ISNUMBER($I743)),NOT(ISNUMBER($G743))),"",IF(OR($AG743="",$AH743=""),"",IF(ROUND(ABS($H743-$I743)*ABS($G743)*$AG743*$AH743,6)=0,"",ROUND(ABS($H743-$I743)*ABS($G743)*$AG743*$AH743,6))))</f>
        <v/>
      </c>
      <c r="W743" s="50" t="str">
        <f>IF($AM743=0,"",IF($BG743="","OK",LEFT($BG743,LEN($BG743)-2)))</f>
        <v/>
      </c>
      <c r="X743" s="41" t="n"/>
      <c r="Y743" s="40" t="n"/>
      <c r="Z743" s="41" t="n"/>
      <c r="AA743" s="41" t="n"/>
      <c r="AB743" s="40" t="n"/>
      <c r="AC743" s="51" t="n"/>
      <c r="AD743" s="51" t="n"/>
      <c r="AE743" s="40" t="n"/>
      <c r="AF743" s="52" t="str">
        <f>IF($AM743=0,"",IF($D743&lt;&gt;"",$D743,IF(IFERROR(INDEX(Accounts!$C$7:$C$16,MATCH($C743,Accounts!$B$7:$B$16,0))&amp;"","")&lt;&gt;"",INDEX(Accounts!$C$7:$C$16,MATCH($C743,Accounts!$B$7:$B$16,0)),Settings!$C$6)))</f>
        <v/>
      </c>
      <c r="AG743" s="53" t="str">
        <f>IF($AM743=0,"",IF(AND($BE743&gt;0,N(INDEX(Instruments!$D$6:$D$205,MAX(1,$BE743)))&gt;0),INDEX(Instruments!$D$6:$D$205,MAX(1,$BE743)),IF(N(INDEX(Settings!$D$14:$D$18,$BF743))&gt;0,INDEX(Settings!$D$14:$D$18,$BF743),"")))</f>
        <v/>
      </c>
      <c r="AH743" s="54" t="str">
        <f>IF($AM743=0,"",IF($AF743&lt;&gt;"Forex",1,IF(MID(UPPER(SUBSTITUTE(TRIM($E743),"/","")),4,3)=UPPER(TRIM(Settings!$C$7)),1,IF(LEFT(UPPER(SUBSTITUTE(TRIM($E743),"/","")),3)=UPPER(TRIM(Settings!$C$7)),IF(AND(ISNUMBER($K743),N($K743)&lt;&gt;0),1/$K743,""),""))))</f>
        <v/>
      </c>
      <c r="AI743" s="55" t="str">
        <f>IF($AM743=0,"",IF(OR(NOT(ISNUMBER($H743)),NOT(ISNUMBER($K743)),NOT(ISNUMBER($G743)),$AG743="",$AH743=""),"",ROUND(($K743-$H743)*IF($F743="Short",-1,1)*$G743*$AG743*$AH743,6)))</f>
        <v/>
      </c>
      <c r="AJ743" s="55" t="str">
        <f>IF($AM743=0,"",IF(INDEX(Settings!$E$14:$E$18,$BF743)="% of notional",IF(OR($AG743="",NOT(ISNUMBER($H743)),NOT(ISNUMBER($G743))),"",ROUND(ABS($H743*$G743*$AG743*N($AH743))*IF($L743="Limit",N(INDEX(Settings!$G$14:$G$18,$BF743)),N(INDEX(Settings!$H$14:$H$18,$BF743)))+IF(ISNUMBER($K743),ABS($K743*$G743*$AG743*N($AH743))*IF($M743="Target",N(INDEX(Settings!$G$14:$G$18,$BF743)),N(INDEX(Settings!$H$14:$H$18,$BF743))),0),6)),IF(NOT(ISNUMBER($G743)),"",ROUND(ABS($G743)*2*IF(AND($BE743&gt;0,ISNUMBER(INDEX(Instruments!$G$6:$G$205,MAX(1,$BE743)))),INDEX(Instruments!$G$6:$G$205,MAX(1,$BE743)),N(INDEX(Settings!$F$14:$F$18,$BF743))),6))))</f>
        <v/>
      </c>
      <c r="AK743" s="55" t="str">
        <f>IF($AM743=0,"",IF(ISNUMBER($O743),$O743,$AI743))</f>
        <v/>
      </c>
      <c r="AL743" s="55" t="str">
        <f>IF($AM743=0,"",IF(ISNUMBER($P743),$P743,N($AJ743)))</f>
        <v/>
      </c>
      <c r="AM743" s="56">
        <f>IF(AND($A743&lt;&gt;"",$E743&lt;&gt;"",OR(AND(ISNUMBER($G743),ISNUMBER($H743),ISNUMBER($K743)),ISNUMBER($O743))),1,0)</f>
        <v>0</v>
      </c>
      <c r="AN743" s="57" t="str">
        <f>IF($A743="","",$A743-WEEKDAY($A743,3))</f>
        <v/>
      </c>
      <c r="AO743" s="56" t="str">
        <f>IF($A743="","",WEEKDAY($A743,2))</f>
        <v/>
      </c>
      <c r="AP743" s="55" t="str">
        <f>IF(OR($AM743=0,$C743=""),"",IFERROR(N(INDEX(Accounts!$E$7:$E$16,MATCH($C743,Accounts!$B$7:$B$16,0))),0)+SUMIFS($Q$6:$Q743,$C$6:$C743,$C743))</f>
        <v/>
      </c>
      <c r="AQ743" s="55" t="str">
        <f>IF(OR($AM743=0,$C743=""),"",SUMIFS($Q$6:$Q$1005,$C$6:$C$1005,$C743,$A$6:$A$1005,$A743))</f>
        <v/>
      </c>
      <c r="AR743" s="55" t="str">
        <f>IF(OR($AM743=0,$C743=""),"",IFERROR(N(INDEX(Accounts!$E$7:$E$16,MATCH($C743,Accounts!$B$7:$B$16,0))),0)+SUMIFS($Q$6:$Q$1005,$C$6:$C$1005,$C743,$A$6:$A$1005,"&lt;="&amp;$A743))</f>
        <v/>
      </c>
      <c r="AS743" s="56">
        <f>IF(OR($AM743=0,$Q743=""),0,IF(AND($A743&gt;=Lists!$W$6,$A743&lt;=Lists!$W$7,OR(Dashboard!$D$6="All accounts",$C743=Dashboard!$D$6),OR(Dashboard!$D$7="All markets",$AF743=Dashboard!$D$7)),1,0))</f>
        <v>0</v>
      </c>
      <c r="AT743" s="55">
        <f>IF($AS743=1,N(AT742)+$Q743,N(AT742))</f>
        <v>1187.10688</v>
      </c>
      <c r="AU743" s="55">
        <f>MAX(N(AU742),$AT743)</f>
        <v>1187.10688</v>
      </c>
      <c r="AV743" s="55">
        <f>$AT743-$AU743</f>
        <v>0</v>
      </c>
      <c r="AW743" s="56">
        <f>IF($AS743=1,IF($S743="Win",N(AW742)+1,IF($S743="Loss",0,N(AW742))),N(AW742))</f>
        <v>5</v>
      </c>
      <c r="AX743" s="56">
        <f>IF($AS743=1,IF($S743="Loss",N(AX742)+1,IF($S743="Win",0,N(AX742))),N(AX742))</f>
        <v>0</v>
      </c>
      <c r="AY743" s="56" t="str">
        <f>IF($AS743=1,COUNTIF($AS$6:$AS743,1),"")</f>
        <v/>
      </c>
      <c r="AZ743" s="56">
        <f>MIN(737,N(Lists!$W$8))</f>
        <v>28</v>
      </c>
      <c r="BA743" s="56">
        <f>IF($AS743=1,IF(COUNTIFS($A$6:$A743,$A743,$AS$6:$AS743,1)=1,1,0),0)</f>
        <v>0</v>
      </c>
      <c r="BB743" s="55" t="str">
        <f>IF($BA743=1,SUMIFS($Q$6:$Q$1005,$A$6:$A$1005,$A743,$AS$6:$AS$1005,1),"")</f>
        <v/>
      </c>
      <c r="BC743" s="56">
        <f>IF(ISNUMBER($R743),1,0)</f>
        <v>0</v>
      </c>
      <c r="BD743" s="55" t="str">
        <f>IF(ISNUMBER($U743),$U743*$V743,"")</f>
        <v/>
      </c>
      <c r="BE743" s="56" t="str">
        <f>IF($AM743=0,"",IFERROR(MATCH($AF743&amp;"|"&amp;UPPER(TRIM($E743)),Lists!$A$6:$A$205,0),0))</f>
        <v/>
      </c>
      <c r="BF743" s="56" t="str">
        <f>IF($AM743=0,"",IFERROR(MATCH($AF743,Settings!$B$14:$B$18,0),IFERROR(MATCH(Settings!$C$6,Settings!$B$14:$B$18,0),1)))</f>
        <v/>
      </c>
      <c r="BG743" s="58" t="str">
        <f>IF($AM743=0,"",IF(NOT(ISNUMBER($I743)),"No stop; ","")&amp;IF(AND(ISNUMBER($H743),ISNUMBER($I743)),IF(OR(AND($F743&lt;&gt;"Short",$I743&gt;=$H743),AND($F743="Short",$I743&lt;=$H743)),"Stop on wrong side; ",""),"")&amp;IF($F743="","No direction; ","")&amp;IF(AND(ISNUMBER(Settings!$C$22),ISNUMBER($V743)),IF($V743&gt;Settings!$C$22,"Risk over max $; ",""),"")&amp;IF(AND(ISNUMBER(Settings!$C$23),ISNUMBER($V743),ISNUMBER($AP743),IFERROR(N(INDEX(Accounts!$E$7:$E$16,MATCH($C743,Accounts!$B$7:$B$16,0))),0)&gt;0),IF($V743&gt;Settings!$C$23*($AP743-N($Q743)),"Risk over max %; ",""),"")&amp;IF(AND(ISNUMBER(Settings!$C$24),ISNUMBER($N743)),IF($N743&gt;Settings!$C$24,"Leverage over max; ",""),"")&amp;IF(AND(ISNUMBER(Settings!$C$27),ISNUMBER($T743)),IF($T743&lt;Settings!$C$27,"R:R below min; ",""),"")&amp;IF(ISNUMBER(Settings!$C$25),IF(COUNTIFS($A$6:$A743,$A743,$AM$6:$AM743,1)&gt;Settings!$C$25,"Over max trades/day; ",""),"")&amp;IF(ISNUMBER(Settings!$C$26),IF(SUMIFS($Q$5:$Q742,$A$5:$A742,$A743)&lt;=-Settings!$C$26,"Traded after daily max loss; ",""),"")&amp;IF(AND($AG743="",NOT(ISNUMBER($O743))),"Symbol not in Instruments; ","")&amp;IF(AND($AH743="",NOT(ISNUMBER($O743))),"Forex cross: type Gross P&amp;L; ",""))</f>
        <v/>
      </c>
      <c r="BH743" s="56">
        <f>IF(ISNUMBER($Q743),1,0)</f>
        <v>0</v>
      </c>
      <c r="BI743" s="56">
        <f>IF($Y743="",0,1)</f>
        <v>0</v>
      </c>
      <c r="BJ743" s="56">
        <f>IF($AB743="",0,1)</f>
        <v>0</v>
      </c>
      <c r="BK743" s="56">
        <f>IF(AND($BH743=1,$W743&lt;&gt;"OK"),1,0)</f>
        <v>0</v>
      </c>
      <c r="BL743" s="55">
        <f>IF(N($AZ743)=0,0,IFERROR(INDEX($AT$6:$AT$1005,MATCH($AZ743,$AY$6:$AY$1005,0)),0))</f>
        <v>1187.10688</v>
      </c>
      <c r="BM743" s="56">
        <f>IF(ISNUMBER(SEARCH("daily max loss",$BG743)),1,0)</f>
        <v>0</v>
      </c>
    </row>
    <row r="744" ht="18" customHeight="1">
      <c r="A744" s="38" t="n"/>
      <c r="B744" s="39" t="n"/>
      <c r="C744" s="40" t="n"/>
      <c r="D744" s="41" t="n"/>
      <c r="E744" s="41" t="n"/>
      <c r="F744" s="41" t="n"/>
      <c r="G744" s="41" t="n"/>
      <c r="H744" s="42" t="n"/>
      <c r="I744" s="42" t="n"/>
      <c r="J744" s="42" t="n"/>
      <c r="K744" s="42" t="n"/>
      <c r="L744" s="41" t="n"/>
      <c r="M744" s="41" t="n"/>
      <c r="N744" s="41" t="n"/>
      <c r="O744" s="43" t="n"/>
      <c r="P744" s="43" t="n"/>
      <c r="Q744" s="44" t="str">
        <f>IF($AM744=0,"",IF(ISNUMBER($AK744),$AK744-N($AL744),""))</f>
        <v/>
      </c>
      <c r="R744" s="45" t="str">
        <f>IF(OR($Q744="",NOT(ISNUMBER($V744))),"",$AK744/$V744)</f>
        <v/>
      </c>
      <c r="S744" s="46" t="str">
        <f>IF($Q744="","",IF(AND(ISNUMBER($R744),ABS(N($R744))&lt;N(Settings!$C$8)),"Scratch",IF($Q744&gt;0,"Win",IF($Q744&lt;0,"Loss","Scratch"))))</f>
        <v/>
      </c>
      <c r="T744" s="47" t="str">
        <f>IF(OR($AM744=0,NOT(ISNUMBER($H744)),NOT(ISNUMBER($I744)),NOT(ISNUMBER($J744))),"",IF($H744=$I744,"",ROUND(ABS($J744-$H744)/ABS($H744-$I744),6)))</f>
        <v/>
      </c>
      <c r="U744" s="48" t="str">
        <f>IF(OR($S744&lt;&gt;"Win",NOT(ISNUMBER($T744)),NOT(ISNUMBER($R744))),"",MAX(0,$T744-$R744))</f>
        <v/>
      </c>
      <c r="V744" s="49" t="str">
        <f>IF(OR($AM744=0,NOT(ISNUMBER($H744)),NOT(ISNUMBER($I744)),NOT(ISNUMBER($G744))),"",IF(OR($AG744="",$AH744=""),"",IF(ROUND(ABS($H744-$I744)*ABS($G744)*$AG744*$AH744,6)=0,"",ROUND(ABS($H744-$I744)*ABS($G744)*$AG744*$AH744,6))))</f>
        <v/>
      </c>
      <c r="W744" s="50" t="str">
        <f>IF($AM744=0,"",IF($BG744="","OK",LEFT($BG744,LEN($BG744)-2)))</f>
        <v/>
      </c>
      <c r="X744" s="41" t="n"/>
      <c r="Y744" s="40" t="n"/>
      <c r="Z744" s="41" t="n"/>
      <c r="AA744" s="41" t="n"/>
      <c r="AB744" s="40" t="n"/>
      <c r="AC744" s="51" t="n"/>
      <c r="AD744" s="51" t="n"/>
      <c r="AE744" s="40" t="n"/>
      <c r="AF744" s="52" t="str">
        <f>IF($AM744=0,"",IF($D744&lt;&gt;"",$D744,IF(IFERROR(INDEX(Accounts!$C$7:$C$16,MATCH($C744,Accounts!$B$7:$B$16,0))&amp;"","")&lt;&gt;"",INDEX(Accounts!$C$7:$C$16,MATCH($C744,Accounts!$B$7:$B$16,0)),Settings!$C$6)))</f>
        <v/>
      </c>
      <c r="AG744" s="53" t="str">
        <f>IF($AM744=0,"",IF(AND($BE744&gt;0,N(INDEX(Instruments!$D$6:$D$205,MAX(1,$BE744)))&gt;0),INDEX(Instruments!$D$6:$D$205,MAX(1,$BE744)),IF(N(INDEX(Settings!$D$14:$D$18,$BF744))&gt;0,INDEX(Settings!$D$14:$D$18,$BF744),"")))</f>
        <v/>
      </c>
      <c r="AH744" s="54" t="str">
        <f>IF($AM744=0,"",IF($AF744&lt;&gt;"Forex",1,IF(MID(UPPER(SUBSTITUTE(TRIM($E744),"/","")),4,3)=UPPER(TRIM(Settings!$C$7)),1,IF(LEFT(UPPER(SUBSTITUTE(TRIM($E744),"/","")),3)=UPPER(TRIM(Settings!$C$7)),IF(AND(ISNUMBER($K744),N($K744)&lt;&gt;0),1/$K744,""),""))))</f>
        <v/>
      </c>
      <c r="AI744" s="55" t="str">
        <f>IF($AM744=0,"",IF(OR(NOT(ISNUMBER($H744)),NOT(ISNUMBER($K744)),NOT(ISNUMBER($G744)),$AG744="",$AH744=""),"",ROUND(($K744-$H744)*IF($F744="Short",-1,1)*$G744*$AG744*$AH744,6)))</f>
        <v/>
      </c>
      <c r="AJ744" s="55" t="str">
        <f>IF($AM744=0,"",IF(INDEX(Settings!$E$14:$E$18,$BF744)="% of notional",IF(OR($AG744="",NOT(ISNUMBER($H744)),NOT(ISNUMBER($G744))),"",ROUND(ABS($H744*$G744*$AG744*N($AH744))*IF($L744="Limit",N(INDEX(Settings!$G$14:$G$18,$BF744)),N(INDEX(Settings!$H$14:$H$18,$BF744)))+IF(ISNUMBER($K744),ABS($K744*$G744*$AG744*N($AH744))*IF($M744="Target",N(INDEX(Settings!$G$14:$G$18,$BF744)),N(INDEX(Settings!$H$14:$H$18,$BF744))),0),6)),IF(NOT(ISNUMBER($G744)),"",ROUND(ABS($G744)*2*IF(AND($BE744&gt;0,ISNUMBER(INDEX(Instruments!$G$6:$G$205,MAX(1,$BE744)))),INDEX(Instruments!$G$6:$G$205,MAX(1,$BE744)),N(INDEX(Settings!$F$14:$F$18,$BF744))),6))))</f>
        <v/>
      </c>
      <c r="AK744" s="55" t="str">
        <f>IF($AM744=0,"",IF(ISNUMBER($O744),$O744,$AI744))</f>
        <v/>
      </c>
      <c r="AL744" s="55" t="str">
        <f>IF($AM744=0,"",IF(ISNUMBER($P744),$P744,N($AJ744)))</f>
        <v/>
      </c>
      <c r="AM744" s="56">
        <f>IF(AND($A744&lt;&gt;"",$E744&lt;&gt;"",OR(AND(ISNUMBER($G744),ISNUMBER($H744),ISNUMBER($K744)),ISNUMBER($O744))),1,0)</f>
        <v>0</v>
      </c>
      <c r="AN744" s="57" t="str">
        <f>IF($A744="","",$A744-WEEKDAY($A744,3))</f>
        <v/>
      </c>
      <c r="AO744" s="56" t="str">
        <f>IF($A744="","",WEEKDAY($A744,2))</f>
        <v/>
      </c>
      <c r="AP744" s="55" t="str">
        <f>IF(OR($AM744=0,$C744=""),"",IFERROR(N(INDEX(Accounts!$E$7:$E$16,MATCH($C744,Accounts!$B$7:$B$16,0))),0)+SUMIFS($Q$6:$Q744,$C$6:$C744,$C744))</f>
        <v/>
      </c>
      <c r="AQ744" s="55" t="str">
        <f>IF(OR($AM744=0,$C744=""),"",SUMIFS($Q$6:$Q$1005,$C$6:$C$1005,$C744,$A$6:$A$1005,$A744))</f>
        <v/>
      </c>
      <c r="AR744" s="55" t="str">
        <f>IF(OR($AM744=0,$C744=""),"",IFERROR(N(INDEX(Accounts!$E$7:$E$16,MATCH($C744,Accounts!$B$7:$B$16,0))),0)+SUMIFS($Q$6:$Q$1005,$C$6:$C$1005,$C744,$A$6:$A$1005,"&lt;="&amp;$A744))</f>
        <v/>
      </c>
      <c r="AS744" s="56">
        <f>IF(OR($AM744=0,$Q744=""),0,IF(AND($A744&gt;=Lists!$W$6,$A744&lt;=Lists!$W$7,OR(Dashboard!$D$6="All accounts",$C744=Dashboard!$D$6),OR(Dashboard!$D$7="All markets",$AF744=Dashboard!$D$7)),1,0))</f>
        <v>0</v>
      </c>
      <c r="AT744" s="55">
        <f>IF($AS744=1,N(AT743)+$Q744,N(AT743))</f>
        <v>1187.10688</v>
      </c>
      <c r="AU744" s="55">
        <f>MAX(N(AU743),$AT744)</f>
        <v>1187.10688</v>
      </c>
      <c r="AV744" s="55">
        <f>$AT744-$AU744</f>
        <v>0</v>
      </c>
      <c r="AW744" s="56">
        <f>IF($AS744=1,IF($S744="Win",N(AW743)+1,IF($S744="Loss",0,N(AW743))),N(AW743))</f>
        <v>5</v>
      </c>
      <c r="AX744" s="56">
        <f>IF($AS744=1,IF($S744="Loss",N(AX743)+1,IF($S744="Win",0,N(AX743))),N(AX743))</f>
        <v>0</v>
      </c>
      <c r="AY744" s="56" t="str">
        <f>IF($AS744=1,COUNTIF($AS$6:$AS744,1),"")</f>
        <v/>
      </c>
      <c r="AZ744" s="56">
        <f>MIN(738,N(Lists!$W$8))</f>
        <v>28</v>
      </c>
      <c r="BA744" s="56">
        <f>IF($AS744=1,IF(COUNTIFS($A$6:$A744,$A744,$AS$6:$AS744,1)=1,1,0),0)</f>
        <v>0</v>
      </c>
      <c r="BB744" s="55" t="str">
        <f>IF($BA744=1,SUMIFS($Q$6:$Q$1005,$A$6:$A$1005,$A744,$AS$6:$AS$1005,1),"")</f>
        <v/>
      </c>
      <c r="BC744" s="56">
        <f>IF(ISNUMBER($R744),1,0)</f>
        <v>0</v>
      </c>
      <c r="BD744" s="55" t="str">
        <f>IF(ISNUMBER($U744),$U744*$V744,"")</f>
        <v/>
      </c>
      <c r="BE744" s="56" t="str">
        <f>IF($AM744=0,"",IFERROR(MATCH($AF744&amp;"|"&amp;UPPER(TRIM($E744)),Lists!$A$6:$A$205,0),0))</f>
        <v/>
      </c>
      <c r="BF744" s="56" t="str">
        <f>IF($AM744=0,"",IFERROR(MATCH($AF744,Settings!$B$14:$B$18,0),IFERROR(MATCH(Settings!$C$6,Settings!$B$14:$B$18,0),1)))</f>
        <v/>
      </c>
      <c r="BG744" s="58" t="str">
        <f>IF($AM744=0,"",IF(NOT(ISNUMBER($I744)),"No stop; ","")&amp;IF(AND(ISNUMBER($H744),ISNUMBER($I744)),IF(OR(AND($F744&lt;&gt;"Short",$I744&gt;=$H744),AND($F744="Short",$I744&lt;=$H744)),"Stop on wrong side; ",""),"")&amp;IF($F744="","No direction; ","")&amp;IF(AND(ISNUMBER(Settings!$C$22),ISNUMBER($V744)),IF($V744&gt;Settings!$C$22,"Risk over max $; ",""),"")&amp;IF(AND(ISNUMBER(Settings!$C$23),ISNUMBER($V744),ISNUMBER($AP744),IFERROR(N(INDEX(Accounts!$E$7:$E$16,MATCH($C744,Accounts!$B$7:$B$16,0))),0)&gt;0),IF($V744&gt;Settings!$C$23*($AP744-N($Q744)),"Risk over max %; ",""),"")&amp;IF(AND(ISNUMBER(Settings!$C$24),ISNUMBER($N744)),IF($N744&gt;Settings!$C$24,"Leverage over max; ",""),"")&amp;IF(AND(ISNUMBER(Settings!$C$27),ISNUMBER($T744)),IF($T744&lt;Settings!$C$27,"R:R below min; ",""),"")&amp;IF(ISNUMBER(Settings!$C$25),IF(COUNTIFS($A$6:$A744,$A744,$AM$6:$AM744,1)&gt;Settings!$C$25,"Over max trades/day; ",""),"")&amp;IF(ISNUMBER(Settings!$C$26),IF(SUMIFS($Q$5:$Q743,$A$5:$A743,$A744)&lt;=-Settings!$C$26,"Traded after daily max loss; ",""),"")&amp;IF(AND($AG744="",NOT(ISNUMBER($O744))),"Symbol not in Instruments; ","")&amp;IF(AND($AH744="",NOT(ISNUMBER($O744))),"Forex cross: type Gross P&amp;L; ",""))</f>
        <v/>
      </c>
      <c r="BH744" s="56">
        <f>IF(ISNUMBER($Q744),1,0)</f>
        <v>0</v>
      </c>
      <c r="BI744" s="56">
        <f>IF($Y744="",0,1)</f>
        <v>0</v>
      </c>
      <c r="BJ744" s="56">
        <f>IF($AB744="",0,1)</f>
        <v>0</v>
      </c>
      <c r="BK744" s="56">
        <f>IF(AND($BH744=1,$W744&lt;&gt;"OK"),1,0)</f>
        <v>0</v>
      </c>
      <c r="BL744" s="55">
        <f>IF(N($AZ744)=0,0,IFERROR(INDEX($AT$6:$AT$1005,MATCH($AZ744,$AY$6:$AY$1005,0)),0))</f>
        <v>1187.10688</v>
      </c>
      <c r="BM744" s="56">
        <f>IF(ISNUMBER(SEARCH("daily max loss",$BG744)),1,0)</f>
        <v>0</v>
      </c>
    </row>
    <row r="745" ht="18" customHeight="1">
      <c r="A745" s="38" t="n"/>
      <c r="B745" s="39" t="n"/>
      <c r="C745" s="40" t="n"/>
      <c r="D745" s="41" t="n"/>
      <c r="E745" s="41" t="n"/>
      <c r="F745" s="41" t="n"/>
      <c r="G745" s="41" t="n"/>
      <c r="H745" s="42" t="n"/>
      <c r="I745" s="42" t="n"/>
      <c r="J745" s="42" t="n"/>
      <c r="K745" s="42" t="n"/>
      <c r="L745" s="41" t="n"/>
      <c r="M745" s="41" t="n"/>
      <c r="N745" s="41" t="n"/>
      <c r="O745" s="43" t="n"/>
      <c r="P745" s="43" t="n"/>
      <c r="Q745" s="44" t="str">
        <f>IF($AM745=0,"",IF(ISNUMBER($AK745),$AK745-N($AL745),""))</f>
        <v/>
      </c>
      <c r="R745" s="45" t="str">
        <f>IF(OR($Q745="",NOT(ISNUMBER($V745))),"",$AK745/$V745)</f>
        <v/>
      </c>
      <c r="S745" s="46" t="str">
        <f>IF($Q745="","",IF(AND(ISNUMBER($R745),ABS(N($R745))&lt;N(Settings!$C$8)),"Scratch",IF($Q745&gt;0,"Win",IF($Q745&lt;0,"Loss","Scratch"))))</f>
        <v/>
      </c>
      <c r="T745" s="47" t="str">
        <f>IF(OR($AM745=0,NOT(ISNUMBER($H745)),NOT(ISNUMBER($I745)),NOT(ISNUMBER($J745))),"",IF($H745=$I745,"",ROUND(ABS($J745-$H745)/ABS($H745-$I745),6)))</f>
        <v/>
      </c>
      <c r="U745" s="48" t="str">
        <f>IF(OR($S745&lt;&gt;"Win",NOT(ISNUMBER($T745)),NOT(ISNUMBER($R745))),"",MAX(0,$T745-$R745))</f>
        <v/>
      </c>
      <c r="V745" s="49" t="str">
        <f>IF(OR($AM745=0,NOT(ISNUMBER($H745)),NOT(ISNUMBER($I745)),NOT(ISNUMBER($G745))),"",IF(OR($AG745="",$AH745=""),"",IF(ROUND(ABS($H745-$I745)*ABS($G745)*$AG745*$AH745,6)=0,"",ROUND(ABS($H745-$I745)*ABS($G745)*$AG745*$AH745,6))))</f>
        <v/>
      </c>
      <c r="W745" s="50" t="str">
        <f>IF($AM745=0,"",IF($BG745="","OK",LEFT($BG745,LEN($BG745)-2)))</f>
        <v/>
      </c>
      <c r="X745" s="41" t="n"/>
      <c r="Y745" s="40" t="n"/>
      <c r="Z745" s="41" t="n"/>
      <c r="AA745" s="41" t="n"/>
      <c r="AB745" s="40" t="n"/>
      <c r="AC745" s="51" t="n"/>
      <c r="AD745" s="51" t="n"/>
      <c r="AE745" s="40" t="n"/>
      <c r="AF745" s="52" t="str">
        <f>IF($AM745=0,"",IF($D745&lt;&gt;"",$D745,IF(IFERROR(INDEX(Accounts!$C$7:$C$16,MATCH($C745,Accounts!$B$7:$B$16,0))&amp;"","")&lt;&gt;"",INDEX(Accounts!$C$7:$C$16,MATCH($C745,Accounts!$B$7:$B$16,0)),Settings!$C$6)))</f>
        <v/>
      </c>
      <c r="AG745" s="53" t="str">
        <f>IF($AM745=0,"",IF(AND($BE745&gt;0,N(INDEX(Instruments!$D$6:$D$205,MAX(1,$BE745)))&gt;0),INDEX(Instruments!$D$6:$D$205,MAX(1,$BE745)),IF(N(INDEX(Settings!$D$14:$D$18,$BF745))&gt;0,INDEX(Settings!$D$14:$D$18,$BF745),"")))</f>
        <v/>
      </c>
      <c r="AH745" s="54" t="str">
        <f>IF($AM745=0,"",IF($AF745&lt;&gt;"Forex",1,IF(MID(UPPER(SUBSTITUTE(TRIM($E745),"/","")),4,3)=UPPER(TRIM(Settings!$C$7)),1,IF(LEFT(UPPER(SUBSTITUTE(TRIM($E745),"/","")),3)=UPPER(TRIM(Settings!$C$7)),IF(AND(ISNUMBER($K745),N($K745)&lt;&gt;0),1/$K745,""),""))))</f>
        <v/>
      </c>
      <c r="AI745" s="55" t="str">
        <f>IF($AM745=0,"",IF(OR(NOT(ISNUMBER($H745)),NOT(ISNUMBER($K745)),NOT(ISNUMBER($G745)),$AG745="",$AH745=""),"",ROUND(($K745-$H745)*IF($F745="Short",-1,1)*$G745*$AG745*$AH745,6)))</f>
        <v/>
      </c>
      <c r="AJ745" s="55" t="str">
        <f>IF($AM745=0,"",IF(INDEX(Settings!$E$14:$E$18,$BF745)="% of notional",IF(OR($AG745="",NOT(ISNUMBER($H745)),NOT(ISNUMBER($G745))),"",ROUND(ABS($H745*$G745*$AG745*N($AH745))*IF($L745="Limit",N(INDEX(Settings!$G$14:$G$18,$BF745)),N(INDEX(Settings!$H$14:$H$18,$BF745)))+IF(ISNUMBER($K745),ABS($K745*$G745*$AG745*N($AH745))*IF($M745="Target",N(INDEX(Settings!$G$14:$G$18,$BF745)),N(INDEX(Settings!$H$14:$H$18,$BF745))),0),6)),IF(NOT(ISNUMBER($G745)),"",ROUND(ABS($G745)*2*IF(AND($BE745&gt;0,ISNUMBER(INDEX(Instruments!$G$6:$G$205,MAX(1,$BE745)))),INDEX(Instruments!$G$6:$G$205,MAX(1,$BE745)),N(INDEX(Settings!$F$14:$F$18,$BF745))),6))))</f>
        <v/>
      </c>
      <c r="AK745" s="55" t="str">
        <f>IF($AM745=0,"",IF(ISNUMBER($O745),$O745,$AI745))</f>
        <v/>
      </c>
      <c r="AL745" s="55" t="str">
        <f>IF($AM745=0,"",IF(ISNUMBER($P745),$P745,N($AJ745)))</f>
        <v/>
      </c>
      <c r="AM745" s="56">
        <f>IF(AND($A745&lt;&gt;"",$E745&lt;&gt;"",OR(AND(ISNUMBER($G745),ISNUMBER($H745),ISNUMBER($K745)),ISNUMBER($O745))),1,0)</f>
        <v>0</v>
      </c>
      <c r="AN745" s="57" t="str">
        <f>IF($A745="","",$A745-WEEKDAY($A745,3))</f>
        <v/>
      </c>
      <c r="AO745" s="56" t="str">
        <f>IF($A745="","",WEEKDAY($A745,2))</f>
        <v/>
      </c>
      <c r="AP745" s="55" t="str">
        <f>IF(OR($AM745=0,$C745=""),"",IFERROR(N(INDEX(Accounts!$E$7:$E$16,MATCH($C745,Accounts!$B$7:$B$16,0))),0)+SUMIFS($Q$6:$Q745,$C$6:$C745,$C745))</f>
        <v/>
      </c>
      <c r="AQ745" s="55" t="str">
        <f>IF(OR($AM745=0,$C745=""),"",SUMIFS($Q$6:$Q$1005,$C$6:$C$1005,$C745,$A$6:$A$1005,$A745))</f>
        <v/>
      </c>
      <c r="AR745" s="55" t="str">
        <f>IF(OR($AM745=0,$C745=""),"",IFERROR(N(INDEX(Accounts!$E$7:$E$16,MATCH($C745,Accounts!$B$7:$B$16,0))),0)+SUMIFS($Q$6:$Q$1005,$C$6:$C$1005,$C745,$A$6:$A$1005,"&lt;="&amp;$A745))</f>
        <v/>
      </c>
      <c r="AS745" s="56">
        <f>IF(OR($AM745=0,$Q745=""),0,IF(AND($A745&gt;=Lists!$W$6,$A745&lt;=Lists!$W$7,OR(Dashboard!$D$6="All accounts",$C745=Dashboard!$D$6),OR(Dashboard!$D$7="All markets",$AF745=Dashboard!$D$7)),1,0))</f>
        <v>0</v>
      </c>
      <c r="AT745" s="55">
        <f>IF($AS745=1,N(AT744)+$Q745,N(AT744))</f>
        <v>1187.10688</v>
      </c>
      <c r="AU745" s="55">
        <f>MAX(N(AU744),$AT745)</f>
        <v>1187.10688</v>
      </c>
      <c r="AV745" s="55">
        <f>$AT745-$AU745</f>
        <v>0</v>
      </c>
      <c r="AW745" s="56">
        <f>IF($AS745=1,IF($S745="Win",N(AW744)+1,IF($S745="Loss",0,N(AW744))),N(AW744))</f>
        <v>5</v>
      </c>
      <c r="AX745" s="56">
        <f>IF($AS745=1,IF($S745="Loss",N(AX744)+1,IF($S745="Win",0,N(AX744))),N(AX744))</f>
        <v>0</v>
      </c>
      <c r="AY745" s="56" t="str">
        <f>IF($AS745=1,COUNTIF($AS$6:$AS745,1),"")</f>
        <v/>
      </c>
      <c r="AZ745" s="56">
        <f>MIN(739,N(Lists!$W$8))</f>
        <v>28</v>
      </c>
      <c r="BA745" s="56">
        <f>IF($AS745=1,IF(COUNTIFS($A$6:$A745,$A745,$AS$6:$AS745,1)=1,1,0),0)</f>
        <v>0</v>
      </c>
      <c r="BB745" s="55" t="str">
        <f>IF($BA745=1,SUMIFS($Q$6:$Q$1005,$A$6:$A$1005,$A745,$AS$6:$AS$1005,1),"")</f>
        <v/>
      </c>
      <c r="BC745" s="56">
        <f>IF(ISNUMBER($R745),1,0)</f>
        <v>0</v>
      </c>
      <c r="BD745" s="55" t="str">
        <f>IF(ISNUMBER($U745),$U745*$V745,"")</f>
        <v/>
      </c>
      <c r="BE745" s="56" t="str">
        <f>IF($AM745=0,"",IFERROR(MATCH($AF745&amp;"|"&amp;UPPER(TRIM($E745)),Lists!$A$6:$A$205,0),0))</f>
        <v/>
      </c>
      <c r="BF745" s="56" t="str">
        <f>IF($AM745=0,"",IFERROR(MATCH($AF745,Settings!$B$14:$B$18,0),IFERROR(MATCH(Settings!$C$6,Settings!$B$14:$B$18,0),1)))</f>
        <v/>
      </c>
      <c r="BG745" s="58" t="str">
        <f>IF($AM745=0,"",IF(NOT(ISNUMBER($I745)),"No stop; ","")&amp;IF(AND(ISNUMBER($H745),ISNUMBER($I745)),IF(OR(AND($F745&lt;&gt;"Short",$I745&gt;=$H745),AND($F745="Short",$I745&lt;=$H745)),"Stop on wrong side; ",""),"")&amp;IF($F745="","No direction; ","")&amp;IF(AND(ISNUMBER(Settings!$C$22),ISNUMBER($V745)),IF($V745&gt;Settings!$C$22,"Risk over max $; ",""),"")&amp;IF(AND(ISNUMBER(Settings!$C$23),ISNUMBER($V745),ISNUMBER($AP745),IFERROR(N(INDEX(Accounts!$E$7:$E$16,MATCH($C745,Accounts!$B$7:$B$16,0))),0)&gt;0),IF($V745&gt;Settings!$C$23*($AP745-N($Q745)),"Risk over max %; ",""),"")&amp;IF(AND(ISNUMBER(Settings!$C$24),ISNUMBER($N745)),IF($N745&gt;Settings!$C$24,"Leverage over max; ",""),"")&amp;IF(AND(ISNUMBER(Settings!$C$27),ISNUMBER($T745)),IF($T745&lt;Settings!$C$27,"R:R below min; ",""),"")&amp;IF(ISNUMBER(Settings!$C$25),IF(COUNTIFS($A$6:$A745,$A745,$AM$6:$AM745,1)&gt;Settings!$C$25,"Over max trades/day; ",""),"")&amp;IF(ISNUMBER(Settings!$C$26),IF(SUMIFS($Q$5:$Q744,$A$5:$A744,$A745)&lt;=-Settings!$C$26,"Traded after daily max loss; ",""),"")&amp;IF(AND($AG745="",NOT(ISNUMBER($O745))),"Symbol not in Instruments; ","")&amp;IF(AND($AH745="",NOT(ISNUMBER($O745))),"Forex cross: type Gross P&amp;L; ",""))</f>
        <v/>
      </c>
      <c r="BH745" s="56">
        <f>IF(ISNUMBER($Q745),1,0)</f>
        <v>0</v>
      </c>
      <c r="BI745" s="56">
        <f>IF($Y745="",0,1)</f>
        <v>0</v>
      </c>
      <c r="BJ745" s="56">
        <f>IF($AB745="",0,1)</f>
        <v>0</v>
      </c>
      <c r="BK745" s="56">
        <f>IF(AND($BH745=1,$W745&lt;&gt;"OK"),1,0)</f>
        <v>0</v>
      </c>
      <c r="BL745" s="55">
        <f>IF(N($AZ745)=0,0,IFERROR(INDEX($AT$6:$AT$1005,MATCH($AZ745,$AY$6:$AY$1005,0)),0))</f>
        <v>1187.10688</v>
      </c>
      <c r="BM745" s="56">
        <f>IF(ISNUMBER(SEARCH("daily max loss",$BG745)),1,0)</f>
        <v>0</v>
      </c>
    </row>
    <row r="746" ht="18" customHeight="1">
      <c r="A746" s="38" t="n"/>
      <c r="B746" s="39" t="n"/>
      <c r="C746" s="40" t="n"/>
      <c r="D746" s="41" t="n"/>
      <c r="E746" s="41" t="n"/>
      <c r="F746" s="41" t="n"/>
      <c r="G746" s="41" t="n"/>
      <c r="H746" s="42" t="n"/>
      <c r="I746" s="42" t="n"/>
      <c r="J746" s="42" t="n"/>
      <c r="K746" s="42" t="n"/>
      <c r="L746" s="41" t="n"/>
      <c r="M746" s="41" t="n"/>
      <c r="N746" s="41" t="n"/>
      <c r="O746" s="43" t="n"/>
      <c r="P746" s="43" t="n"/>
      <c r="Q746" s="44" t="str">
        <f>IF($AM746=0,"",IF(ISNUMBER($AK746),$AK746-N($AL746),""))</f>
        <v/>
      </c>
      <c r="R746" s="45" t="str">
        <f>IF(OR($Q746="",NOT(ISNUMBER($V746))),"",$AK746/$V746)</f>
        <v/>
      </c>
      <c r="S746" s="46" t="str">
        <f>IF($Q746="","",IF(AND(ISNUMBER($R746),ABS(N($R746))&lt;N(Settings!$C$8)),"Scratch",IF($Q746&gt;0,"Win",IF($Q746&lt;0,"Loss","Scratch"))))</f>
        <v/>
      </c>
      <c r="T746" s="47" t="str">
        <f>IF(OR($AM746=0,NOT(ISNUMBER($H746)),NOT(ISNUMBER($I746)),NOT(ISNUMBER($J746))),"",IF($H746=$I746,"",ROUND(ABS($J746-$H746)/ABS($H746-$I746),6)))</f>
        <v/>
      </c>
      <c r="U746" s="48" t="str">
        <f>IF(OR($S746&lt;&gt;"Win",NOT(ISNUMBER($T746)),NOT(ISNUMBER($R746))),"",MAX(0,$T746-$R746))</f>
        <v/>
      </c>
      <c r="V746" s="49" t="str">
        <f>IF(OR($AM746=0,NOT(ISNUMBER($H746)),NOT(ISNUMBER($I746)),NOT(ISNUMBER($G746))),"",IF(OR($AG746="",$AH746=""),"",IF(ROUND(ABS($H746-$I746)*ABS($G746)*$AG746*$AH746,6)=0,"",ROUND(ABS($H746-$I746)*ABS($G746)*$AG746*$AH746,6))))</f>
        <v/>
      </c>
      <c r="W746" s="50" t="str">
        <f>IF($AM746=0,"",IF($BG746="","OK",LEFT($BG746,LEN($BG746)-2)))</f>
        <v/>
      </c>
      <c r="X746" s="41" t="n"/>
      <c r="Y746" s="40" t="n"/>
      <c r="Z746" s="41" t="n"/>
      <c r="AA746" s="41" t="n"/>
      <c r="AB746" s="40" t="n"/>
      <c r="AC746" s="51" t="n"/>
      <c r="AD746" s="51" t="n"/>
      <c r="AE746" s="40" t="n"/>
      <c r="AF746" s="52" t="str">
        <f>IF($AM746=0,"",IF($D746&lt;&gt;"",$D746,IF(IFERROR(INDEX(Accounts!$C$7:$C$16,MATCH($C746,Accounts!$B$7:$B$16,0))&amp;"","")&lt;&gt;"",INDEX(Accounts!$C$7:$C$16,MATCH($C746,Accounts!$B$7:$B$16,0)),Settings!$C$6)))</f>
        <v/>
      </c>
      <c r="AG746" s="53" t="str">
        <f>IF($AM746=0,"",IF(AND($BE746&gt;0,N(INDEX(Instruments!$D$6:$D$205,MAX(1,$BE746)))&gt;0),INDEX(Instruments!$D$6:$D$205,MAX(1,$BE746)),IF(N(INDEX(Settings!$D$14:$D$18,$BF746))&gt;0,INDEX(Settings!$D$14:$D$18,$BF746),"")))</f>
        <v/>
      </c>
      <c r="AH746" s="54" t="str">
        <f>IF($AM746=0,"",IF($AF746&lt;&gt;"Forex",1,IF(MID(UPPER(SUBSTITUTE(TRIM($E746),"/","")),4,3)=UPPER(TRIM(Settings!$C$7)),1,IF(LEFT(UPPER(SUBSTITUTE(TRIM($E746),"/","")),3)=UPPER(TRIM(Settings!$C$7)),IF(AND(ISNUMBER($K746),N($K746)&lt;&gt;0),1/$K746,""),""))))</f>
        <v/>
      </c>
      <c r="AI746" s="55" t="str">
        <f>IF($AM746=0,"",IF(OR(NOT(ISNUMBER($H746)),NOT(ISNUMBER($K746)),NOT(ISNUMBER($G746)),$AG746="",$AH746=""),"",ROUND(($K746-$H746)*IF($F746="Short",-1,1)*$G746*$AG746*$AH746,6)))</f>
        <v/>
      </c>
      <c r="AJ746" s="55" t="str">
        <f>IF($AM746=0,"",IF(INDEX(Settings!$E$14:$E$18,$BF746)="% of notional",IF(OR($AG746="",NOT(ISNUMBER($H746)),NOT(ISNUMBER($G746))),"",ROUND(ABS($H746*$G746*$AG746*N($AH746))*IF($L746="Limit",N(INDEX(Settings!$G$14:$G$18,$BF746)),N(INDEX(Settings!$H$14:$H$18,$BF746)))+IF(ISNUMBER($K746),ABS($K746*$G746*$AG746*N($AH746))*IF($M746="Target",N(INDEX(Settings!$G$14:$G$18,$BF746)),N(INDEX(Settings!$H$14:$H$18,$BF746))),0),6)),IF(NOT(ISNUMBER($G746)),"",ROUND(ABS($G746)*2*IF(AND($BE746&gt;0,ISNUMBER(INDEX(Instruments!$G$6:$G$205,MAX(1,$BE746)))),INDEX(Instruments!$G$6:$G$205,MAX(1,$BE746)),N(INDEX(Settings!$F$14:$F$18,$BF746))),6))))</f>
        <v/>
      </c>
      <c r="AK746" s="55" t="str">
        <f>IF($AM746=0,"",IF(ISNUMBER($O746),$O746,$AI746))</f>
        <v/>
      </c>
      <c r="AL746" s="55" t="str">
        <f>IF($AM746=0,"",IF(ISNUMBER($P746),$P746,N($AJ746)))</f>
        <v/>
      </c>
      <c r="AM746" s="56">
        <f>IF(AND($A746&lt;&gt;"",$E746&lt;&gt;"",OR(AND(ISNUMBER($G746),ISNUMBER($H746),ISNUMBER($K746)),ISNUMBER($O746))),1,0)</f>
        <v>0</v>
      </c>
      <c r="AN746" s="57" t="str">
        <f>IF($A746="","",$A746-WEEKDAY($A746,3))</f>
        <v/>
      </c>
      <c r="AO746" s="56" t="str">
        <f>IF($A746="","",WEEKDAY($A746,2))</f>
        <v/>
      </c>
      <c r="AP746" s="55" t="str">
        <f>IF(OR($AM746=0,$C746=""),"",IFERROR(N(INDEX(Accounts!$E$7:$E$16,MATCH($C746,Accounts!$B$7:$B$16,0))),0)+SUMIFS($Q$6:$Q746,$C$6:$C746,$C746))</f>
        <v/>
      </c>
      <c r="AQ746" s="55" t="str">
        <f>IF(OR($AM746=0,$C746=""),"",SUMIFS($Q$6:$Q$1005,$C$6:$C$1005,$C746,$A$6:$A$1005,$A746))</f>
        <v/>
      </c>
      <c r="AR746" s="55" t="str">
        <f>IF(OR($AM746=0,$C746=""),"",IFERROR(N(INDEX(Accounts!$E$7:$E$16,MATCH($C746,Accounts!$B$7:$B$16,0))),0)+SUMIFS($Q$6:$Q$1005,$C$6:$C$1005,$C746,$A$6:$A$1005,"&lt;="&amp;$A746))</f>
        <v/>
      </c>
      <c r="AS746" s="56">
        <f>IF(OR($AM746=0,$Q746=""),0,IF(AND($A746&gt;=Lists!$W$6,$A746&lt;=Lists!$W$7,OR(Dashboard!$D$6="All accounts",$C746=Dashboard!$D$6),OR(Dashboard!$D$7="All markets",$AF746=Dashboard!$D$7)),1,0))</f>
        <v>0</v>
      </c>
      <c r="AT746" s="55">
        <f>IF($AS746=1,N(AT745)+$Q746,N(AT745))</f>
        <v>1187.10688</v>
      </c>
      <c r="AU746" s="55">
        <f>MAX(N(AU745),$AT746)</f>
        <v>1187.10688</v>
      </c>
      <c r="AV746" s="55">
        <f>$AT746-$AU746</f>
        <v>0</v>
      </c>
      <c r="AW746" s="56">
        <f>IF($AS746=1,IF($S746="Win",N(AW745)+1,IF($S746="Loss",0,N(AW745))),N(AW745))</f>
        <v>5</v>
      </c>
      <c r="AX746" s="56">
        <f>IF($AS746=1,IF($S746="Loss",N(AX745)+1,IF($S746="Win",0,N(AX745))),N(AX745))</f>
        <v>0</v>
      </c>
      <c r="AY746" s="56" t="str">
        <f>IF($AS746=1,COUNTIF($AS$6:$AS746,1),"")</f>
        <v/>
      </c>
      <c r="AZ746" s="56">
        <f>MIN(740,N(Lists!$W$8))</f>
        <v>28</v>
      </c>
      <c r="BA746" s="56">
        <f>IF($AS746=1,IF(COUNTIFS($A$6:$A746,$A746,$AS$6:$AS746,1)=1,1,0),0)</f>
        <v>0</v>
      </c>
      <c r="BB746" s="55" t="str">
        <f>IF($BA746=1,SUMIFS($Q$6:$Q$1005,$A$6:$A$1005,$A746,$AS$6:$AS$1005,1),"")</f>
        <v/>
      </c>
      <c r="BC746" s="56">
        <f>IF(ISNUMBER($R746),1,0)</f>
        <v>0</v>
      </c>
      <c r="BD746" s="55" t="str">
        <f>IF(ISNUMBER($U746),$U746*$V746,"")</f>
        <v/>
      </c>
      <c r="BE746" s="56" t="str">
        <f>IF($AM746=0,"",IFERROR(MATCH($AF746&amp;"|"&amp;UPPER(TRIM($E746)),Lists!$A$6:$A$205,0),0))</f>
        <v/>
      </c>
      <c r="BF746" s="56" t="str">
        <f>IF($AM746=0,"",IFERROR(MATCH($AF746,Settings!$B$14:$B$18,0),IFERROR(MATCH(Settings!$C$6,Settings!$B$14:$B$18,0),1)))</f>
        <v/>
      </c>
      <c r="BG746" s="58" t="str">
        <f>IF($AM746=0,"",IF(NOT(ISNUMBER($I746)),"No stop; ","")&amp;IF(AND(ISNUMBER($H746),ISNUMBER($I746)),IF(OR(AND($F746&lt;&gt;"Short",$I746&gt;=$H746),AND($F746="Short",$I746&lt;=$H746)),"Stop on wrong side; ",""),"")&amp;IF($F746="","No direction; ","")&amp;IF(AND(ISNUMBER(Settings!$C$22),ISNUMBER($V746)),IF($V746&gt;Settings!$C$22,"Risk over max $; ",""),"")&amp;IF(AND(ISNUMBER(Settings!$C$23),ISNUMBER($V746),ISNUMBER($AP746),IFERROR(N(INDEX(Accounts!$E$7:$E$16,MATCH($C746,Accounts!$B$7:$B$16,0))),0)&gt;0),IF($V746&gt;Settings!$C$23*($AP746-N($Q746)),"Risk over max %; ",""),"")&amp;IF(AND(ISNUMBER(Settings!$C$24),ISNUMBER($N746)),IF($N746&gt;Settings!$C$24,"Leverage over max; ",""),"")&amp;IF(AND(ISNUMBER(Settings!$C$27),ISNUMBER($T746)),IF($T746&lt;Settings!$C$27,"R:R below min; ",""),"")&amp;IF(ISNUMBER(Settings!$C$25),IF(COUNTIFS($A$6:$A746,$A746,$AM$6:$AM746,1)&gt;Settings!$C$25,"Over max trades/day; ",""),"")&amp;IF(ISNUMBER(Settings!$C$26),IF(SUMIFS($Q$5:$Q745,$A$5:$A745,$A746)&lt;=-Settings!$C$26,"Traded after daily max loss; ",""),"")&amp;IF(AND($AG746="",NOT(ISNUMBER($O746))),"Symbol not in Instruments; ","")&amp;IF(AND($AH746="",NOT(ISNUMBER($O746))),"Forex cross: type Gross P&amp;L; ",""))</f>
        <v/>
      </c>
      <c r="BH746" s="56">
        <f>IF(ISNUMBER($Q746),1,0)</f>
        <v>0</v>
      </c>
      <c r="BI746" s="56">
        <f>IF($Y746="",0,1)</f>
        <v>0</v>
      </c>
      <c r="BJ746" s="56">
        <f>IF($AB746="",0,1)</f>
        <v>0</v>
      </c>
      <c r="BK746" s="56">
        <f>IF(AND($BH746=1,$W746&lt;&gt;"OK"),1,0)</f>
        <v>0</v>
      </c>
      <c r="BL746" s="55">
        <f>IF(N($AZ746)=0,0,IFERROR(INDEX($AT$6:$AT$1005,MATCH($AZ746,$AY$6:$AY$1005,0)),0))</f>
        <v>1187.10688</v>
      </c>
      <c r="BM746" s="56">
        <f>IF(ISNUMBER(SEARCH("daily max loss",$BG746)),1,0)</f>
        <v>0</v>
      </c>
    </row>
    <row r="747" ht="18" customHeight="1">
      <c r="A747" s="38" t="n"/>
      <c r="B747" s="39" t="n"/>
      <c r="C747" s="40" t="n"/>
      <c r="D747" s="41" t="n"/>
      <c r="E747" s="41" t="n"/>
      <c r="F747" s="41" t="n"/>
      <c r="G747" s="41" t="n"/>
      <c r="H747" s="42" t="n"/>
      <c r="I747" s="42" t="n"/>
      <c r="J747" s="42" t="n"/>
      <c r="K747" s="42" t="n"/>
      <c r="L747" s="41" t="n"/>
      <c r="M747" s="41" t="n"/>
      <c r="N747" s="41" t="n"/>
      <c r="O747" s="43" t="n"/>
      <c r="P747" s="43" t="n"/>
      <c r="Q747" s="44" t="str">
        <f>IF($AM747=0,"",IF(ISNUMBER($AK747),$AK747-N($AL747),""))</f>
        <v/>
      </c>
      <c r="R747" s="45" t="str">
        <f>IF(OR($Q747="",NOT(ISNUMBER($V747))),"",$AK747/$V747)</f>
        <v/>
      </c>
      <c r="S747" s="46" t="str">
        <f>IF($Q747="","",IF(AND(ISNUMBER($R747),ABS(N($R747))&lt;N(Settings!$C$8)),"Scratch",IF($Q747&gt;0,"Win",IF($Q747&lt;0,"Loss","Scratch"))))</f>
        <v/>
      </c>
      <c r="T747" s="47" t="str">
        <f>IF(OR($AM747=0,NOT(ISNUMBER($H747)),NOT(ISNUMBER($I747)),NOT(ISNUMBER($J747))),"",IF($H747=$I747,"",ROUND(ABS($J747-$H747)/ABS($H747-$I747),6)))</f>
        <v/>
      </c>
      <c r="U747" s="48" t="str">
        <f>IF(OR($S747&lt;&gt;"Win",NOT(ISNUMBER($T747)),NOT(ISNUMBER($R747))),"",MAX(0,$T747-$R747))</f>
        <v/>
      </c>
      <c r="V747" s="49" t="str">
        <f>IF(OR($AM747=0,NOT(ISNUMBER($H747)),NOT(ISNUMBER($I747)),NOT(ISNUMBER($G747))),"",IF(OR($AG747="",$AH747=""),"",IF(ROUND(ABS($H747-$I747)*ABS($G747)*$AG747*$AH747,6)=0,"",ROUND(ABS($H747-$I747)*ABS($G747)*$AG747*$AH747,6))))</f>
        <v/>
      </c>
      <c r="W747" s="50" t="str">
        <f>IF($AM747=0,"",IF($BG747="","OK",LEFT($BG747,LEN($BG747)-2)))</f>
        <v/>
      </c>
      <c r="X747" s="41" t="n"/>
      <c r="Y747" s="40" t="n"/>
      <c r="Z747" s="41" t="n"/>
      <c r="AA747" s="41" t="n"/>
      <c r="AB747" s="40" t="n"/>
      <c r="AC747" s="51" t="n"/>
      <c r="AD747" s="51" t="n"/>
      <c r="AE747" s="40" t="n"/>
      <c r="AF747" s="52" t="str">
        <f>IF($AM747=0,"",IF($D747&lt;&gt;"",$D747,IF(IFERROR(INDEX(Accounts!$C$7:$C$16,MATCH($C747,Accounts!$B$7:$B$16,0))&amp;"","")&lt;&gt;"",INDEX(Accounts!$C$7:$C$16,MATCH($C747,Accounts!$B$7:$B$16,0)),Settings!$C$6)))</f>
        <v/>
      </c>
      <c r="AG747" s="53" t="str">
        <f>IF($AM747=0,"",IF(AND($BE747&gt;0,N(INDEX(Instruments!$D$6:$D$205,MAX(1,$BE747)))&gt;0),INDEX(Instruments!$D$6:$D$205,MAX(1,$BE747)),IF(N(INDEX(Settings!$D$14:$D$18,$BF747))&gt;0,INDEX(Settings!$D$14:$D$18,$BF747),"")))</f>
        <v/>
      </c>
      <c r="AH747" s="54" t="str">
        <f>IF($AM747=0,"",IF($AF747&lt;&gt;"Forex",1,IF(MID(UPPER(SUBSTITUTE(TRIM($E747),"/","")),4,3)=UPPER(TRIM(Settings!$C$7)),1,IF(LEFT(UPPER(SUBSTITUTE(TRIM($E747),"/","")),3)=UPPER(TRIM(Settings!$C$7)),IF(AND(ISNUMBER($K747),N($K747)&lt;&gt;0),1/$K747,""),""))))</f>
        <v/>
      </c>
      <c r="AI747" s="55" t="str">
        <f>IF($AM747=0,"",IF(OR(NOT(ISNUMBER($H747)),NOT(ISNUMBER($K747)),NOT(ISNUMBER($G747)),$AG747="",$AH747=""),"",ROUND(($K747-$H747)*IF($F747="Short",-1,1)*$G747*$AG747*$AH747,6)))</f>
        <v/>
      </c>
      <c r="AJ747" s="55" t="str">
        <f>IF($AM747=0,"",IF(INDEX(Settings!$E$14:$E$18,$BF747)="% of notional",IF(OR($AG747="",NOT(ISNUMBER($H747)),NOT(ISNUMBER($G747))),"",ROUND(ABS($H747*$G747*$AG747*N($AH747))*IF($L747="Limit",N(INDEX(Settings!$G$14:$G$18,$BF747)),N(INDEX(Settings!$H$14:$H$18,$BF747)))+IF(ISNUMBER($K747),ABS($K747*$G747*$AG747*N($AH747))*IF($M747="Target",N(INDEX(Settings!$G$14:$G$18,$BF747)),N(INDEX(Settings!$H$14:$H$18,$BF747))),0),6)),IF(NOT(ISNUMBER($G747)),"",ROUND(ABS($G747)*2*IF(AND($BE747&gt;0,ISNUMBER(INDEX(Instruments!$G$6:$G$205,MAX(1,$BE747)))),INDEX(Instruments!$G$6:$G$205,MAX(1,$BE747)),N(INDEX(Settings!$F$14:$F$18,$BF747))),6))))</f>
        <v/>
      </c>
      <c r="AK747" s="55" t="str">
        <f>IF($AM747=0,"",IF(ISNUMBER($O747),$O747,$AI747))</f>
        <v/>
      </c>
      <c r="AL747" s="55" t="str">
        <f>IF($AM747=0,"",IF(ISNUMBER($P747),$P747,N($AJ747)))</f>
        <v/>
      </c>
      <c r="AM747" s="56">
        <f>IF(AND($A747&lt;&gt;"",$E747&lt;&gt;"",OR(AND(ISNUMBER($G747),ISNUMBER($H747),ISNUMBER($K747)),ISNUMBER($O747))),1,0)</f>
        <v>0</v>
      </c>
      <c r="AN747" s="57" t="str">
        <f>IF($A747="","",$A747-WEEKDAY($A747,3))</f>
        <v/>
      </c>
      <c r="AO747" s="56" t="str">
        <f>IF($A747="","",WEEKDAY($A747,2))</f>
        <v/>
      </c>
      <c r="AP747" s="55" t="str">
        <f>IF(OR($AM747=0,$C747=""),"",IFERROR(N(INDEX(Accounts!$E$7:$E$16,MATCH($C747,Accounts!$B$7:$B$16,0))),0)+SUMIFS($Q$6:$Q747,$C$6:$C747,$C747))</f>
        <v/>
      </c>
      <c r="AQ747" s="55" t="str">
        <f>IF(OR($AM747=0,$C747=""),"",SUMIFS($Q$6:$Q$1005,$C$6:$C$1005,$C747,$A$6:$A$1005,$A747))</f>
        <v/>
      </c>
      <c r="AR747" s="55" t="str">
        <f>IF(OR($AM747=0,$C747=""),"",IFERROR(N(INDEX(Accounts!$E$7:$E$16,MATCH($C747,Accounts!$B$7:$B$16,0))),0)+SUMIFS($Q$6:$Q$1005,$C$6:$C$1005,$C747,$A$6:$A$1005,"&lt;="&amp;$A747))</f>
        <v/>
      </c>
      <c r="AS747" s="56">
        <f>IF(OR($AM747=0,$Q747=""),0,IF(AND($A747&gt;=Lists!$W$6,$A747&lt;=Lists!$W$7,OR(Dashboard!$D$6="All accounts",$C747=Dashboard!$D$6),OR(Dashboard!$D$7="All markets",$AF747=Dashboard!$D$7)),1,0))</f>
        <v>0</v>
      </c>
      <c r="AT747" s="55">
        <f>IF($AS747=1,N(AT746)+$Q747,N(AT746))</f>
        <v>1187.10688</v>
      </c>
      <c r="AU747" s="55">
        <f>MAX(N(AU746),$AT747)</f>
        <v>1187.10688</v>
      </c>
      <c r="AV747" s="55">
        <f>$AT747-$AU747</f>
        <v>0</v>
      </c>
      <c r="AW747" s="56">
        <f>IF($AS747=1,IF($S747="Win",N(AW746)+1,IF($S747="Loss",0,N(AW746))),N(AW746))</f>
        <v>5</v>
      </c>
      <c r="AX747" s="56">
        <f>IF($AS747=1,IF($S747="Loss",N(AX746)+1,IF($S747="Win",0,N(AX746))),N(AX746))</f>
        <v>0</v>
      </c>
      <c r="AY747" s="56" t="str">
        <f>IF($AS747=1,COUNTIF($AS$6:$AS747,1),"")</f>
        <v/>
      </c>
      <c r="AZ747" s="56">
        <f>MIN(741,N(Lists!$W$8))</f>
        <v>28</v>
      </c>
      <c r="BA747" s="56">
        <f>IF($AS747=1,IF(COUNTIFS($A$6:$A747,$A747,$AS$6:$AS747,1)=1,1,0),0)</f>
        <v>0</v>
      </c>
      <c r="BB747" s="55" t="str">
        <f>IF($BA747=1,SUMIFS($Q$6:$Q$1005,$A$6:$A$1005,$A747,$AS$6:$AS$1005,1),"")</f>
        <v/>
      </c>
      <c r="BC747" s="56">
        <f>IF(ISNUMBER($R747),1,0)</f>
        <v>0</v>
      </c>
      <c r="BD747" s="55" t="str">
        <f>IF(ISNUMBER($U747),$U747*$V747,"")</f>
        <v/>
      </c>
      <c r="BE747" s="56" t="str">
        <f>IF($AM747=0,"",IFERROR(MATCH($AF747&amp;"|"&amp;UPPER(TRIM($E747)),Lists!$A$6:$A$205,0),0))</f>
        <v/>
      </c>
      <c r="BF747" s="56" t="str">
        <f>IF($AM747=0,"",IFERROR(MATCH($AF747,Settings!$B$14:$B$18,0),IFERROR(MATCH(Settings!$C$6,Settings!$B$14:$B$18,0),1)))</f>
        <v/>
      </c>
      <c r="BG747" s="58" t="str">
        <f>IF($AM747=0,"",IF(NOT(ISNUMBER($I747)),"No stop; ","")&amp;IF(AND(ISNUMBER($H747),ISNUMBER($I747)),IF(OR(AND($F747&lt;&gt;"Short",$I747&gt;=$H747),AND($F747="Short",$I747&lt;=$H747)),"Stop on wrong side; ",""),"")&amp;IF($F747="","No direction; ","")&amp;IF(AND(ISNUMBER(Settings!$C$22),ISNUMBER($V747)),IF($V747&gt;Settings!$C$22,"Risk over max $; ",""),"")&amp;IF(AND(ISNUMBER(Settings!$C$23),ISNUMBER($V747),ISNUMBER($AP747),IFERROR(N(INDEX(Accounts!$E$7:$E$16,MATCH($C747,Accounts!$B$7:$B$16,0))),0)&gt;0),IF($V747&gt;Settings!$C$23*($AP747-N($Q747)),"Risk over max %; ",""),"")&amp;IF(AND(ISNUMBER(Settings!$C$24),ISNUMBER($N747)),IF($N747&gt;Settings!$C$24,"Leverage over max; ",""),"")&amp;IF(AND(ISNUMBER(Settings!$C$27),ISNUMBER($T747)),IF($T747&lt;Settings!$C$27,"R:R below min; ",""),"")&amp;IF(ISNUMBER(Settings!$C$25),IF(COUNTIFS($A$6:$A747,$A747,$AM$6:$AM747,1)&gt;Settings!$C$25,"Over max trades/day; ",""),"")&amp;IF(ISNUMBER(Settings!$C$26),IF(SUMIFS($Q$5:$Q746,$A$5:$A746,$A747)&lt;=-Settings!$C$26,"Traded after daily max loss; ",""),"")&amp;IF(AND($AG747="",NOT(ISNUMBER($O747))),"Symbol not in Instruments; ","")&amp;IF(AND($AH747="",NOT(ISNUMBER($O747))),"Forex cross: type Gross P&amp;L; ",""))</f>
        <v/>
      </c>
      <c r="BH747" s="56">
        <f>IF(ISNUMBER($Q747),1,0)</f>
        <v>0</v>
      </c>
      <c r="BI747" s="56">
        <f>IF($Y747="",0,1)</f>
        <v>0</v>
      </c>
      <c r="BJ747" s="56">
        <f>IF($AB747="",0,1)</f>
        <v>0</v>
      </c>
      <c r="BK747" s="56">
        <f>IF(AND($BH747=1,$W747&lt;&gt;"OK"),1,0)</f>
        <v>0</v>
      </c>
      <c r="BL747" s="55">
        <f>IF(N($AZ747)=0,0,IFERROR(INDEX($AT$6:$AT$1005,MATCH($AZ747,$AY$6:$AY$1005,0)),0))</f>
        <v>1187.10688</v>
      </c>
      <c r="BM747" s="56">
        <f>IF(ISNUMBER(SEARCH("daily max loss",$BG747)),1,0)</f>
        <v>0</v>
      </c>
    </row>
    <row r="748" ht="18" customHeight="1">
      <c r="A748" s="38" t="n"/>
      <c r="B748" s="39" t="n"/>
      <c r="C748" s="40" t="n"/>
      <c r="D748" s="41" t="n"/>
      <c r="E748" s="41" t="n"/>
      <c r="F748" s="41" t="n"/>
      <c r="G748" s="41" t="n"/>
      <c r="H748" s="42" t="n"/>
      <c r="I748" s="42" t="n"/>
      <c r="J748" s="42" t="n"/>
      <c r="K748" s="42" t="n"/>
      <c r="L748" s="41" t="n"/>
      <c r="M748" s="41" t="n"/>
      <c r="N748" s="41" t="n"/>
      <c r="O748" s="43" t="n"/>
      <c r="P748" s="43" t="n"/>
      <c r="Q748" s="44" t="str">
        <f>IF($AM748=0,"",IF(ISNUMBER($AK748),$AK748-N($AL748),""))</f>
        <v/>
      </c>
      <c r="R748" s="45" t="str">
        <f>IF(OR($Q748="",NOT(ISNUMBER($V748))),"",$AK748/$V748)</f>
        <v/>
      </c>
      <c r="S748" s="46" t="str">
        <f>IF($Q748="","",IF(AND(ISNUMBER($R748),ABS(N($R748))&lt;N(Settings!$C$8)),"Scratch",IF($Q748&gt;0,"Win",IF($Q748&lt;0,"Loss","Scratch"))))</f>
        <v/>
      </c>
      <c r="T748" s="47" t="str">
        <f>IF(OR($AM748=0,NOT(ISNUMBER($H748)),NOT(ISNUMBER($I748)),NOT(ISNUMBER($J748))),"",IF($H748=$I748,"",ROUND(ABS($J748-$H748)/ABS($H748-$I748),6)))</f>
        <v/>
      </c>
      <c r="U748" s="48" t="str">
        <f>IF(OR($S748&lt;&gt;"Win",NOT(ISNUMBER($T748)),NOT(ISNUMBER($R748))),"",MAX(0,$T748-$R748))</f>
        <v/>
      </c>
      <c r="V748" s="49" t="str">
        <f>IF(OR($AM748=0,NOT(ISNUMBER($H748)),NOT(ISNUMBER($I748)),NOT(ISNUMBER($G748))),"",IF(OR($AG748="",$AH748=""),"",IF(ROUND(ABS($H748-$I748)*ABS($G748)*$AG748*$AH748,6)=0,"",ROUND(ABS($H748-$I748)*ABS($G748)*$AG748*$AH748,6))))</f>
        <v/>
      </c>
      <c r="W748" s="50" t="str">
        <f>IF($AM748=0,"",IF($BG748="","OK",LEFT($BG748,LEN($BG748)-2)))</f>
        <v/>
      </c>
      <c r="X748" s="41" t="n"/>
      <c r="Y748" s="40" t="n"/>
      <c r="Z748" s="41" t="n"/>
      <c r="AA748" s="41" t="n"/>
      <c r="AB748" s="40" t="n"/>
      <c r="AC748" s="51" t="n"/>
      <c r="AD748" s="51" t="n"/>
      <c r="AE748" s="40" t="n"/>
      <c r="AF748" s="52" t="str">
        <f>IF($AM748=0,"",IF($D748&lt;&gt;"",$D748,IF(IFERROR(INDEX(Accounts!$C$7:$C$16,MATCH($C748,Accounts!$B$7:$B$16,0))&amp;"","")&lt;&gt;"",INDEX(Accounts!$C$7:$C$16,MATCH($C748,Accounts!$B$7:$B$16,0)),Settings!$C$6)))</f>
        <v/>
      </c>
      <c r="AG748" s="53" t="str">
        <f>IF($AM748=0,"",IF(AND($BE748&gt;0,N(INDEX(Instruments!$D$6:$D$205,MAX(1,$BE748)))&gt;0),INDEX(Instruments!$D$6:$D$205,MAX(1,$BE748)),IF(N(INDEX(Settings!$D$14:$D$18,$BF748))&gt;0,INDEX(Settings!$D$14:$D$18,$BF748),"")))</f>
        <v/>
      </c>
      <c r="AH748" s="54" t="str">
        <f>IF($AM748=0,"",IF($AF748&lt;&gt;"Forex",1,IF(MID(UPPER(SUBSTITUTE(TRIM($E748),"/","")),4,3)=UPPER(TRIM(Settings!$C$7)),1,IF(LEFT(UPPER(SUBSTITUTE(TRIM($E748),"/","")),3)=UPPER(TRIM(Settings!$C$7)),IF(AND(ISNUMBER($K748),N($K748)&lt;&gt;0),1/$K748,""),""))))</f>
        <v/>
      </c>
      <c r="AI748" s="55" t="str">
        <f>IF($AM748=0,"",IF(OR(NOT(ISNUMBER($H748)),NOT(ISNUMBER($K748)),NOT(ISNUMBER($G748)),$AG748="",$AH748=""),"",ROUND(($K748-$H748)*IF($F748="Short",-1,1)*$G748*$AG748*$AH748,6)))</f>
        <v/>
      </c>
      <c r="AJ748" s="55" t="str">
        <f>IF($AM748=0,"",IF(INDEX(Settings!$E$14:$E$18,$BF748)="% of notional",IF(OR($AG748="",NOT(ISNUMBER($H748)),NOT(ISNUMBER($G748))),"",ROUND(ABS($H748*$G748*$AG748*N($AH748))*IF($L748="Limit",N(INDEX(Settings!$G$14:$G$18,$BF748)),N(INDEX(Settings!$H$14:$H$18,$BF748)))+IF(ISNUMBER($K748),ABS($K748*$G748*$AG748*N($AH748))*IF($M748="Target",N(INDEX(Settings!$G$14:$G$18,$BF748)),N(INDEX(Settings!$H$14:$H$18,$BF748))),0),6)),IF(NOT(ISNUMBER($G748)),"",ROUND(ABS($G748)*2*IF(AND($BE748&gt;0,ISNUMBER(INDEX(Instruments!$G$6:$G$205,MAX(1,$BE748)))),INDEX(Instruments!$G$6:$G$205,MAX(1,$BE748)),N(INDEX(Settings!$F$14:$F$18,$BF748))),6))))</f>
        <v/>
      </c>
      <c r="AK748" s="55" t="str">
        <f>IF($AM748=0,"",IF(ISNUMBER($O748),$O748,$AI748))</f>
        <v/>
      </c>
      <c r="AL748" s="55" t="str">
        <f>IF($AM748=0,"",IF(ISNUMBER($P748),$P748,N($AJ748)))</f>
        <v/>
      </c>
      <c r="AM748" s="56">
        <f>IF(AND($A748&lt;&gt;"",$E748&lt;&gt;"",OR(AND(ISNUMBER($G748),ISNUMBER($H748),ISNUMBER($K748)),ISNUMBER($O748))),1,0)</f>
        <v>0</v>
      </c>
      <c r="AN748" s="57" t="str">
        <f>IF($A748="","",$A748-WEEKDAY($A748,3))</f>
        <v/>
      </c>
      <c r="AO748" s="56" t="str">
        <f>IF($A748="","",WEEKDAY($A748,2))</f>
        <v/>
      </c>
      <c r="AP748" s="55" t="str">
        <f>IF(OR($AM748=0,$C748=""),"",IFERROR(N(INDEX(Accounts!$E$7:$E$16,MATCH($C748,Accounts!$B$7:$B$16,0))),0)+SUMIFS($Q$6:$Q748,$C$6:$C748,$C748))</f>
        <v/>
      </c>
      <c r="AQ748" s="55" t="str">
        <f>IF(OR($AM748=0,$C748=""),"",SUMIFS($Q$6:$Q$1005,$C$6:$C$1005,$C748,$A$6:$A$1005,$A748))</f>
        <v/>
      </c>
      <c r="AR748" s="55" t="str">
        <f>IF(OR($AM748=0,$C748=""),"",IFERROR(N(INDEX(Accounts!$E$7:$E$16,MATCH($C748,Accounts!$B$7:$B$16,0))),0)+SUMIFS($Q$6:$Q$1005,$C$6:$C$1005,$C748,$A$6:$A$1005,"&lt;="&amp;$A748))</f>
        <v/>
      </c>
      <c r="AS748" s="56">
        <f>IF(OR($AM748=0,$Q748=""),0,IF(AND($A748&gt;=Lists!$W$6,$A748&lt;=Lists!$W$7,OR(Dashboard!$D$6="All accounts",$C748=Dashboard!$D$6),OR(Dashboard!$D$7="All markets",$AF748=Dashboard!$D$7)),1,0))</f>
        <v>0</v>
      </c>
      <c r="AT748" s="55">
        <f>IF($AS748=1,N(AT747)+$Q748,N(AT747))</f>
        <v>1187.10688</v>
      </c>
      <c r="AU748" s="55">
        <f>MAX(N(AU747),$AT748)</f>
        <v>1187.10688</v>
      </c>
      <c r="AV748" s="55">
        <f>$AT748-$AU748</f>
        <v>0</v>
      </c>
      <c r="AW748" s="56">
        <f>IF($AS748=1,IF($S748="Win",N(AW747)+1,IF($S748="Loss",0,N(AW747))),N(AW747))</f>
        <v>5</v>
      </c>
      <c r="AX748" s="56">
        <f>IF($AS748=1,IF($S748="Loss",N(AX747)+1,IF($S748="Win",0,N(AX747))),N(AX747))</f>
        <v>0</v>
      </c>
      <c r="AY748" s="56" t="str">
        <f>IF($AS748=1,COUNTIF($AS$6:$AS748,1),"")</f>
        <v/>
      </c>
      <c r="AZ748" s="56">
        <f>MIN(742,N(Lists!$W$8))</f>
        <v>28</v>
      </c>
      <c r="BA748" s="56">
        <f>IF($AS748=1,IF(COUNTIFS($A$6:$A748,$A748,$AS$6:$AS748,1)=1,1,0),0)</f>
        <v>0</v>
      </c>
      <c r="BB748" s="55" t="str">
        <f>IF($BA748=1,SUMIFS($Q$6:$Q$1005,$A$6:$A$1005,$A748,$AS$6:$AS$1005,1),"")</f>
        <v/>
      </c>
      <c r="BC748" s="56">
        <f>IF(ISNUMBER($R748),1,0)</f>
        <v>0</v>
      </c>
      <c r="BD748" s="55" t="str">
        <f>IF(ISNUMBER($U748),$U748*$V748,"")</f>
        <v/>
      </c>
      <c r="BE748" s="56" t="str">
        <f>IF($AM748=0,"",IFERROR(MATCH($AF748&amp;"|"&amp;UPPER(TRIM($E748)),Lists!$A$6:$A$205,0),0))</f>
        <v/>
      </c>
      <c r="BF748" s="56" t="str">
        <f>IF($AM748=0,"",IFERROR(MATCH($AF748,Settings!$B$14:$B$18,0),IFERROR(MATCH(Settings!$C$6,Settings!$B$14:$B$18,0),1)))</f>
        <v/>
      </c>
      <c r="BG748" s="58" t="str">
        <f>IF($AM748=0,"",IF(NOT(ISNUMBER($I748)),"No stop; ","")&amp;IF(AND(ISNUMBER($H748),ISNUMBER($I748)),IF(OR(AND($F748&lt;&gt;"Short",$I748&gt;=$H748),AND($F748="Short",$I748&lt;=$H748)),"Stop on wrong side; ",""),"")&amp;IF($F748="","No direction; ","")&amp;IF(AND(ISNUMBER(Settings!$C$22),ISNUMBER($V748)),IF($V748&gt;Settings!$C$22,"Risk over max $; ",""),"")&amp;IF(AND(ISNUMBER(Settings!$C$23),ISNUMBER($V748),ISNUMBER($AP748),IFERROR(N(INDEX(Accounts!$E$7:$E$16,MATCH($C748,Accounts!$B$7:$B$16,0))),0)&gt;0),IF($V748&gt;Settings!$C$23*($AP748-N($Q748)),"Risk over max %; ",""),"")&amp;IF(AND(ISNUMBER(Settings!$C$24),ISNUMBER($N748)),IF($N748&gt;Settings!$C$24,"Leverage over max; ",""),"")&amp;IF(AND(ISNUMBER(Settings!$C$27),ISNUMBER($T748)),IF($T748&lt;Settings!$C$27,"R:R below min; ",""),"")&amp;IF(ISNUMBER(Settings!$C$25),IF(COUNTIFS($A$6:$A748,$A748,$AM$6:$AM748,1)&gt;Settings!$C$25,"Over max trades/day; ",""),"")&amp;IF(ISNUMBER(Settings!$C$26),IF(SUMIFS($Q$5:$Q747,$A$5:$A747,$A748)&lt;=-Settings!$C$26,"Traded after daily max loss; ",""),"")&amp;IF(AND($AG748="",NOT(ISNUMBER($O748))),"Symbol not in Instruments; ","")&amp;IF(AND($AH748="",NOT(ISNUMBER($O748))),"Forex cross: type Gross P&amp;L; ",""))</f>
        <v/>
      </c>
      <c r="BH748" s="56">
        <f>IF(ISNUMBER($Q748),1,0)</f>
        <v>0</v>
      </c>
      <c r="BI748" s="56">
        <f>IF($Y748="",0,1)</f>
        <v>0</v>
      </c>
      <c r="BJ748" s="56">
        <f>IF($AB748="",0,1)</f>
        <v>0</v>
      </c>
      <c r="BK748" s="56">
        <f>IF(AND($BH748=1,$W748&lt;&gt;"OK"),1,0)</f>
        <v>0</v>
      </c>
      <c r="BL748" s="55">
        <f>IF(N($AZ748)=0,0,IFERROR(INDEX($AT$6:$AT$1005,MATCH($AZ748,$AY$6:$AY$1005,0)),0))</f>
        <v>1187.10688</v>
      </c>
      <c r="BM748" s="56">
        <f>IF(ISNUMBER(SEARCH("daily max loss",$BG748)),1,0)</f>
        <v>0</v>
      </c>
    </row>
    <row r="749" ht="18" customHeight="1">
      <c r="A749" s="38" t="n"/>
      <c r="B749" s="39" t="n"/>
      <c r="C749" s="40" t="n"/>
      <c r="D749" s="41" t="n"/>
      <c r="E749" s="41" t="n"/>
      <c r="F749" s="41" t="n"/>
      <c r="G749" s="41" t="n"/>
      <c r="H749" s="42" t="n"/>
      <c r="I749" s="42" t="n"/>
      <c r="J749" s="42" t="n"/>
      <c r="K749" s="42" t="n"/>
      <c r="L749" s="41" t="n"/>
      <c r="M749" s="41" t="n"/>
      <c r="N749" s="41" t="n"/>
      <c r="O749" s="43" t="n"/>
      <c r="P749" s="43" t="n"/>
      <c r="Q749" s="44" t="str">
        <f>IF($AM749=0,"",IF(ISNUMBER($AK749),$AK749-N($AL749),""))</f>
        <v/>
      </c>
      <c r="R749" s="45" t="str">
        <f>IF(OR($Q749="",NOT(ISNUMBER($V749))),"",$AK749/$V749)</f>
        <v/>
      </c>
      <c r="S749" s="46" t="str">
        <f>IF($Q749="","",IF(AND(ISNUMBER($R749),ABS(N($R749))&lt;N(Settings!$C$8)),"Scratch",IF($Q749&gt;0,"Win",IF($Q749&lt;0,"Loss","Scratch"))))</f>
        <v/>
      </c>
      <c r="T749" s="47" t="str">
        <f>IF(OR($AM749=0,NOT(ISNUMBER($H749)),NOT(ISNUMBER($I749)),NOT(ISNUMBER($J749))),"",IF($H749=$I749,"",ROUND(ABS($J749-$H749)/ABS($H749-$I749),6)))</f>
        <v/>
      </c>
      <c r="U749" s="48" t="str">
        <f>IF(OR($S749&lt;&gt;"Win",NOT(ISNUMBER($T749)),NOT(ISNUMBER($R749))),"",MAX(0,$T749-$R749))</f>
        <v/>
      </c>
      <c r="V749" s="49" t="str">
        <f>IF(OR($AM749=0,NOT(ISNUMBER($H749)),NOT(ISNUMBER($I749)),NOT(ISNUMBER($G749))),"",IF(OR($AG749="",$AH749=""),"",IF(ROUND(ABS($H749-$I749)*ABS($G749)*$AG749*$AH749,6)=0,"",ROUND(ABS($H749-$I749)*ABS($G749)*$AG749*$AH749,6))))</f>
        <v/>
      </c>
      <c r="W749" s="50" t="str">
        <f>IF($AM749=0,"",IF($BG749="","OK",LEFT($BG749,LEN($BG749)-2)))</f>
        <v/>
      </c>
      <c r="X749" s="41" t="n"/>
      <c r="Y749" s="40" t="n"/>
      <c r="Z749" s="41" t="n"/>
      <c r="AA749" s="41" t="n"/>
      <c r="AB749" s="40" t="n"/>
      <c r="AC749" s="51" t="n"/>
      <c r="AD749" s="51" t="n"/>
      <c r="AE749" s="40" t="n"/>
      <c r="AF749" s="52" t="str">
        <f>IF($AM749=0,"",IF($D749&lt;&gt;"",$D749,IF(IFERROR(INDEX(Accounts!$C$7:$C$16,MATCH($C749,Accounts!$B$7:$B$16,0))&amp;"","")&lt;&gt;"",INDEX(Accounts!$C$7:$C$16,MATCH($C749,Accounts!$B$7:$B$16,0)),Settings!$C$6)))</f>
        <v/>
      </c>
      <c r="AG749" s="53" t="str">
        <f>IF($AM749=0,"",IF(AND($BE749&gt;0,N(INDEX(Instruments!$D$6:$D$205,MAX(1,$BE749)))&gt;0),INDEX(Instruments!$D$6:$D$205,MAX(1,$BE749)),IF(N(INDEX(Settings!$D$14:$D$18,$BF749))&gt;0,INDEX(Settings!$D$14:$D$18,$BF749),"")))</f>
        <v/>
      </c>
      <c r="AH749" s="54" t="str">
        <f>IF($AM749=0,"",IF($AF749&lt;&gt;"Forex",1,IF(MID(UPPER(SUBSTITUTE(TRIM($E749),"/","")),4,3)=UPPER(TRIM(Settings!$C$7)),1,IF(LEFT(UPPER(SUBSTITUTE(TRIM($E749),"/","")),3)=UPPER(TRIM(Settings!$C$7)),IF(AND(ISNUMBER($K749),N($K749)&lt;&gt;0),1/$K749,""),""))))</f>
        <v/>
      </c>
      <c r="AI749" s="55" t="str">
        <f>IF($AM749=0,"",IF(OR(NOT(ISNUMBER($H749)),NOT(ISNUMBER($K749)),NOT(ISNUMBER($G749)),$AG749="",$AH749=""),"",ROUND(($K749-$H749)*IF($F749="Short",-1,1)*$G749*$AG749*$AH749,6)))</f>
        <v/>
      </c>
      <c r="AJ749" s="55" t="str">
        <f>IF($AM749=0,"",IF(INDEX(Settings!$E$14:$E$18,$BF749)="% of notional",IF(OR($AG749="",NOT(ISNUMBER($H749)),NOT(ISNUMBER($G749))),"",ROUND(ABS($H749*$G749*$AG749*N($AH749))*IF($L749="Limit",N(INDEX(Settings!$G$14:$G$18,$BF749)),N(INDEX(Settings!$H$14:$H$18,$BF749)))+IF(ISNUMBER($K749),ABS($K749*$G749*$AG749*N($AH749))*IF($M749="Target",N(INDEX(Settings!$G$14:$G$18,$BF749)),N(INDEX(Settings!$H$14:$H$18,$BF749))),0),6)),IF(NOT(ISNUMBER($G749)),"",ROUND(ABS($G749)*2*IF(AND($BE749&gt;0,ISNUMBER(INDEX(Instruments!$G$6:$G$205,MAX(1,$BE749)))),INDEX(Instruments!$G$6:$G$205,MAX(1,$BE749)),N(INDEX(Settings!$F$14:$F$18,$BF749))),6))))</f>
        <v/>
      </c>
      <c r="AK749" s="55" t="str">
        <f>IF($AM749=0,"",IF(ISNUMBER($O749),$O749,$AI749))</f>
        <v/>
      </c>
      <c r="AL749" s="55" t="str">
        <f>IF($AM749=0,"",IF(ISNUMBER($P749),$P749,N($AJ749)))</f>
        <v/>
      </c>
      <c r="AM749" s="56">
        <f>IF(AND($A749&lt;&gt;"",$E749&lt;&gt;"",OR(AND(ISNUMBER($G749),ISNUMBER($H749),ISNUMBER($K749)),ISNUMBER($O749))),1,0)</f>
        <v>0</v>
      </c>
      <c r="AN749" s="57" t="str">
        <f>IF($A749="","",$A749-WEEKDAY($A749,3))</f>
        <v/>
      </c>
      <c r="AO749" s="56" t="str">
        <f>IF($A749="","",WEEKDAY($A749,2))</f>
        <v/>
      </c>
      <c r="AP749" s="55" t="str">
        <f>IF(OR($AM749=0,$C749=""),"",IFERROR(N(INDEX(Accounts!$E$7:$E$16,MATCH($C749,Accounts!$B$7:$B$16,0))),0)+SUMIFS($Q$6:$Q749,$C$6:$C749,$C749))</f>
        <v/>
      </c>
      <c r="AQ749" s="55" t="str">
        <f>IF(OR($AM749=0,$C749=""),"",SUMIFS($Q$6:$Q$1005,$C$6:$C$1005,$C749,$A$6:$A$1005,$A749))</f>
        <v/>
      </c>
      <c r="AR749" s="55" t="str">
        <f>IF(OR($AM749=0,$C749=""),"",IFERROR(N(INDEX(Accounts!$E$7:$E$16,MATCH($C749,Accounts!$B$7:$B$16,0))),0)+SUMIFS($Q$6:$Q$1005,$C$6:$C$1005,$C749,$A$6:$A$1005,"&lt;="&amp;$A749))</f>
        <v/>
      </c>
      <c r="AS749" s="56">
        <f>IF(OR($AM749=0,$Q749=""),0,IF(AND($A749&gt;=Lists!$W$6,$A749&lt;=Lists!$W$7,OR(Dashboard!$D$6="All accounts",$C749=Dashboard!$D$6),OR(Dashboard!$D$7="All markets",$AF749=Dashboard!$D$7)),1,0))</f>
        <v>0</v>
      </c>
      <c r="AT749" s="55">
        <f>IF($AS749=1,N(AT748)+$Q749,N(AT748))</f>
        <v>1187.10688</v>
      </c>
      <c r="AU749" s="55">
        <f>MAX(N(AU748),$AT749)</f>
        <v>1187.10688</v>
      </c>
      <c r="AV749" s="55">
        <f>$AT749-$AU749</f>
        <v>0</v>
      </c>
      <c r="AW749" s="56">
        <f>IF($AS749=1,IF($S749="Win",N(AW748)+1,IF($S749="Loss",0,N(AW748))),N(AW748))</f>
        <v>5</v>
      </c>
      <c r="AX749" s="56">
        <f>IF($AS749=1,IF($S749="Loss",N(AX748)+1,IF($S749="Win",0,N(AX748))),N(AX748))</f>
        <v>0</v>
      </c>
      <c r="AY749" s="56" t="str">
        <f>IF($AS749=1,COUNTIF($AS$6:$AS749,1),"")</f>
        <v/>
      </c>
      <c r="AZ749" s="56">
        <f>MIN(743,N(Lists!$W$8))</f>
        <v>28</v>
      </c>
      <c r="BA749" s="56">
        <f>IF($AS749=1,IF(COUNTIFS($A$6:$A749,$A749,$AS$6:$AS749,1)=1,1,0),0)</f>
        <v>0</v>
      </c>
      <c r="BB749" s="55" t="str">
        <f>IF($BA749=1,SUMIFS($Q$6:$Q$1005,$A$6:$A$1005,$A749,$AS$6:$AS$1005,1),"")</f>
        <v/>
      </c>
      <c r="BC749" s="56">
        <f>IF(ISNUMBER($R749),1,0)</f>
        <v>0</v>
      </c>
      <c r="BD749" s="55" t="str">
        <f>IF(ISNUMBER($U749),$U749*$V749,"")</f>
        <v/>
      </c>
      <c r="BE749" s="56" t="str">
        <f>IF($AM749=0,"",IFERROR(MATCH($AF749&amp;"|"&amp;UPPER(TRIM($E749)),Lists!$A$6:$A$205,0),0))</f>
        <v/>
      </c>
      <c r="BF749" s="56" t="str">
        <f>IF($AM749=0,"",IFERROR(MATCH($AF749,Settings!$B$14:$B$18,0),IFERROR(MATCH(Settings!$C$6,Settings!$B$14:$B$18,0),1)))</f>
        <v/>
      </c>
      <c r="BG749" s="58" t="str">
        <f>IF($AM749=0,"",IF(NOT(ISNUMBER($I749)),"No stop; ","")&amp;IF(AND(ISNUMBER($H749),ISNUMBER($I749)),IF(OR(AND($F749&lt;&gt;"Short",$I749&gt;=$H749),AND($F749="Short",$I749&lt;=$H749)),"Stop on wrong side; ",""),"")&amp;IF($F749="","No direction; ","")&amp;IF(AND(ISNUMBER(Settings!$C$22),ISNUMBER($V749)),IF($V749&gt;Settings!$C$22,"Risk over max $; ",""),"")&amp;IF(AND(ISNUMBER(Settings!$C$23),ISNUMBER($V749),ISNUMBER($AP749),IFERROR(N(INDEX(Accounts!$E$7:$E$16,MATCH($C749,Accounts!$B$7:$B$16,0))),0)&gt;0),IF($V749&gt;Settings!$C$23*($AP749-N($Q749)),"Risk over max %; ",""),"")&amp;IF(AND(ISNUMBER(Settings!$C$24),ISNUMBER($N749)),IF($N749&gt;Settings!$C$24,"Leverage over max; ",""),"")&amp;IF(AND(ISNUMBER(Settings!$C$27),ISNUMBER($T749)),IF($T749&lt;Settings!$C$27,"R:R below min; ",""),"")&amp;IF(ISNUMBER(Settings!$C$25),IF(COUNTIFS($A$6:$A749,$A749,$AM$6:$AM749,1)&gt;Settings!$C$25,"Over max trades/day; ",""),"")&amp;IF(ISNUMBER(Settings!$C$26),IF(SUMIFS($Q$5:$Q748,$A$5:$A748,$A749)&lt;=-Settings!$C$26,"Traded after daily max loss; ",""),"")&amp;IF(AND($AG749="",NOT(ISNUMBER($O749))),"Symbol not in Instruments; ","")&amp;IF(AND($AH749="",NOT(ISNUMBER($O749))),"Forex cross: type Gross P&amp;L; ",""))</f>
        <v/>
      </c>
      <c r="BH749" s="56">
        <f>IF(ISNUMBER($Q749),1,0)</f>
        <v>0</v>
      </c>
      <c r="BI749" s="56">
        <f>IF($Y749="",0,1)</f>
        <v>0</v>
      </c>
      <c r="BJ749" s="56">
        <f>IF($AB749="",0,1)</f>
        <v>0</v>
      </c>
      <c r="BK749" s="56">
        <f>IF(AND($BH749=1,$W749&lt;&gt;"OK"),1,0)</f>
        <v>0</v>
      </c>
      <c r="BL749" s="55">
        <f>IF(N($AZ749)=0,0,IFERROR(INDEX($AT$6:$AT$1005,MATCH($AZ749,$AY$6:$AY$1005,0)),0))</f>
        <v>1187.10688</v>
      </c>
      <c r="BM749" s="56">
        <f>IF(ISNUMBER(SEARCH("daily max loss",$BG749)),1,0)</f>
        <v>0</v>
      </c>
    </row>
    <row r="750" ht="18" customHeight="1">
      <c r="A750" s="38" t="n"/>
      <c r="B750" s="39" t="n"/>
      <c r="C750" s="40" t="n"/>
      <c r="D750" s="41" t="n"/>
      <c r="E750" s="41" t="n"/>
      <c r="F750" s="41" t="n"/>
      <c r="G750" s="41" t="n"/>
      <c r="H750" s="42" t="n"/>
      <c r="I750" s="42" t="n"/>
      <c r="J750" s="42" t="n"/>
      <c r="K750" s="42" t="n"/>
      <c r="L750" s="41" t="n"/>
      <c r="M750" s="41" t="n"/>
      <c r="N750" s="41" t="n"/>
      <c r="O750" s="43" t="n"/>
      <c r="P750" s="43" t="n"/>
      <c r="Q750" s="44" t="str">
        <f>IF($AM750=0,"",IF(ISNUMBER($AK750),$AK750-N($AL750),""))</f>
        <v/>
      </c>
      <c r="R750" s="45" t="str">
        <f>IF(OR($Q750="",NOT(ISNUMBER($V750))),"",$AK750/$V750)</f>
        <v/>
      </c>
      <c r="S750" s="46" t="str">
        <f>IF($Q750="","",IF(AND(ISNUMBER($R750),ABS(N($R750))&lt;N(Settings!$C$8)),"Scratch",IF($Q750&gt;0,"Win",IF($Q750&lt;0,"Loss","Scratch"))))</f>
        <v/>
      </c>
      <c r="T750" s="47" t="str">
        <f>IF(OR($AM750=0,NOT(ISNUMBER($H750)),NOT(ISNUMBER($I750)),NOT(ISNUMBER($J750))),"",IF($H750=$I750,"",ROUND(ABS($J750-$H750)/ABS($H750-$I750),6)))</f>
        <v/>
      </c>
      <c r="U750" s="48" t="str">
        <f>IF(OR($S750&lt;&gt;"Win",NOT(ISNUMBER($T750)),NOT(ISNUMBER($R750))),"",MAX(0,$T750-$R750))</f>
        <v/>
      </c>
      <c r="V750" s="49" t="str">
        <f>IF(OR($AM750=0,NOT(ISNUMBER($H750)),NOT(ISNUMBER($I750)),NOT(ISNUMBER($G750))),"",IF(OR($AG750="",$AH750=""),"",IF(ROUND(ABS($H750-$I750)*ABS($G750)*$AG750*$AH750,6)=0,"",ROUND(ABS($H750-$I750)*ABS($G750)*$AG750*$AH750,6))))</f>
        <v/>
      </c>
      <c r="W750" s="50" t="str">
        <f>IF($AM750=0,"",IF($BG750="","OK",LEFT($BG750,LEN($BG750)-2)))</f>
        <v/>
      </c>
      <c r="X750" s="41" t="n"/>
      <c r="Y750" s="40" t="n"/>
      <c r="Z750" s="41" t="n"/>
      <c r="AA750" s="41" t="n"/>
      <c r="AB750" s="40" t="n"/>
      <c r="AC750" s="51" t="n"/>
      <c r="AD750" s="51" t="n"/>
      <c r="AE750" s="40" t="n"/>
      <c r="AF750" s="52" t="str">
        <f>IF($AM750=0,"",IF($D750&lt;&gt;"",$D750,IF(IFERROR(INDEX(Accounts!$C$7:$C$16,MATCH($C750,Accounts!$B$7:$B$16,0))&amp;"","")&lt;&gt;"",INDEX(Accounts!$C$7:$C$16,MATCH($C750,Accounts!$B$7:$B$16,0)),Settings!$C$6)))</f>
        <v/>
      </c>
      <c r="AG750" s="53" t="str">
        <f>IF($AM750=0,"",IF(AND($BE750&gt;0,N(INDEX(Instruments!$D$6:$D$205,MAX(1,$BE750)))&gt;0),INDEX(Instruments!$D$6:$D$205,MAX(1,$BE750)),IF(N(INDEX(Settings!$D$14:$D$18,$BF750))&gt;0,INDEX(Settings!$D$14:$D$18,$BF750),"")))</f>
        <v/>
      </c>
      <c r="AH750" s="54" t="str">
        <f>IF($AM750=0,"",IF($AF750&lt;&gt;"Forex",1,IF(MID(UPPER(SUBSTITUTE(TRIM($E750),"/","")),4,3)=UPPER(TRIM(Settings!$C$7)),1,IF(LEFT(UPPER(SUBSTITUTE(TRIM($E750),"/","")),3)=UPPER(TRIM(Settings!$C$7)),IF(AND(ISNUMBER($K750),N($K750)&lt;&gt;0),1/$K750,""),""))))</f>
        <v/>
      </c>
      <c r="AI750" s="55" t="str">
        <f>IF($AM750=0,"",IF(OR(NOT(ISNUMBER($H750)),NOT(ISNUMBER($K750)),NOT(ISNUMBER($G750)),$AG750="",$AH750=""),"",ROUND(($K750-$H750)*IF($F750="Short",-1,1)*$G750*$AG750*$AH750,6)))</f>
        <v/>
      </c>
      <c r="AJ750" s="55" t="str">
        <f>IF($AM750=0,"",IF(INDEX(Settings!$E$14:$E$18,$BF750)="% of notional",IF(OR($AG750="",NOT(ISNUMBER($H750)),NOT(ISNUMBER($G750))),"",ROUND(ABS($H750*$G750*$AG750*N($AH750))*IF($L750="Limit",N(INDEX(Settings!$G$14:$G$18,$BF750)),N(INDEX(Settings!$H$14:$H$18,$BF750)))+IF(ISNUMBER($K750),ABS($K750*$G750*$AG750*N($AH750))*IF($M750="Target",N(INDEX(Settings!$G$14:$G$18,$BF750)),N(INDEX(Settings!$H$14:$H$18,$BF750))),0),6)),IF(NOT(ISNUMBER($G750)),"",ROUND(ABS($G750)*2*IF(AND($BE750&gt;0,ISNUMBER(INDEX(Instruments!$G$6:$G$205,MAX(1,$BE750)))),INDEX(Instruments!$G$6:$G$205,MAX(1,$BE750)),N(INDEX(Settings!$F$14:$F$18,$BF750))),6))))</f>
        <v/>
      </c>
      <c r="AK750" s="55" t="str">
        <f>IF($AM750=0,"",IF(ISNUMBER($O750),$O750,$AI750))</f>
        <v/>
      </c>
      <c r="AL750" s="55" t="str">
        <f>IF($AM750=0,"",IF(ISNUMBER($P750),$P750,N($AJ750)))</f>
        <v/>
      </c>
      <c r="AM750" s="56">
        <f>IF(AND($A750&lt;&gt;"",$E750&lt;&gt;"",OR(AND(ISNUMBER($G750),ISNUMBER($H750),ISNUMBER($K750)),ISNUMBER($O750))),1,0)</f>
        <v>0</v>
      </c>
      <c r="AN750" s="57" t="str">
        <f>IF($A750="","",$A750-WEEKDAY($A750,3))</f>
        <v/>
      </c>
      <c r="AO750" s="56" t="str">
        <f>IF($A750="","",WEEKDAY($A750,2))</f>
        <v/>
      </c>
      <c r="AP750" s="55" t="str">
        <f>IF(OR($AM750=0,$C750=""),"",IFERROR(N(INDEX(Accounts!$E$7:$E$16,MATCH($C750,Accounts!$B$7:$B$16,0))),0)+SUMIFS($Q$6:$Q750,$C$6:$C750,$C750))</f>
        <v/>
      </c>
      <c r="AQ750" s="55" t="str">
        <f>IF(OR($AM750=0,$C750=""),"",SUMIFS($Q$6:$Q$1005,$C$6:$C$1005,$C750,$A$6:$A$1005,$A750))</f>
        <v/>
      </c>
      <c r="AR750" s="55" t="str">
        <f>IF(OR($AM750=0,$C750=""),"",IFERROR(N(INDEX(Accounts!$E$7:$E$16,MATCH($C750,Accounts!$B$7:$B$16,0))),0)+SUMIFS($Q$6:$Q$1005,$C$6:$C$1005,$C750,$A$6:$A$1005,"&lt;="&amp;$A750))</f>
        <v/>
      </c>
      <c r="AS750" s="56">
        <f>IF(OR($AM750=0,$Q750=""),0,IF(AND($A750&gt;=Lists!$W$6,$A750&lt;=Lists!$W$7,OR(Dashboard!$D$6="All accounts",$C750=Dashboard!$D$6),OR(Dashboard!$D$7="All markets",$AF750=Dashboard!$D$7)),1,0))</f>
        <v>0</v>
      </c>
      <c r="AT750" s="55">
        <f>IF($AS750=1,N(AT749)+$Q750,N(AT749))</f>
        <v>1187.10688</v>
      </c>
      <c r="AU750" s="55">
        <f>MAX(N(AU749),$AT750)</f>
        <v>1187.10688</v>
      </c>
      <c r="AV750" s="55">
        <f>$AT750-$AU750</f>
        <v>0</v>
      </c>
      <c r="AW750" s="56">
        <f>IF($AS750=1,IF($S750="Win",N(AW749)+1,IF($S750="Loss",0,N(AW749))),N(AW749))</f>
        <v>5</v>
      </c>
      <c r="AX750" s="56">
        <f>IF($AS750=1,IF($S750="Loss",N(AX749)+1,IF($S750="Win",0,N(AX749))),N(AX749))</f>
        <v>0</v>
      </c>
      <c r="AY750" s="56" t="str">
        <f>IF($AS750=1,COUNTIF($AS$6:$AS750,1),"")</f>
        <v/>
      </c>
      <c r="AZ750" s="56">
        <f>MIN(744,N(Lists!$W$8))</f>
        <v>28</v>
      </c>
      <c r="BA750" s="56">
        <f>IF($AS750=1,IF(COUNTIFS($A$6:$A750,$A750,$AS$6:$AS750,1)=1,1,0),0)</f>
        <v>0</v>
      </c>
      <c r="BB750" s="55" t="str">
        <f>IF($BA750=1,SUMIFS($Q$6:$Q$1005,$A$6:$A$1005,$A750,$AS$6:$AS$1005,1),"")</f>
        <v/>
      </c>
      <c r="BC750" s="56">
        <f>IF(ISNUMBER($R750),1,0)</f>
        <v>0</v>
      </c>
      <c r="BD750" s="55" t="str">
        <f>IF(ISNUMBER($U750),$U750*$V750,"")</f>
        <v/>
      </c>
      <c r="BE750" s="56" t="str">
        <f>IF($AM750=0,"",IFERROR(MATCH($AF750&amp;"|"&amp;UPPER(TRIM($E750)),Lists!$A$6:$A$205,0),0))</f>
        <v/>
      </c>
      <c r="BF750" s="56" t="str">
        <f>IF($AM750=0,"",IFERROR(MATCH($AF750,Settings!$B$14:$B$18,0),IFERROR(MATCH(Settings!$C$6,Settings!$B$14:$B$18,0),1)))</f>
        <v/>
      </c>
      <c r="BG750" s="58" t="str">
        <f>IF($AM750=0,"",IF(NOT(ISNUMBER($I750)),"No stop; ","")&amp;IF(AND(ISNUMBER($H750),ISNUMBER($I750)),IF(OR(AND($F750&lt;&gt;"Short",$I750&gt;=$H750),AND($F750="Short",$I750&lt;=$H750)),"Stop on wrong side; ",""),"")&amp;IF($F750="","No direction; ","")&amp;IF(AND(ISNUMBER(Settings!$C$22),ISNUMBER($V750)),IF($V750&gt;Settings!$C$22,"Risk over max $; ",""),"")&amp;IF(AND(ISNUMBER(Settings!$C$23),ISNUMBER($V750),ISNUMBER($AP750),IFERROR(N(INDEX(Accounts!$E$7:$E$16,MATCH($C750,Accounts!$B$7:$B$16,0))),0)&gt;0),IF($V750&gt;Settings!$C$23*($AP750-N($Q750)),"Risk over max %; ",""),"")&amp;IF(AND(ISNUMBER(Settings!$C$24),ISNUMBER($N750)),IF($N750&gt;Settings!$C$24,"Leverage over max; ",""),"")&amp;IF(AND(ISNUMBER(Settings!$C$27),ISNUMBER($T750)),IF($T750&lt;Settings!$C$27,"R:R below min; ",""),"")&amp;IF(ISNUMBER(Settings!$C$25),IF(COUNTIFS($A$6:$A750,$A750,$AM$6:$AM750,1)&gt;Settings!$C$25,"Over max trades/day; ",""),"")&amp;IF(ISNUMBER(Settings!$C$26),IF(SUMIFS($Q$5:$Q749,$A$5:$A749,$A750)&lt;=-Settings!$C$26,"Traded after daily max loss; ",""),"")&amp;IF(AND($AG750="",NOT(ISNUMBER($O750))),"Symbol not in Instruments; ","")&amp;IF(AND($AH750="",NOT(ISNUMBER($O750))),"Forex cross: type Gross P&amp;L; ",""))</f>
        <v/>
      </c>
      <c r="BH750" s="56">
        <f>IF(ISNUMBER($Q750),1,0)</f>
        <v>0</v>
      </c>
      <c r="BI750" s="56">
        <f>IF($Y750="",0,1)</f>
        <v>0</v>
      </c>
      <c r="BJ750" s="56">
        <f>IF($AB750="",0,1)</f>
        <v>0</v>
      </c>
      <c r="BK750" s="56">
        <f>IF(AND($BH750=1,$W750&lt;&gt;"OK"),1,0)</f>
        <v>0</v>
      </c>
      <c r="BL750" s="55">
        <f>IF(N($AZ750)=0,0,IFERROR(INDEX($AT$6:$AT$1005,MATCH($AZ750,$AY$6:$AY$1005,0)),0))</f>
        <v>1187.10688</v>
      </c>
      <c r="BM750" s="56">
        <f>IF(ISNUMBER(SEARCH("daily max loss",$BG750)),1,0)</f>
        <v>0</v>
      </c>
    </row>
    <row r="751" ht="18" customHeight="1">
      <c r="A751" s="38" t="n"/>
      <c r="B751" s="39" t="n"/>
      <c r="C751" s="40" t="n"/>
      <c r="D751" s="41" t="n"/>
      <c r="E751" s="41" t="n"/>
      <c r="F751" s="41" t="n"/>
      <c r="G751" s="41" t="n"/>
      <c r="H751" s="42" t="n"/>
      <c r="I751" s="42" t="n"/>
      <c r="J751" s="42" t="n"/>
      <c r="K751" s="42" t="n"/>
      <c r="L751" s="41" t="n"/>
      <c r="M751" s="41" t="n"/>
      <c r="N751" s="41" t="n"/>
      <c r="O751" s="43" t="n"/>
      <c r="P751" s="43" t="n"/>
      <c r="Q751" s="44" t="str">
        <f>IF($AM751=0,"",IF(ISNUMBER($AK751),$AK751-N($AL751),""))</f>
        <v/>
      </c>
      <c r="R751" s="45" t="str">
        <f>IF(OR($Q751="",NOT(ISNUMBER($V751))),"",$AK751/$V751)</f>
        <v/>
      </c>
      <c r="S751" s="46" t="str">
        <f>IF($Q751="","",IF(AND(ISNUMBER($R751),ABS(N($R751))&lt;N(Settings!$C$8)),"Scratch",IF($Q751&gt;0,"Win",IF($Q751&lt;0,"Loss","Scratch"))))</f>
        <v/>
      </c>
      <c r="T751" s="47" t="str">
        <f>IF(OR($AM751=0,NOT(ISNUMBER($H751)),NOT(ISNUMBER($I751)),NOT(ISNUMBER($J751))),"",IF($H751=$I751,"",ROUND(ABS($J751-$H751)/ABS($H751-$I751),6)))</f>
        <v/>
      </c>
      <c r="U751" s="48" t="str">
        <f>IF(OR($S751&lt;&gt;"Win",NOT(ISNUMBER($T751)),NOT(ISNUMBER($R751))),"",MAX(0,$T751-$R751))</f>
        <v/>
      </c>
      <c r="V751" s="49" t="str">
        <f>IF(OR($AM751=0,NOT(ISNUMBER($H751)),NOT(ISNUMBER($I751)),NOT(ISNUMBER($G751))),"",IF(OR($AG751="",$AH751=""),"",IF(ROUND(ABS($H751-$I751)*ABS($G751)*$AG751*$AH751,6)=0,"",ROUND(ABS($H751-$I751)*ABS($G751)*$AG751*$AH751,6))))</f>
        <v/>
      </c>
      <c r="W751" s="50" t="str">
        <f>IF($AM751=0,"",IF($BG751="","OK",LEFT($BG751,LEN($BG751)-2)))</f>
        <v/>
      </c>
      <c r="X751" s="41" t="n"/>
      <c r="Y751" s="40" t="n"/>
      <c r="Z751" s="41" t="n"/>
      <c r="AA751" s="41" t="n"/>
      <c r="AB751" s="40" t="n"/>
      <c r="AC751" s="51" t="n"/>
      <c r="AD751" s="51" t="n"/>
      <c r="AE751" s="40" t="n"/>
      <c r="AF751" s="52" t="str">
        <f>IF($AM751=0,"",IF($D751&lt;&gt;"",$D751,IF(IFERROR(INDEX(Accounts!$C$7:$C$16,MATCH($C751,Accounts!$B$7:$B$16,0))&amp;"","")&lt;&gt;"",INDEX(Accounts!$C$7:$C$16,MATCH($C751,Accounts!$B$7:$B$16,0)),Settings!$C$6)))</f>
        <v/>
      </c>
      <c r="AG751" s="53" t="str">
        <f>IF($AM751=0,"",IF(AND($BE751&gt;0,N(INDEX(Instruments!$D$6:$D$205,MAX(1,$BE751)))&gt;0),INDEX(Instruments!$D$6:$D$205,MAX(1,$BE751)),IF(N(INDEX(Settings!$D$14:$D$18,$BF751))&gt;0,INDEX(Settings!$D$14:$D$18,$BF751),"")))</f>
        <v/>
      </c>
      <c r="AH751" s="54" t="str">
        <f>IF($AM751=0,"",IF($AF751&lt;&gt;"Forex",1,IF(MID(UPPER(SUBSTITUTE(TRIM($E751),"/","")),4,3)=UPPER(TRIM(Settings!$C$7)),1,IF(LEFT(UPPER(SUBSTITUTE(TRIM($E751),"/","")),3)=UPPER(TRIM(Settings!$C$7)),IF(AND(ISNUMBER($K751),N($K751)&lt;&gt;0),1/$K751,""),""))))</f>
        <v/>
      </c>
      <c r="AI751" s="55" t="str">
        <f>IF($AM751=0,"",IF(OR(NOT(ISNUMBER($H751)),NOT(ISNUMBER($K751)),NOT(ISNUMBER($G751)),$AG751="",$AH751=""),"",ROUND(($K751-$H751)*IF($F751="Short",-1,1)*$G751*$AG751*$AH751,6)))</f>
        <v/>
      </c>
      <c r="AJ751" s="55" t="str">
        <f>IF($AM751=0,"",IF(INDEX(Settings!$E$14:$E$18,$BF751)="% of notional",IF(OR($AG751="",NOT(ISNUMBER($H751)),NOT(ISNUMBER($G751))),"",ROUND(ABS($H751*$G751*$AG751*N($AH751))*IF($L751="Limit",N(INDEX(Settings!$G$14:$G$18,$BF751)),N(INDEX(Settings!$H$14:$H$18,$BF751)))+IF(ISNUMBER($K751),ABS($K751*$G751*$AG751*N($AH751))*IF($M751="Target",N(INDEX(Settings!$G$14:$G$18,$BF751)),N(INDEX(Settings!$H$14:$H$18,$BF751))),0),6)),IF(NOT(ISNUMBER($G751)),"",ROUND(ABS($G751)*2*IF(AND($BE751&gt;0,ISNUMBER(INDEX(Instruments!$G$6:$G$205,MAX(1,$BE751)))),INDEX(Instruments!$G$6:$G$205,MAX(1,$BE751)),N(INDEX(Settings!$F$14:$F$18,$BF751))),6))))</f>
        <v/>
      </c>
      <c r="AK751" s="55" t="str">
        <f>IF($AM751=0,"",IF(ISNUMBER($O751),$O751,$AI751))</f>
        <v/>
      </c>
      <c r="AL751" s="55" t="str">
        <f>IF($AM751=0,"",IF(ISNUMBER($P751),$P751,N($AJ751)))</f>
        <v/>
      </c>
      <c r="AM751" s="56">
        <f>IF(AND($A751&lt;&gt;"",$E751&lt;&gt;"",OR(AND(ISNUMBER($G751),ISNUMBER($H751),ISNUMBER($K751)),ISNUMBER($O751))),1,0)</f>
        <v>0</v>
      </c>
      <c r="AN751" s="57" t="str">
        <f>IF($A751="","",$A751-WEEKDAY($A751,3))</f>
        <v/>
      </c>
      <c r="AO751" s="56" t="str">
        <f>IF($A751="","",WEEKDAY($A751,2))</f>
        <v/>
      </c>
      <c r="AP751" s="55" t="str">
        <f>IF(OR($AM751=0,$C751=""),"",IFERROR(N(INDEX(Accounts!$E$7:$E$16,MATCH($C751,Accounts!$B$7:$B$16,0))),0)+SUMIFS($Q$6:$Q751,$C$6:$C751,$C751))</f>
        <v/>
      </c>
      <c r="AQ751" s="55" t="str">
        <f>IF(OR($AM751=0,$C751=""),"",SUMIFS($Q$6:$Q$1005,$C$6:$C$1005,$C751,$A$6:$A$1005,$A751))</f>
        <v/>
      </c>
      <c r="AR751" s="55" t="str">
        <f>IF(OR($AM751=0,$C751=""),"",IFERROR(N(INDEX(Accounts!$E$7:$E$16,MATCH($C751,Accounts!$B$7:$B$16,0))),0)+SUMIFS($Q$6:$Q$1005,$C$6:$C$1005,$C751,$A$6:$A$1005,"&lt;="&amp;$A751))</f>
        <v/>
      </c>
      <c r="AS751" s="56">
        <f>IF(OR($AM751=0,$Q751=""),0,IF(AND($A751&gt;=Lists!$W$6,$A751&lt;=Lists!$W$7,OR(Dashboard!$D$6="All accounts",$C751=Dashboard!$D$6),OR(Dashboard!$D$7="All markets",$AF751=Dashboard!$D$7)),1,0))</f>
        <v>0</v>
      </c>
      <c r="AT751" s="55">
        <f>IF($AS751=1,N(AT750)+$Q751,N(AT750))</f>
        <v>1187.10688</v>
      </c>
      <c r="AU751" s="55">
        <f>MAX(N(AU750),$AT751)</f>
        <v>1187.10688</v>
      </c>
      <c r="AV751" s="55">
        <f>$AT751-$AU751</f>
        <v>0</v>
      </c>
      <c r="AW751" s="56">
        <f>IF($AS751=1,IF($S751="Win",N(AW750)+1,IF($S751="Loss",0,N(AW750))),N(AW750))</f>
        <v>5</v>
      </c>
      <c r="AX751" s="56">
        <f>IF($AS751=1,IF($S751="Loss",N(AX750)+1,IF($S751="Win",0,N(AX750))),N(AX750))</f>
        <v>0</v>
      </c>
      <c r="AY751" s="56" t="str">
        <f>IF($AS751=1,COUNTIF($AS$6:$AS751,1),"")</f>
        <v/>
      </c>
      <c r="AZ751" s="56">
        <f>MIN(745,N(Lists!$W$8))</f>
        <v>28</v>
      </c>
      <c r="BA751" s="56">
        <f>IF($AS751=1,IF(COUNTIFS($A$6:$A751,$A751,$AS$6:$AS751,1)=1,1,0),0)</f>
        <v>0</v>
      </c>
      <c r="BB751" s="55" t="str">
        <f>IF($BA751=1,SUMIFS($Q$6:$Q$1005,$A$6:$A$1005,$A751,$AS$6:$AS$1005,1),"")</f>
        <v/>
      </c>
      <c r="BC751" s="56">
        <f>IF(ISNUMBER($R751),1,0)</f>
        <v>0</v>
      </c>
      <c r="BD751" s="55" t="str">
        <f>IF(ISNUMBER($U751),$U751*$V751,"")</f>
        <v/>
      </c>
      <c r="BE751" s="56" t="str">
        <f>IF($AM751=0,"",IFERROR(MATCH($AF751&amp;"|"&amp;UPPER(TRIM($E751)),Lists!$A$6:$A$205,0),0))</f>
        <v/>
      </c>
      <c r="BF751" s="56" t="str">
        <f>IF($AM751=0,"",IFERROR(MATCH($AF751,Settings!$B$14:$B$18,0),IFERROR(MATCH(Settings!$C$6,Settings!$B$14:$B$18,0),1)))</f>
        <v/>
      </c>
      <c r="BG751" s="58" t="str">
        <f>IF($AM751=0,"",IF(NOT(ISNUMBER($I751)),"No stop; ","")&amp;IF(AND(ISNUMBER($H751),ISNUMBER($I751)),IF(OR(AND($F751&lt;&gt;"Short",$I751&gt;=$H751),AND($F751="Short",$I751&lt;=$H751)),"Stop on wrong side; ",""),"")&amp;IF($F751="","No direction; ","")&amp;IF(AND(ISNUMBER(Settings!$C$22),ISNUMBER($V751)),IF($V751&gt;Settings!$C$22,"Risk over max $; ",""),"")&amp;IF(AND(ISNUMBER(Settings!$C$23),ISNUMBER($V751),ISNUMBER($AP751),IFERROR(N(INDEX(Accounts!$E$7:$E$16,MATCH($C751,Accounts!$B$7:$B$16,0))),0)&gt;0),IF($V751&gt;Settings!$C$23*($AP751-N($Q751)),"Risk over max %; ",""),"")&amp;IF(AND(ISNUMBER(Settings!$C$24),ISNUMBER($N751)),IF($N751&gt;Settings!$C$24,"Leverage over max; ",""),"")&amp;IF(AND(ISNUMBER(Settings!$C$27),ISNUMBER($T751)),IF($T751&lt;Settings!$C$27,"R:R below min; ",""),"")&amp;IF(ISNUMBER(Settings!$C$25),IF(COUNTIFS($A$6:$A751,$A751,$AM$6:$AM751,1)&gt;Settings!$C$25,"Over max trades/day; ",""),"")&amp;IF(ISNUMBER(Settings!$C$26),IF(SUMIFS($Q$5:$Q750,$A$5:$A750,$A751)&lt;=-Settings!$C$26,"Traded after daily max loss; ",""),"")&amp;IF(AND($AG751="",NOT(ISNUMBER($O751))),"Symbol not in Instruments; ","")&amp;IF(AND($AH751="",NOT(ISNUMBER($O751))),"Forex cross: type Gross P&amp;L; ",""))</f>
        <v/>
      </c>
      <c r="BH751" s="56">
        <f>IF(ISNUMBER($Q751),1,0)</f>
        <v>0</v>
      </c>
      <c r="BI751" s="56">
        <f>IF($Y751="",0,1)</f>
        <v>0</v>
      </c>
      <c r="BJ751" s="56">
        <f>IF($AB751="",0,1)</f>
        <v>0</v>
      </c>
      <c r="BK751" s="56">
        <f>IF(AND($BH751=1,$W751&lt;&gt;"OK"),1,0)</f>
        <v>0</v>
      </c>
      <c r="BL751" s="55">
        <f>IF(N($AZ751)=0,0,IFERROR(INDEX($AT$6:$AT$1005,MATCH($AZ751,$AY$6:$AY$1005,0)),0))</f>
        <v>1187.10688</v>
      </c>
      <c r="BM751" s="56">
        <f>IF(ISNUMBER(SEARCH("daily max loss",$BG751)),1,0)</f>
        <v>0</v>
      </c>
    </row>
    <row r="752" ht="18" customHeight="1">
      <c r="A752" s="38" t="n"/>
      <c r="B752" s="39" t="n"/>
      <c r="C752" s="40" t="n"/>
      <c r="D752" s="41" t="n"/>
      <c r="E752" s="41" t="n"/>
      <c r="F752" s="41" t="n"/>
      <c r="G752" s="41" t="n"/>
      <c r="H752" s="42" t="n"/>
      <c r="I752" s="42" t="n"/>
      <c r="J752" s="42" t="n"/>
      <c r="K752" s="42" t="n"/>
      <c r="L752" s="41" t="n"/>
      <c r="M752" s="41" t="n"/>
      <c r="N752" s="41" t="n"/>
      <c r="O752" s="43" t="n"/>
      <c r="P752" s="43" t="n"/>
      <c r="Q752" s="44" t="str">
        <f>IF($AM752=0,"",IF(ISNUMBER($AK752),$AK752-N($AL752),""))</f>
        <v/>
      </c>
      <c r="R752" s="45" t="str">
        <f>IF(OR($Q752="",NOT(ISNUMBER($V752))),"",$AK752/$V752)</f>
        <v/>
      </c>
      <c r="S752" s="46" t="str">
        <f>IF($Q752="","",IF(AND(ISNUMBER($R752),ABS(N($R752))&lt;N(Settings!$C$8)),"Scratch",IF($Q752&gt;0,"Win",IF($Q752&lt;0,"Loss","Scratch"))))</f>
        <v/>
      </c>
      <c r="T752" s="47" t="str">
        <f>IF(OR($AM752=0,NOT(ISNUMBER($H752)),NOT(ISNUMBER($I752)),NOT(ISNUMBER($J752))),"",IF($H752=$I752,"",ROUND(ABS($J752-$H752)/ABS($H752-$I752),6)))</f>
        <v/>
      </c>
      <c r="U752" s="48" t="str">
        <f>IF(OR($S752&lt;&gt;"Win",NOT(ISNUMBER($T752)),NOT(ISNUMBER($R752))),"",MAX(0,$T752-$R752))</f>
        <v/>
      </c>
      <c r="V752" s="49" t="str">
        <f>IF(OR($AM752=0,NOT(ISNUMBER($H752)),NOT(ISNUMBER($I752)),NOT(ISNUMBER($G752))),"",IF(OR($AG752="",$AH752=""),"",IF(ROUND(ABS($H752-$I752)*ABS($G752)*$AG752*$AH752,6)=0,"",ROUND(ABS($H752-$I752)*ABS($G752)*$AG752*$AH752,6))))</f>
        <v/>
      </c>
      <c r="W752" s="50" t="str">
        <f>IF($AM752=0,"",IF($BG752="","OK",LEFT($BG752,LEN($BG752)-2)))</f>
        <v/>
      </c>
      <c r="X752" s="41" t="n"/>
      <c r="Y752" s="40" t="n"/>
      <c r="Z752" s="41" t="n"/>
      <c r="AA752" s="41" t="n"/>
      <c r="AB752" s="40" t="n"/>
      <c r="AC752" s="51" t="n"/>
      <c r="AD752" s="51" t="n"/>
      <c r="AE752" s="40" t="n"/>
      <c r="AF752" s="52" t="str">
        <f>IF($AM752=0,"",IF($D752&lt;&gt;"",$D752,IF(IFERROR(INDEX(Accounts!$C$7:$C$16,MATCH($C752,Accounts!$B$7:$B$16,0))&amp;"","")&lt;&gt;"",INDEX(Accounts!$C$7:$C$16,MATCH($C752,Accounts!$B$7:$B$16,0)),Settings!$C$6)))</f>
        <v/>
      </c>
      <c r="AG752" s="53" t="str">
        <f>IF($AM752=0,"",IF(AND($BE752&gt;0,N(INDEX(Instruments!$D$6:$D$205,MAX(1,$BE752)))&gt;0),INDEX(Instruments!$D$6:$D$205,MAX(1,$BE752)),IF(N(INDEX(Settings!$D$14:$D$18,$BF752))&gt;0,INDEX(Settings!$D$14:$D$18,$BF752),"")))</f>
        <v/>
      </c>
      <c r="AH752" s="54" t="str">
        <f>IF($AM752=0,"",IF($AF752&lt;&gt;"Forex",1,IF(MID(UPPER(SUBSTITUTE(TRIM($E752),"/","")),4,3)=UPPER(TRIM(Settings!$C$7)),1,IF(LEFT(UPPER(SUBSTITUTE(TRIM($E752),"/","")),3)=UPPER(TRIM(Settings!$C$7)),IF(AND(ISNUMBER($K752),N($K752)&lt;&gt;0),1/$K752,""),""))))</f>
        <v/>
      </c>
      <c r="AI752" s="55" t="str">
        <f>IF($AM752=0,"",IF(OR(NOT(ISNUMBER($H752)),NOT(ISNUMBER($K752)),NOT(ISNUMBER($G752)),$AG752="",$AH752=""),"",ROUND(($K752-$H752)*IF($F752="Short",-1,1)*$G752*$AG752*$AH752,6)))</f>
        <v/>
      </c>
      <c r="AJ752" s="55" t="str">
        <f>IF($AM752=0,"",IF(INDEX(Settings!$E$14:$E$18,$BF752)="% of notional",IF(OR($AG752="",NOT(ISNUMBER($H752)),NOT(ISNUMBER($G752))),"",ROUND(ABS($H752*$G752*$AG752*N($AH752))*IF($L752="Limit",N(INDEX(Settings!$G$14:$G$18,$BF752)),N(INDEX(Settings!$H$14:$H$18,$BF752)))+IF(ISNUMBER($K752),ABS($K752*$G752*$AG752*N($AH752))*IF($M752="Target",N(INDEX(Settings!$G$14:$G$18,$BF752)),N(INDEX(Settings!$H$14:$H$18,$BF752))),0),6)),IF(NOT(ISNUMBER($G752)),"",ROUND(ABS($G752)*2*IF(AND($BE752&gt;0,ISNUMBER(INDEX(Instruments!$G$6:$G$205,MAX(1,$BE752)))),INDEX(Instruments!$G$6:$G$205,MAX(1,$BE752)),N(INDEX(Settings!$F$14:$F$18,$BF752))),6))))</f>
        <v/>
      </c>
      <c r="AK752" s="55" t="str">
        <f>IF($AM752=0,"",IF(ISNUMBER($O752),$O752,$AI752))</f>
        <v/>
      </c>
      <c r="AL752" s="55" t="str">
        <f>IF($AM752=0,"",IF(ISNUMBER($P752),$P752,N($AJ752)))</f>
        <v/>
      </c>
      <c r="AM752" s="56">
        <f>IF(AND($A752&lt;&gt;"",$E752&lt;&gt;"",OR(AND(ISNUMBER($G752),ISNUMBER($H752),ISNUMBER($K752)),ISNUMBER($O752))),1,0)</f>
        <v>0</v>
      </c>
      <c r="AN752" s="57" t="str">
        <f>IF($A752="","",$A752-WEEKDAY($A752,3))</f>
        <v/>
      </c>
      <c r="AO752" s="56" t="str">
        <f>IF($A752="","",WEEKDAY($A752,2))</f>
        <v/>
      </c>
      <c r="AP752" s="55" t="str">
        <f>IF(OR($AM752=0,$C752=""),"",IFERROR(N(INDEX(Accounts!$E$7:$E$16,MATCH($C752,Accounts!$B$7:$B$16,0))),0)+SUMIFS($Q$6:$Q752,$C$6:$C752,$C752))</f>
        <v/>
      </c>
      <c r="AQ752" s="55" t="str">
        <f>IF(OR($AM752=0,$C752=""),"",SUMIFS($Q$6:$Q$1005,$C$6:$C$1005,$C752,$A$6:$A$1005,$A752))</f>
        <v/>
      </c>
      <c r="AR752" s="55" t="str">
        <f>IF(OR($AM752=0,$C752=""),"",IFERROR(N(INDEX(Accounts!$E$7:$E$16,MATCH($C752,Accounts!$B$7:$B$16,0))),0)+SUMIFS($Q$6:$Q$1005,$C$6:$C$1005,$C752,$A$6:$A$1005,"&lt;="&amp;$A752))</f>
        <v/>
      </c>
      <c r="AS752" s="56">
        <f>IF(OR($AM752=0,$Q752=""),0,IF(AND($A752&gt;=Lists!$W$6,$A752&lt;=Lists!$W$7,OR(Dashboard!$D$6="All accounts",$C752=Dashboard!$D$6),OR(Dashboard!$D$7="All markets",$AF752=Dashboard!$D$7)),1,0))</f>
        <v>0</v>
      </c>
      <c r="AT752" s="55">
        <f>IF($AS752=1,N(AT751)+$Q752,N(AT751))</f>
        <v>1187.10688</v>
      </c>
      <c r="AU752" s="55">
        <f>MAX(N(AU751),$AT752)</f>
        <v>1187.10688</v>
      </c>
      <c r="AV752" s="55">
        <f>$AT752-$AU752</f>
        <v>0</v>
      </c>
      <c r="AW752" s="56">
        <f>IF($AS752=1,IF($S752="Win",N(AW751)+1,IF($S752="Loss",0,N(AW751))),N(AW751))</f>
        <v>5</v>
      </c>
      <c r="AX752" s="56">
        <f>IF($AS752=1,IF($S752="Loss",N(AX751)+1,IF($S752="Win",0,N(AX751))),N(AX751))</f>
        <v>0</v>
      </c>
      <c r="AY752" s="56" t="str">
        <f>IF($AS752=1,COUNTIF($AS$6:$AS752,1),"")</f>
        <v/>
      </c>
      <c r="AZ752" s="56">
        <f>MIN(746,N(Lists!$W$8))</f>
        <v>28</v>
      </c>
      <c r="BA752" s="56">
        <f>IF($AS752=1,IF(COUNTIFS($A$6:$A752,$A752,$AS$6:$AS752,1)=1,1,0),0)</f>
        <v>0</v>
      </c>
      <c r="BB752" s="55" t="str">
        <f>IF($BA752=1,SUMIFS($Q$6:$Q$1005,$A$6:$A$1005,$A752,$AS$6:$AS$1005,1),"")</f>
        <v/>
      </c>
      <c r="BC752" s="56">
        <f>IF(ISNUMBER($R752),1,0)</f>
        <v>0</v>
      </c>
      <c r="BD752" s="55" t="str">
        <f>IF(ISNUMBER($U752),$U752*$V752,"")</f>
        <v/>
      </c>
      <c r="BE752" s="56" t="str">
        <f>IF($AM752=0,"",IFERROR(MATCH($AF752&amp;"|"&amp;UPPER(TRIM($E752)),Lists!$A$6:$A$205,0),0))</f>
        <v/>
      </c>
      <c r="BF752" s="56" t="str">
        <f>IF($AM752=0,"",IFERROR(MATCH($AF752,Settings!$B$14:$B$18,0),IFERROR(MATCH(Settings!$C$6,Settings!$B$14:$B$18,0),1)))</f>
        <v/>
      </c>
      <c r="BG752" s="58" t="str">
        <f>IF($AM752=0,"",IF(NOT(ISNUMBER($I752)),"No stop; ","")&amp;IF(AND(ISNUMBER($H752),ISNUMBER($I752)),IF(OR(AND($F752&lt;&gt;"Short",$I752&gt;=$H752),AND($F752="Short",$I752&lt;=$H752)),"Stop on wrong side; ",""),"")&amp;IF($F752="","No direction; ","")&amp;IF(AND(ISNUMBER(Settings!$C$22),ISNUMBER($V752)),IF($V752&gt;Settings!$C$22,"Risk over max $; ",""),"")&amp;IF(AND(ISNUMBER(Settings!$C$23),ISNUMBER($V752),ISNUMBER($AP752),IFERROR(N(INDEX(Accounts!$E$7:$E$16,MATCH($C752,Accounts!$B$7:$B$16,0))),0)&gt;0),IF($V752&gt;Settings!$C$23*($AP752-N($Q752)),"Risk over max %; ",""),"")&amp;IF(AND(ISNUMBER(Settings!$C$24),ISNUMBER($N752)),IF($N752&gt;Settings!$C$24,"Leverage over max; ",""),"")&amp;IF(AND(ISNUMBER(Settings!$C$27),ISNUMBER($T752)),IF($T752&lt;Settings!$C$27,"R:R below min; ",""),"")&amp;IF(ISNUMBER(Settings!$C$25),IF(COUNTIFS($A$6:$A752,$A752,$AM$6:$AM752,1)&gt;Settings!$C$25,"Over max trades/day; ",""),"")&amp;IF(ISNUMBER(Settings!$C$26),IF(SUMIFS($Q$5:$Q751,$A$5:$A751,$A752)&lt;=-Settings!$C$26,"Traded after daily max loss; ",""),"")&amp;IF(AND($AG752="",NOT(ISNUMBER($O752))),"Symbol not in Instruments; ","")&amp;IF(AND($AH752="",NOT(ISNUMBER($O752))),"Forex cross: type Gross P&amp;L; ",""))</f>
        <v/>
      </c>
      <c r="BH752" s="56">
        <f>IF(ISNUMBER($Q752),1,0)</f>
        <v>0</v>
      </c>
      <c r="BI752" s="56">
        <f>IF($Y752="",0,1)</f>
        <v>0</v>
      </c>
      <c r="BJ752" s="56">
        <f>IF($AB752="",0,1)</f>
        <v>0</v>
      </c>
      <c r="BK752" s="56">
        <f>IF(AND($BH752=1,$W752&lt;&gt;"OK"),1,0)</f>
        <v>0</v>
      </c>
      <c r="BL752" s="55">
        <f>IF(N($AZ752)=0,0,IFERROR(INDEX($AT$6:$AT$1005,MATCH($AZ752,$AY$6:$AY$1005,0)),0))</f>
        <v>1187.10688</v>
      </c>
      <c r="BM752" s="56">
        <f>IF(ISNUMBER(SEARCH("daily max loss",$BG752)),1,0)</f>
        <v>0</v>
      </c>
    </row>
    <row r="753" ht="18" customHeight="1">
      <c r="A753" s="38" t="n"/>
      <c r="B753" s="39" t="n"/>
      <c r="C753" s="40" t="n"/>
      <c r="D753" s="41" t="n"/>
      <c r="E753" s="41" t="n"/>
      <c r="F753" s="41" t="n"/>
      <c r="G753" s="41" t="n"/>
      <c r="H753" s="42" t="n"/>
      <c r="I753" s="42" t="n"/>
      <c r="J753" s="42" t="n"/>
      <c r="K753" s="42" t="n"/>
      <c r="L753" s="41" t="n"/>
      <c r="M753" s="41" t="n"/>
      <c r="N753" s="41" t="n"/>
      <c r="O753" s="43" t="n"/>
      <c r="P753" s="43" t="n"/>
      <c r="Q753" s="44" t="str">
        <f>IF($AM753=0,"",IF(ISNUMBER($AK753),$AK753-N($AL753),""))</f>
        <v/>
      </c>
      <c r="R753" s="45" t="str">
        <f>IF(OR($Q753="",NOT(ISNUMBER($V753))),"",$AK753/$V753)</f>
        <v/>
      </c>
      <c r="S753" s="46" t="str">
        <f>IF($Q753="","",IF(AND(ISNUMBER($R753),ABS(N($R753))&lt;N(Settings!$C$8)),"Scratch",IF($Q753&gt;0,"Win",IF($Q753&lt;0,"Loss","Scratch"))))</f>
        <v/>
      </c>
      <c r="T753" s="47" t="str">
        <f>IF(OR($AM753=0,NOT(ISNUMBER($H753)),NOT(ISNUMBER($I753)),NOT(ISNUMBER($J753))),"",IF($H753=$I753,"",ROUND(ABS($J753-$H753)/ABS($H753-$I753),6)))</f>
        <v/>
      </c>
      <c r="U753" s="48" t="str">
        <f>IF(OR($S753&lt;&gt;"Win",NOT(ISNUMBER($T753)),NOT(ISNUMBER($R753))),"",MAX(0,$T753-$R753))</f>
        <v/>
      </c>
      <c r="V753" s="49" t="str">
        <f>IF(OR($AM753=0,NOT(ISNUMBER($H753)),NOT(ISNUMBER($I753)),NOT(ISNUMBER($G753))),"",IF(OR($AG753="",$AH753=""),"",IF(ROUND(ABS($H753-$I753)*ABS($G753)*$AG753*$AH753,6)=0,"",ROUND(ABS($H753-$I753)*ABS($G753)*$AG753*$AH753,6))))</f>
        <v/>
      </c>
      <c r="W753" s="50" t="str">
        <f>IF($AM753=0,"",IF($BG753="","OK",LEFT($BG753,LEN($BG753)-2)))</f>
        <v/>
      </c>
      <c r="X753" s="41" t="n"/>
      <c r="Y753" s="40" t="n"/>
      <c r="Z753" s="41" t="n"/>
      <c r="AA753" s="41" t="n"/>
      <c r="AB753" s="40" t="n"/>
      <c r="AC753" s="51" t="n"/>
      <c r="AD753" s="51" t="n"/>
      <c r="AE753" s="40" t="n"/>
      <c r="AF753" s="52" t="str">
        <f>IF($AM753=0,"",IF($D753&lt;&gt;"",$D753,IF(IFERROR(INDEX(Accounts!$C$7:$C$16,MATCH($C753,Accounts!$B$7:$B$16,0))&amp;"","")&lt;&gt;"",INDEX(Accounts!$C$7:$C$16,MATCH($C753,Accounts!$B$7:$B$16,0)),Settings!$C$6)))</f>
        <v/>
      </c>
      <c r="AG753" s="53" t="str">
        <f>IF($AM753=0,"",IF(AND($BE753&gt;0,N(INDEX(Instruments!$D$6:$D$205,MAX(1,$BE753)))&gt;0),INDEX(Instruments!$D$6:$D$205,MAX(1,$BE753)),IF(N(INDEX(Settings!$D$14:$D$18,$BF753))&gt;0,INDEX(Settings!$D$14:$D$18,$BF753),"")))</f>
        <v/>
      </c>
      <c r="AH753" s="54" t="str">
        <f>IF($AM753=0,"",IF($AF753&lt;&gt;"Forex",1,IF(MID(UPPER(SUBSTITUTE(TRIM($E753),"/","")),4,3)=UPPER(TRIM(Settings!$C$7)),1,IF(LEFT(UPPER(SUBSTITUTE(TRIM($E753),"/","")),3)=UPPER(TRIM(Settings!$C$7)),IF(AND(ISNUMBER($K753),N($K753)&lt;&gt;0),1/$K753,""),""))))</f>
        <v/>
      </c>
      <c r="AI753" s="55" t="str">
        <f>IF($AM753=0,"",IF(OR(NOT(ISNUMBER($H753)),NOT(ISNUMBER($K753)),NOT(ISNUMBER($G753)),$AG753="",$AH753=""),"",ROUND(($K753-$H753)*IF($F753="Short",-1,1)*$G753*$AG753*$AH753,6)))</f>
        <v/>
      </c>
      <c r="AJ753" s="55" t="str">
        <f>IF($AM753=0,"",IF(INDEX(Settings!$E$14:$E$18,$BF753)="% of notional",IF(OR($AG753="",NOT(ISNUMBER($H753)),NOT(ISNUMBER($G753))),"",ROUND(ABS($H753*$G753*$AG753*N($AH753))*IF($L753="Limit",N(INDEX(Settings!$G$14:$G$18,$BF753)),N(INDEX(Settings!$H$14:$H$18,$BF753)))+IF(ISNUMBER($K753),ABS($K753*$G753*$AG753*N($AH753))*IF($M753="Target",N(INDEX(Settings!$G$14:$G$18,$BF753)),N(INDEX(Settings!$H$14:$H$18,$BF753))),0),6)),IF(NOT(ISNUMBER($G753)),"",ROUND(ABS($G753)*2*IF(AND($BE753&gt;0,ISNUMBER(INDEX(Instruments!$G$6:$G$205,MAX(1,$BE753)))),INDEX(Instruments!$G$6:$G$205,MAX(1,$BE753)),N(INDEX(Settings!$F$14:$F$18,$BF753))),6))))</f>
        <v/>
      </c>
      <c r="AK753" s="55" t="str">
        <f>IF($AM753=0,"",IF(ISNUMBER($O753),$O753,$AI753))</f>
        <v/>
      </c>
      <c r="AL753" s="55" t="str">
        <f>IF($AM753=0,"",IF(ISNUMBER($P753),$P753,N($AJ753)))</f>
        <v/>
      </c>
      <c r="AM753" s="56">
        <f>IF(AND($A753&lt;&gt;"",$E753&lt;&gt;"",OR(AND(ISNUMBER($G753),ISNUMBER($H753),ISNUMBER($K753)),ISNUMBER($O753))),1,0)</f>
        <v>0</v>
      </c>
      <c r="AN753" s="57" t="str">
        <f>IF($A753="","",$A753-WEEKDAY($A753,3))</f>
        <v/>
      </c>
      <c r="AO753" s="56" t="str">
        <f>IF($A753="","",WEEKDAY($A753,2))</f>
        <v/>
      </c>
      <c r="AP753" s="55" t="str">
        <f>IF(OR($AM753=0,$C753=""),"",IFERROR(N(INDEX(Accounts!$E$7:$E$16,MATCH($C753,Accounts!$B$7:$B$16,0))),0)+SUMIFS($Q$6:$Q753,$C$6:$C753,$C753))</f>
        <v/>
      </c>
      <c r="AQ753" s="55" t="str">
        <f>IF(OR($AM753=0,$C753=""),"",SUMIFS($Q$6:$Q$1005,$C$6:$C$1005,$C753,$A$6:$A$1005,$A753))</f>
        <v/>
      </c>
      <c r="AR753" s="55" t="str">
        <f>IF(OR($AM753=0,$C753=""),"",IFERROR(N(INDEX(Accounts!$E$7:$E$16,MATCH($C753,Accounts!$B$7:$B$16,0))),0)+SUMIFS($Q$6:$Q$1005,$C$6:$C$1005,$C753,$A$6:$A$1005,"&lt;="&amp;$A753))</f>
        <v/>
      </c>
      <c r="AS753" s="56">
        <f>IF(OR($AM753=0,$Q753=""),0,IF(AND($A753&gt;=Lists!$W$6,$A753&lt;=Lists!$W$7,OR(Dashboard!$D$6="All accounts",$C753=Dashboard!$D$6),OR(Dashboard!$D$7="All markets",$AF753=Dashboard!$D$7)),1,0))</f>
        <v>0</v>
      </c>
      <c r="AT753" s="55">
        <f>IF($AS753=1,N(AT752)+$Q753,N(AT752))</f>
        <v>1187.10688</v>
      </c>
      <c r="AU753" s="55">
        <f>MAX(N(AU752),$AT753)</f>
        <v>1187.10688</v>
      </c>
      <c r="AV753" s="55">
        <f>$AT753-$AU753</f>
        <v>0</v>
      </c>
      <c r="AW753" s="56">
        <f>IF($AS753=1,IF($S753="Win",N(AW752)+1,IF($S753="Loss",0,N(AW752))),N(AW752))</f>
        <v>5</v>
      </c>
      <c r="AX753" s="56">
        <f>IF($AS753=1,IF($S753="Loss",N(AX752)+1,IF($S753="Win",0,N(AX752))),N(AX752))</f>
        <v>0</v>
      </c>
      <c r="AY753" s="56" t="str">
        <f>IF($AS753=1,COUNTIF($AS$6:$AS753,1),"")</f>
        <v/>
      </c>
      <c r="AZ753" s="56">
        <f>MIN(747,N(Lists!$W$8))</f>
        <v>28</v>
      </c>
      <c r="BA753" s="56">
        <f>IF($AS753=1,IF(COUNTIFS($A$6:$A753,$A753,$AS$6:$AS753,1)=1,1,0),0)</f>
        <v>0</v>
      </c>
      <c r="BB753" s="55" t="str">
        <f>IF($BA753=1,SUMIFS($Q$6:$Q$1005,$A$6:$A$1005,$A753,$AS$6:$AS$1005,1),"")</f>
        <v/>
      </c>
      <c r="BC753" s="56">
        <f>IF(ISNUMBER($R753),1,0)</f>
        <v>0</v>
      </c>
      <c r="BD753" s="55" t="str">
        <f>IF(ISNUMBER($U753),$U753*$V753,"")</f>
        <v/>
      </c>
      <c r="BE753" s="56" t="str">
        <f>IF($AM753=0,"",IFERROR(MATCH($AF753&amp;"|"&amp;UPPER(TRIM($E753)),Lists!$A$6:$A$205,0),0))</f>
        <v/>
      </c>
      <c r="BF753" s="56" t="str">
        <f>IF($AM753=0,"",IFERROR(MATCH($AF753,Settings!$B$14:$B$18,0),IFERROR(MATCH(Settings!$C$6,Settings!$B$14:$B$18,0),1)))</f>
        <v/>
      </c>
      <c r="BG753" s="58" t="str">
        <f>IF($AM753=0,"",IF(NOT(ISNUMBER($I753)),"No stop; ","")&amp;IF(AND(ISNUMBER($H753),ISNUMBER($I753)),IF(OR(AND($F753&lt;&gt;"Short",$I753&gt;=$H753),AND($F753="Short",$I753&lt;=$H753)),"Stop on wrong side; ",""),"")&amp;IF($F753="","No direction; ","")&amp;IF(AND(ISNUMBER(Settings!$C$22),ISNUMBER($V753)),IF($V753&gt;Settings!$C$22,"Risk over max $; ",""),"")&amp;IF(AND(ISNUMBER(Settings!$C$23),ISNUMBER($V753),ISNUMBER($AP753),IFERROR(N(INDEX(Accounts!$E$7:$E$16,MATCH($C753,Accounts!$B$7:$B$16,0))),0)&gt;0),IF($V753&gt;Settings!$C$23*($AP753-N($Q753)),"Risk over max %; ",""),"")&amp;IF(AND(ISNUMBER(Settings!$C$24),ISNUMBER($N753)),IF($N753&gt;Settings!$C$24,"Leverage over max; ",""),"")&amp;IF(AND(ISNUMBER(Settings!$C$27),ISNUMBER($T753)),IF($T753&lt;Settings!$C$27,"R:R below min; ",""),"")&amp;IF(ISNUMBER(Settings!$C$25),IF(COUNTIFS($A$6:$A753,$A753,$AM$6:$AM753,1)&gt;Settings!$C$25,"Over max trades/day; ",""),"")&amp;IF(ISNUMBER(Settings!$C$26),IF(SUMIFS($Q$5:$Q752,$A$5:$A752,$A753)&lt;=-Settings!$C$26,"Traded after daily max loss; ",""),"")&amp;IF(AND($AG753="",NOT(ISNUMBER($O753))),"Symbol not in Instruments; ","")&amp;IF(AND($AH753="",NOT(ISNUMBER($O753))),"Forex cross: type Gross P&amp;L; ",""))</f>
        <v/>
      </c>
      <c r="BH753" s="56">
        <f>IF(ISNUMBER($Q753),1,0)</f>
        <v>0</v>
      </c>
      <c r="BI753" s="56">
        <f>IF($Y753="",0,1)</f>
        <v>0</v>
      </c>
      <c r="BJ753" s="56">
        <f>IF($AB753="",0,1)</f>
        <v>0</v>
      </c>
      <c r="BK753" s="56">
        <f>IF(AND($BH753=1,$W753&lt;&gt;"OK"),1,0)</f>
        <v>0</v>
      </c>
      <c r="BL753" s="55">
        <f>IF(N($AZ753)=0,0,IFERROR(INDEX($AT$6:$AT$1005,MATCH($AZ753,$AY$6:$AY$1005,0)),0))</f>
        <v>1187.10688</v>
      </c>
      <c r="BM753" s="56">
        <f>IF(ISNUMBER(SEARCH("daily max loss",$BG753)),1,0)</f>
        <v>0</v>
      </c>
    </row>
    <row r="754" ht="18" customHeight="1">
      <c r="A754" s="38" t="n"/>
      <c r="B754" s="39" t="n"/>
      <c r="C754" s="40" t="n"/>
      <c r="D754" s="41" t="n"/>
      <c r="E754" s="41" t="n"/>
      <c r="F754" s="41" t="n"/>
      <c r="G754" s="41" t="n"/>
      <c r="H754" s="42" t="n"/>
      <c r="I754" s="42" t="n"/>
      <c r="J754" s="42" t="n"/>
      <c r="K754" s="42" t="n"/>
      <c r="L754" s="41" t="n"/>
      <c r="M754" s="41" t="n"/>
      <c r="N754" s="41" t="n"/>
      <c r="O754" s="43" t="n"/>
      <c r="P754" s="43" t="n"/>
      <c r="Q754" s="44" t="str">
        <f>IF($AM754=0,"",IF(ISNUMBER($AK754),$AK754-N($AL754),""))</f>
        <v/>
      </c>
      <c r="R754" s="45" t="str">
        <f>IF(OR($Q754="",NOT(ISNUMBER($V754))),"",$AK754/$V754)</f>
        <v/>
      </c>
      <c r="S754" s="46" t="str">
        <f>IF($Q754="","",IF(AND(ISNUMBER($R754),ABS(N($R754))&lt;N(Settings!$C$8)),"Scratch",IF($Q754&gt;0,"Win",IF($Q754&lt;0,"Loss","Scratch"))))</f>
        <v/>
      </c>
      <c r="T754" s="47" t="str">
        <f>IF(OR($AM754=0,NOT(ISNUMBER($H754)),NOT(ISNUMBER($I754)),NOT(ISNUMBER($J754))),"",IF($H754=$I754,"",ROUND(ABS($J754-$H754)/ABS($H754-$I754),6)))</f>
        <v/>
      </c>
      <c r="U754" s="48" t="str">
        <f>IF(OR($S754&lt;&gt;"Win",NOT(ISNUMBER($T754)),NOT(ISNUMBER($R754))),"",MAX(0,$T754-$R754))</f>
        <v/>
      </c>
      <c r="V754" s="49" t="str">
        <f>IF(OR($AM754=0,NOT(ISNUMBER($H754)),NOT(ISNUMBER($I754)),NOT(ISNUMBER($G754))),"",IF(OR($AG754="",$AH754=""),"",IF(ROUND(ABS($H754-$I754)*ABS($G754)*$AG754*$AH754,6)=0,"",ROUND(ABS($H754-$I754)*ABS($G754)*$AG754*$AH754,6))))</f>
        <v/>
      </c>
      <c r="W754" s="50" t="str">
        <f>IF($AM754=0,"",IF($BG754="","OK",LEFT($BG754,LEN($BG754)-2)))</f>
        <v/>
      </c>
      <c r="X754" s="41" t="n"/>
      <c r="Y754" s="40" t="n"/>
      <c r="Z754" s="41" t="n"/>
      <c r="AA754" s="41" t="n"/>
      <c r="AB754" s="40" t="n"/>
      <c r="AC754" s="51" t="n"/>
      <c r="AD754" s="51" t="n"/>
      <c r="AE754" s="40" t="n"/>
      <c r="AF754" s="52" t="str">
        <f>IF($AM754=0,"",IF($D754&lt;&gt;"",$D754,IF(IFERROR(INDEX(Accounts!$C$7:$C$16,MATCH($C754,Accounts!$B$7:$B$16,0))&amp;"","")&lt;&gt;"",INDEX(Accounts!$C$7:$C$16,MATCH($C754,Accounts!$B$7:$B$16,0)),Settings!$C$6)))</f>
        <v/>
      </c>
      <c r="AG754" s="53" t="str">
        <f>IF($AM754=0,"",IF(AND($BE754&gt;0,N(INDEX(Instruments!$D$6:$D$205,MAX(1,$BE754)))&gt;0),INDEX(Instruments!$D$6:$D$205,MAX(1,$BE754)),IF(N(INDEX(Settings!$D$14:$D$18,$BF754))&gt;0,INDEX(Settings!$D$14:$D$18,$BF754),"")))</f>
        <v/>
      </c>
      <c r="AH754" s="54" t="str">
        <f>IF($AM754=0,"",IF($AF754&lt;&gt;"Forex",1,IF(MID(UPPER(SUBSTITUTE(TRIM($E754),"/","")),4,3)=UPPER(TRIM(Settings!$C$7)),1,IF(LEFT(UPPER(SUBSTITUTE(TRIM($E754),"/","")),3)=UPPER(TRIM(Settings!$C$7)),IF(AND(ISNUMBER($K754),N($K754)&lt;&gt;0),1/$K754,""),""))))</f>
        <v/>
      </c>
      <c r="AI754" s="55" t="str">
        <f>IF($AM754=0,"",IF(OR(NOT(ISNUMBER($H754)),NOT(ISNUMBER($K754)),NOT(ISNUMBER($G754)),$AG754="",$AH754=""),"",ROUND(($K754-$H754)*IF($F754="Short",-1,1)*$G754*$AG754*$AH754,6)))</f>
        <v/>
      </c>
      <c r="AJ754" s="55" t="str">
        <f>IF($AM754=0,"",IF(INDEX(Settings!$E$14:$E$18,$BF754)="% of notional",IF(OR($AG754="",NOT(ISNUMBER($H754)),NOT(ISNUMBER($G754))),"",ROUND(ABS($H754*$G754*$AG754*N($AH754))*IF($L754="Limit",N(INDEX(Settings!$G$14:$G$18,$BF754)),N(INDEX(Settings!$H$14:$H$18,$BF754)))+IF(ISNUMBER($K754),ABS($K754*$G754*$AG754*N($AH754))*IF($M754="Target",N(INDEX(Settings!$G$14:$G$18,$BF754)),N(INDEX(Settings!$H$14:$H$18,$BF754))),0),6)),IF(NOT(ISNUMBER($G754)),"",ROUND(ABS($G754)*2*IF(AND($BE754&gt;0,ISNUMBER(INDEX(Instruments!$G$6:$G$205,MAX(1,$BE754)))),INDEX(Instruments!$G$6:$G$205,MAX(1,$BE754)),N(INDEX(Settings!$F$14:$F$18,$BF754))),6))))</f>
        <v/>
      </c>
      <c r="AK754" s="55" t="str">
        <f>IF($AM754=0,"",IF(ISNUMBER($O754),$O754,$AI754))</f>
        <v/>
      </c>
      <c r="AL754" s="55" t="str">
        <f>IF($AM754=0,"",IF(ISNUMBER($P754),$P754,N($AJ754)))</f>
        <v/>
      </c>
      <c r="AM754" s="56">
        <f>IF(AND($A754&lt;&gt;"",$E754&lt;&gt;"",OR(AND(ISNUMBER($G754),ISNUMBER($H754),ISNUMBER($K754)),ISNUMBER($O754))),1,0)</f>
        <v>0</v>
      </c>
      <c r="AN754" s="57" t="str">
        <f>IF($A754="","",$A754-WEEKDAY($A754,3))</f>
        <v/>
      </c>
      <c r="AO754" s="56" t="str">
        <f>IF($A754="","",WEEKDAY($A754,2))</f>
        <v/>
      </c>
      <c r="AP754" s="55" t="str">
        <f>IF(OR($AM754=0,$C754=""),"",IFERROR(N(INDEX(Accounts!$E$7:$E$16,MATCH($C754,Accounts!$B$7:$B$16,0))),0)+SUMIFS($Q$6:$Q754,$C$6:$C754,$C754))</f>
        <v/>
      </c>
      <c r="AQ754" s="55" t="str">
        <f>IF(OR($AM754=0,$C754=""),"",SUMIFS($Q$6:$Q$1005,$C$6:$C$1005,$C754,$A$6:$A$1005,$A754))</f>
        <v/>
      </c>
      <c r="AR754" s="55" t="str">
        <f>IF(OR($AM754=0,$C754=""),"",IFERROR(N(INDEX(Accounts!$E$7:$E$16,MATCH($C754,Accounts!$B$7:$B$16,0))),0)+SUMIFS($Q$6:$Q$1005,$C$6:$C$1005,$C754,$A$6:$A$1005,"&lt;="&amp;$A754))</f>
        <v/>
      </c>
      <c r="AS754" s="56">
        <f>IF(OR($AM754=0,$Q754=""),0,IF(AND($A754&gt;=Lists!$W$6,$A754&lt;=Lists!$W$7,OR(Dashboard!$D$6="All accounts",$C754=Dashboard!$D$6),OR(Dashboard!$D$7="All markets",$AF754=Dashboard!$D$7)),1,0))</f>
        <v>0</v>
      </c>
      <c r="AT754" s="55">
        <f>IF($AS754=1,N(AT753)+$Q754,N(AT753))</f>
        <v>1187.10688</v>
      </c>
      <c r="AU754" s="55">
        <f>MAX(N(AU753),$AT754)</f>
        <v>1187.10688</v>
      </c>
      <c r="AV754" s="55">
        <f>$AT754-$AU754</f>
        <v>0</v>
      </c>
      <c r="AW754" s="56">
        <f>IF($AS754=1,IF($S754="Win",N(AW753)+1,IF($S754="Loss",0,N(AW753))),N(AW753))</f>
        <v>5</v>
      </c>
      <c r="AX754" s="56">
        <f>IF($AS754=1,IF($S754="Loss",N(AX753)+1,IF($S754="Win",0,N(AX753))),N(AX753))</f>
        <v>0</v>
      </c>
      <c r="AY754" s="56" t="str">
        <f>IF($AS754=1,COUNTIF($AS$6:$AS754,1),"")</f>
        <v/>
      </c>
      <c r="AZ754" s="56">
        <f>MIN(748,N(Lists!$W$8))</f>
        <v>28</v>
      </c>
      <c r="BA754" s="56">
        <f>IF($AS754=1,IF(COUNTIFS($A$6:$A754,$A754,$AS$6:$AS754,1)=1,1,0),0)</f>
        <v>0</v>
      </c>
      <c r="BB754" s="55" t="str">
        <f>IF($BA754=1,SUMIFS($Q$6:$Q$1005,$A$6:$A$1005,$A754,$AS$6:$AS$1005,1),"")</f>
        <v/>
      </c>
      <c r="BC754" s="56">
        <f>IF(ISNUMBER($R754),1,0)</f>
        <v>0</v>
      </c>
      <c r="BD754" s="55" t="str">
        <f>IF(ISNUMBER($U754),$U754*$V754,"")</f>
        <v/>
      </c>
      <c r="BE754" s="56" t="str">
        <f>IF($AM754=0,"",IFERROR(MATCH($AF754&amp;"|"&amp;UPPER(TRIM($E754)),Lists!$A$6:$A$205,0),0))</f>
        <v/>
      </c>
      <c r="BF754" s="56" t="str">
        <f>IF($AM754=0,"",IFERROR(MATCH($AF754,Settings!$B$14:$B$18,0),IFERROR(MATCH(Settings!$C$6,Settings!$B$14:$B$18,0),1)))</f>
        <v/>
      </c>
      <c r="BG754" s="58" t="str">
        <f>IF($AM754=0,"",IF(NOT(ISNUMBER($I754)),"No stop; ","")&amp;IF(AND(ISNUMBER($H754),ISNUMBER($I754)),IF(OR(AND($F754&lt;&gt;"Short",$I754&gt;=$H754),AND($F754="Short",$I754&lt;=$H754)),"Stop on wrong side; ",""),"")&amp;IF($F754="","No direction; ","")&amp;IF(AND(ISNUMBER(Settings!$C$22),ISNUMBER($V754)),IF($V754&gt;Settings!$C$22,"Risk over max $; ",""),"")&amp;IF(AND(ISNUMBER(Settings!$C$23),ISNUMBER($V754),ISNUMBER($AP754),IFERROR(N(INDEX(Accounts!$E$7:$E$16,MATCH($C754,Accounts!$B$7:$B$16,0))),0)&gt;0),IF($V754&gt;Settings!$C$23*($AP754-N($Q754)),"Risk over max %; ",""),"")&amp;IF(AND(ISNUMBER(Settings!$C$24),ISNUMBER($N754)),IF($N754&gt;Settings!$C$24,"Leverage over max; ",""),"")&amp;IF(AND(ISNUMBER(Settings!$C$27),ISNUMBER($T754)),IF($T754&lt;Settings!$C$27,"R:R below min; ",""),"")&amp;IF(ISNUMBER(Settings!$C$25),IF(COUNTIFS($A$6:$A754,$A754,$AM$6:$AM754,1)&gt;Settings!$C$25,"Over max trades/day; ",""),"")&amp;IF(ISNUMBER(Settings!$C$26),IF(SUMIFS($Q$5:$Q753,$A$5:$A753,$A754)&lt;=-Settings!$C$26,"Traded after daily max loss; ",""),"")&amp;IF(AND($AG754="",NOT(ISNUMBER($O754))),"Symbol not in Instruments; ","")&amp;IF(AND($AH754="",NOT(ISNUMBER($O754))),"Forex cross: type Gross P&amp;L; ",""))</f>
        <v/>
      </c>
      <c r="BH754" s="56">
        <f>IF(ISNUMBER($Q754),1,0)</f>
        <v>0</v>
      </c>
      <c r="BI754" s="56">
        <f>IF($Y754="",0,1)</f>
        <v>0</v>
      </c>
      <c r="BJ754" s="56">
        <f>IF($AB754="",0,1)</f>
        <v>0</v>
      </c>
      <c r="BK754" s="56">
        <f>IF(AND($BH754=1,$W754&lt;&gt;"OK"),1,0)</f>
        <v>0</v>
      </c>
      <c r="BL754" s="55">
        <f>IF(N($AZ754)=0,0,IFERROR(INDEX($AT$6:$AT$1005,MATCH($AZ754,$AY$6:$AY$1005,0)),0))</f>
        <v>1187.10688</v>
      </c>
      <c r="BM754" s="56">
        <f>IF(ISNUMBER(SEARCH("daily max loss",$BG754)),1,0)</f>
        <v>0</v>
      </c>
    </row>
    <row r="755" ht="18" customHeight="1">
      <c r="A755" s="38" t="n"/>
      <c r="B755" s="39" t="n"/>
      <c r="C755" s="40" t="n"/>
      <c r="D755" s="41" t="n"/>
      <c r="E755" s="41" t="n"/>
      <c r="F755" s="41" t="n"/>
      <c r="G755" s="41" t="n"/>
      <c r="H755" s="42" t="n"/>
      <c r="I755" s="42" t="n"/>
      <c r="J755" s="42" t="n"/>
      <c r="K755" s="42" t="n"/>
      <c r="L755" s="41" t="n"/>
      <c r="M755" s="41" t="n"/>
      <c r="N755" s="41" t="n"/>
      <c r="O755" s="43" t="n"/>
      <c r="P755" s="43" t="n"/>
      <c r="Q755" s="44" t="str">
        <f>IF($AM755=0,"",IF(ISNUMBER($AK755),$AK755-N($AL755),""))</f>
        <v/>
      </c>
      <c r="R755" s="45" t="str">
        <f>IF(OR($Q755="",NOT(ISNUMBER($V755))),"",$AK755/$V755)</f>
        <v/>
      </c>
      <c r="S755" s="46" t="str">
        <f>IF($Q755="","",IF(AND(ISNUMBER($R755),ABS(N($R755))&lt;N(Settings!$C$8)),"Scratch",IF($Q755&gt;0,"Win",IF($Q755&lt;0,"Loss","Scratch"))))</f>
        <v/>
      </c>
      <c r="T755" s="47" t="str">
        <f>IF(OR($AM755=0,NOT(ISNUMBER($H755)),NOT(ISNUMBER($I755)),NOT(ISNUMBER($J755))),"",IF($H755=$I755,"",ROUND(ABS($J755-$H755)/ABS($H755-$I755),6)))</f>
        <v/>
      </c>
      <c r="U755" s="48" t="str">
        <f>IF(OR($S755&lt;&gt;"Win",NOT(ISNUMBER($T755)),NOT(ISNUMBER($R755))),"",MAX(0,$T755-$R755))</f>
        <v/>
      </c>
      <c r="V755" s="49" t="str">
        <f>IF(OR($AM755=0,NOT(ISNUMBER($H755)),NOT(ISNUMBER($I755)),NOT(ISNUMBER($G755))),"",IF(OR($AG755="",$AH755=""),"",IF(ROUND(ABS($H755-$I755)*ABS($G755)*$AG755*$AH755,6)=0,"",ROUND(ABS($H755-$I755)*ABS($G755)*$AG755*$AH755,6))))</f>
        <v/>
      </c>
      <c r="W755" s="50" t="str">
        <f>IF($AM755=0,"",IF($BG755="","OK",LEFT($BG755,LEN($BG755)-2)))</f>
        <v/>
      </c>
      <c r="X755" s="41" t="n"/>
      <c r="Y755" s="40" t="n"/>
      <c r="Z755" s="41" t="n"/>
      <c r="AA755" s="41" t="n"/>
      <c r="AB755" s="40" t="n"/>
      <c r="AC755" s="51" t="n"/>
      <c r="AD755" s="51" t="n"/>
      <c r="AE755" s="40" t="n"/>
      <c r="AF755" s="52" t="str">
        <f>IF($AM755=0,"",IF($D755&lt;&gt;"",$D755,IF(IFERROR(INDEX(Accounts!$C$7:$C$16,MATCH($C755,Accounts!$B$7:$B$16,0))&amp;"","")&lt;&gt;"",INDEX(Accounts!$C$7:$C$16,MATCH($C755,Accounts!$B$7:$B$16,0)),Settings!$C$6)))</f>
        <v/>
      </c>
      <c r="AG755" s="53" t="str">
        <f>IF($AM755=0,"",IF(AND($BE755&gt;0,N(INDEX(Instruments!$D$6:$D$205,MAX(1,$BE755)))&gt;0),INDEX(Instruments!$D$6:$D$205,MAX(1,$BE755)),IF(N(INDEX(Settings!$D$14:$D$18,$BF755))&gt;0,INDEX(Settings!$D$14:$D$18,$BF755),"")))</f>
        <v/>
      </c>
      <c r="AH755" s="54" t="str">
        <f>IF($AM755=0,"",IF($AF755&lt;&gt;"Forex",1,IF(MID(UPPER(SUBSTITUTE(TRIM($E755),"/","")),4,3)=UPPER(TRIM(Settings!$C$7)),1,IF(LEFT(UPPER(SUBSTITUTE(TRIM($E755),"/","")),3)=UPPER(TRIM(Settings!$C$7)),IF(AND(ISNUMBER($K755),N($K755)&lt;&gt;0),1/$K755,""),""))))</f>
        <v/>
      </c>
      <c r="AI755" s="55" t="str">
        <f>IF($AM755=0,"",IF(OR(NOT(ISNUMBER($H755)),NOT(ISNUMBER($K755)),NOT(ISNUMBER($G755)),$AG755="",$AH755=""),"",ROUND(($K755-$H755)*IF($F755="Short",-1,1)*$G755*$AG755*$AH755,6)))</f>
        <v/>
      </c>
      <c r="AJ755" s="55" t="str">
        <f>IF($AM755=0,"",IF(INDEX(Settings!$E$14:$E$18,$BF755)="% of notional",IF(OR($AG755="",NOT(ISNUMBER($H755)),NOT(ISNUMBER($G755))),"",ROUND(ABS($H755*$G755*$AG755*N($AH755))*IF($L755="Limit",N(INDEX(Settings!$G$14:$G$18,$BF755)),N(INDEX(Settings!$H$14:$H$18,$BF755)))+IF(ISNUMBER($K755),ABS($K755*$G755*$AG755*N($AH755))*IF($M755="Target",N(INDEX(Settings!$G$14:$G$18,$BF755)),N(INDEX(Settings!$H$14:$H$18,$BF755))),0),6)),IF(NOT(ISNUMBER($G755)),"",ROUND(ABS($G755)*2*IF(AND($BE755&gt;0,ISNUMBER(INDEX(Instruments!$G$6:$G$205,MAX(1,$BE755)))),INDEX(Instruments!$G$6:$G$205,MAX(1,$BE755)),N(INDEX(Settings!$F$14:$F$18,$BF755))),6))))</f>
        <v/>
      </c>
      <c r="AK755" s="55" t="str">
        <f>IF($AM755=0,"",IF(ISNUMBER($O755),$O755,$AI755))</f>
        <v/>
      </c>
      <c r="AL755" s="55" t="str">
        <f>IF($AM755=0,"",IF(ISNUMBER($P755),$P755,N($AJ755)))</f>
        <v/>
      </c>
      <c r="AM755" s="56">
        <f>IF(AND($A755&lt;&gt;"",$E755&lt;&gt;"",OR(AND(ISNUMBER($G755),ISNUMBER($H755),ISNUMBER($K755)),ISNUMBER($O755))),1,0)</f>
        <v>0</v>
      </c>
      <c r="AN755" s="57" t="str">
        <f>IF($A755="","",$A755-WEEKDAY($A755,3))</f>
        <v/>
      </c>
      <c r="AO755" s="56" t="str">
        <f>IF($A755="","",WEEKDAY($A755,2))</f>
        <v/>
      </c>
      <c r="AP755" s="55" t="str">
        <f>IF(OR($AM755=0,$C755=""),"",IFERROR(N(INDEX(Accounts!$E$7:$E$16,MATCH($C755,Accounts!$B$7:$B$16,0))),0)+SUMIFS($Q$6:$Q755,$C$6:$C755,$C755))</f>
        <v/>
      </c>
      <c r="AQ755" s="55" t="str">
        <f>IF(OR($AM755=0,$C755=""),"",SUMIFS($Q$6:$Q$1005,$C$6:$C$1005,$C755,$A$6:$A$1005,$A755))</f>
        <v/>
      </c>
      <c r="AR755" s="55" t="str">
        <f>IF(OR($AM755=0,$C755=""),"",IFERROR(N(INDEX(Accounts!$E$7:$E$16,MATCH($C755,Accounts!$B$7:$B$16,0))),0)+SUMIFS($Q$6:$Q$1005,$C$6:$C$1005,$C755,$A$6:$A$1005,"&lt;="&amp;$A755))</f>
        <v/>
      </c>
      <c r="AS755" s="56">
        <f>IF(OR($AM755=0,$Q755=""),0,IF(AND($A755&gt;=Lists!$W$6,$A755&lt;=Lists!$W$7,OR(Dashboard!$D$6="All accounts",$C755=Dashboard!$D$6),OR(Dashboard!$D$7="All markets",$AF755=Dashboard!$D$7)),1,0))</f>
        <v>0</v>
      </c>
      <c r="AT755" s="55">
        <f>IF($AS755=1,N(AT754)+$Q755,N(AT754))</f>
        <v>1187.10688</v>
      </c>
      <c r="AU755" s="55">
        <f>MAX(N(AU754),$AT755)</f>
        <v>1187.10688</v>
      </c>
      <c r="AV755" s="55">
        <f>$AT755-$AU755</f>
        <v>0</v>
      </c>
      <c r="AW755" s="56">
        <f>IF($AS755=1,IF($S755="Win",N(AW754)+1,IF($S755="Loss",0,N(AW754))),N(AW754))</f>
        <v>5</v>
      </c>
      <c r="AX755" s="56">
        <f>IF($AS755=1,IF($S755="Loss",N(AX754)+1,IF($S755="Win",0,N(AX754))),N(AX754))</f>
        <v>0</v>
      </c>
      <c r="AY755" s="56" t="str">
        <f>IF($AS755=1,COUNTIF($AS$6:$AS755,1),"")</f>
        <v/>
      </c>
      <c r="AZ755" s="56">
        <f>MIN(749,N(Lists!$W$8))</f>
        <v>28</v>
      </c>
      <c r="BA755" s="56">
        <f>IF($AS755=1,IF(COUNTIFS($A$6:$A755,$A755,$AS$6:$AS755,1)=1,1,0),0)</f>
        <v>0</v>
      </c>
      <c r="BB755" s="55" t="str">
        <f>IF($BA755=1,SUMIFS($Q$6:$Q$1005,$A$6:$A$1005,$A755,$AS$6:$AS$1005,1),"")</f>
        <v/>
      </c>
      <c r="BC755" s="56">
        <f>IF(ISNUMBER($R755),1,0)</f>
        <v>0</v>
      </c>
      <c r="BD755" s="55" t="str">
        <f>IF(ISNUMBER($U755),$U755*$V755,"")</f>
        <v/>
      </c>
      <c r="BE755" s="56" t="str">
        <f>IF($AM755=0,"",IFERROR(MATCH($AF755&amp;"|"&amp;UPPER(TRIM($E755)),Lists!$A$6:$A$205,0),0))</f>
        <v/>
      </c>
      <c r="BF755" s="56" t="str">
        <f>IF($AM755=0,"",IFERROR(MATCH($AF755,Settings!$B$14:$B$18,0),IFERROR(MATCH(Settings!$C$6,Settings!$B$14:$B$18,0),1)))</f>
        <v/>
      </c>
      <c r="BG755" s="58" t="str">
        <f>IF($AM755=0,"",IF(NOT(ISNUMBER($I755)),"No stop; ","")&amp;IF(AND(ISNUMBER($H755),ISNUMBER($I755)),IF(OR(AND($F755&lt;&gt;"Short",$I755&gt;=$H755),AND($F755="Short",$I755&lt;=$H755)),"Stop on wrong side; ",""),"")&amp;IF($F755="","No direction; ","")&amp;IF(AND(ISNUMBER(Settings!$C$22),ISNUMBER($V755)),IF($V755&gt;Settings!$C$22,"Risk over max $; ",""),"")&amp;IF(AND(ISNUMBER(Settings!$C$23),ISNUMBER($V755),ISNUMBER($AP755),IFERROR(N(INDEX(Accounts!$E$7:$E$16,MATCH($C755,Accounts!$B$7:$B$16,0))),0)&gt;0),IF($V755&gt;Settings!$C$23*($AP755-N($Q755)),"Risk over max %; ",""),"")&amp;IF(AND(ISNUMBER(Settings!$C$24),ISNUMBER($N755)),IF($N755&gt;Settings!$C$24,"Leverage over max; ",""),"")&amp;IF(AND(ISNUMBER(Settings!$C$27),ISNUMBER($T755)),IF($T755&lt;Settings!$C$27,"R:R below min; ",""),"")&amp;IF(ISNUMBER(Settings!$C$25),IF(COUNTIFS($A$6:$A755,$A755,$AM$6:$AM755,1)&gt;Settings!$C$25,"Over max trades/day; ",""),"")&amp;IF(ISNUMBER(Settings!$C$26),IF(SUMIFS($Q$5:$Q754,$A$5:$A754,$A755)&lt;=-Settings!$C$26,"Traded after daily max loss; ",""),"")&amp;IF(AND($AG755="",NOT(ISNUMBER($O755))),"Symbol not in Instruments; ","")&amp;IF(AND($AH755="",NOT(ISNUMBER($O755))),"Forex cross: type Gross P&amp;L; ",""))</f>
        <v/>
      </c>
      <c r="BH755" s="56">
        <f>IF(ISNUMBER($Q755),1,0)</f>
        <v>0</v>
      </c>
      <c r="BI755" s="56">
        <f>IF($Y755="",0,1)</f>
        <v>0</v>
      </c>
      <c r="BJ755" s="56">
        <f>IF($AB755="",0,1)</f>
        <v>0</v>
      </c>
      <c r="BK755" s="56">
        <f>IF(AND($BH755=1,$W755&lt;&gt;"OK"),1,0)</f>
        <v>0</v>
      </c>
      <c r="BL755" s="55">
        <f>IF(N($AZ755)=0,0,IFERROR(INDEX($AT$6:$AT$1005,MATCH($AZ755,$AY$6:$AY$1005,0)),0))</f>
        <v>1187.10688</v>
      </c>
      <c r="BM755" s="56">
        <f>IF(ISNUMBER(SEARCH("daily max loss",$BG755)),1,0)</f>
        <v>0</v>
      </c>
    </row>
    <row r="756" ht="18" customHeight="1">
      <c r="A756" s="38" t="n"/>
      <c r="B756" s="39" t="n"/>
      <c r="C756" s="40" t="n"/>
      <c r="D756" s="41" t="n"/>
      <c r="E756" s="41" t="n"/>
      <c r="F756" s="41" t="n"/>
      <c r="G756" s="41" t="n"/>
      <c r="H756" s="42" t="n"/>
      <c r="I756" s="42" t="n"/>
      <c r="J756" s="42" t="n"/>
      <c r="K756" s="42" t="n"/>
      <c r="L756" s="41" t="n"/>
      <c r="M756" s="41" t="n"/>
      <c r="N756" s="41" t="n"/>
      <c r="O756" s="43" t="n"/>
      <c r="P756" s="43" t="n"/>
      <c r="Q756" s="44" t="str">
        <f>IF($AM756=0,"",IF(ISNUMBER($AK756),$AK756-N($AL756),""))</f>
        <v/>
      </c>
      <c r="R756" s="45" t="str">
        <f>IF(OR($Q756="",NOT(ISNUMBER($V756))),"",$AK756/$V756)</f>
        <v/>
      </c>
      <c r="S756" s="46" t="str">
        <f>IF($Q756="","",IF(AND(ISNUMBER($R756),ABS(N($R756))&lt;N(Settings!$C$8)),"Scratch",IF($Q756&gt;0,"Win",IF($Q756&lt;0,"Loss","Scratch"))))</f>
        <v/>
      </c>
      <c r="T756" s="47" t="str">
        <f>IF(OR($AM756=0,NOT(ISNUMBER($H756)),NOT(ISNUMBER($I756)),NOT(ISNUMBER($J756))),"",IF($H756=$I756,"",ROUND(ABS($J756-$H756)/ABS($H756-$I756),6)))</f>
        <v/>
      </c>
      <c r="U756" s="48" t="str">
        <f>IF(OR($S756&lt;&gt;"Win",NOT(ISNUMBER($T756)),NOT(ISNUMBER($R756))),"",MAX(0,$T756-$R756))</f>
        <v/>
      </c>
      <c r="V756" s="49" t="str">
        <f>IF(OR($AM756=0,NOT(ISNUMBER($H756)),NOT(ISNUMBER($I756)),NOT(ISNUMBER($G756))),"",IF(OR($AG756="",$AH756=""),"",IF(ROUND(ABS($H756-$I756)*ABS($G756)*$AG756*$AH756,6)=0,"",ROUND(ABS($H756-$I756)*ABS($G756)*$AG756*$AH756,6))))</f>
        <v/>
      </c>
      <c r="W756" s="50" t="str">
        <f>IF($AM756=0,"",IF($BG756="","OK",LEFT($BG756,LEN($BG756)-2)))</f>
        <v/>
      </c>
      <c r="X756" s="41" t="n"/>
      <c r="Y756" s="40" t="n"/>
      <c r="Z756" s="41" t="n"/>
      <c r="AA756" s="41" t="n"/>
      <c r="AB756" s="40" t="n"/>
      <c r="AC756" s="51" t="n"/>
      <c r="AD756" s="51" t="n"/>
      <c r="AE756" s="40" t="n"/>
      <c r="AF756" s="52" t="str">
        <f>IF($AM756=0,"",IF($D756&lt;&gt;"",$D756,IF(IFERROR(INDEX(Accounts!$C$7:$C$16,MATCH($C756,Accounts!$B$7:$B$16,0))&amp;"","")&lt;&gt;"",INDEX(Accounts!$C$7:$C$16,MATCH($C756,Accounts!$B$7:$B$16,0)),Settings!$C$6)))</f>
        <v/>
      </c>
      <c r="AG756" s="53" t="str">
        <f>IF($AM756=0,"",IF(AND($BE756&gt;0,N(INDEX(Instruments!$D$6:$D$205,MAX(1,$BE756)))&gt;0),INDEX(Instruments!$D$6:$D$205,MAX(1,$BE756)),IF(N(INDEX(Settings!$D$14:$D$18,$BF756))&gt;0,INDEX(Settings!$D$14:$D$18,$BF756),"")))</f>
        <v/>
      </c>
      <c r="AH756" s="54" t="str">
        <f>IF($AM756=0,"",IF($AF756&lt;&gt;"Forex",1,IF(MID(UPPER(SUBSTITUTE(TRIM($E756),"/","")),4,3)=UPPER(TRIM(Settings!$C$7)),1,IF(LEFT(UPPER(SUBSTITUTE(TRIM($E756),"/","")),3)=UPPER(TRIM(Settings!$C$7)),IF(AND(ISNUMBER($K756),N($K756)&lt;&gt;0),1/$K756,""),""))))</f>
        <v/>
      </c>
      <c r="AI756" s="55" t="str">
        <f>IF($AM756=0,"",IF(OR(NOT(ISNUMBER($H756)),NOT(ISNUMBER($K756)),NOT(ISNUMBER($G756)),$AG756="",$AH756=""),"",ROUND(($K756-$H756)*IF($F756="Short",-1,1)*$G756*$AG756*$AH756,6)))</f>
        <v/>
      </c>
      <c r="AJ756" s="55" t="str">
        <f>IF($AM756=0,"",IF(INDEX(Settings!$E$14:$E$18,$BF756)="% of notional",IF(OR($AG756="",NOT(ISNUMBER($H756)),NOT(ISNUMBER($G756))),"",ROUND(ABS($H756*$G756*$AG756*N($AH756))*IF($L756="Limit",N(INDEX(Settings!$G$14:$G$18,$BF756)),N(INDEX(Settings!$H$14:$H$18,$BF756)))+IF(ISNUMBER($K756),ABS($K756*$G756*$AG756*N($AH756))*IF($M756="Target",N(INDEX(Settings!$G$14:$G$18,$BF756)),N(INDEX(Settings!$H$14:$H$18,$BF756))),0),6)),IF(NOT(ISNUMBER($G756)),"",ROUND(ABS($G756)*2*IF(AND($BE756&gt;0,ISNUMBER(INDEX(Instruments!$G$6:$G$205,MAX(1,$BE756)))),INDEX(Instruments!$G$6:$G$205,MAX(1,$BE756)),N(INDEX(Settings!$F$14:$F$18,$BF756))),6))))</f>
        <v/>
      </c>
      <c r="AK756" s="55" t="str">
        <f>IF($AM756=0,"",IF(ISNUMBER($O756),$O756,$AI756))</f>
        <v/>
      </c>
      <c r="AL756" s="55" t="str">
        <f>IF($AM756=0,"",IF(ISNUMBER($P756),$P756,N($AJ756)))</f>
        <v/>
      </c>
      <c r="AM756" s="56">
        <f>IF(AND($A756&lt;&gt;"",$E756&lt;&gt;"",OR(AND(ISNUMBER($G756),ISNUMBER($H756),ISNUMBER($K756)),ISNUMBER($O756))),1,0)</f>
        <v>0</v>
      </c>
      <c r="AN756" s="57" t="str">
        <f>IF($A756="","",$A756-WEEKDAY($A756,3))</f>
        <v/>
      </c>
      <c r="AO756" s="56" t="str">
        <f>IF($A756="","",WEEKDAY($A756,2))</f>
        <v/>
      </c>
      <c r="AP756" s="55" t="str">
        <f>IF(OR($AM756=0,$C756=""),"",IFERROR(N(INDEX(Accounts!$E$7:$E$16,MATCH($C756,Accounts!$B$7:$B$16,0))),0)+SUMIFS($Q$6:$Q756,$C$6:$C756,$C756))</f>
        <v/>
      </c>
      <c r="AQ756" s="55" t="str">
        <f>IF(OR($AM756=0,$C756=""),"",SUMIFS($Q$6:$Q$1005,$C$6:$C$1005,$C756,$A$6:$A$1005,$A756))</f>
        <v/>
      </c>
      <c r="AR756" s="55" t="str">
        <f>IF(OR($AM756=0,$C756=""),"",IFERROR(N(INDEX(Accounts!$E$7:$E$16,MATCH($C756,Accounts!$B$7:$B$16,0))),0)+SUMIFS($Q$6:$Q$1005,$C$6:$C$1005,$C756,$A$6:$A$1005,"&lt;="&amp;$A756))</f>
        <v/>
      </c>
      <c r="AS756" s="56">
        <f>IF(OR($AM756=0,$Q756=""),0,IF(AND($A756&gt;=Lists!$W$6,$A756&lt;=Lists!$W$7,OR(Dashboard!$D$6="All accounts",$C756=Dashboard!$D$6),OR(Dashboard!$D$7="All markets",$AF756=Dashboard!$D$7)),1,0))</f>
        <v>0</v>
      </c>
      <c r="AT756" s="55">
        <f>IF($AS756=1,N(AT755)+$Q756,N(AT755))</f>
        <v>1187.10688</v>
      </c>
      <c r="AU756" s="55">
        <f>MAX(N(AU755),$AT756)</f>
        <v>1187.10688</v>
      </c>
      <c r="AV756" s="55">
        <f>$AT756-$AU756</f>
        <v>0</v>
      </c>
      <c r="AW756" s="56">
        <f>IF($AS756=1,IF($S756="Win",N(AW755)+1,IF($S756="Loss",0,N(AW755))),N(AW755))</f>
        <v>5</v>
      </c>
      <c r="AX756" s="56">
        <f>IF($AS756=1,IF($S756="Loss",N(AX755)+1,IF($S756="Win",0,N(AX755))),N(AX755))</f>
        <v>0</v>
      </c>
      <c r="AY756" s="56" t="str">
        <f>IF($AS756=1,COUNTIF($AS$6:$AS756,1),"")</f>
        <v/>
      </c>
      <c r="AZ756" s="56">
        <f>MIN(750,N(Lists!$W$8))</f>
        <v>28</v>
      </c>
      <c r="BA756" s="56">
        <f>IF($AS756=1,IF(COUNTIFS($A$6:$A756,$A756,$AS$6:$AS756,1)=1,1,0),0)</f>
        <v>0</v>
      </c>
      <c r="BB756" s="55" t="str">
        <f>IF($BA756=1,SUMIFS($Q$6:$Q$1005,$A$6:$A$1005,$A756,$AS$6:$AS$1005,1),"")</f>
        <v/>
      </c>
      <c r="BC756" s="56">
        <f>IF(ISNUMBER($R756),1,0)</f>
        <v>0</v>
      </c>
      <c r="BD756" s="55" t="str">
        <f>IF(ISNUMBER($U756),$U756*$V756,"")</f>
        <v/>
      </c>
      <c r="BE756" s="56" t="str">
        <f>IF($AM756=0,"",IFERROR(MATCH($AF756&amp;"|"&amp;UPPER(TRIM($E756)),Lists!$A$6:$A$205,0),0))</f>
        <v/>
      </c>
      <c r="BF756" s="56" t="str">
        <f>IF($AM756=0,"",IFERROR(MATCH($AF756,Settings!$B$14:$B$18,0),IFERROR(MATCH(Settings!$C$6,Settings!$B$14:$B$18,0),1)))</f>
        <v/>
      </c>
      <c r="BG756" s="58" t="str">
        <f>IF($AM756=0,"",IF(NOT(ISNUMBER($I756)),"No stop; ","")&amp;IF(AND(ISNUMBER($H756),ISNUMBER($I756)),IF(OR(AND($F756&lt;&gt;"Short",$I756&gt;=$H756),AND($F756="Short",$I756&lt;=$H756)),"Stop on wrong side; ",""),"")&amp;IF($F756="","No direction; ","")&amp;IF(AND(ISNUMBER(Settings!$C$22),ISNUMBER($V756)),IF($V756&gt;Settings!$C$22,"Risk over max $; ",""),"")&amp;IF(AND(ISNUMBER(Settings!$C$23),ISNUMBER($V756),ISNUMBER($AP756),IFERROR(N(INDEX(Accounts!$E$7:$E$16,MATCH($C756,Accounts!$B$7:$B$16,0))),0)&gt;0),IF($V756&gt;Settings!$C$23*($AP756-N($Q756)),"Risk over max %; ",""),"")&amp;IF(AND(ISNUMBER(Settings!$C$24),ISNUMBER($N756)),IF($N756&gt;Settings!$C$24,"Leverage over max; ",""),"")&amp;IF(AND(ISNUMBER(Settings!$C$27),ISNUMBER($T756)),IF($T756&lt;Settings!$C$27,"R:R below min; ",""),"")&amp;IF(ISNUMBER(Settings!$C$25),IF(COUNTIFS($A$6:$A756,$A756,$AM$6:$AM756,1)&gt;Settings!$C$25,"Over max trades/day; ",""),"")&amp;IF(ISNUMBER(Settings!$C$26),IF(SUMIFS($Q$5:$Q755,$A$5:$A755,$A756)&lt;=-Settings!$C$26,"Traded after daily max loss; ",""),"")&amp;IF(AND($AG756="",NOT(ISNUMBER($O756))),"Symbol not in Instruments; ","")&amp;IF(AND($AH756="",NOT(ISNUMBER($O756))),"Forex cross: type Gross P&amp;L; ",""))</f>
        <v/>
      </c>
      <c r="BH756" s="56">
        <f>IF(ISNUMBER($Q756),1,0)</f>
        <v>0</v>
      </c>
      <c r="BI756" s="56">
        <f>IF($Y756="",0,1)</f>
        <v>0</v>
      </c>
      <c r="BJ756" s="56">
        <f>IF($AB756="",0,1)</f>
        <v>0</v>
      </c>
      <c r="BK756" s="56">
        <f>IF(AND($BH756=1,$W756&lt;&gt;"OK"),1,0)</f>
        <v>0</v>
      </c>
      <c r="BL756" s="55">
        <f>IF(N($AZ756)=0,0,IFERROR(INDEX($AT$6:$AT$1005,MATCH($AZ756,$AY$6:$AY$1005,0)),0))</f>
        <v>1187.10688</v>
      </c>
      <c r="BM756" s="56">
        <f>IF(ISNUMBER(SEARCH("daily max loss",$BG756)),1,0)</f>
        <v>0</v>
      </c>
    </row>
    <row r="757" ht="18" customHeight="1">
      <c r="A757" s="38" t="n"/>
      <c r="B757" s="39" t="n"/>
      <c r="C757" s="40" t="n"/>
      <c r="D757" s="41" t="n"/>
      <c r="E757" s="41" t="n"/>
      <c r="F757" s="41" t="n"/>
      <c r="G757" s="41" t="n"/>
      <c r="H757" s="42" t="n"/>
      <c r="I757" s="42" t="n"/>
      <c r="J757" s="42" t="n"/>
      <c r="K757" s="42" t="n"/>
      <c r="L757" s="41" t="n"/>
      <c r="M757" s="41" t="n"/>
      <c r="N757" s="41" t="n"/>
      <c r="O757" s="43" t="n"/>
      <c r="P757" s="43" t="n"/>
      <c r="Q757" s="44" t="str">
        <f>IF($AM757=0,"",IF(ISNUMBER($AK757),$AK757-N($AL757),""))</f>
        <v/>
      </c>
      <c r="R757" s="45" t="str">
        <f>IF(OR($Q757="",NOT(ISNUMBER($V757))),"",$AK757/$V757)</f>
        <v/>
      </c>
      <c r="S757" s="46" t="str">
        <f>IF($Q757="","",IF(AND(ISNUMBER($R757),ABS(N($R757))&lt;N(Settings!$C$8)),"Scratch",IF($Q757&gt;0,"Win",IF($Q757&lt;0,"Loss","Scratch"))))</f>
        <v/>
      </c>
      <c r="T757" s="47" t="str">
        <f>IF(OR($AM757=0,NOT(ISNUMBER($H757)),NOT(ISNUMBER($I757)),NOT(ISNUMBER($J757))),"",IF($H757=$I757,"",ROUND(ABS($J757-$H757)/ABS($H757-$I757),6)))</f>
        <v/>
      </c>
      <c r="U757" s="48" t="str">
        <f>IF(OR($S757&lt;&gt;"Win",NOT(ISNUMBER($T757)),NOT(ISNUMBER($R757))),"",MAX(0,$T757-$R757))</f>
        <v/>
      </c>
      <c r="V757" s="49" t="str">
        <f>IF(OR($AM757=0,NOT(ISNUMBER($H757)),NOT(ISNUMBER($I757)),NOT(ISNUMBER($G757))),"",IF(OR($AG757="",$AH757=""),"",IF(ROUND(ABS($H757-$I757)*ABS($G757)*$AG757*$AH757,6)=0,"",ROUND(ABS($H757-$I757)*ABS($G757)*$AG757*$AH757,6))))</f>
        <v/>
      </c>
      <c r="W757" s="50" t="str">
        <f>IF($AM757=0,"",IF($BG757="","OK",LEFT($BG757,LEN($BG757)-2)))</f>
        <v/>
      </c>
      <c r="X757" s="41" t="n"/>
      <c r="Y757" s="40" t="n"/>
      <c r="Z757" s="41" t="n"/>
      <c r="AA757" s="41" t="n"/>
      <c r="AB757" s="40" t="n"/>
      <c r="AC757" s="51" t="n"/>
      <c r="AD757" s="51" t="n"/>
      <c r="AE757" s="40" t="n"/>
      <c r="AF757" s="52" t="str">
        <f>IF($AM757=0,"",IF($D757&lt;&gt;"",$D757,IF(IFERROR(INDEX(Accounts!$C$7:$C$16,MATCH($C757,Accounts!$B$7:$B$16,0))&amp;"","")&lt;&gt;"",INDEX(Accounts!$C$7:$C$16,MATCH($C757,Accounts!$B$7:$B$16,0)),Settings!$C$6)))</f>
        <v/>
      </c>
      <c r="AG757" s="53" t="str">
        <f>IF($AM757=0,"",IF(AND($BE757&gt;0,N(INDEX(Instruments!$D$6:$D$205,MAX(1,$BE757)))&gt;0),INDEX(Instruments!$D$6:$D$205,MAX(1,$BE757)),IF(N(INDEX(Settings!$D$14:$D$18,$BF757))&gt;0,INDEX(Settings!$D$14:$D$18,$BF757),"")))</f>
        <v/>
      </c>
      <c r="AH757" s="54" t="str">
        <f>IF($AM757=0,"",IF($AF757&lt;&gt;"Forex",1,IF(MID(UPPER(SUBSTITUTE(TRIM($E757),"/","")),4,3)=UPPER(TRIM(Settings!$C$7)),1,IF(LEFT(UPPER(SUBSTITUTE(TRIM($E757),"/","")),3)=UPPER(TRIM(Settings!$C$7)),IF(AND(ISNUMBER($K757),N($K757)&lt;&gt;0),1/$K757,""),""))))</f>
        <v/>
      </c>
      <c r="AI757" s="55" t="str">
        <f>IF($AM757=0,"",IF(OR(NOT(ISNUMBER($H757)),NOT(ISNUMBER($K757)),NOT(ISNUMBER($G757)),$AG757="",$AH757=""),"",ROUND(($K757-$H757)*IF($F757="Short",-1,1)*$G757*$AG757*$AH757,6)))</f>
        <v/>
      </c>
      <c r="AJ757" s="55" t="str">
        <f>IF($AM757=0,"",IF(INDEX(Settings!$E$14:$E$18,$BF757)="% of notional",IF(OR($AG757="",NOT(ISNUMBER($H757)),NOT(ISNUMBER($G757))),"",ROUND(ABS($H757*$G757*$AG757*N($AH757))*IF($L757="Limit",N(INDEX(Settings!$G$14:$G$18,$BF757)),N(INDEX(Settings!$H$14:$H$18,$BF757)))+IF(ISNUMBER($K757),ABS($K757*$G757*$AG757*N($AH757))*IF($M757="Target",N(INDEX(Settings!$G$14:$G$18,$BF757)),N(INDEX(Settings!$H$14:$H$18,$BF757))),0),6)),IF(NOT(ISNUMBER($G757)),"",ROUND(ABS($G757)*2*IF(AND($BE757&gt;0,ISNUMBER(INDEX(Instruments!$G$6:$G$205,MAX(1,$BE757)))),INDEX(Instruments!$G$6:$G$205,MAX(1,$BE757)),N(INDEX(Settings!$F$14:$F$18,$BF757))),6))))</f>
        <v/>
      </c>
      <c r="AK757" s="55" t="str">
        <f>IF($AM757=0,"",IF(ISNUMBER($O757),$O757,$AI757))</f>
        <v/>
      </c>
      <c r="AL757" s="55" t="str">
        <f>IF($AM757=0,"",IF(ISNUMBER($P757),$P757,N($AJ757)))</f>
        <v/>
      </c>
      <c r="AM757" s="56">
        <f>IF(AND($A757&lt;&gt;"",$E757&lt;&gt;"",OR(AND(ISNUMBER($G757),ISNUMBER($H757),ISNUMBER($K757)),ISNUMBER($O757))),1,0)</f>
        <v>0</v>
      </c>
      <c r="AN757" s="57" t="str">
        <f>IF($A757="","",$A757-WEEKDAY($A757,3))</f>
        <v/>
      </c>
      <c r="AO757" s="56" t="str">
        <f>IF($A757="","",WEEKDAY($A757,2))</f>
        <v/>
      </c>
      <c r="AP757" s="55" t="str">
        <f>IF(OR($AM757=0,$C757=""),"",IFERROR(N(INDEX(Accounts!$E$7:$E$16,MATCH($C757,Accounts!$B$7:$B$16,0))),0)+SUMIFS($Q$6:$Q757,$C$6:$C757,$C757))</f>
        <v/>
      </c>
      <c r="AQ757" s="55" t="str">
        <f>IF(OR($AM757=0,$C757=""),"",SUMIFS($Q$6:$Q$1005,$C$6:$C$1005,$C757,$A$6:$A$1005,$A757))</f>
        <v/>
      </c>
      <c r="AR757" s="55" t="str">
        <f>IF(OR($AM757=0,$C757=""),"",IFERROR(N(INDEX(Accounts!$E$7:$E$16,MATCH($C757,Accounts!$B$7:$B$16,0))),0)+SUMIFS($Q$6:$Q$1005,$C$6:$C$1005,$C757,$A$6:$A$1005,"&lt;="&amp;$A757))</f>
        <v/>
      </c>
      <c r="AS757" s="56">
        <f>IF(OR($AM757=0,$Q757=""),0,IF(AND($A757&gt;=Lists!$W$6,$A757&lt;=Lists!$W$7,OR(Dashboard!$D$6="All accounts",$C757=Dashboard!$D$6),OR(Dashboard!$D$7="All markets",$AF757=Dashboard!$D$7)),1,0))</f>
        <v>0</v>
      </c>
      <c r="AT757" s="55">
        <f>IF($AS757=1,N(AT756)+$Q757,N(AT756))</f>
        <v>1187.10688</v>
      </c>
      <c r="AU757" s="55">
        <f>MAX(N(AU756),$AT757)</f>
        <v>1187.10688</v>
      </c>
      <c r="AV757" s="55">
        <f>$AT757-$AU757</f>
        <v>0</v>
      </c>
      <c r="AW757" s="56">
        <f>IF($AS757=1,IF($S757="Win",N(AW756)+1,IF($S757="Loss",0,N(AW756))),N(AW756))</f>
        <v>5</v>
      </c>
      <c r="AX757" s="56">
        <f>IF($AS757=1,IF($S757="Loss",N(AX756)+1,IF($S757="Win",0,N(AX756))),N(AX756))</f>
        <v>0</v>
      </c>
      <c r="AY757" s="56" t="str">
        <f>IF($AS757=1,COUNTIF($AS$6:$AS757,1),"")</f>
        <v/>
      </c>
      <c r="AZ757" s="56">
        <f>MIN(751,N(Lists!$W$8))</f>
        <v>28</v>
      </c>
      <c r="BA757" s="56">
        <f>IF($AS757=1,IF(COUNTIFS($A$6:$A757,$A757,$AS$6:$AS757,1)=1,1,0),0)</f>
        <v>0</v>
      </c>
      <c r="BB757" s="55" t="str">
        <f>IF($BA757=1,SUMIFS($Q$6:$Q$1005,$A$6:$A$1005,$A757,$AS$6:$AS$1005,1),"")</f>
        <v/>
      </c>
      <c r="BC757" s="56">
        <f>IF(ISNUMBER($R757),1,0)</f>
        <v>0</v>
      </c>
      <c r="BD757" s="55" t="str">
        <f>IF(ISNUMBER($U757),$U757*$V757,"")</f>
        <v/>
      </c>
      <c r="BE757" s="56" t="str">
        <f>IF($AM757=0,"",IFERROR(MATCH($AF757&amp;"|"&amp;UPPER(TRIM($E757)),Lists!$A$6:$A$205,0),0))</f>
        <v/>
      </c>
      <c r="BF757" s="56" t="str">
        <f>IF($AM757=0,"",IFERROR(MATCH($AF757,Settings!$B$14:$B$18,0),IFERROR(MATCH(Settings!$C$6,Settings!$B$14:$B$18,0),1)))</f>
        <v/>
      </c>
      <c r="BG757" s="58" t="str">
        <f>IF($AM757=0,"",IF(NOT(ISNUMBER($I757)),"No stop; ","")&amp;IF(AND(ISNUMBER($H757),ISNUMBER($I757)),IF(OR(AND($F757&lt;&gt;"Short",$I757&gt;=$H757),AND($F757="Short",$I757&lt;=$H757)),"Stop on wrong side; ",""),"")&amp;IF($F757="","No direction; ","")&amp;IF(AND(ISNUMBER(Settings!$C$22),ISNUMBER($V757)),IF($V757&gt;Settings!$C$22,"Risk over max $; ",""),"")&amp;IF(AND(ISNUMBER(Settings!$C$23),ISNUMBER($V757),ISNUMBER($AP757),IFERROR(N(INDEX(Accounts!$E$7:$E$16,MATCH($C757,Accounts!$B$7:$B$16,0))),0)&gt;0),IF($V757&gt;Settings!$C$23*($AP757-N($Q757)),"Risk over max %; ",""),"")&amp;IF(AND(ISNUMBER(Settings!$C$24),ISNUMBER($N757)),IF($N757&gt;Settings!$C$24,"Leverage over max; ",""),"")&amp;IF(AND(ISNUMBER(Settings!$C$27),ISNUMBER($T757)),IF($T757&lt;Settings!$C$27,"R:R below min; ",""),"")&amp;IF(ISNUMBER(Settings!$C$25),IF(COUNTIFS($A$6:$A757,$A757,$AM$6:$AM757,1)&gt;Settings!$C$25,"Over max trades/day; ",""),"")&amp;IF(ISNUMBER(Settings!$C$26),IF(SUMIFS($Q$5:$Q756,$A$5:$A756,$A757)&lt;=-Settings!$C$26,"Traded after daily max loss; ",""),"")&amp;IF(AND($AG757="",NOT(ISNUMBER($O757))),"Symbol not in Instruments; ","")&amp;IF(AND($AH757="",NOT(ISNUMBER($O757))),"Forex cross: type Gross P&amp;L; ",""))</f>
        <v/>
      </c>
      <c r="BH757" s="56">
        <f>IF(ISNUMBER($Q757),1,0)</f>
        <v>0</v>
      </c>
      <c r="BI757" s="56">
        <f>IF($Y757="",0,1)</f>
        <v>0</v>
      </c>
      <c r="BJ757" s="56">
        <f>IF($AB757="",0,1)</f>
        <v>0</v>
      </c>
      <c r="BK757" s="56">
        <f>IF(AND($BH757=1,$W757&lt;&gt;"OK"),1,0)</f>
        <v>0</v>
      </c>
      <c r="BL757" s="55">
        <f>IF(N($AZ757)=0,0,IFERROR(INDEX($AT$6:$AT$1005,MATCH($AZ757,$AY$6:$AY$1005,0)),0))</f>
        <v>1187.10688</v>
      </c>
      <c r="BM757" s="56">
        <f>IF(ISNUMBER(SEARCH("daily max loss",$BG757)),1,0)</f>
        <v>0</v>
      </c>
    </row>
    <row r="758" ht="18" customHeight="1">
      <c r="A758" s="38" t="n"/>
      <c r="B758" s="39" t="n"/>
      <c r="C758" s="40" t="n"/>
      <c r="D758" s="41" t="n"/>
      <c r="E758" s="41" t="n"/>
      <c r="F758" s="41" t="n"/>
      <c r="G758" s="41" t="n"/>
      <c r="H758" s="42" t="n"/>
      <c r="I758" s="42" t="n"/>
      <c r="J758" s="42" t="n"/>
      <c r="K758" s="42" t="n"/>
      <c r="L758" s="41" t="n"/>
      <c r="M758" s="41" t="n"/>
      <c r="N758" s="41" t="n"/>
      <c r="O758" s="43" t="n"/>
      <c r="P758" s="43" t="n"/>
      <c r="Q758" s="44" t="str">
        <f>IF($AM758=0,"",IF(ISNUMBER($AK758),$AK758-N($AL758),""))</f>
        <v/>
      </c>
      <c r="R758" s="45" t="str">
        <f>IF(OR($Q758="",NOT(ISNUMBER($V758))),"",$AK758/$V758)</f>
        <v/>
      </c>
      <c r="S758" s="46" t="str">
        <f>IF($Q758="","",IF(AND(ISNUMBER($R758),ABS(N($R758))&lt;N(Settings!$C$8)),"Scratch",IF($Q758&gt;0,"Win",IF($Q758&lt;0,"Loss","Scratch"))))</f>
        <v/>
      </c>
      <c r="T758" s="47" t="str">
        <f>IF(OR($AM758=0,NOT(ISNUMBER($H758)),NOT(ISNUMBER($I758)),NOT(ISNUMBER($J758))),"",IF($H758=$I758,"",ROUND(ABS($J758-$H758)/ABS($H758-$I758),6)))</f>
        <v/>
      </c>
      <c r="U758" s="48" t="str">
        <f>IF(OR($S758&lt;&gt;"Win",NOT(ISNUMBER($T758)),NOT(ISNUMBER($R758))),"",MAX(0,$T758-$R758))</f>
        <v/>
      </c>
      <c r="V758" s="49" t="str">
        <f>IF(OR($AM758=0,NOT(ISNUMBER($H758)),NOT(ISNUMBER($I758)),NOT(ISNUMBER($G758))),"",IF(OR($AG758="",$AH758=""),"",IF(ROUND(ABS($H758-$I758)*ABS($G758)*$AG758*$AH758,6)=0,"",ROUND(ABS($H758-$I758)*ABS($G758)*$AG758*$AH758,6))))</f>
        <v/>
      </c>
      <c r="W758" s="50" t="str">
        <f>IF($AM758=0,"",IF($BG758="","OK",LEFT($BG758,LEN($BG758)-2)))</f>
        <v/>
      </c>
      <c r="X758" s="41" t="n"/>
      <c r="Y758" s="40" t="n"/>
      <c r="Z758" s="41" t="n"/>
      <c r="AA758" s="41" t="n"/>
      <c r="AB758" s="40" t="n"/>
      <c r="AC758" s="51" t="n"/>
      <c r="AD758" s="51" t="n"/>
      <c r="AE758" s="40" t="n"/>
      <c r="AF758" s="52" t="str">
        <f>IF($AM758=0,"",IF($D758&lt;&gt;"",$D758,IF(IFERROR(INDEX(Accounts!$C$7:$C$16,MATCH($C758,Accounts!$B$7:$B$16,0))&amp;"","")&lt;&gt;"",INDEX(Accounts!$C$7:$C$16,MATCH($C758,Accounts!$B$7:$B$16,0)),Settings!$C$6)))</f>
        <v/>
      </c>
      <c r="AG758" s="53" t="str">
        <f>IF($AM758=0,"",IF(AND($BE758&gt;0,N(INDEX(Instruments!$D$6:$D$205,MAX(1,$BE758)))&gt;0),INDEX(Instruments!$D$6:$D$205,MAX(1,$BE758)),IF(N(INDEX(Settings!$D$14:$D$18,$BF758))&gt;0,INDEX(Settings!$D$14:$D$18,$BF758),"")))</f>
        <v/>
      </c>
      <c r="AH758" s="54" t="str">
        <f>IF($AM758=0,"",IF($AF758&lt;&gt;"Forex",1,IF(MID(UPPER(SUBSTITUTE(TRIM($E758),"/","")),4,3)=UPPER(TRIM(Settings!$C$7)),1,IF(LEFT(UPPER(SUBSTITUTE(TRIM($E758),"/","")),3)=UPPER(TRIM(Settings!$C$7)),IF(AND(ISNUMBER($K758),N($K758)&lt;&gt;0),1/$K758,""),""))))</f>
        <v/>
      </c>
      <c r="AI758" s="55" t="str">
        <f>IF($AM758=0,"",IF(OR(NOT(ISNUMBER($H758)),NOT(ISNUMBER($K758)),NOT(ISNUMBER($G758)),$AG758="",$AH758=""),"",ROUND(($K758-$H758)*IF($F758="Short",-1,1)*$G758*$AG758*$AH758,6)))</f>
        <v/>
      </c>
      <c r="AJ758" s="55" t="str">
        <f>IF($AM758=0,"",IF(INDEX(Settings!$E$14:$E$18,$BF758)="% of notional",IF(OR($AG758="",NOT(ISNUMBER($H758)),NOT(ISNUMBER($G758))),"",ROUND(ABS($H758*$G758*$AG758*N($AH758))*IF($L758="Limit",N(INDEX(Settings!$G$14:$G$18,$BF758)),N(INDEX(Settings!$H$14:$H$18,$BF758)))+IF(ISNUMBER($K758),ABS($K758*$G758*$AG758*N($AH758))*IF($M758="Target",N(INDEX(Settings!$G$14:$G$18,$BF758)),N(INDEX(Settings!$H$14:$H$18,$BF758))),0),6)),IF(NOT(ISNUMBER($G758)),"",ROUND(ABS($G758)*2*IF(AND($BE758&gt;0,ISNUMBER(INDEX(Instruments!$G$6:$G$205,MAX(1,$BE758)))),INDEX(Instruments!$G$6:$G$205,MAX(1,$BE758)),N(INDEX(Settings!$F$14:$F$18,$BF758))),6))))</f>
        <v/>
      </c>
      <c r="AK758" s="55" t="str">
        <f>IF($AM758=0,"",IF(ISNUMBER($O758),$O758,$AI758))</f>
        <v/>
      </c>
      <c r="AL758" s="55" t="str">
        <f>IF($AM758=0,"",IF(ISNUMBER($P758),$P758,N($AJ758)))</f>
        <v/>
      </c>
      <c r="AM758" s="56">
        <f>IF(AND($A758&lt;&gt;"",$E758&lt;&gt;"",OR(AND(ISNUMBER($G758),ISNUMBER($H758),ISNUMBER($K758)),ISNUMBER($O758))),1,0)</f>
        <v>0</v>
      </c>
      <c r="AN758" s="57" t="str">
        <f>IF($A758="","",$A758-WEEKDAY($A758,3))</f>
        <v/>
      </c>
      <c r="AO758" s="56" t="str">
        <f>IF($A758="","",WEEKDAY($A758,2))</f>
        <v/>
      </c>
      <c r="AP758" s="55" t="str">
        <f>IF(OR($AM758=0,$C758=""),"",IFERROR(N(INDEX(Accounts!$E$7:$E$16,MATCH($C758,Accounts!$B$7:$B$16,0))),0)+SUMIFS($Q$6:$Q758,$C$6:$C758,$C758))</f>
        <v/>
      </c>
      <c r="AQ758" s="55" t="str">
        <f>IF(OR($AM758=0,$C758=""),"",SUMIFS($Q$6:$Q$1005,$C$6:$C$1005,$C758,$A$6:$A$1005,$A758))</f>
        <v/>
      </c>
      <c r="AR758" s="55" t="str">
        <f>IF(OR($AM758=0,$C758=""),"",IFERROR(N(INDEX(Accounts!$E$7:$E$16,MATCH($C758,Accounts!$B$7:$B$16,0))),0)+SUMIFS($Q$6:$Q$1005,$C$6:$C$1005,$C758,$A$6:$A$1005,"&lt;="&amp;$A758))</f>
        <v/>
      </c>
      <c r="AS758" s="56">
        <f>IF(OR($AM758=0,$Q758=""),0,IF(AND($A758&gt;=Lists!$W$6,$A758&lt;=Lists!$W$7,OR(Dashboard!$D$6="All accounts",$C758=Dashboard!$D$6),OR(Dashboard!$D$7="All markets",$AF758=Dashboard!$D$7)),1,0))</f>
        <v>0</v>
      </c>
      <c r="AT758" s="55">
        <f>IF($AS758=1,N(AT757)+$Q758,N(AT757))</f>
        <v>1187.10688</v>
      </c>
      <c r="AU758" s="55">
        <f>MAX(N(AU757),$AT758)</f>
        <v>1187.10688</v>
      </c>
      <c r="AV758" s="55">
        <f>$AT758-$AU758</f>
        <v>0</v>
      </c>
      <c r="AW758" s="56">
        <f>IF($AS758=1,IF($S758="Win",N(AW757)+1,IF($S758="Loss",0,N(AW757))),N(AW757))</f>
        <v>5</v>
      </c>
      <c r="AX758" s="56">
        <f>IF($AS758=1,IF($S758="Loss",N(AX757)+1,IF($S758="Win",0,N(AX757))),N(AX757))</f>
        <v>0</v>
      </c>
      <c r="AY758" s="56" t="str">
        <f>IF($AS758=1,COUNTIF($AS$6:$AS758,1),"")</f>
        <v/>
      </c>
      <c r="AZ758" s="56">
        <f>MIN(752,N(Lists!$W$8))</f>
        <v>28</v>
      </c>
      <c r="BA758" s="56">
        <f>IF($AS758=1,IF(COUNTIFS($A$6:$A758,$A758,$AS$6:$AS758,1)=1,1,0),0)</f>
        <v>0</v>
      </c>
      <c r="BB758" s="55" t="str">
        <f>IF($BA758=1,SUMIFS($Q$6:$Q$1005,$A$6:$A$1005,$A758,$AS$6:$AS$1005,1),"")</f>
        <v/>
      </c>
      <c r="BC758" s="56">
        <f>IF(ISNUMBER($R758),1,0)</f>
        <v>0</v>
      </c>
      <c r="BD758" s="55" t="str">
        <f>IF(ISNUMBER($U758),$U758*$V758,"")</f>
        <v/>
      </c>
      <c r="BE758" s="56" t="str">
        <f>IF($AM758=0,"",IFERROR(MATCH($AF758&amp;"|"&amp;UPPER(TRIM($E758)),Lists!$A$6:$A$205,0),0))</f>
        <v/>
      </c>
      <c r="BF758" s="56" t="str">
        <f>IF($AM758=0,"",IFERROR(MATCH($AF758,Settings!$B$14:$B$18,0),IFERROR(MATCH(Settings!$C$6,Settings!$B$14:$B$18,0),1)))</f>
        <v/>
      </c>
      <c r="BG758" s="58" t="str">
        <f>IF($AM758=0,"",IF(NOT(ISNUMBER($I758)),"No stop; ","")&amp;IF(AND(ISNUMBER($H758),ISNUMBER($I758)),IF(OR(AND($F758&lt;&gt;"Short",$I758&gt;=$H758),AND($F758="Short",$I758&lt;=$H758)),"Stop on wrong side; ",""),"")&amp;IF($F758="","No direction; ","")&amp;IF(AND(ISNUMBER(Settings!$C$22),ISNUMBER($V758)),IF($V758&gt;Settings!$C$22,"Risk over max $; ",""),"")&amp;IF(AND(ISNUMBER(Settings!$C$23),ISNUMBER($V758),ISNUMBER($AP758),IFERROR(N(INDEX(Accounts!$E$7:$E$16,MATCH($C758,Accounts!$B$7:$B$16,0))),0)&gt;0),IF($V758&gt;Settings!$C$23*($AP758-N($Q758)),"Risk over max %; ",""),"")&amp;IF(AND(ISNUMBER(Settings!$C$24),ISNUMBER($N758)),IF($N758&gt;Settings!$C$24,"Leverage over max; ",""),"")&amp;IF(AND(ISNUMBER(Settings!$C$27),ISNUMBER($T758)),IF($T758&lt;Settings!$C$27,"R:R below min; ",""),"")&amp;IF(ISNUMBER(Settings!$C$25),IF(COUNTIFS($A$6:$A758,$A758,$AM$6:$AM758,1)&gt;Settings!$C$25,"Over max trades/day; ",""),"")&amp;IF(ISNUMBER(Settings!$C$26),IF(SUMIFS($Q$5:$Q757,$A$5:$A757,$A758)&lt;=-Settings!$C$26,"Traded after daily max loss; ",""),"")&amp;IF(AND($AG758="",NOT(ISNUMBER($O758))),"Symbol not in Instruments; ","")&amp;IF(AND($AH758="",NOT(ISNUMBER($O758))),"Forex cross: type Gross P&amp;L; ",""))</f>
        <v/>
      </c>
      <c r="BH758" s="56">
        <f>IF(ISNUMBER($Q758),1,0)</f>
        <v>0</v>
      </c>
      <c r="BI758" s="56">
        <f>IF($Y758="",0,1)</f>
        <v>0</v>
      </c>
      <c r="BJ758" s="56">
        <f>IF($AB758="",0,1)</f>
        <v>0</v>
      </c>
      <c r="BK758" s="56">
        <f>IF(AND($BH758=1,$W758&lt;&gt;"OK"),1,0)</f>
        <v>0</v>
      </c>
      <c r="BL758" s="55">
        <f>IF(N($AZ758)=0,0,IFERROR(INDEX($AT$6:$AT$1005,MATCH($AZ758,$AY$6:$AY$1005,0)),0))</f>
        <v>1187.10688</v>
      </c>
      <c r="BM758" s="56">
        <f>IF(ISNUMBER(SEARCH("daily max loss",$BG758)),1,0)</f>
        <v>0</v>
      </c>
    </row>
    <row r="759" ht="18" customHeight="1">
      <c r="A759" s="38" t="n"/>
      <c r="B759" s="39" t="n"/>
      <c r="C759" s="40" t="n"/>
      <c r="D759" s="41" t="n"/>
      <c r="E759" s="41" t="n"/>
      <c r="F759" s="41" t="n"/>
      <c r="G759" s="41" t="n"/>
      <c r="H759" s="42" t="n"/>
      <c r="I759" s="42" t="n"/>
      <c r="J759" s="42" t="n"/>
      <c r="K759" s="42" t="n"/>
      <c r="L759" s="41" t="n"/>
      <c r="M759" s="41" t="n"/>
      <c r="N759" s="41" t="n"/>
      <c r="O759" s="43" t="n"/>
      <c r="P759" s="43" t="n"/>
      <c r="Q759" s="44" t="str">
        <f>IF($AM759=0,"",IF(ISNUMBER($AK759),$AK759-N($AL759),""))</f>
        <v/>
      </c>
      <c r="R759" s="45" t="str">
        <f>IF(OR($Q759="",NOT(ISNUMBER($V759))),"",$AK759/$V759)</f>
        <v/>
      </c>
      <c r="S759" s="46" t="str">
        <f>IF($Q759="","",IF(AND(ISNUMBER($R759),ABS(N($R759))&lt;N(Settings!$C$8)),"Scratch",IF($Q759&gt;0,"Win",IF($Q759&lt;0,"Loss","Scratch"))))</f>
        <v/>
      </c>
      <c r="T759" s="47" t="str">
        <f>IF(OR($AM759=0,NOT(ISNUMBER($H759)),NOT(ISNUMBER($I759)),NOT(ISNUMBER($J759))),"",IF($H759=$I759,"",ROUND(ABS($J759-$H759)/ABS($H759-$I759),6)))</f>
        <v/>
      </c>
      <c r="U759" s="48" t="str">
        <f>IF(OR($S759&lt;&gt;"Win",NOT(ISNUMBER($T759)),NOT(ISNUMBER($R759))),"",MAX(0,$T759-$R759))</f>
        <v/>
      </c>
      <c r="V759" s="49" t="str">
        <f>IF(OR($AM759=0,NOT(ISNUMBER($H759)),NOT(ISNUMBER($I759)),NOT(ISNUMBER($G759))),"",IF(OR($AG759="",$AH759=""),"",IF(ROUND(ABS($H759-$I759)*ABS($G759)*$AG759*$AH759,6)=0,"",ROUND(ABS($H759-$I759)*ABS($G759)*$AG759*$AH759,6))))</f>
        <v/>
      </c>
      <c r="W759" s="50" t="str">
        <f>IF($AM759=0,"",IF($BG759="","OK",LEFT($BG759,LEN($BG759)-2)))</f>
        <v/>
      </c>
      <c r="X759" s="41" t="n"/>
      <c r="Y759" s="40" t="n"/>
      <c r="Z759" s="41" t="n"/>
      <c r="AA759" s="41" t="n"/>
      <c r="AB759" s="40" t="n"/>
      <c r="AC759" s="51" t="n"/>
      <c r="AD759" s="51" t="n"/>
      <c r="AE759" s="40" t="n"/>
      <c r="AF759" s="52" t="str">
        <f>IF($AM759=0,"",IF($D759&lt;&gt;"",$D759,IF(IFERROR(INDEX(Accounts!$C$7:$C$16,MATCH($C759,Accounts!$B$7:$B$16,0))&amp;"","")&lt;&gt;"",INDEX(Accounts!$C$7:$C$16,MATCH($C759,Accounts!$B$7:$B$16,0)),Settings!$C$6)))</f>
        <v/>
      </c>
      <c r="AG759" s="53" t="str">
        <f>IF($AM759=0,"",IF(AND($BE759&gt;0,N(INDEX(Instruments!$D$6:$D$205,MAX(1,$BE759)))&gt;0),INDEX(Instruments!$D$6:$D$205,MAX(1,$BE759)),IF(N(INDEX(Settings!$D$14:$D$18,$BF759))&gt;0,INDEX(Settings!$D$14:$D$18,$BF759),"")))</f>
        <v/>
      </c>
      <c r="AH759" s="54" t="str">
        <f>IF($AM759=0,"",IF($AF759&lt;&gt;"Forex",1,IF(MID(UPPER(SUBSTITUTE(TRIM($E759),"/","")),4,3)=UPPER(TRIM(Settings!$C$7)),1,IF(LEFT(UPPER(SUBSTITUTE(TRIM($E759),"/","")),3)=UPPER(TRIM(Settings!$C$7)),IF(AND(ISNUMBER($K759),N($K759)&lt;&gt;0),1/$K759,""),""))))</f>
        <v/>
      </c>
      <c r="AI759" s="55" t="str">
        <f>IF($AM759=0,"",IF(OR(NOT(ISNUMBER($H759)),NOT(ISNUMBER($K759)),NOT(ISNUMBER($G759)),$AG759="",$AH759=""),"",ROUND(($K759-$H759)*IF($F759="Short",-1,1)*$G759*$AG759*$AH759,6)))</f>
        <v/>
      </c>
      <c r="AJ759" s="55" t="str">
        <f>IF($AM759=0,"",IF(INDEX(Settings!$E$14:$E$18,$BF759)="% of notional",IF(OR($AG759="",NOT(ISNUMBER($H759)),NOT(ISNUMBER($G759))),"",ROUND(ABS($H759*$G759*$AG759*N($AH759))*IF($L759="Limit",N(INDEX(Settings!$G$14:$G$18,$BF759)),N(INDEX(Settings!$H$14:$H$18,$BF759)))+IF(ISNUMBER($K759),ABS($K759*$G759*$AG759*N($AH759))*IF($M759="Target",N(INDEX(Settings!$G$14:$G$18,$BF759)),N(INDEX(Settings!$H$14:$H$18,$BF759))),0),6)),IF(NOT(ISNUMBER($G759)),"",ROUND(ABS($G759)*2*IF(AND($BE759&gt;0,ISNUMBER(INDEX(Instruments!$G$6:$G$205,MAX(1,$BE759)))),INDEX(Instruments!$G$6:$G$205,MAX(1,$BE759)),N(INDEX(Settings!$F$14:$F$18,$BF759))),6))))</f>
        <v/>
      </c>
      <c r="AK759" s="55" t="str">
        <f>IF($AM759=0,"",IF(ISNUMBER($O759),$O759,$AI759))</f>
        <v/>
      </c>
      <c r="AL759" s="55" t="str">
        <f>IF($AM759=0,"",IF(ISNUMBER($P759),$P759,N($AJ759)))</f>
        <v/>
      </c>
      <c r="AM759" s="56">
        <f>IF(AND($A759&lt;&gt;"",$E759&lt;&gt;"",OR(AND(ISNUMBER($G759),ISNUMBER($H759),ISNUMBER($K759)),ISNUMBER($O759))),1,0)</f>
        <v>0</v>
      </c>
      <c r="AN759" s="57" t="str">
        <f>IF($A759="","",$A759-WEEKDAY($A759,3))</f>
        <v/>
      </c>
      <c r="AO759" s="56" t="str">
        <f>IF($A759="","",WEEKDAY($A759,2))</f>
        <v/>
      </c>
      <c r="AP759" s="55" t="str">
        <f>IF(OR($AM759=0,$C759=""),"",IFERROR(N(INDEX(Accounts!$E$7:$E$16,MATCH($C759,Accounts!$B$7:$B$16,0))),0)+SUMIFS($Q$6:$Q759,$C$6:$C759,$C759))</f>
        <v/>
      </c>
      <c r="AQ759" s="55" t="str">
        <f>IF(OR($AM759=0,$C759=""),"",SUMIFS($Q$6:$Q$1005,$C$6:$C$1005,$C759,$A$6:$A$1005,$A759))</f>
        <v/>
      </c>
      <c r="AR759" s="55" t="str">
        <f>IF(OR($AM759=0,$C759=""),"",IFERROR(N(INDEX(Accounts!$E$7:$E$16,MATCH($C759,Accounts!$B$7:$B$16,0))),0)+SUMIFS($Q$6:$Q$1005,$C$6:$C$1005,$C759,$A$6:$A$1005,"&lt;="&amp;$A759))</f>
        <v/>
      </c>
      <c r="AS759" s="56">
        <f>IF(OR($AM759=0,$Q759=""),0,IF(AND($A759&gt;=Lists!$W$6,$A759&lt;=Lists!$W$7,OR(Dashboard!$D$6="All accounts",$C759=Dashboard!$D$6),OR(Dashboard!$D$7="All markets",$AF759=Dashboard!$D$7)),1,0))</f>
        <v>0</v>
      </c>
      <c r="AT759" s="55">
        <f>IF($AS759=1,N(AT758)+$Q759,N(AT758))</f>
        <v>1187.10688</v>
      </c>
      <c r="AU759" s="55">
        <f>MAX(N(AU758),$AT759)</f>
        <v>1187.10688</v>
      </c>
      <c r="AV759" s="55">
        <f>$AT759-$AU759</f>
        <v>0</v>
      </c>
      <c r="AW759" s="56">
        <f>IF($AS759=1,IF($S759="Win",N(AW758)+1,IF($S759="Loss",0,N(AW758))),N(AW758))</f>
        <v>5</v>
      </c>
      <c r="AX759" s="56">
        <f>IF($AS759=1,IF($S759="Loss",N(AX758)+1,IF($S759="Win",0,N(AX758))),N(AX758))</f>
        <v>0</v>
      </c>
      <c r="AY759" s="56" t="str">
        <f>IF($AS759=1,COUNTIF($AS$6:$AS759,1),"")</f>
        <v/>
      </c>
      <c r="AZ759" s="56">
        <f>MIN(753,N(Lists!$W$8))</f>
        <v>28</v>
      </c>
      <c r="BA759" s="56">
        <f>IF($AS759=1,IF(COUNTIFS($A$6:$A759,$A759,$AS$6:$AS759,1)=1,1,0),0)</f>
        <v>0</v>
      </c>
      <c r="BB759" s="55" t="str">
        <f>IF($BA759=1,SUMIFS($Q$6:$Q$1005,$A$6:$A$1005,$A759,$AS$6:$AS$1005,1),"")</f>
        <v/>
      </c>
      <c r="BC759" s="56">
        <f>IF(ISNUMBER($R759),1,0)</f>
        <v>0</v>
      </c>
      <c r="BD759" s="55" t="str">
        <f>IF(ISNUMBER($U759),$U759*$V759,"")</f>
        <v/>
      </c>
      <c r="BE759" s="56" t="str">
        <f>IF($AM759=0,"",IFERROR(MATCH($AF759&amp;"|"&amp;UPPER(TRIM($E759)),Lists!$A$6:$A$205,0),0))</f>
        <v/>
      </c>
      <c r="BF759" s="56" t="str">
        <f>IF($AM759=0,"",IFERROR(MATCH($AF759,Settings!$B$14:$B$18,0),IFERROR(MATCH(Settings!$C$6,Settings!$B$14:$B$18,0),1)))</f>
        <v/>
      </c>
      <c r="BG759" s="58" t="str">
        <f>IF($AM759=0,"",IF(NOT(ISNUMBER($I759)),"No stop; ","")&amp;IF(AND(ISNUMBER($H759),ISNUMBER($I759)),IF(OR(AND($F759&lt;&gt;"Short",$I759&gt;=$H759),AND($F759="Short",$I759&lt;=$H759)),"Stop on wrong side; ",""),"")&amp;IF($F759="","No direction; ","")&amp;IF(AND(ISNUMBER(Settings!$C$22),ISNUMBER($V759)),IF($V759&gt;Settings!$C$22,"Risk over max $; ",""),"")&amp;IF(AND(ISNUMBER(Settings!$C$23),ISNUMBER($V759),ISNUMBER($AP759),IFERROR(N(INDEX(Accounts!$E$7:$E$16,MATCH($C759,Accounts!$B$7:$B$16,0))),0)&gt;0),IF($V759&gt;Settings!$C$23*($AP759-N($Q759)),"Risk over max %; ",""),"")&amp;IF(AND(ISNUMBER(Settings!$C$24),ISNUMBER($N759)),IF($N759&gt;Settings!$C$24,"Leverage over max; ",""),"")&amp;IF(AND(ISNUMBER(Settings!$C$27),ISNUMBER($T759)),IF($T759&lt;Settings!$C$27,"R:R below min; ",""),"")&amp;IF(ISNUMBER(Settings!$C$25),IF(COUNTIFS($A$6:$A759,$A759,$AM$6:$AM759,1)&gt;Settings!$C$25,"Over max trades/day; ",""),"")&amp;IF(ISNUMBER(Settings!$C$26),IF(SUMIFS($Q$5:$Q758,$A$5:$A758,$A759)&lt;=-Settings!$C$26,"Traded after daily max loss; ",""),"")&amp;IF(AND($AG759="",NOT(ISNUMBER($O759))),"Symbol not in Instruments; ","")&amp;IF(AND($AH759="",NOT(ISNUMBER($O759))),"Forex cross: type Gross P&amp;L; ",""))</f>
        <v/>
      </c>
      <c r="BH759" s="56">
        <f>IF(ISNUMBER($Q759),1,0)</f>
        <v>0</v>
      </c>
      <c r="BI759" s="56">
        <f>IF($Y759="",0,1)</f>
        <v>0</v>
      </c>
      <c r="BJ759" s="56">
        <f>IF($AB759="",0,1)</f>
        <v>0</v>
      </c>
      <c r="BK759" s="56">
        <f>IF(AND($BH759=1,$W759&lt;&gt;"OK"),1,0)</f>
        <v>0</v>
      </c>
      <c r="BL759" s="55">
        <f>IF(N($AZ759)=0,0,IFERROR(INDEX($AT$6:$AT$1005,MATCH($AZ759,$AY$6:$AY$1005,0)),0))</f>
        <v>1187.10688</v>
      </c>
      <c r="BM759" s="56">
        <f>IF(ISNUMBER(SEARCH("daily max loss",$BG759)),1,0)</f>
        <v>0</v>
      </c>
    </row>
    <row r="760" ht="18" customHeight="1">
      <c r="A760" s="38" t="n"/>
      <c r="B760" s="39" t="n"/>
      <c r="C760" s="40" t="n"/>
      <c r="D760" s="41" t="n"/>
      <c r="E760" s="41" t="n"/>
      <c r="F760" s="41" t="n"/>
      <c r="G760" s="41" t="n"/>
      <c r="H760" s="42" t="n"/>
      <c r="I760" s="42" t="n"/>
      <c r="J760" s="42" t="n"/>
      <c r="K760" s="42" t="n"/>
      <c r="L760" s="41" t="n"/>
      <c r="M760" s="41" t="n"/>
      <c r="N760" s="41" t="n"/>
      <c r="O760" s="43" t="n"/>
      <c r="P760" s="43" t="n"/>
      <c r="Q760" s="44" t="str">
        <f>IF($AM760=0,"",IF(ISNUMBER($AK760),$AK760-N($AL760),""))</f>
        <v/>
      </c>
      <c r="R760" s="45" t="str">
        <f>IF(OR($Q760="",NOT(ISNUMBER($V760))),"",$AK760/$V760)</f>
        <v/>
      </c>
      <c r="S760" s="46" t="str">
        <f>IF($Q760="","",IF(AND(ISNUMBER($R760),ABS(N($R760))&lt;N(Settings!$C$8)),"Scratch",IF($Q760&gt;0,"Win",IF($Q760&lt;0,"Loss","Scratch"))))</f>
        <v/>
      </c>
      <c r="T760" s="47" t="str">
        <f>IF(OR($AM760=0,NOT(ISNUMBER($H760)),NOT(ISNUMBER($I760)),NOT(ISNUMBER($J760))),"",IF($H760=$I760,"",ROUND(ABS($J760-$H760)/ABS($H760-$I760),6)))</f>
        <v/>
      </c>
      <c r="U760" s="48" t="str">
        <f>IF(OR($S760&lt;&gt;"Win",NOT(ISNUMBER($T760)),NOT(ISNUMBER($R760))),"",MAX(0,$T760-$R760))</f>
        <v/>
      </c>
      <c r="V760" s="49" t="str">
        <f>IF(OR($AM760=0,NOT(ISNUMBER($H760)),NOT(ISNUMBER($I760)),NOT(ISNUMBER($G760))),"",IF(OR($AG760="",$AH760=""),"",IF(ROUND(ABS($H760-$I760)*ABS($G760)*$AG760*$AH760,6)=0,"",ROUND(ABS($H760-$I760)*ABS($G760)*$AG760*$AH760,6))))</f>
        <v/>
      </c>
      <c r="W760" s="50" t="str">
        <f>IF($AM760=0,"",IF($BG760="","OK",LEFT($BG760,LEN($BG760)-2)))</f>
        <v/>
      </c>
      <c r="X760" s="41" t="n"/>
      <c r="Y760" s="40" t="n"/>
      <c r="Z760" s="41" t="n"/>
      <c r="AA760" s="41" t="n"/>
      <c r="AB760" s="40" t="n"/>
      <c r="AC760" s="51" t="n"/>
      <c r="AD760" s="51" t="n"/>
      <c r="AE760" s="40" t="n"/>
      <c r="AF760" s="52" t="str">
        <f>IF($AM760=0,"",IF($D760&lt;&gt;"",$D760,IF(IFERROR(INDEX(Accounts!$C$7:$C$16,MATCH($C760,Accounts!$B$7:$B$16,0))&amp;"","")&lt;&gt;"",INDEX(Accounts!$C$7:$C$16,MATCH($C760,Accounts!$B$7:$B$16,0)),Settings!$C$6)))</f>
        <v/>
      </c>
      <c r="AG760" s="53" t="str">
        <f>IF($AM760=0,"",IF(AND($BE760&gt;0,N(INDEX(Instruments!$D$6:$D$205,MAX(1,$BE760)))&gt;0),INDEX(Instruments!$D$6:$D$205,MAX(1,$BE760)),IF(N(INDEX(Settings!$D$14:$D$18,$BF760))&gt;0,INDEX(Settings!$D$14:$D$18,$BF760),"")))</f>
        <v/>
      </c>
      <c r="AH760" s="54" t="str">
        <f>IF($AM760=0,"",IF($AF760&lt;&gt;"Forex",1,IF(MID(UPPER(SUBSTITUTE(TRIM($E760),"/","")),4,3)=UPPER(TRIM(Settings!$C$7)),1,IF(LEFT(UPPER(SUBSTITUTE(TRIM($E760),"/","")),3)=UPPER(TRIM(Settings!$C$7)),IF(AND(ISNUMBER($K760),N($K760)&lt;&gt;0),1/$K760,""),""))))</f>
        <v/>
      </c>
      <c r="AI760" s="55" t="str">
        <f>IF($AM760=0,"",IF(OR(NOT(ISNUMBER($H760)),NOT(ISNUMBER($K760)),NOT(ISNUMBER($G760)),$AG760="",$AH760=""),"",ROUND(($K760-$H760)*IF($F760="Short",-1,1)*$G760*$AG760*$AH760,6)))</f>
        <v/>
      </c>
      <c r="AJ760" s="55" t="str">
        <f>IF($AM760=0,"",IF(INDEX(Settings!$E$14:$E$18,$BF760)="% of notional",IF(OR($AG760="",NOT(ISNUMBER($H760)),NOT(ISNUMBER($G760))),"",ROUND(ABS($H760*$G760*$AG760*N($AH760))*IF($L760="Limit",N(INDEX(Settings!$G$14:$G$18,$BF760)),N(INDEX(Settings!$H$14:$H$18,$BF760)))+IF(ISNUMBER($K760),ABS($K760*$G760*$AG760*N($AH760))*IF($M760="Target",N(INDEX(Settings!$G$14:$G$18,$BF760)),N(INDEX(Settings!$H$14:$H$18,$BF760))),0),6)),IF(NOT(ISNUMBER($G760)),"",ROUND(ABS($G760)*2*IF(AND($BE760&gt;0,ISNUMBER(INDEX(Instruments!$G$6:$G$205,MAX(1,$BE760)))),INDEX(Instruments!$G$6:$G$205,MAX(1,$BE760)),N(INDEX(Settings!$F$14:$F$18,$BF760))),6))))</f>
        <v/>
      </c>
      <c r="AK760" s="55" t="str">
        <f>IF($AM760=0,"",IF(ISNUMBER($O760),$O760,$AI760))</f>
        <v/>
      </c>
      <c r="AL760" s="55" t="str">
        <f>IF($AM760=0,"",IF(ISNUMBER($P760),$P760,N($AJ760)))</f>
        <v/>
      </c>
      <c r="AM760" s="56">
        <f>IF(AND($A760&lt;&gt;"",$E760&lt;&gt;"",OR(AND(ISNUMBER($G760),ISNUMBER($H760),ISNUMBER($K760)),ISNUMBER($O760))),1,0)</f>
        <v>0</v>
      </c>
      <c r="AN760" s="57" t="str">
        <f>IF($A760="","",$A760-WEEKDAY($A760,3))</f>
        <v/>
      </c>
      <c r="AO760" s="56" t="str">
        <f>IF($A760="","",WEEKDAY($A760,2))</f>
        <v/>
      </c>
      <c r="AP760" s="55" t="str">
        <f>IF(OR($AM760=0,$C760=""),"",IFERROR(N(INDEX(Accounts!$E$7:$E$16,MATCH($C760,Accounts!$B$7:$B$16,0))),0)+SUMIFS($Q$6:$Q760,$C$6:$C760,$C760))</f>
        <v/>
      </c>
      <c r="AQ760" s="55" t="str">
        <f>IF(OR($AM760=0,$C760=""),"",SUMIFS($Q$6:$Q$1005,$C$6:$C$1005,$C760,$A$6:$A$1005,$A760))</f>
        <v/>
      </c>
      <c r="AR760" s="55" t="str">
        <f>IF(OR($AM760=0,$C760=""),"",IFERROR(N(INDEX(Accounts!$E$7:$E$16,MATCH($C760,Accounts!$B$7:$B$16,0))),0)+SUMIFS($Q$6:$Q$1005,$C$6:$C$1005,$C760,$A$6:$A$1005,"&lt;="&amp;$A760))</f>
        <v/>
      </c>
      <c r="AS760" s="56">
        <f>IF(OR($AM760=0,$Q760=""),0,IF(AND($A760&gt;=Lists!$W$6,$A760&lt;=Lists!$W$7,OR(Dashboard!$D$6="All accounts",$C760=Dashboard!$D$6),OR(Dashboard!$D$7="All markets",$AF760=Dashboard!$D$7)),1,0))</f>
        <v>0</v>
      </c>
      <c r="AT760" s="55">
        <f>IF($AS760=1,N(AT759)+$Q760,N(AT759))</f>
        <v>1187.10688</v>
      </c>
      <c r="AU760" s="55">
        <f>MAX(N(AU759),$AT760)</f>
        <v>1187.10688</v>
      </c>
      <c r="AV760" s="55">
        <f>$AT760-$AU760</f>
        <v>0</v>
      </c>
      <c r="AW760" s="56">
        <f>IF($AS760=1,IF($S760="Win",N(AW759)+1,IF($S760="Loss",0,N(AW759))),N(AW759))</f>
        <v>5</v>
      </c>
      <c r="AX760" s="56">
        <f>IF($AS760=1,IF($S760="Loss",N(AX759)+1,IF($S760="Win",0,N(AX759))),N(AX759))</f>
        <v>0</v>
      </c>
      <c r="AY760" s="56" t="str">
        <f>IF($AS760=1,COUNTIF($AS$6:$AS760,1),"")</f>
        <v/>
      </c>
      <c r="AZ760" s="56">
        <f>MIN(754,N(Lists!$W$8))</f>
        <v>28</v>
      </c>
      <c r="BA760" s="56">
        <f>IF($AS760=1,IF(COUNTIFS($A$6:$A760,$A760,$AS$6:$AS760,1)=1,1,0),0)</f>
        <v>0</v>
      </c>
      <c r="BB760" s="55" t="str">
        <f>IF($BA760=1,SUMIFS($Q$6:$Q$1005,$A$6:$A$1005,$A760,$AS$6:$AS$1005,1),"")</f>
        <v/>
      </c>
      <c r="BC760" s="56">
        <f>IF(ISNUMBER($R760),1,0)</f>
        <v>0</v>
      </c>
      <c r="BD760" s="55" t="str">
        <f>IF(ISNUMBER($U760),$U760*$V760,"")</f>
        <v/>
      </c>
      <c r="BE760" s="56" t="str">
        <f>IF($AM760=0,"",IFERROR(MATCH($AF760&amp;"|"&amp;UPPER(TRIM($E760)),Lists!$A$6:$A$205,0),0))</f>
        <v/>
      </c>
      <c r="BF760" s="56" t="str">
        <f>IF($AM760=0,"",IFERROR(MATCH($AF760,Settings!$B$14:$B$18,0),IFERROR(MATCH(Settings!$C$6,Settings!$B$14:$B$18,0),1)))</f>
        <v/>
      </c>
      <c r="BG760" s="58" t="str">
        <f>IF($AM760=0,"",IF(NOT(ISNUMBER($I760)),"No stop; ","")&amp;IF(AND(ISNUMBER($H760),ISNUMBER($I760)),IF(OR(AND($F760&lt;&gt;"Short",$I760&gt;=$H760),AND($F760="Short",$I760&lt;=$H760)),"Stop on wrong side; ",""),"")&amp;IF($F760="","No direction; ","")&amp;IF(AND(ISNUMBER(Settings!$C$22),ISNUMBER($V760)),IF($V760&gt;Settings!$C$22,"Risk over max $; ",""),"")&amp;IF(AND(ISNUMBER(Settings!$C$23),ISNUMBER($V760),ISNUMBER($AP760),IFERROR(N(INDEX(Accounts!$E$7:$E$16,MATCH($C760,Accounts!$B$7:$B$16,0))),0)&gt;0),IF($V760&gt;Settings!$C$23*($AP760-N($Q760)),"Risk over max %; ",""),"")&amp;IF(AND(ISNUMBER(Settings!$C$24),ISNUMBER($N760)),IF($N760&gt;Settings!$C$24,"Leverage over max; ",""),"")&amp;IF(AND(ISNUMBER(Settings!$C$27),ISNUMBER($T760)),IF($T760&lt;Settings!$C$27,"R:R below min; ",""),"")&amp;IF(ISNUMBER(Settings!$C$25),IF(COUNTIFS($A$6:$A760,$A760,$AM$6:$AM760,1)&gt;Settings!$C$25,"Over max trades/day; ",""),"")&amp;IF(ISNUMBER(Settings!$C$26),IF(SUMIFS($Q$5:$Q759,$A$5:$A759,$A760)&lt;=-Settings!$C$26,"Traded after daily max loss; ",""),"")&amp;IF(AND($AG760="",NOT(ISNUMBER($O760))),"Symbol not in Instruments; ","")&amp;IF(AND($AH760="",NOT(ISNUMBER($O760))),"Forex cross: type Gross P&amp;L; ",""))</f>
        <v/>
      </c>
      <c r="BH760" s="56">
        <f>IF(ISNUMBER($Q760),1,0)</f>
        <v>0</v>
      </c>
      <c r="BI760" s="56">
        <f>IF($Y760="",0,1)</f>
        <v>0</v>
      </c>
      <c r="BJ760" s="56">
        <f>IF($AB760="",0,1)</f>
        <v>0</v>
      </c>
      <c r="BK760" s="56">
        <f>IF(AND($BH760=1,$W760&lt;&gt;"OK"),1,0)</f>
        <v>0</v>
      </c>
      <c r="BL760" s="55">
        <f>IF(N($AZ760)=0,0,IFERROR(INDEX($AT$6:$AT$1005,MATCH($AZ760,$AY$6:$AY$1005,0)),0))</f>
        <v>1187.10688</v>
      </c>
      <c r="BM760" s="56">
        <f>IF(ISNUMBER(SEARCH("daily max loss",$BG760)),1,0)</f>
        <v>0</v>
      </c>
    </row>
    <row r="761" ht="18" customHeight="1">
      <c r="A761" s="38" t="n"/>
      <c r="B761" s="39" t="n"/>
      <c r="C761" s="40" t="n"/>
      <c r="D761" s="41" t="n"/>
      <c r="E761" s="41" t="n"/>
      <c r="F761" s="41" t="n"/>
      <c r="G761" s="41" t="n"/>
      <c r="H761" s="42" t="n"/>
      <c r="I761" s="42" t="n"/>
      <c r="J761" s="42" t="n"/>
      <c r="K761" s="42" t="n"/>
      <c r="L761" s="41" t="n"/>
      <c r="M761" s="41" t="n"/>
      <c r="N761" s="41" t="n"/>
      <c r="O761" s="43" t="n"/>
      <c r="P761" s="43" t="n"/>
      <c r="Q761" s="44" t="str">
        <f>IF($AM761=0,"",IF(ISNUMBER($AK761),$AK761-N($AL761),""))</f>
        <v/>
      </c>
      <c r="R761" s="45" t="str">
        <f>IF(OR($Q761="",NOT(ISNUMBER($V761))),"",$AK761/$V761)</f>
        <v/>
      </c>
      <c r="S761" s="46" t="str">
        <f>IF($Q761="","",IF(AND(ISNUMBER($R761),ABS(N($R761))&lt;N(Settings!$C$8)),"Scratch",IF($Q761&gt;0,"Win",IF($Q761&lt;0,"Loss","Scratch"))))</f>
        <v/>
      </c>
      <c r="T761" s="47" t="str">
        <f>IF(OR($AM761=0,NOT(ISNUMBER($H761)),NOT(ISNUMBER($I761)),NOT(ISNUMBER($J761))),"",IF($H761=$I761,"",ROUND(ABS($J761-$H761)/ABS($H761-$I761),6)))</f>
        <v/>
      </c>
      <c r="U761" s="48" t="str">
        <f>IF(OR($S761&lt;&gt;"Win",NOT(ISNUMBER($T761)),NOT(ISNUMBER($R761))),"",MAX(0,$T761-$R761))</f>
        <v/>
      </c>
      <c r="V761" s="49" t="str">
        <f>IF(OR($AM761=0,NOT(ISNUMBER($H761)),NOT(ISNUMBER($I761)),NOT(ISNUMBER($G761))),"",IF(OR($AG761="",$AH761=""),"",IF(ROUND(ABS($H761-$I761)*ABS($G761)*$AG761*$AH761,6)=0,"",ROUND(ABS($H761-$I761)*ABS($G761)*$AG761*$AH761,6))))</f>
        <v/>
      </c>
      <c r="W761" s="50" t="str">
        <f>IF($AM761=0,"",IF($BG761="","OK",LEFT($BG761,LEN($BG761)-2)))</f>
        <v/>
      </c>
      <c r="X761" s="41" t="n"/>
      <c r="Y761" s="40" t="n"/>
      <c r="Z761" s="41" t="n"/>
      <c r="AA761" s="41" t="n"/>
      <c r="AB761" s="40" t="n"/>
      <c r="AC761" s="51" t="n"/>
      <c r="AD761" s="51" t="n"/>
      <c r="AE761" s="40" t="n"/>
      <c r="AF761" s="52" t="str">
        <f>IF($AM761=0,"",IF($D761&lt;&gt;"",$D761,IF(IFERROR(INDEX(Accounts!$C$7:$C$16,MATCH($C761,Accounts!$B$7:$B$16,0))&amp;"","")&lt;&gt;"",INDEX(Accounts!$C$7:$C$16,MATCH($C761,Accounts!$B$7:$B$16,0)),Settings!$C$6)))</f>
        <v/>
      </c>
      <c r="AG761" s="53" t="str">
        <f>IF($AM761=0,"",IF(AND($BE761&gt;0,N(INDEX(Instruments!$D$6:$D$205,MAX(1,$BE761)))&gt;0),INDEX(Instruments!$D$6:$D$205,MAX(1,$BE761)),IF(N(INDEX(Settings!$D$14:$D$18,$BF761))&gt;0,INDEX(Settings!$D$14:$D$18,$BF761),"")))</f>
        <v/>
      </c>
      <c r="AH761" s="54" t="str">
        <f>IF($AM761=0,"",IF($AF761&lt;&gt;"Forex",1,IF(MID(UPPER(SUBSTITUTE(TRIM($E761),"/","")),4,3)=UPPER(TRIM(Settings!$C$7)),1,IF(LEFT(UPPER(SUBSTITUTE(TRIM($E761),"/","")),3)=UPPER(TRIM(Settings!$C$7)),IF(AND(ISNUMBER($K761),N($K761)&lt;&gt;0),1/$K761,""),""))))</f>
        <v/>
      </c>
      <c r="AI761" s="55" t="str">
        <f>IF($AM761=0,"",IF(OR(NOT(ISNUMBER($H761)),NOT(ISNUMBER($K761)),NOT(ISNUMBER($G761)),$AG761="",$AH761=""),"",ROUND(($K761-$H761)*IF($F761="Short",-1,1)*$G761*$AG761*$AH761,6)))</f>
        <v/>
      </c>
      <c r="AJ761" s="55" t="str">
        <f>IF($AM761=0,"",IF(INDEX(Settings!$E$14:$E$18,$BF761)="% of notional",IF(OR($AG761="",NOT(ISNUMBER($H761)),NOT(ISNUMBER($G761))),"",ROUND(ABS($H761*$G761*$AG761*N($AH761))*IF($L761="Limit",N(INDEX(Settings!$G$14:$G$18,$BF761)),N(INDEX(Settings!$H$14:$H$18,$BF761)))+IF(ISNUMBER($K761),ABS($K761*$G761*$AG761*N($AH761))*IF($M761="Target",N(INDEX(Settings!$G$14:$G$18,$BF761)),N(INDEX(Settings!$H$14:$H$18,$BF761))),0),6)),IF(NOT(ISNUMBER($G761)),"",ROUND(ABS($G761)*2*IF(AND($BE761&gt;0,ISNUMBER(INDEX(Instruments!$G$6:$G$205,MAX(1,$BE761)))),INDEX(Instruments!$G$6:$G$205,MAX(1,$BE761)),N(INDEX(Settings!$F$14:$F$18,$BF761))),6))))</f>
        <v/>
      </c>
      <c r="AK761" s="55" t="str">
        <f>IF($AM761=0,"",IF(ISNUMBER($O761),$O761,$AI761))</f>
        <v/>
      </c>
      <c r="AL761" s="55" t="str">
        <f>IF($AM761=0,"",IF(ISNUMBER($P761),$P761,N($AJ761)))</f>
        <v/>
      </c>
      <c r="AM761" s="56">
        <f>IF(AND($A761&lt;&gt;"",$E761&lt;&gt;"",OR(AND(ISNUMBER($G761),ISNUMBER($H761),ISNUMBER($K761)),ISNUMBER($O761))),1,0)</f>
        <v>0</v>
      </c>
      <c r="AN761" s="57" t="str">
        <f>IF($A761="","",$A761-WEEKDAY($A761,3))</f>
        <v/>
      </c>
      <c r="AO761" s="56" t="str">
        <f>IF($A761="","",WEEKDAY($A761,2))</f>
        <v/>
      </c>
      <c r="AP761" s="55" t="str">
        <f>IF(OR($AM761=0,$C761=""),"",IFERROR(N(INDEX(Accounts!$E$7:$E$16,MATCH($C761,Accounts!$B$7:$B$16,0))),0)+SUMIFS($Q$6:$Q761,$C$6:$C761,$C761))</f>
        <v/>
      </c>
      <c r="AQ761" s="55" t="str">
        <f>IF(OR($AM761=0,$C761=""),"",SUMIFS($Q$6:$Q$1005,$C$6:$C$1005,$C761,$A$6:$A$1005,$A761))</f>
        <v/>
      </c>
      <c r="AR761" s="55" t="str">
        <f>IF(OR($AM761=0,$C761=""),"",IFERROR(N(INDEX(Accounts!$E$7:$E$16,MATCH($C761,Accounts!$B$7:$B$16,0))),0)+SUMIFS($Q$6:$Q$1005,$C$6:$C$1005,$C761,$A$6:$A$1005,"&lt;="&amp;$A761))</f>
        <v/>
      </c>
      <c r="AS761" s="56">
        <f>IF(OR($AM761=0,$Q761=""),0,IF(AND($A761&gt;=Lists!$W$6,$A761&lt;=Lists!$W$7,OR(Dashboard!$D$6="All accounts",$C761=Dashboard!$D$6),OR(Dashboard!$D$7="All markets",$AF761=Dashboard!$D$7)),1,0))</f>
        <v>0</v>
      </c>
      <c r="AT761" s="55">
        <f>IF($AS761=1,N(AT760)+$Q761,N(AT760))</f>
        <v>1187.10688</v>
      </c>
      <c r="AU761" s="55">
        <f>MAX(N(AU760),$AT761)</f>
        <v>1187.10688</v>
      </c>
      <c r="AV761" s="55">
        <f>$AT761-$AU761</f>
        <v>0</v>
      </c>
      <c r="AW761" s="56">
        <f>IF($AS761=1,IF($S761="Win",N(AW760)+1,IF($S761="Loss",0,N(AW760))),N(AW760))</f>
        <v>5</v>
      </c>
      <c r="AX761" s="56">
        <f>IF($AS761=1,IF($S761="Loss",N(AX760)+1,IF($S761="Win",0,N(AX760))),N(AX760))</f>
        <v>0</v>
      </c>
      <c r="AY761" s="56" t="str">
        <f>IF($AS761=1,COUNTIF($AS$6:$AS761,1),"")</f>
        <v/>
      </c>
      <c r="AZ761" s="56">
        <f>MIN(755,N(Lists!$W$8))</f>
        <v>28</v>
      </c>
      <c r="BA761" s="56">
        <f>IF($AS761=1,IF(COUNTIFS($A$6:$A761,$A761,$AS$6:$AS761,1)=1,1,0),0)</f>
        <v>0</v>
      </c>
      <c r="BB761" s="55" t="str">
        <f>IF($BA761=1,SUMIFS($Q$6:$Q$1005,$A$6:$A$1005,$A761,$AS$6:$AS$1005,1),"")</f>
        <v/>
      </c>
      <c r="BC761" s="56">
        <f>IF(ISNUMBER($R761),1,0)</f>
        <v>0</v>
      </c>
      <c r="BD761" s="55" t="str">
        <f>IF(ISNUMBER($U761),$U761*$V761,"")</f>
        <v/>
      </c>
      <c r="BE761" s="56" t="str">
        <f>IF($AM761=0,"",IFERROR(MATCH($AF761&amp;"|"&amp;UPPER(TRIM($E761)),Lists!$A$6:$A$205,0),0))</f>
        <v/>
      </c>
      <c r="BF761" s="56" t="str">
        <f>IF($AM761=0,"",IFERROR(MATCH($AF761,Settings!$B$14:$B$18,0),IFERROR(MATCH(Settings!$C$6,Settings!$B$14:$B$18,0),1)))</f>
        <v/>
      </c>
      <c r="BG761" s="58" t="str">
        <f>IF($AM761=0,"",IF(NOT(ISNUMBER($I761)),"No stop; ","")&amp;IF(AND(ISNUMBER($H761),ISNUMBER($I761)),IF(OR(AND($F761&lt;&gt;"Short",$I761&gt;=$H761),AND($F761="Short",$I761&lt;=$H761)),"Stop on wrong side; ",""),"")&amp;IF($F761="","No direction; ","")&amp;IF(AND(ISNUMBER(Settings!$C$22),ISNUMBER($V761)),IF($V761&gt;Settings!$C$22,"Risk over max $; ",""),"")&amp;IF(AND(ISNUMBER(Settings!$C$23),ISNUMBER($V761),ISNUMBER($AP761),IFERROR(N(INDEX(Accounts!$E$7:$E$16,MATCH($C761,Accounts!$B$7:$B$16,0))),0)&gt;0),IF($V761&gt;Settings!$C$23*($AP761-N($Q761)),"Risk over max %; ",""),"")&amp;IF(AND(ISNUMBER(Settings!$C$24),ISNUMBER($N761)),IF($N761&gt;Settings!$C$24,"Leverage over max; ",""),"")&amp;IF(AND(ISNUMBER(Settings!$C$27),ISNUMBER($T761)),IF($T761&lt;Settings!$C$27,"R:R below min; ",""),"")&amp;IF(ISNUMBER(Settings!$C$25),IF(COUNTIFS($A$6:$A761,$A761,$AM$6:$AM761,1)&gt;Settings!$C$25,"Over max trades/day; ",""),"")&amp;IF(ISNUMBER(Settings!$C$26),IF(SUMIFS($Q$5:$Q760,$A$5:$A760,$A761)&lt;=-Settings!$C$26,"Traded after daily max loss; ",""),"")&amp;IF(AND($AG761="",NOT(ISNUMBER($O761))),"Symbol not in Instruments; ","")&amp;IF(AND($AH761="",NOT(ISNUMBER($O761))),"Forex cross: type Gross P&amp;L; ",""))</f>
        <v/>
      </c>
      <c r="BH761" s="56">
        <f>IF(ISNUMBER($Q761),1,0)</f>
        <v>0</v>
      </c>
      <c r="BI761" s="56">
        <f>IF($Y761="",0,1)</f>
        <v>0</v>
      </c>
      <c r="BJ761" s="56">
        <f>IF($AB761="",0,1)</f>
        <v>0</v>
      </c>
      <c r="BK761" s="56">
        <f>IF(AND($BH761=1,$W761&lt;&gt;"OK"),1,0)</f>
        <v>0</v>
      </c>
      <c r="BL761" s="55">
        <f>IF(N($AZ761)=0,0,IFERROR(INDEX($AT$6:$AT$1005,MATCH($AZ761,$AY$6:$AY$1005,0)),0))</f>
        <v>1187.10688</v>
      </c>
      <c r="BM761" s="56">
        <f>IF(ISNUMBER(SEARCH("daily max loss",$BG761)),1,0)</f>
        <v>0</v>
      </c>
    </row>
    <row r="762" ht="18" customHeight="1">
      <c r="A762" s="38" t="n"/>
      <c r="B762" s="39" t="n"/>
      <c r="C762" s="40" t="n"/>
      <c r="D762" s="41" t="n"/>
      <c r="E762" s="41" t="n"/>
      <c r="F762" s="41" t="n"/>
      <c r="G762" s="41" t="n"/>
      <c r="H762" s="42" t="n"/>
      <c r="I762" s="42" t="n"/>
      <c r="J762" s="42" t="n"/>
      <c r="K762" s="42" t="n"/>
      <c r="L762" s="41" t="n"/>
      <c r="M762" s="41" t="n"/>
      <c r="N762" s="41" t="n"/>
      <c r="O762" s="43" t="n"/>
      <c r="P762" s="43" t="n"/>
      <c r="Q762" s="44" t="str">
        <f>IF($AM762=0,"",IF(ISNUMBER($AK762),$AK762-N($AL762),""))</f>
        <v/>
      </c>
      <c r="R762" s="45" t="str">
        <f>IF(OR($Q762="",NOT(ISNUMBER($V762))),"",$AK762/$V762)</f>
        <v/>
      </c>
      <c r="S762" s="46" t="str">
        <f>IF($Q762="","",IF(AND(ISNUMBER($R762),ABS(N($R762))&lt;N(Settings!$C$8)),"Scratch",IF($Q762&gt;0,"Win",IF($Q762&lt;0,"Loss","Scratch"))))</f>
        <v/>
      </c>
      <c r="T762" s="47" t="str">
        <f>IF(OR($AM762=0,NOT(ISNUMBER($H762)),NOT(ISNUMBER($I762)),NOT(ISNUMBER($J762))),"",IF($H762=$I762,"",ROUND(ABS($J762-$H762)/ABS($H762-$I762),6)))</f>
        <v/>
      </c>
      <c r="U762" s="48" t="str">
        <f>IF(OR($S762&lt;&gt;"Win",NOT(ISNUMBER($T762)),NOT(ISNUMBER($R762))),"",MAX(0,$T762-$R762))</f>
        <v/>
      </c>
      <c r="V762" s="49" t="str">
        <f>IF(OR($AM762=0,NOT(ISNUMBER($H762)),NOT(ISNUMBER($I762)),NOT(ISNUMBER($G762))),"",IF(OR($AG762="",$AH762=""),"",IF(ROUND(ABS($H762-$I762)*ABS($G762)*$AG762*$AH762,6)=0,"",ROUND(ABS($H762-$I762)*ABS($G762)*$AG762*$AH762,6))))</f>
        <v/>
      </c>
      <c r="W762" s="50" t="str">
        <f>IF($AM762=0,"",IF($BG762="","OK",LEFT($BG762,LEN($BG762)-2)))</f>
        <v/>
      </c>
      <c r="X762" s="41" t="n"/>
      <c r="Y762" s="40" t="n"/>
      <c r="Z762" s="41" t="n"/>
      <c r="AA762" s="41" t="n"/>
      <c r="AB762" s="40" t="n"/>
      <c r="AC762" s="51" t="n"/>
      <c r="AD762" s="51" t="n"/>
      <c r="AE762" s="40" t="n"/>
      <c r="AF762" s="52" t="str">
        <f>IF($AM762=0,"",IF($D762&lt;&gt;"",$D762,IF(IFERROR(INDEX(Accounts!$C$7:$C$16,MATCH($C762,Accounts!$B$7:$B$16,0))&amp;"","")&lt;&gt;"",INDEX(Accounts!$C$7:$C$16,MATCH($C762,Accounts!$B$7:$B$16,0)),Settings!$C$6)))</f>
        <v/>
      </c>
      <c r="AG762" s="53" t="str">
        <f>IF($AM762=0,"",IF(AND($BE762&gt;0,N(INDEX(Instruments!$D$6:$D$205,MAX(1,$BE762)))&gt;0),INDEX(Instruments!$D$6:$D$205,MAX(1,$BE762)),IF(N(INDEX(Settings!$D$14:$D$18,$BF762))&gt;0,INDEX(Settings!$D$14:$D$18,$BF762),"")))</f>
        <v/>
      </c>
      <c r="AH762" s="54" t="str">
        <f>IF($AM762=0,"",IF($AF762&lt;&gt;"Forex",1,IF(MID(UPPER(SUBSTITUTE(TRIM($E762),"/","")),4,3)=UPPER(TRIM(Settings!$C$7)),1,IF(LEFT(UPPER(SUBSTITUTE(TRIM($E762),"/","")),3)=UPPER(TRIM(Settings!$C$7)),IF(AND(ISNUMBER($K762),N($K762)&lt;&gt;0),1/$K762,""),""))))</f>
        <v/>
      </c>
      <c r="AI762" s="55" t="str">
        <f>IF($AM762=0,"",IF(OR(NOT(ISNUMBER($H762)),NOT(ISNUMBER($K762)),NOT(ISNUMBER($G762)),$AG762="",$AH762=""),"",ROUND(($K762-$H762)*IF($F762="Short",-1,1)*$G762*$AG762*$AH762,6)))</f>
        <v/>
      </c>
      <c r="AJ762" s="55" t="str">
        <f>IF($AM762=0,"",IF(INDEX(Settings!$E$14:$E$18,$BF762)="% of notional",IF(OR($AG762="",NOT(ISNUMBER($H762)),NOT(ISNUMBER($G762))),"",ROUND(ABS($H762*$G762*$AG762*N($AH762))*IF($L762="Limit",N(INDEX(Settings!$G$14:$G$18,$BF762)),N(INDEX(Settings!$H$14:$H$18,$BF762)))+IF(ISNUMBER($K762),ABS($K762*$G762*$AG762*N($AH762))*IF($M762="Target",N(INDEX(Settings!$G$14:$G$18,$BF762)),N(INDEX(Settings!$H$14:$H$18,$BF762))),0),6)),IF(NOT(ISNUMBER($G762)),"",ROUND(ABS($G762)*2*IF(AND($BE762&gt;0,ISNUMBER(INDEX(Instruments!$G$6:$G$205,MAX(1,$BE762)))),INDEX(Instruments!$G$6:$G$205,MAX(1,$BE762)),N(INDEX(Settings!$F$14:$F$18,$BF762))),6))))</f>
        <v/>
      </c>
      <c r="AK762" s="55" t="str">
        <f>IF($AM762=0,"",IF(ISNUMBER($O762),$O762,$AI762))</f>
        <v/>
      </c>
      <c r="AL762" s="55" t="str">
        <f>IF($AM762=0,"",IF(ISNUMBER($P762),$P762,N($AJ762)))</f>
        <v/>
      </c>
      <c r="AM762" s="56">
        <f>IF(AND($A762&lt;&gt;"",$E762&lt;&gt;"",OR(AND(ISNUMBER($G762),ISNUMBER($H762),ISNUMBER($K762)),ISNUMBER($O762))),1,0)</f>
        <v>0</v>
      </c>
      <c r="AN762" s="57" t="str">
        <f>IF($A762="","",$A762-WEEKDAY($A762,3))</f>
        <v/>
      </c>
      <c r="AO762" s="56" t="str">
        <f>IF($A762="","",WEEKDAY($A762,2))</f>
        <v/>
      </c>
      <c r="AP762" s="55" t="str">
        <f>IF(OR($AM762=0,$C762=""),"",IFERROR(N(INDEX(Accounts!$E$7:$E$16,MATCH($C762,Accounts!$B$7:$B$16,0))),0)+SUMIFS($Q$6:$Q762,$C$6:$C762,$C762))</f>
        <v/>
      </c>
      <c r="AQ762" s="55" t="str">
        <f>IF(OR($AM762=0,$C762=""),"",SUMIFS($Q$6:$Q$1005,$C$6:$C$1005,$C762,$A$6:$A$1005,$A762))</f>
        <v/>
      </c>
      <c r="AR762" s="55" t="str">
        <f>IF(OR($AM762=0,$C762=""),"",IFERROR(N(INDEX(Accounts!$E$7:$E$16,MATCH($C762,Accounts!$B$7:$B$16,0))),0)+SUMIFS($Q$6:$Q$1005,$C$6:$C$1005,$C762,$A$6:$A$1005,"&lt;="&amp;$A762))</f>
        <v/>
      </c>
      <c r="AS762" s="56">
        <f>IF(OR($AM762=0,$Q762=""),0,IF(AND($A762&gt;=Lists!$W$6,$A762&lt;=Lists!$W$7,OR(Dashboard!$D$6="All accounts",$C762=Dashboard!$D$6),OR(Dashboard!$D$7="All markets",$AF762=Dashboard!$D$7)),1,0))</f>
        <v>0</v>
      </c>
      <c r="AT762" s="55">
        <f>IF($AS762=1,N(AT761)+$Q762,N(AT761))</f>
        <v>1187.10688</v>
      </c>
      <c r="AU762" s="55">
        <f>MAX(N(AU761),$AT762)</f>
        <v>1187.10688</v>
      </c>
      <c r="AV762" s="55">
        <f>$AT762-$AU762</f>
        <v>0</v>
      </c>
      <c r="AW762" s="56">
        <f>IF($AS762=1,IF($S762="Win",N(AW761)+1,IF($S762="Loss",0,N(AW761))),N(AW761))</f>
        <v>5</v>
      </c>
      <c r="AX762" s="56">
        <f>IF($AS762=1,IF($S762="Loss",N(AX761)+1,IF($S762="Win",0,N(AX761))),N(AX761))</f>
        <v>0</v>
      </c>
      <c r="AY762" s="56" t="str">
        <f>IF($AS762=1,COUNTIF($AS$6:$AS762,1),"")</f>
        <v/>
      </c>
      <c r="AZ762" s="56">
        <f>MIN(756,N(Lists!$W$8))</f>
        <v>28</v>
      </c>
      <c r="BA762" s="56">
        <f>IF($AS762=1,IF(COUNTIFS($A$6:$A762,$A762,$AS$6:$AS762,1)=1,1,0),0)</f>
        <v>0</v>
      </c>
      <c r="BB762" s="55" t="str">
        <f>IF($BA762=1,SUMIFS($Q$6:$Q$1005,$A$6:$A$1005,$A762,$AS$6:$AS$1005,1),"")</f>
        <v/>
      </c>
      <c r="BC762" s="56">
        <f>IF(ISNUMBER($R762),1,0)</f>
        <v>0</v>
      </c>
      <c r="BD762" s="55" t="str">
        <f>IF(ISNUMBER($U762),$U762*$V762,"")</f>
        <v/>
      </c>
      <c r="BE762" s="56" t="str">
        <f>IF($AM762=0,"",IFERROR(MATCH($AF762&amp;"|"&amp;UPPER(TRIM($E762)),Lists!$A$6:$A$205,0),0))</f>
        <v/>
      </c>
      <c r="BF762" s="56" t="str">
        <f>IF($AM762=0,"",IFERROR(MATCH($AF762,Settings!$B$14:$B$18,0),IFERROR(MATCH(Settings!$C$6,Settings!$B$14:$B$18,0),1)))</f>
        <v/>
      </c>
      <c r="BG762" s="58" t="str">
        <f>IF($AM762=0,"",IF(NOT(ISNUMBER($I762)),"No stop; ","")&amp;IF(AND(ISNUMBER($H762),ISNUMBER($I762)),IF(OR(AND($F762&lt;&gt;"Short",$I762&gt;=$H762),AND($F762="Short",$I762&lt;=$H762)),"Stop on wrong side; ",""),"")&amp;IF($F762="","No direction; ","")&amp;IF(AND(ISNUMBER(Settings!$C$22),ISNUMBER($V762)),IF($V762&gt;Settings!$C$22,"Risk over max $; ",""),"")&amp;IF(AND(ISNUMBER(Settings!$C$23),ISNUMBER($V762),ISNUMBER($AP762),IFERROR(N(INDEX(Accounts!$E$7:$E$16,MATCH($C762,Accounts!$B$7:$B$16,0))),0)&gt;0),IF($V762&gt;Settings!$C$23*($AP762-N($Q762)),"Risk over max %; ",""),"")&amp;IF(AND(ISNUMBER(Settings!$C$24),ISNUMBER($N762)),IF($N762&gt;Settings!$C$24,"Leverage over max; ",""),"")&amp;IF(AND(ISNUMBER(Settings!$C$27),ISNUMBER($T762)),IF($T762&lt;Settings!$C$27,"R:R below min; ",""),"")&amp;IF(ISNUMBER(Settings!$C$25),IF(COUNTIFS($A$6:$A762,$A762,$AM$6:$AM762,1)&gt;Settings!$C$25,"Over max trades/day; ",""),"")&amp;IF(ISNUMBER(Settings!$C$26),IF(SUMIFS($Q$5:$Q761,$A$5:$A761,$A762)&lt;=-Settings!$C$26,"Traded after daily max loss; ",""),"")&amp;IF(AND($AG762="",NOT(ISNUMBER($O762))),"Symbol not in Instruments; ","")&amp;IF(AND($AH762="",NOT(ISNUMBER($O762))),"Forex cross: type Gross P&amp;L; ",""))</f>
        <v/>
      </c>
      <c r="BH762" s="56">
        <f>IF(ISNUMBER($Q762),1,0)</f>
        <v>0</v>
      </c>
      <c r="BI762" s="56">
        <f>IF($Y762="",0,1)</f>
        <v>0</v>
      </c>
      <c r="BJ762" s="56">
        <f>IF($AB762="",0,1)</f>
        <v>0</v>
      </c>
      <c r="BK762" s="56">
        <f>IF(AND($BH762=1,$W762&lt;&gt;"OK"),1,0)</f>
        <v>0</v>
      </c>
      <c r="BL762" s="55">
        <f>IF(N($AZ762)=0,0,IFERROR(INDEX($AT$6:$AT$1005,MATCH($AZ762,$AY$6:$AY$1005,0)),0))</f>
        <v>1187.10688</v>
      </c>
      <c r="BM762" s="56">
        <f>IF(ISNUMBER(SEARCH("daily max loss",$BG762)),1,0)</f>
        <v>0</v>
      </c>
    </row>
    <row r="763" ht="18" customHeight="1">
      <c r="A763" s="38" t="n"/>
      <c r="B763" s="39" t="n"/>
      <c r="C763" s="40" t="n"/>
      <c r="D763" s="41" t="n"/>
      <c r="E763" s="41" t="n"/>
      <c r="F763" s="41" t="n"/>
      <c r="G763" s="41" t="n"/>
      <c r="H763" s="42" t="n"/>
      <c r="I763" s="42" t="n"/>
      <c r="J763" s="42" t="n"/>
      <c r="K763" s="42" t="n"/>
      <c r="L763" s="41" t="n"/>
      <c r="M763" s="41" t="n"/>
      <c r="N763" s="41" t="n"/>
      <c r="O763" s="43" t="n"/>
      <c r="P763" s="43" t="n"/>
      <c r="Q763" s="44" t="str">
        <f>IF($AM763=0,"",IF(ISNUMBER($AK763),$AK763-N($AL763),""))</f>
        <v/>
      </c>
      <c r="R763" s="45" t="str">
        <f>IF(OR($Q763="",NOT(ISNUMBER($V763))),"",$AK763/$V763)</f>
        <v/>
      </c>
      <c r="S763" s="46" t="str">
        <f>IF($Q763="","",IF(AND(ISNUMBER($R763),ABS(N($R763))&lt;N(Settings!$C$8)),"Scratch",IF($Q763&gt;0,"Win",IF($Q763&lt;0,"Loss","Scratch"))))</f>
        <v/>
      </c>
      <c r="T763" s="47" t="str">
        <f>IF(OR($AM763=0,NOT(ISNUMBER($H763)),NOT(ISNUMBER($I763)),NOT(ISNUMBER($J763))),"",IF($H763=$I763,"",ROUND(ABS($J763-$H763)/ABS($H763-$I763),6)))</f>
        <v/>
      </c>
      <c r="U763" s="48" t="str">
        <f>IF(OR($S763&lt;&gt;"Win",NOT(ISNUMBER($T763)),NOT(ISNUMBER($R763))),"",MAX(0,$T763-$R763))</f>
        <v/>
      </c>
      <c r="V763" s="49" t="str">
        <f>IF(OR($AM763=0,NOT(ISNUMBER($H763)),NOT(ISNUMBER($I763)),NOT(ISNUMBER($G763))),"",IF(OR($AG763="",$AH763=""),"",IF(ROUND(ABS($H763-$I763)*ABS($G763)*$AG763*$AH763,6)=0,"",ROUND(ABS($H763-$I763)*ABS($G763)*$AG763*$AH763,6))))</f>
        <v/>
      </c>
      <c r="W763" s="50" t="str">
        <f>IF($AM763=0,"",IF($BG763="","OK",LEFT($BG763,LEN($BG763)-2)))</f>
        <v/>
      </c>
      <c r="X763" s="41" t="n"/>
      <c r="Y763" s="40" t="n"/>
      <c r="Z763" s="41" t="n"/>
      <c r="AA763" s="41" t="n"/>
      <c r="AB763" s="40" t="n"/>
      <c r="AC763" s="51" t="n"/>
      <c r="AD763" s="51" t="n"/>
      <c r="AE763" s="40" t="n"/>
      <c r="AF763" s="52" t="str">
        <f>IF($AM763=0,"",IF($D763&lt;&gt;"",$D763,IF(IFERROR(INDEX(Accounts!$C$7:$C$16,MATCH($C763,Accounts!$B$7:$B$16,0))&amp;"","")&lt;&gt;"",INDEX(Accounts!$C$7:$C$16,MATCH($C763,Accounts!$B$7:$B$16,0)),Settings!$C$6)))</f>
        <v/>
      </c>
      <c r="AG763" s="53" t="str">
        <f>IF($AM763=0,"",IF(AND($BE763&gt;0,N(INDEX(Instruments!$D$6:$D$205,MAX(1,$BE763)))&gt;0),INDEX(Instruments!$D$6:$D$205,MAX(1,$BE763)),IF(N(INDEX(Settings!$D$14:$D$18,$BF763))&gt;0,INDEX(Settings!$D$14:$D$18,$BF763),"")))</f>
        <v/>
      </c>
      <c r="AH763" s="54" t="str">
        <f>IF($AM763=0,"",IF($AF763&lt;&gt;"Forex",1,IF(MID(UPPER(SUBSTITUTE(TRIM($E763),"/","")),4,3)=UPPER(TRIM(Settings!$C$7)),1,IF(LEFT(UPPER(SUBSTITUTE(TRIM($E763),"/","")),3)=UPPER(TRIM(Settings!$C$7)),IF(AND(ISNUMBER($K763),N($K763)&lt;&gt;0),1/$K763,""),""))))</f>
        <v/>
      </c>
      <c r="AI763" s="55" t="str">
        <f>IF($AM763=0,"",IF(OR(NOT(ISNUMBER($H763)),NOT(ISNUMBER($K763)),NOT(ISNUMBER($G763)),$AG763="",$AH763=""),"",ROUND(($K763-$H763)*IF($F763="Short",-1,1)*$G763*$AG763*$AH763,6)))</f>
        <v/>
      </c>
      <c r="AJ763" s="55" t="str">
        <f>IF($AM763=0,"",IF(INDEX(Settings!$E$14:$E$18,$BF763)="% of notional",IF(OR($AG763="",NOT(ISNUMBER($H763)),NOT(ISNUMBER($G763))),"",ROUND(ABS($H763*$G763*$AG763*N($AH763))*IF($L763="Limit",N(INDEX(Settings!$G$14:$G$18,$BF763)),N(INDEX(Settings!$H$14:$H$18,$BF763)))+IF(ISNUMBER($K763),ABS($K763*$G763*$AG763*N($AH763))*IF($M763="Target",N(INDEX(Settings!$G$14:$G$18,$BF763)),N(INDEX(Settings!$H$14:$H$18,$BF763))),0),6)),IF(NOT(ISNUMBER($G763)),"",ROUND(ABS($G763)*2*IF(AND($BE763&gt;0,ISNUMBER(INDEX(Instruments!$G$6:$G$205,MAX(1,$BE763)))),INDEX(Instruments!$G$6:$G$205,MAX(1,$BE763)),N(INDEX(Settings!$F$14:$F$18,$BF763))),6))))</f>
        <v/>
      </c>
      <c r="AK763" s="55" t="str">
        <f>IF($AM763=0,"",IF(ISNUMBER($O763),$O763,$AI763))</f>
        <v/>
      </c>
      <c r="AL763" s="55" t="str">
        <f>IF($AM763=0,"",IF(ISNUMBER($P763),$P763,N($AJ763)))</f>
        <v/>
      </c>
      <c r="AM763" s="56">
        <f>IF(AND($A763&lt;&gt;"",$E763&lt;&gt;"",OR(AND(ISNUMBER($G763),ISNUMBER($H763),ISNUMBER($K763)),ISNUMBER($O763))),1,0)</f>
        <v>0</v>
      </c>
      <c r="AN763" s="57" t="str">
        <f>IF($A763="","",$A763-WEEKDAY($A763,3))</f>
        <v/>
      </c>
      <c r="AO763" s="56" t="str">
        <f>IF($A763="","",WEEKDAY($A763,2))</f>
        <v/>
      </c>
      <c r="AP763" s="55" t="str">
        <f>IF(OR($AM763=0,$C763=""),"",IFERROR(N(INDEX(Accounts!$E$7:$E$16,MATCH($C763,Accounts!$B$7:$B$16,0))),0)+SUMIFS($Q$6:$Q763,$C$6:$C763,$C763))</f>
        <v/>
      </c>
      <c r="AQ763" s="55" t="str">
        <f>IF(OR($AM763=0,$C763=""),"",SUMIFS($Q$6:$Q$1005,$C$6:$C$1005,$C763,$A$6:$A$1005,$A763))</f>
        <v/>
      </c>
      <c r="AR763" s="55" t="str">
        <f>IF(OR($AM763=0,$C763=""),"",IFERROR(N(INDEX(Accounts!$E$7:$E$16,MATCH($C763,Accounts!$B$7:$B$16,0))),0)+SUMIFS($Q$6:$Q$1005,$C$6:$C$1005,$C763,$A$6:$A$1005,"&lt;="&amp;$A763))</f>
        <v/>
      </c>
      <c r="AS763" s="56">
        <f>IF(OR($AM763=0,$Q763=""),0,IF(AND($A763&gt;=Lists!$W$6,$A763&lt;=Lists!$W$7,OR(Dashboard!$D$6="All accounts",$C763=Dashboard!$D$6),OR(Dashboard!$D$7="All markets",$AF763=Dashboard!$D$7)),1,0))</f>
        <v>0</v>
      </c>
      <c r="AT763" s="55">
        <f>IF($AS763=1,N(AT762)+$Q763,N(AT762))</f>
        <v>1187.10688</v>
      </c>
      <c r="AU763" s="55">
        <f>MAX(N(AU762),$AT763)</f>
        <v>1187.10688</v>
      </c>
      <c r="AV763" s="55">
        <f>$AT763-$AU763</f>
        <v>0</v>
      </c>
      <c r="AW763" s="56">
        <f>IF($AS763=1,IF($S763="Win",N(AW762)+1,IF($S763="Loss",0,N(AW762))),N(AW762))</f>
        <v>5</v>
      </c>
      <c r="AX763" s="56">
        <f>IF($AS763=1,IF($S763="Loss",N(AX762)+1,IF($S763="Win",0,N(AX762))),N(AX762))</f>
        <v>0</v>
      </c>
      <c r="AY763" s="56" t="str">
        <f>IF($AS763=1,COUNTIF($AS$6:$AS763,1),"")</f>
        <v/>
      </c>
      <c r="AZ763" s="56">
        <f>MIN(757,N(Lists!$W$8))</f>
        <v>28</v>
      </c>
      <c r="BA763" s="56">
        <f>IF($AS763=1,IF(COUNTIFS($A$6:$A763,$A763,$AS$6:$AS763,1)=1,1,0),0)</f>
        <v>0</v>
      </c>
      <c r="BB763" s="55" t="str">
        <f>IF($BA763=1,SUMIFS($Q$6:$Q$1005,$A$6:$A$1005,$A763,$AS$6:$AS$1005,1),"")</f>
        <v/>
      </c>
      <c r="BC763" s="56">
        <f>IF(ISNUMBER($R763),1,0)</f>
        <v>0</v>
      </c>
      <c r="BD763" s="55" t="str">
        <f>IF(ISNUMBER($U763),$U763*$V763,"")</f>
        <v/>
      </c>
      <c r="BE763" s="56" t="str">
        <f>IF($AM763=0,"",IFERROR(MATCH($AF763&amp;"|"&amp;UPPER(TRIM($E763)),Lists!$A$6:$A$205,0),0))</f>
        <v/>
      </c>
      <c r="BF763" s="56" t="str">
        <f>IF($AM763=0,"",IFERROR(MATCH($AF763,Settings!$B$14:$B$18,0),IFERROR(MATCH(Settings!$C$6,Settings!$B$14:$B$18,0),1)))</f>
        <v/>
      </c>
      <c r="BG763" s="58" t="str">
        <f>IF($AM763=0,"",IF(NOT(ISNUMBER($I763)),"No stop; ","")&amp;IF(AND(ISNUMBER($H763),ISNUMBER($I763)),IF(OR(AND($F763&lt;&gt;"Short",$I763&gt;=$H763),AND($F763="Short",$I763&lt;=$H763)),"Stop on wrong side; ",""),"")&amp;IF($F763="","No direction; ","")&amp;IF(AND(ISNUMBER(Settings!$C$22),ISNUMBER($V763)),IF($V763&gt;Settings!$C$22,"Risk over max $; ",""),"")&amp;IF(AND(ISNUMBER(Settings!$C$23),ISNUMBER($V763),ISNUMBER($AP763),IFERROR(N(INDEX(Accounts!$E$7:$E$16,MATCH($C763,Accounts!$B$7:$B$16,0))),0)&gt;0),IF($V763&gt;Settings!$C$23*($AP763-N($Q763)),"Risk over max %; ",""),"")&amp;IF(AND(ISNUMBER(Settings!$C$24),ISNUMBER($N763)),IF($N763&gt;Settings!$C$24,"Leverage over max; ",""),"")&amp;IF(AND(ISNUMBER(Settings!$C$27),ISNUMBER($T763)),IF($T763&lt;Settings!$C$27,"R:R below min; ",""),"")&amp;IF(ISNUMBER(Settings!$C$25),IF(COUNTIFS($A$6:$A763,$A763,$AM$6:$AM763,1)&gt;Settings!$C$25,"Over max trades/day; ",""),"")&amp;IF(ISNUMBER(Settings!$C$26),IF(SUMIFS($Q$5:$Q762,$A$5:$A762,$A763)&lt;=-Settings!$C$26,"Traded after daily max loss; ",""),"")&amp;IF(AND($AG763="",NOT(ISNUMBER($O763))),"Symbol not in Instruments; ","")&amp;IF(AND($AH763="",NOT(ISNUMBER($O763))),"Forex cross: type Gross P&amp;L; ",""))</f>
        <v/>
      </c>
      <c r="BH763" s="56">
        <f>IF(ISNUMBER($Q763),1,0)</f>
        <v>0</v>
      </c>
      <c r="BI763" s="56">
        <f>IF($Y763="",0,1)</f>
        <v>0</v>
      </c>
      <c r="BJ763" s="56">
        <f>IF($AB763="",0,1)</f>
        <v>0</v>
      </c>
      <c r="BK763" s="56">
        <f>IF(AND($BH763=1,$W763&lt;&gt;"OK"),1,0)</f>
        <v>0</v>
      </c>
      <c r="BL763" s="55">
        <f>IF(N($AZ763)=0,0,IFERROR(INDEX($AT$6:$AT$1005,MATCH($AZ763,$AY$6:$AY$1005,0)),0))</f>
        <v>1187.10688</v>
      </c>
      <c r="BM763" s="56">
        <f>IF(ISNUMBER(SEARCH("daily max loss",$BG763)),1,0)</f>
        <v>0</v>
      </c>
    </row>
    <row r="764" ht="18" customHeight="1">
      <c r="A764" s="38" t="n"/>
      <c r="B764" s="39" t="n"/>
      <c r="C764" s="40" t="n"/>
      <c r="D764" s="41" t="n"/>
      <c r="E764" s="41" t="n"/>
      <c r="F764" s="41" t="n"/>
      <c r="G764" s="41" t="n"/>
      <c r="H764" s="42" t="n"/>
      <c r="I764" s="42" t="n"/>
      <c r="J764" s="42" t="n"/>
      <c r="K764" s="42" t="n"/>
      <c r="L764" s="41" t="n"/>
      <c r="M764" s="41" t="n"/>
      <c r="N764" s="41" t="n"/>
      <c r="O764" s="43" t="n"/>
      <c r="P764" s="43" t="n"/>
      <c r="Q764" s="44" t="str">
        <f>IF($AM764=0,"",IF(ISNUMBER($AK764),$AK764-N($AL764),""))</f>
        <v/>
      </c>
      <c r="R764" s="45" t="str">
        <f>IF(OR($Q764="",NOT(ISNUMBER($V764))),"",$AK764/$V764)</f>
        <v/>
      </c>
      <c r="S764" s="46" t="str">
        <f>IF($Q764="","",IF(AND(ISNUMBER($R764),ABS(N($R764))&lt;N(Settings!$C$8)),"Scratch",IF($Q764&gt;0,"Win",IF($Q764&lt;0,"Loss","Scratch"))))</f>
        <v/>
      </c>
      <c r="T764" s="47" t="str">
        <f>IF(OR($AM764=0,NOT(ISNUMBER($H764)),NOT(ISNUMBER($I764)),NOT(ISNUMBER($J764))),"",IF($H764=$I764,"",ROUND(ABS($J764-$H764)/ABS($H764-$I764),6)))</f>
        <v/>
      </c>
      <c r="U764" s="48" t="str">
        <f>IF(OR($S764&lt;&gt;"Win",NOT(ISNUMBER($T764)),NOT(ISNUMBER($R764))),"",MAX(0,$T764-$R764))</f>
        <v/>
      </c>
      <c r="V764" s="49" t="str">
        <f>IF(OR($AM764=0,NOT(ISNUMBER($H764)),NOT(ISNUMBER($I764)),NOT(ISNUMBER($G764))),"",IF(OR($AG764="",$AH764=""),"",IF(ROUND(ABS($H764-$I764)*ABS($G764)*$AG764*$AH764,6)=0,"",ROUND(ABS($H764-$I764)*ABS($G764)*$AG764*$AH764,6))))</f>
        <v/>
      </c>
      <c r="W764" s="50" t="str">
        <f>IF($AM764=0,"",IF($BG764="","OK",LEFT($BG764,LEN($BG764)-2)))</f>
        <v/>
      </c>
      <c r="X764" s="41" t="n"/>
      <c r="Y764" s="40" t="n"/>
      <c r="Z764" s="41" t="n"/>
      <c r="AA764" s="41" t="n"/>
      <c r="AB764" s="40" t="n"/>
      <c r="AC764" s="51" t="n"/>
      <c r="AD764" s="51" t="n"/>
      <c r="AE764" s="40" t="n"/>
      <c r="AF764" s="52" t="str">
        <f>IF($AM764=0,"",IF($D764&lt;&gt;"",$D764,IF(IFERROR(INDEX(Accounts!$C$7:$C$16,MATCH($C764,Accounts!$B$7:$B$16,0))&amp;"","")&lt;&gt;"",INDEX(Accounts!$C$7:$C$16,MATCH($C764,Accounts!$B$7:$B$16,0)),Settings!$C$6)))</f>
        <v/>
      </c>
      <c r="AG764" s="53" t="str">
        <f>IF($AM764=0,"",IF(AND($BE764&gt;0,N(INDEX(Instruments!$D$6:$D$205,MAX(1,$BE764)))&gt;0),INDEX(Instruments!$D$6:$D$205,MAX(1,$BE764)),IF(N(INDEX(Settings!$D$14:$D$18,$BF764))&gt;0,INDEX(Settings!$D$14:$D$18,$BF764),"")))</f>
        <v/>
      </c>
      <c r="AH764" s="54" t="str">
        <f>IF($AM764=0,"",IF($AF764&lt;&gt;"Forex",1,IF(MID(UPPER(SUBSTITUTE(TRIM($E764),"/","")),4,3)=UPPER(TRIM(Settings!$C$7)),1,IF(LEFT(UPPER(SUBSTITUTE(TRIM($E764),"/","")),3)=UPPER(TRIM(Settings!$C$7)),IF(AND(ISNUMBER($K764),N($K764)&lt;&gt;0),1/$K764,""),""))))</f>
        <v/>
      </c>
      <c r="AI764" s="55" t="str">
        <f>IF($AM764=0,"",IF(OR(NOT(ISNUMBER($H764)),NOT(ISNUMBER($K764)),NOT(ISNUMBER($G764)),$AG764="",$AH764=""),"",ROUND(($K764-$H764)*IF($F764="Short",-1,1)*$G764*$AG764*$AH764,6)))</f>
        <v/>
      </c>
      <c r="AJ764" s="55" t="str">
        <f>IF($AM764=0,"",IF(INDEX(Settings!$E$14:$E$18,$BF764)="% of notional",IF(OR($AG764="",NOT(ISNUMBER($H764)),NOT(ISNUMBER($G764))),"",ROUND(ABS($H764*$G764*$AG764*N($AH764))*IF($L764="Limit",N(INDEX(Settings!$G$14:$G$18,$BF764)),N(INDEX(Settings!$H$14:$H$18,$BF764)))+IF(ISNUMBER($K764),ABS($K764*$G764*$AG764*N($AH764))*IF($M764="Target",N(INDEX(Settings!$G$14:$G$18,$BF764)),N(INDEX(Settings!$H$14:$H$18,$BF764))),0),6)),IF(NOT(ISNUMBER($G764)),"",ROUND(ABS($G764)*2*IF(AND($BE764&gt;0,ISNUMBER(INDEX(Instruments!$G$6:$G$205,MAX(1,$BE764)))),INDEX(Instruments!$G$6:$G$205,MAX(1,$BE764)),N(INDEX(Settings!$F$14:$F$18,$BF764))),6))))</f>
        <v/>
      </c>
      <c r="AK764" s="55" t="str">
        <f>IF($AM764=0,"",IF(ISNUMBER($O764),$O764,$AI764))</f>
        <v/>
      </c>
      <c r="AL764" s="55" t="str">
        <f>IF($AM764=0,"",IF(ISNUMBER($P764),$P764,N($AJ764)))</f>
        <v/>
      </c>
      <c r="AM764" s="56">
        <f>IF(AND($A764&lt;&gt;"",$E764&lt;&gt;"",OR(AND(ISNUMBER($G764),ISNUMBER($H764),ISNUMBER($K764)),ISNUMBER($O764))),1,0)</f>
        <v>0</v>
      </c>
      <c r="AN764" s="57" t="str">
        <f>IF($A764="","",$A764-WEEKDAY($A764,3))</f>
        <v/>
      </c>
      <c r="AO764" s="56" t="str">
        <f>IF($A764="","",WEEKDAY($A764,2))</f>
        <v/>
      </c>
      <c r="AP764" s="55" t="str">
        <f>IF(OR($AM764=0,$C764=""),"",IFERROR(N(INDEX(Accounts!$E$7:$E$16,MATCH($C764,Accounts!$B$7:$B$16,0))),0)+SUMIFS($Q$6:$Q764,$C$6:$C764,$C764))</f>
        <v/>
      </c>
      <c r="AQ764" s="55" t="str">
        <f>IF(OR($AM764=0,$C764=""),"",SUMIFS($Q$6:$Q$1005,$C$6:$C$1005,$C764,$A$6:$A$1005,$A764))</f>
        <v/>
      </c>
      <c r="AR764" s="55" t="str">
        <f>IF(OR($AM764=0,$C764=""),"",IFERROR(N(INDEX(Accounts!$E$7:$E$16,MATCH($C764,Accounts!$B$7:$B$16,0))),0)+SUMIFS($Q$6:$Q$1005,$C$6:$C$1005,$C764,$A$6:$A$1005,"&lt;="&amp;$A764))</f>
        <v/>
      </c>
      <c r="AS764" s="56">
        <f>IF(OR($AM764=0,$Q764=""),0,IF(AND($A764&gt;=Lists!$W$6,$A764&lt;=Lists!$W$7,OR(Dashboard!$D$6="All accounts",$C764=Dashboard!$D$6),OR(Dashboard!$D$7="All markets",$AF764=Dashboard!$D$7)),1,0))</f>
        <v>0</v>
      </c>
      <c r="AT764" s="55">
        <f>IF($AS764=1,N(AT763)+$Q764,N(AT763))</f>
        <v>1187.10688</v>
      </c>
      <c r="AU764" s="55">
        <f>MAX(N(AU763),$AT764)</f>
        <v>1187.10688</v>
      </c>
      <c r="AV764" s="55">
        <f>$AT764-$AU764</f>
        <v>0</v>
      </c>
      <c r="AW764" s="56">
        <f>IF($AS764=1,IF($S764="Win",N(AW763)+1,IF($S764="Loss",0,N(AW763))),N(AW763))</f>
        <v>5</v>
      </c>
      <c r="AX764" s="56">
        <f>IF($AS764=1,IF($S764="Loss",N(AX763)+1,IF($S764="Win",0,N(AX763))),N(AX763))</f>
        <v>0</v>
      </c>
      <c r="AY764" s="56" t="str">
        <f>IF($AS764=1,COUNTIF($AS$6:$AS764,1),"")</f>
        <v/>
      </c>
      <c r="AZ764" s="56">
        <f>MIN(758,N(Lists!$W$8))</f>
        <v>28</v>
      </c>
      <c r="BA764" s="56">
        <f>IF($AS764=1,IF(COUNTIFS($A$6:$A764,$A764,$AS$6:$AS764,1)=1,1,0),0)</f>
        <v>0</v>
      </c>
      <c r="BB764" s="55" t="str">
        <f>IF($BA764=1,SUMIFS($Q$6:$Q$1005,$A$6:$A$1005,$A764,$AS$6:$AS$1005,1),"")</f>
        <v/>
      </c>
      <c r="BC764" s="56">
        <f>IF(ISNUMBER($R764),1,0)</f>
        <v>0</v>
      </c>
      <c r="BD764" s="55" t="str">
        <f>IF(ISNUMBER($U764),$U764*$V764,"")</f>
        <v/>
      </c>
      <c r="BE764" s="56" t="str">
        <f>IF($AM764=0,"",IFERROR(MATCH($AF764&amp;"|"&amp;UPPER(TRIM($E764)),Lists!$A$6:$A$205,0),0))</f>
        <v/>
      </c>
      <c r="BF764" s="56" t="str">
        <f>IF($AM764=0,"",IFERROR(MATCH($AF764,Settings!$B$14:$B$18,0),IFERROR(MATCH(Settings!$C$6,Settings!$B$14:$B$18,0),1)))</f>
        <v/>
      </c>
      <c r="BG764" s="58" t="str">
        <f>IF($AM764=0,"",IF(NOT(ISNUMBER($I764)),"No stop; ","")&amp;IF(AND(ISNUMBER($H764),ISNUMBER($I764)),IF(OR(AND($F764&lt;&gt;"Short",$I764&gt;=$H764),AND($F764="Short",$I764&lt;=$H764)),"Stop on wrong side; ",""),"")&amp;IF($F764="","No direction; ","")&amp;IF(AND(ISNUMBER(Settings!$C$22),ISNUMBER($V764)),IF($V764&gt;Settings!$C$22,"Risk over max $; ",""),"")&amp;IF(AND(ISNUMBER(Settings!$C$23),ISNUMBER($V764),ISNUMBER($AP764),IFERROR(N(INDEX(Accounts!$E$7:$E$16,MATCH($C764,Accounts!$B$7:$B$16,0))),0)&gt;0),IF($V764&gt;Settings!$C$23*($AP764-N($Q764)),"Risk over max %; ",""),"")&amp;IF(AND(ISNUMBER(Settings!$C$24),ISNUMBER($N764)),IF($N764&gt;Settings!$C$24,"Leverage over max; ",""),"")&amp;IF(AND(ISNUMBER(Settings!$C$27),ISNUMBER($T764)),IF($T764&lt;Settings!$C$27,"R:R below min; ",""),"")&amp;IF(ISNUMBER(Settings!$C$25),IF(COUNTIFS($A$6:$A764,$A764,$AM$6:$AM764,1)&gt;Settings!$C$25,"Over max trades/day; ",""),"")&amp;IF(ISNUMBER(Settings!$C$26),IF(SUMIFS($Q$5:$Q763,$A$5:$A763,$A764)&lt;=-Settings!$C$26,"Traded after daily max loss; ",""),"")&amp;IF(AND($AG764="",NOT(ISNUMBER($O764))),"Symbol not in Instruments; ","")&amp;IF(AND($AH764="",NOT(ISNUMBER($O764))),"Forex cross: type Gross P&amp;L; ",""))</f>
        <v/>
      </c>
      <c r="BH764" s="56">
        <f>IF(ISNUMBER($Q764),1,0)</f>
        <v>0</v>
      </c>
      <c r="BI764" s="56">
        <f>IF($Y764="",0,1)</f>
        <v>0</v>
      </c>
      <c r="BJ764" s="56">
        <f>IF($AB764="",0,1)</f>
        <v>0</v>
      </c>
      <c r="BK764" s="56">
        <f>IF(AND($BH764=1,$W764&lt;&gt;"OK"),1,0)</f>
        <v>0</v>
      </c>
      <c r="BL764" s="55">
        <f>IF(N($AZ764)=0,0,IFERROR(INDEX($AT$6:$AT$1005,MATCH($AZ764,$AY$6:$AY$1005,0)),0))</f>
        <v>1187.10688</v>
      </c>
      <c r="BM764" s="56">
        <f>IF(ISNUMBER(SEARCH("daily max loss",$BG764)),1,0)</f>
        <v>0</v>
      </c>
    </row>
    <row r="765" ht="18" customHeight="1">
      <c r="A765" s="38" t="n"/>
      <c r="B765" s="39" t="n"/>
      <c r="C765" s="40" t="n"/>
      <c r="D765" s="41" t="n"/>
      <c r="E765" s="41" t="n"/>
      <c r="F765" s="41" t="n"/>
      <c r="G765" s="41" t="n"/>
      <c r="H765" s="42" t="n"/>
      <c r="I765" s="42" t="n"/>
      <c r="J765" s="42" t="n"/>
      <c r="K765" s="42" t="n"/>
      <c r="L765" s="41" t="n"/>
      <c r="M765" s="41" t="n"/>
      <c r="N765" s="41" t="n"/>
      <c r="O765" s="43" t="n"/>
      <c r="P765" s="43" t="n"/>
      <c r="Q765" s="44" t="str">
        <f>IF($AM765=0,"",IF(ISNUMBER($AK765),$AK765-N($AL765),""))</f>
        <v/>
      </c>
      <c r="R765" s="45" t="str">
        <f>IF(OR($Q765="",NOT(ISNUMBER($V765))),"",$AK765/$V765)</f>
        <v/>
      </c>
      <c r="S765" s="46" t="str">
        <f>IF($Q765="","",IF(AND(ISNUMBER($R765),ABS(N($R765))&lt;N(Settings!$C$8)),"Scratch",IF($Q765&gt;0,"Win",IF($Q765&lt;0,"Loss","Scratch"))))</f>
        <v/>
      </c>
      <c r="T765" s="47" t="str">
        <f>IF(OR($AM765=0,NOT(ISNUMBER($H765)),NOT(ISNUMBER($I765)),NOT(ISNUMBER($J765))),"",IF($H765=$I765,"",ROUND(ABS($J765-$H765)/ABS($H765-$I765),6)))</f>
        <v/>
      </c>
      <c r="U765" s="48" t="str">
        <f>IF(OR($S765&lt;&gt;"Win",NOT(ISNUMBER($T765)),NOT(ISNUMBER($R765))),"",MAX(0,$T765-$R765))</f>
        <v/>
      </c>
      <c r="V765" s="49" t="str">
        <f>IF(OR($AM765=0,NOT(ISNUMBER($H765)),NOT(ISNUMBER($I765)),NOT(ISNUMBER($G765))),"",IF(OR($AG765="",$AH765=""),"",IF(ROUND(ABS($H765-$I765)*ABS($G765)*$AG765*$AH765,6)=0,"",ROUND(ABS($H765-$I765)*ABS($G765)*$AG765*$AH765,6))))</f>
        <v/>
      </c>
      <c r="W765" s="50" t="str">
        <f>IF($AM765=0,"",IF($BG765="","OK",LEFT($BG765,LEN($BG765)-2)))</f>
        <v/>
      </c>
      <c r="X765" s="41" t="n"/>
      <c r="Y765" s="40" t="n"/>
      <c r="Z765" s="41" t="n"/>
      <c r="AA765" s="41" t="n"/>
      <c r="AB765" s="40" t="n"/>
      <c r="AC765" s="51" t="n"/>
      <c r="AD765" s="51" t="n"/>
      <c r="AE765" s="40" t="n"/>
      <c r="AF765" s="52" t="str">
        <f>IF($AM765=0,"",IF($D765&lt;&gt;"",$D765,IF(IFERROR(INDEX(Accounts!$C$7:$C$16,MATCH($C765,Accounts!$B$7:$B$16,0))&amp;"","")&lt;&gt;"",INDEX(Accounts!$C$7:$C$16,MATCH($C765,Accounts!$B$7:$B$16,0)),Settings!$C$6)))</f>
        <v/>
      </c>
      <c r="AG765" s="53" t="str">
        <f>IF($AM765=0,"",IF(AND($BE765&gt;0,N(INDEX(Instruments!$D$6:$D$205,MAX(1,$BE765)))&gt;0),INDEX(Instruments!$D$6:$D$205,MAX(1,$BE765)),IF(N(INDEX(Settings!$D$14:$D$18,$BF765))&gt;0,INDEX(Settings!$D$14:$D$18,$BF765),"")))</f>
        <v/>
      </c>
      <c r="AH765" s="54" t="str">
        <f>IF($AM765=0,"",IF($AF765&lt;&gt;"Forex",1,IF(MID(UPPER(SUBSTITUTE(TRIM($E765),"/","")),4,3)=UPPER(TRIM(Settings!$C$7)),1,IF(LEFT(UPPER(SUBSTITUTE(TRIM($E765),"/","")),3)=UPPER(TRIM(Settings!$C$7)),IF(AND(ISNUMBER($K765),N($K765)&lt;&gt;0),1/$K765,""),""))))</f>
        <v/>
      </c>
      <c r="AI765" s="55" t="str">
        <f>IF($AM765=0,"",IF(OR(NOT(ISNUMBER($H765)),NOT(ISNUMBER($K765)),NOT(ISNUMBER($G765)),$AG765="",$AH765=""),"",ROUND(($K765-$H765)*IF($F765="Short",-1,1)*$G765*$AG765*$AH765,6)))</f>
        <v/>
      </c>
      <c r="AJ765" s="55" t="str">
        <f>IF($AM765=0,"",IF(INDEX(Settings!$E$14:$E$18,$BF765)="% of notional",IF(OR($AG765="",NOT(ISNUMBER($H765)),NOT(ISNUMBER($G765))),"",ROUND(ABS($H765*$G765*$AG765*N($AH765))*IF($L765="Limit",N(INDEX(Settings!$G$14:$G$18,$BF765)),N(INDEX(Settings!$H$14:$H$18,$BF765)))+IF(ISNUMBER($K765),ABS($K765*$G765*$AG765*N($AH765))*IF($M765="Target",N(INDEX(Settings!$G$14:$G$18,$BF765)),N(INDEX(Settings!$H$14:$H$18,$BF765))),0),6)),IF(NOT(ISNUMBER($G765)),"",ROUND(ABS($G765)*2*IF(AND($BE765&gt;0,ISNUMBER(INDEX(Instruments!$G$6:$G$205,MAX(1,$BE765)))),INDEX(Instruments!$G$6:$G$205,MAX(1,$BE765)),N(INDEX(Settings!$F$14:$F$18,$BF765))),6))))</f>
        <v/>
      </c>
      <c r="AK765" s="55" t="str">
        <f>IF($AM765=0,"",IF(ISNUMBER($O765),$O765,$AI765))</f>
        <v/>
      </c>
      <c r="AL765" s="55" t="str">
        <f>IF($AM765=0,"",IF(ISNUMBER($P765),$P765,N($AJ765)))</f>
        <v/>
      </c>
      <c r="AM765" s="56">
        <f>IF(AND($A765&lt;&gt;"",$E765&lt;&gt;"",OR(AND(ISNUMBER($G765),ISNUMBER($H765),ISNUMBER($K765)),ISNUMBER($O765))),1,0)</f>
        <v>0</v>
      </c>
      <c r="AN765" s="57" t="str">
        <f>IF($A765="","",$A765-WEEKDAY($A765,3))</f>
        <v/>
      </c>
      <c r="AO765" s="56" t="str">
        <f>IF($A765="","",WEEKDAY($A765,2))</f>
        <v/>
      </c>
      <c r="AP765" s="55" t="str">
        <f>IF(OR($AM765=0,$C765=""),"",IFERROR(N(INDEX(Accounts!$E$7:$E$16,MATCH($C765,Accounts!$B$7:$B$16,0))),0)+SUMIFS($Q$6:$Q765,$C$6:$C765,$C765))</f>
        <v/>
      </c>
      <c r="AQ765" s="55" t="str">
        <f>IF(OR($AM765=0,$C765=""),"",SUMIFS($Q$6:$Q$1005,$C$6:$C$1005,$C765,$A$6:$A$1005,$A765))</f>
        <v/>
      </c>
      <c r="AR765" s="55" t="str">
        <f>IF(OR($AM765=0,$C765=""),"",IFERROR(N(INDEX(Accounts!$E$7:$E$16,MATCH($C765,Accounts!$B$7:$B$16,0))),0)+SUMIFS($Q$6:$Q$1005,$C$6:$C$1005,$C765,$A$6:$A$1005,"&lt;="&amp;$A765))</f>
        <v/>
      </c>
      <c r="AS765" s="56">
        <f>IF(OR($AM765=0,$Q765=""),0,IF(AND($A765&gt;=Lists!$W$6,$A765&lt;=Lists!$W$7,OR(Dashboard!$D$6="All accounts",$C765=Dashboard!$D$6),OR(Dashboard!$D$7="All markets",$AF765=Dashboard!$D$7)),1,0))</f>
        <v>0</v>
      </c>
      <c r="AT765" s="55">
        <f>IF($AS765=1,N(AT764)+$Q765,N(AT764))</f>
        <v>1187.10688</v>
      </c>
      <c r="AU765" s="55">
        <f>MAX(N(AU764),$AT765)</f>
        <v>1187.10688</v>
      </c>
      <c r="AV765" s="55">
        <f>$AT765-$AU765</f>
        <v>0</v>
      </c>
      <c r="AW765" s="56">
        <f>IF($AS765=1,IF($S765="Win",N(AW764)+1,IF($S765="Loss",0,N(AW764))),N(AW764))</f>
        <v>5</v>
      </c>
      <c r="AX765" s="56">
        <f>IF($AS765=1,IF($S765="Loss",N(AX764)+1,IF($S765="Win",0,N(AX764))),N(AX764))</f>
        <v>0</v>
      </c>
      <c r="AY765" s="56" t="str">
        <f>IF($AS765=1,COUNTIF($AS$6:$AS765,1),"")</f>
        <v/>
      </c>
      <c r="AZ765" s="56">
        <f>MIN(759,N(Lists!$W$8))</f>
        <v>28</v>
      </c>
      <c r="BA765" s="56">
        <f>IF($AS765=1,IF(COUNTIFS($A$6:$A765,$A765,$AS$6:$AS765,1)=1,1,0),0)</f>
        <v>0</v>
      </c>
      <c r="BB765" s="55" t="str">
        <f>IF($BA765=1,SUMIFS($Q$6:$Q$1005,$A$6:$A$1005,$A765,$AS$6:$AS$1005,1),"")</f>
        <v/>
      </c>
      <c r="BC765" s="56">
        <f>IF(ISNUMBER($R765),1,0)</f>
        <v>0</v>
      </c>
      <c r="BD765" s="55" t="str">
        <f>IF(ISNUMBER($U765),$U765*$V765,"")</f>
        <v/>
      </c>
      <c r="BE765" s="56" t="str">
        <f>IF($AM765=0,"",IFERROR(MATCH($AF765&amp;"|"&amp;UPPER(TRIM($E765)),Lists!$A$6:$A$205,0),0))</f>
        <v/>
      </c>
      <c r="BF765" s="56" t="str">
        <f>IF($AM765=0,"",IFERROR(MATCH($AF765,Settings!$B$14:$B$18,0),IFERROR(MATCH(Settings!$C$6,Settings!$B$14:$B$18,0),1)))</f>
        <v/>
      </c>
      <c r="BG765" s="58" t="str">
        <f>IF($AM765=0,"",IF(NOT(ISNUMBER($I765)),"No stop; ","")&amp;IF(AND(ISNUMBER($H765),ISNUMBER($I765)),IF(OR(AND($F765&lt;&gt;"Short",$I765&gt;=$H765),AND($F765="Short",$I765&lt;=$H765)),"Stop on wrong side; ",""),"")&amp;IF($F765="","No direction; ","")&amp;IF(AND(ISNUMBER(Settings!$C$22),ISNUMBER($V765)),IF($V765&gt;Settings!$C$22,"Risk over max $; ",""),"")&amp;IF(AND(ISNUMBER(Settings!$C$23),ISNUMBER($V765),ISNUMBER($AP765),IFERROR(N(INDEX(Accounts!$E$7:$E$16,MATCH($C765,Accounts!$B$7:$B$16,0))),0)&gt;0),IF($V765&gt;Settings!$C$23*($AP765-N($Q765)),"Risk over max %; ",""),"")&amp;IF(AND(ISNUMBER(Settings!$C$24),ISNUMBER($N765)),IF($N765&gt;Settings!$C$24,"Leverage over max; ",""),"")&amp;IF(AND(ISNUMBER(Settings!$C$27),ISNUMBER($T765)),IF($T765&lt;Settings!$C$27,"R:R below min; ",""),"")&amp;IF(ISNUMBER(Settings!$C$25),IF(COUNTIFS($A$6:$A765,$A765,$AM$6:$AM765,1)&gt;Settings!$C$25,"Over max trades/day; ",""),"")&amp;IF(ISNUMBER(Settings!$C$26),IF(SUMIFS($Q$5:$Q764,$A$5:$A764,$A765)&lt;=-Settings!$C$26,"Traded after daily max loss; ",""),"")&amp;IF(AND($AG765="",NOT(ISNUMBER($O765))),"Symbol not in Instruments; ","")&amp;IF(AND($AH765="",NOT(ISNUMBER($O765))),"Forex cross: type Gross P&amp;L; ",""))</f>
        <v/>
      </c>
      <c r="BH765" s="56">
        <f>IF(ISNUMBER($Q765),1,0)</f>
        <v>0</v>
      </c>
      <c r="BI765" s="56">
        <f>IF($Y765="",0,1)</f>
        <v>0</v>
      </c>
      <c r="BJ765" s="56">
        <f>IF($AB765="",0,1)</f>
        <v>0</v>
      </c>
      <c r="BK765" s="56">
        <f>IF(AND($BH765=1,$W765&lt;&gt;"OK"),1,0)</f>
        <v>0</v>
      </c>
      <c r="BL765" s="55">
        <f>IF(N($AZ765)=0,0,IFERROR(INDEX($AT$6:$AT$1005,MATCH($AZ765,$AY$6:$AY$1005,0)),0))</f>
        <v>1187.10688</v>
      </c>
      <c r="BM765" s="56">
        <f>IF(ISNUMBER(SEARCH("daily max loss",$BG765)),1,0)</f>
        <v>0</v>
      </c>
    </row>
    <row r="766" ht="18" customHeight="1">
      <c r="A766" s="38" t="n"/>
      <c r="B766" s="39" t="n"/>
      <c r="C766" s="40" t="n"/>
      <c r="D766" s="41" t="n"/>
      <c r="E766" s="41" t="n"/>
      <c r="F766" s="41" t="n"/>
      <c r="G766" s="41" t="n"/>
      <c r="H766" s="42" t="n"/>
      <c r="I766" s="42" t="n"/>
      <c r="J766" s="42" t="n"/>
      <c r="K766" s="42" t="n"/>
      <c r="L766" s="41" t="n"/>
      <c r="M766" s="41" t="n"/>
      <c r="N766" s="41" t="n"/>
      <c r="O766" s="43" t="n"/>
      <c r="P766" s="43" t="n"/>
      <c r="Q766" s="44" t="str">
        <f>IF($AM766=0,"",IF(ISNUMBER($AK766),$AK766-N($AL766),""))</f>
        <v/>
      </c>
      <c r="R766" s="45" t="str">
        <f>IF(OR($Q766="",NOT(ISNUMBER($V766))),"",$AK766/$V766)</f>
        <v/>
      </c>
      <c r="S766" s="46" t="str">
        <f>IF($Q766="","",IF(AND(ISNUMBER($R766),ABS(N($R766))&lt;N(Settings!$C$8)),"Scratch",IF($Q766&gt;0,"Win",IF($Q766&lt;0,"Loss","Scratch"))))</f>
        <v/>
      </c>
      <c r="T766" s="47" t="str">
        <f>IF(OR($AM766=0,NOT(ISNUMBER($H766)),NOT(ISNUMBER($I766)),NOT(ISNUMBER($J766))),"",IF($H766=$I766,"",ROUND(ABS($J766-$H766)/ABS($H766-$I766),6)))</f>
        <v/>
      </c>
      <c r="U766" s="48" t="str">
        <f>IF(OR($S766&lt;&gt;"Win",NOT(ISNUMBER($T766)),NOT(ISNUMBER($R766))),"",MAX(0,$T766-$R766))</f>
        <v/>
      </c>
      <c r="V766" s="49" t="str">
        <f>IF(OR($AM766=0,NOT(ISNUMBER($H766)),NOT(ISNUMBER($I766)),NOT(ISNUMBER($G766))),"",IF(OR($AG766="",$AH766=""),"",IF(ROUND(ABS($H766-$I766)*ABS($G766)*$AG766*$AH766,6)=0,"",ROUND(ABS($H766-$I766)*ABS($G766)*$AG766*$AH766,6))))</f>
        <v/>
      </c>
      <c r="W766" s="50" t="str">
        <f>IF($AM766=0,"",IF($BG766="","OK",LEFT($BG766,LEN($BG766)-2)))</f>
        <v/>
      </c>
      <c r="X766" s="41" t="n"/>
      <c r="Y766" s="40" t="n"/>
      <c r="Z766" s="41" t="n"/>
      <c r="AA766" s="41" t="n"/>
      <c r="AB766" s="40" t="n"/>
      <c r="AC766" s="51" t="n"/>
      <c r="AD766" s="51" t="n"/>
      <c r="AE766" s="40" t="n"/>
      <c r="AF766" s="52" t="str">
        <f>IF($AM766=0,"",IF($D766&lt;&gt;"",$D766,IF(IFERROR(INDEX(Accounts!$C$7:$C$16,MATCH($C766,Accounts!$B$7:$B$16,0))&amp;"","")&lt;&gt;"",INDEX(Accounts!$C$7:$C$16,MATCH($C766,Accounts!$B$7:$B$16,0)),Settings!$C$6)))</f>
        <v/>
      </c>
      <c r="AG766" s="53" t="str">
        <f>IF($AM766=0,"",IF(AND($BE766&gt;0,N(INDEX(Instruments!$D$6:$D$205,MAX(1,$BE766)))&gt;0),INDEX(Instruments!$D$6:$D$205,MAX(1,$BE766)),IF(N(INDEX(Settings!$D$14:$D$18,$BF766))&gt;0,INDEX(Settings!$D$14:$D$18,$BF766),"")))</f>
        <v/>
      </c>
      <c r="AH766" s="54" t="str">
        <f>IF($AM766=0,"",IF($AF766&lt;&gt;"Forex",1,IF(MID(UPPER(SUBSTITUTE(TRIM($E766),"/","")),4,3)=UPPER(TRIM(Settings!$C$7)),1,IF(LEFT(UPPER(SUBSTITUTE(TRIM($E766),"/","")),3)=UPPER(TRIM(Settings!$C$7)),IF(AND(ISNUMBER($K766),N($K766)&lt;&gt;0),1/$K766,""),""))))</f>
        <v/>
      </c>
      <c r="AI766" s="55" t="str">
        <f>IF($AM766=0,"",IF(OR(NOT(ISNUMBER($H766)),NOT(ISNUMBER($K766)),NOT(ISNUMBER($G766)),$AG766="",$AH766=""),"",ROUND(($K766-$H766)*IF($F766="Short",-1,1)*$G766*$AG766*$AH766,6)))</f>
        <v/>
      </c>
      <c r="AJ766" s="55" t="str">
        <f>IF($AM766=0,"",IF(INDEX(Settings!$E$14:$E$18,$BF766)="% of notional",IF(OR($AG766="",NOT(ISNUMBER($H766)),NOT(ISNUMBER($G766))),"",ROUND(ABS($H766*$G766*$AG766*N($AH766))*IF($L766="Limit",N(INDEX(Settings!$G$14:$G$18,$BF766)),N(INDEX(Settings!$H$14:$H$18,$BF766)))+IF(ISNUMBER($K766),ABS($K766*$G766*$AG766*N($AH766))*IF($M766="Target",N(INDEX(Settings!$G$14:$G$18,$BF766)),N(INDEX(Settings!$H$14:$H$18,$BF766))),0),6)),IF(NOT(ISNUMBER($G766)),"",ROUND(ABS($G766)*2*IF(AND($BE766&gt;0,ISNUMBER(INDEX(Instruments!$G$6:$G$205,MAX(1,$BE766)))),INDEX(Instruments!$G$6:$G$205,MAX(1,$BE766)),N(INDEX(Settings!$F$14:$F$18,$BF766))),6))))</f>
        <v/>
      </c>
      <c r="AK766" s="55" t="str">
        <f>IF($AM766=0,"",IF(ISNUMBER($O766),$O766,$AI766))</f>
        <v/>
      </c>
      <c r="AL766" s="55" t="str">
        <f>IF($AM766=0,"",IF(ISNUMBER($P766),$P766,N($AJ766)))</f>
        <v/>
      </c>
      <c r="AM766" s="56">
        <f>IF(AND($A766&lt;&gt;"",$E766&lt;&gt;"",OR(AND(ISNUMBER($G766),ISNUMBER($H766),ISNUMBER($K766)),ISNUMBER($O766))),1,0)</f>
        <v>0</v>
      </c>
      <c r="AN766" s="57" t="str">
        <f>IF($A766="","",$A766-WEEKDAY($A766,3))</f>
        <v/>
      </c>
      <c r="AO766" s="56" t="str">
        <f>IF($A766="","",WEEKDAY($A766,2))</f>
        <v/>
      </c>
      <c r="AP766" s="55" t="str">
        <f>IF(OR($AM766=0,$C766=""),"",IFERROR(N(INDEX(Accounts!$E$7:$E$16,MATCH($C766,Accounts!$B$7:$B$16,0))),0)+SUMIFS($Q$6:$Q766,$C$6:$C766,$C766))</f>
        <v/>
      </c>
      <c r="AQ766" s="55" t="str">
        <f>IF(OR($AM766=0,$C766=""),"",SUMIFS($Q$6:$Q$1005,$C$6:$C$1005,$C766,$A$6:$A$1005,$A766))</f>
        <v/>
      </c>
      <c r="AR766" s="55" t="str">
        <f>IF(OR($AM766=0,$C766=""),"",IFERROR(N(INDEX(Accounts!$E$7:$E$16,MATCH($C766,Accounts!$B$7:$B$16,0))),0)+SUMIFS($Q$6:$Q$1005,$C$6:$C$1005,$C766,$A$6:$A$1005,"&lt;="&amp;$A766))</f>
        <v/>
      </c>
      <c r="AS766" s="56">
        <f>IF(OR($AM766=0,$Q766=""),0,IF(AND($A766&gt;=Lists!$W$6,$A766&lt;=Lists!$W$7,OR(Dashboard!$D$6="All accounts",$C766=Dashboard!$D$6),OR(Dashboard!$D$7="All markets",$AF766=Dashboard!$D$7)),1,0))</f>
        <v>0</v>
      </c>
      <c r="AT766" s="55">
        <f>IF($AS766=1,N(AT765)+$Q766,N(AT765))</f>
        <v>1187.10688</v>
      </c>
      <c r="AU766" s="55">
        <f>MAX(N(AU765),$AT766)</f>
        <v>1187.10688</v>
      </c>
      <c r="AV766" s="55">
        <f>$AT766-$AU766</f>
        <v>0</v>
      </c>
      <c r="AW766" s="56">
        <f>IF($AS766=1,IF($S766="Win",N(AW765)+1,IF($S766="Loss",0,N(AW765))),N(AW765))</f>
        <v>5</v>
      </c>
      <c r="AX766" s="56">
        <f>IF($AS766=1,IF($S766="Loss",N(AX765)+1,IF($S766="Win",0,N(AX765))),N(AX765))</f>
        <v>0</v>
      </c>
      <c r="AY766" s="56" t="str">
        <f>IF($AS766=1,COUNTIF($AS$6:$AS766,1),"")</f>
        <v/>
      </c>
      <c r="AZ766" s="56">
        <f>MIN(760,N(Lists!$W$8))</f>
        <v>28</v>
      </c>
      <c r="BA766" s="56">
        <f>IF($AS766=1,IF(COUNTIFS($A$6:$A766,$A766,$AS$6:$AS766,1)=1,1,0),0)</f>
        <v>0</v>
      </c>
      <c r="BB766" s="55" t="str">
        <f>IF($BA766=1,SUMIFS($Q$6:$Q$1005,$A$6:$A$1005,$A766,$AS$6:$AS$1005,1),"")</f>
        <v/>
      </c>
      <c r="BC766" s="56">
        <f>IF(ISNUMBER($R766),1,0)</f>
        <v>0</v>
      </c>
      <c r="BD766" s="55" t="str">
        <f>IF(ISNUMBER($U766),$U766*$V766,"")</f>
        <v/>
      </c>
      <c r="BE766" s="56" t="str">
        <f>IF($AM766=0,"",IFERROR(MATCH($AF766&amp;"|"&amp;UPPER(TRIM($E766)),Lists!$A$6:$A$205,0),0))</f>
        <v/>
      </c>
      <c r="BF766" s="56" t="str">
        <f>IF($AM766=0,"",IFERROR(MATCH($AF766,Settings!$B$14:$B$18,0),IFERROR(MATCH(Settings!$C$6,Settings!$B$14:$B$18,0),1)))</f>
        <v/>
      </c>
      <c r="BG766" s="58" t="str">
        <f>IF($AM766=0,"",IF(NOT(ISNUMBER($I766)),"No stop; ","")&amp;IF(AND(ISNUMBER($H766),ISNUMBER($I766)),IF(OR(AND($F766&lt;&gt;"Short",$I766&gt;=$H766),AND($F766="Short",$I766&lt;=$H766)),"Stop on wrong side; ",""),"")&amp;IF($F766="","No direction; ","")&amp;IF(AND(ISNUMBER(Settings!$C$22),ISNUMBER($V766)),IF($V766&gt;Settings!$C$22,"Risk over max $; ",""),"")&amp;IF(AND(ISNUMBER(Settings!$C$23),ISNUMBER($V766),ISNUMBER($AP766),IFERROR(N(INDEX(Accounts!$E$7:$E$16,MATCH($C766,Accounts!$B$7:$B$16,0))),0)&gt;0),IF($V766&gt;Settings!$C$23*($AP766-N($Q766)),"Risk over max %; ",""),"")&amp;IF(AND(ISNUMBER(Settings!$C$24),ISNUMBER($N766)),IF($N766&gt;Settings!$C$24,"Leverage over max; ",""),"")&amp;IF(AND(ISNUMBER(Settings!$C$27),ISNUMBER($T766)),IF($T766&lt;Settings!$C$27,"R:R below min; ",""),"")&amp;IF(ISNUMBER(Settings!$C$25),IF(COUNTIFS($A$6:$A766,$A766,$AM$6:$AM766,1)&gt;Settings!$C$25,"Over max trades/day; ",""),"")&amp;IF(ISNUMBER(Settings!$C$26),IF(SUMIFS($Q$5:$Q765,$A$5:$A765,$A766)&lt;=-Settings!$C$26,"Traded after daily max loss; ",""),"")&amp;IF(AND($AG766="",NOT(ISNUMBER($O766))),"Symbol not in Instruments; ","")&amp;IF(AND($AH766="",NOT(ISNUMBER($O766))),"Forex cross: type Gross P&amp;L; ",""))</f>
        <v/>
      </c>
      <c r="BH766" s="56">
        <f>IF(ISNUMBER($Q766),1,0)</f>
        <v>0</v>
      </c>
      <c r="BI766" s="56">
        <f>IF($Y766="",0,1)</f>
        <v>0</v>
      </c>
      <c r="BJ766" s="56">
        <f>IF($AB766="",0,1)</f>
        <v>0</v>
      </c>
      <c r="BK766" s="56">
        <f>IF(AND($BH766=1,$W766&lt;&gt;"OK"),1,0)</f>
        <v>0</v>
      </c>
      <c r="BL766" s="55">
        <f>IF(N($AZ766)=0,0,IFERROR(INDEX($AT$6:$AT$1005,MATCH($AZ766,$AY$6:$AY$1005,0)),0))</f>
        <v>1187.10688</v>
      </c>
      <c r="BM766" s="56">
        <f>IF(ISNUMBER(SEARCH("daily max loss",$BG766)),1,0)</f>
        <v>0</v>
      </c>
    </row>
    <row r="767" ht="18" customHeight="1">
      <c r="A767" s="38" t="n"/>
      <c r="B767" s="39" t="n"/>
      <c r="C767" s="40" t="n"/>
      <c r="D767" s="41" t="n"/>
      <c r="E767" s="41" t="n"/>
      <c r="F767" s="41" t="n"/>
      <c r="G767" s="41" t="n"/>
      <c r="H767" s="42" t="n"/>
      <c r="I767" s="42" t="n"/>
      <c r="J767" s="42" t="n"/>
      <c r="K767" s="42" t="n"/>
      <c r="L767" s="41" t="n"/>
      <c r="M767" s="41" t="n"/>
      <c r="N767" s="41" t="n"/>
      <c r="O767" s="43" t="n"/>
      <c r="P767" s="43" t="n"/>
      <c r="Q767" s="44" t="str">
        <f>IF($AM767=0,"",IF(ISNUMBER($AK767),$AK767-N($AL767),""))</f>
        <v/>
      </c>
      <c r="R767" s="45" t="str">
        <f>IF(OR($Q767="",NOT(ISNUMBER($V767))),"",$AK767/$V767)</f>
        <v/>
      </c>
      <c r="S767" s="46" t="str">
        <f>IF($Q767="","",IF(AND(ISNUMBER($R767),ABS(N($R767))&lt;N(Settings!$C$8)),"Scratch",IF($Q767&gt;0,"Win",IF($Q767&lt;0,"Loss","Scratch"))))</f>
        <v/>
      </c>
      <c r="T767" s="47" t="str">
        <f>IF(OR($AM767=0,NOT(ISNUMBER($H767)),NOT(ISNUMBER($I767)),NOT(ISNUMBER($J767))),"",IF($H767=$I767,"",ROUND(ABS($J767-$H767)/ABS($H767-$I767),6)))</f>
        <v/>
      </c>
      <c r="U767" s="48" t="str">
        <f>IF(OR($S767&lt;&gt;"Win",NOT(ISNUMBER($T767)),NOT(ISNUMBER($R767))),"",MAX(0,$T767-$R767))</f>
        <v/>
      </c>
      <c r="V767" s="49" t="str">
        <f>IF(OR($AM767=0,NOT(ISNUMBER($H767)),NOT(ISNUMBER($I767)),NOT(ISNUMBER($G767))),"",IF(OR($AG767="",$AH767=""),"",IF(ROUND(ABS($H767-$I767)*ABS($G767)*$AG767*$AH767,6)=0,"",ROUND(ABS($H767-$I767)*ABS($G767)*$AG767*$AH767,6))))</f>
        <v/>
      </c>
      <c r="W767" s="50" t="str">
        <f>IF($AM767=0,"",IF($BG767="","OK",LEFT($BG767,LEN($BG767)-2)))</f>
        <v/>
      </c>
      <c r="X767" s="41" t="n"/>
      <c r="Y767" s="40" t="n"/>
      <c r="Z767" s="41" t="n"/>
      <c r="AA767" s="41" t="n"/>
      <c r="AB767" s="40" t="n"/>
      <c r="AC767" s="51" t="n"/>
      <c r="AD767" s="51" t="n"/>
      <c r="AE767" s="40" t="n"/>
      <c r="AF767" s="52" t="str">
        <f>IF($AM767=0,"",IF($D767&lt;&gt;"",$D767,IF(IFERROR(INDEX(Accounts!$C$7:$C$16,MATCH($C767,Accounts!$B$7:$B$16,0))&amp;"","")&lt;&gt;"",INDEX(Accounts!$C$7:$C$16,MATCH($C767,Accounts!$B$7:$B$16,0)),Settings!$C$6)))</f>
        <v/>
      </c>
      <c r="AG767" s="53" t="str">
        <f>IF($AM767=0,"",IF(AND($BE767&gt;0,N(INDEX(Instruments!$D$6:$D$205,MAX(1,$BE767)))&gt;0),INDEX(Instruments!$D$6:$D$205,MAX(1,$BE767)),IF(N(INDEX(Settings!$D$14:$D$18,$BF767))&gt;0,INDEX(Settings!$D$14:$D$18,$BF767),"")))</f>
        <v/>
      </c>
      <c r="AH767" s="54" t="str">
        <f>IF($AM767=0,"",IF($AF767&lt;&gt;"Forex",1,IF(MID(UPPER(SUBSTITUTE(TRIM($E767),"/","")),4,3)=UPPER(TRIM(Settings!$C$7)),1,IF(LEFT(UPPER(SUBSTITUTE(TRIM($E767),"/","")),3)=UPPER(TRIM(Settings!$C$7)),IF(AND(ISNUMBER($K767),N($K767)&lt;&gt;0),1/$K767,""),""))))</f>
        <v/>
      </c>
      <c r="AI767" s="55" t="str">
        <f>IF($AM767=0,"",IF(OR(NOT(ISNUMBER($H767)),NOT(ISNUMBER($K767)),NOT(ISNUMBER($G767)),$AG767="",$AH767=""),"",ROUND(($K767-$H767)*IF($F767="Short",-1,1)*$G767*$AG767*$AH767,6)))</f>
        <v/>
      </c>
      <c r="AJ767" s="55" t="str">
        <f>IF($AM767=0,"",IF(INDEX(Settings!$E$14:$E$18,$BF767)="% of notional",IF(OR($AG767="",NOT(ISNUMBER($H767)),NOT(ISNUMBER($G767))),"",ROUND(ABS($H767*$G767*$AG767*N($AH767))*IF($L767="Limit",N(INDEX(Settings!$G$14:$G$18,$BF767)),N(INDEX(Settings!$H$14:$H$18,$BF767)))+IF(ISNUMBER($K767),ABS($K767*$G767*$AG767*N($AH767))*IF($M767="Target",N(INDEX(Settings!$G$14:$G$18,$BF767)),N(INDEX(Settings!$H$14:$H$18,$BF767))),0),6)),IF(NOT(ISNUMBER($G767)),"",ROUND(ABS($G767)*2*IF(AND($BE767&gt;0,ISNUMBER(INDEX(Instruments!$G$6:$G$205,MAX(1,$BE767)))),INDEX(Instruments!$G$6:$G$205,MAX(1,$BE767)),N(INDEX(Settings!$F$14:$F$18,$BF767))),6))))</f>
        <v/>
      </c>
      <c r="AK767" s="55" t="str">
        <f>IF($AM767=0,"",IF(ISNUMBER($O767),$O767,$AI767))</f>
        <v/>
      </c>
      <c r="AL767" s="55" t="str">
        <f>IF($AM767=0,"",IF(ISNUMBER($P767),$P767,N($AJ767)))</f>
        <v/>
      </c>
      <c r="AM767" s="56">
        <f>IF(AND($A767&lt;&gt;"",$E767&lt;&gt;"",OR(AND(ISNUMBER($G767),ISNUMBER($H767),ISNUMBER($K767)),ISNUMBER($O767))),1,0)</f>
        <v>0</v>
      </c>
      <c r="AN767" s="57" t="str">
        <f>IF($A767="","",$A767-WEEKDAY($A767,3))</f>
        <v/>
      </c>
      <c r="AO767" s="56" t="str">
        <f>IF($A767="","",WEEKDAY($A767,2))</f>
        <v/>
      </c>
      <c r="AP767" s="55" t="str">
        <f>IF(OR($AM767=0,$C767=""),"",IFERROR(N(INDEX(Accounts!$E$7:$E$16,MATCH($C767,Accounts!$B$7:$B$16,0))),0)+SUMIFS($Q$6:$Q767,$C$6:$C767,$C767))</f>
        <v/>
      </c>
      <c r="AQ767" s="55" t="str">
        <f>IF(OR($AM767=0,$C767=""),"",SUMIFS($Q$6:$Q$1005,$C$6:$C$1005,$C767,$A$6:$A$1005,$A767))</f>
        <v/>
      </c>
      <c r="AR767" s="55" t="str">
        <f>IF(OR($AM767=0,$C767=""),"",IFERROR(N(INDEX(Accounts!$E$7:$E$16,MATCH($C767,Accounts!$B$7:$B$16,0))),0)+SUMIFS($Q$6:$Q$1005,$C$6:$C$1005,$C767,$A$6:$A$1005,"&lt;="&amp;$A767))</f>
        <v/>
      </c>
      <c r="AS767" s="56">
        <f>IF(OR($AM767=0,$Q767=""),0,IF(AND($A767&gt;=Lists!$W$6,$A767&lt;=Lists!$W$7,OR(Dashboard!$D$6="All accounts",$C767=Dashboard!$D$6),OR(Dashboard!$D$7="All markets",$AF767=Dashboard!$D$7)),1,0))</f>
        <v>0</v>
      </c>
      <c r="AT767" s="55">
        <f>IF($AS767=1,N(AT766)+$Q767,N(AT766))</f>
        <v>1187.10688</v>
      </c>
      <c r="AU767" s="55">
        <f>MAX(N(AU766),$AT767)</f>
        <v>1187.10688</v>
      </c>
      <c r="AV767" s="55">
        <f>$AT767-$AU767</f>
        <v>0</v>
      </c>
      <c r="AW767" s="56">
        <f>IF($AS767=1,IF($S767="Win",N(AW766)+1,IF($S767="Loss",0,N(AW766))),N(AW766))</f>
        <v>5</v>
      </c>
      <c r="AX767" s="56">
        <f>IF($AS767=1,IF($S767="Loss",N(AX766)+1,IF($S767="Win",0,N(AX766))),N(AX766))</f>
        <v>0</v>
      </c>
      <c r="AY767" s="56" t="str">
        <f>IF($AS767=1,COUNTIF($AS$6:$AS767,1),"")</f>
        <v/>
      </c>
      <c r="AZ767" s="56">
        <f>MIN(761,N(Lists!$W$8))</f>
        <v>28</v>
      </c>
      <c r="BA767" s="56">
        <f>IF($AS767=1,IF(COUNTIFS($A$6:$A767,$A767,$AS$6:$AS767,1)=1,1,0),0)</f>
        <v>0</v>
      </c>
      <c r="BB767" s="55" t="str">
        <f>IF($BA767=1,SUMIFS($Q$6:$Q$1005,$A$6:$A$1005,$A767,$AS$6:$AS$1005,1),"")</f>
        <v/>
      </c>
      <c r="BC767" s="56">
        <f>IF(ISNUMBER($R767),1,0)</f>
        <v>0</v>
      </c>
      <c r="BD767" s="55" t="str">
        <f>IF(ISNUMBER($U767),$U767*$V767,"")</f>
        <v/>
      </c>
      <c r="BE767" s="56" t="str">
        <f>IF($AM767=0,"",IFERROR(MATCH($AF767&amp;"|"&amp;UPPER(TRIM($E767)),Lists!$A$6:$A$205,0),0))</f>
        <v/>
      </c>
      <c r="BF767" s="56" t="str">
        <f>IF($AM767=0,"",IFERROR(MATCH($AF767,Settings!$B$14:$B$18,0),IFERROR(MATCH(Settings!$C$6,Settings!$B$14:$B$18,0),1)))</f>
        <v/>
      </c>
      <c r="BG767" s="58" t="str">
        <f>IF($AM767=0,"",IF(NOT(ISNUMBER($I767)),"No stop; ","")&amp;IF(AND(ISNUMBER($H767),ISNUMBER($I767)),IF(OR(AND($F767&lt;&gt;"Short",$I767&gt;=$H767),AND($F767="Short",$I767&lt;=$H767)),"Stop on wrong side; ",""),"")&amp;IF($F767="","No direction; ","")&amp;IF(AND(ISNUMBER(Settings!$C$22),ISNUMBER($V767)),IF($V767&gt;Settings!$C$22,"Risk over max $; ",""),"")&amp;IF(AND(ISNUMBER(Settings!$C$23),ISNUMBER($V767),ISNUMBER($AP767),IFERROR(N(INDEX(Accounts!$E$7:$E$16,MATCH($C767,Accounts!$B$7:$B$16,0))),0)&gt;0),IF($V767&gt;Settings!$C$23*($AP767-N($Q767)),"Risk over max %; ",""),"")&amp;IF(AND(ISNUMBER(Settings!$C$24),ISNUMBER($N767)),IF($N767&gt;Settings!$C$24,"Leverage over max; ",""),"")&amp;IF(AND(ISNUMBER(Settings!$C$27),ISNUMBER($T767)),IF($T767&lt;Settings!$C$27,"R:R below min; ",""),"")&amp;IF(ISNUMBER(Settings!$C$25),IF(COUNTIFS($A$6:$A767,$A767,$AM$6:$AM767,1)&gt;Settings!$C$25,"Over max trades/day; ",""),"")&amp;IF(ISNUMBER(Settings!$C$26),IF(SUMIFS($Q$5:$Q766,$A$5:$A766,$A767)&lt;=-Settings!$C$26,"Traded after daily max loss; ",""),"")&amp;IF(AND($AG767="",NOT(ISNUMBER($O767))),"Symbol not in Instruments; ","")&amp;IF(AND($AH767="",NOT(ISNUMBER($O767))),"Forex cross: type Gross P&amp;L; ",""))</f>
        <v/>
      </c>
      <c r="BH767" s="56">
        <f>IF(ISNUMBER($Q767),1,0)</f>
        <v>0</v>
      </c>
      <c r="BI767" s="56">
        <f>IF($Y767="",0,1)</f>
        <v>0</v>
      </c>
      <c r="BJ767" s="56">
        <f>IF($AB767="",0,1)</f>
        <v>0</v>
      </c>
      <c r="BK767" s="56">
        <f>IF(AND($BH767=1,$W767&lt;&gt;"OK"),1,0)</f>
        <v>0</v>
      </c>
      <c r="BL767" s="55">
        <f>IF(N($AZ767)=0,0,IFERROR(INDEX($AT$6:$AT$1005,MATCH($AZ767,$AY$6:$AY$1005,0)),0))</f>
        <v>1187.10688</v>
      </c>
      <c r="BM767" s="56">
        <f>IF(ISNUMBER(SEARCH("daily max loss",$BG767)),1,0)</f>
        <v>0</v>
      </c>
    </row>
    <row r="768" ht="18" customHeight="1">
      <c r="A768" s="38" t="n"/>
      <c r="B768" s="39" t="n"/>
      <c r="C768" s="40" t="n"/>
      <c r="D768" s="41" t="n"/>
      <c r="E768" s="41" t="n"/>
      <c r="F768" s="41" t="n"/>
      <c r="G768" s="41" t="n"/>
      <c r="H768" s="42" t="n"/>
      <c r="I768" s="42" t="n"/>
      <c r="J768" s="42" t="n"/>
      <c r="K768" s="42" t="n"/>
      <c r="L768" s="41" t="n"/>
      <c r="M768" s="41" t="n"/>
      <c r="N768" s="41" t="n"/>
      <c r="O768" s="43" t="n"/>
      <c r="P768" s="43" t="n"/>
      <c r="Q768" s="44" t="str">
        <f>IF($AM768=0,"",IF(ISNUMBER($AK768),$AK768-N($AL768),""))</f>
        <v/>
      </c>
      <c r="R768" s="45" t="str">
        <f>IF(OR($Q768="",NOT(ISNUMBER($V768))),"",$AK768/$V768)</f>
        <v/>
      </c>
      <c r="S768" s="46" t="str">
        <f>IF($Q768="","",IF(AND(ISNUMBER($R768),ABS(N($R768))&lt;N(Settings!$C$8)),"Scratch",IF($Q768&gt;0,"Win",IF($Q768&lt;0,"Loss","Scratch"))))</f>
        <v/>
      </c>
      <c r="T768" s="47" t="str">
        <f>IF(OR($AM768=0,NOT(ISNUMBER($H768)),NOT(ISNUMBER($I768)),NOT(ISNUMBER($J768))),"",IF($H768=$I768,"",ROUND(ABS($J768-$H768)/ABS($H768-$I768),6)))</f>
        <v/>
      </c>
      <c r="U768" s="48" t="str">
        <f>IF(OR($S768&lt;&gt;"Win",NOT(ISNUMBER($T768)),NOT(ISNUMBER($R768))),"",MAX(0,$T768-$R768))</f>
        <v/>
      </c>
      <c r="V768" s="49" t="str">
        <f>IF(OR($AM768=0,NOT(ISNUMBER($H768)),NOT(ISNUMBER($I768)),NOT(ISNUMBER($G768))),"",IF(OR($AG768="",$AH768=""),"",IF(ROUND(ABS($H768-$I768)*ABS($G768)*$AG768*$AH768,6)=0,"",ROUND(ABS($H768-$I768)*ABS($G768)*$AG768*$AH768,6))))</f>
        <v/>
      </c>
      <c r="W768" s="50" t="str">
        <f>IF($AM768=0,"",IF($BG768="","OK",LEFT($BG768,LEN($BG768)-2)))</f>
        <v/>
      </c>
      <c r="X768" s="41" t="n"/>
      <c r="Y768" s="40" t="n"/>
      <c r="Z768" s="41" t="n"/>
      <c r="AA768" s="41" t="n"/>
      <c r="AB768" s="40" t="n"/>
      <c r="AC768" s="51" t="n"/>
      <c r="AD768" s="51" t="n"/>
      <c r="AE768" s="40" t="n"/>
      <c r="AF768" s="52" t="str">
        <f>IF($AM768=0,"",IF($D768&lt;&gt;"",$D768,IF(IFERROR(INDEX(Accounts!$C$7:$C$16,MATCH($C768,Accounts!$B$7:$B$16,0))&amp;"","")&lt;&gt;"",INDEX(Accounts!$C$7:$C$16,MATCH($C768,Accounts!$B$7:$B$16,0)),Settings!$C$6)))</f>
        <v/>
      </c>
      <c r="AG768" s="53" t="str">
        <f>IF($AM768=0,"",IF(AND($BE768&gt;0,N(INDEX(Instruments!$D$6:$D$205,MAX(1,$BE768)))&gt;0),INDEX(Instruments!$D$6:$D$205,MAX(1,$BE768)),IF(N(INDEX(Settings!$D$14:$D$18,$BF768))&gt;0,INDEX(Settings!$D$14:$D$18,$BF768),"")))</f>
        <v/>
      </c>
      <c r="AH768" s="54" t="str">
        <f>IF($AM768=0,"",IF($AF768&lt;&gt;"Forex",1,IF(MID(UPPER(SUBSTITUTE(TRIM($E768),"/","")),4,3)=UPPER(TRIM(Settings!$C$7)),1,IF(LEFT(UPPER(SUBSTITUTE(TRIM($E768),"/","")),3)=UPPER(TRIM(Settings!$C$7)),IF(AND(ISNUMBER($K768),N($K768)&lt;&gt;0),1/$K768,""),""))))</f>
        <v/>
      </c>
      <c r="AI768" s="55" t="str">
        <f>IF($AM768=0,"",IF(OR(NOT(ISNUMBER($H768)),NOT(ISNUMBER($K768)),NOT(ISNUMBER($G768)),$AG768="",$AH768=""),"",ROUND(($K768-$H768)*IF($F768="Short",-1,1)*$G768*$AG768*$AH768,6)))</f>
        <v/>
      </c>
      <c r="AJ768" s="55" t="str">
        <f>IF($AM768=0,"",IF(INDEX(Settings!$E$14:$E$18,$BF768)="% of notional",IF(OR($AG768="",NOT(ISNUMBER($H768)),NOT(ISNUMBER($G768))),"",ROUND(ABS($H768*$G768*$AG768*N($AH768))*IF($L768="Limit",N(INDEX(Settings!$G$14:$G$18,$BF768)),N(INDEX(Settings!$H$14:$H$18,$BF768)))+IF(ISNUMBER($K768),ABS($K768*$G768*$AG768*N($AH768))*IF($M768="Target",N(INDEX(Settings!$G$14:$G$18,$BF768)),N(INDEX(Settings!$H$14:$H$18,$BF768))),0),6)),IF(NOT(ISNUMBER($G768)),"",ROUND(ABS($G768)*2*IF(AND($BE768&gt;0,ISNUMBER(INDEX(Instruments!$G$6:$G$205,MAX(1,$BE768)))),INDEX(Instruments!$G$6:$G$205,MAX(1,$BE768)),N(INDEX(Settings!$F$14:$F$18,$BF768))),6))))</f>
        <v/>
      </c>
      <c r="AK768" s="55" t="str">
        <f>IF($AM768=0,"",IF(ISNUMBER($O768),$O768,$AI768))</f>
        <v/>
      </c>
      <c r="AL768" s="55" t="str">
        <f>IF($AM768=0,"",IF(ISNUMBER($P768),$P768,N($AJ768)))</f>
        <v/>
      </c>
      <c r="AM768" s="56">
        <f>IF(AND($A768&lt;&gt;"",$E768&lt;&gt;"",OR(AND(ISNUMBER($G768),ISNUMBER($H768),ISNUMBER($K768)),ISNUMBER($O768))),1,0)</f>
        <v>0</v>
      </c>
      <c r="AN768" s="57" t="str">
        <f>IF($A768="","",$A768-WEEKDAY($A768,3))</f>
        <v/>
      </c>
      <c r="AO768" s="56" t="str">
        <f>IF($A768="","",WEEKDAY($A768,2))</f>
        <v/>
      </c>
      <c r="AP768" s="55" t="str">
        <f>IF(OR($AM768=0,$C768=""),"",IFERROR(N(INDEX(Accounts!$E$7:$E$16,MATCH($C768,Accounts!$B$7:$B$16,0))),0)+SUMIFS($Q$6:$Q768,$C$6:$C768,$C768))</f>
        <v/>
      </c>
      <c r="AQ768" s="55" t="str">
        <f>IF(OR($AM768=0,$C768=""),"",SUMIFS($Q$6:$Q$1005,$C$6:$C$1005,$C768,$A$6:$A$1005,$A768))</f>
        <v/>
      </c>
      <c r="AR768" s="55" t="str">
        <f>IF(OR($AM768=0,$C768=""),"",IFERROR(N(INDEX(Accounts!$E$7:$E$16,MATCH($C768,Accounts!$B$7:$B$16,0))),0)+SUMIFS($Q$6:$Q$1005,$C$6:$C$1005,$C768,$A$6:$A$1005,"&lt;="&amp;$A768))</f>
        <v/>
      </c>
      <c r="AS768" s="56">
        <f>IF(OR($AM768=0,$Q768=""),0,IF(AND($A768&gt;=Lists!$W$6,$A768&lt;=Lists!$W$7,OR(Dashboard!$D$6="All accounts",$C768=Dashboard!$D$6),OR(Dashboard!$D$7="All markets",$AF768=Dashboard!$D$7)),1,0))</f>
        <v>0</v>
      </c>
      <c r="AT768" s="55">
        <f>IF($AS768=1,N(AT767)+$Q768,N(AT767))</f>
        <v>1187.10688</v>
      </c>
      <c r="AU768" s="55">
        <f>MAX(N(AU767),$AT768)</f>
        <v>1187.10688</v>
      </c>
      <c r="AV768" s="55">
        <f>$AT768-$AU768</f>
        <v>0</v>
      </c>
      <c r="AW768" s="56">
        <f>IF($AS768=1,IF($S768="Win",N(AW767)+1,IF($S768="Loss",0,N(AW767))),N(AW767))</f>
        <v>5</v>
      </c>
      <c r="AX768" s="56">
        <f>IF($AS768=1,IF($S768="Loss",N(AX767)+1,IF($S768="Win",0,N(AX767))),N(AX767))</f>
        <v>0</v>
      </c>
      <c r="AY768" s="56" t="str">
        <f>IF($AS768=1,COUNTIF($AS$6:$AS768,1),"")</f>
        <v/>
      </c>
      <c r="AZ768" s="56">
        <f>MIN(762,N(Lists!$W$8))</f>
        <v>28</v>
      </c>
      <c r="BA768" s="56">
        <f>IF($AS768=1,IF(COUNTIFS($A$6:$A768,$A768,$AS$6:$AS768,1)=1,1,0),0)</f>
        <v>0</v>
      </c>
      <c r="BB768" s="55" t="str">
        <f>IF($BA768=1,SUMIFS($Q$6:$Q$1005,$A$6:$A$1005,$A768,$AS$6:$AS$1005,1),"")</f>
        <v/>
      </c>
      <c r="BC768" s="56">
        <f>IF(ISNUMBER($R768),1,0)</f>
        <v>0</v>
      </c>
      <c r="BD768" s="55" t="str">
        <f>IF(ISNUMBER($U768),$U768*$V768,"")</f>
        <v/>
      </c>
      <c r="BE768" s="56" t="str">
        <f>IF($AM768=0,"",IFERROR(MATCH($AF768&amp;"|"&amp;UPPER(TRIM($E768)),Lists!$A$6:$A$205,0),0))</f>
        <v/>
      </c>
      <c r="BF768" s="56" t="str">
        <f>IF($AM768=0,"",IFERROR(MATCH($AF768,Settings!$B$14:$B$18,0),IFERROR(MATCH(Settings!$C$6,Settings!$B$14:$B$18,0),1)))</f>
        <v/>
      </c>
      <c r="BG768" s="58" t="str">
        <f>IF($AM768=0,"",IF(NOT(ISNUMBER($I768)),"No stop; ","")&amp;IF(AND(ISNUMBER($H768),ISNUMBER($I768)),IF(OR(AND($F768&lt;&gt;"Short",$I768&gt;=$H768),AND($F768="Short",$I768&lt;=$H768)),"Stop on wrong side; ",""),"")&amp;IF($F768="","No direction; ","")&amp;IF(AND(ISNUMBER(Settings!$C$22),ISNUMBER($V768)),IF($V768&gt;Settings!$C$22,"Risk over max $; ",""),"")&amp;IF(AND(ISNUMBER(Settings!$C$23),ISNUMBER($V768),ISNUMBER($AP768),IFERROR(N(INDEX(Accounts!$E$7:$E$16,MATCH($C768,Accounts!$B$7:$B$16,0))),0)&gt;0),IF($V768&gt;Settings!$C$23*($AP768-N($Q768)),"Risk over max %; ",""),"")&amp;IF(AND(ISNUMBER(Settings!$C$24),ISNUMBER($N768)),IF($N768&gt;Settings!$C$24,"Leverage over max; ",""),"")&amp;IF(AND(ISNUMBER(Settings!$C$27),ISNUMBER($T768)),IF($T768&lt;Settings!$C$27,"R:R below min; ",""),"")&amp;IF(ISNUMBER(Settings!$C$25),IF(COUNTIFS($A$6:$A768,$A768,$AM$6:$AM768,1)&gt;Settings!$C$25,"Over max trades/day; ",""),"")&amp;IF(ISNUMBER(Settings!$C$26),IF(SUMIFS($Q$5:$Q767,$A$5:$A767,$A768)&lt;=-Settings!$C$26,"Traded after daily max loss; ",""),"")&amp;IF(AND($AG768="",NOT(ISNUMBER($O768))),"Symbol not in Instruments; ","")&amp;IF(AND($AH768="",NOT(ISNUMBER($O768))),"Forex cross: type Gross P&amp;L; ",""))</f>
        <v/>
      </c>
      <c r="BH768" s="56">
        <f>IF(ISNUMBER($Q768),1,0)</f>
        <v>0</v>
      </c>
      <c r="BI768" s="56">
        <f>IF($Y768="",0,1)</f>
        <v>0</v>
      </c>
      <c r="BJ768" s="56">
        <f>IF($AB768="",0,1)</f>
        <v>0</v>
      </c>
      <c r="BK768" s="56">
        <f>IF(AND($BH768=1,$W768&lt;&gt;"OK"),1,0)</f>
        <v>0</v>
      </c>
      <c r="BL768" s="55">
        <f>IF(N($AZ768)=0,0,IFERROR(INDEX($AT$6:$AT$1005,MATCH($AZ768,$AY$6:$AY$1005,0)),0))</f>
        <v>1187.10688</v>
      </c>
      <c r="BM768" s="56">
        <f>IF(ISNUMBER(SEARCH("daily max loss",$BG768)),1,0)</f>
        <v>0</v>
      </c>
    </row>
    <row r="769" ht="18" customHeight="1">
      <c r="A769" s="38" t="n"/>
      <c r="B769" s="39" t="n"/>
      <c r="C769" s="40" t="n"/>
      <c r="D769" s="41" t="n"/>
      <c r="E769" s="41" t="n"/>
      <c r="F769" s="41" t="n"/>
      <c r="G769" s="41" t="n"/>
      <c r="H769" s="42" t="n"/>
      <c r="I769" s="42" t="n"/>
      <c r="J769" s="42" t="n"/>
      <c r="K769" s="42" t="n"/>
      <c r="L769" s="41" t="n"/>
      <c r="M769" s="41" t="n"/>
      <c r="N769" s="41" t="n"/>
      <c r="O769" s="43" t="n"/>
      <c r="P769" s="43" t="n"/>
      <c r="Q769" s="44" t="str">
        <f>IF($AM769=0,"",IF(ISNUMBER($AK769),$AK769-N($AL769),""))</f>
        <v/>
      </c>
      <c r="R769" s="45" t="str">
        <f>IF(OR($Q769="",NOT(ISNUMBER($V769))),"",$AK769/$V769)</f>
        <v/>
      </c>
      <c r="S769" s="46" t="str">
        <f>IF($Q769="","",IF(AND(ISNUMBER($R769),ABS(N($R769))&lt;N(Settings!$C$8)),"Scratch",IF($Q769&gt;0,"Win",IF($Q769&lt;0,"Loss","Scratch"))))</f>
        <v/>
      </c>
      <c r="T769" s="47" t="str">
        <f>IF(OR($AM769=0,NOT(ISNUMBER($H769)),NOT(ISNUMBER($I769)),NOT(ISNUMBER($J769))),"",IF($H769=$I769,"",ROUND(ABS($J769-$H769)/ABS($H769-$I769),6)))</f>
        <v/>
      </c>
      <c r="U769" s="48" t="str">
        <f>IF(OR($S769&lt;&gt;"Win",NOT(ISNUMBER($T769)),NOT(ISNUMBER($R769))),"",MAX(0,$T769-$R769))</f>
        <v/>
      </c>
      <c r="V769" s="49" t="str">
        <f>IF(OR($AM769=0,NOT(ISNUMBER($H769)),NOT(ISNUMBER($I769)),NOT(ISNUMBER($G769))),"",IF(OR($AG769="",$AH769=""),"",IF(ROUND(ABS($H769-$I769)*ABS($G769)*$AG769*$AH769,6)=0,"",ROUND(ABS($H769-$I769)*ABS($G769)*$AG769*$AH769,6))))</f>
        <v/>
      </c>
      <c r="W769" s="50" t="str">
        <f>IF($AM769=0,"",IF($BG769="","OK",LEFT($BG769,LEN($BG769)-2)))</f>
        <v/>
      </c>
      <c r="X769" s="41" t="n"/>
      <c r="Y769" s="40" t="n"/>
      <c r="Z769" s="41" t="n"/>
      <c r="AA769" s="41" t="n"/>
      <c r="AB769" s="40" t="n"/>
      <c r="AC769" s="51" t="n"/>
      <c r="AD769" s="51" t="n"/>
      <c r="AE769" s="40" t="n"/>
      <c r="AF769" s="52" t="str">
        <f>IF($AM769=0,"",IF($D769&lt;&gt;"",$D769,IF(IFERROR(INDEX(Accounts!$C$7:$C$16,MATCH($C769,Accounts!$B$7:$B$16,0))&amp;"","")&lt;&gt;"",INDEX(Accounts!$C$7:$C$16,MATCH($C769,Accounts!$B$7:$B$16,0)),Settings!$C$6)))</f>
        <v/>
      </c>
      <c r="AG769" s="53" t="str">
        <f>IF($AM769=0,"",IF(AND($BE769&gt;0,N(INDEX(Instruments!$D$6:$D$205,MAX(1,$BE769)))&gt;0),INDEX(Instruments!$D$6:$D$205,MAX(1,$BE769)),IF(N(INDEX(Settings!$D$14:$D$18,$BF769))&gt;0,INDEX(Settings!$D$14:$D$18,$BF769),"")))</f>
        <v/>
      </c>
      <c r="AH769" s="54" t="str">
        <f>IF($AM769=0,"",IF($AF769&lt;&gt;"Forex",1,IF(MID(UPPER(SUBSTITUTE(TRIM($E769),"/","")),4,3)=UPPER(TRIM(Settings!$C$7)),1,IF(LEFT(UPPER(SUBSTITUTE(TRIM($E769),"/","")),3)=UPPER(TRIM(Settings!$C$7)),IF(AND(ISNUMBER($K769),N($K769)&lt;&gt;0),1/$K769,""),""))))</f>
        <v/>
      </c>
      <c r="AI769" s="55" t="str">
        <f>IF($AM769=0,"",IF(OR(NOT(ISNUMBER($H769)),NOT(ISNUMBER($K769)),NOT(ISNUMBER($G769)),$AG769="",$AH769=""),"",ROUND(($K769-$H769)*IF($F769="Short",-1,1)*$G769*$AG769*$AH769,6)))</f>
        <v/>
      </c>
      <c r="AJ769" s="55" t="str">
        <f>IF($AM769=0,"",IF(INDEX(Settings!$E$14:$E$18,$BF769)="% of notional",IF(OR($AG769="",NOT(ISNUMBER($H769)),NOT(ISNUMBER($G769))),"",ROUND(ABS($H769*$G769*$AG769*N($AH769))*IF($L769="Limit",N(INDEX(Settings!$G$14:$G$18,$BF769)),N(INDEX(Settings!$H$14:$H$18,$BF769)))+IF(ISNUMBER($K769),ABS($K769*$G769*$AG769*N($AH769))*IF($M769="Target",N(INDEX(Settings!$G$14:$G$18,$BF769)),N(INDEX(Settings!$H$14:$H$18,$BF769))),0),6)),IF(NOT(ISNUMBER($G769)),"",ROUND(ABS($G769)*2*IF(AND($BE769&gt;0,ISNUMBER(INDEX(Instruments!$G$6:$G$205,MAX(1,$BE769)))),INDEX(Instruments!$G$6:$G$205,MAX(1,$BE769)),N(INDEX(Settings!$F$14:$F$18,$BF769))),6))))</f>
        <v/>
      </c>
      <c r="AK769" s="55" t="str">
        <f>IF($AM769=0,"",IF(ISNUMBER($O769),$O769,$AI769))</f>
        <v/>
      </c>
      <c r="AL769" s="55" t="str">
        <f>IF($AM769=0,"",IF(ISNUMBER($P769),$P769,N($AJ769)))</f>
        <v/>
      </c>
      <c r="AM769" s="56">
        <f>IF(AND($A769&lt;&gt;"",$E769&lt;&gt;"",OR(AND(ISNUMBER($G769),ISNUMBER($H769),ISNUMBER($K769)),ISNUMBER($O769))),1,0)</f>
        <v>0</v>
      </c>
      <c r="AN769" s="57" t="str">
        <f>IF($A769="","",$A769-WEEKDAY($A769,3))</f>
        <v/>
      </c>
      <c r="AO769" s="56" t="str">
        <f>IF($A769="","",WEEKDAY($A769,2))</f>
        <v/>
      </c>
      <c r="AP769" s="55" t="str">
        <f>IF(OR($AM769=0,$C769=""),"",IFERROR(N(INDEX(Accounts!$E$7:$E$16,MATCH($C769,Accounts!$B$7:$B$16,0))),0)+SUMIFS($Q$6:$Q769,$C$6:$C769,$C769))</f>
        <v/>
      </c>
      <c r="AQ769" s="55" t="str">
        <f>IF(OR($AM769=0,$C769=""),"",SUMIFS($Q$6:$Q$1005,$C$6:$C$1005,$C769,$A$6:$A$1005,$A769))</f>
        <v/>
      </c>
      <c r="AR769" s="55" t="str">
        <f>IF(OR($AM769=0,$C769=""),"",IFERROR(N(INDEX(Accounts!$E$7:$E$16,MATCH($C769,Accounts!$B$7:$B$16,0))),0)+SUMIFS($Q$6:$Q$1005,$C$6:$C$1005,$C769,$A$6:$A$1005,"&lt;="&amp;$A769))</f>
        <v/>
      </c>
      <c r="AS769" s="56">
        <f>IF(OR($AM769=0,$Q769=""),0,IF(AND($A769&gt;=Lists!$W$6,$A769&lt;=Lists!$W$7,OR(Dashboard!$D$6="All accounts",$C769=Dashboard!$D$6),OR(Dashboard!$D$7="All markets",$AF769=Dashboard!$D$7)),1,0))</f>
        <v>0</v>
      </c>
      <c r="AT769" s="55">
        <f>IF($AS769=1,N(AT768)+$Q769,N(AT768))</f>
        <v>1187.10688</v>
      </c>
      <c r="AU769" s="55">
        <f>MAX(N(AU768),$AT769)</f>
        <v>1187.10688</v>
      </c>
      <c r="AV769" s="55">
        <f>$AT769-$AU769</f>
        <v>0</v>
      </c>
      <c r="AW769" s="56">
        <f>IF($AS769=1,IF($S769="Win",N(AW768)+1,IF($S769="Loss",0,N(AW768))),N(AW768))</f>
        <v>5</v>
      </c>
      <c r="AX769" s="56">
        <f>IF($AS769=1,IF($S769="Loss",N(AX768)+1,IF($S769="Win",0,N(AX768))),N(AX768))</f>
        <v>0</v>
      </c>
      <c r="AY769" s="56" t="str">
        <f>IF($AS769=1,COUNTIF($AS$6:$AS769,1),"")</f>
        <v/>
      </c>
      <c r="AZ769" s="56">
        <f>MIN(763,N(Lists!$W$8))</f>
        <v>28</v>
      </c>
      <c r="BA769" s="56">
        <f>IF($AS769=1,IF(COUNTIFS($A$6:$A769,$A769,$AS$6:$AS769,1)=1,1,0),0)</f>
        <v>0</v>
      </c>
      <c r="BB769" s="55" t="str">
        <f>IF($BA769=1,SUMIFS($Q$6:$Q$1005,$A$6:$A$1005,$A769,$AS$6:$AS$1005,1),"")</f>
        <v/>
      </c>
      <c r="BC769" s="56">
        <f>IF(ISNUMBER($R769),1,0)</f>
        <v>0</v>
      </c>
      <c r="BD769" s="55" t="str">
        <f>IF(ISNUMBER($U769),$U769*$V769,"")</f>
        <v/>
      </c>
      <c r="BE769" s="56" t="str">
        <f>IF($AM769=0,"",IFERROR(MATCH($AF769&amp;"|"&amp;UPPER(TRIM($E769)),Lists!$A$6:$A$205,0),0))</f>
        <v/>
      </c>
      <c r="BF769" s="56" t="str">
        <f>IF($AM769=0,"",IFERROR(MATCH($AF769,Settings!$B$14:$B$18,0),IFERROR(MATCH(Settings!$C$6,Settings!$B$14:$B$18,0),1)))</f>
        <v/>
      </c>
      <c r="BG769" s="58" t="str">
        <f>IF($AM769=0,"",IF(NOT(ISNUMBER($I769)),"No stop; ","")&amp;IF(AND(ISNUMBER($H769),ISNUMBER($I769)),IF(OR(AND($F769&lt;&gt;"Short",$I769&gt;=$H769),AND($F769="Short",$I769&lt;=$H769)),"Stop on wrong side; ",""),"")&amp;IF($F769="","No direction; ","")&amp;IF(AND(ISNUMBER(Settings!$C$22),ISNUMBER($V769)),IF($V769&gt;Settings!$C$22,"Risk over max $; ",""),"")&amp;IF(AND(ISNUMBER(Settings!$C$23),ISNUMBER($V769),ISNUMBER($AP769),IFERROR(N(INDEX(Accounts!$E$7:$E$16,MATCH($C769,Accounts!$B$7:$B$16,0))),0)&gt;0),IF($V769&gt;Settings!$C$23*($AP769-N($Q769)),"Risk over max %; ",""),"")&amp;IF(AND(ISNUMBER(Settings!$C$24),ISNUMBER($N769)),IF($N769&gt;Settings!$C$24,"Leverage over max; ",""),"")&amp;IF(AND(ISNUMBER(Settings!$C$27),ISNUMBER($T769)),IF($T769&lt;Settings!$C$27,"R:R below min; ",""),"")&amp;IF(ISNUMBER(Settings!$C$25),IF(COUNTIFS($A$6:$A769,$A769,$AM$6:$AM769,1)&gt;Settings!$C$25,"Over max trades/day; ",""),"")&amp;IF(ISNUMBER(Settings!$C$26),IF(SUMIFS($Q$5:$Q768,$A$5:$A768,$A769)&lt;=-Settings!$C$26,"Traded after daily max loss; ",""),"")&amp;IF(AND($AG769="",NOT(ISNUMBER($O769))),"Symbol not in Instruments; ","")&amp;IF(AND($AH769="",NOT(ISNUMBER($O769))),"Forex cross: type Gross P&amp;L; ",""))</f>
        <v/>
      </c>
      <c r="BH769" s="56">
        <f>IF(ISNUMBER($Q769),1,0)</f>
        <v>0</v>
      </c>
      <c r="BI769" s="56">
        <f>IF($Y769="",0,1)</f>
        <v>0</v>
      </c>
      <c r="BJ769" s="56">
        <f>IF($AB769="",0,1)</f>
        <v>0</v>
      </c>
      <c r="BK769" s="56">
        <f>IF(AND($BH769=1,$W769&lt;&gt;"OK"),1,0)</f>
        <v>0</v>
      </c>
      <c r="BL769" s="55">
        <f>IF(N($AZ769)=0,0,IFERROR(INDEX($AT$6:$AT$1005,MATCH($AZ769,$AY$6:$AY$1005,0)),0))</f>
        <v>1187.10688</v>
      </c>
      <c r="BM769" s="56">
        <f>IF(ISNUMBER(SEARCH("daily max loss",$BG769)),1,0)</f>
        <v>0</v>
      </c>
    </row>
    <row r="770" ht="18" customHeight="1">
      <c r="A770" s="38" t="n"/>
      <c r="B770" s="39" t="n"/>
      <c r="C770" s="40" t="n"/>
      <c r="D770" s="41" t="n"/>
      <c r="E770" s="41" t="n"/>
      <c r="F770" s="41" t="n"/>
      <c r="G770" s="41" t="n"/>
      <c r="H770" s="42" t="n"/>
      <c r="I770" s="42" t="n"/>
      <c r="J770" s="42" t="n"/>
      <c r="K770" s="42" t="n"/>
      <c r="L770" s="41" t="n"/>
      <c r="M770" s="41" t="n"/>
      <c r="N770" s="41" t="n"/>
      <c r="O770" s="43" t="n"/>
      <c r="P770" s="43" t="n"/>
      <c r="Q770" s="44" t="str">
        <f>IF($AM770=0,"",IF(ISNUMBER($AK770),$AK770-N($AL770),""))</f>
        <v/>
      </c>
      <c r="R770" s="45" t="str">
        <f>IF(OR($Q770="",NOT(ISNUMBER($V770))),"",$AK770/$V770)</f>
        <v/>
      </c>
      <c r="S770" s="46" t="str">
        <f>IF($Q770="","",IF(AND(ISNUMBER($R770),ABS(N($R770))&lt;N(Settings!$C$8)),"Scratch",IF($Q770&gt;0,"Win",IF($Q770&lt;0,"Loss","Scratch"))))</f>
        <v/>
      </c>
      <c r="T770" s="47" t="str">
        <f>IF(OR($AM770=0,NOT(ISNUMBER($H770)),NOT(ISNUMBER($I770)),NOT(ISNUMBER($J770))),"",IF($H770=$I770,"",ROUND(ABS($J770-$H770)/ABS($H770-$I770),6)))</f>
        <v/>
      </c>
      <c r="U770" s="48" t="str">
        <f>IF(OR($S770&lt;&gt;"Win",NOT(ISNUMBER($T770)),NOT(ISNUMBER($R770))),"",MAX(0,$T770-$R770))</f>
        <v/>
      </c>
      <c r="V770" s="49" t="str">
        <f>IF(OR($AM770=0,NOT(ISNUMBER($H770)),NOT(ISNUMBER($I770)),NOT(ISNUMBER($G770))),"",IF(OR($AG770="",$AH770=""),"",IF(ROUND(ABS($H770-$I770)*ABS($G770)*$AG770*$AH770,6)=0,"",ROUND(ABS($H770-$I770)*ABS($G770)*$AG770*$AH770,6))))</f>
        <v/>
      </c>
      <c r="W770" s="50" t="str">
        <f>IF($AM770=0,"",IF($BG770="","OK",LEFT($BG770,LEN($BG770)-2)))</f>
        <v/>
      </c>
      <c r="X770" s="41" t="n"/>
      <c r="Y770" s="40" t="n"/>
      <c r="Z770" s="41" t="n"/>
      <c r="AA770" s="41" t="n"/>
      <c r="AB770" s="40" t="n"/>
      <c r="AC770" s="51" t="n"/>
      <c r="AD770" s="51" t="n"/>
      <c r="AE770" s="40" t="n"/>
      <c r="AF770" s="52" t="str">
        <f>IF($AM770=0,"",IF($D770&lt;&gt;"",$D770,IF(IFERROR(INDEX(Accounts!$C$7:$C$16,MATCH($C770,Accounts!$B$7:$B$16,0))&amp;"","")&lt;&gt;"",INDEX(Accounts!$C$7:$C$16,MATCH($C770,Accounts!$B$7:$B$16,0)),Settings!$C$6)))</f>
        <v/>
      </c>
      <c r="AG770" s="53" t="str">
        <f>IF($AM770=0,"",IF(AND($BE770&gt;0,N(INDEX(Instruments!$D$6:$D$205,MAX(1,$BE770)))&gt;0),INDEX(Instruments!$D$6:$D$205,MAX(1,$BE770)),IF(N(INDEX(Settings!$D$14:$D$18,$BF770))&gt;0,INDEX(Settings!$D$14:$D$18,$BF770),"")))</f>
        <v/>
      </c>
      <c r="AH770" s="54" t="str">
        <f>IF($AM770=0,"",IF($AF770&lt;&gt;"Forex",1,IF(MID(UPPER(SUBSTITUTE(TRIM($E770),"/","")),4,3)=UPPER(TRIM(Settings!$C$7)),1,IF(LEFT(UPPER(SUBSTITUTE(TRIM($E770),"/","")),3)=UPPER(TRIM(Settings!$C$7)),IF(AND(ISNUMBER($K770),N($K770)&lt;&gt;0),1/$K770,""),""))))</f>
        <v/>
      </c>
      <c r="AI770" s="55" t="str">
        <f>IF($AM770=0,"",IF(OR(NOT(ISNUMBER($H770)),NOT(ISNUMBER($K770)),NOT(ISNUMBER($G770)),$AG770="",$AH770=""),"",ROUND(($K770-$H770)*IF($F770="Short",-1,1)*$G770*$AG770*$AH770,6)))</f>
        <v/>
      </c>
      <c r="AJ770" s="55" t="str">
        <f>IF($AM770=0,"",IF(INDEX(Settings!$E$14:$E$18,$BF770)="% of notional",IF(OR($AG770="",NOT(ISNUMBER($H770)),NOT(ISNUMBER($G770))),"",ROUND(ABS($H770*$G770*$AG770*N($AH770))*IF($L770="Limit",N(INDEX(Settings!$G$14:$G$18,$BF770)),N(INDEX(Settings!$H$14:$H$18,$BF770)))+IF(ISNUMBER($K770),ABS($K770*$G770*$AG770*N($AH770))*IF($M770="Target",N(INDEX(Settings!$G$14:$G$18,$BF770)),N(INDEX(Settings!$H$14:$H$18,$BF770))),0),6)),IF(NOT(ISNUMBER($G770)),"",ROUND(ABS($G770)*2*IF(AND($BE770&gt;0,ISNUMBER(INDEX(Instruments!$G$6:$G$205,MAX(1,$BE770)))),INDEX(Instruments!$G$6:$G$205,MAX(1,$BE770)),N(INDEX(Settings!$F$14:$F$18,$BF770))),6))))</f>
        <v/>
      </c>
      <c r="AK770" s="55" t="str">
        <f>IF($AM770=0,"",IF(ISNUMBER($O770),$O770,$AI770))</f>
        <v/>
      </c>
      <c r="AL770" s="55" t="str">
        <f>IF($AM770=0,"",IF(ISNUMBER($P770),$P770,N($AJ770)))</f>
        <v/>
      </c>
      <c r="AM770" s="56">
        <f>IF(AND($A770&lt;&gt;"",$E770&lt;&gt;"",OR(AND(ISNUMBER($G770),ISNUMBER($H770),ISNUMBER($K770)),ISNUMBER($O770))),1,0)</f>
        <v>0</v>
      </c>
      <c r="AN770" s="57" t="str">
        <f>IF($A770="","",$A770-WEEKDAY($A770,3))</f>
        <v/>
      </c>
      <c r="AO770" s="56" t="str">
        <f>IF($A770="","",WEEKDAY($A770,2))</f>
        <v/>
      </c>
      <c r="AP770" s="55" t="str">
        <f>IF(OR($AM770=0,$C770=""),"",IFERROR(N(INDEX(Accounts!$E$7:$E$16,MATCH($C770,Accounts!$B$7:$B$16,0))),0)+SUMIFS($Q$6:$Q770,$C$6:$C770,$C770))</f>
        <v/>
      </c>
      <c r="AQ770" s="55" t="str">
        <f>IF(OR($AM770=0,$C770=""),"",SUMIFS($Q$6:$Q$1005,$C$6:$C$1005,$C770,$A$6:$A$1005,$A770))</f>
        <v/>
      </c>
      <c r="AR770" s="55" t="str">
        <f>IF(OR($AM770=0,$C770=""),"",IFERROR(N(INDEX(Accounts!$E$7:$E$16,MATCH($C770,Accounts!$B$7:$B$16,0))),0)+SUMIFS($Q$6:$Q$1005,$C$6:$C$1005,$C770,$A$6:$A$1005,"&lt;="&amp;$A770))</f>
        <v/>
      </c>
      <c r="AS770" s="56">
        <f>IF(OR($AM770=0,$Q770=""),0,IF(AND($A770&gt;=Lists!$W$6,$A770&lt;=Lists!$W$7,OR(Dashboard!$D$6="All accounts",$C770=Dashboard!$D$6),OR(Dashboard!$D$7="All markets",$AF770=Dashboard!$D$7)),1,0))</f>
        <v>0</v>
      </c>
      <c r="AT770" s="55">
        <f>IF($AS770=1,N(AT769)+$Q770,N(AT769))</f>
        <v>1187.10688</v>
      </c>
      <c r="AU770" s="55">
        <f>MAX(N(AU769),$AT770)</f>
        <v>1187.10688</v>
      </c>
      <c r="AV770" s="55">
        <f>$AT770-$AU770</f>
        <v>0</v>
      </c>
      <c r="AW770" s="56">
        <f>IF($AS770=1,IF($S770="Win",N(AW769)+1,IF($S770="Loss",0,N(AW769))),N(AW769))</f>
        <v>5</v>
      </c>
      <c r="AX770" s="56">
        <f>IF($AS770=1,IF($S770="Loss",N(AX769)+1,IF($S770="Win",0,N(AX769))),N(AX769))</f>
        <v>0</v>
      </c>
      <c r="AY770" s="56" t="str">
        <f>IF($AS770=1,COUNTIF($AS$6:$AS770,1),"")</f>
        <v/>
      </c>
      <c r="AZ770" s="56">
        <f>MIN(764,N(Lists!$W$8))</f>
        <v>28</v>
      </c>
      <c r="BA770" s="56">
        <f>IF($AS770=1,IF(COUNTIFS($A$6:$A770,$A770,$AS$6:$AS770,1)=1,1,0),0)</f>
        <v>0</v>
      </c>
      <c r="BB770" s="55" t="str">
        <f>IF($BA770=1,SUMIFS($Q$6:$Q$1005,$A$6:$A$1005,$A770,$AS$6:$AS$1005,1),"")</f>
        <v/>
      </c>
      <c r="BC770" s="56">
        <f>IF(ISNUMBER($R770),1,0)</f>
        <v>0</v>
      </c>
      <c r="BD770" s="55" t="str">
        <f>IF(ISNUMBER($U770),$U770*$V770,"")</f>
        <v/>
      </c>
      <c r="BE770" s="56" t="str">
        <f>IF($AM770=0,"",IFERROR(MATCH($AF770&amp;"|"&amp;UPPER(TRIM($E770)),Lists!$A$6:$A$205,0),0))</f>
        <v/>
      </c>
      <c r="BF770" s="56" t="str">
        <f>IF($AM770=0,"",IFERROR(MATCH($AF770,Settings!$B$14:$B$18,0),IFERROR(MATCH(Settings!$C$6,Settings!$B$14:$B$18,0),1)))</f>
        <v/>
      </c>
      <c r="BG770" s="58" t="str">
        <f>IF($AM770=0,"",IF(NOT(ISNUMBER($I770)),"No stop; ","")&amp;IF(AND(ISNUMBER($H770),ISNUMBER($I770)),IF(OR(AND($F770&lt;&gt;"Short",$I770&gt;=$H770),AND($F770="Short",$I770&lt;=$H770)),"Stop on wrong side; ",""),"")&amp;IF($F770="","No direction; ","")&amp;IF(AND(ISNUMBER(Settings!$C$22),ISNUMBER($V770)),IF($V770&gt;Settings!$C$22,"Risk over max $; ",""),"")&amp;IF(AND(ISNUMBER(Settings!$C$23),ISNUMBER($V770),ISNUMBER($AP770),IFERROR(N(INDEX(Accounts!$E$7:$E$16,MATCH($C770,Accounts!$B$7:$B$16,0))),0)&gt;0),IF($V770&gt;Settings!$C$23*($AP770-N($Q770)),"Risk over max %; ",""),"")&amp;IF(AND(ISNUMBER(Settings!$C$24),ISNUMBER($N770)),IF($N770&gt;Settings!$C$24,"Leverage over max; ",""),"")&amp;IF(AND(ISNUMBER(Settings!$C$27),ISNUMBER($T770)),IF($T770&lt;Settings!$C$27,"R:R below min; ",""),"")&amp;IF(ISNUMBER(Settings!$C$25),IF(COUNTIFS($A$6:$A770,$A770,$AM$6:$AM770,1)&gt;Settings!$C$25,"Over max trades/day; ",""),"")&amp;IF(ISNUMBER(Settings!$C$26),IF(SUMIFS($Q$5:$Q769,$A$5:$A769,$A770)&lt;=-Settings!$C$26,"Traded after daily max loss; ",""),"")&amp;IF(AND($AG770="",NOT(ISNUMBER($O770))),"Symbol not in Instruments; ","")&amp;IF(AND($AH770="",NOT(ISNUMBER($O770))),"Forex cross: type Gross P&amp;L; ",""))</f>
        <v/>
      </c>
      <c r="BH770" s="56">
        <f>IF(ISNUMBER($Q770),1,0)</f>
        <v>0</v>
      </c>
      <c r="BI770" s="56">
        <f>IF($Y770="",0,1)</f>
        <v>0</v>
      </c>
      <c r="BJ770" s="56">
        <f>IF($AB770="",0,1)</f>
        <v>0</v>
      </c>
      <c r="BK770" s="56">
        <f>IF(AND($BH770=1,$W770&lt;&gt;"OK"),1,0)</f>
        <v>0</v>
      </c>
      <c r="BL770" s="55">
        <f>IF(N($AZ770)=0,0,IFERROR(INDEX($AT$6:$AT$1005,MATCH($AZ770,$AY$6:$AY$1005,0)),0))</f>
        <v>1187.10688</v>
      </c>
      <c r="BM770" s="56">
        <f>IF(ISNUMBER(SEARCH("daily max loss",$BG770)),1,0)</f>
        <v>0</v>
      </c>
    </row>
    <row r="771" ht="18" customHeight="1">
      <c r="A771" s="38" t="n"/>
      <c r="B771" s="39" t="n"/>
      <c r="C771" s="40" t="n"/>
      <c r="D771" s="41" t="n"/>
      <c r="E771" s="41" t="n"/>
      <c r="F771" s="41" t="n"/>
      <c r="G771" s="41" t="n"/>
      <c r="H771" s="42" t="n"/>
      <c r="I771" s="42" t="n"/>
      <c r="J771" s="42" t="n"/>
      <c r="K771" s="42" t="n"/>
      <c r="L771" s="41" t="n"/>
      <c r="M771" s="41" t="n"/>
      <c r="N771" s="41" t="n"/>
      <c r="O771" s="43" t="n"/>
      <c r="P771" s="43" t="n"/>
      <c r="Q771" s="44" t="str">
        <f>IF($AM771=0,"",IF(ISNUMBER($AK771),$AK771-N($AL771),""))</f>
        <v/>
      </c>
      <c r="R771" s="45" t="str">
        <f>IF(OR($Q771="",NOT(ISNUMBER($V771))),"",$AK771/$V771)</f>
        <v/>
      </c>
      <c r="S771" s="46" t="str">
        <f>IF($Q771="","",IF(AND(ISNUMBER($R771),ABS(N($R771))&lt;N(Settings!$C$8)),"Scratch",IF($Q771&gt;0,"Win",IF($Q771&lt;0,"Loss","Scratch"))))</f>
        <v/>
      </c>
      <c r="T771" s="47" t="str">
        <f>IF(OR($AM771=0,NOT(ISNUMBER($H771)),NOT(ISNUMBER($I771)),NOT(ISNUMBER($J771))),"",IF($H771=$I771,"",ROUND(ABS($J771-$H771)/ABS($H771-$I771),6)))</f>
        <v/>
      </c>
      <c r="U771" s="48" t="str">
        <f>IF(OR($S771&lt;&gt;"Win",NOT(ISNUMBER($T771)),NOT(ISNUMBER($R771))),"",MAX(0,$T771-$R771))</f>
        <v/>
      </c>
      <c r="V771" s="49" t="str">
        <f>IF(OR($AM771=0,NOT(ISNUMBER($H771)),NOT(ISNUMBER($I771)),NOT(ISNUMBER($G771))),"",IF(OR($AG771="",$AH771=""),"",IF(ROUND(ABS($H771-$I771)*ABS($G771)*$AG771*$AH771,6)=0,"",ROUND(ABS($H771-$I771)*ABS($G771)*$AG771*$AH771,6))))</f>
        <v/>
      </c>
      <c r="W771" s="50" t="str">
        <f>IF($AM771=0,"",IF($BG771="","OK",LEFT($BG771,LEN($BG771)-2)))</f>
        <v/>
      </c>
      <c r="X771" s="41" t="n"/>
      <c r="Y771" s="40" t="n"/>
      <c r="Z771" s="41" t="n"/>
      <c r="AA771" s="41" t="n"/>
      <c r="AB771" s="40" t="n"/>
      <c r="AC771" s="51" t="n"/>
      <c r="AD771" s="51" t="n"/>
      <c r="AE771" s="40" t="n"/>
      <c r="AF771" s="52" t="str">
        <f>IF($AM771=0,"",IF($D771&lt;&gt;"",$D771,IF(IFERROR(INDEX(Accounts!$C$7:$C$16,MATCH($C771,Accounts!$B$7:$B$16,0))&amp;"","")&lt;&gt;"",INDEX(Accounts!$C$7:$C$16,MATCH($C771,Accounts!$B$7:$B$16,0)),Settings!$C$6)))</f>
        <v/>
      </c>
      <c r="AG771" s="53" t="str">
        <f>IF($AM771=0,"",IF(AND($BE771&gt;0,N(INDEX(Instruments!$D$6:$D$205,MAX(1,$BE771)))&gt;0),INDEX(Instruments!$D$6:$D$205,MAX(1,$BE771)),IF(N(INDEX(Settings!$D$14:$D$18,$BF771))&gt;0,INDEX(Settings!$D$14:$D$18,$BF771),"")))</f>
        <v/>
      </c>
      <c r="AH771" s="54" t="str">
        <f>IF($AM771=0,"",IF($AF771&lt;&gt;"Forex",1,IF(MID(UPPER(SUBSTITUTE(TRIM($E771),"/","")),4,3)=UPPER(TRIM(Settings!$C$7)),1,IF(LEFT(UPPER(SUBSTITUTE(TRIM($E771),"/","")),3)=UPPER(TRIM(Settings!$C$7)),IF(AND(ISNUMBER($K771),N($K771)&lt;&gt;0),1/$K771,""),""))))</f>
        <v/>
      </c>
      <c r="AI771" s="55" t="str">
        <f>IF($AM771=0,"",IF(OR(NOT(ISNUMBER($H771)),NOT(ISNUMBER($K771)),NOT(ISNUMBER($G771)),$AG771="",$AH771=""),"",ROUND(($K771-$H771)*IF($F771="Short",-1,1)*$G771*$AG771*$AH771,6)))</f>
        <v/>
      </c>
      <c r="AJ771" s="55" t="str">
        <f>IF($AM771=0,"",IF(INDEX(Settings!$E$14:$E$18,$BF771)="% of notional",IF(OR($AG771="",NOT(ISNUMBER($H771)),NOT(ISNUMBER($G771))),"",ROUND(ABS($H771*$G771*$AG771*N($AH771))*IF($L771="Limit",N(INDEX(Settings!$G$14:$G$18,$BF771)),N(INDEX(Settings!$H$14:$H$18,$BF771)))+IF(ISNUMBER($K771),ABS($K771*$G771*$AG771*N($AH771))*IF($M771="Target",N(INDEX(Settings!$G$14:$G$18,$BF771)),N(INDEX(Settings!$H$14:$H$18,$BF771))),0),6)),IF(NOT(ISNUMBER($G771)),"",ROUND(ABS($G771)*2*IF(AND($BE771&gt;0,ISNUMBER(INDEX(Instruments!$G$6:$G$205,MAX(1,$BE771)))),INDEX(Instruments!$G$6:$G$205,MAX(1,$BE771)),N(INDEX(Settings!$F$14:$F$18,$BF771))),6))))</f>
        <v/>
      </c>
      <c r="AK771" s="55" t="str">
        <f>IF($AM771=0,"",IF(ISNUMBER($O771),$O771,$AI771))</f>
        <v/>
      </c>
      <c r="AL771" s="55" t="str">
        <f>IF($AM771=0,"",IF(ISNUMBER($P771),$P771,N($AJ771)))</f>
        <v/>
      </c>
      <c r="AM771" s="56">
        <f>IF(AND($A771&lt;&gt;"",$E771&lt;&gt;"",OR(AND(ISNUMBER($G771),ISNUMBER($H771),ISNUMBER($K771)),ISNUMBER($O771))),1,0)</f>
        <v>0</v>
      </c>
      <c r="AN771" s="57" t="str">
        <f>IF($A771="","",$A771-WEEKDAY($A771,3))</f>
        <v/>
      </c>
      <c r="AO771" s="56" t="str">
        <f>IF($A771="","",WEEKDAY($A771,2))</f>
        <v/>
      </c>
      <c r="AP771" s="55" t="str">
        <f>IF(OR($AM771=0,$C771=""),"",IFERROR(N(INDEX(Accounts!$E$7:$E$16,MATCH($C771,Accounts!$B$7:$B$16,0))),0)+SUMIFS($Q$6:$Q771,$C$6:$C771,$C771))</f>
        <v/>
      </c>
      <c r="AQ771" s="55" t="str">
        <f>IF(OR($AM771=0,$C771=""),"",SUMIFS($Q$6:$Q$1005,$C$6:$C$1005,$C771,$A$6:$A$1005,$A771))</f>
        <v/>
      </c>
      <c r="AR771" s="55" t="str">
        <f>IF(OR($AM771=0,$C771=""),"",IFERROR(N(INDEX(Accounts!$E$7:$E$16,MATCH($C771,Accounts!$B$7:$B$16,0))),0)+SUMIFS($Q$6:$Q$1005,$C$6:$C$1005,$C771,$A$6:$A$1005,"&lt;="&amp;$A771))</f>
        <v/>
      </c>
      <c r="AS771" s="56">
        <f>IF(OR($AM771=0,$Q771=""),0,IF(AND($A771&gt;=Lists!$W$6,$A771&lt;=Lists!$W$7,OR(Dashboard!$D$6="All accounts",$C771=Dashboard!$D$6),OR(Dashboard!$D$7="All markets",$AF771=Dashboard!$D$7)),1,0))</f>
        <v>0</v>
      </c>
      <c r="AT771" s="55">
        <f>IF($AS771=1,N(AT770)+$Q771,N(AT770))</f>
        <v>1187.10688</v>
      </c>
      <c r="AU771" s="55">
        <f>MAX(N(AU770),$AT771)</f>
        <v>1187.10688</v>
      </c>
      <c r="AV771" s="55">
        <f>$AT771-$AU771</f>
        <v>0</v>
      </c>
      <c r="AW771" s="56">
        <f>IF($AS771=1,IF($S771="Win",N(AW770)+1,IF($S771="Loss",0,N(AW770))),N(AW770))</f>
        <v>5</v>
      </c>
      <c r="AX771" s="56">
        <f>IF($AS771=1,IF($S771="Loss",N(AX770)+1,IF($S771="Win",0,N(AX770))),N(AX770))</f>
        <v>0</v>
      </c>
      <c r="AY771" s="56" t="str">
        <f>IF($AS771=1,COUNTIF($AS$6:$AS771,1),"")</f>
        <v/>
      </c>
      <c r="AZ771" s="56">
        <f>MIN(765,N(Lists!$W$8))</f>
        <v>28</v>
      </c>
      <c r="BA771" s="56">
        <f>IF($AS771=1,IF(COUNTIFS($A$6:$A771,$A771,$AS$6:$AS771,1)=1,1,0),0)</f>
        <v>0</v>
      </c>
      <c r="BB771" s="55" t="str">
        <f>IF($BA771=1,SUMIFS($Q$6:$Q$1005,$A$6:$A$1005,$A771,$AS$6:$AS$1005,1),"")</f>
        <v/>
      </c>
      <c r="BC771" s="56">
        <f>IF(ISNUMBER($R771),1,0)</f>
        <v>0</v>
      </c>
      <c r="BD771" s="55" t="str">
        <f>IF(ISNUMBER($U771),$U771*$V771,"")</f>
        <v/>
      </c>
      <c r="BE771" s="56" t="str">
        <f>IF($AM771=0,"",IFERROR(MATCH($AF771&amp;"|"&amp;UPPER(TRIM($E771)),Lists!$A$6:$A$205,0),0))</f>
        <v/>
      </c>
      <c r="BF771" s="56" t="str">
        <f>IF($AM771=0,"",IFERROR(MATCH($AF771,Settings!$B$14:$B$18,0),IFERROR(MATCH(Settings!$C$6,Settings!$B$14:$B$18,0),1)))</f>
        <v/>
      </c>
      <c r="BG771" s="58" t="str">
        <f>IF($AM771=0,"",IF(NOT(ISNUMBER($I771)),"No stop; ","")&amp;IF(AND(ISNUMBER($H771),ISNUMBER($I771)),IF(OR(AND($F771&lt;&gt;"Short",$I771&gt;=$H771),AND($F771="Short",$I771&lt;=$H771)),"Stop on wrong side; ",""),"")&amp;IF($F771="","No direction; ","")&amp;IF(AND(ISNUMBER(Settings!$C$22),ISNUMBER($V771)),IF($V771&gt;Settings!$C$22,"Risk over max $; ",""),"")&amp;IF(AND(ISNUMBER(Settings!$C$23),ISNUMBER($V771),ISNUMBER($AP771),IFERROR(N(INDEX(Accounts!$E$7:$E$16,MATCH($C771,Accounts!$B$7:$B$16,0))),0)&gt;0),IF($V771&gt;Settings!$C$23*($AP771-N($Q771)),"Risk over max %; ",""),"")&amp;IF(AND(ISNUMBER(Settings!$C$24),ISNUMBER($N771)),IF($N771&gt;Settings!$C$24,"Leverage over max; ",""),"")&amp;IF(AND(ISNUMBER(Settings!$C$27),ISNUMBER($T771)),IF($T771&lt;Settings!$C$27,"R:R below min; ",""),"")&amp;IF(ISNUMBER(Settings!$C$25),IF(COUNTIFS($A$6:$A771,$A771,$AM$6:$AM771,1)&gt;Settings!$C$25,"Over max trades/day; ",""),"")&amp;IF(ISNUMBER(Settings!$C$26),IF(SUMIFS($Q$5:$Q770,$A$5:$A770,$A771)&lt;=-Settings!$C$26,"Traded after daily max loss; ",""),"")&amp;IF(AND($AG771="",NOT(ISNUMBER($O771))),"Symbol not in Instruments; ","")&amp;IF(AND($AH771="",NOT(ISNUMBER($O771))),"Forex cross: type Gross P&amp;L; ",""))</f>
        <v/>
      </c>
      <c r="BH771" s="56">
        <f>IF(ISNUMBER($Q771),1,0)</f>
        <v>0</v>
      </c>
      <c r="BI771" s="56">
        <f>IF($Y771="",0,1)</f>
        <v>0</v>
      </c>
      <c r="BJ771" s="56">
        <f>IF($AB771="",0,1)</f>
        <v>0</v>
      </c>
      <c r="BK771" s="56">
        <f>IF(AND($BH771=1,$W771&lt;&gt;"OK"),1,0)</f>
        <v>0</v>
      </c>
      <c r="BL771" s="55">
        <f>IF(N($AZ771)=0,0,IFERROR(INDEX($AT$6:$AT$1005,MATCH($AZ771,$AY$6:$AY$1005,0)),0))</f>
        <v>1187.10688</v>
      </c>
      <c r="BM771" s="56">
        <f>IF(ISNUMBER(SEARCH("daily max loss",$BG771)),1,0)</f>
        <v>0</v>
      </c>
    </row>
    <row r="772" ht="18" customHeight="1">
      <c r="A772" s="38" t="n"/>
      <c r="B772" s="39" t="n"/>
      <c r="C772" s="40" t="n"/>
      <c r="D772" s="41" t="n"/>
      <c r="E772" s="41" t="n"/>
      <c r="F772" s="41" t="n"/>
      <c r="G772" s="41" t="n"/>
      <c r="H772" s="42" t="n"/>
      <c r="I772" s="42" t="n"/>
      <c r="J772" s="42" t="n"/>
      <c r="K772" s="42" t="n"/>
      <c r="L772" s="41" t="n"/>
      <c r="M772" s="41" t="n"/>
      <c r="N772" s="41" t="n"/>
      <c r="O772" s="43" t="n"/>
      <c r="P772" s="43" t="n"/>
      <c r="Q772" s="44" t="str">
        <f>IF($AM772=0,"",IF(ISNUMBER($AK772),$AK772-N($AL772),""))</f>
        <v/>
      </c>
      <c r="R772" s="45" t="str">
        <f>IF(OR($Q772="",NOT(ISNUMBER($V772))),"",$AK772/$V772)</f>
        <v/>
      </c>
      <c r="S772" s="46" t="str">
        <f>IF($Q772="","",IF(AND(ISNUMBER($R772),ABS(N($R772))&lt;N(Settings!$C$8)),"Scratch",IF($Q772&gt;0,"Win",IF($Q772&lt;0,"Loss","Scratch"))))</f>
        <v/>
      </c>
      <c r="T772" s="47" t="str">
        <f>IF(OR($AM772=0,NOT(ISNUMBER($H772)),NOT(ISNUMBER($I772)),NOT(ISNUMBER($J772))),"",IF($H772=$I772,"",ROUND(ABS($J772-$H772)/ABS($H772-$I772),6)))</f>
        <v/>
      </c>
      <c r="U772" s="48" t="str">
        <f>IF(OR($S772&lt;&gt;"Win",NOT(ISNUMBER($T772)),NOT(ISNUMBER($R772))),"",MAX(0,$T772-$R772))</f>
        <v/>
      </c>
      <c r="V772" s="49" t="str">
        <f>IF(OR($AM772=0,NOT(ISNUMBER($H772)),NOT(ISNUMBER($I772)),NOT(ISNUMBER($G772))),"",IF(OR($AG772="",$AH772=""),"",IF(ROUND(ABS($H772-$I772)*ABS($G772)*$AG772*$AH772,6)=0,"",ROUND(ABS($H772-$I772)*ABS($G772)*$AG772*$AH772,6))))</f>
        <v/>
      </c>
      <c r="W772" s="50" t="str">
        <f>IF($AM772=0,"",IF($BG772="","OK",LEFT($BG772,LEN($BG772)-2)))</f>
        <v/>
      </c>
      <c r="X772" s="41" t="n"/>
      <c r="Y772" s="40" t="n"/>
      <c r="Z772" s="41" t="n"/>
      <c r="AA772" s="41" t="n"/>
      <c r="AB772" s="40" t="n"/>
      <c r="AC772" s="51" t="n"/>
      <c r="AD772" s="51" t="n"/>
      <c r="AE772" s="40" t="n"/>
      <c r="AF772" s="52" t="str">
        <f>IF($AM772=0,"",IF($D772&lt;&gt;"",$D772,IF(IFERROR(INDEX(Accounts!$C$7:$C$16,MATCH($C772,Accounts!$B$7:$B$16,0))&amp;"","")&lt;&gt;"",INDEX(Accounts!$C$7:$C$16,MATCH($C772,Accounts!$B$7:$B$16,0)),Settings!$C$6)))</f>
        <v/>
      </c>
      <c r="AG772" s="53" t="str">
        <f>IF($AM772=0,"",IF(AND($BE772&gt;0,N(INDEX(Instruments!$D$6:$D$205,MAX(1,$BE772)))&gt;0),INDEX(Instruments!$D$6:$D$205,MAX(1,$BE772)),IF(N(INDEX(Settings!$D$14:$D$18,$BF772))&gt;0,INDEX(Settings!$D$14:$D$18,$BF772),"")))</f>
        <v/>
      </c>
      <c r="AH772" s="54" t="str">
        <f>IF($AM772=0,"",IF($AF772&lt;&gt;"Forex",1,IF(MID(UPPER(SUBSTITUTE(TRIM($E772),"/","")),4,3)=UPPER(TRIM(Settings!$C$7)),1,IF(LEFT(UPPER(SUBSTITUTE(TRIM($E772),"/","")),3)=UPPER(TRIM(Settings!$C$7)),IF(AND(ISNUMBER($K772),N($K772)&lt;&gt;0),1/$K772,""),""))))</f>
        <v/>
      </c>
      <c r="AI772" s="55" t="str">
        <f>IF($AM772=0,"",IF(OR(NOT(ISNUMBER($H772)),NOT(ISNUMBER($K772)),NOT(ISNUMBER($G772)),$AG772="",$AH772=""),"",ROUND(($K772-$H772)*IF($F772="Short",-1,1)*$G772*$AG772*$AH772,6)))</f>
        <v/>
      </c>
      <c r="AJ772" s="55" t="str">
        <f>IF($AM772=0,"",IF(INDEX(Settings!$E$14:$E$18,$BF772)="% of notional",IF(OR($AG772="",NOT(ISNUMBER($H772)),NOT(ISNUMBER($G772))),"",ROUND(ABS($H772*$G772*$AG772*N($AH772))*IF($L772="Limit",N(INDEX(Settings!$G$14:$G$18,$BF772)),N(INDEX(Settings!$H$14:$H$18,$BF772)))+IF(ISNUMBER($K772),ABS($K772*$G772*$AG772*N($AH772))*IF($M772="Target",N(INDEX(Settings!$G$14:$G$18,$BF772)),N(INDEX(Settings!$H$14:$H$18,$BF772))),0),6)),IF(NOT(ISNUMBER($G772)),"",ROUND(ABS($G772)*2*IF(AND($BE772&gt;0,ISNUMBER(INDEX(Instruments!$G$6:$G$205,MAX(1,$BE772)))),INDEX(Instruments!$G$6:$G$205,MAX(1,$BE772)),N(INDEX(Settings!$F$14:$F$18,$BF772))),6))))</f>
        <v/>
      </c>
      <c r="AK772" s="55" t="str">
        <f>IF($AM772=0,"",IF(ISNUMBER($O772),$O772,$AI772))</f>
        <v/>
      </c>
      <c r="AL772" s="55" t="str">
        <f>IF($AM772=0,"",IF(ISNUMBER($P772),$P772,N($AJ772)))</f>
        <v/>
      </c>
      <c r="AM772" s="56">
        <f>IF(AND($A772&lt;&gt;"",$E772&lt;&gt;"",OR(AND(ISNUMBER($G772),ISNUMBER($H772),ISNUMBER($K772)),ISNUMBER($O772))),1,0)</f>
        <v>0</v>
      </c>
      <c r="AN772" s="57" t="str">
        <f>IF($A772="","",$A772-WEEKDAY($A772,3))</f>
        <v/>
      </c>
      <c r="AO772" s="56" t="str">
        <f>IF($A772="","",WEEKDAY($A772,2))</f>
        <v/>
      </c>
      <c r="AP772" s="55" t="str">
        <f>IF(OR($AM772=0,$C772=""),"",IFERROR(N(INDEX(Accounts!$E$7:$E$16,MATCH($C772,Accounts!$B$7:$B$16,0))),0)+SUMIFS($Q$6:$Q772,$C$6:$C772,$C772))</f>
        <v/>
      </c>
      <c r="AQ772" s="55" t="str">
        <f>IF(OR($AM772=0,$C772=""),"",SUMIFS($Q$6:$Q$1005,$C$6:$C$1005,$C772,$A$6:$A$1005,$A772))</f>
        <v/>
      </c>
      <c r="AR772" s="55" t="str">
        <f>IF(OR($AM772=0,$C772=""),"",IFERROR(N(INDEX(Accounts!$E$7:$E$16,MATCH($C772,Accounts!$B$7:$B$16,0))),0)+SUMIFS($Q$6:$Q$1005,$C$6:$C$1005,$C772,$A$6:$A$1005,"&lt;="&amp;$A772))</f>
        <v/>
      </c>
      <c r="AS772" s="56">
        <f>IF(OR($AM772=0,$Q772=""),0,IF(AND($A772&gt;=Lists!$W$6,$A772&lt;=Lists!$W$7,OR(Dashboard!$D$6="All accounts",$C772=Dashboard!$D$6),OR(Dashboard!$D$7="All markets",$AF772=Dashboard!$D$7)),1,0))</f>
        <v>0</v>
      </c>
      <c r="AT772" s="55">
        <f>IF($AS772=1,N(AT771)+$Q772,N(AT771))</f>
        <v>1187.10688</v>
      </c>
      <c r="AU772" s="55">
        <f>MAX(N(AU771),$AT772)</f>
        <v>1187.10688</v>
      </c>
      <c r="AV772" s="55">
        <f>$AT772-$AU772</f>
        <v>0</v>
      </c>
      <c r="AW772" s="56">
        <f>IF($AS772=1,IF($S772="Win",N(AW771)+1,IF($S772="Loss",0,N(AW771))),N(AW771))</f>
        <v>5</v>
      </c>
      <c r="AX772" s="56">
        <f>IF($AS772=1,IF($S772="Loss",N(AX771)+1,IF($S772="Win",0,N(AX771))),N(AX771))</f>
        <v>0</v>
      </c>
      <c r="AY772" s="56" t="str">
        <f>IF($AS772=1,COUNTIF($AS$6:$AS772,1),"")</f>
        <v/>
      </c>
      <c r="AZ772" s="56">
        <f>MIN(766,N(Lists!$W$8))</f>
        <v>28</v>
      </c>
      <c r="BA772" s="56">
        <f>IF($AS772=1,IF(COUNTIFS($A$6:$A772,$A772,$AS$6:$AS772,1)=1,1,0),0)</f>
        <v>0</v>
      </c>
      <c r="BB772" s="55" t="str">
        <f>IF($BA772=1,SUMIFS($Q$6:$Q$1005,$A$6:$A$1005,$A772,$AS$6:$AS$1005,1),"")</f>
        <v/>
      </c>
      <c r="BC772" s="56">
        <f>IF(ISNUMBER($R772),1,0)</f>
        <v>0</v>
      </c>
      <c r="BD772" s="55" t="str">
        <f>IF(ISNUMBER($U772),$U772*$V772,"")</f>
        <v/>
      </c>
      <c r="BE772" s="56" t="str">
        <f>IF($AM772=0,"",IFERROR(MATCH($AF772&amp;"|"&amp;UPPER(TRIM($E772)),Lists!$A$6:$A$205,0),0))</f>
        <v/>
      </c>
      <c r="BF772" s="56" t="str">
        <f>IF($AM772=0,"",IFERROR(MATCH($AF772,Settings!$B$14:$B$18,0),IFERROR(MATCH(Settings!$C$6,Settings!$B$14:$B$18,0),1)))</f>
        <v/>
      </c>
      <c r="BG772" s="58" t="str">
        <f>IF($AM772=0,"",IF(NOT(ISNUMBER($I772)),"No stop; ","")&amp;IF(AND(ISNUMBER($H772),ISNUMBER($I772)),IF(OR(AND($F772&lt;&gt;"Short",$I772&gt;=$H772),AND($F772="Short",$I772&lt;=$H772)),"Stop on wrong side; ",""),"")&amp;IF($F772="","No direction; ","")&amp;IF(AND(ISNUMBER(Settings!$C$22),ISNUMBER($V772)),IF($V772&gt;Settings!$C$22,"Risk over max $; ",""),"")&amp;IF(AND(ISNUMBER(Settings!$C$23),ISNUMBER($V772),ISNUMBER($AP772),IFERROR(N(INDEX(Accounts!$E$7:$E$16,MATCH($C772,Accounts!$B$7:$B$16,0))),0)&gt;0),IF($V772&gt;Settings!$C$23*($AP772-N($Q772)),"Risk over max %; ",""),"")&amp;IF(AND(ISNUMBER(Settings!$C$24),ISNUMBER($N772)),IF($N772&gt;Settings!$C$24,"Leverage over max; ",""),"")&amp;IF(AND(ISNUMBER(Settings!$C$27),ISNUMBER($T772)),IF($T772&lt;Settings!$C$27,"R:R below min; ",""),"")&amp;IF(ISNUMBER(Settings!$C$25),IF(COUNTIFS($A$6:$A772,$A772,$AM$6:$AM772,1)&gt;Settings!$C$25,"Over max trades/day; ",""),"")&amp;IF(ISNUMBER(Settings!$C$26),IF(SUMIFS($Q$5:$Q771,$A$5:$A771,$A772)&lt;=-Settings!$C$26,"Traded after daily max loss; ",""),"")&amp;IF(AND($AG772="",NOT(ISNUMBER($O772))),"Symbol not in Instruments; ","")&amp;IF(AND($AH772="",NOT(ISNUMBER($O772))),"Forex cross: type Gross P&amp;L; ",""))</f>
        <v/>
      </c>
      <c r="BH772" s="56">
        <f>IF(ISNUMBER($Q772),1,0)</f>
        <v>0</v>
      </c>
      <c r="BI772" s="56">
        <f>IF($Y772="",0,1)</f>
        <v>0</v>
      </c>
      <c r="BJ772" s="56">
        <f>IF($AB772="",0,1)</f>
        <v>0</v>
      </c>
      <c r="BK772" s="56">
        <f>IF(AND($BH772=1,$W772&lt;&gt;"OK"),1,0)</f>
        <v>0</v>
      </c>
      <c r="BL772" s="55">
        <f>IF(N($AZ772)=0,0,IFERROR(INDEX($AT$6:$AT$1005,MATCH($AZ772,$AY$6:$AY$1005,0)),0))</f>
        <v>1187.10688</v>
      </c>
      <c r="BM772" s="56">
        <f>IF(ISNUMBER(SEARCH("daily max loss",$BG772)),1,0)</f>
        <v>0</v>
      </c>
    </row>
    <row r="773" ht="18" customHeight="1">
      <c r="A773" s="38" t="n"/>
      <c r="B773" s="39" t="n"/>
      <c r="C773" s="40" t="n"/>
      <c r="D773" s="41" t="n"/>
      <c r="E773" s="41" t="n"/>
      <c r="F773" s="41" t="n"/>
      <c r="G773" s="41" t="n"/>
      <c r="H773" s="42" t="n"/>
      <c r="I773" s="42" t="n"/>
      <c r="J773" s="42" t="n"/>
      <c r="K773" s="42" t="n"/>
      <c r="L773" s="41" t="n"/>
      <c r="M773" s="41" t="n"/>
      <c r="N773" s="41" t="n"/>
      <c r="O773" s="43" t="n"/>
      <c r="P773" s="43" t="n"/>
      <c r="Q773" s="44" t="str">
        <f>IF($AM773=0,"",IF(ISNUMBER($AK773),$AK773-N($AL773),""))</f>
        <v/>
      </c>
      <c r="R773" s="45" t="str">
        <f>IF(OR($Q773="",NOT(ISNUMBER($V773))),"",$AK773/$V773)</f>
        <v/>
      </c>
      <c r="S773" s="46" t="str">
        <f>IF($Q773="","",IF(AND(ISNUMBER($R773),ABS(N($R773))&lt;N(Settings!$C$8)),"Scratch",IF($Q773&gt;0,"Win",IF($Q773&lt;0,"Loss","Scratch"))))</f>
        <v/>
      </c>
      <c r="T773" s="47" t="str">
        <f>IF(OR($AM773=0,NOT(ISNUMBER($H773)),NOT(ISNUMBER($I773)),NOT(ISNUMBER($J773))),"",IF($H773=$I773,"",ROUND(ABS($J773-$H773)/ABS($H773-$I773),6)))</f>
        <v/>
      </c>
      <c r="U773" s="48" t="str">
        <f>IF(OR($S773&lt;&gt;"Win",NOT(ISNUMBER($T773)),NOT(ISNUMBER($R773))),"",MAX(0,$T773-$R773))</f>
        <v/>
      </c>
      <c r="V773" s="49" t="str">
        <f>IF(OR($AM773=0,NOT(ISNUMBER($H773)),NOT(ISNUMBER($I773)),NOT(ISNUMBER($G773))),"",IF(OR($AG773="",$AH773=""),"",IF(ROUND(ABS($H773-$I773)*ABS($G773)*$AG773*$AH773,6)=0,"",ROUND(ABS($H773-$I773)*ABS($G773)*$AG773*$AH773,6))))</f>
        <v/>
      </c>
      <c r="W773" s="50" t="str">
        <f>IF($AM773=0,"",IF($BG773="","OK",LEFT($BG773,LEN($BG773)-2)))</f>
        <v/>
      </c>
      <c r="X773" s="41" t="n"/>
      <c r="Y773" s="40" t="n"/>
      <c r="Z773" s="41" t="n"/>
      <c r="AA773" s="41" t="n"/>
      <c r="AB773" s="40" t="n"/>
      <c r="AC773" s="51" t="n"/>
      <c r="AD773" s="51" t="n"/>
      <c r="AE773" s="40" t="n"/>
      <c r="AF773" s="52" t="str">
        <f>IF($AM773=0,"",IF($D773&lt;&gt;"",$D773,IF(IFERROR(INDEX(Accounts!$C$7:$C$16,MATCH($C773,Accounts!$B$7:$B$16,0))&amp;"","")&lt;&gt;"",INDEX(Accounts!$C$7:$C$16,MATCH($C773,Accounts!$B$7:$B$16,0)),Settings!$C$6)))</f>
        <v/>
      </c>
      <c r="AG773" s="53" t="str">
        <f>IF($AM773=0,"",IF(AND($BE773&gt;0,N(INDEX(Instruments!$D$6:$D$205,MAX(1,$BE773)))&gt;0),INDEX(Instruments!$D$6:$D$205,MAX(1,$BE773)),IF(N(INDEX(Settings!$D$14:$D$18,$BF773))&gt;0,INDEX(Settings!$D$14:$D$18,$BF773),"")))</f>
        <v/>
      </c>
      <c r="AH773" s="54" t="str">
        <f>IF($AM773=0,"",IF($AF773&lt;&gt;"Forex",1,IF(MID(UPPER(SUBSTITUTE(TRIM($E773),"/","")),4,3)=UPPER(TRIM(Settings!$C$7)),1,IF(LEFT(UPPER(SUBSTITUTE(TRIM($E773),"/","")),3)=UPPER(TRIM(Settings!$C$7)),IF(AND(ISNUMBER($K773),N($K773)&lt;&gt;0),1/$K773,""),""))))</f>
        <v/>
      </c>
      <c r="AI773" s="55" t="str">
        <f>IF($AM773=0,"",IF(OR(NOT(ISNUMBER($H773)),NOT(ISNUMBER($K773)),NOT(ISNUMBER($G773)),$AG773="",$AH773=""),"",ROUND(($K773-$H773)*IF($F773="Short",-1,1)*$G773*$AG773*$AH773,6)))</f>
        <v/>
      </c>
      <c r="AJ773" s="55" t="str">
        <f>IF($AM773=0,"",IF(INDEX(Settings!$E$14:$E$18,$BF773)="% of notional",IF(OR($AG773="",NOT(ISNUMBER($H773)),NOT(ISNUMBER($G773))),"",ROUND(ABS($H773*$G773*$AG773*N($AH773))*IF($L773="Limit",N(INDEX(Settings!$G$14:$G$18,$BF773)),N(INDEX(Settings!$H$14:$H$18,$BF773)))+IF(ISNUMBER($K773),ABS($K773*$G773*$AG773*N($AH773))*IF($M773="Target",N(INDEX(Settings!$G$14:$G$18,$BF773)),N(INDEX(Settings!$H$14:$H$18,$BF773))),0),6)),IF(NOT(ISNUMBER($G773)),"",ROUND(ABS($G773)*2*IF(AND($BE773&gt;0,ISNUMBER(INDEX(Instruments!$G$6:$G$205,MAX(1,$BE773)))),INDEX(Instruments!$G$6:$G$205,MAX(1,$BE773)),N(INDEX(Settings!$F$14:$F$18,$BF773))),6))))</f>
        <v/>
      </c>
      <c r="AK773" s="55" t="str">
        <f>IF($AM773=0,"",IF(ISNUMBER($O773),$O773,$AI773))</f>
        <v/>
      </c>
      <c r="AL773" s="55" t="str">
        <f>IF($AM773=0,"",IF(ISNUMBER($P773),$P773,N($AJ773)))</f>
        <v/>
      </c>
      <c r="AM773" s="56">
        <f>IF(AND($A773&lt;&gt;"",$E773&lt;&gt;"",OR(AND(ISNUMBER($G773),ISNUMBER($H773),ISNUMBER($K773)),ISNUMBER($O773))),1,0)</f>
        <v>0</v>
      </c>
      <c r="AN773" s="57" t="str">
        <f>IF($A773="","",$A773-WEEKDAY($A773,3))</f>
        <v/>
      </c>
      <c r="AO773" s="56" t="str">
        <f>IF($A773="","",WEEKDAY($A773,2))</f>
        <v/>
      </c>
      <c r="AP773" s="55" t="str">
        <f>IF(OR($AM773=0,$C773=""),"",IFERROR(N(INDEX(Accounts!$E$7:$E$16,MATCH($C773,Accounts!$B$7:$B$16,0))),0)+SUMIFS($Q$6:$Q773,$C$6:$C773,$C773))</f>
        <v/>
      </c>
      <c r="AQ773" s="55" t="str">
        <f>IF(OR($AM773=0,$C773=""),"",SUMIFS($Q$6:$Q$1005,$C$6:$C$1005,$C773,$A$6:$A$1005,$A773))</f>
        <v/>
      </c>
      <c r="AR773" s="55" t="str">
        <f>IF(OR($AM773=0,$C773=""),"",IFERROR(N(INDEX(Accounts!$E$7:$E$16,MATCH($C773,Accounts!$B$7:$B$16,0))),0)+SUMIFS($Q$6:$Q$1005,$C$6:$C$1005,$C773,$A$6:$A$1005,"&lt;="&amp;$A773))</f>
        <v/>
      </c>
      <c r="AS773" s="56">
        <f>IF(OR($AM773=0,$Q773=""),0,IF(AND($A773&gt;=Lists!$W$6,$A773&lt;=Lists!$W$7,OR(Dashboard!$D$6="All accounts",$C773=Dashboard!$D$6),OR(Dashboard!$D$7="All markets",$AF773=Dashboard!$D$7)),1,0))</f>
        <v>0</v>
      </c>
      <c r="AT773" s="55">
        <f>IF($AS773=1,N(AT772)+$Q773,N(AT772))</f>
        <v>1187.10688</v>
      </c>
      <c r="AU773" s="55">
        <f>MAX(N(AU772),$AT773)</f>
        <v>1187.10688</v>
      </c>
      <c r="AV773" s="55">
        <f>$AT773-$AU773</f>
        <v>0</v>
      </c>
      <c r="AW773" s="56">
        <f>IF($AS773=1,IF($S773="Win",N(AW772)+1,IF($S773="Loss",0,N(AW772))),N(AW772))</f>
        <v>5</v>
      </c>
      <c r="AX773" s="56">
        <f>IF($AS773=1,IF($S773="Loss",N(AX772)+1,IF($S773="Win",0,N(AX772))),N(AX772))</f>
        <v>0</v>
      </c>
      <c r="AY773" s="56" t="str">
        <f>IF($AS773=1,COUNTIF($AS$6:$AS773,1),"")</f>
        <v/>
      </c>
      <c r="AZ773" s="56">
        <f>MIN(767,N(Lists!$W$8))</f>
        <v>28</v>
      </c>
      <c r="BA773" s="56">
        <f>IF($AS773=1,IF(COUNTIFS($A$6:$A773,$A773,$AS$6:$AS773,1)=1,1,0),0)</f>
        <v>0</v>
      </c>
      <c r="BB773" s="55" t="str">
        <f>IF($BA773=1,SUMIFS($Q$6:$Q$1005,$A$6:$A$1005,$A773,$AS$6:$AS$1005,1),"")</f>
        <v/>
      </c>
      <c r="BC773" s="56">
        <f>IF(ISNUMBER($R773),1,0)</f>
        <v>0</v>
      </c>
      <c r="BD773" s="55" t="str">
        <f>IF(ISNUMBER($U773),$U773*$V773,"")</f>
        <v/>
      </c>
      <c r="BE773" s="56" t="str">
        <f>IF($AM773=0,"",IFERROR(MATCH($AF773&amp;"|"&amp;UPPER(TRIM($E773)),Lists!$A$6:$A$205,0),0))</f>
        <v/>
      </c>
      <c r="BF773" s="56" t="str">
        <f>IF($AM773=0,"",IFERROR(MATCH($AF773,Settings!$B$14:$B$18,0),IFERROR(MATCH(Settings!$C$6,Settings!$B$14:$B$18,0),1)))</f>
        <v/>
      </c>
      <c r="BG773" s="58" t="str">
        <f>IF($AM773=0,"",IF(NOT(ISNUMBER($I773)),"No stop; ","")&amp;IF(AND(ISNUMBER($H773),ISNUMBER($I773)),IF(OR(AND($F773&lt;&gt;"Short",$I773&gt;=$H773),AND($F773="Short",$I773&lt;=$H773)),"Stop on wrong side; ",""),"")&amp;IF($F773="","No direction; ","")&amp;IF(AND(ISNUMBER(Settings!$C$22),ISNUMBER($V773)),IF($V773&gt;Settings!$C$22,"Risk over max $; ",""),"")&amp;IF(AND(ISNUMBER(Settings!$C$23),ISNUMBER($V773),ISNUMBER($AP773),IFERROR(N(INDEX(Accounts!$E$7:$E$16,MATCH($C773,Accounts!$B$7:$B$16,0))),0)&gt;0),IF($V773&gt;Settings!$C$23*($AP773-N($Q773)),"Risk over max %; ",""),"")&amp;IF(AND(ISNUMBER(Settings!$C$24),ISNUMBER($N773)),IF($N773&gt;Settings!$C$24,"Leverage over max; ",""),"")&amp;IF(AND(ISNUMBER(Settings!$C$27),ISNUMBER($T773)),IF($T773&lt;Settings!$C$27,"R:R below min; ",""),"")&amp;IF(ISNUMBER(Settings!$C$25),IF(COUNTIFS($A$6:$A773,$A773,$AM$6:$AM773,1)&gt;Settings!$C$25,"Over max trades/day; ",""),"")&amp;IF(ISNUMBER(Settings!$C$26),IF(SUMIFS($Q$5:$Q772,$A$5:$A772,$A773)&lt;=-Settings!$C$26,"Traded after daily max loss; ",""),"")&amp;IF(AND($AG773="",NOT(ISNUMBER($O773))),"Symbol not in Instruments; ","")&amp;IF(AND($AH773="",NOT(ISNUMBER($O773))),"Forex cross: type Gross P&amp;L; ",""))</f>
        <v/>
      </c>
      <c r="BH773" s="56">
        <f>IF(ISNUMBER($Q773),1,0)</f>
        <v>0</v>
      </c>
      <c r="BI773" s="56">
        <f>IF($Y773="",0,1)</f>
        <v>0</v>
      </c>
      <c r="BJ773" s="56">
        <f>IF($AB773="",0,1)</f>
        <v>0</v>
      </c>
      <c r="BK773" s="56">
        <f>IF(AND($BH773=1,$W773&lt;&gt;"OK"),1,0)</f>
        <v>0</v>
      </c>
      <c r="BL773" s="55">
        <f>IF(N($AZ773)=0,0,IFERROR(INDEX($AT$6:$AT$1005,MATCH($AZ773,$AY$6:$AY$1005,0)),0))</f>
        <v>1187.10688</v>
      </c>
      <c r="BM773" s="56">
        <f>IF(ISNUMBER(SEARCH("daily max loss",$BG773)),1,0)</f>
        <v>0</v>
      </c>
    </row>
    <row r="774" ht="18" customHeight="1">
      <c r="A774" s="38" t="n"/>
      <c r="B774" s="39" t="n"/>
      <c r="C774" s="40" t="n"/>
      <c r="D774" s="41" t="n"/>
      <c r="E774" s="41" t="n"/>
      <c r="F774" s="41" t="n"/>
      <c r="G774" s="41" t="n"/>
      <c r="H774" s="42" t="n"/>
      <c r="I774" s="42" t="n"/>
      <c r="J774" s="42" t="n"/>
      <c r="K774" s="42" t="n"/>
      <c r="L774" s="41" t="n"/>
      <c r="M774" s="41" t="n"/>
      <c r="N774" s="41" t="n"/>
      <c r="O774" s="43" t="n"/>
      <c r="P774" s="43" t="n"/>
      <c r="Q774" s="44" t="str">
        <f>IF($AM774=0,"",IF(ISNUMBER($AK774),$AK774-N($AL774),""))</f>
        <v/>
      </c>
      <c r="R774" s="45" t="str">
        <f>IF(OR($Q774="",NOT(ISNUMBER($V774))),"",$AK774/$V774)</f>
        <v/>
      </c>
      <c r="S774" s="46" t="str">
        <f>IF($Q774="","",IF(AND(ISNUMBER($R774),ABS(N($R774))&lt;N(Settings!$C$8)),"Scratch",IF($Q774&gt;0,"Win",IF($Q774&lt;0,"Loss","Scratch"))))</f>
        <v/>
      </c>
      <c r="T774" s="47" t="str">
        <f>IF(OR($AM774=0,NOT(ISNUMBER($H774)),NOT(ISNUMBER($I774)),NOT(ISNUMBER($J774))),"",IF($H774=$I774,"",ROUND(ABS($J774-$H774)/ABS($H774-$I774),6)))</f>
        <v/>
      </c>
      <c r="U774" s="48" t="str">
        <f>IF(OR($S774&lt;&gt;"Win",NOT(ISNUMBER($T774)),NOT(ISNUMBER($R774))),"",MAX(0,$T774-$R774))</f>
        <v/>
      </c>
      <c r="V774" s="49" t="str">
        <f>IF(OR($AM774=0,NOT(ISNUMBER($H774)),NOT(ISNUMBER($I774)),NOT(ISNUMBER($G774))),"",IF(OR($AG774="",$AH774=""),"",IF(ROUND(ABS($H774-$I774)*ABS($G774)*$AG774*$AH774,6)=0,"",ROUND(ABS($H774-$I774)*ABS($G774)*$AG774*$AH774,6))))</f>
        <v/>
      </c>
      <c r="W774" s="50" t="str">
        <f>IF($AM774=0,"",IF($BG774="","OK",LEFT($BG774,LEN($BG774)-2)))</f>
        <v/>
      </c>
      <c r="X774" s="41" t="n"/>
      <c r="Y774" s="40" t="n"/>
      <c r="Z774" s="41" t="n"/>
      <c r="AA774" s="41" t="n"/>
      <c r="AB774" s="40" t="n"/>
      <c r="AC774" s="51" t="n"/>
      <c r="AD774" s="51" t="n"/>
      <c r="AE774" s="40" t="n"/>
      <c r="AF774" s="52" t="str">
        <f>IF($AM774=0,"",IF($D774&lt;&gt;"",$D774,IF(IFERROR(INDEX(Accounts!$C$7:$C$16,MATCH($C774,Accounts!$B$7:$B$16,0))&amp;"","")&lt;&gt;"",INDEX(Accounts!$C$7:$C$16,MATCH($C774,Accounts!$B$7:$B$16,0)),Settings!$C$6)))</f>
        <v/>
      </c>
      <c r="AG774" s="53" t="str">
        <f>IF($AM774=0,"",IF(AND($BE774&gt;0,N(INDEX(Instruments!$D$6:$D$205,MAX(1,$BE774)))&gt;0),INDEX(Instruments!$D$6:$D$205,MAX(1,$BE774)),IF(N(INDEX(Settings!$D$14:$D$18,$BF774))&gt;0,INDEX(Settings!$D$14:$D$18,$BF774),"")))</f>
        <v/>
      </c>
      <c r="AH774" s="54" t="str">
        <f>IF($AM774=0,"",IF($AF774&lt;&gt;"Forex",1,IF(MID(UPPER(SUBSTITUTE(TRIM($E774),"/","")),4,3)=UPPER(TRIM(Settings!$C$7)),1,IF(LEFT(UPPER(SUBSTITUTE(TRIM($E774),"/","")),3)=UPPER(TRIM(Settings!$C$7)),IF(AND(ISNUMBER($K774),N($K774)&lt;&gt;0),1/$K774,""),""))))</f>
        <v/>
      </c>
      <c r="AI774" s="55" t="str">
        <f>IF($AM774=0,"",IF(OR(NOT(ISNUMBER($H774)),NOT(ISNUMBER($K774)),NOT(ISNUMBER($G774)),$AG774="",$AH774=""),"",ROUND(($K774-$H774)*IF($F774="Short",-1,1)*$G774*$AG774*$AH774,6)))</f>
        <v/>
      </c>
      <c r="AJ774" s="55" t="str">
        <f>IF($AM774=0,"",IF(INDEX(Settings!$E$14:$E$18,$BF774)="% of notional",IF(OR($AG774="",NOT(ISNUMBER($H774)),NOT(ISNUMBER($G774))),"",ROUND(ABS($H774*$G774*$AG774*N($AH774))*IF($L774="Limit",N(INDEX(Settings!$G$14:$G$18,$BF774)),N(INDEX(Settings!$H$14:$H$18,$BF774)))+IF(ISNUMBER($K774),ABS($K774*$G774*$AG774*N($AH774))*IF($M774="Target",N(INDEX(Settings!$G$14:$G$18,$BF774)),N(INDEX(Settings!$H$14:$H$18,$BF774))),0),6)),IF(NOT(ISNUMBER($G774)),"",ROUND(ABS($G774)*2*IF(AND($BE774&gt;0,ISNUMBER(INDEX(Instruments!$G$6:$G$205,MAX(1,$BE774)))),INDEX(Instruments!$G$6:$G$205,MAX(1,$BE774)),N(INDEX(Settings!$F$14:$F$18,$BF774))),6))))</f>
        <v/>
      </c>
      <c r="AK774" s="55" t="str">
        <f>IF($AM774=0,"",IF(ISNUMBER($O774),$O774,$AI774))</f>
        <v/>
      </c>
      <c r="AL774" s="55" t="str">
        <f>IF($AM774=0,"",IF(ISNUMBER($P774),$P774,N($AJ774)))</f>
        <v/>
      </c>
      <c r="AM774" s="56">
        <f>IF(AND($A774&lt;&gt;"",$E774&lt;&gt;"",OR(AND(ISNUMBER($G774),ISNUMBER($H774),ISNUMBER($K774)),ISNUMBER($O774))),1,0)</f>
        <v>0</v>
      </c>
      <c r="AN774" s="57" t="str">
        <f>IF($A774="","",$A774-WEEKDAY($A774,3))</f>
        <v/>
      </c>
      <c r="AO774" s="56" t="str">
        <f>IF($A774="","",WEEKDAY($A774,2))</f>
        <v/>
      </c>
      <c r="AP774" s="55" t="str">
        <f>IF(OR($AM774=0,$C774=""),"",IFERROR(N(INDEX(Accounts!$E$7:$E$16,MATCH($C774,Accounts!$B$7:$B$16,0))),0)+SUMIFS($Q$6:$Q774,$C$6:$C774,$C774))</f>
        <v/>
      </c>
      <c r="AQ774" s="55" t="str">
        <f>IF(OR($AM774=0,$C774=""),"",SUMIFS($Q$6:$Q$1005,$C$6:$C$1005,$C774,$A$6:$A$1005,$A774))</f>
        <v/>
      </c>
      <c r="AR774" s="55" t="str">
        <f>IF(OR($AM774=0,$C774=""),"",IFERROR(N(INDEX(Accounts!$E$7:$E$16,MATCH($C774,Accounts!$B$7:$B$16,0))),0)+SUMIFS($Q$6:$Q$1005,$C$6:$C$1005,$C774,$A$6:$A$1005,"&lt;="&amp;$A774))</f>
        <v/>
      </c>
      <c r="AS774" s="56">
        <f>IF(OR($AM774=0,$Q774=""),0,IF(AND($A774&gt;=Lists!$W$6,$A774&lt;=Lists!$W$7,OR(Dashboard!$D$6="All accounts",$C774=Dashboard!$D$6),OR(Dashboard!$D$7="All markets",$AF774=Dashboard!$D$7)),1,0))</f>
        <v>0</v>
      </c>
      <c r="AT774" s="55">
        <f>IF($AS774=1,N(AT773)+$Q774,N(AT773))</f>
        <v>1187.10688</v>
      </c>
      <c r="AU774" s="55">
        <f>MAX(N(AU773),$AT774)</f>
        <v>1187.10688</v>
      </c>
      <c r="AV774" s="55">
        <f>$AT774-$AU774</f>
        <v>0</v>
      </c>
      <c r="AW774" s="56">
        <f>IF($AS774=1,IF($S774="Win",N(AW773)+1,IF($S774="Loss",0,N(AW773))),N(AW773))</f>
        <v>5</v>
      </c>
      <c r="AX774" s="56">
        <f>IF($AS774=1,IF($S774="Loss",N(AX773)+1,IF($S774="Win",0,N(AX773))),N(AX773))</f>
        <v>0</v>
      </c>
      <c r="AY774" s="56" t="str">
        <f>IF($AS774=1,COUNTIF($AS$6:$AS774,1),"")</f>
        <v/>
      </c>
      <c r="AZ774" s="56">
        <f>MIN(768,N(Lists!$W$8))</f>
        <v>28</v>
      </c>
      <c r="BA774" s="56">
        <f>IF($AS774=1,IF(COUNTIFS($A$6:$A774,$A774,$AS$6:$AS774,1)=1,1,0),0)</f>
        <v>0</v>
      </c>
      <c r="BB774" s="55" t="str">
        <f>IF($BA774=1,SUMIFS($Q$6:$Q$1005,$A$6:$A$1005,$A774,$AS$6:$AS$1005,1),"")</f>
        <v/>
      </c>
      <c r="BC774" s="56">
        <f>IF(ISNUMBER($R774),1,0)</f>
        <v>0</v>
      </c>
      <c r="BD774" s="55" t="str">
        <f>IF(ISNUMBER($U774),$U774*$V774,"")</f>
        <v/>
      </c>
      <c r="BE774" s="56" t="str">
        <f>IF($AM774=0,"",IFERROR(MATCH($AF774&amp;"|"&amp;UPPER(TRIM($E774)),Lists!$A$6:$A$205,0),0))</f>
        <v/>
      </c>
      <c r="BF774" s="56" t="str">
        <f>IF($AM774=0,"",IFERROR(MATCH($AF774,Settings!$B$14:$B$18,0),IFERROR(MATCH(Settings!$C$6,Settings!$B$14:$B$18,0),1)))</f>
        <v/>
      </c>
      <c r="BG774" s="58" t="str">
        <f>IF($AM774=0,"",IF(NOT(ISNUMBER($I774)),"No stop; ","")&amp;IF(AND(ISNUMBER($H774),ISNUMBER($I774)),IF(OR(AND($F774&lt;&gt;"Short",$I774&gt;=$H774),AND($F774="Short",$I774&lt;=$H774)),"Stop on wrong side; ",""),"")&amp;IF($F774="","No direction; ","")&amp;IF(AND(ISNUMBER(Settings!$C$22),ISNUMBER($V774)),IF($V774&gt;Settings!$C$22,"Risk over max $; ",""),"")&amp;IF(AND(ISNUMBER(Settings!$C$23),ISNUMBER($V774),ISNUMBER($AP774),IFERROR(N(INDEX(Accounts!$E$7:$E$16,MATCH($C774,Accounts!$B$7:$B$16,0))),0)&gt;0),IF($V774&gt;Settings!$C$23*($AP774-N($Q774)),"Risk over max %; ",""),"")&amp;IF(AND(ISNUMBER(Settings!$C$24),ISNUMBER($N774)),IF($N774&gt;Settings!$C$24,"Leverage over max; ",""),"")&amp;IF(AND(ISNUMBER(Settings!$C$27),ISNUMBER($T774)),IF($T774&lt;Settings!$C$27,"R:R below min; ",""),"")&amp;IF(ISNUMBER(Settings!$C$25),IF(COUNTIFS($A$6:$A774,$A774,$AM$6:$AM774,1)&gt;Settings!$C$25,"Over max trades/day; ",""),"")&amp;IF(ISNUMBER(Settings!$C$26),IF(SUMIFS($Q$5:$Q773,$A$5:$A773,$A774)&lt;=-Settings!$C$26,"Traded after daily max loss; ",""),"")&amp;IF(AND($AG774="",NOT(ISNUMBER($O774))),"Symbol not in Instruments; ","")&amp;IF(AND($AH774="",NOT(ISNUMBER($O774))),"Forex cross: type Gross P&amp;L; ",""))</f>
        <v/>
      </c>
      <c r="BH774" s="56">
        <f>IF(ISNUMBER($Q774),1,0)</f>
        <v>0</v>
      </c>
      <c r="BI774" s="56">
        <f>IF($Y774="",0,1)</f>
        <v>0</v>
      </c>
      <c r="BJ774" s="56">
        <f>IF($AB774="",0,1)</f>
        <v>0</v>
      </c>
      <c r="BK774" s="56">
        <f>IF(AND($BH774=1,$W774&lt;&gt;"OK"),1,0)</f>
        <v>0</v>
      </c>
      <c r="BL774" s="55">
        <f>IF(N($AZ774)=0,0,IFERROR(INDEX($AT$6:$AT$1005,MATCH($AZ774,$AY$6:$AY$1005,0)),0))</f>
        <v>1187.10688</v>
      </c>
      <c r="BM774" s="56">
        <f>IF(ISNUMBER(SEARCH("daily max loss",$BG774)),1,0)</f>
        <v>0</v>
      </c>
    </row>
    <row r="775" ht="18" customHeight="1">
      <c r="A775" s="38" t="n"/>
      <c r="B775" s="39" t="n"/>
      <c r="C775" s="40" t="n"/>
      <c r="D775" s="41" t="n"/>
      <c r="E775" s="41" t="n"/>
      <c r="F775" s="41" t="n"/>
      <c r="G775" s="41" t="n"/>
      <c r="H775" s="42" t="n"/>
      <c r="I775" s="42" t="n"/>
      <c r="J775" s="42" t="n"/>
      <c r="K775" s="42" t="n"/>
      <c r="L775" s="41" t="n"/>
      <c r="M775" s="41" t="n"/>
      <c r="N775" s="41" t="n"/>
      <c r="O775" s="43" t="n"/>
      <c r="P775" s="43" t="n"/>
      <c r="Q775" s="44" t="str">
        <f>IF($AM775=0,"",IF(ISNUMBER($AK775),$AK775-N($AL775),""))</f>
        <v/>
      </c>
      <c r="R775" s="45" t="str">
        <f>IF(OR($Q775="",NOT(ISNUMBER($V775))),"",$AK775/$V775)</f>
        <v/>
      </c>
      <c r="S775" s="46" t="str">
        <f>IF($Q775="","",IF(AND(ISNUMBER($R775),ABS(N($R775))&lt;N(Settings!$C$8)),"Scratch",IF($Q775&gt;0,"Win",IF($Q775&lt;0,"Loss","Scratch"))))</f>
        <v/>
      </c>
      <c r="T775" s="47" t="str">
        <f>IF(OR($AM775=0,NOT(ISNUMBER($H775)),NOT(ISNUMBER($I775)),NOT(ISNUMBER($J775))),"",IF($H775=$I775,"",ROUND(ABS($J775-$H775)/ABS($H775-$I775),6)))</f>
        <v/>
      </c>
      <c r="U775" s="48" t="str">
        <f>IF(OR($S775&lt;&gt;"Win",NOT(ISNUMBER($T775)),NOT(ISNUMBER($R775))),"",MAX(0,$T775-$R775))</f>
        <v/>
      </c>
      <c r="V775" s="49" t="str">
        <f>IF(OR($AM775=0,NOT(ISNUMBER($H775)),NOT(ISNUMBER($I775)),NOT(ISNUMBER($G775))),"",IF(OR($AG775="",$AH775=""),"",IF(ROUND(ABS($H775-$I775)*ABS($G775)*$AG775*$AH775,6)=0,"",ROUND(ABS($H775-$I775)*ABS($G775)*$AG775*$AH775,6))))</f>
        <v/>
      </c>
      <c r="W775" s="50" t="str">
        <f>IF($AM775=0,"",IF($BG775="","OK",LEFT($BG775,LEN($BG775)-2)))</f>
        <v/>
      </c>
      <c r="X775" s="41" t="n"/>
      <c r="Y775" s="40" t="n"/>
      <c r="Z775" s="41" t="n"/>
      <c r="AA775" s="41" t="n"/>
      <c r="AB775" s="40" t="n"/>
      <c r="AC775" s="51" t="n"/>
      <c r="AD775" s="51" t="n"/>
      <c r="AE775" s="40" t="n"/>
      <c r="AF775" s="52" t="str">
        <f>IF($AM775=0,"",IF($D775&lt;&gt;"",$D775,IF(IFERROR(INDEX(Accounts!$C$7:$C$16,MATCH($C775,Accounts!$B$7:$B$16,0))&amp;"","")&lt;&gt;"",INDEX(Accounts!$C$7:$C$16,MATCH($C775,Accounts!$B$7:$B$16,0)),Settings!$C$6)))</f>
        <v/>
      </c>
      <c r="AG775" s="53" t="str">
        <f>IF($AM775=0,"",IF(AND($BE775&gt;0,N(INDEX(Instruments!$D$6:$D$205,MAX(1,$BE775)))&gt;0),INDEX(Instruments!$D$6:$D$205,MAX(1,$BE775)),IF(N(INDEX(Settings!$D$14:$D$18,$BF775))&gt;0,INDEX(Settings!$D$14:$D$18,$BF775),"")))</f>
        <v/>
      </c>
      <c r="AH775" s="54" t="str">
        <f>IF($AM775=0,"",IF($AF775&lt;&gt;"Forex",1,IF(MID(UPPER(SUBSTITUTE(TRIM($E775),"/","")),4,3)=UPPER(TRIM(Settings!$C$7)),1,IF(LEFT(UPPER(SUBSTITUTE(TRIM($E775),"/","")),3)=UPPER(TRIM(Settings!$C$7)),IF(AND(ISNUMBER($K775),N($K775)&lt;&gt;0),1/$K775,""),""))))</f>
        <v/>
      </c>
      <c r="AI775" s="55" t="str">
        <f>IF($AM775=0,"",IF(OR(NOT(ISNUMBER($H775)),NOT(ISNUMBER($K775)),NOT(ISNUMBER($G775)),$AG775="",$AH775=""),"",ROUND(($K775-$H775)*IF($F775="Short",-1,1)*$G775*$AG775*$AH775,6)))</f>
        <v/>
      </c>
      <c r="AJ775" s="55" t="str">
        <f>IF($AM775=0,"",IF(INDEX(Settings!$E$14:$E$18,$BF775)="% of notional",IF(OR($AG775="",NOT(ISNUMBER($H775)),NOT(ISNUMBER($G775))),"",ROUND(ABS($H775*$G775*$AG775*N($AH775))*IF($L775="Limit",N(INDEX(Settings!$G$14:$G$18,$BF775)),N(INDEX(Settings!$H$14:$H$18,$BF775)))+IF(ISNUMBER($K775),ABS($K775*$G775*$AG775*N($AH775))*IF($M775="Target",N(INDEX(Settings!$G$14:$G$18,$BF775)),N(INDEX(Settings!$H$14:$H$18,$BF775))),0),6)),IF(NOT(ISNUMBER($G775)),"",ROUND(ABS($G775)*2*IF(AND($BE775&gt;0,ISNUMBER(INDEX(Instruments!$G$6:$G$205,MAX(1,$BE775)))),INDEX(Instruments!$G$6:$G$205,MAX(1,$BE775)),N(INDEX(Settings!$F$14:$F$18,$BF775))),6))))</f>
        <v/>
      </c>
      <c r="AK775" s="55" t="str">
        <f>IF($AM775=0,"",IF(ISNUMBER($O775),$O775,$AI775))</f>
        <v/>
      </c>
      <c r="AL775" s="55" t="str">
        <f>IF($AM775=0,"",IF(ISNUMBER($P775),$P775,N($AJ775)))</f>
        <v/>
      </c>
      <c r="AM775" s="56">
        <f>IF(AND($A775&lt;&gt;"",$E775&lt;&gt;"",OR(AND(ISNUMBER($G775),ISNUMBER($H775),ISNUMBER($K775)),ISNUMBER($O775))),1,0)</f>
        <v>0</v>
      </c>
      <c r="AN775" s="57" t="str">
        <f>IF($A775="","",$A775-WEEKDAY($A775,3))</f>
        <v/>
      </c>
      <c r="AO775" s="56" t="str">
        <f>IF($A775="","",WEEKDAY($A775,2))</f>
        <v/>
      </c>
      <c r="AP775" s="55" t="str">
        <f>IF(OR($AM775=0,$C775=""),"",IFERROR(N(INDEX(Accounts!$E$7:$E$16,MATCH($C775,Accounts!$B$7:$B$16,0))),0)+SUMIFS($Q$6:$Q775,$C$6:$C775,$C775))</f>
        <v/>
      </c>
      <c r="AQ775" s="55" t="str">
        <f>IF(OR($AM775=0,$C775=""),"",SUMIFS($Q$6:$Q$1005,$C$6:$C$1005,$C775,$A$6:$A$1005,$A775))</f>
        <v/>
      </c>
      <c r="AR775" s="55" t="str">
        <f>IF(OR($AM775=0,$C775=""),"",IFERROR(N(INDEX(Accounts!$E$7:$E$16,MATCH($C775,Accounts!$B$7:$B$16,0))),0)+SUMIFS($Q$6:$Q$1005,$C$6:$C$1005,$C775,$A$6:$A$1005,"&lt;="&amp;$A775))</f>
        <v/>
      </c>
      <c r="AS775" s="56">
        <f>IF(OR($AM775=0,$Q775=""),0,IF(AND($A775&gt;=Lists!$W$6,$A775&lt;=Lists!$W$7,OR(Dashboard!$D$6="All accounts",$C775=Dashboard!$D$6),OR(Dashboard!$D$7="All markets",$AF775=Dashboard!$D$7)),1,0))</f>
        <v>0</v>
      </c>
      <c r="AT775" s="55">
        <f>IF($AS775=1,N(AT774)+$Q775,N(AT774))</f>
        <v>1187.10688</v>
      </c>
      <c r="AU775" s="55">
        <f>MAX(N(AU774),$AT775)</f>
        <v>1187.10688</v>
      </c>
      <c r="AV775" s="55">
        <f>$AT775-$AU775</f>
        <v>0</v>
      </c>
      <c r="AW775" s="56">
        <f>IF($AS775=1,IF($S775="Win",N(AW774)+1,IF($S775="Loss",0,N(AW774))),N(AW774))</f>
        <v>5</v>
      </c>
      <c r="AX775" s="56">
        <f>IF($AS775=1,IF($S775="Loss",N(AX774)+1,IF($S775="Win",0,N(AX774))),N(AX774))</f>
        <v>0</v>
      </c>
      <c r="AY775" s="56" t="str">
        <f>IF($AS775=1,COUNTIF($AS$6:$AS775,1),"")</f>
        <v/>
      </c>
      <c r="AZ775" s="56">
        <f>MIN(769,N(Lists!$W$8))</f>
        <v>28</v>
      </c>
      <c r="BA775" s="56">
        <f>IF($AS775=1,IF(COUNTIFS($A$6:$A775,$A775,$AS$6:$AS775,1)=1,1,0),0)</f>
        <v>0</v>
      </c>
      <c r="BB775" s="55" t="str">
        <f>IF($BA775=1,SUMIFS($Q$6:$Q$1005,$A$6:$A$1005,$A775,$AS$6:$AS$1005,1),"")</f>
        <v/>
      </c>
      <c r="BC775" s="56">
        <f>IF(ISNUMBER($R775),1,0)</f>
        <v>0</v>
      </c>
      <c r="BD775" s="55" t="str">
        <f>IF(ISNUMBER($U775),$U775*$V775,"")</f>
        <v/>
      </c>
      <c r="BE775" s="56" t="str">
        <f>IF($AM775=0,"",IFERROR(MATCH($AF775&amp;"|"&amp;UPPER(TRIM($E775)),Lists!$A$6:$A$205,0),0))</f>
        <v/>
      </c>
      <c r="BF775" s="56" t="str">
        <f>IF($AM775=0,"",IFERROR(MATCH($AF775,Settings!$B$14:$B$18,0),IFERROR(MATCH(Settings!$C$6,Settings!$B$14:$B$18,0),1)))</f>
        <v/>
      </c>
      <c r="BG775" s="58" t="str">
        <f>IF($AM775=0,"",IF(NOT(ISNUMBER($I775)),"No stop; ","")&amp;IF(AND(ISNUMBER($H775),ISNUMBER($I775)),IF(OR(AND($F775&lt;&gt;"Short",$I775&gt;=$H775),AND($F775="Short",$I775&lt;=$H775)),"Stop on wrong side; ",""),"")&amp;IF($F775="","No direction; ","")&amp;IF(AND(ISNUMBER(Settings!$C$22),ISNUMBER($V775)),IF($V775&gt;Settings!$C$22,"Risk over max $; ",""),"")&amp;IF(AND(ISNUMBER(Settings!$C$23),ISNUMBER($V775),ISNUMBER($AP775),IFERROR(N(INDEX(Accounts!$E$7:$E$16,MATCH($C775,Accounts!$B$7:$B$16,0))),0)&gt;0),IF($V775&gt;Settings!$C$23*($AP775-N($Q775)),"Risk over max %; ",""),"")&amp;IF(AND(ISNUMBER(Settings!$C$24),ISNUMBER($N775)),IF($N775&gt;Settings!$C$24,"Leverage over max; ",""),"")&amp;IF(AND(ISNUMBER(Settings!$C$27),ISNUMBER($T775)),IF($T775&lt;Settings!$C$27,"R:R below min; ",""),"")&amp;IF(ISNUMBER(Settings!$C$25),IF(COUNTIFS($A$6:$A775,$A775,$AM$6:$AM775,1)&gt;Settings!$C$25,"Over max trades/day; ",""),"")&amp;IF(ISNUMBER(Settings!$C$26),IF(SUMIFS($Q$5:$Q774,$A$5:$A774,$A775)&lt;=-Settings!$C$26,"Traded after daily max loss; ",""),"")&amp;IF(AND($AG775="",NOT(ISNUMBER($O775))),"Symbol not in Instruments; ","")&amp;IF(AND($AH775="",NOT(ISNUMBER($O775))),"Forex cross: type Gross P&amp;L; ",""))</f>
        <v/>
      </c>
      <c r="BH775" s="56">
        <f>IF(ISNUMBER($Q775),1,0)</f>
        <v>0</v>
      </c>
      <c r="BI775" s="56">
        <f>IF($Y775="",0,1)</f>
        <v>0</v>
      </c>
      <c r="BJ775" s="56">
        <f>IF($AB775="",0,1)</f>
        <v>0</v>
      </c>
      <c r="BK775" s="56">
        <f>IF(AND($BH775=1,$W775&lt;&gt;"OK"),1,0)</f>
        <v>0</v>
      </c>
      <c r="BL775" s="55">
        <f>IF(N($AZ775)=0,0,IFERROR(INDEX($AT$6:$AT$1005,MATCH($AZ775,$AY$6:$AY$1005,0)),0))</f>
        <v>1187.10688</v>
      </c>
      <c r="BM775" s="56">
        <f>IF(ISNUMBER(SEARCH("daily max loss",$BG775)),1,0)</f>
        <v>0</v>
      </c>
    </row>
    <row r="776" ht="18" customHeight="1">
      <c r="A776" s="38" t="n"/>
      <c r="B776" s="39" t="n"/>
      <c r="C776" s="40" t="n"/>
      <c r="D776" s="41" t="n"/>
      <c r="E776" s="41" t="n"/>
      <c r="F776" s="41" t="n"/>
      <c r="G776" s="41" t="n"/>
      <c r="H776" s="42" t="n"/>
      <c r="I776" s="42" t="n"/>
      <c r="J776" s="42" t="n"/>
      <c r="K776" s="42" t="n"/>
      <c r="L776" s="41" t="n"/>
      <c r="M776" s="41" t="n"/>
      <c r="N776" s="41" t="n"/>
      <c r="O776" s="43" t="n"/>
      <c r="P776" s="43" t="n"/>
      <c r="Q776" s="44" t="str">
        <f>IF($AM776=0,"",IF(ISNUMBER($AK776),$AK776-N($AL776),""))</f>
        <v/>
      </c>
      <c r="R776" s="45" t="str">
        <f>IF(OR($Q776="",NOT(ISNUMBER($V776))),"",$AK776/$V776)</f>
        <v/>
      </c>
      <c r="S776" s="46" t="str">
        <f>IF($Q776="","",IF(AND(ISNUMBER($R776),ABS(N($R776))&lt;N(Settings!$C$8)),"Scratch",IF($Q776&gt;0,"Win",IF($Q776&lt;0,"Loss","Scratch"))))</f>
        <v/>
      </c>
      <c r="T776" s="47" t="str">
        <f>IF(OR($AM776=0,NOT(ISNUMBER($H776)),NOT(ISNUMBER($I776)),NOT(ISNUMBER($J776))),"",IF($H776=$I776,"",ROUND(ABS($J776-$H776)/ABS($H776-$I776),6)))</f>
        <v/>
      </c>
      <c r="U776" s="48" t="str">
        <f>IF(OR($S776&lt;&gt;"Win",NOT(ISNUMBER($T776)),NOT(ISNUMBER($R776))),"",MAX(0,$T776-$R776))</f>
        <v/>
      </c>
      <c r="V776" s="49" t="str">
        <f>IF(OR($AM776=0,NOT(ISNUMBER($H776)),NOT(ISNUMBER($I776)),NOT(ISNUMBER($G776))),"",IF(OR($AG776="",$AH776=""),"",IF(ROUND(ABS($H776-$I776)*ABS($G776)*$AG776*$AH776,6)=0,"",ROUND(ABS($H776-$I776)*ABS($G776)*$AG776*$AH776,6))))</f>
        <v/>
      </c>
      <c r="W776" s="50" t="str">
        <f>IF($AM776=0,"",IF($BG776="","OK",LEFT($BG776,LEN($BG776)-2)))</f>
        <v/>
      </c>
      <c r="X776" s="41" t="n"/>
      <c r="Y776" s="40" t="n"/>
      <c r="Z776" s="41" t="n"/>
      <c r="AA776" s="41" t="n"/>
      <c r="AB776" s="40" t="n"/>
      <c r="AC776" s="51" t="n"/>
      <c r="AD776" s="51" t="n"/>
      <c r="AE776" s="40" t="n"/>
      <c r="AF776" s="52" t="str">
        <f>IF($AM776=0,"",IF($D776&lt;&gt;"",$D776,IF(IFERROR(INDEX(Accounts!$C$7:$C$16,MATCH($C776,Accounts!$B$7:$B$16,0))&amp;"","")&lt;&gt;"",INDEX(Accounts!$C$7:$C$16,MATCH($C776,Accounts!$B$7:$B$16,0)),Settings!$C$6)))</f>
        <v/>
      </c>
      <c r="AG776" s="53" t="str">
        <f>IF($AM776=0,"",IF(AND($BE776&gt;0,N(INDEX(Instruments!$D$6:$D$205,MAX(1,$BE776)))&gt;0),INDEX(Instruments!$D$6:$D$205,MAX(1,$BE776)),IF(N(INDEX(Settings!$D$14:$D$18,$BF776))&gt;0,INDEX(Settings!$D$14:$D$18,$BF776),"")))</f>
        <v/>
      </c>
      <c r="AH776" s="54" t="str">
        <f>IF($AM776=0,"",IF($AF776&lt;&gt;"Forex",1,IF(MID(UPPER(SUBSTITUTE(TRIM($E776),"/","")),4,3)=UPPER(TRIM(Settings!$C$7)),1,IF(LEFT(UPPER(SUBSTITUTE(TRIM($E776),"/","")),3)=UPPER(TRIM(Settings!$C$7)),IF(AND(ISNUMBER($K776),N($K776)&lt;&gt;0),1/$K776,""),""))))</f>
        <v/>
      </c>
      <c r="AI776" s="55" t="str">
        <f>IF($AM776=0,"",IF(OR(NOT(ISNUMBER($H776)),NOT(ISNUMBER($K776)),NOT(ISNUMBER($G776)),$AG776="",$AH776=""),"",ROUND(($K776-$H776)*IF($F776="Short",-1,1)*$G776*$AG776*$AH776,6)))</f>
        <v/>
      </c>
      <c r="AJ776" s="55" t="str">
        <f>IF($AM776=0,"",IF(INDEX(Settings!$E$14:$E$18,$BF776)="% of notional",IF(OR($AG776="",NOT(ISNUMBER($H776)),NOT(ISNUMBER($G776))),"",ROUND(ABS($H776*$G776*$AG776*N($AH776))*IF($L776="Limit",N(INDEX(Settings!$G$14:$G$18,$BF776)),N(INDEX(Settings!$H$14:$H$18,$BF776)))+IF(ISNUMBER($K776),ABS($K776*$G776*$AG776*N($AH776))*IF($M776="Target",N(INDEX(Settings!$G$14:$G$18,$BF776)),N(INDEX(Settings!$H$14:$H$18,$BF776))),0),6)),IF(NOT(ISNUMBER($G776)),"",ROUND(ABS($G776)*2*IF(AND($BE776&gt;0,ISNUMBER(INDEX(Instruments!$G$6:$G$205,MAX(1,$BE776)))),INDEX(Instruments!$G$6:$G$205,MAX(1,$BE776)),N(INDEX(Settings!$F$14:$F$18,$BF776))),6))))</f>
        <v/>
      </c>
      <c r="AK776" s="55" t="str">
        <f>IF($AM776=0,"",IF(ISNUMBER($O776),$O776,$AI776))</f>
        <v/>
      </c>
      <c r="AL776" s="55" t="str">
        <f>IF($AM776=0,"",IF(ISNUMBER($P776),$P776,N($AJ776)))</f>
        <v/>
      </c>
      <c r="AM776" s="56">
        <f>IF(AND($A776&lt;&gt;"",$E776&lt;&gt;"",OR(AND(ISNUMBER($G776),ISNUMBER($H776),ISNUMBER($K776)),ISNUMBER($O776))),1,0)</f>
        <v>0</v>
      </c>
      <c r="AN776" s="57" t="str">
        <f>IF($A776="","",$A776-WEEKDAY($A776,3))</f>
        <v/>
      </c>
      <c r="AO776" s="56" t="str">
        <f>IF($A776="","",WEEKDAY($A776,2))</f>
        <v/>
      </c>
      <c r="AP776" s="55" t="str">
        <f>IF(OR($AM776=0,$C776=""),"",IFERROR(N(INDEX(Accounts!$E$7:$E$16,MATCH($C776,Accounts!$B$7:$B$16,0))),0)+SUMIFS($Q$6:$Q776,$C$6:$C776,$C776))</f>
        <v/>
      </c>
      <c r="AQ776" s="55" t="str">
        <f>IF(OR($AM776=0,$C776=""),"",SUMIFS($Q$6:$Q$1005,$C$6:$C$1005,$C776,$A$6:$A$1005,$A776))</f>
        <v/>
      </c>
      <c r="AR776" s="55" t="str">
        <f>IF(OR($AM776=0,$C776=""),"",IFERROR(N(INDEX(Accounts!$E$7:$E$16,MATCH($C776,Accounts!$B$7:$B$16,0))),0)+SUMIFS($Q$6:$Q$1005,$C$6:$C$1005,$C776,$A$6:$A$1005,"&lt;="&amp;$A776))</f>
        <v/>
      </c>
      <c r="AS776" s="56">
        <f>IF(OR($AM776=0,$Q776=""),0,IF(AND($A776&gt;=Lists!$W$6,$A776&lt;=Lists!$W$7,OR(Dashboard!$D$6="All accounts",$C776=Dashboard!$D$6),OR(Dashboard!$D$7="All markets",$AF776=Dashboard!$D$7)),1,0))</f>
        <v>0</v>
      </c>
      <c r="AT776" s="55">
        <f>IF($AS776=1,N(AT775)+$Q776,N(AT775))</f>
        <v>1187.10688</v>
      </c>
      <c r="AU776" s="55">
        <f>MAX(N(AU775),$AT776)</f>
        <v>1187.10688</v>
      </c>
      <c r="AV776" s="55">
        <f>$AT776-$AU776</f>
        <v>0</v>
      </c>
      <c r="AW776" s="56">
        <f>IF($AS776=1,IF($S776="Win",N(AW775)+1,IF($S776="Loss",0,N(AW775))),N(AW775))</f>
        <v>5</v>
      </c>
      <c r="AX776" s="56">
        <f>IF($AS776=1,IF($S776="Loss",N(AX775)+1,IF($S776="Win",0,N(AX775))),N(AX775))</f>
        <v>0</v>
      </c>
      <c r="AY776" s="56" t="str">
        <f>IF($AS776=1,COUNTIF($AS$6:$AS776,1),"")</f>
        <v/>
      </c>
      <c r="AZ776" s="56">
        <f>MIN(770,N(Lists!$W$8))</f>
        <v>28</v>
      </c>
      <c r="BA776" s="56">
        <f>IF($AS776=1,IF(COUNTIFS($A$6:$A776,$A776,$AS$6:$AS776,1)=1,1,0),0)</f>
        <v>0</v>
      </c>
      <c r="BB776" s="55" t="str">
        <f>IF($BA776=1,SUMIFS($Q$6:$Q$1005,$A$6:$A$1005,$A776,$AS$6:$AS$1005,1),"")</f>
        <v/>
      </c>
      <c r="BC776" s="56">
        <f>IF(ISNUMBER($R776),1,0)</f>
        <v>0</v>
      </c>
      <c r="BD776" s="55" t="str">
        <f>IF(ISNUMBER($U776),$U776*$V776,"")</f>
        <v/>
      </c>
      <c r="BE776" s="56" t="str">
        <f>IF($AM776=0,"",IFERROR(MATCH($AF776&amp;"|"&amp;UPPER(TRIM($E776)),Lists!$A$6:$A$205,0),0))</f>
        <v/>
      </c>
      <c r="BF776" s="56" t="str">
        <f>IF($AM776=0,"",IFERROR(MATCH($AF776,Settings!$B$14:$B$18,0),IFERROR(MATCH(Settings!$C$6,Settings!$B$14:$B$18,0),1)))</f>
        <v/>
      </c>
      <c r="BG776" s="58" t="str">
        <f>IF($AM776=0,"",IF(NOT(ISNUMBER($I776)),"No stop; ","")&amp;IF(AND(ISNUMBER($H776),ISNUMBER($I776)),IF(OR(AND($F776&lt;&gt;"Short",$I776&gt;=$H776),AND($F776="Short",$I776&lt;=$H776)),"Stop on wrong side; ",""),"")&amp;IF($F776="","No direction; ","")&amp;IF(AND(ISNUMBER(Settings!$C$22),ISNUMBER($V776)),IF($V776&gt;Settings!$C$22,"Risk over max $; ",""),"")&amp;IF(AND(ISNUMBER(Settings!$C$23),ISNUMBER($V776),ISNUMBER($AP776),IFERROR(N(INDEX(Accounts!$E$7:$E$16,MATCH($C776,Accounts!$B$7:$B$16,0))),0)&gt;0),IF($V776&gt;Settings!$C$23*($AP776-N($Q776)),"Risk over max %; ",""),"")&amp;IF(AND(ISNUMBER(Settings!$C$24),ISNUMBER($N776)),IF($N776&gt;Settings!$C$24,"Leverage over max; ",""),"")&amp;IF(AND(ISNUMBER(Settings!$C$27),ISNUMBER($T776)),IF($T776&lt;Settings!$C$27,"R:R below min; ",""),"")&amp;IF(ISNUMBER(Settings!$C$25),IF(COUNTIFS($A$6:$A776,$A776,$AM$6:$AM776,1)&gt;Settings!$C$25,"Over max trades/day; ",""),"")&amp;IF(ISNUMBER(Settings!$C$26),IF(SUMIFS($Q$5:$Q775,$A$5:$A775,$A776)&lt;=-Settings!$C$26,"Traded after daily max loss; ",""),"")&amp;IF(AND($AG776="",NOT(ISNUMBER($O776))),"Symbol not in Instruments; ","")&amp;IF(AND($AH776="",NOT(ISNUMBER($O776))),"Forex cross: type Gross P&amp;L; ",""))</f>
        <v/>
      </c>
      <c r="BH776" s="56">
        <f>IF(ISNUMBER($Q776),1,0)</f>
        <v>0</v>
      </c>
      <c r="BI776" s="56">
        <f>IF($Y776="",0,1)</f>
        <v>0</v>
      </c>
      <c r="BJ776" s="56">
        <f>IF($AB776="",0,1)</f>
        <v>0</v>
      </c>
      <c r="BK776" s="56">
        <f>IF(AND($BH776=1,$W776&lt;&gt;"OK"),1,0)</f>
        <v>0</v>
      </c>
      <c r="BL776" s="55">
        <f>IF(N($AZ776)=0,0,IFERROR(INDEX($AT$6:$AT$1005,MATCH($AZ776,$AY$6:$AY$1005,0)),0))</f>
        <v>1187.10688</v>
      </c>
      <c r="BM776" s="56">
        <f>IF(ISNUMBER(SEARCH("daily max loss",$BG776)),1,0)</f>
        <v>0</v>
      </c>
    </row>
    <row r="777" ht="18" customHeight="1">
      <c r="A777" s="38" t="n"/>
      <c r="B777" s="39" t="n"/>
      <c r="C777" s="40" t="n"/>
      <c r="D777" s="41" t="n"/>
      <c r="E777" s="41" t="n"/>
      <c r="F777" s="41" t="n"/>
      <c r="G777" s="41" t="n"/>
      <c r="H777" s="42" t="n"/>
      <c r="I777" s="42" t="n"/>
      <c r="J777" s="42" t="n"/>
      <c r="K777" s="42" t="n"/>
      <c r="L777" s="41" t="n"/>
      <c r="M777" s="41" t="n"/>
      <c r="N777" s="41" t="n"/>
      <c r="O777" s="43" t="n"/>
      <c r="P777" s="43" t="n"/>
      <c r="Q777" s="44" t="str">
        <f>IF($AM777=0,"",IF(ISNUMBER($AK777),$AK777-N($AL777),""))</f>
        <v/>
      </c>
      <c r="R777" s="45" t="str">
        <f>IF(OR($Q777="",NOT(ISNUMBER($V777))),"",$AK777/$V777)</f>
        <v/>
      </c>
      <c r="S777" s="46" t="str">
        <f>IF($Q777="","",IF(AND(ISNUMBER($R777),ABS(N($R777))&lt;N(Settings!$C$8)),"Scratch",IF($Q777&gt;0,"Win",IF($Q777&lt;0,"Loss","Scratch"))))</f>
        <v/>
      </c>
      <c r="T777" s="47" t="str">
        <f>IF(OR($AM777=0,NOT(ISNUMBER($H777)),NOT(ISNUMBER($I777)),NOT(ISNUMBER($J777))),"",IF($H777=$I777,"",ROUND(ABS($J777-$H777)/ABS($H777-$I777),6)))</f>
        <v/>
      </c>
      <c r="U777" s="48" t="str">
        <f>IF(OR($S777&lt;&gt;"Win",NOT(ISNUMBER($T777)),NOT(ISNUMBER($R777))),"",MAX(0,$T777-$R777))</f>
        <v/>
      </c>
      <c r="V777" s="49" t="str">
        <f>IF(OR($AM777=0,NOT(ISNUMBER($H777)),NOT(ISNUMBER($I777)),NOT(ISNUMBER($G777))),"",IF(OR($AG777="",$AH777=""),"",IF(ROUND(ABS($H777-$I777)*ABS($G777)*$AG777*$AH777,6)=0,"",ROUND(ABS($H777-$I777)*ABS($G777)*$AG777*$AH777,6))))</f>
        <v/>
      </c>
      <c r="W777" s="50" t="str">
        <f>IF($AM777=0,"",IF($BG777="","OK",LEFT($BG777,LEN($BG777)-2)))</f>
        <v/>
      </c>
      <c r="X777" s="41" t="n"/>
      <c r="Y777" s="40" t="n"/>
      <c r="Z777" s="41" t="n"/>
      <c r="AA777" s="41" t="n"/>
      <c r="AB777" s="40" t="n"/>
      <c r="AC777" s="51" t="n"/>
      <c r="AD777" s="51" t="n"/>
      <c r="AE777" s="40" t="n"/>
      <c r="AF777" s="52" t="str">
        <f>IF($AM777=0,"",IF($D777&lt;&gt;"",$D777,IF(IFERROR(INDEX(Accounts!$C$7:$C$16,MATCH($C777,Accounts!$B$7:$B$16,0))&amp;"","")&lt;&gt;"",INDEX(Accounts!$C$7:$C$16,MATCH($C777,Accounts!$B$7:$B$16,0)),Settings!$C$6)))</f>
        <v/>
      </c>
      <c r="AG777" s="53" t="str">
        <f>IF($AM777=0,"",IF(AND($BE777&gt;0,N(INDEX(Instruments!$D$6:$D$205,MAX(1,$BE777)))&gt;0),INDEX(Instruments!$D$6:$D$205,MAX(1,$BE777)),IF(N(INDEX(Settings!$D$14:$D$18,$BF777))&gt;0,INDEX(Settings!$D$14:$D$18,$BF777),"")))</f>
        <v/>
      </c>
      <c r="AH777" s="54" t="str">
        <f>IF($AM777=0,"",IF($AF777&lt;&gt;"Forex",1,IF(MID(UPPER(SUBSTITUTE(TRIM($E777),"/","")),4,3)=UPPER(TRIM(Settings!$C$7)),1,IF(LEFT(UPPER(SUBSTITUTE(TRIM($E777),"/","")),3)=UPPER(TRIM(Settings!$C$7)),IF(AND(ISNUMBER($K777),N($K777)&lt;&gt;0),1/$K777,""),""))))</f>
        <v/>
      </c>
      <c r="AI777" s="55" t="str">
        <f>IF($AM777=0,"",IF(OR(NOT(ISNUMBER($H777)),NOT(ISNUMBER($K777)),NOT(ISNUMBER($G777)),$AG777="",$AH777=""),"",ROUND(($K777-$H777)*IF($F777="Short",-1,1)*$G777*$AG777*$AH777,6)))</f>
        <v/>
      </c>
      <c r="AJ777" s="55" t="str">
        <f>IF($AM777=0,"",IF(INDEX(Settings!$E$14:$E$18,$BF777)="% of notional",IF(OR($AG777="",NOT(ISNUMBER($H777)),NOT(ISNUMBER($G777))),"",ROUND(ABS($H777*$G777*$AG777*N($AH777))*IF($L777="Limit",N(INDEX(Settings!$G$14:$G$18,$BF777)),N(INDEX(Settings!$H$14:$H$18,$BF777)))+IF(ISNUMBER($K777),ABS($K777*$G777*$AG777*N($AH777))*IF($M777="Target",N(INDEX(Settings!$G$14:$G$18,$BF777)),N(INDEX(Settings!$H$14:$H$18,$BF777))),0),6)),IF(NOT(ISNUMBER($G777)),"",ROUND(ABS($G777)*2*IF(AND($BE777&gt;0,ISNUMBER(INDEX(Instruments!$G$6:$G$205,MAX(1,$BE777)))),INDEX(Instruments!$G$6:$G$205,MAX(1,$BE777)),N(INDEX(Settings!$F$14:$F$18,$BF777))),6))))</f>
        <v/>
      </c>
      <c r="AK777" s="55" t="str">
        <f>IF($AM777=0,"",IF(ISNUMBER($O777),$O777,$AI777))</f>
        <v/>
      </c>
      <c r="AL777" s="55" t="str">
        <f>IF($AM777=0,"",IF(ISNUMBER($P777),$P777,N($AJ777)))</f>
        <v/>
      </c>
      <c r="AM777" s="56">
        <f>IF(AND($A777&lt;&gt;"",$E777&lt;&gt;"",OR(AND(ISNUMBER($G777),ISNUMBER($H777),ISNUMBER($K777)),ISNUMBER($O777))),1,0)</f>
        <v>0</v>
      </c>
      <c r="AN777" s="57" t="str">
        <f>IF($A777="","",$A777-WEEKDAY($A777,3))</f>
        <v/>
      </c>
      <c r="AO777" s="56" t="str">
        <f>IF($A777="","",WEEKDAY($A777,2))</f>
        <v/>
      </c>
      <c r="AP777" s="55" t="str">
        <f>IF(OR($AM777=0,$C777=""),"",IFERROR(N(INDEX(Accounts!$E$7:$E$16,MATCH($C777,Accounts!$B$7:$B$16,0))),0)+SUMIFS($Q$6:$Q777,$C$6:$C777,$C777))</f>
        <v/>
      </c>
      <c r="AQ777" s="55" t="str">
        <f>IF(OR($AM777=0,$C777=""),"",SUMIFS($Q$6:$Q$1005,$C$6:$C$1005,$C777,$A$6:$A$1005,$A777))</f>
        <v/>
      </c>
      <c r="AR777" s="55" t="str">
        <f>IF(OR($AM777=0,$C777=""),"",IFERROR(N(INDEX(Accounts!$E$7:$E$16,MATCH($C777,Accounts!$B$7:$B$16,0))),0)+SUMIFS($Q$6:$Q$1005,$C$6:$C$1005,$C777,$A$6:$A$1005,"&lt;="&amp;$A777))</f>
        <v/>
      </c>
      <c r="AS777" s="56">
        <f>IF(OR($AM777=0,$Q777=""),0,IF(AND($A777&gt;=Lists!$W$6,$A777&lt;=Lists!$W$7,OR(Dashboard!$D$6="All accounts",$C777=Dashboard!$D$6),OR(Dashboard!$D$7="All markets",$AF777=Dashboard!$D$7)),1,0))</f>
        <v>0</v>
      </c>
      <c r="AT777" s="55">
        <f>IF($AS777=1,N(AT776)+$Q777,N(AT776))</f>
        <v>1187.10688</v>
      </c>
      <c r="AU777" s="55">
        <f>MAX(N(AU776),$AT777)</f>
        <v>1187.10688</v>
      </c>
      <c r="AV777" s="55">
        <f>$AT777-$AU777</f>
        <v>0</v>
      </c>
      <c r="AW777" s="56">
        <f>IF($AS777=1,IF($S777="Win",N(AW776)+1,IF($S777="Loss",0,N(AW776))),N(AW776))</f>
        <v>5</v>
      </c>
      <c r="AX777" s="56">
        <f>IF($AS777=1,IF($S777="Loss",N(AX776)+1,IF($S777="Win",0,N(AX776))),N(AX776))</f>
        <v>0</v>
      </c>
      <c r="AY777" s="56" t="str">
        <f>IF($AS777=1,COUNTIF($AS$6:$AS777,1),"")</f>
        <v/>
      </c>
      <c r="AZ777" s="56">
        <f>MIN(771,N(Lists!$W$8))</f>
        <v>28</v>
      </c>
      <c r="BA777" s="56">
        <f>IF($AS777=1,IF(COUNTIFS($A$6:$A777,$A777,$AS$6:$AS777,1)=1,1,0),0)</f>
        <v>0</v>
      </c>
      <c r="BB777" s="55" t="str">
        <f>IF($BA777=1,SUMIFS($Q$6:$Q$1005,$A$6:$A$1005,$A777,$AS$6:$AS$1005,1),"")</f>
        <v/>
      </c>
      <c r="BC777" s="56">
        <f>IF(ISNUMBER($R777),1,0)</f>
        <v>0</v>
      </c>
      <c r="BD777" s="55" t="str">
        <f>IF(ISNUMBER($U777),$U777*$V777,"")</f>
        <v/>
      </c>
      <c r="BE777" s="56" t="str">
        <f>IF($AM777=0,"",IFERROR(MATCH($AF777&amp;"|"&amp;UPPER(TRIM($E777)),Lists!$A$6:$A$205,0),0))</f>
        <v/>
      </c>
      <c r="BF777" s="56" t="str">
        <f>IF($AM777=0,"",IFERROR(MATCH($AF777,Settings!$B$14:$B$18,0),IFERROR(MATCH(Settings!$C$6,Settings!$B$14:$B$18,0),1)))</f>
        <v/>
      </c>
      <c r="BG777" s="58" t="str">
        <f>IF($AM777=0,"",IF(NOT(ISNUMBER($I777)),"No stop; ","")&amp;IF(AND(ISNUMBER($H777),ISNUMBER($I777)),IF(OR(AND($F777&lt;&gt;"Short",$I777&gt;=$H777),AND($F777="Short",$I777&lt;=$H777)),"Stop on wrong side; ",""),"")&amp;IF($F777="","No direction; ","")&amp;IF(AND(ISNUMBER(Settings!$C$22),ISNUMBER($V777)),IF($V777&gt;Settings!$C$22,"Risk over max $; ",""),"")&amp;IF(AND(ISNUMBER(Settings!$C$23),ISNUMBER($V777),ISNUMBER($AP777),IFERROR(N(INDEX(Accounts!$E$7:$E$16,MATCH($C777,Accounts!$B$7:$B$16,0))),0)&gt;0),IF($V777&gt;Settings!$C$23*($AP777-N($Q777)),"Risk over max %; ",""),"")&amp;IF(AND(ISNUMBER(Settings!$C$24),ISNUMBER($N777)),IF($N777&gt;Settings!$C$24,"Leverage over max; ",""),"")&amp;IF(AND(ISNUMBER(Settings!$C$27),ISNUMBER($T777)),IF($T777&lt;Settings!$C$27,"R:R below min; ",""),"")&amp;IF(ISNUMBER(Settings!$C$25),IF(COUNTIFS($A$6:$A777,$A777,$AM$6:$AM777,1)&gt;Settings!$C$25,"Over max trades/day; ",""),"")&amp;IF(ISNUMBER(Settings!$C$26),IF(SUMIFS($Q$5:$Q776,$A$5:$A776,$A777)&lt;=-Settings!$C$26,"Traded after daily max loss; ",""),"")&amp;IF(AND($AG777="",NOT(ISNUMBER($O777))),"Symbol not in Instruments; ","")&amp;IF(AND($AH777="",NOT(ISNUMBER($O777))),"Forex cross: type Gross P&amp;L; ",""))</f>
        <v/>
      </c>
      <c r="BH777" s="56">
        <f>IF(ISNUMBER($Q777),1,0)</f>
        <v>0</v>
      </c>
      <c r="BI777" s="56">
        <f>IF($Y777="",0,1)</f>
        <v>0</v>
      </c>
      <c r="BJ777" s="56">
        <f>IF($AB777="",0,1)</f>
        <v>0</v>
      </c>
      <c r="BK777" s="56">
        <f>IF(AND($BH777=1,$W777&lt;&gt;"OK"),1,0)</f>
        <v>0</v>
      </c>
      <c r="BL777" s="55">
        <f>IF(N($AZ777)=0,0,IFERROR(INDEX($AT$6:$AT$1005,MATCH($AZ777,$AY$6:$AY$1005,0)),0))</f>
        <v>1187.10688</v>
      </c>
      <c r="BM777" s="56">
        <f>IF(ISNUMBER(SEARCH("daily max loss",$BG777)),1,0)</f>
        <v>0</v>
      </c>
    </row>
    <row r="778" ht="18" customHeight="1">
      <c r="A778" s="38" t="n"/>
      <c r="B778" s="39" t="n"/>
      <c r="C778" s="40" t="n"/>
      <c r="D778" s="41" t="n"/>
      <c r="E778" s="41" t="n"/>
      <c r="F778" s="41" t="n"/>
      <c r="G778" s="41" t="n"/>
      <c r="H778" s="42" t="n"/>
      <c r="I778" s="42" t="n"/>
      <c r="J778" s="42" t="n"/>
      <c r="K778" s="42" t="n"/>
      <c r="L778" s="41" t="n"/>
      <c r="M778" s="41" t="n"/>
      <c r="N778" s="41" t="n"/>
      <c r="O778" s="43" t="n"/>
      <c r="P778" s="43" t="n"/>
      <c r="Q778" s="44" t="str">
        <f>IF($AM778=0,"",IF(ISNUMBER($AK778),$AK778-N($AL778),""))</f>
        <v/>
      </c>
      <c r="R778" s="45" t="str">
        <f>IF(OR($Q778="",NOT(ISNUMBER($V778))),"",$AK778/$V778)</f>
        <v/>
      </c>
      <c r="S778" s="46" t="str">
        <f>IF($Q778="","",IF(AND(ISNUMBER($R778),ABS(N($R778))&lt;N(Settings!$C$8)),"Scratch",IF($Q778&gt;0,"Win",IF($Q778&lt;0,"Loss","Scratch"))))</f>
        <v/>
      </c>
      <c r="T778" s="47" t="str">
        <f>IF(OR($AM778=0,NOT(ISNUMBER($H778)),NOT(ISNUMBER($I778)),NOT(ISNUMBER($J778))),"",IF($H778=$I778,"",ROUND(ABS($J778-$H778)/ABS($H778-$I778),6)))</f>
        <v/>
      </c>
      <c r="U778" s="48" t="str">
        <f>IF(OR($S778&lt;&gt;"Win",NOT(ISNUMBER($T778)),NOT(ISNUMBER($R778))),"",MAX(0,$T778-$R778))</f>
        <v/>
      </c>
      <c r="V778" s="49" t="str">
        <f>IF(OR($AM778=0,NOT(ISNUMBER($H778)),NOT(ISNUMBER($I778)),NOT(ISNUMBER($G778))),"",IF(OR($AG778="",$AH778=""),"",IF(ROUND(ABS($H778-$I778)*ABS($G778)*$AG778*$AH778,6)=0,"",ROUND(ABS($H778-$I778)*ABS($G778)*$AG778*$AH778,6))))</f>
        <v/>
      </c>
      <c r="W778" s="50" t="str">
        <f>IF($AM778=0,"",IF($BG778="","OK",LEFT($BG778,LEN($BG778)-2)))</f>
        <v/>
      </c>
      <c r="X778" s="41" t="n"/>
      <c r="Y778" s="40" t="n"/>
      <c r="Z778" s="41" t="n"/>
      <c r="AA778" s="41" t="n"/>
      <c r="AB778" s="40" t="n"/>
      <c r="AC778" s="51" t="n"/>
      <c r="AD778" s="51" t="n"/>
      <c r="AE778" s="40" t="n"/>
      <c r="AF778" s="52" t="str">
        <f>IF($AM778=0,"",IF($D778&lt;&gt;"",$D778,IF(IFERROR(INDEX(Accounts!$C$7:$C$16,MATCH($C778,Accounts!$B$7:$B$16,0))&amp;"","")&lt;&gt;"",INDEX(Accounts!$C$7:$C$16,MATCH($C778,Accounts!$B$7:$B$16,0)),Settings!$C$6)))</f>
        <v/>
      </c>
      <c r="AG778" s="53" t="str">
        <f>IF($AM778=0,"",IF(AND($BE778&gt;0,N(INDEX(Instruments!$D$6:$D$205,MAX(1,$BE778)))&gt;0),INDEX(Instruments!$D$6:$D$205,MAX(1,$BE778)),IF(N(INDEX(Settings!$D$14:$D$18,$BF778))&gt;0,INDEX(Settings!$D$14:$D$18,$BF778),"")))</f>
        <v/>
      </c>
      <c r="AH778" s="54" t="str">
        <f>IF($AM778=0,"",IF($AF778&lt;&gt;"Forex",1,IF(MID(UPPER(SUBSTITUTE(TRIM($E778),"/","")),4,3)=UPPER(TRIM(Settings!$C$7)),1,IF(LEFT(UPPER(SUBSTITUTE(TRIM($E778),"/","")),3)=UPPER(TRIM(Settings!$C$7)),IF(AND(ISNUMBER($K778),N($K778)&lt;&gt;0),1/$K778,""),""))))</f>
        <v/>
      </c>
      <c r="AI778" s="55" t="str">
        <f>IF($AM778=0,"",IF(OR(NOT(ISNUMBER($H778)),NOT(ISNUMBER($K778)),NOT(ISNUMBER($G778)),$AG778="",$AH778=""),"",ROUND(($K778-$H778)*IF($F778="Short",-1,1)*$G778*$AG778*$AH778,6)))</f>
        <v/>
      </c>
      <c r="AJ778" s="55" t="str">
        <f>IF($AM778=0,"",IF(INDEX(Settings!$E$14:$E$18,$BF778)="% of notional",IF(OR($AG778="",NOT(ISNUMBER($H778)),NOT(ISNUMBER($G778))),"",ROUND(ABS($H778*$G778*$AG778*N($AH778))*IF($L778="Limit",N(INDEX(Settings!$G$14:$G$18,$BF778)),N(INDEX(Settings!$H$14:$H$18,$BF778)))+IF(ISNUMBER($K778),ABS($K778*$G778*$AG778*N($AH778))*IF($M778="Target",N(INDEX(Settings!$G$14:$G$18,$BF778)),N(INDEX(Settings!$H$14:$H$18,$BF778))),0),6)),IF(NOT(ISNUMBER($G778)),"",ROUND(ABS($G778)*2*IF(AND($BE778&gt;0,ISNUMBER(INDEX(Instruments!$G$6:$G$205,MAX(1,$BE778)))),INDEX(Instruments!$G$6:$G$205,MAX(1,$BE778)),N(INDEX(Settings!$F$14:$F$18,$BF778))),6))))</f>
        <v/>
      </c>
      <c r="AK778" s="55" t="str">
        <f>IF($AM778=0,"",IF(ISNUMBER($O778),$O778,$AI778))</f>
        <v/>
      </c>
      <c r="AL778" s="55" t="str">
        <f>IF($AM778=0,"",IF(ISNUMBER($P778),$P778,N($AJ778)))</f>
        <v/>
      </c>
      <c r="AM778" s="56">
        <f>IF(AND($A778&lt;&gt;"",$E778&lt;&gt;"",OR(AND(ISNUMBER($G778),ISNUMBER($H778),ISNUMBER($K778)),ISNUMBER($O778))),1,0)</f>
        <v>0</v>
      </c>
      <c r="AN778" s="57" t="str">
        <f>IF($A778="","",$A778-WEEKDAY($A778,3))</f>
        <v/>
      </c>
      <c r="AO778" s="56" t="str">
        <f>IF($A778="","",WEEKDAY($A778,2))</f>
        <v/>
      </c>
      <c r="AP778" s="55" t="str">
        <f>IF(OR($AM778=0,$C778=""),"",IFERROR(N(INDEX(Accounts!$E$7:$E$16,MATCH($C778,Accounts!$B$7:$B$16,0))),0)+SUMIFS($Q$6:$Q778,$C$6:$C778,$C778))</f>
        <v/>
      </c>
      <c r="AQ778" s="55" t="str">
        <f>IF(OR($AM778=0,$C778=""),"",SUMIFS($Q$6:$Q$1005,$C$6:$C$1005,$C778,$A$6:$A$1005,$A778))</f>
        <v/>
      </c>
      <c r="AR778" s="55" t="str">
        <f>IF(OR($AM778=0,$C778=""),"",IFERROR(N(INDEX(Accounts!$E$7:$E$16,MATCH($C778,Accounts!$B$7:$B$16,0))),0)+SUMIFS($Q$6:$Q$1005,$C$6:$C$1005,$C778,$A$6:$A$1005,"&lt;="&amp;$A778))</f>
        <v/>
      </c>
      <c r="AS778" s="56">
        <f>IF(OR($AM778=0,$Q778=""),0,IF(AND($A778&gt;=Lists!$W$6,$A778&lt;=Lists!$W$7,OR(Dashboard!$D$6="All accounts",$C778=Dashboard!$D$6),OR(Dashboard!$D$7="All markets",$AF778=Dashboard!$D$7)),1,0))</f>
        <v>0</v>
      </c>
      <c r="AT778" s="55">
        <f>IF($AS778=1,N(AT777)+$Q778,N(AT777))</f>
        <v>1187.10688</v>
      </c>
      <c r="AU778" s="55">
        <f>MAX(N(AU777),$AT778)</f>
        <v>1187.10688</v>
      </c>
      <c r="AV778" s="55">
        <f>$AT778-$AU778</f>
        <v>0</v>
      </c>
      <c r="AW778" s="56">
        <f>IF($AS778=1,IF($S778="Win",N(AW777)+1,IF($S778="Loss",0,N(AW777))),N(AW777))</f>
        <v>5</v>
      </c>
      <c r="AX778" s="56">
        <f>IF($AS778=1,IF($S778="Loss",N(AX777)+1,IF($S778="Win",0,N(AX777))),N(AX777))</f>
        <v>0</v>
      </c>
      <c r="AY778" s="56" t="str">
        <f>IF($AS778=1,COUNTIF($AS$6:$AS778,1),"")</f>
        <v/>
      </c>
      <c r="AZ778" s="56">
        <f>MIN(772,N(Lists!$W$8))</f>
        <v>28</v>
      </c>
      <c r="BA778" s="56">
        <f>IF($AS778=1,IF(COUNTIFS($A$6:$A778,$A778,$AS$6:$AS778,1)=1,1,0),0)</f>
        <v>0</v>
      </c>
      <c r="BB778" s="55" t="str">
        <f>IF($BA778=1,SUMIFS($Q$6:$Q$1005,$A$6:$A$1005,$A778,$AS$6:$AS$1005,1),"")</f>
        <v/>
      </c>
      <c r="BC778" s="56">
        <f>IF(ISNUMBER($R778),1,0)</f>
        <v>0</v>
      </c>
      <c r="BD778" s="55" t="str">
        <f>IF(ISNUMBER($U778),$U778*$V778,"")</f>
        <v/>
      </c>
      <c r="BE778" s="56" t="str">
        <f>IF($AM778=0,"",IFERROR(MATCH($AF778&amp;"|"&amp;UPPER(TRIM($E778)),Lists!$A$6:$A$205,0),0))</f>
        <v/>
      </c>
      <c r="BF778" s="56" t="str">
        <f>IF($AM778=0,"",IFERROR(MATCH($AF778,Settings!$B$14:$B$18,0),IFERROR(MATCH(Settings!$C$6,Settings!$B$14:$B$18,0),1)))</f>
        <v/>
      </c>
      <c r="BG778" s="58" t="str">
        <f>IF($AM778=0,"",IF(NOT(ISNUMBER($I778)),"No stop; ","")&amp;IF(AND(ISNUMBER($H778),ISNUMBER($I778)),IF(OR(AND($F778&lt;&gt;"Short",$I778&gt;=$H778),AND($F778="Short",$I778&lt;=$H778)),"Stop on wrong side; ",""),"")&amp;IF($F778="","No direction; ","")&amp;IF(AND(ISNUMBER(Settings!$C$22),ISNUMBER($V778)),IF($V778&gt;Settings!$C$22,"Risk over max $; ",""),"")&amp;IF(AND(ISNUMBER(Settings!$C$23),ISNUMBER($V778),ISNUMBER($AP778),IFERROR(N(INDEX(Accounts!$E$7:$E$16,MATCH($C778,Accounts!$B$7:$B$16,0))),0)&gt;0),IF($V778&gt;Settings!$C$23*($AP778-N($Q778)),"Risk over max %; ",""),"")&amp;IF(AND(ISNUMBER(Settings!$C$24),ISNUMBER($N778)),IF($N778&gt;Settings!$C$24,"Leverage over max; ",""),"")&amp;IF(AND(ISNUMBER(Settings!$C$27),ISNUMBER($T778)),IF($T778&lt;Settings!$C$27,"R:R below min; ",""),"")&amp;IF(ISNUMBER(Settings!$C$25),IF(COUNTIFS($A$6:$A778,$A778,$AM$6:$AM778,1)&gt;Settings!$C$25,"Over max trades/day; ",""),"")&amp;IF(ISNUMBER(Settings!$C$26),IF(SUMIFS($Q$5:$Q777,$A$5:$A777,$A778)&lt;=-Settings!$C$26,"Traded after daily max loss; ",""),"")&amp;IF(AND($AG778="",NOT(ISNUMBER($O778))),"Symbol not in Instruments; ","")&amp;IF(AND($AH778="",NOT(ISNUMBER($O778))),"Forex cross: type Gross P&amp;L; ",""))</f>
        <v/>
      </c>
      <c r="BH778" s="56">
        <f>IF(ISNUMBER($Q778),1,0)</f>
        <v>0</v>
      </c>
      <c r="BI778" s="56">
        <f>IF($Y778="",0,1)</f>
        <v>0</v>
      </c>
      <c r="BJ778" s="56">
        <f>IF($AB778="",0,1)</f>
        <v>0</v>
      </c>
      <c r="BK778" s="56">
        <f>IF(AND($BH778=1,$W778&lt;&gt;"OK"),1,0)</f>
        <v>0</v>
      </c>
      <c r="BL778" s="55">
        <f>IF(N($AZ778)=0,0,IFERROR(INDEX($AT$6:$AT$1005,MATCH($AZ778,$AY$6:$AY$1005,0)),0))</f>
        <v>1187.10688</v>
      </c>
      <c r="BM778" s="56">
        <f>IF(ISNUMBER(SEARCH("daily max loss",$BG778)),1,0)</f>
        <v>0</v>
      </c>
    </row>
    <row r="779" ht="18" customHeight="1">
      <c r="A779" s="38" t="n"/>
      <c r="B779" s="39" t="n"/>
      <c r="C779" s="40" t="n"/>
      <c r="D779" s="41" t="n"/>
      <c r="E779" s="41" t="n"/>
      <c r="F779" s="41" t="n"/>
      <c r="G779" s="41" t="n"/>
      <c r="H779" s="42" t="n"/>
      <c r="I779" s="42" t="n"/>
      <c r="J779" s="42" t="n"/>
      <c r="K779" s="42" t="n"/>
      <c r="L779" s="41" t="n"/>
      <c r="M779" s="41" t="n"/>
      <c r="N779" s="41" t="n"/>
      <c r="O779" s="43" t="n"/>
      <c r="P779" s="43" t="n"/>
      <c r="Q779" s="44" t="str">
        <f>IF($AM779=0,"",IF(ISNUMBER($AK779),$AK779-N($AL779),""))</f>
        <v/>
      </c>
      <c r="R779" s="45" t="str">
        <f>IF(OR($Q779="",NOT(ISNUMBER($V779))),"",$AK779/$V779)</f>
        <v/>
      </c>
      <c r="S779" s="46" t="str">
        <f>IF($Q779="","",IF(AND(ISNUMBER($R779),ABS(N($R779))&lt;N(Settings!$C$8)),"Scratch",IF($Q779&gt;0,"Win",IF($Q779&lt;0,"Loss","Scratch"))))</f>
        <v/>
      </c>
      <c r="T779" s="47" t="str">
        <f>IF(OR($AM779=0,NOT(ISNUMBER($H779)),NOT(ISNUMBER($I779)),NOT(ISNUMBER($J779))),"",IF($H779=$I779,"",ROUND(ABS($J779-$H779)/ABS($H779-$I779),6)))</f>
        <v/>
      </c>
      <c r="U779" s="48" t="str">
        <f>IF(OR($S779&lt;&gt;"Win",NOT(ISNUMBER($T779)),NOT(ISNUMBER($R779))),"",MAX(0,$T779-$R779))</f>
        <v/>
      </c>
      <c r="V779" s="49" t="str">
        <f>IF(OR($AM779=0,NOT(ISNUMBER($H779)),NOT(ISNUMBER($I779)),NOT(ISNUMBER($G779))),"",IF(OR($AG779="",$AH779=""),"",IF(ROUND(ABS($H779-$I779)*ABS($G779)*$AG779*$AH779,6)=0,"",ROUND(ABS($H779-$I779)*ABS($G779)*$AG779*$AH779,6))))</f>
        <v/>
      </c>
      <c r="W779" s="50" t="str">
        <f>IF($AM779=0,"",IF($BG779="","OK",LEFT($BG779,LEN($BG779)-2)))</f>
        <v/>
      </c>
      <c r="X779" s="41" t="n"/>
      <c r="Y779" s="40" t="n"/>
      <c r="Z779" s="41" t="n"/>
      <c r="AA779" s="41" t="n"/>
      <c r="AB779" s="40" t="n"/>
      <c r="AC779" s="51" t="n"/>
      <c r="AD779" s="51" t="n"/>
      <c r="AE779" s="40" t="n"/>
      <c r="AF779" s="52" t="str">
        <f>IF($AM779=0,"",IF($D779&lt;&gt;"",$D779,IF(IFERROR(INDEX(Accounts!$C$7:$C$16,MATCH($C779,Accounts!$B$7:$B$16,0))&amp;"","")&lt;&gt;"",INDEX(Accounts!$C$7:$C$16,MATCH($C779,Accounts!$B$7:$B$16,0)),Settings!$C$6)))</f>
        <v/>
      </c>
      <c r="AG779" s="53" t="str">
        <f>IF($AM779=0,"",IF(AND($BE779&gt;0,N(INDEX(Instruments!$D$6:$D$205,MAX(1,$BE779)))&gt;0),INDEX(Instruments!$D$6:$D$205,MAX(1,$BE779)),IF(N(INDEX(Settings!$D$14:$D$18,$BF779))&gt;0,INDEX(Settings!$D$14:$D$18,$BF779),"")))</f>
        <v/>
      </c>
      <c r="AH779" s="54" t="str">
        <f>IF($AM779=0,"",IF($AF779&lt;&gt;"Forex",1,IF(MID(UPPER(SUBSTITUTE(TRIM($E779),"/","")),4,3)=UPPER(TRIM(Settings!$C$7)),1,IF(LEFT(UPPER(SUBSTITUTE(TRIM($E779),"/","")),3)=UPPER(TRIM(Settings!$C$7)),IF(AND(ISNUMBER($K779),N($K779)&lt;&gt;0),1/$K779,""),""))))</f>
        <v/>
      </c>
      <c r="AI779" s="55" t="str">
        <f>IF($AM779=0,"",IF(OR(NOT(ISNUMBER($H779)),NOT(ISNUMBER($K779)),NOT(ISNUMBER($G779)),$AG779="",$AH779=""),"",ROUND(($K779-$H779)*IF($F779="Short",-1,1)*$G779*$AG779*$AH779,6)))</f>
        <v/>
      </c>
      <c r="AJ779" s="55" t="str">
        <f>IF($AM779=0,"",IF(INDEX(Settings!$E$14:$E$18,$BF779)="% of notional",IF(OR($AG779="",NOT(ISNUMBER($H779)),NOT(ISNUMBER($G779))),"",ROUND(ABS($H779*$G779*$AG779*N($AH779))*IF($L779="Limit",N(INDEX(Settings!$G$14:$G$18,$BF779)),N(INDEX(Settings!$H$14:$H$18,$BF779)))+IF(ISNUMBER($K779),ABS($K779*$G779*$AG779*N($AH779))*IF($M779="Target",N(INDEX(Settings!$G$14:$G$18,$BF779)),N(INDEX(Settings!$H$14:$H$18,$BF779))),0),6)),IF(NOT(ISNUMBER($G779)),"",ROUND(ABS($G779)*2*IF(AND($BE779&gt;0,ISNUMBER(INDEX(Instruments!$G$6:$G$205,MAX(1,$BE779)))),INDEX(Instruments!$G$6:$G$205,MAX(1,$BE779)),N(INDEX(Settings!$F$14:$F$18,$BF779))),6))))</f>
        <v/>
      </c>
      <c r="AK779" s="55" t="str">
        <f>IF($AM779=0,"",IF(ISNUMBER($O779),$O779,$AI779))</f>
        <v/>
      </c>
      <c r="AL779" s="55" t="str">
        <f>IF($AM779=0,"",IF(ISNUMBER($P779),$P779,N($AJ779)))</f>
        <v/>
      </c>
      <c r="AM779" s="56">
        <f>IF(AND($A779&lt;&gt;"",$E779&lt;&gt;"",OR(AND(ISNUMBER($G779),ISNUMBER($H779),ISNUMBER($K779)),ISNUMBER($O779))),1,0)</f>
        <v>0</v>
      </c>
      <c r="AN779" s="57" t="str">
        <f>IF($A779="","",$A779-WEEKDAY($A779,3))</f>
        <v/>
      </c>
      <c r="AO779" s="56" t="str">
        <f>IF($A779="","",WEEKDAY($A779,2))</f>
        <v/>
      </c>
      <c r="AP779" s="55" t="str">
        <f>IF(OR($AM779=0,$C779=""),"",IFERROR(N(INDEX(Accounts!$E$7:$E$16,MATCH($C779,Accounts!$B$7:$B$16,0))),0)+SUMIFS($Q$6:$Q779,$C$6:$C779,$C779))</f>
        <v/>
      </c>
      <c r="AQ779" s="55" t="str">
        <f>IF(OR($AM779=0,$C779=""),"",SUMIFS($Q$6:$Q$1005,$C$6:$C$1005,$C779,$A$6:$A$1005,$A779))</f>
        <v/>
      </c>
      <c r="AR779" s="55" t="str">
        <f>IF(OR($AM779=0,$C779=""),"",IFERROR(N(INDEX(Accounts!$E$7:$E$16,MATCH($C779,Accounts!$B$7:$B$16,0))),0)+SUMIFS($Q$6:$Q$1005,$C$6:$C$1005,$C779,$A$6:$A$1005,"&lt;="&amp;$A779))</f>
        <v/>
      </c>
      <c r="AS779" s="56">
        <f>IF(OR($AM779=0,$Q779=""),0,IF(AND($A779&gt;=Lists!$W$6,$A779&lt;=Lists!$W$7,OR(Dashboard!$D$6="All accounts",$C779=Dashboard!$D$6),OR(Dashboard!$D$7="All markets",$AF779=Dashboard!$D$7)),1,0))</f>
        <v>0</v>
      </c>
      <c r="AT779" s="55">
        <f>IF($AS779=1,N(AT778)+$Q779,N(AT778))</f>
        <v>1187.10688</v>
      </c>
      <c r="AU779" s="55">
        <f>MAX(N(AU778),$AT779)</f>
        <v>1187.10688</v>
      </c>
      <c r="AV779" s="55">
        <f>$AT779-$AU779</f>
        <v>0</v>
      </c>
      <c r="AW779" s="56">
        <f>IF($AS779=1,IF($S779="Win",N(AW778)+1,IF($S779="Loss",0,N(AW778))),N(AW778))</f>
        <v>5</v>
      </c>
      <c r="AX779" s="56">
        <f>IF($AS779=1,IF($S779="Loss",N(AX778)+1,IF($S779="Win",0,N(AX778))),N(AX778))</f>
        <v>0</v>
      </c>
      <c r="AY779" s="56" t="str">
        <f>IF($AS779=1,COUNTIF($AS$6:$AS779,1),"")</f>
        <v/>
      </c>
      <c r="AZ779" s="56">
        <f>MIN(773,N(Lists!$W$8))</f>
        <v>28</v>
      </c>
      <c r="BA779" s="56">
        <f>IF($AS779=1,IF(COUNTIFS($A$6:$A779,$A779,$AS$6:$AS779,1)=1,1,0),0)</f>
        <v>0</v>
      </c>
      <c r="BB779" s="55" t="str">
        <f>IF($BA779=1,SUMIFS($Q$6:$Q$1005,$A$6:$A$1005,$A779,$AS$6:$AS$1005,1),"")</f>
        <v/>
      </c>
      <c r="BC779" s="56">
        <f>IF(ISNUMBER($R779),1,0)</f>
        <v>0</v>
      </c>
      <c r="BD779" s="55" t="str">
        <f>IF(ISNUMBER($U779),$U779*$V779,"")</f>
        <v/>
      </c>
      <c r="BE779" s="56" t="str">
        <f>IF($AM779=0,"",IFERROR(MATCH($AF779&amp;"|"&amp;UPPER(TRIM($E779)),Lists!$A$6:$A$205,0),0))</f>
        <v/>
      </c>
      <c r="BF779" s="56" t="str">
        <f>IF($AM779=0,"",IFERROR(MATCH($AF779,Settings!$B$14:$B$18,0),IFERROR(MATCH(Settings!$C$6,Settings!$B$14:$B$18,0),1)))</f>
        <v/>
      </c>
      <c r="BG779" s="58" t="str">
        <f>IF($AM779=0,"",IF(NOT(ISNUMBER($I779)),"No stop; ","")&amp;IF(AND(ISNUMBER($H779),ISNUMBER($I779)),IF(OR(AND($F779&lt;&gt;"Short",$I779&gt;=$H779),AND($F779="Short",$I779&lt;=$H779)),"Stop on wrong side; ",""),"")&amp;IF($F779="","No direction; ","")&amp;IF(AND(ISNUMBER(Settings!$C$22),ISNUMBER($V779)),IF($V779&gt;Settings!$C$22,"Risk over max $; ",""),"")&amp;IF(AND(ISNUMBER(Settings!$C$23),ISNUMBER($V779),ISNUMBER($AP779),IFERROR(N(INDEX(Accounts!$E$7:$E$16,MATCH($C779,Accounts!$B$7:$B$16,0))),0)&gt;0),IF($V779&gt;Settings!$C$23*($AP779-N($Q779)),"Risk over max %; ",""),"")&amp;IF(AND(ISNUMBER(Settings!$C$24),ISNUMBER($N779)),IF($N779&gt;Settings!$C$24,"Leverage over max; ",""),"")&amp;IF(AND(ISNUMBER(Settings!$C$27),ISNUMBER($T779)),IF($T779&lt;Settings!$C$27,"R:R below min; ",""),"")&amp;IF(ISNUMBER(Settings!$C$25),IF(COUNTIFS($A$6:$A779,$A779,$AM$6:$AM779,1)&gt;Settings!$C$25,"Over max trades/day; ",""),"")&amp;IF(ISNUMBER(Settings!$C$26),IF(SUMIFS($Q$5:$Q778,$A$5:$A778,$A779)&lt;=-Settings!$C$26,"Traded after daily max loss; ",""),"")&amp;IF(AND($AG779="",NOT(ISNUMBER($O779))),"Symbol not in Instruments; ","")&amp;IF(AND($AH779="",NOT(ISNUMBER($O779))),"Forex cross: type Gross P&amp;L; ",""))</f>
        <v/>
      </c>
      <c r="BH779" s="56">
        <f>IF(ISNUMBER($Q779),1,0)</f>
        <v>0</v>
      </c>
      <c r="BI779" s="56">
        <f>IF($Y779="",0,1)</f>
        <v>0</v>
      </c>
      <c r="BJ779" s="56">
        <f>IF($AB779="",0,1)</f>
        <v>0</v>
      </c>
      <c r="BK779" s="56">
        <f>IF(AND($BH779=1,$W779&lt;&gt;"OK"),1,0)</f>
        <v>0</v>
      </c>
      <c r="BL779" s="55">
        <f>IF(N($AZ779)=0,0,IFERROR(INDEX($AT$6:$AT$1005,MATCH($AZ779,$AY$6:$AY$1005,0)),0))</f>
        <v>1187.10688</v>
      </c>
      <c r="BM779" s="56">
        <f>IF(ISNUMBER(SEARCH("daily max loss",$BG779)),1,0)</f>
        <v>0</v>
      </c>
    </row>
    <row r="780" ht="18" customHeight="1">
      <c r="A780" s="38" t="n"/>
      <c r="B780" s="39" t="n"/>
      <c r="C780" s="40" t="n"/>
      <c r="D780" s="41" t="n"/>
      <c r="E780" s="41" t="n"/>
      <c r="F780" s="41" t="n"/>
      <c r="G780" s="41" t="n"/>
      <c r="H780" s="42" t="n"/>
      <c r="I780" s="42" t="n"/>
      <c r="J780" s="42" t="n"/>
      <c r="K780" s="42" t="n"/>
      <c r="L780" s="41" t="n"/>
      <c r="M780" s="41" t="n"/>
      <c r="N780" s="41" t="n"/>
      <c r="O780" s="43" t="n"/>
      <c r="P780" s="43" t="n"/>
      <c r="Q780" s="44" t="str">
        <f>IF($AM780=0,"",IF(ISNUMBER($AK780),$AK780-N($AL780),""))</f>
        <v/>
      </c>
      <c r="R780" s="45" t="str">
        <f>IF(OR($Q780="",NOT(ISNUMBER($V780))),"",$AK780/$V780)</f>
        <v/>
      </c>
      <c r="S780" s="46" t="str">
        <f>IF($Q780="","",IF(AND(ISNUMBER($R780),ABS(N($R780))&lt;N(Settings!$C$8)),"Scratch",IF($Q780&gt;0,"Win",IF($Q780&lt;0,"Loss","Scratch"))))</f>
        <v/>
      </c>
      <c r="T780" s="47" t="str">
        <f>IF(OR($AM780=0,NOT(ISNUMBER($H780)),NOT(ISNUMBER($I780)),NOT(ISNUMBER($J780))),"",IF($H780=$I780,"",ROUND(ABS($J780-$H780)/ABS($H780-$I780),6)))</f>
        <v/>
      </c>
      <c r="U780" s="48" t="str">
        <f>IF(OR($S780&lt;&gt;"Win",NOT(ISNUMBER($T780)),NOT(ISNUMBER($R780))),"",MAX(0,$T780-$R780))</f>
        <v/>
      </c>
      <c r="V780" s="49" t="str">
        <f>IF(OR($AM780=0,NOT(ISNUMBER($H780)),NOT(ISNUMBER($I780)),NOT(ISNUMBER($G780))),"",IF(OR($AG780="",$AH780=""),"",IF(ROUND(ABS($H780-$I780)*ABS($G780)*$AG780*$AH780,6)=0,"",ROUND(ABS($H780-$I780)*ABS($G780)*$AG780*$AH780,6))))</f>
        <v/>
      </c>
      <c r="W780" s="50" t="str">
        <f>IF($AM780=0,"",IF($BG780="","OK",LEFT($BG780,LEN($BG780)-2)))</f>
        <v/>
      </c>
      <c r="X780" s="41" t="n"/>
      <c r="Y780" s="40" t="n"/>
      <c r="Z780" s="41" t="n"/>
      <c r="AA780" s="41" t="n"/>
      <c r="AB780" s="40" t="n"/>
      <c r="AC780" s="51" t="n"/>
      <c r="AD780" s="51" t="n"/>
      <c r="AE780" s="40" t="n"/>
      <c r="AF780" s="52" t="str">
        <f>IF($AM780=0,"",IF($D780&lt;&gt;"",$D780,IF(IFERROR(INDEX(Accounts!$C$7:$C$16,MATCH($C780,Accounts!$B$7:$B$16,0))&amp;"","")&lt;&gt;"",INDEX(Accounts!$C$7:$C$16,MATCH($C780,Accounts!$B$7:$B$16,0)),Settings!$C$6)))</f>
        <v/>
      </c>
      <c r="AG780" s="53" t="str">
        <f>IF($AM780=0,"",IF(AND($BE780&gt;0,N(INDEX(Instruments!$D$6:$D$205,MAX(1,$BE780)))&gt;0),INDEX(Instruments!$D$6:$D$205,MAX(1,$BE780)),IF(N(INDEX(Settings!$D$14:$D$18,$BF780))&gt;0,INDEX(Settings!$D$14:$D$18,$BF780),"")))</f>
        <v/>
      </c>
      <c r="AH780" s="54" t="str">
        <f>IF($AM780=0,"",IF($AF780&lt;&gt;"Forex",1,IF(MID(UPPER(SUBSTITUTE(TRIM($E780),"/","")),4,3)=UPPER(TRIM(Settings!$C$7)),1,IF(LEFT(UPPER(SUBSTITUTE(TRIM($E780),"/","")),3)=UPPER(TRIM(Settings!$C$7)),IF(AND(ISNUMBER($K780),N($K780)&lt;&gt;0),1/$K780,""),""))))</f>
        <v/>
      </c>
      <c r="AI780" s="55" t="str">
        <f>IF($AM780=0,"",IF(OR(NOT(ISNUMBER($H780)),NOT(ISNUMBER($K780)),NOT(ISNUMBER($G780)),$AG780="",$AH780=""),"",ROUND(($K780-$H780)*IF($F780="Short",-1,1)*$G780*$AG780*$AH780,6)))</f>
        <v/>
      </c>
      <c r="AJ780" s="55" t="str">
        <f>IF($AM780=0,"",IF(INDEX(Settings!$E$14:$E$18,$BF780)="% of notional",IF(OR($AG780="",NOT(ISNUMBER($H780)),NOT(ISNUMBER($G780))),"",ROUND(ABS($H780*$G780*$AG780*N($AH780))*IF($L780="Limit",N(INDEX(Settings!$G$14:$G$18,$BF780)),N(INDEX(Settings!$H$14:$H$18,$BF780)))+IF(ISNUMBER($K780),ABS($K780*$G780*$AG780*N($AH780))*IF($M780="Target",N(INDEX(Settings!$G$14:$G$18,$BF780)),N(INDEX(Settings!$H$14:$H$18,$BF780))),0),6)),IF(NOT(ISNUMBER($G780)),"",ROUND(ABS($G780)*2*IF(AND($BE780&gt;0,ISNUMBER(INDEX(Instruments!$G$6:$G$205,MAX(1,$BE780)))),INDEX(Instruments!$G$6:$G$205,MAX(1,$BE780)),N(INDEX(Settings!$F$14:$F$18,$BF780))),6))))</f>
        <v/>
      </c>
      <c r="AK780" s="55" t="str">
        <f>IF($AM780=0,"",IF(ISNUMBER($O780),$O780,$AI780))</f>
        <v/>
      </c>
      <c r="AL780" s="55" t="str">
        <f>IF($AM780=0,"",IF(ISNUMBER($P780),$P780,N($AJ780)))</f>
        <v/>
      </c>
      <c r="AM780" s="56">
        <f>IF(AND($A780&lt;&gt;"",$E780&lt;&gt;"",OR(AND(ISNUMBER($G780),ISNUMBER($H780),ISNUMBER($K780)),ISNUMBER($O780))),1,0)</f>
        <v>0</v>
      </c>
      <c r="AN780" s="57" t="str">
        <f>IF($A780="","",$A780-WEEKDAY($A780,3))</f>
        <v/>
      </c>
      <c r="AO780" s="56" t="str">
        <f>IF($A780="","",WEEKDAY($A780,2))</f>
        <v/>
      </c>
      <c r="AP780" s="55" t="str">
        <f>IF(OR($AM780=0,$C780=""),"",IFERROR(N(INDEX(Accounts!$E$7:$E$16,MATCH($C780,Accounts!$B$7:$B$16,0))),0)+SUMIFS($Q$6:$Q780,$C$6:$C780,$C780))</f>
        <v/>
      </c>
      <c r="AQ780" s="55" t="str">
        <f>IF(OR($AM780=0,$C780=""),"",SUMIFS($Q$6:$Q$1005,$C$6:$C$1005,$C780,$A$6:$A$1005,$A780))</f>
        <v/>
      </c>
      <c r="AR780" s="55" t="str">
        <f>IF(OR($AM780=0,$C780=""),"",IFERROR(N(INDEX(Accounts!$E$7:$E$16,MATCH($C780,Accounts!$B$7:$B$16,0))),0)+SUMIFS($Q$6:$Q$1005,$C$6:$C$1005,$C780,$A$6:$A$1005,"&lt;="&amp;$A780))</f>
        <v/>
      </c>
      <c r="AS780" s="56">
        <f>IF(OR($AM780=0,$Q780=""),0,IF(AND($A780&gt;=Lists!$W$6,$A780&lt;=Lists!$W$7,OR(Dashboard!$D$6="All accounts",$C780=Dashboard!$D$6),OR(Dashboard!$D$7="All markets",$AF780=Dashboard!$D$7)),1,0))</f>
        <v>0</v>
      </c>
      <c r="AT780" s="55">
        <f>IF($AS780=1,N(AT779)+$Q780,N(AT779))</f>
        <v>1187.10688</v>
      </c>
      <c r="AU780" s="55">
        <f>MAX(N(AU779),$AT780)</f>
        <v>1187.10688</v>
      </c>
      <c r="AV780" s="55">
        <f>$AT780-$AU780</f>
        <v>0</v>
      </c>
      <c r="AW780" s="56">
        <f>IF($AS780=1,IF($S780="Win",N(AW779)+1,IF($S780="Loss",0,N(AW779))),N(AW779))</f>
        <v>5</v>
      </c>
      <c r="AX780" s="56">
        <f>IF($AS780=1,IF($S780="Loss",N(AX779)+1,IF($S780="Win",0,N(AX779))),N(AX779))</f>
        <v>0</v>
      </c>
      <c r="AY780" s="56" t="str">
        <f>IF($AS780=1,COUNTIF($AS$6:$AS780,1),"")</f>
        <v/>
      </c>
      <c r="AZ780" s="56">
        <f>MIN(774,N(Lists!$W$8))</f>
        <v>28</v>
      </c>
      <c r="BA780" s="56">
        <f>IF($AS780=1,IF(COUNTIFS($A$6:$A780,$A780,$AS$6:$AS780,1)=1,1,0),0)</f>
        <v>0</v>
      </c>
      <c r="BB780" s="55" t="str">
        <f>IF($BA780=1,SUMIFS($Q$6:$Q$1005,$A$6:$A$1005,$A780,$AS$6:$AS$1005,1),"")</f>
        <v/>
      </c>
      <c r="BC780" s="56">
        <f>IF(ISNUMBER($R780),1,0)</f>
        <v>0</v>
      </c>
      <c r="BD780" s="55" t="str">
        <f>IF(ISNUMBER($U780),$U780*$V780,"")</f>
        <v/>
      </c>
      <c r="BE780" s="56" t="str">
        <f>IF($AM780=0,"",IFERROR(MATCH($AF780&amp;"|"&amp;UPPER(TRIM($E780)),Lists!$A$6:$A$205,0),0))</f>
        <v/>
      </c>
      <c r="BF780" s="56" t="str">
        <f>IF($AM780=0,"",IFERROR(MATCH($AF780,Settings!$B$14:$B$18,0),IFERROR(MATCH(Settings!$C$6,Settings!$B$14:$B$18,0),1)))</f>
        <v/>
      </c>
      <c r="BG780" s="58" t="str">
        <f>IF($AM780=0,"",IF(NOT(ISNUMBER($I780)),"No stop; ","")&amp;IF(AND(ISNUMBER($H780),ISNUMBER($I780)),IF(OR(AND($F780&lt;&gt;"Short",$I780&gt;=$H780),AND($F780="Short",$I780&lt;=$H780)),"Stop on wrong side; ",""),"")&amp;IF($F780="","No direction; ","")&amp;IF(AND(ISNUMBER(Settings!$C$22),ISNUMBER($V780)),IF($V780&gt;Settings!$C$22,"Risk over max $; ",""),"")&amp;IF(AND(ISNUMBER(Settings!$C$23),ISNUMBER($V780),ISNUMBER($AP780),IFERROR(N(INDEX(Accounts!$E$7:$E$16,MATCH($C780,Accounts!$B$7:$B$16,0))),0)&gt;0),IF($V780&gt;Settings!$C$23*($AP780-N($Q780)),"Risk over max %; ",""),"")&amp;IF(AND(ISNUMBER(Settings!$C$24),ISNUMBER($N780)),IF($N780&gt;Settings!$C$24,"Leverage over max; ",""),"")&amp;IF(AND(ISNUMBER(Settings!$C$27),ISNUMBER($T780)),IF($T780&lt;Settings!$C$27,"R:R below min; ",""),"")&amp;IF(ISNUMBER(Settings!$C$25),IF(COUNTIFS($A$6:$A780,$A780,$AM$6:$AM780,1)&gt;Settings!$C$25,"Over max trades/day; ",""),"")&amp;IF(ISNUMBER(Settings!$C$26),IF(SUMIFS($Q$5:$Q779,$A$5:$A779,$A780)&lt;=-Settings!$C$26,"Traded after daily max loss; ",""),"")&amp;IF(AND($AG780="",NOT(ISNUMBER($O780))),"Symbol not in Instruments; ","")&amp;IF(AND($AH780="",NOT(ISNUMBER($O780))),"Forex cross: type Gross P&amp;L; ",""))</f>
        <v/>
      </c>
      <c r="BH780" s="56">
        <f>IF(ISNUMBER($Q780),1,0)</f>
        <v>0</v>
      </c>
      <c r="BI780" s="56">
        <f>IF($Y780="",0,1)</f>
        <v>0</v>
      </c>
      <c r="BJ780" s="56">
        <f>IF($AB780="",0,1)</f>
        <v>0</v>
      </c>
      <c r="BK780" s="56">
        <f>IF(AND($BH780=1,$W780&lt;&gt;"OK"),1,0)</f>
        <v>0</v>
      </c>
      <c r="BL780" s="55">
        <f>IF(N($AZ780)=0,0,IFERROR(INDEX($AT$6:$AT$1005,MATCH($AZ780,$AY$6:$AY$1005,0)),0))</f>
        <v>1187.10688</v>
      </c>
      <c r="BM780" s="56">
        <f>IF(ISNUMBER(SEARCH("daily max loss",$BG780)),1,0)</f>
        <v>0</v>
      </c>
    </row>
    <row r="781" ht="18" customHeight="1">
      <c r="A781" s="38" t="n"/>
      <c r="B781" s="39" t="n"/>
      <c r="C781" s="40" t="n"/>
      <c r="D781" s="41" t="n"/>
      <c r="E781" s="41" t="n"/>
      <c r="F781" s="41" t="n"/>
      <c r="G781" s="41" t="n"/>
      <c r="H781" s="42" t="n"/>
      <c r="I781" s="42" t="n"/>
      <c r="J781" s="42" t="n"/>
      <c r="K781" s="42" t="n"/>
      <c r="L781" s="41" t="n"/>
      <c r="M781" s="41" t="n"/>
      <c r="N781" s="41" t="n"/>
      <c r="O781" s="43" t="n"/>
      <c r="P781" s="43" t="n"/>
      <c r="Q781" s="44" t="str">
        <f>IF($AM781=0,"",IF(ISNUMBER($AK781),$AK781-N($AL781),""))</f>
        <v/>
      </c>
      <c r="R781" s="45" t="str">
        <f>IF(OR($Q781="",NOT(ISNUMBER($V781))),"",$AK781/$V781)</f>
        <v/>
      </c>
      <c r="S781" s="46" t="str">
        <f>IF($Q781="","",IF(AND(ISNUMBER($R781),ABS(N($R781))&lt;N(Settings!$C$8)),"Scratch",IF($Q781&gt;0,"Win",IF($Q781&lt;0,"Loss","Scratch"))))</f>
        <v/>
      </c>
      <c r="T781" s="47" t="str">
        <f>IF(OR($AM781=0,NOT(ISNUMBER($H781)),NOT(ISNUMBER($I781)),NOT(ISNUMBER($J781))),"",IF($H781=$I781,"",ROUND(ABS($J781-$H781)/ABS($H781-$I781),6)))</f>
        <v/>
      </c>
      <c r="U781" s="48" t="str">
        <f>IF(OR($S781&lt;&gt;"Win",NOT(ISNUMBER($T781)),NOT(ISNUMBER($R781))),"",MAX(0,$T781-$R781))</f>
        <v/>
      </c>
      <c r="V781" s="49" t="str">
        <f>IF(OR($AM781=0,NOT(ISNUMBER($H781)),NOT(ISNUMBER($I781)),NOT(ISNUMBER($G781))),"",IF(OR($AG781="",$AH781=""),"",IF(ROUND(ABS($H781-$I781)*ABS($G781)*$AG781*$AH781,6)=0,"",ROUND(ABS($H781-$I781)*ABS($G781)*$AG781*$AH781,6))))</f>
        <v/>
      </c>
      <c r="W781" s="50" t="str">
        <f>IF($AM781=0,"",IF($BG781="","OK",LEFT($BG781,LEN($BG781)-2)))</f>
        <v/>
      </c>
      <c r="X781" s="41" t="n"/>
      <c r="Y781" s="40" t="n"/>
      <c r="Z781" s="41" t="n"/>
      <c r="AA781" s="41" t="n"/>
      <c r="AB781" s="40" t="n"/>
      <c r="AC781" s="51" t="n"/>
      <c r="AD781" s="51" t="n"/>
      <c r="AE781" s="40" t="n"/>
      <c r="AF781" s="52" t="str">
        <f>IF($AM781=0,"",IF($D781&lt;&gt;"",$D781,IF(IFERROR(INDEX(Accounts!$C$7:$C$16,MATCH($C781,Accounts!$B$7:$B$16,0))&amp;"","")&lt;&gt;"",INDEX(Accounts!$C$7:$C$16,MATCH($C781,Accounts!$B$7:$B$16,0)),Settings!$C$6)))</f>
        <v/>
      </c>
      <c r="AG781" s="53" t="str">
        <f>IF($AM781=0,"",IF(AND($BE781&gt;0,N(INDEX(Instruments!$D$6:$D$205,MAX(1,$BE781)))&gt;0),INDEX(Instruments!$D$6:$D$205,MAX(1,$BE781)),IF(N(INDEX(Settings!$D$14:$D$18,$BF781))&gt;0,INDEX(Settings!$D$14:$D$18,$BF781),"")))</f>
        <v/>
      </c>
      <c r="AH781" s="54" t="str">
        <f>IF($AM781=0,"",IF($AF781&lt;&gt;"Forex",1,IF(MID(UPPER(SUBSTITUTE(TRIM($E781),"/","")),4,3)=UPPER(TRIM(Settings!$C$7)),1,IF(LEFT(UPPER(SUBSTITUTE(TRIM($E781),"/","")),3)=UPPER(TRIM(Settings!$C$7)),IF(AND(ISNUMBER($K781),N($K781)&lt;&gt;0),1/$K781,""),""))))</f>
        <v/>
      </c>
      <c r="AI781" s="55" t="str">
        <f>IF($AM781=0,"",IF(OR(NOT(ISNUMBER($H781)),NOT(ISNUMBER($K781)),NOT(ISNUMBER($G781)),$AG781="",$AH781=""),"",ROUND(($K781-$H781)*IF($F781="Short",-1,1)*$G781*$AG781*$AH781,6)))</f>
        <v/>
      </c>
      <c r="AJ781" s="55" t="str">
        <f>IF($AM781=0,"",IF(INDEX(Settings!$E$14:$E$18,$BF781)="% of notional",IF(OR($AG781="",NOT(ISNUMBER($H781)),NOT(ISNUMBER($G781))),"",ROUND(ABS($H781*$G781*$AG781*N($AH781))*IF($L781="Limit",N(INDEX(Settings!$G$14:$G$18,$BF781)),N(INDEX(Settings!$H$14:$H$18,$BF781)))+IF(ISNUMBER($K781),ABS($K781*$G781*$AG781*N($AH781))*IF($M781="Target",N(INDEX(Settings!$G$14:$G$18,$BF781)),N(INDEX(Settings!$H$14:$H$18,$BF781))),0),6)),IF(NOT(ISNUMBER($G781)),"",ROUND(ABS($G781)*2*IF(AND($BE781&gt;0,ISNUMBER(INDEX(Instruments!$G$6:$G$205,MAX(1,$BE781)))),INDEX(Instruments!$G$6:$G$205,MAX(1,$BE781)),N(INDEX(Settings!$F$14:$F$18,$BF781))),6))))</f>
        <v/>
      </c>
      <c r="AK781" s="55" t="str">
        <f>IF($AM781=0,"",IF(ISNUMBER($O781),$O781,$AI781))</f>
        <v/>
      </c>
      <c r="AL781" s="55" t="str">
        <f>IF($AM781=0,"",IF(ISNUMBER($P781),$P781,N($AJ781)))</f>
        <v/>
      </c>
      <c r="AM781" s="56">
        <f>IF(AND($A781&lt;&gt;"",$E781&lt;&gt;"",OR(AND(ISNUMBER($G781),ISNUMBER($H781),ISNUMBER($K781)),ISNUMBER($O781))),1,0)</f>
        <v>0</v>
      </c>
      <c r="AN781" s="57" t="str">
        <f>IF($A781="","",$A781-WEEKDAY($A781,3))</f>
        <v/>
      </c>
      <c r="AO781" s="56" t="str">
        <f>IF($A781="","",WEEKDAY($A781,2))</f>
        <v/>
      </c>
      <c r="AP781" s="55" t="str">
        <f>IF(OR($AM781=0,$C781=""),"",IFERROR(N(INDEX(Accounts!$E$7:$E$16,MATCH($C781,Accounts!$B$7:$B$16,0))),0)+SUMIFS($Q$6:$Q781,$C$6:$C781,$C781))</f>
        <v/>
      </c>
      <c r="AQ781" s="55" t="str">
        <f>IF(OR($AM781=0,$C781=""),"",SUMIFS($Q$6:$Q$1005,$C$6:$C$1005,$C781,$A$6:$A$1005,$A781))</f>
        <v/>
      </c>
      <c r="AR781" s="55" t="str">
        <f>IF(OR($AM781=0,$C781=""),"",IFERROR(N(INDEX(Accounts!$E$7:$E$16,MATCH($C781,Accounts!$B$7:$B$16,0))),0)+SUMIFS($Q$6:$Q$1005,$C$6:$C$1005,$C781,$A$6:$A$1005,"&lt;="&amp;$A781))</f>
        <v/>
      </c>
      <c r="AS781" s="56">
        <f>IF(OR($AM781=0,$Q781=""),0,IF(AND($A781&gt;=Lists!$W$6,$A781&lt;=Lists!$W$7,OR(Dashboard!$D$6="All accounts",$C781=Dashboard!$D$6),OR(Dashboard!$D$7="All markets",$AF781=Dashboard!$D$7)),1,0))</f>
        <v>0</v>
      </c>
      <c r="AT781" s="55">
        <f>IF($AS781=1,N(AT780)+$Q781,N(AT780))</f>
        <v>1187.10688</v>
      </c>
      <c r="AU781" s="55">
        <f>MAX(N(AU780),$AT781)</f>
        <v>1187.10688</v>
      </c>
      <c r="AV781" s="55">
        <f>$AT781-$AU781</f>
        <v>0</v>
      </c>
      <c r="AW781" s="56">
        <f>IF($AS781=1,IF($S781="Win",N(AW780)+1,IF($S781="Loss",0,N(AW780))),N(AW780))</f>
        <v>5</v>
      </c>
      <c r="AX781" s="56">
        <f>IF($AS781=1,IF($S781="Loss",N(AX780)+1,IF($S781="Win",0,N(AX780))),N(AX780))</f>
        <v>0</v>
      </c>
      <c r="AY781" s="56" t="str">
        <f>IF($AS781=1,COUNTIF($AS$6:$AS781,1),"")</f>
        <v/>
      </c>
      <c r="AZ781" s="56">
        <f>MIN(775,N(Lists!$W$8))</f>
        <v>28</v>
      </c>
      <c r="BA781" s="56">
        <f>IF($AS781=1,IF(COUNTIFS($A$6:$A781,$A781,$AS$6:$AS781,1)=1,1,0),0)</f>
        <v>0</v>
      </c>
      <c r="BB781" s="55" t="str">
        <f>IF($BA781=1,SUMIFS($Q$6:$Q$1005,$A$6:$A$1005,$A781,$AS$6:$AS$1005,1),"")</f>
        <v/>
      </c>
      <c r="BC781" s="56">
        <f>IF(ISNUMBER($R781),1,0)</f>
        <v>0</v>
      </c>
      <c r="BD781" s="55" t="str">
        <f>IF(ISNUMBER($U781),$U781*$V781,"")</f>
        <v/>
      </c>
      <c r="BE781" s="56" t="str">
        <f>IF($AM781=0,"",IFERROR(MATCH($AF781&amp;"|"&amp;UPPER(TRIM($E781)),Lists!$A$6:$A$205,0),0))</f>
        <v/>
      </c>
      <c r="BF781" s="56" t="str">
        <f>IF($AM781=0,"",IFERROR(MATCH($AF781,Settings!$B$14:$B$18,0),IFERROR(MATCH(Settings!$C$6,Settings!$B$14:$B$18,0),1)))</f>
        <v/>
      </c>
      <c r="BG781" s="58" t="str">
        <f>IF($AM781=0,"",IF(NOT(ISNUMBER($I781)),"No stop; ","")&amp;IF(AND(ISNUMBER($H781),ISNUMBER($I781)),IF(OR(AND($F781&lt;&gt;"Short",$I781&gt;=$H781),AND($F781="Short",$I781&lt;=$H781)),"Stop on wrong side; ",""),"")&amp;IF($F781="","No direction; ","")&amp;IF(AND(ISNUMBER(Settings!$C$22),ISNUMBER($V781)),IF($V781&gt;Settings!$C$22,"Risk over max $; ",""),"")&amp;IF(AND(ISNUMBER(Settings!$C$23),ISNUMBER($V781),ISNUMBER($AP781),IFERROR(N(INDEX(Accounts!$E$7:$E$16,MATCH($C781,Accounts!$B$7:$B$16,0))),0)&gt;0),IF($V781&gt;Settings!$C$23*($AP781-N($Q781)),"Risk over max %; ",""),"")&amp;IF(AND(ISNUMBER(Settings!$C$24),ISNUMBER($N781)),IF($N781&gt;Settings!$C$24,"Leverage over max; ",""),"")&amp;IF(AND(ISNUMBER(Settings!$C$27),ISNUMBER($T781)),IF($T781&lt;Settings!$C$27,"R:R below min; ",""),"")&amp;IF(ISNUMBER(Settings!$C$25),IF(COUNTIFS($A$6:$A781,$A781,$AM$6:$AM781,1)&gt;Settings!$C$25,"Over max trades/day; ",""),"")&amp;IF(ISNUMBER(Settings!$C$26),IF(SUMIFS($Q$5:$Q780,$A$5:$A780,$A781)&lt;=-Settings!$C$26,"Traded after daily max loss; ",""),"")&amp;IF(AND($AG781="",NOT(ISNUMBER($O781))),"Symbol not in Instruments; ","")&amp;IF(AND($AH781="",NOT(ISNUMBER($O781))),"Forex cross: type Gross P&amp;L; ",""))</f>
        <v/>
      </c>
      <c r="BH781" s="56">
        <f>IF(ISNUMBER($Q781),1,0)</f>
        <v>0</v>
      </c>
      <c r="BI781" s="56">
        <f>IF($Y781="",0,1)</f>
        <v>0</v>
      </c>
      <c r="BJ781" s="56">
        <f>IF($AB781="",0,1)</f>
        <v>0</v>
      </c>
      <c r="BK781" s="56">
        <f>IF(AND($BH781=1,$W781&lt;&gt;"OK"),1,0)</f>
        <v>0</v>
      </c>
      <c r="BL781" s="55">
        <f>IF(N($AZ781)=0,0,IFERROR(INDEX($AT$6:$AT$1005,MATCH($AZ781,$AY$6:$AY$1005,0)),0))</f>
        <v>1187.10688</v>
      </c>
      <c r="BM781" s="56">
        <f>IF(ISNUMBER(SEARCH("daily max loss",$BG781)),1,0)</f>
        <v>0</v>
      </c>
    </row>
    <row r="782" ht="18" customHeight="1">
      <c r="A782" s="38" t="n"/>
      <c r="B782" s="39" t="n"/>
      <c r="C782" s="40" t="n"/>
      <c r="D782" s="41" t="n"/>
      <c r="E782" s="41" t="n"/>
      <c r="F782" s="41" t="n"/>
      <c r="G782" s="41" t="n"/>
      <c r="H782" s="42" t="n"/>
      <c r="I782" s="42" t="n"/>
      <c r="J782" s="42" t="n"/>
      <c r="K782" s="42" t="n"/>
      <c r="L782" s="41" t="n"/>
      <c r="M782" s="41" t="n"/>
      <c r="N782" s="41" t="n"/>
      <c r="O782" s="43" t="n"/>
      <c r="P782" s="43" t="n"/>
      <c r="Q782" s="44" t="str">
        <f>IF($AM782=0,"",IF(ISNUMBER($AK782),$AK782-N($AL782),""))</f>
        <v/>
      </c>
      <c r="R782" s="45" t="str">
        <f>IF(OR($Q782="",NOT(ISNUMBER($V782))),"",$AK782/$V782)</f>
        <v/>
      </c>
      <c r="S782" s="46" t="str">
        <f>IF($Q782="","",IF(AND(ISNUMBER($R782),ABS(N($R782))&lt;N(Settings!$C$8)),"Scratch",IF($Q782&gt;0,"Win",IF($Q782&lt;0,"Loss","Scratch"))))</f>
        <v/>
      </c>
      <c r="T782" s="47" t="str">
        <f>IF(OR($AM782=0,NOT(ISNUMBER($H782)),NOT(ISNUMBER($I782)),NOT(ISNUMBER($J782))),"",IF($H782=$I782,"",ROUND(ABS($J782-$H782)/ABS($H782-$I782),6)))</f>
        <v/>
      </c>
      <c r="U782" s="48" t="str">
        <f>IF(OR($S782&lt;&gt;"Win",NOT(ISNUMBER($T782)),NOT(ISNUMBER($R782))),"",MAX(0,$T782-$R782))</f>
        <v/>
      </c>
      <c r="V782" s="49" t="str">
        <f>IF(OR($AM782=0,NOT(ISNUMBER($H782)),NOT(ISNUMBER($I782)),NOT(ISNUMBER($G782))),"",IF(OR($AG782="",$AH782=""),"",IF(ROUND(ABS($H782-$I782)*ABS($G782)*$AG782*$AH782,6)=0,"",ROUND(ABS($H782-$I782)*ABS($G782)*$AG782*$AH782,6))))</f>
        <v/>
      </c>
      <c r="W782" s="50" t="str">
        <f>IF($AM782=0,"",IF($BG782="","OK",LEFT($BG782,LEN($BG782)-2)))</f>
        <v/>
      </c>
      <c r="X782" s="41" t="n"/>
      <c r="Y782" s="40" t="n"/>
      <c r="Z782" s="41" t="n"/>
      <c r="AA782" s="41" t="n"/>
      <c r="AB782" s="40" t="n"/>
      <c r="AC782" s="51" t="n"/>
      <c r="AD782" s="51" t="n"/>
      <c r="AE782" s="40" t="n"/>
      <c r="AF782" s="52" t="str">
        <f>IF($AM782=0,"",IF($D782&lt;&gt;"",$D782,IF(IFERROR(INDEX(Accounts!$C$7:$C$16,MATCH($C782,Accounts!$B$7:$B$16,0))&amp;"","")&lt;&gt;"",INDEX(Accounts!$C$7:$C$16,MATCH($C782,Accounts!$B$7:$B$16,0)),Settings!$C$6)))</f>
        <v/>
      </c>
      <c r="AG782" s="53" t="str">
        <f>IF($AM782=0,"",IF(AND($BE782&gt;0,N(INDEX(Instruments!$D$6:$D$205,MAX(1,$BE782)))&gt;0),INDEX(Instruments!$D$6:$D$205,MAX(1,$BE782)),IF(N(INDEX(Settings!$D$14:$D$18,$BF782))&gt;0,INDEX(Settings!$D$14:$D$18,$BF782),"")))</f>
        <v/>
      </c>
      <c r="AH782" s="54" t="str">
        <f>IF($AM782=0,"",IF($AF782&lt;&gt;"Forex",1,IF(MID(UPPER(SUBSTITUTE(TRIM($E782),"/","")),4,3)=UPPER(TRIM(Settings!$C$7)),1,IF(LEFT(UPPER(SUBSTITUTE(TRIM($E782),"/","")),3)=UPPER(TRIM(Settings!$C$7)),IF(AND(ISNUMBER($K782),N($K782)&lt;&gt;0),1/$K782,""),""))))</f>
        <v/>
      </c>
      <c r="AI782" s="55" t="str">
        <f>IF($AM782=0,"",IF(OR(NOT(ISNUMBER($H782)),NOT(ISNUMBER($K782)),NOT(ISNUMBER($G782)),$AG782="",$AH782=""),"",ROUND(($K782-$H782)*IF($F782="Short",-1,1)*$G782*$AG782*$AH782,6)))</f>
        <v/>
      </c>
      <c r="AJ782" s="55" t="str">
        <f>IF($AM782=0,"",IF(INDEX(Settings!$E$14:$E$18,$BF782)="% of notional",IF(OR($AG782="",NOT(ISNUMBER($H782)),NOT(ISNUMBER($G782))),"",ROUND(ABS($H782*$G782*$AG782*N($AH782))*IF($L782="Limit",N(INDEX(Settings!$G$14:$G$18,$BF782)),N(INDEX(Settings!$H$14:$H$18,$BF782)))+IF(ISNUMBER($K782),ABS($K782*$G782*$AG782*N($AH782))*IF($M782="Target",N(INDEX(Settings!$G$14:$G$18,$BF782)),N(INDEX(Settings!$H$14:$H$18,$BF782))),0),6)),IF(NOT(ISNUMBER($G782)),"",ROUND(ABS($G782)*2*IF(AND($BE782&gt;0,ISNUMBER(INDEX(Instruments!$G$6:$G$205,MAX(1,$BE782)))),INDEX(Instruments!$G$6:$G$205,MAX(1,$BE782)),N(INDEX(Settings!$F$14:$F$18,$BF782))),6))))</f>
        <v/>
      </c>
      <c r="AK782" s="55" t="str">
        <f>IF($AM782=0,"",IF(ISNUMBER($O782),$O782,$AI782))</f>
        <v/>
      </c>
      <c r="AL782" s="55" t="str">
        <f>IF($AM782=0,"",IF(ISNUMBER($P782),$P782,N($AJ782)))</f>
        <v/>
      </c>
      <c r="AM782" s="56">
        <f>IF(AND($A782&lt;&gt;"",$E782&lt;&gt;"",OR(AND(ISNUMBER($G782),ISNUMBER($H782),ISNUMBER($K782)),ISNUMBER($O782))),1,0)</f>
        <v>0</v>
      </c>
      <c r="AN782" s="57" t="str">
        <f>IF($A782="","",$A782-WEEKDAY($A782,3))</f>
        <v/>
      </c>
      <c r="AO782" s="56" t="str">
        <f>IF($A782="","",WEEKDAY($A782,2))</f>
        <v/>
      </c>
      <c r="AP782" s="55" t="str">
        <f>IF(OR($AM782=0,$C782=""),"",IFERROR(N(INDEX(Accounts!$E$7:$E$16,MATCH($C782,Accounts!$B$7:$B$16,0))),0)+SUMIFS($Q$6:$Q782,$C$6:$C782,$C782))</f>
        <v/>
      </c>
      <c r="AQ782" s="55" t="str">
        <f>IF(OR($AM782=0,$C782=""),"",SUMIFS($Q$6:$Q$1005,$C$6:$C$1005,$C782,$A$6:$A$1005,$A782))</f>
        <v/>
      </c>
      <c r="AR782" s="55" t="str">
        <f>IF(OR($AM782=0,$C782=""),"",IFERROR(N(INDEX(Accounts!$E$7:$E$16,MATCH($C782,Accounts!$B$7:$B$16,0))),0)+SUMIFS($Q$6:$Q$1005,$C$6:$C$1005,$C782,$A$6:$A$1005,"&lt;="&amp;$A782))</f>
        <v/>
      </c>
      <c r="AS782" s="56">
        <f>IF(OR($AM782=0,$Q782=""),0,IF(AND($A782&gt;=Lists!$W$6,$A782&lt;=Lists!$W$7,OR(Dashboard!$D$6="All accounts",$C782=Dashboard!$D$6),OR(Dashboard!$D$7="All markets",$AF782=Dashboard!$D$7)),1,0))</f>
        <v>0</v>
      </c>
      <c r="AT782" s="55">
        <f>IF($AS782=1,N(AT781)+$Q782,N(AT781))</f>
        <v>1187.10688</v>
      </c>
      <c r="AU782" s="55">
        <f>MAX(N(AU781),$AT782)</f>
        <v>1187.10688</v>
      </c>
      <c r="AV782" s="55">
        <f>$AT782-$AU782</f>
        <v>0</v>
      </c>
      <c r="AW782" s="56">
        <f>IF($AS782=1,IF($S782="Win",N(AW781)+1,IF($S782="Loss",0,N(AW781))),N(AW781))</f>
        <v>5</v>
      </c>
      <c r="AX782" s="56">
        <f>IF($AS782=1,IF($S782="Loss",N(AX781)+1,IF($S782="Win",0,N(AX781))),N(AX781))</f>
        <v>0</v>
      </c>
      <c r="AY782" s="56" t="str">
        <f>IF($AS782=1,COUNTIF($AS$6:$AS782,1),"")</f>
        <v/>
      </c>
      <c r="AZ782" s="56">
        <f>MIN(776,N(Lists!$W$8))</f>
        <v>28</v>
      </c>
      <c r="BA782" s="56">
        <f>IF($AS782=1,IF(COUNTIFS($A$6:$A782,$A782,$AS$6:$AS782,1)=1,1,0),0)</f>
        <v>0</v>
      </c>
      <c r="BB782" s="55" t="str">
        <f>IF($BA782=1,SUMIFS($Q$6:$Q$1005,$A$6:$A$1005,$A782,$AS$6:$AS$1005,1),"")</f>
        <v/>
      </c>
      <c r="BC782" s="56">
        <f>IF(ISNUMBER($R782),1,0)</f>
        <v>0</v>
      </c>
      <c r="BD782" s="55" t="str">
        <f>IF(ISNUMBER($U782),$U782*$V782,"")</f>
        <v/>
      </c>
      <c r="BE782" s="56" t="str">
        <f>IF($AM782=0,"",IFERROR(MATCH($AF782&amp;"|"&amp;UPPER(TRIM($E782)),Lists!$A$6:$A$205,0),0))</f>
        <v/>
      </c>
      <c r="BF782" s="56" t="str">
        <f>IF($AM782=0,"",IFERROR(MATCH($AF782,Settings!$B$14:$B$18,0),IFERROR(MATCH(Settings!$C$6,Settings!$B$14:$B$18,0),1)))</f>
        <v/>
      </c>
      <c r="BG782" s="58" t="str">
        <f>IF($AM782=0,"",IF(NOT(ISNUMBER($I782)),"No stop; ","")&amp;IF(AND(ISNUMBER($H782),ISNUMBER($I782)),IF(OR(AND($F782&lt;&gt;"Short",$I782&gt;=$H782),AND($F782="Short",$I782&lt;=$H782)),"Stop on wrong side; ",""),"")&amp;IF($F782="","No direction; ","")&amp;IF(AND(ISNUMBER(Settings!$C$22),ISNUMBER($V782)),IF($V782&gt;Settings!$C$22,"Risk over max $; ",""),"")&amp;IF(AND(ISNUMBER(Settings!$C$23),ISNUMBER($V782),ISNUMBER($AP782),IFERROR(N(INDEX(Accounts!$E$7:$E$16,MATCH($C782,Accounts!$B$7:$B$16,0))),0)&gt;0),IF($V782&gt;Settings!$C$23*($AP782-N($Q782)),"Risk over max %; ",""),"")&amp;IF(AND(ISNUMBER(Settings!$C$24),ISNUMBER($N782)),IF($N782&gt;Settings!$C$24,"Leverage over max; ",""),"")&amp;IF(AND(ISNUMBER(Settings!$C$27),ISNUMBER($T782)),IF($T782&lt;Settings!$C$27,"R:R below min; ",""),"")&amp;IF(ISNUMBER(Settings!$C$25),IF(COUNTIFS($A$6:$A782,$A782,$AM$6:$AM782,1)&gt;Settings!$C$25,"Over max trades/day; ",""),"")&amp;IF(ISNUMBER(Settings!$C$26),IF(SUMIFS($Q$5:$Q781,$A$5:$A781,$A782)&lt;=-Settings!$C$26,"Traded after daily max loss; ",""),"")&amp;IF(AND($AG782="",NOT(ISNUMBER($O782))),"Symbol not in Instruments; ","")&amp;IF(AND($AH782="",NOT(ISNUMBER($O782))),"Forex cross: type Gross P&amp;L; ",""))</f>
        <v/>
      </c>
      <c r="BH782" s="56">
        <f>IF(ISNUMBER($Q782),1,0)</f>
        <v>0</v>
      </c>
      <c r="BI782" s="56">
        <f>IF($Y782="",0,1)</f>
        <v>0</v>
      </c>
      <c r="BJ782" s="56">
        <f>IF($AB782="",0,1)</f>
        <v>0</v>
      </c>
      <c r="BK782" s="56">
        <f>IF(AND($BH782=1,$W782&lt;&gt;"OK"),1,0)</f>
        <v>0</v>
      </c>
      <c r="BL782" s="55">
        <f>IF(N($AZ782)=0,0,IFERROR(INDEX($AT$6:$AT$1005,MATCH($AZ782,$AY$6:$AY$1005,0)),0))</f>
        <v>1187.10688</v>
      </c>
      <c r="BM782" s="56">
        <f>IF(ISNUMBER(SEARCH("daily max loss",$BG782)),1,0)</f>
        <v>0</v>
      </c>
    </row>
    <row r="783" ht="18" customHeight="1">
      <c r="A783" s="38" t="n"/>
      <c r="B783" s="39" t="n"/>
      <c r="C783" s="40" t="n"/>
      <c r="D783" s="41" t="n"/>
      <c r="E783" s="41" t="n"/>
      <c r="F783" s="41" t="n"/>
      <c r="G783" s="41" t="n"/>
      <c r="H783" s="42" t="n"/>
      <c r="I783" s="42" t="n"/>
      <c r="J783" s="42" t="n"/>
      <c r="K783" s="42" t="n"/>
      <c r="L783" s="41" t="n"/>
      <c r="M783" s="41" t="n"/>
      <c r="N783" s="41" t="n"/>
      <c r="O783" s="43" t="n"/>
      <c r="P783" s="43" t="n"/>
      <c r="Q783" s="44" t="str">
        <f>IF($AM783=0,"",IF(ISNUMBER($AK783),$AK783-N($AL783),""))</f>
        <v/>
      </c>
      <c r="R783" s="45" t="str">
        <f>IF(OR($Q783="",NOT(ISNUMBER($V783))),"",$AK783/$V783)</f>
        <v/>
      </c>
      <c r="S783" s="46" t="str">
        <f>IF($Q783="","",IF(AND(ISNUMBER($R783),ABS(N($R783))&lt;N(Settings!$C$8)),"Scratch",IF($Q783&gt;0,"Win",IF($Q783&lt;0,"Loss","Scratch"))))</f>
        <v/>
      </c>
      <c r="T783" s="47" t="str">
        <f>IF(OR($AM783=0,NOT(ISNUMBER($H783)),NOT(ISNUMBER($I783)),NOT(ISNUMBER($J783))),"",IF($H783=$I783,"",ROUND(ABS($J783-$H783)/ABS($H783-$I783),6)))</f>
        <v/>
      </c>
      <c r="U783" s="48" t="str">
        <f>IF(OR($S783&lt;&gt;"Win",NOT(ISNUMBER($T783)),NOT(ISNUMBER($R783))),"",MAX(0,$T783-$R783))</f>
        <v/>
      </c>
      <c r="V783" s="49" t="str">
        <f>IF(OR($AM783=0,NOT(ISNUMBER($H783)),NOT(ISNUMBER($I783)),NOT(ISNUMBER($G783))),"",IF(OR($AG783="",$AH783=""),"",IF(ROUND(ABS($H783-$I783)*ABS($G783)*$AG783*$AH783,6)=0,"",ROUND(ABS($H783-$I783)*ABS($G783)*$AG783*$AH783,6))))</f>
        <v/>
      </c>
      <c r="W783" s="50" t="str">
        <f>IF($AM783=0,"",IF($BG783="","OK",LEFT($BG783,LEN($BG783)-2)))</f>
        <v/>
      </c>
      <c r="X783" s="41" t="n"/>
      <c r="Y783" s="40" t="n"/>
      <c r="Z783" s="41" t="n"/>
      <c r="AA783" s="41" t="n"/>
      <c r="AB783" s="40" t="n"/>
      <c r="AC783" s="51" t="n"/>
      <c r="AD783" s="51" t="n"/>
      <c r="AE783" s="40" t="n"/>
      <c r="AF783" s="52" t="str">
        <f>IF($AM783=0,"",IF($D783&lt;&gt;"",$D783,IF(IFERROR(INDEX(Accounts!$C$7:$C$16,MATCH($C783,Accounts!$B$7:$B$16,0))&amp;"","")&lt;&gt;"",INDEX(Accounts!$C$7:$C$16,MATCH($C783,Accounts!$B$7:$B$16,0)),Settings!$C$6)))</f>
        <v/>
      </c>
      <c r="AG783" s="53" t="str">
        <f>IF($AM783=0,"",IF(AND($BE783&gt;0,N(INDEX(Instruments!$D$6:$D$205,MAX(1,$BE783)))&gt;0),INDEX(Instruments!$D$6:$D$205,MAX(1,$BE783)),IF(N(INDEX(Settings!$D$14:$D$18,$BF783))&gt;0,INDEX(Settings!$D$14:$D$18,$BF783),"")))</f>
        <v/>
      </c>
      <c r="AH783" s="54" t="str">
        <f>IF($AM783=0,"",IF($AF783&lt;&gt;"Forex",1,IF(MID(UPPER(SUBSTITUTE(TRIM($E783),"/","")),4,3)=UPPER(TRIM(Settings!$C$7)),1,IF(LEFT(UPPER(SUBSTITUTE(TRIM($E783),"/","")),3)=UPPER(TRIM(Settings!$C$7)),IF(AND(ISNUMBER($K783),N($K783)&lt;&gt;0),1/$K783,""),""))))</f>
        <v/>
      </c>
      <c r="AI783" s="55" t="str">
        <f>IF($AM783=0,"",IF(OR(NOT(ISNUMBER($H783)),NOT(ISNUMBER($K783)),NOT(ISNUMBER($G783)),$AG783="",$AH783=""),"",ROUND(($K783-$H783)*IF($F783="Short",-1,1)*$G783*$AG783*$AH783,6)))</f>
        <v/>
      </c>
      <c r="AJ783" s="55" t="str">
        <f>IF($AM783=0,"",IF(INDEX(Settings!$E$14:$E$18,$BF783)="% of notional",IF(OR($AG783="",NOT(ISNUMBER($H783)),NOT(ISNUMBER($G783))),"",ROUND(ABS($H783*$G783*$AG783*N($AH783))*IF($L783="Limit",N(INDEX(Settings!$G$14:$G$18,$BF783)),N(INDEX(Settings!$H$14:$H$18,$BF783)))+IF(ISNUMBER($K783),ABS($K783*$G783*$AG783*N($AH783))*IF($M783="Target",N(INDEX(Settings!$G$14:$G$18,$BF783)),N(INDEX(Settings!$H$14:$H$18,$BF783))),0),6)),IF(NOT(ISNUMBER($G783)),"",ROUND(ABS($G783)*2*IF(AND($BE783&gt;0,ISNUMBER(INDEX(Instruments!$G$6:$G$205,MAX(1,$BE783)))),INDEX(Instruments!$G$6:$G$205,MAX(1,$BE783)),N(INDEX(Settings!$F$14:$F$18,$BF783))),6))))</f>
        <v/>
      </c>
      <c r="AK783" s="55" t="str">
        <f>IF($AM783=0,"",IF(ISNUMBER($O783),$O783,$AI783))</f>
        <v/>
      </c>
      <c r="AL783" s="55" t="str">
        <f>IF($AM783=0,"",IF(ISNUMBER($P783),$P783,N($AJ783)))</f>
        <v/>
      </c>
      <c r="AM783" s="56">
        <f>IF(AND($A783&lt;&gt;"",$E783&lt;&gt;"",OR(AND(ISNUMBER($G783),ISNUMBER($H783),ISNUMBER($K783)),ISNUMBER($O783))),1,0)</f>
        <v>0</v>
      </c>
      <c r="AN783" s="57" t="str">
        <f>IF($A783="","",$A783-WEEKDAY($A783,3))</f>
        <v/>
      </c>
      <c r="AO783" s="56" t="str">
        <f>IF($A783="","",WEEKDAY($A783,2))</f>
        <v/>
      </c>
      <c r="AP783" s="55" t="str">
        <f>IF(OR($AM783=0,$C783=""),"",IFERROR(N(INDEX(Accounts!$E$7:$E$16,MATCH($C783,Accounts!$B$7:$B$16,0))),0)+SUMIFS($Q$6:$Q783,$C$6:$C783,$C783))</f>
        <v/>
      </c>
      <c r="AQ783" s="55" t="str">
        <f>IF(OR($AM783=0,$C783=""),"",SUMIFS($Q$6:$Q$1005,$C$6:$C$1005,$C783,$A$6:$A$1005,$A783))</f>
        <v/>
      </c>
      <c r="AR783" s="55" t="str">
        <f>IF(OR($AM783=0,$C783=""),"",IFERROR(N(INDEX(Accounts!$E$7:$E$16,MATCH($C783,Accounts!$B$7:$B$16,0))),0)+SUMIFS($Q$6:$Q$1005,$C$6:$C$1005,$C783,$A$6:$A$1005,"&lt;="&amp;$A783))</f>
        <v/>
      </c>
      <c r="AS783" s="56">
        <f>IF(OR($AM783=0,$Q783=""),0,IF(AND($A783&gt;=Lists!$W$6,$A783&lt;=Lists!$W$7,OR(Dashboard!$D$6="All accounts",$C783=Dashboard!$D$6),OR(Dashboard!$D$7="All markets",$AF783=Dashboard!$D$7)),1,0))</f>
        <v>0</v>
      </c>
      <c r="AT783" s="55">
        <f>IF($AS783=1,N(AT782)+$Q783,N(AT782))</f>
        <v>1187.10688</v>
      </c>
      <c r="AU783" s="55">
        <f>MAX(N(AU782),$AT783)</f>
        <v>1187.10688</v>
      </c>
      <c r="AV783" s="55">
        <f>$AT783-$AU783</f>
        <v>0</v>
      </c>
      <c r="AW783" s="56">
        <f>IF($AS783=1,IF($S783="Win",N(AW782)+1,IF($S783="Loss",0,N(AW782))),N(AW782))</f>
        <v>5</v>
      </c>
      <c r="AX783" s="56">
        <f>IF($AS783=1,IF($S783="Loss",N(AX782)+1,IF($S783="Win",0,N(AX782))),N(AX782))</f>
        <v>0</v>
      </c>
      <c r="AY783" s="56" t="str">
        <f>IF($AS783=1,COUNTIF($AS$6:$AS783,1),"")</f>
        <v/>
      </c>
      <c r="AZ783" s="56">
        <f>MIN(777,N(Lists!$W$8))</f>
        <v>28</v>
      </c>
      <c r="BA783" s="56">
        <f>IF($AS783=1,IF(COUNTIFS($A$6:$A783,$A783,$AS$6:$AS783,1)=1,1,0),0)</f>
        <v>0</v>
      </c>
      <c r="BB783" s="55" t="str">
        <f>IF($BA783=1,SUMIFS($Q$6:$Q$1005,$A$6:$A$1005,$A783,$AS$6:$AS$1005,1),"")</f>
        <v/>
      </c>
      <c r="BC783" s="56">
        <f>IF(ISNUMBER($R783),1,0)</f>
        <v>0</v>
      </c>
      <c r="BD783" s="55" t="str">
        <f>IF(ISNUMBER($U783),$U783*$V783,"")</f>
        <v/>
      </c>
      <c r="BE783" s="56" t="str">
        <f>IF($AM783=0,"",IFERROR(MATCH($AF783&amp;"|"&amp;UPPER(TRIM($E783)),Lists!$A$6:$A$205,0),0))</f>
        <v/>
      </c>
      <c r="BF783" s="56" t="str">
        <f>IF($AM783=0,"",IFERROR(MATCH($AF783,Settings!$B$14:$B$18,0),IFERROR(MATCH(Settings!$C$6,Settings!$B$14:$B$18,0),1)))</f>
        <v/>
      </c>
      <c r="BG783" s="58" t="str">
        <f>IF($AM783=0,"",IF(NOT(ISNUMBER($I783)),"No stop; ","")&amp;IF(AND(ISNUMBER($H783),ISNUMBER($I783)),IF(OR(AND($F783&lt;&gt;"Short",$I783&gt;=$H783),AND($F783="Short",$I783&lt;=$H783)),"Stop on wrong side; ",""),"")&amp;IF($F783="","No direction; ","")&amp;IF(AND(ISNUMBER(Settings!$C$22),ISNUMBER($V783)),IF($V783&gt;Settings!$C$22,"Risk over max $; ",""),"")&amp;IF(AND(ISNUMBER(Settings!$C$23),ISNUMBER($V783),ISNUMBER($AP783),IFERROR(N(INDEX(Accounts!$E$7:$E$16,MATCH($C783,Accounts!$B$7:$B$16,0))),0)&gt;0),IF($V783&gt;Settings!$C$23*($AP783-N($Q783)),"Risk over max %; ",""),"")&amp;IF(AND(ISNUMBER(Settings!$C$24),ISNUMBER($N783)),IF($N783&gt;Settings!$C$24,"Leverage over max; ",""),"")&amp;IF(AND(ISNUMBER(Settings!$C$27),ISNUMBER($T783)),IF($T783&lt;Settings!$C$27,"R:R below min; ",""),"")&amp;IF(ISNUMBER(Settings!$C$25),IF(COUNTIFS($A$6:$A783,$A783,$AM$6:$AM783,1)&gt;Settings!$C$25,"Over max trades/day; ",""),"")&amp;IF(ISNUMBER(Settings!$C$26),IF(SUMIFS($Q$5:$Q782,$A$5:$A782,$A783)&lt;=-Settings!$C$26,"Traded after daily max loss; ",""),"")&amp;IF(AND($AG783="",NOT(ISNUMBER($O783))),"Symbol not in Instruments; ","")&amp;IF(AND($AH783="",NOT(ISNUMBER($O783))),"Forex cross: type Gross P&amp;L; ",""))</f>
        <v/>
      </c>
      <c r="BH783" s="56">
        <f>IF(ISNUMBER($Q783),1,0)</f>
        <v>0</v>
      </c>
      <c r="BI783" s="56">
        <f>IF($Y783="",0,1)</f>
        <v>0</v>
      </c>
      <c r="BJ783" s="56">
        <f>IF($AB783="",0,1)</f>
        <v>0</v>
      </c>
      <c r="BK783" s="56">
        <f>IF(AND($BH783=1,$W783&lt;&gt;"OK"),1,0)</f>
        <v>0</v>
      </c>
      <c r="BL783" s="55">
        <f>IF(N($AZ783)=0,0,IFERROR(INDEX($AT$6:$AT$1005,MATCH($AZ783,$AY$6:$AY$1005,0)),0))</f>
        <v>1187.10688</v>
      </c>
      <c r="BM783" s="56">
        <f>IF(ISNUMBER(SEARCH("daily max loss",$BG783)),1,0)</f>
        <v>0</v>
      </c>
    </row>
    <row r="784" ht="18" customHeight="1">
      <c r="A784" s="38" t="n"/>
      <c r="B784" s="39" t="n"/>
      <c r="C784" s="40" t="n"/>
      <c r="D784" s="41" t="n"/>
      <c r="E784" s="41" t="n"/>
      <c r="F784" s="41" t="n"/>
      <c r="G784" s="41" t="n"/>
      <c r="H784" s="42" t="n"/>
      <c r="I784" s="42" t="n"/>
      <c r="J784" s="42" t="n"/>
      <c r="K784" s="42" t="n"/>
      <c r="L784" s="41" t="n"/>
      <c r="M784" s="41" t="n"/>
      <c r="N784" s="41" t="n"/>
      <c r="O784" s="43" t="n"/>
      <c r="P784" s="43" t="n"/>
      <c r="Q784" s="44" t="str">
        <f>IF($AM784=0,"",IF(ISNUMBER($AK784),$AK784-N($AL784),""))</f>
        <v/>
      </c>
      <c r="R784" s="45" t="str">
        <f>IF(OR($Q784="",NOT(ISNUMBER($V784))),"",$AK784/$V784)</f>
        <v/>
      </c>
      <c r="S784" s="46" t="str">
        <f>IF($Q784="","",IF(AND(ISNUMBER($R784),ABS(N($R784))&lt;N(Settings!$C$8)),"Scratch",IF($Q784&gt;0,"Win",IF($Q784&lt;0,"Loss","Scratch"))))</f>
        <v/>
      </c>
      <c r="T784" s="47" t="str">
        <f>IF(OR($AM784=0,NOT(ISNUMBER($H784)),NOT(ISNUMBER($I784)),NOT(ISNUMBER($J784))),"",IF($H784=$I784,"",ROUND(ABS($J784-$H784)/ABS($H784-$I784),6)))</f>
        <v/>
      </c>
      <c r="U784" s="48" t="str">
        <f>IF(OR($S784&lt;&gt;"Win",NOT(ISNUMBER($T784)),NOT(ISNUMBER($R784))),"",MAX(0,$T784-$R784))</f>
        <v/>
      </c>
      <c r="V784" s="49" t="str">
        <f>IF(OR($AM784=0,NOT(ISNUMBER($H784)),NOT(ISNUMBER($I784)),NOT(ISNUMBER($G784))),"",IF(OR($AG784="",$AH784=""),"",IF(ROUND(ABS($H784-$I784)*ABS($G784)*$AG784*$AH784,6)=0,"",ROUND(ABS($H784-$I784)*ABS($G784)*$AG784*$AH784,6))))</f>
        <v/>
      </c>
      <c r="W784" s="50" t="str">
        <f>IF($AM784=0,"",IF($BG784="","OK",LEFT($BG784,LEN($BG784)-2)))</f>
        <v/>
      </c>
      <c r="X784" s="41" t="n"/>
      <c r="Y784" s="40" t="n"/>
      <c r="Z784" s="41" t="n"/>
      <c r="AA784" s="41" t="n"/>
      <c r="AB784" s="40" t="n"/>
      <c r="AC784" s="51" t="n"/>
      <c r="AD784" s="51" t="n"/>
      <c r="AE784" s="40" t="n"/>
      <c r="AF784" s="52" t="str">
        <f>IF($AM784=0,"",IF($D784&lt;&gt;"",$D784,IF(IFERROR(INDEX(Accounts!$C$7:$C$16,MATCH($C784,Accounts!$B$7:$B$16,0))&amp;"","")&lt;&gt;"",INDEX(Accounts!$C$7:$C$16,MATCH($C784,Accounts!$B$7:$B$16,0)),Settings!$C$6)))</f>
        <v/>
      </c>
      <c r="AG784" s="53" t="str">
        <f>IF($AM784=0,"",IF(AND($BE784&gt;0,N(INDEX(Instruments!$D$6:$D$205,MAX(1,$BE784)))&gt;0),INDEX(Instruments!$D$6:$D$205,MAX(1,$BE784)),IF(N(INDEX(Settings!$D$14:$D$18,$BF784))&gt;0,INDEX(Settings!$D$14:$D$18,$BF784),"")))</f>
        <v/>
      </c>
      <c r="AH784" s="54" t="str">
        <f>IF($AM784=0,"",IF($AF784&lt;&gt;"Forex",1,IF(MID(UPPER(SUBSTITUTE(TRIM($E784),"/","")),4,3)=UPPER(TRIM(Settings!$C$7)),1,IF(LEFT(UPPER(SUBSTITUTE(TRIM($E784),"/","")),3)=UPPER(TRIM(Settings!$C$7)),IF(AND(ISNUMBER($K784),N($K784)&lt;&gt;0),1/$K784,""),""))))</f>
        <v/>
      </c>
      <c r="AI784" s="55" t="str">
        <f>IF($AM784=0,"",IF(OR(NOT(ISNUMBER($H784)),NOT(ISNUMBER($K784)),NOT(ISNUMBER($G784)),$AG784="",$AH784=""),"",ROUND(($K784-$H784)*IF($F784="Short",-1,1)*$G784*$AG784*$AH784,6)))</f>
        <v/>
      </c>
      <c r="AJ784" s="55" t="str">
        <f>IF($AM784=0,"",IF(INDEX(Settings!$E$14:$E$18,$BF784)="% of notional",IF(OR($AG784="",NOT(ISNUMBER($H784)),NOT(ISNUMBER($G784))),"",ROUND(ABS($H784*$G784*$AG784*N($AH784))*IF($L784="Limit",N(INDEX(Settings!$G$14:$G$18,$BF784)),N(INDEX(Settings!$H$14:$H$18,$BF784)))+IF(ISNUMBER($K784),ABS($K784*$G784*$AG784*N($AH784))*IF($M784="Target",N(INDEX(Settings!$G$14:$G$18,$BF784)),N(INDEX(Settings!$H$14:$H$18,$BF784))),0),6)),IF(NOT(ISNUMBER($G784)),"",ROUND(ABS($G784)*2*IF(AND($BE784&gt;0,ISNUMBER(INDEX(Instruments!$G$6:$G$205,MAX(1,$BE784)))),INDEX(Instruments!$G$6:$G$205,MAX(1,$BE784)),N(INDEX(Settings!$F$14:$F$18,$BF784))),6))))</f>
        <v/>
      </c>
      <c r="AK784" s="55" t="str">
        <f>IF($AM784=0,"",IF(ISNUMBER($O784),$O784,$AI784))</f>
        <v/>
      </c>
      <c r="AL784" s="55" t="str">
        <f>IF($AM784=0,"",IF(ISNUMBER($P784),$P784,N($AJ784)))</f>
        <v/>
      </c>
      <c r="AM784" s="56">
        <f>IF(AND($A784&lt;&gt;"",$E784&lt;&gt;"",OR(AND(ISNUMBER($G784),ISNUMBER($H784),ISNUMBER($K784)),ISNUMBER($O784))),1,0)</f>
        <v>0</v>
      </c>
      <c r="AN784" s="57" t="str">
        <f>IF($A784="","",$A784-WEEKDAY($A784,3))</f>
        <v/>
      </c>
      <c r="AO784" s="56" t="str">
        <f>IF($A784="","",WEEKDAY($A784,2))</f>
        <v/>
      </c>
      <c r="AP784" s="55" t="str">
        <f>IF(OR($AM784=0,$C784=""),"",IFERROR(N(INDEX(Accounts!$E$7:$E$16,MATCH($C784,Accounts!$B$7:$B$16,0))),0)+SUMIFS($Q$6:$Q784,$C$6:$C784,$C784))</f>
        <v/>
      </c>
      <c r="AQ784" s="55" t="str">
        <f>IF(OR($AM784=0,$C784=""),"",SUMIFS($Q$6:$Q$1005,$C$6:$C$1005,$C784,$A$6:$A$1005,$A784))</f>
        <v/>
      </c>
      <c r="AR784" s="55" t="str">
        <f>IF(OR($AM784=0,$C784=""),"",IFERROR(N(INDEX(Accounts!$E$7:$E$16,MATCH($C784,Accounts!$B$7:$B$16,0))),0)+SUMIFS($Q$6:$Q$1005,$C$6:$C$1005,$C784,$A$6:$A$1005,"&lt;="&amp;$A784))</f>
        <v/>
      </c>
      <c r="AS784" s="56">
        <f>IF(OR($AM784=0,$Q784=""),0,IF(AND($A784&gt;=Lists!$W$6,$A784&lt;=Lists!$W$7,OR(Dashboard!$D$6="All accounts",$C784=Dashboard!$D$6),OR(Dashboard!$D$7="All markets",$AF784=Dashboard!$D$7)),1,0))</f>
        <v>0</v>
      </c>
      <c r="AT784" s="55">
        <f>IF($AS784=1,N(AT783)+$Q784,N(AT783))</f>
        <v>1187.10688</v>
      </c>
      <c r="AU784" s="55">
        <f>MAX(N(AU783),$AT784)</f>
        <v>1187.10688</v>
      </c>
      <c r="AV784" s="55">
        <f>$AT784-$AU784</f>
        <v>0</v>
      </c>
      <c r="AW784" s="56">
        <f>IF($AS784=1,IF($S784="Win",N(AW783)+1,IF($S784="Loss",0,N(AW783))),N(AW783))</f>
        <v>5</v>
      </c>
      <c r="AX784" s="56">
        <f>IF($AS784=1,IF($S784="Loss",N(AX783)+1,IF($S784="Win",0,N(AX783))),N(AX783))</f>
        <v>0</v>
      </c>
      <c r="AY784" s="56" t="str">
        <f>IF($AS784=1,COUNTIF($AS$6:$AS784,1),"")</f>
        <v/>
      </c>
      <c r="AZ784" s="56">
        <f>MIN(778,N(Lists!$W$8))</f>
        <v>28</v>
      </c>
      <c r="BA784" s="56">
        <f>IF($AS784=1,IF(COUNTIFS($A$6:$A784,$A784,$AS$6:$AS784,1)=1,1,0),0)</f>
        <v>0</v>
      </c>
      <c r="BB784" s="55" t="str">
        <f>IF($BA784=1,SUMIFS($Q$6:$Q$1005,$A$6:$A$1005,$A784,$AS$6:$AS$1005,1),"")</f>
        <v/>
      </c>
      <c r="BC784" s="56">
        <f>IF(ISNUMBER($R784),1,0)</f>
        <v>0</v>
      </c>
      <c r="BD784" s="55" t="str">
        <f>IF(ISNUMBER($U784),$U784*$V784,"")</f>
        <v/>
      </c>
      <c r="BE784" s="56" t="str">
        <f>IF($AM784=0,"",IFERROR(MATCH($AF784&amp;"|"&amp;UPPER(TRIM($E784)),Lists!$A$6:$A$205,0),0))</f>
        <v/>
      </c>
      <c r="BF784" s="56" t="str">
        <f>IF($AM784=0,"",IFERROR(MATCH($AF784,Settings!$B$14:$B$18,0),IFERROR(MATCH(Settings!$C$6,Settings!$B$14:$B$18,0),1)))</f>
        <v/>
      </c>
      <c r="BG784" s="58" t="str">
        <f>IF($AM784=0,"",IF(NOT(ISNUMBER($I784)),"No stop; ","")&amp;IF(AND(ISNUMBER($H784),ISNUMBER($I784)),IF(OR(AND($F784&lt;&gt;"Short",$I784&gt;=$H784),AND($F784="Short",$I784&lt;=$H784)),"Stop on wrong side; ",""),"")&amp;IF($F784="","No direction; ","")&amp;IF(AND(ISNUMBER(Settings!$C$22),ISNUMBER($V784)),IF($V784&gt;Settings!$C$22,"Risk over max $; ",""),"")&amp;IF(AND(ISNUMBER(Settings!$C$23),ISNUMBER($V784),ISNUMBER($AP784),IFERROR(N(INDEX(Accounts!$E$7:$E$16,MATCH($C784,Accounts!$B$7:$B$16,0))),0)&gt;0),IF($V784&gt;Settings!$C$23*($AP784-N($Q784)),"Risk over max %; ",""),"")&amp;IF(AND(ISNUMBER(Settings!$C$24),ISNUMBER($N784)),IF($N784&gt;Settings!$C$24,"Leverage over max; ",""),"")&amp;IF(AND(ISNUMBER(Settings!$C$27),ISNUMBER($T784)),IF($T784&lt;Settings!$C$27,"R:R below min; ",""),"")&amp;IF(ISNUMBER(Settings!$C$25),IF(COUNTIFS($A$6:$A784,$A784,$AM$6:$AM784,1)&gt;Settings!$C$25,"Over max trades/day; ",""),"")&amp;IF(ISNUMBER(Settings!$C$26),IF(SUMIFS($Q$5:$Q783,$A$5:$A783,$A784)&lt;=-Settings!$C$26,"Traded after daily max loss; ",""),"")&amp;IF(AND($AG784="",NOT(ISNUMBER($O784))),"Symbol not in Instruments; ","")&amp;IF(AND($AH784="",NOT(ISNUMBER($O784))),"Forex cross: type Gross P&amp;L; ",""))</f>
        <v/>
      </c>
      <c r="BH784" s="56">
        <f>IF(ISNUMBER($Q784),1,0)</f>
        <v>0</v>
      </c>
      <c r="BI784" s="56">
        <f>IF($Y784="",0,1)</f>
        <v>0</v>
      </c>
      <c r="BJ784" s="56">
        <f>IF($AB784="",0,1)</f>
        <v>0</v>
      </c>
      <c r="BK784" s="56">
        <f>IF(AND($BH784=1,$W784&lt;&gt;"OK"),1,0)</f>
        <v>0</v>
      </c>
      <c r="BL784" s="55">
        <f>IF(N($AZ784)=0,0,IFERROR(INDEX($AT$6:$AT$1005,MATCH($AZ784,$AY$6:$AY$1005,0)),0))</f>
        <v>1187.10688</v>
      </c>
      <c r="BM784" s="56">
        <f>IF(ISNUMBER(SEARCH("daily max loss",$BG784)),1,0)</f>
        <v>0</v>
      </c>
    </row>
    <row r="785" ht="18" customHeight="1">
      <c r="A785" s="38" t="n"/>
      <c r="B785" s="39" t="n"/>
      <c r="C785" s="40" t="n"/>
      <c r="D785" s="41" t="n"/>
      <c r="E785" s="41" t="n"/>
      <c r="F785" s="41" t="n"/>
      <c r="G785" s="41" t="n"/>
      <c r="H785" s="42" t="n"/>
      <c r="I785" s="42" t="n"/>
      <c r="J785" s="42" t="n"/>
      <c r="K785" s="42" t="n"/>
      <c r="L785" s="41" t="n"/>
      <c r="M785" s="41" t="n"/>
      <c r="N785" s="41" t="n"/>
      <c r="O785" s="43" t="n"/>
      <c r="P785" s="43" t="n"/>
      <c r="Q785" s="44" t="str">
        <f>IF($AM785=0,"",IF(ISNUMBER($AK785),$AK785-N($AL785),""))</f>
        <v/>
      </c>
      <c r="R785" s="45" t="str">
        <f>IF(OR($Q785="",NOT(ISNUMBER($V785))),"",$AK785/$V785)</f>
        <v/>
      </c>
      <c r="S785" s="46" t="str">
        <f>IF($Q785="","",IF(AND(ISNUMBER($R785),ABS(N($R785))&lt;N(Settings!$C$8)),"Scratch",IF($Q785&gt;0,"Win",IF($Q785&lt;0,"Loss","Scratch"))))</f>
        <v/>
      </c>
      <c r="T785" s="47" t="str">
        <f>IF(OR($AM785=0,NOT(ISNUMBER($H785)),NOT(ISNUMBER($I785)),NOT(ISNUMBER($J785))),"",IF($H785=$I785,"",ROUND(ABS($J785-$H785)/ABS($H785-$I785),6)))</f>
        <v/>
      </c>
      <c r="U785" s="48" t="str">
        <f>IF(OR($S785&lt;&gt;"Win",NOT(ISNUMBER($T785)),NOT(ISNUMBER($R785))),"",MAX(0,$T785-$R785))</f>
        <v/>
      </c>
      <c r="V785" s="49" t="str">
        <f>IF(OR($AM785=0,NOT(ISNUMBER($H785)),NOT(ISNUMBER($I785)),NOT(ISNUMBER($G785))),"",IF(OR($AG785="",$AH785=""),"",IF(ROUND(ABS($H785-$I785)*ABS($G785)*$AG785*$AH785,6)=0,"",ROUND(ABS($H785-$I785)*ABS($G785)*$AG785*$AH785,6))))</f>
        <v/>
      </c>
      <c r="W785" s="50" t="str">
        <f>IF($AM785=0,"",IF($BG785="","OK",LEFT($BG785,LEN($BG785)-2)))</f>
        <v/>
      </c>
      <c r="X785" s="41" t="n"/>
      <c r="Y785" s="40" t="n"/>
      <c r="Z785" s="41" t="n"/>
      <c r="AA785" s="41" t="n"/>
      <c r="AB785" s="40" t="n"/>
      <c r="AC785" s="51" t="n"/>
      <c r="AD785" s="51" t="n"/>
      <c r="AE785" s="40" t="n"/>
      <c r="AF785" s="52" t="str">
        <f>IF($AM785=0,"",IF($D785&lt;&gt;"",$D785,IF(IFERROR(INDEX(Accounts!$C$7:$C$16,MATCH($C785,Accounts!$B$7:$B$16,0))&amp;"","")&lt;&gt;"",INDEX(Accounts!$C$7:$C$16,MATCH($C785,Accounts!$B$7:$B$16,0)),Settings!$C$6)))</f>
        <v/>
      </c>
      <c r="AG785" s="53" t="str">
        <f>IF($AM785=0,"",IF(AND($BE785&gt;0,N(INDEX(Instruments!$D$6:$D$205,MAX(1,$BE785)))&gt;0),INDEX(Instruments!$D$6:$D$205,MAX(1,$BE785)),IF(N(INDEX(Settings!$D$14:$D$18,$BF785))&gt;0,INDEX(Settings!$D$14:$D$18,$BF785),"")))</f>
        <v/>
      </c>
      <c r="AH785" s="54" t="str">
        <f>IF($AM785=0,"",IF($AF785&lt;&gt;"Forex",1,IF(MID(UPPER(SUBSTITUTE(TRIM($E785),"/","")),4,3)=UPPER(TRIM(Settings!$C$7)),1,IF(LEFT(UPPER(SUBSTITUTE(TRIM($E785),"/","")),3)=UPPER(TRIM(Settings!$C$7)),IF(AND(ISNUMBER($K785),N($K785)&lt;&gt;0),1/$K785,""),""))))</f>
        <v/>
      </c>
      <c r="AI785" s="55" t="str">
        <f>IF($AM785=0,"",IF(OR(NOT(ISNUMBER($H785)),NOT(ISNUMBER($K785)),NOT(ISNUMBER($G785)),$AG785="",$AH785=""),"",ROUND(($K785-$H785)*IF($F785="Short",-1,1)*$G785*$AG785*$AH785,6)))</f>
        <v/>
      </c>
      <c r="AJ785" s="55" t="str">
        <f>IF($AM785=0,"",IF(INDEX(Settings!$E$14:$E$18,$BF785)="% of notional",IF(OR($AG785="",NOT(ISNUMBER($H785)),NOT(ISNUMBER($G785))),"",ROUND(ABS($H785*$G785*$AG785*N($AH785))*IF($L785="Limit",N(INDEX(Settings!$G$14:$G$18,$BF785)),N(INDEX(Settings!$H$14:$H$18,$BF785)))+IF(ISNUMBER($K785),ABS($K785*$G785*$AG785*N($AH785))*IF($M785="Target",N(INDEX(Settings!$G$14:$G$18,$BF785)),N(INDEX(Settings!$H$14:$H$18,$BF785))),0),6)),IF(NOT(ISNUMBER($G785)),"",ROUND(ABS($G785)*2*IF(AND($BE785&gt;0,ISNUMBER(INDEX(Instruments!$G$6:$G$205,MAX(1,$BE785)))),INDEX(Instruments!$G$6:$G$205,MAX(1,$BE785)),N(INDEX(Settings!$F$14:$F$18,$BF785))),6))))</f>
        <v/>
      </c>
      <c r="AK785" s="55" t="str">
        <f>IF($AM785=0,"",IF(ISNUMBER($O785),$O785,$AI785))</f>
        <v/>
      </c>
      <c r="AL785" s="55" t="str">
        <f>IF($AM785=0,"",IF(ISNUMBER($P785),$P785,N($AJ785)))</f>
        <v/>
      </c>
      <c r="AM785" s="56">
        <f>IF(AND($A785&lt;&gt;"",$E785&lt;&gt;"",OR(AND(ISNUMBER($G785),ISNUMBER($H785),ISNUMBER($K785)),ISNUMBER($O785))),1,0)</f>
        <v>0</v>
      </c>
      <c r="AN785" s="57" t="str">
        <f>IF($A785="","",$A785-WEEKDAY($A785,3))</f>
        <v/>
      </c>
      <c r="AO785" s="56" t="str">
        <f>IF($A785="","",WEEKDAY($A785,2))</f>
        <v/>
      </c>
      <c r="AP785" s="55" t="str">
        <f>IF(OR($AM785=0,$C785=""),"",IFERROR(N(INDEX(Accounts!$E$7:$E$16,MATCH($C785,Accounts!$B$7:$B$16,0))),0)+SUMIFS($Q$6:$Q785,$C$6:$C785,$C785))</f>
        <v/>
      </c>
      <c r="AQ785" s="55" t="str">
        <f>IF(OR($AM785=0,$C785=""),"",SUMIFS($Q$6:$Q$1005,$C$6:$C$1005,$C785,$A$6:$A$1005,$A785))</f>
        <v/>
      </c>
      <c r="AR785" s="55" t="str">
        <f>IF(OR($AM785=0,$C785=""),"",IFERROR(N(INDEX(Accounts!$E$7:$E$16,MATCH($C785,Accounts!$B$7:$B$16,0))),0)+SUMIFS($Q$6:$Q$1005,$C$6:$C$1005,$C785,$A$6:$A$1005,"&lt;="&amp;$A785))</f>
        <v/>
      </c>
      <c r="AS785" s="56">
        <f>IF(OR($AM785=0,$Q785=""),0,IF(AND($A785&gt;=Lists!$W$6,$A785&lt;=Lists!$W$7,OR(Dashboard!$D$6="All accounts",$C785=Dashboard!$D$6),OR(Dashboard!$D$7="All markets",$AF785=Dashboard!$D$7)),1,0))</f>
        <v>0</v>
      </c>
      <c r="AT785" s="55">
        <f>IF($AS785=1,N(AT784)+$Q785,N(AT784))</f>
        <v>1187.10688</v>
      </c>
      <c r="AU785" s="55">
        <f>MAX(N(AU784),$AT785)</f>
        <v>1187.10688</v>
      </c>
      <c r="AV785" s="55">
        <f>$AT785-$AU785</f>
        <v>0</v>
      </c>
      <c r="AW785" s="56">
        <f>IF($AS785=1,IF($S785="Win",N(AW784)+1,IF($S785="Loss",0,N(AW784))),N(AW784))</f>
        <v>5</v>
      </c>
      <c r="AX785" s="56">
        <f>IF($AS785=1,IF($S785="Loss",N(AX784)+1,IF($S785="Win",0,N(AX784))),N(AX784))</f>
        <v>0</v>
      </c>
      <c r="AY785" s="56" t="str">
        <f>IF($AS785=1,COUNTIF($AS$6:$AS785,1),"")</f>
        <v/>
      </c>
      <c r="AZ785" s="56">
        <f>MIN(779,N(Lists!$W$8))</f>
        <v>28</v>
      </c>
      <c r="BA785" s="56">
        <f>IF($AS785=1,IF(COUNTIFS($A$6:$A785,$A785,$AS$6:$AS785,1)=1,1,0),0)</f>
        <v>0</v>
      </c>
      <c r="BB785" s="55" t="str">
        <f>IF($BA785=1,SUMIFS($Q$6:$Q$1005,$A$6:$A$1005,$A785,$AS$6:$AS$1005,1),"")</f>
        <v/>
      </c>
      <c r="BC785" s="56">
        <f>IF(ISNUMBER($R785),1,0)</f>
        <v>0</v>
      </c>
      <c r="BD785" s="55" t="str">
        <f>IF(ISNUMBER($U785),$U785*$V785,"")</f>
        <v/>
      </c>
      <c r="BE785" s="56" t="str">
        <f>IF($AM785=0,"",IFERROR(MATCH($AF785&amp;"|"&amp;UPPER(TRIM($E785)),Lists!$A$6:$A$205,0),0))</f>
        <v/>
      </c>
      <c r="BF785" s="56" t="str">
        <f>IF($AM785=0,"",IFERROR(MATCH($AF785,Settings!$B$14:$B$18,0),IFERROR(MATCH(Settings!$C$6,Settings!$B$14:$B$18,0),1)))</f>
        <v/>
      </c>
      <c r="BG785" s="58" t="str">
        <f>IF($AM785=0,"",IF(NOT(ISNUMBER($I785)),"No stop; ","")&amp;IF(AND(ISNUMBER($H785),ISNUMBER($I785)),IF(OR(AND($F785&lt;&gt;"Short",$I785&gt;=$H785),AND($F785="Short",$I785&lt;=$H785)),"Stop on wrong side; ",""),"")&amp;IF($F785="","No direction; ","")&amp;IF(AND(ISNUMBER(Settings!$C$22),ISNUMBER($V785)),IF($V785&gt;Settings!$C$22,"Risk over max $; ",""),"")&amp;IF(AND(ISNUMBER(Settings!$C$23),ISNUMBER($V785),ISNUMBER($AP785),IFERROR(N(INDEX(Accounts!$E$7:$E$16,MATCH($C785,Accounts!$B$7:$B$16,0))),0)&gt;0),IF($V785&gt;Settings!$C$23*($AP785-N($Q785)),"Risk over max %; ",""),"")&amp;IF(AND(ISNUMBER(Settings!$C$24),ISNUMBER($N785)),IF($N785&gt;Settings!$C$24,"Leverage over max; ",""),"")&amp;IF(AND(ISNUMBER(Settings!$C$27),ISNUMBER($T785)),IF($T785&lt;Settings!$C$27,"R:R below min; ",""),"")&amp;IF(ISNUMBER(Settings!$C$25),IF(COUNTIFS($A$6:$A785,$A785,$AM$6:$AM785,1)&gt;Settings!$C$25,"Over max trades/day; ",""),"")&amp;IF(ISNUMBER(Settings!$C$26),IF(SUMIFS($Q$5:$Q784,$A$5:$A784,$A785)&lt;=-Settings!$C$26,"Traded after daily max loss; ",""),"")&amp;IF(AND($AG785="",NOT(ISNUMBER($O785))),"Symbol not in Instruments; ","")&amp;IF(AND($AH785="",NOT(ISNUMBER($O785))),"Forex cross: type Gross P&amp;L; ",""))</f>
        <v/>
      </c>
      <c r="BH785" s="56">
        <f>IF(ISNUMBER($Q785),1,0)</f>
        <v>0</v>
      </c>
      <c r="BI785" s="56">
        <f>IF($Y785="",0,1)</f>
        <v>0</v>
      </c>
      <c r="BJ785" s="56">
        <f>IF($AB785="",0,1)</f>
        <v>0</v>
      </c>
      <c r="BK785" s="56">
        <f>IF(AND($BH785=1,$W785&lt;&gt;"OK"),1,0)</f>
        <v>0</v>
      </c>
      <c r="BL785" s="55">
        <f>IF(N($AZ785)=0,0,IFERROR(INDEX($AT$6:$AT$1005,MATCH($AZ785,$AY$6:$AY$1005,0)),0))</f>
        <v>1187.10688</v>
      </c>
      <c r="BM785" s="56">
        <f>IF(ISNUMBER(SEARCH("daily max loss",$BG785)),1,0)</f>
        <v>0</v>
      </c>
    </row>
    <row r="786" ht="18" customHeight="1">
      <c r="A786" s="38" t="n"/>
      <c r="B786" s="39" t="n"/>
      <c r="C786" s="40" t="n"/>
      <c r="D786" s="41" t="n"/>
      <c r="E786" s="41" t="n"/>
      <c r="F786" s="41" t="n"/>
      <c r="G786" s="41" t="n"/>
      <c r="H786" s="42" t="n"/>
      <c r="I786" s="42" t="n"/>
      <c r="J786" s="42" t="n"/>
      <c r="K786" s="42" t="n"/>
      <c r="L786" s="41" t="n"/>
      <c r="M786" s="41" t="n"/>
      <c r="N786" s="41" t="n"/>
      <c r="O786" s="43" t="n"/>
      <c r="P786" s="43" t="n"/>
      <c r="Q786" s="44" t="str">
        <f>IF($AM786=0,"",IF(ISNUMBER($AK786),$AK786-N($AL786),""))</f>
        <v/>
      </c>
      <c r="R786" s="45" t="str">
        <f>IF(OR($Q786="",NOT(ISNUMBER($V786))),"",$AK786/$V786)</f>
        <v/>
      </c>
      <c r="S786" s="46" t="str">
        <f>IF($Q786="","",IF(AND(ISNUMBER($R786),ABS(N($R786))&lt;N(Settings!$C$8)),"Scratch",IF($Q786&gt;0,"Win",IF($Q786&lt;0,"Loss","Scratch"))))</f>
        <v/>
      </c>
      <c r="T786" s="47" t="str">
        <f>IF(OR($AM786=0,NOT(ISNUMBER($H786)),NOT(ISNUMBER($I786)),NOT(ISNUMBER($J786))),"",IF($H786=$I786,"",ROUND(ABS($J786-$H786)/ABS($H786-$I786),6)))</f>
        <v/>
      </c>
      <c r="U786" s="48" t="str">
        <f>IF(OR($S786&lt;&gt;"Win",NOT(ISNUMBER($T786)),NOT(ISNUMBER($R786))),"",MAX(0,$T786-$R786))</f>
        <v/>
      </c>
      <c r="V786" s="49" t="str">
        <f>IF(OR($AM786=0,NOT(ISNUMBER($H786)),NOT(ISNUMBER($I786)),NOT(ISNUMBER($G786))),"",IF(OR($AG786="",$AH786=""),"",IF(ROUND(ABS($H786-$I786)*ABS($G786)*$AG786*$AH786,6)=0,"",ROUND(ABS($H786-$I786)*ABS($G786)*$AG786*$AH786,6))))</f>
        <v/>
      </c>
      <c r="W786" s="50" t="str">
        <f>IF($AM786=0,"",IF($BG786="","OK",LEFT($BG786,LEN($BG786)-2)))</f>
        <v/>
      </c>
      <c r="X786" s="41" t="n"/>
      <c r="Y786" s="40" t="n"/>
      <c r="Z786" s="41" t="n"/>
      <c r="AA786" s="41" t="n"/>
      <c r="AB786" s="40" t="n"/>
      <c r="AC786" s="51" t="n"/>
      <c r="AD786" s="51" t="n"/>
      <c r="AE786" s="40" t="n"/>
      <c r="AF786" s="52" t="str">
        <f>IF($AM786=0,"",IF($D786&lt;&gt;"",$D786,IF(IFERROR(INDEX(Accounts!$C$7:$C$16,MATCH($C786,Accounts!$B$7:$B$16,0))&amp;"","")&lt;&gt;"",INDEX(Accounts!$C$7:$C$16,MATCH($C786,Accounts!$B$7:$B$16,0)),Settings!$C$6)))</f>
        <v/>
      </c>
      <c r="AG786" s="53" t="str">
        <f>IF($AM786=0,"",IF(AND($BE786&gt;0,N(INDEX(Instruments!$D$6:$D$205,MAX(1,$BE786)))&gt;0),INDEX(Instruments!$D$6:$D$205,MAX(1,$BE786)),IF(N(INDEX(Settings!$D$14:$D$18,$BF786))&gt;0,INDEX(Settings!$D$14:$D$18,$BF786),"")))</f>
        <v/>
      </c>
      <c r="AH786" s="54" t="str">
        <f>IF($AM786=0,"",IF($AF786&lt;&gt;"Forex",1,IF(MID(UPPER(SUBSTITUTE(TRIM($E786),"/","")),4,3)=UPPER(TRIM(Settings!$C$7)),1,IF(LEFT(UPPER(SUBSTITUTE(TRIM($E786),"/","")),3)=UPPER(TRIM(Settings!$C$7)),IF(AND(ISNUMBER($K786),N($K786)&lt;&gt;0),1/$K786,""),""))))</f>
        <v/>
      </c>
      <c r="AI786" s="55" t="str">
        <f>IF($AM786=0,"",IF(OR(NOT(ISNUMBER($H786)),NOT(ISNUMBER($K786)),NOT(ISNUMBER($G786)),$AG786="",$AH786=""),"",ROUND(($K786-$H786)*IF($F786="Short",-1,1)*$G786*$AG786*$AH786,6)))</f>
        <v/>
      </c>
      <c r="AJ786" s="55" t="str">
        <f>IF($AM786=0,"",IF(INDEX(Settings!$E$14:$E$18,$BF786)="% of notional",IF(OR($AG786="",NOT(ISNUMBER($H786)),NOT(ISNUMBER($G786))),"",ROUND(ABS($H786*$G786*$AG786*N($AH786))*IF($L786="Limit",N(INDEX(Settings!$G$14:$G$18,$BF786)),N(INDEX(Settings!$H$14:$H$18,$BF786)))+IF(ISNUMBER($K786),ABS($K786*$G786*$AG786*N($AH786))*IF($M786="Target",N(INDEX(Settings!$G$14:$G$18,$BF786)),N(INDEX(Settings!$H$14:$H$18,$BF786))),0),6)),IF(NOT(ISNUMBER($G786)),"",ROUND(ABS($G786)*2*IF(AND($BE786&gt;0,ISNUMBER(INDEX(Instruments!$G$6:$G$205,MAX(1,$BE786)))),INDEX(Instruments!$G$6:$G$205,MAX(1,$BE786)),N(INDEX(Settings!$F$14:$F$18,$BF786))),6))))</f>
        <v/>
      </c>
      <c r="AK786" s="55" t="str">
        <f>IF($AM786=0,"",IF(ISNUMBER($O786),$O786,$AI786))</f>
        <v/>
      </c>
      <c r="AL786" s="55" t="str">
        <f>IF($AM786=0,"",IF(ISNUMBER($P786),$P786,N($AJ786)))</f>
        <v/>
      </c>
      <c r="AM786" s="56">
        <f>IF(AND($A786&lt;&gt;"",$E786&lt;&gt;"",OR(AND(ISNUMBER($G786),ISNUMBER($H786),ISNUMBER($K786)),ISNUMBER($O786))),1,0)</f>
        <v>0</v>
      </c>
      <c r="AN786" s="57" t="str">
        <f>IF($A786="","",$A786-WEEKDAY($A786,3))</f>
        <v/>
      </c>
      <c r="AO786" s="56" t="str">
        <f>IF($A786="","",WEEKDAY($A786,2))</f>
        <v/>
      </c>
      <c r="AP786" s="55" t="str">
        <f>IF(OR($AM786=0,$C786=""),"",IFERROR(N(INDEX(Accounts!$E$7:$E$16,MATCH($C786,Accounts!$B$7:$B$16,0))),0)+SUMIFS($Q$6:$Q786,$C$6:$C786,$C786))</f>
        <v/>
      </c>
      <c r="AQ786" s="55" t="str">
        <f>IF(OR($AM786=0,$C786=""),"",SUMIFS($Q$6:$Q$1005,$C$6:$C$1005,$C786,$A$6:$A$1005,$A786))</f>
        <v/>
      </c>
      <c r="AR786" s="55" t="str">
        <f>IF(OR($AM786=0,$C786=""),"",IFERROR(N(INDEX(Accounts!$E$7:$E$16,MATCH($C786,Accounts!$B$7:$B$16,0))),0)+SUMIFS($Q$6:$Q$1005,$C$6:$C$1005,$C786,$A$6:$A$1005,"&lt;="&amp;$A786))</f>
        <v/>
      </c>
      <c r="AS786" s="56">
        <f>IF(OR($AM786=0,$Q786=""),0,IF(AND($A786&gt;=Lists!$W$6,$A786&lt;=Lists!$W$7,OR(Dashboard!$D$6="All accounts",$C786=Dashboard!$D$6),OR(Dashboard!$D$7="All markets",$AF786=Dashboard!$D$7)),1,0))</f>
        <v>0</v>
      </c>
      <c r="AT786" s="55">
        <f>IF($AS786=1,N(AT785)+$Q786,N(AT785))</f>
        <v>1187.10688</v>
      </c>
      <c r="AU786" s="55">
        <f>MAX(N(AU785),$AT786)</f>
        <v>1187.10688</v>
      </c>
      <c r="AV786" s="55">
        <f>$AT786-$AU786</f>
        <v>0</v>
      </c>
      <c r="AW786" s="56">
        <f>IF($AS786=1,IF($S786="Win",N(AW785)+1,IF($S786="Loss",0,N(AW785))),N(AW785))</f>
        <v>5</v>
      </c>
      <c r="AX786" s="56">
        <f>IF($AS786=1,IF($S786="Loss",N(AX785)+1,IF($S786="Win",0,N(AX785))),N(AX785))</f>
        <v>0</v>
      </c>
      <c r="AY786" s="56" t="str">
        <f>IF($AS786=1,COUNTIF($AS$6:$AS786,1),"")</f>
        <v/>
      </c>
      <c r="AZ786" s="56">
        <f>MIN(780,N(Lists!$W$8))</f>
        <v>28</v>
      </c>
      <c r="BA786" s="56">
        <f>IF($AS786=1,IF(COUNTIFS($A$6:$A786,$A786,$AS$6:$AS786,1)=1,1,0),0)</f>
        <v>0</v>
      </c>
      <c r="BB786" s="55" t="str">
        <f>IF($BA786=1,SUMIFS($Q$6:$Q$1005,$A$6:$A$1005,$A786,$AS$6:$AS$1005,1),"")</f>
        <v/>
      </c>
      <c r="BC786" s="56">
        <f>IF(ISNUMBER($R786),1,0)</f>
        <v>0</v>
      </c>
      <c r="BD786" s="55" t="str">
        <f>IF(ISNUMBER($U786),$U786*$V786,"")</f>
        <v/>
      </c>
      <c r="BE786" s="56" t="str">
        <f>IF($AM786=0,"",IFERROR(MATCH($AF786&amp;"|"&amp;UPPER(TRIM($E786)),Lists!$A$6:$A$205,0),0))</f>
        <v/>
      </c>
      <c r="BF786" s="56" t="str">
        <f>IF($AM786=0,"",IFERROR(MATCH($AF786,Settings!$B$14:$B$18,0),IFERROR(MATCH(Settings!$C$6,Settings!$B$14:$B$18,0),1)))</f>
        <v/>
      </c>
      <c r="BG786" s="58" t="str">
        <f>IF($AM786=0,"",IF(NOT(ISNUMBER($I786)),"No stop; ","")&amp;IF(AND(ISNUMBER($H786),ISNUMBER($I786)),IF(OR(AND($F786&lt;&gt;"Short",$I786&gt;=$H786),AND($F786="Short",$I786&lt;=$H786)),"Stop on wrong side; ",""),"")&amp;IF($F786="","No direction; ","")&amp;IF(AND(ISNUMBER(Settings!$C$22),ISNUMBER($V786)),IF($V786&gt;Settings!$C$22,"Risk over max $; ",""),"")&amp;IF(AND(ISNUMBER(Settings!$C$23),ISNUMBER($V786),ISNUMBER($AP786),IFERROR(N(INDEX(Accounts!$E$7:$E$16,MATCH($C786,Accounts!$B$7:$B$16,0))),0)&gt;0),IF($V786&gt;Settings!$C$23*($AP786-N($Q786)),"Risk over max %; ",""),"")&amp;IF(AND(ISNUMBER(Settings!$C$24),ISNUMBER($N786)),IF($N786&gt;Settings!$C$24,"Leverage over max; ",""),"")&amp;IF(AND(ISNUMBER(Settings!$C$27),ISNUMBER($T786)),IF($T786&lt;Settings!$C$27,"R:R below min; ",""),"")&amp;IF(ISNUMBER(Settings!$C$25),IF(COUNTIFS($A$6:$A786,$A786,$AM$6:$AM786,1)&gt;Settings!$C$25,"Over max trades/day; ",""),"")&amp;IF(ISNUMBER(Settings!$C$26),IF(SUMIFS($Q$5:$Q785,$A$5:$A785,$A786)&lt;=-Settings!$C$26,"Traded after daily max loss; ",""),"")&amp;IF(AND($AG786="",NOT(ISNUMBER($O786))),"Symbol not in Instruments; ","")&amp;IF(AND($AH786="",NOT(ISNUMBER($O786))),"Forex cross: type Gross P&amp;L; ",""))</f>
        <v/>
      </c>
      <c r="BH786" s="56">
        <f>IF(ISNUMBER($Q786),1,0)</f>
        <v>0</v>
      </c>
      <c r="BI786" s="56">
        <f>IF($Y786="",0,1)</f>
        <v>0</v>
      </c>
      <c r="BJ786" s="56">
        <f>IF($AB786="",0,1)</f>
        <v>0</v>
      </c>
      <c r="BK786" s="56">
        <f>IF(AND($BH786=1,$W786&lt;&gt;"OK"),1,0)</f>
        <v>0</v>
      </c>
      <c r="BL786" s="55">
        <f>IF(N($AZ786)=0,0,IFERROR(INDEX($AT$6:$AT$1005,MATCH($AZ786,$AY$6:$AY$1005,0)),0))</f>
        <v>1187.10688</v>
      </c>
      <c r="BM786" s="56">
        <f>IF(ISNUMBER(SEARCH("daily max loss",$BG786)),1,0)</f>
        <v>0</v>
      </c>
    </row>
    <row r="787" ht="18" customHeight="1">
      <c r="A787" s="38" t="n"/>
      <c r="B787" s="39" t="n"/>
      <c r="C787" s="40" t="n"/>
      <c r="D787" s="41" t="n"/>
      <c r="E787" s="41" t="n"/>
      <c r="F787" s="41" t="n"/>
      <c r="G787" s="41" t="n"/>
      <c r="H787" s="42" t="n"/>
      <c r="I787" s="42" t="n"/>
      <c r="J787" s="42" t="n"/>
      <c r="K787" s="42" t="n"/>
      <c r="L787" s="41" t="n"/>
      <c r="M787" s="41" t="n"/>
      <c r="N787" s="41" t="n"/>
      <c r="O787" s="43" t="n"/>
      <c r="P787" s="43" t="n"/>
      <c r="Q787" s="44" t="str">
        <f>IF($AM787=0,"",IF(ISNUMBER($AK787),$AK787-N($AL787),""))</f>
        <v/>
      </c>
      <c r="R787" s="45" t="str">
        <f>IF(OR($Q787="",NOT(ISNUMBER($V787))),"",$AK787/$V787)</f>
        <v/>
      </c>
      <c r="S787" s="46" t="str">
        <f>IF($Q787="","",IF(AND(ISNUMBER($R787),ABS(N($R787))&lt;N(Settings!$C$8)),"Scratch",IF($Q787&gt;0,"Win",IF($Q787&lt;0,"Loss","Scratch"))))</f>
        <v/>
      </c>
      <c r="T787" s="47" t="str">
        <f>IF(OR($AM787=0,NOT(ISNUMBER($H787)),NOT(ISNUMBER($I787)),NOT(ISNUMBER($J787))),"",IF($H787=$I787,"",ROUND(ABS($J787-$H787)/ABS($H787-$I787),6)))</f>
        <v/>
      </c>
      <c r="U787" s="48" t="str">
        <f>IF(OR($S787&lt;&gt;"Win",NOT(ISNUMBER($T787)),NOT(ISNUMBER($R787))),"",MAX(0,$T787-$R787))</f>
        <v/>
      </c>
      <c r="V787" s="49" t="str">
        <f>IF(OR($AM787=0,NOT(ISNUMBER($H787)),NOT(ISNUMBER($I787)),NOT(ISNUMBER($G787))),"",IF(OR($AG787="",$AH787=""),"",IF(ROUND(ABS($H787-$I787)*ABS($G787)*$AG787*$AH787,6)=0,"",ROUND(ABS($H787-$I787)*ABS($G787)*$AG787*$AH787,6))))</f>
        <v/>
      </c>
      <c r="W787" s="50" t="str">
        <f>IF($AM787=0,"",IF($BG787="","OK",LEFT($BG787,LEN($BG787)-2)))</f>
        <v/>
      </c>
      <c r="X787" s="41" t="n"/>
      <c r="Y787" s="40" t="n"/>
      <c r="Z787" s="41" t="n"/>
      <c r="AA787" s="41" t="n"/>
      <c r="AB787" s="40" t="n"/>
      <c r="AC787" s="51" t="n"/>
      <c r="AD787" s="51" t="n"/>
      <c r="AE787" s="40" t="n"/>
      <c r="AF787" s="52" t="str">
        <f>IF($AM787=0,"",IF($D787&lt;&gt;"",$D787,IF(IFERROR(INDEX(Accounts!$C$7:$C$16,MATCH($C787,Accounts!$B$7:$B$16,0))&amp;"","")&lt;&gt;"",INDEX(Accounts!$C$7:$C$16,MATCH($C787,Accounts!$B$7:$B$16,0)),Settings!$C$6)))</f>
        <v/>
      </c>
      <c r="AG787" s="53" t="str">
        <f>IF($AM787=0,"",IF(AND($BE787&gt;0,N(INDEX(Instruments!$D$6:$D$205,MAX(1,$BE787)))&gt;0),INDEX(Instruments!$D$6:$D$205,MAX(1,$BE787)),IF(N(INDEX(Settings!$D$14:$D$18,$BF787))&gt;0,INDEX(Settings!$D$14:$D$18,$BF787),"")))</f>
        <v/>
      </c>
      <c r="AH787" s="54" t="str">
        <f>IF($AM787=0,"",IF($AF787&lt;&gt;"Forex",1,IF(MID(UPPER(SUBSTITUTE(TRIM($E787),"/","")),4,3)=UPPER(TRIM(Settings!$C$7)),1,IF(LEFT(UPPER(SUBSTITUTE(TRIM($E787),"/","")),3)=UPPER(TRIM(Settings!$C$7)),IF(AND(ISNUMBER($K787),N($K787)&lt;&gt;0),1/$K787,""),""))))</f>
        <v/>
      </c>
      <c r="AI787" s="55" t="str">
        <f>IF($AM787=0,"",IF(OR(NOT(ISNUMBER($H787)),NOT(ISNUMBER($K787)),NOT(ISNUMBER($G787)),$AG787="",$AH787=""),"",ROUND(($K787-$H787)*IF($F787="Short",-1,1)*$G787*$AG787*$AH787,6)))</f>
        <v/>
      </c>
      <c r="AJ787" s="55" t="str">
        <f>IF($AM787=0,"",IF(INDEX(Settings!$E$14:$E$18,$BF787)="% of notional",IF(OR($AG787="",NOT(ISNUMBER($H787)),NOT(ISNUMBER($G787))),"",ROUND(ABS($H787*$G787*$AG787*N($AH787))*IF($L787="Limit",N(INDEX(Settings!$G$14:$G$18,$BF787)),N(INDEX(Settings!$H$14:$H$18,$BF787)))+IF(ISNUMBER($K787),ABS($K787*$G787*$AG787*N($AH787))*IF($M787="Target",N(INDEX(Settings!$G$14:$G$18,$BF787)),N(INDEX(Settings!$H$14:$H$18,$BF787))),0),6)),IF(NOT(ISNUMBER($G787)),"",ROUND(ABS($G787)*2*IF(AND($BE787&gt;0,ISNUMBER(INDEX(Instruments!$G$6:$G$205,MAX(1,$BE787)))),INDEX(Instruments!$G$6:$G$205,MAX(1,$BE787)),N(INDEX(Settings!$F$14:$F$18,$BF787))),6))))</f>
        <v/>
      </c>
      <c r="AK787" s="55" t="str">
        <f>IF($AM787=0,"",IF(ISNUMBER($O787),$O787,$AI787))</f>
        <v/>
      </c>
      <c r="AL787" s="55" t="str">
        <f>IF($AM787=0,"",IF(ISNUMBER($P787),$P787,N($AJ787)))</f>
        <v/>
      </c>
      <c r="AM787" s="56">
        <f>IF(AND($A787&lt;&gt;"",$E787&lt;&gt;"",OR(AND(ISNUMBER($G787),ISNUMBER($H787),ISNUMBER($K787)),ISNUMBER($O787))),1,0)</f>
        <v>0</v>
      </c>
      <c r="AN787" s="57" t="str">
        <f>IF($A787="","",$A787-WEEKDAY($A787,3))</f>
        <v/>
      </c>
      <c r="AO787" s="56" t="str">
        <f>IF($A787="","",WEEKDAY($A787,2))</f>
        <v/>
      </c>
      <c r="AP787" s="55" t="str">
        <f>IF(OR($AM787=0,$C787=""),"",IFERROR(N(INDEX(Accounts!$E$7:$E$16,MATCH($C787,Accounts!$B$7:$B$16,0))),0)+SUMIFS($Q$6:$Q787,$C$6:$C787,$C787))</f>
        <v/>
      </c>
      <c r="AQ787" s="55" t="str">
        <f>IF(OR($AM787=0,$C787=""),"",SUMIFS($Q$6:$Q$1005,$C$6:$C$1005,$C787,$A$6:$A$1005,$A787))</f>
        <v/>
      </c>
      <c r="AR787" s="55" t="str">
        <f>IF(OR($AM787=0,$C787=""),"",IFERROR(N(INDEX(Accounts!$E$7:$E$16,MATCH($C787,Accounts!$B$7:$B$16,0))),0)+SUMIFS($Q$6:$Q$1005,$C$6:$C$1005,$C787,$A$6:$A$1005,"&lt;="&amp;$A787))</f>
        <v/>
      </c>
      <c r="AS787" s="56">
        <f>IF(OR($AM787=0,$Q787=""),0,IF(AND($A787&gt;=Lists!$W$6,$A787&lt;=Lists!$W$7,OR(Dashboard!$D$6="All accounts",$C787=Dashboard!$D$6),OR(Dashboard!$D$7="All markets",$AF787=Dashboard!$D$7)),1,0))</f>
        <v>0</v>
      </c>
      <c r="AT787" s="55">
        <f>IF($AS787=1,N(AT786)+$Q787,N(AT786))</f>
        <v>1187.10688</v>
      </c>
      <c r="AU787" s="55">
        <f>MAX(N(AU786),$AT787)</f>
        <v>1187.10688</v>
      </c>
      <c r="AV787" s="55">
        <f>$AT787-$AU787</f>
        <v>0</v>
      </c>
      <c r="AW787" s="56">
        <f>IF($AS787=1,IF($S787="Win",N(AW786)+1,IF($S787="Loss",0,N(AW786))),N(AW786))</f>
        <v>5</v>
      </c>
      <c r="AX787" s="56">
        <f>IF($AS787=1,IF($S787="Loss",N(AX786)+1,IF($S787="Win",0,N(AX786))),N(AX786))</f>
        <v>0</v>
      </c>
      <c r="AY787" s="56" t="str">
        <f>IF($AS787=1,COUNTIF($AS$6:$AS787,1),"")</f>
        <v/>
      </c>
      <c r="AZ787" s="56">
        <f>MIN(781,N(Lists!$W$8))</f>
        <v>28</v>
      </c>
      <c r="BA787" s="56">
        <f>IF($AS787=1,IF(COUNTIFS($A$6:$A787,$A787,$AS$6:$AS787,1)=1,1,0),0)</f>
        <v>0</v>
      </c>
      <c r="BB787" s="55" t="str">
        <f>IF($BA787=1,SUMIFS($Q$6:$Q$1005,$A$6:$A$1005,$A787,$AS$6:$AS$1005,1),"")</f>
        <v/>
      </c>
      <c r="BC787" s="56">
        <f>IF(ISNUMBER($R787),1,0)</f>
        <v>0</v>
      </c>
      <c r="BD787" s="55" t="str">
        <f>IF(ISNUMBER($U787),$U787*$V787,"")</f>
        <v/>
      </c>
      <c r="BE787" s="56" t="str">
        <f>IF($AM787=0,"",IFERROR(MATCH($AF787&amp;"|"&amp;UPPER(TRIM($E787)),Lists!$A$6:$A$205,0),0))</f>
        <v/>
      </c>
      <c r="BF787" s="56" t="str">
        <f>IF($AM787=0,"",IFERROR(MATCH($AF787,Settings!$B$14:$B$18,0),IFERROR(MATCH(Settings!$C$6,Settings!$B$14:$B$18,0),1)))</f>
        <v/>
      </c>
      <c r="BG787" s="58" t="str">
        <f>IF($AM787=0,"",IF(NOT(ISNUMBER($I787)),"No stop; ","")&amp;IF(AND(ISNUMBER($H787),ISNUMBER($I787)),IF(OR(AND($F787&lt;&gt;"Short",$I787&gt;=$H787),AND($F787="Short",$I787&lt;=$H787)),"Stop on wrong side; ",""),"")&amp;IF($F787="","No direction; ","")&amp;IF(AND(ISNUMBER(Settings!$C$22),ISNUMBER($V787)),IF($V787&gt;Settings!$C$22,"Risk over max $; ",""),"")&amp;IF(AND(ISNUMBER(Settings!$C$23),ISNUMBER($V787),ISNUMBER($AP787),IFERROR(N(INDEX(Accounts!$E$7:$E$16,MATCH($C787,Accounts!$B$7:$B$16,0))),0)&gt;0),IF($V787&gt;Settings!$C$23*($AP787-N($Q787)),"Risk over max %; ",""),"")&amp;IF(AND(ISNUMBER(Settings!$C$24),ISNUMBER($N787)),IF($N787&gt;Settings!$C$24,"Leverage over max; ",""),"")&amp;IF(AND(ISNUMBER(Settings!$C$27),ISNUMBER($T787)),IF($T787&lt;Settings!$C$27,"R:R below min; ",""),"")&amp;IF(ISNUMBER(Settings!$C$25),IF(COUNTIFS($A$6:$A787,$A787,$AM$6:$AM787,1)&gt;Settings!$C$25,"Over max trades/day; ",""),"")&amp;IF(ISNUMBER(Settings!$C$26),IF(SUMIFS($Q$5:$Q786,$A$5:$A786,$A787)&lt;=-Settings!$C$26,"Traded after daily max loss; ",""),"")&amp;IF(AND($AG787="",NOT(ISNUMBER($O787))),"Symbol not in Instruments; ","")&amp;IF(AND($AH787="",NOT(ISNUMBER($O787))),"Forex cross: type Gross P&amp;L; ",""))</f>
        <v/>
      </c>
      <c r="BH787" s="56">
        <f>IF(ISNUMBER($Q787),1,0)</f>
        <v>0</v>
      </c>
      <c r="BI787" s="56">
        <f>IF($Y787="",0,1)</f>
        <v>0</v>
      </c>
      <c r="BJ787" s="56">
        <f>IF($AB787="",0,1)</f>
        <v>0</v>
      </c>
      <c r="BK787" s="56">
        <f>IF(AND($BH787=1,$W787&lt;&gt;"OK"),1,0)</f>
        <v>0</v>
      </c>
      <c r="BL787" s="55">
        <f>IF(N($AZ787)=0,0,IFERROR(INDEX($AT$6:$AT$1005,MATCH($AZ787,$AY$6:$AY$1005,0)),0))</f>
        <v>1187.10688</v>
      </c>
      <c r="BM787" s="56">
        <f>IF(ISNUMBER(SEARCH("daily max loss",$BG787)),1,0)</f>
        <v>0</v>
      </c>
    </row>
    <row r="788" ht="18" customHeight="1">
      <c r="A788" s="38" t="n"/>
      <c r="B788" s="39" t="n"/>
      <c r="C788" s="40" t="n"/>
      <c r="D788" s="41" t="n"/>
      <c r="E788" s="41" t="n"/>
      <c r="F788" s="41" t="n"/>
      <c r="G788" s="41" t="n"/>
      <c r="H788" s="42" t="n"/>
      <c r="I788" s="42" t="n"/>
      <c r="J788" s="42" t="n"/>
      <c r="K788" s="42" t="n"/>
      <c r="L788" s="41" t="n"/>
      <c r="M788" s="41" t="n"/>
      <c r="N788" s="41" t="n"/>
      <c r="O788" s="43" t="n"/>
      <c r="P788" s="43" t="n"/>
      <c r="Q788" s="44" t="str">
        <f>IF($AM788=0,"",IF(ISNUMBER($AK788),$AK788-N($AL788),""))</f>
        <v/>
      </c>
      <c r="R788" s="45" t="str">
        <f>IF(OR($Q788="",NOT(ISNUMBER($V788))),"",$AK788/$V788)</f>
        <v/>
      </c>
      <c r="S788" s="46" t="str">
        <f>IF($Q788="","",IF(AND(ISNUMBER($R788),ABS(N($R788))&lt;N(Settings!$C$8)),"Scratch",IF($Q788&gt;0,"Win",IF($Q788&lt;0,"Loss","Scratch"))))</f>
        <v/>
      </c>
      <c r="T788" s="47" t="str">
        <f>IF(OR($AM788=0,NOT(ISNUMBER($H788)),NOT(ISNUMBER($I788)),NOT(ISNUMBER($J788))),"",IF($H788=$I788,"",ROUND(ABS($J788-$H788)/ABS($H788-$I788),6)))</f>
        <v/>
      </c>
      <c r="U788" s="48" t="str">
        <f>IF(OR($S788&lt;&gt;"Win",NOT(ISNUMBER($T788)),NOT(ISNUMBER($R788))),"",MAX(0,$T788-$R788))</f>
        <v/>
      </c>
      <c r="V788" s="49" t="str">
        <f>IF(OR($AM788=0,NOT(ISNUMBER($H788)),NOT(ISNUMBER($I788)),NOT(ISNUMBER($G788))),"",IF(OR($AG788="",$AH788=""),"",IF(ROUND(ABS($H788-$I788)*ABS($G788)*$AG788*$AH788,6)=0,"",ROUND(ABS($H788-$I788)*ABS($G788)*$AG788*$AH788,6))))</f>
        <v/>
      </c>
      <c r="W788" s="50" t="str">
        <f>IF($AM788=0,"",IF($BG788="","OK",LEFT($BG788,LEN($BG788)-2)))</f>
        <v/>
      </c>
      <c r="X788" s="41" t="n"/>
      <c r="Y788" s="40" t="n"/>
      <c r="Z788" s="41" t="n"/>
      <c r="AA788" s="41" t="n"/>
      <c r="AB788" s="40" t="n"/>
      <c r="AC788" s="51" t="n"/>
      <c r="AD788" s="51" t="n"/>
      <c r="AE788" s="40" t="n"/>
      <c r="AF788" s="52" t="str">
        <f>IF($AM788=0,"",IF($D788&lt;&gt;"",$D788,IF(IFERROR(INDEX(Accounts!$C$7:$C$16,MATCH($C788,Accounts!$B$7:$B$16,0))&amp;"","")&lt;&gt;"",INDEX(Accounts!$C$7:$C$16,MATCH($C788,Accounts!$B$7:$B$16,0)),Settings!$C$6)))</f>
        <v/>
      </c>
      <c r="AG788" s="53" t="str">
        <f>IF($AM788=0,"",IF(AND($BE788&gt;0,N(INDEX(Instruments!$D$6:$D$205,MAX(1,$BE788)))&gt;0),INDEX(Instruments!$D$6:$D$205,MAX(1,$BE788)),IF(N(INDEX(Settings!$D$14:$D$18,$BF788))&gt;0,INDEX(Settings!$D$14:$D$18,$BF788),"")))</f>
        <v/>
      </c>
      <c r="AH788" s="54" t="str">
        <f>IF($AM788=0,"",IF($AF788&lt;&gt;"Forex",1,IF(MID(UPPER(SUBSTITUTE(TRIM($E788),"/","")),4,3)=UPPER(TRIM(Settings!$C$7)),1,IF(LEFT(UPPER(SUBSTITUTE(TRIM($E788),"/","")),3)=UPPER(TRIM(Settings!$C$7)),IF(AND(ISNUMBER($K788),N($K788)&lt;&gt;0),1/$K788,""),""))))</f>
        <v/>
      </c>
      <c r="AI788" s="55" t="str">
        <f>IF($AM788=0,"",IF(OR(NOT(ISNUMBER($H788)),NOT(ISNUMBER($K788)),NOT(ISNUMBER($G788)),$AG788="",$AH788=""),"",ROUND(($K788-$H788)*IF($F788="Short",-1,1)*$G788*$AG788*$AH788,6)))</f>
        <v/>
      </c>
      <c r="AJ788" s="55" t="str">
        <f>IF($AM788=0,"",IF(INDEX(Settings!$E$14:$E$18,$BF788)="% of notional",IF(OR($AG788="",NOT(ISNUMBER($H788)),NOT(ISNUMBER($G788))),"",ROUND(ABS($H788*$G788*$AG788*N($AH788))*IF($L788="Limit",N(INDEX(Settings!$G$14:$G$18,$BF788)),N(INDEX(Settings!$H$14:$H$18,$BF788)))+IF(ISNUMBER($K788),ABS($K788*$G788*$AG788*N($AH788))*IF($M788="Target",N(INDEX(Settings!$G$14:$G$18,$BF788)),N(INDEX(Settings!$H$14:$H$18,$BF788))),0),6)),IF(NOT(ISNUMBER($G788)),"",ROUND(ABS($G788)*2*IF(AND($BE788&gt;0,ISNUMBER(INDEX(Instruments!$G$6:$G$205,MAX(1,$BE788)))),INDEX(Instruments!$G$6:$G$205,MAX(1,$BE788)),N(INDEX(Settings!$F$14:$F$18,$BF788))),6))))</f>
        <v/>
      </c>
      <c r="AK788" s="55" t="str">
        <f>IF($AM788=0,"",IF(ISNUMBER($O788),$O788,$AI788))</f>
        <v/>
      </c>
      <c r="AL788" s="55" t="str">
        <f>IF($AM788=0,"",IF(ISNUMBER($P788),$P788,N($AJ788)))</f>
        <v/>
      </c>
      <c r="AM788" s="56">
        <f>IF(AND($A788&lt;&gt;"",$E788&lt;&gt;"",OR(AND(ISNUMBER($G788),ISNUMBER($H788),ISNUMBER($K788)),ISNUMBER($O788))),1,0)</f>
        <v>0</v>
      </c>
      <c r="AN788" s="57" t="str">
        <f>IF($A788="","",$A788-WEEKDAY($A788,3))</f>
        <v/>
      </c>
      <c r="AO788" s="56" t="str">
        <f>IF($A788="","",WEEKDAY($A788,2))</f>
        <v/>
      </c>
      <c r="AP788" s="55" t="str">
        <f>IF(OR($AM788=0,$C788=""),"",IFERROR(N(INDEX(Accounts!$E$7:$E$16,MATCH($C788,Accounts!$B$7:$B$16,0))),0)+SUMIFS($Q$6:$Q788,$C$6:$C788,$C788))</f>
        <v/>
      </c>
      <c r="AQ788" s="55" t="str">
        <f>IF(OR($AM788=0,$C788=""),"",SUMIFS($Q$6:$Q$1005,$C$6:$C$1005,$C788,$A$6:$A$1005,$A788))</f>
        <v/>
      </c>
      <c r="AR788" s="55" t="str">
        <f>IF(OR($AM788=0,$C788=""),"",IFERROR(N(INDEX(Accounts!$E$7:$E$16,MATCH($C788,Accounts!$B$7:$B$16,0))),0)+SUMIFS($Q$6:$Q$1005,$C$6:$C$1005,$C788,$A$6:$A$1005,"&lt;="&amp;$A788))</f>
        <v/>
      </c>
      <c r="AS788" s="56">
        <f>IF(OR($AM788=0,$Q788=""),0,IF(AND($A788&gt;=Lists!$W$6,$A788&lt;=Lists!$W$7,OR(Dashboard!$D$6="All accounts",$C788=Dashboard!$D$6),OR(Dashboard!$D$7="All markets",$AF788=Dashboard!$D$7)),1,0))</f>
        <v>0</v>
      </c>
      <c r="AT788" s="55">
        <f>IF($AS788=1,N(AT787)+$Q788,N(AT787))</f>
        <v>1187.10688</v>
      </c>
      <c r="AU788" s="55">
        <f>MAX(N(AU787),$AT788)</f>
        <v>1187.10688</v>
      </c>
      <c r="AV788" s="55">
        <f>$AT788-$AU788</f>
        <v>0</v>
      </c>
      <c r="AW788" s="56">
        <f>IF($AS788=1,IF($S788="Win",N(AW787)+1,IF($S788="Loss",0,N(AW787))),N(AW787))</f>
        <v>5</v>
      </c>
      <c r="AX788" s="56">
        <f>IF($AS788=1,IF($S788="Loss",N(AX787)+1,IF($S788="Win",0,N(AX787))),N(AX787))</f>
        <v>0</v>
      </c>
      <c r="AY788" s="56" t="str">
        <f>IF($AS788=1,COUNTIF($AS$6:$AS788,1),"")</f>
        <v/>
      </c>
      <c r="AZ788" s="56">
        <f>MIN(782,N(Lists!$W$8))</f>
        <v>28</v>
      </c>
      <c r="BA788" s="56">
        <f>IF($AS788=1,IF(COUNTIFS($A$6:$A788,$A788,$AS$6:$AS788,1)=1,1,0),0)</f>
        <v>0</v>
      </c>
      <c r="BB788" s="55" t="str">
        <f>IF($BA788=1,SUMIFS($Q$6:$Q$1005,$A$6:$A$1005,$A788,$AS$6:$AS$1005,1),"")</f>
        <v/>
      </c>
      <c r="BC788" s="56">
        <f>IF(ISNUMBER($R788),1,0)</f>
        <v>0</v>
      </c>
      <c r="BD788" s="55" t="str">
        <f>IF(ISNUMBER($U788),$U788*$V788,"")</f>
        <v/>
      </c>
      <c r="BE788" s="56" t="str">
        <f>IF($AM788=0,"",IFERROR(MATCH($AF788&amp;"|"&amp;UPPER(TRIM($E788)),Lists!$A$6:$A$205,0),0))</f>
        <v/>
      </c>
      <c r="BF788" s="56" t="str">
        <f>IF($AM788=0,"",IFERROR(MATCH($AF788,Settings!$B$14:$B$18,0),IFERROR(MATCH(Settings!$C$6,Settings!$B$14:$B$18,0),1)))</f>
        <v/>
      </c>
      <c r="BG788" s="58" t="str">
        <f>IF($AM788=0,"",IF(NOT(ISNUMBER($I788)),"No stop; ","")&amp;IF(AND(ISNUMBER($H788),ISNUMBER($I788)),IF(OR(AND($F788&lt;&gt;"Short",$I788&gt;=$H788),AND($F788="Short",$I788&lt;=$H788)),"Stop on wrong side; ",""),"")&amp;IF($F788="","No direction; ","")&amp;IF(AND(ISNUMBER(Settings!$C$22),ISNUMBER($V788)),IF($V788&gt;Settings!$C$22,"Risk over max $; ",""),"")&amp;IF(AND(ISNUMBER(Settings!$C$23),ISNUMBER($V788),ISNUMBER($AP788),IFERROR(N(INDEX(Accounts!$E$7:$E$16,MATCH($C788,Accounts!$B$7:$B$16,0))),0)&gt;0),IF($V788&gt;Settings!$C$23*($AP788-N($Q788)),"Risk over max %; ",""),"")&amp;IF(AND(ISNUMBER(Settings!$C$24),ISNUMBER($N788)),IF($N788&gt;Settings!$C$24,"Leverage over max; ",""),"")&amp;IF(AND(ISNUMBER(Settings!$C$27),ISNUMBER($T788)),IF($T788&lt;Settings!$C$27,"R:R below min; ",""),"")&amp;IF(ISNUMBER(Settings!$C$25),IF(COUNTIFS($A$6:$A788,$A788,$AM$6:$AM788,1)&gt;Settings!$C$25,"Over max trades/day; ",""),"")&amp;IF(ISNUMBER(Settings!$C$26),IF(SUMIFS($Q$5:$Q787,$A$5:$A787,$A788)&lt;=-Settings!$C$26,"Traded after daily max loss; ",""),"")&amp;IF(AND($AG788="",NOT(ISNUMBER($O788))),"Symbol not in Instruments; ","")&amp;IF(AND($AH788="",NOT(ISNUMBER($O788))),"Forex cross: type Gross P&amp;L; ",""))</f>
        <v/>
      </c>
      <c r="BH788" s="56">
        <f>IF(ISNUMBER($Q788),1,0)</f>
        <v>0</v>
      </c>
      <c r="BI788" s="56">
        <f>IF($Y788="",0,1)</f>
        <v>0</v>
      </c>
      <c r="BJ788" s="56">
        <f>IF($AB788="",0,1)</f>
        <v>0</v>
      </c>
      <c r="BK788" s="56">
        <f>IF(AND($BH788=1,$W788&lt;&gt;"OK"),1,0)</f>
        <v>0</v>
      </c>
      <c r="BL788" s="55">
        <f>IF(N($AZ788)=0,0,IFERROR(INDEX($AT$6:$AT$1005,MATCH($AZ788,$AY$6:$AY$1005,0)),0))</f>
        <v>1187.10688</v>
      </c>
      <c r="BM788" s="56">
        <f>IF(ISNUMBER(SEARCH("daily max loss",$BG788)),1,0)</f>
        <v>0</v>
      </c>
    </row>
    <row r="789" ht="18" customHeight="1">
      <c r="A789" s="38" t="n"/>
      <c r="B789" s="39" t="n"/>
      <c r="C789" s="40" t="n"/>
      <c r="D789" s="41" t="n"/>
      <c r="E789" s="41" t="n"/>
      <c r="F789" s="41" t="n"/>
      <c r="G789" s="41" t="n"/>
      <c r="H789" s="42" t="n"/>
      <c r="I789" s="42" t="n"/>
      <c r="J789" s="42" t="n"/>
      <c r="K789" s="42" t="n"/>
      <c r="L789" s="41" t="n"/>
      <c r="M789" s="41" t="n"/>
      <c r="N789" s="41" t="n"/>
      <c r="O789" s="43" t="n"/>
      <c r="P789" s="43" t="n"/>
      <c r="Q789" s="44" t="str">
        <f>IF($AM789=0,"",IF(ISNUMBER($AK789),$AK789-N($AL789),""))</f>
        <v/>
      </c>
      <c r="R789" s="45" t="str">
        <f>IF(OR($Q789="",NOT(ISNUMBER($V789))),"",$AK789/$V789)</f>
        <v/>
      </c>
      <c r="S789" s="46" t="str">
        <f>IF($Q789="","",IF(AND(ISNUMBER($R789),ABS(N($R789))&lt;N(Settings!$C$8)),"Scratch",IF($Q789&gt;0,"Win",IF($Q789&lt;0,"Loss","Scratch"))))</f>
        <v/>
      </c>
      <c r="T789" s="47" t="str">
        <f>IF(OR($AM789=0,NOT(ISNUMBER($H789)),NOT(ISNUMBER($I789)),NOT(ISNUMBER($J789))),"",IF($H789=$I789,"",ROUND(ABS($J789-$H789)/ABS($H789-$I789),6)))</f>
        <v/>
      </c>
      <c r="U789" s="48" t="str">
        <f>IF(OR($S789&lt;&gt;"Win",NOT(ISNUMBER($T789)),NOT(ISNUMBER($R789))),"",MAX(0,$T789-$R789))</f>
        <v/>
      </c>
      <c r="V789" s="49" t="str">
        <f>IF(OR($AM789=0,NOT(ISNUMBER($H789)),NOT(ISNUMBER($I789)),NOT(ISNUMBER($G789))),"",IF(OR($AG789="",$AH789=""),"",IF(ROUND(ABS($H789-$I789)*ABS($G789)*$AG789*$AH789,6)=0,"",ROUND(ABS($H789-$I789)*ABS($G789)*$AG789*$AH789,6))))</f>
        <v/>
      </c>
      <c r="W789" s="50" t="str">
        <f>IF($AM789=0,"",IF($BG789="","OK",LEFT($BG789,LEN($BG789)-2)))</f>
        <v/>
      </c>
      <c r="X789" s="41" t="n"/>
      <c r="Y789" s="40" t="n"/>
      <c r="Z789" s="41" t="n"/>
      <c r="AA789" s="41" t="n"/>
      <c r="AB789" s="40" t="n"/>
      <c r="AC789" s="51" t="n"/>
      <c r="AD789" s="51" t="n"/>
      <c r="AE789" s="40" t="n"/>
      <c r="AF789" s="52" t="str">
        <f>IF($AM789=0,"",IF($D789&lt;&gt;"",$D789,IF(IFERROR(INDEX(Accounts!$C$7:$C$16,MATCH($C789,Accounts!$B$7:$B$16,0))&amp;"","")&lt;&gt;"",INDEX(Accounts!$C$7:$C$16,MATCH($C789,Accounts!$B$7:$B$16,0)),Settings!$C$6)))</f>
        <v/>
      </c>
      <c r="AG789" s="53" t="str">
        <f>IF($AM789=0,"",IF(AND($BE789&gt;0,N(INDEX(Instruments!$D$6:$D$205,MAX(1,$BE789)))&gt;0),INDEX(Instruments!$D$6:$D$205,MAX(1,$BE789)),IF(N(INDEX(Settings!$D$14:$D$18,$BF789))&gt;0,INDEX(Settings!$D$14:$D$18,$BF789),"")))</f>
        <v/>
      </c>
      <c r="AH789" s="54" t="str">
        <f>IF($AM789=0,"",IF($AF789&lt;&gt;"Forex",1,IF(MID(UPPER(SUBSTITUTE(TRIM($E789),"/","")),4,3)=UPPER(TRIM(Settings!$C$7)),1,IF(LEFT(UPPER(SUBSTITUTE(TRIM($E789),"/","")),3)=UPPER(TRIM(Settings!$C$7)),IF(AND(ISNUMBER($K789),N($K789)&lt;&gt;0),1/$K789,""),""))))</f>
        <v/>
      </c>
      <c r="AI789" s="55" t="str">
        <f>IF($AM789=0,"",IF(OR(NOT(ISNUMBER($H789)),NOT(ISNUMBER($K789)),NOT(ISNUMBER($G789)),$AG789="",$AH789=""),"",ROUND(($K789-$H789)*IF($F789="Short",-1,1)*$G789*$AG789*$AH789,6)))</f>
        <v/>
      </c>
      <c r="AJ789" s="55" t="str">
        <f>IF($AM789=0,"",IF(INDEX(Settings!$E$14:$E$18,$BF789)="% of notional",IF(OR($AG789="",NOT(ISNUMBER($H789)),NOT(ISNUMBER($G789))),"",ROUND(ABS($H789*$G789*$AG789*N($AH789))*IF($L789="Limit",N(INDEX(Settings!$G$14:$G$18,$BF789)),N(INDEX(Settings!$H$14:$H$18,$BF789)))+IF(ISNUMBER($K789),ABS($K789*$G789*$AG789*N($AH789))*IF($M789="Target",N(INDEX(Settings!$G$14:$G$18,$BF789)),N(INDEX(Settings!$H$14:$H$18,$BF789))),0),6)),IF(NOT(ISNUMBER($G789)),"",ROUND(ABS($G789)*2*IF(AND($BE789&gt;0,ISNUMBER(INDEX(Instruments!$G$6:$G$205,MAX(1,$BE789)))),INDEX(Instruments!$G$6:$G$205,MAX(1,$BE789)),N(INDEX(Settings!$F$14:$F$18,$BF789))),6))))</f>
        <v/>
      </c>
      <c r="AK789" s="55" t="str">
        <f>IF($AM789=0,"",IF(ISNUMBER($O789),$O789,$AI789))</f>
        <v/>
      </c>
      <c r="AL789" s="55" t="str">
        <f>IF($AM789=0,"",IF(ISNUMBER($P789),$P789,N($AJ789)))</f>
        <v/>
      </c>
      <c r="AM789" s="56">
        <f>IF(AND($A789&lt;&gt;"",$E789&lt;&gt;"",OR(AND(ISNUMBER($G789),ISNUMBER($H789),ISNUMBER($K789)),ISNUMBER($O789))),1,0)</f>
        <v>0</v>
      </c>
      <c r="AN789" s="57" t="str">
        <f>IF($A789="","",$A789-WEEKDAY($A789,3))</f>
        <v/>
      </c>
      <c r="AO789" s="56" t="str">
        <f>IF($A789="","",WEEKDAY($A789,2))</f>
        <v/>
      </c>
      <c r="AP789" s="55" t="str">
        <f>IF(OR($AM789=0,$C789=""),"",IFERROR(N(INDEX(Accounts!$E$7:$E$16,MATCH($C789,Accounts!$B$7:$B$16,0))),0)+SUMIFS($Q$6:$Q789,$C$6:$C789,$C789))</f>
        <v/>
      </c>
      <c r="AQ789" s="55" t="str">
        <f>IF(OR($AM789=0,$C789=""),"",SUMIFS($Q$6:$Q$1005,$C$6:$C$1005,$C789,$A$6:$A$1005,$A789))</f>
        <v/>
      </c>
      <c r="AR789" s="55" t="str">
        <f>IF(OR($AM789=0,$C789=""),"",IFERROR(N(INDEX(Accounts!$E$7:$E$16,MATCH($C789,Accounts!$B$7:$B$16,0))),0)+SUMIFS($Q$6:$Q$1005,$C$6:$C$1005,$C789,$A$6:$A$1005,"&lt;="&amp;$A789))</f>
        <v/>
      </c>
      <c r="AS789" s="56">
        <f>IF(OR($AM789=0,$Q789=""),0,IF(AND($A789&gt;=Lists!$W$6,$A789&lt;=Lists!$W$7,OR(Dashboard!$D$6="All accounts",$C789=Dashboard!$D$6),OR(Dashboard!$D$7="All markets",$AF789=Dashboard!$D$7)),1,0))</f>
        <v>0</v>
      </c>
      <c r="AT789" s="55">
        <f>IF($AS789=1,N(AT788)+$Q789,N(AT788))</f>
        <v>1187.10688</v>
      </c>
      <c r="AU789" s="55">
        <f>MAX(N(AU788),$AT789)</f>
        <v>1187.10688</v>
      </c>
      <c r="AV789" s="55">
        <f>$AT789-$AU789</f>
        <v>0</v>
      </c>
      <c r="AW789" s="56">
        <f>IF($AS789=1,IF($S789="Win",N(AW788)+1,IF($S789="Loss",0,N(AW788))),N(AW788))</f>
        <v>5</v>
      </c>
      <c r="AX789" s="56">
        <f>IF($AS789=1,IF($S789="Loss",N(AX788)+1,IF($S789="Win",0,N(AX788))),N(AX788))</f>
        <v>0</v>
      </c>
      <c r="AY789" s="56" t="str">
        <f>IF($AS789=1,COUNTIF($AS$6:$AS789,1),"")</f>
        <v/>
      </c>
      <c r="AZ789" s="56">
        <f>MIN(783,N(Lists!$W$8))</f>
        <v>28</v>
      </c>
      <c r="BA789" s="56">
        <f>IF($AS789=1,IF(COUNTIFS($A$6:$A789,$A789,$AS$6:$AS789,1)=1,1,0),0)</f>
        <v>0</v>
      </c>
      <c r="BB789" s="55" t="str">
        <f>IF($BA789=1,SUMIFS($Q$6:$Q$1005,$A$6:$A$1005,$A789,$AS$6:$AS$1005,1),"")</f>
        <v/>
      </c>
      <c r="BC789" s="56">
        <f>IF(ISNUMBER($R789),1,0)</f>
        <v>0</v>
      </c>
      <c r="BD789" s="55" t="str">
        <f>IF(ISNUMBER($U789),$U789*$V789,"")</f>
        <v/>
      </c>
      <c r="BE789" s="56" t="str">
        <f>IF($AM789=0,"",IFERROR(MATCH($AF789&amp;"|"&amp;UPPER(TRIM($E789)),Lists!$A$6:$A$205,0),0))</f>
        <v/>
      </c>
      <c r="BF789" s="56" t="str">
        <f>IF($AM789=0,"",IFERROR(MATCH($AF789,Settings!$B$14:$B$18,0),IFERROR(MATCH(Settings!$C$6,Settings!$B$14:$B$18,0),1)))</f>
        <v/>
      </c>
      <c r="BG789" s="58" t="str">
        <f>IF($AM789=0,"",IF(NOT(ISNUMBER($I789)),"No stop; ","")&amp;IF(AND(ISNUMBER($H789),ISNUMBER($I789)),IF(OR(AND($F789&lt;&gt;"Short",$I789&gt;=$H789),AND($F789="Short",$I789&lt;=$H789)),"Stop on wrong side; ",""),"")&amp;IF($F789="","No direction; ","")&amp;IF(AND(ISNUMBER(Settings!$C$22),ISNUMBER($V789)),IF($V789&gt;Settings!$C$22,"Risk over max $; ",""),"")&amp;IF(AND(ISNUMBER(Settings!$C$23),ISNUMBER($V789),ISNUMBER($AP789),IFERROR(N(INDEX(Accounts!$E$7:$E$16,MATCH($C789,Accounts!$B$7:$B$16,0))),0)&gt;0),IF($V789&gt;Settings!$C$23*($AP789-N($Q789)),"Risk over max %; ",""),"")&amp;IF(AND(ISNUMBER(Settings!$C$24),ISNUMBER($N789)),IF($N789&gt;Settings!$C$24,"Leverage over max; ",""),"")&amp;IF(AND(ISNUMBER(Settings!$C$27),ISNUMBER($T789)),IF($T789&lt;Settings!$C$27,"R:R below min; ",""),"")&amp;IF(ISNUMBER(Settings!$C$25),IF(COUNTIFS($A$6:$A789,$A789,$AM$6:$AM789,1)&gt;Settings!$C$25,"Over max trades/day; ",""),"")&amp;IF(ISNUMBER(Settings!$C$26),IF(SUMIFS($Q$5:$Q788,$A$5:$A788,$A789)&lt;=-Settings!$C$26,"Traded after daily max loss; ",""),"")&amp;IF(AND($AG789="",NOT(ISNUMBER($O789))),"Symbol not in Instruments; ","")&amp;IF(AND($AH789="",NOT(ISNUMBER($O789))),"Forex cross: type Gross P&amp;L; ",""))</f>
        <v/>
      </c>
      <c r="BH789" s="56">
        <f>IF(ISNUMBER($Q789),1,0)</f>
        <v>0</v>
      </c>
      <c r="BI789" s="56">
        <f>IF($Y789="",0,1)</f>
        <v>0</v>
      </c>
      <c r="BJ789" s="56">
        <f>IF($AB789="",0,1)</f>
        <v>0</v>
      </c>
      <c r="BK789" s="56">
        <f>IF(AND($BH789=1,$W789&lt;&gt;"OK"),1,0)</f>
        <v>0</v>
      </c>
      <c r="BL789" s="55">
        <f>IF(N($AZ789)=0,0,IFERROR(INDEX($AT$6:$AT$1005,MATCH($AZ789,$AY$6:$AY$1005,0)),0))</f>
        <v>1187.10688</v>
      </c>
      <c r="BM789" s="56">
        <f>IF(ISNUMBER(SEARCH("daily max loss",$BG789)),1,0)</f>
        <v>0</v>
      </c>
    </row>
    <row r="790" ht="18" customHeight="1">
      <c r="A790" s="38" t="n"/>
      <c r="B790" s="39" t="n"/>
      <c r="C790" s="40" t="n"/>
      <c r="D790" s="41" t="n"/>
      <c r="E790" s="41" t="n"/>
      <c r="F790" s="41" t="n"/>
      <c r="G790" s="41" t="n"/>
      <c r="H790" s="42" t="n"/>
      <c r="I790" s="42" t="n"/>
      <c r="J790" s="42" t="n"/>
      <c r="K790" s="42" t="n"/>
      <c r="L790" s="41" t="n"/>
      <c r="M790" s="41" t="n"/>
      <c r="N790" s="41" t="n"/>
      <c r="O790" s="43" t="n"/>
      <c r="P790" s="43" t="n"/>
      <c r="Q790" s="44" t="str">
        <f>IF($AM790=0,"",IF(ISNUMBER($AK790),$AK790-N($AL790),""))</f>
        <v/>
      </c>
      <c r="R790" s="45" t="str">
        <f>IF(OR($Q790="",NOT(ISNUMBER($V790))),"",$AK790/$V790)</f>
        <v/>
      </c>
      <c r="S790" s="46" t="str">
        <f>IF($Q790="","",IF(AND(ISNUMBER($R790),ABS(N($R790))&lt;N(Settings!$C$8)),"Scratch",IF($Q790&gt;0,"Win",IF($Q790&lt;0,"Loss","Scratch"))))</f>
        <v/>
      </c>
      <c r="T790" s="47" t="str">
        <f>IF(OR($AM790=0,NOT(ISNUMBER($H790)),NOT(ISNUMBER($I790)),NOT(ISNUMBER($J790))),"",IF($H790=$I790,"",ROUND(ABS($J790-$H790)/ABS($H790-$I790),6)))</f>
        <v/>
      </c>
      <c r="U790" s="48" t="str">
        <f>IF(OR($S790&lt;&gt;"Win",NOT(ISNUMBER($T790)),NOT(ISNUMBER($R790))),"",MAX(0,$T790-$R790))</f>
        <v/>
      </c>
      <c r="V790" s="49" t="str">
        <f>IF(OR($AM790=0,NOT(ISNUMBER($H790)),NOT(ISNUMBER($I790)),NOT(ISNUMBER($G790))),"",IF(OR($AG790="",$AH790=""),"",IF(ROUND(ABS($H790-$I790)*ABS($G790)*$AG790*$AH790,6)=0,"",ROUND(ABS($H790-$I790)*ABS($G790)*$AG790*$AH790,6))))</f>
        <v/>
      </c>
      <c r="W790" s="50" t="str">
        <f>IF($AM790=0,"",IF($BG790="","OK",LEFT($BG790,LEN($BG790)-2)))</f>
        <v/>
      </c>
      <c r="X790" s="41" t="n"/>
      <c r="Y790" s="40" t="n"/>
      <c r="Z790" s="41" t="n"/>
      <c r="AA790" s="41" t="n"/>
      <c r="AB790" s="40" t="n"/>
      <c r="AC790" s="51" t="n"/>
      <c r="AD790" s="51" t="n"/>
      <c r="AE790" s="40" t="n"/>
      <c r="AF790" s="52" t="str">
        <f>IF($AM790=0,"",IF($D790&lt;&gt;"",$D790,IF(IFERROR(INDEX(Accounts!$C$7:$C$16,MATCH($C790,Accounts!$B$7:$B$16,0))&amp;"","")&lt;&gt;"",INDEX(Accounts!$C$7:$C$16,MATCH($C790,Accounts!$B$7:$B$16,0)),Settings!$C$6)))</f>
        <v/>
      </c>
      <c r="AG790" s="53" t="str">
        <f>IF($AM790=0,"",IF(AND($BE790&gt;0,N(INDEX(Instruments!$D$6:$D$205,MAX(1,$BE790)))&gt;0),INDEX(Instruments!$D$6:$D$205,MAX(1,$BE790)),IF(N(INDEX(Settings!$D$14:$D$18,$BF790))&gt;0,INDEX(Settings!$D$14:$D$18,$BF790),"")))</f>
        <v/>
      </c>
      <c r="AH790" s="54" t="str">
        <f>IF($AM790=0,"",IF($AF790&lt;&gt;"Forex",1,IF(MID(UPPER(SUBSTITUTE(TRIM($E790),"/","")),4,3)=UPPER(TRIM(Settings!$C$7)),1,IF(LEFT(UPPER(SUBSTITUTE(TRIM($E790),"/","")),3)=UPPER(TRIM(Settings!$C$7)),IF(AND(ISNUMBER($K790),N($K790)&lt;&gt;0),1/$K790,""),""))))</f>
        <v/>
      </c>
      <c r="AI790" s="55" t="str">
        <f>IF($AM790=0,"",IF(OR(NOT(ISNUMBER($H790)),NOT(ISNUMBER($K790)),NOT(ISNUMBER($G790)),$AG790="",$AH790=""),"",ROUND(($K790-$H790)*IF($F790="Short",-1,1)*$G790*$AG790*$AH790,6)))</f>
        <v/>
      </c>
      <c r="AJ790" s="55" t="str">
        <f>IF($AM790=0,"",IF(INDEX(Settings!$E$14:$E$18,$BF790)="% of notional",IF(OR($AG790="",NOT(ISNUMBER($H790)),NOT(ISNUMBER($G790))),"",ROUND(ABS($H790*$G790*$AG790*N($AH790))*IF($L790="Limit",N(INDEX(Settings!$G$14:$G$18,$BF790)),N(INDEX(Settings!$H$14:$H$18,$BF790)))+IF(ISNUMBER($K790),ABS($K790*$G790*$AG790*N($AH790))*IF($M790="Target",N(INDEX(Settings!$G$14:$G$18,$BF790)),N(INDEX(Settings!$H$14:$H$18,$BF790))),0),6)),IF(NOT(ISNUMBER($G790)),"",ROUND(ABS($G790)*2*IF(AND($BE790&gt;0,ISNUMBER(INDEX(Instruments!$G$6:$G$205,MAX(1,$BE790)))),INDEX(Instruments!$G$6:$G$205,MAX(1,$BE790)),N(INDEX(Settings!$F$14:$F$18,$BF790))),6))))</f>
        <v/>
      </c>
      <c r="AK790" s="55" t="str">
        <f>IF($AM790=0,"",IF(ISNUMBER($O790),$O790,$AI790))</f>
        <v/>
      </c>
      <c r="AL790" s="55" t="str">
        <f>IF($AM790=0,"",IF(ISNUMBER($P790),$P790,N($AJ790)))</f>
        <v/>
      </c>
      <c r="AM790" s="56">
        <f>IF(AND($A790&lt;&gt;"",$E790&lt;&gt;"",OR(AND(ISNUMBER($G790),ISNUMBER($H790),ISNUMBER($K790)),ISNUMBER($O790))),1,0)</f>
        <v>0</v>
      </c>
      <c r="AN790" s="57" t="str">
        <f>IF($A790="","",$A790-WEEKDAY($A790,3))</f>
        <v/>
      </c>
      <c r="AO790" s="56" t="str">
        <f>IF($A790="","",WEEKDAY($A790,2))</f>
        <v/>
      </c>
      <c r="AP790" s="55" t="str">
        <f>IF(OR($AM790=0,$C790=""),"",IFERROR(N(INDEX(Accounts!$E$7:$E$16,MATCH($C790,Accounts!$B$7:$B$16,0))),0)+SUMIFS($Q$6:$Q790,$C$6:$C790,$C790))</f>
        <v/>
      </c>
      <c r="AQ790" s="55" t="str">
        <f>IF(OR($AM790=0,$C790=""),"",SUMIFS($Q$6:$Q$1005,$C$6:$C$1005,$C790,$A$6:$A$1005,$A790))</f>
        <v/>
      </c>
      <c r="AR790" s="55" t="str">
        <f>IF(OR($AM790=0,$C790=""),"",IFERROR(N(INDEX(Accounts!$E$7:$E$16,MATCH($C790,Accounts!$B$7:$B$16,0))),0)+SUMIFS($Q$6:$Q$1005,$C$6:$C$1005,$C790,$A$6:$A$1005,"&lt;="&amp;$A790))</f>
        <v/>
      </c>
      <c r="AS790" s="56">
        <f>IF(OR($AM790=0,$Q790=""),0,IF(AND($A790&gt;=Lists!$W$6,$A790&lt;=Lists!$W$7,OR(Dashboard!$D$6="All accounts",$C790=Dashboard!$D$6),OR(Dashboard!$D$7="All markets",$AF790=Dashboard!$D$7)),1,0))</f>
        <v>0</v>
      </c>
      <c r="AT790" s="55">
        <f>IF($AS790=1,N(AT789)+$Q790,N(AT789))</f>
        <v>1187.10688</v>
      </c>
      <c r="AU790" s="55">
        <f>MAX(N(AU789),$AT790)</f>
        <v>1187.10688</v>
      </c>
      <c r="AV790" s="55">
        <f>$AT790-$AU790</f>
        <v>0</v>
      </c>
      <c r="AW790" s="56">
        <f>IF($AS790=1,IF($S790="Win",N(AW789)+1,IF($S790="Loss",0,N(AW789))),N(AW789))</f>
        <v>5</v>
      </c>
      <c r="AX790" s="56">
        <f>IF($AS790=1,IF($S790="Loss",N(AX789)+1,IF($S790="Win",0,N(AX789))),N(AX789))</f>
        <v>0</v>
      </c>
      <c r="AY790" s="56" t="str">
        <f>IF($AS790=1,COUNTIF($AS$6:$AS790,1),"")</f>
        <v/>
      </c>
      <c r="AZ790" s="56">
        <f>MIN(784,N(Lists!$W$8))</f>
        <v>28</v>
      </c>
      <c r="BA790" s="56">
        <f>IF($AS790=1,IF(COUNTIFS($A$6:$A790,$A790,$AS$6:$AS790,1)=1,1,0),0)</f>
        <v>0</v>
      </c>
      <c r="BB790" s="55" t="str">
        <f>IF($BA790=1,SUMIFS($Q$6:$Q$1005,$A$6:$A$1005,$A790,$AS$6:$AS$1005,1),"")</f>
        <v/>
      </c>
      <c r="BC790" s="56">
        <f>IF(ISNUMBER($R790),1,0)</f>
        <v>0</v>
      </c>
      <c r="BD790" s="55" t="str">
        <f>IF(ISNUMBER($U790),$U790*$V790,"")</f>
        <v/>
      </c>
      <c r="BE790" s="56" t="str">
        <f>IF($AM790=0,"",IFERROR(MATCH($AF790&amp;"|"&amp;UPPER(TRIM($E790)),Lists!$A$6:$A$205,0),0))</f>
        <v/>
      </c>
      <c r="BF790" s="56" t="str">
        <f>IF($AM790=0,"",IFERROR(MATCH($AF790,Settings!$B$14:$B$18,0),IFERROR(MATCH(Settings!$C$6,Settings!$B$14:$B$18,0),1)))</f>
        <v/>
      </c>
      <c r="BG790" s="58" t="str">
        <f>IF($AM790=0,"",IF(NOT(ISNUMBER($I790)),"No stop; ","")&amp;IF(AND(ISNUMBER($H790),ISNUMBER($I790)),IF(OR(AND($F790&lt;&gt;"Short",$I790&gt;=$H790),AND($F790="Short",$I790&lt;=$H790)),"Stop on wrong side; ",""),"")&amp;IF($F790="","No direction; ","")&amp;IF(AND(ISNUMBER(Settings!$C$22),ISNUMBER($V790)),IF($V790&gt;Settings!$C$22,"Risk over max $; ",""),"")&amp;IF(AND(ISNUMBER(Settings!$C$23),ISNUMBER($V790),ISNUMBER($AP790),IFERROR(N(INDEX(Accounts!$E$7:$E$16,MATCH($C790,Accounts!$B$7:$B$16,0))),0)&gt;0),IF($V790&gt;Settings!$C$23*($AP790-N($Q790)),"Risk over max %; ",""),"")&amp;IF(AND(ISNUMBER(Settings!$C$24),ISNUMBER($N790)),IF($N790&gt;Settings!$C$24,"Leverage over max; ",""),"")&amp;IF(AND(ISNUMBER(Settings!$C$27),ISNUMBER($T790)),IF($T790&lt;Settings!$C$27,"R:R below min; ",""),"")&amp;IF(ISNUMBER(Settings!$C$25),IF(COUNTIFS($A$6:$A790,$A790,$AM$6:$AM790,1)&gt;Settings!$C$25,"Over max trades/day; ",""),"")&amp;IF(ISNUMBER(Settings!$C$26),IF(SUMIFS($Q$5:$Q789,$A$5:$A789,$A790)&lt;=-Settings!$C$26,"Traded after daily max loss; ",""),"")&amp;IF(AND($AG790="",NOT(ISNUMBER($O790))),"Symbol not in Instruments; ","")&amp;IF(AND($AH790="",NOT(ISNUMBER($O790))),"Forex cross: type Gross P&amp;L; ",""))</f>
        <v/>
      </c>
      <c r="BH790" s="56">
        <f>IF(ISNUMBER($Q790),1,0)</f>
        <v>0</v>
      </c>
      <c r="BI790" s="56">
        <f>IF($Y790="",0,1)</f>
        <v>0</v>
      </c>
      <c r="BJ790" s="56">
        <f>IF($AB790="",0,1)</f>
        <v>0</v>
      </c>
      <c r="BK790" s="56">
        <f>IF(AND($BH790=1,$W790&lt;&gt;"OK"),1,0)</f>
        <v>0</v>
      </c>
      <c r="BL790" s="55">
        <f>IF(N($AZ790)=0,0,IFERROR(INDEX($AT$6:$AT$1005,MATCH($AZ790,$AY$6:$AY$1005,0)),0))</f>
        <v>1187.10688</v>
      </c>
      <c r="BM790" s="56">
        <f>IF(ISNUMBER(SEARCH("daily max loss",$BG790)),1,0)</f>
        <v>0</v>
      </c>
    </row>
    <row r="791" ht="18" customHeight="1">
      <c r="A791" s="38" t="n"/>
      <c r="B791" s="39" t="n"/>
      <c r="C791" s="40" t="n"/>
      <c r="D791" s="41" t="n"/>
      <c r="E791" s="41" t="n"/>
      <c r="F791" s="41" t="n"/>
      <c r="G791" s="41" t="n"/>
      <c r="H791" s="42" t="n"/>
      <c r="I791" s="42" t="n"/>
      <c r="J791" s="42" t="n"/>
      <c r="K791" s="42" t="n"/>
      <c r="L791" s="41" t="n"/>
      <c r="M791" s="41" t="n"/>
      <c r="N791" s="41" t="n"/>
      <c r="O791" s="43" t="n"/>
      <c r="P791" s="43" t="n"/>
      <c r="Q791" s="44" t="str">
        <f>IF($AM791=0,"",IF(ISNUMBER($AK791),$AK791-N($AL791),""))</f>
        <v/>
      </c>
      <c r="R791" s="45" t="str">
        <f>IF(OR($Q791="",NOT(ISNUMBER($V791))),"",$AK791/$V791)</f>
        <v/>
      </c>
      <c r="S791" s="46" t="str">
        <f>IF($Q791="","",IF(AND(ISNUMBER($R791),ABS(N($R791))&lt;N(Settings!$C$8)),"Scratch",IF($Q791&gt;0,"Win",IF($Q791&lt;0,"Loss","Scratch"))))</f>
        <v/>
      </c>
      <c r="T791" s="47" t="str">
        <f>IF(OR($AM791=0,NOT(ISNUMBER($H791)),NOT(ISNUMBER($I791)),NOT(ISNUMBER($J791))),"",IF($H791=$I791,"",ROUND(ABS($J791-$H791)/ABS($H791-$I791),6)))</f>
        <v/>
      </c>
      <c r="U791" s="48" t="str">
        <f>IF(OR($S791&lt;&gt;"Win",NOT(ISNUMBER($T791)),NOT(ISNUMBER($R791))),"",MAX(0,$T791-$R791))</f>
        <v/>
      </c>
      <c r="V791" s="49" t="str">
        <f>IF(OR($AM791=0,NOT(ISNUMBER($H791)),NOT(ISNUMBER($I791)),NOT(ISNUMBER($G791))),"",IF(OR($AG791="",$AH791=""),"",IF(ROUND(ABS($H791-$I791)*ABS($G791)*$AG791*$AH791,6)=0,"",ROUND(ABS($H791-$I791)*ABS($G791)*$AG791*$AH791,6))))</f>
        <v/>
      </c>
      <c r="W791" s="50" t="str">
        <f>IF($AM791=0,"",IF($BG791="","OK",LEFT($BG791,LEN($BG791)-2)))</f>
        <v/>
      </c>
      <c r="X791" s="41" t="n"/>
      <c r="Y791" s="40" t="n"/>
      <c r="Z791" s="41" t="n"/>
      <c r="AA791" s="41" t="n"/>
      <c r="AB791" s="40" t="n"/>
      <c r="AC791" s="51" t="n"/>
      <c r="AD791" s="51" t="n"/>
      <c r="AE791" s="40" t="n"/>
      <c r="AF791" s="52" t="str">
        <f>IF($AM791=0,"",IF($D791&lt;&gt;"",$D791,IF(IFERROR(INDEX(Accounts!$C$7:$C$16,MATCH($C791,Accounts!$B$7:$B$16,0))&amp;"","")&lt;&gt;"",INDEX(Accounts!$C$7:$C$16,MATCH($C791,Accounts!$B$7:$B$16,0)),Settings!$C$6)))</f>
        <v/>
      </c>
      <c r="AG791" s="53" t="str">
        <f>IF($AM791=0,"",IF(AND($BE791&gt;0,N(INDEX(Instruments!$D$6:$D$205,MAX(1,$BE791)))&gt;0),INDEX(Instruments!$D$6:$D$205,MAX(1,$BE791)),IF(N(INDEX(Settings!$D$14:$D$18,$BF791))&gt;0,INDEX(Settings!$D$14:$D$18,$BF791),"")))</f>
        <v/>
      </c>
      <c r="AH791" s="54" t="str">
        <f>IF($AM791=0,"",IF($AF791&lt;&gt;"Forex",1,IF(MID(UPPER(SUBSTITUTE(TRIM($E791),"/","")),4,3)=UPPER(TRIM(Settings!$C$7)),1,IF(LEFT(UPPER(SUBSTITUTE(TRIM($E791),"/","")),3)=UPPER(TRIM(Settings!$C$7)),IF(AND(ISNUMBER($K791),N($K791)&lt;&gt;0),1/$K791,""),""))))</f>
        <v/>
      </c>
      <c r="AI791" s="55" t="str">
        <f>IF($AM791=0,"",IF(OR(NOT(ISNUMBER($H791)),NOT(ISNUMBER($K791)),NOT(ISNUMBER($G791)),$AG791="",$AH791=""),"",ROUND(($K791-$H791)*IF($F791="Short",-1,1)*$G791*$AG791*$AH791,6)))</f>
        <v/>
      </c>
      <c r="AJ791" s="55" t="str">
        <f>IF($AM791=0,"",IF(INDEX(Settings!$E$14:$E$18,$BF791)="% of notional",IF(OR($AG791="",NOT(ISNUMBER($H791)),NOT(ISNUMBER($G791))),"",ROUND(ABS($H791*$G791*$AG791*N($AH791))*IF($L791="Limit",N(INDEX(Settings!$G$14:$G$18,$BF791)),N(INDEX(Settings!$H$14:$H$18,$BF791)))+IF(ISNUMBER($K791),ABS($K791*$G791*$AG791*N($AH791))*IF($M791="Target",N(INDEX(Settings!$G$14:$G$18,$BF791)),N(INDEX(Settings!$H$14:$H$18,$BF791))),0),6)),IF(NOT(ISNUMBER($G791)),"",ROUND(ABS($G791)*2*IF(AND($BE791&gt;0,ISNUMBER(INDEX(Instruments!$G$6:$G$205,MAX(1,$BE791)))),INDEX(Instruments!$G$6:$G$205,MAX(1,$BE791)),N(INDEX(Settings!$F$14:$F$18,$BF791))),6))))</f>
        <v/>
      </c>
      <c r="AK791" s="55" t="str">
        <f>IF($AM791=0,"",IF(ISNUMBER($O791),$O791,$AI791))</f>
        <v/>
      </c>
      <c r="AL791" s="55" t="str">
        <f>IF($AM791=0,"",IF(ISNUMBER($P791),$P791,N($AJ791)))</f>
        <v/>
      </c>
      <c r="AM791" s="56">
        <f>IF(AND($A791&lt;&gt;"",$E791&lt;&gt;"",OR(AND(ISNUMBER($G791),ISNUMBER($H791),ISNUMBER($K791)),ISNUMBER($O791))),1,0)</f>
        <v>0</v>
      </c>
      <c r="AN791" s="57" t="str">
        <f>IF($A791="","",$A791-WEEKDAY($A791,3))</f>
        <v/>
      </c>
      <c r="AO791" s="56" t="str">
        <f>IF($A791="","",WEEKDAY($A791,2))</f>
        <v/>
      </c>
      <c r="AP791" s="55" t="str">
        <f>IF(OR($AM791=0,$C791=""),"",IFERROR(N(INDEX(Accounts!$E$7:$E$16,MATCH($C791,Accounts!$B$7:$B$16,0))),0)+SUMIFS($Q$6:$Q791,$C$6:$C791,$C791))</f>
        <v/>
      </c>
      <c r="AQ791" s="55" t="str">
        <f>IF(OR($AM791=0,$C791=""),"",SUMIFS($Q$6:$Q$1005,$C$6:$C$1005,$C791,$A$6:$A$1005,$A791))</f>
        <v/>
      </c>
      <c r="AR791" s="55" t="str">
        <f>IF(OR($AM791=0,$C791=""),"",IFERROR(N(INDEX(Accounts!$E$7:$E$16,MATCH($C791,Accounts!$B$7:$B$16,0))),0)+SUMIFS($Q$6:$Q$1005,$C$6:$C$1005,$C791,$A$6:$A$1005,"&lt;="&amp;$A791))</f>
        <v/>
      </c>
      <c r="AS791" s="56">
        <f>IF(OR($AM791=0,$Q791=""),0,IF(AND($A791&gt;=Lists!$W$6,$A791&lt;=Lists!$W$7,OR(Dashboard!$D$6="All accounts",$C791=Dashboard!$D$6),OR(Dashboard!$D$7="All markets",$AF791=Dashboard!$D$7)),1,0))</f>
        <v>0</v>
      </c>
      <c r="AT791" s="55">
        <f>IF($AS791=1,N(AT790)+$Q791,N(AT790))</f>
        <v>1187.10688</v>
      </c>
      <c r="AU791" s="55">
        <f>MAX(N(AU790),$AT791)</f>
        <v>1187.10688</v>
      </c>
      <c r="AV791" s="55">
        <f>$AT791-$AU791</f>
        <v>0</v>
      </c>
      <c r="AW791" s="56">
        <f>IF($AS791=1,IF($S791="Win",N(AW790)+1,IF($S791="Loss",0,N(AW790))),N(AW790))</f>
        <v>5</v>
      </c>
      <c r="AX791" s="56">
        <f>IF($AS791=1,IF($S791="Loss",N(AX790)+1,IF($S791="Win",0,N(AX790))),N(AX790))</f>
        <v>0</v>
      </c>
      <c r="AY791" s="56" t="str">
        <f>IF($AS791=1,COUNTIF($AS$6:$AS791,1),"")</f>
        <v/>
      </c>
      <c r="AZ791" s="56">
        <f>MIN(785,N(Lists!$W$8))</f>
        <v>28</v>
      </c>
      <c r="BA791" s="56">
        <f>IF($AS791=1,IF(COUNTIFS($A$6:$A791,$A791,$AS$6:$AS791,1)=1,1,0),0)</f>
        <v>0</v>
      </c>
      <c r="BB791" s="55" t="str">
        <f>IF($BA791=1,SUMIFS($Q$6:$Q$1005,$A$6:$A$1005,$A791,$AS$6:$AS$1005,1),"")</f>
        <v/>
      </c>
      <c r="BC791" s="56">
        <f>IF(ISNUMBER($R791),1,0)</f>
        <v>0</v>
      </c>
      <c r="BD791" s="55" t="str">
        <f>IF(ISNUMBER($U791),$U791*$V791,"")</f>
        <v/>
      </c>
      <c r="BE791" s="56" t="str">
        <f>IF($AM791=0,"",IFERROR(MATCH($AF791&amp;"|"&amp;UPPER(TRIM($E791)),Lists!$A$6:$A$205,0),0))</f>
        <v/>
      </c>
      <c r="BF791" s="56" t="str">
        <f>IF($AM791=0,"",IFERROR(MATCH($AF791,Settings!$B$14:$B$18,0),IFERROR(MATCH(Settings!$C$6,Settings!$B$14:$B$18,0),1)))</f>
        <v/>
      </c>
      <c r="BG791" s="58" t="str">
        <f>IF($AM791=0,"",IF(NOT(ISNUMBER($I791)),"No stop; ","")&amp;IF(AND(ISNUMBER($H791),ISNUMBER($I791)),IF(OR(AND($F791&lt;&gt;"Short",$I791&gt;=$H791),AND($F791="Short",$I791&lt;=$H791)),"Stop on wrong side; ",""),"")&amp;IF($F791="","No direction; ","")&amp;IF(AND(ISNUMBER(Settings!$C$22),ISNUMBER($V791)),IF($V791&gt;Settings!$C$22,"Risk over max $; ",""),"")&amp;IF(AND(ISNUMBER(Settings!$C$23),ISNUMBER($V791),ISNUMBER($AP791),IFERROR(N(INDEX(Accounts!$E$7:$E$16,MATCH($C791,Accounts!$B$7:$B$16,0))),0)&gt;0),IF($V791&gt;Settings!$C$23*($AP791-N($Q791)),"Risk over max %; ",""),"")&amp;IF(AND(ISNUMBER(Settings!$C$24),ISNUMBER($N791)),IF($N791&gt;Settings!$C$24,"Leverage over max; ",""),"")&amp;IF(AND(ISNUMBER(Settings!$C$27),ISNUMBER($T791)),IF($T791&lt;Settings!$C$27,"R:R below min; ",""),"")&amp;IF(ISNUMBER(Settings!$C$25),IF(COUNTIFS($A$6:$A791,$A791,$AM$6:$AM791,1)&gt;Settings!$C$25,"Over max trades/day; ",""),"")&amp;IF(ISNUMBER(Settings!$C$26),IF(SUMIFS($Q$5:$Q790,$A$5:$A790,$A791)&lt;=-Settings!$C$26,"Traded after daily max loss; ",""),"")&amp;IF(AND($AG791="",NOT(ISNUMBER($O791))),"Symbol not in Instruments; ","")&amp;IF(AND($AH791="",NOT(ISNUMBER($O791))),"Forex cross: type Gross P&amp;L; ",""))</f>
        <v/>
      </c>
      <c r="BH791" s="56">
        <f>IF(ISNUMBER($Q791),1,0)</f>
        <v>0</v>
      </c>
      <c r="BI791" s="56">
        <f>IF($Y791="",0,1)</f>
        <v>0</v>
      </c>
      <c r="BJ791" s="56">
        <f>IF($AB791="",0,1)</f>
        <v>0</v>
      </c>
      <c r="BK791" s="56">
        <f>IF(AND($BH791=1,$W791&lt;&gt;"OK"),1,0)</f>
        <v>0</v>
      </c>
      <c r="BL791" s="55">
        <f>IF(N($AZ791)=0,0,IFERROR(INDEX($AT$6:$AT$1005,MATCH($AZ791,$AY$6:$AY$1005,0)),0))</f>
        <v>1187.10688</v>
      </c>
      <c r="BM791" s="56">
        <f>IF(ISNUMBER(SEARCH("daily max loss",$BG791)),1,0)</f>
        <v>0</v>
      </c>
    </row>
    <row r="792" ht="18" customHeight="1">
      <c r="A792" s="38" t="n"/>
      <c r="B792" s="39" t="n"/>
      <c r="C792" s="40" t="n"/>
      <c r="D792" s="41" t="n"/>
      <c r="E792" s="41" t="n"/>
      <c r="F792" s="41" t="n"/>
      <c r="G792" s="41" t="n"/>
      <c r="H792" s="42" t="n"/>
      <c r="I792" s="42" t="n"/>
      <c r="J792" s="42" t="n"/>
      <c r="K792" s="42" t="n"/>
      <c r="L792" s="41" t="n"/>
      <c r="M792" s="41" t="n"/>
      <c r="N792" s="41" t="n"/>
      <c r="O792" s="43" t="n"/>
      <c r="P792" s="43" t="n"/>
      <c r="Q792" s="44" t="str">
        <f>IF($AM792=0,"",IF(ISNUMBER($AK792),$AK792-N($AL792),""))</f>
        <v/>
      </c>
      <c r="R792" s="45" t="str">
        <f>IF(OR($Q792="",NOT(ISNUMBER($V792))),"",$AK792/$V792)</f>
        <v/>
      </c>
      <c r="S792" s="46" t="str">
        <f>IF($Q792="","",IF(AND(ISNUMBER($R792),ABS(N($R792))&lt;N(Settings!$C$8)),"Scratch",IF($Q792&gt;0,"Win",IF($Q792&lt;0,"Loss","Scratch"))))</f>
        <v/>
      </c>
      <c r="T792" s="47" t="str">
        <f>IF(OR($AM792=0,NOT(ISNUMBER($H792)),NOT(ISNUMBER($I792)),NOT(ISNUMBER($J792))),"",IF($H792=$I792,"",ROUND(ABS($J792-$H792)/ABS($H792-$I792),6)))</f>
        <v/>
      </c>
      <c r="U792" s="48" t="str">
        <f>IF(OR($S792&lt;&gt;"Win",NOT(ISNUMBER($T792)),NOT(ISNUMBER($R792))),"",MAX(0,$T792-$R792))</f>
        <v/>
      </c>
      <c r="V792" s="49" t="str">
        <f>IF(OR($AM792=0,NOT(ISNUMBER($H792)),NOT(ISNUMBER($I792)),NOT(ISNUMBER($G792))),"",IF(OR($AG792="",$AH792=""),"",IF(ROUND(ABS($H792-$I792)*ABS($G792)*$AG792*$AH792,6)=0,"",ROUND(ABS($H792-$I792)*ABS($G792)*$AG792*$AH792,6))))</f>
        <v/>
      </c>
      <c r="W792" s="50" t="str">
        <f>IF($AM792=0,"",IF($BG792="","OK",LEFT($BG792,LEN($BG792)-2)))</f>
        <v/>
      </c>
      <c r="X792" s="41" t="n"/>
      <c r="Y792" s="40" t="n"/>
      <c r="Z792" s="41" t="n"/>
      <c r="AA792" s="41" t="n"/>
      <c r="AB792" s="40" t="n"/>
      <c r="AC792" s="51" t="n"/>
      <c r="AD792" s="51" t="n"/>
      <c r="AE792" s="40" t="n"/>
      <c r="AF792" s="52" t="str">
        <f>IF($AM792=0,"",IF($D792&lt;&gt;"",$D792,IF(IFERROR(INDEX(Accounts!$C$7:$C$16,MATCH($C792,Accounts!$B$7:$B$16,0))&amp;"","")&lt;&gt;"",INDEX(Accounts!$C$7:$C$16,MATCH($C792,Accounts!$B$7:$B$16,0)),Settings!$C$6)))</f>
        <v/>
      </c>
      <c r="AG792" s="53" t="str">
        <f>IF($AM792=0,"",IF(AND($BE792&gt;0,N(INDEX(Instruments!$D$6:$D$205,MAX(1,$BE792)))&gt;0),INDEX(Instruments!$D$6:$D$205,MAX(1,$BE792)),IF(N(INDEX(Settings!$D$14:$D$18,$BF792))&gt;0,INDEX(Settings!$D$14:$D$18,$BF792),"")))</f>
        <v/>
      </c>
      <c r="AH792" s="54" t="str">
        <f>IF($AM792=0,"",IF($AF792&lt;&gt;"Forex",1,IF(MID(UPPER(SUBSTITUTE(TRIM($E792),"/","")),4,3)=UPPER(TRIM(Settings!$C$7)),1,IF(LEFT(UPPER(SUBSTITUTE(TRIM($E792),"/","")),3)=UPPER(TRIM(Settings!$C$7)),IF(AND(ISNUMBER($K792),N($K792)&lt;&gt;0),1/$K792,""),""))))</f>
        <v/>
      </c>
      <c r="AI792" s="55" t="str">
        <f>IF($AM792=0,"",IF(OR(NOT(ISNUMBER($H792)),NOT(ISNUMBER($K792)),NOT(ISNUMBER($G792)),$AG792="",$AH792=""),"",ROUND(($K792-$H792)*IF($F792="Short",-1,1)*$G792*$AG792*$AH792,6)))</f>
        <v/>
      </c>
      <c r="AJ792" s="55" t="str">
        <f>IF($AM792=0,"",IF(INDEX(Settings!$E$14:$E$18,$BF792)="% of notional",IF(OR($AG792="",NOT(ISNUMBER($H792)),NOT(ISNUMBER($G792))),"",ROUND(ABS($H792*$G792*$AG792*N($AH792))*IF($L792="Limit",N(INDEX(Settings!$G$14:$G$18,$BF792)),N(INDEX(Settings!$H$14:$H$18,$BF792)))+IF(ISNUMBER($K792),ABS($K792*$G792*$AG792*N($AH792))*IF($M792="Target",N(INDEX(Settings!$G$14:$G$18,$BF792)),N(INDEX(Settings!$H$14:$H$18,$BF792))),0),6)),IF(NOT(ISNUMBER($G792)),"",ROUND(ABS($G792)*2*IF(AND($BE792&gt;0,ISNUMBER(INDEX(Instruments!$G$6:$G$205,MAX(1,$BE792)))),INDEX(Instruments!$G$6:$G$205,MAX(1,$BE792)),N(INDEX(Settings!$F$14:$F$18,$BF792))),6))))</f>
        <v/>
      </c>
      <c r="AK792" s="55" t="str">
        <f>IF($AM792=0,"",IF(ISNUMBER($O792),$O792,$AI792))</f>
        <v/>
      </c>
      <c r="AL792" s="55" t="str">
        <f>IF($AM792=0,"",IF(ISNUMBER($P792),$P792,N($AJ792)))</f>
        <v/>
      </c>
      <c r="AM792" s="56">
        <f>IF(AND($A792&lt;&gt;"",$E792&lt;&gt;"",OR(AND(ISNUMBER($G792),ISNUMBER($H792),ISNUMBER($K792)),ISNUMBER($O792))),1,0)</f>
        <v>0</v>
      </c>
      <c r="AN792" s="57" t="str">
        <f>IF($A792="","",$A792-WEEKDAY($A792,3))</f>
        <v/>
      </c>
      <c r="AO792" s="56" t="str">
        <f>IF($A792="","",WEEKDAY($A792,2))</f>
        <v/>
      </c>
      <c r="AP792" s="55" t="str">
        <f>IF(OR($AM792=0,$C792=""),"",IFERROR(N(INDEX(Accounts!$E$7:$E$16,MATCH($C792,Accounts!$B$7:$B$16,0))),0)+SUMIFS($Q$6:$Q792,$C$6:$C792,$C792))</f>
        <v/>
      </c>
      <c r="AQ792" s="55" t="str">
        <f>IF(OR($AM792=0,$C792=""),"",SUMIFS($Q$6:$Q$1005,$C$6:$C$1005,$C792,$A$6:$A$1005,$A792))</f>
        <v/>
      </c>
      <c r="AR792" s="55" t="str">
        <f>IF(OR($AM792=0,$C792=""),"",IFERROR(N(INDEX(Accounts!$E$7:$E$16,MATCH($C792,Accounts!$B$7:$B$16,0))),0)+SUMIFS($Q$6:$Q$1005,$C$6:$C$1005,$C792,$A$6:$A$1005,"&lt;="&amp;$A792))</f>
        <v/>
      </c>
      <c r="AS792" s="56">
        <f>IF(OR($AM792=0,$Q792=""),0,IF(AND($A792&gt;=Lists!$W$6,$A792&lt;=Lists!$W$7,OR(Dashboard!$D$6="All accounts",$C792=Dashboard!$D$6),OR(Dashboard!$D$7="All markets",$AF792=Dashboard!$D$7)),1,0))</f>
        <v>0</v>
      </c>
      <c r="AT792" s="55">
        <f>IF($AS792=1,N(AT791)+$Q792,N(AT791))</f>
        <v>1187.10688</v>
      </c>
      <c r="AU792" s="55">
        <f>MAX(N(AU791),$AT792)</f>
        <v>1187.10688</v>
      </c>
      <c r="AV792" s="55">
        <f>$AT792-$AU792</f>
        <v>0</v>
      </c>
      <c r="AW792" s="56">
        <f>IF($AS792=1,IF($S792="Win",N(AW791)+1,IF($S792="Loss",0,N(AW791))),N(AW791))</f>
        <v>5</v>
      </c>
      <c r="AX792" s="56">
        <f>IF($AS792=1,IF($S792="Loss",N(AX791)+1,IF($S792="Win",0,N(AX791))),N(AX791))</f>
        <v>0</v>
      </c>
      <c r="AY792" s="56" t="str">
        <f>IF($AS792=1,COUNTIF($AS$6:$AS792,1),"")</f>
        <v/>
      </c>
      <c r="AZ792" s="56">
        <f>MIN(786,N(Lists!$W$8))</f>
        <v>28</v>
      </c>
      <c r="BA792" s="56">
        <f>IF($AS792=1,IF(COUNTIFS($A$6:$A792,$A792,$AS$6:$AS792,1)=1,1,0),0)</f>
        <v>0</v>
      </c>
      <c r="BB792" s="55" t="str">
        <f>IF($BA792=1,SUMIFS($Q$6:$Q$1005,$A$6:$A$1005,$A792,$AS$6:$AS$1005,1),"")</f>
        <v/>
      </c>
      <c r="BC792" s="56">
        <f>IF(ISNUMBER($R792),1,0)</f>
        <v>0</v>
      </c>
      <c r="BD792" s="55" t="str">
        <f>IF(ISNUMBER($U792),$U792*$V792,"")</f>
        <v/>
      </c>
      <c r="BE792" s="56" t="str">
        <f>IF($AM792=0,"",IFERROR(MATCH($AF792&amp;"|"&amp;UPPER(TRIM($E792)),Lists!$A$6:$A$205,0),0))</f>
        <v/>
      </c>
      <c r="BF792" s="56" t="str">
        <f>IF($AM792=0,"",IFERROR(MATCH($AF792,Settings!$B$14:$B$18,0),IFERROR(MATCH(Settings!$C$6,Settings!$B$14:$B$18,0),1)))</f>
        <v/>
      </c>
      <c r="BG792" s="58" t="str">
        <f>IF($AM792=0,"",IF(NOT(ISNUMBER($I792)),"No stop; ","")&amp;IF(AND(ISNUMBER($H792),ISNUMBER($I792)),IF(OR(AND($F792&lt;&gt;"Short",$I792&gt;=$H792),AND($F792="Short",$I792&lt;=$H792)),"Stop on wrong side; ",""),"")&amp;IF($F792="","No direction; ","")&amp;IF(AND(ISNUMBER(Settings!$C$22),ISNUMBER($V792)),IF($V792&gt;Settings!$C$22,"Risk over max $; ",""),"")&amp;IF(AND(ISNUMBER(Settings!$C$23),ISNUMBER($V792),ISNUMBER($AP792),IFERROR(N(INDEX(Accounts!$E$7:$E$16,MATCH($C792,Accounts!$B$7:$B$16,0))),0)&gt;0),IF($V792&gt;Settings!$C$23*($AP792-N($Q792)),"Risk over max %; ",""),"")&amp;IF(AND(ISNUMBER(Settings!$C$24),ISNUMBER($N792)),IF($N792&gt;Settings!$C$24,"Leverage over max; ",""),"")&amp;IF(AND(ISNUMBER(Settings!$C$27),ISNUMBER($T792)),IF($T792&lt;Settings!$C$27,"R:R below min; ",""),"")&amp;IF(ISNUMBER(Settings!$C$25),IF(COUNTIFS($A$6:$A792,$A792,$AM$6:$AM792,1)&gt;Settings!$C$25,"Over max trades/day; ",""),"")&amp;IF(ISNUMBER(Settings!$C$26),IF(SUMIFS($Q$5:$Q791,$A$5:$A791,$A792)&lt;=-Settings!$C$26,"Traded after daily max loss; ",""),"")&amp;IF(AND($AG792="",NOT(ISNUMBER($O792))),"Symbol not in Instruments; ","")&amp;IF(AND($AH792="",NOT(ISNUMBER($O792))),"Forex cross: type Gross P&amp;L; ",""))</f>
        <v/>
      </c>
      <c r="BH792" s="56">
        <f>IF(ISNUMBER($Q792),1,0)</f>
        <v>0</v>
      </c>
      <c r="BI792" s="56">
        <f>IF($Y792="",0,1)</f>
        <v>0</v>
      </c>
      <c r="BJ792" s="56">
        <f>IF($AB792="",0,1)</f>
        <v>0</v>
      </c>
      <c r="BK792" s="56">
        <f>IF(AND($BH792=1,$W792&lt;&gt;"OK"),1,0)</f>
        <v>0</v>
      </c>
      <c r="BL792" s="55">
        <f>IF(N($AZ792)=0,0,IFERROR(INDEX($AT$6:$AT$1005,MATCH($AZ792,$AY$6:$AY$1005,0)),0))</f>
        <v>1187.10688</v>
      </c>
      <c r="BM792" s="56">
        <f>IF(ISNUMBER(SEARCH("daily max loss",$BG792)),1,0)</f>
        <v>0</v>
      </c>
    </row>
    <row r="793" ht="18" customHeight="1">
      <c r="A793" s="38" t="n"/>
      <c r="B793" s="39" t="n"/>
      <c r="C793" s="40" t="n"/>
      <c r="D793" s="41" t="n"/>
      <c r="E793" s="41" t="n"/>
      <c r="F793" s="41" t="n"/>
      <c r="G793" s="41" t="n"/>
      <c r="H793" s="42" t="n"/>
      <c r="I793" s="42" t="n"/>
      <c r="J793" s="42" t="n"/>
      <c r="K793" s="42" t="n"/>
      <c r="L793" s="41" t="n"/>
      <c r="M793" s="41" t="n"/>
      <c r="N793" s="41" t="n"/>
      <c r="O793" s="43" t="n"/>
      <c r="P793" s="43" t="n"/>
      <c r="Q793" s="44" t="str">
        <f>IF($AM793=0,"",IF(ISNUMBER($AK793),$AK793-N($AL793),""))</f>
        <v/>
      </c>
      <c r="R793" s="45" t="str">
        <f>IF(OR($Q793="",NOT(ISNUMBER($V793))),"",$AK793/$V793)</f>
        <v/>
      </c>
      <c r="S793" s="46" t="str">
        <f>IF($Q793="","",IF(AND(ISNUMBER($R793),ABS(N($R793))&lt;N(Settings!$C$8)),"Scratch",IF($Q793&gt;0,"Win",IF($Q793&lt;0,"Loss","Scratch"))))</f>
        <v/>
      </c>
      <c r="T793" s="47" t="str">
        <f>IF(OR($AM793=0,NOT(ISNUMBER($H793)),NOT(ISNUMBER($I793)),NOT(ISNUMBER($J793))),"",IF($H793=$I793,"",ROUND(ABS($J793-$H793)/ABS($H793-$I793),6)))</f>
        <v/>
      </c>
      <c r="U793" s="48" t="str">
        <f>IF(OR($S793&lt;&gt;"Win",NOT(ISNUMBER($T793)),NOT(ISNUMBER($R793))),"",MAX(0,$T793-$R793))</f>
        <v/>
      </c>
      <c r="V793" s="49" t="str">
        <f>IF(OR($AM793=0,NOT(ISNUMBER($H793)),NOT(ISNUMBER($I793)),NOT(ISNUMBER($G793))),"",IF(OR($AG793="",$AH793=""),"",IF(ROUND(ABS($H793-$I793)*ABS($G793)*$AG793*$AH793,6)=0,"",ROUND(ABS($H793-$I793)*ABS($G793)*$AG793*$AH793,6))))</f>
        <v/>
      </c>
      <c r="W793" s="50" t="str">
        <f>IF($AM793=0,"",IF($BG793="","OK",LEFT($BG793,LEN($BG793)-2)))</f>
        <v/>
      </c>
      <c r="X793" s="41" t="n"/>
      <c r="Y793" s="40" t="n"/>
      <c r="Z793" s="41" t="n"/>
      <c r="AA793" s="41" t="n"/>
      <c r="AB793" s="40" t="n"/>
      <c r="AC793" s="51" t="n"/>
      <c r="AD793" s="51" t="n"/>
      <c r="AE793" s="40" t="n"/>
      <c r="AF793" s="52" t="str">
        <f>IF($AM793=0,"",IF($D793&lt;&gt;"",$D793,IF(IFERROR(INDEX(Accounts!$C$7:$C$16,MATCH($C793,Accounts!$B$7:$B$16,0))&amp;"","")&lt;&gt;"",INDEX(Accounts!$C$7:$C$16,MATCH($C793,Accounts!$B$7:$B$16,0)),Settings!$C$6)))</f>
        <v/>
      </c>
      <c r="AG793" s="53" t="str">
        <f>IF($AM793=0,"",IF(AND($BE793&gt;0,N(INDEX(Instruments!$D$6:$D$205,MAX(1,$BE793)))&gt;0),INDEX(Instruments!$D$6:$D$205,MAX(1,$BE793)),IF(N(INDEX(Settings!$D$14:$D$18,$BF793))&gt;0,INDEX(Settings!$D$14:$D$18,$BF793),"")))</f>
        <v/>
      </c>
      <c r="AH793" s="54" t="str">
        <f>IF($AM793=0,"",IF($AF793&lt;&gt;"Forex",1,IF(MID(UPPER(SUBSTITUTE(TRIM($E793),"/","")),4,3)=UPPER(TRIM(Settings!$C$7)),1,IF(LEFT(UPPER(SUBSTITUTE(TRIM($E793),"/","")),3)=UPPER(TRIM(Settings!$C$7)),IF(AND(ISNUMBER($K793),N($K793)&lt;&gt;0),1/$K793,""),""))))</f>
        <v/>
      </c>
      <c r="AI793" s="55" t="str">
        <f>IF($AM793=0,"",IF(OR(NOT(ISNUMBER($H793)),NOT(ISNUMBER($K793)),NOT(ISNUMBER($G793)),$AG793="",$AH793=""),"",ROUND(($K793-$H793)*IF($F793="Short",-1,1)*$G793*$AG793*$AH793,6)))</f>
        <v/>
      </c>
      <c r="AJ793" s="55" t="str">
        <f>IF($AM793=0,"",IF(INDEX(Settings!$E$14:$E$18,$BF793)="% of notional",IF(OR($AG793="",NOT(ISNUMBER($H793)),NOT(ISNUMBER($G793))),"",ROUND(ABS($H793*$G793*$AG793*N($AH793))*IF($L793="Limit",N(INDEX(Settings!$G$14:$G$18,$BF793)),N(INDEX(Settings!$H$14:$H$18,$BF793)))+IF(ISNUMBER($K793),ABS($K793*$G793*$AG793*N($AH793))*IF($M793="Target",N(INDEX(Settings!$G$14:$G$18,$BF793)),N(INDEX(Settings!$H$14:$H$18,$BF793))),0),6)),IF(NOT(ISNUMBER($G793)),"",ROUND(ABS($G793)*2*IF(AND($BE793&gt;0,ISNUMBER(INDEX(Instruments!$G$6:$G$205,MAX(1,$BE793)))),INDEX(Instruments!$G$6:$G$205,MAX(1,$BE793)),N(INDEX(Settings!$F$14:$F$18,$BF793))),6))))</f>
        <v/>
      </c>
      <c r="AK793" s="55" t="str">
        <f>IF($AM793=0,"",IF(ISNUMBER($O793),$O793,$AI793))</f>
        <v/>
      </c>
      <c r="AL793" s="55" t="str">
        <f>IF($AM793=0,"",IF(ISNUMBER($P793),$P793,N($AJ793)))</f>
        <v/>
      </c>
      <c r="AM793" s="56">
        <f>IF(AND($A793&lt;&gt;"",$E793&lt;&gt;"",OR(AND(ISNUMBER($G793),ISNUMBER($H793),ISNUMBER($K793)),ISNUMBER($O793))),1,0)</f>
        <v>0</v>
      </c>
      <c r="AN793" s="57" t="str">
        <f>IF($A793="","",$A793-WEEKDAY($A793,3))</f>
        <v/>
      </c>
      <c r="AO793" s="56" t="str">
        <f>IF($A793="","",WEEKDAY($A793,2))</f>
        <v/>
      </c>
      <c r="AP793" s="55" t="str">
        <f>IF(OR($AM793=0,$C793=""),"",IFERROR(N(INDEX(Accounts!$E$7:$E$16,MATCH($C793,Accounts!$B$7:$B$16,0))),0)+SUMIFS($Q$6:$Q793,$C$6:$C793,$C793))</f>
        <v/>
      </c>
      <c r="AQ793" s="55" t="str">
        <f>IF(OR($AM793=0,$C793=""),"",SUMIFS($Q$6:$Q$1005,$C$6:$C$1005,$C793,$A$6:$A$1005,$A793))</f>
        <v/>
      </c>
      <c r="AR793" s="55" t="str">
        <f>IF(OR($AM793=0,$C793=""),"",IFERROR(N(INDEX(Accounts!$E$7:$E$16,MATCH($C793,Accounts!$B$7:$B$16,0))),0)+SUMIFS($Q$6:$Q$1005,$C$6:$C$1005,$C793,$A$6:$A$1005,"&lt;="&amp;$A793))</f>
        <v/>
      </c>
      <c r="AS793" s="56">
        <f>IF(OR($AM793=0,$Q793=""),0,IF(AND($A793&gt;=Lists!$W$6,$A793&lt;=Lists!$W$7,OR(Dashboard!$D$6="All accounts",$C793=Dashboard!$D$6),OR(Dashboard!$D$7="All markets",$AF793=Dashboard!$D$7)),1,0))</f>
        <v>0</v>
      </c>
      <c r="AT793" s="55">
        <f>IF($AS793=1,N(AT792)+$Q793,N(AT792))</f>
        <v>1187.10688</v>
      </c>
      <c r="AU793" s="55">
        <f>MAX(N(AU792),$AT793)</f>
        <v>1187.10688</v>
      </c>
      <c r="AV793" s="55">
        <f>$AT793-$AU793</f>
        <v>0</v>
      </c>
      <c r="AW793" s="56">
        <f>IF($AS793=1,IF($S793="Win",N(AW792)+1,IF($S793="Loss",0,N(AW792))),N(AW792))</f>
        <v>5</v>
      </c>
      <c r="AX793" s="56">
        <f>IF($AS793=1,IF($S793="Loss",N(AX792)+1,IF($S793="Win",0,N(AX792))),N(AX792))</f>
        <v>0</v>
      </c>
      <c r="AY793" s="56" t="str">
        <f>IF($AS793=1,COUNTIF($AS$6:$AS793,1),"")</f>
        <v/>
      </c>
      <c r="AZ793" s="56">
        <f>MIN(787,N(Lists!$W$8))</f>
        <v>28</v>
      </c>
      <c r="BA793" s="56">
        <f>IF($AS793=1,IF(COUNTIFS($A$6:$A793,$A793,$AS$6:$AS793,1)=1,1,0),0)</f>
        <v>0</v>
      </c>
      <c r="BB793" s="55" t="str">
        <f>IF($BA793=1,SUMIFS($Q$6:$Q$1005,$A$6:$A$1005,$A793,$AS$6:$AS$1005,1),"")</f>
        <v/>
      </c>
      <c r="BC793" s="56">
        <f>IF(ISNUMBER($R793),1,0)</f>
        <v>0</v>
      </c>
      <c r="BD793" s="55" t="str">
        <f>IF(ISNUMBER($U793),$U793*$V793,"")</f>
        <v/>
      </c>
      <c r="BE793" s="56" t="str">
        <f>IF($AM793=0,"",IFERROR(MATCH($AF793&amp;"|"&amp;UPPER(TRIM($E793)),Lists!$A$6:$A$205,0),0))</f>
        <v/>
      </c>
      <c r="BF793" s="56" t="str">
        <f>IF($AM793=0,"",IFERROR(MATCH($AF793,Settings!$B$14:$B$18,0),IFERROR(MATCH(Settings!$C$6,Settings!$B$14:$B$18,0),1)))</f>
        <v/>
      </c>
      <c r="BG793" s="58" t="str">
        <f>IF($AM793=0,"",IF(NOT(ISNUMBER($I793)),"No stop; ","")&amp;IF(AND(ISNUMBER($H793),ISNUMBER($I793)),IF(OR(AND($F793&lt;&gt;"Short",$I793&gt;=$H793),AND($F793="Short",$I793&lt;=$H793)),"Stop on wrong side; ",""),"")&amp;IF($F793="","No direction; ","")&amp;IF(AND(ISNUMBER(Settings!$C$22),ISNUMBER($V793)),IF($V793&gt;Settings!$C$22,"Risk over max $; ",""),"")&amp;IF(AND(ISNUMBER(Settings!$C$23),ISNUMBER($V793),ISNUMBER($AP793),IFERROR(N(INDEX(Accounts!$E$7:$E$16,MATCH($C793,Accounts!$B$7:$B$16,0))),0)&gt;0),IF($V793&gt;Settings!$C$23*($AP793-N($Q793)),"Risk over max %; ",""),"")&amp;IF(AND(ISNUMBER(Settings!$C$24),ISNUMBER($N793)),IF($N793&gt;Settings!$C$24,"Leverage over max; ",""),"")&amp;IF(AND(ISNUMBER(Settings!$C$27),ISNUMBER($T793)),IF($T793&lt;Settings!$C$27,"R:R below min; ",""),"")&amp;IF(ISNUMBER(Settings!$C$25),IF(COUNTIFS($A$6:$A793,$A793,$AM$6:$AM793,1)&gt;Settings!$C$25,"Over max trades/day; ",""),"")&amp;IF(ISNUMBER(Settings!$C$26),IF(SUMIFS($Q$5:$Q792,$A$5:$A792,$A793)&lt;=-Settings!$C$26,"Traded after daily max loss; ",""),"")&amp;IF(AND($AG793="",NOT(ISNUMBER($O793))),"Symbol not in Instruments; ","")&amp;IF(AND($AH793="",NOT(ISNUMBER($O793))),"Forex cross: type Gross P&amp;L; ",""))</f>
        <v/>
      </c>
      <c r="BH793" s="56">
        <f>IF(ISNUMBER($Q793),1,0)</f>
        <v>0</v>
      </c>
      <c r="BI793" s="56">
        <f>IF($Y793="",0,1)</f>
        <v>0</v>
      </c>
      <c r="BJ793" s="56">
        <f>IF($AB793="",0,1)</f>
        <v>0</v>
      </c>
      <c r="BK793" s="56">
        <f>IF(AND($BH793=1,$W793&lt;&gt;"OK"),1,0)</f>
        <v>0</v>
      </c>
      <c r="BL793" s="55">
        <f>IF(N($AZ793)=0,0,IFERROR(INDEX($AT$6:$AT$1005,MATCH($AZ793,$AY$6:$AY$1005,0)),0))</f>
        <v>1187.10688</v>
      </c>
      <c r="BM793" s="56">
        <f>IF(ISNUMBER(SEARCH("daily max loss",$BG793)),1,0)</f>
        <v>0</v>
      </c>
    </row>
    <row r="794" ht="18" customHeight="1">
      <c r="A794" s="38" t="n"/>
      <c r="B794" s="39" t="n"/>
      <c r="C794" s="40" t="n"/>
      <c r="D794" s="41" t="n"/>
      <c r="E794" s="41" t="n"/>
      <c r="F794" s="41" t="n"/>
      <c r="G794" s="41" t="n"/>
      <c r="H794" s="42" t="n"/>
      <c r="I794" s="42" t="n"/>
      <c r="J794" s="42" t="n"/>
      <c r="K794" s="42" t="n"/>
      <c r="L794" s="41" t="n"/>
      <c r="M794" s="41" t="n"/>
      <c r="N794" s="41" t="n"/>
      <c r="O794" s="43" t="n"/>
      <c r="P794" s="43" t="n"/>
      <c r="Q794" s="44" t="str">
        <f>IF($AM794=0,"",IF(ISNUMBER($AK794),$AK794-N($AL794),""))</f>
        <v/>
      </c>
      <c r="R794" s="45" t="str">
        <f>IF(OR($Q794="",NOT(ISNUMBER($V794))),"",$AK794/$V794)</f>
        <v/>
      </c>
      <c r="S794" s="46" t="str">
        <f>IF($Q794="","",IF(AND(ISNUMBER($R794),ABS(N($R794))&lt;N(Settings!$C$8)),"Scratch",IF($Q794&gt;0,"Win",IF($Q794&lt;0,"Loss","Scratch"))))</f>
        <v/>
      </c>
      <c r="T794" s="47" t="str">
        <f>IF(OR($AM794=0,NOT(ISNUMBER($H794)),NOT(ISNUMBER($I794)),NOT(ISNUMBER($J794))),"",IF($H794=$I794,"",ROUND(ABS($J794-$H794)/ABS($H794-$I794),6)))</f>
        <v/>
      </c>
      <c r="U794" s="48" t="str">
        <f>IF(OR($S794&lt;&gt;"Win",NOT(ISNUMBER($T794)),NOT(ISNUMBER($R794))),"",MAX(0,$T794-$R794))</f>
        <v/>
      </c>
      <c r="V794" s="49" t="str">
        <f>IF(OR($AM794=0,NOT(ISNUMBER($H794)),NOT(ISNUMBER($I794)),NOT(ISNUMBER($G794))),"",IF(OR($AG794="",$AH794=""),"",IF(ROUND(ABS($H794-$I794)*ABS($G794)*$AG794*$AH794,6)=0,"",ROUND(ABS($H794-$I794)*ABS($G794)*$AG794*$AH794,6))))</f>
        <v/>
      </c>
      <c r="W794" s="50" t="str">
        <f>IF($AM794=0,"",IF($BG794="","OK",LEFT($BG794,LEN($BG794)-2)))</f>
        <v/>
      </c>
      <c r="X794" s="41" t="n"/>
      <c r="Y794" s="40" t="n"/>
      <c r="Z794" s="41" t="n"/>
      <c r="AA794" s="41" t="n"/>
      <c r="AB794" s="40" t="n"/>
      <c r="AC794" s="51" t="n"/>
      <c r="AD794" s="51" t="n"/>
      <c r="AE794" s="40" t="n"/>
      <c r="AF794" s="52" t="str">
        <f>IF($AM794=0,"",IF($D794&lt;&gt;"",$D794,IF(IFERROR(INDEX(Accounts!$C$7:$C$16,MATCH($C794,Accounts!$B$7:$B$16,0))&amp;"","")&lt;&gt;"",INDEX(Accounts!$C$7:$C$16,MATCH($C794,Accounts!$B$7:$B$16,0)),Settings!$C$6)))</f>
        <v/>
      </c>
      <c r="AG794" s="53" t="str">
        <f>IF($AM794=0,"",IF(AND($BE794&gt;0,N(INDEX(Instruments!$D$6:$D$205,MAX(1,$BE794)))&gt;0),INDEX(Instruments!$D$6:$D$205,MAX(1,$BE794)),IF(N(INDEX(Settings!$D$14:$D$18,$BF794))&gt;0,INDEX(Settings!$D$14:$D$18,$BF794),"")))</f>
        <v/>
      </c>
      <c r="AH794" s="54" t="str">
        <f>IF($AM794=0,"",IF($AF794&lt;&gt;"Forex",1,IF(MID(UPPER(SUBSTITUTE(TRIM($E794),"/","")),4,3)=UPPER(TRIM(Settings!$C$7)),1,IF(LEFT(UPPER(SUBSTITUTE(TRIM($E794),"/","")),3)=UPPER(TRIM(Settings!$C$7)),IF(AND(ISNUMBER($K794),N($K794)&lt;&gt;0),1/$K794,""),""))))</f>
        <v/>
      </c>
      <c r="AI794" s="55" t="str">
        <f>IF($AM794=0,"",IF(OR(NOT(ISNUMBER($H794)),NOT(ISNUMBER($K794)),NOT(ISNUMBER($G794)),$AG794="",$AH794=""),"",ROUND(($K794-$H794)*IF($F794="Short",-1,1)*$G794*$AG794*$AH794,6)))</f>
        <v/>
      </c>
      <c r="AJ794" s="55" t="str">
        <f>IF($AM794=0,"",IF(INDEX(Settings!$E$14:$E$18,$BF794)="% of notional",IF(OR($AG794="",NOT(ISNUMBER($H794)),NOT(ISNUMBER($G794))),"",ROUND(ABS($H794*$G794*$AG794*N($AH794))*IF($L794="Limit",N(INDEX(Settings!$G$14:$G$18,$BF794)),N(INDEX(Settings!$H$14:$H$18,$BF794)))+IF(ISNUMBER($K794),ABS($K794*$G794*$AG794*N($AH794))*IF($M794="Target",N(INDEX(Settings!$G$14:$G$18,$BF794)),N(INDEX(Settings!$H$14:$H$18,$BF794))),0),6)),IF(NOT(ISNUMBER($G794)),"",ROUND(ABS($G794)*2*IF(AND($BE794&gt;0,ISNUMBER(INDEX(Instruments!$G$6:$G$205,MAX(1,$BE794)))),INDEX(Instruments!$G$6:$G$205,MAX(1,$BE794)),N(INDEX(Settings!$F$14:$F$18,$BF794))),6))))</f>
        <v/>
      </c>
      <c r="AK794" s="55" t="str">
        <f>IF($AM794=0,"",IF(ISNUMBER($O794),$O794,$AI794))</f>
        <v/>
      </c>
      <c r="AL794" s="55" t="str">
        <f>IF($AM794=0,"",IF(ISNUMBER($P794),$P794,N($AJ794)))</f>
        <v/>
      </c>
      <c r="AM794" s="56">
        <f>IF(AND($A794&lt;&gt;"",$E794&lt;&gt;"",OR(AND(ISNUMBER($G794),ISNUMBER($H794),ISNUMBER($K794)),ISNUMBER($O794))),1,0)</f>
        <v>0</v>
      </c>
      <c r="AN794" s="57" t="str">
        <f>IF($A794="","",$A794-WEEKDAY($A794,3))</f>
        <v/>
      </c>
      <c r="AO794" s="56" t="str">
        <f>IF($A794="","",WEEKDAY($A794,2))</f>
        <v/>
      </c>
      <c r="AP794" s="55" t="str">
        <f>IF(OR($AM794=0,$C794=""),"",IFERROR(N(INDEX(Accounts!$E$7:$E$16,MATCH($C794,Accounts!$B$7:$B$16,0))),0)+SUMIFS($Q$6:$Q794,$C$6:$C794,$C794))</f>
        <v/>
      </c>
      <c r="AQ794" s="55" t="str">
        <f>IF(OR($AM794=0,$C794=""),"",SUMIFS($Q$6:$Q$1005,$C$6:$C$1005,$C794,$A$6:$A$1005,$A794))</f>
        <v/>
      </c>
      <c r="AR794" s="55" t="str">
        <f>IF(OR($AM794=0,$C794=""),"",IFERROR(N(INDEX(Accounts!$E$7:$E$16,MATCH($C794,Accounts!$B$7:$B$16,0))),0)+SUMIFS($Q$6:$Q$1005,$C$6:$C$1005,$C794,$A$6:$A$1005,"&lt;="&amp;$A794))</f>
        <v/>
      </c>
      <c r="AS794" s="56">
        <f>IF(OR($AM794=0,$Q794=""),0,IF(AND($A794&gt;=Lists!$W$6,$A794&lt;=Lists!$W$7,OR(Dashboard!$D$6="All accounts",$C794=Dashboard!$D$6),OR(Dashboard!$D$7="All markets",$AF794=Dashboard!$D$7)),1,0))</f>
        <v>0</v>
      </c>
      <c r="AT794" s="55">
        <f>IF($AS794=1,N(AT793)+$Q794,N(AT793))</f>
        <v>1187.10688</v>
      </c>
      <c r="AU794" s="55">
        <f>MAX(N(AU793),$AT794)</f>
        <v>1187.10688</v>
      </c>
      <c r="AV794" s="55">
        <f>$AT794-$AU794</f>
        <v>0</v>
      </c>
      <c r="AW794" s="56">
        <f>IF($AS794=1,IF($S794="Win",N(AW793)+1,IF($S794="Loss",0,N(AW793))),N(AW793))</f>
        <v>5</v>
      </c>
      <c r="AX794" s="56">
        <f>IF($AS794=1,IF($S794="Loss",N(AX793)+1,IF($S794="Win",0,N(AX793))),N(AX793))</f>
        <v>0</v>
      </c>
      <c r="AY794" s="56" t="str">
        <f>IF($AS794=1,COUNTIF($AS$6:$AS794,1),"")</f>
        <v/>
      </c>
      <c r="AZ794" s="56">
        <f>MIN(788,N(Lists!$W$8))</f>
        <v>28</v>
      </c>
      <c r="BA794" s="56">
        <f>IF($AS794=1,IF(COUNTIFS($A$6:$A794,$A794,$AS$6:$AS794,1)=1,1,0),0)</f>
        <v>0</v>
      </c>
      <c r="BB794" s="55" t="str">
        <f>IF($BA794=1,SUMIFS($Q$6:$Q$1005,$A$6:$A$1005,$A794,$AS$6:$AS$1005,1),"")</f>
        <v/>
      </c>
      <c r="BC794" s="56">
        <f>IF(ISNUMBER($R794),1,0)</f>
        <v>0</v>
      </c>
      <c r="BD794" s="55" t="str">
        <f>IF(ISNUMBER($U794),$U794*$V794,"")</f>
        <v/>
      </c>
      <c r="BE794" s="56" t="str">
        <f>IF($AM794=0,"",IFERROR(MATCH($AF794&amp;"|"&amp;UPPER(TRIM($E794)),Lists!$A$6:$A$205,0),0))</f>
        <v/>
      </c>
      <c r="BF794" s="56" t="str">
        <f>IF($AM794=0,"",IFERROR(MATCH($AF794,Settings!$B$14:$B$18,0),IFERROR(MATCH(Settings!$C$6,Settings!$B$14:$B$18,0),1)))</f>
        <v/>
      </c>
      <c r="BG794" s="58" t="str">
        <f>IF($AM794=0,"",IF(NOT(ISNUMBER($I794)),"No stop; ","")&amp;IF(AND(ISNUMBER($H794),ISNUMBER($I794)),IF(OR(AND($F794&lt;&gt;"Short",$I794&gt;=$H794),AND($F794="Short",$I794&lt;=$H794)),"Stop on wrong side; ",""),"")&amp;IF($F794="","No direction; ","")&amp;IF(AND(ISNUMBER(Settings!$C$22),ISNUMBER($V794)),IF($V794&gt;Settings!$C$22,"Risk over max $; ",""),"")&amp;IF(AND(ISNUMBER(Settings!$C$23),ISNUMBER($V794),ISNUMBER($AP794),IFERROR(N(INDEX(Accounts!$E$7:$E$16,MATCH($C794,Accounts!$B$7:$B$16,0))),0)&gt;0),IF($V794&gt;Settings!$C$23*($AP794-N($Q794)),"Risk over max %; ",""),"")&amp;IF(AND(ISNUMBER(Settings!$C$24),ISNUMBER($N794)),IF($N794&gt;Settings!$C$24,"Leverage over max; ",""),"")&amp;IF(AND(ISNUMBER(Settings!$C$27),ISNUMBER($T794)),IF($T794&lt;Settings!$C$27,"R:R below min; ",""),"")&amp;IF(ISNUMBER(Settings!$C$25),IF(COUNTIFS($A$6:$A794,$A794,$AM$6:$AM794,1)&gt;Settings!$C$25,"Over max trades/day; ",""),"")&amp;IF(ISNUMBER(Settings!$C$26),IF(SUMIFS($Q$5:$Q793,$A$5:$A793,$A794)&lt;=-Settings!$C$26,"Traded after daily max loss; ",""),"")&amp;IF(AND($AG794="",NOT(ISNUMBER($O794))),"Symbol not in Instruments; ","")&amp;IF(AND($AH794="",NOT(ISNUMBER($O794))),"Forex cross: type Gross P&amp;L; ",""))</f>
        <v/>
      </c>
      <c r="BH794" s="56">
        <f>IF(ISNUMBER($Q794),1,0)</f>
        <v>0</v>
      </c>
      <c r="BI794" s="56">
        <f>IF($Y794="",0,1)</f>
        <v>0</v>
      </c>
      <c r="BJ794" s="56">
        <f>IF($AB794="",0,1)</f>
        <v>0</v>
      </c>
      <c r="BK794" s="56">
        <f>IF(AND($BH794=1,$W794&lt;&gt;"OK"),1,0)</f>
        <v>0</v>
      </c>
      <c r="BL794" s="55">
        <f>IF(N($AZ794)=0,0,IFERROR(INDEX($AT$6:$AT$1005,MATCH($AZ794,$AY$6:$AY$1005,0)),0))</f>
        <v>1187.10688</v>
      </c>
      <c r="BM794" s="56">
        <f>IF(ISNUMBER(SEARCH("daily max loss",$BG794)),1,0)</f>
        <v>0</v>
      </c>
    </row>
    <row r="795" ht="18" customHeight="1">
      <c r="A795" s="38" t="n"/>
      <c r="B795" s="39" t="n"/>
      <c r="C795" s="40" t="n"/>
      <c r="D795" s="41" t="n"/>
      <c r="E795" s="41" t="n"/>
      <c r="F795" s="41" t="n"/>
      <c r="G795" s="41" t="n"/>
      <c r="H795" s="42" t="n"/>
      <c r="I795" s="42" t="n"/>
      <c r="J795" s="42" t="n"/>
      <c r="K795" s="42" t="n"/>
      <c r="L795" s="41" t="n"/>
      <c r="M795" s="41" t="n"/>
      <c r="N795" s="41" t="n"/>
      <c r="O795" s="43" t="n"/>
      <c r="P795" s="43" t="n"/>
      <c r="Q795" s="44" t="str">
        <f>IF($AM795=0,"",IF(ISNUMBER($AK795),$AK795-N($AL795),""))</f>
        <v/>
      </c>
      <c r="R795" s="45" t="str">
        <f>IF(OR($Q795="",NOT(ISNUMBER($V795))),"",$AK795/$V795)</f>
        <v/>
      </c>
      <c r="S795" s="46" t="str">
        <f>IF($Q795="","",IF(AND(ISNUMBER($R795),ABS(N($R795))&lt;N(Settings!$C$8)),"Scratch",IF($Q795&gt;0,"Win",IF($Q795&lt;0,"Loss","Scratch"))))</f>
        <v/>
      </c>
      <c r="T795" s="47" t="str">
        <f>IF(OR($AM795=0,NOT(ISNUMBER($H795)),NOT(ISNUMBER($I795)),NOT(ISNUMBER($J795))),"",IF($H795=$I795,"",ROUND(ABS($J795-$H795)/ABS($H795-$I795),6)))</f>
        <v/>
      </c>
      <c r="U795" s="48" t="str">
        <f>IF(OR($S795&lt;&gt;"Win",NOT(ISNUMBER($T795)),NOT(ISNUMBER($R795))),"",MAX(0,$T795-$R795))</f>
        <v/>
      </c>
      <c r="V795" s="49" t="str">
        <f>IF(OR($AM795=0,NOT(ISNUMBER($H795)),NOT(ISNUMBER($I795)),NOT(ISNUMBER($G795))),"",IF(OR($AG795="",$AH795=""),"",IF(ROUND(ABS($H795-$I795)*ABS($G795)*$AG795*$AH795,6)=0,"",ROUND(ABS($H795-$I795)*ABS($G795)*$AG795*$AH795,6))))</f>
        <v/>
      </c>
      <c r="W795" s="50" t="str">
        <f>IF($AM795=0,"",IF($BG795="","OK",LEFT($BG795,LEN($BG795)-2)))</f>
        <v/>
      </c>
      <c r="X795" s="41" t="n"/>
      <c r="Y795" s="40" t="n"/>
      <c r="Z795" s="41" t="n"/>
      <c r="AA795" s="41" t="n"/>
      <c r="AB795" s="40" t="n"/>
      <c r="AC795" s="51" t="n"/>
      <c r="AD795" s="51" t="n"/>
      <c r="AE795" s="40" t="n"/>
      <c r="AF795" s="52" t="str">
        <f>IF($AM795=0,"",IF($D795&lt;&gt;"",$D795,IF(IFERROR(INDEX(Accounts!$C$7:$C$16,MATCH($C795,Accounts!$B$7:$B$16,0))&amp;"","")&lt;&gt;"",INDEX(Accounts!$C$7:$C$16,MATCH($C795,Accounts!$B$7:$B$16,0)),Settings!$C$6)))</f>
        <v/>
      </c>
      <c r="AG795" s="53" t="str">
        <f>IF($AM795=0,"",IF(AND($BE795&gt;0,N(INDEX(Instruments!$D$6:$D$205,MAX(1,$BE795)))&gt;0),INDEX(Instruments!$D$6:$D$205,MAX(1,$BE795)),IF(N(INDEX(Settings!$D$14:$D$18,$BF795))&gt;0,INDEX(Settings!$D$14:$D$18,$BF795),"")))</f>
        <v/>
      </c>
      <c r="AH795" s="54" t="str">
        <f>IF($AM795=0,"",IF($AF795&lt;&gt;"Forex",1,IF(MID(UPPER(SUBSTITUTE(TRIM($E795),"/","")),4,3)=UPPER(TRIM(Settings!$C$7)),1,IF(LEFT(UPPER(SUBSTITUTE(TRIM($E795),"/","")),3)=UPPER(TRIM(Settings!$C$7)),IF(AND(ISNUMBER($K795),N($K795)&lt;&gt;0),1/$K795,""),""))))</f>
        <v/>
      </c>
      <c r="AI795" s="55" t="str">
        <f>IF($AM795=0,"",IF(OR(NOT(ISNUMBER($H795)),NOT(ISNUMBER($K795)),NOT(ISNUMBER($G795)),$AG795="",$AH795=""),"",ROUND(($K795-$H795)*IF($F795="Short",-1,1)*$G795*$AG795*$AH795,6)))</f>
        <v/>
      </c>
      <c r="AJ795" s="55" t="str">
        <f>IF($AM795=0,"",IF(INDEX(Settings!$E$14:$E$18,$BF795)="% of notional",IF(OR($AG795="",NOT(ISNUMBER($H795)),NOT(ISNUMBER($G795))),"",ROUND(ABS($H795*$G795*$AG795*N($AH795))*IF($L795="Limit",N(INDEX(Settings!$G$14:$G$18,$BF795)),N(INDEX(Settings!$H$14:$H$18,$BF795)))+IF(ISNUMBER($K795),ABS($K795*$G795*$AG795*N($AH795))*IF($M795="Target",N(INDEX(Settings!$G$14:$G$18,$BF795)),N(INDEX(Settings!$H$14:$H$18,$BF795))),0),6)),IF(NOT(ISNUMBER($G795)),"",ROUND(ABS($G795)*2*IF(AND($BE795&gt;0,ISNUMBER(INDEX(Instruments!$G$6:$G$205,MAX(1,$BE795)))),INDEX(Instruments!$G$6:$G$205,MAX(1,$BE795)),N(INDEX(Settings!$F$14:$F$18,$BF795))),6))))</f>
        <v/>
      </c>
      <c r="AK795" s="55" t="str">
        <f>IF($AM795=0,"",IF(ISNUMBER($O795),$O795,$AI795))</f>
        <v/>
      </c>
      <c r="AL795" s="55" t="str">
        <f>IF($AM795=0,"",IF(ISNUMBER($P795),$P795,N($AJ795)))</f>
        <v/>
      </c>
      <c r="AM795" s="56">
        <f>IF(AND($A795&lt;&gt;"",$E795&lt;&gt;"",OR(AND(ISNUMBER($G795),ISNUMBER($H795),ISNUMBER($K795)),ISNUMBER($O795))),1,0)</f>
        <v>0</v>
      </c>
      <c r="AN795" s="57" t="str">
        <f>IF($A795="","",$A795-WEEKDAY($A795,3))</f>
        <v/>
      </c>
      <c r="AO795" s="56" t="str">
        <f>IF($A795="","",WEEKDAY($A795,2))</f>
        <v/>
      </c>
      <c r="AP795" s="55" t="str">
        <f>IF(OR($AM795=0,$C795=""),"",IFERROR(N(INDEX(Accounts!$E$7:$E$16,MATCH($C795,Accounts!$B$7:$B$16,0))),0)+SUMIFS($Q$6:$Q795,$C$6:$C795,$C795))</f>
        <v/>
      </c>
      <c r="AQ795" s="55" t="str">
        <f>IF(OR($AM795=0,$C795=""),"",SUMIFS($Q$6:$Q$1005,$C$6:$C$1005,$C795,$A$6:$A$1005,$A795))</f>
        <v/>
      </c>
      <c r="AR795" s="55" t="str">
        <f>IF(OR($AM795=0,$C795=""),"",IFERROR(N(INDEX(Accounts!$E$7:$E$16,MATCH($C795,Accounts!$B$7:$B$16,0))),0)+SUMIFS($Q$6:$Q$1005,$C$6:$C$1005,$C795,$A$6:$A$1005,"&lt;="&amp;$A795))</f>
        <v/>
      </c>
      <c r="AS795" s="56">
        <f>IF(OR($AM795=0,$Q795=""),0,IF(AND($A795&gt;=Lists!$W$6,$A795&lt;=Lists!$W$7,OR(Dashboard!$D$6="All accounts",$C795=Dashboard!$D$6),OR(Dashboard!$D$7="All markets",$AF795=Dashboard!$D$7)),1,0))</f>
        <v>0</v>
      </c>
      <c r="AT795" s="55">
        <f>IF($AS795=1,N(AT794)+$Q795,N(AT794))</f>
        <v>1187.10688</v>
      </c>
      <c r="AU795" s="55">
        <f>MAX(N(AU794),$AT795)</f>
        <v>1187.10688</v>
      </c>
      <c r="AV795" s="55">
        <f>$AT795-$AU795</f>
        <v>0</v>
      </c>
      <c r="AW795" s="56">
        <f>IF($AS795=1,IF($S795="Win",N(AW794)+1,IF($S795="Loss",0,N(AW794))),N(AW794))</f>
        <v>5</v>
      </c>
      <c r="AX795" s="56">
        <f>IF($AS795=1,IF($S795="Loss",N(AX794)+1,IF($S795="Win",0,N(AX794))),N(AX794))</f>
        <v>0</v>
      </c>
      <c r="AY795" s="56" t="str">
        <f>IF($AS795=1,COUNTIF($AS$6:$AS795,1),"")</f>
        <v/>
      </c>
      <c r="AZ795" s="56">
        <f>MIN(789,N(Lists!$W$8))</f>
        <v>28</v>
      </c>
      <c r="BA795" s="56">
        <f>IF($AS795=1,IF(COUNTIFS($A$6:$A795,$A795,$AS$6:$AS795,1)=1,1,0),0)</f>
        <v>0</v>
      </c>
      <c r="BB795" s="55" t="str">
        <f>IF($BA795=1,SUMIFS($Q$6:$Q$1005,$A$6:$A$1005,$A795,$AS$6:$AS$1005,1),"")</f>
        <v/>
      </c>
      <c r="BC795" s="56">
        <f>IF(ISNUMBER($R795),1,0)</f>
        <v>0</v>
      </c>
      <c r="BD795" s="55" t="str">
        <f>IF(ISNUMBER($U795),$U795*$V795,"")</f>
        <v/>
      </c>
      <c r="BE795" s="56" t="str">
        <f>IF($AM795=0,"",IFERROR(MATCH($AF795&amp;"|"&amp;UPPER(TRIM($E795)),Lists!$A$6:$A$205,0),0))</f>
        <v/>
      </c>
      <c r="BF795" s="56" t="str">
        <f>IF($AM795=0,"",IFERROR(MATCH($AF795,Settings!$B$14:$B$18,0),IFERROR(MATCH(Settings!$C$6,Settings!$B$14:$B$18,0),1)))</f>
        <v/>
      </c>
      <c r="BG795" s="58" t="str">
        <f>IF($AM795=0,"",IF(NOT(ISNUMBER($I795)),"No stop; ","")&amp;IF(AND(ISNUMBER($H795),ISNUMBER($I795)),IF(OR(AND($F795&lt;&gt;"Short",$I795&gt;=$H795),AND($F795="Short",$I795&lt;=$H795)),"Stop on wrong side; ",""),"")&amp;IF($F795="","No direction; ","")&amp;IF(AND(ISNUMBER(Settings!$C$22),ISNUMBER($V795)),IF($V795&gt;Settings!$C$22,"Risk over max $; ",""),"")&amp;IF(AND(ISNUMBER(Settings!$C$23),ISNUMBER($V795),ISNUMBER($AP795),IFERROR(N(INDEX(Accounts!$E$7:$E$16,MATCH($C795,Accounts!$B$7:$B$16,0))),0)&gt;0),IF($V795&gt;Settings!$C$23*($AP795-N($Q795)),"Risk over max %; ",""),"")&amp;IF(AND(ISNUMBER(Settings!$C$24),ISNUMBER($N795)),IF($N795&gt;Settings!$C$24,"Leverage over max; ",""),"")&amp;IF(AND(ISNUMBER(Settings!$C$27),ISNUMBER($T795)),IF($T795&lt;Settings!$C$27,"R:R below min; ",""),"")&amp;IF(ISNUMBER(Settings!$C$25),IF(COUNTIFS($A$6:$A795,$A795,$AM$6:$AM795,1)&gt;Settings!$C$25,"Over max trades/day; ",""),"")&amp;IF(ISNUMBER(Settings!$C$26),IF(SUMIFS($Q$5:$Q794,$A$5:$A794,$A795)&lt;=-Settings!$C$26,"Traded after daily max loss; ",""),"")&amp;IF(AND($AG795="",NOT(ISNUMBER($O795))),"Symbol not in Instruments; ","")&amp;IF(AND($AH795="",NOT(ISNUMBER($O795))),"Forex cross: type Gross P&amp;L; ",""))</f>
        <v/>
      </c>
      <c r="BH795" s="56">
        <f>IF(ISNUMBER($Q795),1,0)</f>
        <v>0</v>
      </c>
      <c r="BI795" s="56">
        <f>IF($Y795="",0,1)</f>
        <v>0</v>
      </c>
      <c r="BJ795" s="56">
        <f>IF($AB795="",0,1)</f>
        <v>0</v>
      </c>
      <c r="BK795" s="56">
        <f>IF(AND($BH795=1,$W795&lt;&gt;"OK"),1,0)</f>
        <v>0</v>
      </c>
      <c r="BL795" s="55">
        <f>IF(N($AZ795)=0,0,IFERROR(INDEX($AT$6:$AT$1005,MATCH($AZ795,$AY$6:$AY$1005,0)),0))</f>
        <v>1187.10688</v>
      </c>
      <c r="BM795" s="56">
        <f>IF(ISNUMBER(SEARCH("daily max loss",$BG795)),1,0)</f>
        <v>0</v>
      </c>
    </row>
    <row r="796" ht="18" customHeight="1">
      <c r="A796" s="38" t="n"/>
      <c r="B796" s="39" t="n"/>
      <c r="C796" s="40" t="n"/>
      <c r="D796" s="41" t="n"/>
      <c r="E796" s="41" t="n"/>
      <c r="F796" s="41" t="n"/>
      <c r="G796" s="41" t="n"/>
      <c r="H796" s="42" t="n"/>
      <c r="I796" s="42" t="n"/>
      <c r="J796" s="42" t="n"/>
      <c r="K796" s="42" t="n"/>
      <c r="L796" s="41" t="n"/>
      <c r="M796" s="41" t="n"/>
      <c r="N796" s="41" t="n"/>
      <c r="O796" s="43" t="n"/>
      <c r="P796" s="43" t="n"/>
      <c r="Q796" s="44" t="str">
        <f>IF($AM796=0,"",IF(ISNUMBER($AK796),$AK796-N($AL796),""))</f>
        <v/>
      </c>
      <c r="R796" s="45" t="str">
        <f>IF(OR($Q796="",NOT(ISNUMBER($V796))),"",$AK796/$V796)</f>
        <v/>
      </c>
      <c r="S796" s="46" t="str">
        <f>IF($Q796="","",IF(AND(ISNUMBER($R796),ABS(N($R796))&lt;N(Settings!$C$8)),"Scratch",IF($Q796&gt;0,"Win",IF($Q796&lt;0,"Loss","Scratch"))))</f>
        <v/>
      </c>
      <c r="T796" s="47" t="str">
        <f>IF(OR($AM796=0,NOT(ISNUMBER($H796)),NOT(ISNUMBER($I796)),NOT(ISNUMBER($J796))),"",IF($H796=$I796,"",ROUND(ABS($J796-$H796)/ABS($H796-$I796),6)))</f>
        <v/>
      </c>
      <c r="U796" s="48" t="str">
        <f>IF(OR($S796&lt;&gt;"Win",NOT(ISNUMBER($T796)),NOT(ISNUMBER($R796))),"",MAX(0,$T796-$R796))</f>
        <v/>
      </c>
      <c r="V796" s="49" t="str">
        <f>IF(OR($AM796=0,NOT(ISNUMBER($H796)),NOT(ISNUMBER($I796)),NOT(ISNUMBER($G796))),"",IF(OR($AG796="",$AH796=""),"",IF(ROUND(ABS($H796-$I796)*ABS($G796)*$AG796*$AH796,6)=0,"",ROUND(ABS($H796-$I796)*ABS($G796)*$AG796*$AH796,6))))</f>
        <v/>
      </c>
      <c r="W796" s="50" t="str">
        <f>IF($AM796=0,"",IF($BG796="","OK",LEFT($BG796,LEN($BG796)-2)))</f>
        <v/>
      </c>
      <c r="X796" s="41" t="n"/>
      <c r="Y796" s="40" t="n"/>
      <c r="Z796" s="41" t="n"/>
      <c r="AA796" s="41" t="n"/>
      <c r="AB796" s="40" t="n"/>
      <c r="AC796" s="51" t="n"/>
      <c r="AD796" s="51" t="n"/>
      <c r="AE796" s="40" t="n"/>
      <c r="AF796" s="52" t="str">
        <f>IF($AM796=0,"",IF($D796&lt;&gt;"",$D796,IF(IFERROR(INDEX(Accounts!$C$7:$C$16,MATCH($C796,Accounts!$B$7:$B$16,0))&amp;"","")&lt;&gt;"",INDEX(Accounts!$C$7:$C$16,MATCH($C796,Accounts!$B$7:$B$16,0)),Settings!$C$6)))</f>
        <v/>
      </c>
      <c r="AG796" s="53" t="str">
        <f>IF($AM796=0,"",IF(AND($BE796&gt;0,N(INDEX(Instruments!$D$6:$D$205,MAX(1,$BE796)))&gt;0),INDEX(Instruments!$D$6:$D$205,MAX(1,$BE796)),IF(N(INDEX(Settings!$D$14:$D$18,$BF796))&gt;0,INDEX(Settings!$D$14:$D$18,$BF796),"")))</f>
        <v/>
      </c>
      <c r="AH796" s="54" t="str">
        <f>IF($AM796=0,"",IF($AF796&lt;&gt;"Forex",1,IF(MID(UPPER(SUBSTITUTE(TRIM($E796),"/","")),4,3)=UPPER(TRIM(Settings!$C$7)),1,IF(LEFT(UPPER(SUBSTITUTE(TRIM($E796),"/","")),3)=UPPER(TRIM(Settings!$C$7)),IF(AND(ISNUMBER($K796),N($K796)&lt;&gt;0),1/$K796,""),""))))</f>
        <v/>
      </c>
      <c r="AI796" s="55" t="str">
        <f>IF($AM796=0,"",IF(OR(NOT(ISNUMBER($H796)),NOT(ISNUMBER($K796)),NOT(ISNUMBER($G796)),$AG796="",$AH796=""),"",ROUND(($K796-$H796)*IF($F796="Short",-1,1)*$G796*$AG796*$AH796,6)))</f>
        <v/>
      </c>
      <c r="AJ796" s="55" t="str">
        <f>IF($AM796=0,"",IF(INDEX(Settings!$E$14:$E$18,$BF796)="% of notional",IF(OR($AG796="",NOT(ISNUMBER($H796)),NOT(ISNUMBER($G796))),"",ROUND(ABS($H796*$G796*$AG796*N($AH796))*IF($L796="Limit",N(INDEX(Settings!$G$14:$G$18,$BF796)),N(INDEX(Settings!$H$14:$H$18,$BF796)))+IF(ISNUMBER($K796),ABS($K796*$G796*$AG796*N($AH796))*IF($M796="Target",N(INDEX(Settings!$G$14:$G$18,$BF796)),N(INDEX(Settings!$H$14:$H$18,$BF796))),0),6)),IF(NOT(ISNUMBER($G796)),"",ROUND(ABS($G796)*2*IF(AND($BE796&gt;0,ISNUMBER(INDEX(Instruments!$G$6:$G$205,MAX(1,$BE796)))),INDEX(Instruments!$G$6:$G$205,MAX(1,$BE796)),N(INDEX(Settings!$F$14:$F$18,$BF796))),6))))</f>
        <v/>
      </c>
      <c r="AK796" s="55" t="str">
        <f>IF($AM796=0,"",IF(ISNUMBER($O796),$O796,$AI796))</f>
        <v/>
      </c>
      <c r="AL796" s="55" t="str">
        <f>IF($AM796=0,"",IF(ISNUMBER($P796),$P796,N($AJ796)))</f>
        <v/>
      </c>
      <c r="AM796" s="56">
        <f>IF(AND($A796&lt;&gt;"",$E796&lt;&gt;"",OR(AND(ISNUMBER($G796),ISNUMBER($H796),ISNUMBER($K796)),ISNUMBER($O796))),1,0)</f>
        <v>0</v>
      </c>
      <c r="AN796" s="57" t="str">
        <f>IF($A796="","",$A796-WEEKDAY($A796,3))</f>
        <v/>
      </c>
      <c r="AO796" s="56" t="str">
        <f>IF($A796="","",WEEKDAY($A796,2))</f>
        <v/>
      </c>
      <c r="AP796" s="55" t="str">
        <f>IF(OR($AM796=0,$C796=""),"",IFERROR(N(INDEX(Accounts!$E$7:$E$16,MATCH($C796,Accounts!$B$7:$B$16,0))),0)+SUMIFS($Q$6:$Q796,$C$6:$C796,$C796))</f>
        <v/>
      </c>
      <c r="AQ796" s="55" t="str">
        <f>IF(OR($AM796=0,$C796=""),"",SUMIFS($Q$6:$Q$1005,$C$6:$C$1005,$C796,$A$6:$A$1005,$A796))</f>
        <v/>
      </c>
      <c r="AR796" s="55" t="str">
        <f>IF(OR($AM796=0,$C796=""),"",IFERROR(N(INDEX(Accounts!$E$7:$E$16,MATCH($C796,Accounts!$B$7:$B$16,0))),0)+SUMIFS($Q$6:$Q$1005,$C$6:$C$1005,$C796,$A$6:$A$1005,"&lt;="&amp;$A796))</f>
        <v/>
      </c>
      <c r="AS796" s="56">
        <f>IF(OR($AM796=0,$Q796=""),0,IF(AND($A796&gt;=Lists!$W$6,$A796&lt;=Lists!$W$7,OR(Dashboard!$D$6="All accounts",$C796=Dashboard!$D$6),OR(Dashboard!$D$7="All markets",$AF796=Dashboard!$D$7)),1,0))</f>
        <v>0</v>
      </c>
      <c r="AT796" s="55">
        <f>IF($AS796=1,N(AT795)+$Q796,N(AT795))</f>
        <v>1187.10688</v>
      </c>
      <c r="AU796" s="55">
        <f>MAX(N(AU795),$AT796)</f>
        <v>1187.10688</v>
      </c>
      <c r="AV796" s="55">
        <f>$AT796-$AU796</f>
        <v>0</v>
      </c>
      <c r="AW796" s="56">
        <f>IF($AS796=1,IF($S796="Win",N(AW795)+1,IF($S796="Loss",0,N(AW795))),N(AW795))</f>
        <v>5</v>
      </c>
      <c r="AX796" s="56">
        <f>IF($AS796=1,IF($S796="Loss",N(AX795)+1,IF($S796="Win",0,N(AX795))),N(AX795))</f>
        <v>0</v>
      </c>
      <c r="AY796" s="56" t="str">
        <f>IF($AS796=1,COUNTIF($AS$6:$AS796,1),"")</f>
        <v/>
      </c>
      <c r="AZ796" s="56">
        <f>MIN(790,N(Lists!$W$8))</f>
        <v>28</v>
      </c>
      <c r="BA796" s="56">
        <f>IF($AS796=1,IF(COUNTIFS($A$6:$A796,$A796,$AS$6:$AS796,1)=1,1,0),0)</f>
        <v>0</v>
      </c>
      <c r="BB796" s="55" t="str">
        <f>IF($BA796=1,SUMIFS($Q$6:$Q$1005,$A$6:$A$1005,$A796,$AS$6:$AS$1005,1),"")</f>
        <v/>
      </c>
      <c r="BC796" s="56">
        <f>IF(ISNUMBER($R796),1,0)</f>
        <v>0</v>
      </c>
      <c r="BD796" s="55" t="str">
        <f>IF(ISNUMBER($U796),$U796*$V796,"")</f>
        <v/>
      </c>
      <c r="BE796" s="56" t="str">
        <f>IF($AM796=0,"",IFERROR(MATCH($AF796&amp;"|"&amp;UPPER(TRIM($E796)),Lists!$A$6:$A$205,0),0))</f>
        <v/>
      </c>
      <c r="BF796" s="56" t="str">
        <f>IF($AM796=0,"",IFERROR(MATCH($AF796,Settings!$B$14:$B$18,0),IFERROR(MATCH(Settings!$C$6,Settings!$B$14:$B$18,0),1)))</f>
        <v/>
      </c>
      <c r="BG796" s="58" t="str">
        <f>IF($AM796=0,"",IF(NOT(ISNUMBER($I796)),"No stop; ","")&amp;IF(AND(ISNUMBER($H796),ISNUMBER($I796)),IF(OR(AND($F796&lt;&gt;"Short",$I796&gt;=$H796),AND($F796="Short",$I796&lt;=$H796)),"Stop on wrong side; ",""),"")&amp;IF($F796="","No direction; ","")&amp;IF(AND(ISNUMBER(Settings!$C$22),ISNUMBER($V796)),IF($V796&gt;Settings!$C$22,"Risk over max $; ",""),"")&amp;IF(AND(ISNUMBER(Settings!$C$23),ISNUMBER($V796),ISNUMBER($AP796),IFERROR(N(INDEX(Accounts!$E$7:$E$16,MATCH($C796,Accounts!$B$7:$B$16,0))),0)&gt;0),IF($V796&gt;Settings!$C$23*($AP796-N($Q796)),"Risk over max %; ",""),"")&amp;IF(AND(ISNUMBER(Settings!$C$24),ISNUMBER($N796)),IF($N796&gt;Settings!$C$24,"Leverage over max; ",""),"")&amp;IF(AND(ISNUMBER(Settings!$C$27),ISNUMBER($T796)),IF($T796&lt;Settings!$C$27,"R:R below min; ",""),"")&amp;IF(ISNUMBER(Settings!$C$25),IF(COUNTIFS($A$6:$A796,$A796,$AM$6:$AM796,1)&gt;Settings!$C$25,"Over max trades/day; ",""),"")&amp;IF(ISNUMBER(Settings!$C$26),IF(SUMIFS($Q$5:$Q795,$A$5:$A795,$A796)&lt;=-Settings!$C$26,"Traded after daily max loss; ",""),"")&amp;IF(AND($AG796="",NOT(ISNUMBER($O796))),"Symbol not in Instruments; ","")&amp;IF(AND($AH796="",NOT(ISNUMBER($O796))),"Forex cross: type Gross P&amp;L; ",""))</f>
        <v/>
      </c>
      <c r="BH796" s="56">
        <f>IF(ISNUMBER($Q796),1,0)</f>
        <v>0</v>
      </c>
      <c r="BI796" s="56">
        <f>IF($Y796="",0,1)</f>
        <v>0</v>
      </c>
      <c r="BJ796" s="56">
        <f>IF($AB796="",0,1)</f>
        <v>0</v>
      </c>
      <c r="BK796" s="56">
        <f>IF(AND($BH796=1,$W796&lt;&gt;"OK"),1,0)</f>
        <v>0</v>
      </c>
      <c r="BL796" s="55">
        <f>IF(N($AZ796)=0,0,IFERROR(INDEX($AT$6:$AT$1005,MATCH($AZ796,$AY$6:$AY$1005,0)),0))</f>
        <v>1187.10688</v>
      </c>
      <c r="BM796" s="56">
        <f>IF(ISNUMBER(SEARCH("daily max loss",$BG796)),1,0)</f>
        <v>0</v>
      </c>
    </row>
    <row r="797" ht="18" customHeight="1">
      <c r="A797" s="38" t="n"/>
      <c r="B797" s="39" t="n"/>
      <c r="C797" s="40" t="n"/>
      <c r="D797" s="41" t="n"/>
      <c r="E797" s="41" t="n"/>
      <c r="F797" s="41" t="n"/>
      <c r="G797" s="41" t="n"/>
      <c r="H797" s="42" t="n"/>
      <c r="I797" s="42" t="n"/>
      <c r="J797" s="42" t="n"/>
      <c r="K797" s="42" t="n"/>
      <c r="L797" s="41" t="n"/>
      <c r="M797" s="41" t="n"/>
      <c r="N797" s="41" t="n"/>
      <c r="O797" s="43" t="n"/>
      <c r="P797" s="43" t="n"/>
      <c r="Q797" s="44" t="str">
        <f>IF($AM797=0,"",IF(ISNUMBER($AK797),$AK797-N($AL797),""))</f>
        <v/>
      </c>
      <c r="R797" s="45" t="str">
        <f>IF(OR($Q797="",NOT(ISNUMBER($V797))),"",$AK797/$V797)</f>
        <v/>
      </c>
      <c r="S797" s="46" t="str">
        <f>IF($Q797="","",IF(AND(ISNUMBER($R797),ABS(N($R797))&lt;N(Settings!$C$8)),"Scratch",IF($Q797&gt;0,"Win",IF($Q797&lt;0,"Loss","Scratch"))))</f>
        <v/>
      </c>
      <c r="T797" s="47" t="str">
        <f>IF(OR($AM797=0,NOT(ISNUMBER($H797)),NOT(ISNUMBER($I797)),NOT(ISNUMBER($J797))),"",IF($H797=$I797,"",ROUND(ABS($J797-$H797)/ABS($H797-$I797),6)))</f>
        <v/>
      </c>
      <c r="U797" s="48" t="str">
        <f>IF(OR($S797&lt;&gt;"Win",NOT(ISNUMBER($T797)),NOT(ISNUMBER($R797))),"",MAX(0,$T797-$R797))</f>
        <v/>
      </c>
      <c r="V797" s="49" t="str">
        <f>IF(OR($AM797=0,NOT(ISNUMBER($H797)),NOT(ISNUMBER($I797)),NOT(ISNUMBER($G797))),"",IF(OR($AG797="",$AH797=""),"",IF(ROUND(ABS($H797-$I797)*ABS($G797)*$AG797*$AH797,6)=0,"",ROUND(ABS($H797-$I797)*ABS($G797)*$AG797*$AH797,6))))</f>
        <v/>
      </c>
      <c r="W797" s="50" t="str">
        <f>IF($AM797=0,"",IF($BG797="","OK",LEFT($BG797,LEN($BG797)-2)))</f>
        <v/>
      </c>
      <c r="X797" s="41" t="n"/>
      <c r="Y797" s="40" t="n"/>
      <c r="Z797" s="41" t="n"/>
      <c r="AA797" s="41" t="n"/>
      <c r="AB797" s="40" t="n"/>
      <c r="AC797" s="51" t="n"/>
      <c r="AD797" s="51" t="n"/>
      <c r="AE797" s="40" t="n"/>
      <c r="AF797" s="52" t="str">
        <f>IF($AM797=0,"",IF($D797&lt;&gt;"",$D797,IF(IFERROR(INDEX(Accounts!$C$7:$C$16,MATCH($C797,Accounts!$B$7:$B$16,0))&amp;"","")&lt;&gt;"",INDEX(Accounts!$C$7:$C$16,MATCH($C797,Accounts!$B$7:$B$16,0)),Settings!$C$6)))</f>
        <v/>
      </c>
      <c r="AG797" s="53" t="str">
        <f>IF($AM797=0,"",IF(AND($BE797&gt;0,N(INDEX(Instruments!$D$6:$D$205,MAX(1,$BE797)))&gt;0),INDEX(Instruments!$D$6:$D$205,MAX(1,$BE797)),IF(N(INDEX(Settings!$D$14:$D$18,$BF797))&gt;0,INDEX(Settings!$D$14:$D$18,$BF797),"")))</f>
        <v/>
      </c>
      <c r="AH797" s="54" t="str">
        <f>IF($AM797=0,"",IF($AF797&lt;&gt;"Forex",1,IF(MID(UPPER(SUBSTITUTE(TRIM($E797),"/","")),4,3)=UPPER(TRIM(Settings!$C$7)),1,IF(LEFT(UPPER(SUBSTITUTE(TRIM($E797),"/","")),3)=UPPER(TRIM(Settings!$C$7)),IF(AND(ISNUMBER($K797),N($K797)&lt;&gt;0),1/$K797,""),""))))</f>
        <v/>
      </c>
      <c r="AI797" s="55" t="str">
        <f>IF($AM797=0,"",IF(OR(NOT(ISNUMBER($H797)),NOT(ISNUMBER($K797)),NOT(ISNUMBER($G797)),$AG797="",$AH797=""),"",ROUND(($K797-$H797)*IF($F797="Short",-1,1)*$G797*$AG797*$AH797,6)))</f>
        <v/>
      </c>
      <c r="AJ797" s="55" t="str">
        <f>IF($AM797=0,"",IF(INDEX(Settings!$E$14:$E$18,$BF797)="% of notional",IF(OR($AG797="",NOT(ISNUMBER($H797)),NOT(ISNUMBER($G797))),"",ROUND(ABS($H797*$G797*$AG797*N($AH797))*IF($L797="Limit",N(INDEX(Settings!$G$14:$G$18,$BF797)),N(INDEX(Settings!$H$14:$H$18,$BF797)))+IF(ISNUMBER($K797),ABS($K797*$G797*$AG797*N($AH797))*IF($M797="Target",N(INDEX(Settings!$G$14:$G$18,$BF797)),N(INDEX(Settings!$H$14:$H$18,$BF797))),0),6)),IF(NOT(ISNUMBER($G797)),"",ROUND(ABS($G797)*2*IF(AND($BE797&gt;0,ISNUMBER(INDEX(Instruments!$G$6:$G$205,MAX(1,$BE797)))),INDEX(Instruments!$G$6:$G$205,MAX(1,$BE797)),N(INDEX(Settings!$F$14:$F$18,$BF797))),6))))</f>
        <v/>
      </c>
      <c r="AK797" s="55" t="str">
        <f>IF($AM797=0,"",IF(ISNUMBER($O797),$O797,$AI797))</f>
        <v/>
      </c>
      <c r="AL797" s="55" t="str">
        <f>IF($AM797=0,"",IF(ISNUMBER($P797),$P797,N($AJ797)))</f>
        <v/>
      </c>
      <c r="AM797" s="56">
        <f>IF(AND($A797&lt;&gt;"",$E797&lt;&gt;"",OR(AND(ISNUMBER($G797),ISNUMBER($H797),ISNUMBER($K797)),ISNUMBER($O797))),1,0)</f>
        <v>0</v>
      </c>
      <c r="AN797" s="57" t="str">
        <f>IF($A797="","",$A797-WEEKDAY($A797,3))</f>
        <v/>
      </c>
      <c r="AO797" s="56" t="str">
        <f>IF($A797="","",WEEKDAY($A797,2))</f>
        <v/>
      </c>
      <c r="AP797" s="55" t="str">
        <f>IF(OR($AM797=0,$C797=""),"",IFERROR(N(INDEX(Accounts!$E$7:$E$16,MATCH($C797,Accounts!$B$7:$B$16,0))),0)+SUMIFS($Q$6:$Q797,$C$6:$C797,$C797))</f>
        <v/>
      </c>
      <c r="AQ797" s="55" t="str">
        <f>IF(OR($AM797=0,$C797=""),"",SUMIFS($Q$6:$Q$1005,$C$6:$C$1005,$C797,$A$6:$A$1005,$A797))</f>
        <v/>
      </c>
      <c r="AR797" s="55" t="str">
        <f>IF(OR($AM797=0,$C797=""),"",IFERROR(N(INDEX(Accounts!$E$7:$E$16,MATCH($C797,Accounts!$B$7:$B$16,0))),0)+SUMIFS($Q$6:$Q$1005,$C$6:$C$1005,$C797,$A$6:$A$1005,"&lt;="&amp;$A797))</f>
        <v/>
      </c>
      <c r="AS797" s="56">
        <f>IF(OR($AM797=0,$Q797=""),0,IF(AND($A797&gt;=Lists!$W$6,$A797&lt;=Lists!$W$7,OR(Dashboard!$D$6="All accounts",$C797=Dashboard!$D$6),OR(Dashboard!$D$7="All markets",$AF797=Dashboard!$D$7)),1,0))</f>
        <v>0</v>
      </c>
      <c r="AT797" s="55">
        <f>IF($AS797=1,N(AT796)+$Q797,N(AT796))</f>
        <v>1187.10688</v>
      </c>
      <c r="AU797" s="55">
        <f>MAX(N(AU796),$AT797)</f>
        <v>1187.10688</v>
      </c>
      <c r="AV797" s="55">
        <f>$AT797-$AU797</f>
        <v>0</v>
      </c>
      <c r="AW797" s="56">
        <f>IF($AS797=1,IF($S797="Win",N(AW796)+1,IF($S797="Loss",0,N(AW796))),N(AW796))</f>
        <v>5</v>
      </c>
      <c r="AX797" s="56">
        <f>IF($AS797=1,IF($S797="Loss",N(AX796)+1,IF($S797="Win",0,N(AX796))),N(AX796))</f>
        <v>0</v>
      </c>
      <c r="AY797" s="56" t="str">
        <f>IF($AS797=1,COUNTIF($AS$6:$AS797,1),"")</f>
        <v/>
      </c>
      <c r="AZ797" s="56">
        <f>MIN(791,N(Lists!$W$8))</f>
        <v>28</v>
      </c>
      <c r="BA797" s="56">
        <f>IF($AS797=1,IF(COUNTIFS($A$6:$A797,$A797,$AS$6:$AS797,1)=1,1,0),0)</f>
        <v>0</v>
      </c>
      <c r="BB797" s="55" t="str">
        <f>IF($BA797=1,SUMIFS($Q$6:$Q$1005,$A$6:$A$1005,$A797,$AS$6:$AS$1005,1),"")</f>
        <v/>
      </c>
      <c r="BC797" s="56">
        <f>IF(ISNUMBER($R797),1,0)</f>
        <v>0</v>
      </c>
      <c r="BD797" s="55" t="str">
        <f>IF(ISNUMBER($U797),$U797*$V797,"")</f>
        <v/>
      </c>
      <c r="BE797" s="56" t="str">
        <f>IF($AM797=0,"",IFERROR(MATCH($AF797&amp;"|"&amp;UPPER(TRIM($E797)),Lists!$A$6:$A$205,0),0))</f>
        <v/>
      </c>
      <c r="BF797" s="56" t="str">
        <f>IF($AM797=0,"",IFERROR(MATCH($AF797,Settings!$B$14:$B$18,0),IFERROR(MATCH(Settings!$C$6,Settings!$B$14:$B$18,0),1)))</f>
        <v/>
      </c>
      <c r="BG797" s="58" t="str">
        <f>IF($AM797=0,"",IF(NOT(ISNUMBER($I797)),"No stop; ","")&amp;IF(AND(ISNUMBER($H797),ISNUMBER($I797)),IF(OR(AND($F797&lt;&gt;"Short",$I797&gt;=$H797),AND($F797="Short",$I797&lt;=$H797)),"Stop on wrong side; ",""),"")&amp;IF($F797="","No direction; ","")&amp;IF(AND(ISNUMBER(Settings!$C$22),ISNUMBER($V797)),IF($V797&gt;Settings!$C$22,"Risk over max $; ",""),"")&amp;IF(AND(ISNUMBER(Settings!$C$23),ISNUMBER($V797),ISNUMBER($AP797),IFERROR(N(INDEX(Accounts!$E$7:$E$16,MATCH($C797,Accounts!$B$7:$B$16,0))),0)&gt;0),IF($V797&gt;Settings!$C$23*($AP797-N($Q797)),"Risk over max %; ",""),"")&amp;IF(AND(ISNUMBER(Settings!$C$24),ISNUMBER($N797)),IF($N797&gt;Settings!$C$24,"Leverage over max; ",""),"")&amp;IF(AND(ISNUMBER(Settings!$C$27),ISNUMBER($T797)),IF($T797&lt;Settings!$C$27,"R:R below min; ",""),"")&amp;IF(ISNUMBER(Settings!$C$25),IF(COUNTIFS($A$6:$A797,$A797,$AM$6:$AM797,1)&gt;Settings!$C$25,"Over max trades/day; ",""),"")&amp;IF(ISNUMBER(Settings!$C$26),IF(SUMIFS($Q$5:$Q796,$A$5:$A796,$A797)&lt;=-Settings!$C$26,"Traded after daily max loss; ",""),"")&amp;IF(AND($AG797="",NOT(ISNUMBER($O797))),"Symbol not in Instruments; ","")&amp;IF(AND($AH797="",NOT(ISNUMBER($O797))),"Forex cross: type Gross P&amp;L; ",""))</f>
        <v/>
      </c>
      <c r="BH797" s="56">
        <f>IF(ISNUMBER($Q797),1,0)</f>
        <v>0</v>
      </c>
      <c r="BI797" s="56">
        <f>IF($Y797="",0,1)</f>
        <v>0</v>
      </c>
      <c r="BJ797" s="56">
        <f>IF($AB797="",0,1)</f>
        <v>0</v>
      </c>
      <c r="BK797" s="56">
        <f>IF(AND($BH797=1,$W797&lt;&gt;"OK"),1,0)</f>
        <v>0</v>
      </c>
      <c r="BL797" s="55">
        <f>IF(N($AZ797)=0,0,IFERROR(INDEX($AT$6:$AT$1005,MATCH($AZ797,$AY$6:$AY$1005,0)),0))</f>
        <v>1187.10688</v>
      </c>
      <c r="BM797" s="56">
        <f>IF(ISNUMBER(SEARCH("daily max loss",$BG797)),1,0)</f>
        <v>0</v>
      </c>
    </row>
    <row r="798" ht="18" customHeight="1">
      <c r="A798" s="38" t="n"/>
      <c r="B798" s="39" t="n"/>
      <c r="C798" s="40" t="n"/>
      <c r="D798" s="41" t="n"/>
      <c r="E798" s="41" t="n"/>
      <c r="F798" s="41" t="n"/>
      <c r="G798" s="41" t="n"/>
      <c r="H798" s="42" t="n"/>
      <c r="I798" s="42" t="n"/>
      <c r="J798" s="42" t="n"/>
      <c r="K798" s="42" t="n"/>
      <c r="L798" s="41" t="n"/>
      <c r="M798" s="41" t="n"/>
      <c r="N798" s="41" t="n"/>
      <c r="O798" s="43" t="n"/>
      <c r="P798" s="43" t="n"/>
      <c r="Q798" s="44" t="str">
        <f>IF($AM798=0,"",IF(ISNUMBER($AK798),$AK798-N($AL798),""))</f>
        <v/>
      </c>
      <c r="R798" s="45" t="str">
        <f>IF(OR($Q798="",NOT(ISNUMBER($V798))),"",$AK798/$V798)</f>
        <v/>
      </c>
      <c r="S798" s="46" t="str">
        <f>IF($Q798="","",IF(AND(ISNUMBER($R798),ABS(N($R798))&lt;N(Settings!$C$8)),"Scratch",IF($Q798&gt;0,"Win",IF($Q798&lt;0,"Loss","Scratch"))))</f>
        <v/>
      </c>
      <c r="T798" s="47" t="str">
        <f>IF(OR($AM798=0,NOT(ISNUMBER($H798)),NOT(ISNUMBER($I798)),NOT(ISNUMBER($J798))),"",IF($H798=$I798,"",ROUND(ABS($J798-$H798)/ABS($H798-$I798),6)))</f>
        <v/>
      </c>
      <c r="U798" s="48" t="str">
        <f>IF(OR($S798&lt;&gt;"Win",NOT(ISNUMBER($T798)),NOT(ISNUMBER($R798))),"",MAX(0,$T798-$R798))</f>
        <v/>
      </c>
      <c r="V798" s="49" t="str">
        <f>IF(OR($AM798=0,NOT(ISNUMBER($H798)),NOT(ISNUMBER($I798)),NOT(ISNUMBER($G798))),"",IF(OR($AG798="",$AH798=""),"",IF(ROUND(ABS($H798-$I798)*ABS($G798)*$AG798*$AH798,6)=0,"",ROUND(ABS($H798-$I798)*ABS($G798)*$AG798*$AH798,6))))</f>
        <v/>
      </c>
      <c r="W798" s="50" t="str">
        <f>IF($AM798=0,"",IF($BG798="","OK",LEFT($BG798,LEN($BG798)-2)))</f>
        <v/>
      </c>
      <c r="X798" s="41" t="n"/>
      <c r="Y798" s="40" t="n"/>
      <c r="Z798" s="41" t="n"/>
      <c r="AA798" s="41" t="n"/>
      <c r="AB798" s="40" t="n"/>
      <c r="AC798" s="51" t="n"/>
      <c r="AD798" s="51" t="n"/>
      <c r="AE798" s="40" t="n"/>
      <c r="AF798" s="52" t="str">
        <f>IF($AM798=0,"",IF($D798&lt;&gt;"",$D798,IF(IFERROR(INDEX(Accounts!$C$7:$C$16,MATCH($C798,Accounts!$B$7:$B$16,0))&amp;"","")&lt;&gt;"",INDEX(Accounts!$C$7:$C$16,MATCH($C798,Accounts!$B$7:$B$16,0)),Settings!$C$6)))</f>
        <v/>
      </c>
      <c r="AG798" s="53" t="str">
        <f>IF($AM798=0,"",IF(AND($BE798&gt;0,N(INDEX(Instruments!$D$6:$D$205,MAX(1,$BE798)))&gt;0),INDEX(Instruments!$D$6:$D$205,MAX(1,$BE798)),IF(N(INDEX(Settings!$D$14:$D$18,$BF798))&gt;0,INDEX(Settings!$D$14:$D$18,$BF798),"")))</f>
        <v/>
      </c>
      <c r="AH798" s="54" t="str">
        <f>IF($AM798=0,"",IF($AF798&lt;&gt;"Forex",1,IF(MID(UPPER(SUBSTITUTE(TRIM($E798),"/","")),4,3)=UPPER(TRIM(Settings!$C$7)),1,IF(LEFT(UPPER(SUBSTITUTE(TRIM($E798),"/","")),3)=UPPER(TRIM(Settings!$C$7)),IF(AND(ISNUMBER($K798),N($K798)&lt;&gt;0),1/$K798,""),""))))</f>
        <v/>
      </c>
      <c r="AI798" s="55" t="str">
        <f>IF($AM798=0,"",IF(OR(NOT(ISNUMBER($H798)),NOT(ISNUMBER($K798)),NOT(ISNUMBER($G798)),$AG798="",$AH798=""),"",ROUND(($K798-$H798)*IF($F798="Short",-1,1)*$G798*$AG798*$AH798,6)))</f>
        <v/>
      </c>
      <c r="AJ798" s="55" t="str">
        <f>IF($AM798=0,"",IF(INDEX(Settings!$E$14:$E$18,$BF798)="% of notional",IF(OR($AG798="",NOT(ISNUMBER($H798)),NOT(ISNUMBER($G798))),"",ROUND(ABS($H798*$G798*$AG798*N($AH798))*IF($L798="Limit",N(INDEX(Settings!$G$14:$G$18,$BF798)),N(INDEX(Settings!$H$14:$H$18,$BF798)))+IF(ISNUMBER($K798),ABS($K798*$G798*$AG798*N($AH798))*IF($M798="Target",N(INDEX(Settings!$G$14:$G$18,$BF798)),N(INDEX(Settings!$H$14:$H$18,$BF798))),0),6)),IF(NOT(ISNUMBER($G798)),"",ROUND(ABS($G798)*2*IF(AND($BE798&gt;0,ISNUMBER(INDEX(Instruments!$G$6:$G$205,MAX(1,$BE798)))),INDEX(Instruments!$G$6:$G$205,MAX(1,$BE798)),N(INDEX(Settings!$F$14:$F$18,$BF798))),6))))</f>
        <v/>
      </c>
      <c r="AK798" s="55" t="str">
        <f>IF($AM798=0,"",IF(ISNUMBER($O798),$O798,$AI798))</f>
        <v/>
      </c>
      <c r="AL798" s="55" t="str">
        <f>IF($AM798=0,"",IF(ISNUMBER($P798),$P798,N($AJ798)))</f>
        <v/>
      </c>
      <c r="AM798" s="56">
        <f>IF(AND($A798&lt;&gt;"",$E798&lt;&gt;"",OR(AND(ISNUMBER($G798),ISNUMBER($H798),ISNUMBER($K798)),ISNUMBER($O798))),1,0)</f>
        <v>0</v>
      </c>
      <c r="AN798" s="57" t="str">
        <f>IF($A798="","",$A798-WEEKDAY($A798,3))</f>
        <v/>
      </c>
      <c r="AO798" s="56" t="str">
        <f>IF($A798="","",WEEKDAY($A798,2))</f>
        <v/>
      </c>
      <c r="AP798" s="55" t="str">
        <f>IF(OR($AM798=0,$C798=""),"",IFERROR(N(INDEX(Accounts!$E$7:$E$16,MATCH($C798,Accounts!$B$7:$B$16,0))),0)+SUMIFS($Q$6:$Q798,$C$6:$C798,$C798))</f>
        <v/>
      </c>
      <c r="AQ798" s="55" t="str">
        <f>IF(OR($AM798=0,$C798=""),"",SUMIFS($Q$6:$Q$1005,$C$6:$C$1005,$C798,$A$6:$A$1005,$A798))</f>
        <v/>
      </c>
      <c r="AR798" s="55" t="str">
        <f>IF(OR($AM798=0,$C798=""),"",IFERROR(N(INDEX(Accounts!$E$7:$E$16,MATCH($C798,Accounts!$B$7:$B$16,0))),0)+SUMIFS($Q$6:$Q$1005,$C$6:$C$1005,$C798,$A$6:$A$1005,"&lt;="&amp;$A798))</f>
        <v/>
      </c>
      <c r="AS798" s="56">
        <f>IF(OR($AM798=0,$Q798=""),0,IF(AND($A798&gt;=Lists!$W$6,$A798&lt;=Lists!$W$7,OR(Dashboard!$D$6="All accounts",$C798=Dashboard!$D$6),OR(Dashboard!$D$7="All markets",$AF798=Dashboard!$D$7)),1,0))</f>
        <v>0</v>
      </c>
      <c r="AT798" s="55">
        <f>IF($AS798=1,N(AT797)+$Q798,N(AT797))</f>
        <v>1187.10688</v>
      </c>
      <c r="AU798" s="55">
        <f>MAX(N(AU797),$AT798)</f>
        <v>1187.10688</v>
      </c>
      <c r="AV798" s="55">
        <f>$AT798-$AU798</f>
        <v>0</v>
      </c>
      <c r="AW798" s="56">
        <f>IF($AS798=1,IF($S798="Win",N(AW797)+1,IF($S798="Loss",0,N(AW797))),N(AW797))</f>
        <v>5</v>
      </c>
      <c r="AX798" s="56">
        <f>IF($AS798=1,IF($S798="Loss",N(AX797)+1,IF($S798="Win",0,N(AX797))),N(AX797))</f>
        <v>0</v>
      </c>
      <c r="AY798" s="56" t="str">
        <f>IF($AS798=1,COUNTIF($AS$6:$AS798,1),"")</f>
        <v/>
      </c>
      <c r="AZ798" s="56">
        <f>MIN(792,N(Lists!$W$8))</f>
        <v>28</v>
      </c>
      <c r="BA798" s="56">
        <f>IF($AS798=1,IF(COUNTIFS($A$6:$A798,$A798,$AS$6:$AS798,1)=1,1,0),0)</f>
        <v>0</v>
      </c>
      <c r="BB798" s="55" t="str">
        <f>IF($BA798=1,SUMIFS($Q$6:$Q$1005,$A$6:$A$1005,$A798,$AS$6:$AS$1005,1),"")</f>
        <v/>
      </c>
      <c r="BC798" s="56">
        <f>IF(ISNUMBER($R798),1,0)</f>
        <v>0</v>
      </c>
      <c r="BD798" s="55" t="str">
        <f>IF(ISNUMBER($U798),$U798*$V798,"")</f>
        <v/>
      </c>
      <c r="BE798" s="56" t="str">
        <f>IF($AM798=0,"",IFERROR(MATCH($AF798&amp;"|"&amp;UPPER(TRIM($E798)),Lists!$A$6:$A$205,0),0))</f>
        <v/>
      </c>
      <c r="BF798" s="56" t="str">
        <f>IF($AM798=0,"",IFERROR(MATCH($AF798,Settings!$B$14:$B$18,0),IFERROR(MATCH(Settings!$C$6,Settings!$B$14:$B$18,0),1)))</f>
        <v/>
      </c>
      <c r="BG798" s="58" t="str">
        <f>IF($AM798=0,"",IF(NOT(ISNUMBER($I798)),"No stop; ","")&amp;IF(AND(ISNUMBER($H798),ISNUMBER($I798)),IF(OR(AND($F798&lt;&gt;"Short",$I798&gt;=$H798),AND($F798="Short",$I798&lt;=$H798)),"Stop on wrong side; ",""),"")&amp;IF($F798="","No direction; ","")&amp;IF(AND(ISNUMBER(Settings!$C$22),ISNUMBER($V798)),IF($V798&gt;Settings!$C$22,"Risk over max $; ",""),"")&amp;IF(AND(ISNUMBER(Settings!$C$23),ISNUMBER($V798),ISNUMBER($AP798),IFERROR(N(INDEX(Accounts!$E$7:$E$16,MATCH($C798,Accounts!$B$7:$B$16,0))),0)&gt;0),IF($V798&gt;Settings!$C$23*($AP798-N($Q798)),"Risk over max %; ",""),"")&amp;IF(AND(ISNUMBER(Settings!$C$24),ISNUMBER($N798)),IF($N798&gt;Settings!$C$24,"Leverage over max; ",""),"")&amp;IF(AND(ISNUMBER(Settings!$C$27),ISNUMBER($T798)),IF($T798&lt;Settings!$C$27,"R:R below min; ",""),"")&amp;IF(ISNUMBER(Settings!$C$25),IF(COUNTIFS($A$6:$A798,$A798,$AM$6:$AM798,1)&gt;Settings!$C$25,"Over max trades/day; ",""),"")&amp;IF(ISNUMBER(Settings!$C$26),IF(SUMIFS($Q$5:$Q797,$A$5:$A797,$A798)&lt;=-Settings!$C$26,"Traded after daily max loss; ",""),"")&amp;IF(AND($AG798="",NOT(ISNUMBER($O798))),"Symbol not in Instruments; ","")&amp;IF(AND($AH798="",NOT(ISNUMBER($O798))),"Forex cross: type Gross P&amp;L; ",""))</f>
        <v/>
      </c>
      <c r="BH798" s="56">
        <f>IF(ISNUMBER($Q798),1,0)</f>
        <v>0</v>
      </c>
      <c r="BI798" s="56">
        <f>IF($Y798="",0,1)</f>
        <v>0</v>
      </c>
      <c r="BJ798" s="56">
        <f>IF($AB798="",0,1)</f>
        <v>0</v>
      </c>
      <c r="BK798" s="56">
        <f>IF(AND($BH798=1,$W798&lt;&gt;"OK"),1,0)</f>
        <v>0</v>
      </c>
      <c r="BL798" s="55">
        <f>IF(N($AZ798)=0,0,IFERROR(INDEX($AT$6:$AT$1005,MATCH($AZ798,$AY$6:$AY$1005,0)),0))</f>
        <v>1187.10688</v>
      </c>
      <c r="BM798" s="56">
        <f>IF(ISNUMBER(SEARCH("daily max loss",$BG798)),1,0)</f>
        <v>0</v>
      </c>
    </row>
    <row r="799" ht="18" customHeight="1">
      <c r="A799" s="38" t="n"/>
      <c r="B799" s="39" t="n"/>
      <c r="C799" s="40" t="n"/>
      <c r="D799" s="41" t="n"/>
      <c r="E799" s="41" t="n"/>
      <c r="F799" s="41" t="n"/>
      <c r="G799" s="41" t="n"/>
      <c r="H799" s="42" t="n"/>
      <c r="I799" s="42" t="n"/>
      <c r="J799" s="42" t="n"/>
      <c r="K799" s="42" t="n"/>
      <c r="L799" s="41" t="n"/>
      <c r="M799" s="41" t="n"/>
      <c r="N799" s="41" t="n"/>
      <c r="O799" s="43" t="n"/>
      <c r="P799" s="43" t="n"/>
      <c r="Q799" s="44" t="str">
        <f>IF($AM799=0,"",IF(ISNUMBER($AK799),$AK799-N($AL799),""))</f>
        <v/>
      </c>
      <c r="R799" s="45" t="str">
        <f>IF(OR($Q799="",NOT(ISNUMBER($V799))),"",$AK799/$V799)</f>
        <v/>
      </c>
      <c r="S799" s="46" t="str">
        <f>IF($Q799="","",IF(AND(ISNUMBER($R799),ABS(N($R799))&lt;N(Settings!$C$8)),"Scratch",IF($Q799&gt;0,"Win",IF($Q799&lt;0,"Loss","Scratch"))))</f>
        <v/>
      </c>
      <c r="T799" s="47" t="str">
        <f>IF(OR($AM799=0,NOT(ISNUMBER($H799)),NOT(ISNUMBER($I799)),NOT(ISNUMBER($J799))),"",IF($H799=$I799,"",ROUND(ABS($J799-$H799)/ABS($H799-$I799),6)))</f>
        <v/>
      </c>
      <c r="U799" s="48" t="str">
        <f>IF(OR($S799&lt;&gt;"Win",NOT(ISNUMBER($T799)),NOT(ISNUMBER($R799))),"",MAX(0,$T799-$R799))</f>
        <v/>
      </c>
      <c r="V799" s="49" t="str">
        <f>IF(OR($AM799=0,NOT(ISNUMBER($H799)),NOT(ISNUMBER($I799)),NOT(ISNUMBER($G799))),"",IF(OR($AG799="",$AH799=""),"",IF(ROUND(ABS($H799-$I799)*ABS($G799)*$AG799*$AH799,6)=0,"",ROUND(ABS($H799-$I799)*ABS($G799)*$AG799*$AH799,6))))</f>
        <v/>
      </c>
      <c r="W799" s="50" t="str">
        <f>IF($AM799=0,"",IF($BG799="","OK",LEFT($BG799,LEN($BG799)-2)))</f>
        <v/>
      </c>
      <c r="X799" s="41" t="n"/>
      <c r="Y799" s="40" t="n"/>
      <c r="Z799" s="41" t="n"/>
      <c r="AA799" s="41" t="n"/>
      <c r="AB799" s="40" t="n"/>
      <c r="AC799" s="51" t="n"/>
      <c r="AD799" s="51" t="n"/>
      <c r="AE799" s="40" t="n"/>
      <c r="AF799" s="52" t="str">
        <f>IF($AM799=0,"",IF($D799&lt;&gt;"",$D799,IF(IFERROR(INDEX(Accounts!$C$7:$C$16,MATCH($C799,Accounts!$B$7:$B$16,0))&amp;"","")&lt;&gt;"",INDEX(Accounts!$C$7:$C$16,MATCH($C799,Accounts!$B$7:$B$16,0)),Settings!$C$6)))</f>
        <v/>
      </c>
      <c r="AG799" s="53" t="str">
        <f>IF($AM799=0,"",IF(AND($BE799&gt;0,N(INDEX(Instruments!$D$6:$D$205,MAX(1,$BE799)))&gt;0),INDEX(Instruments!$D$6:$D$205,MAX(1,$BE799)),IF(N(INDEX(Settings!$D$14:$D$18,$BF799))&gt;0,INDEX(Settings!$D$14:$D$18,$BF799),"")))</f>
        <v/>
      </c>
      <c r="AH799" s="54" t="str">
        <f>IF($AM799=0,"",IF($AF799&lt;&gt;"Forex",1,IF(MID(UPPER(SUBSTITUTE(TRIM($E799),"/","")),4,3)=UPPER(TRIM(Settings!$C$7)),1,IF(LEFT(UPPER(SUBSTITUTE(TRIM($E799),"/","")),3)=UPPER(TRIM(Settings!$C$7)),IF(AND(ISNUMBER($K799),N($K799)&lt;&gt;0),1/$K799,""),""))))</f>
        <v/>
      </c>
      <c r="AI799" s="55" t="str">
        <f>IF($AM799=0,"",IF(OR(NOT(ISNUMBER($H799)),NOT(ISNUMBER($K799)),NOT(ISNUMBER($G799)),$AG799="",$AH799=""),"",ROUND(($K799-$H799)*IF($F799="Short",-1,1)*$G799*$AG799*$AH799,6)))</f>
        <v/>
      </c>
      <c r="AJ799" s="55" t="str">
        <f>IF($AM799=0,"",IF(INDEX(Settings!$E$14:$E$18,$BF799)="% of notional",IF(OR($AG799="",NOT(ISNUMBER($H799)),NOT(ISNUMBER($G799))),"",ROUND(ABS($H799*$G799*$AG799*N($AH799))*IF($L799="Limit",N(INDEX(Settings!$G$14:$G$18,$BF799)),N(INDEX(Settings!$H$14:$H$18,$BF799)))+IF(ISNUMBER($K799),ABS($K799*$G799*$AG799*N($AH799))*IF($M799="Target",N(INDEX(Settings!$G$14:$G$18,$BF799)),N(INDEX(Settings!$H$14:$H$18,$BF799))),0),6)),IF(NOT(ISNUMBER($G799)),"",ROUND(ABS($G799)*2*IF(AND($BE799&gt;0,ISNUMBER(INDEX(Instruments!$G$6:$G$205,MAX(1,$BE799)))),INDEX(Instruments!$G$6:$G$205,MAX(1,$BE799)),N(INDEX(Settings!$F$14:$F$18,$BF799))),6))))</f>
        <v/>
      </c>
      <c r="AK799" s="55" t="str">
        <f>IF($AM799=0,"",IF(ISNUMBER($O799),$O799,$AI799))</f>
        <v/>
      </c>
      <c r="AL799" s="55" t="str">
        <f>IF($AM799=0,"",IF(ISNUMBER($P799),$P799,N($AJ799)))</f>
        <v/>
      </c>
      <c r="AM799" s="56">
        <f>IF(AND($A799&lt;&gt;"",$E799&lt;&gt;"",OR(AND(ISNUMBER($G799),ISNUMBER($H799),ISNUMBER($K799)),ISNUMBER($O799))),1,0)</f>
        <v>0</v>
      </c>
      <c r="AN799" s="57" t="str">
        <f>IF($A799="","",$A799-WEEKDAY($A799,3))</f>
        <v/>
      </c>
      <c r="AO799" s="56" t="str">
        <f>IF($A799="","",WEEKDAY($A799,2))</f>
        <v/>
      </c>
      <c r="AP799" s="55" t="str">
        <f>IF(OR($AM799=0,$C799=""),"",IFERROR(N(INDEX(Accounts!$E$7:$E$16,MATCH($C799,Accounts!$B$7:$B$16,0))),0)+SUMIFS($Q$6:$Q799,$C$6:$C799,$C799))</f>
        <v/>
      </c>
      <c r="AQ799" s="55" t="str">
        <f>IF(OR($AM799=0,$C799=""),"",SUMIFS($Q$6:$Q$1005,$C$6:$C$1005,$C799,$A$6:$A$1005,$A799))</f>
        <v/>
      </c>
      <c r="AR799" s="55" t="str">
        <f>IF(OR($AM799=0,$C799=""),"",IFERROR(N(INDEX(Accounts!$E$7:$E$16,MATCH($C799,Accounts!$B$7:$B$16,0))),0)+SUMIFS($Q$6:$Q$1005,$C$6:$C$1005,$C799,$A$6:$A$1005,"&lt;="&amp;$A799))</f>
        <v/>
      </c>
      <c r="AS799" s="56">
        <f>IF(OR($AM799=0,$Q799=""),0,IF(AND($A799&gt;=Lists!$W$6,$A799&lt;=Lists!$W$7,OR(Dashboard!$D$6="All accounts",$C799=Dashboard!$D$6),OR(Dashboard!$D$7="All markets",$AF799=Dashboard!$D$7)),1,0))</f>
        <v>0</v>
      </c>
      <c r="AT799" s="55">
        <f>IF($AS799=1,N(AT798)+$Q799,N(AT798))</f>
        <v>1187.10688</v>
      </c>
      <c r="AU799" s="55">
        <f>MAX(N(AU798),$AT799)</f>
        <v>1187.10688</v>
      </c>
      <c r="AV799" s="55">
        <f>$AT799-$AU799</f>
        <v>0</v>
      </c>
      <c r="AW799" s="56">
        <f>IF($AS799=1,IF($S799="Win",N(AW798)+1,IF($S799="Loss",0,N(AW798))),N(AW798))</f>
        <v>5</v>
      </c>
      <c r="AX799" s="56">
        <f>IF($AS799=1,IF($S799="Loss",N(AX798)+1,IF($S799="Win",0,N(AX798))),N(AX798))</f>
        <v>0</v>
      </c>
      <c r="AY799" s="56" t="str">
        <f>IF($AS799=1,COUNTIF($AS$6:$AS799,1),"")</f>
        <v/>
      </c>
      <c r="AZ799" s="56">
        <f>MIN(793,N(Lists!$W$8))</f>
        <v>28</v>
      </c>
      <c r="BA799" s="56">
        <f>IF($AS799=1,IF(COUNTIFS($A$6:$A799,$A799,$AS$6:$AS799,1)=1,1,0),0)</f>
        <v>0</v>
      </c>
      <c r="BB799" s="55" t="str">
        <f>IF($BA799=1,SUMIFS($Q$6:$Q$1005,$A$6:$A$1005,$A799,$AS$6:$AS$1005,1),"")</f>
        <v/>
      </c>
      <c r="BC799" s="56">
        <f>IF(ISNUMBER($R799),1,0)</f>
        <v>0</v>
      </c>
      <c r="BD799" s="55" t="str">
        <f>IF(ISNUMBER($U799),$U799*$V799,"")</f>
        <v/>
      </c>
      <c r="BE799" s="56" t="str">
        <f>IF($AM799=0,"",IFERROR(MATCH($AF799&amp;"|"&amp;UPPER(TRIM($E799)),Lists!$A$6:$A$205,0),0))</f>
        <v/>
      </c>
      <c r="BF799" s="56" t="str">
        <f>IF($AM799=0,"",IFERROR(MATCH($AF799,Settings!$B$14:$B$18,0),IFERROR(MATCH(Settings!$C$6,Settings!$B$14:$B$18,0),1)))</f>
        <v/>
      </c>
      <c r="BG799" s="58" t="str">
        <f>IF($AM799=0,"",IF(NOT(ISNUMBER($I799)),"No stop; ","")&amp;IF(AND(ISNUMBER($H799),ISNUMBER($I799)),IF(OR(AND($F799&lt;&gt;"Short",$I799&gt;=$H799),AND($F799="Short",$I799&lt;=$H799)),"Stop on wrong side; ",""),"")&amp;IF($F799="","No direction; ","")&amp;IF(AND(ISNUMBER(Settings!$C$22),ISNUMBER($V799)),IF($V799&gt;Settings!$C$22,"Risk over max $; ",""),"")&amp;IF(AND(ISNUMBER(Settings!$C$23),ISNUMBER($V799),ISNUMBER($AP799),IFERROR(N(INDEX(Accounts!$E$7:$E$16,MATCH($C799,Accounts!$B$7:$B$16,0))),0)&gt;0),IF($V799&gt;Settings!$C$23*($AP799-N($Q799)),"Risk over max %; ",""),"")&amp;IF(AND(ISNUMBER(Settings!$C$24),ISNUMBER($N799)),IF($N799&gt;Settings!$C$24,"Leverage over max; ",""),"")&amp;IF(AND(ISNUMBER(Settings!$C$27),ISNUMBER($T799)),IF($T799&lt;Settings!$C$27,"R:R below min; ",""),"")&amp;IF(ISNUMBER(Settings!$C$25),IF(COUNTIFS($A$6:$A799,$A799,$AM$6:$AM799,1)&gt;Settings!$C$25,"Over max trades/day; ",""),"")&amp;IF(ISNUMBER(Settings!$C$26),IF(SUMIFS($Q$5:$Q798,$A$5:$A798,$A799)&lt;=-Settings!$C$26,"Traded after daily max loss; ",""),"")&amp;IF(AND($AG799="",NOT(ISNUMBER($O799))),"Symbol not in Instruments; ","")&amp;IF(AND($AH799="",NOT(ISNUMBER($O799))),"Forex cross: type Gross P&amp;L; ",""))</f>
        <v/>
      </c>
      <c r="BH799" s="56">
        <f>IF(ISNUMBER($Q799),1,0)</f>
        <v>0</v>
      </c>
      <c r="BI799" s="56">
        <f>IF($Y799="",0,1)</f>
        <v>0</v>
      </c>
      <c r="BJ799" s="56">
        <f>IF($AB799="",0,1)</f>
        <v>0</v>
      </c>
      <c r="BK799" s="56">
        <f>IF(AND($BH799=1,$W799&lt;&gt;"OK"),1,0)</f>
        <v>0</v>
      </c>
      <c r="BL799" s="55">
        <f>IF(N($AZ799)=0,0,IFERROR(INDEX($AT$6:$AT$1005,MATCH($AZ799,$AY$6:$AY$1005,0)),0))</f>
        <v>1187.10688</v>
      </c>
      <c r="BM799" s="56">
        <f>IF(ISNUMBER(SEARCH("daily max loss",$BG799)),1,0)</f>
        <v>0</v>
      </c>
    </row>
    <row r="800" ht="18" customHeight="1">
      <c r="A800" s="38" t="n"/>
      <c r="B800" s="39" t="n"/>
      <c r="C800" s="40" t="n"/>
      <c r="D800" s="41" t="n"/>
      <c r="E800" s="41" t="n"/>
      <c r="F800" s="41" t="n"/>
      <c r="G800" s="41" t="n"/>
      <c r="H800" s="42" t="n"/>
      <c r="I800" s="42" t="n"/>
      <c r="J800" s="42" t="n"/>
      <c r="K800" s="42" t="n"/>
      <c r="L800" s="41" t="n"/>
      <c r="M800" s="41" t="n"/>
      <c r="N800" s="41" t="n"/>
      <c r="O800" s="43" t="n"/>
      <c r="P800" s="43" t="n"/>
      <c r="Q800" s="44" t="str">
        <f>IF($AM800=0,"",IF(ISNUMBER($AK800),$AK800-N($AL800),""))</f>
        <v/>
      </c>
      <c r="R800" s="45" t="str">
        <f>IF(OR($Q800="",NOT(ISNUMBER($V800))),"",$AK800/$V800)</f>
        <v/>
      </c>
      <c r="S800" s="46" t="str">
        <f>IF($Q800="","",IF(AND(ISNUMBER($R800),ABS(N($R800))&lt;N(Settings!$C$8)),"Scratch",IF($Q800&gt;0,"Win",IF($Q800&lt;0,"Loss","Scratch"))))</f>
        <v/>
      </c>
      <c r="T800" s="47" t="str">
        <f>IF(OR($AM800=0,NOT(ISNUMBER($H800)),NOT(ISNUMBER($I800)),NOT(ISNUMBER($J800))),"",IF($H800=$I800,"",ROUND(ABS($J800-$H800)/ABS($H800-$I800),6)))</f>
        <v/>
      </c>
      <c r="U800" s="48" t="str">
        <f>IF(OR($S800&lt;&gt;"Win",NOT(ISNUMBER($T800)),NOT(ISNUMBER($R800))),"",MAX(0,$T800-$R800))</f>
        <v/>
      </c>
      <c r="V800" s="49" t="str">
        <f>IF(OR($AM800=0,NOT(ISNUMBER($H800)),NOT(ISNUMBER($I800)),NOT(ISNUMBER($G800))),"",IF(OR($AG800="",$AH800=""),"",IF(ROUND(ABS($H800-$I800)*ABS($G800)*$AG800*$AH800,6)=0,"",ROUND(ABS($H800-$I800)*ABS($G800)*$AG800*$AH800,6))))</f>
        <v/>
      </c>
      <c r="W800" s="50" t="str">
        <f>IF($AM800=0,"",IF($BG800="","OK",LEFT($BG800,LEN($BG800)-2)))</f>
        <v/>
      </c>
      <c r="X800" s="41" t="n"/>
      <c r="Y800" s="40" t="n"/>
      <c r="Z800" s="41" t="n"/>
      <c r="AA800" s="41" t="n"/>
      <c r="AB800" s="40" t="n"/>
      <c r="AC800" s="51" t="n"/>
      <c r="AD800" s="51" t="n"/>
      <c r="AE800" s="40" t="n"/>
      <c r="AF800" s="52" t="str">
        <f>IF($AM800=0,"",IF($D800&lt;&gt;"",$D800,IF(IFERROR(INDEX(Accounts!$C$7:$C$16,MATCH($C800,Accounts!$B$7:$B$16,0))&amp;"","")&lt;&gt;"",INDEX(Accounts!$C$7:$C$16,MATCH($C800,Accounts!$B$7:$B$16,0)),Settings!$C$6)))</f>
        <v/>
      </c>
      <c r="AG800" s="53" t="str">
        <f>IF($AM800=0,"",IF(AND($BE800&gt;0,N(INDEX(Instruments!$D$6:$D$205,MAX(1,$BE800)))&gt;0),INDEX(Instruments!$D$6:$D$205,MAX(1,$BE800)),IF(N(INDEX(Settings!$D$14:$D$18,$BF800))&gt;0,INDEX(Settings!$D$14:$D$18,$BF800),"")))</f>
        <v/>
      </c>
      <c r="AH800" s="54" t="str">
        <f>IF($AM800=0,"",IF($AF800&lt;&gt;"Forex",1,IF(MID(UPPER(SUBSTITUTE(TRIM($E800),"/","")),4,3)=UPPER(TRIM(Settings!$C$7)),1,IF(LEFT(UPPER(SUBSTITUTE(TRIM($E800),"/","")),3)=UPPER(TRIM(Settings!$C$7)),IF(AND(ISNUMBER($K800),N($K800)&lt;&gt;0),1/$K800,""),""))))</f>
        <v/>
      </c>
      <c r="AI800" s="55" t="str">
        <f>IF($AM800=0,"",IF(OR(NOT(ISNUMBER($H800)),NOT(ISNUMBER($K800)),NOT(ISNUMBER($G800)),$AG800="",$AH800=""),"",ROUND(($K800-$H800)*IF($F800="Short",-1,1)*$G800*$AG800*$AH800,6)))</f>
        <v/>
      </c>
      <c r="AJ800" s="55" t="str">
        <f>IF($AM800=0,"",IF(INDEX(Settings!$E$14:$E$18,$BF800)="% of notional",IF(OR($AG800="",NOT(ISNUMBER($H800)),NOT(ISNUMBER($G800))),"",ROUND(ABS($H800*$G800*$AG800*N($AH800))*IF($L800="Limit",N(INDEX(Settings!$G$14:$G$18,$BF800)),N(INDEX(Settings!$H$14:$H$18,$BF800)))+IF(ISNUMBER($K800),ABS($K800*$G800*$AG800*N($AH800))*IF($M800="Target",N(INDEX(Settings!$G$14:$G$18,$BF800)),N(INDEX(Settings!$H$14:$H$18,$BF800))),0),6)),IF(NOT(ISNUMBER($G800)),"",ROUND(ABS($G800)*2*IF(AND($BE800&gt;0,ISNUMBER(INDEX(Instruments!$G$6:$G$205,MAX(1,$BE800)))),INDEX(Instruments!$G$6:$G$205,MAX(1,$BE800)),N(INDEX(Settings!$F$14:$F$18,$BF800))),6))))</f>
        <v/>
      </c>
      <c r="AK800" s="55" t="str">
        <f>IF($AM800=0,"",IF(ISNUMBER($O800),$O800,$AI800))</f>
        <v/>
      </c>
      <c r="AL800" s="55" t="str">
        <f>IF($AM800=0,"",IF(ISNUMBER($P800),$P800,N($AJ800)))</f>
        <v/>
      </c>
      <c r="AM800" s="56">
        <f>IF(AND($A800&lt;&gt;"",$E800&lt;&gt;"",OR(AND(ISNUMBER($G800),ISNUMBER($H800),ISNUMBER($K800)),ISNUMBER($O800))),1,0)</f>
        <v>0</v>
      </c>
      <c r="AN800" s="57" t="str">
        <f>IF($A800="","",$A800-WEEKDAY($A800,3))</f>
        <v/>
      </c>
      <c r="AO800" s="56" t="str">
        <f>IF($A800="","",WEEKDAY($A800,2))</f>
        <v/>
      </c>
      <c r="AP800" s="55" t="str">
        <f>IF(OR($AM800=0,$C800=""),"",IFERROR(N(INDEX(Accounts!$E$7:$E$16,MATCH($C800,Accounts!$B$7:$B$16,0))),0)+SUMIFS($Q$6:$Q800,$C$6:$C800,$C800))</f>
        <v/>
      </c>
      <c r="AQ800" s="55" t="str">
        <f>IF(OR($AM800=0,$C800=""),"",SUMIFS($Q$6:$Q$1005,$C$6:$C$1005,$C800,$A$6:$A$1005,$A800))</f>
        <v/>
      </c>
      <c r="AR800" s="55" t="str">
        <f>IF(OR($AM800=0,$C800=""),"",IFERROR(N(INDEX(Accounts!$E$7:$E$16,MATCH($C800,Accounts!$B$7:$B$16,0))),0)+SUMIFS($Q$6:$Q$1005,$C$6:$C$1005,$C800,$A$6:$A$1005,"&lt;="&amp;$A800))</f>
        <v/>
      </c>
      <c r="AS800" s="56">
        <f>IF(OR($AM800=0,$Q800=""),0,IF(AND($A800&gt;=Lists!$W$6,$A800&lt;=Lists!$W$7,OR(Dashboard!$D$6="All accounts",$C800=Dashboard!$D$6),OR(Dashboard!$D$7="All markets",$AF800=Dashboard!$D$7)),1,0))</f>
        <v>0</v>
      </c>
      <c r="AT800" s="55">
        <f>IF($AS800=1,N(AT799)+$Q800,N(AT799))</f>
        <v>1187.10688</v>
      </c>
      <c r="AU800" s="55">
        <f>MAX(N(AU799),$AT800)</f>
        <v>1187.10688</v>
      </c>
      <c r="AV800" s="55">
        <f>$AT800-$AU800</f>
        <v>0</v>
      </c>
      <c r="AW800" s="56">
        <f>IF($AS800=1,IF($S800="Win",N(AW799)+1,IF($S800="Loss",0,N(AW799))),N(AW799))</f>
        <v>5</v>
      </c>
      <c r="AX800" s="56">
        <f>IF($AS800=1,IF($S800="Loss",N(AX799)+1,IF($S800="Win",0,N(AX799))),N(AX799))</f>
        <v>0</v>
      </c>
      <c r="AY800" s="56" t="str">
        <f>IF($AS800=1,COUNTIF($AS$6:$AS800,1),"")</f>
        <v/>
      </c>
      <c r="AZ800" s="56">
        <f>MIN(794,N(Lists!$W$8))</f>
        <v>28</v>
      </c>
      <c r="BA800" s="56">
        <f>IF($AS800=1,IF(COUNTIFS($A$6:$A800,$A800,$AS$6:$AS800,1)=1,1,0),0)</f>
        <v>0</v>
      </c>
      <c r="BB800" s="55" t="str">
        <f>IF($BA800=1,SUMIFS($Q$6:$Q$1005,$A$6:$A$1005,$A800,$AS$6:$AS$1005,1),"")</f>
        <v/>
      </c>
      <c r="BC800" s="56">
        <f>IF(ISNUMBER($R800),1,0)</f>
        <v>0</v>
      </c>
      <c r="BD800" s="55" t="str">
        <f>IF(ISNUMBER($U800),$U800*$V800,"")</f>
        <v/>
      </c>
      <c r="BE800" s="56" t="str">
        <f>IF($AM800=0,"",IFERROR(MATCH($AF800&amp;"|"&amp;UPPER(TRIM($E800)),Lists!$A$6:$A$205,0),0))</f>
        <v/>
      </c>
      <c r="BF800" s="56" t="str">
        <f>IF($AM800=0,"",IFERROR(MATCH($AF800,Settings!$B$14:$B$18,0),IFERROR(MATCH(Settings!$C$6,Settings!$B$14:$B$18,0),1)))</f>
        <v/>
      </c>
      <c r="BG800" s="58" t="str">
        <f>IF($AM800=0,"",IF(NOT(ISNUMBER($I800)),"No stop; ","")&amp;IF(AND(ISNUMBER($H800),ISNUMBER($I800)),IF(OR(AND($F800&lt;&gt;"Short",$I800&gt;=$H800),AND($F800="Short",$I800&lt;=$H800)),"Stop on wrong side; ",""),"")&amp;IF($F800="","No direction; ","")&amp;IF(AND(ISNUMBER(Settings!$C$22),ISNUMBER($V800)),IF($V800&gt;Settings!$C$22,"Risk over max $; ",""),"")&amp;IF(AND(ISNUMBER(Settings!$C$23),ISNUMBER($V800),ISNUMBER($AP800),IFERROR(N(INDEX(Accounts!$E$7:$E$16,MATCH($C800,Accounts!$B$7:$B$16,0))),0)&gt;0),IF($V800&gt;Settings!$C$23*($AP800-N($Q800)),"Risk over max %; ",""),"")&amp;IF(AND(ISNUMBER(Settings!$C$24),ISNUMBER($N800)),IF($N800&gt;Settings!$C$24,"Leverage over max; ",""),"")&amp;IF(AND(ISNUMBER(Settings!$C$27),ISNUMBER($T800)),IF($T800&lt;Settings!$C$27,"R:R below min; ",""),"")&amp;IF(ISNUMBER(Settings!$C$25),IF(COUNTIFS($A$6:$A800,$A800,$AM$6:$AM800,1)&gt;Settings!$C$25,"Over max trades/day; ",""),"")&amp;IF(ISNUMBER(Settings!$C$26),IF(SUMIFS($Q$5:$Q799,$A$5:$A799,$A800)&lt;=-Settings!$C$26,"Traded after daily max loss; ",""),"")&amp;IF(AND($AG800="",NOT(ISNUMBER($O800))),"Symbol not in Instruments; ","")&amp;IF(AND($AH800="",NOT(ISNUMBER($O800))),"Forex cross: type Gross P&amp;L; ",""))</f>
        <v/>
      </c>
      <c r="BH800" s="56">
        <f>IF(ISNUMBER($Q800),1,0)</f>
        <v>0</v>
      </c>
      <c r="BI800" s="56">
        <f>IF($Y800="",0,1)</f>
        <v>0</v>
      </c>
      <c r="BJ800" s="56">
        <f>IF($AB800="",0,1)</f>
        <v>0</v>
      </c>
      <c r="BK800" s="56">
        <f>IF(AND($BH800=1,$W800&lt;&gt;"OK"),1,0)</f>
        <v>0</v>
      </c>
      <c r="BL800" s="55">
        <f>IF(N($AZ800)=0,0,IFERROR(INDEX($AT$6:$AT$1005,MATCH($AZ800,$AY$6:$AY$1005,0)),0))</f>
        <v>1187.10688</v>
      </c>
      <c r="BM800" s="56">
        <f>IF(ISNUMBER(SEARCH("daily max loss",$BG800)),1,0)</f>
        <v>0</v>
      </c>
    </row>
    <row r="801" ht="18" customHeight="1">
      <c r="A801" s="38" t="n"/>
      <c r="B801" s="39" t="n"/>
      <c r="C801" s="40" t="n"/>
      <c r="D801" s="41" t="n"/>
      <c r="E801" s="41" t="n"/>
      <c r="F801" s="41" t="n"/>
      <c r="G801" s="41" t="n"/>
      <c r="H801" s="42" t="n"/>
      <c r="I801" s="42" t="n"/>
      <c r="J801" s="42" t="n"/>
      <c r="K801" s="42" t="n"/>
      <c r="L801" s="41" t="n"/>
      <c r="M801" s="41" t="n"/>
      <c r="N801" s="41" t="n"/>
      <c r="O801" s="43" t="n"/>
      <c r="P801" s="43" t="n"/>
      <c r="Q801" s="44" t="str">
        <f>IF($AM801=0,"",IF(ISNUMBER($AK801),$AK801-N($AL801),""))</f>
        <v/>
      </c>
      <c r="R801" s="45" t="str">
        <f>IF(OR($Q801="",NOT(ISNUMBER($V801))),"",$AK801/$V801)</f>
        <v/>
      </c>
      <c r="S801" s="46" t="str">
        <f>IF($Q801="","",IF(AND(ISNUMBER($R801),ABS(N($R801))&lt;N(Settings!$C$8)),"Scratch",IF($Q801&gt;0,"Win",IF($Q801&lt;0,"Loss","Scratch"))))</f>
        <v/>
      </c>
      <c r="T801" s="47" t="str">
        <f>IF(OR($AM801=0,NOT(ISNUMBER($H801)),NOT(ISNUMBER($I801)),NOT(ISNUMBER($J801))),"",IF($H801=$I801,"",ROUND(ABS($J801-$H801)/ABS($H801-$I801),6)))</f>
        <v/>
      </c>
      <c r="U801" s="48" t="str">
        <f>IF(OR($S801&lt;&gt;"Win",NOT(ISNUMBER($T801)),NOT(ISNUMBER($R801))),"",MAX(0,$T801-$R801))</f>
        <v/>
      </c>
      <c r="V801" s="49" t="str">
        <f>IF(OR($AM801=0,NOT(ISNUMBER($H801)),NOT(ISNUMBER($I801)),NOT(ISNUMBER($G801))),"",IF(OR($AG801="",$AH801=""),"",IF(ROUND(ABS($H801-$I801)*ABS($G801)*$AG801*$AH801,6)=0,"",ROUND(ABS($H801-$I801)*ABS($G801)*$AG801*$AH801,6))))</f>
        <v/>
      </c>
      <c r="W801" s="50" t="str">
        <f>IF($AM801=0,"",IF($BG801="","OK",LEFT($BG801,LEN($BG801)-2)))</f>
        <v/>
      </c>
      <c r="X801" s="41" t="n"/>
      <c r="Y801" s="40" t="n"/>
      <c r="Z801" s="41" t="n"/>
      <c r="AA801" s="41" t="n"/>
      <c r="AB801" s="40" t="n"/>
      <c r="AC801" s="51" t="n"/>
      <c r="AD801" s="51" t="n"/>
      <c r="AE801" s="40" t="n"/>
      <c r="AF801" s="52" t="str">
        <f>IF($AM801=0,"",IF($D801&lt;&gt;"",$D801,IF(IFERROR(INDEX(Accounts!$C$7:$C$16,MATCH($C801,Accounts!$B$7:$B$16,0))&amp;"","")&lt;&gt;"",INDEX(Accounts!$C$7:$C$16,MATCH($C801,Accounts!$B$7:$B$16,0)),Settings!$C$6)))</f>
        <v/>
      </c>
      <c r="AG801" s="53" t="str">
        <f>IF($AM801=0,"",IF(AND($BE801&gt;0,N(INDEX(Instruments!$D$6:$D$205,MAX(1,$BE801)))&gt;0),INDEX(Instruments!$D$6:$D$205,MAX(1,$BE801)),IF(N(INDEX(Settings!$D$14:$D$18,$BF801))&gt;0,INDEX(Settings!$D$14:$D$18,$BF801),"")))</f>
        <v/>
      </c>
      <c r="AH801" s="54" t="str">
        <f>IF($AM801=0,"",IF($AF801&lt;&gt;"Forex",1,IF(MID(UPPER(SUBSTITUTE(TRIM($E801),"/","")),4,3)=UPPER(TRIM(Settings!$C$7)),1,IF(LEFT(UPPER(SUBSTITUTE(TRIM($E801),"/","")),3)=UPPER(TRIM(Settings!$C$7)),IF(AND(ISNUMBER($K801),N($K801)&lt;&gt;0),1/$K801,""),""))))</f>
        <v/>
      </c>
      <c r="AI801" s="55" t="str">
        <f>IF($AM801=0,"",IF(OR(NOT(ISNUMBER($H801)),NOT(ISNUMBER($K801)),NOT(ISNUMBER($G801)),$AG801="",$AH801=""),"",ROUND(($K801-$H801)*IF($F801="Short",-1,1)*$G801*$AG801*$AH801,6)))</f>
        <v/>
      </c>
      <c r="AJ801" s="55" t="str">
        <f>IF($AM801=0,"",IF(INDEX(Settings!$E$14:$E$18,$BF801)="% of notional",IF(OR($AG801="",NOT(ISNUMBER($H801)),NOT(ISNUMBER($G801))),"",ROUND(ABS($H801*$G801*$AG801*N($AH801))*IF($L801="Limit",N(INDEX(Settings!$G$14:$G$18,$BF801)),N(INDEX(Settings!$H$14:$H$18,$BF801)))+IF(ISNUMBER($K801),ABS($K801*$G801*$AG801*N($AH801))*IF($M801="Target",N(INDEX(Settings!$G$14:$G$18,$BF801)),N(INDEX(Settings!$H$14:$H$18,$BF801))),0),6)),IF(NOT(ISNUMBER($G801)),"",ROUND(ABS($G801)*2*IF(AND($BE801&gt;0,ISNUMBER(INDEX(Instruments!$G$6:$G$205,MAX(1,$BE801)))),INDEX(Instruments!$G$6:$G$205,MAX(1,$BE801)),N(INDEX(Settings!$F$14:$F$18,$BF801))),6))))</f>
        <v/>
      </c>
      <c r="AK801" s="55" t="str">
        <f>IF($AM801=0,"",IF(ISNUMBER($O801),$O801,$AI801))</f>
        <v/>
      </c>
      <c r="AL801" s="55" t="str">
        <f>IF($AM801=0,"",IF(ISNUMBER($P801),$P801,N($AJ801)))</f>
        <v/>
      </c>
      <c r="AM801" s="56">
        <f>IF(AND($A801&lt;&gt;"",$E801&lt;&gt;"",OR(AND(ISNUMBER($G801),ISNUMBER($H801),ISNUMBER($K801)),ISNUMBER($O801))),1,0)</f>
        <v>0</v>
      </c>
      <c r="AN801" s="57" t="str">
        <f>IF($A801="","",$A801-WEEKDAY($A801,3))</f>
        <v/>
      </c>
      <c r="AO801" s="56" t="str">
        <f>IF($A801="","",WEEKDAY($A801,2))</f>
        <v/>
      </c>
      <c r="AP801" s="55" t="str">
        <f>IF(OR($AM801=0,$C801=""),"",IFERROR(N(INDEX(Accounts!$E$7:$E$16,MATCH($C801,Accounts!$B$7:$B$16,0))),0)+SUMIFS($Q$6:$Q801,$C$6:$C801,$C801))</f>
        <v/>
      </c>
      <c r="AQ801" s="55" t="str">
        <f>IF(OR($AM801=0,$C801=""),"",SUMIFS($Q$6:$Q$1005,$C$6:$C$1005,$C801,$A$6:$A$1005,$A801))</f>
        <v/>
      </c>
      <c r="AR801" s="55" t="str">
        <f>IF(OR($AM801=0,$C801=""),"",IFERROR(N(INDEX(Accounts!$E$7:$E$16,MATCH($C801,Accounts!$B$7:$B$16,0))),0)+SUMIFS($Q$6:$Q$1005,$C$6:$C$1005,$C801,$A$6:$A$1005,"&lt;="&amp;$A801))</f>
        <v/>
      </c>
      <c r="AS801" s="56">
        <f>IF(OR($AM801=0,$Q801=""),0,IF(AND($A801&gt;=Lists!$W$6,$A801&lt;=Lists!$W$7,OR(Dashboard!$D$6="All accounts",$C801=Dashboard!$D$6),OR(Dashboard!$D$7="All markets",$AF801=Dashboard!$D$7)),1,0))</f>
        <v>0</v>
      </c>
      <c r="AT801" s="55">
        <f>IF($AS801=1,N(AT800)+$Q801,N(AT800))</f>
        <v>1187.10688</v>
      </c>
      <c r="AU801" s="55">
        <f>MAX(N(AU800),$AT801)</f>
        <v>1187.10688</v>
      </c>
      <c r="AV801" s="55">
        <f>$AT801-$AU801</f>
        <v>0</v>
      </c>
      <c r="AW801" s="56">
        <f>IF($AS801=1,IF($S801="Win",N(AW800)+1,IF($S801="Loss",0,N(AW800))),N(AW800))</f>
        <v>5</v>
      </c>
      <c r="AX801" s="56">
        <f>IF($AS801=1,IF($S801="Loss",N(AX800)+1,IF($S801="Win",0,N(AX800))),N(AX800))</f>
        <v>0</v>
      </c>
      <c r="AY801" s="56" t="str">
        <f>IF($AS801=1,COUNTIF($AS$6:$AS801,1),"")</f>
        <v/>
      </c>
      <c r="AZ801" s="56">
        <f>MIN(795,N(Lists!$W$8))</f>
        <v>28</v>
      </c>
      <c r="BA801" s="56">
        <f>IF($AS801=1,IF(COUNTIFS($A$6:$A801,$A801,$AS$6:$AS801,1)=1,1,0),0)</f>
        <v>0</v>
      </c>
      <c r="BB801" s="55" t="str">
        <f>IF($BA801=1,SUMIFS($Q$6:$Q$1005,$A$6:$A$1005,$A801,$AS$6:$AS$1005,1),"")</f>
        <v/>
      </c>
      <c r="BC801" s="56">
        <f>IF(ISNUMBER($R801),1,0)</f>
        <v>0</v>
      </c>
      <c r="BD801" s="55" t="str">
        <f>IF(ISNUMBER($U801),$U801*$V801,"")</f>
        <v/>
      </c>
      <c r="BE801" s="56" t="str">
        <f>IF($AM801=0,"",IFERROR(MATCH($AF801&amp;"|"&amp;UPPER(TRIM($E801)),Lists!$A$6:$A$205,0),0))</f>
        <v/>
      </c>
      <c r="BF801" s="56" t="str">
        <f>IF($AM801=0,"",IFERROR(MATCH($AF801,Settings!$B$14:$B$18,0),IFERROR(MATCH(Settings!$C$6,Settings!$B$14:$B$18,0),1)))</f>
        <v/>
      </c>
      <c r="BG801" s="58" t="str">
        <f>IF($AM801=0,"",IF(NOT(ISNUMBER($I801)),"No stop; ","")&amp;IF(AND(ISNUMBER($H801),ISNUMBER($I801)),IF(OR(AND($F801&lt;&gt;"Short",$I801&gt;=$H801),AND($F801="Short",$I801&lt;=$H801)),"Stop on wrong side; ",""),"")&amp;IF($F801="","No direction; ","")&amp;IF(AND(ISNUMBER(Settings!$C$22),ISNUMBER($V801)),IF($V801&gt;Settings!$C$22,"Risk over max $; ",""),"")&amp;IF(AND(ISNUMBER(Settings!$C$23),ISNUMBER($V801),ISNUMBER($AP801),IFERROR(N(INDEX(Accounts!$E$7:$E$16,MATCH($C801,Accounts!$B$7:$B$16,0))),0)&gt;0),IF($V801&gt;Settings!$C$23*($AP801-N($Q801)),"Risk over max %; ",""),"")&amp;IF(AND(ISNUMBER(Settings!$C$24),ISNUMBER($N801)),IF($N801&gt;Settings!$C$24,"Leverage over max; ",""),"")&amp;IF(AND(ISNUMBER(Settings!$C$27),ISNUMBER($T801)),IF($T801&lt;Settings!$C$27,"R:R below min; ",""),"")&amp;IF(ISNUMBER(Settings!$C$25),IF(COUNTIFS($A$6:$A801,$A801,$AM$6:$AM801,1)&gt;Settings!$C$25,"Over max trades/day; ",""),"")&amp;IF(ISNUMBER(Settings!$C$26),IF(SUMIFS($Q$5:$Q800,$A$5:$A800,$A801)&lt;=-Settings!$C$26,"Traded after daily max loss; ",""),"")&amp;IF(AND($AG801="",NOT(ISNUMBER($O801))),"Symbol not in Instruments; ","")&amp;IF(AND($AH801="",NOT(ISNUMBER($O801))),"Forex cross: type Gross P&amp;L; ",""))</f>
        <v/>
      </c>
      <c r="BH801" s="56">
        <f>IF(ISNUMBER($Q801),1,0)</f>
        <v>0</v>
      </c>
      <c r="BI801" s="56">
        <f>IF($Y801="",0,1)</f>
        <v>0</v>
      </c>
      <c r="BJ801" s="56">
        <f>IF($AB801="",0,1)</f>
        <v>0</v>
      </c>
      <c r="BK801" s="56">
        <f>IF(AND($BH801=1,$W801&lt;&gt;"OK"),1,0)</f>
        <v>0</v>
      </c>
      <c r="BL801" s="55">
        <f>IF(N($AZ801)=0,0,IFERROR(INDEX($AT$6:$AT$1005,MATCH($AZ801,$AY$6:$AY$1005,0)),0))</f>
        <v>1187.10688</v>
      </c>
      <c r="BM801" s="56">
        <f>IF(ISNUMBER(SEARCH("daily max loss",$BG801)),1,0)</f>
        <v>0</v>
      </c>
    </row>
    <row r="802" ht="18" customHeight="1">
      <c r="A802" s="38" t="n"/>
      <c r="B802" s="39" t="n"/>
      <c r="C802" s="40" t="n"/>
      <c r="D802" s="41" t="n"/>
      <c r="E802" s="41" t="n"/>
      <c r="F802" s="41" t="n"/>
      <c r="G802" s="41" t="n"/>
      <c r="H802" s="42" t="n"/>
      <c r="I802" s="42" t="n"/>
      <c r="J802" s="42" t="n"/>
      <c r="K802" s="42" t="n"/>
      <c r="L802" s="41" t="n"/>
      <c r="M802" s="41" t="n"/>
      <c r="N802" s="41" t="n"/>
      <c r="O802" s="43" t="n"/>
      <c r="P802" s="43" t="n"/>
      <c r="Q802" s="44" t="str">
        <f>IF($AM802=0,"",IF(ISNUMBER($AK802),$AK802-N($AL802),""))</f>
        <v/>
      </c>
      <c r="R802" s="45" t="str">
        <f>IF(OR($Q802="",NOT(ISNUMBER($V802))),"",$AK802/$V802)</f>
        <v/>
      </c>
      <c r="S802" s="46" t="str">
        <f>IF($Q802="","",IF(AND(ISNUMBER($R802),ABS(N($R802))&lt;N(Settings!$C$8)),"Scratch",IF($Q802&gt;0,"Win",IF($Q802&lt;0,"Loss","Scratch"))))</f>
        <v/>
      </c>
      <c r="T802" s="47" t="str">
        <f>IF(OR($AM802=0,NOT(ISNUMBER($H802)),NOT(ISNUMBER($I802)),NOT(ISNUMBER($J802))),"",IF($H802=$I802,"",ROUND(ABS($J802-$H802)/ABS($H802-$I802),6)))</f>
        <v/>
      </c>
      <c r="U802" s="48" t="str">
        <f>IF(OR($S802&lt;&gt;"Win",NOT(ISNUMBER($T802)),NOT(ISNUMBER($R802))),"",MAX(0,$T802-$R802))</f>
        <v/>
      </c>
      <c r="V802" s="49" t="str">
        <f>IF(OR($AM802=0,NOT(ISNUMBER($H802)),NOT(ISNUMBER($I802)),NOT(ISNUMBER($G802))),"",IF(OR($AG802="",$AH802=""),"",IF(ROUND(ABS($H802-$I802)*ABS($G802)*$AG802*$AH802,6)=0,"",ROUND(ABS($H802-$I802)*ABS($G802)*$AG802*$AH802,6))))</f>
        <v/>
      </c>
      <c r="W802" s="50" t="str">
        <f>IF($AM802=0,"",IF($BG802="","OK",LEFT($BG802,LEN($BG802)-2)))</f>
        <v/>
      </c>
      <c r="X802" s="41" t="n"/>
      <c r="Y802" s="40" t="n"/>
      <c r="Z802" s="41" t="n"/>
      <c r="AA802" s="41" t="n"/>
      <c r="AB802" s="40" t="n"/>
      <c r="AC802" s="51" t="n"/>
      <c r="AD802" s="51" t="n"/>
      <c r="AE802" s="40" t="n"/>
      <c r="AF802" s="52" t="str">
        <f>IF($AM802=0,"",IF($D802&lt;&gt;"",$D802,IF(IFERROR(INDEX(Accounts!$C$7:$C$16,MATCH($C802,Accounts!$B$7:$B$16,0))&amp;"","")&lt;&gt;"",INDEX(Accounts!$C$7:$C$16,MATCH($C802,Accounts!$B$7:$B$16,0)),Settings!$C$6)))</f>
        <v/>
      </c>
      <c r="AG802" s="53" t="str">
        <f>IF($AM802=0,"",IF(AND($BE802&gt;0,N(INDEX(Instruments!$D$6:$D$205,MAX(1,$BE802)))&gt;0),INDEX(Instruments!$D$6:$D$205,MAX(1,$BE802)),IF(N(INDEX(Settings!$D$14:$D$18,$BF802))&gt;0,INDEX(Settings!$D$14:$D$18,$BF802),"")))</f>
        <v/>
      </c>
      <c r="AH802" s="54" t="str">
        <f>IF($AM802=0,"",IF($AF802&lt;&gt;"Forex",1,IF(MID(UPPER(SUBSTITUTE(TRIM($E802),"/","")),4,3)=UPPER(TRIM(Settings!$C$7)),1,IF(LEFT(UPPER(SUBSTITUTE(TRIM($E802),"/","")),3)=UPPER(TRIM(Settings!$C$7)),IF(AND(ISNUMBER($K802),N($K802)&lt;&gt;0),1/$K802,""),""))))</f>
        <v/>
      </c>
      <c r="AI802" s="55" t="str">
        <f>IF($AM802=0,"",IF(OR(NOT(ISNUMBER($H802)),NOT(ISNUMBER($K802)),NOT(ISNUMBER($G802)),$AG802="",$AH802=""),"",ROUND(($K802-$H802)*IF($F802="Short",-1,1)*$G802*$AG802*$AH802,6)))</f>
        <v/>
      </c>
      <c r="AJ802" s="55" t="str">
        <f>IF($AM802=0,"",IF(INDEX(Settings!$E$14:$E$18,$BF802)="% of notional",IF(OR($AG802="",NOT(ISNUMBER($H802)),NOT(ISNUMBER($G802))),"",ROUND(ABS($H802*$G802*$AG802*N($AH802))*IF($L802="Limit",N(INDEX(Settings!$G$14:$G$18,$BF802)),N(INDEX(Settings!$H$14:$H$18,$BF802)))+IF(ISNUMBER($K802),ABS($K802*$G802*$AG802*N($AH802))*IF($M802="Target",N(INDEX(Settings!$G$14:$G$18,$BF802)),N(INDEX(Settings!$H$14:$H$18,$BF802))),0),6)),IF(NOT(ISNUMBER($G802)),"",ROUND(ABS($G802)*2*IF(AND($BE802&gt;0,ISNUMBER(INDEX(Instruments!$G$6:$G$205,MAX(1,$BE802)))),INDEX(Instruments!$G$6:$G$205,MAX(1,$BE802)),N(INDEX(Settings!$F$14:$F$18,$BF802))),6))))</f>
        <v/>
      </c>
      <c r="AK802" s="55" t="str">
        <f>IF($AM802=0,"",IF(ISNUMBER($O802),$O802,$AI802))</f>
        <v/>
      </c>
      <c r="AL802" s="55" t="str">
        <f>IF($AM802=0,"",IF(ISNUMBER($P802),$P802,N($AJ802)))</f>
        <v/>
      </c>
      <c r="AM802" s="56">
        <f>IF(AND($A802&lt;&gt;"",$E802&lt;&gt;"",OR(AND(ISNUMBER($G802),ISNUMBER($H802),ISNUMBER($K802)),ISNUMBER($O802))),1,0)</f>
        <v>0</v>
      </c>
      <c r="AN802" s="57" t="str">
        <f>IF($A802="","",$A802-WEEKDAY($A802,3))</f>
        <v/>
      </c>
      <c r="AO802" s="56" t="str">
        <f>IF($A802="","",WEEKDAY($A802,2))</f>
        <v/>
      </c>
      <c r="AP802" s="55" t="str">
        <f>IF(OR($AM802=0,$C802=""),"",IFERROR(N(INDEX(Accounts!$E$7:$E$16,MATCH($C802,Accounts!$B$7:$B$16,0))),0)+SUMIFS($Q$6:$Q802,$C$6:$C802,$C802))</f>
        <v/>
      </c>
      <c r="AQ802" s="55" t="str">
        <f>IF(OR($AM802=0,$C802=""),"",SUMIFS($Q$6:$Q$1005,$C$6:$C$1005,$C802,$A$6:$A$1005,$A802))</f>
        <v/>
      </c>
      <c r="AR802" s="55" t="str">
        <f>IF(OR($AM802=0,$C802=""),"",IFERROR(N(INDEX(Accounts!$E$7:$E$16,MATCH($C802,Accounts!$B$7:$B$16,0))),0)+SUMIFS($Q$6:$Q$1005,$C$6:$C$1005,$C802,$A$6:$A$1005,"&lt;="&amp;$A802))</f>
        <v/>
      </c>
      <c r="AS802" s="56">
        <f>IF(OR($AM802=0,$Q802=""),0,IF(AND($A802&gt;=Lists!$W$6,$A802&lt;=Lists!$W$7,OR(Dashboard!$D$6="All accounts",$C802=Dashboard!$D$6),OR(Dashboard!$D$7="All markets",$AF802=Dashboard!$D$7)),1,0))</f>
        <v>0</v>
      </c>
      <c r="AT802" s="55">
        <f>IF($AS802=1,N(AT801)+$Q802,N(AT801))</f>
        <v>1187.10688</v>
      </c>
      <c r="AU802" s="55">
        <f>MAX(N(AU801),$AT802)</f>
        <v>1187.10688</v>
      </c>
      <c r="AV802" s="55">
        <f>$AT802-$AU802</f>
        <v>0</v>
      </c>
      <c r="AW802" s="56">
        <f>IF($AS802=1,IF($S802="Win",N(AW801)+1,IF($S802="Loss",0,N(AW801))),N(AW801))</f>
        <v>5</v>
      </c>
      <c r="AX802" s="56">
        <f>IF($AS802=1,IF($S802="Loss",N(AX801)+1,IF($S802="Win",0,N(AX801))),N(AX801))</f>
        <v>0</v>
      </c>
      <c r="AY802" s="56" t="str">
        <f>IF($AS802=1,COUNTIF($AS$6:$AS802,1),"")</f>
        <v/>
      </c>
      <c r="AZ802" s="56">
        <f>MIN(796,N(Lists!$W$8))</f>
        <v>28</v>
      </c>
      <c r="BA802" s="56">
        <f>IF($AS802=1,IF(COUNTIFS($A$6:$A802,$A802,$AS$6:$AS802,1)=1,1,0),0)</f>
        <v>0</v>
      </c>
      <c r="BB802" s="55" t="str">
        <f>IF($BA802=1,SUMIFS($Q$6:$Q$1005,$A$6:$A$1005,$A802,$AS$6:$AS$1005,1),"")</f>
        <v/>
      </c>
      <c r="BC802" s="56">
        <f>IF(ISNUMBER($R802),1,0)</f>
        <v>0</v>
      </c>
      <c r="BD802" s="55" t="str">
        <f>IF(ISNUMBER($U802),$U802*$V802,"")</f>
        <v/>
      </c>
      <c r="BE802" s="56" t="str">
        <f>IF($AM802=0,"",IFERROR(MATCH($AF802&amp;"|"&amp;UPPER(TRIM($E802)),Lists!$A$6:$A$205,0),0))</f>
        <v/>
      </c>
      <c r="BF802" s="56" t="str">
        <f>IF($AM802=0,"",IFERROR(MATCH($AF802,Settings!$B$14:$B$18,0),IFERROR(MATCH(Settings!$C$6,Settings!$B$14:$B$18,0),1)))</f>
        <v/>
      </c>
      <c r="BG802" s="58" t="str">
        <f>IF($AM802=0,"",IF(NOT(ISNUMBER($I802)),"No stop; ","")&amp;IF(AND(ISNUMBER($H802),ISNUMBER($I802)),IF(OR(AND($F802&lt;&gt;"Short",$I802&gt;=$H802),AND($F802="Short",$I802&lt;=$H802)),"Stop on wrong side; ",""),"")&amp;IF($F802="","No direction; ","")&amp;IF(AND(ISNUMBER(Settings!$C$22),ISNUMBER($V802)),IF($V802&gt;Settings!$C$22,"Risk over max $; ",""),"")&amp;IF(AND(ISNUMBER(Settings!$C$23),ISNUMBER($V802),ISNUMBER($AP802),IFERROR(N(INDEX(Accounts!$E$7:$E$16,MATCH($C802,Accounts!$B$7:$B$16,0))),0)&gt;0),IF($V802&gt;Settings!$C$23*($AP802-N($Q802)),"Risk over max %; ",""),"")&amp;IF(AND(ISNUMBER(Settings!$C$24),ISNUMBER($N802)),IF($N802&gt;Settings!$C$24,"Leverage over max; ",""),"")&amp;IF(AND(ISNUMBER(Settings!$C$27),ISNUMBER($T802)),IF($T802&lt;Settings!$C$27,"R:R below min; ",""),"")&amp;IF(ISNUMBER(Settings!$C$25),IF(COUNTIFS($A$6:$A802,$A802,$AM$6:$AM802,1)&gt;Settings!$C$25,"Over max trades/day; ",""),"")&amp;IF(ISNUMBER(Settings!$C$26),IF(SUMIFS($Q$5:$Q801,$A$5:$A801,$A802)&lt;=-Settings!$C$26,"Traded after daily max loss; ",""),"")&amp;IF(AND($AG802="",NOT(ISNUMBER($O802))),"Symbol not in Instruments; ","")&amp;IF(AND($AH802="",NOT(ISNUMBER($O802))),"Forex cross: type Gross P&amp;L; ",""))</f>
        <v/>
      </c>
      <c r="BH802" s="56">
        <f>IF(ISNUMBER($Q802),1,0)</f>
        <v>0</v>
      </c>
      <c r="BI802" s="56">
        <f>IF($Y802="",0,1)</f>
        <v>0</v>
      </c>
      <c r="BJ802" s="56">
        <f>IF($AB802="",0,1)</f>
        <v>0</v>
      </c>
      <c r="BK802" s="56">
        <f>IF(AND($BH802=1,$W802&lt;&gt;"OK"),1,0)</f>
        <v>0</v>
      </c>
      <c r="BL802" s="55">
        <f>IF(N($AZ802)=0,0,IFERROR(INDEX($AT$6:$AT$1005,MATCH($AZ802,$AY$6:$AY$1005,0)),0))</f>
        <v>1187.10688</v>
      </c>
      <c r="BM802" s="56">
        <f>IF(ISNUMBER(SEARCH("daily max loss",$BG802)),1,0)</f>
        <v>0</v>
      </c>
    </row>
    <row r="803" ht="18" customHeight="1">
      <c r="A803" s="38" t="n"/>
      <c r="B803" s="39" t="n"/>
      <c r="C803" s="40" t="n"/>
      <c r="D803" s="41" t="n"/>
      <c r="E803" s="41" t="n"/>
      <c r="F803" s="41" t="n"/>
      <c r="G803" s="41" t="n"/>
      <c r="H803" s="42" t="n"/>
      <c r="I803" s="42" t="n"/>
      <c r="J803" s="42" t="n"/>
      <c r="K803" s="42" t="n"/>
      <c r="L803" s="41" t="n"/>
      <c r="M803" s="41" t="n"/>
      <c r="N803" s="41" t="n"/>
      <c r="O803" s="43" t="n"/>
      <c r="P803" s="43" t="n"/>
      <c r="Q803" s="44" t="str">
        <f>IF($AM803=0,"",IF(ISNUMBER($AK803),$AK803-N($AL803),""))</f>
        <v/>
      </c>
      <c r="R803" s="45" t="str">
        <f>IF(OR($Q803="",NOT(ISNUMBER($V803))),"",$AK803/$V803)</f>
        <v/>
      </c>
      <c r="S803" s="46" t="str">
        <f>IF($Q803="","",IF(AND(ISNUMBER($R803),ABS(N($R803))&lt;N(Settings!$C$8)),"Scratch",IF($Q803&gt;0,"Win",IF($Q803&lt;0,"Loss","Scratch"))))</f>
        <v/>
      </c>
      <c r="T803" s="47" t="str">
        <f>IF(OR($AM803=0,NOT(ISNUMBER($H803)),NOT(ISNUMBER($I803)),NOT(ISNUMBER($J803))),"",IF($H803=$I803,"",ROUND(ABS($J803-$H803)/ABS($H803-$I803),6)))</f>
        <v/>
      </c>
      <c r="U803" s="48" t="str">
        <f>IF(OR($S803&lt;&gt;"Win",NOT(ISNUMBER($T803)),NOT(ISNUMBER($R803))),"",MAX(0,$T803-$R803))</f>
        <v/>
      </c>
      <c r="V803" s="49" t="str">
        <f>IF(OR($AM803=0,NOT(ISNUMBER($H803)),NOT(ISNUMBER($I803)),NOT(ISNUMBER($G803))),"",IF(OR($AG803="",$AH803=""),"",IF(ROUND(ABS($H803-$I803)*ABS($G803)*$AG803*$AH803,6)=0,"",ROUND(ABS($H803-$I803)*ABS($G803)*$AG803*$AH803,6))))</f>
        <v/>
      </c>
      <c r="W803" s="50" t="str">
        <f>IF($AM803=0,"",IF($BG803="","OK",LEFT($BG803,LEN($BG803)-2)))</f>
        <v/>
      </c>
      <c r="X803" s="41" t="n"/>
      <c r="Y803" s="40" t="n"/>
      <c r="Z803" s="41" t="n"/>
      <c r="AA803" s="41" t="n"/>
      <c r="AB803" s="40" t="n"/>
      <c r="AC803" s="51" t="n"/>
      <c r="AD803" s="51" t="n"/>
      <c r="AE803" s="40" t="n"/>
      <c r="AF803" s="52" t="str">
        <f>IF($AM803=0,"",IF($D803&lt;&gt;"",$D803,IF(IFERROR(INDEX(Accounts!$C$7:$C$16,MATCH($C803,Accounts!$B$7:$B$16,0))&amp;"","")&lt;&gt;"",INDEX(Accounts!$C$7:$C$16,MATCH($C803,Accounts!$B$7:$B$16,0)),Settings!$C$6)))</f>
        <v/>
      </c>
      <c r="AG803" s="53" t="str">
        <f>IF($AM803=0,"",IF(AND($BE803&gt;0,N(INDEX(Instruments!$D$6:$D$205,MAX(1,$BE803)))&gt;0),INDEX(Instruments!$D$6:$D$205,MAX(1,$BE803)),IF(N(INDEX(Settings!$D$14:$D$18,$BF803))&gt;0,INDEX(Settings!$D$14:$D$18,$BF803),"")))</f>
        <v/>
      </c>
      <c r="AH803" s="54" t="str">
        <f>IF($AM803=0,"",IF($AF803&lt;&gt;"Forex",1,IF(MID(UPPER(SUBSTITUTE(TRIM($E803),"/","")),4,3)=UPPER(TRIM(Settings!$C$7)),1,IF(LEFT(UPPER(SUBSTITUTE(TRIM($E803),"/","")),3)=UPPER(TRIM(Settings!$C$7)),IF(AND(ISNUMBER($K803),N($K803)&lt;&gt;0),1/$K803,""),""))))</f>
        <v/>
      </c>
      <c r="AI803" s="55" t="str">
        <f>IF($AM803=0,"",IF(OR(NOT(ISNUMBER($H803)),NOT(ISNUMBER($K803)),NOT(ISNUMBER($G803)),$AG803="",$AH803=""),"",ROUND(($K803-$H803)*IF($F803="Short",-1,1)*$G803*$AG803*$AH803,6)))</f>
        <v/>
      </c>
      <c r="AJ803" s="55" t="str">
        <f>IF($AM803=0,"",IF(INDEX(Settings!$E$14:$E$18,$BF803)="% of notional",IF(OR($AG803="",NOT(ISNUMBER($H803)),NOT(ISNUMBER($G803))),"",ROUND(ABS($H803*$G803*$AG803*N($AH803))*IF($L803="Limit",N(INDEX(Settings!$G$14:$G$18,$BF803)),N(INDEX(Settings!$H$14:$H$18,$BF803)))+IF(ISNUMBER($K803),ABS($K803*$G803*$AG803*N($AH803))*IF($M803="Target",N(INDEX(Settings!$G$14:$G$18,$BF803)),N(INDEX(Settings!$H$14:$H$18,$BF803))),0),6)),IF(NOT(ISNUMBER($G803)),"",ROUND(ABS($G803)*2*IF(AND($BE803&gt;0,ISNUMBER(INDEX(Instruments!$G$6:$G$205,MAX(1,$BE803)))),INDEX(Instruments!$G$6:$G$205,MAX(1,$BE803)),N(INDEX(Settings!$F$14:$F$18,$BF803))),6))))</f>
        <v/>
      </c>
      <c r="AK803" s="55" t="str">
        <f>IF($AM803=0,"",IF(ISNUMBER($O803),$O803,$AI803))</f>
        <v/>
      </c>
      <c r="AL803" s="55" t="str">
        <f>IF($AM803=0,"",IF(ISNUMBER($P803),$P803,N($AJ803)))</f>
        <v/>
      </c>
      <c r="AM803" s="56">
        <f>IF(AND($A803&lt;&gt;"",$E803&lt;&gt;"",OR(AND(ISNUMBER($G803),ISNUMBER($H803),ISNUMBER($K803)),ISNUMBER($O803))),1,0)</f>
        <v>0</v>
      </c>
      <c r="AN803" s="57" t="str">
        <f>IF($A803="","",$A803-WEEKDAY($A803,3))</f>
        <v/>
      </c>
      <c r="AO803" s="56" t="str">
        <f>IF($A803="","",WEEKDAY($A803,2))</f>
        <v/>
      </c>
      <c r="AP803" s="55" t="str">
        <f>IF(OR($AM803=0,$C803=""),"",IFERROR(N(INDEX(Accounts!$E$7:$E$16,MATCH($C803,Accounts!$B$7:$B$16,0))),0)+SUMIFS($Q$6:$Q803,$C$6:$C803,$C803))</f>
        <v/>
      </c>
      <c r="AQ803" s="55" t="str">
        <f>IF(OR($AM803=0,$C803=""),"",SUMIFS($Q$6:$Q$1005,$C$6:$C$1005,$C803,$A$6:$A$1005,$A803))</f>
        <v/>
      </c>
      <c r="AR803" s="55" t="str">
        <f>IF(OR($AM803=0,$C803=""),"",IFERROR(N(INDEX(Accounts!$E$7:$E$16,MATCH($C803,Accounts!$B$7:$B$16,0))),0)+SUMIFS($Q$6:$Q$1005,$C$6:$C$1005,$C803,$A$6:$A$1005,"&lt;="&amp;$A803))</f>
        <v/>
      </c>
      <c r="AS803" s="56">
        <f>IF(OR($AM803=0,$Q803=""),0,IF(AND($A803&gt;=Lists!$W$6,$A803&lt;=Lists!$W$7,OR(Dashboard!$D$6="All accounts",$C803=Dashboard!$D$6),OR(Dashboard!$D$7="All markets",$AF803=Dashboard!$D$7)),1,0))</f>
        <v>0</v>
      </c>
      <c r="AT803" s="55">
        <f>IF($AS803=1,N(AT802)+$Q803,N(AT802))</f>
        <v>1187.10688</v>
      </c>
      <c r="AU803" s="55">
        <f>MAX(N(AU802),$AT803)</f>
        <v>1187.10688</v>
      </c>
      <c r="AV803" s="55">
        <f>$AT803-$AU803</f>
        <v>0</v>
      </c>
      <c r="AW803" s="56">
        <f>IF($AS803=1,IF($S803="Win",N(AW802)+1,IF($S803="Loss",0,N(AW802))),N(AW802))</f>
        <v>5</v>
      </c>
      <c r="AX803" s="56">
        <f>IF($AS803=1,IF($S803="Loss",N(AX802)+1,IF($S803="Win",0,N(AX802))),N(AX802))</f>
        <v>0</v>
      </c>
      <c r="AY803" s="56" t="str">
        <f>IF($AS803=1,COUNTIF($AS$6:$AS803,1),"")</f>
        <v/>
      </c>
      <c r="AZ803" s="56">
        <f>MIN(797,N(Lists!$W$8))</f>
        <v>28</v>
      </c>
      <c r="BA803" s="56">
        <f>IF($AS803=1,IF(COUNTIFS($A$6:$A803,$A803,$AS$6:$AS803,1)=1,1,0),0)</f>
        <v>0</v>
      </c>
      <c r="BB803" s="55" t="str">
        <f>IF($BA803=1,SUMIFS($Q$6:$Q$1005,$A$6:$A$1005,$A803,$AS$6:$AS$1005,1),"")</f>
        <v/>
      </c>
      <c r="BC803" s="56">
        <f>IF(ISNUMBER($R803),1,0)</f>
        <v>0</v>
      </c>
      <c r="BD803" s="55" t="str">
        <f>IF(ISNUMBER($U803),$U803*$V803,"")</f>
        <v/>
      </c>
      <c r="BE803" s="56" t="str">
        <f>IF($AM803=0,"",IFERROR(MATCH($AF803&amp;"|"&amp;UPPER(TRIM($E803)),Lists!$A$6:$A$205,0),0))</f>
        <v/>
      </c>
      <c r="BF803" s="56" t="str">
        <f>IF($AM803=0,"",IFERROR(MATCH($AF803,Settings!$B$14:$B$18,0),IFERROR(MATCH(Settings!$C$6,Settings!$B$14:$B$18,0),1)))</f>
        <v/>
      </c>
      <c r="BG803" s="58" t="str">
        <f>IF($AM803=0,"",IF(NOT(ISNUMBER($I803)),"No stop; ","")&amp;IF(AND(ISNUMBER($H803),ISNUMBER($I803)),IF(OR(AND($F803&lt;&gt;"Short",$I803&gt;=$H803),AND($F803="Short",$I803&lt;=$H803)),"Stop on wrong side; ",""),"")&amp;IF($F803="","No direction; ","")&amp;IF(AND(ISNUMBER(Settings!$C$22),ISNUMBER($V803)),IF($V803&gt;Settings!$C$22,"Risk over max $; ",""),"")&amp;IF(AND(ISNUMBER(Settings!$C$23),ISNUMBER($V803),ISNUMBER($AP803),IFERROR(N(INDEX(Accounts!$E$7:$E$16,MATCH($C803,Accounts!$B$7:$B$16,0))),0)&gt;0),IF($V803&gt;Settings!$C$23*($AP803-N($Q803)),"Risk over max %; ",""),"")&amp;IF(AND(ISNUMBER(Settings!$C$24),ISNUMBER($N803)),IF($N803&gt;Settings!$C$24,"Leverage over max; ",""),"")&amp;IF(AND(ISNUMBER(Settings!$C$27),ISNUMBER($T803)),IF($T803&lt;Settings!$C$27,"R:R below min; ",""),"")&amp;IF(ISNUMBER(Settings!$C$25),IF(COUNTIFS($A$6:$A803,$A803,$AM$6:$AM803,1)&gt;Settings!$C$25,"Over max trades/day; ",""),"")&amp;IF(ISNUMBER(Settings!$C$26),IF(SUMIFS($Q$5:$Q802,$A$5:$A802,$A803)&lt;=-Settings!$C$26,"Traded after daily max loss; ",""),"")&amp;IF(AND($AG803="",NOT(ISNUMBER($O803))),"Symbol not in Instruments; ","")&amp;IF(AND($AH803="",NOT(ISNUMBER($O803))),"Forex cross: type Gross P&amp;L; ",""))</f>
        <v/>
      </c>
      <c r="BH803" s="56">
        <f>IF(ISNUMBER($Q803),1,0)</f>
        <v>0</v>
      </c>
      <c r="BI803" s="56">
        <f>IF($Y803="",0,1)</f>
        <v>0</v>
      </c>
      <c r="BJ803" s="56">
        <f>IF($AB803="",0,1)</f>
        <v>0</v>
      </c>
      <c r="BK803" s="56">
        <f>IF(AND($BH803=1,$W803&lt;&gt;"OK"),1,0)</f>
        <v>0</v>
      </c>
      <c r="BL803" s="55">
        <f>IF(N($AZ803)=0,0,IFERROR(INDEX($AT$6:$AT$1005,MATCH($AZ803,$AY$6:$AY$1005,0)),0))</f>
        <v>1187.10688</v>
      </c>
      <c r="BM803" s="56">
        <f>IF(ISNUMBER(SEARCH("daily max loss",$BG803)),1,0)</f>
        <v>0</v>
      </c>
    </row>
    <row r="804" ht="18" customHeight="1">
      <c r="A804" s="38" t="n"/>
      <c r="B804" s="39" t="n"/>
      <c r="C804" s="40" t="n"/>
      <c r="D804" s="41" t="n"/>
      <c r="E804" s="41" t="n"/>
      <c r="F804" s="41" t="n"/>
      <c r="G804" s="41" t="n"/>
      <c r="H804" s="42" t="n"/>
      <c r="I804" s="42" t="n"/>
      <c r="J804" s="42" t="n"/>
      <c r="K804" s="42" t="n"/>
      <c r="L804" s="41" t="n"/>
      <c r="M804" s="41" t="n"/>
      <c r="N804" s="41" t="n"/>
      <c r="O804" s="43" t="n"/>
      <c r="P804" s="43" t="n"/>
      <c r="Q804" s="44" t="str">
        <f>IF($AM804=0,"",IF(ISNUMBER($AK804),$AK804-N($AL804),""))</f>
        <v/>
      </c>
      <c r="R804" s="45" t="str">
        <f>IF(OR($Q804="",NOT(ISNUMBER($V804))),"",$AK804/$V804)</f>
        <v/>
      </c>
      <c r="S804" s="46" t="str">
        <f>IF($Q804="","",IF(AND(ISNUMBER($R804),ABS(N($R804))&lt;N(Settings!$C$8)),"Scratch",IF($Q804&gt;0,"Win",IF($Q804&lt;0,"Loss","Scratch"))))</f>
        <v/>
      </c>
      <c r="T804" s="47" t="str">
        <f>IF(OR($AM804=0,NOT(ISNUMBER($H804)),NOT(ISNUMBER($I804)),NOT(ISNUMBER($J804))),"",IF($H804=$I804,"",ROUND(ABS($J804-$H804)/ABS($H804-$I804),6)))</f>
        <v/>
      </c>
      <c r="U804" s="48" t="str">
        <f>IF(OR($S804&lt;&gt;"Win",NOT(ISNUMBER($T804)),NOT(ISNUMBER($R804))),"",MAX(0,$T804-$R804))</f>
        <v/>
      </c>
      <c r="V804" s="49" t="str">
        <f>IF(OR($AM804=0,NOT(ISNUMBER($H804)),NOT(ISNUMBER($I804)),NOT(ISNUMBER($G804))),"",IF(OR($AG804="",$AH804=""),"",IF(ROUND(ABS($H804-$I804)*ABS($G804)*$AG804*$AH804,6)=0,"",ROUND(ABS($H804-$I804)*ABS($G804)*$AG804*$AH804,6))))</f>
        <v/>
      </c>
      <c r="W804" s="50" t="str">
        <f>IF($AM804=0,"",IF($BG804="","OK",LEFT($BG804,LEN($BG804)-2)))</f>
        <v/>
      </c>
      <c r="X804" s="41" t="n"/>
      <c r="Y804" s="40" t="n"/>
      <c r="Z804" s="41" t="n"/>
      <c r="AA804" s="41" t="n"/>
      <c r="AB804" s="40" t="n"/>
      <c r="AC804" s="51" t="n"/>
      <c r="AD804" s="51" t="n"/>
      <c r="AE804" s="40" t="n"/>
      <c r="AF804" s="52" t="str">
        <f>IF($AM804=0,"",IF($D804&lt;&gt;"",$D804,IF(IFERROR(INDEX(Accounts!$C$7:$C$16,MATCH($C804,Accounts!$B$7:$B$16,0))&amp;"","")&lt;&gt;"",INDEX(Accounts!$C$7:$C$16,MATCH($C804,Accounts!$B$7:$B$16,0)),Settings!$C$6)))</f>
        <v/>
      </c>
      <c r="AG804" s="53" t="str">
        <f>IF($AM804=0,"",IF(AND($BE804&gt;0,N(INDEX(Instruments!$D$6:$D$205,MAX(1,$BE804)))&gt;0),INDEX(Instruments!$D$6:$D$205,MAX(1,$BE804)),IF(N(INDEX(Settings!$D$14:$D$18,$BF804))&gt;0,INDEX(Settings!$D$14:$D$18,$BF804),"")))</f>
        <v/>
      </c>
      <c r="AH804" s="54" t="str">
        <f>IF($AM804=0,"",IF($AF804&lt;&gt;"Forex",1,IF(MID(UPPER(SUBSTITUTE(TRIM($E804),"/","")),4,3)=UPPER(TRIM(Settings!$C$7)),1,IF(LEFT(UPPER(SUBSTITUTE(TRIM($E804),"/","")),3)=UPPER(TRIM(Settings!$C$7)),IF(AND(ISNUMBER($K804),N($K804)&lt;&gt;0),1/$K804,""),""))))</f>
        <v/>
      </c>
      <c r="AI804" s="55" t="str">
        <f>IF($AM804=0,"",IF(OR(NOT(ISNUMBER($H804)),NOT(ISNUMBER($K804)),NOT(ISNUMBER($G804)),$AG804="",$AH804=""),"",ROUND(($K804-$H804)*IF($F804="Short",-1,1)*$G804*$AG804*$AH804,6)))</f>
        <v/>
      </c>
      <c r="AJ804" s="55" t="str">
        <f>IF($AM804=0,"",IF(INDEX(Settings!$E$14:$E$18,$BF804)="% of notional",IF(OR($AG804="",NOT(ISNUMBER($H804)),NOT(ISNUMBER($G804))),"",ROUND(ABS($H804*$G804*$AG804*N($AH804))*IF($L804="Limit",N(INDEX(Settings!$G$14:$G$18,$BF804)),N(INDEX(Settings!$H$14:$H$18,$BF804)))+IF(ISNUMBER($K804),ABS($K804*$G804*$AG804*N($AH804))*IF($M804="Target",N(INDEX(Settings!$G$14:$G$18,$BF804)),N(INDEX(Settings!$H$14:$H$18,$BF804))),0),6)),IF(NOT(ISNUMBER($G804)),"",ROUND(ABS($G804)*2*IF(AND($BE804&gt;0,ISNUMBER(INDEX(Instruments!$G$6:$G$205,MAX(1,$BE804)))),INDEX(Instruments!$G$6:$G$205,MAX(1,$BE804)),N(INDEX(Settings!$F$14:$F$18,$BF804))),6))))</f>
        <v/>
      </c>
      <c r="AK804" s="55" t="str">
        <f>IF($AM804=0,"",IF(ISNUMBER($O804),$O804,$AI804))</f>
        <v/>
      </c>
      <c r="AL804" s="55" t="str">
        <f>IF($AM804=0,"",IF(ISNUMBER($P804),$P804,N($AJ804)))</f>
        <v/>
      </c>
      <c r="AM804" s="56">
        <f>IF(AND($A804&lt;&gt;"",$E804&lt;&gt;"",OR(AND(ISNUMBER($G804),ISNUMBER($H804),ISNUMBER($K804)),ISNUMBER($O804))),1,0)</f>
        <v>0</v>
      </c>
      <c r="AN804" s="57" t="str">
        <f>IF($A804="","",$A804-WEEKDAY($A804,3))</f>
        <v/>
      </c>
      <c r="AO804" s="56" t="str">
        <f>IF($A804="","",WEEKDAY($A804,2))</f>
        <v/>
      </c>
      <c r="AP804" s="55" t="str">
        <f>IF(OR($AM804=0,$C804=""),"",IFERROR(N(INDEX(Accounts!$E$7:$E$16,MATCH($C804,Accounts!$B$7:$B$16,0))),0)+SUMIFS($Q$6:$Q804,$C$6:$C804,$C804))</f>
        <v/>
      </c>
      <c r="AQ804" s="55" t="str">
        <f>IF(OR($AM804=0,$C804=""),"",SUMIFS($Q$6:$Q$1005,$C$6:$C$1005,$C804,$A$6:$A$1005,$A804))</f>
        <v/>
      </c>
      <c r="AR804" s="55" t="str">
        <f>IF(OR($AM804=0,$C804=""),"",IFERROR(N(INDEX(Accounts!$E$7:$E$16,MATCH($C804,Accounts!$B$7:$B$16,0))),0)+SUMIFS($Q$6:$Q$1005,$C$6:$C$1005,$C804,$A$6:$A$1005,"&lt;="&amp;$A804))</f>
        <v/>
      </c>
      <c r="AS804" s="56">
        <f>IF(OR($AM804=0,$Q804=""),0,IF(AND($A804&gt;=Lists!$W$6,$A804&lt;=Lists!$W$7,OR(Dashboard!$D$6="All accounts",$C804=Dashboard!$D$6),OR(Dashboard!$D$7="All markets",$AF804=Dashboard!$D$7)),1,0))</f>
        <v>0</v>
      </c>
      <c r="AT804" s="55">
        <f>IF($AS804=1,N(AT803)+$Q804,N(AT803))</f>
        <v>1187.10688</v>
      </c>
      <c r="AU804" s="55">
        <f>MAX(N(AU803),$AT804)</f>
        <v>1187.10688</v>
      </c>
      <c r="AV804" s="55">
        <f>$AT804-$AU804</f>
        <v>0</v>
      </c>
      <c r="AW804" s="56">
        <f>IF($AS804=1,IF($S804="Win",N(AW803)+1,IF($S804="Loss",0,N(AW803))),N(AW803))</f>
        <v>5</v>
      </c>
      <c r="AX804" s="56">
        <f>IF($AS804=1,IF($S804="Loss",N(AX803)+1,IF($S804="Win",0,N(AX803))),N(AX803))</f>
        <v>0</v>
      </c>
      <c r="AY804" s="56" t="str">
        <f>IF($AS804=1,COUNTIF($AS$6:$AS804,1),"")</f>
        <v/>
      </c>
      <c r="AZ804" s="56">
        <f>MIN(798,N(Lists!$W$8))</f>
        <v>28</v>
      </c>
      <c r="BA804" s="56">
        <f>IF($AS804=1,IF(COUNTIFS($A$6:$A804,$A804,$AS$6:$AS804,1)=1,1,0),0)</f>
        <v>0</v>
      </c>
      <c r="BB804" s="55" t="str">
        <f>IF($BA804=1,SUMIFS($Q$6:$Q$1005,$A$6:$A$1005,$A804,$AS$6:$AS$1005,1),"")</f>
        <v/>
      </c>
      <c r="BC804" s="56">
        <f>IF(ISNUMBER($R804),1,0)</f>
        <v>0</v>
      </c>
      <c r="BD804" s="55" t="str">
        <f>IF(ISNUMBER($U804),$U804*$V804,"")</f>
        <v/>
      </c>
      <c r="BE804" s="56" t="str">
        <f>IF($AM804=0,"",IFERROR(MATCH($AF804&amp;"|"&amp;UPPER(TRIM($E804)),Lists!$A$6:$A$205,0),0))</f>
        <v/>
      </c>
      <c r="BF804" s="56" t="str">
        <f>IF($AM804=0,"",IFERROR(MATCH($AF804,Settings!$B$14:$B$18,0),IFERROR(MATCH(Settings!$C$6,Settings!$B$14:$B$18,0),1)))</f>
        <v/>
      </c>
      <c r="BG804" s="58" t="str">
        <f>IF($AM804=0,"",IF(NOT(ISNUMBER($I804)),"No stop; ","")&amp;IF(AND(ISNUMBER($H804),ISNUMBER($I804)),IF(OR(AND($F804&lt;&gt;"Short",$I804&gt;=$H804),AND($F804="Short",$I804&lt;=$H804)),"Stop on wrong side; ",""),"")&amp;IF($F804="","No direction; ","")&amp;IF(AND(ISNUMBER(Settings!$C$22),ISNUMBER($V804)),IF($V804&gt;Settings!$C$22,"Risk over max $; ",""),"")&amp;IF(AND(ISNUMBER(Settings!$C$23),ISNUMBER($V804),ISNUMBER($AP804),IFERROR(N(INDEX(Accounts!$E$7:$E$16,MATCH($C804,Accounts!$B$7:$B$16,0))),0)&gt;0),IF($V804&gt;Settings!$C$23*($AP804-N($Q804)),"Risk over max %; ",""),"")&amp;IF(AND(ISNUMBER(Settings!$C$24),ISNUMBER($N804)),IF($N804&gt;Settings!$C$24,"Leverage over max; ",""),"")&amp;IF(AND(ISNUMBER(Settings!$C$27),ISNUMBER($T804)),IF($T804&lt;Settings!$C$27,"R:R below min; ",""),"")&amp;IF(ISNUMBER(Settings!$C$25),IF(COUNTIFS($A$6:$A804,$A804,$AM$6:$AM804,1)&gt;Settings!$C$25,"Over max trades/day; ",""),"")&amp;IF(ISNUMBER(Settings!$C$26),IF(SUMIFS($Q$5:$Q803,$A$5:$A803,$A804)&lt;=-Settings!$C$26,"Traded after daily max loss; ",""),"")&amp;IF(AND($AG804="",NOT(ISNUMBER($O804))),"Symbol not in Instruments; ","")&amp;IF(AND($AH804="",NOT(ISNUMBER($O804))),"Forex cross: type Gross P&amp;L; ",""))</f>
        <v/>
      </c>
      <c r="BH804" s="56">
        <f>IF(ISNUMBER($Q804),1,0)</f>
        <v>0</v>
      </c>
      <c r="BI804" s="56">
        <f>IF($Y804="",0,1)</f>
        <v>0</v>
      </c>
      <c r="BJ804" s="56">
        <f>IF($AB804="",0,1)</f>
        <v>0</v>
      </c>
      <c r="BK804" s="56">
        <f>IF(AND($BH804=1,$W804&lt;&gt;"OK"),1,0)</f>
        <v>0</v>
      </c>
      <c r="BL804" s="55">
        <f>IF(N($AZ804)=0,0,IFERROR(INDEX($AT$6:$AT$1005,MATCH($AZ804,$AY$6:$AY$1005,0)),0))</f>
        <v>1187.10688</v>
      </c>
      <c r="BM804" s="56">
        <f>IF(ISNUMBER(SEARCH("daily max loss",$BG804)),1,0)</f>
        <v>0</v>
      </c>
    </row>
    <row r="805" ht="18" customHeight="1">
      <c r="A805" s="38" t="n"/>
      <c r="B805" s="39" t="n"/>
      <c r="C805" s="40" t="n"/>
      <c r="D805" s="41" t="n"/>
      <c r="E805" s="41" t="n"/>
      <c r="F805" s="41" t="n"/>
      <c r="G805" s="41" t="n"/>
      <c r="H805" s="42" t="n"/>
      <c r="I805" s="42" t="n"/>
      <c r="J805" s="42" t="n"/>
      <c r="K805" s="42" t="n"/>
      <c r="L805" s="41" t="n"/>
      <c r="M805" s="41" t="n"/>
      <c r="N805" s="41" t="n"/>
      <c r="O805" s="43" t="n"/>
      <c r="P805" s="43" t="n"/>
      <c r="Q805" s="44" t="str">
        <f>IF($AM805=0,"",IF(ISNUMBER($AK805),$AK805-N($AL805),""))</f>
        <v/>
      </c>
      <c r="R805" s="45" t="str">
        <f>IF(OR($Q805="",NOT(ISNUMBER($V805))),"",$AK805/$V805)</f>
        <v/>
      </c>
      <c r="S805" s="46" t="str">
        <f>IF($Q805="","",IF(AND(ISNUMBER($R805),ABS(N($R805))&lt;N(Settings!$C$8)),"Scratch",IF($Q805&gt;0,"Win",IF($Q805&lt;0,"Loss","Scratch"))))</f>
        <v/>
      </c>
      <c r="T805" s="47" t="str">
        <f>IF(OR($AM805=0,NOT(ISNUMBER($H805)),NOT(ISNUMBER($I805)),NOT(ISNUMBER($J805))),"",IF($H805=$I805,"",ROUND(ABS($J805-$H805)/ABS($H805-$I805),6)))</f>
        <v/>
      </c>
      <c r="U805" s="48" t="str">
        <f>IF(OR($S805&lt;&gt;"Win",NOT(ISNUMBER($T805)),NOT(ISNUMBER($R805))),"",MAX(0,$T805-$R805))</f>
        <v/>
      </c>
      <c r="V805" s="49" t="str">
        <f>IF(OR($AM805=0,NOT(ISNUMBER($H805)),NOT(ISNUMBER($I805)),NOT(ISNUMBER($G805))),"",IF(OR($AG805="",$AH805=""),"",IF(ROUND(ABS($H805-$I805)*ABS($G805)*$AG805*$AH805,6)=0,"",ROUND(ABS($H805-$I805)*ABS($G805)*$AG805*$AH805,6))))</f>
        <v/>
      </c>
      <c r="W805" s="50" t="str">
        <f>IF($AM805=0,"",IF($BG805="","OK",LEFT($BG805,LEN($BG805)-2)))</f>
        <v/>
      </c>
      <c r="X805" s="41" t="n"/>
      <c r="Y805" s="40" t="n"/>
      <c r="Z805" s="41" t="n"/>
      <c r="AA805" s="41" t="n"/>
      <c r="AB805" s="40" t="n"/>
      <c r="AC805" s="51" t="n"/>
      <c r="AD805" s="51" t="n"/>
      <c r="AE805" s="40" t="n"/>
      <c r="AF805" s="52" t="str">
        <f>IF($AM805=0,"",IF($D805&lt;&gt;"",$D805,IF(IFERROR(INDEX(Accounts!$C$7:$C$16,MATCH($C805,Accounts!$B$7:$B$16,0))&amp;"","")&lt;&gt;"",INDEX(Accounts!$C$7:$C$16,MATCH($C805,Accounts!$B$7:$B$16,0)),Settings!$C$6)))</f>
        <v/>
      </c>
      <c r="AG805" s="53" t="str">
        <f>IF($AM805=0,"",IF(AND($BE805&gt;0,N(INDEX(Instruments!$D$6:$D$205,MAX(1,$BE805)))&gt;0),INDEX(Instruments!$D$6:$D$205,MAX(1,$BE805)),IF(N(INDEX(Settings!$D$14:$D$18,$BF805))&gt;0,INDEX(Settings!$D$14:$D$18,$BF805),"")))</f>
        <v/>
      </c>
      <c r="AH805" s="54" t="str">
        <f>IF($AM805=0,"",IF($AF805&lt;&gt;"Forex",1,IF(MID(UPPER(SUBSTITUTE(TRIM($E805),"/","")),4,3)=UPPER(TRIM(Settings!$C$7)),1,IF(LEFT(UPPER(SUBSTITUTE(TRIM($E805),"/","")),3)=UPPER(TRIM(Settings!$C$7)),IF(AND(ISNUMBER($K805),N($K805)&lt;&gt;0),1/$K805,""),""))))</f>
        <v/>
      </c>
      <c r="AI805" s="55" t="str">
        <f>IF($AM805=0,"",IF(OR(NOT(ISNUMBER($H805)),NOT(ISNUMBER($K805)),NOT(ISNUMBER($G805)),$AG805="",$AH805=""),"",ROUND(($K805-$H805)*IF($F805="Short",-1,1)*$G805*$AG805*$AH805,6)))</f>
        <v/>
      </c>
      <c r="AJ805" s="55" t="str">
        <f>IF($AM805=0,"",IF(INDEX(Settings!$E$14:$E$18,$BF805)="% of notional",IF(OR($AG805="",NOT(ISNUMBER($H805)),NOT(ISNUMBER($G805))),"",ROUND(ABS($H805*$G805*$AG805*N($AH805))*IF($L805="Limit",N(INDEX(Settings!$G$14:$G$18,$BF805)),N(INDEX(Settings!$H$14:$H$18,$BF805)))+IF(ISNUMBER($K805),ABS($K805*$G805*$AG805*N($AH805))*IF($M805="Target",N(INDEX(Settings!$G$14:$G$18,$BF805)),N(INDEX(Settings!$H$14:$H$18,$BF805))),0),6)),IF(NOT(ISNUMBER($G805)),"",ROUND(ABS($G805)*2*IF(AND($BE805&gt;0,ISNUMBER(INDEX(Instruments!$G$6:$G$205,MAX(1,$BE805)))),INDEX(Instruments!$G$6:$G$205,MAX(1,$BE805)),N(INDEX(Settings!$F$14:$F$18,$BF805))),6))))</f>
        <v/>
      </c>
      <c r="AK805" s="55" t="str">
        <f>IF($AM805=0,"",IF(ISNUMBER($O805),$O805,$AI805))</f>
        <v/>
      </c>
      <c r="AL805" s="55" t="str">
        <f>IF($AM805=0,"",IF(ISNUMBER($P805),$P805,N($AJ805)))</f>
        <v/>
      </c>
      <c r="AM805" s="56">
        <f>IF(AND($A805&lt;&gt;"",$E805&lt;&gt;"",OR(AND(ISNUMBER($G805),ISNUMBER($H805),ISNUMBER($K805)),ISNUMBER($O805))),1,0)</f>
        <v>0</v>
      </c>
      <c r="AN805" s="57" t="str">
        <f>IF($A805="","",$A805-WEEKDAY($A805,3))</f>
        <v/>
      </c>
      <c r="AO805" s="56" t="str">
        <f>IF($A805="","",WEEKDAY($A805,2))</f>
        <v/>
      </c>
      <c r="AP805" s="55" t="str">
        <f>IF(OR($AM805=0,$C805=""),"",IFERROR(N(INDEX(Accounts!$E$7:$E$16,MATCH($C805,Accounts!$B$7:$B$16,0))),0)+SUMIFS($Q$6:$Q805,$C$6:$C805,$C805))</f>
        <v/>
      </c>
      <c r="AQ805" s="55" t="str">
        <f>IF(OR($AM805=0,$C805=""),"",SUMIFS($Q$6:$Q$1005,$C$6:$C$1005,$C805,$A$6:$A$1005,$A805))</f>
        <v/>
      </c>
      <c r="AR805" s="55" t="str">
        <f>IF(OR($AM805=0,$C805=""),"",IFERROR(N(INDEX(Accounts!$E$7:$E$16,MATCH($C805,Accounts!$B$7:$B$16,0))),0)+SUMIFS($Q$6:$Q$1005,$C$6:$C$1005,$C805,$A$6:$A$1005,"&lt;="&amp;$A805))</f>
        <v/>
      </c>
      <c r="AS805" s="56">
        <f>IF(OR($AM805=0,$Q805=""),0,IF(AND($A805&gt;=Lists!$W$6,$A805&lt;=Lists!$W$7,OR(Dashboard!$D$6="All accounts",$C805=Dashboard!$D$6),OR(Dashboard!$D$7="All markets",$AF805=Dashboard!$D$7)),1,0))</f>
        <v>0</v>
      </c>
      <c r="AT805" s="55">
        <f>IF($AS805=1,N(AT804)+$Q805,N(AT804))</f>
        <v>1187.10688</v>
      </c>
      <c r="AU805" s="55">
        <f>MAX(N(AU804),$AT805)</f>
        <v>1187.10688</v>
      </c>
      <c r="AV805" s="55">
        <f>$AT805-$AU805</f>
        <v>0</v>
      </c>
      <c r="AW805" s="56">
        <f>IF($AS805=1,IF($S805="Win",N(AW804)+1,IF($S805="Loss",0,N(AW804))),N(AW804))</f>
        <v>5</v>
      </c>
      <c r="AX805" s="56">
        <f>IF($AS805=1,IF($S805="Loss",N(AX804)+1,IF($S805="Win",0,N(AX804))),N(AX804))</f>
        <v>0</v>
      </c>
      <c r="AY805" s="56" t="str">
        <f>IF($AS805=1,COUNTIF($AS$6:$AS805,1),"")</f>
        <v/>
      </c>
      <c r="AZ805" s="56">
        <f>MIN(799,N(Lists!$W$8))</f>
        <v>28</v>
      </c>
      <c r="BA805" s="56">
        <f>IF($AS805=1,IF(COUNTIFS($A$6:$A805,$A805,$AS$6:$AS805,1)=1,1,0),0)</f>
        <v>0</v>
      </c>
      <c r="BB805" s="55" t="str">
        <f>IF($BA805=1,SUMIFS($Q$6:$Q$1005,$A$6:$A$1005,$A805,$AS$6:$AS$1005,1),"")</f>
        <v/>
      </c>
      <c r="BC805" s="56">
        <f>IF(ISNUMBER($R805),1,0)</f>
        <v>0</v>
      </c>
      <c r="BD805" s="55" t="str">
        <f>IF(ISNUMBER($U805),$U805*$V805,"")</f>
        <v/>
      </c>
      <c r="BE805" s="56" t="str">
        <f>IF($AM805=0,"",IFERROR(MATCH($AF805&amp;"|"&amp;UPPER(TRIM($E805)),Lists!$A$6:$A$205,0),0))</f>
        <v/>
      </c>
      <c r="BF805" s="56" t="str">
        <f>IF($AM805=0,"",IFERROR(MATCH($AF805,Settings!$B$14:$B$18,0),IFERROR(MATCH(Settings!$C$6,Settings!$B$14:$B$18,0),1)))</f>
        <v/>
      </c>
      <c r="BG805" s="58" t="str">
        <f>IF($AM805=0,"",IF(NOT(ISNUMBER($I805)),"No stop; ","")&amp;IF(AND(ISNUMBER($H805),ISNUMBER($I805)),IF(OR(AND($F805&lt;&gt;"Short",$I805&gt;=$H805),AND($F805="Short",$I805&lt;=$H805)),"Stop on wrong side; ",""),"")&amp;IF($F805="","No direction; ","")&amp;IF(AND(ISNUMBER(Settings!$C$22),ISNUMBER($V805)),IF($V805&gt;Settings!$C$22,"Risk over max $; ",""),"")&amp;IF(AND(ISNUMBER(Settings!$C$23),ISNUMBER($V805),ISNUMBER($AP805),IFERROR(N(INDEX(Accounts!$E$7:$E$16,MATCH($C805,Accounts!$B$7:$B$16,0))),0)&gt;0),IF($V805&gt;Settings!$C$23*($AP805-N($Q805)),"Risk over max %; ",""),"")&amp;IF(AND(ISNUMBER(Settings!$C$24),ISNUMBER($N805)),IF($N805&gt;Settings!$C$24,"Leverage over max; ",""),"")&amp;IF(AND(ISNUMBER(Settings!$C$27),ISNUMBER($T805)),IF($T805&lt;Settings!$C$27,"R:R below min; ",""),"")&amp;IF(ISNUMBER(Settings!$C$25),IF(COUNTIFS($A$6:$A805,$A805,$AM$6:$AM805,1)&gt;Settings!$C$25,"Over max trades/day; ",""),"")&amp;IF(ISNUMBER(Settings!$C$26),IF(SUMIFS($Q$5:$Q804,$A$5:$A804,$A805)&lt;=-Settings!$C$26,"Traded after daily max loss; ",""),"")&amp;IF(AND($AG805="",NOT(ISNUMBER($O805))),"Symbol not in Instruments; ","")&amp;IF(AND($AH805="",NOT(ISNUMBER($O805))),"Forex cross: type Gross P&amp;L; ",""))</f>
        <v/>
      </c>
      <c r="BH805" s="56">
        <f>IF(ISNUMBER($Q805),1,0)</f>
        <v>0</v>
      </c>
      <c r="BI805" s="56">
        <f>IF($Y805="",0,1)</f>
        <v>0</v>
      </c>
      <c r="BJ805" s="56">
        <f>IF($AB805="",0,1)</f>
        <v>0</v>
      </c>
      <c r="BK805" s="56">
        <f>IF(AND($BH805=1,$W805&lt;&gt;"OK"),1,0)</f>
        <v>0</v>
      </c>
      <c r="BL805" s="55">
        <f>IF(N($AZ805)=0,0,IFERROR(INDEX($AT$6:$AT$1005,MATCH($AZ805,$AY$6:$AY$1005,0)),0))</f>
        <v>1187.10688</v>
      </c>
      <c r="BM805" s="56">
        <f>IF(ISNUMBER(SEARCH("daily max loss",$BG805)),1,0)</f>
        <v>0</v>
      </c>
    </row>
    <row r="806" ht="18" customHeight="1">
      <c r="A806" s="38" t="n"/>
      <c r="B806" s="39" t="n"/>
      <c r="C806" s="40" t="n"/>
      <c r="D806" s="41" t="n"/>
      <c r="E806" s="41" t="n"/>
      <c r="F806" s="41" t="n"/>
      <c r="G806" s="41" t="n"/>
      <c r="H806" s="42" t="n"/>
      <c r="I806" s="42" t="n"/>
      <c r="J806" s="42" t="n"/>
      <c r="K806" s="42" t="n"/>
      <c r="L806" s="41" t="n"/>
      <c r="M806" s="41" t="n"/>
      <c r="N806" s="41" t="n"/>
      <c r="O806" s="43" t="n"/>
      <c r="P806" s="43" t="n"/>
      <c r="Q806" s="44" t="str">
        <f>IF($AM806=0,"",IF(ISNUMBER($AK806),$AK806-N($AL806),""))</f>
        <v/>
      </c>
      <c r="R806" s="45" t="str">
        <f>IF(OR($Q806="",NOT(ISNUMBER($V806))),"",$AK806/$V806)</f>
        <v/>
      </c>
      <c r="S806" s="46" t="str">
        <f>IF($Q806="","",IF(AND(ISNUMBER($R806),ABS(N($R806))&lt;N(Settings!$C$8)),"Scratch",IF($Q806&gt;0,"Win",IF($Q806&lt;0,"Loss","Scratch"))))</f>
        <v/>
      </c>
      <c r="T806" s="47" t="str">
        <f>IF(OR($AM806=0,NOT(ISNUMBER($H806)),NOT(ISNUMBER($I806)),NOT(ISNUMBER($J806))),"",IF($H806=$I806,"",ROUND(ABS($J806-$H806)/ABS($H806-$I806),6)))</f>
        <v/>
      </c>
      <c r="U806" s="48" t="str">
        <f>IF(OR($S806&lt;&gt;"Win",NOT(ISNUMBER($T806)),NOT(ISNUMBER($R806))),"",MAX(0,$T806-$R806))</f>
        <v/>
      </c>
      <c r="V806" s="49" t="str">
        <f>IF(OR($AM806=0,NOT(ISNUMBER($H806)),NOT(ISNUMBER($I806)),NOT(ISNUMBER($G806))),"",IF(OR($AG806="",$AH806=""),"",IF(ROUND(ABS($H806-$I806)*ABS($G806)*$AG806*$AH806,6)=0,"",ROUND(ABS($H806-$I806)*ABS($G806)*$AG806*$AH806,6))))</f>
        <v/>
      </c>
      <c r="W806" s="50" t="str">
        <f>IF($AM806=0,"",IF($BG806="","OK",LEFT($BG806,LEN($BG806)-2)))</f>
        <v/>
      </c>
      <c r="X806" s="41" t="n"/>
      <c r="Y806" s="40" t="n"/>
      <c r="Z806" s="41" t="n"/>
      <c r="AA806" s="41" t="n"/>
      <c r="AB806" s="40" t="n"/>
      <c r="AC806" s="51" t="n"/>
      <c r="AD806" s="51" t="n"/>
      <c r="AE806" s="40" t="n"/>
      <c r="AF806" s="52" t="str">
        <f>IF($AM806=0,"",IF($D806&lt;&gt;"",$D806,IF(IFERROR(INDEX(Accounts!$C$7:$C$16,MATCH($C806,Accounts!$B$7:$B$16,0))&amp;"","")&lt;&gt;"",INDEX(Accounts!$C$7:$C$16,MATCH($C806,Accounts!$B$7:$B$16,0)),Settings!$C$6)))</f>
        <v/>
      </c>
      <c r="AG806" s="53" t="str">
        <f>IF($AM806=0,"",IF(AND($BE806&gt;0,N(INDEX(Instruments!$D$6:$D$205,MAX(1,$BE806)))&gt;0),INDEX(Instruments!$D$6:$D$205,MAX(1,$BE806)),IF(N(INDEX(Settings!$D$14:$D$18,$BF806))&gt;0,INDEX(Settings!$D$14:$D$18,$BF806),"")))</f>
        <v/>
      </c>
      <c r="AH806" s="54" t="str">
        <f>IF($AM806=0,"",IF($AF806&lt;&gt;"Forex",1,IF(MID(UPPER(SUBSTITUTE(TRIM($E806),"/","")),4,3)=UPPER(TRIM(Settings!$C$7)),1,IF(LEFT(UPPER(SUBSTITUTE(TRIM($E806),"/","")),3)=UPPER(TRIM(Settings!$C$7)),IF(AND(ISNUMBER($K806),N($K806)&lt;&gt;0),1/$K806,""),""))))</f>
        <v/>
      </c>
      <c r="AI806" s="55" t="str">
        <f>IF($AM806=0,"",IF(OR(NOT(ISNUMBER($H806)),NOT(ISNUMBER($K806)),NOT(ISNUMBER($G806)),$AG806="",$AH806=""),"",ROUND(($K806-$H806)*IF($F806="Short",-1,1)*$G806*$AG806*$AH806,6)))</f>
        <v/>
      </c>
      <c r="AJ806" s="55" t="str">
        <f>IF($AM806=0,"",IF(INDEX(Settings!$E$14:$E$18,$BF806)="% of notional",IF(OR($AG806="",NOT(ISNUMBER($H806)),NOT(ISNUMBER($G806))),"",ROUND(ABS($H806*$G806*$AG806*N($AH806))*IF($L806="Limit",N(INDEX(Settings!$G$14:$G$18,$BF806)),N(INDEX(Settings!$H$14:$H$18,$BF806)))+IF(ISNUMBER($K806),ABS($K806*$G806*$AG806*N($AH806))*IF($M806="Target",N(INDEX(Settings!$G$14:$G$18,$BF806)),N(INDEX(Settings!$H$14:$H$18,$BF806))),0),6)),IF(NOT(ISNUMBER($G806)),"",ROUND(ABS($G806)*2*IF(AND($BE806&gt;0,ISNUMBER(INDEX(Instruments!$G$6:$G$205,MAX(1,$BE806)))),INDEX(Instruments!$G$6:$G$205,MAX(1,$BE806)),N(INDEX(Settings!$F$14:$F$18,$BF806))),6))))</f>
        <v/>
      </c>
      <c r="AK806" s="55" t="str">
        <f>IF($AM806=0,"",IF(ISNUMBER($O806),$O806,$AI806))</f>
        <v/>
      </c>
      <c r="AL806" s="55" t="str">
        <f>IF($AM806=0,"",IF(ISNUMBER($P806),$P806,N($AJ806)))</f>
        <v/>
      </c>
      <c r="AM806" s="56">
        <f>IF(AND($A806&lt;&gt;"",$E806&lt;&gt;"",OR(AND(ISNUMBER($G806),ISNUMBER($H806),ISNUMBER($K806)),ISNUMBER($O806))),1,0)</f>
        <v>0</v>
      </c>
      <c r="AN806" s="57" t="str">
        <f>IF($A806="","",$A806-WEEKDAY($A806,3))</f>
        <v/>
      </c>
      <c r="AO806" s="56" t="str">
        <f>IF($A806="","",WEEKDAY($A806,2))</f>
        <v/>
      </c>
      <c r="AP806" s="55" t="str">
        <f>IF(OR($AM806=0,$C806=""),"",IFERROR(N(INDEX(Accounts!$E$7:$E$16,MATCH($C806,Accounts!$B$7:$B$16,0))),0)+SUMIFS($Q$6:$Q806,$C$6:$C806,$C806))</f>
        <v/>
      </c>
      <c r="AQ806" s="55" t="str">
        <f>IF(OR($AM806=0,$C806=""),"",SUMIFS($Q$6:$Q$1005,$C$6:$C$1005,$C806,$A$6:$A$1005,$A806))</f>
        <v/>
      </c>
      <c r="AR806" s="55" t="str">
        <f>IF(OR($AM806=0,$C806=""),"",IFERROR(N(INDEX(Accounts!$E$7:$E$16,MATCH($C806,Accounts!$B$7:$B$16,0))),0)+SUMIFS($Q$6:$Q$1005,$C$6:$C$1005,$C806,$A$6:$A$1005,"&lt;="&amp;$A806))</f>
        <v/>
      </c>
      <c r="AS806" s="56">
        <f>IF(OR($AM806=0,$Q806=""),0,IF(AND($A806&gt;=Lists!$W$6,$A806&lt;=Lists!$W$7,OR(Dashboard!$D$6="All accounts",$C806=Dashboard!$D$6),OR(Dashboard!$D$7="All markets",$AF806=Dashboard!$D$7)),1,0))</f>
        <v>0</v>
      </c>
      <c r="AT806" s="55">
        <f>IF($AS806=1,N(AT805)+$Q806,N(AT805))</f>
        <v>1187.10688</v>
      </c>
      <c r="AU806" s="55">
        <f>MAX(N(AU805),$AT806)</f>
        <v>1187.10688</v>
      </c>
      <c r="AV806" s="55">
        <f>$AT806-$AU806</f>
        <v>0</v>
      </c>
      <c r="AW806" s="56">
        <f>IF($AS806=1,IF($S806="Win",N(AW805)+1,IF($S806="Loss",0,N(AW805))),N(AW805))</f>
        <v>5</v>
      </c>
      <c r="AX806" s="56">
        <f>IF($AS806=1,IF($S806="Loss",N(AX805)+1,IF($S806="Win",0,N(AX805))),N(AX805))</f>
        <v>0</v>
      </c>
      <c r="AY806" s="56" t="str">
        <f>IF($AS806=1,COUNTIF($AS$6:$AS806,1),"")</f>
        <v/>
      </c>
      <c r="AZ806" s="56">
        <f>MIN(800,N(Lists!$W$8))</f>
        <v>28</v>
      </c>
      <c r="BA806" s="56">
        <f>IF($AS806=1,IF(COUNTIFS($A$6:$A806,$A806,$AS$6:$AS806,1)=1,1,0),0)</f>
        <v>0</v>
      </c>
      <c r="BB806" s="55" t="str">
        <f>IF($BA806=1,SUMIFS($Q$6:$Q$1005,$A$6:$A$1005,$A806,$AS$6:$AS$1005,1),"")</f>
        <v/>
      </c>
      <c r="BC806" s="56">
        <f>IF(ISNUMBER($R806),1,0)</f>
        <v>0</v>
      </c>
      <c r="BD806" s="55" t="str">
        <f>IF(ISNUMBER($U806),$U806*$V806,"")</f>
        <v/>
      </c>
      <c r="BE806" s="56" t="str">
        <f>IF($AM806=0,"",IFERROR(MATCH($AF806&amp;"|"&amp;UPPER(TRIM($E806)),Lists!$A$6:$A$205,0),0))</f>
        <v/>
      </c>
      <c r="BF806" s="56" t="str">
        <f>IF($AM806=0,"",IFERROR(MATCH($AF806,Settings!$B$14:$B$18,0),IFERROR(MATCH(Settings!$C$6,Settings!$B$14:$B$18,0),1)))</f>
        <v/>
      </c>
      <c r="BG806" s="58" t="str">
        <f>IF($AM806=0,"",IF(NOT(ISNUMBER($I806)),"No stop; ","")&amp;IF(AND(ISNUMBER($H806),ISNUMBER($I806)),IF(OR(AND($F806&lt;&gt;"Short",$I806&gt;=$H806),AND($F806="Short",$I806&lt;=$H806)),"Stop on wrong side; ",""),"")&amp;IF($F806="","No direction; ","")&amp;IF(AND(ISNUMBER(Settings!$C$22),ISNUMBER($V806)),IF($V806&gt;Settings!$C$22,"Risk over max $; ",""),"")&amp;IF(AND(ISNUMBER(Settings!$C$23),ISNUMBER($V806),ISNUMBER($AP806),IFERROR(N(INDEX(Accounts!$E$7:$E$16,MATCH($C806,Accounts!$B$7:$B$16,0))),0)&gt;0),IF($V806&gt;Settings!$C$23*($AP806-N($Q806)),"Risk over max %; ",""),"")&amp;IF(AND(ISNUMBER(Settings!$C$24),ISNUMBER($N806)),IF($N806&gt;Settings!$C$24,"Leverage over max; ",""),"")&amp;IF(AND(ISNUMBER(Settings!$C$27),ISNUMBER($T806)),IF($T806&lt;Settings!$C$27,"R:R below min; ",""),"")&amp;IF(ISNUMBER(Settings!$C$25),IF(COUNTIFS($A$6:$A806,$A806,$AM$6:$AM806,1)&gt;Settings!$C$25,"Over max trades/day; ",""),"")&amp;IF(ISNUMBER(Settings!$C$26),IF(SUMIFS($Q$5:$Q805,$A$5:$A805,$A806)&lt;=-Settings!$C$26,"Traded after daily max loss; ",""),"")&amp;IF(AND($AG806="",NOT(ISNUMBER($O806))),"Symbol not in Instruments; ","")&amp;IF(AND($AH806="",NOT(ISNUMBER($O806))),"Forex cross: type Gross P&amp;L; ",""))</f>
        <v/>
      </c>
      <c r="BH806" s="56">
        <f>IF(ISNUMBER($Q806),1,0)</f>
        <v>0</v>
      </c>
      <c r="BI806" s="56">
        <f>IF($Y806="",0,1)</f>
        <v>0</v>
      </c>
      <c r="BJ806" s="56">
        <f>IF($AB806="",0,1)</f>
        <v>0</v>
      </c>
      <c r="BK806" s="56">
        <f>IF(AND($BH806=1,$W806&lt;&gt;"OK"),1,0)</f>
        <v>0</v>
      </c>
      <c r="BL806" s="55">
        <f>IF(N($AZ806)=0,0,IFERROR(INDEX($AT$6:$AT$1005,MATCH($AZ806,$AY$6:$AY$1005,0)),0))</f>
        <v>1187.10688</v>
      </c>
      <c r="BM806" s="56">
        <f>IF(ISNUMBER(SEARCH("daily max loss",$BG806)),1,0)</f>
        <v>0</v>
      </c>
    </row>
    <row r="807" ht="18" customHeight="1">
      <c r="A807" s="38" t="n"/>
      <c r="B807" s="39" t="n"/>
      <c r="C807" s="40" t="n"/>
      <c r="D807" s="41" t="n"/>
      <c r="E807" s="41" t="n"/>
      <c r="F807" s="41" t="n"/>
      <c r="G807" s="41" t="n"/>
      <c r="H807" s="42" t="n"/>
      <c r="I807" s="42" t="n"/>
      <c r="J807" s="42" t="n"/>
      <c r="K807" s="42" t="n"/>
      <c r="L807" s="41" t="n"/>
      <c r="M807" s="41" t="n"/>
      <c r="N807" s="41" t="n"/>
      <c r="O807" s="43" t="n"/>
      <c r="P807" s="43" t="n"/>
      <c r="Q807" s="44" t="str">
        <f>IF($AM807=0,"",IF(ISNUMBER($AK807),$AK807-N($AL807),""))</f>
        <v/>
      </c>
      <c r="R807" s="45" t="str">
        <f>IF(OR($Q807="",NOT(ISNUMBER($V807))),"",$AK807/$V807)</f>
        <v/>
      </c>
      <c r="S807" s="46" t="str">
        <f>IF($Q807="","",IF(AND(ISNUMBER($R807),ABS(N($R807))&lt;N(Settings!$C$8)),"Scratch",IF($Q807&gt;0,"Win",IF($Q807&lt;0,"Loss","Scratch"))))</f>
        <v/>
      </c>
      <c r="T807" s="47" t="str">
        <f>IF(OR($AM807=0,NOT(ISNUMBER($H807)),NOT(ISNUMBER($I807)),NOT(ISNUMBER($J807))),"",IF($H807=$I807,"",ROUND(ABS($J807-$H807)/ABS($H807-$I807),6)))</f>
        <v/>
      </c>
      <c r="U807" s="48" t="str">
        <f>IF(OR($S807&lt;&gt;"Win",NOT(ISNUMBER($T807)),NOT(ISNUMBER($R807))),"",MAX(0,$T807-$R807))</f>
        <v/>
      </c>
      <c r="V807" s="49" t="str">
        <f>IF(OR($AM807=0,NOT(ISNUMBER($H807)),NOT(ISNUMBER($I807)),NOT(ISNUMBER($G807))),"",IF(OR($AG807="",$AH807=""),"",IF(ROUND(ABS($H807-$I807)*ABS($G807)*$AG807*$AH807,6)=0,"",ROUND(ABS($H807-$I807)*ABS($G807)*$AG807*$AH807,6))))</f>
        <v/>
      </c>
      <c r="W807" s="50" t="str">
        <f>IF($AM807=0,"",IF($BG807="","OK",LEFT($BG807,LEN($BG807)-2)))</f>
        <v/>
      </c>
      <c r="X807" s="41" t="n"/>
      <c r="Y807" s="40" t="n"/>
      <c r="Z807" s="41" t="n"/>
      <c r="AA807" s="41" t="n"/>
      <c r="AB807" s="40" t="n"/>
      <c r="AC807" s="51" t="n"/>
      <c r="AD807" s="51" t="n"/>
      <c r="AE807" s="40" t="n"/>
      <c r="AF807" s="52" t="str">
        <f>IF($AM807=0,"",IF($D807&lt;&gt;"",$D807,IF(IFERROR(INDEX(Accounts!$C$7:$C$16,MATCH($C807,Accounts!$B$7:$B$16,0))&amp;"","")&lt;&gt;"",INDEX(Accounts!$C$7:$C$16,MATCH($C807,Accounts!$B$7:$B$16,0)),Settings!$C$6)))</f>
        <v/>
      </c>
      <c r="AG807" s="53" t="str">
        <f>IF($AM807=0,"",IF(AND($BE807&gt;0,N(INDEX(Instruments!$D$6:$D$205,MAX(1,$BE807)))&gt;0),INDEX(Instruments!$D$6:$D$205,MAX(1,$BE807)),IF(N(INDEX(Settings!$D$14:$D$18,$BF807))&gt;0,INDEX(Settings!$D$14:$D$18,$BF807),"")))</f>
        <v/>
      </c>
      <c r="AH807" s="54" t="str">
        <f>IF($AM807=0,"",IF($AF807&lt;&gt;"Forex",1,IF(MID(UPPER(SUBSTITUTE(TRIM($E807),"/","")),4,3)=UPPER(TRIM(Settings!$C$7)),1,IF(LEFT(UPPER(SUBSTITUTE(TRIM($E807),"/","")),3)=UPPER(TRIM(Settings!$C$7)),IF(AND(ISNUMBER($K807),N($K807)&lt;&gt;0),1/$K807,""),""))))</f>
        <v/>
      </c>
      <c r="AI807" s="55" t="str">
        <f>IF($AM807=0,"",IF(OR(NOT(ISNUMBER($H807)),NOT(ISNUMBER($K807)),NOT(ISNUMBER($G807)),$AG807="",$AH807=""),"",ROUND(($K807-$H807)*IF($F807="Short",-1,1)*$G807*$AG807*$AH807,6)))</f>
        <v/>
      </c>
      <c r="AJ807" s="55" t="str">
        <f>IF($AM807=0,"",IF(INDEX(Settings!$E$14:$E$18,$BF807)="% of notional",IF(OR($AG807="",NOT(ISNUMBER($H807)),NOT(ISNUMBER($G807))),"",ROUND(ABS($H807*$G807*$AG807*N($AH807))*IF($L807="Limit",N(INDEX(Settings!$G$14:$G$18,$BF807)),N(INDEX(Settings!$H$14:$H$18,$BF807)))+IF(ISNUMBER($K807),ABS($K807*$G807*$AG807*N($AH807))*IF($M807="Target",N(INDEX(Settings!$G$14:$G$18,$BF807)),N(INDEX(Settings!$H$14:$H$18,$BF807))),0),6)),IF(NOT(ISNUMBER($G807)),"",ROUND(ABS($G807)*2*IF(AND($BE807&gt;0,ISNUMBER(INDEX(Instruments!$G$6:$G$205,MAX(1,$BE807)))),INDEX(Instruments!$G$6:$G$205,MAX(1,$BE807)),N(INDEX(Settings!$F$14:$F$18,$BF807))),6))))</f>
        <v/>
      </c>
      <c r="AK807" s="55" t="str">
        <f>IF($AM807=0,"",IF(ISNUMBER($O807),$O807,$AI807))</f>
        <v/>
      </c>
      <c r="AL807" s="55" t="str">
        <f>IF($AM807=0,"",IF(ISNUMBER($P807),$P807,N($AJ807)))</f>
        <v/>
      </c>
      <c r="AM807" s="56">
        <f>IF(AND($A807&lt;&gt;"",$E807&lt;&gt;"",OR(AND(ISNUMBER($G807),ISNUMBER($H807),ISNUMBER($K807)),ISNUMBER($O807))),1,0)</f>
        <v>0</v>
      </c>
      <c r="AN807" s="57" t="str">
        <f>IF($A807="","",$A807-WEEKDAY($A807,3))</f>
        <v/>
      </c>
      <c r="AO807" s="56" t="str">
        <f>IF($A807="","",WEEKDAY($A807,2))</f>
        <v/>
      </c>
      <c r="AP807" s="55" t="str">
        <f>IF(OR($AM807=0,$C807=""),"",IFERROR(N(INDEX(Accounts!$E$7:$E$16,MATCH($C807,Accounts!$B$7:$B$16,0))),0)+SUMIFS($Q$6:$Q807,$C$6:$C807,$C807))</f>
        <v/>
      </c>
      <c r="AQ807" s="55" t="str">
        <f>IF(OR($AM807=0,$C807=""),"",SUMIFS($Q$6:$Q$1005,$C$6:$C$1005,$C807,$A$6:$A$1005,$A807))</f>
        <v/>
      </c>
      <c r="AR807" s="55" t="str">
        <f>IF(OR($AM807=0,$C807=""),"",IFERROR(N(INDEX(Accounts!$E$7:$E$16,MATCH($C807,Accounts!$B$7:$B$16,0))),0)+SUMIFS($Q$6:$Q$1005,$C$6:$C$1005,$C807,$A$6:$A$1005,"&lt;="&amp;$A807))</f>
        <v/>
      </c>
      <c r="AS807" s="56">
        <f>IF(OR($AM807=0,$Q807=""),0,IF(AND($A807&gt;=Lists!$W$6,$A807&lt;=Lists!$W$7,OR(Dashboard!$D$6="All accounts",$C807=Dashboard!$D$6),OR(Dashboard!$D$7="All markets",$AF807=Dashboard!$D$7)),1,0))</f>
        <v>0</v>
      </c>
      <c r="AT807" s="55">
        <f>IF($AS807=1,N(AT806)+$Q807,N(AT806))</f>
        <v>1187.10688</v>
      </c>
      <c r="AU807" s="55">
        <f>MAX(N(AU806),$AT807)</f>
        <v>1187.10688</v>
      </c>
      <c r="AV807" s="55">
        <f>$AT807-$AU807</f>
        <v>0</v>
      </c>
      <c r="AW807" s="56">
        <f>IF($AS807=1,IF($S807="Win",N(AW806)+1,IF($S807="Loss",0,N(AW806))),N(AW806))</f>
        <v>5</v>
      </c>
      <c r="AX807" s="56">
        <f>IF($AS807=1,IF($S807="Loss",N(AX806)+1,IF($S807="Win",0,N(AX806))),N(AX806))</f>
        <v>0</v>
      </c>
      <c r="AY807" s="56" t="str">
        <f>IF($AS807=1,COUNTIF($AS$6:$AS807,1),"")</f>
        <v/>
      </c>
      <c r="AZ807" s="56">
        <f>MIN(801,N(Lists!$W$8))</f>
        <v>28</v>
      </c>
      <c r="BA807" s="56">
        <f>IF($AS807=1,IF(COUNTIFS($A$6:$A807,$A807,$AS$6:$AS807,1)=1,1,0),0)</f>
        <v>0</v>
      </c>
      <c r="BB807" s="55" t="str">
        <f>IF($BA807=1,SUMIFS($Q$6:$Q$1005,$A$6:$A$1005,$A807,$AS$6:$AS$1005,1),"")</f>
        <v/>
      </c>
      <c r="BC807" s="56">
        <f>IF(ISNUMBER($R807),1,0)</f>
        <v>0</v>
      </c>
      <c r="BD807" s="55" t="str">
        <f>IF(ISNUMBER($U807),$U807*$V807,"")</f>
        <v/>
      </c>
      <c r="BE807" s="56" t="str">
        <f>IF($AM807=0,"",IFERROR(MATCH($AF807&amp;"|"&amp;UPPER(TRIM($E807)),Lists!$A$6:$A$205,0),0))</f>
        <v/>
      </c>
      <c r="BF807" s="56" t="str">
        <f>IF($AM807=0,"",IFERROR(MATCH($AF807,Settings!$B$14:$B$18,0),IFERROR(MATCH(Settings!$C$6,Settings!$B$14:$B$18,0),1)))</f>
        <v/>
      </c>
      <c r="BG807" s="58" t="str">
        <f>IF($AM807=0,"",IF(NOT(ISNUMBER($I807)),"No stop; ","")&amp;IF(AND(ISNUMBER($H807),ISNUMBER($I807)),IF(OR(AND($F807&lt;&gt;"Short",$I807&gt;=$H807),AND($F807="Short",$I807&lt;=$H807)),"Stop on wrong side; ",""),"")&amp;IF($F807="","No direction; ","")&amp;IF(AND(ISNUMBER(Settings!$C$22),ISNUMBER($V807)),IF($V807&gt;Settings!$C$22,"Risk over max $; ",""),"")&amp;IF(AND(ISNUMBER(Settings!$C$23),ISNUMBER($V807),ISNUMBER($AP807),IFERROR(N(INDEX(Accounts!$E$7:$E$16,MATCH($C807,Accounts!$B$7:$B$16,0))),0)&gt;0),IF($V807&gt;Settings!$C$23*($AP807-N($Q807)),"Risk over max %; ",""),"")&amp;IF(AND(ISNUMBER(Settings!$C$24),ISNUMBER($N807)),IF($N807&gt;Settings!$C$24,"Leverage over max; ",""),"")&amp;IF(AND(ISNUMBER(Settings!$C$27),ISNUMBER($T807)),IF($T807&lt;Settings!$C$27,"R:R below min; ",""),"")&amp;IF(ISNUMBER(Settings!$C$25),IF(COUNTIFS($A$6:$A807,$A807,$AM$6:$AM807,1)&gt;Settings!$C$25,"Over max trades/day; ",""),"")&amp;IF(ISNUMBER(Settings!$C$26),IF(SUMIFS($Q$5:$Q806,$A$5:$A806,$A807)&lt;=-Settings!$C$26,"Traded after daily max loss; ",""),"")&amp;IF(AND($AG807="",NOT(ISNUMBER($O807))),"Symbol not in Instruments; ","")&amp;IF(AND($AH807="",NOT(ISNUMBER($O807))),"Forex cross: type Gross P&amp;L; ",""))</f>
        <v/>
      </c>
      <c r="BH807" s="56">
        <f>IF(ISNUMBER($Q807),1,0)</f>
        <v>0</v>
      </c>
      <c r="BI807" s="56">
        <f>IF($Y807="",0,1)</f>
        <v>0</v>
      </c>
      <c r="BJ807" s="56">
        <f>IF($AB807="",0,1)</f>
        <v>0</v>
      </c>
      <c r="BK807" s="56">
        <f>IF(AND($BH807=1,$W807&lt;&gt;"OK"),1,0)</f>
        <v>0</v>
      </c>
      <c r="BL807" s="55">
        <f>IF(N($AZ807)=0,0,IFERROR(INDEX($AT$6:$AT$1005,MATCH($AZ807,$AY$6:$AY$1005,0)),0))</f>
        <v>1187.10688</v>
      </c>
      <c r="BM807" s="56">
        <f>IF(ISNUMBER(SEARCH("daily max loss",$BG807)),1,0)</f>
        <v>0</v>
      </c>
    </row>
    <row r="808" ht="18" customHeight="1">
      <c r="A808" s="38" t="n"/>
      <c r="B808" s="39" t="n"/>
      <c r="C808" s="40" t="n"/>
      <c r="D808" s="41" t="n"/>
      <c r="E808" s="41" t="n"/>
      <c r="F808" s="41" t="n"/>
      <c r="G808" s="41" t="n"/>
      <c r="H808" s="42" t="n"/>
      <c r="I808" s="42" t="n"/>
      <c r="J808" s="42" t="n"/>
      <c r="K808" s="42" t="n"/>
      <c r="L808" s="41" t="n"/>
      <c r="M808" s="41" t="n"/>
      <c r="N808" s="41" t="n"/>
      <c r="O808" s="43" t="n"/>
      <c r="P808" s="43" t="n"/>
      <c r="Q808" s="44" t="str">
        <f>IF($AM808=0,"",IF(ISNUMBER($AK808),$AK808-N($AL808),""))</f>
        <v/>
      </c>
      <c r="R808" s="45" t="str">
        <f>IF(OR($Q808="",NOT(ISNUMBER($V808))),"",$AK808/$V808)</f>
        <v/>
      </c>
      <c r="S808" s="46" t="str">
        <f>IF($Q808="","",IF(AND(ISNUMBER($R808),ABS(N($R808))&lt;N(Settings!$C$8)),"Scratch",IF($Q808&gt;0,"Win",IF($Q808&lt;0,"Loss","Scratch"))))</f>
        <v/>
      </c>
      <c r="T808" s="47" t="str">
        <f>IF(OR($AM808=0,NOT(ISNUMBER($H808)),NOT(ISNUMBER($I808)),NOT(ISNUMBER($J808))),"",IF($H808=$I808,"",ROUND(ABS($J808-$H808)/ABS($H808-$I808),6)))</f>
        <v/>
      </c>
      <c r="U808" s="48" t="str">
        <f>IF(OR($S808&lt;&gt;"Win",NOT(ISNUMBER($T808)),NOT(ISNUMBER($R808))),"",MAX(0,$T808-$R808))</f>
        <v/>
      </c>
      <c r="V808" s="49" t="str">
        <f>IF(OR($AM808=0,NOT(ISNUMBER($H808)),NOT(ISNUMBER($I808)),NOT(ISNUMBER($G808))),"",IF(OR($AG808="",$AH808=""),"",IF(ROUND(ABS($H808-$I808)*ABS($G808)*$AG808*$AH808,6)=0,"",ROUND(ABS($H808-$I808)*ABS($G808)*$AG808*$AH808,6))))</f>
        <v/>
      </c>
      <c r="W808" s="50" t="str">
        <f>IF($AM808=0,"",IF($BG808="","OK",LEFT($BG808,LEN($BG808)-2)))</f>
        <v/>
      </c>
      <c r="X808" s="41" t="n"/>
      <c r="Y808" s="40" t="n"/>
      <c r="Z808" s="41" t="n"/>
      <c r="AA808" s="41" t="n"/>
      <c r="AB808" s="40" t="n"/>
      <c r="AC808" s="51" t="n"/>
      <c r="AD808" s="51" t="n"/>
      <c r="AE808" s="40" t="n"/>
      <c r="AF808" s="52" t="str">
        <f>IF($AM808=0,"",IF($D808&lt;&gt;"",$D808,IF(IFERROR(INDEX(Accounts!$C$7:$C$16,MATCH($C808,Accounts!$B$7:$B$16,0))&amp;"","")&lt;&gt;"",INDEX(Accounts!$C$7:$C$16,MATCH($C808,Accounts!$B$7:$B$16,0)),Settings!$C$6)))</f>
        <v/>
      </c>
      <c r="AG808" s="53" t="str">
        <f>IF($AM808=0,"",IF(AND($BE808&gt;0,N(INDEX(Instruments!$D$6:$D$205,MAX(1,$BE808)))&gt;0),INDEX(Instruments!$D$6:$D$205,MAX(1,$BE808)),IF(N(INDEX(Settings!$D$14:$D$18,$BF808))&gt;0,INDEX(Settings!$D$14:$D$18,$BF808),"")))</f>
        <v/>
      </c>
      <c r="AH808" s="54" t="str">
        <f>IF($AM808=0,"",IF($AF808&lt;&gt;"Forex",1,IF(MID(UPPER(SUBSTITUTE(TRIM($E808),"/","")),4,3)=UPPER(TRIM(Settings!$C$7)),1,IF(LEFT(UPPER(SUBSTITUTE(TRIM($E808),"/","")),3)=UPPER(TRIM(Settings!$C$7)),IF(AND(ISNUMBER($K808),N($K808)&lt;&gt;0),1/$K808,""),""))))</f>
        <v/>
      </c>
      <c r="AI808" s="55" t="str">
        <f>IF($AM808=0,"",IF(OR(NOT(ISNUMBER($H808)),NOT(ISNUMBER($K808)),NOT(ISNUMBER($G808)),$AG808="",$AH808=""),"",ROUND(($K808-$H808)*IF($F808="Short",-1,1)*$G808*$AG808*$AH808,6)))</f>
        <v/>
      </c>
      <c r="AJ808" s="55" t="str">
        <f>IF($AM808=0,"",IF(INDEX(Settings!$E$14:$E$18,$BF808)="% of notional",IF(OR($AG808="",NOT(ISNUMBER($H808)),NOT(ISNUMBER($G808))),"",ROUND(ABS($H808*$G808*$AG808*N($AH808))*IF($L808="Limit",N(INDEX(Settings!$G$14:$G$18,$BF808)),N(INDEX(Settings!$H$14:$H$18,$BF808)))+IF(ISNUMBER($K808),ABS($K808*$G808*$AG808*N($AH808))*IF($M808="Target",N(INDEX(Settings!$G$14:$G$18,$BF808)),N(INDEX(Settings!$H$14:$H$18,$BF808))),0),6)),IF(NOT(ISNUMBER($G808)),"",ROUND(ABS($G808)*2*IF(AND($BE808&gt;0,ISNUMBER(INDEX(Instruments!$G$6:$G$205,MAX(1,$BE808)))),INDEX(Instruments!$G$6:$G$205,MAX(1,$BE808)),N(INDEX(Settings!$F$14:$F$18,$BF808))),6))))</f>
        <v/>
      </c>
      <c r="AK808" s="55" t="str">
        <f>IF($AM808=0,"",IF(ISNUMBER($O808),$O808,$AI808))</f>
        <v/>
      </c>
      <c r="AL808" s="55" t="str">
        <f>IF($AM808=0,"",IF(ISNUMBER($P808),$P808,N($AJ808)))</f>
        <v/>
      </c>
      <c r="AM808" s="56">
        <f>IF(AND($A808&lt;&gt;"",$E808&lt;&gt;"",OR(AND(ISNUMBER($G808),ISNUMBER($H808),ISNUMBER($K808)),ISNUMBER($O808))),1,0)</f>
        <v>0</v>
      </c>
      <c r="AN808" s="57" t="str">
        <f>IF($A808="","",$A808-WEEKDAY($A808,3))</f>
        <v/>
      </c>
      <c r="AO808" s="56" t="str">
        <f>IF($A808="","",WEEKDAY($A808,2))</f>
        <v/>
      </c>
      <c r="AP808" s="55" t="str">
        <f>IF(OR($AM808=0,$C808=""),"",IFERROR(N(INDEX(Accounts!$E$7:$E$16,MATCH($C808,Accounts!$B$7:$B$16,0))),0)+SUMIFS($Q$6:$Q808,$C$6:$C808,$C808))</f>
        <v/>
      </c>
      <c r="AQ808" s="55" t="str">
        <f>IF(OR($AM808=0,$C808=""),"",SUMIFS($Q$6:$Q$1005,$C$6:$C$1005,$C808,$A$6:$A$1005,$A808))</f>
        <v/>
      </c>
      <c r="AR808" s="55" t="str">
        <f>IF(OR($AM808=0,$C808=""),"",IFERROR(N(INDEX(Accounts!$E$7:$E$16,MATCH($C808,Accounts!$B$7:$B$16,0))),0)+SUMIFS($Q$6:$Q$1005,$C$6:$C$1005,$C808,$A$6:$A$1005,"&lt;="&amp;$A808))</f>
        <v/>
      </c>
      <c r="AS808" s="56">
        <f>IF(OR($AM808=0,$Q808=""),0,IF(AND($A808&gt;=Lists!$W$6,$A808&lt;=Lists!$W$7,OR(Dashboard!$D$6="All accounts",$C808=Dashboard!$D$6),OR(Dashboard!$D$7="All markets",$AF808=Dashboard!$D$7)),1,0))</f>
        <v>0</v>
      </c>
      <c r="AT808" s="55">
        <f>IF($AS808=1,N(AT807)+$Q808,N(AT807))</f>
        <v>1187.10688</v>
      </c>
      <c r="AU808" s="55">
        <f>MAX(N(AU807),$AT808)</f>
        <v>1187.10688</v>
      </c>
      <c r="AV808" s="55">
        <f>$AT808-$AU808</f>
        <v>0</v>
      </c>
      <c r="AW808" s="56">
        <f>IF($AS808=1,IF($S808="Win",N(AW807)+1,IF($S808="Loss",0,N(AW807))),N(AW807))</f>
        <v>5</v>
      </c>
      <c r="AX808" s="56">
        <f>IF($AS808=1,IF($S808="Loss",N(AX807)+1,IF($S808="Win",0,N(AX807))),N(AX807))</f>
        <v>0</v>
      </c>
      <c r="AY808" s="56" t="str">
        <f>IF($AS808=1,COUNTIF($AS$6:$AS808,1),"")</f>
        <v/>
      </c>
      <c r="AZ808" s="56">
        <f>MIN(802,N(Lists!$W$8))</f>
        <v>28</v>
      </c>
      <c r="BA808" s="56">
        <f>IF($AS808=1,IF(COUNTIFS($A$6:$A808,$A808,$AS$6:$AS808,1)=1,1,0),0)</f>
        <v>0</v>
      </c>
      <c r="BB808" s="55" t="str">
        <f>IF($BA808=1,SUMIFS($Q$6:$Q$1005,$A$6:$A$1005,$A808,$AS$6:$AS$1005,1),"")</f>
        <v/>
      </c>
      <c r="BC808" s="56">
        <f>IF(ISNUMBER($R808),1,0)</f>
        <v>0</v>
      </c>
      <c r="BD808" s="55" t="str">
        <f>IF(ISNUMBER($U808),$U808*$V808,"")</f>
        <v/>
      </c>
      <c r="BE808" s="56" t="str">
        <f>IF($AM808=0,"",IFERROR(MATCH($AF808&amp;"|"&amp;UPPER(TRIM($E808)),Lists!$A$6:$A$205,0),0))</f>
        <v/>
      </c>
      <c r="BF808" s="56" t="str">
        <f>IF($AM808=0,"",IFERROR(MATCH($AF808,Settings!$B$14:$B$18,0),IFERROR(MATCH(Settings!$C$6,Settings!$B$14:$B$18,0),1)))</f>
        <v/>
      </c>
      <c r="BG808" s="58" t="str">
        <f>IF($AM808=0,"",IF(NOT(ISNUMBER($I808)),"No stop; ","")&amp;IF(AND(ISNUMBER($H808),ISNUMBER($I808)),IF(OR(AND($F808&lt;&gt;"Short",$I808&gt;=$H808),AND($F808="Short",$I808&lt;=$H808)),"Stop on wrong side; ",""),"")&amp;IF($F808="","No direction; ","")&amp;IF(AND(ISNUMBER(Settings!$C$22),ISNUMBER($V808)),IF($V808&gt;Settings!$C$22,"Risk over max $; ",""),"")&amp;IF(AND(ISNUMBER(Settings!$C$23),ISNUMBER($V808),ISNUMBER($AP808),IFERROR(N(INDEX(Accounts!$E$7:$E$16,MATCH($C808,Accounts!$B$7:$B$16,0))),0)&gt;0),IF($V808&gt;Settings!$C$23*($AP808-N($Q808)),"Risk over max %; ",""),"")&amp;IF(AND(ISNUMBER(Settings!$C$24),ISNUMBER($N808)),IF($N808&gt;Settings!$C$24,"Leverage over max; ",""),"")&amp;IF(AND(ISNUMBER(Settings!$C$27),ISNUMBER($T808)),IF($T808&lt;Settings!$C$27,"R:R below min; ",""),"")&amp;IF(ISNUMBER(Settings!$C$25),IF(COUNTIFS($A$6:$A808,$A808,$AM$6:$AM808,1)&gt;Settings!$C$25,"Over max trades/day; ",""),"")&amp;IF(ISNUMBER(Settings!$C$26),IF(SUMIFS($Q$5:$Q807,$A$5:$A807,$A808)&lt;=-Settings!$C$26,"Traded after daily max loss; ",""),"")&amp;IF(AND($AG808="",NOT(ISNUMBER($O808))),"Symbol not in Instruments; ","")&amp;IF(AND($AH808="",NOT(ISNUMBER($O808))),"Forex cross: type Gross P&amp;L; ",""))</f>
        <v/>
      </c>
      <c r="BH808" s="56">
        <f>IF(ISNUMBER($Q808),1,0)</f>
        <v>0</v>
      </c>
      <c r="BI808" s="56">
        <f>IF($Y808="",0,1)</f>
        <v>0</v>
      </c>
      <c r="BJ808" s="56">
        <f>IF($AB808="",0,1)</f>
        <v>0</v>
      </c>
      <c r="BK808" s="56">
        <f>IF(AND($BH808=1,$W808&lt;&gt;"OK"),1,0)</f>
        <v>0</v>
      </c>
      <c r="BL808" s="55">
        <f>IF(N($AZ808)=0,0,IFERROR(INDEX($AT$6:$AT$1005,MATCH($AZ808,$AY$6:$AY$1005,0)),0))</f>
        <v>1187.10688</v>
      </c>
      <c r="BM808" s="56">
        <f>IF(ISNUMBER(SEARCH("daily max loss",$BG808)),1,0)</f>
        <v>0</v>
      </c>
    </row>
    <row r="809" ht="18" customHeight="1">
      <c r="A809" s="38" t="n"/>
      <c r="B809" s="39" t="n"/>
      <c r="C809" s="40" t="n"/>
      <c r="D809" s="41" t="n"/>
      <c r="E809" s="41" t="n"/>
      <c r="F809" s="41" t="n"/>
      <c r="G809" s="41" t="n"/>
      <c r="H809" s="42" t="n"/>
      <c r="I809" s="42" t="n"/>
      <c r="J809" s="42" t="n"/>
      <c r="K809" s="42" t="n"/>
      <c r="L809" s="41" t="n"/>
      <c r="M809" s="41" t="n"/>
      <c r="N809" s="41" t="n"/>
      <c r="O809" s="43" t="n"/>
      <c r="P809" s="43" t="n"/>
      <c r="Q809" s="44" t="str">
        <f>IF($AM809=0,"",IF(ISNUMBER($AK809),$AK809-N($AL809),""))</f>
        <v/>
      </c>
      <c r="R809" s="45" t="str">
        <f>IF(OR($Q809="",NOT(ISNUMBER($V809))),"",$AK809/$V809)</f>
        <v/>
      </c>
      <c r="S809" s="46" t="str">
        <f>IF($Q809="","",IF(AND(ISNUMBER($R809),ABS(N($R809))&lt;N(Settings!$C$8)),"Scratch",IF($Q809&gt;0,"Win",IF($Q809&lt;0,"Loss","Scratch"))))</f>
        <v/>
      </c>
      <c r="T809" s="47" t="str">
        <f>IF(OR($AM809=0,NOT(ISNUMBER($H809)),NOT(ISNUMBER($I809)),NOT(ISNUMBER($J809))),"",IF($H809=$I809,"",ROUND(ABS($J809-$H809)/ABS($H809-$I809),6)))</f>
        <v/>
      </c>
      <c r="U809" s="48" t="str">
        <f>IF(OR($S809&lt;&gt;"Win",NOT(ISNUMBER($T809)),NOT(ISNUMBER($R809))),"",MAX(0,$T809-$R809))</f>
        <v/>
      </c>
      <c r="V809" s="49" t="str">
        <f>IF(OR($AM809=0,NOT(ISNUMBER($H809)),NOT(ISNUMBER($I809)),NOT(ISNUMBER($G809))),"",IF(OR($AG809="",$AH809=""),"",IF(ROUND(ABS($H809-$I809)*ABS($G809)*$AG809*$AH809,6)=0,"",ROUND(ABS($H809-$I809)*ABS($G809)*$AG809*$AH809,6))))</f>
        <v/>
      </c>
      <c r="W809" s="50" t="str">
        <f>IF($AM809=0,"",IF($BG809="","OK",LEFT($BG809,LEN($BG809)-2)))</f>
        <v/>
      </c>
      <c r="X809" s="41" t="n"/>
      <c r="Y809" s="40" t="n"/>
      <c r="Z809" s="41" t="n"/>
      <c r="AA809" s="41" t="n"/>
      <c r="AB809" s="40" t="n"/>
      <c r="AC809" s="51" t="n"/>
      <c r="AD809" s="51" t="n"/>
      <c r="AE809" s="40" t="n"/>
      <c r="AF809" s="52" t="str">
        <f>IF($AM809=0,"",IF($D809&lt;&gt;"",$D809,IF(IFERROR(INDEX(Accounts!$C$7:$C$16,MATCH($C809,Accounts!$B$7:$B$16,0))&amp;"","")&lt;&gt;"",INDEX(Accounts!$C$7:$C$16,MATCH($C809,Accounts!$B$7:$B$16,0)),Settings!$C$6)))</f>
        <v/>
      </c>
      <c r="AG809" s="53" t="str">
        <f>IF($AM809=0,"",IF(AND($BE809&gt;0,N(INDEX(Instruments!$D$6:$D$205,MAX(1,$BE809)))&gt;0),INDEX(Instruments!$D$6:$D$205,MAX(1,$BE809)),IF(N(INDEX(Settings!$D$14:$D$18,$BF809))&gt;0,INDEX(Settings!$D$14:$D$18,$BF809),"")))</f>
        <v/>
      </c>
      <c r="AH809" s="54" t="str">
        <f>IF($AM809=0,"",IF($AF809&lt;&gt;"Forex",1,IF(MID(UPPER(SUBSTITUTE(TRIM($E809),"/","")),4,3)=UPPER(TRIM(Settings!$C$7)),1,IF(LEFT(UPPER(SUBSTITUTE(TRIM($E809),"/","")),3)=UPPER(TRIM(Settings!$C$7)),IF(AND(ISNUMBER($K809),N($K809)&lt;&gt;0),1/$K809,""),""))))</f>
        <v/>
      </c>
      <c r="AI809" s="55" t="str">
        <f>IF($AM809=0,"",IF(OR(NOT(ISNUMBER($H809)),NOT(ISNUMBER($K809)),NOT(ISNUMBER($G809)),$AG809="",$AH809=""),"",ROUND(($K809-$H809)*IF($F809="Short",-1,1)*$G809*$AG809*$AH809,6)))</f>
        <v/>
      </c>
      <c r="AJ809" s="55" t="str">
        <f>IF($AM809=0,"",IF(INDEX(Settings!$E$14:$E$18,$BF809)="% of notional",IF(OR($AG809="",NOT(ISNUMBER($H809)),NOT(ISNUMBER($G809))),"",ROUND(ABS($H809*$G809*$AG809*N($AH809))*IF($L809="Limit",N(INDEX(Settings!$G$14:$G$18,$BF809)),N(INDEX(Settings!$H$14:$H$18,$BF809)))+IF(ISNUMBER($K809),ABS($K809*$G809*$AG809*N($AH809))*IF($M809="Target",N(INDEX(Settings!$G$14:$G$18,$BF809)),N(INDEX(Settings!$H$14:$H$18,$BF809))),0),6)),IF(NOT(ISNUMBER($G809)),"",ROUND(ABS($G809)*2*IF(AND($BE809&gt;0,ISNUMBER(INDEX(Instruments!$G$6:$G$205,MAX(1,$BE809)))),INDEX(Instruments!$G$6:$G$205,MAX(1,$BE809)),N(INDEX(Settings!$F$14:$F$18,$BF809))),6))))</f>
        <v/>
      </c>
      <c r="AK809" s="55" t="str">
        <f>IF($AM809=0,"",IF(ISNUMBER($O809),$O809,$AI809))</f>
        <v/>
      </c>
      <c r="AL809" s="55" t="str">
        <f>IF($AM809=0,"",IF(ISNUMBER($P809),$P809,N($AJ809)))</f>
        <v/>
      </c>
      <c r="AM809" s="56">
        <f>IF(AND($A809&lt;&gt;"",$E809&lt;&gt;"",OR(AND(ISNUMBER($G809),ISNUMBER($H809),ISNUMBER($K809)),ISNUMBER($O809))),1,0)</f>
        <v>0</v>
      </c>
      <c r="AN809" s="57" t="str">
        <f>IF($A809="","",$A809-WEEKDAY($A809,3))</f>
        <v/>
      </c>
      <c r="AO809" s="56" t="str">
        <f>IF($A809="","",WEEKDAY($A809,2))</f>
        <v/>
      </c>
      <c r="AP809" s="55" t="str">
        <f>IF(OR($AM809=0,$C809=""),"",IFERROR(N(INDEX(Accounts!$E$7:$E$16,MATCH($C809,Accounts!$B$7:$B$16,0))),0)+SUMIFS($Q$6:$Q809,$C$6:$C809,$C809))</f>
        <v/>
      </c>
      <c r="AQ809" s="55" t="str">
        <f>IF(OR($AM809=0,$C809=""),"",SUMIFS($Q$6:$Q$1005,$C$6:$C$1005,$C809,$A$6:$A$1005,$A809))</f>
        <v/>
      </c>
      <c r="AR809" s="55" t="str">
        <f>IF(OR($AM809=0,$C809=""),"",IFERROR(N(INDEX(Accounts!$E$7:$E$16,MATCH($C809,Accounts!$B$7:$B$16,0))),0)+SUMIFS($Q$6:$Q$1005,$C$6:$C$1005,$C809,$A$6:$A$1005,"&lt;="&amp;$A809))</f>
        <v/>
      </c>
      <c r="AS809" s="56">
        <f>IF(OR($AM809=0,$Q809=""),0,IF(AND($A809&gt;=Lists!$W$6,$A809&lt;=Lists!$W$7,OR(Dashboard!$D$6="All accounts",$C809=Dashboard!$D$6),OR(Dashboard!$D$7="All markets",$AF809=Dashboard!$D$7)),1,0))</f>
        <v>0</v>
      </c>
      <c r="AT809" s="55">
        <f>IF($AS809=1,N(AT808)+$Q809,N(AT808))</f>
        <v>1187.10688</v>
      </c>
      <c r="AU809" s="55">
        <f>MAX(N(AU808),$AT809)</f>
        <v>1187.10688</v>
      </c>
      <c r="AV809" s="55">
        <f>$AT809-$AU809</f>
        <v>0</v>
      </c>
      <c r="AW809" s="56">
        <f>IF($AS809=1,IF($S809="Win",N(AW808)+1,IF($S809="Loss",0,N(AW808))),N(AW808))</f>
        <v>5</v>
      </c>
      <c r="AX809" s="56">
        <f>IF($AS809=1,IF($S809="Loss",N(AX808)+1,IF($S809="Win",0,N(AX808))),N(AX808))</f>
        <v>0</v>
      </c>
      <c r="AY809" s="56" t="str">
        <f>IF($AS809=1,COUNTIF($AS$6:$AS809,1),"")</f>
        <v/>
      </c>
      <c r="AZ809" s="56">
        <f>MIN(803,N(Lists!$W$8))</f>
        <v>28</v>
      </c>
      <c r="BA809" s="56">
        <f>IF($AS809=1,IF(COUNTIFS($A$6:$A809,$A809,$AS$6:$AS809,1)=1,1,0),0)</f>
        <v>0</v>
      </c>
      <c r="BB809" s="55" t="str">
        <f>IF($BA809=1,SUMIFS($Q$6:$Q$1005,$A$6:$A$1005,$A809,$AS$6:$AS$1005,1),"")</f>
        <v/>
      </c>
      <c r="BC809" s="56">
        <f>IF(ISNUMBER($R809),1,0)</f>
        <v>0</v>
      </c>
      <c r="BD809" s="55" t="str">
        <f>IF(ISNUMBER($U809),$U809*$V809,"")</f>
        <v/>
      </c>
      <c r="BE809" s="56" t="str">
        <f>IF($AM809=0,"",IFERROR(MATCH($AF809&amp;"|"&amp;UPPER(TRIM($E809)),Lists!$A$6:$A$205,0),0))</f>
        <v/>
      </c>
      <c r="BF809" s="56" t="str">
        <f>IF($AM809=0,"",IFERROR(MATCH($AF809,Settings!$B$14:$B$18,0),IFERROR(MATCH(Settings!$C$6,Settings!$B$14:$B$18,0),1)))</f>
        <v/>
      </c>
      <c r="BG809" s="58" t="str">
        <f>IF($AM809=0,"",IF(NOT(ISNUMBER($I809)),"No stop; ","")&amp;IF(AND(ISNUMBER($H809),ISNUMBER($I809)),IF(OR(AND($F809&lt;&gt;"Short",$I809&gt;=$H809),AND($F809="Short",$I809&lt;=$H809)),"Stop on wrong side; ",""),"")&amp;IF($F809="","No direction; ","")&amp;IF(AND(ISNUMBER(Settings!$C$22),ISNUMBER($V809)),IF($V809&gt;Settings!$C$22,"Risk over max $; ",""),"")&amp;IF(AND(ISNUMBER(Settings!$C$23),ISNUMBER($V809),ISNUMBER($AP809),IFERROR(N(INDEX(Accounts!$E$7:$E$16,MATCH($C809,Accounts!$B$7:$B$16,0))),0)&gt;0),IF($V809&gt;Settings!$C$23*($AP809-N($Q809)),"Risk over max %; ",""),"")&amp;IF(AND(ISNUMBER(Settings!$C$24),ISNUMBER($N809)),IF($N809&gt;Settings!$C$24,"Leverage over max; ",""),"")&amp;IF(AND(ISNUMBER(Settings!$C$27),ISNUMBER($T809)),IF($T809&lt;Settings!$C$27,"R:R below min; ",""),"")&amp;IF(ISNUMBER(Settings!$C$25),IF(COUNTIFS($A$6:$A809,$A809,$AM$6:$AM809,1)&gt;Settings!$C$25,"Over max trades/day; ",""),"")&amp;IF(ISNUMBER(Settings!$C$26),IF(SUMIFS($Q$5:$Q808,$A$5:$A808,$A809)&lt;=-Settings!$C$26,"Traded after daily max loss; ",""),"")&amp;IF(AND($AG809="",NOT(ISNUMBER($O809))),"Symbol not in Instruments; ","")&amp;IF(AND($AH809="",NOT(ISNUMBER($O809))),"Forex cross: type Gross P&amp;L; ",""))</f>
        <v/>
      </c>
      <c r="BH809" s="56">
        <f>IF(ISNUMBER($Q809),1,0)</f>
        <v>0</v>
      </c>
      <c r="BI809" s="56">
        <f>IF($Y809="",0,1)</f>
        <v>0</v>
      </c>
      <c r="BJ809" s="56">
        <f>IF($AB809="",0,1)</f>
        <v>0</v>
      </c>
      <c r="BK809" s="56">
        <f>IF(AND($BH809=1,$W809&lt;&gt;"OK"),1,0)</f>
        <v>0</v>
      </c>
      <c r="BL809" s="55">
        <f>IF(N($AZ809)=0,0,IFERROR(INDEX($AT$6:$AT$1005,MATCH($AZ809,$AY$6:$AY$1005,0)),0))</f>
        <v>1187.10688</v>
      </c>
      <c r="BM809" s="56">
        <f>IF(ISNUMBER(SEARCH("daily max loss",$BG809)),1,0)</f>
        <v>0</v>
      </c>
    </row>
    <row r="810" ht="18" customHeight="1">
      <c r="A810" s="38" t="n"/>
      <c r="B810" s="39" t="n"/>
      <c r="C810" s="40" t="n"/>
      <c r="D810" s="41" t="n"/>
      <c r="E810" s="41" t="n"/>
      <c r="F810" s="41" t="n"/>
      <c r="G810" s="41" t="n"/>
      <c r="H810" s="42" t="n"/>
      <c r="I810" s="42" t="n"/>
      <c r="J810" s="42" t="n"/>
      <c r="K810" s="42" t="n"/>
      <c r="L810" s="41" t="n"/>
      <c r="M810" s="41" t="n"/>
      <c r="N810" s="41" t="n"/>
      <c r="O810" s="43" t="n"/>
      <c r="P810" s="43" t="n"/>
      <c r="Q810" s="44" t="str">
        <f>IF($AM810=0,"",IF(ISNUMBER($AK810),$AK810-N($AL810),""))</f>
        <v/>
      </c>
      <c r="R810" s="45" t="str">
        <f>IF(OR($Q810="",NOT(ISNUMBER($V810))),"",$AK810/$V810)</f>
        <v/>
      </c>
      <c r="S810" s="46" t="str">
        <f>IF($Q810="","",IF(AND(ISNUMBER($R810),ABS(N($R810))&lt;N(Settings!$C$8)),"Scratch",IF($Q810&gt;0,"Win",IF($Q810&lt;0,"Loss","Scratch"))))</f>
        <v/>
      </c>
      <c r="T810" s="47" t="str">
        <f>IF(OR($AM810=0,NOT(ISNUMBER($H810)),NOT(ISNUMBER($I810)),NOT(ISNUMBER($J810))),"",IF($H810=$I810,"",ROUND(ABS($J810-$H810)/ABS($H810-$I810),6)))</f>
        <v/>
      </c>
      <c r="U810" s="48" t="str">
        <f>IF(OR($S810&lt;&gt;"Win",NOT(ISNUMBER($T810)),NOT(ISNUMBER($R810))),"",MAX(0,$T810-$R810))</f>
        <v/>
      </c>
      <c r="V810" s="49" t="str">
        <f>IF(OR($AM810=0,NOT(ISNUMBER($H810)),NOT(ISNUMBER($I810)),NOT(ISNUMBER($G810))),"",IF(OR($AG810="",$AH810=""),"",IF(ROUND(ABS($H810-$I810)*ABS($G810)*$AG810*$AH810,6)=0,"",ROUND(ABS($H810-$I810)*ABS($G810)*$AG810*$AH810,6))))</f>
        <v/>
      </c>
      <c r="W810" s="50" t="str">
        <f>IF($AM810=0,"",IF($BG810="","OK",LEFT($BG810,LEN($BG810)-2)))</f>
        <v/>
      </c>
      <c r="X810" s="41" t="n"/>
      <c r="Y810" s="40" t="n"/>
      <c r="Z810" s="41" t="n"/>
      <c r="AA810" s="41" t="n"/>
      <c r="AB810" s="40" t="n"/>
      <c r="AC810" s="51" t="n"/>
      <c r="AD810" s="51" t="n"/>
      <c r="AE810" s="40" t="n"/>
      <c r="AF810" s="52" t="str">
        <f>IF($AM810=0,"",IF($D810&lt;&gt;"",$D810,IF(IFERROR(INDEX(Accounts!$C$7:$C$16,MATCH($C810,Accounts!$B$7:$B$16,0))&amp;"","")&lt;&gt;"",INDEX(Accounts!$C$7:$C$16,MATCH($C810,Accounts!$B$7:$B$16,0)),Settings!$C$6)))</f>
        <v/>
      </c>
      <c r="AG810" s="53" t="str">
        <f>IF($AM810=0,"",IF(AND($BE810&gt;0,N(INDEX(Instruments!$D$6:$D$205,MAX(1,$BE810)))&gt;0),INDEX(Instruments!$D$6:$D$205,MAX(1,$BE810)),IF(N(INDEX(Settings!$D$14:$D$18,$BF810))&gt;0,INDEX(Settings!$D$14:$D$18,$BF810),"")))</f>
        <v/>
      </c>
      <c r="AH810" s="54" t="str">
        <f>IF($AM810=0,"",IF($AF810&lt;&gt;"Forex",1,IF(MID(UPPER(SUBSTITUTE(TRIM($E810),"/","")),4,3)=UPPER(TRIM(Settings!$C$7)),1,IF(LEFT(UPPER(SUBSTITUTE(TRIM($E810),"/","")),3)=UPPER(TRIM(Settings!$C$7)),IF(AND(ISNUMBER($K810),N($K810)&lt;&gt;0),1/$K810,""),""))))</f>
        <v/>
      </c>
      <c r="AI810" s="55" t="str">
        <f>IF($AM810=0,"",IF(OR(NOT(ISNUMBER($H810)),NOT(ISNUMBER($K810)),NOT(ISNUMBER($G810)),$AG810="",$AH810=""),"",ROUND(($K810-$H810)*IF($F810="Short",-1,1)*$G810*$AG810*$AH810,6)))</f>
        <v/>
      </c>
      <c r="AJ810" s="55" t="str">
        <f>IF($AM810=0,"",IF(INDEX(Settings!$E$14:$E$18,$BF810)="% of notional",IF(OR($AG810="",NOT(ISNUMBER($H810)),NOT(ISNUMBER($G810))),"",ROUND(ABS($H810*$G810*$AG810*N($AH810))*IF($L810="Limit",N(INDEX(Settings!$G$14:$G$18,$BF810)),N(INDEX(Settings!$H$14:$H$18,$BF810)))+IF(ISNUMBER($K810),ABS($K810*$G810*$AG810*N($AH810))*IF($M810="Target",N(INDEX(Settings!$G$14:$G$18,$BF810)),N(INDEX(Settings!$H$14:$H$18,$BF810))),0),6)),IF(NOT(ISNUMBER($G810)),"",ROUND(ABS($G810)*2*IF(AND($BE810&gt;0,ISNUMBER(INDEX(Instruments!$G$6:$G$205,MAX(1,$BE810)))),INDEX(Instruments!$G$6:$G$205,MAX(1,$BE810)),N(INDEX(Settings!$F$14:$F$18,$BF810))),6))))</f>
        <v/>
      </c>
      <c r="AK810" s="55" t="str">
        <f>IF($AM810=0,"",IF(ISNUMBER($O810),$O810,$AI810))</f>
        <v/>
      </c>
      <c r="AL810" s="55" t="str">
        <f>IF($AM810=0,"",IF(ISNUMBER($P810),$P810,N($AJ810)))</f>
        <v/>
      </c>
      <c r="AM810" s="56">
        <f>IF(AND($A810&lt;&gt;"",$E810&lt;&gt;"",OR(AND(ISNUMBER($G810),ISNUMBER($H810),ISNUMBER($K810)),ISNUMBER($O810))),1,0)</f>
        <v>0</v>
      </c>
      <c r="AN810" s="57" t="str">
        <f>IF($A810="","",$A810-WEEKDAY($A810,3))</f>
        <v/>
      </c>
      <c r="AO810" s="56" t="str">
        <f>IF($A810="","",WEEKDAY($A810,2))</f>
        <v/>
      </c>
      <c r="AP810" s="55" t="str">
        <f>IF(OR($AM810=0,$C810=""),"",IFERROR(N(INDEX(Accounts!$E$7:$E$16,MATCH($C810,Accounts!$B$7:$B$16,0))),0)+SUMIFS($Q$6:$Q810,$C$6:$C810,$C810))</f>
        <v/>
      </c>
      <c r="AQ810" s="55" t="str">
        <f>IF(OR($AM810=0,$C810=""),"",SUMIFS($Q$6:$Q$1005,$C$6:$C$1005,$C810,$A$6:$A$1005,$A810))</f>
        <v/>
      </c>
      <c r="AR810" s="55" t="str">
        <f>IF(OR($AM810=0,$C810=""),"",IFERROR(N(INDEX(Accounts!$E$7:$E$16,MATCH($C810,Accounts!$B$7:$B$16,0))),0)+SUMIFS($Q$6:$Q$1005,$C$6:$C$1005,$C810,$A$6:$A$1005,"&lt;="&amp;$A810))</f>
        <v/>
      </c>
      <c r="AS810" s="56">
        <f>IF(OR($AM810=0,$Q810=""),0,IF(AND($A810&gt;=Lists!$W$6,$A810&lt;=Lists!$W$7,OR(Dashboard!$D$6="All accounts",$C810=Dashboard!$D$6),OR(Dashboard!$D$7="All markets",$AF810=Dashboard!$D$7)),1,0))</f>
        <v>0</v>
      </c>
      <c r="AT810" s="55">
        <f>IF($AS810=1,N(AT809)+$Q810,N(AT809))</f>
        <v>1187.10688</v>
      </c>
      <c r="AU810" s="55">
        <f>MAX(N(AU809),$AT810)</f>
        <v>1187.10688</v>
      </c>
      <c r="AV810" s="55">
        <f>$AT810-$AU810</f>
        <v>0</v>
      </c>
      <c r="AW810" s="56">
        <f>IF($AS810=1,IF($S810="Win",N(AW809)+1,IF($S810="Loss",0,N(AW809))),N(AW809))</f>
        <v>5</v>
      </c>
      <c r="AX810" s="56">
        <f>IF($AS810=1,IF($S810="Loss",N(AX809)+1,IF($S810="Win",0,N(AX809))),N(AX809))</f>
        <v>0</v>
      </c>
      <c r="AY810" s="56" t="str">
        <f>IF($AS810=1,COUNTIF($AS$6:$AS810,1),"")</f>
        <v/>
      </c>
      <c r="AZ810" s="56">
        <f>MIN(804,N(Lists!$W$8))</f>
        <v>28</v>
      </c>
      <c r="BA810" s="56">
        <f>IF($AS810=1,IF(COUNTIFS($A$6:$A810,$A810,$AS$6:$AS810,1)=1,1,0),0)</f>
        <v>0</v>
      </c>
      <c r="BB810" s="55" t="str">
        <f>IF($BA810=1,SUMIFS($Q$6:$Q$1005,$A$6:$A$1005,$A810,$AS$6:$AS$1005,1),"")</f>
        <v/>
      </c>
      <c r="BC810" s="56">
        <f>IF(ISNUMBER($R810),1,0)</f>
        <v>0</v>
      </c>
      <c r="BD810" s="55" t="str">
        <f>IF(ISNUMBER($U810),$U810*$V810,"")</f>
        <v/>
      </c>
      <c r="BE810" s="56" t="str">
        <f>IF($AM810=0,"",IFERROR(MATCH($AF810&amp;"|"&amp;UPPER(TRIM($E810)),Lists!$A$6:$A$205,0),0))</f>
        <v/>
      </c>
      <c r="BF810" s="56" t="str">
        <f>IF($AM810=0,"",IFERROR(MATCH($AF810,Settings!$B$14:$B$18,0),IFERROR(MATCH(Settings!$C$6,Settings!$B$14:$B$18,0),1)))</f>
        <v/>
      </c>
      <c r="BG810" s="58" t="str">
        <f>IF($AM810=0,"",IF(NOT(ISNUMBER($I810)),"No stop; ","")&amp;IF(AND(ISNUMBER($H810),ISNUMBER($I810)),IF(OR(AND($F810&lt;&gt;"Short",$I810&gt;=$H810),AND($F810="Short",$I810&lt;=$H810)),"Stop on wrong side; ",""),"")&amp;IF($F810="","No direction; ","")&amp;IF(AND(ISNUMBER(Settings!$C$22),ISNUMBER($V810)),IF($V810&gt;Settings!$C$22,"Risk over max $; ",""),"")&amp;IF(AND(ISNUMBER(Settings!$C$23),ISNUMBER($V810),ISNUMBER($AP810),IFERROR(N(INDEX(Accounts!$E$7:$E$16,MATCH($C810,Accounts!$B$7:$B$16,0))),0)&gt;0),IF($V810&gt;Settings!$C$23*($AP810-N($Q810)),"Risk over max %; ",""),"")&amp;IF(AND(ISNUMBER(Settings!$C$24),ISNUMBER($N810)),IF($N810&gt;Settings!$C$24,"Leverage over max; ",""),"")&amp;IF(AND(ISNUMBER(Settings!$C$27),ISNUMBER($T810)),IF($T810&lt;Settings!$C$27,"R:R below min; ",""),"")&amp;IF(ISNUMBER(Settings!$C$25),IF(COUNTIFS($A$6:$A810,$A810,$AM$6:$AM810,1)&gt;Settings!$C$25,"Over max trades/day; ",""),"")&amp;IF(ISNUMBER(Settings!$C$26),IF(SUMIFS($Q$5:$Q809,$A$5:$A809,$A810)&lt;=-Settings!$C$26,"Traded after daily max loss; ",""),"")&amp;IF(AND($AG810="",NOT(ISNUMBER($O810))),"Symbol not in Instruments; ","")&amp;IF(AND($AH810="",NOT(ISNUMBER($O810))),"Forex cross: type Gross P&amp;L; ",""))</f>
        <v/>
      </c>
      <c r="BH810" s="56">
        <f>IF(ISNUMBER($Q810),1,0)</f>
        <v>0</v>
      </c>
      <c r="BI810" s="56">
        <f>IF($Y810="",0,1)</f>
        <v>0</v>
      </c>
      <c r="BJ810" s="56">
        <f>IF($AB810="",0,1)</f>
        <v>0</v>
      </c>
      <c r="BK810" s="56">
        <f>IF(AND($BH810=1,$W810&lt;&gt;"OK"),1,0)</f>
        <v>0</v>
      </c>
      <c r="BL810" s="55">
        <f>IF(N($AZ810)=0,0,IFERROR(INDEX($AT$6:$AT$1005,MATCH($AZ810,$AY$6:$AY$1005,0)),0))</f>
        <v>1187.10688</v>
      </c>
      <c r="BM810" s="56">
        <f>IF(ISNUMBER(SEARCH("daily max loss",$BG810)),1,0)</f>
        <v>0</v>
      </c>
    </row>
    <row r="811" ht="18" customHeight="1">
      <c r="A811" s="38" t="n"/>
      <c r="B811" s="39" t="n"/>
      <c r="C811" s="40" t="n"/>
      <c r="D811" s="41" t="n"/>
      <c r="E811" s="41" t="n"/>
      <c r="F811" s="41" t="n"/>
      <c r="G811" s="41" t="n"/>
      <c r="H811" s="42" t="n"/>
      <c r="I811" s="42" t="n"/>
      <c r="J811" s="42" t="n"/>
      <c r="K811" s="42" t="n"/>
      <c r="L811" s="41" t="n"/>
      <c r="M811" s="41" t="n"/>
      <c r="N811" s="41" t="n"/>
      <c r="O811" s="43" t="n"/>
      <c r="P811" s="43" t="n"/>
      <c r="Q811" s="44" t="str">
        <f>IF($AM811=0,"",IF(ISNUMBER($AK811),$AK811-N($AL811),""))</f>
        <v/>
      </c>
      <c r="R811" s="45" t="str">
        <f>IF(OR($Q811="",NOT(ISNUMBER($V811))),"",$AK811/$V811)</f>
        <v/>
      </c>
      <c r="S811" s="46" t="str">
        <f>IF($Q811="","",IF(AND(ISNUMBER($R811),ABS(N($R811))&lt;N(Settings!$C$8)),"Scratch",IF($Q811&gt;0,"Win",IF($Q811&lt;0,"Loss","Scratch"))))</f>
        <v/>
      </c>
      <c r="T811" s="47" t="str">
        <f>IF(OR($AM811=0,NOT(ISNUMBER($H811)),NOT(ISNUMBER($I811)),NOT(ISNUMBER($J811))),"",IF($H811=$I811,"",ROUND(ABS($J811-$H811)/ABS($H811-$I811),6)))</f>
        <v/>
      </c>
      <c r="U811" s="48" t="str">
        <f>IF(OR($S811&lt;&gt;"Win",NOT(ISNUMBER($T811)),NOT(ISNUMBER($R811))),"",MAX(0,$T811-$R811))</f>
        <v/>
      </c>
      <c r="V811" s="49" t="str">
        <f>IF(OR($AM811=0,NOT(ISNUMBER($H811)),NOT(ISNUMBER($I811)),NOT(ISNUMBER($G811))),"",IF(OR($AG811="",$AH811=""),"",IF(ROUND(ABS($H811-$I811)*ABS($G811)*$AG811*$AH811,6)=0,"",ROUND(ABS($H811-$I811)*ABS($G811)*$AG811*$AH811,6))))</f>
        <v/>
      </c>
      <c r="W811" s="50" t="str">
        <f>IF($AM811=0,"",IF($BG811="","OK",LEFT($BG811,LEN($BG811)-2)))</f>
        <v/>
      </c>
      <c r="X811" s="41" t="n"/>
      <c r="Y811" s="40" t="n"/>
      <c r="Z811" s="41" t="n"/>
      <c r="AA811" s="41" t="n"/>
      <c r="AB811" s="40" t="n"/>
      <c r="AC811" s="51" t="n"/>
      <c r="AD811" s="51" t="n"/>
      <c r="AE811" s="40" t="n"/>
      <c r="AF811" s="52" t="str">
        <f>IF($AM811=0,"",IF($D811&lt;&gt;"",$D811,IF(IFERROR(INDEX(Accounts!$C$7:$C$16,MATCH($C811,Accounts!$B$7:$B$16,0))&amp;"","")&lt;&gt;"",INDEX(Accounts!$C$7:$C$16,MATCH($C811,Accounts!$B$7:$B$16,0)),Settings!$C$6)))</f>
        <v/>
      </c>
      <c r="AG811" s="53" t="str">
        <f>IF($AM811=0,"",IF(AND($BE811&gt;0,N(INDEX(Instruments!$D$6:$D$205,MAX(1,$BE811)))&gt;0),INDEX(Instruments!$D$6:$D$205,MAX(1,$BE811)),IF(N(INDEX(Settings!$D$14:$D$18,$BF811))&gt;0,INDEX(Settings!$D$14:$D$18,$BF811),"")))</f>
        <v/>
      </c>
      <c r="AH811" s="54" t="str">
        <f>IF($AM811=0,"",IF($AF811&lt;&gt;"Forex",1,IF(MID(UPPER(SUBSTITUTE(TRIM($E811),"/","")),4,3)=UPPER(TRIM(Settings!$C$7)),1,IF(LEFT(UPPER(SUBSTITUTE(TRIM($E811),"/","")),3)=UPPER(TRIM(Settings!$C$7)),IF(AND(ISNUMBER($K811),N($K811)&lt;&gt;0),1/$K811,""),""))))</f>
        <v/>
      </c>
      <c r="AI811" s="55" t="str">
        <f>IF($AM811=0,"",IF(OR(NOT(ISNUMBER($H811)),NOT(ISNUMBER($K811)),NOT(ISNUMBER($G811)),$AG811="",$AH811=""),"",ROUND(($K811-$H811)*IF($F811="Short",-1,1)*$G811*$AG811*$AH811,6)))</f>
        <v/>
      </c>
      <c r="AJ811" s="55" t="str">
        <f>IF($AM811=0,"",IF(INDEX(Settings!$E$14:$E$18,$BF811)="% of notional",IF(OR($AG811="",NOT(ISNUMBER($H811)),NOT(ISNUMBER($G811))),"",ROUND(ABS($H811*$G811*$AG811*N($AH811))*IF($L811="Limit",N(INDEX(Settings!$G$14:$G$18,$BF811)),N(INDEX(Settings!$H$14:$H$18,$BF811)))+IF(ISNUMBER($K811),ABS($K811*$G811*$AG811*N($AH811))*IF($M811="Target",N(INDEX(Settings!$G$14:$G$18,$BF811)),N(INDEX(Settings!$H$14:$H$18,$BF811))),0),6)),IF(NOT(ISNUMBER($G811)),"",ROUND(ABS($G811)*2*IF(AND($BE811&gt;0,ISNUMBER(INDEX(Instruments!$G$6:$G$205,MAX(1,$BE811)))),INDEX(Instruments!$G$6:$G$205,MAX(1,$BE811)),N(INDEX(Settings!$F$14:$F$18,$BF811))),6))))</f>
        <v/>
      </c>
      <c r="AK811" s="55" t="str">
        <f>IF($AM811=0,"",IF(ISNUMBER($O811),$O811,$AI811))</f>
        <v/>
      </c>
      <c r="AL811" s="55" t="str">
        <f>IF($AM811=0,"",IF(ISNUMBER($P811),$P811,N($AJ811)))</f>
        <v/>
      </c>
      <c r="AM811" s="56">
        <f>IF(AND($A811&lt;&gt;"",$E811&lt;&gt;"",OR(AND(ISNUMBER($G811),ISNUMBER($H811),ISNUMBER($K811)),ISNUMBER($O811))),1,0)</f>
        <v>0</v>
      </c>
      <c r="AN811" s="57" t="str">
        <f>IF($A811="","",$A811-WEEKDAY($A811,3))</f>
        <v/>
      </c>
      <c r="AO811" s="56" t="str">
        <f>IF($A811="","",WEEKDAY($A811,2))</f>
        <v/>
      </c>
      <c r="AP811" s="55" t="str">
        <f>IF(OR($AM811=0,$C811=""),"",IFERROR(N(INDEX(Accounts!$E$7:$E$16,MATCH($C811,Accounts!$B$7:$B$16,0))),0)+SUMIFS($Q$6:$Q811,$C$6:$C811,$C811))</f>
        <v/>
      </c>
      <c r="AQ811" s="55" t="str">
        <f>IF(OR($AM811=0,$C811=""),"",SUMIFS($Q$6:$Q$1005,$C$6:$C$1005,$C811,$A$6:$A$1005,$A811))</f>
        <v/>
      </c>
      <c r="AR811" s="55" t="str">
        <f>IF(OR($AM811=0,$C811=""),"",IFERROR(N(INDEX(Accounts!$E$7:$E$16,MATCH($C811,Accounts!$B$7:$B$16,0))),0)+SUMIFS($Q$6:$Q$1005,$C$6:$C$1005,$C811,$A$6:$A$1005,"&lt;="&amp;$A811))</f>
        <v/>
      </c>
      <c r="AS811" s="56">
        <f>IF(OR($AM811=0,$Q811=""),0,IF(AND($A811&gt;=Lists!$W$6,$A811&lt;=Lists!$W$7,OR(Dashboard!$D$6="All accounts",$C811=Dashboard!$D$6),OR(Dashboard!$D$7="All markets",$AF811=Dashboard!$D$7)),1,0))</f>
        <v>0</v>
      </c>
      <c r="AT811" s="55">
        <f>IF($AS811=1,N(AT810)+$Q811,N(AT810))</f>
        <v>1187.10688</v>
      </c>
      <c r="AU811" s="55">
        <f>MAX(N(AU810),$AT811)</f>
        <v>1187.10688</v>
      </c>
      <c r="AV811" s="55">
        <f>$AT811-$AU811</f>
        <v>0</v>
      </c>
      <c r="AW811" s="56">
        <f>IF($AS811=1,IF($S811="Win",N(AW810)+1,IF($S811="Loss",0,N(AW810))),N(AW810))</f>
        <v>5</v>
      </c>
      <c r="AX811" s="56">
        <f>IF($AS811=1,IF($S811="Loss",N(AX810)+1,IF($S811="Win",0,N(AX810))),N(AX810))</f>
        <v>0</v>
      </c>
      <c r="AY811" s="56" t="str">
        <f>IF($AS811=1,COUNTIF($AS$6:$AS811,1),"")</f>
        <v/>
      </c>
      <c r="AZ811" s="56">
        <f>MIN(805,N(Lists!$W$8))</f>
        <v>28</v>
      </c>
      <c r="BA811" s="56">
        <f>IF($AS811=1,IF(COUNTIFS($A$6:$A811,$A811,$AS$6:$AS811,1)=1,1,0),0)</f>
        <v>0</v>
      </c>
      <c r="BB811" s="55" t="str">
        <f>IF($BA811=1,SUMIFS($Q$6:$Q$1005,$A$6:$A$1005,$A811,$AS$6:$AS$1005,1),"")</f>
        <v/>
      </c>
      <c r="BC811" s="56">
        <f>IF(ISNUMBER($R811),1,0)</f>
        <v>0</v>
      </c>
      <c r="BD811" s="55" t="str">
        <f>IF(ISNUMBER($U811),$U811*$V811,"")</f>
        <v/>
      </c>
      <c r="BE811" s="56" t="str">
        <f>IF($AM811=0,"",IFERROR(MATCH($AF811&amp;"|"&amp;UPPER(TRIM($E811)),Lists!$A$6:$A$205,0),0))</f>
        <v/>
      </c>
      <c r="BF811" s="56" t="str">
        <f>IF($AM811=0,"",IFERROR(MATCH($AF811,Settings!$B$14:$B$18,0),IFERROR(MATCH(Settings!$C$6,Settings!$B$14:$B$18,0),1)))</f>
        <v/>
      </c>
      <c r="BG811" s="58" t="str">
        <f>IF($AM811=0,"",IF(NOT(ISNUMBER($I811)),"No stop; ","")&amp;IF(AND(ISNUMBER($H811),ISNUMBER($I811)),IF(OR(AND($F811&lt;&gt;"Short",$I811&gt;=$H811),AND($F811="Short",$I811&lt;=$H811)),"Stop on wrong side; ",""),"")&amp;IF($F811="","No direction; ","")&amp;IF(AND(ISNUMBER(Settings!$C$22),ISNUMBER($V811)),IF($V811&gt;Settings!$C$22,"Risk over max $; ",""),"")&amp;IF(AND(ISNUMBER(Settings!$C$23),ISNUMBER($V811),ISNUMBER($AP811),IFERROR(N(INDEX(Accounts!$E$7:$E$16,MATCH($C811,Accounts!$B$7:$B$16,0))),0)&gt;0),IF($V811&gt;Settings!$C$23*($AP811-N($Q811)),"Risk over max %; ",""),"")&amp;IF(AND(ISNUMBER(Settings!$C$24),ISNUMBER($N811)),IF($N811&gt;Settings!$C$24,"Leverage over max; ",""),"")&amp;IF(AND(ISNUMBER(Settings!$C$27),ISNUMBER($T811)),IF($T811&lt;Settings!$C$27,"R:R below min; ",""),"")&amp;IF(ISNUMBER(Settings!$C$25),IF(COUNTIFS($A$6:$A811,$A811,$AM$6:$AM811,1)&gt;Settings!$C$25,"Over max trades/day; ",""),"")&amp;IF(ISNUMBER(Settings!$C$26),IF(SUMIFS($Q$5:$Q810,$A$5:$A810,$A811)&lt;=-Settings!$C$26,"Traded after daily max loss; ",""),"")&amp;IF(AND($AG811="",NOT(ISNUMBER($O811))),"Symbol not in Instruments; ","")&amp;IF(AND($AH811="",NOT(ISNUMBER($O811))),"Forex cross: type Gross P&amp;L; ",""))</f>
        <v/>
      </c>
      <c r="BH811" s="56">
        <f>IF(ISNUMBER($Q811),1,0)</f>
        <v>0</v>
      </c>
      <c r="BI811" s="56">
        <f>IF($Y811="",0,1)</f>
        <v>0</v>
      </c>
      <c r="BJ811" s="56">
        <f>IF($AB811="",0,1)</f>
        <v>0</v>
      </c>
      <c r="BK811" s="56">
        <f>IF(AND($BH811=1,$W811&lt;&gt;"OK"),1,0)</f>
        <v>0</v>
      </c>
      <c r="BL811" s="55">
        <f>IF(N($AZ811)=0,0,IFERROR(INDEX($AT$6:$AT$1005,MATCH($AZ811,$AY$6:$AY$1005,0)),0))</f>
        <v>1187.10688</v>
      </c>
      <c r="BM811" s="56">
        <f>IF(ISNUMBER(SEARCH("daily max loss",$BG811)),1,0)</f>
        <v>0</v>
      </c>
    </row>
    <row r="812" ht="18" customHeight="1">
      <c r="A812" s="38" t="n"/>
      <c r="B812" s="39" t="n"/>
      <c r="C812" s="40" t="n"/>
      <c r="D812" s="41" t="n"/>
      <c r="E812" s="41" t="n"/>
      <c r="F812" s="41" t="n"/>
      <c r="G812" s="41" t="n"/>
      <c r="H812" s="42" t="n"/>
      <c r="I812" s="42" t="n"/>
      <c r="J812" s="42" t="n"/>
      <c r="K812" s="42" t="n"/>
      <c r="L812" s="41" t="n"/>
      <c r="M812" s="41" t="n"/>
      <c r="N812" s="41" t="n"/>
      <c r="O812" s="43" t="n"/>
      <c r="P812" s="43" t="n"/>
      <c r="Q812" s="44" t="str">
        <f>IF($AM812=0,"",IF(ISNUMBER($AK812),$AK812-N($AL812),""))</f>
        <v/>
      </c>
      <c r="R812" s="45" t="str">
        <f>IF(OR($Q812="",NOT(ISNUMBER($V812))),"",$AK812/$V812)</f>
        <v/>
      </c>
      <c r="S812" s="46" t="str">
        <f>IF($Q812="","",IF(AND(ISNUMBER($R812),ABS(N($R812))&lt;N(Settings!$C$8)),"Scratch",IF($Q812&gt;0,"Win",IF($Q812&lt;0,"Loss","Scratch"))))</f>
        <v/>
      </c>
      <c r="T812" s="47" t="str">
        <f>IF(OR($AM812=0,NOT(ISNUMBER($H812)),NOT(ISNUMBER($I812)),NOT(ISNUMBER($J812))),"",IF($H812=$I812,"",ROUND(ABS($J812-$H812)/ABS($H812-$I812),6)))</f>
        <v/>
      </c>
      <c r="U812" s="48" t="str">
        <f>IF(OR($S812&lt;&gt;"Win",NOT(ISNUMBER($T812)),NOT(ISNUMBER($R812))),"",MAX(0,$T812-$R812))</f>
        <v/>
      </c>
      <c r="V812" s="49" t="str">
        <f>IF(OR($AM812=0,NOT(ISNUMBER($H812)),NOT(ISNUMBER($I812)),NOT(ISNUMBER($G812))),"",IF(OR($AG812="",$AH812=""),"",IF(ROUND(ABS($H812-$I812)*ABS($G812)*$AG812*$AH812,6)=0,"",ROUND(ABS($H812-$I812)*ABS($G812)*$AG812*$AH812,6))))</f>
        <v/>
      </c>
      <c r="W812" s="50" t="str">
        <f>IF($AM812=0,"",IF($BG812="","OK",LEFT($BG812,LEN($BG812)-2)))</f>
        <v/>
      </c>
      <c r="X812" s="41" t="n"/>
      <c r="Y812" s="40" t="n"/>
      <c r="Z812" s="41" t="n"/>
      <c r="AA812" s="41" t="n"/>
      <c r="AB812" s="40" t="n"/>
      <c r="AC812" s="51" t="n"/>
      <c r="AD812" s="51" t="n"/>
      <c r="AE812" s="40" t="n"/>
      <c r="AF812" s="52" t="str">
        <f>IF($AM812=0,"",IF($D812&lt;&gt;"",$D812,IF(IFERROR(INDEX(Accounts!$C$7:$C$16,MATCH($C812,Accounts!$B$7:$B$16,0))&amp;"","")&lt;&gt;"",INDEX(Accounts!$C$7:$C$16,MATCH($C812,Accounts!$B$7:$B$16,0)),Settings!$C$6)))</f>
        <v/>
      </c>
      <c r="AG812" s="53" t="str">
        <f>IF($AM812=0,"",IF(AND($BE812&gt;0,N(INDEX(Instruments!$D$6:$D$205,MAX(1,$BE812)))&gt;0),INDEX(Instruments!$D$6:$D$205,MAX(1,$BE812)),IF(N(INDEX(Settings!$D$14:$D$18,$BF812))&gt;0,INDEX(Settings!$D$14:$D$18,$BF812),"")))</f>
        <v/>
      </c>
      <c r="AH812" s="54" t="str">
        <f>IF($AM812=0,"",IF($AF812&lt;&gt;"Forex",1,IF(MID(UPPER(SUBSTITUTE(TRIM($E812),"/","")),4,3)=UPPER(TRIM(Settings!$C$7)),1,IF(LEFT(UPPER(SUBSTITUTE(TRIM($E812),"/","")),3)=UPPER(TRIM(Settings!$C$7)),IF(AND(ISNUMBER($K812),N($K812)&lt;&gt;0),1/$K812,""),""))))</f>
        <v/>
      </c>
      <c r="AI812" s="55" t="str">
        <f>IF($AM812=0,"",IF(OR(NOT(ISNUMBER($H812)),NOT(ISNUMBER($K812)),NOT(ISNUMBER($G812)),$AG812="",$AH812=""),"",ROUND(($K812-$H812)*IF($F812="Short",-1,1)*$G812*$AG812*$AH812,6)))</f>
        <v/>
      </c>
      <c r="AJ812" s="55" t="str">
        <f>IF($AM812=0,"",IF(INDEX(Settings!$E$14:$E$18,$BF812)="% of notional",IF(OR($AG812="",NOT(ISNUMBER($H812)),NOT(ISNUMBER($G812))),"",ROUND(ABS($H812*$G812*$AG812*N($AH812))*IF($L812="Limit",N(INDEX(Settings!$G$14:$G$18,$BF812)),N(INDEX(Settings!$H$14:$H$18,$BF812)))+IF(ISNUMBER($K812),ABS($K812*$G812*$AG812*N($AH812))*IF($M812="Target",N(INDEX(Settings!$G$14:$G$18,$BF812)),N(INDEX(Settings!$H$14:$H$18,$BF812))),0),6)),IF(NOT(ISNUMBER($G812)),"",ROUND(ABS($G812)*2*IF(AND($BE812&gt;0,ISNUMBER(INDEX(Instruments!$G$6:$G$205,MAX(1,$BE812)))),INDEX(Instruments!$G$6:$G$205,MAX(1,$BE812)),N(INDEX(Settings!$F$14:$F$18,$BF812))),6))))</f>
        <v/>
      </c>
      <c r="AK812" s="55" t="str">
        <f>IF($AM812=0,"",IF(ISNUMBER($O812),$O812,$AI812))</f>
        <v/>
      </c>
      <c r="AL812" s="55" t="str">
        <f>IF($AM812=0,"",IF(ISNUMBER($P812),$P812,N($AJ812)))</f>
        <v/>
      </c>
      <c r="AM812" s="56">
        <f>IF(AND($A812&lt;&gt;"",$E812&lt;&gt;"",OR(AND(ISNUMBER($G812),ISNUMBER($H812),ISNUMBER($K812)),ISNUMBER($O812))),1,0)</f>
        <v>0</v>
      </c>
      <c r="AN812" s="57" t="str">
        <f>IF($A812="","",$A812-WEEKDAY($A812,3))</f>
        <v/>
      </c>
      <c r="AO812" s="56" t="str">
        <f>IF($A812="","",WEEKDAY($A812,2))</f>
        <v/>
      </c>
      <c r="AP812" s="55" t="str">
        <f>IF(OR($AM812=0,$C812=""),"",IFERROR(N(INDEX(Accounts!$E$7:$E$16,MATCH($C812,Accounts!$B$7:$B$16,0))),0)+SUMIFS($Q$6:$Q812,$C$6:$C812,$C812))</f>
        <v/>
      </c>
      <c r="AQ812" s="55" t="str">
        <f>IF(OR($AM812=0,$C812=""),"",SUMIFS($Q$6:$Q$1005,$C$6:$C$1005,$C812,$A$6:$A$1005,$A812))</f>
        <v/>
      </c>
      <c r="AR812" s="55" t="str">
        <f>IF(OR($AM812=0,$C812=""),"",IFERROR(N(INDEX(Accounts!$E$7:$E$16,MATCH($C812,Accounts!$B$7:$B$16,0))),0)+SUMIFS($Q$6:$Q$1005,$C$6:$C$1005,$C812,$A$6:$A$1005,"&lt;="&amp;$A812))</f>
        <v/>
      </c>
      <c r="AS812" s="56">
        <f>IF(OR($AM812=0,$Q812=""),0,IF(AND($A812&gt;=Lists!$W$6,$A812&lt;=Lists!$W$7,OR(Dashboard!$D$6="All accounts",$C812=Dashboard!$D$6),OR(Dashboard!$D$7="All markets",$AF812=Dashboard!$D$7)),1,0))</f>
        <v>0</v>
      </c>
      <c r="AT812" s="55">
        <f>IF($AS812=1,N(AT811)+$Q812,N(AT811))</f>
        <v>1187.10688</v>
      </c>
      <c r="AU812" s="55">
        <f>MAX(N(AU811),$AT812)</f>
        <v>1187.10688</v>
      </c>
      <c r="AV812" s="55">
        <f>$AT812-$AU812</f>
        <v>0</v>
      </c>
      <c r="AW812" s="56">
        <f>IF($AS812=1,IF($S812="Win",N(AW811)+1,IF($S812="Loss",0,N(AW811))),N(AW811))</f>
        <v>5</v>
      </c>
      <c r="AX812" s="56">
        <f>IF($AS812=1,IF($S812="Loss",N(AX811)+1,IF($S812="Win",0,N(AX811))),N(AX811))</f>
        <v>0</v>
      </c>
      <c r="AY812" s="56" t="str">
        <f>IF($AS812=1,COUNTIF($AS$6:$AS812,1),"")</f>
        <v/>
      </c>
      <c r="AZ812" s="56">
        <f>MIN(806,N(Lists!$W$8))</f>
        <v>28</v>
      </c>
      <c r="BA812" s="56">
        <f>IF($AS812=1,IF(COUNTIFS($A$6:$A812,$A812,$AS$6:$AS812,1)=1,1,0),0)</f>
        <v>0</v>
      </c>
      <c r="BB812" s="55" t="str">
        <f>IF($BA812=1,SUMIFS($Q$6:$Q$1005,$A$6:$A$1005,$A812,$AS$6:$AS$1005,1),"")</f>
        <v/>
      </c>
      <c r="BC812" s="56">
        <f>IF(ISNUMBER($R812),1,0)</f>
        <v>0</v>
      </c>
      <c r="BD812" s="55" t="str">
        <f>IF(ISNUMBER($U812),$U812*$V812,"")</f>
        <v/>
      </c>
      <c r="BE812" s="56" t="str">
        <f>IF($AM812=0,"",IFERROR(MATCH($AF812&amp;"|"&amp;UPPER(TRIM($E812)),Lists!$A$6:$A$205,0),0))</f>
        <v/>
      </c>
      <c r="BF812" s="56" t="str">
        <f>IF($AM812=0,"",IFERROR(MATCH($AF812,Settings!$B$14:$B$18,0),IFERROR(MATCH(Settings!$C$6,Settings!$B$14:$B$18,0),1)))</f>
        <v/>
      </c>
      <c r="BG812" s="58" t="str">
        <f>IF($AM812=0,"",IF(NOT(ISNUMBER($I812)),"No stop; ","")&amp;IF(AND(ISNUMBER($H812),ISNUMBER($I812)),IF(OR(AND($F812&lt;&gt;"Short",$I812&gt;=$H812),AND($F812="Short",$I812&lt;=$H812)),"Stop on wrong side; ",""),"")&amp;IF($F812="","No direction; ","")&amp;IF(AND(ISNUMBER(Settings!$C$22),ISNUMBER($V812)),IF($V812&gt;Settings!$C$22,"Risk over max $; ",""),"")&amp;IF(AND(ISNUMBER(Settings!$C$23),ISNUMBER($V812),ISNUMBER($AP812),IFERROR(N(INDEX(Accounts!$E$7:$E$16,MATCH($C812,Accounts!$B$7:$B$16,0))),0)&gt;0),IF($V812&gt;Settings!$C$23*($AP812-N($Q812)),"Risk over max %; ",""),"")&amp;IF(AND(ISNUMBER(Settings!$C$24),ISNUMBER($N812)),IF($N812&gt;Settings!$C$24,"Leverage over max; ",""),"")&amp;IF(AND(ISNUMBER(Settings!$C$27),ISNUMBER($T812)),IF($T812&lt;Settings!$C$27,"R:R below min; ",""),"")&amp;IF(ISNUMBER(Settings!$C$25),IF(COUNTIFS($A$6:$A812,$A812,$AM$6:$AM812,1)&gt;Settings!$C$25,"Over max trades/day; ",""),"")&amp;IF(ISNUMBER(Settings!$C$26),IF(SUMIFS($Q$5:$Q811,$A$5:$A811,$A812)&lt;=-Settings!$C$26,"Traded after daily max loss; ",""),"")&amp;IF(AND($AG812="",NOT(ISNUMBER($O812))),"Symbol not in Instruments; ","")&amp;IF(AND($AH812="",NOT(ISNUMBER($O812))),"Forex cross: type Gross P&amp;L; ",""))</f>
        <v/>
      </c>
      <c r="BH812" s="56">
        <f>IF(ISNUMBER($Q812),1,0)</f>
        <v>0</v>
      </c>
      <c r="BI812" s="56">
        <f>IF($Y812="",0,1)</f>
        <v>0</v>
      </c>
      <c r="BJ812" s="56">
        <f>IF($AB812="",0,1)</f>
        <v>0</v>
      </c>
      <c r="BK812" s="56">
        <f>IF(AND($BH812=1,$W812&lt;&gt;"OK"),1,0)</f>
        <v>0</v>
      </c>
      <c r="BL812" s="55">
        <f>IF(N($AZ812)=0,0,IFERROR(INDEX($AT$6:$AT$1005,MATCH($AZ812,$AY$6:$AY$1005,0)),0))</f>
        <v>1187.10688</v>
      </c>
      <c r="BM812" s="56">
        <f>IF(ISNUMBER(SEARCH("daily max loss",$BG812)),1,0)</f>
        <v>0</v>
      </c>
    </row>
    <row r="813" ht="18" customHeight="1">
      <c r="A813" s="38" t="n"/>
      <c r="B813" s="39" t="n"/>
      <c r="C813" s="40" t="n"/>
      <c r="D813" s="41" t="n"/>
      <c r="E813" s="41" t="n"/>
      <c r="F813" s="41" t="n"/>
      <c r="G813" s="41" t="n"/>
      <c r="H813" s="42" t="n"/>
      <c r="I813" s="42" t="n"/>
      <c r="J813" s="42" t="n"/>
      <c r="K813" s="42" t="n"/>
      <c r="L813" s="41" t="n"/>
      <c r="M813" s="41" t="n"/>
      <c r="N813" s="41" t="n"/>
      <c r="O813" s="43" t="n"/>
      <c r="P813" s="43" t="n"/>
      <c r="Q813" s="44" t="str">
        <f>IF($AM813=0,"",IF(ISNUMBER($AK813),$AK813-N($AL813),""))</f>
        <v/>
      </c>
      <c r="R813" s="45" t="str">
        <f>IF(OR($Q813="",NOT(ISNUMBER($V813))),"",$AK813/$V813)</f>
        <v/>
      </c>
      <c r="S813" s="46" t="str">
        <f>IF($Q813="","",IF(AND(ISNUMBER($R813),ABS(N($R813))&lt;N(Settings!$C$8)),"Scratch",IF($Q813&gt;0,"Win",IF($Q813&lt;0,"Loss","Scratch"))))</f>
        <v/>
      </c>
      <c r="T813" s="47" t="str">
        <f>IF(OR($AM813=0,NOT(ISNUMBER($H813)),NOT(ISNUMBER($I813)),NOT(ISNUMBER($J813))),"",IF($H813=$I813,"",ROUND(ABS($J813-$H813)/ABS($H813-$I813),6)))</f>
        <v/>
      </c>
      <c r="U813" s="48" t="str">
        <f>IF(OR($S813&lt;&gt;"Win",NOT(ISNUMBER($T813)),NOT(ISNUMBER($R813))),"",MAX(0,$T813-$R813))</f>
        <v/>
      </c>
      <c r="V813" s="49" t="str">
        <f>IF(OR($AM813=0,NOT(ISNUMBER($H813)),NOT(ISNUMBER($I813)),NOT(ISNUMBER($G813))),"",IF(OR($AG813="",$AH813=""),"",IF(ROUND(ABS($H813-$I813)*ABS($G813)*$AG813*$AH813,6)=0,"",ROUND(ABS($H813-$I813)*ABS($G813)*$AG813*$AH813,6))))</f>
        <v/>
      </c>
      <c r="W813" s="50" t="str">
        <f>IF($AM813=0,"",IF($BG813="","OK",LEFT($BG813,LEN($BG813)-2)))</f>
        <v/>
      </c>
      <c r="X813" s="41" t="n"/>
      <c r="Y813" s="40" t="n"/>
      <c r="Z813" s="41" t="n"/>
      <c r="AA813" s="41" t="n"/>
      <c r="AB813" s="40" t="n"/>
      <c r="AC813" s="51" t="n"/>
      <c r="AD813" s="51" t="n"/>
      <c r="AE813" s="40" t="n"/>
      <c r="AF813" s="52" t="str">
        <f>IF($AM813=0,"",IF($D813&lt;&gt;"",$D813,IF(IFERROR(INDEX(Accounts!$C$7:$C$16,MATCH($C813,Accounts!$B$7:$B$16,0))&amp;"","")&lt;&gt;"",INDEX(Accounts!$C$7:$C$16,MATCH($C813,Accounts!$B$7:$B$16,0)),Settings!$C$6)))</f>
        <v/>
      </c>
      <c r="AG813" s="53" t="str">
        <f>IF($AM813=0,"",IF(AND($BE813&gt;0,N(INDEX(Instruments!$D$6:$D$205,MAX(1,$BE813)))&gt;0),INDEX(Instruments!$D$6:$D$205,MAX(1,$BE813)),IF(N(INDEX(Settings!$D$14:$D$18,$BF813))&gt;0,INDEX(Settings!$D$14:$D$18,$BF813),"")))</f>
        <v/>
      </c>
      <c r="AH813" s="54" t="str">
        <f>IF($AM813=0,"",IF($AF813&lt;&gt;"Forex",1,IF(MID(UPPER(SUBSTITUTE(TRIM($E813),"/","")),4,3)=UPPER(TRIM(Settings!$C$7)),1,IF(LEFT(UPPER(SUBSTITUTE(TRIM($E813),"/","")),3)=UPPER(TRIM(Settings!$C$7)),IF(AND(ISNUMBER($K813),N($K813)&lt;&gt;0),1/$K813,""),""))))</f>
        <v/>
      </c>
      <c r="AI813" s="55" t="str">
        <f>IF($AM813=0,"",IF(OR(NOT(ISNUMBER($H813)),NOT(ISNUMBER($K813)),NOT(ISNUMBER($G813)),$AG813="",$AH813=""),"",ROUND(($K813-$H813)*IF($F813="Short",-1,1)*$G813*$AG813*$AH813,6)))</f>
        <v/>
      </c>
      <c r="AJ813" s="55" t="str">
        <f>IF($AM813=0,"",IF(INDEX(Settings!$E$14:$E$18,$BF813)="% of notional",IF(OR($AG813="",NOT(ISNUMBER($H813)),NOT(ISNUMBER($G813))),"",ROUND(ABS($H813*$G813*$AG813*N($AH813))*IF($L813="Limit",N(INDEX(Settings!$G$14:$G$18,$BF813)),N(INDEX(Settings!$H$14:$H$18,$BF813)))+IF(ISNUMBER($K813),ABS($K813*$G813*$AG813*N($AH813))*IF($M813="Target",N(INDEX(Settings!$G$14:$G$18,$BF813)),N(INDEX(Settings!$H$14:$H$18,$BF813))),0),6)),IF(NOT(ISNUMBER($G813)),"",ROUND(ABS($G813)*2*IF(AND($BE813&gt;0,ISNUMBER(INDEX(Instruments!$G$6:$G$205,MAX(1,$BE813)))),INDEX(Instruments!$G$6:$G$205,MAX(1,$BE813)),N(INDEX(Settings!$F$14:$F$18,$BF813))),6))))</f>
        <v/>
      </c>
      <c r="AK813" s="55" t="str">
        <f>IF($AM813=0,"",IF(ISNUMBER($O813),$O813,$AI813))</f>
        <v/>
      </c>
      <c r="AL813" s="55" t="str">
        <f>IF($AM813=0,"",IF(ISNUMBER($P813),$P813,N($AJ813)))</f>
        <v/>
      </c>
      <c r="AM813" s="56">
        <f>IF(AND($A813&lt;&gt;"",$E813&lt;&gt;"",OR(AND(ISNUMBER($G813),ISNUMBER($H813),ISNUMBER($K813)),ISNUMBER($O813))),1,0)</f>
        <v>0</v>
      </c>
      <c r="AN813" s="57" t="str">
        <f>IF($A813="","",$A813-WEEKDAY($A813,3))</f>
        <v/>
      </c>
      <c r="AO813" s="56" t="str">
        <f>IF($A813="","",WEEKDAY($A813,2))</f>
        <v/>
      </c>
      <c r="AP813" s="55" t="str">
        <f>IF(OR($AM813=0,$C813=""),"",IFERROR(N(INDEX(Accounts!$E$7:$E$16,MATCH($C813,Accounts!$B$7:$B$16,0))),0)+SUMIFS($Q$6:$Q813,$C$6:$C813,$C813))</f>
        <v/>
      </c>
      <c r="AQ813" s="55" t="str">
        <f>IF(OR($AM813=0,$C813=""),"",SUMIFS($Q$6:$Q$1005,$C$6:$C$1005,$C813,$A$6:$A$1005,$A813))</f>
        <v/>
      </c>
      <c r="AR813" s="55" t="str">
        <f>IF(OR($AM813=0,$C813=""),"",IFERROR(N(INDEX(Accounts!$E$7:$E$16,MATCH($C813,Accounts!$B$7:$B$16,0))),0)+SUMIFS($Q$6:$Q$1005,$C$6:$C$1005,$C813,$A$6:$A$1005,"&lt;="&amp;$A813))</f>
        <v/>
      </c>
      <c r="AS813" s="56">
        <f>IF(OR($AM813=0,$Q813=""),0,IF(AND($A813&gt;=Lists!$W$6,$A813&lt;=Lists!$W$7,OR(Dashboard!$D$6="All accounts",$C813=Dashboard!$D$6),OR(Dashboard!$D$7="All markets",$AF813=Dashboard!$D$7)),1,0))</f>
        <v>0</v>
      </c>
      <c r="AT813" s="55">
        <f>IF($AS813=1,N(AT812)+$Q813,N(AT812))</f>
        <v>1187.10688</v>
      </c>
      <c r="AU813" s="55">
        <f>MAX(N(AU812),$AT813)</f>
        <v>1187.10688</v>
      </c>
      <c r="AV813" s="55">
        <f>$AT813-$AU813</f>
        <v>0</v>
      </c>
      <c r="AW813" s="56">
        <f>IF($AS813=1,IF($S813="Win",N(AW812)+1,IF($S813="Loss",0,N(AW812))),N(AW812))</f>
        <v>5</v>
      </c>
      <c r="AX813" s="56">
        <f>IF($AS813=1,IF($S813="Loss",N(AX812)+1,IF($S813="Win",0,N(AX812))),N(AX812))</f>
        <v>0</v>
      </c>
      <c r="AY813" s="56" t="str">
        <f>IF($AS813=1,COUNTIF($AS$6:$AS813,1),"")</f>
        <v/>
      </c>
      <c r="AZ813" s="56">
        <f>MIN(807,N(Lists!$W$8))</f>
        <v>28</v>
      </c>
      <c r="BA813" s="56">
        <f>IF($AS813=1,IF(COUNTIFS($A$6:$A813,$A813,$AS$6:$AS813,1)=1,1,0),0)</f>
        <v>0</v>
      </c>
      <c r="BB813" s="55" t="str">
        <f>IF($BA813=1,SUMIFS($Q$6:$Q$1005,$A$6:$A$1005,$A813,$AS$6:$AS$1005,1),"")</f>
        <v/>
      </c>
      <c r="BC813" s="56">
        <f>IF(ISNUMBER($R813),1,0)</f>
        <v>0</v>
      </c>
      <c r="BD813" s="55" t="str">
        <f>IF(ISNUMBER($U813),$U813*$V813,"")</f>
        <v/>
      </c>
      <c r="BE813" s="56" t="str">
        <f>IF($AM813=0,"",IFERROR(MATCH($AF813&amp;"|"&amp;UPPER(TRIM($E813)),Lists!$A$6:$A$205,0),0))</f>
        <v/>
      </c>
      <c r="BF813" s="56" t="str">
        <f>IF($AM813=0,"",IFERROR(MATCH($AF813,Settings!$B$14:$B$18,0),IFERROR(MATCH(Settings!$C$6,Settings!$B$14:$B$18,0),1)))</f>
        <v/>
      </c>
      <c r="BG813" s="58" t="str">
        <f>IF($AM813=0,"",IF(NOT(ISNUMBER($I813)),"No stop; ","")&amp;IF(AND(ISNUMBER($H813),ISNUMBER($I813)),IF(OR(AND($F813&lt;&gt;"Short",$I813&gt;=$H813),AND($F813="Short",$I813&lt;=$H813)),"Stop on wrong side; ",""),"")&amp;IF($F813="","No direction; ","")&amp;IF(AND(ISNUMBER(Settings!$C$22),ISNUMBER($V813)),IF($V813&gt;Settings!$C$22,"Risk over max $; ",""),"")&amp;IF(AND(ISNUMBER(Settings!$C$23),ISNUMBER($V813),ISNUMBER($AP813),IFERROR(N(INDEX(Accounts!$E$7:$E$16,MATCH($C813,Accounts!$B$7:$B$16,0))),0)&gt;0),IF($V813&gt;Settings!$C$23*($AP813-N($Q813)),"Risk over max %; ",""),"")&amp;IF(AND(ISNUMBER(Settings!$C$24),ISNUMBER($N813)),IF($N813&gt;Settings!$C$24,"Leverage over max; ",""),"")&amp;IF(AND(ISNUMBER(Settings!$C$27),ISNUMBER($T813)),IF($T813&lt;Settings!$C$27,"R:R below min; ",""),"")&amp;IF(ISNUMBER(Settings!$C$25),IF(COUNTIFS($A$6:$A813,$A813,$AM$6:$AM813,1)&gt;Settings!$C$25,"Over max trades/day; ",""),"")&amp;IF(ISNUMBER(Settings!$C$26),IF(SUMIFS($Q$5:$Q812,$A$5:$A812,$A813)&lt;=-Settings!$C$26,"Traded after daily max loss; ",""),"")&amp;IF(AND($AG813="",NOT(ISNUMBER($O813))),"Symbol not in Instruments; ","")&amp;IF(AND($AH813="",NOT(ISNUMBER($O813))),"Forex cross: type Gross P&amp;L; ",""))</f>
        <v/>
      </c>
      <c r="BH813" s="56">
        <f>IF(ISNUMBER($Q813),1,0)</f>
        <v>0</v>
      </c>
      <c r="BI813" s="56">
        <f>IF($Y813="",0,1)</f>
        <v>0</v>
      </c>
      <c r="BJ813" s="56">
        <f>IF($AB813="",0,1)</f>
        <v>0</v>
      </c>
      <c r="BK813" s="56">
        <f>IF(AND($BH813=1,$W813&lt;&gt;"OK"),1,0)</f>
        <v>0</v>
      </c>
      <c r="BL813" s="55">
        <f>IF(N($AZ813)=0,0,IFERROR(INDEX($AT$6:$AT$1005,MATCH($AZ813,$AY$6:$AY$1005,0)),0))</f>
        <v>1187.10688</v>
      </c>
      <c r="BM813" s="56">
        <f>IF(ISNUMBER(SEARCH("daily max loss",$BG813)),1,0)</f>
        <v>0</v>
      </c>
    </row>
    <row r="814" ht="18" customHeight="1">
      <c r="A814" s="38" t="n"/>
      <c r="B814" s="39" t="n"/>
      <c r="C814" s="40" t="n"/>
      <c r="D814" s="41" t="n"/>
      <c r="E814" s="41" t="n"/>
      <c r="F814" s="41" t="n"/>
      <c r="G814" s="41" t="n"/>
      <c r="H814" s="42" t="n"/>
      <c r="I814" s="42" t="n"/>
      <c r="J814" s="42" t="n"/>
      <c r="K814" s="42" t="n"/>
      <c r="L814" s="41" t="n"/>
      <c r="M814" s="41" t="n"/>
      <c r="N814" s="41" t="n"/>
      <c r="O814" s="43" t="n"/>
      <c r="P814" s="43" t="n"/>
      <c r="Q814" s="44" t="str">
        <f>IF($AM814=0,"",IF(ISNUMBER($AK814),$AK814-N($AL814),""))</f>
        <v/>
      </c>
      <c r="R814" s="45" t="str">
        <f>IF(OR($Q814="",NOT(ISNUMBER($V814))),"",$AK814/$V814)</f>
        <v/>
      </c>
      <c r="S814" s="46" t="str">
        <f>IF($Q814="","",IF(AND(ISNUMBER($R814),ABS(N($R814))&lt;N(Settings!$C$8)),"Scratch",IF($Q814&gt;0,"Win",IF($Q814&lt;0,"Loss","Scratch"))))</f>
        <v/>
      </c>
      <c r="T814" s="47" t="str">
        <f>IF(OR($AM814=0,NOT(ISNUMBER($H814)),NOT(ISNUMBER($I814)),NOT(ISNUMBER($J814))),"",IF($H814=$I814,"",ROUND(ABS($J814-$H814)/ABS($H814-$I814),6)))</f>
        <v/>
      </c>
      <c r="U814" s="48" t="str">
        <f>IF(OR($S814&lt;&gt;"Win",NOT(ISNUMBER($T814)),NOT(ISNUMBER($R814))),"",MAX(0,$T814-$R814))</f>
        <v/>
      </c>
      <c r="V814" s="49" t="str">
        <f>IF(OR($AM814=0,NOT(ISNUMBER($H814)),NOT(ISNUMBER($I814)),NOT(ISNUMBER($G814))),"",IF(OR($AG814="",$AH814=""),"",IF(ROUND(ABS($H814-$I814)*ABS($G814)*$AG814*$AH814,6)=0,"",ROUND(ABS($H814-$I814)*ABS($G814)*$AG814*$AH814,6))))</f>
        <v/>
      </c>
      <c r="W814" s="50" t="str">
        <f>IF($AM814=0,"",IF($BG814="","OK",LEFT($BG814,LEN($BG814)-2)))</f>
        <v/>
      </c>
      <c r="X814" s="41" t="n"/>
      <c r="Y814" s="40" t="n"/>
      <c r="Z814" s="41" t="n"/>
      <c r="AA814" s="41" t="n"/>
      <c r="AB814" s="40" t="n"/>
      <c r="AC814" s="51" t="n"/>
      <c r="AD814" s="51" t="n"/>
      <c r="AE814" s="40" t="n"/>
      <c r="AF814" s="52" t="str">
        <f>IF($AM814=0,"",IF($D814&lt;&gt;"",$D814,IF(IFERROR(INDEX(Accounts!$C$7:$C$16,MATCH($C814,Accounts!$B$7:$B$16,0))&amp;"","")&lt;&gt;"",INDEX(Accounts!$C$7:$C$16,MATCH($C814,Accounts!$B$7:$B$16,0)),Settings!$C$6)))</f>
        <v/>
      </c>
      <c r="AG814" s="53" t="str">
        <f>IF($AM814=0,"",IF(AND($BE814&gt;0,N(INDEX(Instruments!$D$6:$D$205,MAX(1,$BE814)))&gt;0),INDEX(Instruments!$D$6:$D$205,MAX(1,$BE814)),IF(N(INDEX(Settings!$D$14:$D$18,$BF814))&gt;0,INDEX(Settings!$D$14:$D$18,$BF814),"")))</f>
        <v/>
      </c>
      <c r="AH814" s="54" t="str">
        <f>IF($AM814=0,"",IF($AF814&lt;&gt;"Forex",1,IF(MID(UPPER(SUBSTITUTE(TRIM($E814),"/","")),4,3)=UPPER(TRIM(Settings!$C$7)),1,IF(LEFT(UPPER(SUBSTITUTE(TRIM($E814),"/","")),3)=UPPER(TRIM(Settings!$C$7)),IF(AND(ISNUMBER($K814),N($K814)&lt;&gt;0),1/$K814,""),""))))</f>
        <v/>
      </c>
      <c r="AI814" s="55" t="str">
        <f>IF($AM814=0,"",IF(OR(NOT(ISNUMBER($H814)),NOT(ISNUMBER($K814)),NOT(ISNUMBER($G814)),$AG814="",$AH814=""),"",ROUND(($K814-$H814)*IF($F814="Short",-1,1)*$G814*$AG814*$AH814,6)))</f>
        <v/>
      </c>
      <c r="AJ814" s="55" t="str">
        <f>IF($AM814=0,"",IF(INDEX(Settings!$E$14:$E$18,$BF814)="% of notional",IF(OR($AG814="",NOT(ISNUMBER($H814)),NOT(ISNUMBER($G814))),"",ROUND(ABS($H814*$G814*$AG814*N($AH814))*IF($L814="Limit",N(INDEX(Settings!$G$14:$G$18,$BF814)),N(INDEX(Settings!$H$14:$H$18,$BF814)))+IF(ISNUMBER($K814),ABS($K814*$G814*$AG814*N($AH814))*IF($M814="Target",N(INDEX(Settings!$G$14:$G$18,$BF814)),N(INDEX(Settings!$H$14:$H$18,$BF814))),0),6)),IF(NOT(ISNUMBER($G814)),"",ROUND(ABS($G814)*2*IF(AND($BE814&gt;0,ISNUMBER(INDEX(Instruments!$G$6:$G$205,MAX(1,$BE814)))),INDEX(Instruments!$G$6:$G$205,MAX(1,$BE814)),N(INDEX(Settings!$F$14:$F$18,$BF814))),6))))</f>
        <v/>
      </c>
      <c r="AK814" s="55" t="str">
        <f>IF($AM814=0,"",IF(ISNUMBER($O814),$O814,$AI814))</f>
        <v/>
      </c>
      <c r="AL814" s="55" t="str">
        <f>IF($AM814=0,"",IF(ISNUMBER($P814),$P814,N($AJ814)))</f>
        <v/>
      </c>
      <c r="AM814" s="56">
        <f>IF(AND($A814&lt;&gt;"",$E814&lt;&gt;"",OR(AND(ISNUMBER($G814),ISNUMBER($H814),ISNUMBER($K814)),ISNUMBER($O814))),1,0)</f>
        <v>0</v>
      </c>
      <c r="AN814" s="57" t="str">
        <f>IF($A814="","",$A814-WEEKDAY($A814,3))</f>
        <v/>
      </c>
      <c r="AO814" s="56" t="str">
        <f>IF($A814="","",WEEKDAY($A814,2))</f>
        <v/>
      </c>
      <c r="AP814" s="55" t="str">
        <f>IF(OR($AM814=0,$C814=""),"",IFERROR(N(INDEX(Accounts!$E$7:$E$16,MATCH($C814,Accounts!$B$7:$B$16,0))),0)+SUMIFS($Q$6:$Q814,$C$6:$C814,$C814))</f>
        <v/>
      </c>
      <c r="AQ814" s="55" t="str">
        <f>IF(OR($AM814=0,$C814=""),"",SUMIFS($Q$6:$Q$1005,$C$6:$C$1005,$C814,$A$6:$A$1005,$A814))</f>
        <v/>
      </c>
      <c r="AR814" s="55" t="str">
        <f>IF(OR($AM814=0,$C814=""),"",IFERROR(N(INDEX(Accounts!$E$7:$E$16,MATCH($C814,Accounts!$B$7:$B$16,0))),0)+SUMIFS($Q$6:$Q$1005,$C$6:$C$1005,$C814,$A$6:$A$1005,"&lt;="&amp;$A814))</f>
        <v/>
      </c>
      <c r="AS814" s="56">
        <f>IF(OR($AM814=0,$Q814=""),0,IF(AND($A814&gt;=Lists!$W$6,$A814&lt;=Lists!$W$7,OR(Dashboard!$D$6="All accounts",$C814=Dashboard!$D$6),OR(Dashboard!$D$7="All markets",$AF814=Dashboard!$D$7)),1,0))</f>
        <v>0</v>
      </c>
      <c r="AT814" s="55">
        <f>IF($AS814=1,N(AT813)+$Q814,N(AT813))</f>
        <v>1187.10688</v>
      </c>
      <c r="AU814" s="55">
        <f>MAX(N(AU813),$AT814)</f>
        <v>1187.10688</v>
      </c>
      <c r="AV814" s="55">
        <f>$AT814-$AU814</f>
        <v>0</v>
      </c>
      <c r="AW814" s="56">
        <f>IF($AS814=1,IF($S814="Win",N(AW813)+1,IF($S814="Loss",0,N(AW813))),N(AW813))</f>
        <v>5</v>
      </c>
      <c r="AX814" s="56">
        <f>IF($AS814=1,IF($S814="Loss",N(AX813)+1,IF($S814="Win",0,N(AX813))),N(AX813))</f>
        <v>0</v>
      </c>
      <c r="AY814" s="56" t="str">
        <f>IF($AS814=1,COUNTIF($AS$6:$AS814,1),"")</f>
        <v/>
      </c>
      <c r="AZ814" s="56">
        <f>MIN(808,N(Lists!$W$8))</f>
        <v>28</v>
      </c>
      <c r="BA814" s="56">
        <f>IF($AS814=1,IF(COUNTIFS($A$6:$A814,$A814,$AS$6:$AS814,1)=1,1,0),0)</f>
        <v>0</v>
      </c>
      <c r="BB814" s="55" t="str">
        <f>IF($BA814=1,SUMIFS($Q$6:$Q$1005,$A$6:$A$1005,$A814,$AS$6:$AS$1005,1),"")</f>
        <v/>
      </c>
      <c r="BC814" s="56">
        <f>IF(ISNUMBER($R814),1,0)</f>
        <v>0</v>
      </c>
      <c r="BD814" s="55" t="str">
        <f>IF(ISNUMBER($U814),$U814*$V814,"")</f>
        <v/>
      </c>
      <c r="BE814" s="56" t="str">
        <f>IF($AM814=0,"",IFERROR(MATCH($AF814&amp;"|"&amp;UPPER(TRIM($E814)),Lists!$A$6:$A$205,0),0))</f>
        <v/>
      </c>
      <c r="BF814" s="56" t="str">
        <f>IF($AM814=0,"",IFERROR(MATCH($AF814,Settings!$B$14:$B$18,0),IFERROR(MATCH(Settings!$C$6,Settings!$B$14:$B$18,0),1)))</f>
        <v/>
      </c>
      <c r="BG814" s="58" t="str">
        <f>IF($AM814=0,"",IF(NOT(ISNUMBER($I814)),"No stop; ","")&amp;IF(AND(ISNUMBER($H814),ISNUMBER($I814)),IF(OR(AND($F814&lt;&gt;"Short",$I814&gt;=$H814),AND($F814="Short",$I814&lt;=$H814)),"Stop on wrong side; ",""),"")&amp;IF($F814="","No direction; ","")&amp;IF(AND(ISNUMBER(Settings!$C$22),ISNUMBER($V814)),IF($V814&gt;Settings!$C$22,"Risk over max $; ",""),"")&amp;IF(AND(ISNUMBER(Settings!$C$23),ISNUMBER($V814),ISNUMBER($AP814),IFERROR(N(INDEX(Accounts!$E$7:$E$16,MATCH($C814,Accounts!$B$7:$B$16,0))),0)&gt;0),IF($V814&gt;Settings!$C$23*($AP814-N($Q814)),"Risk over max %; ",""),"")&amp;IF(AND(ISNUMBER(Settings!$C$24),ISNUMBER($N814)),IF($N814&gt;Settings!$C$24,"Leverage over max; ",""),"")&amp;IF(AND(ISNUMBER(Settings!$C$27),ISNUMBER($T814)),IF($T814&lt;Settings!$C$27,"R:R below min; ",""),"")&amp;IF(ISNUMBER(Settings!$C$25),IF(COUNTIFS($A$6:$A814,$A814,$AM$6:$AM814,1)&gt;Settings!$C$25,"Over max trades/day; ",""),"")&amp;IF(ISNUMBER(Settings!$C$26),IF(SUMIFS($Q$5:$Q813,$A$5:$A813,$A814)&lt;=-Settings!$C$26,"Traded after daily max loss; ",""),"")&amp;IF(AND($AG814="",NOT(ISNUMBER($O814))),"Symbol not in Instruments; ","")&amp;IF(AND($AH814="",NOT(ISNUMBER($O814))),"Forex cross: type Gross P&amp;L; ",""))</f>
        <v/>
      </c>
      <c r="BH814" s="56">
        <f>IF(ISNUMBER($Q814),1,0)</f>
        <v>0</v>
      </c>
      <c r="BI814" s="56">
        <f>IF($Y814="",0,1)</f>
        <v>0</v>
      </c>
      <c r="BJ814" s="56">
        <f>IF($AB814="",0,1)</f>
        <v>0</v>
      </c>
      <c r="BK814" s="56">
        <f>IF(AND($BH814=1,$W814&lt;&gt;"OK"),1,0)</f>
        <v>0</v>
      </c>
      <c r="BL814" s="55">
        <f>IF(N($AZ814)=0,0,IFERROR(INDEX($AT$6:$AT$1005,MATCH($AZ814,$AY$6:$AY$1005,0)),0))</f>
        <v>1187.10688</v>
      </c>
      <c r="BM814" s="56">
        <f>IF(ISNUMBER(SEARCH("daily max loss",$BG814)),1,0)</f>
        <v>0</v>
      </c>
    </row>
    <row r="815" ht="18" customHeight="1">
      <c r="A815" s="38" t="n"/>
      <c r="B815" s="39" t="n"/>
      <c r="C815" s="40" t="n"/>
      <c r="D815" s="41" t="n"/>
      <c r="E815" s="41" t="n"/>
      <c r="F815" s="41" t="n"/>
      <c r="G815" s="41" t="n"/>
      <c r="H815" s="42" t="n"/>
      <c r="I815" s="42" t="n"/>
      <c r="J815" s="42" t="n"/>
      <c r="K815" s="42" t="n"/>
      <c r="L815" s="41" t="n"/>
      <c r="M815" s="41" t="n"/>
      <c r="N815" s="41" t="n"/>
      <c r="O815" s="43" t="n"/>
      <c r="P815" s="43" t="n"/>
      <c r="Q815" s="44" t="str">
        <f>IF($AM815=0,"",IF(ISNUMBER($AK815),$AK815-N($AL815),""))</f>
        <v/>
      </c>
      <c r="R815" s="45" t="str">
        <f>IF(OR($Q815="",NOT(ISNUMBER($V815))),"",$AK815/$V815)</f>
        <v/>
      </c>
      <c r="S815" s="46" t="str">
        <f>IF($Q815="","",IF(AND(ISNUMBER($R815),ABS(N($R815))&lt;N(Settings!$C$8)),"Scratch",IF($Q815&gt;0,"Win",IF($Q815&lt;0,"Loss","Scratch"))))</f>
        <v/>
      </c>
      <c r="T815" s="47" t="str">
        <f>IF(OR($AM815=0,NOT(ISNUMBER($H815)),NOT(ISNUMBER($I815)),NOT(ISNUMBER($J815))),"",IF($H815=$I815,"",ROUND(ABS($J815-$H815)/ABS($H815-$I815),6)))</f>
        <v/>
      </c>
      <c r="U815" s="48" t="str">
        <f>IF(OR($S815&lt;&gt;"Win",NOT(ISNUMBER($T815)),NOT(ISNUMBER($R815))),"",MAX(0,$T815-$R815))</f>
        <v/>
      </c>
      <c r="V815" s="49" t="str">
        <f>IF(OR($AM815=0,NOT(ISNUMBER($H815)),NOT(ISNUMBER($I815)),NOT(ISNUMBER($G815))),"",IF(OR($AG815="",$AH815=""),"",IF(ROUND(ABS($H815-$I815)*ABS($G815)*$AG815*$AH815,6)=0,"",ROUND(ABS($H815-$I815)*ABS($G815)*$AG815*$AH815,6))))</f>
        <v/>
      </c>
      <c r="W815" s="50" t="str">
        <f>IF($AM815=0,"",IF($BG815="","OK",LEFT($BG815,LEN($BG815)-2)))</f>
        <v/>
      </c>
      <c r="X815" s="41" t="n"/>
      <c r="Y815" s="40" t="n"/>
      <c r="Z815" s="41" t="n"/>
      <c r="AA815" s="41" t="n"/>
      <c r="AB815" s="40" t="n"/>
      <c r="AC815" s="51" t="n"/>
      <c r="AD815" s="51" t="n"/>
      <c r="AE815" s="40" t="n"/>
      <c r="AF815" s="52" t="str">
        <f>IF($AM815=0,"",IF($D815&lt;&gt;"",$D815,IF(IFERROR(INDEX(Accounts!$C$7:$C$16,MATCH($C815,Accounts!$B$7:$B$16,0))&amp;"","")&lt;&gt;"",INDEX(Accounts!$C$7:$C$16,MATCH($C815,Accounts!$B$7:$B$16,0)),Settings!$C$6)))</f>
        <v/>
      </c>
      <c r="AG815" s="53" t="str">
        <f>IF($AM815=0,"",IF(AND($BE815&gt;0,N(INDEX(Instruments!$D$6:$D$205,MAX(1,$BE815)))&gt;0),INDEX(Instruments!$D$6:$D$205,MAX(1,$BE815)),IF(N(INDEX(Settings!$D$14:$D$18,$BF815))&gt;0,INDEX(Settings!$D$14:$D$18,$BF815),"")))</f>
        <v/>
      </c>
      <c r="AH815" s="54" t="str">
        <f>IF($AM815=0,"",IF($AF815&lt;&gt;"Forex",1,IF(MID(UPPER(SUBSTITUTE(TRIM($E815),"/","")),4,3)=UPPER(TRIM(Settings!$C$7)),1,IF(LEFT(UPPER(SUBSTITUTE(TRIM($E815),"/","")),3)=UPPER(TRIM(Settings!$C$7)),IF(AND(ISNUMBER($K815),N($K815)&lt;&gt;0),1/$K815,""),""))))</f>
        <v/>
      </c>
      <c r="AI815" s="55" t="str">
        <f>IF($AM815=0,"",IF(OR(NOT(ISNUMBER($H815)),NOT(ISNUMBER($K815)),NOT(ISNUMBER($G815)),$AG815="",$AH815=""),"",ROUND(($K815-$H815)*IF($F815="Short",-1,1)*$G815*$AG815*$AH815,6)))</f>
        <v/>
      </c>
      <c r="AJ815" s="55" t="str">
        <f>IF($AM815=0,"",IF(INDEX(Settings!$E$14:$E$18,$BF815)="% of notional",IF(OR($AG815="",NOT(ISNUMBER($H815)),NOT(ISNUMBER($G815))),"",ROUND(ABS($H815*$G815*$AG815*N($AH815))*IF($L815="Limit",N(INDEX(Settings!$G$14:$G$18,$BF815)),N(INDEX(Settings!$H$14:$H$18,$BF815)))+IF(ISNUMBER($K815),ABS($K815*$G815*$AG815*N($AH815))*IF($M815="Target",N(INDEX(Settings!$G$14:$G$18,$BF815)),N(INDEX(Settings!$H$14:$H$18,$BF815))),0),6)),IF(NOT(ISNUMBER($G815)),"",ROUND(ABS($G815)*2*IF(AND($BE815&gt;0,ISNUMBER(INDEX(Instruments!$G$6:$G$205,MAX(1,$BE815)))),INDEX(Instruments!$G$6:$G$205,MAX(1,$BE815)),N(INDEX(Settings!$F$14:$F$18,$BF815))),6))))</f>
        <v/>
      </c>
      <c r="AK815" s="55" t="str">
        <f>IF($AM815=0,"",IF(ISNUMBER($O815),$O815,$AI815))</f>
        <v/>
      </c>
      <c r="AL815" s="55" t="str">
        <f>IF($AM815=0,"",IF(ISNUMBER($P815),$P815,N($AJ815)))</f>
        <v/>
      </c>
      <c r="AM815" s="56">
        <f>IF(AND($A815&lt;&gt;"",$E815&lt;&gt;"",OR(AND(ISNUMBER($G815),ISNUMBER($H815),ISNUMBER($K815)),ISNUMBER($O815))),1,0)</f>
        <v>0</v>
      </c>
      <c r="AN815" s="57" t="str">
        <f>IF($A815="","",$A815-WEEKDAY($A815,3))</f>
        <v/>
      </c>
      <c r="AO815" s="56" t="str">
        <f>IF($A815="","",WEEKDAY($A815,2))</f>
        <v/>
      </c>
      <c r="AP815" s="55" t="str">
        <f>IF(OR($AM815=0,$C815=""),"",IFERROR(N(INDEX(Accounts!$E$7:$E$16,MATCH($C815,Accounts!$B$7:$B$16,0))),0)+SUMIFS($Q$6:$Q815,$C$6:$C815,$C815))</f>
        <v/>
      </c>
      <c r="AQ815" s="55" t="str">
        <f>IF(OR($AM815=0,$C815=""),"",SUMIFS($Q$6:$Q$1005,$C$6:$C$1005,$C815,$A$6:$A$1005,$A815))</f>
        <v/>
      </c>
      <c r="AR815" s="55" t="str">
        <f>IF(OR($AM815=0,$C815=""),"",IFERROR(N(INDEX(Accounts!$E$7:$E$16,MATCH($C815,Accounts!$B$7:$B$16,0))),0)+SUMIFS($Q$6:$Q$1005,$C$6:$C$1005,$C815,$A$6:$A$1005,"&lt;="&amp;$A815))</f>
        <v/>
      </c>
      <c r="AS815" s="56">
        <f>IF(OR($AM815=0,$Q815=""),0,IF(AND($A815&gt;=Lists!$W$6,$A815&lt;=Lists!$W$7,OR(Dashboard!$D$6="All accounts",$C815=Dashboard!$D$6),OR(Dashboard!$D$7="All markets",$AF815=Dashboard!$D$7)),1,0))</f>
        <v>0</v>
      </c>
      <c r="AT815" s="55">
        <f>IF($AS815=1,N(AT814)+$Q815,N(AT814))</f>
        <v>1187.10688</v>
      </c>
      <c r="AU815" s="55">
        <f>MAX(N(AU814),$AT815)</f>
        <v>1187.10688</v>
      </c>
      <c r="AV815" s="55">
        <f>$AT815-$AU815</f>
        <v>0</v>
      </c>
      <c r="AW815" s="56">
        <f>IF($AS815=1,IF($S815="Win",N(AW814)+1,IF($S815="Loss",0,N(AW814))),N(AW814))</f>
        <v>5</v>
      </c>
      <c r="AX815" s="56">
        <f>IF($AS815=1,IF($S815="Loss",N(AX814)+1,IF($S815="Win",0,N(AX814))),N(AX814))</f>
        <v>0</v>
      </c>
      <c r="AY815" s="56" t="str">
        <f>IF($AS815=1,COUNTIF($AS$6:$AS815,1),"")</f>
        <v/>
      </c>
      <c r="AZ815" s="56">
        <f>MIN(809,N(Lists!$W$8))</f>
        <v>28</v>
      </c>
      <c r="BA815" s="56">
        <f>IF($AS815=1,IF(COUNTIFS($A$6:$A815,$A815,$AS$6:$AS815,1)=1,1,0),0)</f>
        <v>0</v>
      </c>
      <c r="BB815" s="55" t="str">
        <f>IF($BA815=1,SUMIFS($Q$6:$Q$1005,$A$6:$A$1005,$A815,$AS$6:$AS$1005,1),"")</f>
        <v/>
      </c>
      <c r="BC815" s="56">
        <f>IF(ISNUMBER($R815),1,0)</f>
        <v>0</v>
      </c>
      <c r="BD815" s="55" t="str">
        <f>IF(ISNUMBER($U815),$U815*$V815,"")</f>
        <v/>
      </c>
      <c r="BE815" s="56" t="str">
        <f>IF($AM815=0,"",IFERROR(MATCH($AF815&amp;"|"&amp;UPPER(TRIM($E815)),Lists!$A$6:$A$205,0),0))</f>
        <v/>
      </c>
      <c r="BF815" s="56" t="str">
        <f>IF($AM815=0,"",IFERROR(MATCH($AF815,Settings!$B$14:$B$18,0),IFERROR(MATCH(Settings!$C$6,Settings!$B$14:$B$18,0),1)))</f>
        <v/>
      </c>
      <c r="BG815" s="58" t="str">
        <f>IF($AM815=0,"",IF(NOT(ISNUMBER($I815)),"No stop; ","")&amp;IF(AND(ISNUMBER($H815),ISNUMBER($I815)),IF(OR(AND($F815&lt;&gt;"Short",$I815&gt;=$H815),AND($F815="Short",$I815&lt;=$H815)),"Stop on wrong side; ",""),"")&amp;IF($F815="","No direction; ","")&amp;IF(AND(ISNUMBER(Settings!$C$22),ISNUMBER($V815)),IF($V815&gt;Settings!$C$22,"Risk over max $; ",""),"")&amp;IF(AND(ISNUMBER(Settings!$C$23),ISNUMBER($V815),ISNUMBER($AP815),IFERROR(N(INDEX(Accounts!$E$7:$E$16,MATCH($C815,Accounts!$B$7:$B$16,0))),0)&gt;0),IF($V815&gt;Settings!$C$23*($AP815-N($Q815)),"Risk over max %; ",""),"")&amp;IF(AND(ISNUMBER(Settings!$C$24),ISNUMBER($N815)),IF($N815&gt;Settings!$C$24,"Leverage over max; ",""),"")&amp;IF(AND(ISNUMBER(Settings!$C$27),ISNUMBER($T815)),IF($T815&lt;Settings!$C$27,"R:R below min; ",""),"")&amp;IF(ISNUMBER(Settings!$C$25),IF(COUNTIFS($A$6:$A815,$A815,$AM$6:$AM815,1)&gt;Settings!$C$25,"Over max trades/day; ",""),"")&amp;IF(ISNUMBER(Settings!$C$26),IF(SUMIFS($Q$5:$Q814,$A$5:$A814,$A815)&lt;=-Settings!$C$26,"Traded after daily max loss; ",""),"")&amp;IF(AND($AG815="",NOT(ISNUMBER($O815))),"Symbol not in Instruments; ","")&amp;IF(AND($AH815="",NOT(ISNUMBER($O815))),"Forex cross: type Gross P&amp;L; ",""))</f>
        <v/>
      </c>
      <c r="BH815" s="56">
        <f>IF(ISNUMBER($Q815),1,0)</f>
        <v>0</v>
      </c>
      <c r="BI815" s="56">
        <f>IF($Y815="",0,1)</f>
        <v>0</v>
      </c>
      <c r="BJ815" s="56">
        <f>IF($AB815="",0,1)</f>
        <v>0</v>
      </c>
      <c r="BK815" s="56">
        <f>IF(AND($BH815=1,$W815&lt;&gt;"OK"),1,0)</f>
        <v>0</v>
      </c>
      <c r="BL815" s="55">
        <f>IF(N($AZ815)=0,0,IFERROR(INDEX($AT$6:$AT$1005,MATCH($AZ815,$AY$6:$AY$1005,0)),0))</f>
        <v>1187.10688</v>
      </c>
      <c r="BM815" s="56">
        <f>IF(ISNUMBER(SEARCH("daily max loss",$BG815)),1,0)</f>
        <v>0</v>
      </c>
    </row>
    <row r="816" ht="18" customHeight="1">
      <c r="A816" s="38" t="n"/>
      <c r="B816" s="39" t="n"/>
      <c r="C816" s="40" t="n"/>
      <c r="D816" s="41" t="n"/>
      <c r="E816" s="41" t="n"/>
      <c r="F816" s="41" t="n"/>
      <c r="G816" s="41" t="n"/>
      <c r="H816" s="42" t="n"/>
      <c r="I816" s="42" t="n"/>
      <c r="J816" s="42" t="n"/>
      <c r="K816" s="42" t="n"/>
      <c r="L816" s="41" t="n"/>
      <c r="M816" s="41" t="n"/>
      <c r="N816" s="41" t="n"/>
      <c r="O816" s="43" t="n"/>
      <c r="P816" s="43" t="n"/>
      <c r="Q816" s="44" t="str">
        <f>IF($AM816=0,"",IF(ISNUMBER($AK816),$AK816-N($AL816),""))</f>
        <v/>
      </c>
      <c r="R816" s="45" t="str">
        <f>IF(OR($Q816="",NOT(ISNUMBER($V816))),"",$AK816/$V816)</f>
        <v/>
      </c>
      <c r="S816" s="46" t="str">
        <f>IF($Q816="","",IF(AND(ISNUMBER($R816),ABS(N($R816))&lt;N(Settings!$C$8)),"Scratch",IF($Q816&gt;0,"Win",IF($Q816&lt;0,"Loss","Scratch"))))</f>
        <v/>
      </c>
      <c r="T816" s="47" t="str">
        <f>IF(OR($AM816=0,NOT(ISNUMBER($H816)),NOT(ISNUMBER($I816)),NOT(ISNUMBER($J816))),"",IF($H816=$I816,"",ROUND(ABS($J816-$H816)/ABS($H816-$I816),6)))</f>
        <v/>
      </c>
      <c r="U816" s="48" t="str">
        <f>IF(OR($S816&lt;&gt;"Win",NOT(ISNUMBER($T816)),NOT(ISNUMBER($R816))),"",MAX(0,$T816-$R816))</f>
        <v/>
      </c>
      <c r="V816" s="49" t="str">
        <f>IF(OR($AM816=0,NOT(ISNUMBER($H816)),NOT(ISNUMBER($I816)),NOT(ISNUMBER($G816))),"",IF(OR($AG816="",$AH816=""),"",IF(ROUND(ABS($H816-$I816)*ABS($G816)*$AG816*$AH816,6)=0,"",ROUND(ABS($H816-$I816)*ABS($G816)*$AG816*$AH816,6))))</f>
        <v/>
      </c>
      <c r="W816" s="50" t="str">
        <f>IF($AM816=0,"",IF($BG816="","OK",LEFT($BG816,LEN($BG816)-2)))</f>
        <v/>
      </c>
      <c r="X816" s="41" t="n"/>
      <c r="Y816" s="40" t="n"/>
      <c r="Z816" s="41" t="n"/>
      <c r="AA816" s="41" t="n"/>
      <c r="AB816" s="40" t="n"/>
      <c r="AC816" s="51" t="n"/>
      <c r="AD816" s="51" t="n"/>
      <c r="AE816" s="40" t="n"/>
      <c r="AF816" s="52" t="str">
        <f>IF($AM816=0,"",IF($D816&lt;&gt;"",$D816,IF(IFERROR(INDEX(Accounts!$C$7:$C$16,MATCH($C816,Accounts!$B$7:$B$16,0))&amp;"","")&lt;&gt;"",INDEX(Accounts!$C$7:$C$16,MATCH($C816,Accounts!$B$7:$B$16,0)),Settings!$C$6)))</f>
        <v/>
      </c>
      <c r="AG816" s="53" t="str">
        <f>IF($AM816=0,"",IF(AND($BE816&gt;0,N(INDEX(Instruments!$D$6:$D$205,MAX(1,$BE816)))&gt;0),INDEX(Instruments!$D$6:$D$205,MAX(1,$BE816)),IF(N(INDEX(Settings!$D$14:$D$18,$BF816))&gt;0,INDEX(Settings!$D$14:$D$18,$BF816),"")))</f>
        <v/>
      </c>
      <c r="AH816" s="54" t="str">
        <f>IF($AM816=0,"",IF($AF816&lt;&gt;"Forex",1,IF(MID(UPPER(SUBSTITUTE(TRIM($E816),"/","")),4,3)=UPPER(TRIM(Settings!$C$7)),1,IF(LEFT(UPPER(SUBSTITUTE(TRIM($E816),"/","")),3)=UPPER(TRIM(Settings!$C$7)),IF(AND(ISNUMBER($K816),N($K816)&lt;&gt;0),1/$K816,""),""))))</f>
        <v/>
      </c>
      <c r="AI816" s="55" t="str">
        <f>IF($AM816=0,"",IF(OR(NOT(ISNUMBER($H816)),NOT(ISNUMBER($K816)),NOT(ISNUMBER($G816)),$AG816="",$AH816=""),"",ROUND(($K816-$H816)*IF($F816="Short",-1,1)*$G816*$AG816*$AH816,6)))</f>
        <v/>
      </c>
      <c r="AJ816" s="55" t="str">
        <f>IF($AM816=0,"",IF(INDEX(Settings!$E$14:$E$18,$BF816)="% of notional",IF(OR($AG816="",NOT(ISNUMBER($H816)),NOT(ISNUMBER($G816))),"",ROUND(ABS($H816*$G816*$AG816*N($AH816))*IF($L816="Limit",N(INDEX(Settings!$G$14:$G$18,$BF816)),N(INDEX(Settings!$H$14:$H$18,$BF816)))+IF(ISNUMBER($K816),ABS($K816*$G816*$AG816*N($AH816))*IF($M816="Target",N(INDEX(Settings!$G$14:$G$18,$BF816)),N(INDEX(Settings!$H$14:$H$18,$BF816))),0),6)),IF(NOT(ISNUMBER($G816)),"",ROUND(ABS($G816)*2*IF(AND($BE816&gt;0,ISNUMBER(INDEX(Instruments!$G$6:$G$205,MAX(1,$BE816)))),INDEX(Instruments!$G$6:$G$205,MAX(1,$BE816)),N(INDEX(Settings!$F$14:$F$18,$BF816))),6))))</f>
        <v/>
      </c>
      <c r="AK816" s="55" t="str">
        <f>IF($AM816=0,"",IF(ISNUMBER($O816),$O816,$AI816))</f>
        <v/>
      </c>
      <c r="AL816" s="55" t="str">
        <f>IF($AM816=0,"",IF(ISNUMBER($P816),$P816,N($AJ816)))</f>
        <v/>
      </c>
      <c r="AM816" s="56">
        <f>IF(AND($A816&lt;&gt;"",$E816&lt;&gt;"",OR(AND(ISNUMBER($G816),ISNUMBER($H816),ISNUMBER($K816)),ISNUMBER($O816))),1,0)</f>
        <v>0</v>
      </c>
      <c r="AN816" s="57" t="str">
        <f>IF($A816="","",$A816-WEEKDAY($A816,3))</f>
        <v/>
      </c>
      <c r="AO816" s="56" t="str">
        <f>IF($A816="","",WEEKDAY($A816,2))</f>
        <v/>
      </c>
      <c r="AP816" s="55" t="str">
        <f>IF(OR($AM816=0,$C816=""),"",IFERROR(N(INDEX(Accounts!$E$7:$E$16,MATCH($C816,Accounts!$B$7:$B$16,0))),0)+SUMIFS($Q$6:$Q816,$C$6:$C816,$C816))</f>
        <v/>
      </c>
      <c r="AQ816" s="55" t="str">
        <f>IF(OR($AM816=0,$C816=""),"",SUMIFS($Q$6:$Q$1005,$C$6:$C$1005,$C816,$A$6:$A$1005,$A816))</f>
        <v/>
      </c>
      <c r="AR816" s="55" t="str">
        <f>IF(OR($AM816=0,$C816=""),"",IFERROR(N(INDEX(Accounts!$E$7:$E$16,MATCH($C816,Accounts!$B$7:$B$16,0))),0)+SUMIFS($Q$6:$Q$1005,$C$6:$C$1005,$C816,$A$6:$A$1005,"&lt;="&amp;$A816))</f>
        <v/>
      </c>
      <c r="AS816" s="56">
        <f>IF(OR($AM816=0,$Q816=""),0,IF(AND($A816&gt;=Lists!$W$6,$A816&lt;=Lists!$W$7,OR(Dashboard!$D$6="All accounts",$C816=Dashboard!$D$6),OR(Dashboard!$D$7="All markets",$AF816=Dashboard!$D$7)),1,0))</f>
        <v>0</v>
      </c>
      <c r="AT816" s="55">
        <f>IF($AS816=1,N(AT815)+$Q816,N(AT815))</f>
        <v>1187.10688</v>
      </c>
      <c r="AU816" s="55">
        <f>MAX(N(AU815),$AT816)</f>
        <v>1187.10688</v>
      </c>
      <c r="AV816" s="55">
        <f>$AT816-$AU816</f>
        <v>0</v>
      </c>
      <c r="AW816" s="56">
        <f>IF($AS816=1,IF($S816="Win",N(AW815)+1,IF($S816="Loss",0,N(AW815))),N(AW815))</f>
        <v>5</v>
      </c>
      <c r="AX816" s="56">
        <f>IF($AS816=1,IF($S816="Loss",N(AX815)+1,IF($S816="Win",0,N(AX815))),N(AX815))</f>
        <v>0</v>
      </c>
      <c r="AY816" s="56" t="str">
        <f>IF($AS816=1,COUNTIF($AS$6:$AS816,1),"")</f>
        <v/>
      </c>
      <c r="AZ816" s="56">
        <f>MIN(810,N(Lists!$W$8))</f>
        <v>28</v>
      </c>
      <c r="BA816" s="56">
        <f>IF($AS816=1,IF(COUNTIFS($A$6:$A816,$A816,$AS$6:$AS816,1)=1,1,0),0)</f>
        <v>0</v>
      </c>
      <c r="BB816" s="55" t="str">
        <f>IF($BA816=1,SUMIFS($Q$6:$Q$1005,$A$6:$A$1005,$A816,$AS$6:$AS$1005,1),"")</f>
        <v/>
      </c>
      <c r="BC816" s="56">
        <f>IF(ISNUMBER($R816),1,0)</f>
        <v>0</v>
      </c>
      <c r="BD816" s="55" t="str">
        <f>IF(ISNUMBER($U816),$U816*$V816,"")</f>
        <v/>
      </c>
      <c r="BE816" s="56" t="str">
        <f>IF($AM816=0,"",IFERROR(MATCH($AF816&amp;"|"&amp;UPPER(TRIM($E816)),Lists!$A$6:$A$205,0),0))</f>
        <v/>
      </c>
      <c r="BF816" s="56" t="str">
        <f>IF($AM816=0,"",IFERROR(MATCH($AF816,Settings!$B$14:$B$18,0),IFERROR(MATCH(Settings!$C$6,Settings!$B$14:$B$18,0),1)))</f>
        <v/>
      </c>
      <c r="BG816" s="58" t="str">
        <f>IF($AM816=0,"",IF(NOT(ISNUMBER($I816)),"No stop; ","")&amp;IF(AND(ISNUMBER($H816),ISNUMBER($I816)),IF(OR(AND($F816&lt;&gt;"Short",$I816&gt;=$H816),AND($F816="Short",$I816&lt;=$H816)),"Stop on wrong side; ",""),"")&amp;IF($F816="","No direction; ","")&amp;IF(AND(ISNUMBER(Settings!$C$22),ISNUMBER($V816)),IF($V816&gt;Settings!$C$22,"Risk over max $; ",""),"")&amp;IF(AND(ISNUMBER(Settings!$C$23),ISNUMBER($V816),ISNUMBER($AP816),IFERROR(N(INDEX(Accounts!$E$7:$E$16,MATCH($C816,Accounts!$B$7:$B$16,0))),0)&gt;0),IF($V816&gt;Settings!$C$23*($AP816-N($Q816)),"Risk over max %; ",""),"")&amp;IF(AND(ISNUMBER(Settings!$C$24),ISNUMBER($N816)),IF($N816&gt;Settings!$C$24,"Leverage over max; ",""),"")&amp;IF(AND(ISNUMBER(Settings!$C$27),ISNUMBER($T816)),IF($T816&lt;Settings!$C$27,"R:R below min; ",""),"")&amp;IF(ISNUMBER(Settings!$C$25),IF(COUNTIFS($A$6:$A816,$A816,$AM$6:$AM816,1)&gt;Settings!$C$25,"Over max trades/day; ",""),"")&amp;IF(ISNUMBER(Settings!$C$26),IF(SUMIFS($Q$5:$Q815,$A$5:$A815,$A816)&lt;=-Settings!$C$26,"Traded after daily max loss; ",""),"")&amp;IF(AND($AG816="",NOT(ISNUMBER($O816))),"Symbol not in Instruments; ","")&amp;IF(AND($AH816="",NOT(ISNUMBER($O816))),"Forex cross: type Gross P&amp;L; ",""))</f>
        <v/>
      </c>
      <c r="BH816" s="56">
        <f>IF(ISNUMBER($Q816),1,0)</f>
        <v>0</v>
      </c>
      <c r="BI816" s="56">
        <f>IF($Y816="",0,1)</f>
        <v>0</v>
      </c>
      <c r="BJ816" s="56">
        <f>IF($AB816="",0,1)</f>
        <v>0</v>
      </c>
      <c r="BK816" s="56">
        <f>IF(AND($BH816=1,$W816&lt;&gt;"OK"),1,0)</f>
        <v>0</v>
      </c>
      <c r="BL816" s="55">
        <f>IF(N($AZ816)=0,0,IFERROR(INDEX($AT$6:$AT$1005,MATCH($AZ816,$AY$6:$AY$1005,0)),0))</f>
        <v>1187.10688</v>
      </c>
      <c r="BM816" s="56">
        <f>IF(ISNUMBER(SEARCH("daily max loss",$BG816)),1,0)</f>
        <v>0</v>
      </c>
    </row>
    <row r="817" ht="18" customHeight="1">
      <c r="A817" s="38" t="n"/>
      <c r="B817" s="39" t="n"/>
      <c r="C817" s="40" t="n"/>
      <c r="D817" s="41" t="n"/>
      <c r="E817" s="41" t="n"/>
      <c r="F817" s="41" t="n"/>
      <c r="G817" s="41" t="n"/>
      <c r="H817" s="42" t="n"/>
      <c r="I817" s="42" t="n"/>
      <c r="J817" s="42" t="n"/>
      <c r="K817" s="42" t="n"/>
      <c r="L817" s="41" t="n"/>
      <c r="M817" s="41" t="n"/>
      <c r="N817" s="41" t="n"/>
      <c r="O817" s="43" t="n"/>
      <c r="P817" s="43" t="n"/>
      <c r="Q817" s="44" t="str">
        <f>IF($AM817=0,"",IF(ISNUMBER($AK817),$AK817-N($AL817),""))</f>
        <v/>
      </c>
      <c r="R817" s="45" t="str">
        <f>IF(OR($Q817="",NOT(ISNUMBER($V817))),"",$AK817/$V817)</f>
        <v/>
      </c>
      <c r="S817" s="46" t="str">
        <f>IF($Q817="","",IF(AND(ISNUMBER($R817),ABS(N($R817))&lt;N(Settings!$C$8)),"Scratch",IF($Q817&gt;0,"Win",IF($Q817&lt;0,"Loss","Scratch"))))</f>
        <v/>
      </c>
      <c r="T817" s="47" t="str">
        <f>IF(OR($AM817=0,NOT(ISNUMBER($H817)),NOT(ISNUMBER($I817)),NOT(ISNUMBER($J817))),"",IF($H817=$I817,"",ROUND(ABS($J817-$H817)/ABS($H817-$I817),6)))</f>
        <v/>
      </c>
      <c r="U817" s="48" t="str">
        <f>IF(OR($S817&lt;&gt;"Win",NOT(ISNUMBER($T817)),NOT(ISNUMBER($R817))),"",MAX(0,$T817-$R817))</f>
        <v/>
      </c>
      <c r="V817" s="49" t="str">
        <f>IF(OR($AM817=0,NOT(ISNUMBER($H817)),NOT(ISNUMBER($I817)),NOT(ISNUMBER($G817))),"",IF(OR($AG817="",$AH817=""),"",IF(ROUND(ABS($H817-$I817)*ABS($G817)*$AG817*$AH817,6)=0,"",ROUND(ABS($H817-$I817)*ABS($G817)*$AG817*$AH817,6))))</f>
        <v/>
      </c>
      <c r="W817" s="50" t="str">
        <f>IF($AM817=0,"",IF($BG817="","OK",LEFT($BG817,LEN($BG817)-2)))</f>
        <v/>
      </c>
      <c r="X817" s="41" t="n"/>
      <c r="Y817" s="40" t="n"/>
      <c r="Z817" s="41" t="n"/>
      <c r="AA817" s="41" t="n"/>
      <c r="AB817" s="40" t="n"/>
      <c r="AC817" s="51" t="n"/>
      <c r="AD817" s="51" t="n"/>
      <c r="AE817" s="40" t="n"/>
      <c r="AF817" s="52" t="str">
        <f>IF($AM817=0,"",IF($D817&lt;&gt;"",$D817,IF(IFERROR(INDEX(Accounts!$C$7:$C$16,MATCH($C817,Accounts!$B$7:$B$16,0))&amp;"","")&lt;&gt;"",INDEX(Accounts!$C$7:$C$16,MATCH($C817,Accounts!$B$7:$B$16,0)),Settings!$C$6)))</f>
        <v/>
      </c>
      <c r="AG817" s="53" t="str">
        <f>IF($AM817=0,"",IF(AND($BE817&gt;0,N(INDEX(Instruments!$D$6:$D$205,MAX(1,$BE817)))&gt;0),INDEX(Instruments!$D$6:$D$205,MAX(1,$BE817)),IF(N(INDEX(Settings!$D$14:$D$18,$BF817))&gt;0,INDEX(Settings!$D$14:$D$18,$BF817),"")))</f>
        <v/>
      </c>
      <c r="AH817" s="54" t="str">
        <f>IF($AM817=0,"",IF($AF817&lt;&gt;"Forex",1,IF(MID(UPPER(SUBSTITUTE(TRIM($E817),"/","")),4,3)=UPPER(TRIM(Settings!$C$7)),1,IF(LEFT(UPPER(SUBSTITUTE(TRIM($E817),"/","")),3)=UPPER(TRIM(Settings!$C$7)),IF(AND(ISNUMBER($K817),N($K817)&lt;&gt;0),1/$K817,""),""))))</f>
        <v/>
      </c>
      <c r="AI817" s="55" t="str">
        <f>IF($AM817=0,"",IF(OR(NOT(ISNUMBER($H817)),NOT(ISNUMBER($K817)),NOT(ISNUMBER($G817)),$AG817="",$AH817=""),"",ROUND(($K817-$H817)*IF($F817="Short",-1,1)*$G817*$AG817*$AH817,6)))</f>
        <v/>
      </c>
      <c r="AJ817" s="55" t="str">
        <f>IF($AM817=0,"",IF(INDEX(Settings!$E$14:$E$18,$BF817)="% of notional",IF(OR($AG817="",NOT(ISNUMBER($H817)),NOT(ISNUMBER($G817))),"",ROUND(ABS($H817*$G817*$AG817*N($AH817))*IF($L817="Limit",N(INDEX(Settings!$G$14:$G$18,$BF817)),N(INDEX(Settings!$H$14:$H$18,$BF817)))+IF(ISNUMBER($K817),ABS($K817*$G817*$AG817*N($AH817))*IF($M817="Target",N(INDEX(Settings!$G$14:$G$18,$BF817)),N(INDEX(Settings!$H$14:$H$18,$BF817))),0),6)),IF(NOT(ISNUMBER($G817)),"",ROUND(ABS($G817)*2*IF(AND($BE817&gt;0,ISNUMBER(INDEX(Instruments!$G$6:$G$205,MAX(1,$BE817)))),INDEX(Instruments!$G$6:$G$205,MAX(1,$BE817)),N(INDEX(Settings!$F$14:$F$18,$BF817))),6))))</f>
        <v/>
      </c>
      <c r="AK817" s="55" t="str">
        <f>IF($AM817=0,"",IF(ISNUMBER($O817),$O817,$AI817))</f>
        <v/>
      </c>
      <c r="AL817" s="55" t="str">
        <f>IF($AM817=0,"",IF(ISNUMBER($P817),$P817,N($AJ817)))</f>
        <v/>
      </c>
      <c r="AM817" s="56">
        <f>IF(AND($A817&lt;&gt;"",$E817&lt;&gt;"",OR(AND(ISNUMBER($G817),ISNUMBER($H817),ISNUMBER($K817)),ISNUMBER($O817))),1,0)</f>
        <v>0</v>
      </c>
      <c r="AN817" s="57" t="str">
        <f>IF($A817="","",$A817-WEEKDAY($A817,3))</f>
        <v/>
      </c>
      <c r="AO817" s="56" t="str">
        <f>IF($A817="","",WEEKDAY($A817,2))</f>
        <v/>
      </c>
      <c r="AP817" s="55" t="str">
        <f>IF(OR($AM817=0,$C817=""),"",IFERROR(N(INDEX(Accounts!$E$7:$E$16,MATCH($C817,Accounts!$B$7:$B$16,0))),0)+SUMIFS($Q$6:$Q817,$C$6:$C817,$C817))</f>
        <v/>
      </c>
      <c r="AQ817" s="55" t="str">
        <f>IF(OR($AM817=0,$C817=""),"",SUMIFS($Q$6:$Q$1005,$C$6:$C$1005,$C817,$A$6:$A$1005,$A817))</f>
        <v/>
      </c>
      <c r="AR817" s="55" t="str">
        <f>IF(OR($AM817=0,$C817=""),"",IFERROR(N(INDEX(Accounts!$E$7:$E$16,MATCH($C817,Accounts!$B$7:$B$16,0))),0)+SUMIFS($Q$6:$Q$1005,$C$6:$C$1005,$C817,$A$6:$A$1005,"&lt;="&amp;$A817))</f>
        <v/>
      </c>
      <c r="AS817" s="56">
        <f>IF(OR($AM817=0,$Q817=""),0,IF(AND($A817&gt;=Lists!$W$6,$A817&lt;=Lists!$W$7,OR(Dashboard!$D$6="All accounts",$C817=Dashboard!$D$6),OR(Dashboard!$D$7="All markets",$AF817=Dashboard!$D$7)),1,0))</f>
        <v>0</v>
      </c>
      <c r="AT817" s="55">
        <f>IF($AS817=1,N(AT816)+$Q817,N(AT816))</f>
        <v>1187.10688</v>
      </c>
      <c r="AU817" s="55">
        <f>MAX(N(AU816),$AT817)</f>
        <v>1187.10688</v>
      </c>
      <c r="AV817" s="55">
        <f>$AT817-$AU817</f>
        <v>0</v>
      </c>
      <c r="AW817" s="56">
        <f>IF($AS817=1,IF($S817="Win",N(AW816)+1,IF($S817="Loss",0,N(AW816))),N(AW816))</f>
        <v>5</v>
      </c>
      <c r="AX817" s="56">
        <f>IF($AS817=1,IF($S817="Loss",N(AX816)+1,IF($S817="Win",0,N(AX816))),N(AX816))</f>
        <v>0</v>
      </c>
      <c r="AY817" s="56" t="str">
        <f>IF($AS817=1,COUNTIF($AS$6:$AS817,1),"")</f>
        <v/>
      </c>
      <c r="AZ817" s="56">
        <f>MIN(811,N(Lists!$W$8))</f>
        <v>28</v>
      </c>
      <c r="BA817" s="56">
        <f>IF($AS817=1,IF(COUNTIFS($A$6:$A817,$A817,$AS$6:$AS817,1)=1,1,0),0)</f>
        <v>0</v>
      </c>
      <c r="BB817" s="55" t="str">
        <f>IF($BA817=1,SUMIFS($Q$6:$Q$1005,$A$6:$A$1005,$A817,$AS$6:$AS$1005,1),"")</f>
        <v/>
      </c>
      <c r="BC817" s="56">
        <f>IF(ISNUMBER($R817),1,0)</f>
        <v>0</v>
      </c>
      <c r="BD817" s="55" t="str">
        <f>IF(ISNUMBER($U817),$U817*$V817,"")</f>
        <v/>
      </c>
      <c r="BE817" s="56" t="str">
        <f>IF($AM817=0,"",IFERROR(MATCH($AF817&amp;"|"&amp;UPPER(TRIM($E817)),Lists!$A$6:$A$205,0),0))</f>
        <v/>
      </c>
      <c r="BF817" s="56" t="str">
        <f>IF($AM817=0,"",IFERROR(MATCH($AF817,Settings!$B$14:$B$18,0),IFERROR(MATCH(Settings!$C$6,Settings!$B$14:$B$18,0),1)))</f>
        <v/>
      </c>
      <c r="BG817" s="58" t="str">
        <f>IF($AM817=0,"",IF(NOT(ISNUMBER($I817)),"No stop; ","")&amp;IF(AND(ISNUMBER($H817),ISNUMBER($I817)),IF(OR(AND($F817&lt;&gt;"Short",$I817&gt;=$H817),AND($F817="Short",$I817&lt;=$H817)),"Stop on wrong side; ",""),"")&amp;IF($F817="","No direction; ","")&amp;IF(AND(ISNUMBER(Settings!$C$22),ISNUMBER($V817)),IF($V817&gt;Settings!$C$22,"Risk over max $; ",""),"")&amp;IF(AND(ISNUMBER(Settings!$C$23),ISNUMBER($V817),ISNUMBER($AP817),IFERROR(N(INDEX(Accounts!$E$7:$E$16,MATCH($C817,Accounts!$B$7:$B$16,0))),0)&gt;0),IF($V817&gt;Settings!$C$23*($AP817-N($Q817)),"Risk over max %; ",""),"")&amp;IF(AND(ISNUMBER(Settings!$C$24),ISNUMBER($N817)),IF($N817&gt;Settings!$C$24,"Leverage over max; ",""),"")&amp;IF(AND(ISNUMBER(Settings!$C$27),ISNUMBER($T817)),IF($T817&lt;Settings!$C$27,"R:R below min; ",""),"")&amp;IF(ISNUMBER(Settings!$C$25),IF(COUNTIFS($A$6:$A817,$A817,$AM$6:$AM817,1)&gt;Settings!$C$25,"Over max trades/day; ",""),"")&amp;IF(ISNUMBER(Settings!$C$26),IF(SUMIFS($Q$5:$Q816,$A$5:$A816,$A817)&lt;=-Settings!$C$26,"Traded after daily max loss; ",""),"")&amp;IF(AND($AG817="",NOT(ISNUMBER($O817))),"Symbol not in Instruments; ","")&amp;IF(AND($AH817="",NOT(ISNUMBER($O817))),"Forex cross: type Gross P&amp;L; ",""))</f>
        <v/>
      </c>
      <c r="BH817" s="56">
        <f>IF(ISNUMBER($Q817),1,0)</f>
        <v>0</v>
      </c>
      <c r="BI817" s="56">
        <f>IF($Y817="",0,1)</f>
        <v>0</v>
      </c>
      <c r="BJ817" s="56">
        <f>IF($AB817="",0,1)</f>
        <v>0</v>
      </c>
      <c r="BK817" s="56">
        <f>IF(AND($BH817=1,$W817&lt;&gt;"OK"),1,0)</f>
        <v>0</v>
      </c>
      <c r="BL817" s="55">
        <f>IF(N($AZ817)=0,0,IFERROR(INDEX($AT$6:$AT$1005,MATCH($AZ817,$AY$6:$AY$1005,0)),0))</f>
        <v>1187.10688</v>
      </c>
      <c r="BM817" s="56">
        <f>IF(ISNUMBER(SEARCH("daily max loss",$BG817)),1,0)</f>
        <v>0</v>
      </c>
    </row>
    <row r="818" ht="18" customHeight="1">
      <c r="A818" s="38" t="n"/>
      <c r="B818" s="39" t="n"/>
      <c r="C818" s="40" t="n"/>
      <c r="D818" s="41" t="n"/>
      <c r="E818" s="41" t="n"/>
      <c r="F818" s="41" t="n"/>
      <c r="G818" s="41" t="n"/>
      <c r="H818" s="42" t="n"/>
      <c r="I818" s="42" t="n"/>
      <c r="J818" s="42" t="n"/>
      <c r="K818" s="42" t="n"/>
      <c r="L818" s="41" t="n"/>
      <c r="M818" s="41" t="n"/>
      <c r="N818" s="41" t="n"/>
      <c r="O818" s="43" t="n"/>
      <c r="P818" s="43" t="n"/>
      <c r="Q818" s="44" t="str">
        <f>IF($AM818=0,"",IF(ISNUMBER($AK818),$AK818-N($AL818),""))</f>
        <v/>
      </c>
      <c r="R818" s="45" t="str">
        <f>IF(OR($Q818="",NOT(ISNUMBER($V818))),"",$AK818/$V818)</f>
        <v/>
      </c>
      <c r="S818" s="46" t="str">
        <f>IF($Q818="","",IF(AND(ISNUMBER($R818),ABS(N($R818))&lt;N(Settings!$C$8)),"Scratch",IF($Q818&gt;0,"Win",IF($Q818&lt;0,"Loss","Scratch"))))</f>
        <v/>
      </c>
      <c r="T818" s="47" t="str">
        <f>IF(OR($AM818=0,NOT(ISNUMBER($H818)),NOT(ISNUMBER($I818)),NOT(ISNUMBER($J818))),"",IF($H818=$I818,"",ROUND(ABS($J818-$H818)/ABS($H818-$I818),6)))</f>
        <v/>
      </c>
      <c r="U818" s="48" t="str">
        <f>IF(OR($S818&lt;&gt;"Win",NOT(ISNUMBER($T818)),NOT(ISNUMBER($R818))),"",MAX(0,$T818-$R818))</f>
        <v/>
      </c>
      <c r="V818" s="49" t="str">
        <f>IF(OR($AM818=0,NOT(ISNUMBER($H818)),NOT(ISNUMBER($I818)),NOT(ISNUMBER($G818))),"",IF(OR($AG818="",$AH818=""),"",IF(ROUND(ABS($H818-$I818)*ABS($G818)*$AG818*$AH818,6)=0,"",ROUND(ABS($H818-$I818)*ABS($G818)*$AG818*$AH818,6))))</f>
        <v/>
      </c>
      <c r="W818" s="50" t="str">
        <f>IF($AM818=0,"",IF($BG818="","OK",LEFT($BG818,LEN($BG818)-2)))</f>
        <v/>
      </c>
      <c r="X818" s="41" t="n"/>
      <c r="Y818" s="40" t="n"/>
      <c r="Z818" s="41" t="n"/>
      <c r="AA818" s="41" t="n"/>
      <c r="AB818" s="40" t="n"/>
      <c r="AC818" s="51" t="n"/>
      <c r="AD818" s="51" t="n"/>
      <c r="AE818" s="40" t="n"/>
      <c r="AF818" s="52" t="str">
        <f>IF($AM818=0,"",IF($D818&lt;&gt;"",$D818,IF(IFERROR(INDEX(Accounts!$C$7:$C$16,MATCH($C818,Accounts!$B$7:$B$16,0))&amp;"","")&lt;&gt;"",INDEX(Accounts!$C$7:$C$16,MATCH($C818,Accounts!$B$7:$B$16,0)),Settings!$C$6)))</f>
        <v/>
      </c>
      <c r="AG818" s="53" t="str">
        <f>IF($AM818=0,"",IF(AND($BE818&gt;0,N(INDEX(Instruments!$D$6:$D$205,MAX(1,$BE818)))&gt;0),INDEX(Instruments!$D$6:$D$205,MAX(1,$BE818)),IF(N(INDEX(Settings!$D$14:$D$18,$BF818))&gt;0,INDEX(Settings!$D$14:$D$18,$BF818),"")))</f>
        <v/>
      </c>
      <c r="AH818" s="54" t="str">
        <f>IF($AM818=0,"",IF($AF818&lt;&gt;"Forex",1,IF(MID(UPPER(SUBSTITUTE(TRIM($E818),"/","")),4,3)=UPPER(TRIM(Settings!$C$7)),1,IF(LEFT(UPPER(SUBSTITUTE(TRIM($E818),"/","")),3)=UPPER(TRIM(Settings!$C$7)),IF(AND(ISNUMBER($K818),N($K818)&lt;&gt;0),1/$K818,""),""))))</f>
        <v/>
      </c>
      <c r="AI818" s="55" t="str">
        <f>IF($AM818=0,"",IF(OR(NOT(ISNUMBER($H818)),NOT(ISNUMBER($K818)),NOT(ISNUMBER($G818)),$AG818="",$AH818=""),"",ROUND(($K818-$H818)*IF($F818="Short",-1,1)*$G818*$AG818*$AH818,6)))</f>
        <v/>
      </c>
      <c r="AJ818" s="55" t="str">
        <f>IF($AM818=0,"",IF(INDEX(Settings!$E$14:$E$18,$BF818)="% of notional",IF(OR($AG818="",NOT(ISNUMBER($H818)),NOT(ISNUMBER($G818))),"",ROUND(ABS($H818*$G818*$AG818*N($AH818))*IF($L818="Limit",N(INDEX(Settings!$G$14:$G$18,$BF818)),N(INDEX(Settings!$H$14:$H$18,$BF818)))+IF(ISNUMBER($K818),ABS($K818*$G818*$AG818*N($AH818))*IF($M818="Target",N(INDEX(Settings!$G$14:$G$18,$BF818)),N(INDEX(Settings!$H$14:$H$18,$BF818))),0),6)),IF(NOT(ISNUMBER($G818)),"",ROUND(ABS($G818)*2*IF(AND($BE818&gt;0,ISNUMBER(INDEX(Instruments!$G$6:$G$205,MAX(1,$BE818)))),INDEX(Instruments!$G$6:$G$205,MAX(1,$BE818)),N(INDEX(Settings!$F$14:$F$18,$BF818))),6))))</f>
        <v/>
      </c>
      <c r="AK818" s="55" t="str">
        <f>IF($AM818=0,"",IF(ISNUMBER($O818),$O818,$AI818))</f>
        <v/>
      </c>
      <c r="AL818" s="55" t="str">
        <f>IF($AM818=0,"",IF(ISNUMBER($P818),$P818,N($AJ818)))</f>
        <v/>
      </c>
      <c r="AM818" s="56">
        <f>IF(AND($A818&lt;&gt;"",$E818&lt;&gt;"",OR(AND(ISNUMBER($G818),ISNUMBER($H818),ISNUMBER($K818)),ISNUMBER($O818))),1,0)</f>
        <v>0</v>
      </c>
      <c r="AN818" s="57" t="str">
        <f>IF($A818="","",$A818-WEEKDAY($A818,3))</f>
        <v/>
      </c>
      <c r="AO818" s="56" t="str">
        <f>IF($A818="","",WEEKDAY($A818,2))</f>
        <v/>
      </c>
      <c r="AP818" s="55" t="str">
        <f>IF(OR($AM818=0,$C818=""),"",IFERROR(N(INDEX(Accounts!$E$7:$E$16,MATCH($C818,Accounts!$B$7:$B$16,0))),0)+SUMIFS($Q$6:$Q818,$C$6:$C818,$C818))</f>
        <v/>
      </c>
      <c r="AQ818" s="55" t="str">
        <f>IF(OR($AM818=0,$C818=""),"",SUMIFS($Q$6:$Q$1005,$C$6:$C$1005,$C818,$A$6:$A$1005,$A818))</f>
        <v/>
      </c>
      <c r="AR818" s="55" t="str">
        <f>IF(OR($AM818=0,$C818=""),"",IFERROR(N(INDEX(Accounts!$E$7:$E$16,MATCH($C818,Accounts!$B$7:$B$16,0))),0)+SUMIFS($Q$6:$Q$1005,$C$6:$C$1005,$C818,$A$6:$A$1005,"&lt;="&amp;$A818))</f>
        <v/>
      </c>
      <c r="AS818" s="56">
        <f>IF(OR($AM818=0,$Q818=""),0,IF(AND($A818&gt;=Lists!$W$6,$A818&lt;=Lists!$W$7,OR(Dashboard!$D$6="All accounts",$C818=Dashboard!$D$6),OR(Dashboard!$D$7="All markets",$AF818=Dashboard!$D$7)),1,0))</f>
        <v>0</v>
      </c>
      <c r="AT818" s="55">
        <f>IF($AS818=1,N(AT817)+$Q818,N(AT817))</f>
        <v>1187.10688</v>
      </c>
      <c r="AU818" s="55">
        <f>MAX(N(AU817),$AT818)</f>
        <v>1187.10688</v>
      </c>
      <c r="AV818" s="55">
        <f>$AT818-$AU818</f>
        <v>0</v>
      </c>
      <c r="AW818" s="56">
        <f>IF($AS818=1,IF($S818="Win",N(AW817)+1,IF($S818="Loss",0,N(AW817))),N(AW817))</f>
        <v>5</v>
      </c>
      <c r="AX818" s="56">
        <f>IF($AS818=1,IF($S818="Loss",N(AX817)+1,IF($S818="Win",0,N(AX817))),N(AX817))</f>
        <v>0</v>
      </c>
      <c r="AY818" s="56" t="str">
        <f>IF($AS818=1,COUNTIF($AS$6:$AS818,1),"")</f>
        <v/>
      </c>
      <c r="AZ818" s="56">
        <f>MIN(812,N(Lists!$W$8))</f>
        <v>28</v>
      </c>
      <c r="BA818" s="56">
        <f>IF($AS818=1,IF(COUNTIFS($A$6:$A818,$A818,$AS$6:$AS818,1)=1,1,0),0)</f>
        <v>0</v>
      </c>
      <c r="BB818" s="55" t="str">
        <f>IF($BA818=1,SUMIFS($Q$6:$Q$1005,$A$6:$A$1005,$A818,$AS$6:$AS$1005,1),"")</f>
        <v/>
      </c>
      <c r="BC818" s="56">
        <f>IF(ISNUMBER($R818),1,0)</f>
        <v>0</v>
      </c>
      <c r="BD818" s="55" t="str">
        <f>IF(ISNUMBER($U818),$U818*$V818,"")</f>
        <v/>
      </c>
      <c r="BE818" s="56" t="str">
        <f>IF($AM818=0,"",IFERROR(MATCH($AF818&amp;"|"&amp;UPPER(TRIM($E818)),Lists!$A$6:$A$205,0),0))</f>
        <v/>
      </c>
      <c r="BF818" s="56" t="str">
        <f>IF($AM818=0,"",IFERROR(MATCH($AF818,Settings!$B$14:$B$18,0),IFERROR(MATCH(Settings!$C$6,Settings!$B$14:$B$18,0),1)))</f>
        <v/>
      </c>
      <c r="BG818" s="58" t="str">
        <f>IF($AM818=0,"",IF(NOT(ISNUMBER($I818)),"No stop; ","")&amp;IF(AND(ISNUMBER($H818),ISNUMBER($I818)),IF(OR(AND($F818&lt;&gt;"Short",$I818&gt;=$H818),AND($F818="Short",$I818&lt;=$H818)),"Stop on wrong side; ",""),"")&amp;IF($F818="","No direction; ","")&amp;IF(AND(ISNUMBER(Settings!$C$22),ISNUMBER($V818)),IF($V818&gt;Settings!$C$22,"Risk over max $; ",""),"")&amp;IF(AND(ISNUMBER(Settings!$C$23),ISNUMBER($V818),ISNUMBER($AP818),IFERROR(N(INDEX(Accounts!$E$7:$E$16,MATCH($C818,Accounts!$B$7:$B$16,0))),0)&gt;0),IF($V818&gt;Settings!$C$23*($AP818-N($Q818)),"Risk over max %; ",""),"")&amp;IF(AND(ISNUMBER(Settings!$C$24),ISNUMBER($N818)),IF($N818&gt;Settings!$C$24,"Leverage over max; ",""),"")&amp;IF(AND(ISNUMBER(Settings!$C$27),ISNUMBER($T818)),IF($T818&lt;Settings!$C$27,"R:R below min; ",""),"")&amp;IF(ISNUMBER(Settings!$C$25),IF(COUNTIFS($A$6:$A818,$A818,$AM$6:$AM818,1)&gt;Settings!$C$25,"Over max trades/day; ",""),"")&amp;IF(ISNUMBER(Settings!$C$26),IF(SUMIFS($Q$5:$Q817,$A$5:$A817,$A818)&lt;=-Settings!$C$26,"Traded after daily max loss; ",""),"")&amp;IF(AND($AG818="",NOT(ISNUMBER($O818))),"Symbol not in Instruments; ","")&amp;IF(AND($AH818="",NOT(ISNUMBER($O818))),"Forex cross: type Gross P&amp;L; ",""))</f>
        <v/>
      </c>
      <c r="BH818" s="56">
        <f>IF(ISNUMBER($Q818),1,0)</f>
        <v>0</v>
      </c>
      <c r="BI818" s="56">
        <f>IF($Y818="",0,1)</f>
        <v>0</v>
      </c>
      <c r="BJ818" s="56">
        <f>IF($AB818="",0,1)</f>
        <v>0</v>
      </c>
      <c r="BK818" s="56">
        <f>IF(AND($BH818=1,$W818&lt;&gt;"OK"),1,0)</f>
        <v>0</v>
      </c>
      <c r="BL818" s="55">
        <f>IF(N($AZ818)=0,0,IFERROR(INDEX($AT$6:$AT$1005,MATCH($AZ818,$AY$6:$AY$1005,0)),0))</f>
        <v>1187.10688</v>
      </c>
      <c r="BM818" s="56">
        <f>IF(ISNUMBER(SEARCH("daily max loss",$BG818)),1,0)</f>
        <v>0</v>
      </c>
    </row>
    <row r="819" ht="18" customHeight="1">
      <c r="A819" s="38" t="n"/>
      <c r="B819" s="39" t="n"/>
      <c r="C819" s="40" t="n"/>
      <c r="D819" s="41" t="n"/>
      <c r="E819" s="41" t="n"/>
      <c r="F819" s="41" t="n"/>
      <c r="G819" s="41" t="n"/>
      <c r="H819" s="42" t="n"/>
      <c r="I819" s="42" t="n"/>
      <c r="J819" s="42" t="n"/>
      <c r="K819" s="42" t="n"/>
      <c r="L819" s="41" t="n"/>
      <c r="M819" s="41" t="n"/>
      <c r="N819" s="41" t="n"/>
      <c r="O819" s="43" t="n"/>
      <c r="P819" s="43" t="n"/>
      <c r="Q819" s="44" t="str">
        <f>IF($AM819=0,"",IF(ISNUMBER($AK819),$AK819-N($AL819),""))</f>
        <v/>
      </c>
      <c r="R819" s="45" t="str">
        <f>IF(OR($Q819="",NOT(ISNUMBER($V819))),"",$AK819/$V819)</f>
        <v/>
      </c>
      <c r="S819" s="46" t="str">
        <f>IF($Q819="","",IF(AND(ISNUMBER($R819),ABS(N($R819))&lt;N(Settings!$C$8)),"Scratch",IF($Q819&gt;0,"Win",IF($Q819&lt;0,"Loss","Scratch"))))</f>
        <v/>
      </c>
      <c r="T819" s="47" t="str">
        <f>IF(OR($AM819=0,NOT(ISNUMBER($H819)),NOT(ISNUMBER($I819)),NOT(ISNUMBER($J819))),"",IF($H819=$I819,"",ROUND(ABS($J819-$H819)/ABS($H819-$I819),6)))</f>
        <v/>
      </c>
      <c r="U819" s="48" t="str">
        <f>IF(OR($S819&lt;&gt;"Win",NOT(ISNUMBER($T819)),NOT(ISNUMBER($R819))),"",MAX(0,$T819-$R819))</f>
        <v/>
      </c>
      <c r="V819" s="49" t="str">
        <f>IF(OR($AM819=0,NOT(ISNUMBER($H819)),NOT(ISNUMBER($I819)),NOT(ISNUMBER($G819))),"",IF(OR($AG819="",$AH819=""),"",IF(ROUND(ABS($H819-$I819)*ABS($G819)*$AG819*$AH819,6)=0,"",ROUND(ABS($H819-$I819)*ABS($G819)*$AG819*$AH819,6))))</f>
        <v/>
      </c>
      <c r="W819" s="50" t="str">
        <f>IF($AM819=0,"",IF($BG819="","OK",LEFT($BG819,LEN($BG819)-2)))</f>
        <v/>
      </c>
      <c r="X819" s="41" t="n"/>
      <c r="Y819" s="40" t="n"/>
      <c r="Z819" s="41" t="n"/>
      <c r="AA819" s="41" t="n"/>
      <c r="AB819" s="40" t="n"/>
      <c r="AC819" s="51" t="n"/>
      <c r="AD819" s="51" t="n"/>
      <c r="AE819" s="40" t="n"/>
      <c r="AF819" s="52" t="str">
        <f>IF($AM819=0,"",IF($D819&lt;&gt;"",$D819,IF(IFERROR(INDEX(Accounts!$C$7:$C$16,MATCH($C819,Accounts!$B$7:$B$16,0))&amp;"","")&lt;&gt;"",INDEX(Accounts!$C$7:$C$16,MATCH($C819,Accounts!$B$7:$B$16,0)),Settings!$C$6)))</f>
        <v/>
      </c>
      <c r="AG819" s="53" t="str">
        <f>IF($AM819=0,"",IF(AND($BE819&gt;0,N(INDEX(Instruments!$D$6:$D$205,MAX(1,$BE819)))&gt;0),INDEX(Instruments!$D$6:$D$205,MAX(1,$BE819)),IF(N(INDEX(Settings!$D$14:$D$18,$BF819))&gt;0,INDEX(Settings!$D$14:$D$18,$BF819),"")))</f>
        <v/>
      </c>
      <c r="AH819" s="54" t="str">
        <f>IF($AM819=0,"",IF($AF819&lt;&gt;"Forex",1,IF(MID(UPPER(SUBSTITUTE(TRIM($E819),"/","")),4,3)=UPPER(TRIM(Settings!$C$7)),1,IF(LEFT(UPPER(SUBSTITUTE(TRIM($E819),"/","")),3)=UPPER(TRIM(Settings!$C$7)),IF(AND(ISNUMBER($K819),N($K819)&lt;&gt;0),1/$K819,""),""))))</f>
        <v/>
      </c>
      <c r="AI819" s="55" t="str">
        <f>IF($AM819=0,"",IF(OR(NOT(ISNUMBER($H819)),NOT(ISNUMBER($K819)),NOT(ISNUMBER($G819)),$AG819="",$AH819=""),"",ROUND(($K819-$H819)*IF($F819="Short",-1,1)*$G819*$AG819*$AH819,6)))</f>
        <v/>
      </c>
      <c r="AJ819" s="55" t="str">
        <f>IF($AM819=0,"",IF(INDEX(Settings!$E$14:$E$18,$BF819)="% of notional",IF(OR($AG819="",NOT(ISNUMBER($H819)),NOT(ISNUMBER($G819))),"",ROUND(ABS($H819*$G819*$AG819*N($AH819))*IF($L819="Limit",N(INDEX(Settings!$G$14:$G$18,$BF819)),N(INDEX(Settings!$H$14:$H$18,$BF819)))+IF(ISNUMBER($K819),ABS($K819*$G819*$AG819*N($AH819))*IF($M819="Target",N(INDEX(Settings!$G$14:$G$18,$BF819)),N(INDEX(Settings!$H$14:$H$18,$BF819))),0),6)),IF(NOT(ISNUMBER($G819)),"",ROUND(ABS($G819)*2*IF(AND($BE819&gt;0,ISNUMBER(INDEX(Instruments!$G$6:$G$205,MAX(1,$BE819)))),INDEX(Instruments!$G$6:$G$205,MAX(1,$BE819)),N(INDEX(Settings!$F$14:$F$18,$BF819))),6))))</f>
        <v/>
      </c>
      <c r="AK819" s="55" t="str">
        <f>IF($AM819=0,"",IF(ISNUMBER($O819),$O819,$AI819))</f>
        <v/>
      </c>
      <c r="AL819" s="55" t="str">
        <f>IF($AM819=0,"",IF(ISNUMBER($P819),$P819,N($AJ819)))</f>
        <v/>
      </c>
      <c r="AM819" s="56">
        <f>IF(AND($A819&lt;&gt;"",$E819&lt;&gt;"",OR(AND(ISNUMBER($G819),ISNUMBER($H819),ISNUMBER($K819)),ISNUMBER($O819))),1,0)</f>
        <v>0</v>
      </c>
      <c r="AN819" s="57" t="str">
        <f>IF($A819="","",$A819-WEEKDAY($A819,3))</f>
        <v/>
      </c>
      <c r="AO819" s="56" t="str">
        <f>IF($A819="","",WEEKDAY($A819,2))</f>
        <v/>
      </c>
      <c r="AP819" s="55" t="str">
        <f>IF(OR($AM819=0,$C819=""),"",IFERROR(N(INDEX(Accounts!$E$7:$E$16,MATCH($C819,Accounts!$B$7:$B$16,0))),0)+SUMIFS($Q$6:$Q819,$C$6:$C819,$C819))</f>
        <v/>
      </c>
      <c r="AQ819" s="55" t="str">
        <f>IF(OR($AM819=0,$C819=""),"",SUMIFS($Q$6:$Q$1005,$C$6:$C$1005,$C819,$A$6:$A$1005,$A819))</f>
        <v/>
      </c>
      <c r="AR819" s="55" t="str">
        <f>IF(OR($AM819=0,$C819=""),"",IFERROR(N(INDEX(Accounts!$E$7:$E$16,MATCH($C819,Accounts!$B$7:$B$16,0))),0)+SUMIFS($Q$6:$Q$1005,$C$6:$C$1005,$C819,$A$6:$A$1005,"&lt;="&amp;$A819))</f>
        <v/>
      </c>
      <c r="AS819" s="56">
        <f>IF(OR($AM819=0,$Q819=""),0,IF(AND($A819&gt;=Lists!$W$6,$A819&lt;=Lists!$W$7,OR(Dashboard!$D$6="All accounts",$C819=Dashboard!$D$6),OR(Dashboard!$D$7="All markets",$AF819=Dashboard!$D$7)),1,0))</f>
        <v>0</v>
      </c>
      <c r="AT819" s="55">
        <f>IF($AS819=1,N(AT818)+$Q819,N(AT818))</f>
        <v>1187.10688</v>
      </c>
      <c r="AU819" s="55">
        <f>MAX(N(AU818),$AT819)</f>
        <v>1187.10688</v>
      </c>
      <c r="AV819" s="55">
        <f>$AT819-$AU819</f>
        <v>0</v>
      </c>
      <c r="AW819" s="56">
        <f>IF($AS819=1,IF($S819="Win",N(AW818)+1,IF($S819="Loss",0,N(AW818))),N(AW818))</f>
        <v>5</v>
      </c>
      <c r="AX819" s="56">
        <f>IF($AS819=1,IF($S819="Loss",N(AX818)+1,IF($S819="Win",0,N(AX818))),N(AX818))</f>
        <v>0</v>
      </c>
      <c r="AY819" s="56" t="str">
        <f>IF($AS819=1,COUNTIF($AS$6:$AS819,1),"")</f>
        <v/>
      </c>
      <c r="AZ819" s="56">
        <f>MIN(813,N(Lists!$W$8))</f>
        <v>28</v>
      </c>
      <c r="BA819" s="56">
        <f>IF($AS819=1,IF(COUNTIFS($A$6:$A819,$A819,$AS$6:$AS819,1)=1,1,0),0)</f>
        <v>0</v>
      </c>
      <c r="BB819" s="55" t="str">
        <f>IF($BA819=1,SUMIFS($Q$6:$Q$1005,$A$6:$A$1005,$A819,$AS$6:$AS$1005,1),"")</f>
        <v/>
      </c>
      <c r="BC819" s="56">
        <f>IF(ISNUMBER($R819),1,0)</f>
        <v>0</v>
      </c>
      <c r="BD819" s="55" t="str">
        <f>IF(ISNUMBER($U819),$U819*$V819,"")</f>
        <v/>
      </c>
      <c r="BE819" s="56" t="str">
        <f>IF($AM819=0,"",IFERROR(MATCH($AF819&amp;"|"&amp;UPPER(TRIM($E819)),Lists!$A$6:$A$205,0),0))</f>
        <v/>
      </c>
      <c r="BF819" s="56" t="str">
        <f>IF($AM819=0,"",IFERROR(MATCH($AF819,Settings!$B$14:$B$18,0),IFERROR(MATCH(Settings!$C$6,Settings!$B$14:$B$18,0),1)))</f>
        <v/>
      </c>
      <c r="BG819" s="58" t="str">
        <f>IF($AM819=0,"",IF(NOT(ISNUMBER($I819)),"No stop; ","")&amp;IF(AND(ISNUMBER($H819),ISNUMBER($I819)),IF(OR(AND($F819&lt;&gt;"Short",$I819&gt;=$H819),AND($F819="Short",$I819&lt;=$H819)),"Stop on wrong side; ",""),"")&amp;IF($F819="","No direction; ","")&amp;IF(AND(ISNUMBER(Settings!$C$22),ISNUMBER($V819)),IF($V819&gt;Settings!$C$22,"Risk over max $; ",""),"")&amp;IF(AND(ISNUMBER(Settings!$C$23),ISNUMBER($V819),ISNUMBER($AP819),IFERROR(N(INDEX(Accounts!$E$7:$E$16,MATCH($C819,Accounts!$B$7:$B$16,0))),0)&gt;0),IF($V819&gt;Settings!$C$23*($AP819-N($Q819)),"Risk over max %; ",""),"")&amp;IF(AND(ISNUMBER(Settings!$C$24),ISNUMBER($N819)),IF($N819&gt;Settings!$C$24,"Leverage over max; ",""),"")&amp;IF(AND(ISNUMBER(Settings!$C$27),ISNUMBER($T819)),IF($T819&lt;Settings!$C$27,"R:R below min; ",""),"")&amp;IF(ISNUMBER(Settings!$C$25),IF(COUNTIFS($A$6:$A819,$A819,$AM$6:$AM819,1)&gt;Settings!$C$25,"Over max trades/day; ",""),"")&amp;IF(ISNUMBER(Settings!$C$26),IF(SUMIFS($Q$5:$Q818,$A$5:$A818,$A819)&lt;=-Settings!$C$26,"Traded after daily max loss; ",""),"")&amp;IF(AND($AG819="",NOT(ISNUMBER($O819))),"Symbol not in Instruments; ","")&amp;IF(AND($AH819="",NOT(ISNUMBER($O819))),"Forex cross: type Gross P&amp;L; ",""))</f>
        <v/>
      </c>
      <c r="BH819" s="56">
        <f>IF(ISNUMBER($Q819),1,0)</f>
        <v>0</v>
      </c>
      <c r="BI819" s="56">
        <f>IF($Y819="",0,1)</f>
        <v>0</v>
      </c>
      <c r="BJ819" s="56">
        <f>IF($AB819="",0,1)</f>
        <v>0</v>
      </c>
      <c r="BK819" s="56">
        <f>IF(AND($BH819=1,$W819&lt;&gt;"OK"),1,0)</f>
        <v>0</v>
      </c>
      <c r="BL819" s="55">
        <f>IF(N($AZ819)=0,0,IFERROR(INDEX($AT$6:$AT$1005,MATCH($AZ819,$AY$6:$AY$1005,0)),0))</f>
        <v>1187.10688</v>
      </c>
      <c r="BM819" s="56">
        <f>IF(ISNUMBER(SEARCH("daily max loss",$BG819)),1,0)</f>
        <v>0</v>
      </c>
    </row>
    <row r="820" ht="18" customHeight="1">
      <c r="A820" s="38" t="n"/>
      <c r="B820" s="39" t="n"/>
      <c r="C820" s="40" t="n"/>
      <c r="D820" s="41" t="n"/>
      <c r="E820" s="41" t="n"/>
      <c r="F820" s="41" t="n"/>
      <c r="G820" s="41" t="n"/>
      <c r="H820" s="42" t="n"/>
      <c r="I820" s="42" t="n"/>
      <c r="J820" s="42" t="n"/>
      <c r="K820" s="42" t="n"/>
      <c r="L820" s="41" t="n"/>
      <c r="M820" s="41" t="n"/>
      <c r="N820" s="41" t="n"/>
      <c r="O820" s="43" t="n"/>
      <c r="P820" s="43" t="n"/>
      <c r="Q820" s="44" t="str">
        <f>IF($AM820=0,"",IF(ISNUMBER($AK820),$AK820-N($AL820),""))</f>
        <v/>
      </c>
      <c r="R820" s="45" t="str">
        <f>IF(OR($Q820="",NOT(ISNUMBER($V820))),"",$AK820/$V820)</f>
        <v/>
      </c>
      <c r="S820" s="46" t="str">
        <f>IF($Q820="","",IF(AND(ISNUMBER($R820),ABS(N($R820))&lt;N(Settings!$C$8)),"Scratch",IF($Q820&gt;0,"Win",IF($Q820&lt;0,"Loss","Scratch"))))</f>
        <v/>
      </c>
      <c r="T820" s="47" t="str">
        <f>IF(OR($AM820=0,NOT(ISNUMBER($H820)),NOT(ISNUMBER($I820)),NOT(ISNUMBER($J820))),"",IF($H820=$I820,"",ROUND(ABS($J820-$H820)/ABS($H820-$I820),6)))</f>
        <v/>
      </c>
      <c r="U820" s="48" t="str">
        <f>IF(OR($S820&lt;&gt;"Win",NOT(ISNUMBER($T820)),NOT(ISNUMBER($R820))),"",MAX(0,$T820-$R820))</f>
        <v/>
      </c>
      <c r="V820" s="49" t="str">
        <f>IF(OR($AM820=0,NOT(ISNUMBER($H820)),NOT(ISNUMBER($I820)),NOT(ISNUMBER($G820))),"",IF(OR($AG820="",$AH820=""),"",IF(ROUND(ABS($H820-$I820)*ABS($G820)*$AG820*$AH820,6)=0,"",ROUND(ABS($H820-$I820)*ABS($G820)*$AG820*$AH820,6))))</f>
        <v/>
      </c>
      <c r="W820" s="50" t="str">
        <f>IF($AM820=0,"",IF($BG820="","OK",LEFT($BG820,LEN($BG820)-2)))</f>
        <v/>
      </c>
      <c r="X820" s="41" t="n"/>
      <c r="Y820" s="40" t="n"/>
      <c r="Z820" s="41" t="n"/>
      <c r="AA820" s="41" t="n"/>
      <c r="AB820" s="40" t="n"/>
      <c r="AC820" s="51" t="n"/>
      <c r="AD820" s="51" t="n"/>
      <c r="AE820" s="40" t="n"/>
      <c r="AF820" s="52" t="str">
        <f>IF($AM820=0,"",IF($D820&lt;&gt;"",$D820,IF(IFERROR(INDEX(Accounts!$C$7:$C$16,MATCH($C820,Accounts!$B$7:$B$16,0))&amp;"","")&lt;&gt;"",INDEX(Accounts!$C$7:$C$16,MATCH($C820,Accounts!$B$7:$B$16,0)),Settings!$C$6)))</f>
        <v/>
      </c>
      <c r="AG820" s="53" t="str">
        <f>IF($AM820=0,"",IF(AND($BE820&gt;0,N(INDEX(Instruments!$D$6:$D$205,MAX(1,$BE820)))&gt;0),INDEX(Instruments!$D$6:$D$205,MAX(1,$BE820)),IF(N(INDEX(Settings!$D$14:$D$18,$BF820))&gt;0,INDEX(Settings!$D$14:$D$18,$BF820),"")))</f>
        <v/>
      </c>
      <c r="AH820" s="54" t="str">
        <f>IF($AM820=0,"",IF($AF820&lt;&gt;"Forex",1,IF(MID(UPPER(SUBSTITUTE(TRIM($E820),"/","")),4,3)=UPPER(TRIM(Settings!$C$7)),1,IF(LEFT(UPPER(SUBSTITUTE(TRIM($E820),"/","")),3)=UPPER(TRIM(Settings!$C$7)),IF(AND(ISNUMBER($K820),N($K820)&lt;&gt;0),1/$K820,""),""))))</f>
        <v/>
      </c>
      <c r="AI820" s="55" t="str">
        <f>IF($AM820=0,"",IF(OR(NOT(ISNUMBER($H820)),NOT(ISNUMBER($K820)),NOT(ISNUMBER($G820)),$AG820="",$AH820=""),"",ROUND(($K820-$H820)*IF($F820="Short",-1,1)*$G820*$AG820*$AH820,6)))</f>
        <v/>
      </c>
      <c r="AJ820" s="55" t="str">
        <f>IF($AM820=0,"",IF(INDEX(Settings!$E$14:$E$18,$BF820)="% of notional",IF(OR($AG820="",NOT(ISNUMBER($H820)),NOT(ISNUMBER($G820))),"",ROUND(ABS($H820*$G820*$AG820*N($AH820))*IF($L820="Limit",N(INDEX(Settings!$G$14:$G$18,$BF820)),N(INDEX(Settings!$H$14:$H$18,$BF820)))+IF(ISNUMBER($K820),ABS($K820*$G820*$AG820*N($AH820))*IF($M820="Target",N(INDEX(Settings!$G$14:$G$18,$BF820)),N(INDEX(Settings!$H$14:$H$18,$BF820))),0),6)),IF(NOT(ISNUMBER($G820)),"",ROUND(ABS($G820)*2*IF(AND($BE820&gt;0,ISNUMBER(INDEX(Instruments!$G$6:$G$205,MAX(1,$BE820)))),INDEX(Instruments!$G$6:$G$205,MAX(1,$BE820)),N(INDEX(Settings!$F$14:$F$18,$BF820))),6))))</f>
        <v/>
      </c>
      <c r="AK820" s="55" t="str">
        <f>IF($AM820=0,"",IF(ISNUMBER($O820),$O820,$AI820))</f>
        <v/>
      </c>
      <c r="AL820" s="55" t="str">
        <f>IF($AM820=0,"",IF(ISNUMBER($P820),$P820,N($AJ820)))</f>
        <v/>
      </c>
      <c r="AM820" s="56">
        <f>IF(AND($A820&lt;&gt;"",$E820&lt;&gt;"",OR(AND(ISNUMBER($G820),ISNUMBER($H820),ISNUMBER($K820)),ISNUMBER($O820))),1,0)</f>
        <v>0</v>
      </c>
      <c r="AN820" s="57" t="str">
        <f>IF($A820="","",$A820-WEEKDAY($A820,3))</f>
        <v/>
      </c>
      <c r="AO820" s="56" t="str">
        <f>IF($A820="","",WEEKDAY($A820,2))</f>
        <v/>
      </c>
      <c r="AP820" s="55" t="str">
        <f>IF(OR($AM820=0,$C820=""),"",IFERROR(N(INDEX(Accounts!$E$7:$E$16,MATCH($C820,Accounts!$B$7:$B$16,0))),0)+SUMIFS($Q$6:$Q820,$C$6:$C820,$C820))</f>
        <v/>
      </c>
      <c r="AQ820" s="55" t="str">
        <f>IF(OR($AM820=0,$C820=""),"",SUMIFS($Q$6:$Q$1005,$C$6:$C$1005,$C820,$A$6:$A$1005,$A820))</f>
        <v/>
      </c>
      <c r="AR820" s="55" t="str">
        <f>IF(OR($AM820=0,$C820=""),"",IFERROR(N(INDEX(Accounts!$E$7:$E$16,MATCH($C820,Accounts!$B$7:$B$16,0))),0)+SUMIFS($Q$6:$Q$1005,$C$6:$C$1005,$C820,$A$6:$A$1005,"&lt;="&amp;$A820))</f>
        <v/>
      </c>
      <c r="AS820" s="56">
        <f>IF(OR($AM820=0,$Q820=""),0,IF(AND($A820&gt;=Lists!$W$6,$A820&lt;=Lists!$W$7,OR(Dashboard!$D$6="All accounts",$C820=Dashboard!$D$6),OR(Dashboard!$D$7="All markets",$AF820=Dashboard!$D$7)),1,0))</f>
        <v>0</v>
      </c>
      <c r="AT820" s="55">
        <f>IF($AS820=1,N(AT819)+$Q820,N(AT819))</f>
        <v>1187.10688</v>
      </c>
      <c r="AU820" s="55">
        <f>MAX(N(AU819),$AT820)</f>
        <v>1187.10688</v>
      </c>
      <c r="AV820" s="55">
        <f>$AT820-$AU820</f>
        <v>0</v>
      </c>
      <c r="AW820" s="56">
        <f>IF($AS820=1,IF($S820="Win",N(AW819)+1,IF($S820="Loss",0,N(AW819))),N(AW819))</f>
        <v>5</v>
      </c>
      <c r="AX820" s="56">
        <f>IF($AS820=1,IF($S820="Loss",N(AX819)+1,IF($S820="Win",0,N(AX819))),N(AX819))</f>
        <v>0</v>
      </c>
      <c r="AY820" s="56" t="str">
        <f>IF($AS820=1,COUNTIF($AS$6:$AS820,1),"")</f>
        <v/>
      </c>
      <c r="AZ820" s="56">
        <f>MIN(814,N(Lists!$W$8))</f>
        <v>28</v>
      </c>
      <c r="BA820" s="56">
        <f>IF($AS820=1,IF(COUNTIFS($A$6:$A820,$A820,$AS$6:$AS820,1)=1,1,0),0)</f>
        <v>0</v>
      </c>
      <c r="BB820" s="55" t="str">
        <f>IF($BA820=1,SUMIFS($Q$6:$Q$1005,$A$6:$A$1005,$A820,$AS$6:$AS$1005,1),"")</f>
        <v/>
      </c>
      <c r="BC820" s="56">
        <f>IF(ISNUMBER($R820),1,0)</f>
        <v>0</v>
      </c>
      <c r="BD820" s="55" t="str">
        <f>IF(ISNUMBER($U820),$U820*$V820,"")</f>
        <v/>
      </c>
      <c r="BE820" s="56" t="str">
        <f>IF($AM820=0,"",IFERROR(MATCH($AF820&amp;"|"&amp;UPPER(TRIM($E820)),Lists!$A$6:$A$205,0),0))</f>
        <v/>
      </c>
      <c r="BF820" s="56" t="str">
        <f>IF($AM820=0,"",IFERROR(MATCH($AF820,Settings!$B$14:$B$18,0),IFERROR(MATCH(Settings!$C$6,Settings!$B$14:$B$18,0),1)))</f>
        <v/>
      </c>
      <c r="BG820" s="58" t="str">
        <f>IF($AM820=0,"",IF(NOT(ISNUMBER($I820)),"No stop; ","")&amp;IF(AND(ISNUMBER($H820),ISNUMBER($I820)),IF(OR(AND($F820&lt;&gt;"Short",$I820&gt;=$H820),AND($F820="Short",$I820&lt;=$H820)),"Stop on wrong side; ",""),"")&amp;IF($F820="","No direction; ","")&amp;IF(AND(ISNUMBER(Settings!$C$22),ISNUMBER($V820)),IF($V820&gt;Settings!$C$22,"Risk over max $; ",""),"")&amp;IF(AND(ISNUMBER(Settings!$C$23),ISNUMBER($V820),ISNUMBER($AP820),IFERROR(N(INDEX(Accounts!$E$7:$E$16,MATCH($C820,Accounts!$B$7:$B$16,0))),0)&gt;0),IF($V820&gt;Settings!$C$23*($AP820-N($Q820)),"Risk over max %; ",""),"")&amp;IF(AND(ISNUMBER(Settings!$C$24),ISNUMBER($N820)),IF($N820&gt;Settings!$C$24,"Leverage over max; ",""),"")&amp;IF(AND(ISNUMBER(Settings!$C$27),ISNUMBER($T820)),IF($T820&lt;Settings!$C$27,"R:R below min; ",""),"")&amp;IF(ISNUMBER(Settings!$C$25),IF(COUNTIFS($A$6:$A820,$A820,$AM$6:$AM820,1)&gt;Settings!$C$25,"Over max trades/day; ",""),"")&amp;IF(ISNUMBER(Settings!$C$26),IF(SUMIFS($Q$5:$Q819,$A$5:$A819,$A820)&lt;=-Settings!$C$26,"Traded after daily max loss; ",""),"")&amp;IF(AND($AG820="",NOT(ISNUMBER($O820))),"Symbol not in Instruments; ","")&amp;IF(AND($AH820="",NOT(ISNUMBER($O820))),"Forex cross: type Gross P&amp;L; ",""))</f>
        <v/>
      </c>
      <c r="BH820" s="56">
        <f>IF(ISNUMBER($Q820),1,0)</f>
        <v>0</v>
      </c>
      <c r="BI820" s="56">
        <f>IF($Y820="",0,1)</f>
        <v>0</v>
      </c>
      <c r="BJ820" s="56">
        <f>IF($AB820="",0,1)</f>
        <v>0</v>
      </c>
      <c r="BK820" s="56">
        <f>IF(AND($BH820=1,$W820&lt;&gt;"OK"),1,0)</f>
        <v>0</v>
      </c>
      <c r="BL820" s="55">
        <f>IF(N($AZ820)=0,0,IFERROR(INDEX($AT$6:$AT$1005,MATCH($AZ820,$AY$6:$AY$1005,0)),0))</f>
        <v>1187.10688</v>
      </c>
      <c r="BM820" s="56">
        <f>IF(ISNUMBER(SEARCH("daily max loss",$BG820)),1,0)</f>
        <v>0</v>
      </c>
    </row>
    <row r="821" ht="18" customHeight="1">
      <c r="A821" s="38" t="n"/>
      <c r="B821" s="39" t="n"/>
      <c r="C821" s="40" t="n"/>
      <c r="D821" s="41" t="n"/>
      <c r="E821" s="41" t="n"/>
      <c r="F821" s="41" t="n"/>
      <c r="G821" s="41" t="n"/>
      <c r="H821" s="42" t="n"/>
      <c r="I821" s="42" t="n"/>
      <c r="J821" s="42" t="n"/>
      <c r="K821" s="42" t="n"/>
      <c r="L821" s="41" t="n"/>
      <c r="M821" s="41" t="n"/>
      <c r="N821" s="41" t="n"/>
      <c r="O821" s="43" t="n"/>
      <c r="P821" s="43" t="n"/>
      <c r="Q821" s="44" t="str">
        <f>IF($AM821=0,"",IF(ISNUMBER($AK821),$AK821-N($AL821),""))</f>
        <v/>
      </c>
      <c r="R821" s="45" t="str">
        <f>IF(OR($Q821="",NOT(ISNUMBER($V821))),"",$AK821/$V821)</f>
        <v/>
      </c>
      <c r="S821" s="46" t="str">
        <f>IF($Q821="","",IF(AND(ISNUMBER($R821),ABS(N($R821))&lt;N(Settings!$C$8)),"Scratch",IF($Q821&gt;0,"Win",IF($Q821&lt;0,"Loss","Scratch"))))</f>
        <v/>
      </c>
      <c r="T821" s="47" t="str">
        <f>IF(OR($AM821=0,NOT(ISNUMBER($H821)),NOT(ISNUMBER($I821)),NOT(ISNUMBER($J821))),"",IF($H821=$I821,"",ROUND(ABS($J821-$H821)/ABS($H821-$I821),6)))</f>
        <v/>
      </c>
      <c r="U821" s="48" t="str">
        <f>IF(OR($S821&lt;&gt;"Win",NOT(ISNUMBER($T821)),NOT(ISNUMBER($R821))),"",MAX(0,$T821-$R821))</f>
        <v/>
      </c>
      <c r="V821" s="49" t="str">
        <f>IF(OR($AM821=0,NOT(ISNUMBER($H821)),NOT(ISNUMBER($I821)),NOT(ISNUMBER($G821))),"",IF(OR($AG821="",$AH821=""),"",IF(ROUND(ABS($H821-$I821)*ABS($G821)*$AG821*$AH821,6)=0,"",ROUND(ABS($H821-$I821)*ABS($G821)*$AG821*$AH821,6))))</f>
        <v/>
      </c>
      <c r="W821" s="50" t="str">
        <f>IF($AM821=0,"",IF($BG821="","OK",LEFT($BG821,LEN($BG821)-2)))</f>
        <v/>
      </c>
      <c r="X821" s="41" t="n"/>
      <c r="Y821" s="40" t="n"/>
      <c r="Z821" s="41" t="n"/>
      <c r="AA821" s="41" t="n"/>
      <c r="AB821" s="40" t="n"/>
      <c r="AC821" s="51" t="n"/>
      <c r="AD821" s="51" t="n"/>
      <c r="AE821" s="40" t="n"/>
      <c r="AF821" s="52" t="str">
        <f>IF($AM821=0,"",IF($D821&lt;&gt;"",$D821,IF(IFERROR(INDEX(Accounts!$C$7:$C$16,MATCH($C821,Accounts!$B$7:$B$16,0))&amp;"","")&lt;&gt;"",INDEX(Accounts!$C$7:$C$16,MATCH($C821,Accounts!$B$7:$B$16,0)),Settings!$C$6)))</f>
        <v/>
      </c>
      <c r="AG821" s="53" t="str">
        <f>IF($AM821=0,"",IF(AND($BE821&gt;0,N(INDEX(Instruments!$D$6:$D$205,MAX(1,$BE821)))&gt;0),INDEX(Instruments!$D$6:$D$205,MAX(1,$BE821)),IF(N(INDEX(Settings!$D$14:$D$18,$BF821))&gt;0,INDEX(Settings!$D$14:$D$18,$BF821),"")))</f>
        <v/>
      </c>
      <c r="AH821" s="54" t="str">
        <f>IF($AM821=0,"",IF($AF821&lt;&gt;"Forex",1,IF(MID(UPPER(SUBSTITUTE(TRIM($E821),"/","")),4,3)=UPPER(TRIM(Settings!$C$7)),1,IF(LEFT(UPPER(SUBSTITUTE(TRIM($E821),"/","")),3)=UPPER(TRIM(Settings!$C$7)),IF(AND(ISNUMBER($K821),N($K821)&lt;&gt;0),1/$K821,""),""))))</f>
        <v/>
      </c>
      <c r="AI821" s="55" t="str">
        <f>IF($AM821=0,"",IF(OR(NOT(ISNUMBER($H821)),NOT(ISNUMBER($K821)),NOT(ISNUMBER($G821)),$AG821="",$AH821=""),"",ROUND(($K821-$H821)*IF($F821="Short",-1,1)*$G821*$AG821*$AH821,6)))</f>
        <v/>
      </c>
      <c r="AJ821" s="55" t="str">
        <f>IF($AM821=0,"",IF(INDEX(Settings!$E$14:$E$18,$BF821)="% of notional",IF(OR($AG821="",NOT(ISNUMBER($H821)),NOT(ISNUMBER($G821))),"",ROUND(ABS($H821*$G821*$AG821*N($AH821))*IF($L821="Limit",N(INDEX(Settings!$G$14:$G$18,$BF821)),N(INDEX(Settings!$H$14:$H$18,$BF821)))+IF(ISNUMBER($K821),ABS($K821*$G821*$AG821*N($AH821))*IF($M821="Target",N(INDEX(Settings!$G$14:$G$18,$BF821)),N(INDEX(Settings!$H$14:$H$18,$BF821))),0),6)),IF(NOT(ISNUMBER($G821)),"",ROUND(ABS($G821)*2*IF(AND($BE821&gt;0,ISNUMBER(INDEX(Instruments!$G$6:$G$205,MAX(1,$BE821)))),INDEX(Instruments!$G$6:$G$205,MAX(1,$BE821)),N(INDEX(Settings!$F$14:$F$18,$BF821))),6))))</f>
        <v/>
      </c>
      <c r="AK821" s="55" t="str">
        <f>IF($AM821=0,"",IF(ISNUMBER($O821),$O821,$AI821))</f>
        <v/>
      </c>
      <c r="AL821" s="55" t="str">
        <f>IF($AM821=0,"",IF(ISNUMBER($P821),$P821,N($AJ821)))</f>
        <v/>
      </c>
      <c r="AM821" s="56">
        <f>IF(AND($A821&lt;&gt;"",$E821&lt;&gt;"",OR(AND(ISNUMBER($G821),ISNUMBER($H821),ISNUMBER($K821)),ISNUMBER($O821))),1,0)</f>
        <v>0</v>
      </c>
      <c r="AN821" s="57" t="str">
        <f>IF($A821="","",$A821-WEEKDAY($A821,3))</f>
        <v/>
      </c>
      <c r="AO821" s="56" t="str">
        <f>IF($A821="","",WEEKDAY($A821,2))</f>
        <v/>
      </c>
      <c r="AP821" s="55" t="str">
        <f>IF(OR($AM821=0,$C821=""),"",IFERROR(N(INDEX(Accounts!$E$7:$E$16,MATCH($C821,Accounts!$B$7:$B$16,0))),0)+SUMIFS($Q$6:$Q821,$C$6:$C821,$C821))</f>
        <v/>
      </c>
      <c r="AQ821" s="55" t="str">
        <f>IF(OR($AM821=0,$C821=""),"",SUMIFS($Q$6:$Q$1005,$C$6:$C$1005,$C821,$A$6:$A$1005,$A821))</f>
        <v/>
      </c>
      <c r="AR821" s="55" t="str">
        <f>IF(OR($AM821=0,$C821=""),"",IFERROR(N(INDEX(Accounts!$E$7:$E$16,MATCH($C821,Accounts!$B$7:$B$16,0))),0)+SUMIFS($Q$6:$Q$1005,$C$6:$C$1005,$C821,$A$6:$A$1005,"&lt;="&amp;$A821))</f>
        <v/>
      </c>
      <c r="AS821" s="56">
        <f>IF(OR($AM821=0,$Q821=""),0,IF(AND($A821&gt;=Lists!$W$6,$A821&lt;=Lists!$W$7,OR(Dashboard!$D$6="All accounts",$C821=Dashboard!$D$6),OR(Dashboard!$D$7="All markets",$AF821=Dashboard!$D$7)),1,0))</f>
        <v>0</v>
      </c>
      <c r="AT821" s="55">
        <f>IF($AS821=1,N(AT820)+$Q821,N(AT820))</f>
        <v>1187.10688</v>
      </c>
      <c r="AU821" s="55">
        <f>MAX(N(AU820),$AT821)</f>
        <v>1187.10688</v>
      </c>
      <c r="AV821" s="55">
        <f>$AT821-$AU821</f>
        <v>0</v>
      </c>
      <c r="AW821" s="56">
        <f>IF($AS821=1,IF($S821="Win",N(AW820)+1,IF($S821="Loss",0,N(AW820))),N(AW820))</f>
        <v>5</v>
      </c>
      <c r="AX821" s="56">
        <f>IF($AS821=1,IF($S821="Loss",N(AX820)+1,IF($S821="Win",0,N(AX820))),N(AX820))</f>
        <v>0</v>
      </c>
      <c r="AY821" s="56" t="str">
        <f>IF($AS821=1,COUNTIF($AS$6:$AS821,1),"")</f>
        <v/>
      </c>
      <c r="AZ821" s="56">
        <f>MIN(815,N(Lists!$W$8))</f>
        <v>28</v>
      </c>
      <c r="BA821" s="56">
        <f>IF($AS821=1,IF(COUNTIFS($A$6:$A821,$A821,$AS$6:$AS821,1)=1,1,0),0)</f>
        <v>0</v>
      </c>
      <c r="BB821" s="55" t="str">
        <f>IF($BA821=1,SUMIFS($Q$6:$Q$1005,$A$6:$A$1005,$A821,$AS$6:$AS$1005,1),"")</f>
        <v/>
      </c>
      <c r="BC821" s="56">
        <f>IF(ISNUMBER($R821),1,0)</f>
        <v>0</v>
      </c>
      <c r="BD821" s="55" t="str">
        <f>IF(ISNUMBER($U821),$U821*$V821,"")</f>
        <v/>
      </c>
      <c r="BE821" s="56" t="str">
        <f>IF($AM821=0,"",IFERROR(MATCH($AF821&amp;"|"&amp;UPPER(TRIM($E821)),Lists!$A$6:$A$205,0),0))</f>
        <v/>
      </c>
      <c r="BF821" s="56" t="str">
        <f>IF($AM821=0,"",IFERROR(MATCH($AF821,Settings!$B$14:$B$18,0),IFERROR(MATCH(Settings!$C$6,Settings!$B$14:$B$18,0),1)))</f>
        <v/>
      </c>
      <c r="BG821" s="58" t="str">
        <f>IF($AM821=0,"",IF(NOT(ISNUMBER($I821)),"No stop; ","")&amp;IF(AND(ISNUMBER($H821),ISNUMBER($I821)),IF(OR(AND($F821&lt;&gt;"Short",$I821&gt;=$H821),AND($F821="Short",$I821&lt;=$H821)),"Stop on wrong side; ",""),"")&amp;IF($F821="","No direction; ","")&amp;IF(AND(ISNUMBER(Settings!$C$22),ISNUMBER($V821)),IF($V821&gt;Settings!$C$22,"Risk over max $; ",""),"")&amp;IF(AND(ISNUMBER(Settings!$C$23),ISNUMBER($V821),ISNUMBER($AP821),IFERROR(N(INDEX(Accounts!$E$7:$E$16,MATCH($C821,Accounts!$B$7:$B$16,0))),0)&gt;0),IF($V821&gt;Settings!$C$23*($AP821-N($Q821)),"Risk over max %; ",""),"")&amp;IF(AND(ISNUMBER(Settings!$C$24),ISNUMBER($N821)),IF($N821&gt;Settings!$C$24,"Leverage over max; ",""),"")&amp;IF(AND(ISNUMBER(Settings!$C$27),ISNUMBER($T821)),IF($T821&lt;Settings!$C$27,"R:R below min; ",""),"")&amp;IF(ISNUMBER(Settings!$C$25),IF(COUNTIFS($A$6:$A821,$A821,$AM$6:$AM821,1)&gt;Settings!$C$25,"Over max trades/day; ",""),"")&amp;IF(ISNUMBER(Settings!$C$26),IF(SUMIFS($Q$5:$Q820,$A$5:$A820,$A821)&lt;=-Settings!$C$26,"Traded after daily max loss; ",""),"")&amp;IF(AND($AG821="",NOT(ISNUMBER($O821))),"Symbol not in Instruments; ","")&amp;IF(AND($AH821="",NOT(ISNUMBER($O821))),"Forex cross: type Gross P&amp;L; ",""))</f>
        <v/>
      </c>
      <c r="BH821" s="56">
        <f>IF(ISNUMBER($Q821),1,0)</f>
        <v>0</v>
      </c>
      <c r="BI821" s="56">
        <f>IF($Y821="",0,1)</f>
        <v>0</v>
      </c>
      <c r="BJ821" s="56">
        <f>IF($AB821="",0,1)</f>
        <v>0</v>
      </c>
      <c r="BK821" s="56">
        <f>IF(AND($BH821=1,$W821&lt;&gt;"OK"),1,0)</f>
        <v>0</v>
      </c>
      <c r="BL821" s="55">
        <f>IF(N($AZ821)=0,0,IFERROR(INDEX($AT$6:$AT$1005,MATCH($AZ821,$AY$6:$AY$1005,0)),0))</f>
        <v>1187.10688</v>
      </c>
      <c r="BM821" s="56">
        <f>IF(ISNUMBER(SEARCH("daily max loss",$BG821)),1,0)</f>
        <v>0</v>
      </c>
    </row>
    <row r="822" ht="18" customHeight="1">
      <c r="A822" s="38" t="n"/>
      <c r="B822" s="39" t="n"/>
      <c r="C822" s="40" t="n"/>
      <c r="D822" s="41" t="n"/>
      <c r="E822" s="41" t="n"/>
      <c r="F822" s="41" t="n"/>
      <c r="G822" s="41" t="n"/>
      <c r="H822" s="42" t="n"/>
      <c r="I822" s="42" t="n"/>
      <c r="J822" s="42" t="n"/>
      <c r="K822" s="42" t="n"/>
      <c r="L822" s="41" t="n"/>
      <c r="M822" s="41" t="n"/>
      <c r="N822" s="41" t="n"/>
      <c r="O822" s="43" t="n"/>
      <c r="P822" s="43" t="n"/>
      <c r="Q822" s="44" t="str">
        <f>IF($AM822=0,"",IF(ISNUMBER($AK822),$AK822-N($AL822),""))</f>
        <v/>
      </c>
      <c r="R822" s="45" t="str">
        <f>IF(OR($Q822="",NOT(ISNUMBER($V822))),"",$AK822/$V822)</f>
        <v/>
      </c>
      <c r="S822" s="46" t="str">
        <f>IF($Q822="","",IF(AND(ISNUMBER($R822),ABS(N($R822))&lt;N(Settings!$C$8)),"Scratch",IF($Q822&gt;0,"Win",IF($Q822&lt;0,"Loss","Scratch"))))</f>
        <v/>
      </c>
      <c r="T822" s="47" t="str">
        <f>IF(OR($AM822=0,NOT(ISNUMBER($H822)),NOT(ISNUMBER($I822)),NOT(ISNUMBER($J822))),"",IF($H822=$I822,"",ROUND(ABS($J822-$H822)/ABS($H822-$I822),6)))</f>
        <v/>
      </c>
      <c r="U822" s="48" t="str">
        <f>IF(OR($S822&lt;&gt;"Win",NOT(ISNUMBER($T822)),NOT(ISNUMBER($R822))),"",MAX(0,$T822-$R822))</f>
        <v/>
      </c>
      <c r="V822" s="49" t="str">
        <f>IF(OR($AM822=0,NOT(ISNUMBER($H822)),NOT(ISNUMBER($I822)),NOT(ISNUMBER($G822))),"",IF(OR($AG822="",$AH822=""),"",IF(ROUND(ABS($H822-$I822)*ABS($G822)*$AG822*$AH822,6)=0,"",ROUND(ABS($H822-$I822)*ABS($G822)*$AG822*$AH822,6))))</f>
        <v/>
      </c>
      <c r="W822" s="50" t="str">
        <f>IF($AM822=0,"",IF($BG822="","OK",LEFT($BG822,LEN($BG822)-2)))</f>
        <v/>
      </c>
      <c r="X822" s="41" t="n"/>
      <c r="Y822" s="40" t="n"/>
      <c r="Z822" s="41" t="n"/>
      <c r="AA822" s="41" t="n"/>
      <c r="AB822" s="40" t="n"/>
      <c r="AC822" s="51" t="n"/>
      <c r="AD822" s="51" t="n"/>
      <c r="AE822" s="40" t="n"/>
      <c r="AF822" s="52" t="str">
        <f>IF($AM822=0,"",IF($D822&lt;&gt;"",$D822,IF(IFERROR(INDEX(Accounts!$C$7:$C$16,MATCH($C822,Accounts!$B$7:$B$16,0))&amp;"","")&lt;&gt;"",INDEX(Accounts!$C$7:$C$16,MATCH($C822,Accounts!$B$7:$B$16,0)),Settings!$C$6)))</f>
        <v/>
      </c>
      <c r="AG822" s="53" t="str">
        <f>IF($AM822=0,"",IF(AND($BE822&gt;0,N(INDEX(Instruments!$D$6:$D$205,MAX(1,$BE822)))&gt;0),INDEX(Instruments!$D$6:$D$205,MAX(1,$BE822)),IF(N(INDEX(Settings!$D$14:$D$18,$BF822))&gt;0,INDEX(Settings!$D$14:$D$18,$BF822),"")))</f>
        <v/>
      </c>
      <c r="AH822" s="54" t="str">
        <f>IF($AM822=0,"",IF($AF822&lt;&gt;"Forex",1,IF(MID(UPPER(SUBSTITUTE(TRIM($E822),"/","")),4,3)=UPPER(TRIM(Settings!$C$7)),1,IF(LEFT(UPPER(SUBSTITUTE(TRIM($E822),"/","")),3)=UPPER(TRIM(Settings!$C$7)),IF(AND(ISNUMBER($K822),N($K822)&lt;&gt;0),1/$K822,""),""))))</f>
        <v/>
      </c>
      <c r="AI822" s="55" t="str">
        <f>IF($AM822=0,"",IF(OR(NOT(ISNUMBER($H822)),NOT(ISNUMBER($K822)),NOT(ISNUMBER($G822)),$AG822="",$AH822=""),"",ROUND(($K822-$H822)*IF($F822="Short",-1,1)*$G822*$AG822*$AH822,6)))</f>
        <v/>
      </c>
      <c r="AJ822" s="55" t="str">
        <f>IF($AM822=0,"",IF(INDEX(Settings!$E$14:$E$18,$BF822)="% of notional",IF(OR($AG822="",NOT(ISNUMBER($H822)),NOT(ISNUMBER($G822))),"",ROUND(ABS($H822*$G822*$AG822*N($AH822))*IF($L822="Limit",N(INDEX(Settings!$G$14:$G$18,$BF822)),N(INDEX(Settings!$H$14:$H$18,$BF822)))+IF(ISNUMBER($K822),ABS($K822*$G822*$AG822*N($AH822))*IF($M822="Target",N(INDEX(Settings!$G$14:$G$18,$BF822)),N(INDEX(Settings!$H$14:$H$18,$BF822))),0),6)),IF(NOT(ISNUMBER($G822)),"",ROUND(ABS($G822)*2*IF(AND($BE822&gt;0,ISNUMBER(INDEX(Instruments!$G$6:$G$205,MAX(1,$BE822)))),INDEX(Instruments!$G$6:$G$205,MAX(1,$BE822)),N(INDEX(Settings!$F$14:$F$18,$BF822))),6))))</f>
        <v/>
      </c>
      <c r="AK822" s="55" t="str">
        <f>IF($AM822=0,"",IF(ISNUMBER($O822),$O822,$AI822))</f>
        <v/>
      </c>
      <c r="AL822" s="55" t="str">
        <f>IF($AM822=0,"",IF(ISNUMBER($P822),$P822,N($AJ822)))</f>
        <v/>
      </c>
      <c r="AM822" s="56">
        <f>IF(AND($A822&lt;&gt;"",$E822&lt;&gt;"",OR(AND(ISNUMBER($G822),ISNUMBER($H822),ISNUMBER($K822)),ISNUMBER($O822))),1,0)</f>
        <v>0</v>
      </c>
      <c r="AN822" s="57" t="str">
        <f>IF($A822="","",$A822-WEEKDAY($A822,3))</f>
        <v/>
      </c>
      <c r="AO822" s="56" t="str">
        <f>IF($A822="","",WEEKDAY($A822,2))</f>
        <v/>
      </c>
      <c r="AP822" s="55" t="str">
        <f>IF(OR($AM822=0,$C822=""),"",IFERROR(N(INDEX(Accounts!$E$7:$E$16,MATCH($C822,Accounts!$B$7:$B$16,0))),0)+SUMIFS($Q$6:$Q822,$C$6:$C822,$C822))</f>
        <v/>
      </c>
      <c r="AQ822" s="55" t="str">
        <f>IF(OR($AM822=0,$C822=""),"",SUMIFS($Q$6:$Q$1005,$C$6:$C$1005,$C822,$A$6:$A$1005,$A822))</f>
        <v/>
      </c>
      <c r="AR822" s="55" t="str">
        <f>IF(OR($AM822=0,$C822=""),"",IFERROR(N(INDEX(Accounts!$E$7:$E$16,MATCH($C822,Accounts!$B$7:$B$16,0))),0)+SUMIFS($Q$6:$Q$1005,$C$6:$C$1005,$C822,$A$6:$A$1005,"&lt;="&amp;$A822))</f>
        <v/>
      </c>
      <c r="AS822" s="56">
        <f>IF(OR($AM822=0,$Q822=""),0,IF(AND($A822&gt;=Lists!$W$6,$A822&lt;=Lists!$W$7,OR(Dashboard!$D$6="All accounts",$C822=Dashboard!$D$6),OR(Dashboard!$D$7="All markets",$AF822=Dashboard!$D$7)),1,0))</f>
        <v>0</v>
      </c>
      <c r="AT822" s="55">
        <f>IF($AS822=1,N(AT821)+$Q822,N(AT821))</f>
        <v>1187.10688</v>
      </c>
      <c r="AU822" s="55">
        <f>MAX(N(AU821),$AT822)</f>
        <v>1187.10688</v>
      </c>
      <c r="AV822" s="55">
        <f>$AT822-$AU822</f>
        <v>0</v>
      </c>
      <c r="AW822" s="56">
        <f>IF($AS822=1,IF($S822="Win",N(AW821)+1,IF($S822="Loss",0,N(AW821))),N(AW821))</f>
        <v>5</v>
      </c>
      <c r="AX822" s="56">
        <f>IF($AS822=1,IF($S822="Loss",N(AX821)+1,IF($S822="Win",0,N(AX821))),N(AX821))</f>
        <v>0</v>
      </c>
      <c r="AY822" s="56" t="str">
        <f>IF($AS822=1,COUNTIF($AS$6:$AS822,1),"")</f>
        <v/>
      </c>
      <c r="AZ822" s="56">
        <f>MIN(816,N(Lists!$W$8))</f>
        <v>28</v>
      </c>
      <c r="BA822" s="56">
        <f>IF($AS822=1,IF(COUNTIFS($A$6:$A822,$A822,$AS$6:$AS822,1)=1,1,0),0)</f>
        <v>0</v>
      </c>
      <c r="BB822" s="55" t="str">
        <f>IF($BA822=1,SUMIFS($Q$6:$Q$1005,$A$6:$A$1005,$A822,$AS$6:$AS$1005,1),"")</f>
        <v/>
      </c>
      <c r="BC822" s="56">
        <f>IF(ISNUMBER($R822),1,0)</f>
        <v>0</v>
      </c>
      <c r="BD822" s="55" t="str">
        <f>IF(ISNUMBER($U822),$U822*$V822,"")</f>
        <v/>
      </c>
      <c r="BE822" s="56" t="str">
        <f>IF($AM822=0,"",IFERROR(MATCH($AF822&amp;"|"&amp;UPPER(TRIM($E822)),Lists!$A$6:$A$205,0),0))</f>
        <v/>
      </c>
      <c r="BF822" s="56" t="str">
        <f>IF($AM822=0,"",IFERROR(MATCH($AF822,Settings!$B$14:$B$18,0),IFERROR(MATCH(Settings!$C$6,Settings!$B$14:$B$18,0),1)))</f>
        <v/>
      </c>
      <c r="BG822" s="58" t="str">
        <f>IF($AM822=0,"",IF(NOT(ISNUMBER($I822)),"No stop; ","")&amp;IF(AND(ISNUMBER($H822),ISNUMBER($I822)),IF(OR(AND($F822&lt;&gt;"Short",$I822&gt;=$H822),AND($F822="Short",$I822&lt;=$H822)),"Stop on wrong side; ",""),"")&amp;IF($F822="","No direction; ","")&amp;IF(AND(ISNUMBER(Settings!$C$22),ISNUMBER($V822)),IF($V822&gt;Settings!$C$22,"Risk over max $; ",""),"")&amp;IF(AND(ISNUMBER(Settings!$C$23),ISNUMBER($V822),ISNUMBER($AP822),IFERROR(N(INDEX(Accounts!$E$7:$E$16,MATCH($C822,Accounts!$B$7:$B$16,0))),0)&gt;0),IF($V822&gt;Settings!$C$23*($AP822-N($Q822)),"Risk over max %; ",""),"")&amp;IF(AND(ISNUMBER(Settings!$C$24),ISNUMBER($N822)),IF($N822&gt;Settings!$C$24,"Leverage over max; ",""),"")&amp;IF(AND(ISNUMBER(Settings!$C$27),ISNUMBER($T822)),IF($T822&lt;Settings!$C$27,"R:R below min; ",""),"")&amp;IF(ISNUMBER(Settings!$C$25),IF(COUNTIFS($A$6:$A822,$A822,$AM$6:$AM822,1)&gt;Settings!$C$25,"Over max trades/day; ",""),"")&amp;IF(ISNUMBER(Settings!$C$26),IF(SUMIFS($Q$5:$Q821,$A$5:$A821,$A822)&lt;=-Settings!$C$26,"Traded after daily max loss; ",""),"")&amp;IF(AND($AG822="",NOT(ISNUMBER($O822))),"Symbol not in Instruments; ","")&amp;IF(AND($AH822="",NOT(ISNUMBER($O822))),"Forex cross: type Gross P&amp;L; ",""))</f>
        <v/>
      </c>
      <c r="BH822" s="56">
        <f>IF(ISNUMBER($Q822),1,0)</f>
        <v>0</v>
      </c>
      <c r="BI822" s="56">
        <f>IF($Y822="",0,1)</f>
        <v>0</v>
      </c>
      <c r="BJ822" s="56">
        <f>IF($AB822="",0,1)</f>
        <v>0</v>
      </c>
      <c r="BK822" s="56">
        <f>IF(AND($BH822=1,$W822&lt;&gt;"OK"),1,0)</f>
        <v>0</v>
      </c>
      <c r="BL822" s="55">
        <f>IF(N($AZ822)=0,0,IFERROR(INDEX($AT$6:$AT$1005,MATCH($AZ822,$AY$6:$AY$1005,0)),0))</f>
        <v>1187.10688</v>
      </c>
      <c r="BM822" s="56">
        <f>IF(ISNUMBER(SEARCH("daily max loss",$BG822)),1,0)</f>
        <v>0</v>
      </c>
    </row>
    <row r="823" ht="18" customHeight="1">
      <c r="A823" s="38" t="n"/>
      <c r="B823" s="39" t="n"/>
      <c r="C823" s="40" t="n"/>
      <c r="D823" s="41" t="n"/>
      <c r="E823" s="41" t="n"/>
      <c r="F823" s="41" t="n"/>
      <c r="G823" s="41" t="n"/>
      <c r="H823" s="42" t="n"/>
      <c r="I823" s="42" t="n"/>
      <c r="J823" s="42" t="n"/>
      <c r="K823" s="42" t="n"/>
      <c r="L823" s="41" t="n"/>
      <c r="M823" s="41" t="n"/>
      <c r="N823" s="41" t="n"/>
      <c r="O823" s="43" t="n"/>
      <c r="P823" s="43" t="n"/>
      <c r="Q823" s="44" t="str">
        <f>IF($AM823=0,"",IF(ISNUMBER($AK823),$AK823-N($AL823),""))</f>
        <v/>
      </c>
      <c r="R823" s="45" t="str">
        <f>IF(OR($Q823="",NOT(ISNUMBER($V823))),"",$AK823/$V823)</f>
        <v/>
      </c>
      <c r="S823" s="46" t="str">
        <f>IF($Q823="","",IF(AND(ISNUMBER($R823),ABS(N($R823))&lt;N(Settings!$C$8)),"Scratch",IF($Q823&gt;0,"Win",IF($Q823&lt;0,"Loss","Scratch"))))</f>
        <v/>
      </c>
      <c r="T823" s="47" t="str">
        <f>IF(OR($AM823=0,NOT(ISNUMBER($H823)),NOT(ISNUMBER($I823)),NOT(ISNUMBER($J823))),"",IF($H823=$I823,"",ROUND(ABS($J823-$H823)/ABS($H823-$I823),6)))</f>
        <v/>
      </c>
      <c r="U823" s="48" t="str">
        <f>IF(OR($S823&lt;&gt;"Win",NOT(ISNUMBER($T823)),NOT(ISNUMBER($R823))),"",MAX(0,$T823-$R823))</f>
        <v/>
      </c>
      <c r="V823" s="49" t="str">
        <f>IF(OR($AM823=0,NOT(ISNUMBER($H823)),NOT(ISNUMBER($I823)),NOT(ISNUMBER($G823))),"",IF(OR($AG823="",$AH823=""),"",IF(ROUND(ABS($H823-$I823)*ABS($G823)*$AG823*$AH823,6)=0,"",ROUND(ABS($H823-$I823)*ABS($G823)*$AG823*$AH823,6))))</f>
        <v/>
      </c>
      <c r="W823" s="50" t="str">
        <f>IF($AM823=0,"",IF($BG823="","OK",LEFT($BG823,LEN($BG823)-2)))</f>
        <v/>
      </c>
      <c r="X823" s="41" t="n"/>
      <c r="Y823" s="40" t="n"/>
      <c r="Z823" s="41" t="n"/>
      <c r="AA823" s="41" t="n"/>
      <c r="AB823" s="40" t="n"/>
      <c r="AC823" s="51" t="n"/>
      <c r="AD823" s="51" t="n"/>
      <c r="AE823" s="40" t="n"/>
      <c r="AF823" s="52" t="str">
        <f>IF($AM823=0,"",IF($D823&lt;&gt;"",$D823,IF(IFERROR(INDEX(Accounts!$C$7:$C$16,MATCH($C823,Accounts!$B$7:$B$16,0))&amp;"","")&lt;&gt;"",INDEX(Accounts!$C$7:$C$16,MATCH($C823,Accounts!$B$7:$B$16,0)),Settings!$C$6)))</f>
        <v/>
      </c>
      <c r="AG823" s="53" t="str">
        <f>IF($AM823=0,"",IF(AND($BE823&gt;0,N(INDEX(Instruments!$D$6:$D$205,MAX(1,$BE823)))&gt;0),INDEX(Instruments!$D$6:$D$205,MAX(1,$BE823)),IF(N(INDEX(Settings!$D$14:$D$18,$BF823))&gt;0,INDEX(Settings!$D$14:$D$18,$BF823),"")))</f>
        <v/>
      </c>
      <c r="AH823" s="54" t="str">
        <f>IF($AM823=0,"",IF($AF823&lt;&gt;"Forex",1,IF(MID(UPPER(SUBSTITUTE(TRIM($E823),"/","")),4,3)=UPPER(TRIM(Settings!$C$7)),1,IF(LEFT(UPPER(SUBSTITUTE(TRIM($E823),"/","")),3)=UPPER(TRIM(Settings!$C$7)),IF(AND(ISNUMBER($K823),N($K823)&lt;&gt;0),1/$K823,""),""))))</f>
        <v/>
      </c>
      <c r="AI823" s="55" t="str">
        <f>IF($AM823=0,"",IF(OR(NOT(ISNUMBER($H823)),NOT(ISNUMBER($K823)),NOT(ISNUMBER($G823)),$AG823="",$AH823=""),"",ROUND(($K823-$H823)*IF($F823="Short",-1,1)*$G823*$AG823*$AH823,6)))</f>
        <v/>
      </c>
      <c r="AJ823" s="55" t="str">
        <f>IF($AM823=0,"",IF(INDEX(Settings!$E$14:$E$18,$BF823)="% of notional",IF(OR($AG823="",NOT(ISNUMBER($H823)),NOT(ISNUMBER($G823))),"",ROUND(ABS($H823*$G823*$AG823*N($AH823))*IF($L823="Limit",N(INDEX(Settings!$G$14:$G$18,$BF823)),N(INDEX(Settings!$H$14:$H$18,$BF823)))+IF(ISNUMBER($K823),ABS($K823*$G823*$AG823*N($AH823))*IF($M823="Target",N(INDEX(Settings!$G$14:$G$18,$BF823)),N(INDEX(Settings!$H$14:$H$18,$BF823))),0),6)),IF(NOT(ISNUMBER($G823)),"",ROUND(ABS($G823)*2*IF(AND($BE823&gt;0,ISNUMBER(INDEX(Instruments!$G$6:$G$205,MAX(1,$BE823)))),INDEX(Instruments!$G$6:$G$205,MAX(1,$BE823)),N(INDEX(Settings!$F$14:$F$18,$BF823))),6))))</f>
        <v/>
      </c>
      <c r="AK823" s="55" t="str">
        <f>IF($AM823=0,"",IF(ISNUMBER($O823),$O823,$AI823))</f>
        <v/>
      </c>
      <c r="AL823" s="55" t="str">
        <f>IF($AM823=0,"",IF(ISNUMBER($P823),$P823,N($AJ823)))</f>
        <v/>
      </c>
      <c r="AM823" s="56">
        <f>IF(AND($A823&lt;&gt;"",$E823&lt;&gt;"",OR(AND(ISNUMBER($G823),ISNUMBER($H823),ISNUMBER($K823)),ISNUMBER($O823))),1,0)</f>
        <v>0</v>
      </c>
      <c r="AN823" s="57" t="str">
        <f>IF($A823="","",$A823-WEEKDAY($A823,3))</f>
        <v/>
      </c>
      <c r="AO823" s="56" t="str">
        <f>IF($A823="","",WEEKDAY($A823,2))</f>
        <v/>
      </c>
      <c r="AP823" s="55" t="str">
        <f>IF(OR($AM823=0,$C823=""),"",IFERROR(N(INDEX(Accounts!$E$7:$E$16,MATCH($C823,Accounts!$B$7:$B$16,0))),0)+SUMIFS($Q$6:$Q823,$C$6:$C823,$C823))</f>
        <v/>
      </c>
      <c r="AQ823" s="55" t="str">
        <f>IF(OR($AM823=0,$C823=""),"",SUMIFS($Q$6:$Q$1005,$C$6:$C$1005,$C823,$A$6:$A$1005,$A823))</f>
        <v/>
      </c>
      <c r="AR823" s="55" t="str">
        <f>IF(OR($AM823=0,$C823=""),"",IFERROR(N(INDEX(Accounts!$E$7:$E$16,MATCH($C823,Accounts!$B$7:$B$16,0))),0)+SUMIFS($Q$6:$Q$1005,$C$6:$C$1005,$C823,$A$6:$A$1005,"&lt;="&amp;$A823))</f>
        <v/>
      </c>
      <c r="AS823" s="56">
        <f>IF(OR($AM823=0,$Q823=""),0,IF(AND($A823&gt;=Lists!$W$6,$A823&lt;=Lists!$W$7,OR(Dashboard!$D$6="All accounts",$C823=Dashboard!$D$6),OR(Dashboard!$D$7="All markets",$AF823=Dashboard!$D$7)),1,0))</f>
        <v>0</v>
      </c>
      <c r="AT823" s="55">
        <f>IF($AS823=1,N(AT822)+$Q823,N(AT822))</f>
        <v>1187.10688</v>
      </c>
      <c r="AU823" s="55">
        <f>MAX(N(AU822),$AT823)</f>
        <v>1187.10688</v>
      </c>
      <c r="AV823" s="55">
        <f>$AT823-$AU823</f>
        <v>0</v>
      </c>
      <c r="AW823" s="56">
        <f>IF($AS823=1,IF($S823="Win",N(AW822)+1,IF($S823="Loss",0,N(AW822))),N(AW822))</f>
        <v>5</v>
      </c>
      <c r="AX823" s="56">
        <f>IF($AS823=1,IF($S823="Loss",N(AX822)+1,IF($S823="Win",0,N(AX822))),N(AX822))</f>
        <v>0</v>
      </c>
      <c r="AY823" s="56" t="str">
        <f>IF($AS823=1,COUNTIF($AS$6:$AS823,1),"")</f>
        <v/>
      </c>
      <c r="AZ823" s="56">
        <f>MIN(817,N(Lists!$W$8))</f>
        <v>28</v>
      </c>
      <c r="BA823" s="56">
        <f>IF($AS823=1,IF(COUNTIFS($A$6:$A823,$A823,$AS$6:$AS823,1)=1,1,0),0)</f>
        <v>0</v>
      </c>
      <c r="BB823" s="55" t="str">
        <f>IF($BA823=1,SUMIFS($Q$6:$Q$1005,$A$6:$A$1005,$A823,$AS$6:$AS$1005,1),"")</f>
        <v/>
      </c>
      <c r="BC823" s="56">
        <f>IF(ISNUMBER($R823),1,0)</f>
        <v>0</v>
      </c>
      <c r="BD823" s="55" t="str">
        <f>IF(ISNUMBER($U823),$U823*$V823,"")</f>
        <v/>
      </c>
      <c r="BE823" s="56" t="str">
        <f>IF($AM823=0,"",IFERROR(MATCH($AF823&amp;"|"&amp;UPPER(TRIM($E823)),Lists!$A$6:$A$205,0),0))</f>
        <v/>
      </c>
      <c r="BF823" s="56" t="str">
        <f>IF($AM823=0,"",IFERROR(MATCH($AF823,Settings!$B$14:$B$18,0),IFERROR(MATCH(Settings!$C$6,Settings!$B$14:$B$18,0),1)))</f>
        <v/>
      </c>
      <c r="BG823" s="58" t="str">
        <f>IF($AM823=0,"",IF(NOT(ISNUMBER($I823)),"No stop; ","")&amp;IF(AND(ISNUMBER($H823),ISNUMBER($I823)),IF(OR(AND($F823&lt;&gt;"Short",$I823&gt;=$H823),AND($F823="Short",$I823&lt;=$H823)),"Stop on wrong side; ",""),"")&amp;IF($F823="","No direction; ","")&amp;IF(AND(ISNUMBER(Settings!$C$22),ISNUMBER($V823)),IF($V823&gt;Settings!$C$22,"Risk over max $; ",""),"")&amp;IF(AND(ISNUMBER(Settings!$C$23),ISNUMBER($V823),ISNUMBER($AP823),IFERROR(N(INDEX(Accounts!$E$7:$E$16,MATCH($C823,Accounts!$B$7:$B$16,0))),0)&gt;0),IF($V823&gt;Settings!$C$23*($AP823-N($Q823)),"Risk over max %; ",""),"")&amp;IF(AND(ISNUMBER(Settings!$C$24),ISNUMBER($N823)),IF($N823&gt;Settings!$C$24,"Leverage over max; ",""),"")&amp;IF(AND(ISNUMBER(Settings!$C$27),ISNUMBER($T823)),IF($T823&lt;Settings!$C$27,"R:R below min; ",""),"")&amp;IF(ISNUMBER(Settings!$C$25),IF(COUNTIFS($A$6:$A823,$A823,$AM$6:$AM823,1)&gt;Settings!$C$25,"Over max trades/day; ",""),"")&amp;IF(ISNUMBER(Settings!$C$26),IF(SUMIFS($Q$5:$Q822,$A$5:$A822,$A823)&lt;=-Settings!$C$26,"Traded after daily max loss; ",""),"")&amp;IF(AND($AG823="",NOT(ISNUMBER($O823))),"Symbol not in Instruments; ","")&amp;IF(AND($AH823="",NOT(ISNUMBER($O823))),"Forex cross: type Gross P&amp;L; ",""))</f>
        <v/>
      </c>
      <c r="BH823" s="56">
        <f>IF(ISNUMBER($Q823),1,0)</f>
        <v>0</v>
      </c>
      <c r="BI823" s="56">
        <f>IF($Y823="",0,1)</f>
        <v>0</v>
      </c>
      <c r="BJ823" s="56">
        <f>IF($AB823="",0,1)</f>
        <v>0</v>
      </c>
      <c r="BK823" s="56">
        <f>IF(AND($BH823=1,$W823&lt;&gt;"OK"),1,0)</f>
        <v>0</v>
      </c>
      <c r="BL823" s="55">
        <f>IF(N($AZ823)=0,0,IFERROR(INDEX($AT$6:$AT$1005,MATCH($AZ823,$AY$6:$AY$1005,0)),0))</f>
        <v>1187.10688</v>
      </c>
      <c r="BM823" s="56">
        <f>IF(ISNUMBER(SEARCH("daily max loss",$BG823)),1,0)</f>
        <v>0</v>
      </c>
    </row>
    <row r="824" ht="18" customHeight="1">
      <c r="A824" s="38" t="n"/>
      <c r="B824" s="39" t="n"/>
      <c r="C824" s="40" t="n"/>
      <c r="D824" s="41" t="n"/>
      <c r="E824" s="41" t="n"/>
      <c r="F824" s="41" t="n"/>
      <c r="G824" s="41" t="n"/>
      <c r="H824" s="42" t="n"/>
      <c r="I824" s="42" t="n"/>
      <c r="J824" s="42" t="n"/>
      <c r="K824" s="42" t="n"/>
      <c r="L824" s="41" t="n"/>
      <c r="M824" s="41" t="n"/>
      <c r="N824" s="41" t="n"/>
      <c r="O824" s="43" t="n"/>
      <c r="P824" s="43" t="n"/>
      <c r="Q824" s="44" t="str">
        <f>IF($AM824=0,"",IF(ISNUMBER($AK824),$AK824-N($AL824),""))</f>
        <v/>
      </c>
      <c r="R824" s="45" t="str">
        <f>IF(OR($Q824="",NOT(ISNUMBER($V824))),"",$AK824/$V824)</f>
        <v/>
      </c>
      <c r="S824" s="46" t="str">
        <f>IF($Q824="","",IF(AND(ISNUMBER($R824),ABS(N($R824))&lt;N(Settings!$C$8)),"Scratch",IF($Q824&gt;0,"Win",IF($Q824&lt;0,"Loss","Scratch"))))</f>
        <v/>
      </c>
      <c r="T824" s="47" t="str">
        <f>IF(OR($AM824=0,NOT(ISNUMBER($H824)),NOT(ISNUMBER($I824)),NOT(ISNUMBER($J824))),"",IF($H824=$I824,"",ROUND(ABS($J824-$H824)/ABS($H824-$I824),6)))</f>
        <v/>
      </c>
      <c r="U824" s="48" t="str">
        <f>IF(OR($S824&lt;&gt;"Win",NOT(ISNUMBER($T824)),NOT(ISNUMBER($R824))),"",MAX(0,$T824-$R824))</f>
        <v/>
      </c>
      <c r="V824" s="49" t="str">
        <f>IF(OR($AM824=0,NOT(ISNUMBER($H824)),NOT(ISNUMBER($I824)),NOT(ISNUMBER($G824))),"",IF(OR($AG824="",$AH824=""),"",IF(ROUND(ABS($H824-$I824)*ABS($G824)*$AG824*$AH824,6)=0,"",ROUND(ABS($H824-$I824)*ABS($G824)*$AG824*$AH824,6))))</f>
        <v/>
      </c>
      <c r="W824" s="50" t="str">
        <f>IF($AM824=0,"",IF($BG824="","OK",LEFT($BG824,LEN($BG824)-2)))</f>
        <v/>
      </c>
      <c r="X824" s="41" t="n"/>
      <c r="Y824" s="40" t="n"/>
      <c r="Z824" s="41" t="n"/>
      <c r="AA824" s="41" t="n"/>
      <c r="AB824" s="40" t="n"/>
      <c r="AC824" s="51" t="n"/>
      <c r="AD824" s="51" t="n"/>
      <c r="AE824" s="40" t="n"/>
      <c r="AF824" s="52" t="str">
        <f>IF($AM824=0,"",IF($D824&lt;&gt;"",$D824,IF(IFERROR(INDEX(Accounts!$C$7:$C$16,MATCH($C824,Accounts!$B$7:$B$16,0))&amp;"","")&lt;&gt;"",INDEX(Accounts!$C$7:$C$16,MATCH($C824,Accounts!$B$7:$B$16,0)),Settings!$C$6)))</f>
        <v/>
      </c>
      <c r="AG824" s="53" t="str">
        <f>IF($AM824=0,"",IF(AND($BE824&gt;0,N(INDEX(Instruments!$D$6:$D$205,MAX(1,$BE824)))&gt;0),INDEX(Instruments!$D$6:$D$205,MAX(1,$BE824)),IF(N(INDEX(Settings!$D$14:$D$18,$BF824))&gt;0,INDEX(Settings!$D$14:$D$18,$BF824),"")))</f>
        <v/>
      </c>
      <c r="AH824" s="54" t="str">
        <f>IF($AM824=0,"",IF($AF824&lt;&gt;"Forex",1,IF(MID(UPPER(SUBSTITUTE(TRIM($E824),"/","")),4,3)=UPPER(TRIM(Settings!$C$7)),1,IF(LEFT(UPPER(SUBSTITUTE(TRIM($E824),"/","")),3)=UPPER(TRIM(Settings!$C$7)),IF(AND(ISNUMBER($K824),N($K824)&lt;&gt;0),1/$K824,""),""))))</f>
        <v/>
      </c>
      <c r="AI824" s="55" t="str">
        <f>IF($AM824=0,"",IF(OR(NOT(ISNUMBER($H824)),NOT(ISNUMBER($K824)),NOT(ISNUMBER($G824)),$AG824="",$AH824=""),"",ROUND(($K824-$H824)*IF($F824="Short",-1,1)*$G824*$AG824*$AH824,6)))</f>
        <v/>
      </c>
      <c r="AJ824" s="55" t="str">
        <f>IF($AM824=0,"",IF(INDEX(Settings!$E$14:$E$18,$BF824)="% of notional",IF(OR($AG824="",NOT(ISNUMBER($H824)),NOT(ISNUMBER($G824))),"",ROUND(ABS($H824*$G824*$AG824*N($AH824))*IF($L824="Limit",N(INDEX(Settings!$G$14:$G$18,$BF824)),N(INDEX(Settings!$H$14:$H$18,$BF824)))+IF(ISNUMBER($K824),ABS($K824*$G824*$AG824*N($AH824))*IF($M824="Target",N(INDEX(Settings!$G$14:$G$18,$BF824)),N(INDEX(Settings!$H$14:$H$18,$BF824))),0),6)),IF(NOT(ISNUMBER($G824)),"",ROUND(ABS($G824)*2*IF(AND($BE824&gt;0,ISNUMBER(INDEX(Instruments!$G$6:$G$205,MAX(1,$BE824)))),INDEX(Instruments!$G$6:$G$205,MAX(1,$BE824)),N(INDEX(Settings!$F$14:$F$18,$BF824))),6))))</f>
        <v/>
      </c>
      <c r="AK824" s="55" t="str">
        <f>IF($AM824=0,"",IF(ISNUMBER($O824),$O824,$AI824))</f>
        <v/>
      </c>
      <c r="AL824" s="55" t="str">
        <f>IF($AM824=0,"",IF(ISNUMBER($P824),$P824,N($AJ824)))</f>
        <v/>
      </c>
      <c r="AM824" s="56">
        <f>IF(AND($A824&lt;&gt;"",$E824&lt;&gt;"",OR(AND(ISNUMBER($G824),ISNUMBER($H824),ISNUMBER($K824)),ISNUMBER($O824))),1,0)</f>
        <v>0</v>
      </c>
      <c r="AN824" s="57" t="str">
        <f>IF($A824="","",$A824-WEEKDAY($A824,3))</f>
        <v/>
      </c>
      <c r="AO824" s="56" t="str">
        <f>IF($A824="","",WEEKDAY($A824,2))</f>
        <v/>
      </c>
      <c r="AP824" s="55" t="str">
        <f>IF(OR($AM824=0,$C824=""),"",IFERROR(N(INDEX(Accounts!$E$7:$E$16,MATCH($C824,Accounts!$B$7:$B$16,0))),0)+SUMIFS($Q$6:$Q824,$C$6:$C824,$C824))</f>
        <v/>
      </c>
      <c r="AQ824" s="55" t="str">
        <f>IF(OR($AM824=0,$C824=""),"",SUMIFS($Q$6:$Q$1005,$C$6:$C$1005,$C824,$A$6:$A$1005,$A824))</f>
        <v/>
      </c>
      <c r="AR824" s="55" t="str">
        <f>IF(OR($AM824=0,$C824=""),"",IFERROR(N(INDEX(Accounts!$E$7:$E$16,MATCH($C824,Accounts!$B$7:$B$16,0))),0)+SUMIFS($Q$6:$Q$1005,$C$6:$C$1005,$C824,$A$6:$A$1005,"&lt;="&amp;$A824))</f>
        <v/>
      </c>
      <c r="AS824" s="56">
        <f>IF(OR($AM824=0,$Q824=""),0,IF(AND($A824&gt;=Lists!$W$6,$A824&lt;=Lists!$W$7,OR(Dashboard!$D$6="All accounts",$C824=Dashboard!$D$6),OR(Dashboard!$D$7="All markets",$AF824=Dashboard!$D$7)),1,0))</f>
        <v>0</v>
      </c>
      <c r="AT824" s="55">
        <f>IF($AS824=1,N(AT823)+$Q824,N(AT823))</f>
        <v>1187.10688</v>
      </c>
      <c r="AU824" s="55">
        <f>MAX(N(AU823),$AT824)</f>
        <v>1187.10688</v>
      </c>
      <c r="AV824" s="55">
        <f>$AT824-$AU824</f>
        <v>0</v>
      </c>
      <c r="AW824" s="56">
        <f>IF($AS824=1,IF($S824="Win",N(AW823)+1,IF($S824="Loss",0,N(AW823))),N(AW823))</f>
        <v>5</v>
      </c>
      <c r="AX824" s="56">
        <f>IF($AS824=1,IF($S824="Loss",N(AX823)+1,IF($S824="Win",0,N(AX823))),N(AX823))</f>
        <v>0</v>
      </c>
      <c r="AY824" s="56" t="str">
        <f>IF($AS824=1,COUNTIF($AS$6:$AS824,1),"")</f>
        <v/>
      </c>
      <c r="AZ824" s="56">
        <f>MIN(818,N(Lists!$W$8))</f>
        <v>28</v>
      </c>
      <c r="BA824" s="56">
        <f>IF($AS824=1,IF(COUNTIFS($A$6:$A824,$A824,$AS$6:$AS824,1)=1,1,0),0)</f>
        <v>0</v>
      </c>
      <c r="BB824" s="55" t="str">
        <f>IF($BA824=1,SUMIFS($Q$6:$Q$1005,$A$6:$A$1005,$A824,$AS$6:$AS$1005,1),"")</f>
        <v/>
      </c>
      <c r="BC824" s="56">
        <f>IF(ISNUMBER($R824),1,0)</f>
        <v>0</v>
      </c>
      <c r="BD824" s="55" t="str">
        <f>IF(ISNUMBER($U824),$U824*$V824,"")</f>
        <v/>
      </c>
      <c r="BE824" s="56" t="str">
        <f>IF($AM824=0,"",IFERROR(MATCH($AF824&amp;"|"&amp;UPPER(TRIM($E824)),Lists!$A$6:$A$205,0),0))</f>
        <v/>
      </c>
      <c r="BF824" s="56" t="str">
        <f>IF($AM824=0,"",IFERROR(MATCH($AF824,Settings!$B$14:$B$18,0),IFERROR(MATCH(Settings!$C$6,Settings!$B$14:$B$18,0),1)))</f>
        <v/>
      </c>
      <c r="BG824" s="58" t="str">
        <f>IF($AM824=0,"",IF(NOT(ISNUMBER($I824)),"No stop; ","")&amp;IF(AND(ISNUMBER($H824),ISNUMBER($I824)),IF(OR(AND($F824&lt;&gt;"Short",$I824&gt;=$H824),AND($F824="Short",$I824&lt;=$H824)),"Stop on wrong side; ",""),"")&amp;IF($F824="","No direction; ","")&amp;IF(AND(ISNUMBER(Settings!$C$22),ISNUMBER($V824)),IF($V824&gt;Settings!$C$22,"Risk over max $; ",""),"")&amp;IF(AND(ISNUMBER(Settings!$C$23),ISNUMBER($V824),ISNUMBER($AP824),IFERROR(N(INDEX(Accounts!$E$7:$E$16,MATCH($C824,Accounts!$B$7:$B$16,0))),0)&gt;0),IF($V824&gt;Settings!$C$23*($AP824-N($Q824)),"Risk over max %; ",""),"")&amp;IF(AND(ISNUMBER(Settings!$C$24),ISNUMBER($N824)),IF($N824&gt;Settings!$C$24,"Leverage over max; ",""),"")&amp;IF(AND(ISNUMBER(Settings!$C$27),ISNUMBER($T824)),IF($T824&lt;Settings!$C$27,"R:R below min; ",""),"")&amp;IF(ISNUMBER(Settings!$C$25),IF(COUNTIFS($A$6:$A824,$A824,$AM$6:$AM824,1)&gt;Settings!$C$25,"Over max trades/day; ",""),"")&amp;IF(ISNUMBER(Settings!$C$26),IF(SUMIFS($Q$5:$Q823,$A$5:$A823,$A824)&lt;=-Settings!$C$26,"Traded after daily max loss; ",""),"")&amp;IF(AND($AG824="",NOT(ISNUMBER($O824))),"Symbol not in Instruments; ","")&amp;IF(AND($AH824="",NOT(ISNUMBER($O824))),"Forex cross: type Gross P&amp;L; ",""))</f>
        <v/>
      </c>
      <c r="BH824" s="56">
        <f>IF(ISNUMBER($Q824),1,0)</f>
        <v>0</v>
      </c>
      <c r="BI824" s="56">
        <f>IF($Y824="",0,1)</f>
        <v>0</v>
      </c>
      <c r="BJ824" s="56">
        <f>IF($AB824="",0,1)</f>
        <v>0</v>
      </c>
      <c r="BK824" s="56">
        <f>IF(AND($BH824=1,$W824&lt;&gt;"OK"),1,0)</f>
        <v>0</v>
      </c>
      <c r="BL824" s="55">
        <f>IF(N($AZ824)=0,0,IFERROR(INDEX($AT$6:$AT$1005,MATCH($AZ824,$AY$6:$AY$1005,0)),0))</f>
        <v>1187.10688</v>
      </c>
      <c r="BM824" s="56">
        <f>IF(ISNUMBER(SEARCH("daily max loss",$BG824)),1,0)</f>
        <v>0</v>
      </c>
    </row>
    <row r="825" ht="18" customHeight="1">
      <c r="A825" s="38" t="n"/>
      <c r="B825" s="39" t="n"/>
      <c r="C825" s="40" t="n"/>
      <c r="D825" s="41" t="n"/>
      <c r="E825" s="41" t="n"/>
      <c r="F825" s="41" t="n"/>
      <c r="G825" s="41" t="n"/>
      <c r="H825" s="42" t="n"/>
      <c r="I825" s="42" t="n"/>
      <c r="J825" s="42" t="n"/>
      <c r="K825" s="42" t="n"/>
      <c r="L825" s="41" t="n"/>
      <c r="M825" s="41" t="n"/>
      <c r="N825" s="41" t="n"/>
      <c r="O825" s="43" t="n"/>
      <c r="P825" s="43" t="n"/>
      <c r="Q825" s="44" t="str">
        <f>IF($AM825=0,"",IF(ISNUMBER($AK825),$AK825-N($AL825),""))</f>
        <v/>
      </c>
      <c r="R825" s="45" t="str">
        <f>IF(OR($Q825="",NOT(ISNUMBER($V825))),"",$AK825/$V825)</f>
        <v/>
      </c>
      <c r="S825" s="46" t="str">
        <f>IF($Q825="","",IF(AND(ISNUMBER($R825),ABS(N($R825))&lt;N(Settings!$C$8)),"Scratch",IF($Q825&gt;0,"Win",IF($Q825&lt;0,"Loss","Scratch"))))</f>
        <v/>
      </c>
      <c r="T825" s="47" t="str">
        <f>IF(OR($AM825=0,NOT(ISNUMBER($H825)),NOT(ISNUMBER($I825)),NOT(ISNUMBER($J825))),"",IF($H825=$I825,"",ROUND(ABS($J825-$H825)/ABS($H825-$I825),6)))</f>
        <v/>
      </c>
      <c r="U825" s="48" t="str">
        <f>IF(OR($S825&lt;&gt;"Win",NOT(ISNUMBER($T825)),NOT(ISNUMBER($R825))),"",MAX(0,$T825-$R825))</f>
        <v/>
      </c>
      <c r="V825" s="49" t="str">
        <f>IF(OR($AM825=0,NOT(ISNUMBER($H825)),NOT(ISNUMBER($I825)),NOT(ISNUMBER($G825))),"",IF(OR($AG825="",$AH825=""),"",IF(ROUND(ABS($H825-$I825)*ABS($G825)*$AG825*$AH825,6)=0,"",ROUND(ABS($H825-$I825)*ABS($G825)*$AG825*$AH825,6))))</f>
        <v/>
      </c>
      <c r="W825" s="50" t="str">
        <f>IF($AM825=0,"",IF($BG825="","OK",LEFT($BG825,LEN($BG825)-2)))</f>
        <v/>
      </c>
      <c r="X825" s="41" t="n"/>
      <c r="Y825" s="40" t="n"/>
      <c r="Z825" s="41" t="n"/>
      <c r="AA825" s="41" t="n"/>
      <c r="AB825" s="40" t="n"/>
      <c r="AC825" s="51" t="n"/>
      <c r="AD825" s="51" t="n"/>
      <c r="AE825" s="40" t="n"/>
      <c r="AF825" s="52" t="str">
        <f>IF($AM825=0,"",IF($D825&lt;&gt;"",$D825,IF(IFERROR(INDEX(Accounts!$C$7:$C$16,MATCH($C825,Accounts!$B$7:$B$16,0))&amp;"","")&lt;&gt;"",INDEX(Accounts!$C$7:$C$16,MATCH($C825,Accounts!$B$7:$B$16,0)),Settings!$C$6)))</f>
        <v/>
      </c>
      <c r="AG825" s="53" t="str">
        <f>IF($AM825=0,"",IF(AND($BE825&gt;0,N(INDEX(Instruments!$D$6:$D$205,MAX(1,$BE825)))&gt;0),INDEX(Instruments!$D$6:$D$205,MAX(1,$BE825)),IF(N(INDEX(Settings!$D$14:$D$18,$BF825))&gt;0,INDEX(Settings!$D$14:$D$18,$BF825),"")))</f>
        <v/>
      </c>
      <c r="AH825" s="54" t="str">
        <f>IF($AM825=0,"",IF($AF825&lt;&gt;"Forex",1,IF(MID(UPPER(SUBSTITUTE(TRIM($E825),"/","")),4,3)=UPPER(TRIM(Settings!$C$7)),1,IF(LEFT(UPPER(SUBSTITUTE(TRIM($E825),"/","")),3)=UPPER(TRIM(Settings!$C$7)),IF(AND(ISNUMBER($K825),N($K825)&lt;&gt;0),1/$K825,""),""))))</f>
        <v/>
      </c>
      <c r="AI825" s="55" t="str">
        <f>IF($AM825=0,"",IF(OR(NOT(ISNUMBER($H825)),NOT(ISNUMBER($K825)),NOT(ISNUMBER($G825)),$AG825="",$AH825=""),"",ROUND(($K825-$H825)*IF($F825="Short",-1,1)*$G825*$AG825*$AH825,6)))</f>
        <v/>
      </c>
      <c r="AJ825" s="55" t="str">
        <f>IF($AM825=0,"",IF(INDEX(Settings!$E$14:$E$18,$BF825)="% of notional",IF(OR($AG825="",NOT(ISNUMBER($H825)),NOT(ISNUMBER($G825))),"",ROUND(ABS($H825*$G825*$AG825*N($AH825))*IF($L825="Limit",N(INDEX(Settings!$G$14:$G$18,$BF825)),N(INDEX(Settings!$H$14:$H$18,$BF825)))+IF(ISNUMBER($K825),ABS($K825*$G825*$AG825*N($AH825))*IF($M825="Target",N(INDEX(Settings!$G$14:$G$18,$BF825)),N(INDEX(Settings!$H$14:$H$18,$BF825))),0),6)),IF(NOT(ISNUMBER($G825)),"",ROUND(ABS($G825)*2*IF(AND($BE825&gt;0,ISNUMBER(INDEX(Instruments!$G$6:$G$205,MAX(1,$BE825)))),INDEX(Instruments!$G$6:$G$205,MAX(1,$BE825)),N(INDEX(Settings!$F$14:$F$18,$BF825))),6))))</f>
        <v/>
      </c>
      <c r="AK825" s="55" t="str">
        <f>IF($AM825=0,"",IF(ISNUMBER($O825),$O825,$AI825))</f>
        <v/>
      </c>
      <c r="AL825" s="55" t="str">
        <f>IF($AM825=0,"",IF(ISNUMBER($P825),$P825,N($AJ825)))</f>
        <v/>
      </c>
      <c r="AM825" s="56">
        <f>IF(AND($A825&lt;&gt;"",$E825&lt;&gt;"",OR(AND(ISNUMBER($G825),ISNUMBER($H825),ISNUMBER($K825)),ISNUMBER($O825))),1,0)</f>
        <v>0</v>
      </c>
      <c r="AN825" s="57" t="str">
        <f>IF($A825="","",$A825-WEEKDAY($A825,3))</f>
        <v/>
      </c>
      <c r="AO825" s="56" t="str">
        <f>IF($A825="","",WEEKDAY($A825,2))</f>
        <v/>
      </c>
      <c r="AP825" s="55" t="str">
        <f>IF(OR($AM825=0,$C825=""),"",IFERROR(N(INDEX(Accounts!$E$7:$E$16,MATCH($C825,Accounts!$B$7:$B$16,0))),0)+SUMIFS($Q$6:$Q825,$C$6:$C825,$C825))</f>
        <v/>
      </c>
      <c r="AQ825" s="55" t="str">
        <f>IF(OR($AM825=0,$C825=""),"",SUMIFS($Q$6:$Q$1005,$C$6:$C$1005,$C825,$A$6:$A$1005,$A825))</f>
        <v/>
      </c>
      <c r="AR825" s="55" t="str">
        <f>IF(OR($AM825=0,$C825=""),"",IFERROR(N(INDEX(Accounts!$E$7:$E$16,MATCH($C825,Accounts!$B$7:$B$16,0))),0)+SUMIFS($Q$6:$Q$1005,$C$6:$C$1005,$C825,$A$6:$A$1005,"&lt;="&amp;$A825))</f>
        <v/>
      </c>
      <c r="AS825" s="56">
        <f>IF(OR($AM825=0,$Q825=""),0,IF(AND($A825&gt;=Lists!$W$6,$A825&lt;=Lists!$W$7,OR(Dashboard!$D$6="All accounts",$C825=Dashboard!$D$6),OR(Dashboard!$D$7="All markets",$AF825=Dashboard!$D$7)),1,0))</f>
        <v>0</v>
      </c>
      <c r="AT825" s="55">
        <f>IF($AS825=1,N(AT824)+$Q825,N(AT824))</f>
        <v>1187.10688</v>
      </c>
      <c r="AU825" s="55">
        <f>MAX(N(AU824),$AT825)</f>
        <v>1187.10688</v>
      </c>
      <c r="AV825" s="55">
        <f>$AT825-$AU825</f>
        <v>0</v>
      </c>
      <c r="AW825" s="56">
        <f>IF($AS825=1,IF($S825="Win",N(AW824)+1,IF($S825="Loss",0,N(AW824))),N(AW824))</f>
        <v>5</v>
      </c>
      <c r="AX825" s="56">
        <f>IF($AS825=1,IF($S825="Loss",N(AX824)+1,IF($S825="Win",0,N(AX824))),N(AX824))</f>
        <v>0</v>
      </c>
      <c r="AY825" s="56" t="str">
        <f>IF($AS825=1,COUNTIF($AS$6:$AS825,1),"")</f>
        <v/>
      </c>
      <c r="AZ825" s="56">
        <f>MIN(819,N(Lists!$W$8))</f>
        <v>28</v>
      </c>
      <c r="BA825" s="56">
        <f>IF($AS825=1,IF(COUNTIFS($A$6:$A825,$A825,$AS$6:$AS825,1)=1,1,0),0)</f>
        <v>0</v>
      </c>
      <c r="BB825" s="55" t="str">
        <f>IF($BA825=1,SUMIFS($Q$6:$Q$1005,$A$6:$A$1005,$A825,$AS$6:$AS$1005,1),"")</f>
        <v/>
      </c>
      <c r="BC825" s="56">
        <f>IF(ISNUMBER($R825),1,0)</f>
        <v>0</v>
      </c>
      <c r="BD825" s="55" t="str">
        <f>IF(ISNUMBER($U825),$U825*$V825,"")</f>
        <v/>
      </c>
      <c r="BE825" s="56" t="str">
        <f>IF($AM825=0,"",IFERROR(MATCH($AF825&amp;"|"&amp;UPPER(TRIM($E825)),Lists!$A$6:$A$205,0),0))</f>
        <v/>
      </c>
      <c r="BF825" s="56" t="str">
        <f>IF($AM825=0,"",IFERROR(MATCH($AF825,Settings!$B$14:$B$18,0),IFERROR(MATCH(Settings!$C$6,Settings!$B$14:$B$18,0),1)))</f>
        <v/>
      </c>
      <c r="BG825" s="58" t="str">
        <f>IF($AM825=0,"",IF(NOT(ISNUMBER($I825)),"No stop; ","")&amp;IF(AND(ISNUMBER($H825),ISNUMBER($I825)),IF(OR(AND($F825&lt;&gt;"Short",$I825&gt;=$H825),AND($F825="Short",$I825&lt;=$H825)),"Stop on wrong side; ",""),"")&amp;IF($F825="","No direction; ","")&amp;IF(AND(ISNUMBER(Settings!$C$22),ISNUMBER($V825)),IF($V825&gt;Settings!$C$22,"Risk over max $; ",""),"")&amp;IF(AND(ISNUMBER(Settings!$C$23),ISNUMBER($V825),ISNUMBER($AP825),IFERROR(N(INDEX(Accounts!$E$7:$E$16,MATCH($C825,Accounts!$B$7:$B$16,0))),0)&gt;0),IF($V825&gt;Settings!$C$23*($AP825-N($Q825)),"Risk over max %; ",""),"")&amp;IF(AND(ISNUMBER(Settings!$C$24),ISNUMBER($N825)),IF($N825&gt;Settings!$C$24,"Leverage over max; ",""),"")&amp;IF(AND(ISNUMBER(Settings!$C$27),ISNUMBER($T825)),IF($T825&lt;Settings!$C$27,"R:R below min; ",""),"")&amp;IF(ISNUMBER(Settings!$C$25),IF(COUNTIFS($A$6:$A825,$A825,$AM$6:$AM825,1)&gt;Settings!$C$25,"Over max trades/day; ",""),"")&amp;IF(ISNUMBER(Settings!$C$26),IF(SUMIFS($Q$5:$Q824,$A$5:$A824,$A825)&lt;=-Settings!$C$26,"Traded after daily max loss; ",""),"")&amp;IF(AND($AG825="",NOT(ISNUMBER($O825))),"Symbol not in Instruments; ","")&amp;IF(AND($AH825="",NOT(ISNUMBER($O825))),"Forex cross: type Gross P&amp;L; ",""))</f>
        <v/>
      </c>
      <c r="BH825" s="56">
        <f>IF(ISNUMBER($Q825),1,0)</f>
        <v>0</v>
      </c>
      <c r="BI825" s="56">
        <f>IF($Y825="",0,1)</f>
        <v>0</v>
      </c>
      <c r="BJ825" s="56">
        <f>IF($AB825="",0,1)</f>
        <v>0</v>
      </c>
      <c r="BK825" s="56">
        <f>IF(AND($BH825=1,$W825&lt;&gt;"OK"),1,0)</f>
        <v>0</v>
      </c>
      <c r="BL825" s="55">
        <f>IF(N($AZ825)=0,0,IFERROR(INDEX($AT$6:$AT$1005,MATCH($AZ825,$AY$6:$AY$1005,0)),0))</f>
        <v>1187.10688</v>
      </c>
      <c r="BM825" s="56">
        <f>IF(ISNUMBER(SEARCH("daily max loss",$BG825)),1,0)</f>
        <v>0</v>
      </c>
    </row>
    <row r="826" ht="18" customHeight="1">
      <c r="A826" s="38" t="n"/>
      <c r="B826" s="39" t="n"/>
      <c r="C826" s="40" t="n"/>
      <c r="D826" s="41" t="n"/>
      <c r="E826" s="41" t="n"/>
      <c r="F826" s="41" t="n"/>
      <c r="G826" s="41" t="n"/>
      <c r="H826" s="42" t="n"/>
      <c r="I826" s="42" t="n"/>
      <c r="J826" s="42" t="n"/>
      <c r="K826" s="42" t="n"/>
      <c r="L826" s="41" t="n"/>
      <c r="M826" s="41" t="n"/>
      <c r="N826" s="41" t="n"/>
      <c r="O826" s="43" t="n"/>
      <c r="P826" s="43" t="n"/>
      <c r="Q826" s="44" t="str">
        <f>IF($AM826=0,"",IF(ISNUMBER($AK826),$AK826-N($AL826),""))</f>
        <v/>
      </c>
      <c r="R826" s="45" t="str">
        <f>IF(OR($Q826="",NOT(ISNUMBER($V826))),"",$AK826/$V826)</f>
        <v/>
      </c>
      <c r="S826" s="46" t="str">
        <f>IF($Q826="","",IF(AND(ISNUMBER($R826),ABS(N($R826))&lt;N(Settings!$C$8)),"Scratch",IF($Q826&gt;0,"Win",IF($Q826&lt;0,"Loss","Scratch"))))</f>
        <v/>
      </c>
      <c r="T826" s="47" t="str">
        <f>IF(OR($AM826=0,NOT(ISNUMBER($H826)),NOT(ISNUMBER($I826)),NOT(ISNUMBER($J826))),"",IF($H826=$I826,"",ROUND(ABS($J826-$H826)/ABS($H826-$I826),6)))</f>
        <v/>
      </c>
      <c r="U826" s="48" t="str">
        <f>IF(OR($S826&lt;&gt;"Win",NOT(ISNUMBER($T826)),NOT(ISNUMBER($R826))),"",MAX(0,$T826-$R826))</f>
        <v/>
      </c>
      <c r="V826" s="49" t="str">
        <f>IF(OR($AM826=0,NOT(ISNUMBER($H826)),NOT(ISNUMBER($I826)),NOT(ISNUMBER($G826))),"",IF(OR($AG826="",$AH826=""),"",IF(ROUND(ABS($H826-$I826)*ABS($G826)*$AG826*$AH826,6)=0,"",ROUND(ABS($H826-$I826)*ABS($G826)*$AG826*$AH826,6))))</f>
        <v/>
      </c>
      <c r="W826" s="50" t="str">
        <f>IF($AM826=0,"",IF($BG826="","OK",LEFT($BG826,LEN($BG826)-2)))</f>
        <v/>
      </c>
      <c r="X826" s="41" t="n"/>
      <c r="Y826" s="40" t="n"/>
      <c r="Z826" s="41" t="n"/>
      <c r="AA826" s="41" t="n"/>
      <c r="AB826" s="40" t="n"/>
      <c r="AC826" s="51" t="n"/>
      <c r="AD826" s="51" t="n"/>
      <c r="AE826" s="40" t="n"/>
      <c r="AF826" s="52" t="str">
        <f>IF($AM826=0,"",IF($D826&lt;&gt;"",$D826,IF(IFERROR(INDEX(Accounts!$C$7:$C$16,MATCH($C826,Accounts!$B$7:$B$16,0))&amp;"","")&lt;&gt;"",INDEX(Accounts!$C$7:$C$16,MATCH($C826,Accounts!$B$7:$B$16,0)),Settings!$C$6)))</f>
        <v/>
      </c>
      <c r="AG826" s="53" t="str">
        <f>IF($AM826=0,"",IF(AND($BE826&gt;0,N(INDEX(Instruments!$D$6:$D$205,MAX(1,$BE826)))&gt;0),INDEX(Instruments!$D$6:$D$205,MAX(1,$BE826)),IF(N(INDEX(Settings!$D$14:$D$18,$BF826))&gt;0,INDEX(Settings!$D$14:$D$18,$BF826),"")))</f>
        <v/>
      </c>
      <c r="AH826" s="54" t="str">
        <f>IF($AM826=0,"",IF($AF826&lt;&gt;"Forex",1,IF(MID(UPPER(SUBSTITUTE(TRIM($E826),"/","")),4,3)=UPPER(TRIM(Settings!$C$7)),1,IF(LEFT(UPPER(SUBSTITUTE(TRIM($E826),"/","")),3)=UPPER(TRIM(Settings!$C$7)),IF(AND(ISNUMBER($K826),N($K826)&lt;&gt;0),1/$K826,""),""))))</f>
        <v/>
      </c>
      <c r="AI826" s="55" t="str">
        <f>IF($AM826=0,"",IF(OR(NOT(ISNUMBER($H826)),NOT(ISNUMBER($K826)),NOT(ISNUMBER($G826)),$AG826="",$AH826=""),"",ROUND(($K826-$H826)*IF($F826="Short",-1,1)*$G826*$AG826*$AH826,6)))</f>
        <v/>
      </c>
      <c r="AJ826" s="55" t="str">
        <f>IF($AM826=0,"",IF(INDEX(Settings!$E$14:$E$18,$BF826)="% of notional",IF(OR($AG826="",NOT(ISNUMBER($H826)),NOT(ISNUMBER($G826))),"",ROUND(ABS($H826*$G826*$AG826*N($AH826))*IF($L826="Limit",N(INDEX(Settings!$G$14:$G$18,$BF826)),N(INDEX(Settings!$H$14:$H$18,$BF826)))+IF(ISNUMBER($K826),ABS($K826*$G826*$AG826*N($AH826))*IF($M826="Target",N(INDEX(Settings!$G$14:$G$18,$BF826)),N(INDEX(Settings!$H$14:$H$18,$BF826))),0),6)),IF(NOT(ISNUMBER($G826)),"",ROUND(ABS($G826)*2*IF(AND($BE826&gt;0,ISNUMBER(INDEX(Instruments!$G$6:$G$205,MAX(1,$BE826)))),INDEX(Instruments!$G$6:$G$205,MAX(1,$BE826)),N(INDEX(Settings!$F$14:$F$18,$BF826))),6))))</f>
        <v/>
      </c>
      <c r="AK826" s="55" t="str">
        <f>IF($AM826=0,"",IF(ISNUMBER($O826),$O826,$AI826))</f>
        <v/>
      </c>
      <c r="AL826" s="55" t="str">
        <f>IF($AM826=0,"",IF(ISNUMBER($P826),$P826,N($AJ826)))</f>
        <v/>
      </c>
      <c r="AM826" s="56">
        <f>IF(AND($A826&lt;&gt;"",$E826&lt;&gt;"",OR(AND(ISNUMBER($G826),ISNUMBER($H826),ISNUMBER($K826)),ISNUMBER($O826))),1,0)</f>
        <v>0</v>
      </c>
      <c r="AN826" s="57" t="str">
        <f>IF($A826="","",$A826-WEEKDAY($A826,3))</f>
        <v/>
      </c>
      <c r="AO826" s="56" t="str">
        <f>IF($A826="","",WEEKDAY($A826,2))</f>
        <v/>
      </c>
      <c r="AP826" s="55" t="str">
        <f>IF(OR($AM826=0,$C826=""),"",IFERROR(N(INDEX(Accounts!$E$7:$E$16,MATCH($C826,Accounts!$B$7:$B$16,0))),0)+SUMIFS($Q$6:$Q826,$C$6:$C826,$C826))</f>
        <v/>
      </c>
      <c r="AQ826" s="55" t="str">
        <f>IF(OR($AM826=0,$C826=""),"",SUMIFS($Q$6:$Q$1005,$C$6:$C$1005,$C826,$A$6:$A$1005,$A826))</f>
        <v/>
      </c>
      <c r="AR826" s="55" t="str">
        <f>IF(OR($AM826=0,$C826=""),"",IFERROR(N(INDEX(Accounts!$E$7:$E$16,MATCH($C826,Accounts!$B$7:$B$16,0))),0)+SUMIFS($Q$6:$Q$1005,$C$6:$C$1005,$C826,$A$6:$A$1005,"&lt;="&amp;$A826))</f>
        <v/>
      </c>
      <c r="AS826" s="56">
        <f>IF(OR($AM826=0,$Q826=""),0,IF(AND($A826&gt;=Lists!$W$6,$A826&lt;=Lists!$W$7,OR(Dashboard!$D$6="All accounts",$C826=Dashboard!$D$6),OR(Dashboard!$D$7="All markets",$AF826=Dashboard!$D$7)),1,0))</f>
        <v>0</v>
      </c>
      <c r="AT826" s="55">
        <f>IF($AS826=1,N(AT825)+$Q826,N(AT825))</f>
        <v>1187.10688</v>
      </c>
      <c r="AU826" s="55">
        <f>MAX(N(AU825),$AT826)</f>
        <v>1187.10688</v>
      </c>
      <c r="AV826" s="55">
        <f>$AT826-$AU826</f>
        <v>0</v>
      </c>
      <c r="AW826" s="56">
        <f>IF($AS826=1,IF($S826="Win",N(AW825)+1,IF($S826="Loss",0,N(AW825))),N(AW825))</f>
        <v>5</v>
      </c>
      <c r="AX826" s="56">
        <f>IF($AS826=1,IF($S826="Loss",N(AX825)+1,IF($S826="Win",0,N(AX825))),N(AX825))</f>
        <v>0</v>
      </c>
      <c r="AY826" s="56" t="str">
        <f>IF($AS826=1,COUNTIF($AS$6:$AS826,1),"")</f>
        <v/>
      </c>
      <c r="AZ826" s="56">
        <f>MIN(820,N(Lists!$W$8))</f>
        <v>28</v>
      </c>
      <c r="BA826" s="56">
        <f>IF($AS826=1,IF(COUNTIFS($A$6:$A826,$A826,$AS$6:$AS826,1)=1,1,0),0)</f>
        <v>0</v>
      </c>
      <c r="BB826" s="55" t="str">
        <f>IF($BA826=1,SUMIFS($Q$6:$Q$1005,$A$6:$A$1005,$A826,$AS$6:$AS$1005,1),"")</f>
        <v/>
      </c>
      <c r="BC826" s="56">
        <f>IF(ISNUMBER($R826),1,0)</f>
        <v>0</v>
      </c>
      <c r="BD826" s="55" t="str">
        <f>IF(ISNUMBER($U826),$U826*$V826,"")</f>
        <v/>
      </c>
      <c r="BE826" s="56" t="str">
        <f>IF($AM826=0,"",IFERROR(MATCH($AF826&amp;"|"&amp;UPPER(TRIM($E826)),Lists!$A$6:$A$205,0),0))</f>
        <v/>
      </c>
      <c r="BF826" s="56" t="str">
        <f>IF($AM826=0,"",IFERROR(MATCH($AF826,Settings!$B$14:$B$18,0),IFERROR(MATCH(Settings!$C$6,Settings!$B$14:$B$18,0),1)))</f>
        <v/>
      </c>
      <c r="BG826" s="58" t="str">
        <f>IF($AM826=0,"",IF(NOT(ISNUMBER($I826)),"No stop; ","")&amp;IF(AND(ISNUMBER($H826),ISNUMBER($I826)),IF(OR(AND($F826&lt;&gt;"Short",$I826&gt;=$H826),AND($F826="Short",$I826&lt;=$H826)),"Stop on wrong side; ",""),"")&amp;IF($F826="","No direction; ","")&amp;IF(AND(ISNUMBER(Settings!$C$22),ISNUMBER($V826)),IF($V826&gt;Settings!$C$22,"Risk over max $; ",""),"")&amp;IF(AND(ISNUMBER(Settings!$C$23),ISNUMBER($V826),ISNUMBER($AP826),IFERROR(N(INDEX(Accounts!$E$7:$E$16,MATCH($C826,Accounts!$B$7:$B$16,0))),0)&gt;0),IF($V826&gt;Settings!$C$23*($AP826-N($Q826)),"Risk over max %; ",""),"")&amp;IF(AND(ISNUMBER(Settings!$C$24),ISNUMBER($N826)),IF($N826&gt;Settings!$C$24,"Leverage over max; ",""),"")&amp;IF(AND(ISNUMBER(Settings!$C$27),ISNUMBER($T826)),IF($T826&lt;Settings!$C$27,"R:R below min; ",""),"")&amp;IF(ISNUMBER(Settings!$C$25),IF(COUNTIFS($A$6:$A826,$A826,$AM$6:$AM826,1)&gt;Settings!$C$25,"Over max trades/day; ",""),"")&amp;IF(ISNUMBER(Settings!$C$26),IF(SUMIFS($Q$5:$Q825,$A$5:$A825,$A826)&lt;=-Settings!$C$26,"Traded after daily max loss; ",""),"")&amp;IF(AND($AG826="",NOT(ISNUMBER($O826))),"Symbol not in Instruments; ","")&amp;IF(AND($AH826="",NOT(ISNUMBER($O826))),"Forex cross: type Gross P&amp;L; ",""))</f>
        <v/>
      </c>
      <c r="BH826" s="56">
        <f>IF(ISNUMBER($Q826),1,0)</f>
        <v>0</v>
      </c>
      <c r="BI826" s="56">
        <f>IF($Y826="",0,1)</f>
        <v>0</v>
      </c>
      <c r="BJ826" s="56">
        <f>IF($AB826="",0,1)</f>
        <v>0</v>
      </c>
      <c r="BK826" s="56">
        <f>IF(AND($BH826=1,$W826&lt;&gt;"OK"),1,0)</f>
        <v>0</v>
      </c>
      <c r="BL826" s="55">
        <f>IF(N($AZ826)=0,0,IFERROR(INDEX($AT$6:$AT$1005,MATCH($AZ826,$AY$6:$AY$1005,0)),0))</f>
        <v>1187.10688</v>
      </c>
      <c r="BM826" s="56">
        <f>IF(ISNUMBER(SEARCH("daily max loss",$BG826)),1,0)</f>
        <v>0</v>
      </c>
    </row>
    <row r="827" ht="18" customHeight="1">
      <c r="A827" s="38" t="n"/>
      <c r="B827" s="39" t="n"/>
      <c r="C827" s="40" t="n"/>
      <c r="D827" s="41" t="n"/>
      <c r="E827" s="41" t="n"/>
      <c r="F827" s="41" t="n"/>
      <c r="G827" s="41" t="n"/>
      <c r="H827" s="42" t="n"/>
      <c r="I827" s="42" t="n"/>
      <c r="J827" s="42" t="n"/>
      <c r="K827" s="42" t="n"/>
      <c r="L827" s="41" t="n"/>
      <c r="M827" s="41" t="n"/>
      <c r="N827" s="41" t="n"/>
      <c r="O827" s="43" t="n"/>
      <c r="P827" s="43" t="n"/>
      <c r="Q827" s="44" t="str">
        <f>IF($AM827=0,"",IF(ISNUMBER($AK827),$AK827-N($AL827),""))</f>
        <v/>
      </c>
      <c r="R827" s="45" t="str">
        <f>IF(OR($Q827="",NOT(ISNUMBER($V827))),"",$AK827/$V827)</f>
        <v/>
      </c>
      <c r="S827" s="46" t="str">
        <f>IF($Q827="","",IF(AND(ISNUMBER($R827),ABS(N($R827))&lt;N(Settings!$C$8)),"Scratch",IF($Q827&gt;0,"Win",IF($Q827&lt;0,"Loss","Scratch"))))</f>
        <v/>
      </c>
      <c r="T827" s="47" t="str">
        <f>IF(OR($AM827=0,NOT(ISNUMBER($H827)),NOT(ISNUMBER($I827)),NOT(ISNUMBER($J827))),"",IF($H827=$I827,"",ROUND(ABS($J827-$H827)/ABS($H827-$I827),6)))</f>
        <v/>
      </c>
      <c r="U827" s="48" t="str">
        <f>IF(OR($S827&lt;&gt;"Win",NOT(ISNUMBER($T827)),NOT(ISNUMBER($R827))),"",MAX(0,$T827-$R827))</f>
        <v/>
      </c>
      <c r="V827" s="49" t="str">
        <f>IF(OR($AM827=0,NOT(ISNUMBER($H827)),NOT(ISNUMBER($I827)),NOT(ISNUMBER($G827))),"",IF(OR($AG827="",$AH827=""),"",IF(ROUND(ABS($H827-$I827)*ABS($G827)*$AG827*$AH827,6)=0,"",ROUND(ABS($H827-$I827)*ABS($G827)*$AG827*$AH827,6))))</f>
        <v/>
      </c>
      <c r="W827" s="50" t="str">
        <f>IF($AM827=0,"",IF($BG827="","OK",LEFT($BG827,LEN($BG827)-2)))</f>
        <v/>
      </c>
      <c r="X827" s="41" t="n"/>
      <c r="Y827" s="40" t="n"/>
      <c r="Z827" s="41" t="n"/>
      <c r="AA827" s="41" t="n"/>
      <c r="AB827" s="40" t="n"/>
      <c r="AC827" s="51" t="n"/>
      <c r="AD827" s="51" t="n"/>
      <c r="AE827" s="40" t="n"/>
      <c r="AF827" s="52" t="str">
        <f>IF($AM827=0,"",IF($D827&lt;&gt;"",$D827,IF(IFERROR(INDEX(Accounts!$C$7:$C$16,MATCH($C827,Accounts!$B$7:$B$16,0))&amp;"","")&lt;&gt;"",INDEX(Accounts!$C$7:$C$16,MATCH($C827,Accounts!$B$7:$B$16,0)),Settings!$C$6)))</f>
        <v/>
      </c>
      <c r="AG827" s="53" t="str">
        <f>IF($AM827=0,"",IF(AND($BE827&gt;0,N(INDEX(Instruments!$D$6:$D$205,MAX(1,$BE827)))&gt;0),INDEX(Instruments!$D$6:$D$205,MAX(1,$BE827)),IF(N(INDEX(Settings!$D$14:$D$18,$BF827))&gt;0,INDEX(Settings!$D$14:$D$18,$BF827),"")))</f>
        <v/>
      </c>
      <c r="AH827" s="54" t="str">
        <f>IF($AM827=0,"",IF($AF827&lt;&gt;"Forex",1,IF(MID(UPPER(SUBSTITUTE(TRIM($E827),"/","")),4,3)=UPPER(TRIM(Settings!$C$7)),1,IF(LEFT(UPPER(SUBSTITUTE(TRIM($E827),"/","")),3)=UPPER(TRIM(Settings!$C$7)),IF(AND(ISNUMBER($K827),N($K827)&lt;&gt;0),1/$K827,""),""))))</f>
        <v/>
      </c>
      <c r="AI827" s="55" t="str">
        <f>IF($AM827=0,"",IF(OR(NOT(ISNUMBER($H827)),NOT(ISNUMBER($K827)),NOT(ISNUMBER($G827)),$AG827="",$AH827=""),"",ROUND(($K827-$H827)*IF($F827="Short",-1,1)*$G827*$AG827*$AH827,6)))</f>
        <v/>
      </c>
      <c r="AJ827" s="55" t="str">
        <f>IF($AM827=0,"",IF(INDEX(Settings!$E$14:$E$18,$BF827)="% of notional",IF(OR($AG827="",NOT(ISNUMBER($H827)),NOT(ISNUMBER($G827))),"",ROUND(ABS($H827*$G827*$AG827*N($AH827))*IF($L827="Limit",N(INDEX(Settings!$G$14:$G$18,$BF827)),N(INDEX(Settings!$H$14:$H$18,$BF827)))+IF(ISNUMBER($K827),ABS($K827*$G827*$AG827*N($AH827))*IF($M827="Target",N(INDEX(Settings!$G$14:$G$18,$BF827)),N(INDEX(Settings!$H$14:$H$18,$BF827))),0),6)),IF(NOT(ISNUMBER($G827)),"",ROUND(ABS($G827)*2*IF(AND($BE827&gt;0,ISNUMBER(INDEX(Instruments!$G$6:$G$205,MAX(1,$BE827)))),INDEX(Instruments!$G$6:$G$205,MAX(1,$BE827)),N(INDEX(Settings!$F$14:$F$18,$BF827))),6))))</f>
        <v/>
      </c>
      <c r="AK827" s="55" t="str">
        <f>IF($AM827=0,"",IF(ISNUMBER($O827),$O827,$AI827))</f>
        <v/>
      </c>
      <c r="AL827" s="55" t="str">
        <f>IF($AM827=0,"",IF(ISNUMBER($P827),$P827,N($AJ827)))</f>
        <v/>
      </c>
      <c r="AM827" s="56">
        <f>IF(AND($A827&lt;&gt;"",$E827&lt;&gt;"",OR(AND(ISNUMBER($G827),ISNUMBER($H827),ISNUMBER($K827)),ISNUMBER($O827))),1,0)</f>
        <v>0</v>
      </c>
      <c r="AN827" s="57" t="str">
        <f>IF($A827="","",$A827-WEEKDAY($A827,3))</f>
        <v/>
      </c>
      <c r="AO827" s="56" t="str">
        <f>IF($A827="","",WEEKDAY($A827,2))</f>
        <v/>
      </c>
      <c r="AP827" s="55" t="str">
        <f>IF(OR($AM827=0,$C827=""),"",IFERROR(N(INDEX(Accounts!$E$7:$E$16,MATCH($C827,Accounts!$B$7:$B$16,0))),0)+SUMIFS($Q$6:$Q827,$C$6:$C827,$C827))</f>
        <v/>
      </c>
      <c r="AQ827" s="55" t="str">
        <f>IF(OR($AM827=0,$C827=""),"",SUMIFS($Q$6:$Q$1005,$C$6:$C$1005,$C827,$A$6:$A$1005,$A827))</f>
        <v/>
      </c>
      <c r="AR827" s="55" t="str">
        <f>IF(OR($AM827=0,$C827=""),"",IFERROR(N(INDEX(Accounts!$E$7:$E$16,MATCH($C827,Accounts!$B$7:$B$16,0))),0)+SUMIFS($Q$6:$Q$1005,$C$6:$C$1005,$C827,$A$6:$A$1005,"&lt;="&amp;$A827))</f>
        <v/>
      </c>
      <c r="AS827" s="56">
        <f>IF(OR($AM827=0,$Q827=""),0,IF(AND($A827&gt;=Lists!$W$6,$A827&lt;=Lists!$W$7,OR(Dashboard!$D$6="All accounts",$C827=Dashboard!$D$6),OR(Dashboard!$D$7="All markets",$AF827=Dashboard!$D$7)),1,0))</f>
        <v>0</v>
      </c>
      <c r="AT827" s="55">
        <f>IF($AS827=1,N(AT826)+$Q827,N(AT826))</f>
        <v>1187.10688</v>
      </c>
      <c r="AU827" s="55">
        <f>MAX(N(AU826),$AT827)</f>
        <v>1187.10688</v>
      </c>
      <c r="AV827" s="55">
        <f>$AT827-$AU827</f>
        <v>0</v>
      </c>
      <c r="AW827" s="56">
        <f>IF($AS827=1,IF($S827="Win",N(AW826)+1,IF($S827="Loss",0,N(AW826))),N(AW826))</f>
        <v>5</v>
      </c>
      <c r="AX827" s="56">
        <f>IF($AS827=1,IF($S827="Loss",N(AX826)+1,IF($S827="Win",0,N(AX826))),N(AX826))</f>
        <v>0</v>
      </c>
      <c r="AY827" s="56" t="str">
        <f>IF($AS827=1,COUNTIF($AS$6:$AS827,1),"")</f>
        <v/>
      </c>
      <c r="AZ827" s="56">
        <f>MIN(821,N(Lists!$W$8))</f>
        <v>28</v>
      </c>
      <c r="BA827" s="56">
        <f>IF($AS827=1,IF(COUNTIFS($A$6:$A827,$A827,$AS$6:$AS827,1)=1,1,0),0)</f>
        <v>0</v>
      </c>
      <c r="BB827" s="55" t="str">
        <f>IF($BA827=1,SUMIFS($Q$6:$Q$1005,$A$6:$A$1005,$A827,$AS$6:$AS$1005,1),"")</f>
        <v/>
      </c>
      <c r="BC827" s="56">
        <f>IF(ISNUMBER($R827),1,0)</f>
        <v>0</v>
      </c>
      <c r="BD827" s="55" t="str">
        <f>IF(ISNUMBER($U827),$U827*$V827,"")</f>
        <v/>
      </c>
      <c r="BE827" s="56" t="str">
        <f>IF($AM827=0,"",IFERROR(MATCH($AF827&amp;"|"&amp;UPPER(TRIM($E827)),Lists!$A$6:$A$205,0),0))</f>
        <v/>
      </c>
      <c r="BF827" s="56" t="str">
        <f>IF($AM827=0,"",IFERROR(MATCH($AF827,Settings!$B$14:$B$18,0),IFERROR(MATCH(Settings!$C$6,Settings!$B$14:$B$18,0),1)))</f>
        <v/>
      </c>
      <c r="BG827" s="58" t="str">
        <f>IF($AM827=0,"",IF(NOT(ISNUMBER($I827)),"No stop; ","")&amp;IF(AND(ISNUMBER($H827),ISNUMBER($I827)),IF(OR(AND($F827&lt;&gt;"Short",$I827&gt;=$H827),AND($F827="Short",$I827&lt;=$H827)),"Stop on wrong side; ",""),"")&amp;IF($F827="","No direction; ","")&amp;IF(AND(ISNUMBER(Settings!$C$22),ISNUMBER($V827)),IF($V827&gt;Settings!$C$22,"Risk over max $; ",""),"")&amp;IF(AND(ISNUMBER(Settings!$C$23),ISNUMBER($V827),ISNUMBER($AP827),IFERROR(N(INDEX(Accounts!$E$7:$E$16,MATCH($C827,Accounts!$B$7:$B$16,0))),0)&gt;0),IF($V827&gt;Settings!$C$23*($AP827-N($Q827)),"Risk over max %; ",""),"")&amp;IF(AND(ISNUMBER(Settings!$C$24),ISNUMBER($N827)),IF($N827&gt;Settings!$C$24,"Leverage over max; ",""),"")&amp;IF(AND(ISNUMBER(Settings!$C$27),ISNUMBER($T827)),IF($T827&lt;Settings!$C$27,"R:R below min; ",""),"")&amp;IF(ISNUMBER(Settings!$C$25),IF(COUNTIFS($A$6:$A827,$A827,$AM$6:$AM827,1)&gt;Settings!$C$25,"Over max trades/day; ",""),"")&amp;IF(ISNUMBER(Settings!$C$26),IF(SUMIFS($Q$5:$Q826,$A$5:$A826,$A827)&lt;=-Settings!$C$26,"Traded after daily max loss; ",""),"")&amp;IF(AND($AG827="",NOT(ISNUMBER($O827))),"Symbol not in Instruments; ","")&amp;IF(AND($AH827="",NOT(ISNUMBER($O827))),"Forex cross: type Gross P&amp;L; ",""))</f>
        <v/>
      </c>
      <c r="BH827" s="56">
        <f>IF(ISNUMBER($Q827),1,0)</f>
        <v>0</v>
      </c>
      <c r="BI827" s="56">
        <f>IF($Y827="",0,1)</f>
        <v>0</v>
      </c>
      <c r="BJ827" s="56">
        <f>IF($AB827="",0,1)</f>
        <v>0</v>
      </c>
      <c r="BK827" s="56">
        <f>IF(AND($BH827=1,$W827&lt;&gt;"OK"),1,0)</f>
        <v>0</v>
      </c>
      <c r="BL827" s="55">
        <f>IF(N($AZ827)=0,0,IFERROR(INDEX($AT$6:$AT$1005,MATCH($AZ827,$AY$6:$AY$1005,0)),0))</f>
        <v>1187.10688</v>
      </c>
      <c r="BM827" s="56">
        <f>IF(ISNUMBER(SEARCH("daily max loss",$BG827)),1,0)</f>
        <v>0</v>
      </c>
    </row>
    <row r="828" ht="18" customHeight="1">
      <c r="A828" s="38" t="n"/>
      <c r="B828" s="39" t="n"/>
      <c r="C828" s="40" t="n"/>
      <c r="D828" s="41" t="n"/>
      <c r="E828" s="41" t="n"/>
      <c r="F828" s="41" t="n"/>
      <c r="G828" s="41" t="n"/>
      <c r="H828" s="42" t="n"/>
      <c r="I828" s="42" t="n"/>
      <c r="J828" s="42" t="n"/>
      <c r="K828" s="42" t="n"/>
      <c r="L828" s="41" t="n"/>
      <c r="M828" s="41" t="n"/>
      <c r="N828" s="41" t="n"/>
      <c r="O828" s="43" t="n"/>
      <c r="P828" s="43" t="n"/>
      <c r="Q828" s="44" t="str">
        <f>IF($AM828=0,"",IF(ISNUMBER($AK828),$AK828-N($AL828),""))</f>
        <v/>
      </c>
      <c r="R828" s="45" t="str">
        <f>IF(OR($Q828="",NOT(ISNUMBER($V828))),"",$AK828/$V828)</f>
        <v/>
      </c>
      <c r="S828" s="46" t="str">
        <f>IF($Q828="","",IF(AND(ISNUMBER($R828),ABS(N($R828))&lt;N(Settings!$C$8)),"Scratch",IF($Q828&gt;0,"Win",IF($Q828&lt;0,"Loss","Scratch"))))</f>
        <v/>
      </c>
      <c r="T828" s="47" t="str">
        <f>IF(OR($AM828=0,NOT(ISNUMBER($H828)),NOT(ISNUMBER($I828)),NOT(ISNUMBER($J828))),"",IF($H828=$I828,"",ROUND(ABS($J828-$H828)/ABS($H828-$I828),6)))</f>
        <v/>
      </c>
      <c r="U828" s="48" t="str">
        <f>IF(OR($S828&lt;&gt;"Win",NOT(ISNUMBER($T828)),NOT(ISNUMBER($R828))),"",MAX(0,$T828-$R828))</f>
        <v/>
      </c>
      <c r="V828" s="49" t="str">
        <f>IF(OR($AM828=0,NOT(ISNUMBER($H828)),NOT(ISNUMBER($I828)),NOT(ISNUMBER($G828))),"",IF(OR($AG828="",$AH828=""),"",IF(ROUND(ABS($H828-$I828)*ABS($G828)*$AG828*$AH828,6)=0,"",ROUND(ABS($H828-$I828)*ABS($G828)*$AG828*$AH828,6))))</f>
        <v/>
      </c>
      <c r="W828" s="50" t="str">
        <f>IF($AM828=0,"",IF($BG828="","OK",LEFT($BG828,LEN($BG828)-2)))</f>
        <v/>
      </c>
      <c r="X828" s="41" t="n"/>
      <c r="Y828" s="40" t="n"/>
      <c r="Z828" s="41" t="n"/>
      <c r="AA828" s="41" t="n"/>
      <c r="AB828" s="40" t="n"/>
      <c r="AC828" s="51" t="n"/>
      <c r="AD828" s="51" t="n"/>
      <c r="AE828" s="40" t="n"/>
      <c r="AF828" s="52" t="str">
        <f>IF($AM828=0,"",IF($D828&lt;&gt;"",$D828,IF(IFERROR(INDEX(Accounts!$C$7:$C$16,MATCH($C828,Accounts!$B$7:$B$16,0))&amp;"","")&lt;&gt;"",INDEX(Accounts!$C$7:$C$16,MATCH($C828,Accounts!$B$7:$B$16,0)),Settings!$C$6)))</f>
        <v/>
      </c>
      <c r="AG828" s="53" t="str">
        <f>IF($AM828=0,"",IF(AND($BE828&gt;0,N(INDEX(Instruments!$D$6:$D$205,MAX(1,$BE828)))&gt;0),INDEX(Instruments!$D$6:$D$205,MAX(1,$BE828)),IF(N(INDEX(Settings!$D$14:$D$18,$BF828))&gt;0,INDEX(Settings!$D$14:$D$18,$BF828),"")))</f>
        <v/>
      </c>
      <c r="AH828" s="54" t="str">
        <f>IF($AM828=0,"",IF($AF828&lt;&gt;"Forex",1,IF(MID(UPPER(SUBSTITUTE(TRIM($E828),"/","")),4,3)=UPPER(TRIM(Settings!$C$7)),1,IF(LEFT(UPPER(SUBSTITUTE(TRIM($E828),"/","")),3)=UPPER(TRIM(Settings!$C$7)),IF(AND(ISNUMBER($K828),N($K828)&lt;&gt;0),1/$K828,""),""))))</f>
        <v/>
      </c>
      <c r="AI828" s="55" t="str">
        <f>IF($AM828=0,"",IF(OR(NOT(ISNUMBER($H828)),NOT(ISNUMBER($K828)),NOT(ISNUMBER($G828)),$AG828="",$AH828=""),"",ROUND(($K828-$H828)*IF($F828="Short",-1,1)*$G828*$AG828*$AH828,6)))</f>
        <v/>
      </c>
      <c r="AJ828" s="55" t="str">
        <f>IF($AM828=0,"",IF(INDEX(Settings!$E$14:$E$18,$BF828)="% of notional",IF(OR($AG828="",NOT(ISNUMBER($H828)),NOT(ISNUMBER($G828))),"",ROUND(ABS($H828*$G828*$AG828*N($AH828))*IF($L828="Limit",N(INDEX(Settings!$G$14:$G$18,$BF828)),N(INDEX(Settings!$H$14:$H$18,$BF828)))+IF(ISNUMBER($K828),ABS($K828*$G828*$AG828*N($AH828))*IF($M828="Target",N(INDEX(Settings!$G$14:$G$18,$BF828)),N(INDEX(Settings!$H$14:$H$18,$BF828))),0),6)),IF(NOT(ISNUMBER($G828)),"",ROUND(ABS($G828)*2*IF(AND($BE828&gt;0,ISNUMBER(INDEX(Instruments!$G$6:$G$205,MAX(1,$BE828)))),INDEX(Instruments!$G$6:$G$205,MAX(1,$BE828)),N(INDEX(Settings!$F$14:$F$18,$BF828))),6))))</f>
        <v/>
      </c>
      <c r="AK828" s="55" t="str">
        <f>IF($AM828=0,"",IF(ISNUMBER($O828),$O828,$AI828))</f>
        <v/>
      </c>
      <c r="AL828" s="55" t="str">
        <f>IF($AM828=0,"",IF(ISNUMBER($P828),$P828,N($AJ828)))</f>
        <v/>
      </c>
      <c r="AM828" s="56">
        <f>IF(AND($A828&lt;&gt;"",$E828&lt;&gt;"",OR(AND(ISNUMBER($G828),ISNUMBER($H828),ISNUMBER($K828)),ISNUMBER($O828))),1,0)</f>
        <v>0</v>
      </c>
      <c r="AN828" s="57" t="str">
        <f>IF($A828="","",$A828-WEEKDAY($A828,3))</f>
        <v/>
      </c>
      <c r="AO828" s="56" t="str">
        <f>IF($A828="","",WEEKDAY($A828,2))</f>
        <v/>
      </c>
      <c r="AP828" s="55" t="str">
        <f>IF(OR($AM828=0,$C828=""),"",IFERROR(N(INDEX(Accounts!$E$7:$E$16,MATCH($C828,Accounts!$B$7:$B$16,0))),0)+SUMIFS($Q$6:$Q828,$C$6:$C828,$C828))</f>
        <v/>
      </c>
      <c r="AQ828" s="55" t="str">
        <f>IF(OR($AM828=0,$C828=""),"",SUMIFS($Q$6:$Q$1005,$C$6:$C$1005,$C828,$A$6:$A$1005,$A828))</f>
        <v/>
      </c>
      <c r="AR828" s="55" t="str">
        <f>IF(OR($AM828=0,$C828=""),"",IFERROR(N(INDEX(Accounts!$E$7:$E$16,MATCH($C828,Accounts!$B$7:$B$16,0))),0)+SUMIFS($Q$6:$Q$1005,$C$6:$C$1005,$C828,$A$6:$A$1005,"&lt;="&amp;$A828))</f>
        <v/>
      </c>
      <c r="AS828" s="56">
        <f>IF(OR($AM828=0,$Q828=""),0,IF(AND($A828&gt;=Lists!$W$6,$A828&lt;=Lists!$W$7,OR(Dashboard!$D$6="All accounts",$C828=Dashboard!$D$6),OR(Dashboard!$D$7="All markets",$AF828=Dashboard!$D$7)),1,0))</f>
        <v>0</v>
      </c>
      <c r="AT828" s="55">
        <f>IF($AS828=1,N(AT827)+$Q828,N(AT827))</f>
        <v>1187.10688</v>
      </c>
      <c r="AU828" s="55">
        <f>MAX(N(AU827),$AT828)</f>
        <v>1187.10688</v>
      </c>
      <c r="AV828" s="55">
        <f>$AT828-$AU828</f>
        <v>0</v>
      </c>
      <c r="AW828" s="56">
        <f>IF($AS828=1,IF($S828="Win",N(AW827)+1,IF($S828="Loss",0,N(AW827))),N(AW827))</f>
        <v>5</v>
      </c>
      <c r="AX828" s="56">
        <f>IF($AS828=1,IF($S828="Loss",N(AX827)+1,IF($S828="Win",0,N(AX827))),N(AX827))</f>
        <v>0</v>
      </c>
      <c r="AY828" s="56" t="str">
        <f>IF($AS828=1,COUNTIF($AS$6:$AS828,1),"")</f>
        <v/>
      </c>
      <c r="AZ828" s="56">
        <f>MIN(822,N(Lists!$W$8))</f>
        <v>28</v>
      </c>
      <c r="BA828" s="56">
        <f>IF($AS828=1,IF(COUNTIFS($A$6:$A828,$A828,$AS$6:$AS828,1)=1,1,0),0)</f>
        <v>0</v>
      </c>
      <c r="BB828" s="55" t="str">
        <f>IF($BA828=1,SUMIFS($Q$6:$Q$1005,$A$6:$A$1005,$A828,$AS$6:$AS$1005,1),"")</f>
        <v/>
      </c>
      <c r="BC828" s="56">
        <f>IF(ISNUMBER($R828),1,0)</f>
        <v>0</v>
      </c>
      <c r="BD828" s="55" t="str">
        <f>IF(ISNUMBER($U828),$U828*$V828,"")</f>
        <v/>
      </c>
      <c r="BE828" s="56" t="str">
        <f>IF($AM828=0,"",IFERROR(MATCH($AF828&amp;"|"&amp;UPPER(TRIM($E828)),Lists!$A$6:$A$205,0),0))</f>
        <v/>
      </c>
      <c r="BF828" s="56" t="str">
        <f>IF($AM828=0,"",IFERROR(MATCH($AF828,Settings!$B$14:$B$18,0),IFERROR(MATCH(Settings!$C$6,Settings!$B$14:$B$18,0),1)))</f>
        <v/>
      </c>
      <c r="BG828" s="58" t="str">
        <f>IF($AM828=0,"",IF(NOT(ISNUMBER($I828)),"No stop; ","")&amp;IF(AND(ISNUMBER($H828),ISNUMBER($I828)),IF(OR(AND($F828&lt;&gt;"Short",$I828&gt;=$H828),AND($F828="Short",$I828&lt;=$H828)),"Stop on wrong side; ",""),"")&amp;IF($F828="","No direction; ","")&amp;IF(AND(ISNUMBER(Settings!$C$22),ISNUMBER($V828)),IF($V828&gt;Settings!$C$22,"Risk over max $; ",""),"")&amp;IF(AND(ISNUMBER(Settings!$C$23),ISNUMBER($V828),ISNUMBER($AP828),IFERROR(N(INDEX(Accounts!$E$7:$E$16,MATCH($C828,Accounts!$B$7:$B$16,0))),0)&gt;0),IF($V828&gt;Settings!$C$23*($AP828-N($Q828)),"Risk over max %; ",""),"")&amp;IF(AND(ISNUMBER(Settings!$C$24),ISNUMBER($N828)),IF($N828&gt;Settings!$C$24,"Leverage over max; ",""),"")&amp;IF(AND(ISNUMBER(Settings!$C$27),ISNUMBER($T828)),IF($T828&lt;Settings!$C$27,"R:R below min; ",""),"")&amp;IF(ISNUMBER(Settings!$C$25),IF(COUNTIFS($A$6:$A828,$A828,$AM$6:$AM828,1)&gt;Settings!$C$25,"Over max trades/day; ",""),"")&amp;IF(ISNUMBER(Settings!$C$26),IF(SUMIFS($Q$5:$Q827,$A$5:$A827,$A828)&lt;=-Settings!$C$26,"Traded after daily max loss; ",""),"")&amp;IF(AND($AG828="",NOT(ISNUMBER($O828))),"Symbol not in Instruments; ","")&amp;IF(AND($AH828="",NOT(ISNUMBER($O828))),"Forex cross: type Gross P&amp;L; ",""))</f>
        <v/>
      </c>
      <c r="BH828" s="56">
        <f>IF(ISNUMBER($Q828),1,0)</f>
        <v>0</v>
      </c>
      <c r="BI828" s="56">
        <f>IF($Y828="",0,1)</f>
        <v>0</v>
      </c>
      <c r="BJ828" s="56">
        <f>IF($AB828="",0,1)</f>
        <v>0</v>
      </c>
      <c r="BK828" s="56">
        <f>IF(AND($BH828=1,$W828&lt;&gt;"OK"),1,0)</f>
        <v>0</v>
      </c>
      <c r="BL828" s="55">
        <f>IF(N($AZ828)=0,0,IFERROR(INDEX($AT$6:$AT$1005,MATCH($AZ828,$AY$6:$AY$1005,0)),0))</f>
        <v>1187.10688</v>
      </c>
      <c r="BM828" s="56">
        <f>IF(ISNUMBER(SEARCH("daily max loss",$BG828)),1,0)</f>
        <v>0</v>
      </c>
    </row>
    <row r="829" ht="18" customHeight="1">
      <c r="A829" s="38" t="n"/>
      <c r="B829" s="39" t="n"/>
      <c r="C829" s="40" t="n"/>
      <c r="D829" s="41" t="n"/>
      <c r="E829" s="41" t="n"/>
      <c r="F829" s="41" t="n"/>
      <c r="G829" s="41" t="n"/>
      <c r="H829" s="42" t="n"/>
      <c r="I829" s="42" t="n"/>
      <c r="J829" s="42" t="n"/>
      <c r="K829" s="42" t="n"/>
      <c r="L829" s="41" t="n"/>
      <c r="M829" s="41" t="n"/>
      <c r="N829" s="41" t="n"/>
      <c r="O829" s="43" t="n"/>
      <c r="P829" s="43" t="n"/>
      <c r="Q829" s="44" t="str">
        <f>IF($AM829=0,"",IF(ISNUMBER($AK829),$AK829-N($AL829),""))</f>
        <v/>
      </c>
      <c r="R829" s="45" t="str">
        <f>IF(OR($Q829="",NOT(ISNUMBER($V829))),"",$AK829/$V829)</f>
        <v/>
      </c>
      <c r="S829" s="46" t="str">
        <f>IF($Q829="","",IF(AND(ISNUMBER($R829),ABS(N($R829))&lt;N(Settings!$C$8)),"Scratch",IF($Q829&gt;0,"Win",IF($Q829&lt;0,"Loss","Scratch"))))</f>
        <v/>
      </c>
      <c r="T829" s="47" t="str">
        <f>IF(OR($AM829=0,NOT(ISNUMBER($H829)),NOT(ISNUMBER($I829)),NOT(ISNUMBER($J829))),"",IF($H829=$I829,"",ROUND(ABS($J829-$H829)/ABS($H829-$I829),6)))</f>
        <v/>
      </c>
      <c r="U829" s="48" t="str">
        <f>IF(OR($S829&lt;&gt;"Win",NOT(ISNUMBER($T829)),NOT(ISNUMBER($R829))),"",MAX(0,$T829-$R829))</f>
        <v/>
      </c>
      <c r="V829" s="49" t="str">
        <f>IF(OR($AM829=0,NOT(ISNUMBER($H829)),NOT(ISNUMBER($I829)),NOT(ISNUMBER($G829))),"",IF(OR($AG829="",$AH829=""),"",IF(ROUND(ABS($H829-$I829)*ABS($G829)*$AG829*$AH829,6)=0,"",ROUND(ABS($H829-$I829)*ABS($G829)*$AG829*$AH829,6))))</f>
        <v/>
      </c>
      <c r="W829" s="50" t="str">
        <f>IF($AM829=0,"",IF($BG829="","OK",LEFT($BG829,LEN($BG829)-2)))</f>
        <v/>
      </c>
      <c r="X829" s="41" t="n"/>
      <c r="Y829" s="40" t="n"/>
      <c r="Z829" s="41" t="n"/>
      <c r="AA829" s="41" t="n"/>
      <c r="AB829" s="40" t="n"/>
      <c r="AC829" s="51" t="n"/>
      <c r="AD829" s="51" t="n"/>
      <c r="AE829" s="40" t="n"/>
      <c r="AF829" s="52" t="str">
        <f>IF($AM829=0,"",IF($D829&lt;&gt;"",$D829,IF(IFERROR(INDEX(Accounts!$C$7:$C$16,MATCH($C829,Accounts!$B$7:$B$16,0))&amp;"","")&lt;&gt;"",INDEX(Accounts!$C$7:$C$16,MATCH($C829,Accounts!$B$7:$B$16,0)),Settings!$C$6)))</f>
        <v/>
      </c>
      <c r="AG829" s="53" t="str">
        <f>IF($AM829=0,"",IF(AND($BE829&gt;0,N(INDEX(Instruments!$D$6:$D$205,MAX(1,$BE829)))&gt;0),INDEX(Instruments!$D$6:$D$205,MAX(1,$BE829)),IF(N(INDEX(Settings!$D$14:$D$18,$BF829))&gt;0,INDEX(Settings!$D$14:$D$18,$BF829),"")))</f>
        <v/>
      </c>
      <c r="AH829" s="54" t="str">
        <f>IF($AM829=0,"",IF($AF829&lt;&gt;"Forex",1,IF(MID(UPPER(SUBSTITUTE(TRIM($E829),"/","")),4,3)=UPPER(TRIM(Settings!$C$7)),1,IF(LEFT(UPPER(SUBSTITUTE(TRIM($E829),"/","")),3)=UPPER(TRIM(Settings!$C$7)),IF(AND(ISNUMBER($K829),N($K829)&lt;&gt;0),1/$K829,""),""))))</f>
        <v/>
      </c>
      <c r="AI829" s="55" t="str">
        <f>IF($AM829=0,"",IF(OR(NOT(ISNUMBER($H829)),NOT(ISNUMBER($K829)),NOT(ISNUMBER($G829)),$AG829="",$AH829=""),"",ROUND(($K829-$H829)*IF($F829="Short",-1,1)*$G829*$AG829*$AH829,6)))</f>
        <v/>
      </c>
      <c r="AJ829" s="55" t="str">
        <f>IF($AM829=0,"",IF(INDEX(Settings!$E$14:$E$18,$BF829)="% of notional",IF(OR($AG829="",NOT(ISNUMBER($H829)),NOT(ISNUMBER($G829))),"",ROUND(ABS($H829*$G829*$AG829*N($AH829))*IF($L829="Limit",N(INDEX(Settings!$G$14:$G$18,$BF829)),N(INDEX(Settings!$H$14:$H$18,$BF829)))+IF(ISNUMBER($K829),ABS($K829*$G829*$AG829*N($AH829))*IF($M829="Target",N(INDEX(Settings!$G$14:$G$18,$BF829)),N(INDEX(Settings!$H$14:$H$18,$BF829))),0),6)),IF(NOT(ISNUMBER($G829)),"",ROUND(ABS($G829)*2*IF(AND($BE829&gt;0,ISNUMBER(INDEX(Instruments!$G$6:$G$205,MAX(1,$BE829)))),INDEX(Instruments!$G$6:$G$205,MAX(1,$BE829)),N(INDEX(Settings!$F$14:$F$18,$BF829))),6))))</f>
        <v/>
      </c>
      <c r="AK829" s="55" t="str">
        <f>IF($AM829=0,"",IF(ISNUMBER($O829),$O829,$AI829))</f>
        <v/>
      </c>
      <c r="AL829" s="55" t="str">
        <f>IF($AM829=0,"",IF(ISNUMBER($P829),$P829,N($AJ829)))</f>
        <v/>
      </c>
      <c r="AM829" s="56">
        <f>IF(AND($A829&lt;&gt;"",$E829&lt;&gt;"",OR(AND(ISNUMBER($G829),ISNUMBER($H829),ISNUMBER($K829)),ISNUMBER($O829))),1,0)</f>
        <v>0</v>
      </c>
      <c r="AN829" s="57" t="str">
        <f>IF($A829="","",$A829-WEEKDAY($A829,3))</f>
        <v/>
      </c>
      <c r="AO829" s="56" t="str">
        <f>IF($A829="","",WEEKDAY($A829,2))</f>
        <v/>
      </c>
      <c r="AP829" s="55" t="str">
        <f>IF(OR($AM829=0,$C829=""),"",IFERROR(N(INDEX(Accounts!$E$7:$E$16,MATCH($C829,Accounts!$B$7:$B$16,0))),0)+SUMIFS($Q$6:$Q829,$C$6:$C829,$C829))</f>
        <v/>
      </c>
      <c r="AQ829" s="55" t="str">
        <f>IF(OR($AM829=0,$C829=""),"",SUMIFS($Q$6:$Q$1005,$C$6:$C$1005,$C829,$A$6:$A$1005,$A829))</f>
        <v/>
      </c>
      <c r="AR829" s="55" t="str">
        <f>IF(OR($AM829=0,$C829=""),"",IFERROR(N(INDEX(Accounts!$E$7:$E$16,MATCH($C829,Accounts!$B$7:$B$16,0))),0)+SUMIFS($Q$6:$Q$1005,$C$6:$C$1005,$C829,$A$6:$A$1005,"&lt;="&amp;$A829))</f>
        <v/>
      </c>
      <c r="AS829" s="56">
        <f>IF(OR($AM829=0,$Q829=""),0,IF(AND($A829&gt;=Lists!$W$6,$A829&lt;=Lists!$W$7,OR(Dashboard!$D$6="All accounts",$C829=Dashboard!$D$6),OR(Dashboard!$D$7="All markets",$AF829=Dashboard!$D$7)),1,0))</f>
        <v>0</v>
      </c>
      <c r="AT829" s="55">
        <f>IF($AS829=1,N(AT828)+$Q829,N(AT828))</f>
        <v>1187.10688</v>
      </c>
      <c r="AU829" s="55">
        <f>MAX(N(AU828),$AT829)</f>
        <v>1187.10688</v>
      </c>
      <c r="AV829" s="55">
        <f>$AT829-$AU829</f>
        <v>0</v>
      </c>
      <c r="AW829" s="56">
        <f>IF($AS829=1,IF($S829="Win",N(AW828)+1,IF($S829="Loss",0,N(AW828))),N(AW828))</f>
        <v>5</v>
      </c>
      <c r="AX829" s="56">
        <f>IF($AS829=1,IF($S829="Loss",N(AX828)+1,IF($S829="Win",0,N(AX828))),N(AX828))</f>
        <v>0</v>
      </c>
      <c r="AY829" s="56" t="str">
        <f>IF($AS829=1,COUNTIF($AS$6:$AS829,1),"")</f>
        <v/>
      </c>
      <c r="AZ829" s="56">
        <f>MIN(823,N(Lists!$W$8))</f>
        <v>28</v>
      </c>
      <c r="BA829" s="56">
        <f>IF($AS829=1,IF(COUNTIFS($A$6:$A829,$A829,$AS$6:$AS829,1)=1,1,0),0)</f>
        <v>0</v>
      </c>
      <c r="BB829" s="55" t="str">
        <f>IF($BA829=1,SUMIFS($Q$6:$Q$1005,$A$6:$A$1005,$A829,$AS$6:$AS$1005,1),"")</f>
        <v/>
      </c>
      <c r="BC829" s="56">
        <f>IF(ISNUMBER($R829),1,0)</f>
        <v>0</v>
      </c>
      <c r="BD829" s="55" t="str">
        <f>IF(ISNUMBER($U829),$U829*$V829,"")</f>
        <v/>
      </c>
      <c r="BE829" s="56" t="str">
        <f>IF($AM829=0,"",IFERROR(MATCH($AF829&amp;"|"&amp;UPPER(TRIM($E829)),Lists!$A$6:$A$205,0),0))</f>
        <v/>
      </c>
      <c r="BF829" s="56" t="str">
        <f>IF($AM829=0,"",IFERROR(MATCH($AF829,Settings!$B$14:$B$18,0),IFERROR(MATCH(Settings!$C$6,Settings!$B$14:$B$18,0),1)))</f>
        <v/>
      </c>
      <c r="BG829" s="58" t="str">
        <f>IF($AM829=0,"",IF(NOT(ISNUMBER($I829)),"No stop; ","")&amp;IF(AND(ISNUMBER($H829),ISNUMBER($I829)),IF(OR(AND($F829&lt;&gt;"Short",$I829&gt;=$H829),AND($F829="Short",$I829&lt;=$H829)),"Stop on wrong side; ",""),"")&amp;IF($F829="","No direction; ","")&amp;IF(AND(ISNUMBER(Settings!$C$22),ISNUMBER($V829)),IF($V829&gt;Settings!$C$22,"Risk over max $; ",""),"")&amp;IF(AND(ISNUMBER(Settings!$C$23),ISNUMBER($V829),ISNUMBER($AP829),IFERROR(N(INDEX(Accounts!$E$7:$E$16,MATCH($C829,Accounts!$B$7:$B$16,0))),0)&gt;0),IF($V829&gt;Settings!$C$23*($AP829-N($Q829)),"Risk over max %; ",""),"")&amp;IF(AND(ISNUMBER(Settings!$C$24),ISNUMBER($N829)),IF($N829&gt;Settings!$C$24,"Leverage over max; ",""),"")&amp;IF(AND(ISNUMBER(Settings!$C$27),ISNUMBER($T829)),IF($T829&lt;Settings!$C$27,"R:R below min; ",""),"")&amp;IF(ISNUMBER(Settings!$C$25),IF(COUNTIFS($A$6:$A829,$A829,$AM$6:$AM829,1)&gt;Settings!$C$25,"Over max trades/day; ",""),"")&amp;IF(ISNUMBER(Settings!$C$26),IF(SUMIFS($Q$5:$Q828,$A$5:$A828,$A829)&lt;=-Settings!$C$26,"Traded after daily max loss; ",""),"")&amp;IF(AND($AG829="",NOT(ISNUMBER($O829))),"Symbol not in Instruments; ","")&amp;IF(AND($AH829="",NOT(ISNUMBER($O829))),"Forex cross: type Gross P&amp;L; ",""))</f>
        <v/>
      </c>
      <c r="BH829" s="56">
        <f>IF(ISNUMBER($Q829),1,0)</f>
        <v>0</v>
      </c>
      <c r="BI829" s="56">
        <f>IF($Y829="",0,1)</f>
        <v>0</v>
      </c>
      <c r="BJ829" s="56">
        <f>IF($AB829="",0,1)</f>
        <v>0</v>
      </c>
      <c r="BK829" s="56">
        <f>IF(AND($BH829=1,$W829&lt;&gt;"OK"),1,0)</f>
        <v>0</v>
      </c>
      <c r="BL829" s="55">
        <f>IF(N($AZ829)=0,0,IFERROR(INDEX($AT$6:$AT$1005,MATCH($AZ829,$AY$6:$AY$1005,0)),0))</f>
        <v>1187.10688</v>
      </c>
      <c r="BM829" s="56">
        <f>IF(ISNUMBER(SEARCH("daily max loss",$BG829)),1,0)</f>
        <v>0</v>
      </c>
    </row>
    <row r="830" ht="18" customHeight="1">
      <c r="A830" s="38" t="n"/>
      <c r="B830" s="39" t="n"/>
      <c r="C830" s="40" t="n"/>
      <c r="D830" s="41" t="n"/>
      <c r="E830" s="41" t="n"/>
      <c r="F830" s="41" t="n"/>
      <c r="G830" s="41" t="n"/>
      <c r="H830" s="42" t="n"/>
      <c r="I830" s="42" t="n"/>
      <c r="J830" s="42" t="n"/>
      <c r="K830" s="42" t="n"/>
      <c r="L830" s="41" t="n"/>
      <c r="M830" s="41" t="n"/>
      <c r="N830" s="41" t="n"/>
      <c r="O830" s="43" t="n"/>
      <c r="P830" s="43" t="n"/>
      <c r="Q830" s="44" t="str">
        <f>IF($AM830=0,"",IF(ISNUMBER($AK830),$AK830-N($AL830),""))</f>
        <v/>
      </c>
      <c r="R830" s="45" t="str">
        <f>IF(OR($Q830="",NOT(ISNUMBER($V830))),"",$AK830/$V830)</f>
        <v/>
      </c>
      <c r="S830" s="46" t="str">
        <f>IF($Q830="","",IF(AND(ISNUMBER($R830),ABS(N($R830))&lt;N(Settings!$C$8)),"Scratch",IF($Q830&gt;0,"Win",IF($Q830&lt;0,"Loss","Scratch"))))</f>
        <v/>
      </c>
      <c r="T830" s="47" t="str">
        <f>IF(OR($AM830=0,NOT(ISNUMBER($H830)),NOT(ISNUMBER($I830)),NOT(ISNUMBER($J830))),"",IF($H830=$I830,"",ROUND(ABS($J830-$H830)/ABS($H830-$I830),6)))</f>
        <v/>
      </c>
      <c r="U830" s="48" t="str">
        <f>IF(OR($S830&lt;&gt;"Win",NOT(ISNUMBER($T830)),NOT(ISNUMBER($R830))),"",MAX(0,$T830-$R830))</f>
        <v/>
      </c>
      <c r="V830" s="49" t="str">
        <f>IF(OR($AM830=0,NOT(ISNUMBER($H830)),NOT(ISNUMBER($I830)),NOT(ISNUMBER($G830))),"",IF(OR($AG830="",$AH830=""),"",IF(ROUND(ABS($H830-$I830)*ABS($G830)*$AG830*$AH830,6)=0,"",ROUND(ABS($H830-$I830)*ABS($G830)*$AG830*$AH830,6))))</f>
        <v/>
      </c>
      <c r="W830" s="50" t="str">
        <f>IF($AM830=0,"",IF($BG830="","OK",LEFT($BG830,LEN($BG830)-2)))</f>
        <v/>
      </c>
      <c r="X830" s="41" t="n"/>
      <c r="Y830" s="40" t="n"/>
      <c r="Z830" s="41" t="n"/>
      <c r="AA830" s="41" t="n"/>
      <c r="AB830" s="40" t="n"/>
      <c r="AC830" s="51" t="n"/>
      <c r="AD830" s="51" t="n"/>
      <c r="AE830" s="40" t="n"/>
      <c r="AF830" s="52" t="str">
        <f>IF($AM830=0,"",IF($D830&lt;&gt;"",$D830,IF(IFERROR(INDEX(Accounts!$C$7:$C$16,MATCH($C830,Accounts!$B$7:$B$16,0))&amp;"","")&lt;&gt;"",INDEX(Accounts!$C$7:$C$16,MATCH($C830,Accounts!$B$7:$B$16,0)),Settings!$C$6)))</f>
        <v/>
      </c>
      <c r="AG830" s="53" t="str">
        <f>IF($AM830=0,"",IF(AND($BE830&gt;0,N(INDEX(Instruments!$D$6:$D$205,MAX(1,$BE830)))&gt;0),INDEX(Instruments!$D$6:$D$205,MAX(1,$BE830)),IF(N(INDEX(Settings!$D$14:$D$18,$BF830))&gt;0,INDEX(Settings!$D$14:$D$18,$BF830),"")))</f>
        <v/>
      </c>
      <c r="AH830" s="54" t="str">
        <f>IF($AM830=0,"",IF($AF830&lt;&gt;"Forex",1,IF(MID(UPPER(SUBSTITUTE(TRIM($E830),"/","")),4,3)=UPPER(TRIM(Settings!$C$7)),1,IF(LEFT(UPPER(SUBSTITUTE(TRIM($E830),"/","")),3)=UPPER(TRIM(Settings!$C$7)),IF(AND(ISNUMBER($K830),N($K830)&lt;&gt;0),1/$K830,""),""))))</f>
        <v/>
      </c>
      <c r="AI830" s="55" t="str">
        <f>IF($AM830=0,"",IF(OR(NOT(ISNUMBER($H830)),NOT(ISNUMBER($K830)),NOT(ISNUMBER($G830)),$AG830="",$AH830=""),"",ROUND(($K830-$H830)*IF($F830="Short",-1,1)*$G830*$AG830*$AH830,6)))</f>
        <v/>
      </c>
      <c r="AJ830" s="55" t="str">
        <f>IF($AM830=0,"",IF(INDEX(Settings!$E$14:$E$18,$BF830)="% of notional",IF(OR($AG830="",NOT(ISNUMBER($H830)),NOT(ISNUMBER($G830))),"",ROUND(ABS($H830*$G830*$AG830*N($AH830))*IF($L830="Limit",N(INDEX(Settings!$G$14:$G$18,$BF830)),N(INDEX(Settings!$H$14:$H$18,$BF830)))+IF(ISNUMBER($K830),ABS($K830*$G830*$AG830*N($AH830))*IF($M830="Target",N(INDEX(Settings!$G$14:$G$18,$BF830)),N(INDEX(Settings!$H$14:$H$18,$BF830))),0),6)),IF(NOT(ISNUMBER($G830)),"",ROUND(ABS($G830)*2*IF(AND($BE830&gt;0,ISNUMBER(INDEX(Instruments!$G$6:$G$205,MAX(1,$BE830)))),INDEX(Instruments!$G$6:$G$205,MAX(1,$BE830)),N(INDEX(Settings!$F$14:$F$18,$BF830))),6))))</f>
        <v/>
      </c>
      <c r="AK830" s="55" t="str">
        <f>IF($AM830=0,"",IF(ISNUMBER($O830),$O830,$AI830))</f>
        <v/>
      </c>
      <c r="AL830" s="55" t="str">
        <f>IF($AM830=0,"",IF(ISNUMBER($P830),$P830,N($AJ830)))</f>
        <v/>
      </c>
      <c r="AM830" s="56">
        <f>IF(AND($A830&lt;&gt;"",$E830&lt;&gt;"",OR(AND(ISNUMBER($G830),ISNUMBER($H830),ISNUMBER($K830)),ISNUMBER($O830))),1,0)</f>
        <v>0</v>
      </c>
      <c r="AN830" s="57" t="str">
        <f>IF($A830="","",$A830-WEEKDAY($A830,3))</f>
        <v/>
      </c>
      <c r="AO830" s="56" t="str">
        <f>IF($A830="","",WEEKDAY($A830,2))</f>
        <v/>
      </c>
      <c r="AP830" s="55" t="str">
        <f>IF(OR($AM830=0,$C830=""),"",IFERROR(N(INDEX(Accounts!$E$7:$E$16,MATCH($C830,Accounts!$B$7:$B$16,0))),0)+SUMIFS($Q$6:$Q830,$C$6:$C830,$C830))</f>
        <v/>
      </c>
      <c r="AQ830" s="55" t="str">
        <f>IF(OR($AM830=0,$C830=""),"",SUMIFS($Q$6:$Q$1005,$C$6:$C$1005,$C830,$A$6:$A$1005,$A830))</f>
        <v/>
      </c>
      <c r="AR830" s="55" t="str">
        <f>IF(OR($AM830=0,$C830=""),"",IFERROR(N(INDEX(Accounts!$E$7:$E$16,MATCH($C830,Accounts!$B$7:$B$16,0))),0)+SUMIFS($Q$6:$Q$1005,$C$6:$C$1005,$C830,$A$6:$A$1005,"&lt;="&amp;$A830))</f>
        <v/>
      </c>
      <c r="AS830" s="56">
        <f>IF(OR($AM830=0,$Q830=""),0,IF(AND($A830&gt;=Lists!$W$6,$A830&lt;=Lists!$W$7,OR(Dashboard!$D$6="All accounts",$C830=Dashboard!$D$6),OR(Dashboard!$D$7="All markets",$AF830=Dashboard!$D$7)),1,0))</f>
        <v>0</v>
      </c>
      <c r="AT830" s="55">
        <f>IF($AS830=1,N(AT829)+$Q830,N(AT829))</f>
        <v>1187.10688</v>
      </c>
      <c r="AU830" s="55">
        <f>MAX(N(AU829),$AT830)</f>
        <v>1187.10688</v>
      </c>
      <c r="AV830" s="55">
        <f>$AT830-$AU830</f>
        <v>0</v>
      </c>
      <c r="AW830" s="56">
        <f>IF($AS830=1,IF($S830="Win",N(AW829)+1,IF($S830="Loss",0,N(AW829))),N(AW829))</f>
        <v>5</v>
      </c>
      <c r="AX830" s="56">
        <f>IF($AS830=1,IF($S830="Loss",N(AX829)+1,IF($S830="Win",0,N(AX829))),N(AX829))</f>
        <v>0</v>
      </c>
      <c r="AY830" s="56" t="str">
        <f>IF($AS830=1,COUNTIF($AS$6:$AS830,1),"")</f>
        <v/>
      </c>
      <c r="AZ830" s="56">
        <f>MIN(824,N(Lists!$W$8))</f>
        <v>28</v>
      </c>
      <c r="BA830" s="56">
        <f>IF($AS830=1,IF(COUNTIFS($A$6:$A830,$A830,$AS$6:$AS830,1)=1,1,0),0)</f>
        <v>0</v>
      </c>
      <c r="BB830" s="55" t="str">
        <f>IF($BA830=1,SUMIFS($Q$6:$Q$1005,$A$6:$A$1005,$A830,$AS$6:$AS$1005,1),"")</f>
        <v/>
      </c>
      <c r="BC830" s="56">
        <f>IF(ISNUMBER($R830),1,0)</f>
        <v>0</v>
      </c>
      <c r="BD830" s="55" t="str">
        <f>IF(ISNUMBER($U830),$U830*$V830,"")</f>
        <v/>
      </c>
      <c r="BE830" s="56" t="str">
        <f>IF($AM830=0,"",IFERROR(MATCH($AF830&amp;"|"&amp;UPPER(TRIM($E830)),Lists!$A$6:$A$205,0),0))</f>
        <v/>
      </c>
      <c r="BF830" s="56" t="str">
        <f>IF($AM830=0,"",IFERROR(MATCH($AF830,Settings!$B$14:$B$18,0),IFERROR(MATCH(Settings!$C$6,Settings!$B$14:$B$18,0),1)))</f>
        <v/>
      </c>
      <c r="BG830" s="58" t="str">
        <f>IF($AM830=0,"",IF(NOT(ISNUMBER($I830)),"No stop; ","")&amp;IF(AND(ISNUMBER($H830),ISNUMBER($I830)),IF(OR(AND($F830&lt;&gt;"Short",$I830&gt;=$H830),AND($F830="Short",$I830&lt;=$H830)),"Stop on wrong side; ",""),"")&amp;IF($F830="","No direction; ","")&amp;IF(AND(ISNUMBER(Settings!$C$22),ISNUMBER($V830)),IF($V830&gt;Settings!$C$22,"Risk over max $; ",""),"")&amp;IF(AND(ISNUMBER(Settings!$C$23),ISNUMBER($V830),ISNUMBER($AP830),IFERROR(N(INDEX(Accounts!$E$7:$E$16,MATCH($C830,Accounts!$B$7:$B$16,0))),0)&gt;0),IF($V830&gt;Settings!$C$23*($AP830-N($Q830)),"Risk over max %; ",""),"")&amp;IF(AND(ISNUMBER(Settings!$C$24),ISNUMBER($N830)),IF($N830&gt;Settings!$C$24,"Leverage over max; ",""),"")&amp;IF(AND(ISNUMBER(Settings!$C$27),ISNUMBER($T830)),IF($T830&lt;Settings!$C$27,"R:R below min; ",""),"")&amp;IF(ISNUMBER(Settings!$C$25),IF(COUNTIFS($A$6:$A830,$A830,$AM$6:$AM830,1)&gt;Settings!$C$25,"Over max trades/day; ",""),"")&amp;IF(ISNUMBER(Settings!$C$26),IF(SUMIFS($Q$5:$Q829,$A$5:$A829,$A830)&lt;=-Settings!$C$26,"Traded after daily max loss; ",""),"")&amp;IF(AND($AG830="",NOT(ISNUMBER($O830))),"Symbol not in Instruments; ","")&amp;IF(AND($AH830="",NOT(ISNUMBER($O830))),"Forex cross: type Gross P&amp;L; ",""))</f>
        <v/>
      </c>
      <c r="BH830" s="56">
        <f>IF(ISNUMBER($Q830),1,0)</f>
        <v>0</v>
      </c>
      <c r="BI830" s="56">
        <f>IF($Y830="",0,1)</f>
        <v>0</v>
      </c>
      <c r="BJ830" s="56">
        <f>IF($AB830="",0,1)</f>
        <v>0</v>
      </c>
      <c r="BK830" s="56">
        <f>IF(AND($BH830=1,$W830&lt;&gt;"OK"),1,0)</f>
        <v>0</v>
      </c>
      <c r="BL830" s="55">
        <f>IF(N($AZ830)=0,0,IFERROR(INDEX($AT$6:$AT$1005,MATCH($AZ830,$AY$6:$AY$1005,0)),0))</f>
        <v>1187.10688</v>
      </c>
      <c r="BM830" s="56">
        <f>IF(ISNUMBER(SEARCH("daily max loss",$BG830)),1,0)</f>
        <v>0</v>
      </c>
    </row>
    <row r="831" ht="18" customHeight="1">
      <c r="A831" s="38" t="n"/>
      <c r="B831" s="39" t="n"/>
      <c r="C831" s="40" t="n"/>
      <c r="D831" s="41" t="n"/>
      <c r="E831" s="41" t="n"/>
      <c r="F831" s="41" t="n"/>
      <c r="G831" s="41" t="n"/>
      <c r="H831" s="42" t="n"/>
      <c r="I831" s="42" t="n"/>
      <c r="J831" s="42" t="n"/>
      <c r="K831" s="42" t="n"/>
      <c r="L831" s="41" t="n"/>
      <c r="M831" s="41" t="n"/>
      <c r="N831" s="41" t="n"/>
      <c r="O831" s="43" t="n"/>
      <c r="P831" s="43" t="n"/>
      <c r="Q831" s="44" t="str">
        <f>IF($AM831=0,"",IF(ISNUMBER($AK831),$AK831-N($AL831),""))</f>
        <v/>
      </c>
      <c r="R831" s="45" t="str">
        <f>IF(OR($Q831="",NOT(ISNUMBER($V831))),"",$AK831/$V831)</f>
        <v/>
      </c>
      <c r="S831" s="46" t="str">
        <f>IF($Q831="","",IF(AND(ISNUMBER($R831),ABS(N($R831))&lt;N(Settings!$C$8)),"Scratch",IF($Q831&gt;0,"Win",IF($Q831&lt;0,"Loss","Scratch"))))</f>
        <v/>
      </c>
      <c r="T831" s="47" t="str">
        <f>IF(OR($AM831=0,NOT(ISNUMBER($H831)),NOT(ISNUMBER($I831)),NOT(ISNUMBER($J831))),"",IF($H831=$I831,"",ROUND(ABS($J831-$H831)/ABS($H831-$I831),6)))</f>
        <v/>
      </c>
      <c r="U831" s="48" t="str">
        <f>IF(OR($S831&lt;&gt;"Win",NOT(ISNUMBER($T831)),NOT(ISNUMBER($R831))),"",MAX(0,$T831-$R831))</f>
        <v/>
      </c>
      <c r="V831" s="49" t="str">
        <f>IF(OR($AM831=0,NOT(ISNUMBER($H831)),NOT(ISNUMBER($I831)),NOT(ISNUMBER($G831))),"",IF(OR($AG831="",$AH831=""),"",IF(ROUND(ABS($H831-$I831)*ABS($G831)*$AG831*$AH831,6)=0,"",ROUND(ABS($H831-$I831)*ABS($G831)*$AG831*$AH831,6))))</f>
        <v/>
      </c>
      <c r="W831" s="50" t="str">
        <f>IF($AM831=0,"",IF($BG831="","OK",LEFT($BG831,LEN($BG831)-2)))</f>
        <v/>
      </c>
      <c r="X831" s="41" t="n"/>
      <c r="Y831" s="40" t="n"/>
      <c r="Z831" s="41" t="n"/>
      <c r="AA831" s="41" t="n"/>
      <c r="AB831" s="40" t="n"/>
      <c r="AC831" s="51" t="n"/>
      <c r="AD831" s="51" t="n"/>
      <c r="AE831" s="40" t="n"/>
      <c r="AF831" s="52" t="str">
        <f>IF($AM831=0,"",IF($D831&lt;&gt;"",$D831,IF(IFERROR(INDEX(Accounts!$C$7:$C$16,MATCH($C831,Accounts!$B$7:$B$16,0))&amp;"","")&lt;&gt;"",INDEX(Accounts!$C$7:$C$16,MATCH($C831,Accounts!$B$7:$B$16,0)),Settings!$C$6)))</f>
        <v/>
      </c>
      <c r="AG831" s="53" t="str">
        <f>IF($AM831=0,"",IF(AND($BE831&gt;0,N(INDEX(Instruments!$D$6:$D$205,MAX(1,$BE831)))&gt;0),INDEX(Instruments!$D$6:$D$205,MAX(1,$BE831)),IF(N(INDEX(Settings!$D$14:$D$18,$BF831))&gt;0,INDEX(Settings!$D$14:$D$18,$BF831),"")))</f>
        <v/>
      </c>
      <c r="AH831" s="54" t="str">
        <f>IF($AM831=0,"",IF($AF831&lt;&gt;"Forex",1,IF(MID(UPPER(SUBSTITUTE(TRIM($E831),"/","")),4,3)=UPPER(TRIM(Settings!$C$7)),1,IF(LEFT(UPPER(SUBSTITUTE(TRIM($E831),"/","")),3)=UPPER(TRIM(Settings!$C$7)),IF(AND(ISNUMBER($K831),N($K831)&lt;&gt;0),1/$K831,""),""))))</f>
        <v/>
      </c>
      <c r="AI831" s="55" t="str">
        <f>IF($AM831=0,"",IF(OR(NOT(ISNUMBER($H831)),NOT(ISNUMBER($K831)),NOT(ISNUMBER($G831)),$AG831="",$AH831=""),"",ROUND(($K831-$H831)*IF($F831="Short",-1,1)*$G831*$AG831*$AH831,6)))</f>
        <v/>
      </c>
      <c r="AJ831" s="55" t="str">
        <f>IF($AM831=0,"",IF(INDEX(Settings!$E$14:$E$18,$BF831)="% of notional",IF(OR($AG831="",NOT(ISNUMBER($H831)),NOT(ISNUMBER($G831))),"",ROUND(ABS($H831*$G831*$AG831*N($AH831))*IF($L831="Limit",N(INDEX(Settings!$G$14:$G$18,$BF831)),N(INDEX(Settings!$H$14:$H$18,$BF831)))+IF(ISNUMBER($K831),ABS($K831*$G831*$AG831*N($AH831))*IF($M831="Target",N(INDEX(Settings!$G$14:$G$18,$BF831)),N(INDEX(Settings!$H$14:$H$18,$BF831))),0),6)),IF(NOT(ISNUMBER($G831)),"",ROUND(ABS($G831)*2*IF(AND($BE831&gt;0,ISNUMBER(INDEX(Instruments!$G$6:$G$205,MAX(1,$BE831)))),INDEX(Instruments!$G$6:$G$205,MAX(1,$BE831)),N(INDEX(Settings!$F$14:$F$18,$BF831))),6))))</f>
        <v/>
      </c>
      <c r="AK831" s="55" t="str">
        <f>IF($AM831=0,"",IF(ISNUMBER($O831),$O831,$AI831))</f>
        <v/>
      </c>
      <c r="AL831" s="55" t="str">
        <f>IF($AM831=0,"",IF(ISNUMBER($P831),$P831,N($AJ831)))</f>
        <v/>
      </c>
      <c r="AM831" s="56">
        <f>IF(AND($A831&lt;&gt;"",$E831&lt;&gt;"",OR(AND(ISNUMBER($G831),ISNUMBER($H831),ISNUMBER($K831)),ISNUMBER($O831))),1,0)</f>
        <v>0</v>
      </c>
      <c r="AN831" s="57" t="str">
        <f>IF($A831="","",$A831-WEEKDAY($A831,3))</f>
        <v/>
      </c>
      <c r="AO831" s="56" t="str">
        <f>IF($A831="","",WEEKDAY($A831,2))</f>
        <v/>
      </c>
      <c r="AP831" s="55" t="str">
        <f>IF(OR($AM831=0,$C831=""),"",IFERROR(N(INDEX(Accounts!$E$7:$E$16,MATCH($C831,Accounts!$B$7:$B$16,0))),0)+SUMIFS($Q$6:$Q831,$C$6:$C831,$C831))</f>
        <v/>
      </c>
      <c r="AQ831" s="55" t="str">
        <f>IF(OR($AM831=0,$C831=""),"",SUMIFS($Q$6:$Q$1005,$C$6:$C$1005,$C831,$A$6:$A$1005,$A831))</f>
        <v/>
      </c>
      <c r="AR831" s="55" t="str">
        <f>IF(OR($AM831=0,$C831=""),"",IFERROR(N(INDEX(Accounts!$E$7:$E$16,MATCH($C831,Accounts!$B$7:$B$16,0))),0)+SUMIFS($Q$6:$Q$1005,$C$6:$C$1005,$C831,$A$6:$A$1005,"&lt;="&amp;$A831))</f>
        <v/>
      </c>
      <c r="AS831" s="56">
        <f>IF(OR($AM831=0,$Q831=""),0,IF(AND($A831&gt;=Lists!$W$6,$A831&lt;=Lists!$W$7,OR(Dashboard!$D$6="All accounts",$C831=Dashboard!$D$6),OR(Dashboard!$D$7="All markets",$AF831=Dashboard!$D$7)),1,0))</f>
        <v>0</v>
      </c>
      <c r="AT831" s="55">
        <f>IF($AS831=1,N(AT830)+$Q831,N(AT830))</f>
        <v>1187.10688</v>
      </c>
      <c r="AU831" s="55">
        <f>MAX(N(AU830),$AT831)</f>
        <v>1187.10688</v>
      </c>
      <c r="AV831" s="55">
        <f>$AT831-$AU831</f>
        <v>0</v>
      </c>
      <c r="AW831" s="56">
        <f>IF($AS831=1,IF($S831="Win",N(AW830)+1,IF($S831="Loss",0,N(AW830))),N(AW830))</f>
        <v>5</v>
      </c>
      <c r="AX831" s="56">
        <f>IF($AS831=1,IF($S831="Loss",N(AX830)+1,IF($S831="Win",0,N(AX830))),N(AX830))</f>
        <v>0</v>
      </c>
      <c r="AY831" s="56" t="str">
        <f>IF($AS831=1,COUNTIF($AS$6:$AS831,1),"")</f>
        <v/>
      </c>
      <c r="AZ831" s="56">
        <f>MIN(825,N(Lists!$W$8))</f>
        <v>28</v>
      </c>
      <c r="BA831" s="56">
        <f>IF($AS831=1,IF(COUNTIFS($A$6:$A831,$A831,$AS$6:$AS831,1)=1,1,0),0)</f>
        <v>0</v>
      </c>
      <c r="BB831" s="55" t="str">
        <f>IF($BA831=1,SUMIFS($Q$6:$Q$1005,$A$6:$A$1005,$A831,$AS$6:$AS$1005,1),"")</f>
        <v/>
      </c>
      <c r="BC831" s="56">
        <f>IF(ISNUMBER($R831),1,0)</f>
        <v>0</v>
      </c>
      <c r="BD831" s="55" t="str">
        <f>IF(ISNUMBER($U831),$U831*$V831,"")</f>
        <v/>
      </c>
      <c r="BE831" s="56" t="str">
        <f>IF($AM831=0,"",IFERROR(MATCH($AF831&amp;"|"&amp;UPPER(TRIM($E831)),Lists!$A$6:$A$205,0),0))</f>
        <v/>
      </c>
      <c r="BF831" s="56" t="str">
        <f>IF($AM831=0,"",IFERROR(MATCH($AF831,Settings!$B$14:$B$18,0),IFERROR(MATCH(Settings!$C$6,Settings!$B$14:$B$18,0),1)))</f>
        <v/>
      </c>
      <c r="BG831" s="58" t="str">
        <f>IF($AM831=0,"",IF(NOT(ISNUMBER($I831)),"No stop; ","")&amp;IF(AND(ISNUMBER($H831),ISNUMBER($I831)),IF(OR(AND($F831&lt;&gt;"Short",$I831&gt;=$H831),AND($F831="Short",$I831&lt;=$H831)),"Stop on wrong side; ",""),"")&amp;IF($F831="","No direction; ","")&amp;IF(AND(ISNUMBER(Settings!$C$22),ISNUMBER($V831)),IF($V831&gt;Settings!$C$22,"Risk over max $; ",""),"")&amp;IF(AND(ISNUMBER(Settings!$C$23),ISNUMBER($V831),ISNUMBER($AP831),IFERROR(N(INDEX(Accounts!$E$7:$E$16,MATCH($C831,Accounts!$B$7:$B$16,0))),0)&gt;0),IF($V831&gt;Settings!$C$23*($AP831-N($Q831)),"Risk over max %; ",""),"")&amp;IF(AND(ISNUMBER(Settings!$C$24),ISNUMBER($N831)),IF($N831&gt;Settings!$C$24,"Leverage over max; ",""),"")&amp;IF(AND(ISNUMBER(Settings!$C$27),ISNUMBER($T831)),IF($T831&lt;Settings!$C$27,"R:R below min; ",""),"")&amp;IF(ISNUMBER(Settings!$C$25),IF(COUNTIFS($A$6:$A831,$A831,$AM$6:$AM831,1)&gt;Settings!$C$25,"Over max trades/day; ",""),"")&amp;IF(ISNUMBER(Settings!$C$26),IF(SUMIFS($Q$5:$Q830,$A$5:$A830,$A831)&lt;=-Settings!$C$26,"Traded after daily max loss; ",""),"")&amp;IF(AND($AG831="",NOT(ISNUMBER($O831))),"Symbol not in Instruments; ","")&amp;IF(AND($AH831="",NOT(ISNUMBER($O831))),"Forex cross: type Gross P&amp;L; ",""))</f>
        <v/>
      </c>
      <c r="BH831" s="56">
        <f>IF(ISNUMBER($Q831),1,0)</f>
        <v>0</v>
      </c>
      <c r="BI831" s="56">
        <f>IF($Y831="",0,1)</f>
        <v>0</v>
      </c>
      <c r="BJ831" s="56">
        <f>IF($AB831="",0,1)</f>
        <v>0</v>
      </c>
      <c r="BK831" s="56">
        <f>IF(AND($BH831=1,$W831&lt;&gt;"OK"),1,0)</f>
        <v>0</v>
      </c>
      <c r="BL831" s="55">
        <f>IF(N($AZ831)=0,0,IFERROR(INDEX($AT$6:$AT$1005,MATCH($AZ831,$AY$6:$AY$1005,0)),0))</f>
        <v>1187.10688</v>
      </c>
      <c r="BM831" s="56">
        <f>IF(ISNUMBER(SEARCH("daily max loss",$BG831)),1,0)</f>
        <v>0</v>
      </c>
    </row>
    <row r="832" ht="18" customHeight="1">
      <c r="A832" s="38" t="n"/>
      <c r="B832" s="39" t="n"/>
      <c r="C832" s="40" t="n"/>
      <c r="D832" s="41" t="n"/>
      <c r="E832" s="41" t="n"/>
      <c r="F832" s="41" t="n"/>
      <c r="G832" s="41" t="n"/>
      <c r="H832" s="42" t="n"/>
      <c r="I832" s="42" t="n"/>
      <c r="J832" s="42" t="n"/>
      <c r="K832" s="42" t="n"/>
      <c r="L832" s="41" t="n"/>
      <c r="M832" s="41" t="n"/>
      <c r="N832" s="41" t="n"/>
      <c r="O832" s="43" t="n"/>
      <c r="P832" s="43" t="n"/>
      <c r="Q832" s="44" t="str">
        <f>IF($AM832=0,"",IF(ISNUMBER($AK832),$AK832-N($AL832),""))</f>
        <v/>
      </c>
      <c r="R832" s="45" t="str">
        <f>IF(OR($Q832="",NOT(ISNUMBER($V832))),"",$AK832/$V832)</f>
        <v/>
      </c>
      <c r="S832" s="46" t="str">
        <f>IF($Q832="","",IF(AND(ISNUMBER($R832),ABS(N($R832))&lt;N(Settings!$C$8)),"Scratch",IF($Q832&gt;0,"Win",IF($Q832&lt;0,"Loss","Scratch"))))</f>
        <v/>
      </c>
      <c r="T832" s="47" t="str">
        <f>IF(OR($AM832=0,NOT(ISNUMBER($H832)),NOT(ISNUMBER($I832)),NOT(ISNUMBER($J832))),"",IF($H832=$I832,"",ROUND(ABS($J832-$H832)/ABS($H832-$I832),6)))</f>
        <v/>
      </c>
      <c r="U832" s="48" t="str">
        <f>IF(OR($S832&lt;&gt;"Win",NOT(ISNUMBER($T832)),NOT(ISNUMBER($R832))),"",MAX(0,$T832-$R832))</f>
        <v/>
      </c>
      <c r="V832" s="49" t="str">
        <f>IF(OR($AM832=0,NOT(ISNUMBER($H832)),NOT(ISNUMBER($I832)),NOT(ISNUMBER($G832))),"",IF(OR($AG832="",$AH832=""),"",IF(ROUND(ABS($H832-$I832)*ABS($G832)*$AG832*$AH832,6)=0,"",ROUND(ABS($H832-$I832)*ABS($G832)*$AG832*$AH832,6))))</f>
        <v/>
      </c>
      <c r="W832" s="50" t="str">
        <f>IF($AM832=0,"",IF($BG832="","OK",LEFT($BG832,LEN($BG832)-2)))</f>
        <v/>
      </c>
      <c r="X832" s="41" t="n"/>
      <c r="Y832" s="40" t="n"/>
      <c r="Z832" s="41" t="n"/>
      <c r="AA832" s="41" t="n"/>
      <c r="AB832" s="40" t="n"/>
      <c r="AC832" s="51" t="n"/>
      <c r="AD832" s="51" t="n"/>
      <c r="AE832" s="40" t="n"/>
      <c r="AF832" s="52" t="str">
        <f>IF($AM832=0,"",IF($D832&lt;&gt;"",$D832,IF(IFERROR(INDEX(Accounts!$C$7:$C$16,MATCH($C832,Accounts!$B$7:$B$16,0))&amp;"","")&lt;&gt;"",INDEX(Accounts!$C$7:$C$16,MATCH($C832,Accounts!$B$7:$B$16,0)),Settings!$C$6)))</f>
        <v/>
      </c>
      <c r="AG832" s="53" t="str">
        <f>IF($AM832=0,"",IF(AND($BE832&gt;0,N(INDEX(Instruments!$D$6:$D$205,MAX(1,$BE832)))&gt;0),INDEX(Instruments!$D$6:$D$205,MAX(1,$BE832)),IF(N(INDEX(Settings!$D$14:$D$18,$BF832))&gt;0,INDEX(Settings!$D$14:$D$18,$BF832),"")))</f>
        <v/>
      </c>
      <c r="AH832" s="54" t="str">
        <f>IF($AM832=0,"",IF($AF832&lt;&gt;"Forex",1,IF(MID(UPPER(SUBSTITUTE(TRIM($E832),"/","")),4,3)=UPPER(TRIM(Settings!$C$7)),1,IF(LEFT(UPPER(SUBSTITUTE(TRIM($E832),"/","")),3)=UPPER(TRIM(Settings!$C$7)),IF(AND(ISNUMBER($K832),N($K832)&lt;&gt;0),1/$K832,""),""))))</f>
        <v/>
      </c>
      <c r="AI832" s="55" t="str">
        <f>IF($AM832=0,"",IF(OR(NOT(ISNUMBER($H832)),NOT(ISNUMBER($K832)),NOT(ISNUMBER($G832)),$AG832="",$AH832=""),"",ROUND(($K832-$H832)*IF($F832="Short",-1,1)*$G832*$AG832*$AH832,6)))</f>
        <v/>
      </c>
      <c r="AJ832" s="55" t="str">
        <f>IF($AM832=0,"",IF(INDEX(Settings!$E$14:$E$18,$BF832)="% of notional",IF(OR($AG832="",NOT(ISNUMBER($H832)),NOT(ISNUMBER($G832))),"",ROUND(ABS($H832*$G832*$AG832*N($AH832))*IF($L832="Limit",N(INDEX(Settings!$G$14:$G$18,$BF832)),N(INDEX(Settings!$H$14:$H$18,$BF832)))+IF(ISNUMBER($K832),ABS($K832*$G832*$AG832*N($AH832))*IF($M832="Target",N(INDEX(Settings!$G$14:$G$18,$BF832)),N(INDEX(Settings!$H$14:$H$18,$BF832))),0),6)),IF(NOT(ISNUMBER($G832)),"",ROUND(ABS($G832)*2*IF(AND($BE832&gt;0,ISNUMBER(INDEX(Instruments!$G$6:$G$205,MAX(1,$BE832)))),INDEX(Instruments!$G$6:$G$205,MAX(1,$BE832)),N(INDEX(Settings!$F$14:$F$18,$BF832))),6))))</f>
        <v/>
      </c>
      <c r="AK832" s="55" t="str">
        <f>IF($AM832=0,"",IF(ISNUMBER($O832),$O832,$AI832))</f>
        <v/>
      </c>
      <c r="AL832" s="55" t="str">
        <f>IF($AM832=0,"",IF(ISNUMBER($P832),$P832,N($AJ832)))</f>
        <v/>
      </c>
      <c r="AM832" s="56">
        <f>IF(AND($A832&lt;&gt;"",$E832&lt;&gt;"",OR(AND(ISNUMBER($G832),ISNUMBER($H832),ISNUMBER($K832)),ISNUMBER($O832))),1,0)</f>
        <v>0</v>
      </c>
      <c r="AN832" s="57" t="str">
        <f>IF($A832="","",$A832-WEEKDAY($A832,3))</f>
        <v/>
      </c>
      <c r="AO832" s="56" t="str">
        <f>IF($A832="","",WEEKDAY($A832,2))</f>
        <v/>
      </c>
      <c r="AP832" s="55" t="str">
        <f>IF(OR($AM832=0,$C832=""),"",IFERROR(N(INDEX(Accounts!$E$7:$E$16,MATCH($C832,Accounts!$B$7:$B$16,0))),0)+SUMIFS($Q$6:$Q832,$C$6:$C832,$C832))</f>
        <v/>
      </c>
      <c r="AQ832" s="55" t="str">
        <f>IF(OR($AM832=0,$C832=""),"",SUMIFS($Q$6:$Q$1005,$C$6:$C$1005,$C832,$A$6:$A$1005,$A832))</f>
        <v/>
      </c>
      <c r="AR832" s="55" t="str">
        <f>IF(OR($AM832=0,$C832=""),"",IFERROR(N(INDEX(Accounts!$E$7:$E$16,MATCH($C832,Accounts!$B$7:$B$16,0))),0)+SUMIFS($Q$6:$Q$1005,$C$6:$C$1005,$C832,$A$6:$A$1005,"&lt;="&amp;$A832))</f>
        <v/>
      </c>
      <c r="AS832" s="56">
        <f>IF(OR($AM832=0,$Q832=""),0,IF(AND($A832&gt;=Lists!$W$6,$A832&lt;=Lists!$W$7,OR(Dashboard!$D$6="All accounts",$C832=Dashboard!$D$6),OR(Dashboard!$D$7="All markets",$AF832=Dashboard!$D$7)),1,0))</f>
        <v>0</v>
      </c>
      <c r="AT832" s="55">
        <f>IF($AS832=1,N(AT831)+$Q832,N(AT831))</f>
        <v>1187.10688</v>
      </c>
      <c r="AU832" s="55">
        <f>MAX(N(AU831),$AT832)</f>
        <v>1187.10688</v>
      </c>
      <c r="AV832" s="55">
        <f>$AT832-$AU832</f>
        <v>0</v>
      </c>
      <c r="AW832" s="56">
        <f>IF($AS832=1,IF($S832="Win",N(AW831)+1,IF($S832="Loss",0,N(AW831))),N(AW831))</f>
        <v>5</v>
      </c>
      <c r="AX832" s="56">
        <f>IF($AS832=1,IF($S832="Loss",N(AX831)+1,IF($S832="Win",0,N(AX831))),N(AX831))</f>
        <v>0</v>
      </c>
      <c r="AY832" s="56" t="str">
        <f>IF($AS832=1,COUNTIF($AS$6:$AS832,1),"")</f>
        <v/>
      </c>
      <c r="AZ832" s="56">
        <f>MIN(826,N(Lists!$W$8))</f>
        <v>28</v>
      </c>
      <c r="BA832" s="56">
        <f>IF($AS832=1,IF(COUNTIFS($A$6:$A832,$A832,$AS$6:$AS832,1)=1,1,0),0)</f>
        <v>0</v>
      </c>
      <c r="BB832" s="55" t="str">
        <f>IF($BA832=1,SUMIFS($Q$6:$Q$1005,$A$6:$A$1005,$A832,$AS$6:$AS$1005,1),"")</f>
        <v/>
      </c>
      <c r="BC832" s="56">
        <f>IF(ISNUMBER($R832),1,0)</f>
        <v>0</v>
      </c>
      <c r="BD832" s="55" t="str">
        <f>IF(ISNUMBER($U832),$U832*$V832,"")</f>
        <v/>
      </c>
      <c r="BE832" s="56" t="str">
        <f>IF($AM832=0,"",IFERROR(MATCH($AF832&amp;"|"&amp;UPPER(TRIM($E832)),Lists!$A$6:$A$205,0),0))</f>
        <v/>
      </c>
      <c r="BF832" s="56" t="str">
        <f>IF($AM832=0,"",IFERROR(MATCH($AF832,Settings!$B$14:$B$18,0),IFERROR(MATCH(Settings!$C$6,Settings!$B$14:$B$18,0),1)))</f>
        <v/>
      </c>
      <c r="BG832" s="58" t="str">
        <f>IF($AM832=0,"",IF(NOT(ISNUMBER($I832)),"No stop; ","")&amp;IF(AND(ISNUMBER($H832),ISNUMBER($I832)),IF(OR(AND($F832&lt;&gt;"Short",$I832&gt;=$H832),AND($F832="Short",$I832&lt;=$H832)),"Stop on wrong side; ",""),"")&amp;IF($F832="","No direction; ","")&amp;IF(AND(ISNUMBER(Settings!$C$22),ISNUMBER($V832)),IF($V832&gt;Settings!$C$22,"Risk over max $; ",""),"")&amp;IF(AND(ISNUMBER(Settings!$C$23),ISNUMBER($V832),ISNUMBER($AP832),IFERROR(N(INDEX(Accounts!$E$7:$E$16,MATCH($C832,Accounts!$B$7:$B$16,0))),0)&gt;0),IF($V832&gt;Settings!$C$23*($AP832-N($Q832)),"Risk over max %; ",""),"")&amp;IF(AND(ISNUMBER(Settings!$C$24),ISNUMBER($N832)),IF($N832&gt;Settings!$C$24,"Leverage over max; ",""),"")&amp;IF(AND(ISNUMBER(Settings!$C$27),ISNUMBER($T832)),IF($T832&lt;Settings!$C$27,"R:R below min; ",""),"")&amp;IF(ISNUMBER(Settings!$C$25),IF(COUNTIFS($A$6:$A832,$A832,$AM$6:$AM832,1)&gt;Settings!$C$25,"Over max trades/day; ",""),"")&amp;IF(ISNUMBER(Settings!$C$26),IF(SUMIFS($Q$5:$Q831,$A$5:$A831,$A832)&lt;=-Settings!$C$26,"Traded after daily max loss; ",""),"")&amp;IF(AND($AG832="",NOT(ISNUMBER($O832))),"Symbol not in Instruments; ","")&amp;IF(AND($AH832="",NOT(ISNUMBER($O832))),"Forex cross: type Gross P&amp;L; ",""))</f>
        <v/>
      </c>
      <c r="BH832" s="56">
        <f>IF(ISNUMBER($Q832),1,0)</f>
        <v>0</v>
      </c>
      <c r="BI832" s="56">
        <f>IF($Y832="",0,1)</f>
        <v>0</v>
      </c>
      <c r="BJ832" s="56">
        <f>IF($AB832="",0,1)</f>
        <v>0</v>
      </c>
      <c r="BK832" s="56">
        <f>IF(AND($BH832=1,$W832&lt;&gt;"OK"),1,0)</f>
        <v>0</v>
      </c>
      <c r="BL832" s="55">
        <f>IF(N($AZ832)=0,0,IFERROR(INDEX($AT$6:$AT$1005,MATCH($AZ832,$AY$6:$AY$1005,0)),0))</f>
        <v>1187.10688</v>
      </c>
      <c r="BM832" s="56">
        <f>IF(ISNUMBER(SEARCH("daily max loss",$BG832)),1,0)</f>
        <v>0</v>
      </c>
    </row>
    <row r="833" ht="18" customHeight="1">
      <c r="A833" s="38" t="n"/>
      <c r="B833" s="39" t="n"/>
      <c r="C833" s="40" t="n"/>
      <c r="D833" s="41" t="n"/>
      <c r="E833" s="41" t="n"/>
      <c r="F833" s="41" t="n"/>
      <c r="G833" s="41" t="n"/>
      <c r="H833" s="42" t="n"/>
      <c r="I833" s="42" t="n"/>
      <c r="J833" s="42" t="n"/>
      <c r="K833" s="42" t="n"/>
      <c r="L833" s="41" t="n"/>
      <c r="M833" s="41" t="n"/>
      <c r="N833" s="41" t="n"/>
      <c r="O833" s="43" t="n"/>
      <c r="P833" s="43" t="n"/>
      <c r="Q833" s="44" t="str">
        <f>IF($AM833=0,"",IF(ISNUMBER($AK833),$AK833-N($AL833),""))</f>
        <v/>
      </c>
      <c r="R833" s="45" t="str">
        <f>IF(OR($Q833="",NOT(ISNUMBER($V833))),"",$AK833/$V833)</f>
        <v/>
      </c>
      <c r="S833" s="46" t="str">
        <f>IF($Q833="","",IF(AND(ISNUMBER($R833),ABS(N($R833))&lt;N(Settings!$C$8)),"Scratch",IF($Q833&gt;0,"Win",IF($Q833&lt;0,"Loss","Scratch"))))</f>
        <v/>
      </c>
      <c r="T833" s="47" t="str">
        <f>IF(OR($AM833=0,NOT(ISNUMBER($H833)),NOT(ISNUMBER($I833)),NOT(ISNUMBER($J833))),"",IF($H833=$I833,"",ROUND(ABS($J833-$H833)/ABS($H833-$I833),6)))</f>
        <v/>
      </c>
      <c r="U833" s="48" t="str">
        <f>IF(OR($S833&lt;&gt;"Win",NOT(ISNUMBER($T833)),NOT(ISNUMBER($R833))),"",MAX(0,$T833-$R833))</f>
        <v/>
      </c>
      <c r="V833" s="49" t="str">
        <f>IF(OR($AM833=0,NOT(ISNUMBER($H833)),NOT(ISNUMBER($I833)),NOT(ISNUMBER($G833))),"",IF(OR($AG833="",$AH833=""),"",IF(ROUND(ABS($H833-$I833)*ABS($G833)*$AG833*$AH833,6)=0,"",ROUND(ABS($H833-$I833)*ABS($G833)*$AG833*$AH833,6))))</f>
        <v/>
      </c>
      <c r="W833" s="50" t="str">
        <f>IF($AM833=0,"",IF($BG833="","OK",LEFT($BG833,LEN($BG833)-2)))</f>
        <v/>
      </c>
      <c r="X833" s="41" t="n"/>
      <c r="Y833" s="40" t="n"/>
      <c r="Z833" s="41" t="n"/>
      <c r="AA833" s="41" t="n"/>
      <c r="AB833" s="40" t="n"/>
      <c r="AC833" s="51" t="n"/>
      <c r="AD833" s="51" t="n"/>
      <c r="AE833" s="40" t="n"/>
      <c r="AF833" s="52" t="str">
        <f>IF($AM833=0,"",IF($D833&lt;&gt;"",$D833,IF(IFERROR(INDEX(Accounts!$C$7:$C$16,MATCH($C833,Accounts!$B$7:$B$16,0))&amp;"","")&lt;&gt;"",INDEX(Accounts!$C$7:$C$16,MATCH($C833,Accounts!$B$7:$B$16,0)),Settings!$C$6)))</f>
        <v/>
      </c>
      <c r="AG833" s="53" t="str">
        <f>IF($AM833=0,"",IF(AND($BE833&gt;0,N(INDEX(Instruments!$D$6:$D$205,MAX(1,$BE833)))&gt;0),INDEX(Instruments!$D$6:$D$205,MAX(1,$BE833)),IF(N(INDEX(Settings!$D$14:$D$18,$BF833))&gt;0,INDEX(Settings!$D$14:$D$18,$BF833),"")))</f>
        <v/>
      </c>
      <c r="AH833" s="54" t="str">
        <f>IF($AM833=0,"",IF($AF833&lt;&gt;"Forex",1,IF(MID(UPPER(SUBSTITUTE(TRIM($E833),"/","")),4,3)=UPPER(TRIM(Settings!$C$7)),1,IF(LEFT(UPPER(SUBSTITUTE(TRIM($E833),"/","")),3)=UPPER(TRIM(Settings!$C$7)),IF(AND(ISNUMBER($K833),N($K833)&lt;&gt;0),1/$K833,""),""))))</f>
        <v/>
      </c>
      <c r="AI833" s="55" t="str">
        <f>IF($AM833=0,"",IF(OR(NOT(ISNUMBER($H833)),NOT(ISNUMBER($K833)),NOT(ISNUMBER($G833)),$AG833="",$AH833=""),"",ROUND(($K833-$H833)*IF($F833="Short",-1,1)*$G833*$AG833*$AH833,6)))</f>
        <v/>
      </c>
      <c r="AJ833" s="55" t="str">
        <f>IF($AM833=0,"",IF(INDEX(Settings!$E$14:$E$18,$BF833)="% of notional",IF(OR($AG833="",NOT(ISNUMBER($H833)),NOT(ISNUMBER($G833))),"",ROUND(ABS($H833*$G833*$AG833*N($AH833))*IF($L833="Limit",N(INDEX(Settings!$G$14:$G$18,$BF833)),N(INDEX(Settings!$H$14:$H$18,$BF833)))+IF(ISNUMBER($K833),ABS($K833*$G833*$AG833*N($AH833))*IF($M833="Target",N(INDEX(Settings!$G$14:$G$18,$BF833)),N(INDEX(Settings!$H$14:$H$18,$BF833))),0),6)),IF(NOT(ISNUMBER($G833)),"",ROUND(ABS($G833)*2*IF(AND($BE833&gt;0,ISNUMBER(INDEX(Instruments!$G$6:$G$205,MAX(1,$BE833)))),INDEX(Instruments!$G$6:$G$205,MAX(1,$BE833)),N(INDEX(Settings!$F$14:$F$18,$BF833))),6))))</f>
        <v/>
      </c>
      <c r="AK833" s="55" t="str">
        <f>IF($AM833=0,"",IF(ISNUMBER($O833),$O833,$AI833))</f>
        <v/>
      </c>
      <c r="AL833" s="55" t="str">
        <f>IF($AM833=0,"",IF(ISNUMBER($P833),$P833,N($AJ833)))</f>
        <v/>
      </c>
      <c r="AM833" s="56">
        <f>IF(AND($A833&lt;&gt;"",$E833&lt;&gt;"",OR(AND(ISNUMBER($G833),ISNUMBER($H833),ISNUMBER($K833)),ISNUMBER($O833))),1,0)</f>
        <v>0</v>
      </c>
      <c r="AN833" s="57" t="str">
        <f>IF($A833="","",$A833-WEEKDAY($A833,3))</f>
        <v/>
      </c>
      <c r="AO833" s="56" t="str">
        <f>IF($A833="","",WEEKDAY($A833,2))</f>
        <v/>
      </c>
      <c r="AP833" s="55" t="str">
        <f>IF(OR($AM833=0,$C833=""),"",IFERROR(N(INDEX(Accounts!$E$7:$E$16,MATCH($C833,Accounts!$B$7:$B$16,0))),0)+SUMIFS($Q$6:$Q833,$C$6:$C833,$C833))</f>
        <v/>
      </c>
      <c r="AQ833" s="55" t="str">
        <f>IF(OR($AM833=0,$C833=""),"",SUMIFS($Q$6:$Q$1005,$C$6:$C$1005,$C833,$A$6:$A$1005,$A833))</f>
        <v/>
      </c>
      <c r="AR833" s="55" t="str">
        <f>IF(OR($AM833=0,$C833=""),"",IFERROR(N(INDEX(Accounts!$E$7:$E$16,MATCH($C833,Accounts!$B$7:$B$16,0))),0)+SUMIFS($Q$6:$Q$1005,$C$6:$C$1005,$C833,$A$6:$A$1005,"&lt;="&amp;$A833))</f>
        <v/>
      </c>
      <c r="AS833" s="56">
        <f>IF(OR($AM833=0,$Q833=""),0,IF(AND($A833&gt;=Lists!$W$6,$A833&lt;=Lists!$W$7,OR(Dashboard!$D$6="All accounts",$C833=Dashboard!$D$6),OR(Dashboard!$D$7="All markets",$AF833=Dashboard!$D$7)),1,0))</f>
        <v>0</v>
      </c>
      <c r="AT833" s="55">
        <f>IF($AS833=1,N(AT832)+$Q833,N(AT832))</f>
        <v>1187.10688</v>
      </c>
      <c r="AU833" s="55">
        <f>MAX(N(AU832),$AT833)</f>
        <v>1187.10688</v>
      </c>
      <c r="AV833" s="55">
        <f>$AT833-$AU833</f>
        <v>0</v>
      </c>
      <c r="AW833" s="56">
        <f>IF($AS833=1,IF($S833="Win",N(AW832)+1,IF($S833="Loss",0,N(AW832))),N(AW832))</f>
        <v>5</v>
      </c>
      <c r="AX833" s="56">
        <f>IF($AS833=1,IF($S833="Loss",N(AX832)+1,IF($S833="Win",0,N(AX832))),N(AX832))</f>
        <v>0</v>
      </c>
      <c r="AY833" s="56" t="str">
        <f>IF($AS833=1,COUNTIF($AS$6:$AS833,1),"")</f>
        <v/>
      </c>
      <c r="AZ833" s="56">
        <f>MIN(827,N(Lists!$W$8))</f>
        <v>28</v>
      </c>
      <c r="BA833" s="56">
        <f>IF($AS833=1,IF(COUNTIFS($A$6:$A833,$A833,$AS$6:$AS833,1)=1,1,0),0)</f>
        <v>0</v>
      </c>
      <c r="BB833" s="55" t="str">
        <f>IF($BA833=1,SUMIFS($Q$6:$Q$1005,$A$6:$A$1005,$A833,$AS$6:$AS$1005,1),"")</f>
        <v/>
      </c>
      <c r="BC833" s="56">
        <f>IF(ISNUMBER($R833),1,0)</f>
        <v>0</v>
      </c>
      <c r="BD833" s="55" t="str">
        <f>IF(ISNUMBER($U833),$U833*$V833,"")</f>
        <v/>
      </c>
      <c r="BE833" s="56" t="str">
        <f>IF($AM833=0,"",IFERROR(MATCH($AF833&amp;"|"&amp;UPPER(TRIM($E833)),Lists!$A$6:$A$205,0),0))</f>
        <v/>
      </c>
      <c r="BF833" s="56" t="str">
        <f>IF($AM833=0,"",IFERROR(MATCH($AF833,Settings!$B$14:$B$18,0),IFERROR(MATCH(Settings!$C$6,Settings!$B$14:$B$18,0),1)))</f>
        <v/>
      </c>
      <c r="BG833" s="58" t="str">
        <f>IF($AM833=0,"",IF(NOT(ISNUMBER($I833)),"No stop; ","")&amp;IF(AND(ISNUMBER($H833),ISNUMBER($I833)),IF(OR(AND($F833&lt;&gt;"Short",$I833&gt;=$H833),AND($F833="Short",$I833&lt;=$H833)),"Stop on wrong side; ",""),"")&amp;IF($F833="","No direction; ","")&amp;IF(AND(ISNUMBER(Settings!$C$22),ISNUMBER($V833)),IF($V833&gt;Settings!$C$22,"Risk over max $; ",""),"")&amp;IF(AND(ISNUMBER(Settings!$C$23),ISNUMBER($V833),ISNUMBER($AP833),IFERROR(N(INDEX(Accounts!$E$7:$E$16,MATCH($C833,Accounts!$B$7:$B$16,0))),0)&gt;0),IF($V833&gt;Settings!$C$23*($AP833-N($Q833)),"Risk over max %; ",""),"")&amp;IF(AND(ISNUMBER(Settings!$C$24),ISNUMBER($N833)),IF($N833&gt;Settings!$C$24,"Leverage over max; ",""),"")&amp;IF(AND(ISNUMBER(Settings!$C$27),ISNUMBER($T833)),IF($T833&lt;Settings!$C$27,"R:R below min; ",""),"")&amp;IF(ISNUMBER(Settings!$C$25),IF(COUNTIFS($A$6:$A833,$A833,$AM$6:$AM833,1)&gt;Settings!$C$25,"Over max trades/day; ",""),"")&amp;IF(ISNUMBER(Settings!$C$26),IF(SUMIFS($Q$5:$Q832,$A$5:$A832,$A833)&lt;=-Settings!$C$26,"Traded after daily max loss; ",""),"")&amp;IF(AND($AG833="",NOT(ISNUMBER($O833))),"Symbol not in Instruments; ","")&amp;IF(AND($AH833="",NOT(ISNUMBER($O833))),"Forex cross: type Gross P&amp;L; ",""))</f>
        <v/>
      </c>
      <c r="BH833" s="56">
        <f>IF(ISNUMBER($Q833),1,0)</f>
        <v>0</v>
      </c>
      <c r="BI833" s="56">
        <f>IF($Y833="",0,1)</f>
        <v>0</v>
      </c>
      <c r="BJ833" s="56">
        <f>IF($AB833="",0,1)</f>
        <v>0</v>
      </c>
      <c r="BK833" s="56">
        <f>IF(AND($BH833=1,$W833&lt;&gt;"OK"),1,0)</f>
        <v>0</v>
      </c>
      <c r="BL833" s="55">
        <f>IF(N($AZ833)=0,0,IFERROR(INDEX($AT$6:$AT$1005,MATCH($AZ833,$AY$6:$AY$1005,0)),0))</f>
        <v>1187.10688</v>
      </c>
      <c r="BM833" s="56">
        <f>IF(ISNUMBER(SEARCH("daily max loss",$BG833)),1,0)</f>
        <v>0</v>
      </c>
    </row>
    <row r="834" ht="18" customHeight="1">
      <c r="A834" s="38" t="n"/>
      <c r="B834" s="39" t="n"/>
      <c r="C834" s="40" t="n"/>
      <c r="D834" s="41" t="n"/>
      <c r="E834" s="41" t="n"/>
      <c r="F834" s="41" t="n"/>
      <c r="G834" s="41" t="n"/>
      <c r="H834" s="42" t="n"/>
      <c r="I834" s="42" t="n"/>
      <c r="J834" s="42" t="n"/>
      <c r="K834" s="42" t="n"/>
      <c r="L834" s="41" t="n"/>
      <c r="M834" s="41" t="n"/>
      <c r="N834" s="41" t="n"/>
      <c r="O834" s="43" t="n"/>
      <c r="P834" s="43" t="n"/>
      <c r="Q834" s="44" t="str">
        <f>IF($AM834=0,"",IF(ISNUMBER($AK834),$AK834-N($AL834),""))</f>
        <v/>
      </c>
      <c r="R834" s="45" t="str">
        <f>IF(OR($Q834="",NOT(ISNUMBER($V834))),"",$AK834/$V834)</f>
        <v/>
      </c>
      <c r="S834" s="46" t="str">
        <f>IF($Q834="","",IF(AND(ISNUMBER($R834),ABS(N($R834))&lt;N(Settings!$C$8)),"Scratch",IF($Q834&gt;0,"Win",IF($Q834&lt;0,"Loss","Scratch"))))</f>
        <v/>
      </c>
      <c r="T834" s="47" t="str">
        <f>IF(OR($AM834=0,NOT(ISNUMBER($H834)),NOT(ISNUMBER($I834)),NOT(ISNUMBER($J834))),"",IF($H834=$I834,"",ROUND(ABS($J834-$H834)/ABS($H834-$I834),6)))</f>
        <v/>
      </c>
      <c r="U834" s="48" t="str">
        <f>IF(OR($S834&lt;&gt;"Win",NOT(ISNUMBER($T834)),NOT(ISNUMBER($R834))),"",MAX(0,$T834-$R834))</f>
        <v/>
      </c>
      <c r="V834" s="49" t="str">
        <f>IF(OR($AM834=0,NOT(ISNUMBER($H834)),NOT(ISNUMBER($I834)),NOT(ISNUMBER($G834))),"",IF(OR($AG834="",$AH834=""),"",IF(ROUND(ABS($H834-$I834)*ABS($G834)*$AG834*$AH834,6)=0,"",ROUND(ABS($H834-$I834)*ABS($G834)*$AG834*$AH834,6))))</f>
        <v/>
      </c>
      <c r="W834" s="50" t="str">
        <f>IF($AM834=0,"",IF($BG834="","OK",LEFT($BG834,LEN($BG834)-2)))</f>
        <v/>
      </c>
      <c r="X834" s="41" t="n"/>
      <c r="Y834" s="40" t="n"/>
      <c r="Z834" s="41" t="n"/>
      <c r="AA834" s="41" t="n"/>
      <c r="AB834" s="40" t="n"/>
      <c r="AC834" s="51" t="n"/>
      <c r="AD834" s="51" t="n"/>
      <c r="AE834" s="40" t="n"/>
      <c r="AF834" s="52" t="str">
        <f>IF($AM834=0,"",IF($D834&lt;&gt;"",$D834,IF(IFERROR(INDEX(Accounts!$C$7:$C$16,MATCH($C834,Accounts!$B$7:$B$16,0))&amp;"","")&lt;&gt;"",INDEX(Accounts!$C$7:$C$16,MATCH($C834,Accounts!$B$7:$B$16,0)),Settings!$C$6)))</f>
        <v/>
      </c>
      <c r="AG834" s="53" t="str">
        <f>IF($AM834=0,"",IF(AND($BE834&gt;0,N(INDEX(Instruments!$D$6:$D$205,MAX(1,$BE834)))&gt;0),INDEX(Instruments!$D$6:$D$205,MAX(1,$BE834)),IF(N(INDEX(Settings!$D$14:$D$18,$BF834))&gt;0,INDEX(Settings!$D$14:$D$18,$BF834),"")))</f>
        <v/>
      </c>
      <c r="AH834" s="54" t="str">
        <f>IF($AM834=0,"",IF($AF834&lt;&gt;"Forex",1,IF(MID(UPPER(SUBSTITUTE(TRIM($E834),"/","")),4,3)=UPPER(TRIM(Settings!$C$7)),1,IF(LEFT(UPPER(SUBSTITUTE(TRIM($E834),"/","")),3)=UPPER(TRIM(Settings!$C$7)),IF(AND(ISNUMBER($K834),N($K834)&lt;&gt;0),1/$K834,""),""))))</f>
        <v/>
      </c>
      <c r="AI834" s="55" t="str">
        <f>IF($AM834=0,"",IF(OR(NOT(ISNUMBER($H834)),NOT(ISNUMBER($K834)),NOT(ISNUMBER($G834)),$AG834="",$AH834=""),"",ROUND(($K834-$H834)*IF($F834="Short",-1,1)*$G834*$AG834*$AH834,6)))</f>
        <v/>
      </c>
      <c r="AJ834" s="55" t="str">
        <f>IF($AM834=0,"",IF(INDEX(Settings!$E$14:$E$18,$BF834)="% of notional",IF(OR($AG834="",NOT(ISNUMBER($H834)),NOT(ISNUMBER($G834))),"",ROUND(ABS($H834*$G834*$AG834*N($AH834))*IF($L834="Limit",N(INDEX(Settings!$G$14:$G$18,$BF834)),N(INDEX(Settings!$H$14:$H$18,$BF834)))+IF(ISNUMBER($K834),ABS($K834*$G834*$AG834*N($AH834))*IF($M834="Target",N(INDEX(Settings!$G$14:$G$18,$BF834)),N(INDEX(Settings!$H$14:$H$18,$BF834))),0),6)),IF(NOT(ISNUMBER($G834)),"",ROUND(ABS($G834)*2*IF(AND($BE834&gt;0,ISNUMBER(INDEX(Instruments!$G$6:$G$205,MAX(1,$BE834)))),INDEX(Instruments!$G$6:$G$205,MAX(1,$BE834)),N(INDEX(Settings!$F$14:$F$18,$BF834))),6))))</f>
        <v/>
      </c>
      <c r="AK834" s="55" t="str">
        <f>IF($AM834=0,"",IF(ISNUMBER($O834),$O834,$AI834))</f>
        <v/>
      </c>
      <c r="AL834" s="55" t="str">
        <f>IF($AM834=0,"",IF(ISNUMBER($P834),$P834,N($AJ834)))</f>
        <v/>
      </c>
      <c r="AM834" s="56">
        <f>IF(AND($A834&lt;&gt;"",$E834&lt;&gt;"",OR(AND(ISNUMBER($G834),ISNUMBER($H834),ISNUMBER($K834)),ISNUMBER($O834))),1,0)</f>
        <v>0</v>
      </c>
      <c r="AN834" s="57" t="str">
        <f>IF($A834="","",$A834-WEEKDAY($A834,3))</f>
        <v/>
      </c>
      <c r="AO834" s="56" t="str">
        <f>IF($A834="","",WEEKDAY($A834,2))</f>
        <v/>
      </c>
      <c r="AP834" s="55" t="str">
        <f>IF(OR($AM834=0,$C834=""),"",IFERROR(N(INDEX(Accounts!$E$7:$E$16,MATCH($C834,Accounts!$B$7:$B$16,0))),0)+SUMIFS($Q$6:$Q834,$C$6:$C834,$C834))</f>
        <v/>
      </c>
      <c r="AQ834" s="55" t="str">
        <f>IF(OR($AM834=0,$C834=""),"",SUMIFS($Q$6:$Q$1005,$C$6:$C$1005,$C834,$A$6:$A$1005,$A834))</f>
        <v/>
      </c>
      <c r="AR834" s="55" t="str">
        <f>IF(OR($AM834=0,$C834=""),"",IFERROR(N(INDEX(Accounts!$E$7:$E$16,MATCH($C834,Accounts!$B$7:$B$16,0))),0)+SUMIFS($Q$6:$Q$1005,$C$6:$C$1005,$C834,$A$6:$A$1005,"&lt;="&amp;$A834))</f>
        <v/>
      </c>
      <c r="AS834" s="56">
        <f>IF(OR($AM834=0,$Q834=""),0,IF(AND($A834&gt;=Lists!$W$6,$A834&lt;=Lists!$W$7,OR(Dashboard!$D$6="All accounts",$C834=Dashboard!$D$6),OR(Dashboard!$D$7="All markets",$AF834=Dashboard!$D$7)),1,0))</f>
        <v>0</v>
      </c>
      <c r="AT834" s="55">
        <f>IF($AS834=1,N(AT833)+$Q834,N(AT833))</f>
        <v>1187.10688</v>
      </c>
      <c r="AU834" s="55">
        <f>MAX(N(AU833),$AT834)</f>
        <v>1187.10688</v>
      </c>
      <c r="AV834" s="55">
        <f>$AT834-$AU834</f>
        <v>0</v>
      </c>
      <c r="AW834" s="56">
        <f>IF($AS834=1,IF($S834="Win",N(AW833)+1,IF($S834="Loss",0,N(AW833))),N(AW833))</f>
        <v>5</v>
      </c>
      <c r="AX834" s="56">
        <f>IF($AS834=1,IF($S834="Loss",N(AX833)+1,IF($S834="Win",0,N(AX833))),N(AX833))</f>
        <v>0</v>
      </c>
      <c r="AY834" s="56" t="str">
        <f>IF($AS834=1,COUNTIF($AS$6:$AS834,1),"")</f>
        <v/>
      </c>
      <c r="AZ834" s="56">
        <f>MIN(828,N(Lists!$W$8))</f>
        <v>28</v>
      </c>
      <c r="BA834" s="56">
        <f>IF($AS834=1,IF(COUNTIFS($A$6:$A834,$A834,$AS$6:$AS834,1)=1,1,0),0)</f>
        <v>0</v>
      </c>
      <c r="BB834" s="55" t="str">
        <f>IF($BA834=1,SUMIFS($Q$6:$Q$1005,$A$6:$A$1005,$A834,$AS$6:$AS$1005,1),"")</f>
        <v/>
      </c>
      <c r="BC834" s="56">
        <f>IF(ISNUMBER($R834),1,0)</f>
        <v>0</v>
      </c>
      <c r="BD834" s="55" t="str">
        <f>IF(ISNUMBER($U834),$U834*$V834,"")</f>
        <v/>
      </c>
      <c r="BE834" s="56" t="str">
        <f>IF($AM834=0,"",IFERROR(MATCH($AF834&amp;"|"&amp;UPPER(TRIM($E834)),Lists!$A$6:$A$205,0),0))</f>
        <v/>
      </c>
      <c r="BF834" s="56" t="str">
        <f>IF($AM834=0,"",IFERROR(MATCH($AF834,Settings!$B$14:$B$18,0),IFERROR(MATCH(Settings!$C$6,Settings!$B$14:$B$18,0),1)))</f>
        <v/>
      </c>
      <c r="BG834" s="58" t="str">
        <f>IF($AM834=0,"",IF(NOT(ISNUMBER($I834)),"No stop; ","")&amp;IF(AND(ISNUMBER($H834),ISNUMBER($I834)),IF(OR(AND($F834&lt;&gt;"Short",$I834&gt;=$H834),AND($F834="Short",$I834&lt;=$H834)),"Stop on wrong side; ",""),"")&amp;IF($F834="","No direction; ","")&amp;IF(AND(ISNUMBER(Settings!$C$22),ISNUMBER($V834)),IF($V834&gt;Settings!$C$22,"Risk over max $; ",""),"")&amp;IF(AND(ISNUMBER(Settings!$C$23),ISNUMBER($V834),ISNUMBER($AP834),IFERROR(N(INDEX(Accounts!$E$7:$E$16,MATCH($C834,Accounts!$B$7:$B$16,0))),0)&gt;0),IF($V834&gt;Settings!$C$23*($AP834-N($Q834)),"Risk over max %; ",""),"")&amp;IF(AND(ISNUMBER(Settings!$C$24),ISNUMBER($N834)),IF($N834&gt;Settings!$C$24,"Leverage over max; ",""),"")&amp;IF(AND(ISNUMBER(Settings!$C$27),ISNUMBER($T834)),IF($T834&lt;Settings!$C$27,"R:R below min; ",""),"")&amp;IF(ISNUMBER(Settings!$C$25),IF(COUNTIFS($A$6:$A834,$A834,$AM$6:$AM834,1)&gt;Settings!$C$25,"Over max trades/day; ",""),"")&amp;IF(ISNUMBER(Settings!$C$26),IF(SUMIFS($Q$5:$Q833,$A$5:$A833,$A834)&lt;=-Settings!$C$26,"Traded after daily max loss; ",""),"")&amp;IF(AND($AG834="",NOT(ISNUMBER($O834))),"Symbol not in Instruments; ","")&amp;IF(AND($AH834="",NOT(ISNUMBER($O834))),"Forex cross: type Gross P&amp;L; ",""))</f>
        <v/>
      </c>
      <c r="BH834" s="56">
        <f>IF(ISNUMBER($Q834),1,0)</f>
        <v>0</v>
      </c>
      <c r="BI834" s="56">
        <f>IF($Y834="",0,1)</f>
        <v>0</v>
      </c>
      <c r="BJ834" s="56">
        <f>IF($AB834="",0,1)</f>
        <v>0</v>
      </c>
      <c r="BK834" s="56">
        <f>IF(AND($BH834=1,$W834&lt;&gt;"OK"),1,0)</f>
        <v>0</v>
      </c>
      <c r="BL834" s="55">
        <f>IF(N($AZ834)=0,0,IFERROR(INDEX($AT$6:$AT$1005,MATCH($AZ834,$AY$6:$AY$1005,0)),0))</f>
        <v>1187.10688</v>
      </c>
      <c r="BM834" s="56">
        <f>IF(ISNUMBER(SEARCH("daily max loss",$BG834)),1,0)</f>
        <v>0</v>
      </c>
    </row>
    <row r="835" ht="18" customHeight="1">
      <c r="A835" s="38" t="n"/>
      <c r="B835" s="39" t="n"/>
      <c r="C835" s="40" t="n"/>
      <c r="D835" s="41" t="n"/>
      <c r="E835" s="41" t="n"/>
      <c r="F835" s="41" t="n"/>
      <c r="G835" s="41" t="n"/>
      <c r="H835" s="42" t="n"/>
      <c r="I835" s="42" t="n"/>
      <c r="J835" s="42" t="n"/>
      <c r="K835" s="42" t="n"/>
      <c r="L835" s="41" t="n"/>
      <c r="M835" s="41" t="n"/>
      <c r="N835" s="41" t="n"/>
      <c r="O835" s="43" t="n"/>
      <c r="P835" s="43" t="n"/>
      <c r="Q835" s="44" t="str">
        <f>IF($AM835=0,"",IF(ISNUMBER($AK835),$AK835-N($AL835),""))</f>
        <v/>
      </c>
      <c r="R835" s="45" t="str">
        <f>IF(OR($Q835="",NOT(ISNUMBER($V835))),"",$AK835/$V835)</f>
        <v/>
      </c>
      <c r="S835" s="46" t="str">
        <f>IF($Q835="","",IF(AND(ISNUMBER($R835),ABS(N($R835))&lt;N(Settings!$C$8)),"Scratch",IF($Q835&gt;0,"Win",IF($Q835&lt;0,"Loss","Scratch"))))</f>
        <v/>
      </c>
      <c r="T835" s="47" t="str">
        <f>IF(OR($AM835=0,NOT(ISNUMBER($H835)),NOT(ISNUMBER($I835)),NOT(ISNUMBER($J835))),"",IF($H835=$I835,"",ROUND(ABS($J835-$H835)/ABS($H835-$I835),6)))</f>
        <v/>
      </c>
      <c r="U835" s="48" t="str">
        <f>IF(OR($S835&lt;&gt;"Win",NOT(ISNUMBER($T835)),NOT(ISNUMBER($R835))),"",MAX(0,$T835-$R835))</f>
        <v/>
      </c>
      <c r="V835" s="49" t="str">
        <f>IF(OR($AM835=0,NOT(ISNUMBER($H835)),NOT(ISNUMBER($I835)),NOT(ISNUMBER($G835))),"",IF(OR($AG835="",$AH835=""),"",IF(ROUND(ABS($H835-$I835)*ABS($G835)*$AG835*$AH835,6)=0,"",ROUND(ABS($H835-$I835)*ABS($G835)*$AG835*$AH835,6))))</f>
        <v/>
      </c>
      <c r="W835" s="50" t="str">
        <f>IF($AM835=0,"",IF($BG835="","OK",LEFT($BG835,LEN($BG835)-2)))</f>
        <v/>
      </c>
      <c r="X835" s="41" t="n"/>
      <c r="Y835" s="40" t="n"/>
      <c r="Z835" s="41" t="n"/>
      <c r="AA835" s="41" t="n"/>
      <c r="AB835" s="40" t="n"/>
      <c r="AC835" s="51" t="n"/>
      <c r="AD835" s="51" t="n"/>
      <c r="AE835" s="40" t="n"/>
      <c r="AF835" s="52" t="str">
        <f>IF($AM835=0,"",IF($D835&lt;&gt;"",$D835,IF(IFERROR(INDEX(Accounts!$C$7:$C$16,MATCH($C835,Accounts!$B$7:$B$16,0))&amp;"","")&lt;&gt;"",INDEX(Accounts!$C$7:$C$16,MATCH($C835,Accounts!$B$7:$B$16,0)),Settings!$C$6)))</f>
        <v/>
      </c>
      <c r="AG835" s="53" t="str">
        <f>IF($AM835=0,"",IF(AND($BE835&gt;0,N(INDEX(Instruments!$D$6:$D$205,MAX(1,$BE835)))&gt;0),INDEX(Instruments!$D$6:$D$205,MAX(1,$BE835)),IF(N(INDEX(Settings!$D$14:$D$18,$BF835))&gt;0,INDEX(Settings!$D$14:$D$18,$BF835),"")))</f>
        <v/>
      </c>
      <c r="AH835" s="54" t="str">
        <f>IF($AM835=0,"",IF($AF835&lt;&gt;"Forex",1,IF(MID(UPPER(SUBSTITUTE(TRIM($E835),"/","")),4,3)=UPPER(TRIM(Settings!$C$7)),1,IF(LEFT(UPPER(SUBSTITUTE(TRIM($E835),"/","")),3)=UPPER(TRIM(Settings!$C$7)),IF(AND(ISNUMBER($K835),N($K835)&lt;&gt;0),1/$K835,""),""))))</f>
        <v/>
      </c>
      <c r="AI835" s="55" t="str">
        <f>IF($AM835=0,"",IF(OR(NOT(ISNUMBER($H835)),NOT(ISNUMBER($K835)),NOT(ISNUMBER($G835)),$AG835="",$AH835=""),"",ROUND(($K835-$H835)*IF($F835="Short",-1,1)*$G835*$AG835*$AH835,6)))</f>
        <v/>
      </c>
      <c r="AJ835" s="55" t="str">
        <f>IF($AM835=0,"",IF(INDEX(Settings!$E$14:$E$18,$BF835)="% of notional",IF(OR($AG835="",NOT(ISNUMBER($H835)),NOT(ISNUMBER($G835))),"",ROUND(ABS($H835*$G835*$AG835*N($AH835))*IF($L835="Limit",N(INDEX(Settings!$G$14:$G$18,$BF835)),N(INDEX(Settings!$H$14:$H$18,$BF835)))+IF(ISNUMBER($K835),ABS($K835*$G835*$AG835*N($AH835))*IF($M835="Target",N(INDEX(Settings!$G$14:$G$18,$BF835)),N(INDEX(Settings!$H$14:$H$18,$BF835))),0),6)),IF(NOT(ISNUMBER($G835)),"",ROUND(ABS($G835)*2*IF(AND($BE835&gt;0,ISNUMBER(INDEX(Instruments!$G$6:$G$205,MAX(1,$BE835)))),INDEX(Instruments!$G$6:$G$205,MAX(1,$BE835)),N(INDEX(Settings!$F$14:$F$18,$BF835))),6))))</f>
        <v/>
      </c>
      <c r="AK835" s="55" t="str">
        <f>IF($AM835=0,"",IF(ISNUMBER($O835),$O835,$AI835))</f>
        <v/>
      </c>
      <c r="AL835" s="55" t="str">
        <f>IF($AM835=0,"",IF(ISNUMBER($P835),$P835,N($AJ835)))</f>
        <v/>
      </c>
      <c r="AM835" s="56">
        <f>IF(AND($A835&lt;&gt;"",$E835&lt;&gt;"",OR(AND(ISNUMBER($G835),ISNUMBER($H835),ISNUMBER($K835)),ISNUMBER($O835))),1,0)</f>
        <v>0</v>
      </c>
      <c r="AN835" s="57" t="str">
        <f>IF($A835="","",$A835-WEEKDAY($A835,3))</f>
        <v/>
      </c>
      <c r="AO835" s="56" t="str">
        <f>IF($A835="","",WEEKDAY($A835,2))</f>
        <v/>
      </c>
      <c r="AP835" s="55" t="str">
        <f>IF(OR($AM835=0,$C835=""),"",IFERROR(N(INDEX(Accounts!$E$7:$E$16,MATCH($C835,Accounts!$B$7:$B$16,0))),0)+SUMIFS($Q$6:$Q835,$C$6:$C835,$C835))</f>
        <v/>
      </c>
      <c r="AQ835" s="55" t="str">
        <f>IF(OR($AM835=0,$C835=""),"",SUMIFS($Q$6:$Q$1005,$C$6:$C$1005,$C835,$A$6:$A$1005,$A835))</f>
        <v/>
      </c>
      <c r="AR835" s="55" t="str">
        <f>IF(OR($AM835=0,$C835=""),"",IFERROR(N(INDEX(Accounts!$E$7:$E$16,MATCH($C835,Accounts!$B$7:$B$16,0))),0)+SUMIFS($Q$6:$Q$1005,$C$6:$C$1005,$C835,$A$6:$A$1005,"&lt;="&amp;$A835))</f>
        <v/>
      </c>
      <c r="AS835" s="56">
        <f>IF(OR($AM835=0,$Q835=""),0,IF(AND($A835&gt;=Lists!$W$6,$A835&lt;=Lists!$W$7,OR(Dashboard!$D$6="All accounts",$C835=Dashboard!$D$6),OR(Dashboard!$D$7="All markets",$AF835=Dashboard!$D$7)),1,0))</f>
        <v>0</v>
      </c>
      <c r="AT835" s="55">
        <f>IF($AS835=1,N(AT834)+$Q835,N(AT834))</f>
        <v>1187.10688</v>
      </c>
      <c r="AU835" s="55">
        <f>MAX(N(AU834),$AT835)</f>
        <v>1187.10688</v>
      </c>
      <c r="AV835" s="55">
        <f>$AT835-$AU835</f>
        <v>0</v>
      </c>
      <c r="AW835" s="56">
        <f>IF($AS835=1,IF($S835="Win",N(AW834)+1,IF($S835="Loss",0,N(AW834))),N(AW834))</f>
        <v>5</v>
      </c>
      <c r="AX835" s="56">
        <f>IF($AS835=1,IF($S835="Loss",N(AX834)+1,IF($S835="Win",0,N(AX834))),N(AX834))</f>
        <v>0</v>
      </c>
      <c r="AY835" s="56" t="str">
        <f>IF($AS835=1,COUNTIF($AS$6:$AS835,1),"")</f>
        <v/>
      </c>
      <c r="AZ835" s="56">
        <f>MIN(829,N(Lists!$W$8))</f>
        <v>28</v>
      </c>
      <c r="BA835" s="56">
        <f>IF($AS835=1,IF(COUNTIFS($A$6:$A835,$A835,$AS$6:$AS835,1)=1,1,0),0)</f>
        <v>0</v>
      </c>
      <c r="BB835" s="55" t="str">
        <f>IF($BA835=1,SUMIFS($Q$6:$Q$1005,$A$6:$A$1005,$A835,$AS$6:$AS$1005,1),"")</f>
        <v/>
      </c>
      <c r="BC835" s="56">
        <f>IF(ISNUMBER($R835),1,0)</f>
        <v>0</v>
      </c>
      <c r="BD835" s="55" t="str">
        <f>IF(ISNUMBER($U835),$U835*$V835,"")</f>
        <v/>
      </c>
      <c r="BE835" s="56" t="str">
        <f>IF($AM835=0,"",IFERROR(MATCH($AF835&amp;"|"&amp;UPPER(TRIM($E835)),Lists!$A$6:$A$205,0),0))</f>
        <v/>
      </c>
      <c r="BF835" s="56" t="str">
        <f>IF($AM835=0,"",IFERROR(MATCH($AF835,Settings!$B$14:$B$18,0),IFERROR(MATCH(Settings!$C$6,Settings!$B$14:$B$18,0),1)))</f>
        <v/>
      </c>
      <c r="BG835" s="58" t="str">
        <f>IF($AM835=0,"",IF(NOT(ISNUMBER($I835)),"No stop; ","")&amp;IF(AND(ISNUMBER($H835),ISNUMBER($I835)),IF(OR(AND($F835&lt;&gt;"Short",$I835&gt;=$H835),AND($F835="Short",$I835&lt;=$H835)),"Stop on wrong side; ",""),"")&amp;IF($F835="","No direction; ","")&amp;IF(AND(ISNUMBER(Settings!$C$22),ISNUMBER($V835)),IF($V835&gt;Settings!$C$22,"Risk over max $; ",""),"")&amp;IF(AND(ISNUMBER(Settings!$C$23),ISNUMBER($V835),ISNUMBER($AP835),IFERROR(N(INDEX(Accounts!$E$7:$E$16,MATCH($C835,Accounts!$B$7:$B$16,0))),0)&gt;0),IF($V835&gt;Settings!$C$23*($AP835-N($Q835)),"Risk over max %; ",""),"")&amp;IF(AND(ISNUMBER(Settings!$C$24),ISNUMBER($N835)),IF($N835&gt;Settings!$C$24,"Leverage over max; ",""),"")&amp;IF(AND(ISNUMBER(Settings!$C$27),ISNUMBER($T835)),IF($T835&lt;Settings!$C$27,"R:R below min; ",""),"")&amp;IF(ISNUMBER(Settings!$C$25),IF(COUNTIFS($A$6:$A835,$A835,$AM$6:$AM835,1)&gt;Settings!$C$25,"Over max trades/day; ",""),"")&amp;IF(ISNUMBER(Settings!$C$26),IF(SUMIFS($Q$5:$Q834,$A$5:$A834,$A835)&lt;=-Settings!$C$26,"Traded after daily max loss; ",""),"")&amp;IF(AND($AG835="",NOT(ISNUMBER($O835))),"Symbol not in Instruments; ","")&amp;IF(AND($AH835="",NOT(ISNUMBER($O835))),"Forex cross: type Gross P&amp;L; ",""))</f>
        <v/>
      </c>
      <c r="BH835" s="56">
        <f>IF(ISNUMBER($Q835),1,0)</f>
        <v>0</v>
      </c>
      <c r="BI835" s="56">
        <f>IF($Y835="",0,1)</f>
        <v>0</v>
      </c>
      <c r="BJ835" s="56">
        <f>IF($AB835="",0,1)</f>
        <v>0</v>
      </c>
      <c r="BK835" s="56">
        <f>IF(AND($BH835=1,$W835&lt;&gt;"OK"),1,0)</f>
        <v>0</v>
      </c>
      <c r="BL835" s="55">
        <f>IF(N($AZ835)=0,0,IFERROR(INDEX($AT$6:$AT$1005,MATCH($AZ835,$AY$6:$AY$1005,0)),0))</f>
        <v>1187.10688</v>
      </c>
      <c r="BM835" s="56">
        <f>IF(ISNUMBER(SEARCH("daily max loss",$BG835)),1,0)</f>
        <v>0</v>
      </c>
    </row>
    <row r="836" ht="18" customHeight="1">
      <c r="A836" s="38" t="n"/>
      <c r="B836" s="39" t="n"/>
      <c r="C836" s="40" t="n"/>
      <c r="D836" s="41" t="n"/>
      <c r="E836" s="41" t="n"/>
      <c r="F836" s="41" t="n"/>
      <c r="G836" s="41" t="n"/>
      <c r="H836" s="42" t="n"/>
      <c r="I836" s="42" t="n"/>
      <c r="J836" s="42" t="n"/>
      <c r="K836" s="42" t="n"/>
      <c r="L836" s="41" t="n"/>
      <c r="M836" s="41" t="n"/>
      <c r="N836" s="41" t="n"/>
      <c r="O836" s="43" t="n"/>
      <c r="P836" s="43" t="n"/>
      <c r="Q836" s="44" t="str">
        <f>IF($AM836=0,"",IF(ISNUMBER($AK836),$AK836-N($AL836),""))</f>
        <v/>
      </c>
      <c r="R836" s="45" t="str">
        <f>IF(OR($Q836="",NOT(ISNUMBER($V836))),"",$AK836/$V836)</f>
        <v/>
      </c>
      <c r="S836" s="46" t="str">
        <f>IF($Q836="","",IF(AND(ISNUMBER($R836),ABS(N($R836))&lt;N(Settings!$C$8)),"Scratch",IF($Q836&gt;0,"Win",IF($Q836&lt;0,"Loss","Scratch"))))</f>
        <v/>
      </c>
      <c r="T836" s="47" t="str">
        <f>IF(OR($AM836=0,NOT(ISNUMBER($H836)),NOT(ISNUMBER($I836)),NOT(ISNUMBER($J836))),"",IF($H836=$I836,"",ROUND(ABS($J836-$H836)/ABS($H836-$I836),6)))</f>
        <v/>
      </c>
      <c r="U836" s="48" t="str">
        <f>IF(OR($S836&lt;&gt;"Win",NOT(ISNUMBER($T836)),NOT(ISNUMBER($R836))),"",MAX(0,$T836-$R836))</f>
        <v/>
      </c>
      <c r="V836" s="49" t="str">
        <f>IF(OR($AM836=0,NOT(ISNUMBER($H836)),NOT(ISNUMBER($I836)),NOT(ISNUMBER($G836))),"",IF(OR($AG836="",$AH836=""),"",IF(ROUND(ABS($H836-$I836)*ABS($G836)*$AG836*$AH836,6)=0,"",ROUND(ABS($H836-$I836)*ABS($G836)*$AG836*$AH836,6))))</f>
        <v/>
      </c>
      <c r="W836" s="50" t="str">
        <f>IF($AM836=0,"",IF($BG836="","OK",LEFT($BG836,LEN($BG836)-2)))</f>
        <v/>
      </c>
      <c r="X836" s="41" t="n"/>
      <c r="Y836" s="40" t="n"/>
      <c r="Z836" s="41" t="n"/>
      <c r="AA836" s="41" t="n"/>
      <c r="AB836" s="40" t="n"/>
      <c r="AC836" s="51" t="n"/>
      <c r="AD836" s="51" t="n"/>
      <c r="AE836" s="40" t="n"/>
      <c r="AF836" s="52" t="str">
        <f>IF($AM836=0,"",IF($D836&lt;&gt;"",$D836,IF(IFERROR(INDEX(Accounts!$C$7:$C$16,MATCH($C836,Accounts!$B$7:$B$16,0))&amp;"","")&lt;&gt;"",INDEX(Accounts!$C$7:$C$16,MATCH($C836,Accounts!$B$7:$B$16,0)),Settings!$C$6)))</f>
        <v/>
      </c>
      <c r="AG836" s="53" t="str">
        <f>IF($AM836=0,"",IF(AND($BE836&gt;0,N(INDEX(Instruments!$D$6:$D$205,MAX(1,$BE836)))&gt;0),INDEX(Instruments!$D$6:$D$205,MAX(1,$BE836)),IF(N(INDEX(Settings!$D$14:$D$18,$BF836))&gt;0,INDEX(Settings!$D$14:$D$18,$BF836),"")))</f>
        <v/>
      </c>
      <c r="AH836" s="54" t="str">
        <f>IF($AM836=0,"",IF($AF836&lt;&gt;"Forex",1,IF(MID(UPPER(SUBSTITUTE(TRIM($E836),"/","")),4,3)=UPPER(TRIM(Settings!$C$7)),1,IF(LEFT(UPPER(SUBSTITUTE(TRIM($E836),"/","")),3)=UPPER(TRIM(Settings!$C$7)),IF(AND(ISNUMBER($K836),N($K836)&lt;&gt;0),1/$K836,""),""))))</f>
        <v/>
      </c>
      <c r="AI836" s="55" t="str">
        <f>IF($AM836=0,"",IF(OR(NOT(ISNUMBER($H836)),NOT(ISNUMBER($K836)),NOT(ISNUMBER($G836)),$AG836="",$AH836=""),"",ROUND(($K836-$H836)*IF($F836="Short",-1,1)*$G836*$AG836*$AH836,6)))</f>
        <v/>
      </c>
      <c r="AJ836" s="55" t="str">
        <f>IF($AM836=0,"",IF(INDEX(Settings!$E$14:$E$18,$BF836)="% of notional",IF(OR($AG836="",NOT(ISNUMBER($H836)),NOT(ISNUMBER($G836))),"",ROUND(ABS($H836*$G836*$AG836*N($AH836))*IF($L836="Limit",N(INDEX(Settings!$G$14:$G$18,$BF836)),N(INDEX(Settings!$H$14:$H$18,$BF836)))+IF(ISNUMBER($K836),ABS($K836*$G836*$AG836*N($AH836))*IF($M836="Target",N(INDEX(Settings!$G$14:$G$18,$BF836)),N(INDEX(Settings!$H$14:$H$18,$BF836))),0),6)),IF(NOT(ISNUMBER($G836)),"",ROUND(ABS($G836)*2*IF(AND($BE836&gt;0,ISNUMBER(INDEX(Instruments!$G$6:$G$205,MAX(1,$BE836)))),INDEX(Instruments!$G$6:$G$205,MAX(1,$BE836)),N(INDEX(Settings!$F$14:$F$18,$BF836))),6))))</f>
        <v/>
      </c>
      <c r="AK836" s="55" t="str">
        <f>IF($AM836=0,"",IF(ISNUMBER($O836),$O836,$AI836))</f>
        <v/>
      </c>
      <c r="AL836" s="55" t="str">
        <f>IF($AM836=0,"",IF(ISNUMBER($P836),$P836,N($AJ836)))</f>
        <v/>
      </c>
      <c r="AM836" s="56">
        <f>IF(AND($A836&lt;&gt;"",$E836&lt;&gt;"",OR(AND(ISNUMBER($G836),ISNUMBER($H836),ISNUMBER($K836)),ISNUMBER($O836))),1,0)</f>
        <v>0</v>
      </c>
      <c r="AN836" s="57" t="str">
        <f>IF($A836="","",$A836-WEEKDAY($A836,3))</f>
        <v/>
      </c>
      <c r="AO836" s="56" t="str">
        <f>IF($A836="","",WEEKDAY($A836,2))</f>
        <v/>
      </c>
      <c r="AP836" s="55" t="str">
        <f>IF(OR($AM836=0,$C836=""),"",IFERROR(N(INDEX(Accounts!$E$7:$E$16,MATCH($C836,Accounts!$B$7:$B$16,0))),0)+SUMIFS($Q$6:$Q836,$C$6:$C836,$C836))</f>
        <v/>
      </c>
      <c r="AQ836" s="55" t="str">
        <f>IF(OR($AM836=0,$C836=""),"",SUMIFS($Q$6:$Q$1005,$C$6:$C$1005,$C836,$A$6:$A$1005,$A836))</f>
        <v/>
      </c>
      <c r="AR836" s="55" t="str">
        <f>IF(OR($AM836=0,$C836=""),"",IFERROR(N(INDEX(Accounts!$E$7:$E$16,MATCH($C836,Accounts!$B$7:$B$16,0))),0)+SUMIFS($Q$6:$Q$1005,$C$6:$C$1005,$C836,$A$6:$A$1005,"&lt;="&amp;$A836))</f>
        <v/>
      </c>
      <c r="AS836" s="56">
        <f>IF(OR($AM836=0,$Q836=""),0,IF(AND($A836&gt;=Lists!$W$6,$A836&lt;=Lists!$W$7,OR(Dashboard!$D$6="All accounts",$C836=Dashboard!$D$6),OR(Dashboard!$D$7="All markets",$AF836=Dashboard!$D$7)),1,0))</f>
        <v>0</v>
      </c>
      <c r="AT836" s="55">
        <f>IF($AS836=1,N(AT835)+$Q836,N(AT835))</f>
        <v>1187.10688</v>
      </c>
      <c r="AU836" s="55">
        <f>MAX(N(AU835),$AT836)</f>
        <v>1187.10688</v>
      </c>
      <c r="AV836" s="55">
        <f>$AT836-$AU836</f>
        <v>0</v>
      </c>
      <c r="AW836" s="56">
        <f>IF($AS836=1,IF($S836="Win",N(AW835)+1,IF($S836="Loss",0,N(AW835))),N(AW835))</f>
        <v>5</v>
      </c>
      <c r="AX836" s="56">
        <f>IF($AS836=1,IF($S836="Loss",N(AX835)+1,IF($S836="Win",0,N(AX835))),N(AX835))</f>
        <v>0</v>
      </c>
      <c r="AY836" s="56" t="str">
        <f>IF($AS836=1,COUNTIF($AS$6:$AS836,1),"")</f>
        <v/>
      </c>
      <c r="AZ836" s="56">
        <f>MIN(830,N(Lists!$W$8))</f>
        <v>28</v>
      </c>
      <c r="BA836" s="56">
        <f>IF($AS836=1,IF(COUNTIFS($A$6:$A836,$A836,$AS$6:$AS836,1)=1,1,0),0)</f>
        <v>0</v>
      </c>
      <c r="BB836" s="55" t="str">
        <f>IF($BA836=1,SUMIFS($Q$6:$Q$1005,$A$6:$A$1005,$A836,$AS$6:$AS$1005,1),"")</f>
        <v/>
      </c>
      <c r="BC836" s="56">
        <f>IF(ISNUMBER($R836),1,0)</f>
        <v>0</v>
      </c>
      <c r="BD836" s="55" t="str">
        <f>IF(ISNUMBER($U836),$U836*$V836,"")</f>
        <v/>
      </c>
      <c r="BE836" s="56" t="str">
        <f>IF($AM836=0,"",IFERROR(MATCH($AF836&amp;"|"&amp;UPPER(TRIM($E836)),Lists!$A$6:$A$205,0),0))</f>
        <v/>
      </c>
      <c r="BF836" s="56" t="str">
        <f>IF($AM836=0,"",IFERROR(MATCH($AF836,Settings!$B$14:$B$18,0),IFERROR(MATCH(Settings!$C$6,Settings!$B$14:$B$18,0),1)))</f>
        <v/>
      </c>
      <c r="BG836" s="58" t="str">
        <f>IF($AM836=0,"",IF(NOT(ISNUMBER($I836)),"No stop; ","")&amp;IF(AND(ISNUMBER($H836),ISNUMBER($I836)),IF(OR(AND($F836&lt;&gt;"Short",$I836&gt;=$H836),AND($F836="Short",$I836&lt;=$H836)),"Stop on wrong side; ",""),"")&amp;IF($F836="","No direction; ","")&amp;IF(AND(ISNUMBER(Settings!$C$22),ISNUMBER($V836)),IF($V836&gt;Settings!$C$22,"Risk over max $; ",""),"")&amp;IF(AND(ISNUMBER(Settings!$C$23),ISNUMBER($V836),ISNUMBER($AP836),IFERROR(N(INDEX(Accounts!$E$7:$E$16,MATCH($C836,Accounts!$B$7:$B$16,0))),0)&gt;0),IF($V836&gt;Settings!$C$23*($AP836-N($Q836)),"Risk over max %; ",""),"")&amp;IF(AND(ISNUMBER(Settings!$C$24),ISNUMBER($N836)),IF($N836&gt;Settings!$C$24,"Leverage over max; ",""),"")&amp;IF(AND(ISNUMBER(Settings!$C$27),ISNUMBER($T836)),IF($T836&lt;Settings!$C$27,"R:R below min; ",""),"")&amp;IF(ISNUMBER(Settings!$C$25),IF(COUNTIFS($A$6:$A836,$A836,$AM$6:$AM836,1)&gt;Settings!$C$25,"Over max trades/day; ",""),"")&amp;IF(ISNUMBER(Settings!$C$26),IF(SUMIFS($Q$5:$Q835,$A$5:$A835,$A836)&lt;=-Settings!$C$26,"Traded after daily max loss; ",""),"")&amp;IF(AND($AG836="",NOT(ISNUMBER($O836))),"Symbol not in Instruments; ","")&amp;IF(AND($AH836="",NOT(ISNUMBER($O836))),"Forex cross: type Gross P&amp;L; ",""))</f>
        <v/>
      </c>
      <c r="BH836" s="56">
        <f>IF(ISNUMBER($Q836),1,0)</f>
        <v>0</v>
      </c>
      <c r="BI836" s="56">
        <f>IF($Y836="",0,1)</f>
        <v>0</v>
      </c>
      <c r="BJ836" s="56">
        <f>IF($AB836="",0,1)</f>
        <v>0</v>
      </c>
      <c r="BK836" s="56">
        <f>IF(AND($BH836=1,$W836&lt;&gt;"OK"),1,0)</f>
        <v>0</v>
      </c>
      <c r="BL836" s="55">
        <f>IF(N($AZ836)=0,0,IFERROR(INDEX($AT$6:$AT$1005,MATCH($AZ836,$AY$6:$AY$1005,0)),0))</f>
        <v>1187.10688</v>
      </c>
      <c r="BM836" s="56">
        <f>IF(ISNUMBER(SEARCH("daily max loss",$BG836)),1,0)</f>
        <v>0</v>
      </c>
    </row>
    <row r="837" ht="18" customHeight="1">
      <c r="A837" s="38" t="n"/>
      <c r="B837" s="39" t="n"/>
      <c r="C837" s="40" t="n"/>
      <c r="D837" s="41" t="n"/>
      <c r="E837" s="41" t="n"/>
      <c r="F837" s="41" t="n"/>
      <c r="G837" s="41" t="n"/>
      <c r="H837" s="42" t="n"/>
      <c r="I837" s="42" t="n"/>
      <c r="J837" s="42" t="n"/>
      <c r="K837" s="42" t="n"/>
      <c r="L837" s="41" t="n"/>
      <c r="M837" s="41" t="n"/>
      <c r="N837" s="41" t="n"/>
      <c r="O837" s="43" t="n"/>
      <c r="P837" s="43" t="n"/>
      <c r="Q837" s="44" t="str">
        <f>IF($AM837=0,"",IF(ISNUMBER($AK837),$AK837-N($AL837),""))</f>
        <v/>
      </c>
      <c r="R837" s="45" t="str">
        <f>IF(OR($Q837="",NOT(ISNUMBER($V837))),"",$AK837/$V837)</f>
        <v/>
      </c>
      <c r="S837" s="46" t="str">
        <f>IF($Q837="","",IF(AND(ISNUMBER($R837),ABS(N($R837))&lt;N(Settings!$C$8)),"Scratch",IF($Q837&gt;0,"Win",IF($Q837&lt;0,"Loss","Scratch"))))</f>
        <v/>
      </c>
      <c r="T837" s="47" t="str">
        <f>IF(OR($AM837=0,NOT(ISNUMBER($H837)),NOT(ISNUMBER($I837)),NOT(ISNUMBER($J837))),"",IF($H837=$I837,"",ROUND(ABS($J837-$H837)/ABS($H837-$I837),6)))</f>
        <v/>
      </c>
      <c r="U837" s="48" t="str">
        <f>IF(OR($S837&lt;&gt;"Win",NOT(ISNUMBER($T837)),NOT(ISNUMBER($R837))),"",MAX(0,$T837-$R837))</f>
        <v/>
      </c>
      <c r="V837" s="49" t="str">
        <f>IF(OR($AM837=0,NOT(ISNUMBER($H837)),NOT(ISNUMBER($I837)),NOT(ISNUMBER($G837))),"",IF(OR($AG837="",$AH837=""),"",IF(ROUND(ABS($H837-$I837)*ABS($G837)*$AG837*$AH837,6)=0,"",ROUND(ABS($H837-$I837)*ABS($G837)*$AG837*$AH837,6))))</f>
        <v/>
      </c>
      <c r="W837" s="50" t="str">
        <f>IF($AM837=0,"",IF($BG837="","OK",LEFT($BG837,LEN($BG837)-2)))</f>
        <v/>
      </c>
      <c r="X837" s="41" t="n"/>
      <c r="Y837" s="40" t="n"/>
      <c r="Z837" s="41" t="n"/>
      <c r="AA837" s="41" t="n"/>
      <c r="AB837" s="40" t="n"/>
      <c r="AC837" s="51" t="n"/>
      <c r="AD837" s="51" t="n"/>
      <c r="AE837" s="40" t="n"/>
      <c r="AF837" s="52" t="str">
        <f>IF($AM837=0,"",IF($D837&lt;&gt;"",$D837,IF(IFERROR(INDEX(Accounts!$C$7:$C$16,MATCH($C837,Accounts!$B$7:$B$16,0))&amp;"","")&lt;&gt;"",INDEX(Accounts!$C$7:$C$16,MATCH($C837,Accounts!$B$7:$B$16,0)),Settings!$C$6)))</f>
        <v/>
      </c>
      <c r="AG837" s="53" t="str">
        <f>IF($AM837=0,"",IF(AND($BE837&gt;0,N(INDEX(Instruments!$D$6:$D$205,MAX(1,$BE837)))&gt;0),INDEX(Instruments!$D$6:$D$205,MAX(1,$BE837)),IF(N(INDEX(Settings!$D$14:$D$18,$BF837))&gt;0,INDEX(Settings!$D$14:$D$18,$BF837),"")))</f>
        <v/>
      </c>
      <c r="AH837" s="54" t="str">
        <f>IF($AM837=0,"",IF($AF837&lt;&gt;"Forex",1,IF(MID(UPPER(SUBSTITUTE(TRIM($E837),"/","")),4,3)=UPPER(TRIM(Settings!$C$7)),1,IF(LEFT(UPPER(SUBSTITUTE(TRIM($E837),"/","")),3)=UPPER(TRIM(Settings!$C$7)),IF(AND(ISNUMBER($K837),N($K837)&lt;&gt;0),1/$K837,""),""))))</f>
        <v/>
      </c>
      <c r="AI837" s="55" t="str">
        <f>IF($AM837=0,"",IF(OR(NOT(ISNUMBER($H837)),NOT(ISNUMBER($K837)),NOT(ISNUMBER($G837)),$AG837="",$AH837=""),"",ROUND(($K837-$H837)*IF($F837="Short",-1,1)*$G837*$AG837*$AH837,6)))</f>
        <v/>
      </c>
      <c r="AJ837" s="55" t="str">
        <f>IF($AM837=0,"",IF(INDEX(Settings!$E$14:$E$18,$BF837)="% of notional",IF(OR($AG837="",NOT(ISNUMBER($H837)),NOT(ISNUMBER($G837))),"",ROUND(ABS($H837*$G837*$AG837*N($AH837))*IF($L837="Limit",N(INDEX(Settings!$G$14:$G$18,$BF837)),N(INDEX(Settings!$H$14:$H$18,$BF837)))+IF(ISNUMBER($K837),ABS($K837*$G837*$AG837*N($AH837))*IF($M837="Target",N(INDEX(Settings!$G$14:$G$18,$BF837)),N(INDEX(Settings!$H$14:$H$18,$BF837))),0),6)),IF(NOT(ISNUMBER($G837)),"",ROUND(ABS($G837)*2*IF(AND($BE837&gt;0,ISNUMBER(INDEX(Instruments!$G$6:$G$205,MAX(1,$BE837)))),INDEX(Instruments!$G$6:$G$205,MAX(1,$BE837)),N(INDEX(Settings!$F$14:$F$18,$BF837))),6))))</f>
        <v/>
      </c>
      <c r="AK837" s="55" t="str">
        <f>IF($AM837=0,"",IF(ISNUMBER($O837),$O837,$AI837))</f>
        <v/>
      </c>
      <c r="AL837" s="55" t="str">
        <f>IF($AM837=0,"",IF(ISNUMBER($P837),$P837,N($AJ837)))</f>
        <v/>
      </c>
      <c r="AM837" s="56">
        <f>IF(AND($A837&lt;&gt;"",$E837&lt;&gt;"",OR(AND(ISNUMBER($G837),ISNUMBER($H837),ISNUMBER($K837)),ISNUMBER($O837))),1,0)</f>
        <v>0</v>
      </c>
      <c r="AN837" s="57" t="str">
        <f>IF($A837="","",$A837-WEEKDAY($A837,3))</f>
        <v/>
      </c>
      <c r="AO837" s="56" t="str">
        <f>IF($A837="","",WEEKDAY($A837,2))</f>
        <v/>
      </c>
      <c r="AP837" s="55" t="str">
        <f>IF(OR($AM837=0,$C837=""),"",IFERROR(N(INDEX(Accounts!$E$7:$E$16,MATCH($C837,Accounts!$B$7:$B$16,0))),0)+SUMIFS($Q$6:$Q837,$C$6:$C837,$C837))</f>
        <v/>
      </c>
      <c r="AQ837" s="55" t="str">
        <f>IF(OR($AM837=0,$C837=""),"",SUMIFS($Q$6:$Q$1005,$C$6:$C$1005,$C837,$A$6:$A$1005,$A837))</f>
        <v/>
      </c>
      <c r="AR837" s="55" t="str">
        <f>IF(OR($AM837=0,$C837=""),"",IFERROR(N(INDEX(Accounts!$E$7:$E$16,MATCH($C837,Accounts!$B$7:$B$16,0))),0)+SUMIFS($Q$6:$Q$1005,$C$6:$C$1005,$C837,$A$6:$A$1005,"&lt;="&amp;$A837))</f>
        <v/>
      </c>
      <c r="AS837" s="56">
        <f>IF(OR($AM837=0,$Q837=""),0,IF(AND($A837&gt;=Lists!$W$6,$A837&lt;=Lists!$W$7,OR(Dashboard!$D$6="All accounts",$C837=Dashboard!$D$6),OR(Dashboard!$D$7="All markets",$AF837=Dashboard!$D$7)),1,0))</f>
        <v>0</v>
      </c>
      <c r="AT837" s="55">
        <f>IF($AS837=1,N(AT836)+$Q837,N(AT836))</f>
        <v>1187.10688</v>
      </c>
      <c r="AU837" s="55">
        <f>MAX(N(AU836),$AT837)</f>
        <v>1187.10688</v>
      </c>
      <c r="AV837" s="55">
        <f>$AT837-$AU837</f>
        <v>0</v>
      </c>
      <c r="AW837" s="56">
        <f>IF($AS837=1,IF($S837="Win",N(AW836)+1,IF($S837="Loss",0,N(AW836))),N(AW836))</f>
        <v>5</v>
      </c>
      <c r="AX837" s="56">
        <f>IF($AS837=1,IF($S837="Loss",N(AX836)+1,IF($S837="Win",0,N(AX836))),N(AX836))</f>
        <v>0</v>
      </c>
      <c r="AY837" s="56" t="str">
        <f>IF($AS837=1,COUNTIF($AS$6:$AS837,1),"")</f>
        <v/>
      </c>
      <c r="AZ837" s="56">
        <f>MIN(831,N(Lists!$W$8))</f>
        <v>28</v>
      </c>
      <c r="BA837" s="56">
        <f>IF($AS837=1,IF(COUNTIFS($A$6:$A837,$A837,$AS$6:$AS837,1)=1,1,0),0)</f>
        <v>0</v>
      </c>
      <c r="BB837" s="55" t="str">
        <f>IF($BA837=1,SUMIFS($Q$6:$Q$1005,$A$6:$A$1005,$A837,$AS$6:$AS$1005,1),"")</f>
        <v/>
      </c>
      <c r="BC837" s="56">
        <f>IF(ISNUMBER($R837),1,0)</f>
        <v>0</v>
      </c>
      <c r="BD837" s="55" t="str">
        <f>IF(ISNUMBER($U837),$U837*$V837,"")</f>
        <v/>
      </c>
      <c r="BE837" s="56" t="str">
        <f>IF($AM837=0,"",IFERROR(MATCH($AF837&amp;"|"&amp;UPPER(TRIM($E837)),Lists!$A$6:$A$205,0),0))</f>
        <v/>
      </c>
      <c r="BF837" s="56" t="str">
        <f>IF($AM837=0,"",IFERROR(MATCH($AF837,Settings!$B$14:$B$18,0),IFERROR(MATCH(Settings!$C$6,Settings!$B$14:$B$18,0),1)))</f>
        <v/>
      </c>
      <c r="BG837" s="58" t="str">
        <f>IF($AM837=0,"",IF(NOT(ISNUMBER($I837)),"No stop; ","")&amp;IF(AND(ISNUMBER($H837),ISNUMBER($I837)),IF(OR(AND($F837&lt;&gt;"Short",$I837&gt;=$H837),AND($F837="Short",$I837&lt;=$H837)),"Stop on wrong side; ",""),"")&amp;IF($F837="","No direction; ","")&amp;IF(AND(ISNUMBER(Settings!$C$22),ISNUMBER($V837)),IF($V837&gt;Settings!$C$22,"Risk over max $; ",""),"")&amp;IF(AND(ISNUMBER(Settings!$C$23),ISNUMBER($V837),ISNUMBER($AP837),IFERROR(N(INDEX(Accounts!$E$7:$E$16,MATCH($C837,Accounts!$B$7:$B$16,0))),0)&gt;0),IF($V837&gt;Settings!$C$23*($AP837-N($Q837)),"Risk over max %; ",""),"")&amp;IF(AND(ISNUMBER(Settings!$C$24),ISNUMBER($N837)),IF($N837&gt;Settings!$C$24,"Leverage over max; ",""),"")&amp;IF(AND(ISNUMBER(Settings!$C$27),ISNUMBER($T837)),IF($T837&lt;Settings!$C$27,"R:R below min; ",""),"")&amp;IF(ISNUMBER(Settings!$C$25),IF(COUNTIFS($A$6:$A837,$A837,$AM$6:$AM837,1)&gt;Settings!$C$25,"Over max trades/day; ",""),"")&amp;IF(ISNUMBER(Settings!$C$26),IF(SUMIFS($Q$5:$Q836,$A$5:$A836,$A837)&lt;=-Settings!$C$26,"Traded after daily max loss; ",""),"")&amp;IF(AND($AG837="",NOT(ISNUMBER($O837))),"Symbol not in Instruments; ","")&amp;IF(AND($AH837="",NOT(ISNUMBER($O837))),"Forex cross: type Gross P&amp;L; ",""))</f>
        <v/>
      </c>
      <c r="BH837" s="56">
        <f>IF(ISNUMBER($Q837),1,0)</f>
        <v>0</v>
      </c>
      <c r="BI837" s="56">
        <f>IF($Y837="",0,1)</f>
        <v>0</v>
      </c>
      <c r="BJ837" s="56">
        <f>IF($AB837="",0,1)</f>
        <v>0</v>
      </c>
      <c r="BK837" s="56">
        <f>IF(AND($BH837=1,$W837&lt;&gt;"OK"),1,0)</f>
        <v>0</v>
      </c>
      <c r="BL837" s="55">
        <f>IF(N($AZ837)=0,0,IFERROR(INDEX($AT$6:$AT$1005,MATCH($AZ837,$AY$6:$AY$1005,0)),0))</f>
        <v>1187.10688</v>
      </c>
      <c r="BM837" s="56">
        <f>IF(ISNUMBER(SEARCH("daily max loss",$BG837)),1,0)</f>
        <v>0</v>
      </c>
    </row>
    <row r="838" ht="18" customHeight="1">
      <c r="A838" s="38" t="n"/>
      <c r="B838" s="39" t="n"/>
      <c r="C838" s="40" t="n"/>
      <c r="D838" s="41" t="n"/>
      <c r="E838" s="41" t="n"/>
      <c r="F838" s="41" t="n"/>
      <c r="G838" s="41" t="n"/>
      <c r="H838" s="42" t="n"/>
      <c r="I838" s="42" t="n"/>
      <c r="J838" s="42" t="n"/>
      <c r="K838" s="42" t="n"/>
      <c r="L838" s="41" t="n"/>
      <c r="M838" s="41" t="n"/>
      <c r="N838" s="41" t="n"/>
      <c r="O838" s="43" t="n"/>
      <c r="P838" s="43" t="n"/>
      <c r="Q838" s="44" t="str">
        <f>IF($AM838=0,"",IF(ISNUMBER($AK838),$AK838-N($AL838),""))</f>
        <v/>
      </c>
      <c r="R838" s="45" t="str">
        <f>IF(OR($Q838="",NOT(ISNUMBER($V838))),"",$AK838/$V838)</f>
        <v/>
      </c>
      <c r="S838" s="46" t="str">
        <f>IF($Q838="","",IF(AND(ISNUMBER($R838),ABS(N($R838))&lt;N(Settings!$C$8)),"Scratch",IF($Q838&gt;0,"Win",IF($Q838&lt;0,"Loss","Scratch"))))</f>
        <v/>
      </c>
      <c r="T838" s="47" t="str">
        <f>IF(OR($AM838=0,NOT(ISNUMBER($H838)),NOT(ISNUMBER($I838)),NOT(ISNUMBER($J838))),"",IF($H838=$I838,"",ROUND(ABS($J838-$H838)/ABS($H838-$I838),6)))</f>
        <v/>
      </c>
      <c r="U838" s="48" t="str">
        <f>IF(OR($S838&lt;&gt;"Win",NOT(ISNUMBER($T838)),NOT(ISNUMBER($R838))),"",MAX(0,$T838-$R838))</f>
        <v/>
      </c>
      <c r="V838" s="49" t="str">
        <f>IF(OR($AM838=0,NOT(ISNUMBER($H838)),NOT(ISNUMBER($I838)),NOT(ISNUMBER($G838))),"",IF(OR($AG838="",$AH838=""),"",IF(ROUND(ABS($H838-$I838)*ABS($G838)*$AG838*$AH838,6)=0,"",ROUND(ABS($H838-$I838)*ABS($G838)*$AG838*$AH838,6))))</f>
        <v/>
      </c>
      <c r="W838" s="50" t="str">
        <f>IF($AM838=0,"",IF($BG838="","OK",LEFT($BG838,LEN($BG838)-2)))</f>
        <v/>
      </c>
      <c r="X838" s="41" t="n"/>
      <c r="Y838" s="40" t="n"/>
      <c r="Z838" s="41" t="n"/>
      <c r="AA838" s="41" t="n"/>
      <c r="AB838" s="40" t="n"/>
      <c r="AC838" s="51" t="n"/>
      <c r="AD838" s="51" t="n"/>
      <c r="AE838" s="40" t="n"/>
      <c r="AF838" s="52" t="str">
        <f>IF($AM838=0,"",IF($D838&lt;&gt;"",$D838,IF(IFERROR(INDEX(Accounts!$C$7:$C$16,MATCH($C838,Accounts!$B$7:$B$16,0))&amp;"","")&lt;&gt;"",INDEX(Accounts!$C$7:$C$16,MATCH($C838,Accounts!$B$7:$B$16,0)),Settings!$C$6)))</f>
        <v/>
      </c>
      <c r="AG838" s="53" t="str">
        <f>IF($AM838=0,"",IF(AND($BE838&gt;0,N(INDEX(Instruments!$D$6:$D$205,MAX(1,$BE838)))&gt;0),INDEX(Instruments!$D$6:$D$205,MAX(1,$BE838)),IF(N(INDEX(Settings!$D$14:$D$18,$BF838))&gt;0,INDEX(Settings!$D$14:$D$18,$BF838),"")))</f>
        <v/>
      </c>
      <c r="AH838" s="54" t="str">
        <f>IF($AM838=0,"",IF($AF838&lt;&gt;"Forex",1,IF(MID(UPPER(SUBSTITUTE(TRIM($E838),"/","")),4,3)=UPPER(TRIM(Settings!$C$7)),1,IF(LEFT(UPPER(SUBSTITUTE(TRIM($E838),"/","")),3)=UPPER(TRIM(Settings!$C$7)),IF(AND(ISNUMBER($K838),N($K838)&lt;&gt;0),1/$K838,""),""))))</f>
        <v/>
      </c>
      <c r="AI838" s="55" t="str">
        <f>IF($AM838=0,"",IF(OR(NOT(ISNUMBER($H838)),NOT(ISNUMBER($K838)),NOT(ISNUMBER($G838)),$AG838="",$AH838=""),"",ROUND(($K838-$H838)*IF($F838="Short",-1,1)*$G838*$AG838*$AH838,6)))</f>
        <v/>
      </c>
      <c r="AJ838" s="55" t="str">
        <f>IF($AM838=0,"",IF(INDEX(Settings!$E$14:$E$18,$BF838)="% of notional",IF(OR($AG838="",NOT(ISNUMBER($H838)),NOT(ISNUMBER($G838))),"",ROUND(ABS($H838*$G838*$AG838*N($AH838))*IF($L838="Limit",N(INDEX(Settings!$G$14:$G$18,$BF838)),N(INDEX(Settings!$H$14:$H$18,$BF838)))+IF(ISNUMBER($K838),ABS($K838*$G838*$AG838*N($AH838))*IF($M838="Target",N(INDEX(Settings!$G$14:$G$18,$BF838)),N(INDEX(Settings!$H$14:$H$18,$BF838))),0),6)),IF(NOT(ISNUMBER($G838)),"",ROUND(ABS($G838)*2*IF(AND($BE838&gt;0,ISNUMBER(INDEX(Instruments!$G$6:$G$205,MAX(1,$BE838)))),INDEX(Instruments!$G$6:$G$205,MAX(1,$BE838)),N(INDEX(Settings!$F$14:$F$18,$BF838))),6))))</f>
        <v/>
      </c>
      <c r="AK838" s="55" t="str">
        <f>IF($AM838=0,"",IF(ISNUMBER($O838),$O838,$AI838))</f>
        <v/>
      </c>
      <c r="AL838" s="55" t="str">
        <f>IF($AM838=0,"",IF(ISNUMBER($P838),$P838,N($AJ838)))</f>
        <v/>
      </c>
      <c r="AM838" s="56">
        <f>IF(AND($A838&lt;&gt;"",$E838&lt;&gt;"",OR(AND(ISNUMBER($G838),ISNUMBER($H838),ISNUMBER($K838)),ISNUMBER($O838))),1,0)</f>
        <v>0</v>
      </c>
      <c r="AN838" s="57" t="str">
        <f>IF($A838="","",$A838-WEEKDAY($A838,3))</f>
        <v/>
      </c>
      <c r="AO838" s="56" t="str">
        <f>IF($A838="","",WEEKDAY($A838,2))</f>
        <v/>
      </c>
      <c r="AP838" s="55" t="str">
        <f>IF(OR($AM838=0,$C838=""),"",IFERROR(N(INDEX(Accounts!$E$7:$E$16,MATCH($C838,Accounts!$B$7:$B$16,0))),0)+SUMIFS($Q$6:$Q838,$C$6:$C838,$C838))</f>
        <v/>
      </c>
      <c r="AQ838" s="55" t="str">
        <f>IF(OR($AM838=0,$C838=""),"",SUMIFS($Q$6:$Q$1005,$C$6:$C$1005,$C838,$A$6:$A$1005,$A838))</f>
        <v/>
      </c>
      <c r="AR838" s="55" t="str">
        <f>IF(OR($AM838=0,$C838=""),"",IFERROR(N(INDEX(Accounts!$E$7:$E$16,MATCH($C838,Accounts!$B$7:$B$16,0))),0)+SUMIFS($Q$6:$Q$1005,$C$6:$C$1005,$C838,$A$6:$A$1005,"&lt;="&amp;$A838))</f>
        <v/>
      </c>
      <c r="AS838" s="56">
        <f>IF(OR($AM838=0,$Q838=""),0,IF(AND($A838&gt;=Lists!$W$6,$A838&lt;=Lists!$W$7,OR(Dashboard!$D$6="All accounts",$C838=Dashboard!$D$6),OR(Dashboard!$D$7="All markets",$AF838=Dashboard!$D$7)),1,0))</f>
        <v>0</v>
      </c>
      <c r="AT838" s="55">
        <f>IF($AS838=1,N(AT837)+$Q838,N(AT837))</f>
        <v>1187.10688</v>
      </c>
      <c r="AU838" s="55">
        <f>MAX(N(AU837),$AT838)</f>
        <v>1187.10688</v>
      </c>
      <c r="AV838" s="55">
        <f>$AT838-$AU838</f>
        <v>0</v>
      </c>
      <c r="AW838" s="56">
        <f>IF($AS838=1,IF($S838="Win",N(AW837)+1,IF($S838="Loss",0,N(AW837))),N(AW837))</f>
        <v>5</v>
      </c>
      <c r="AX838" s="56">
        <f>IF($AS838=1,IF($S838="Loss",N(AX837)+1,IF($S838="Win",0,N(AX837))),N(AX837))</f>
        <v>0</v>
      </c>
      <c r="AY838" s="56" t="str">
        <f>IF($AS838=1,COUNTIF($AS$6:$AS838,1),"")</f>
        <v/>
      </c>
      <c r="AZ838" s="56">
        <f>MIN(832,N(Lists!$W$8))</f>
        <v>28</v>
      </c>
      <c r="BA838" s="56">
        <f>IF($AS838=1,IF(COUNTIFS($A$6:$A838,$A838,$AS$6:$AS838,1)=1,1,0),0)</f>
        <v>0</v>
      </c>
      <c r="BB838" s="55" t="str">
        <f>IF($BA838=1,SUMIFS($Q$6:$Q$1005,$A$6:$A$1005,$A838,$AS$6:$AS$1005,1),"")</f>
        <v/>
      </c>
      <c r="BC838" s="56">
        <f>IF(ISNUMBER($R838),1,0)</f>
        <v>0</v>
      </c>
      <c r="BD838" s="55" t="str">
        <f>IF(ISNUMBER($U838),$U838*$V838,"")</f>
        <v/>
      </c>
      <c r="BE838" s="56" t="str">
        <f>IF($AM838=0,"",IFERROR(MATCH($AF838&amp;"|"&amp;UPPER(TRIM($E838)),Lists!$A$6:$A$205,0),0))</f>
        <v/>
      </c>
      <c r="BF838" s="56" t="str">
        <f>IF($AM838=0,"",IFERROR(MATCH($AF838,Settings!$B$14:$B$18,0),IFERROR(MATCH(Settings!$C$6,Settings!$B$14:$B$18,0),1)))</f>
        <v/>
      </c>
      <c r="BG838" s="58" t="str">
        <f>IF($AM838=0,"",IF(NOT(ISNUMBER($I838)),"No stop; ","")&amp;IF(AND(ISNUMBER($H838),ISNUMBER($I838)),IF(OR(AND($F838&lt;&gt;"Short",$I838&gt;=$H838),AND($F838="Short",$I838&lt;=$H838)),"Stop on wrong side; ",""),"")&amp;IF($F838="","No direction; ","")&amp;IF(AND(ISNUMBER(Settings!$C$22),ISNUMBER($V838)),IF($V838&gt;Settings!$C$22,"Risk over max $; ",""),"")&amp;IF(AND(ISNUMBER(Settings!$C$23),ISNUMBER($V838),ISNUMBER($AP838),IFERROR(N(INDEX(Accounts!$E$7:$E$16,MATCH($C838,Accounts!$B$7:$B$16,0))),0)&gt;0),IF($V838&gt;Settings!$C$23*($AP838-N($Q838)),"Risk over max %; ",""),"")&amp;IF(AND(ISNUMBER(Settings!$C$24),ISNUMBER($N838)),IF($N838&gt;Settings!$C$24,"Leverage over max; ",""),"")&amp;IF(AND(ISNUMBER(Settings!$C$27),ISNUMBER($T838)),IF($T838&lt;Settings!$C$27,"R:R below min; ",""),"")&amp;IF(ISNUMBER(Settings!$C$25),IF(COUNTIFS($A$6:$A838,$A838,$AM$6:$AM838,1)&gt;Settings!$C$25,"Over max trades/day; ",""),"")&amp;IF(ISNUMBER(Settings!$C$26),IF(SUMIFS($Q$5:$Q837,$A$5:$A837,$A838)&lt;=-Settings!$C$26,"Traded after daily max loss; ",""),"")&amp;IF(AND($AG838="",NOT(ISNUMBER($O838))),"Symbol not in Instruments; ","")&amp;IF(AND($AH838="",NOT(ISNUMBER($O838))),"Forex cross: type Gross P&amp;L; ",""))</f>
        <v/>
      </c>
      <c r="BH838" s="56">
        <f>IF(ISNUMBER($Q838),1,0)</f>
        <v>0</v>
      </c>
      <c r="BI838" s="56">
        <f>IF($Y838="",0,1)</f>
        <v>0</v>
      </c>
      <c r="BJ838" s="56">
        <f>IF($AB838="",0,1)</f>
        <v>0</v>
      </c>
      <c r="BK838" s="56">
        <f>IF(AND($BH838=1,$W838&lt;&gt;"OK"),1,0)</f>
        <v>0</v>
      </c>
      <c r="BL838" s="55">
        <f>IF(N($AZ838)=0,0,IFERROR(INDEX($AT$6:$AT$1005,MATCH($AZ838,$AY$6:$AY$1005,0)),0))</f>
        <v>1187.10688</v>
      </c>
      <c r="BM838" s="56">
        <f>IF(ISNUMBER(SEARCH("daily max loss",$BG838)),1,0)</f>
        <v>0</v>
      </c>
    </row>
    <row r="839" ht="18" customHeight="1">
      <c r="A839" s="38" t="n"/>
      <c r="B839" s="39" t="n"/>
      <c r="C839" s="40" t="n"/>
      <c r="D839" s="41" t="n"/>
      <c r="E839" s="41" t="n"/>
      <c r="F839" s="41" t="n"/>
      <c r="G839" s="41" t="n"/>
      <c r="H839" s="42" t="n"/>
      <c r="I839" s="42" t="n"/>
      <c r="J839" s="42" t="n"/>
      <c r="K839" s="42" t="n"/>
      <c r="L839" s="41" t="n"/>
      <c r="M839" s="41" t="n"/>
      <c r="N839" s="41" t="n"/>
      <c r="O839" s="43" t="n"/>
      <c r="P839" s="43" t="n"/>
      <c r="Q839" s="44" t="str">
        <f>IF($AM839=0,"",IF(ISNUMBER($AK839),$AK839-N($AL839),""))</f>
        <v/>
      </c>
      <c r="R839" s="45" t="str">
        <f>IF(OR($Q839="",NOT(ISNUMBER($V839))),"",$AK839/$V839)</f>
        <v/>
      </c>
      <c r="S839" s="46" t="str">
        <f>IF($Q839="","",IF(AND(ISNUMBER($R839),ABS(N($R839))&lt;N(Settings!$C$8)),"Scratch",IF($Q839&gt;0,"Win",IF($Q839&lt;0,"Loss","Scratch"))))</f>
        <v/>
      </c>
      <c r="T839" s="47" t="str">
        <f>IF(OR($AM839=0,NOT(ISNUMBER($H839)),NOT(ISNUMBER($I839)),NOT(ISNUMBER($J839))),"",IF($H839=$I839,"",ROUND(ABS($J839-$H839)/ABS($H839-$I839),6)))</f>
        <v/>
      </c>
      <c r="U839" s="48" t="str">
        <f>IF(OR($S839&lt;&gt;"Win",NOT(ISNUMBER($T839)),NOT(ISNUMBER($R839))),"",MAX(0,$T839-$R839))</f>
        <v/>
      </c>
      <c r="V839" s="49" t="str">
        <f>IF(OR($AM839=0,NOT(ISNUMBER($H839)),NOT(ISNUMBER($I839)),NOT(ISNUMBER($G839))),"",IF(OR($AG839="",$AH839=""),"",IF(ROUND(ABS($H839-$I839)*ABS($G839)*$AG839*$AH839,6)=0,"",ROUND(ABS($H839-$I839)*ABS($G839)*$AG839*$AH839,6))))</f>
        <v/>
      </c>
      <c r="W839" s="50" t="str">
        <f>IF($AM839=0,"",IF($BG839="","OK",LEFT($BG839,LEN($BG839)-2)))</f>
        <v/>
      </c>
      <c r="X839" s="41" t="n"/>
      <c r="Y839" s="40" t="n"/>
      <c r="Z839" s="41" t="n"/>
      <c r="AA839" s="41" t="n"/>
      <c r="AB839" s="40" t="n"/>
      <c r="AC839" s="51" t="n"/>
      <c r="AD839" s="51" t="n"/>
      <c r="AE839" s="40" t="n"/>
      <c r="AF839" s="52" t="str">
        <f>IF($AM839=0,"",IF($D839&lt;&gt;"",$D839,IF(IFERROR(INDEX(Accounts!$C$7:$C$16,MATCH($C839,Accounts!$B$7:$B$16,0))&amp;"","")&lt;&gt;"",INDEX(Accounts!$C$7:$C$16,MATCH($C839,Accounts!$B$7:$B$16,0)),Settings!$C$6)))</f>
        <v/>
      </c>
      <c r="AG839" s="53" t="str">
        <f>IF($AM839=0,"",IF(AND($BE839&gt;0,N(INDEX(Instruments!$D$6:$D$205,MAX(1,$BE839)))&gt;0),INDEX(Instruments!$D$6:$D$205,MAX(1,$BE839)),IF(N(INDEX(Settings!$D$14:$D$18,$BF839))&gt;0,INDEX(Settings!$D$14:$D$18,$BF839),"")))</f>
        <v/>
      </c>
      <c r="AH839" s="54" t="str">
        <f>IF($AM839=0,"",IF($AF839&lt;&gt;"Forex",1,IF(MID(UPPER(SUBSTITUTE(TRIM($E839),"/","")),4,3)=UPPER(TRIM(Settings!$C$7)),1,IF(LEFT(UPPER(SUBSTITUTE(TRIM($E839),"/","")),3)=UPPER(TRIM(Settings!$C$7)),IF(AND(ISNUMBER($K839),N($K839)&lt;&gt;0),1/$K839,""),""))))</f>
        <v/>
      </c>
      <c r="AI839" s="55" t="str">
        <f>IF($AM839=0,"",IF(OR(NOT(ISNUMBER($H839)),NOT(ISNUMBER($K839)),NOT(ISNUMBER($G839)),$AG839="",$AH839=""),"",ROUND(($K839-$H839)*IF($F839="Short",-1,1)*$G839*$AG839*$AH839,6)))</f>
        <v/>
      </c>
      <c r="AJ839" s="55" t="str">
        <f>IF($AM839=0,"",IF(INDEX(Settings!$E$14:$E$18,$BF839)="% of notional",IF(OR($AG839="",NOT(ISNUMBER($H839)),NOT(ISNUMBER($G839))),"",ROUND(ABS($H839*$G839*$AG839*N($AH839))*IF($L839="Limit",N(INDEX(Settings!$G$14:$G$18,$BF839)),N(INDEX(Settings!$H$14:$H$18,$BF839)))+IF(ISNUMBER($K839),ABS($K839*$G839*$AG839*N($AH839))*IF($M839="Target",N(INDEX(Settings!$G$14:$G$18,$BF839)),N(INDEX(Settings!$H$14:$H$18,$BF839))),0),6)),IF(NOT(ISNUMBER($G839)),"",ROUND(ABS($G839)*2*IF(AND($BE839&gt;0,ISNUMBER(INDEX(Instruments!$G$6:$G$205,MAX(1,$BE839)))),INDEX(Instruments!$G$6:$G$205,MAX(1,$BE839)),N(INDEX(Settings!$F$14:$F$18,$BF839))),6))))</f>
        <v/>
      </c>
      <c r="AK839" s="55" t="str">
        <f>IF($AM839=0,"",IF(ISNUMBER($O839),$O839,$AI839))</f>
        <v/>
      </c>
      <c r="AL839" s="55" t="str">
        <f>IF($AM839=0,"",IF(ISNUMBER($P839),$P839,N($AJ839)))</f>
        <v/>
      </c>
      <c r="AM839" s="56">
        <f>IF(AND($A839&lt;&gt;"",$E839&lt;&gt;"",OR(AND(ISNUMBER($G839),ISNUMBER($H839),ISNUMBER($K839)),ISNUMBER($O839))),1,0)</f>
        <v>0</v>
      </c>
      <c r="AN839" s="57" t="str">
        <f>IF($A839="","",$A839-WEEKDAY($A839,3))</f>
        <v/>
      </c>
      <c r="AO839" s="56" t="str">
        <f>IF($A839="","",WEEKDAY($A839,2))</f>
        <v/>
      </c>
      <c r="AP839" s="55" t="str">
        <f>IF(OR($AM839=0,$C839=""),"",IFERROR(N(INDEX(Accounts!$E$7:$E$16,MATCH($C839,Accounts!$B$7:$B$16,0))),0)+SUMIFS($Q$6:$Q839,$C$6:$C839,$C839))</f>
        <v/>
      </c>
      <c r="AQ839" s="55" t="str">
        <f>IF(OR($AM839=0,$C839=""),"",SUMIFS($Q$6:$Q$1005,$C$6:$C$1005,$C839,$A$6:$A$1005,$A839))</f>
        <v/>
      </c>
      <c r="AR839" s="55" t="str">
        <f>IF(OR($AM839=0,$C839=""),"",IFERROR(N(INDEX(Accounts!$E$7:$E$16,MATCH($C839,Accounts!$B$7:$B$16,0))),0)+SUMIFS($Q$6:$Q$1005,$C$6:$C$1005,$C839,$A$6:$A$1005,"&lt;="&amp;$A839))</f>
        <v/>
      </c>
      <c r="AS839" s="56">
        <f>IF(OR($AM839=0,$Q839=""),0,IF(AND($A839&gt;=Lists!$W$6,$A839&lt;=Lists!$W$7,OR(Dashboard!$D$6="All accounts",$C839=Dashboard!$D$6),OR(Dashboard!$D$7="All markets",$AF839=Dashboard!$D$7)),1,0))</f>
        <v>0</v>
      </c>
      <c r="AT839" s="55">
        <f>IF($AS839=1,N(AT838)+$Q839,N(AT838))</f>
        <v>1187.10688</v>
      </c>
      <c r="AU839" s="55">
        <f>MAX(N(AU838),$AT839)</f>
        <v>1187.10688</v>
      </c>
      <c r="AV839" s="55">
        <f>$AT839-$AU839</f>
        <v>0</v>
      </c>
      <c r="AW839" s="56">
        <f>IF($AS839=1,IF($S839="Win",N(AW838)+1,IF($S839="Loss",0,N(AW838))),N(AW838))</f>
        <v>5</v>
      </c>
      <c r="AX839" s="56">
        <f>IF($AS839=1,IF($S839="Loss",N(AX838)+1,IF($S839="Win",0,N(AX838))),N(AX838))</f>
        <v>0</v>
      </c>
      <c r="AY839" s="56" t="str">
        <f>IF($AS839=1,COUNTIF($AS$6:$AS839,1),"")</f>
        <v/>
      </c>
      <c r="AZ839" s="56">
        <f>MIN(833,N(Lists!$W$8))</f>
        <v>28</v>
      </c>
      <c r="BA839" s="56">
        <f>IF($AS839=1,IF(COUNTIFS($A$6:$A839,$A839,$AS$6:$AS839,1)=1,1,0),0)</f>
        <v>0</v>
      </c>
      <c r="BB839" s="55" t="str">
        <f>IF($BA839=1,SUMIFS($Q$6:$Q$1005,$A$6:$A$1005,$A839,$AS$6:$AS$1005,1),"")</f>
        <v/>
      </c>
      <c r="BC839" s="56">
        <f>IF(ISNUMBER($R839),1,0)</f>
        <v>0</v>
      </c>
      <c r="BD839" s="55" t="str">
        <f>IF(ISNUMBER($U839),$U839*$V839,"")</f>
        <v/>
      </c>
      <c r="BE839" s="56" t="str">
        <f>IF($AM839=0,"",IFERROR(MATCH($AF839&amp;"|"&amp;UPPER(TRIM($E839)),Lists!$A$6:$A$205,0),0))</f>
        <v/>
      </c>
      <c r="BF839" s="56" t="str">
        <f>IF($AM839=0,"",IFERROR(MATCH($AF839,Settings!$B$14:$B$18,0),IFERROR(MATCH(Settings!$C$6,Settings!$B$14:$B$18,0),1)))</f>
        <v/>
      </c>
      <c r="BG839" s="58" t="str">
        <f>IF($AM839=0,"",IF(NOT(ISNUMBER($I839)),"No stop; ","")&amp;IF(AND(ISNUMBER($H839),ISNUMBER($I839)),IF(OR(AND($F839&lt;&gt;"Short",$I839&gt;=$H839),AND($F839="Short",$I839&lt;=$H839)),"Stop on wrong side; ",""),"")&amp;IF($F839="","No direction; ","")&amp;IF(AND(ISNUMBER(Settings!$C$22),ISNUMBER($V839)),IF($V839&gt;Settings!$C$22,"Risk over max $; ",""),"")&amp;IF(AND(ISNUMBER(Settings!$C$23),ISNUMBER($V839),ISNUMBER($AP839),IFERROR(N(INDEX(Accounts!$E$7:$E$16,MATCH($C839,Accounts!$B$7:$B$16,0))),0)&gt;0),IF($V839&gt;Settings!$C$23*($AP839-N($Q839)),"Risk over max %; ",""),"")&amp;IF(AND(ISNUMBER(Settings!$C$24),ISNUMBER($N839)),IF($N839&gt;Settings!$C$24,"Leverage over max; ",""),"")&amp;IF(AND(ISNUMBER(Settings!$C$27),ISNUMBER($T839)),IF($T839&lt;Settings!$C$27,"R:R below min; ",""),"")&amp;IF(ISNUMBER(Settings!$C$25),IF(COUNTIFS($A$6:$A839,$A839,$AM$6:$AM839,1)&gt;Settings!$C$25,"Over max trades/day; ",""),"")&amp;IF(ISNUMBER(Settings!$C$26),IF(SUMIFS($Q$5:$Q838,$A$5:$A838,$A839)&lt;=-Settings!$C$26,"Traded after daily max loss; ",""),"")&amp;IF(AND($AG839="",NOT(ISNUMBER($O839))),"Symbol not in Instruments; ","")&amp;IF(AND($AH839="",NOT(ISNUMBER($O839))),"Forex cross: type Gross P&amp;L; ",""))</f>
        <v/>
      </c>
      <c r="BH839" s="56">
        <f>IF(ISNUMBER($Q839),1,0)</f>
        <v>0</v>
      </c>
      <c r="BI839" s="56">
        <f>IF($Y839="",0,1)</f>
        <v>0</v>
      </c>
      <c r="BJ839" s="56">
        <f>IF($AB839="",0,1)</f>
        <v>0</v>
      </c>
      <c r="BK839" s="56">
        <f>IF(AND($BH839=1,$W839&lt;&gt;"OK"),1,0)</f>
        <v>0</v>
      </c>
      <c r="BL839" s="55">
        <f>IF(N($AZ839)=0,0,IFERROR(INDEX($AT$6:$AT$1005,MATCH($AZ839,$AY$6:$AY$1005,0)),0))</f>
        <v>1187.10688</v>
      </c>
      <c r="BM839" s="56">
        <f>IF(ISNUMBER(SEARCH("daily max loss",$BG839)),1,0)</f>
        <v>0</v>
      </c>
    </row>
    <row r="840" ht="18" customHeight="1">
      <c r="A840" s="38" t="n"/>
      <c r="B840" s="39" t="n"/>
      <c r="C840" s="40" t="n"/>
      <c r="D840" s="41" t="n"/>
      <c r="E840" s="41" t="n"/>
      <c r="F840" s="41" t="n"/>
      <c r="G840" s="41" t="n"/>
      <c r="H840" s="42" t="n"/>
      <c r="I840" s="42" t="n"/>
      <c r="J840" s="42" t="n"/>
      <c r="K840" s="42" t="n"/>
      <c r="L840" s="41" t="n"/>
      <c r="M840" s="41" t="n"/>
      <c r="N840" s="41" t="n"/>
      <c r="O840" s="43" t="n"/>
      <c r="P840" s="43" t="n"/>
      <c r="Q840" s="44" t="str">
        <f>IF($AM840=0,"",IF(ISNUMBER($AK840),$AK840-N($AL840),""))</f>
        <v/>
      </c>
      <c r="R840" s="45" t="str">
        <f>IF(OR($Q840="",NOT(ISNUMBER($V840))),"",$AK840/$V840)</f>
        <v/>
      </c>
      <c r="S840" s="46" t="str">
        <f>IF($Q840="","",IF(AND(ISNUMBER($R840),ABS(N($R840))&lt;N(Settings!$C$8)),"Scratch",IF($Q840&gt;0,"Win",IF($Q840&lt;0,"Loss","Scratch"))))</f>
        <v/>
      </c>
      <c r="T840" s="47" t="str">
        <f>IF(OR($AM840=0,NOT(ISNUMBER($H840)),NOT(ISNUMBER($I840)),NOT(ISNUMBER($J840))),"",IF($H840=$I840,"",ROUND(ABS($J840-$H840)/ABS($H840-$I840),6)))</f>
        <v/>
      </c>
      <c r="U840" s="48" t="str">
        <f>IF(OR($S840&lt;&gt;"Win",NOT(ISNUMBER($T840)),NOT(ISNUMBER($R840))),"",MAX(0,$T840-$R840))</f>
        <v/>
      </c>
      <c r="V840" s="49" t="str">
        <f>IF(OR($AM840=0,NOT(ISNUMBER($H840)),NOT(ISNUMBER($I840)),NOT(ISNUMBER($G840))),"",IF(OR($AG840="",$AH840=""),"",IF(ROUND(ABS($H840-$I840)*ABS($G840)*$AG840*$AH840,6)=0,"",ROUND(ABS($H840-$I840)*ABS($G840)*$AG840*$AH840,6))))</f>
        <v/>
      </c>
      <c r="W840" s="50" t="str">
        <f>IF($AM840=0,"",IF($BG840="","OK",LEFT($BG840,LEN($BG840)-2)))</f>
        <v/>
      </c>
      <c r="X840" s="41" t="n"/>
      <c r="Y840" s="40" t="n"/>
      <c r="Z840" s="41" t="n"/>
      <c r="AA840" s="41" t="n"/>
      <c r="AB840" s="40" t="n"/>
      <c r="AC840" s="51" t="n"/>
      <c r="AD840" s="51" t="n"/>
      <c r="AE840" s="40" t="n"/>
      <c r="AF840" s="52" t="str">
        <f>IF($AM840=0,"",IF($D840&lt;&gt;"",$D840,IF(IFERROR(INDEX(Accounts!$C$7:$C$16,MATCH($C840,Accounts!$B$7:$B$16,0))&amp;"","")&lt;&gt;"",INDEX(Accounts!$C$7:$C$16,MATCH($C840,Accounts!$B$7:$B$16,0)),Settings!$C$6)))</f>
        <v/>
      </c>
      <c r="AG840" s="53" t="str">
        <f>IF($AM840=0,"",IF(AND($BE840&gt;0,N(INDEX(Instruments!$D$6:$D$205,MAX(1,$BE840)))&gt;0),INDEX(Instruments!$D$6:$D$205,MAX(1,$BE840)),IF(N(INDEX(Settings!$D$14:$D$18,$BF840))&gt;0,INDEX(Settings!$D$14:$D$18,$BF840),"")))</f>
        <v/>
      </c>
      <c r="AH840" s="54" t="str">
        <f>IF($AM840=0,"",IF($AF840&lt;&gt;"Forex",1,IF(MID(UPPER(SUBSTITUTE(TRIM($E840),"/","")),4,3)=UPPER(TRIM(Settings!$C$7)),1,IF(LEFT(UPPER(SUBSTITUTE(TRIM($E840),"/","")),3)=UPPER(TRIM(Settings!$C$7)),IF(AND(ISNUMBER($K840),N($K840)&lt;&gt;0),1/$K840,""),""))))</f>
        <v/>
      </c>
      <c r="AI840" s="55" t="str">
        <f>IF($AM840=0,"",IF(OR(NOT(ISNUMBER($H840)),NOT(ISNUMBER($K840)),NOT(ISNUMBER($G840)),$AG840="",$AH840=""),"",ROUND(($K840-$H840)*IF($F840="Short",-1,1)*$G840*$AG840*$AH840,6)))</f>
        <v/>
      </c>
      <c r="AJ840" s="55" t="str">
        <f>IF($AM840=0,"",IF(INDEX(Settings!$E$14:$E$18,$BF840)="% of notional",IF(OR($AG840="",NOT(ISNUMBER($H840)),NOT(ISNUMBER($G840))),"",ROUND(ABS($H840*$G840*$AG840*N($AH840))*IF($L840="Limit",N(INDEX(Settings!$G$14:$G$18,$BF840)),N(INDEX(Settings!$H$14:$H$18,$BF840)))+IF(ISNUMBER($K840),ABS($K840*$G840*$AG840*N($AH840))*IF($M840="Target",N(INDEX(Settings!$G$14:$G$18,$BF840)),N(INDEX(Settings!$H$14:$H$18,$BF840))),0),6)),IF(NOT(ISNUMBER($G840)),"",ROUND(ABS($G840)*2*IF(AND($BE840&gt;0,ISNUMBER(INDEX(Instruments!$G$6:$G$205,MAX(1,$BE840)))),INDEX(Instruments!$G$6:$G$205,MAX(1,$BE840)),N(INDEX(Settings!$F$14:$F$18,$BF840))),6))))</f>
        <v/>
      </c>
      <c r="AK840" s="55" t="str">
        <f>IF($AM840=0,"",IF(ISNUMBER($O840),$O840,$AI840))</f>
        <v/>
      </c>
      <c r="AL840" s="55" t="str">
        <f>IF($AM840=0,"",IF(ISNUMBER($P840),$P840,N($AJ840)))</f>
        <v/>
      </c>
      <c r="AM840" s="56">
        <f>IF(AND($A840&lt;&gt;"",$E840&lt;&gt;"",OR(AND(ISNUMBER($G840),ISNUMBER($H840),ISNUMBER($K840)),ISNUMBER($O840))),1,0)</f>
        <v>0</v>
      </c>
      <c r="AN840" s="57" t="str">
        <f>IF($A840="","",$A840-WEEKDAY($A840,3))</f>
        <v/>
      </c>
      <c r="AO840" s="56" t="str">
        <f>IF($A840="","",WEEKDAY($A840,2))</f>
        <v/>
      </c>
      <c r="AP840" s="55" t="str">
        <f>IF(OR($AM840=0,$C840=""),"",IFERROR(N(INDEX(Accounts!$E$7:$E$16,MATCH($C840,Accounts!$B$7:$B$16,0))),0)+SUMIFS($Q$6:$Q840,$C$6:$C840,$C840))</f>
        <v/>
      </c>
      <c r="AQ840" s="55" t="str">
        <f>IF(OR($AM840=0,$C840=""),"",SUMIFS($Q$6:$Q$1005,$C$6:$C$1005,$C840,$A$6:$A$1005,$A840))</f>
        <v/>
      </c>
      <c r="AR840" s="55" t="str">
        <f>IF(OR($AM840=0,$C840=""),"",IFERROR(N(INDEX(Accounts!$E$7:$E$16,MATCH($C840,Accounts!$B$7:$B$16,0))),0)+SUMIFS($Q$6:$Q$1005,$C$6:$C$1005,$C840,$A$6:$A$1005,"&lt;="&amp;$A840))</f>
        <v/>
      </c>
      <c r="AS840" s="56">
        <f>IF(OR($AM840=0,$Q840=""),0,IF(AND($A840&gt;=Lists!$W$6,$A840&lt;=Lists!$W$7,OR(Dashboard!$D$6="All accounts",$C840=Dashboard!$D$6),OR(Dashboard!$D$7="All markets",$AF840=Dashboard!$D$7)),1,0))</f>
        <v>0</v>
      </c>
      <c r="AT840" s="55">
        <f>IF($AS840=1,N(AT839)+$Q840,N(AT839))</f>
        <v>1187.10688</v>
      </c>
      <c r="AU840" s="55">
        <f>MAX(N(AU839),$AT840)</f>
        <v>1187.10688</v>
      </c>
      <c r="AV840" s="55">
        <f>$AT840-$AU840</f>
        <v>0</v>
      </c>
      <c r="AW840" s="56">
        <f>IF($AS840=1,IF($S840="Win",N(AW839)+1,IF($S840="Loss",0,N(AW839))),N(AW839))</f>
        <v>5</v>
      </c>
      <c r="AX840" s="56">
        <f>IF($AS840=1,IF($S840="Loss",N(AX839)+1,IF($S840="Win",0,N(AX839))),N(AX839))</f>
        <v>0</v>
      </c>
      <c r="AY840" s="56" t="str">
        <f>IF($AS840=1,COUNTIF($AS$6:$AS840,1),"")</f>
        <v/>
      </c>
      <c r="AZ840" s="56">
        <f>MIN(834,N(Lists!$W$8))</f>
        <v>28</v>
      </c>
      <c r="BA840" s="56">
        <f>IF($AS840=1,IF(COUNTIFS($A$6:$A840,$A840,$AS$6:$AS840,1)=1,1,0),0)</f>
        <v>0</v>
      </c>
      <c r="BB840" s="55" t="str">
        <f>IF($BA840=1,SUMIFS($Q$6:$Q$1005,$A$6:$A$1005,$A840,$AS$6:$AS$1005,1),"")</f>
        <v/>
      </c>
      <c r="BC840" s="56">
        <f>IF(ISNUMBER($R840),1,0)</f>
        <v>0</v>
      </c>
      <c r="BD840" s="55" t="str">
        <f>IF(ISNUMBER($U840),$U840*$V840,"")</f>
        <v/>
      </c>
      <c r="BE840" s="56" t="str">
        <f>IF($AM840=0,"",IFERROR(MATCH($AF840&amp;"|"&amp;UPPER(TRIM($E840)),Lists!$A$6:$A$205,0),0))</f>
        <v/>
      </c>
      <c r="BF840" s="56" t="str">
        <f>IF($AM840=0,"",IFERROR(MATCH($AF840,Settings!$B$14:$B$18,0),IFERROR(MATCH(Settings!$C$6,Settings!$B$14:$B$18,0),1)))</f>
        <v/>
      </c>
      <c r="BG840" s="58" t="str">
        <f>IF($AM840=0,"",IF(NOT(ISNUMBER($I840)),"No stop; ","")&amp;IF(AND(ISNUMBER($H840),ISNUMBER($I840)),IF(OR(AND($F840&lt;&gt;"Short",$I840&gt;=$H840),AND($F840="Short",$I840&lt;=$H840)),"Stop on wrong side; ",""),"")&amp;IF($F840="","No direction; ","")&amp;IF(AND(ISNUMBER(Settings!$C$22),ISNUMBER($V840)),IF($V840&gt;Settings!$C$22,"Risk over max $; ",""),"")&amp;IF(AND(ISNUMBER(Settings!$C$23),ISNUMBER($V840),ISNUMBER($AP840),IFERROR(N(INDEX(Accounts!$E$7:$E$16,MATCH($C840,Accounts!$B$7:$B$16,0))),0)&gt;0),IF($V840&gt;Settings!$C$23*($AP840-N($Q840)),"Risk over max %; ",""),"")&amp;IF(AND(ISNUMBER(Settings!$C$24),ISNUMBER($N840)),IF($N840&gt;Settings!$C$24,"Leverage over max; ",""),"")&amp;IF(AND(ISNUMBER(Settings!$C$27),ISNUMBER($T840)),IF($T840&lt;Settings!$C$27,"R:R below min; ",""),"")&amp;IF(ISNUMBER(Settings!$C$25),IF(COUNTIFS($A$6:$A840,$A840,$AM$6:$AM840,1)&gt;Settings!$C$25,"Over max trades/day; ",""),"")&amp;IF(ISNUMBER(Settings!$C$26),IF(SUMIFS($Q$5:$Q839,$A$5:$A839,$A840)&lt;=-Settings!$C$26,"Traded after daily max loss; ",""),"")&amp;IF(AND($AG840="",NOT(ISNUMBER($O840))),"Symbol not in Instruments; ","")&amp;IF(AND($AH840="",NOT(ISNUMBER($O840))),"Forex cross: type Gross P&amp;L; ",""))</f>
        <v/>
      </c>
      <c r="BH840" s="56">
        <f>IF(ISNUMBER($Q840),1,0)</f>
        <v>0</v>
      </c>
      <c r="BI840" s="56">
        <f>IF($Y840="",0,1)</f>
        <v>0</v>
      </c>
      <c r="BJ840" s="56">
        <f>IF($AB840="",0,1)</f>
        <v>0</v>
      </c>
      <c r="BK840" s="56">
        <f>IF(AND($BH840=1,$W840&lt;&gt;"OK"),1,0)</f>
        <v>0</v>
      </c>
      <c r="BL840" s="55">
        <f>IF(N($AZ840)=0,0,IFERROR(INDEX($AT$6:$AT$1005,MATCH($AZ840,$AY$6:$AY$1005,0)),0))</f>
        <v>1187.10688</v>
      </c>
      <c r="BM840" s="56">
        <f>IF(ISNUMBER(SEARCH("daily max loss",$BG840)),1,0)</f>
        <v>0</v>
      </c>
    </row>
    <row r="841" ht="18" customHeight="1">
      <c r="A841" s="38" t="n"/>
      <c r="B841" s="39" t="n"/>
      <c r="C841" s="40" t="n"/>
      <c r="D841" s="41" t="n"/>
      <c r="E841" s="41" t="n"/>
      <c r="F841" s="41" t="n"/>
      <c r="G841" s="41" t="n"/>
      <c r="H841" s="42" t="n"/>
      <c r="I841" s="42" t="n"/>
      <c r="J841" s="42" t="n"/>
      <c r="K841" s="42" t="n"/>
      <c r="L841" s="41" t="n"/>
      <c r="M841" s="41" t="n"/>
      <c r="N841" s="41" t="n"/>
      <c r="O841" s="43" t="n"/>
      <c r="P841" s="43" t="n"/>
      <c r="Q841" s="44" t="str">
        <f>IF($AM841=0,"",IF(ISNUMBER($AK841),$AK841-N($AL841),""))</f>
        <v/>
      </c>
      <c r="R841" s="45" t="str">
        <f>IF(OR($Q841="",NOT(ISNUMBER($V841))),"",$AK841/$V841)</f>
        <v/>
      </c>
      <c r="S841" s="46" t="str">
        <f>IF($Q841="","",IF(AND(ISNUMBER($R841),ABS(N($R841))&lt;N(Settings!$C$8)),"Scratch",IF($Q841&gt;0,"Win",IF($Q841&lt;0,"Loss","Scratch"))))</f>
        <v/>
      </c>
      <c r="T841" s="47" t="str">
        <f>IF(OR($AM841=0,NOT(ISNUMBER($H841)),NOT(ISNUMBER($I841)),NOT(ISNUMBER($J841))),"",IF($H841=$I841,"",ROUND(ABS($J841-$H841)/ABS($H841-$I841),6)))</f>
        <v/>
      </c>
      <c r="U841" s="48" t="str">
        <f>IF(OR($S841&lt;&gt;"Win",NOT(ISNUMBER($T841)),NOT(ISNUMBER($R841))),"",MAX(0,$T841-$R841))</f>
        <v/>
      </c>
      <c r="V841" s="49" t="str">
        <f>IF(OR($AM841=0,NOT(ISNUMBER($H841)),NOT(ISNUMBER($I841)),NOT(ISNUMBER($G841))),"",IF(OR($AG841="",$AH841=""),"",IF(ROUND(ABS($H841-$I841)*ABS($G841)*$AG841*$AH841,6)=0,"",ROUND(ABS($H841-$I841)*ABS($G841)*$AG841*$AH841,6))))</f>
        <v/>
      </c>
      <c r="W841" s="50" t="str">
        <f>IF($AM841=0,"",IF($BG841="","OK",LEFT($BG841,LEN($BG841)-2)))</f>
        <v/>
      </c>
      <c r="X841" s="41" t="n"/>
      <c r="Y841" s="40" t="n"/>
      <c r="Z841" s="41" t="n"/>
      <c r="AA841" s="41" t="n"/>
      <c r="AB841" s="40" t="n"/>
      <c r="AC841" s="51" t="n"/>
      <c r="AD841" s="51" t="n"/>
      <c r="AE841" s="40" t="n"/>
      <c r="AF841" s="52" t="str">
        <f>IF($AM841=0,"",IF($D841&lt;&gt;"",$D841,IF(IFERROR(INDEX(Accounts!$C$7:$C$16,MATCH($C841,Accounts!$B$7:$B$16,0))&amp;"","")&lt;&gt;"",INDEX(Accounts!$C$7:$C$16,MATCH($C841,Accounts!$B$7:$B$16,0)),Settings!$C$6)))</f>
        <v/>
      </c>
      <c r="AG841" s="53" t="str">
        <f>IF($AM841=0,"",IF(AND($BE841&gt;0,N(INDEX(Instruments!$D$6:$D$205,MAX(1,$BE841)))&gt;0),INDEX(Instruments!$D$6:$D$205,MAX(1,$BE841)),IF(N(INDEX(Settings!$D$14:$D$18,$BF841))&gt;0,INDEX(Settings!$D$14:$D$18,$BF841),"")))</f>
        <v/>
      </c>
      <c r="AH841" s="54" t="str">
        <f>IF($AM841=0,"",IF($AF841&lt;&gt;"Forex",1,IF(MID(UPPER(SUBSTITUTE(TRIM($E841),"/","")),4,3)=UPPER(TRIM(Settings!$C$7)),1,IF(LEFT(UPPER(SUBSTITUTE(TRIM($E841),"/","")),3)=UPPER(TRIM(Settings!$C$7)),IF(AND(ISNUMBER($K841),N($K841)&lt;&gt;0),1/$K841,""),""))))</f>
        <v/>
      </c>
      <c r="AI841" s="55" t="str">
        <f>IF($AM841=0,"",IF(OR(NOT(ISNUMBER($H841)),NOT(ISNUMBER($K841)),NOT(ISNUMBER($G841)),$AG841="",$AH841=""),"",ROUND(($K841-$H841)*IF($F841="Short",-1,1)*$G841*$AG841*$AH841,6)))</f>
        <v/>
      </c>
      <c r="AJ841" s="55" t="str">
        <f>IF($AM841=0,"",IF(INDEX(Settings!$E$14:$E$18,$BF841)="% of notional",IF(OR($AG841="",NOT(ISNUMBER($H841)),NOT(ISNUMBER($G841))),"",ROUND(ABS($H841*$G841*$AG841*N($AH841))*IF($L841="Limit",N(INDEX(Settings!$G$14:$G$18,$BF841)),N(INDEX(Settings!$H$14:$H$18,$BF841)))+IF(ISNUMBER($K841),ABS($K841*$G841*$AG841*N($AH841))*IF($M841="Target",N(INDEX(Settings!$G$14:$G$18,$BF841)),N(INDEX(Settings!$H$14:$H$18,$BF841))),0),6)),IF(NOT(ISNUMBER($G841)),"",ROUND(ABS($G841)*2*IF(AND($BE841&gt;0,ISNUMBER(INDEX(Instruments!$G$6:$G$205,MAX(1,$BE841)))),INDEX(Instruments!$G$6:$G$205,MAX(1,$BE841)),N(INDEX(Settings!$F$14:$F$18,$BF841))),6))))</f>
        <v/>
      </c>
      <c r="AK841" s="55" t="str">
        <f>IF($AM841=0,"",IF(ISNUMBER($O841),$O841,$AI841))</f>
        <v/>
      </c>
      <c r="AL841" s="55" t="str">
        <f>IF($AM841=0,"",IF(ISNUMBER($P841),$P841,N($AJ841)))</f>
        <v/>
      </c>
      <c r="AM841" s="56">
        <f>IF(AND($A841&lt;&gt;"",$E841&lt;&gt;"",OR(AND(ISNUMBER($G841),ISNUMBER($H841),ISNUMBER($K841)),ISNUMBER($O841))),1,0)</f>
        <v>0</v>
      </c>
      <c r="AN841" s="57" t="str">
        <f>IF($A841="","",$A841-WEEKDAY($A841,3))</f>
        <v/>
      </c>
      <c r="AO841" s="56" t="str">
        <f>IF($A841="","",WEEKDAY($A841,2))</f>
        <v/>
      </c>
      <c r="AP841" s="55" t="str">
        <f>IF(OR($AM841=0,$C841=""),"",IFERROR(N(INDEX(Accounts!$E$7:$E$16,MATCH($C841,Accounts!$B$7:$B$16,0))),0)+SUMIFS($Q$6:$Q841,$C$6:$C841,$C841))</f>
        <v/>
      </c>
      <c r="AQ841" s="55" t="str">
        <f>IF(OR($AM841=0,$C841=""),"",SUMIFS($Q$6:$Q$1005,$C$6:$C$1005,$C841,$A$6:$A$1005,$A841))</f>
        <v/>
      </c>
      <c r="AR841" s="55" t="str">
        <f>IF(OR($AM841=0,$C841=""),"",IFERROR(N(INDEX(Accounts!$E$7:$E$16,MATCH($C841,Accounts!$B$7:$B$16,0))),0)+SUMIFS($Q$6:$Q$1005,$C$6:$C$1005,$C841,$A$6:$A$1005,"&lt;="&amp;$A841))</f>
        <v/>
      </c>
      <c r="AS841" s="56">
        <f>IF(OR($AM841=0,$Q841=""),0,IF(AND($A841&gt;=Lists!$W$6,$A841&lt;=Lists!$W$7,OR(Dashboard!$D$6="All accounts",$C841=Dashboard!$D$6),OR(Dashboard!$D$7="All markets",$AF841=Dashboard!$D$7)),1,0))</f>
        <v>0</v>
      </c>
      <c r="AT841" s="55">
        <f>IF($AS841=1,N(AT840)+$Q841,N(AT840))</f>
        <v>1187.10688</v>
      </c>
      <c r="AU841" s="55">
        <f>MAX(N(AU840),$AT841)</f>
        <v>1187.10688</v>
      </c>
      <c r="AV841" s="55">
        <f>$AT841-$AU841</f>
        <v>0</v>
      </c>
      <c r="AW841" s="56">
        <f>IF($AS841=1,IF($S841="Win",N(AW840)+1,IF($S841="Loss",0,N(AW840))),N(AW840))</f>
        <v>5</v>
      </c>
      <c r="AX841" s="56">
        <f>IF($AS841=1,IF($S841="Loss",N(AX840)+1,IF($S841="Win",0,N(AX840))),N(AX840))</f>
        <v>0</v>
      </c>
      <c r="AY841" s="56" t="str">
        <f>IF($AS841=1,COUNTIF($AS$6:$AS841,1),"")</f>
        <v/>
      </c>
      <c r="AZ841" s="56">
        <f>MIN(835,N(Lists!$W$8))</f>
        <v>28</v>
      </c>
      <c r="BA841" s="56">
        <f>IF($AS841=1,IF(COUNTIFS($A$6:$A841,$A841,$AS$6:$AS841,1)=1,1,0),0)</f>
        <v>0</v>
      </c>
      <c r="BB841" s="55" t="str">
        <f>IF($BA841=1,SUMIFS($Q$6:$Q$1005,$A$6:$A$1005,$A841,$AS$6:$AS$1005,1),"")</f>
        <v/>
      </c>
      <c r="BC841" s="56">
        <f>IF(ISNUMBER($R841),1,0)</f>
        <v>0</v>
      </c>
      <c r="BD841" s="55" t="str">
        <f>IF(ISNUMBER($U841),$U841*$V841,"")</f>
        <v/>
      </c>
      <c r="BE841" s="56" t="str">
        <f>IF($AM841=0,"",IFERROR(MATCH($AF841&amp;"|"&amp;UPPER(TRIM($E841)),Lists!$A$6:$A$205,0),0))</f>
        <v/>
      </c>
      <c r="BF841" s="56" t="str">
        <f>IF($AM841=0,"",IFERROR(MATCH($AF841,Settings!$B$14:$B$18,0),IFERROR(MATCH(Settings!$C$6,Settings!$B$14:$B$18,0),1)))</f>
        <v/>
      </c>
      <c r="BG841" s="58" t="str">
        <f>IF($AM841=0,"",IF(NOT(ISNUMBER($I841)),"No stop; ","")&amp;IF(AND(ISNUMBER($H841),ISNUMBER($I841)),IF(OR(AND($F841&lt;&gt;"Short",$I841&gt;=$H841),AND($F841="Short",$I841&lt;=$H841)),"Stop on wrong side; ",""),"")&amp;IF($F841="","No direction; ","")&amp;IF(AND(ISNUMBER(Settings!$C$22),ISNUMBER($V841)),IF($V841&gt;Settings!$C$22,"Risk over max $; ",""),"")&amp;IF(AND(ISNUMBER(Settings!$C$23),ISNUMBER($V841),ISNUMBER($AP841),IFERROR(N(INDEX(Accounts!$E$7:$E$16,MATCH($C841,Accounts!$B$7:$B$16,0))),0)&gt;0),IF($V841&gt;Settings!$C$23*($AP841-N($Q841)),"Risk over max %; ",""),"")&amp;IF(AND(ISNUMBER(Settings!$C$24),ISNUMBER($N841)),IF($N841&gt;Settings!$C$24,"Leverage over max; ",""),"")&amp;IF(AND(ISNUMBER(Settings!$C$27),ISNUMBER($T841)),IF($T841&lt;Settings!$C$27,"R:R below min; ",""),"")&amp;IF(ISNUMBER(Settings!$C$25),IF(COUNTIFS($A$6:$A841,$A841,$AM$6:$AM841,1)&gt;Settings!$C$25,"Over max trades/day; ",""),"")&amp;IF(ISNUMBER(Settings!$C$26),IF(SUMIFS($Q$5:$Q840,$A$5:$A840,$A841)&lt;=-Settings!$C$26,"Traded after daily max loss; ",""),"")&amp;IF(AND($AG841="",NOT(ISNUMBER($O841))),"Symbol not in Instruments; ","")&amp;IF(AND($AH841="",NOT(ISNUMBER($O841))),"Forex cross: type Gross P&amp;L; ",""))</f>
        <v/>
      </c>
      <c r="BH841" s="56">
        <f>IF(ISNUMBER($Q841),1,0)</f>
        <v>0</v>
      </c>
      <c r="BI841" s="56">
        <f>IF($Y841="",0,1)</f>
        <v>0</v>
      </c>
      <c r="BJ841" s="56">
        <f>IF($AB841="",0,1)</f>
        <v>0</v>
      </c>
      <c r="BK841" s="56">
        <f>IF(AND($BH841=1,$W841&lt;&gt;"OK"),1,0)</f>
        <v>0</v>
      </c>
      <c r="BL841" s="55">
        <f>IF(N($AZ841)=0,0,IFERROR(INDEX($AT$6:$AT$1005,MATCH($AZ841,$AY$6:$AY$1005,0)),0))</f>
        <v>1187.10688</v>
      </c>
      <c r="BM841" s="56">
        <f>IF(ISNUMBER(SEARCH("daily max loss",$BG841)),1,0)</f>
        <v>0</v>
      </c>
    </row>
    <row r="842" ht="18" customHeight="1">
      <c r="A842" s="38" t="n"/>
      <c r="B842" s="39" t="n"/>
      <c r="C842" s="40" t="n"/>
      <c r="D842" s="41" t="n"/>
      <c r="E842" s="41" t="n"/>
      <c r="F842" s="41" t="n"/>
      <c r="G842" s="41" t="n"/>
      <c r="H842" s="42" t="n"/>
      <c r="I842" s="42" t="n"/>
      <c r="J842" s="42" t="n"/>
      <c r="K842" s="42" t="n"/>
      <c r="L842" s="41" t="n"/>
      <c r="M842" s="41" t="n"/>
      <c r="N842" s="41" t="n"/>
      <c r="O842" s="43" t="n"/>
      <c r="P842" s="43" t="n"/>
      <c r="Q842" s="44" t="str">
        <f>IF($AM842=0,"",IF(ISNUMBER($AK842),$AK842-N($AL842),""))</f>
        <v/>
      </c>
      <c r="R842" s="45" t="str">
        <f>IF(OR($Q842="",NOT(ISNUMBER($V842))),"",$AK842/$V842)</f>
        <v/>
      </c>
      <c r="S842" s="46" t="str">
        <f>IF($Q842="","",IF(AND(ISNUMBER($R842),ABS(N($R842))&lt;N(Settings!$C$8)),"Scratch",IF($Q842&gt;0,"Win",IF($Q842&lt;0,"Loss","Scratch"))))</f>
        <v/>
      </c>
      <c r="T842" s="47" t="str">
        <f>IF(OR($AM842=0,NOT(ISNUMBER($H842)),NOT(ISNUMBER($I842)),NOT(ISNUMBER($J842))),"",IF($H842=$I842,"",ROUND(ABS($J842-$H842)/ABS($H842-$I842),6)))</f>
        <v/>
      </c>
      <c r="U842" s="48" t="str">
        <f>IF(OR($S842&lt;&gt;"Win",NOT(ISNUMBER($T842)),NOT(ISNUMBER($R842))),"",MAX(0,$T842-$R842))</f>
        <v/>
      </c>
      <c r="V842" s="49" t="str">
        <f>IF(OR($AM842=0,NOT(ISNUMBER($H842)),NOT(ISNUMBER($I842)),NOT(ISNUMBER($G842))),"",IF(OR($AG842="",$AH842=""),"",IF(ROUND(ABS($H842-$I842)*ABS($G842)*$AG842*$AH842,6)=0,"",ROUND(ABS($H842-$I842)*ABS($G842)*$AG842*$AH842,6))))</f>
        <v/>
      </c>
      <c r="W842" s="50" t="str">
        <f>IF($AM842=0,"",IF($BG842="","OK",LEFT($BG842,LEN($BG842)-2)))</f>
        <v/>
      </c>
      <c r="X842" s="41" t="n"/>
      <c r="Y842" s="40" t="n"/>
      <c r="Z842" s="41" t="n"/>
      <c r="AA842" s="41" t="n"/>
      <c r="AB842" s="40" t="n"/>
      <c r="AC842" s="51" t="n"/>
      <c r="AD842" s="51" t="n"/>
      <c r="AE842" s="40" t="n"/>
      <c r="AF842" s="52" t="str">
        <f>IF($AM842=0,"",IF($D842&lt;&gt;"",$D842,IF(IFERROR(INDEX(Accounts!$C$7:$C$16,MATCH($C842,Accounts!$B$7:$B$16,0))&amp;"","")&lt;&gt;"",INDEX(Accounts!$C$7:$C$16,MATCH($C842,Accounts!$B$7:$B$16,0)),Settings!$C$6)))</f>
        <v/>
      </c>
      <c r="AG842" s="53" t="str">
        <f>IF($AM842=0,"",IF(AND($BE842&gt;0,N(INDEX(Instruments!$D$6:$D$205,MAX(1,$BE842)))&gt;0),INDEX(Instruments!$D$6:$D$205,MAX(1,$BE842)),IF(N(INDEX(Settings!$D$14:$D$18,$BF842))&gt;0,INDEX(Settings!$D$14:$D$18,$BF842),"")))</f>
        <v/>
      </c>
      <c r="AH842" s="54" t="str">
        <f>IF($AM842=0,"",IF($AF842&lt;&gt;"Forex",1,IF(MID(UPPER(SUBSTITUTE(TRIM($E842),"/","")),4,3)=UPPER(TRIM(Settings!$C$7)),1,IF(LEFT(UPPER(SUBSTITUTE(TRIM($E842),"/","")),3)=UPPER(TRIM(Settings!$C$7)),IF(AND(ISNUMBER($K842),N($K842)&lt;&gt;0),1/$K842,""),""))))</f>
        <v/>
      </c>
      <c r="AI842" s="55" t="str">
        <f>IF($AM842=0,"",IF(OR(NOT(ISNUMBER($H842)),NOT(ISNUMBER($K842)),NOT(ISNUMBER($G842)),$AG842="",$AH842=""),"",ROUND(($K842-$H842)*IF($F842="Short",-1,1)*$G842*$AG842*$AH842,6)))</f>
        <v/>
      </c>
      <c r="AJ842" s="55" t="str">
        <f>IF($AM842=0,"",IF(INDEX(Settings!$E$14:$E$18,$BF842)="% of notional",IF(OR($AG842="",NOT(ISNUMBER($H842)),NOT(ISNUMBER($G842))),"",ROUND(ABS($H842*$G842*$AG842*N($AH842))*IF($L842="Limit",N(INDEX(Settings!$G$14:$G$18,$BF842)),N(INDEX(Settings!$H$14:$H$18,$BF842)))+IF(ISNUMBER($K842),ABS($K842*$G842*$AG842*N($AH842))*IF($M842="Target",N(INDEX(Settings!$G$14:$G$18,$BF842)),N(INDEX(Settings!$H$14:$H$18,$BF842))),0),6)),IF(NOT(ISNUMBER($G842)),"",ROUND(ABS($G842)*2*IF(AND($BE842&gt;0,ISNUMBER(INDEX(Instruments!$G$6:$G$205,MAX(1,$BE842)))),INDEX(Instruments!$G$6:$G$205,MAX(1,$BE842)),N(INDEX(Settings!$F$14:$F$18,$BF842))),6))))</f>
        <v/>
      </c>
      <c r="AK842" s="55" t="str">
        <f>IF($AM842=0,"",IF(ISNUMBER($O842),$O842,$AI842))</f>
        <v/>
      </c>
      <c r="AL842" s="55" t="str">
        <f>IF($AM842=0,"",IF(ISNUMBER($P842),$P842,N($AJ842)))</f>
        <v/>
      </c>
      <c r="AM842" s="56">
        <f>IF(AND($A842&lt;&gt;"",$E842&lt;&gt;"",OR(AND(ISNUMBER($G842),ISNUMBER($H842),ISNUMBER($K842)),ISNUMBER($O842))),1,0)</f>
        <v>0</v>
      </c>
      <c r="AN842" s="57" t="str">
        <f>IF($A842="","",$A842-WEEKDAY($A842,3))</f>
        <v/>
      </c>
      <c r="AO842" s="56" t="str">
        <f>IF($A842="","",WEEKDAY($A842,2))</f>
        <v/>
      </c>
      <c r="AP842" s="55" t="str">
        <f>IF(OR($AM842=0,$C842=""),"",IFERROR(N(INDEX(Accounts!$E$7:$E$16,MATCH($C842,Accounts!$B$7:$B$16,0))),0)+SUMIFS($Q$6:$Q842,$C$6:$C842,$C842))</f>
        <v/>
      </c>
      <c r="AQ842" s="55" t="str">
        <f>IF(OR($AM842=0,$C842=""),"",SUMIFS($Q$6:$Q$1005,$C$6:$C$1005,$C842,$A$6:$A$1005,$A842))</f>
        <v/>
      </c>
      <c r="AR842" s="55" t="str">
        <f>IF(OR($AM842=0,$C842=""),"",IFERROR(N(INDEX(Accounts!$E$7:$E$16,MATCH($C842,Accounts!$B$7:$B$16,0))),0)+SUMIFS($Q$6:$Q$1005,$C$6:$C$1005,$C842,$A$6:$A$1005,"&lt;="&amp;$A842))</f>
        <v/>
      </c>
      <c r="AS842" s="56">
        <f>IF(OR($AM842=0,$Q842=""),0,IF(AND($A842&gt;=Lists!$W$6,$A842&lt;=Lists!$W$7,OR(Dashboard!$D$6="All accounts",$C842=Dashboard!$D$6),OR(Dashboard!$D$7="All markets",$AF842=Dashboard!$D$7)),1,0))</f>
        <v>0</v>
      </c>
      <c r="AT842" s="55">
        <f>IF($AS842=1,N(AT841)+$Q842,N(AT841))</f>
        <v>1187.10688</v>
      </c>
      <c r="AU842" s="55">
        <f>MAX(N(AU841),$AT842)</f>
        <v>1187.10688</v>
      </c>
      <c r="AV842" s="55">
        <f>$AT842-$AU842</f>
        <v>0</v>
      </c>
      <c r="AW842" s="56">
        <f>IF($AS842=1,IF($S842="Win",N(AW841)+1,IF($S842="Loss",0,N(AW841))),N(AW841))</f>
        <v>5</v>
      </c>
      <c r="AX842" s="56">
        <f>IF($AS842=1,IF($S842="Loss",N(AX841)+1,IF($S842="Win",0,N(AX841))),N(AX841))</f>
        <v>0</v>
      </c>
      <c r="AY842" s="56" t="str">
        <f>IF($AS842=1,COUNTIF($AS$6:$AS842,1),"")</f>
        <v/>
      </c>
      <c r="AZ842" s="56">
        <f>MIN(836,N(Lists!$W$8))</f>
        <v>28</v>
      </c>
      <c r="BA842" s="56">
        <f>IF($AS842=1,IF(COUNTIFS($A$6:$A842,$A842,$AS$6:$AS842,1)=1,1,0),0)</f>
        <v>0</v>
      </c>
      <c r="BB842" s="55" t="str">
        <f>IF($BA842=1,SUMIFS($Q$6:$Q$1005,$A$6:$A$1005,$A842,$AS$6:$AS$1005,1),"")</f>
        <v/>
      </c>
      <c r="BC842" s="56">
        <f>IF(ISNUMBER($R842),1,0)</f>
        <v>0</v>
      </c>
      <c r="BD842" s="55" t="str">
        <f>IF(ISNUMBER($U842),$U842*$V842,"")</f>
        <v/>
      </c>
      <c r="BE842" s="56" t="str">
        <f>IF($AM842=0,"",IFERROR(MATCH($AF842&amp;"|"&amp;UPPER(TRIM($E842)),Lists!$A$6:$A$205,0),0))</f>
        <v/>
      </c>
      <c r="BF842" s="56" t="str">
        <f>IF($AM842=0,"",IFERROR(MATCH($AF842,Settings!$B$14:$B$18,0),IFERROR(MATCH(Settings!$C$6,Settings!$B$14:$B$18,0),1)))</f>
        <v/>
      </c>
      <c r="BG842" s="58" t="str">
        <f>IF($AM842=0,"",IF(NOT(ISNUMBER($I842)),"No stop; ","")&amp;IF(AND(ISNUMBER($H842),ISNUMBER($I842)),IF(OR(AND($F842&lt;&gt;"Short",$I842&gt;=$H842),AND($F842="Short",$I842&lt;=$H842)),"Stop on wrong side; ",""),"")&amp;IF($F842="","No direction; ","")&amp;IF(AND(ISNUMBER(Settings!$C$22),ISNUMBER($V842)),IF($V842&gt;Settings!$C$22,"Risk over max $; ",""),"")&amp;IF(AND(ISNUMBER(Settings!$C$23),ISNUMBER($V842),ISNUMBER($AP842),IFERROR(N(INDEX(Accounts!$E$7:$E$16,MATCH($C842,Accounts!$B$7:$B$16,0))),0)&gt;0),IF($V842&gt;Settings!$C$23*($AP842-N($Q842)),"Risk over max %; ",""),"")&amp;IF(AND(ISNUMBER(Settings!$C$24),ISNUMBER($N842)),IF($N842&gt;Settings!$C$24,"Leverage over max; ",""),"")&amp;IF(AND(ISNUMBER(Settings!$C$27),ISNUMBER($T842)),IF($T842&lt;Settings!$C$27,"R:R below min; ",""),"")&amp;IF(ISNUMBER(Settings!$C$25),IF(COUNTIFS($A$6:$A842,$A842,$AM$6:$AM842,1)&gt;Settings!$C$25,"Over max trades/day; ",""),"")&amp;IF(ISNUMBER(Settings!$C$26),IF(SUMIFS($Q$5:$Q841,$A$5:$A841,$A842)&lt;=-Settings!$C$26,"Traded after daily max loss; ",""),"")&amp;IF(AND($AG842="",NOT(ISNUMBER($O842))),"Symbol not in Instruments; ","")&amp;IF(AND($AH842="",NOT(ISNUMBER($O842))),"Forex cross: type Gross P&amp;L; ",""))</f>
        <v/>
      </c>
      <c r="BH842" s="56">
        <f>IF(ISNUMBER($Q842),1,0)</f>
        <v>0</v>
      </c>
      <c r="BI842" s="56">
        <f>IF($Y842="",0,1)</f>
        <v>0</v>
      </c>
      <c r="BJ842" s="56">
        <f>IF($AB842="",0,1)</f>
        <v>0</v>
      </c>
      <c r="BK842" s="56">
        <f>IF(AND($BH842=1,$W842&lt;&gt;"OK"),1,0)</f>
        <v>0</v>
      </c>
      <c r="BL842" s="55">
        <f>IF(N($AZ842)=0,0,IFERROR(INDEX($AT$6:$AT$1005,MATCH($AZ842,$AY$6:$AY$1005,0)),0))</f>
        <v>1187.10688</v>
      </c>
      <c r="BM842" s="56">
        <f>IF(ISNUMBER(SEARCH("daily max loss",$BG842)),1,0)</f>
        <v>0</v>
      </c>
    </row>
    <row r="843" ht="18" customHeight="1">
      <c r="A843" s="38" t="n"/>
      <c r="B843" s="39" t="n"/>
      <c r="C843" s="40" t="n"/>
      <c r="D843" s="41" t="n"/>
      <c r="E843" s="41" t="n"/>
      <c r="F843" s="41" t="n"/>
      <c r="G843" s="41" t="n"/>
      <c r="H843" s="42" t="n"/>
      <c r="I843" s="42" t="n"/>
      <c r="J843" s="42" t="n"/>
      <c r="K843" s="42" t="n"/>
      <c r="L843" s="41" t="n"/>
      <c r="M843" s="41" t="n"/>
      <c r="N843" s="41" t="n"/>
      <c r="O843" s="43" t="n"/>
      <c r="P843" s="43" t="n"/>
      <c r="Q843" s="44" t="str">
        <f>IF($AM843=0,"",IF(ISNUMBER($AK843),$AK843-N($AL843),""))</f>
        <v/>
      </c>
      <c r="R843" s="45" t="str">
        <f>IF(OR($Q843="",NOT(ISNUMBER($V843))),"",$AK843/$V843)</f>
        <v/>
      </c>
      <c r="S843" s="46" t="str">
        <f>IF($Q843="","",IF(AND(ISNUMBER($R843),ABS(N($R843))&lt;N(Settings!$C$8)),"Scratch",IF($Q843&gt;0,"Win",IF($Q843&lt;0,"Loss","Scratch"))))</f>
        <v/>
      </c>
      <c r="T843" s="47" t="str">
        <f>IF(OR($AM843=0,NOT(ISNUMBER($H843)),NOT(ISNUMBER($I843)),NOT(ISNUMBER($J843))),"",IF($H843=$I843,"",ROUND(ABS($J843-$H843)/ABS($H843-$I843),6)))</f>
        <v/>
      </c>
      <c r="U843" s="48" t="str">
        <f>IF(OR($S843&lt;&gt;"Win",NOT(ISNUMBER($T843)),NOT(ISNUMBER($R843))),"",MAX(0,$T843-$R843))</f>
        <v/>
      </c>
      <c r="V843" s="49" t="str">
        <f>IF(OR($AM843=0,NOT(ISNUMBER($H843)),NOT(ISNUMBER($I843)),NOT(ISNUMBER($G843))),"",IF(OR($AG843="",$AH843=""),"",IF(ROUND(ABS($H843-$I843)*ABS($G843)*$AG843*$AH843,6)=0,"",ROUND(ABS($H843-$I843)*ABS($G843)*$AG843*$AH843,6))))</f>
        <v/>
      </c>
      <c r="W843" s="50" t="str">
        <f>IF($AM843=0,"",IF($BG843="","OK",LEFT($BG843,LEN($BG843)-2)))</f>
        <v/>
      </c>
      <c r="X843" s="41" t="n"/>
      <c r="Y843" s="40" t="n"/>
      <c r="Z843" s="41" t="n"/>
      <c r="AA843" s="41" t="n"/>
      <c r="AB843" s="40" t="n"/>
      <c r="AC843" s="51" t="n"/>
      <c r="AD843" s="51" t="n"/>
      <c r="AE843" s="40" t="n"/>
      <c r="AF843" s="52" t="str">
        <f>IF($AM843=0,"",IF($D843&lt;&gt;"",$D843,IF(IFERROR(INDEX(Accounts!$C$7:$C$16,MATCH($C843,Accounts!$B$7:$B$16,0))&amp;"","")&lt;&gt;"",INDEX(Accounts!$C$7:$C$16,MATCH($C843,Accounts!$B$7:$B$16,0)),Settings!$C$6)))</f>
        <v/>
      </c>
      <c r="AG843" s="53" t="str">
        <f>IF($AM843=0,"",IF(AND($BE843&gt;0,N(INDEX(Instruments!$D$6:$D$205,MAX(1,$BE843)))&gt;0),INDEX(Instruments!$D$6:$D$205,MAX(1,$BE843)),IF(N(INDEX(Settings!$D$14:$D$18,$BF843))&gt;0,INDEX(Settings!$D$14:$D$18,$BF843),"")))</f>
        <v/>
      </c>
      <c r="AH843" s="54" t="str">
        <f>IF($AM843=0,"",IF($AF843&lt;&gt;"Forex",1,IF(MID(UPPER(SUBSTITUTE(TRIM($E843),"/","")),4,3)=UPPER(TRIM(Settings!$C$7)),1,IF(LEFT(UPPER(SUBSTITUTE(TRIM($E843),"/","")),3)=UPPER(TRIM(Settings!$C$7)),IF(AND(ISNUMBER($K843),N($K843)&lt;&gt;0),1/$K843,""),""))))</f>
        <v/>
      </c>
      <c r="AI843" s="55" t="str">
        <f>IF($AM843=0,"",IF(OR(NOT(ISNUMBER($H843)),NOT(ISNUMBER($K843)),NOT(ISNUMBER($G843)),$AG843="",$AH843=""),"",ROUND(($K843-$H843)*IF($F843="Short",-1,1)*$G843*$AG843*$AH843,6)))</f>
        <v/>
      </c>
      <c r="AJ843" s="55" t="str">
        <f>IF($AM843=0,"",IF(INDEX(Settings!$E$14:$E$18,$BF843)="% of notional",IF(OR($AG843="",NOT(ISNUMBER($H843)),NOT(ISNUMBER($G843))),"",ROUND(ABS($H843*$G843*$AG843*N($AH843))*IF($L843="Limit",N(INDEX(Settings!$G$14:$G$18,$BF843)),N(INDEX(Settings!$H$14:$H$18,$BF843)))+IF(ISNUMBER($K843),ABS($K843*$G843*$AG843*N($AH843))*IF($M843="Target",N(INDEX(Settings!$G$14:$G$18,$BF843)),N(INDEX(Settings!$H$14:$H$18,$BF843))),0),6)),IF(NOT(ISNUMBER($G843)),"",ROUND(ABS($G843)*2*IF(AND($BE843&gt;0,ISNUMBER(INDEX(Instruments!$G$6:$G$205,MAX(1,$BE843)))),INDEX(Instruments!$G$6:$G$205,MAX(1,$BE843)),N(INDEX(Settings!$F$14:$F$18,$BF843))),6))))</f>
        <v/>
      </c>
      <c r="AK843" s="55" t="str">
        <f>IF($AM843=0,"",IF(ISNUMBER($O843),$O843,$AI843))</f>
        <v/>
      </c>
      <c r="AL843" s="55" t="str">
        <f>IF($AM843=0,"",IF(ISNUMBER($P843),$P843,N($AJ843)))</f>
        <v/>
      </c>
      <c r="AM843" s="56">
        <f>IF(AND($A843&lt;&gt;"",$E843&lt;&gt;"",OR(AND(ISNUMBER($G843),ISNUMBER($H843),ISNUMBER($K843)),ISNUMBER($O843))),1,0)</f>
        <v>0</v>
      </c>
      <c r="AN843" s="57" t="str">
        <f>IF($A843="","",$A843-WEEKDAY($A843,3))</f>
        <v/>
      </c>
      <c r="AO843" s="56" t="str">
        <f>IF($A843="","",WEEKDAY($A843,2))</f>
        <v/>
      </c>
      <c r="AP843" s="55" t="str">
        <f>IF(OR($AM843=0,$C843=""),"",IFERROR(N(INDEX(Accounts!$E$7:$E$16,MATCH($C843,Accounts!$B$7:$B$16,0))),0)+SUMIFS($Q$6:$Q843,$C$6:$C843,$C843))</f>
        <v/>
      </c>
      <c r="AQ843" s="55" t="str">
        <f>IF(OR($AM843=0,$C843=""),"",SUMIFS($Q$6:$Q$1005,$C$6:$C$1005,$C843,$A$6:$A$1005,$A843))</f>
        <v/>
      </c>
      <c r="AR843" s="55" t="str">
        <f>IF(OR($AM843=0,$C843=""),"",IFERROR(N(INDEX(Accounts!$E$7:$E$16,MATCH($C843,Accounts!$B$7:$B$16,0))),0)+SUMIFS($Q$6:$Q$1005,$C$6:$C$1005,$C843,$A$6:$A$1005,"&lt;="&amp;$A843))</f>
        <v/>
      </c>
      <c r="AS843" s="56">
        <f>IF(OR($AM843=0,$Q843=""),0,IF(AND($A843&gt;=Lists!$W$6,$A843&lt;=Lists!$W$7,OR(Dashboard!$D$6="All accounts",$C843=Dashboard!$D$6),OR(Dashboard!$D$7="All markets",$AF843=Dashboard!$D$7)),1,0))</f>
        <v>0</v>
      </c>
      <c r="AT843" s="55">
        <f>IF($AS843=1,N(AT842)+$Q843,N(AT842))</f>
        <v>1187.10688</v>
      </c>
      <c r="AU843" s="55">
        <f>MAX(N(AU842),$AT843)</f>
        <v>1187.10688</v>
      </c>
      <c r="AV843" s="55">
        <f>$AT843-$AU843</f>
        <v>0</v>
      </c>
      <c r="AW843" s="56">
        <f>IF($AS843=1,IF($S843="Win",N(AW842)+1,IF($S843="Loss",0,N(AW842))),N(AW842))</f>
        <v>5</v>
      </c>
      <c r="AX843" s="56">
        <f>IF($AS843=1,IF($S843="Loss",N(AX842)+1,IF($S843="Win",0,N(AX842))),N(AX842))</f>
        <v>0</v>
      </c>
      <c r="AY843" s="56" t="str">
        <f>IF($AS843=1,COUNTIF($AS$6:$AS843,1),"")</f>
        <v/>
      </c>
      <c r="AZ843" s="56">
        <f>MIN(837,N(Lists!$W$8))</f>
        <v>28</v>
      </c>
      <c r="BA843" s="56">
        <f>IF($AS843=1,IF(COUNTIFS($A$6:$A843,$A843,$AS$6:$AS843,1)=1,1,0),0)</f>
        <v>0</v>
      </c>
      <c r="BB843" s="55" t="str">
        <f>IF($BA843=1,SUMIFS($Q$6:$Q$1005,$A$6:$A$1005,$A843,$AS$6:$AS$1005,1),"")</f>
        <v/>
      </c>
      <c r="BC843" s="56">
        <f>IF(ISNUMBER($R843),1,0)</f>
        <v>0</v>
      </c>
      <c r="BD843" s="55" t="str">
        <f>IF(ISNUMBER($U843),$U843*$V843,"")</f>
        <v/>
      </c>
      <c r="BE843" s="56" t="str">
        <f>IF($AM843=0,"",IFERROR(MATCH($AF843&amp;"|"&amp;UPPER(TRIM($E843)),Lists!$A$6:$A$205,0),0))</f>
        <v/>
      </c>
      <c r="BF843" s="56" t="str">
        <f>IF($AM843=0,"",IFERROR(MATCH($AF843,Settings!$B$14:$B$18,0),IFERROR(MATCH(Settings!$C$6,Settings!$B$14:$B$18,0),1)))</f>
        <v/>
      </c>
      <c r="BG843" s="58" t="str">
        <f>IF($AM843=0,"",IF(NOT(ISNUMBER($I843)),"No stop; ","")&amp;IF(AND(ISNUMBER($H843),ISNUMBER($I843)),IF(OR(AND($F843&lt;&gt;"Short",$I843&gt;=$H843),AND($F843="Short",$I843&lt;=$H843)),"Stop on wrong side; ",""),"")&amp;IF($F843="","No direction; ","")&amp;IF(AND(ISNUMBER(Settings!$C$22),ISNUMBER($V843)),IF($V843&gt;Settings!$C$22,"Risk over max $; ",""),"")&amp;IF(AND(ISNUMBER(Settings!$C$23),ISNUMBER($V843),ISNUMBER($AP843),IFERROR(N(INDEX(Accounts!$E$7:$E$16,MATCH($C843,Accounts!$B$7:$B$16,0))),0)&gt;0),IF($V843&gt;Settings!$C$23*($AP843-N($Q843)),"Risk over max %; ",""),"")&amp;IF(AND(ISNUMBER(Settings!$C$24),ISNUMBER($N843)),IF($N843&gt;Settings!$C$24,"Leverage over max; ",""),"")&amp;IF(AND(ISNUMBER(Settings!$C$27),ISNUMBER($T843)),IF($T843&lt;Settings!$C$27,"R:R below min; ",""),"")&amp;IF(ISNUMBER(Settings!$C$25),IF(COUNTIFS($A$6:$A843,$A843,$AM$6:$AM843,1)&gt;Settings!$C$25,"Over max trades/day; ",""),"")&amp;IF(ISNUMBER(Settings!$C$26),IF(SUMIFS($Q$5:$Q842,$A$5:$A842,$A843)&lt;=-Settings!$C$26,"Traded after daily max loss; ",""),"")&amp;IF(AND($AG843="",NOT(ISNUMBER($O843))),"Symbol not in Instruments; ","")&amp;IF(AND($AH843="",NOT(ISNUMBER($O843))),"Forex cross: type Gross P&amp;L; ",""))</f>
        <v/>
      </c>
      <c r="BH843" s="56">
        <f>IF(ISNUMBER($Q843),1,0)</f>
        <v>0</v>
      </c>
      <c r="BI843" s="56">
        <f>IF($Y843="",0,1)</f>
        <v>0</v>
      </c>
      <c r="BJ843" s="56">
        <f>IF($AB843="",0,1)</f>
        <v>0</v>
      </c>
      <c r="BK843" s="56">
        <f>IF(AND($BH843=1,$W843&lt;&gt;"OK"),1,0)</f>
        <v>0</v>
      </c>
      <c r="BL843" s="55">
        <f>IF(N($AZ843)=0,0,IFERROR(INDEX($AT$6:$AT$1005,MATCH($AZ843,$AY$6:$AY$1005,0)),0))</f>
        <v>1187.10688</v>
      </c>
      <c r="BM843" s="56">
        <f>IF(ISNUMBER(SEARCH("daily max loss",$BG843)),1,0)</f>
        <v>0</v>
      </c>
    </row>
    <row r="844" ht="18" customHeight="1">
      <c r="A844" s="38" t="n"/>
      <c r="B844" s="39" t="n"/>
      <c r="C844" s="40" t="n"/>
      <c r="D844" s="41" t="n"/>
      <c r="E844" s="41" t="n"/>
      <c r="F844" s="41" t="n"/>
      <c r="G844" s="41" t="n"/>
      <c r="H844" s="42" t="n"/>
      <c r="I844" s="42" t="n"/>
      <c r="J844" s="42" t="n"/>
      <c r="K844" s="42" t="n"/>
      <c r="L844" s="41" t="n"/>
      <c r="M844" s="41" t="n"/>
      <c r="N844" s="41" t="n"/>
      <c r="O844" s="43" t="n"/>
      <c r="P844" s="43" t="n"/>
      <c r="Q844" s="44" t="str">
        <f>IF($AM844=0,"",IF(ISNUMBER($AK844),$AK844-N($AL844),""))</f>
        <v/>
      </c>
      <c r="R844" s="45" t="str">
        <f>IF(OR($Q844="",NOT(ISNUMBER($V844))),"",$AK844/$V844)</f>
        <v/>
      </c>
      <c r="S844" s="46" t="str">
        <f>IF($Q844="","",IF(AND(ISNUMBER($R844),ABS(N($R844))&lt;N(Settings!$C$8)),"Scratch",IF($Q844&gt;0,"Win",IF($Q844&lt;0,"Loss","Scratch"))))</f>
        <v/>
      </c>
      <c r="T844" s="47" t="str">
        <f>IF(OR($AM844=0,NOT(ISNUMBER($H844)),NOT(ISNUMBER($I844)),NOT(ISNUMBER($J844))),"",IF($H844=$I844,"",ROUND(ABS($J844-$H844)/ABS($H844-$I844),6)))</f>
        <v/>
      </c>
      <c r="U844" s="48" t="str">
        <f>IF(OR($S844&lt;&gt;"Win",NOT(ISNUMBER($T844)),NOT(ISNUMBER($R844))),"",MAX(0,$T844-$R844))</f>
        <v/>
      </c>
      <c r="V844" s="49" t="str">
        <f>IF(OR($AM844=0,NOT(ISNUMBER($H844)),NOT(ISNUMBER($I844)),NOT(ISNUMBER($G844))),"",IF(OR($AG844="",$AH844=""),"",IF(ROUND(ABS($H844-$I844)*ABS($G844)*$AG844*$AH844,6)=0,"",ROUND(ABS($H844-$I844)*ABS($G844)*$AG844*$AH844,6))))</f>
        <v/>
      </c>
      <c r="W844" s="50" t="str">
        <f>IF($AM844=0,"",IF($BG844="","OK",LEFT($BG844,LEN($BG844)-2)))</f>
        <v/>
      </c>
      <c r="X844" s="41" t="n"/>
      <c r="Y844" s="40" t="n"/>
      <c r="Z844" s="41" t="n"/>
      <c r="AA844" s="41" t="n"/>
      <c r="AB844" s="40" t="n"/>
      <c r="AC844" s="51" t="n"/>
      <c r="AD844" s="51" t="n"/>
      <c r="AE844" s="40" t="n"/>
      <c r="AF844" s="52" t="str">
        <f>IF($AM844=0,"",IF($D844&lt;&gt;"",$D844,IF(IFERROR(INDEX(Accounts!$C$7:$C$16,MATCH($C844,Accounts!$B$7:$B$16,0))&amp;"","")&lt;&gt;"",INDEX(Accounts!$C$7:$C$16,MATCH($C844,Accounts!$B$7:$B$16,0)),Settings!$C$6)))</f>
        <v/>
      </c>
      <c r="AG844" s="53" t="str">
        <f>IF($AM844=0,"",IF(AND($BE844&gt;0,N(INDEX(Instruments!$D$6:$D$205,MAX(1,$BE844)))&gt;0),INDEX(Instruments!$D$6:$D$205,MAX(1,$BE844)),IF(N(INDEX(Settings!$D$14:$D$18,$BF844))&gt;0,INDEX(Settings!$D$14:$D$18,$BF844),"")))</f>
        <v/>
      </c>
      <c r="AH844" s="54" t="str">
        <f>IF($AM844=0,"",IF($AF844&lt;&gt;"Forex",1,IF(MID(UPPER(SUBSTITUTE(TRIM($E844),"/","")),4,3)=UPPER(TRIM(Settings!$C$7)),1,IF(LEFT(UPPER(SUBSTITUTE(TRIM($E844),"/","")),3)=UPPER(TRIM(Settings!$C$7)),IF(AND(ISNUMBER($K844),N($K844)&lt;&gt;0),1/$K844,""),""))))</f>
        <v/>
      </c>
      <c r="AI844" s="55" t="str">
        <f>IF($AM844=0,"",IF(OR(NOT(ISNUMBER($H844)),NOT(ISNUMBER($K844)),NOT(ISNUMBER($G844)),$AG844="",$AH844=""),"",ROUND(($K844-$H844)*IF($F844="Short",-1,1)*$G844*$AG844*$AH844,6)))</f>
        <v/>
      </c>
      <c r="AJ844" s="55" t="str">
        <f>IF($AM844=0,"",IF(INDEX(Settings!$E$14:$E$18,$BF844)="% of notional",IF(OR($AG844="",NOT(ISNUMBER($H844)),NOT(ISNUMBER($G844))),"",ROUND(ABS($H844*$G844*$AG844*N($AH844))*IF($L844="Limit",N(INDEX(Settings!$G$14:$G$18,$BF844)),N(INDEX(Settings!$H$14:$H$18,$BF844)))+IF(ISNUMBER($K844),ABS($K844*$G844*$AG844*N($AH844))*IF($M844="Target",N(INDEX(Settings!$G$14:$G$18,$BF844)),N(INDEX(Settings!$H$14:$H$18,$BF844))),0),6)),IF(NOT(ISNUMBER($G844)),"",ROUND(ABS($G844)*2*IF(AND($BE844&gt;0,ISNUMBER(INDEX(Instruments!$G$6:$G$205,MAX(1,$BE844)))),INDEX(Instruments!$G$6:$G$205,MAX(1,$BE844)),N(INDEX(Settings!$F$14:$F$18,$BF844))),6))))</f>
        <v/>
      </c>
      <c r="AK844" s="55" t="str">
        <f>IF($AM844=0,"",IF(ISNUMBER($O844),$O844,$AI844))</f>
        <v/>
      </c>
      <c r="AL844" s="55" t="str">
        <f>IF($AM844=0,"",IF(ISNUMBER($P844),$P844,N($AJ844)))</f>
        <v/>
      </c>
      <c r="AM844" s="56">
        <f>IF(AND($A844&lt;&gt;"",$E844&lt;&gt;"",OR(AND(ISNUMBER($G844),ISNUMBER($H844),ISNUMBER($K844)),ISNUMBER($O844))),1,0)</f>
        <v>0</v>
      </c>
      <c r="AN844" s="57" t="str">
        <f>IF($A844="","",$A844-WEEKDAY($A844,3))</f>
        <v/>
      </c>
      <c r="AO844" s="56" t="str">
        <f>IF($A844="","",WEEKDAY($A844,2))</f>
        <v/>
      </c>
      <c r="AP844" s="55" t="str">
        <f>IF(OR($AM844=0,$C844=""),"",IFERROR(N(INDEX(Accounts!$E$7:$E$16,MATCH($C844,Accounts!$B$7:$B$16,0))),0)+SUMIFS($Q$6:$Q844,$C$6:$C844,$C844))</f>
        <v/>
      </c>
      <c r="AQ844" s="55" t="str">
        <f>IF(OR($AM844=0,$C844=""),"",SUMIFS($Q$6:$Q$1005,$C$6:$C$1005,$C844,$A$6:$A$1005,$A844))</f>
        <v/>
      </c>
      <c r="AR844" s="55" t="str">
        <f>IF(OR($AM844=0,$C844=""),"",IFERROR(N(INDEX(Accounts!$E$7:$E$16,MATCH($C844,Accounts!$B$7:$B$16,0))),0)+SUMIFS($Q$6:$Q$1005,$C$6:$C$1005,$C844,$A$6:$A$1005,"&lt;="&amp;$A844))</f>
        <v/>
      </c>
      <c r="AS844" s="56">
        <f>IF(OR($AM844=0,$Q844=""),0,IF(AND($A844&gt;=Lists!$W$6,$A844&lt;=Lists!$W$7,OR(Dashboard!$D$6="All accounts",$C844=Dashboard!$D$6),OR(Dashboard!$D$7="All markets",$AF844=Dashboard!$D$7)),1,0))</f>
        <v>0</v>
      </c>
      <c r="AT844" s="55">
        <f>IF($AS844=1,N(AT843)+$Q844,N(AT843))</f>
        <v>1187.10688</v>
      </c>
      <c r="AU844" s="55">
        <f>MAX(N(AU843),$AT844)</f>
        <v>1187.10688</v>
      </c>
      <c r="AV844" s="55">
        <f>$AT844-$AU844</f>
        <v>0</v>
      </c>
      <c r="AW844" s="56">
        <f>IF($AS844=1,IF($S844="Win",N(AW843)+1,IF($S844="Loss",0,N(AW843))),N(AW843))</f>
        <v>5</v>
      </c>
      <c r="AX844" s="56">
        <f>IF($AS844=1,IF($S844="Loss",N(AX843)+1,IF($S844="Win",0,N(AX843))),N(AX843))</f>
        <v>0</v>
      </c>
      <c r="AY844" s="56" t="str">
        <f>IF($AS844=1,COUNTIF($AS$6:$AS844,1),"")</f>
        <v/>
      </c>
      <c r="AZ844" s="56">
        <f>MIN(838,N(Lists!$W$8))</f>
        <v>28</v>
      </c>
      <c r="BA844" s="56">
        <f>IF($AS844=1,IF(COUNTIFS($A$6:$A844,$A844,$AS$6:$AS844,1)=1,1,0),0)</f>
        <v>0</v>
      </c>
      <c r="BB844" s="55" t="str">
        <f>IF($BA844=1,SUMIFS($Q$6:$Q$1005,$A$6:$A$1005,$A844,$AS$6:$AS$1005,1),"")</f>
        <v/>
      </c>
      <c r="BC844" s="56">
        <f>IF(ISNUMBER($R844),1,0)</f>
        <v>0</v>
      </c>
      <c r="BD844" s="55" t="str">
        <f>IF(ISNUMBER($U844),$U844*$V844,"")</f>
        <v/>
      </c>
      <c r="BE844" s="56" t="str">
        <f>IF($AM844=0,"",IFERROR(MATCH($AF844&amp;"|"&amp;UPPER(TRIM($E844)),Lists!$A$6:$A$205,0),0))</f>
        <v/>
      </c>
      <c r="BF844" s="56" t="str">
        <f>IF($AM844=0,"",IFERROR(MATCH($AF844,Settings!$B$14:$B$18,0),IFERROR(MATCH(Settings!$C$6,Settings!$B$14:$B$18,0),1)))</f>
        <v/>
      </c>
      <c r="BG844" s="58" t="str">
        <f>IF($AM844=0,"",IF(NOT(ISNUMBER($I844)),"No stop; ","")&amp;IF(AND(ISNUMBER($H844),ISNUMBER($I844)),IF(OR(AND($F844&lt;&gt;"Short",$I844&gt;=$H844),AND($F844="Short",$I844&lt;=$H844)),"Stop on wrong side; ",""),"")&amp;IF($F844="","No direction; ","")&amp;IF(AND(ISNUMBER(Settings!$C$22),ISNUMBER($V844)),IF($V844&gt;Settings!$C$22,"Risk over max $; ",""),"")&amp;IF(AND(ISNUMBER(Settings!$C$23),ISNUMBER($V844),ISNUMBER($AP844),IFERROR(N(INDEX(Accounts!$E$7:$E$16,MATCH($C844,Accounts!$B$7:$B$16,0))),0)&gt;0),IF($V844&gt;Settings!$C$23*($AP844-N($Q844)),"Risk over max %; ",""),"")&amp;IF(AND(ISNUMBER(Settings!$C$24),ISNUMBER($N844)),IF($N844&gt;Settings!$C$24,"Leverage over max; ",""),"")&amp;IF(AND(ISNUMBER(Settings!$C$27),ISNUMBER($T844)),IF($T844&lt;Settings!$C$27,"R:R below min; ",""),"")&amp;IF(ISNUMBER(Settings!$C$25),IF(COUNTIFS($A$6:$A844,$A844,$AM$6:$AM844,1)&gt;Settings!$C$25,"Over max trades/day; ",""),"")&amp;IF(ISNUMBER(Settings!$C$26),IF(SUMIFS($Q$5:$Q843,$A$5:$A843,$A844)&lt;=-Settings!$C$26,"Traded after daily max loss; ",""),"")&amp;IF(AND($AG844="",NOT(ISNUMBER($O844))),"Symbol not in Instruments; ","")&amp;IF(AND($AH844="",NOT(ISNUMBER($O844))),"Forex cross: type Gross P&amp;L; ",""))</f>
        <v/>
      </c>
      <c r="BH844" s="56">
        <f>IF(ISNUMBER($Q844),1,0)</f>
        <v>0</v>
      </c>
      <c r="BI844" s="56">
        <f>IF($Y844="",0,1)</f>
        <v>0</v>
      </c>
      <c r="BJ844" s="56">
        <f>IF($AB844="",0,1)</f>
        <v>0</v>
      </c>
      <c r="BK844" s="56">
        <f>IF(AND($BH844=1,$W844&lt;&gt;"OK"),1,0)</f>
        <v>0</v>
      </c>
      <c r="BL844" s="55">
        <f>IF(N($AZ844)=0,0,IFERROR(INDEX($AT$6:$AT$1005,MATCH($AZ844,$AY$6:$AY$1005,0)),0))</f>
        <v>1187.10688</v>
      </c>
      <c r="BM844" s="56">
        <f>IF(ISNUMBER(SEARCH("daily max loss",$BG844)),1,0)</f>
        <v>0</v>
      </c>
    </row>
    <row r="845" ht="18" customHeight="1">
      <c r="A845" s="38" t="n"/>
      <c r="B845" s="39" t="n"/>
      <c r="C845" s="40" t="n"/>
      <c r="D845" s="41" t="n"/>
      <c r="E845" s="41" t="n"/>
      <c r="F845" s="41" t="n"/>
      <c r="G845" s="41" t="n"/>
      <c r="H845" s="42" t="n"/>
      <c r="I845" s="42" t="n"/>
      <c r="J845" s="42" t="n"/>
      <c r="K845" s="42" t="n"/>
      <c r="L845" s="41" t="n"/>
      <c r="M845" s="41" t="n"/>
      <c r="N845" s="41" t="n"/>
      <c r="O845" s="43" t="n"/>
      <c r="P845" s="43" t="n"/>
      <c r="Q845" s="44" t="str">
        <f>IF($AM845=0,"",IF(ISNUMBER($AK845),$AK845-N($AL845),""))</f>
        <v/>
      </c>
      <c r="R845" s="45" t="str">
        <f>IF(OR($Q845="",NOT(ISNUMBER($V845))),"",$AK845/$V845)</f>
        <v/>
      </c>
      <c r="S845" s="46" t="str">
        <f>IF($Q845="","",IF(AND(ISNUMBER($R845),ABS(N($R845))&lt;N(Settings!$C$8)),"Scratch",IF($Q845&gt;0,"Win",IF($Q845&lt;0,"Loss","Scratch"))))</f>
        <v/>
      </c>
      <c r="T845" s="47" t="str">
        <f>IF(OR($AM845=0,NOT(ISNUMBER($H845)),NOT(ISNUMBER($I845)),NOT(ISNUMBER($J845))),"",IF($H845=$I845,"",ROUND(ABS($J845-$H845)/ABS($H845-$I845),6)))</f>
        <v/>
      </c>
      <c r="U845" s="48" t="str">
        <f>IF(OR($S845&lt;&gt;"Win",NOT(ISNUMBER($T845)),NOT(ISNUMBER($R845))),"",MAX(0,$T845-$R845))</f>
        <v/>
      </c>
      <c r="V845" s="49" t="str">
        <f>IF(OR($AM845=0,NOT(ISNUMBER($H845)),NOT(ISNUMBER($I845)),NOT(ISNUMBER($G845))),"",IF(OR($AG845="",$AH845=""),"",IF(ROUND(ABS($H845-$I845)*ABS($G845)*$AG845*$AH845,6)=0,"",ROUND(ABS($H845-$I845)*ABS($G845)*$AG845*$AH845,6))))</f>
        <v/>
      </c>
      <c r="W845" s="50" t="str">
        <f>IF($AM845=0,"",IF($BG845="","OK",LEFT($BG845,LEN($BG845)-2)))</f>
        <v/>
      </c>
      <c r="X845" s="41" t="n"/>
      <c r="Y845" s="40" t="n"/>
      <c r="Z845" s="41" t="n"/>
      <c r="AA845" s="41" t="n"/>
      <c r="AB845" s="40" t="n"/>
      <c r="AC845" s="51" t="n"/>
      <c r="AD845" s="51" t="n"/>
      <c r="AE845" s="40" t="n"/>
      <c r="AF845" s="52" t="str">
        <f>IF($AM845=0,"",IF($D845&lt;&gt;"",$D845,IF(IFERROR(INDEX(Accounts!$C$7:$C$16,MATCH($C845,Accounts!$B$7:$B$16,0))&amp;"","")&lt;&gt;"",INDEX(Accounts!$C$7:$C$16,MATCH($C845,Accounts!$B$7:$B$16,0)),Settings!$C$6)))</f>
        <v/>
      </c>
      <c r="AG845" s="53" t="str">
        <f>IF($AM845=0,"",IF(AND($BE845&gt;0,N(INDEX(Instruments!$D$6:$D$205,MAX(1,$BE845)))&gt;0),INDEX(Instruments!$D$6:$D$205,MAX(1,$BE845)),IF(N(INDEX(Settings!$D$14:$D$18,$BF845))&gt;0,INDEX(Settings!$D$14:$D$18,$BF845),"")))</f>
        <v/>
      </c>
      <c r="AH845" s="54" t="str">
        <f>IF($AM845=0,"",IF($AF845&lt;&gt;"Forex",1,IF(MID(UPPER(SUBSTITUTE(TRIM($E845),"/","")),4,3)=UPPER(TRIM(Settings!$C$7)),1,IF(LEFT(UPPER(SUBSTITUTE(TRIM($E845),"/","")),3)=UPPER(TRIM(Settings!$C$7)),IF(AND(ISNUMBER($K845),N($K845)&lt;&gt;0),1/$K845,""),""))))</f>
        <v/>
      </c>
      <c r="AI845" s="55" t="str">
        <f>IF($AM845=0,"",IF(OR(NOT(ISNUMBER($H845)),NOT(ISNUMBER($K845)),NOT(ISNUMBER($G845)),$AG845="",$AH845=""),"",ROUND(($K845-$H845)*IF($F845="Short",-1,1)*$G845*$AG845*$AH845,6)))</f>
        <v/>
      </c>
      <c r="AJ845" s="55" t="str">
        <f>IF($AM845=0,"",IF(INDEX(Settings!$E$14:$E$18,$BF845)="% of notional",IF(OR($AG845="",NOT(ISNUMBER($H845)),NOT(ISNUMBER($G845))),"",ROUND(ABS($H845*$G845*$AG845*N($AH845))*IF($L845="Limit",N(INDEX(Settings!$G$14:$G$18,$BF845)),N(INDEX(Settings!$H$14:$H$18,$BF845)))+IF(ISNUMBER($K845),ABS($K845*$G845*$AG845*N($AH845))*IF($M845="Target",N(INDEX(Settings!$G$14:$G$18,$BF845)),N(INDEX(Settings!$H$14:$H$18,$BF845))),0),6)),IF(NOT(ISNUMBER($G845)),"",ROUND(ABS($G845)*2*IF(AND($BE845&gt;0,ISNUMBER(INDEX(Instruments!$G$6:$G$205,MAX(1,$BE845)))),INDEX(Instruments!$G$6:$G$205,MAX(1,$BE845)),N(INDEX(Settings!$F$14:$F$18,$BF845))),6))))</f>
        <v/>
      </c>
      <c r="AK845" s="55" t="str">
        <f>IF($AM845=0,"",IF(ISNUMBER($O845),$O845,$AI845))</f>
        <v/>
      </c>
      <c r="AL845" s="55" t="str">
        <f>IF($AM845=0,"",IF(ISNUMBER($P845),$P845,N($AJ845)))</f>
        <v/>
      </c>
      <c r="AM845" s="56">
        <f>IF(AND($A845&lt;&gt;"",$E845&lt;&gt;"",OR(AND(ISNUMBER($G845),ISNUMBER($H845),ISNUMBER($K845)),ISNUMBER($O845))),1,0)</f>
        <v>0</v>
      </c>
      <c r="AN845" s="57" t="str">
        <f>IF($A845="","",$A845-WEEKDAY($A845,3))</f>
        <v/>
      </c>
      <c r="AO845" s="56" t="str">
        <f>IF($A845="","",WEEKDAY($A845,2))</f>
        <v/>
      </c>
      <c r="AP845" s="55" t="str">
        <f>IF(OR($AM845=0,$C845=""),"",IFERROR(N(INDEX(Accounts!$E$7:$E$16,MATCH($C845,Accounts!$B$7:$B$16,0))),0)+SUMIFS($Q$6:$Q845,$C$6:$C845,$C845))</f>
        <v/>
      </c>
      <c r="AQ845" s="55" t="str">
        <f>IF(OR($AM845=0,$C845=""),"",SUMIFS($Q$6:$Q$1005,$C$6:$C$1005,$C845,$A$6:$A$1005,$A845))</f>
        <v/>
      </c>
      <c r="AR845" s="55" t="str">
        <f>IF(OR($AM845=0,$C845=""),"",IFERROR(N(INDEX(Accounts!$E$7:$E$16,MATCH($C845,Accounts!$B$7:$B$16,0))),0)+SUMIFS($Q$6:$Q$1005,$C$6:$C$1005,$C845,$A$6:$A$1005,"&lt;="&amp;$A845))</f>
        <v/>
      </c>
      <c r="AS845" s="56">
        <f>IF(OR($AM845=0,$Q845=""),0,IF(AND($A845&gt;=Lists!$W$6,$A845&lt;=Lists!$W$7,OR(Dashboard!$D$6="All accounts",$C845=Dashboard!$D$6),OR(Dashboard!$D$7="All markets",$AF845=Dashboard!$D$7)),1,0))</f>
        <v>0</v>
      </c>
      <c r="AT845" s="55">
        <f>IF($AS845=1,N(AT844)+$Q845,N(AT844))</f>
        <v>1187.10688</v>
      </c>
      <c r="AU845" s="55">
        <f>MAX(N(AU844),$AT845)</f>
        <v>1187.10688</v>
      </c>
      <c r="AV845" s="55">
        <f>$AT845-$AU845</f>
        <v>0</v>
      </c>
      <c r="AW845" s="56">
        <f>IF($AS845=1,IF($S845="Win",N(AW844)+1,IF($S845="Loss",0,N(AW844))),N(AW844))</f>
        <v>5</v>
      </c>
      <c r="AX845" s="56">
        <f>IF($AS845=1,IF($S845="Loss",N(AX844)+1,IF($S845="Win",0,N(AX844))),N(AX844))</f>
        <v>0</v>
      </c>
      <c r="AY845" s="56" t="str">
        <f>IF($AS845=1,COUNTIF($AS$6:$AS845,1),"")</f>
        <v/>
      </c>
      <c r="AZ845" s="56">
        <f>MIN(839,N(Lists!$W$8))</f>
        <v>28</v>
      </c>
      <c r="BA845" s="56">
        <f>IF($AS845=1,IF(COUNTIFS($A$6:$A845,$A845,$AS$6:$AS845,1)=1,1,0),0)</f>
        <v>0</v>
      </c>
      <c r="BB845" s="55" t="str">
        <f>IF($BA845=1,SUMIFS($Q$6:$Q$1005,$A$6:$A$1005,$A845,$AS$6:$AS$1005,1),"")</f>
        <v/>
      </c>
      <c r="BC845" s="56">
        <f>IF(ISNUMBER($R845),1,0)</f>
        <v>0</v>
      </c>
      <c r="BD845" s="55" t="str">
        <f>IF(ISNUMBER($U845),$U845*$V845,"")</f>
        <v/>
      </c>
      <c r="BE845" s="56" t="str">
        <f>IF($AM845=0,"",IFERROR(MATCH($AF845&amp;"|"&amp;UPPER(TRIM($E845)),Lists!$A$6:$A$205,0),0))</f>
        <v/>
      </c>
      <c r="BF845" s="56" t="str">
        <f>IF($AM845=0,"",IFERROR(MATCH($AF845,Settings!$B$14:$B$18,0),IFERROR(MATCH(Settings!$C$6,Settings!$B$14:$B$18,0),1)))</f>
        <v/>
      </c>
      <c r="BG845" s="58" t="str">
        <f>IF($AM845=0,"",IF(NOT(ISNUMBER($I845)),"No stop; ","")&amp;IF(AND(ISNUMBER($H845),ISNUMBER($I845)),IF(OR(AND($F845&lt;&gt;"Short",$I845&gt;=$H845),AND($F845="Short",$I845&lt;=$H845)),"Stop on wrong side; ",""),"")&amp;IF($F845="","No direction; ","")&amp;IF(AND(ISNUMBER(Settings!$C$22),ISNUMBER($V845)),IF($V845&gt;Settings!$C$22,"Risk over max $; ",""),"")&amp;IF(AND(ISNUMBER(Settings!$C$23),ISNUMBER($V845),ISNUMBER($AP845),IFERROR(N(INDEX(Accounts!$E$7:$E$16,MATCH($C845,Accounts!$B$7:$B$16,0))),0)&gt;0),IF($V845&gt;Settings!$C$23*($AP845-N($Q845)),"Risk over max %; ",""),"")&amp;IF(AND(ISNUMBER(Settings!$C$24),ISNUMBER($N845)),IF($N845&gt;Settings!$C$24,"Leverage over max; ",""),"")&amp;IF(AND(ISNUMBER(Settings!$C$27),ISNUMBER($T845)),IF($T845&lt;Settings!$C$27,"R:R below min; ",""),"")&amp;IF(ISNUMBER(Settings!$C$25),IF(COUNTIFS($A$6:$A845,$A845,$AM$6:$AM845,1)&gt;Settings!$C$25,"Over max trades/day; ",""),"")&amp;IF(ISNUMBER(Settings!$C$26),IF(SUMIFS($Q$5:$Q844,$A$5:$A844,$A845)&lt;=-Settings!$C$26,"Traded after daily max loss; ",""),"")&amp;IF(AND($AG845="",NOT(ISNUMBER($O845))),"Symbol not in Instruments; ","")&amp;IF(AND($AH845="",NOT(ISNUMBER($O845))),"Forex cross: type Gross P&amp;L; ",""))</f>
        <v/>
      </c>
      <c r="BH845" s="56">
        <f>IF(ISNUMBER($Q845),1,0)</f>
        <v>0</v>
      </c>
      <c r="BI845" s="56">
        <f>IF($Y845="",0,1)</f>
        <v>0</v>
      </c>
      <c r="BJ845" s="56">
        <f>IF($AB845="",0,1)</f>
        <v>0</v>
      </c>
      <c r="BK845" s="56">
        <f>IF(AND($BH845=1,$W845&lt;&gt;"OK"),1,0)</f>
        <v>0</v>
      </c>
      <c r="BL845" s="55">
        <f>IF(N($AZ845)=0,0,IFERROR(INDEX($AT$6:$AT$1005,MATCH($AZ845,$AY$6:$AY$1005,0)),0))</f>
        <v>1187.10688</v>
      </c>
      <c r="BM845" s="56">
        <f>IF(ISNUMBER(SEARCH("daily max loss",$BG845)),1,0)</f>
        <v>0</v>
      </c>
    </row>
    <row r="846" ht="18" customHeight="1">
      <c r="A846" s="38" t="n"/>
      <c r="B846" s="39" t="n"/>
      <c r="C846" s="40" t="n"/>
      <c r="D846" s="41" t="n"/>
      <c r="E846" s="41" t="n"/>
      <c r="F846" s="41" t="n"/>
      <c r="G846" s="41" t="n"/>
      <c r="H846" s="42" t="n"/>
      <c r="I846" s="42" t="n"/>
      <c r="J846" s="42" t="n"/>
      <c r="K846" s="42" t="n"/>
      <c r="L846" s="41" t="n"/>
      <c r="M846" s="41" t="n"/>
      <c r="N846" s="41" t="n"/>
      <c r="O846" s="43" t="n"/>
      <c r="P846" s="43" t="n"/>
      <c r="Q846" s="44" t="str">
        <f>IF($AM846=0,"",IF(ISNUMBER($AK846),$AK846-N($AL846),""))</f>
        <v/>
      </c>
      <c r="R846" s="45" t="str">
        <f>IF(OR($Q846="",NOT(ISNUMBER($V846))),"",$AK846/$V846)</f>
        <v/>
      </c>
      <c r="S846" s="46" t="str">
        <f>IF($Q846="","",IF(AND(ISNUMBER($R846),ABS(N($R846))&lt;N(Settings!$C$8)),"Scratch",IF($Q846&gt;0,"Win",IF($Q846&lt;0,"Loss","Scratch"))))</f>
        <v/>
      </c>
      <c r="T846" s="47" t="str">
        <f>IF(OR($AM846=0,NOT(ISNUMBER($H846)),NOT(ISNUMBER($I846)),NOT(ISNUMBER($J846))),"",IF($H846=$I846,"",ROUND(ABS($J846-$H846)/ABS($H846-$I846),6)))</f>
        <v/>
      </c>
      <c r="U846" s="48" t="str">
        <f>IF(OR($S846&lt;&gt;"Win",NOT(ISNUMBER($T846)),NOT(ISNUMBER($R846))),"",MAX(0,$T846-$R846))</f>
        <v/>
      </c>
      <c r="V846" s="49" t="str">
        <f>IF(OR($AM846=0,NOT(ISNUMBER($H846)),NOT(ISNUMBER($I846)),NOT(ISNUMBER($G846))),"",IF(OR($AG846="",$AH846=""),"",IF(ROUND(ABS($H846-$I846)*ABS($G846)*$AG846*$AH846,6)=0,"",ROUND(ABS($H846-$I846)*ABS($G846)*$AG846*$AH846,6))))</f>
        <v/>
      </c>
      <c r="W846" s="50" t="str">
        <f>IF($AM846=0,"",IF($BG846="","OK",LEFT($BG846,LEN($BG846)-2)))</f>
        <v/>
      </c>
      <c r="X846" s="41" t="n"/>
      <c r="Y846" s="40" t="n"/>
      <c r="Z846" s="41" t="n"/>
      <c r="AA846" s="41" t="n"/>
      <c r="AB846" s="40" t="n"/>
      <c r="AC846" s="51" t="n"/>
      <c r="AD846" s="51" t="n"/>
      <c r="AE846" s="40" t="n"/>
      <c r="AF846" s="52" t="str">
        <f>IF($AM846=0,"",IF($D846&lt;&gt;"",$D846,IF(IFERROR(INDEX(Accounts!$C$7:$C$16,MATCH($C846,Accounts!$B$7:$B$16,0))&amp;"","")&lt;&gt;"",INDEX(Accounts!$C$7:$C$16,MATCH($C846,Accounts!$B$7:$B$16,0)),Settings!$C$6)))</f>
        <v/>
      </c>
      <c r="AG846" s="53" t="str">
        <f>IF($AM846=0,"",IF(AND($BE846&gt;0,N(INDEX(Instruments!$D$6:$D$205,MAX(1,$BE846)))&gt;0),INDEX(Instruments!$D$6:$D$205,MAX(1,$BE846)),IF(N(INDEX(Settings!$D$14:$D$18,$BF846))&gt;0,INDEX(Settings!$D$14:$D$18,$BF846),"")))</f>
        <v/>
      </c>
      <c r="AH846" s="54" t="str">
        <f>IF($AM846=0,"",IF($AF846&lt;&gt;"Forex",1,IF(MID(UPPER(SUBSTITUTE(TRIM($E846),"/","")),4,3)=UPPER(TRIM(Settings!$C$7)),1,IF(LEFT(UPPER(SUBSTITUTE(TRIM($E846),"/","")),3)=UPPER(TRIM(Settings!$C$7)),IF(AND(ISNUMBER($K846),N($K846)&lt;&gt;0),1/$K846,""),""))))</f>
        <v/>
      </c>
      <c r="AI846" s="55" t="str">
        <f>IF($AM846=0,"",IF(OR(NOT(ISNUMBER($H846)),NOT(ISNUMBER($K846)),NOT(ISNUMBER($G846)),$AG846="",$AH846=""),"",ROUND(($K846-$H846)*IF($F846="Short",-1,1)*$G846*$AG846*$AH846,6)))</f>
        <v/>
      </c>
      <c r="AJ846" s="55" t="str">
        <f>IF($AM846=0,"",IF(INDEX(Settings!$E$14:$E$18,$BF846)="% of notional",IF(OR($AG846="",NOT(ISNUMBER($H846)),NOT(ISNUMBER($G846))),"",ROUND(ABS($H846*$G846*$AG846*N($AH846))*IF($L846="Limit",N(INDEX(Settings!$G$14:$G$18,$BF846)),N(INDEX(Settings!$H$14:$H$18,$BF846)))+IF(ISNUMBER($K846),ABS($K846*$G846*$AG846*N($AH846))*IF($M846="Target",N(INDEX(Settings!$G$14:$G$18,$BF846)),N(INDEX(Settings!$H$14:$H$18,$BF846))),0),6)),IF(NOT(ISNUMBER($G846)),"",ROUND(ABS($G846)*2*IF(AND($BE846&gt;0,ISNUMBER(INDEX(Instruments!$G$6:$G$205,MAX(1,$BE846)))),INDEX(Instruments!$G$6:$G$205,MAX(1,$BE846)),N(INDEX(Settings!$F$14:$F$18,$BF846))),6))))</f>
        <v/>
      </c>
      <c r="AK846" s="55" t="str">
        <f>IF($AM846=0,"",IF(ISNUMBER($O846),$O846,$AI846))</f>
        <v/>
      </c>
      <c r="AL846" s="55" t="str">
        <f>IF($AM846=0,"",IF(ISNUMBER($P846),$P846,N($AJ846)))</f>
        <v/>
      </c>
      <c r="AM846" s="56">
        <f>IF(AND($A846&lt;&gt;"",$E846&lt;&gt;"",OR(AND(ISNUMBER($G846),ISNUMBER($H846),ISNUMBER($K846)),ISNUMBER($O846))),1,0)</f>
        <v>0</v>
      </c>
      <c r="AN846" s="57" t="str">
        <f>IF($A846="","",$A846-WEEKDAY($A846,3))</f>
        <v/>
      </c>
      <c r="AO846" s="56" t="str">
        <f>IF($A846="","",WEEKDAY($A846,2))</f>
        <v/>
      </c>
      <c r="AP846" s="55" t="str">
        <f>IF(OR($AM846=0,$C846=""),"",IFERROR(N(INDEX(Accounts!$E$7:$E$16,MATCH($C846,Accounts!$B$7:$B$16,0))),0)+SUMIFS($Q$6:$Q846,$C$6:$C846,$C846))</f>
        <v/>
      </c>
      <c r="AQ846" s="55" t="str">
        <f>IF(OR($AM846=0,$C846=""),"",SUMIFS($Q$6:$Q$1005,$C$6:$C$1005,$C846,$A$6:$A$1005,$A846))</f>
        <v/>
      </c>
      <c r="AR846" s="55" t="str">
        <f>IF(OR($AM846=0,$C846=""),"",IFERROR(N(INDEX(Accounts!$E$7:$E$16,MATCH($C846,Accounts!$B$7:$B$16,0))),0)+SUMIFS($Q$6:$Q$1005,$C$6:$C$1005,$C846,$A$6:$A$1005,"&lt;="&amp;$A846))</f>
        <v/>
      </c>
      <c r="AS846" s="56">
        <f>IF(OR($AM846=0,$Q846=""),0,IF(AND($A846&gt;=Lists!$W$6,$A846&lt;=Lists!$W$7,OR(Dashboard!$D$6="All accounts",$C846=Dashboard!$D$6),OR(Dashboard!$D$7="All markets",$AF846=Dashboard!$D$7)),1,0))</f>
        <v>0</v>
      </c>
      <c r="AT846" s="55">
        <f>IF($AS846=1,N(AT845)+$Q846,N(AT845))</f>
        <v>1187.10688</v>
      </c>
      <c r="AU846" s="55">
        <f>MAX(N(AU845),$AT846)</f>
        <v>1187.10688</v>
      </c>
      <c r="AV846" s="55">
        <f>$AT846-$AU846</f>
        <v>0</v>
      </c>
      <c r="AW846" s="56">
        <f>IF($AS846=1,IF($S846="Win",N(AW845)+1,IF($S846="Loss",0,N(AW845))),N(AW845))</f>
        <v>5</v>
      </c>
      <c r="AX846" s="56">
        <f>IF($AS846=1,IF($S846="Loss",N(AX845)+1,IF($S846="Win",0,N(AX845))),N(AX845))</f>
        <v>0</v>
      </c>
      <c r="AY846" s="56" t="str">
        <f>IF($AS846=1,COUNTIF($AS$6:$AS846,1),"")</f>
        <v/>
      </c>
      <c r="AZ846" s="56">
        <f>MIN(840,N(Lists!$W$8))</f>
        <v>28</v>
      </c>
      <c r="BA846" s="56">
        <f>IF($AS846=1,IF(COUNTIFS($A$6:$A846,$A846,$AS$6:$AS846,1)=1,1,0),0)</f>
        <v>0</v>
      </c>
      <c r="BB846" s="55" t="str">
        <f>IF($BA846=1,SUMIFS($Q$6:$Q$1005,$A$6:$A$1005,$A846,$AS$6:$AS$1005,1),"")</f>
        <v/>
      </c>
      <c r="BC846" s="56">
        <f>IF(ISNUMBER($R846),1,0)</f>
        <v>0</v>
      </c>
      <c r="BD846" s="55" t="str">
        <f>IF(ISNUMBER($U846),$U846*$V846,"")</f>
        <v/>
      </c>
      <c r="BE846" s="56" t="str">
        <f>IF($AM846=0,"",IFERROR(MATCH($AF846&amp;"|"&amp;UPPER(TRIM($E846)),Lists!$A$6:$A$205,0),0))</f>
        <v/>
      </c>
      <c r="BF846" s="56" t="str">
        <f>IF($AM846=0,"",IFERROR(MATCH($AF846,Settings!$B$14:$B$18,0),IFERROR(MATCH(Settings!$C$6,Settings!$B$14:$B$18,0),1)))</f>
        <v/>
      </c>
      <c r="BG846" s="58" t="str">
        <f>IF($AM846=0,"",IF(NOT(ISNUMBER($I846)),"No stop; ","")&amp;IF(AND(ISNUMBER($H846),ISNUMBER($I846)),IF(OR(AND($F846&lt;&gt;"Short",$I846&gt;=$H846),AND($F846="Short",$I846&lt;=$H846)),"Stop on wrong side; ",""),"")&amp;IF($F846="","No direction; ","")&amp;IF(AND(ISNUMBER(Settings!$C$22),ISNUMBER($V846)),IF($V846&gt;Settings!$C$22,"Risk over max $; ",""),"")&amp;IF(AND(ISNUMBER(Settings!$C$23),ISNUMBER($V846),ISNUMBER($AP846),IFERROR(N(INDEX(Accounts!$E$7:$E$16,MATCH($C846,Accounts!$B$7:$B$16,0))),0)&gt;0),IF($V846&gt;Settings!$C$23*($AP846-N($Q846)),"Risk over max %; ",""),"")&amp;IF(AND(ISNUMBER(Settings!$C$24),ISNUMBER($N846)),IF($N846&gt;Settings!$C$24,"Leverage over max; ",""),"")&amp;IF(AND(ISNUMBER(Settings!$C$27),ISNUMBER($T846)),IF($T846&lt;Settings!$C$27,"R:R below min; ",""),"")&amp;IF(ISNUMBER(Settings!$C$25),IF(COUNTIFS($A$6:$A846,$A846,$AM$6:$AM846,1)&gt;Settings!$C$25,"Over max trades/day; ",""),"")&amp;IF(ISNUMBER(Settings!$C$26),IF(SUMIFS($Q$5:$Q845,$A$5:$A845,$A846)&lt;=-Settings!$C$26,"Traded after daily max loss; ",""),"")&amp;IF(AND($AG846="",NOT(ISNUMBER($O846))),"Symbol not in Instruments; ","")&amp;IF(AND($AH846="",NOT(ISNUMBER($O846))),"Forex cross: type Gross P&amp;L; ",""))</f>
        <v/>
      </c>
      <c r="BH846" s="56">
        <f>IF(ISNUMBER($Q846),1,0)</f>
        <v>0</v>
      </c>
      <c r="BI846" s="56">
        <f>IF($Y846="",0,1)</f>
        <v>0</v>
      </c>
      <c r="BJ846" s="56">
        <f>IF($AB846="",0,1)</f>
        <v>0</v>
      </c>
      <c r="BK846" s="56">
        <f>IF(AND($BH846=1,$W846&lt;&gt;"OK"),1,0)</f>
        <v>0</v>
      </c>
      <c r="BL846" s="55">
        <f>IF(N($AZ846)=0,0,IFERROR(INDEX($AT$6:$AT$1005,MATCH($AZ846,$AY$6:$AY$1005,0)),0))</f>
        <v>1187.10688</v>
      </c>
      <c r="BM846" s="56">
        <f>IF(ISNUMBER(SEARCH("daily max loss",$BG846)),1,0)</f>
        <v>0</v>
      </c>
    </row>
    <row r="847" ht="18" customHeight="1">
      <c r="A847" s="38" t="n"/>
      <c r="B847" s="39" t="n"/>
      <c r="C847" s="40" t="n"/>
      <c r="D847" s="41" t="n"/>
      <c r="E847" s="41" t="n"/>
      <c r="F847" s="41" t="n"/>
      <c r="G847" s="41" t="n"/>
      <c r="H847" s="42" t="n"/>
      <c r="I847" s="42" t="n"/>
      <c r="J847" s="42" t="n"/>
      <c r="K847" s="42" t="n"/>
      <c r="L847" s="41" t="n"/>
      <c r="M847" s="41" t="n"/>
      <c r="N847" s="41" t="n"/>
      <c r="O847" s="43" t="n"/>
      <c r="P847" s="43" t="n"/>
      <c r="Q847" s="44" t="str">
        <f>IF($AM847=0,"",IF(ISNUMBER($AK847),$AK847-N($AL847),""))</f>
        <v/>
      </c>
      <c r="R847" s="45" t="str">
        <f>IF(OR($Q847="",NOT(ISNUMBER($V847))),"",$AK847/$V847)</f>
        <v/>
      </c>
      <c r="S847" s="46" t="str">
        <f>IF($Q847="","",IF(AND(ISNUMBER($R847),ABS(N($R847))&lt;N(Settings!$C$8)),"Scratch",IF($Q847&gt;0,"Win",IF($Q847&lt;0,"Loss","Scratch"))))</f>
        <v/>
      </c>
      <c r="T847" s="47" t="str">
        <f>IF(OR($AM847=0,NOT(ISNUMBER($H847)),NOT(ISNUMBER($I847)),NOT(ISNUMBER($J847))),"",IF($H847=$I847,"",ROUND(ABS($J847-$H847)/ABS($H847-$I847),6)))</f>
        <v/>
      </c>
      <c r="U847" s="48" t="str">
        <f>IF(OR($S847&lt;&gt;"Win",NOT(ISNUMBER($T847)),NOT(ISNUMBER($R847))),"",MAX(0,$T847-$R847))</f>
        <v/>
      </c>
      <c r="V847" s="49" t="str">
        <f>IF(OR($AM847=0,NOT(ISNUMBER($H847)),NOT(ISNUMBER($I847)),NOT(ISNUMBER($G847))),"",IF(OR($AG847="",$AH847=""),"",IF(ROUND(ABS($H847-$I847)*ABS($G847)*$AG847*$AH847,6)=0,"",ROUND(ABS($H847-$I847)*ABS($G847)*$AG847*$AH847,6))))</f>
        <v/>
      </c>
      <c r="W847" s="50" t="str">
        <f>IF($AM847=0,"",IF($BG847="","OK",LEFT($BG847,LEN($BG847)-2)))</f>
        <v/>
      </c>
      <c r="X847" s="41" t="n"/>
      <c r="Y847" s="40" t="n"/>
      <c r="Z847" s="41" t="n"/>
      <c r="AA847" s="41" t="n"/>
      <c r="AB847" s="40" t="n"/>
      <c r="AC847" s="51" t="n"/>
      <c r="AD847" s="51" t="n"/>
      <c r="AE847" s="40" t="n"/>
      <c r="AF847" s="52" t="str">
        <f>IF($AM847=0,"",IF($D847&lt;&gt;"",$D847,IF(IFERROR(INDEX(Accounts!$C$7:$C$16,MATCH($C847,Accounts!$B$7:$B$16,0))&amp;"","")&lt;&gt;"",INDEX(Accounts!$C$7:$C$16,MATCH($C847,Accounts!$B$7:$B$16,0)),Settings!$C$6)))</f>
        <v/>
      </c>
      <c r="AG847" s="53" t="str">
        <f>IF($AM847=0,"",IF(AND($BE847&gt;0,N(INDEX(Instruments!$D$6:$D$205,MAX(1,$BE847)))&gt;0),INDEX(Instruments!$D$6:$D$205,MAX(1,$BE847)),IF(N(INDEX(Settings!$D$14:$D$18,$BF847))&gt;0,INDEX(Settings!$D$14:$D$18,$BF847),"")))</f>
        <v/>
      </c>
      <c r="AH847" s="54" t="str">
        <f>IF($AM847=0,"",IF($AF847&lt;&gt;"Forex",1,IF(MID(UPPER(SUBSTITUTE(TRIM($E847),"/","")),4,3)=UPPER(TRIM(Settings!$C$7)),1,IF(LEFT(UPPER(SUBSTITUTE(TRIM($E847),"/","")),3)=UPPER(TRIM(Settings!$C$7)),IF(AND(ISNUMBER($K847),N($K847)&lt;&gt;0),1/$K847,""),""))))</f>
        <v/>
      </c>
      <c r="AI847" s="55" t="str">
        <f>IF($AM847=0,"",IF(OR(NOT(ISNUMBER($H847)),NOT(ISNUMBER($K847)),NOT(ISNUMBER($G847)),$AG847="",$AH847=""),"",ROUND(($K847-$H847)*IF($F847="Short",-1,1)*$G847*$AG847*$AH847,6)))</f>
        <v/>
      </c>
      <c r="AJ847" s="55" t="str">
        <f>IF($AM847=0,"",IF(INDEX(Settings!$E$14:$E$18,$BF847)="% of notional",IF(OR($AG847="",NOT(ISNUMBER($H847)),NOT(ISNUMBER($G847))),"",ROUND(ABS($H847*$G847*$AG847*N($AH847))*IF($L847="Limit",N(INDEX(Settings!$G$14:$G$18,$BF847)),N(INDEX(Settings!$H$14:$H$18,$BF847)))+IF(ISNUMBER($K847),ABS($K847*$G847*$AG847*N($AH847))*IF($M847="Target",N(INDEX(Settings!$G$14:$G$18,$BF847)),N(INDEX(Settings!$H$14:$H$18,$BF847))),0),6)),IF(NOT(ISNUMBER($G847)),"",ROUND(ABS($G847)*2*IF(AND($BE847&gt;0,ISNUMBER(INDEX(Instruments!$G$6:$G$205,MAX(1,$BE847)))),INDEX(Instruments!$G$6:$G$205,MAX(1,$BE847)),N(INDEX(Settings!$F$14:$F$18,$BF847))),6))))</f>
        <v/>
      </c>
      <c r="AK847" s="55" t="str">
        <f>IF($AM847=0,"",IF(ISNUMBER($O847),$O847,$AI847))</f>
        <v/>
      </c>
      <c r="AL847" s="55" t="str">
        <f>IF($AM847=0,"",IF(ISNUMBER($P847),$P847,N($AJ847)))</f>
        <v/>
      </c>
      <c r="AM847" s="56">
        <f>IF(AND($A847&lt;&gt;"",$E847&lt;&gt;"",OR(AND(ISNUMBER($G847),ISNUMBER($H847),ISNUMBER($K847)),ISNUMBER($O847))),1,0)</f>
        <v>0</v>
      </c>
      <c r="AN847" s="57" t="str">
        <f>IF($A847="","",$A847-WEEKDAY($A847,3))</f>
        <v/>
      </c>
      <c r="AO847" s="56" t="str">
        <f>IF($A847="","",WEEKDAY($A847,2))</f>
        <v/>
      </c>
      <c r="AP847" s="55" t="str">
        <f>IF(OR($AM847=0,$C847=""),"",IFERROR(N(INDEX(Accounts!$E$7:$E$16,MATCH($C847,Accounts!$B$7:$B$16,0))),0)+SUMIFS($Q$6:$Q847,$C$6:$C847,$C847))</f>
        <v/>
      </c>
      <c r="AQ847" s="55" t="str">
        <f>IF(OR($AM847=0,$C847=""),"",SUMIFS($Q$6:$Q$1005,$C$6:$C$1005,$C847,$A$6:$A$1005,$A847))</f>
        <v/>
      </c>
      <c r="AR847" s="55" t="str">
        <f>IF(OR($AM847=0,$C847=""),"",IFERROR(N(INDEX(Accounts!$E$7:$E$16,MATCH($C847,Accounts!$B$7:$B$16,0))),0)+SUMIFS($Q$6:$Q$1005,$C$6:$C$1005,$C847,$A$6:$A$1005,"&lt;="&amp;$A847))</f>
        <v/>
      </c>
      <c r="AS847" s="56">
        <f>IF(OR($AM847=0,$Q847=""),0,IF(AND($A847&gt;=Lists!$W$6,$A847&lt;=Lists!$W$7,OR(Dashboard!$D$6="All accounts",$C847=Dashboard!$D$6),OR(Dashboard!$D$7="All markets",$AF847=Dashboard!$D$7)),1,0))</f>
        <v>0</v>
      </c>
      <c r="AT847" s="55">
        <f>IF($AS847=1,N(AT846)+$Q847,N(AT846))</f>
        <v>1187.10688</v>
      </c>
      <c r="AU847" s="55">
        <f>MAX(N(AU846),$AT847)</f>
        <v>1187.10688</v>
      </c>
      <c r="AV847" s="55">
        <f>$AT847-$AU847</f>
        <v>0</v>
      </c>
      <c r="AW847" s="56">
        <f>IF($AS847=1,IF($S847="Win",N(AW846)+1,IF($S847="Loss",0,N(AW846))),N(AW846))</f>
        <v>5</v>
      </c>
      <c r="AX847" s="56">
        <f>IF($AS847=1,IF($S847="Loss",N(AX846)+1,IF($S847="Win",0,N(AX846))),N(AX846))</f>
        <v>0</v>
      </c>
      <c r="AY847" s="56" t="str">
        <f>IF($AS847=1,COUNTIF($AS$6:$AS847,1),"")</f>
        <v/>
      </c>
      <c r="AZ847" s="56">
        <f>MIN(841,N(Lists!$W$8))</f>
        <v>28</v>
      </c>
      <c r="BA847" s="56">
        <f>IF($AS847=1,IF(COUNTIFS($A$6:$A847,$A847,$AS$6:$AS847,1)=1,1,0),0)</f>
        <v>0</v>
      </c>
      <c r="BB847" s="55" t="str">
        <f>IF($BA847=1,SUMIFS($Q$6:$Q$1005,$A$6:$A$1005,$A847,$AS$6:$AS$1005,1),"")</f>
        <v/>
      </c>
      <c r="BC847" s="56">
        <f>IF(ISNUMBER($R847),1,0)</f>
        <v>0</v>
      </c>
      <c r="BD847" s="55" t="str">
        <f>IF(ISNUMBER($U847),$U847*$V847,"")</f>
        <v/>
      </c>
      <c r="BE847" s="56" t="str">
        <f>IF($AM847=0,"",IFERROR(MATCH($AF847&amp;"|"&amp;UPPER(TRIM($E847)),Lists!$A$6:$A$205,0),0))</f>
        <v/>
      </c>
      <c r="BF847" s="56" t="str">
        <f>IF($AM847=0,"",IFERROR(MATCH($AF847,Settings!$B$14:$B$18,0),IFERROR(MATCH(Settings!$C$6,Settings!$B$14:$B$18,0),1)))</f>
        <v/>
      </c>
      <c r="BG847" s="58" t="str">
        <f>IF($AM847=0,"",IF(NOT(ISNUMBER($I847)),"No stop; ","")&amp;IF(AND(ISNUMBER($H847),ISNUMBER($I847)),IF(OR(AND($F847&lt;&gt;"Short",$I847&gt;=$H847),AND($F847="Short",$I847&lt;=$H847)),"Stop on wrong side; ",""),"")&amp;IF($F847="","No direction; ","")&amp;IF(AND(ISNUMBER(Settings!$C$22),ISNUMBER($V847)),IF($V847&gt;Settings!$C$22,"Risk over max $; ",""),"")&amp;IF(AND(ISNUMBER(Settings!$C$23),ISNUMBER($V847),ISNUMBER($AP847),IFERROR(N(INDEX(Accounts!$E$7:$E$16,MATCH($C847,Accounts!$B$7:$B$16,0))),0)&gt;0),IF($V847&gt;Settings!$C$23*($AP847-N($Q847)),"Risk over max %; ",""),"")&amp;IF(AND(ISNUMBER(Settings!$C$24),ISNUMBER($N847)),IF($N847&gt;Settings!$C$24,"Leverage over max; ",""),"")&amp;IF(AND(ISNUMBER(Settings!$C$27),ISNUMBER($T847)),IF($T847&lt;Settings!$C$27,"R:R below min; ",""),"")&amp;IF(ISNUMBER(Settings!$C$25),IF(COUNTIFS($A$6:$A847,$A847,$AM$6:$AM847,1)&gt;Settings!$C$25,"Over max trades/day; ",""),"")&amp;IF(ISNUMBER(Settings!$C$26),IF(SUMIFS($Q$5:$Q846,$A$5:$A846,$A847)&lt;=-Settings!$C$26,"Traded after daily max loss; ",""),"")&amp;IF(AND($AG847="",NOT(ISNUMBER($O847))),"Symbol not in Instruments; ","")&amp;IF(AND($AH847="",NOT(ISNUMBER($O847))),"Forex cross: type Gross P&amp;L; ",""))</f>
        <v/>
      </c>
      <c r="BH847" s="56">
        <f>IF(ISNUMBER($Q847),1,0)</f>
        <v>0</v>
      </c>
      <c r="BI847" s="56">
        <f>IF($Y847="",0,1)</f>
        <v>0</v>
      </c>
      <c r="BJ847" s="56">
        <f>IF($AB847="",0,1)</f>
        <v>0</v>
      </c>
      <c r="BK847" s="56">
        <f>IF(AND($BH847=1,$W847&lt;&gt;"OK"),1,0)</f>
        <v>0</v>
      </c>
      <c r="BL847" s="55">
        <f>IF(N($AZ847)=0,0,IFERROR(INDEX($AT$6:$AT$1005,MATCH($AZ847,$AY$6:$AY$1005,0)),0))</f>
        <v>1187.10688</v>
      </c>
      <c r="BM847" s="56">
        <f>IF(ISNUMBER(SEARCH("daily max loss",$BG847)),1,0)</f>
        <v>0</v>
      </c>
    </row>
    <row r="848" ht="18" customHeight="1">
      <c r="A848" s="38" t="n"/>
      <c r="B848" s="39" t="n"/>
      <c r="C848" s="40" t="n"/>
      <c r="D848" s="41" t="n"/>
      <c r="E848" s="41" t="n"/>
      <c r="F848" s="41" t="n"/>
      <c r="G848" s="41" t="n"/>
      <c r="H848" s="42" t="n"/>
      <c r="I848" s="42" t="n"/>
      <c r="J848" s="42" t="n"/>
      <c r="K848" s="42" t="n"/>
      <c r="L848" s="41" t="n"/>
      <c r="M848" s="41" t="n"/>
      <c r="N848" s="41" t="n"/>
      <c r="O848" s="43" t="n"/>
      <c r="P848" s="43" t="n"/>
      <c r="Q848" s="44" t="str">
        <f>IF($AM848=0,"",IF(ISNUMBER($AK848),$AK848-N($AL848),""))</f>
        <v/>
      </c>
      <c r="R848" s="45" t="str">
        <f>IF(OR($Q848="",NOT(ISNUMBER($V848))),"",$AK848/$V848)</f>
        <v/>
      </c>
      <c r="S848" s="46" t="str">
        <f>IF($Q848="","",IF(AND(ISNUMBER($R848),ABS(N($R848))&lt;N(Settings!$C$8)),"Scratch",IF($Q848&gt;0,"Win",IF($Q848&lt;0,"Loss","Scratch"))))</f>
        <v/>
      </c>
      <c r="T848" s="47" t="str">
        <f>IF(OR($AM848=0,NOT(ISNUMBER($H848)),NOT(ISNUMBER($I848)),NOT(ISNUMBER($J848))),"",IF($H848=$I848,"",ROUND(ABS($J848-$H848)/ABS($H848-$I848),6)))</f>
        <v/>
      </c>
      <c r="U848" s="48" t="str">
        <f>IF(OR($S848&lt;&gt;"Win",NOT(ISNUMBER($T848)),NOT(ISNUMBER($R848))),"",MAX(0,$T848-$R848))</f>
        <v/>
      </c>
      <c r="V848" s="49" t="str">
        <f>IF(OR($AM848=0,NOT(ISNUMBER($H848)),NOT(ISNUMBER($I848)),NOT(ISNUMBER($G848))),"",IF(OR($AG848="",$AH848=""),"",IF(ROUND(ABS($H848-$I848)*ABS($G848)*$AG848*$AH848,6)=0,"",ROUND(ABS($H848-$I848)*ABS($G848)*$AG848*$AH848,6))))</f>
        <v/>
      </c>
      <c r="W848" s="50" t="str">
        <f>IF($AM848=0,"",IF($BG848="","OK",LEFT($BG848,LEN($BG848)-2)))</f>
        <v/>
      </c>
      <c r="X848" s="41" t="n"/>
      <c r="Y848" s="40" t="n"/>
      <c r="Z848" s="41" t="n"/>
      <c r="AA848" s="41" t="n"/>
      <c r="AB848" s="40" t="n"/>
      <c r="AC848" s="51" t="n"/>
      <c r="AD848" s="51" t="n"/>
      <c r="AE848" s="40" t="n"/>
      <c r="AF848" s="52" t="str">
        <f>IF($AM848=0,"",IF($D848&lt;&gt;"",$D848,IF(IFERROR(INDEX(Accounts!$C$7:$C$16,MATCH($C848,Accounts!$B$7:$B$16,0))&amp;"","")&lt;&gt;"",INDEX(Accounts!$C$7:$C$16,MATCH($C848,Accounts!$B$7:$B$16,0)),Settings!$C$6)))</f>
        <v/>
      </c>
      <c r="AG848" s="53" t="str">
        <f>IF($AM848=0,"",IF(AND($BE848&gt;0,N(INDEX(Instruments!$D$6:$D$205,MAX(1,$BE848)))&gt;0),INDEX(Instruments!$D$6:$D$205,MAX(1,$BE848)),IF(N(INDEX(Settings!$D$14:$D$18,$BF848))&gt;0,INDEX(Settings!$D$14:$D$18,$BF848),"")))</f>
        <v/>
      </c>
      <c r="AH848" s="54" t="str">
        <f>IF($AM848=0,"",IF($AF848&lt;&gt;"Forex",1,IF(MID(UPPER(SUBSTITUTE(TRIM($E848),"/","")),4,3)=UPPER(TRIM(Settings!$C$7)),1,IF(LEFT(UPPER(SUBSTITUTE(TRIM($E848),"/","")),3)=UPPER(TRIM(Settings!$C$7)),IF(AND(ISNUMBER($K848),N($K848)&lt;&gt;0),1/$K848,""),""))))</f>
        <v/>
      </c>
      <c r="AI848" s="55" t="str">
        <f>IF($AM848=0,"",IF(OR(NOT(ISNUMBER($H848)),NOT(ISNUMBER($K848)),NOT(ISNUMBER($G848)),$AG848="",$AH848=""),"",ROUND(($K848-$H848)*IF($F848="Short",-1,1)*$G848*$AG848*$AH848,6)))</f>
        <v/>
      </c>
      <c r="AJ848" s="55" t="str">
        <f>IF($AM848=0,"",IF(INDEX(Settings!$E$14:$E$18,$BF848)="% of notional",IF(OR($AG848="",NOT(ISNUMBER($H848)),NOT(ISNUMBER($G848))),"",ROUND(ABS($H848*$G848*$AG848*N($AH848))*IF($L848="Limit",N(INDEX(Settings!$G$14:$G$18,$BF848)),N(INDEX(Settings!$H$14:$H$18,$BF848)))+IF(ISNUMBER($K848),ABS($K848*$G848*$AG848*N($AH848))*IF($M848="Target",N(INDEX(Settings!$G$14:$G$18,$BF848)),N(INDEX(Settings!$H$14:$H$18,$BF848))),0),6)),IF(NOT(ISNUMBER($G848)),"",ROUND(ABS($G848)*2*IF(AND($BE848&gt;0,ISNUMBER(INDEX(Instruments!$G$6:$G$205,MAX(1,$BE848)))),INDEX(Instruments!$G$6:$G$205,MAX(1,$BE848)),N(INDEX(Settings!$F$14:$F$18,$BF848))),6))))</f>
        <v/>
      </c>
      <c r="AK848" s="55" t="str">
        <f>IF($AM848=0,"",IF(ISNUMBER($O848),$O848,$AI848))</f>
        <v/>
      </c>
      <c r="AL848" s="55" t="str">
        <f>IF($AM848=0,"",IF(ISNUMBER($P848),$P848,N($AJ848)))</f>
        <v/>
      </c>
      <c r="AM848" s="56">
        <f>IF(AND($A848&lt;&gt;"",$E848&lt;&gt;"",OR(AND(ISNUMBER($G848),ISNUMBER($H848),ISNUMBER($K848)),ISNUMBER($O848))),1,0)</f>
        <v>0</v>
      </c>
      <c r="AN848" s="57" t="str">
        <f>IF($A848="","",$A848-WEEKDAY($A848,3))</f>
        <v/>
      </c>
      <c r="AO848" s="56" t="str">
        <f>IF($A848="","",WEEKDAY($A848,2))</f>
        <v/>
      </c>
      <c r="AP848" s="55" t="str">
        <f>IF(OR($AM848=0,$C848=""),"",IFERROR(N(INDEX(Accounts!$E$7:$E$16,MATCH($C848,Accounts!$B$7:$B$16,0))),0)+SUMIFS($Q$6:$Q848,$C$6:$C848,$C848))</f>
        <v/>
      </c>
      <c r="AQ848" s="55" t="str">
        <f>IF(OR($AM848=0,$C848=""),"",SUMIFS($Q$6:$Q$1005,$C$6:$C$1005,$C848,$A$6:$A$1005,$A848))</f>
        <v/>
      </c>
      <c r="AR848" s="55" t="str">
        <f>IF(OR($AM848=0,$C848=""),"",IFERROR(N(INDEX(Accounts!$E$7:$E$16,MATCH($C848,Accounts!$B$7:$B$16,0))),0)+SUMIFS($Q$6:$Q$1005,$C$6:$C$1005,$C848,$A$6:$A$1005,"&lt;="&amp;$A848))</f>
        <v/>
      </c>
      <c r="AS848" s="56">
        <f>IF(OR($AM848=0,$Q848=""),0,IF(AND($A848&gt;=Lists!$W$6,$A848&lt;=Lists!$W$7,OR(Dashboard!$D$6="All accounts",$C848=Dashboard!$D$6),OR(Dashboard!$D$7="All markets",$AF848=Dashboard!$D$7)),1,0))</f>
        <v>0</v>
      </c>
      <c r="AT848" s="55">
        <f>IF($AS848=1,N(AT847)+$Q848,N(AT847))</f>
        <v>1187.10688</v>
      </c>
      <c r="AU848" s="55">
        <f>MAX(N(AU847),$AT848)</f>
        <v>1187.10688</v>
      </c>
      <c r="AV848" s="55">
        <f>$AT848-$AU848</f>
        <v>0</v>
      </c>
      <c r="AW848" s="56">
        <f>IF($AS848=1,IF($S848="Win",N(AW847)+1,IF($S848="Loss",0,N(AW847))),N(AW847))</f>
        <v>5</v>
      </c>
      <c r="AX848" s="56">
        <f>IF($AS848=1,IF($S848="Loss",N(AX847)+1,IF($S848="Win",0,N(AX847))),N(AX847))</f>
        <v>0</v>
      </c>
      <c r="AY848" s="56" t="str">
        <f>IF($AS848=1,COUNTIF($AS$6:$AS848,1),"")</f>
        <v/>
      </c>
      <c r="AZ848" s="56">
        <f>MIN(842,N(Lists!$W$8))</f>
        <v>28</v>
      </c>
      <c r="BA848" s="56">
        <f>IF($AS848=1,IF(COUNTIFS($A$6:$A848,$A848,$AS$6:$AS848,1)=1,1,0),0)</f>
        <v>0</v>
      </c>
      <c r="BB848" s="55" t="str">
        <f>IF($BA848=1,SUMIFS($Q$6:$Q$1005,$A$6:$A$1005,$A848,$AS$6:$AS$1005,1),"")</f>
        <v/>
      </c>
      <c r="BC848" s="56">
        <f>IF(ISNUMBER($R848),1,0)</f>
        <v>0</v>
      </c>
      <c r="BD848" s="55" t="str">
        <f>IF(ISNUMBER($U848),$U848*$V848,"")</f>
        <v/>
      </c>
      <c r="BE848" s="56" t="str">
        <f>IF($AM848=0,"",IFERROR(MATCH($AF848&amp;"|"&amp;UPPER(TRIM($E848)),Lists!$A$6:$A$205,0),0))</f>
        <v/>
      </c>
      <c r="BF848" s="56" t="str">
        <f>IF($AM848=0,"",IFERROR(MATCH($AF848,Settings!$B$14:$B$18,0),IFERROR(MATCH(Settings!$C$6,Settings!$B$14:$B$18,0),1)))</f>
        <v/>
      </c>
      <c r="BG848" s="58" t="str">
        <f>IF($AM848=0,"",IF(NOT(ISNUMBER($I848)),"No stop; ","")&amp;IF(AND(ISNUMBER($H848),ISNUMBER($I848)),IF(OR(AND($F848&lt;&gt;"Short",$I848&gt;=$H848),AND($F848="Short",$I848&lt;=$H848)),"Stop on wrong side; ",""),"")&amp;IF($F848="","No direction; ","")&amp;IF(AND(ISNUMBER(Settings!$C$22),ISNUMBER($V848)),IF($V848&gt;Settings!$C$22,"Risk over max $; ",""),"")&amp;IF(AND(ISNUMBER(Settings!$C$23),ISNUMBER($V848),ISNUMBER($AP848),IFERROR(N(INDEX(Accounts!$E$7:$E$16,MATCH($C848,Accounts!$B$7:$B$16,0))),0)&gt;0),IF($V848&gt;Settings!$C$23*($AP848-N($Q848)),"Risk over max %; ",""),"")&amp;IF(AND(ISNUMBER(Settings!$C$24),ISNUMBER($N848)),IF($N848&gt;Settings!$C$24,"Leverage over max; ",""),"")&amp;IF(AND(ISNUMBER(Settings!$C$27),ISNUMBER($T848)),IF($T848&lt;Settings!$C$27,"R:R below min; ",""),"")&amp;IF(ISNUMBER(Settings!$C$25),IF(COUNTIFS($A$6:$A848,$A848,$AM$6:$AM848,1)&gt;Settings!$C$25,"Over max trades/day; ",""),"")&amp;IF(ISNUMBER(Settings!$C$26),IF(SUMIFS($Q$5:$Q847,$A$5:$A847,$A848)&lt;=-Settings!$C$26,"Traded after daily max loss; ",""),"")&amp;IF(AND($AG848="",NOT(ISNUMBER($O848))),"Symbol not in Instruments; ","")&amp;IF(AND($AH848="",NOT(ISNUMBER($O848))),"Forex cross: type Gross P&amp;L; ",""))</f>
        <v/>
      </c>
      <c r="BH848" s="56">
        <f>IF(ISNUMBER($Q848),1,0)</f>
        <v>0</v>
      </c>
      <c r="BI848" s="56">
        <f>IF($Y848="",0,1)</f>
        <v>0</v>
      </c>
      <c r="BJ848" s="56">
        <f>IF($AB848="",0,1)</f>
        <v>0</v>
      </c>
      <c r="BK848" s="56">
        <f>IF(AND($BH848=1,$W848&lt;&gt;"OK"),1,0)</f>
        <v>0</v>
      </c>
      <c r="BL848" s="55">
        <f>IF(N($AZ848)=0,0,IFERROR(INDEX($AT$6:$AT$1005,MATCH($AZ848,$AY$6:$AY$1005,0)),0))</f>
        <v>1187.10688</v>
      </c>
      <c r="BM848" s="56">
        <f>IF(ISNUMBER(SEARCH("daily max loss",$BG848)),1,0)</f>
        <v>0</v>
      </c>
    </row>
    <row r="849" ht="18" customHeight="1">
      <c r="A849" s="38" t="n"/>
      <c r="B849" s="39" t="n"/>
      <c r="C849" s="40" t="n"/>
      <c r="D849" s="41" t="n"/>
      <c r="E849" s="41" t="n"/>
      <c r="F849" s="41" t="n"/>
      <c r="G849" s="41" t="n"/>
      <c r="H849" s="42" t="n"/>
      <c r="I849" s="42" t="n"/>
      <c r="J849" s="42" t="n"/>
      <c r="K849" s="42" t="n"/>
      <c r="L849" s="41" t="n"/>
      <c r="M849" s="41" t="n"/>
      <c r="N849" s="41" t="n"/>
      <c r="O849" s="43" t="n"/>
      <c r="P849" s="43" t="n"/>
      <c r="Q849" s="44" t="str">
        <f>IF($AM849=0,"",IF(ISNUMBER($AK849),$AK849-N($AL849),""))</f>
        <v/>
      </c>
      <c r="R849" s="45" t="str">
        <f>IF(OR($Q849="",NOT(ISNUMBER($V849))),"",$AK849/$V849)</f>
        <v/>
      </c>
      <c r="S849" s="46" t="str">
        <f>IF($Q849="","",IF(AND(ISNUMBER($R849),ABS(N($R849))&lt;N(Settings!$C$8)),"Scratch",IF($Q849&gt;0,"Win",IF($Q849&lt;0,"Loss","Scratch"))))</f>
        <v/>
      </c>
      <c r="T849" s="47" t="str">
        <f>IF(OR($AM849=0,NOT(ISNUMBER($H849)),NOT(ISNUMBER($I849)),NOT(ISNUMBER($J849))),"",IF($H849=$I849,"",ROUND(ABS($J849-$H849)/ABS($H849-$I849),6)))</f>
        <v/>
      </c>
      <c r="U849" s="48" t="str">
        <f>IF(OR($S849&lt;&gt;"Win",NOT(ISNUMBER($T849)),NOT(ISNUMBER($R849))),"",MAX(0,$T849-$R849))</f>
        <v/>
      </c>
      <c r="V849" s="49" t="str">
        <f>IF(OR($AM849=0,NOT(ISNUMBER($H849)),NOT(ISNUMBER($I849)),NOT(ISNUMBER($G849))),"",IF(OR($AG849="",$AH849=""),"",IF(ROUND(ABS($H849-$I849)*ABS($G849)*$AG849*$AH849,6)=0,"",ROUND(ABS($H849-$I849)*ABS($G849)*$AG849*$AH849,6))))</f>
        <v/>
      </c>
      <c r="W849" s="50" t="str">
        <f>IF($AM849=0,"",IF($BG849="","OK",LEFT($BG849,LEN($BG849)-2)))</f>
        <v/>
      </c>
      <c r="X849" s="41" t="n"/>
      <c r="Y849" s="40" t="n"/>
      <c r="Z849" s="41" t="n"/>
      <c r="AA849" s="41" t="n"/>
      <c r="AB849" s="40" t="n"/>
      <c r="AC849" s="51" t="n"/>
      <c r="AD849" s="51" t="n"/>
      <c r="AE849" s="40" t="n"/>
      <c r="AF849" s="52" t="str">
        <f>IF($AM849=0,"",IF($D849&lt;&gt;"",$D849,IF(IFERROR(INDEX(Accounts!$C$7:$C$16,MATCH($C849,Accounts!$B$7:$B$16,0))&amp;"","")&lt;&gt;"",INDEX(Accounts!$C$7:$C$16,MATCH($C849,Accounts!$B$7:$B$16,0)),Settings!$C$6)))</f>
        <v/>
      </c>
      <c r="AG849" s="53" t="str">
        <f>IF($AM849=0,"",IF(AND($BE849&gt;0,N(INDEX(Instruments!$D$6:$D$205,MAX(1,$BE849)))&gt;0),INDEX(Instruments!$D$6:$D$205,MAX(1,$BE849)),IF(N(INDEX(Settings!$D$14:$D$18,$BF849))&gt;0,INDEX(Settings!$D$14:$D$18,$BF849),"")))</f>
        <v/>
      </c>
      <c r="AH849" s="54" t="str">
        <f>IF($AM849=0,"",IF($AF849&lt;&gt;"Forex",1,IF(MID(UPPER(SUBSTITUTE(TRIM($E849),"/","")),4,3)=UPPER(TRIM(Settings!$C$7)),1,IF(LEFT(UPPER(SUBSTITUTE(TRIM($E849),"/","")),3)=UPPER(TRIM(Settings!$C$7)),IF(AND(ISNUMBER($K849),N($K849)&lt;&gt;0),1/$K849,""),""))))</f>
        <v/>
      </c>
      <c r="AI849" s="55" t="str">
        <f>IF($AM849=0,"",IF(OR(NOT(ISNUMBER($H849)),NOT(ISNUMBER($K849)),NOT(ISNUMBER($G849)),$AG849="",$AH849=""),"",ROUND(($K849-$H849)*IF($F849="Short",-1,1)*$G849*$AG849*$AH849,6)))</f>
        <v/>
      </c>
      <c r="AJ849" s="55" t="str">
        <f>IF($AM849=0,"",IF(INDEX(Settings!$E$14:$E$18,$BF849)="% of notional",IF(OR($AG849="",NOT(ISNUMBER($H849)),NOT(ISNUMBER($G849))),"",ROUND(ABS($H849*$G849*$AG849*N($AH849))*IF($L849="Limit",N(INDEX(Settings!$G$14:$G$18,$BF849)),N(INDEX(Settings!$H$14:$H$18,$BF849)))+IF(ISNUMBER($K849),ABS($K849*$G849*$AG849*N($AH849))*IF($M849="Target",N(INDEX(Settings!$G$14:$G$18,$BF849)),N(INDEX(Settings!$H$14:$H$18,$BF849))),0),6)),IF(NOT(ISNUMBER($G849)),"",ROUND(ABS($G849)*2*IF(AND($BE849&gt;0,ISNUMBER(INDEX(Instruments!$G$6:$G$205,MAX(1,$BE849)))),INDEX(Instruments!$G$6:$G$205,MAX(1,$BE849)),N(INDEX(Settings!$F$14:$F$18,$BF849))),6))))</f>
        <v/>
      </c>
      <c r="AK849" s="55" t="str">
        <f>IF($AM849=0,"",IF(ISNUMBER($O849),$O849,$AI849))</f>
        <v/>
      </c>
      <c r="AL849" s="55" t="str">
        <f>IF($AM849=0,"",IF(ISNUMBER($P849),$P849,N($AJ849)))</f>
        <v/>
      </c>
      <c r="AM849" s="56">
        <f>IF(AND($A849&lt;&gt;"",$E849&lt;&gt;"",OR(AND(ISNUMBER($G849),ISNUMBER($H849),ISNUMBER($K849)),ISNUMBER($O849))),1,0)</f>
        <v>0</v>
      </c>
      <c r="AN849" s="57" t="str">
        <f>IF($A849="","",$A849-WEEKDAY($A849,3))</f>
        <v/>
      </c>
      <c r="AO849" s="56" t="str">
        <f>IF($A849="","",WEEKDAY($A849,2))</f>
        <v/>
      </c>
      <c r="AP849" s="55" t="str">
        <f>IF(OR($AM849=0,$C849=""),"",IFERROR(N(INDEX(Accounts!$E$7:$E$16,MATCH($C849,Accounts!$B$7:$B$16,0))),0)+SUMIFS($Q$6:$Q849,$C$6:$C849,$C849))</f>
        <v/>
      </c>
      <c r="AQ849" s="55" t="str">
        <f>IF(OR($AM849=0,$C849=""),"",SUMIFS($Q$6:$Q$1005,$C$6:$C$1005,$C849,$A$6:$A$1005,$A849))</f>
        <v/>
      </c>
      <c r="AR849" s="55" t="str">
        <f>IF(OR($AM849=0,$C849=""),"",IFERROR(N(INDEX(Accounts!$E$7:$E$16,MATCH($C849,Accounts!$B$7:$B$16,0))),0)+SUMIFS($Q$6:$Q$1005,$C$6:$C$1005,$C849,$A$6:$A$1005,"&lt;="&amp;$A849))</f>
        <v/>
      </c>
      <c r="AS849" s="56">
        <f>IF(OR($AM849=0,$Q849=""),0,IF(AND($A849&gt;=Lists!$W$6,$A849&lt;=Lists!$W$7,OR(Dashboard!$D$6="All accounts",$C849=Dashboard!$D$6),OR(Dashboard!$D$7="All markets",$AF849=Dashboard!$D$7)),1,0))</f>
        <v>0</v>
      </c>
      <c r="AT849" s="55">
        <f>IF($AS849=1,N(AT848)+$Q849,N(AT848))</f>
        <v>1187.10688</v>
      </c>
      <c r="AU849" s="55">
        <f>MAX(N(AU848),$AT849)</f>
        <v>1187.10688</v>
      </c>
      <c r="AV849" s="55">
        <f>$AT849-$AU849</f>
        <v>0</v>
      </c>
      <c r="AW849" s="56">
        <f>IF($AS849=1,IF($S849="Win",N(AW848)+1,IF($S849="Loss",0,N(AW848))),N(AW848))</f>
        <v>5</v>
      </c>
      <c r="AX849" s="56">
        <f>IF($AS849=1,IF($S849="Loss",N(AX848)+1,IF($S849="Win",0,N(AX848))),N(AX848))</f>
        <v>0</v>
      </c>
      <c r="AY849" s="56" t="str">
        <f>IF($AS849=1,COUNTIF($AS$6:$AS849,1),"")</f>
        <v/>
      </c>
      <c r="AZ849" s="56">
        <f>MIN(843,N(Lists!$W$8))</f>
        <v>28</v>
      </c>
      <c r="BA849" s="56">
        <f>IF($AS849=1,IF(COUNTIFS($A$6:$A849,$A849,$AS$6:$AS849,1)=1,1,0),0)</f>
        <v>0</v>
      </c>
      <c r="BB849" s="55" t="str">
        <f>IF($BA849=1,SUMIFS($Q$6:$Q$1005,$A$6:$A$1005,$A849,$AS$6:$AS$1005,1),"")</f>
        <v/>
      </c>
      <c r="BC849" s="56">
        <f>IF(ISNUMBER($R849),1,0)</f>
        <v>0</v>
      </c>
      <c r="BD849" s="55" t="str">
        <f>IF(ISNUMBER($U849),$U849*$V849,"")</f>
        <v/>
      </c>
      <c r="BE849" s="56" t="str">
        <f>IF($AM849=0,"",IFERROR(MATCH($AF849&amp;"|"&amp;UPPER(TRIM($E849)),Lists!$A$6:$A$205,0),0))</f>
        <v/>
      </c>
      <c r="BF849" s="56" t="str">
        <f>IF($AM849=0,"",IFERROR(MATCH($AF849,Settings!$B$14:$B$18,0),IFERROR(MATCH(Settings!$C$6,Settings!$B$14:$B$18,0),1)))</f>
        <v/>
      </c>
      <c r="BG849" s="58" t="str">
        <f>IF($AM849=0,"",IF(NOT(ISNUMBER($I849)),"No stop; ","")&amp;IF(AND(ISNUMBER($H849),ISNUMBER($I849)),IF(OR(AND($F849&lt;&gt;"Short",$I849&gt;=$H849),AND($F849="Short",$I849&lt;=$H849)),"Stop on wrong side; ",""),"")&amp;IF($F849="","No direction; ","")&amp;IF(AND(ISNUMBER(Settings!$C$22),ISNUMBER($V849)),IF($V849&gt;Settings!$C$22,"Risk over max $; ",""),"")&amp;IF(AND(ISNUMBER(Settings!$C$23),ISNUMBER($V849),ISNUMBER($AP849),IFERROR(N(INDEX(Accounts!$E$7:$E$16,MATCH($C849,Accounts!$B$7:$B$16,0))),0)&gt;0),IF($V849&gt;Settings!$C$23*($AP849-N($Q849)),"Risk over max %; ",""),"")&amp;IF(AND(ISNUMBER(Settings!$C$24),ISNUMBER($N849)),IF($N849&gt;Settings!$C$24,"Leverage over max; ",""),"")&amp;IF(AND(ISNUMBER(Settings!$C$27),ISNUMBER($T849)),IF($T849&lt;Settings!$C$27,"R:R below min; ",""),"")&amp;IF(ISNUMBER(Settings!$C$25),IF(COUNTIFS($A$6:$A849,$A849,$AM$6:$AM849,1)&gt;Settings!$C$25,"Over max trades/day; ",""),"")&amp;IF(ISNUMBER(Settings!$C$26),IF(SUMIFS($Q$5:$Q848,$A$5:$A848,$A849)&lt;=-Settings!$C$26,"Traded after daily max loss; ",""),"")&amp;IF(AND($AG849="",NOT(ISNUMBER($O849))),"Symbol not in Instruments; ","")&amp;IF(AND($AH849="",NOT(ISNUMBER($O849))),"Forex cross: type Gross P&amp;L; ",""))</f>
        <v/>
      </c>
      <c r="BH849" s="56">
        <f>IF(ISNUMBER($Q849),1,0)</f>
        <v>0</v>
      </c>
      <c r="BI849" s="56">
        <f>IF($Y849="",0,1)</f>
        <v>0</v>
      </c>
      <c r="BJ849" s="56">
        <f>IF($AB849="",0,1)</f>
        <v>0</v>
      </c>
      <c r="BK849" s="56">
        <f>IF(AND($BH849=1,$W849&lt;&gt;"OK"),1,0)</f>
        <v>0</v>
      </c>
      <c r="BL849" s="55">
        <f>IF(N($AZ849)=0,0,IFERROR(INDEX($AT$6:$AT$1005,MATCH($AZ849,$AY$6:$AY$1005,0)),0))</f>
        <v>1187.10688</v>
      </c>
      <c r="BM849" s="56">
        <f>IF(ISNUMBER(SEARCH("daily max loss",$BG849)),1,0)</f>
        <v>0</v>
      </c>
    </row>
    <row r="850" ht="18" customHeight="1">
      <c r="A850" s="38" t="n"/>
      <c r="B850" s="39" t="n"/>
      <c r="C850" s="40" t="n"/>
      <c r="D850" s="41" t="n"/>
      <c r="E850" s="41" t="n"/>
      <c r="F850" s="41" t="n"/>
      <c r="G850" s="41" t="n"/>
      <c r="H850" s="42" t="n"/>
      <c r="I850" s="42" t="n"/>
      <c r="J850" s="42" t="n"/>
      <c r="K850" s="42" t="n"/>
      <c r="L850" s="41" t="n"/>
      <c r="M850" s="41" t="n"/>
      <c r="N850" s="41" t="n"/>
      <c r="O850" s="43" t="n"/>
      <c r="P850" s="43" t="n"/>
      <c r="Q850" s="44" t="str">
        <f>IF($AM850=0,"",IF(ISNUMBER($AK850),$AK850-N($AL850),""))</f>
        <v/>
      </c>
      <c r="R850" s="45" t="str">
        <f>IF(OR($Q850="",NOT(ISNUMBER($V850))),"",$AK850/$V850)</f>
        <v/>
      </c>
      <c r="S850" s="46" t="str">
        <f>IF($Q850="","",IF(AND(ISNUMBER($R850),ABS(N($R850))&lt;N(Settings!$C$8)),"Scratch",IF($Q850&gt;0,"Win",IF($Q850&lt;0,"Loss","Scratch"))))</f>
        <v/>
      </c>
      <c r="T850" s="47" t="str">
        <f>IF(OR($AM850=0,NOT(ISNUMBER($H850)),NOT(ISNUMBER($I850)),NOT(ISNUMBER($J850))),"",IF($H850=$I850,"",ROUND(ABS($J850-$H850)/ABS($H850-$I850),6)))</f>
        <v/>
      </c>
      <c r="U850" s="48" t="str">
        <f>IF(OR($S850&lt;&gt;"Win",NOT(ISNUMBER($T850)),NOT(ISNUMBER($R850))),"",MAX(0,$T850-$R850))</f>
        <v/>
      </c>
      <c r="V850" s="49" t="str">
        <f>IF(OR($AM850=0,NOT(ISNUMBER($H850)),NOT(ISNUMBER($I850)),NOT(ISNUMBER($G850))),"",IF(OR($AG850="",$AH850=""),"",IF(ROUND(ABS($H850-$I850)*ABS($G850)*$AG850*$AH850,6)=0,"",ROUND(ABS($H850-$I850)*ABS($G850)*$AG850*$AH850,6))))</f>
        <v/>
      </c>
      <c r="W850" s="50" t="str">
        <f>IF($AM850=0,"",IF($BG850="","OK",LEFT($BG850,LEN($BG850)-2)))</f>
        <v/>
      </c>
      <c r="X850" s="41" t="n"/>
      <c r="Y850" s="40" t="n"/>
      <c r="Z850" s="41" t="n"/>
      <c r="AA850" s="41" t="n"/>
      <c r="AB850" s="40" t="n"/>
      <c r="AC850" s="51" t="n"/>
      <c r="AD850" s="51" t="n"/>
      <c r="AE850" s="40" t="n"/>
      <c r="AF850" s="52" t="str">
        <f>IF($AM850=0,"",IF($D850&lt;&gt;"",$D850,IF(IFERROR(INDEX(Accounts!$C$7:$C$16,MATCH($C850,Accounts!$B$7:$B$16,0))&amp;"","")&lt;&gt;"",INDEX(Accounts!$C$7:$C$16,MATCH($C850,Accounts!$B$7:$B$16,0)),Settings!$C$6)))</f>
        <v/>
      </c>
      <c r="AG850" s="53" t="str">
        <f>IF($AM850=0,"",IF(AND($BE850&gt;0,N(INDEX(Instruments!$D$6:$D$205,MAX(1,$BE850)))&gt;0),INDEX(Instruments!$D$6:$D$205,MAX(1,$BE850)),IF(N(INDEX(Settings!$D$14:$D$18,$BF850))&gt;0,INDEX(Settings!$D$14:$D$18,$BF850),"")))</f>
        <v/>
      </c>
      <c r="AH850" s="54" t="str">
        <f>IF($AM850=0,"",IF($AF850&lt;&gt;"Forex",1,IF(MID(UPPER(SUBSTITUTE(TRIM($E850),"/","")),4,3)=UPPER(TRIM(Settings!$C$7)),1,IF(LEFT(UPPER(SUBSTITUTE(TRIM($E850),"/","")),3)=UPPER(TRIM(Settings!$C$7)),IF(AND(ISNUMBER($K850),N($K850)&lt;&gt;0),1/$K850,""),""))))</f>
        <v/>
      </c>
      <c r="AI850" s="55" t="str">
        <f>IF($AM850=0,"",IF(OR(NOT(ISNUMBER($H850)),NOT(ISNUMBER($K850)),NOT(ISNUMBER($G850)),$AG850="",$AH850=""),"",ROUND(($K850-$H850)*IF($F850="Short",-1,1)*$G850*$AG850*$AH850,6)))</f>
        <v/>
      </c>
      <c r="AJ850" s="55" t="str">
        <f>IF($AM850=0,"",IF(INDEX(Settings!$E$14:$E$18,$BF850)="% of notional",IF(OR($AG850="",NOT(ISNUMBER($H850)),NOT(ISNUMBER($G850))),"",ROUND(ABS($H850*$G850*$AG850*N($AH850))*IF($L850="Limit",N(INDEX(Settings!$G$14:$G$18,$BF850)),N(INDEX(Settings!$H$14:$H$18,$BF850)))+IF(ISNUMBER($K850),ABS($K850*$G850*$AG850*N($AH850))*IF($M850="Target",N(INDEX(Settings!$G$14:$G$18,$BF850)),N(INDEX(Settings!$H$14:$H$18,$BF850))),0),6)),IF(NOT(ISNUMBER($G850)),"",ROUND(ABS($G850)*2*IF(AND($BE850&gt;0,ISNUMBER(INDEX(Instruments!$G$6:$G$205,MAX(1,$BE850)))),INDEX(Instruments!$G$6:$G$205,MAX(1,$BE850)),N(INDEX(Settings!$F$14:$F$18,$BF850))),6))))</f>
        <v/>
      </c>
      <c r="AK850" s="55" t="str">
        <f>IF($AM850=0,"",IF(ISNUMBER($O850),$O850,$AI850))</f>
        <v/>
      </c>
      <c r="AL850" s="55" t="str">
        <f>IF($AM850=0,"",IF(ISNUMBER($P850),$P850,N($AJ850)))</f>
        <v/>
      </c>
      <c r="AM850" s="56">
        <f>IF(AND($A850&lt;&gt;"",$E850&lt;&gt;"",OR(AND(ISNUMBER($G850),ISNUMBER($H850),ISNUMBER($K850)),ISNUMBER($O850))),1,0)</f>
        <v>0</v>
      </c>
      <c r="AN850" s="57" t="str">
        <f>IF($A850="","",$A850-WEEKDAY($A850,3))</f>
        <v/>
      </c>
      <c r="AO850" s="56" t="str">
        <f>IF($A850="","",WEEKDAY($A850,2))</f>
        <v/>
      </c>
      <c r="AP850" s="55" t="str">
        <f>IF(OR($AM850=0,$C850=""),"",IFERROR(N(INDEX(Accounts!$E$7:$E$16,MATCH($C850,Accounts!$B$7:$B$16,0))),0)+SUMIFS($Q$6:$Q850,$C$6:$C850,$C850))</f>
        <v/>
      </c>
      <c r="AQ850" s="55" t="str">
        <f>IF(OR($AM850=0,$C850=""),"",SUMIFS($Q$6:$Q$1005,$C$6:$C$1005,$C850,$A$6:$A$1005,$A850))</f>
        <v/>
      </c>
      <c r="AR850" s="55" t="str">
        <f>IF(OR($AM850=0,$C850=""),"",IFERROR(N(INDEX(Accounts!$E$7:$E$16,MATCH($C850,Accounts!$B$7:$B$16,0))),0)+SUMIFS($Q$6:$Q$1005,$C$6:$C$1005,$C850,$A$6:$A$1005,"&lt;="&amp;$A850))</f>
        <v/>
      </c>
      <c r="AS850" s="56">
        <f>IF(OR($AM850=0,$Q850=""),0,IF(AND($A850&gt;=Lists!$W$6,$A850&lt;=Lists!$W$7,OR(Dashboard!$D$6="All accounts",$C850=Dashboard!$D$6),OR(Dashboard!$D$7="All markets",$AF850=Dashboard!$D$7)),1,0))</f>
        <v>0</v>
      </c>
      <c r="AT850" s="55">
        <f>IF($AS850=1,N(AT849)+$Q850,N(AT849))</f>
        <v>1187.10688</v>
      </c>
      <c r="AU850" s="55">
        <f>MAX(N(AU849),$AT850)</f>
        <v>1187.10688</v>
      </c>
      <c r="AV850" s="55">
        <f>$AT850-$AU850</f>
        <v>0</v>
      </c>
      <c r="AW850" s="56">
        <f>IF($AS850=1,IF($S850="Win",N(AW849)+1,IF($S850="Loss",0,N(AW849))),N(AW849))</f>
        <v>5</v>
      </c>
      <c r="AX850" s="56">
        <f>IF($AS850=1,IF($S850="Loss",N(AX849)+1,IF($S850="Win",0,N(AX849))),N(AX849))</f>
        <v>0</v>
      </c>
      <c r="AY850" s="56" t="str">
        <f>IF($AS850=1,COUNTIF($AS$6:$AS850,1),"")</f>
        <v/>
      </c>
      <c r="AZ850" s="56">
        <f>MIN(844,N(Lists!$W$8))</f>
        <v>28</v>
      </c>
      <c r="BA850" s="56">
        <f>IF($AS850=1,IF(COUNTIFS($A$6:$A850,$A850,$AS$6:$AS850,1)=1,1,0),0)</f>
        <v>0</v>
      </c>
      <c r="BB850" s="55" t="str">
        <f>IF($BA850=1,SUMIFS($Q$6:$Q$1005,$A$6:$A$1005,$A850,$AS$6:$AS$1005,1),"")</f>
        <v/>
      </c>
      <c r="BC850" s="56">
        <f>IF(ISNUMBER($R850),1,0)</f>
        <v>0</v>
      </c>
      <c r="BD850" s="55" t="str">
        <f>IF(ISNUMBER($U850),$U850*$V850,"")</f>
        <v/>
      </c>
      <c r="BE850" s="56" t="str">
        <f>IF($AM850=0,"",IFERROR(MATCH($AF850&amp;"|"&amp;UPPER(TRIM($E850)),Lists!$A$6:$A$205,0),0))</f>
        <v/>
      </c>
      <c r="BF850" s="56" t="str">
        <f>IF($AM850=0,"",IFERROR(MATCH($AF850,Settings!$B$14:$B$18,0),IFERROR(MATCH(Settings!$C$6,Settings!$B$14:$B$18,0),1)))</f>
        <v/>
      </c>
      <c r="BG850" s="58" t="str">
        <f>IF($AM850=0,"",IF(NOT(ISNUMBER($I850)),"No stop; ","")&amp;IF(AND(ISNUMBER($H850),ISNUMBER($I850)),IF(OR(AND($F850&lt;&gt;"Short",$I850&gt;=$H850),AND($F850="Short",$I850&lt;=$H850)),"Stop on wrong side; ",""),"")&amp;IF($F850="","No direction; ","")&amp;IF(AND(ISNUMBER(Settings!$C$22),ISNUMBER($V850)),IF($V850&gt;Settings!$C$22,"Risk over max $; ",""),"")&amp;IF(AND(ISNUMBER(Settings!$C$23),ISNUMBER($V850),ISNUMBER($AP850),IFERROR(N(INDEX(Accounts!$E$7:$E$16,MATCH($C850,Accounts!$B$7:$B$16,0))),0)&gt;0),IF($V850&gt;Settings!$C$23*($AP850-N($Q850)),"Risk over max %; ",""),"")&amp;IF(AND(ISNUMBER(Settings!$C$24),ISNUMBER($N850)),IF($N850&gt;Settings!$C$24,"Leverage over max; ",""),"")&amp;IF(AND(ISNUMBER(Settings!$C$27),ISNUMBER($T850)),IF($T850&lt;Settings!$C$27,"R:R below min; ",""),"")&amp;IF(ISNUMBER(Settings!$C$25),IF(COUNTIFS($A$6:$A850,$A850,$AM$6:$AM850,1)&gt;Settings!$C$25,"Over max trades/day; ",""),"")&amp;IF(ISNUMBER(Settings!$C$26),IF(SUMIFS($Q$5:$Q849,$A$5:$A849,$A850)&lt;=-Settings!$C$26,"Traded after daily max loss; ",""),"")&amp;IF(AND($AG850="",NOT(ISNUMBER($O850))),"Symbol not in Instruments; ","")&amp;IF(AND($AH850="",NOT(ISNUMBER($O850))),"Forex cross: type Gross P&amp;L; ",""))</f>
        <v/>
      </c>
      <c r="BH850" s="56">
        <f>IF(ISNUMBER($Q850),1,0)</f>
        <v>0</v>
      </c>
      <c r="BI850" s="56">
        <f>IF($Y850="",0,1)</f>
        <v>0</v>
      </c>
      <c r="BJ850" s="56">
        <f>IF($AB850="",0,1)</f>
        <v>0</v>
      </c>
      <c r="BK850" s="56">
        <f>IF(AND($BH850=1,$W850&lt;&gt;"OK"),1,0)</f>
        <v>0</v>
      </c>
      <c r="BL850" s="55">
        <f>IF(N($AZ850)=0,0,IFERROR(INDEX($AT$6:$AT$1005,MATCH($AZ850,$AY$6:$AY$1005,0)),0))</f>
        <v>1187.10688</v>
      </c>
      <c r="BM850" s="56">
        <f>IF(ISNUMBER(SEARCH("daily max loss",$BG850)),1,0)</f>
        <v>0</v>
      </c>
    </row>
    <row r="851" ht="18" customHeight="1">
      <c r="A851" s="38" t="n"/>
      <c r="B851" s="39" t="n"/>
      <c r="C851" s="40" t="n"/>
      <c r="D851" s="41" t="n"/>
      <c r="E851" s="41" t="n"/>
      <c r="F851" s="41" t="n"/>
      <c r="G851" s="41" t="n"/>
      <c r="H851" s="42" t="n"/>
      <c r="I851" s="42" t="n"/>
      <c r="J851" s="42" t="n"/>
      <c r="K851" s="42" t="n"/>
      <c r="L851" s="41" t="n"/>
      <c r="M851" s="41" t="n"/>
      <c r="N851" s="41" t="n"/>
      <c r="O851" s="43" t="n"/>
      <c r="P851" s="43" t="n"/>
      <c r="Q851" s="44" t="str">
        <f>IF($AM851=0,"",IF(ISNUMBER($AK851),$AK851-N($AL851),""))</f>
        <v/>
      </c>
      <c r="R851" s="45" t="str">
        <f>IF(OR($Q851="",NOT(ISNUMBER($V851))),"",$AK851/$V851)</f>
        <v/>
      </c>
      <c r="S851" s="46" t="str">
        <f>IF($Q851="","",IF(AND(ISNUMBER($R851),ABS(N($R851))&lt;N(Settings!$C$8)),"Scratch",IF($Q851&gt;0,"Win",IF($Q851&lt;0,"Loss","Scratch"))))</f>
        <v/>
      </c>
      <c r="T851" s="47" t="str">
        <f>IF(OR($AM851=0,NOT(ISNUMBER($H851)),NOT(ISNUMBER($I851)),NOT(ISNUMBER($J851))),"",IF($H851=$I851,"",ROUND(ABS($J851-$H851)/ABS($H851-$I851),6)))</f>
        <v/>
      </c>
      <c r="U851" s="48" t="str">
        <f>IF(OR($S851&lt;&gt;"Win",NOT(ISNUMBER($T851)),NOT(ISNUMBER($R851))),"",MAX(0,$T851-$R851))</f>
        <v/>
      </c>
      <c r="V851" s="49" t="str">
        <f>IF(OR($AM851=0,NOT(ISNUMBER($H851)),NOT(ISNUMBER($I851)),NOT(ISNUMBER($G851))),"",IF(OR($AG851="",$AH851=""),"",IF(ROUND(ABS($H851-$I851)*ABS($G851)*$AG851*$AH851,6)=0,"",ROUND(ABS($H851-$I851)*ABS($G851)*$AG851*$AH851,6))))</f>
        <v/>
      </c>
      <c r="W851" s="50" t="str">
        <f>IF($AM851=0,"",IF($BG851="","OK",LEFT($BG851,LEN($BG851)-2)))</f>
        <v/>
      </c>
      <c r="X851" s="41" t="n"/>
      <c r="Y851" s="40" t="n"/>
      <c r="Z851" s="41" t="n"/>
      <c r="AA851" s="41" t="n"/>
      <c r="AB851" s="40" t="n"/>
      <c r="AC851" s="51" t="n"/>
      <c r="AD851" s="51" t="n"/>
      <c r="AE851" s="40" t="n"/>
      <c r="AF851" s="52" t="str">
        <f>IF($AM851=0,"",IF($D851&lt;&gt;"",$D851,IF(IFERROR(INDEX(Accounts!$C$7:$C$16,MATCH($C851,Accounts!$B$7:$B$16,0))&amp;"","")&lt;&gt;"",INDEX(Accounts!$C$7:$C$16,MATCH($C851,Accounts!$B$7:$B$16,0)),Settings!$C$6)))</f>
        <v/>
      </c>
      <c r="AG851" s="53" t="str">
        <f>IF($AM851=0,"",IF(AND($BE851&gt;0,N(INDEX(Instruments!$D$6:$D$205,MAX(1,$BE851)))&gt;0),INDEX(Instruments!$D$6:$D$205,MAX(1,$BE851)),IF(N(INDEX(Settings!$D$14:$D$18,$BF851))&gt;0,INDEX(Settings!$D$14:$D$18,$BF851),"")))</f>
        <v/>
      </c>
      <c r="AH851" s="54" t="str">
        <f>IF($AM851=0,"",IF($AF851&lt;&gt;"Forex",1,IF(MID(UPPER(SUBSTITUTE(TRIM($E851),"/","")),4,3)=UPPER(TRIM(Settings!$C$7)),1,IF(LEFT(UPPER(SUBSTITUTE(TRIM($E851),"/","")),3)=UPPER(TRIM(Settings!$C$7)),IF(AND(ISNUMBER($K851),N($K851)&lt;&gt;0),1/$K851,""),""))))</f>
        <v/>
      </c>
      <c r="AI851" s="55" t="str">
        <f>IF($AM851=0,"",IF(OR(NOT(ISNUMBER($H851)),NOT(ISNUMBER($K851)),NOT(ISNUMBER($G851)),$AG851="",$AH851=""),"",ROUND(($K851-$H851)*IF($F851="Short",-1,1)*$G851*$AG851*$AH851,6)))</f>
        <v/>
      </c>
      <c r="AJ851" s="55" t="str">
        <f>IF($AM851=0,"",IF(INDEX(Settings!$E$14:$E$18,$BF851)="% of notional",IF(OR($AG851="",NOT(ISNUMBER($H851)),NOT(ISNUMBER($G851))),"",ROUND(ABS($H851*$G851*$AG851*N($AH851))*IF($L851="Limit",N(INDEX(Settings!$G$14:$G$18,$BF851)),N(INDEX(Settings!$H$14:$H$18,$BF851)))+IF(ISNUMBER($K851),ABS($K851*$G851*$AG851*N($AH851))*IF($M851="Target",N(INDEX(Settings!$G$14:$G$18,$BF851)),N(INDEX(Settings!$H$14:$H$18,$BF851))),0),6)),IF(NOT(ISNUMBER($G851)),"",ROUND(ABS($G851)*2*IF(AND($BE851&gt;0,ISNUMBER(INDEX(Instruments!$G$6:$G$205,MAX(1,$BE851)))),INDEX(Instruments!$G$6:$G$205,MAX(1,$BE851)),N(INDEX(Settings!$F$14:$F$18,$BF851))),6))))</f>
        <v/>
      </c>
      <c r="AK851" s="55" t="str">
        <f>IF($AM851=0,"",IF(ISNUMBER($O851),$O851,$AI851))</f>
        <v/>
      </c>
      <c r="AL851" s="55" t="str">
        <f>IF($AM851=0,"",IF(ISNUMBER($P851),$P851,N($AJ851)))</f>
        <v/>
      </c>
      <c r="AM851" s="56">
        <f>IF(AND($A851&lt;&gt;"",$E851&lt;&gt;"",OR(AND(ISNUMBER($G851),ISNUMBER($H851),ISNUMBER($K851)),ISNUMBER($O851))),1,0)</f>
        <v>0</v>
      </c>
      <c r="AN851" s="57" t="str">
        <f>IF($A851="","",$A851-WEEKDAY($A851,3))</f>
        <v/>
      </c>
      <c r="AO851" s="56" t="str">
        <f>IF($A851="","",WEEKDAY($A851,2))</f>
        <v/>
      </c>
      <c r="AP851" s="55" t="str">
        <f>IF(OR($AM851=0,$C851=""),"",IFERROR(N(INDEX(Accounts!$E$7:$E$16,MATCH($C851,Accounts!$B$7:$B$16,0))),0)+SUMIFS($Q$6:$Q851,$C$6:$C851,$C851))</f>
        <v/>
      </c>
      <c r="AQ851" s="55" t="str">
        <f>IF(OR($AM851=0,$C851=""),"",SUMIFS($Q$6:$Q$1005,$C$6:$C$1005,$C851,$A$6:$A$1005,$A851))</f>
        <v/>
      </c>
      <c r="AR851" s="55" t="str">
        <f>IF(OR($AM851=0,$C851=""),"",IFERROR(N(INDEX(Accounts!$E$7:$E$16,MATCH($C851,Accounts!$B$7:$B$16,0))),0)+SUMIFS($Q$6:$Q$1005,$C$6:$C$1005,$C851,$A$6:$A$1005,"&lt;="&amp;$A851))</f>
        <v/>
      </c>
      <c r="AS851" s="56">
        <f>IF(OR($AM851=0,$Q851=""),0,IF(AND($A851&gt;=Lists!$W$6,$A851&lt;=Lists!$W$7,OR(Dashboard!$D$6="All accounts",$C851=Dashboard!$D$6),OR(Dashboard!$D$7="All markets",$AF851=Dashboard!$D$7)),1,0))</f>
        <v>0</v>
      </c>
      <c r="AT851" s="55">
        <f>IF($AS851=1,N(AT850)+$Q851,N(AT850))</f>
        <v>1187.10688</v>
      </c>
      <c r="AU851" s="55">
        <f>MAX(N(AU850),$AT851)</f>
        <v>1187.10688</v>
      </c>
      <c r="AV851" s="55">
        <f>$AT851-$AU851</f>
        <v>0</v>
      </c>
      <c r="AW851" s="56">
        <f>IF($AS851=1,IF($S851="Win",N(AW850)+1,IF($S851="Loss",0,N(AW850))),N(AW850))</f>
        <v>5</v>
      </c>
      <c r="AX851" s="56">
        <f>IF($AS851=1,IF($S851="Loss",N(AX850)+1,IF($S851="Win",0,N(AX850))),N(AX850))</f>
        <v>0</v>
      </c>
      <c r="AY851" s="56" t="str">
        <f>IF($AS851=1,COUNTIF($AS$6:$AS851,1),"")</f>
        <v/>
      </c>
      <c r="AZ851" s="56">
        <f>MIN(845,N(Lists!$W$8))</f>
        <v>28</v>
      </c>
      <c r="BA851" s="56">
        <f>IF($AS851=1,IF(COUNTIFS($A$6:$A851,$A851,$AS$6:$AS851,1)=1,1,0),0)</f>
        <v>0</v>
      </c>
      <c r="BB851" s="55" t="str">
        <f>IF($BA851=1,SUMIFS($Q$6:$Q$1005,$A$6:$A$1005,$A851,$AS$6:$AS$1005,1),"")</f>
        <v/>
      </c>
      <c r="BC851" s="56">
        <f>IF(ISNUMBER($R851),1,0)</f>
        <v>0</v>
      </c>
      <c r="BD851" s="55" t="str">
        <f>IF(ISNUMBER($U851),$U851*$V851,"")</f>
        <v/>
      </c>
      <c r="BE851" s="56" t="str">
        <f>IF($AM851=0,"",IFERROR(MATCH($AF851&amp;"|"&amp;UPPER(TRIM($E851)),Lists!$A$6:$A$205,0),0))</f>
        <v/>
      </c>
      <c r="BF851" s="56" t="str">
        <f>IF($AM851=0,"",IFERROR(MATCH($AF851,Settings!$B$14:$B$18,0),IFERROR(MATCH(Settings!$C$6,Settings!$B$14:$B$18,0),1)))</f>
        <v/>
      </c>
      <c r="BG851" s="58" t="str">
        <f>IF($AM851=0,"",IF(NOT(ISNUMBER($I851)),"No stop; ","")&amp;IF(AND(ISNUMBER($H851),ISNUMBER($I851)),IF(OR(AND($F851&lt;&gt;"Short",$I851&gt;=$H851),AND($F851="Short",$I851&lt;=$H851)),"Stop on wrong side; ",""),"")&amp;IF($F851="","No direction; ","")&amp;IF(AND(ISNUMBER(Settings!$C$22),ISNUMBER($V851)),IF($V851&gt;Settings!$C$22,"Risk over max $; ",""),"")&amp;IF(AND(ISNUMBER(Settings!$C$23),ISNUMBER($V851),ISNUMBER($AP851),IFERROR(N(INDEX(Accounts!$E$7:$E$16,MATCH($C851,Accounts!$B$7:$B$16,0))),0)&gt;0),IF($V851&gt;Settings!$C$23*($AP851-N($Q851)),"Risk over max %; ",""),"")&amp;IF(AND(ISNUMBER(Settings!$C$24),ISNUMBER($N851)),IF($N851&gt;Settings!$C$24,"Leverage over max; ",""),"")&amp;IF(AND(ISNUMBER(Settings!$C$27),ISNUMBER($T851)),IF($T851&lt;Settings!$C$27,"R:R below min; ",""),"")&amp;IF(ISNUMBER(Settings!$C$25),IF(COUNTIFS($A$6:$A851,$A851,$AM$6:$AM851,1)&gt;Settings!$C$25,"Over max trades/day; ",""),"")&amp;IF(ISNUMBER(Settings!$C$26),IF(SUMIFS($Q$5:$Q850,$A$5:$A850,$A851)&lt;=-Settings!$C$26,"Traded after daily max loss; ",""),"")&amp;IF(AND($AG851="",NOT(ISNUMBER($O851))),"Symbol not in Instruments; ","")&amp;IF(AND($AH851="",NOT(ISNUMBER($O851))),"Forex cross: type Gross P&amp;L; ",""))</f>
        <v/>
      </c>
      <c r="BH851" s="56">
        <f>IF(ISNUMBER($Q851),1,0)</f>
        <v>0</v>
      </c>
      <c r="BI851" s="56">
        <f>IF($Y851="",0,1)</f>
        <v>0</v>
      </c>
      <c r="BJ851" s="56">
        <f>IF($AB851="",0,1)</f>
        <v>0</v>
      </c>
      <c r="BK851" s="56">
        <f>IF(AND($BH851=1,$W851&lt;&gt;"OK"),1,0)</f>
        <v>0</v>
      </c>
      <c r="BL851" s="55">
        <f>IF(N($AZ851)=0,0,IFERROR(INDEX($AT$6:$AT$1005,MATCH($AZ851,$AY$6:$AY$1005,0)),0))</f>
        <v>1187.10688</v>
      </c>
      <c r="BM851" s="56">
        <f>IF(ISNUMBER(SEARCH("daily max loss",$BG851)),1,0)</f>
        <v>0</v>
      </c>
    </row>
    <row r="852" ht="18" customHeight="1">
      <c r="A852" s="38" t="n"/>
      <c r="B852" s="39" t="n"/>
      <c r="C852" s="40" t="n"/>
      <c r="D852" s="41" t="n"/>
      <c r="E852" s="41" t="n"/>
      <c r="F852" s="41" t="n"/>
      <c r="G852" s="41" t="n"/>
      <c r="H852" s="42" t="n"/>
      <c r="I852" s="42" t="n"/>
      <c r="J852" s="42" t="n"/>
      <c r="K852" s="42" t="n"/>
      <c r="L852" s="41" t="n"/>
      <c r="M852" s="41" t="n"/>
      <c r="N852" s="41" t="n"/>
      <c r="O852" s="43" t="n"/>
      <c r="P852" s="43" t="n"/>
      <c r="Q852" s="44" t="str">
        <f>IF($AM852=0,"",IF(ISNUMBER($AK852),$AK852-N($AL852),""))</f>
        <v/>
      </c>
      <c r="R852" s="45" t="str">
        <f>IF(OR($Q852="",NOT(ISNUMBER($V852))),"",$AK852/$V852)</f>
        <v/>
      </c>
      <c r="S852" s="46" t="str">
        <f>IF($Q852="","",IF(AND(ISNUMBER($R852),ABS(N($R852))&lt;N(Settings!$C$8)),"Scratch",IF($Q852&gt;0,"Win",IF($Q852&lt;0,"Loss","Scratch"))))</f>
        <v/>
      </c>
      <c r="T852" s="47" t="str">
        <f>IF(OR($AM852=0,NOT(ISNUMBER($H852)),NOT(ISNUMBER($I852)),NOT(ISNUMBER($J852))),"",IF($H852=$I852,"",ROUND(ABS($J852-$H852)/ABS($H852-$I852),6)))</f>
        <v/>
      </c>
      <c r="U852" s="48" t="str">
        <f>IF(OR($S852&lt;&gt;"Win",NOT(ISNUMBER($T852)),NOT(ISNUMBER($R852))),"",MAX(0,$T852-$R852))</f>
        <v/>
      </c>
      <c r="V852" s="49" t="str">
        <f>IF(OR($AM852=0,NOT(ISNUMBER($H852)),NOT(ISNUMBER($I852)),NOT(ISNUMBER($G852))),"",IF(OR($AG852="",$AH852=""),"",IF(ROUND(ABS($H852-$I852)*ABS($G852)*$AG852*$AH852,6)=0,"",ROUND(ABS($H852-$I852)*ABS($G852)*$AG852*$AH852,6))))</f>
        <v/>
      </c>
      <c r="W852" s="50" t="str">
        <f>IF($AM852=0,"",IF($BG852="","OK",LEFT($BG852,LEN($BG852)-2)))</f>
        <v/>
      </c>
      <c r="X852" s="41" t="n"/>
      <c r="Y852" s="40" t="n"/>
      <c r="Z852" s="41" t="n"/>
      <c r="AA852" s="41" t="n"/>
      <c r="AB852" s="40" t="n"/>
      <c r="AC852" s="51" t="n"/>
      <c r="AD852" s="51" t="n"/>
      <c r="AE852" s="40" t="n"/>
      <c r="AF852" s="52" t="str">
        <f>IF($AM852=0,"",IF($D852&lt;&gt;"",$D852,IF(IFERROR(INDEX(Accounts!$C$7:$C$16,MATCH($C852,Accounts!$B$7:$B$16,0))&amp;"","")&lt;&gt;"",INDEX(Accounts!$C$7:$C$16,MATCH($C852,Accounts!$B$7:$B$16,0)),Settings!$C$6)))</f>
        <v/>
      </c>
      <c r="AG852" s="53" t="str">
        <f>IF($AM852=0,"",IF(AND($BE852&gt;0,N(INDEX(Instruments!$D$6:$D$205,MAX(1,$BE852)))&gt;0),INDEX(Instruments!$D$6:$D$205,MAX(1,$BE852)),IF(N(INDEX(Settings!$D$14:$D$18,$BF852))&gt;0,INDEX(Settings!$D$14:$D$18,$BF852),"")))</f>
        <v/>
      </c>
      <c r="AH852" s="54" t="str">
        <f>IF($AM852=0,"",IF($AF852&lt;&gt;"Forex",1,IF(MID(UPPER(SUBSTITUTE(TRIM($E852),"/","")),4,3)=UPPER(TRIM(Settings!$C$7)),1,IF(LEFT(UPPER(SUBSTITUTE(TRIM($E852),"/","")),3)=UPPER(TRIM(Settings!$C$7)),IF(AND(ISNUMBER($K852),N($K852)&lt;&gt;0),1/$K852,""),""))))</f>
        <v/>
      </c>
      <c r="AI852" s="55" t="str">
        <f>IF($AM852=0,"",IF(OR(NOT(ISNUMBER($H852)),NOT(ISNUMBER($K852)),NOT(ISNUMBER($G852)),$AG852="",$AH852=""),"",ROUND(($K852-$H852)*IF($F852="Short",-1,1)*$G852*$AG852*$AH852,6)))</f>
        <v/>
      </c>
      <c r="AJ852" s="55" t="str">
        <f>IF($AM852=0,"",IF(INDEX(Settings!$E$14:$E$18,$BF852)="% of notional",IF(OR($AG852="",NOT(ISNUMBER($H852)),NOT(ISNUMBER($G852))),"",ROUND(ABS($H852*$G852*$AG852*N($AH852))*IF($L852="Limit",N(INDEX(Settings!$G$14:$G$18,$BF852)),N(INDEX(Settings!$H$14:$H$18,$BF852)))+IF(ISNUMBER($K852),ABS($K852*$G852*$AG852*N($AH852))*IF($M852="Target",N(INDEX(Settings!$G$14:$G$18,$BF852)),N(INDEX(Settings!$H$14:$H$18,$BF852))),0),6)),IF(NOT(ISNUMBER($G852)),"",ROUND(ABS($G852)*2*IF(AND($BE852&gt;0,ISNUMBER(INDEX(Instruments!$G$6:$G$205,MAX(1,$BE852)))),INDEX(Instruments!$G$6:$G$205,MAX(1,$BE852)),N(INDEX(Settings!$F$14:$F$18,$BF852))),6))))</f>
        <v/>
      </c>
      <c r="AK852" s="55" t="str">
        <f>IF($AM852=0,"",IF(ISNUMBER($O852),$O852,$AI852))</f>
        <v/>
      </c>
      <c r="AL852" s="55" t="str">
        <f>IF($AM852=0,"",IF(ISNUMBER($P852),$P852,N($AJ852)))</f>
        <v/>
      </c>
      <c r="AM852" s="56">
        <f>IF(AND($A852&lt;&gt;"",$E852&lt;&gt;"",OR(AND(ISNUMBER($G852),ISNUMBER($H852),ISNUMBER($K852)),ISNUMBER($O852))),1,0)</f>
        <v>0</v>
      </c>
      <c r="AN852" s="57" t="str">
        <f>IF($A852="","",$A852-WEEKDAY($A852,3))</f>
        <v/>
      </c>
      <c r="AO852" s="56" t="str">
        <f>IF($A852="","",WEEKDAY($A852,2))</f>
        <v/>
      </c>
      <c r="AP852" s="55" t="str">
        <f>IF(OR($AM852=0,$C852=""),"",IFERROR(N(INDEX(Accounts!$E$7:$E$16,MATCH($C852,Accounts!$B$7:$B$16,0))),0)+SUMIFS($Q$6:$Q852,$C$6:$C852,$C852))</f>
        <v/>
      </c>
      <c r="AQ852" s="55" t="str">
        <f>IF(OR($AM852=0,$C852=""),"",SUMIFS($Q$6:$Q$1005,$C$6:$C$1005,$C852,$A$6:$A$1005,$A852))</f>
        <v/>
      </c>
      <c r="AR852" s="55" t="str">
        <f>IF(OR($AM852=0,$C852=""),"",IFERROR(N(INDEX(Accounts!$E$7:$E$16,MATCH($C852,Accounts!$B$7:$B$16,0))),0)+SUMIFS($Q$6:$Q$1005,$C$6:$C$1005,$C852,$A$6:$A$1005,"&lt;="&amp;$A852))</f>
        <v/>
      </c>
      <c r="AS852" s="56">
        <f>IF(OR($AM852=0,$Q852=""),0,IF(AND($A852&gt;=Lists!$W$6,$A852&lt;=Lists!$W$7,OR(Dashboard!$D$6="All accounts",$C852=Dashboard!$D$6),OR(Dashboard!$D$7="All markets",$AF852=Dashboard!$D$7)),1,0))</f>
        <v>0</v>
      </c>
      <c r="AT852" s="55">
        <f>IF($AS852=1,N(AT851)+$Q852,N(AT851))</f>
        <v>1187.10688</v>
      </c>
      <c r="AU852" s="55">
        <f>MAX(N(AU851),$AT852)</f>
        <v>1187.10688</v>
      </c>
      <c r="AV852" s="55">
        <f>$AT852-$AU852</f>
        <v>0</v>
      </c>
      <c r="AW852" s="56">
        <f>IF($AS852=1,IF($S852="Win",N(AW851)+1,IF($S852="Loss",0,N(AW851))),N(AW851))</f>
        <v>5</v>
      </c>
      <c r="AX852" s="56">
        <f>IF($AS852=1,IF($S852="Loss",N(AX851)+1,IF($S852="Win",0,N(AX851))),N(AX851))</f>
        <v>0</v>
      </c>
      <c r="AY852" s="56" t="str">
        <f>IF($AS852=1,COUNTIF($AS$6:$AS852,1),"")</f>
        <v/>
      </c>
      <c r="AZ852" s="56">
        <f>MIN(846,N(Lists!$W$8))</f>
        <v>28</v>
      </c>
      <c r="BA852" s="56">
        <f>IF($AS852=1,IF(COUNTIFS($A$6:$A852,$A852,$AS$6:$AS852,1)=1,1,0),0)</f>
        <v>0</v>
      </c>
      <c r="BB852" s="55" t="str">
        <f>IF($BA852=1,SUMIFS($Q$6:$Q$1005,$A$6:$A$1005,$A852,$AS$6:$AS$1005,1),"")</f>
        <v/>
      </c>
      <c r="BC852" s="56">
        <f>IF(ISNUMBER($R852),1,0)</f>
        <v>0</v>
      </c>
      <c r="BD852" s="55" t="str">
        <f>IF(ISNUMBER($U852),$U852*$V852,"")</f>
        <v/>
      </c>
      <c r="BE852" s="56" t="str">
        <f>IF($AM852=0,"",IFERROR(MATCH($AF852&amp;"|"&amp;UPPER(TRIM($E852)),Lists!$A$6:$A$205,0),0))</f>
        <v/>
      </c>
      <c r="BF852" s="56" t="str">
        <f>IF($AM852=0,"",IFERROR(MATCH($AF852,Settings!$B$14:$B$18,0),IFERROR(MATCH(Settings!$C$6,Settings!$B$14:$B$18,0),1)))</f>
        <v/>
      </c>
      <c r="BG852" s="58" t="str">
        <f>IF($AM852=0,"",IF(NOT(ISNUMBER($I852)),"No stop; ","")&amp;IF(AND(ISNUMBER($H852),ISNUMBER($I852)),IF(OR(AND($F852&lt;&gt;"Short",$I852&gt;=$H852),AND($F852="Short",$I852&lt;=$H852)),"Stop on wrong side; ",""),"")&amp;IF($F852="","No direction; ","")&amp;IF(AND(ISNUMBER(Settings!$C$22),ISNUMBER($V852)),IF($V852&gt;Settings!$C$22,"Risk over max $; ",""),"")&amp;IF(AND(ISNUMBER(Settings!$C$23),ISNUMBER($V852),ISNUMBER($AP852),IFERROR(N(INDEX(Accounts!$E$7:$E$16,MATCH($C852,Accounts!$B$7:$B$16,0))),0)&gt;0),IF($V852&gt;Settings!$C$23*($AP852-N($Q852)),"Risk over max %; ",""),"")&amp;IF(AND(ISNUMBER(Settings!$C$24),ISNUMBER($N852)),IF($N852&gt;Settings!$C$24,"Leverage over max; ",""),"")&amp;IF(AND(ISNUMBER(Settings!$C$27),ISNUMBER($T852)),IF($T852&lt;Settings!$C$27,"R:R below min; ",""),"")&amp;IF(ISNUMBER(Settings!$C$25),IF(COUNTIFS($A$6:$A852,$A852,$AM$6:$AM852,1)&gt;Settings!$C$25,"Over max trades/day; ",""),"")&amp;IF(ISNUMBER(Settings!$C$26),IF(SUMIFS($Q$5:$Q851,$A$5:$A851,$A852)&lt;=-Settings!$C$26,"Traded after daily max loss; ",""),"")&amp;IF(AND($AG852="",NOT(ISNUMBER($O852))),"Symbol not in Instruments; ","")&amp;IF(AND($AH852="",NOT(ISNUMBER($O852))),"Forex cross: type Gross P&amp;L; ",""))</f>
        <v/>
      </c>
      <c r="BH852" s="56">
        <f>IF(ISNUMBER($Q852),1,0)</f>
        <v>0</v>
      </c>
      <c r="BI852" s="56">
        <f>IF($Y852="",0,1)</f>
        <v>0</v>
      </c>
      <c r="BJ852" s="56">
        <f>IF($AB852="",0,1)</f>
        <v>0</v>
      </c>
      <c r="BK852" s="56">
        <f>IF(AND($BH852=1,$W852&lt;&gt;"OK"),1,0)</f>
        <v>0</v>
      </c>
      <c r="BL852" s="55">
        <f>IF(N($AZ852)=0,0,IFERROR(INDEX($AT$6:$AT$1005,MATCH($AZ852,$AY$6:$AY$1005,0)),0))</f>
        <v>1187.10688</v>
      </c>
      <c r="BM852" s="56">
        <f>IF(ISNUMBER(SEARCH("daily max loss",$BG852)),1,0)</f>
        <v>0</v>
      </c>
    </row>
    <row r="853" ht="18" customHeight="1">
      <c r="A853" s="38" t="n"/>
      <c r="B853" s="39" t="n"/>
      <c r="C853" s="40" t="n"/>
      <c r="D853" s="41" t="n"/>
      <c r="E853" s="41" t="n"/>
      <c r="F853" s="41" t="n"/>
      <c r="G853" s="41" t="n"/>
      <c r="H853" s="42" t="n"/>
      <c r="I853" s="42" t="n"/>
      <c r="J853" s="42" t="n"/>
      <c r="K853" s="42" t="n"/>
      <c r="L853" s="41" t="n"/>
      <c r="M853" s="41" t="n"/>
      <c r="N853" s="41" t="n"/>
      <c r="O853" s="43" t="n"/>
      <c r="P853" s="43" t="n"/>
      <c r="Q853" s="44" t="str">
        <f>IF($AM853=0,"",IF(ISNUMBER($AK853),$AK853-N($AL853),""))</f>
        <v/>
      </c>
      <c r="R853" s="45" t="str">
        <f>IF(OR($Q853="",NOT(ISNUMBER($V853))),"",$AK853/$V853)</f>
        <v/>
      </c>
      <c r="S853" s="46" t="str">
        <f>IF($Q853="","",IF(AND(ISNUMBER($R853),ABS(N($R853))&lt;N(Settings!$C$8)),"Scratch",IF($Q853&gt;0,"Win",IF($Q853&lt;0,"Loss","Scratch"))))</f>
        <v/>
      </c>
      <c r="T853" s="47" t="str">
        <f>IF(OR($AM853=0,NOT(ISNUMBER($H853)),NOT(ISNUMBER($I853)),NOT(ISNUMBER($J853))),"",IF($H853=$I853,"",ROUND(ABS($J853-$H853)/ABS($H853-$I853),6)))</f>
        <v/>
      </c>
      <c r="U853" s="48" t="str">
        <f>IF(OR($S853&lt;&gt;"Win",NOT(ISNUMBER($T853)),NOT(ISNUMBER($R853))),"",MAX(0,$T853-$R853))</f>
        <v/>
      </c>
      <c r="V853" s="49" t="str">
        <f>IF(OR($AM853=0,NOT(ISNUMBER($H853)),NOT(ISNUMBER($I853)),NOT(ISNUMBER($G853))),"",IF(OR($AG853="",$AH853=""),"",IF(ROUND(ABS($H853-$I853)*ABS($G853)*$AG853*$AH853,6)=0,"",ROUND(ABS($H853-$I853)*ABS($G853)*$AG853*$AH853,6))))</f>
        <v/>
      </c>
      <c r="W853" s="50" t="str">
        <f>IF($AM853=0,"",IF($BG853="","OK",LEFT($BG853,LEN($BG853)-2)))</f>
        <v/>
      </c>
      <c r="X853" s="41" t="n"/>
      <c r="Y853" s="40" t="n"/>
      <c r="Z853" s="41" t="n"/>
      <c r="AA853" s="41" t="n"/>
      <c r="AB853" s="40" t="n"/>
      <c r="AC853" s="51" t="n"/>
      <c r="AD853" s="51" t="n"/>
      <c r="AE853" s="40" t="n"/>
      <c r="AF853" s="52" t="str">
        <f>IF($AM853=0,"",IF($D853&lt;&gt;"",$D853,IF(IFERROR(INDEX(Accounts!$C$7:$C$16,MATCH($C853,Accounts!$B$7:$B$16,0))&amp;"","")&lt;&gt;"",INDEX(Accounts!$C$7:$C$16,MATCH($C853,Accounts!$B$7:$B$16,0)),Settings!$C$6)))</f>
        <v/>
      </c>
      <c r="AG853" s="53" t="str">
        <f>IF($AM853=0,"",IF(AND($BE853&gt;0,N(INDEX(Instruments!$D$6:$D$205,MAX(1,$BE853)))&gt;0),INDEX(Instruments!$D$6:$D$205,MAX(1,$BE853)),IF(N(INDEX(Settings!$D$14:$D$18,$BF853))&gt;0,INDEX(Settings!$D$14:$D$18,$BF853),"")))</f>
        <v/>
      </c>
      <c r="AH853" s="54" t="str">
        <f>IF($AM853=0,"",IF($AF853&lt;&gt;"Forex",1,IF(MID(UPPER(SUBSTITUTE(TRIM($E853),"/","")),4,3)=UPPER(TRIM(Settings!$C$7)),1,IF(LEFT(UPPER(SUBSTITUTE(TRIM($E853),"/","")),3)=UPPER(TRIM(Settings!$C$7)),IF(AND(ISNUMBER($K853),N($K853)&lt;&gt;0),1/$K853,""),""))))</f>
        <v/>
      </c>
      <c r="AI853" s="55" t="str">
        <f>IF($AM853=0,"",IF(OR(NOT(ISNUMBER($H853)),NOT(ISNUMBER($K853)),NOT(ISNUMBER($G853)),$AG853="",$AH853=""),"",ROUND(($K853-$H853)*IF($F853="Short",-1,1)*$G853*$AG853*$AH853,6)))</f>
        <v/>
      </c>
      <c r="AJ853" s="55" t="str">
        <f>IF($AM853=0,"",IF(INDEX(Settings!$E$14:$E$18,$BF853)="% of notional",IF(OR($AG853="",NOT(ISNUMBER($H853)),NOT(ISNUMBER($G853))),"",ROUND(ABS($H853*$G853*$AG853*N($AH853))*IF($L853="Limit",N(INDEX(Settings!$G$14:$G$18,$BF853)),N(INDEX(Settings!$H$14:$H$18,$BF853)))+IF(ISNUMBER($K853),ABS($K853*$G853*$AG853*N($AH853))*IF($M853="Target",N(INDEX(Settings!$G$14:$G$18,$BF853)),N(INDEX(Settings!$H$14:$H$18,$BF853))),0),6)),IF(NOT(ISNUMBER($G853)),"",ROUND(ABS($G853)*2*IF(AND($BE853&gt;0,ISNUMBER(INDEX(Instruments!$G$6:$G$205,MAX(1,$BE853)))),INDEX(Instruments!$G$6:$G$205,MAX(1,$BE853)),N(INDEX(Settings!$F$14:$F$18,$BF853))),6))))</f>
        <v/>
      </c>
      <c r="AK853" s="55" t="str">
        <f>IF($AM853=0,"",IF(ISNUMBER($O853),$O853,$AI853))</f>
        <v/>
      </c>
      <c r="AL853" s="55" t="str">
        <f>IF($AM853=0,"",IF(ISNUMBER($P853),$P853,N($AJ853)))</f>
        <v/>
      </c>
      <c r="AM853" s="56">
        <f>IF(AND($A853&lt;&gt;"",$E853&lt;&gt;"",OR(AND(ISNUMBER($G853),ISNUMBER($H853),ISNUMBER($K853)),ISNUMBER($O853))),1,0)</f>
        <v>0</v>
      </c>
      <c r="AN853" s="57" t="str">
        <f>IF($A853="","",$A853-WEEKDAY($A853,3))</f>
        <v/>
      </c>
      <c r="AO853" s="56" t="str">
        <f>IF($A853="","",WEEKDAY($A853,2))</f>
        <v/>
      </c>
      <c r="AP853" s="55" t="str">
        <f>IF(OR($AM853=0,$C853=""),"",IFERROR(N(INDEX(Accounts!$E$7:$E$16,MATCH($C853,Accounts!$B$7:$B$16,0))),0)+SUMIFS($Q$6:$Q853,$C$6:$C853,$C853))</f>
        <v/>
      </c>
      <c r="AQ853" s="55" t="str">
        <f>IF(OR($AM853=0,$C853=""),"",SUMIFS($Q$6:$Q$1005,$C$6:$C$1005,$C853,$A$6:$A$1005,$A853))</f>
        <v/>
      </c>
      <c r="AR853" s="55" t="str">
        <f>IF(OR($AM853=0,$C853=""),"",IFERROR(N(INDEX(Accounts!$E$7:$E$16,MATCH($C853,Accounts!$B$7:$B$16,0))),0)+SUMIFS($Q$6:$Q$1005,$C$6:$C$1005,$C853,$A$6:$A$1005,"&lt;="&amp;$A853))</f>
        <v/>
      </c>
      <c r="AS853" s="56">
        <f>IF(OR($AM853=0,$Q853=""),0,IF(AND($A853&gt;=Lists!$W$6,$A853&lt;=Lists!$W$7,OR(Dashboard!$D$6="All accounts",$C853=Dashboard!$D$6),OR(Dashboard!$D$7="All markets",$AF853=Dashboard!$D$7)),1,0))</f>
        <v>0</v>
      </c>
      <c r="AT853" s="55">
        <f>IF($AS853=1,N(AT852)+$Q853,N(AT852))</f>
        <v>1187.10688</v>
      </c>
      <c r="AU853" s="55">
        <f>MAX(N(AU852),$AT853)</f>
        <v>1187.10688</v>
      </c>
      <c r="AV853" s="55">
        <f>$AT853-$AU853</f>
        <v>0</v>
      </c>
      <c r="AW853" s="56">
        <f>IF($AS853=1,IF($S853="Win",N(AW852)+1,IF($S853="Loss",0,N(AW852))),N(AW852))</f>
        <v>5</v>
      </c>
      <c r="AX853" s="56">
        <f>IF($AS853=1,IF($S853="Loss",N(AX852)+1,IF($S853="Win",0,N(AX852))),N(AX852))</f>
        <v>0</v>
      </c>
      <c r="AY853" s="56" t="str">
        <f>IF($AS853=1,COUNTIF($AS$6:$AS853,1),"")</f>
        <v/>
      </c>
      <c r="AZ853" s="56">
        <f>MIN(847,N(Lists!$W$8))</f>
        <v>28</v>
      </c>
      <c r="BA853" s="56">
        <f>IF($AS853=1,IF(COUNTIFS($A$6:$A853,$A853,$AS$6:$AS853,1)=1,1,0),0)</f>
        <v>0</v>
      </c>
      <c r="BB853" s="55" t="str">
        <f>IF($BA853=1,SUMIFS($Q$6:$Q$1005,$A$6:$A$1005,$A853,$AS$6:$AS$1005,1),"")</f>
        <v/>
      </c>
      <c r="BC853" s="56">
        <f>IF(ISNUMBER($R853),1,0)</f>
        <v>0</v>
      </c>
      <c r="BD853" s="55" t="str">
        <f>IF(ISNUMBER($U853),$U853*$V853,"")</f>
        <v/>
      </c>
      <c r="BE853" s="56" t="str">
        <f>IF($AM853=0,"",IFERROR(MATCH($AF853&amp;"|"&amp;UPPER(TRIM($E853)),Lists!$A$6:$A$205,0),0))</f>
        <v/>
      </c>
      <c r="BF853" s="56" t="str">
        <f>IF($AM853=0,"",IFERROR(MATCH($AF853,Settings!$B$14:$B$18,0),IFERROR(MATCH(Settings!$C$6,Settings!$B$14:$B$18,0),1)))</f>
        <v/>
      </c>
      <c r="BG853" s="58" t="str">
        <f>IF($AM853=0,"",IF(NOT(ISNUMBER($I853)),"No stop; ","")&amp;IF(AND(ISNUMBER($H853),ISNUMBER($I853)),IF(OR(AND($F853&lt;&gt;"Short",$I853&gt;=$H853),AND($F853="Short",$I853&lt;=$H853)),"Stop on wrong side; ",""),"")&amp;IF($F853="","No direction; ","")&amp;IF(AND(ISNUMBER(Settings!$C$22),ISNUMBER($V853)),IF($V853&gt;Settings!$C$22,"Risk over max $; ",""),"")&amp;IF(AND(ISNUMBER(Settings!$C$23),ISNUMBER($V853),ISNUMBER($AP853),IFERROR(N(INDEX(Accounts!$E$7:$E$16,MATCH($C853,Accounts!$B$7:$B$16,0))),0)&gt;0),IF($V853&gt;Settings!$C$23*($AP853-N($Q853)),"Risk over max %; ",""),"")&amp;IF(AND(ISNUMBER(Settings!$C$24),ISNUMBER($N853)),IF($N853&gt;Settings!$C$24,"Leverage over max; ",""),"")&amp;IF(AND(ISNUMBER(Settings!$C$27),ISNUMBER($T853)),IF($T853&lt;Settings!$C$27,"R:R below min; ",""),"")&amp;IF(ISNUMBER(Settings!$C$25),IF(COUNTIFS($A$6:$A853,$A853,$AM$6:$AM853,1)&gt;Settings!$C$25,"Over max trades/day; ",""),"")&amp;IF(ISNUMBER(Settings!$C$26),IF(SUMIFS($Q$5:$Q852,$A$5:$A852,$A853)&lt;=-Settings!$C$26,"Traded after daily max loss; ",""),"")&amp;IF(AND($AG853="",NOT(ISNUMBER($O853))),"Symbol not in Instruments; ","")&amp;IF(AND($AH853="",NOT(ISNUMBER($O853))),"Forex cross: type Gross P&amp;L; ",""))</f>
        <v/>
      </c>
      <c r="BH853" s="56">
        <f>IF(ISNUMBER($Q853),1,0)</f>
        <v>0</v>
      </c>
      <c r="BI853" s="56">
        <f>IF($Y853="",0,1)</f>
        <v>0</v>
      </c>
      <c r="BJ853" s="56">
        <f>IF($AB853="",0,1)</f>
        <v>0</v>
      </c>
      <c r="BK853" s="56">
        <f>IF(AND($BH853=1,$W853&lt;&gt;"OK"),1,0)</f>
        <v>0</v>
      </c>
      <c r="BL853" s="55">
        <f>IF(N($AZ853)=0,0,IFERROR(INDEX($AT$6:$AT$1005,MATCH($AZ853,$AY$6:$AY$1005,0)),0))</f>
        <v>1187.10688</v>
      </c>
      <c r="BM853" s="56">
        <f>IF(ISNUMBER(SEARCH("daily max loss",$BG853)),1,0)</f>
        <v>0</v>
      </c>
    </row>
    <row r="854" ht="18" customHeight="1">
      <c r="A854" s="38" t="n"/>
      <c r="B854" s="39" t="n"/>
      <c r="C854" s="40" t="n"/>
      <c r="D854" s="41" t="n"/>
      <c r="E854" s="41" t="n"/>
      <c r="F854" s="41" t="n"/>
      <c r="G854" s="41" t="n"/>
      <c r="H854" s="42" t="n"/>
      <c r="I854" s="42" t="n"/>
      <c r="J854" s="42" t="n"/>
      <c r="K854" s="42" t="n"/>
      <c r="L854" s="41" t="n"/>
      <c r="M854" s="41" t="n"/>
      <c r="N854" s="41" t="n"/>
      <c r="O854" s="43" t="n"/>
      <c r="P854" s="43" t="n"/>
      <c r="Q854" s="44" t="str">
        <f>IF($AM854=0,"",IF(ISNUMBER($AK854),$AK854-N($AL854),""))</f>
        <v/>
      </c>
      <c r="R854" s="45" t="str">
        <f>IF(OR($Q854="",NOT(ISNUMBER($V854))),"",$AK854/$V854)</f>
        <v/>
      </c>
      <c r="S854" s="46" t="str">
        <f>IF($Q854="","",IF(AND(ISNUMBER($R854),ABS(N($R854))&lt;N(Settings!$C$8)),"Scratch",IF($Q854&gt;0,"Win",IF($Q854&lt;0,"Loss","Scratch"))))</f>
        <v/>
      </c>
      <c r="T854" s="47" t="str">
        <f>IF(OR($AM854=0,NOT(ISNUMBER($H854)),NOT(ISNUMBER($I854)),NOT(ISNUMBER($J854))),"",IF($H854=$I854,"",ROUND(ABS($J854-$H854)/ABS($H854-$I854),6)))</f>
        <v/>
      </c>
      <c r="U854" s="48" t="str">
        <f>IF(OR($S854&lt;&gt;"Win",NOT(ISNUMBER($T854)),NOT(ISNUMBER($R854))),"",MAX(0,$T854-$R854))</f>
        <v/>
      </c>
      <c r="V854" s="49" t="str">
        <f>IF(OR($AM854=0,NOT(ISNUMBER($H854)),NOT(ISNUMBER($I854)),NOT(ISNUMBER($G854))),"",IF(OR($AG854="",$AH854=""),"",IF(ROUND(ABS($H854-$I854)*ABS($G854)*$AG854*$AH854,6)=0,"",ROUND(ABS($H854-$I854)*ABS($G854)*$AG854*$AH854,6))))</f>
        <v/>
      </c>
      <c r="W854" s="50" t="str">
        <f>IF($AM854=0,"",IF($BG854="","OK",LEFT($BG854,LEN($BG854)-2)))</f>
        <v/>
      </c>
      <c r="X854" s="41" t="n"/>
      <c r="Y854" s="40" t="n"/>
      <c r="Z854" s="41" t="n"/>
      <c r="AA854" s="41" t="n"/>
      <c r="AB854" s="40" t="n"/>
      <c r="AC854" s="51" t="n"/>
      <c r="AD854" s="51" t="n"/>
      <c r="AE854" s="40" t="n"/>
      <c r="AF854" s="52" t="str">
        <f>IF($AM854=0,"",IF($D854&lt;&gt;"",$D854,IF(IFERROR(INDEX(Accounts!$C$7:$C$16,MATCH($C854,Accounts!$B$7:$B$16,0))&amp;"","")&lt;&gt;"",INDEX(Accounts!$C$7:$C$16,MATCH($C854,Accounts!$B$7:$B$16,0)),Settings!$C$6)))</f>
        <v/>
      </c>
      <c r="AG854" s="53" t="str">
        <f>IF($AM854=0,"",IF(AND($BE854&gt;0,N(INDEX(Instruments!$D$6:$D$205,MAX(1,$BE854)))&gt;0),INDEX(Instruments!$D$6:$D$205,MAX(1,$BE854)),IF(N(INDEX(Settings!$D$14:$D$18,$BF854))&gt;0,INDEX(Settings!$D$14:$D$18,$BF854),"")))</f>
        <v/>
      </c>
      <c r="AH854" s="54" t="str">
        <f>IF($AM854=0,"",IF($AF854&lt;&gt;"Forex",1,IF(MID(UPPER(SUBSTITUTE(TRIM($E854),"/","")),4,3)=UPPER(TRIM(Settings!$C$7)),1,IF(LEFT(UPPER(SUBSTITUTE(TRIM($E854),"/","")),3)=UPPER(TRIM(Settings!$C$7)),IF(AND(ISNUMBER($K854),N($K854)&lt;&gt;0),1/$K854,""),""))))</f>
        <v/>
      </c>
      <c r="AI854" s="55" t="str">
        <f>IF($AM854=0,"",IF(OR(NOT(ISNUMBER($H854)),NOT(ISNUMBER($K854)),NOT(ISNUMBER($G854)),$AG854="",$AH854=""),"",ROUND(($K854-$H854)*IF($F854="Short",-1,1)*$G854*$AG854*$AH854,6)))</f>
        <v/>
      </c>
      <c r="AJ854" s="55" t="str">
        <f>IF($AM854=0,"",IF(INDEX(Settings!$E$14:$E$18,$BF854)="% of notional",IF(OR($AG854="",NOT(ISNUMBER($H854)),NOT(ISNUMBER($G854))),"",ROUND(ABS($H854*$G854*$AG854*N($AH854))*IF($L854="Limit",N(INDEX(Settings!$G$14:$G$18,$BF854)),N(INDEX(Settings!$H$14:$H$18,$BF854)))+IF(ISNUMBER($K854),ABS($K854*$G854*$AG854*N($AH854))*IF($M854="Target",N(INDEX(Settings!$G$14:$G$18,$BF854)),N(INDEX(Settings!$H$14:$H$18,$BF854))),0),6)),IF(NOT(ISNUMBER($G854)),"",ROUND(ABS($G854)*2*IF(AND($BE854&gt;0,ISNUMBER(INDEX(Instruments!$G$6:$G$205,MAX(1,$BE854)))),INDEX(Instruments!$G$6:$G$205,MAX(1,$BE854)),N(INDEX(Settings!$F$14:$F$18,$BF854))),6))))</f>
        <v/>
      </c>
      <c r="AK854" s="55" t="str">
        <f>IF($AM854=0,"",IF(ISNUMBER($O854),$O854,$AI854))</f>
        <v/>
      </c>
      <c r="AL854" s="55" t="str">
        <f>IF($AM854=0,"",IF(ISNUMBER($P854),$P854,N($AJ854)))</f>
        <v/>
      </c>
      <c r="AM854" s="56">
        <f>IF(AND($A854&lt;&gt;"",$E854&lt;&gt;"",OR(AND(ISNUMBER($G854),ISNUMBER($H854),ISNUMBER($K854)),ISNUMBER($O854))),1,0)</f>
        <v>0</v>
      </c>
      <c r="AN854" s="57" t="str">
        <f>IF($A854="","",$A854-WEEKDAY($A854,3))</f>
        <v/>
      </c>
      <c r="AO854" s="56" t="str">
        <f>IF($A854="","",WEEKDAY($A854,2))</f>
        <v/>
      </c>
      <c r="AP854" s="55" t="str">
        <f>IF(OR($AM854=0,$C854=""),"",IFERROR(N(INDEX(Accounts!$E$7:$E$16,MATCH($C854,Accounts!$B$7:$B$16,0))),0)+SUMIFS($Q$6:$Q854,$C$6:$C854,$C854))</f>
        <v/>
      </c>
      <c r="AQ854" s="55" t="str">
        <f>IF(OR($AM854=0,$C854=""),"",SUMIFS($Q$6:$Q$1005,$C$6:$C$1005,$C854,$A$6:$A$1005,$A854))</f>
        <v/>
      </c>
      <c r="AR854" s="55" t="str">
        <f>IF(OR($AM854=0,$C854=""),"",IFERROR(N(INDEX(Accounts!$E$7:$E$16,MATCH($C854,Accounts!$B$7:$B$16,0))),0)+SUMIFS($Q$6:$Q$1005,$C$6:$C$1005,$C854,$A$6:$A$1005,"&lt;="&amp;$A854))</f>
        <v/>
      </c>
      <c r="AS854" s="56">
        <f>IF(OR($AM854=0,$Q854=""),0,IF(AND($A854&gt;=Lists!$W$6,$A854&lt;=Lists!$W$7,OR(Dashboard!$D$6="All accounts",$C854=Dashboard!$D$6),OR(Dashboard!$D$7="All markets",$AF854=Dashboard!$D$7)),1,0))</f>
        <v>0</v>
      </c>
      <c r="AT854" s="55">
        <f>IF($AS854=1,N(AT853)+$Q854,N(AT853))</f>
        <v>1187.10688</v>
      </c>
      <c r="AU854" s="55">
        <f>MAX(N(AU853),$AT854)</f>
        <v>1187.10688</v>
      </c>
      <c r="AV854" s="55">
        <f>$AT854-$AU854</f>
        <v>0</v>
      </c>
      <c r="AW854" s="56">
        <f>IF($AS854=1,IF($S854="Win",N(AW853)+1,IF($S854="Loss",0,N(AW853))),N(AW853))</f>
        <v>5</v>
      </c>
      <c r="AX854" s="56">
        <f>IF($AS854=1,IF($S854="Loss",N(AX853)+1,IF($S854="Win",0,N(AX853))),N(AX853))</f>
        <v>0</v>
      </c>
      <c r="AY854" s="56" t="str">
        <f>IF($AS854=1,COUNTIF($AS$6:$AS854,1),"")</f>
        <v/>
      </c>
      <c r="AZ854" s="56">
        <f>MIN(848,N(Lists!$W$8))</f>
        <v>28</v>
      </c>
      <c r="BA854" s="56">
        <f>IF($AS854=1,IF(COUNTIFS($A$6:$A854,$A854,$AS$6:$AS854,1)=1,1,0),0)</f>
        <v>0</v>
      </c>
      <c r="BB854" s="55" t="str">
        <f>IF($BA854=1,SUMIFS($Q$6:$Q$1005,$A$6:$A$1005,$A854,$AS$6:$AS$1005,1),"")</f>
        <v/>
      </c>
      <c r="BC854" s="56">
        <f>IF(ISNUMBER($R854),1,0)</f>
        <v>0</v>
      </c>
      <c r="BD854" s="55" t="str">
        <f>IF(ISNUMBER($U854),$U854*$V854,"")</f>
        <v/>
      </c>
      <c r="BE854" s="56" t="str">
        <f>IF($AM854=0,"",IFERROR(MATCH($AF854&amp;"|"&amp;UPPER(TRIM($E854)),Lists!$A$6:$A$205,0),0))</f>
        <v/>
      </c>
      <c r="BF854" s="56" t="str">
        <f>IF($AM854=0,"",IFERROR(MATCH($AF854,Settings!$B$14:$B$18,0),IFERROR(MATCH(Settings!$C$6,Settings!$B$14:$B$18,0),1)))</f>
        <v/>
      </c>
      <c r="BG854" s="58" t="str">
        <f>IF($AM854=0,"",IF(NOT(ISNUMBER($I854)),"No stop; ","")&amp;IF(AND(ISNUMBER($H854),ISNUMBER($I854)),IF(OR(AND($F854&lt;&gt;"Short",$I854&gt;=$H854),AND($F854="Short",$I854&lt;=$H854)),"Stop on wrong side; ",""),"")&amp;IF($F854="","No direction; ","")&amp;IF(AND(ISNUMBER(Settings!$C$22),ISNUMBER($V854)),IF($V854&gt;Settings!$C$22,"Risk over max $; ",""),"")&amp;IF(AND(ISNUMBER(Settings!$C$23),ISNUMBER($V854),ISNUMBER($AP854),IFERROR(N(INDEX(Accounts!$E$7:$E$16,MATCH($C854,Accounts!$B$7:$B$16,0))),0)&gt;0),IF($V854&gt;Settings!$C$23*($AP854-N($Q854)),"Risk over max %; ",""),"")&amp;IF(AND(ISNUMBER(Settings!$C$24),ISNUMBER($N854)),IF($N854&gt;Settings!$C$24,"Leverage over max; ",""),"")&amp;IF(AND(ISNUMBER(Settings!$C$27),ISNUMBER($T854)),IF($T854&lt;Settings!$C$27,"R:R below min; ",""),"")&amp;IF(ISNUMBER(Settings!$C$25),IF(COUNTIFS($A$6:$A854,$A854,$AM$6:$AM854,1)&gt;Settings!$C$25,"Over max trades/day; ",""),"")&amp;IF(ISNUMBER(Settings!$C$26),IF(SUMIFS($Q$5:$Q853,$A$5:$A853,$A854)&lt;=-Settings!$C$26,"Traded after daily max loss; ",""),"")&amp;IF(AND($AG854="",NOT(ISNUMBER($O854))),"Symbol not in Instruments; ","")&amp;IF(AND($AH854="",NOT(ISNUMBER($O854))),"Forex cross: type Gross P&amp;L; ",""))</f>
        <v/>
      </c>
      <c r="BH854" s="56">
        <f>IF(ISNUMBER($Q854),1,0)</f>
        <v>0</v>
      </c>
      <c r="BI854" s="56">
        <f>IF($Y854="",0,1)</f>
        <v>0</v>
      </c>
      <c r="BJ854" s="56">
        <f>IF($AB854="",0,1)</f>
        <v>0</v>
      </c>
      <c r="BK854" s="56">
        <f>IF(AND($BH854=1,$W854&lt;&gt;"OK"),1,0)</f>
        <v>0</v>
      </c>
      <c r="BL854" s="55">
        <f>IF(N($AZ854)=0,0,IFERROR(INDEX($AT$6:$AT$1005,MATCH($AZ854,$AY$6:$AY$1005,0)),0))</f>
        <v>1187.10688</v>
      </c>
      <c r="BM854" s="56">
        <f>IF(ISNUMBER(SEARCH("daily max loss",$BG854)),1,0)</f>
        <v>0</v>
      </c>
    </row>
    <row r="855" ht="18" customHeight="1">
      <c r="A855" s="38" t="n"/>
      <c r="B855" s="39" t="n"/>
      <c r="C855" s="40" t="n"/>
      <c r="D855" s="41" t="n"/>
      <c r="E855" s="41" t="n"/>
      <c r="F855" s="41" t="n"/>
      <c r="G855" s="41" t="n"/>
      <c r="H855" s="42" t="n"/>
      <c r="I855" s="42" t="n"/>
      <c r="J855" s="42" t="n"/>
      <c r="K855" s="42" t="n"/>
      <c r="L855" s="41" t="n"/>
      <c r="M855" s="41" t="n"/>
      <c r="N855" s="41" t="n"/>
      <c r="O855" s="43" t="n"/>
      <c r="P855" s="43" t="n"/>
      <c r="Q855" s="44" t="str">
        <f>IF($AM855=0,"",IF(ISNUMBER($AK855),$AK855-N($AL855),""))</f>
        <v/>
      </c>
      <c r="R855" s="45" t="str">
        <f>IF(OR($Q855="",NOT(ISNUMBER($V855))),"",$AK855/$V855)</f>
        <v/>
      </c>
      <c r="S855" s="46" t="str">
        <f>IF($Q855="","",IF(AND(ISNUMBER($R855),ABS(N($R855))&lt;N(Settings!$C$8)),"Scratch",IF($Q855&gt;0,"Win",IF($Q855&lt;0,"Loss","Scratch"))))</f>
        <v/>
      </c>
      <c r="T855" s="47" t="str">
        <f>IF(OR($AM855=0,NOT(ISNUMBER($H855)),NOT(ISNUMBER($I855)),NOT(ISNUMBER($J855))),"",IF($H855=$I855,"",ROUND(ABS($J855-$H855)/ABS($H855-$I855),6)))</f>
        <v/>
      </c>
      <c r="U855" s="48" t="str">
        <f>IF(OR($S855&lt;&gt;"Win",NOT(ISNUMBER($T855)),NOT(ISNUMBER($R855))),"",MAX(0,$T855-$R855))</f>
        <v/>
      </c>
      <c r="V855" s="49" t="str">
        <f>IF(OR($AM855=0,NOT(ISNUMBER($H855)),NOT(ISNUMBER($I855)),NOT(ISNUMBER($G855))),"",IF(OR($AG855="",$AH855=""),"",IF(ROUND(ABS($H855-$I855)*ABS($G855)*$AG855*$AH855,6)=0,"",ROUND(ABS($H855-$I855)*ABS($G855)*$AG855*$AH855,6))))</f>
        <v/>
      </c>
      <c r="W855" s="50" t="str">
        <f>IF($AM855=0,"",IF($BG855="","OK",LEFT($BG855,LEN($BG855)-2)))</f>
        <v/>
      </c>
      <c r="X855" s="41" t="n"/>
      <c r="Y855" s="40" t="n"/>
      <c r="Z855" s="41" t="n"/>
      <c r="AA855" s="41" t="n"/>
      <c r="AB855" s="40" t="n"/>
      <c r="AC855" s="51" t="n"/>
      <c r="AD855" s="51" t="n"/>
      <c r="AE855" s="40" t="n"/>
      <c r="AF855" s="52" t="str">
        <f>IF($AM855=0,"",IF($D855&lt;&gt;"",$D855,IF(IFERROR(INDEX(Accounts!$C$7:$C$16,MATCH($C855,Accounts!$B$7:$B$16,0))&amp;"","")&lt;&gt;"",INDEX(Accounts!$C$7:$C$16,MATCH($C855,Accounts!$B$7:$B$16,0)),Settings!$C$6)))</f>
        <v/>
      </c>
      <c r="AG855" s="53" t="str">
        <f>IF($AM855=0,"",IF(AND($BE855&gt;0,N(INDEX(Instruments!$D$6:$D$205,MAX(1,$BE855)))&gt;0),INDEX(Instruments!$D$6:$D$205,MAX(1,$BE855)),IF(N(INDEX(Settings!$D$14:$D$18,$BF855))&gt;0,INDEX(Settings!$D$14:$D$18,$BF855),"")))</f>
        <v/>
      </c>
      <c r="AH855" s="54" t="str">
        <f>IF($AM855=0,"",IF($AF855&lt;&gt;"Forex",1,IF(MID(UPPER(SUBSTITUTE(TRIM($E855),"/","")),4,3)=UPPER(TRIM(Settings!$C$7)),1,IF(LEFT(UPPER(SUBSTITUTE(TRIM($E855),"/","")),3)=UPPER(TRIM(Settings!$C$7)),IF(AND(ISNUMBER($K855),N($K855)&lt;&gt;0),1/$K855,""),""))))</f>
        <v/>
      </c>
      <c r="AI855" s="55" t="str">
        <f>IF($AM855=0,"",IF(OR(NOT(ISNUMBER($H855)),NOT(ISNUMBER($K855)),NOT(ISNUMBER($G855)),$AG855="",$AH855=""),"",ROUND(($K855-$H855)*IF($F855="Short",-1,1)*$G855*$AG855*$AH855,6)))</f>
        <v/>
      </c>
      <c r="AJ855" s="55" t="str">
        <f>IF($AM855=0,"",IF(INDEX(Settings!$E$14:$E$18,$BF855)="% of notional",IF(OR($AG855="",NOT(ISNUMBER($H855)),NOT(ISNUMBER($G855))),"",ROUND(ABS($H855*$G855*$AG855*N($AH855))*IF($L855="Limit",N(INDEX(Settings!$G$14:$G$18,$BF855)),N(INDEX(Settings!$H$14:$H$18,$BF855)))+IF(ISNUMBER($K855),ABS($K855*$G855*$AG855*N($AH855))*IF($M855="Target",N(INDEX(Settings!$G$14:$G$18,$BF855)),N(INDEX(Settings!$H$14:$H$18,$BF855))),0),6)),IF(NOT(ISNUMBER($G855)),"",ROUND(ABS($G855)*2*IF(AND($BE855&gt;0,ISNUMBER(INDEX(Instruments!$G$6:$G$205,MAX(1,$BE855)))),INDEX(Instruments!$G$6:$G$205,MAX(1,$BE855)),N(INDEX(Settings!$F$14:$F$18,$BF855))),6))))</f>
        <v/>
      </c>
      <c r="AK855" s="55" t="str">
        <f>IF($AM855=0,"",IF(ISNUMBER($O855),$O855,$AI855))</f>
        <v/>
      </c>
      <c r="AL855" s="55" t="str">
        <f>IF($AM855=0,"",IF(ISNUMBER($P855),$P855,N($AJ855)))</f>
        <v/>
      </c>
      <c r="AM855" s="56">
        <f>IF(AND($A855&lt;&gt;"",$E855&lt;&gt;"",OR(AND(ISNUMBER($G855),ISNUMBER($H855),ISNUMBER($K855)),ISNUMBER($O855))),1,0)</f>
        <v>0</v>
      </c>
      <c r="AN855" s="57" t="str">
        <f>IF($A855="","",$A855-WEEKDAY($A855,3))</f>
        <v/>
      </c>
      <c r="AO855" s="56" t="str">
        <f>IF($A855="","",WEEKDAY($A855,2))</f>
        <v/>
      </c>
      <c r="AP855" s="55" t="str">
        <f>IF(OR($AM855=0,$C855=""),"",IFERROR(N(INDEX(Accounts!$E$7:$E$16,MATCH($C855,Accounts!$B$7:$B$16,0))),0)+SUMIFS($Q$6:$Q855,$C$6:$C855,$C855))</f>
        <v/>
      </c>
      <c r="AQ855" s="55" t="str">
        <f>IF(OR($AM855=0,$C855=""),"",SUMIFS($Q$6:$Q$1005,$C$6:$C$1005,$C855,$A$6:$A$1005,$A855))</f>
        <v/>
      </c>
      <c r="AR855" s="55" t="str">
        <f>IF(OR($AM855=0,$C855=""),"",IFERROR(N(INDEX(Accounts!$E$7:$E$16,MATCH($C855,Accounts!$B$7:$B$16,0))),0)+SUMIFS($Q$6:$Q$1005,$C$6:$C$1005,$C855,$A$6:$A$1005,"&lt;="&amp;$A855))</f>
        <v/>
      </c>
      <c r="AS855" s="56">
        <f>IF(OR($AM855=0,$Q855=""),0,IF(AND($A855&gt;=Lists!$W$6,$A855&lt;=Lists!$W$7,OR(Dashboard!$D$6="All accounts",$C855=Dashboard!$D$6),OR(Dashboard!$D$7="All markets",$AF855=Dashboard!$D$7)),1,0))</f>
        <v>0</v>
      </c>
      <c r="AT855" s="55">
        <f>IF($AS855=1,N(AT854)+$Q855,N(AT854))</f>
        <v>1187.10688</v>
      </c>
      <c r="AU855" s="55">
        <f>MAX(N(AU854),$AT855)</f>
        <v>1187.10688</v>
      </c>
      <c r="AV855" s="55">
        <f>$AT855-$AU855</f>
        <v>0</v>
      </c>
      <c r="AW855" s="56">
        <f>IF($AS855=1,IF($S855="Win",N(AW854)+1,IF($S855="Loss",0,N(AW854))),N(AW854))</f>
        <v>5</v>
      </c>
      <c r="AX855" s="56">
        <f>IF($AS855=1,IF($S855="Loss",N(AX854)+1,IF($S855="Win",0,N(AX854))),N(AX854))</f>
        <v>0</v>
      </c>
      <c r="AY855" s="56" t="str">
        <f>IF($AS855=1,COUNTIF($AS$6:$AS855,1),"")</f>
        <v/>
      </c>
      <c r="AZ855" s="56">
        <f>MIN(849,N(Lists!$W$8))</f>
        <v>28</v>
      </c>
      <c r="BA855" s="56">
        <f>IF($AS855=1,IF(COUNTIFS($A$6:$A855,$A855,$AS$6:$AS855,1)=1,1,0),0)</f>
        <v>0</v>
      </c>
      <c r="BB855" s="55" t="str">
        <f>IF($BA855=1,SUMIFS($Q$6:$Q$1005,$A$6:$A$1005,$A855,$AS$6:$AS$1005,1),"")</f>
        <v/>
      </c>
      <c r="BC855" s="56">
        <f>IF(ISNUMBER($R855),1,0)</f>
        <v>0</v>
      </c>
      <c r="BD855" s="55" t="str">
        <f>IF(ISNUMBER($U855),$U855*$V855,"")</f>
        <v/>
      </c>
      <c r="BE855" s="56" t="str">
        <f>IF($AM855=0,"",IFERROR(MATCH($AF855&amp;"|"&amp;UPPER(TRIM($E855)),Lists!$A$6:$A$205,0),0))</f>
        <v/>
      </c>
      <c r="BF855" s="56" t="str">
        <f>IF($AM855=0,"",IFERROR(MATCH($AF855,Settings!$B$14:$B$18,0),IFERROR(MATCH(Settings!$C$6,Settings!$B$14:$B$18,0),1)))</f>
        <v/>
      </c>
      <c r="BG855" s="58" t="str">
        <f>IF($AM855=0,"",IF(NOT(ISNUMBER($I855)),"No stop; ","")&amp;IF(AND(ISNUMBER($H855),ISNUMBER($I855)),IF(OR(AND($F855&lt;&gt;"Short",$I855&gt;=$H855),AND($F855="Short",$I855&lt;=$H855)),"Stop on wrong side; ",""),"")&amp;IF($F855="","No direction; ","")&amp;IF(AND(ISNUMBER(Settings!$C$22),ISNUMBER($V855)),IF($V855&gt;Settings!$C$22,"Risk over max $; ",""),"")&amp;IF(AND(ISNUMBER(Settings!$C$23),ISNUMBER($V855),ISNUMBER($AP855),IFERROR(N(INDEX(Accounts!$E$7:$E$16,MATCH($C855,Accounts!$B$7:$B$16,0))),0)&gt;0),IF($V855&gt;Settings!$C$23*($AP855-N($Q855)),"Risk over max %; ",""),"")&amp;IF(AND(ISNUMBER(Settings!$C$24),ISNUMBER($N855)),IF($N855&gt;Settings!$C$24,"Leverage over max; ",""),"")&amp;IF(AND(ISNUMBER(Settings!$C$27),ISNUMBER($T855)),IF($T855&lt;Settings!$C$27,"R:R below min; ",""),"")&amp;IF(ISNUMBER(Settings!$C$25),IF(COUNTIFS($A$6:$A855,$A855,$AM$6:$AM855,1)&gt;Settings!$C$25,"Over max trades/day; ",""),"")&amp;IF(ISNUMBER(Settings!$C$26),IF(SUMIFS($Q$5:$Q854,$A$5:$A854,$A855)&lt;=-Settings!$C$26,"Traded after daily max loss; ",""),"")&amp;IF(AND($AG855="",NOT(ISNUMBER($O855))),"Symbol not in Instruments; ","")&amp;IF(AND($AH855="",NOT(ISNUMBER($O855))),"Forex cross: type Gross P&amp;L; ",""))</f>
        <v/>
      </c>
      <c r="BH855" s="56">
        <f>IF(ISNUMBER($Q855),1,0)</f>
        <v>0</v>
      </c>
      <c r="BI855" s="56">
        <f>IF($Y855="",0,1)</f>
        <v>0</v>
      </c>
      <c r="BJ855" s="56">
        <f>IF($AB855="",0,1)</f>
        <v>0</v>
      </c>
      <c r="BK855" s="56">
        <f>IF(AND($BH855=1,$W855&lt;&gt;"OK"),1,0)</f>
        <v>0</v>
      </c>
      <c r="BL855" s="55">
        <f>IF(N($AZ855)=0,0,IFERROR(INDEX($AT$6:$AT$1005,MATCH($AZ855,$AY$6:$AY$1005,0)),0))</f>
        <v>1187.10688</v>
      </c>
      <c r="BM855" s="56">
        <f>IF(ISNUMBER(SEARCH("daily max loss",$BG855)),1,0)</f>
        <v>0</v>
      </c>
    </row>
    <row r="856" ht="18" customHeight="1">
      <c r="A856" s="38" t="n"/>
      <c r="B856" s="39" t="n"/>
      <c r="C856" s="40" t="n"/>
      <c r="D856" s="41" t="n"/>
      <c r="E856" s="41" t="n"/>
      <c r="F856" s="41" t="n"/>
      <c r="G856" s="41" t="n"/>
      <c r="H856" s="42" t="n"/>
      <c r="I856" s="42" t="n"/>
      <c r="J856" s="42" t="n"/>
      <c r="K856" s="42" t="n"/>
      <c r="L856" s="41" t="n"/>
      <c r="M856" s="41" t="n"/>
      <c r="N856" s="41" t="n"/>
      <c r="O856" s="43" t="n"/>
      <c r="P856" s="43" t="n"/>
      <c r="Q856" s="44" t="str">
        <f>IF($AM856=0,"",IF(ISNUMBER($AK856),$AK856-N($AL856),""))</f>
        <v/>
      </c>
      <c r="R856" s="45" t="str">
        <f>IF(OR($Q856="",NOT(ISNUMBER($V856))),"",$AK856/$V856)</f>
        <v/>
      </c>
      <c r="S856" s="46" t="str">
        <f>IF($Q856="","",IF(AND(ISNUMBER($R856),ABS(N($R856))&lt;N(Settings!$C$8)),"Scratch",IF($Q856&gt;0,"Win",IF($Q856&lt;0,"Loss","Scratch"))))</f>
        <v/>
      </c>
      <c r="T856" s="47" t="str">
        <f>IF(OR($AM856=0,NOT(ISNUMBER($H856)),NOT(ISNUMBER($I856)),NOT(ISNUMBER($J856))),"",IF($H856=$I856,"",ROUND(ABS($J856-$H856)/ABS($H856-$I856),6)))</f>
        <v/>
      </c>
      <c r="U856" s="48" t="str">
        <f>IF(OR($S856&lt;&gt;"Win",NOT(ISNUMBER($T856)),NOT(ISNUMBER($R856))),"",MAX(0,$T856-$R856))</f>
        <v/>
      </c>
      <c r="V856" s="49" t="str">
        <f>IF(OR($AM856=0,NOT(ISNUMBER($H856)),NOT(ISNUMBER($I856)),NOT(ISNUMBER($G856))),"",IF(OR($AG856="",$AH856=""),"",IF(ROUND(ABS($H856-$I856)*ABS($G856)*$AG856*$AH856,6)=0,"",ROUND(ABS($H856-$I856)*ABS($G856)*$AG856*$AH856,6))))</f>
        <v/>
      </c>
      <c r="W856" s="50" t="str">
        <f>IF($AM856=0,"",IF($BG856="","OK",LEFT($BG856,LEN($BG856)-2)))</f>
        <v/>
      </c>
      <c r="X856" s="41" t="n"/>
      <c r="Y856" s="40" t="n"/>
      <c r="Z856" s="41" t="n"/>
      <c r="AA856" s="41" t="n"/>
      <c r="AB856" s="40" t="n"/>
      <c r="AC856" s="51" t="n"/>
      <c r="AD856" s="51" t="n"/>
      <c r="AE856" s="40" t="n"/>
      <c r="AF856" s="52" t="str">
        <f>IF($AM856=0,"",IF($D856&lt;&gt;"",$D856,IF(IFERROR(INDEX(Accounts!$C$7:$C$16,MATCH($C856,Accounts!$B$7:$B$16,0))&amp;"","")&lt;&gt;"",INDEX(Accounts!$C$7:$C$16,MATCH($C856,Accounts!$B$7:$B$16,0)),Settings!$C$6)))</f>
        <v/>
      </c>
      <c r="AG856" s="53" t="str">
        <f>IF($AM856=0,"",IF(AND($BE856&gt;0,N(INDEX(Instruments!$D$6:$D$205,MAX(1,$BE856)))&gt;0),INDEX(Instruments!$D$6:$D$205,MAX(1,$BE856)),IF(N(INDEX(Settings!$D$14:$D$18,$BF856))&gt;0,INDEX(Settings!$D$14:$D$18,$BF856),"")))</f>
        <v/>
      </c>
      <c r="AH856" s="54" t="str">
        <f>IF($AM856=0,"",IF($AF856&lt;&gt;"Forex",1,IF(MID(UPPER(SUBSTITUTE(TRIM($E856),"/","")),4,3)=UPPER(TRIM(Settings!$C$7)),1,IF(LEFT(UPPER(SUBSTITUTE(TRIM($E856),"/","")),3)=UPPER(TRIM(Settings!$C$7)),IF(AND(ISNUMBER($K856),N($K856)&lt;&gt;0),1/$K856,""),""))))</f>
        <v/>
      </c>
      <c r="AI856" s="55" t="str">
        <f>IF($AM856=0,"",IF(OR(NOT(ISNUMBER($H856)),NOT(ISNUMBER($K856)),NOT(ISNUMBER($G856)),$AG856="",$AH856=""),"",ROUND(($K856-$H856)*IF($F856="Short",-1,1)*$G856*$AG856*$AH856,6)))</f>
        <v/>
      </c>
      <c r="AJ856" s="55" t="str">
        <f>IF($AM856=0,"",IF(INDEX(Settings!$E$14:$E$18,$BF856)="% of notional",IF(OR($AG856="",NOT(ISNUMBER($H856)),NOT(ISNUMBER($G856))),"",ROUND(ABS($H856*$G856*$AG856*N($AH856))*IF($L856="Limit",N(INDEX(Settings!$G$14:$G$18,$BF856)),N(INDEX(Settings!$H$14:$H$18,$BF856)))+IF(ISNUMBER($K856),ABS($K856*$G856*$AG856*N($AH856))*IF($M856="Target",N(INDEX(Settings!$G$14:$G$18,$BF856)),N(INDEX(Settings!$H$14:$H$18,$BF856))),0),6)),IF(NOT(ISNUMBER($G856)),"",ROUND(ABS($G856)*2*IF(AND($BE856&gt;0,ISNUMBER(INDEX(Instruments!$G$6:$G$205,MAX(1,$BE856)))),INDEX(Instruments!$G$6:$G$205,MAX(1,$BE856)),N(INDEX(Settings!$F$14:$F$18,$BF856))),6))))</f>
        <v/>
      </c>
      <c r="AK856" s="55" t="str">
        <f>IF($AM856=0,"",IF(ISNUMBER($O856),$O856,$AI856))</f>
        <v/>
      </c>
      <c r="AL856" s="55" t="str">
        <f>IF($AM856=0,"",IF(ISNUMBER($P856),$P856,N($AJ856)))</f>
        <v/>
      </c>
      <c r="AM856" s="56">
        <f>IF(AND($A856&lt;&gt;"",$E856&lt;&gt;"",OR(AND(ISNUMBER($G856),ISNUMBER($H856),ISNUMBER($K856)),ISNUMBER($O856))),1,0)</f>
        <v>0</v>
      </c>
      <c r="AN856" s="57" t="str">
        <f>IF($A856="","",$A856-WEEKDAY($A856,3))</f>
        <v/>
      </c>
      <c r="AO856" s="56" t="str">
        <f>IF($A856="","",WEEKDAY($A856,2))</f>
        <v/>
      </c>
      <c r="AP856" s="55" t="str">
        <f>IF(OR($AM856=0,$C856=""),"",IFERROR(N(INDEX(Accounts!$E$7:$E$16,MATCH($C856,Accounts!$B$7:$B$16,0))),0)+SUMIFS($Q$6:$Q856,$C$6:$C856,$C856))</f>
        <v/>
      </c>
      <c r="AQ856" s="55" t="str">
        <f>IF(OR($AM856=0,$C856=""),"",SUMIFS($Q$6:$Q$1005,$C$6:$C$1005,$C856,$A$6:$A$1005,$A856))</f>
        <v/>
      </c>
      <c r="AR856" s="55" t="str">
        <f>IF(OR($AM856=0,$C856=""),"",IFERROR(N(INDEX(Accounts!$E$7:$E$16,MATCH($C856,Accounts!$B$7:$B$16,0))),0)+SUMIFS($Q$6:$Q$1005,$C$6:$C$1005,$C856,$A$6:$A$1005,"&lt;="&amp;$A856))</f>
        <v/>
      </c>
      <c r="AS856" s="56">
        <f>IF(OR($AM856=0,$Q856=""),0,IF(AND($A856&gt;=Lists!$W$6,$A856&lt;=Lists!$W$7,OR(Dashboard!$D$6="All accounts",$C856=Dashboard!$D$6),OR(Dashboard!$D$7="All markets",$AF856=Dashboard!$D$7)),1,0))</f>
        <v>0</v>
      </c>
      <c r="AT856" s="55">
        <f>IF($AS856=1,N(AT855)+$Q856,N(AT855))</f>
        <v>1187.10688</v>
      </c>
      <c r="AU856" s="55">
        <f>MAX(N(AU855),$AT856)</f>
        <v>1187.10688</v>
      </c>
      <c r="AV856" s="55">
        <f>$AT856-$AU856</f>
        <v>0</v>
      </c>
      <c r="AW856" s="56">
        <f>IF($AS856=1,IF($S856="Win",N(AW855)+1,IF($S856="Loss",0,N(AW855))),N(AW855))</f>
        <v>5</v>
      </c>
      <c r="AX856" s="56">
        <f>IF($AS856=1,IF($S856="Loss",N(AX855)+1,IF($S856="Win",0,N(AX855))),N(AX855))</f>
        <v>0</v>
      </c>
      <c r="AY856" s="56" t="str">
        <f>IF($AS856=1,COUNTIF($AS$6:$AS856,1),"")</f>
        <v/>
      </c>
      <c r="AZ856" s="56">
        <f>MIN(850,N(Lists!$W$8))</f>
        <v>28</v>
      </c>
      <c r="BA856" s="56">
        <f>IF($AS856=1,IF(COUNTIFS($A$6:$A856,$A856,$AS$6:$AS856,1)=1,1,0),0)</f>
        <v>0</v>
      </c>
      <c r="BB856" s="55" t="str">
        <f>IF($BA856=1,SUMIFS($Q$6:$Q$1005,$A$6:$A$1005,$A856,$AS$6:$AS$1005,1),"")</f>
        <v/>
      </c>
      <c r="BC856" s="56">
        <f>IF(ISNUMBER($R856),1,0)</f>
        <v>0</v>
      </c>
      <c r="BD856" s="55" t="str">
        <f>IF(ISNUMBER($U856),$U856*$V856,"")</f>
        <v/>
      </c>
      <c r="BE856" s="56" t="str">
        <f>IF($AM856=0,"",IFERROR(MATCH($AF856&amp;"|"&amp;UPPER(TRIM($E856)),Lists!$A$6:$A$205,0),0))</f>
        <v/>
      </c>
      <c r="BF856" s="56" t="str">
        <f>IF($AM856=0,"",IFERROR(MATCH($AF856,Settings!$B$14:$B$18,0),IFERROR(MATCH(Settings!$C$6,Settings!$B$14:$B$18,0),1)))</f>
        <v/>
      </c>
      <c r="BG856" s="58" t="str">
        <f>IF($AM856=0,"",IF(NOT(ISNUMBER($I856)),"No stop; ","")&amp;IF(AND(ISNUMBER($H856),ISNUMBER($I856)),IF(OR(AND($F856&lt;&gt;"Short",$I856&gt;=$H856),AND($F856="Short",$I856&lt;=$H856)),"Stop on wrong side; ",""),"")&amp;IF($F856="","No direction; ","")&amp;IF(AND(ISNUMBER(Settings!$C$22),ISNUMBER($V856)),IF($V856&gt;Settings!$C$22,"Risk over max $; ",""),"")&amp;IF(AND(ISNUMBER(Settings!$C$23),ISNUMBER($V856),ISNUMBER($AP856),IFERROR(N(INDEX(Accounts!$E$7:$E$16,MATCH($C856,Accounts!$B$7:$B$16,0))),0)&gt;0),IF($V856&gt;Settings!$C$23*($AP856-N($Q856)),"Risk over max %; ",""),"")&amp;IF(AND(ISNUMBER(Settings!$C$24),ISNUMBER($N856)),IF($N856&gt;Settings!$C$24,"Leverage over max; ",""),"")&amp;IF(AND(ISNUMBER(Settings!$C$27),ISNUMBER($T856)),IF($T856&lt;Settings!$C$27,"R:R below min; ",""),"")&amp;IF(ISNUMBER(Settings!$C$25),IF(COUNTIFS($A$6:$A856,$A856,$AM$6:$AM856,1)&gt;Settings!$C$25,"Over max trades/day; ",""),"")&amp;IF(ISNUMBER(Settings!$C$26),IF(SUMIFS($Q$5:$Q855,$A$5:$A855,$A856)&lt;=-Settings!$C$26,"Traded after daily max loss; ",""),"")&amp;IF(AND($AG856="",NOT(ISNUMBER($O856))),"Symbol not in Instruments; ","")&amp;IF(AND($AH856="",NOT(ISNUMBER($O856))),"Forex cross: type Gross P&amp;L; ",""))</f>
        <v/>
      </c>
      <c r="BH856" s="56">
        <f>IF(ISNUMBER($Q856),1,0)</f>
        <v>0</v>
      </c>
      <c r="BI856" s="56">
        <f>IF($Y856="",0,1)</f>
        <v>0</v>
      </c>
      <c r="BJ856" s="56">
        <f>IF($AB856="",0,1)</f>
        <v>0</v>
      </c>
      <c r="BK856" s="56">
        <f>IF(AND($BH856=1,$W856&lt;&gt;"OK"),1,0)</f>
        <v>0</v>
      </c>
      <c r="BL856" s="55">
        <f>IF(N($AZ856)=0,0,IFERROR(INDEX($AT$6:$AT$1005,MATCH($AZ856,$AY$6:$AY$1005,0)),0))</f>
        <v>1187.10688</v>
      </c>
      <c r="BM856" s="56">
        <f>IF(ISNUMBER(SEARCH("daily max loss",$BG856)),1,0)</f>
        <v>0</v>
      </c>
    </row>
    <row r="857" ht="18" customHeight="1">
      <c r="A857" s="38" t="n"/>
      <c r="B857" s="39" t="n"/>
      <c r="C857" s="40" t="n"/>
      <c r="D857" s="41" t="n"/>
      <c r="E857" s="41" t="n"/>
      <c r="F857" s="41" t="n"/>
      <c r="G857" s="41" t="n"/>
      <c r="H857" s="42" t="n"/>
      <c r="I857" s="42" t="n"/>
      <c r="J857" s="42" t="n"/>
      <c r="K857" s="42" t="n"/>
      <c r="L857" s="41" t="n"/>
      <c r="M857" s="41" t="n"/>
      <c r="N857" s="41" t="n"/>
      <c r="O857" s="43" t="n"/>
      <c r="P857" s="43" t="n"/>
      <c r="Q857" s="44" t="str">
        <f>IF($AM857=0,"",IF(ISNUMBER($AK857),$AK857-N($AL857),""))</f>
        <v/>
      </c>
      <c r="R857" s="45" t="str">
        <f>IF(OR($Q857="",NOT(ISNUMBER($V857))),"",$AK857/$V857)</f>
        <v/>
      </c>
      <c r="S857" s="46" t="str">
        <f>IF($Q857="","",IF(AND(ISNUMBER($R857),ABS(N($R857))&lt;N(Settings!$C$8)),"Scratch",IF($Q857&gt;0,"Win",IF($Q857&lt;0,"Loss","Scratch"))))</f>
        <v/>
      </c>
      <c r="T857" s="47" t="str">
        <f>IF(OR($AM857=0,NOT(ISNUMBER($H857)),NOT(ISNUMBER($I857)),NOT(ISNUMBER($J857))),"",IF($H857=$I857,"",ROUND(ABS($J857-$H857)/ABS($H857-$I857),6)))</f>
        <v/>
      </c>
      <c r="U857" s="48" t="str">
        <f>IF(OR($S857&lt;&gt;"Win",NOT(ISNUMBER($T857)),NOT(ISNUMBER($R857))),"",MAX(0,$T857-$R857))</f>
        <v/>
      </c>
      <c r="V857" s="49" t="str">
        <f>IF(OR($AM857=0,NOT(ISNUMBER($H857)),NOT(ISNUMBER($I857)),NOT(ISNUMBER($G857))),"",IF(OR($AG857="",$AH857=""),"",IF(ROUND(ABS($H857-$I857)*ABS($G857)*$AG857*$AH857,6)=0,"",ROUND(ABS($H857-$I857)*ABS($G857)*$AG857*$AH857,6))))</f>
        <v/>
      </c>
      <c r="W857" s="50" t="str">
        <f>IF($AM857=0,"",IF($BG857="","OK",LEFT($BG857,LEN($BG857)-2)))</f>
        <v/>
      </c>
      <c r="X857" s="41" t="n"/>
      <c r="Y857" s="40" t="n"/>
      <c r="Z857" s="41" t="n"/>
      <c r="AA857" s="41" t="n"/>
      <c r="AB857" s="40" t="n"/>
      <c r="AC857" s="51" t="n"/>
      <c r="AD857" s="51" t="n"/>
      <c r="AE857" s="40" t="n"/>
      <c r="AF857" s="52" t="str">
        <f>IF($AM857=0,"",IF($D857&lt;&gt;"",$D857,IF(IFERROR(INDEX(Accounts!$C$7:$C$16,MATCH($C857,Accounts!$B$7:$B$16,0))&amp;"","")&lt;&gt;"",INDEX(Accounts!$C$7:$C$16,MATCH($C857,Accounts!$B$7:$B$16,0)),Settings!$C$6)))</f>
        <v/>
      </c>
      <c r="AG857" s="53" t="str">
        <f>IF($AM857=0,"",IF(AND($BE857&gt;0,N(INDEX(Instruments!$D$6:$D$205,MAX(1,$BE857)))&gt;0),INDEX(Instruments!$D$6:$D$205,MAX(1,$BE857)),IF(N(INDEX(Settings!$D$14:$D$18,$BF857))&gt;0,INDEX(Settings!$D$14:$D$18,$BF857),"")))</f>
        <v/>
      </c>
      <c r="AH857" s="54" t="str">
        <f>IF($AM857=0,"",IF($AF857&lt;&gt;"Forex",1,IF(MID(UPPER(SUBSTITUTE(TRIM($E857),"/","")),4,3)=UPPER(TRIM(Settings!$C$7)),1,IF(LEFT(UPPER(SUBSTITUTE(TRIM($E857),"/","")),3)=UPPER(TRIM(Settings!$C$7)),IF(AND(ISNUMBER($K857),N($K857)&lt;&gt;0),1/$K857,""),""))))</f>
        <v/>
      </c>
      <c r="AI857" s="55" t="str">
        <f>IF($AM857=0,"",IF(OR(NOT(ISNUMBER($H857)),NOT(ISNUMBER($K857)),NOT(ISNUMBER($G857)),$AG857="",$AH857=""),"",ROUND(($K857-$H857)*IF($F857="Short",-1,1)*$G857*$AG857*$AH857,6)))</f>
        <v/>
      </c>
      <c r="AJ857" s="55" t="str">
        <f>IF($AM857=0,"",IF(INDEX(Settings!$E$14:$E$18,$BF857)="% of notional",IF(OR($AG857="",NOT(ISNUMBER($H857)),NOT(ISNUMBER($G857))),"",ROUND(ABS($H857*$G857*$AG857*N($AH857))*IF($L857="Limit",N(INDEX(Settings!$G$14:$G$18,$BF857)),N(INDEX(Settings!$H$14:$H$18,$BF857)))+IF(ISNUMBER($K857),ABS($K857*$G857*$AG857*N($AH857))*IF($M857="Target",N(INDEX(Settings!$G$14:$G$18,$BF857)),N(INDEX(Settings!$H$14:$H$18,$BF857))),0),6)),IF(NOT(ISNUMBER($G857)),"",ROUND(ABS($G857)*2*IF(AND($BE857&gt;0,ISNUMBER(INDEX(Instruments!$G$6:$G$205,MAX(1,$BE857)))),INDEX(Instruments!$G$6:$G$205,MAX(1,$BE857)),N(INDEX(Settings!$F$14:$F$18,$BF857))),6))))</f>
        <v/>
      </c>
      <c r="AK857" s="55" t="str">
        <f>IF($AM857=0,"",IF(ISNUMBER($O857),$O857,$AI857))</f>
        <v/>
      </c>
      <c r="AL857" s="55" t="str">
        <f>IF($AM857=0,"",IF(ISNUMBER($P857),$P857,N($AJ857)))</f>
        <v/>
      </c>
      <c r="AM857" s="56">
        <f>IF(AND($A857&lt;&gt;"",$E857&lt;&gt;"",OR(AND(ISNUMBER($G857),ISNUMBER($H857),ISNUMBER($K857)),ISNUMBER($O857))),1,0)</f>
        <v>0</v>
      </c>
      <c r="AN857" s="57" t="str">
        <f>IF($A857="","",$A857-WEEKDAY($A857,3))</f>
        <v/>
      </c>
      <c r="AO857" s="56" t="str">
        <f>IF($A857="","",WEEKDAY($A857,2))</f>
        <v/>
      </c>
      <c r="AP857" s="55" t="str">
        <f>IF(OR($AM857=0,$C857=""),"",IFERROR(N(INDEX(Accounts!$E$7:$E$16,MATCH($C857,Accounts!$B$7:$B$16,0))),0)+SUMIFS($Q$6:$Q857,$C$6:$C857,$C857))</f>
        <v/>
      </c>
      <c r="AQ857" s="55" t="str">
        <f>IF(OR($AM857=0,$C857=""),"",SUMIFS($Q$6:$Q$1005,$C$6:$C$1005,$C857,$A$6:$A$1005,$A857))</f>
        <v/>
      </c>
      <c r="AR857" s="55" t="str">
        <f>IF(OR($AM857=0,$C857=""),"",IFERROR(N(INDEX(Accounts!$E$7:$E$16,MATCH($C857,Accounts!$B$7:$B$16,0))),0)+SUMIFS($Q$6:$Q$1005,$C$6:$C$1005,$C857,$A$6:$A$1005,"&lt;="&amp;$A857))</f>
        <v/>
      </c>
      <c r="AS857" s="56">
        <f>IF(OR($AM857=0,$Q857=""),0,IF(AND($A857&gt;=Lists!$W$6,$A857&lt;=Lists!$W$7,OR(Dashboard!$D$6="All accounts",$C857=Dashboard!$D$6),OR(Dashboard!$D$7="All markets",$AF857=Dashboard!$D$7)),1,0))</f>
        <v>0</v>
      </c>
      <c r="AT857" s="55">
        <f>IF($AS857=1,N(AT856)+$Q857,N(AT856))</f>
        <v>1187.10688</v>
      </c>
      <c r="AU857" s="55">
        <f>MAX(N(AU856),$AT857)</f>
        <v>1187.10688</v>
      </c>
      <c r="AV857" s="55">
        <f>$AT857-$AU857</f>
        <v>0</v>
      </c>
      <c r="AW857" s="56">
        <f>IF($AS857=1,IF($S857="Win",N(AW856)+1,IF($S857="Loss",0,N(AW856))),N(AW856))</f>
        <v>5</v>
      </c>
      <c r="AX857" s="56">
        <f>IF($AS857=1,IF($S857="Loss",N(AX856)+1,IF($S857="Win",0,N(AX856))),N(AX856))</f>
        <v>0</v>
      </c>
      <c r="AY857" s="56" t="str">
        <f>IF($AS857=1,COUNTIF($AS$6:$AS857,1),"")</f>
        <v/>
      </c>
      <c r="AZ857" s="56">
        <f>MIN(851,N(Lists!$W$8))</f>
        <v>28</v>
      </c>
      <c r="BA857" s="56">
        <f>IF($AS857=1,IF(COUNTIFS($A$6:$A857,$A857,$AS$6:$AS857,1)=1,1,0),0)</f>
        <v>0</v>
      </c>
      <c r="BB857" s="55" t="str">
        <f>IF($BA857=1,SUMIFS($Q$6:$Q$1005,$A$6:$A$1005,$A857,$AS$6:$AS$1005,1),"")</f>
        <v/>
      </c>
      <c r="BC857" s="56">
        <f>IF(ISNUMBER($R857),1,0)</f>
        <v>0</v>
      </c>
      <c r="BD857" s="55" t="str">
        <f>IF(ISNUMBER($U857),$U857*$V857,"")</f>
        <v/>
      </c>
      <c r="BE857" s="56" t="str">
        <f>IF($AM857=0,"",IFERROR(MATCH($AF857&amp;"|"&amp;UPPER(TRIM($E857)),Lists!$A$6:$A$205,0),0))</f>
        <v/>
      </c>
      <c r="BF857" s="56" t="str">
        <f>IF($AM857=0,"",IFERROR(MATCH($AF857,Settings!$B$14:$B$18,0),IFERROR(MATCH(Settings!$C$6,Settings!$B$14:$B$18,0),1)))</f>
        <v/>
      </c>
      <c r="BG857" s="58" t="str">
        <f>IF($AM857=0,"",IF(NOT(ISNUMBER($I857)),"No stop; ","")&amp;IF(AND(ISNUMBER($H857),ISNUMBER($I857)),IF(OR(AND($F857&lt;&gt;"Short",$I857&gt;=$H857),AND($F857="Short",$I857&lt;=$H857)),"Stop on wrong side; ",""),"")&amp;IF($F857="","No direction; ","")&amp;IF(AND(ISNUMBER(Settings!$C$22),ISNUMBER($V857)),IF($V857&gt;Settings!$C$22,"Risk over max $; ",""),"")&amp;IF(AND(ISNUMBER(Settings!$C$23),ISNUMBER($V857),ISNUMBER($AP857),IFERROR(N(INDEX(Accounts!$E$7:$E$16,MATCH($C857,Accounts!$B$7:$B$16,0))),0)&gt;0),IF($V857&gt;Settings!$C$23*($AP857-N($Q857)),"Risk over max %; ",""),"")&amp;IF(AND(ISNUMBER(Settings!$C$24),ISNUMBER($N857)),IF($N857&gt;Settings!$C$24,"Leverage over max; ",""),"")&amp;IF(AND(ISNUMBER(Settings!$C$27),ISNUMBER($T857)),IF($T857&lt;Settings!$C$27,"R:R below min; ",""),"")&amp;IF(ISNUMBER(Settings!$C$25),IF(COUNTIFS($A$6:$A857,$A857,$AM$6:$AM857,1)&gt;Settings!$C$25,"Over max trades/day; ",""),"")&amp;IF(ISNUMBER(Settings!$C$26),IF(SUMIFS($Q$5:$Q856,$A$5:$A856,$A857)&lt;=-Settings!$C$26,"Traded after daily max loss; ",""),"")&amp;IF(AND($AG857="",NOT(ISNUMBER($O857))),"Symbol not in Instruments; ","")&amp;IF(AND($AH857="",NOT(ISNUMBER($O857))),"Forex cross: type Gross P&amp;L; ",""))</f>
        <v/>
      </c>
      <c r="BH857" s="56">
        <f>IF(ISNUMBER($Q857),1,0)</f>
        <v>0</v>
      </c>
      <c r="BI857" s="56">
        <f>IF($Y857="",0,1)</f>
        <v>0</v>
      </c>
      <c r="BJ857" s="56">
        <f>IF($AB857="",0,1)</f>
        <v>0</v>
      </c>
      <c r="BK857" s="56">
        <f>IF(AND($BH857=1,$W857&lt;&gt;"OK"),1,0)</f>
        <v>0</v>
      </c>
      <c r="BL857" s="55">
        <f>IF(N($AZ857)=0,0,IFERROR(INDEX($AT$6:$AT$1005,MATCH($AZ857,$AY$6:$AY$1005,0)),0))</f>
        <v>1187.10688</v>
      </c>
      <c r="BM857" s="56">
        <f>IF(ISNUMBER(SEARCH("daily max loss",$BG857)),1,0)</f>
        <v>0</v>
      </c>
    </row>
    <row r="858" ht="18" customHeight="1">
      <c r="A858" s="38" t="n"/>
      <c r="B858" s="39" t="n"/>
      <c r="C858" s="40" t="n"/>
      <c r="D858" s="41" t="n"/>
      <c r="E858" s="41" t="n"/>
      <c r="F858" s="41" t="n"/>
      <c r="G858" s="41" t="n"/>
      <c r="H858" s="42" t="n"/>
      <c r="I858" s="42" t="n"/>
      <c r="J858" s="42" t="n"/>
      <c r="K858" s="42" t="n"/>
      <c r="L858" s="41" t="n"/>
      <c r="M858" s="41" t="n"/>
      <c r="N858" s="41" t="n"/>
      <c r="O858" s="43" t="n"/>
      <c r="P858" s="43" t="n"/>
      <c r="Q858" s="44" t="str">
        <f>IF($AM858=0,"",IF(ISNUMBER($AK858),$AK858-N($AL858),""))</f>
        <v/>
      </c>
      <c r="R858" s="45" t="str">
        <f>IF(OR($Q858="",NOT(ISNUMBER($V858))),"",$AK858/$V858)</f>
        <v/>
      </c>
      <c r="S858" s="46" t="str">
        <f>IF($Q858="","",IF(AND(ISNUMBER($R858),ABS(N($R858))&lt;N(Settings!$C$8)),"Scratch",IF($Q858&gt;0,"Win",IF($Q858&lt;0,"Loss","Scratch"))))</f>
        <v/>
      </c>
      <c r="T858" s="47" t="str">
        <f>IF(OR($AM858=0,NOT(ISNUMBER($H858)),NOT(ISNUMBER($I858)),NOT(ISNUMBER($J858))),"",IF($H858=$I858,"",ROUND(ABS($J858-$H858)/ABS($H858-$I858),6)))</f>
        <v/>
      </c>
      <c r="U858" s="48" t="str">
        <f>IF(OR($S858&lt;&gt;"Win",NOT(ISNUMBER($T858)),NOT(ISNUMBER($R858))),"",MAX(0,$T858-$R858))</f>
        <v/>
      </c>
      <c r="V858" s="49" t="str">
        <f>IF(OR($AM858=0,NOT(ISNUMBER($H858)),NOT(ISNUMBER($I858)),NOT(ISNUMBER($G858))),"",IF(OR($AG858="",$AH858=""),"",IF(ROUND(ABS($H858-$I858)*ABS($G858)*$AG858*$AH858,6)=0,"",ROUND(ABS($H858-$I858)*ABS($G858)*$AG858*$AH858,6))))</f>
        <v/>
      </c>
      <c r="W858" s="50" t="str">
        <f>IF($AM858=0,"",IF($BG858="","OK",LEFT($BG858,LEN($BG858)-2)))</f>
        <v/>
      </c>
      <c r="X858" s="41" t="n"/>
      <c r="Y858" s="40" t="n"/>
      <c r="Z858" s="41" t="n"/>
      <c r="AA858" s="41" t="n"/>
      <c r="AB858" s="40" t="n"/>
      <c r="AC858" s="51" t="n"/>
      <c r="AD858" s="51" t="n"/>
      <c r="AE858" s="40" t="n"/>
      <c r="AF858" s="52" t="str">
        <f>IF($AM858=0,"",IF($D858&lt;&gt;"",$D858,IF(IFERROR(INDEX(Accounts!$C$7:$C$16,MATCH($C858,Accounts!$B$7:$B$16,0))&amp;"","")&lt;&gt;"",INDEX(Accounts!$C$7:$C$16,MATCH($C858,Accounts!$B$7:$B$16,0)),Settings!$C$6)))</f>
        <v/>
      </c>
      <c r="AG858" s="53" t="str">
        <f>IF($AM858=0,"",IF(AND($BE858&gt;0,N(INDEX(Instruments!$D$6:$D$205,MAX(1,$BE858)))&gt;0),INDEX(Instruments!$D$6:$D$205,MAX(1,$BE858)),IF(N(INDEX(Settings!$D$14:$D$18,$BF858))&gt;0,INDEX(Settings!$D$14:$D$18,$BF858),"")))</f>
        <v/>
      </c>
      <c r="AH858" s="54" t="str">
        <f>IF($AM858=0,"",IF($AF858&lt;&gt;"Forex",1,IF(MID(UPPER(SUBSTITUTE(TRIM($E858),"/","")),4,3)=UPPER(TRIM(Settings!$C$7)),1,IF(LEFT(UPPER(SUBSTITUTE(TRIM($E858),"/","")),3)=UPPER(TRIM(Settings!$C$7)),IF(AND(ISNUMBER($K858),N($K858)&lt;&gt;0),1/$K858,""),""))))</f>
        <v/>
      </c>
      <c r="AI858" s="55" t="str">
        <f>IF($AM858=0,"",IF(OR(NOT(ISNUMBER($H858)),NOT(ISNUMBER($K858)),NOT(ISNUMBER($G858)),$AG858="",$AH858=""),"",ROUND(($K858-$H858)*IF($F858="Short",-1,1)*$G858*$AG858*$AH858,6)))</f>
        <v/>
      </c>
      <c r="AJ858" s="55" t="str">
        <f>IF($AM858=0,"",IF(INDEX(Settings!$E$14:$E$18,$BF858)="% of notional",IF(OR($AG858="",NOT(ISNUMBER($H858)),NOT(ISNUMBER($G858))),"",ROUND(ABS($H858*$G858*$AG858*N($AH858))*IF($L858="Limit",N(INDEX(Settings!$G$14:$G$18,$BF858)),N(INDEX(Settings!$H$14:$H$18,$BF858)))+IF(ISNUMBER($K858),ABS($K858*$G858*$AG858*N($AH858))*IF($M858="Target",N(INDEX(Settings!$G$14:$G$18,$BF858)),N(INDEX(Settings!$H$14:$H$18,$BF858))),0),6)),IF(NOT(ISNUMBER($G858)),"",ROUND(ABS($G858)*2*IF(AND($BE858&gt;0,ISNUMBER(INDEX(Instruments!$G$6:$G$205,MAX(1,$BE858)))),INDEX(Instruments!$G$6:$G$205,MAX(1,$BE858)),N(INDEX(Settings!$F$14:$F$18,$BF858))),6))))</f>
        <v/>
      </c>
      <c r="AK858" s="55" t="str">
        <f>IF($AM858=0,"",IF(ISNUMBER($O858),$O858,$AI858))</f>
        <v/>
      </c>
      <c r="AL858" s="55" t="str">
        <f>IF($AM858=0,"",IF(ISNUMBER($P858),$P858,N($AJ858)))</f>
        <v/>
      </c>
      <c r="AM858" s="56">
        <f>IF(AND($A858&lt;&gt;"",$E858&lt;&gt;"",OR(AND(ISNUMBER($G858),ISNUMBER($H858),ISNUMBER($K858)),ISNUMBER($O858))),1,0)</f>
        <v>0</v>
      </c>
      <c r="AN858" s="57" t="str">
        <f>IF($A858="","",$A858-WEEKDAY($A858,3))</f>
        <v/>
      </c>
      <c r="AO858" s="56" t="str">
        <f>IF($A858="","",WEEKDAY($A858,2))</f>
        <v/>
      </c>
      <c r="AP858" s="55" t="str">
        <f>IF(OR($AM858=0,$C858=""),"",IFERROR(N(INDEX(Accounts!$E$7:$E$16,MATCH($C858,Accounts!$B$7:$B$16,0))),0)+SUMIFS($Q$6:$Q858,$C$6:$C858,$C858))</f>
        <v/>
      </c>
      <c r="AQ858" s="55" t="str">
        <f>IF(OR($AM858=0,$C858=""),"",SUMIFS($Q$6:$Q$1005,$C$6:$C$1005,$C858,$A$6:$A$1005,$A858))</f>
        <v/>
      </c>
      <c r="AR858" s="55" t="str">
        <f>IF(OR($AM858=0,$C858=""),"",IFERROR(N(INDEX(Accounts!$E$7:$E$16,MATCH($C858,Accounts!$B$7:$B$16,0))),0)+SUMIFS($Q$6:$Q$1005,$C$6:$C$1005,$C858,$A$6:$A$1005,"&lt;="&amp;$A858))</f>
        <v/>
      </c>
      <c r="AS858" s="56">
        <f>IF(OR($AM858=0,$Q858=""),0,IF(AND($A858&gt;=Lists!$W$6,$A858&lt;=Lists!$W$7,OR(Dashboard!$D$6="All accounts",$C858=Dashboard!$D$6),OR(Dashboard!$D$7="All markets",$AF858=Dashboard!$D$7)),1,0))</f>
        <v>0</v>
      </c>
      <c r="AT858" s="55">
        <f>IF($AS858=1,N(AT857)+$Q858,N(AT857))</f>
        <v>1187.10688</v>
      </c>
      <c r="AU858" s="55">
        <f>MAX(N(AU857),$AT858)</f>
        <v>1187.10688</v>
      </c>
      <c r="AV858" s="55">
        <f>$AT858-$AU858</f>
        <v>0</v>
      </c>
      <c r="AW858" s="56">
        <f>IF($AS858=1,IF($S858="Win",N(AW857)+1,IF($S858="Loss",0,N(AW857))),N(AW857))</f>
        <v>5</v>
      </c>
      <c r="AX858" s="56">
        <f>IF($AS858=1,IF($S858="Loss",N(AX857)+1,IF($S858="Win",0,N(AX857))),N(AX857))</f>
        <v>0</v>
      </c>
      <c r="AY858" s="56" t="str">
        <f>IF($AS858=1,COUNTIF($AS$6:$AS858,1),"")</f>
        <v/>
      </c>
      <c r="AZ858" s="56">
        <f>MIN(852,N(Lists!$W$8))</f>
        <v>28</v>
      </c>
      <c r="BA858" s="56">
        <f>IF($AS858=1,IF(COUNTIFS($A$6:$A858,$A858,$AS$6:$AS858,1)=1,1,0),0)</f>
        <v>0</v>
      </c>
      <c r="BB858" s="55" t="str">
        <f>IF($BA858=1,SUMIFS($Q$6:$Q$1005,$A$6:$A$1005,$A858,$AS$6:$AS$1005,1),"")</f>
        <v/>
      </c>
      <c r="BC858" s="56">
        <f>IF(ISNUMBER($R858),1,0)</f>
        <v>0</v>
      </c>
      <c r="BD858" s="55" t="str">
        <f>IF(ISNUMBER($U858),$U858*$V858,"")</f>
        <v/>
      </c>
      <c r="BE858" s="56" t="str">
        <f>IF($AM858=0,"",IFERROR(MATCH($AF858&amp;"|"&amp;UPPER(TRIM($E858)),Lists!$A$6:$A$205,0),0))</f>
        <v/>
      </c>
      <c r="BF858" s="56" t="str">
        <f>IF($AM858=0,"",IFERROR(MATCH($AF858,Settings!$B$14:$B$18,0),IFERROR(MATCH(Settings!$C$6,Settings!$B$14:$B$18,0),1)))</f>
        <v/>
      </c>
      <c r="BG858" s="58" t="str">
        <f>IF($AM858=0,"",IF(NOT(ISNUMBER($I858)),"No stop; ","")&amp;IF(AND(ISNUMBER($H858),ISNUMBER($I858)),IF(OR(AND($F858&lt;&gt;"Short",$I858&gt;=$H858),AND($F858="Short",$I858&lt;=$H858)),"Stop on wrong side; ",""),"")&amp;IF($F858="","No direction; ","")&amp;IF(AND(ISNUMBER(Settings!$C$22),ISNUMBER($V858)),IF($V858&gt;Settings!$C$22,"Risk over max $; ",""),"")&amp;IF(AND(ISNUMBER(Settings!$C$23),ISNUMBER($V858),ISNUMBER($AP858),IFERROR(N(INDEX(Accounts!$E$7:$E$16,MATCH($C858,Accounts!$B$7:$B$16,0))),0)&gt;0),IF($V858&gt;Settings!$C$23*($AP858-N($Q858)),"Risk over max %; ",""),"")&amp;IF(AND(ISNUMBER(Settings!$C$24),ISNUMBER($N858)),IF($N858&gt;Settings!$C$24,"Leverage over max; ",""),"")&amp;IF(AND(ISNUMBER(Settings!$C$27),ISNUMBER($T858)),IF($T858&lt;Settings!$C$27,"R:R below min; ",""),"")&amp;IF(ISNUMBER(Settings!$C$25),IF(COUNTIFS($A$6:$A858,$A858,$AM$6:$AM858,1)&gt;Settings!$C$25,"Over max trades/day; ",""),"")&amp;IF(ISNUMBER(Settings!$C$26),IF(SUMIFS($Q$5:$Q857,$A$5:$A857,$A858)&lt;=-Settings!$C$26,"Traded after daily max loss; ",""),"")&amp;IF(AND($AG858="",NOT(ISNUMBER($O858))),"Symbol not in Instruments; ","")&amp;IF(AND($AH858="",NOT(ISNUMBER($O858))),"Forex cross: type Gross P&amp;L; ",""))</f>
        <v/>
      </c>
      <c r="BH858" s="56">
        <f>IF(ISNUMBER($Q858),1,0)</f>
        <v>0</v>
      </c>
      <c r="BI858" s="56">
        <f>IF($Y858="",0,1)</f>
        <v>0</v>
      </c>
      <c r="BJ858" s="56">
        <f>IF($AB858="",0,1)</f>
        <v>0</v>
      </c>
      <c r="BK858" s="56">
        <f>IF(AND($BH858=1,$W858&lt;&gt;"OK"),1,0)</f>
        <v>0</v>
      </c>
      <c r="BL858" s="55">
        <f>IF(N($AZ858)=0,0,IFERROR(INDEX($AT$6:$AT$1005,MATCH($AZ858,$AY$6:$AY$1005,0)),0))</f>
        <v>1187.10688</v>
      </c>
      <c r="BM858" s="56">
        <f>IF(ISNUMBER(SEARCH("daily max loss",$BG858)),1,0)</f>
        <v>0</v>
      </c>
    </row>
    <row r="859" ht="18" customHeight="1">
      <c r="A859" s="38" t="n"/>
      <c r="B859" s="39" t="n"/>
      <c r="C859" s="40" t="n"/>
      <c r="D859" s="41" t="n"/>
      <c r="E859" s="41" t="n"/>
      <c r="F859" s="41" t="n"/>
      <c r="G859" s="41" t="n"/>
      <c r="H859" s="42" t="n"/>
      <c r="I859" s="42" t="n"/>
      <c r="J859" s="42" t="n"/>
      <c r="K859" s="42" t="n"/>
      <c r="L859" s="41" t="n"/>
      <c r="M859" s="41" t="n"/>
      <c r="N859" s="41" t="n"/>
      <c r="O859" s="43" t="n"/>
      <c r="P859" s="43" t="n"/>
      <c r="Q859" s="44" t="str">
        <f>IF($AM859=0,"",IF(ISNUMBER($AK859),$AK859-N($AL859),""))</f>
        <v/>
      </c>
      <c r="R859" s="45" t="str">
        <f>IF(OR($Q859="",NOT(ISNUMBER($V859))),"",$AK859/$V859)</f>
        <v/>
      </c>
      <c r="S859" s="46" t="str">
        <f>IF($Q859="","",IF(AND(ISNUMBER($R859),ABS(N($R859))&lt;N(Settings!$C$8)),"Scratch",IF($Q859&gt;0,"Win",IF($Q859&lt;0,"Loss","Scratch"))))</f>
        <v/>
      </c>
      <c r="T859" s="47" t="str">
        <f>IF(OR($AM859=0,NOT(ISNUMBER($H859)),NOT(ISNUMBER($I859)),NOT(ISNUMBER($J859))),"",IF($H859=$I859,"",ROUND(ABS($J859-$H859)/ABS($H859-$I859),6)))</f>
        <v/>
      </c>
      <c r="U859" s="48" t="str">
        <f>IF(OR($S859&lt;&gt;"Win",NOT(ISNUMBER($T859)),NOT(ISNUMBER($R859))),"",MAX(0,$T859-$R859))</f>
        <v/>
      </c>
      <c r="V859" s="49" t="str">
        <f>IF(OR($AM859=0,NOT(ISNUMBER($H859)),NOT(ISNUMBER($I859)),NOT(ISNUMBER($G859))),"",IF(OR($AG859="",$AH859=""),"",IF(ROUND(ABS($H859-$I859)*ABS($G859)*$AG859*$AH859,6)=0,"",ROUND(ABS($H859-$I859)*ABS($G859)*$AG859*$AH859,6))))</f>
        <v/>
      </c>
      <c r="W859" s="50" t="str">
        <f>IF($AM859=0,"",IF($BG859="","OK",LEFT($BG859,LEN($BG859)-2)))</f>
        <v/>
      </c>
      <c r="X859" s="41" t="n"/>
      <c r="Y859" s="40" t="n"/>
      <c r="Z859" s="41" t="n"/>
      <c r="AA859" s="41" t="n"/>
      <c r="AB859" s="40" t="n"/>
      <c r="AC859" s="51" t="n"/>
      <c r="AD859" s="51" t="n"/>
      <c r="AE859" s="40" t="n"/>
      <c r="AF859" s="52" t="str">
        <f>IF($AM859=0,"",IF($D859&lt;&gt;"",$D859,IF(IFERROR(INDEX(Accounts!$C$7:$C$16,MATCH($C859,Accounts!$B$7:$B$16,0))&amp;"","")&lt;&gt;"",INDEX(Accounts!$C$7:$C$16,MATCH($C859,Accounts!$B$7:$B$16,0)),Settings!$C$6)))</f>
        <v/>
      </c>
      <c r="AG859" s="53" t="str">
        <f>IF($AM859=0,"",IF(AND($BE859&gt;0,N(INDEX(Instruments!$D$6:$D$205,MAX(1,$BE859)))&gt;0),INDEX(Instruments!$D$6:$D$205,MAX(1,$BE859)),IF(N(INDEX(Settings!$D$14:$D$18,$BF859))&gt;0,INDEX(Settings!$D$14:$D$18,$BF859),"")))</f>
        <v/>
      </c>
      <c r="AH859" s="54" t="str">
        <f>IF($AM859=0,"",IF($AF859&lt;&gt;"Forex",1,IF(MID(UPPER(SUBSTITUTE(TRIM($E859),"/","")),4,3)=UPPER(TRIM(Settings!$C$7)),1,IF(LEFT(UPPER(SUBSTITUTE(TRIM($E859),"/","")),3)=UPPER(TRIM(Settings!$C$7)),IF(AND(ISNUMBER($K859),N($K859)&lt;&gt;0),1/$K859,""),""))))</f>
        <v/>
      </c>
      <c r="AI859" s="55" t="str">
        <f>IF($AM859=0,"",IF(OR(NOT(ISNUMBER($H859)),NOT(ISNUMBER($K859)),NOT(ISNUMBER($G859)),$AG859="",$AH859=""),"",ROUND(($K859-$H859)*IF($F859="Short",-1,1)*$G859*$AG859*$AH859,6)))</f>
        <v/>
      </c>
      <c r="AJ859" s="55" t="str">
        <f>IF($AM859=0,"",IF(INDEX(Settings!$E$14:$E$18,$BF859)="% of notional",IF(OR($AG859="",NOT(ISNUMBER($H859)),NOT(ISNUMBER($G859))),"",ROUND(ABS($H859*$G859*$AG859*N($AH859))*IF($L859="Limit",N(INDEX(Settings!$G$14:$G$18,$BF859)),N(INDEX(Settings!$H$14:$H$18,$BF859)))+IF(ISNUMBER($K859),ABS($K859*$G859*$AG859*N($AH859))*IF($M859="Target",N(INDEX(Settings!$G$14:$G$18,$BF859)),N(INDEX(Settings!$H$14:$H$18,$BF859))),0),6)),IF(NOT(ISNUMBER($G859)),"",ROUND(ABS($G859)*2*IF(AND($BE859&gt;0,ISNUMBER(INDEX(Instruments!$G$6:$G$205,MAX(1,$BE859)))),INDEX(Instruments!$G$6:$G$205,MAX(1,$BE859)),N(INDEX(Settings!$F$14:$F$18,$BF859))),6))))</f>
        <v/>
      </c>
      <c r="AK859" s="55" t="str">
        <f>IF($AM859=0,"",IF(ISNUMBER($O859),$O859,$AI859))</f>
        <v/>
      </c>
      <c r="AL859" s="55" t="str">
        <f>IF($AM859=0,"",IF(ISNUMBER($P859),$P859,N($AJ859)))</f>
        <v/>
      </c>
      <c r="AM859" s="56">
        <f>IF(AND($A859&lt;&gt;"",$E859&lt;&gt;"",OR(AND(ISNUMBER($G859),ISNUMBER($H859),ISNUMBER($K859)),ISNUMBER($O859))),1,0)</f>
        <v>0</v>
      </c>
      <c r="AN859" s="57" t="str">
        <f>IF($A859="","",$A859-WEEKDAY($A859,3))</f>
        <v/>
      </c>
      <c r="AO859" s="56" t="str">
        <f>IF($A859="","",WEEKDAY($A859,2))</f>
        <v/>
      </c>
      <c r="AP859" s="55" t="str">
        <f>IF(OR($AM859=0,$C859=""),"",IFERROR(N(INDEX(Accounts!$E$7:$E$16,MATCH($C859,Accounts!$B$7:$B$16,0))),0)+SUMIFS($Q$6:$Q859,$C$6:$C859,$C859))</f>
        <v/>
      </c>
      <c r="AQ859" s="55" t="str">
        <f>IF(OR($AM859=0,$C859=""),"",SUMIFS($Q$6:$Q$1005,$C$6:$C$1005,$C859,$A$6:$A$1005,$A859))</f>
        <v/>
      </c>
      <c r="AR859" s="55" t="str">
        <f>IF(OR($AM859=0,$C859=""),"",IFERROR(N(INDEX(Accounts!$E$7:$E$16,MATCH($C859,Accounts!$B$7:$B$16,0))),0)+SUMIFS($Q$6:$Q$1005,$C$6:$C$1005,$C859,$A$6:$A$1005,"&lt;="&amp;$A859))</f>
        <v/>
      </c>
      <c r="AS859" s="56">
        <f>IF(OR($AM859=0,$Q859=""),0,IF(AND($A859&gt;=Lists!$W$6,$A859&lt;=Lists!$W$7,OR(Dashboard!$D$6="All accounts",$C859=Dashboard!$D$6),OR(Dashboard!$D$7="All markets",$AF859=Dashboard!$D$7)),1,0))</f>
        <v>0</v>
      </c>
      <c r="AT859" s="55">
        <f>IF($AS859=1,N(AT858)+$Q859,N(AT858))</f>
        <v>1187.10688</v>
      </c>
      <c r="AU859" s="55">
        <f>MAX(N(AU858),$AT859)</f>
        <v>1187.10688</v>
      </c>
      <c r="AV859" s="55">
        <f>$AT859-$AU859</f>
        <v>0</v>
      </c>
      <c r="AW859" s="56">
        <f>IF($AS859=1,IF($S859="Win",N(AW858)+1,IF($S859="Loss",0,N(AW858))),N(AW858))</f>
        <v>5</v>
      </c>
      <c r="AX859" s="56">
        <f>IF($AS859=1,IF($S859="Loss",N(AX858)+1,IF($S859="Win",0,N(AX858))),N(AX858))</f>
        <v>0</v>
      </c>
      <c r="AY859" s="56" t="str">
        <f>IF($AS859=1,COUNTIF($AS$6:$AS859,1),"")</f>
        <v/>
      </c>
      <c r="AZ859" s="56">
        <f>MIN(853,N(Lists!$W$8))</f>
        <v>28</v>
      </c>
      <c r="BA859" s="56">
        <f>IF($AS859=1,IF(COUNTIFS($A$6:$A859,$A859,$AS$6:$AS859,1)=1,1,0),0)</f>
        <v>0</v>
      </c>
      <c r="BB859" s="55" t="str">
        <f>IF($BA859=1,SUMIFS($Q$6:$Q$1005,$A$6:$A$1005,$A859,$AS$6:$AS$1005,1),"")</f>
        <v/>
      </c>
      <c r="BC859" s="56">
        <f>IF(ISNUMBER($R859),1,0)</f>
        <v>0</v>
      </c>
      <c r="BD859" s="55" t="str">
        <f>IF(ISNUMBER($U859),$U859*$V859,"")</f>
        <v/>
      </c>
      <c r="BE859" s="56" t="str">
        <f>IF($AM859=0,"",IFERROR(MATCH($AF859&amp;"|"&amp;UPPER(TRIM($E859)),Lists!$A$6:$A$205,0),0))</f>
        <v/>
      </c>
      <c r="BF859" s="56" t="str">
        <f>IF($AM859=0,"",IFERROR(MATCH($AF859,Settings!$B$14:$B$18,0),IFERROR(MATCH(Settings!$C$6,Settings!$B$14:$B$18,0),1)))</f>
        <v/>
      </c>
      <c r="BG859" s="58" t="str">
        <f>IF($AM859=0,"",IF(NOT(ISNUMBER($I859)),"No stop; ","")&amp;IF(AND(ISNUMBER($H859),ISNUMBER($I859)),IF(OR(AND($F859&lt;&gt;"Short",$I859&gt;=$H859),AND($F859="Short",$I859&lt;=$H859)),"Stop on wrong side; ",""),"")&amp;IF($F859="","No direction; ","")&amp;IF(AND(ISNUMBER(Settings!$C$22),ISNUMBER($V859)),IF($V859&gt;Settings!$C$22,"Risk over max $; ",""),"")&amp;IF(AND(ISNUMBER(Settings!$C$23),ISNUMBER($V859),ISNUMBER($AP859),IFERROR(N(INDEX(Accounts!$E$7:$E$16,MATCH($C859,Accounts!$B$7:$B$16,0))),0)&gt;0),IF($V859&gt;Settings!$C$23*($AP859-N($Q859)),"Risk over max %; ",""),"")&amp;IF(AND(ISNUMBER(Settings!$C$24),ISNUMBER($N859)),IF($N859&gt;Settings!$C$24,"Leverage over max; ",""),"")&amp;IF(AND(ISNUMBER(Settings!$C$27),ISNUMBER($T859)),IF($T859&lt;Settings!$C$27,"R:R below min; ",""),"")&amp;IF(ISNUMBER(Settings!$C$25),IF(COUNTIFS($A$6:$A859,$A859,$AM$6:$AM859,1)&gt;Settings!$C$25,"Over max trades/day; ",""),"")&amp;IF(ISNUMBER(Settings!$C$26),IF(SUMIFS($Q$5:$Q858,$A$5:$A858,$A859)&lt;=-Settings!$C$26,"Traded after daily max loss; ",""),"")&amp;IF(AND($AG859="",NOT(ISNUMBER($O859))),"Symbol not in Instruments; ","")&amp;IF(AND($AH859="",NOT(ISNUMBER($O859))),"Forex cross: type Gross P&amp;L; ",""))</f>
        <v/>
      </c>
      <c r="BH859" s="56">
        <f>IF(ISNUMBER($Q859),1,0)</f>
        <v>0</v>
      </c>
      <c r="BI859" s="56">
        <f>IF($Y859="",0,1)</f>
        <v>0</v>
      </c>
      <c r="BJ859" s="56">
        <f>IF($AB859="",0,1)</f>
        <v>0</v>
      </c>
      <c r="BK859" s="56">
        <f>IF(AND($BH859=1,$W859&lt;&gt;"OK"),1,0)</f>
        <v>0</v>
      </c>
      <c r="BL859" s="55">
        <f>IF(N($AZ859)=0,0,IFERROR(INDEX($AT$6:$AT$1005,MATCH($AZ859,$AY$6:$AY$1005,0)),0))</f>
        <v>1187.10688</v>
      </c>
      <c r="BM859" s="56">
        <f>IF(ISNUMBER(SEARCH("daily max loss",$BG859)),1,0)</f>
        <v>0</v>
      </c>
    </row>
    <row r="860" ht="18" customHeight="1">
      <c r="A860" s="38" t="n"/>
      <c r="B860" s="39" t="n"/>
      <c r="C860" s="40" t="n"/>
      <c r="D860" s="41" t="n"/>
      <c r="E860" s="41" t="n"/>
      <c r="F860" s="41" t="n"/>
      <c r="G860" s="41" t="n"/>
      <c r="H860" s="42" t="n"/>
      <c r="I860" s="42" t="n"/>
      <c r="J860" s="42" t="n"/>
      <c r="K860" s="42" t="n"/>
      <c r="L860" s="41" t="n"/>
      <c r="M860" s="41" t="n"/>
      <c r="N860" s="41" t="n"/>
      <c r="O860" s="43" t="n"/>
      <c r="P860" s="43" t="n"/>
      <c r="Q860" s="44" t="str">
        <f>IF($AM860=0,"",IF(ISNUMBER($AK860),$AK860-N($AL860),""))</f>
        <v/>
      </c>
      <c r="R860" s="45" t="str">
        <f>IF(OR($Q860="",NOT(ISNUMBER($V860))),"",$AK860/$V860)</f>
        <v/>
      </c>
      <c r="S860" s="46" t="str">
        <f>IF($Q860="","",IF(AND(ISNUMBER($R860),ABS(N($R860))&lt;N(Settings!$C$8)),"Scratch",IF($Q860&gt;0,"Win",IF($Q860&lt;0,"Loss","Scratch"))))</f>
        <v/>
      </c>
      <c r="T860" s="47" t="str">
        <f>IF(OR($AM860=0,NOT(ISNUMBER($H860)),NOT(ISNUMBER($I860)),NOT(ISNUMBER($J860))),"",IF($H860=$I860,"",ROUND(ABS($J860-$H860)/ABS($H860-$I860),6)))</f>
        <v/>
      </c>
      <c r="U860" s="48" t="str">
        <f>IF(OR($S860&lt;&gt;"Win",NOT(ISNUMBER($T860)),NOT(ISNUMBER($R860))),"",MAX(0,$T860-$R860))</f>
        <v/>
      </c>
      <c r="V860" s="49" t="str">
        <f>IF(OR($AM860=0,NOT(ISNUMBER($H860)),NOT(ISNUMBER($I860)),NOT(ISNUMBER($G860))),"",IF(OR($AG860="",$AH860=""),"",IF(ROUND(ABS($H860-$I860)*ABS($G860)*$AG860*$AH860,6)=0,"",ROUND(ABS($H860-$I860)*ABS($G860)*$AG860*$AH860,6))))</f>
        <v/>
      </c>
      <c r="W860" s="50" t="str">
        <f>IF($AM860=0,"",IF($BG860="","OK",LEFT($BG860,LEN($BG860)-2)))</f>
        <v/>
      </c>
      <c r="X860" s="41" t="n"/>
      <c r="Y860" s="40" t="n"/>
      <c r="Z860" s="41" t="n"/>
      <c r="AA860" s="41" t="n"/>
      <c r="AB860" s="40" t="n"/>
      <c r="AC860" s="51" t="n"/>
      <c r="AD860" s="51" t="n"/>
      <c r="AE860" s="40" t="n"/>
      <c r="AF860" s="52" t="str">
        <f>IF($AM860=0,"",IF($D860&lt;&gt;"",$D860,IF(IFERROR(INDEX(Accounts!$C$7:$C$16,MATCH($C860,Accounts!$B$7:$B$16,0))&amp;"","")&lt;&gt;"",INDEX(Accounts!$C$7:$C$16,MATCH($C860,Accounts!$B$7:$B$16,0)),Settings!$C$6)))</f>
        <v/>
      </c>
      <c r="AG860" s="53" t="str">
        <f>IF($AM860=0,"",IF(AND($BE860&gt;0,N(INDEX(Instruments!$D$6:$D$205,MAX(1,$BE860)))&gt;0),INDEX(Instruments!$D$6:$D$205,MAX(1,$BE860)),IF(N(INDEX(Settings!$D$14:$D$18,$BF860))&gt;0,INDEX(Settings!$D$14:$D$18,$BF860),"")))</f>
        <v/>
      </c>
      <c r="AH860" s="54" t="str">
        <f>IF($AM860=0,"",IF($AF860&lt;&gt;"Forex",1,IF(MID(UPPER(SUBSTITUTE(TRIM($E860),"/","")),4,3)=UPPER(TRIM(Settings!$C$7)),1,IF(LEFT(UPPER(SUBSTITUTE(TRIM($E860),"/","")),3)=UPPER(TRIM(Settings!$C$7)),IF(AND(ISNUMBER($K860),N($K860)&lt;&gt;0),1/$K860,""),""))))</f>
        <v/>
      </c>
      <c r="AI860" s="55" t="str">
        <f>IF($AM860=0,"",IF(OR(NOT(ISNUMBER($H860)),NOT(ISNUMBER($K860)),NOT(ISNUMBER($G860)),$AG860="",$AH860=""),"",ROUND(($K860-$H860)*IF($F860="Short",-1,1)*$G860*$AG860*$AH860,6)))</f>
        <v/>
      </c>
      <c r="AJ860" s="55" t="str">
        <f>IF($AM860=0,"",IF(INDEX(Settings!$E$14:$E$18,$BF860)="% of notional",IF(OR($AG860="",NOT(ISNUMBER($H860)),NOT(ISNUMBER($G860))),"",ROUND(ABS($H860*$G860*$AG860*N($AH860))*IF($L860="Limit",N(INDEX(Settings!$G$14:$G$18,$BF860)),N(INDEX(Settings!$H$14:$H$18,$BF860)))+IF(ISNUMBER($K860),ABS($K860*$G860*$AG860*N($AH860))*IF($M860="Target",N(INDEX(Settings!$G$14:$G$18,$BF860)),N(INDEX(Settings!$H$14:$H$18,$BF860))),0),6)),IF(NOT(ISNUMBER($G860)),"",ROUND(ABS($G860)*2*IF(AND($BE860&gt;0,ISNUMBER(INDEX(Instruments!$G$6:$G$205,MAX(1,$BE860)))),INDEX(Instruments!$G$6:$G$205,MAX(1,$BE860)),N(INDEX(Settings!$F$14:$F$18,$BF860))),6))))</f>
        <v/>
      </c>
      <c r="AK860" s="55" t="str">
        <f>IF($AM860=0,"",IF(ISNUMBER($O860),$O860,$AI860))</f>
        <v/>
      </c>
      <c r="AL860" s="55" t="str">
        <f>IF($AM860=0,"",IF(ISNUMBER($P860),$P860,N($AJ860)))</f>
        <v/>
      </c>
      <c r="AM860" s="56">
        <f>IF(AND($A860&lt;&gt;"",$E860&lt;&gt;"",OR(AND(ISNUMBER($G860),ISNUMBER($H860),ISNUMBER($K860)),ISNUMBER($O860))),1,0)</f>
        <v>0</v>
      </c>
      <c r="AN860" s="57" t="str">
        <f>IF($A860="","",$A860-WEEKDAY($A860,3))</f>
        <v/>
      </c>
      <c r="AO860" s="56" t="str">
        <f>IF($A860="","",WEEKDAY($A860,2))</f>
        <v/>
      </c>
      <c r="AP860" s="55" t="str">
        <f>IF(OR($AM860=0,$C860=""),"",IFERROR(N(INDEX(Accounts!$E$7:$E$16,MATCH($C860,Accounts!$B$7:$B$16,0))),0)+SUMIFS($Q$6:$Q860,$C$6:$C860,$C860))</f>
        <v/>
      </c>
      <c r="AQ860" s="55" t="str">
        <f>IF(OR($AM860=0,$C860=""),"",SUMIFS($Q$6:$Q$1005,$C$6:$C$1005,$C860,$A$6:$A$1005,$A860))</f>
        <v/>
      </c>
      <c r="AR860" s="55" t="str">
        <f>IF(OR($AM860=0,$C860=""),"",IFERROR(N(INDEX(Accounts!$E$7:$E$16,MATCH($C860,Accounts!$B$7:$B$16,0))),0)+SUMIFS($Q$6:$Q$1005,$C$6:$C$1005,$C860,$A$6:$A$1005,"&lt;="&amp;$A860))</f>
        <v/>
      </c>
      <c r="AS860" s="56">
        <f>IF(OR($AM860=0,$Q860=""),0,IF(AND($A860&gt;=Lists!$W$6,$A860&lt;=Lists!$W$7,OR(Dashboard!$D$6="All accounts",$C860=Dashboard!$D$6),OR(Dashboard!$D$7="All markets",$AF860=Dashboard!$D$7)),1,0))</f>
        <v>0</v>
      </c>
      <c r="AT860" s="55">
        <f>IF($AS860=1,N(AT859)+$Q860,N(AT859))</f>
        <v>1187.10688</v>
      </c>
      <c r="AU860" s="55">
        <f>MAX(N(AU859),$AT860)</f>
        <v>1187.10688</v>
      </c>
      <c r="AV860" s="55">
        <f>$AT860-$AU860</f>
        <v>0</v>
      </c>
      <c r="AW860" s="56">
        <f>IF($AS860=1,IF($S860="Win",N(AW859)+1,IF($S860="Loss",0,N(AW859))),N(AW859))</f>
        <v>5</v>
      </c>
      <c r="AX860" s="56">
        <f>IF($AS860=1,IF($S860="Loss",N(AX859)+1,IF($S860="Win",0,N(AX859))),N(AX859))</f>
        <v>0</v>
      </c>
      <c r="AY860" s="56" t="str">
        <f>IF($AS860=1,COUNTIF($AS$6:$AS860,1),"")</f>
        <v/>
      </c>
      <c r="AZ860" s="56">
        <f>MIN(854,N(Lists!$W$8))</f>
        <v>28</v>
      </c>
      <c r="BA860" s="56">
        <f>IF($AS860=1,IF(COUNTIFS($A$6:$A860,$A860,$AS$6:$AS860,1)=1,1,0),0)</f>
        <v>0</v>
      </c>
      <c r="BB860" s="55" t="str">
        <f>IF($BA860=1,SUMIFS($Q$6:$Q$1005,$A$6:$A$1005,$A860,$AS$6:$AS$1005,1),"")</f>
        <v/>
      </c>
      <c r="BC860" s="56">
        <f>IF(ISNUMBER($R860),1,0)</f>
        <v>0</v>
      </c>
      <c r="BD860" s="55" t="str">
        <f>IF(ISNUMBER($U860),$U860*$V860,"")</f>
        <v/>
      </c>
      <c r="BE860" s="56" t="str">
        <f>IF($AM860=0,"",IFERROR(MATCH($AF860&amp;"|"&amp;UPPER(TRIM($E860)),Lists!$A$6:$A$205,0),0))</f>
        <v/>
      </c>
      <c r="BF860" s="56" t="str">
        <f>IF($AM860=0,"",IFERROR(MATCH($AF860,Settings!$B$14:$B$18,0),IFERROR(MATCH(Settings!$C$6,Settings!$B$14:$B$18,0),1)))</f>
        <v/>
      </c>
      <c r="BG860" s="58" t="str">
        <f>IF($AM860=0,"",IF(NOT(ISNUMBER($I860)),"No stop; ","")&amp;IF(AND(ISNUMBER($H860),ISNUMBER($I860)),IF(OR(AND($F860&lt;&gt;"Short",$I860&gt;=$H860),AND($F860="Short",$I860&lt;=$H860)),"Stop on wrong side; ",""),"")&amp;IF($F860="","No direction; ","")&amp;IF(AND(ISNUMBER(Settings!$C$22),ISNUMBER($V860)),IF($V860&gt;Settings!$C$22,"Risk over max $; ",""),"")&amp;IF(AND(ISNUMBER(Settings!$C$23),ISNUMBER($V860),ISNUMBER($AP860),IFERROR(N(INDEX(Accounts!$E$7:$E$16,MATCH($C860,Accounts!$B$7:$B$16,0))),0)&gt;0),IF($V860&gt;Settings!$C$23*($AP860-N($Q860)),"Risk over max %; ",""),"")&amp;IF(AND(ISNUMBER(Settings!$C$24),ISNUMBER($N860)),IF($N860&gt;Settings!$C$24,"Leverage over max; ",""),"")&amp;IF(AND(ISNUMBER(Settings!$C$27),ISNUMBER($T860)),IF($T860&lt;Settings!$C$27,"R:R below min; ",""),"")&amp;IF(ISNUMBER(Settings!$C$25),IF(COUNTIFS($A$6:$A860,$A860,$AM$6:$AM860,1)&gt;Settings!$C$25,"Over max trades/day; ",""),"")&amp;IF(ISNUMBER(Settings!$C$26),IF(SUMIFS($Q$5:$Q859,$A$5:$A859,$A860)&lt;=-Settings!$C$26,"Traded after daily max loss; ",""),"")&amp;IF(AND($AG860="",NOT(ISNUMBER($O860))),"Symbol not in Instruments; ","")&amp;IF(AND($AH860="",NOT(ISNUMBER($O860))),"Forex cross: type Gross P&amp;L; ",""))</f>
        <v/>
      </c>
      <c r="BH860" s="56">
        <f>IF(ISNUMBER($Q860),1,0)</f>
        <v>0</v>
      </c>
      <c r="BI860" s="56">
        <f>IF($Y860="",0,1)</f>
        <v>0</v>
      </c>
      <c r="BJ860" s="56">
        <f>IF($AB860="",0,1)</f>
        <v>0</v>
      </c>
      <c r="BK860" s="56">
        <f>IF(AND($BH860=1,$W860&lt;&gt;"OK"),1,0)</f>
        <v>0</v>
      </c>
      <c r="BL860" s="55">
        <f>IF(N($AZ860)=0,0,IFERROR(INDEX($AT$6:$AT$1005,MATCH($AZ860,$AY$6:$AY$1005,0)),0))</f>
        <v>1187.10688</v>
      </c>
      <c r="BM860" s="56">
        <f>IF(ISNUMBER(SEARCH("daily max loss",$BG860)),1,0)</f>
        <v>0</v>
      </c>
    </row>
    <row r="861" ht="18" customHeight="1">
      <c r="A861" s="38" t="n"/>
      <c r="B861" s="39" t="n"/>
      <c r="C861" s="40" t="n"/>
      <c r="D861" s="41" t="n"/>
      <c r="E861" s="41" t="n"/>
      <c r="F861" s="41" t="n"/>
      <c r="G861" s="41" t="n"/>
      <c r="H861" s="42" t="n"/>
      <c r="I861" s="42" t="n"/>
      <c r="J861" s="42" t="n"/>
      <c r="K861" s="42" t="n"/>
      <c r="L861" s="41" t="n"/>
      <c r="M861" s="41" t="n"/>
      <c r="N861" s="41" t="n"/>
      <c r="O861" s="43" t="n"/>
      <c r="P861" s="43" t="n"/>
      <c r="Q861" s="44" t="str">
        <f>IF($AM861=0,"",IF(ISNUMBER($AK861),$AK861-N($AL861),""))</f>
        <v/>
      </c>
      <c r="R861" s="45" t="str">
        <f>IF(OR($Q861="",NOT(ISNUMBER($V861))),"",$AK861/$V861)</f>
        <v/>
      </c>
      <c r="S861" s="46" t="str">
        <f>IF($Q861="","",IF(AND(ISNUMBER($R861),ABS(N($R861))&lt;N(Settings!$C$8)),"Scratch",IF($Q861&gt;0,"Win",IF($Q861&lt;0,"Loss","Scratch"))))</f>
        <v/>
      </c>
      <c r="T861" s="47" t="str">
        <f>IF(OR($AM861=0,NOT(ISNUMBER($H861)),NOT(ISNUMBER($I861)),NOT(ISNUMBER($J861))),"",IF($H861=$I861,"",ROUND(ABS($J861-$H861)/ABS($H861-$I861),6)))</f>
        <v/>
      </c>
      <c r="U861" s="48" t="str">
        <f>IF(OR($S861&lt;&gt;"Win",NOT(ISNUMBER($T861)),NOT(ISNUMBER($R861))),"",MAX(0,$T861-$R861))</f>
        <v/>
      </c>
      <c r="V861" s="49" t="str">
        <f>IF(OR($AM861=0,NOT(ISNUMBER($H861)),NOT(ISNUMBER($I861)),NOT(ISNUMBER($G861))),"",IF(OR($AG861="",$AH861=""),"",IF(ROUND(ABS($H861-$I861)*ABS($G861)*$AG861*$AH861,6)=0,"",ROUND(ABS($H861-$I861)*ABS($G861)*$AG861*$AH861,6))))</f>
        <v/>
      </c>
      <c r="W861" s="50" t="str">
        <f>IF($AM861=0,"",IF($BG861="","OK",LEFT($BG861,LEN($BG861)-2)))</f>
        <v/>
      </c>
      <c r="X861" s="41" t="n"/>
      <c r="Y861" s="40" t="n"/>
      <c r="Z861" s="41" t="n"/>
      <c r="AA861" s="41" t="n"/>
      <c r="AB861" s="40" t="n"/>
      <c r="AC861" s="51" t="n"/>
      <c r="AD861" s="51" t="n"/>
      <c r="AE861" s="40" t="n"/>
      <c r="AF861" s="52" t="str">
        <f>IF($AM861=0,"",IF($D861&lt;&gt;"",$D861,IF(IFERROR(INDEX(Accounts!$C$7:$C$16,MATCH($C861,Accounts!$B$7:$B$16,0))&amp;"","")&lt;&gt;"",INDEX(Accounts!$C$7:$C$16,MATCH($C861,Accounts!$B$7:$B$16,0)),Settings!$C$6)))</f>
        <v/>
      </c>
      <c r="AG861" s="53" t="str">
        <f>IF($AM861=0,"",IF(AND($BE861&gt;0,N(INDEX(Instruments!$D$6:$D$205,MAX(1,$BE861)))&gt;0),INDEX(Instruments!$D$6:$D$205,MAX(1,$BE861)),IF(N(INDEX(Settings!$D$14:$D$18,$BF861))&gt;0,INDEX(Settings!$D$14:$D$18,$BF861),"")))</f>
        <v/>
      </c>
      <c r="AH861" s="54" t="str">
        <f>IF($AM861=0,"",IF($AF861&lt;&gt;"Forex",1,IF(MID(UPPER(SUBSTITUTE(TRIM($E861),"/","")),4,3)=UPPER(TRIM(Settings!$C$7)),1,IF(LEFT(UPPER(SUBSTITUTE(TRIM($E861),"/","")),3)=UPPER(TRIM(Settings!$C$7)),IF(AND(ISNUMBER($K861),N($K861)&lt;&gt;0),1/$K861,""),""))))</f>
        <v/>
      </c>
      <c r="AI861" s="55" t="str">
        <f>IF($AM861=0,"",IF(OR(NOT(ISNUMBER($H861)),NOT(ISNUMBER($K861)),NOT(ISNUMBER($G861)),$AG861="",$AH861=""),"",ROUND(($K861-$H861)*IF($F861="Short",-1,1)*$G861*$AG861*$AH861,6)))</f>
        <v/>
      </c>
      <c r="AJ861" s="55" t="str">
        <f>IF($AM861=0,"",IF(INDEX(Settings!$E$14:$E$18,$BF861)="% of notional",IF(OR($AG861="",NOT(ISNUMBER($H861)),NOT(ISNUMBER($G861))),"",ROUND(ABS($H861*$G861*$AG861*N($AH861))*IF($L861="Limit",N(INDEX(Settings!$G$14:$G$18,$BF861)),N(INDEX(Settings!$H$14:$H$18,$BF861)))+IF(ISNUMBER($K861),ABS($K861*$G861*$AG861*N($AH861))*IF($M861="Target",N(INDEX(Settings!$G$14:$G$18,$BF861)),N(INDEX(Settings!$H$14:$H$18,$BF861))),0),6)),IF(NOT(ISNUMBER($G861)),"",ROUND(ABS($G861)*2*IF(AND($BE861&gt;0,ISNUMBER(INDEX(Instruments!$G$6:$G$205,MAX(1,$BE861)))),INDEX(Instruments!$G$6:$G$205,MAX(1,$BE861)),N(INDEX(Settings!$F$14:$F$18,$BF861))),6))))</f>
        <v/>
      </c>
      <c r="AK861" s="55" t="str">
        <f>IF($AM861=0,"",IF(ISNUMBER($O861),$O861,$AI861))</f>
        <v/>
      </c>
      <c r="AL861" s="55" t="str">
        <f>IF($AM861=0,"",IF(ISNUMBER($P861),$P861,N($AJ861)))</f>
        <v/>
      </c>
      <c r="AM861" s="56">
        <f>IF(AND($A861&lt;&gt;"",$E861&lt;&gt;"",OR(AND(ISNUMBER($G861),ISNUMBER($H861),ISNUMBER($K861)),ISNUMBER($O861))),1,0)</f>
        <v>0</v>
      </c>
      <c r="AN861" s="57" t="str">
        <f>IF($A861="","",$A861-WEEKDAY($A861,3))</f>
        <v/>
      </c>
      <c r="AO861" s="56" t="str">
        <f>IF($A861="","",WEEKDAY($A861,2))</f>
        <v/>
      </c>
      <c r="AP861" s="55" t="str">
        <f>IF(OR($AM861=0,$C861=""),"",IFERROR(N(INDEX(Accounts!$E$7:$E$16,MATCH($C861,Accounts!$B$7:$B$16,0))),0)+SUMIFS($Q$6:$Q861,$C$6:$C861,$C861))</f>
        <v/>
      </c>
      <c r="AQ861" s="55" t="str">
        <f>IF(OR($AM861=0,$C861=""),"",SUMIFS($Q$6:$Q$1005,$C$6:$C$1005,$C861,$A$6:$A$1005,$A861))</f>
        <v/>
      </c>
      <c r="AR861" s="55" t="str">
        <f>IF(OR($AM861=0,$C861=""),"",IFERROR(N(INDEX(Accounts!$E$7:$E$16,MATCH($C861,Accounts!$B$7:$B$16,0))),0)+SUMIFS($Q$6:$Q$1005,$C$6:$C$1005,$C861,$A$6:$A$1005,"&lt;="&amp;$A861))</f>
        <v/>
      </c>
      <c r="AS861" s="56">
        <f>IF(OR($AM861=0,$Q861=""),0,IF(AND($A861&gt;=Lists!$W$6,$A861&lt;=Lists!$W$7,OR(Dashboard!$D$6="All accounts",$C861=Dashboard!$D$6),OR(Dashboard!$D$7="All markets",$AF861=Dashboard!$D$7)),1,0))</f>
        <v>0</v>
      </c>
      <c r="AT861" s="55">
        <f>IF($AS861=1,N(AT860)+$Q861,N(AT860))</f>
        <v>1187.10688</v>
      </c>
      <c r="AU861" s="55">
        <f>MAX(N(AU860),$AT861)</f>
        <v>1187.10688</v>
      </c>
      <c r="AV861" s="55">
        <f>$AT861-$AU861</f>
        <v>0</v>
      </c>
      <c r="AW861" s="56">
        <f>IF($AS861=1,IF($S861="Win",N(AW860)+1,IF($S861="Loss",0,N(AW860))),N(AW860))</f>
        <v>5</v>
      </c>
      <c r="AX861" s="56">
        <f>IF($AS861=1,IF($S861="Loss",N(AX860)+1,IF($S861="Win",0,N(AX860))),N(AX860))</f>
        <v>0</v>
      </c>
      <c r="AY861" s="56" t="str">
        <f>IF($AS861=1,COUNTIF($AS$6:$AS861,1),"")</f>
        <v/>
      </c>
      <c r="AZ861" s="56">
        <f>MIN(855,N(Lists!$W$8))</f>
        <v>28</v>
      </c>
      <c r="BA861" s="56">
        <f>IF($AS861=1,IF(COUNTIFS($A$6:$A861,$A861,$AS$6:$AS861,1)=1,1,0),0)</f>
        <v>0</v>
      </c>
      <c r="BB861" s="55" t="str">
        <f>IF($BA861=1,SUMIFS($Q$6:$Q$1005,$A$6:$A$1005,$A861,$AS$6:$AS$1005,1),"")</f>
        <v/>
      </c>
      <c r="BC861" s="56">
        <f>IF(ISNUMBER($R861),1,0)</f>
        <v>0</v>
      </c>
      <c r="BD861" s="55" t="str">
        <f>IF(ISNUMBER($U861),$U861*$V861,"")</f>
        <v/>
      </c>
      <c r="BE861" s="56" t="str">
        <f>IF($AM861=0,"",IFERROR(MATCH($AF861&amp;"|"&amp;UPPER(TRIM($E861)),Lists!$A$6:$A$205,0),0))</f>
        <v/>
      </c>
      <c r="BF861" s="56" t="str">
        <f>IF($AM861=0,"",IFERROR(MATCH($AF861,Settings!$B$14:$B$18,0),IFERROR(MATCH(Settings!$C$6,Settings!$B$14:$B$18,0),1)))</f>
        <v/>
      </c>
      <c r="BG861" s="58" t="str">
        <f>IF($AM861=0,"",IF(NOT(ISNUMBER($I861)),"No stop; ","")&amp;IF(AND(ISNUMBER($H861),ISNUMBER($I861)),IF(OR(AND($F861&lt;&gt;"Short",$I861&gt;=$H861),AND($F861="Short",$I861&lt;=$H861)),"Stop on wrong side; ",""),"")&amp;IF($F861="","No direction; ","")&amp;IF(AND(ISNUMBER(Settings!$C$22),ISNUMBER($V861)),IF($V861&gt;Settings!$C$22,"Risk over max $; ",""),"")&amp;IF(AND(ISNUMBER(Settings!$C$23),ISNUMBER($V861),ISNUMBER($AP861),IFERROR(N(INDEX(Accounts!$E$7:$E$16,MATCH($C861,Accounts!$B$7:$B$16,0))),0)&gt;0),IF($V861&gt;Settings!$C$23*($AP861-N($Q861)),"Risk over max %; ",""),"")&amp;IF(AND(ISNUMBER(Settings!$C$24),ISNUMBER($N861)),IF($N861&gt;Settings!$C$24,"Leverage over max; ",""),"")&amp;IF(AND(ISNUMBER(Settings!$C$27),ISNUMBER($T861)),IF($T861&lt;Settings!$C$27,"R:R below min; ",""),"")&amp;IF(ISNUMBER(Settings!$C$25),IF(COUNTIFS($A$6:$A861,$A861,$AM$6:$AM861,1)&gt;Settings!$C$25,"Over max trades/day; ",""),"")&amp;IF(ISNUMBER(Settings!$C$26),IF(SUMIFS($Q$5:$Q860,$A$5:$A860,$A861)&lt;=-Settings!$C$26,"Traded after daily max loss; ",""),"")&amp;IF(AND($AG861="",NOT(ISNUMBER($O861))),"Symbol not in Instruments; ","")&amp;IF(AND($AH861="",NOT(ISNUMBER($O861))),"Forex cross: type Gross P&amp;L; ",""))</f>
        <v/>
      </c>
      <c r="BH861" s="56">
        <f>IF(ISNUMBER($Q861),1,0)</f>
        <v>0</v>
      </c>
      <c r="BI861" s="56">
        <f>IF($Y861="",0,1)</f>
        <v>0</v>
      </c>
      <c r="BJ861" s="56">
        <f>IF($AB861="",0,1)</f>
        <v>0</v>
      </c>
      <c r="BK861" s="56">
        <f>IF(AND($BH861=1,$W861&lt;&gt;"OK"),1,0)</f>
        <v>0</v>
      </c>
      <c r="BL861" s="55">
        <f>IF(N($AZ861)=0,0,IFERROR(INDEX($AT$6:$AT$1005,MATCH($AZ861,$AY$6:$AY$1005,0)),0))</f>
        <v>1187.10688</v>
      </c>
      <c r="BM861" s="56">
        <f>IF(ISNUMBER(SEARCH("daily max loss",$BG861)),1,0)</f>
        <v>0</v>
      </c>
    </row>
    <row r="862" ht="18" customHeight="1">
      <c r="A862" s="38" t="n"/>
      <c r="B862" s="39" t="n"/>
      <c r="C862" s="40" t="n"/>
      <c r="D862" s="41" t="n"/>
      <c r="E862" s="41" t="n"/>
      <c r="F862" s="41" t="n"/>
      <c r="G862" s="41" t="n"/>
      <c r="H862" s="42" t="n"/>
      <c r="I862" s="42" t="n"/>
      <c r="J862" s="42" t="n"/>
      <c r="K862" s="42" t="n"/>
      <c r="L862" s="41" t="n"/>
      <c r="M862" s="41" t="n"/>
      <c r="N862" s="41" t="n"/>
      <c r="O862" s="43" t="n"/>
      <c r="P862" s="43" t="n"/>
      <c r="Q862" s="44" t="str">
        <f>IF($AM862=0,"",IF(ISNUMBER($AK862),$AK862-N($AL862),""))</f>
        <v/>
      </c>
      <c r="R862" s="45" t="str">
        <f>IF(OR($Q862="",NOT(ISNUMBER($V862))),"",$AK862/$V862)</f>
        <v/>
      </c>
      <c r="S862" s="46" t="str">
        <f>IF($Q862="","",IF(AND(ISNUMBER($R862),ABS(N($R862))&lt;N(Settings!$C$8)),"Scratch",IF($Q862&gt;0,"Win",IF($Q862&lt;0,"Loss","Scratch"))))</f>
        <v/>
      </c>
      <c r="T862" s="47" t="str">
        <f>IF(OR($AM862=0,NOT(ISNUMBER($H862)),NOT(ISNUMBER($I862)),NOT(ISNUMBER($J862))),"",IF($H862=$I862,"",ROUND(ABS($J862-$H862)/ABS($H862-$I862),6)))</f>
        <v/>
      </c>
      <c r="U862" s="48" t="str">
        <f>IF(OR($S862&lt;&gt;"Win",NOT(ISNUMBER($T862)),NOT(ISNUMBER($R862))),"",MAX(0,$T862-$R862))</f>
        <v/>
      </c>
      <c r="V862" s="49" t="str">
        <f>IF(OR($AM862=0,NOT(ISNUMBER($H862)),NOT(ISNUMBER($I862)),NOT(ISNUMBER($G862))),"",IF(OR($AG862="",$AH862=""),"",IF(ROUND(ABS($H862-$I862)*ABS($G862)*$AG862*$AH862,6)=0,"",ROUND(ABS($H862-$I862)*ABS($G862)*$AG862*$AH862,6))))</f>
        <v/>
      </c>
      <c r="W862" s="50" t="str">
        <f>IF($AM862=0,"",IF($BG862="","OK",LEFT($BG862,LEN($BG862)-2)))</f>
        <v/>
      </c>
      <c r="X862" s="41" t="n"/>
      <c r="Y862" s="40" t="n"/>
      <c r="Z862" s="41" t="n"/>
      <c r="AA862" s="41" t="n"/>
      <c r="AB862" s="40" t="n"/>
      <c r="AC862" s="51" t="n"/>
      <c r="AD862" s="51" t="n"/>
      <c r="AE862" s="40" t="n"/>
      <c r="AF862" s="52" t="str">
        <f>IF($AM862=0,"",IF($D862&lt;&gt;"",$D862,IF(IFERROR(INDEX(Accounts!$C$7:$C$16,MATCH($C862,Accounts!$B$7:$B$16,0))&amp;"","")&lt;&gt;"",INDEX(Accounts!$C$7:$C$16,MATCH($C862,Accounts!$B$7:$B$16,0)),Settings!$C$6)))</f>
        <v/>
      </c>
      <c r="AG862" s="53" t="str">
        <f>IF($AM862=0,"",IF(AND($BE862&gt;0,N(INDEX(Instruments!$D$6:$D$205,MAX(1,$BE862)))&gt;0),INDEX(Instruments!$D$6:$D$205,MAX(1,$BE862)),IF(N(INDEX(Settings!$D$14:$D$18,$BF862))&gt;0,INDEX(Settings!$D$14:$D$18,$BF862),"")))</f>
        <v/>
      </c>
      <c r="AH862" s="54" t="str">
        <f>IF($AM862=0,"",IF($AF862&lt;&gt;"Forex",1,IF(MID(UPPER(SUBSTITUTE(TRIM($E862),"/","")),4,3)=UPPER(TRIM(Settings!$C$7)),1,IF(LEFT(UPPER(SUBSTITUTE(TRIM($E862),"/","")),3)=UPPER(TRIM(Settings!$C$7)),IF(AND(ISNUMBER($K862),N($K862)&lt;&gt;0),1/$K862,""),""))))</f>
        <v/>
      </c>
      <c r="AI862" s="55" t="str">
        <f>IF($AM862=0,"",IF(OR(NOT(ISNUMBER($H862)),NOT(ISNUMBER($K862)),NOT(ISNUMBER($G862)),$AG862="",$AH862=""),"",ROUND(($K862-$H862)*IF($F862="Short",-1,1)*$G862*$AG862*$AH862,6)))</f>
        <v/>
      </c>
      <c r="AJ862" s="55" t="str">
        <f>IF($AM862=0,"",IF(INDEX(Settings!$E$14:$E$18,$BF862)="% of notional",IF(OR($AG862="",NOT(ISNUMBER($H862)),NOT(ISNUMBER($G862))),"",ROUND(ABS($H862*$G862*$AG862*N($AH862))*IF($L862="Limit",N(INDEX(Settings!$G$14:$G$18,$BF862)),N(INDEX(Settings!$H$14:$H$18,$BF862)))+IF(ISNUMBER($K862),ABS($K862*$G862*$AG862*N($AH862))*IF($M862="Target",N(INDEX(Settings!$G$14:$G$18,$BF862)),N(INDEX(Settings!$H$14:$H$18,$BF862))),0),6)),IF(NOT(ISNUMBER($G862)),"",ROUND(ABS($G862)*2*IF(AND($BE862&gt;0,ISNUMBER(INDEX(Instruments!$G$6:$G$205,MAX(1,$BE862)))),INDEX(Instruments!$G$6:$G$205,MAX(1,$BE862)),N(INDEX(Settings!$F$14:$F$18,$BF862))),6))))</f>
        <v/>
      </c>
      <c r="AK862" s="55" t="str">
        <f>IF($AM862=0,"",IF(ISNUMBER($O862),$O862,$AI862))</f>
        <v/>
      </c>
      <c r="AL862" s="55" t="str">
        <f>IF($AM862=0,"",IF(ISNUMBER($P862),$P862,N($AJ862)))</f>
        <v/>
      </c>
      <c r="AM862" s="56">
        <f>IF(AND($A862&lt;&gt;"",$E862&lt;&gt;"",OR(AND(ISNUMBER($G862),ISNUMBER($H862),ISNUMBER($K862)),ISNUMBER($O862))),1,0)</f>
        <v>0</v>
      </c>
      <c r="AN862" s="57" t="str">
        <f>IF($A862="","",$A862-WEEKDAY($A862,3))</f>
        <v/>
      </c>
      <c r="AO862" s="56" t="str">
        <f>IF($A862="","",WEEKDAY($A862,2))</f>
        <v/>
      </c>
      <c r="AP862" s="55" t="str">
        <f>IF(OR($AM862=0,$C862=""),"",IFERROR(N(INDEX(Accounts!$E$7:$E$16,MATCH($C862,Accounts!$B$7:$B$16,0))),0)+SUMIFS($Q$6:$Q862,$C$6:$C862,$C862))</f>
        <v/>
      </c>
      <c r="AQ862" s="55" t="str">
        <f>IF(OR($AM862=0,$C862=""),"",SUMIFS($Q$6:$Q$1005,$C$6:$C$1005,$C862,$A$6:$A$1005,$A862))</f>
        <v/>
      </c>
      <c r="AR862" s="55" t="str">
        <f>IF(OR($AM862=0,$C862=""),"",IFERROR(N(INDEX(Accounts!$E$7:$E$16,MATCH($C862,Accounts!$B$7:$B$16,0))),0)+SUMIFS($Q$6:$Q$1005,$C$6:$C$1005,$C862,$A$6:$A$1005,"&lt;="&amp;$A862))</f>
        <v/>
      </c>
      <c r="AS862" s="56">
        <f>IF(OR($AM862=0,$Q862=""),0,IF(AND($A862&gt;=Lists!$W$6,$A862&lt;=Lists!$W$7,OR(Dashboard!$D$6="All accounts",$C862=Dashboard!$D$6),OR(Dashboard!$D$7="All markets",$AF862=Dashboard!$D$7)),1,0))</f>
        <v>0</v>
      </c>
      <c r="AT862" s="55">
        <f>IF($AS862=1,N(AT861)+$Q862,N(AT861))</f>
        <v>1187.10688</v>
      </c>
      <c r="AU862" s="55">
        <f>MAX(N(AU861),$AT862)</f>
        <v>1187.10688</v>
      </c>
      <c r="AV862" s="55">
        <f>$AT862-$AU862</f>
        <v>0</v>
      </c>
      <c r="AW862" s="56">
        <f>IF($AS862=1,IF($S862="Win",N(AW861)+1,IF($S862="Loss",0,N(AW861))),N(AW861))</f>
        <v>5</v>
      </c>
      <c r="AX862" s="56">
        <f>IF($AS862=1,IF($S862="Loss",N(AX861)+1,IF($S862="Win",0,N(AX861))),N(AX861))</f>
        <v>0</v>
      </c>
      <c r="AY862" s="56" t="str">
        <f>IF($AS862=1,COUNTIF($AS$6:$AS862,1),"")</f>
        <v/>
      </c>
      <c r="AZ862" s="56">
        <f>MIN(856,N(Lists!$W$8))</f>
        <v>28</v>
      </c>
      <c r="BA862" s="56">
        <f>IF($AS862=1,IF(COUNTIFS($A$6:$A862,$A862,$AS$6:$AS862,1)=1,1,0),0)</f>
        <v>0</v>
      </c>
      <c r="BB862" s="55" t="str">
        <f>IF($BA862=1,SUMIFS($Q$6:$Q$1005,$A$6:$A$1005,$A862,$AS$6:$AS$1005,1),"")</f>
        <v/>
      </c>
      <c r="BC862" s="56">
        <f>IF(ISNUMBER($R862),1,0)</f>
        <v>0</v>
      </c>
      <c r="BD862" s="55" t="str">
        <f>IF(ISNUMBER($U862),$U862*$V862,"")</f>
        <v/>
      </c>
      <c r="BE862" s="56" t="str">
        <f>IF($AM862=0,"",IFERROR(MATCH($AF862&amp;"|"&amp;UPPER(TRIM($E862)),Lists!$A$6:$A$205,0),0))</f>
        <v/>
      </c>
      <c r="BF862" s="56" t="str">
        <f>IF($AM862=0,"",IFERROR(MATCH($AF862,Settings!$B$14:$B$18,0),IFERROR(MATCH(Settings!$C$6,Settings!$B$14:$B$18,0),1)))</f>
        <v/>
      </c>
      <c r="BG862" s="58" t="str">
        <f>IF($AM862=0,"",IF(NOT(ISNUMBER($I862)),"No stop; ","")&amp;IF(AND(ISNUMBER($H862),ISNUMBER($I862)),IF(OR(AND($F862&lt;&gt;"Short",$I862&gt;=$H862),AND($F862="Short",$I862&lt;=$H862)),"Stop on wrong side; ",""),"")&amp;IF($F862="","No direction; ","")&amp;IF(AND(ISNUMBER(Settings!$C$22),ISNUMBER($V862)),IF($V862&gt;Settings!$C$22,"Risk over max $; ",""),"")&amp;IF(AND(ISNUMBER(Settings!$C$23),ISNUMBER($V862),ISNUMBER($AP862),IFERROR(N(INDEX(Accounts!$E$7:$E$16,MATCH($C862,Accounts!$B$7:$B$16,0))),0)&gt;0),IF($V862&gt;Settings!$C$23*($AP862-N($Q862)),"Risk over max %; ",""),"")&amp;IF(AND(ISNUMBER(Settings!$C$24),ISNUMBER($N862)),IF($N862&gt;Settings!$C$24,"Leverage over max; ",""),"")&amp;IF(AND(ISNUMBER(Settings!$C$27),ISNUMBER($T862)),IF($T862&lt;Settings!$C$27,"R:R below min; ",""),"")&amp;IF(ISNUMBER(Settings!$C$25),IF(COUNTIFS($A$6:$A862,$A862,$AM$6:$AM862,1)&gt;Settings!$C$25,"Over max trades/day; ",""),"")&amp;IF(ISNUMBER(Settings!$C$26),IF(SUMIFS($Q$5:$Q861,$A$5:$A861,$A862)&lt;=-Settings!$C$26,"Traded after daily max loss; ",""),"")&amp;IF(AND($AG862="",NOT(ISNUMBER($O862))),"Symbol not in Instruments; ","")&amp;IF(AND($AH862="",NOT(ISNUMBER($O862))),"Forex cross: type Gross P&amp;L; ",""))</f>
        <v/>
      </c>
      <c r="BH862" s="56">
        <f>IF(ISNUMBER($Q862),1,0)</f>
        <v>0</v>
      </c>
      <c r="BI862" s="56">
        <f>IF($Y862="",0,1)</f>
        <v>0</v>
      </c>
      <c r="BJ862" s="56">
        <f>IF($AB862="",0,1)</f>
        <v>0</v>
      </c>
      <c r="BK862" s="56">
        <f>IF(AND($BH862=1,$W862&lt;&gt;"OK"),1,0)</f>
        <v>0</v>
      </c>
      <c r="BL862" s="55">
        <f>IF(N($AZ862)=0,0,IFERROR(INDEX($AT$6:$AT$1005,MATCH($AZ862,$AY$6:$AY$1005,0)),0))</f>
        <v>1187.10688</v>
      </c>
      <c r="BM862" s="56">
        <f>IF(ISNUMBER(SEARCH("daily max loss",$BG862)),1,0)</f>
        <v>0</v>
      </c>
    </row>
    <row r="863" ht="18" customHeight="1">
      <c r="A863" s="38" t="n"/>
      <c r="B863" s="39" t="n"/>
      <c r="C863" s="40" t="n"/>
      <c r="D863" s="41" t="n"/>
      <c r="E863" s="41" t="n"/>
      <c r="F863" s="41" t="n"/>
      <c r="G863" s="41" t="n"/>
      <c r="H863" s="42" t="n"/>
      <c r="I863" s="42" t="n"/>
      <c r="J863" s="42" t="n"/>
      <c r="K863" s="42" t="n"/>
      <c r="L863" s="41" t="n"/>
      <c r="M863" s="41" t="n"/>
      <c r="N863" s="41" t="n"/>
      <c r="O863" s="43" t="n"/>
      <c r="P863" s="43" t="n"/>
      <c r="Q863" s="44" t="str">
        <f>IF($AM863=0,"",IF(ISNUMBER($AK863),$AK863-N($AL863),""))</f>
        <v/>
      </c>
      <c r="R863" s="45" t="str">
        <f>IF(OR($Q863="",NOT(ISNUMBER($V863))),"",$AK863/$V863)</f>
        <v/>
      </c>
      <c r="S863" s="46" t="str">
        <f>IF($Q863="","",IF(AND(ISNUMBER($R863),ABS(N($R863))&lt;N(Settings!$C$8)),"Scratch",IF($Q863&gt;0,"Win",IF($Q863&lt;0,"Loss","Scratch"))))</f>
        <v/>
      </c>
      <c r="T863" s="47" t="str">
        <f>IF(OR($AM863=0,NOT(ISNUMBER($H863)),NOT(ISNUMBER($I863)),NOT(ISNUMBER($J863))),"",IF($H863=$I863,"",ROUND(ABS($J863-$H863)/ABS($H863-$I863),6)))</f>
        <v/>
      </c>
      <c r="U863" s="48" t="str">
        <f>IF(OR($S863&lt;&gt;"Win",NOT(ISNUMBER($T863)),NOT(ISNUMBER($R863))),"",MAX(0,$T863-$R863))</f>
        <v/>
      </c>
      <c r="V863" s="49" t="str">
        <f>IF(OR($AM863=0,NOT(ISNUMBER($H863)),NOT(ISNUMBER($I863)),NOT(ISNUMBER($G863))),"",IF(OR($AG863="",$AH863=""),"",IF(ROUND(ABS($H863-$I863)*ABS($G863)*$AG863*$AH863,6)=0,"",ROUND(ABS($H863-$I863)*ABS($G863)*$AG863*$AH863,6))))</f>
        <v/>
      </c>
      <c r="W863" s="50" t="str">
        <f>IF($AM863=0,"",IF($BG863="","OK",LEFT($BG863,LEN($BG863)-2)))</f>
        <v/>
      </c>
      <c r="X863" s="41" t="n"/>
      <c r="Y863" s="40" t="n"/>
      <c r="Z863" s="41" t="n"/>
      <c r="AA863" s="41" t="n"/>
      <c r="AB863" s="40" t="n"/>
      <c r="AC863" s="51" t="n"/>
      <c r="AD863" s="51" t="n"/>
      <c r="AE863" s="40" t="n"/>
      <c r="AF863" s="52" t="str">
        <f>IF($AM863=0,"",IF($D863&lt;&gt;"",$D863,IF(IFERROR(INDEX(Accounts!$C$7:$C$16,MATCH($C863,Accounts!$B$7:$B$16,0))&amp;"","")&lt;&gt;"",INDEX(Accounts!$C$7:$C$16,MATCH($C863,Accounts!$B$7:$B$16,0)),Settings!$C$6)))</f>
        <v/>
      </c>
      <c r="AG863" s="53" t="str">
        <f>IF($AM863=0,"",IF(AND($BE863&gt;0,N(INDEX(Instruments!$D$6:$D$205,MAX(1,$BE863)))&gt;0),INDEX(Instruments!$D$6:$D$205,MAX(1,$BE863)),IF(N(INDEX(Settings!$D$14:$D$18,$BF863))&gt;0,INDEX(Settings!$D$14:$D$18,$BF863),"")))</f>
        <v/>
      </c>
      <c r="AH863" s="54" t="str">
        <f>IF($AM863=0,"",IF($AF863&lt;&gt;"Forex",1,IF(MID(UPPER(SUBSTITUTE(TRIM($E863),"/","")),4,3)=UPPER(TRIM(Settings!$C$7)),1,IF(LEFT(UPPER(SUBSTITUTE(TRIM($E863),"/","")),3)=UPPER(TRIM(Settings!$C$7)),IF(AND(ISNUMBER($K863),N($K863)&lt;&gt;0),1/$K863,""),""))))</f>
        <v/>
      </c>
      <c r="AI863" s="55" t="str">
        <f>IF($AM863=0,"",IF(OR(NOT(ISNUMBER($H863)),NOT(ISNUMBER($K863)),NOT(ISNUMBER($G863)),$AG863="",$AH863=""),"",ROUND(($K863-$H863)*IF($F863="Short",-1,1)*$G863*$AG863*$AH863,6)))</f>
        <v/>
      </c>
      <c r="AJ863" s="55" t="str">
        <f>IF($AM863=0,"",IF(INDEX(Settings!$E$14:$E$18,$BF863)="% of notional",IF(OR($AG863="",NOT(ISNUMBER($H863)),NOT(ISNUMBER($G863))),"",ROUND(ABS($H863*$G863*$AG863*N($AH863))*IF($L863="Limit",N(INDEX(Settings!$G$14:$G$18,$BF863)),N(INDEX(Settings!$H$14:$H$18,$BF863)))+IF(ISNUMBER($K863),ABS($K863*$G863*$AG863*N($AH863))*IF($M863="Target",N(INDEX(Settings!$G$14:$G$18,$BF863)),N(INDEX(Settings!$H$14:$H$18,$BF863))),0),6)),IF(NOT(ISNUMBER($G863)),"",ROUND(ABS($G863)*2*IF(AND($BE863&gt;0,ISNUMBER(INDEX(Instruments!$G$6:$G$205,MAX(1,$BE863)))),INDEX(Instruments!$G$6:$G$205,MAX(1,$BE863)),N(INDEX(Settings!$F$14:$F$18,$BF863))),6))))</f>
        <v/>
      </c>
      <c r="AK863" s="55" t="str">
        <f>IF($AM863=0,"",IF(ISNUMBER($O863),$O863,$AI863))</f>
        <v/>
      </c>
      <c r="AL863" s="55" t="str">
        <f>IF($AM863=0,"",IF(ISNUMBER($P863),$P863,N($AJ863)))</f>
        <v/>
      </c>
      <c r="AM863" s="56">
        <f>IF(AND($A863&lt;&gt;"",$E863&lt;&gt;"",OR(AND(ISNUMBER($G863),ISNUMBER($H863),ISNUMBER($K863)),ISNUMBER($O863))),1,0)</f>
        <v>0</v>
      </c>
      <c r="AN863" s="57" t="str">
        <f>IF($A863="","",$A863-WEEKDAY($A863,3))</f>
        <v/>
      </c>
      <c r="AO863" s="56" t="str">
        <f>IF($A863="","",WEEKDAY($A863,2))</f>
        <v/>
      </c>
      <c r="AP863" s="55" t="str">
        <f>IF(OR($AM863=0,$C863=""),"",IFERROR(N(INDEX(Accounts!$E$7:$E$16,MATCH($C863,Accounts!$B$7:$B$16,0))),0)+SUMIFS($Q$6:$Q863,$C$6:$C863,$C863))</f>
        <v/>
      </c>
      <c r="AQ863" s="55" t="str">
        <f>IF(OR($AM863=0,$C863=""),"",SUMIFS($Q$6:$Q$1005,$C$6:$C$1005,$C863,$A$6:$A$1005,$A863))</f>
        <v/>
      </c>
      <c r="AR863" s="55" t="str">
        <f>IF(OR($AM863=0,$C863=""),"",IFERROR(N(INDEX(Accounts!$E$7:$E$16,MATCH($C863,Accounts!$B$7:$B$16,0))),0)+SUMIFS($Q$6:$Q$1005,$C$6:$C$1005,$C863,$A$6:$A$1005,"&lt;="&amp;$A863))</f>
        <v/>
      </c>
      <c r="AS863" s="56">
        <f>IF(OR($AM863=0,$Q863=""),0,IF(AND($A863&gt;=Lists!$W$6,$A863&lt;=Lists!$W$7,OR(Dashboard!$D$6="All accounts",$C863=Dashboard!$D$6),OR(Dashboard!$D$7="All markets",$AF863=Dashboard!$D$7)),1,0))</f>
        <v>0</v>
      </c>
      <c r="AT863" s="55">
        <f>IF($AS863=1,N(AT862)+$Q863,N(AT862))</f>
        <v>1187.10688</v>
      </c>
      <c r="AU863" s="55">
        <f>MAX(N(AU862),$AT863)</f>
        <v>1187.10688</v>
      </c>
      <c r="AV863" s="55">
        <f>$AT863-$AU863</f>
        <v>0</v>
      </c>
      <c r="AW863" s="56">
        <f>IF($AS863=1,IF($S863="Win",N(AW862)+1,IF($S863="Loss",0,N(AW862))),N(AW862))</f>
        <v>5</v>
      </c>
      <c r="AX863" s="56">
        <f>IF($AS863=1,IF($S863="Loss",N(AX862)+1,IF($S863="Win",0,N(AX862))),N(AX862))</f>
        <v>0</v>
      </c>
      <c r="AY863" s="56" t="str">
        <f>IF($AS863=1,COUNTIF($AS$6:$AS863,1),"")</f>
        <v/>
      </c>
      <c r="AZ863" s="56">
        <f>MIN(857,N(Lists!$W$8))</f>
        <v>28</v>
      </c>
      <c r="BA863" s="56">
        <f>IF($AS863=1,IF(COUNTIFS($A$6:$A863,$A863,$AS$6:$AS863,1)=1,1,0),0)</f>
        <v>0</v>
      </c>
      <c r="BB863" s="55" t="str">
        <f>IF($BA863=1,SUMIFS($Q$6:$Q$1005,$A$6:$A$1005,$A863,$AS$6:$AS$1005,1),"")</f>
        <v/>
      </c>
      <c r="BC863" s="56">
        <f>IF(ISNUMBER($R863),1,0)</f>
        <v>0</v>
      </c>
      <c r="BD863" s="55" t="str">
        <f>IF(ISNUMBER($U863),$U863*$V863,"")</f>
        <v/>
      </c>
      <c r="BE863" s="56" t="str">
        <f>IF($AM863=0,"",IFERROR(MATCH($AF863&amp;"|"&amp;UPPER(TRIM($E863)),Lists!$A$6:$A$205,0),0))</f>
        <v/>
      </c>
      <c r="BF863" s="56" t="str">
        <f>IF($AM863=0,"",IFERROR(MATCH($AF863,Settings!$B$14:$B$18,0),IFERROR(MATCH(Settings!$C$6,Settings!$B$14:$B$18,0),1)))</f>
        <v/>
      </c>
      <c r="BG863" s="58" t="str">
        <f>IF($AM863=0,"",IF(NOT(ISNUMBER($I863)),"No stop; ","")&amp;IF(AND(ISNUMBER($H863),ISNUMBER($I863)),IF(OR(AND($F863&lt;&gt;"Short",$I863&gt;=$H863),AND($F863="Short",$I863&lt;=$H863)),"Stop on wrong side; ",""),"")&amp;IF($F863="","No direction; ","")&amp;IF(AND(ISNUMBER(Settings!$C$22),ISNUMBER($V863)),IF($V863&gt;Settings!$C$22,"Risk over max $; ",""),"")&amp;IF(AND(ISNUMBER(Settings!$C$23),ISNUMBER($V863),ISNUMBER($AP863),IFERROR(N(INDEX(Accounts!$E$7:$E$16,MATCH($C863,Accounts!$B$7:$B$16,0))),0)&gt;0),IF($V863&gt;Settings!$C$23*($AP863-N($Q863)),"Risk over max %; ",""),"")&amp;IF(AND(ISNUMBER(Settings!$C$24),ISNUMBER($N863)),IF($N863&gt;Settings!$C$24,"Leverage over max; ",""),"")&amp;IF(AND(ISNUMBER(Settings!$C$27),ISNUMBER($T863)),IF($T863&lt;Settings!$C$27,"R:R below min; ",""),"")&amp;IF(ISNUMBER(Settings!$C$25),IF(COUNTIFS($A$6:$A863,$A863,$AM$6:$AM863,1)&gt;Settings!$C$25,"Over max trades/day; ",""),"")&amp;IF(ISNUMBER(Settings!$C$26),IF(SUMIFS($Q$5:$Q862,$A$5:$A862,$A863)&lt;=-Settings!$C$26,"Traded after daily max loss; ",""),"")&amp;IF(AND($AG863="",NOT(ISNUMBER($O863))),"Symbol not in Instruments; ","")&amp;IF(AND($AH863="",NOT(ISNUMBER($O863))),"Forex cross: type Gross P&amp;L; ",""))</f>
        <v/>
      </c>
      <c r="BH863" s="56">
        <f>IF(ISNUMBER($Q863),1,0)</f>
        <v>0</v>
      </c>
      <c r="BI863" s="56">
        <f>IF($Y863="",0,1)</f>
        <v>0</v>
      </c>
      <c r="BJ863" s="56">
        <f>IF($AB863="",0,1)</f>
        <v>0</v>
      </c>
      <c r="BK863" s="56">
        <f>IF(AND($BH863=1,$W863&lt;&gt;"OK"),1,0)</f>
        <v>0</v>
      </c>
      <c r="BL863" s="55">
        <f>IF(N($AZ863)=0,0,IFERROR(INDEX($AT$6:$AT$1005,MATCH($AZ863,$AY$6:$AY$1005,0)),0))</f>
        <v>1187.10688</v>
      </c>
      <c r="BM863" s="56">
        <f>IF(ISNUMBER(SEARCH("daily max loss",$BG863)),1,0)</f>
        <v>0</v>
      </c>
    </row>
    <row r="864" ht="18" customHeight="1">
      <c r="A864" s="38" t="n"/>
      <c r="B864" s="39" t="n"/>
      <c r="C864" s="40" t="n"/>
      <c r="D864" s="41" t="n"/>
      <c r="E864" s="41" t="n"/>
      <c r="F864" s="41" t="n"/>
      <c r="G864" s="41" t="n"/>
      <c r="H864" s="42" t="n"/>
      <c r="I864" s="42" t="n"/>
      <c r="J864" s="42" t="n"/>
      <c r="K864" s="42" t="n"/>
      <c r="L864" s="41" t="n"/>
      <c r="M864" s="41" t="n"/>
      <c r="N864" s="41" t="n"/>
      <c r="O864" s="43" t="n"/>
      <c r="P864" s="43" t="n"/>
      <c r="Q864" s="44" t="str">
        <f>IF($AM864=0,"",IF(ISNUMBER($AK864),$AK864-N($AL864),""))</f>
        <v/>
      </c>
      <c r="R864" s="45" t="str">
        <f>IF(OR($Q864="",NOT(ISNUMBER($V864))),"",$AK864/$V864)</f>
        <v/>
      </c>
      <c r="S864" s="46" t="str">
        <f>IF($Q864="","",IF(AND(ISNUMBER($R864),ABS(N($R864))&lt;N(Settings!$C$8)),"Scratch",IF($Q864&gt;0,"Win",IF($Q864&lt;0,"Loss","Scratch"))))</f>
        <v/>
      </c>
      <c r="T864" s="47" t="str">
        <f>IF(OR($AM864=0,NOT(ISNUMBER($H864)),NOT(ISNUMBER($I864)),NOT(ISNUMBER($J864))),"",IF($H864=$I864,"",ROUND(ABS($J864-$H864)/ABS($H864-$I864),6)))</f>
        <v/>
      </c>
      <c r="U864" s="48" t="str">
        <f>IF(OR($S864&lt;&gt;"Win",NOT(ISNUMBER($T864)),NOT(ISNUMBER($R864))),"",MAX(0,$T864-$R864))</f>
        <v/>
      </c>
      <c r="V864" s="49" t="str">
        <f>IF(OR($AM864=0,NOT(ISNUMBER($H864)),NOT(ISNUMBER($I864)),NOT(ISNUMBER($G864))),"",IF(OR($AG864="",$AH864=""),"",IF(ROUND(ABS($H864-$I864)*ABS($G864)*$AG864*$AH864,6)=0,"",ROUND(ABS($H864-$I864)*ABS($G864)*$AG864*$AH864,6))))</f>
        <v/>
      </c>
      <c r="W864" s="50" t="str">
        <f>IF($AM864=0,"",IF($BG864="","OK",LEFT($BG864,LEN($BG864)-2)))</f>
        <v/>
      </c>
      <c r="X864" s="41" t="n"/>
      <c r="Y864" s="40" t="n"/>
      <c r="Z864" s="41" t="n"/>
      <c r="AA864" s="41" t="n"/>
      <c r="AB864" s="40" t="n"/>
      <c r="AC864" s="51" t="n"/>
      <c r="AD864" s="51" t="n"/>
      <c r="AE864" s="40" t="n"/>
      <c r="AF864" s="52" t="str">
        <f>IF($AM864=0,"",IF($D864&lt;&gt;"",$D864,IF(IFERROR(INDEX(Accounts!$C$7:$C$16,MATCH($C864,Accounts!$B$7:$B$16,0))&amp;"","")&lt;&gt;"",INDEX(Accounts!$C$7:$C$16,MATCH($C864,Accounts!$B$7:$B$16,0)),Settings!$C$6)))</f>
        <v/>
      </c>
      <c r="AG864" s="53" t="str">
        <f>IF($AM864=0,"",IF(AND($BE864&gt;0,N(INDEX(Instruments!$D$6:$D$205,MAX(1,$BE864)))&gt;0),INDEX(Instruments!$D$6:$D$205,MAX(1,$BE864)),IF(N(INDEX(Settings!$D$14:$D$18,$BF864))&gt;0,INDEX(Settings!$D$14:$D$18,$BF864),"")))</f>
        <v/>
      </c>
      <c r="AH864" s="54" t="str">
        <f>IF($AM864=0,"",IF($AF864&lt;&gt;"Forex",1,IF(MID(UPPER(SUBSTITUTE(TRIM($E864),"/","")),4,3)=UPPER(TRIM(Settings!$C$7)),1,IF(LEFT(UPPER(SUBSTITUTE(TRIM($E864),"/","")),3)=UPPER(TRIM(Settings!$C$7)),IF(AND(ISNUMBER($K864),N($K864)&lt;&gt;0),1/$K864,""),""))))</f>
        <v/>
      </c>
      <c r="AI864" s="55" t="str">
        <f>IF($AM864=0,"",IF(OR(NOT(ISNUMBER($H864)),NOT(ISNUMBER($K864)),NOT(ISNUMBER($G864)),$AG864="",$AH864=""),"",ROUND(($K864-$H864)*IF($F864="Short",-1,1)*$G864*$AG864*$AH864,6)))</f>
        <v/>
      </c>
      <c r="AJ864" s="55" t="str">
        <f>IF($AM864=0,"",IF(INDEX(Settings!$E$14:$E$18,$BF864)="% of notional",IF(OR($AG864="",NOT(ISNUMBER($H864)),NOT(ISNUMBER($G864))),"",ROUND(ABS($H864*$G864*$AG864*N($AH864))*IF($L864="Limit",N(INDEX(Settings!$G$14:$G$18,$BF864)),N(INDEX(Settings!$H$14:$H$18,$BF864)))+IF(ISNUMBER($K864),ABS($K864*$G864*$AG864*N($AH864))*IF($M864="Target",N(INDEX(Settings!$G$14:$G$18,$BF864)),N(INDEX(Settings!$H$14:$H$18,$BF864))),0),6)),IF(NOT(ISNUMBER($G864)),"",ROUND(ABS($G864)*2*IF(AND($BE864&gt;0,ISNUMBER(INDEX(Instruments!$G$6:$G$205,MAX(1,$BE864)))),INDEX(Instruments!$G$6:$G$205,MAX(1,$BE864)),N(INDEX(Settings!$F$14:$F$18,$BF864))),6))))</f>
        <v/>
      </c>
      <c r="AK864" s="55" t="str">
        <f>IF($AM864=0,"",IF(ISNUMBER($O864),$O864,$AI864))</f>
        <v/>
      </c>
      <c r="AL864" s="55" t="str">
        <f>IF($AM864=0,"",IF(ISNUMBER($P864),$P864,N($AJ864)))</f>
        <v/>
      </c>
      <c r="AM864" s="56">
        <f>IF(AND($A864&lt;&gt;"",$E864&lt;&gt;"",OR(AND(ISNUMBER($G864),ISNUMBER($H864),ISNUMBER($K864)),ISNUMBER($O864))),1,0)</f>
        <v>0</v>
      </c>
      <c r="AN864" s="57" t="str">
        <f>IF($A864="","",$A864-WEEKDAY($A864,3))</f>
        <v/>
      </c>
      <c r="AO864" s="56" t="str">
        <f>IF($A864="","",WEEKDAY($A864,2))</f>
        <v/>
      </c>
      <c r="AP864" s="55" t="str">
        <f>IF(OR($AM864=0,$C864=""),"",IFERROR(N(INDEX(Accounts!$E$7:$E$16,MATCH($C864,Accounts!$B$7:$B$16,0))),0)+SUMIFS($Q$6:$Q864,$C$6:$C864,$C864))</f>
        <v/>
      </c>
      <c r="AQ864" s="55" t="str">
        <f>IF(OR($AM864=0,$C864=""),"",SUMIFS($Q$6:$Q$1005,$C$6:$C$1005,$C864,$A$6:$A$1005,$A864))</f>
        <v/>
      </c>
      <c r="AR864" s="55" t="str">
        <f>IF(OR($AM864=0,$C864=""),"",IFERROR(N(INDEX(Accounts!$E$7:$E$16,MATCH($C864,Accounts!$B$7:$B$16,0))),0)+SUMIFS($Q$6:$Q$1005,$C$6:$C$1005,$C864,$A$6:$A$1005,"&lt;="&amp;$A864))</f>
        <v/>
      </c>
      <c r="AS864" s="56">
        <f>IF(OR($AM864=0,$Q864=""),0,IF(AND($A864&gt;=Lists!$W$6,$A864&lt;=Lists!$W$7,OR(Dashboard!$D$6="All accounts",$C864=Dashboard!$D$6),OR(Dashboard!$D$7="All markets",$AF864=Dashboard!$D$7)),1,0))</f>
        <v>0</v>
      </c>
      <c r="AT864" s="55">
        <f>IF($AS864=1,N(AT863)+$Q864,N(AT863))</f>
        <v>1187.10688</v>
      </c>
      <c r="AU864" s="55">
        <f>MAX(N(AU863),$AT864)</f>
        <v>1187.10688</v>
      </c>
      <c r="AV864" s="55">
        <f>$AT864-$AU864</f>
        <v>0</v>
      </c>
      <c r="AW864" s="56">
        <f>IF($AS864=1,IF($S864="Win",N(AW863)+1,IF($S864="Loss",0,N(AW863))),N(AW863))</f>
        <v>5</v>
      </c>
      <c r="AX864" s="56">
        <f>IF($AS864=1,IF($S864="Loss",N(AX863)+1,IF($S864="Win",0,N(AX863))),N(AX863))</f>
        <v>0</v>
      </c>
      <c r="AY864" s="56" t="str">
        <f>IF($AS864=1,COUNTIF($AS$6:$AS864,1),"")</f>
        <v/>
      </c>
      <c r="AZ864" s="56">
        <f>MIN(858,N(Lists!$W$8))</f>
        <v>28</v>
      </c>
      <c r="BA864" s="56">
        <f>IF($AS864=1,IF(COUNTIFS($A$6:$A864,$A864,$AS$6:$AS864,1)=1,1,0),0)</f>
        <v>0</v>
      </c>
      <c r="BB864" s="55" t="str">
        <f>IF($BA864=1,SUMIFS($Q$6:$Q$1005,$A$6:$A$1005,$A864,$AS$6:$AS$1005,1),"")</f>
        <v/>
      </c>
      <c r="BC864" s="56">
        <f>IF(ISNUMBER($R864),1,0)</f>
        <v>0</v>
      </c>
      <c r="BD864" s="55" t="str">
        <f>IF(ISNUMBER($U864),$U864*$V864,"")</f>
        <v/>
      </c>
      <c r="BE864" s="56" t="str">
        <f>IF($AM864=0,"",IFERROR(MATCH($AF864&amp;"|"&amp;UPPER(TRIM($E864)),Lists!$A$6:$A$205,0),0))</f>
        <v/>
      </c>
      <c r="BF864" s="56" t="str">
        <f>IF($AM864=0,"",IFERROR(MATCH($AF864,Settings!$B$14:$B$18,0),IFERROR(MATCH(Settings!$C$6,Settings!$B$14:$B$18,0),1)))</f>
        <v/>
      </c>
      <c r="BG864" s="58" t="str">
        <f>IF($AM864=0,"",IF(NOT(ISNUMBER($I864)),"No stop; ","")&amp;IF(AND(ISNUMBER($H864),ISNUMBER($I864)),IF(OR(AND($F864&lt;&gt;"Short",$I864&gt;=$H864),AND($F864="Short",$I864&lt;=$H864)),"Stop on wrong side; ",""),"")&amp;IF($F864="","No direction; ","")&amp;IF(AND(ISNUMBER(Settings!$C$22),ISNUMBER($V864)),IF($V864&gt;Settings!$C$22,"Risk over max $; ",""),"")&amp;IF(AND(ISNUMBER(Settings!$C$23),ISNUMBER($V864),ISNUMBER($AP864),IFERROR(N(INDEX(Accounts!$E$7:$E$16,MATCH($C864,Accounts!$B$7:$B$16,0))),0)&gt;0),IF($V864&gt;Settings!$C$23*($AP864-N($Q864)),"Risk over max %; ",""),"")&amp;IF(AND(ISNUMBER(Settings!$C$24),ISNUMBER($N864)),IF($N864&gt;Settings!$C$24,"Leverage over max; ",""),"")&amp;IF(AND(ISNUMBER(Settings!$C$27),ISNUMBER($T864)),IF($T864&lt;Settings!$C$27,"R:R below min; ",""),"")&amp;IF(ISNUMBER(Settings!$C$25),IF(COUNTIFS($A$6:$A864,$A864,$AM$6:$AM864,1)&gt;Settings!$C$25,"Over max trades/day; ",""),"")&amp;IF(ISNUMBER(Settings!$C$26),IF(SUMIFS($Q$5:$Q863,$A$5:$A863,$A864)&lt;=-Settings!$C$26,"Traded after daily max loss; ",""),"")&amp;IF(AND($AG864="",NOT(ISNUMBER($O864))),"Symbol not in Instruments; ","")&amp;IF(AND($AH864="",NOT(ISNUMBER($O864))),"Forex cross: type Gross P&amp;L; ",""))</f>
        <v/>
      </c>
      <c r="BH864" s="56">
        <f>IF(ISNUMBER($Q864),1,0)</f>
        <v>0</v>
      </c>
      <c r="BI864" s="56">
        <f>IF($Y864="",0,1)</f>
        <v>0</v>
      </c>
      <c r="BJ864" s="56">
        <f>IF($AB864="",0,1)</f>
        <v>0</v>
      </c>
      <c r="BK864" s="56">
        <f>IF(AND($BH864=1,$W864&lt;&gt;"OK"),1,0)</f>
        <v>0</v>
      </c>
      <c r="BL864" s="55">
        <f>IF(N($AZ864)=0,0,IFERROR(INDEX($AT$6:$AT$1005,MATCH($AZ864,$AY$6:$AY$1005,0)),0))</f>
        <v>1187.10688</v>
      </c>
      <c r="BM864" s="56">
        <f>IF(ISNUMBER(SEARCH("daily max loss",$BG864)),1,0)</f>
        <v>0</v>
      </c>
    </row>
    <row r="865" ht="18" customHeight="1">
      <c r="A865" s="38" t="n"/>
      <c r="B865" s="39" t="n"/>
      <c r="C865" s="40" t="n"/>
      <c r="D865" s="41" t="n"/>
      <c r="E865" s="41" t="n"/>
      <c r="F865" s="41" t="n"/>
      <c r="G865" s="41" t="n"/>
      <c r="H865" s="42" t="n"/>
      <c r="I865" s="42" t="n"/>
      <c r="J865" s="42" t="n"/>
      <c r="K865" s="42" t="n"/>
      <c r="L865" s="41" t="n"/>
      <c r="M865" s="41" t="n"/>
      <c r="N865" s="41" t="n"/>
      <c r="O865" s="43" t="n"/>
      <c r="P865" s="43" t="n"/>
      <c r="Q865" s="44" t="str">
        <f>IF($AM865=0,"",IF(ISNUMBER($AK865),$AK865-N($AL865),""))</f>
        <v/>
      </c>
      <c r="R865" s="45" t="str">
        <f>IF(OR($Q865="",NOT(ISNUMBER($V865))),"",$AK865/$V865)</f>
        <v/>
      </c>
      <c r="S865" s="46" t="str">
        <f>IF($Q865="","",IF(AND(ISNUMBER($R865),ABS(N($R865))&lt;N(Settings!$C$8)),"Scratch",IF($Q865&gt;0,"Win",IF($Q865&lt;0,"Loss","Scratch"))))</f>
        <v/>
      </c>
      <c r="T865" s="47" t="str">
        <f>IF(OR($AM865=0,NOT(ISNUMBER($H865)),NOT(ISNUMBER($I865)),NOT(ISNUMBER($J865))),"",IF($H865=$I865,"",ROUND(ABS($J865-$H865)/ABS($H865-$I865),6)))</f>
        <v/>
      </c>
      <c r="U865" s="48" t="str">
        <f>IF(OR($S865&lt;&gt;"Win",NOT(ISNUMBER($T865)),NOT(ISNUMBER($R865))),"",MAX(0,$T865-$R865))</f>
        <v/>
      </c>
      <c r="V865" s="49" t="str">
        <f>IF(OR($AM865=0,NOT(ISNUMBER($H865)),NOT(ISNUMBER($I865)),NOT(ISNUMBER($G865))),"",IF(OR($AG865="",$AH865=""),"",IF(ROUND(ABS($H865-$I865)*ABS($G865)*$AG865*$AH865,6)=0,"",ROUND(ABS($H865-$I865)*ABS($G865)*$AG865*$AH865,6))))</f>
        <v/>
      </c>
      <c r="W865" s="50" t="str">
        <f>IF($AM865=0,"",IF($BG865="","OK",LEFT($BG865,LEN($BG865)-2)))</f>
        <v/>
      </c>
      <c r="X865" s="41" t="n"/>
      <c r="Y865" s="40" t="n"/>
      <c r="Z865" s="41" t="n"/>
      <c r="AA865" s="41" t="n"/>
      <c r="AB865" s="40" t="n"/>
      <c r="AC865" s="51" t="n"/>
      <c r="AD865" s="51" t="n"/>
      <c r="AE865" s="40" t="n"/>
      <c r="AF865" s="52" t="str">
        <f>IF($AM865=0,"",IF($D865&lt;&gt;"",$D865,IF(IFERROR(INDEX(Accounts!$C$7:$C$16,MATCH($C865,Accounts!$B$7:$B$16,0))&amp;"","")&lt;&gt;"",INDEX(Accounts!$C$7:$C$16,MATCH($C865,Accounts!$B$7:$B$16,0)),Settings!$C$6)))</f>
        <v/>
      </c>
      <c r="AG865" s="53" t="str">
        <f>IF($AM865=0,"",IF(AND($BE865&gt;0,N(INDEX(Instruments!$D$6:$D$205,MAX(1,$BE865)))&gt;0),INDEX(Instruments!$D$6:$D$205,MAX(1,$BE865)),IF(N(INDEX(Settings!$D$14:$D$18,$BF865))&gt;0,INDEX(Settings!$D$14:$D$18,$BF865),"")))</f>
        <v/>
      </c>
      <c r="AH865" s="54" t="str">
        <f>IF($AM865=0,"",IF($AF865&lt;&gt;"Forex",1,IF(MID(UPPER(SUBSTITUTE(TRIM($E865),"/","")),4,3)=UPPER(TRIM(Settings!$C$7)),1,IF(LEFT(UPPER(SUBSTITUTE(TRIM($E865),"/","")),3)=UPPER(TRIM(Settings!$C$7)),IF(AND(ISNUMBER($K865),N($K865)&lt;&gt;0),1/$K865,""),""))))</f>
        <v/>
      </c>
      <c r="AI865" s="55" t="str">
        <f>IF($AM865=0,"",IF(OR(NOT(ISNUMBER($H865)),NOT(ISNUMBER($K865)),NOT(ISNUMBER($G865)),$AG865="",$AH865=""),"",ROUND(($K865-$H865)*IF($F865="Short",-1,1)*$G865*$AG865*$AH865,6)))</f>
        <v/>
      </c>
      <c r="AJ865" s="55" t="str">
        <f>IF($AM865=0,"",IF(INDEX(Settings!$E$14:$E$18,$BF865)="% of notional",IF(OR($AG865="",NOT(ISNUMBER($H865)),NOT(ISNUMBER($G865))),"",ROUND(ABS($H865*$G865*$AG865*N($AH865))*IF($L865="Limit",N(INDEX(Settings!$G$14:$G$18,$BF865)),N(INDEX(Settings!$H$14:$H$18,$BF865)))+IF(ISNUMBER($K865),ABS($K865*$G865*$AG865*N($AH865))*IF($M865="Target",N(INDEX(Settings!$G$14:$G$18,$BF865)),N(INDEX(Settings!$H$14:$H$18,$BF865))),0),6)),IF(NOT(ISNUMBER($G865)),"",ROUND(ABS($G865)*2*IF(AND($BE865&gt;0,ISNUMBER(INDEX(Instruments!$G$6:$G$205,MAX(1,$BE865)))),INDEX(Instruments!$G$6:$G$205,MAX(1,$BE865)),N(INDEX(Settings!$F$14:$F$18,$BF865))),6))))</f>
        <v/>
      </c>
      <c r="AK865" s="55" t="str">
        <f>IF($AM865=0,"",IF(ISNUMBER($O865),$O865,$AI865))</f>
        <v/>
      </c>
      <c r="AL865" s="55" t="str">
        <f>IF($AM865=0,"",IF(ISNUMBER($P865),$P865,N($AJ865)))</f>
        <v/>
      </c>
      <c r="AM865" s="56">
        <f>IF(AND($A865&lt;&gt;"",$E865&lt;&gt;"",OR(AND(ISNUMBER($G865),ISNUMBER($H865),ISNUMBER($K865)),ISNUMBER($O865))),1,0)</f>
        <v>0</v>
      </c>
      <c r="AN865" s="57" t="str">
        <f>IF($A865="","",$A865-WEEKDAY($A865,3))</f>
        <v/>
      </c>
      <c r="AO865" s="56" t="str">
        <f>IF($A865="","",WEEKDAY($A865,2))</f>
        <v/>
      </c>
      <c r="AP865" s="55" t="str">
        <f>IF(OR($AM865=0,$C865=""),"",IFERROR(N(INDEX(Accounts!$E$7:$E$16,MATCH($C865,Accounts!$B$7:$B$16,0))),0)+SUMIFS($Q$6:$Q865,$C$6:$C865,$C865))</f>
        <v/>
      </c>
      <c r="AQ865" s="55" t="str">
        <f>IF(OR($AM865=0,$C865=""),"",SUMIFS($Q$6:$Q$1005,$C$6:$C$1005,$C865,$A$6:$A$1005,$A865))</f>
        <v/>
      </c>
      <c r="AR865" s="55" t="str">
        <f>IF(OR($AM865=0,$C865=""),"",IFERROR(N(INDEX(Accounts!$E$7:$E$16,MATCH($C865,Accounts!$B$7:$B$16,0))),0)+SUMIFS($Q$6:$Q$1005,$C$6:$C$1005,$C865,$A$6:$A$1005,"&lt;="&amp;$A865))</f>
        <v/>
      </c>
      <c r="AS865" s="56">
        <f>IF(OR($AM865=0,$Q865=""),0,IF(AND($A865&gt;=Lists!$W$6,$A865&lt;=Lists!$W$7,OR(Dashboard!$D$6="All accounts",$C865=Dashboard!$D$6),OR(Dashboard!$D$7="All markets",$AF865=Dashboard!$D$7)),1,0))</f>
        <v>0</v>
      </c>
      <c r="AT865" s="55">
        <f>IF($AS865=1,N(AT864)+$Q865,N(AT864))</f>
        <v>1187.10688</v>
      </c>
      <c r="AU865" s="55">
        <f>MAX(N(AU864),$AT865)</f>
        <v>1187.10688</v>
      </c>
      <c r="AV865" s="55">
        <f>$AT865-$AU865</f>
        <v>0</v>
      </c>
      <c r="AW865" s="56">
        <f>IF($AS865=1,IF($S865="Win",N(AW864)+1,IF($S865="Loss",0,N(AW864))),N(AW864))</f>
        <v>5</v>
      </c>
      <c r="AX865" s="56">
        <f>IF($AS865=1,IF($S865="Loss",N(AX864)+1,IF($S865="Win",0,N(AX864))),N(AX864))</f>
        <v>0</v>
      </c>
      <c r="AY865" s="56" t="str">
        <f>IF($AS865=1,COUNTIF($AS$6:$AS865,1),"")</f>
        <v/>
      </c>
      <c r="AZ865" s="56">
        <f>MIN(859,N(Lists!$W$8))</f>
        <v>28</v>
      </c>
      <c r="BA865" s="56">
        <f>IF($AS865=1,IF(COUNTIFS($A$6:$A865,$A865,$AS$6:$AS865,1)=1,1,0),0)</f>
        <v>0</v>
      </c>
      <c r="BB865" s="55" t="str">
        <f>IF($BA865=1,SUMIFS($Q$6:$Q$1005,$A$6:$A$1005,$A865,$AS$6:$AS$1005,1),"")</f>
        <v/>
      </c>
      <c r="BC865" s="56">
        <f>IF(ISNUMBER($R865),1,0)</f>
        <v>0</v>
      </c>
      <c r="BD865" s="55" t="str">
        <f>IF(ISNUMBER($U865),$U865*$V865,"")</f>
        <v/>
      </c>
      <c r="BE865" s="56" t="str">
        <f>IF($AM865=0,"",IFERROR(MATCH($AF865&amp;"|"&amp;UPPER(TRIM($E865)),Lists!$A$6:$A$205,0),0))</f>
        <v/>
      </c>
      <c r="BF865" s="56" t="str">
        <f>IF($AM865=0,"",IFERROR(MATCH($AF865,Settings!$B$14:$B$18,0),IFERROR(MATCH(Settings!$C$6,Settings!$B$14:$B$18,0),1)))</f>
        <v/>
      </c>
      <c r="BG865" s="58" t="str">
        <f>IF($AM865=0,"",IF(NOT(ISNUMBER($I865)),"No stop; ","")&amp;IF(AND(ISNUMBER($H865),ISNUMBER($I865)),IF(OR(AND($F865&lt;&gt;"Short",$I865&gt;=$H865),AND($F865="Short",$I865&lt;=$H865)),"Stop on wrong side; ",""),"")&amp;IF($F865="","No direction; ","")&amp;IF(AND(ISNUMBER(Settings!$C$22),ISNUMBER($V865)),IF($V865&gt;Settings!$C$22,"Risk over max $; ",""),"")&amp;IF(AND(ISNUMBER(Settings!$C$23),ISNUMBER($V865),ISNUMBER($AP865),IFERROR(N(INDEX(Accounts!$E$7:$E$16,MATCH($C865,Accounts!$B$7:$B$16,0))),0)&gt;0),IF($V865&gt;Settings!$C$23*($AP865-N($Q865)),"Risk over max %; ",""),"")&amp;IF(AND(ISNUMBER(Settings!$C$24),ISNUMBER($N865)),IF($N865&gt;Settings!$C$24,"Leverage over max; ",""),"")&amp;IF(AND(ISNUMBER(Settings!$C$27),ISNUMBER($T865)),IF($T865&lt;Settings!$C$27,"R:R below min; ",""),"")&amp;IF(ISNUMBER(Settings!$C$25),IF(COUNTIFS($A$6:$A865,$A865,$AM$6:$AM865,1)&gt;Settings!$C$25,"Over max trades/day; ",""),"")&amp;IF(ISNUMBER(Settings!$C$26),IF(SUMIFS($Q$5:$Q864,$A$5:$A864,$A865)&lt;=-Settings!$C$26,"Traded after daily max loss; ",""),"")&amp;IF(AND($AG865="",NOT(ISNUMBER($O865))),"Symbol not in Instruments; ","")&amp;IF(AND($AH865="",NOT(ISNUMBER($O865))),"Forex cross: type Gross P&amp;L; ",""))</f>
        <v/>
      </c>
      <c r="BH865" s="56">
        <f>IF(ISNUMBER($Q865),1,0)</f>
        <v>0</v>
      </c>
      <c r="BI865" s="56">
        <f>IF($Y865="",0,1)</f>
        <v>0</v>
      </c>
      <c r="BJ865" s="56">
        <f>IF($AB865="",0,1)</f>
        <v>0</v>
      </c>
      <c r="BK865" s="56">
        <f>IF(AND($BH865=1,$W865&lt;&gt;"OK"),1,0)</f>
        <v>0</v>
      </c>
      <c r="BL865" s="55">
        <f>IF(N($AZ865)=0,0,IFERROR(INDEX($AT$6:$AT$1005,MATCH($AZ865,$AY$6:$AY$1005,0)),0))</f>
        <v>1187.10688</v>
      </c>
      <c r="BM865" s="56">
        <f>IF(ISNUMBER(SEARCH("daily max loss",$BG865)),1,0)</f>
        <v>0</v>
      </c>
    </row>
    <row r="866" ht="18" customHeight="1">
      <c r="A866" s="38" t="n"/>
      <c r="B866" s="39" t="n"/>
      <c r="C866" s="40" t="n"/>
      <c r="D866" s="41" t="n"/>
      <c r="E866" s="41" t="n"/>
      <c r="F866" s="41" t="n"/>
      <c r="G866" s="41" t="n"/>
      <c r="H866" s="42" t="n"/>
      <c r="I866" s="42" t="n"/>
      <c r="J866" s="42" t="n"/>
      <c r="K866" s="42" t="n"/>
      <c r="L866" s="41" t="n"/>
      <c r="M866" s="41" t="n"/>
      <c r="N866" s="41" t="n"/>
      <c r="O866" s="43" t="n"/>
      <c r="P866" s="43" t="n"/>
      <c r="Q866" s="44" t="str">
        <f>IF($AM866=0,"",IF(ISNUMBER($AK866),$AK866-N($AL866),""))</f>
        <v/>
      </c>
      <c r="R866" s="45" t="str">
        <f>IF(OR($Q866="",NOT(ISNUMBER($V866))),"",$AK866/$V866)</f>
        <v/>
      </c>
      <c r="S866" s="46" t="str">
        <f>IF($Q866="","",IF(AND(ISNUMBER($R866),ABS(N($R866))&lt;N(Settings!$C$8)),"Scratch",IF($Q866&gt;0,"Win",IF($Q866&lt;0,"Loss","Scratch"))))</f>
        <v/>
      </c>
      <c r="T866" s="47" t="str">
        <f>IF(OR($AM866=0,NOT(ISNUMBER($H866)),NOT(ISNUMBER($I866)),NOT(ISNUMBER($J866))),"",IF($H866=$I866,"",ROUND(ABS($J866-$H866)/ABS($H866-$I866),6)))</f>
        <v/>
      </c>
      <c r="U866" s="48" t="str">
        <f>IF(OR($S866&lt;&gt;"Win",NOT(ISNUMBER($T866)),NOT(ISNUMBER($R866))),"",MAX(0,$T866-$R866))</f>
        <v/>
      </c>
      <c r="V866" s="49" t="str">
        <f>IF(OR($AM866=0,NOT(ISNUMBER($H866)),NOT(ISNUMBER($I866)),NOT(ISNUMBER($G866))),"",IF(OR($AG866="",$AH866=""),"",IF(ROUND(ABS($H866-$I866)*ABS($G866)*$AG866*$AH866,6)=0,"",ROUND(ABS($H866-$I866)*ABS($G866)*$AG866*$AH866,6))))</f>
        <v/>
      </c>
      <c r="W866" s="50" t="str">
        <f>IF($AM866=0,"",IF($BG866="","OK",LEFT($BG866,LEN($BG866)-2)))</f>
        <v/>
      </c>
      <c r="X866" s="41" t="n"/>
      <c r="Y866" s="40" t="n"/>
      <c r="Z866" s="41" t="n"/>
      <c r="AA866" s="41" t="n"/>
      <c r="AB866" s="40" t="n"/>
      <c r="AC866" s="51" t="n"/>
      <c r="AD866" s="51" t="n"/>
      <c r="AE866" s="40" t="n"/>
      <c r="AF866" s="52" t="str">
        <f>IF($AM866=0,"",IF($D866&lt;&gt;"",$D866,IF(IFERROR(INDEX(Accounts!$C$7:$C$16,MATCH($C866,Accounts!$B$7:$B$16,0))&amp;"","")&lt;&gt;"",INDEX(Accounts!$C$7:$C$16,MATCH($C866,Accounts!$B$7:$B$16,0)),Settings!$C$6)))</f>
        <v/>
      </c>
      <c r="AG866" s="53" t="str">
        <f>IF($AM866=0,"",IF(AND($BE866&gt;0,N(INDEX(Instruments!$D$6:$D$205,MAX(1,$BE866)))&gt;0),INDEX(Instruments!$D$6:$D$205,MAX(1,$BE866)),IF(N(INDEX(Settings!$D$14:$D$18,$BF866))&gt;0,INDEX(Settings!$D$14:$D$18,$BF866),"")))</f>
        <v/>
      </c>
      <c r="AH866" s="54" t="str">
        <f>IF($AM866=0,"",IF($AF866&lt;&gt;"Forex",1,IF(MID(UPPER(SUBSTITUTE(TRIM($E866),"/","")),4,3)=UPPER(TRIM(Settings!$C$7)),1,IF(LEFT(UPPER(SUBSTITUTE(TRIM($E866),"/","")),3)=UPPER(TRIM(Settings!$C$7)),IF(AND(ISNUMBER($K866),N($K866)&lt;&gt;0),1/$K866,""),""))))</f>
        <v/>
      </c>
      <c r="AI866" s="55" t="str">
        <f>IF($AM866=0,"",IF(OR(NOT(ISNUMBER($H866)),NOT(ISNUMBER($K866)),NOT(ISNUMBER($G866)),$AG866="",$AH866=""),"",ROUND(($K866-$H866)*IF($F866="Short",-1,1)*$G866*$AG866*$AH866,6)))</f>
        <v/>
      </c>
      <c r="AJ866" s="55" t="str">
        <f>IF($AM866=0,"",IF(INDEX(Settings!$E$14:$E$18,$BF866)="% of notional",IF(OR($AG866="",NOT(ISNUMBER($H866)),NOT(ISNUMBER($G866))),"",ROUND(ABS($H866*$G866*$AG866*N($AH866))*IF($L866="Limit",N(INDEX(Settings!$G$14:$G$18,$BF866)),N(INDEX(Settings!$H$14:$H$18,$BF866)))+IF(ISNUMBER($K866),ABS($K866*$G866*$AG866*N($AH866))*IF($M866="Target",N(INDEX(Settings!$G$14:$G$18,$BF866)),N(INDEX(Settings!$H$14:$H$18,$BF866))),0),6)),IF(NOT(ISNUMBER($G866)),"",ROUND(ABS($G866)*2*IF(AND($BE866&gt;0,ISNUMBER(INDEX(Instruments!$G$6:$G$205,MAX(1,$BE866)))),INDEX(Instruments!$G$6:$G$205,MAX(1,$BE866)),N(INDEX(Settings!$F$14:$F$18,$BF866))),6))))</f>
        <v/>
      </c>
      <c r="AK866" s="55" t="str">
        <f>IF($AM866=0,"",IF(ISNUMBER($O866),$O866,$AI866))</f>
        <v/>
      </c>
      <c r="AL866" s="55" t="str">
        <f>IF($AM866=0,"",IF(ISNUMBER($P866),$P866,N($AJ866)))</f>
        <v/>
      </c>
      <c r="AM866" s="56">
        <f>IF(AND($A866&lt;&gt;"",$E866&lt;&gt;"",OR(AND(ISNUMBER($G866),ISNUMBER($H866),ISNUMBER($K866)),ISNUMBER($O866))),1,0)</f>
        <v>0</v>
      </c>
      <c r="AN866" s="57" t="str">
        <f>IF($A866="","",$A866-WEEKDAY($A866,3))</f>
        <v/>
      </c>
      <c r="AO866" s="56" t="str">
        <f>IF($A866="","",WEEKDAY($A866,2))</f>
        <v/>
      </c>
      <c r="AP866" s="55" t="str">
        <f>IF(OR($AM866=0,$C866=""),"",IFERROR(N(INDEX(Accounts!$E$7:$E$16,MATCH($C866,Accounts!$B$7:$B$16,0))),0)+SUMIFS($Q$6:$Q866,$C$6:$C866,$C866))</f>
        <v/>
      </c>
      <c r="AQ866" s="55" t="str">
        <f>IF(OR($AM866=0,$C866=""),"",SUMIFS($Q$6:$Q$1005,$C$6:$C$1005,$C866,$A$6:$A$1005,$A866))</f>
        <v/>
      </c>
      <c r="AR866" s="55" t="str">
        <f>IF(OR($AM866=0,$C866=""),"",IFERROR(N(INDEX(Accounts!$E$7:$E$16,MATCH($C866,Accounts!$B$7:$B$16,0))),0)+SUMIFS($Q$6:$Q$1005,$C$6:$C$1005,$C866,$A$6:$A$1005,"&lt;="&amp;$A866))</f>
        <v/>
      </c>
      <c r="AS866" s="56">
        <f>IF(OR($AM866=0,$Q866=""),0,IF(AND($A866&gt;=Lists!$W$6,$A866&lt;=Lists!$W$7,OR(Dashboard!$D$6="All accounts",$C866=Dashboard!$D$6),OR(Dashboard!$D$7="All markets",$AF866=Dashboard!$D$7)),1,0))</f>
        <v>0</v>
      </c>
      <c r="AT866" s="55">
        <f>IF($AS866=1,N(AT865)+$Q866,N(AT865))</f>
        <v>1187.10688</v>
      </c>
      <c r="AU866" s="55">
        <f>MAX(N(AU865),$AT866)</f>
        <v>1187.10688</v>
      </c>
      <c r="AV866" s="55">
        <f>$AT866-$AU866</f>
        <v>0</v>
      </c>
      <c r="AW866" s="56">
        <f>IF($AS866=1,IF($S866="Win",N(AW865)+1,IF($S866="Loss",0,N(AW865))),N(AW865))</f>
        <v>5</v>
      </c>
      <c r="AX866" s="56">
        <f>IF($AS866=1,IF($S866="Loss",N(AX865)+1,IF($S866="Win",0,N(AX865))),N(AX865))</f>
        <v>0</v>
      </c>
      <c r="AY866" s="56" t="str">
        <f>IF($AS866=1,COUNTIF($AS$6:$AS866,1),"")</f>
        <v/>
      </c>
      <c r="AZ866" s="56">
        <f>MIN(860,N(Lists!$W$8))</f>
        <v>28</v>
      </c>
      <c r="BA866" s="56">
        <f>IF($AS866=1,IF(COUNTIFS($A$6:$A866,$A866,$AS$6:$AS866,1)=1,1,0),0)</f>
        <v>0</v>
      </c>
      <c r="BB866" s="55" t="str">
        <f>IF($BA866=1,SUMIFS($Q$6:$Q$1005,$A$6:$A$1005,$A866,$AS$6:$AS$1005,1),"")</f>
        <v/>
      </c>
      <c r="BC866" s="56">
        <f>IF(ISNUMBER($R866),1,0)</f>
        <v>0</v>
      </c>
      <c r="BD866" s="55" t="str">
        <f>IF(ISNUMBER($U866),$U866*$V866,"")</f>
        <v/>
      </c>
      <c r="BE866" s="56" t="str">
        <f>IF($AM866=0,"",IFERROR(MATCH($AF866&amp;"|"&amp;UPPER(TRIM($E866)),Lists!$A$6:$A$205,0),0))</f>
        <v/>
      </c>
      <c r="BF866" s="56" t="str">
        <f>IF($AM866=0,"",IFERROR(MATCH($AF866,Settings!$B$14:$B$18,0),IFERROR(MATCH(Settings!$C$6,Settings!$B$14:$B$18,0),1)))</f>
        <v/>
      </c>
      <c r="BG866" s="58" t="str">
        <f>IF($AM866=0,"",IF(NOT(ISNUMBER($I866)),"No stop; ","")&amp;IF(AND(ISNUMBER($H866),ISNUMBER($I866)),IF(OR(AND($F866&lt;&gt;"Short",$I866&gt;=$H866),AND($F866="Short",$I866&lt;=$H866)),"Stop on wrong side; ",""),"")&amp;IF($F866="","No direction; ","")&amp;IF(AND(ISNUMBER(Settings!$C$22),ISNUMBER($V866)),IF($V866&gt;Settings!$C$22,"Risk over max $; ",""),"")&amp;IF(AND(ISNUMBER(Settings!$C$23),ISNUMBER($V866),ISNUMBER($AP866),IFERROR(N(INDEX(Accounts!$E$7:$E$16,MATCH($C866,Accounts!$B$7:$B$16,0))),0)&gt;0),IF($V866&gt;Settings!$C$23*($AP866-N($Q866)),"Risk over max %; ",""),"")&amp;IF(AND(ISNUMBER(Settings!$C$24),ISNUMBER($N866)),IF($N866&gt;Settings!$C$24,"Leverage over max; ",""),"")&amp;IF(AND(ISNUMBER(Settings!$C$27),ISNUMBER($T866)),IF($T866&lt;Settings!$C$27,"R:R below min; ",""),"")&amp;IF(ISNUMBER(Settings!$C$25),IF(COUNTIFS($A$6:$A866,$A866,$AM$6:$AM866,1)&gt;Settings!$C$25,"Over max trades/day; ",""),"")&amp;IF(ISNUMBER(Settings!$C$26),IF(SUMIFS($Q$5:$Q865,$A$5:$A865,$A866)&lt;=-Settings!$C$26,"Traded after daily max loss; ",""),"")&amp;IF(AND($AG866="",NOT(ISNUMBER($O866))),"Symbol not in Instruments; ","")&amp;IF(AND($AH866="",NOT(ISNUMBER($O866))),"Forex cross: type Gross P&amp;L; ",""))</f>
        <v/>
      </c>
      <c r="BH866" s="56">
        <f>IF(ISNUMBER($Q866),1,0)</f>
        <v>0</v>
      </c>
      <c r="BI866" s="56">
        <f>IF($Y866="",0,1)</f>
        <v>0</v>
      </c>
      <c r="BJ866" s="56">
        <f>IF($AB866="",0,1)</f>
        <v>0</v>
      </c>
      <c r="BK866" s="56">
        <f>IF(AND($BH866=1,$W866&lt;&gt;"OK"),1,0)</f>
        <v>0</v>
      </c>
      <c r="BL866" s="55">
        <f>IF(N($AZ866)=0,0,IFERROR(INDEX($AT$6:$AT$1005,MATCH($AZ866,$AY$6:$AY$1005,0)),0))</f>
        <v>1187.10688</v>
      </c>
      <c r="BM866" s="56">
        <f>IF(ISNUMBER(SEARCH("daily max loss",$BG866)),1,0)</f>
        <v>0</v>
      </c>
    </row>
    <row r="867" ht="18" customHeight="1">
      <c r="A867" s="38" t="n"/>
      <c r="B867" s="39" t="n"/>
      <c r="C867" s="40" t="n"/>
      <c r="D867" s="41" t="n"/>
      <c r="E867" s="41" t="n"/>
      <c r="F867" s="41" t="n"/>
      <c r="G867" s="41" t="n"/>
      <c r="H867" s="42" t="n"/>
      <c r="I867" s="42" t="n"/>
      <c r="J867" s="42" t="n"/>
      <c r="K867" s="42" t="n"/>
      <c r="L867" s="41" t="n"/>
      <c r="M867" s="41" t="n"/>
      <c r="N867" s="41" t="n"/>
      <c r="O867" s="43" t="n"/>
      <c r="P867" s="43" t="n"/>
      <c r="Q867" s="44" t="str">
        <f>IF($AM867=0,"",IF(ISNUMBER($AK867),$AK867-N($AL867),""))</f>
        <v/>
      </c>
      <c r="R867" s="45" t="str">
        <f>IF(OR($Q867="",NOT(ISNUMBER($V867))),"",$AK867/$V867)</f>
        <v/>
      </c>
      <c r="S867" s="46" t="str">
        <f>IF($Q867="","",IF(AND(ISNUMBER($R867),ABS(N($R867))&lt;N(Settings!$C$8)),"Scratch",IF($Q867&gt;0,"Win",IF($Q867&lt;0,"Loss","Scratch"))))</f>
        <v/>
      </c>
      <c r="T867" s="47" t="str">
        <f>IF(OR($AM867=0,NOT(ISNUMBER($H867)),NOT(ISNUMBER($I867)),NOT(ISNUMBER($J867))),"",IF($H867=$I867,"",ROUND(ABS($J867-$H867)/ABS($H867-$I867),6)))</f>
        <v/>
      </c>
      <c r="U867" s="48" t="str">
        <f>IF(OR($S867&lt;&gt;"Win",NOT(ISNUMBER($T867)),NOT(ISNUMBER($R867))),"",MAX(0,$T867-$R867))</f>
        <v/>
      </c>
      <c r="V867" s="49" t="str">
        <f>IF(OR($AM867=0,NOT(ISNUMBER($H867)),NOT(ISNUMBER($I867)),NOT(ISNUMBER($G867))),"",IF(OR($AG867="",$AH867=""),"",IF(ROUND(ABS($H867-$I867)*ABS($G867)*$AG867*$AH867,6)=0,"",ROUND(ABS($H867-$I867)*ABS($G867)*$AG867*$AH867,6))))</f>
        <v/>
      </c>
      <c r="W867" s="50" t="str">
        <f>IF($AM867=0,"",IF($BG867="","OK",LEFT($BG867,LEN($BG867)-2)))</f>
        <v/>
      </c>
      <c r="X867" s="41" t="n"/>
      <c r="Y867" s="40" t="n"/>
      <c r="Z867" s="41" t="n"/>
      <c r="AA867" s="41" t="n"/>
      <c r="AB867" s="40" t="n"/>
      <c r="AC867" s="51" t="n"/>
      <c r="AD867" s="51" t="n"/>
      <c r="AE867" s="40" t="n"/>
      <c r="AF867" s="52" t="str">
        <f>IF($AM867=0,"",IF($D867&lt;&gt;"",$D867,IF(IFERROR(INDEX(Accounts!$C$7:$C$16,MATCH($C867,Accounts!$B$7:$B$16,0))&amp;"","")&lt;&gt;"",INDEX(Accounts!$C$7:$C$16,MATCH($C867,Accounts!$B$7:$B$16,0)),Settings!$C$6)))</f>
        <v/>
      </c>
      <c r="AG867" s="53" t="str">
        <f>IF($AM867=0,"",IF(AND($BE867&gt;0,N(INDEX(Instruments!$D$6:$D$205,MAX(1,$BE867)))&gt;0),INDEX(Instruments!$D$6:$D$205,MAX(1,$BE867)),IF(N(INDEX(Settings!$D$14:$D$18,$BF867))&gt;0,INDEX(Settings!$D$14:$D$18,$BF867),"")))</f>
        <v/>
      </c>
      <c r="AH867" s="54" t="str">
        <f>IF($AM867=0,"",IF($AF867&lt;&gt;"Forex",1,IF(MID(UPPER(SUBSTITUTE(TRIM($E867),"/","")),4,3)=UPPER(TRIM(Settings!$C$7)),1,IF(LEFT(UPPER(SUBSTITUTE(TRIM($E867),"/","")),3)=UPPER(TRIM(Settings!$C$7)),IF(AND(ISNUMBER($K867),N($K867)&lt;&gt;0),1/$K867,""),""))))</f>
        <v/>
      </c>
      <c r="AI867" s="55" t="str">
        <f>IF($AM867=0,"",IF(OR(NOT(ISNUMBER($H867)),NOT(ISNUMBER($K867)),NOT(ISNUMBER($G867)),$AG867="",$AH867=""),"",ROUND(($K867-$H867)*IF($F867="Short",-1,1)*$G867*$AG867*$AH867,6)))</f>
        <v/>
      </c>
      <c r="AJ867" s="55" t="str">
        <f>IF($AM867=0,"",IF(INDEX(Settings!$E$14:$E$18,$BF867)="% of notional",IF(OR($AG867="",NOT(ISNUMBER($H867)),NOT(ISNUMBER($G867))),"",ROUND(ABS($H867*$G867*$AG867*N($AH867))*IF($L867="Limit",N(INDEX(Settings!$G$14:$G$18,$BF867)),N(INDEX(Settings!$H$14:$H$18,$BF867)))+IF(ISNUMBER($K867),ABS($K867*$G867*$AG867*N($AH867))*IF($M867="Target",N(INDEX(Settings!$G$14:$G$18,$BF867)),N(INDEX(Settings!$H$14:$H$18,$BF867))),0),6)),IF(NOT(ISNUMBER($G867)),"",ROUND(ABS($G867)*2*IF(AND($BE867&gt;0,ISNUMBER(INDEX(Instruments!$G$6:$G$205,MAX(1,$BE867)))),INDEX(Instruments!$G$6:$G$205,MAX(1,$BE867)),N(INDEX(Settings!$F$14:$F$18,$BF867))),6))))</f>
        <v/>
      </c>
      <c r="AK867" s="55" t="str">
        <f>IF($AM867=0,"",IF(ISNUMBER($O867),$O867,$AI867))</f>
        <v/>
      </c>
      <c r="AL867" s="55" t="str">
        <f>IF($AM867=0,"",IF(ISNUMBER($P867),$P867,N($AJ867)))</f>
        <v/>
      </c>
      <c r="AM867" s="56">
        <f>IF(AND($A867&lt;&gt;"",$E867&lt;&gt;"",OR(AND(ISNUMBER($G867),ISNUMBER($H867),ISNUMBER($K867)),ISNUMBER($O867))),1,0)</f>
        <v>0</v>
      </c>
      <c r="AN867" s="57" t="str">
        <f>IF($A867="","",$A867-WEEKDAY($A867,3))</f>
        <v/>
      </c>
      <c r="AO867" s="56" t="str">
        <f>IF($A867="","",WEEKDAY($A867,2))</f>
        <v/>
      </c>
      <c r="AP867" s="55" t="str">
        <f>IF(OR($AM867=0,$C867=""),"",IFERROR(N(INDEX(Accounts!$E$7:$E$16,MATCH($C867,Accounts!$B$7:$B$16,0))),0)+SUMIFS($Q$6:$Q867,$C$6:$C867,$C867))</f>
        <v/>
      </c>
      <c r="AQ867" s="55" t="str">
        <f>IF(OR($AM867=0,$C867=""),"",SUMIFS($Q$6:$Q$1005,$C$6:$C$1005,$C867,$A$6:$A$1005,$A867))</f>
        <v/>
      </c>
      <c r="AR867" s="55" t="str">
        <f>IF(OR($AM867=0,$C867=""),"",IFERROR(N(INDEX(Accounts!$E$7:$E$16,MATCH($C867,Accounts!$B$7:$B$16,0))),0)+SUMIFS($Q$6:$Q$1005,$C$6:$C$1005,$C867,$A$6:$A$1005,"&lt;="&amp;$A867))</f>
        <v/>
      </c>
      <c r="AS867" s="56">
        <f>IF(OR($AM867=0,$Q867=""),0,IF(AND($A867&gt;=Lists!$W$6,$A867&lt;=Lists!$W$7,OR(Dashboard!$D$6="All accounts",$C867=Dashboard!$D$6),OR(Dashboard!$D$7="All markets",$AF867=Dashboard!$D$7)),1,0))</f>
        <v>0</v>
      </c>
      <c r="AT867" s="55">
        <f>IF($AS867=1,N(AT866)+$Q867,N(AT866))</f>
        <v>1187.10688</v>
      </c>
      <c r="AU867" s="55">
        <f>MAX(N(AU866),$AT867)</f>
        <v>1187.10688</v>
      </c>
      <c r="AV867" s="55">
        <f>$AT867-$AU867</f>
        <v>0</v>
      </c>
      <c r="AW867" s="56">
        <f>IF($AS867=1,IF($S867="Win",N(AW866)+1,IF($S867="Loss",0,N(AW866))),N(AW866))</f>
        <v>5</v>
      </c>
      <c r="AX867" s="56">
        <f>IF($AS867=1,IF($S867="Loss",N(AX866)+1,IF($S867="Win",0,N(AX866))),N(AX866))</f>
        <v>0</v>
      </c>
      <c r="AY867" s="56" t="str">
        <f>IF($AS867=1,COUNTIF($AS$6:$AS867,1),"")</f>
        <v/>
      </c>
      <c r="AZ867" s="56">
        <f>MIN(861,N(Lists!$W$8))</f>
        <v>28</v>
      </c>
      <c r="BA867" s="56">
        <f>IF($AS867=1,IF(COUNTIFS($A$6:$A867,$A867,$AS$6:$AS867,1)=1,1,0),0)</f>
        <v>0</v>
      </c>
      <c r="BB867" s="55" t="str">
        <f>IF($BA867=1,SUMIFS($Q$6:$Q$1005,$A$6:$A$1005,$A867,$AS$6:$AS$1005,1),"")</f>
        <v/>
      </c>
      <c r="BC867" s="56">
        <f>IF(ISNUMBER($R867),1,0)</f>
        <v>0</v>
      </c>
      <c r="BD867" s="55" t="str">
        <f>IF(ISNUMBER($U867),$U867*$V867,"")</f>
        <v/>
      </c>
      <c r="BE867" s="56" t="str">
        <f>IF($AM867=0,"",IFERROR(MATCH($AF867&amp;"|"&amp;UPPER(TRIM($E867)),Lists!$A$6:$A$205,0),0))</f>
        <v/>
      </c>
      <c r="BF867" s="56" t="str">
        <f>IF($AM867=0,"",IFERROR(MATCH($AF867,Settings!$B$14:$B$18,0),IFERROR(MATCH(Settings!$C$6,Settings!$B$14:$B$18,0),1)))</f>
        <v/>
      </c>
      <c r="BG867" s="58" t="str">
        <f>IF($AM867=0,"",IF(NOT(ISNUMBER($I867)),"No stop; ","")&amp;IF(AND(ISNUMBER($H867),ISNUMBER($I867)),IF(OR(AND($F867&lt;&gt;"Short",$I867&gt;=$H867),AND($F867="Short",$I867&lt;=$H867)),"Stop on wrong side; ",""),"")&amp;IF($F867="","No direction; ","")&amp;IF(AND(ISNUMBER(Settings!$C$22),ISNUMBER($V867)),IF($V867&gt;Settings!$C$22,"Risk over max $; ",""),"")&amp;IF(AND(ISNUMBER(Settings!$C$23),ISNUMBER($V867),ISNUMBER($AP867),IFERROR(N(INDEX(Accounts!$E$7:$E$16,MATCH($C867,Accounts!$B$7:$B$16,0))),0)&gt;0),IF($V867&gt;Settings!$C$23*($AP867-N($Q867)),"Risk over max %; ",""),"")&amp;IF(AND(ISNUMBER(Settings!$C$24),ISNUMBER($N867)),IF($N867&gt;Settings!$C$24,"Leverage over max; ",""),"")&amp;IF(AND(ISNUMBER(Settings!$C$27),ISNUMBER($T867)),IF($T867&lt;Settings!$C$27,"R:R below min; ",""),"")&amp;IF(ISNUMBER(Settings!$C$25),IF(COUNTIFS($A$6:$A867,$A867,$AM$6:$AM867,1)&gt;Settings!$C$25,"Over max trades/day; ",""),"")&amp;IF(ISNUMBER(Settings!$C$26),IF(SUMIFS($Q$5:$Q866,$A$5:$A866,$A867)&lt;=-Settings!$C$26,"Traded after daily max loss; ",""),"")&amp;IF(AND($AG867="",NOT(ISNUMBER($O867))),"Symbol not in Instruments; ","")&amp;IF(AND($AH867="",NOT(ISNUMBER($O867))),"Forex cross: type Gross P&amp;L; ",""))</f>
        <v/>
      </c>
      <c r="BH867" s="56">
        <f>IF(ISNUMBER($Q867),1,0)</f>
        <v>0</v>
      </c>
      <c r="BI867" s="56">
        <f>IF($Y867="",0,1)</f>
        <v>0</v>
      </c>
      <c r="BJ867" s="56">
        <f>IF($AB867="",0,1)</f>
        <v>0</v>
      </c>
      <c r="BK867" s="56">
        <f>IF(AND($BH867=1,$W867&lt;&gt;"OK"),1,0)</f>
        <v>0</v>
      </c>
      <c r="BL867" s="55">
        <f>IF(N($AZ867)=0,0,IFERROR(INDEX($AT$6:$AT$1005,MATCH($AZ867,$AY$6:$AY$1005,0)),0))</f>
        <v>1187.10688</v>
      </c>
      <c r="BM867" s="56">
        <f>IF(ISNUMBER(SEARCH("daily max loss",$BG867)),1,0)</f>
        <v>0</v>
      </c>
    </row>
    <row r="868" ht="18" customHeight="1">
      <c r="A868" s="38" t="n"/>
      <c r="B868" s="39" t="n"/>
      <c r="C868" s="40" t="n"/>
      <c r="D868" s="41" t="n"/>
      <c r="E868" s="41" t="n"/>
      <c r="F868" s="41" t="n"/>
      <c r="G868" s="41" t="n"/>
      <c r="H868" s="42" t="n"/>
      <c r="I868" s="42" t="n"/>
      <c r="J868" s="42" t="n"/>
      <c r="K868" s="42" t="n"/>
      <c r="L868" s="41" t="n"/>
      <c r="M868" s="41" t="n"/>
      <c r="N868" s="41" t="n"/>
      <c r="O868" s="43" t="n"/>
      <c r="P868" s="43" t="n"/>
      <c r="Q868" s="44" t="str">
        <f>IF($AM868=0,"",IF(ISNUMBER($AK868),$AK868-N($AL868),""))</f>
        <v/>
      </c>
      <c r="R868" s="45" t="str">
        <f>IF(OR($Q868="",NOT(ISNUMBER($V868))),"",$AK868/$V868)</f>
        <v/>
      </c>
      <c r="S868" s="46" t="str">
        <f>IF($Q868="","",IF(AND(ISNUMBER($R868),ABS(N($R868))&lt;N(Settings!$C$8)),"Scratch",IF($Q868&gt;0,"Win",IF($Q868&lt;0,"Loss","Scratch"))))</f>
        <v/>
      </c>
      <c r="T868" s="47" t="str">
        <f>IF(OR($AM868=0,NOT(ISNUMBER($H868)),NOT(ISNUMBER($I868)),NOT(ISNUMBER($J868))),"",IF($H868=$I868,"",ROUND(ABS($J868-$H868)/ABS($H868-$I868),6)))</f>
        <v/>
      </c>
      <c r="U868" s="48" t="str">
        <f>IF(OR($S868&lt;&gt;"Win",NOT(ISNUMBER($T868)),NOT(ISNUMBER($R868))),"",MAX(0,$T868-$R868))</f>
        <v/>
      </c>
      <c r="V868" s="49" t="str">
        <f>IF(OR($AM868=0,NOT(ISNUMBER($H868)),NOT(ISNUMBER($I868)),NOT(ISNUMBER($G868))),"",IF(OR($AG868="",$AH868=""),"",IF(ROUND(ABS($H868-$I868)*ABS($G868)*$AG868*$AH868,6)=0,"",ROUND(ABS($H868-$I868)*ABS($G868)*$AG868*$AH868,6))))</f>
        <v/>
      </c>
      <c r="W868" s="50" t="str">
        <f>IF($AM868=0,"",IF($BG868="","OK",LEFT($BG868,LEN($BG868)-2)))</f>
        <v/>
      </c>
      <c r="X868" s="41" t="n"/>
      <c r="Y868" s="40" t="n"/>
      <c r="Z868" s="41" t="n"/>
      <c r="AA868" s="41" t="n"/>
      <c r="AB868" s="40" t="n"/>
      <c r="AC868" s="51" t="n"/>
      <c r="AD868" s="51" t="n"/>
      <c r="AE868" s="40" t="n"/>
      <c r="AF868" s="52" t="str">
        <f>IF($AM868=0,"",IF($D868&lt;&gt;"",$D868,IF(IFERROR(INDEX(Accounts!$C$7:$C$16,MATCH($C868,Accounts!$B$7:$B$16,0))&amp;"","")&lt;&gt;"",INDEX(Accounts!$C$7:$C$16,MATCH($C868,Accounts!$B$7:$B$16,0)),Settings!$C$6)))</f>
        <v/>
      </c>
      <c r="AG868" s="53" t="str">
        <f>IF($AM868=0,"",IF(AND($BE868&gt;0,N(INDEX(Instruments!$D$6:$D$205,MAX(1,$BE868)))&gt;0),INDEX(Instruments!$D$6:$D$205,MAX(1,$BE868)),IF(N(INDEX(Settings!$D$14:$D$18,$BF868))&gt;0,INDEX(Settings!$D$14:$D$18,$BF868),"")))</f>
        <v/>
      </c>
      <c r="AH868" s="54" t="str">
        <f>IF($AM868=0,"",IF($AF868&lt;&gt;"Forex",1,IF(MID(UPPER(SUBSTITUTE(TRIM($E868),"/","")),4,3)=UPPER(TRIM(Settings!$C$7)),1,IF(LEFT(UPPER(SUBSTITUTE(TRIM($E868),"/","")),3)=UPPER(TRIM(Settings!$C$7)),IF(AND(ISNUMBER($K868),N($K868)&lt;&gt;0),1/$K868,""),""))))</f>
        <v/>
      </c>
      <c r="AI868" s="55" t="str">
        <f>IF($AM868=0,"",IF(OR(NOT(ISNUMBER($H868)),NOT(ISNUMBER($K868)),NOT(ISNUMBER($G868)),$AG868="",$AH868=""),"",ROUND(($K868-$H868)*IF($F868="Short",-1,1)*$G868*$AG868*$AH868,6)))</f>
        <v/>
      </c>
      <c r="AJ868" s="55" t="str">
        <f>IF($AM868=0,"",IF(INDEX(Settings!$E$14:$E$18,$BF868)="% of notional",IF(OR($AG868="",NOT(ISNUMBER($H868)),NOT(ISNUMBER($G868))),"",ROUND(ABS($H868*$G868*$AG868*N($AH868))*IF($L868="Limit",N(INDEX(Settings!$G$14:$G$18,$BF868)),N(INDEX(Settings!$H$14:$H$18,$BF868)))+IF(ISNUMBER($K868),ABS($K868*$G868*$AG868*N($AH868))*IF($M868="Target",N(INDEX(Settings!$G$14:$G$18,$BF868)),N(INDEX(Settings!$H$14:$H$18,$BF868))),0),6)),IF(NOT(ISNUMBER($G868)),"",ROUND(ABS($G868)*2*IF(AND($BE868&gt;0,ISNUMBER(INDEX(Instruments!$G$6:$G$205,MAX(1,$BE868)))),INDEX(Instruments!$G$6:$G$205,MAX(1,$BE868)),N(INDEX(Settings!$F$14:$F$18,$BF868))),6))))</f>
        <v/>
      </c>
      <c r="AK868" s="55" t="str">
        <f>IF($AM868=0,"",IF(ISNUMBER($O868),$O868,$AI868))</f>
        <v/>
      </c>
      <c r="AL868" s="55" t="str">
        <f>IF($AM868=0,"",IF(ISNUMBER($P868),$P868,N($AJ868)))</f>
        <v/>
      </c>
      <c r="AM868" s="56">
        <f>IF(AND($A868&lt;&gt;"",$E868&lt;&gt;"",OR(AND(ISNUMBER($G868),ISNUMBER($H868),ISNUMBER($K868)),ISNUMBER($O868))),1,0)</f>
        <v>0</v>
      </c>
      <c r="AN868" s="57" t="str">
        <f>IF($A868="","",$A868-WEEKDAY($A868,3))</f>
        <v/>
      </c>
      <c r="AO868" s="56" t="str">
        <f>IF($A868="","",WEEKDAY($A868,2))</f>
        <v/>
      </c>
      <c r="AP868" s="55" t="str">
        <f>IF(OR($AM868=0,$C868=""),"",IFERROR(N(INDEX(Accounts!$E$7:$E$16,MATCH($C868,Accounts!$B$7:$B$16,0))),0)+SUMIFS($Q$6:$Q868,$C$6:$C868,$C868))</f>
        <v/>
      </c>
      <c r="AQ868" s="55" t="str">
        <f>IF(OR($AM868=0,$C868=""),"",SUMIFS($Q$6:$Q$1005,$C$6:$C$1005,$C868,$A$6:$A$1005,$A868))</f>
        <v/>
      </c>
      <c r="AR868" s="55" t="str">
        <f>IF(OR($AM868=0,$C868=""),"",IFERROR(N(INDEX(Accounts!$E$7:$E$16,MATCH($C868,Accounts!$B$7:$B$16,0))),0)+SUMIFS($Q$6:$Q$1005,$C$6:$C$1005,$C868,$A$6:$A$1005,"&lt;="&amp;$A868))</f>
        <v/>
      </c>
      <c r="AS868" s="56">
        <f>IF(OR($AM868=0,$Q868=""),0,IF(AND($A868&gt;=Lists!$W$6,$A868&lt;=Lists!$W$7,OR(Dashboard!$D$6="All accounts",$C868=Dashboard!$D$6),OR(Dashboard!$D$7="All markets",$AF868=Dashboard!$D$7)),1,0))</f>
        <v>0</v>
      </c>
      <c r="AT868" s="55">
        <f>IF($AS868=1,N(AT867)+$Q868,N(AT867))</f>
        <v>1187.10688</v>
      </c>
      <c r="AU868" s="55">
        <f>MAX(N(AU867),$AT868)</f>
        <v>1187.10688</v>
      </c>
      <c r="AV868" s="55">
        <f>$AT868-$AU868</f>
        <v>0</v>
      </c>
      <c r="AW868" s="56">
        <f>IF($AS868=1,IF($S868="Win",N(AW867)+1,IF($S868="Loss",0,N(AW867))),N(AW867))</f>
        <v>5</v>
      </c>
      <c r="AX868" s="56">
        <f>IF($AS868=1,IF($S868="Loss",N(AX867)+1,IF($S868="Win",0,N(AX867))),N(AX867))</f>
        <v>0</v>
      </c>
      <c r="AY868" s="56" t="str">
        <f>IF($AS868=1,COUNTIF($AS$6:$AS868,1),"")</f>
        <v/>
      </c>
      <c r="AZ868" s="56">
        <f>MIN(862,N(Lists!$W$8))</f>
        <v>28</v>
      </c>
      <c r="BA868" s="56">
        <f>IF($AS868=1,IF(COUNTIFS($A$6:$A868,$A868,$AS$6:$AS868,1)=1,1,0),0)</f>
        <v>0</v>
      </c>
      <c r="BB868" s="55" t="str">
        <f>IF($BA868=1,SUMIFS($Q$6:$Q$1005,$A$6:$A$1005,$A868,$AS$6:$AS$1005,1),"")</f>
        <v/>
      </c>
      <c r="BC868" s="56">
        <f>IF(ISNUMBER($R868),1,0)</f>
        <v>0</v>
      </c>
      <c r="BD868" s="55" t="str">
        <f>IF(ISNUMBER($U868),$U868*$V868,"")</f>
        <v/>
      </c>
      <c r="BE868" s="56" t="str">
        <f>IF($AM868=0,"",IFERROR(MATCH($AF868&amp;"|"&amp;UPPER(TRIM($E868)),Lists!$A$6:$A$205,0),0))</f>
        <v/>
      </c>
      <c r="BF868" s="56" t="str">
        <f>IF($AM868=0,"",IFERROR(MATCH($AF868,Settings!$B$14:$B$18,0),IFERROR(MATCH(Settings!$C$6,Settings!$B$14:$B$18,0),1)))</f>
        <v/>
      </c>
      <c r="BG868" s="58" t="str">
        <f>IF($AM868=0,"",IF(NOT(ISNUMBER($I868)),"No stop; ","")&amp;IF(AND(ISNUMBER($H868),ISNUMBER($I868)),IF(OR(AND($F868&lt;&gt;"Short",$I868&gt;=$H868),AND($F868="Short",$I868&lt;=$H868)),"Stop on wrong side; ",""),"")&amp;IF($F868="","No direction; ","")&amp;IF(AND(ISNUMBER(Settings!$C$22),ISNUMBER($V868)),IF($V868&gt;Settings!$C$22,"Risk over max $; ",""),"")&amp;IF(AND(ISNUMBER(Settings!$C$23),ISNUMBER($V868),ISNUMBER($AP868),IFERROR(N(INDEX(Accounts!$E$7:$E$16,MATCH($C868,Accounts!$B$7:$B$16,0))),0)&gt;0),IF($V868&gt;Settings!$C$23*($AP868-N($Q868)),"Risk over max %; ",""),"")&amp;IF(AND(ISNUMBER(Settings!$C$24),ISNUMBER($N868)),IF($N868&gt;Settings!$C$24,"Leverage over max; ",""),"")&amp;IF(AND(ISNUMBER(Settings!$C$27),ISNUMBER($T868)),IF($T868&lt;Settings!$C$27,"R:R below min; ",""),"")&amp;IF(ISNUMBER(Settings!$C$25),IF(COUNTIFS($A$6:$A868,$A868,$AM$6:$AM868,1)&gt;Settings!$C$25,"Over max trades/day; ",""),"")&amp;IF(ISNUMBER(Settings!$C$26),IF(SUMIFS($Q$5:$Q867,$A$5:$A867,$A868)&lt;=-Settings!$C$26,"Traded after daily max loss; ",""),"")&amp;IF(AND($AG868="",NOT(ISNUMBER($O868))),"Symbol not in Instruments; ","")&amp;IF(AND($AH868="",NOT(ISNUMBER($O868))),"Forex cross: type Gross P&amp;L; ",""))</f>
        <v/>
      </c>
      <c r="BH868" s="56">
        <f>IF(ISNUMBER($Q868),1,0)</f>
        <v>0</v>
      </c>
      <c r="BI868" s="56">
        <f>IF($Y868="",0,1)</f>
        <v>0</v>
      </c>
      <c r="BJ868" s="56">
        <f>IF($AB868="",0,1)</f>
        <v>0</v>
      </c>
      <c r="BK868" s="56">
        <f>IF(AND($BH868=1,$W868&lt;&gt;"OK"),1,0)</f>
        <v>0</v>
      </c>
      <c r="BL868" s="55">
        <f>IF(N($AZ868)=0,0,IFERROR(INDEX($AT$6:$AT$1005,MATCH($AZ868,$AY$6:$AY$1005,0)),0))</f>
        <v>1187.10688</v>
      </c>
      <c r="BM868" s="56">
        <f>IF(ISNUMBER(SEARCH("daily max loss",$BG868)),1,0)</f>
        <v>0</v>
      </c>
    </row>
    <row r="869" ht="18" customHeight="1">
      <c r="A869" s="38" t="n"/>
      <c r="B869" s="39" t="n"/>
      <c r="C869" s="40" t="n"/>
      <c r="D869" s="41" t="n"/>
      <c r="E869" s="41" t="n"/>
      <c r="F869" s="41" t="n"/>
      <c r="G869" s="41" t="n"/>
      <c r="H869" s="42" t="n"/>
      <c r="I869" s="42" t="n"/>
      <c r="J869" s="42" t="n"/>
      <c r="K869" s="42" t="n"/>
      <c r="L869" s="41" t="n"/>
      <c r="M869" s="41" t="n"/>
      <c r="N869" s="41" t="n"/>
      <c r="O869" s="43" t="n"/>
      <c r="P869" s="43" t="n"/>
      <c r="Q869" s="44" t="str">
        <f>IF($AM869=0,"",IF(ISNUMBER($AK869),$AK869-N($AL869),""))</f>
        <v/>
      </c>
      <c r="R869" s="45" t="str">
        <f>IF(OR($Q869="",NOT(ISNUMBER($V869))),"",$AK869/$V869)</f>
        <v/>
      </c>
      <c r="S869" s="46" t="str">
        <f>IF($Q869="","",IF(AND(ISNUMBER($R869),ABS(N($R869))&lt;N(Settings!$C$8)),"Scratch",IF($Q869&gt;0,"Win",IF($Q869&lt;0,"Loss","Scratch"))))</f>
        <v/>
      </c>
      <c r="T869" s="47" t="str">
        <f>IF(OR($AM869=0,NOT(ISNUMBER($H869)),NOT(ISNUMBER($I869)),NOT(ISNUMBER($J869))),"",IF($H869=$I869,"",ROUND(ABS($J869-$H869)/ABS($H869-$I869),6)))</f>
        <v/>
      </c>
      <c r="U869" s="48" t="str">
        <f>IF(OR($S869&lt;&gt;"Win",NOT(ISNUMBER($T869)),NOT(ISNUMBER($R869))),"",MAX(0,$T869-$R869))</f>
        <v/>
      </c>
      <c r="V869" s="49" t="str">
        <f>IF(OR($AM869=0,NOT(ISNUMBER($H869)),NOT(ISNUMBER($I869)),NOT(ISNUMBER($G869))),"",IF(OR($AG869="",$AH869=""),"",IF(ROUND(ABS($H869-$I869)*ABS($G869)*$AG869*$AH869,6)=0,"",ROUND(ABS($H869-$I869)*ABS($G869)*$AG869*$AH869,6))))</f>
        <v/>
      </c>
      <c r="W869" s="50" t="str">
        <f>IF($AM869=0,"",IF($BG869="","OK",LEFT($BG869,LEN($BG869)-2)))</f>
        <v/>
      </c>
      <c r="X869" s="41" t="n"/>
      <c r="Y869" s="40" t="n"/>
      <c r="Z869" s="41" t="n"/>
      <c r="AA869" s="41" t="n"/>
      <c r="AB869" s="40" t="n"/>
      <c r="AC869" s="51" t="n"/>
      <c r="AD869" s="51" t="n"/>
      <c r="AE869" s="40" t="n"/>
      <c r="AF869" s="52" t="str">
        <f>IF($AM869=0,"",IF($D869&lt;&gt;"",$D869,IF(IFERROR(INDEX(Accounts!$C$7:$C$16,MATCH($C869,Accounts!$B$7:$B$16,0))&amp;"","")&lt;&gt;"",INDEX(Accounts!$C$7:$C$16,MATCH($C869,Accounts!$B$7:$B$16,0)),Settings!$C$6)))</f>
        <v/>
      </c>
      <c r="AG869" s="53" t="str">
        <f>IF($AM869=0,"",IF(AND($BE869&gt;0,N(INDEX(Instruments!$D$6:$D$205,MAX(1,$BE869)))&gt;0),INDEX(Instruments!$D$6:$D$205,MAX(1,$BE869)),IF(N(INDEX(Settings!$D$14:$D$18,$BF869))&gt;0,INDEX(Settings!$D$14:$D$18,$BF869),"")))</f>
        <v/>
      </c>
      <c r="AH869" s="54" t="str">
        <f>IF($AM869=0,"",IF($AF869&lt;&gt;"Forex",1,IF(MID(UPPER(SUBSTITUTE(TRIM($E869),"/","")),4,3)=UPPER(TRIM(Settings!$C$7)),1,IF(LEFT(UPPER(SUBSTITUTE(TRIM($E869),"/","")),3)=UPPER(TRIM(Settings!$C$7)),IF(AND(ISNUMBER($K869),N($K869)&lt;&gt;0),1/$K869,""),""))))</f>
        <v/>
      </c>
      <c r="AI869" s="55" t="str">
        <f>IF($AM869=0,"",IF(OR(NOT(ISNUMBER($H869)),NOT(ISNUMBER($K869)),NOT(ISNUMBER($G869)),$AG869="",$AH869=""),"",ROUND(($K869-$H869)*IF($F869="Short",-1,1)*$G869*$AG869*$AH869,6)))</f>
        <v/>
      </c>
      <c r="AJ869" s="55" t="str">
        <f>IF($AM869=0,"",IF(INDEX(Settings!$E$14:$E$18,$BF869)="% of notional",IF(OR($AG869="",NOT(ISNUMBER($H869)),NOT(ISNUMBER($G869))),"",ROUND(ABS($H869*$G869*$AG869*N($AH869))*IF($L869="Limit",N(INDEX(Settings!$G$14:$G$18,$BF869)),N(INDEX(Settings!$H$14:$H$18,$BF869)))+IF(ISNUMBER($K869),ABS($K869*$G869*$AG869*N($AH869))*IF($M869="Target",N(INDEX(Settings!$G$14:$G$18,$BF869)),N(INDEX(Settings!$H$14:$H$18,$BF869))),0),6)),IF(NOT(ISNUMBER($G869)),"",ROUND(ABS($G869)*2*IF(AND($BE869&gt;0,ISNUMBER(INDEX(Instruments!$G$6:$G$205,MAX(1,$BE869)))),INDEX(Instruments!$G$6:$G$205,MAX(1,$BE869)),N(INDEX(Settings!$F$14:$F$18,$BF869))),6))))</f>
        <v/>
      </c>
      <c r="AK869" s="55" t="str">
        <f>IF($AM869=0,"",IF(ISNUMBER($O869),$O869,$AI869))</f>
        <v/>
      </c>
      <c r="AL869" s="55" t="str">
        <f>IF($AM869=0,"",IF(ISNUMBER($P869),$P869,N($AJ869)))</f>
        <v/>
      </c>
      <c r="AM869" s="56">
        <f>IF(AND($A869&lt;&gt;"",$E869&lt;&gt;"",OR(AND(ISNUMBER($G869),ISNUMBER($H869),ISNUMBER($K869)),ISNUMBER($O869))),1,0)</f>
        <v>0</v>
      </c>
      <c r="AN869" s="57" t="str">
        <f>IF($A869="","",$A869-WEEKDAY($A869,3))</f>
        <v/>
      </c>
      <c r="AO869" s="56" t="str">
        <f>IF($A869="","",WEEKDAY($A869,2))</f>
        <v/>
      </c>
      <c r="AP869" s="55" t="str">
        <f>IF(OR($AM869=0,$C869=""),"",IFERROR(N(INDEX(Accounts!$E$7:$E$16,MATCH($C869,Accounts!$B$7:$B$16,0))),0)+SUMIFS($Q$6:$Q869,$C$6:$C869,$C869))</f>
        <v/>
      </c>
      <c r="AQ869" s="55" t="str">
        <f>IF(OR($AM869=0,$C869=""),"",SUMIFS($Q$6:$Q$1005,$C$6:$C$1005,$C869,$A$6:$A$1005,$A869))</f>
        <v/>
      </c>
      <c r="AR869" s="55" t="str">
        <f>IF(OR($AM869=0,$C869=""),"",IFERROR(N(INDEX(Accounts!$E$7:$E$16,MATCH($C869,Accounts!$B$7:$B$16,0))),0)+SUMIFS($Q$6:$Q$1005,$C$6:$C$1005,$C869,$A$6:$A$1005,"&lt;="&amp;$A869))</f>
        <v/>
      </c>
      <c r="AS869" s="56">
        <f>IF(OR($AM869=0,$Q869=""),0,IF(AND($A869&gt;=Lists!$W$6,$A869&lt;=Lists!$W$7,OR(Dashboard!$D$6="All accounts",$C869=Dashboard!$D$6),OR(Dashboard!$D$7="All markets",$AF869=Dashboard!$D$7)),1,0))</f>
        <v>0</v>
      </c>
      <c r="AT869" s="55">
        <f>IF($AS869=1,N(AT868)+$Q869,N(AT868))</f>
        <v>1187.10688</v>
      </c>
      <c r="AU869" s="55">
        <f>MAX(N(AU868),$AT869)</f>
        <v>1187.10688</v>
      </c>
      <c r="AV869" s="55">
        <f>$AT869-$AU869</f>
        <v>0</v>
      </c>
      <c r="AW869" s="56">
        <f>IF($AS869=1,IF($S869="Win",N(AW868)+1,IF($S869="Loss",0,N(AW868))),N(AW868))</f>
        <v>5</v>
      </c>
      <c r="AX869" s="56">
        <f>IF($AS869=1,IF($S869="Loss",N(AX868)+1,IF($S869="Win",0,N(AX868))),N(AX868))</f>
        <v>0</v>
      </c>
      <c r="AY869" s="56" t="str">
        <f>IF($AS869=1,COUNTIF($AS$6:$AS869,1),"")</f>
        <v/>
      </c>
      <c r="AZ869" s="56">
        <f>MIN(863,N(Lists!$W$8))</f>
        <v>28</v>
      </c>
      <c r="BA869" s="56">
        <f>IF($AS869=1,IF(COUNTIFS($A$6:$A869,$A869,$AS$6:$AS869,1)=1,1,0),0)</f>
        <v>0</v>
      </c>
      <c r="BB869" s="55" t="str">
        <f>IF($BA869=1,SUMIFS($Q$6:$Q$1005,$A$6:$A$1005,$A869,$AS$6:$AS$1005,1),"")</f>
        <v/>
      </c>
      <c r="BC869" s="56">
        <f>IF(ISNUMBER($R869),1,0)</f>
        <v>0</v>
      </c>
      <c r="BD869" s="55" t="str">
        <f>IF(ISNUMBER($U869),$U869*$V869,"")</f>
        <v/>
      </c>
      <c r="BE869" s="56" t="str">
        <f>IF($AM869=0,"",IFERROR(MATCH($AF869&amp;"|"&amp;UPPER(TRIM($E869)),Lists!$A$6:$A$205,0),0))</f>
        <v/>
      </c>
      <c r="BF869" s="56" t="str">
        <f>IF($AM869=0,"",IFERROR(MATCH($AF869,Settings!$B$14:$B$18,0),IFERROR(MATCH(Settings!$C$6,Settings!$B$14:$B$18,0),1)))</f>
        <v/>
      </c>
      <c r="BG869" s="58" t="str">
        <f>IF($AM869=0,"",IF(NOT(ISNUMBER($I869)),"No stop; ","")&amp;IF(AND(ISNUMBER($H869),ISNUMBER($I869)),IF(OR(AND($F869&lt;&gt;"Short",$I869&gt;=$H869),AND($F869="Short",$I869&lt;=$H869)),"Stop on wrong side; ",""),"")&amp;IF($F869="","No direction; ","")&amp;IF(AND(ISNUMBER(Settings!$C$22),ISNUMBER($V869)),IF($V869&gt;Settings!$C$22,"Risk over max $; ",""),"")&amp;IF(AND(ISNUMBER(Settings!$C$23),ISNUMBER($V869),ISNUMBER($AP869),IFERROR(N(INDEX(Accounts!$E$7:$E$16,MATCH($C869,Accounts!$B$7:$B$16,0))),0)&gt;0),IF($V869&gt;Settings!$C$23*($AP869-N($Q869)),"Risk over max %; ",""),"")&amp;IF(AND(ISNUMBER(Settings!$C$24),ISNUMBER($N869)),IF($N869&gt;Settings!$C$24,"Leverage over max; ",""),"")&amp;IF(AND(ISNUMBER(Settings!$C$27),ISNUMBER($T869)),IF($T869&lt;Settings!$C$27,"R:R below min; ",""),"")&amp;IF(ISNUMBER(Settings!$C$25),IF(COUNTIFS($A$6:$A869,$A869,$AM$6:$AM869,1)&gt;Settings!$C$25,"Over max trades/day; ",""),"")&amp;IF(ISNUMBER(Settings!$C$26),IF(SUMIFS($Q$5:$Q868,$A$5:$A868,$A869)&lt;=-Settings!$C$26,"Traded after daily max loss; ",""),"")&amp;IF(AND($AG869="",NOT(ISNUMBER($O869))),"Symbol not in Instruments; ","")&amp;IF(AND($AH869="",NOT(ISNUMBER($O869))),"Forex cross: type Gross P&amp;L; ",""))</f>
        <v/>
      </c>
      <c r="BH869" s="56">
        <f>IF(ISNUMBER($Q869),1,0)</f>
        <v>0</v>
      </c>
      <c r="BI869" s="56">
        <f>IF($Y869="",0,1)</f>
        <v>0</v>
      </c>
      <c r="BJ869" s="56">
        <f>IF($AB869="",0,1)</f>
        <v>0</v>
      </c>
      <c r="BK869" s="56">
        <f>IF(AND($BH869=1,$W869&lt;&gt;"OK"),1,0)</f>
        <v>0</v>
      </c>
      <c r="BL869" s="55">
        <f>IF(N($AZ869)=0,0,IFERROR(INDEX($AT$6:$AT$1005,MATCH($AZ869,$AY$6:$AY$1005,0)),0))</f>
        <v>1187.10688</v>
      </c>
      <c r="BM869" s="56">
        <f>IF(ISNUMBER(SEARCH("daily max loss",$BG869)),1,0)</f>
        <v>0</v>
      </c>
    </row>
    <row r="870" ht="18" customHeight="1">
      <c r="A870" s="38" t="n"/>
      <c r="B870" s="39" t="n"/>
      <c r="C870" s="40" t="n"/>
      <c r="D870" s="41" t="n"/>
      <c r="E870" s="41" t="n"/>
      <c r="F870" s="41" t="n"/>
      <c r="G870" s="41" t="n"/>
      <c r="H870" s="42" t="n"/>
      <c r="I870" s="42" t="n"/>
      <c r="J870" s="42" t="n"/>
      <c r="K870" s="42" t="n"/>
      <c r="L870" s="41" t="n"/>
      <c r="M870" s="41" t="n"/>
      <c r="N870" s="41" t="n"/>
      <c r="O870" s="43" t="n"/>
      <c r="P870" s="43" t="n"/>
      <c r="Q870" s="44" t="str">
        <f>IF($AM870=0,"",IF(ISNUMBER($AK870),$AK870-N($AL870),""))</f>
        <v/>
      </c>
      <c r="R870" s="45" t="str">
        <f>IF(OR($Q870="",NOT(ISNUMBER($V870))),"",$AK870/$V870)</f>
        <v/>
      </c>
      <c r="S870" s="46" t="str">
        <f>IF($Q870="","",IF(AND(ISNUMBER($R870),ABS(N($R870))&lt;N(Settings!$C$8)),"Scratch",IF($Q870&gt;0,"Win",IF($Q870&lt;0,"Loss","Scratch"))))</f>
        <v/>
      </c>
      <c r="T870" s="47" t="str">
        <f>IF(OR($AM870=0,NOT(ISNUMBER($H870)),NOT(ISNUMBER($I870)),NOT(ISNUMBER($J870))),"",IF($H870=$I870,"",ROUND(ABS($J870-$H870)/ABS($H870-$I870),6)))</f>
        <v/>
      </c>
      <c r="U870" s="48" t="str">
        <f>IF(OR($S870&lt;&gt;"Win",NOT(ISNUMBER($T870)),NOT(ISNUMBER($R870))),"",MAX(0,$T870-$R870))</f>
        <v/>
      </c>
      <c r="V870" s="49" t="str">
        <f>IF(OR($AM870=0,NOT(ISNUMBER($H870)),NOT(ISNUMBER($I870)),NOT(ISNUMBER($G870))),"",IF(OR($AG870="",$AH870=""),"",IF(ROUND(ABS($H870-$I870)*ABS($G870)*$AG870*$AH870,6)=0,"",ROUND(ABS($H870-$I870)*ABS($G870)*$AG870*$AH870,6))))</f>
        <v/>
      </c>
      <c r="W870" s="50" t="str">
        <f>IF($AM870=0,"",IF($BG870="","OK",LEFT($BG870,LEN($BG870)-2)))</f>
        <v/>
      </c>
      <c r="X870" s="41" t="n"/>
      <c r="Y870" s="40" t="n"/>
      <c r="Z870" s="41" t="n"/>
      <c r="AA870" s="41" t="n"/>
      <c r="AB870" s="40" t="n"/>
      <c r="AC870" s="51" t="n"/>
      <c r="AD870" s="51" t="n"/>
      <c r="AE870" s="40" t="n"/>
      <c r="AF870" s="52" t="str">
        <f>IF($AM870=0,"",IF($D870&lt;&gt;"",$D870,IF(IFERROR(INDEX(Accounts!$C$7:$C$16,MATCH($C870,Accounts!$B$7:$B$16,0))&amp;"","")&lt;&gt;"",INDEX(Accounts!$C$7:$C$16,MATCH($C870,Accounts!$B$7:$B$16,0)),Settings!$C$6)))</f>
        <v/>
      </c>
      <c r="AG870" s="53" t="str">
        <f>IF($AM870=0,"",IF(AND($BE870&gt;0,N(INDEX(Instruments!$D$6:$D$205,MAX(1,$BE870)))&gt;0),INDEX(Instruments!$D$6:$D$205,MAX(1,$BE870)),IF(N(INDEX(Settings!$D$14:$D$18,$BF870))&gt;0,INDEX(Settings!$D$14:$D$18,$BF870),"")))</f>
        <v/>
      </c>
      <c r="AH870" s="54" t="str">
        <f>IF($AM870=0,"",IF($AF870&lt;&gt;"Forex",1,IF(MID(UPPER(SUBSTITUTE(TRIM($E870),"/","")),4,3)=UPPER(TRIM(Settings!$C$7)),1,IF(LEFT(UPPER(SUBSTITUTE(TRIM($E870),"/","")),3)=UPPER(TRIM(Settings!$C$7)),IF(AND(ISNUMBER($K870),N($K870)&lt;&gt;0),1/$K870,""),""))))</f>
        <v/>
      </c>
      <c r="AI870" s="55" t="str">
        <f>IF($AM870=0,"",IF(OR(NOT(ISNUMBER($H870)),NOT(ISNUMBER($K870)),NOT(ISNUMBER($G870)),$AG870="",$AH870=""),"",ROUND(($K870-$H870)*IF($F870="Short",-1,1)*$G870*$AG870*$AH870,6)))</f>
        <v/>
      </c>
      <c r="AJ870" s="55" t="str">
        <f>IF($AM870=0,"",IF(INDEX(Settings!$E$14:$E$18,$BF870)="% of notional",IF(OR($AG870="",NOT(ISNUMBER($H870)),NOT(ISNUMBER($G870))),"",ROUND(ABS($H870*$G870*$AG870*N($AH870))*IF($L870="Limit",N(INDEX(Settings!$G$14:$G$18,$BF870)),N(INDEX(Settings!$H$14:$H$18,$BF870)))+IF(ISNUMBER($K870),ABS($K870*$G870*$AG870*N($AH870))*IF($M870="Target",N(INDEX(Settings!$G$14:$G$18,$BF870)),N(INDEX(Settings!$H$14:$H$18,$BF870))),0),6)),IF(NOT(ISNUMBER($G870)),"",ROUND(ABS($G870)*2*IF(AND($BE870&gt;0,ISNUMBER(INDEX(Instruments!$G$6:$G$205,MAX(1,$BE870)))),INDEX(Instruments!$G$6:$G$205,MAX(1,$BE870)),N(INDEX(Settings!$F$14:$F$18,$BF870))),6))))</f>
        <v/>
      </c>
      <c r="AK870" s="55" t="str">
        <f>IF($AM870=0,"",IF(ISNUMBER($O870),$O870,$AI870))</f>
        <v/>
      </c>
      <c r="AL870" s="55" t="str">
        <f>IF($AM870=0,"",IF(ISNUMBER($P870),$P870,N($AJ870)))</f>
        <v/>
      </c>
      <c r="AM870" s="56">
        <f>IF(AND($A870&lt;&gt;"",$E870&lt;&gt;"",OR(AND(ISNUMBER($G870),ISNUMBER($H870),ISNUMBER($K870)),ISNUMBER($O870))),1,0)</f>
        <v>0</v>
      </c>
      <c r="AN870" s="57" t="str">
        <f>IF($A870="","",$A870-WEEKDAY($A870,3))</f>
        <v/>
      </c>
      <c r="AO870" s="56" t="str">
        <f>IF($A870="","",WEEKDAY($A870,2))</f>
        <v/>
      </c>
      <c r="AP870" s="55" t="str">
        <f>IF(OR($AM870=0,$C870=""),"",IFERROR(N(INDEX(Accounts!$E$7:$E$16,MATCH($C870,Accounts!$B$7:$B$16,0))),0)+SUMIFS($Q$6:$Q870,$C$6:$C870,$C870))</f>
        <v/>
      </c>
      <c r="AQ870" s="55" t="str">
        <f>IF(OR($AM870=0,$C870=""),"",SUMIFS($Q$6:$Q$1005,$C$6:$C$1005,$C870,$A$6:$A$1005,$A870))</f>
        <v/>
      </c>
      <c r="AR870" s="55" t="str">
        <f>IF(OR($AM870=0,$C870=""),"",IFERROR(N(INDEX(Accounts!$E$7:$E$16,MATCH($C870,Accounts!$B$7:$B$16,0))),0)+SUMIFS($Q$6:$Q$1005,$C$6:$C$1005,$C870,$A$6:$A$1005,"&lt;="&amp;$A870))</f>
        <v/>
      </c>
      <c r="AS870" s="56">
        <f>IF(OR($AM870=0,$Q870=""),0,IF(AND($A870&gt;=Lists!$W$6,$A870&lt;=Lists!$W$7,OR(Dashboard!$D$6="All accounts",$C870=Dashboard!$D$6),OR(Dashboard!$D$7="All markets",$AF870=Dashboard!$D$7)),1,0))</f>
        <v>0</v>
      </c>
      <c r="AT870" s="55">
        <f>IF($AS870=1,N(AT869)+$Q870,N(AT869))</f>
        <v>1187.10688</v>
      </c>
      <c r="AU870" s="55">
        <f>MAX(N(AU869),$AT870)</f>
        <v>1187.10688</v>
      </c>
      <c r="AV870" s="55">
        <f>$AT870-$AU870</f>
        <v>0</v>
      </c>
      <c r="AW870" s="56">
        <f>IF($AS870=1,IF($S870="Win",N(AW869)+1,IF($S870="Loss",0,N(AW869))),N(AW869))</f>
        <v>5</v>
      </c>
      <c r="AX870" s="56">
        <f>IF($AS870=1,IF($S870="Loss",N(AX869)+1,IF($S870="Win",0,N(AX869))),N(AX869))</f>
        <v>0</v>
      </c>
      <c r="AY870" s="56" t="str">
        <f>IF($AS870=1,COUNTIF($AS$6:$AS870,1),"")</f>
        <v/>
      </c>
      <c r="AZ870" s="56">
        <f>MIN(864,N(Lists!$W$8))</f>
        <v>28</v>
      </c>
      <c r="BA870" s="56">
        <f>IF($AS870=1,IF(COUNTIFS($A$6:$A870,$A870,$AS$6:$AS870,1)=1,1,0),0)</f>
        <v>0</v>
      </c>
      <c r="BB870" s="55" t="str">
        <f>IF($BA870=1,SUMIFS($Q$6:$Q$1005,$A$6:$A$1005,$A870,$AS$6:$AS$1005,1),"")</f>
        <v/>
      </c>
      <c r="BC870" s="56">
        <f>IF(ISNUMBER($R870),1,0)</f>
        <v>0</v>
      </c>
      <c r="BD870" s="55" t="str">
        <f>IF(ISNUMBER($U870),$U870*$V870,"")</f>
        <v/>
      </c>
      <c r="BE870" s="56" t="str">
        <f>IF($AM870=0,"",IFERROR(MATCH($AF870&amp;"|"&amp;UPPER(TRIM($E870)),Lists!$A$6:$A$205,0),0))</f>
        <v/>
      </c>
      <c r="BF870" s="56" t="str">
        <f>IF($AM870=0,"",IFERROR(MATCH($AF870,Settings!$B$14:$B$18,0),IFERROR(MATCH(Settings!$C$6,Settings!$B$14:$B$18,0),1)))</f>
        <v/>
      </c>
      <c r="BG870" s="58" t="str">
        <f>IF($AM870=0,"",IF(NOT(ISNUMBER($I870)),"No stop; ","")&amp;IF(AND(ISNUMBER($H870),ISNUMBER($I870)),IF(OR(AND($F870&lt;&gt;"Short",$I870&gt;=$H870),AND($F870="Short",$I870&lt;=$H870)),"Stop on wrong side; ",""),"")&amp;IF($F870="","No direction; ","")&amp;IF(AND(ISNUMBER(Settings!$C$22),ISNUMBER($V870)),IF($V870&gt;Settings!$C$22,"Risk over max $; ",""),"")&amp;IF(AND(ISNUMBER(Settings!$C$23),ISNUMBER($V870),ISNUMBER($AP870),IFERROR(N(INDEX(Accounts!$E$7:$E$16,MATCH($C870,Accounts!$B$7:$B$16,0))),0)&gt;0),IF($V870&gt;Settings!$C$23*($AP870-N($Q870)),"Risk over max %; ",""),"")&amp;IF(AND(ISNUMBER(Settings!$C$24),ISNUMBER($N870)),IF($N870&gt;Settings!$C$24,"Leverage over max; ",""),"")&amp;IF(AND(ISNUMBER(Settings!$C$27),ISNUMBER($T870)),IF($T870&lt;Settings!$C$27,"R:R below min; ",""),"")&amp;IF(ISNUMBER(Settings!$C$25),IF(COUNTIFS($A$6:$A870,$A870,$AM$6:$AM870,1)&gt;Settings!$C$25,"Over max trades/day; ",""),"")&amp;IF(ISNUMBER(Settings!$C$26),IF(SUMIFS($Q$5:$Q869,$A$5:$A869,$A870)&lt;=-Settings!$C$26,"Traded after daily max loss; ",""),"")&amp;IF(AND($AG870="",NOT(ISNUMBER($O870))),"Symbol not in Instruments; ","")&amp;IF(AND($AH870="",NOT(ISNUMBER($O870))),"Forex cross: type Gross P&amp;L; ",""))</f>
        <v/>
      </c>
      <c r="BH870" s="56">
        <f>IF(ISNUMBER($Q870),1,0)</f>
        <v>0</v>
      </c>
      <c r="BI870" s="56">
        <f>IF($Y870="",0,1)</f>
        <v>0</v>
      </c>
      <c r="BJ870" s="56">
        <f>IF($AB870="",0,1)</f>
        <v>0</v>
      </c>
      <c r="BK870" s="56">
        <f>IF(AND($BH870=1,$W870&lt;&gt;"OK"),1,0)</f>
        <v>0</v>
      </c>
      <c r="BL870" s="55">
        <f>IF(N($AZ870)=0,0,IFERROR(INDEX($AT$6:$AT$1005,MATCH($AZ870,$AY$6:$AY$1005,0)),0))</f>
        <v>1187.10688</v>
      </c>
      <c r="BM870" s="56">
        <f>IF(ISNUMBER(SEARCH("daily max loss",$BG870)),1,0)</f>
        <v>0</v>
      </c>
    </row>
    <row r="871" ht="18" customHeight="1">
      <c r="A871" s="38" t="n"/>
      <c r="B871" s="39" t="n"/>
      <c r="C871" s="40" t="n"/>
      <c r="D871" s="41" t="n"/>
      <c r="E871" s="41" t="n"/>
      <c r="F871" s="41" t="n"/>
      <c r="G871" s="41" t="n"/>
      <c r="H871" s="42" t="n"/>
      <c r="I871" s="42" t="n"/>
      <c r="J871" s="42" t="n"/>
      <c r="K871" s="42" t="n"/>
      <c r="L871" s="41" t="n"/>
      <c r="M871" s="41" t="n"/>
      <c r="N871" s="41" t="n"/>
      <c r="O871" s="43" t="n"/>
      <c r="P871" s="43" t="n"/>
      <c r="Q871" s="44" t="str">
        <f>IF($AM871=0,"",IF(ISNUMBER($AK871),$AK871-N($AL871),""))</f>
        <v/>
      </c>
      <c r="R871" s="45" t="str">
        <f>IF(OR($Q871="",NOT(ISNUMBER($V871))),"",$AK871/$V871)</f>
        <v/>
      </c>
      <c r="S871" s="46" t="str">
        <f>IF($Q871="","",IF(AND(ISNUMBER($R871),ABS(N($R871))&lt;N(Settings!$C$8)),"Scratch",IF($Q871&gt;0,"Win",IF($Q871&lt;0,"Loss","Scratch"))))</f>
        <v/>
      </c>
      <c r="T871" s="47" t="str">
        <f>IF(OR($AM871=0,NOT(ISNUMBER($H871)),NOT(ISNUMBER($I871)),NOT(ISNUMBER($J871))),"",IF($H871=$I871,"",ROUND(ABS($J871-$H871)/ABS($H871-$I871),6)))</f>
        <v/>
      </c>
      <c r="U871" s="48" t="str">
        <f>IF(OR($S871&lt;&gt;"Win",NOT(ISNUMBER($T871)),NOT(ISNUMBER($R871))),"",MAX(0,$T871-$R871))</f>
        <v/>
      </c>
      <c r="V871" s="49" t="str">
        <f>IF(OR($AM871=0,NOT(ISNUMBER($H871)),NOT(ISNUMBER($I871)),NOT(ISNUMBER($G871))),"",IF(OR($AG871="",$AH871=""),"",IF(ROUND(ABS($H871-$I871)*ABS($G871)*$AG871*$AH871,6)=0,"",ROUND(ABS($H871-$I871)*ABS($G871)*$AG871*$AH871,6))))</f>
        <v/>
      </c>
      <c r="W871" s="50" t="str">
        <f>IF($AM871=0,"",IF($BG871="","OK",LEFT($BG871,LEN($BG871)-2)))</f>
        <v/>
      </c>
      <c r="X871" s="41" t="n"/>
      <c r="Y871" s="40" t="n"/>
      <c r="Z871" s="41" t="n"/>
      <c r="AA871" s="41" t="n"/>
      <c r="AB871" s="40" t="n"/>
      <c r="AC871" s="51" t="n"/>
      <c r="AD871" s="51" t="n"/>
      <c r="AE871" s="40" t="n"/>
      <c r="AF871" s="52" t="str">
        <f>IF($AM871=0,"",IF($D871&lt;&gt;"",$D871,IF(IFERROR(INDEX(Accounts!$C$7:$C$16,MATCH($C871,Accounts!$B$7:$B$16,0))&amp;"","")&lt;&gt;"",INDEX(Accounts!$C$7:$C$16,MATCH($C871,Accounts!$B$7:$B$16,0)),Settings!$C$6)))</f>
        <v/>
      </c>
      <c r="AG871" s="53" t="str">
        <f>IF($AM871=0,"",IF(AND($BE871&gt;0,N(INDEX(Instruments!$D$6:$D$205,MAX(1,$BE871)))&gt;0),INDEX(Instruments!$D$6:$D$205,MAX(1,$BE871)),IF(N(INDEX(Settings!$D$14:$D$18,$BF871))&gt;0,INDEX(Settings!$D$14:$D$18,$BF871),"")))</f>
        <v/>
      </c>
      <c r="AH871" s="54" t="str">
        <f>IF($AM871=0,"",IF($AF871&lt;&gt;"Forex",1,IF(MID(UPPER(SUBSTITUTE(TRIM($E871),"/","")),4,3)=UPPER(TRIM(Settings!$C$7)),1,IF(LEFT(UPPER(SUBSTITUTE(TRIM($E871),"/","")),3)=UPPER(TRIM(Settings!$C$7)),IF(AND(ISNUMBER($K871),N($K871)&lt;&gt;0),1/$K871,""),""))))</f>
        <v/>
      </c>
      <c r="AI871" s="55" t="str">
        <f>IF($AM871=0,"",IF(OR(NOT(ISNUMBER($H871)),NOT(ISNUMBER($K871)),NOT(ISNUMBER($G871)),$AG871="",$AH871=""),"",ROUND(($K871-$H871)*IF($F871="Short",-1,1)*$G871*$AG871*$AH871,6)))</f>
        <v/>
      </c>
      <c r="AJ871" s="55" t="str">
        <f>IF($AM871=0,"",IF(INDEX(Settings!$E$14:$E$18,$BF871)="% of notional",IF(OR($AG871="",NOT(ISNUMBER($H871)),NOT(ISNUMBER($G871))),"",ROUND(ABS($H871*$G871*$AG871*N($AH871))*IF($L871="Limit",N(INDEX(Settings!$G$14:$G$18,$BF871)),N(INDEX(Settings!$H$14:$H$18,$BF871)))+IF(ISNUMBER($K871),ABS($K871*$G871*$AG871*N($AH871))*IF($M871="Target",N(INDEX(Settings!$G$14:$G$18,$BF871)),N(INDEX(Settings!$H$14:$H$18,$BF871))),0),6)),IF(NOT(ISNUMBER($G871)),"",ROUND(ABS($G871)*2*IF(AND($BE871&gt;0,ISNUMBER(INDEX(Instruments!$G$6:$G$205,MAX(1,$BE871)))),INDEX(Instruments!$G$6:$G$205,MAX(1,$BE871)),N(INDEX(Settings!$F$14:$F$18,$BF871))),6))))</f>
        <v/>
      </c>
      <c r="AK871" s="55" t="str">
        <f>IF($AM871=0,"",IF(ISNUMBER($O871),$O871,$AI871))</f>
        <v/>
      </c>
      <c r="AL871" s="55" t="str">
        <f>IF($AM871=0,"",IF(ISNUMBER($P871),$P871,N($AJ871)))</f>
        <v/>
      </c>
      <c r="AM871" s="56">
        <f>IF(AND($A871&lt;&gt;"",$E871&lt;&gt;"",OR(AND(ISNUMBER($G871),ISNUMBER($H871),ISNUMBER($K871)),ISNUMBER($O871))),1,0)</f>
        <v>0</v>
      </c>
      <c r="AN871" s="57" t="str">
        <f>IF($A871="","",$A871-WEEKDAY($A871,3))</f>
        <v/>
      </c>
      <c r="AO871" s="56" t="str">
        <f>IF($A871="","",WEEKDAY($A871,2))</f>
        <v/>
      </c>
      <c r="AP871" s="55" t="str">
        <f>IF(OR($AM871=0,$C871=""),"",IFERROR(N(INDEX(Accounts!$E$7:$E$16,MATCH($C871,Accounts!$B$7:$B$16,0))),0)+SUMIFS($Q$6:$Q871,$C$6:$C871,$C871))</f>
        <v/>
      </c>
      <c r="AQ871" s="55" t="str">
        <f>IF(OR($AM871=0,$C871=""),"",SUMIFS($Q$6:$Q$1005,$C$6:$C$1005,$C871,$A$6:$A$1005,$A871))</f>
        <v/>
      </c>
      <c r="AR871" s="55" t="str">
        <f>IF(OR($AM871=0,$C871=""),"",IFERROR(N(INDEX(Accounts!$E$7:$E$16,MATCH($C871,Accounts!$B$7:$B$16,0))),0)+SUMIFS($Q$6:$Q$1005,$C$6:$C$1005,$C871,$A$6:$A$1005,"&lt;="&amp;$A871))</f>
        <v/>
      </c>
      <c r="AS871" s="56">
        <f>IF(OR($AM871=0,$Q871=""),0,IF(AND($A871&gt;=Lists!$W$6,$A871&lt;=Lists!$W$7,OR(Dashboard!$D$6="All accounts",$C871=Dashboard!$D$6),OR(Dashboard!$D$7="All markets",$AF871=Dashboard!$D$7)),1,0))</f>
        <v>0</v>
      </c>
      <c r="AT871" s="55">
        <f>IF($AS871=1,N(AT870)+$Q871,N(AT870))</f>
        <v>1187.10688</v>
      </c>
      <c r="AU871" s="55">
        <f>MAX(N(AU870),$AT871)</f>
        <v>1187.10688</v>
      </c>
      <c r="AV871" s="55">
        <f>$AT871-$AU871</f>
        <v>0</v>
      </c>
      <c r="AW871" s="56">
        <f>IF($AS871=1,IF($S871="Win",N(AW870)+1,IF($S871="Loss",0,N(AW870))),N(AW870))</f>
        <v>5</v>
      </c>
      <c r="AX871" s="56">
        <f>IF($AS871=1,IF($S871="Loss",N(AX870)+1,IF($S871="Win",0,N(AX870))),N(AX870))</f>
        <v>0</v>
      </c>
      <c r="AY871" s="56" t="str">
        <f>IF($AS871=1,COUNTIF($AS$6:$AS871,1),"")</f>
        <v/>
      </c>
      <c r="AZ871" s="56">
        <f>MIN(865,N(Lists!$W$8))</f>
        <v>28</v>
      </c>
      <c r="BA871" s="56">
        <f>IF($AS871=1,IF(COUNTIFS($A$6:$A871,$A871,$AS$6:$AS871,1)=1,1,0),0)</f>
        <v>0</v>
      </c>
      <c r="BB871" s="55" t="str">
        <f>IF($BA871=1,SUMIFS($Q$6:$Q$1005,$A$6:$A$1005,$A871,$AS$6:$AS$1005,1),"")</f>
        <v/>
      </c>
      <c r="BC871" s="56">
        <f>IF(ISNUMBER($R871),1,0)</f>
        <v>0</v>
      </c>
      <c r="BD871" s="55" t="str">
        <f>IF(ISNUMBER($U871),$U871*$V871,"")</f>
        <v/>
      </c>
      <c r="BE871" s="56" t="str">
        <f>IF($AM871=0,"",IFERROR(MATCH($AF871&amp;"|"&amp;UPPER(TRIM($E871)),Lists!$A$6:$A$205,0),0))</f>
        <v/>
      </c>
      <c r="BF871" s="56" t="str">
        <f>IF($AM871=0,"",IFERROR(MATCH($AF871,Settings!$B$14:$B$18,0),IFERROR(MATCH(Settings!$C$6,Settings!$B$14:$B$18,0),1)))</f>
        <v/>
      </c>
      <c r="BG871" s="58" t="str">
        <f>IF($AM871=0,"",IF(NOT(ISNUMBER($I871)),"No stop; ","")&amp;IF(AND(ISNUMBER($H871),ISNUMBER($I871)),IF(OR(AND($F871&lt;&gt;"Short",$I871&gt;=$H871),AND($F871="Short",$I871&lt;=$H871)),"Stop on wrong side; ",""),"")&amp;IF($F871="","No direction; ","")&amp;IF(AND(ISNUMBER(Settings!$C$22),ISNUMBER($V871)),IF($V871&gt;Settings!$C$22,"Risk over max $; ",""),"")&amp;IF(AND(ISNUMBER(Settings!$C$23),ISNUMBER($V871),ISNUMBER($AP871),IFERROR(N(INDEX(Accounts!$E$7:$E$16,MATCH($C871,Accounts!$B$7:$B$16,0))),0)&gt;0),IF($V871&gt;Settings!$C$23*($AP871-N($Q871)),"Risk over max %; ",""),"")&amp;IF(AND(ISNUMBER(Settings!$C$24),ISNUMBER($N871)),IF($N871&gt;Settings!$C$24,"Leverage over max; ",""),"")&amp;IF(AND(ISNUMBER(Settings!$C$27),ISNUMBER($T871)),IF($T871&lt;Settings!$C$27,"R:R below min; ",""),"")&amp;IF(ISNUMBER(Settings!$C$25),IF(COUNTIFS($A$6:$A871,$A871,$AM$6:$AM871,1)&gt;Settings!$C$25,"Over max trades/day; ",""),"")&amp;IF(ISNUMBER(Settings!$C$26),IF(SUMIFS($Q$5:$Q870,$A$5:$A870,$A871)&lt;=-Settings!$C$26,"Traded after daily max loss; ",""),"")&amp;IF(AND($AG871="",NOT(ISNUMBER($O871))),"Symbol not in Instruments; ","")&amp;IF(AND($AH871="",NOT(ISNUMBER($O871))),"Forex cross: type Gross P&amp;L; ",""))</f>
        <v/>
      </c>
      <c r="BH871" s="56">
        <f>IF(ISNUMBER($Q871),1,0)</f>
        <v>0</v>
      </c>
      <c r="BI871" s="56">
        <f>IF($Y871="",0,1)</f>
        <v>0</v>
      </c>
      <c r="BJ871" s="56">
        <f>IF($AB871="",0,1)</f>
        <v>0</v>
      </c>
      <c r="BK871" s="56">
        <f>IF(AND($BH871=1,$W871&lt;&gt;"OK"),1,0)</f>
        <v>0</v>
      </c>
      <c r="BL871" s="55">
        <f>IF(N($AZ871)=0,0,IFERROR(INDEX($AT$6:$AT$1005,MATCH($AZ871,$AY$6:$AY$1005,0)),0))</f>
        <v>1187.10688</v>
      </c>
      <c r="BM871" s="56">
        <f>IF(ISNUMBER(SEARCH("daily max loss",$BG871)),1,0)</f>
        <v>0</v>
      </c>
    </row>
    <row r="872" ht="18" customHeight="1">
      <c r="A872" s="38" t="n"/>
      <c r="B872" s="39" t="n"/>
      <c r="C872" s="40" t="n"/>
      <c r="D872" s="41" t="n"/>
      <c r="E872" s="41" t="n"/>
      <c r="F872" s="41" t="n"/>
      <c r="G872" s="41" t="n"/>
      <c r="H872" s="42" t="n"/>
      <c r="I872" s="42" t="n"/>
      <c r="J872" s="42" t="n"/>
      <c r="K872" s="42" t="n"/>
      <c r="L872" s="41" t="n"/>
      <c r="M872" s="41" t="n"/>
      <c r="N872" s="41" t="n"/>
      <c r="O872" s="43" t="n"/>
      <c r="P872" s="43" t="n"/>
      <c r="Q872" s="44" t="str">
        <f>IF($AM872=0,"",IF(ISNUMBER($AK872),$AK872-N($AL872),""))</f>
        <v/>
      </c>
      <c r="R872" s="45" t="str">
        <f>IF(OR($Q872="",NOT(ISNUMBER($V872))),"",$AK872/$V872)</f>
        <v/>
      </c>
      <c r="S872" s="46" t="str">
        <f>IF($Q872="","",IF(AND(ISNUMBER($R872),ABS(N($R872))&lt;N(Settings!$C$8)),"Scratch",IF($Q872&gt;0,"Win",IF($Q872&lt;0,"Loss","Scratch"))))</f>
        <v/>
      </c>
      <c r="T872" s="47" t="str">
        <f>IF(OR($AM872=0,NOT(ISNUMBER($H872)),NOT(ISNUMBER($I872)),NOT(ISNUMBER($J872))),"",IF($H872=$I872,"",ROUND(ABS($J872-$H872)/ABS($H872-$I872),6)))</f>
        <v/>
      </c>
      <c r="U872" s="48" t="str">
        <f>IF(OR($S872&lt;&gt;"Win",NOT(ISNUMBER($T872)),NOT(ISNUMBER($R872))),"",MAX(0,$T872-$R872))</f>
        <v/>
      </c>
      <c r="V872" s="49" t="str">
        <f>IF(OR($AM872=0,NOT(ISNUMBER($H872)),NOT(ISNUMBER($I872)),NOT(ISNUMBER($G872))),"",IF(OR($AG872="",$AH872=""),"",IF(ROUND(ABS($H872-$I872)*ABS($G872)*$AG872*$AH872,6)=0,"",ROUND(ABS($H872-$I872)*ABS($G872)*$AG872*$AH872,6))))</f>
        <v/>
      </c>
      <c r="W872" s="50" t="str">
        <f>IF($AM872=0,"",IF($BG872="","OK",LEFT($BG872,LEN($BG872)-2)))</f>
        <v/>
      </c>
      <c r="X872" s="41" t="n"/>
      <c r="Y872" s="40" t="n"/>
      <c r="Z872" s="41" t="n"/>
      <c r="AA872" s="41" t="n"/>
      <c r="AB872" s="40" t="n"/>
      <c r="AC872" s="51" t="n"/>
      <c r="AD872" s="51" t="n"/>
      <c r="AE872" s="40" t="n"/>
      <c r="AF872" s="52" t="str">
        <f>IF($AM872=0,"",IF($D872&lt;&gt;"",$D872,IF(IFERROR(INDEX(Accounts!$C$7:$C$16,MATCH($C872,Accounts!$B$7:$B$16,0))&amp;"","")&lt;&gt;"",INDEX(Accounts!$C$7:$C$16,MATCH($C872,Accounts!$B$7:$B$16,0)),Settings!$C$6)))</f>
        <v/>
      </c>
      <c r="AG872" s="53" t="str">
        <f>IF($AM872=0,"",IF(AND($BE872&gt;0,N(INDEX(Instruments!$D$6:$D$205,MAX(1,$BE872)))&gt;0),INDEX(Instruments!$D$6:$D$205,MAX(1,$BE872)),IF(N(INDEX(Settings!$D$14:$D$18,$BF872))&gt;0,INDEX(Settings!$D$14:$D$18,$BF872),"")))</f>
        <v/>
      </c>
      <c r="AH872" s="54" t="str">
        <f>IF($AM872=0,"",IF($AF872&lt;&gt;"Forex",1,IF(MID(UPPER(SUBSTITUTE(TRIM($E872),"/","")),4,3)=UPPER(TRIM(Settings!$C$7)),1,IF(LEFT(UPPER(SUBSTITUTE(TRIM($E872),"/","")),3)=UPPER(TRIM(Settings!$C$7)),IF(AND(ISNUMBER($K872),N($K872)&lt;&gt;0),1/$K872,""),""))))</f>
        <v/>
      </c>
      <c r="AI872" s="55" t="str">
        <f>IF($AM872=0,"",IF(OR(NOT(ISNUMBER($H872)),NOT(ISNUMBER($K872)),NOT(ISNUMBER($G872)),$AG872="",$AH872=""),"",ROUND(($K872-$H872)*IF($F872="Short",-1,1)*$G872*$AG872*$AH872,6)))</f>
        <v/>
      </c>
      <c r="AJ872" s="55" t="str">
        <f>IF($AM872=0,"",IF(INDEX(Settings!$E$14:$E$18,$BF872)="% of notional",IF(OR($AG872="",NOT(ISNUMBER($H872)),NOT(ISNUMBER($G872))),"",ROUND(ABS($H872*$G872*$AG872*N($AH872))*IF($L872="Limit",N(INDEX(Settings!$G$14:$G$18,$BF872)),N(INDEX(Settings!$H$14:$H$18,$BF872)))+IF(ISNUMBER($K872),ABS($K872*$G872*$AG872*N($AH872))*IF($M872="Target",N(INDEX(Settings!$G$14:$G$18,$BF872)),N(INDEX(Settings!$H$14:$H$18,$BF872))),0),6)),IF(NOT(ISNUMBER($G872)),"",ROUND(ABS($G872)*2*IF(AND($BE872&gt;0,ISNUMBER(INDEX(Instruments!$G$6:$G$205,MAX(1,$BE872)))),INDEX(Instruments!$G$6:$G$205,MAX(1,$BE872)),N(INDEX(Settings!$F$14:$F$18,$BF872))),6))))</f>
        <v/>
      </c>
      <c r="AK872" s="55" t="str">
        <f>IF($AM872=0,"",IF(ISNUMBER($O872),$O872,$AI872))</f>
        <v/>
      </c>
      <c r="AL872" s="55" t="str">
        <f>IF($AM872=0,"",IF(ISNUMBER($P872),$P872,N($AJ872)))</f>
        <v/>
      </c>
      <c r="AM872" s="56">
        <f>IF(AND($A872&lt;&gt;"",$E872&lt;&gt;"",OR(AND(ISNUMBER($G872),ISNUMBER($H872),ISNUMBER($K872)),ISNUMBER($O872))),1,0)</f>
        <v>0</v>
      </c>
      <c r="AN872" s="57" t="str">
        <f>IF($A872="","",$A872-WEEKDAY($A872,3))</f>
        <v/>
      </c>
      <c r="AO872" s="56" t="str">
        <f>IF($A872="","",WEEKDAY($A872,2))</f>
        <v/>
      </c>
      <c r="AP872" s="55" t="str">
        <f>IF(OR($AM872=0,$C872=""),"",IFERROR(N(INDEX(Accounts!$E$7:$E$16,MATCH($C872,Accounts!$B$7:$B$16,0))),0)+SUMIFS($Q$6:$Q872,$C$6:$C872,$C872))</f>
        <v/>
      </c>
      <c r="AQ872" s="55" t="str">
        <f>IF(OR($AM872=0,$C872=""),"",SUMIFS($Q$6:$Q$1005,$C$6:$C$1005,$C872,$A$6:$A$1005,$A872))</f>
        <v/>
      </c>
      <c r="AR872" s="55" t="str">
        <f>IF(OR($AM872=0,$C872=""),"",IFERROR(N(INDEX(Accounts!$E$7:$E$16,MATCH($C872,Accounts!$B$7:$B$16,0))),0)+SUMIFS($Q$6:$Q$1005,$C$6:$C$1005,$C872,$A$6:$A$1005,"&lt;="&amp;$A872))</f>
        <v/>
      </c>
      <c r="AS872" s="56">
        <f>IF(OR($AM872=0,$Q872=""),0,IF(AND($A872&gt;=Lists!$W$6,$A872&lt;=Lists!$W$7,OR(Dashboard!$D$6="All accounts",$C872=Dashboard!$D$6),OR(Dashboard!$D$7="All markets",$AF872=Dashboard!$D$7)),1,0))</f>
        <v>0</v>
      </c>
      <c r="AT872" s="55">
        <f>IF($AS872=1,N(AT871)+$Q872,N(AT871))</f>
        <v>1187.10688</v>
      </c>
      <c r="AU872" s="55">
        <f>MAX(N(AU871),$AT872)</f>
        <v>1187.10688</v>
      </c>
      <c r="AV872" s="55">
        <f>$AT872-$AU872</f>
        <v>0</v>
      </c>
      <c r="AW872" s="56">
        <f>IF($AS872=1,IF($S872="Win",N(AW871)+1,IF($S872="Loss",0,N(AW871))),N(AW871))</f>
        <v>5</v>
      </c>
      <c r="AX872" s="56">
        <f>IF($AS872=1,IF($S872="Loss",N(AX871)+1,IF($S872="Win",0,N(AX871))),N(AX871))</f>
        <v>0</v>
      </c>
      <c r="AY872" s="56" t="str">
        <f>IF($AS872=1,COUNTIF($AS$6:$AS872,1),"")</f>
        <v/>
      </c>
      <c r="AZ872" s="56">
        <f>MIN(866,N(Lists!$W$8))</f>
        <v>28</v>
      </c>
      <c r="BA872" s="56">
        <f>IF($AS872=1,IF(COUNTIFS($A$6:$A872,$A872,$AS$6:$AS872,1)=1,1,0),0)</f>
        <v>0</v>
      </c>
      <c r="BB872" s="55" t="str">
        <f>IF($BA872=1,SUMIFS($Q$6:$Q$1005,$A$6:$A$1005,$A872,$AS$6:$AS$1005,1),"")</f>
        <v/>
      </c>
      <c r="BC872" s="56">
        <f>IF(ISNUMBER($R872),1,0)</f>
        <v>0</v>
      </c>
      <c r="BD872" s="55" t="str">
        <f>IF(ISNUMBER($U872),$U872*$V872,"")</f>
        <v/>
      </c>
      <c r="BE872" s="56" t="str">
        <f>IF($AM872=0,"",IFERROR(MATCH($AF872&amp;"|"&amp;UPPER(TRIM($E872)),Lists!$A$6:$A$205,0),0))</f>
        <v/>
      </c>
      <c r="BF872" s="56" t="str">
        <f>IF($AM872=0,"",IFERROR(MATCH($AF872,Settings!$B$14:$B$18,0),IFERROR(MATCH(Settings!$C$6,Settings!$B$14:$B$18,0),1)))</f>
        <v/>
      </c>
      <c r="BG872" s="58" t="str">
        <f>IF($AM872=0,"",IF(NOT(ISNUMBER($I872)),"No stop; ","")&amp;IF(AND(ISNUMBER($H872),ISNUMBER($I872)),IF(OR(AND($F872&lt;&gt;"Short",$I872&gt;=$H872),AND($F872="Short",$I872&lt;=$H872)),"Stop on wrong side; ",""),"")&amp;IF($F872="","No direction; ","")&amp;IF(AND(ISNUMBER(Settings!$C$22),ISNUMBER($V872)),IF($V872&gt;Settings!$C$22,"Risk over max $; ",""),"")&amp;IF(AND(ISNUMBER(Settings!$C$23),ISNUMBER($V872),ISNUMBER($AP872),IFERROR(N(INDEX(Accounts!$E$7:$E$16,MATCH($C872,Accounts!$B$7:$B$16,0))),0)&gt;0),IF($V872&gt;Settings!$C$23*($AP872-N($Q872)),"Risk over max %; ",""),"")&amp;IF(AND(ISNUMBER(Settings!$C$24),ISNUMBER($N872)),IF($N872&gt;Settings!$C$24,"Leverage over max; ",""),"")&amp;IF(AND(ISNUMBER(Settings!$C$27),ISNUMBER($T872)),IF($T872&lt;Settings!$C$27,"R:R below min; ",""),"")&amp;IF(ISNUMBER(Settings!$C$25),IF(COUNTIFS($A$6:$A872,$A872,$AM$6:$AM872,1)&gt;Settings!$C$25,"Over max trades/day; ",""),"")&amp;IF(ISNUMBER(Settings!$C$26),IF(SUMIFS($Q$5:$Q871,$A$5:$A871,$A872)&lt;=-Settings!$C$26,"Traded after daily max loss; ",""),"")&amp;IF(AND($AG872="",NOT(ISNUMBER($O872))),"Symbol not in Instruments; ","")&amp;IF(AND($AH872="",NOT(ISNUMBER($O872))),"Forex cross: type Gross P&amp;L; ",""))</f>
        <v/>
      </c>
      <c r="BH872" s="56">
        <f>IF(ISNUMBER($Q872),1,0)</f>
        <v>0</v>
      </c>
      <c r="BI872" s="56">
        <f>IF($Y872="",0,1)</f>
        <v>0</v>
      </c>
      <c r="BJ872" s="56">
        <f>IF($AB872="",0,1)</f>
        <v>0</v>
      </c>
      <c r="BK872" s="56">
        <f>IF(AND($BH872=1,$W872&lt;&gt;"OK"),1,0)</f>
        <v>0</v>
      </c>
      <c r="BL872" s="55">
        <f>IF(N($AZ872)=0,0,IFERROR(INDEX($AT$6:$AT$1005,MATCH($AZ872,$AY$6:$AY$1005,0)),0))</f>
        <v>1187.10688</v>
      </c>
      <c r="BM872" s="56">
        <f>IF(ISNUMBER(SEARCH("daily max loss",$BG872)),1,0)</f>
        <v>0</v>
      </c>
    </row>
    <row r="873" ht="18" customHeight="1">
      <c r="A873" s="38" t="n"/>
      <c r="B873" s="39" t="n"/>
      <c r="C873" s="40" t="n"/>
      <c r="D873" s="41" t="n"/>
      <c r="E873" s="41" t="n"/>
      <c r="F873" s="41" t="n"/>
      <c r="G873" s="41" t="n"/>
      <c r="H873" s="42" t="n"/>
      <c r="I873" s="42" t="n"/>
      <c r="J873" s="42" t="n"/>
      <c r="K873" s="42" t="n"/>
      <c r="L873" s="41" t="n"/>
      <c r="M873" s="41" t="n"/>
      <c r="N873" s="41" t="n"/>
      <c r="O873" s="43" t="n"/>
      <c r="P873" s="43" t="n"/>
      <c r="Q873" s="44" t="str">
        <f>IF($AM873=0,"",IF(ISNUMBER($AK873),$AK873-N($AL873),""))</f>
        <v/>
      </c>
      <c r="R873" s="45" t="str">
        <f>IF(OR($Q873="",NOT(ISNUMBER($V873))),"",$AK873/$V873)</f>
        <v/>
      </c>
      <c r="S873" s="46" t="str">
        <f>IF($Q873="","",IF(AND(ISNUMBER($R873),ABS(N($R873))&lt;N(Settings!$C$8)),"Scratch",IF($Q873&gt;0,"Win",IF($Q873&lt;0,"Loss","Scratch"))))</f>
        <v/>
      </c>
      <c r="T873" s="47" t="str">
        <f>IF(OR($AM873=0,NOT(ISNUMBER($H873)),NOT(ISNUMBER($I873)),NOT(ISNUMBER($J873))),"",IF($H873=$I873,"",ROUND(ABS($J873-$H873)/ABS($H873-$I873),6)))</f>
        <v/>
      </c>
      <c r="U873" s="48" t="str">
        <f>IF(OR($S873&lt;&gt;"Win",NOT(ISNUMBER($T873)),NOT(ISNUMBER($R873))),"",MAX(0,$T873-$R873))</f>
        <v/>
      </c>
      <c r="V873" s="49" t="str">
        <f>IF(OR($AM873=0,NOT(ISNUMBER($H873)),NOT(ISNUMBER($I873)),NOT(ISNUMBER($G873))),"",IF(OR($AG873="",$AH873=""),"",IF(ROUND(ABS($H873-$I873)*ABS($G873)*$AG873*$AH873,6)=0,"",ROUND(ABS($H873-$I873)*ABS($G873)*$AG873*$AH873,6))))</f>
        <v/>
      </c>
      <c r="W873" s="50" t="str">
        <f>IF($AM873=0,"",IF($BG873="","OK",LEFT($BG873,LEN($BG873)-2)))</f>
        <v/>
      </c>
      <c r="X873" s="41" t="n"/>
      <c r="Y873" s="40" t="n"/>
      <c r="Z873" s="41" t="n"/>
      <c r="AA873" s="41" t="n"/>
      <c r="AB873" s="40" t="n"/>
      <c r="AC873" s="51" t="n"/>
      <c r="AD873" s="51" t="n"/>
      <c r="AE873" s="40" t="n"/>
      <c r="AF873" s="52" t="str">
        <f>IF($AM873=0,"",IF($D873&lt;&gt;"",$D873,IF(IFERROR(INDEX(Accounts!$C$7:$C$16,MATCH($C873,Accounts!$B$7:$B$16,0))&amp;"","")&lt;&gt;"",INDEX(Accounts!$C$7:$C$16,MATCH($C873,Accounts!$B$7:$B$16,0)),Settings!$C$6)))</f>
        <v/>
      </c>
      <c r="AG873" s="53" t="str">
        <f>IF($AM873=0,"",IF(AND($BE873&gt;0,N(INDEX(Instruments!$D$6:$D$205,MAX(1,$BE873)))&gt;0),INDEX(Instruments!$D$6:$D$205,MAX(1,$BE873)),IF(N(INDEX(Settings!$D$14:$D$18,$BF873))&gt;0,INDEX(Settings!$D$14:$D$18,$BF873),"")))</f>
        <v/>
      </c>
      <c r="AH873" s="54" t="str">
        <f>IF($AM873=0,"",IF($AF873&lt;&gt;"Forex",1,IF(MID(UPPER(SUBSTITUTE(TRIM($E873),"/","")),4,3)=UPPER(TRIM(Settings!$C$7)),1,IF(LEFT(UPPER(SUBSTITUTE(TRIM($E873),"/","")),3)=UPPER(TRIM(Settings!$C$7)),IF(AND(ISNUMBER($K873),N($K873)&lt;&gt;0),1/$K873,""),""))))</f>
        <v/>
      </c>
      <c r="AI873" s="55" t="str">
        <f>IF($AM873=0,"",IF(OR(NOT(ISNUMBER($H873)),NOT(ISNUMBER($K873)),NOT(ISNUMBER($G873)),$AG873="",$AH873=""),"",ROUND(($K873-$H873)*IF($F873="Short",-1,1)*$G873*$AG873*$AH873,6)))</f>
        <v/>
      </c>
      <c r="AJ873" s="55" t="str">
        <f>IF($AM873=0,"",IF(INDEX(Settings!$E$14:$E$18,$BF873)="% of notional",IF(OR($AG873="",NOT(ISNUMBER($H873)),NOT(ISNUMBER($G873))),"",ROUND(ABS($H873*$G873*$AG873*N($AH873))*IF($L873="Limit",N(INDEX(Settings!$G$14:$G$18,$BF873)),N(INDEX(Settings!$H$14:$H$18,$BF873)))+IF(ISNUMBER($K873),ABS($K873*$G873*$AG873*N($AH873))*IF($M873="Target",N(INDEX(Settings!$G$14:$G$18,$BF873)),N(INDEX(Settings!$H$14:$H$18,$BF873))),0),6)),IF(NOT(ISNUMBER($G873)),"",ROUND(ABS($G873)*2*IF(AND($BE873&gt;0,ISNUMBER(INDEX(Instruments!$G$6:$G$205,MAX(1,$BE873)))),INDEX(Instruments!$G$6:$G$205,MAX(1,$BE873)),N(INDEX(Settings!$F$14:$F$18,$BF873))),6))))</f>
        <v/>
      </c>
      <c r="AK873" s="55" t="str">
        <f>IF($AM873=0,"",IF(ISNUMBER($O873),$O873,$AI873))</f>
        <v/>
      </c>
      <c r="AL873" s="55" t="str">
        <f>IF($AM873=0,"",IF(ISNUMBER($P873),$P873,N($AJ873)))</f>
        <v/>
      </c>
      <c r="AM873" s="56">
        <f>IF(AND($A873&lt;&gt;"",$E873&lt;&gt;"",OR(AND(ISNUMBER($G873),ISNUMBER($H873),ISNUMBER($K873)),ISNUMBER($O873))),1,0)</f>
        <v>0</v>
      </c>
      <c r="AN873" s="57" t="str">
        <f>IF($A873="","",$A873-WEEKDAY($A873,3))</f>
        <v/>
      </c>
      <c r="AO873" s="56" t="str">
        <f>IF($A873="","",WEEKDAY($A873,2))</f>
        <v/>
      </c>
      <c r="AP873" s="55" t="str">
        <f>IF(OR($AM873=0,$C873=""),"",IFERROR(N(INDEX(Accounts!$E$7:$E$16,MATCH($C873,Accounts!$B$7:$B$16,0))),0)+SUMIFS($Q$6:$Q873,$C$6:$C873,$C873))</f>
        <v/>
      </c>
      <c r="AQ873" s="55" t="str">
        <f>IF(OR($AM873=0,$C873=""),"",SUMIFS($Q$6:$Q$1005,$C$6:$C$1005,$C873,$A$6:$A$1005,$A873))</f>
        <v/>
      </c>
      <c r="AR873" s="55" t="str">
        <f>IF(OR($AM873=0,$C873=""),"",IFERROR(N(INDEX(Accounts!$E$7:$E$16,MATCH($C873,Accounts!$B$7:$B$16,0))),0)+SUMIFS($Q$6:$Q$1005,$C$6:$C$1005,$C873,$A$6:$A$1005,"&lt;="&amp;$A873))</f>
        <v/>
      </c>
      <c r="AS873" s="56">
        <f>IF(OR($AM873=0,$Q873=""),0,IF(AND($A873&gt;=Lists!$W$6,$A873&lt;=Lists!$W$7,OR(Dashboard!$D$6="All accounts",$C873=Dashboard!$D$6),OR(Dashboard!$D$7="All markets",$AF873=Dashboard!$D$7)),1,0))</f>
        <v>0</v>
      </c>
      <c r="AT873" s="55">
        <f>IF($AS873=1,N(AT872)+$Q873,N(AT872))</f>
        <v>1187.10688</v>
      </c>
      <c r="AU873" s="55">
        <f>MAX(N(AU872),$AT873)</f>
        <v>1187.10688</v>
      </c>
      <c r="AV873" s="55">
        <f>$AT873-$AU873</f>
        <v>0</v>
      </c>
      <c r="AW873" s="56">
        <f>IF($AS873=1,IF($S873="Win",N(AW872)+1,IF($S873="Loss",0,N(AW872))),N(AW872))</f>
        <v>5</v>
      </c>
      <c r="AX873" s="56">
        <f>IF($AS873=1,IF($S873="Loss",N(AX872)+1,IF($S873="Win",0,N(AX872))),N(AX872))</f>
        <v>0</v>
      </c>
      <c r="AY873" s="56" t="str">
        <f>IF($AS873=1,COUNTIF($AS$6:$AS873,1),"")</f>
        <v/>
      </c>
      <c r="AZ873" s="56">
        <f>MIN(867,N(Lists!$W$8))</f>
        <v>28</v>
      </c>
      <c r="BA873" s="56">
        <f>IF($AS873=1,IF(COUNTIFS($A$6:$A873,$A873,$AS$6:$AS873,1)=1,1,0),0)</f>
        <v>0</v>
      </c>
      <c r="BB873" s="55" t="str">
        <f>IF($BA873=1,SUMIFS($Q$6:$Q$1005,$A$6:$A$1005,$A873,$AS$6:$AS$1005,1),"")</f>
        <v/>
      </c>
      <c r="BC873" s="56">
        <f>IF(ISNUMBER($R873),1,0)</f>
        <v>0</v>
      </c>
      <c r="BD873" s="55" t="str">
        <f>IF(ISNUMBER($U873),$U873*$V873,"")</f>
        <v/>
      </c>
      <c r="BE873" s="56" t="str">
        <f>IF($AM873=0,"",IFERROR(MATCH($AF873&amp;"|"&amp;UPPER(TRIM($E873)),Lists!$A$6:$A$205,0),0))</f>
        <v/>
      </c>
      <c r="BF873" s="56" t="str">
        <f>IF($AM873=0,"",IFERROR(MATCH($AF873,Settings!$B$14:$B$18,0),IFERROR(MATCH(Settings!$C$6,Settings!$B$14:$B$18,0),1)))</f>
        <v/>
      </c>
      <c r="BG873" s="58" t="str">
        <f>IF($AM873=0,"",IF(NOT(ISNUMBER($I873)),"No stop; ","")&amp;IF(AND(ISNUMBER($H873),ISNUMBER($I873)),IF(OR(AND($F873&lt;&gt;"Short",$I873&gt;=$H873),AND($F873="Short",$I873&lt;=$H873)),"Stop on wrong side; ",""),"")&amp;IF($F873="","No direction; ","")&amp;IF(AND(ISNUMBER(Settings!$C$22),ISNUMBER($V873)),IF($V873&gt;Settings!$C$22,"Risk over max $; ",""),"")&amp;IF(AND(ISNUMBER(Settings!$C$23),ISNUMBER($V873),ISNUMBER($AP873),IFERROR(N(INDEX(Accounts!$E$7:$E$16,MATCH($C873,Accounts!$B$7:$B$16,0))),0)&gt;0),IF($V873&gt;Settings!$C$23*($AP873-N($Q873)),"Risk over max %; ",""),"")&amp;IF(AND(ISNUMBER(Settings!$C$24),ISNUMBER($N873)),IF($N873&gt;Settings!$C$24,"Leverage over max; ",""),"")&amp;IF(AND(ISNUMBER(Settings!$C$27),ISNUMBER($T873)),IF($T873&lt;Settings!$C$27,"R:R below min; ",""),"")&amp;IF(ISNUMBER(Settings!$C$25),IF(COUNTIFS($A$6:$A873,$A873,$AM$6:$AM873,1)&gt;Settings!$C$25,"Over max trades/day; ",""),"")&amp;IF(ISNUMBER(Settings!$C$26),IF(SUMIFS($Q$5:$Q872,$A$5:$A872,$A873)&lt;=-Settings!$C$26,"Traded after daily max loss; ",""),"")&amp;IF(AND($AG873="",NOT(ISNUMBER($O873))),"Symbol not in Instruments; ","")&amp;IF(AND($AH873="",NOT(ISNUMBER($O873))),"Forex cross: type Gross P&amp;L; ",""))</f>
        <v/>
      </c>
      <c r="BH873" s="56">
        <f>IF(ISNUMBER($Q873),1,0)</f>
        <v>0</v>
      </c>
      <c r="BI873" s="56">
        <f>IF($Y873="",0,1)</f>
        <v>0</v>
      </c>
      <c r="BJ873" s="56">
        <f>IF($AB873="",0,1)</f>
        <v>0</v>
      </c>
      <c r="BK873" s="56">
        <f>IF(AND($BH873=1,$W873&lt;&gt;"OK"),1,0)</f>
        <v>0</v>
      </c>
      <c r="BL873" s="55">
        <f>IF(N($AZ873)=0,0,IFERROR(INDEX($AT$6:$AT$1005,MATCH($AZ873,$AY$6:$AY$1005,0)),0))</f>
        <v>1187.10688</v>
      </c>
      <c r="BM873" s="56">
        <f>IF(ISNUMBER(SEARCH("daily max loss",$BG873)),1,0)</f>
        <v>0</v>
      </c>
    </row>
    <row r="874" ht="18" customHeight="1">
      <c r="A874" s="38" t="n"/>
      <c r="B874" s="39" t="n"/>
      <c r="C874" s="40" t="n"/>
      <c r="D874" s="41" t="n"/>
      <c r="E874" s="41" t="n"/>
      <c r="F874" s="41" t="n"/>
      <c r="G874" s="41" t="n"/>
      <c r="H874" s="42" t="n"/>
      <c r="I874" s="42" t="n"/>
      <c r="J874" s="42" t="n"/>
      <c r="K874" s="42" t="n"/>
      <c r="L874" s="41" t="n"/>
      <c r="M874" s="41" t="n"/>
      <c r="N874" s="41" t="n"/>
      <c r="O874" s="43" t="n"/>
      <c r="P874" s="43" t="n"/>
      <c r="Q874" s="44" t="str">
        <f>IF($AM874=0,"",IF(ISNUMBER($AK874),$AK874-N($AL874),""))</f>
        <v/>
      </c>
      <c r="R874" s="45" t="str">
        <f>IF(OR($Q874="",NOT(ISNUMBER($V874))),"",$AK874/$V874)</f>
        <v/>
      </c>
      <c r="S874" s="46" t="str">
        <f>IF($Q874="","",IF(AND(ISNUMBER($R874),ABS(N($R874))&lt;N(Settings!$C$8)),"Scratch",IF($Q874&gt;0,"Win",IF($Q874&lt;0,"Loss","Scratch"))))</f>
        <v/>
      </c>
      <c r="T874" s="47" t="str">
        <f>IF(OR($AM874=0,NOT(ISNUMBER($H874)),NOT(ISNUMBER($I874)),NOT(ISNUMBER($J874))),"",IF($H874=$I874,"",ROUND(ABS($J874-$H874)/ABS($H874-$I874),6)))</f>
        <v/>
      </c>
      <c r="U874" s="48" t="str">
        <f>IF(OR($S874&lt;&gt;"Win",NOT(ISNUMBER($T874)),NOT(ISNUMBER($R874))),"",MAX(0,$T874-$R874))</f>
        <v/>
      </c>
      <c r="V874" s="49" t="str">
        <f>IF(OR($AM874=0,NOT(ISNUMBER($H874)),NOT(ISNUMBER($I874)),NOT(ISNUMBER($G874))),"",IF(OR($AG874="",$AH874=""),"",IF(ROUND(ABS($H874-$I874)*ABS($G874)*$AG874*$AH874,6)=0,"",ROUND(ABS($H874-$I874)*ABS($G874)*$AG874*$AH874,6))))</f>
        <v/>
      </c>
      <c r="W874" s="50" t="str">
        <f>IF($AM874=0,"",IF($BG874="","OK",LEFT($BG874,LEN($BG874)-2)))</f>
        <v/>
      </c>
      <c r="X874" s="41" t="n"/>
      <c r="Y874" s="40" t="n"/>
      <c r="Z874" s="41" t="n"/>
      <c r="AA874" s="41" t="n"/>
      <c r="AB874" s="40" t="n"/>
      <c r="AC874" s="51" t="n"/>
      <c r="AD874" s="51" t="n"/>
      <c r="AE874" s="40" t="n"/>
      <c r="AF874" s="52" t="str">
        <f>IF($AM874=0,"",IF($D874&lt;&gt;"",$D874,IF(IFERROR(INDEX(Accounts!$C$7:$C$16,MATCH($C874,Accounts!$B$7:$B$16,0))&amp;"","")&lt;&gt;"",INDEX(Accounts!$C$7:$C$16,MATCH($C874,Accounts!$B$7:$B$16,0)),Settings!$C$6)))</f>
        <v/>
      </c>
      <c r="AG874" s="53" t="str">
        <f>IF($AM874=0,"",IF(AND($BE874&gt;0,N(INDEX(Instruments!$D$6:$D$205,MAX(1,$BE874)))&gt;0),INDEX(Instruments!$D$6:$D$205,MAX(1,$BE874)),IF(N(INDEX(Settings!$D$14:$D$18,$BF874))&gt;0,INDEX(Settings!$D$14:$D$18,$BF874),"")))</f>
        <v/>
      </c>
      <c r="AH874" s="54" t="str">
        <f>IF($AM874=0,"",IF($AF874&lt;&gt;"Forex",1,IF(MID(UPPER(SUBSTITUTE(TRIM($E874),"/","")),4,3)=UPPER(TRIM(Settings!$C$7)),1,IF(LEFT(UPPER(SUBSTITUTE(TRIM($E874),"/","")),3)=UPPER(TRIM(Settings!$C$7)),IF(AND(ISNUMBER($K874),N($K874)&lt;&gt;0),1/$K874,""),""))))</f>
        <v/>
      </c>
      <c r="AI874" s="55" t="str">
        <f>IF($AM874=0,"",IF(OR(NOT(ISNUMBER($H874)),NOT(ISNUMBER($K874)),NOT(ISNUMBER($G874)),$AG874="",$AH874=""),"",ROUND(($K874-$H874)*IF($F874="Short",-1,1)*$G874*$AG874*$AH874,6)))</f>
        <v/>
      </c>
      <c r="AJ874" s="55" t="str">
        <f>IF($AM874=0,"",IF(INDEX(Settings!$E$14:$E$18,$BF874)="% of notional",IF(OR($AG874="",NOT(ISNUMBER($H874)),NOT(ISNUMBER($G874))),"",ROUND(ABS($H874*$G874*$AG874*N($AH874))*IF($L874="Limit",N(INDEX(Settings!$G$14:$G$18,$BF874)),N(INDEX(Settings!$H$14:$H$18,$BF874)))+IF(ISNUMBER($K874),ABS($K874*$G874*$AG874*N($AH874))*IF($M874="Target",N(INDEX(Settings!$G$14:$G$18,$BF874)),N(INDEX(Settings!$H$14:$H$18,$BF874))),0),6)),IF(NOT(ISNUMBER($G874)),"",ROUND(ABS($G874)*2*IF(AND($BE874&gt;0,ISNUMBER(INDEX(Instruments!$G$6:$G$205,MAX(1,$BE874)))),INDEX(Instruments!$G$6:$G$205,MAX(1,$BE874)),N(INDEX(Settings!$F$14:$F$18,$BF874))),6))))</f>
        <v/>
      </c>
      <c r="AK874" s="55" t="str">
        <f>IF($AM874=0,"",IF(ISNUMBER($O874),$O874,$AI874))</f>
        <v/>
      </c>
      <c r="AL874" s="55" t="str">
        <f>IF($AM874=0,"",IF(ISNUMBER($P874),$P874,N($AJ874)))</f>
        <v/>
      </c>
      <c r="AM874" s="56">
        <f>IF(AND($A874&lt;&gt;"",$E874&lt;&gt;"",OR(AND(ISNUMBER($G874),ISNUMBER($H874),ISNUMBER($K874)),ISNUMBER($O874))),1,0)</f>
        <v>0</v>
      </c>
      <c r="AN874" s="57" t="str">
        <f>IF($A874="","",$A874-WEEKDAY($A874,3))</f>
        <v/>
      </c>
      <c r="AO874" s="56" t="str">
        <f>IF($A874="","",WEEKDAY($A874,2))</f>
        <v/>
      </c>
      <c r="AP874" s="55" t="str">
        <f>IF(OR($AM874=0,$C874=""),"",IFERROR(N(INDEX(Accounts!$E$7:$E$16,MATCH($C874,Accounts!$B$7:$B$16,0))),0)+SUMIFS($Q$6:$Q874,$C$6:$C874,$C874))</f>
        <v/>
      </c>
      <c r="AQ874" s="55" t="str">
        <f>IF(OR($AM874=0,$C874=""),"",SUMIFS($Q$6:$Q$1005,$C$6:$C$1005,$C874,$A$6:$A$1005,$A874))</f>
        <v/>
      </c>
      <c r="AR874" s="55" t="str">
        <f>IF(OR($AM874=0,$C874=""),"",IFERROR(N(INDEX(Accounts!$E$7:$E$16,MATCH($C874,Accounts!$B$7:$B$16,0))),0)+SUMIFS($Q$6:$Q$1005,$C$6:$C$1005,$C874,$A$6:$A$1005,"&lt;="&amp;$A874))</f>
        <v/>
      </c>
      <c r="AS874" s="56">
        <f>IF(OR($AM874=0,$Q874=""),0,IF(AND($A874&gt;=Lists!$W$6,$A874&lt;=Lists!$W$7,OR(Dashboard!$D$6="All accounts",$C874=Dashboard!$D$6),OR(Dashboard!$D$7="All markets",$AF874=Dashboard!$D$7)),1,0))</f>
        <v>0</v>
      </c>
      <c r="AT874" s="55">
        <f>IF($AS874=1,N(AT873)+$Q874,N(AT873))</f>
        <v>1187.10688</v>
      </c>
      <c r="AU874" s="55">
        <f>MAX(N(AU873),$AT874)</f>
        <v>1187.10688</v>
      </c>
      <c r="AV874" s="55">
        <f>$AT874-$AU874</f>
        <v>0</v>
      </c>
      <c r="AW874" s="56">
        <f>IF($AS874=1,IF($S874="Win",N(AW873)+1,IF($S874="Loss",0,N(AW873))),N(AW873))</f>
        <v>5</v>
      </c>
      <c r="AX874" s="56">
        <f>IF($AS874=1,IF($S874="Loss",N(AX873)+1,IF($S874="Win",0,N(AX873))),N(AX873))</f>
        <v>0</v>
      </c>
      <c r="AY874" s="56" t="str">
        <f>IF($AS874=1,COUNTIF($AS$6:$AS874,1),"")</f>
        <v/>
      </c>
      <c r="AZ874" s="56">
        <f>MIN(868,N(Lists!$W$8))</f>
        <v>28</v>
      </c>
      <c r="BA874" s="56">
        <f>IF($AS874=1,IF(COUNTIFS($A$6:$A874,$A874,$AS$6:$AS874,1)=1,1,0),0)</f>
        <v>0</v>
      </c>
      <c r="BB874" s="55" t="str">
        <f>IF($BA874=1,SUMIFS($Q$6:$Q$1005,$A$6:$A$1005,$A874,$AS$6:$AS$1005,1),"")</f>
        <v/>
      </c>
      <c r="BC874" s="56">
        <f>IF(ISNUMBER($R874),1,0)</f>
        <v>0</v>
      </c>
      <c r="BD874" s="55" t="str">
        <f>IF(ISNUMBER($U874),$U874*$V874,"")</f>
        <v/>
      </c>
      <c r="BE874" s="56" t="str">
        <f>IF($AM874=0,"",IFERROR(MATCH($AF874&amp;"|"&amp;UPPER(TRIM($E874)),Lists!$A$6:$A$205,0),0))</f>
        <v/>
      </c>
      <c r="BF874" s="56" t="str">
        <f>IF($AM874=0,"",IFERROR(MATCH($AF874,Settings!$B$14:$B$18,0),IFERROR(MATCH(Settings!$C$6,Settings!$B$14:$B$18,0),1)))</f>
        <v/>
      </c>
      <c r="BG874" s="58" t="str">
        <f>IF($AM874=0,"",IF(NOT(ISNUMBER($I874)),"No stop; ","")&amp;IF(AND(ISNUMBER($H874),ISNUMBER($I874)),IF(OR(AND($F874&lt;&gt;"Short",$I874&gt;=$H874),AND($F874="Short",$I874&lt;=$H874)),"Stop on wrong side; ",""),"")&amp;IF($F874="","No direction; ","")&amp;IF(AND(ISNUMBER(Settings!$C$22),ISNUMBER($V874)),IF($V874&gt;Settings!$C$22,"Risk over max $; ",""),"")&amp;IF(AND(ISNUMBER(Settings!$C$23),ISNUMBER($V874),ISNUMBER($AP874),IFERROR(N(INDEX(Accounts!$E$7:$E$16,MATCH($C874,Accounts!$B$7:$B$16,0))),0)&gt;0),IF($V874&gt;Settings!$C$23*($AP874-N($Q874)),"Risk over max %; ",""),"")&amp;IF(AND(ISNUMBER(Settings!$C$24),ISNUMBER($N874)),IF($N874&gt;Settings!$C$24,"Leverage over max; ",""),"")&amp;IF(AND(ISNUMBER(Settings!$C$27),ISNUMBER($T874)),IF($T874&lt;Settings!$C$27,"R:R below min; ",""),"")&amp;IF(ISNUMBER(Settings!$C$25),IF(COUNTIFS($A$6:$A874,$A874,$AM$6:$AM874,1)&gt;Settings!$C$25,"Over max trades/day; ",""),"")&amp;IF(ISNUMBER(Settings!$C$26),IF(SUMIFS($Q$5:$Q873,$A$5:$A873,$A874)&lt;=-Settings!$C$26,"Traded after daily max loss; ",""),"")&amp;IF(AND($AG874="",NOT(ISNUMBER($O874))),"Symbol not in Instruments; ","")&amp;IF(AND($AH874="",NOT(ISNUMBER($O874))),"Forex cross: type Gross P&amp;L; ",""))</f>
        <v/>
      </c>
      <c r="BH874" s="56">
        <f>IF(ISNUMBER($Q874),1,0)</f>
        <v>0</v>
      </c>
      <c r="BI874" s="56">
        <f>IF($Y874="",0,1)</f>
        <v>0</v>
      </c>
      <c r="BJ874" s="56">
        <f>IF($AB874="",0,1)</f>
        <v>0</v>
      </c>
      <c r="BK874" s="56">
        <f>IF(AND($BH874=1,$W874&lt;&gt;"OK"),1,0)</f>
        <v>0</v>
      </c>
      <c r="BL874" s="55">
        <f>IF(N($AZ874)=0,0,IFERROR(INDEX($AT$6:$AT$1005,MATCH($AZ874,$AY$6:$AY$1005,0)),0))</f>
        <v>1187.10688</v>
      </c>
      <c r="BM874" s="56">
        <f>IF(ISNUMBER(SEARCH("daily max loss",$BG874)),1,0)</f>
        <v>0</v>
      </c>
    </row>
    <row r="875" ht="18" customHeight="1">
      <c r="A875" s="38" t="n"/>
      <c r="B875" s="39" t="n"/>
      <c r="C875" s="40" t="n"/>
      <c r="D875" s="41" t="n"/>
      <c r="E875" s="41" t="n"/>
      <c r="F875" s="41" t="n"/>
      <c r="G875" s="41" t="n"/>
      <c r="H875" s="42" t="n"/>
      <c r="I875" s="42" t="n"/>
      <c r="J875" s="42" t="n"/>
      <c r="K875" s="42" t="n"/>
      <c r="L875" s="41" t="n"/>
      <c r="M875" s="41" t="n"/>
      <c r="N875" s="41" t="n"/>
      <c r="O875" s="43" t="n"/>
      <c r="P875" s="43" t="n"/>
      <c r="Q875" s="44" t="str">
        <f>IF($AM875=0,"",IF(ISNUMBER($AK875),$AK875-N($AL875),""))</f>
        <v/>
      </c>
      <c r="R875" s="45" t="str">
        <f>IF(OR($Q875="",NOT(ISNUMBER($V875))),"",$AK875/$V875)</f>
        <v/>
      </c>
      <c r="S875" s="46" t="str">
        <f>IF($Q875="","",IF(AND(ISNUMBER($R875),ABS(N($R875))&lt;N(Settings!$C$8)),"Scratch",IF($Q875&gt;0,"Win",IF($Q875&lt;0,"Loss","Scratch"))))</f>
        <v/>
      </c>
      <c r="T875" s="47" t="str">
        <f>IF(OR($AM875=0,NOT(ISNUMBER($H875)),NOT(ISNUMBER($I875)),NOT(ISNUMBER($J875))),"",IF($H875=$I875,"",ROUND(ABS($J875-$H875)/ABS($H875-$I875),6)))</f>
        <v/>
      </c>
      <c r="U875" s="48" t="str">
        <f>IF(OR($S875&lt;&gt;"Win",NOT(ISNUMBER($T875)),NOT(ISNUMBER($R875))),"",MAX(0,$T875-$R875))</f>
        <v/>
      </c>
      <c r="V875" s="49" t="str">
        <f>IF(OR($AM875=0,NOT(ISNUMBER($H875)),NOT(ISNUMBER($I875)),NOT(ISNUMBER($G875))),"",IF(OR($AG875="",$AH875=""),"",IF(ROUND(ABS($H875-$I875)*ABS($G875)*$AG875*$AH875,6)=0,"",ROUND(ABS($H875-$I875)*ABS($G875)*$AG875*$AH875,6))))</f>
        <v/>
      </c>
      <c r="W875" s="50" t="str">
        <f>IF($AM875=0,"",IF($BG875="","OK",LEFT($BG875,LEN($BG875)-2)))</f>
        <v/>
      </c>
      <c r="X875" s="41" t="n"/>
      <c r="Y875" s="40" t="n"/>
      <c r="Z875" s="41" t="n"/>
      <c r="AA875" s="41" t="n"/>
      <c r="AB875" s="40" t="n"/>
      <c r="AC875" s="51" t="n"/>
      <c r="AD875" s="51" t="n"/>
      <c r="AE875" s="40" t="n"/>
      <c r="AF875" s="52" t="str">
        <f>IF($AM875=0,"",IF($D875&lt;&gt;"",$D875,IF(IFERROR(INDEX(Accounts!$C$7:$C$16,MATCH($C875,Accounts!$B$7:$B$16,0))&amp;"","")&lt;&gt;"",INDEX(Accounts!$C$7:$C$16,MATCH($C875,Accounts!$B$7:$B$16,0)),Settings!$C$6)))</f>
        <v/>
      </c>
      <c r="AG875" s="53" t="str">
        <f>IF($AM875=0,"",IF(AND($BE875&gt;0,N(INDEX(Instruments!$D$6:$D$205,MAX(1,$BE875)))&gt;0),INDEX(Instruments!$D$6:$D$205,MAX(1,$BE875)),IF(N(INDEX(Settings!$D$14:$D$18,$BF875))&gt;0,INDEX(Settings!$D$14:$D$18,$BF875),"")))</f>
        <v/>
      </c>
      <c r="AH875" s="54" t="str">
        <f>IF($AM875=0,"",IF($AF875&lt;&gt;"Forex",1,IF(MID(UPPER(SUBSTITUTE(TRIM($E875),"/","")),4,3)=UPPER(TRIM(Settings!$C$7)),1,IF(LEFT(UPPER(SUBSTITUTE(TRIM($E875),"/","")),3)=UPPER(TRIM(Settings!$C$7)),IF(AND(ISNUMBER($K875),N($K875)&lt;&gt;0),1/$K875,""),""))))</f>
        <v/>
      </c>
      <c r="AI875" s="55" t="str">
        <f>IF($AM875=0,"",IF(OR(NOT(ISNUMBER($H875)),NOT(ISNUMBER($K875)),NOT(ISNUMBER($G875)),$AG875="",$AH875=""),"",ROUND(($K875-$H875)*IF($F875="Short",-1,1)*$G875*$AG875*$AH875,6)))</f>
        <v/>
      </c>
      <c r="AJ875" s="55" t="str">
        <f>IF($AM875=0,"",IF(INDEX(Settings!$E$14:$E$18,$BF875)="% of notional",IF(OR($AG875="",NOT(ISNUMBER($H875)),NOT(ISNUMBER($G875))),"",ROUND(ABS($H875*$G875*$AG875*N($AH875))*IF($L875="Limit",N(INDEX(Settings!$G$14:$G$18,$BF875)),N(INDEX(Settings!$H$14:$H$18,$BF875)))+IF(ISNUMBER($K875),ABS($K875*$G875*$AG875*N($AH875))*IF($M875="Target",N(INDEX(Settings!$G$14:$G$18,$BF875)),N(INDEX(Settings!$H$14:$H$18,$BF875))),0),6)),IF(NOT(ISNUMBER($G875)),"",ROUND(ABS($G875)*2*IF(AND($BE875&gt;0,ISNUMBER(INDEX(Instruments!$G$6:$G$205,MAX(1,$BE875)))),INDEX(Instruments!$G$6:$G$205,MAX(1,$BE875)),N(INDEX(Settings!$F$14:$F$18,$BF875))),6))))</f>
        <v/>
      </c>
      <c r="AK875" s="55" t="str">
        <f>IF($AM875=0,"",IF(ISNUMBER($O875),$O875,$AI875))</f>
        <v/>
      </c>
      <c r="AL875" s="55" t="str">
        <f>IF($AM875=0,"",IF(ISNUMBER($P875),$P875,N($AJ875)))</f>
        <v/>
      </c>
      <c r="AM875" s="56">
        <f>IF(AND($A875&lt;&gt;"",$E875&lt;&gt;"",OR(AND(ISNUMBER($G875),ISNUMBER($H875),ISNUMBER($K875)),ISNUMBER($O875))),1,0)</f>
        <v>0</v>
      </c>
      <c r="AN875" s="57" t="str">
        <f>IF($A875="","",$A875-WEEKDAY($A875,3))</f>
        <v/>
      </c>
      <c r="AO875" s="56" t="str">
        <f>IF($A875="","",WEEKDAY($A875,2))</f>
        <v/>
      </c>
      <c r="AP875" s="55" t="str">
        <f>IF(OR($AM875=0,$C875=""),"",IFERROR(N(INDEX(Accounts!$E$7:$E$16,MATCH($C875,Accounts!$B$7:$B$16,0))),0)+SUMIFS($Q$6:$Q875,$C$6:$C875,$C875))</f>
        <v/>
      </c>
      <c r="AQ875" s="55" t="str">
        <f>IF(OR($AM875=0,$C875=""),"",SUMIFS($Q$6:$Q$1005,$C$6:$C$1005,$C875,$A$6:$A$1005,$A875))</f>
        <v/>
      </c>
      <c r="AR875" s="55" t="str">
        <f>IF(OR($AM875=0,$C875=""),"",IFERROR(N(INDEX(Accounts!$E$7:$E$16,MATCH($C875,Accounts!$B$7:$B$16,0))),0)+SUMIFS($Q$6:$Q$1005,$C$6:$C$1005,$C875,$A$6:$A$1005,"&lt;="&amp;$A875))</f>
        <v/>
      </c>
      <c r="AS875" s="56">
        <f>IF(OR($AM875=0,$Q875=""),0,IF(AND($A875&gt;=Lists!$W$6,$A875&lt;=Lists!$W$7,OR(Dashboard!$D$6="All accounts",$C875=Dashboard!$D$6),OR(Dashboard!$D$7="All markets",$AF875=Dashboard!$D$7)),1,0))</f>
        <v>0</v>
      </c>
      <c r="AT875" s="55">
        <f>IF($AS875=1,N(AT874)+$Q875,N(AT874))</f>
        <v>1187.10688</v>
      </c>
      <c r="AU875" s="55">
        <f>MAX(N(AU874),$AT875)</f>
        <v>1187.10688</v>
      </c>
      <c r="AV875" s="55">
        <f>$AT875-$AU875</f>
        <v>0</v>
      </c>
      <c r="AW875" s="56">
        <f>IF($AS875=1,IF($S875="Win",N(AW874)+1,IF($S875="Loss",0,N(AW874))),N(AW874))</f>
        <v>5</v>
      </c>
      <c r="AX875" s="56">
        <f>IF($AS875=1,IF($S875="Loss",N(AX874)+1,IF($S875="Win",0,N(AX874))),N(AX874))</f>
        <v>0</v>
      </c>
      <c r="AY875" s="56" t="str">
        <f>IF($AS875=1,COUNTIF($AS$6:$AS875,1),"")</f>
        <v/>
      </c>
      <c r="AZ875" s="56">
        <f>MIN(869,N(Lists!$W$8))</f>
        <v>28</v>
      </c>
      <c r="BA875" s="56">
        <f>IF($AS875=1,IF(COUNTIFS($A$6:$A875,$A875,$AS$6:$AS875,1)=1,1,0),0)</f>
        <v>0</v>
      </c>
      <c r="BB875" s="55" t="str">
        <f>IF($BA875=1,SUMIFS($Q$6:$Q$1005,$A$6:$A$1005,$A875,$AS$6:$AS$1005,1),"")</f>
        <v/>
      </c>
      <c r="BC875" s="56">
        <f>IF(ISNUMBER($R875),1,0)</f>
        <v>0</v>
      </c>
      <c r="BD875" s="55" t="str">
        <f>IF(ISNUMBER($U875),$U875*$V875,"")</f>
        <v/>
      </c>
      <c r="BE875" s="56" t="str">
        <f>IF($AM875=0,"",IFERROR(MATCH($AF875&amp;"|"&amp;UPPER(TRIM($E875)),Lists!$A$6:$A$205,0),0))</f>
        <v/>
      </c>
      <c r="BF875" s="56" t="str">
        <f>IF($AM875=0,"",IFERROR(MATCH($AF875,Settings!$B$14:$B$18,0),IFERROR(MATCH(Settings!$C$6,Settings!$B$14:$B$18,0),1)))</f>
        <v/>
      </c>
      <c r="BG875" s="58" t="str">
        <f>IF($AM875=0,"",IF(NOT(ISNUMBER($I875)),"No stop; ","")&amp;IF(AND(ISNUMBER($H875),ISNUMBER($I875)),IF(OR(AND($F875&lt;&gt;"Short",$I875&gt;=$H875),AND($F875="Short",$I875&lt;=$H875)),"Stop on wrong side; ",""),"")&amp;IF($F875="","No direction; ","")&amp;IF(AND(ISNUMBER(Settings!$C$22),ISNUMBER($V875)),IF($V875&gt;Settings!$C$22,"Risk over max $; ",""),"")&amp;IF(AND(ISNUMBER(Settings!$C$23),ISNUMBER($V875),ISNUMBER($AP875),IFERROR(N(INDEX(Accounts!$E$7:$E$16,MATCH($C875,Accounts!$B$7:$B$16,0))),0)&gt;0),IF($V875&gt;Settings!$C$23*($AP875-N($Q875)),"Risk over max %; ",""),"")&amp;IF(AND(ISNUMBER(Settings!$C$24),ISNUMBER($N875)),IF($N875&gt;Settings!$C$24,"Leverage over max; ",""),"")&amp;IF(AND(ISNUMBER(Settings!$C$27),ISNUMBER($T875)),IF($T875&lt;Settings!$C$27,"R:R below min; ",""),"")&amp;IF(ISNUMBER(Settings!$C$25),IF(COUNTIFS($A$6:$A875,$A875,$AM$6:$AM875,1)&gt;Settings!$C$25,"Over max trades/day; ",""),"")&amp;IF(ISNUMBER(Settings!$C$26),IF(SUMIFS($Q$5:$Q874,$A$5:$A874,$A875)&lt;=-Settings!$C$26,"Traded after daily max loss; ",""),"")&amp;IF(AND($AG875="",NOT(ISNUMBER($O875))),"Symbol not in Instruments; ","")&amp;IF(AND($AH875="",NOT(ISNUMBER($O875))),"Forex cross: type Gross P&amp;L; ",""))</f>
        <v/>
      </c>
      <c r="BH875" s="56">
        <f>IF(ISNUMBER($Q875),1,0)</f>
        <v>0</v>
      </c>
      <c r="BI875" s="56">
        <f>IF($Y875="",0,1)</f>
        <v>0</v>
      </c>
      <c r="BJ875" s="56">
        <f>IF($AB875="",0,1)</f>
        <v>0</v>
      </c>
      <c r="BK875" s="56">
        <f>IF(AND($BH875=1,$W875&lt;&gt;"OK"),1,0)</f>
        <v>0</v>
      </c>
      <c r="BL875" s="55">
        <f>IF(N($AZ875)=0,0,IFERROR(INDEX($AT$6:$AT$1005,MATCH($AZ875,$AY$6:$AY$1005,0)),0))</f>
        <v>1187.10688</v>
      </c>
      <c r="BM875" s="56">
        <f>IF(ISNUMBER(SEARCH("daily max loss",$BG875)),1,0)</f>
        <v>0</v>
      </c>
    </row>
    <row r="876" ht="18" customHeight="1">
      <c r="A876" s="38" t="n"/>
      <c r="B876" s="39" t="n"/>
      <c r="C876" s="40" t="n"/>
      <c r="D876" s="41" t="n"/>
      <c r="E876" s="41" t="n"/>
      <c r="F876" s="41" t="n"/>
      <c r="G876" s="41" t="n"/>
      <c r="H876" s="42" t="n"/>
      <c r="I876" s="42" t="n"/>
      <c r="J876" s="42" t="n"/>
      <c r="K876" s="42" t="n"/>
      <c r="L876" s="41" t="n"/>
      <c r="M876" s="41" t="n"/>
      <c r="N876" s="41" t="n"/>
      <c r="O876" s="43" t="n"/>
      <c r="P876" s="43" t="n"/>
      <c r="Q876" s="44" t="str">
        <f>IF($AM876=0,"",IF(ISNUMBER($AK876),$AK876-N($AL876),""))</f>
        <v/>
      </c>
      <c r="R876" s="45" t="str">
        <f>IF(OR($Q876="",NOT(ISNUMBER($V876))),"",$AK876/$V876)</f>
        <v/>
      </c>
      <c r="S876" s="46" t="str">
        <f>IF($Q876="","",IF(AND(ISNUMBER($R876),ABS(N($R876))&lt;N(Settings!$C$8)),"Scratch",IF($Q876&gt;0,"Win",IF($Q876&lt;0,"Loss","Scratch"))))</f>
        <v/>
      </c>
      <c r="T876" s="47" t="str">
        <f>IF(OR($AM876=0,NOT(ISNUMBER($H876)),NOT(ISNUMBER($I876)),NOT(ISNUMBER($J876))),"",IF($H876=$I876,"",ROUND(ABS($J876-$H876)/ABS($H876-$I876),6)))</f>
        <v/>
      </c>
      <c r="U876" s="48" t="str">
        <f>IF(OR($S876&lt;&gt;"Win",NOT(ISNUMBER($T876)),NOT(ISNUMBER($R876))),"",MAX(0,$T876-$R876))</f>
        <v/>
      </c>
      <c r="V876" s="49" t="str">
        <f>IF(OR($AM876=0,NOT(ISNUMBER($H876)),NOT(ISNUMBER($I876)),NOT(ISNUMBER($G876))),"",IF(OR($AG876="",$AH876=""),"",IF(ROUND(ABS($H876-$I876)*ABS($G876)*$AG876*$AH876,6)=0,"",ROUND(ABS($H876-$I876)*ABS($G876)*$AG876*$AH876,6))))</f>
        <v/>
      </c>
      <c r="W876" s="50" t="str">
        <f>IF($AM876=0,"",IF($BG876="","OK",LEFT($BG876,LEN($BG876)-2)))</f>
        <v/>
      </c>
      <c r="X876" s="41" t="n"/>
      <c r="Y876" s="40" t="n"/>
      <c r="Z876" s="41" t="n"/>
      <c r="AA876" s="41" t="n"/>
      <c r="AB876" s="40" t="n"/>
      <c r="AC876" s="51" t="n"/>
      <c r="AD876" s="51" t="n"/>
      <c r="AE876" s="40" t="n"/>
      <c r="AF876" s="52" t="str">
        <f>IF($AM876=0,"",IF($D876&lt;&gt;"",$D876,IF(IFERROR(INDEX(Accounts!$C$7:$C$16,MATCH($C876,Accounts!$B$7:$B$16,0))&amp;"","")&lt;&gt;"",INDEX(Accounts!$C$7:$C$16,MATCH($C876,Accounts!$B$7:$B$16,0)),Settings!$C$6)))</f>
        <v/>
      </c>
      <c r="AG876" s="53" t="str">
        <f>IF($AM876=0,"",IF(AND($BE876&gt;0,N(INDEX(Instruments!$D$6:$D$205,MAX(1,$BE876)))&gt;0),INDEX(Instruments!$D$6:$D$205,MAX(1,$BE876)),IF(N(INDEX(Settings!$D$14:$D$18,$BF876))&gt;0,INDEX(Settings!$D$14:$D$18,$BF876),"")))</f>
        <v/>
      </c>
      <c r="AH876" s="54" t="str">
        <f>IF($AM876=0,"",IF($AF876&lt;&gt;"Forex",1,IF(MID(UPPER(SUBSTITUTE(TRIM($E876),"/","")),4,3)=UPPER(TRIM(Settings!$C$7)),1,IF(LEFT(UPPER(SUBSTITUTE(TRIM($E876),"/","")),3)=UPPER(TRIM(Settings!$C$7)),IF(AND(ISNUMBER($K876),N($K876)&lt;&gt;0),1/$K876,""),""))))</f>
        <v/>
      </c>
      <c r="AI876" s="55" t="str">
        <f>IF($AM876=0,"",IF(OR(NOT(ISNUMBER($H876)),NOT(ISNUMBER($K876)),NOT(ISNUMBER($G876)),$AG876="",$AH876=""),"",ROUND(($K876-$H876)*IF($F876="Short",-1,1)*$G876*$AG876*$AH876,6)))</f>
        <v/>
      </c>
      <c r="AJ876" s="55" t="str">
        <f>IF($AM876=0,"",IF(INDEX(Settings!$E$14:$E$18,$BF876)="% of notional",IF(OR($AG876="",NOT(ISNUMBER($H876)),NOT(ISNUMBER($G876))),"",ROUND(ABS($H876*$G876*$AG876*N($AH876))*IF($L876="Limit",N(INDEX(Settings!$G$14:$G$18,$BF876)),N(INDEX(Settings!$H$14:$H$18,$BF876)))+IF(ISNUMBER($K876),ABS($K876*$G876*$AG876*N($AH876))*IF($M876="Target",N(INDEX(Settings!$G$14:$G$18,$BF876)),N(INDEX(Settings!$H$14:$H$18,$BF876))),0),6)),IF(NOT(ISNUMBER($G876)),"",ROUND(ABS($G876)*2*IF(AND($BE876&gt;0,ISNUMBER(INDEX(Instruments!$G$6:$G$205,MAX(1,$BE876)))),INDEX(Instruments!$G$6:$G$205,MAX(1,$BE876)),N(INDEX(Settings!$F$14:$F$18,$BF876))),6))))</f>
        <v/>
      </c>
      <c r="AK876" s="55" t="str">
        <f>IF($AM876=0,"",IF(ISNUMBER($O876),$O876,$AI876))</f>
        <v/>
      </c>
      <c r="AL876" s="55" t="str">
        <f>IF($AM876=0,"",IF(ISNUMBER($P876),$P876,N($AJ876)))</f>
        <v/>
      </c>
      <c r="AM876" s="56">
        <f>IF(AND($A876&lt;&gt;"",$E876&lt;&gt;"",OR(AND(ISNUMBER($G876),ISNUMBER($H876),ISNUMBER($K876)),ISNUMBER($O876))),1,0)</f>
        <v>0</v>
      </c>
      <c r="AN876" s="57" t="str">
        <f>IF($A876="","",$A876-WEEKDAY($A876,3))</f>
        <v/>
      </c>
      <c r="AO876" s="56" t="str">
        <f>IF($A876="","",WEEKDAY($A876,2))</f>
        <v/>
      </c>
      <c r="AP876" s="55" t="str">
        <f>IF(OR($AM876=0,$C876=""),"",IFERROR(N(INDEX(Accounts!$E$7:$E$16,MATCH($C876,Accounts!$B$7:$B$16,0))),0)+SUMIFS($Q$6:$Q876,$C$6:$C876,$C876))</f>
        <v/>
      </c>
      <c r="AQ876" s="55" t="str">
        <f>IF(OR($AM876=0,$C876=""),"",SUMIFS($Q$6:$Q$1005,$C$6:$C$1005,$C876,$A$6:$A$1005,$A876))</f>
        <v/>
      </c>
      <c r="AR876" s="55" t="str">
        <f>IF(OR($AM876=0,$C876=""),"",IFERROR(N(INDEX(Accounts!$E$7:$E$16,MATCH($C876,Accounts!$B$7:$B$16,0))),0)+SUMIFS($Q$6:$Q$1005,$C$6:$C$1005,$C876,$A$6:$A$1005,"&lt;="&amp;$A876))</f>
        <v/>
      </c>
      <c r="AS876" s="56">
        <f>IF(OR($AM876=0,$Q876=""),0,IF(AND($A876&gt;=Lists!$W$6,$A876&lt;=Lists!$W$7,OR(Dashboard!$D$6="All accounts",$C876=Dashboard!$D$6),OR(Dashboard!$D$7="All markets",$AF876=Dashboard!$D$7)),1,0))</f>
        <v>0</v>
      </c>
      <c r="AT876" s="55">
        <f>IF($AS876=1,N(AT875)+$Q876,N(AT875))</f>
        <v>1187.10688</v>
      </c>
      <c r="AU876" s="55">
        <f>MAX(N(AU875),$AT876)</f>
        <v>1187.10688</v>
      </c>
      <c r="AV876" s="55">
        <f>$AT876-$AU876</f>
        <v>0</v>
      </c>
      <c r="AW876" s="56">
        <f>IF($AS876=1,IF($S876="Win",N(AW875)+1,IF($S876="Loss",0,N(AW875))),N(AW875))</f>
        <v>5</v>
      </c>
      <c r="AX876" s="56">
        <f>IF($AS876=1,IF($S876="Loss",N(AX875)+1,IF($S876="Win",0,N(AX875))),N(AX875))</f>
        <v>0</v>
      </c>
      <c r="AY876" s="56" t="str">
        <f>IF($AS876=1,COUNTIF($AS$6:$AS876,1),"")</f>
        <v/>
      </c>
      <c r="AZ876" s="56">
        <f>MIN(870,N(Lists!$W$8))</f>
        <v>28</v>
      </c>
      <c r="BA876" s="56">
        <f>IF($AS876=1,IF(COUNTIFS($A$6:$A876,$A876,$AS$6:$AS876,1)=1,1,0),0)</f>
        <v>0</v>
      </c>
      <c r="BB876" s="55" t="str">
        <f>IF($BA876=1,SUMIFS($Q$6:$Q$1005,$A$6:$A$1005,$A876,$AS$6:$AS$1005,1),"")</f>
        <v/>
      </c>
      <c r="BC876" s="56">
        <f>IF(ISNUMBER($R876),1,0)</f>
        <v>0</v>
      </c>
      <c r="BD876" s="55" t="str">
        <f>IF(ISNUMBER($U876),$U876*$V876,"")</f>
        <v/>
      </c>
      <c r="BE876" s="56" t="str">
        <f>IF($AM876=0,"",IFERROR(MATCH($AF876&amp;"|"&amp;UPPER(TRIM($E876)),Lists!$A$6:$A$205,0),0))</f>
        <v/>
      </c>
      <c r="BF876" s="56" t="str">
        <f>IF($AM876=0,"",IFERROR(MATCH($AF876,Settings!$B$14:$B$18,0),IFERROR(MATCH(Settings!$C$6,Settings!$B$14:$B$18,0),1)))</f>
        <v/>
      </c>
      <c r="BG876" s="58" t="str">
        <f>IF($AM876=0,"",IF(NOT(ISNUMBER($I876)),"No stop; ","")&amp;IF(AND(ISNUMBER($H876),ISNUMBER($I876)),IF(OR(AND($F876&lt;&gt;"Short",$I876&gt;=$H876),AND($F876="Short",$I876&lt;=$H876)),"Stop on wrong side; ",""),"")&amp;IF($F876="","No direction; ","")&amp;IF(AND(ISNUMBER(Settings!$C$22),ISNUMBER($V876)),IF($V876&gt;Settings!$C$22,"Risk over max $; ",""),"")&amp;IF(AND(ISNUMBER(Settings!$C$23),ISNUMBER($V876),ISNUMBER($AP876),IFERROR(N(INDEX(Accounts!$E$7:$E$16,MATCH($C876,Accounts!$B$7:$B$16,0))),0)&gt;0),IF($V876&gt;Settings!$C$23*($AP876-N($Q876)),"Risk over max %; ",""),"")&amp;IF(AND(ISNUMBER(Settings!$C$24),ISNUMBER($N876)),IF($N876&gt;Settings!$C$24,"Leverage over max; ",""),"")&amp;IF(AND(ISNUMBER(Settings!$C$27),ISNUMBER($T876)),IF($T876&lt;Settings!$C$27,"R:R below min; ",""),"")&amp;IF(ISNUMBER(Settings!$C$25),IF(COUNTIFS($A$6:$A876,$A876,$AM$6:$AM876,1)&gt;Settings!$C$25,"Over max trades/day; ",""),"")&amp;IF(ISNUMBER(Settings!$C$26),IF(SUMIFS($Q$5:$Q875,$A$5:$A875,$A876)&lt;=-Settings!$C$26,"Traded after daily max loss; ",""),"")&amp;IF(AND($AG876="",NOT(ISNUMBER($O876))),"Symbol not in Instruments; ","")&amp;IF(AND($AH876="",NOT(ISNUMBER($O876))),"Forex cross: type Gross P&amp;L; ",""))</f>
        <v/>
      </c>
      <c r="BH876" s="56">
        <f>IF(ISNUMBER($Q876),1,0)</f>
        <v>0</v>
      </c>
      <c r="BI876" s="56">
        <f>IF($Y876="",0,1)</f>
        <v>0</v>
      </c>
      <c r="BJ876" s="56">
        <f>IF($AB876="",0,1)</f>
        <v>0</v>
      </c>
      <c r="BK876" s="56">
        <f>IF(AND($BH876=1,$W876&lt;&gt;"OK"),1,0)</f>
        <v>0</v>
      </c>
      <c r="BL876" s="55">
        <f>IF(N($AZ876)=0,0,IFERROR(INDEX($AT$6:$AT$1005,MATCH($AZ876,$AY$6:$AY$1005,0)),0))</f>
        <v>1187.10688</v>
      </c>
      <c r="BM876" s="56">
        <f>IF(ISNUMBER(SEARCH("daily max loss",$BG876)),1,0)</f>
        <v>0</v>
      </c>
    </row>
    <row r="877" ht="18" customHeight="1">
      <c r="A877" s="38" t="n"/>
      <c r="B877" s="39" t="n"/>
      <c r="C877" s="40" t="n"/>
      <c r="D877" s="41" t="n"/>
      <c r="E877" s="41" t="n"/>
      <c r="F877" s="41" t="n"/>
      <c r="G877" s="41" t="n"/>
      <c r="H877" s="42" t="n"/>
      <c r="I877" s="42" t="n"/>
      <c r="J877" s="42" t="n"/>
      <c r="K877" s="42" t="n"/>
      <c r="L877" s="41" t="n"/>
      <c r="M877" s="41" t="n"/>
      <c r="N877" s="41" t="n"/>
      <c r="O877" s="43" t="n"/>
      <c r="P877" s="43" t="n"/>
      <c r="Q877" s="44" t="str">
        <f>IF($AM877=0,"",IF(ISNUMBER($AK877),$AK877-N($AL877),""))</f>
        <v/>
      </c>
      <c r="R877" s="45" t="str">
        <f>IF(OR($Q877="",NOT(ISNUMBER($V877))),"",$AK877/$V877)</f>
        <v/>
      </c>
      <c r="S877" s="46" t="str">
        <f>IF($Q877="","",IF(AND(ISNUMBER($R877),ABS(N($R877))&lt;N(Settings!$C$8)),"Scratch",IF($Q877&gt;0,"Win",IF($Q877&lt;0,"Loss","Scratch"))))</f>
        <v/>
      </c>
      <c r="T877" s="47" t="str">
        <f>IF(OR($AM877=0,NOT(ISNUMBER($H877)),NOT(ISNUMBER($I877)),NOT(ISNUMBER($J877))),"",IF($H877=$I877,"",ROUND(ABS($J877-$H877)/ABS($H877-$I877),6)))</f>
        <v/>
      </c>
      <c r="U877" s="48" t="str">
        <f>IF(OR($S877&lt;&gt;"Win",NOT(ISNUMBER($T877)),NOT(ISNUMBER($R877))),"",MAX(0,$T877-$R877))</f>
        <v/>
      </c>
      <c r="V877" s="49" t="str">
        <f>IF(OR($AM877=0,NOT(ISNUMBER($H877)),NOT(ISNUMBER($I877)),NOT(ISNUMBER($G877))),"",IF(OR($AG877="",$AH877=""),"",IF(ROUND(ABS($H877-$I877)*ABS($G877)*$AG877*$AH877,6)=0,"",ROUND(ABS($H877-$I877)*ABS($G877)*$AG877*$AH877,6))))</f>
        <v/>
      </c>
      <c r="W877" s="50" t="str">
        <f>IF($AM877=0,"",IF($BG877="","OK",LEFT($BG877,LEN($BG877)-2)))</f>
        <v/>
      </c>
      <c r="X877" s="41" t="n"/>
      <c r="Y877" s="40" t="n"/>
      <c r="Z877" s="41" t="n"/>
      <c r="AA877" s="41" t="n"/>
      <c r="AB877" s="40" t="n"/>
      <c r="AC877" s="51" t="n"/>
      <c r="AD877" s="51" t="n"/>
      <c r="AE877" s="40" t="n"/>
      <c r="AF877" s="52" t="str">
        <f>IF($AM877=0,"",IF($D877&lt;&gt;"",$D877,IF(IFERROR(INDEX(Accounts!$C$7:$C$16,MATCH($C877,Accounts!$B$7:$B$16,0))&amp;"","")&lt;&gt;"",INDEX(Accounts!$C$7:$C$16,MATCH($C877,Accounts!$B$7:$B$16,0)),Settings!$C$6)))</f>
        <v/>
      </c>
      <c r="AG877" s="53" t="str">
        <f>IF($AM877=0,"",IF(AND($BE877&gt;0,N(INDEX(Instruments!$D$6:$D$205,MAX(1,$BE877)))&gt;0),INDEX(Instruments!$D$6:$D$205,MAX(1,$BE877)),IF(N(INDEX(Settings!$D$14:$D$18,$BF877))&gt;0,INDEX(Settings!$D$14:$D$18,$BF877),"")))</f>
        <v/>
      </c>
      <c r="AH877" s="54" t="str">
        <f>IF($AM877=0,"",IF($AF877&lt;&gt;"Forex",1,IF(MID(UPPER(SUBSTITUTE(TRIM($E877),"/","")),4,3)=UPPER(TRIM(Settings!$C$7)),1,IF(LEFT(UPPER(SUBSTITUTE(TRIM($E877),"/","")),3)=UPPER(TRIM(Settings!$C$7)),IF(AND(ISNUMBER($K877),N($K877)&lt;&gt;0),1/$K877,""),""))))</f>
        <v/>
      </c>
      <c r="AI877" s="55" t="str">
        <f>IF($AM877=0,"",IF(OR(NOT(ISNUMBER($H877)),NOT(ISNUMBER($K877)),NOT(ISNUMBER($G877)),$AG877="",$AH877=""),"",ROUND(($K877-$H877)*IF($F877="Short",-1,1)*$G877*$AG877*$AH877,6)))</f>
        <v/>
      </c>
      <c r="AJ877" s="55" t="str">
        <f>IF($AM877=0,"",IF(INDEX(Settings!$E$14:$E$18,$BF877)="% of notional",IF(OR($AG877="",NOT(ISNUMBER($H877)),NOT(ISNUMBER($G877))),"",ROUND(ABS($H877*$G877*$AG877*N($AH877))*IF($L877="Limit",N(INDEX(Settings!$G$14:$G$18,$BF877)),N(INDEX(Settings!$H$14:$H$18,$BF877)))+IF(ISNUMBER($K877),ABS($K877*$G877*$AG877*N($AH877))*IF($M877="Target",N(INDEX(Settings!$G$14:$G$18,$BF877)),N(INDEX(Settings!$H$14:$H$18,$BF877))),0),6)),IF(NOT(ISNUMBER($G877)),"",ROUND(ABS($G877)*2*IF(AND($BE877&gt;0,ISNUMBER(INDEX(Instruments!$G$6:$G$205,MAX(1,$BE877)))),INDEX(Instruments!$G$6:$G$205,MAX(1,$BE877)),N(INDEX(Settings!$F$14:$F$18,$BF877))),6))))</f>
        <v/>
      </c>
      <c r="AK877" s="55" t="str">
        <f>IF($AM877=0,"",IF(ISNUMBER($O877),$O877,$AI877))</f>
        <v/>
      </c>
      <c r="AL877" s="55" t="str">
        <f>IF($AM877=0,"",IF(ISNUMBER($P877),$P877,N($AJ877)))</f>
        <v/>
      </c>
      <c r="AM877" s="56">
        <f>IF(AND($A877&lt;&gt;"",$E877&lt;&gt;"",OR(AND(ISNUMBER($G877),ISNUMBER($H877),ISNUMBER($K877)),ISNUMBER($O877))),1,0)</f>
        <v>0</v>
      </c>
      <c r="AN877" s="57" t="str">
        <f>IF($A877="","",$A877-WEEKDAY($A877,3))</f>
        <v/>
      </c>
      <c r="AO877" s="56" t="str">
        <f>IF($A877="","",WEEKDAY($A877,2))</f>
        <v/>
      </c>
      <c r="AP877" s="55" t="str">
        <f>IF(OR($AM877=0,$C877=""),"",IFERROR(N(INDEX(Accounts!$E$7:$E$16,MATCH($C877,Accounts!$B$7:$B$16,0))),0)+SUMIFS($Q$6:$Q877,$C$6:$C877,$C877))</f>
        <v/>
      </c>
      <c r="AQ877" s="55" t="str">
        <f>IF(OR($AM877=0,$C877=""),"",SUMIFS($Q$6:$Q$1005,$C$6:$C$1005,$C877,$A$6:$A$1005,$A877))</f>
        <v/>
      </c>
      <c r="AR877" s="55" t="str">
        <f>IF(OR($AM877=0,$C877=""),"",IFERROR(N(INDEX(Accounts!$E$7:$E$16,MATCH($C877,Accounts!$B$7:$B$16,0))),0)+SUMIFS($Q$6:$Q$1005,$C$6:$C$1005,$C877,$A$6:$A$1005,"&lt;="&amp;$A877))</f>
        <v/>
      </c>
      <c r="AS877" s="56">
        <f>IF(OR($AM877=0,$Q877=""),0,IF(AND($A877&gt;=Lists!$W$6,$A877&lt;=Lists!$W$7,OR(Dashboard!$D$6="All accounts",$C877=Dashboard!$D$6),OR(Dashboard!$D$7="All markets",$AF877=Dashboard!$D$7)),1,0))</f>
        <v>0</v>
      </c>
      <c r="AT877" s="55">
        <f>IF($AS877=1,N(AT876)+$Q877,N(AT876))</f>
        <v>1187.10688</v>
      </c>
      <c r="AU877" s="55">
        <f>MAX(N(AU876),$AT877)</f>
        <v>1187.10688</v>
      </c>
      <c r="AV877" s="55">
        <f>$AT877-$AU877</f>
        <v>0</v>
      </c>
      <c r="AW877" s="56">
        <f>IF($AS877=1,IF($S877="Win",N(AW876)+1,IF($S877="Loss",0,N(AW876))),N(AW876))</f>
        <v>5</v>
      </c>
      <c r="AX877" s="56">
        <f>IF($AS877=1,IF($S877="Loss",N(AX876)+1,IF($S877="Win",0,N(AX876))),N(AX876))</f>
        <v>0</v>
      </c>
      <c r="AY877" s="56" t="str">
        <f>IF($AS877=1,COUNTIF($AS$6:$AS877,1),"")</f>
        <v/>
      </c>
      <c r="AZ877" s="56">
        <f>MIN(871,N(Lists!$W$8))</f>
        <v>28</v>
      </c>
      <c r="BA877" s="56">
        <f>IF($AS877=1,IF(COUNTIFS($A$6:$A877,$A877,$AS$6:$AS877,1)=1,1,0),0)</f>
        <v>0</v>
      </c>
      <c r="BB877" s="55" t="str">
        <f>IF($BA877=1,SUMIFS($Q$6:$Q$1005,$A$6:$A$1005,$A877,$AS$6:$AS$1005,1),"")</f>
        <v/>
      </c>
      <c r="BC877" s="56">
        <f>IF(ISNUMBER($R877),1,0)</f>
        <v>0</v>
      </c>
      <c r="BD877" s="55" t="str">
        <f>IF(ISNUMBER($U877),$U877*$V877,"")</f>
        <v/>
      </c>
      <c r="BE877" s="56" t="str">
        <f>IF($AM877=0,"",IFERROR(MATCH($AF877&amp;"|"&amp;UPPER(TRIM($E877)),Lists!$A$6:$A$205,0),0))</f>
        <v/>
      </c>
      <c r="BF877" s="56" t="str">
        <f>IF($AM877=0,"",IFERROR(MATCH($AF877,Settings!$B$14:$B$18,0),IFERROR(MATCH(Settings!$C$6,Settings!$B$14:$B$18,0),1)))</f>
        <v/>
      </c>
      <c r="BG877" s="58" t="str">
        <f>IF($AM877=0,"",IF(NOT(ISNUMBER($I877)),"No stop; ","")&amp;IF(AND(ISNUMBER($H877),ISNUMBER($I877)),IF(OR(AND($F877&lt;&gt;"Short",$I877&gt;=$H877),AND($F877="Short",$I877&lt;=$H877)),"Stop on wrong side; ",""),"")&amp;IF($F877="","No direction; ","")&amp;IF(AND(ISNUMBER(Settings!$C$22),ISNUMBER($V877)),IF($V877&gt;Settings!$C$22,"Risk over max $; ",""),"")&amp;IF(AND(ISNUMBER(Settings!$C$23),ISNUMBER($V877),ISNUMBER($AP877),IFERROR(N(INDEX(Accounts!$E$7:$E$16,MATCH($C877,Accounts!$B$7:$B$16,0))),0)&gt;0),IF($V877&gt;Settings!$C$23*($AP877-N($Q877)),"Risk over max %; ",""),"")&amp;IF(AND(ISNUMBER(Settings!$C$24),ISNUMBER($N877)),IF($N877&gt;Settings!$C$24,"Leverage over max; ",""),"")&amp;IF(AND(ISNUMBER(Settings!$C$27),ISNUMBER($T877)),IF($T877&lt;Settings!$C$27,"R:R below min; ",""),"")&amp;IF(ISNUMBER(Settings!$C$25),IF(COUNTIFS($A$6:$A877,$A877,$AM$6:$AM877,1)&gt;Settings!$C$25,"Over max trades/day; ",""),"")&amp;IF(ISNUMBER(Settings!$C$26),IF(SUMIFS($Q$5:$Q876,$A$5:$A876,$A877)&lt;=-Settings!$C$26,"Traded after daily max loss; ",""),"")&amp;IF(AND($AG877="",NOT(ISNUMBER($O877))),"Symbol not in Instruments; ","")&amp;IF(AND($AH877="",NOT(ISNUMBER($O877))),"Forex cross: type Gross P&amp;L; ",""))</f>
        <v/>
      </c>
      <c r="BH877" s="56">
        <f>IF(ISNUMBER($Q877),1,0)</f>
        <v>0</v>
      </c>
      <c r="BI877" s="56">
        <f>IF($Y877="",0,1)</f>
        <v>0</v>
      </c>
      <c r="BJ877" s="56">
        <f>IF($AB877="",0,1)</f>
        <v>0</v>
      </c>
      <c r="BK877" s="56">
        <f>IF(AND($BH877=1,$W877&lt;&gt;"OK"),1,0)</f>
        <v>0</v>
      </c>
      <c r="BL877" s="55">
        <f>IF(N($AZ877)=0,0,IFERROR(INDEX($AT$6:$AT$1005,MATCH($AZ877,$AY$6:$AY$1005,0)),0))</f>
        <v>1187.10688</v>
      </c>
      <c r="BM877" s="56">
        <f>IF(ISNUMBER(SEARCH("daily max loss",$BG877)),1,0)</f>
        <v>0</v>
      </c>
    </row>
    <row r="878" ht="18" customHeight="1">
      <c r="A878" s="38" t="n"/>
      <c r="B878" s="39" t="n"/>
      <c r="C878" s="40" t="n"/>
      <c r="D878" s="41" t="n"/>
      <c r="E878" s="41" t="n"/>
      <c r="F878" s="41" t="n"/>
      <c r="G878" s="41" t="n"/>
      <c r="H878" s="42" t="n"/>
      <c r="I878" s="42" t="n"/>
      <c r="J878" s="42" t="n"/>
      <c r="K878" s="42" t="n"/>
      <c r="L878" s="41" t="n"/>
      <c r="M878" s="41" t="n"/>
      <c r="N878" s="41" t="n"/>
      <c r="O878" s="43" t="n"/>
      <c r="P878" s="43" t="n"/>
      <c r="Q878" s="44" t="str">
        <f>IF($AM878=0,"",IF(ISNUMBER($AK878),$AK878-N($AL878),""))</f>
        <v/>
      </c>
      <c r="R878" s="45" t="str">
        <f>IF(OR($Q878="",NOT(ISNUMBER($V878))),"",$AK878/$V878)</f>
        <v/>
      </c>
      <c r="S878" s="46" t="str">
        <f>IF($Q878="","",IF(AND(ISNUMBER($R878),ABS(N($R878))&lt;N(Settings!$C$8)),"Scratch",IF($Q878&gt;0,"Win",IF($Q878&lt;0,"Loss","Scratch"))))</f>
        <v/>
      </c>
      <c r="T878" s="47" t="str">
        <f>IF(OR($AM878=0,NOT(ISNUMBER($H878)),NOT(ISNUMBER($I878)),NOT(ISNUMBER($J878))),"",IF($H878=$I878,"",ROUND(ABS($J878-$H878)/ABS($H878-$I878),6)))</f>
        <v/>
      </c>
      <c r="U878" s="48" t="str">
        <f>IF(OR($S878&lt;&gt;"Win",NOT(ISNUMBER($T878)),NOT(ISNUMBER($R878))),"",MAX(0,$T878-$R878))</f>
        <v/>
      </c>
      <c r="V878" s="49" t="str">
        <f>IF(OR($AM878=0,NOT(ISNUMBER($H878)),NOT(ISNUMBER($I878)),NOT(ISNUMBER($G878))),"",IF(OR($AG878="",$AH878=""),"",IF(ROUND(ABS($H878-$I878)*ABS($G878)*$AG878*$AH878,6)=0,"",ROUND(ABS($H878-$I878)*ABS($G878)*$AG878*$AH878,6))))</f>
        <v/>
      </c>
      <c r="W878" s="50" t="str">
        <f>IF($AM878=0,"",IF($BG878="","OK",LEFT($BG878,LEN($BG878)-2)))</f>
        <v/>
      </c>
      <c r="X878" s="41" t="n"/>
      <c r="Y878" s="40" t="n"/>
      <c r="Z878" s="41" t="n"/>
      <c r="AA878" s="41" t="n"/>
      <c r="AB878" s="40" t="n"/>
      <c r="AC878" s="51" t="n"/>
      <c r="AD878" s="51" t="n"/>
      <c r="AE878" s="40" t="n"/>
      <c r="AF878" s="52" t="str">
        <f>IF($AM878=0,"",IF($D878&lt;&gt;"",$D878,IF(IFERROR(INDEX(Accounts!$C$7:$C$16,MATCH($C878,Accounts!$B$7:$B$16,0))&amp;"","")&lt;&gt;"",INDEX(Accounts!$C$7:$C$16,MATCH($C878,Accounts!$B$7:$B$16,0)),Settings!$C$6)))</f>
        <v/>
      </c>
      <c r="AG878" s="53" t="str">
        <f>IF($AM878=0,"",IF(AND($BE878&gt;0,N(INDEX(Instruments!$D$6:$D$205,MAX(1,$BE878)))&gt;0),INDEX(Instruments!$D$6:$D$205,MAX(1,$BE878)),IF(N(INDEX(Settings!$D$14:$D$18,$BF878))&gt;0,INDEX(Settings!$D$14:$D$18,$BF878),"")))</f>
        <v/>
      </c>
      <c r="AH878" s="54" t="str">
        <f>IF($AM878=0,"",IF($AF878&lt;&gt;"Forex",1,IF(MID(UPPER(SUBSTITUTE(TRIM($E878),"/","")),4,3)=UPPER(TRIM(Settings!$C$7)),1,IF(LEFT(UPPER(SUBSTITUTE(TRIM($E878),"/","")),3)=UPPER(TRIM(Settings!$C$7)),IF(AND(ISNUMBER($K878),N($K878)&lt;&gt;0),1/$K878,""),""))))</f>
        <v/>
      </c>
      <c r="AI878" s="55" t="str">
        <f>IF($AM878=0,"",IF(OR(NOT(ISNUMBER($H878)),NOT(ISNUMBER($K878)),NOT(ISNUMBER($G878)),$AG878="",$AH878=""),"",ROUND(($K878-$H878)*IF($F878="Short",-1,1)*$G878*$AG878*$AH878,6)))</f>
        <v/>
      </c>
      <c r="AJ878" s="55" t="str">
        <f>IF($AM878=0,"",IF(INDEX(Settings!$E$14:$E$18,$BF878)="% of notional",IF(OR($AG878="",NOT(ISNUMBER($H878)),NOT(ISNUMBER($G878))),"",ROUND(ABS($H878*$G878*$AG878*N($AH878))*IF($L878="Limit",N(INDEX(Settings!$G$14:$G$18,$BF878)),N(INDEX(Settings!$H$14:$H$18,$BF878)))+IF(ISNUMBER($K878),ABS($K878*$G878*$AG878*N($AH878))*IF($M878="Target",N(INDEX(Settings!$G$14:$G$18,$BF878)),N(INDEX(Settings!$H$14:$H$18,$BF878))),0),6)),IF(NOT(ISNUMBER($G878)),"",ROUND(ABS($G878)*2*IF(AND($BE878&gt;0,ISNUMBER(INDEX(Instruments!$G$6:$G$205,MAX(1,$BE878)))),INDEX(Instruments!$G$6:$G$205,MAX(1,$BE878)),N(INDEX(Settings!$F$14:$F$18,$BF878))),6))))</f>
        <v/>
      </c>
      <c r="AK878" s="55" t="str">
        <f>IF($AM878=0,"",IF(ISNUMBER($O878),$O878,$AI878))</f>
        <v/>
      </c>
      <c r="AL878" s="55" t="str">
        <f>IF($AM878=0,"",IF(ISNUMBER($P878),$P878,N($AJ878)))</f>
        <v/>
      </c>
      <c r="AM878" s="56">
        <f>IF(AND($A878&lt;&gt;"",$E878&lt;&gt;"",OR(AND(ISNUMBER($G878),ISNUMBER($H878),ISNUMBER($K878)),ISNUMBER($O878))),1,0)</f>
        <v>0</v>
      </c>
      <c r="AN878" s="57" t="str">
        <f>IF($A878="","",$A878-WEEKDAY($A878,3))</f>
        <v/>
      </c>
      <c r="AO878" s="56" t="str">
        <f>IF($A878="","",WEEKDAY($A878,2))</f>
        <v/>
      </c>
      <c r="AP878" s="55" t="str">
        <f>IF(OR($AM878=0,$C878=""),"",IFERROR(N(INDEX(Accounts!$E$7:$E$16,MATCH($C878,Accounts!$B$7:$B$16,0))),0)+SUMIFS($Q$6:$Q878,$C$6:$C878,$C878))</f>
        <v/>
      </c>
      <c r="AQ878" s="55" t="str">
        <f>IF(OR($AM878=0,$C878=""),"",SUMIFS($Q$6:$Q$1005,$C$6:$C$1005,$C878,$A$6:$A$1005,$A878))</f>
        <v/>
      </c>
      <c r="AR878" s="55" t="str">
        <f>IF(OR($AM878=0,$C878=""),"",IFERROR(N(INDEX(Accounts!$E$7:$E$16,MATCH($C878,Accounts!$B$7:$B$16,0))),0)+SUMIFS($Q$6:$Q$1005,$C$6:$C$1005,$C878,$A$6:$A$1005,"&lt;="&amp;$A878))</f>
        <v/>
      </c>
      <c r="AS878" s="56">
        <f>IF(OR($AM878=0,$Q878=""),0,IF(AND($A878&gt;=Lists!$W$6,$A878&lt;=Lists!$W$7,OR(Dashboard!$D$6="All accounts",$C878=Dashboard!$D$6),OR(Dashboard!$D$7="All markets",$AF878=Dashboard!$D$7)),1,0))</f>
        <v>0</v>
      </c>
      <c r="AT878" s="55">
        <f>IF($AS878=1,N(AT877)+$Q878,N(AT877))</f>
        <v>1187.10688</v>
      </c>
      <c r="AU878" s="55">
        <f>MAX(N(AU877),$AT878)</f>
        <v>1187.10688</v>
      </c>
      <c r="AV878" s="55">
        <f>$AT878-$AU878</f>
        <v>0</v>
      </c>
      <c r="AW878" s="56">
        <f>IF($AS878=1,IF($S878="Win",N(AW877)+1,IF($S878="Loss",0,N(AW877))),N(AW877))</f>
        <v>5</v>
      </c>
      <c r="AX878" s="56">
        <f>IF($AS878=1,IF($S878="Loss",N(AX877)+1,IF($S878="Win",0,N(AX877))),N(AX877))</f>
        <v>0</v>
      </c>
      <c r="AY878" s="56" t="str">
        <f>IF($AS878=1,COUNTIF($AS$6:$AS878,1),"")</f>
        <v/>
      </c>
      <c r="AZ878" s="56">
        <f>MIN(872,N(Lists!$W$8))</f>
        <v>28</v>
      </c>
      <c r="BA878" s="56">
        <f>IF($AS878=1,IF(COUNTIFS($A$6:$A878,$A878,$AS$6:$AS878,1)=1,1,0),0)</f>
        <v>0</v>
      </c>
      <c r="BB878" s="55" t="str">
        <f>IF($BA878=1,SUMIFS($Q$6:$Q$1005,$A$6:$A$1005,$A878,$AS$6:$AS$1005,1),"")</f>
        <v/>
      </c>
      <c r="BC878" s="56">
        <f>IF(ISNUMBER($R878),1,0)</f>
        <v>0</v>
      </c>
      <c r="BD878" s="55" t="str">
        <f>IF(ISNUMBER($U878),$U878*$V878,"")</f>
        <v/>
      </c>
      <c r="BE878" s="56" t="str">
        <f>IF($AM878=0,"",IFERROR(MATCH($AF878&amp;"|"&amp;UPPER(TRIM($E878)),Lists!$A$6:$A$205,0),0))</f>
        <v/>
      </c>
      <c r="BF878" s="56" t="str">
        <f>IF($AM878=0,"",IFERROR(MATCH($AF878,Settings!$B$14:$B$18,0),IFERROR(MATCH(Settings!$C$6,Settings!$B$14:$B$18,0),1)))</f>
        <v/>
      </c>
      <c r="BG878" s="58" t="str">
        <f>IF($AM878=0,"",IF(NOT(ISNUMBER($I878)),"No stop; ","")&amp;IF(AND(ISNUMBER($H878),ISNUMBER($I878)),IF(OR(AND($F878&lt;&gt;"Short",$I878&gt;=$H878),AND($F878="Short",$I878&lt;=$H878)),"Stop on wrong side; ",""),"")&amp;IF($F878="","No direction; ","")&amp;IF(AND(ISNUMBER(Settings!$C$22),ISNUMBER($V878)),IF($V878&gt;Settings!$C$22,"Risk over max $; ",""),"")&amp;IF(AND(ISNUMBER(Settings!$C$23),ISNUMBER($V878),ISNUMBER($AP878),IFERROR(N(INDEX(Accounts!$E$7:$E$16,MATCH($C878,Accounts!$B$7:$B$16,0))),0)&gt;0),IF($V878&gt;Settings!$C$23*($AP878-N($Q878)),"Risk over max %; ",""),"")&amp;IF(AND(ISNUMBER(Settings!$C$24),ISNUMBER($N878)),IF($N878&gt;Settings!$C$24,"Leverage over max; ",""),"")&amp;IF(AND(ISNUMBER(Settings!$C$27),ISNUMBER($T878)),IF($T878&lt;Settings!$C$27,"R:R below min; ",""),"")&amp;IF(ISNUMBER(Settings!$C$25),IF(COUNTIFS($A$6:$A878,$A878,$AM$6:$AM878,1)&gt;Settings!$C$25,"Over max trades/day; ",""),"")&amp;IF(ISNUMBER(Settings!$C$26),IF(SUMIFS($Q$5:$Q877,$A$5:$A877,$A878)&lt;=-Settings!$C$26,"Traded after daily max loss; ",""),"")&amp;IF(AND($AG878="",NOT(ISNUMBER($O878))),"Symbol not in Instruments; ","")&amp;IF(AND($AH878="",NOT(ISNUMBER($O878))),"Forex cross: type Gross P&amp;L; ",""))</f>
        <v/>
      </c>
      <c r="BH878" s="56">
        <f>IF(ISNUMBER($Q878),1,0)</f>
        <v>0</v>
      </c>
      <c r="BI878" s="56">
        <f>IF($Y878="",0,1)</f>
        <v>0</v>
      </c>
      <c r="BJ878" s="56">
        <f>IF($AB878="",0,1)</f>
        <v>0</v>
      </c>
      <c r="BK878" s="56">
        <f>IF(AND($BH878=1,$W878&lt;&gt;"OK"),1,0)</f>
        <v>0</v>
      </c>
      <c r="BL878" s="55">
        <f>IF(N($AZ878)=0,0,IFERROR(INDEX($AT$6:$AT$1005,MATCH($AZ878,$AY$6:$AY$1005,0)),0))</f>
        <v>1187.10688</v>
      </c>
      <c r="BM878" s="56">
        <f>IF(ISNUMBER(SEARCH("daily max loss",$BG878)),1,0)</f>
        <v>0</v>
      </c>
    </row>
    <row r="879" ht="18" customHeight="1">
      <c r="A879" s="38" t="n"/>
      <c r="B879" s="39" t="n"/>
      <c r="C879" s="40" t="n"/>
      <c r="D879" s="41" t="n"/>
      <c r="E879" s="41" t="n"/>
      <c r="F879" s="41" t="n"/>
      <c r="G879" s="41" t="n"/>
      <c r="H879" s="42" t="n"/>
      <c r="I879" s="42" t="n"/>
      <c r="J879" s="42" t="n"/>
      <c r="K879" s="42" t="n"/>
      <c r="L879" s="41" t="n"/>
      <c r="M879" s="41" t="n"/>
      <c r="N879" s="41" t="n"/>
      <c r="O879" s="43" t="n"/>
      <c r="P879" s="43" t="n"/>
      <c r="Q879" s="44" t="str">
        <f>IF($AM879=0,"",IF(ISNUMBER($AK879),$AK879-N($AL879),""))</f>
        <v/>
      </c>
      <c r="R879" s="45" t="str">
        <f>IF(OR($Q879="",NOT(ISNUMBER($V879))),"",$AK879/$V879)</f>
        <v/>
      </c>
      <c r="S879" s="46" t="str">
        <f>IF($Q879="","",IF(AND(ISNUMBER($R879),ABS(N($R879))&lt;N(Settings!$C$8)),"Scratch",IF($Q879&gt;0,"Win",IF($Q879&lt;0,"Loss","Scratch"))))</f>
        <v/>
      </c>
      <c r="T879" s="47" t="str">
        <f>IF(OR($AM879=0,NOT(ISNUMBER($H879)),NOT(ISNUMBER($I879)),NOT(ISNUMBER($J879))),"",IF($H879=$I879,"",ROUND(ABS($J879-$H879)/ABS($H879-$I879),6)))</f>
        <v/>
      </c>
      <c r="U879" s="48" t="str">
        <f>IF(OR($S879&lt;&gt;"Win",NOT(ISNUMBER($T879)),NOT(ISNUMBER($R879))),"",MAX(0,$T879-$R879))</f>
        <v/>
      </c>
      <c r="V879" s="49" t="str">
        <f>IF(OR($AM879=0,NOT(ISNUMBER($H879)),NOT(ISNUMBER($I879)),NOT(ISNUMBER($G879))),"",IF(OR($AG879="",$AH879=""),"",IF(ROUND(ABS($H879-$I879)*ABS($G879)*$AG879*$AH879,6)=0,"",ROUND(ABS($H879-$I879)*ABS($G879)*$AG879*$AH879,6))))</f>
        <v/>
      </c>
      <c r="W879" s="50" t="str">
        <f>IF($AM879=0,"",IF($BG879="","OK",LEFT($BG879,LEN($BG879)-2)))</f>
        <v/>
      </c>
      <c r="X879" s="41" t="n"/>
      <c r="Y879" s="40" t="n"/>
      <c r="Z879" s="41" t="n"/>
      <c r="AA879" s="41" t="n"/>
      <c r="AB879" s="40" t="n"/>
      <c r="AC879" s="51" t="n"/>
      <c r="AD879" s="51" t="n"/>
      <c r="AE879" s="40" t="n"/>
      <c r="AF879" s="52" t="str">
        <f>IF($AM879=0,"",IF($D879&lt;&gt;"",$D879,IF(IFERROR(INDEX(Accounts!$C$7:$C$16,MATCH($C879,Accounts!$B$7:$B$16,0))&amp;"","")&lt;&gt;"",INDEX(Accounts!$C$7:$C$16,MATCH($C879,Accounts!$B$7:$B$16,0)),Settings!$C$6)))</f>
        <v/>
      </c>
      <c r="AG879" s="53" t="str">
        <f>IF($AM879=0,"",IF(AND($BE879&gt;0,N(INDEX(Instruments!$D$6:$D$205,MAX(1,$BE879)))&gt;0),INDEX(Instruments!$D$6:$D$205,MAX(1,$BE879)),IF(N(INDEX(Settings!$D$14:$D$18,$BF879))&gt;0,INDEX(Settings!$D$14:$D$18,$BF879),"")))</f>
        <v/>
      </c>
      <c r="AH879" s="54" t="str">
        <f>IF($AM879=0,"",IF($AF879&lt;&gt;"Forex",1,IF(MID(UPPER(SUBSTITUTE(TRIM($E879),"/","")),4,3)=UPPER(TRIM(Settings!$C$7)),1,IF(LEFT(UPPER(SUBSTITUTE(TRIM($E879),"/","")),3)=UPPER(TRIM(Settings!$C$7)),IF(AND(ISNUMBER($K879),N($K879)&lt;&gt;0),1/$K879,""),""))))</f>
        <v/>
      </c>
      <c r="AI879" s="55" t="str">
        <f>IF($AM879=0,"",IF(OR(NOT(ISNUMBER($H879)),NOT(ISNUMBER($K879)),NOT(ISNUMBER($G879)),$AG879="",$AH879=""),"",ROUND(($K879-$H879)*IF($F879="Short",-1,1)*$G879*$AG879*$AH879,6)))</f>
        <v/>
      </c>
      <c r="AJ879" s="55" t="str">
        <f>IF($AM879=0,"",IF(INDEX(Settings!$E$14:$E$18,$BF879)="% of notional",IF(OR($AG879="",NOT(ISNUMBER($H879)),NOT(ISNUMBER($G879))),"",ROUND(ABS($H879*$G879*$AG879*N($AH879))*IF($L879="Limit",N(INDEX(Settings!$G$14:$G$18,$BF879)),N(INDEX(Settings!$H$14:$H$18,$BF879)))+IF(ISNUMBER($K879),ABS($K879*$G879*$AG879*N($AH879))*IF($M879="Target",N(INDEX(Settings!$G$14:$G$18,$BF879)),N(INDEX(Settings!$H$14:$H$18,$BF879))),0),6)),IF(NOT(ISNUMBER($G879)),"",ROUND(ABS($G879)*2*IF(AND($BE879&gt;0,ISNUMBER(INDEX(Instruments!$G$6:$G$205,MAX(1,$BE879)))),INDEX(Instruments!$G$6:$G$205,MAX(1,$BE879)),N(INDEX(Settings!$F$14:$F$18,$BF879))),6))))</f>
        <v/>
      </c>
      <c r="AK879" s="55" t="str">
        <f>IF($AM879=0,"",IF(ISNUMBER($O879),$O879,$AI879))</f>
        <v/>
      </c>
      <c r="AL879" s="55" t="str">
        <f>IF($AM879=0,"",IF(ISNUMBER($P879),$P879,N($AJ879)))</f>
        <v/>
      </c>
      <c r="AM879" s="56">
        <f>IF(AND($A879&lt;&gt;"",$E879&lt;&gt;"",OR(AND(ISNUMBER($G879),ISNUMBER($H879),ISNUMBER($K879)),ISNUMBER($O879))),1,0)</f>
        <v>0</v>
      </c>
      <c r="AN879" s="57" t="str">
        <f>IF($A879="","",$A879-WEEKDAY($A879,3))</f>
        <v/>
      </c>
      <c r="AO879" s="56" t="str">
        <f>IF($A879="","",WEEKDAY($A879,2))</f>
        <v/>
      </c>
      <c r="AP879" s="55" t="str">
        <f>IF(OR($AM879=0,$C879=""),"",IFERROR(N(INDEX(Accounts!$E$7:$E$16,MATCH($C879,Accounts!$B$7:$B$16,0))),0)+SUMIFS($Q$6:$Q879,$C$6:$C879,$C879))</f>
        <v/>
      </c>
      <c r="AQ879" s="55" t="str">
        <f>IF(OR($AM879=0,$C879=""),"",SUMIFS($Q$6:$Q$1005,$C$6:$C$1005,$C879,$A$6:$A$1005,$A879))</f>
        <v/>
      </c>
      <c r="AR879" s="55" t="str">
        <f>IF(OR($AM879=0,$C879=""),"",IFERROR(N(INDEX(Accounts!$E$7:$E$16,MATCH($C879,Accounts!$B$7:$B$16,0))),0)+SUMIFS($Q$6:$Q$1005,$C$6:$C$1005,$C879,$A$6:$A$1005,"&lt;="&amp;$A879))</f>
        <v/>
      </c>
      <c r="AS879" s="56">
        <f>IF(OR($AM879=0,$Q879=""),0,IF(AND($A879&gt;=Lists!$W$6,$A879&lt;=Lists!$W$7,OR(Dashboard!$D$6="All accounts",$C879=Dashboard!$D$6),OR(Dashboard!$D$7="All markets",$AF879=Dashboard!$D$7)),1,0))</f>
        <v>0</v>
      </c>
      <c r="AT879" s="55">
        <f>IF($AS879=1,N(AT878)+$Q879,N(AT878))</f>
        <v>1187.10688</v>
      </c>
      <c r="AU879" s="55">
        <f>MAX(N(AU878),$AT879)</f>
        <v>1187.10688</v>
      </c>
      <c r="AV879" s="55">
        <f>$AT879-$AU879</f>
        <v>0</v>
      </c>
      <c r="AW879" s="56">
        <f>IF($AS879=1,IF($S879="Win",N(AW878)+1,IF($S879="Loss",0,N(AW878))),N(AW878))</f>
        <v>5</v>
      </c>
      <c r="AX879" s="56">
        <f>IF($AS879=1,IF($S879="Loss",N(AX878)+1,IF($S879="Win",0,N(AX878))),N(AX878))</f>
        <v>0</v>
      </c>
      <c r="AY879" s="56" t="str">
        <f>IF($AS879=1,COUNTIF($AS$6:$AS879,1),"")</f>
        <v/>
      </c>
      <c r="AZ879" s="56">
        <f>MIN(873,N(Lists!$W$8))</f>
        <v>28</v>
      </c>
      <c r="BA879" s="56">
        <f>IF($AS879=1,IF(COUNTIFS($A$6:$A879,$A879,$AS$6:$AS879,1)=1,1,0),0)</f>
        <v>0</v>
      </c>
      <c r="BB879" s="55" t="str">
        <f>IF($BA879=1,SUMIFS($Q$6:$Q$1005,$A$6:$A$1005,$A879,$AS$6:$AS$1005,1),"")</f>
        <v/>
      </c>
      <c r="BC879" s="56">
        <f>IF(ISNUMBER($R879),1,0)</f>
        <v>0</v>
      </c>
      <c r="BD879" s="55" t="str">
        <f>IF(ISNUMBER($U879),$U879*$V879,"")</f>
        <v/>
      </c>
      <c r="BE879" s="56" t="str">
        <f>IF($AM879=0,"",IFERROR(MATCH($AF879&amp;"|"&amp;UPPER(TRIM($E879)),Lists!$A$6:$A$205,0),0))</f>
        <v/>
      </c>
      <c r="BF879" s="56" t="str">
        <f>IF($AM879=0,"",IFERROR(MATCH($AF879,Settings!$B$14:$B$18,0),IFERROR(MATCH(Settings!$C$6,Settings!$B$14:$B$18,0),1)))</f>
        <v/>
      </c>
      <c r="BG879" s="58" t="str">
        <f>IF($AM879=0,"",IF(NOT(ISNUMBER($I879)),"No stop; ","")&amp;IF(AND(ISNUMBER($H879),ISNUMBER($I879)),IF(OR(AND($F879&lt;&gt;"Short",$I879&gt;=$H879),AND($F879="Short",$I879&lt;=$H879)),"Stop on wrong side; ",""),"")&amp;IF($F879="","No direction; ","")&amp;IF(AND(ISNUMBER(Settings!$C$22),ISNUMBER($V879)),IF($V879&gt;Settings!$C$22,"Risk over max $; ",""),"")&amp;IF(AND(ISNUMBER(Settings!$C$23),ISNUMBER($V879),ISNUMBER($AP879),IFERROR(N(INDEX(Accounts!$E$7:$E$16,MATCH($C879,Accounts!$B$7:$B$16,0))),0)&gt;0),IF($V879&gt;Settings!$C$23*($AP879-N($Q879)),"Risk over max %; ",""),"")&amp;IF(AND(ISNUMBER(Settings!$C$24),ISNUMBER($N879)),IF($N879&gt;Settings!$C$24,"Leverage over max; ",""),"")&amp;IF(AND(ISNUMBER(Settings!$C$27),ISNUMBER($T879)),IF($T879&lt;Settings!$C$27,"R:R below min; ",""),"")&amp;IF(ISNUMBER(Settings!$C$25),IF(COUNTIFS($A$6:$A879,$A879,$AM$6:$AM879,1)&gt;Settings!$C$25,"Over max trades/day; ",""),"")&amp;IF(ISNUMBER(Settings!$C$26),IF(SUMIFS($Q$5:$Q878,$A$5:$A878,$A879)&lt;=-Settings!$C$26,"Traded after daily max loss; ",""),"")&amp;IF(AND($AG879="",NOT(ISNUMBER($O879))),"Symbol not in Instruments; ","")&amp;IF(AND($AH879="",NOT(ISNUMBER($O879))),"Forex cross: type Gross P&amp;L; ",""))</f>
        <v/>
      </c>
      <c r="BH879" s="56">
        <f>IF(ISNUMBER($Q879),1,0)</f>
        <v>0</v>
      </c>
      <c r="BI879" s="56">
        <f>IF($Y879="",0,1)</f>
        <v>0</v>
      </c>
      <c r="BJ879" s="56">
        <f>IF($AB879="",0,1)</f>
        <v>0</v>
      </c>
      <c r="BK879" s="56">
        <f>IF(AND($BH879=1,$W879&lt;&gt;"OK"),1,0)</f>
        <v>0</v>
      </c>
      <c r="BL879" s="55">
        <f>IF(N($AZ879)=0,0,IFERROR(INDEX($AT$6:$AT$1005,MATCH($AZ879,$AY$6:$AY$1005,0)),0))</f>
        <v>1187.10688</v>
      </c>
      <c r="BM879" s="56">
        <f>IF(ISNUMBER(SEARCH("daily max loss",$BG879)),1,0)</f>
        <v>0</v>
      </c>
    </row>
    <row r="880" ht="18" customHeight="1">
      <c r="A880" s="38" t="n"/>
      <c r="B880" s="39" t="n"/>
      <c r="C880" s="40" t="n"/>
      <c r="D880" s="41" t="n"/>
      <c r="E880" s="41" t="n"/>
      <c r="F880" s="41" t="n"/>
      <c r="G880" s="41" t="n"/>
      <c r="H880" s="42" t="n"/>
      <c r="I880" s="42" t="n"/>
      <c r="J880" s="42" t="n"/>
      <c r="K880" s="42" t="n"/>
      <c r="L880" s="41" t="n"/>
      <c r="M880" s="41" t="n"/>
      <c r="N880" s="41" t="n"/>
      <c r="O880" s="43" t="n"/>
      <c r="P880" s="43" t="n"/>
      <c r="Q880" s="44" t="str">
        <f>IF($AM880=0,"",IF(ISNUMBER($AK880),$AK880-N($AL880),""))</f>
        <v/>
      </c>
      <c r="R880" s="45" t="str">
        <f>IF(OR($Q880="",NOT(ISNUMBER($V880))),"",$AK880/$V880)</f>
        <v/>
      </c>
      <c r="S880" s="46" t="str">
        <f>IF($Q880="","",IF(AND(ISNUMBER($R880),ABS(N($R880))&lt;N(Settings!$C$8)),"Scratch",IF($Q880&gt;0,"Win",IF($Q880&lt;0,"Loss","Scratch"))))</f>
        <v/>
      </c>
      <c r="T880" s="47" t="str">
        <f>IF(OR($AM880=0,NOT(ISNUMBER($H880)),NOT(ISNUMBER($I880)),NOT(ISNUMBER($J880))),"",IF($H880=$I880,"",ROUND(ABS($J880-$H880)/ABS($H880-$I880),6)))</f>
        <v/>
      </c>
      <c r="U880" s="48" t="str">
        <f>IF(OR($S880&lt;&gt;"Win",NOT(ISNUMBER($T880)),NOT(ISNUMBER($R880))),"",MAX(0,$T880-$R880))</f>
        <v/>
      </c>
      <c r="V880" s="49" t="str">
        <f>IF(OR($AM880=0,NOT(ISNUMBER($H880)),NOT(ISNUMBER($I880)),NOT(ISNUMBER($G880))),"",IF(OR($AG880="",$AH880=""),"",IF(ROUND(ABS($H880-$I880)*ABS($G880)*$AG880*$AH880,6)=0,"",ROUND(ABS($H880-$I880)*ABS($G880)*$AG880*$AH880,6))))</f>
        <v/>
      </c>
      <c r="W880" s="50" t="str">
        <f>IF($AM880=0,"",IF($BG880="","OK",LEFT($BG880,LEN($BG880)-2)))</f>
        <v/>
      </c>
      <c r="X880" s="41" t="n"/>
      <c r="Y880" s="40" t="n"/>
      <c r="Z880" s="41" t="n"/>
      <c r="AA880" s="41" t="n"/>
      <c r="AB880" s="40" t="n"/>
      <c r="AC880" s="51" t="n"/>
      <c r="AD880" s="51" t="n"/>
      <c r="AE880" s="40" t="n"/>
      <c r="AF880" s="52" t="str">
        <f>IF($AM880=0,"",IF($D880&lt;&gt;"",$D880,IF(IFERROR(INDEX(Accounts!$C$7:$C$16,MATCH($C880,Accounts!$B$7:$B$16,0))&amp;"","")&lt;&gt;"",INDEX(Accounts!$C$7:$C$16,MATCH($C880,Accounts!$B$7:$B$16,0)),Settings!$C$6)))</f>
        <v/>
      </c>
      <c r="AG880" s="53" t="str">
        <f>IF($AM880=0,"",IF(AND($BE880&gt;0,N(INDEX(Instruments!$D$6:$D$205,MAX(1,$BE880)))&gt;0),INDEX(Instruments!$D$6:$D$205,MAX(1,$BE880)),IF(N(INDEX(Settings!$D$14:$D$18,$BF880))&gt;0,INDEX(Settings!$D$14:$D$18,$BF880),"")))</f>
        <v/>
      </c>
      <c r="AH880" s="54" t="str">
        <f>IF($AM880=0,"",IF($AF880&lt;&gt;"Forex",1,IF(MID(UPPER(SUBSTITUTE(TRIM($E880),"/","")),4,3)=UPPER(TRIM(Settings!$C$7)),1,IF(LEFT(UPPER(SUBSTITUTE(TRIM($E880),"/","")),3)=UPPER(TRIM(Settings!$C$7)),IF(AND(ISNUMBER($K880),N($K880)&lt;&gt;0),1/$K880,""),""))))</f>
        <v/>
      </c>
      <c r="AI880" s="55" t="str">
        <f>IF($AM880=0,"",IF(OR(NOT(ISNUMBER($H880)),NOT(ISNUMBER($K880)),NOT(ISNUMBER($G880)),$AG880="",$AH880=""),"",ROUND(($K880-$H880)*IF($F880="Short",-1,1)*$G880*$AG880*$AH880,6)))</f>
        <v/>
      </c>
      <c r="AJ880" s="55" t="str">
        <f>IF($AM880=0,"",IF(INDEX(Settings!$E$14:$E$18,$BF880)="% of notional",IF(OR($AG880="",NOT(ISNUMBER($H880)),NOT(ISNUMBER($G880))),"",ROUND(ABS($H880*$G880*$AG880*N($AH880))*IF($L880="Limit",N(INDEX(Settings!$G$14:$G$18,$BF880)),N(INDEX(Settings!$H$14:$H$18,$BF880)))+IF(ISNUMBER($K880),ABS($K880*$G880*$AG880*N($AH880))*IF($M880="Target",N(INDEX(Settings!$G$14:$G$18,$BF880)),N(INDEX(Settings!$H$14:$H$18,$BF880))),0),6)),IF(NOT(ISNUMBER($G880)),"",ROUND(ABS($G880)*2*IF(AND($BE880&gt;0,ISNUMBER(INDEX(Instruments!$G$6:$G$205,MAX(1,$BE880)))),INDEX(Instruments!$G$6:$G$205,MAX(1,$BE880)),N(INDEX(Settings!$F$14:$F$18,$BF880))),6))))</f>
        <v/>
      </c>
      <c r="AK880" s="55" t="str">
        <f>IF($AM880=0,"",IF(ISNUMBER($O880),$O880,$AI880))</f>
        <v/>
      </c>
      <c r="AL880" s="55" t="str">
        <f>IF($AM880=0,"",IF(ISNUMBER($P880),$P880,N($AJ880)))</f>
        <v/>
      </c>
      <c r="AM880" s="56">
        <f>IF(AND($A880&lt;&gt;"",$E880&lt;&gt;"",OR(AND(ISNUMBER($G880),ISNUMBER($H880),ISNUMBER($K880)),ISNUMBER($O880))),1,0)</f>
        <v>0</v>
      </c>
      <c r="AN880" s="57" t="str">
        <f>IF($A880="","",$A880-WEEKDAY($A880,3))</f>
        <v/>
      </c>
      <c r="AO880" s="56" t="str">
        <f>IF($A880="","",WEEKDAY($A880,2))</f>
        <v/>
      </c>
      <c r="AP880" s="55" t="str">
        <f>IF(OR($AM880=0,$C880=""),"",IFERROR(N(INDEX(Accounts!$E$7:$E$16,MATCH($C880,Accounts!$B$7:$B$16,0))),0)+SUMIFS($Q$6:$Q880,$C$6:$C880,$C880))</f>
        <v/>
      </c>
      <c r="AQ880" s="55" t="str">
        <f>IF(OR($AM880=0,$C880=""),"",SUMIFS($Q$6:$Q$1005,$C$6:$C$1005,$C880,$A$6:$A$1005,$A880))</f>
        <v/>
      </c>
      <c r="AR880" s="55" t="str">
        <f>IF(OR($AM880=0,$C880=""),"",IFERROR(N(INDEX(Accounts!$E$7:$E$16,MATCH($C880,Accounts!$B$7:$B$16,0))),0)+SUMIFS($Q$6:$Q$1005,$C$6:$C$1005,$C880,$A$6:$A$1005,"&lt;="&amp;$A880))</f>
        <v/>
      </c>
      <c r="AS880" s="56">
        <f>IF(OR($AM880=0,$Q880=""),0,IF(AND($A880&gt;=Lists!$W$6,$A880&lt;=Lists!$W$7,OR(Dashboard!$D$6="All accounts",$C880=Dashboard!$D$6),OR(Dashboard!$D$7="All markets",$AF880=Dashboard!$D$7)),1,0))</f>
        <v>0</v>
      </c>
      <c r="AT880" s="55">
        <f>IF($AS880=1,N(AT879)+$Q880,N(AT879))</f>
        <v>1187.10688</v>
      </c>
      <c r="AU880" s="55">
        <f>MAX(N(AU879),$AT880)</f>
        <v>1187.10688</v>
      </c>
      <c r="AV880" s="55">
        <f>$AT880-$AU880</f>
        <v>0</v>
      </c>
      <c r="AW880" s="56">
        <f>IF($AS880=1,IF($S880="Win",N(AW879)+1,IF($S880="Loss",0,N(AW879))),N(AW879))</f>
        <v>5</v>
      </c>
      <c r="AX880" s="56">
        <f>IF($AS880=1,IF($S880="Loss",N(AX879)+1,IF($S880="Win",0,N(AX879))),N(AX879))</f>
        <v>0</v>
      </c>
      <c r="AY880" s="56" t="str">
        <f>IF($AS880=1,COUNTIF($AS$6:$AS880,1),"")</f>
        <v/>
      </c>
      <c r="AZ880" s="56">
        <f>MIN(874,N(Lists!$W$8))</f>
        <v>28</v>
      </c>
      <c r="BA880" s="56">
        <f>IF($AS880=1,IF(COUNTIFS($A$6:$A880,$A880,$AS$6:$AS880,1)=1,1,0),0)</f>
        <v>0</v>
      </c>
      <c r="BB880" s="55" t="str">
        <f>IF($BA880=1,SUMIFS($Q$6:$Q$1005,$A$6:$A$1005,$A880,$AS$6:$AS$1005,1),"")</f>
        <v/>
      </c>
      <c r="BC880" s="56">
        <f>IF(ISNUMBER($R880),1,0)</f>
        <v>0</v>
      </c>
      <c r="BD880" s="55" t="str">
        <f>IF(ISNUMBER($U880),$U880*$V880,"")</f>
        <v/>
      </c>
      <c r="BE880" s="56" t="str">
        <f>IF($AM880=0,"",IFERROR(MATCH($AF880&amp;"|"&amp;UPPER(TRIM($E880)),Lists!$A$6:$A$205,0),0))</f>
        <v/>
      </c>
      <c r="BF880" s="56" t="str">
        <f>IF($AM880=0,"",IFERROR(MATCH($AF880,Settings!$B$14:$B$18,0),IFERROR(MATCH(Settings!$C$6,Settings!$B$14:$B$18,0),1)))</f>
        <v/>
      </c>
      <c r="BG880" s="58" t="str">
        <f>IF($AM880=0,"",IF(NOT(ISNUMBER($I880)),"No stop; ","")&amp;IF(AND(ISNUMBER($H880),ISNUMBER($I880)),IF(OR(AND($F880&lt;&gt;"Short",$I880&gt;=$H880),AND($F880="Short",$I880&lt;=$H880)),"Stop on wrong side; ",""),"")&amp;IF($F880="","No direction; ","")&amp;IF(AND(ISNUMBER(Settings!$C$22),ISNUMBER($V880)),IF($V880&gt;Settings!$C$22,"Risk over max $; ",""),"")&amp;IF(AND(ISNUMBER(Settings!$C$23),ISNUMBER($V880),ISNUMBER($AP880),IFERROR(N(INDEX(Accounts!$E$7:$E$16,MATCH($C880,Accounts!$B$7:$B$16,0))),0)&gt;0),IF($V880&gt;Settings!$C$23*($AP880-N($Q880)),"Risk over max %; ",""),"")&amp;IF(AND(ISNUMBER(Settings!$C$24),ISNUMBER($N880)),IF($N880&gt;Settings!$C$24,"Leverage over max; ",""),"")&amp;IF(AND(ISNUMBER(Settings!$C$27),ISNUMBER($T880)),IF($T880&lt;Settings!$C$27,"R:R below min; ",""),"")&amp;IF(ISNUMBER(Settings!$C$25),IF(COUNTIFS($A$6:$A880,$A880,$AM$6:$AM880,1)&gt;Settings!$C$25,"Over max trades/day; ",""),"")&amp;IF(ISNUMBER(Settings!$C$26),IF(SUMIFS($Q$5:$Q879,$A$5:$A879,$A880)&lt;=-Settings!$C$26,"Traded after daily max loss; ",""),"")&amp;IF(AND($AG880="",NOT(ISNUMBER($O880))),"Symbol not in Instruments; ","")&amp;IF(AND($AH880="",NOT(ISNUMBER($O880))),"Forex cross: type Gross P&amp;L; ",""))</f>
        <v/>
      </c>
      <c r="BH880" s="56">
        <f>IF(ISNUMBER($Q880),1,0)</f>
        <v>0</v>
      </c>
      <c r="BI880" s="56">
        <f>IF($Y880="",0,1)</f>
        <v>0</v>
      </c>
      <c r="BJ880" s="56">
        <f>IF($AB880="",0,1)</f>
        <v>0</v>
      </c>
      <c r="BK880" s="56">
        <f>IF(AND($BH880=1,$W880&lt;&gt;"OK"),1,0)</f>
        <v>0</v>
      </c>
      <c r="BL880" s="55">
        <f>IF(N($AZ880)=0,0,IFERROR(INDEX($AT$6:$AT$1005,MATCH($AZ880,$AY$6:$AY$1005,0)),0))</f>
        <v>1187.10688</v>
      </c>
      <c r="BM880" s="56">
        <f>IF(ISNUMBER(SEARCH("daily max loss",$BG880)),1,0)</f>
        <v>0</v>
      </c>
    </row>
    <row r="881" ht="18" customHeight="1">
      <c r="A881" s="38" t="n"/>
      <c r="B881" s="39" t="n"/>
      <c r="C881" s="40" t="n"/>
      <c r="D881" s="41" t="n"/>
      <c r="E881" s="41" t="n"/>
      <c r="F881" s="41" t="n"/>
      <c r="G881" s="41" t="n"/>
      <c r="H881" s="42" t="n"/>
      <c r="I881" s="42" t="n"/>
      <c r="J881" s="42" t="n"/>
      <c r="K881" s="42" t="n"/>
      <c r="L881" s="41" t="n"/>
      <c r="M881" s="41" t="n"/>
      <c r="N881" s="41" t="n"/>
      <c r="O881" s="43" t="n"/>
      <c r="P881" s="43" t="n"/>
      <c r="Q881" s="44" t="str">
        <f>IF($AM881=0,"",IF(ISNUMBER($AK881),$AK881-N($AL881),""))</f>
        <v/>
      </c>
      <c r="R881" s="45" t="str">
        <f>IF(OR($Q881="",NOT(ISNUMBER($V881))),"",$AK881/$V881)</f>
        <v/>
      </c>
      <c r="S881" s="46" t="str">
        <f>IF($Q881="","",IF(AND(ISNUMBER($R881),ABS(N($R881))&lt;N(Settings!$C$8)),"Scratch",IF($Q881&gt;0,"Win",IF($Q881&lt;0,"Loss","Scratch"))))</f>
        <v/>
      </c>
      <c r="T881" s="47" t="str">
        <f>IF(OR($AM881=0,NOT(ISNUMBER($H881)),NOT(ISNUMBER($I881)),NOT(ISNUMBER($J881))),"",IF($H881=$I881,"",ROUND(ABS($J881-$H881)/ABS($H881-$I881),6)))</f>
        <v/>
      </c>
      <c r="U881" s="48" t="str">
        <f>IF(OR($S881&lt;&gt;"Win",NOT(ISNUMBER($T881)),NOT(ISNUMBER($R881))),"",MAX(0,$T881-$R881))</f>
        <v/>
      </c>
      <c r="V881" s="49" t="str">
        <f>IF(OR($AM881=0,NOT(ISNUMBER($H881)),NOT(ISNUMBER($I881)),NOT(ISNUMBER($G881))),"",IF(OR($AG881="",$AH881=""),"",IF(ROUND(ABS($H881-$I881)*ABS($G881)*$AG881*$AH881,6)=0,"",ROUND(ABS($H881-$I881)*ABS($G881)*$AG881*$AH881,6))))</f>
        <v/>
      </c>
      <c r="W881" s="50" t="str">
        <f>IF($AM881=0,"",IF($BG881="","OK",LEFT($BG881,LEN($BG881)-2)))</f>
        <v/>
      </c>
      <c r="X881" s="41" t="n"/>
      <c r="Y881" s="40" t="n"/>
      <c r="Z881" s="41" t="n"/>
      <c r="AA881" s="41" t="n"/>
      <c r="AB881" s="40" t="n"/>
      <c r="AC881" s="51" t="n"/>
      <c r="AD881" s="51" t="n"/>
      <c r="AE881" s="40" t="n"/>
      <c r="AF881" s="52" t="str">
        <f>IF($AM881=0,"",IF($D881&lt;&gt;"",$D881,IF(IFERROR(INDEX(Accounts!$C$7:$C$16,MATCH($C881,Accounts!$B$7:$B$16,0))&amp;"","")&lt;&gt;"",INDEX(Accounts!$C$7:$C$16,MATCH($C881,Accounts!$B$7:$B$16,0)),Settings!$C$6)))</f>
        <v/>
      </c>
      <c r="AG881" s="53" t="str">
        <f>IF($AM881=0,"",IF(AND($BE881&gt;0,N(INDEX(Instruments!$D$6:$D$205,MAX(1,$BE881)))&gt;0),INDEX(Instruments!$D$6:$D$205,MAX(1,$BE881)),IF(N(INDEX(Settings!$D$14:$D$18,$BF881))&gt;0,INDEX(Settings!$D$14:$D$18,$BF881),"")))</f>
        <v/>
      </c>
      <c r="AH881" s="54" t="str">
        <f>IF($AM881=0,"",IF($AF881&lt;&gt;"Forex",1,IF(MID(UPPER(SUBSTITUTE(TRIM($E881),"/","")),4,3)=UPPER(TRIM(Settings!$C$7)),1,IF(LEFT(UPPER(SUBSTITUTE(TRIM($E881),"/","")),3)=UPPER(TRIM(Settings!$C$7)),IF(AND(ISNUMBER($K881),N($K881)&lt;&gt;0),1/$K881,""),""))))</f>
        <v/>
      </c>
      <c r="AI881" s="55" t="str">
        <f>IF($AM881=0,"",IF(OR(NOT(ISNUMBER($H881)),NOT(ISNUMBER($K881)),NOT(ISNUMBER($G881)),$AG881="",$AH881=""),"",ROUND(($K881-$H881)*IF($F881="Short",-1,1)*$G881*$AG881*$AH881,6)))</f>
        <v/>
      </c>
      <c r="AJ881" s="55" t="str">
        <f>IF($AM881=0,"",IF(INDEX(Settings!$E$14:$E$18,$BF881)="% of notional",IF(OR($AG881="",NOT(ISNUMBER($H881)),NOT(ISNUMBER($G881))),"",ROUND(ABS($H881*$G881*$AG881*N($AH881))*IF($L881="Limit",N(INDEX(Settings!$G$14:$G$18,$BF881)),N(INDEX(Settings!$H$14:$H$18,$BF881)))+IF(ISNUMBER($K881),ABS($K881*$G881*$AG881*N($AH881))*IF($M881="Target",N(INDEX(Settings!$G$14:$G$18,$BF881)),N(INDEX(Settings!$H$14:$H$18,$BF881))),0),6)),IF(NOT(ISNUMBER($G881)),"",ROUND(ABS($G881)*2*IF(AND($BE881&gt;0,ISNUMBER(INDEX(Instruments!$G$6:$G$205,MAX(1,$BE881)))),INDEX(Instruments!$G$6:$G$205,MAX(1,$BE881)),N(INDEX(Settings!$F$14:$F$18,$BF881))),6))))</f>
        <v/>
      </c>
      <c r="AK881" s="55" t="str">
        <f>IF($AM881=0,"",IF(ISNUMBER($O881),$O881,$AI881))</f>
        <v/>
      </c>
      <c r="AL881" s="55" t="str">
        <f>IF($AM881=0,"",IF(ISNUMBER($P881),$P881,N($AJ881)))</f>
        <v/>
      </c>
      <c r="AM881" s="56">
        <f>IF(AND($A881&lt;&gt;"",$E881&lt;&gt;"",OR(AND(ISNUMBER($G881),ISNUMBER($H881),ISNUMBER($K881)),ISNUMBER($O881))),1,0)</f>
        <v>0</v>
      </c>
      <c r="AN881" s="57" t="str">
        <f>IF($A881="","",$A881-WEEKDAY($A881,3))</f>
        <v/>
      </c>
      <c r="AO881" s="56" t="str">
        <f>IF($A881="","",WEEKDAY($A881,2))</f>
        <v/>
      </c>
      <c r="AP881" s="55" t="str">
        <f>IF(OR($AM881=0,$C881=""),"",IFERROR(N(INDEX(Accounts!$E$7:$E$16,MATCH($C881,Accounts!$B$7:$B$16,0))),0)+SUMIFS($Q$6:$Q881,$C$6:$C881,$C881))</f>
        <v/>
      </c>
      <c r="AQ881" s="55" t="str">
        <f>IF(OR($AM881=0,$C881=""),"",SUMIFS($Q$6:$Q$1005,$C$6:$C$1005,$C881,$A$6:$A$1005,$A881))</f>
        <v/>
      </c>
      <c r="AR881" s="55" t="str">
        <f>IF(OR($AM881=0,$C881=""),"",IFERROR(N(INDEX(Accounts!$E$7:$E$16,MATCH($C881,Accounts!$B$7:$B$16,0))),0)+SUMIFS($Q$6:$Q$1005,$C$6:$C$1005,$C881,$A$6:$A$1005,"&lt;="&amp;$A881))</f>
        <v/>
      </c>
      <c r="AS881" s="56">
        <f>IF(OR($AM881=0,$Q881=""),0,IF(AND($A881&gt;=Lists!$W$6,$A881&lt;=Lists!$W$7,OR(Dashboard!$D$6="All accounts",$C881=Dashboard!$D$6),OR(Dashboard!$D$7="All markets",$AF881=Dashboard!$D$7)),1,0))</f>
        <v>0</v>
      </c>
      <c r="AT881" s="55">
        <f>IF($AS881=1,N(AT880)+$Q881,N(AT880))</f>
        <v>1187.10688</v>
      </c>
      <c r="AU881" s="55">
        <f>MAX(N(AU880),$AT881)</f>
        <v>1187.10688</v>
      </c>
      <c r="AV881" s="55">
        <f>$AT881-$AU881</f>
        <v>0</v>
      </c>
      <c r="AW881" s="56">
        <f>IF($AS881=1,IF($S881="Win",N(AW880)+1,IF($S881="Loss",0,N(AW880))),N(AW880))</f>
        <v>5</v>
      </c>
      <c r="AX881" s="56">
        <f>IF($AS881=1,IF($S881="Loss",N(AX880)+1,IF($S881="Win",0,N(AX880))),N(AX880))</f>
        <v>0</v>
      </c>
      <c r="AY881" s="56" t="str">
        <f>IF($AS881=1,COUNTIF($AS$6:$AS881,1),"")</f>
        <v/>
      </c>
      <c r="AZ881" s="56">
        <f>MIN(875,N(Lists!$W$8))</f>
        <v>28</v>
      </c>
      <c r="BA881" s="56">
        <f>IF($AS881=1,IF(COUNTIFS($A$6:$A881,$A881,$AS$6:$AS881,1)=1,1,0),0)</f>
        <v>0</v>
      </c>
      <c r="BB881" s="55" t="str">
        <f>IF($BA881=1,SUMIFS($Q$6:$Q$1005,$A$6:$A$1005,$A881,$AS$6:$AS$1005,1),"")</f>
        <v/>
      </c>
      <c r="BC881" s="56">
        <f>IF(ISNUMBER($R881),1,0)</f>
        <v>0</v>
      </c>
      <c r="BD881" s="55" t="str">
        <f>IF(ISNUMBER($U881),$U881*$V881,"")</f>
        <v/>
      </c>
      <c r="BE881" s="56" t="str">
        <f>IF($AM881=0,"",IFERROR(MATCH($AF881&amp;"|"&amp;UPPER(TRIM($E881)),Lists!$A$6:$A$205,0),0))</f>
        <v/>
      </c>
      <c r="BF881" s="56" t="str">
        <f>IF($AM881=0,"",IFERROR(MATCH($AF881,Settings!$B$14:$B$18,0),IFERROR(MATCH(Settings!$C$6,Settings!$B$14:$B$18,0),1)))</f>
        <v/>
      </c>
      <c r="BG881" s="58" t="str">
        <f>IF($AM881=0,"",IF(NOT(ISNUMBER($I881)),"No stop; ","")&amp;IF(AND(ISNUMBER($H881),ISNUMBER($I881)),IF(OR(AND($F881&lt;&gt;"Short",$I881&gt;=$H881),AND($F881="Short",$I881&lt;=$H881)),"Stop on wrong side; ",""),"")&amp;IF($F881="","No direction; ","")&amp;IF(AND(ISNUMBER(Settings!$C$22),ISNUMBER($V881)),IF($V881&gt;Settings!$C$22,"Risk over max $; ",""),"")&amp;IF(AND(ISNUMBER(Settings!$C$23),ISNUMBER($V881),ISNUMBER($AP881),IFERROR(N(INDEX(Accounts!$E$7:$E$16,MATCH($C881,Accounts!$B$7:$B$16,0))),0)&gt;0),IF($V881&gt;Settings!$C$23*($AP881-N($Q881)),"Risk over max %; ",""),"")&amp;IF(AND(ISNUMBER(Settings!$C$24),ISNUMBER($N881)),IF($N881&gt;Settings!$C$24,"Leverage over max; ",""),"")&amp;IF(AND(ISNUMBER(Settings!$C$27),ISNUMBER($T881)),IF($T881&lt;Settings!$C$27,"R:R below min; ",""),"")&amp;IF(ISNUMBER(Settings!$C$25),IF(COUNTIFS($A$6:$A881,$A881,$AM$6:$AM881,1)&gt;Settings!$C$25,"Over max trades/day; ",""),"")&amp;IF(ISNUMBER(Settings!$C$26),IF(SUMIFS($Q$5:$Q880,$A$5:$A880,$A881)&lt;=-Settings!$C$26,"Traded after daily max loss; ",""),"")&amp;IF(AND($AG881="",NOT(ISNUMBER($O881))),"Symbol not in Instruments; ","")&amp;IF(AND($AH881="",NOT(ISNUMBER($O881))),"Forex cross: type Gross P&amp;L; ",""))</f>
        <v/>
      </c>
      <c r="BH881" s="56">
        <f>IF(ISNUMBER($Q881),1,0)</f>
        <v>0</v>
      </c>
      <c r="BI881" s="56">
        <f>IF($Y881="",0,1)</f>
        <v>0</v>
      </c>
      <c r="BJ881" s="56">
        <f>IF($AB881="",0,1)</f>
        <v>0</v>
      </c>
      <c r="BK881" s="56">
        <f>IF(AND($BH881=1,$W881&lt;&gt;"OK"),1,0)</f>
        <v>0</v>
      </c>
      <c r="BL881" s="55">
        <f>IF(N($AZ881)=0,0,IFERROR(INDEX($AT$6:$AT$1005,MATCH($AZ881,$AY$6:$AY$1005,0)),0))</f>
        <v>1187.10688</v>
      </c>
      <c r="BM881" s="56">
        <f>IF(ISNUMBER(SEARCH("daily max loss",$BG881)),1,0)</f>
        <v>0</v>
      </c>
    </row>
    <row r="882" ht="18" customHeight="1">
      <c r="A882" s="38" t="n"/>
      <c r="B882" s="39" t="n"/>
      <c r="C882" s="40" t="n"/>
      <c r="D882" s="41" t="n"/>
      <c r="E882" s="41" t="n"/>
      <c r="F882" s="41" t="n"/>
      <c r="G882" s="41" t="n"/>
      <c r="H882" s="42" t="n"/>
      <c r="I882" s="42" t="n"/>
      <c r="J882" s="42" t="n"/>
      <c r="K882" s="42" t="n"/>
      <c r="L882" s="41" t="n"/>
      <c r="M882" s="41" t="n"/>
      <c r="N882" s="41" t="n"/>
      <c r="O882" s="43" t="n"/>
      <c r="P882" s="43" t="n"/>
      <c r="Q882" s="44" t="str">
        <f>IF($AM882=0,"",IF(ISNUMBER($AK882),$AK882-N($AL882),""))</f>
        <v/>
      </c>
      <c r="R882" s="45" t="str">
        <f>IF(OR($Q882="",NOT(ISNUMBER($V882))),"",$AK882/$V882)</f>
        <v/>
      </c>
      <c r="S882" s="46" t="str">
        <f>IF($Q882="","",IF(AND(ISNUMBER($R882),ABS(N($R882))&lt;N(Settings!$C$8)),"Scratch",IF($Q882&gt;0,"Win",IF($Q882&lt;0,"Loss","Scratch"))))</f>
        <v/>
      </c>
      <c r="T882" s="47" t="str">
        <f>IF(OR($AM882=0,NOT(ISNUMBER($H882)),NOT(ISNUMBER($I882)),NOT(ISNUMBER($J882))),"",IF($H882=$I882,"",ROUND(ABS($J882-$H882)/ABS($H882-$I882),6)))</f>
        <v/>
      </c>
      <c r="U882" s="48" t="str">
        <f>IF(OR($S882&lt;&gt;"Win",NOT(ISNUMBER($T882)),NOT(ISNUMBER($R882))),"",MAX(0,$T882-$R882))</f>
        <v/>
      </c>
      <c r="V882" s="49" t="str">
        <f>IF(OR($AM882=0,NOT(ISNUMBER($H882)),NOT(ISNUMBER($I882)),NOT(ISNUMBER($G882))),"",IF(OR($AG882="",$AH882=""),"",IF(ROUND(ABS($H882-$I882)*ABS($G882)*$AG882*$AH882,6)=0,"",ROUND(ABS($H882-$I882)*ABS($G882)*$AG882*$AH882,6))))</f>
        <v/>
      </c>
      <c r="W882" s="50" t="str">
        <f>IF($AM882=0,"",IF($BG882="","OK",LEFT($BG882,LEN($BG882)-2)))</f>
        <v/>
      </c>
      <c r="X882" s="41" t="n"/>
      <c r="Y882" s="40" t="n"/>
      <c r="Z882" s="41" t="n"/>
      <c r="AA882" s="41" t="n"/>
      <c r="AB882" s="40" t="n"/>
      <c r="AC882" s="51" t="n"/>
      <c r="AD882" s="51" t="n"/>
      <c r="AE882" s="40" t="n"/>
      <c r="AF882" s="52" t="str">
        <f>IF($AM882=0,"",IF($D882&lt;&gt;"",$D882,IF(IFERROR(INDEX(Accounts!$C$7:$C$16,MATCH($C882,Accounts!$B$7:$B$16,0))&amp;"","")&lt;&gt;"",INDEX(Accounts!$C$7:$C$16,MATCH($C882,Accounts!$B$7:$B$16,0)),Settings!$C$6)))</f>
        <v/>
      </c>
      <c r="AG882" s="53" t="str">
        <f>IF($AM882=0,"",IF(AND($BE882&gt;0,N(INDEX(Instruments!$D$6:$D$205,MAX(1,$BE882)))&gt;0),INDEX(Instruments!$D$6:$D$205,MAX(1,$BE882)),IF(N(INDEX(Settings!$D$14:$D$18,$BF882))&gt;0,INDEX(Settings!$D$14:$D$18,$BF882),"")))</f>
        <v/>
      </c>
      <c r="AH882" s="54" t="str">
        <f>IF($AM882=0,"",IF($AF882&lt;&gt;"Forex",1,IF(MID(UPPER(SUBSTITUTE(TRIM($E882),"/","")),4,3)=UPPER(TRIM(Settings!$C$7)),1,IF(LEFT(UPPER(SUBSTITUTE(TRIM($E882),"/","")),3)=UPPER(TRIM(Settings!$C$7)),IF(AND(ISNUMBER($K882),N($K882)&lt;&gt;0),1/$K882,""),""))))</f>
        <v/>
      </c>
      <c r="AI882" s="55" t="str">
        <f>IF($AM882=0,"",IF(OR(NOT(ISNUMBER($H882)),NOT(ISNUMBER($K882)),NOT(ISNUMBER($G882)),$AG882="",$AH882=""),"",ROUND(($K882-$H882)*IF($F882="Short",-1,1)*$G882*$AG882*$AH882,6)))</f>
        <v/>
      </c>
      <c r="AJ882" s="55" t="str">
        <f>IF($AM882=0,"",IF(INDEX(Settings!$E$14:$E$18,$BF882)="% of notional",IF(OR($AG882="",NOT(ISNUMBER($H882)),NOT(ISNUMBER($G882))),"",ROUND(ABS($H882*$G882*$AG882*N($AH882))*IF($L882="Limit",N(INDEX(Settings!$G$14:$G$18,$BF882)),N(INDEX(Settings!$H$14:$H$18,$BF882)))+IF(ISNUMBER($K882),ABS($K882*$G882*$AG882*N($AH882))*IF($M882="Target",N(INDEX(Settings!$G$14:$G$18,$BF882)),N(INDEX(Settings!$H$14:$H$18,$BF882))),0),6)),IF(NOT(ISNUMBER($G882)),"",ROUND(ABS($G882)*2*IF(AND($BE882&gt;0,ISNUMBER(INDEX(Instruments!$G$6:$G$205,MAX(1,$BE882)))),INDEX(Instruments!$G$6:$G$205,MAX(1,$BE882)),N(INDEX(Settings!$F$14:$F$18,$BF882))),6))))</f>
        <v/>
      </c>
      <c r="AK882" s="55" t="str">
        <f>IF($AM882=0,"",IF(ISNUMBER($O882),$O882,$AI882))</f>
        <v/>
      </c>
      <c r="AL882" s="55" t="str">
        <f>IF($AM882=0,"",IF(ISNUMBER($P882),$P882,N($AJ882)))</f>
        <v/>
      </c>
      <c r="AM882" s="56">
        <f>IF(AND($A882&lt;&gt;"",$E882&lt;&gt;"",OR(AND(ISNUMBER($G882),ISNUMBER($H882),ISNUMBER($K882)),ISNUMBER($O882))),1,0)</f>
        <v>0</v>
      </c>
      <c r="AN882" s="57" t="str">
        <f>IF($A882="","",$A882-WEEKDAY($A882,3))</f>
        <v/>
      </c>
      <c r="AO882" s="56" t="str">
        <f>IF($A882="","",WEEKDAY($A882,2))</f>
        <v/>
      </c>
      <c r="AP882" s="55" t="str">
        <f>IF(OR($AM882=0,$C882=""),"",IFERROR(N(INDEX(Accounts!$E$7:$E$16,MATCH($C882,Accounts!$B$7:$B$16,0))),0)+SUMIFS($Q$6:$Q882,$C$6:$C882,$C882))</f>
        <v/>
      </c>
      <c r="AQ882" s="55" t="str">
        <f>IF(OR($AM882=0,$C882=""),"",SUMIFS($Q$6:$Q$1005,$C$6:$C$1005,$C882,$A$6:$A$1005,$A882))</f>
        <v/>
      </c>
      <c r="AR882" s="55" t="str">
        <f>IF(OR($AM882=0,$C882=""),"",IFERROR(N(INDEX(Accounts!$E$7:$E$16,MATCH($C882,Accounts!$B$7:$B$16,0))),0)+SUMIFS($Q$6:$Q$1005,$C$6:$C$1005,$C882,$A$6:$A$1005,"&lt;="&amp;$A882))</f>
        <v/>
      </c>
      <c r="AS882" s="56">
        <f>IF(OR($AM882=0,$Q882=""),0,IF(AND($A882&gt;=Lists!$W$6,$A882&lt;=Lists!$W$7,OR(Dashboard!$D$6="All accounts",$C882=Dashboard!$D$6),OR(Dashboard!$D$7="All markets",$AF882=Dashboard!$D$7)),1,0))</f>
        <v>0</v>
      </c>
      <c r="AT882" s="55">
        <f>IF($AS882=1,N(AT881)+$Q882,N(AT881))</f>
        <v>1187.10688</v>
      </c>
      <c r="AU882" s="55">
        <f>MAX(N(AU881),$AT882)</f>
        <v>1187.10688</v>
      </c>
      <c r="AV882" s="55">
        <f>$AT882-$AU882</f>
        <v>0</v>
      </c>
      <c r="AW882" s="56">
        <f>IF($AS882=1,IF($S882="Win",N(AW881)+1,IF($S882="Loss",0,N(AW881))),N(AW881))</f>
        <v>5</v>
      </c>
      <c r="AX882" s="56">
        <f>IF($AS882=1,IF($S882="Loss",N(AX881)+1,IF($S882="Win",0,N(AX881))),N(AX881))</f>
        <v>0</v>
      </c>
      <c r="AY882" s="56" t="str">
        <f>IF($AS882=1,COUNTIF($AS$6:$AS882,1),"")</f>
        <v/>
      </c>
      <c r="AZ882" s="56">
        <f>MIN(876,N(Lists!$W$8))</f>
        <v>28</v>
      </c>
      <c r="BA882" s="56">
        <f>IF($AS882=1,IF(COUNTIFS($A$6:$A882,$A882,$AS$6:$AS882,1)=1,1,0),0)</f>
        <v>0</v>
      </c>
      <c r="BB882" s="55" t="str">
        <f>IF($BA882=1,SUMIFS($Q$6:$Q$1005,$A$6:$A$1005,$A882,$AS$6:$AS$1005,1),"")</f>
        <v/>
      </c>
      <c r="BC882" s="56">
        <f>IF(ISNUMBER($R882),1,0)</f>
        <v>0</v>
      </c>
      <c r="BD882" s="55" t="str">
        <f>IF(ISNUMBER($U882),$U882*$V882,"")</f>
        <v/>
      </c>
      <c r="BE882" s="56" t="str">
        <f>IF($AM882=0,"",IFERROR(MATCH($AF882&amp;"|"&amp;UPPER(TRIM($E882)),Lists!$A$6:$A$205,0),0))</f>
        <v/>
      </c>
      <c r="BF882" s="56" t="str">
        <f>IF($AM882=0,"",IFERROR(MATCH($AF882,Settings!$B$14:$B$18,0),IFERROR(MATCH(Settings!$C$6,Settings!$B$14:$B$18,0),1)))</f>
        <v/>
      </c>
      <c r="BG882" s="58" t="str">
        <f>IF($AM882=0,"",IF(NOT(ISNUMBER($I882)),"No stop; ","")&amp;IF(AND(ISNUMBER($H882),ISNUMBER($I882)),IF(OR(AND($F882&lt;&gt;"Short",$I882&gt;=$H882),AND($F882="Short",$I882&lt;=$H882)),"Stop on wrong side; ",""),"")&amp;IF($F882="","No direction; ","")&amp;IF(AND(ISNUMBER(Settings!$C$22),ISNUMBER($V882)),IF($V882&gt;Settings!$C$22,"Risk over max $; ",""),"")&amp;IF(AND(ISNUMBER(Settings!$C$23),ISNUMBER($V882),ISNUMBER($AP882),IFERROR(N(INDEX(Accounts!$E$7:$E$16,MATCH($C882,Accounts!$B$7:$B$16,0))),0)&gt;0),IF($V882&gt;Settings!$C$23*($AP882-N($Q882)),"Risk over max %; ",""),"")&amp;IF(AND(ISNUMBER(Settings!$C$24),ISNUMBER($N882)),IF($N882&gt;Settings!$C$24,"Leverage over max; ",""),"")&amp;IF(AND(ISNUMBER(Settings!$C$27),ISNUMBER($T882)),IF($T882&lt;Settings!$C$27,"R:R below min; ",""),"")&amp;IF(ISNUMBER(Settings!$C$25),IF(COUNTIFS($A$6:$A882,$A882,$AM$6:$AM882,1)&gt;Settings!$C$25,"Over max trades/day; ",""),"")&amp;IF(ISNUMBER(Settings!$C$26),IF(SUMIFS($Q$5:$Q881,$A$5:$A881,$A882)&lt;=-Settings!$C$26,"Traded after daily max loss; ",""),"")&amp;IF(AND($AG882="",NOT(ISNUMBER($O882))),"Symbol not in Instruments; ","")&amp;IF(AND($AH882="",NOT(ISNUMBER($O882))),"Forex cross: type Gross P&amp;L; ",""))</f>
        <v/>
      </c>
      <c r="BH882" s="56">
        <f>IF(ISNUMBER($Q882),1,0)</f>
        <v>0</v>
      </c>
      <c r="BI882" s="56">
        <f>IF($Y882="",0,1)</f>
        <v>0</v>
      </c>
      <c r="BJ882" s="56">
        <f>IF($AB882="",0,1)</f>
        <v>0</v>
      </c>
      <c r="BK882" s="56">
        <f>IF(AND($BH882=1,$W882&lt;&gt;"OK"),1,0)</f>
        <v>0</v>
      </c>
      <c r="BL882" s="55">
        <f>IF(N($AZ882)=0,0,IFERROR(INDEX($AT$6:$AT$1005,MATCH($AZ882,$AY$6:$AY$1005,0)),0))</f>
        <v>1187.10688</v>
      </c>
      <c r="BM882" s="56">
        <f>IF(ISNUMBER(SEARCH("daily max loss",$BG882)),1,0)</f>
        <v>0</v>
      </c>
    </row>
    <row r="883" ht="18" customHeight="1">
      <c r="A883" s="38" t="n"/>
      <c r="B883" s="39" t="n"/>
      <c r="C883" s="40" t="n"/>
      <c r="D883" s="41" t="n"/>
      <c r="E883" s="41" t="n"/>
      <c r="F883" s="41" t="n"/>
      <c r="G883" s="41" t="n"/>
      <c r="H883" s="42" t="n"/>
      <c r="I883" s="42" t="n"/>
      <c r="J883" s="42" t="n"/>
      <c r="K883" s="42" t="n"/>
      <c r="L883" s="41" t="n"/>
      <c r="M883" s="41" t="n"/>
      <c r="N883" s="41" t="n"/>
      <c r="O883" s="43" t="n"/>
      <c r="P883" s="43" t="n"/>
      <c r="Q883" s="44" t="str">
        <f>IF($AM883=0,"",IF(ISNUMBER($AK883),$AK883-N($AL883),""))</f>
        <v/>
      </c>
      <c r="R883" s="45" t="str">
        <f>IF(OR($Q883="",NOT(ISNUMBER($V883))),"",$AK883/$V883)</f>
        <v/>
      </c>
      <c r="S883" s="46" t="str">
        <f>IF($Q883="","",IF(AND(ISNUMBER($R883),ABS(N($R883))&lt;N(Settings!$C$8)),"Scratch",IF($Q883&gt;0,"Win",IF($Q883&lt;0,"Loss","Scratch"))))</f>
        <v/>
      </c>
      <c r="T883" s="47" t="str">
        <f>IF(OR($AM883=0,NOT(ISNUMBER($H883)),NOT(ISNUMBER($I883)),NOT(ISNUMBER($J883))),"",IF($H883=$I883,"",ROUND(ABS($J883-$H883)/ABS($H883-$I883),6)))</f>
        <v/>
      </c>
      <c r="U883" s="48" t="str">
        <f>IF(OR($S883&lt;&gt;"Win",NOT(ISNUMBER($T883)),NOT(ISNUMBER($R883))),"",MAX(0,$T883-$R883))</f>
        <v/>
      </c>
      <c r="V883" s="49" t="str">
        <f>IF(OR($AM883=0,NOT(ISNUMBER($H883)),NOT(ISNUMBER($I883)),NOT(ISNUMBER($G883))),"",IF(OR($AG883="",$AH883=""),"",IF(ROUND(ABS($H883-$I883)*ABS($G883)*$AG883*$AH883,6)=0,"",ROUND(ABS($H883-$I883)*ABS($G883)*$AG883*$AH883,6))))</f>
        <v/>
      </c>
      <c r="W883" s="50" t="str">
        <f>IF($AM883=0,"",IF($BG883="","OK",LEFT($BG883,LEN($BG883)-2)))</f>
        <v/>
      </c>
      <c r="X883" s="41" t="n"/>
      <c r="Y883" s="40" t="n"/>
      <c r="Z883" s="41" t="n"/>
      <c r="AA883" s="41" t="n"/>
      <c r="AB883" s="40" t="n"/>
      <c r="AC883" s="51" t="n"/>
      <c r="AD883" s="51" t="n"/>
      <c r="AE883" s="40" t="n"/>
      <c r="AF883" s="52" t="str">
        <f>IF($AM883=0,"",IF($D883&lt;&gt;"",$D883,IF(IFERROR(INDEX(Accounts!$C$7:$C$16,MATCH($C883,Accounts!$B$7:$B$16,0))&amp;"","")&lt;&gt;"",INDEX(Accounts!$C$7:$C$16,MATCH($C883,Accounts!$B$7:$B$16,0)),Settings!$C$6)))</f>
        <v/>
      </c>
      <c r="AG883" s="53" t="str">
        <f>IF($AM883=0,"",IF(AND($BE883&gt;0,N(INDEX(Instruments!$D$6:$D$205,MAX(1,$BE883)))&gt;0),INDEX(Instruments!$D$6:$D$205,MAX(1,$BE883)),IF(N(INDEX(Settings!$D$14:$D$18,$BF883))&gt;0,INDEX(Settings!$D$14:$D$18,$BF883),"")))</f>
        <v/>
      </c>
      <c r="AH883" s="54" t="str">
        <f>IF($AM883=0,"",IF($AF883&lt;&gt;"Forex",1,IF(MID(UPPER(SUBSTITUTE(TRIM($E883),"/","")),4,3)=UPPER(TRIM(Settings!$C$7)),1,IF(LEFT(UPPER(SUBSTITUTE(TRIM($E883),"/","")),3)=UPPER(TRIM(Settings!$C$7)),IF(AND(ISNUMBER($K883),N($K883)&lt;&gt;0),1/$K883,""),""))))</f>
        <v/>
      </c>
      <c r="AI883" s="55" t="str">
        <f>IF($AM883=0,"",IF(OR(NOT(ISNUMBER($H883)),NOT(ISNUMBER($K883)),NOT(ISNUMBER($G883)),$AG883="",$AH883=""),"",ROUND(($K883-$H883)*IF($F883="Short",-1,1)*$G883*$AG883*$AH883,6)))</f>
        <v/>
      </c>
      <c r="AJ883" s="55" t="str">
        <f>IF($AM883=0,"",IF(INDEX(Settings!$E$14:$E$18,$BF883)="% of notional",IF(OR($AG883="",NOT(ISNUMBER($H883)),NOT(ISNUMBER($G883))),"",ROUND(ABS($H883*$G883*$AG883*N($AH883))*IF($L883="Limit",N(INDEX(Settings!$G$14:$G$18,$BF883)),N(INDEX(Settings!$H$14:$H$18,$BF883)))+IF(ISNUMBER($K883),ABS($K883*$G883*$AG883*N($AH883))*IF($M883="Target",N(INDEX(Settings!$G$14:$G$18,$BF883)),N(INDEX(Settings!$H$14:$H$18,$BF883))),0),6)),IF(NOT(ISNUMBER($G883)),"",ROUND(ABS($G883)*2*IF(AND($BE883&gt;0,ISNUMBER(INDEX(Instruments!$G$6:$G$205,MAX(1,$BE883)))),INDEX(Instruments!$G$6:$G$205,MAX(1,$BE883)),N(INDEX(Settings!$F$14:$F$18,$BF883))),6))))</f>
        <v/>
      </c>
      <c r="AK883" s="55" t="str">
        <f>IF($AM883=0,"",IF(ISNUMBER($O883),$O883,$AI883))</f>
        <v/>
      </c>
      <c r="AL883" s="55" t="str">
        <f>IF($AM883=0,"",IF(ISNUMBER($P883),$P883,N($AJ883)))</f>
        <v/>
      </c>
      <c r="AM883" s="56">
        <f>IF(AND($A883&lt;&gt;"",$E883&lt;&gt;"",OR(AND(ISNUMBER($G883),ISNUMBER($H883),ISNUMBER($K883)),ISNUMBER($O883))),1,0)</f>
        <v>0</v>
      </c>
      <c r="AN883" s="57" t="str">
        <f>IF($A883="","",$A883-WEEKDAY($A883,3))</f>
        <v/>
      </c>
      <c r="AO883" s="56" t="str">
        <f>IF($A883="","",WEEKDAY($A883,2))</f>
        <v/>
      </c>
      <c r="AP883" s="55" t="str">
        <f>IF(OR($AM883=0,$C883=""),"",IFERROR(N(INDEX(Accounts!$E$7:$E$16,MATCH($C883,Accounts!$B$7:$B$16,0))),0)+SUMIFS($Q$6:$Q883,$C$6:$C883,$C883))</f>
        <v/>
      </c>
      <c r="AQ883" s="55" t="str">
        <f>IF(OR($AM883=0,$C883=""),"",SUMIFS($Q$6:$Q$1005,$C$6:$C$1005,$C883,$A$6:$A$1005,$A883))</f>
        <v/>
      </c>
      <c r="AR883" s="55" t="str">
        <f>IF(OR($AM883=0,$C883=""),"",IFERROR(N(INDEX(Accounts!$E$7:$E$16,MATCH($C883,Accounts!$B$7:$B$16,0))),0)+SUMIFS($Q$6:$Q$1005,$C$6:$C$1005,$C883,$A$6:$A$1005,"&lt;="&amp;$A883))</f>
        <v/>
      </c>
      <c r="AS883" s="56">
        <f>IF(OR($AM883=0,$Q883=""),0,IF(AND($A883&gt;=Lists!$W$6,$A883&lt;=Lists!$W$7,OR(Dashboard!$D$6="All accounts",$C883=Dashboard!$D$6),OR(Dashboard!$D$7="All markets",$AF883=Dashboard!$D$7)),1,0))</f>
        <v>0</v>
      </c>
      <c r="AT883" s="55">
        <f>IF($AS883=1,N(AT882)+$Q883,N(AT882))</f>
        <v>1187.10688</v>
      </c>
      <c r="AU883" s="55">
        <f>MAX(N(AU882),$AT883)</f>
        <v>1187.10688</v>
      </c>
      <c r="AV883" s="55">
        <f>$AT883-$AU883</f>
        <v>0</v>
      </c>
      <c r="AW883" s="56">
        <f>IF($AS883=1,IF($S883="Win",N(AW882)+1,IF($S883="Loss",0,N(AW882))),N(AW882))</f>
        <v>5</v>
      </c>
      <c r="AX883" s="56">
        <f>IF($AS883=1,IF($S883="Loss",N(AX882)+1,IF($S883="Win",0,N(AX882))),N(AX882))</f>
        <v>0</v>
      </c>
      <c r="AY883" s="56" t="str">
        <f>IF($AS883=1,COUNTIF($AS$6:$AS883,1),"")</f>
        <v/>
      </c>
      <c r="AZ883" s="56">
        <f>MIN(877,N(Lists!$W$8))</f>
        <v>28</v>
      </c>
      <c r="BA883" s="56">
        <f>IF($AS883=1,IF(COUNTIFS($A$6:$A883,$A883,$AS$6:$AS883,1)=1,1,0),0)</f>
        <v>0</v>
      </c>
      <c r="BB883" s="55" t="str">
        <f>IF($BA883=1,SUMIFS($Q$6:$Q$1005,$A$6:$A$1005,$A883,$AS$6:$AS$1005,1),"")</f>
        <v/>
      </c>
      <c r="BC883" s="56">
        <f>IF(ISNUMBER($R883),1,0)</f>
        <v>0</v>
      </c>
      <c r="BD883" s="55" t="str">
        <f>IF(ISNUMBER($U883),$U883*$V883,"")</f>
        <v/>
      </c>
      <c r="BE883" s="56" t="str">
        <f>IF($AM883=0,"",IFERROR(MATCH($AF883&amp;"|"&amp;UPPER(TRIM($E883)),Lists!$A$6:$A$205,0),0))</f>
        <v/>
      </c>
      <c r="BF883" s="56" t="str">
        <f>IF($AM883=0,"",IFERROR(MATCH($AF883,Settings!$B$14:$B$18,0),IFERROR(MATCH(Settings!$C$6,Settings!$B$14:$B$18,0),1)))</f>
        <v/>
      </c>
      <c r="BG883" s="58" t="str">
        <f>IF($AM883=0,"",IF(NOT(ISNUMBER($I883)),"No stop; ","")&amp;IF(AND(ISNUMBER($H883),ISNUMBER($I883)),IF(OR(AND($F883&lt;&gt;"Short",$I883&gt;=$H883),AND($F883="Short",$I883&lt;=$H883)),"Stop on wrong side; ",""),"")&amp;IF($F883="","No direction; ","")&amp;IF(AND(ISNUMBER(Settings!$C$22),ISNUMBER($V883)),IF($V883&gt;Settings!$C$22,"Risk over max $; ",""),"")&amp;IF(AND(ISNUMBER(Settings!$C$23),ISNUMBER($V883),ISNUMBER($AP883),IFERROR(N(INDEX(Accounts!$E$7:$E$16,MATCH($C883,Accounts!$B$7:$B$16,0))),0)&gt;0),IF($V883&gt;Settings!$C$23*($AP883-N($Q883)),"Risk over max %; ",""),"")&amp;IF(AND(ISNUMBER(Settings!$C$24),ISNUMBER($N883)),IF($N883&gt;Settings!$C$24,"Leverage over max; ",""),"")&amp;IF(AND(ISNUMBER(Settings!$C$27),ISNUMBER($T883)),IF($T883&lt;Settings!$C$27,"R:R below min; ",""),"")&amp;IF(ISNUMBER(Settings!$C$25),IF(COUNTIFS($A$6:$A883,$A883,$AM$6:$AM883,1)&gt;Settings!$C$25,"Over max trades/day; ",""),"")&amp;IF(ISNUMBER(Settings!$C$26),IF(SUMIFS($Q$5:$Q882,$A$5:$A882,$A883)&lt;=-Settings!$C$26,"Traded after daily max loss; ",""),"")&amp;IF(AND($AG883="",NOT(ISNUMBER($O883))),"Symbol not in Instruments; ","")&amp;IF(AND($AH883="",NOT(ISNUMBER($O883))),"Forex cross: type Gross P&amp;L; ",""))</f>
        <v/>
      </c>
      <c r="BH883" s="56">
        <f>IF(ISNUMBER($Q883),1,0)</f>
        <v>0</v>
      </c>
      <c r="BI883" s="56">
        <f>IF($Y883="",0,1)</f>
        <v>0</v>
      </c>
      <c r="BJ883" s="56">
        <f>IF($AB883="",0,1)</f>
        <v>0</v>
      </c>
      <c r="BK883" s="56">
        <f>IF(AND($BH883=1,$W883&lt;&gt;"OK"),1,0)</f>
        <v>0</v>
      </c>
      <c r="BL883" s="55">
        <f>IF(N($AZ883)=0,0,IFERROR(INDEX($AT$6:$AT$1005,MATCH($AZ883,$AY$6:$AY$1005,0)),0))</f>
        <v>1187.10688</v>
      </c>
      <c r="BM883" s="56">
        <f>IF(ISNUMBER(SEARCH("daily max loss",$BG883)),1,0)</f>
        <v>0</v>
      </c>
    </row>
    <row r="884" ht="18" customHeight="1">
      <c r="A884" s="38" t="n"/>
      <c r="B884" s="39" t="n"/>
      <c r="C884" s="40" t="n"/>
      <c r="D884" s="41" t="n"/>
      <c r="E884" s="41" t="n"/>
      <c r="F884" s="41" t="n"/>
      <c r="G884" s="41" t="n"/>
      <c r="H884" s="42" t="n"/>
      <c r="I884" s="42" t="n"/>
      <c r="J884" s="42" t="n"/>
      <c r="K884" s="42" t="n"/>
      <c r="L884" s="41" t="n"/>
      <c r="M884" s="41" t="n"/>
      <c r="N884" s="41" t="n"/>
      <c r="O884" s="43" t="n"/>
      <c r="P884" s="43" t="n"/>
      <c r="Q884" s="44" t="str">
        <f>IF($AM884=0,"",IF(ISNUMBER($AK884),$AK884-N($AL884),""))</f>
        <v/>
      </c>
      <c r="R884" s="45" t="str">
        <f>IF(OR($Q884="",NOT(ISNUMBER($V884))),"",$AK884/$V884)</f>
        <v/>
      </c>
      <c r="S884" s="46" t="str">
        <f>IF($Q884="","",IF(AND(ISNUMBER($R884),ABS(N($R884))&lt;N(Settings!$C$8)),"Scratch",IF($Q884&gt;0,"Win",IF($Q884&lt;0,"Loss","Scratch"))))</f>
        <v/>
      </c>
      <c r="T884" s="47" t="str">
        <f>IF(OR($AM884=0,NOT(ISNUMBER($H884)),NOT(ISNUMBER($I884)),NOT(ISNUMBER($J884))),"",IF($H884=$I884,"",ROUND(ABS($J884-$H884)/ABS($H884-$I884),6)))</f>
        <v/>
      </c>
      <c r="U884" s="48" t="str">
        <f>IF(OR($S884&lt;&gt;"Win",NOT(ISNUMBER($T884)),NOT(ISNUMBER($R884))),"",MAX(0,$T884-$R884))</f>
        <v/>
      </c>
      <c r="V884" s="49" t="str">
        <f>IF(OR($AM884=0,NOT(ISNUMBER($H884)),NOT(ISNUMBER($I884)),NOT(ISNUMBER($G884))),"",IF(OR($AG884="",$AH884=""),"",IF(ROUND(ABS($H884-$I884)*ABS($G884)*$AG884*$AH884,6)=0,"",ROUND(ABS($H884-$I884)*ABS($G884)*$AG884*$AH884,6))))</f>
        <v/>
      </c>
      <c r="W884" s="50" t="str">
        <f>IF($AM884=0,"",IF($BG884="","OK",LEFT($BG884,LEN($BG884)-2)))</f>
        <v/>
      </c>
      <c r="X884" s="41" t="n"/>
      <c r="Y884" s="40" t="n"/>
      <c r="Z884" s="41" t="n"/>
      <c r="AA884" s="41" t="n"/>
      <c r="AB884" s="40" t="n"/>
      <c r="AC884" s="51" t="n"/>
      <c r="AD884" s="51" t="n"/>
      <c r="AE884" s="40" t="n"/>
      <c r="AF884" s="52" t="str">
        <f>IF($AM884=0,"",IF($D884&lt;&gt;"",$D884,IF(IFERROR(INDEX(Accounts!$C$7:$C$16,MATCH($C884,Accounts!$B$7:$B$16,0))&amp;"","")&lt;&gt;"",INDEX(Accounts!$C$7:$C$16,MATCH($C884,Accounts!$B$7:$B$16,0)),Settings!$C$6)))</f>
        <v/>
      </c>
      <c r="AG884" s="53" t="str">
        <f>IF($AM884=0,"",IF(AND($BE884&gt;0,N(INDEX(Instruments!$D$6:$D$205,MAX(1,$BE884)))&gt;0),INDEX(Instruments!$D$6:$D$205,MAX(1,$BE884)),IF(N(INDEX(Settings!$D$14:$D$18,$BF884))&gt;0,INDEX(Settings!$D$14:$D$18,$BF884),"")))</f>
        <v/>
      </c>
      <c r="AH884" s="54" t="str">
        <f>IF($AM884=0,"",IF($AF884&lt;&gt;"Forex",1,IF(MID(UPPER(SUBSTITUTE(TRIM($E884),"/","")),4,3)=UPPER(TRIM(Settings!$C$7)),1,IF(LEFT(UPPER(SUBSTITUTE(TRIM($E884),"/","")),3)=UPPER(TRIM(Settings!$C$7)),IF(AND(ISNUMBER($K884),N($K884)&lt;&gt;0),1/$K884,""),""))))</f>
        <v/>
      </c>
      <c r="AI884" s="55" t="str">
        <f>IF($AM884=0,"",IF(OR(NOT(ISNUMBER($H884)),NOT(ISNUMBER($K884)),NOT(ISNUMBER($G884)),$AG884="",$AH884=""),"",ROUND(($K884-$H884)*IF($F884="Short",-1,1)*$G884*$AG884*$AH884,6)))</f>
        <v/>
      </c>
      <c r="AJ884" s="55" t="str">
        <f>IF($AM884=0,"",IF(INDEX(Settings!$E$14:$E$18,$BF884)="% of notional",IF(OR($AG884="",NOT(ISNUMBER($H884)),NOT(ISNUMBER($G884))),"",ROUND(ABS($H884*$G884*$AG884*N($AH884))*IF($L884="Limit",N(INDEX(Settings!$G$14:$G$18,$BF884)),N(INDEX(Settings!$H$14:$H$18,$BF884)))+IF(ISNUMBER($K884),ABS($K884*$G884*$AG884*N($AH884))*IF($M884="Target",N(INDEX(Settings!$G$14:$G$18,$BF884)),N(INDEX(Settings!$H$14:$H$18,$BF884))),0),6)),IF(NOT(ISNUMBER($G884)),"",ROUND(ABS($G884)*2*IF(AND($BE884&gt;0,ISNUMBER(INDEX(Instruments!$G$6:$G$205,MAX(1,$BE884)))),INDEX(Instruments!$G$6:$G$205,MAX(1,$BE884)),N(INDEX(Settings!$F$14:$F$18,$BF884))),6))))</f>
        <v/>
      </c>
      <c r="AK884" s="55" t="str">
        <f>IF($AM884=0,"",IF(ISNUMBER($O884),$O884,$AI884))</f>
        <v/>
      </c>
      <c r="AL884" s="55" t="str">
        <f>IF($AM884=0,"",IF(ISNUMBER($P884),$P884,N($AJ884)))</f>
        <v/>
      </c>
      <c r="AM884" s="56">
        <f>IF(AND($A884&lt;&gt;"",$E884&lt;&gt;"",OR(AND(ISNUMBER($G884),ISNUMBER($H884),ISNUMBER($K884)),ISNUMBER($O884))),1,0)</f>
        <v>0</v>
      </c>
      <c r="AN884" s="57" t="str">
        <f>IF($A884="","",$A884-WEEKDAY($A884,3))</f>
        <v/>
      </c>
      <c r="AO884" s="56" t="str">
        <f>IF($A884="","",WEEKDAY($A884,2))</f>
        <v/>
      </c>
      <c r="AP884" s="55" t="str">
        <f>IF(OR($AM884=0,$C884=""),"",IFERROR(N(INDEX(Accounts!$E$7:$E$16,MATCH($C884,Accounts!$B$7:$B$16,0))),0)+SUMIFS($Q$6:$Q884,$C$6:$C884,$C884))</f>
        <v/>
      </c>
      <c r="AQ884" s="55" t="str">
        <f>IF(OR($AM884=0,$C884=""),"",SUMIFS($Q$6:$Q$1005,$C$6:$C$1005,$C884,$A$6:$A$1005,$A884))</f>
        <v/>
      </c>
      <c r="AR884" s="55" t="str">
        <f>IF(OR($AM884=0,$C884=""),"",IFERROR(N(INDEX(Accounts!$E$7:$E$16,MATCH($C884,Accounts!$B$7:$B$16,0))),0)+SUMIFS($Q$6:$Q$1005,$C$6:$C$1005,$C884,$A$6:$A$1005,"&lt;="&amp;$A884))</f>
        <v/>
      </c>
      <c r="AS884" s="56">
        <f>IF(OR($AM884=0,$Q884=""),0,IF(AND($A884&gt;=Lists!$W$6,$A884&lt;=Lists!$W$7,OR(Dashboard!$D$6="All accounts",$C884=Dashboard!$D$6),OR(Dashboard!$D$7="All markets",$AF884=Dashboard!$D$7)),1,0))</f>
        <v>0</v>
      </c>
      <c r="AT884" s="55">
        <f>IF($AS884=1,N(AT883)+$Q884,N(AT883))</f>
        <v>1187.10688</v>
      </c>
      <c r="AU884" s="55">
        <f>MAX(N(AU883),$AT884)</f>
        <v>1187.10688</v>
      </c>
      <c r="AV884" s="55">
        <f>$AT884-$AU884</f>
        <v>0</v>
      </c>
      <c r="AW884" s="56">
        <f>IF($AS884=1,IF($S884="Win",N(AW883)+1,IF($S884="Loss",0,N(AW883))),N(AW883))</f>
        <v>5</v>
      </c>
      <c r="AX884" s="56">
        <f>IF($AS884=1,IF($S884="Loss",N(AX883)+1,IF($S884="Win",0,N(AX883))),N(AX883))</f>
        <v>0</v>
      </c>
      <c r="AY884" s="56" t="str">
        <f>IF($AS884=1,COUNTIF($AS$6:$AS884,1),"")</f>
        <v/>
      </c>
      <c r="AZ884" s="56">
        <f>MIN(878,N(Lists!$W$8))</f>
        <v>28</v>
      </c>
      <c r="BA884" s="56">
        <f>IF($AS884=1,IF(COUNTIFS($A$6:$A884,$A884,$AS$6:$AS884,1)=1,1,0),0)</f>
        <v>0</v>
      </c>
      <c r="BB884" s="55" t="str">
        <f>IF($BA884=1,SUMIFS($Q$6:$Q$1005,$A$6:$A$1005,$A884,$AS$6:$AS$1005,1),"")</f>
        <v/>
      </c>
      <c r="BC884" s="56">
        <f>IF(ISNUMBER($R884),1,0)</f>
        <v>0</v>
      </c>
      <c r="BD884" s="55" t="str">
        <f>IF(ISNUMBER($U884),$U884*$V884,"")</f>
        <v/>
      </c>
      <c r="BE884" s="56" t="str">
        <f>IF($AM884=0,"",IFERROR(MATCH($AF884&amp;"|"&amp;UPPER(TRIM($E884)),Lists!$A$6:$A$205,0),0))</f>
        <v/>
      </c>
      <c r="BF884" s="56" t="str">
        <f>IF($AM884=0,"",IFERROR(MATCH($AF884,Settings!$B$14:$B$18,0),IFERROR(MATCH(Settings!$C$6,Settings!$B$14:$B$18,0),1)))</f>
        <v/>
      </c>
      <c r="BG884" s="58" t="str">
        <f>IF($AM884=0,"",IF(NOT(ISNUMBER($I884)),"No stop; ","")&amp;IF(AND(ISNUMBER($H884),ISNUMBER($I884)),IF(OR(AND($F884&lt;&gt;"Short",$I884&gt;=$H884),AND($F884="Short",$I884&lt;=$H884)),"Stop on wrong side; ",""),"")&amp;IF($F884="","No direction; ","")&amp;IF(AND(ISNUMBER(Settings!$C$22),ISNUMBER($V884)),IF($V884&gt;Settings!$C$22,"Risk over max $; ",""),"")&amp;IF(AND(ISNUMBER(Settings!$C$23),ISNUMBER($V884),ISNUMBER($AP884),IFERROR(N(INDEX(Accounts!$E$7:$E$16,MATCH($C884,Accounts!$B$7:$B$16,0))),0)&gt;0),IF($V884&gt;Settings!$C$23*($AP884-N($Q884)),"Risk over max %; ",""),"")&amp;IF(AND(ISNUMBER(Settings!$C$24),ISNUMBER($N884)),IF($N884&gt;Settings!$C$24,"Leverage over max; ",""),"")&amp;IF(AND(ISNUMBER(Settings!$C$27),ISNUMBER($T884)),IF($T884&lt;Settings!$C$27,"R:R below min; ",""),"")&amp;IF(ISNUMBER(Settings!$C$25),IF(COUNTIFS($A$6:$A884,$A884,$AM$6:$AM884,1)&gt;Settings!$C$25,"Over max trades/day; ",""),"")&amp;IF(ISNUMBER(Settings!$C$26),IF(SUMIFS($Q$5:$Q883,$A$5:$A883,$A884)&lt;=-Settings!$C$26,"Traded after daily max loss; ",""),"")&amp;IF(AND($AG884="",NOT(ISNUMBER($O884))),"Symbol not in Instruments; ","")&amp;IF(AND($AH884="",NOT(ISNUMBER($O884))),"Forex cross: type Gross P&amp;L; ",""))</f>
        <v/>
      </c>
      <c r="BH884" s="56">
        <f>IF(ISNUMBER($Q884),1,0)</f>
        <v>0</v>
      </c>
      <c r="BI884" s="56">
        <f>IF($Y884="",0,1)</f>
        <v>0</v>
      </c>
      <c r="BJ884" s="56">
        <f>IF($AB884="",0,1)</f>
        <v>0</v>
      </c>
      <c r="BK884" s="56">
        <f>IF(AND($BH884=1,$W884&lt;&gt;"OK"),1,0)</f>
        <v>0</v>
      </c>
      <c r="BL884" s="55">
        <f>IF(N($AZ884)=0,0,IFERROR(INDEX($AT$6:$AT$1005,MATCH($AZ884,$AY$6:$AY$1005,0)),0))</f>
        <v>1187.10688</v>
      </c>
      <c r="BM884" s="56">
        <f>IF(ISNUMBER(SEARCH("daily max loss",$BG884)),1,0)</f>
        <v>0</v>
      </c>
    </row>
    <row r="885" ht="18" customHeight="1">
      <c r="A885" s="38" t="n"/>
      <c r="B885" s="39" t="n"/>
      <c r="C885" s="40" t="n"/>
      <c r="D885" s="41" t="n"/>
      <c r="E885" s="41" t="n"/>
      <c r="F885" s="41" t="n"/>
      <c r="G885" s="41" t="n"/>
      <c r="H885" s="42" t="n"/>
      <c r="I885" s="42" t="n"/>
      <c r="J885" s="42" t="n"/>
      <c r="K885" s="42" t="n"/>
      <c r="L885" s="41" t="n"/>
      <c r="M885" s="41" t="n"/>
      <c r="N885" s="41" t="n"/>
      <c r="O885" s="43" t="n"/>
      <c r="P885" s="43" t="n"/>
      <c r="Q885" s="44" t="str">
        <f>IF($AM885=0,"",IF(ISNUMBER($AK885),$AK885-N($AL885),""))</f>
        <v/>
      </c>
      <c r="R885" s="45" t="str">
        <f>IF(OR($Q885="",NOT(ISNUMBER($V885))),"",$AK885/$V885)</f>
        <v/>
      </c>
      <c r="S885" s="46" t="str">
        <f>IF($Q885="","",IF(AND(ISNUMBER($R885),ABS(N($R885))&lt;N(Settings!$C$8)),"Scratch",IF($Q885&gt;0,"Win",IF($Q885&lt;0,"Loss","Scratch"))))</f>
        <v/>
      </c>
      <c r="T885" s="47" t="str">
        <f>IF(OR($AM885=0,NOT(ISNUMBER($H885)),NOT(ISNUMBER($I885)),NOT(ISNUMBER($J885))),"",IF($H885=$I885,"",ROUND(ABS($J885-$H885)/ABS($H885-$I885),6)))</f>
        <v/>
      </c>
      <c r="U885" s="48" t="str">
        <f>IF(OR($S885&lt;&gt;"Win",NOT(ISNUMBER($T885)),NOT(ISNUMBER($R885))),"",MAX(0,$T885-$R885))</f>
        <v/>
      </c>
      <c r="V885" s="49" t="str">
        <f>IF(OR($AM885=0,NOT(ISNUMBER($H885)),NOT(ISNUMBER($I885)),NOT(ISNUMBER($G885))),"",IF(OR($AG885="",$AH885=""),"",IF(ROUND(ABS($H885-$I885)*ABS($G885)*$AG885*$AH885,6)=0,"",ROUND(ABS($H885-$I885)*ABS($G885)*$AG885*$AH885,6))))</f>
        <v/>
      </c>
      <c r="W885" s="50" t="str">
        <f>IF($AM885=0,"",IF($BG885="","OK",LEFT($BG885,LEN($BG885)-2)))</f>
        <v/>
      </c>
      <c r="X885" s="41" t="n"/>
      <c r="Y885" s="40" t="n"/>
      <c r="Z885" s="41" t="n"/>
      <c r="AA885" s="41" t="n"/>
      <c r="AB885" s="40" t="n"/>
      <c r="AC885" s="51" t="n"/>
      <c r="AD885" s="51" t="n"/>
      <c r="AE885" s="40" t="n"/>
      <c r="AF885" s="52" t="str">
        <f>IF($AM885=0,"",IF($D885&lt;&gt;"",$D885,IF(IFERROR(INDEX(Accounts!$C$7:$C$16,MATCH($C885,Accounts!$B$7:$B$16,0))&amp;"","")&lt;&gt;"",INDEX(Accounts!$C$7:$C$16,MATCH($C885,Accounts!$B$7:$B$16,0)),Settings!$C$6)))</f>
        <v/>
      </c>
      <c r="AG885" s="53" t="str">
        <f>IF($AM885=0,"",IF(AND($BE885&gt;0,N(INDEX(Instruments!$D$6:$D$205,MAX(1,$BE885)))&gt;0),INDEX(Instruments!$D$6:$D$205,MAX(1,$BE885)),IF(N(INDEX(Settings!$D$14:$D$18,$BF885))&gt;0,INDEX(Settings!$D$14:$D$18,$BF885),"")))</f>
        <v/>
      </c>
      <c r="AH885" s="54" t="str">
        <f>IF($AM885=0,"",IF($AF885&lt;&gt;"Forex",1,IF(MID(UPPER(SUBSTITUTE(TRIM($E885),"/","")),4,3)=UPPER(TRIM(Settings!$C$7)),1,IF(LEFT(UPPER(SUBSTITUTE(TRIM($E885),"/","")),3)=UPPER(TRIM(Settings!$C$7)),IF(AND(ISNUMBER($K885),N($K885)&lt;&gt;0),1/$K885,""),""))))</f>
        <v/>
      </c>
      <c r="AI885" s="55" t="str">
        <f>IF($AM885=0,"",IF(OR(NOT(ISNUMBER($H885)),NOT(ISNUMBER($K885)),NOT(ISNUMBER($G885)),$AG885="",$AH885=""),"",ROUND(($K885-$H885)*IF($F885="Short",-1,1)*$G885*$AG885*$AH885,6)))</f>
        <v/>
      </c>
      <c r="AJ885" s="55" t="str">
        <f>IF($AM885=0,"",IF(INDEX(Settings!$E$14:$E$18,$BF885)="% of notional",IF(OR($AG885="",NOT(ISNUMBER($H885)),NOT(ISNUMBER($G885))),"",ROUND(ABS($H885*$G885*$AG885*N($AH885))*IF($L885="Limit",N(INDEX(Settings!$G$14:$G$18,$BF885)),N(INDEX(Settings!$H$14:$H$18,$BF885)))+IF(ISNUMBER($K885),ABS($K885*$G885*$AG885*N($AH885))*IF($M885="Target",N(INDEX(Settings!$G$14:$G$18,$BF885)),N(INDEX(Settings!$H$14:$H$18,$BF885))),0),6)),IF(NOT(ISNUMBER($G885)),"",ROUND(ABS($G885)*2*IF(AND($BE885&gt;0,ISNUMBER(INDEX(Instruments!$G$6:$G$205,MAX(1,$BE885)))),INDEX(Instruments!$G$6:$G$205,MAX(1,$BE885)),N(INDEX(Settings!$F$14:$F$18,$BF885))),6))))</f>
        <v/>
      </c>
      <c r="AK885" s="55" t="str">
        <f>IF($AM885=0,"",IF(ISNUMBER($O885),$O885,$AI885))</f>
        <v/>
      </c>
      <c r="AL885" s="55" t="str">
        <f>IF($AM885=0,"",IF(ISNUMBER($P885),$P885,N($AJ885)))</f>
        <v/>
      </c>
      <c r="AM885" s="56">
        <f>IF(AND($A885&lt;&gt;"",$E885&lt;&gt;"",OR(AND(ISNUMBER($G885),ISNUMBER($H885),ISNUMBER($K885)),ISNUMBER($O885))),1,0)</f>
        <v>0</v>
      </c>
      <c r="AN885" s="57" t="str">
        <f>IF($A885="","",$A885-WEEKDAY($A885,3))</f>
        <v/>
      </c>
      <c r="AO885" s="56" t="str">
        <f>IF($A885="","",WEEKDAY($A885,2))</f>
        <v/>
      </c>
      <c r="AP885" s="55" t="str">
        <f>IF(OR($AM885=0,$C885=""),"",IFERROR(N(INDEX(Accounts!$E$7:$E$16,MATCH($C885,Accounts!$B$7:$B$16,0))),0)+SUMIFS($Q$6:$Q885,$C$6:$C885,$C885))</f>
        <v/>
      </c>
      <c r="AQ885" s="55" t="str">
        <f>IF(OR($AM885=0,$C885=""),"",SUMIFS($Q$6:$Q$1005,$C$6:$C$1005,$C885,$A$6:$A$1005,$A885))</f>
        <v/>
      </c>
      <c r="AR885" s="55" t="str">
        <f>IF(OR($AM885=0,$C885=""),"",IFERROR(N(INDEX(Accounts!$E$7:$E$16,MATCH($C885,Accounts!$B$7:$B$16,0))),0)+SUMIFS($Q$6:$Q$1005,$C$6:$C$1005,$C885,$A$6:$A$1005,"&lt;="&amp;$A885))</f>
        <v/>
      </c>
      <c r="AS885" s="56">
        <f>IF(OR($AM885=0,$Q885=""),0,IF(AND($A885&gt;=Lists!$W$6,$A885&lt;=Lists!$W$7,OR(Dashboard!$D$6="All accounts",$C885=Dashboard!$D$6),OR(Dashboard!$D$7="All markets",$AF885=Dashboard!$D$7)),1,0))</f>
        <v>0</v>
      </c>
      <c r="AT885" s="55">
        <f>IF($AS885=1,N(AT884)+$Q885,N(AT884))</f>
        <v>1187.10688</v>
      </c>
      <c r="AU885" s="55">
        <f>MAX(N(AU884),$AT885)</f>
        <v>1187.10688</v>
      </c>
      <c r="AV885" s="55">
        <f>$AT885-$AU885</f>
        <v>0</v>
      </c>
      <c r="AW885" s="56">
        <f>IF($AS885=1,IF($S885="Win",N(AW884)+1,IF($S885="Loss",0,N(AW884))),N(AW884))</f>
        <v>5</v>
      </c>
      <c r="AX885" s="56">
        <f>IF($AS885=1,IF($S885="Loss",N(AX884)+1,IF($S885="Win",0,N(AX884))),N(AX884))</f>
        <v>0</v>
      </c>
      <c r="AY885" s="56" t="str">
        <f>IF($AS885=1,COUNTIF($AS$6:$AS885,1),"")</f>
        <v/>
      </c>
      <c r="AZ885" s="56">
        <f>MIN(879,N(Lists!$W$8))</f>
        <v>28</v>
      </c>
      <c r="BA885" s="56">
        <f>IF($AS885=1,IF(COUNTIFS($A$6:$A885,$A885,$AS$6:$AS885,1)=1,1,0),0)</f>
        <v>0</v>
      </c>
      <c r="BB885" s="55" t="str">
        <f>IF($BA885=1,SUMIFS($Q$6:$Q$1005,$A$6:$A$1005,$A885,$AS$6:$AS$1005,1),"")</f>
        <v/>
      </c>
      <c r="BC885" s="56">
        <f>IF(ISNUMBER($R885),1,0)</f>
        <v>0</v>
      </c>
      <c r="BD885" s="55" t="str">
        <f>IF(ISNUMBER($U885),$U885*$V885,"")</f>
        <v/>
      </c>
      <c r="BE885" s="56" t="str">
        <f>IF($AM885=0,"",IFERROR(MATCH($AF885&amp;"|"&amp;UPPER(TRIM($E885)),Lists!$A$6:$A$205,0),0))</f>
        <v/>
      </c>
      <c r="BF885" s="56" t="str">
        <f>IF($AM885=0,"",IFERROR(MATCH($AF885,Settings!$B$14:$B$18,0),IFERROR(MATCH(Settings!$C$6,Settings!$B$14:$B$18,0),1)))</f>
        <v/>
      </c>
      <c r="BG885" s="58" t="str">
        <f>IF($AM885=0,"",IF(NOT(ISNUMBER($I885)),"No stop; ","")&amp;IF(AND(ISNUMBER($H885),ISNUMBER($I885)),IF(OR(AND($F885&lt;&gt;"Short",$I885&gt;=$H885),AND($F885="Short",$I885&lt;=$H885)),"Stop on wrong side; ",""),"")&amp;IF($F885="","No direction; ","")&amp;IF(AND(ISNUMBER(Settings!$C$22),ISNUMBER($V885)),IF($V885&gt;Settings!$C$22,"Risk over max $; ",""),"")&amp;IF(AND(ISNUMBER(Settings!$C$23),ISNUMBER($V885),ISNUMBER($AP885),IFERROR(N(INDEX(Accounts!$E$7:$E$16,MATCH($C885,Accounts!$B$7:$B$16,0))),0)&gt;0),IF($V885&gt;Settings!$C$23*($AP885-N($Q885)),"Risk over max %; ",""),"")&amp;IF(AND(ISNUMBER(Settings!$C$24),ISNUMBER($N885)),IF($N885&gt;Settings!$C$24,"Leverage over max; ",""),"")&amp;IF(AND(ISNUMBER(Settings!$C$27),ISNUMBER($T885)),IF($T885&lt;Settings!$C$27,"R:R below min; ",""),"")&amp;IF(ISNUMBER(Settings!$C$25),IF(COUNTIFS($A$6:$A885,$A885,$AM$6:$AM885,1)&gt;Settings!$C$25,"Over max trades/day; ",""),"")&amp;IF(ISNUMBER(Settings!$C$26),IF(SUMIFS($Q$5:$Q884,$A$5:$A884,$A885)&lt;=-Settings!$C$26,"Traded after daily max loss; ",""),"")&amp;IF(AND($AG885="",NOT(ISNUMBER($O885))),"Symbol not in Instruments; ","")&amp;IF(AND($AH885="",NOT(ISNUMBER($O885))),"Forex cross: type Gross P&amp;L; ",""))</f>
        <v/>
      </c>
      <c r="BH885" s="56">
        <f>IF(ISNUMBER($Q885),1,0)</f>
        <v>0</v>
      </c>
      <c r="BI885" s="56">
        <f>IF($Y885="",0,1)</f>
        <v>0</v>
      </c>
      <c r="BJ885" s="56">
        <f>IF($AB885="",0,1)</f>
        <v>0</v>
      </c>
      <c r="BK885" s="56">
        <f>IF(AND($BH885=1,$W885&lt;&gt;"OK"),1,0)</f>
        <v>0</v>
      </c>
      <c r="BL885" s="55">
        <f>IF(N($AZ885)=0,0,IFERROR(INDEX($AT$6:$AT$1005,MATCH($AZ885,$AY$6:$AY$1005,0)),0))</f>
        <v>1187.10688</v>
      </c>
      <c r="BM885" s="56">
        <f>IF(ISNUMBER(SEARCH("daily max loss",$BG885)),1,0)</f>
        <v>0</v>
      </c>
    </row>
    <row r="886" ht="18" customHeight="1">
      <c r="A886" s="38" t="n"/>
      <c r="B886" s="39" t="n"/>
      <c r="C886" s="40" t="n"/>
      <c r="D886" s="41" t="n"/>
      <c r="E886" s="41" t="n"/>
      <c r="F886" s="41" t="n"/>
      <c r="G886" s="41" t="n"/>
      <c r="H886" s="42" t="n"/>
      <c r="I886" s="42" t="n"/>
      <c r="J886" s="42" t="n"/>
      <c r="K886" s="42" t="n"/>
      <c r="L886" s="41" t="n"/>
      <c r="M886" s="41" t="n"/>
      <c r="N886" s="41" t="n"/>
      <c r="O886" s="43" t="n"/>
      <c r="P886" s="43" t="n"/>
      <c r="Q886" s="44" t="str">
        <f>IF($AM886=0,"",IF(ISNUMBER($AK886),$AK886-N($AL886),""))</f>
        <v/>
      </c>
      <c r="R886" s="45" t="str">
        <f>IF(OR($Q886="",NOT(ISNUMBER($V886))),"",$AK886/$V886)</f>
        <v/>
      </c>
      <c r="S886" s="46" t="str">
        <f>IF($Q886="","",IF(AND(ISNUMBER($R886),ABS(N($R886))&lt;N(Settings!$C$8)),"Scratch",IF($Q886&gt;0,"Win",IF($Q886&lt;0,"Loss","Scratch"))))</f>
        <v/>
      </c>
      <c r="T886" s="47" t="str">
        <f>IF(OR($AM886=0,NOT(ISNUMBER($H886)),NOT(ISNUMBER($I886)),NOT(ISNUMBER($J886))),"",IF($H886=$I886,"",ROUND(ABS($J886-$H886)/ABS($H886-$I886),6)))</f>
        <v/>
      </c>
      <c r="U886" s="48" t="str">
        <f>IF(OR($S886&lt;&gt;"Win",NOT(ISNUMBER($T886)),NOT(ISNUMBER($R886))),"",MAX(0,$T886-$R886))</f>
        <v/>
      </c>
      <c r="V886" s="49" t="str">
        <f>IF(OR($AM886=0,NOT(ISNUMBER($H886)),NOT(ISNUMBER($I886)),NOT(ISNUMBER($G886))),"",IF(OR($AG886="",$AH886=""),"",IF(ROUND(ABS($H886-$I886)*ABS($G886)*$AG886*$AH886,6)=0,"",ROUND(ABS($H886-$I886)*ABS($G886)*$AG886*$AH886,6))))</f>
        <v/>
      </c>
      <c r="W886" s="50" t="str">
        <f>IF($AM886=0,"",IF($BG886="","OK",LEFT($BG886,LEN($BG886)-2)))</f>
        <v/>
      </c>
      <c r="X886" s="41" t="n"/>
      <c r="Y886" s="40" t="n"/>
      <c r="Z886" s="41" t="n"/>
      <c r="AA886" s="41" t="n"/>
      <c r="AB886" s="40" t="n"/>
      <c r="AC886" s="51" t="n"/>
      <c r="AD886" s="51" t="n"/>
      <c r="AE886" s="40" t="n"/>
      <c r="AF886" s="52" t="str">
        <f>IF($AM886=0,"",IF($D886&lt;&gt;"",$D886,IF(IFERROR(INDEX(Accounts!$C$7:$C$16,MATCH($C886,Accounts!$B$7:$B$16,0))&amp;"","")&lt;&gt;"",INDEX(Accounts!$C$7:$C$16,MATCH($C886,Accounts!$B$7:$B$16,0)),Settings!$C$6)))</f>
        <v/>
      </c>
      <c r="AG886" s="53" t="str">
        <f>IF($AM886=0,"",IF(AND($BE886&gt;0,N(INDEX(Instruments!$D$6:$D$205,MAX(1,$BE886)))&gt;0),INDEX(Instruments!$D$6:$D$205,MAX(1,$BE886)),IF(N(INDEX(Settings!$D$14:$D$18,$BF886))&gt;0,INDEX(Settings!$D$14:$D$18,$BF886),"")))</f>
        <v/>
      </c>
      <c r="AH886" s="54" t="str">
        <f>IF($AM886=0,"",IF($AF886&lt;&gt;"Forex",1,IF(MID(UPPER(SUBSTITUTE(TRIM($E886),"/","")),4,3)=UPPER(TRIM(Settings!$C$7)),1,IF(LEFT(UPPER(SUBSTITUTE(TRIM($E886),"/","")),3)=UPPER(TRIM(Settings!$C$7)),IF(AND(ISNUMBER($K886),N($K886)&lt;&gt;0),1/$K886,""),""))))</f>
        <v/>
      </c>
      <c r="AI886" s="55" t="str">
        <f>IF($AM886=0,"",IF(OR(NOT(ISNUMBER($H886)),NOT(ISNUMBER($K886)),NOT(ISNUMBER($G886)),$AG886="",$AH886=""),"",ROUND(($K886-$H886)*IF($F886="Short",-1,1)*$G886*$AG886*$AH886,6)))</f>
        <v/>
      </c>
      <c r="AJ886" s="55" t="str">
        <f>IF($AM886=0,"",IF(INDEX(Settings!$E$14:$E$18,$BF886)="% of notional",IF(OR($AG886="",NOT(ISNUMBER($H886)),NOT(ISNUMBER($G886))),"",ROUND(ABS($H886*$G886*$AG886*N($AH886))*IF($L886="Limit",N(INDEX(Settings!$G$14:$G$18,$BF886)),N(INDEX(Settings!$H$14:$H$18,$BF886)))+IF(ISNUMBER($K886),ABS($K886*$G886*$AG886*N($AH886))*IF($M886="Target",N(INDEX(Settings!$G$14:$G$18,$BF886)),N(INDEX(Settings!$H$14:$H$18,$BF886))),0),6)),IF(NOT(ISNUMBER($G886)),"",ROUND(ABS($G886)*2*IF(AND($BE886&gt;0,ISNUMBER(INDEX(Instruments!$G$6:$G$205,MAX(1,$BE886)))),INDEX(Instruments!$G$6:$G$205,MAX(1,$BE886)),N(INDEX(Settings!$F$14:$F$18,$BF886))),6))))</f>
        <v/>
      </c>
      <c r="AK886" s="55" t="str">
        <f>IF($AM886=0,"",IF(ISNUMBER($O886),$O886,$AI886))</f>
        <v/>
      </c>
      <c r="AL886" s="55" t="str">
        <f>IF($AM886=0,"",IF(ISNUMBER($P886),$P886,N($AJ886)))</f>
        <v/>
      </c>
      <c r="AM886" s="56">
        <f>IF(AND($A886&lt;&gt;"",$E886&lt;&gt;"",OR(AND(ISNUMBER($G886),ISNUMBER($H886),ISNUMBER($K886)),ISNUMBER($O886))),1,0)</f>
        <v>0</v>
      </c>
      <c r="AN886" s="57" t="str">
        <f>IF($A886="","",$A886-WEEKDAY($A886,3))</f>
        <v/>
      </c>
      <c r="AO886" s="56" t="str">
        <f>IF($A886="","",WEEKDAY($A886,2))</f>
        <v/>
      </c>
      <c r="AP886" s="55" t="str">
        <f>IF(OR($AM886=0,$C886=""),"",IFERROR(N(INDEX(Accounts!$E$7:$E$16,MATCH($C886,Accounts!$B$7:$B$16,0))),0)+SUMIFS($Q$6:$Q886,$C$6:$C886,$C886))</f>
        <v/>
      </c>
      <c r="AQ886" s="55" t="str">
        <f>IF(OR($AM886=0,$C886=""),"",SUMIFS($Q$6:$Q$1005,$C$6:$C$1005,$C886,$A$6:$A$1005,$A886))</f>
        <v/>
      </c>
      <c r="AR886" s="55" t="str">
        <f>IF(OR($AM886=0,$C886=""),"",IFERROR(N(INDEX(Accounts!$E$7:$E$16,MATCH($C886,Accounts!$B$7:$B$16,0))),0)+SUMIFS($Q$6:$Q$1005,$C$6:$C$1005,$C886,$A$6:$A$1005,"&lt;="&amp;$A886))</f>
        <v/>
      </c>
      <c r="AS886" s="56">
        <f>IF(OR($AM886=0,$Q886=""),0,IF(AND($A886&gt;=Lists!$W$6,$A886&lt;=Lists!$W$7,OR(Dashboard!$D$6="All accounts",$C886=Dashboard!$D$6),OR(Dashboard!$D$7="All markets",$AF886=Dashboard!$D$7)),1,0))</f>
        <v>0</v>
      </c>
      <c r="AT886" s="55">
        <f>IF($AS886=1,N(AT885)+$Q886,N(AT885))</f>
        <v>1187.10688</v>
      </c>
      <c r="AU886" s="55">
        <f>MAX(N(AU885),$AT886)</f>
        <v>1187.10688</v>
      </c>
      <c r="AV886" s="55">
        <f>$AT886-$AU886</f>
        <v>0</v>
      </c>
      <c r="AW886" s="56">
        <f>IF($AS886=1,IF($S886="Win",N(AW885)+1,IF($S886="Loss",0,N(AW885))),N(AW885))</f>
        <v>5</v>
      </c>
      <c r="AX886" s="56">
        <f>IF($AS886=1,IF($S886="Loss",N(AX885)+1,IF($S886="Win",0,N(AX885))),N(AX885))</f>
        <v>0</v>
      </c>
      <c r="AY886" s="56" t="str">
        <f>IF($AS886=1,COUNTIF($AS$6:$AS886,1),"")</f>
        <v/>
      </c>
      <c r="AZ886" s="56">
        <f>MIN(880,N(Lists!$W$8))</f>
        <v>28</v>
      </c>
      <c r="BA886" s="56">
        <f>IF($AS886=1,IF(COUNTIFS($A$6:$A886,$A886,$AS$6:$AS886,1)=1,1,0),0)</f>
        <v>0</v>
      </c>
      <c r="BB886" s="55" t="str">
        <f>IF($BA886=1,SUMIFS($Q$6:$Q$1005,$A$6:$A$1005,$A886,$AS$6:$AS$1005,1),"")</f>
        <v/>
      </c>
      <c r="BC886" s="56">
        <f>IF(ISNUMBER($R886),1,0)</f>
        <v>0</v>
      </c>
      <c r="BD886" s="55" t="str">
        <f>IF(ISNUMBER($U886),$U886*$V886,"")</f>
        <v/>
      </c>
      <c r="BE886" s="56" t="str">
        <f>IF($AM886=0,"",IFERROR(MATCH($AF886&amp;"|"&amp;UPPER(TRIM($E886)),Lists!$A$6:$A$205,0),0))</f>
        <v/>
      </c>
      <c r="BF886" s="56" t="str">
        <f>IF($AM886=0,"",IFERROR(MATCH($AF886,Settings!$B$14:$B$18,0),IFERROR(MATCH(Settings!$C$6,Settings!$B$14:$B$18,0),1)))</f>
        <v/>
      </c>
      <c r="BG886" s="58" t="str">
        <f>IF($AM886=0,"",IF(NOT(ISNUMBER($I886)),"No stop; ","")&amp;IF(AND(ISNUMBER($H886),ISNUMBER($I886)),IF(OR(AND($F886&lt;&gt;"Short",$I886&gt;=$H886),AND($F886="Short",$I886&lt;=$H886)),"Stop on wrong side; ",""),"")&amp;IF($F886="","No direction; ","")&amp;IF(AND(ISNUMBER(Settings!$C$22),ISNUMBER($V886)),IF($V886&gt;Settings!$C$22,"Risk over max $; ",""),"")&amp;IF(AND(ISNUMBER(Settings!$C$23),ISNUMBER($V886),ISNUMBER($AP886),IFERROR(N(INDEX(Accounts!$E$7:$E$16,MATCH($C886,Accounts!$B$7:$B$16,0))),0)&gt;0),IF($V886&gt;Settings!$C$23*($AP886-N($Q886)),"Risk over max %; ",""),"")&amp;IF(AND(ISNUMBER(Settings!$C$24),ISNUMBER($N886)),IF($N886&gt;Settings!$C$24,"Leverage over max; ",""),"")&amp;IF(AND(ISNUMBER(Settings!$C$27),ISNUMBER($T886)),IF($T886&lt;Settings!$C$27,"R:R below min; ",""),"")&amp;IF(ISNUMBER(Settings!$C$25),IF(COUNTIFS($A$6:$A886,$A886,$AM$6:$AM886,1)&gt;Settings!$C$25,"Over max trades/day; ",""),"")&amp;IF(ISNUMBER(Settings!$C$26),IF(SUMIFS($Q$5:$Q885,$A$5:$A885,$A886)&lt;=-Settings!$C$26,"Traded after daily max loss; ",""),"")&amp;IF(AND($AG886="",NOT(ISNUMBER($O886))),"Symbol not in Instruments; ","")&amp;IF(AND($AH886="",NOT(ISNUMBER($O886))),"Forex cross: type Gross P&amp;L; ",""))</f>
        <v/>
      </c>
      <c r="BH886" s="56">
        <f>IF(ISNUMBER($Q886),1,0)</f>
        <v>0</v>
      </c>
      <c r="BI886" s="56">
        <f>IF($Y886="",0,1)</f>
        <v>0</v>
      </c>
      <c r="BJ886" s="56">
        <f>IF($AB886="",0,1)</f>
        <v>0</v>
      </c>
      <c r="BK886" s="56">
        <f>IF(AND($BH886=1,$W886&lt;&gt;"OK"),1,0)</f>
        <v>0</v>
      </c>
      <c r="BL886" s="55">
        <f>IF(N($AZ886)=0,0,IFERROR(INDEX($AT$6:$AT$1005,MATCH($AZ886,$AY$6:$AY$1005,0)),0))</f>
        <v>1187.10688</v>
      </c>
      <c r="BM886" s="56">
        <f>IF(ISNUMBER(SEARCH("daily max loss",$BG886)),1,0)</f>
        <v>0</v>
      </c>
    </row>
    <row r="887" ht="18" customHeight="1">
      <c r="A887" s="38" t="n"/>
      <c r="B887" s="39" t="n"/>
      <c r="C887" s="40" t="n"/>
      <c r="D887" s="41" t="n"/>
      <c r="E887" s="41" t="n"/>
      <c r="F887" s="41" t="n"/>
      <c r="G887" s="41" t="n"/>
      <c r="H887" s="42" t="n"/>
      <c r="I887" s="42" t="n"/>
      <c r="J887" s="42" t="n"/>
      <c r="K887" s="42" t="n"/>
      <c r="L887" s="41" t="n"/>
      <c r="M887" s="41" t="n"/>
      <c r="N887" s="41" t="n"/>
      <c r="O887" s="43" t="n"/>
      <c r="P887" s="43" t="n"/>
      <c r="Q887" s="44" t="str">
        <f>IF($AM887=0,"",IF(ISNUMBER($AK887),$AK887-N($AL887),""))</f>
        <v/>
      </c>
      <c r="R887" s="45" t="str">
        <f>IF(OR($Q887="",NOT(ISNUMBER($V887))),"",$AK887/$V887)</f>
        <v/>
      </c>
      <c r="S887" s="46" t="str">
        <f>IF($Q887="","",IF(AND(ISNUMBER($R887),ABS(N($R887))&lt;N(Settings!$C$8)),"Scratch",IF($Q887&gt;0,"Win",IF($Q887&lt;0,"Loss","Scratch"))))</f>
        <v/>
      </c>
      <c r="T887" s="47" t="str">
        <f>IF(OR($AM887=0,NOT(ISNUMBER($H887)),NOT(ISNUMBER($I887)),NOT(ISNUMBER($J887))),"",IF($H887=$I887,"",ROUND(ABS($J887-$H887)/ABS($H887-$I887),6)))</f>
        <v/>
      </c>
      <c r="U887" s="48" t="str">
        <f>IF(OR($S887&lt;&gt;"Win",NOT(ISNUMBER($T887)),NOT(ISNUMBER($R887))),"",MAX(0,$T887-$R887))</f>
        <v/>
      </c>
      <c r="V887" s="49" t="str">
        <f>IF(OR($AM887=0,NOT(ISNUMBER($H887)),NOT(ISNUMBER($I887)),NOT(ISNUMBER($G887))),"",IF(OR($AG887="",$AH887=""),"",IF(ROUND(ABS($H887-$I887)*ABS($G887)*$AG887*$AH887,6)=0,"",ROUND(ABS($H887-$I887)*ABS($G887)*$AG887*$AH887,6))))</f>
        <v/>
      </c>
      <c r="W887" s="50" t="str">
        <f>IF($AM887=0,"",IF($BG887="","OK",LEFT($BG887,LEN($BG887)-2)))</f>
        <v/>
      </c>
      <c r="X887" s="41" t="n"/>
      <c r="Y887" s="40" t="n"/>
      <c r="Z887" s="41" t="n"/>
      <c r="AA887" s="41" t="n"/>
      <c r="AB887" s="40" t="n"/>
      <c r="AC887" s="51" t="n"/>
      <c r="AD887" s="51" t="n"/>
      <c r="AE887" s="40" t="n"/>
      <c r="AF887" s="52" t="str">
        <f>IF($AM887=0,"",IF($D887&lt;&gt;"",$D887,IF(IFERROR(INDEX(Accounts!$C$7:$C$16,MATCH($C887,Accounts!$B$7:$B$16,0))&amp;"","")&lt;&gt;"",INDEX(Accounts!$C$7:$C$16,MATCH($C887,Accounts!$B$7:$B$16,0)),Settings!$C$6)))</f>
        <v/>
      </c>
      <c r="AG887" s="53" t="str">
        <f>IF($AM887=0,"",IF(AND($BE887&gt;0,N(INDEX(Instruments!$D$6:$D$205,MAX(1,$BE887)))&gt;0),INDEX(Instruments!$D$6:$D$205,MAX(1,$BE887)),IF(N(INDEX(Settings!$D$14:$D$18,$BF887))&gt;0,INDEX(Settings!$D$14:$D$18,$BF887),"")))</f>
        <v/>
      </c>
      <c r="AH887" s="54" t="str">
        <f>IF($AM887=0,"",IF($AF887&lt;&gt;"Forex",1,IF(MID(UPPER(SUBSTITUTE(TRIM($E887),"/","")),4,3)=UPPER(TRIM(Settings!$C$7)),1,IF(LEFT(UPPER(SUBSTITUTE(TRIM($E887),"/","")),3)=UPPER(TRIM(Settings!$C$7)),IF(AND(ISNUMBER($K887),N($K887)&lt;&gt;0),1/$K887,""),""))))</f>
        <v/>
      </c>
      <c r="AI887" s="55" t="str">
        <f>IF($AM887=0,"",IF(OR(NOT(ISNUMBER($H887)),NOT(ISNUMBER($K887)),NOT(ISNUMBER($G887)),$AG887="",$AH887=""),"",ROUND(($K887-$H887)*IF($F887="Short",-1,1)*$G887*$AG887*$AH887,6)))</f>
        <v/>
      </c>
      <c r="AJ887" s="55" t="str">
        <f>IF($AM887=0,"",IF(INDEX(Settings!$E$14:$E$18,$BF887)="% of notional",IF(OR($AG887="",NOT(ISNUMBER($H887)),NOT(ISNUMBER($G887))),"",ROUND(ABS($H887*$G887*$AG887*N($AH887))*IF($L887="Limit",N(INDEX(Settings!$G$14:$G$18,$BF887)),N(INDEX(Settings!$H$14:$H$18,$BF887)))+IF(ISNUMBER($K887),ABS($K887*$G887*$AG887*N($AH887))*IF($M887="Target",N(INDEX(Settings!$G$14:$G$18,$BF887)),N(INDEX(Settings!$H$14:$H$18,$BF887))),0),6)),IF(NOT(ISNUMBER($G887)),"",ROUND(ABS($G887)*2*IF(AND($BE887&gt;0,ISNUMBER(INDEX(Instruments!$G$6:$G$205,MAX(1,$BE887)))),INDEX(Instruments!$G$6:$G$205,MAX(1,$BE887)),N(INDEX(Settings!$F$14:$F$18,$BF887))),6))))</f>
        <v/>
      </c>
      <c r="AK887" s="55" t="str">
        <f>IF($AM887=0,"",IF(ISNUMBER($O887),$O887,$AI887))</f>
        <v/>
      </c>
      <c r="AL887" s="55" t="str">
        <f>IF($AM887=0,"",IF(ISNUMBER($P887),$P887,N($AJ887)))</f>
        <v/>
      </c>
      <c r="AM887" s="56">
        <f>IF(AND($A887&lt;&gt;"",$E887&lt;&gt;"",OR(AND(ISNUMBER($G887),ISNUMBER($H887),ISNUMBER($K887)),ISNUMBER($O887))),1,0)</f>
        <v>0</v>
      </c>
      <c r="AN887" s="57" t="str">
        <f>IF($A887="","",$A887-WEEKDAY($A887,3))</f>
        <v/>
      </c>
      <c r="AO887" s="56" t="str">
        <f>IF($A887="","",WEEKDAY($A887,2))</f>
        <v/>
      </c>
      <c r="AP887" s="55" t="str">
        <f>IF(OR($AM887=0,$C887=""),"",IFERROR(N(INDEX(Accounts!$E$7:$E$16,MATCH($C887,Accounts!$B$7:$B$16,0))),0)+SUMIFS($Q$6:$Q887,$C$6:$C887,$C887))</f>
        <v/>
      </c>
      <c r="AQ887" s="55" t="str">
        <f>IF(OR($AM887=0,$C887=""),"",SUMIFS($Q$6:$Q$1005,$C$6:$C$1005,$C887,$A$6:$A$1005,$A887))</f>
        <v/>
      </c>
      <c r="AR887" s="55" t="str">
        <f>IF(OR($AM887=0,$C887=""),"",IFERROR(N(INDEX(Accounts!$E$7:$E$16,MATCH($C887,Accounts!$B$7:$B$16,0))),0)+SUMIFS($Q$6:$Q$1005,$C$6:$C$1005,$C887,$A$6:$A$1005,"&lt;="&amp;$A887))</f>
        <v/>
      </c>
      <c r="AS887" s="56">
        <f>IF(OR($AM887=0,$Q887=""),0,IF(AND($A887&gt;=Lists!$W$6,$A887&lt;=Lists!$W$7,OR(Dashboard!$D$6="All accounts",$C887=Dashboard!$D$6),OR(Dashboard!$D$7="All markets",$AF887=Dashboard!$D$7)),1,0))</f>
        <v>0</v>
      </c>
      <c r="AT887" s="55">
        <f>IF($AS887=1,N(AT886)+$Q887,N(AT886))</f>
        <v>1187.10688</v>
      </c>
      <c r="AU887" s="55">
        <f>MAX(N(AU886),$AT887)</f>
        <v>1187.10688</v>
      </c>
      <c r="AV887" s="55">
        <f>$AT887-$AU887</f>
        <v>0</v>
      </c>
      <c r="AW887" s="56">
        <f>IF($AS887=1,IF($S887="Win",N(AW886)+1,IF($S887="Loss",0,N(AW886))),N(AW886))</f>
        <v>5</v>
      </c>
      <c r="AX887" s="56">
        <f>IF($AS887=1,IF($S887="Loss",N(AX886)+1,IF($S887="Win",0,N(AX886))),N(AX886))</f>
        <v>0</v>
      </c>
      <c r="AY887" s="56" t="str">
        <f>IF($AS887=1,COUNTIF($AS$6:$AS887,1),"")</f>
        <v/>
      </c>
      <c r="AZ887" s="56">
        <f>MIN(881,N(Lists!$W$8))</f>
        <v>28</v>
      </c>
      <c r="BA887" s="56">
        <f>IF($AS887=1,IF(COUNTIFS($A$6:$A887,$A887,$AS$6:$AS887,1)=1,1,0),0)</f>
        <v>0</v>
      </c>
      <c r="BB887" s="55" t="str">
        <f>IF($BA887=1,SUMIFS($Q$6:$Q$1005,$A$6:$A$1005,$A887,$AS$6:$AS$1005,1),"")</f>
        <v/>
      </c>
      <c r="BC887" s="56">
        <f>IF(ISNUMBER($R887),1,0)</f>
        <v>0</v>
      </c>
      <c r="BD887" s="55" t="str">
        <f>IF(ISNUMBER($U887),$U887*$V887,"")</f>
        <v/>
      </c>
      <c r="BE887" s="56" t="str">
        <f>IF($AM887=0,"",IFERROR(MATCH($AF887&amp;"|"&amp;UPPER(TRIM($E887)),Lists!$A$6:$A$205,0),0))</f>
        <v/>
      </c>
      <c r="BF887" s="56" t="str">
        <f>IF($AM887=0,"",IFERROR(MATCH($AF887,Settings!$B$14:$B$18,0),IFERROR(MATCH(Settings!$C$6,Settings!$B$14:$B$18,0),1)))</f>
        <v/>
      </c>
      <c r="BG887" s="58" t="str">
        <f>IF($AM887=0,"",IF(NOT(ISNUMBER($I887)),"No stop; ","")&amp;IF(AND(ISNUMBER($H887),ISNUMBER($I887)),IF(OR(AND($F887&lt;&gt;"Short",$I887&gt;=$H887),AND($F887="Short",$I887&lt;=$H887)),"Stop on wrong side; ",""),"")&amp;IF($F887="","No direction; ","")&amp;IF(AND(ISNUMBER(Settings!$C$22),ISNUMBER($V887)),IF($V887&gt;Settings!$C$22,"Risk over max $; ",""),"")&amp;IF(AND(ISNUMBER(Settings!$C$23),ISNUMBER($V887),ISNUMBER($AP887),IFERROR(N(INDEX(Accounts!$E$7:$E$16,MATCH($C887,Accounts!$B$7:$B$16,0))),0)&gt;0),IF($V887&gt;Settings!$C$23*($AP887-N($Q887)),"Risk over max %; ",""),"")&amp;IF(AND(ISNUMBER(Settings!$C$24),ISNUMBER($N887)),IF($N887&gt;Settings!$C$24,"Leverage over max; ",""),"")&amp;IF(AND(ISNUMBER(Settings!$C$27),ISNUMBER($T887)),IF($T887&lt;Settings!$C$27,"R:R below min; ",""),"")&amp;IF(ISNUMBER(Settings!$C$25),IF(COUNTIFS($A$6:$A887,$A887,$AM$6:$AM887,1)&gt;Settings!$C$25,"Over max trades/day; ",""),"")&amp;IF(ISNUMBER(Settings!$C$26),IF(SUMIFS($Q$5:$Q886,$A$5:$A886,$A887)&lt;=-Settings!$C$26,"Traded after daily max loss; ",""),"")&amp;IF(AND($AG887="",NOT(ISNUMBER($O887))),"Symbol not in Instruments; ","")&amp;IF(AND($AH887="",NOT(ISNUMBER($O887))),"Forex cross: type Gross P&amp;L; ",""))</f>
        <v/>
      </c>
      <c r="BH887" s="56">
        <f>IF(ISNUMBER($Q887),1,0)</f>
        <v>0</v>
      </c>
      <c r="BI887" s="56">
        <f>IF($Y887="",0,1)</f>
        <v>0</v>
      </c>
      <c r="BJ887" s="56">
        <f>IF($AB887="",0,1)</f>
        <v>0</v>
      </c>
      <c r="BK887" s="56">
        <f>IF(AND($BH887=1,$W887&lt;&gt;"OK"),1,0)</f>
        <v>0</v>
      </c>
      <c r="BL887" s="55">
        <f>IF(N($AZ887)=0,0,IFERROR(INDEX($AT$6:$AT$1005,MATCH($AZ887,$AY$6:$AY$1005,0)),0))</f>
        <v>1187.10688</v>
      </c>
      <c r="BM887" s="56">
        <f>IF(ISNUMBER(SEARCH("daily max loss",$BG887)),1,0)</f>
        <v>0</v>
      </c>
    </row>
    <row r="888" ht="18" customHeight="1">
      <c r="A888" s="38" t="n"/>
      <c r="B888" s="39" t="n"/>
      <c r="C888" s="40" t="n"/>
      <c r="D888" s="41" t="n"/>
      <c r="E888" s="41" t="n"/>
      <c r="F888" s="41" t="n"/>
      <c r="G888" s="41" t="n"/>
      <c r="H888" s="42" t="n"/>
      <c r="I888" s="42" t="n"/>
      <c r="J888" s="42" t="n"/>
      <c r="K888" s="42" t="n"/>
      <c r="L888" s="41" t="n"/>
      <c r="M888" s="41" t="n"/>
      <c r="N888" s="41" t="n"/>
      <c r="O888" s="43" t="n"/>
      <c r="P888" s="43" t="n"/>
      <c r="Q888" s="44" t="str">
        <f>IF($AM888=0,"",IF(ISNUMBER($AK888),$AK888-N($AL888),""))</f>
        <v/>
      </c>
      <c r="R888" s="45" t="str">
        <f>IF(OR($Q888="",NOT(ISNUMBER($V888))),"",$AK888/$V888)</f>
        <v/>
      </c>
      <c r="S888" s="46" t="str">
        <f>IF($Q888="","",IF(AND(ISNUMBER($R888),ABS(N($R888))&lt;N(Settings!$C$8)),"Scratch",IF($Q888&gt;0,"Win",IF($Q888&lt;0,"Loss","Scratch"))))</f>
        <v/>
      </c>
      <c r="T888" s="47" t="str">
        <f>IF(OR($AM888=0,NOT(ISNUMBER($H888)),NOT(ISNUMBER($I888)),NOT(ISNUMBER($J888))),"",IF($H888=$I888,"",ROUND(ABS($J888-$H888)/ABS($H888-$I888),6)))</f>
        <v/>
      </c>
      <c r="U888" s="48" t="str">
        <f>IF(OR($S888&lt;&gt;"Win",NOT(ISNUMBER($T888)),NOT(ISNUMBER($R888))),"",MAX(0,$T888-$R888))</f>
        <v/>
      </c>
      <c r="V888" s="49" t="str">
        <f>IF(OR($AM888=0,NOT(ISNUMBER($H888)),NOT(ISNUMBER($I888)),NOT(ISNUMBER($G888))),"",IF(OR($AG888="",$AH888=""),"",IF(ROUND(ABS($H888-$I888)*ABS($G888)*$AG888*$AH888,6)=0,"",ROUND(ABS($H888-$I888)*ABS($G888)*$AG888*$AH888,6))))</f>
        <v/>
      </c>
      <c r="W888" s="50" t="str">
        <f>IF($AM888=0,"",IF($BG888="","OK",LEFT($BG888,LEN($BG888)-2)))</f>
        <v/>
      </c>
      <c r="X888" s="41" t="n"/>
      <c r="Y888" s="40" t="n"/>
      <c r="Z888" s="41" t="n"/>
      <c r="AA888" s="41" t="n"/>
      <c r="AB888" s="40" t="n"/>
      <c r="AC888" s="51" t="n"/>
      <c r="AD888" s="51" t="n"/>
      <c r="AE888" s="40" t="n"/>
      <c r="AF888" s="52" t="str">
        <f>IF($AM888=0,"",IF($D888&lt;&gt;"",$D888,IF(IFERROR(INDEX(Accounts!$C$7:$C$16,MATCH($C888,Accounts!$B$7:$B$16,0))&amp;"","")&lt;&gt;"",INDEX(Accounts!$C$7:$C$16,MATCH($C888,Accounts!$B$7:$B$16,0)),Settings!$C$6)))</f>
        <v/>
      </c>
      <c r="AG888" s="53" t="str">
        <f>IF($AM888=0,"",IF(AND($BE888&gt;0,N(INDEX(Instruments!$D$6:$D$205,MAX(1,$BE888)))&gt;0),INDEX(Instruments!$D$6:$D$205,MAX(1,$BE888)),IF(N(INDEX(Settings!$D$14:$D$18,$BF888))&gt;0,INDEX(Settings!$D$14:$D$18,$BF888),"")))</f>
        <v/>
      </c>
      <c r="AH888" s="54" t="str">
        <f>IF($AM888=0,"",IF($AF888&lt;&gt;"Forex",1,IF(MID(UPPER(SUBSTITUTE(TRIM($E888),"/","")),4,3)=UPPER(TRIM(Settings!$C$7)),1,IF(LEFT(UPPER(SUBSTITUTE(TRIM($E888),"/","")),3)=UPPER(TRIM(Settings!$C$7)),IF(AND(ISNUMBER($K888),N($K888)&lt;&gt;0),1/$K888,""),""))))</f>
        <v/>
      </c>
      <c r="AI888" s="55" t="str">
        <f>IF($AM888=0,"",IF(OR(NOT(ISNUMBER($H888)),NOT(ISNUMBER($K888)),NOT(ISNUMBER($G888)),$AG888="",$AH888=""),"",ROUND(($K888-$H888)*IF($F888="Short",-1,1)*$G888*$AG888*$AH888,6)))</f>
        <v/>
      </c>
      <c r="AJ888" s="55" t="str">
        <f>IF($AM888=0,"",IF(INDEX(Settings!$E$14:$E$18,$BF888)="% of notional",IF(OR($AG888="",NOT(ISNUMBER($H888)),NOT(ISNUMBER($G888))),"",ROUND(ABS($H888*$G888*$AG888*N($AH888))*IF($L888="Limit",N(INDEX(Settings!$G$14:$G$18,$BF888)),N(INDEX(Settings!$H$14:$H$18,$BF888)))+IF(ISNUMBER($K888),ABS($K888*$G888*$AG888*N($AH888))*IF($M888="Target",N(INDEX(Settings!$G$14:$G$18,$BF888)),N(INDEX(Settings!$H$14:$H$18,$BF888))),0),6)),IF(NOT(ISNUMBER($G888)),"",ROUND(ABS($G888)*2*IF(AND($BE888&gt;0,ISNUMBER(INDEX(Instruments!$G$6:$G$205,MAX(1,$BE888)))),INDEX(Instruments!$G$6:$G$205,MAX(1,$BE888)),N(INDEX(Settings!$F$14:$F$18,$BF888))),6))))</f>
        <v/>
      </c>
      <c r="AK888" s="55" t="str">
        <f>IF($AM888=0,"",IF(ISNUMBER($O888),$O888,$AI888))</f>
        <v/>
      </c>
      <c r="AL888" s="55" t="str">
        <f>IF($AM888=0,"",IF(ISNUMBER($P888),$P888,N($AJ888)))</f>
        <v/>
      </c>
      <c r="AM888" s="56">
        <f>IF(AND($A888&lt;&gt;"",$E888&lt;&gt;"",OR(AND(ISNUMBER($G888),ISNUMBER($H888),ISNUMBER($K888)),ISNUMBER($O888))),1,0)</f>
        <v>0</v>
      </c>
      <c r="AN888" s="57" t="str">
        <f>IF($A888="","",$A888-WEEKDAY($A888,3))</f>
        <v/>
      </c>
      <c r="AO888" s="56" t="str">
        <f>IF($A888="","",WEEKDAY($A888,2))</f>
        <v/>
      </c>
      <c r="AP888" s="55" t="str">
        <f>IF(OR($AM888=0,$C888=""),"",IFERROR(N(INDEX(Accounts!$E$7:$E$16,MATCH($C888,Accounts!$B$7:$B$16,0))),0)+SUMIFS($Q$6:$Q888,$C$6:$C888,$C888))</f>
        <v/>
      </c>
      <c r="AQ888" s="55" t="str">
        <f>IF(OR($AM888=0,$C888=""),"",SUMIFS($Q$6:$Q$1005,$C$6:$C$1005,$C888,$A$6:$A$1005,$A888))</f>
        <v/>
      </c>
      <c r="AR888" s="55" t="str">
        <f>IF(OR($AM888=0,$C888=""),"",IFERROR(N(INDEX(Accounts!$E$7:$E$16,MATCH($C888,Accounts!$B$7:$B$16,0))),0)+SUMIFS($Q$6:$Q$1005,$C$6:$C$1005,$C888,$A$6:$A$1005,"&lt;="&amp;$A888))</f>
        <v/>
      </c>
      <c r="AS888" s="56">
        <f>IF(OR($AM888=0,$Q888=""),0,IF(AND($A888&gt;=Lists!$W$6,$A888&lt;=Lists!$W$7,OR(Dashboard!$D$6="All accounts",$C888=Dashboard!$D$6),OR(Dashboard!$D$7="All markets",$AF888=Dashboard!$D$7)),1,0))</f>
        <v>0</v>
      </c>
      <c r="AT888" s="55">
        <f>IF($AS888=1,N(AT887)+$Q888,N(AT887))</f>
        <v>1187.10688</v>
      </c>
      <c r="AU888" s="55">
        <f>MAX(N(AU887),$AT888)</f>
        <v>1187.10688</v>
      </c>
      <c r="AV888" s="55">
        <f>$AT888-$AU888</f>
        <v>0</v>
      </c>
      <c r="AW888" s="56">
        <f>IF($AS888=1,IF($S888="Win",N(AW887)+1,IF($S888="Loss",0,N(AW887))),N(AW887))</f>
        <v>5</v>
      </c>
      <c r="AX888" s="56">
        <f>IF($AS888=1,IF($S888="Loss",N(AX887)+1,IF($S888="Win",0,N(AX887))),N(AX887))</f>
        <v>0</v>
      </c>
      <c r="AY888" s="56" t="str">
        <f>IF($AS888=1,COUNTIF($AS$6:$AS888,1),"")</f>
        <v/>
      </c>
      <c r="AZ888" s="56">
        <f>MIN(882,N(Lists!$W$8))</f>
        <v>28</v>
      </c>
      <c r="BA888" s="56">
        <f>IF($AS888=1,IF(COUNTIFS($A$6:$A888,$A888,$AS$6:$AS888,1)=1,1,0),0)</f>
        <v>0</v>
      </c>
      <c r="BB888" s="55" t="str">
        <f>IF($BA888=1,SUMIFS($Q$6:$Q$1005,$A$6:$A$1005,$A888,$AS$6:$AS$1005,1),"")</f>
        <v/>
      </c>
      <c r="BC888" s="56">
        <f>IF(ISNUMBER($R888),1,0)</f>
        <v>0</v>
      </c>
      <c r="BD888" s="55" t="str">
        <f>IF(ISNUMBER($U888),$U888*$V888,"")</f>
        <v/>
      </c>
      <c r="BE888" s="56" t="str">
        <f>IF($AM888=0,"",IFERROR(MATCH($AF888&amp;"|"&amp;UPPER(TRIM($E888)),Lists!$A$6:$A$205,0),0))</f>
        <v/>
      </c>
      <c r="BF888" s="56" t="str">
        <f>IF($AM888=0,"",IFERROR(MATCH($AF888,Settings!$B$14:$B$18,0),IFERROR(MATCH(Settings!$C$6,Settings!$B$14:$B$18,0),1)))</f>
        <v/>
      </c>
      <c r="BG888" s="58" t="str">
        <f>IF($AM888=0,"",IF(NOT(ISNUMBER($I888)),"No stop; ","")&amp;IF(AND(ISNUMBER($H888),ISNUMBER($I888)),IF(OR(AND($F888&lt;&gt;"Short",$I888&gt;=$H888),AND($F888="Short",$I888&lt;=$H888)),"Stop on wrong side; ",""),"")&amp;IF($F888="","No direction; ","")&amp;IF(AND(ISNUMBER(Settings!$C$22),ISNUMBER($V888)),IF($V888&gt;Settings!$C$22,"Risk over max $; ",""),"")&amp;IF(AND(ISNUMBER(Settings!$C$23),ISNUMBER($V888),ISNUMBER($AP888),IFERROR(N(INDEX(Accounts!$E$7:$E$16,MATCH($C888,Accounts!$B$7:$B$16,0))),0)&gt;0),IF($V888&gt;Settings!$C$23*($AP888-N($Q888)),"Risk over max %; ",""),"")&amp;IF(AND(ISNUMBER(Settings!$C$24),ISNUMBER($N888)),IF($N888&gt;Settings!$C$24,"Leverage over max; ",""),"")&amp;IF(AND(ISNUMBER(Settings!$C$27),ISNUMBER($T888)),IF($T888&lt;Settings!$C$27,"R:R below min; ",""),"")&amp;IF(ISNUMBER(Settings!$C$25),IF(COUNTIFS($A$6:$A888,$A888,$AM$6:$AM888,1)&gt;Settings!$C$25,"Over max trades/day; ",""),"")&amp;IF(ISNUMBER(Settings!$C$26),IF(SUMIFS($Q$5:$Q887,$A$5:$A887,$A888)&lt;=-Settings!$C$26,"Traded after daily max loss; ",""),"")&amp;IF(AND($AG888="",NOT(ISNUMBER($O888))),"Symbol not in Instruments; ","")&amp;IF(AND($AH888="",NOT(ISNUMBER($O888))),"Forex cross: type Gross P&amp;L; ",""))</f>
        <v/>
      </c>
      <c r="BH888" s="56">
        <f>IF(ISNUMBER($Q888),1,0)</f>
        <v>0</v>
      </c>
      <c r="BI888" s="56">
        <f>IF($Y888="",0,1)</f>
        <v>0</v>
      </c>
      <c r="BJ888" s="56">
        <f>IF($AB888="",0,1)</f>
        <v>0</v>
      </c>
      <c r="BK888" s="56">
        <f>IF(AND($BH888=1,$W888&lt;&gt;"OK"),1,0)</f>
        <v>0</v>
      </c>
      <c r="BL888" s="55">
        <f>IF(N($AZ888)=0,0,IFERROR(INDEX($AT$6:$AT$1005,MATCH($AZ888,$AY$6:$AY$1005,0)),0))</f>
        <v>1187.10688</v>
      </c>
      <c r="BM888" s="56">
        <f>IF(ISNUMBER(SEARCH("daily max loss",$BG888)),1,0)</f>
        <v>0</v>
      </c>
    </row>
    <row r="889" ht="18" customHeight="1">
      <c r="A889" s="38" t="n"/>
      <c r="B889" s="39" t="n"/>
      <c r="C889" s="40" t="n"/>
      <c r="D889" s="41" t="n"/>
      <c r="E889" s="41" t="n"/>
      <c r="F889" s="41" t="n"/>
      <c r="G889" s="41" t="n"/>
      <c r="H889" s="42" t="n"/>
      <c r="I889" s="42" t="n"/>
      <c r="J889" s="42" t="n"/>
      <c r="K889" s="42" t="n"/>
      <c r="L889" s="41" t="n"/>
      <c r="M889" s="41" t="n"/>
      <c r="N889" s="41" t="n"/>
      <c r="O889" s="43" t="n"/>
      <c r="P889" s="43" t="n"/>
      <c r="Q889" s="44" t="str">
        <f>IF($AM889=0,"",IF(ISNUMBER($AK889),$AK889-N($AL889),""))</f>
        <v/>
      </c>
      <c r="R889" s="45" t="str">
        <f>IF(OR($Q889="",NOT(ISNUMBER($V889))),"",$AK889/$V889)</f>
        <v/>
      </c>
      <c r="S889" s="46" t="str">
        <f>IF($Q889="","",IF(AND(ISNUMBER($R889),ABS(N($R889))&lt;N(Settings!$C$8)),"Scratch",IF($Q889&gt;0,"Win",IF($Q889&lt;0,"Loss","Scratch"))))</f>
        <v/>
      </c>
      <c r="T889" s="47" t="str">
        <f>IF(OR($AM889=0,NOT(ISNUMBER($H889)),NOT(ISNUMBER($I889)),NOT(ISNUMBER($J889))),"",IF($H889=$I889,"",ROUND(ABS($J889-$H889)/ABS($H889-$I889),6)))</f>
        <v/>
      </c>
      <c r="U889" s="48" t="str">
        <f>IF(OR($S889&lt;&gt;"Win",NOT(ISNUMBER($T889)),NOT(ISNUMBER($R889))),"",MAX(0,$T889-$R889))</f>
        <v/>
      </c>
      <c r="V889" s="49" t="str">
        <f>IF(OR($AM889=0,NOT(ISNUMBER($H889)),NOT(ISNUMBER($I889)),NOT(ISNUMBER($G889))),"",IF(OR($AG889="",$AH889=""),"",IF(ROUND(ABS($H889-$I889)*ABS($G889)*$AG889*$AH889,6)=0,"",ROUND(ABS($H889-$I889)*ABS($G889)*$AG889*$AH889,6))))</f>
        <v/>
      </c>
      <c r="W889" s="50" t="str">
        <f>IF($AM889=0,"",IF($BG889="","OK",LEFT($BG889,LEN($BG889)-2)))</f>
        <v/>
      </c>
      <c r="X889" s="41" t="n"/>
      <c r="Y889" s="40" t="n"/>
      <c r="Z889" s="41" t="n"/>
      <c r="AA889" s="41" t="n"/>
      <c r="AB889" s="40" t="n"/>
      <c r="AC889" s="51" t="n"/>
      <c r="AD889" s="51" t="n"/>
      <c r="AE889" s="40" t="n"/>
      <c r="AF889" s="52" t="str">
        <f>IF($AM889=0,"",IF($D889&lt;&gt;"",$D889,IF(IFERROR(INDEX(Accounts!$C$7:$C$16,MATCH($C889,Accounts!$B$7:$B$16,0))&amp;"","")&lt;&gt;"",INDEX(Accounts!$C$7:$C$16,MATCH($C889,Accounts!$B$7:$B$16,0)),Settings!$C$6)))</f>
        <v/>
      </c>
      <c r="AG889" s="53" t="str">
        <f>IF($AM889=0,"",IF(AND($BE889&gt;0,N(INDEX(Instruments!$D$6:$D$205,MAX(1,$BE889)))&gt;0),INDEX(Instruments!$D$6:$D$205,MAX(1,$BE889)),IF(N(INDEX(Settings!$D$14:$D$18,$BF889))&gt;0,INDEX(Settings!$D$14:$D$18,$BF889),"")))</f>
        <v/>
      </c>
      <c r="AH889" s="54" t="str">
        <f>IF($AM889=0,"",IF($AF889&lt;&gt;"Forex",1,IF(MID(UPPER(SUBSTITUTE(TRIM($E889),"/","")),4,3)=UPPER(TRIM(Settings!$C$7)),1,IF(LEFT(UPPER(SUBSTITUTE(TRIM($E889),"/","")),3)=UPPER(TRIM(Settings!$C$7)),IF(AND(ISNUMBER($K889),N($K889)&lt;&gt;0),1/$K889,""),""))))</f>
        <v/>
      </c>
      <c r="AI889" s="55" t="str">
        <f>IF($AM889=0,"",IF(OR(NOT(ISNUMBER($H889)),NOT(ISNUMBER($K889)),NOT(ISNUMBER($G889)),$AG889="",$AH889=""),"",ROUND(($K889-$H889)*IF($F889="Short",-1,1)*$G889*$AG889*$AH889,6)))</f>
        <v/>
      </c>
      <c r="AJ889" s="55" t="str">
        <f>IF($AM889=0,"",IF(INDEX(Settings!$E$14:$E$18,$BF889)="% of notional",IF(OR($AG889="",NOT(ISNUMBER($H889)),NOT(ISNUMBER($G889))),"",ROUND(ABS($H889*$G889*$AG889*N($AH889))*IF($L889="Limit",N(INDEX(Settings!$G$14:$G$18,$BF889)),N(INDEX(Settings!$H$14:$H$18,$BF889)))+IF(ISNUMBER($K889),ABS($K889*$G889*$AG889*N($AH889))*IF($M889="Target",N(INDEX(Settings!$G$14:$G$18,$BF889)),N(INDEX(Settings!$H$14:$H$18,$BF889))),0),6)),IF(NOT(ISNUMBER($G889)),"",ROUND(ABS($G889)*2*IF(AND($BE889&gt;0,ISNUMBER(INDEX(Instruments!$G$6:$G$205,MAX(1,$BE889)))),INDEX(Instruments!$G$6:$G$205,MAX(1,$BE889)),N(INDEX(Settings!$F$14:$F$18,$BF889))),6))))</f>
        <v/>
      </c>
      <c r="AK889" s="55" t="str">
        <f>IF($AM889=0,"",IF(ISNUMBER($O889),$O889,$AI889))</f>
        <v/>
      </c>
      <c r="AL889" s="55" t="str">
        <f>IF($AM889=0,"",IF(ISNUMBER($P889),$P889,N($AJ889)))</f>
        <v/>
      </c>
      <c r="AM889" s="56">
        <f>IF(AND($A889&lt;&gt;"",$E889&lt;&gt;"",OR(AND(ISNUMBER($G889),ISNUMBER($H889),ISNUMBER($K889)),ISNUMBER($O889))),1,0)</f>
        <v>0</v>
      </c>
      <c r="AN889" s="57" t="str">
        <f>IF($A889="","",$A889-WEEKDAY($A889,3))</f>
        <v/>
      </c>
      <c r="AO889" s="56" t="str">
        <f>IF($A889="","",WEEKDAY($A889,2))</f>
        <v/>
      </c>
      <c r="AP889" s="55" t="str">
        <f>IF(OR($AM889=0,$C889=""),"",IFERROR(N(INDEX(Accounts!$E$7:$E$16,MATCH($C889,Accounts!$B$7:$B$16,0))),0)+SUMIFS($Q$6:$Q889,$C$6:$C889,$C889))</f>
        <v/>
      </c>
      <c r="AQ889" s="55" t="str">
        <f>IF(OR($AM889=0,$C889=""),"",SUMIFS($Q$6:$Q$1005,$C$6:$C$1005,$C889,$A$6:$A$1005,$A889))</f>
        <v/>
      </c>
      <c r="AR889" s="55" t="str">
        <f>IF(OR($AM889=0,$C889=""),"",IFERROR(N(INDEX(Accounts!$E$7:$E$16,MATCH($C889,Accounts!$B$7:$B$16,0))),0)+SUMIFS($Q$6:$Q$1005,$C$6:$C$1005,$C889,$A$6:$A$1005,"&lt;="&amp;$A889))</f>
        <v/>
      </c>
      <c r="AS889" s="56">
        <f>IF(OR($AM889=0,$Q889=""),0,IF(AND($A889&gt;=Lists!$W$6,$A889&lt;=Lists!$W$7,OR(Dashboard!$D$6="All accounts",$C889=Dashboard!$D$6),OR(Dashboard!$D$7="All markets",$AF889=Dashboard!$D$7)),1,0))</f>
        <v>0</v>
      </c>
      <c r="AT889" s="55">
        <f>IF($AS889=1,N(AT888)+$Q889,N(AT888))</f>
        <v>1187.10688</v>
      </c>
      <c r="AU889" s="55">
        <f>MAX(N(AU888),$AT889)</f>
        <v>1187.10688</v>
      </c>
      <c r="AV889" s="55">
        <f>$AT889-$AU889</f>
        <v>0</v>
      </c>
      <c r="AW889" s="56">
        <f>IF($AS889=1,IF($S889="Win",N(AW888)+1,IF($S889="Loss",0,N(AW888))),N(AW888))</f>
        <v>5</v>
      </c>
      <c r="AX889" s="56">
        <f>IF($AS889=1,IF($S889="Loss",N(AX888)+1,IF($S889="Win",0,N(AX888))),N(AX888))</f>
        <v>0</v>
      </c>
      <c r="AY889" s="56" t="str">
        <f>IF($AS889=1,COUNTIF($AS$6:$AS889,1),"")</f>
        <v/>
      </c>
      <c r="AZ889" s="56">
        <f>MIN(883,N(Lists!$W$8))</f>
        <v>28</v>
      </c>
      <c r="BA889" s="56">
        <f>IF($AS889=1,IF(COUNTIFS($A$6:$A889,$A889,$AS$6:$AS889,1)=1,1,0),0)</f>
        <v>0</v>
      </c>
      <c r="BB889" s="55" t="str">
        <f>IF($BA889=1,SUMIFS($Q$6:$Q$1005,$A$6:$A$1005,$A889,$AS$6:$AS$1005,1),"")</f>
        <v/>
      </c>
      <c r="BC889" s="56">
        <f>IF(ISNUMBER($R889),1,0)</f>
        <v>0</v>
      </c>
      <c r="BD889" s="55" t="str">
        <f>IF(ISNUMBER($U889),$U889*$V889,"")</f>
        <v/>
      </c>
      <c r="BE889" s="56" t="str">
        <f>IF($AM889=0,"",IFERROR(MATCH($AF889&amp;"|"&amp;UPPER(TRIM($E889)),Lists!$A$6:$A$205,0),0))</f>
        <v/>
      </c>
      <c r="BF889" s="56" t="str">
        <f>IF($AM889=0,"",IFERROR(MATCH($AF889,Settings!$B$14:$B$18,0),IFERROR(MATCH(Settings!$C$6,Settings!$B$14:$B$18,0),1)))</f>
        <v/>
      </c>
      <c r="BG889" s="58" t="str">
        <f>IF($AM889=0,"",IF(NOT(ISNUMBER($I889)),"No stop; ","")&amp;IF(AND(ISNUMBER($H889),ISNUMBER($I889)),IF(OR(AND($F889&lt;&gt;"Short",$I889&gt;=$H889),AND($F889="Short",$I889&lt;=$H889)),"Stop on wrong side; ",""),"")&amp;IF($F889="","No direction; ","")&amp;IF(AND(ISNUMBER(Settings!$C$22),ISNUMBER($V889)),IF($V889&gt;Settings!$C$22,"Risk over max $; ",""),"")&amp;IF(AND(ISNUMBER(Settings!$C$23),ISNUMBER($V889),ISNUMBER($AP889),IFERROR(N(INDEX(Accounts!$E$7:$E$16,MATCH($C889,Accounts!$B$7:$B$16,0))),0)&gt;0),IF($V889&gt;Settings!$C$23*($AP889-N($Q889)),"Risk over max %; ",""),"")&amp;IF(AND(ISNUMBER(Settings!$C$24),ISNUMBER($N889)),IF($N889&gt;Settings!$C$24,"Leverage over max; ",""),"")&amp;IF(AND(ISNUMBER(Settings!$C$27),ISNUMBER($T889)),IF($T889&lt;Settings!$C$27,"R:R below min; ",""),"")&amp;IF(ISNUMBER(Settings!$C$25),IF(COUNTIFS($A$6:$A889,$A889,$AM$6:$AM889,1)&gt;Settings!$C$25,"Over max trades/day; ",""),"")&amp;IF(ISNUMBER(Settings!$C$26),IF(SUMIFS($Q$5:$Q888,$A$5:$A888,$A889)&lt;=-Settings!$C$26,"Traded after daily max loss; ",""),"")&amp;IF(AND($AG889="",NOT(ISNUMBER($O889))),"Symbol not in Instruments; ","")&amp;IF(AND($AH889="",NOT(ISNUMBER($O889))),"Forex cross: type Gross P&amp;L; ",""))</f>
        <v/>
      </c>
      <c r="BH889" s="56">
        <f>IF(ISNUMBER($Q889),1,0)</f>
        <v>0</v>
      </c>
      <c r="BI889" s="56">
        <f>IF($Y889="",0,1)</f>
        <v>0</v>
      </c>
      <c r="BJ889" s="56">
        <f>IF($AB889="",0,1)</f>
        <v>0</v>
      </c>
      <c r="BK889" s="56">
        <f>IF(AND($BH889=1,$W889&lt;&gt;"OK"),1,0)</f>
        <v>0</v>
      </c>
      <c r="BL889" s="55">
        <f>IF(N($AZ889)=0,0,IFERROR(INDEX($AT$6:$AT$1005,MATCH($AZ889,$AY$6:$AY$1005,0)),0))</f>
        <v>1187.10688</v>
      </c>
      <c r="BM889" s="56">
        <f>IF(ISNUMBER(SEARCH("daily max loss",$BG889)),1,0)</f>
        <v>0</v>
      </c>
    </row>
    <row r="890" ht="18" customHeight="1">
      <c r="A890" s="38" t="n"/>
      <c r="B890" s="39" t="n"/>
      <c r="C890" s="40" t="n"/>
      <c r="D890" s="41" t="n"/>
      <c r="E890" s="41" t="n"/>
      <c r="F890" s="41" t="n"/>
      <c r="G890" s="41" t="n"/>
      <c r="H890" s="42" t="n"/>
      <c r="I890" s="42" t="n"/>
      <c r="J890" s="42" t="n"/>
      <c r="K890" s="42" t="n"/>
      <c r="L890" s="41" t="n"/>
      <c r="M890" s="41" t="n"/>
      <c r="N890" s="41" t="n"/>
      <c r="O890" s="43" t="n"/>
      <c r="P890" s="43" t="n"/>
      <c r="Q890" s="44" t="str">
        <f>IF($AM890=0,"",IF(ISNUMBER($AK890),$AK890-N($AL890),""))</f>
        <v/>
      </c>
      <c r="R890" s="45" t="str">
        <f>IF(OR($Q890="",NOT(ISNUMBER($V890))),"",$AK890/$V890)</f>
        <v/>
      </c>
      <c r="S890" s="46" t="str">
        <f>IF($Q890="","",IF(AND(ISNUMBER($R890),ABS(N($R890))&lt;N(Settings!$C$8)),"Scratch",IF($Q890&gt;0,"Win",IF($Q890&lt;0,"Loss","Scratch"))))</f>
        <v/>
      </c>
      <c r="T890" s="47" t="str">
        <f>IF(OR($AM890=0,NOT(ISNUMBER($H890)),NOT(ISNUMBER($I890)),NOT(ISNUMBER($J890))),"",IF($H890=$I890,"",ROUND(ABS($J890-$H890)/ABS($H890-$I890),6)))</f>
        <v/>
      </c>
      <c r="U890" s="48" t="str">
        <f>IF(OR($S890&lt;&gt;"Win",NOT(ISNUMBER($T890)),NOT(ISNUMBER($R890))),"",MAX(0,$T890-$R890))</f>
        <v/>
      </c>
      <c r="V890" s="49" t="str">
        <f>IF(OR($AM890=0,NOT(ISNUMBER($H890)),NOT(ISNUMBER($I890)),NOT(ISNUMBER($G890))),"",IF(OR($AG890="",$AH890=""),"",IF(ROUND(ABS($H890-$I890)*ABS($G890)*$AG890*$AH890,6)=0,"",ROUND(ABS($H890-$I890)*ABS($G890)*$AG890*$AH890,6))))</f>
        <v/>
      </c>
      <c r="W890" s="50" t="str">
        <f>IF($AM890=0,"",IF($BG890="","OK",LEFT($BG890,LEN($BG890)-2)))</f>
        <v/>
      </c>
      <c r="X890" s="41" t="n"/>
      <c r="Y890" s="40" t="n"/>
      <c r="Z890" s="41" t="n"/>
      <c r="AA890" s="41" t="n"/>
      <c r="AB890" s="40" t="n"/>
      <c r="AC890" s="51" t="n"/>
      <c r="AD890" s="51" t="n"/>
      <c r="AE890" s="40" t="n"/>
      <c r="AF890" s="52" t="str">
        <f>IF($AM890=0,"",IF($D890&lt;&gt;"",$D890,IF(IFERROR(INDEX(Accounts!$C$7:$C$16,MATCH($C890,Accounts!$B$7:$B$16,0))&amp;"","")&lt;&gt;"",INDEX(Accounts!$C$7:$C$16,MATCH($C890,Accounts!$B$7:$B$16,0)),Settings!$C$6)))</f>
        <v/>
      </c>
      <c r="AG890" s="53" t="str">
        <f>IF($AM890=0,"",IF(AND($BE890&gt;0,N(INDEX(Instruments!$D$6:$D$205,MAX(1,$BE890)))&gt;0),INDEX(Instruments!$D$6:$D$205,MAX(1,$BE890)),IF(N(INDEX(Settings!$D$14:$D$18,$BF890))&gt;0,INDEX(Settings!$D$14:$D$18,$BF890),"")))</f>
        <v/>
      </c>
      <c r="AH890" s="54" t="str">
        <f>IF($AM890=0,"",IF($AF890&lt;&gt;"Forex",1,IF(MID(UPPER(SUBSTITUTE(TRIM($E890),"/","")),4,3)=UPPER(TRIM(Settings!$C$7)),1,IF(LEFT(UPPER(SUBSTITUTE(TRIM($E890),"/","")),3)=UPPER(TRIM(Settings!$C$7)),IF(AND(ISNUMBER($K890),N($K890)&lt;&gt;0),1/$K890,""),""))))</f>
        <v/>
      </c>
      <c r="AI890" s="55" t="str">
        <f>IF($AM890=0,"",IF(OR(NOT(ISNUMBER($H890)),NOT(ISNUMBER($K890)),NOT(ISNUMBER($G890)),$AG890="",$AH890=""),"",ROUND(($K890-$H890)*IF($F890="Short",-1,1)*$G890*$AG890*$AH890,6)))</f>
        <v/>
      </c>
      <c r="AJ890" s="55" t="str">
        <f>IF($AM890=0,"",IF(INDEX(Settings!$E$14:$E$18,$BF890)="% of notional",IF(OR($AG890="",NOT(ISNUMBER($H890)),NOT(ISNUMBER($G890))),"",ROUND(ABS($H890*$G890*$AG890*N($AH890))*IF($L890="Limit",N(INDEX(Settings!$G$14:$G$18,$BF890)),N(INDEX(Settings!$H$14:$H$18,$BF890)))+IF(ISNUMBER($K890),ABS($K890*$G890*$AG890*N($AH890))*IF($M890="Target",N(INDEX(Settings!$G$14:$G$18,$BF890)),N(INDEX(Settings!$H$14:$H$18,$BF890))),0),6)),IF(NOT(ISNUMBER($G890)),"",ROUND(ABS($G890)*2*IF(AND($BE890&gt;0,ISNUMBER(INDEX(Instruments!$G$6:$G$205,MAX(1,$BE890)))),INDEX(Instruments!$G$6:$G$205,MAX(1,$BE890)),N(INDEX(Settings!$F$14:$F$18,$BF890))),6))))</f>
        <v/>
      </c>
      <c r="AK890" s="55" t="str">
        <f>IF($AM890=0,"",IF(ISNUMBER($O890),$O890,$AI890))</f>
        <v/>
      </c>
      <c r="AL890" s="55" t="str">
        <f>IF($AM890=0,"",IF(ISNUMBER($P890),$P890,N($AJ890)))</f>
        <v/>
      </c>
      <c r="AM890" s="56">
        <f>IF(AND($A890&lt;&gt;"",$E890&lt;&gt;"",OR(AND(ISNUMBER($G890),ISNUMBER($H890),ISNUMBER($K890)),ISNUMBER($O890))),1,0)</f>
        <v>0</v>
      </c>
      <c r="AN890" s="57" t="str">
        <f>IF($A890="","",$A890-WEEKDAY($A890,3))</f>
        <v/>
      </c>
      <c r="AO890" s="56" t="str">
        <f>IF($A890="","",WEEKDAY($A890,2))</f>
        <v/>
      </c>
      <c r="AP890" s="55" t="str">
        <f>IF(OR($AM890=0,$C890=""),"",IFERROR(N(INDEX(Accounts!$E$7:$E$16,MATCH($C890,Accounts!$B$7:$B$16,0))),0)+SUMIFS($Q$6:$Q890,$C$6:$C890,$C890))</f>
        <v/>
      </c>
      <c r="AQ890" s="55" t="str">
        <f>IF(OR($AM890=0,$C890=""),"",SUMIFS($Q$6:$Q$1005,$C$6:$C$1005,$C890,$A$6:$A$1005,$A890))</f>
        <v/>
      </c>
      <c r="AR890" s="55" t="str">
        <f>IF(OR($AM890=0,$C890=""),"",IFERROR(N(INDEX(Accounts!$E$7:$E$16,MATCH($C890,Accounts!$B$7:$B$16,0))),0)+SUMIFS($Q$6:$Q$1005,$C$6:$C$1005,$C890,$A$6:$A$1005,"&lt;="&amp;$A890))</f>
        <v/>
      </c>
      <c r="AS890" s="56">
        <f>IF(OR($AM890=0,$Q890=""),0,IF(AND($A890&gt;=Lists!$W$6,$A890&lt;=Lists!$W$7,OR(Dashboard!$D$6="All accounts",$C890=Dashboard!$D$6),OR(Dashboard!$D$7="All markets",$AF890=Dashboard!$D$7)),1,0))</f>
        <v>0</v>
      </c>
      <c r="AT890" s="55">
        <f>IF($AS890=1,N(AT889)+$Q890,N(AT889))</f>
        <v>1187.10688</v>
      </c>
      <c r="AU890" s="55">
        <f>MAX(N(AU889),$AT890)</f>
        <v>1187.10688</v>
      </c>
      <c r="AV890" s="55">
        <f>$AT890-$AU890</f>
        <v>0</v>
      </c>
      <c r="AW890" s="56">
        <f>IF($AS890=1,IF($S890="Win",N(AW889)+1,IF($S890="Loss",0,N(AW889))),N(AW889))</f>
        <v>5</v>
      </c>
      <c r="AX890" s="56">
        <f>IF($AS890=1,IF($S890="Loss",N(AX889)+1,IF($S890="Win",0,N(AX889))),N(AX889))</f>
        <v>0</v>
      </c>
      <c r="AY890" s="56" t="str">
        <f>IF($AS890=1,COUNTIF($AS$6:$AS890,1),"")</f>
        <v/>
      </c>
      <c r="AZ890" s="56">
        <f>MIN(884,N(Lists!$W$8))</f>
        <v>28</v>
      </c>
      <c r="BA890" s="56">
        <f>IF($AS890=1,IF(COUNTIFS($A$6:$A890,$A890,$AS$6:$AS890,1)=1,1,0),0)</f>
        <v>0</v>
      </c>
      <c r="BB890" s="55" t="str">
        <f>IF($BA890=1,SUMIFS($Q$6:$Q$1005,$A$6:$A$1005,$A890,$AS$6:$AS$1005,1),"")</f>
        <v/>
      </c>
      <c r="BC890" s="56">
        <f>IF(ISNUMBER($R890),1,0)</f>
        <v>0</v>
      </c>
      <c r="BD890" s="55" t="str">
        <f>IF(ISNUMBER($U890),$U890*$V890,"")</f>
        <v/>
      </c>
      <c r="BE890" s="56" t="str">
        <f>IF($AM890=0,"",IFERROR(MATCH($AF890&amp;"|"&amp;UPPER(TRIM($E890)),Lists!$A$6:$A$205,0),0))</f>
        <v/>
      </c>
      <c r="BF890" s="56" t="str">
        <f>IF($AM890=0,"",IFERROR(MATCH($AF890,Settings!$B$14:$B$18,0),IFERROR(MATCH(Settings!$C$6,Settings!$B$14:$B$18,0),1)))</f>
        <v/>
      </c>
      <c r="BG890" s="58" t="str">
        <f>IF($AM890=0,"",IF(NOT(ISNUMBER($I890)),"No stop; ","")&amp;IF(AND(ISNUMBER($H890),ISNUMBER($I890)),IF(OR(AND($F890&lt;&gt;"Short",$I890&gt;=$H890),AND($F890="Short",$I890&lt;=$H890)),"Stop on wrong side; ",""),"")&amp;IF($F890="","No direction; ","")&amp;IF(AND(ISNUMBER(Settings!$C$22),ISNUMBER($V890)),IF($V890&gt;Settings!$C$22,"Risk over max $; ",""),"")&amp;IF(AND(ISNUMBER(Settings!$C$23),ISNUMBER($V890),ISNUMBER($AP890),IFERROR(N(INDEX(Accounts!$E$7:$E$16,MATCH($C890,Accounts!$B$7:$B$16,0))),0)&gt;0),IF($V890&gt;Settings!$C$23*($AP890-N($Q890)),"Risk over max %; ",""),"")&amp;IF(AND(ISNUMBER(Settings!$C$24),ISNUMBER($N890)),IF($N890&gt;Settings!$C$24,"Leverage over max; ",""),"")&amp;IF(AND(ISNUMBER(Settings!$C$27),ISNUMBER($T890)),IF($T890&lt;Settings!$C$27,"R:R below min; ",""),"")&amp;IF(ISNUMBER(Settings!$C$25),IF(COUNTIFS($A$6:$A890,$A890,$AM$6:$AM890,1)&gt;Settings!$C$25,"Over max trades/day; ",""),"")&amp;IF(ISNUMBER(Settings!$C$26),IF(SUMIFS($Q$5:$Q889,$A$5:$A889,$A890)&lt;=-Settings!$C$26,"Traded after daily max loss; ",""),"")&amp;IF(AND($AG890="",NOT(ISNUMBER($O890))),"Symbol not in Instruments; ","")&amp;IF(AND($AH890="",NOT(ISNUMBER($O890))),"Forex cross: type Gross P&amp;L; ",""))</f>
        <v/>
      </c>
      <c r="BH890" s="56">
        <f>IF(ISNUMBER($Q890),1,0)</f>
        <v>0</v>
      </c>
      <c r="BI890" s="56">
        <f>IF($Y890="",0,1)</f>
        <v>0</v>
      </c>
      <c r="BJ890" s="56">
        <f>IF($AB890="",0,1)</f>
        <v>0</v>
      </c>
      <c r="BK890" s="56">
        <f>IF(AND($BH890=1,$W890&lt;&gt;"OK"),1,0)</f>
        <v>0</v>
      </c>
      <c r="BL890" s="55">
        <f>IF(N($AZ890)=0,0,IFERROR(INDEX($AT$6:$AT$1005,MATCH($AZ890,$AY$6:$AY$1005,0)),0))</f>
        <v>1187.10688</v>
      </c>
      <c r="BM890" s="56">
        <f>IF(ISNUMBER(SEARCH("daily max loss",$BG890)),1,0)</f>
        <v>0</v>
      </c>
    </row>
    <row r="891" ht="18" customHeight="1">
      <c r="A891" s="38" t="n"/>
      <c r="B891" s="39" t="n"/>
      <c r="C891" s="40" t="n"/>
      <c r="D891" s="41" t="n"/>
      <c r="E891" s="41" t="n"/>
      <c r="F891" s="41" t="n"/>
      <c r="G891" s="41" t="n"/>
      <c r="H891" s="42" t="n"/>
      <c r="I891" s="42" t="n"/>
      <c r="J891" s="42" t="n"/>
      <c r="K891" s="42" t="n"/>
      <c r="L891" s="41" t="n"/>
      <c r="M891" s="41" t="n"/>
      <c r="N891" s="41" t="n"/>
      <c r="O891" s="43" t="n"/>
      <c r="P891" s="43" t="n"/>
      <c r="Q891" s="44" t="str">
        <f>IF($AM891=0,"",IF(ISNUMBER($AK891),$AK891-N($AL891),""))</f>
        <v/>
      </c>
      <c r="R891" s="45" t="str">
        <f>IF(OR($Q891="",NOT(ISNUMBER($V891))),"",$AK891/$V891)</f>
        <v/>
      </c>
      <c r="S891" s="46" t="str">
        <f>IF($Q891="","",IF(AND(ISNUMBER($R891),ABS(N($R891))&lt;N(Settings!$C$8)),"Scratch",IF($Q891&gt;0,"Win",IF($Q891&lt;0,"Loss","Scratch"))))</f>
        <v/>
      </c>
      <c r="T891" s="47" t="str">
        <f>IF(OR($AM891=0,NOT(ISNUMBER($H891)),NOT(ISNUMBER($I891)),NOT(ISNUMBER($J891))),"",IF($H891=$I891,"",ROUND(ABS($J891-$H891)/ABS($H891-$I891),6)))</f>
        <v/>
      </c>
      <c r="U891" s="48" t="str">
        <f>IF(OR($S891&lt;&gt;"Win",NOT(ISNUMBER($T891)),NOT(ISNUMBER($R891))),"",MAX(0,$T891-$R891))</f>
        <v/>
      </c>
      <c r="V891" s="49" t="str">
        <f>IF(OR($AM891=0,NOT(ISNUMBER($H891)),NOT(ISNUMBER($I891)),NOT(ISNUMBER($G891))),"",IF(OR($AG891="",$AH891=""),"",IF(ROUND(ABS($H891-$I891)*ABS($G891)*$AG891*$AH891,6)=0,"",ROUND(ABS($H891-$I891)*ABS($G891)*$AG891*$AH891,6))))</f>
        <v/>
      </c>
      <c r="W891" s="50" t="str">
        <f>IF($AM891=0,"",IF($BG891="","OK",LEFT($BG891,LEN($BG891)-2)))</f>
        <v/>
      </c>
      <c r="X891" s="41" t="n"/>
      <c r="Y891" s="40" t="n"/>
      <c r="Z891" s="41" t="n"/>
      <c r="AA891" s="41" t="n"/>
      <c r="AB891" s="40" t="n"/>
      <c r="AC891" s="51" t="n"/>
      <c r="AD891" s="51" t="n"/>
      <c r="AE891" s="40" t="n"/>
      <c r="AF891" s="52" t="str">
        <f>IF($AM891=0,"",IF($D891&lt;&gt;"",$D891,IF(IFERROR(INDEX(Accounts!$C$7:$C$16,MATCH($C891,Accounts!$B$7:$B$16,0))&amp;"","")&lt;&gt;"",INDEX(Accounts!$C$7:$C$16,MATCH($C891,Accounts!$B$7:$B$16,0)),Settings!$C$6)))</f>
        <v/>
      </c>
      <c r="AG891" s="53" t="str">
        <f>IF($AM891=0,"",IF(AND($BE891&gt;0,N(INDEX(Instruments!$D$6:$D$205,MAX(1,$BE891)))&gt;0),INDEX(Instruments!$D$6:$D$205,MAX(1,$BE891)),IF(N(INDEX(Settings!$D$14:$D$18,$BF891))&gt;0,INDEX(Settings!$D$14:$D$18,$BF891),"")))</f>
        <v/>
      </c>
      <c r="AH891" s="54" t="str">
        <f>IF($AM891=0,"",IF($AF891&lt;&gt;"Forex",1,IF(MID(UPPER(SUBSTITUTE(TRIM($E891),"/","")),4,3)=UPPER(TRIM(Settings!$C$7)),1,IF(LEFT(UPPER(SUBSTITUTE(TRIM($E891),"/","")),3)=UPPER(TRIM(Settings!$C$7)),IF(AND(ISNUMBER($K891),N($K891)&lt;&gt;0),1/$K891,""),""))))</f>
        <v/>
      </c>
      <c r="AI891" s="55" t="str">
        <f>IF($AM891=0,"",IF(OR(NOT(ISNUMBER($H891)),NOT(ISNUMBER($K891)),NOT(ISNUMBER($G891)),$AG891="",$AH891=""),"",ROUND(($K891-$H891)*IF($F891="Short",-1,1)*$G891*$AG891*$AH891,6)))</f>
        <v/>
      </c>
      <c r="AJ891" s="55" t="str">
        <f>IF($AM891=0,"",IF(INDEX(Settings!$E$14:$E$18,$BF891)="% of notional",IF(OR($AG891="",NOT(ISNUMBER($H891)),NOT(ISNUMBER($G891))),"",ROUND(ABS($H891*$G891*$AG891*N($AH891))*IF($L891="Limit",N(INDEX(Settings!$G$14:$G$18,$BF891)),N(INDEX(Settings!$H$14:$H$18,$BF891)))+IF(ISNUMBER($K891),ABS($K891*$G891*$AG891*N($AH891))*IF($M891="Target",N(INDEX(Settings!$G$14:$G$18,$BF891)),N(INDEX(Settings!$H$14:$H$18,$BF891))),0),6)),IF(NOT(ISNUMBER($G891)),"",ROUND(ABS($G891)*2*IF(AND($BE891&gt;0,ISNUMBER(INDEX(Instruments!$G$6:$G$205,MAX(1,$BE891)))),INDEX(Instruments!$G$6:$G$205,MAX(1,$BE891)),N(INDEX(Settings!$F$14:$F$18,$BF891))),6))))</f>
        <v/>
      </c>
      <c r="AK891" s="55" t="str">
        <f>IF($AM891=0,"",IF(ISNUMBER($O891),$O891,$AI891))</f>
        <v/>
      </c>
      <c r="AL891" s="55" t="str">
        <f>IF($AM891=0,"",IF(ISNUMBER($P891),$P891,N($AJ891)))</f>
        <v/>
      </c>
      <c r="AM891" s="56">
        <f>IF(AND($A891&lt;&gt;"",$E891&lt;&gt;"",OR(AND(ISNUMBER($G891),ISNUMBER($H891),ISNUMBER($K891)),ISNUMBER($O891))),1,0)</f>
        <v>0</v>
      </c>
      <c r="AN891" s="57" t="str">
        <f>IF($A891="","",$A891-WEEKDAY($A891,3))</f>
        <v/>
      </c>
      <c r="AO891" s="56" t="str">
        <f>IF($A891="","",WEEKDAY($A891,2))</f>
        <v/>
      </c>
      <c r="AP891" s="55" t="str">
        <f>IF(OR($AM891=0,$C891=""),"",IFERROR(N(INDEX(Accounts!$E$7:$E$16,MATCH($C891,Accounts!$B$7:$B$16,0))),0)+SUMIFS($Q$6:$Q891,$C$6:$C891,$C891))</f>
        <v/>
      </c>
      <c r="AQ891" s="55" t="str">
        <f>IF(OR($AM891=0,$C891=""),"",SUMIFS($Q$6:$Q$1005,$C$6:$C$1005,$C891,$A$6:$A$1005,$A891))</f>
        <v/>
      </c>
      <c r="AR891" s="55" t="str">
        <f>IF(OR($AM891=0,$C891=""),"",IFERROR(N(INDEX(Accounts!$E$7:$E$16,MATCH($C891,Accounts!$B$7:$B$16,0))),0)+SUMIFS($Q$6:$Q$1005,$C$6:$C$1005,$C891,$A$6:$A$1005,"&lt;="&amp;$A891))</f>
        <v/>
      </c>
      <c r="AS891" s="56">
        <f>IF(OR($AM891=0,$Q891=""),0,IF(AND($A891&gt;=Lists!$W$6,$A891&lt;=Lists!$W$7,OR(Dashboard!$D$6="All accounts",$C891=Dashboard!$D$6),OR(Dashboard!$D$7="All markets",$AF891=Dashboard!$D$7)),1,0))</f>
        <v>0</v>
      </c>
      <c r="AT891" s="55">
        <f>IF($AS891=1,N(AT890)+$Q891,N(AT890))</f>
        <v>1187.10688</v>
      </c>
      <c r="AU891" s="55">
        <f>MAX(N(AU890),$AT891)</f>
        <v>1187.10688</v>
      </c>
      <c r="AV891" s="55">
        <f>$AT891-$AU891</f>
        <v>0</v>
      </c>
      <c r="AW891" s="56">
        <f>IF($AS891=1,IF($S891="Win",N(AW890)+1,IF($S891="Loss",0,N(AW890))),N(AW890))</f>
        <v>5</v>
      </c>
      <c r="AX891" s="56">
        <f>IF($AS891=1,IF($S891="Loss",N(AX890)+1,IF($S891="Win",0,N(AX890))),N(AX890))</f>
        <v>0</v>
      </c>
      <c r="AY891" s="56" t="str">
        <f>IF($AS891=1,COUNTIF($AS$6:$AS891,1),"")</f>
        <v/>
      </c>
      <c r="AZ891" s="56">
        <f>MIN(885,N(Lists!$W$8))</f>
        <v>28</v>
      </c>
      <c r="BA891" s="56">
        <f>IF($AS891=1,IF(COUNTIFS($A$6:$A891,$A891,$AS$6:$AS891,1)=1,1,0),0)</f>
        <v>0</v>
      </c>
      <c r="BB891" s="55" t="str">
        <f>IF($BA891=1,SUMIFS($Q$6:$Q$1005,$A$6:$A$1005,$A891,$AS$6:$AS$1005,1),"")</f>
        <v/>
      </c>
      <c r="BC891" s="56">
        <f>IF(ISNUMBER($R891),1,0)</f>
        <v>0</v>
      </c>
      <c r="BD891" s="55" t="str">
        <f>IF(ISNUMBER($U891),$U891*$V891,"")</f>
        <v/>
      </c>
      <c r="BE891" s="56" t="str">
        <f>IF($AM891=0,"",IFERROR(MATCH($AF891&amp;"|"&amp;UPPER(TRIM($E891)),Lists!$A$6:$A$205,0),0))</f>
        <v/>
      </c>
      <c r="BF891" s="56" t="str">
        <f>IF($AM891=0,"",IFERROR(MATCH($AF891,Settings!$B$14:$B$18,0),IFERROR(MATCH(Settings!$C$6,Settings!$B$14:$B$18,0),1)))</f>
        <v/>
      </c>
      <c r="BG891" s="58" t="str">
        <f>IF($AM891=0,"",IF(NOT(ISNUMBER($I891)),"No stop; ","")&amp;IF(AND(ISNUMBER($H891),ISNUMBER($I891)),IF(OR(AND($F891&lt;&gt;"Short",$I891&gt;=$H891),AND($F891="Short",$I891&lt;=$H891)),"Stop on wrong side; ",""),"")&amp;IF($F891="","No direction; ","")&amp;IF(AND(ISNUMBER(Settings!$C$22),ISNUMBER($V891)),IF($V891&gt;Settings!$C$22,"Risk over max $; ",""),"")&amp;IF(AND(ISNUMBER(Settings!$C$23),ISNUMBER($V891),ISNUMBER($AP891),IFERROR(N(INDEX(Accounts!$E$7:$E$16,MATCH($C891,Accounts!$B$7:$B$16,0))),0)&gt;0),IF($V891&gt;Settings!$C$23*($AP891-N($Q891)),"Risk over max %; ",""),"")&amp;IF(AND(ISNUMBER(Settings!$C$24),ISNUMBER($N891)),IF($N891&gt;Settings!$C$24,"Leverage over max; ",""),"")&amp;IF(AND(ISNUMBER(Settings!$C$27),ISNUMBER($T891)),IF($T891&lt;Settings!$C$27,"R:R below min; ",""),"")&amp;IF(ISNUMBER(Settings!$C$25),IF(COUNTIFS($A$6:$A891,$A891,$AM$6:$AM891,1)&gt;Settings!$C$25,"Over max trades/day; ",""),"")&amp;IF(ISNUMBER(Settings!$C$26),IF(SUMIFS($Q$5:$Q890,$A$5:$A890,$A891)&lt;=-Settings!$C$26,"Traded after daily max loss; ",""),"")&amp;IF(AND($AG891="",NOT(ISNUMBER($O891))),"Symbol not in Instruments; ","")&amp;IF(AND($AH891="",NOT(ISNUMBER($O891))),"Forex cross: type Gross P&amp;L; ",""))</f>
        <v/>
      </c>
      <c r="BH891" s="56">
        <f>IF(ISNUMBER($Q891),1,0)</f>
        <v>0</v>
      </c>
      <c r="BI891" s="56">
        <f>IF($Y891="",0,1)</f>
        <v>0</v>
      </c>
      <c r="BJ891" s="56">
        <f>IF($AB891="",0,1)</f>
        <v>0</v>
      </c>
      <c r="BK891" s="56">
        <f>IF(AND($BH891=1,$W891&lt;&gt;"OK"),1,0)</f>
        <v>0</v>
      </c>
      <c r="BL891" s="55">
        <f>IF(N($AZ891)=0,0,IFERROR(INDEX($AT$6:$AT$1005,MATCH($AZ891,$AY$6:$AY$1005,0)),0))</f>
        <v>1187.10688</v>
      </c>
      <c r="BM891" s="56">
        <f>IF(ISNUMBER(SEARCH("daily max loss",$BG891)),1,0)</f>
        <v>0</v>
      </c>
    </row>
    <row r="892" ht="18" customHeight="1">
      <c r="A892" s="38" t="n"/>
      <c r="B892" s="39" t="n"/>
      <c r="C892" s="40" t="n"/>
      <c r="D892" s="41" t="n"/>
      <c r="E892" s="41" t="n"/>
      <c r="F892" s="41" t="n"/>
      <c r="G892" s="41" t="n"/>
      <c r="H892" s="42" t="n"/>
      <c r="I892" s="42" t="n"/>
      <c r="J892" s="42" t="n"/>
      <c r="K892" s="42" t="n"/>
      <c r="L892" s="41" t="n"/>
      <c r="M892" s="41" t="n"/>
      <c r="N892" s="41" t="n"/>
      <c r="O892" s="43" t="n"/>
      <c r="P892" s="43" t="n"/>
      <c r="Q892" s="44" t="str">
        <f>IF($AM892=0,"",IF(ISNUMBER($AK892),$AK892-N($AL892),""))</f>
        <v/>
      </c>
      <c r="R892" s="45" t="str">
        <f>IF(OR($Q892="",NOT(ISNUMBER($V892))),"",$AK892/$V892)</f>
        <v/>
      </c>
      <c r="S892" s="46" t="str">
        <f>IF($Q892="","",IF(AND(ISNUMBER($R892),ABS(N($R892))&lt;N(Settings!$C$8)),"Scratch",IF($Q892&gt;0,"Win",IF($Q892&lt;0,"Loss","Scratch"))))</f>
        <v/>
      </c>
      <c r="T892" s="47" t="str">
        <f>IF(OR($AM892=0,NOT(ISNUMBER($H892)),NOT(ISNUMBER($I892)),NOT(ISNUMBER($J892))),"",IF($H892=$I892,"",ROUND(ABS($J892-$H892)/ABS($H892-$I892),6)))</f>
        <v/>
      </c>
      <c r="U892" s="48" t="str">
        <f>IF(OR($S892&lt;&gt;"Win",NOT(ISNUMBER($T892)),NOT(ISNUMBER($R892))),"",MAX(0,$T892-$R892))</f>
        <v/>
      </c>
      <c r="V892" s="49" t="str">
        <f>IF(OR($AM892=0,NOT(ISNUMBER($H892)),NOT(ISNUMBER($I892)),NOT(ISNUMBER($G892))),"",IF(OR($AG892="",$AH892=""),"",IF(ROUND(ABS($H892-$I892)*ABS($G892)*$AG892*$AH892,6)=0,"",ROUND(ABS($H892-$I892)*ABS($G892)*$AG892*$AH892,6))))</f>
        <v/>
      </c>
      <c r="W892" s="50" t="str">
        <f>IF($AM892=0,"",IF($BG892="","OK",LEFT($BG892,LEN($BG892)-2)))</f>
        <v/>
      </c>
      <c r="X892" s="41" t="n"/>
      <c r="Y892" s="40" t="n"/>
      <c r="Z892" s="41" t="n"/>
      <c r="AA892" s="41" t="n"/>
      <c r="AB892" s="40" t="n"/>
      <c r="AC892" s="51" t="n"/>
      <c r="AD892" s="51" t="n"/>
      <c r="AE892" s="40" t="n"/>
      <c r="AF892" s="52" t="str">
        <f>IF($AM892=0,"",IF($D892&lt;&gt;"",$D892,IF(IFERROR(INDEX(Accounts!$C$7:$C$16,MATCH($C892,Accounts!$B$7:$B$16,0))&amp;"","")&lt;&gt;"",INDEX(Accounts!$C$7:$C$16,MATCH($C892,Accounts!$B$7:$B$16,0)),Settings!$C$6)))</f>
        <v/>
      </c>
      <c r="AG892" s="53" t="str">
        <f>IF($AM892=0,"",IF(AND($BE892&gt;0,N(INDEX(Instruments!$D$6:$D$205,MAX(1,$BE892)))&gt;0),INDEX(Instruments!$D$6:$D$205,MAX(1,$BE892)),IF(N(INDEX(Settings!$D$14:$D$18,$BF892))&gt;0,INDEX(Settings!$D$14:$D$18,$BF892),"")))</f>
        <v/>
      </c>
      <c r="AH892" s="54" t="str">
        <f>IF($AM892=0,"",IF($AF892&lt;&gt;"Forex",1,IF(MID(UPPER(SUBSTITUTE(TRIM($E892),"/","")),4,3)=UPPER(TRIM(Settings!$C$7)),1,IF(LEFT(UPPER(SUBSTITUTE(TRIM($E892),"/","")),3)=UPPER(TRIM(Settings!$C$7)),IF(AND(ISNUMBER($K892),N($K892)&lt;&gt;0),1/$K892,""),""))))</f>
        <v/>
      </c>
      <c r="AI892" s="55" t="str">
        <f>IF($AM892=0,"",IF(OR(NOT(ISNUMBER($H892)),NOT(ISNUMBER($K892)),NOT(ISNUMBER($G892)),$AG892="",$AH892=""),"",ROUND(($K892-$H892)*IF($F892="Short",-1,1)*$G892*$AG892*$AH892,6)))</f>
        <v/>
      </c>
      <c r="AJ892" s="55" t="str">
        <f>IF($AM892=0,"",IF(INDEX(Settings!$E$14:$E$18,$BF892)="% of notional",IF(OR($AG892="",NOT(ISNUMBER($H892)),NOT(ISNUMBER($G892))),"",ROUND(ABS($H892*$G892*$AG892*N($AH892))*IF($L892="Limit",N(INDEX(Settings!$G$14:$G$18,$BF892)),N(INDEX(Settings!$H$14:$H$18,$BF892)))+IF(ISNUMBER($K892),ABS($K892*$G892*$AG892*N($AH892))*IF($M892="Target",N(INDEX(Settings!$G$14:$G$18,$BF892)),N(INDEX(Settings!$H$14:$H$18,$BF892))),0),6)),IF(NOT(ISNUMBER($G892)),"",ROUND(ABS($G892)*2*IF(AND($BE892&gt;0,ISNUMBER(INDEX(Instruments!$G$6:$G$205,MAX(1,$BE892)))),INDEX(Instruments!$G$6:$G$205,MAX(1,$BE892)),N(INDEX(Settings!$F$14:$F$18,$BF892))),6))))</f>
        <v/>
      </c>
      <c r="AK892" s="55" t="str">
        <f>IF($AM892=0,"",IF(ISNUMBER($O892),$O892,$AI892))</f>
        <v/>
      </c>
      <c r="AL892" s="55" t="str">
        <f>IF($AM892=0,"",IF(ISNUMBER($P892),$P892,N($AJ892)))</f>
        <v/>
      </c>
      <c r="AM892" s="56">
        <f>IF(AND($A892&lt;&gt;"",$E892&lt;&gt;"",OR(AND(ISNUMBER($G892),ISNUMBER($H892),ISNUMBER($K892)),ISNUMBER($O892))),1,0)</f>
        <v>0</v>
      </c>
      <c r="AN892" s="57" t="str">
        <f>IF($A892="","",$A892-WEEKDAY($A892,3))</f>
        <v/>
      </c>
      <c r="AO892" s="56" t="str">
        <f>IF($A892="","",WEEKDAY($A892,2))</f>
        <v/>
      </c>
      <c r="AP892" s="55" t="str">
        <f>IF(OR($AM892=0,$C892=""),"",IFERROR(N(INDEX(Accounts!$E$7:$E$16,MATCH($C892,Accounts!$B$7:$B$16,0))),0)+SUMIFS($Q$6:$Q892,$C$6:$C892,$C892))</f>
        <v/>
      </c>
      <c r="AQ892" s="55" t="str">
        <f>IF(OR($AM892=0,$C892=""),"",SUMIFS($Q$6:$Q$1005,$C$6:$C$1005,$C892,$A$6:$A$1005,$A892))</f>
        <v/>
      </c>
      <c r="AR892" s="55" t="str">
        <f>IF(OR($AM892=0,$C892=""),"",IFERROR(N(INDEX(Accounts!$E$7:$E$16,MATCH($C892,Accounts!$B$7:$B$16,0))),0)+SUMIFS($Q$6:$Q$1005,$C$6:$C$1005,$C892,$A$6:$A$1005,"&lt;="&amp;$A892))</f>
        <v/>
      </c>
      <c r="AS892" s="56">
        <f>IF(OR($AM892=0,$Q892=""),0,IF(AND($A892&gt;=Lists!$W$6,$A892&lt;=Lists!$W$7,OR(Dashboard!$D$6="All accounts",$C892=Dashboard!$D$6),OR(Dashboard!$D$7="All markets",$AF892=Dashboard!$D$7)),1,0))</f>
        <v>0</v>
      </c>
      <c r="AT892" s="55">
        <f>IF($AS892=1,N(AT891)+$Q892,N(AT891))</f>
        <v>1187.10688</v>
      </c>
      <c r="AU892" s="55">
        <f>MAX(N(AU891),$AT892)</f>
        <v>1187.10688</v>
      </c>
      <c r="AV892" s="55">
        <f>$AT892-$AU892</f>
        <v>0</v>
      </c>
      <c r="AW892" s="56">
        <f>IF($AS892=1,IF($S892="Win",N(AW891)+1,IF($S892="Loss",0,N(AW891))),N(AW891))</f>
        <v>5</v>
      </c>
      <c r="AX892" s="56">
        <f>IF($AS892=1,IF($S892="Loss",N(AX891)+1,IF($S892="Win",0,N(AX891))),N(AX891))</f>
        <v>0</v>
      </c>
      <c r="AY892" s="56" t="str">
        <f>IF($AS892=1,COUNTIF($AS$6:$AS892,1),"")</f>
        <v/>
      </c>
      <c r="AZ892" s="56">
        <f>MIN(886,N(Lists!$W$8))</f>
        <v>28</v>
      </c>
      <c r="BA892" s="56">
        <f>IF($AS892=1,IF(COUNTIFS($A$6:$A892,$A892,$AS$6:$AS892,1)=1,1,0),0)</f>
        <v>0</v>
      </c>
      <c r="BB892" s="55" t="str">
        <f>IF($BA892=1,SUMIFS($Q$6:$Q$1005,$A$6:$A$1005,$A892,$AS$6:$AS$1005,1),"")</f>
        <v/>
      </c>
      <c r="BC892" s="56">
        <f>IF(ISNUMBER($R892),1,0)</f>
        <v>0</v>
      </c>
      <c r="BD892" s="55" t="str">
        <f>IF(ISNUMBER($U892),$U892*$V892,"")</f>
        <v/>
      </c>
      <c r="BE892" s="56" t="str">
        <f>IF($AM892=0,"",IFERROR(MATCH($AF892&amp;"|"&amp;UPPER(TRIM($E892)),Lists!$A$6:$A$205,0),0))</f>
        <v/>
      </c>
      <c r="BF892" s="56" t="str">
        <f>IF($AM892=0,"",IFERROR(MATCH($AF892,Settings!$B$14:$B$18,0),IFERROR(MATCH(Settings!$C$6,Settings!$B$14:$B$18,0),1)))</f>
        <v/>
      </c>
      <c r="BG892" s="58" t="str">
        <f>IF($AM892=0,"",IF(NOT(ISNUMBER($I892)),"No stop; ","")&amp;IF(AND(ISNUMBER($H892),ISNUMBER($I892)),IF(OR(AND($F892&lt;&gt;"Short",$I892&gt;=$H892),AND($F892="Short",$I892&lt;=$H892)),"Stop on wrong side; ",""),"")&amp;IF($F892="","No direction; ","")&amp;IF(AND(ISNUMBER(Settings!$C$22),ISNUMBER($V892)),IF($V892&gt;Settings!$C$22,"Risk over max $; ",""),"")&amp;IF(AND(ISNUMBER(Settings!$C$23),ISNUMBER($V892),ISNUMBER($AP892),IFERROR(N(INDEX(Accounts!$E$7:$E$16,MATCH($C892,Accounts!$B$7:$B$16,0))),0)&gt;0),IF($V892&gt;Settings!$C$23*($AP892-N($Q892)),"Risk over max %; ",""),"")&amp;IF(AND(ISNUMBER(Settings!$C$24),ISNUMBER($N892)),IF($N892&gt;Settings!$C$24,"Leverage over max; ",""),"")&amp;IF(AND(ISNUMBER(Settings!$C$27),ISNUMBER($T892)),IF($T892&lt;Settings!$C$27,"R:R below min; ",""),"")&amp;IF(ISNUMBER(Settings!$C$25),IF(COUNTIFS($A$6:$A892,$A892,$AM$6:$AM892,1)&gt;Settings!$C$25,"Over max trades/day; ",""),"")&amp;IF(ISNUMBER(Settings!$C$26),IF(SUMIFS($Q$5:$Q891,$A$5:$A891,$A892)&lt;=-Settings!$C$26,"Traded after daily max loss; ",""),"")&amp;IF(AND($AG892="",NOT(ISNUMBER($O892))),"Symbol not in Instruments; ","")&amp;IF(AND($AH892="",NOT(ISNUMBER($O892))),"Forex cross: type Gross P&amp;L; ",""))</f>
        <v/>
      </c>
      <c r="BH892" s="56">
        <f>IF(ISNUMBER($Q892),1,0)</f>
        <v>0</v>
      </c>
      <c r="BI892" s="56">
        <f>IF($Y892="",0,1)</f>
        <v>0</v>
      </c>
      <c r="BJ892" s="56">
        <f>IF($AB892="",0,1)</f>
        <v>0</v>
      </c>
      <c r="BK892" s="56">
        <f>IF(AND($BH892=1,$W892&lt;&gt;"OK"),1,0)</f>
        <v>0</v>
      </c>
      <c r="BL892" s="55">
        <f>IF(N($AZ892)=0,0,IFERROR(INDEX($AT$6:$AT$1005,MATCH($AZ892,$AY$6:$AY$1005,0)),0))</f>
        <v>1187.10688</v>
      </c>
      <c r="BM892" s="56">
        <f>IF(ISNUMBER(SEARCH("daily max loss",$BG892)),1,0)</f>
        <v>0</v>
      </c>
    </row>
    <row r="893" ht="18" customHeight="1">
      <c r="A893" s="38" t="n"/>
      <c r="B893" s="39" t="n"/>
      <c r="C893" s="40" t="n"/>
      <c r="D893" s="41" t="n"/>
      <c r="E893" s="41" t="n"/>
      <c r="F893" s="41" t="n"/>
      <c r="G893" s="41" t="n"/>
      <c r="H893" s="42" t="n"/>
      <c r="I893" s="42" t="n"/>
      <c r="J893" s="42" t="n"/>
      <c r="K893" s="42" t="n"/>
      <c r="L893" s="41" t="n"/>
      <c r="M893" s="41" t="n"/>
      <c r="N893" s="41" t="n"/>
      <c r="O893" s="43" t="n"/>
      <c r="P893" s="43" t="n"/>
      <c r="Q893" s="44" t="str">
        <f>IF($AM893=0,"",IF(ISNUMBER($AK893),$AK893-N($AL893),""))</f>
        <v/>
      </c>
      <c r="R893" s="45" t="str">
        <f>IF(OR($Q893="",NOT(ISNUMBER($V893))),"",$AK893/$V893)</f>
        <v/>
      </c>
      <c r="S893" s="46" t="str">
        <f>IF($Q893="","",IF(AND(ISNUMBER($R893),ABS(N($R893))&lt;N(Settings!$C$8)),"Scratch",IF($Q893&gt;0,"Win",IF($Q893&lt;0,"Loss","Scratch"))))</f>
        <v/>
      </c>
      <c r="T893" s="47" t="str">
        <f>IF(OR($AM893=0,NOT(ISNUMBER($H893)),NOT(ISNUMBER($I893)),NOT(ISNUMBER($J893))),"",IF($H893=$I893,"",ROUND(ABS($J893-$H893)/ABS($H893-$I893),6)))</f>
        <v/>
      </c>
      <c r="U893" s="48" t="str">
        <f>IF(OR($S893&lt;&gt;"Win",NOT(ISNUMBER($T893)),NOT(ISNUMBER($R893))),"",MAX(0,$T893-$R893))</f>
        <v/>
      </c>
      <c r="V893" s="49" t="str">
        <f>IF(OR($AM893=0,NOT(ISNUMBER($H893)),NOT(ISNUMBER($I893)),NOT(ISNUMBER($G893))),"",IF(OR($AG893="",$AH893=""),"",IF(ROUND(ABS($H893-$I893)*ABS($G893)*$AG893*$AH893,6)=0,"",ROUND(ABS($H893-$I893)*ABS($G893)*$AG893*$AH893,6))))</f>
        <v/>
      </c>
      <c r="W893" s="50" t="str">
        <f>IF($AM893=0,"",IF($BG893="","OK",LEFT($BG893,LEN($BG893)-2)))</f>
        <v/>
      </c>
      <c r="X893" s="41" t="n"/>
      <c r="Y893" s="40" t="n"/>
      <c r="Z893" s="41" t="n"/>
      <c r="AA893" s="41" t="n"/>
      <c r="AB893" s="40" t="n"/>
      <c r="AC893" s="51" t="n"/>
      <c r="AD893" s="51" t="n"/>
      <c r="AE893" s="40" t="n"/>
      <c r="AF893" s="52" t="str">
        <f>IF($AM893=0,"",IF($D893&lt;&gt;"",$D893,IF(IFERROR(INDEX(Accounts!$C$7:$C$16,MATCH($C893,Accounts!$B$7:$B$16,0))&amp;"","")&lt;&gt;"",INDEX(Accounts!$C$7:$C$16,MATCH($C893,Accounts!$B$7:$B$16,0)),Settings!$C$6)))</f>
        <v/>
      </c>
      <c r="AG893" s="53" t="str">
        <f>IF($AM893=0,"",IF(AND($BE893&gt;0,N(INDEX(Instruments!$D$6:$D$205,MAX(1,$BE893)))&gt;0),INDEX(Instruments!$D$6:$D$205,MAX(1,$BE893)),IF(N(INDEX(Settings!$D$14:$D$18,$BF893))&gt;0,INDEX(Settings!$D$14:$D$18,$BF893),"")))</f>
        <v/>
      </c>
      <c r="AH893" s="54" t="str">
        <f>IF($AM893=0,"",IF($AF893&lt;&gt;"Forex",1,IF(MID(UPPER(SUBSTITUTE(TRIM($E893),"/","")),4,3)=UPPER(TRIM(Settings!$C$7)),1,IF(LEFT(UPPER(SUBSTITUTE(TRIM($E893),"/","")),3)=UPPER(TRIM(Settings!$C$7)),IF(AND(ISNUMBER($K893),N($K893)&lt;&gt;0),1/$K893,""),""))))</f>
        <v/>
      </c>
      <c r="AI893" s="55" t="str">
        <f>IF($AM893=0,"",IF(OR(NOT(ISNUMBER($H893)),NOT(ISNUMBER($K893)),NOT(ISNUMBER($G893)),$AG893="",$AH893=""),"",ROUND(($K893-$H893)*IF($F893="Short",-1,1)*$G893*$AG893*$AH893,6)))</f>
        <v/>
      </c>
      <c r="AJ893" s="55" t="str">
        <f>IF($AM893=0,"",IF(INDEX(Settings!$E$14:$E$18,$BF893)="% of notional",IF(OR($AG893="",NOT(ISNUMBER($H893)),NOT(ISNUMBER($G893))),"",ROUND(ABS($H893*$G893*$AG893*N($AH893))*IF($L893="Limit",N(INDEX(Settings!$G$14:$G$18,$BF893)),N(INDEX(Settings!$H$14:$H$18,$BF893)))+IF(ISNUMBER($K893),ABS($K893*$G893*$AG893*N($AH893))*IF($M893="Target",N(INDEX(Settings!$G$14:$G$18,$BF893)),N(INDEX(Settings!$H$14:$H$18,$BF893))),0),6)),IF(NOT(ISNUMBER($G893)),"",ROUND(ABS($G893)*2*IF(AND($BE893&gt;0,ISNUMBER(INDEX(Instruments!$G$6:$G$205,MAX(1,$BE893)))),INDEX(Instruments!$G$6:$G$205,MAX(1,$BE893)),N(INDEX(Settings!$F$14:$F$18,$BF893))),6))))</f>
        <v/>
      </c>
      <c r="AK893" s="55" t="str">
        <f>IF($AM893=0,"",IF(ISNUMBER($O893),$O893,$AI893))</f>
        <v/>
      </c>
      <c r="AL893" s="55" t="str">
        <f>IF($AM893=0,"",IF(ISNUMBER($P893),$P893,N($AJ893)))</f>
        <v/>
      </c>
      <c r="AM893" s="56">
        <f>IF(AND($A893&lt;&gt;"",$E893&lt;&gt;"",OR(AND(ISNUMBER($G893),ISNUMBER($H893),ISNUMBER($K893)),ISNUMBER($O893))),1,0)</f>
        <v>0</v>
      </c>
      <c r="AN893" s="57" t="str">
        <f>IF($A893="","",$A893-WEEKDAY($A893,3))</f>
        <v/>
      </c>
      <c r="AO893" s="56" t="str">
        <f>IF($A893="","",WEEKDAY($A893,2))</f>
        <v/>
      </c>
      <c r="AP893" s="55" t="str">
        <f>IF(OR($AM893=0,$C893=""),"",IFERROR(N(INDEX(Accounts!$E$7:$E$16,MATCH($C893,Accounts!$B$7:$B$16,0))),0)+SUMIFS($Q$6:$Q893,$C$6:$C893,$C893))</f>
        <v/>
      </c>
      <c r="AQ893" s="55" t="str">
        <f>IF(OR($AM893=0,$C893=""),"",SUMIFS($Q$6:$Q$1005,$C$6:$C$1005,$C893,$A$6:$A$1005,$A893))</f>
        <v/>
      </c>
      <c r="AR893" s="55" t="str">
        <f>IF(OR($AM893=0,$C893=""),"",IFERROR(N(INDEX(Accounts!$E$7:$E$16,MATCH($C893,Accounts!$B$7:$B$16,0))),0)+SUMIFS($Q$6:$Q$1005,$C$6:$C$1005,$C893,$A$6:$A$1005,"&lt;="&amp;$A893))</f>
        <v/>
      </c>
      <c r="AS893" s="56">
        <f>IF(OR($AM893=0,$Q893=""),0,IF(AND($A893&gt;=Lists!$W$6,$A893&lt;=Lists!$W$7,OR(Dashboard!$D$6="All accounts",$C893=Dashboard!$D$6),OR(Dashboard!$D$7="All markets",$AF893=Dashboard!$D$7)),1,0))</f>
        <v>0</v>
      </c>
      <c r="AT893" s="55">
        <f>IF($AS893=1,N(AT892)+$Q893,N(AT892))</f>
        <v>1187.10688</v>
      </c>
      <c r="AU893" s="55">
        <f>MAX(N(AU892),$AT893)</f>
        <v>1187.10688</v>
      </c>
      <c r="AV893" s="55">
        <f>$AT893-$AU893</f>
        <v>0</v>
      </c>
      <c r="AW893" s="56">
        <f>IF($AS893=1,IF($S893="Win",N(AW892)+1,IF($S893="Loss",0,N(AW892))),N(AW892))</f>
        <v>5</v>
      </c>
      <c r="AX893" s="56">
        <f>IF($AS893=1,IF($S893="Loss",N(AX892)+1,IF($S893="Win",0,N(AX892))),N(AX892))</f>
        <v>0</v>
      </c>
      <c r="AY893" s="56" t="str">
        <f>IF($AS893=1,COUNTIF($AS$6:$AS893,1),"")</f>
        <v/>
      </c>
      <c r="AZ893" s="56">
        <f>MIN(887,N(Lists!$W$8))</f>
        <v>28</v>
      </c>
      <c r="BA893" s="56">
        <f>IF($AS893=1,IF(COUNTIFS($A$6:$A893,$A893,$AS$6:$AS893,1)=1,1,0),0)</f>
        <v>0</v>
      </c>
      <c r="BB893" s="55" t="str">
        <f>IF($BA893=1,SUMIFS($Q$6:$Q$1005,$A$6:$A$1005,$A893,$AS$6:$AS$1005,1),"")</f>
        <v/>
      </c>
      <c r="BC893" s="56">
        <f>IF(ISNUMBER($R893),1,0)</f>
        <v>0</v>
      </c>
      <c r="BD893" s="55" t="str">
        <f>IF(ISNUMBER($U893),$U893*$V893,"")</f>
        <v/>
      </c>
      <c r="BE893" s="56" t="str">
        <f>IF($AM893=0,"",IFERROR(MATCH($AF893&amp;"|"&amp;UPPER(TRIM($E893)),Lists!$A$6:$A$205,0),0))</f>
        <v/>
      </c>
      <c r="BF893" s="56" t="str">
        <f>IF($AM893=0,"",IFERROR(MATCH($AF893,Settings!$B$14:$B$18,0),IFERROR(MATCH(Settings!$C$6,Settings!$B$14:$B$18,0),1)))</f>
        <v/>
      </c>
      <c r="BG893" s="58" t="str">
        <f>IF($AM893=0,"",IF(NOT(ISNUMBER($I893)),"No stop; ","")&amp;IF(AND(ISNUMBER($H893),ISNUMBER($I893)),IF(OR(AND($F893&lt;&gt;"Short",$I893&gt;=$H893),AND($F893="Short",$I893&lt;=$H893)),"Stop on wrong side; ",""),"")&amp;IF($F893="","No direction; ","")&amp;IF(AND(ISNUMBER(Settings!$C$22),ISNUMBER($V893)),IF($V893&gt;Settings!$C$22,"Risk over max $; ",""),"")&amp;IF(AND(ISNUMBER(Settings!$C$23),ISNUMBER($V893),ISNUMBER($AP893),IFERROR(N(INDEX(Accounts!$E$7:$E$16,MATCH($C893,Accounts!$B$7:$B$16,0))),0)&gt;0),IF($V893&gt;Settings!$C$23*($AP893-N($Q893)),"Risk over max %; ",""),"")&amp;IF(AND(ISNUMBER(Settings!$C$24),ISNUMBER($N893)),IF($N893&gt;Settings!$C$24,"Leverage over max; ",""),"")&amp;IF(AND(ISNUMBER(Settings!$C$27),ISNUMBER($T893)),IF($T893&lt;Settings!$C$27,"R:R below min; ",""),"")&amp;IF(ISNUMBER(Settings!$C$25),IF(COUNTIFS($A$6:$A893,$A893,$AM$6:$AM893,1)&gt;Settings!$C$25,"Over max trades/day; ",""),"")&amp;IF(ISNUMBER(Settings!$C$26),IF(SUMIFS($Q$5:$Q892,$A$5:$A892,$A893)&lt;=-Settings!$C$26,"Traded after daily max loss; ",""),"")&amp;IF(AND($AG893="",NOT(ISNUMBER($O893))),"Symbol not in Instruments; ","")&amp;IF(AND($AH893="",NOT(ISNUMBER($O893))),"Forex cross: type Gross P&amp;L; ",""))</f>
        <v/>
      </c>
      <c r="BH893" s="56">
        <f>IF(ISNUMBER($Q893),1,0)</f>
        <v>0</v>
      </c>
      <c r="BI893" s="56">
        <f>IF($Y893="",0,1)</f>
        <v>0</v>
      </c>
      <c r="BJ893" s="56">
        <f>IF($AB893="",0,1)</f>
        <v>0</v>
      </c>
      <c r="BK893" s="56">
        <f>IF(AND($BH893=1,$W893&lt;&gt;"OK"),1,0)</f>
        <v>0</v>
      </c>
      <c r="BL893" s="55">
        <f>IF(N($AZ893)=0,0,IFERROR(INDEX($AT$6:$AT$1005,MATCH($AZ893,$AY$6:$AY$1005,0)),0))</f>
        <v>1187.10688</v>
      </c>
      <c r="BM893" s="56">
        <f>IF(ISNUMBER(SEARCH("daily max loss",$BG893)),1,0)</f>
        <v>0</v>
      </c>
    </row>
    <row r="894" ht="18" customHeight="1">
      <c r="A894" s="38" t="n"/>
      <c r="B894" s="39" t="n"/>
      <c r="C894" s="40" t="n"/>
      <c r="D894" s="41" t="n"/>
      <c r="E894" s="41" t="n"/>
      <c r="F894" s="41" t="n"/>
      <c r="G894" s="41" t="n"/>
      <c r="H894" s="42" t="n"/>
      <c r="I894" s="42" t="n"/>
      <c r="J894" s="42" t="n"/>
      <c r="K894" s="42" t="n"/>
      <c r="L894" s="41" t="n"/>
      <c r="M894" s="41" t="n"/>
      <c r="N894" s="41" t="n"/>
      <c r="O894" s="43" t="n"/>
      <c r="P894" s="43" t="n"/>
      <c r="Q894" s="44" t="str">
        <f>IF($AM894=0,"",IF(ISNUMBER($AK894),$AK894-N($AL894),""))</f>
        <v/>
      </c>
      <c r="R894" s="45" t="str">
        <f>IF(OR($Q894="",NOT(ISNUMBER($V894))),"",$AK894/$V894)</f>
        <v/>
      </c>
      <c r="S894" s="46" t="str">
        <f>IF($Q894="","",IF(AND(ISNUMBER($R894),ABS(N($R894))&lt;N(Settings!$C$8)),"Scratch",IF($Q894&gt;0,"Win",IF($Q894&lt;0,"Loss","Scratch"))))</f>
        <v/>
      </c>
      <c r="T894" s="47" t="str">
        <f>IF(OR($AM894=0,NOT(ISNUMBER($H894)),NOT(ISNUMBER($I894)),NOT(ISNUMBER($J894))),"",IF($H894=$I894,"",ROUND(ABS($J894-$H894)/ABS($H894-$I894),6)))</f>
        <v/>
      </c>
      <c r="U894" s="48" t="str">
        <f>IF(OR($S894&lt;&gt;"Win",NOT(ISNUMBER($T894)),NOT(ISNUMBER($R894))),"",MAX(0,$T894-$R894))</f>
        <v/>
      </c>
      <c r="V894" s="49" t="str">
        <f>IF(OR($AM894=0,NOT(ISNUMBER($H894)),NOT(ISNUMBER($I894)),NOT(ISNUMBER($G894))),"",IF(OR($AG894="",$AH894=""),"",IF(ROUND(ABS($H894-$I894)*ABS($G894)*$AG894*$AH894,6)=0,"",ROUND(ABS($H894-$I894)*ABS($G894)*$AG894*$AH894,6))))</f>
        <v/>
      </c>
      <c r="W894" s="50" t="str">
        <f>IF($AM894=0,"",IF($BG894="","OK",LEFT($BG894,LEN($BG894)-2)))</f>
        <v/>
      </c>
      <c r="X894" s="41" t="n"/>
      <c r="Y894" s="40" t="n"/>
      <c r="Z894" s="41" t="n"/>
      <c r="AA894" s="41" t="n"/>
      <c r="AB894" s="40" t="n"/>
      <c r="AC894" s="51" t="n"/>
      <c r="AD894" s="51" t="n"/>
      <c r="AE894" s="40" t="n"/>
      <c r="AF894" s="52" t="str">
        <f>IF($AM894=0,"",IF($D894&lt;&gt;"",$D894,IF(IFERROR(INDEX(Accounts!$C$7:$C$16,MATCH($C894,Accounts!$B$7:$B$16,0))&amp;"","")&lt;&gt;"",INDEX(Accounts!$C$7:$C$16,MATCH($C894,Accounts!$B$7:$B$16,0)),Settings!$C$6)))</f>
        <v/>
      </c>
      <c r="AG894" s="53" t="str">
        <f>IF($AM894=0,"",IF(AND($BE894&gt;0,N(INDEX(Instruments!$D$6:$D$205,MAX(1,$BE894)))&gt;0),INDEX(Instruments!$D$6:$D$205,MAX(1,$BE894)),IF(N(INDEX(Settings!$D$14:$D$18,$BF894))&gt;0,INDEX(Settings!$D$14:$D$18,$BF894),"")))</f>
        <v/>
      </c>
      <c r="AH894" s="54" t="str">
        <f>IF($AM894=0,"",IF($AF894&lt;&gt;"Forex",1,IF(MID(UPPER(SUBSTITUTE(TRIM($E894),"/","")),4,3)=UPPER(TRIM(Settings!$C$7)),1,IF(LEFT(UPPER(SUBSTITUTE(TRIM($E894),"/","")),3)=UPPER(TRIM(Settings!$C$7)),IF(AND(ISNUMBER($K894),N($K894)&lt;&gt;0),1/$K894,""),""))))</f>
        <v/>
      </c>
      <c r="AI894" s="55" t="str">
        <f>IF($AM894=0,"",IF(OR(NOT(ISNUMBER($H894)),NOT(ISNUMBER($K894)),NOT(ISNUMBER($G894)),$AG894="",$AH894=""),"",ROUND(($K894-$H894)*IF($F894="Short",-1,1)*$G894*$AG894*$AH894,6)))</f>
        <v/>
      </c>
      <c r="AJ894" s="55" t="str">
        <f>IF($AM894=0,"",IF(INDEX(Settings!$E$14:$E$18,$BF894)="% of notional",IF(OR($AG894="",NOT(ISNUMBER($H894)),NOT(ISNUMBER($G894))),"",ROUND(ABS($H894*$G894*$AG894*N($AH894))*IF($L894="Limit",N(INDEX(Settings!$G$14:$G$18,$BF894)),N(INDEX(Settings!$H$14:$H$18,$BF894)))+IF(ISNUMBER($K894),ABS($K894*$G894*$AG894*N($AH894))*IF($M894="Target",N(INDEX(Settings!$G$14:$G$18,$BF894)),N(INDEX(Settings!$H$14:$H$18,$BF894))),0),6)),IF(NOT(ISNUMBER($G894)),"",ROUND(ABS($G894)*2*IF(AND($BE894&gt;0,ISNUMBER(INDEX(Instruments!$G$6:$G$205,MAX(1,$BE894)))),INDEX(Instruments!$G$6:$G$205,MAX(1,$BE894)),N(INDEX(Settings!$F$14:$F$18,$BF894))),6))))</f>
        <v/>
      </c>
      <c r="AK894" s="55" t="str">
        <f>IF($AM894=0,"",IF(ISNUMBER($O894),$O894,$AI894))</f>
        <v/>
      </c>
      <c r="AL894" s="55" t="str">
        <f>IF($AM894=0,"",IF(ISNUMBER($P894),$P894,N($AJ894)))</f>
        <v/>
      </c>
      <c r="AM894" s="56">
        <f>IF(AND($A894&lt;&gt;"",$E894&lt;&gt;"",OR(AND(ISNUMBER($G894),ISNUMBER($H894),ISNUMBER($K894)),ISNUMBER($O894))),1,0)</f>
        <v>0</v>
      </c>
      <c r="AN894" s="57" t="str">
        <f>IF($A894="","",$A894-WEEKDAY($A894,3))</f>
        <v/>
      </c>
      <c r="AO894" s="56" t="str">
        <f>IF($A894="","",WEEKDAY($A894,2))</f>
        <v/>
      </c>
      <c r="AP894" s="55" t="str">
        <f>IF(OR($AM894=0,$C894=""),"",IFERROR(N(INDEX(Accounts!$E$7:$E$16,MATCH($C894,Accounts!$B$7:$B$16,0))),0)+SUMIFS($Q$6:$Q894,$C$6:$C894,$C894))</f>
        <v/>
      </c>
      <c r="AQ894" s="55" t="str">
        <f>IF(OR($AM894=0,$C894=""),"",SUMIFS($Q$6:$Q$1005,$C$6:$C$1005,$C894,$A$6:$A$1005,$A894))</f>
        <v/>
      </c>
      <c r="AR894" s="55" t="str">
        <f>IF(OR($AM894=0,$C894=""),"",IFERROR(N(INDEX(Accounts!$E$7:$E$16,MATCH($C894,Accounts!$B$7:$B$16,0))),0)+SUMIFS($Q$6:$Q$1005,$C$6:$C$1005,$C894,$A$6:$A$1005,"&lt;="&amp;$A894))</f>
        <v/>
      </c>
      <c r="AS894" s="56">
        <f>IF(OR($AM894=0,$Q894=""),0,IF(AND($A894&gt;=Lists!$W$6,$A894&lt;=Lists!$W$7,OR(Dashboard!$D$6="All accounts",$C894=Dashboard!$D$6),OR(Dashboard!$D$7="All markets",$AF894=Dashboard!$D$7)),1,0))</f>
        <v>0</v>
      </c>
      <c r="AT894" s="55">
        <f>IF($AS894=1,N(AT893)+$Q894,N(AT893))</f>
        <v>1187.10688</v>
      </c>
      <c r="AU894" s="55">
        <f>MAX(N(AU893),$AT894)</f>
        <v>1187.10688</v>
      </c>
      <c r="AV894" s="55">
        <f>$AT894-$AU894</f>
        <v>0</v>
      </c>
      <c r="AW894" s="56">
        <f>IF($AS894=1,IF($S894="Win",N(AW893)+1,IF($S894="Loss",0,N(AW893))),N(AW893))</f>
        <v>5</v>
      </c>
      <c r="AX894" s="56">
        <f>IF($AS894=1,IF($S894="Loss",N(AX893)+1,IF($S894="Win",0,N(AX893))),N(AX893))</f>
        <v>0</v>
      </c>
      <c r="AY894" s="56" t="str">
        <f>IF($AS894=1,COUNTIF($AS$6:$AS894,1),"")</f>
        <v/>
      </c>
      <c r="AZ894" s="56">
        <f>MIN(888,N(Lists!$W$8))</f>
        <v>28</v>
      </c>
      <c r="BA894" s="56">
        <f>IF($AS894=1,IF(COUNTIFS($A$6:$A894,$A894,$AS$6:$AS894,1)=1,1,0),0)</f>
        <v>0</v>
      </c>
      <c r="BB894" s="55" t="str">
        <f>IF($BA894=1,SUMIFS($Q$6:$Q$1005,$A$6:$A$1005,$A894,$AS$6:$AS$1005,1),"")</f>
        <v/>
      </c>
      <c r="BC894" s="56">
        <f>IF(ISNUMBER($R894),1,0)</f>
        <v>0</v>
      </c>
      <c r="BD894" s="55" t="str">
        <f>IF(ISNUMBER($U894),$U894*$V894,"")</f>
        <v/>
      </c>
      <c r="BE894" s="56" t="str">
        <f>IF($AM894=0,"",IFERROR(MATCH($AF894&amp;"|"&amp;UPPER(TRIM($E894)),Lists!$A$6:$A$205,0),0))</f>
        <v/>
      </c>
      <c r="BF894" s="56" t="str">
        <f>IF($AM894=0,"",IFERROR(MATCH($AF894,Settings!$B$14:$B$18,0),IFERROR(MATCH(Settings!$C$6,Settings!$B$14:$B$18,0),1)))</f>
        <v/>
      </c>
      <c r="BG894" s="58" t="str">
        <f>IF($AM894=0,"",IF(NOT(ISNUMBER($I894)),"No stop; ","")&amp;IF(AND(ISNUMBER($H894),ISNUMBER($I894)),IF(OR(AND($F894&lt;&gt;"Short",$I894&gt;=$H894),AND($F894="Short",$I894&lt;=$H894)),"Stop on wrong side; ",""),"")&amp;IF($F894="","No direction; ","")&amp;IF(AND(ISNUMBER(Settings!$C$22),ISNUMBER($V894)),IF($V894&gt;Settings!$C$22,"Risk over max $; ",""),"")&amp;IF(AND(ISNUMBER(Settings!$C$23),ISNUMBER($V894),ISNUMBER($AP894),IFERROR(N(INDEX(Accounts!$E$7:$E$16,MATCH($C894,Accounts!$B$7:$B$16,0))),0)&gt;0),IF($V894&gt;Settings!$C$23*($AP894-N($Q894)),"Risk over max %; ",""),"")&amp;IF(AND(ISNUMBER(Settings!$C$24),ISNUMBER($N894)),IF($N894&gt;Settings!$C$24,"Leverage over max; ",""),"")&amp;IF(AND(ISNUMBER(Settings!$C$27),ISNUMBER($T894)),IF($T894&lt;Settings!$C$27,"R:R below min; ",""),"")&amp;IF(ISNUMBER(Settings!$C$25),IF(COUNTIFS($A$6:$A894,$A894,$AM$6:$AM894,1)&gt;Settings!$C$25,"Over max trades/day; ",""),"")&amp;IF(ISNUMBER(Settings!$C$26),IF(SUMIFS($Q$5:$Q893,$A$5:$A893,$A894)&lt;=-Settings!$C$26,"Traded after daily max loss; ",""),"")&amp;IF(AND($AG894="",NOT(ISNUMBER($O894))),"Symbol not in Instruments; ","")&amp;IF(AND($AH894="",NOT(ISNUMBER($O894))),"Forex cross: type Gross P&amp;L; ",""))</f>
        <v/>
      </c>
      <c r="BH894" s="56">
        <f>IF(ISNUMBER($Q894),1,0)</f>
        <v>0</v>
      </c>
      <c r="BI894" s="56">
        <f>IF($Y894="",0,1)</f>
        <v>0</v>
      </c>
      <c r="BJ894" s="56">
        <f>IF($AB894="",0,1)</f>
        <v>0</v>
      </c>
      <c r="BK894" s="56">
        <f>IF(AND($BH894=1,$W894&lt;&gt;"OK"),1,0)</f>
        <v>0</v>
      </c>
      <c r="BL894" s="55">
        <f>IF(N($AZ894)=0,0,IFERROR(INDEX($AT$6:$AT$1005,MATCH($AZ894,$AY$6:$AY$1005,0)),0))</f>
        <v>1187.10688</v>
      </c>
      <c r="BM894" s="56">
        <f>IF(ISNUMBER(SEARCH("daily max loss",$BG894)),1,0)</f>
        <v>0</v>
      </c>
    </row>
    <row r="895" ht="18" customHeight="1">
      <c r="A895" s="38" t="n"/>
      <c r="B895" s="39" t="n"/>
      <c r="C895" s="40" t="n"/>
      <c r="D895" s="41" t="n"/>
      <c r="E895" s="41" t="n"/>
      <c r="F895" s="41" t="n"/>
      <c r="G895" s="41" t="n"/>
      <c r="H895" s="42" t="n"/>
      <c r="I895" s="42" t="n"/>
      <c r="J895" s="42" t="n"/>
      <c r="K895" s="42" t="n"/>
      <c r="L895" s="41" t="n"/>
      <c r="M895" s="41" t="n"/>
      <c r="N895" s="41" t="n"/>
      <c r="O895" s="43" t="n"/>
      <c r="P895" s="43" t="n"/>
      <c r="Q895" s="44" t="str">
        <f>IF($AM895=0,"",IF(ISNUMBER($AK895),$AK895-N($AL895),""))</f>
        <v/>
      </c>
      <c r="R895" s="45" t="str">
        <f>IF(OR($Q895="",NOT(ISNUMBER($V895))),"",$AK895/$V895)</f>
        <v/>
      </c>
      <c r="S895" s="46" t="str">
        <f>IF($Q895="","",IF(AND(ISNUMBER($R895),ABS(N($R895))&lt;N(Settings!$C$8)),"Scratch",IF($Q895&gt;0,"Win",IF($Q895&lt;0,"Loss","Scratch"))))</f>
        <v/>
      </c>
      <c r="T895" s="47" t="str">
        <f>IF(OR($AM895=0,NOT(ISNUMBER($H895)),NOT(ISNUMBER($I895)),NOT(ISNUMBER($J895))),"",IF($H895=$I895,"",ROUND(ABS($J895-$H895)/ABS($H895-$I895),6)))</f>
        <v/>
      </c>
      <c r="U895" s="48" t="str">
        <f>IF(OR($S895&lt;&gt;"Win",NOT(ISNUMBER($T895)),NOT(ISNUMBER($R895))),"",MAX(0,$T895-$R895))</f>
        <v/>
      </c>
      <c r="V895" s="49" t="str">
        <f>IF(OR($AM895=0,NOT(ISNUMBER($H895)),NOT(ISNUMBER($I895)),NOT(ISNUMBER($G895))),"",IF(OR($AG895="",$AH895=""),"",IF(ROUND(ABS($H895-$I895)*ABS($G895)*$AG895*$AH895,6)=0,"",ROUND(ABS($H895-$I895)*ABS($G895)*$AG895*$AH895,6))))</f>
        <v/>
      </c>
      <c r="W895" s="50" t="str">
        <f>IF($AM895=0,"",IF($BG895="","OK",LEFT($BG895,LEN($BG895)-2)))</f>
        <v/>
      </c>
      <c r="X895" s="41" t="n"/>
      <c r="Y895" s="40" t="n"/>
      <c r="Z895" s="41" t="n"/>
      <c r="AA895" s="41" t="n"/>
      <c r="AB895" s="40" t="n"/>
      <c r="AC895" s="51" t="n"/>
      <c r="AD895" s="51" t="n"/>
      <c r="AE895" s="40" t="n"/>
      <c r="AF895" s="52" t="str">
        <f>IF($AM895=0,"",IF($D895&lt;&gt;"",$D895,IF(IFERROR(INDEX(Accounts!$C$7:$C$16,MATCH($C895,Accounts!$B$7:$B$16,0))&amp;"","")&lt;&gt;"",INDEX(Accounts!$C$7:$C$16,MATCH($C895,Accounts!$B$7:$B$16,0)),Settings!$C$6)))</f>
        <v/>
      </c>
      <c r="AG895" s="53" t="str">
        <f>IF($AM895=0,"",IF(AND($BE895&gt;0,N(INDEX(Instruments!$D$6:$D$205,MAX(1,$BE895)))&gt;0),INDEX(Instruments!$D$6:$D$205,MAX(1,$BE895)),IF(N(INDEX(Settings!$D$14:$D$18,$BF895))&gt;0,INDEX(Settings!$D$14:$D$18,$BF895),"")))</f>
        <v/>
      </c>
      <c r="AH895" s="54" t="str">
        <f>IF($AM895=0,"",IF($AF895&lt;&gt;"Forex",1,IF(MID(UPPER(SUBSTITUTE(TRIM($E895),"/","")),4,3)=UPPER(TRIM(Settings!$C$7)),1,IF(LEFT(UPPER(SUBSTITUTE(TRIM($E895),"/","")),3)=UPPER(TRIM(Settings!$C$7)),IF(AND(ISNUMBER($K895),N($K895)&lt;&gt;0),1/$K895,""),""))))</f>
        <v/>
      </c>
      <c r="AI895" s="55" t="str">
        <f>IF($AM895=0,"",IF(OR(NOT(ISNUMBER($H895)),NOT(ISNUMBER($K895)),NOT(ISNUMBER($G895)),$AG895="",$AH895=""),"",ROUND(($K895-$H895)*IF($F895="Short",-1,1)*$G895*$AG895*$AH895,6)))</f>
        <v/>
      </c>
      <c r="AJ895" s="55" t="str">
        <f>IF($AM895=0,"",IF(INDEX(Settings!$E$14:$E$18,$BF895)="% of notional",IF(OR($AG895="",NOT(ISNUMBER($H895)),NOT(ISNUMBER($G895))),"",ROUND(ABS($H895*$G895*$AG895*N($AH895))*IF($L895="Limit",N(INDEX(Settings!$G$14:$G$18,$BF895)),N(INDEX(Settings!$H$14:$H$18,$BF895)))+IF(ISNUMBER($K895),ABS($K895*$G895*$AG895*N($AH895))*IF($M895="Target",N(INDEX(Settings!$G$14:$G$18,$BF895)),N(INDEX(Settings!$H$14:$H$18,$BF895))),0),6)),IF(NOT(ISNUMBER($G895)),"",ROUND(ABS($G895)*2*IF(AND($BE895&gt;0,ISNUMBER(INDEX(Instruments!$G$6:$G$205,MAX(1,$BE895)))),INDEX(Instruments!$G$6:$G$205,MAX(1,$BE895)),N(INDEX(Settings!$F$14:$F$18,$BF895))),6))))</f>
        <v/>
      </c>
      <c r="AK895" s="55" t="str">
        <f>IF($AM895=0,"",IF(ISNUMBER($O895),$O895,$AI895))</f>
        <v/>
      </c>
      <c r="AL895" s="55" t="str">
        <f>IF($AM895=0,"",IF(ISNUMBER($P895),$P895,N($AJ895)))</f>
        <v/>
      </c>
      <c r="AM895" s="56">
        <f>IF(AND($A895&lt;&gt;"",$E895&lt;&gt;"",OR(AND(ISNUMBER($G895),ISNUMBER($H895),ISNUMBER($K895)),ISNUMBER($O895))),1,0)</f>
        <v>0</v>
      </c>
      <c r="AN895" s="57" t="str">
        <f>IF($A895="","",$A895-WEEKDAY($A895,3))</f>
        <v/>
      </c>
      <c r="AO895" s="56" t="str">
        <f>IF($A895="","",WEEKDAY($A895,2))</f>
        <v/>
      </c>
      <c r="AP895" s="55" t="str">
        <f>IF(OR($AM895=0,$C895=""),"",IFERROR(N(INDEX(Accounts!$E$7:$E$16,MATCH($C895,Accounts!$B$7:$B$16,0))),0)+SUMIFS($Q$6:$Q895,$C$6:$C895,$C895))</f>
        <v/>
      </c>
      <c r="AQ895" s="55" t="str">
        <f>IF(OR($AM895=0,$C895=""),"",SUMIFS($Q$6:$Q$1005,$C$6:$C$1005,$C895,$A$6:$A$1005,$A895))</f>
        <v/>
      </c>
      <c r="AR895" s="55" t="str">
        <f>IF(OR($AM895=0,$C895=""),"",IFERROR(N(INDEX(Accounts!$E$7:$E$16,MATCH($C895,Accounts!$B$7:$B$16,0))),0)+SUMIFS($Q$6:$Q$1005,$C$6:$C$1005,$C895,$A$6:$A$1005,"&lt;="&amp;$A895))</f>
        <v/>
      </c>
      <c r="AS895" s="56">
        <f>IF(OR($AM895=0,$Q895=""),0,IF(AND($A895&gt;=Lists!$W$6,$A895&lt;=Lists!$W$7,OR(Dashboard!$D$6="All accounts",$C895=Dashboard!$D$6),OR(Dashboard!$D$7="All markets",$AF895=Dashboard!$D$7)),1,0))</f>
        <v>0</v>
      </c>
      <c r="AT895" s="55">
        <f>IF($AS895=1,N(AT894)+$Q895,N(AT894))</f>
        <v>1187.10688</v>
      </c>
      <c r="AU895" s="55">
        <f>MAX(N(AU894),$AT895)</f>
        <v>1187.10688</v>
      </c>
      <c r="AV895" s="55">
        <f>$AT895-$AU895</f>
        <v>0</v>
      </c>
      <c r="AW895" s="56">
        <f>IF($AS895=1,IF($S895="Win",N(AW894)+1,IF($S895="Loss",0,N(AW894))),N(AW894))</f>
        <v>5</v>
      </c>
      <c r="AX895" s="56">
        <f>IF($AS895=1,IF($S895="Loss",N(AX894)+1,IF($S895="Win",0,N(AX894))),N(AX894))</f>
        <v>0</v>
      </c>
      <c r="AY895" s="56" t="str">
        <f>IF($AS895=1,COUNTIF($AS$6:$AS895,1),"")</f>
        <v/>
      </c>
      <c r="AZ895" s="56">
        <f>MIN(889,N(Lists!$W$8))</f>
        <v>28</v>
      </c>
      <c r="BA895" s="56">
        <f>IF($AS895=1,IF(COUNTIFS($A$6:$A895,$A895,$AS$6:$AS895,1)=1,1,0),0)</f>
        <v>0</v>
      </c>
      <c r="BB895" s="55" t="str">
        <f>IF($BA895=1,SUMIFS($Q$6:$Q$1005,$A$6:$A$1005,$A895,$AS$6:$AS$1005,1),"")</f>
        <v/>
      </c>
      <c r="BC895" s="56">
        <f>IF(ISNUMBER($R895),1,0)</f>
        <v>0</v>
      </c>
      <c r="BD895" s="55" t="str">
        <f>IF(ISNUMBER($U895),$U895*$V895,"")</f>
        <v/>
      </c>
      <c r="BE895" s="56" t="str">
        <f>IF($AM895=0,"",IFERROR(MATCH($AF895&amp;"|"&amp;UPPER(TRIM($E895)),Lists!$A$6:$A$205,0),0))</f>
        <v/>
      </c>
      <c r="BF895" s="56" t="str">
        <f>IF($AM895=0,"",IFERROR(MATCH($AF895,Settings!$B$14:$B$18,0),IFERROR(MATCH(Settings!$C$6,Settings!$B$14:$B$18,0),1)))</f>
        <v/>
      </c>
      <c r="BG895" s="58" t="str">
        <f>IF($AM895=0,"",IF(NOT(ISNUMBER($I895)),"No stop; ","")&amp;IF(AND(ISNUMBER($H895),ISNUMBER($I895)),IF(OR(AND($F895&lt;&gt;"Short",$I895&gt;=$H895),AND($F895="Short",$I895&lt;=$H895)),"Stop on wrong side; ",""),"")&amp;IF($F895="","No direction; ","")&amp;IF(AND(ISNUMBER(Settings!$C$22),ISNUMBER($V895)),IF($V895&gt;Settings!$C$22,"Risk over max $; ",""),"")&amp;IF(AND(ISNUMBER(Settings!$C$23),ISNUMBER($V895),ISNUMBER($AP895),IFERROR(N(INDEX(Accounts!$E$7:$E$16,MATCH($C895,Accounts!$B$7:$B$16,0))),0)&gt;0),IF($V895&gt;Settings!$C$23*($AP895-N($Q895)),"Risk over max %; ",""),"")&amp;IF(AND(ISNUMBER(Settings!$C$24),ISNUMBER($N895)),IF($N895&gt;Settings!$C$24,"Leverage over max; ",""),"")&amp;IF(AND(ISNUMBER(Settings!$C$27),ISNUMBER($T895)),IF($T895&lt;Settings!$C$27,"R:R below min; ",""),"")&amp;IF(ISNUMBER(Settings!$C$25),IF(COUNTIFS($A$6:$A895,$A895,$AM$6:$AM895,1)&gt;Settings!$C$25,"Over max trades/day; ",""),"")&amp;IF(ISNUMBER(Settings!$C$26),IF(SUMIFS($Q$5:$Q894,$A$5:$A894,$A895)&lt;=-Settings!$C$26,"Traded after daily max loss; ",""),"")&amp;IF(AND($AG895="",NOT(ISNUMBER($O895))),"Symbol not in Instruments; ","")&amp;IF(AND($AH895="",NOT(ISNUMBER($O895))),"Forex cross: type Gross P&amp;L; ",""))</f>
        <v/>
      </c>
      <c r="BH895" s="56">
        <f>IF(ISNUMBER($Q895),1,0)</f>
        <v>0</v>
      </c>
      <c r="BI895" s="56">
        <f>IF($Y895="",0,1)</f>
        <v>0</v>
      </c>
      <c r="BJ895" s="56">
        <f>IF($AB895="",0,1)</f>
        <v>0</v>
      </c>
      <c r="BK895" s="56">
        <f>IF(AND($BH895=1,$W895&lt;&gt;"OK"),1,0)</f>
        <v>0</v>
      </c>
      <c r="BL895" s="55">
        <f>IF(N($AZ895)=0,0,IFERROR(INDEX($AT$6:$AT$1005,MATCH($AZ895,$AY$6:$AY$1005,0)),0))</f>
        <v>1187.10688</v>
      </c>
      <c r="BM895" s="56">
        <f>IF(ISNUMBER(SEARCH("daily max loss",$BG895)),1,0)</f>
        <v>0</v>
      </c>
    </row>
    <row r="896" ht="18" customHeight="1">
      <c r="A896" s="38" t="n"/>
      <c r="B896" s="39" t="n"/>
      <c r="C896" s="40" t="n"/>
      <c r="D896" s="41" t="n"/>
      <c r="E896" s="41" t="n"/>
      <c r="F896" s="41" t="n"/>
      <c r="G896" s="41" t="n"/>
      <c r="H896" s="42" t="n"/>
      <c r="I896" s="42" t="n"/>
      <c r="J896" s="42" t="n"/>
      <c r="K896" s="42" t="n"/>
      <c r="L896" s="41" t="n"/>
      <c r="M896" s="41" t="n"/>
      <c r="N896" s="41" t="n"/>
      <c r="O896" s="43" t="n"/>
      <c r="P896" s="43" t="n"/>
      <c r="Q896" s="44" t="str">
        <f>IF($AM896=0,"",IF(ISNUMBER($AK896),$AK896-N($AL896),""))</f>
        <v/>
      </c>
      <c r="R896" s="45" t="str">
        <f>IF(OR($Q896="",NOT(ISNUMBER($V896))),"",$AK896/$V896)</f>
        <v/>
      </c>
      <c r="S896" s="46" t="str">
        <f>IF($Q896="","",IF(AND(ISNUMBER($R896),ABS(N($R896))&lt;N(Settings!$C$8)),"Scratch",IF($Q896&gt;0,"Win",IF($Q896&lt;0,"Loss","Scratch"))))</f>
        <v/>
      </c>
      <c r="T896" s="47" t="str">
        <f>IF(OR($AM896=0,NOT(ISNUMBER($H896)),NOT(ISNUMBER($I896)),NOT(ISNUMBER($J896))),"",IF($H896=$I896,"",ROUND(ABS($J896-$H896)/ABS($H896-$I896),6)))</f>
        <v/>
      </c>
      <c r="U896" s="48" t="str">
        <f>IF(OR($S896&lt;&gt;"Win",NOT(ISNUMBER($T896)),NOT(ISNUMBER($R896))),"",MAX(0,$T896-$R896))</f>
        <v/>
      </c>
      <c r="V896" s="49" t="str">
        <f>IF(OR($AM896=0,NOT(ISNUMBER($H896)),NOT(ISNUMBER($I896)),NOT(ISNUMBER($G896))),"",IF(OR($AG896="",$AH896=""),"",IF(ROUND(ABS($H896-$I896)*ABS($G896)*$AG896*$AH896,6)=0,"",ROUND(ABS($H896-$I896)*ABS($G896)*$AG896*$AH896,6))))</f>
        <v/>
      </c>
      <c r="W896" s="50" t="str">
        <f>IF($AM896=0,"",IF($BG896="","OK",LEFT($BG896,LEN($BG896)-2)))</f>
        <v/>
      </c>
      <c r="X896" s="41" t="n"/>
      <c r="Y896" s="40" t="n"/>
      <c r="Z896" s="41" t="n"/>
      <c r="AA896" s="41" t="n"/>
      <c r="AB896" s="40" t="n"/>
      <c r="AC896" s="51" t="n"/>
      <c r="AD896" s="51" t="n"/>
      <c r="AE896" s="40" t="n"/>
      <c r="AF896" s="52" t="str">
        <f>IF($AM896=0,"",IF($D896&lt;&gt;"",$D896,IF(IFERROR(INDEX(Accounts!$C$7:$C$16,MATCH($C896,Accounts!$B$7:$B$16,0))&amp;"","")&lt;&gt;"",INDEX(Accounts!$C$7:$C$16,MATCH($C896,Accounts!$B$7:$B$16,0)),Settings!$C$6)))</f>
        <v/>
      </c>
      <c r="AG896" s="53" t="str">
        <f>IF($AM896=0,"",IF(AND($BE896&gt;0,N(INDEX(Instruments!$D$6:$D$205,MAX(1,$BE896)))&gt;0),INDEX(Instruments!$D$6:$D$205,MAX(1,$BE896)),IF(N(INDEX(Settings!$D$14:$D$18,$BF896))&gt;0,INDEX(Settings!$D$14:$D$18,$BF896),"")))</f>
        <v/>
      </c>
      <c r="AH896" s="54" t="str">
        <f>IF($AM896=0,"",IF($AF896&lt;&gt;"Forex",1,IF(MID(UPPER(SUBSTITUTE(TRIM($E896),"/","")),4,3)=UPPER(TRIM(Settings!$C$7)),1,IF(LEFT(UPPER(SUBSTITUTE(TRIM($E896),"/","")),3)=UPPER(TRIM(Settings!$C$7)),IF(AND(ISNUMBER($K896),N($K896)&lt;&gt;0),1/$K896,""),""))))</f>
        <v/>
      </c>
      <c r="AI896" s="55" t="str">
        <f>IF($AM896=0,"",IF(OR(NOT(ISNUMBER($H896)),NOT(ISNUMBER($K896)),NOT(ISNUMBER($G896)),$AG896="",$AH896=""),"",ROUND(($K896-$H896)*IF($F896="Short",-1,1)*$G896*$AG896*$AH896,6)))</f>
        <v/>
      </c>
      <c r="AJ896" s="55" t="str">
        <f>IF($AM896=0,"",IF(INDEX(Settings!$E$14:$E$18,$BF896)="% of notional",IF(OR($AG896="",NOT(ISNUMBER($H896)),NOT(ISNUMBER($G896))),"",ROUND(ABS($H896*$G896*$AG896*N($AH896))*IF($L896="Limit",N(INDEX(Settings!$G$14:$G$18,$BF896)),N(INDEX(Settings!$H$14:$H$18,$BF896)))+IF(ISNUMBER($K896),ABS($K896*$G896*$AG896*N($AH896))*IF($M896="Target",N(INDEX(Settings!$G$14:$G$18,$BF896)),N(INDEX(Settings!$H$14:$H$18,$BF896))),0),6)),IF(NOT(ISNUMBER($G896)),"",ROUND(ABS($G896)*2*IF(AND($BE896&gt;0,ISNUMBER(INDEX(Instruments!$G$6:$G$205,MAX(1,$BE896)))),INDEX(Instruments!$G$6:$G$205,MAX(1,$BE896)),N(INDEX(Settings!$F$14:$F$18,$BF896))),6))))</f>
        <v/>
      </c>
      <c r="AK896" s="55" t="str">
        <f>IF($AM896=0,"",IF(ISNUMBER($O896),$O896,$AI896))</f>
        <v/>
      </c>
      <c r="AL896" s="55" t="str">
        <f>IF($AM896=0,"",IF(ISNUMBER($P896),$P896,N($AJ896)))</f>
        <v/>
      </c>
      <c r="AM896" s="56">
        <f>IF(AND($A896&lt;&gt;"",$E896&lt;&gt;"",OR(AND(ISNUMBER($G896),ISNUMBER($H896),ISNUMBER($K896)),ISNUMBER($O896))),1,0)</f>
        <v>0</v>
      </c>
      <c r="AN896" s="57" t="str">
        <f>IF($A896="","",$A896-WEEKDAY($A896,3))</f>
        <v/>
      </c>
      <c r="AO896" s="56" t="str">
        <f>IF($A896="","",WEEKDAY($A896,2))</f>
        <v/>
      </c>
      <c r="AP896" s="55" t="str">
        <f>IF(OR($AM896=0,$C896=""),"",IFERROR(N(INDEX(Accounts!$E$7:$E$16,MATCH($C896,Accounts!$B$7:$B$16,0))),0)+SUMIFS($Q$6:$Q896,$C$6:$C896,$C896))</f>
        <v/>
      </c>
      <c r="AQ896" s="55" t="str">
        <f>IF(OR($AM896=0,$C896=""),"",SUMIFS($Q$6:$Q$1005,$C$6:$C$1005,$C896,$A$6:$A$1005,$A896))</f>
        <v/>
      </c>
      <c r="AR896" s="55" t="str">
        <f>IF(OR($AM896=0,$C896=""),"",IFERROR(N(INDEX(Accounts!$E$7:$E$16,MATCH($C896,Accounts!$B$7:$B$16,0))),0)+SUMIFS($Q$6:$Q$1005,$C$6:$C$1005,$C896,$A$6:$A$1005,"&lt;="&amp;$A896))</f>
        <v/>
      </c>
      <c r="AS896" s="56">
        <f>IF(OR($AM896=0,$Q896=""),0,IF(AND($A896&gt;=Lists!$W$6,$A896&lt;=Lists!$W$7,OR(Dashboard!$D$6="All accounts",$C896=Dashboard!$D$6),OR(Dashboard!$D$7="All markets",$AF896=Dashboard!$D$7)),1,0))</f>
        <v>0</v>
      </c>
      <c r="AT896" s="55">
        <f>IF($AS896=1,N(AT895)+$Q896,N(AT895))</f>
        <v>1187.10688</v>
      </c>
      <c r="AU896" s="55">
        <f>MAX(N(AU895),$AT896)</f>
        <v>1187.10688</v>
      </c>
      <c r="AV896" s="55">
        <f>$AT896-$AU896</f>
        <v>0</v>
      </c>
      <c r="AW896" s="56">
        <f>IF($AS896=1,IF($S896="Win",N(AW895)+1,IF($S896="Loss",0,N(AW895))),N(AW895))</f>
        <v>5</v>
      </c>
      <c r="AX896" s="56">
        <f>IF($AS896=1,IF($S896="Loss",N(AX895)+1,IF($S896="Win",0,N(AX895))),N(AX895))</f>
        <v>0</v>
      </c>
      <c r="AY896" s="56" t="str">
        <f>IF($AS896=1,COUNTIF($AS$6:$AS896,1),"")</f>
        <v/>
      </c>
      <c r="AZ896" s="56">
        <f>MIN(890,N(Lists!$W$8))</f>
        <v>28</v>
      </c>
      <c r="BA896" s="56">
        <f>IF($AS896=1,IF(COUNTIFS($A$6:$A896,$A896,$AS$6:$AS896,1)=1,1,0),0)</f>
        <v>0</v>
      </c>
      <c r="BB896" s="55" t="str">
        <f>IF($BA896=1,SUMIFS($Q$6:$Q$1005,$A$6:$A$1005,$A896,$AS$6:$AS$1005,1),"")</f>
        <v/>
      </c>
      <c r="BC896" s="56">
        <f>IF(ISNUMBER($R896),1,0)</f>
        <v>0</v>
      </c>
      <c r="BD896" s="55" t="str">
        <f>IF(ISNUMBER($U896),$U896*$V896,"")</f>
        <v/>
      </c>
      <c r="BE896" s="56" t="str">
        <f>IF($AM896=0,"",IFERROR(MATCH($AF896&amp;"|"&amp;UPPER(TRIM($E896)),Lists!$A$6:$A$205,0),0))</f>
        <v/>
      </c>
      <c r="BF896" s="56" t="str">
        <f>IF($AM896=0,"",IFERROR(MATCH($AF896,Settings!$B$14:$B$18,0),IFERROR(MATCH(Settings!$C$6,Settings!$B$14:$B$18,0),1)))</f>
        <v/>
      </c>
      <c r="BG896" s="58" t="str">
        <f>IF($AM896=0,"",IF(NOT(ISNUMBER($I896)),"No stop; ","")&amp;IF(AND(ISNUMBER($H896),ISNUMBER($I896)),IF(OR(AND($F896&lt;&gt;"Short",$I896&gt;=$H896),AND($F896="Short",$I896&lt;=$H896)),"Stop on wrong side; ",""),"")&amp;IF($F896="","No direction; ","")&amp;IF(AND(ISNUMBER(Settings!$C$22),ISNUMBER($V896)),IF($V896&gt;Settings!$C$22,"Risk over max $; ",""),"")&amp;IF(AND(ISNUMBER(Settings!$C$23),ISNUMBER($V896),ISNUMBER($AP896),IFERROR(N(INDEX(Accounts!$E$7:$E$16,MATCH($C896,Accounts!$B$7:$B$16,0))),0)&gt;0),IF($V896&gt;Settings!$C$23*($AP896-N($Q896)),"Risk over max %; ",""),"")&amp;IF(AND(ISNUMBER(Settings!$C$24),ISNUMBER($N896)),IF($N896&gt;Settings!$C$24,"Leverage over max; ",""),"")&amp;IF(AND(ISNUMBER(Settings!$C$27),ISNUMBER($T896)),IF($T896&lt;Settings!$C$27,"R:R below min; ",""),"")&amp;IF(ISNUMBER(Settings!$C$25),IF(COUNTIFS($A$6:$A896,$A896,$AM$6:$AM896,1)&gt;Settings!$C$25,"Over max trades/day; ",""),"")&amp;IF(ISNUMBER(Settings!$C$26),IF(SUMIFS($Q$5:$Q895,$A$5:$A895,$A896)&lt;=-Settings!$C$26,"Traded after daily max loss; ",""),"")&amp;IF(AND($AG896="",NOT(ISNUMBER($O896))),"Symbol not in Instruments; ","")&amp;IF(AND($AH896="",NOT(ISNUMBER($O896))),"Forex cross: type Gross P&amp;L; ",""))</f>
        <v/>
      </c>
      <c r="BH896" s="56">
        <f>IF(ISNUMBER($Q896),1,0)</f>
        <v>0</v>
      </c>
      <c r="BI896" s="56">
        <f>IF($Y896="",0,1)</f>
        <v>0</v>
      </c>
      <c r="BJ896" s="56">
        <f>IF($AB896="",0,1)</f>
        <v>0</v>
      </c>
      <c r="BK896" s="56">
        <f>IF(AND($BH896=1,$W896&lt;&gt;"OK"),1,0)</f>
        <v>0</v>
      </c>
      <c r="BL896" s="55">
        <f>IF(N($AZ896)=0,0,IFERROR(INDEX($AT$6:$AT$1005,MATCH($AZ896,$AY$6:$AY$1005,0)),0))</f>
        <v>1187.10688</v>
      </c>
      <c r="BM896" s="56">
        <f>IF(ISNUMBER(SEARCH("daily max loss",$BG896)),1,0)</f>
        <v>0</v>
      </c>
    </row>
    <row r="897" ht="18" customHeight="1">
      <c r="A897" s="38" t="n"/>
      <c r="B897" s="39" t="n"/>
      <c r="C897" s="40" t="n"/>
      <c r="D897" s="41" t="n"/>
      <c r="E897" s="41" t="n"/>
      <c r="F897" s="41" t="n"/>
      <c r="G897" s="41" t="n"/>
      <c r="H897" s="42" t="n"/>
      <c r="I897" s="42" t="n"/>
      <c r="J897" s="42" t="n"/>
      <c r="K897" s="42" t="n"/>
      <c r="L897" s="41" t="n"/>
      <c r="M897" s="41" t="n"/>
      <c r="N897" s="41" t="n"/>
      <c r="O897" s="43" t="n"/>
      <c r="P897" s="43" t="n"/>
      <c r="Q897" s="44" t="str">
        <f>IF($AM897=0,"",IF(ISNUMBER($AK897),$AK897-N($AL897),""))</f>
        <v/>
      </c>
      <c r="R897" s="45" t="str">
        <f>IF(OR($Q897="",NOT(ISNUMBER($V897))),"",$AK897/$V897)</f>
        <v/>
      </c>
      <c r="S897" s="46" t="str">
        <f>IF($Q897="","",IF(AND(ISNUMBER($R897),ABS(N($R897))&lt;N(Settings!$C$8)),"Scratch",IF($Q897&gt;0,"Win",IF($Q897&lt;0,"Loss","Scratch"))))</f>
        <v/>
      </c>
      <c r="T897" s="47" t="str">
        <f>IF(OR($AM897=0,NOT(ISNUMBER($H897)),NOT(ISNUMBER($I897)),NOT(ISNUMBER($J897))),"",IF($H897=$I897,"",ROUND(ABS($J897-$H897)/ABS($H897-$I897),6)))</f>
        <v/>
      </c>
      <c r="U897" s="48" t="str">
        <f>IF(OR($S897&lt;&gt;"Win",NOT(ISNUMBER($T897)),NOT(ISNUMBER($R897))),"",MAX(0,$T897-$R897))</f>
        <v/>
      </c>
      <c r="V897" s="49" t="str">
        <f>IF(OR($AM897=0,NOT(ISNUMBER($H897)),NOT(ISNUMBER($I897)),NOT(ISNUMBER($G897))),"",IF(OR($AG897="",$AH897=""),"",IF(ROUND(ABS($H897-$I897)*ABS($G897)*$AG897*$AH897,6)=0,"",ROUND(ABS($H897-$I897)*ABS($G897)*$AG897*$AH897,6))))</f>
        <v/>
      </c>
      <c r="W897" s="50" t="str">
        <f>IF($AM897=0,"",IF($BG897="","OK",LEFT($BG897,LEN($BG897)-2)))</f>
        <v/>
      </c>
      <c r="X897" s="41" t="n"/>
      <c r="Y897" s="40" t="n"/>
      <c r="Z897" s="41" t="n"/>
      <c r="AA897" s="41" t="n"/>
      <c r="AB897" s="40" t="n"/>
      <c r="AC897" s="51" t="n"/>
      <c r="AD897" s="51" t="n"/>
      <c r="AE897" s="40" t="n"/>
      <c r="AF897" s="52" t="str">
        <f>IF($AM897=0,"",IF($D897&lt;&gt;"",$D897,IF(IFERROR(INDEX(Accounts!$C$7:$C$16,MATCH($C897,Accounts!$B$7:$B$16,0))&amp;"","")&lt;&gt;"",INDEX(Accounts!$C$7:$C$16,MATCH($C897,Accounts!$B$7:$B$16,0)),Settings!$C$6)))</f>
        <v/>
      </c>
      <c r="AG897" s="53" t="str">
        <f>IF($AM897=0,"",IF(AND($BE897&gt;0,N(INDEX(Instruments!$D$6:$D$205,MAX(1,$BE897)))&gt;0),INDEX(Instruments!$D$6:$D$205,MAX(1,$BE897)),IF(N(INDEX(Settings!$D$14:$D$18,$BF897))&gt;0,INDEX(Settings!$D$14:$D$18,$BF897),"")))</f>
        <v/>
      </c>
      <c r="AH897" s="54" t="str">
        <f>IF($AM897=0,"",IF($AF897&lt;&gt;"Forex",1,IF(MID(UPPER(SUBSTITUTE(TRIM($E897),"/","")),4,3)=UPPER(TRIM(Settings!$C$7)),1,IF(LEFT(UPPER(SUBSTITUTE(TRIM($E897),"/","")),3)=UPPER(TRIM(Settings!$C$7)),IF(AND(ISNUMBER($K897),N($K897)&lt;&gt;0),1/$K897,""),""))))</f>
        <v/>
      </c>
      <c r="AI897" s="55" t="str">
        <f>IF($AM897=0,"",IF(OR(NOT(ISNUMBER($H897)),NOT(ISNUMBER($K897)),NOT(ISNUMBER($G897)),$AG897="",$AH897=""),"",ROUND(($K897-$H897)*IF($F897="Short",-1,1)*$G897*$AG897*$AH897,6)))</f>
        <v/>
      </c>
      <c r="AJ897" s="55" t="str">
        <f>IF($AM897=0,"",IF(INDEX(Settings!$E$14:$E$18,$BF897)="% of notional",IF(OR($AG897="",NOT(ISNUMBER($H897)),NOT(ISNUMBER($G897))),"",ROUND(ABS($H897*$G897*$AG897*N($AH897))*IF($L897="Limit",N(INDEX(Settings!$G$14:$G$18,$BF897)),N(INDEX(Settings!$H$14:$H$18,$BF897)))+IF(ISNUMBER($K897),ABS($K897*$G897*$AG897*N($AH897))*IF($M897="Target",N(INDEX(Settings!$G$14:$G$18,$BF897)),N(INDEX(Settings!$H$14:$H$18,$BF897))),0),6)),IF(NOT(ISNUMBER($G897)),"",ROUND(ABS($G897)*2*IF(AND($BE897&gt;0,ISNUMBER(INDEX(Instruments!$G$6:$G$205,MAX(1,$BE897)))),INDEX(Instruments!$G$6:$G$205,MAX(1,$BE897)),N(INDEX(Settings!$F$14:$F$18,$BF897))),6))))</f>
        <v/>
      </c>
      <c r="AK897" s="55" t="str">
        <f>IF($AM897=0,"",IF(ISNUMBER($O897),$O897,$AI897))</f>
        <v/>
      </c>
      <c r="AL897" s="55" t="str">
        <f>IF($AM897=0,"",IF(ISNUMBER($P897),$P897,N($AJ897)))</f>
        <v/>
      </c>
      <c r="AM897" s="56">
        <f>IF(AND($A897&lt;&gt;"",$E897&lt;&gt;"",OR(AND(ISNUMBER($G897),ISNUMBER($H897),ISNUMBER($K897)),ISNUMBER($O897))),1,0)</f>
        <v>0</v>
      </c>
      <c r="AN897" s="57" t="str">
        <f>IF($A897="","",$A897-WEEKDAY($A897,3))</f>
        <v/>
      </c>
      <c r="AO897" s="56" t="str">
        <f>IF($A897="","",WEEKDAY($A897,2))</f>
        <v/>
      </c>
      <c r="AP897" s="55" t="str">
        <f>IF(OR($AM897=0,$C897=""),"",IFERROR(N(INDEX(Accounts!$E$7:$E$16,MATCH($C897,Accounts!$B$7:$B$16,0))),0)+SUMIFS($Q$6:$Q897,$C$6:$C897,$C897))</f>
        <v/>
      </c>
      <c r="AQ897" s="55" t="str">
        <f>IF(OR($AM897=0,$C897=""),"",SUMIFS($Q$6:$Q$1005,$C$6:$C$1005,$C897,$A$6:$A$1005,$A897))</f>
        <v/>
      </c>
      <c r="AR897" s="55" t="str">
        <f>IF(OR($AM897=0,$C897=""),"",IFERROR(N(INDEX(Accounts!$E$7:$E$16,MATCH($C897,Accounts!$B$7:$B$16,0))),0)+SUMIFS($Q$6:$Q$1005,$C$6:$C$1005,$C897,$A$6:$A$1005,"&lt;="&amp;$A897))</f>
        <v/>
      </c>
      <c r="AS897" s="56">
        <f>IF(OR($AM897=0,$Q897=""),0,IF(AND($A897&gt;=Lists!$W$6,$A897&lt;=Lists!$W$7,OR(Dashboard!$D$6="All accounts",$C897=Dashboard!$D$6),OR(Dashboard!$D$7="All markets",$AF897=Dashboard!$D$7)),1,0))</f>
        <v>0</v>
      </c>
      <c r="AT897" s="55">
        <f>IF($AS897=1,N(AT896)+$Q897,N(AT896))</f>
        <v>1187.10688</v>
      </c>
      <c r="AU897" s="55">
        <f>MAX(N(AU896),$AT897)</f>
        <v>1187.10688</v>
      </c>
      <c r="AV897" s="55">
        <f>$AT897-$AU897</f>
        <v>0</v>
      </c>
      <c r="AW897" s="56">
        <f>IF($AS897=1,IF($S897="Win",N(AW896)+1,IF($S897="Loss",0,N(AW896))),N(AW896))</f>
        <v>5</v>
      </c>
      <c r="AX897" s="56">
        <f>IF($AS897=1,IF($S897="Loss",N(AX896)+1,IF($S897="Win",0,N(AX896))),N(AX896))</f>
        <v>0</v>
      </c>
      <c r="AY897" s="56" t="str">
        <f>IF($AS897=1,COUNTIF($AS$6:$AS897,1),"")</f>
        <v/>
      </c>
      <c r="AZ897" s="56">
        <f>MIN(891,N(Lists!$W$8))</f>
        <v>28</v>
      </c>
      <c r="BA897" s="56">
        <f>IF($AS897=1,IF(COUNTIFS($A$6:$A897,$A897,$AS$6:$AS897,1)=1,1,0),0)</f>
        <v>0</v>
      </c>
      <c r="BB897" s="55" t="str">
        <f>IF($BA897=1,SUMIFS($Q$6:$Q$1005,$A$6:$A$1005,$A897,$AS$6:$AS$1005,1),"")</f>
        <v/>
      </c>
      <c r="BC897" s="56">
        <f>IF(ISNUMBER($R897),1,0)</f>
        <v>0</v>
      </c>
      <c r="BD897" s="55" t="str">
        <f>IF(ISNUMBER($U897),$U897*$V897,"")</f>
        <v/>
      </c>
      <c r="BE897" s="56" t="str">
        <f>IF($AM897=0,"",IFERROR(MATCH($AF897&amp;"|"&amp;UPPER(TRIM($E897)),Lists!$A$6:$A$205,0),0))</f>
        <v/>
      </c>
      <c r="BF897" s="56" t="str">
        <f>IF($AM897=0,"",IFERROR(MATCH($AF897,Settings!$B$14:$B$18,0),IFERROR(MATCH(Settings!$C$6,Settings!$B$14:$B$18,0),1)))</f>
        <v/>
      </c>
      <c r="BG897" s="58" t="str">
        <f>IF($AM897=0,"",IF(NOT(ISNUMBER($I897)),"No stop; ","")&amp;IF(AND(ISNUMBER($H897),ISNUMBER($I897)),IF(OR(AND($F897&lt;&gt;"Short",$I897&gt;=$H897),AND($F897="Short",$I897&lt;=$H897)),"Stop on wrong side; ",""),"")&amp;IF($F897="","No direction; ","")&amp;IF(AND(ISNUMBER(Settings!$C$22),ISNUMBER($V897)),IF($V897&gt;Settings!$C$22,"Risk over max $; ",""),"")&amp;IF(AND(ISNUMBER(Settings!$C$23),ISNUMBER($V897),ISNUMBER($AP897),IFERROR(N(INDEX(Accounts!$E$7:$E$16,MATCH($C897,Accounts!$B$7:$B$16,0))),0)&gt;0),IF($V897&gt;Settings!$C$23*($AP897-N($Q897)),"Risk over max %; ",""),"")&amp;IF(AND(ISNUMBER(Settings!$C$24),ISNUMBER($N897)),IF($N897&gt;Settings!$C$24,"Leverage over max; ",""),"")&amp;IF(AND(ISNUMBER(Settings!$C$27),ISNUMBER($T897)),IF($T897&lt;Settings!$C$27,"R:R below min; ",""),"")&amp;IF(ISNUMBER(Settings!$C$25),IF(COUNTIFS($A$6:$A897,$A897,$AM$6:$AM897,1)&gt;Settings!$C$25,"Over max trades/day; ",""),"")&amp;IF(ISNUMBER(Settings!$C$26),IF(SUMIFS($Q$5:$Q896,$A$5:$A896,$A897)&lt;=-Settings!$C$26,"Traded after daily max loss; ",""),"")&amp;IF(AND($AG897="",NOT(ISNUMBER($O897))),"Symbol not in Instruments; ","")&amp;IF(AND($AH897="",NOT(ISNUMBER($O897))),"Forex cross: type Gross P&amp;L; ",""))</f>
        <v/>
      </c>
      <c r="BH897" s="56">
        <f>IF(ISNUMBER($Q897),1,0)</f>
        <v>0</v>
      </c>
      <c r="BI897" s="56">
        <f>IF($Y897="",0,1)</f>
        <v>0</v>
      </c>
      <c r="BJ897" s="56">
        <f>IF($AB897="",0,1)</f>
        <v>0</v>
      </c>
      <c r="BK897" s="56">
        <f>IF(AND($BH897=1,$W897&lt;&gt;"OK"),1,0)</f>
        <v>0</v>
      </c>
      <c r="BL897" s="55">
        <f>IF(N($AZ897)=0,0,IFERROR(INDEX($AT$6:$AT$1005,MATCH($AZ897,$AY$6:$AY$1005,0)),0))</f>
        <v>1187.10688</v>
      </c>
      <c r="BM897" s="56">
        <f>IF(ISNUMBER(SEARCH("daily max loss",$BG897)),1,0)</f>
        <v>0</v>
      </c>
    </row>
    <row r="898" ht="18" customHeight="1">
      <c r="A898" s="38" t="n"/>
      <c r="B898" s="39" t="n"/>
      <c r="C898" s="40" t="n"/>
      <c r="D898" s="41" t="n"/>
      <c r="E898" s="41" t="n"/>
      <c r="F898" s="41" t="n"/>
      <c r="G898" s="41" t="n"/>
      <c r="H898" s="42" t="n"/>
      <c r="I898" s="42" t="n"/>
      <c r="J898" s="42" t="n"/>
      <c r="K898" s="42" t="n"/>
      <c r="L898" s="41" t="n"/>
      <c r="M898" s="41" t="n"/>
      <c r="N898" s="41" t="n"/>
      <c r="O898" s="43" t="n"/>
      <c r="P898" s="43" t="n"/>
      <c r="Q898" s="44" t="str">
        <f>IF($AM898=0,"",IF(ISNUMBER($AK898),$AK898-N($AL898),""))</f>
        <v/>
      </c>
      <c r="R898" s="45" t="str">
        <f>IF(OR($Q898="",NOT(ISNUMBER($V898))),"",$AK898/$V898)</f>
        <v/>
      </c>
      <c r="S898" s="46" t="str">
        <f>IF($Q898="","",IF(AND(ISNUMBER($R898),ABS(N($R898))&lt;N(Settings!$C$8)),"Scratch",IF($Q898&gt;0,"Win",IF($Q898&lt;0,"Loss","Scratch"))))</f>
        <v/>
      </c>
      <c r="T898" s="47" t="str">
        <f>IF(OR($AM898=0,NOT(ISNUMBER($H898)),NOT(ISNUMBER($I898)),NOT(ISNUMBER($J898))),"",IF($H898=$I898,"",ROUND(ABS($J898-$H898)/ABS($H898-$I898),6)))</f>
        <v/>
      </c>
      <c r="U898" s="48" t="str">
        <f>IF(OR($S898&lt;&gt;"Win",NOT(ISNUMBER($T898)),NOT(ISNUMBER($R898))),"",MAX(0,$T898-$R898))</f>
        <v/>
      </c>
      <c r="V898" s="49" t="str">
        <f>IF(OR($AM898=0,NOT(ISNUMBER($H898)),NOT(ISNUMBER($I898)),NOT(ISNUMBER($G898))),"",IF(OR($AG898="",$AH898=""),"",IF(ROUND(ABS($H898-$I898)*ABS($G898)*$AG898*$AH898,6)=0,"",ROUND(ABS($H898-$I898)*ABS($G898)*$AG898*$AH898,6))))</f>
        <v/>
      </c>
      <c r="W898" s="50" t="str">
        <f>IF($AM898=0,"",IF($BG898="","OK",LEFT($BG898,LEN($BG898)-2)))</f>
        <v/>
      </c>
      <c r="X898" s="41" t="n"/>
      <c r="Y898" s="40" t="n"/>
      <c r="Z898" s="41" t="n"/>
      <c r="AA898" s="41" t="n"/>
      <c r="AB898" s="40" t="n"/>
      <c r="AC898" s="51" t="n"/>
      <c r="AD898" s="51" t="n"/>
      <c r="AE898" s="40" t="n"/>
      <c r="AF898" s="52" t="str">
        <f>IF($AM898=0,"",IF($D898&lt;&gt;"",$D898,IF(IFERROR(INDEX(Accounts!$C$7:$C$16,MATCH($C898,Accounts!$B$7:$B$16,0))&amp;"","")&lt;&gt;"",INDEX(Accounts!$C$7:$C$16,MATCH($C898,Accounts!$B$7:$B$16,0)),Settings!$C$6)))</f>
        <v/>
      </c>
      <c r="AG898" s="53" t="str">
        <f>IF($AM898=0,"",IF(AND($BE898&gt;0,N(INDEX(Instruments!$D$6:$D$205,MAX(1,$BE898)))&gt;0),INDEX(Instruments!$D$6:$D$205,MAX(1,$BE898)),IF(N(INDEX(Settings!$D$14:$D$18,$BF898))&gt;0,INDEX(Settings!$D$14:$D$18,$BF898),"")))</f>
        <v/>
      </c>
      <c r="AH898" s="54" t="str">
        <f>IF($AM898=0,"",IF($AF898&lt;&gt;"Forex",1,IF(MID(UPPER(SUBSTITUTE(TRIM($E898),"/","")),4,3)=UPPER(TRIM(Settings!$C$7)),1,IF(LEFT(UPPER(SUBSTITUTE(TRIM($E898),"/","")),3)=UPPER(TRIM(Settings!$C$7)),IF(AND(ISNUMBER($K898),N($K898)&lt;&gt;0),1/$K898,""),""))))</f>
        <v/>
      </c>
      <c r="AI898" s="55" t="str">
        <f>IF($AM898=0,"",IF(OR(NOT(ISNUMBER($H898)),NOT(ISNUMBER($K898)),NOT(ISNUMBER($G898)),$AG898="",$AH898=""),"",ROUND(($K898-$H898)*IF($F898="Short",-1,1)*$G898*$AG898*$AH898,6)))</f>
        <v/>
      </c>
      <c r="AJ898" s="55" t="str">
        <f>IF($AM898=0,"",IF(INDEX(Settings!$E$14:$E$18,$BF898)="% of notional",IF(OR($AG898="",NOT(ISNUMBER($H898)),NOT(ISNUMBER($G898))),"",ROUND(ABS($H898*$G898*$AG898*N($AH898))*IF($L898="Limit",N(INDEX(Settings!$G$14:$G$18,$BF898)),N(INDEX(Settings!$H$14:$H$18,$BF898)))+IF(ISNUMBER($K898),ABS($K898*$G898*$AG898*N($AH898))*IF($M898="Target",N(INDEX(Settings!$G$14:$G$18,$BF898)),N(INDEX(Settings!$H$14:$H$18,$BF898))),0),6)),IF(NOT(ISNUMBER($G898)),"",ROUND(ABS($G898)*2*IF(AND($BE898&gt;0,ISNUMBER(INDEX(Instruments!$G$6:$G$205,MAX(1,$BE898)))),INDEX(Instruments!$G$6:$G$205,MAX(1,$BE898)),N(INDEX(Settings!$F$14:$F$18,$BF898))),6))))</f>
        <v/>
      </c>
      <c r="AK898" s="55" t="str">
        <f>IF($AM898=0,"",IF(ISNUMBER($O898),$O898,$AI898))</f>
        <v/>
      </c>
      <c r="AL898" s="55" t="str">
        <f>IF($AM898=0,"",IF(ISNUMBER($P898),$P898,N($AJ898)))</f>
        <v/>
      </c>
      <c r="AM898" s="56">
        <f>IF(AND($A898&lt;&gt;"",$E898&lt;&gt;"",OR(AND(ISNUMBER($G898),ISNUMBER($H898),ISNUMBER($K898)),ISNUMBER($O898))),1,0)</f>
        <v>0</v>
      </c>
      <c r="AN898" s="57" t="str">
        <f>IF($A898="","",$A898-WEEKDAY($A898,3))</f>
        <v/>
      </c>
      <c r="AO898" s="56" t="str">
        <f>IF($A898="","",WEEKDAY($A898,2))</f>
        <v/>
      </c>
      <c r="AP898" s="55" t="str">
        <f>IF(OR($AM898=0,$C898=""),"",IFERROR(N(INDEX(Accounts!$E$7:$E$16,MATCH($C898,Accounts!$B$7:$B$16,0))),0)+SUMIFS($Q$6:$Q898,$C$6:$C898,$C898))</f>
        <v/>
      </c>
      <c r="AQ898" s="55" t="str">
        <f>IF(OR($AM898=0,$C898=""),"",SUMIFS($Q$6:$Q$1005,$C$6:$C$1005,$C898,$A$6:$A$1005,$A898))</f>
        <v/>
      </c>
      <c r="AR898" s="55" t="str">
        <f>IF(OR($AM898=0,$C898=""),"",IFERROR(N(INDEX(Accounts!$E$7:$E$16,MATCH($C898,Accounts!$B$7:$B$16,0))),0)+SUMIFS($Q$6:$Q$1005,$C$6:$C$1005,$C898,$A$6:$A$1005,"&lt;="&amp;$A898))</f>
        <v/>
      </c>
      <c r="AS898" s="56">
        <f>IF(OR($AM898=0,$Q898=""),0,IF(AND($A898&gt;=Lists!$W$6,$A898&lt;=Lists!$W$7,OR(Dashboard!$D$6="All accounts",$C898=Dashboard!$D$6),OR(Dashboard!$D$7="All markets",$AF898=Dashboard!$D$7)),1,0))</f>
        <v>0</v>
      </c>
      <c r="AT898" s="55">
        <f>IF($AS898=1,N(AT897)+$Q898,N(AT897))</f>
        <v>1187.10688</v>
      </c>
      <c r="AU898" s="55">
        <f>MAX(N(AU897),$AT898)</f>
        <v>1187.10688</v>
      </c>
      <c r="AV898" s="55">
        <f>$AT898-$AU898</f>
        <v>0</v>
      </c>
      <c r="AW898" s="56">
        <f>IF($AS898=1,IF($S898="Win",N(AW897)+1,IF($S898="Loss",0,N(AW897))),N(AW897))</f>
        <v>5</v>
      </c>
      <c r="AX898" s="56">
        <f>IF($AS898=1,IF($S898="Loss",N(AX897)+1,IF($S898="Win",0,N(AX897))),N(AX897))</f>
        <v>0</v>
      </c>
      <c r="AY898" s="56" t="str">
        <f>IF($AS898=1,COUNTIF($AS$6:$AS898,1),"")</f>
        <v/>
      </c>
      <c r="AZ898" s="56">
        <f>MIN(892,N(Lists!$W$8))</f>
        <v>28</v>
      </c>
      <c r="BA898" s="56">
        <f>IF($AS898=1,IF(COUNTIFS($A$6:$A898,$A898,$AS$6:$AS898,1)=1,1,0),0)</f>
        <v>0</v>
      </c>
      <c r="BB898" s="55" t="str">
        <f>IF($BA898=1,SUMIFS($Q$6:$Q$1005,$A$6:$A$1005,$A898,$AS$6:$AS$1005,1),"")</f>
        <v/>
      </c>
      <c r="BC898" s="56">
        <f>IF(ISNUMBER($R898),1,0)</f>
        <v>0</v>
      </c>
      <c r="BD898" s="55" t="str">
        <f>IF(ISNUMBER($U898),$U898*$V898,"")</f>
        <v/>
      </c>
      <c r="BE898" s="56" t="str">
        <f>IF($AM898=0,"",IFERROR(MATCH($AF898&amp;"|"&amp;UPPER(TRIM($E898)),Lists!$A$6:$A$205,0),0))</f>
        <v/>
      </c>
      <c r="BF898" s="56" t="str">
        <f>IF($AM898=0,"",IFERROR(MATCH($AF898,Settings!$B$14:$B$18,0),IFERROR(MATCH(Settings!$C$6,Settings!$B$14:$B$18,0),1)))</f>
        <v/>
      </c>
      <c r="BG898" s="58" t="str">
        <f>IF($AM898=0,"",IF(NOT(ISNUMBER($I898)),"No stop; ","")&amp;IF(AND(ISNUMBER($H898),ISNUMBER($I898)),IF(OR(AND($F898&lt;&gt;"Short",$I898&gt;=$H898),AND($F898="Short",$I898&lt;=$H898)),"Stop on wrong side; ",""),"")&amp;IF($F898="","No direction; ","")&amp;IF(AND(ISNUMBER(Settings!$C$22),ISNUMBER($V898)),IF($V898&gt;Settings!$C$22,"Risk over max $; ",""),"")&amp;IF(AND(ISNUMBER(Settings!$C$23),ISNUMBER($V898),ISNUMBER($AP898),IFERROR(N(INDEX(Accounts!$E$7:$E$16,MATCH($C898,Accounts!$B$7:$B$16,0))),0)&gt;0),IF($V898&gt;Settings!$C$23*($AP898-N($Q898)),"Risk over max %; ",""),"")&amp;IF(AND(ISNUMBER(Settings!$C$24),ISNUMBER($N898)),IF($N898&gt;Settings!$C$24,"Leverage over max; ",""),"")&amp;IF(AND(ISNUMBER(Settings!$C$27),ISNUMBER($T898)),IF($T898&lt;Settings!$C$27,"R:R below min; ",""),"")&amp;IF(ISNUMBER(Settings!$C$25),IF(COUNTIFS($A$6:$A898,$A898,$AM$6:$AM898,1)&gt;Settings!$C$25,"Over max trades/day; ",""),"")&amp;IF(ISNUMBER(Settings!$C$26),IF(SUMIFS($Q$5:$Q897,$A$5:$A897,$A898)&lt;=-Settings!$C$26,"Traded after daily max loss; ",""),"")&amp;IF(AND($AG898="",NOT(ISNUMBER($O898))),"Symbol not in Instruments; ","")&amp;IF(AND($AH898="",NOT(ISNUMBER($O898))),"Forex cross: type Gross P&amp;L; ",""))</f>
        <v/>
      </c>
      <c r="BH898" s="56">
        <f>IF(ISNUMBER($Q898),1,0)</f>
        <v>0</v>
      </c>
      <c r="BI898" s="56">
        <f>IF($Y898="",0,1)</f>
        <v>0</v>
      </c>
      <c r="BJ898" s="56">
        <f>IF($AB898="",0,1)</f>
        <v>0</v>
      </c>
      <c r="BK898" s="56">
        <f>IF(AND($BH898=1,$W898&lt;&gt;"OK"),1,0)</f>
        <v>0</v>
      </c>
      <c r="BL898" s="55">
        <f>IF(N($AZ898)=0,0,IFERROR(INDEX($AT$6:$AT$1005,MATCH($AZ898,$AY$6:$AY$1005,0)),0))</f>
        <v>1187.10688</v>
      </c>
      <c r="BM898" s="56">
        <f>IF(ISNUMBER(SEARCH("daily max loss",$BG898)),1,0)</f>
        <v>0</v>
      </c>
    </row>
    <row r="899" ht="18" customHeight="1">
      <c r="A899" s="38" t="n"/>
      <c r="B899" s="39" t="n"/>
      <c r="C899" s="40" t="n"/>
      <c r="D899" s="41" t="n"/>
      <c r="E899" s="41" t="n"/>
      <c r="F899" s="41" t="n"/>
      <c r="G899" s="41" t="n"/>
      <c r="H899" s="42" t="n"/>
      <c r="I899" s="42" t="n"/>
      <c r="J899" s="42" t="n"/>
      <c r="K899" s="42" t="n"/>
      <c r="L899" s="41" t="n"/>
      <c r="M899" s="41" t="n"/>
      <c r="N899" s="41" t="n"/>
      <c r="O899" s="43" t="n"/>
      <c r="P899" s="43" t="n"/>
      <c r="Q899" s="44" t="str">
        <f>IF($AM899=0,"",IF(ISNUMBER($AK899),$AK899-N($AL899),""))</f>
        <v/>
      </c>
      <c r="R899" s="45" t="str">
        <f>IF(OR($Q899="",NOT(ISNUMBER($V899))),"",$AK899/$V899)</f>
        <v/>
      </c>
      <c r="S899" s="46" t="str">
        <f>IF($Q899="","",IF(AND(ISNUMBER($R899),ABS(N($R899))&lt;N(Settings!$C$8)),"Scratch",IF($Q899&gt;0,"Win",IF($Q899&lt;0,"Loss","Scratch"))))</f>
        <v/>
      </c>
      <c r="T899" s="47" t="str">
        <f>IF(OR($AM899=0,NOT(ISNUMBER($H899)),NOT(ISNUMBER($I899)),NOT(ISNUMBER($J899))),"",IF($H899=$I899,"",ROUND(ABS($J899-$H899)/ABS($H899-$I899),6)))</f>
        <v/>
      </c>
      <c r="U899" s="48" t="str">
        <f>IF(OR($S899&lt;&gt;"Win",NOT(ISNUMBER($T899)),NOT(ISNUMBER($R899))),"",MAX(0,$T899-$R899))</f>
        <v/>
      </c>
      <c r="V899" s="49" t="str">
        <f>IF(OR($AM899=0,NOT(ISNUMBER($H899)),NOT(ISNUMBER($I899)),NOT(ISNUMBER($G899))),"",IF(OR($AG899="",$AH899=""),"",IF(ROUND(ABS($H899-$I899)*ABS($G899)*$AG899*$AH899,6)=0,"",ROUND(ABS($H899-$I899)*ABS($G899)*$AG899*$AH899,6))))</f>
        <v/>
      </c>
      <c r="W899" s="50" t="str">
        <f>IF($AM899=0,"",IF($BG899="","OK",LEFT($BG899,LEN($BG899)-2)))</f>
        <v/>
      </c>
      <c r="X899" s="41" t="n"/>
      <c r="Y899" s="40" t="n"/>
      <c r="Z899" s="41" t="n"/>
      <c r="AA899" s="41" t="n"/>
      <c r="AB899" s="40" t="n"/>
      <c r="AC899" s="51" t="n"/>
      <c r="AD899" s="51" t="n"/>
      <c r="AE899" s="40" t="n"/>
      <c r="AF899" s="52" t="str">
        <f>IF($AM899=0,"",IF($D899&lt;&gt;"",$D899,IF(IFERROR(INDEX(Accounts!$C$7:$C$16,MATCH($C899,Accounts!$B$7:$B$16,0))&amp;"","")&lt;&gt;"",INDEX(Accounts!$C$7:$C$16,MATCH($C899,Accounts!$B$7:$B$16,0)),Settings!$C$6)))</f>
        <v/>
      </c>
      <c r="AG899" s="53" t="str">
        <f>IF($AM899=0,"",IF(AND($BE899&gt;0,N(INDEX(Instruments!$D$6:$D$205,MAX(1,$BE899)))&gt;0),INDEX(Instruments!$D$6:$D$205,MAX(1,$BE899)),IF(N(INDEX(Settings!$D$14:$D$18,$BF899))&gt;0,INDEX(Settings!$D$14:$D$18,$BF899),"")))</f>
        <v/>
      </c>
      <c r="AH899" s="54" t="str">
        <f>IF($AM899=0,"",IF($AF899&lt;&gt;"Forex",1,IF(MID(UPPER(SUBSTITUTE(TRIM($E899),"/","")),4,3)=UPPER(TRIM(Settings!$C$7)),1,IF(LEFT(UPPER(SUBSTITUTE(TRIM($E899),"/","")),3)=UPPER(TRIM(Settings!$C$7)),IF(AND(ISNUMBER($K899),N($K899)&lt;&gt;0),1/$K899,""),""))))</f>
        <v/>
      </c>
      <c r="AI899" s="55" t="str">
        <f>IF($AM899=0,"",IF(OR(NOT(ISNUMBER($H899)),NOT(ISNUMBER($K899)),NOT(ISNUMBER($G899)),$AG899="",$AH899=""),"",ROUND(($K899-$H899)*IF($F899="Short",-1,1)*$G899*$AG899*$AH899,6)))</f>
        <v/>
      </c>
      <c r="AJ899" s="55" t="str">
        <f>IF($AM899=0,"",IF(INDEX(Settings!$E$14:$E$18,$BF899)="% of notional",IF(OR($AG899="",NOT(ISNUMBER($H899)),NOT(ISNUMBER($G899))),"",ROUND(ABS($H899*$G899*$AG899*N($AH899))*IF($L899="Limit",N(INDEX(Settings!$G$14:$G$18,$BF899)),N(INDEX(Settings!$H$14:$H$18,$BF899)))+IF(ISNUMBER($K899),ABS($K899*$G899*$AG899*N($AH899))*IF($M899="Target",N(INDEX(Settings!$G$14:$G$18,$BF899)),N(INDEX(Settings!$H$14:$H$18,$BF899))),0),6)),IF(NOT(ISNUMBER($G899)),"",ROUND(ABS($G899)*2*IF(AND($BE899&gt;0,ISNUMBER(INDEX(Instruments!$G$6:$G$205,MAX(1,$BE899)))),INDEX(Instruments!$G$6:$G$205,MAX(1,$BE899)),N(INDEX(Settings!$F$14:$F$18,$BF899))),6))))</f>
        <v/>
      </c>
      <c r="AK899" s="55" t="str">
        <f>IF($AM899=0,"",IF(ISNUMBER($O899),$O899,$AI899))</f>
        <v/>
      </c>
      <c r="AL899" s="55" t="str">
        <f>IF($AM899=0,"",IF(ISNUMBER($P899),$P899,N($AJ899)))</f>
        <v/>
      </c>
      <c r="AM899" s="56">
        <f>IF(AND($A899&lt;&gt;"",$E899&lt;&gt;"",OR(AND(ISNUMBER($G899),ISNUMBER($H899),ISNUMBER($K899)),ISNUMBER($O899))),1,0)</f>
        <v>0</v>
      </c>
      <c r="AN899" s="57" t="str">
        <f>IF($A899="","",$A899-WEEKDAY($A899,3))</f>
        <v/>
      </c>
      <c r="AO899" s="56" t="str">
        <f>IF($A899="","",WEEKDAY($A899,2))</f>
        <v/>
      </c>
      <c r="AP899" s="55" t="str">
        <f>IF(OR($AM899=0,$C899=""),"",IFERROR(N(INDEX(Accounts!$E$7:$E$16,MATCH($C899,Accounts!$B$7:$B$16,0))),0)+SUMIFS($Q$6:$Q899,$C$6:$C899,$C899))</f>
        <v/>
      </c>
      <c r="AQ899" s="55" t="str">
        <f>IF(OR($AM899=0,$C899=""),"",SUMIFS($Q$6:$Q$1005,$C$6:$C$1005,$C899,$A$6:$A$1005,$A899))</f>
        <v/>
      </c>
      <c r="AR899" s="55" t="str">
        <f>IF(OR($AM899=0,$C899=""),"",IFERROR(N(INDEX(Accounts!$E$7:$E$16,MATCH($C899,Accounts!$B$7:$B$16,0))),0)+SUMIFS($Q$6:$Q$1005,$C$6:$C$1005,$C899,$A$6:$A$1005,"&lt;="&amp;$A899))</f>
        <v/>
      </c>
      <c r="AS899" s="56">
        <f>IF(OR($AM899=0,$Q899=""),0,IF(AND($A899&gt;=Lists!$W$6,$A899&lt;=Lists!$W$7,OR(Dashboard!$D$6="All accounts",$C899=Dashboard!$D$6),OR(Dashboard!$D$7="All markets",$AF899=Dashboard!$D$7)),1,0))</f>
        <v>0</v>
      </c>
      <c r="AT899" s="55">
        <f>IF($AS899=1,N(AT898)+$Q899,N(AT898))</f>
        <v>1187.10688</v>
      </c>
      <c r="AU899" s="55">
        <f>MAX(N(AU898),$AT899)</f>
        <v>1187.10688</v>
      </c>
      <c r="AV899" s="55">
        <f>$AT899-$AU899</f>
        <v>0</v>
      </c>
      <c r="AW899" s="56">
        <f>IF($AS899=1,IF($S899="Win",N(AW898)+1,IF($S899="Loss",0,N(AW898))),N(AW898))</f>
        <v>5</v>
      </c>
      <c r="AX899" s="56">
        <f>IF($AS899=1,IF($S899="Loss",N(AX898)+1,IF($S899="Win",0,N(AX898))),N(AX898))</f>
        <v>0</v>
      </c>
      <c r="AY899" s="56" t="str">
        <f>IF($AS899=1,COUNTIF($AS$6:$AS899,1),"")</f>
        <v/>
      </c>
      <c r="AZ899" s="56">
        <f>MIN(893,N(Lists!$W$8))</f>
        <v>28</v>
      </c>
      <c r="BA899" s="56">
        <f>IF($AS899=1,IF(COUNTIFS($A$6:$A899,$A899,$AS$6:$AS899,1)=1,1,0),0)</f>
        <v>0</v>
      </c>
      <c r="BB899" s="55" t="str">
        <f>IF($BA899=1,SUMIFS($Q$6:$Q$1005,$A$6:$A$1005,$A899,$AS$6:$AS$1005,1),"")</f>
        <v/>
      </c>
      <c r="BC899" s="56">
        <f>IF(ISNUMBER($R899),1,0)</f>
        <v>0</v>
      </c>
      <c r="BD899" s="55" t="str">
        <f>IF(ISNUMBER($U899),$U899*$V899,"")</f>
        <v/>
      </c>
      <c r="BE899" s="56" t="str">
        <f>IF($AM899=0,"",IFERROR(MATCH($AF899&amp;"|"&amp;UPPER(TRIM($E899)),Lists!$A$6:$A$205,0),0))</f>
        <v/>
      </c>
      <c r="BF899" s="56" t="str">
        <f>IF($AM899=0,"",IFERROR(MATCH($AF899,Settings!$B$14:$B$18,0),IFERROR(MATCH(Settings!$C$6,Settings!$B$14:$B$18,0),1)))</f>
        <v/>
      </c>
      <c r="BG899" s="58" t="str">
        <f>IF($AM899=0,"",IF(NOT(ISNUMBER($I899)),"No stop; ","")&amp;IF(AND(ISNUMBER($H899),ISNUMBER($I899)),IF(OR(AND($F899&lt;&gt;"Short",$I899&gt;=$H899),AND($F899="Short",$I899&lt;=$H899)),"Stop on wrong side; ",""),"")&amp;IF($F899="","No direction; ","")&amp;IF(AND(ISNUMBER(Settings!$C$22),ISNUMBER($V899)),IF($V899&gt;Settings!$C$22,"Risk over max $; ",""),"")&amp;IF(AND(ISNUMBER(Settings!$C$23),ISNUMBER($V899),ISNUMBER($AP899),IFERROR(N(INDEX(Accounts!$E$7:$E$16,MATCH($C899,Accounts!$B$7:$B$16,0))),0)&gt;0),IF($V899&gt;Settings!$C$23*($AP899-N($Q899)),"Risk over max %; ",""),"")&amp;IF(AND(ISNUMBER(Settings!$C$24),ISNUMBER($N899)),IF($N899&gt;Settings!$C$24,"Leverage over max; ",""),"")&amp;IF(AND(ISNUMBER(Settings!$C$27),ISNUMBER($T899)),IF($T899&lt;Settings!$C$27,"R:R below min; ",""),"")&amp;IF(ISNUMBER(Settings!$C$25),IF(COUNTIFS($A$6:$A899,$A899,$AM$6:$AM899,1)&gt;Settings!$C$25,"Over max trades/day; ",""),"")&amp;IF(ISNUMBER(Settings!$C$26),IF(SUMIFS($Q$5:$Q898,$A$5:$A898,$A899)&lt;=-Settings!$C$26,"Traded after daily max loss; ",""),"")&amp;IF(AND($AG899="",NOT(ISNUMBER($O899))),"Symbol not in Instruments; ","")&amp;IF(AND($AH899="",NOT(ISNUMBER($O899))),"Forex cross: type Gross P&amp;L; ",""))</f>
        <v/>
      </c>
      <c r="BH899" s="56">
        <f>IF(ISNUMBER($Q899),1,0)</f>
        <v>0</v>
      </c>
      <c r="BI899" s="56">
        <f>IF($Y899="",0,1)</f>
        <v>0</v>
      </c>
      <c r="BJ899" s="56">
        <f>IF($AB899="",0,1)</f>
        <v>0</v>
      </c>
      <c r="BK899" s="56">
        <f>IF(AND($BH899=1,$W899&lt;&gt;"OK"),1,0)</f>
        <v>0</v>
      </c>
      <c r="BL899" s="55">
        <f>IF(N($AZ899)=0,0,IFERROR(INDEX($AT$6:$AT$1005,MATCH($AZ899,$AY$6:$AY$1005,0)),0))</f>
        <v>1187.10688</v>
      </c>
      <c r="BM899" s="56">
        <f>IF(ISNUMBER(SEARCH("daily max loss",$BG899)),1,0)</f>
        <v>0</v>
      </c>
    </row>
    <row r="900" ht="18" customHeight="1">
      <c r="A900" s="38" t="n"/>
      <c r="B900" s="39" t="n"/>
      <c r="C900" s="40" t="n"/>
      <c r="D900" s="41" t="n"/>
      <c r="E900" s="41" t="n"/>
      <c r="F900" s="41" t="n"/>
      <c r="G900" s="41" t="n"/>
      <c r="H900" s="42" t="n"/>
      <c r="I900" s="42" t="n"/>
      <c r="J900" s="42" t="n"/>
      <c r="K900" s="42" t="n"/>
      <c r="L900" s="41" t="n"/>
      <c r="M900" s="41" t="n"/>
      <c r="N900" s="41" t="n"/>
      <c r="O900" s="43" t="n"/>
      <c r="P900" s="43" t="n"/>
      <c r="Q900" s="44" t="str">
        <f>IF($AM900=0,"",IF(ISNUMBER($AK900),$AK900-N($AL900),""))</f>
        <v/>
      </c>
      <c r="R900" s="45" t="str">
        <f>IF(OR($Q900="",NOT(ISNUMBER($V900))),"",$AK900/$V900)</f>
        <v/>
      </c>
      <c r="S900" s="46" t="str">
        <f>IF($Q900="","",IF(AND(ISNUMBER($R900),ABS(N($R900))&lt;N(Settings!$C$8)),"Scratch",IF($Q900&gt;0,"Win",IF($Q900&lt;0,"Loss","Scratch"))))</f>
        <v/>
      </c>
      <c r="T900" s="47" t="str">
        <f>IF(OR($AM900=0,NOT(ISNUMBER($H900)),NOT(ISNUMBER($I900)),NOT(ISNUMBER($J900))),"",IF($H900=$I900,"",ROUND(ABS($J900-$H900)/ABS($H900-$I900),6)))</f>
        <v/>
      </c>
      <c r="U900" s="48" t="str">
        <f>IF(OR($S900&lt;&gt;"Win",NOT(ISNUMBER($T900)),NOT(ISNUMBER($R900))),"",MAX(0,$T900-$R900))</f>
        <v/>
      </c>
      <c r="V900" s="49" t="str">
        <f>IF(OR($AM900=0,NOT(ISNUMBER($H900)),NOT(ISNUMBER($I900)),NOT(ISNUMBER($G900))),"",IF(OR($AG900="",$AH900=""),"",IF(ROUND(ABS($H900-$I900)*ABS($G900)*$AG900*$AH900,6)=0,"",ROUND(ABS($H900-$I900)*ABS($G900)*$AG900*$AH900,6))))</f>
        <v/>
      </c>
      <c r="W900" s="50" t="str">
        <f>IF($AM900=0,"",IF($BG900="","OK",LEFT($BG900,LEN($BG900)-2)))</f>
        <v/>
      </c>
      <c r="X900" s="41" t="n"/>
      <c r="Y900" s="40" t="n"/>
      <c r="Z900" s="41" t="n"/>
      <c r="AA900" s="41" t="n"/>
      <c r="AB900" s="40" t="n"/>
      <c r="AC900" s="51" t="n"/>
      <c r="AD900" s="51" t="n"/>
      <c r="AE900" s="40" t="n"/>
      <c r="AF900" s="52" t="str">
        <f>IF($AM900=0,"",IF($D900&lt;&gt;"",$D900,IF(IFERROR(INDEX(Accounts!$C$7:$C$16,MATCH($C900,Accounts!$B$7:$B$16,0))&amp;"","")&lt;&gt;"",INDEX(Accounts!$C$7:$C$16,MATCH($C900,Accounts!$B$7:$B$16,0)),Settings!$C$6)))</f>
        <v/>
      </c>
      <c r="AG900" s="53" t="str">
        <f>IF($AM900=0,"",IF(AND($BE900&gt;0,N(INDEX(Instruments!$D$6:$D$205,MAX(1,$BE900)))&gt;0),INDEX(Instruments!$D$6:$D$205,MAX(1,$BE900)),IF(N(INDEX(Settings!$D$14:$D$18,$BF900))&gt;0,INDEX(Settings!$D$14:$D$18,$BF900),"")))</f>
        <v/>
      </c>
      <c r="AH900" s="54" t="str">
        <f>IF($AM900=0,"",IF($AF900&lt;&gt;"Forex",1,IF(MID(UPPER(SUBSTITUTE(TRIM($E900),"/","")),4,3)=UPPER(TRIM(Settings!$C$7)),1,IF(LEFT(UPPER(SUBSTITUTE(TRIM($E900),"/","")),3)=UPPER(TRIM(Settings!$C$7)),IF(AND(ISNUMBER($K900),N($K900)&lt;&gt;0),1/$K900,""),""))))</f>
        <v/>
      </c>
      <c r="AI900" s="55" t="str">
        <f>IF($AM900=0,"",IF(OR(NOT(ISNUMBER($H900)),NOT(ISNUMBER($K900)),NOT(ISNUMBER($G900)),$AG900="",$AH900=""),"",ROUND(($K900-$H900)*IF($F900="Short",-1,1)*$G900*$AG900*$AH900,6)))</f>
        <v/>
      </c>
      <c r="AJ900" s="55" t="str">
        <f>IF($AM900=0,"",IF(INDEX(Settings!$E$14:$E$18,$BF900)="% of notional",IF(OR($AG900="",NOT(ISNUMBER($H900)),NOT(ISNUMBER($G900))),"",ROUND(ABS($H900*$G900*$AG900*N($AH900))*IF($L900="Limit",N(INDEX(Settings!$G$14:$G$18,$BF900)),N(INDEX(Settings!$H$14:$H$18,$BF900)))+IF(ISNUMBER($K900),ABS($K900*$G900*$AG900*N($AH900))*IF($M900="Target",N(INDEX(Settings!$G$14:$G$18,$BF900)),N(INDEX(Settings!$H$14:$H$18,$BF900))),0),6)),IF(NOT(ISNUMBER($G900)),"",ROUND(ABS($G900)*2*IF(AND($BE900&gt;0,ISNUMBER(INDEX(Instruments!$G$6:$G$205,MAX(1,$BE900)))),INDEX(Instruments!$G$6:$G$205,MAX(1,$BE900)),N(INDEX(Settings!$F$14:$F$18,$BF900))),6))))</f>
        <v/>
      </c>
      <c r="AK900" s="55" t="str">
        <f>IF($AM900=0,"",IF(ISNUMBER($O900),$O900,$AI900))</f>
        <v/>
      </c>
      <c r="AL900" s="55" t="str">
        <f>IF($AM900=0,"",IF(ISNUMBER($P900),$P900,N($AJ900)))</f>
        <v/>
      </c>
      <c r="AM900" s="56">
        <f>IF(AND($A900&lt;&gt;"",$E900&lt;&gt;"",OR(AND(ISNUMBER($G900),ISNUMBER($H900),ISNUMBER($K900)),ISNUMBER($O900))),1,0)</f>
        <v>0</v>
      </c>
      <c r="AN900" s="57" t="str">
        <f>IF($A900="","",$A900-WEEKDAY($A900,3))</f>
        <v/>
      </c>
      <c r="AO900" s="56" t="str">
        <f>IF($A900="","",WEEKDAY($A900,2))</f>
        <v/>
      </c>
      <c r="AP900" s="55" t="str">
        <f>IF(OR($AM900=0,$C900=""),"",IFERROR(N(INDEX(Accounts!$E$7:$E$16,MATCH($C900,Accounts!$B$7:$B$16,0))),0)+SUMIFS($Q$6:$Q900,$C$6:$C900,$C900))</f>
        <v/>
      </c>
      <c r="AQ900" s="55" t="str">
        <f>IF(OR($AM900=0,$C900=""),"",SUMIFS($Q$6:$Q$1005,$C$6:$C$1005,$C900,$A$6:$A$1005,$A900))</f>
        <v/>
      </c>
      <c r="AR900" s="55" t="str">
        <f>IF(OR($AM900=0,$C900=""),"",IFERROR(N(INDEX(Accounts!$E$7:$E$16,MATCH($C900,Accounts!$B$7:$B$16,0))),0)+SUMIFS($Q$6:$Q$1005,$C$6:$C$1005,$C900,$A$6:$A$1005,"&lt;="&amp;$A900))</f>
        <v/>
      </c>
      <c r="AS900" s="56">
        <f>IF(OR($AM900=0,$Q900=""),0,IF(AND($A900&gt;=Lists!$W$6,$A900&lt;=Lists!$W$7,OR(Dashboard!$D$6="All accounts",$C900=Dashboard!$D$6),OR(Dashboard!$D$7="All markets",$AF900=Dashboard!$D$7)),1,0))</f>
        <v>0</v>
      </c>
      <c r="AT900" s="55">
        <f>IF($AS900=1,N(AT899)+$Q900,N(AT899))</f>
        <v>1187.10688</v>
      </c>
      <c r="AU900" s="55">
        <f>MAX(N(AU899),$AT900)</f>
        <v>1187.10688</v>
      </c>
      <c r="AV900" s="55">
        <f>$AT900-$AU900</f>
        <v>0</v>
      </c>
      <c r="AW900" s="56">
        <f>IF($AS900=1,IF($S900="Win",N(AW899)+1,IF($S900="Loss",0,N(AW899))),N(AW899))</f>
        <v>5</v>
      </c>
      <c r="AX900" s="56">
        <f>IF($AS900=1,IF($S900="Loss",N(AX899)+1,IF($S900="Win",0,N(AX899))),N(AX899))</f>
        <v>0</v>
      </c>
      <c r="AY900" s="56" t="str">
        <f>IF($AS900=1,COUNTIF($AS$6:$AS900,1),"")</f>
        <v/>
      </c>
      <c r="AZ900" s="56">
        <f>MIN(894,N(Lists!$W$8))</f>
        <v>28</v>
      </c>
      <c r="BA900" s="56">
        <f>IF($AS900=1,IF(COUNTIFS($A$6:$A900,$A900,$AS$6:$AS900,1)=1,1,0),0)</f>
        <v>0</v>
      </c>
      <c r="BB900" s="55" t="str">
        <f>IF($BA900=1,SUMIFS($Q$6:$Q$1005,$A$6:$A$1005,$A900,$AS$6:$AS$1005,1),"")</f>
        <v/>
      </c>
      <c r="BC900" s="56">
        <f>IF(ISNUMBER($R900),1,0)</f>
        <v>0</v>
      </c>
      <c r="BD900" s="55" t="str">
        <f>IF(ISNUMBER($U900),$U900*$V900,"")</f>
        <v/>
      </c>
      <c r="BE900" s="56" t="str">
        <f>IF($AM900=0,"",IFERROR(MATCH($AF900&amp;"|"&amp;UPPER(TRIM($E900)),Lists!$A$6:$A$205,0),0))</f>
        <v/>
      </c>
      <c r="BF900" s="56" t="str">
        <f>IF($AM900=0,"",IFERROR(MATCH($AF900,Settings!$B$14:$B$18,0),IFERROR(MATCH(Settings!$C$6,Settings!$B$14:$B$18,0),1)))</f>
        <v/>
      </c>
      <c r="BG900" s="58" t="str">
        <f>IF($AM900=0,"",IF(NOT(ISNUMBER($I900)),"No stop; ","")&amp;IF(AND(ISNUMBER($H900),ISNUMBER($I900)),IF(OR(AND($F900&lt;&gt;"Short",$I900&gt;=$H900),AND($F900="Short",$I900&lt;=$H900)),"Stop on wrong side; ",""),"")&amp;IF($F900="","No direction; ","")&amp;IF(AND(ISNUMBER(Settings!$C$22),ISNUMBER($V900)),IF($V900&gt;Settings!$C$22,"Risk over max $; ",""),"")&amp;IF(AND(ISNUMBER(Settings!$C$23),ISNUMBER($V900),ISNUMBER($AP900),IFERROR(N(INDEX(Accounts!$E$7:$E$16,MATCH($C900,Accounts!$B$7:$B$16,0))),0)&gt;0),IF($V900&gt;Settings!$C$23*($AP900-N($Q900)),"Risk over max %; ",""),"")&amp;IF(AND(ISNUMBER(Settings!$C$24),ISNUMBER($N900)),IF($N900&gt;Settings!$C$24,"Leverage over max; ",""),"")&amp;IF(AND(ISNUMBER(Settings!$C$27),ISNUMBER($T900)),IF($T900&lt;Settings!$C$27,"R:R below min; ",""),"")&amp;IF(ISNUMBER(Settings!$C$25),IF(COUNTIFS($A$6:$A900,$A900,$AM$6:$AM900,1)&gt;Settings!$C$25,"Over max trades/day; ",""),"")&amp;IF(ISNUMBER(Settings!$C$26),IF(SUMIFS($Q$5:$Q899,$A$5:$A899,$A900)&lt;=-Settings!$C$26,"Traded after daily max loss; ",""),"")&amp;IF(AND($AG900="",NOT(ISNUMBER($O900))),"Symbol not in Instruments; ","")&amp;IF(AND($AH900="",NOT(ISNUMBER($O900))),"Forex cross: type Gross P&amp;L; ",""))</f>
        <v/>
      </c>
      <c r="BH900" s="56">
        <f>IF(ISNUMBER($Q900),1,0)</f>
        <v>0</v>
      </c>
      <c r="BI900" s="56">
        <f>IF($Y900="",0,1)</f>
        <v>0</v>
      </c>
      <c r="BJ900" s="56">
        <f>IF($AB900="",0,1)</f>
        <v>0</v>
      </c>
      <c r="BK900" s="56">
        <f>IF(AND($BH900=1,$W900&lt;&gt;"OK"),1,0)</f>
        <v>0</v>
      </c>
      <c r="BL900" s="55">
        <f>IF(N($AZ900)=0,0,IFERROR(INDEX($AT$6:$AT$1005,MATCH($AZ900,$AY$6:$AY$1005,0)),0))</f>
        <v>1187.10688</v>
      </c>
      <c r="BM900" s="56">
        <f>IF(ISNUMBER(SEARCH("daily max loss",$BG900)),1,0)</f>
        <v>0</v>
      </c>
    </row>
    <row r="901" ht="18" customHeight="1">
      <c r="A901" s="38" t="n"/>
      <c r="B901" s="39" t="n"/>
      <c r="C901" s="40" t="n"/>
      <c r="D901" s="41" t="n"/>
      <c r="E901" s="41" t="n"/>
      <c r="F901" s="41" t="n"/>
      <c r="G901" s="41" t="n"/>
      <c r="H901" s="42" t="n"/>
      <c r="I901" s="42" t="n"/>
      <c r="J901" s="42" t="n"/>
      <c r="K901" s="42" t="n"/>
      <c r="L901" s="41" t="n"/>
      <c r="M901" s="41" t="n"/>
      <c r="N901" s="41" t="n"/>
      <c r="O901" s="43" t="n"/>
      <c r="P901" s="43" t="n"/>
      <c r="Q901" s="44" t="str">
        <f>IF($AM901=0,"",IF(ISNUMBER($AK901),$AK901-N($AL901),""))</f>
        <v/>
      </c>
      <c r="R901" s="45" t="str">
        <f>IF(OR($Q901="",NOT(ISNUMBER($V901))),"",$AK901/$V901)</f>
        <v/>
      </c>
      <c r="S901" s="46" t="str">
        <f>IF($Q901="","",IF(AND(ISNUMBER($R901),ABS(N($R901))&lt;N(Settings!$C$8)),"Scratch",IF($Q901&gt;0,"Win",IF($Q901&lt;0,"Loss","Scratch"))))</f>
        <v/>
      </c>
      <c r="T901" s="47" t="str">
        <f>IF(OR($AM901=0,NOT(ISNUMBER($H901)),NOT(ISNUMBER($I901)),NOT(ISNUMBER($J901))),"",IF($H901=$I901,"",ROUND(ABS($J901-$H901)/ABS($H901-$I901),6)))</f>
        <v/>
      </c>
      <c r="U901" s="48" t="str">
        <f>IF(OR($S901&lt;&gt;"Win",NOT(ISNUMBER($T901)),NOT(ISNUMBER($R901))),"",MAX(0,$T901-$R901))</f>
        <v/>
      </c>
      <c r="V901" s="49" t="str">
        <f>IF(OR($AM901=0,NOT(ISNUMBER($H901)),NOT(ISNUMBER($I901)),NOT(ISNUMBER($G901))),"",IF(OR($AG901="",$AH901=""),"",IF(ROUND(ABS($H901-$I901)*ABS($G901)*$AG901*$AH901,6)=0,"",ROUND(ABS($H901-$I901)*ABS($G901)*$AG901*$AH901,6))))</f>
        <v/>
      </c>
      <c r="W901" s="50" t="str">
        <f>IF($AM901=0,"",IF($BG901="","OK",LEFT($BG901,LEN($BG901)-2)))</f>
        <v/>
      </c>
      <c r="X901" s="41" t="n"/>
      <c r="Y901" s="40" t="n"/>
      <c r="Z901" s="41" t="n"/>
      <c r="AA901" s="41" t="n"/>
      <c r="AB901" s="40" t="n"/>
      <c r="AC901" s="51" t="n"/>
      <c r="AD901" s="51" t="n"/>
      <c r="AE901" s="40" t="n"/>
      <c r="AF901" s="52" t="str">
        <f>IF($AM901=0,"",IF($D901&lt;&gt;"",$D901,IF(IFERROR(INDEX(Accounts!$C$7:$C$16,MATCH($C901,Accounts!$B$7:$B$16,0))&amp;"","")&lt;&gt;"",INDEX(Accounts!$C$7:$C$16,MATCH($C901,Accounts!$B$7:$B$16,0)),Settings!$C$6)))</f>
        <v/>
      </c>
      <c r="AG901" s="53" t="str">
        <f>IF($AM901=0,"",IF(AND($BE901&gt;0,N(INDEX(Instruments!$D$6:$D$205,MAX(1,$BE901)))&gt;0),INDEX(Instruments!$D$6:$D$205,MAX(1,$BE901)),IF(N(INDEX(Settings!$D$14:$D$18,$BF901))&gt;0,INDEX(Settings!$D$14:$D$18,$BF901),"")))</f>
        <v/>
      </c>
      <c r="AH901" s="54" t="str">
        <f>IF($AM901=0,"",IF($AF901&lt;&gt;"Forex",1,IF(MID(UPPER(SUBSTITUTE(TRIM($E901),"/","")),4,3)=UPPER(TRIM(Settings!$C$7)),1,IF(LEFT(UPPER(SUBSTITUTE(TRIM($E901),"/","")),3)=UPPER(TRIM(Settings!$C$7)),IF(AND(ISNUMBER($K901),N($K901)&lt;&gt;0),1/$K901,""),""))))</f>
        <v/>
      </c>
      <c r="AI901" s="55" t="str">
        <f>IF($AM901=0,"",IF(OR(NOT(ISNUMBER($H901)),NOT(ISNUMBER($K901)),NOT(ISNUMBER($G901)),$AG901="",$AH901=""),"",ROUND(($K901-$H901)*IF($F901="Short",-1,1)*$G901*$AG901*$AH901,6)))</f>
        <v/>
      </c>
      <c r="AJ901" s="55" t="str">
        <f>IF($AM901=0,"",IF(INDEX(Settings!$E$14:$E$18,$BF901)="% of notional",IF(OR($AG901="",NOT(ISNUMBER($H901)),NOT(ISNUMBER($G901))),"",ROUND(ABS($H901*$G901*$AG901*N($AH901))*IF($L901="Limit",N(INDEX(Settings!$G$14:$G$18,$BF901)),N(INDEX(Settings!$H$14:$H$18,$BF901)))+IF(ISNUMBER($K901),ABS($K901*$G901*$AG901*N($AH901))*IF($M901="Target",N(INDEX(Settings!$G$14:$G$18,$BF901)),N(INDEX(Settings!$H$14:$H$18,$BF901))),0),6)),IF(NOT(ISNUMBER($G901)),"",ROUND(ABS($G901)*2*IF(AND($BE901&gt;0,ISNUMBER(INDEX(Instruments!$G$6:$G$205,MAX(1,$BE901)))),INDEX(Instruments!$G$6:$G$205,MAX(1,$BE901)),N(INDEX(Settings!$F$14:$F$18,$BF901))),6))))</f>
        <v/>
      </c>
      <c r="AK901" s="55" t="str">
        <f>IF($AM901=0,"",IF(ISNUMBER($O901),$O901,$AI901))</f>
        <v/>
      </c>
      <c r="AL901" s="55" t="str">
        <f>IF($AM901=0,"",IF(ISNUMBER($P901),$P901,N($AJ901)))</f>
        <v/>
      </c>
      <c r="AM901" s="56">
        <f>IF(AND($A901&lt;&gt;"",$E901&lt;&gt;"",OR(AND(ISNUMBER($G901),ISNUMBER($H901),ISNUMBER($K901)),ISNUMBER($O901))),1,0)</f>
        <v>0</v>
      </c>
      <c r="AN901" s="57" t="str">
        <f>IF($A901="","",$A901-WEEKDAY($A901,3))</f>
        <v/>
      </c>
      <c r="AO901" s="56" t="str">
        <f>IF($A901="","",WEEKDAY($A901,2))</f>
        <v/>
      </c>
      <c r="AP901" s="55" t="str">
        <f>IF(OR($AM901=0,$C901=""),"",IFERROR(N(INDEX(Accounts!$E$7:$E$16,MATCH($C901,Accounts!$B$7:$B$16,0))),0)+SUMIFS($Q$6:$Q901,$C$6:$C901,$C901))</f>
        <v/>
      </c>
      <c r="AQ901" s="55" t="str">
        <f>IF(OR($AM901=0,$C901=""),"",SUMIFS($Q$6:$Q$1005,$C$6:$C$1005,$C901,$A$6:$A$1005,$A901))</f>
        <v/>
      </c>
      <c r="AR901" s="55" t="str">
        <f>IF(OR($AM901=0,$C901=""),"",IFERROR(N(INDEX(Accounts!$E$7:$E$16,MATCH($C901,Accounts!$B$7:$B$16,0))),0)+SUMIFS($Q$6:$Q$1005,$C$6:$C$1005,$C901,$A$6:$A$1005,"&lt;="&amp;$A901))</f>
        <v/>
      </c>
      <c r="AS901" s="56">
        <f>IF(OR($AM901=0,$Q901=""),0,IF(AND($A901&gt;=Lists!$W$6,$A901&lt;=Lists!$W$7,OR(Dashboard!$D$6="All accounts",$C901=Dashboard!$D$6),OR(Dashboard!$D$7="All markets",$AF901=Dashboard!$D$7)),1,0))</f>
        <v>0</v>
      </c>
      <c r="AT901" s="55">
        <f>IF($AS901=1,N(AT900)+$Q901,N(AT900))</f>
        <v>1187.10688</v>
      </c>
      <c r="AU901" s="55">
        <f>MAX(N(AU900),$AT901)</f>
        <v>1187.10688</v>
      </c>
      <c r="AV901" s="55">
        <f>$AT901-$AU901</f>
        <v>0</v>
      </c>
      <c r="AW901" s="56">
        <f>IF($AS901=1,IF($S901="Win",N(AW900)+1,IF($S901="Loss",0,N(AW900))),N(AW900))</f>
        <v>5</v>
      </c>
      <c r="AX901" s="56">
        <f>IF($AS901=1,IF($S901="Loss",N(AX900)+1,IF($S901="Win",0,N(AX900))),N(AX900))</f>
        <v>0</v>
      </c>
      <c r="AY901" s="56" t="str">
        <f>IF($AS901=1,COUNTIF($AS$6:$AS901,1),"")</f>
        <v/>
      </c>
      <c r="AZ901" s="56">
        <f>MIN(895,N(Lists!$W$8))</f>
        <v>28</v>
      </c>
      <c r="BA901" s="56">
        <f>IF($AS901=1,IF(COUNTIFS($A$6:$A901,$A901,$AS$6:$AS901,1)=1,1,0),0)</f>
        <v>0</v>
      </c>
      <c r="BB901" s="55" t="str">
        <f>IF($BA901=1,SUMIFS($Q$6:$Q$1005,$A$6:$A$1005,$A901,$AS$6:$AS$1005,1),"")</f>
        <v/>
      </c>
      <c r="BC901" s="56">
        <f>IF(ISNUMBER($R901),1,0)</f>
        <v>0</v>
      </c>
      <c r="BD901" s="55" t="str">
        <f>IF(ISNUMBER($U901),$U901*$V901,"")</f>
        <v/>
      </c>
      <c r="BE901" s="56" t="str">
        <f>IF($AM901=0,"",IFERROR(MATCH($AF901&amp;"|"&amp;UPPER(TRIM($E901)),Lists!$A$6:$A$205,0),0))</f>
        <v/>
      </c>
      <c r="BF901" s="56" t="str">
        <f>IF($AM901=0,"",IFERROR(MATCH($AF901,Settings!$B$14:$B$18,0),IFERROR(MATCH(Settings!$C$6,Settings!$B$14:$B$18,0),1)))</f>
        <v/>
      </c>
      <c r="BG901" s="58" t="str">
        <f>IF($AM901=0,"",IF(NOT(ISNUMBER($I901)),"No stop; ","")&amp;IF(AND(ISNUMBER($H901),ISNUMBER($I901)),IF(OR(AND($F901&lt;&gt;"Short",$I901&gt;=$H901),AND($F901="Short",$I901&lt;=$H901)),"Stop on wrong side; ",""),"")&amp;IF($F901="","No direction; ","")&amp;IF(AND(ISNUMBER(Settings!$C$22),ISNUMBER($V901)),IF($V901&gt;Settings!$C$22,"Risk over max $; ",""),"")&amp;IF(AND(ISNUMBER(Settings!$C$23),ISNUMBER($V901),ISNUMBER($AP901),IFERROR(N(INDEX(Accounts!$E$7:$E$16,MATCH($C901,Accounts!$B$7:$B$16,0))),0)&gt;0),IF($V901&gt;Settings!$C$23*($AP901-N($Q901)),"Risk over max %; ",""),"")&amp;IF(AND(ISNUMBER(Settings!$C$24),ISNUMBER($N901)),IF($N901&gt;Settings!$C$24,"Leverage over max; ",""),"")&amp;IF(AND(ISNUMBER(Settings!$C$27),ISNUMBER($T901)),IF($T901&lt;Settings!$C$27,"R:R below min; ",""),"")&amp;IF(ISNUMBER(Settings!$C$25),IF(COUNTIFS($A$6:$A901,$A901,$AM$6:$AM901,1)&gt;Settings!$C$25,"Over max trades/day; ",""),"")&amp;IF(ISNUMBER(Settings!$C$26),IF(SUMIFS($Q$5:$Q900,$A$5:$A900,$A901)&lt;=-Settings!$C$26,"Traded after daily max loss; ",""),"")&amp;IF(AND($AG901="",NOT(ISNUMBER($O901))),"Symbol not in Instruments; ","")&amp;IF(AND($AH901="",NOT(ISNUMBER($O901))),"Forex cross: type Gross P&amp;L; ",""))</f>
        <v/>
      </c>
      <c r="BH901" s="56">
        <f>IF(ISNUMBER($Q901),1,0)</f>
        <v>0</v>
      </c>
      <c r="BI901" s="56">
        <f>IF($Y901="",0,1)</f>
        <v>0</v>
      </c>
      <c r="BJ901" s="56">
        <f>IF($AB901="",0,1)</f>
        <v>0</v>
      </c>
      <c r="BK901" s="56">
        <f>IF(AND($BH901=1,$W901&lt;&gt;"OK"),1,0)</f>
        <v>0</v>
      </c>
      <c r="BL901" s="55">
        <f>IF(N($AZ901)=0,0,IFERROR(INDEX($AT$6:$AT$1005,MATCH($AZ901,$AY$6:$AY$1005,0)),0))</f>
        <v>1187.10688</v>
      </c>
      <c r="BM901" s="56">
        <f>IF(ISNUMBER(SEARCH("daily max loss",$BG901)),1,0)</f>
        <v>0</v>
      </c>
    </row>
    <row r="902" ht="18" customHeight="1">
      <c r="A902" s="38" t="n"/>
      <c r="B902" s="39" t="n"/>
      <c r="C902" s="40" t="n"/>
      <c r="D902" s="41" t="n"/>
      <c r="E902" s="41" t="n"/>
      <c r="F902" s="41" t="n"/>
      <c r="G902" s="41" t="n"/>
      <c r="H902" s="42" t="n"/>
      <c r="I902" s="42" t="n"/>
      <c r="J902" s="42" t="n"/>
      <c r="K902" s="42" t="n"/>
      <c r="L902" s="41" t="n"/>
      <c r="M902" s="41" t="n"/>
      <c r="N902" s="41" t="n"/>
      <c r="O902" s="43" t="n"/>
      <c r="P902" s="43" t="n"/>
      <c r="Q902" s="44" t="str">
        <f>IF($AM902=0,"",IF(ISNUMBER($AK902),$AK902-N($AL902),""))</f>
        <v/>
      </c>
      <c r="R902" s="45" t="str">
        <f>IF(OR($Q902="",NOT(ISNUMBER($V902))),"",$AK902/$V902)</f>
        <v/>
      </c>
      <c r="S902" s="46" t="str">
        <f>IF($Q902="","",IF(AND(ISNUMBER($R902),ABS(N($R902))&lt;N(Settings!$C$8)),"Scratch",IF($Q902&gt;0,"Win",IF($Q902&lt;0,"Loss","Scratch"))))</f>
        <v/>
      </c>
      <c r="T902" s="47" t="str">
        <f>IF(OR($AM902=0,NOT(ISNUMBER($H902)),NOT(ISNUMBER($I902)),NOT(ISNUMBER($J902))),"",IF($H902=$I902,"",ROUND(ABS($J902-$H902)/ABS($H902-$I902),6)))</f>
        <v/>
      </c>
      <c r="U902" s="48" t="str">
        <f>IF(OR($S902&lt;&gt;"Win",NOT(ISNUMBER($T902)),NOT(ISNUMBER($R902))),"",MAX(0,$T902-$R902))</f>
        <v/>
      </c>
      <c r="V902" s="49" t="str">
        <f>IF(OR($AM902=0,NOT(ISNUMBER($H902)),NOT(ISNUMBER($I902)),NOT(ISNUMBER($G902))),"",IF(OR($AG902="",$AH902=""),"",IF(ROUND(ABS($H902-$I902)*ABS($G902)*$AG902*$AH902,6)=0,"",ROUND(ABS($H902-$I902)*ABS($G902)*$AG902*$AH902,6))))</f>
        <v/>
      </c>
      <c r="W902" s="50" t="str">
        <f>IF($AM902=0,"",IF($BG902="","OK",LEFT($BG902,LEN($BG902)-2)))</f>
        <v/>
      </c>
      <c r="X902" s="41" t="n"/>
      <c r="Y902" s="40" t="n"/>
      <c r="Z902" s="41" t="n"/>
      <c r="AA902" s="41" t="n"/>
      <c r="AB902" s="40" t="n"/>
      <c r="AC902" s="51" t="n"/>
      <c r="AD902" s="51" t="n"/>
      <c r="AE902" s="40" t="n"/>
      <c r="AF902" s="52" t="str">
        <f>IF($AM902=0,"",IF($D902&lt;&gt;"",$D902,IF(IFERROR(INDEX(Accounts!$C$7:$C$16,MATCH($C902,Accounts!$B$7:$B$16,0))&amp;"","")&lt;&gt;"",INDEX(Accounts!$C$7:$C$16,MATCH($C902,Accounts!$B$7:$B$16,0)),Settings!$C$6)))</f>
        <v/>
      </c>
      <c r="AG902" s="53" t="str">
        <f>IF($AM902=0,"",IF(AND($BE902&gt;0,N(INDEX(Instruments!$D$6:$D$205,MAX(1,$BE902)))&gt;0),INDEX(Instruments!$D$6:$D$205,MAX(1,$BE902)),IF(N(INDEX(Settings!$D$14:$D$18,$BF902))&gt;0,INDEX(Settings!$D$14:$D$18,$BF902),"")))</f>
        <v/>
      </c>
      <c r="AH902" s="54" t="str">
        <f>IF($AM902=0,"",IF($AF902&lt;&gt;"Forex",1,IF(MID(UPPER(SUBSTITUTE(TRIM($E902),"/","")),4,3)=UPPER(TRIM(Settings!$C$7)),1,IF(LEFT(UPPER(SUBSTITUTE(TRIM($E902),"/","")),3)=UPPER(TRIM(Settings!$C$7)),IF(AND(ISNUMBER($K902),N($K902)&lt;&gt;0),1/$K902,""),""))))</f>
        <v/>
      </c>
      <c r="AI902" s="55" t="str">
        <f>IF($AM902=0,"",IF(OR(NOT(ISNUMBER($H902)),NOT(ISNUMBER($K902)),NOT(ISNUMBER($G902)),$AG902="",$AH902=""),"",ROUND(($K902-$H902)*IF($F902="Short",-1,1)*$G902*$AG902*$AH902,6)))</f>
        <v/>
      </c>
      <c r="AJ902" s="55" t="str">
        <f>IF($AM902=0,"",IF(INDEX(Settings!$E$14:$E$18,$BF902)="% of notional",IF(OR($AG902="",NOT(ISNUMBER($H902)),NOT(ISNUMBER($G902))),"",ROUND(ABS($H902*$G902*$AG902*N($AH902))*IF($L902="Limit",N(INDEX(Settings!$G$14:$G$18,$BF902)),N(INDEX(Settings!$H$14:$H$18,$BF902)))+IF(ISNUMBER($K902),ABS($K902*$G902*$AG902*N($AH902))*IF($M902="Target",N(INDEX(Settings!$G$14:$G$18,$BF902)),N(INDEX(Settings!$H$14:$H$18,$BF902))),0),6)),IF(NOT(ISNUMBER($G902)),"",ROUND(ABS($G902)*2*IF(AND($BE902&gt;0,ISNUMBER(INDEX(Instruments!$G$6:$G$205,MAX(1,$BE902)))),INDEX(Instruments!$G$6:$G$205,MAX(1,$BE902)),N(INDEX(Settings!$F$14:$F$18,$BF902))),6))))</f>
        <v/>
      </c>
      <c r="AK902" s="55" t="str">
        <f>IF($AM902=0,"",IF(ISNUMBER($O902),$O902,$AI902))</f>
        <v/>
      </c>
      <c r="AL902" s="55" t="str">
        <f>IF($AM902=0,"",IF(ISNUMBER($P902),$P902,N($AJ902)))</f>
        <v/>
      </c>
      <c r="AM902" s="56">
        <f>IF(AND($A902&lt;&gt;"",$E902&lt;&gt;"",OR(AND(ISNUMBER($G902),ISNUMBER($H902),ISNUMBER($K902)),ISNUMBER($O902))),1,0)</f>
        <v>0</v>
      </c>
      <c r="AN902" s="57" t="str">
        <f>IF($A902="","",$A902-WEEKDAY($A902,3))</f>
        <v/>
      </c>
      <c r="AO902" s="56" t="str">
        <f>IF($A902="","",WEEKDAY($A902,2))</f>
        <v/>
      </c>
      <c r="AP902" s="55" t="str">
        <f>IF(OR($AM902=0,$C902=""),"",IFERROR(N(INDEX(Accounts!$E$7:$E$16,MATCH($C902,Accounts!$B$7:$B$16,0))),0)+SUMIFS($Q$6:$Q902,$C$6:$C902,$C902))</f>
        <v/>
      </c>
      <c r="AQ902" s="55" t="str">
        <f>IF(OR($AM902=0,$C902=""),"",SUMIFS($Q$6:$Q$1005,$C$6:$C$1005,$C902,$A$6:$A$1005,$A902))</f>
        <v/>
      </c>
      <c r="AR902" s="55" t="str">
        <f>IF(OR($AM902=0,$C902=""),"",IFERROR(N(INDEX(Accounts!$E$7:$E$16,MATCH($C902,Accounts!$B$7:$B$16,0))),0)+SUMIFS($Q$6:$Q$1005,$C$6:$C$1005,$C902,$A$6:$A$1005,"&lt;="&amp;$A902))</f>
        <v/>
      </c>
      <c r="AS902" s="56">
        <f>IF(OR($AM902=0,$Q902=""),0,IF(AND($A902&gt;=Lists!$W$6,$A902&lt;=Lists!$W$7,OR(Dashboard!$D$6="All accounts",$C902=Dashboard!$D$6),OR(Dashboard!$D$7="All markets",$AF902=Dashboard!$D$7)),1,0))</f>
        <v>0</v>
      </c>
      <c r="AT902" s="55">
        <f>IF($AS902=1,N(AT901)+$Q902,N(AT901))</f>
        <v>1187.10688</v>
      </c>
      <c r="AU902" s="55">
        <f>MAX(N(AU901),$AT902)</f>
        <v>1187.10688</v>
      </c>
      <c r="AV902" s="55">
        <f>$AT902-$AU902</f>
        <v>0</v>
      </c>
      <c r="AW902" s="56">
        <f>IF($AS902=1,IF($S902="Win",N(AW901)+1,IF($S902="Loss",0,N(AW901))),N(AW901))</f>
        <v>5</v>
      </c>
      <c r="AX902" s="56">
        <f>IF($AS902=1,IF($S902="Loss",N(AX901)+1,IF($S902="Win",0,N(AX901))),N(AX901))</f>
        <v>0</v>
      </c>
      <c r="AY902" s="56" t="str">
        <f>IF($AS902=1,COUNTIF($AS$6:$AS902,1),"")</f>
        <v/>
      </c>
      <c r="AZ902" s="56">
        <f>MIN(896,N(Lists!$W$8))</f>
        <v>28</v>
      </c>
      <c r="BA902" s="56">
        <f>IF($AS902=1,IF(COUNTIFS($A$6:$A902,$A902,$AS$6:$AS902,1)=1,1,0),0)</f>
        <v>0</v>
      </c>
      <c r="BB902" s="55" t="str">
        <f>IF($BA902=1,SUMIFS($Q$6:$Q$1005,$A$6:$A$1005,$A902,$AS$6:$AS$1005,1),"")</f>
        <v/>
      </c>
      <c r="BC902" s="56">
        <f>IF(ISNUMBER($R902),1,0)</f>
        <v>0</v>
      </c>
      <c r="BD902" s="55" t="str">
        <f>IF(ISNUMBER($U902),$U902*$V902,"")</f>
        <v/>
      </c>
      <c r="BE902" s="56" t="str">
        <f>IF($AM902=0,"",IFERROR(MATCH($AF902&amp;"|"&amp;UPPER(TRIM($E902)),Lists!$A$6:$A$205,0),0))</f>
        <v/>
      </c>
      <c r="BF902" s="56" t="str">
        <f>IF($AM902=0,"",IFERROR(MATCH($AF902,Settings!$B$14:$B$18,0),IFERROR(MATCH(Settings!$C$6,Settings!$B$14:$B$18,0),1)))</f>
        <v/>
      </c>
      <c r="BG902" s="58" t="str">
        <f>IF($AM902=0,"",IF(NOT(ISNUMBER($I902)),"No stop; ","")&amp;IF(AND(ISNUMBER($H902),ISNUMBER($I902)),IF(OR(AND($F902&lt;&gt;"Short",$I902&gt;=$H902),AND($F902="Short",$I902&lt;=$H902)),"Stop on wrong side; ",""),"")&amp;IF($F902="","No direction; ","")&amp;IF(AND(ISNUMBER(Settings!$C$22),ISNUMBER($V902)),IF($V902&gt;Settings!$C$22,"Risk over max $; ",""),"")&amp;IF(AND(ISNUMBER(Settings!$C$23),ISNUMBER($V902),ISNUMBER($AP902),IFERROR(N(INDEX(Accounts!$E$7:$E$16,MATCH($C902,Accounts!$B$7:$B$16,0))),0)&gt;0),IF($V902&gt;Settings!$C$23*($AP902-N($Q902)),"Risk over max %; ",""),"")&amp;IF(AND(ISNUMBER(Settings!$C$24),ISNUMBER($N902)),IF($N902&gt;Settings!$C$24,"Leverage over max; ",""),"")&amp;IF(AND(ISNUMBER(Settings!$C$27),ISNUMBER($T902)),IF($T902&lt;Settings!$C$27,"R:R below min; ",""),"")&amp;IF(ISNUMBER(Settings!$C$25),IF(COUNTIFS($A$6:$A902,$A902,$AM$6:$AM902,1)&gt;Settings!$C$25,"Over max trades/day; ",""),"")&amp;IF(ISNUMBER(Settings!$C$26),IF(SUMIFS($Q$5:$Q901,$A$5:$A901,$A902)&lt;=-Settings!$C$26,"Traded after daily max loss; ",""),"")&amp;IF(AND($AG902="",NOT(ISNUMBER($O902))),"Symbol not in Instruments; ","")&amp;IF(AND($AH902="",NOT(ISNUMBER($O902))),"Forex cross: type Gross P&amp;L; ",""))</f>
        <v/>
      </c>
      <c r="BH902" s="56">
        <f>IF(ISNUMBER($Q902),1,0)</f>
        <v>0</v>
      </c>
      <c r="BI902" s="56">
        <f>IF($Y902="",0,1)</f>
        <v>0</v>
      </c>
      <c r="BJ902" s="56">
        <f>IF($AB902="",0,1)</f>
        <v>0</v>
      </c>
      <c r="BK902" s="56">
        <f>IF(AND($BH902=1,$W902&lt;&gt;"OK"),1,0)</f>
        <v>0</v>
      </c>
      <c r="BL902" s="55">
        <f>IF(N($AZ902)=0,0,IFERROR(INDEX($AT$6:$AT$1005,MATCH($AZ902,$AY$6:$AY$1005,0)),0))</f>
        <v>1187.10688</v>
      </c>
      <c r="BM902" s="56">
        <f>IF(ISNUMBER(SEARCH("daily max loss",$BG902)),1,0)</f>
        <v>0</v>
      </c>
    </row>
    <row r="903" ht="18" customHeight="1">
      <c r="A903" s="38" t="n"/>
      <c r="B903" s="39" t="n"/>
      <c r="C903" s="40" t="n"/>
      <c r="D903" s="41" t="n"/>
      <c r="E903" s="41" t="n"/>
      <c r="F903" s="41" t="n"/>
      <c r="G903" s="41" t="n"/>
      <c r="H903" s="42" t="n"/>
      <c r="I903" s="42" t="n"/>
      <c r="J903" s="42" t="n"/>
      <c r="K903" s="42" t="n"/>
      <c r="L903" s="41" t="n"/>
      <c r="M903" s="41" t="n"/>
      <c r="N903" s="41" t="n"/>
      <c r="O903" s="43" t="n"/>
      <c r="P903" s="43" t="n"/>
      <c r="Q903" s="44" t="str">
        <f>IF($AM903=0,"",IF(ISNUMBER($AK903),$AK903-N($AL903),""))</f>
        <v/>
      </c>
      <c r="R903" s="45" t="str">
        <f>IF(OR($Q903="",NOT(ISNUMBER($V903))),"",$AK903/$V903)</f>
        <v/>
      </c>
      <c r="S903" s="46" t="str">
        <f>IF($Q903="","",IF(AND(ISNUMBER($R903),ABS(N($R903))&lt;N(Settings!$C$8)),"Scratch",IF($Q903&gt;0,"Win",IF($Q903&lt;0,"Loss","Scratch"))))</f>
        <v/>
      </c>
      <c r="T903" s="47" t="str">
        <f>IF(OR($AM903=0,NOT(ISNUMBER($H903)),NOT(ISNUMBER($I903)),NOT(ISNUMBER($J903))),"",IF($H903=$I903,"",ROUND(ABS($J903-$H903)/ABS($H903-$I903),6)))</f>
        <v/>
      </c>
      <c r="U903" s="48" t="str">
        <f>IF(OR($S903&lt;&gt;"Win",NOT(ISNUMBER($T903)),NOT(ISNUMBER($R903))),"",MAX(0,$T903-$R903))</f>
        <v/>
      </c>
      <c r="V903" s="49" t="str">
        <f>IF(OR($AM903=0,NOT(ISNUMBER($H903)),NOT(ISNUMBER($I903)),NOT(ISNUMBER($G903))),"",IF(OR($AG903="",$AH903=""),"",IF(ROUND(ABS($H903-$I903)*ABS($G903)*$AG903*$AH903,6)=0,"",ROUND(ABS($H903-$I903)*ABS($G903)*$AG903*$AH903,6))))</f>
        <v/>
      </c>
      <c r="W903" s="50" t="str">
        <f>IF($AM903=0,"",IF($BG903="","OK",LEFT($BG903,LEN($BG903)-2)))</f>
        <v/>
      </c>
      <c r="X903" s="41" t="n"/>
      <c r="Y903" s="40" t="n"/>
      <c r="Z903" s="41" t="n"/>
      <c r="AA903" s="41" t="n"/>
      <c r="AB903" s="40" t="n"/>
      <c r="AC903" s="51" t="n"/>
      <c r="AD903" s="51" t="n"/>
      <c r="AE903" s="40" t="n"/>
      <c r="AF903" s="52" t="str">
        <f>IF($AM903=0,"",IF($D903&lt;&gt;"",$D903,IF(IFERROR(INDEX(Accounts!$C$7:$C$16,MATCH($C903,Accounts!$B$7:$B$16,0))&amp;"","")&lt;&gt;"",INDEX(Accounts!$C$7:$C$16,MATCH($C903,Accounts!$B$7:$B$16,0)),Settings!$C$6)))</f>
        <v/>
      </c>
      <c r="AG903" s="53" t="str">
        <f>IF($AM903=0,"",IF(AND($BE903&gt;0,N(INDEX(Instruments!$D$6:$D$205,MAX(1,$BE903)))&gt;0),INDEX(Instruments!$D$6:$D$205,MAX(1,$BE903)),IF(N(INDEX(Settings!$D$14:$D$18,$BF903))&gt;0,INDEX(Settings!$D$14:$D$18,$BF903),"")))</f>
        <v/>
      </c>
      <c r="AH903" s="54" t="str">
        <f>IF($AM903=0,"",IF($AF903&lt;&gt;"Forex",1,IF(MID(UPPER(SUBSTITUTE(TRIM($E903),"/","")),4,3)=UPPER(TRIM(Settings!$C$7)),1,IF(LEFT(UPPER(SUBSTITUTE(TRIM($E903),"/","")),3)=UPPER(TRIM(Settings!$C$7)),IF(AND(ISNUMBER($K903),N($K903)&lt;&gt;0),1/$K903,""),""))))</f>
        <v/>
      </c>
      <c r="AI903" s="55" t="str">
        <f>IF($AM903=0,"",IF(OR(NOT(ISNUMBER($H903)),NOT(ISNUMBER($K903)),NOT(ISNUMBER($G903)),$AG903="",$AH903=""),"",ROUND(($K903-$H903)*IF($F903="Short",-1,1)*$G903*$AG903*$AH903,6)))</f>
        <v/>
      </c>
      <c r="AJ903" s="55" t="str">
        <f>IF($AM903=0,"",IF(INDEX(Settings!$E$14:$E$18,$BF903)="% of notional",IF(OR($AG903="",NOT(ISNUMBER($H903)),NOT(ISNUMBER($G903))),"",ROUND(ABS($H903*$G903*$AG903*N($AH903))*IF($L903="Limit",N(INDEX(Settings!$G$14:$G$18,$BF903)),N(INDEX(Settings!$H$14:$H$18,$BF903)))+IF(ISNUMBER($K903),ABS($K903*$G903*$AG903*N($AH903))*IF($M903="Target",N(INDEX(Settings!$G$14:$G$18,$BF903)),N(INDEX(Settings!$H$14:$H$18,$BF903))),0),6)),IF(NOT(ISNUMBER($G903)),"",ROUND(ABS($G903)*2*IF(AND($BE903&gt;0,ISNUMBER(INDEX(Instruments!$G$6:$G$205,MAX(1,$BE903)))),INDEX(Instruments!$G$6:$G$205,MAX(1,$BE903)),N(INDEX(Settings!$F$14:$F$18,$BF903))),6))))</f>
        <v/>
      </c>
      <c r="AK903" s="55" t="str">
        <f>IF($AM903=0,"",IF(ISNUMBER($O903),$O903,$AI903))</f>
        <v/>
      </c>
      <c r="AL903" s="55" t="str">
        <f>IF($AM903=0,"",IF(ISNUMBER($P903),$P903,N($AJ903)))</f>
        <v/>
      </c>
      <c r="AM903" s="56">
        <f>IF(AND($A903&lt;&gt;"",$E903&lt;&gt;"",OR(AND(ISNUMBER($G903),ISNUMBER($H903),ISNUMBER($K903)),ISNUMBER($O903))),1,0)</f>
        <v>0</v>
      </c>
      <c r="AN903" s="57" t="str">
        <f>IF($A903="","",$A903-WEEKDAY($A903,3))</f>
        <v/>
      </c>
      <c r="AO903" s="56" t="str">
        <f>IF($A903="","",WEEKDAY($A903,2))</f>
        <v/>
      </c>
      <c r="AP903" s="55" t="str">
        <f>IF(OR($AM903=0,$C903=""),"",IFERROR(N(INDEX(Accounts!$E$7:$E$16,MATCH($C903,Accounts!$B$7:$B$16,0))),0)+SUMIFS($Q$6:$Q903,$C$6:$C903,$C903))</f>
        <v/>
      </c>
      <c r="AQ903" s="55" t="str">
        <f>IF(OR($AM903=0,$C903=""),"",SUMIFS($Q$6:$Q$1005,$C$6:$C$1005,$C903,$A$6:$A$1005,$A903))</f>
        <v/>
      </c>
      <c r="AR903" s="55" t="str">
        <f>IF(OR($AM903=0,$C903=""),"",IFERROR(N(INDEX(Accounts!$E$7:$E$16,MATCH($C903,Accounts!$B$7:$B$16,0))),0)+SUMIFS($Q$6:$Q$1005,$C$6:$C$1005,$C903,$A$6:$A$1005,"&lt;="&amp;$A903))</f>
        <v/>
      </c>
      <c r="AS903" s="56">
        <f>IF(OR($AM903=0,$Q903=""),0,IF(AND($A903&gt;=Lists!$W$6,$A903&lt;=Lists!$W$7,OR(Dashboard!$D$6="All accounts",$C903=Dashboard!$D$6),OR(Dashboard!$D$7="All markets",$AF903=Dashboard!$D$7)),1,0))</f>
        <v>0</v>
      </c>
      <c r="AT903" s="55">
        <f>IF($AS903=1,N(AT902)+$Q903,N(AT902))</f>
        <v>1187.10688</v>
      </c>
      <c r="AU903" s="55">
        <f>MAX(N(AU902),$AT903)</f>
        <v>1187.10688</v>
      </c>
      <c r="AV903" s="55">
        <f>$AT903-$AU903</f>
        <v>0</v>
      </c>
      <c r="AW903" s="56">
        <f>IF($AS903=1,IF($S903="Win",N(AW902)+1,IF($S903="Loss",0,N(AW902))),N(AW902))</f>
        <v>5</v>
      </c>
      <c r="AX903" s="56">
        <f>IF($AS903=1,IF($S903="Loss",N(AX902)+1,IF($S903="Win",0,N(AX902))),N(AX902))</f>
        <v>0</v>
      </c>
      <c r="AY903" s="56" t="str">
        <f>IF($AS903=1,COUNTIF($AS$6:$AS903,1),"")</f>
        <v/>
      </c>
      <c r="AZ903" s="56">
        <f>MIN(897,N(Lists!$W$8))</f>
        <v>28</v>
      </c>
      <c r="BA903" s="56">
        <f>IF($AS903=1,IF(COUNTIFS($A$6:$A903,$A903,$AS$6:$AS903,1)=1,1,0),0)</f>
        <v>0</v>
      </c>
      <c r="BB903" s="55" t="str">
        <f>IF($BA903=1,SUMIFS($Q$6:$Q$1005,$A$6:$A$1005,$A903,$AS$6:$AS$1005,1),"")</f>
        <v/>
      </c>
      <c r="BC903" s="56">
        <f>IF(ISNUMBER($R903),1,0)</f>
        <v>0</v>
      </c>
      <c r="BD903" s="55" t="str">
        <f>IF(ISNUMBER($U903),$U903*$V903,"")</f>
        <v/>
      </c>
      <c r="BE903" s="56" t="str">
        <f>IF($AM903=0,"",IFERROR(MATCH($AF903&amp;"|"&amp;UPPER(TRIM($E903)),Lists!$A$6:$A$205,0),0))</f>
        <v/>
      </c>
      <c r="BF903" s="56" t="str">
        <f>IF($AM903=0,"",IFERROR(MATCH($AF903,Settings!$B$14:$B$18,0),IFERROR(MATCH(Settings!$C$6,Settings!$B$14:$B$18,0),1)))</f>
        <v/>
      </c>
      <c r="BG903" s="58" t="str">
        <f>IF($AM903=0,"",IF(NOT(ISNUMBER($I903)),"No stop; ","")&amp;IF(AND(ISNUMBER($H903),ISNUMBER($I903)),IF(OR(AND($F903&lt;&gt;"Short",$I903&gt;=$H903),AND($F903="Short",$I903&lt;=$H903)),"Stop on wrong side; ",""),"")&amp;IF($F903="","No direction; ","")&amp;IF(AND(ISNUMBER(Settings!$C$22),ISNUMBER($V903)),IF($V903&gt;Settings!$C$22,"Risk over max $; ",""),"")&amp;IF(AND(ISNUMBER(Settings!$C$23),ISNUMBER($V903),ISNUMBER($AP903),IFERROR(N(INDEX(Accounts!$E$7:$E$16,MATCH($C903,Accounts!$B$7:$B$16,0))),0)&gt;0),IF($V903&gt;Settings!$C$23*($AP903-N($Q903)),"Risk over max %; ",""),"")&amp;IF(AND(ISNUMBER(Settings!$C$24),ISNUMBER($N903)),IF($N903&gt;Settings!$C$24,"Leverage over max; ",""),"")&amp;IF(AND(ISNUMBER(Settings!$C$27),ISNUMBER($T903)),IF($T903&lt;Settings!$C$27,"R:R below min; ",""),"")&amp;IF(ISNUMBER(Settings!$C$25),IF(COUNTIFS($A$6:$A903,$A903,$AM$6:$AM903,1)&gt;Settings!$C$25,"Over max trades/day; ",""),"")&amp;IF(ISNUMBER(Settings!$C$26),IF(SUMIFS($Q$5:$Q902,$A$5:$A902,$A903)&lt;=-Settings!$C$26,"Traded after daily max loss; ",""),"")&amp;IF(AND($AG903="",NOT(ISNUMBER($O903))),"Symbol not in Instruments; ","")&amp;IF(AND($AH903="",NOT(ISNUMBER($O903))),"Forex cross: type Gross P&amp;L; ",""))</f>
        <v/>
      </c>
      <c r="BH903" s="56">
        <f>IF(ISNUMBER($Q903),1,0)</f>
        <v>0</v>
      </c>
      <c r="BI903" s="56">
        <f>IF($Y903="",0,1)</f>
        <v>0</v>
      </c>
      <c r="BJ903" s="56">
        <f>IF($AB903="",0,1)</f>
        <v>0</v>
      </c>
      <c r="BK903" s="56">
        <f>IF(AND($BH903=1,$W903&lt;&gt;"OK"),1,0)</f>
        <v>0</v>
      </c>
      <c r="BL903" s="55">
        <f>IF(N($AZ903)=0,0,IFERROR(INDEX($AT$6:$AT$1005,MATCH($AZ903,$AY$6:$AY$1005,0)),0))</f>
        <v>1187.10688</v>
      </c>
      <c r="BM903" s="56">
        <f>IF(ISNUMBER(SEARCH("daily max loss",$BG903)),1,0)</f>
        <v>0</v>
      </c>
    </row>
    <row r="904" ht="18" customHeight="1">
      <c r="A904" s="38" t="n"/>
      <c r="B904" s="39" t="n"/>
      <c r="C904" s="40" t="n"/>
      <c r="D904" s="41" t="n"/>
      <c r="E904" s="41" t="n"/>
      <c r="F904" s="41" t="n"/>
      <c r="G904" s="41" t="n"/>
      <c r="H904" s="42" t="n"/>
      <c r="I904" s="42" t="n"/>
      <c r="J904" s="42" t="n"/>
      <c r="K904" s="42" t="n"/>
      <c r="L904" s="41" t="n"/>
      <c r="M904" s="41" t="n"/>
      <c r="N904" s="41" t="n"/>
      <c r="O904" s="43" t="n"/>
      <c r="P904" s="43" t="n"/>
      <c r="Q904" s="44" t="str">
        <f>IF($AM904=0,"",IF(ISNUMBER($AK904),$AK904-N($AL904),""))</f>
        <v/>
      </c>
      <c r="R904" s="45" t="str">
        <f>IF(OR($Q904="",NOT(ISNUMBER($V904))),"",$AK904/$V904)</f>
        <v/>
      </c>
      <c r="S904" s="46" t="str">
        <f>IF($Q904="","",IF(AND(ISNUMBER($R904),ABS(N($R904))&lt;N(Settings!$C$8)),"Scratch",IF($Q904&gt;0,"Win",IF($Q904&lt;0,"Loss","Scratch"))))</f>
        <v/>
      </c>
      <c r="T904" s="47" t="str">
        <f>IF(OR($AM904=0,NOT(ISNUMBER($H904)),NOT(ISNUMBER($I904)),NOT(ISNUMBER($J904))),"",IF($H904=$I904,"",ROUND(ABS($J904-$H904)/ABS($H904-$I904),6)))</f>
        <v/>
      </c>
      <c r="U904" s="48" t="str">
        <f>IF(OR($S904&lt;&gt;"Win",NOT(ISNUMBER($T904)),NOT(ISNUMBER($R904))),"",MAX(0,$T904-$R904))</f>
        <v/>
      </c>
      <c r="V904" s="49" t="str">
        <f>IF(OR($AM904=0,NOT(ISNUMBER($H904)),NOT(ISNUMBER($I904)),NOT(ISNUMBER($G904))),"",IF(OR($AG904="",$AH904=""),"",IF(ROUND(ABS($H904-$I904)*ABS($G904)*$AG904*$AH904,6)=0,"",ROUND(ABS($H904-$I904)*ABS($G904)*$AG904*$AH904,6))))</f>
        <v/>
      </c>
      <c r="W904" s="50" t="str">
        <f>IF($AM904=0,"",IF($BG904="","OK",LEFT($BG904,LEN($BG904)-2)))</f>
        <v/>
      </c>
      <c r="X904" s="41" t="n"/>
      <c r="Y904" s="40" t="n"/>
      <c r="Z904" s="41" t="n"/>
      <c r="AA904" s="41" t="n"/>
      <c r="AB904" s="40" t="n"/>
      <c r="AC904" s="51" t="n"/>
      <c r="AD904" s="51" t="n"/>
      <c r="AE904" s="40" t="n"/>
      <c r="AF904" s="52" t="str">
        <f>IF($AM904=0,"",IF($D904&lt;&gt;"",$D904,IF(IFERROR(INDEX(Accounts!$C$7:$C$16,MATCH($C904,Accounts!$B$7:$B$16,0))&amp;"","")&lt;&gt;"",INDEX(Accounts!$C$7:$C$16,MATCH($C904,Accounts!$B$7:$B$16,0)),Settings!$C$6)))</f>
        <v/>
      </c>
      <c r="AG904" s="53" t="str">
        <f>IF($AM904=0,"",IF(AND($BE904&gt;0,N(INDEX(Instruments!$D$6:$D$205,MAX(1,$BE904)))&gt;0),INDEX(Instruments!$D$6:$D$205,MAX(1,$BE904)),IF(N(INDEX(Settings!$D$14:$D$18,$BF904))&gt;0,INDEX(Settings!$D$14:$D$18,$BF904),"")))</f>
        <v/>
      </c>
      <c r="AH904" s="54" t="str">
        <f>IF($AM904=0,"",IF($AF904&lt;&gt;"Forex",1,IF(MID(UPPER(SUBSTITUTE(TRIM($E904),"/","")),4,3)=UPPER(TRIM(Settings!$C$7)),1,IF(LEFT(UPPER(SUBSTITUTE(TRIM($E904),"/","")),3)=UPPER(TRIM(Settings!$C$7)),IF(AND(ISNUMBER($K904),N($K904)&lt;&gt;0),1/$K904,""),""))))</f>
        <v/>
      </c>
      <c r="AI904" s="55" t="str">
        <f>IF($AM904=0,"",IF(OR(NOT(ISNUMBER($H904)),NOT(ISNUMBER($K904)),NOT(ISNUMBER($G904)),$AG904="",$AH904=""),"",ROUND(($K904-$H904)*IF($F904="Short",-1,1)*$G904*$AG904*$AH904,6)))</f>
        <v/>
      </c>
      <c r="AJ904" s="55" t="str">
        <f>IF($AM904=0,"",IF(INDEX(Settings!$E$14:$E$18,$BF904)="% of notional",IF(OR($AG904="",NOT(ISNUMBER($H904)),NOT(ISNUMBER($G904))),"",ROUND(ABS($H904*$G904*$AG904*N($AH904))*IF($L904="Limit",N(INDEX(Settings!$G$14:$G$18,$BF904)),N(INDEX(Settings!$H$14:$H$18,$BF904)))+IF(ISNUMBER($K904),ABS($K904*$G904*$AG904*N($AH904))*IF($M904="Target",N(INDEX(Settings!$G$14:$G$18,$BF904)),N(INDEX(Settings!$H$14:$H$18,$BF904))),0),6)),IF(NOT(ISNUMBER($G904)),"",ROUND(ABS($G904)*2*IF(AND($BE904&gt;0,ISNUMBER(INDEX(Instruments!$G$6:$G$205,MAX(1,$BE904)))),INDEX(Instruments!$G$6:$G$205,MAX(1,$BE904)),N(INDEX(Settings!$F$14:$F$18,$BF904))),6))))</f>
        <v/>
      </c>
      <c r="AK904" s="55" t="str">
        <f>IF($AM904=0,"",IF(ISNUMBER($O904),$O904,$AI904))</f>
        <v/>
      </c>
      <c r="AL904" s="55" t="str">
        <f>IF($AM904=0,"",IF(ISNUMBER($P904),$P904,N($AJ904)))</f>
        <v/>
      </c>
      <c r="AM904" s="56">
        <f>IF(AND($A904&lt;&gt;"",$E904&lt;&gt;"",OR(AND(ISNUMBER($G904),ISNUMBER($H904),ISNUMBER($K904)),ISNUMBER($O904))),1,0)</f>
        <v>0</v>
      </c>
      <c r="AN904" s="57" t="str">
        <f>IF($A904="","",$A904-WEEKDAY($A904,3))</f>
        <v/>
      </c>
      <c r="AO904" s="56" t="str">
        <f>IF($A904="","",WEEKDAY($A904,2))</f>
        <v/>
      </c>
      <c r="AP904" s="55" t="str">
        <f>IF(OR($AM904=0,$C904=""),"",IFERROR(N(INDEX(Accounts!$E$7:$E$16,MATCH($C904,Accounts!$B$7:$B$16,0))),0)+SUMIFS($Q$6:$Q904,$C$6:$C904,$C904))</f>
        <v/>
      </c>
      <c r="AQ904" s="55" t="str">
        <f>IF(OR($AM904=0,$C904=""),"",SUMIFS($Q$6:$Q$1005,$C$6:$C$1005,$C904,$A$6:$A$1005,$A904))</f>
        <v/>
      </c>
      <c r="AR904" s="55" t="str">
        <f>IF(OR($AM904=0,$C904=""),"",IFERROR(N(INDEX(Accounts!$E$7:$E$16,MATCH($C904,Accounts!$B$7:$B$16,0))),0)+SUMIFS($Q$6:$Q$1005,$C$6:$C$1005,$C904,$A$6:$A$1005,"&lt;="&amp;$A904))</f>
        <v/>
      </c>
      <c r="AS904" s="56">
        <f>IF(OR($AM904=0,$Q904=""),0,IF(AND($A904&gt;=Lists!$W$6,$A904&lt;=Lists!$W$7,OR(Dashboard!$D$6="All accounts",$C904=Dashboard!$D$6),OR(Dashboard!$D$7="All markets",$AF904=Dashboard!$D$7)),1,0))</f>
        <v>0</v>
      </c>
      <c r="AT904" s="55">
        <f>IF($AS904=1,N(AT903)+$Q904,N(AT903))</f>
        <v>1187.10688</v>
      </c>
      <c r="AU904" s="55">
        <f>MAX(N(AU903),$AT904)</f>
        <v>1187.10688</v>
      </c>
      <c r="AV904" s="55">
        <f>$AT904-$AU904</f>
        <v>0</v>
      </c>
      <c r="AW904" s="56">
        <f>IF($AS904=1,IF($S904="Win",N(AW903)+1,IF($S904="Loss",0,N(AW903))),N(AW903))</f>
        <v>5</v>
      </c>
      <c r="AX904" s="56">
        <f>IF($AS904=1,IF($S904="Loss",N(AX903)+1,IF($S904="Win",0,N(AX903))),N(AX903))</f>
        <v>0</v>
      </c>
      <c r="AY904" s="56" t="str">
        <f>IF($AS904=1,COUNTIF($AS$6:$AS904,1),"")</f>
        <v/>
      </c>
      <c r="AZ904" s="56">
        <f>MIN(898,N(Lists!$W$8))</f>
        <v>28</v>
      </c>
      <c r="BA904" s="56">
        <f>IF($AS904=1,IF(COUNTIFS($A$6:$A904,$A904,$AS$6:$AS904,1)=1,1,0),0)</f>
        <v>0</v>
      </c>
      <c r="BB904" s="55" t="str">
        <f>IF($BA904=1,SUMIFS($Q$6:$Q$1005,$A$6:$A$1005,$A904,$AS$6:$AS$1005,1),"")</f>
        <v/>
      </c>
      <c r="BC904" s="56">
        <f>IF(ISNUMBER($R904),1,0)</f>
        <v>0</v>
      </c>
      <c r="BD904" s="55" t="str">
        <f>IF(ISNUMBER($U904),$U904*$V904,"")</f>
        <v/>
      </c>
      <c r="BE904" s="56" t="str">
        <f>IF($AM904=0,"",IFERROR(MATCH($AF904&amp;"|"&amp;UPPER(TRIM($E904)),Lists!$A$6:$A$205,0),0))</f>
        <v/>
      </c>
      <c r="BF904" s="56" t="str">
        <f>IF($AM904=0,"",IFERROR(MATCH($AF904,Settings!$B$14:$B$18,0),IFERROR(MATCH(Settings!$C$6,Settings!$B$14:$B$18,0),1)))</f>
        <v/>
      </c>
      <c r="BG904" s="58" t="str">
        <f>IF($AM904=0,"",IF(NOT(ISNUMBER($I904)),"No stop; ","")&amp;IF(AND(ISNUMBER($H904),ISNUMBER($I904)),IF(OR(AND($F904&lt;&gt;"Short",$I904&gt;=$H904),AND($F904="Short",$I904&lt;=$H904)),"Stop on wrong side; ",""),"")&amp;IF($F904="","No direction; ","")&amp;IF(AND(ISNUMBER(Settings!$C$22),ISNUMBER($V904)),IF($V904&gt;Settings!$C$22,"Risk over max $; ",""),"")&amp;IF(AND(ISNUMBER(Settings!$C$23),ISNUMBER($V904),ISNUMBER($AP904),IFERROR(N(INDEX(Accounts!$E$7:$E$16,MATCH($C904,Accounts!$B$7:$B$16,0))),0)&gt;0),IF($V904&gt;Settings!$C$23*($AP904-N($Q904)),"Risk over max %; ",""),"")&amp;IF(AND(ISNUMBER(Settings!$C$24),ISNUMBER($N904)),IF($N904&gt;Settings!$C$24,"Leverage over max; ",""),"")&amp;IF(AND(ISNUMBER(Settings!$C$27),ISNUMBER($T904)),IF($T904&lt;Settings!$C$27,"R:R below min; ",""),"")&amp;IF(ISNUMBER(Settings!$C$25),IF(COUNTIFS($A$6:$A904,$A904,$AM$6:$AM904,1)&gt;Settings!$C$25,"Over max trades/day; ",""),"")&amp;IF(ISNUMBER(Settings!$C$26),IF(SUMIFS($Q$5:$Q903,$A$5:$A903,$A904)&lt;=-Settings!$C$26,"Traded after daily max loss; ",""),"")&amp;IF(AND($AG904="",NOT(ISNUMBER($O904))),"Symbol not in Instruments; ","")&amp;IF(AND($AH904="",NOT(ISNUMBER($O904))),"Forex cross: type Gross P&amp;L; ",""))</f>
        <v/>
      </c>
      <c r="BH904" s="56">
        <f>IF(ISNUMBER($Q904),1,0)</f>
        <v>0</v>
      </c>
      <c r="BI904" s="56">
        <f>IF($Y904="",0,1)</f>
        <v>0</v>
      </c>
      <c r="BJ904" s="56">
        <f>IF($AB904="",0,1)</f>
        <v>0</v>
      </c>
      <c r="BK904" s="56">
        <f>IF(AND($BH904=1,$W904&lt;&gt;"OK"),1,0)</f>
        <v>0</v>
      </c>
      <c r="BL904" s="55">
        <f>IF(N($AZ904)=0,0,IFERROR(INDEX($AT$6:$AT$1005,MATCH($AZ904,$AY$6:$AY$1005,0)),0))</f>
        <v>1187.10688</v>
      </c>
      <c r="BM904" s="56">
        <f>IF(ISNUMBER(SEARCH("daily max loss",$BG904)),1,0)</f>
        <v>0</v>
      </c>
    </row>
    <row r="905" ht="18" customHeight="1">
      <c r="A905" s="38" t="n"/>
      <c r="B905" s="39" t="n"/>
      <c r="C905" s="40" t="n"/>
      <c r="D905" s="41" t="n"/>
      <c r="E905" s="41" t="n"/>
      <c r="F905" s="41" t="n"/>
      <c r="G905" s="41" t="n"/>
      <c r="H905" s="42" t="n"/>
      <c r="I905" s="42" t="n"/>
      <c r="J905" s="42" t="n"/>
      <c r="K905" s="42" t="n"/>
      <c r="L905" s="41" t="n"/>
      <c r="M905" s="41" t="n"/>
      <c r="N905" s="41" t="n"/>
      <c r="O905" s="43" t="n"/>
      <c r="P905" s="43" t="n"/>
      <c r="Q905" s="44" t="str">
        <f>IF($AM905=0,"",IF(ISNUMBER($AK905),$AK905-N($AL905),""))</f>
        <v/>
      </c>
      <c r="R905" s="45" t="str">
        <f>IF(OR($Q905="",NOT(ISNUMBER($V905))),"",$AK905/$V905)</f>
        <v/>
      </c>
      <c r="S905" s="46" t="str">
        <f>IF($Q905="","",IF(AND(ISNUMBER($R905),ABS(N($R905))&lt;N(Settings!$C$8)),"Scratch",IF($Q905&gt;0,"Win",IF($Q905&lt;0,"Loss","Scratch"))))</f>
        <v/>
      </c>
      <c r="T905" s="47" t="str">
        <f>IF(OR($AM905=0,NOT(ISNUMBER($H905)),NOT(ISNUMBER($I905)),NOT(ISNUMBER($J905))),"",IF($H905=$I905,"",ROUND(ABS($J905-$H905)/ABS($H905-$I905),6)))</f>
        <v/>
      </c>
      <c r="U905" s="48" t="str">
        <f>IF(OR($S905&lt;&gt;"Win",NOT(ISNUMBER($T905)),NOT(ISNUMBER($R905))),"",MAX(0,$T905-$R905))</f>
        <v/>
      </c>
      <c r="V905" s="49" t="str">
        <f>IF(OR($AM905=0,NOT(ISNUMBER($H905)),NOT(ISNUMBER($I905)),NOT(ISNUMBER($G905))),"",IF(OR($AG905="",$AH905=""),"",IF(ROUND(ABS($H905-$I905)*ABS($G905)*$AG905*$AH905,6)=0,"",ROUND(ABS($H905-$I905)*ABS($G905)*$AG905*$AH905,6))))</f>
        <v/>
      </c>
      <c r="W905" s="50" t="str">
        <f>IF($AM905=0,"",IF($BG905="","OK",LEFT($BG905,LEN($BG905)-2)))</f>
        <v/>
      </c>
      <c r="X905" s="41" t="n"/>
      <c r="Y905" s="40" t="n"/>
      <c r="Z905" s="41" t="n"/>
      <c r="AA905" s="41" t="n"/>
      <c r="AB905" s="40" t="n"/>
      <c r="AC905" s="51" t="n"/>
      <c r="AD905" s="51" t="n"/>
      <c r="AE905" s="40" t="n"/>
      <c r="AF905" s="52" t="str">
        <f>IF($AM905=0,"",IF($D905&lt;&gt;"",$D905,IF(IFERROR(INDEX(Accounts!$C$7:$C$16,MATCH($C905,Accounts!$B$7:$B$16,0))&amp;"","")&lt;&gt;"",INDEX(Accounts!$C$7:$C$16,MATCH($C905,Accounts!$B$7:$B$16,0)),Settings!$C$6)))</f>
        <v/>
      </c>
      <c r="AG905" s="53" t="str">
        <f>IF($AM905=0,"",IF(AND($BE905&gt;0,N(INDEX(Instruments!$D$6:$D$205,MAX(1,$BE905)))&gt;0),INDEX(Instruments!$D$6:$D$205,MAX(1,$BE905)),IF(N(INDEX(Settings!$D$14:$D$18,$BF905))&gt;0,INDEX(Settings!$D$14:$D$18,$BF905),"")))</f>
        <v/>
      </c>
      <c r="AH905" s="54" t="str">
        <f>IF($AM905=0,"",IF($AF905&lt;&gt;"Forex",1,IF(MID(UPPER(SUBSTITUTE(TRIM($E905),"/","")),4,3)=UPPER(TRIM(Settings!$C$7)),1,IF(LEFT(UPPER(SUBSTITUTE(TRIM($E905),"/","")),3)=UPPER(TRIM(Settings!$C$7)),IF(AND(ISNUMBER($K905),N($K905)&lt;&gt;0),1/$K905,""),""))))</f>
        <v/>
      </c>
      <c r="AI905" s="55" t="str">
        <f>IF($AM905=0,"",IF(OR(NOT(ISNUMBER($H905)),NOT(ISNUMBER($K905)),NOT(ISNUMBER($G905)),$AG905="",$AH905=""),"",ROUND(($K905-$H905)*IF($F905="Short",-1,1)*$G905*$AG905*$AH905,6)))</f>
        <v/>
      </c>
      <c r="AJ905" s="55" t="str">
        <f>IF($AM905=0,"",IF(INDEX(Settings!$E$14:$E$18,$BF905)="% of notional",IF(OR($AG905="",NOT(ISNUMBER($H905)),NOT(ISNUMBER($G905))),"",ROUND(ABS($H905*$G905*$AG905*N($AH905))*IF($L905="Limit",N(INDEX(Settings!$G$14:$G$18,$BF905)),N(INDEX(Settings!$H$14:$H$18,$BF905)))+IF(ISNUMBER($K905),ABS($K905*$G905*$AG905*N($AH905))*IF($M905="Target",N(INDEX(Settings!$G$14:$G$18,$BF905)),N(INDEX(Settings!$H$14:$H$18,$BF905))),0),6)),IF(NOT(ISNUMBER($G905)),"",ROUND(ABS($G905)*2*IF(AND($BE905&gt;0,ISNUMBER(INDEX(Instruments!$G$6:$G$205,MAX(1,$BE905)))),INDEX(Instruments!$G$6:$G$205,MAX(1,$BE905)),N(INDEX(Settings!$F$14:$F$18,$BF905))),6))))</f>
        <v/>
      </c>
      <c r="AK905" s="55" t="str">
        <f>IF($AM905=0,"",IF(ISNUMBER($O905),$O905,$AI905))</f>
        <v/>
      </c>
      <c r="AL905" s="55" t="str">
        <f>IF($AM905=0,"",IF(ISNUMBER($P905),$P905,N($AJ905)))</f>
        <v/>
      </c>
      <c r="AM905" s="56">
        <f>IF(AND($A905&lt;&gt;"",$E905&lt;&gt;"",OR(AND(ISNUMBER($G905),ISNUMBER($H905),ISNUMBER($K905)),ISNUMBER($O905))),1,0)</f>
        <v>0</v>
      </c>
      <c r="AN905" s="57" t="str">
        <f>IF($A905="","",$A905-WEEKDAY($A905,3))</f>
        <v/>
      </c>
      <c r="AO905" s="56" t="str">
        <f>IF($A905="","",WEEKDAY($A905,2))</f>
        <v/>
      </c>
      <c r="AP905" s="55" t="str">
        <f>IF(OR($AM905=0,$C905=""),"",IFERROR(N(INDEX(Accounts!$E$7:$E$16,MATCH($C905,Accounts!$B$7:$B$16,0))),0)+SUMIFS($Q$6:$Q905,$C$6:$C905,$C905))</f>
        <v/>
      </c>
      <c r="AQ905" s="55" t="str">
        <f>IF(OR($AM905=0,$C905=""),"",SUMIFS($Q$6:$Q$1005,$C$6:$C$1005,$C905,$A$6:$A$1005,$A905))</f>
        <v/>
      </c>
      <c r="AR905" s="55" t="str">
        <f>IF(OR($AM905=0,$C905=""),"",IFERROR(N(INDEX(Accounts!$E$7:$E$16,MATCH($C905,Accounts!$B$7:$B$16,0))),0)+SUMIFS($Q$6:$Q$1005,$C$6:$C$1005,$C905,$A$6:$A$1005,"&lt;="&amp;$A905))</f>
        <v/>
      </c>
      <c r="AS905" s="56">
        <f>IF(OR($AM905=0,$Q905=""),0,IF(AND($A905&gt;=Lists!$W$6,$A905&lt;=Lists!$W$7,OR(Dashboard!$D$6="All accounts",$C905=Dashboard!$D$6),OR(Dashboard!$D$7="All markets",$AF905=Dashboard!$D$7)),1,0))</f>
        <v>0</v>
      </c>
      <c r="AT905" s="55">
        <f>IF($AS905=1,N(AT904)+$Q905,N(AT904))</f>
        <v>1187.10688</v>
      </c>
      <c r="AU905" s="55">
        <f>MAX(N(AU904),$AT905)</f>
        <v>1187.10688</v>
      </c>
      <c r="AV905" s="55">
        <f>$AT905-$AU905</f>
        <v>0</v>
      </c>
      <c r="AW905" s="56">
        <f>IF($AS905=1,IF($S905="Win",N(AW904)+1,IF($S905="Loss",0,N(AW904))),N(AW904))</f>
        <v>5</v>
      </c>
      <c r="AX905" s="56">
        <f>IF($AS905=1,IF($S905="Loss",N(AX904)+1,IF($S905="Win",0,N(AX904))),N(AX904))</f>
        <v>0</v>
      </c>
      <c r="AY905" s="56" t="str">
        <f>IF($AS905=1,COUNTIF($AS$6:$AS905,1),"")</f>
        <v/>
      </c>
      <c r="AZ905" s="56">
        <f>MIN(899,N(Lists!$W$8))</f>
        <v>28</v>
      </c>
      <c r="BA905" s="56">
        <f>IF($AS905=1,IF(COUNTIFS($A$6:$A905,$A905,$AS$6:$AS905,1)=1,1,0),0)</f>
        <v>0</v>
      </c>
      <c r="BB905" s="55" t="str">
        <f>IF($BA905=1,SUMIFS($Q$6:$Q$1005,$A$6:$A$1005,$A905,$AS$6:$AS$1005,1),"")</f>
        <v/>
      </c>
      <c r="BC905" s="56">
        <f>IF(ISNUMBER($R905),1,0)</f>
        <v>0</v>
      </c>
      <c r="BD905" s="55" t="str">
        <f>IF(ISNUMBER($U905),$U905*$V905,"")</f>
        <v/>
      </c>
      <c r="BE905" s="56" t="str">
        <f>IF($AM905=0,"",IFERROR(MATCH($AF905&amp;"|"&amp;UPPER(TRIM($E905)),Lists!$A$6:$A$205,0),0))</f>
        <v/>
      </c>
      <c r="BF905" s="56" t="str">
        <f>IF($AM905=0,"",IFERROR(MATCH($AF905,Settings!$B$14:$B$18,0),IFERROR(MATCH(Settings!$C$6,Settings!$B$14:$B$18,0),1)))</f>
        <v/>
      </c>
      <c r="BG905" s="58" t="str">
        <f>IF($AM905=0,"",IF(NOT(ISNUMBER($I905)),"No stop; ","")&amp;IF(AND(ISNUMBER($H905),ISNUMBER($I905)),IF(OR(AND($F905&lt;&gt;"Short",$I905&gt;=$H905),AND($F905="Short",$I905&lt;=$H905)),"Stop on wrong side; ",""),"")&amp;IF($F905="","No direction; ","")&amp;IF(AND(ISNUMBER(Settings!$C$22),ISNUMBER($V905)),IF($V905&gt;Settings!$C$22,"Risk over max $; ",""),"")&amp;IF(AND(ISNUMBER(Settings!$C$23),ISNUMBER($V905),ISNUMBER($AP905),IFERROR(N(INDEX(Accounts!$E$7:$E$16,MATCH($C905,Accounts!$B$7:$B$16,0))),0)&gt;0),IF($V905&gt;Settings!$C$23*($AP905-N($Q905)),"Risk over max %; ",""),"")&amp;IF(AND(ISNUMBER(Settings!$C$24),ISNUMBER($N905)),IF($N905&gt;Settings!$C$24,"Leverage over max; ",""),"")&amp;IF(AND(ISNUMBER(Settings!$C$27),ISNUMBER($T905)),IF($T905&lt;Settings!$C$27,"R:R below min; ",""),"")&amp;IF(ISNUMBER(Settings!$C$25),IF(COUNTIFS($A$6:$A905,$A905,$AM$6:$AM905,1)&gt;Settings!$C$25,"Over max trades/day; ",""),"")&amp;IF(ISNUMBER(Settings!$C$26),IF(SUMIFS($Q$5:$Q904,$A$5:$A904,$A905)&lt;=-Settings!$C$26,"Traded after daily max loss; ",""),"")&amp;IF(AND($AG905="",NOT(ISNUMBER($O905))),"Symbol not in Instruments; ","")&amp;IF(AND($AH905="",NOT(ISNUMBER($O905))),"Forex cross: type Gross P&amp;L; ",""))</f>
        <v/>
      </c>
      <c r="BH905" s="56">
        <f>IF(ISNUMBER($Q905),1,0)</f>
        <v>0</v>
      </c>
      <c r="BI905" s="56">
        <f>IF($Y905="",0,1)</f>
        <v>0</v>
      </c>
      <c r="BJ905" s="56">
        <f>IF($AB905="",0,1)</f>
        <v>0</v>
      </c>
      <c r="BK905" s="56">
        <f>IF(AND($BH905=1,$W905&lt;&gt;"OK"),1,0)</f>
        <v>0</v>
      </c>
      <c r="BL905" s="55">
        <f>IF(N($AZ905)=0,0,IFERROR(INDEX($AT$6:$AT$1005,MATCH($AZ905,$AY$6:$AY$1005,0)),0))</f>
        <v>1187.10688</v>
      </c>
      <c r="BM905" s="56">
        <f>IF(ISNUMBER(SEARCH("daily max loss",$BG905)),1,0)</f>
        <v>0</v>
      </c>
    </row>
    <row r="906" ht="18" customHeight="1">
      <c r="A906" s="38" t="n"/>
      <c r="B906" s="39" t="n"/>
      <c r="C906" s="40" t="n"/>
      <c r="D906" s="41" t="n"/>
      <c r="E906" s="41" t="n"/>
      <c r="F906" s="41" t="n"/>
      <c r="G906" s="41" t="n"/>
      <c r="H906" s="42" t="n"/>
      <c r="I906" s="42" t="n"/>
      <c r="J906" s="42" t="n"/>
      <c r="K906" s="42" t="n"/>
      <c r="L906" s="41" t="n"/>
      <c r="M906" s="41" t="n"/>
      <c r="N906" s="41" t="n"/>
      <c r="O906" s="43" t="n"/>
      <c r="P906" s="43" t="n"/>
      <c r="Q906" s="44" t="str">
        <f>IF($AM906=0,"",IF(ISNUMBER($AK906),$AK906-N($AL906),""))</f>
        <v/>
      </c>
      <c r="R906" s="45" t="str">
        <f>IF(OR($Q906="",NOT(ISNUMBER($V906))),"",$AK906/$V906)</f>
        <v/>
      </c>
      <c r="S906" s="46" t="str">
        <f>IF($Q906="","",IF(AND(ISNUMBER($R906),ABS(N($R906))&lt;N(Settings!$C$8)),"Scratch",IF($Q906&gt;0,"Win",IF($Q906&lt;0,"Loss","Scratch"))))</f>
        <v/>
      </c>
      <c r="T906" s="47" t="str">
        <f>IF(OR($AM906=0,NOT(ISNUMBER($H906)),NOT(ISNUMBER($I906)),NOT(ISNUMBER($J906))),"",IF($H906=$I906,"",ROUND(ABS($J906-$H906)/ABS($H906-$I906),6)))</f>
        <v/>
      </c>
      <c r="U906" s="48" t="str">
        <f>IF(OR($S906&lt;&gt;"Win",NOT(ISNUMBER($T906)),NOT(ISNUMBER($R906))),"",MAX(0,$T906-$R906))</f>
        <v/>
      </c>
      <c r="V906" s="49" t="str">
        <f>IF(OR($AM906=0,NOT(ISNUMBER($H906)),NOT(ISNUMBER($I906)),NOT(ISNUMBER($G906))),"",IF(OR($AG906="",$AH906=""),"",IF(ROUND(ABS($H906-$I906)*ABS($G906)*$AG906*$AH906,6)=0,"",ROUND(ABS($H906-$I906)*ABS($G906)*$AG906*$AH906,6))))</f>
        <v/>
      </c>
      <c r="W906" s="50" t="str">
        <f>IF($AM906=0,"",IF($BG906="","OK",LEFT($BG906,LEN($BG906)-2)))</f>
        <v/>
      </c>
      <c r="X906" s="41" t="n"/>
      <c r="Y906" s="40" t="n"/>
      <c r="Z906" s="41" t="n"/>
      <c r="AA906" s="41" t="n"/>
      <c r="AB906" s="40" t="n"/>
      <c r="AC906" s="51" t="n"/>
      <c r="AD906" s="51" t="n"/>
      <c r="AE906" s="40" t="n"/>
      <c r="AF906" s="52" t="str">
        <f>IF($AM906=0,"",IF($D906&lt;&gt;"",$D906,IF(IFERROR(INDEX(Accounts!$C$7:$C$16,MATCH($C906,Accounts!$B$7:$B$16,0))&amp;"","")&lt;&gt;"",INDEX(Accounts!$C$7:$C$16,MATCH($C906,Accounts!$B$7:$B$16,0)),Settings!$C$6)))</f>
        <v/>
      </c>
      <c r="AG906" s="53" t="str">
        <f>IF($AM906=0,"",IF(AND($BE906&gt;0,N(INDEX(Instruments!$D$6:$D$205,MAX(1,$BE906)))&gt;0),INDEX(Instruments!$D$6:$D$205,MAX(1,$BE906)),IF(N(INDEX(Settings!$D$14:$D$18,$BF906))&gt;0,INDEX(Settings!$D$14:$D$18,$BF906),"")))</f>
        <v/>
      </c>
      <c r="AH906" s="54" t="str">
        <f>IF($AM906=0,"",IF($AF906&lt;&gt;"Forex",1,IF(MID(UPPER(SUBSTITUTE(TRIM($E906),"/","")),4,3)=UPPER(TRIM(Settings!$C$7)),1,IF(LEFT(UPPER(SUBSTITUTE(TRIM($E906),"/","")),3)=UPPER(TRIM(Settings!$C$7)),IF(AND(ISNUMBER($K906),N($K906)&lt;&gt;0),1/$K906,""),""))))</f>
        <v/>
      </c>
      <c r="AI906" s="55" t="str">
        <f>IF($AM906=0,"",IF(OR(NOT(ISNUMBER($H906)),NOT(ISNUMBER($K906)),NOT(ISNUMBER($G906)),$AG906="",$AH906=""),"",ROUND(($K906-$H906)*IF($F906="Short",-1,1)*$G906*$AG906*$AH906,6)))</f>
        <v/>
      </c>
      <c r="AJ906" s="55" t="str">
        <f>IF($AM906=0,"",IF(INDEX(Settings!$E$14:$E$18,$BF906)="% of notional",IF(OR($AG906="",NOT(ISNUMBER($H906)),NOT(ISNUMBER($G906))),"",ROUND(ABS($H906*$G906*$AG906*N($AH906))*IF($L906="Limit",N(INDEX(Settings!$G$14:$G$18,$BF906)),N(INDEX(Settings!$H$14:$H$18,$BF906)))+IF(ISNUMBER($K906),ABS($K906*$G906*$AG906*N($AH906))*IF($M906="Target",N(INDEX(Settings!$G$14:$G$18,$BF906)),N(INDEX(Settings!$H$14:$H$18,$BF906))),0),6)),IF(NOT(ISNUMBER($G906)),"",ROUND(ABS($G906)*2*IF(AND($BE906&gt;0,ISNUMBER(INDEX(Instruments!$G$6:$G$205,MAX(1,$BE906)))),INDEX(Instruments!$G$6:$G$205,MAX(1,$BE906)),N(INDEX(Settings!$F$14:$F$18,$BF906))),6))))</f>
        <v/>
      </c>
      <c r="AK906" s="55" t="str">
        <f>IF($AM906=0,"",IF(ISNUMBER($O906),$O906,$AI906))</f>
        <v/>
      </c>
      <c r="AL906" s="55" t="str">
        <f>IF($AM906=0,"",IF(ISNUMBER($P906),$P906,N($AJ906)))</f>
        <v/>
      </c>
      <c r="AM906" s="56">
        <f>IF(AND($A906&lt;&gt;"",$E906&lt;&gt;"",OR(AND(ISNUMBER($G906),ISNUMBER($H906),ISNUMBER($K906)),ISNUMBER($O906))),1,0)</f>
        <v>0</v>
      </c>
      <c r="AN906" s="57" t="str">
        <f>IF($A906="","",$A906-WEEKDAY($A906,3))</f>
        <v/>
      </c>
      <c r="AO906" s="56" t="str">
        <f>IF($A906="","",WEEKDAY($A906,2))</f>
        <v/>
      </c>
      <c r="AP906" s="55" t="str">
        <f>IF(OR($AM906=0,$C906=""),"",IFERROR(N(INDEX(Accounts!$E$7:$E$16,MATCH($C906,Accounts!$B$7:$B$16,0))),0)+SUMIFS($Q$6:$Q906,$C$6:$C906,$C906))</f>
        <v/>
      </c>
      <c r="AQ906" s="55" t="str">
        <f>IF(OR($AM906=0,$C906=""),"",SUMIFS($Q$6:$Q$1005,$C$6:$C$1005,$C906,$A$6:$A$1005,$A906))</f>
        <v/>
      </c>
      <c r="AR906" s="55" t="str">
        <f>IF(OR($AM906=0,$C906=""),"",IFERROR(N(INDEX(Accounts!$E$7:$E$16,MATCH($C906,Accounts!$B$7:$B$16,0))),0)+SUMIFS($Q$6:$Q$1005,$C$6:$C$1005,$C906,$A$6:$A$1005,"&lt;="&amp;$A906))</f>
        <v/>
      </c>
      <c r="AS906" s="56">
        <f>IF(OR($AM906=0,$Q906=""),0,IF(AND($A906&gt;=Lists!$W$6,$A906&lt;=Lists!$W$7,OR(Dashboard!$D$6="All accounts",$C906=Dashboard!$D$6),OR(Dashboard!$D$7="All markets",$AF906=Dashboard!$D$7)),1,0))</f>
        <v>0</v>
      </c>
      <c r="AT906" s="55">
        <f>IF($AS906=1,N(AT905)+$Q906,N(AT905))</f>
        <v>1187.10688</v>
      </c>
      <c r="AU906" s="55">
        <f>MAX(N(AU905),$AT906)</f>
        <v>1187.10688</v>
      </c>
      <c r="AV906" s="55">
        <f>$AT906-$AU906</f>
        <v>0</v>
      </c>
      <c r="AW906" s="56">
        <f>IF($AS906=1,IF($S906="Win",N(AW905)+1,IF($S906="Loss",0,N(AW905))),N(AW905))</f>
        <v>5</v>
      </c>
      <c r="AX906" s="56">
        <f>IF($AS906=1,IF($S906="Loss",N(AX905)+1,IF($S906="Win",0,N(AX905))),N(AX905))</f>
        <v>0</v>
      </c>
      <c r="AY906" s="56" t="str">
        <f>IF($AS906=1,COUNTIF($AS$6:$AS906,1),"")</f>
        <v/>
      </c>
      <c r="AZ906" s="56">
        <f>MIN(900,N(Lists!$W$8))</f>
        <v>28</v>
      </c>
      <c r="BA906" s="56">
        <f>IF($AS906=1,IF(COUNTIFS($A$6:$A906,$A906,$AS$6:$AS906,1)=1,1,0),0)</f>
        <v>0</v>
      </c>
      <c r="BB906" s="55" t="str">
        <f>IF($BA906=1,SUMIFS($Q$6:$Q$1005,$A$6:$A$1005,$A906,$AS$6:$AS$1005,1),"")</f>
        <v/>
      </c>
      <c r="BC906" s="56">
        <f>IF(ISNUMBER($R906),1,0)</f>
        <v>0</v>
      </c>
      <c r="BD906" s="55" t="str">
        <f>IF(ISNUMBER($U906),$U906*$V906,"")</f>
        <v/>
      </c>
      <c r="BE906" s="56" t="str">
        <f>IF($AM906=0,"",IFERROR(MATCH($AF906&amp;"|"&amp;UPPER(TRIM($E906)),Lists!$A$6:$A$205,0),0))</f>
        <v/>
      </c>
      <c r="BF906" s="56" t="str">
        <f>IF($AM906=0,"",IFERROR(MATCH($AF906,Settings!$B$14:$B$18,0),IFERROR(MATCH(Settings!$C$6,Settings!$B$14:$B$18,0),1)))</f>
        <v/>
      </c>
      <c r="BG906" s="58" t="str">
        <f>IF($AM906=0,"",IF(NOT(ISNUMBER($I906)),"No stop; ","")&amp;IF(AND(ISNUMBER($H906),ISNUMBER($I906)),IF(OR(AND($F906&lt;&gt;"Short",$I906&gt;=$H906),AND($F906="Short",$I906&lt;=$H906)),"Stop on wrong side; ",""),"")&amp;IF($F906="","No direction; ","")&amp;IF(AND(ISNUMBER(Settings!$C$22),ISNUMBER($V906)),IF($V906&gt;Settings!$C$22,"Risk over max $; ",""),"")&amp;IF(AND(ISNUMBER(Settings!$C$23),ISNUMBER($V906),ISNUMBER($AP906),IFERROR(N(INDEX(Accounts!$E$7:$E$16,MATCH($C906,Accounts!$B$7:$B$16,0))),0)&gt;0),IF($V906&gt;Settings!$C$23*($AP906-N($Q906)),"Risk over max %; ",""),"")&amp;IF(AND(ISNUMBER(Settings!$C$24),ISNUMBER($N906)),IF($N906&gt;Settings!$C$24,"Leverage over max; ",""),"")&amp;IF(AND(ISNUMBER(Settings!$C$27),ISNUMBER($T906)),IF($T906&lt;Settings!$C$27,"R:R below min; ",""),"")&amp;IF(ISNUMBER(Settings!$C$25),IF(COUNTIFS($A$6:$A906,$A906,$AM$6:$AM906,1)&gt;Settings!$C$25,"Over max trades/day; ",""),"")&amp;IF(ISNUMBER(Settings!$C$26),IF(SUMIFS($Q$5:$Q905,$A$5:$A905,$A906)&lt;=-Settings!$C$26,"Traded after daily max loss; ",""),"")&amp;IF(AND($AG906="",NOT(ISNUMBER($O906))),"Symbol not in Instruments; ","")&amp;IF(AND($AH906="",NOT(ISNUMBER($O906))),"Forex cross: type Gross P&amp;L; ",""))</f>
        <v/>
      </c>
      <c r="BH906" s="56">
        <f>IF(ISNUMBER($Q906),1,0)</f>
        <v>0</v>
      </c>
      <c r="BI906" s="56">
        <f>IF($Y906="",0,1)</f>
        <v>0</v>
      </c>
      <c r="BJ906" s="56">
        <f>IF($AB906="",0,1)</f>
        <v>0</v>
      </c>
      <c r="BK906" s="56">
        <f>IF(AND($BH906=1,$W906&lt;&gt;"OK"),1,0)</f>
        <v>0</v>
      </c>
      <c r="BL906" s="55">
        <f>IF(N($AZ906)=0,0,IFERROR(INDEX($AT$6:$AT$1005,MATCH($AZ906,$AY$6:$AY$1005,0)),0))</f>
        <v>1187.10688</v>
      </c>
      <c r="BM906" s="56">
        <f>IF(ISNUMBER(SEARCH("daily max loss",$BG906)),1,0)</f>
        <v>0</v>
      </c>
    </row>
    <row r="907" ht="18" customHeight="1">
      <c r="A907" s="38" t="n"/>
      <c r="B907" s="39" t="n"/>
      <c r="C907" s="40" t="n"/>
      <c r="D907" s="41" t="n"/>
      <c r="E907" s="41" t="n"/>
      <c r="F907" s="41" t="n"/>
      <c r="G907" s="41" t="n"/>
      <c r="H907" s="42" t="n"/>
      <c r="I907" s="42" t="n"/>
      <c r="J907" s="42" t="n"/>
      <c r="K907" s="42" t="n"/>
      <c r="L907" s="41" t="n"/>
      <c r="M907" s="41" t="n"/>
      <c r="N907" s="41" t="n"/>
      <c r="O907" s="43" t="n"/>
      <c r="P907" s="43" t="n"/>
      <c r="Q907" s="44" t="str">
        <f>IF($AM907=0,"",IF(ISNUMBER($AK907),$AK907-N($AL907),""))</f>
        <v/>
      </c>
      <c r="R907" s="45" t="str">
        <f>IF(OR($Q907="",NOT(ISNUMBER($V907))),"",$AK907/$V907)</f>
        <v/>
      </c>
      <c r="S907" s="46" t="str">
        <f>IF($Q907="","",IF(AND(ISNUMBER($R907),ABS(N($R907))&lt;N(Settings!$C$8)),"Scratch",IF($Q907&gt;0,"Win",IF($Q907&lt;0,"Loss","Scratch"))))</f>
        <v/>
      </c>
      <c r="T907" s="47" t="str">
        <f>IF(OR($AM907=0,NOT(ISNUMBER($H907)),NOT(ISNUMBER($I907)),NOT(ISNUMBER($J907))),"",IF($H907=$I907,"",ROUND(ABS($J907-$H907)/ABS($H907-$I907),6)))</f>
        <v/>
      </c>
      <c r="U907" s="48" t="str">
        <f>IF(OR($S907&lt;&gt;"Win",NOT(ISNUMBER($T907)),NOT(ISNUMBER($R907))),"",MAX(0,$T907-$R907))</f>
        <v/>
      </c>
      <c r="V907" s="49" t="str">
        <f>IF(OR($AM907=0,NOT(ISNUMBER($H907)),NOT(ISNUMBER($I907)),NOT(ISNUMBER($G907))),"",IF(OR($AG907="",$AH907=""),"",IF(ROUND(ABS($H907-$I907)*ABS($G907)*$AG907*$AH907,6)=0,"",ROUND(ABS($H907-$I907)*ABS($G907)*$AG907*$AH907,6))))</f>
        <v/>
      </c>
      <c r="W907" s="50" t="str">
        <f>IF($AM907=0,"",IF($BG907="","OK",LEFT($BG907,LEN($BG907)-2)))</f>
        <v/>
      </c>
      <c r="X907" s="41" t="n"/>
      <c r="Y907" s="40" t="n"/>
      <c r="Z907" s="41" t="n"/>
      <c r="AA907" s="41" t="n"/>
      <c r="AB907" s="40" t="n"/>
      <c r="AC907" s="51" t="n"/>
      <c r="AD907" s="51" t="n"/>
      <c r="AE907" s="40" t="n"/>
      <c r="AF907" s="52" t="str">
        <f>IF($AM907=0,"",IF($D907&lt;&gt;"",$D907,IF(IFERROR(INDEX(Accounts!$C$7:$C$16,MATCH($C907,Accounts!$B$7:$B$16,0))&amp;"","")&lt;&gt;"",INDEX(Accounts!$C$7:$C$16,MATCH($C907,Accounts!$B$7:$B$16,0)),Settings!$C$6)))</f>
        <v/>
      </c>
      <c r="AG907" s="53" t="str">
        <f>IF($AM907=0,"",IF(AND($BE907&gt;0,N(INDEX(Instruments!$D$6:$D$205,MAX(1,$BE907)))&gt;0),INDEX(Instruments!$D$6:$D$205,MAX(1,$BE907)),IF(N(INDEX(Settings!$D$14:$D$18,$BF907))&gt;0,INDEX(Settings!$D$14:$D$18,$BF907),"")))</f>
        <v/>
      </c>
      <c r="AH907" s="54" t="str">
        <f>IF($AM907=0,"",IF($AF907&lt;&gt;"Forex",1,IF(MID(UPPER(SUBSTITUTE(TRIM($E907),"/","")),4,3)=UPPER(TRIM(Settings!$C$7)),1,IF(LEFT(UPPER(SUBSTITUTE(TRIM($E907),"/","")),3)=UPPER(TRIM(Settings!$C$7)),IF(AND(ISNUMBER($K907),N($K907)&lt;&gt;0),1/$K907,""),""))))</f>
        <v/>
      </c>
      <c r="AI907" s="55" t="str">
        <f>IF($AM907=0,"",IF(OR(NOT(ISNUMBER($H907)),NOT(ISNUMBER($K907)),NOT(ISNUMBER($G907)),$AG907="",$AH907=""),"",ROUND(($K907-$H907)*IF($F907="Short",-1,1)*$G907*$AG907*$AH907,6)))</f>
        <v/>
      </c>
      <c r="AJ907" s="55" t="str">
        <f>IF($AM907=0,"",IF(INDEX(Settings!$E$14:$E$18,$BF907)="% of notional",IF(OR($AG907="",NOT(ISNUMBER($H907)),NOT(ISNUMBER($G907))),"",ROUND(ABS($H907*$G907*$AG907*N($AH907))*IF($L907="Limit",N(INDEX(Settings!$G$14:$G$18,$BF907)),N(INDEX(Settings!$H$14:$H$18,$BF907)))+IF(ISNUMBER($K907),ABS($K907*$G907*$AG907*N($AH907))*IF($M907="Target",N(INDEX(Settings!$G$14:$G$18,$BF907)),N(INDEX(Settings!$H$14:$H$18,$BF907))),0),6)),IF(NOT(ISNUMBER($G907)),"",ROUND(ABS($G907)*2*IF(AND($BE907&gt;0,ISNUMBER(INDEX(Instruments!$G$6:$G$205,MAX(1,$BE907)))),INDEX(Instruments!$G$6:$G$205,MAX(1,$BE907)),N(INDEX(Settings!$F$14:$F$18,$BF907))),6))))</f>
        <v/>
      </c>
      <c r="AK907" s="55" t="str">
        <f>IF($AM907=0,"",IF(ISNUMBER($O907),$O907,$AI907))</f>
        <v/>
      </c>
      <c r="AL907" s="55" t="str">
        <f>IF($AM907=0,"",IF(ISNUMBER($P907),$P907,N($AJ907)))</f>
        <v/>
      </c>
      <c r="AM907" s="56">
        <f>IF(AND($A907&lt;&gt;"",$E907&lt;&gt;"",OR(AND(ISNUMBER($G907),ISNUMBER($H907),ISNUMBER($K907)),ISNUMBER($O907))),1,0)</f>
        <v>0</v>
      </c>
      <c r="AN907" s="57" t="str">
        <f>IF($A907="","",$A907-WEEKDAY($A907,3))</f>
        <v/>
      </c>
      <c r="AO907" s="56" t="str">
        <f>IF($A907="","",WEEKDAY($A907,2))</f>
        <v/>
      </c>
      <c r="AP907" s="55" t="str">
        <f>IF(OR($AM907=0,$C907=""),"",IFERROR(N(INDEX(Accounts!$E$7:$E$16,MATCH($C907,Accounts!$B$7:$B$16,0))),0)+SUMIFS($Q$6:$Q907,$C$6:$C907,$C907))</f>
        <v/>
      </c>
      <c r="AQ907" s="55" t="str">
        <f>IF(OR($AM907=0,$C907=""),"",SUMIFS($Q$6:$Q$1005,$C$6:$C$1005,$C907,$A$6:$A$1005,$A907))</f>
        <v/>
      </c>
      <c r="AR907" s="55" t="str">
        <f>IF(OR($AM907=0,$C907=""),"",IFERROR(N(INDEX(Accounts!$E$7:$E$16,MATCH($C907,Accounts!$B$7:$B$16,0))),0)+SUMIFS($Q$6:$Q$1005,$C$6:$C$1005,$C907,$A$6:$A$1005,"&lt;="&amp;$A907))</f>
        <v/>
      </c>
      <c r="AS907" s="56">
        <f>IF(OR($AM907=0,$Q907=""),0,IF(AND($A907&gt;=Lists!$W$6,$A907&lt;=Lists!$W$7,OR(Dashboard!$D$6="All accounts",$C907=Dashboard!$D$6),OR(Dashboard!$D$7="All markets",$AF907=Dashboard!$D$7)),1,0))</f>
        <v>0</v>
      </c>
      <c r="AT907" s="55">
        <f>IF($AS907=1,N(AT906)+$Q907,N(AT906))</f>
        <v>1187.10688</v>
      </c>
      <c r="AU907" s="55">
        <f>MAX(N(AU906),$AT907)</f>
        <v>1187.10688</v>
      </c>
      <c r="AV907" s="55">
        <f>$AT907-$AU907</f>
        <v>0</v>
      </c>
      <c r="AW907" s="56">
        <f>IF($AS907=1,IF($S907="Win",N(AW906)+1,IF($S907="Loss",0,N(AW906))),N(AW906))</f>
        <v>5</v>
      </c>
      <c r="AX907" s="56">
        <f>IF($AS907=1,IF($S907="Loss",N(AX906)+1,IF($S907="Win",0,N(AX906))),N(AX906))</f>
        <v>0</v>
      </c>
      <c r="AY907" s="56" t="str">
        <f>IF($AS907=1,COUNTIF($AS$6:$AS907,1),"")</f>
        <v/>
      </c>
      <c r="AZ907" s="56">
        <f>MIN(901,N(Lists!$W$8))</f>
        <v>28</v>
      </c>
      <c r="BA907" s="56">
        <f>IF($AS907=1,IF(COUNTIFS($A$6:$A907,$A907,$AS$6:$AS907,1)=1,1,0),0)</f>
        <v>0</v>
      </c>
      <c r="BB907" s="55" t="str">
        <f>IF($BA907=1,SUMIFS($Q$6:$Q$1005,$A$6:$A$1005,$A907,$AS$6:$AS$1005,1),"")</f>
        <v/>
      </c>
      <c r="BC907" s="56">
        <f>IF(ISNUMBER($R907),1,0)</f>
        <v>0</v>
      </c>
      <c r="BD907" s="55" t="str">
        <f>IF(ISNUMBER($U907),$U907*$V907,"")</f>
        <v/>
      </c>
      <c r="BE907" s="56" t="str">
        <f>IF($AM907=0,"",IFERROR(MATCH($AF907&amp;"|"&amp;UPPER(TRIM($E907)),Lists!$A$6:$A$205,0),0))</f>
        <v/>
      </c>
      <c r="BF907" s="56" t="str">
        <f>IF($AM907=0,"",IFERROR(MATCH($AF907,Settings!$B$14:$B$18,0),IFERROR(MATCH(Settings!$C$6,Settings!$B$14:$B$18,0),1)))</f>
        <v/>
      </c>
      <c r="BG907" s="58" t="str">
        <f>IF($AM907=0,"",IF(NOT(ISNUMBER($I907)),"No stop; ","")&amp;IF(AND(ISNUMBER($H907),ISNUMBER($I907)),IF(OR(AND($F907&lt;&gt;"Short",$I907&gt;=$H907),AND($F907="Short",$I907&lt;=$H907)),"Stop on wrong side; ",""),"")&amp;IF($F907="","No direction; ","")&amp;IF(AND(ISNUMBER(Settings!$C$22),ISNUMBER($V907)),IF($V907&gt;Settings!$C$22,"Risk over max $; ",""),"")&amp;IF(AND(ISNUMBER(Settings!$C$23),ISNUMBER($V907),ISNUMBER($AP907),IFERROR(N(INDEX(Accounts!$E$7:$E$16,MATCH($C907,Accounts!$B$7:$B$16,0))),0)&gt;0),IF($V907&gt;Settings!$C$23*($AP907-N($Q907)),"Risk over max %; ",""),"")&amp;IF(AND(ISNUMBER(Settings!$C$24),ISNUMBER($N907)),IF($N907&gt;Settings!$C$24,"Leverage over max; ",""),"")&amp;IF(AND(ISNUMBER(Settings!$C$27),ISNUMBER($T907)),IF($T907&lt;Settings!$C$27,"R:R below min; ",""),"")&amp;IF(ISNUMBER(Settings!$C$25),IF(COUNTIFS($A$6:$A907,$A907,$AM$6:$AM907,1)&gt;Settings!$C$25,"Over max trades/day; ",""),"")&amp;IF(ISNUMBER(Settings!$C$26),IF(SUMIFS($Q$5:$Q906,$A$5:$A906,$A907)&lt;=-Settings!$C$26,"Traded after daily max loss; ",""),"")&amp;IF(AND($AG907="",NOT(ISNUMBER($O907))),"Symbol not in Instruments; ","")&amp;IF(AND($AH907="",NOT(ISNUMBER($O907))),"Forex cross: type Gross P&amp;L; ",""))</f>
        <v/>
      </c>
      <c r="BH907" s="56">
        <f>IF(ISNUMBER($Q907),1,0)</f>
        <v>0</v>
      </c>
      <c r="BI907" s="56">
        <f>IF($Y907="",0,1)</f>
        <v>0</v>
      </c>
      <c r="BJ907" s="56">
        <f>IF($AB907="",0,1)</f>
        <v>0</v>
      </c>
      <c r="BK907" s="56">
        <f>IF(AND($BH907=1,$W907&lt;&gt;"OK"),1,0)</f>
        <v>0</v>
      </c>
      <c r="BL907" s="55">
        <f>IF(N($AZ907)=0,0,IFERROR(INDEX($AT$6:$AT$1005,MATCH($AZ907,$AY$6:$AY$1005,0)),0))</f>
        <v>1187.10688</v>
      </c>
      <c r="BM907" s="56">
        <f>IF(ISNUMBER(SEARCH("daily max loss",$BG907)),1,0)</f>
        <v>0</v>
      </c>
    </row>
    <row r="908" ht="18" customHeight="1">
      <c r="A908" s="38" t="n"/>
      <c r="B908" s="39" t="n"/>
      <c r="C908" s="40" t="n"/>
      <c r="D908" s="41" t="n"/>
      <c r="E908" s="41" t="n"/>
      <c r="F908" s="41" t="n"/>
      <c r="G908" s="41" t="n"/>
      <c r="H908" s="42" t="n"/>
      <c r="I908" s="42" t="n"/>
      <c r="J908" s="42" t="n"/>
      <c r="K908" s="42" t="n"/>
      <c r="L908" s="41" t="n"/>
      <c r="M908" s="41" t="n"/>
      <c r="N908" s="41" t="n"/>
      <c r="O908" s="43" t="n"/>
      <c r="P908" s="43" t="n"/>
      <c r="Q908" s="44" t="str">
        <f>IF($AM908=0,"",IF(ISNUMBER($AK908),$AK908-N($AL908),""))</f>
        <v/>
      </c>
      <c r="R908" s="45" t="str">
        <f>IF(OR($Q908="",NOT(ISNUMBER($V908))),"",$AK908/$V908)</f>
        <v/>
      </c>
      <c r="S908" s="46" t="str">
        <f>IF($Q908="","",IF(AND(ISNUMBER($R908),ABS(N($R908))&lt;N(Settings!$C$8)),"Scratch",IF($Q908&gt;0,"Win",IF($Q908&lt;0,"Loss","Scratch"))))</f>
        <v/>
      </c>
      <c r="T908" s="47" t="str">
        <f>IF(OR($AM908=0,NOT(ISNUMBER($H908)),NOT(ISNUMBER($I908)),NOT(ISNUMBER($J908))),"",IF($H908=$I908,"",ROUND(ABS($J908-$H908)/ABS($H908-$I908),6)))</f>
        <v/>
      </c>
      <c r="U908" s="48" t="str">
        <f>IF(OR($S908&lt;&gt;"Win",NOT(ISNUMBER($T908)),NOT(ISNUMBER($R908))),"",MAX(0,$T908-$R908))</f>
        <v/>
      </c>
      <c r="V908" s="49" t="str">
        <f>IF(OR($AM908=0,NOT(ISNUMBER($H908)),NOT(ISNUMBER($I908)),NOT(ISNUMBER($G908))),"",IF(OR($AG908="",$AH908=""),"",IF(ROUND(ABS($H908-$I908)*ABS($G908)*$AG908*$AH908,6)=0,"",ROUND(ABS($H908-$I908)*ABS($G908)*$AG908*$AH908,6))))</f>
        <v/>
      </c>
      <c r="W908" s="50" t="str">
        <f>IF($AM908=0,"",IF($BG908="","OK",LEFT($BG908,LEN($BG908)-2)))</f>
        <v/>
      </c>
      <c r="X908" s="41" t="n"/>
      <c r="Y908" s="40" t="n"/>
      <c r="Z908" s="41" t="n"/>
      <c r="AA908" s="41" t="n"/>
      <c r="AB908" s="40" t="n"/>
      <c r="AC908" s="51" t="n"/>
      <c r="AD908" s="51" t="n"/>
      <c r="AE908" s="40" t="n"/>
      <c r="AF908" s="52" t="str">
        <f>IF($AM908=0,"",IF($D908&lt;&gt;"",$D908,IF(IFERROR(INDEX(Accounts!$C$7:$C$16,MATCH($C908,Accounts!$B$7:$B$16,0))&amp;"","")&lt;&gt;"",INDEX(Accounts!$C$7:$C$16,MATCH($C908,Accounts!$B$7:$B$16,0)),Settings!$C$6)))</f>
        <v/>
      </c>
      <c r="AG908" s="53" t="str">
        <f>IF($AM908=0,"",IF(AND($BE908&gt;0,N(INDEX(Instruments!$D$6:$D$205,MAX(1,$BE908)))&gt;0),INDEX(Instruments!$D$6:$D$205,MAX(1,$BE908)),IF(N(INDEX(Settings!$D$14:$D$18,$BF908))&gt;0,INDEX(Settings!$D$14:$D$18,$BF908),"")))</f>
        <v/>
      </c>
      <c r="AH908" s="54" t="str">
        <f>IF($AM908=0,"",IF($AF908&lt;&gt;"Forex",1,IF(MID(UPPER(SUBSTITUTE(TRIM($E908),"/","")),4,3)=UPPER(TRIM(Settings!$C$7)),1,IF(LEFT(UPPER(SUBSTITUTE(TRIM($E908),"/","")),3)=UPPER(TRIM(Settings!$C$7)),IF(AND(ISNUMBER($K908),N($K908)&lt;&gt;0),1/$K908,""),""))))</f>
        <v/>
      </c>
      <c r="AI908" s="55" t="str">
        <f>IF($AM908=0,"",IF(OR(NOT(ISNUMBER($H908)),NOT(ISNUMBER($K908)),NOT(ISNUMBER($G908)),$AG908="",$AH908=""),"",ROUND(($K908-$H908)*IF($F908="Short",-1,1)*$G908*$AG908*$AH908,6)))</f>
        <v/>
      </c>
      <c r="AJ908" s="55" t="str">
        <f>IF($AM908=0,"",IF(INDEX(Settings!$E$14:$E$18,$BF908)="% of notional",IF(OR($AG908="",NOT(ISNUMBER($H908)),NOT(ISNUMBER($G908))),"",ROUND(ABS($H908*$G908*$AG908*N($AH908))*IF($L908="Limit",N(INDEX(Settings!$G$14:$G$18,$BF908)),N(INDEX(Settings!$H$14:$H$18,$BF908)))+IF(ISNUMBER($K908),ABS($K908*$G908*$AG908*N($AH908))*IF($M908="Target",N(INDEX(Settings!$G$14:$G$18,$BF908)),N(INDEX(Settings!$H$14:$H$18,$BF908))),0),6)),IF(NOT(ISNUMBER($G908)),"",ROUND(ABS($G908)*2*IF(AND($BE908&gt;0,ISNUMBER(INDEX(Instruments!$G$6:$G$205,MAX(1,$BE908)))),INDEX(Instruments!$G$6:$G$205,MAX(1,$BE908)),N(INDEX(Settings!$F$14:$F$18,$BF908))),6))))</f>
        <v/>
      </c>
      <c r="AK908" s="55" t="str">
        <f>IF($AM908=0,"",IF(ISNUMBER($O908),$O908,$AI908))</f>
        <v/>
      </c>
      <c r="AL908" s="55" t="str">
        <f>IF($AM908=0,"",IF(ISNUMBER($P908),$P908,N($AJ908)))</f>
        <v/>
      </c>
      <c r="AM908" s="56">
        <f>IF(AND($A908&lt;&gt;"",$E908&lt;&gt;"",OR(AND(ISNUMBER($G908),ISNUMBER($H908),ISNUMBER($K908)),ISNUMBER($O908))),1,0)</f>
        <v>0</v>
      </c>
      <c r="AN908" s="57" t="str">
        <f>IF($A908="","",$A908-WEEKDAY($A908,3))</f>
        <v/>
      </c>
      <c r="AO908" s="56" t="str">
        <f>IF($A908="","",WEEKDAY($A908,2))</f>
        <v/>
      </c>
      <c r="AP908" s="55" t="str">
        <f>IF(OR($AM908=0,$C908=""),"",IFERROR(N(INDEX(Accounts!$E$7:$E$16,MATCH($C908,Accounts!$B$7:$B$16,0))),0)+SUMIFS($Q$6:$Q908,$C$6:$C908,$C908))</f>
        <v/>
      </c>
      <c r="AQ908" s="55" t="str">
        <f>IF(OR($AM908=0,$C908=""),"",SUMIFS($Q$6:$Q$1005,$C$6:$C$1005,$C908,$A$6:$A$1005,$A908))</f>
        <v/>
      </c>
      <c r="AR908" s="55" t="str">
        <f>IF(OR($AM908=0,$C908=""),"",IFERROR(N(INDEX(Accounts!$E$7:$E$16,MATCH($C908,Accounts!$B$7:$B$16,0))),0)+SUMIFS($Q$6:$Q$1005,$C$6:$C$1005,$C908,$A$6:$A$1005,"&lt;="&amp;$A908))</f>
        <v/>
      </c>
      <c r="AS908" s="56">
        <f>IF(OR($AM908=0,$Q908=""),0,IF(AND($A908&gt;=Lists!$W$6,$A908&lt;=Lists!$W$7,OR(Dashboard!$D$6="All accounts",$C908=Dashboard!$D$6),OR(Dashboard!$D$7="All markets",$AF908=Dashboard!$D$7)),1,0))</f>
        <v>0</v>
      </c>
      <c r="AT908" s="55">
        <f>IF($AS908=1,N(AT907)+$Q908,N(AT907))</f>
        <v>1187.10688</v>
      </c>
      <c r="AU908" s="55">
        <f>MAX(N(AU907),$AT908)</f>
        <v>1187.10688</v>
      </c>
      <c r="AV908" s="55">
        <f>$AT908-$AU908</f>
        <v>0</v>
      </c>
      <c r="AW908" s="56">
        <f>IF($AS908=1,IF($S908="Win",N(AW907)+1,IF($S908="Loss",0,N(AW907))),N(AW907))</f>
        <v>5</v>
      </c>
      <c r="AX908" s="56">
        <f>IF($AS908=1,IF($S908="Loss",N(AX907)+1,IF($S908="Win",0,N(AX907))),N(AX907))</f>
        <v>0</v>
      </c>
      <c r="AY908" s="56" t="str">
        <f>IF($AS908=1,COUNTIF($AS$6:$AS908,1),"")</f>
        <v/>
      </c>
      <c r="AZ908" s="56">
        <f>MIN(902,N(Lists!$W$8))</f>
        <v>28</v>
      </c>
      <c r="BA908" s="56">
        <f>IF($AS908=1,IF(COUNTIFS($A$6:$A908,$A908,$AS$6:$AS908,1)=1,1,0),0)</f>
        <v>0</v>
      </c>
      <c r="BB908" s="55" t="str">
        <f>IF($BA908=1,SUMIFS($Q$6:$Q$1005,$A$6:$A$1005,$A908,$AS$6:$AS$1005,1),"")</f>
        <v/>
      </c>
      <c r="BC908" s="56">
        <f>IF(ISNUMBER($R908),1,0)</f>
        <v>0</v>
      </c>
      <c r="BD908" s="55" t="str">
        <f>IF(ISNUMBER($U908),$U908*$V908,"")</f>
        <v/>
      </c>
      <c r="BE908" s="56" t="str">
        <f>IF($AM908=0,"",IFERROR(MATCH($AF908&amp;"|"&amp;UPPER(TRIM($E908)),Lists!$A$6:$A$205,0),0))</f>
        <v/>
      </c>
      <c r="BF908" s="56" t="str">
        <f>IF($AM908=0,"",IFERROR(MATCH($AF908,Settings!$B$14:$B$18,0),IFERROR(MATCH(Settings!$C$6,Settings!$B$14:$B$18,0),1)))</f>
        <v/>
      </c>
      <c r="BG908" s="58" t="str">
        <f>IF($AM908=0,"",IF(NOT(ISNUMBER($I908)),"No stop; ","")&amp;IF(AND(ISNUMBER($H908),ISNUMBER($I908)),IF(OR(AND($F908&lt;&gt;"Short",$I908&gt;=$H908),AND($F908="Short",$I908&lt;=$H908)),"Stop on wrong side; ",""),"")&amp;IF($F908="","No direction; ","")&amp;IF(AND(ISNUMBER(Settings!$C$22),ISNUMBER($V908)),IF($V908&gt;Settings!$C$22,"Risk over max $; ",""),"")&amp;IF(AND(ISNUMBER(Settings!$C$23),ISNUMBER($V908),ISNUMBER($AP908),IFERROR(N(INDEX(Accounts!$E$7:$E$16,MATCH($C908,Accounts!$B$7:$B$16,0))),0)&gt;0),IF($V908&gt;Settings!$C$23*($AP908-N($Q908)),"Risk over max %; ",""),"")&amp;IF(AND(ISNUMBER(Settings!$C$24),ISNUMBER($N908)),IF($N908&gt;Settings!$C$24,"Leverage over max; ",""),"")&amp;IF(AND(ISNUMBER(Settings!$C$27),ISNUMBER($T908)),IF($T908&lt;Settings!$C$27,"R:R below min; ",""),"")&amp;IF(ISNUMBER(Settings!$C$25),IF(COUNTIFS($A$6:$A908,$A908,$AM$6:$AM908,1)&gt;Settings!$C$25,"Over max trades/day; ",""),"")&amp;IF(ISNUMBER(Settings!$C$26),IF(SUMIFS($Q$5:$Q907,$A$5:$A907,$A908)&lt;=-Settings!$C$26,"Traded after daily max loss; ",""),"")&amp;IF(AND($AG908="",NOT(ISNUMBER($O908))),"Symbol not in Instruments; ","")&amp;IF(AND($AH908="",NOT(ISNUMBER($O908))),"Forex cross: type Gross P&amp;L; ",""))</f>
        <v/>
      </c>
      <c r="BH908" s="56">
        <f>IF(ISNUMBER($Q908),1,0)</f>
        <v>0</v>
      </c>
      <c r="BI908" s="56">
        <f>IF($Y908="",0,1)</f>
        <v>0</v>
      </c>
      <c r="BJ908" s="56">
        <f>IF($AB908="",0,1)</f>
        <v>0</v>
      </c>
      <c r="BK908" s="56">
        <f>IF(AND($BH908=1,$W908&lt;&gt;"OK"),1,0)</f>
        <v>0</v>
      </c>
      <c r="BL908" s="55">
        <f>IF(N($AZ908)=0,0,IFERROR(INDEX($AT$6:$AT$1005,MATCH($AZ908,$AY$6:$AY$1005,0)),0))</f>
        <v>1187.10688</v>
      </c>
      <c r="BM908" s="56">
        <f>IF(ISNUMBER(SEARCH("daily max loss",$BG908)),1,0)</f>
        <v>0</v>
      </c>
    </row>
    <row r="909" ht="18" customHeight="1">
      <c r="A909" s="38" t="n"/>
      <c r="B909" s="39" t="n"/>
      <c r="C909" s="40" t="n"/>
      <c r="D909" s="41" t="n"/>
      <c r="E909" s="41" t="n"/>
      <c r="F909" s="41" t="n"/>
      <c r="G909" s="41" t="n"/>
      <c r="H909" s="42" t="n"/>
      <c r="I909" s="42" t="n"/>
      <c r="J909" s="42" t="n"/>
      <c r="K909" s="42" t="n"/>
      <c r="L909" s="41" t="n"/>
      <c r="M909" s="41" t="n"/>
      <c r="N909" s="41" t="n"/>
      <c r="O909" s="43" t="n"/>
      <c r="P909" s="43" t="n"/>
      <c r="Q909" s="44" t="str">
        <f>IF($AM909=0,"",IF(ISNUMBER($AK909),$AK909-N($AL909),""))</f>
        <v/>
      </c>
      <c r="R909" s="45" t="str">
        <f>IF(OR($Q909="",NOT(ISNUMBER($V909))),"",$AK909/$V909)</f>
        <v/>
      </c>
      <c r="S909" s="46" t="str">
        <f>IF($Q909="","",IF(AND(ISNUMBER($R909),ABS(N($R909))&lt;N(Settings!$C$8)),"Scratch",IF($Q909&gt;0,"Win",IF($Q909&lt;0,"Loss","Scratch"))))</f>
        <v/>
      </c>
      <c r="T909" s="47" t="str">
        <f>IF(OR($AM909=0,NOT(ISNUMBER($H909)),NOT(ISNUMBER($I909)),NOT(ISNUMBER($J909))),"",IF($H909=$I909,"",ROUND(ABS($J909-$H909)/ABS($H909-$I909),6)))</f>
        <v/>
      </c>
      <c r="U909" s="48" t="str">
        <f>IF(OR($S909&lt;&gt;"Win",NOT(ISNUMBER($T909)),NOT(ISNUMBER($R909))),"",MAX(0,$T909-$R909))</f>
        <v/>
      </c>
      <c r="V909" s="49" t="str">
        <f>IF(OR($AM909=0,NOT(ISNUMBER($H909)),NOT(ISNUMBER($I909)),NOT(ISNUMBER($G909))),"",IF(OR($AG909="",$AH909=""),"",IF(ROUND(ABS($H909-$I909)*ABS($G909)*$AG909*$AH909,6)=0,"",ROUND(ABS($H909-$I909)*ABS($G909)*$AG909*$AH909,6))))</f>
        <v/>
      </c>
      <c r="W909" s="50" t="str">
        <f>IF($AM909=0,"",IF($BG909="","OK",LEFT($BG909,LEN($BG909)-2)))</f>
        <v/>
      </c>
      <c r="X909" s="41" t="n"/>
      <c r="Y909" s="40" t="n"/>
      <c r="Z909" s="41" t="n"/>
      <c r="AA909" s="41" t="n"/>
      <c r="AB909" s="40" t="n"/>
      <c r="AC909" s="51" t="n"/>
      <c r="AD909" s="51" t="n"/>
      <c r="AE909" s="40" t="n"/>
      <c r="AF909" s="52" t="str">
        <f>IF($AM909=0,"",IF($D909&lt;&gt;"",$D909,IF(IFERROR(INDEX(Accounts!$C$7:$C$16,MATCH($C909,Accounts!$B$7:$B$16,0))&amp;"","")&lt;&gt;"",INDEX(Accounts!$C$7:$C$16,MATCH($C909,Accounts!$B$7:$B$16,0)),Settings!$C$6)))</f>
        <v/>
      </c>
      <c r="AG909" s="53" t="str">
        <f>IF($AM909=0,"",IF(AND($BE909&gt;0,N(INDEX(Instruments!$D$6:$D$205,MAX(1,$BE909)))&gt;0),INDEX(Instruments!$D$6:$D$205,MAX(1,$BE909)),IF(N(INDEX(Settings!$D$14:$D$18,$BF909))&gt;0,INDEX(Settings!$D$14:$D$18,$BF909),"")))</f>
        <v/>
      </c>
      <c r="AH909" s="54" t="str">
        <f>IF($AM909=0,"",IF($AF909&lt;&gt;"Forex",1,IF(MID(UPPER(SUBSTITUTE(TRIM($E909),"/","")),4,3)=UPPER(TRIM(Settings!$C$7)),1,IF(LEFT(UPPER(SUBSTITUTE(TRIM($E909),"/","")),3)=UPPER(TRIM(Settings!$C$7)),IF(AND(ISNUMBER($K909),N($K909)&lt;&gt;0),1/$K909,""),""))))</f>
        <v/>
      </c>
      <c r="AI909" s="55" t="str">
        <f>IF($AM909=0,"",IF(OR(NOT(ISNUMBER($H909)),NOT(ISNUMBER($K909)),NOT(ISNUMBER($G909)),$AG909="",$AH909=""),"",ROUND(($K909-$H909)*IF($F909="Short",-1,1)*$G909*$AG909*$AH909,6)))</f>
        <v/>
      </c>
      <c r="AJ909" s="55" t="str">
        <f>IF($AM909=0,"",IF(INDEX(Settings!$E$14:$E$18,$BF909)="% of notional",IF(OR($AG909="",NOT(ISNUMBER($H909)),NOT(ISNUMBER($G909))),"",ROUND(ABS($H909*$G909*$AG909*N($AH909))*IF($L909="Limit",N(INDEX(Settings!$G$14:$G$18,$BF909)),N(INDEX(Settings!$H$14:$H$18,$BF909)))+IF(ISNUMBER($K909),ABS($K909*$G909*$AG909*N($AH909))*IF($M909="Target",N(INDEX(Settings!$G$14:$G$18,$BF909)),N(INDEX(Settings!$H$14:$H$18,$BF909))),0),6)),IF(NOT(ISNUMBER($G909)),"",ROUND(ABS($G909)*2*IF(AND($BE909&gt;0,ISNUMBER(INDEX(Instruments!$G$6:$G$205,MAX(1,$BE909)))),INDEX(Instruments!$G$6:$G$205,MAX(1,$BE909)),N(INDEX(Settings!$F$14:$F$18,$BF909))),6))))</f>
        <v/>
      </c>
      <c r="AK909" s="55" t="str">
        <f>IF($AM909=0,"",IF(ISNUMBER($O909),$O909,$AI909))</f>
        <v/>
      </c>
      <c r="AL909" s="55" t="str">
        <f>IF($AM909=0,"",IF(ISNUMBER($P909),$P909,N($AJ909)))</f>
        <v/>
      </c>
      <c r="AM909" s="56">
        <f>IF(AND($A909&lt;&gt;"",$E909&lt;&gt;"",OR(AND(ISNUMBER($G909),ISNUMBER($H909),ISNUMBER($K909)),ISNUMBER($O909))),1,0)</f>
        <v>0</v>
      </c>
      <c r="AN909" s="57" t="str">
        <f>IF($A909="","",$A909-WEEKDAY($A909,3))</f>
        <v/>
      </c>
      <c r="AO909" s="56" t="str">
        <f>IF($A909="","",WEEKDAY($A909,2))</f>
        <v/>
      </c>
      <c r="AP909" s="55" t="str">
        <f>IF(OR($AM909=0,$C909=""),"",IFERROR(N(INDEX(Accounts!$E$7:$E$16,MATCH($C909,Accounts!$B$7:$B$16,0))),0)+SUMIFS($Q$6:$Q909,$C$6:$C909,$C909))</f>
        <v/>
      </c>
      <c r="AQ909" s="55" t="str">
        <f>IF(OR($AM909=0,$C909=""),"",SUMIFS($Q$6:$Q$1005,$C$6:$C$1005,$C909,$A$6:$A$1005,$A909))</f>
        <v/>
      </c>
      <c r="AR909" s="55" t="str">
        <f>IF(OR($AM909=0,$C909=""),"",IFERROR(N(INDEX(Accounts!$E$7:$E$16,MATCH($C909,Accounts!$B$7:$B$16,0))),0)+SUMIFS($Q$6:$Q$1005,$C$6:$C$1005,$C909,$A$6:$A$1005,"&lt;="&amp;$A909))</f>
        <v/>
      </c>
      <c r="AS909" s="56">
        <f>IF(OR($AM909=0,$Q909=""),0,IF(AND($A909&gt;=Lists!$W$6,$A909&lt;=Lists!$W$7,OR(Dashboard!$D$6="All accounts",$C909=Dashboard!$D$6),OR(Dashboard!$D$7="All markets",$AF909=Dashboard!$D$7)),1,0))</f>
        <v>0</v>
      </c>
      <c r="AT909" s="55">
        <f>IF($AS909=1,N(AT908)+$Q909,N(AT908))</f>
        <v>1187.10688</v>
      </c>
      <c r="AU909" s="55">
        <f>MAX(N(AU908),$AT909)</f>
        <v>1187.10688</v>
      </c>
      <c r="AV909" s="55">
        <f>$AT909-$AU909</f>
        <v>0</v>
      </c>
      <c r="AW909" s="56">
        <f>IF($AS909=1,IF($S909="Win",N(AW908)+1,IF($S909="Loss",0,N(AW908))),N(AW908))</f>
        <v>5</v>
      </c>
      <c r="AX909" s="56">
        <f>IF($AS909=1,IF($S909="Loss",N(AX908)+1,IF($S909="Win",0,N(AX908))),N(AX908))</f>
        <v>0</v>
      </c>
      <c r="AY909" s="56" t="str">
        <f>IF($AS909=1,COUNTIF($AS$6:$AS909,1),"")</f>
        <v/>
      </c>
      <c r="AZ909" s="56">
        <f>MIN(903,N(Lists!$W$8))</f>
        <v>28</v>
      </c>
      <c r="BA909" s="56">
        <f>IF($AS909=1,IF(COUNTIFS($A$6:$A909,$A909,$AS$6:$AS909,1)=1,1,0),0)</f>
        <v>0</v>
      </c>
      <c r="BB909" s="55" t="str">
        <f>IF($BA909=1,SUMIFS($Q$6:$Q$1005,$A$6:$A$1005,$A909,$AS$6:$AS$1005,1),"")</f>
        <v/>
      </c>
      <c r="BC909" s="56">
        <f>IF(ISNUMBER($R909),1,0)</f>
        <v>0</v>
      </c>
      <c r="BD909" s="55" t="str">
        <f>IF(ISNUMBER($U909),$U909*$V909,"")</f>
        <v/>
      </c>
      <c r="BE909" s="56" t="str">
        <f>IF($AM909=0,"",IFERROR(MATCH($AF909&amp;"|"&amp;UPPER(TRIM($E909)),Lists!$A$6:$A$205,0),0))</f>
        <v/>
      </c>
      <c r="BF909" s="56" t="str">
        <f>IF($AM909=0,"",IFERROR(MATCH($AF909,Settings!$B$14:$B$18,0),IFERROR(MATCH(Settings!$C$6,Settings!$B$14:$B$18,0),1)))</f>
        <v/>
      </c>
      <c r="BG909" s="58" t="str">
        <f>IF($AM909=0,"",IF(NOT(ISNUMBER($I909)),"No stop; ","")&amp;IF(AND(ISNUMBER($H909),ISNUMBER($I909)),IF(OR(AND($F909&lt;&gt;"Short",$I909&gt;=$H909),AND($F909="Short",$I909&lt;=$H909)),"Stop on wrong side; ",""),"")&amp;IF($F909="","No direction; ","")&amp;IF(AND(ISNUMBER(Settings!$C$22),ISNUMBER($V909)),IF($V909&gt;Settings!$C$22,"Risk over max $; ",""),"")&amp;IF(AND(ISNUMBER(Settings!$C$23),ISNUMBER($V909),ISNUMBER($AP909),IFERROR(N(INDEX(Accounts!$E$7:$E$16,MATCH($C909,Accounts!$B$7:$B$16,0))),0)&gt;0),IF($V909&gt;Settings!$C$23*($AP909-N($Q909)),"Risk over max %; ",""),"")&amp;IF(AND(ISNUMBER(Settings!$C$24),ISNUMBER($N909)),IF($N909&gt;Settings!$C$24,"Leverage over max; ",""),"")&amp;IF(AND(ISNUMBER(Settings!$C$27),ISNUMBER($T909)),IF($T909&lt;Settings!$C$27,"R:R below min; ",""),"")&amp;IF(ISNUMBER(Settings!$C$25),IF(COUNTIFS($A$6:$A909,$A909,$AM$6:$AM909,1)&gt;Settings!$C$25,"Over max trades/day; ",""),"")&amp;IF(ISNUMBER(Settings!$C$26),IF(SUMIFS($Q$5:$Q908,$A$5:$A908,$A909)&lt;=-Settings!$C$26,"Traded after daily max loss; ",""),"")&amp;IF(AND($AG909="",NOT(ISNUMBER($O909))),"Symbol not in Instruments; ","")&amp;IF(AND($AH909="",NOT(ISNUMBER($O909))),"Forex cross: type Gross P&amp;L; ",""))</f>
        <v/>
      </c>
      <c r="BH909" s="56">
        <f>IF(ISNUMBER($Q909),1,0)</f>
        <v>0</v>
      </c>
      <c r="BI909" s="56">
        <f>IF($Y909="",0,1)</f>
        <v>0</v>
      </c>
      <c r="BJ909" s="56">
        <f>IF($AB909="",0,1)</f>
        <v>0</v>
      </c>
      <c r="BK909" s="56">
        <f>IF(AND($BH909=1,$W909&lt;&gt;"OK"),1,0)</f>
        <v>0</v>
      </c>
      <c r="BL909" s="55">
        <f>IF(N($AZ909)=0,0,IFERROR(INDEX($AT$6:$AT$1005,MATCH($AZ909,$AY$6:$AY$1005,0)),0))</f>
        <v>1187.10688</v>
      </c>
      <c r="BM909" s="56">
        <f>IF(ISNUMBER(SEARCH("daily max loss",$BG909)),1,0)</f>
        <v>0</v>
      </c>
    </row>
    <row r="910" ht="18" customHeight="1">
      <c r="A910" s="38" t="n"/>
      <c r="B910" s="39" t="n"/>
      <c r="C910" s="40" t="n"/>
      <c r="D910" s="41" t="n"/>
      <c r="E910" s="41" t="n"/>
      <c r="F910" s="41" t="n"/>
      <c r="G910" s="41" t="n"/>
      <c r="H910" s="42" t="n"/>
      <c r="I910" s="42" t="n"/>
      <c r="J910" s="42" t="n"/>
      <c r="K910" s="42" t="n"/>
      <c r="L910" s="41" t="n"/>
      <c r="M910" s="41" t="n"/>
      <c r="N910" s="41" t="n"/>
      <c r="O910" s="43" t="n"/>
      <c r="P910" s="43" t="n"/>
      <c r="Q910" s="44" t="str">
        <f>IF($AM910=0,"",IF(ISNUMBER($AK910),$AK910-N($AL910),""))</f>
        <v/>
      </c>
      <c r="R910" s="45" t="str">
        <f>IF(OR($Q910="",NOT(ISNUMBER($V910))),"",$AK910/$V910)</f>
        <v/>
      </c>
      <c r="S910" s="46" t="str">
        <f>IF($Q910="","",IF(AND(ISNUMBER($R910),ABS(N($R910))&lt;N(Settings!$C$8)),"Scratch",IF($Q910&gt;0,"Win",IF($Q910&lt;0,"Loss","Scratch"))))</f>
        <v/>
      </c>
      <c r="T910" s="47" t="str">
        <f>IF(OR($AM910=0,NOT(ISNUMBER($H910)),NOT(ISNUMBER($I910)),NOT(ISNUMBER($J910))),"",IF($H910=$I910,"",ROUND(ABS($J910-$H910)/ABS($H910-$I910),6)))</f>
        <v/>
      </c>
      <c r="U910" s="48" t="str">
        <f>IF(OR($S910&lt;&gt;"Win",NOT(ISNUMBER($T910)),NOT(ISNUMBER($R910))),"",MAX(0,$T910-$R910))</f>
        <v/>
      </c>
      <c r="V910" s="49" t="str">
        <f>IF(OR($AM910=0,NOT(ISNUMBER($H910)),NOT(ISNUMBER($I910)),NOT(ISNUMBER($G910))),"",IF(OR($AG910="",$AH910=""),"",IF(ROUND(ABS($H910-$I910)*ABS($G910)*$AG910*$AH910,6)=0,"",ROUND(ABS($H910-$I910)*ABS($G910)*$AG910*$AH910,6))))</f>
        <v/>
      </c>
      <c r="W910" s="50" t="str">
        <f>IF($AM910=0,"",IF($BG910="","OK",LEFT($BG910,LEN($BG910)-2)))</f>
        <v/>
      </c>
      <c r="X910" s="41" t="n"/>
      <c r="Y910" s="40" t="n"/>
      <c r="Z910" s="41" t="n"/>
      <c r="AA910" s="41" t="n"/>
      <c r="AB910" s="40" t="n"/>
      <c r="AC910" s="51" t="n"/>
      <c r="AD910" s="51" t="n"/>
      <c r="AE910" s="40" t="n"/>
      <c r="AF910" s="52" t="str">
        <f>IF($AM910=0,"",IF($D910&lt;&gt;"",$D910,IF(IFERROR(INDEX(Accounts!$C$7:$C$16,MATCH($C910,Accounts!$B$7:$B$16,0))&amp;"","")&lt;&gt;"",INDEX(Accounts!$C$7:$C$16,MATCH($C910,Accounts!$B$7:$B$16,0)),Settings!$C$6)))</f>
        <v/>
      </c>
      <c r="AG910" s="53" t="str">
        <f>IF($AM910=0,"",IF(AND($BE910&gt;0,N(INDEX(Instruments!$D$6:$D$205,MAX(1,$BE910)))&gt;0),INDEX(Instruments!$D$6:$D$205,MAX(1,$BE910)),IF(N(INDEX(Settings!$D$14:$D$18,$BF910))&gt;0,INDEX(Settings!$D$14:$D$18,$BF910),"")))</f>
        <v/>
      </c>
      <c r="AH910" s="54" t="str">
        <f>IF($AM910=0,"",IF($AF910&lt;&gt;"Forex",1,IF(MID(UPPER(SUBSTITUTE(TRIM($E910),"/","")),4,3)=UPPER(TRIM(Settings!$C$7)),1,IF(LEFT(UPPER(SUBSTITUTE(TRIM($E910),"/","")),3)=UPPER(TRIM(Settings!$C$7)),IF(AND(ISNUMBER($K910),N($K910)&lt;&gt;0),1/$K910,""),""))))</f>
        <v/>
      </c>
      <c r="AI910" s="55" t="str">
        <f>IF($AM910=0,"",IF(OR(NOT(ISNUMBER($H910)),NOT(ISNUMBER($K910)),NOT(ISNUMBER($G910)),$AG910="",$AH910=""),"",ROUND(($K910-$H910)*IF($F910="Short",-1,1)*$G910*$AG910*$AH910,6)))</f>
        <v/>
      </c>
      <c r="AJ910" s="55" t="str">
        <f>IF($AM910=0,"",IF(INDEX(Settings!$E$14:$E$18,$BF910)="% of notional",IF(OR($AG910="",NOT(ISNUMBER($H910)),NOT(ISNUMBER($G910))),"",ROUND(ABS($H910*$G910*$AG910*N($AH910))*IF($L910="Limit",N(INDEX(Settings!$G$14:$G$18,$BF910)),N(INDEX(Settings!$H$14:$H$18,$BF910)))+IF(ISNUMBER($K910),ABS($K910*$G910*$AG910*N($AH910))*IF($M910="Target",N(INDEX(Settings!$G$14:$G$18,$BF910)),N(INDEX(Settings!$H$14:$H$18,$BF910))),0),6)),IF(NOT(ISNUMBER($G910)),"",ROUND(ABS($G910)*2*IF(AND($BE910&gt;0,ISNUMBER(INDEX(Instruments!$G$6:$G$205,MAX(1,$BE910)))),INDEX(Instruments!$G$6:$G$205,MAX(1,$BE910)),N(INDEX(Settings!$F$14:$F$18,$BF910))),6))))</f>
        <v/>
      </c>
      <c r="AK910" s="55" t="str">
        <f>IF($AM910=0,"",IF(ISNUMBER($O910),$O910,$AI910))</f>
        <v/>
      </c>
      <c r="AL910" s="55" t="str">
        <f>IF($AM910=0,"",IF(ISNUMBER($P910),$P910,N($AJ910)))</f>
        <v/>
      </c>
      <c r="AM910" s="56">
        <f>IF(AND($A910&lt;&gt;"",$E910&lt;&gt;"",OR(AND(ISNUMBER($G910),ISNUMBER($H910),ISNUMBER($K910)),ISNUMBER($O910))),1,0)</f>
        <v>0</v>
      </c>
      <c r="AN910" s="57" t="str">
        <f>IF($A910="","",$A910-WEEKDAY($A910,3))</f>
        <v/>
      </c>
      <c r="AO910" s="56" t="str">
        <f>IF($A910="","",WEEKDAY($A910,2))</f>
        <v/>
      </c>
      <c r="AP910" s="55" t="str">
        <f>IF(OR($AM910=0,$C910=""),"",IFERROR(N(INDEX(Accounts!$E$7:$E$16,MATCH($C910,Accounts!$B$7:$B$16,0))),0)+SUMIFS($Q$6:$Q910,$C$6:$C910,$C910))</f>
        <v/>
      </c>
      <c r="AQ910" s="55" t="str">
        <f>IF(OR($AM910=0,$C910=""),"",SUMIFS($Q$6:$Q$1005,$C$6:$C$1005,$C910,$A$6:$A$1005,$A910))</f>
        <v/>
      </c>
      <c r="AR910" s="55" t="str">
        <f>IF(OR($AM910=0,$C910=""),"",IFERROR(N(INDEX(Accounts!$E$7:$E$16,MATCH($C910,Accounts!$B$7:$B$16,0))),0)+SUMIFS($Q$6:$Q$1005,$C$6:$C$1005,$C910,$A$6:$A$1005,"&lt;="&amp;$A910))</f>
        <v/>
      </c>
      <c r="AS910" s="56">
        <f>IF(OR($AM910=0,$Q910=""),0,IF(AND($A910&gt;=Lists!$W$6,$A910&lt;=Lists!$W$7,OR(Dashboard!$D$6="All accounts",$C910=Dashboard!$D$6),OR(Dashboard!$D$7="All markets",$AF910=Dashboard!$D$7)),1,0))</f>
        <v>0</v>
      </c>
      <c r="AT910" s="55">
        <f>IF($AS910=1,N(AT909)+$Q910,N(AT909))</f>
        <v>1187.10688</v>
      </c>
      <c r="AU910" s="55">
        <f>MAX(N(AU909),$AT910)</f>
        <v>1187.10688</v>
      </c>
      <c r="AV910" s="55">
        <f>$AT910-$AU910</f>
        <v>0</v>
      </c>
      <c r="AW910" s="56">
        <f>IF($AS910=1,IF($S910="Win",N(AW909)+1,IF($S910="Loss",0,N(AW909))),N(AW909))</f>
        <v>5</v>
      </c>
      <c r="AX910" s="56">
        <f>IF($AS910=1,IF($S910="Loss",N(AX909)+1,IF($S910="Win",0,N(AX909))),N(AX909))</f>
        <v>0</v>
      </c>
      <c r="AY910" s="56" t="str">
        <f>IF($AS910=1,COUNTIF($AS$6:$AS910,1),"")</f>
        <v/>
      </c>
      <c r="AZ910" s="56">
        <f>MIN(904,N(Lists!$W$8))</f>
        <v>28</v>
      </c>
      <c r="BA910" s="56">
        <f>IF($AS910=1,IF(COUNTIFS($A$6:$A910,$A910,$AS$6:$AS910,1)=1,1,0),0)</f>
        <v>0</v>
      </c>
      <c r="BB910" s="55" t="str">
        <f>IF($BA910=1,SUMIFS($Q$6:$Q$1005,$A$6:$A$1005,$A910,$AS$6:$AS$1005,1),"")</f>
        <v/>
      </c>
      <c r="BC910" s="56">
        <f>IF(ISNUMBER($R910),1,0)</f>
        <v>0</v>
      </c>
      <c r="BD910" s="55" t="str">
        <f>IF(ISNUMBER($U910),$U910*$V910,"")</f>
        <v/>
      </c>
      <c r="BE910" s="56" t="str">
        <f>IF($AM910=0,"",IFERROR(MATCH($AF910&amp;"|"&amp;UPPER(TRIM($E910)),Lists!$A$6:$A$205,0),0))</f>
        <v/>
      </c>
      <c r="BF910" s="56" t="str">
        <f>IF($AM910=0,"",IFERROR(MATCH($AF910,Settings!$B$14:$B$18,0),IFERROR(MATCH(Settings!$C$6,Settings!$B$14:$B$18,0),1)))</f>
        <v/>
      </c>
      <c r="BG910" s="58" t="str">
        <f>IF($AM910=0,"",IF(NOT(ISNUMBER($I910)),"No stop; ","")&amp;IF(AND(ISNUMBER($H910),ISNUMBER($I910)),IF(OR(AND($F910&lt;&gt;"Short",$I910&gt;=$H910),AND($F910="Short",$I910&lt;=$H910)),"Stop on wrong side; ",""),"")&amp;IF($F910="","No direction; ","")&amp;IF(AND(ISNUMBER(Settings!$C$22),ISNUMBER($V910)),IF($V910&gt;Settings!$C$22,"Risk over max $; ",""),"")&amp;IF(AND(ISNUMBER(Settings!$C$23),ISNUMBER($V910),ISNUMBER($AP910),IFERROR(N(INDEX(Accounts!$E$7:$E$16,MATCH($C910,Accounts!$B$7:$B$16,0))),0)&gt;0),IF($V910&gt;Settings!$C$23*($AP910-N($Q910)),"Risk over max %; ",""),"")&amp;IF(AND(ISNUMBER(Settings!$C$24),ISNUMBER($N910)),IF($N910&gt;Settings!$C$24,"Leverage over max; ",""),"")&amp;IF(AND(ISNUMBER(Settings!$C$27),ISNUMBER($T910)),IF($T910&lt;Settings!$C$27,"R:R below min; ",""),"")&amp;IF(ISNUMBER(Settings!$C$25),IF(COUNTIFS($A$6:$A910,$A910,$AM$6:$AM910,1)&gt;Settings!$C$25,"Over max trades/day; ",""),"")&amp;IF(ISNUMBER(Settings!$C$26),IF(SUMIFS($Q$5:$Q909,$A$5:$A909,$A910)&lt;=-Settings!$C$26,"Traded after daily max loss; ",""),"")&amp;IF(AND($AG910="",NOT(ISNUMBER($O910))),"Symbol not in Instruments; ","")&amp;IF(AND($AH910="",NOT(ISNUMBER($O910))),"Forex cross: type Gross P&amp;L; ",""))</f>
        <v/>
      </c>
      <c r="BH910" s="56">
        <f>IF(ISNUMBER($Q910),1,0)</f>
        <v>0</v>
      </c>
      <c r="BI910" s="56">
        <f>IF($Y910="",0,1)</f>
        <v>0</v>
      </c>
      <c r="BJ910" s="56">
        <f>IF($AB910="",0,1)</f>
        <v>0</v>
      </c>
      <c r="BK910" s="56">
        <f>IF(AND($BH910=1,$W910&lt;&gt;"OK"),1,0)</f>
        <v>0</v>
      </c>
      <c r="BL910" s="55">
        <f>IF(N($AZ910)=0,0,IFERROR(INDEX($AT$6:$AT$1005,MATCH($AZ910,$AY$6:$AY$1005,0)),0))</f>
        <v>1187.10688</v>
      </c>
      <c r="BM910" s="56">
        <f>IF(ISNUMBER(SEARCH("daily max loss",$BG910)),1,0)</f>
        <v>0</v>
      </c>
    </row>
    <row r="911" ht="18" customHeight="1">
      <c r="A911" s="38" t="n"/>
      <c r="B911" s="39" t="n"/>
      <c r="C911" s="40" t="n"/>
      <c r="D911" s="41" t="n"/>
      <c r="E911" s="41" t="n"/>
      <c r="F911" s="41" t="n"/>
      <c r="G911" s="41" t="n"/>
      <c r="H911" s="42" t="n"/>
      <c r="I911" s="42" t="n"/>
      <c r="J911" s="42" t="n"/>
      <c r="K911" s="42" t="n"/>
      <c r="L911" s="41" t="n"/>
      <c r="M911" s="41" t="n"/>
      <c r="N911" s="41" t="n"/>
      <c r="O911" s="43" t="n"/>
      <c r="P911" s="43" t="n"/>
      <c r="Q911" s="44" t="str">
        <f>IF($AM911=0,"",IF(ISNUMBER($AK911),$AK911-N($AL911),""))</f>
        <v/>
      </c>
      <c r="R911" s="45" t="str">
        <f>IF(OR($Q911="",NOT(ISNUMBER($V911))),"",$AK911/$V911)</f>
        <v/>
      </c>
      <c r="S911" s="46" t="str">
        <f>IF($Q911="","",IF(AND(ISNUMBER($R911),ABS(N($R911))&lt;N(Settings!$C$8)),"Scratch",IF($Q911&gt;0,"Win",IF($Q911&lt;0,"Loss","Scratch"))))</f>
        <v/>
      </c>
      <c r="T911" s="47" t="str">
        <f>IF(OR($AM911=0,NOT(ISNUMBER($H911)),NOT(ISNUMBER($I911)),NOT(ISNUMBER($J911))),"",IF($H911=$I911,"",ROUND(ABS($J911-$H911)/ABS($H911-$I911),6)))</f>
        <v/>
      </c>
      <c r="U911" s="48" t="str">
        <f>IF(OR($S911&lt;&gt;"Win",NOT(ISNUMBER($T911)),NOT(ISNUMBER($R911))),"",MAX(0,$T911-$R911))</f>
        <v/>
      </c>
      <c r="V911" s="49" t="str">
        <f>IF(OR($AM911=0,NOT(ISNUMBER($H911)),NOT(ISNUMBER($I911)),NOT(ISNUMBER($G911))),"",IF(OR($AG911="",$AH911=""),"",IF(ROUND(ABS($H911-$I911)*ABS($G911)*$AG911*$AH911,6)=0,"",ROUND(ABS($H911-$I911)*ABS($G911)*$AG911*$AH911,6))))</f>
        <v/>
      </c>
      <c r="W911" s="50" t="str">
        <f>IF($AM911=0,"",IF($BG911="","OK",LEFT($BG911,LEN($BG911)-2)))</f>
        <v/>
      </c>
      <c r="X911" s="41" t="n"/>
      <c r="Y911" s="40" t="n"/>
      <c r="Z911" s="41" t="n"/>
      <c r="AA911" s="41" t="n"/>
      <c r="AB911" s="40" t="n"/>
      <c r="AC911" s="51" t="n"/>
      <c r="AD911" s="51" t="n"/>
      <c r="AE911" s="40" t="n"/>
      <c r="AF911" s="52" t="str">
        <f>IF($AM911=0,"",IF($D911&lt;&gt;"",$D911,IF(IFERROR(INDEX(Accounts!$C$7:$C$16,MATCH($C911,Accounts!$B$7:$B$16,0))&amp;"","")&lt;&gt;"",INDEX(Accounts!$C$7:$C$16,MATCH($C911,Accounts!$B$7:$B$16,0)),Settings!$C$6)))</f>
        <v/>
      </c>
      <c r="AG911" s="53" t="str">
        <f>IF($AM911=0,"",IF(AND($BE911&gt;0,N(INDEX(Instruments!$D$6:$D$205,MAX(1,$BE911)))&gt;0),INDEX(Instruments!$D$6:$D$205,MAX(1,$BE911)),IF(N(INDEX(Settings!$D$14:$D$18,$BF911))&gt;0,INDEX(Settings!$D$14:$D$18,$BF911),"")))</f>
        <v/>
      </c>
      <c r="AH911" s="54" t="str">
        <f>IF($AM911=0,"",IF($AF911&lt;&gt;"Forex",1,IF(MID(UPPER(SUBSTITUTE(TRIM($E911),"/","")),4,3)=UPPER(TRIM(Settings!$C$7)),1,IF(LEFT(UPPER(SUBSTITUTE(TRIM($E911),"/","")),3)=UPPER(TRIM(Settings!$C$7)),IF(AND(ISNUMBER($K911),N($K911)&lt;&gt;0),1/$K911,""),""))))</f>
        <v/>
      </c>
      <c r="AI911" s="55" t="str">
        <f>IF($AM911=0,"",IF(OR(NOT(ISNUMBER($H911)),NOT(ISNUMBER($K911)),NOT(ISNUMBER($G911)),$AG911="",$AH911=""),"",ROUND(($K911-$H911)*IF($F911="Short",-1,1)*$G911*$AG911*$AH911,6)))</f>
        <v/>
      </c>
      <c r="AJ911" s="55" t="str">
        <f>IF($AM911=0,"",IF(INDEX(Settings!$E$14:$E$18,$BF911)="% of notional",IF(OR($AG911="",NOT(ISNUMBER($H911)),NOT(ISNUMBER($G911))),"",ROUND(ABS($H911*$G911*$AG911*N($AH911))*IF($L911="Limit",N(INDEX(Settings!$G$14:$G$18,$BF911)),N(INDEX(Settings!$H$14:$H$18,$BF911)))+IF(ISNUMBER($K911),ABS($K911*$G911*$AG911*N($AH911))*IF($M911="Target",N(INDEX(Settings!$G$14:$G$18,$BF911)),N(INDEX(Settings!$H$14:$H$18,$BF911))),0),6)),IF(NOT(ISNUMBER($G911)),"",ROUND(ABS($G911)*2*IF(AND($BE911&gt;0,ISNUMBER(INDEX(Instruments!$G$6:$G$205,MAX(1,$BE911)))),INDEX(Instruments!$G$6:$G$205,MAX(1,$BE911)),N(INDEX(Settings!$F$14:$F$18,$BF911))),6))))</f>
        <v/>
      </c>
      <c r="AK911" s="55" t="str">
        <f>IF($AM911=0,"",IF(ISNUMBER($O911),$O911,$AI911))</f>
        <v/>
      </c>
      <c r="AL911" s="55" t="str">
        <f>IF($AM911=0,"",IF(ISNUMBER($P911),$P911,N($AJ911)))</f>
        <v/>
      </c>
      <c r="AM911" s="56">
        <f>IF(AND($A911&lt;&gt;"",$E911&lt;&gt;"",OR(AND(ISNUMBER($G911),ISNUMBER($H911),ISNUMBER($K911)),ISNUMBER($O911))),1,0)</f>
        <v>0</v>
      </c>
      <c r="AN911" s="57" t="str">
        <f>IF($A911="","",$A911-WEEKDAY($A911,3))</f>
        <v/>
      </c>
      <c r="AO911" s="56" t="str">
        <f>IF($A911="","",WEEKDAY($A911,2))</f>
        <v/>
      </c>
      <c r="AP911" s="55" t="str">
        <f>IF(OR($AM911=0,$C911=""),"",IFERROR(N(INDEX(Accounts!$E$7:$E$16,MATCH($C911,Accounts!$B$7:$B$16,0))),0)+SUMIFS($Q$6:$Q911,$C$6:$C911,$C911))</f>
        <v/>
      </c>
      <c r="AQ911" s="55" t="str">
        <f>IF(OR($AM911=0,$C911=""),"",SUMIFS($Q$6:$Q$1005,$C$6:$C$1005,$C911,$A$6:$A$1005,$A911))</f>
        <v/>
      </c>
      <c r="AR911" s="55" t="str">
        <f>IF(OR($AM911=0,$C911=""),"",IFERROR(N(INDEX(Accounts!$E$7:$E$16,MATCH($C911,Accounts!$B$7:$B$16,0))),0)+SUMIFS($Q$6:$Q$1005,$C$6:$C$1005,$C911,$A$6:$A$1005,"&lt;="&amp;$A911))</f>
        <v/>
      </c>
      <c r="AS911" s="56">
        <f>IF(OR($AM911=0,$Q911=""),0,IF(AND($A911&gt;=Lists!$W$6,$A911&lt;=Lists!$W$7,OR(Dashboard!$D$6="All accounts",$C911=Dashboard!$D$6),OR(Dashboard!$D$7="All markets",$AF911=Dashboard!$D$7)),1,0))</f>
        <v>0</v>
      </c>
      <c r="AT911" s="55">
        <f>IF($AS911=1,N(AT910)+$Q911,N(AT910))</f>
        <v>1187.10688</v>
      </c>
      <c r="AU911" s="55">
        <f>MAX(N(AU910),$AT911)</f>
        <v>1187.10688</v>
      </c>
      <c r="AV911" s="55">
        <f>$AT911-$AU911</f>
        <v>0</v>
      </c>
      <c r="AW911" s="56">
        <f>IF($AS911=1,IF($S911="Win",N(AW910)+1,IF($S911="Loss",0,N(AW910))),N(AW910))</f>
        <v>5</v>
      </c>
      <c r="AX911" s="56">
        <f>IF($AS911=1,IF($S911="Loss",N(AX910)+1,IF($S911="Win",0,N(AX910))),N(AX910))</f>
        <v>0</v>
      </c>
      <c r="AY911" s="56" t="str">
        <f>IF($AS911=1,COUNTIF($AS$6:$AS911,1),"")</f>
        <v/>
      </c>
      <c r="AZ911" s="56">
        <f>MIN(905,N(Lists!$W$8))</f>
        <v>28</v>
      </c>
      <c r="BA911" s="56">
        <f>IF($AS911=1,IF(COUNTIFS($A$6:$A911,$A911,$AS$6:$AS911,1)=1,1,0),0)</f>
        <v>0</v>
      </c>
      <c r="BB911" s="55" t="str">
        <f>IF($BA911=1,SUMIFS($Q$6:$Q$1005,$A$6:$A$1005,$A911,$AS$6:$AS$1005,1),"")</f>
        <v/>
      </c>
      <c r="BC911" s="56">
        <f>IF(ISNUMBER($R911),1,0)</f>
        <v>0</v>
      </c>
      <c r="BD911" s="55" t="str">
        <f>IF(ISNUMBER($U911),$U911*$V911,"")</f>
        <v/>
      </c>
      <c r="BE911" s="56" t="str">
        <f>IF($AM911=0,"",IFERROR(MATCH($AF911&amp;"|"&amp;UPPER(TRIM($E911)),Lists!$A$6:$A$205,0),0))</f>
        <v/>
      </c>
      <c r="BF911" s="56" t="str">
        <f>IF($AM911=0,"",IFERROR(MATCH($AF911,Settings!$B$14:$B$18,0),IFERROR(MATCH(Settings!$C$6,Settings!$B$14:$B$18,0),1)))</f>
        <v/>
      </c>
      <c r="BG911" s="58" t="str">
        <f>IF($AM911=0,"",IF(NOT(ISNUMBER($I911)),"No stop; ","")&amp;IF(AND(ISNUMBER($H911),ISNUMBER($I911)),IF(OR(AND($F911&lt;&gt;"Short",$I911&gt;=$H911),AND($F911="Short",$I911&lt;=$H911)),"Stop on wrong side; ",""),"")&amp;IF($F911="","No direction; ","")&amp;IF(AND(ISNUMBER(Settings!$C$22),ISNUMBER($V911)),IF($V911&gt;Settings!$C$22,"Risk over max $; ",""),"")&amp;IF(AND(ISNUMBER(Settings!$C$23),ISNUMBER($V911),ISNUMBER($AP911),IFERROR(N(INDEX(Accounts!$E$7:$E$16,MATCH($C911,Accounts!$B$7:$B$16,0))),0)&gt;0),IF($V911&gt;Settings!$C$23*($AP911-N($Q911)),"Risk over max %; ",""),"")&amp;IF(AND(ISNUMBER(Settings!$C$24),ISNUMBER($N911)),IF($N911&gt;Settings!$C$24,"Leverage over max; ",""),"")&amp;IF(AND(ISNUMBER(Settings!$C$27),ISNUMBER($T911)),IF($T911&lt;Settings!$C$27,"R:R below min; ",""),"")&amp;IF(ISNUMBER(Settings!$C$25),IF(COUNTIFS($A$6:$A911,$A911,$AM$6:$AM911,1)&gt;Settings!$C$25,"Over max trades/day; ",""),"")&amp;IF(ISNUMBER(Settings!$C$26),IF(SUMIFS($Q$5:$Q910,$A$5:$A910,$A911)&lt;=-Settings!$C$26,"Traded after daily max loss; ",""),"")&amp;IF(AND($AG911="",NOT(ISNUMBER($O911))),"Symbol not in Instruments; ","")&amp;IF(AND($AH911="",NOT(ISNUMBER($O911))),"Forex cross: type Gross P&amp;L; ",""))</f>
        <v/>
      </c>
      <c r="BH911" s="56">
        <f>IF(ISNUMBER($Q911),1,0)</f>
        <v>0</v>
      </c>
      <c r="BI911" s="56">
        <f>IF($Y911="",0,1)</f>
        <v>0</v>
      </c>
      <c r="BJ911" s="56">
        <f>IF($AB911="",0,1)</f>
        <v>0</v>
      </c>
      <c r="BK911" s="56">
        <f>IF(AND($BH911=1,$W911&lt;&gt;"OK"),1,0)</f>
        <v>0</v>
      </c>
      <c r="BL911" s="55">
        <f>IF(N($AZ911)=0,0,IFERROR(INDEX($AT$6:$AT$1005,MATCH($AZ911,$AY$6:$AY$1005,0)),0))</f>
        <v>1187.10688</v>
      </c>
      <c r="BM911" s="56">
        <f>IF(ISNUMBER(SEARCH("daily max loss",$BG911)),1,0)</f>
        <v>0</v>
      </c>
    </row>
    <row r="912" ht="18" customHeight="1">
      <c r="A912" s="38" t="n"/>
      <c r="B912" s="39" t="n"/>
      <c r="C912" s="40" t="n"/>
      <c r="D912" s="41" t="n"/>
      <c r="E912" s="41" t="n"/>
      <c r="F912" s="41" t="n"/>
      <c r="G912" s="41" t="n"/>
      <c r="H912" s="42" t="n"/>
      <c r="I912" s="42" t="n"/>
      <c r="J912" s="42" t="n"/>
      <c r="K912" s="42" t="n"/>
      <c r="L912" s="41" t="n"/>
      <c r="M912" s="41" t="n"/>
      <c r="N912" s="41" t="n"/>
      <c r="O912" s="43" t="n"/>
      <c r="P912" s="43" t="n"/>
      <c r="Q912" s="44" t="str">
        <f>IF($AM912=0,"",IF(ISNUMBER($AK912),$AK912-N($AL912),""))</f>
        <v/>
      </c>
      <c r="R912" s="45" t="str">
        <f>IF(OR($Q912="",NOT(ISNUMBER($V912))),"",$AK912/$V912)</f>
        <v/>
      </c>
      <c r="S912" s="46" t="str">
        <f>IF($Q912="","",IF(AND(ISNUMBER($R912),ABS(N($R912))&lt;N(Settings!$C$8)),"Scratch",IF($Q912&gt;0,"Win",IF($Q912&lt;0,"Loss","Scratch"))))</f>
        <v/>
      </c>
      <c r="T912" s="47" t="str">
        <f>IF(OR($AM912=0,NOT(ISNUMBER($H912)),NOT(ISNUMBER($I912)),NOT(ISNUMBER($J912))),"",IF($H912=$I912,"",ROUND(ABS($J912-$H912)/ABS($H912-$I912),6)))</f>
        <v/>
      </c>
      <c r="U912" s="48" t="str">
        <f>IF(OR($S912&lt;&gt;"Win",NOT(ISNUMBER($T912)),NOT(ISNUMBER($R912))),"",MAX(0,$T912-$R912))</f>
        <v/>
      </c>
      <c r="V912" s="49" t="str">
        <f>IF(OR($AM912=0,NOT(ISNUMBER($H912)),NOT(ISNUMBER($I912)),NOT(ISNUMBER($G912))),"",IF(OR($AG912="",$AH912=""),"",IF(ROUND(ABS($H912-$I912)*ABS($G912)*$AG912*$AH912,6)=0,"",ROUND(ABS($H912-$I912)*ABS($G912)*$AG912*$AH912,6))))</f>
        <v/>
      </c>
      <c r="W912" s="50" t="str">
        <f>IF($AM912=0,"",IF($BG912="","OK",LEFT($BG912,LEN($BG912)-2)))</f>
        <v/>
      </c>
      <c r="X912" s="41" t="n"/>
      <c r="Y912" s="40" t="n"/>
      <c r="Z912" s="41" t="n"/>
      <c r="AA912" s="41" t="n"/>
      <c r="AB912" s="40" t="n"/>
      <c r="AC912" s="51" t="n"/>
      <c r="AD912" s="51" t="n"/>
      <c r="AE912" s="40" t="n"/>
      <c r="AF912" s="52" t="str">
        <f>IF($AM912=0,"",IF($D912&lt;&gt;"",$D912,IF(IFERROR(INDEX(Accounts!$C$7:$C$16,MATCH($C912,Accounts!$B$7:$B$16,0))&amp;"","")&lt;&gt;"",INDEX(Accounts!$C$7:$C$16,MATCH($C912,Accounts!$B$7:$B$16,0)),Settings!$C$6)))</f>
        <v/>
      </c>
      <c r="AG912" s="53" t="str">
        <f>IF($AM912=0,"",IF(AND($BE912&gt;0,N(INDEX(Instruments!$D$6:$D$205,MAX(1,$BE912)))&gt;0),INDEX(Instruments!$D$6:$D$205,MAX(1,$BE912)),IF(N(INDEX(Settings!$D$14:$D$18,$BF912))&gt;0,INDEX(Settings!$D$14:$D$18,$BF912),"")))</f>
        <v/>
      </c>
      <c r="AH912" s="54" t="str">
        <f>IF($AM912=0,"",IF($AF912&lt;&gt;"Forex",1,IF(MID(UPPER(SUBSTITUTE(TRIM($E912),"/","")),4,3)=UPPER(TRIM(Settings!$C$7)),1,IF(LEFT(UPPER(SUBSTITUTE(TRIM($E912),"/","")),3)=UPPER(TRIM(Settings!$C$7)),IF(AND(ISNUMBER($K912),N($K912)&lt;&gt;0),1/$K912,""),""))))</f>
        <v/>
      </c>
      <c r="AI912" s="55" t="str">
        <f>IF($AM912=0,"",IF(OR(NOT(ISNUMBER($H912)),NOT(ISNUMBER($K912)),NOT(ISNUMBER($G912)),$AG912="",$AH912=""),"",ROUND(($K912-$H912)*IF($F912="Short",-1,1)*$G912*$AG912*$AH912,6)))</f>
        <v/>
      </c>
      <c r="AJ912" s="55" t="str">
        <f>IF($AM912=0,"",IF(INDEX(Settings!$E$14:$E$18,$BF912)="% of notional",IF(OR($AG912="",NOT(ISNUMBER($H912)),NOT(ISNUMBER($G912))),"",ROUND(ABS($H912*$G912*$AG912*N($AH912))*IF($L912="Limit",N(INDEX(Settings!$G$14:$G$18,$BF912)),N(INDEX(Settings!$H$14:$H$18,$BF912)))+IF(ISNUMBER($K912),ABS($K912*$G912*$AG912*N($AH912))*IF($M912="Target",N(INDEX(Settings!$G$14:$G$18,$BF912)),N(INDEX(Settings!$H$14:$H$18,$BF912))),0),6)),IF(NOT(ISNUMBER($G912)),"",ROUND(ABS($G912)*2*IF(AND($BE912&gt;0,ISNUMBER(INDEX(Instruments!$G$6:$G$205,MAX(1,$BE912)))),INDEX(Instruments!$G$6:$G$205,MAX(1,$BE912)),N(INDEX(Settings!$F$14:$F$18,$BF912))),6))))</f>
        <v/>
      </c>
      <c r="AK912" s="55" t="str">
        <f>IF($AM912=0,"",IF(ISNUMBER($O912),$O912,$AI912))</f>
        <v/>
      </c>
      <c r="AL912" s="55" t="str">
        <f>IF($AM912=0,"",IF(ISNUMBER($P912),$P912,N($AJ912)))</f>
        <v/>
      </c>
      <c r="AM912" s="56">
        <f>IF(AND($A912&lt;&gt;"",$E912&lt;&gt;"",OR(AND(ISNUMBER($G912),ISNUMBER($H912),ISNUMBER($K912)),ISNUMBER($O912))),1,0)</f>
        <v>0</v>
      </c>
      <c r="AN912" s="57" t="str">
        <f>IF($A912="","",$A912-WEEKDAY($A912,3))</f>
        <v/>
      </c>
      <c r="AO912" s="56" t="str">
        <f>IF($A912="","",WEEKDAY($A912,2))</f>
        <v/>
      </c>
      <c r="AP912" s="55" t="str">
        <f>IF(OR($AM912=0,$C912=""),"",IFERROR(N(INDEX(Accounts!$E$7:$E$16,MATCH($C912,Accounts!$B$7:$B$16,0))),0)+SUMIFS($Q$6:$Q912,$C$6:$C912,$C912))</f>
        <v/>
      </c>
      <c r="AQ912" s="55" t="str">
        <f>IF(OR($AM912=0,$C912=""),"",SUMIFS($Q$6:$Q$1005,$C$6:$C$1005,$C912,$A$6:$A$1005,$A912))</f>
        <v/>
      </c>
      <c r="AR912" s="55" t="str">
        <f>IF(OR($AM912=0,$C912=""),"",IFERROR(N(INDEX(Accounts!$E$7:$E$16,MATCH($C912,Accounts!$B$7:$B$16,0))),0)+SUMIFS($Q$6:$Q$1005,$C$6:$C$1005,$C912,$A$6:$A$1005,"&lt;="&amp;$A912))</f>
        <v/>
      </c>
      <c r="AS912" s="56">
        <f>IF(OR($AM912=0,$Q912=""),0,IF(AND($A912&gt;=Lists!$W$6,$A912&lt;=Lists!$W$7,OR(Dashboard!$D$6="All accounts",$C912=Dashboard!$D$6),OR(Dashboard!$D$7="All markets",$AF912=Dashboard!$D$7)),1,0))</f>
        <v>0</v>
      </c>
      <c r="AT912" s="55">
        <f>IF($AS912=1,N(AT911)+$Q912,N(AT911))</f>
        <v>1187.10688</v>
      </c>
      <c r="AU912" s="55">
        <f>MAX(N(AU911),$AT912)</f>
        <v>1187.10688</v>
      </c>
      <c r="AV912" s="55">
        <f>$AT912-$AU912</f>
        <v>0</v>
      </c>
      <c r="AW912" s="56">
        <f>IF($AS912=1,IF($S912="Win",N(AW911)+1,IF($S912="Loss",0,N(AW911))),N(AW911))</f>
        <v>5</v>
      </c>
      <c r="AX912" s="56">
        <f>IF($AS912=1,IF($S912="Loss",N(AX911)+1,IF($S912="Win",0,N(AX911))),N(AX911))</f>
        <v>0</v>
      </c>
      <c r="AY912" s="56" t="str">
        <f>IF($AS912=1,COUNTIF($AS$6:$AS912,1),"")</f>
        <v/>
      </c>
      <c r="AZ912" s="56">
        <f>MIN(906,N(Lists!$W$8))</f>
        <v>28</v>
      </c>
      <c r="BA912" s="56">
        <f>IF($AS912=1,IF(COUNTIFS($A$6:$A912,$A912,$AS$6:$AS912,1)=1,1,0),0)</f>
        <v>0</v>
      </c>
      <c r="BB912" s="55" t="str">
        <f>IF($BA912=1,SUMIFS($Q$6:$Q$1005,$A$6:$A$1005,$A912,$AS$6:$AS$1005,1),"")</f>
        <v/>
      </c>
      <c r="BC912" s="56">
        <f>IF(ISNUMBER($R912),1,0)</f>
        <v>0</v>
      </c>
      <c r="BD912" s="55" t="str">
        <f>IF(ISNUMBER($U912),$U912*$V912,"")</f>
        <v/>
      </c>
      <c r="BE912" s="56" t="str">
        <f>IF($AM912=0,"",IFERROR(MATCH($AF912&amp;"|"&amp;UPPER(TRIM($E912)),Lists!$A$6:$A$205,0),0))</f>
        <v/>
      </c>
      <c r="BF912" s="56" t="str">
        <f>IF($AM912=0,"",IFERROR(MATCH($AF912,Settings!$B$14:$B$18,0),IFERROR(MATCH(Settings!$C$6,Settings!$B$14:$B$18,0),1)))</f>
        <v/>
      </c>
      <c r="BG912" s="58" t="str">
        <f>IF($AM912=0,"",IF(NOT(ISNUMBER($I912)),"No stop; ","")&amp;IF(AND(ISNUMBER($H912),ISNUMBER($I912)),IF(OR(AND($F912&lt;&gt;"Short",$I912&gt;=$H912),AND($F912="Short",$I912&lt;=$H912)),"Stop on wrong side; ",""),"")&amp;IF($F912="","No direction; ","")&amp;IF(AND(ISNUMBER(Settings!$C$22),ISNUMBER($V912)),IF($V912&gt;Settings!$C$22,"Risk over max $; ",""),"")&amp;IF(AND(ISNUMBER(Settings!$C$23),ISNUMBER($V912),ISNUMBER($AP912),IFERROR(N(INDEX(Accounts!$E$7:$E$16,MATCH($C912,Accounts!$B$7:$B$16,0))),0)&gt;0),IF($V912&gt;Settings!$C$23*($AP912-N($Q912)),"Risk over max %; ",""),"")&amp;IF(AND(ISNUMBER(Settings!$C$24),ISNUMBER($N912)),IF($N912&gt;Settings!$C$24,"Leverage over max; ",""),"")&amp;IF(AND(ISNUMBER(Settings!$C$27),ISNUMBER($T912)),IF($T912&lt;Settings!$C$27,"R:R below min; ",""),"")&amp;IF(ISNUMBER(Settings!$C$25),IF(COUNTIFS($A$6:$A912,$A912,$AM$6:$AM912,1)&gt;Settings!$C$25,"Over max trades/day; ",""),"")&amp;IF(ISNUMBER(Settings!$C$26),IF(SUMIFS($Q$5:$Q911,$A$5:$A911,$A912)&lt;=-Settings!$C$26,"Traded after daily max loss; ",""),"")&amp;IF(AND($AG912="",NOT(ISNUMBER($O912))),"Symbol not in Instruments; ","")&amp;IF(AND($AH912="",NOT(ISNUMBER($O912))),"Forex cross: type Gross P&amp;L; ",""))</f>
        <v/>
      </c>
      <c r="BH912" s="56">
        <f>IF(ISNUMBER($Q912),1,0)</f>
        <v>0</v>
      </c>
      <c r="BI912" s="56">
        <f>IF($Y912="",0,1)</f>
        <v>0</v>
      </c>
      <c r="BJ912" s="56">
        <f>IF($AB912="",0,1)</f>
        <v>0</v>
      </c>
      <c r="BK912" s="56">
        <f>IF(AND($BH912=1,$W912&lt;&gt;"OK"),1,0)</f>
        <v>0</v>
      </c>
      <c r="BL912" s="55">
        <f>IF(N($AZ912)=0,0,IFERROR(INDEX($AT$6:$AT$1005,MATCH($AZ912,$AY$6:$AY$1005,0)),0))</f>
        <v>1187.10688</v>
      </c>
      <c r="BM912" s="56">
        <f>IF(ISNUMBER(SEARCH("daily max loss",$BG912)),1,0)</f>
        <v>0</v>
      </c>
    </row>
    <row r="913" ht="18" customHeight="1">
      <c r="A913" s="38" t="n"/>
      <c r="B913" s="39" t="n"/>
      <c r="C913" s="40" t="n"/>
      <c r="D913" s="41" t="n"/>
      <c r="E913" s="41" t="n"/>
      <c r="F913" s="41" t="n"/>
      <c r="G913" s="41" t="n"/>
      <c r="H913" s="42" t="n"/>
      <c r="I913" s="42" t="n"/>
      <c r="J913" s="42" t="n"/>
      <c r="K913" s="42" t="n"/>
      <c r="L913" s="41" t="n"/>
      <c r="M913" s="41" t="n"/>
      <c r="N913" s="41" t="n"/>
      <c r="O913" s="43" t="n"/>
      <c r="P913" s="43" t="n"/>
      <c r="Q913" s="44" t="str">
        <f>IF($AM913=0,"",IF(ISNUMBER($AK913),$AK913-N($AL913),""))</f>
        <v/>
      </c>
      <c r="R913" s="45" t="str">
        <f>IF(OR($Q913="",NOT(ISNUMBER($V913))),"",$AK913/$V913)</f>
        <v/>
      </c>
      <c r="S913" s="46" t="str">
        <f>IF($Q913="","",IF(AND(ISNUMBER($R913),ABS(N($R913))&lt;N(Settings!$C$8)),"Scratch",IF($Q913&gt;0,"Win",IF($Q913&lt;0,"Loss","Scratch"))))</f>
        <v/>
      </c>
      <c r="T913" s="47" t="str">
        <f>IF(OR($AM913=0,NOT(ISNUMBER($H913)),NOT(ISNUMBER($I913)),NOT(ISNUMBER($J913))),"",IF($H913=$I913,"",ROUND(ABS($J913-$H913)/ABS($H913-$I913),6)))</f>
        <v/>
      </c>
      <c r="U913" s="48" t="str">
        <f>IF(OR($S913&lt;&gt;"Win",NOT(ISNUMBER($T913)),NOT(ISNUMBER($R913))),"",MAX(0,$T913-$R913))</f>
        <v/>
      </c>
      <c r="V913" s="49" t="str">
        <f>IF(OR($AM913=0,NOT(ISNUMBER($H913)),NOT(ISNUMBER($I913)),NOT(ISNUMBER($G913))),"",IF(OR($AG913="",$AH913=""),"",IF(ROUND(ABS($H913-$I913)*ABS($G913)*$AG913*$AH913,6)=0,"",ROUND(ABS($H913-$I913)*ABS($G913)*$AG913*$AH913,6))))</f>
        <v/>
      </c>
      <c r="W913" s="50" t="str">
        <f>IF($AM913=0,"",IF($BG913="","OK",LEFT($BG913,LEN($BG913)-2)))</f>
        <v/>
      </c>
      <c r="X913" s="41" t="n"/>
      <c r="Y913" s="40" t="n"/>
      <c r="Z913" s="41" t="n"/>
      <c r="AA913" s="41" t="n"/>
      <c r="AB913" s="40" t="n"/>
      <c r="AC913" s="51" t="n"/>
      <c r="AD913" s="51" t="n"/>
      <c r="AE913" s="40" t="n"/>
      <c r="AF913" s="52" t="str">
        <f>IF($AM913=0,"",IF($D913&lt;&gt;"",$D913,IF(IFERROR(INDEX(Accounts!$C$7:$C$16,MATCH($C913,Accounts!$B$7:$B$16,0))&amp;"","")&lt;&gt;"",INDEX(Accounts!$C$7:$C$16,MATCH($C913,Accounts!$B$7:$B$16,0)),Settings!$C$6)))</f>
        <v/>
      </c>
      <c r="AG913" s="53" t="str">
        <f>IF($AM913=0,"",IF(AND($BE913&gt;0,N(INDEX(Instruments!$D$6:$D$205,MAX(1,$BE913)))&gt;0),INDEX(Instruments!$D$6:$D$205,MAX(1,$BE913)),IF(N(INDEX(Settings!$D$14:$D$18,$BF913))&gt;0,INDEX(Settings!$D$14:$D$18,$BF913),"")))</f>
        <v/>
      </c>
      <c r="AH913" s="54" t="str">
        <f>IF($AM913=0,"",IF($AF913&lt;&gt;"Forex",1,IF(MID(UPPER(SUBSTITUTE(TRIM($E913),"/","")),4,3)=UPPER(TRIM(Settings!$C$7)),1,IF(LEFT(UPPER(SUBSTITUTE(TRIM($E913),"/","")),3)=UPPER(TRIM(Settings!$C$7)),IF(AND(ISNUMBER($K913),N($K913)&lt;&gt;0),1/$K913,""),""))))</f>
        <v/>
      </c>
      <c r="AI913" s="55" t="str">
        <f>IF($AM913=0,"",IF(OR(NOT(ISNUMBER($H913)),NOT(ISNUMBER($K913)),NOT(ISNUMBER($G913)),$AG913="",$AH913=""),"",ROUND(($K913-$H913)*IF($F913="Short",-1,1)*$G913*$AG913*$AH913,6)))</f>
        <v/>
      </c>
      <c r="AJ913" s="55" t="str">
        <f>IF($AM913=0,"",IF(INDEX(Settings!$E$14:$E$18,$BF913)="% of notional",IF(OR($AG913="",NOT(ISNUMBER($H913)),NOT(ISNUMBER($G913))),"",ROUND(ABS($H913*$G913*$AG913*N($AH913))*IF($L913="Limit",N(INDEX(Settings!$G$14:$G$18,$BF913)),N(INDEX(Settings!$H$14:$H$18,$BF913)))+IF(ISNUMBER($K913),ABS($K913*$G913*$AG913*N($AH913))*IF($M913="Target",N(INDEX(Settings!$G$14:$G$18,$BF913)),N(INDEX(Settings!$H$14:$H$18,$BF913))),0),6)),IF(NOT(ISNUMBER($G913)),"",ROUND(ABS($G913)*2*IF(AND($BE913&gt;0,ISNUMBER(INDEX(Instruments!$G$6:$G$205,MAX(1,$BE913)))),INDEX(Instruments!$G$6:$G$205,MAX(1,$BE913)),N(INDEX(Settings!$F$14:$F$18,$BF913))),6))))</f>
        <v/>
      </c>
      <c r="AK913" s="55" t="str">
        <f>IF($AM913=0,"",IF(ISNUMBER($O913),$O913,$AI913))</f>
        <v/>
      </c>
      <c r="AL913" s="55" t="str">
        <f>IF($AM913=0,"",IF(ISNUMBER($P913),$P913,N($AJ913)))</f>
        <v/>
      </c>
      <c r="AM913" s="56">
        <f>IF(AND($A913&lt;&gt;"",$E913&lt;&gt;"",OR(AND(ISNUMBER($G913),ISNUMBER($H913),ISNUMBER($K913)),ISNUMBER($O913))),1,0)</f>
        <v>0</v>
      </c>
      <c r="AN913" s="57" t="str">
        <f>IF($A913="","",$A913-WEEKDAY($A913,3))</f>
        <v/>
      </c>
      <c r="AO913" s="56" t="str">
        <f>IF($A913="","",WEEKDAY($A913,2))</f>
        <v/>
      </c>
      <c r="AP913" s="55" t="str">
        <f>IF(OR($AM913=0,$C913=""),"",IFERROR(N(INDEX(Accounts!$E$7:$E$16,MATCH($C913,Accounts!$B$7:$B$16,0))),0)+SUMIFS($Q$6:$Q913,$C$6:$C913,$C913))</f>
        <v/>
      </c>
      <c r="AQ913" s="55" t="str">
        <f>IF(OR($AM913=0,$C913=""),"",SUMIFS($Q$6:$Q$1005,$C$6:$C$1005,$C913,$A$6:$A$1005,$A913))</f>
        <v/>
      </c>
      <c r="AR913" s="55" t="str">
        <f>IF(OR($AM913=0,$C913=""),"",IFERROR(N(INDEX(Accounts!$E$7:$E$16,MATCH($C913,Accounts!$B$7:$B$16,0))),0)+SUMIFS($Q$6:$Q$1005,$C$6:$C$1005,$C913,$A$6:$A$1005,"&lt;="&amp;$A913))</f>
        <v/>
      </c>
      <c r="AS913" s="56">
        <f>IF(OR($AM913=0,$Q913=""),0,IF(AND($A913&gt;=Lists!$W$6,$A913&lt;=Lists!$W$7,OR(Dashboard!$D$6="All accounts",$C913=Dashboard!$D$6),OR(Dashboard!$D$7="All markets",$AF913=Dashboard!$D$7)),1,0))</f>
        <v>0</v>
      </c>
      <c r="AT913" s="55">
        <f>IF($AS913=1,N(AT912)+$Q913,N(AT912))</f>
        <v>1187.10688</v>
      </c>
      <c r="AU913" s="55">
        <f>MAX(N(AU912),$AT913)</f>
        <v>1187.10688</v>
      </c>
      <c r="AV913" s="55">
        <f>$AT913-$AU913</f>
        <v>0</v>
      </c>
      <c r="AW913" s="56">
        <f>IF($AS913=1,IF($S913="Win",N(AW912)+1,IF($S913="Loss",0,N(AW912))),N(AW912))</f>
        <v>5</v>
      </c>
      <c r="AX913" s="56">
        <f>IF($AS913=1,IF($S913="Loss",N(AX912)+1,IF($S913="Win",0,N(AX912))),N(AX912))</f>
        <v>0</v>
      </c>
      <c r="AY913" s="56" t="str">
        <f>IF($AS913=1,COUNTIF($AS$6:$AS913,1),"")</f>
        <v/>
      </c>
      <c r="AZ913" s="56">
        <f>MIN(907,N(Lists!$W$8))</f>
        <v>28</v>
      </c>
      <c r="BA913" s="56">
        <f>IF($AS913=1,IF(COUNTIFS($A$6:$A913,$A913,$AS$6:$AS913,1)=1,1,0),0)</f>
        <v>0</v>
      </c>
      <c r="BB913" s="55" t="str">
        <f>IF($BA913=1,SUMIFS($Q$6:$Q$1005,$A$6:$A$1005,$A913,$AS$6:$AS$1005,1),"")</f>
        <v/>
      </c>
      <c r="BC913" s="56">
        <f>IF(ISNUMBER($R913),1,0)</f>
        <v>0</v>
      </c>
      <c r="BD913" s="55" t="str">
        <f>IF(ISNUMBER($U913),$U913*$V913,"")</f>
        <v/>
      </c>
      <c r="BE913" s="56" t="str">
        <f>IF($AM913=0,"",IFERROR(MATCH($AF913&amp;"|"&amp;UPPER(TRIM($E913)),Lists!$A$6:$A$205,0),0))</f>
        <v/>
      </c>
      <c r="BF913" s="56" t="str">
        <f>IF($AM913=0,"",IFERROR(MATCH($AF913,Settings!$B$14:$B$18,0),IFERROR(MATCH(Settings!$C$6,Settings!$B$14:$B$18,0),1)))</f>
        <v/>
      </c>
      <c r="BG913" s="58" t="str">
        <f>IF($AM913=0,"",IF(NOT(ISNUMBER($I913)),"No stop; ","")&amp;IF(AND(ISNUMBER($H913),ISNUMBER($I913)),IF(OR(AND($F913&lt;&gt;"Short",$I913&gt;=$H913),AND($F913="Short",$I913&lt;=$H913)),"Stop on wrong side; ",""),"")&amp;IF($F913="","No direction; ","")&amp;IF(AND(ISNUMBER(Settings!$C$22),ISNUMBER($V913)),IF($V913&gt;Settings!$C$22,"Risk over max $; ",""),"")&amp;IF(AND(ISNUMBER(Settings!$C$23),ISNUMBER($V913),ISNUMBER($AP913),IFERROR(N(INDEX(Accounts!$E$7:$E$16,MATCH($C913,Accounts!$B$7:$B$16,0))),0)&gt;0),IF($V913&gt;Settings!$C$23*($AP913-N($Q913)),"Risk over max %; ",""),"")&amp;IF(AND(ISNUMBER(Settings!$C$24),ISNUMBER($N913)),IF($N913&gt;Settings!$C$24,"Leverage over max; ",""),"")&amp;IF(AND(ISNUMBER(Settings!$C$27),ISNUMBER($T913)),IF($T913&lt;Settings!$C$27,"R:R below min; ",""),"")&amp;IF(ISNUMBER(Settings!$C$25),IF(COUNTIFS($A$6:$A913,$A913,$AM$6:$AM913,1)&gt;Settings!$C$25,"Over max trades/day; ",""),"")&amp;IF(ISNUMBER(Settings!$C$26),IF(SUMIFS($Q$5:$Q912,$A$5:$A912,$A913)&lt;=-Settings!$C$26,"Traded after daily max loss; ",""),"")&amp;IF(AND($AG913="",NOT(ISNUMBER($O913))),"Symbol not in Instruments; ","")&amp;IF(AND($AH913="",NOT(ISNUMBER($O913))),"Forex cross: type Gross P&amp;L; ",""))</f>
        <v/>
      </c>
      <c r="BH913" s="56">
        <f>IF(ISNUMBER($Q913),1,0)</f>
        <v>0</v>
      </c>
      <c r="BI913" s="56">
        <f>IF($Y913="",0,1)</f>
        <v>0</v>
      </c>
      <c r="BJ913" s="56">
        <f>IF($AB913="",0,1)</f>
        <v>0</v>
      </c>
      <c r="BK913" s="56">
        <f>IF(AND($BH913=1,$W913&lt;&gt;"OK"),1,0)</f>
        <v>0</v>
      </c>
      <c r="BL913" s="55">
        <f>IF(N($AZ913)=0,0,IFERROR(INDEX($AT$6:$AT$1005,MATCH($AZ913,$AY$6:$AY$1005,0)),0))</f>
        <v>1187.10688</v>
      </c>
      <c r="BM913" s="56">
        <f>IF(ISNUMBER(SEARCH("daily max loss",$BG913)),1,0)</f>
        <v>0</v>
      </c>
    </row>
    <row r="914" ht="18" customHeight="1">
      <c r="A914" s="38" t="n"/>
      <c r="B914" s="39" t="n"/>
      <c r="C914" s="40" t="n"/>
      <c r="D914" s="41" t="n"/>
      <c r="E914" s="41" t="n"/>
      <c r="F914" s="41" t="n"/>
      <c r="G914" s="41" t="n"/>
      <c r="H914" s="42" t="n"/>
      <c r="I914" s="42" t="n"/>
      <c r="J914" s="42" t="n"/>
      <c r="K914" s="42" t="n"/>
      <c r="L914" s="41" t="n"/>
      <c r="M914" s="41" t="n"/>
      <c r="N914" s="41" t="n"/>
      <c r="O914" s="43" t="n"/>
      <c r="P914" s="43" t="n"/>
      <c r="Q914" s="44" t="str">
        <f>IF($AM914=0,"",IF(ISNUMBER($AK914),$AK914-N($AL914),""))</f>
        <v/>
      </c>
      <c r="R914" s="45" t="str">
        <f>IF(OR($Q914="",NOT(ISNUMBER($V914))),"",$AK914/$V914)</f>
        <v/>
      </c>
      <c r="S914" s="46" t="str">
        <f>IF($Q914="","",IF(AND(ISNUMBER($R914),ABS(N($R914))&lt;N(Settings!$C$8)),"Scratch",IF($Q914&gt;0,"Win",IF($Q914&lt;0,"Loss","Scratch"))))</f>
        <v/>
      </c>
      <c r="T914" s="47" t="str">
        <f>IF(OR($AM914=0,NOT(ISNUMBER($H914)),NOT(ISNUMBER($I914)),NOT(ISNUMBER($J914))),"",IF($H914=$I914,"",ROUND(ABS($J914-$H914)/ABS($H914-$I914),6)))</f>
        <v/>
      </c>
      <c r="U914" s="48" t="str">
        <f>IF(OR($S914&lt;&gt;"Win",NOT(ISNUMBER($T914)),NOT(ISNUMBER($R914))),"",MAX(0,$T914-$R914))</f>
        <v/>
      </c>
      <c r="V914" s="49" t="str">
        <f>IF(OR($AM914=0,NOT(ISNUMBER($H914)),NOT(ISNUMBER($I914)),NOT(ISNUMBER($G914))),"",IF(OR($AG914="",$AH914=""),"",IF(ROUND(ABS($H914-$I914)*ABS($G914)*$AG914*$AH914,6)=0,"",ROUND(ABS($H914-$I914)*ABS($G914)*$AG914*$AH914,6))))</f>
        <v/>
      </c>
      <c r="W914" s="50" t="str">
        <f>IF($AM914=0,"",IF($BG914="","OK",LEFT($BG914,LEN($BG914)-2)))</f>
        <v/>
      </c>
      <c r="X914" s="41" t="n"/>
      <c r="Y914" s="40" t="n"/>
      <c r="Z914" s="41" t="n"/>
      <c r="AA914" s="41" t="n"/>
      <c r="AB914" s="40" t="n"/>
      <c r="AC914" s="51" t="n"/>
      <c r="AD914" s="51" t="n"/>
      <c r="AE914" s="40" t="n"/>
      <c r="AF914" s="52" t="str">
        <f>IF($AM914=0,"",IF($D914&lt;&gt;"",$D914,IF(IFERROR(INDEX(Accounts!$C$7:$C$16,MATCH($C914,Accounts!$B$7:$B$16,0))&amp;"","")&lt;&gt;"",INDEX(Accounts!$C$7:$C$16,MATCH($C914,Accounts!$B$7:$B$16,0)),Settings!$C$6)))</f>
        <v/>
      </c>
      <c r="AG914" s="53" t="str">
        <f>IF($AM914=0,"",IF(AND($BE914&gt;0,N(INDEX(Instruments!$D$6:$D$205,MAX(1,$BE914)))&gt;0),INDEX(Instruments!$D$6:$D$205,MAX(1,$BE914)),IF(N(INDEX(Settings!$D$14:$D$18,$BF914))&gt;0,INDEX(Settings!$D$14:$D$18,$BF914),"")))</f>
        <v/>
      </c>
      <c r="AH914" s="54" t="str">
        <f>IF($AM914=0,"",IF($AF914&lt;&gt;"Forex",1,IF(MID(UPPER(SUBSTITUTE(TRIM($E914),"/","")),4,3)=UPPER(TRIM(Settings!$C$7)),1,IF(LEFT(UPPER(SUBSTITUTE(TRIM($E914),"/","")),3)=UPPER(TRIM(Settings!$C$7)),IF(AND(ISNUMBER($K914),N($K914)&lt;&gt;0),1/$K914,""),""))))</f>
        <v/>
      </c>
      <c r="AI914" s="55" t="str">
        <f>IF($AM914=0,"",IF(OR(NOT(ISNUMBER($H914)),NOT(ISNUMBER($K914)),NOT(ISNUMBER($G914)),$AG914="",$AH914=""),"",ROUND(($K914-$H914)*IF($F914="Short",-1,1)*$G914*$AG914*$AH914,6)))</f>
        <v/>
      </c>
      <c r="AJ914" s="55" t="str">
        <f>IF($AM914=0,"",IF(INDEX(Settings!$E$14:$E$18,$BF914)="% of notional",IF(OR($AG914="",NOT(ISNUMBER($H914)),NOT(ISNUMBER($G914))),"",ROUND(ABS($H914*$G914*$AG914*N($AH914))*IF($L914="Limit",N(INDEX(Settings!$G$14:$G$18,$BF914)),N(INDEX(Settings!$H$14:$H$18,$BF914)))+IF(ISNUMBER($K914),ABS($K914*$G914*$AG914*N($AH914))*IF($M914="Target",N(INDEX(Settings!$G$14:$G$18,$BF914)),N(INDEX(Settings!$H$14:$H$18,$BF914))),0),6)),IF(NOT(ISNUMBER($G914)),"",ROUND(ABS($G914)*2*IF(AND($BE914&gt;0,ISNUMBER(INDEX(Instruments!$G$6:$G$205,MAX(1,$BE914)))),INDEX(Instruments!$G$6:$G$205,MAX(1,$BE914)),N(INDEX(Settings!$F$14:$F$18,$BF914))),6))))</f>
        <v/>
      </c>
      <c r="AK914" s="55" t="str">
        <f>IF($AM914=0,"",IF(ISNUMBER($O914),$O914,$AI914))</f>
        <v/>
      </c>
      <c r="AL914" s="55" t="str">
        <f>IF($AM914=0,"",IF(ISNUMBER($P914),$P914,N($AJ914)))</f>
        <v/>
      </c>
      <c r="AM914" s="56">
        <f>IF(AND($A914&lt;&gt;"",$E914&lt;&gt;"",OR(AND(ISNUMBER($G914),ISNUMBER($H914),ISNUMBER($K914)),ISNUMBER($O914))),1,0)</f>
        <v>0</v>
      </c>
      <c r="AN914" s="57" t="str">
        <f>IF($A914="","",$A914-WEEKDAY($A914,3))</f>
        <v/>
      </c>
      <c r="AO914" s="56" t="str">
        <f>IF($A914="","",WEEKDAY($A914,2))</f>
        <v/>
      </c>
      <c r="AP914" s="55" t="str">
        <f>IF(OR($AM914=0,$C914=""),"",IFERROR(N(INDEX(Accounts!$E$7:$E$16,MATCH($C914,Accounts!$B$7:$B$16,0))),0)+SUMIFS($Q$6:$Q914,$C$6:$C914,$C914))</f>
        <v/>
      </c>
      <c r="AQ914" s="55" t="str">
        <f>IF(OR($AM914=0,$C914=""),"",SUMIFS($Q$6:$Q$1005,$C$6:$C$1005,$C914,$A$6:$A$1005,$A914))</f>
        <v/>
      </c>
      <c r="AR914" s="55" t="str">
        <f>IF(OR($AM914=0,$C914=""),"",IFERROR(N(INDEX(Accounts!$E$7:$E$16,MATCH($C914,Accounts!$B$7:$B$16,0))),0)+SUMIFS($Q$6:$Q$1005,$C$6:$C$1005,$C914,$A$6:$A$1005,"&lt;="&amp;$A914))</f>
        <v/>
      </c>
      <c r="AS914" s="56">
        <f>IF(OR($AM914=0,$Q914=""),0,IF(AND($A914&gt;=Lists!$W$6,$A914&lt;=Lists!$W$7,OR(Dashboard!$D$6="All accounts",$C914=Dashboard!$D$6),OR(Dashboard!$D$7="All markets",$AF914=Dashboard!$D$7)),1,0))</f>
        <v>0</v>
      </c>
      <c r="AT914" s="55">
        <f>IF($AS914=1,N(AT913)+$Q914,N(AT913))</f>
        <v>1187.10688</v>
      </c>
      <c r="AU914" s="55">
        <f>MAX(N(AU913),$AT914)</f>
        <v>1187.10688</v>
      </c>
      <c r="AV914" s="55">
        <f>$AT914-$AU914</f>
        <v>0</v>
      </c>
      <c r="AW914" s="56">
        <f>IF($AS914=1,IF($S914="Win",N(AW913)+1,IF($S914="Loss",0,N(AW913))),N(AW913))</f>
        <v>5</v>
      </c>
      <c r="AX914" s="56">
        <f>IF($AS914=1,IF($S914="Loss",N(AX913)+1,IF($S914="Win",0,N(AX913))),N(AX913))</f>
        <v>0</v>
      </c>
      <c r="AY914" s="56" t="str">
        <f>IF($AS914=1,COUNTIF($AS$6:$AS914,1),"")</f>
        <v/>
      </c>
      <c r="AZ914" s="56">
        <f>MIN(908,N(Lists!$W$8))</f>
        <v>28</v>
      </c>
      <c r="BA914" s="56">
        <f>IF($AS914=1,IF(COUNTIFS($A$6:$A914,$A914,$AS$6:$AS914,1)=1,1,0),0)</f>
        <v>0</v>
      </c>
      <c r="BB914" s="55" t="str">
        <f>IF($BA914=1,SUMIFS($Q$6:$Q$1005,$A$6:$A$1005,$A914,$AS$6:$AS$1005,1),"")</f>
        <v/>
      </c>
      <c r="BC914" s="56">
        <f>IF(ISNUMBER($R914),1,0)</f>
        <v>0</v>
      </c>
      <c r="BD914" s="55" t="str">
        <f>IF(ISNUMBER($U914),$U914*$V914,"")</f>
        <v/>
      </c>
      <c r="BE914" s="56" t="str">
        <f>IF($AM914=0,"",IFERROR(MATCH($AF914&amp;"|"&amp;UPPER(TRIM($E914)),Lists!$A$6:$A$205,0),0))</f>
        <v/>
      </c>
      <c r="BF914" s="56" t="str">
        <f>IF($AM914=0,"",IFERROR(MATCH($AF914,Settings!$B$14:$B$18,0),IFERROR(MATCH(Settings!$C$6,Settings!$B$14:$B$18,0),1)))</f>
        <v/>
      </c>
      <c r="BG914" s="58" t="str">
        <f>IF($AM914=0,"",IF(NOT(ISNUMBER($I914)),"No stop; ","")&amp;IF(AND(ISNUMBER($H914),ISNUMBER($I914)),IF(OR(AND($F914&lt;&gt;"Short",$I914&gt;=$H914),AND($F914="Short",$I914&lt;=$H914)),"Stop on wrong side; ",""),"")&amp;IF($F914="","No direction; ","")&amp;IF(AND(ISNUMBER(Settings!$C$22),ISNUMBER($V914)),IF($V914&gt;Settings!$C$22,"Risk over max $; ",""),"")&amp;IF(AND(ISNUMBER(Settings!$C$23),ISNUMBER($V914),ISNUMBER($AP914),IFERROR(N(INDEX(Accounts!$E$7:$E$16,MATCH($C914,Accounts!$B$7:$B$16,0))),0)&gt;0),IF($V914&gt;Settings!$C$23*($AP914-N($Q914)),"Risk over max %; ",""),"")&amp;IF(AND(ISNUMBER(Settings!$C$24),ISNUMBER($N914)),IF($N914&gt;Settings!$C$24,"Leverage over max; ",""),"")&amp;IF(AND(ISNUMBER(Settings!$C$27),ISNUMBER($T914)),IF($T914&lt;Settings!$C$27,"R:R below min; ",""),"")&amp;IF(ISNUMBER(Settings!$C$25),IF(COUNTIFS($A$6:$A914,$A914,$AM$6:$AM914,1)&gt;Settings!$C$25,"Over max trades/day; ",""),"")&amp;IF(ISNUMBER(Settings!$C$26),IF(SUMIFS($Q$5:$Q913,$A$5:$A913,$A914)&lt;=-Settings!$C$26,"Traded after daily max loss; ",""),"")&amp;IF(AND($AG914="",NOT(ISNUMBER($O914))),"Symbol not in Instruments; ","")&amp;IF(AND($AH914="",NOT(ISNUMBER($O914))),"Forex cross: type Gross P&amp;L; ",""))</f>
        <v/>
      </c>
      <c r="BH914" s="56">
        <f>IF(ISNUMBER($Q914),1,0)</f>
        <v>0</v>
      </c>
      <c r="BI914" s="56">
        <f>IF($Y914="",0,1)</f>
        <v>0</v>
      </c>
      <c r="BJ914" s="56">
        <f>IF($AB914="",0,1)</f>
        <v>0</v>
      </c>
      <c r="BK914" s="56">
        <f>IF(AND($BH914=1,$W914&lt;&gt;"OK"),1,0)</f>
        <v>0</v>
      </c>
      <c r="BL914" s="55">
        <f>IF(N($AZ914)=0,0,IFERROR(INDEX($AT$6:$AT$1005,MATCH($AZ914,$AY$6:$AY$1005,0)),0))</f>
        <v>1187.10688</v>
      </c>
      <c r="BM914" s="56">
        <f>IF(ISNUMBER(SEARCH("daily max loss",$BG914)),1,0)</f>
        <v>0</v>
      </c>
    </row>
    <row r="915" ht="18" customHeight="1">
      <c r="A915" s="38" t="n"/>
      <c r="B915" s="39" t="n"/>
      <c r="C915" s="40" t="n"/>
      <c r="D915" s="41" t="n"/>
      <c r="E915" s="41" t="n"/>
      <c r="F915" s="41" t="n"/>
      <c r="G915" s="41" t="n"/>
      <c r="H915" s="42" t="n"/>
      <c r="I915" s="42" t="n"/>
      <c r="J915" s="42" t="n"/>
      <c r="K915" s="42" t="n"/>
      <c r="L915" s="41" t="n"/>
      <c r="M915" s="41" t="n"/>
      <c r="N915" s="41" t="n"/>
      <c r="O915" s="43" t="n"/>
      <c r="P915" s="43" t="n"/>
      <c r="Q915" s="44" t="str">
        <f>IF($AM915=0,"",IF(ISNUMBER($AK915),$AK915-N($AL915),""))</f>
        <v/>
      </c>
      <c r="R915" s="45" t="str">
        <f>IF(OR($Q915="",NOT(ISNUMBER($V915))),"",$AK915/$V915)</f>
        <v/>
      </c>
      <c r="S915" s="46" t="str">
        <f>IF($Q915="","",IF(AND(ISNUMBER($R915),ABS(N($R915))&lt;N(Settings!$C$8)),"Scratch",IF($Q915&gt;0,"Win",IF($Q915&lt;0,"Loss","Scratch"))))</f>
        <v/>
      </c>
      <c r="T915" s="47" t="str">
        <f>IF(OR($AM915=0,NOT(ISNUMBER($H915)),NOT(ISNUMBER($I915)),NOT(ISNUMBER($J915))),"",IF($H915=$I915,"",ROUND(ABS($J915-$H915)/ABS($H915-$I915),6)))</f>
        <v/>
      </c>
      <c r="U915" s="48" t="str">
        <f>IF(OR($S915&lt;&gt;"Win",NOT(ISNUMBER($T915)),NOT(ISNUMBER($R915))),"",MAX(0,$T915-$R915))</f>
        <v/>
      </c>
      <c r="V915" s="49" t="str">
        <f>IF(OR($AM915=0,NOT(ISNUMBER($H915)),NOT(ISNUMBER($I915)),NOT(ISNUMBER($G915))),"",IF(OR($AG915="",$AH915=""),"",IF(ROUND(ABS($H915-$I915)*ABS($G915)*$AG915*$AH915,6)=0,"",ROUND(ABS($H915-$I915)*ABS($G915)*$AG915*$AH915,6))))</f>
        <v/>
      </c>
      <c r="W915" s="50" t="str">
        <f>IF($AM915=0,"",IF($BG915="","OK",LEFT($BG915,LEN($BG915)-2)))</f>
        <v/>
      </c>
      <c r="X915" s="41" t="n"/>
      <c r="Y915" s="40" t="n"/>
      <c r="Z915" s="41" t="n"/>
      <c r="AA915" s="41" t="n"/>
      <c r="AB915" s="40" t="n"/>
      <c r="AC915" s="51" t="n"/>
      <c r="AD915" s="51" t="n"/>
      <c r="AE915" s="40" t="n"/>
      <c r="AF915" s="52" t="str">
        <f>IF($AM915=0,"",IF($D915&lt;&gt;"",$D915,IF(IFERROR(INDEX(Accounts!$C$7:$C$16,MATCH($C915,Accounts!$B$7:$B$16,0))&amp;"","")&lt;&gt;"",INDEX(Accounts!$C$7:$C$16,MATCH($C915,Accounts!$B$7:$B$16,0)),Settings!$C$6)))</f>
        <v/>
      </c>
      <c r="AG915" s="53" t="str">
        <f>IF($AM915=0,"",IF(AND($BE915&gt;0,N(INDEX(Instruments!$D$6:$D$205,MAX(1,$BE915)))&gt;0),INDEX(Instruments!$D$6:$D$205,MAX(1,$BE915)),IF(N(INDEX(Settings!$D$14:$D$18,$BF915))&gt;0,INDEX(Settings!$D$14:$D$18,$BF915),"")))</f>
        <v/>
      </c>
      <c r="AH915" s="54" t="str">
        <f>IF($AM915=0,"",IF($AF915&lt;&gt;"Forex",1,IF(MID(UPPER(SUBSTITUTE(TRIM($E915),"/","")),4,3)=UPPER(TRIM(Settings!$C$7)),1,IF(LEFT(UPPER(SUBSTITUTE(TRIM($E915),"/","")),3)=UPPER(TRIM(Settings!$C$7)),IF(AND(ISNUMBER($K915),N($K915)&lt;&gt;0),1/$K915,""),""))))</f>
        <v/>
      </c>
      <c r="AI915" s="55" t="str">
        <f>IF($AM915=0,"",IF(OR(NOT(ISNUMBER($H915)),NOT(ISNUMBER($K915)),NOT(ISNUMBER($G915)),$AG915="",$AH915=""),"",ROUND(($K915-$H915)*IF($F915="Short",-1,1)*$G915*$AG915*$AH915,6)))</f>
        <v/>
      </c>
      <c r="AJ915" s="55" t="str">
        <f>IF($AM915=0,"",IF(INDEX(Settings!$E$14:$E$18,$BF915)="% of notional",IF(OR($AG915="",NOT(ISNUMBER($H915)),NOT(ISNUMBER($G915))),"",ROUND(ABS($H915*$G915*$AG915*N($AH915))*IF($L915="Limit",N(INDEX(Settings!$G$14:$G$18,$BF915)),N(INDEX(Settings!$H$14:$H$18,$BF915)))+IF(ISNUMBER($K915),ABS($K915*$G915*$AG915*N($AH915))*IF($M915="Target",N(INDEX(Settings!$G$14:$G$18,$BF915)),N(INDEX(Settings!$H$14:$H$18,$BF915))),0),6)),IF(NOT(ISNUMBER($G915)),"",ROUND(ABS($G915)*2*IF(AND($BE915&gt;0,ISNUMBER(INDEX(Instruments!$G$6:$G$205,MAX(1,$BE915)))),INDEX(Instruments!$G$6:$G$205,MAX(1,$BE915)),N(INDEX(Settings!$F$14:$F$18,$BF915))),6))))</f>
        <v/>
      </c>
      <c r="AK915" s="55" t="str">
        <f>IF($AM915=0,"",IF(ISNUMBER($O915),$O915,$AI915))</f>
        <v/>
      </c>
      <c r="AL915" s="55" t="str">
        <f>IF($AM915=0,"",IF(ISNUMBER($P915),$P915,N($AJ915)))</f>
        <v/>
      </c>
      <c r="AM915" s="56">
        <f>IF(AND($A915&lt;&gt;"",$E915&lt;&gt;"",OR(AND(ISNUMBER($G915),ISNUMBER($H915),ISNUMBER($K915)),ISNUMBER($O915))),1,0)</f>
        <v>0</v>
      </c>
      <c r="AN915" s="57" t="str">
        <f>IF($A915="","",$A915-WEEKDAY($A915,3))</f>
        <v/>
      </c>
      <c r="AO915" s="56" t="str">
        <f>IF($A915="","",WEEKDAY($A915,2))</f>
        <v/>
      </c>
      <c r="AP915" s="55" t="str">
        <f>IF(OR($AM915=0,$C915=""),"",IFERROR(N(INDEX(Accounts!$E$7:$E$16,MATCH($C915,Accounts!$B$7:$B$16,0))),0)+SUMIFS($Q$6:$Q915,$C$6:$C915,$C915))</f>
        <v/>
      </c>
      <c r="AQ915" s="55" t="str">
        <f>IF(OR($AM915=0,$C915=""),"",SUMIFS($Q$6:$Q$1005,$C$6:$C$1005,$C915,$A$6:$A$1005,$A915))</f>
        <v/>
      </c>
      <c r="AR915" s="55" t="str">
        <f>IF(OR($AM915=0,$C915=""),"",IFERROR(N(INDEX(Accounts!$E$7:$E$16,MATCH($C915,Accounts!$B$7:$B$16,0))),0)+SUMIFS($Q$6:$Q$1005,$C$6:$C$1005,$C915,$A$6:$A$1005,"&lt;="&amp;$A915))</f>
        <v/>
      </c>
      <c r="AS915" s="56">
        <f>IF(OR($AM915=0,$Q915=""),0,IF(AND($A915&gt;=Lists!$W$6,$A915&lt;=Lists!$W$7,OR(Dashboard!$D$6="All accounts",$C915=Dashboard!$D$6),OR(Dashboard!$D$7="All markets",$AF915=Dashboard!$D$7)),1,0))</f>
        <v>0</v>
      </c>
      <c r="AT915" s="55">
        <f>IF($AS915=1,N(AT914)+$Q915,N(AT914))</f>
        <v>1187.10688</v>
      </c>
      <c r="AU915" s="55">
        <f>MAX(N(AU914),$AT915)</f>
        <v>1187.10688</v>
      </c>
      <c r="AV915" s="55">
        <f>$AT915-$AU915</f>
        <v>0</v>
      </c>
      <c r="AW915" s="56">
        <f>IF($AS915=1,IF($S915="Win",N(AW914)+1,IF($S915="Loss",0,N(AW914))),N(AW914))</f>
        <v>5</v>
      </c>
      <c r="AX915" s="56">
        <f>IF($AS915=1,IF($S915="Loss",N(AX914)+1,IF($S915="Win",0,N(AX914))),N(AX914))</f>
        <v>0</v>
      </c>
      <c r="AY915" s="56" t="str">
        <f>IF($AS915=1,COUNTIF($AS$6:$AS915,1),"")</f>
        <v/>
      </c>
      <c r="AZ915" s="56">
        <f>MIN(909,N(Lists!$W$8))</f>
        <v>28</v>
      </c>
      <c r="BA915" s="56">
        <f>IF($AS915=1,IF(COUNTIFS($A$6:$A915,$A915,$AS$6:$AS915,1)=1,1,0),0)</f>
        <v>0</v>
      </c>
      <c r="BB915" s="55" t="str">
        <f>IF($BA915=1,SUMIFS($Q$6:$Q$1005,$A$6:$A$1005,$A915,$AS$6:$AS$1005,1),"")</f>
        <v/>
      </c>
      <c r="BC915" s="56">
        <f>IF(ISNUMBER($R915),1,0)</f>
        <v>0</v>
      </c>
      <c r="BD915" s="55" t="str">
        <f>IF(ISNUMBER($U915),$U915*$V915,"")</f>
        <v/>
      </c>
      <c r="BE915" s="56" t="str">
        <f>IF($AM915=0,"",IFERROR(MATCH($AF915&amp;"|"&amp;UPPER(TRIM($E915)),Lists!$A$6:$A$205,0),0))</f>
        <v/>
      </c>
      <c r="BF915" s="56" t="str">
        <f>IF($AM915=0,"",IFERROR(MATCH($AF915,Settings!$B$14:$B$18,0),IFERROR(MATCH(Settings!$C$6,Settings!$B$14:$B$18,0),1)))</f>
        <v/>
      </c>
      <c r="BG915" s="58" t="str">
        <f>IF($AM915=0,"",IF(NOT(ISNUMBER($I915)),"No stop; ","")&amp;IF(AND(ISNUMBER($H915),ISNUMBER($I915)),IF(OR(AND($F915&lt;&gt;"Short",$I915&gt;=$H915),AND($F915="Short",$I915&lt;=$H915)),"Stop on wrong side; ",""),"")&amp;IF($F915="","No direction; ","")&amp;IF(AND(ISNUMBER(Settings!$C$22),ISNUMBER($V915)),IF($V915&gt;Settings!$C$22,"Risk over max $; ",""),"")&amp;IF(AND(ISNUMBER(Settings!$C$23),ISNUMBER($V915),ISNUMBER($AP915),IFERROR(N(INDEX(Accounts!$E$7:$E$16,MATCH($C915,Accounts!$B$7:$B$16,0))),0)&gt;0),IF($V915&gt;Settings!$C$23*($AP915-N($Q915)),"Risk over max %; ",""),"")&amp;IF(AND(ISNUMBER(Settings!$C$24),ISNUMBER($N915)),IF($N915&gt;Settings!$C$24,"Leverage over max; ",""),"")&amp;IF(AND(ISNUMBER(Settings!$C$27),ISNUMBER($T915)),IF($T915&lt;Settings!$C$27,"R:R below min; ",""),"")&amp;IF(ISNUMBER(Settings!$C$25),IF(COUNTIFS($A$6:$A915,$A915,$AM$6:$AM915,1)&gt;Settings!$C$25,"Over max trades/day; ",""),"")&amp;IF(ISNUMBER(Settings!$C$26),IF(SUMIFS($Q$5:$Q914,$A$5:$A914,$A915)&lt;=-Settings!$C$26,"Traded after daily max loss; ",""),"")&amp;IF(AND($AG915="",NOT(ISNUMBER($O915))),"Symbol not in Instruments; ","")&amp;IF(AND($AH915="",NOT(ISNUMBER($O915))),"Forex cross: type Gross P&amp;L; ",""))</f>
        <v/>
      </c>
      <c r="BH915" s="56">
        <f>IF(ISNUMBER($Q915),1,0)</f>
        <v>0</v>
      </c>
      <c r="BI915" s="56">
        <f>IF($Y915="",0,1)</f>
        <v>0</v>
      </c>
      <c r="BJ915" s="56">
        <f>IF($AB915="",0,1)</f>
        <v>0</v>
      </c>
      <c r="BK915" s="56">
        <f>IF(AND($BH915=1,$W915&lt;&gt;"OK"),1,0)</f>
        <v>0</v>
      </c>
      <c r="BL915" s="55">
        <f>IF(N($AZ915)=0,0,IFERROR(INDEX($AT$6:$AT$1005,MATCH($AZ915,$AY$6:$AY$1005,0)),0))</f>
        <v>1187.10688</v>
      </c>
      <c r="BM915" s="56">
        <f>IF(ISNUMBER(SEARCH("daily max loss",$BG915)),1,0)</f>
        <v>0</v>
      </c>
    </row>
    <row r="916" ht="18" customHeight="1">
      <c r="A916" s="38" t="n"/>
      <c r="B916" s="39" t="n"/>
      <c r="C916" s="40" t="n"/>
      <c r="D916" s="41" t="n"/>
      <c r="E916" s="41" t="n"/>
      <c r="F916" s="41" t="n"/>
      <c r="G916" s="41" t="n"/>
      <c r="H916" s="42" t="n"/>
      <c r="I916" s="42" t="n"/>
      <c r="J916" s="42" t="n"/>
      <c r="K916" s="42" t="n"/>
      <c r="L916" s="41" t="n"/>
      <c r="M916" s="41" t="n"/>
      <c r="N916" s="41" t="n"/>
      <c r="O916" s="43" t="n"/>
      <c r="P916" s="43" t="n"/>
      <c r="Q916" s="44" t="str">
        <f>IF($AM916=0,"",IF(ISNUMBER($AK916),$AK916-N($AL916),""))</f>
        <v/>
      </c>
      <c r="R916" s="45" t="str">
        <f>IF(OR($Q916="",NOT(ISNUMBER($V916))),"",$AK916/$V916)</f>
        <v/>
      </c>
      <c r="S916" s="46" t="str">
        <f>IF($Q916="","",IF(AND(ISNUMBER($R916),ABS(N($R916))&lt;N(Settings!$C$8)),"Scratch",IF($Q916&gt;0,"Win",IF($Q916&lt;0,"Loss","Scratch"))))</f>
        <v/>
      </c>
      <c r="T916" s="47" t="str">
        <f>IF(OR($AM916=0,NOT(ISNUMBER($H916)),NOT(ISNUMBER($I916)),NOT(ISNUMBER($J916))),"",IF($H916=$I916,"",ROUND(ABS($J916-$H916)/ABS($H916-$I916),6)))</f>
        <v/>
      </c>
      <c r="U916" s="48" t="str">
        <f>IF(OR($S916&lt;&gt;"Win",NOT(ISNUMBER($T916)),NOT(ISNUMBER($R916))),"",MAX(0,$T916-$R916))</f>
        <v/>
      </c>
      <c r="V916" s="49" t="str">
        <f>IF(OR($AM916=0,NOT(ISNUMBER($H916)),NOT(ISNUMBER($I916)),NOT(ISNUMBER($G916))),"",IF(OR($AG916="",$AH916=""),"",IF(ROUND(ABS($H916-$I916)*ABS($G916)*$AG916*$AH916,6)=0,"",ROUND(ABS($H916-$I916)*ABS($G916)*$AG916*$AH916,6))))</f>
        <v/>
      </c>
      <c r="W916" s="50" t="str">
        <f>IF($AM916=0,"",IF($BG916="","OK",LEFT($BG916,LEN($BG916)-2)))</f>
        <v/>
      </c>
      <c r="X916" s="41" t="n"/>
      <c r="Y916" s="40" t="n"/>
      <c r="Z916" s="41" t="n"/>
      <c r="AA916" s="41" t="n"/>
      <c r="AB916" s="40" t="n"/>
      <c r="AC916" s="51" t="n"/>
      <c r="AD916" s="51" t="n"/>
      <c r="AE916" s="40" t="n"/>
      <c r="AF916" s="52" t="str">
        <f>IF($AM916=0,"",IF($D916&lt;&gt;"",$D916,IF(IFERROR(INDEX(Accounts!$C$7:$C$16,MATCH($C916,Accounts!$B$7:$B$16,0))&amp;"","")&lt;&gt;"",INDEX(Accounts!$C$7:$C$16,MATCH($C916,Accounts!$B$7:$B$16,0)),Settings!$C$6)))</f>
        <v/>
      </c>
      <c r="AG916" s="53" t="str">
        <f>IF($AM916=0,"",IF(AND($BE916&gt;0,N(INDEX(Instruments!$D$6:$D$205,MAX(1,$BE916)))&gt;0),INDEX(Instruments!$D$6:$D$205,MAX(1,$BE916)),IF(N(INDEX(Settings!$D$14:$D$18,$BF916))&gt;0,INDEX(Settings!$D$14:$D$18,$BF916),"")))</f>
        <v/>
      </c>
      <c r="AH916" s="54" t="str">
        <f>IF($AM916=0,"",IF($AF916&lt;&gt;"Forex",1,IF(MID(UPPER(SUBSTITUTE(TRIM($E916),"/","")),4,3)=UPPER(TRIM(Settings!$C$7)),1,IF(LEFT(UPPER(SUBSTITUTE(TRIM($E916),"/","")),3)=UPPER(TRIM(Settings!$C$7)),IF(AND(ISNUMBER($K916),N($K916)&lt;&gt;0),1/$K916,""),""))))</f>
        <v/>
      </c>
      <c r="AI916" s="55" t="str">
        <f>IF($AM916=0,"",IF(OR(NOT(ISNUMBER($H916)),NOT(ISNUMBER($K916)),NOT(ISNUMBER($G916)),$AG916="",$AH916=""),"",ROUND(($K916-$H916)*IF($F916="Short",-1,1)*$G916*$AG916*$AH916,6)))</f>
        <v/>
      </c>
      <c r="AJ916" s="55" t="str">
        <f>IF($AM916=0,"",IF(INDEX(Settings!$E$14:$E$18,$BF916)="% of notional",IF(OR($AG916="",NOT(ISNUMBER($H916)),NOT(ISNUMBER($G916))),"",ROUND(ABS($H916*$G916*$AG916*N($AH916))*IF($L916="Limit",N(INDEX(Settings!$G$14:$G$18,$BF916)),N(INDEX(Settings!$H$14:$H$18,$BF916)))+IF(ISNUMBER($K916),ABS($K916*$G916*$AG916*N($AH916))*IF($M916="Target",N(INDEX(Settings!$G$14:$G$18,$BF916)),N(INDEX(Settings!$H$14:$H$18,$BF916))),0),6)),IF(NOT(ISNUMBER($G916)),"",ROUND(ABS($G916)*2*IF(AND($BE916&gt;0,ISNUMBER(INDEX(Instruments!$G$6:$G$205,MAX(1,$BE916)))),INDEX(Instruments!$G$6:$G$205,MAX(1,$BE916)),N(INDEX(Settings!$F$14:$F$18,$BF916))),6))))</f>
        <v/>
      </c>
      <c r="AK916" s="55" t="str">
        <f>IF($AM916=0,"",IF(ISNUMBER($O916),$O916,$AI916))</f>
        <v/>
      </c>
      <c r="AL916" s="55" t="str">
        <f>IF($AM916=0,"",IF(ISNUMBER($P916),$P916,N($AJ916)))</f>
        <v/>
      </c>
      <c r="AM916" s="56">
        <f>IF(AND($A916&lt;&gt;"",$E916&lt;&gt;"",OR(AND(ISNUMBER($G916),ISNUMBER($H916),ISNUMBER($K916)),ISNUMBER($O916))),1,0)</f>
        <v>0</v>
      </c>
      <c r="AN916" s="57" t="str">
        <f>IF($A916="","",$A916-WEEKDAY($A916,3))</f>
        <v/>
      </c>
      <c r="AO916" s="56" t="str">
        <f>IF($A916="","",WEEKDAY($A916,2))</f>
        <v/>
      </c>
      <c r="AP916" s="55" t="str">
        <f>IF(OR($AM916=0,$C916=""),"",IFERROR(N(INDEX(Accounts!$E$7:$E$16,MATCH($C916,Accounts!$B$7:$B$16,0))),0)+SUMIFS($Q$6:$Q916,$C$6:$C916,$C916))</f>
        <v/>
      </c>
      <c r="AQ916" s="55" t="str">
        <f>IF(OR($AM916=0,$C916=""),"",SUMIFS($Q$6:$Q$1005,$C$6:$C$1005,$C916,$A$6:$A$1005,$A916))</f>
        <v/>
      </c>
      <c r="AR916" s="55" t="str">
        <f>IF(OR($AM916=0,$C916=""),"",IFERROR(N(INDEX(Accounts!$E$7:$E$16,MATCH($C916,Accounts!$B$7:$B$16,0))),0)+SUMIFS($Q$6:$Q$1005,$C$6:$C$1005,$C916,$A$6:$A$1005,"&lt;="&amp;$A916))</f>
        <v/>
      </c>
      <c r="AS916" s="56">
        <f>IF(OR($AM916=0,$Q916=""),0,IF(AND($A916&gt;=Lists!$W$6,$A916&lt;=Lists!$W$7,OR(Dashboard!$D$6="All accounts",$C916=Dashboard!$D$6),OR(Dashboard!$D$7="All markets",$AF916=Dashboard!$D$7)),1,0))</f>
        <v>0</v>
      </c>
      <c r="AT916" s="55">
        <f>IF($AS916=1,N(AT915)+$Q916,N(AT915))</f>
        <v>1187.10688</v>
      </c>
      <c r="AU916" s="55">
        <f>MAX(N(AU915),$AT916)</f>
        <v>1187.10688</v>
      </c>
      <c r="AV916" s="55">
        <f>$AT916-$AU916</f>
        <v>0</v>
      </c>
      <c r="AW916" s="56">
        <f>IF($AS916=1,IF($S916="Win",N(AW915)+1,IF($S916="Loss",0,N(AW915))),N(AW915))</f>
        <v>5</v>
      </c>
      <c r="AX916" s="56">
        <f>IF($AS916=1,IF($S916="Loss",N(AX915)+1,IF($S916="Win",0,N(AX915))),N(AX915))</f>
        <v>0</v>
      </c>
      <c r="AY916" s="56" t="str">
        <f>IF($AS916=1,COUNTIF($AS$6:$AS916,1),"")</f>
        <v/>
      </c>
      <c r="AZ916" s="56">
        <f>MIN(910,N(Lists!$W$8))</f>
        <v>28</v>
      </c>
      <c r="BA916" s="56">
        <f>IF($AS916=1,IF(COUNTIFS($A$6:$A916,$A916,$AS$6:$AS916,1)=1,1,0),0)</f>
        <v>0</v>
      </c>
      <c r="BB916" s="55" t="str">
        <f>IF($BA916=1,SUMIFS($Q$6:$Q$1005,$A$6:$A$1005,$A916,$AS$6:$AS$1005,1),"")</f>
        <v/>
      </c>
      <c r="BC916" s="56">
        <f>IF(ISNUMBER($R916),1,0)</f>
        <v>0</v>
      </c>
      <c r="BD916" s="55" t="str">
        <f>IF(ISNUMBER($U916),$U916*$V916,"")</f>
        <v/>
      </c>
      <c r="BE916" s="56" t="str">
        <f>IF($AM916=0,"",IFERROR(MATCH($AF916&amp;"|"&amp;UPPER(TRIM($E916)),Lists!$A$6:$A$205,0),0))</f>
        <v/>
      </c>
      <c r="BF916" s="56" t="str">
        <f>IF($AM916=0,"",IFERROR(MATCH($AF916,Settings!$B$14:$B$18,0),IFERROR(MATCH(Settings!$C$6,Settings!$B$14:$B$18,0),1)))</f>
        <v/>
      </c>
      <c r="BG916" s="58" t="str">
        <f>IF($AM916=0,"",IF(NOT(ISNUMBER($I916)),"No stop; ","")&amp;IF(AND(ISNUMBER($H916),ISNUMBER($I916)),IF(OR(AND($F916&lt;&gt;"Short",$I916&gt;=$H916),AND($F916="Short",$I916&lt;=$H916)),"Stop on wrong side; ",""),"")&amp;IF($F916="","No direction; ","")&amp;IF(AND(ISNUMBER(Settings!$C$22),ISNUMBER($V916)),IF($V916&gt;Settings!$C$22,"Risk over max $; ",""),"")&amp;IF(AND(ISNUMBER(Settings!$C$23),ISNUMBER($V916),ISNUMBER($AP916),IFERROR(N(INDEX(Accounts!$E$7:$E$16,MATCH($C916,Accounts!$B$7:$B$16,0))),0)&gt;0),IF($V916&gt;Settings!$C$23*($AP916-N($Q916)),"Risk over max %; ",""),"")&amp;IF(AND(ISNUMBER(Settings!$C$24),ISNUMBER($N916)),IF($N916&gt;Settings!$C$24,"Leverage over max; ",""),"")&amp;IF(AND(ISNUMBER(Settings!$C$27),ISNUMBER($T916)),IF($T916&lt;Settings!$C$27,"R:R below min; ",""),"")&amp;IF(ISNUMBER(Settings!$C$25),IF(COUNTIFS($A$6:$A916,$A916,$AM$6:$AM916,1)&gt;Settings!$C$25,"Over max trades/day; ",""),"")&amp;IF(ISNUMBER(Settings!$C$26),IF(SUMIFS($Q$5:$Q915,$A$5:$A915,$A916)&lt;=-Settings!$C$26,"Traded after daily max loss; ",""),"")&amp;IF(AND($AG916="",NOT(ISNUMBER($O916))),"Symbol not in Instruments; ","")&amp;IF(AND($AH916="",NOT(ISNUMBER($O916))),"Forex cross: type Gross P&amp;L; ",""))</f>
        <v/>
      </c>
      <c r="BH916" s="56">
        <f>IF(ISNUMBER($Q916),1,0)</f>
        <v>0</v>
      </c>
      <c r="BI916" s="56">
        <f>IF($Y916="",0,1)</f>
        <v>0</v>
      </c>
      <c r="BJ916" s="56">
        <f>IF($AB916="",0,1)</f>
        <v>0</v>
      </c>
      <c r="BK916" s="56">
        <f>IF(AND($BH916=1,$W916&lt;&gt;"OK"),1,0)</f>
        <v>0</v>
      </c>
      <c r="BL916" s="55">
        <f>IF(N($AZ916)=0,0,IFERROR(INDEX($AT$6:$AT$1005,MATCH($AZ916,$AY$6:$AY$1005,0)),0))</f>
        <v>1187.10688</v>
      </c>
      <c r="BM916" s="56">
        <f>IF(ISNUMBER(SEARCH("daily max loss",$BG916)),1,0)</f>
        <v>0</v>
      </c>
    </row>
    <row r="917" ht="18" customHeight="1">
      <c r="A917" s="38" t="n"/>
      <c r="B917" s="39" t="n"/>
      <c r="C917" s="40" t="n"/>
      <c r="D917" s="41" t="n"/>
      <c r="E917" s="41" t="n"/>
      <c r="F917" s="41" t="n"/>
      <c r="G917" s="41" t="n"/>
      <c r="H917" s="42" t="n"/>
      <c r="I917" s="42" t="n"/>
      <c r="J917" s="42" t="n"/>
      <c r="K917" s="42" t="n"/>
      <c r="L917" s="41" t="n"/>
      <c r="M917" s="41" t="n"/>
      <c r="N917" s="41" t="n"/>
      <c r="O917" s="43" t="n"/>
      <c r="P917" s="43" t="n"/>
      <c r="Q917" s="44" t="str">
        <f>IF($AM917=0,"",IF(ISNUMBER($AK917),$AK917-N($AL917),""))</f>
        <v/>
      </c>
      <c r="R917" s="45" t="str">
        <f>IF(OR($Q917="",NOT(ISNUMBER($V917))),"",$AK917/$V917)</f>
        <v/>
      </c>
      <c r="S917" s="46" t="str">
        <f>IF($Q917="","",IF(AND(ISNUMBER($R917),ABS(N($R917))&lt;N(Settings!$C$8)),"Scratch",IF($Q917&gt;0,"Win",IF($Q917&lt;0,"Loss","Scratch"))))</f>
        <v/>
      </c>
      <c r="T917" s="47" t="str">
        <f>IF(OR($AM917=0,NOT(ISNUMBER($H917)),NOT(ISNUMBER($I917)),NOT(ISNUMBER($J917))),"",IF($H917=$I917,"",ROUND(ABS($J917-$H917)/ABS($H917-$I917),6)))</f>
        <v/>
      </c>
      <c r="U917" s="48" t="str">
        <f>IF(OR($S917&lt;&gt;"Win",NOT(ISNUMBER($T917)),NOT(ISNUMBER($R917))),"",MAX(0,$T917-$R917))</f>
        <v/>
      </c>
      <c r="V917" s="49" t="str">
        <f>IF(OR($AM917=0,NOT(ISNUMBER($H917)),NOT(ISNUMBER($I917)),NOT(ISNUMBER($G917))),"",IF(OR($AG917="",$AH917=""),"",IF(ROUND(ABS($H917-$I917)*ABS($G917)*$AG917*$AH917,6)=0,"",ROUND(ABS($H917-$I917)*ABS($G917)*$AG917*$AH917,6))))</f>
        <v/>
      </c>
      <c r="W917" s="50" t="str">
        <f>IF($AM917=0,"",IF($BG917="","OK",LEFT($BG917,LEN($BG917)-2)))</f>
        <v/>
      </c>
      <c r="X917" s="41" t="n"/>
      <c r="Y917" s="40" t="n"/>
      <c r="Z917" s="41" t="n"/>
      <c r="AA917" s="41" t="n"/>
      <c r="AB917" s="40" t="n"/>
      <c r="AC917" s="51" t="n"/>
      <c r="AD917" s="51" t="n"/>
      <c r="AE917" s="40" t="n"/>
      <c r="AF917" s="52" t="str">
        <f>IF($AM917=0,"",IF($D917&lt;&gt;"",$D917,IF(IFERROR(INDEX(Accounts!$C$7:$C$16,MATCH($C917,Accounts!$B$7:$B$16,0))&amp;"","")&lt;&gt;"",INDEX(Accounts!$C$7:$C$16,MATCH($C917,Accounts!$B$7:$B$16,0)),Settings!$C$6)))</f>
        <v/>
      </c>
      <c r="AG917" s="53" t="str">
        <f>IF($AM917=0,"",IF(AND($BE917&gt;0,N(INDEX(Instruments!$D$6:$D$205,MAX(1,$BE917)))&gt;0),INDEX(Instruments!$D$6:$D$205,MAX(1,$BE917)),IF(N(INDEX(Settings!$D$14:$D$18,$BF917))&gt;0,INDEX(Settings!$D$14:$D$18,$BF917),"")))</f>
        <v/>
      </c>
      <c r="AH917" s="54" t="str">
        <f>IF($AM917=0,"",IF($AF917&lt;&gt;"Forex",1,IF(MID(UPPER(SUBSTITUTE(TRIM($E917),"/","")),4,3)=UPPER(TRIM(Settings!$C$7)),1,IF(LEFT(UPPER(SUBSTITUTE(TRIM($E917),"/","")),3)=UPPER(TRIM(Settings!$C$7)),IF(AND(ISNUMBER($K917),N($K917)&lt;&gt;0),1/$K917,""),""))))</f>
        <v/>
      </c>
      <c r="AI917" s="55" t="str">
        <f>IF($AM917=0,"",IF(OR(NOT(ISNUMBER($H917)),NOT(ISNUMBER($K917)),NOT(ISNUMBER($G917)),$AG917="",$AH917=""),"",ROUND(($K917-$H917)*IF($F917="Short",-1,1)*$G917*$AG917*$AH917,6)))</f>
        <v/>
      </c>
      <c r="AJ917" s="55" t="str">
        <f>IF($AM917=0,"",IF(INDEX(Settings!$E$14:$E$18,$BF917)="% of notional",IF(OR($AG917="",NOT(ISNUMBER($H917)),NOT(ISNUMBER($G917))),"",ROUND(ABS($H917*$G917*$AG917*N($AH917))*IF($L917="Limit",N(INDEX(Settings!$G$14:$G$18,$BF917)),N(INDEX(Settings!$H$14:$H$18,$BF917)))+IF(ISNUMBER($K917),ABS($K917*$G917*$AG917*N($AH917))*IF($M917="Target",N(INDEX(Settings!$G$14:$G$18,$BF917)),N(INDEX(Settings!$H$14:$H$18,$BF917))),0),6)),IF(NOT(ISNUMBER($G917)),"",ROUND(ABS($G917)*2*IF(AND($BE917&gt;0,ISNUMBER(INDEX(Instruments!$G$6:$G$205,MAX(1,$BE917)))),INDEX(Instruments!$G$6:$G$205,MAX(1,$BE917)),N(INDEX(Settings!$F$14:$F$18,$BF917))),6))))</f>
        <v/>
      </c>
      <c r="AK917" s="55" t="str">
        <f>IF($AM917=0,"",IF(ISNUMBER($O917),$O917,$AI917))</f>
        <v/>
      </c>
      <c r="AL917" s="55" t="str">
        <f>IF($AM917=0,"",IF(ISNUMBER($P917),$P917,N($AJ917)))</f>
        <v/>
      </c>
      <c r="AM917" s="56">
        <f>IF(AND($A917&lt;&gt;"",$E917&lt;&gt;"",OR(AND(ISNUMBER($G917),ISNUMBER($H917),ISNUMBER($K917)),ISNUMBER($O917))),1,0)</f>
        <v>0</v>
      </c>
      <c r="AN917" s="57" t="str">
        <f>IF($A917="","",$A917-WEEKDAY($A917,3))</f>
        <v/>
      </c>
      <c r="AO917" s="56" t="str">
        <f>IF($A917="","",WEEKDAY($A917,2))</f>
        <v/>
      </c>
      <c r="AP917" s="55" t="str">
        <f>IF(OR($AM917=0,$C917=""),"",IFERROR(N(INDEX(Accounts!$E$7:$E$16,MATCH($C917,Accounts!$B$7:$B$16,0))),0)+SUMIFS($Q$6:$Q917,$C$6:$C917,$C917))</f>
        <v/>
      </c>
      <c r="AQ917" s="55" t="str">
        <f>IF(OR($AM917=0,$C917=""),"",SUMIFS($Q$6:$Q$1005,$C$6:$C$1005,$C917,$A$6:$A$1005,$A917))</f>
        <v/>
      </c>
      <c r="AR917" s="55" t="str">
        <f>IF(OR($AM917=0,$C917=""),"",IFERROR(N(INDEX(Accounts!$E$7:$E$16,MATCH($C917,Accounts!$B$7:$B$16,0))),0)+SUMIFS($Q$6:$Q$1005,$C$6:$C$1005,$C917,$A$6:$A$1005,"&lt;="&amp;$A917))</f>
        <v/>
      </c>
      <c r="AS917" s="56">
        <f>IF(OR($AM917=0,$Q917=""),0,IF(AND($A917&gt;=Lists!$W$6,$A917&lt;=Lists!$W$7,OR(Dashboard!$D$6="All accounts",$C917=Dashboard!$D$6),OR(Dashboard!$D$7="All markets",$AF917=Dashboard!$D$7)),1,0))</f>
        <v>0</v>
      </c>
      <c r="AT917" s="55">
        <f>IF($AS917=1,N(AT916)+$Q917,N(AT916))</f>
        <v>1187.10688</v>
      </c>
      <c r="AU917" s="55">
        <f>MAX(N(AU916),$AT917)</f>
        <v>1187.10688</v>
      </c>
      <c r="AV917" s="55">
        <f>$AT917-$AU917</f>
        <v>0</v>
      </c>
      <c r="AW917" s="56">
        <f>IF($AS917=1,IF($S917="Win",N(AW916)+1,IF($S917="Loss",0,N(AW916))),N(AW916))</f>
        <v>5</v>
      </c>
      <c r="AX917" s="56">
        <f>IF($AS917=1,IF($S917="Loss",N(AX916)+1,IF($S917="Win",0,N(AX916))),N(AX916))</f>
        <v>0</v>
      </c>
      <c r="AY917" s="56" t="str">
        <f>IF($AS917=1,COUNTIF($AS$6:$AS917,1),"")</f>
        <v/>
      </c>
      <c r="AZ917" s="56">
        <f>MIN(911,N(Lists!$W$8))</f>
        <v>28</v>
      </c>
      <c r="BA917" s="56">
        <f>IF($AS917=1,IF(COUNTIFS($A$6:$A917,$A917,$AS$6:$AS917,1)=1,1,0),0)</f>
        <v>0</v>
      </c>
      <c r="BB917" s="55" t="str">
        <f>IF($BA917=1,SUMIFS($Q$6:$Q$1005,$A$6:$A$1005,$A917,$AS$6:$AS$1005,1),"")</f>
        <v/>
      </c>
      <c r="BC917" s="56">
        <f>IF(ISNUMBER($R917),1,0)</f>
        <v>0</v>
      </c>
      <c r="BD917" s="55" t="str">
        <f>IF(ISNUMBER($U917),$U917*$V917,"")</f>
        <v/>
      </c>
      <c r="BE917" s="56" t="str">
        <f>IF($AM917=0,"",IFERROR(MATCH($AF917&amp;"|"&amp;UPPER(TRIM($E917)),Lists!$A$6:$A$205,0),0))</f>
        <v/>
      </c>
      <c r="BF917" s="56" t="str">
        <f>IF($AM917=0,"",IFERROR(MATCH($AF917,Settings!$B$14:$B$18,0),IFERROR(MATCH(Settings!$C$6,Settings!$B$14:$B$18,0),1)))</f>
        <v/>
      </c>
      <c r="BG917" s="58" t="str">
        <f>IF($AM917=0,"",IF(NOT(ISNUMBER($I917)),"No stop; ","")&amp;IF(AND(ISNUMBER($H917),ISNUMBER($I917)),IF(OR(AND($F917&lt;&gt;"Short",$I917&gt;=$H917),AND($F917="Short",$I917&lt;=$H917)),"Stop on wrong side; ",""),"")&amp;IF($F917="","No direction; ","")&amp;IF(AND(ISNUMBER(Settings!$C$22),ISNUMBER($V917)),IF($V917&gt;Settings!$C$22,"Risk over max $; ",""),"")&amp;IF(AND(ISNUMBER(Settings!$C$23),ISNUMBER($V917),ISNUMBER($AP917),IFERROR(N(INDEX(Accounts!$E$7:$E$16,MATCH($C917,Accounts!$B$7:$B$16,0))),0)&gt;0),IF($V917&gt;Settings!$C$23*($AP917-N($Q917)),"Risk over max %; ",""),"")&amp;IF(AND(ISNUMBER(Settings!$C$24),ISNUMBER($N917)),IF($N917&gt;Settings!$C$24,"Leverage over max; ",""),"")&amp;IF(AND(ISNUMBER(Settings!$C$27),ISNUMBER($T917)),IF($T917&lt;Settings!$C$27,"R:R below min; ",""),"")&amp;IF(ISNUMBER(Settings!$C$25),IF(COUNTIFS($A$6:$A917,$A917,$AM$6:$AM917,1)&gt;Settings!$C$25,"Over max trades/day; ",""),"")&amp;IF(ISNUMBER(Settings!$C$26),IF(SUMIFS($Q$5:$Q916,$A$5:$A916,$A917)&lt;=-Settings!$C$26,"Traded after daily max loss; ",""),"")&amp;IF(AND($AG917="",NOT(ISNUMBER($O917))),"Symbol not in Instruments; ","")&amp;IF(AND($AH917="",NOT(ISNUMBER($O917))),"Forex cross: type Gross P&amp;L; ",""))</f>
        <v/>
      </c>
      <c r="BH917" s="56">
        <f>IF(ISNUMBER($Q917),1,0)</f>
        <v>0</v>
      </c>
      <c r="BI917" s="56">
        <f>IF($Y917="",0,1)</f>
        <v>0</v>
      </c>
      <c r="BJ917" s="56">
        <f>IF($AB917="",0,1)</f>
        <v>0</v>
      </c>
      <c r="BK917" s="56">
        <f>IF(AND($BH917=1,$W917&lt;&gt;"OK"),1,0)</f>
        <v>0</v>
      </c>
      <c r="BL917" s="55">
        <f>IF(N($AZ917)=0,0,IFERROR(INDEX($AT$6:$AT$1005,MATCH($AZ917,$AY$6:$AY$1005,0)),0))</f>
        <v>1187.10688</v>
      </c>
      <c r="BM917" s="56">
        <f>IF(ISNUMBER(SEARCH("daily max loss",$BG917)),1,0)</f>
        <v>0</v>
      </c>
    </row>
    <row r="918" ht="18" customHeight="1">
      <c r="A918" s="38" t="n"/>
      <c r="B918" s="39" t="n"/>
      <c r="C918" s="40" t="n"/>
      <c r="D918" s="41" t="n"/>
      <c r="E918" s="41" t="n"/>
      <c r="F918" s="41" t="n"/>
      <c r="G918" s="41" t="n"/>
      <c r="H918" s="42" t="n"/>
      <c r="I918" s="42" t="n"/>
      <c r="J918" s="42" t="n"/>
      <c r="K918" s="42" t="n"/>
      <c r="L918" s="41" t="n"/>
      <c r="M918" s="41" t="n"/>
      <c r="N918" s="41" t="n"/>
      <c r="O918" s="43" t="n"/>
      <c r="P918" s="43" t="n"/>
      <c r="Q918" s="44" t="str">
        <f>IF($AM918=0,"",IF(ISNUMBER($AK918),$AK918-N($AL918),""))</f>
        <v/>
      </c>
      <c r="R918" s="45" t="str">
        <f>IF(OR($Q918="",NOT(ISNUMBER($V918))),"",$AK918/$V918)</f>
        <v/>
      </c>
      <c r="S918" s="46" t="str">
        <f>IF($Q918="","",IF(AND(ISNUMBER($R918),ABS(N($R918))&lt;N(Settings!$C$8)),"Scratch",IF($Q918&gt;0,"Win",IF($Q918&lt;0,"Loss","Scratch"))))</f>
        <v/>
      </c>
      <c r="T918" s="47" t="str">
        <f>IF(OR($AM918=0,NOT(ISNUMBER($H918)),NOT(ISNUMBER($I918)),NOT(ISNUMBER($J918))),"",IF($H918=$I918,"",ROUND(ABS($J918-$H918)/ABS($H918-$I918),6)))</f>
        <v/>
      </c>
      <c r="U918" s="48" t="str">
        <f>IF(OR($S918&lt;&gt;"Win",NOT(ISNUMBER($T918)),NOT(ISNUMBER($R918))),"",MAX(0,$T918-$R918))</f>
        <v/>
      </c>
      <c r="V918" s="49" t="str">
        <f>IF(OR($AM918=0,NOT(ISNUMBER($H918)),NOT(ISNUMBER($I918)),NOT(ISNUMBER($G918))),"",IF(OR($AG918="",$AH918=""),"",IF(ROUND(ABS($H918-$I918)*ABS($G918)*$AG918*$AH918,6)=0,"",ROUND(ABS($H918-$I918)*ABS($G918)*$AG918*$AH918,6))))</f>
        <v/>
      </c>
      <c r="W918" s="50" t="str">
        <f>IF($AM918=0,"",IF($BG918="","OK",LEFT($BG918,LEN($BG918)-2)))</f>
        <v/>
      </c>
      <c r="X918" s="41" t="n"/>
      <c r="Y918" s="40" t="n"/>
      <c r="Z918" s="41" t="n"/>
      <c r="AA918" s="41" t="n"/>
      <c r="AB918" s="40" t="n"/>
      <c r="AC918" s="51" t="n"/>
      <c r="AD918" s="51" t="n"/>
      <c r="AE918" s="40" t="n"/>
      <c r="AF918" s="52" t="str">
        <f>IF($AM918=0,"",IF($D918&lt;&gt;"",$D918,IF(IFERROR(INDEX(Accounts!$C$7:$C$16,MATCH($C918,Accounts!$B$7:$B$16,0))&amp;"","")&lt;&gt;"",INDEX(Accounts!$C$7:$C$16,MATCH($C918,Accounts!$B$7:$B$16,0)),Settings!$C$6)))</f>
        <v/>
      </c>
      <c r="AG918" s="53" t="str">
        <f>IF($AM918=0,"",IF(AND($BE918&gt;0,N(INDEX(Instruments!$D$6:$D$205,MAX(1,$BE918)))&gt;0),INDEX(Instruments!$D$6:$D$205,MAX(1,$BE918)),IF(N(INDEX(Settings!$D$14:$D$18,$BF918))&gt;0,INDEX(Settings!$D$14:$D$18,$BF918),"")))</f>
        <v/>
      </c>
      <c r="AH918" s="54" t="str">
        <f>IF($AM918=0,"",IF($AF918&lt;&gt;"Forex",1,IF(MID(UPPER(SUBSTITUTE(TRIM($E918),"/","")),4,3)=UPPER(TRIM(Settings!$C$7)),1,IF(LEFT(UPPER(SUBSTITUTE(TRIM($E918),"/","")),3)=UPPER(TRIM(Settings!$C$7)),IF(AND(ISNUMBER($K918),N($K918)&lt;&gt;0),1/$K918,""),""))))</f>
        <v/>
      </c>
      <c r="AI918" s="55" t="str">
        <f>IF($AM918=0,"",IF(OR(NOT(ISNUMBER($H918)),NOT(ISNUMBER($K918)),NOT(ISNUMBER($G918)),$AG918="",$AH918=""),"",ROUND(($K918-$H918)*IF($F918="Short",-1,1)*$G918*$AG918*$AH918,6)))</f>
        <v/>
      </c>
      <c r="AJ918" s="55" t="str">
        <f>IF($AM918=0,"",IF(INDEX(Settings!$E$14:$E$18,$BF918)="% of notional",IF(OR($AG918="",NOT(ISNUMBER($H918)),NOT(ISNUMBER($G918))),"",ROUND(ABS($H918*$G918*$AG918*N($AH918))*IF($L918="Limit",N(INDEX(Settings!$G$14:$G$18,$BF918)),N(INDEX(Settings!$H$14:$H$18,$BF918)))+IF(ISNUMBER($K918),ABS($K918*$G918*$AG918*N($AH918))*IF($M918="Target",N(INDEX(Settings!$G$14:$G$18,$BF918)),N(INDEX(Settings!$H$14:$H$18,$BF918))),0),6)),IF(NOT(ISNUMBER($G918)),"",ROUND(ABS($G918)*2*IF(AND($BE918&gt;0,ISNUMBER(INDEX(Instruments!$G$6:$G$205,MAX(1,$BE918)))),INDEX(Instruments!$G$6:$G$205,MAX(1,$BE918)),N(INDEX(Settings!$F$14:$F$18,$BF918))),6))))</f>
        <v/>
      </c>
      <c r="AK918" s="55" t="str">
        <f>IF($AM918=0,"",IF(ISNUMBER($O918),$O918,$AI918))</f>
        <v/>
      </c>
      <c r="AL918" s="55" t="str">
        <f>IF($AM918=0,"",IF(ISNUMBER($P918),$P918,N($AJ918)))</f>
        <v/>
      </c>
      <c r="AM918" s="56">
        <f>IF(AND($A918&lt;&gt;"",$E918&lt;&gt;"",OR(AND(ISNUMBER($G918),ISNUMBER($H918),ISNUMBER($K918)),ISNUMBER($O918))),1,0)</f>
        <v>0</v>
      </c>
      <c r="AN918" s="57" t="str">
        <f>IF($A918="","",$A918-WEEKDAY($A918,3))</f>
        <v/>
      </c>
      <c r="AO918" s="56" t="str">
        <f>IF($A918="","",WEEKDAY($A918,2))</f>
        <v/>
      </c>
      <c r="AP918" s="55" t="str">
        <f>IF(OR($AM918=0,$C918=""),"",IFERROR(N(INDEX(Accounts!$E$7:$E$16,MATCH($C918,Accounts!$B$7:$B$16,0))),0)+SUMIFS($Q$6:$Q918,$C$6:$C918,$C918))</f>
        <v/>
      </c>
      <c r="AQ918" s="55" t="str">
        <f>IF(OR($AM918=0,$C918=""),"",SUMIFS($Q$6:$Q$1005,$C$6:$C$1005,$C918,$A$6:$A$1005,$A918))</f>
        <v/>
      </c>
      <c r="AR918" s="55" t="str">
        <f>IF(OR($AM918=0,$C918=""),"",IFERROR(N(INDEX(Accounts!$E$7:$E$16,MATCH($C918,Accounts!$B$7:$B$16,0))),0)+SUMIFS($Q$6:$Q$1005,$C$6:$C$1005,$C918,$A$6:$A$1005,"&lt;="&amp;$A918))</f>
        <v/>
      </c>
      <c r="AS918" s="56">
        <f>IF(OR($AM918=0,$Q918=""),0,IF(AND($A918&gt;=Lists!$W$6,$A918&lt;=Lists!$W$7,OR(Dashboard!$D$6="All accounts",$C918=Dashboard!$D$6),OR(Dashboard!$D$7="All markets",$AF918=Dashboard!$D$7)),1,0))</f>
        <v>0</v>
      </c>
      <c r="AT918" s="55">
        <f>IF($AS918=1,N(AT917)+$Q918,N(AT917))</f>
        <v>1187.10688</v>
      </c>
      <c r="AU918" s="55">
        <f>MAX(N(AU917),$AT918)</f>
        <v>1187.10688</v>
      </c>
      <c r="AV918" s="55">
        <f>$AT918-$AU918</f>
        <v>0</v>
      </c>
      <c r="AW918" s="56">
        <f>IF($AS918=1,IF($S918="Win",N(AW917)+1,IF($S918="Loss",0,N(AW917))),N(AW917))</f>
        <v>5</v>
      </c>
      <c r="AX918" s="56">
        <f>IF($AS918=1,IF($S918="Loss",N(AX917)+1,IF($S918="Win",0,N(AX917))),N(AX917))</f>
        <v>0</v>
      </c>
      <c r="AY918" s="56" t="str">
        <f>IF($AS918=1,COUNTIF($AS$6:$AS918,1),"")</f>
        <v/>
      </c>
      <c r="AZ918" s="56">
        <f>MIN(912,N(Lists!$W$8))</f>
        <v>28</v>
      </c>
      <c r="BA918" s="56">
        <f>IF($AS918=1,IF(COUNTIFS($A$6:$A918,$A918,$AS$6:$AS918,1)=1,1,0),0)</f>
        <v>0</v>
      </c>
      <c r="BB918" s="55" t="str">
        <f>IF($BA918=1,SUMIFS($Q$6:$Q$1005,$A$6:$A$1005,$A918,$AS$6:$AS$1005,1),"")</f>
        <v/>
      </c>
      <c r="BC918" s="56">
        <f>IF(ISNUMBER($R918),1,0)</f>
        <v>0</v>
      </c>
      <c r="BD918" s="55" t="str">
        <f>IF(ISNUMBER($U918),$U918*$V918,"")</f>
        <v/>
      </c>
      <c r="BE918" s="56" t="str">
        <f>IF($AM918=0,"",IFERROR(MATCH($AF918&amp;"|"&amp;UPPER(TRIM($E918)),Lists!$A$6:$A$205,0),0))</f>
        <v/>
      </c>
      <c r="BF918" s="56" t="str">
        <f>IF($AM918=0,"",IFERROR(MATCH($AF918,Settings!$B$14:$B$18,0),IFERROR(MATCH(Settings!$C$6,Settings!$B$14:$B$18,0),1)))</f>
        <v/>
      </c>
      <c r="BG918" s="58" t="str">
        <f>IF($AM918=0,"",IF(NOT(ISNUMBER($I918)),"No stop; ","")&amp;IF(AND(ISNUMBER($H918),ISNUMBER($I918)),IF(OR(AND($F918&lt;&gt;"Short",$I918&gt;=$H918),AND($F918="Short",$I918&lt;=$H918)),"Stop on wrong side; ",""),"")&amp;IF($F918="","No direction; ","")&amp;IF(AND(ISNUMBER(Settings!$C$22),ISNUMBER($V918)),IF($V918&gt;Settings!$C$22,"Risk over max $; ",""),"")&amp;IF(AND(ISNUMBER(Settings!$C$23),ISNUMBER($V918),ISNUMBER($AP918),IFERROR(N(INDEX(Accounts!$E$7:$E$16,MATCH($C918,Accounts!$B$7:$B$16,0))),0)&gt;0),IF($V918&gt;Settings!$C$23*($AP918-N($Q918)),"Risk over max %; ",""),"")&amp;IF(AND(ISNUMBER(Settings!$C$24),ISNUMBER($N918)),IF($N918&gt;Settings!$C$24,"Leverage over max; ",""),"")&amp;IF(AND(ISNUMBER(Settings!$C$27),ISNUMBER($T918)),IF($T918&lt;Settings!$C$27,"R:R below min; ",""),"")&amp;IF(ISNUMBER(Settings!$C$25),IF(COUNTIFS($A$6:$A918,$A918,$AM$6:$AM918,1)&gt;Settings!$C$25,"Over max trades/day; ",""),"")&amp;IF(ISNUMBER(Settings!$C$26),IF(SUMIFS($Q$5:$Q917,$A$5:$A917,$A918)&lt;=-Settings!$C$26,"Traded after daily max loss; ",""),"")&amp;IF(AND($AG918="",NOT(ISNUMBER($O918))),"Symbol not in Instruments; ","")&amp;IF(AND($AH918="",NOT(ISNUMBER($O918))),"Forex cross: type Gross P&amp;L; ",""))</f>
        <v/>
      </c>
      <c r="BH918" s="56">
        <f>IF(ISNUMBER($Q918),1,0)</f>
        <v>0</v>
      </c>
      <c r="BI918" s="56">
        <f>IF($Y918="",0,1)</f>
        <v>0</v>
      </c>
      <c r="BJ918" s="56">
        <f>IF($AB918="",0,1)</f>
        <v>0</v>
      </c>
      <c r="BK918" s="56">
        <f>IF(AND($BH918=1,$W918&lt;&gt;"OK"),1,0)</f>
        <v>0</v>
      </c>
      <c r="BL918" s="55">
        <f>IF(N($AZ918)=0,0,IFERROR(INDEX($AT$6:$AT$1005,MATCH($AZ918,$AY$6:$AY$1005,0)),0))</f>
        <v>1187.10688</v>
      </c>
      <c r="BM918" s="56">
        <f>IF(ISNUMBER(SEARCH("daily max loss",$BG918)),1,0)</f>
        <v>0</v>
      </c>
    </row>
    <row r="919" ht="18" customHeight="1">
      <c r="A919" s="38" t="n"/>
      <c r="B919" s="39" t="n"/>
      <c r="C919" s="40" t="n"/>
      <c r="D919" s="41" t="n"/>
      <c r="E919" s="41" t="n"/>
      <c r="F919" s="41" t="n"/>
      <c r="G919" s="41" t="n"/>
      <c r="H919" s="42" t="n"/>
      <c r="I919" s="42" t="n"/>
      <c r="J919" s="42" t="n"/>
      <c r="K919" s="42" t="n"/>
      <c r="L919" s="41" t="n"/>
      <c r="M919" s="41" t="n"/>
      <c r="N919" s="41" t="n"/>
      <c r="O919" s="43" t="n"/>
      <c r="P919" s="43" t="n"/>
      <c r="Q919" s="44" t="str">
        <f>IF($AM919=0,"",IF(ISNUMBER($AK919),$AK919-N($AL919),""))</f>
        <v/>
      </c>
      <c r="R919" s="45" t="str">
        <f>IF(OR($Q919="",NOT(ISNUMBER($V919))),"",$AK919/$V919)</f>
        <v/>
      </c>
      <c r="S919" s="46" t="str">
        <f>IF($Q919="","",IF(AND(ISNUMBER($R919),ABS(N($R919))&lt;N(Settings!$C$8)),"Scratch",IF($Q919&gt;0,"Win",IF($Q919&lt;0,"Loss","Scratch"))))</f>
        <v/>
      </c>
      <c r="T919" s="47" t="str">
        <f>IF(OR($AM919=0,NOT(ISNUMBER($H919)),NOT(ISNUMBER($I919)),NOT(ISNUMBER($J919))),"",IF($H919=$I919,"",ROUND(ABS($J919-$H919)/ABS($H919-$I919),6)))</f>
        <v/>
      </c>
      <c r="U919" s="48" t="str">
        <f>IF(OR($S919&lt;&gt;"Win",NOT(ISNUMBER($T919)),NOT(ISNUMBER($R919))),"",MAX(0,$T919-$R919))</f>
        <v/>
      </c>
      <c r="V919" s="49" t="str">
        <f>IF(OR($AM919=0,NOT(ISNUMBER($H919)),NOT(ISNUMBER($I919)),NOT(ISNUMBER($G919))),"",IF(OR($AG919="",$AH919=""),"",IF(ROUND(ABS($H919-$I919)*ABS($G919)*$AG919*$AH919,6)=0,"",ROUND(ABS($H919-$I919)*ABS($G919)*$AG919*$AH919,6))))</f>
        <v/>
      </c>
      <c r="W919" s="50" t="str">
        <f>IF($AM919=0,"",IF($BG919="","OK",LEFT($BG919,LEN($BG919)-2)))</f>
        <v/>
      </c>
      <c r="X919" s="41" t="n"/>
      <c r="Y919" s="40" t="n"/>
      <c r="Z919" s="41" t="n"/>
      <c r="AA919" s="41" t="n"/>
      <c r="AB919" s="40" t="n"/>
      <c r="AC919" s="51" t="n"/>
      <c r="AD919" s="51" t="n"/>
      <c r="AE919" s="40" t="n"/>
      <c r="AF919" s="52" t="str">
        <f>IF($AM919=0,"",IF($D919&lt;&gt;"",$D919,IF(IFERROR(INDEX(Accounts!$C$7:$C$16,MATCH($C919,Accounts!$B$7:$B$16,0))&amp;"","")&lt;&gt;"",INDEX(Accounts!$C$7:$C$16,MATCH($C919,Accounts!$B$7:$B$16,0)),Settings!$C$6)))</f>
        <v/>
      </c>
      <c r="AG919" s="53" t="str">
        <f>IF($AM919=0,"",IF(AND($BE919&gt;0,N(INDEX(Instruments!$D$6:$D$205,MAX(1,$BE919)))&gt;0),INDEX(Instruments!$D$6:$D$205,MAX(1,$BE919)),IF(N(INDEX(Settings!$D$14:$D$18,$BF919))&gt;0,INDEX(Settings!$D$14:$D$18,$BF919),"")))</f>
        <v/>
      </c>
      <c r="AH919" s="54" t="str">
        <f>IF($AM919=0,"",IF($AF919&lt;&gt;"Forex",1,IF(MID(UPPER(SUBSTITUTE(TRIM($E919),"/","")),4,3)=UPPER(TRIM(Settings!$C$7)),1,IF(LEFT(UPPER(SUBSTITUTE(TRIM($E919),"/","")),3)=UPPER(TRIM(Settings!$C$7)),IF(AND(ISNUMBER($K919),N($K919)&lt;&gt;0),1/$K919,""),""))))</f>
        <v/>
      </c>
      <c r="AI919" s="55" t="str">
        <f>IF($AM919=0,"",IF(OR(NOT(ISNUMBER($H919)),NOT(ISNUMBER($K919)),NOT(ISNUMBER($G919)),$AG919="",$AH919=""),"",ROUND(($K919-$H919)*IF($F919="Short",-1,1)*$G919*$AG919*$AH919,6)))</f>
        <v/>
      </c>
      <c r="AJ919" s="55" t="str">
        <f>IF($AM919=0,"",IF(INDEX(Settings!$E$14:$E$18,$BF919)="% of notional",IF(OR($AG919="",NOT(ISNUMBER($H919)),NOT(ISNUMBER($G919))),"",ROUND(ABS($H919*$G919*$AG919*N($AH919))*IF($L919="Limit",N(INDEX(Settings!$G$14:$G$18,$BF919)),N(INDEX(Settings!$H$14:$H$18,$BF919)))+IF(ISNUMBER($K919),ABS($K919*$G919*$AG919*N($AH919))*IF($M919="Target",N(INDEX(Settings!$G$14:$G$18,$BF919)),N(INDEX(Settings!$H$14:$H$18,$BF919))),0),6)),IF(NOT(ISNUMBER($G919)),"",ROUND(ABS($G919)*2*IF(AND($BE919&gt;0,ISNUMBER(INDEX(Instruments!$G$6:$G$205,MAX(1,$BE919)))),INDEX(Instruments!$G$6:$G$205,MAX(1,$BE919)),N(INDEX(Settings!$F$14:$F$18,$BF919))),6))))</f>
        <v/>
      </c>
      <c r="AK919" s="55" t="str">
        <f>IF($AM919=0,"",IF(ISNUMBER($O919),$O919,$AI919))</f>
        <v/>
      </c>
      <c r="AL919" s="55" t="str">
        <f>IF($AM919=0,"",IF(ISNUMBER($P919),$P919,N($AJ919)))</f>
        <v/>
      </c>
      <c r="AM919" s="56">
        <f>IF(AND($A919&lt;&gt;"",$E919&lt;&gt;"",OR(AND(ISNUMBER($G919),ISNUMBER($H919),ISNUMBER($K919)),ISNUMBER($O919))),1,0)</f>
        <v>0</v>
      </c>
      <c r="AN919" s="57" t="str">
        <f>IF($A919="","",$A919-WEEKDAY($A919,3))</f>
        <v/>
      </c>
      <c r="AO919" s="56" t="str">
        <f>IF($A919="","",WEEKDAY($A919,2))</f>
        <v/>
      </c>
      <c r="AP919" s="55" t="str">
        <f>IF(OR($AM919=0,$C919=""),"",IFERROR(N(INDEX(Accounts!$E$7:$E$16,MATCH($C919,Accounts!$B$7:$B$16,0))),0)+SUMIFS($Q$6:$Q919,$C$6:$C919,$C919))</f>
        <v/>
      </c>
      <c r="AQ919" s="55" t="str">
        <f>IF(OR($AM919=0,$C919=""),"",SUMIFS($Q$6:$Q$1005,$C$6:$C$1005,$C919,$A$6:$A$1005,$A919))</f>
        <v/>
      </c>
      <c r="AR919" s="55" t="str">
        <f>IF(OR($AM919=0,$C919=""),"",IFERROR(N(INDEX(Accounts!$E$7:$E$16,MATCH($C919,Accounts!$B$7:$B$16,0))),0)+SUMIFS($Q$6:$Q$1005,$C$6:$C$1005,$C919,$A$6:$A$1005,"&lt;="&amp;$A919))</f>
        <v/>
      </c>
      <c r="AS919" s="56">
        <f>IF(OR($AM919=0,$Q919=""),0,IF(AND($A919&gt;=Lists!$W$6,$A919&lt;=Lists!$W$7,OR(Dashboard!$D$6="All accounts",$C919=Dashboard!$D$6),OR(Dashboard!$D$7="All markets",$AF919=Dashboard!$D$7)),1,0))</f>
        <v>0</v>
      </c>
      <c r="AT919" s="55">
        <f>IF($AS919=1,N(AT918)+$Q919,N(AT918))</f>
        <v>1187.10688</v>
      </c>
      <c r="AU919" s="55">
        <f>MAX(N(AU918),$AT919)</f>
        <v>1187.10688</v>
      </c>
      <c r="AV919" s="55">
        <f>$AT919-$AU919</f>
        <v>0</v>
      </c>
      <c r="AW919" s="56">
        <f>IF($AS919=1,IF($S919="Win",N(AW918)+1,IF($S919="Loss",0,N(AW918))),N(AW918))</f>
        <v>5</v>
      </c>
      <c r="AX919" s="56">
        <f>IF($AS919=1,IF($S919="Loss",N(AX918)+1,IF($S919="Win",0,N(AX918))),N(AX918))</f>
        <v>0</v>
      </c>
      <c r="AY919" s="56" t="str">
        <f>IF($AS919=1,COUNTIF($AS$6:$AS919,1),"")</f>
        <v/>
      </c>
      <c r="AZ919" s="56">
        <f>MIN(913,N(Lists!$W$8))</f>
        <v>28</v>
      </c>
      <c r="BA919" s="56">
        <f>IF($AS919=1,IF(COUNTIFS($A$6:$A919,$A919,$AS$6:$AS919,1)=1,1,0),0)</f>
        <v>0</v>
      </c>
      <c r="BB919" s="55" t="str">
        <f>IF($BA919=1,SUMIFS($Q$6:$Q$1005,$A$6:$A$1005,$A919,$AS$6:$AS$1005,1),"")</f>
        <v/>
      </c>
      <c r="BC919" s="56">
        <f>IF(ISNUMBER($R919),1,0)</f>
        <v>0</v>
      </c>
      <c r="BD919" s="55" t="str">
        <f>IF(ISNUMBER($U919),$U919*$V919,"")</f>
        <v/>
      </c>
      <c r="BE919" s="56" t="str">
        <f>IF($AM919=0,"",IFERROR(MATCH($AF919&amp;"|"&amp;UPPER(TRIM($E919)),Lists!$A$6:$A$205,0),0))</f>
        <v/>
      </c>
      <c r="BF919" s="56" t="str">
        <f>IF($AM919=0,"",IFERROR(MATCH($AF919,Settings!$B$14:$B$18,0),IFERROR(MATCH(Settings!$C$6,Settings!$B$14:$B$18,0),1)))</f>
        <v/>
      </c>
      <c r="BG919" s="58" t="str">
        <f>IF($AM919=0,"",IF(NOT(ISNUMBER($I919)),"No stop; ","")&amp;IF(AND(ISNUMBER($H919),ISNUMBER($I919)),IF(OR(AND($F919&lt;&gt;"Short",$I919&gt;=$H919),AND($F919="Short",$I919&lt;=$H919)),"Stop on wrong side; ",""),"")&amp;IF($F919="","No direction; ","")&amp;IF(AND(ISNUMBER(Settings!$C$22),ISNUMBER($V919)),IF($V919&gt;Settings!$C$22,"Risk over max $; ",""),"")&amp;IF(AND(ISNUMBER(Settings!$C$23),ISNUMBER($V919),ISNUMBER($AP919),IFERROR(N(INDEX(Accounts!$E$7:$E$16,MATCH($C919,Accounts!$B$7:$B$16,0))),0)&gt;0),IF($V919&gt;Settings!$C$23*($AP919-N($Q919)),"Risk over max %; ",""),"")&amp;IF(AND(ISNUMBER(Settings!$C$24),ISNUMBER($N919)),IF($N919&gt;Settings!$C$24,"Leverage over max; ",""),"")&amp;IF(AND(ISNUMBER(Settings!$C$27),ISNUMBER($T919)),IF($T919&lt;Settings!$C$27,"R:R below min; ",""),"")&amp;IF(ISNUMBER(Settings!$C$25),IF(COUNTIFS($A$6:$A919,$A919,$AM$6:$AM919,1)&gt;Settings!$C$25,"Over max trades/day; ",""),"")&amp;IF(ISNUMBER(Settings!$C$26),IF(SUMIFS($Q$5:$Q918,$A$5:$A918,$A919)&lt;=-Settings!$C$26,"Traded after daily max loss; ",""),"")&amp;IF(AND($AG919="",NOT(ISNUMBER($O919))),"Symbol not in Instruments; ","")&amp;IF(AND($AH919="",NOT(ISNUMBER($O919))),"Forex cross: type Gross P&amp;L; ",""))</f>
        <v/>
      </c>
      <c r="BH919" s="56">
        <f>IF(ISNUMBER($Q919),1,0)</f>
        <v>0</v>
      </c>
      <c r="BI919" s="56">
        <f>IF($Y919="",0,1)</f>
        <v>0</v>
      </c>
      <c r="BJ919" s="56">
        <f>IF($AB919="",0,1)</f>
        <v>0</v>
      </c>
      <c r="BK919" s="56">
        <f>IF(AND($BH919=1,$W919&lt;&gt;"OK"),1,0)</f>
        <v>0</v>
      </c>
      <c r="BL919" s="55">
        <f>IF(N($AZ919)=0,0,IFERROR(INDEX($AT$6:$AT$1005,MATCH($AZ919,$AY$6:$AY$1005,0)),0))</f>
        <v>1187.10688</v>
      </c>
      <c r="BM919" s="56">
        <f>IF(ISNUMBER(SEARCH("daily max loss",$BG919)),1,0)</f>
        <v>0</v>
      </c>
    </row>
    <row r="920" ht="18" customHeight="1">
      <c r="A920" s="38" t="n"/>
      <c r="B920" s="39" t="n"/>
      <c r="C920" s="40" t="n"/>
      <c r="D920" s="41" t="n"/>
      <c r="E920" s="41" t="n"/>
      <c r="F920" s="41" t="n"/>
      <c r="G920" s="41" t="n"/>
      <c r="H920" s="42" t="n"/>
      <c r="I920" s="42" t="n"/>
      <c r="J920" s="42" t="n"/>
      <c r="K920" s="42" t="n"/>
      <c r="L920" s="41" t="n"/>
      <c r="M920" s="41" t="n"/>
      <c r="N920" s="41" t="n"/>
      <c r="O920" s="43" t="n"/>
      <c r="P920" s="43" t="n"/>
      <c r="Q920" s="44" t="str">
        <f>IF($AM920=0,"",IF(ISNUMBER($AK920),$AK920-N($AL920),""))</f>
        <v/>
      </c>
      <c r="R920" s="45" t="str">
        <f>IF(OR($Q920="",NOT(ISNUMBER($V920))),"",$AK920/$V920)</f>
        <v/>
      </c>
      <c r="S920" s="46" t="str">
        <f>IF($Q920="","",IF(AND(ISNUMBER($R920),ABS(N($R920))&lt;N(Settings!$C$8)),"Scratch",IF($Q920&gt;0,"Win",IF($Q920&lt;0,"Loss","Scratch"))))</f>
        <v/>
      </c>
      <c r="T920" s="47" t="str">
        <f>IF(OR($AM920=0,NOT(ISNUMBER($H920)),NOT(ISNUMBER($I920)),NOT(ISNUMBER($J920))),"",IF($H920=$I920,"",ROUND(ABS($J920-$H920)/ABS($H920-$I920),6)))</f>
        <v/>
      </c>
      <c r="U920" s="48" t="str">
        <f>IF(OR($S920&lt;&gt;"Win",NOT(ISNUMBER($T920)),NOT(ISNUMBER($R920))),"",MAX(0,$T920-$R920))</f>
        <v/>
      </c>
      <c r="V920" s="49" t="str">
        <f>IF(OR($AM920=0,NOT(ISNUMBER($H920)),NOT(ISNUMBER($I920)),NOT(ISNUMBER($G920))),"",IF(OR($AG920="",$AH920=""),"",IF(ROUND(ABS($H920-$I920)*ABS($G920)*$AG920*$AH920,6)=0,"",ROUND(ABS($H920-$I920)*ABS($G920)*$AG920*$AH920,6))))</f>
        <v/>
      </c>
      <c r="W920" s="50" t="str">
        <f>IF($AM920=0,"",IF($BG920="","OK",LEFT($BG920,LEN($BG920)-2)))</f>
        <v/>
      </c>
      <c r="X920" s="41" t="n"/>
      <c r="Y920" s="40" t="n"/>
      <c r="Z920" s="41" t="n"/>
      <c r="AA920" s="41" t="n"/>
      <c r="AB920" s="40" t="n"/>
      <c r="AC920" s="51" t="n"/>
      <c r="AD920" s="51" t="n"/>
      <c r="AE920" s="40" t="n"/>
      <c r="AF920" s="52" t="str">
        <f>IF($AM920=0,"",IF($D920&lt;&gt;"",$D920,IF(IFERROR(INDEX(Accounts!$C$7:$C$16,MATCH($C920,Accounts!$B$7:$B$16,0))&amp;"","")&lt;&gt;"",INDEX(Accounts!$C$7:$C$16,MATCH($C920,Accounts!$B$7:$B$16,0)),Settings!$C$6)))</f>
        <v/>
      </c>
      <c r="AG920" s="53" t="str">
        <f>IF($AM920=0,"",IF(AND($BE920&gt;0,N(INDEX(Instruments!$D$6:$D$205,MAX(1,$BE920)))&gt;0),INDEX(Instruments!$D$6:$D$205,MAX(1,$BE920)),IF(N(INDEX(Settings!$D$14:$D$18,$BF920))&gt;0,INDEX(Settings!$D$14:$D$18,$BF920),"")))</f>
        <v/>
      </c>
      <c r="AH920" s="54" t="str">
        <f>IF($AM920=0,"",IF($AF920&lt;&gt;"Forex",1,IF(MID(UPPER(SUBSTITUTE(TRIM($E920),"/","")),4,3)=UPPER(TRIM(Settings!$C$7)),1,IF(LEFT(UPPER(SUBSTITUTE(TRIM($E920),"/","")),3)=UPPER(TRIM(Settings!$C$7)),IF(AND(ISNUMBER($K920),N($K920)&lt;&gt;0),1/$K920,""),""))))</f>
        <v/>
      </c>
      <c r="AI920" s="55" t="str">
        <f>IF($AM920=0,"",IF(OR(NOT(ISNUMBER($H920)),NOT(ISNUMBER($K920)),NOT(ISNUMBER($G920)),$AG920="",$AH920=""),"",ROUND(($K920-$H920)*IF($F920="Short",-1,1)*$G920*$AG920*$AH920,6)))</f>
        <v/>
      </c>
      <c r="AJ920" s="55" t="str">
        <f>IF($AM920=0,"",IF(INDEX(Settings!$E$14:$E$18,$BF920)="% of notional",IF(OR($AG920="",NOT(ISNUMBER($H920)),NOT(ISNUMBER($G920))),"",ROUND(ABS($H920*$G920*$AG920*N($AH920))*IF($L920="Limit",N(INDEX(Settings!$G$14:$G$18,$BF920)),N(INDEX(Settings!$H$14:$H$18,$BF920)))+IF(ISNUMBER($K920),ABS($K920*$G920*$AG920*N($AH920))*IF($M920="Target",N(INDEX(Settings!$G$14:$G$18,$BF920)),N(INDEX(Settings!$H$14:$H$18,$BF920))),0),6)),IF(NOT(ISNUMBER($G920)),"",ROUND(ABS($G920)*2*IF(AND($BE920&gt;0,ISNUMBER(INDEX(Instruments!$G$6:$G$205,MAX(1,$BE920)))),INDEX(Instruments!$G$6:$G$205,MAX(1,$BE920)),N(INDEX(Settings!$F$14:$F$18,$BF920))),6))))</f>
        <v/>
      </c>
      <c r="AK920" s="55" t="str">
        <f>IF($AM920=0,"",IF(ISNUMBER($O920),$O920,$AI920))</f>
        <v/>
      </c>
      <c r="AL920" s="55" t="str">
        <f>IF($AM920=0,"",IF(ISNUMBER($P920),$P920,N($AJ920)))</f>
        <v/>
      </c>
      <c r="AM920" s="56">
        <f>IF(AND($A920&lt;&gt;"",$E920&lt;&gt;"",OR(AND(ISNUMBER($G920),ISNUMBER($H920),ISNUMBER($K920)),ISNUMBER($O920))),1,0)</f>
        <v>0</v>
      </c>
      <c r="AN920" s="57" t="str">
        <f>IF($A920="","",$A920-WEEKDAY($A920,3))</f>
        <v/>
      </c>
      <c r="AO920" s="56" t="str">
        <f>IF($A920="","",WEEKDAY($A920,2))</f>
        <v/>
      </c>
      <c r="AP920" s="55" t="str">
        <f>IF(OR($AM920=0,$C920=""),"",IFERROR(N(INDEX(Accounts!$E$7:$E$16,MATCH($C920,Accounts!$B$7:$B$16,0))),0)+SUMIFS($Q$6:$Q920,$C$6:$C920,$C920))</f>
        <v/>
      </c>
      <c r="AQ920" s="55" t="str">
        <f>IF(OR($AM920=0,$C920=""),"",SUMIFS($Q$6:$Q$1005,$C$6:$C$1005,$C920,$A$6:$A$1005,$A920))</f>
        <v/>
      </c>
      <c r="AR920" s="55" t="str">
        <f>IF(OR($AM920=0,$C920=""),"",IFERROR(N(INDEX(Accounts!$E$7:$E$16,MATCH($C920,Accounts!$B$7:$B$16,0))),0)+SUMIFS($Q$6:$Q$1005,$C$6:$C$1005,$C920,$A$6:$A$1005,"&lt;="&amp;$A920))</f>
        <v/>
      </c>
      <c r="AS920" s="56">
        <f>IF(OR($AM920=0,$Q920=""),0,IF(AND($A920&gt;=Lists!$W$6,$A920&lt;=Lists!$W$7,OR(Dashboard!$D$6="All accounts",$C920=Dashboard!$D$6),OR(Dashboard!$D$7="All markets",$AF920=Dashboard!$D$7)),1,0))</f>
        <v>0</v>
      </c>
      <c r="AT920" s="55">
        <f>IF($AS920=1,N(AT919)+$Q920,N(AT919))</f>
        <v>1187.10688</v>
      </c>
      <c r="AU920" s="55">
        <f>MAX(N(AU919),$AT920)</f>
        <v>1187.10688</v>
      </c>
      <c r="AV920" s="55">
        <f>$AT920-$AU920</f>
        <v>0</v>
      </c>
      <c r="AW920" s="56">
        <f>IF($AS920=1,IF($S920="Win",N(AW919)+1,IF($S920="Loss",0,N(AW919))),N(AW919))</f>
        <v>5</v>
      </c>
      <c r="AX920" s="56">
        <f>IF($AS920=1,IF($S920="Loss",N(AX919)+1,IF($S920="Win",0,N(AX919))),N(AX919))</f>
        <v>0</v>
      </c>
      <c r="AY920" s="56" t="str">
        <f>IF($AS920=1,COUNTIF($AS$6:$AS920,1),"")</f>
        <v/>
      </c>
      <c r="AZ920" s="56">
        <f>MIN(914,N(Lists!$W$8))</f>
        <v>28</v>
      </c>
      <c r="BA920" s="56">
        <f>IF($AS920=1,IF(COUNTIFS($A$6:$A920,$A920,$AS$6:$AS920,1)=1,1,0),0)</f>
        <v>0</v>
      </c>
      <c r="BB920" s="55" t="str">
        <f>IF($BA920=1,SUMIFS($Q$6:$Q$1005,$A$6:$A$1005,$A920,$AS$6:$AS$1005,1),"")</f>
        <v/>
      </c>
      <c r="BC920" s="56">
        <f>IF(ISNUMBER($R920),1,0)</f>
        <v>0</v>
      </c>
      <c r="BD920" s="55" t="str">
        <f>IF(ISNUMBER($U920),$U920*$V920,"")</f>
        <v/>
      </c>
      <c r="BE920" s="56" t="str">
        <f>IF($AM920=0,"",IFERROR(MATCH($AF920&amp;"|"&amp;UPPER(TRIM($E920)),Lists!$A$6:$A$205,0),0))</f>
        <v/>
      </c>
      <c r="BF920" s="56" t="str">
        <f>IF($AM920=0,"",IFERROR(MATCH($AF920,Settings!$B$14:$B$18,0),IFERROR(MATCH(Settings!$C$6,Settings!$B$14:$B$18,0),1)))</f>
        <v/>
      </c>
      <c r="BG920" s="58" t="str">
        <f>IF($AM920=0,"",IF(NOT(ISNUMBER($I920)),"No stop; ","")&amp;IF(AND(ISNUMBER($H920),ISNUMBER($I920)),IF(OR(AND($F920&lt;&gt;"Short",$I920&gt;=$H920),AND($F920="Short",$I920&lt;=$H920)),"Stop on wrong side; ",""),"")&amp;IF($F920="","No direction; ","")&amp;IF(AND(ISNUMBER(Settings!$C$22),ISNUMBER($V920)),IF($V920&gt;Settings!$C$22,"Risk over max $; ",""),"")&amp;IF(AND(ISNUMBER(Settings!$C$23),ISNUMBER($V920),ISNUMBER($AP920),IFERROR(N(INDEX(Accounts!$E$7:$E$16,MATCH($C920,Accounts!$B$7:$B$16,0))),0)&gt;0),IF($V920&gt;Settings!$C$23*($AP920-N($Q920)),"Risk over max %; ",""),"")&amp;IF(AND(ISNUMBER(Settings!$C$24),ISNUMBER($N920)),IF($N920&gt;Settings!$C$24,"Leverage over max; ",""),"")&amp;IF(AND(ISNUMBER(Settings!$C$27),ISNUMBER($T920)),IF($T920&lt;Settings!$C$27,"R:R below min; ",""),"")&amp;IF(ISNUMBER(Settings!$C$25),IF(COUNTIFS($A$6:$A920,$A920,$AM$6:$AM920,1)&gt;Settings!$C$25,"Over max trades/day; ",""),"")&amp;IF(ISNUMBER(Settings!$C$26),IF(SUMIFS($Q$5:$Q919,$A$5:$A919,$A920)&lt;=-Settings!$C$26,"Traded after daily max loss; ",""),"")&amp;IF(AND($AG920="",NOT(ISNUMBER($O920))),"Symbol not in Instruments; ","")&amp;IF(AND($AH920="",NOT(ISNUMBER($O920))),"Forex cross: type Gross P&amp;L; ",""))</f>
        <v/>
      </c>
      <c r="BH920" s="56">
        <f>IF(ISNUMBER($Q920),1,0)</f>
        <v>0</v>
      </c>
      <c r="BI920" s="56">
        <f>IF($Y920="",0,1)</f>
        <v>0</v>
      </c>
      <c r="BJ920" s="56">
        <f>IF($AB920="",0,1)</f>
        <v>0</v>
      </c>
      <c r="BK920" s="56">
        <f>IF(AND($BH920=1,$W920&lt;&gt;"OK"),1,0)</f>
        <v>0</v>
      </c>
      <c r="BL920" s="55">
        <f>IF(N($AZ920)=0,0,IFERROR(INDEX($AT$6:$AT$1005,MATCH($AZ920,$AY$6:$AY$1005,0)),0))</f>
        <v>1187.10688</v>
      </c>
      <c r="BM920" s="56">
        <f>IF(ISNUMBER(SEARCH("daily max loss",$BG920)),1,0)</f>
        <v>0</v>
      </c>
    </row>
    <row r="921" ht="18" customHeight="1">
      <c r="A921" s="38" t="n"/>
      <c r="B921" s="39" t="n"/>
      <c r="C921" s="40" t="n"/>
      <c r="D921" s="41" t="n"/>
      <c r="E921" s="41" t="n"/>
      <c r="F921" s="41" t="n"/>
      <c r="G921" s="41" t="n"/>
      <c r="H921" s="42" t="n"/>
      <c r="I921" s="42" t="n"/>
      <c r="J921" s="42" t="n"/>
      <c r="K921" s="42" t="n"/>
      <c r="L921" s="41" t="n"/>
      <c r="M921" s="41" t="n"/>
      <c r="N921" s="41" t="n"/>
      <c r="O921" s="43" t="n"/>
      <c r="P921" s="43" t="n"/>
      <c r="Q921" s="44" t="str">
        <f>IF($AM921=0,"",IF(ISNUMBER($AK921),$AK921-N($AL921),""))</f>
        <v/>
      </c>
      <c r="R921" s="45" t="str">
        <f>IF(OR($Q921="",NOT(ISNUMBER($V921))),"",$AK921/$V921)</f>
        <v/>
      </c>
      <c r="S921" s="46" t="str">
        <f>IF($Q921="","",IF(AND(ISNUMBER($R921),ABS(N($R921))&lt;N(Settings!$C$8)),"Scratch",IF($Q921&gt;0,"Win",IF($Q921&lt;0,"Loss","Scratch"))))</f>
        <v/>
      </c>
      <c r="T921" s="47" t="str">
        <f>IF(OR($AM921=0,NOT(ISNUMBER($H921)),NOT(ISNUMBER($I921)),NOT(ISNUMBER($J921))),"",IF($H921=$I921,"",ROUND(ABS($J921-$H921)/ABS($H921-$I921),6)))</f>
        <v/>
      </c>
      <c r="U921" s="48" t="str">
        <f>IF(OR($S921&lt;&gt;"Win",NOT(ISNUMBER($T921)),NOT(ISNUMBER($R921))),"",MAX(0,$T921-$R921))</f>
        <v/>
      </c>
      <c r="V921" s="49" t="str">
        <f>IF(OR($AM921=0,NOT(ISNUMBER($H921)),NOT(ISNUMBER($I921)),NOT(ISNUMBER($G921))),"",IF(OR($AG921="",$AH921=""),"",IF(ROUND(ABS($H921-$I921)*ABS($G921)*$AG921*$AH921,6)=0,"",ROUND(ABS($H921-$I921)*ABS($G921)*$AG921*$AH921,6))))</f>
        <v/>
      </c>
      <c r="W921" s="50" t="str">
        <f>IF($AM921=0,"",IF($BG921="","OK",LEFT($BG921,LEN($BG921)-2)))</f>
        <v/>
      </c>
      <c r="X921" s="41" t="n"/>
      <c r="Y921" s="40" t="n"/>
      <c r="Z921" s="41" t="n"/>
      <c r="AA921" s="41" t="n"/>
      <c r="AB921" s="40" t="n"/>
      <c r="AC921" s="51" t="n"/>
      <c r="AD921" s="51" t="n"/>
      <c r="AE921" s="40" t="n"/>
      <c r="AF921" s="52" t="str">
        <f>IF($AM921=0,"",IF($D921&lt;&gt;"",$D921,IF(IFERROR(INDEX(Accounts!$C$7:$C$16,MATCH($C921,Accounts!$B$7:$B$16,0))&amp;"","")&lt;&gt;"",INDEX(Accounts!$C$7:$C$16,MATCH($C921,Accounts!$B$7:$B$16,0)),Settings!$C$6)))</f>
        <v/>
      </c>
      <c r="AG921" s="53" t="str">
        <f>IF($AM921=0,"",IF(AND($BE921&gt;0,N(INDEX(Instruments!$D$6:$D$205,MAX(1,$BE921)))&gt;0),INDEX(Instruments!$D$6:$D$205,MAX(1,$BE921)),IF(N(INDEX(Settings!$D$14:$D$18,$BF921))&gt;0,INDEX(Settings!$D$14:$D$18,$BF921),"")))</f>
        <v/>
      </c>
      <c r="AH921" s="54" t="str">
        <f>IF($AM921=0,"",IF($AF921&lt;&gt;"Forex",1,IF(MID(UPPER(SUBSTITUTE(TRIM($E921),"/","")),4,3)=UPPER(TRIM(Settings!$C$7)),1,IF(LEFT(UPPER(SUBSTITUTE(TRIM($E921),"/","")),3)=UPPER(TRIM(Settings!$C$7)),IF(AND(ISNUMBER($K921),N($K921)&lt;&gt;0),1/$K921,""),""))))</f>
        <v/>
      </c>
      <c r="AI921" s="55" t="str">
        <f>IF($AM921=0,"",IF(OR(NOT(ISNUMBER($H921)),NOT(ISNUMBER($K921)),NOT(ISNUMBER($G921)),$AG921="",$AH921=""),"",ROUND(($K921-$H921)*IF($F921="Short",-1,1)*$G921*$AG921*$AH921,6)))</f>
        <v/>
      </c>
      <c r="AJ921" s="55" t="str">
        <f>IF($AM921=0,"",IF(INDEX(Settings!$E$14:$E$18,$BF921)="% of notional",IF(OR($AG921="",NOT(ISNUMBER($H921)),NOT(ISNUMBER($G921))),"",ROUND(ABS($H921*$G921*$AG921*N($AH921))*IF($L921="Limit",N(INDEX(Settings!$G$14:$G$18,$BF921)),N(INDEX(Settings!$H$14:$H$18,$BF921)))+IF(ISNUMBER($K921),ABS($K921*$G921*$AG921*N($AH921))*IF($M921="Target",N(INDEX(Settings!$G$14:$G$18,$BF921)),N(INDEX(Settings!$H$14:$H$18,$BF921))),0),6)),IF(NOT(ISNUMBER($G921)),"",ROUND(ABS($G921)*2*IF(AND($BE921&gt;0,ISNUMBER(INDEX(Instruments!$G$6:$G$205,MAX(1,$BE921)))),INDEX(Instruments!$G$6:$G$205,MAX(1,$BE921)),N(INDEX(Settings!$F$14:$F$18,$BF921))),6))))</f>
        <v/>
      </c>
      <c r="AK921" s="55" t="str">
        <f>IF($AM921=0,"",IF(ISNUMBER($O921),$O921,$AI921))</f>
        <v/>
      </c>
      <c r="AL921" s="55" t="str">
        <f>IF($AM921=0,"",IF(ISNUMBER($P921),$P921,N($AJ921)))</f>
        <v/>
      </c>
      <c r="AM921" s="56">
        <f>IF(AND($A921&lt;&gt;"",$E921&lt;&gt;"",OR(AND(ISNUMBER($G921),ISNUMBER($H921),ISNUMBER($K921)),ISNUMBER($O921))),1,0)</f>
        <v>0</v>
      </c>
      <c r="AN921" s="57" t="str">
        <f>IF($A921="","",$A921-WEEKDAY($A921,3))</f>
        <v/>
      </c>
      <c r="AO921" s="56" t="str">
        <f>IF($A921="","",WEEKDAY($A921,2))</f>
        <v/>
      </c>
      <c r="AP921" s="55" t="str">
        <f>IF(OR($AM921=0,$C921=""),"",IFERROR(N(INDEX(Accounts!$E$7:$E$16,MATCH($C921,Accounts!$B$7:$B$16,0))),0)+SUMIFS($Q$6:$Q921,$C$6:$C921,$C921))</f>
        <v/>
      </c>
      <c r="AQ921" s="55" t="str">
        <f>IF(OR($AM921=0,$C921=""),"",SUMIFS($Q$6:$Q$1005,$C$6:$C$1005,$C921,$A$6:$A$1005,$A921))</f>
        <v/>
      </c>
      <c r="AR921" s="55" t="str">
        <f>IF(OR($AM921=0,$C921=""),"",IFERROR(N(INDEX(Accounts!$E$7:$E$16,MATCH($C921,Accounts!$B$7:$B$16,0))),0)+SUMIFS($Q$6:$Q$1005,$C$6:$C$1005,$C921,$A$6:$A$1005,"&lt;="&amp;$A921))</f>
        <v/>
      </c>
      <c r="AS921" s="56">
        <f>IF(OR($AM921=0,$Q921=""),0,IF(AND($A921&gt;=Lists!$W$6,$A921&lt;=Lists!$W$7,OR(Dashboard!$D$6="All accounts",$C921=Dashboard!$D$6),OR(Dashboard!$D$7="All markets",$AF921=Dashboard!$D$7)),1,0))</f>
        <v>0</v>
      </c>
      <c r="AT921" s="55">
        <f>IF($AS921=1,N(AT920)+$Q921,N(AT920))</f>
        <v>1187.10688</v>
      </c>
      <c r="AU921" s="55">
        <f>MAX(N(AU920),$AT921)</f>
        <v>1187.10688</v>
      </c>
      <c r="AV921" s="55">
        <f>$AT921-$AU921</f>
        <v>0</v>
      </c>
      <c r="AW921" s="56">
        <f>IF($AS921=1,IF($S921="Win",N(AW920)+1,IF($S921="Loss",0,N(AW920))),N(AW920))</f>
        <v>5</v>
      </c>
      <c r="AX921" s="56">
        <f>IF($AS921=1,IF($S921="Loss",N(AX920)+1,IF($S921="Win",0,N(AX920))),N(AX920))</f>
        <v>0</v>
      </c>
      <c r="AY921" s="56" t="str">
        <f>IF($AS921=1,COUNTIF($AS$6:$AS921,1),"")</f>
        <v/>
      </c>
      <c r="AZ921" s="56">
        <f>MIN(915,N(Lists!$W$8))</f>
        <v>28</v>
      </c>
      <c r="BA921" s="56">
        <f>IF($AS921=1,IF(COUNTIFS($A$6:$A921,$A921,$AS$6:$AS921,1)=1,1,0),0)</f>
        <v>0</v>
      </c>
      <c r="BB921" s="55" t="str">
        <f>IF($BA921=1,SUMIFS($Q$6:$Q$1005,$A$6:$A$1005,$A921,$AS$6:$AS$1005,1),"")</f>
        <v/>
      </c>
      <c r="BC921" s="56">
        <f>IF(ISNUMBER($R921),1,0)</f>
        <v>0</v>
      </c>
      <c r="BD921" s="55" t="str">
        <f>IF(ISNUMBER($U921),$U921*$V921,"")</f>
        <v/>
      </c>
      <c r="BE921" s="56" t="str">
        <f>IF($AM921=0,"",IFERROR(MATCH($AF921&amp;"|"&amp;UPPER(TRIM($E921)),Lists!$A$6:$A$205,0),0))</f>
        <v/>
      </c>
      <c r="BF921" s="56" t="str">
        <f>IF($AM921=0,"",IFERROR(MATCH($AF921,Settings!$B$14:$B$18,0),IFERROR(MATCH(Settings!$C$6,Settings!$B$14:$B$18,0),1)))</f>
        <v/>
      </c>
      <c r="BG921" s="58" t="str">
        <f>IF($AM921=0,"",IF(NOT(ISNUMBER($I921)),"No stop; ","")&amp;IF(AND(ISNUMBER($H921),ISNUMBER($I921)),IF(OR(AND($F921&lt;&gt;"Short",$I921&gt;=$H921),AND($F921="Short",$I921&lt;=$H921)),"Stop on wrong side; ",""),"")&amp;IF($F921="","No direction; ","")&amp;IF(AND(ISNUMBER(Settings!$C$22),ISNUMBER($V921)),IF($V921&gt;Settings!$C$22,"Risk over max $; ",""),"")&amp;IF(AND(ISNUMBER(Settings!$C$23),ISNUMBER($V921),ISNUMBER($AP921),IFERROR(N(INDEX(Accounts!$E$7:$E$16,MATCH($C921,Accounts!$B$7:$B$16,0))),0)&gt;0),IF($V921&gt;Settings!$C$23*($AP921-N($Q921)),"Risk over max %; ",""),"")&amp;IF(AND(ISNUMBER(Settings!$C$24),ISNUMBER($N921)),IF($N921&gt;Settings!$C$24,"Leverage over max; ",""),"")&amp;IF(AND(ISNUMBER(Settings!$C$27),ISNUMBER($T921)),IF($T921&lt;Settings!$C$27,"R:R below min; ",""),"")&amp;IF(ISNUMBER(Settings!$C$25),IF(COUNTIFS($A$6:$A921,$A921,$AM$6:$AM921,1)&gt;Settings!$C$25,"Over max trades/day; ",""),"")&amp;IF(ISNUMBER(Settings!$C$26),IF(SUMIFS($Q$5:$Q920,$A$5:$A920,$A921)&lt;=-Settings!$C$26,"Traded after daily max loss; ",""),"")&amp;IF(AND($AG921="",NOT(ISNUMBER($O921))),"Symbol not in Instruments; ","")&amp;IF(AND($AH921="",NOT(ISNUMBER($O921))),"Forex cross: type Gross P&amp;L; ",""))</f>
        <v/>
      </c>
      <c r="BH921" s="56">
        <f>IF(ISNUMBER($Q921),1,0)</f>
        <v>0</v>
      </c>
      <c r="BI921" s="56">
        <f>IF($Y921="",0,1)</f>
        <v>0</v>
      </c>
      <c r="BJ921" s="56">
        <f>IF($AB921="",0,1)</f>
        <v>0</v>
      </c>
      <c r="BK921" s="56">
        <f>IF(AND($BH921=1,$W921&lt;&gt;"OK"),1,0)</f>
        <v>0</v>
      </c>
      <c r="BL921" s="55">
        <f>IF(N($AZ921)=0,0,IFERROR(INDEX($AT$6:$AT$1005,MATCH($AZ921,$AY$6:$AY$1005,0)),0))</f>
        <v>1187.10688</v>
      </c>
      <c r="BM921" s="56">
        <f>IF(ISNUMBER(SEARCH("daily max loss",$BG921)),1,0)</f>
        <v>0</v>
      </c>
    </row>
    <row r="922" ht="18" customHeight="1">
      <c r="A922" s="38" t="n"/>
      <c r="B922" s="39" t="n"/>
      <c r="C922" s="40" t="n"/>
      <c r="D922" s="41" t="n"/>
      <c r="E922" s="41" t="n"/>
      <c r="F922" s="41" t="n"/>
      <c r="G922" s="41" t="n"/>
      <c r="H922" s="42" t="n"/>
      <c r="I922" s="42" t="n"/>
      <c r="J922" s="42" t="n"/>
      <c r="K922" s="42" t="n"/>
      <c r="L922" s="41" t="n"/>
      <c r="M922" s="41" t="n"/>
      <c r="N922" s="41" t="n"/>
      <c r="O922" s="43" t="n"/>
      <c r="P922" s="43" t="n"/>
      <c r="Q922" s="44" t="str">
        <f>IF($AM922=0,"",IF(ISNUMBER($AK922),$AK922-N($AL922),""))</f>
        <v/>
      </c>
      <c r="R922" s="45" t="str">
        <f>IF(OR($Q922="",NOT(ISNUMBER($V922))),"",$AK922/$V922)</f>
        <v/>
      </c>
      <c r="S922" s="46" t="str">
        <f>IF($Q922="","",IF(AND(ISNUMBER($R922),ABS(N($R922))&lt;N(Settings!$C$8)),"Scratch",IF($Q922&gt;0,"Win",IF($Q922&lt;0,"Loss","Scratch"))))</f>
        <v/>
      </c>
      <c r="T922" s="47" t="str">
        <f>IF(OR($AM922=0,NOT(ISNUMBER($H922)),NOT(ISNUMBER($I922)),NOT(ISNUMBER($J922))),"",IF($H922=$I922,"",ROUND(ABS($J922-$H922)/ABS($H922-$I922),6)))</f>
        <v/>
      </c>
      <c r="U922" s="48" t="str">
        <f>IF(OR($S922&lt;&gt;"Win",NOT(ISNUMBER($T922)),NOT(ISNUMBER($R922))),"",MAX(0,$T922-$R922))</f>
        <v/>
      </c>
      <c r="V922" s="49" t="str">
        <f>IF(OR($AM922=0,NOT(ISNUMBER($H922)),NOT(ISNUMBER($I922)),NOT(ISNUMBER($G922))),"",IF(OR($AG922="",$AH922=""),"",IF(ROUND(ABS($H922-$I922)*ABS($G922)*$AG922*$AH922,6)=0,"",ROUND(ABS($H922-$I922)*ABS($G922)*$AG922*$AH922,6))))</f>
        <v/>
      </c>
      <c r="W922" s="50" t="str">
        <f>IF($AM922=0,"",IF($BG922="","OK",LEFT($BG922,LEN($BG922)-2)))</f>
        <v/>
      </c>
      <c r="X922" s="41" t="n"/>
      <c r="Y922" s="40" t="n"/>
      <c r="Z922" s="41" t="n"/>
      <c r="AA922" s="41" t="n"/>
      <c r="AB922" s="40" t="n"/>
      <c r="AC922" s="51" t="n"/>
      <c r="AD922" s="51" t="n"/>
      <c r="AE922" s="40" t="n"/>
      <c r="AF922" s="52" t="str">
        <f>IF($AM922=0,"",IF($D922&lt;&gt;"",$D922,IF(IFERROR(INDEX(Accounts!$C$7:$C$16,MATCH($C922,Accounts!$B$7:$B$16,0))&amp;"","")&lt;&gt;"",INDEX(Accounts!$C$7:$C$16,MATCH($C922,Accounts!$B$7:$B$16,0)),Settings!$C$6)))</f>
        <v/>
      </c>
      <c r="AG922" s="53" t="str">
        <f>IF($AM922=0,"",IF(AND($BE922&gt;0,N(INDEX(Instruments!$D$6:$D$205,MAX(1,$BE922)))&gt;0),INDEX(Instruments!$D$6:$D$205,MAX(1,$BE922)),IF(N(INDEX(Settings!$D$14:$D$18,$BF922))&gt;0,INDEX(Settings!$D$14:$D$18,$BF922),"")))</f>
        <v/>
      </c>
      <c r="AH922" s="54" t="str">
        <f>IF($AM922=0,"",IF($AF922&lt;&gt;"Forex",1,IF(MID(UPPER(SUBSTITUTE(TRIM($E922),"/","")),4,3)=UPPER(TRIM(Settings!$C$7)),1,IF(LEFT(UPPER(SUBSTITUTE(TRIM($E922),"/","")),3)=UPPER(TRIM(Settings!$C$7)),IF(AND(ISNUMBER($K922),N($K922)&lt;&gt;0),1/$K922,""),""))))</f>
        <v/>
      </c>
      <c r="AI922" s="55" t="str">
        <f>IF($AM922=0,"",IF(OR(NOT(ISNUMBER($H922)),NOT(ISNUMBER($K922)),NOT(ISNUMBER($G922)),$AG922="",$AH922=""),"",ROUND(($K922-$H922)*IF($F922="Short",-1,1)*$G922*$AG922*$AH922,6)))</f>
        <v/>
      </c>
      <c r="AJ922" s="55" t="str">
        <f>IF($AM922=0,"",IF(INDEX(Settings!$E$14:$E$18,$BF922)="% of notional",IF(OR($AG922="",NOT(ISNUMBER($H922)),NOT(ISNUMBER($G922))),"",ROUND(ABS($H922*$G922*$AG922*N($AH922))*IF($L922="Limit",N(INDEX(Settings!$G$14:$G$18,$BF922)),N(INDEX(Settings!$H$14:$H$18,$BF922)))+IF(ISNUMBER($K922),ABS($K922*$G922*$AG922*N($AH922))*IF($M922="Target",N(INDEX(Settings!$G$14:$G$18,$BF922)),N(INDEX(Settings!$H$14:$H$18,$BF922))),0),6)),IF(NOT(ISNUMBER($G922)),"",ROUND(ABS($G922)*2*IF(AND($BE922&gt;0,ISNUMBER(INDEX(Instruments!$G$6:$G$205,MAX(1,$BE922)))),INDEX(Instruments!$G$6:$G$205,MAX(1,$BE922)),N(INDEX(Settings!$F$14:$F$18,$BF922))),6))))</f>
        <v/>
      </c>
      <c r="AK922" s="55" t="str">
        <f>IF($AM922=0,"",IF(ISNUMBER($O922),$O922,$AI922))</f>
        <v/>
      </c>
      <c r="AL922" s="55" t="str">
        <f>IF($AM922=0,"",IF(ISNUMBER($P922),$P922,N($AJ922)))</f>
        <v/>
      </c>
      <c r="AM922" s="56">
        <f>IF(AND($A922&lt;&gt;"",$E922&lt;&gt;"",OR(AND(ISNUMBER($G922),ISNUMBER($H922),ISNUMBER($K922)),ISNUMBER($O922))),1,0)</f>
        <v>0</v>
      </c>
      <c r="AN922" s="57" t="str">
        <f>IF($A922="","",$A922-WEEKDAY($A922,3))</f>
        <v/>
      </c>
      <c r="AO922" s="56" t="str">
        <f>IF($A922="","",WEEKDAY($A922,2))</f>
        <v/>
      </c>
      <c r="AP922" s="55" t="str">
        <f>IF(OR($AM922=0,$C922=""),"",IFERROR(N(INDEX(Accounts!$E$7:$E$16,MATCH($C922,Accounts!$B$7:$B$16,0))),0)+SUMIFS($Q$6:$Q922,$C$6:$C922,$C922))</f>
        <v/>
      </c>
      <c r="AQ922" s="55" t="str">
        <f>IF(OR($AM922=0,$C922=""),"",SUMIFS($Q$6:$Q$1005,$C$6:$C$1005,$C922,$A$6:$A$1005,$A922))</f>
        <v/>
      </c>
      <c r="AR922" s="55" t="str">
        <f>IF(OR($AM922=0,$C922=""),"",IFERROR(N(INDEX(Accounts!$E$7:$E$16,MATCH($C922,Accounts!$B$7:$B$16,0))),0)+SUMIFS($Q$6:$Q$1005,$C$6:$C$1005,$C922,$A$6:$A$1005,"&lt;="&amp;$A922))</f>
        <v/>
      </c>
      <c r="AS922" s="56">
        <f>IF(OR($AM922=0,$Q922=""),0,IF(AND($A922&gt;=Lists!$W$6,$A922&lt;=Lists!$W$7,OR(Dashboard!$D$6="All accounts",$C922=Dashboard!$D$6),OR(Dashboard!$D$7="All markets",$AF922=Dashboard!$D$7)),1,0))</f>
        <v>0</v>
      </c>
      <c r="AT922" s="55">
        <f>IF($AS922=1,N(AT921)+$Q922,N(AT921))</f>
        <v>1187.10688</v>
      </c>
      <c r="AU922" s="55">
        <f>MAX(N(AU921),$AT922)</f>
        <v>1187.10688</v>
      </c>
      <c r="AV922" s="55">
        <f>$AT922-$AU922</f>
        <v>0</v>
      </c>
      <c r="AW922" s="56">
        <f>IF($AS922=1,IF($S922="Win",N(AW921)+1,IF($S922="Loss",0,N(AW921))),N(AW921))</f>
        <v>5</v>
      </c>
      <c r="AX922" s="56">
        <f>IF($AS922=1,IF($S922="Loss",N(AX921)+1,IF($S922="Win",0,N(AX921))),N(AX921))</f>
        <v>0</v>
      </c>
      <c r="AY922" s="56" t="str">
        <f>IF($AS922=1,COUNTIF($AS$6:$AS922,1),"")</f>
        <v/>
      </c>
      <c r="AZ922" s="56">
        <f>MIN(916,N(Lists!$W$8))</f>
        <v>28</v>
      </c>
      <c r="BA922" s="56">
        <f>IF($AS922=1,IF(COUNTIFS($A$6:$A922,$A922,$AS$6:$AS922,1)=1,1,0),0)</f>
        <v>0</v>
      </c>
      <c r="BB922" s="55" t="str">
        <f>IF($BA922=1,SUMIFS($Q$6:$Q$1005,$A$6:$A$1005,$A922,$AS$6:$AS$1005,1),"")</f>
        <v/>
      </c>
      <c r="BC922" s="56">
        <f>IF(ISNUMBER($R922),1,0)</f>
        <v>0</v>
      </c>
      <c r="BD922" s="55" t="str">
        <f>IF(ISNUMBER($U922),$U922*$V922,"")</f>
        <v/>
      </c>
      <c r="BE922" s="56" t="str">
        <f>IF($AM922=0,"",IFERROR(MATCH($AF922&amp;"|"&amp;UPPER(TRIM($E922)),Lists!$A$6:$A$205,0),0))</f>
        <v/>
      </c>
      <c r="BF922" s="56" t="str">
        <f>IF($AM922=0,"",IFERROR(MATCH($AF922,Settings!$B$14:$B$18,0),IFERROR(MATCH(Settings!$C$6,Settings!$B$14:$B$18,0),1)))</f>
        <v/>
      </c>
      <c r="BG922" s="58" t="str">
        <f>IF($AM922=0,"",IF(NOT(ISNUMBER($I922)),"No stop; ","")&amp;IF(AND(ISNUMBER($H922),ISNUMBER($I922)),IF(OR(AND($F922&lt;&gt;"Short",$I922&gt;=$H922),AND($F922="Short",$I922&lt;=$H922)),"Stop on wrong side; ",""),"")&amp;IF($F922="","No direction; ","")&amp;IF(AND(ISNUMBER(Settings!$C$22),ISNUMBER($V922)),IF($V922&gt;Settings!$C$22,"Risk over max $; ",""),"")&amp;IF(AND(ISNUMBER(Settings!$C$23),ISNUMBER($V922),ISNUMBER($AP922),IFERROR(N(INDEX(Accounts!$E$7:$E$16,MATCH($C922,Accounts!$B$7:$B$16,0))),0)&gt;0),IF($V922&gt;Settings!$C$23*($AP922-N($Q922)),"Risk over max %; ",""),"")&amp;IF(AND(ISNUMBER(Settings!$C$24),ISNUMBER($N922)),IF($N922&gt;Settings!$C$24,"Leverage over max; ",""),"")&amp;IF(AND(ISNUMBER(Settings!$C$27),ISNUMBER($T922)),IF($T922&lt;Settings!$C$27,"R:R below min; ",""),"")&amp;IF(ISNUMBER(Settings!$C$25),IF(COUNTIFS($A$6:$A922,$A922,$AM$6:$AM922,1)&gt;Settings!$C$25,"Over max trades/day; ",""),"")&amp;IF(ISNUMBER(Settings!$C$26),IF(SUMIFS($Q$5:$Q921,$A$5:$A921,$A922)&lt;=-Settings!$C$26,"Traded after daily max loss; ",""),"")&amp;IF(AND($AG922="",NOT(ISNUMBER($O922))),"Symbol not in Instruments; ","")&amp;IF(AND($AH922="",NOT(ISNUMBER($O922))),"Forex cross: type Gross P&amp;L; ",""))</f>
        <v/>
      </c>
      <c r="BH922" s="56">
        <f>IF(ISNUMBER($Q922),1,0)</f>
        <v>0</v>
      </c>
      <c r="BI922" s="56">
        <f>IF($Y922="",0,1)</f>
        <v>0</v>
      </c>
      <c r="BJ922" s="56">
        <f>IF($AB922="",0,1)</f>
        <v>0</v>
      </c>
      <c r="BK922" s="56">
        <f>IF(AND($BH922=1,$W922&lt;&gt;"OK"),1,0)</f>
        <v>0</v>
      </c>
      <c r="BL922" s="55">
        <f>IF(N($AZ922)=0,0,IFERROR(INDEX($AT$6:$AT$1005,MATCH($AZ922,$AY$6:$AY$1005,0)),0))</f>
        <v>1187.10688</v>
      </c>
      <c r="BM922" s="56">
        <f>IF(ISNUMBER(SEARCH("daily max loss",$BG922)),1,0)</f>
        <v>0</v>
      </c>
    </row>
    <row r="923" ht="18" customHeight="1">
      <c r="A923" s="38" t="n"/>
      <c r="B923" s="39" t="n"/>
      <c r="C923" s="40" t="n"/>
      <c r="D923" s="41" t="n"/>
      <c r="E923" s="41" t="n"/>
      <c r="F923" s="41" t="n"/>
      <c r="G923" s="41" t="n"/>
      <c r="H923" s="42" t="n"/>
      <c r="I923" s="42" t="n"/>
      <c r="J923" s="42" t="n"/>
      <c r="K923" s="42" t="n"/>
      <c r="L923" s="41" t="n"/>
      <c r="M923" s="41" t="n"/>
      <c r="N923" s="41" t="n"/>
      <c r="O923" s="43" t="n"/>
      <c r="P923" s="43" t="n"/>
      <c r="Q923" s="44" t="str">
        <f>IF($AM923=0,"",IF(ISNUMBER($AK923),$AK923-N($AL923),""))</f>
        <v/>
      </c>
      <c r="R923" s="45" t="str">
        <f>IF(OR($Q923="",NOT(ISNUMBER($V923))),"",$AK923/$V923)</f>
        <v/>
      </c>
      <c r="S923" s="46" t="str">
        <f>IF($Q923="","",IF(AND(ISNUMBER($R923),ABS(N($R923))&lt;N(Settings!$C$8)),"Scratch",IF($Q923&gt;0,"Win",IF($Q923&lt;0,"Loss","Scratch"))))</f>
        <v/>
      </c>
      <c r="T923" s="47" t="str">
        <f>IF(OR($AM923=0,NOT(ISNUMBER($H923)),NOT(ISNUMBER($I923)),NOT(ISNUMBER($J923))),"",IF($H923=$I923,"",ROUND(ABS($J923-$H923)/ABS($H923-$I923),6)))</f>
        <v/>
      </c>
      <c r="U923" s="48" t="str">
        <f>IF(OR($S923&lt;&gt;"Win",NOT(ISNUMBER($T923)),NOT(ISNUMBER($R923))),"",MAX(0,$T923-$R923))</f>
        <v/>
      </c>
      <c r="V923" s="49" t="str">
        <f>IF(OR($AM923=0,NOT(ISNUMBER($H923)),NOT(ISNUMBER($I923)),NOT(ISNUMBER($G923))),"",IF(OR($AG923="",$AH923=""),"",IF(ROUND(ABS($H923-$I923)*ABS($G923)*$AG923*$AH923,6)=0,"",ROUND(ABS($H923-$I923)*ABS($G923)*$AG923*$AH923,6))))</f>
        <v/>
      </c>
      <c r="W923" s="50" t="str">
        <f>IF($AM923=0,"",IF($BG923="","OK",LEFT($BG923,LEN($BG923)-2)))</f>
        <v/>
      </c>
      <c r="X923" s="41" t="n"/>
      <c r="Y923" s="40" t="n"/>
      <c r="Z923" s="41" t="n"/>
      <c r="AA923" s="41" t="n"/>
      <c r="AB923" s="40" t="n"/>
      <c r="AC923" s="51" t="n"/>
      <c r="AD923" s="51" t="n"/>
      <c r="AE923" s="40" t="n"/>
      <c r="AF923" s="52" t="str">
        <f>IF($AM923=0,"",IF($D923&lt;&gt;"",$D923,IF(IFERROR(INDEX(Accounts!$C$7:$C$16,MATCH($C923,Accounts!$B$7:$B$16,0))&amp;"","")&lt;&gt;"",INDEX(Accounts!$C$7:$C$16,MATCH($C923,Accounts!$B$7:$B$16,0)),Settings!$C$6)))</f>
        <v/>
      </c>
      <c r="AG923" s="53" t="str">
        <f>IF($AM923=0,"",IF(AND($BE923&gt;0,N(INDEX(Instruments!$D$6:$D$205,MAX(1,$BE923)))&gt;0),INDEX(Instruments!$D$6:$D$205,MAX(1,$BE923)),IF(N(INDEX(Settings!$D$14:$D$18,$BF923))&gt;0,INDEX(Settings!$D$14:$D$18,$BF923),"")))</f>
        <v/>
      </c>
      <c r="AH923" s="54" t="str">
        <f>IF($AM923=0,"",IF($AF923&lt;&gt;"Forex",1,IF(MID(UPPER(SUBSTITUTE(TRIM($E923),"/","")),4,3)=UPPER(TRIM(Settings!$C$7)),1,IF(LEFT(UPPER(SUBSTITUTE(TRIM($E923),"/","")),3)=UPPER(TRIM(Settings!$C$7)),IF(AND(ISNUMBER($K923),N($K923)&lt;&gt;0),1/$K923,""),""))))</f>
        <v/>
      </c>
      <c r="AI923" s="55" t="str">
        <f>IF($AM923=0,"",IF(OR(NOT(ISNUMBER($H923)),NOT(ISNUMBER($K923)),NOT(ISNUMBER($G923)),$AG923="",$AH923=""),"",ROUND(($K923-$H923)*IF($F923="Short",-1,1)*$G923*$AG923*$AH923,6)))</f>
        <v/>
      </c>
      <c r="AJ923" s="55" t="str">
        <f>IF($AM923=0,"",IF(INDEX(Settings!$E$14:$E$18,$BF923)="% of notional",IF(OR($AG923="",NOT(ISNUMBER($H923)),NOT(ISNUMBER($G923))),"",ROUND(ABS($H923*$G923*$AG923*N($AH923))*IF($L923="Limit",N(INDEX(Settings!$G$14:$G$18,$BF923)),N(INDEX(Settings!$H$14:$H$18,$BF923)))+IF(ISNUMBER($K923),ABS($K923*$G923*$AG923*N($AH923))*IF($M923="Target",N(INDEX(Settings!$G$14:$G$18,$BF923)),N(INDEX(Settings!$H$14:$H$18,$BF923))),0),6)),IF(NOT(ISNUMBER($G923)),"",ROUND(ABS($G923)*2*IF(AND($BE923&gt;0,ISNUMBER(INDEX(Instruments!$G$6:$G$205,MAX(1,$BE923)))),INDEX(Instruments!$G$6:$G$205,MAX(1,$BE923)),N(INDEX(Settings!$F$14:$F$18,$BF923))),6))))</f>
        <v/>
      </c>
      <c r="AK923" s="55" t="str">
        <f>IF($AM923=0,"",IF(ISNUMBER($O923),$O923,$AI923))</f>
        <v/>
      </c>
      <c r="AL923" s="55" t="str">
        <f>IF($AM923=0,"",IF(ISNUMBER($P923),$P923,N($AJ923)))</f>
        <v/>
      </c>
      <c r="AM923" s="56">
        <f>IF(AND($A923&lt;&gt;"",$E923&lt;&gt;"",OR(AND(ISNUMBER($G923),ISNUMBER($H923),ISNUMBER($K923)),ISNUMBER($O923))),1,0)</f>
        <v>0</v>
      </c>
      <c r="AN923" s="57" t="str">
        <f>IF($A923="","",$A923-WEEKDAY($A923,3))</f>
        <v/>
      </c>
      <c r="AO923" s="56" t="str">
        <f>IF($A923="","",WEEKDAY($A923,2))</f>
        <v/>
      </c>
      <c r="AP923" s="55" t="str">
        <f>IF(OR($AM923=0,$C923=""),"",IFERROR(N(INDEX(Accounts!$E$7:$E$16,MATCH($C923,Accounts!$B$7:$B$16,0))),0)+SUMIFS($Q$6:$Q923,$C$6:$C923,$C923))</f>
        <v/>
      </c>
      <c r="AQ923" s="55" t="str">
        <f>IF(OR($AM923=0,$C923=""),"",SUMIFS($Q$6:$Q$1005,$C$6:$C$1005,$C923,$A$6:$A$1005,$A923))</f>
        <v/>
      </c>
      <c r="AR923" s="55" t="str">
        <f>IF(OR($AM923=0,$C923=""),"",IFERROR(N(INDEX(Accounts!$E$7:$E$16,MATCH($C923,Accounts!$B$7:$B$16,0))),0)+SUMIFS($Q$6:$Q$1005,$C$6:$C$1005,$C923,$A$6:$A$1005,"&lt;="&amp;$A923))</f>
        <v/>
      </c>
      <c r="AS923" s="56">
        <f>IF(OR($AM923=0,$Q923=""),0,IF(AND($A923&gt;=Lists!$W$6,$A923&lt;=Lists!$W$7,OR(Dashboard!$D$6="All accounts",$C923=Dashboard!$D$6),OR(Dashboard!$D$7="All markets",$AF923=Dashboard!$D$7)),1,0))</f>
        <v>0</v>
      </c>
      <c r="AT923" s="55">
        <f>IF($AS923=1,N(AT922)+$Q923,N(AT922))</f>
        <v>1187.10688</v>
      </c>
      <c r="AU923" s="55">
        <f>MAX(N(AU922),$AT923)</f>
        <v>1187.10688</v>
      </c>
      <c r="AV923" s="55">
        <f>$AT923-$AU923</f>
        <v>0</v>
      </c>
      <c r="AW923" s="56">
        <f>IF($AS923=1,IF($S923="Win",N(AW922)+1,IF($S923="Loss",0,N(AW922))),N(AW922))</f>
        <v>5</v>
      </c>
      <c r="AX923" s="56">
        <f>IF($AS923=1,IF($S923="Loss",N(AX922)+1,IF($S923="Win",0,N(AX922))),N(AX922))</f>
        <v>0</v>
      </c>
      <c r="AY923" s="56" t="str">
        <f>IF($AS923=1,COUNTIF($AS$6:$AS923,1),"")</f>
        <v/>
      </c>
      <c r="AZ923" s="56">
        <f>MIN(917,N(Lists!$W$8))</f>
        <v>28</v>
      </c>
      <c r="BA923" s="56">
        <f>IF($AS923=1,IF(COUNTIFS($A$6:$A923,$A923,$AS$6:$AS923,1)=1,1,0),0)</f>
        <v>0</v>
      </c>
      <c r="BB923" s="55" t="str">
        <f>IF($BA923=1,SUMIFS($Q$6:$Q$1005,$A$6:$A$1005,$A923,$AS$6:$AS$1005,1),"")</f>
        <v/>
      </c>
      <c r="BC923" s="56">
        <f>IF(ISNUMBER($R923),1,0)</f>
        <v>0</v>
      </c>
      <c r="BD923" s="55" t="str">
        <f>IF(ISNUMBER($U923),$U923*$V923,"")</f>
        <v/>
      </c>
      <c r="BE923" s="56" t="str">
        <f>IF($AM923=0,"",IFERROR(MATCH($AF923&amp;"|"&amp;UPPER(TRIM($E923)),Lists!$A$6:$A$205,0),0))</f>
        <v/>
      </c>
      <c r="BF923" s="56" t="str">
        <f>IF($AM923=0,"",IFERROR(MATCH($AF923,Settings!$B$14:$B$18,0),IFERROR(MATCH(Settings!$C$6,Settings!$B$14:$B$18,0),1)))</f>
        <v/>
      </c>
      <c r="BG923" s="58" t="str">
        <f>IF($AM923=0,"",IF(NOT(ISNUMBER($I923)),"No stop; ","")&amp;IF(AND(ISNUMBER($H923),ISNUMBER($I923)),IF(OR(AND($F923&lt;&gt;"Short",$I923&gt;=$H923),AND($F923="Short",$I923&lt;=$H923)),"Stop on wrong side; ",""),"")&amp;IF($F923="","No direction; ","")&amp;IF(AND(ISNUMBER(Settings!$C$22),ISNUMBER($V923)),IF($V923&gt;Settings!$C$22,"Risk over max $; ",""),"")&amp;IF(AND(ISNUMBER(Settings!$C$23),ISNUMBER($V923),ISNUMBER($AP923),IFERROR(N(INDEX(Accounts!$E$7:$E$16,MATCH($C923,Accounts!$B$7:$B$16,0))),0)&gt;0),IF($V923&gt;Settings!$C$23*($AP923-N($Q923)),"Risk over max %; ",""),"")&amp;IF(AND(ISNUMBER(Settings!$C$24),ISNUMBER($N923)),IF($N923&gt;Settings!$C$24,"Leverage over max; ",""),"")&amp;IF(AND(ISNUMBER(Settings!$C$27),ISNUMBER($T923)),IF($T923&lt;Settings!$C$27,"R:R below min; ",""),"")&amp;IF(ISNUMBER(Settings!$C$25),IF(COUNTIFS($A$6:$A923,$A923,$AM$6:$AM923,1)&gt;Settings!$C$25,"Over max trades/day; ",""),"")&amp;IF(ISNUMBER(Settings!$C$26),IF(SUMIFS($Q$5:$Q922,$A$5:$A922,$A923)&lt;=-Settings!$C$26,"Traded after daily max loss; ",""),"")&amp;IF(AND($AG923="",NOT(ISNUMBER($O923))),"Symbol not in Instruments; ","")&amp;IF(AND($AH923="",NOT(ISNUMBER($O923))),"Forex cross: type Gross P&amp;L; ",""))</f>
        <v/>
      </c>
      <c r="BH923" s="56">
        <f>IF(ISNUMBER($Q923),1,0)</f>
        <v>0</v>
      </c>
      <c r="BI923" s="56">
        <f>IF($Y923="",0,1)</f>
        <v>0</v>
      </c>
      <c r="BJ923" s="56">
        <f>IF($AB923="",0,1)</f>
        <v>0</v>
      </c>
      <c r="BK923" s="56">
        <f>IF(AND($BH923=1,$W923&lt;&gt;"OK"),1,0)</f>
        <v>0</v>
      </c>
      <c r="BL923" s="55">
        <f>IF(N($AZ923)=0,0,IFERROR(INDEX($AT$6:$AT$1005,MATCH($AZ923,$AY$6:$AY$1005,0)),0))</f>
        <v>1187.10688</v>
      </c>
      <c r="BM923" s="56">
        <f>IF(ISNUMBER(SEARCH("daily max loss",$BG923)),1,0)</f>
        <v>0</v>
      </c>
    </row>
    <row r="924" ht="18" customHeight="1">
      <c r="A924" s="38" t="n"/>
      <c r="B924" s="39" t="n"/>
      <c r="C924" s="40" t="n"/>
      <c r="D924" s="41" t="n"/>
      <c r="E924" s="41" t="n"/>
      <c r="F924" s="41" t="n"/>
      <c r="G924" s="41" t="n"/>
      <c r="H924" s="42" t="n"/>
      <c r="I924" s="42" t="n"/>
      <c r="J924" s="42" t="n"/>
      <c r="K924" s="42" t="n"/>
      <c r="L924" s="41" t="n"/>
      <c r="M924" s="41" t="n"/>
      <c r="N924" s="41" t="n"/>
      <c r="O924" s="43" t="n"/>
      <c r="P924" s="43" t="n"/>
      <c r="Q924" s="44" t="str">
        <f>IF($AM924=0,"",IF(ISNUMBER($AK924),$AK924-N($AL924),""))</f>
        <v/>
      </c>
      <c r="R924" s="45" t="str">
        <f>IF(OR($Q924="",NOT(ISNUMBER($V924))),"",$AK924/$V924)</f>
        <v/>
      </c>
      <c r="S924" s="46" t="str">
        <f>IF($Q924="","",IF(AND(ISNUMBER($R924),ABS(N($R924))&lt;N(Settings!$C$8)),"Scratch",IF($Q924&gt;0,"Win",IF($Q924&lt;0,"Loss","Scratch"))))</f>
        <v/>
      </c>
      <c r="T924" s="47" t="str">
        <f>IF(OR($AM924=0,NOT(ISNUMBER($H924)),NOT(ISNUMBER($I924)),NOT(ISNUMBER($J924))),"",IF($H924=$I924,"",ROUND(ABS($J924-$H924)/ABS($H924-$I924),6)))</f>
        <v/>
      </c>
      <c r="U924" s="48" t="str">
        <f>IF(OR($S924&lt;&gt;"Win",NOT(ISNUMBER($T924)),NOT(ISNUMBER($R924))),"",MAX(0,$T924-$R924))</f>
        <v/>
      </c>
      <c r="V924" s="49" t="str">
        <f>IF(OR($AM924=0,NOT(ISNUMBER($H924)),NOT(ISNUMBER($I924)),NOT(ISNUMBER($G924))),"",IF(OR($AG924="",$AH924=""),"",IF(ROUND(ABS($H924-$I924)*ABS($G924)*$AG924*$AH924,6)=0,"",ROUND(ABS($H924-$I924)*ABS($G924)*$AG924*$AH924,6))))</f>
        <v/>
      </c>
      <c r="W924" s="50" t="str">
        <f>IF($AM924=0,"",IF($BG924="","OK",LEFT($BG924,LEN($BG924)-2)))</f>
        <v/>
      </c>
      <c r="X924" s="41" t="n"/>
      <c r="Y924" s="40" t="n"/>
      <c r="Z924" s="41" t="n"/>
      <c r="AA924" s="41" t="n"/>
      <c r="AB924" s="40" t="n"/>
      <c r="AC924" s="51" t="n"/>
      <c r="AD924" s="51" t="n"/>
      <c r="AE924" s="40" t="n"/>
      <c r="AF924" s="52" t="str">
        <f>IF($AM924=0,"",IF($D924&lt;&gt;"",$D924,IF(IFERROR(INDEX(Accounts!$C$7:$C$16,MATCH($C924,Accounts!$B$7:$B$16,0))&amp;"","")&lt;&gt;"",INDEX(Accounts!$C$7:$C$16,MATCH($C924,Accounts!$B$7:$B$16,0)),Settings!$C$6)))</f>
        <v/>
      </c>
      <c r="AG924" s="53" t="str">
        <f>IF($AM924=0,"",IF(AND($BE924&gt;0,N(INDEX(Instruments!$D$6:$D$205,MAX(1,$BE924)))&gt;0),INDEX(Instruments!$D$6:$D$205,MAX(1,$BE924)),IF(N(INDEX(Settings!$D$14:$D$18,$BF924))&gt;0,INDEX(Settings!$D$14:$D$18,$BF924),"")))</f>
        <v/>
      </c>
      <c r="AH924" s="54" t="str">
        <f>IF($AM924=0,"",IF($AF924&lt;&gt;"Forex",1,IF(MID(UPPER(SUBSTITUTE(TRIM($E924),"/","")),4,3)=UPPER(TRIM(Settings!$C$7)),1,IF(LEFT(UPPER(SUBSTITUTE(TRIM($E924),"/","")),3)=UPPER(TRIM(Settings!$C$7)),IF(AND(ISNUMBER($K924),N($K924)&lt;&gt;0),1/$K924,""),""))))</f>
        <v/>
      </c>
      <c r="AI924" s="55" t="str">
        <f>IF($AM924=0,"",IF(OR(NOT(ISNUMBER($H924)),NOT(ISNUMBER($K924)),NOT(ISNUMBER($G924)),$AG924="",$AH924=""),"",ROUND(($K924-$H924)*IF($F924="Short",-1,1)*$G924*$AG924*$AH924,6)))</f>
        <v/>
      </c>
      <c r="AJ924" s="55" t="str">
        <f>IF($AM924=0,"",IF(INDEX(Settings!$E$14:$E$18,$BF924)="% of notional",IF(OR($AG924="",NOT(ISNUMBER($H924)),NOT(ISNUMBER($G924))),"",ROUND(ABS($H924*$G924*$AG924*N($AH924))*IF($L924="Limit",N(INDEX(Settings!$G$14:$G$18,$BF924)),N(INDEX(Settings!$H$14:$H$18,$BF924)))+IF(ISNUMBER($K924),ABS($K924*$G924*$AG924*N($AH924))*IF($M924="Target",N(INDEX(Settings!$G$14:$G$18,$BF924)),N(INDEX(Settings!$H$14:$H$18,$BF924))),0),6)),IF(NOT(ISNUMBER($G924)),"",ROUND(ABS($G924)*2*IF(AND($BE924&gt;0,ISNUMBER(INDEX(Instruments!$G$6:$G$205,MAX(1,$BE924)))),INDEX(Instruments!$G$6:$G$205,MAX(1,$BE924)),N(INDEX(Settings!$F$14:$F$18,$BF924))),6))))</f>
        <v/>
      </c>
      <c r="AK924" s="55" t="str">
        <f>IF($AM924=0,"",IF(ISNUMBER($O924),$O924,$AI924))</f>
        <v/>
      </c>
      <c r="AL924" s="55" t="str">
        <f>IF($AM924=0,"",IF(ISNUMBER($P924),$P924,N($AJ924)))</f>
        <v/>
      </c>
      <c r="AM924" s="56">
        <f>IF(AND($A924&lt;&gt;"",$E924&lt;&gt;"",OR(AND(ISNUMBER($G924),ISNUMBER($H924),ISNUMBER($K924)),ISNUMBER($O924))),1,0)</f>
        <v>0</v>
      </c>
      <c r="AN924" s="57" t="str">
        <f>IF($A924="","",$A924-WEEKDAY($A924,3))</f>
        <v/>
      </c>
      <c r="AO924" s="56" t="str">
        <f>IF($A924="","",WEEKDAY($A924,2))</f>
        <v/>
      </c>
      <c r="AP924" s="55" t="str">
        <f>IF(OR($AM924=0,$C924=""),"",IFERROR(N(INDEX(Accounts!$E$7:$E$16,MATCH($C924,Accounts!$B$7:$B$16,0))),0)+SUMIFS($Q$6:$Q924,$C$6:$C924,$C924))</f>
        <v/>
      </c>
      <c r="AQ924" s="55" t="str">
        <f>IF(OR($AM924=0,$C924=""),"",SUMIFS($Q$6:$Q$1005,$C$6:$C$1005,$C924,$A$6:$A$1005,$A924))</f>
        <v/>
      </c>
      <c r="AR924" s="55" t="str">
        <f>IF(OR($AM924=0,$C924=""),"",IFERROR(N(INDEX(Accounts!$E$7:$E$16,MATCH($C924,Accounts!$B$7:$B$16,0))),0)+SUMIFS($Q$6:$Q$1005,$C$6:$C$1005,$C924,$A$6:$A$1005,"&lt;="&amp;$A924))</f>
        <v/>
      </c>
      <c r="AS924" s="56">
        <f>IF(OR($AM924=0,$Q924=""),0,IF(AND($A924&gt;=Lists!$W$6,$A924&lt;=Lists!$W$7,OR(Dashboard!$D$6="All accounts",$C924=Dashboard!$D$6),OR(Dashboard!$D$7="All markets",$AF924=Dashboard!$D$7)),1,0))</f>
        <v>0</v>
      </c>
      <c r="AT924" s="55">
        <f>IF($AS924=1,N(AT923)+$Q924,N(AT923))</f>
        <v>1187.10688</v>
      </c>
      <c r="AU924" s="55">
        <f>MAX(N(AU923),$AT924)</f>
        <v>1187.10688</v>
      </c>
      <c r="AV924" s="55">
        <f>$AT924-$AU924</f>
        <v>0</v>
      </c>
      <c r="AW924" s="56">
        <f>IF($AS924=1,IF($S924="Win",N(AW923)+1,IF($S924="Loss",0,N(AW923))),N(AW923))</f>
        <v>5</v>
      </c>
      <c r="AX924" s="56">
        <f>IF($AS924=1,IF($S924="Loss",N(AX923)+1,IF($S924="Win",0,N(AX923))),N(AX923))</f>
        <v>0</v>
      </c>
      <c r="AY924" s="56" t="str">
        <f>IF($AS924=1,COUNTIF($AS$6:$AS924,1),"")</f>
        <v/>
      </c>
      <c r="AZ924" s="56">
        <f>MIN(918,N(Lists!$W$8))</f>
        <v>28</v>
      </c>
      <c r="BA924" s="56">
        <f>IF($AS924=1,IF(COUNTIFS($A$6:$A924,$A924,$AS$6:$AS924,1)=1,1,0),0)</f>
        <v>0</v>
      </c>
      <c r="BB924" s="55" t="str">
        <f>IF($BA924=1,SUMIFS($Q$6:$Q$1005,$A$6:$A$1005,$A924,$AS$6:$AS$1005,1),"")</f>
        <v/>
      </c>
      <c r="BC924" s="56">
        <f>IF(ISNUMBER($R924),1,0)</f>
        <v>0</v>
      </c>
      <c r="BD924" s="55" t="str">
        <f>IF(ISNUMBER($U924),$U924*$V924,"")</f>
        <v/>
      </c>
      <c r="BE924" s="56" t="str">
        <f>IF($AM924=0,"",IFERROR(MATCH($AF924&amp;"|"&amp;UPPER(TRIM($E924)),Lists!$A$6:$A$205,0),0))</f>
        <v/>
      </c>
      <c r="BF924" s="56" t="str">
        <f>IF($AM924=0,"",IFERROR(MATCH($AF924,Settings!$B$14:$B$18,0),IFERROR(MATCH(Settings!$C$6,Settings!$B$14:$B$18,0),1)))</f>
        <v/>
      </c>
      <c r="BG924" s="58" t="str">
        <f>IF($AM924=0,"",IF(NOT(ISNUMBER($I924)),"No stop; ","")&amp;IF(AND(ISNUMBER($H924),ISNUMBER($I924)),IF(OR(AND($F924&lt;&gt;"Short",$I924&gt;=$H924),AND($F924="Short",$I924&lt;=$H924)),"Stop on wrong side; ",""),"")&amp;IF($F924="","No direction; ","")&amp;IF(AND(ISNUMBER(Settings!$C$22),ISNUMBER($V924)),IF($V924&gt;Settings!$C$22,"Risk over max $; ",""),"")&amp;IF(AND(ISNUMBER(Settings!$C$23),ISNUMBER($V924),ISNUMBER($AP924),IFERROR(N(INDEX(Accounts!$E$7:$E$16,MATCH($C924,Accounts!$B$7:$B$16,0))),0)&gt;0),IF($V924&gt;Settings!$C$23*($AP924-N($Q924)),"Risk over max %; ",""),"")&amp;IF(AND(ISNUMBER(Settings!$C$24),ISNUMBER($N924)),IF($N924&gt;Settings!$C$24,"Leverage over max; ",""),"")&amp;IF(AND(ISNUMBER(Settings!$C$27),ISNUMBER($T924)),IF($T924&lt;Settings!$C$27,"R:R below min; ",""),"")&amp;IF(ISNUMBER(Settings!$C$25),IF(COUNTIFS($A$6:$A924,$A924,$AM$6:$AM924,1)&gt;Settings!$C$25,"Over max trades/day; ",""),"")&amp;IF(ISNUMBER(Settings!$C$26),IF(SUMIFS($Q$5:$Q923,$A$5:$A923,$A924)&lt;=-Settings!$C$26,"Traded after daily max loss; ",""),"")&amp;IF(AND($AG924="",NOT(ISNUMBER($O924))),"Symbol not in Instruments; ","")&amp;IF(AND($AH924="",NOT(ISNUMBER($O924))),"Forex cross: type Gross P&amp;L; ",""))</f>
        <v/>
      </c>
      <c r="BH924" s="56">
        <f>IF(ISNUMBER($Q924),1,0)</f>
        <v>0</v>
      </c>
      <c r="BI924" s="56">
        <f>IF($Y924="",0,1)</f>
        <v>0</v>
      </c>
      <c r="BJ924" s="56">
        <f>IF($AB924="",0,1)</f>
        <v>0</v>
      </c>
      <c r="BK924" s="56">
        <f>IF(AND($BH924=1,$W924&lt;&gt;"OK"),1,0)</f>
        <v>0</v>
      </c>
      <c r="BL924" s="55">
        <f>IF(N($AZ924)=0,0,IFERROR(INDEX($AT$6:$AT$1005,MATCH($AZ924,$AY$6:$AY$1005,0)),0))</f>
        <v>1187.10688</v>
      </c>
      <c r="BM924" s="56">
        <f>IF(ISNUMBER(SEARCH("daily max loss",$BG924)),1,0)</f>
        <v>0</v>
      </c>
    </row>
    <row r="925" ht="18" customHeight="1">
      <c r="A925" s="38" t="n"/>
      <c r="B925" s="39" t="n"/>
      <c r="C925" s="40" t="n"/>
      <c r="D925" s="41" t="n"/>
      <c r="E925" s="41" t="n"/>
      <c r="F925" s="41" t="n"/>
      <c r="G925" s="41" t="n"/>
      <c r="H925" s="42" t="n"/>
      <c r="I925" s="42" t="n"/>
      <c r="J925" s="42" t="n"/>
      <c r="K925" s="42" t="n"/>
      <c r="L925" s="41" t="n"/>
      <c r="M925" s="41" t="n"/>
      <c r="N925" s="41" t="n"/>
      <c r="O925" s="43" t="n"/>
      <c r="P925" s="43" t="n"/>
      <c r="Q925" s="44" t="str">
        <f>IF($AM925=0,"",IF(ISNUMBER($AK925),$AK925-N($AL925),""))</f>
        <v/>
      </c>
      <c r="R925" s="45" t="str">
        <f>IF(OR($Q925="",NOT(ISNUMBER($V925))),"",$AK925/$V925)</f>
        <v/>
      </c>
      <c r="S925" s="46" t="str">
        <f>IF($Q925="","",IF(AND(ISNUMBER($R925),ABS(N($R925))&lt;N(Settings!$C$8)),"Scratch",IF($Q925&gt;0,"Win",IF($Q925&lt;0,"Loss","Scratch"))))</f>
        <v/>
      </c>
      <c r="T925" s="47" t="str">
        <f>IF(OR($AM925=0,NOT(ISNUMBER($H925)),NOT(ISNUMBER($I925)),NOT(ISNUMBER($J925))),"",IF($H925=$I925,"",ROUND(ABS($J925-$H925)/ABS($H925-$I925),6)))</f>
        <v/>
      </c>
      <c r="U925" s="48" t="str">
        <f>IF(OR($S925&lt;&gt;"Win",NOT(ISNUMBER($T925)),NOT(ISNUMBER($R925))),"",MAX(0,$T925-$R925))</f>
        <v/>
      </c>
      <c r="V925" s="49" t="str">
        <f>IF(OR($AM925=0,NOT(ISNUMBER($H925)),NOT(ISNUMBER($I925)),NOT(ISNUMBER($G925))),"",IF(OR($AG925="",$AH925=""),"",IF(ROUND(ABS($H925-$I925)*ABS($G925)*$AG925*$AH925,6)=0,"",ROUND(ABS($H925-$I925)*ABS($G925)*$AG925*$AH925,6))))</f>
        <v/>
      </c>
      <c r="W925" s="50" t="str">
        <f>IF($AM925=0,"",IF($BG925="","OK",LEFT($BG925,LEN($BG925)-2)))</f>
        <v/>
      </c>
      <c r="X925" s="41" t="n"/>
      <c r="Y925" s="40" t="n"/>
      <c r="Z925" s="41" t="n"/>
      <c r="AA925" s="41" t="n"/>
      <c r="AB925" s="40" t="n"/>
      <c r="AC925" s="51" t="n"/>
      <c r="AD925" s="51" t="n"/>
      <c r="AE925" s="40" t="n"/>
      <c r="AF925" s="52" t="str">
        <f>IF($AM925=0,"",IF($D925&lt;&gt;"",$D925,IF(IFERROR(INDEX(Accounts!$C$7:$C$16,MATCH($C925,Accounts!$B$7:$B$16,0))&amp;"","")&lt;&gt;"",INDEX(Accounts!$C$7:$C$16,MATCH($C925,Accounts!$B$7:$B$16,0)),Settings!$C$6)))</f>
        <v/>
      </c>
      <c r="AG925" s="53" t="str">
        <f>IF($AM925=0,"",IF(AND($BE925&gt;0,N(INDEX(Instruments!$D$6:$D$205,MAX(1,$BE925)))&gt;0),INDEX(Instruments!$D$6:$D$205,MAX(1,$BE925)),IF(N(INDEX(Settings!$D$14:$D$18,$BF925))&gt;0,INDEX(Settings!$D$14:$D$18,$BF925),"")))</f>
        <v/>
      </c>
      <c r="AH925" s="54" t="str">
        <f>IF($AM925=0,"",IF($AF925&lt;&gt;"Forex",1,IF(MID(UPPER(SUBSTITUTE(TRIM($E925),"/","")),4,3)=UPPER(TRIM(Settings!$C$7)),1,IF(LEFT(UPPER(SUBSTITUTE(TRIM($E925),"/","")),3)=UPPER(TRIM(Settings!$C$7)),IF(AND(ISNUMBER($K925),N($K925)&lt;&gt;0),1/$K925,""),""))))</f>
        <v/>
      </c>
      <c r="AI925" s="55" t="str">
        <f>IF($AM925=0,"",IF(OR(NOT(ISNUMBER($H925)),NOT(ISNUMBER($K925)),NOT(ISNUMBER($G925)),$AG925="",$AH925=""),"",ROUND(($K925-$H925)*IF($F925="Short",-1,1)*$G925*$AG925*$AH925,6)))</f>
        <v/>
      </c>
      <c r="AJ925" s="55" t="str">
        <f>IF($AM925=0,"",IF(INDEX(Settings!$E$14:$E$18,$BF925)="% of notional",IF(OR($AG925="",NOT(ISNUMBER($H925)),NOT(ISNUMBER($G925))),"",ROUND(ABS($H925*$G925*$AG925*N($AH925))*IF($L925="Limit",N(INDEX(Settings!$G$14:$G$18,$BF925)),N(INDEX(Settings!$H$14:$H$18,$BF925)))+IF(ISNUMBER($K925),ABS($K925*$G925*$AG925*N($AH925))*IF($M925="Target",N(INDEX(Settings!$G$14:$G$18,$BF925)),N(INDEX(Settings!$H$14:$H$18,$BF925))),0),6)),IF(NOT(ISNUMBER($G925)),"",ROUND(ABS($G925)*2*IF(AND($BE925&gt;0,ISNUMBER(INDEX(Instruments!$G$6:$G$205,MAX(1,$BE925)))),INDEX(Instruments!$G$6:$G$205,MAX(1,$BE925)),N(INDEX(Settings!$F$14:$F$18,$BF925))),6))))</f>
        <v/>
      </c>
      <c r="AK925" s="55" t="str">
        <f>IF($AM925=0,"",IF(ISNUMBER($O925),$O925,$AI925))</f>
        <v/>
      </c>
      <c r="AL925" s="55" t="str">
        <f>IF($AM925=0,"",IF(ISNUMBER($P925),$P925,N($AJ925)))</f>
        <v/>
      </c>
      <c r="AM925" s="56">
        <f>IF(AND($A925&lt;&gt;"",$E925&lt;&gt;"",OR(AND(ISNUMBER($G925),ISNUMBER($H925),ISNUMBER($K925)),ISNUMBER($O925))),1,0)</f>
        <v>0</v>
      </c>
      <c r="AN925" s="57" t="str">
        <f>IF($A925="","",$A925-WEEKDAY($A925,3))</f>
        <v/>
      </c>
      <c r="AO925" s="56" t="str">
        <f>IF($A925="","",WEEKDAY($A925,2))</f>
        <v/>
      </c>
      <c r="AP925" s="55" t="str">
        <f>IF(OR($AM925=0,$C925=""),"",IFERROR(N(INDEX(Accounts!$E$7:$E$16,MATCH($C925,Accounts!$B$7:$B$16,0))),0)+SUMIFS($Q$6:$Q925,$C$6:$C925,$C925))</f>
        <v/>
      </c>
      <c r="AQ925" s="55" t="str">
        <f>IF(OR($AM925=0,$C925=""),"",SUMIFS($Q$6:$Q$1005,$C$6:$C$1005,$C925,$A$6:$A$1005,$A925))</f>
        <v/>
      </c>
      <c r="AR925" s="55" t="str">
        <f>IF(OR($AM925=0,$C925=""),"",IFERROR(N(INDEX(Accounts!$E$7:$E$16,MATCH($C925,Accounts!$B$7:$B$16,0))),0)+SUMIFS($Q$6:$Q$1005,$C$6:$C$1005,$C925,$A$6:$A$1005,"&lt;="&amp;$A925))</f>
        <v/>
      </c>
      <c r="AS925" s="56">
        <f>IF(OR($AM925=0,$Q925=""),0,IF(AND($A925&gt;=Lists!$W$6,$A925&lt;=Lists!$W$7,OR(Dashboard!$D$6="All accounts",$C925=Dashboard!$D$6),OR(Dashboard!$D$7="All markets",$AF925=Dashboard!$D$7)),1,0))</f>
        <v>0</v>
      </c>
      <c r="AT925" s="55">
        <f>IF($AS925=1,N(AT924)+$Q925,N(AT924))</f>
        <v>1187.10688</v>
      </c>
      <c r="AU925" s="55">
        <f>MAX(N(AU924),$AT925)</f>
        <v>1187.10688</v>
      </c>
      <c r="AV925" s="55">
        <f>$AT925-$AU925</f>
        <v>0</v>
      </c>
      <c r="AW925" s="56">
        <f>IF($AS925=1,IF($S925="Win",N(AW924)+1,IF($S925="Loss",0,N(AW924))),N(AW924))</f>
        <v>5</v>
      </c>
      <c r="AX925" s="56">
        <f>IF($AS925=1,IF($S925="Loss",N(AX924)+1,IF($S925="Win",0,N(AX924))),N(AX924))</f>
        <v>0</v>
      </c>
      <c r="AY925" s="56" t="str">
        <f>IF($AS925=1,COUNTIF($AS$6:$AS925,1),"")</f>
        <v/>
      </c>
      <c r="AZ925" s="56">
        <f>MIN(919,N(Lists!$W$8))</f>
        <v>28</v>
      </c>
      <c r="BA925" s="56">
        <f>IF($AS925=1,IF(COUNTIFS($A$6:$A925,$A925,$AS$6:$AS925,1)=1,1,0),0)</f>
        <v>0</v>
      </c>
      <c r="BB925" s="55" t="str">
        <f>IF($BA925=1,SUMIFS($Q$6:$Q$1005,$A$6:$A$1005,$A925,$AS$6:$AS$1005,1),"")</f>
        <v/>
      </c>
      <c r="BC925" s="56">
        <f>IF(ISNUMBER($R925),1,0)</f>
        <v>0</v>
      </c>
      <c r="BD925" s="55" t="str">
        <f>IF(ISNUMBER($U925),$U925*$V925,"")</f>
        <v/>
      </c>
      <c r="BE925" s="56" t="str">
        <f>IF($AM925=0,"",IFERROR(MATCH($AF925&amp;"|"&amp;UPPER(TRIM($E925)),Lists!$A$6:$A$205,0),0))</f>
        <v/>
      </c>
      <c r="BF925" s="56" t="str">
        <f>IF($AM925=0,"",IFERROR(MATCH($AF925,Settings!$B$14:$B$18,0),IFERROR(MATCH(Settings!$C$6,Settings!$B$14:$B$18,0),1)))</f>
        <v/>
      </c>
      <c r="BG925" s="58" t="str">
        <f>IF($AM925=0,"",IF(NOT(ISNUMBER($I925)),"No stop; ","")&amp;IF(AND(ISNUMBER($H925),ISNUMBER($I925)),IF(OR(AND($F925&lt;&gt;"Short",$I925&gt;=$H925),AND($F925="Short",$I925&lt;=$H925)),"Stop on wrong side; ",""),"")&amp;IF($F925="","No direction; ","")&amp;IF(AND(ISNUMBER(Settings!$C$22),ISNUMBER($V925)),IF($V925&gt;Settings!$C$22,"Risk over max $; ",""),"")&amp;IF(AND(ISNUMBER(Settings!$C$23),ISNUMBER($V925),ISNUMBER($AP925),IFERROR(N(INDEX(Accounts!$E$7:$E$16,MATCH($C925,Accounts!$B$7:$B$16,0))),0)&gt;0),IF($V925&gt;Settings!$C$23*($AP925-N($Q925)),"Risk over max %; ",""),"")&amp;IF(AND(ISNUMBER(Settings!$C$24),ISNUMBER($N925)),IF($N925&gt;Settings!$C$24,"Leverage over max; ",""),"")&amp;IF(AND(ISNUMBER(Settings!$C$27),ISNUMBER($T925)),IF($T925&lt;Settings!$C$27,"R:R below min; ",""),"")&amp;IF(ISNUMBER(Settings!$C$25),IF(COUNTIFS($A$6:$A925,$A925,$AM$6:$AM925,1)&gt;Settings!$C$25,"Over max trades/day; ",""),"")&amp;IF(ISNUMBER(Settings!$C$26),IF(SUMIFS($Q$5:$Q924,$A$5:$A924,$A925)&lt;=-Settings!$C$26,"Traded after daily max loss; ",""),"")&amp;IF(AND($AG925="",NOT(ISNUMBER($O925))),"Symbol not in Instruments; ","")&amp;IF(AND($AH925="",NOT(ISNUMBER($O925))),"Forex cross: type Gross P&amp;L; ",""))</f>
        <v/>
      </c>
      <c r="BH925" s="56">
        <f>IF(ISNUMBER($Q925),1,0)</f>
        <v>0</v>
      </c>
      <c r="BI925" s="56">
        <f>IF($Y925="",0,1)</f>
        <v>0</v>
      </c>
      <c r="BJ925" s="56">
        <f>IF($AB925="",0,1)</f>
        <v>0</v>
      </c>
      <c r="BK925" s="56">
        <f>IF(AND($BH925=1,$W925&lt;&gt;"OK"),1,0)</f>
        <v>0</v>
      </c>
      <c r="BL925" s="55">
        <f>IF(N($AZ925)=0,0,IFERROR(INDEX($AT$6:$AT$1005,MATCH($AZ925,$AY$6:$AY$1005,0)),0))</f>
        <v>1187.10688</v>
      </c>
      <c r="BM925" s="56">
        <f>IF(ISNUMBER(SEARCH("daily max loss",$BG925)),1,0)</f>
        <v>0</v>
      </c>
    </row>
    <row r="926" ht="18" customHeight="1">
      <c r="A926" s="38" t="n"/>
      <c r="B926" s="39" t="n"/>
      <c r="C926" s="40" t="n"/>
      <c r="D926" s="41" t="n"/>
      <c r="E926" s="41" t="n"/>
      <c r="F926" s="41" t="n"/>
      <c r="G926" s="41" t="n"/>
      <c r="H926" s="42" t="n"/>
      <c r="I926" s="42" t="n"/>
      <c r="J926" s="42" t="n"/>
      <c r="K926" s="42" t="n"/>
      <c r="L926" s="41" t="n"/>
      <c r="M926" s="41" t="n"/>
      <c r="N926" s="41" t="n"/>
      <c r="O926" s="43" t="n"/>
      <c r="P926" s="43" t="n"/>
      <c r="Q926" s="44" t="str">
        <f>IF($AM926=0,"",IF(ISNUMBER($AK926),$AK926-N($AL926),""))</f>
        <v/>
      </c>
      <c r="R926" s="45" t="str">
        <f>IF(OR($Q926="",NOT(ISNUMBER($V926))),"",$AK926/$V926)</f>
        <v/>
      </c>
      <c r="S926" s="46" t="str">
        <f>IF($Q926="","",IF(AND(ISNUMBER($R926),ABS(N($R926))&lt;N(Settings!$C$8)),"Scratch",IF($Q926&gt;0,"Win",IF($Q926&lt;0,"Loss","Scratch"))))</f>
        <v/>
      </c>
      <c r="T926" s="47" t="str">
        <f>IF(OR($AM926=0,NOT(ISNUMBER($H926)),NOT(ISNUMBER($I926)),NOT(ISNUMBER($J926))),"",IF($H926=$I926,"",ROUND(ABS($J926-$H926)/ABS($H926-$I926),6)))</f>
        <v/>
      </c>
      <c r="U926" s="48" t="str">
        <f>IF(OR($S926&lt;&gt;"Win",NOT(ISNUMBER($T926)),NOT(ISNUMBER($R926))),"",MAX(0,$T926-$R926))</f>
        <v/>
      </c>
      <c r="V926" s="49" t="str">
        <f>IF(OR($AM926=0,NOT(ISNUMBER($H926)),NOT(ISNUMBER($I926)),NOT(ISNUMBER($G926))),"",IF(OR($AG926="",$AH926=""),"",IF(ROUND(ABS($H926-$I926)*ABS($G926)*$AG926*$AH926,6)=0,"",ROUND(ABS($H926-$I926)*ABS($G926)*$AG926*$AH926,6))))</f>
        <v/>
      </c>
      <c r="W926" s="50" t="str">
        <f>IF($AM926=0,"",IF($BG926="","OK",LEFT($BG926,LEN($BG926)-2)))</f>
        <v/>
      </c>
      <c r="X926" s="41" t="n"/>
      <c r="Y926" s="40" t="n"/>
      <c r="Z926" s="41" t="n"/>
      <c r="AA926" s="41" t="n"/>
      <c r="AB926" s="40" t="n"/>
      <c r="AC926" s="51" t="n"/>
      <c r="AD926" s="51" t="n"/>
      <c r="AE926" s="40" t="n"/>
      <c r="AF926" s="52" t="str">
        <f>IF($AM926=0,"",IF($D926&lt;&gt;"",$D926,IF(IFERROR(INDEX(Accounts!$C$7:$C$16,MATCH($C926,Accounts!$B$7:$B$16,0))&amp;"","")&lt;&gt;"",INDEX(Accounts!$C$7:$C$16,MATCH($C926,Accounts!$B$7:$B$16,0)),Settings!$C$6)))</f>
        <v/>
      </c>
      <c r="AG926" s="53" t="str">
        <f>IF($AM926=0,"",IF(AND($BE926&gt;0,N(INDEX(Instruments!$D$6:$D$205,MAX(1,$BE926)))&gt;0),INDEX(Instruments!$D$6:$D$205,MAX(1,$BE926)),IF(N(INDEX(Settings!$D$14:$D$18,$BF926))&gt;0,INDEX(Settings!$D$14:$D$18,$BF926),"")))</f>
        <v/>
      </c>
      <c r="AH926" s="54" t="str">
        <f>IF($AM926=0,"",IF($AF926&lt;&gt;"Forex",1,IF(MID(UPPER(SUBSTITUTE(TRIM($E926),"/","")),4,3)=UPPER(TRIM(Settings!$C$7)),1,IF(LEFT(UPPER(SUBSTITUTE(TRIM($E926),"/","")),3)=UPPER(TRIM(Settings!$C$7)),IF(AND(ISNUMBER($K926),N($K926)&lt;&gt;0),1/$K926,""),""))))</f>
        <v/>
      </c>
      <c r="AI926" s="55" t="str">
        <f>IF($AM926=0,"",IF(OR(NOT(ISNUMBER($H926)),NOT(ISNUMBER($K926)),NOT(ISNUMBER($G926)),$AG926="",$AH926=""),"",ROUND(($K926-$H926)*IF($F926="Short",-1,1)*$G926*$AG926*$AH926,6)))</f>
        <v/>
      </c>
      <c r="AJ926" s="55" t="str">
        <f>IF($AM926=0,"",IF(INDEX(Settings!$E$14:$E$18,$BF926)="% of notional",IF(OR($AG926="",NOT(ISNUMBER($H926)),NOT(ISNUMBER($G926))),"",ROUND(ABS($H926*$G926*$AG926*N($AH926))*IF($L926="Limit",N(INDEX(Settings!$G$14:$G$18,$BF926)),N(INDEX(Settings!$H$14:$H$18,$BF926)))+IF(ISNUMBER($K926),ABS($K926*$G926*$AG926*N($AH926))*IF($M926="Target",N(INDEX(Settings!$G$14:$G$18,$BF926)),N(INDEX(Settings!$H$14:$H$18,$BF926))),0),6)),IF(NOT(ISNUMBER($G926)),"",ROUND(ABS($G926)*2*IF(AND($BE926&gt;0,ISNUMBER(INDEX(Instruments!$G$6:$G$205,MAX(1,$BE926)))),INDEX(Instruments!$G$6:$G$205,MAX(1,$BE926)),N(INDEX(Settings!$F$14:$F$18,$BF926))),6))))</f>
        <v/>
      </c>
      <c r="AK926" s="55" t="str">
        <f>IF($AM926=0,"",IF(ISNUMBER($O926),$O926,$AI926))</f>
        <v/>
      </c>
      <c r="AL926" s="55" t="str">
        <f>IF($AM926=0,"",IF(ISNUMBER($P926),$P926,N($AJ926)))</f>
        <v/>
      </c>
      <c r="AM926" s="56">
        <f>IF(AND($A926&lt;&gt;"",$E926&lt;&gt;"",OR(AND(ISNUMBER($G926),ISNUMBER($H926),ISNUMBER($K926)),ISNUMBER($O926))),1,0)</f>
        <v>0</v>
      </c>
      <c r="AN926" s="57" t="str">
        <f>IF($A926="","",$A926-WEEKDAY($A926,3))</f>
        <v/>
      </c>
      <c r="AO926" s="56" t="str">
        <f>IF($A926="","",WEEKDAY($A926,2))</f>
        <v/>
      </c>
      <c r="AP926" s="55" t="str">
        <f>IF(OR($AM926=0,$C926=""),"",IFERROR(N(INDEX(Accounts!$E$7:$E$16,MATCH($C926,Accounts!$B$7:$B$16,0))),0)+SUMIFS($Q$6:$Q926,$C$6:$C926,$C926))</f>
        <v/>
      </c>
      <c r="AQ926" s="55" t="str">
        <f>IF(OR($AM926=0,$C926=""),"",SUMIFS($Q$6:$Q$1005,$C$6:$C$1005,$C926,$A$6:$A$1005,$A926))</f>
        <v/>
      </c>
      <c r="AR926" s="55" t="str">
        <f>IF(OR($AM926=0,$C926=""),"",IFERROR(N(INDEX(Accounts!$E$7:$E$16,MATCH($C926,Accounts!$B$7:$B$16,0))),0)+SUMIFS($Q$6:$Q$1005,$C$6:$C$1005,$C926,$A$6:$A$1005,"&lt;="&amp;$A926))</f>
        <v/>
      </c>
      <c r="AS926" s="56">
        <f>IF(OR($AM926=0,$Q926=""),0,IF(AND($A926&gt;=Lists!$W$6,$A926&lt;=Lists!$W$7,OR(Dashboard!$D$6="All accounts",$C926=Dashboard!$D$6),OR(Dashboard!$D$7="All markets",$AF926=Dashboard!$D$7)),1,0))</f>
        <v>0</v>
      </c>
      <c r="AT926" s="55">
        <f>IF($AS926=1,N(AT925)+$Q926,N(AT925))</f>
        <v>1187.10688</v>
      </c>
      <c r="AU926" s="55">
        <f>MAX(N(AU925),$AT926)</f>
        <v>1187.10688</v>
      </c>
      <c r="AV926" s="55">
        <f>$AT926-$AU926</f>
        <v>0</v>
      </c>
      <c r="AW926" s="56">
        <f>IF($AS926=1,IF($S926="Win",N(AW925)+1,IF($S926="Loss",0,N(AW925))),N(AW925))</f>
        <v>5</v>
      </c>
      <c r="AX926" s="56">
        <f>IF($AS926=1,IF($S926="Loss",N(AX925)+1,IF($S926="Win",0,N(AX925))),N(AX925))</f>
        <v>0</v>
      </c>
      <c r="AY926" s="56" t="str">
        <f>IF($AS926=1,COUNTIF($AS$6:$AS926,1),"")</f>
        <v/>
      </c>
      <c r="AZ926" s="56">
        <f>MIN(920,N(Lists!$W$8))</f>
        <v>28</v>
      </c>
      <c r="BA926" s="56">
        <f>IF($AS926=1,IF(COUNTIFS($A$6:$A926,$A926,$AS$6:$AS926,1)=1,1,0),0)</f>
        <v>0</v>
      </c>
      <c r="BB926" s="55" t="str">
        <f>IF($BA926=1,SUMIFS($Q$6:$Q$1005,$A$6:$A$1005,$A926,$AS$6:$AS$1005,1),"")</f>
        <v/>
      </c>
      <c r="BC926" s="56">
        <f>IF(ISNUMBER($R926),1,0)</f>
        <v>0</v>
      </c>
      <c r="BD926" s="55" t="str">
        <f>IF(ISNUMBER($U926),$U926*$V926,"")</f>
        <v/>
      </c>
      <c r="BE926" s="56" t="str">
        <f>IF($AM926=0,"",IFERROR(MATCH($AF926&amp;"|"&amp;UPPER(TRIM($E926)),Lists!$A$6:$A$205,0),0))</f>
        <v/>
      </c>
      <c r="BF926" s="56" t="str">
        <f>IF($AM926=0,"",IFERROR(MATCH($AF926,Settings!$B$14:$B$18,0),IFERROR(MATCH(Settings!$C$6,Settings!$B$14:$B$18,0),1)))</f>
        <v/>
      </c>
      <c r="BG926" s="58" t="str">
        <f>IF($AM926=0,"",IF(NOT(ISNUMBER($I926)),"No stop; ","")&amp;IF(AND(ISNUMBER($H926),ISNUMBER($I926)),IF(OR(AND($F926&lt;&gt;"Short",$I926&gt;=$H926),AND($F926="Short",$I926&lt;=$H926)),"Stop on wrong side; ",""),"")&amp;IF($F926="","No direction; ","")&amp;IF(AND(ISNUMBER(Settings!$C$22),ISNUMBER($V926)),IF($V926&gt;Settings!$C$22,"Risk over max $; ",""),"")&amp;IF(AND(ISNUMBER(Settings!$C$23),ISNUMBER($V926),ISNUMBER($AP926),IFERROR(N(INDEX(Accounts!$E$7:$E$16,MATCH($C926,Accounts!$B$7:$B$16,0))),0)&gt;0),IF($V926&gt;Settings!$C$23*($AP926-N($Q926)),"Risk over max %; ",""),"")&amp;IF(AND(ISNUMBER(Settings!$C$24),ISNUMBER($N926)),IF($N926&gt;Settings!$C$24,"Leverage over max; ",""),"")&amp;IF(AND(ISNUMBER(Settings!$C$27),ISNUMBER($T926)),IF($T926&lt;Settings!$C$27,"R:R below min; ",""),"")&amp;IF(ISNUMBER(Settings!$C$25),IF(COUNTIFS($A$6:$A926,$A926,$AM$6:$AM926,1)&gt;Settings!$C$25,"Over max trades/day; ",""),"")&amp;IF(ISNUMBER(Settings!$C$26),IF(SUMIFS($Q$5:$Q925,$A$5:$A925,$A926)&lt;=-Settings!$C$26,"Traded after daily max loss; ",""),"")&amp;IF(AND($AG926="",NOT(ISNUMBER($O926))),"Symbol not in Instruments; ","")&amp;IF(AND($AH926="",NOT(ISNUMBER($O926))),"Forex cross: type Gross P&amp;L; ",""))</f>
        <v/>
      </c>
      <c r="BH926" s="56">
        <f>IF(ISNUMBER($Q926),1,0)</f>
        <v>0</v>
      </c>
      <c r="BI926" s="56">
        <f>IF($Y926="",0,1)</f>
        <v>0</v>
      </c>
      <c r="BJ926" s="56">
        <f>IF($AB926="",0,1)</f>
        <v>0</v>
      </c>
      <c r="BK926" s="56">
        <f>IF(AND($BH926=1,$W926&lt;&gt;"OK"),1,0)</f>
        <v>0</v>
      </c>
      <c r="BL926" s="55">
        <f>IF(N($AZ926)=0,0,IFERROR(INDEX($AT$6:$AT$1005,MATCH($AZ926,$AY$6:$AY$1005,0)),0))</f>
        <v>1187.10688</v>
      </c>
      <c r="BM926" s="56">
        <f>IF(ISNUMBER(SEARCH("daily max loss",$BG926)),1,0)</f>
        <v>0</v>
      </c>
    </row>
    <row r="927" ht="18" customHeight="1">
      <c r="A927" s="38" t="n"/>
      <c r="B927" s="39" t="n"/>
      <c r="C927" s="40" t="n"/>
      <c r="D927" s="41" t="n"/>
      <c r="E927" s="41" t="n"/>
      <c r="F927" s="41" t="n"/>
      <c r="G927" s="41" t="n"/>
      <c r="H927" s="42" t="n"/>
      <c r="I927" s="42" t="n"/>
      <c r="J927" s="42" t="n"/>
      <c r="K927" s="42" t="n"/>
      <c r="L927" s="41" t="n"/>
      <c r="M927" s="41" t="n"/>
      <c r="N927" s="41" t="n"/>
      <c r="O927" s="43" t="n"/>
      <c r="P927" s="43" t="n"/>
      <c r="Q927" s="44" t="str">
        <f>IF($AM927=0,"",IF(ISNUMBER($AK927),$AK927-N($AL927),""))</f>
        <v/>
      </c>
      <c r="R927" s="45" t="str">
        <f>IF(OR($Q927="",NOT(ISNUMBER($V927))),"",$AK927/$V927)</f>
        <v/>
      </c>
      <c r="S927" s="46" t="str">
        <f>IF($Q927="","",IF(AND(ISNUMBER($R927),ABS(N($R927))&lt;N(Settings!$C$8)),"Scratch",IF($Q927&gt;0,"Win",IF($Q927&lt;0,"Loss","Scratch"))))</f>
        <v/>
      </c>
      <c r="T927" s="47" t="str">
        <f>IF(OR($AM927=0,NOT(ISNUMBER($H927)),NOT(ISNUMBER($I927)),NOT(ISNUMBER($J927))),"",IF($H927=$I927,"",ROUND(ABS($J927-$H927)/ABS($H927-$I927),6)))</f>
        <v/>
      </c>
      <c r="U927" s="48" t="str">
        <f>IF(OR($S927&lt;&gt;"Win",NOT(ISNUMBER($T927)),NOT(ISNUMBER($R927))),"",MAX(0,$T927-$R927))</f>
        <v/>
      </c>
      <c r="V927" s="49" t="str">
        <f>IF(OR($AM927=0,NOT(ISNUMBER($H927)),NOT(ISNUMBER($I927)),NOT(ISNUMBER($G927))),"",IF(OR($AG927="",$AH927=""),"",IF(ROUND(ABS($H927-$I927)*ABS($G927)*$AG927*$AH927,6)=0,"",ROUND(ABS($H927-$I927)*ABS($G927)*$AG927*$AH927,6))))</f>
        <v/>
      </c>
      <c r="W927" s="50" t="str">
        <f>IF($AM927=0,"",IF($BG927="","OK",LEFT($BG927,LEN($BG927)-2)))</f>
        <v/>
      </c>
      <c r="X927" s="41" t="n"/>
      <c r="Y927" s="40" t="n"/>
      <c r="Z927" s="41" t="n"/>
      <c r="AA927" s="41" t="n"/>
      <c r="AB927" s="40" t="n"/>
      <c r="AC927" s="51" t="n"/>
      <c r="AD927" s="51" t="n"/>
      <c r="AE927" s="40" t="n"/>
      <c r="AF927" s="52" t="str">
        <f>IF($AM927=0,"",IF($D927&lt;&gt;"",$D927,IF(IFERROR(INDEX(Accounts!$C$7:$C$16,MATCH($C927,Accounts!$B$7:$B$16,0))&amp;"","")&lt;&gt;"",INDEX(Accounts!$C$7:$C$16,MATCH($C927,Accounts!$B$7:$B$16,0)),Settings!$C$6)))</f>
        <v/>
      </c>
      <c r="AG927" s="53" t="str">
        <f>IF($AM927=0,"",IF(AND($BE927&gt;0,N(INDEX(Instruments!$D$6:$D$205,MAX(1,$BE927)))&gt;0),INDEX(Instruments!$D$6:$D$205,MAX(1,$BE927)),IF(N(INDEX(Settings!$D$14:$D$18,$BF927))&gt;0,INDEX(Settings!$D$14:$D$18,$BF927),"")))</f>
        <v/>
      </c>
      <c r="AH927" s="54" t="str">
        <f>IF($AM927=0,"",IF($AF927&lt;&gt;"Forex",1,IF(MID(UPPER(SUBSTITUTE(TRIM($E927),"/","")),4,3)=UPPER(TRIM(Settings!$C$7)),1,IF(LEFT(UPPER(SUBSTITUTE(TRIM($E927),"/","")),3)=UPPER(TRIM(Settings!$C$7)),IF(AND(ISNUMBER($K927),N($K927)&lt;&gt;0),1/$K927,""),""))))</f>
        <v/>
      </c>
      <c r="AI927" s="55" t="str">
        <f>IF($AM927=0,"",IF(OR(NOT(ISNUMBER($H927)),NOT(ISNUMBER($K927)),NOT(ISNUMBER($G927)),$AG927="",$AH927=""),"",ROUND(($K927-$H927)*IF($F927="Short",-1,1)*$G927*$AG927*$AH927,6)))</f>
        <v/>
      </c>
      <c r="AJ927" s="55" t="str">
        <f>IF($AM927=0,"",IF(INDEX(Settings!$E$14:$E$18,$BF927)="% of notional",IF(OR($AG927="",NOT(ISNUMBER($H927)),NOT(ISNUMBER($G927))),"",ROUND(ABS($H927*$G927*$AG927*N($AH927))*IF($L927="Limit",N(INDEX(Settings!$G$14:$G$18,$BF927)),N(INDEX(Settings!$H$14:$H$18,$BF927)))+IF(ISNUMBER($K927),ABS($K927*$G927*$AG927*N($AH927))*IF($M927="Target",N(INDEX(Settings!$G$14:$G$18,$BF927)),N(INDEX(Settings!$H$14:$H$18,$BF927))),0),6)),IF(NOT(ISNUMBER($G927)),"",ROUND(ABS($G927)*2*IF(AND($BE927&gt;0,ISNUMBER(INDEX(Instruments!$G$6:$G$205,MAX(1,$BE927)))),INDEX(Instruments!$G$6:$G$205,MAX(1,$BE927)),N(INDEX(Settings!$F$14:$F$18,$BF927))),6))))</f>
        <v/>
      </c>
      <c r="AK927" s="55" t="str">
        <f>IF($AM927=0,"",IF(ISNUMBER($O927),$O927,$AI927))</f>
        <v/>
      </c>
      <c r="AL927" s="55" t="str">
        <f>IF($AM927=0,"",IF(ISNUMBER($P927),$P927,N($AJ927)))</f>
        <v/>
      </c>
      <c r="AM927" s="56">
        <f>IF(AND($A927&lt;&gt;"",$E927&lt;&gt;"",OR(AND(ISNUMBER($G927),ISNUMBER($H927),ISNUMBER($K927)),ISNUMBER($O927))),1,0)</f>
        <v>0</v>
      </c>
      <c r="AN927" s="57" t="str">
        <f>IF($A927="","",$A927-WEEKDAY($A927,3))</f>
        <v/>
      </c>
      <c r="AO927" s="56" t="str">
        <f>IF($A927="","",WEEKDAY($A927,2))</f>
        <v/>
      </c>
      <c r="AP927" s="55" t="str">
        <f>IF(OR($AM927=0,$C927=""),"",IFERROR(N(INDEX(Accounts!$E$7:$E$16,MATCH($C927,Accounts!$B$7:$B$16,0))),0)+SUMIFS($Q$6:$Q927,$C$6:$C927,$C927))</f>
        <v/>
      </c>
      <c r="AQ927" s="55" t="str">
        <f>IF(OR($AM927=0,$C927=""),"",SUMIFS($Q$6:$Q$1005,$C$6:$C$1005,$C927,$A$6:$A$1005,$A927))</f>
        <v/>
      </c>
      <c r="AR927" s="55" t="str">
        <f>IF(OR($AM927=0,$C927=""),"",IFERROR(N(INDEX(Accounts!$E$7:$E$16,MATCH($C927,Accounts!$B$7:$B$16,0))),0)+SUMIFS($Q$6:$Q$1005,$C$6:$C$1005,$C927,$A$6:$A$1005,"&lt;="&amp;$A927))</f>
        <v/>
      </c>
      <c r="AS927" s="56">
        <f>IF(OR($AM927=0,$Q927=""),0,IF(AND($A927&gt;=Lists!$W$6,$A927&lt;=Lists!$W$7,OR(Dashboard!$D$6="All accounts",$C927=Dashboard!$D$6),OR(Dashboard!$D$7="All markets",$AF927=Dashboard!$D$7)),1,0))</f>
        <v>0</v>
      </c>
      <c r="AT927" s="55">
        <f>IF($AS927=1,N(AT926)+$Q927,N(AT926))</f>
        <v>1187.10688</v>
      </c>
      <c r="AU927" s="55">
        <f>MAX(N(AU926),$AT927)</f>
        <v>1187.10688</v>
      </c>
      <c r="AV927" s="55">
        <f>$AT927-$AU927</f>
        <v>0</v>
      </c>
      <c r="AW927" s="56">
        <f>IF($AS927=1,IF($S927="Win",N(AW926)+1,IF($S927="Loss",0,N(AW926))),N(AW926))</f>
        <v>5</v>
      </c>
      <c r="AX927" s="56">
        <f>IF($AS927=1,IF($S927="Loss",N(AX926)+1,IF($S927="Win",0,N(AX926))),N(AX926))</f>
        <v>0</v>
      </c>
      <c r="AY927" s="56" t="str">
        <f>IF($AS927=1,COUNTIF($AS$6:$AS927,1),"")</f>
        <v/>
      </c>
      <c r="AZ927" s="56">
        <f>MIN(921,N(Lists!$W$8))</f>
        <v>28</v>
      </c>
      <c r="BA927" s="56">
        <f>IF($AS927=1,IF(COUNTIFS($A$6:$A927,$A927,$AS$6:$AS927,1)=1,1,0),0)</f>
        <v>0</v>
      </c>
      <c r="BB927" s="55" t="str">
        <f>IF($BA927=1,SUMIFS($Q$6:$Q$1005,$A$6:$A$1005,$A927,$AS$6:$AS$1005,1),"")</f>
        <v/>
      </c>
      <c r="BC927" s="56">
        <f>IF(ISNUMBER($R927),1,0)</f>
        <v>0</v>
      </c>
      <c r="BD927" s="55" t="str">
        <f>IF(ISNUMBER($U927),$U927*$V927,"")</f>
        <v/>
      </c>
      <c r="BE927" s="56" t="str">
        <f>IF($AM927=0,"",IFERROR(MATCH($AF927&amp;"|"&amp;UPPER(TRIM($E927)),Lists!$A$6:$A$205,0),0))</f>
        <v/>
      </c>
      <c r="BF927" s="56" t="str">
        <f>IF($AM927=0,"",IFERROR(MATCH($AF927,Settings!$B$14:$B$18,0),IFERROR(MATCH(Settings!$C$6,Settings!$B$14:$B$18,0),1)))</f>
        <v/>
      </c>
      <c r="BG927" s="58" t="str">
        <f>IF($AM927=0,"",IF(NOT(ISNUMBER($I927)),"No stop; ","")&amp;IF(AND(ISNUMBER($H927),ISNUMBER($I927)),IF(OR(AND($F927&lt;&gt;"Short",$I927&gt;=$H927),AND($F927="Short",$I927&lt;=$H927)),"Stop on wrong side; ",""),"")&amp;IF($F927="","No direction; ","")&amp;IF(AND(ISNUMBER(Settings!$C$22),ISNUMBER($V927)),IF($V927&gt;Settings!$C$22,"Risk over max $; ",""),"")&amp;IF(AND(ISNUMBER(Settings!$C$23),ISNUMBER($V927),ISNUMBER($AP927),IFERROR(N(INDEX(Accounts!$E$7:$E$16,MATCH($C927,Accounts!$B$7:$B$16,0))),0)&gt;0),IF($V927&gt;Settings!$C$23*($AP927-N($Q927)),"Risk over max %; ",""),"")&amp;IF(AND(ISNUMBER(Settings!$C$24),ISNUMBER($N927)),IF($N927&gt;Settings!$C$24,"Leverage over max; ",""),"")&amp;IF(AND(ISNUMBER(Settings!$C$27),ISNUMBER($T927)),IF($T927&lt;Settings!$C$27,"R:R below min; ",""),"")&amp;IF(ISNUMBER(Settings!$C$25),IF(COUNTIFS($A$6:$A927,$A927,$AM$6:$AM927,1)&gt;Settings!$C$25,"Over max trades/day; ",""),"")&amp;IF(ISNUMBER(Settings!$C$26),IF(SUMIFS($Q$5:$Q926,$A$5:$A926,$A927)&lt;=-Settings!$C$26,"Traded after daily max loss; ",""),"")&amp;IF(AND($AG927="",NOT(ISNUMBER($O927))),"Symbol not in Instruments; ","")&amp;IF(AND($AH927="",NOT(ISNUMBER($O927))),"Forex cross: type Gross P&amp;L; ",""))</f>
        <v/>
      </c>
      <c r="BH927" s="56">
        <f>IF(ISNUMBER($Q927),1,0)</f>
        <v>0</v>
      </c>
      <c r="BI927" s="56">
        <f>IF($Y927="",0,1)</f>
        <v>0</v>
      </c>
      <c r="BJ927" s="56">
        <f>IF($AB927="",0,1)</f>
        <v>0</v>
      </c>
      <c r="BK927" s="56">
        <f>IF(AND($BH927=1,$W927&lt;&gt;"OK"),1,0)</f>
        <v>0</v>
      </c>
      <c r="BL927" s="55">
        <f>IF(N($AZ927)=0,0,IFERROR(INDEX($AT$6:$AT$1005,MATCH($AZ927,$AY$6:$AY$1005,0)),0))</f>
        <v>1187.10688</v>
      </c>
      <c r="BM927" s="56">
        <f>IF(ISNUMBER(SEARCH("daily max loss",$BG927)),1,0)</f>
        <v>0</v>
      </c>
    </row>
    <row r="928" ht="18" customHeight="1">
      <c r="A928" s="38" t="n"/>
      <c r="B928" s="39" t="n"/>
      <c r="C928" s="40" t="n"/>
      <c r="D928" s="41" t="n"/>
      <c r="E928" s="41" t="n"/>
      <c r="F928" s="41" t="n"/>
      <c r="G928" s="41" t="n"/>
      <c r="H928" s="42" t="n"/>
      <c r="I928" s="42" t="n"/>
      <c r="J928" s="42" t="n"/>
      <c r="K928" s="42" t="n"/>
      <c r="L928" s="41" t="n"/>
      <c r="M928" s="41" t="n"/>
      <c r="N928" s="41" t="n"/>
      <c r="O928" s="43" t="n"/>
      <c r="P928" s="43" t="n"/>
      <c r="Q928" s="44" t="str">
        <f>IF($AM928=0,"",IF(ISNUMBER($AK928),$AK928-N($AL928),""))</f>
        <v/>
      </c>
      <c r="R928" s="45" t="str">
        <f>IF(OR($Q928="",NOT(ISNUMBER($V928))),"",$AK928/$V928)</f>
        <v/>
      </c>
      <c r="S928" s="46" t="str">
        <f>IF($Q928="","",IF(AND(ISNUMBER($R928),ABS(N($R928))&lt;N(Settings!$C$8)),"Scratch",IF($Q928&gt;0,"Win",IF($Q928&lt;0,"Loss","Scratch"))))</f>
        <v/>
      </c>
      <c r="T928" s="47" t="str">
        <f>IF(OR($AM928=0,NOT(ISNUMBER($H928)),NOT(ISNUMBER($I928)),NOT(ISNUMBER($J928))),"",IF($H928=$I928,"",ROUND(ABS($J928-$H928)/ABS($H928-$I928),6)))</f>
        <v/>
      </c>
      <c r="U928" s="48" t="str">
        <f>IF(OR($S928&lt;&gt;"Win",NOT(ISNUMBER($T928)),NOT(ISNUMBER($R928))),"",MAX(0,$T928-$R928))</f>
        <v/>
      </c>
      <c r="V928" s="49" t="str">
        <f>IF(OR($AM928=0,NOT(ISNUMBER($H928)),NOT(ISNUMBER($I928)),NOT(ISNUMBER($G928))),"",IF(OR($AG928="",$AH928=""),"",IF(ROUND(ABS($H928-$I928)*ABS($G928)*$AG928*$AH928,6)=0,"",ROUND(ABS($H928-$I928)*ABS($G928)*$AG928*$AH928,6))))</f>
        <v/>
      </c>
      <c r="W928" s="50" t="str">
        <f>IF($AM928=0,"",IF($BG928="","OK",LEFT($BG928,LEN($BG928)-2)))</f>
        <v/>
      </c>
      <c r="X928" s="41" t="n"/>
      <c r="Y928" s="40" t="n"/>
      <c r="Z928" s="41" t="n"/>
      <c r="AA928" s="41" t="n"/>
      <c r="AB928" s="40" t="n"/>
      <c r="AC928" s="51" t="n"/>
      <c r="AD928" s="51" t="n"/>
      <c r="AE928" s="40" t="n"/>
      <c r="AF928" s="52" t="str">
        <f>IF($AM928=0,"",IF($D928&lt;&gt;"",$D928,IF(IFERROR(INDEX(Accounts!$C$7:$C$16,MATCH($C928,Accounts!$B$7:$B$16,0))&amp;"","")&lt;&gt;"",INDEX(Accounts!$C$7:$C$16,MATCH($C928,Accounts!$B$7:$B$16,0)),Settings!$C$6)))</f>
        <v/>
      </c>
      <c r="AG928" s="53" t="str">
        <f>IF($AM928=0,"",IF(AND($BE928&gt;0,N(INDEX(Instruments!$D$6:$D$205,MAX(1,$BE928)))&gt;0),INDEX(Instruments!$D$6:$D$205,MAX(1,$BE928)),IF(N(INDEX(Settings!$D$14:$D$18,$BF928))&gt;0,INDEX(Settings!$D$14:$D$18,$BF928),"")))</f>
        <v/>
      </c>
      <c r="AH928" s="54" t="str">
        <f>IF($AM928=0,"",IF($AF928&lt;&gt;"Forex",1,IF(MID(UPPER(SUBSTITUTE(TRIM($E928),"/","")),4,3)=UPPER(TRIM(Settings!$C$7)),1,IF(LEFT(UPPER(SUBSTITUTE(TRIM($E928),"/","")),3)=UPPER(TRIM(Settings!$C$7)),IF(AND(ISNUMBER($K928),N($K928)&lt;&gt;0),1/$K928,""),""))))</f>
        <v/>
      </c>
      <c r="AI928" s="55" t="str">
        <f>IF($AM928=0,"",IF(OR(NOT(ISNUMBER($H928)),NOT(ISNUMBER($K928)),NOT(ISNUMBER($G928)),$AG928="",$AH928=""),"",ROUND(($K928-$H928)*IF($F928="Short",-1,1)*$G928*$AG928*$AH928,6)))</f>
        <v/>
      </c>
      <c r="AJ928" s="55" t="str">
        <f>IF($AM928=0,"",IF(INDEX(Settings!$E$14:$E$18,$BF928)="% of notional",IF(OR($AG928="",NOT(ISNUMBER($H928)),NOT(ISNUMBER($G928))),"",ROUND(ABS($H928*$G928*$AG928*N($AH928))*IF($L928="Limit",N(INDEX(Settings!$G$14:$G$18,$BF928)),N(INDEX(Settings!$H$14:$H$18,$BF928)))+IF(ISNUMBER($K928),ABS($K928*$G928*$AG928*N($AH928))*IF($M928="Target",N(INDEX(Settings!$G$14:$G$18,$BF928)),N(INDEX(Settings!$H$14:$H$18,$BF928))),0),6)),IF(NOT(ISNUMBER($G928)),"",ROUND(ABS($G928)*2*IF(AND($BE928&gt;0,ISNUMBER(INDEX(Instruments!$G$6:$G$205,MAX(1,$BE928)))),INDEX(Instruments!$G$6:$G$205,MAX(1,$BE928)),N(INDEX(Settings!$F$14:$F$18,$BF928))),6))))</f>
        <v/>
      </c>
      <c r="AK928" s="55" t="str">
        <f>IF($AM928=0,"",IF(ISNUMBER($O928),$O928,$AI928))</f>
        <v/>
      </c>
      <c r="AL928" s="55" t="str">
        <f>IF($AM928=0,"",IF(ISNUMBER($P928),$P928,N($AJ928)))</f>
        <v/>
      </c>
      <c r="AM928" s="56">
        <f>IF(AND($A928&lt;&gt;"",$E928&lt;&gt;"",OR(AND(ISNUMBER($G928),ISNUMBER($H928),ISNUMBER($K928)),ISNUMBER($O928))),1,0)</f>
        <v>0</v>
      </c>
      <c r="AN928" s="57" t="str">
        <f>IF($A928="","",$A928-WEEKDAY($A928,3))</f>
        <v/>
      </c>
      <c r="AO928" s="56" t="str">
        <f>IF($A928="","",WEEKDAY($A928,2))</f>
        <v/>
      </c>
      <c r="AP928" s="55" t="str">
        <f>IF(OR($AM928=0,$C928=""),"",IFERROR(N(INDEX(Accounts!$E$7:$E$16,MATCH($C928,Accounts!$B$7:$B$16,0))),0)+SUMIFS($Q$6:$Q928,$C$6:$C928,$C928))</f>
        <v/>
      </c>
      <c r="AQ928" s="55" t="str">
        <f>IF(OR($AM928=0,$C928=""),"",SUMIFS($Q$6:$Q$1005,$C$6:$C$1005,$C928,$A$6:$A$1005,$A928))</f>
        <v/>
      </c>
      <c r="AR928" s="55" t="str">
        <f>IF(OR($AM928=0,$C928=""),"",IFERROR(N(INDEX(Accounts!$E$7:$E$16,MATCH($C928,Accounts!$B$7:$B$16,0))),0)+SUMIFS($Q$6:$Q$1005,$C$6:$C$1005,$C928,$A$6:$A$1005,"&lt;="&amp;$A928))</f>
        <v/>
      </c>
      <c r="AS928" s="56">
        <f>IF(OR($AM928=0,$Q928=""),0,IF(AND($A928&gt;=Lists!$W$6,$A928&lt;=Lists!$W$7,OR(Dashboard!$D$6="All accounts",$C928=Dashboard!$D$6),OR(Dashboard!$D$7="All markets",$AF928=Dashboard!$D$7)),1,0))</f>
        <v>0</v>
      </c>
      <c r="AT928" s="55">
        <f>IF($AS928=1,N(AT927)+$Q928,N(AT927))</f>
        <v>1187.10688</v>
      </c>
      <c r="AU928" s="55">
        <f>MAX(N(AU927),$AT928)</f>
        <v>1187.10688</v>
      </c>
      <c r="AV928" s="55">
        <f>$AT928-$AU928</f>
        <v>0</v>
      </c>
      <c r="AW928" s="56">
        <f>IF($AS928=1,IF($S928="Win",N(AW927)+1,IF($S928="Loss",0,N(AW927))),N(AW927))</f>
        <v>5</v>
      </c>
      <c r="AX928" s="56">
        <f>IF($AS928=1,IF($S928="Loss",N(AX927)+1,IF($S928="Win",0,N(AX927))),N(AX927))</f>
        <v>0</v>
      </c>
      <c r="AY928" s="56" t="str">
        <f>IF($AS928=1,COUNTIF($AS$6:$AS928,1),"")</f>
        <v/>
      </c>
      <c r="AZ928" s="56">
        <f>MIN(922,N(Lists!$W$8))</f>
        <v>28</v>
      </c>
      <c r="BA928" s="56">
        <f>IF($AS928=1,IF(COUNTIFS($A$6:$A928,$A928,$AS$6:$AS928,1)=1,1,0),0)</f>
        <v>0</v>
      </c>
      <c r="BB928" s="55" t="str">
        <f>IF($BA928=1,SUMIFS($Q$6:$Q$1005,$A$6:$A$1005,$A928,$AS$6:$AS$1005,1),"")</f>
        <v/>
      </c>
      <c r="BC928" s="56">
        <f>IF(ISNUMBER($R928),1,0)</f>
        <v>0</v>
      </c>
      <c r="BD928" s="55" t="str">
        <f>IF(ISNUMBER($U928),$U928*$V928,"")</f>
        <v/>
      </c>
      <c r="BE928" s="56" t="str">
        <f>IF($AM928=0,"",IFERROR(MATCH($AF928&amp;"|"&amp;UPPER(TRIM($E928)),Lists!$A$6:$A$205,0),0))</f>
        <v/>
      </c>
      <c r="BF928" s="56" t="str">
        <f>IF($AM928=0,"",IFERROR(MATCH($AF928,Settings!$B$14:$B$18,0),IFERROR(MATCH(Settings!$C$6,Settings!$B$14:$B$18,0),1)))</f>
        <v/>
      </c>
      <c r="BG928" s="58" t="str">
        <f>IF($AM928=0,"",IF(NOT(ISNUMBER($I928)),"No stop; ","")&amp;IF(AND(ISNUMBER($H928),ISNUMBER($I928)),IF(OR(AND($F928&lt;&gt;"Short",$I928&gt;=$H928),AND($F928="Short",$I928&lt;=$H928)),"Stop on wrong side; ",""),"")&amp;IF($F928="","No direction; ","")&amp;IF(AND(ISNUMBER(Settings!$C$22),ISNUMBER($V928)),IF($V928&gt;Settings!$C$22,"Risk over max $; ",""),"")&amp;IF(AND(ISNUMBER(Settings!$C$23),ISNUMBER($V928),ISNUMBER($AP928),IFERROR(N(INDEX(Accounts!$E$7:$E$16,MATCH($C928,Accounts!$B$7:$B$16,0))),0)&gt;0),IF($V928&gt;Settings!$C$23*($AP928-N($Q928)),"Risk over max %; ",""),"")&amp;IF(AND(ISNUMBER(Settings!$C$24),ISNUMBER($N928)),IF($N928&gt;Settings!$C$24,"Leverage over max; ",""),"")&amp;IF(AND(ISNUMBER(Settings!$C$27),ISNUMBER($T928)),IF($T928&lt;Settings!$C$27,"R:R below min; ",""),"")&amp;IF(ISNUMBER(Settings!$C$25),IF(COUNTIFS($A$6:$A928,$A928,$AM$6:$AM928,1)&gt;Settings!$C$25,"Over max trades/day; ",""),"")&amp;IF(ISNUMBER(Settings!$C$26),IF(SUMIFS($Q$5:$Q927,$A$5:$A927,$A928)&lt;=-Settings!$C$26,"Traded after daily max loss; ",""),"")&amp;IF(AND($AG928="",NOT(ISNUMBER($O928))),"Symbol not in Instruments; ","")&amp;IF(AND($AH928="",NOT(ISNUMBER($O928))),"Forex cross: type Gross P&amp;L; ",""))</f>
        <v/>
      </c>
      <c r="BH928" s="56">
        <f>IF(ISNUMBER($Q928),1,0)</f>
        <v>0</v>
      </c>
      <c r="BI928" s="56">
        <f>IF($Y928="",0,1)</f>
        <v>0</v>
      </c>
      <c r="BJ928" s="56">
        <f>IF($AB928="",0,1)</f>
        <v>0</v>
      </c>
      <c r="BK928" s="56">
        <f>IF(AND($BH928=1,$W928&lt;&gt;"OK"),1,0)</f>
        <v>0</v>
      </c>
      <c r="BL928" s="55">
        <f>IF(N($AZ928)=0,0,IFERROR(INDEX($AT$6:$AT$1005,MATCH($AZ928,$AY$6:$AY$1005,0)),0))</f>
        <v>1187.10688</v>
      </c>
      <c r="BM928" s="56">
        <f>IF(ISNUMBER(SEARCH("daily max loss",$BG928)),1,0)</f>
        <v>0</v>
      </c>
    </row>
    <row r="929" ht="18" customHeight="1">
      <c r="A929" s="38" t="n"/>
      <c r="B929" s="39" t="n"/>
      <c r="C929" s="40" t="n"/>
      <c r="D929" s="41" t="n"/>
      <c r="E929" s="41" t="n"/>
      <c r="F929" s="41" t="n"/>
      <c r="G929" s="41" t="n"/>
      <c r="H929" s="42" t="n"/>
      <c r="I929" s="42" t="n"/>
      <c r="J929" s="42" t="n"/>
      <c r="K929" s="42" t="n"/>
      <c r="L929" s="41" t="n"/>
      <c r="M929" s="41" t="n"/>
      <c r="N929" s="41" t="n"/>
      <c r="O929" s="43" t="n"/>
      <c r="P929" s="43" t="n"/>
      <c r="Q929" s="44" t="str">
        <f>IF($AM929=0,"",IF(ISNUMBER($AK929),$AK929-N($AL929),""))</f>
        <v/>
      </c>
      <c r="R929" s="45" t="str">
        <f>IF(OR($Q929="",NOT(ISNUMBER($V929))),"",$AK929/$V929)</f>
        <v/>
      </c>
      <c r="S929" s="46" t="str">
        <f>IF($Q929="","",IF(AND(ISNUMBER($R929),ABS(N($R929))&lt;N(Settings!$C$8)),"Scratch",IF($Q929&gt;0,"Win",IF($Q929&lt;0,"Loss","Scratch"))))</f>
        <v/>
      </c>
      <c r="T929" s="47" t="str">
        <f>IF(OR($AM929=0,NOT(ISNUMBER($H929)),NOT(ISNUMBER($I929)),NOT(ISNUMBER($J929))),"",IF($H929=$I929,"",ROUND(ABS($J929-$H929)/ABS($H929-$I929),6)))</f>
        <v/>
      </c>
      <c r="U929" s="48" t="str">
        <f>IF(OR($S929&lt;&gt;"Win",NOT(ISNUMBER($T929)),NOT(ISNUMBER($R929))),"",MAX(0,$T929-$R929))</f>
        <v/>
      </c>
      <c r="V929" s="49" t="str">
        <f>IF(OR($AM929=0,NOT(ISNUMBER($H929)),NOT(ISNUMBER($I929)),NOT(ISNUMBER($G929))),"",IF(OR($AG929="",$AH929=""),"",IF(ROUND(ABS($H929-$I929)*ABS($G929)*$AG929*$AH929,6)=0,"",ROUND(ABS($H929-$I929)*ABS($G929)*$AG929*$AH929,6))))</f>
        <v/>
      </c>
      <c r="W929" s="50" t="str">
        <f>IF($AM929=0,"",IF($BG929="","OK",LEFT($BG929,LEN($BG929)-2)))</f>
        <v/>
      </c>
      <c r="X929" s="41" t="n"/>
      <c r="Y929" s="40" t="n"/>
      <c r="Z929" s="41" t="n"/>
      <c r="AA929" s="41" t="n"/>
      <c r="AB929" s="40" t="n"/>
      <c r="AC929" s="51" t="n"/>
      <c r="AD929" s="51" t="n"/>
      <c r="AE929" s="40" t="n"/>
      <c r="AF929" s="52" t="str">
        <f>IF($AM929=0,"",IF($D929&lt;&gt;"",$D929,IF(IFERROR(INDEX(Accounts!$C$7:$C$16,MATCH($C929,Accounts!$B$7:$B$16,0))&amp;"","")&lt;&gt;"",INDEX(Accounts!$C$7:$C$16,MATCH($C929,Accounts!$B$7:$B$16,0)),Settings!$C$6)))</f>
        <v/>
      </c>
      <c r="AG929" s="53" t="str">
        <f>IF($AM929=0,"",IF(AND($BE929&gt;0,N(INDEX(Instruments!$D$6:$D$205,MAX(1,$BE929)))&gt;0),INDEX(Instruments!$D$6:$D$205,MAX(1,$BE929)),IF(N(INDEX(Settings!$D$14:$D$18,$BF929))&gt;0,INDEX(Settings!$D$14:$D$18,$BF929),"")))</f>
        <v/>
      </c>
      <c r="AH929" s="54" t="str">
        <f>IF($AM929=0,"",IF($AF929&lt;&gt;"Forex",1,IF(MID(UPPER(SUBSTITUTE(TRIM($E929),"/","")),4,3)=UPPER(TRIM(Settings!$C$7)),1,IF(LEFT(UPPER(SUBSTITUTE(TRIM($E929),"/","")),3)=UPPER(TRIM(Settings!$C$7)),IF(AND(ISNUMBER($K929),N($K929)&lt;&gt;0),1/$K929,""),""))))</f>
        <v/>
      </c>
      <c r="AI929" s="55" t="str">
        <f>IF($AM929=0,"",IF(OR(NOT(ISNUMBER($H929)),NOT(ISNUMBER($K929)),NOT(ISNUMBER($G929)),$AG929="",$AH929=""),"",ROUND(($K929-$H929)*IF($F929="Short",-1,1)*$G929*$AG929*$AH929,6)))</f>
        <v/>
      </c>
      <c r="AJ929" s="55" t="str">
        <f>IF($AM929=0,"",IF(INDEX(Settings!$E$14:$E$18,$BF929)="% of notional",IF(OR($AG929="",NOT(ISNUMBER($H929)),NOT(ISNUMBER($G929))),"",ROUND(ABS($H929*$G929*$AG929*N($AH929))*IF($L929="Limit",N(INDEX(Settings!$G$14:$G$18,$BF929)),N(INDEX(Settings!$H$14:$H$18,$BF929)))+IF(ISNUMBER($K929),ABS($K929*$G929*$AG929*N($AH929))*IF($M929="Target",N(INDEX(Settings!$G$14:$G$18,$BF929)),N(INDEX(Settings!$H$14:$H$18,$BF929))),0),6)),IF(NOT(ISNUMBER($G929)),"",ROUND(ABS($G929)*2*IF(AND($BE929&gt;0,ISNUMBER(INDEX(Instruments!$G$6:$G$205,MAX(1,$BE929)))),INDEX(Instruments!$G$6:$G$205,MAX(1,$BE929)),N(INDEX(Settings!$F$14:$F$18,$BF929))),6))))</f>
        <v/>
      </c>
      <c r="AK929" s="55" t="str">
        <f>IF($AM929=0,"",IF(ISNUMBER($O929),$O929,$AI929))</f>
        <v/>
      </c>
      <c r="AL929" s="55" t="str">
        <f>IF($AM929=0,"",IF(ISNUMBER($P929),$P929,N($AJ929)))</f>
        <v/>
      </c>
      <c r="AM929" s="56">
        <f>IF(AND($A929&lt;&gt;"",$E929&lt;&gt;"",OR(AND(ISNUMBER($G929),ISNUMBER($H929),ISNUMBER($K929)),ISNUMBER($O929))),1,0)</f>
        <v>0</v>
      </c>
      <c r="AN929" s="57" t="str">
        <f>IF($A929="","",$A929-WEEKDAY($A929,3))</f>
        <v/>
      </c>
      <c r="AO929" s="56" t="str">
        <f>IF($A929="","",WEEKDAY($A929,2))</f>
        <v/>
      </c>
      <c r="AP929" s="55" t="str">
        <f>IF(OR($AM929=0,$C929=""),"",IFERROR(N(INDEX(Accounts!$E$7:$E$16,MATCH($C929,Accounts!$B$7:$B$16,0))),0)+SUMIFS($Q$6:$Q929,$C$6:$C929,$C929))</f>
        <v/>
      </c>
      <c r="AQ929" s="55" t="str">
        <f>IF(OR($AM929=0,$C929=""),"",SUMIFS($Q$6:$Q$1005,$C$6:$C$1005,$C929,$A$6:$A$1005,$A929))</f>
        <v/>
      </c>
      <c r="AR929" s="55" t="str">
        <f>IF(OR($AM929=0,$C929=""),"",IFERROR(N(INDEX(Accounts!$E$7:$E$16,MATCH($C929,Accounts!$B$7:$B$16,0))),0)+SUMIFS($Q$6:$Q$1005,$C$6:$C$1005,$C929,$A$6:$A$1005,"&lt;="&amp;$A929))</f>
        <v/>
      </c>
      <c r="AS929" s="56">
        <f>IF(OR($AM929=0,$Q929=""),0,IF(AND($A929&gt;=Lists!$W$6,$A929&lt;=Lists!$W$7,OR(Dashboard!$D$6="All accounts",$C929=Dashboard!$D$6),OR(Dashboard!$D$7="All markets",$AF929=Dashboard!$D$7)),1,0))</f>
        <v>0</v>
      </c>
      <c r="AT929" s="55">
        <f>IF($AS929=1,N(AT928)+$Q929,N(AT928))</f>
        <v>1187.10688</v>
      </c>
      <c r="AU929" s="55">
        <f>MAX(N(AU928),$AT929)</f>
        <v>1187.10688</v>
      </c>
      <c r="AV929" s="55">
        <f>$AT929-$AU929</f>
        <v>0</v>
      </c>
      <c r="AW929" s="56">
        <f>IF($AS929=1,IF($S929="Win",N(AW928)+1,IF($S929="Loss",0,N(AW928))),N(AW928))</f>
        <v>5</v>
      </c>
      <c r="AX929" s="56">
        <f>IF($AS929=1,IF($S929="Loss",N(AX928)+1,IF($S929="Win",0,N(AX928))),N(AX928))</f>
        <v>0</v>
      </c>
      <c r="AY929" s="56" t="str">
        <f>IF($AS929=1,COUNTIF($AS$6:$AS929,1),"")</f>
        <v/>
      </c>
      <c r="AZ929" s="56">
        <f>MIN(923,N(Lists!$W$8))</f>
        <v>28</v>
      </c>
      <c r="BA929" s="56">
        <f>IF($AS929=1,IF(COUNTIFS($A$6:$A929,$A929,$AS$6:$AS929,1)=1,1,0),0)</f>
        <v>0</v>
      </c>
      <c r="BB929" s="55" t="str">
        <f>IF($BA929=1,SUMIFS($Q$6:$Q$1005,$A$6:$A$1005,$A929,$AS$6:$AS$1005,1),"")</f>
        <v/>
      </c>
      <c r="BC929" s="56">
        <f>IF(ISNUMBER($R929),1,0)</f>
        <v>0</v>
      </c>
      <c r="BD929" s="55" t="str">
        <f>IF(ISNUMBER($U929),$U929*$V929,"")</f>
        <v/>
      </c>
      <c r="BE929" s="56" t="str">
        <f>IF($AM929=0,"",IFERROR(MATCH($AF929&amp;"|"&amp;UPPER(TRIM($E929)),Lists!$A$6:$A$205,0),0))</f>
        <v/>
      </c>
      <c r="BF929" s="56" t="str">
        <f>IF($AM929=0,"",IFERROR(MATCH($AF929,Settings!$B$14:$B$18,0),IFERROR(MATCH(Settings!$C$6,Settings!$B$14:$B$18,0),1)))</f>
        <v/>
      </c>
      <c r="BG929" s="58" t="str">
        <f>IF($AM929=0,"",IF(NOT(ISNUMBER($I929)),"No stop; ","")&amp;IF(AND(ISNUMBER($H929),ISNUMBER($I929)),IF(OR(AND($F929&lt;&gt;"Short",$I929&gt;=$H929),AND($F929="Short",$I929&lt;=$H929)),"Stop on wrong side; ",""),"")&amp;IF($F929="","No direction; ","")&amp;IF(AND(ISNUMBER(Settings!$C$22),ISNUMBER($V929)),IF($V929&gt;Settings!$C$22,"Risk over max $; ",""),"")&amp;IF(AND(ISNUMBER(Settings!$C$23),ISNUMBER($V929),ISNUMBER($AP929),IFERROR(N(INDEX(Accounts!$E$7:$E$16,MATCH($C929,Accounts!$B$7:$B$16,0))),0)&gt;0),IF($V929&gt;Settings!$C$23*($AP929-N($Q929)),"Risk over max %; ",""),"")&amp;IF(AND(ISNUMBER(Settings!$C$24),ISNUMBER($N929)),IF($N929&gt;Settings!$C$24,"Leverage over max; ",""),"")&amp;IF(AND(ISNUMBER(Settings!$C$27),ISNUMBER($T929)),IF($T929&lt;Settings!$C$27,"R:R below min; ",""),"")&amp;IF(ISNUMBER(Settings!$C$25),IF(COUNTIFS($A$6:$A929,$A929,$AM$6:$AM929,1)&gt;Settings!$C$25,"Over max trades/day; ",""),"")&amp;IF(ISNUMBER(Settings!$C$26),IF(SUMIFS($Q$5:$Q928,$A$5:$A928,$A929)&lt;=-Settings!$C$26,"Traded after daily max loss; ",""),"")&amp;IF(AND($AG929="",NOT(ISNUMBER($O929))),"Symbol not in Instruments; ","")&amp;IF(AND($AH929="",NOT(ISNUMBER($O929))),"Forex cross: type Gross P&amp;L; ",""))</f>
        <v/>
      </c>
      <c r="BH929" s="56">
        <f>IF(ISNUMBER($Q929),1,0)</f>
        <v>0</v>
      </c>
      <c r="BI929" s="56">
        <f>IF($Y929="",0,1)</f>
        <v>0</v>
      </c>
      <c r="BJ929" s="56">
        <f>IF($AB929="",0,1)</f>
        <v>0</v>
      </c>
      <c r="BK929" s="56">
        <f>IF(AND($BH929=1,$W929&lt;&gt;"OK"),1,0)</f>
        <v>0</v>
      </c>
      <c r="BL929" s="55">
        <f>IF(N($AZ929)=0,0,IFERROR(INDEX($AT$6:$AT$1005,MATCH($AZ929,$AY$6:$AY$1005,0)),0))</f>
        <v>1187.10688</v>
      </c>
      <c r="BM929" s="56">
        <f>IF(ISNUMBER(SEARCH("daily max loss",$BG929)),1,0)</f>
        <v>0</v>
      </c>
    </row>
    <row r="930" ht="18" customHeight="1">
      <c r="A930" s="38" t="n"/>
      <c r="B930" s="39" t="n"/>
      <c r="C930" s="40" t="n"/>
      <c r="D930" s="41" t="n"/>
      <c r="E930" s="41" t="n"/>
      <c r="F930" s="41" t="n"/>
      <c r="G930" s="41" t="n"/>
      <c r="H930" s="42" t="n"/>
      <c r="I930" s="42" t="n"/>
      <c r="J930" s="42" t="n"/>
      <c r="K930" s="42" t="n"/>
      <c r="L930" s="41" t="n"/>
      <c r="M930" s="41" t="n"/>
      <c r="N930" s="41" t="n"/>
      <c r="O930" s="43" t="n"/>
      <c r="P930" s="43" t="n"/>
      <c r="Q930" s="44" t="str">
        <f>IF($AM930=0,"",IF(ISNUMBER($AK930),$AK930-N($AL930),""))</f>
        <v/>
      </c>
      <c r="R930" s="45" t="str">
        <f>IF(OR($Q930="",NOT(ISNUMBER($V930))),"",$AK930/$V930)</f>
        <v/>
      </c>
      <c r="S930" s="46" t="str">
        <f>IF($Q930="","",IF(AND(ISNUMBER($R930),ABS(N($R930))&lt;N(Settings!$C$8)),"Scratch",IF($Q930&gt;0,"Win",IF($Q930&lt;0,"Loss","Scratch"))))</f>
        <v/>
      </c>
      <c r="T930" s="47" t="str">
        <f>IF(OR($AM930=0,NOT(ISNUMBER($H930)),NOT(ISNUMBER($I930)),NOT(ISNUMBER($J930))),"",IF($H930=$I930,"",ROUND(ABS($J930-$H930)/ABS($H930-$I930),6)))</f>
        <v/>
      </c>
      <c r="U930" s="48" t="str">
        <f>IF(OR($S930&lt;&gt;"Win",NOT(ISNUMBER($T930)),NOT(ISNUMBER($R930))),"",MAX(0,$T930-$R930))</f>
        <v/>
      </c>
      <c r="V930" s="49" t="str">
        <f>IF(OR($AM930=0,NOT(ISNUMBER($H930)),NOT(ISNUMBER($I930)),NOT(ISNUMBER($G930))),"",IF(OR($AG930="",$AH930=""),"",IF(ROUND(ABS($H930-$I930)*ABS($G930)*$AG930*$AH930,6)=0,"",ROUND(ABS($H930-$I930)*ABS($G930)*$AG930*$AH930,6))))</f>
        <v/>
      </c>
      <c r="W930" s="50" t="str">
        <f>IF($AM930=0,"",IF($BG930="","OK",LEFT($BG930,LEN($BG930)-2)))</f>
        <v/>
      </c>
      <c r="X930" s="41" t="n"/>
      <c r="Y930" s="40" t="n"/>
      <c r="Z930" s="41" t="n"/>
      <c r="AA930" s="41" t="n"/>
      <c r="AB930" s="40" t="n"/>
      <c r="AC930" s="51" t="n"/>
      <c r="AD930" s="51" t="n"/>
      <c r="AE930" s="40" t="n"/>
      <c r="AF930" s="52" t="str">
        <f>IF($AM930=0,"",IF($D930&lt;&gt;"",$D930,IF(IFERROR(INDEX(Accounts!$C$7:$C$16,MATCH($C930,Accounts!$B$7:$B$16,0))&amp;"","")&lt;&gt;"",INDEX(Accounts!$C$7:$C$16,MATCH($C930,Accounts!$B$7:$B$16,0)),Settings!$C$6)))</f>
        <v/>
      </c>
      <c r="AG930" s="53" t="str">
        <f>IF($AM930=0,"",IF(AND($BE930&gt;0,N(INDEX(Instruments!$D$6:$D$205,MAX(1,$BE930)))&gt;0),INDEX(Instruments!$D$6:$D$205,MAX(1,$BE930)),IF(N(INDEX(Settings!$D$14:$D$18,$BF930))&gt;0,INDEX(Settings!$D$14:$D$18,$BF930),"")))</f>
        <v/>
      </c>
      <c r="AH930" s="54" t="str">
        <f>IF($AM930=0,"",IF($AF930&lt;&gt;"Forex",1,IF(MID(UPPER(SUBSTITUTE(TRIM($E930),"/","")),4,3)=UPPER(TRIM(Settings!$C$7)),1,IF(LEFT(UPPER(SUBSTITUTE(TRIM($E930),"/","")),3)=UPPER(TRIM(Settings!$C$7)),IF(AND(ISNUMBER($K930),N($K930)&lt;&gt;0),1/$K930,""),""))))</f>
        <v/>
      </c>
      <c r="AI930" s="55" t="str">
        <f>IF($AM930=0,"",IF(OR(NOT(ISNUMBER($H930)),NOT(ISNUMBER($K930)),NOT(ISNUMBER($G930)),$AG930="",$AH930=""),"",ROUND(($K930-$H930)*IF($F930="Short",-1,1)*$G930*$AG930*$AH930,6)))</f>
        <v/>
      </c>
      <c r="AJ930" s="55" t="str">
        <f>IF($AM930=0,"",IF(INDEX(Settings!$E$14:$E$18,$BF930)="% of notional",IF(OR($AG930="",NOT(ISNUMBER($H930)),NOT(ISNUMBER($G930))),"",ROUND(ABS($H930*$G930*$AG930*N($AH930))*IF($L930="Limit",N(INDEX(Settings!$G$14:$G$18,$BF930)),N(INDEX(Settings!$H$14:$H$18,$BF930)))+IF(ISNUMBER($K930),ABS($K930*$G930*$AG930*N($AH930))*IF($M930="Target",N(INDEX(Settings!$G$14:$G$18,$BF930)),N(INDEX(Settings!$H$14:$H$18,$BF930))),0),6)),IF(NOT(ISNUMBER($G930)),"",ROUND(ABS($G930)*2*IF(AND($BE930&gt;0,ISNUMBER(INDEX(Instruments!$G$6:$G$205,MAX(1,$BE930)))),INDEX(Instruments!$G$6:$G$205,MAX(1,$BE930)),N(INDEX(Settings!$F$14:$F$18,$BF930))),6))))</f>
        <v/>
      </c>
      <c r="AK930" s="55" t="str">
        <f>IF($AM930=0,"",IF(ISNUMBER($O930),$O930,$AI930))</f>
        <v/>
      </c>
      <c r="AL930" s="55" t="str">
        <f>IF($AM930=0,"",IF(ISNUMBER($P930),$P930,N($AJ930)))</f>
        <v/>
      </c>
      <c r="AM930" s="56">
        <f>IF(AND($A930&lt;&gt;"",$E930&lt;&gt;"",OR(AND(ISNUMBER($G930),ISNUMBER($H930),ISNUMBER($K930)),ISNUMBER($O930))),1,0)</f>
        <v>0</v>
      </c>
      <c r="AN930" s="57" t="str">
        <f>IF($A930="","",$A930-WEEKDAY($A930,3))</f>
        <v/>
      </c>
      <c r="AO930" s="56" t="str">
        <f>IF($A930="","",WEEKDAY($A930,2))</f>
        <v/>
      </c>
      <c r="AP930" s="55" t="str">
        <f>IF(OR($AM930=0,$C930=""),"",IFERROR(N(INDEX(Accounts!$E$7:$E$16,MATCH($C930,Accounts!$B$7:$B$16,0))),0)+SUMIFS($Q$6:$Q930,$C$6:$C930,$C930))</f>
        <v/>
      </c>
      <c r="AQ930" s="55" t="str">
        <f>IF(OR($AM930=0,$C930=""),"",SUMIFS($Q$6:$Q$1005,$C$6:$C$1005,$C930,$A$6:$A$1005,$A930))</f>
        <v/>
      </c>
      <c r="AR930" s="55" t="str">
        <f>IF(OR($AM930=0,$C930=""),"",IFERROR(N(INDEX(Accounts!$E$7:$E$16,MATCH($C930,Accounts!$B$7:$B$16,0))),0)+SUMIFS($Q$6:$Q$1005,$C$6:$C$1005,$C930,$A$6:$A$1005,"&lt;="&amp;$A930))</f>
        <v/>
      </c>
      <c r="AS930" s="56">
        <f>IF(OR($AM930=0,$Q930=""),0,IF(AND($A930&gt;=Lists!$W$6,$A930&lt;=Lists!$W$7,OR(Dashboard!$D$6="All accounts",$C930=Dashboard!$D$6),OR(Dashboard!$D$7="All markets",$AF930=Dashboard!$D$7)),1,0))</f>
        <v>0</v>
      </c>
      <c r="AT930" s="55">
        <f>IF($AS930=1,N(AT929)+$Q930,N(AT929))</f>
        <v>1187.10688</v>
      </c>
      <c r="AU930" s="55">
        <f>MAX(N(AU929),$AT930)</f>
        <v>1187.10688</v>
      </c>
      <c r="AV930" s="55">
        <f>$AT930-$AU930</f>
        <v>0</v>
      </c>
      <c r="AW930" s="56">
        <f>IF($AS930=1,IF($S930="Win",N(AW929)+1,IF($S930="Loss",0,N(AW929))),N(AW929))</f>
        <v>5</v>
      </c>
      <c r="AX930" s="56">
        <f>IF($AS930=1,IF($S930="Loss",N(AX929)+1,IF($S930="Win",0,N(AX929))),N(AX929))</f>
        <v>0</v>
      </c>
      <c r="AY930" s="56" t="str">
        <f>IF($AS930=1,COUNTIF($AS$6:$AS930,1),"")</f>
        <v/>
      </c>
      <c r="AZ930" s="56">
        <f>MIN(924,N(Lists!$W$8))</f>
        <v>28</v>
      </c>
      <c r="BA930" s="56">
        <f>IF($AS930=1,IF(COUNTIFS($A$6:$A930,$A930,$AS$6:$AS930,1)=1,1,0),0)</f>
        <v>0</v>
      </c>
      <c r="BB930" s="55" t="str">
        <f>IF($BA930=1,SUMIFS($Q$6:$Q$1005,$A$6:$A$1005,$A930,$AS$6:$AS$1005,1),"")</f>
        <v/>
      </c>
      <c r="BC930" s="56">
        <f>IF(ISNUMBER($R930),1,0)</f>
        <v>0</v>
      </c>
      <c r="BD930" s="55" t="str">
        <f>IF(ISNUMBER($U930),$U930*$V930,"")</f>
        <v/>
      </c>
      <c r="BE930" s="56" t="str">
        <f>IF($AM930=0,"",IFERROR(MATCH($AF930&amp;"|"&amp;UPPER(TRIM($E930)),Lists!$A$6:$A$205,0),0))</f>
        <v/>
      </c>
      <c r="BF930" s="56" t="str">
        <f>IF($AM930=0,"",IFERROR(MATCH($AF930,Settings!$B$14:$B$18,0),IFERROR(MATCH(Settings!$C$6,Settings!$B$14:$B$18,0),1)))</f>
        <v/>
      </c>
      <c r="BG930" s="58" t="str">
        <f>IF($AM930=0,"",IF(NOT(ISNUMBER($I930)),"No stop; ","")&amp;IF(AND(ISNUMBER($H930),ISNUMBER($I930)),IF(OR(AND($F930&lt;&gt;"Short",$I930&gt;=$H930),AND($F930="Short",$I930&lt;=$H930)),"Stop on wrong side; ",""),"")&amp;IF($F930="","No direction; ","")&amp;IF(AND(ISNUMBER(Settings!$C$22),ISNUMBER($V930)),IF($V930&gt;Settings!$C$22,"Risk over max $; ",""),"")&amp;IF(AND(ISNUMBER(Settings!$C$23),ISNUMBER($V930),ISNUMBER($AP930),IFERROR(N(INDEX(Accounts!$E$7:$E$16,MATCH($C930,Accounts!$B$7:$B$16,0))),0)&gt;0),IF($V930&gt;Settings!$C$23*($AP930-N($Q930)),"Risk over max %; ",""),"")&amp;IF(AND(ISNUMBER(Settings!$C$24),ISNUMBER($N930)),IF($N930&gt;Settings!$C$24,"Leverage over max; ",""),"")&amp;IF(AND(ISNUMBER(Settings!$C$27),ISNUMBER($T930)),IF($T930&lt;Settings!$C$27,"R:R below min; ",""),"")&amp;IF(ISNUMBER(Settings!$C$25),IF(COUNTIFS($A$6:$A930,$A930,$AM$6:$AM930,1)&gt;Settings!$C$25,"Over max trades/day; ",""),"")&amp;IF(ISNUMBER(Settings!$C$26),IF(SUMIFS($Q$5:$Q929,$A$5:$A929,$A930)&lt;=-Settings!$C$26,"Traded after daily max loss; ",""),"")&amp;IF(AND($AG930="",NOT(ISNUMBER($O930))),"Symbol not in Instruments; ","")&amp;IF(AND($AH930="",NOT(ISNUMBER($O930))),"Forex cross: type Gross P&amp;L; ",""))</f>
        <v/>
      </c>
      <c r="BH930" s="56">
        <f>IF(ISNUMBER($Q930),1,0)</f>
        <v>0</v>
      </c>
      <c r="BI930" s="56">
        <f>IF($Y930="",0,1)</f>
        <v>0</v>
      </c>
      <c r="BJ930" s="56">
        <f>IF($AB930="",0,1)</f>
        <v>0</v>
      </c>
      <c r="BK930" s="56">
        <f>IF(AND($BH930=1,$W930&lt;&gt;"OK"),1,0)</f>
        <v>0</v>
      </c>
      <c r="BL930" s="55">
        <f>IF(N($AZ930)=0,0,IFERROR(INDEX($AT$6:$AT$1005,MATCH($AZ930,$AY$6:$AY$1005,0)),0))</f>
        <v>1187.10688</v>
      </c>
      <c r="BM930" s="56">
        <f>IF(ISNUMBER(SEARCH("daily max loss",$BG930)),1,0)</f>
        <v>0</v>
      </c>
    </row>
    <row r="931" ht="18" customHeight="1">
      <c r="A931" s="38" t="n"/>
      <c r="B931" s="39" t="n"/>
      <c r="C931" s="40" t="n"/>
      <c r="D931" s="41" t="n"/>
      <c r="E931" s="41" t="n"/>
      <c r="F931" s="41" t="n"/>
      <c r="G931" s="41" t="n"/>
      <c r="H931" s="42" t="n"/>
      <c r="I931" s="42" t="n"/>
      <c r="J931" s="42" t="n"/>
      <c r="K931" s="42" t="n"/>
      <c r="L931" s="41" t="n"/>
      <c r="M931" s="41" t="n"/>
      <c r="N931" s="41" t="n"/>
      <c r="O931" s="43" t="n"/>
      <c r="P931" s="43" t="n"/>
      <c r="Q931" s="44" t="str">
        <f>IF($AM931=0,"",IF(ISNUMBER($AK931),$AK931-N($AL931),""))</f>
        <v/>
      </c>
      <c r="R931" s="45" t="str">
        <f>IF(OR($Q931="",NOT(ISNUMBER($V931))),"",$AK931/$V931)</f>
        <v/>
      </c>
      <c r="S931" s="46" t="str">
        <f>IF($Q931="","",IF(AND(ISNUMBER($R931),ABS(N($R931))&lt;N(Settings!$C$8)),"Scratch",IF($Q931&gt;0,"Win",IF($Q931&lt;0,"Loss","Scratch"))))</f>
        <v/>
      </c>
      <c r="T931" s="47" t="str">
        <f>IF(OR($AM931=0,NOT(ISNUMBER($H931)),NOT(ISNUMBER($I931)),NOT(ISNUMBER($J931))),"",IF($H931=$I931,"",ROUND(ABS($J931-$H931)/ABS($H931-$I931),6)))</f>
        <v/>
      </c>
      <c r="U931" s="48" t="str">
        <f>IF(OR($S931&lt;&gt;"Win",NOT(ISNUMBER($T931)),NOT(ISNUMBER($R931))),"",MAX(0,$T931-$R931))</f>
        <v/>
      </c>
      <c r="V931" s="49" t="str">
        <f>IF(OR($AM931=0,NOT(ISNUMBER($H931)),NOT(ISNUMBER($I931)),NOT(ISNUMBER($G931))),"",IF(OR($AG931="",$AH931=""),"",IF(ROUND(ABS($H931-$I931)*ABS($G931)*$AG931*$AH931,6)=0,"",ROUND(ABS($H931-$I931)*ABS($G931)*$AG931*$AH931,6))))</f>
        <v/>
      </c>
      <c r="W931" s="50" t="str">
        <f>IF($AM931=0,"",IF($BG931="","OK",LEFT($BG931,LEN($BG931)-2)))</f>
        <v/>
      </c>
      <c r="X931" s="41" t="n"/>
      <c r="Y931" s="40" t="n"/>
      <c r="Z931" s="41" t="n"/>
      <c r="AA931" s="41" t="n"/>
      <c r="AB931" s="40" t="n"/>
      <c r="AC931" s="51" t="n"/>
      <c r="AD931" s="51" t="n"/>
      <c r="AE931" s="40" t="n"/>
      <c r="AF931" s="52" t="str">
        <f>IF($AM931=0,"",IF($D931&lt;&gt;"",$D931,IF(IFERROR(INDEX(Accounts!$C$7:$C$16,MATCH($C931,Accounts!$B$7:$B$16,0))&amp;"","")&lt;&gt;"",INDEX(Accounts!$C$7:$C$16,MATCH($C931,Accounts!$B$7:$B$16,0)),Settings!$C$6)))</f>
        <v/>
      </c>
      <c r="AG931" s="53" t="str">
        <f>IF($AM931=0,"",IF(AND($BE931&gt;0,N(INDEX(Instruments!$D$6:$D$205,MAX(1,$BE931)))&gt;0),INDEX(Instruments!$D$6:$D$205,MAX(1,$BE931)),IF(N(INDEX(Settings!$D$14:$D$18,$BF931))&gt;0,INDEX(Settings!$D$14:$D$18,$BF931),"")))</f>
        <v/>
      </c>
      <c r="AH931" s="54" t="str">
        <f>IF($AM931=0,"",IF($AF931&lt;&gt;"Forex",1,IF(MID(UPPER(SUBSTITUTE(TRIM($E931),"/","")),4,3)=UPPER(TRIM(Settings!$C$7)),1,IF(LEFT(UPPER(SUBSTITUTE(TRIM($E931),"/","")),3)=UPPER(TRIM(Settings!$C$7)),IF(AND(ISNUMBER($K931),N($K931)&lt;&gt;0),1/$K931,""),""))))</f>
        <v/>
      </c>
      <c r="AI931" s="55" t="str">
        <f>IF($AM931=0,"",IF(OR(NOT(ISNUMBER($H931)),NOT(ISNUMBER($K931)),NOT(ISNUMBER($G931)),$AG931="",$AH931=""),"",ROUND(($K931-$H931)*IF($F931="Short",-1,1)*$G931*$AG931*$AH931,6)))</f>
        <v/>
      </c>
      <c r="AJ931" s="55" t="str">
        <f>IF($AM931=0,"",IF(INDEX(Settings!$E$14:$E$18,$BF931)="% of notional",IF(OR($AG931="",NOT(ISNUMBER($H931)),NOT(ISNUMBER($G931))),"",ROUND(ABS($H931*$G931*$AG931*N($AH931))*IF($L931="Limit",N(INDEX(Settings!$G$14:$G$18,$BF931)),N(INDEX(Settings!$H$14:$H$18,$BF931)))+IF(ISNUMBER($K931),ABS($K931*$G931*$AG931*N($AH931))*IF($M931="Target",N(INDEX(Settings!$G$14:$G$18,$BF931)),N(INDEX(Settings!$H$14:$H$18,$BF931))),0),6)),IF(NOT(ISNUMBER($G931)),"",ROUND(ABS($G931)*2*IF(AND($BE931&gt;0,ISNUMBER(INDEX(Instruments!$G$6:$G$205,MAX(1,$BE931)))),INDEX(Instruments!$G$6:$G$205,MAX(1,$BE931)),N(INDEX(Settings!$F$14:$F$18,$BF931))),6))))</f>
        <v/>
      </c>
      <c r="AK931" s="55" t="str">
        <f>IF($AM931=0,"",IF(ISNUMBER($O931),$O931,$AI931))</f>
        <v/>
      </c>
      <c r="AL931" s="55" t="str">
        <f>IF($AM931=0,"",IF(ISNUMBER($P931),$P931,N($AJ931)))</f>
        <v/>
      </c>
      <c r="AM931" s="56">
        <f>IF(AND($A931&lt;&gt;"",$E931&lt;&gt;"",OR(AND(ISNUMBER($G931),ISNUMBER($H931),ISNUMBER($K931)),ISNUMBER($O931))),1,0)</f>
        <v>0</v>
      </c>
      <c r="AN931" s="57" t="str">
        <f>IF($A931="","",$A931-WEEKDAY($A931,3))</f>
        <v/>
      </c>
      <c r="AO931" s="56" t="str">
        <f>IF($A931="","",WEEKDAY($A931,2))</f>
        <v/>
      </c>
      <c r="AP931" s="55" t="str">
        <f>IF(OR($AM931=0,$C931=""),"",IFERROR(N(INDEX(Accounts!$E$7:$E$16,MATCH($C931,Accounts!$B$7:$B$16,0))),0)+SUMIFS($Q$6:$Q931,$C$6:$C931,$C931))</f>
        <v/>
      </c>
      <c r="AQ931" s="55" t="str">
        <f>IF(OR($AM931=0,$C931=""),"",SUMIFS($Q$6:$Q$1005,$C$6:$C$1005,$C931,$A$6:$A$1005,$A931))</f>
        <v/>
      </c>
      <c r="AR931" s="55" t="str">
        <f>IF(OR($AM931=0,$C931=""),"",IFERROR(N(INDEX(Accounts!$E$7:$E$16,MATCH($C931,Accounts!$B$7:$B$16,0))),0)+SUMIFS($Q$6:$Q$1005,$C$6:$C$1005,$C931,$A$6:$A$1005,"&lt;="&amp;$A931))</f>
        <v/>
      </c>
      <c r="AS931" s="56">
        <f>IF(OR($AM931=0,$Q931=""),0,IF(AND($A931&gt;=Lists!$W$6,$A931&lt;=Lists!$W$7,OR(Dashboard!$D$6="All accounts",$C931=Dashboard!$D$6),OR(Dashboard!$D$7="All markets",$AF931=Dashboard!$D$7)),1,0))</f>
        <v>0</v>
      </c>
      <c r="AT931" s="55">
        <f>IF($AS931=1,N(AT930)+$Q931,N(AT930))</f>
        <v>1187.10688</v>
      </c>
      <c r="AU931" s="55">
        <f>MAX(N(AU930),$AT931)</f>
        <v>1187.10688</v>
      </c>
      <c r="AV931" s="55">
        <f>$AT931-$AU931</f>
        <v>0</v>
      </c>
      <c r="AW931" s="56">
        <f>IF($AS931=1,IF($S931="Win",N(AW930)+1,IF($S931="Loss",0,N(AW930))),N(AW930))</f>
        <v>5</v>
      </c>
      <c r="AX931" s="56">
        <f>IF($AS931=1,IF($S931="Loss",N(AX930)+1,IF($S931="Win",0,N(AX930))),N(AX930))</f>
        <v>0</v>
      </c>
      <c r="AY931" s="56" t="str">
        <f>IF($AS931=1,COUNTIF($AS$6:$AS931,1),"")</f>
        <v/>
      </c>
      <c r="AZ931" s="56">
        <f>MIN(925,N(Lists!$W$8))</f>
        <v>28</v>
      </c>
      <c r="BA931" s="56">
        <f>IF($AS931=1,IF(COUNTIFS($A$6:$A931,$A931,$AS$6:$AS931,1)=1,1,0),0)</f>
        <v>0</v>
      </c>
      <c r="BB931" s="55" t="str">
        <f>IF($BA931=1,SUMIFS($Q$6:$Q$1005,$A$6:$A$1005,$A931,$AS$6:$AS$1005,1),"")</f>
        <v/>
      </c>
      <c r="BC931" s="56">
        <f>IF(ISNUMBER($R931),1,0)</f>
        <v>0</v>
      </c>
      <c r="BD931" s="55" t="str">
        <f>IF(ISNUMBER($U931),$U931*$V931,"")</f>
        <v/>
      </c>
      <c r="BE931" s="56" t="str">
        <f>IF($AM931=0,"",IFERROR(MATCH($AF931&amp;"|"&amp;UPPER(TRIM($E931)),Lists!$A$6:$A$205,0),0))</f>
        <v/>
      </c>
      <c r="BF931" s="56" t="str">
        <f>IF($AM931=0,"",IFERROR(MATCH($AF931,Settings!$B$14:$B$18,0),IFERROR(MATCH(Settings!$C$6,Settings!$B$14:$B$18,0),1)))</f>
        <v/>
      </c>
      <c r="BG931" s="58" t="str">
        <f>IF($AM931=0,"",IF(NOT(ISNUMBER($I931)),"No stop; ","")&amp;IF(AND(ISNUMBER($H931),ISNUMBER($I931)),IF(OR(AND($F931&lt;&gt;"Short",$I931&gt;=$H931),AND($F931="Short",$I931&lt;=$H931)),"Stop on wrong side; ",""),"")&amp;IF($F931="","No direction; ","")&amp;IF(AND(ISNUMBER(Settings!$C$22),ISNUMBER($V931)),IF($V931&gt;Settings!$C$22,"Risk over max $; ",""),"")&amp;IF(AND(ISNUMBER(Settings!$C$23),ISNUMBER($V931),ISNUMBER($AP931),IFERROR(N(INDEX(Accounts!$E$7:$E$16,MATCH($C931,Accounts!$B$7:$B$16,0))),0)&gt;0),IF($V931&gt;Settings!$C$23*($AP931-N($Q931)),"Risk over max %; ",""),"")&amp;IF(AND(ISNUMBER(Settings!$C$24),ISNUMBER($N931)),IF($N931&gt;Settings!$C$24,"Leverage over max; ",""),"")&amp;IF(AND(ISNUMBER(Settings!$C$27),ISNUMBER($T931)),IF($T931&lt;Settings!$C$27,"R:R below min; ",""),"")&amp;IF(ISNUMBER(Settings!$C$25),IF(COUNTIFS($A$6:$A931,$A931,$AM$6:$AM931,1)&gt;Settings!$C$25,"Over max trades/day; ",""),"")&amp;IF(ISNUMBER(Settings!$C$26),IF(SUMIFS($Q$5:$Q930,$A$5:$A930,$A931)&lt;=-Settings!$C$26,"Traded after daily max loss; ",""),"")&amp;IF(AND($AG931="",NOT(ISNUMBER($O931))),"Symbol not in Instruments; ","")&amp;IF(AND($AH931="",NOT(ISNUMBER($O931))),"Forex cross: type Gross P&amp;L; ",""))</f>
        <v/>
      </c>
      <c r="BH931" s="56">
        <f>IF(ISNUMBER($Q931),1,0)</f>
        <v>0</v>
      </c>
      <c r="BI931" s="56">
        <f>IF($Y931="",0,1)</f>
        <v>0</v>
      </c>
      <c r="BJ931" s="56">
        <f>IF($AB931="",0,1)</f>
        <v>0</v>
      </c>
      <c r="BK931" s="56">
        <f>IF(AND($BH931=1,$W931&lt;&gt;"OK"),1,0)</f>
        <v>0</v>
      </c>
      <c r="BL931" s="55">
        <f>IF(N($AZ931)=0,0,IFERROR(INDEX($AT$6:$AT$1005,MATCH($AZ931,$AY$6:$AY$1005,0)),0))</f>
        <v>1187.10688</v>
      </c>
      <c r="BM931" s="56">
        <f>IF(ISNUMBER(SEARCH("daily max loss",$BG931)),1,0)</f>
        <v>0</v>
      </c>
    </row>
    <row r="932" ht="18" customHeight="1">
      <c r="A932" s="38" t="n"/>
      <c r="B932" s="39" t="n"/>
      <c r="C932" s="40" t="n"/>
      <c r="D932" s="41" t="n"/>
      <c r="E932" s="41" t="n"/>
      <c r="F932" s="41" t="n"/>
      <c r="G932" s="41" t="n"/>
      <c r="H932" s="42" t="n"/>
      <c r="I932" s="42" t="n"/>
      <c r="J932" s="42" t="n"/>
      <c r="K932" s="42" t="n"/>
      <c r="L932" s="41" t="n"/>
      <c r="M932" s="41" t="n"/>
      <c r="N932" s="41" t="n"/>
      <c r="O932" s="43" t="n"/>
      <c r="P932" s="43" t="n"/>
      <c r="Q932" s="44" t="str">
        <f>IF($AM932=0,"",IF(ISNUMBER($AK932),$AK932-N($AL932),""))</f>
        <v/>
      </c>
      <c r="R932" s="45" t="str">
        <f>IF(OR($Q932="",NOT(ISNUMBER($V932))),"",$AK932/$V932)</f>
        <v/>
      </c>
      <c r="S932" s="46" t="str">
        <f>IF($Q932="","",IF(AND(ISNUMBER($R932),ABS(N($R932))&lt;N(Settings!$C$8)),"Scratch",IF($Q932&gt;0,"Win",IF($Q932&lt;0,"Loss","Scratch"))))</f>
        <v/>
      </c>
      <c r="T932" s="47" t="str">
        <f>IF(OR($AM932=0,NOT(ISNUMBER($H932)),NOT(ISNUMBER($I932)),NOT(ISNUMBER($J932))),"",IF($H932=$I932,"",ROUND(ABS($J932-$H932)/ABS($H932-$I932),6)))</f>
        <v/>
      </c>
      <c r="U932" s="48" t="str">
        <f>IF(OR($S932&lt;&gt;"Win",NOT(ISNUMBER($T932)),NOT(ISNUMBER($R932))),"",MAX(0,$T932-$R932))</f>
        <v/>
      </c>
      <c r="V932" s="49" t="str">
        <f>IF(OR($AM932=0,NOT(ISNUMBER($H932)),NOT(ISNUMBER($I932)),NOT(ISNUMBER($G932))),"",IF(OR($AG932="",$AH932=""),"",IF(ROUND(ABS($H932-$I932)*ABS($G932)*$AG932*$AH932,6)=0,"",ROUND(ABS($H932-$I932)*ABS($G932)*$AG932*$AH932,6))))</f>
        <v/>
      </c>
      <c r="W932" s="50" t="str">
        <f>IF($AM932=0,"",IF($BG932="","OK",LEFT($BG932,LEN($BG932)-2)))</f>
        <v/>
      </c>
      <c r="X932" s="41" t="n"/>
      <c r="Y932" s="40" t="n"/>
      <c r="Z932" s="41" t="n"/>
      <c r="AA932" s="41" t="n"/>
      <c r="AB932" s="40" t="n"/>
      <c r="AC932" s="51" t="n"/>
      <c r="AD932" s="51" t="n"/>
      <c r="AE932" s="40" t="n"/>
      <c r="AF932" s="52" t="str">
        <f>IF($AM932=0,"",IF($D932&lt;&gt;"",$D932,IF(IFERROR(INDEX(Accounts!$C$7:$C$16,MATCH($C932,Accounts!$B$7:$B$16,0))&amp;"","")&lt;&gt;"",INDEX(Accounts!$C$7:$C$16,MATCH($C932,Accounts!$B$7:$B$16,0)),Settings!$C$6)))</f>
        <v/>
      </c>
      <c r="AG932" s="53" t="str">
        <f>IF($AM932=0,"",IF(AND($BE932&gt;0,N(INDEX(Instruments!$D$6:$D$205,MAX(1,$BE932)))&gt;0),INDEX(Instruments!$D$6:$D$205,MAX(1,$BE932)),IF(N(INDEX(Settings!$D$14:$D$18,$BF932))&gt;0,INDEX(Settings!$D$14:$D$18,$BF932),"")))</f>
        <v/>
      </c>
      <c r="AH932" s="54" t="str">
        <f>IF($AM932=0,"",IF($AF932&lt;&gt;"Forex",1,IF(MID(UPPER(SUBSTITUTE(TRIM($E932),"/","")),4,3)=UPPER(TRIM(Settings!$C$7)),1,IF(LEFT(UPPER(SUBSTITUTE(TRIM($E932),"/","")),3)=UPPER(TRIM(Settings!$C$7)),IF(AND(ISNUMBER($K932),N($K932)&lt;&gt;0),1/$K932,""),""))))</f>
        <v/>
      </c>
      <c r="AI932" s="55" t="str">
        <f>IF($AM932=0,"",IF(OR(NOT(ISNUMBER($H932)),NOT(ISNUMBER($K932)),NOT(ISNUMBER($G932)),$AG932="",$AH932=""),"",ROUND(($K932-$H932)*IF($F932="Short",-1,1)*$G932*$AG932*$AH932,6)))</f>
        <v/>
      </c>
      <c r="AJ932" s="55" t="str">
        <f>IF($AM932=0,"",IF(INDEX(Settings!$E$14:$E$18,$BF932)="% of notional",IF(OR($AG932="",NOT(ISNUMBER($H932)),NOT(ISNUMBER($G932))),"",ROUND(ABS($H932*$G932*$AG932*N($AH932))*IF($L932="Limit",N(INDEX(Settings!$G$14:$G$18,$BF932)),N(INDEX(Settings!$H$14:$H$18,$BF932)))+IF(ISNUMBER($K932),ABS($K932*$G932*$AG932*N($AH932))*IF($M932="Target",N(INDEX(Settings!$G$14:$G$18,$BF932)),N(INDEX(Settings!$H$14:$H$18,$BF932))),0),6)),IF(NOT(ISNUMBER($G932)),"",ROUND(ABS($G932)*2*IF(AND($BE932&gt;0,ISNUMBER(INDEX(Instruments!$G$6:$G$205,MAX(1,$BE932)))),INDEX(Instruments!$G$6:$G$205,MAX(1,$BE932)),N(INDEX(Settings!$F$14:$F$18,$BF932))),6))))</f>
        <v/>
      </c>
      <c r="AK932" s="55" t="str">
        <f>IF($AM932=0,"",IF(ISNUMBER($O932),$O932,$AI932))</f>
        <v/>
      </c>
      <c r="AL932" s="55" t="str">
        <f>IF($AM932=0,"",IF(ISNUMBER($P932),$P932,N($AJ932)))</f>
        <v/>
      </c>
      <c r="AM932" s="56">
        <f>IF(AND($A932&lt;&gt;"",$E932&lt;&gt;"",OR(AND(ISNUMBER($G932),ISNUMBER($H932),ISNUMBER($K932)),ISNUMBER($O932))),1,0)</f>
        <v>0</v>
      </c>
      <c r="AN932" s="57" t="str">
        <f>IF($A932="","",$A932-WEEKDAY($A932,3))</f>
        <v/>
      </c>
      <c r="AO932" s="56" t="str">
        <f>IF($A932="","",WEEKDAY($A932,2))</f>
        <v/>
      </c>
      <c r="AP932" s="55" t="str">
        <f>IF(OR($AM932=0,$C932=""),"",IFERROR(N(INDEX(Accounts!$E$7:$E$16,MATCH($C932,Accounts!$B$7:$B$16,0))),0)+SUMIFS($Q$6:$Q932,$C$6:$C932,$C932))</f>
        <v/>
      </c>
      <c r="AQ932" s="55" t="str">
        <f>IF(OR($AM932=0,$C932=""),"",SUMIFS($Q$6:$Q$1005,$C$6:$C$1005,$C932,$A$6:$A$1005,$A932))</f>
        <v/>
      </c>
      <c r="AR932" s="55" t="str">
        <f>IF(OR($AM932=0,$C932=""),"",IFERROR(N(INDEX(Accounts!$E$7:$E$16,MATCH($C932,Accounts!$B$7:$B$16,0))),0)+SUMIFS($Q$6:$Q$1005,$C$6:$C$1005,$C932,$A$6:$A$1005,"&lt;="&amp;$A932))</f>
        <v/>
      </c>
      <c r="AS932" s="56">
        <f>IF(OR($AM932=0,$Q932=""),0,IF(AND($A932&gt;=Lists!$W$6,$A932&lt;=Lists!$W$7,OR(Dashboard!$D$6="All accounts",$C932=Dashboard!$D$6),OR(Dashboard!$D$7="All markets",$AF932=Dashboard!$D$7)),1,0))</f>
        <v>0</v>
      </c>
      <c r="AT932" s="55">
        <f>IF($AS932=1,N(AT931)+$Q932,N(AT931))</f>
        <v>1187.10688</v>
      </c>
      <c r="AU932" s="55">
        <f>MAX(N(AU931),$AT932)</f>
        <v>1187.10688</v>
      </c>
      <c r="AV932" s="55">
        <f>$AT932-$AU932</f>
        <v>0</v>
      </c>
      <c r="AW932" s="56">
        <f>IF($AS932=1,IF($S932="Win",N(AW931)+1,IF($S932="Loss",0,N(AW931))),N(AW931))</f>
        <v>5</v>
      </c>
      <c r="AX932" s="56">
        <f>IF($AS932=1,IF($S932="Loss",N(AX931)+1,IF($S932="Win",0,N(AX931))),N(AX931))</f>
        <v>0</v>
      </c>
      <c r="AY932" s="56" t="str">
        <f>IF($AS932=1,COUNTIF($AS$6:$AS932,1),"")</f>
        <v/>
      </c>
      <c r="AZ932" s="56">
        <f>MIN(926,N(Lists!$W$8))</f>
        <v>28</v>
      </c>
      <c r="BA932" s="56">
        <f>IF($AS932=1,IF(COUNTIFS($A$6:$A932,$A932,$AS$6:$AS932,1)=1,1,0),0)</f>
        <v>0</v>
      </c>
      <c r="BB932" s="55" t="str">
        <f>IF($BA932=1,SUMIFS($Q$6:$Q$1005,$A$6:$A$1005,$A932,$AS$6:$AS$1005,1),"")</f>
        <v/>
      </c>
      <c r="BC932" s="56">
        <f>IF(ISNUMBER($R932),1,0)</f>
        <v>0</v>
      </c>
      <c r="BD932" s="55" t="str">
        <f>IF(ISNUMBER($U932),$U932*$V932,"")</f>
        <v/>
      </c>
      <c r="BE932" s="56" t="str">
        <f>IF($AM932=0,"",IFERROR(MATCH($AF932&amp;"|"&amp;UPPER(TRIM($E932)),Lists!$A$6:$A$205,0),0))</f>
        <v/>
      </c>
      <c r="BF932" s="56" t="str">
        <f>IF($AM932=0,"",IFERROR(MATCH($AF932,Settings!$B$14:$B$18,0),IFERROR(MATCH(Settings!$C$6,Settings!$B$14:$B$18,0),1)))</f>
        <v/>
      </c>
      <c r="BG932" s="58" t="str">
        <f>IF($AM932=0,"",IF(NOT(ISNUMBER($I932)),"No stop; ","")&amp;IF(AND(ISNUMBER($H932),ISNUMBER($I932)),IF(OR(AND($F932&lt;&gt;"Short",$I932&gt;=$H932),AND($F932="Short",$I932&lt;=$H932)),"Stop on wrong side; ",""),"")&amp;IF($F932="","No direction; ","")&amp;IF(AND(ISNUMBER(Settings!$C$22),ISNUMBER($V932)),IF($V932&gt;Settings!$C$22,"Risk over max $; ",""),"")&amp;IF(AND(ISNUMBER(Settings!$C$23),ISNUMBER($V932),ISNUMBER($AP932),IFERROR(N(INDEX(Accounts!$E$7:$E$16,MATCH($C932,Accounts!$B$7:$B$16,0))),0)&gt;0),IF($V932&gt;Settings!$C$23*($AP932-N($Q932)),"Risk over max %; ",""),"")&amp;IF(AND(ISNUMBER(Settings!$C$24),ISNUMBER($N932)),IF($N932&gt;Settings!$C$24,"Leverage over max; ",""),"")&amp;IF(AND(ISNUMBER(Settings!$C$27),ISNUMBER($T932)),IF($T932&lt;Settings!$C$27,"R:R below min; ",""),"")&amp;IF(ISNUMBER(Settings!$C$25),IF(COUNTIFS($A$6:$A932,$A932,$AM$6:$AM932,1)&gt;Settings!$C$25,"Over max trades/day; ",""),"")&amp;IF(ISNUMBER(Settings!$C$26),IF(SUMIFS($Q$5:$Q931,$A$5:$A931,$A932)&lt;=-Settings!$C$26,"Traded after daily max loss; ",""),"")&amp;IF(AND($AG932="",NOT(ISNUMBER($O932))),"Symbol not in Instruments; ","")&amp;IF(AND($AH932="",NOT(ISNUMBER($O932))),"Forex cross: type Gross P&amp;L; ",""))</f>
        <v/>
      </c>
      <c r="BH932" s="56">
        <f>IF(ISNUMBER($Q932),1,0)</f>
        <v>0</v>
      </c>
      <c r="BI932" s="56">
        <f>IF($Y932="",0,1)</f>
        <v>0</v>
      </c>
      <c r="BJ932" s="56">
        <f>IF($AB932="",0,1)</f>
        <v>0</v>
      </c>
      <c r="BK932" s="56">
        <f>IF(AND($BH932=1,$W932&lt;&gt;"OK"),1,0)</f>
        <v>0</v>
      </c>
      <c r="BL932" s="55">
        <f>IF(N($AZ932)=0,0,IFERROR(INDEX($AT$6:$AT$1005,MATCH($AZ932,$AY$6:$AY$1005,0)),0))</f>
        <v>1187.10688</v>
      </c>
      <c r="BM932" s="56">
        <f>IF(ISNUMBER(SEARCH("daily max loss",$BG932)),1,0)</f>
        <v>0</v>
      </c>
    </row>
    <row r="933" ht="18" customHeight="1">
      <c r="A933" s="38" t="n"/>
      <c r="B933" s="39" t="n"/>
      <c r="C933" s="40" t="n"/>
      <c r="D933" s="41" t="n"/>
      <c r="E933" s="41" t="n"/>
      <c r="F933" s="41" t="n"/>
      <c r="G933" s="41" t="n"/>
      <c r="H933" s="42" t="n"/>
      <c r="I933" s="42" t="n"/>
      <c r="J933" s="42" t="n"/>
      <c r="K933" s="42" t="n"/>
      <c r="L933" s="41" t="n"/>
      <c r="M933" s="41" t="n"/>
      <c r="N933" s="41" t="n"/>
      <c r="O933" s="43" t="n"/>
      <c r="P933" s="43" t="n"/>
      <c r="Q933" s="44" t="str">
        <f>IF($AM933=0,"",IF(ISNUMBER($AK933),$AK933-N($AL933),""))</f>
        <v/>
      </c>
      <c r="R933" s="45" t="str">
        <f>IF(OR($Q933="",NOT(ISNUMBER($V933))),"",$AK933/$V933)</f>
        <v/>
      </c>
      <c r="S933" s="46" t="str">
        <f>IF($Q933="","",IF(AND(ISNUMBER($R933),ABS(N($R933))&lt;N(Settings!$C$8)),"Scratch",IF($Q933&gt;0,"Win",IF($Q933&lt;0,"Loss","Scratch"))))</f>
        <v/>
      </c>
      <c r="T933" s="47" t="str">
        <f>IF(OR($AM933=0,NOT(ISNUMBER($H933)),NOT(ISNUMBER($I933)),NOT(ISNUMBER($J933))),"",IF($H933=$I933,"",ROUND(ABS($J933-$H933)/ABS($H933-$I933),6)))</f>
        <v/>
      </c>
      <c r="U933" s="48" t="str">
        <f>IF(OR($S933&lt;&gt;"Win",NOT(ISNUMBER($T933)),NOT(ISNUMBER($R933))),"",MAX(0,$T933-$R933))</f>
        <v/>
      </c>
      <c r="V933" s="49" t="str">
        <f>IF(OR($AM933=0,NOT(ISNUMBER($H933)),NOT(ISNUMBER($I933)),NOT(ISNUMBER($G933))),"",IF(OR($AG933="",$AH933=""),"",IF(ROUND(ABS($H933-$I933)*ABS($G933)*$AG933*$AH933,6)=0,"",ROUND(ABS($H933-$I933)*ABS($G933)*$AG933*$AH933,6))))</f>
        <v/>
      </c>
      <c r="W933" s="50" t="str">
        <f>IF($AM933=0,"",IF($BG933="","OK",LEFT($BG933,LEN($BG933)-2)))</f>
        <v/>
      </c>
      <c r="X933" s="41" t="n"/>
      <c r="Y933" s="40" t="n"/>
      <c r="Z933" s="41" t="n"/>
      <c r="AA933" s="41" t="n"/>
      <c r="AB933" s="40" t="n"/>
      <c r="AC933" s="51" t="n"/>
      <c r="AD933" s="51" t="n"/>
      <c r="AE933" s="40" t="n"/>
      <c r="AF933" s="52" t="str">
        <f>IF($AM933=0,"",IF($D933&lt;&gt;"",$D933,IF(IFERROR(INDEX(Accounts!$C$7:$C$16,MATCH($C933,Accounts!$B$7:$B$16,0))&amp;"","")&lt;&gt;"",INDEX(Accounts!$C$7:$C$16,MATCH($C933,Accounts!$B$7:$B$16,0)),Settings!$C$6)))</f>
        <v/>
      </c>
      <c r="AG933" s="53" t="str">
        <f>IF($AM933=0,"",IF(AND($BE933&gt;0,N(INDEX(Instruments!$D$6:$D$205,MAX(1,$BE933)))&gt;0),INDEX(Instruments!$D$6:$D$205,MAX(1,$BE933)),IF(N(INDEX(Settings!$D$14:$D$18,$BF933))&gt;0,INDEX(Settings!$D$14:$D$18,$BF933),"")))</f>
        <v/>
      </c>
      <c r="AH933" s="54" t="str">
        <f>IF($AM933=0,"",IF($AF933&lt;&gt;"Forex",1,IF(MID(UPPER(SUBSTITUTE(TRIM($E933),"/","")),4,3)=UPPER(TRIM(Settings!$C$7)),1,IF(LEFT(UPPER(SUBSTITUTE(TRIM($E933),"/","")),3)=UPPER(TRIM(Settings!$C$7)),IF(AND(ISNUMBER($K933),N($K933)&lt;&gt;0),1/$K933,""),""))))</f>
        <v/>
      </c>
      <c r="AI933" s="55" t="str">
        <f>IF($AM933=0,"",IF(OR(NOT(ISNUMBER($H933)),NOT(ISNUMBER($K933)),NOT(ISNUMBER($G933)),$AG933="",$AH933=""),"",ROUND(($K933-$H933)*IF($F933="Short",-1,1)*$G933*$AG933*$AH933,6)))</f>
        <v/>
      </c>
      <c r="AJ933" s="55" t="str">
        <f>IF($AM933=0,"",IF(INDEX(Settings!$E$14:$E$18,$BF933)="% of notional",IF(OR($AG933="",NOT(ISNUMBER($H933)),NOT(ISNUMBER($G933))),"",ROUND(ABS($H933*$G933*$AG933*N($AH933))*IF($L933="Limit",N(INDEX(Settings!$G$14:$G$18,$BF933)),N(INDEX(Settings!$H$14:$H$18,$BF933)))+IF(ISNUMBER($K933),ABS($K933*$G933*$AG933*N($AH933))*IF($M933="Target",N(INDEX(Settings!$G$14:$G$18,$BF933)),N(INDEX(Settings!$H$14:$H$18,$BF933))),0),6)),IF(NOT(ISNUMBER($G933)),"",ROUND(ABS($G933)*2*IF(AND($BE933&gt;0,ISNUMBER(INDEX(Instruments!$G$6:$G$205,MAX(1,$BE933)))),INDEX(Instruments!$G$6:$G$205,MAX(1,$BE933)),N(INDEX(Settings!$F$14:$F$18,$BF933))),6))))</f>
        <v/>
      </c>
      <c r="AK933" s="55" t="str">
        <f>IF($AM933=0,"",IF(ISNUMBER($O933),$O933,$AI933))</f>
        <v/>
      </c>
      <c r="AL933" s="55" t="str">
        <f>IF($AM933=0,"",IF(ISNUMBER($P933),$P933,N($AJ933)))</f>
        <v/>
      </c>
      <c r="AM933" s="56">
        <f>IF(AND($A933&lt;&gt;"",$E933&lt;&gt;"",OR(AND(ISNUMBER($G933),ISNUMBER($H933),ISNUMBER($K933)),ISNUMBER($O933))),1,0)</f>
        <v>0</v>
      </c>
      <c r="AN933" s="57" t="str">
        <f>IF($A933="","",$A933-WEEKDAY($A933,3))</f>
        <v/>
      </c>
      <c r="AO933" s="56" t="str">
        <f>IF($A933="","",WEEKDAY($A933,2))</f>
        <v/>
      </c>
      <c r="AP933" s="55" t="str">
        <f>IF(OR($AM933=0,$C933=""),"",IFERROR(N(INDEX(Accounts!$E$7:$E$16,MATCH($C933,Accounts!$B$7:$B$16,0))),0)+SUMIFS($Q$6:$Q933,$C$6:$C933,$C933))</f>
        <v/>
      </c>
      <c r="AQ933" s="55" t="str">
        <f>IF(OR($AM933=0,$C933=""),"",SUMIFS($Q$6:$Q$1005,$C$6:$C$1005,$C933,$A$6:$A$1005,$A933))</f>
        <v/>
      </c>
      <c r="AR933" s="55" t="str">
        <f>IF(OR($AM933=0,$C933=""),"",IFERROR(N(INDEX(Accounts!$E$7:$E$16,MATCH($C933,Accounts!$B$7:$B$16,0))),0)+SUMIFS($Q$6:$Q$1005,$C$6:$C$1005,$C933,$A$6:$A$1005,"&lt;="&amp;$A933))</f>
        <v/>
      </c>
      <c r="AS933" s="56">
        <f>IF(OR($AM933=0,$Q933=""),0,IF(AND($A933&gt;=Lists!$W$6,$A933&lt;=Lists!$W$7,OR(Dashboard!$D$6="All accounts",$C933=Dashboard!$D$6),OR(Dashboard!$D$7="All markets",$AF933=Dashboard!$D$7)),1,0))</f>
        <v>0</v>
      </c>
      <c r="AT933" s="55">
        <f>IF($AS933=1,N(AT932)+$Q933,N(AT932))</f>
        <v>1187.10688</v>
      </c>
      <c r="AU933" s="55">
        <f>MAX(N(AU932),$AT933)</f>
        <v>1187.10688</v>
      </c>
      <c r="AV933" s="55">
        <f>$AT933-$AU933</f>
        <v>0</v>
      </c>
      <c r="AW933" s="56">
        <f>IF($AS933=1,IF($S933="Win",N(AW932)+1,IF($S933="Loss",0,N(AW932))),N(AW932))</f>
        <v>5</v>
      </c>
      <c r="AX933" s="56">
        <f>IF($AS933=1,IF($S933="Loss",N(AX932)+1,IF($S933="Win",0,N(AX932))),N(AX932))</f>
        <v>0</v>
      </c>
      <c r="AY933" s="56" t="str">
        <f>IF($AS933=1,COUNTIF($AS$6:$AS933,1),"")</f>
        <v/>
      </c>
      <c r="AZ933" s="56">
        <f>MIN(927,N(Lists!$W$8))</f>
        <v>28</v>
      </c>
      <c r="BA933" s="56">
        <f>IF($AS933=1,IF(COUNTIFS($A$6:$A933,$A933,$AS$6:$AS933,1)=1,1,0),0)</f>
        <v>0</v>
      </c>
      <c r="BB933" s="55" t="str">
        <f>IF($BA933=1,SUMIFS($Q$6:$Q$1005,$A$6:$A$1005,$A933,$AS$6:$AS$1005,1),"")</f>
        <v/>
      </c>
      <c r="BC933" s="56">
        <f>IF(ISNUMBER($R933),1,0)</f>
        <v>0</v>
      </c>
      <c r="BD933" s="55" t="str">
        <f>IF(ISNUMBER($U933),$U933*$V933,"")</f>
        <v/>
      </c>
      <c r="BE933" s="56" t="str">
        <f>IF($AM933=0,"",IFERROR(MATCH($AF933&amp;"|"&amp;UPPER(TRIM($E933)),Lists!$A$6:$A$205,0),0))</f>
        <v/>
      </c>
      <c r="BF933" s="56" t="str">
        <f>IF($AM933=0,"",IFERROR(MATCH($AF933,Settings!$B$14:$B$18,0),IFERROR(MATCH(Settings!$C$6,Settings!$B$14:$B$18,0),1)))</f>
        <v/>
      </c>
      <c r="BG933" s="58" t="str">
        <f>IF($AM933=0,"",IF(NOT(ISNUMBER($I933)),"No stop; ","")&amp;IF(AND(ISNUMBER($H933),ISNUMBER($I933)),IF(OR(AND($F933&lt;&gt;"Short",$I933&gt;=$H933),AND($F933="Short",$I933&lt;=$H933)),"Stop on wrong side; ",""),"")&amp;IF($F933="","No direction; ","")&amp;IF(AND(ISNUMBER(Settings!$C$22),ISNUMBER($V933)),IF($V933&gt;Settings!$C$22,"Risk over max $; ",""),"")&amp;IF(AND(ISNUMBER(Settings!$C$23),ISNUMBER($V933),ISNUMBER($AP933),IFERROR(N(INDEX(Accounts!$E$7:$E$16,MATCH($C933,Accounts!$B$7:$B$16,0))),0)&gt;0),IF($V933&gt;Settings!$C$23*($AP933-N($Q933)),"Risk over max %; ",""),"")&amp;IF(AND(ISNUMBER(Settings!$C$24),ISNUMBER($N933)),IF($N933&gt;Settings!$C$24,"Leverage over max; ",""),"")&amp;IF(AND(ISNUMBER(Settings!$C$27),ISNUMBER($T933)),IF($T933&lt;Settings!$C$27,"R:R below min; ",""),"")&amp;IF(ISNUMBER(Settings!$C$25),IF(COUNTIFS($A$6:$A933,$A933,$AM$6:$AM933,1)&gt;Settings!$C$25,"Over max trades/day; ",""),"")&amp;IF(ISNUMBER(Settings!$C$26),IF(SUMIFS($Q$5:$Q932,$A$5:$A932,$A933)&lt;=-Settings!$C$26,"Traded after daily max loss; ",""),"")&amp;IF(AND($AG933="",NOT(ISNUMBER($O933))),"Symbol not in Instruments; ","")&amp;IF(AND($AH933="",NOT(ISNUMBER($O933))),"Forex cross: type Gross P&amp;L; ",""))</f>
        <v/>
      </c>
      <c r="BH933" s="56">
        <f>IF(ISNUMBER($Q933),1,0)</f>
        <v>0</v>
      </c>
      <c r="BI933" s="56">
        <f>IF($Y933="",0,1)</f>
        <v>0</v>
      </c>
      <c r="BJ933" s="56">
        <f>IF($AB933="",0,1)</f>
        <v>0</v>
      </c>
      <c r="BK933" s="56">
        <f>IF(AND($BH933=1,$W933&lt;&gt;"OK"),1,0)</f>
        <v>0</v>
      </c>
      <c r="BL933" s="55">
        <f>IF(N($AZ933)=0,0,IFERROR(INDEX($AT$6:$AT$1005,MATCH($AZ933,$AY$6:$AY$1005,0)),0))</f>
        <v>1187.10688</v>
      </c>
      <c r="BM933" s="56">
        <f>IF(ISNUMBER(SEARCH("daily max loss",$BG933)),1,0)</f>
        <v>0</v>
      </c>
    </row>
    <row r="934" ht="18" customHeight="1">
      <c r="A934" s="38" t="n"/>
      <c r="B934" s="39" t="n"/>
      <c r="C934" s="40" t="n"/>
      <c r="D934" s="41" t="n"/>
      <c r="E934" s="41" t="n"/>
      <c r="F934" s="41" t="n"/>
      <c r="G934" s="41" t="n"/>
      <c r="H934" s="42" t="n"/>
      <c r="I934" s="42" t="n"/>
      <c r="J934" s="42" t="n"/>
      <c r="K934" s="42" t="n"/>
      <c r="L934" s="41" t="n"/>
      <c r="M934" s="41" t="n"/>
      <c r="N934" s="41" t="n"/>
      <c r="O934" s="43" t="n"/>
      <c r="P934" s="43" t="n"/>
      <c r="Q934" s="44" t="str">
        <f>IF($AM934=0,"",IF(ISNUMBER($AK934),$AK934-N($AL934),""))</f>
        <v/>
      </c>
      <c r="R934" s="45" t="str">
        <f>IF(OR($Q934="",NOT(ISNUMBER($V934))),"",$AK934/$V934)</f>
        <v/>
      </c>
      <c r="S934" s="46" t="str">
        <f>IF($Q934="","",IF(AND(ISNUMBER($R934),ABS(N($R934))&lt;N(Settings!$C$8)),"Scratch",IF($Q934&gt;0,"Win",IF($Q934&lt;0,"Loss","Scratch"))))</f>
        <v/>
      </c>
      <c r="T934" s="47" t="str">
        <f>IF(OR($AM934=0,NOT(ISNUMBER($H934)),NOT(ISNUMBER($I934)),NOT(ISNUMBER($J934))),"",IF($H934=$I934,"",ROUND(ABS($J934-$H934)/ABS($H934-$I934),6)))</f>
        <v/>
      </c>
      <c r="U934" s="48" t="str">
        <f>IF(OR($S934&lt;&gt;"Win",NOT(ISNUMBER($T934)),NOT(ISNUMBER($R934))),"",MAX(0,$T934-$R934))</f>
        <v/>
      </c>
      <c r="V934" s="49" t="str">
        <f>IF(OR($AM934=0,NOT(ISNUMBER($H934)),NOT(ISNUMBER($I934)),NOT(ISNUMBER($G934))),"",IF(OR($AG934="",$AH934=""),"",IF(ROUND(ABS($H934-$I934)*ABS($G934)*$AG934*$AH934,6)=0,"",ROUND(ABS($H934-$I934)*ABS($G934)*$AG934*$AH934,6))))</f>
        <v/>
      </c>
      <c r="W934" s="50" t="str">
        <f>IF($AM934=0,"",IF($BG934="","OK",LEFT($BG934,LEN($BG934)-2)))</f>
        <v/>
      </c>
      <c r="X934" s="41" t="n"/>
      <c r="Y934" s="40" t="n"/>
      <c r="Z934" s="41" t="n"/>
      <c r="AA934" s="41" t="n"/>
      <c r="AB934" s="40" t="n"/>
      <c r="AC934" s="51" t="n"/>
      <c r="AD934" s="51" t="n"/>
      <c r="AE934" s="40" t="n"/>
      <c r="AF934" s="52" t="str">
        <f>IF($AM934=0,"",IF($D934&lt;&gt;"",$D934,IF(IFERROR(INDEX(Accounts!$C$7:$C$16,MATCH($C934,Accounts!$B$7:$B$16,0))&amp;"","")&lt;&gt;"",INDEX(Accounts!$C$7:$C$16,MATCH($C934,Accounts!$B$7:$B$16,0)),Settings!$C$6)))</f>
        <v/>
      </c>
      <c r="AG934" s="53" t="str">
        <f>IF($AM934=0,"",IF(AND($BE934&gt;0,N(INDEX(Instruments!$D$6:$D$205,MAX(1,$BE934)))&gt;0),INDEX(Instruments!$D$6:$D$205,MAX(1,$BE934)),IF(N(INDEX(Settings!$D$14:$D$18,$BF934))&gt;0,INDEX(Settings!$D$14:$D$18,$BF934),"")))</f>
        <v/>
      </c>
      <c r="AH934" s="54" t="str">
        <f>IF($AM934=0,"",IF($AF934&lt;&gt;"Forex",1,IF(MID(UPPER(SUBSTITUTE(TRIM($E934),"/","")),4,3)=UPPER(TRIM(Settings!$C$7)),1,IF(LEFT(UPPER(SUBSTITUTE(TRIM($E934),"/","")),3)=UPPER(TRIM(Settings!$C$7)),IF(AND(ISNUMBER($K934),N($K934)&lt;&gt;0),1/$K934,""),""))))</f>
        <v/>
      </c>
      <c r="AI934" s="55" t="str">
        <f>IF($AM934=0,"",IF(OR(NOT(ISNUMBER($H934)),NOT(ISNUMBER($K934)),NOT(ISNUMBER($G934)),$AG934="",$AH934=""),"",ROUND(($K934-$H934)*IF($F934="Short",-1,1)*$G934*$AG934*$AH934,6)))</f>
        <v/>
      </c>
      <c r="AJ934" s="55" t="str">
        <f>IF($AM934=0,"",IF(INDEX(Settings!$E$14:$E$18,$BF934)="% of notional",IF(OR($AG934="",NOT(ISNUMBER($H934)),NOT(ISNUMBER($G934))),"",ROUND(ABS($H934*$G934*$AG934*N($AH934))*IF($L934="Limit",N(INDEX(Settings!$G$14:$G$18,$BF934)),N(INDEX(Settings!$H$14:$H$18,$BF934)))+IF(ISNUMBER($K934),ABS($K934*$G934*$AG934*N($AH934))*IF($M934="Target",N(INDEX(Settings!$G$14:$G$18,$BF934)),N(INDEX(Settings!$H$14:$H$18,$BF934))),0),6)),IF(NOT(ISNUMBER($G934)),"",ROUND(ABS($G934)*2*IF(AND($BE934&gt;0,ISNUMBER(INDEX(Instruments!$G$6:$G$205,MAX(1,$BE934)))),INDEX(Instruments!$G$6:$G$205,MAX(1,$BE934)),N(INDEX(Settings!$F$14:$F$18,$BF934))),6))))</f>
        <v/>
      </c>
      <c r="AK934" s="55" t="str">
        <f>IF($AM934=0,"",IF(ISNUMBER($O934),$O934,$AI934))</f>
        <v/>
      </c>
      <c r="AL934" s="55" t="str">
        <f>IF($AM934=0,"",IF(ISNUMBER($P934),$P934,N($AJ934)))</f>
        <v/>
      </c>
      <c r="AM934" s="56">
        <f>IF(AND($A934&lt;&gt;"",$E934&lt;&gt;"",OR(AND(ISNUMBER($G934),ISNUMBER($H934),ISNUMBER($K934)),ISNUMBER($O934))),1,0)</f>
        <v>0</v>
      </c>
      <c r="AN934" s="57" t="str">
        <f>IF($A934="","",$A934-WEEKDAY($A934,3))</f>
        <v/>
      </c>
      <c r="AO934" s="56" t="str">
        <f>IF($A934="","",WEEKDAY($A934,2))</f>
        <v/>
      </c>
      <c r="AP934" s="55" t="str">
        <f>IF(OR($AM934=0,$C934=""),"",IFERROR(N(INDEX(Accounts!$E$7:$E$16,MATCH($C934,Accounts!$B$7:$B$16,0))),0)+SUMIFS($Q$6:$Q934,$C$6:$C934,$C934))</f>
        <v/>
      </c>
      <c r="AQ934" s="55" t="str">
        <f>IF(OR($AM934=0,$C934=""),"",SUMIFS($Q$6:$Q$1005,$C$6:$C$1005,$C934,$A$6:$A$1005,$A934))</f>
        <v/>
      </c>
      <c r="AR934" s="55" t="str">
        <f>IF(OR($AM934=0,$C934=""),"",IFERROR(N(INDEX(Accounts!$E$7:$E$16,MATCH($C934,Accounts!$B$7:$B$16,0))),0)+SUMIFS($Q$6:$Q$1005,$C$6:$C$1005,$C934,$A$6:$A$1005,"&lt;="&amp;$A934))</f>
        <v/>
      </c>
      <c r="AS934" s="56">
        <f>IF(OR($AM934=0,$Q934=""),0,IF(AND($A934&gt;=Lists!$W$6,$A934&lt;=Lists!$W$7,OR(Dashboard!$D$6="All accounts",$C934=Dashboard!$D$6),OR(Dashboard!$D$7="All markets",$AF934=Dashboard!$D$7)),1,0))</f>
        <v>0</v>
      </c>
      <c r="AT934" s="55">
        <f>IF($AS934=1,N(AT933)+$Q934,N(AT933))</f>
        <v>1187.10688</v>
      </c>
      <c r="AU934" s="55">
        <f>MAX(N(AU933),$AT934)</f>
        <v>1187.10688</v>
      </c>
      <c r="AV934" s="55">
        <f>$AT934-$AU934</f>
        <v>0</v>
      </c>
      <c r="AW934" s="56">
        <f>IF($AS934=1,IF($S934="Win",N(AW933)+1,IF($S934="Loss",0,N(AW933))),N(AW933))</f>
        <v>5</v>
      </c>
      <c r="AX934" s="56">
        <f>IF($AS934=1,IF($S934="Loss",N(AX933)+1,IF($S934="Win",0,N(AX933))),N(AX933))</f>
        <v>0</v>
      </c>
      <c r="AY934" s="56" t="str">
        <f>IF($AS934=1,COUNTIF($AS$6:$AS934,1),"")</f>
        <v/>
      </c>
      <c r="AZ934" s="56">
        <f>MIN(928,N(Lists!$W$8))</f>
        <v>28</v>
      </c>
      <c r="BA934" s="56">
        <f>IF($AS934=1,IF(COUNTIFS($A$6:$A934,$A934,$AS$6:$AS934,1)=1,1,0),0)</f>
        <v>0</v>
      </c>
      <c r="BB934" s="55" t="str">
        <f>IF($BA934=1,SUMIFS($Q$6:$Q$1005,$A$6:$A$1005,$A934,$AS$6:$AS$1005,1),"")</f>
        <v/>
      </c>
      <c r="BC934" s="56">
        <f>IF(ISNUMBER($R934),1,0)</f>
        <v>0</v>
      </c>
      <c r="BD934" s="55" t="str">
        <f>IF(ISNUMBER($U934),$U934*$V934,"")</f>
        <v/>
      </c>
      <c r="BE934" s="56" t="str">
        <f>IF($AM934=0,"",IFERROR(MATCH($AF934&amp;"|"&amp;UPPER(TRIM($E934)),Lists!$A$6:$A$205,0),0))</f>
        <v/>
      </c>
      <c r="BF934" s="56" t="str">
        <f>IF($AM934=0,"",IFERROR(MATCH($AF934,Settings!$B$14:$B$18,0),IFERROR(MATCH(Settings!$C$6,Settings!$B$14:$B$18,0),1)))</f>
        <v/>
      </c>
      <c r="BG934" s="58" t="str">
        <f>IF($AM934=0,"",IF(NOT(ISNUMBER($I934)),"No stop; ","")&amp;IF(AND(ISNUMBER($H934),ISNUMBER($I934)),IF(OR(AND($F934&lt;&gt;"Short",$I934&gt;=$H934),AND($F934="Short",$I934&lt;=$H934)),"Stop on wrong side; ",""),"")&amp;IF($F934="","No direction; ","")&amp;IF(AND(ISNUMBER(Settings!$C$22),ISNUMBER($V934)),IF($V934&gt;Settings!$C$22,"Risk over max $; ",""),"")&amp;IF(AND(ISNUMBER(Settings!$C$23),ISNUMBER($V934),ISNUMBER($AP934),IFERROR(N(INDEX(Accounts!$E$7:$E$16,MATCH($C934,Accounts!$B$7:$B$16,0))),0)&gt;0),IF($V934&gt;Settings!$C$23*($AP934-N($Q934)),"Risk over max %; ",""),"")&amp;IF(AND(ISNUMBER(Settings!$C$24),ISNUMBER($N934)),IF($N934&gt;Settings!$C$24,"Leverage over max; ",""),"")&amp;IF(AND(ISNUMBER(Settings!$C$27),ISNUMBER($T934)),IF($T934&lt;Settings!$C$27,"R:R below min; ",""),"")&amp;IF(ISNUMBER(Settings!$C$25),IF(COUNTIFS($A$6:$A934,$A934,$AM$6:$AM934,1)&gt;Settings!$C$25,"Over max trades/day; ",""),"")&amp;IF(ISNUMBER(Settings!$C$26),IF(SUMIFS($Q$5:$Q933,$A$5:$A933,$A934)&lt;=-Settings!$C$26,"Traded after daily max loss; ",""),"")&amp;IF(AND($AG934="",NOT(ISNUMBER($O934))),"Symbol not in Instruments; ","")&amp;IF(AND($AH934="",NOT(ISNUMBER($O934))),"Forex cross: type Gross P&amp;L; ",""))</f>
        <v/>
      </c>
      <c r="BH934" s="56">
        <f>IF(ISNUMBER($Q934),1,0)</f>
        <v>0</v>
      </c>
      <c r="BI934" s="56">
        <f>IF($Y934="",0,1)</f>
        <v>0</v>
      </c>
      <c r="BJ934" s="56">
        <f>IF($AB934="",0,1)</f>
        <v>0</v>
      </c>
      <c r="BK934" s="56">
        <f>IF(AND($BH934=1,$W934&lt;&gt;"OK"),1,0)</f>
        <v>0</v>
      </c>
      <c r="BL934" s="55">
        <f>IF(N($AZ934)=0,0,IFERROR(INDEX($AT$6:$AT$1005,MATCH($AZ934,$AY$6:$AY$1005,0)),0))</f>
        <v>1187.10688</v>
      </c>
      <c r="BM934" s="56">
        <f>IF(ISNUMBER(SEARCH("daily max loss",$BG934)),1,0)</f>
        <v>0</v>
      </c>
    </row>
    <row r="935" ht="18" customHeight="1">
      <c r="A935" s="38" t="n"/>
      <c r="B935" s="39" t="n"/>
      <c r="C935" s="40" t="n"/>
      <c r="D935" s="41" t="n"/>
      <c r="E935" s="41" t="n"/>
      <c r="F935" s="41" t="n"/>
      <c r="G935" s="41" t="n"/>
      <c r="H935" s="42" t="n"/>
      <c r="I935" s="42" t="n"/>
      <c r="J935" s="42" t="n"/>
      <c r="K935" s="42" t="n"/>
      <c r="L935" s="41" t="n"/>
      <c r="M935" s="41" t="n"/>
      <c r="N935" s="41" t="n"/>
      <c r="O935" s="43" t="n"/>
      <c r="P935" s="43" t="n"/>
      <c r="Q935" s="44" t="str">
        <f>IF($AM935=0,"",IF(ISNUMBER($AK935),$AK935-N($AL935),""))</f>
        <v/>
      </c>
      <c r="R935" s="45" t="str">
        <f>IF(OR($Q935="",NOT(ISNUMBER($V935))),"",$AK935/$V935)</f>
        <v/>
      </c>
      <c r="S935" s="46" t="str">
        <f>IF($Q935="","",IF(AND(ISNUMBER($R935),ABS(N($R935))&lt;N(Settings!$C$8)),"Scratch",IF($Q935&gt;0,"Win",IF($Q935&lt;0,"Loss","Scratch"))))</f>
        <v/>
      </c>
      <c r="T935" s="47" t="str">
        <f>IF(OR($AM935=0,NOT(ISNUMBER($H935)),NOT(ISNUMBER($I935)),NOT(ISNUMBER($J935))),"",IF($H935=$I935,"",ROUND(ABS($J935-$H935)/ABS($H935-$I935),6)))</f>
        <v/>
      </c>
      <c r="U935" s="48" t="str">
        <f>IF(OR($S935&lt;&gt;"Win",NOT(ISNUMBER($T935)),NOT(ISNUMBER($R935))),"",MAX(0,$T935-$R935))</f>
        <v/>
      </c>
      <c r="V935" s="49" t="str">
        <f>IF(OR($AM935=0,NOT(ISNUMBER($H935)),NOT(ISNUMBER($I935)),NOT(ISNUMBER($G935))),"",IF(OR($AG935="",$AH935=""),"",IF(ROUND(ABS($H935-$I935)*ABS($G935)*$AG935*$AH935,6)=0,"",ROUND(ABS($H935-$I935)*ABS($G935)*$AG935*$AH935,6))))</f>
        <v/>
      </c>
      <c r="W935" s="50" t="str">
        <f>IF($AM935=0,"",IF($BG935="","OK",LEFT($BG935,LEN($BG935)-2)))</f>
        <v/>
      </c>
      <c r="X935" s="41" t="n"/>
      <c r="Y935" s="40" t="n"/>
      <c r="Z935" s="41" t="n"/>
      <c r="AA935" s="41" t="n"/>
      <c r="AB935" s="40" t="n"/>
      <c r="AC935" s="51" t="n"/>
      <c r="AD935" s="51" t="n"/>
      <c r="AE935" s="40" t="n"/>
      <c r="AF935" s="52" t="str">
        <f>IF($AM935=0,"",IF($D935&lt;&gt;"",$D935,IF(IFERROR(INDEX(Accounts!$C$7:$C$16,MATCH($C935,Accounts!$B$7:$B$16,0))&amp;"","")&lt;&gt;"",INDEX(Accounts!$C$7:$C$16,MATCH($C935,Accounts!$B$7:$B$16,0)),Settings!$C$6)))</f>
        <v/>
      </c>
      <c r="AG935" s="53" t="str">
        <f>IF($AM935=0,"",IF(AND($BE935&gt;0,N(INDEX(Instruments!$D$6:$D$205,MAX(1,$BE935)))&gt;0),INDEX(Instruments!$D$6:$D$205,MAX(1,$BE935)),IF(N(INDEX(Settings!$D$14:$D$18,$BF935))&gt;0,INDEX(Settings!$D$14:$D$18,$BF935),"")))</f>
        <v/>
      </c>
      <c r="AH935" s="54" t="str">
        <f>IF($AM935=0,"",IF($AF935&lt;&gt;"Forex",1,IF(MID(UPPER(SUBSTITUTE(TRIM($E935),"/","")),4,3)=UPPER(TRIM(Settings!$C$7)),1,IF(LEFT(UPPER(SUBSTITUTE(TRIM($E935),"/","")),3)=UPPER(TRIM(Settings!$C$7)),IF(AND(ISNUMBER($K935),N($K935)&lt;&gt;0),1/$K935,""),""))))</f>
        <v/>
      </c>
      <c r="AI935" s="55" t="str">
        <f>IF($AM935=0,"",IF(OR(NOT(ISNUMBER($H935)),NOT(ISNUMBER($K935)),NOT(ISNUMBER($G935)),$AG935="",$AH935=""),"",ROUND(($K935-$H935)*IF($F935="Short",-1,1)*$G935*$AG935*$AH935,6)))</f>
        <v/>
      </c>
      <c r="AJ935" s="55" t="str">
        <f>IF($AM935=0,"",IF(INDEX(Settings!$E$14:$E$18,$BF935)="% of notional",IF(OR($AG935="",NOT(ISNUMBER($H935)),NOT(ISNUMBER($G935))),"",ROUND(ABS($H935*$G935*$AG935*N($AH935))*IF($L935="Limit",N(INDEX(Settings!$G$14:$G$18,$BF935)),N(INDEX(Settings!$H$14:$H$18,$BF935)))+IF(ISNUMBER($K935),ABS($K935*$G935*$AG935*N($AH935))*IF($M935="Target",N(INDEX(Settings!$G$14:$G$18,$BF935)),N(INDEX(Settings!$H$14:$H$18,$BF935))),0),6)),IF(NOT(ISNUMBER($G935)),"",ROUND(ABS($G935)*2*IF(AND($BE935&gt;0,ISNUMBER(INDEX(Instruments!$G$6:$G$205,MAX(1,$BE935)))),INDEX(Instruments!$G$6:$G$205,MAX(1,$BE935)),N(INDEX(Settings!$F$14:$F$18,$BF935))),6))))</f>
        <v/>
      </c>
      <c r="AK935" s="55" t="str">
        <f>IF($AM935=0,"",IF(ISNUMBER($O935),$O935,$AI935))</f>
        <v/>
      </c>
      <c r="AL935" s="55" t="str">
        <f>IF($AM935=0,"",IF(ISNUMBER($P935),$P935,N($AJ935)))</f>
        <v/>
      </c>
      <c r="AM935" s="56">
        <f>IF(AND($A935&lt;&gt;"",$E935&lt;&gt;"",OR(AND(ISNUMBER($G935),ISNUMBER($H935),ISNUMBER($K935)),ISNUMBER($O935))),1,0)</f>
        <v>0</v>
      </c>
      <c r="AN935" s="57" t="str">
        <f>IF($A935="","",$A935-WEEKDAY($A935,3))</f>
        <v/>
      </c>
      <c r="AO935" s="56" t="str">
        <f>IF($A935="","",WEEKDAY($A935,2))</f>
        <v/>
      </c>
      <c r="AP935" s="55" t="str">
        <f>IF(OR($AM935=0,$C935=""),"",IFERROR(N(INDEX(Accounts!$E$7:$E$16,MATCH($C935,Accounts!$B$7:$B$16,0))),0)+SUMIFS($Q$6:$Q935,$C$6:$C935,$C935))</f>
        <v/>
      </c>
      <c r="AQ935" s="55" t="str">
        <f>IF(OR($AM935=0,$C935=""),"",SUMIFS($Q$6:$Q$1005,$C$6:$C$1005,$C935,$A$6:$A$1005,$A935))</f>
        <v/>
      </c>
      <c r="AR935" s="55" t="str">
        <f>IF(OR($AM935=0,$C935=""),"",IFERROR(N(INDEX(Accounts!$E$7:$E$16,MATCH($C935,Accounts!$B$7:$B$16,0))),0)+SUMIFS($Q$6:$Q$1005,$C$6:$C$1005,$C935,$A$6:$A$1005,"&lt;="&amp;$A935))</f>
        <v/>
      </c>
      <c r="AS935" s="56">
        <f>IF(OR($AM935=0,$Q935=""),0,IF(AND($A935&gt;=Lists!$W$6,$A935&lt;=Lists!$W$7,OR(Dashboard!$D$6="All accounts",$C935=Dashboard!$D$6),OR(Dashboard!$D$7="All markets",$AF935=Dashboard!$D$7)),1,0))</f>
        <v>0</v>
      </c>
      <c r="AT935" s="55">
        <f>IF($AS935=1,N(AT934)+$Q935,N(AT934))</f>
        <v>1187.10688</v>
      </c>
      <c r="AU935" s="55">
        <f>MAX(N(AU934),$AT935)</f>
        <v>1187.10688</v>
      </c>
      <c r="AV935" s="55">
        <f>$AT935-$AU935</f>
        <v>0</v>
      </c>
      <c r="AW935" s="56">
        <f>IF($AS935=1,IF($S935="Win",N(AW934)+1,IF($S935="Loss",0,N(AW934))),N(AW934))</f>
        <v>5</v>
      </c>
      <c r="AX935" s="56">
        <f>IF($AS935=1,IF($S935="Loss",N(AX934)+1,IF($S935="Win",0,N(AX934))),N(AX934))</f>
        <v>0</v>
      </c>
      <c r="AY935" s="56" t="str">
        <f>IF($AS935=1,COUNTIF($AS$6:$AS935,1),"")</f>
        <v/>
      </c>
      <c r="AZ935" s="56">
        <f>MIN(929,N(Lists!$W$8))</f>
        <v>28</v>
      </c>
      <c r="BA935" s="56">
        <f>IF($AS935=1,IF(COUNTIFS($A$6:$A935,$A935,$AS$6:$AS935,1)=1,1,0),0)</f>
        <v>0</v>
      </c>
      <c r="BB935" s="55" t="str">
        <f>IF($BA935=1,SUMIFS($Q$6:$Q$1005,$A$6:$A$1005,$A935,$AS$6:$AS$1005,1),"")</f>
        <v/>
      </c>
      <c r="BC935" s="56">
        <f>IF(ISNUMBER($R935),1,0)</f>
        <v>0</v>
      </c>
      <c r="BD935" s="55" t="str">
        <f>IF(ISNUMBER($U935),$U935*$V935,"")</f>
        <v/>
      </c>
      <c r="BE935" s="56" t="str">
        <f>IF($AM935=0,"",IFERROR(MATCH($AF935&amp;"|"&amp;UPPER(TRIM($E935)),Lists!$A$6:$A$205,0),0))</f>
        <v/>
      </c>
      <c r="BF935" s="56" t="str">
        <f>IF($AM935=0,"",IFERROR(MATCH($AF935,Settings!$B$14:$B$18,0),IFERROR(MATCH(Settings!$C$6,Settings!$B$14:$B$18,0),1)))</f>
        <v/>
      </c>
      <c r="BG935" s="58" t="str">
        <f>IF($AM935=0,"",IF(NOT(ISNUMBER($I935)),"No stop; ","")&amp;IF(AND(ISNUMBER($H935),ISNUMBER($I935)),IF(OR(AND($F935&lt;&gt;"Short",$I935&gt;=$H935),AND($F935="Short",$I935&lt;=$H935)),"Stop on wrong side; ",""),"")&amp;IF($F935="","No direction; ","")&amp;IF(AND(ISNUMBER(Settings!$C$22),ISNUMBER($V935)),IF($V935&gt;Settings!$C$22,"Risk over max $; ",""),"")&amp;IF(AND(ISNUMBER(Settings!$C$23),ISNUMBER($V935),ISNUMBER($AP935),IFERROR(N(INDEX(Accounts!$E$7:$E$16,MATCH($C935,Accounts!$B$7:$B$16,0))),0)&gt;0),IF($V935&gt;Settings!$C$23*($AP935-N($Q935)),"Risk over max %; ",""),"")&amp;IF(AND(ISNUMBER(Settings!$C$24),ISNUMBER($N935)),IF($N935&gt;Settings!$C$24,"Leverage over max; ",""),"")&amp;IF(AND(ISNUMBER(Settings!$C$27),ISNUMBER($T935)),IF($T935&lt;Settings!$C$27,"R:R below min; ",""),"")&amp;IF(ISNUMBER(Settings!$C$25),IF(COUNTIFS($A$6:$A935,$A935,$AM$6:$AM935,1)&gt;Settings!$C$25,"Over max trades/day; ",""),"")&amp;IF(ISNUMBER(Settings!$C$26),IF(SUMIFS($Q$5:$Q934,$A$5:$A934,$A935)&lt;=-Settings!$C$26,"Traded after daily max loss; ",""),"")&amp;IF(AND($AG935="",NOT(ISNUMBER($O935))),"Symbol not in Instruments; ","")&amp;IF(AND($AH935="",NOT(ISNUMBER($O935))),"Forex cross: type Gross P&amp;L; ",""))</f>
        <v/>
      </c>
      <c r="BH935" s="56">
        <f>IF(ISNUMBER($Q935),1,0)</f>
        <v>0</v>
      </c>
      <c r="BI935" s="56">
        <f>IF($Y935="",0,1)</f>
        <v>0</v>
      </c>
      <c r="BJ935" s="56">
        <f>IF($AB935="",0,1)</f>
        <v>0</v>
      </c>
      <c r="BK935" s="56">
        <f>IF(AND($BH935=1,$W935&lt;&gt;"OK"),1,0)</f>
        <v>0</v>
      </c>
      <c r="BL935" s="55">
        <f>IF(N($AZ935)=0,0,IFERROR(INDEX($AT$6:$AT$1005,MATCH($AZ935,$AY$6:$AY$1005,0)),0))</f>
        <v>1187.10688</v>
      </c>
      <c r="BM935" s="56">
        <f>IF(ISNUMBER(SEARCH("daily max loss",$BG935)),1,0)</f>
        <v>0</v>
      </c>
    </row>
    <row r="936" ht="18" customHeight="1">
      <c r="A936" s="38" t="n"/>
      <c r="B936" s="39" t="n"/>
      <c r="C936" s="40" t="n"/>
      <c r="D936" s="41" t="n"/>
      <c r="E936" s="41" t="n"/>
      <c r="F936" s="41" t="n"/>
      <c r="G936" s="41" t="n"/>
      <c r="H936" s="42" t="n"/>
      <c r="I936" s="42" t="n"/>
      <c r="J936" s="42" t="n"/>
      <c r="K936" s="42" t="n"/>
      <c r="L936" s="41" t="n"/>
      <c r="M936" s="41" t="n"/>
      <c r="N936" s="41" t="n"/>
      <c r="O936" s="43" t="n"/>
      <c r="P936" s="43" t="n"/>
      <c r="Q936" s="44" t="str">
        <f>IF($AM936=0,"",IF(ISNUMBER($AK936),$AK936-N($AL936),""))</f>
        <v/>
      </c>
      <c r="R936" s="45" t="str">
        <f>IF(OR($Q936="",NOT(ISNUMBER($V936))),"",$AK936/$V936)</f>
        <v/>
      </c>
      <c r="S936" s="46" t="str">
        <f>IF($Q936="","",IF(AND(ISNUMBER($R936),ABS(N($R936))&lt;N(Settings!$C$8)),"Scratch",IF($Q936&gt;0,"Win",IF($Q936&lt;0,"Loss","Scratch"))))</f>
        <v/>
      </c>
      <c r="T936" s="47" t="str">
        <f>IF(OR($AM936=0,NOT(ISNUMBER($H936)),NOT(ISNUMBER($I936)),NOT(ISNUMBER($J936))),"",IF($H936=$I936,"",ROUND(ABS($J936-$H936)/ABS($H936-$I936),6)))</f>
        <v/>
      </c>
      <c r="U936" s="48" t="str">
        <f>IF(OR($S936&lt;&gt;"Win",NOT(ISNUMBER($T936)),NOT(ISNUMBER($R936))),"",MAX(0,$T936-$R936))</f>
        <v/>
      </c>
      <c r="V936" s="49" t="str">
        <f>IF(OR($AM936=0,NOT(ISNUMBER($H936)),NOT(ISNUMBER($I936)),NOT(ISNUMBER($G936))),"",IF(OR($AG936="",$AH936=""),"",IF(ROUND(ABS($H936-$I936)*ABS($G936)*$AG936*$AH936,6)=0,"",ROUND(ABS($H936-$I936)*ABS($G936)*$AG936*$AH936,6))))</f>
        <v/>
      </c>
      <c r="W936" s="50" t="str">
        <f>IF($AM936=0,"",IF($BG936="","OK",LEFT($BG936,LEN($BG936)-2)))</f>
        <v/>
      </c>
      <c r="X936" s="41" t="n"/>
      <c r="Y936" s="40" t="n"/>
      <c r="Z936" s="41" t="n"/>
      <c r="AA936" s="41" t="n"/>
      <c r="AB936" s="40" t="n"/>
      <c r="AC936" s="51" t="n"/>
      <c r="AD936" s="51" t="n"/>
      <c r="AE936" s="40" t="n"/>
      <c r="AF936" s="52" t="str">
        <f>IF($AM936=0,"",IF($D936&lt;&gt;"",$D936,IF(IFERROR(INDEX(Accounts!$C$7:$C$16,MATCH($C936,Accounts!$B$7:$B$16,0))&amp;"","")&lt;&gt;"",INDEX(Accounts!$C$7:$C$16,MATCH($C936,Accounts!$B$7:$B$16,0)),Settings!$C$6)))</f>
        <v/>
      </c>
      <c r="AG936" s="53" t="str">
        <f>IF($AM936=0,"",IF(AND($BE936&gt;0,N(INDEX(Instruments!$D$6:$D$205,MAX(1,$BE936)))&gt;0),INDEX(Instruments!$D$6:$D$205,MAX(1,$BE936)),IF(N(INDEX(Settings!$D$14:$D$18,$BF936))&gt;0,INDEX(Settings!$D$14:$D$18,$BF936),"")))</f>
        <v/>
      </c>
      <c r="AH936" s="54" t="str">
        <f>IF($AM936=0,"",IF($AF936&lt;&gt;"Forex",1,IF(MID(UPPER(SUBSTITUTE(TRIM($E936),"/","")),4,3)=UPPER(TRIM(Settings!$C$7)),1,IF(LEFT(UPPER(SUBSTITUTE(TRIM($E936),"/","")),3)=UPPER(TRIM(Settings!$C$7)),IF(AND(ISNUMBER($K936),N($K936)&lt;&gt;0),1/$K936,""),""))))</f>
        <v/>
      </c>
      <c r="AI936" s="55" t="str">
        <f>IF($AM936=0,"",IF(OR(NOT(ISNUMBER($H936)),NOT(ISNUMBER($K936)),NOT(ISNUMBER($G936)),$AG936="",$AH936=""),"",ROUND(($K936-$H936)*IF($F936="Short",-1,1)*$G936*$AG936*$AH936,6)))</f>
        <v/>
      </c>
      <c r="AJ936" s="55" t="str">
        <f>IF($AM936=0,"",IF(INDEX(Settings!$E$14:$E$18,$BF936)="% of notional",IF(OR($AG936="",NOT(ISNUMBER($H936)),NOT(ISNUMBER($G936))),"",ROUND(ABS($H936*$G936*$AG936*N($AH936))*IF($L936="Limit",N(INDEX(Settings!$G$14:$G$18,$BF936)),N(INDEX(Settings!$H$14:$H$18,$BF936)))+IF(ISNUMBER($K936),ABS($K936*$G936*$AG936*N($AH936))*IF($M936="Target",N(INDEX(Settings!$G$14:$G$18,$BF936)),N(INDEX(Settings!$H$14:$H$18,$BF936))),0),6)),IF(NOT(ISNUMBER($G936)),"",ROUND(ABS($G936)*2*IF(AND($BE936&gt;0,ISNUMBER(INDEX(Instruments!$G$6:$G$205,MAX(1,$BE936)))),INDEX(Instruments!$G$6:$G$205,MAX(1,$BE936)),N(INDEX(Settings!$F$14:$F$18,$BF936))),6))))</f>
        <v/>
      </c>
      <c r="AK936" s="55" t="str">
        <f>IF($AM936=0,"",IF(ISNUMBER($O936),$O936,$AI936))</f>
        <v/>
      </c>
      <c r="AL936" s="55" t="str">
        <f>IF($AM936=0,"",IF(ISNUMBER($P936),$P936,N($AJ936)))</f>
        <v/>
      </c>
      <c r="AM936" s="56">
        <f>IF(AND($A936&lt;&gt;"",$E936&lt;&gt;"",OR(AND(ISNUMBER($G936),ISNUMBER($H936),ISNUMBER($K936)),ISNUMBER($O936))),1,0)</f>
        <v>0</v>
      </c>
      <c r="AN936" s="57" t="str">
        <f>IF($A936="","",$A936-WEEKDAY($A936,3))</f>
        <v/>
      </c>
      <c r="AO936" s="56" t="str">
        <f>IF($A936="","",WEEKDAY($A936,2))</f>
        <v/>
      </c>
      <c r="AP936" s="55" t="str">
        <f>IF(OR($AM936=0,$C936=""),"",IFERROR(N(INDEX(Accounts!$E$7:$E$16,MATCH($C936,Accounts!$B$7:$B$16,0))),0)+SUMIFS($Q$6:$Q936,$C$6:$C936,$C936))</f>
        <v/>
      </c>
      <c r="AQ936" s="55" t="str">
        <f>IF(OR($AM936=0,$C936=""),"",SUMIFS($Q$6:$Q$1005,$C$6:$C$1005,$C936,$A$6:$A$1005,$A936))</f>
        <v/>
      </c>
      <c r="AR936" s="55" t="str">
        <f>IF(OR($AM936=0,$C936=""),"",IFERROR(N(INDEX(Accounts!$E$7:$E$16,MATCH($C936,Accounts!$B$7:$B$16,0))),0)+SUMIFS($Q$6:$Q$1005,$C$6:$C$1005,$C936,$A$6:$A$1005,"&lt;="&amp;$A936))</f>
        <v/>
      </c>
      <c r="AS936" s="56">
        <f>IF(OR($AM936=0,$Q936=""),0,IF(AND($A936&gt;=Lists!$W$6,$A936&lt;=Lists!$W$7,OR(Dashboard!$D$6="All accounts",$C936=Dashboard!$D$6),OR(Dashboard!$D$7="All markets",$AF936=Dashboard!$D$7)),1,0))</f>
        <v>0</v>
      </c>
      <c r="AT936" s="55">
        <f>IF($AS936=1,N(AT935)+$Q936,N(AT935))</f>
        <v>1187.10688</v>
      </c>
      <c r="AU936" s="55">
        <f>MAX(N(AU935),$AT936)</f>
        <v>1187.10688</v>
      </c>
      <c r="AV936" s="55">
        <f>$AT936-$AU936</f>
        <v>0</v>
      </c>
      <c r="AW936" s="56">
        <f>IF($AS936=1,IF($S936="Win",N(AW935)+1,IF($S936="Loss",0,N(AW935))),N(AW935))</f>
        <v>5</v>
      </c>
      <c r="AX936" s="56">
        <f>IF($AS936=1,IF($S936="Loss",N(AX935)+1,IF($S936="Win",0,N(AX935))),N(AX935))</f>
        <v>0</v>
      </c>
      <c r="AY936" s="56" t="str">
        <f>IF($AS936=1,COUNTIF($AS$6:$AS936,1),"")</f>
        <v/>
      </c>
      <c r="AZ936" s="56">
        <f>MIN(930,N(Lists!$W$8))</f>
        <v>28</v>
      </c>
      <c r="BA936" s="56">
        <f>IF($AS936=1,IF(COUNTIFS($A$6:$A936,$A936,$AS$6:$AS936,1)=1,1,0),0)</f>
        <v>0</v>
      </c>
      <c r="BB936" s="55" t="str">
        <f>IF($BA936=1,SUMIFS($Q$6:$Q$1005,$A$6:$A$1005,$A936,$AS$6:$AS$1005,1),"")</f>
        <v/>
      </c>
      <c r="BC936" s="56">
        <f>IF(ISNUMBER($R936),1,0)</f>
        <v>0</v>
      </c>
      <c r="BD936" s="55" t="str">
        <f>IF(ISNUMBER($U936),$U936*$V936,"")</f>
        <v/>
      </c>
      <c r="BE936" s="56" t="str">
        <f>IF($AM936=0,"",IFERROR(MATCH($AF936&amp;"|"&amp;UPPER(TRIM($E936)),Lists!$A$6:$A$205,0),0))</f>
        <v/>
      </c>
      <c r="BF936" s="56" t="str">
        <f>IF($AM936=0,"",IFERROR(MATCH($AF936,Settings!$B$14:$B$18,0),IFERROR(MATCH(Settings!$C$6,Settings!$B$14:$B$18,0),1)))</f>
        <v/>
      </c>
      <c r="BG936" s="58" t="str">
        <f>IF($AM936=0,"",IF(NOT(ISNUMBER($I936)),"No stop; ","")&amp;IF(AND(ISNUMBER($H936),ISNUMBER($I936)),IF(OR(AND($F936&lt;&gt;"Short",$I936&gt;=$H936),AND($F936="Short",$I936&lt;=$H936)),"Stop on wrong side; ",""),"")&amp;IF($F936="","No direction; ","")&amp;IF(AND(ISNUMBER(Settings!$C$22),ISNUMBER($V936)),IF($V936&gt;Settings!$C$22,"Risk over max $; ",""),"")&amp;IF(AND(ISNUMBER(Settings!$C$23),ISNUMBER($V936),ISNUMBER($AP936),IFERROR(N(INDEX(Accounts!$E$7:$E$16,MATCH($C936,Accounts!$B$7:$B$16,0))),0)&gt;0),IF($V936&gt;Settings!$C$23*($AP936-N($Q936)),"Risk over max %; ",""),"")&amp;IF(AND(ISNUMBER(Settings!$C$24),ISNUMBER($N936)),IF($N936&gt;Settings!$C$24,"Leverage over max; ",""),"")&amp;IF(AND(ISNUMBER(Settings!$C$27),ISNUMBER($T936)),IF($T936&lt;Settings!$C$27,"R:R below min; ",""),"")&amp;IF(ISNUMBER(Settings!$C$25),IF(COUNTIFS($A$6:$A936,$A936,$AM$6:$AM936,1)&gt;Settings!$C$25,"Over max trades/day; ",""),"")&amp;IF(ISNUMBER(Settings!$C$26),IF(SUMIFS($Q$5:$Q935,$A$5:$A935,$A936)&lt;=-Settings!$C$26,"Traded after daily max loss; ",""),"")&amp;IF(AND($AG936="",NOT(ISNUMBER($O936))),"Symbol not in Instruments; ","")&amp;IF(AND($AH936="",NOT(ISNUMBER($O936))),"Forex cross: type Gross P&amp;L; ",""))</f>
        <v/>
      </c>
      <c r="BH936" s="56">
        <f>IF(ISNUMBER($Q936),1,0)</f>
        <v>0</v>
      </c>
      <c r="BI936" s="56">
        <f>IF($Y936="",0,1)</f>
        <v>0</v>
      </c>
      <c r="BJ936" s="56">
        <f>IF($AB936="",0,1)</f>
        <v>0</v>
      </c>
      <c r="BK936" s="56">
        <f>IF(AND($BH936=1,$W936&lt;&gt;"OK"),1,0)</f>
        <v>0</v>
      </c>
      <c r="BL936" s="55">
        <f>IF(N($AZ936)=0,0,IFERROR(INDEX($AT$6:$AT$1005,MATCH($AZ936,$AY$6:$AY$1005,0)),0))</f>
        <v>1187.10688</v>
      </c>
      <c r="BM936" s="56">
        <f>IF(ISNUMBER(SEARCH("daily max loss",$BG936)),1,0)</f>
        <v>0</v>
      </c>
    </row>
    <row r="937" ht="18" customHeight="1">
      <c r="A937" s="38" t="n"/>
      <c r="B937" s="39" t="n"/>
      <c r="C937" s="40" t="n"/>
      <c r="D937" s="41" t="n"/>
      <c r="E937" s="41" t="n"/>
      <c r="F937" s="41" t="n"/>
      <c r="G937" s="41" t="n"/>
      <c r="H937" s="42" t="n"/>
      <c r="I937" s="42" t="n"/>
      <c r="J937" s="42" t="n"/>
      <c r="K937" s="42" t="n"/>
      <c r="L937" s="41" t="n"/>
      <c r="M937" s="41" t="n"/>
      <c r="N937" s="41" t="n"/>
      <c r="O937" s="43" t="n"/>
      <c r="P937" s="43" t="n"/>
      <c r="Q937" s="44" t="str">
        <f>IF($AM937=0,"",IF(ISNUMBER($AK937),$AK937-N($AL937),""))</f>
        <v/>
      </c>
      <c r="R937" s="45" t="str">
        <f>IF(OR($Q937="",NOT(ISNUMBER($V937))),"",$AK937/$V937)</f>
        <v/>
      </c>
      <c r="S937" s="46" t="str">
        <f>IF($Q937="","",IF(AND(ISNUMBER($R937),ABS(N($R937))&lt;N(Settings!$C$8)),"Scratch",IF($Q937&gt;0,"Win",IF($Q937&lt;0,"Loss","Scratch"))))</f>
        <v/>
      </c>
      <c r="T937" s="47" t="str">
        <f>IF(OR($AM937=0,NOT(ISNUMBER($H937)),NOT(ISNUMBER($I937)),NOT(ISNUMBER($J937))),"",IF($H937=$I937,"",ROUND(ABS($J937-$H937)/ABS($H937-$I937),6)))</f>
        <v/>
      </c>
      <c r="U937" s="48" t="str">
        <f>IF(OR($S937&lt;&gt;"Win",NOT(ISNUMBER($T937)),NOT(ISNUMBER($R937))),"",MAX(0,$T937-$R937))</f>
        <v/>
      </c>
      <c r="V937" s="49" t="str">
        <f>IF(OR($AM937=0,NOT(ISNUMBER($H937)),NOT(ISNUMBER($I937)),NOT(ISNUMBER($G937))),"",IF(OR($AG937="",$AH937=""),"",IF(ROUND(ABS($H937-$I937)*ABS($G937)*$AG937*$AH937,6)=0,"",ROUND(ABS($H937-$I937)*ABS($G937)*$AG937*$AH937,6))))</f>
        <v/>
      </c>
      <c r="W937" s="50" t="str">
        <f>IF($AM937=0,"",IF($BG937="","OK",LEFT($BG937,LEN($BG937)-2)))</f>
        <v/>
      </c>
      <c r="X937" s="41" t="n"/>
      <c r="Y937" s="40" t="n"/>
      <c r="Z937" s="41" t="n"/>
      <c r="AA937" s="41" t="n"/>
      <c r="AB937" s="40" t="n"/>
      <c r="AC937" s="51" t="n"/>
      <c r="AD937" s="51" t="n"/>
      <c r="AE937" s="40" t="n"/>
      <c r="AF937" s="52" t="str">
        <f>IF($AM937=0,"",IF($D937&lt;&gt;"",$D937,IF(IFERROR(INDEX(Accounts!$C$7:$C$16,MATCH($C937,Accounts!$B$7:$B$16,0))&amp;"","")&lt;&gt;"",INDEX(Accounts!$C$7:$C$16,MATCH($C937,Accounts!$B$7:$B$16,0)),Settings!$C$6)))</f>
        <v/>
      </c>
      <c r="AG937" s="53" t="str">
        <f>IF($AM937=0,"",IF(AND($BE937&gt;0,N(INDEX(Instruments!$D$6:$D$205,MAX(1,$BE937)))&gt;0),INDEX(Instruments!$D$6:$D$205,MAX(1,$BE937)),IF(N(INDEX(Settings!$D$14:$D$18,$BF937))&gt;0,INDEX(Settings!$D$14:$D$18,$BF937),"")))</f>
        <v/>
      </c>
      <c r="AH937" s="54" t="str">
        <f>IF($AM937=0,"",IF($AF937&lt;&gt;"Forex",1,IF(MID(UPPER(SUBSTITUTE(TRIM($E937),"/","")),4,3)=UPPER(TRIM(Settings!$C$7)),1,IF(LEFT(UPPER(SUBSTITUTE(TRIM($E937),"/","")),3)=UPPER(TRIM(Settings!$C$7)),IF(AND(ISNUMBER($K937),N($K937)&lt;&gt;0),1/$K937,""),""))))</f>
        <v/>
      </c>
      <c r="AI937" s="55" t="str">
        <f>IF($AM937=0,"",IF(OR(NOT(ISNUMBER($H937)),NOT(ISNUMBER($K937)),NOT(ISNUMBER($G937)),$AG937="",$AH937=""),"",ROUND(($K937-$H937)*IF($F937="Short",-1,1)*$G937*$AG937*$AH937,6)))</f>
        <v/>
      </c>
      <c r="AJ937" s="55" t="str">
        <f>IF($AM937=0,"",IF(INDEX(Settings!$E$14:$E$18,$BF937)="% of notional",IF(OR($AG937="",NOT(ISNUMBER($H937)),NOT(ISNUMBER($G937))),"",ROUND(ABS($H937*$G937*$AG937*N($AH937))*IF($L937="Limit",N(INDEX(Settings!$G$14:$G$18,$BF937)),N(INDEX(Settings!$H$14:$H$18,$BF937)))+IF(ISNUMBER($K937),ABS($K937*$G937*$AG937*N($AH937))*IF($M937="Target",N(INDEX(Settings!$G$14:$G$18,$BF937)),N(INDEX(Settings!$H$14:$H$18,$BF937))),0),6)),IF(NOT(ISNUMBER($G937)),"",ROUND(ABS($G937)*2*IF(AND($BE937&gt;0,ISNUMBER(INDEX(Instruments!$G$6:$G$205,MAX(1,$BE937)))),INDEX(Instruments!$G$6:$G$205,MAX(1,$BE937)),N(INDEX(Settings!$F$14:$F$18,$BF937))),6))))</f>
        <v/>
      </c>
      <c r="AK937" s="55" t="str">
        <f>IF($AM937=0,"",IF(ISNUMBER($O937),$O937,$AI937))</f>
        <v/>
      </c>
      <c r="AL937" s="55" t="str">
        <f>IF($AM937=0,"",IF(ISNUMBER($P937),$P937,N($AJ937)))</f>
        <v/>
      </c>
      <c r="AM937" s="56">
        <f>IF(AND($A937&lt;&gt;"",$E937&lt;&gt;"",OR(AND(ISNUMBER($G937),ISNUMBER($H937),ISNUMBER($K937)),ISNUMBER($O937))),1,0)</f>
        <v>0</v>
      </c>
      <c r="AN937" s="57" t="str">
        <f>IF($A937="","",$A937-WEEKDAY($A937,3))</f>
        <v/>
      </c>
      <c r="AO937" s="56" t="str">
        <f>IF($A937="","",WEEKDAY($A937,2))</f>
        <v/>
      </c>
      <c r="AP937" s="55" t="str">
        <f>IF(OR($AM937=0,$C937=""),"",IFERROR(N(INDEX(Accounts!$E$7:$E$16,MATCH($C937,Accounts!$B$7:$B$16,0))),0)+SUMIFS($Q$6:$Q937,$C$6:$C937,$C937))</f>
        <v/>
      </c>
      <c r="AQ937" s="55" t="str">
        <f>IF(OR($AM937=0,$C937=""),"",SUMIFS($Q$6:$Q$1005,$C$6:$C$1005,$C937,$A$6:$A$1005,$A937))</f>
        <v/>
      </c>
      <c r="AR937" s="55" t="str">
        <f>IF(OR($AM937=0,$C937=""),"",IFERROR(N(INDEX(Accounts!$E$7:$E$16,MATCH($C937,Accounts!$B$7:$B$16,0))),0)+SUMIFS($Q$6:$Q$1005,$C$6:$C$1005,$C937,$A$6:$A$1005,"&lt;="&amp;$A937))</f>
        <v/>
      </c>
      <c r="AS937" s="56">
        <f>IF(OR($AM937=0,$Q937=""),0,IF(AND($A937&gt;=Lists!$W$6,$A937&lt;=Lists!$W$7,OR(Dashboard!$D$6="All accounts",$C937=Dashboard!$D$6),OR(Dashboard!$D$7="All markets",$AF937=Dashboard!$D$7)),1,0))</f>
        <v>0</v>
      </c>
      <c r="AT937" s="55">
        <f>IF($AS937=1,N(AT936)+$Q937,N(AT936))</f>
        <v>1187.10688</v>
      </c>
      <c r="AU937" s="55">
        <f>MAX(N(AU936),$AT937)</f>
        <v>1187.10688</v>
      </c>
      <c r="AV937" s="55">
        <f>$AT937-$AU937</f>
        <v>0</v>
      </c>
      <c r="AW937" s="56">
        <f>IF($AS937=1,IF($S937="Win",N(AW936)+1,IF($S937="Loss",0,N(AW936))),N(AW936))</f>
        <v>5</v>
      </c>
      <c r="AX937" s="56">
        <f>IF($AS937=1,IF($S937="Loss",N(AX936)+1,IF($S937="Win",0,N(AX936))),N(AX936))</f>
        <v>0</v>
      </c>
      <c r="AY937" s="56" t="str">
        <f>IF($AS937=1,COUNTIF($AS$6:$AS937,1),"")</f>
        <v/>
      </c>
      <c r="AZ937" s="56">
        <f>MIN(931,N(Lists!$W$8))</f>
        <v>28</v>
      </c>
      <c r="BA937" s="56">
        <f>IF($AS937=1,IF(COUNTIFS($A$6:$A937,$A937,$AS$6:$AS937,1)=1,1,0),0)</f>
        <v>0</v>
      </c>
      <c r="BB937" s="55" t="str">
        <f>IF($BA937=1,SUMIFS($Q$6:$Q$1005,$A$6:$A$1005,$A937,$AS$6:$AS$1005,1),"")</f>
        <v/>
      </c>
      <c r="BC937" s="56">
        <f>IF(ISNUMBER($R937),1,0)</f>
        <v>0</v>
      </c>
      <c r="BD937" s="55" t="str">
        <f>IF(ISNUMBER($U937),$U937*$V937,"")</f>
        <v/>
      </c>
      <c r="BE937" s="56" t="str">
        <f>IF($AM937=0,"",IFERROR(MATCH($AF937&amp;"|"&amp;UPPER(TRIM($E937)),Lists!$A$6:$A$205,0),0))</f>
        <v/>
      </c>
      <c r="BF937" s="56" t="str">
        <f>IF($AM937=0,"",IFERROR(MATCH($AF937,Settings!$B$14:$B$18,0),IFERROR(MATCH(Settings!$C$6,Settings!$B$14:$B$18,0),1)))</f>
        <v/>
      </c>
      <c r="BG937" s="58" t="str">
        <f>IF($AM937=0,"",IF(NOT(ISNUMBER($I937)),"No stop; ","")&amp;IF(AND(ISNUMBER($H937),ISNUMBER($I937)),IF(OR(AND($F937&lt;&gt;"Short",$I937&gt;=$H937),AND($F937="Short",$I937&lt;=$H937)),"Stop on wrong side; ",""),"")&amp;IF($F937="","No direction; ","")&amp;IF(AND(ISNUMBER(Settings!$C$22),ISNUMBER($V937)),IF($V937&gt;Settings!$C$22,"Risk over max $; ",""),"")&amp;IF(AND(ISNUMBER(Settings!$C$23),ISNUMBER($V937),ISNUMBER($AP937),IFERROR(N(INDEX(Accounts!$E$7:$E$16,MATCH($C937,Accounts!$B$7:$B$16,0))),0)&gt;0),IF($V937&gt;Settings!$C$23*($AP937-N($Q937)),"Risk over max %; ",""),"")&amp;IF(AND(ISNUMBER(Settings!$C$24),ISNUMBER($N937)),IF($N937&gt;Settings!$C$24,"Leverage over max; ",""),"")&amp;IF(AND(ISNUMBER(Settings!$C$27),ISNUMBER($T937)),IF($T937&lt;Settings!$C$27,"R:R below min; ",""),"")&amp;IF(ISNUMBER(Settings!$C$25),IF(COUNTIFS($A$6:$A937,$A937,$AM$6:$AM937,1)&gt;Settings!$C$25,"Over max trades/day; ",""),"")&amp;IF(ISNUMBER(Settings!$C$26),IF(SUMIFS($Q$5:$Q936,$A$5:$A936,$A937)&lt;=-Settings!$C$26,"Traded after daily max loss; ",""),"")&amp;IF(AND($AG937="",NOT(ISNUMBER($O937))),"Symbol not in Instruments; ","")&amp;IF(AND($AH937="",NOT(ISNUMBER($O937))),"Forex cross: type Gross P&amp;L; ",""))</f>
        <v/>
      </c>
      <c r="BH937" s="56">
        <f>IF(ISNUMBER($Q937),1,0)</f>
        <v>0</v>
      </c>
      <c r="BI937" s="56">
        <f>IF($Y937="",0,1)</f>
        <v>0</v>
      </c>
      <c r="BJ937" s="56">
        <f>IF($AB937="",0,1)</f>
        <v>0</v>
      </c>
      <c r="BK937" s="56">
        <f>IF(AND($BH937=1,$W937&lt;&gt;"OK"),1,0)</f>
        <v>0</v>
      </c>
      <c r="BL937" s="55">
        <f>IF(N($AZ937)=0,0,IFERROR(INDEX($AT$6:$AT$1005,MATCH($AZ937,$AY$6:$AY$1005,0)),0))</f>
        <v>1187.10688</v>
      </c>
      <c r="BM937" s="56">
        <f>IF(ISNUMBER(SEARCH("daily max loss",$BG937)),1,0)</f>
        <v>0</v>
      </c>
    </row>
    <row r="938" ht="18" customHeight="1">
      <c r="A938" s="38" t="n"/>
      <c r="B938" s="39" t="n"/>
      <c r="C938" s="40" t="n"/>
      <c r="D938" s="41" t="n"/>
      <c r="E938" s="41" t="n"/>
      <c r="F938" s="41" t="n"/>
      <c r="G938" s="41" t="n"/>
      <c r="H938" s="42" t="n"/>
      <c r="I938" s="42" t="n"/>
      <c r="J938" s="42" t="n"/>
      <c r="K938" s="42" t="n"/>
      <c r="L938" s="41" t="n"/>
      <c r="M938" s="41" t="n"/>
      <c r="N938" s="41" t="n"/>
      <c r="O938" s="43" t="n"/>
      <c r="P938" s="43" t="n"/>
      <c r="Q938" s="44" t="str">
        <f>IF($AM938=0,"",IF(ISNUMBER($AK938),$AK938-N($AL938),""))</f>
        <v/>
      </c>
      <c r="R938" s="45" t="str">
        <f>IF(OR($Q938="",NOT(ISNUMBER($V938))),"",$AK938/$V938)</f>
        <v/>
      </c>
      <c r="S938" s="46" t="str">
        <f>IF($Q938="","",IF(AND(ISNUMBER($R938),ABS(N($R938))&lt;N(Settings!$C$8)),"Scratch",IF($Q938&gt;0,"Win",IF($Q938&lt;0,"Loss","Scratch"))))</f>
        <v/>
      </c>
      <c r="T938" s="47" t="str">
        <f>IF(OR($AM938=0,NOT(ISNUMBER($H938)),NOT(ISNUMBER($I938)),NOT(ISNUMBER($J938))),"",IF($H938=$I938,"",ROUND(ABS($J938-$H938)/ABS($H938-$I938),6)))</f>
        <v/>
      </c>
      <c r="U938" s="48" t="str">
        <f>IF(OR($S938&lt;&gt;"Win",NOT(ISNUMBER($T938)),NOT(ISNUMBER($R938))),"",MAX(0,$T938-$R938))</f>
        <v/>
      </c>
      <c r="V938" s="49" t="str">
        <f>IF(OR($AM938=0,NOT(ISNUMBER($H938)),NOT(ISNUMBER($I938)),NOT(ISNUMBER($G938))),"",IF(OR($AG938="",$AH938=""),"",IF(ROUND(ABS($H938-$I938)*ABS($G938)*$AG938*$AH938,6)=0,"",ROUND(ABS($H938-$I938)*ABS($G938)*$AG938*$AH938,6))))</f>
        <v/>
      </c>
      <c r="W938" s="50" t="str">
        <f>IF($AM938=0,"",IF($BG938="","OK",LEFT($BG938,LEN($BG938)-2)))</f>
        <v/>
      </c>
      <c r="X938" s="41" t="n"/>
      <c r="Y938" s="40" t="n"/>
      <c r="Z938" s="41" t="n"/>
      <c r="AA938" s="41" t="n"/>
      <c r="AB938" s="40" t="n"/>
      <c r="AC938" s="51" t="n"/>
      <c r="AD938" s="51" t="n"/>
      <c r="AE938" s="40" t="n"/>
      <c r="AF938" s="52" t="str">
        <f>IF($AM938=0,"",IF($D938&lt;&gt;"",$D938,IF(IFERROR(INDEX(Accounts!$C$7:$C$16,MATCH($C938,Accounts!$B$7:$B$16,0))&amp;"","")&lt;&gt;"",INDEX(Accounts!$C$7:$C$16,MATCH($C938,Accounts!$B$7:$B$16,0)),Settings!$C$6)))</f>
        <v/>
      </c>
      <c r="AG938" s="53" t="str">
        <f>IF($AM938=0,"",IF(AND($BE938&gt;0,N(INDEX(Instruments!$D$6:$D$205,MAX(1,$BE938)))&gt;0),INDEX(Instruments!$D$6:$D$205,MAX(1,$BE938)),IF(N(INDEX(Settings!$D$14:$D$18,$BF938))&gt;0,INDEX(Settings!$D$14:$D$18,$BF938),"")))</f>
        <v/>
      </c>
      <c r="AH938" s="54" t="str">
        <f>IF($AM938=0,"",IF($AF938&lt;&gt;"Forex",1,IF(MID(UPPER(SUBSTITUTE(TRIM($E938),"/","")),4,3)=UPPER(TRIM(Settings!$C$7)),1,IF(LEFT(UPPER(SUBSTITUTE(TRIM($E938),"/","")),3)=UPPER(TRIM(Settings!$C$7)),IF(AND(ISNUMBER($K938),N($K938)&lt;&gt;0),1/$K938,""),""))))</f>
        <v/>
      </c>
      <c r="AI938" s="55" t="str">
        <f>IF($AM938=0,"",IF(OR(NOT(ISNUMBER($H938)),NOT(ISNUMBER($K938)),NOT(ISNUMBER($G938)),$AG938="",$AH938=""),"",ROUND(($K938-$H938)*IF($F938="Short",-1,1)*$G938*$AG938*$AH938,6)))</f>
        <v/>
      </c>
      <c r="AJ938" s="55" t="str">
        <f>IF($AM938=0,"",IF(INDEX(Settings!$E$14:$E$18,$BF938)="% of notional",IF(OR($AG938="",NOT(ISNUMBER($H938)),NOT(ISNUMBER($G938))),"",ROUND(ABS($H938*$G938*$AG938*N($AH938))*IF($L938="Limit",N(INDEX(Settings!$G$14:$G$18,$BF938)),N(INDEX(Settings!$H$14:$H$18,$BF938)))+IF(ISNUMBER($K938),ABS($K938*$G938*$AG938*N($AH938))*IF($M938="Target",N(INDEX(Settings!$G$14:$G$18,$BF938)),N(INDEX(Settings!$H$14:$H$18,$BF938))),0),6)),IF(NOT(ISNUMBER($G938)),"",ROUND(ABS($G938)*2*IF(AND($BE938&gt;0,ISNUMBER(INDEX(Instruments!$G$6:$G$205,MAX(1,$BE938)))),INDEX(Instruments!$G$6:$G$205,MAX(1,$BE938)),N(INDEX(Settings!$F$14:$F$18,$BF938))),6))))</f>
        <v/>
      </c>
      <c r="AK938" s="55" t="str">
        <f>IF($AM938=0,"",IF(ISNUMBER($O938),$O938,$AI938))</f>
        <v/>
      </c>
      <c r="AL938" s="55" t="str">
        <f>IF($AM938=0,"",IF(ISNUMBER($P938),$P938,N($AJ938)))</f>
        <v/>
      </c>
      <c r="AM938" s="56">
        <f>IF(AND($A938&lt;&gt;"",$E938&lt;&gt;"",OR(AND(ISNUMBER($G938),ISNUMBER($H938),ISNUMBER($K938)),ISNUMBER($O938))),1,0)</f>
        <v>0</v>
      </c>
      <c r="AN938" s="57" t="str">
        <f>IF($A938="","",$A938-WEEKDAY($A938,3))</f>
        <v/>
      </c>
      <c r="AO938" s="56" t="str">
        <f>IF($A938="","",WEEKDAY($A938,2))</f>
        <v/>
      </c>
      <c r="AP938" s="55" t="str">
        <f>IF(OR($AM938=0,$C938=""),"",IFERROR(N(INDEX(Accounts!$E$7:$E$16,MATCH($C938,Accounts!$B$7:$B$16,0))),0)+SUMIFS($Q$6:$Q938,$C$6:$C938,$C938))</f>
        <v/>
      </c>
      <c r="AQ938" s="55" t="str">
        <f>IF(OR($AM938=0,$C938=""),"",SUMIFS($Q$6:$Q$1005,$C$6:$C$1005,$C938,$A$6:$A$1005,$A938))</f>
        <v/>
      </c>
      <c r="AR938" s="55" t="str">
        <f>IF(OR($AM938=0,$C938=""),"",IFERROR(N(INDEX(Accounts!$E$7:$E$16,MATCH($C938,Accounts!$B$7:$B$16,0))),0)+SUMIFS($Q$6:$Q$1005,$C$6:$C$1005,$C938,$A$6:$A$1005,"&lt;="&amp;$A938))</f>
        <v/>
      </c>
      <c r="AS938" s="56">
        <f>IF(OR($AM938=0,$Q938=""),0,IF(AND($A938&gt;=Lists!$W$6,$A938&lt;=Lists!$W$7,OR(Dashboard!$D$6="All accounts",$C938=Dashboard!$D$6),OR(Dashboard!$D$7="All markets",$AF938=Dashboard!$D$7)),1,0))</f>
        <v>0</v>
      </c>
      <c r="AT938" s="55">
        <f>IF($AS938=1,N(AT937)+$Q938,N(AT937))</f>
        <v>1187.10688</v>
      </c>
      <c r="AU938" s="55">
        <f>MAX(N(AU937),$AT938)</f>
        <v>1187.10688</v>
      </c>
      <c r="AV938" s="55">
        <f>$AT938-$AU938</f>
        <v>0</v>
      </c>
      <c r="AW938" s="56">
        <f>IF($AS938=1,IF($S938="Win",N(AW937)+1,IF($S938="Loss",0,N(AW937))),N(AW937))</f>
        <v>5</v>
      </c>
      <c r="AX938" s="56">
        <f>IF($AS938=1,IF($S938="Loss",N(AX937)+1,IF($S938="Win",0,N(AX937))),N(AX937))</f>
        <v>0</v>
      </c>
      <c r="AY938" s="56" t="str">
        <f>IF($AS938=1,COUNTIF($AS$6:$AS938,1),"")</f>
        <v/>
      </c>
      <c r="AZ938" s="56">
        <f>MIN(932,N(Lists!$W$8))</f>
        <v>28</v>
      </c>
      <c r="BA938" s="56">
        <f>IF($AS938=1,IF(COUNTIFS($A$6:$A938,$A938,$AS$6:$AS938,1)=1,1,0),0)</f>
        <v>0</v>
      </c>
      <c r="BB938" s="55" t="str">
        <f>IF($BA938=1,SUMIFS($Q$6:$Q$1005,$A$6:$A$1005,$A938,$AS$6:$AS$1005,1),"")</f>
        <v/>
      </c>
      <c r="BC938" s="56">
        <f>IF(ISNUMBER($R938),1,0)</f>
        <v>0</v>
      </c>
      <c r="BD938" s="55" t="str">
        <f>IF(ISNUMBER($U938),$U938*$V938,"")</f>
        <v/>
      </c>
      <c r="BE938" s="56" t="str">
        <f>IF($AM938=0,"",IFERROR(MATCH($AF938&amp;"|"&amp;UPPER(TRIM($E938)),Lists!$A$6:$A$205,0),0))</f>
        <v/>
      </c>
      <c r="BF938" s="56" t="str">
        <f>IF($AM938=0,"",IFERROR(MATCH($AF938,Settings!$B$14:$B$18,0),IFERROR(MATCH(Settings!$C$6,Settings!$B$14:$B$18,0),1)))</f>
        <v/>
      </c>
      <c r="BG938" s="58" t="str">
        <f>IF($AM938=0,"",IF(NOT(ISNUMBER($I938)),"No stop; ","")&amp;IF(AND(ISNUMBER($H938),ISNUMBER($I938)),IF(OR(AND($F938&lt;&gt;"Short",$I938&gt;=$H938),AND($F938="Short",$I938&lt;=$H938)),"Stop on wrong side; ",""),"")&amp;IF($F938="","No direction; ","")&amp;IF(AND(ISNUMBER(Settings!$C$22),ISNUMBER($V938)),IF($V938&gt;Settings!$C$22,"Risk over max $; ",""),"")&amp;IF(AND(ISNUMBER(Settings!$C$23),ISNUMBER($V938),ISNUMBER($AP938),IFERROR(N(INDEX(Accounts!$E$7:$E$16,MATCH($C938,Accounts!$B$7:$B$16,0))),0)&gt;0),IF($V938&gt;Settings!$C$23*($AP938-N($Q938)),"Risk over max %; ",""),"")&amp;IF(AND(ISNUMBER(Settings!$C$24),ISNUMBER($N938)),IF($N938&gt;Settings!$C$24,"Leverage over max; ",""),"")&amp;IF(AND(ISNUMBER(Settings!$C$27),ISNUMBER($T938)),IF($T938&lt;Settings!$C$27,"R:R below min; ",""),"")&amp;IF(ISNUMBER(Settings!$C$25),IF(COUNTIFS($A$6:$A938,$A938,$AM$6:$AM938,1)&gt;Settings!$C$25,"Over max trades/day; ",""),"")&amp;IF(ISNUMBER(Settings!$C$26),IF(SUMIFS($Q$5:$Q937,$A$5:$A937,$A938)&lt;=-Settings!$C$26,"Traded after daily max loss; ",""),"")&amp;IF(AND($AG938="",NOT(ISNUMBER($O938))),"Symbol not in Instruments; ","")&amp;IF(AND($AH938="",NOT(ISNUMBER($O938))),"Forex cross: type Gross P&amp;L; ",""))</f>
        <v/>
      </c>
      <c r="BH938" s="56">
        <f>IF(ISNUMBER($Q938),1,0)</f>
        <v>0</v>
      </c>
      <c r="BI938" s="56">
        <f>IF($Y938="",0,1)</f>
        <v>0</v>
      </c>
      <c r="BJ938" s="56">
        <f>IF($AB938="",0,1)</f>
        <v>0</v>
      </c>
      <c r="BK938" s="56">
        <f>IF(AND($BH938=1,$W938&lt;&gt;"OK"),1,0)</f>
        <v>0</v>
      </c>
      <c r="BL938" s="55">
        <f>IF(N($AZ938)=0,0,IFERROR(INDEX($AT$6:$AT$1005,MATCH($AZ938,$AY$6:$AY$1005,0)),0))</f>
        <v>1187.10688</v>
      </c>
      <c r="BM938" s="56">
        <f>IF(ISNUMBER(SEARCH("daily max loss",$BG938)),1,0)</f>
        <v>0</v>
      </c>
    </row>
    <row r="939" ht="18" customHeight="1">
      <c r="A939" s="38" t="n"/>
      <c r="B939" s="39" t="n"/>
      <c r="C939" s="40" t="n"/>
      <c r="D939" s="41" t="n"/>
      <c r="E939" s="41" t="n"/>
      <c r="F939" s="41" t="n"/>
      <c r="G939" s="41" t="n"/>
      <c r="H939" s="42" t="n"/>
      <c r="I939" s="42" t="n"/>
      <c r="J939" s="42" t="n"/>
      <c r="K939" s="42" t="n"/>
      <c r="L939" s="41" t="n"/>
      <c r="M939" s="41" t="n"/>
      <c r="N939" s="41" t="n"/>
      <c r="O939" s="43" t="n"/>
      <c r="P939" s="43" t="n"/>
      <c r="Q939" s="44" t="str">
        <f>IF($AM939=0,"",IF(ISNUMBER($AK939),$AK939-N($AL939),""))</f>
        <v/>
      </c>
      <c r="R939" s="45" t="str">
        <f>IF(OR($Q939="",NOT(ISNUMBER($V939))),"",$AK939/$V939)</f>
        <v/>
      </c>
      <c r="S939" s="46" t="str">
        <f>IF($Q939="","",IF(AND(ISNUMBER($R939),ABS(N($R939))&lt;N(Settings!$C$8)),"Scratch",IF($Q939&gt;0,"Win",IF($Q939&lt;0,"Loss","Scratch"))))</f>
        <v/>
      </c>
      <c r="T939" s="47" t="str">
        <f>IF(OR($AM939=0,NOT(ISNUMBER($H939)),NOT(ISNUMBER($I939)),NOT(ISNUMBER($J939))),"",IF($H939=$I939,"",ROUND(ABS($J939-$H939)/ABS($H939-$I939),6)))</f>
        <v/>
      </c>
      <c r="U939" s="48" t="str">
        <f>IF(OR($S939&lt;&gt;"Win",NOT(ISNUMBER($T939)),NOT(ISNUMBER($R939))),"",MAX(0,$T939-$R939))</f>
        <v/>
      </c>
      <c r="V939" s="49" t="str">
        <f>IF(OR($AM939=0,NOT(ISNUMBER($H939)),NOT(ISNUMBER($I939)),NOT(ISNUMBER($G939))),"",IF(OR($AG939="",$AH939=""),"",IF(ROUND(ABS($H939-$I939)*ABS($G939)*$AG939*$AH939,6)=0,"",ROUND(ABS($H939-$I939)*ABS($G939)*$AG939*$AH939,6))))</f>
        <v/>
      </c>
      <c r="W939" s="50" t="str">
        <f>IF($AM939=0,"",IF($BG939="","OK",LEFT($BG939,LEN($BG939)-2)))</f>
        <v/>
      </c>
      <c r="X939" s="41" t="n"/>
      <c r="Y939" s="40" t="n"/>
      <c r="Z939" s="41" t="n"/>
      <c r="AA939" s="41" t="n"/>
      <c r="AB939" s="40" t="n"/>
      <c r="AC939" s="51" t="n"/>
      <c r="AD939" s="51" t="n"/>
      <c r="AE939" s="40" t="n"/>
      <c r="AF939" s="52" t="str">
        <f>IF($AM939=0,"",IF($D939&lt;&gt;"",$D939,IF(IFERROR(INDEX(Accounts!$C$7:$C$16,MATCH($C939,Accounts!$B$7:$B$16,0))&amp;"","")&lt;&gt;"",INDEX(Accounts!$C$7:$C$16,MATCH($C939,Accounts!$B$7:$B$16,0)),Settings!$C$6)))</f>
        <v/>
      </c>
      <c r="AG939" s="53" t="str">
        <f>IF($AM939=0,"",IF(AND($BE939&gt;0,N(INDEX(Instruments!$D$6:$D$205,MAX(1,$BE939)))&gt;0),INDEX(Instruments!$D$6:$D$205,MAX(1,$BE939)),IF(N(INDEX(Settings!$D$14:$D$18,$BF939))&gt;0,INDEX(Settings!$D$14:$D$18,$BF939),"")))</f>
        <v/>
      </c>
      <c r="AH939" s="54" t="str">
        <f>IF($AM939=0,"",IF($AF939&lt;&gt;"Forex",1,IF(MID(UPPER(SUBSTITUTE(TRIM($E939),"/","")),4,3)=UPPER(TRIM(Settings!$C$7)),1,IF(LEFT(UPPER(SUBSTITUTE(TRIM($E939),"/","")),3)=UPPER(TRIM(Settings!$C$7)),IF(AND(ISNUMBER($K939),N($K939)&lt;&gt;0),1/$K939,""),""))))</f>
        <v/>
      </c>
      <c r="AI939" s="55" t="str">
        <f>IF($AM939=0,"",IF(OR(NOT(ISNUMBER($H939)),NOT(ISNUMBER($K939)),NOT(ISNUMBER($G939)),$AG939="",$AH939=""),"",ROUND(($K939-$H939)*IF($F939="Short",-1,1)*$G939*$AG939*$AH939,6)))</f>
        <v/>
      </c>
      <c r="AJ939" s="55" t="str">
        <f>IF($AM939=0,"",IF(INDEX(Settings!$E$14:$E$18,$BF939)="% of notional",IF(OR($AG939="",NOT(ISNUMBER($H939)),NOT(ISNUMBER($G939))),"",ROUND(ABS($H939*$G939*$AG939*N($AH939))*IF($L939="Limit",N(INDEX(Settings!$G$14:$G$18,$BF939)),N(INDEX(Settings!$H$14:$H$18,$BF939)))+IF(ISNUMBER($K939),ABS($K939*$G939*$AG939*N($AH939))*IF($M939="Target",N(INDEX(Settings!$G$14:$G$18,$BF939)),N(INDEX(Settings!$H$14:$H$18,$BF939))),0),6)),IF(NOT(ISNUMBER($G939)),"",ROUND(ABS($G939)*2*IF(AND($BE939&gt;0,ISNUMBER(INDEX(Instruments!$G$6:$G$205,MAX(1,$BE939)))),INDEX(Instruments!$G$6:$G$205,MAX(1,$BE939)),N(INDEX(Settings!$F$14:$F$18,$BF939))),6))))</f>
        <v/>
      </c>
      <c r="AK939" s="55" t="str">
        <f>IF($AM939=0,"",IF(ISNUMBER($O939),$O939,$AI939))</f>
        <v/>
      </c>
      <c r="AL939" s="55" t="str">
        <f>IF($AM939=0,"",IF(ISNUMBER($P939),$P939,N($AJ939)))</f>
        <v/>
      </c>
      <c r="AM939" s="56">
        <f>IF(AND($A939&lt;&gt;"",$E939&lt;&gt;"",OR(AND(ISNUMBER($G939),ISNUMBER($H939),ISNUMBER($K939)),ISNUMBER($O939))),1,0)</f>
        <v>0</v>
      </c>
      <c r="AN939" s="57" t="str">
        <f>IF($A939="","",$A939-WEEKDAY($A939,3))</f>
        <v/>
      </c>
      <c r="AO939" s="56" t="str">
        <f>IF($A939="","",WEEKDAY($A939,2))</f>
        <v/>
      </c>
      <c r="AP939" s="55" t="str">
        <f>IF(OR($AM939=0,$C939=""),"",IFERROR(N(INDEX(Accounts!$E$7:$E$16,MATCH($C939,Accounts!$B$7:$B$16,0))),0)+SUMIFS($Q$6:$Q939,$C$6:$C939,$C939))</f>
        <v/>
      </c>
      <c r="AQ939" s="55" t="str">
        <f>IF(OR($AM939=0,$C939=""),"",SUMIFS($Q$6:$Q$1005,$C$6:$C$1005,$C939,$A$6:$A$1005,$A939))</f>
        <v/>
      </c>
      <c r="AR939" s="55" t="str">
        <f>IF(OR($AM939=0,$C939=""),"",IFERROR(N(INDEX(Accounts!$E$7:$E$16,MATCH($C939,Accounts!$B$7:$B$16,0))),0)+SUMIFS($Q$6:$Q$1005,$C$6:$C$1005,$C939,$A$6:$A$1005,"&lt;="&amp;$A939))</f>
        <v/>
      </c>
      <c r="AS939" s="56">
        <f>IF(OR($AM939=0,$Q939=""),0,IF(AND($A939&gt;=Lists!$W$6,$A939&lt;=Lists!$W$7,OR(Dashboard!$D$6="All accounts",$C939=Dashboard!$D$6),OR(Dashboard!$D$7="All markets",$AF939=Dashboard!$D$7)),1,0))</f>
        <v>0</v>
      </c>
      <c r="AT939" s="55">
        <f>IF($AS939=1,N(AT938)+$Q939,N(AT938))</f>
        <v>1187.10688</v>
      </c>
      <c r="AU939" s="55">
        <f>MAX(N(AU938),$AT939)</f>
        <v>1187.10688</v>
      </c>
      <c r="AV939" s="55">
        <f>$AT939-$AU939</f>
        <v>0</v>
      </c>
      <c r="AW939" s="56">
        <f>IF($AS939=1,IF($S939="Win",N(AW938)+1,IF($S939="Loss",0,N(AW938))),N(AW938))</f>
        <v>5</v>
      </c>
      <c r="AX939" s="56">
        <f>IF($AS939=1,IF($S939="Loss",N(AX938)+1,IF($S939="Win",0,N(AX938))),N(AX938))</f>
        <v>0</v>
      </c>
      <c r="AY939" s="56" t="str">
        <f>IF($AS939=1,COUNTIF($AS$6:$AS939,1),"")</f>
        <v/>
      </c>
      <c r="AZ939" s="56">
        <f>MIN(933,N(Lists!$W$8))</f>
        <v>28</v>
      </c>
      <c r="BA939" s="56">
        <f>IF($AS939=1,IF(COUNTIFS($A$6:$A939,$A939,$AS$6:$AS939,1)=1,1,0),0)</f>
        <v>0</v>
      </c>
      <c r="BB939" s="55" t="str">
        <f>IF($BA939=1,SUMIFS($Q$6:$Q$1005,$A$6:$A$1005,$A939,$AS$6:$AS$1005,1),"")</f>
        <v/>
      </c>
      <c r="BC939" s="56">
        <f>IF(ISNUMBER($R939),1,0)</f>
        <v>0</v>
      </c>
      <c r="BD939" s="55" t="str">
        <f>IF(ISNUMBER($U939),$U939*$V939,"")</f>
        <v/>
      </c>
      <c r="BE939" s="56" t="str">
        <f>IF($AM939=0,"",IFERROR(MATCH($AF939&amp;"|"&amp;UPPER(TRIM($E939)),Lists!$A$6:$A$205,0),0))</f>
        <v/>
      </c>
      <c r="BF939" s="56" t="str">
        <f>IF($AM939=0,"",IFERROR(MATCH($AF939,Settings!$B$14:$B$18,0),IFERROR(MATCH(Settings!$C$6,Settings!$B$14:$B$18,0),1)))</f>
        <v/>
      </c>
      <c r="BG939" s="58" t="str">
        <f>IF($AM939=0,"",IF(NOT(ISNUMBER($I939)),"No stop; ","")&amp;IF(AND(ISNUMBER($H939),ISNUMBER($I939)),IF(OR(AND($F939&lt;&gt;"Short",$I939&gt;=$H939),AND($F939="Short",$I939&lt;=$H939)),"Stop on wrong side; ",""),"")&amp;IF($F939="","No direction; ","")&amp;IF(AND(ISNUMBER(Settings!$C$22),ISNUMBER($V939)),IF($V939&gt;Settings!$C$22,"Risk over max $; ",""),"")&amp;IF(AND(ISNUMBER(Settings!$C$23),ISNUMBER($V939),ISNUMBER($AP939),IFERROR(N(INDEX(Accounts!$E$7:$E$16,MATCH($C939,Accounts!$B$7:$B$16,0))),0)&gt;0),IF($V939&gt;Settings!$C$23*($AP939-N($Q939)),"Risk over max %; ",""),"")&amp;IF(AND(ISNUMBER(Settings!$C$24),ISNUMBER($N939)),IF($N939&gt;Settings!$C$24,"Leverage over max; ",""),"")&amp;IF(AND(ISNUMBER(Settings!$C$27),ISNUMBER($T939)),IF($T939&lt;Settings!$C$27,"R:R below min; ",""),"")&amp;IF(ISNUMBER(Settings!$C$25),IF(COUNTIFS($A$6:$A939,$A939,$AM$6:$AM939,1)&gt;Settings!$C$25,"Over max trades/day; ",""),"")&amp;IF(ISNUMBER(Settings!$C$26),IF(SUMIFS($Q$5:$Q938,$A$5:$A938,$A939)&lt;=-Settings!$C$26,"Traded after daily max loss; ",""),"")&amp;IF(AND($AG939="",NOT(ISNUMBER($O939))),"Symbol not in Instruments; ","")&amp;IF(AND($AH939="",NOT(ISNUMBER($O939))),"Forex cross: type Gross P&amp;L; ",""))</f>
        <v/>
      </c>
      <c r="BH939" s="56">
        <f>IF(ISNUMBER($Q939),1,0)</f>
        <v>0</v>
      </c>
      <c r="BI939" s="56">
        <f>IF($Y939="",0,1)</f>
        <v>0</v>
      </c>
      <c r="BJ939" s="56">
        <f>IF($AB939="",0,1)</f>
        <v>0</v>
      </c>
      <c r="BK939" s="56">
        <f>IF(AND($BH939=1,$W939&lt;&gt;"OK"),1,0)</f>
        <v>0</v>
      </c>
      <c r="BL939" s="55">
        <f>IF(N($AZ939)=0,0,IFERROR(INDEX($AT$6:$AT$1005,MATCH($AZ939,$AY$6:$AY$1005,0)),0))</f>
        <v>1187.10688</v>
      </c>
      <c r="BM939" s="56">
        <f>IF(ISNUMBER(SEARCH("daily max loss",$BG939)),1,0)</f>
        <v>0</v>
      </c>
    </row>
    <row r="940" ht="18" customHeight="1">
      <c r="A940" s="38" t="n"/>
      <c r="B940" s="39" t="n"/>
      <c r="C940" s="40" t="n"/>
      <c r="D940" s="41" t="n"/>
      <c r="E940" s="41" t="n"/>
      <c r="F940" s="41" t="n"/>
      <c r="G940" s="41" t="n"/>
      <c r="H940" s="42" t="n"/>
      <c r="I940" s="42" t="n"/>
      <c r="J940" s="42" t="n"/>
      <c r="K940" s="42" t="n"/>
      <c r="L940" s="41" t="n"/>
      <c r="M940" s="41" t="n"/>
      <c r="N940" s="41" t="n"/>
      <c r="O940" s="43" t="n"/>
      <c r="P940" s="43" t="n"/>
      <c r="Q940" s="44" t="str">
        <f>IF($AM940=0,"",IF(ISNUMBER($AK940),$AK940-N($AL940),""))</f>
        <v/>
      </c>
      <c r="R940" s="45" t="str">
        <f>IF(OR($Q940="",NOT(ISNUMBER($V940))),"",$AK940/$V940)</f>
        <v/>
      </c>
      <c r="S940" s="46" t="str">
        <f>IF($Q940="","",IF(AND(ISNUMBER($R940),ABS(N($R940))&lt;N(Settings!$C$8)),"Scratch",IF($Q940&gt;0,"Win",IF($Q940&lt;0,"Loss","Scratch"))))</f>
        <v/>
      </c>
      <c r="T940" s="47" t="str">
        <f>IF(OR($AM940=0,NOT(ISNUMBER($H940)),NOT(ISNUMBER($I940)),NOT(ISNUMBER($J940))),"",IF($H940=$I940,"",ROUND(ABS($J940-$H940)/ABS($H940-$I940),6)))</f>
        <v/>
      </c>
      <c r="U940" s="48" t="str">
        <f>IF(OR($S940&lt;&gt;"Win",NOT(ISNUMBER($T940)),NOT(ISNUMBER($R940))),"",MAX(0,$T940-$R940))</f>
        <v/>
      </c>
      <c r="V940" s="49" t="str">
        <f>IF(OR($AM940=0,NOT(ISNUMBER($H940)),NOT(ISNUMBER($I940)),NOT(ISNUMBER($G940))),"",IF(OR($AG940="",$AH940=""),"",IF(ROUND(ABS($H940-$I940)*ABS($G940)*$AG940*$AH940,6)=0,"",ROUND(ABS($H940-$I940)*ABS($G940)*$AG940*$AH940,6))))</f>
        <v/>
      </c>
      <c r="W940" s="50" t="str">
        <f>IF($AM940=0,"",IF($BG940="","OK",LEFT($BG940,LEN($BG940)-2)))</f>
        <v/>
      </c>
      <c r="X940" s="41" t="n"/>
      <c r="Y940" s="40" t="n"/>
      <c r="Z940" s="41" t="n"/>
      <c r="AA940" s="41" t="n"/>
      <c r="AB940" s="40" t="n"/>
      <c r="AC940" s="51" t="n"/>
      <c r="AD940" s="51" t="n"/>
      <c r="AE940" s="40" t="n"/>
      <c r="AF940" s="52" t="str">
        <f>IF($AM940=0,"",IF($D940&lt;&gt;"",$D940,IF(IFERROR(INDEX(Accounts!$C$7:$C$16,MATCH($C940,Accounts!$B$7:$B$16,0))&amp;"","")&lt;&gt;"",INDEX(Accounts!$C$7:$C$16,MATCH($C940,Accounts!$B$7:$B$16,0)),Settings!$C$6)))</f>
        <v/>
      </c>
      <c r="AG940" s="53" t="str">
        <f>IF($AM940=0,"",IF(AND($BE940&gt;0,N(INDEX(Instruments!$D$6:$D$205,MAX(1,$BE940)))&gt;0),INDEX(Instruments!$D$6:$D$205,MAX(1,$BE940)),IF(N(INDEX(Settings!$D$14:$D$18,$BF940))&gt;0,INDEX(Settings!$D$14:$D$18,$BF940),"")))</f>
        <v/>
      </c>
      <c r="AH940" s="54" t="str">
        <f>IF($AM940=0,"",IF($AF940&lt;&gt;"Forex",1,IF(MID(UPPER(SUBSTITUTE(TRIM($E940),"/","")),4,3)=UPPER(TRIM(Settings!$C$7)),1,IF(LEFT(UPPER(SUBSTITUTE(TRIM($E940),"/","")),3)=UPPER(TRIM(Settings!$C$7)),IF(AND(ISNUMBER($K940),N($K940)&lt;&gt;0),1/$K940,""),""))))</f>
        <v/>
      </c>
      <c r="AI940" s="55" t="str">
        <f>IF($AM940=0,"",IF(OR(NOT(ISNUMBER($H940)),NOT(ISNUMBER($K940)),NOT(ISNUMBER($G940)),$AG940="",$AH940=""),"",ROUND(($K940-$H940)*IF($F940="Short",-1,1)*$G940*$AG940*$AH940,6)))</f>
        <v/>
      </c>
      <c r="AJ940" s="55" t="str">
        <f>IF($AM940=0,"",IF(INDEX(Settings!$E$14:$E$18,$BF940)="% of notional",IF(OR($AG940="",NOT(ISNUMBER($H940)),NOT(ISNUMBER($G940))),"",ROUND(ABS($H940*$G940*$AG940*N($AH940))*IF($L940="Limit",N(INDEX(Settings!$G$14:$G$18,$BF940)),N(INDEX(Settings!$H$14:$H$18,$BF940)))+IF(ISNUMBER($K940),ABS($K940*$G940*$AG940*N($AH940))*IF($M940="Target",N(INDEX(Settings!$G$14:$G$18,$BF940)),N(INDEX(Settings!$H$14:$H$18,$BF940))),0),6)),IF(NOT(ISNUMBER($G940)),"",ROUND(ABS($G940)*2*IF(AND($BE940&gt;0,ISNUMBER(INDEX(Instruments!$G$6:$G$205,MAX(1,$BE940)))),INDEX(Instruments!$G$6:$G$205,MAX(1,$BE940)),N(INDEX(Settings!$F$14:$F$18,$BF940))),6))))</f>
        <v/>
      </c>
      <c r="AK940" s="55" t="str">
        <f>IF($AM940=0,"",IF(ISNUMBER($O940),$O940,$AI940))</f>
        <v/>
      </c>
      <c r="AL940" s="55" t="str">
        <f>IF($AM940=0,"",IF(ISNUMBER($P940),$P940,N($AJ940)))</f>
        <v/>
      </c>
      <c r="AM940" s="56">
        <f>IF(AND($A940&lt;&gt;"",$E940&lt;&gt;"",OR(AND(ISNUMBER($G940),ISNUMBER($H940),ISNUMBER($K940)),ISNUMBER($O940))),1,0)</f>
        <v>0</v>
      </c>
      <c r="AN940" s="57" t="str">
        <f>IF($A940="","",$A940-WEEKDAY($A940,3))</f>
        <v/>
      </c>
      <c r="AO940" s="56" t="str">
        <f>IF($A940="","",WEEKDAY($A940,2))</f>
        <v/>
      </c>
      <c r="AP940" s="55" t="str">
        <f>IF(OR($AM940=0,$C940=""),"",IFERROR(N(INDEX(Accounts!$E$7:$E$16,MATCH($C940,Accounts!$B$7:$B$16,0))),0)+SUMIFS($Q$6:$Q940,$C$6:$C940,$C940))</f>
        <v/>
      </c>
      <c r="AQ940" s="55" t="str">
        <f>IF(OR($AM940=0,$C940=""),"",SUMIFS($Q$6:$Q$1005,$C$6:$C$1005,$C940,$A$6:$A$1005,$A940))</f>
        <v/>
      </c>
      <c r="AR940" s="55" t="str">
        <f>IF(OR($AM940=0,$C940=""),"",IFERROR(N(INDEX(Accounts!$E$7:$E$16,MATCH($C940,Accounts!$B$7:$B$16,0))),0)+SUMIFS($Q$6:$Q$1005,$C$6:$C$1005,$C940,$A$6:$A$1005,"&lt;="&amp;$A940))</f>
        <v/>
      </c>
      <c r="AS940" s="56">
        <f>IF(OR($AM940=0,$Q940=""),0,IF(AND($A940&gt;=Lists!$W$6,$A940&lt;=Lists!$W$7,OR(Dashboard!$D$6="All accounts",$C940=Dashboard!$D$6),OR(Dashboard!$D$7="All markets",$AF940=Dashboard!$D$7)),1,0))</f>
        <v>0</v>
      </c>
      <c r="AT940" s="55">
        <f>IF($AS940=1,N(AT939)+$Q940,N(AT939))</f>
        <v>1187.10688</v>
      </c>
      <c r="AU940" s="55">
        <f>MAX(N(AU939),$AT940)</f>
        <v>1187.10688</v>
      </c>
      <c r="AV940" s="55">
        <f>$AT940-$AU940</f>
        <v>0</v>
      </c>
      <c r="AW940" s="56">
        <f>IF($AS940=1,IF($S940="Win",N(AW939)+1,IF($S940="Loss",0,N(AW939))),N(AW939))</f>
        <v>5</v>
      </c>
      <c r="AX940" s="56">
        <f>IF($AS940=1,IF($S940="Loss",N(AX939)+1,IF($S940="Win",0,N(AX939))),N(AX939))</f>
        <v>0</v>
      </c>
      <c r="AY940" s="56" t="str">
        <f>IF($AS940=1,COUNTIF($AS$6:$AS940,1),"")</f>
        <v/>
      </c>
      <c r="AZ940" s="56">
        <f>MIN(934,N(Lists!$W$8))</f>
        <v>28</v>
      </c>
      <c r="BA940" s="56">
        <f>IF($AS940=1,IF(COUNTIFS($A$6:$A940,$A940,$AS$6:$AS940,1)=1,1,0),0)</f>
        <v>0</v>
      </c>
      <c r="BB940" s="55" t="str">
        <f>IF($BA940=1,SUMIFS($Q$6:$Q$1005,$A$6:$A$1005,$A940,$AS$6:$AS$1005,1),"")</f>
        <v/>
      </c>
      <c r="BC940" s="56">
        <f>IF(ISNUMBER($R940),1,0)</f>
        <v>0</v>
      </c>
      <c r="BD940" s="55" t="str">
        <f>IF(ISNUMBER($U940),$U940*$V940,"")</f>
        <v/>
      </c>
      <c r="BE940" s="56" t="str">
        <f>IF($AM940=0,"",IFERROR(MATCH($AF940&amp;"|"&amp;UPPER(TRIM($E940)),Lists!$A$6:$A$205,0),0))</f>
        <v/>
      </c>
      <c r="BF940" s="56" t="str">
        <f>IF($AM940=0,"",IFERROR(MATCH($AF940,Settings!$B$14:$B$18,0),IFERROR(MATCH(Settings!$C$6,Settings!$B$14:$B$18,0),1)))</f>
        <v/>
      </c>
      <c r="BG940" s="58" t="str">
        <f>IF($AM940=0,"",IF(NOT(ISNUMBER($I940)),"No stop; ","")&amp;IF(AND(ISNUMBER($H940),ISNUMBER($I940)),IF(OR(AND($F940&lt;&gt;"Short",$I940&gt;=$H940),AND($F940="Short",$I940&lt;=$H940)),"Stop on wrong side; ",""),"")&amp;IF($F940="","No direction; ","")&amp;IF(AND(ISNUMBER(Settings!$C$22),ISNUMBER($V940)),IF($V940&gt;Settings!$C$22,"Risk over max $; ",""),"")&amp;IF(AND(ISNUMBER(Settings!$C$23),ISNUMBER($V940),ISNUMBER($AP940),IFERROR(N(INDEX(Accounts!$E$7:$E$16,MATCH($C940,Accounts!$B$7:$B$16,0))),0)&gt;0),IF($V940&gt;Settings!$C$23*($AP940-N($Q940)),"Risk over max %; ",""),"")&amp;IF(AND(ISNUMBER(Settings!$C$24),ISNUMBER($N940)),IF($N940&gt;Settings!$C$24,"Leverage over max; ",""),"")&amp;IF(AND(ISNUMBER(Settings!$C$27),ISNUMBER($T940)),IF($T940&lt;Settings!$C$27,"R:R below min; ",""),"")&amp;IF(ISNUMBER(Settings!$C$25),IF(COUNTIFS($A$6:$A940,$A940,$AM$6:$AM940,1)&gt;Settings!$C$25,"Over max trades/day; ",""),"")&amp;IF(ISNUMBER(Settings!$C$26),IF(SUMIFS($Q$5:$Q939,$A$5:$A939,$A940)&lt;=-Settings!$C$26,"Traded after daily max loss; ",""),"")&amp;IF(AND($AG940="",NOT(ISNUMBER($O940))),"Symbol not in Instruments; ","")&amp;IF(AND($AH940="",NOT(ISNUMBER($O940))),"Forex cross: type Gross P&amp;L; ",""))</f>
        <v/>
      </c>
      <c r="BH940" s="56">
        <f>IF(ISNUMBER($Q940),1,0)</f>
        <v>0</v>
      </c>
      <c r="BI940" s="56">
        <f>IF($Y940="",0,1)</f>
        <v>0</v>
      </c>
      <c r="BJ940" s="56">
        <f>IF($AB940="",0,1)</f>
        <v>0</v>
      </c>
      <c r="BK940" s="56">
        <f>IF(AND($BH940=1,$W940&lt;&gt;"OK"),1,0)</f>
        <v>0</v>
      </c>
      <c r="BL940" s="55">
        <f>IF(N($AZ940)=0,0,IFERROR(INDEX($AT$6:$AT$1005,MATCH($AZ940,$AY$6:$AY$1005,0)),0))</f>
        <v>1187.10688</v>
      </c>
      <c r="BM940" s="56">
        <f>IF(ISNUMBER(SEARCH("daily max loss",$BG940)),1,0)</f>
        <v>0</v>
      </c>
    </row>
    <row r="941" ht="18" customHeight="1">
      <c r="A941" s="38" t="n"/>
      <c r="B941" s="39" t="n"/>
      <c r="C941" s="40" t="n"/>
      <c r="D941" s="41" t="n"/>
      <c r="E941" s="41" t="n"/>
      <c r="F941" s="41" t="n"/>
      <c r="G941" s="41" t="n"/>
      <c r="H941" s="42" t="n"/>
      <c r="I941" s="42" t="n"/>
      <c r="J941" s="42" t="n"/>
      <c r="K941" s="42" t="n"/>
      <c r="L941" s="41" t="n"/>
      <c r="M941" s="41" t="n"/>
      <c r="N941" s="41" t="n"/>
      <c r="O941" s="43" t="n"/>
      <c r="P941" s="43" t="n"/>
      <c r="Q941" s="44" t="str">
        <f>IF($AM941=0,"",IF(ISNUMBER($AK941),$AK941-N($AL941),""))</f>
        <v/>
      </c>
      <c r="R941" s="45" t="str">
        <f>IF(OR($Q941="",NOT(ISNUMBER($V941))),"",$AK941/$V941)</f>
        <v/>
      </c>
      <c r="S941" s="46" t="str">
        <f>IF($Q941="","",IF(AND(ISNUMBER($R941),ABS(N($R941))&lt;N(Settings!$C$8)),"Scratch",IF($Q941&gt;0,"Win",IF($Q941&lt;0,"Loss","Scratch"))))</f>
        <v/>
      </c>
      <c r="T941" s="47" t="str">
        <f>IF(OR($AM941=0,NOT(ISNUMBER($H941)),NOT(ISNUMBER($I941)),NOT(ISNUMBER($J941))),"",IF($H941=$I941,"",ROUND(ABS($J941-$H941)/ABS($H941-$I941),6)))</f>
        <v/>
      </c>
      <c r="U941" s="48" t="str">
        <f>IF(OR($S941&lt;&gt;"Win",NOT(ISNUMBER($T941)),NOT(ISNUMBER($R941))),"",MAX(0,$T941-$R941))</f>
        <v/>
      </c>
      <c r="V941" s="49" t="str">
        <f>IF(OR($AM941=0,NOT(ISNUMBER($H941)),NOT(ISNUMBER($I941)),NOT(ISNUMBER($G941))),"",IF(OR($AG941="",$AH941=""),"",IF(ROUND(ABS($H941-$I941)*ABS($G941)*$AG941*$AH941,6)=0,"",ROUND(ABS($H941-$I941)*ABS($G941)*$AG941*$AH941,6))))</f>
        <v/>
      </c>
      <c r="W941" s="50" t="str">
        <f>IF($AM941=0,"",IF($BG941="","OK",LEFT($BG941,LEN($BG941)-2)))</f>
        <v/>
      </c>
      <c r="X941" s="41" t="n"/>
      <c r="Y941" s="40" t="n"/>
      <c r="Z941" s="41" t="n"/>
      <c r="AA941" s="41" t="n"/>
      <c r="AB941" s="40" t="n"/>
      <c r="AC941" s="51" t="n"/>
      <c r="AD941" s="51" t="n"/>
      <c r="AE941" s="40" t="n"/>
      <c r="AF941" s="52" t="str">
        <f>IF($AM941=0,"",IF($D941&lt;&gt;"",$D941,IF(IFERROR(INDEX(Accounts!$C$7:$C$16,MATCH($C941,Accounts!$B$7:$B$16,0))&amp;"","")&lt;&gt;"",INDEX(Accounts!$C$7:$C$16,MATCH($C941,Accounts!$B$7:$B$16,0)),Settings!$C$6)))</f>
        <v/>
      </c>
      <c r="AG941" s="53" t="str">
        <f>IF($AM941=0,"",IF(AND($BE941&gt;0,N(INDEX(Instruments!$D$6:$D$205,MAX(1,$BE941)))&gt;0),INDEX(Instruments!$D$6:$D$205,MAX(1,$BE941)),IF(N(INDEX(Settings!$D$14:$D$18,$BF941))&gt;0,INDEX(Settings!$D$14:$D$18,$BF941),"")))</f>
        <v/>
      </c>
      <c r="AH941" s="54" t="str">
        <f>IF($AM941=0,"",IF($AF941&lt;&gt;"Forex",1,IF(MID(UPPER(SUBSTITUTE(TRIM($E941),"/","")),4,3)=UPPER(TRIM(Settings!$C$7)),1,IF(LEFT(UPPER(SUBSTITUTE(TRIM($E941),"/","")),3)=UPPER(TRIM(Settings!$C$7)),IF(AND(ISNUMBER($K941),N($K941)&lt;&gt;0),1/$K941,""),""))))</f>
        <v/>
      </c>
      <c r="AI941" s="55" t="str">
        <f>IF($AM941=0,"",IF(OR(NOT(ISNUMBER($H941)),NOT(ISNUMBER($K941)),NOT(ISNUMBER($G941)),$AG941="",$AH941=""),"",ROUND(($K941-$H941)*IF($F941="Short",-1,1)*$G941*$AG941*$AH941,6)))</f>
        <v/>
      </c>
      <c r="AJ941" s="55" t="str">
        <f>IF($AM941=0,"",IF(INDEX(Settings!$E$14:$E$18,$BF941)="% of notional",IF(OR($AG941="",NOT(ISNUMBER($H941)),NOT(ISNUMBER($G941))),"",ROUND(ABS($H941*$G941*$AG941*N($AH941))*IF($L941="Limit",N(INDEX(Settings!$G$14:$G$18,$BF941)),N(INDEX(Settings!$H$14:$H$18,$BF941)))+IF(ISNUMBER($K941),ABS($K941*$G941*$AG941*N($AH941))*IF($M941="Target",N(INDEX(Settings!$G$14:$G$18,$BF941)),N(INDEX(Settings!$H$14:$H$18,$BF941))),0),6)),IF(NOT(ISNUMBER($G941)),"",ROUND(ABS($G941)*2*IF(AND($BE941&gt;0,ISNUMBER(INDEX(Instruments!$G$6:$G$205,MAX(1,$BE941)))),INDEX(Instruments!$G$6:$G$205,MAX(1,$BE941)),N(INDEX(Settings!$F$14:$F$18,$BF941))),6))))</f>
        <v/>
      </c>
      <c r="AK941" s="55" t="str">
        <f>IF($AM941=0,"",IF(ISNUMBER($O941),$O941,$AI941))</f>
        <v/>
      </c>
      <c r="AL941" s="55" t="str">
        <f>IF($AM941=0,"",IF(ISNUMBER($P941),$P941,N($AJ941)))</f>
        <v/>
      </c>
      <c r="AM941" s="56">
        <f>IF(AND($A941&lt;&gt;"",$E941&lt;&gt;"",OR(AND(ISNUMBER($G941),ISNUMBER($H941),ISNUMBER($K941)),ISNUMBER($O941))),1,0)</f>
        <v>0</v>
      </c>
      <c r="AN941" s="57" t="str">
        <f>IF($A941="","",$A941-WEEKDAY($A941,3))</f>
        <v/>
      </c>
      <c r="AO941" s="56" t="str">
        <f>IF($A941="","",WEEKDAY($A941,2))</f>
        <v/>
      </c>
      <c r="AP941" s="55" t="str">
        <f>IF(OR($AM941=0,$C941=""),"",IFERROR(N(INDEX(Accounts!$E$7:$E$16,MATCH($C941,Accounts!$B$7:$B$16,0))),0)+SUMIFS($Q$6:$Q941,$C$6:$C941,$C941))</f>
        <v/>
      </c>
      <c r="AQ941" s="55" t="str">
        <f>IF(OR($AM941=0,$C941=""),"",SUMIFS($Q$6:$Q$1005,$C$6:$C$1005,$C941,$A$6:$A$1005,$A941))</f>
        <v/>
      </c>
      <c r="AR941" s="55" t="str">
        <f>IF(OR($AM941=0,$C941=""),"",IFERROR(N(INDEX(Accounts!$E$7:$E$16,MATCH($C941,Accounts!$B$7:$B$16,0))),0)+SUMIFS($Q$6:$Q$1005,$C$6:$C$1005,$C941,$A$6:$A$1005,"&lt;="&amp;$A941))</f>
        <v/>
      </c>
      <c r="AS941" s="56">
        <f>IF(OR($AM941=0,$Q941=""),0,IF(AND($A941&gt;=Lists!$W$6,$A941&lt;=Lists!$W$7,OR(Dashboard!$D$6="All accounts",$C941=Dashboard!$D$6),OR(Dashboard!$D$7="All markets",$AF941=Dashboard!$D$7)),1,0))</f>
        <v>0</v>
      </c>
      <c r="AT941" s="55">
        <f>IF($AS941=1,N(AT940)+$Q941,N(AT940))</f>
        <v>1187.10688</v>
      </c>
      <c r="AU941" s="55">
        <f>MAX(N(AU940),$AT941)</f>
        <v>1187.10688</v>
      </c>
      <c r="AV941" s="55">
        <f>$AT941-$AU941</f>
        <v>0</v>
      </c>
      <c r="AW941" s="56">
        <f>IF($AS941=1,IF($S941="Win",N(AW940)+1,IF($S941="Loss",0,N(AW940))),N(AW940))</f>
        <v>5</v>
      </c>
      <c r="AX941" s="56">
        <f>IF($AS941=1,IF($S941="Loss",N(AX940)+1,IF($S941="Win",0,N(AX940))),N(AX940))</f>
        <v>0</v>
      </c>
      <c r="AY941" s="56" t="str">
        <f>IF($AS941=1,COUNTIF($AS$6:$AS941,1),"")</f>
        <v/>
      </c>
      <c r="AZ941" s="56">
        <f>MIN(935,N(Lists!$W$8))</f>
        <v>28</v>
      </c>
      <c r="BA941" s="56">
        <f>IF($AS941=1,IF(COUNTIFS($A$6:$A941,$A941,$AS$6:$AS941,1)=1,1,0),0)</f>
        <v>0</v>
      </c>
      <c r="BB941" s="55" t="str">
        <f>IF($BA941=1,SUMIFS($Q$6:$Q$1005,$A$6:$A$1005,$A941,$AS$6:$AS$1005,1),"")</f>
        <v/>
      </c>
      <c r="BC941" s="56">
        <f>IF(ISNUMBER($R941),1,0)</f>
        <v>0</v>
      </c>
      <c r="BD941" s="55" t="str">
        <f>IF(ISNUMBER($U941),$U941*$V941,"")</f>
        <v/>
      </c>
      <c r="BE941" s="56" t="str">
        <f>IF($AM941=0,"",IFERROR(MATCH($AF941&amp;"|"&amp;UPPER(TRIM($E941)),Lists!$A$6:$A$205,0),0))</f>
        <v/>
      </c>
      <c r="BF941" s="56" t="str">
        <f>IF($AM941=0,"",IFERROR(MATCH($AF941,Settings!$B$14:$B$18,0),IFERROR(MATCH(Settings!$C$6,Settings!$B$14:$B$18,0),1)))</f>
        <v/>
      </c>
      <c r="BG941" s="58" t="str">
        <f>IF($AM941=0,"",IF(NOT(ISNUMBER($I941)),"No stop; ","")&amp;IF(AND(ISNUMBER($H941),ISNUMBER($I941)),IF(OR(AND($F941&lt;&gt;"Short",$I941&gt;=$H941),AND($F941="Short",$I941&lt;=$H941)),"Stop on wrong side; ",""),"")&amp;IF($F941="","No direction; ","")&amp;IF(AND(ISNUMBER(Settings!$C$22),ISNUMBER($V941)),IF($V941&gt;Settings!$C$22,"Risk over max $; ",""),"")&amp;IF(AND(ISNUMBER(Settings!$C$23),ISNUMBER($V941),ISNUMBER($AP941),IFERROR(N(INDEX(Accounts!$E$7:$E$16,MATCH($C941,Accounts!$B$7:$B$16,0))),0)&gt;0),IF($V941&gt;Settings!$C$23*($AP941-N($Q941)),"Risk over max %; ",""),"")&amp;IF(AND(ISNUMBER(Settings!$C$24),ISNUMBER($N941)),IF($N941&gt;Settings!$C$24,"Leverage over max; ",""),"")&amp;IF(AND(ISNUMBER(Settings!$C$27),ISNUMBER($T941)),IF($T941&lt;Settings!$C$27,"R:R below min; ",""),"")&amp;IF(ISNUMBER(Settings!$C$25),IF(COUNTIFS($A$6:$A941,$A941,$AM$6:$AM941,1)&gt;Settings!$C$25,"Over max trades/day; ",""),"")&amp;IF(ISNUMBER(Settings!$C$26),IF(SUMIFS($Q$5:$Q940,$A$5:$A940,$A941)&lt;=-Settings!$C$26,"Traded after daily max loss; ",""),"")&amp;IF(AND($AG941="",NOT(ISNUMBER($O941))),"Symbol not in Instruments; ","")&amp;IF(AND($AH941="",NOT(ISNUMBER($O941))),"Forex cross: type Gross P&amp;L; ",""))</f>
        <v/>
      </c>
      <c r="BH941" s="56">
        <f>IF(ISNUMBER($Q941),1,0)</f>
        <v>0</v>
      </c>
      <c r="BI941" s="56">
        <f>IF($Y941="",0,1)</f>
        <v>0</v>
      </c>
      <c r="BJ941" s="56">
        <f>IF($AB941="",0,1)</f>
        <v>0</v>
      </c>
      <c r="BK941" s="56">
        <f>IF(AND($BH941=1,$W941&lt;&gt;"OK"),1,0)</f>
        <v>0</v>
      </c>
      <c r="BL941" s="55">
        <f>IF(N($AZ941)=0,0,IFERROR(INDEX($AT$6:$AT$1005,MATCH($AZ941,$AY$6:$AY$1005,0)),0))</f>
        <v>1187.10688</v>
      </c>
      <c r="BM941" s="56">
        <f>IF(ISNUMBER(SEARCH("daily max loss",$BG941)),1,0)</f>
        <v>0</v>
      </c>
    </row>
    <row r="942" ht="18" customHeight="1">
      <c r="A942" s="38" t="n"/>
      <c r="B942" s="39" t="n"/>
      <c r="C942" s="40" t="n"/>
      <c r="D942" s="41" t="n"/>
      <c r="E942" s="41" t="n"/>
      <c r="F942" s="41" t="n"/>
      <c r="G942" s="41" t="n"/>
      <c r="H942" s="42" t="n"/>
      <c r="I942" s="42" t="n"/>
      <c r="J942" s="42" t="n"/>
      <c r="K942" s="42" t="n"/>
      <c r="L942" s="41" t="n"/>
      <c r="M942" s="41" t="n"/>
      <c r="N942" s="41" t="n"/>
      <c r="O942" s="43" t="n"/>
      <c r="P942" s="43" t="n"/>
      <c r="Q942" s="44" t="str">
        <f>IF($AM942=0,"",IF(ISNUMBER($AK942),$AK942-N($AL942),""))</f>
        <v/>
      </c>
      <c r="R942" s="45" t="str">
        <f>IF(OR($Q942="",NOT(ISNUMBER($V942))),"",$AK942/$V942)</f>
        <v/>
      </c>
      <c r="S942" s="46" t="str">
        <f>IF($Q942="","",IF(AND(ISNUMBER($R942),ABS(N($R942))&lt;N(Settings!$C$8)),"Scratch",IF($Q942&gt;0,"Win",IF($Q942&lt;0,"Loss","Scratch"))))</f>
        <v/>
      </c>
      <c r="T942" s="47" t="str">
        <f>IF(OR($AM942=0,NOT(ISNUMBER($H942)),NOT(ISNUMBER($I942)),NOT(ISNUMBER($J942))),"",IF($H942=$I942,"",ROUND(ABS($J942-$H942)/ABS($H942-$I942),6)))</f>
        <v/>
      </c>
      <c r="U942" s="48" t="str">
        <f>IF(OR($S942&lt;&gt;"Win",NOT(ISNUMBER($T942)),NOT(ISNUMBER($R942))),"",MAX(0,$T942-$R942))</f>
        <v/>
      </c>
      <c r="V942" s="49" t="str">
        <f>IF(OR($AM942=0,NOT(ISNUMBER($H942)),NOT(ISNUMBER($I942)),NOT(ISNUMBER($G942))),"",IF(OR($AG942="",$AH942=""),"",IF(ROUND(ABS($H942-$I942)*ABS($G942)*$AG942*$AH942,6)=0,"",ROUND(ABS($H942-$I942)*ABS($G942)*$AG942*$AH942,6))))</f>
        <v/>
      </c>
      <c r="W942" s="50" t="str">
        <f>IF($AM942=0,"",IF($BG942="","OK",LEFT($BG942,LEN($BG942)-2)))</f>
        <v/>
      </c>
      <c r="X942" s="41" t="n"/>
      <c r="Y942" s="40" t="n"/>
      <c r="Z942" s="41" t="n"/>
      <c r="AA942" s="41" t="n"/>
      <c r="AB942" s="40" t="n"/>
      <c r="AC942" s="51" t="n"/>
      <c r="AD942" s="51" t="n"/>
      <c r="AE942" s="40" t="n"/>
      <c r="AF942" s="52" t="str">
        <f>IF($AM942=0,"",IF($D942&lt;&gt;"",$D942,IF(IFERROR(INDEX(Accounts!$C$7:$C$16,MATCH($C942,Accounts!$B$7:$B$16,0))&amp;"","")&lt;&gt;"",INDEX(Accounts!$C$7:$C$16,MATCH($C942,Accounts!$B$7:$B$16,0)),Settings!$C$6)))</f>
        <v/>
      </c>
      <c r="AG942" s="53" t="str">
        <f>IF($AM942=0,"",IF(AND($BE942&gt;0,N(INDEX(Instruments!$D$6:$D$205,MAX(1,$BE942)))&gt;0),INDEX(Instruments!$D$6:$D$205,MAX(1,$BE942)),IF(N(INDEX(Settings!$D$14:$D$18,$BF942))&gt;0,INDEX(Settings!$D$14:$D$18,$BF942),"")))</f>
        <v/>
      </c>
      <c r="AH942" s="54" t="str">
        <f>IF($AM942=0,"",IF($AF942&lt;&gt;"Forex",1,IF(MID(UPPER(SUBSTITUTE(TRIM($E942),"/","")),4,3)=UPPER(TRIM(Settings!$C$7)),1,IF(LEFT(UPPER(SUBSTITUTE(TRIM($E942),"/","")),3)=UPPER(TRIM(Settings!$C$7)),IF(AND(ISNUMBER($K942),N($K942)&lt;&gt;0),1/$K942,""),""))))</f>
        <v/>
      </c>
      <c r="AI942" s="55" t="str">
        <f>IF($AM942=0,"",IF(OR(NOT(ISNUMBER($H942)),NOT(ISNUMBER($K942)),NOT(ISNUMBER($G942)),$AG942="",$AH942=""),"",ROUND(($K942-$H942)*IF($F942="Short",-1,1)*$G942*$AG942*$AH942,6)))</f>
        <v/>
      </c>
      <c r="AJ942" s="55" t="str">
        <f>IF($AM942=0,"",IF(INDEX(Settings!$E$14:$E$18,$BF942)="% of notional",IF(OR($AG942="",NOT(ISNUMBER($H942)),NOT(ISNUMBER($G942))),"",ROUND(ABS($H942*$G942*$AG942*N($AH942))*IF($L942="Limit",N(INDEX(Settings!$G$14:$G$18,$BF942)),N(INDEX(Settings!$H$14:$H$18,$BF942)))+IF(ISNUMBER($K942),ABS($K942*$G942*$AG942*N($AH942))*IF($M942="Target",N(INDEX(Settings!$G$14:$G$18,$BF942)),N(INDEX(Settings!$H$14:$H$18,$BF942))),0),6)),IF(NOT(ISNUMBER($G942)),"",ROUND(ABS($G942)*2*IF(AND($BE942&gt;0,ISNUMBER(INDEX(Instruments!$G$6:$G$205,MAX(1,$BE942)))),INDEX(Instruments!$G$6:$G$205,MAX(1,$BE942)),N(INDEX(Settings!$F$14:$F$18,$BF942))),6))))</f>
        <v/>
      </c>
      <c r="AK942" s="55" t="str">
        <f>IF($AM942=0,"",IF(ISNUMBER($O942),$O942,$AI942))</f>
        <v/>
      </c>
      <c r="AL942" s="55" t="str">
        <f>IF($AM942=0,"",IF(ISNUMBER($P942),$P942,N($AJ942)))</f>
        <v/>
      </c>
      <c r="AM942" s="56">
        <f>IF(AND($A942&lt;&gt;"",$E942&lt;&gt;"",OR(AND(ISNUMBER($G942),ISNUMBER($H942),ISNUMBER($K942)),ISNUMBER($O942))),1,0)</f>
        <v>0</v>
      </c>
      <c r="AN942" s="57" t="str">
        <f>IF($A942="","",$A942-WEEKDAY($A942,3))</f>
        <v/>
      </c>
      <c r="AO942" s="56" t="str">
        <f>IF($A942="","",WEEKDAY($A942,2))</f>
        <v/>
      </c>
      <c r="AP942" s="55" t="str">
        <f>IF(OR($AM942=0,$C942=""),"",IFERROR(N(INDEX(Accounts!$E$7:$E$16,MATCH($C942,Accounts!$B$7:$B$16,0))),0)+SUMIFS($Q$6:$Q942,$C$6:$C942,$C942))</f>
        <v/>
      </c>
      <c r="AQ942" s="55" t="str">
        <f>IF(OR($AM942=0,$C942=""),"",SUMIFS($Q$6:$Q$1005,$C$6:$C$1005,$C942,$A$6:$A$1005,$A942))</f>
        <v/>
      </c>
      <c r="AR942" s="55" t="str">
        <f>IF(OR($AM942=0,$C942=""),"",IFERROR(N(INDEX(Accounts!$E$7:$E$16,MATCH($C942,Accounts!$B$7:$B$16,0))),0)+SUMIFS($Q$6:$Q$1005,$C$6:$C$1005,$C942,$A$6:$A$1005,"&lt;="&amp;$A942))</f>
        <v/>
      </c>
      <c r="AS942" s="56">
        <f>IF(OR($AM942=0,$Q942=""),0,IF(AND($A942&gt;=Lists!$W$6,$A942&lt;=Lists!$W$7,OR(Dashboard!$D$6="All accounts",$C942=Dashboard!$D$6),OR(Dashboard!$D$7="All markets",$AF942=Dashboard!$D$7)),1,0))</f>
        <v>0</v>
      </c>
      <c r="AT942" s="55">
        <f>IF($AS942=1,N(AT941)+$Q942,N(AT941))</f>
        <v>1187.10688</v>
      </c>
      <c r="AU942" s="55">
        <f>MAX(N(AU941),$AT942)</f>
        <v>1187.10688</v>
      </c>
      <c r="AV942" s="55">
        <f>$AT942-$AU942</f>
        <v>0</v>
      </c>
      <c r="AW942" s="56">
        <f>IF($AS942=1,IF($S942="Win",N(AW941)+1,IF($S942="Loss",0,N(AW941))),N(AW941))</f>
        <v>5</v>
      </c>
      <c r="AX942" s="56">
        <f>IF($AS942=1,IF($S942="Loss",N(AX941)+1,IF($S942="Win",0,N(AX941))),N(AX941))</f>
        <v>0</v>
      </c>
      <c r="AY942" s="56" t="str">
        <f>IF($AS942=1,COUNTIF($AS$6:$AS942,1),"")</f>
        <v/>
      </c>
      <c r="AZ942" s="56">
        <f>MIN(936,N(Lists!$W$8))</f>
        <v>28</v>
      </c>
      <c r="BA942" s="56">
        <f>IF($AS942=1,IF(COUNTIFS($A$6:$A942,$A942,$AS$6:$AS942,1)=1,1,0),0)</f>
        <v>0</v>
      </c>
      <c r="BB942" s="55" t="str">
        <f>IF($BA942=1,SUMIFS($Q$6:$Q$1005,$A$6:$A$1005,$A942,$AS$6:$AS$1005,1),"")</f>
        <v/>
      </c>
      <c r="BC942" s="56">
        <f>IF(ISNUMBER($R942),1,0)</f>
        <v>0</v>
      </c>
      <c r="BD942" s="55" t="str">
        <f>IF(ISNUMBER($U942),$U942*$V942,"")</f>
        <v/>
      </c>
      <c r="BE942" s="56" t="str">
        <f>IF($AM942=0,"",IFERROR(MATCH($AF942&amp;"|"&amp;UPPER(TRIM($E942)),Lists!$A$6:$A$205,0),0))</f>
        <v/>
      </c>
      <c r="BF942" s="56" t="str">
        <f>IF($AM942=0,"",IFERROR(MATCH($AF942,Settings!$B$14:$B$18,0),IFERROR(MATCH(Settings!$C$6,Settings!$B$14:$B$18,0),1)))</f>
        <v/>
      </c>
      <c r="BG942" s="58" t="str">
        <f>IF($AM942=0,"",IF(NOT(ISNUMBER($I942)),"No stop; ","")&amp;IF(AND(ISNUMBER($H942),ISNUMBER($I942)),IF(OR(AND($F942&lt;&gt;"Short",$I942&gt;=$H942),AND($F942="Short",$I942&lt;=$H942)),"Stop on wrong side; ",""),"")&amp;IF($F942="","No direction; ","")&amp;IF(AND(ISNUMBER(Settings!$C$22),ISNUMBER($V942)),IF($V942&gt;Settings!$C$22,"Risk over max $; ",""),"")&amp;IF(AND(ISNUMBER(Settings!$C$23),ISNUMBER($V942),ISNUMBER($AP942),IFERROR(N(INDEX(Accounts!$E$7:$E$16,MATCH($C942,Accounts!$B$7:$B$16,0))),0)&gt;0),IF($V942&gt;Settings!$C$23*($AP942-N($Q942)),"Risk over max %; ",""),"")&amp;IF(AND(ISNUMBER(Settings!$C$24),ISNUMBER($N942)),IF($N942&gt;Settings!$C$24,"Leverage over max; ",""),"")&amp;IF(AND(ISNUMBER(Settings!$C$27),ISNUMBER($T942)),IF($T942&lt;Settings!$C$27,"R:R below min; ",""),"")&amp;IF(ISNUMBER(Settings!$C$25),IF(COUNTIFS($A$6:$A942,$A942,$AM$6:$AM942,1)&gt;Settings!$C$25,"Over max trades/day; ",""),"")&amp;IF(ISNUMBER(Settings!$C$26),IF(SUMIFS($Q$5:$Q941,$A$5:$A941,$A942)&lt;=-Settings!$C$26,"Traded after daily max loss; ",""),"")&amp;IF(AND($AG942="",NOT(ISNUMBER($O942))),"Symbol not in Instruments; ","")&amp;IF(AND($AH942="",NOT(ISNUMBER($O942))),"Forex cross: type Gross P&amp;L; ",""))</f>
        <v/>
      </c>
      <c r="BH942" s="56">
        <f>IF(ISNUMBER($Q942),1,0)</f>
        <v>0</v>
      </c>
      <c r="BI942" s="56">
        <f>IF($Y942="",0,1)</f>
        <v>0</v>
      </c>
      <c r="BJ942" s="56">
        <f>IF($AB942="",0,1)</f>
        <v>0</v>
      </c>
      <c r="BK942" s="56">
        <f>IF(AND($BH942=1,$W942&lt;&gt;"OK"),1,0)</f>
        <v>0</v>
      </c>
      <c r="BL942" s="55">
        <f>IF(N($AZ942)=0,0,IFERROR(INDEX($AT$6:$AT$1005,MATCH($AZ942,$AY$6:$AY$1005,0)),0))</f>
        <v>1187.10688</v>
      </c>
      <c r="BM942" s="56">
        <f>IF(ISNUMBER(SEARCH("daily max loss",$BG942)),1,0)</f>
        <v>0</v>
      </c>
    </row>
    <row r="943" ht="18" customHeight="1">
      <c r="A943" s="38" t="n"/>
      <c r="B943" s="39" t="n"/>
      <c r="C943" s="40" t="n"/>
      <c r="D943" s="41" t="n"/>
      <c r="E943" s="41" t="n"/>
      <c r="F943" s="41" t="n"/>
      <c r="G943" s="41" t="n"/>
      <c r="H943" s="42" t="n"/>
      <c r="I943" s="42" t="n"/>
      <c r="J943" s="42" t="n"/>
      <c r="K943" s="42" t="n"/>
      <c r="L943" s="41" t="n"/>
      <c r="M943" s="41" t="n"/>
      <c r="N943" s="41" t="n"/>
      <c r="O943" s="43" t="n"/>
      <c r="P943" s="43" t="n"/>
      <c r="Q943" s="44" t="str">
        <f>IF($AM943=0,"",IF(ISNUMBER($AK943),$AK943-N($AL943),""))</f>
        <v/>
      </c>
      <c r="R943" s="45" t="str">
        <f>IF(OR($Q943="",NOT(ISNUMBER($V943))),"",$AK943/$V943)</f>
        <v/>
      </c>
      <c r="S943" s="46" t="str">
        <f>IF($Q943="","",IF(AND(ISNUMBER($R943),ABS(N($R943))&lt;N(Settings!$C$8)),"Scratch",IF($Q943&gt;0,"Win",IF($Q943&lt;0,"Loss","Scratch"))))</f>
        <v/>
      </c>
      <c r="T943" s="47" t="str">
        <f>IF(OR($AM943=0,NOT(ISNUMBER($H943)),NOT(ISNUMBER($I943)),NOT(ISNUMBER($J943))),"",IF($H943=$I943,"",ROUND(ABS($J943-$H943)/ABS($H943-$I943),6)))</f>
        <v/>
      </c>
      <c r="U943" s="48" t="str">
        <f>IF(OR($S943&lt;&gt;"Win",NOT(ISNUMBER($T943)),NOT(ISNUMBER($R943))),"",MAX(0,$T943-$R943))</f>
        <v/>
      </c>
      <c r="V943" s="49" t="str">
        <f>IF(OR($AM943=0,NOT(ISNUMBER($H943)),NOT(ISNUMBER($I943)),NOT(ISNUMBER($G943))),"",IF(OR($AG943="",$AH943=""),"",IF(ROUND(ABS($H943-$I943)*ABS($G943)*$AG943*$AH943,6)=0,"",ROUND(ABS($H943-$I943)*ABS($G943)*$AG943*$AH943,6))))</f>
        <v/>
      </c>
      <c r="W943" s="50" t="str">
        <f>IF($AM943=0,"",IF($BG943="","OK",LEFT($BG943,LEN($BG943)-2)))</f>
        <v/>
      </c>
      <c r="X943" s="41" t="n"/>
      <c r="Y943" s="40" t="n"/>
      <c r="Z943" s="41" t="n"/>
      <c r="AA943" s="41" t="n"/>
      <c r="AB943" s="40" t="n"/>
      <c r="AC943" s="51" t="n"/>
      <c r="AD943" s="51" t="n"/>
      <c r="AE943" s="40" t="n"/>
      <c r="AF943" s="52" t="str">
        <f>IF($AM943=0,"",IF($D943&lt;&gt;"",$D943,IF(IFERROR(INDEX(Accounts!$C$7:$C$16,MATCH($C943,Accounts!$B$7:$B$16,0))&amp;"","")&lt;&gt;"",INDEX(Accounts!$C$7:$C$16,MATCH($C943,Accounts!$B$7:$B$16,0)),Settings!$C$6)))</f>
        <v/>
      </c>
      <c r="AG943" s="53" t="str">
        <f>IF($AM943=0,"",IF(AND($BE943&gt;0,N(INDEX(Instruments!$D$6:$D$205,MAX(1,$BE943)))&gt;0),INDEX(Instruments!$D$6:$D$205,MAX(1,$BE943)),IF(N(INDEX(Settings!$D$14:$D$18,$BF943))&gt;0,INDEX(Settings!$D$14:$D$18,$BF943),"")))</f>
        <v/>
      </c>
      <c r="AH943" s="54" t="str">
        <f>IF($AM943=0,"",IF($AF943&lt;&gt;"Forex",1,IF(MID(UPPER(SUBSTITUTE(TRIM($E943),"/","")),4,3)=UPPER(TRIM(Settings!$C$7)),1,IF(LEFT(UPPER(SUBSTITUTE(TRIM($E943),"/","")),3)=UPPER(TRIM(Settings!$C$7)),IF(AND(ISNUMBER($K943),N($K943)&lt;&gt;0),1/$K943,""),""))))</f>
        <v/>
      </c>
      <c r="AI943" s="55" t="str">
        <f>IF($AM943=0,"",IF(OR(NOT(ISNUMBER($H943)),NOT(ISNUMBER($K943)),NOT(ISNUMBER($G943)),$AG943="",$AH943=""),"",ROUND(($K943-$H943)*IF($F943="Short",-1,1)*$G943*$AG943*$AH943,6)))</f>
        <v/>
      </c>
      <c r="AJ943" s="55" t="str">
        <f>IF($AM943=0,"",IF(INDEX(Settings!$E$14:$E$18,$BF943)="% of notional",IF(OR($AG943="",NOT(ISNUMBER($H943)),NOT(ISNUMBER($G943))),"",ROUND(ABS($H943*$G943*$AG943*N($AH943))*IF($L943="Limit",N(INDEX(Settings!$G$14:$G$18,$BF943)),N(INDEX(Settings!$H$14:$H$18,$BF943)))+IF(ISNUMBER($K943),ABS($K943*$G943*$AG943*N($AH943))*IF($M943="Target",N(INDEX(Settings!$G$14:$G$18,$BF943)),N(INDEX(Settings!$H$14:$H$18,$BF943))),0),6)),IF(NOT(ISNUMBER($G943)),"",ROUND(ABS($G943)*2*IF(AND($BE943&gt;0,ISNUMBER(INDEX(Instruments!$G$6:$G$205,MAX(1,$BE943)))),INDEX(Instruments!$G$6:$G$205,MAX(1,$BE943)),N(INDEX(Settings!$F$14:$F$18,$BF943))),6))))</f>
        <v/>
      </c>
      <c r="AK943" s="55" t="str">
        <f>IF($AM943=0,"",IF(ISNUMBER($O943),$O943,$AI943))</f>
        <v/>
      </c>
      <c r="AL943" s="55" t="str">
        <f>IF($AM943=0,"",IF(ISNUMBER($P943),$P943,N($AJ943)))</f>
        <v/>
      </c>
      <c r="AM943" s="56">
        <f>IF(AND($A943&lt;&gt;"",$E943&lt;&gt;"",OR(AND(ISNUMBER($G943),ISNUMBER($H943),ISNUMBER($K943)),ISNUMBER($O943))),1,0)</f>
        <v>0</v>
      </c>
      <c r="AN943" s="57" t="str">
        <f>IF($A943="","",$A943-WEEKDAY($A943,3))</f>
        <v/>
      </c>
      <c r="AO943" s="56" t="str">
        <f>IF($A943="","",WEEKDAY($A943,2))</f>
        <v/>
      </c>
      <c r="AP943" s="55" t="str">
        <f>IF(OR($AM943=0,$C943=""),"",IFERROR(N(INDEX(Accounts!$E$7:$E$16,MATCH($C943,Accounts!$B$7:$B$16,0))),0)+SUMIFS($Q$6:$Q943,$C$6:$C943,$C943))</f>
        <v/>
      </c>
      <c r="AQ943" s="55" t="str">
        <f>IF(OR($AM943=0,$C943=""),"",SUMIFS($Q$6:$Q$1005,$C$6:$C$1005,$C943,$A$6:$A$1005,$A943))</f>
        <v/>
      </c>
      <c r="AR943" s="55" t="str">
        <f>IF(OR($AM943=0,$C943=""),"",IFERROR(N(INDEX(Accounts!$E$7:$E$16,MATCH($C943,Accounts!$B$7:$B$16,0))),0)+SUMIFS($Q$6:$Q$1005,$C$6:$C$1005,$C943,$A$6:$A$1005,"&lt;="&amp;$A943))</f>
        <v/>
      </c>
      <c r="AS943" s="56">
        <f>IF(OR($AM943=0,$Q943=""),0,IF(AND($A943&gt;=Lists!$W$6,$A943&lt;=Lists!$W$7,OR(Dashboard!$D$6="All accounts",$C943=Dashboard!$D$6),OR(Dashboard!$D$7="All markets",$AF943=Dashboard!$D$7)),1,0))</f>
        <v>0</v>
      </c>
      <c r="AT943" s="55">
        <f>IF($AS943=1,N(AT942)+$Q943,N(AT942))</f>
        <v>1187.10688</v>
      </c>
      <c r="AU943" s="55">
        <f>MAX(N(AU942),$AT943)</f>
        <v>1187.10688</v>
      </c>
      <c r="AV943" s="55">
        <f>$AT943-$AU943</f>
        <v>0</v>
      </c>
      <c r="AW943" s="56">
        <f>IF($AS943=1,IF($S943="Win",N(AW942)+1,IF($S943="Loss",0,N(AW942))),N(AW942))</f>
        <v>5</v>
      </c>
      <c r="AX943" s="56">
        <f>IF($AS943=1,IF($S943="Loss",N(AX942)+1,IF($S943="Win",0,N(AX942))),N(AX942))</f>
        <v>0</v>
      </c>
      <c r="AY943" s="56" t="str">
        <f>IF($AS943=1,COUNTIF($AS$6:$AS943,1),"")</f>
        <v/>
      </c>
      <c r="AZ943" s="56">
        <f>MIN(937,N(Lists!$W$8))</f>
        <v>28</v>
      </c>
      <c r="BA943" s="56">
        <f>IF($AS943=1,IF(COUNTIFS($A$6:$A943,$A943,$AS$6:$AS943,1)=1,1,0),0)</f>
        <v>0</v>
      </c>
      <c r="BB943" s="55" t="str">
        <f>IF($BA943=1,SUMIFS($Q$6:$Q$1005,$A$6:$A$1005,$A943,$AS$6:$AS$1005,1),"")</f>
        <v/>
      </c>
      <c r="BC943" s="56">
        <f>IF(ISNUMBER($R943),1,0)</f>
        <v>0</v>
      </c>
      <c r="BD943" s="55" t="str">
        <f>IF(ISNUMBER($U943),$U943*$V943,"")</f>
        <v/>
      </c>
      <c r="BE943" s="56" t="str">
        <f>IF($AM943=0,"",IFERROR(MATCH($AF943&amp;"|"&amp;UPPER(TRIM($E943)),Lists!$A$6:$A$205,0),0))</f>
        <v/>
      </c>
      <c r="BF943" s="56" t="str">
        <f>IF($AM943=0,"",IFERROR(MATCH($AF943,Settings!$B$14:$B$18,0),IFERROR(MATCH(Settings!$C$6,Settings!$B$14:$B$18,0),1)))</f>
        <v/>
      </c>
      <c r="BG943" s="58" t="str">
        <f>IF($AM943=0,"",IF(NOT(ISNUMBER($I943)),"No stop; ","")&amp;IF(AND(ISNUMBER($H943),ISNUMBER($I943)),IF(OR(AND($F943&lt;&gt;"Short",$I943&gt;=$H943),AND($F943="Short",$I943&lt;=$H943)),"Stop on wrong side; ",""),"")&amp;IF($F943="","No direction; ","")&amp;IF(AND(ISNUMBER(Settings!$C$22),ISNUMBER($V943)),IF($V943&gt;Settings!$C$22,"Risk over max $; ",""),"")&amp;IF(AND(ISNUMBER(Settings!$C$23),ISNUMBER($V943),ISNUMBER($AP943),IFERROR(N(INDEX(Accounts!$E$7:$E$16,MATCH($C943,Accounts!$B$7:$B$16,0))),0)&gt;0),IF($V943&gt;Settings!$C$23*($AP943-N($Q943)),"Risk over max %; ",""),"")&amp;IF(AND(ISNUMBER(Settings!$C$24),ISNUMBER($N943)),IF($N943&gt;Settings!$C$24,"Leverage over max; ",""),"")&amp;IF(AND(ISNUMBER(Settings!$C$27),ISNUMBER($T943)),IF($T943&lt;Settings!$C$27,"R:R below min; ",""),"")&amp;IF(ISNUMBER(Settings!$C$25),IF(COUNTIFS($A$6:$A943,$A943,$AM$6:$AM943,1)&gt;Settings!$C$25,"Over max trades/day; ",""),"")&amp;IF(ISNUMBER(Settings!$C$26),IF(SUMIFS($Q$5:$Q942,$A$5:$A942,$A943)&lt;=-Settings!$C$26,"Traded after daily max loss; ",""),"")&amp;IF(AND($AG943="",NOT(ISNUMBER($O943))),"Symbol not in Instruments; ","")&amp;IF(AND($AH943="",NOT(ISNUMBER($O943))),"Forex cross: type Gross P&amp;L; ",""))</f>
        <v/>
      </c>
      <c r="BH943" s="56">
        <f>IF(ISNUMBER($Q943),1,0)</f>
        <v>0</v>
      </c>
      <c r="BI943" s="56">
        <f>IF($Y943="",0,1)</f>
        <v>0</v>
      </c>
      <c r="BJ943" s="56">
        <f>IF($AB943="",0,1)</f>
        <v>0</v>
      </c>
      <c r="BK943" s="56">
        <f>IF(AND($BH943=1,$W943&lt;&gt;"OK"),1,0)</f>
        <v>0</v>
      </c>
      <c r="BL943" s="55">
        <f>IF(N($AZ943)=0,0,IFERROR(INDEX($AT$6:$AT$1005,MATCH($AZ943,$AY$6:$AY$1005,0)),0))</f>
        <v>1187.10688</v>
      </c>
      <c r="BM943" s="56">
        <f>IF(ISNUMBER(SEARCH("daily max loss",$BG943)),1,0)</f>
        <v>0</v>
      </c>
    </row>
    <row r="944" ht="18" customHeight="1">
      <c r="A944" s="38" t="n"/>
      <c r="B944" s="39" t="n"/>
      <c r="C944" s="40" t="n"/>
      <c r="D944" s="41" t="n"/>
      <c r="E944" s="41" t="n"/>
      <c r="F944" s="41" t="n"/>
      <c r="G944" s="41" t="n"/>
      <c r="H944" s="42" t="n"/>
      <c r="I944" s="42" t="n"/>
      <c r="J944" s="42" t="n"/>
      <c r="K944" s="42" t="n"/>
      <c r="L944" s="41" t="n"/>
      <c r="M944" s="41" t="n"/>
      <c r="N944" s="41" t="n"/>
      <c r="O944" s="43" t="n"/>
      <c r="P944" s="43" t="n"/>
      <c r="Q944" s="44" t="str">
        <f>IF($AM944=0,"",IF(ISNUMBER($AK944),$AK944-N($AL944),""))</f>
        <v/>
      </c>
      <c r="R944" s="45" t="str">
        <f>IF(OR($Q944="",NOT(ISNUMBER($V944))),"",$AK944/$V944)</f>
        <v/>
      </c>
      <c r="S944" s="46" t="str">
        <f>IF($Q944="","",IF(AND(ISNUMBER($R944),ABS(N($R944))&lt;N(Settings!$C$8)),"Scratch",IF($Q944&gt;0,"Win",IF($Q944&lt;0,"Loss","Scratch"))))</f>
        <v/>
      </c>
      <c r="T944" s="47" t="str">
        <f>IF(OR($AM944=0,NOT(ISNUMBER($H944)),NOT(ISNUMBER($I944)),NOT(ISNUMBER($J944))),"",IF($H944=$I944,"",ROUND(ABS($J944-$H944)/ABS($H944-$I944),6)))</f>
        <v/>
      </c>
      <c r="U944" s="48" t="str">
        <f>IF(OR($S944&lt;&gt;"Win",NOT(ISNUMBER($T944)),NOT(ISNUMBER($R944))),"",MAX(0,$T944-$R944))</f>
        <v/>
      </c>
      <c r="V944" s="49" t="str">
        <f>IF(OR($AM944=0,NOT(ISNUMBER($H944)),NOT(ISNUMBER($I944)),NOT(ISNUMBER($G944))),"",IF(OR($AG944="",$AH944=""),"",IF(ROUND(ABS($H944-$I944)*ABS($G944)*$AG944*$AH944,6)=0,"",ROUND(ABS($H944-$I944)*ABS($G944)*$AG944*$AH944,6))))</f>
        <v/>
      </c>
      <c r="W944" s="50" t="str">
        <f>IF($AM944=0,"",IF($BG944="","OK",LEFT($BG944,LEN($BG944)-2)))</f>
        <v/>
      </c>
      <c r="X944" s="41" t="n"/>
      <c r="Y944" s="40" t="n"/>
      <c r="Z944" s="41" t="n"/>
      <c r="AA944" s="41" t="n"/>
      <c r="AB944" s="40" t="n"/>
      <c r="AC944" s="51" t="n"/>
      <c r="AD944" s="51" t="n"/>
      <c r="AE944" s="40" t="n"/>
      <c r="AF944" s="52" t="str">
        <f>IF($AM944=0,"",IF($D944&lt;&gt;"",$D944,IF(IFERROR(INDEX(Accounts!$C$7:$C$16,MATCH($C944,Accounts!$B$7:$B$16,0))&amp;"","")&lt;&gt;"",INDEX(Accounts!$C$7:$C$16,MATCH($C944,Accounts!$B$7:$B$16,0)),Settings!$C$6)))</f>
        <v/>
      </c>
      <c r="AG944" s="53" t="str">
        <f>IF($AM944=0,"",IF(AND($BE944&gt;0,N(INDEX(Instruments!$D$6:$D$205,MAX(1,$BE944)))&gt;0),INDEX(Instruments!$D$6:$D$205,MAX(1,$BE944)),IF(N(INDEX(Settings!$D$14:$D$18,$BF944))&gt;0,INDEX(Settings!$D$14:$D$18,$BF944),"")))</f>
        <v/>
      </c>
      <c r="AH944" s="54" t="str">
        <f>IF($AM944=0,"",IF($AF944&lt;&gt;"Forex",1,IF(MID(UPPER(SUBSTITUTE(TRIM($E944),"/","")),4,3)=UPPER(TRIM(Settings!$C$7)),1,IF(LEFT(UPPER(SUBSTITUTE(TRIM($E944),"/","")),3)=UPPER(TRIM(Settings!$C$7)),IF(AND(ISNUMBER($K944),N($K944)&lt;&gt;0),1/$K944,""),""))))</f>
        <v/>
      </c>
      <c r="AI944" s="55" t="str">
        <f>IF($AM944=0,"",IF(OR(NOT(ISNUMBER($H944)),NOT(ISNUMBER($K944)),NOT(ISNUMBER($G944)),$AG944="",$AH944=""),"",ROUND(($K944-$H944)*IF($F944="Short",-1,1)*$G944*$AG944*$AH944,6)))</f>
        <v/>
      </c>
      <c r="AJ944" s="55" t="str">
        <f>IF($AM944=0,"",IF(INDEX(Settings!$E$14:$E$18,$BF944)="% of notional",IF(OR($AG944="",NOT(ISNUMBER($H944)),NOT(ISNUMBER($G944))),"",ROUND(ABS($H944*$G944*$AG944*N($AH944))*IF($L944="Limit",N(INDEX(Settings!$G$14:$G$18,$BF944)),N(INDEX(Settings!$H$14:$H$18,$BF944)))+IF(ISNUMBER($K944),ABS($K944*$G944*$AG944*N($AH944))*IF($M944="Target",N(INDEX(Settings!$G$14:$G$18,$BF944)),N(INDEX(Settings!$H$14:$H$18,$BF944))),0),6)),IF(NOT(ISNUMBER($G944)),"",ROUND(ABS($G944)*2*IF(AND($BE944&gt;0,ISNUMBER(INDEX(Instruments!$G$6:$G$205,MAX(1,$BE944)))),INDEX(Instruments!$G$6:$G$205,MAX(1,$BE944)),N(INDEX(Settings!$F$14:$F$18,$BF944))),6))))</f>
        <v/>
      </c>
      <c r="AK944" s="55" t="str">
        <f>IF($AM944=0,"",IF(ISNUMBER($O944),$O944,$AI944))</f>
        <v/>
      </c>
      <c r="AL944" s="55" t="str">
        <f>IF($AM944=0,"",IF(ISNUMBER($P944),$P944,N($AJ944)))</f>
        <v/>
      </c>
      <c r="AM944" s="56">
        <f>IF(AND($A944&lt;&gt;"",$E944&lt;&gt;"",OR(AND(ISNUMBER($G944),ISNUMBER($H944),ISNUMBER($K944)),ISNUMBER($O944))),1,0)</f>
        <v>0</v>
      </c>
      <c r="AN944" s="57" t="str">
        <f>IF($A944="","",$A944-WEEKDAY($A944,3))</f>
        <v/>
      </c>
      <c r="AO944" s="56" t="str">
        <f>IF($A944="","",WEEKDAY($A944,2))</f>
        <v/>
      </c>
      <c r="AP944" s="55" t="str">
        <f>IF(OR($AM944=0,$C944=""),"",IFERROR(N(INDEX(Accounts!$E$7:$E$16,MATCH($C944,Accounts!$B$7:$B$16,0))),0)+SUMIFS($Q$6:$Q944,$C$6:$C944,$C944))</f>
        <v/>
      </c>
      <c r="AQ944" s="55" t="str">
        <f>IF(OR($AM944=0,$C944=""),"",SUMIFS($Q$6:$Q$1005,$C$6:$C$1005,$C944,$A$6:$A$1005,$A944))</f>
        <v/>
      </c>
      <c r="AR944" s="55" t="str">
        <f>IF(OR($AM944=0,$C944=""),"",IFERROR(N(INDEX(Accounts!$E$7:$E$16,MATCH($C944,Accounts!$B$7:$B$16,0))),0)+SUMIFS($Q$6:$Q$1005,$C$6:$C$1005,$C944,$A$6:$A$1005,"&lt;="&amp;$A944))</f>
        <v/>
      </c>
      <c r="AS944" s="56">
        <f>IF(OR($AM944=0,$Q944=""),0,IF(AND($A944&gt;=Lists!$W$6,$A944&lt;=Lists!$W$7,OR(Dashboard!$D$6="All accounts",$C944=Dashboard!$D$6),OR(Dashboard!$D$7="All markets",$AF944=Dashboard!$D$7)),1,0))</f>
        <v>0</v>
      </c>
      <c r="AT944" s="55">
        <f>IF($AS944=1,N(AT943)+$Q944,N(AT943))</f>
        <v>1187.10688</v>
      </c>
      <c r="AU944" s="55">
        <f>MAX(N(AU943),$AT944)</f>
        <v>1187.10688</v>
      </c>
      <c r="AV944" s="55">
        <f>$AT944-$AU944</f>
        <v>0</v>
      </c>
      <c r="AW944" s="56">
        <f>IF($AS944=1,IF($S944="Win",N(AW943)+1,IF($S944="Loss",0,N(AW943))),N(AW943))</f>
        <v>5</v>
      </c>
      <c r="AX944" s="56">
        <f>IF($AS944=1,IF($S944="Loss",N(AX943)+1,IF($S944="Win",0,N(AX943))),N(AX943))</f>
        <v>0</v>
      </c>
      <c r="AY944" s="56" t="str">
        <f>IF($AS944=1,COUNTIF($AS$6:$AS944,1),"")</f>
        <v/>
      </c>
      <c r="AZ944" s="56">
        <f>MIN(938,N(Lists!$W$8))</f>
        <v>28</v>
      </c>
      <c r="BA944" s="56">
        <f>IF($AS944=1,IF(COUNTIFS($A$6:$A944,$A944,$AS$6:$AS944,1)=1,1,0),0)</f>
        <v>0</v>
      </c>
      <c r="BB944" s="55" t="str">
        <f>IF($BA944=1,SUMIFS($Q$6:$Q$1005,$A$6:$A$1005,$A944,$AS$6:$AS$1005,1),"")</f>
        <v/>
      </c>
      <c r="BC944" s="56">
        <f>IF(ISNUMBER($R944),1,0)</f>
        <v>0</v>
      </c>
      <c r="BD944" s="55" t="str">
        <f>IF(ISNUMBER($U944),$U944*$V944,"")</f>
        <v/>
      </c>
      <c r="BE944" s="56" t="str">
        <f>IF($AM944=0,"",IFERROR(MATCH($AF944&amp;"|"&amp;UPPER(TRIM($E944)),Lists!$A$6:$A$205,0),0))</f>
        <v/>
      </c>
      <c r="BF944" s="56" t="str">
        <f>IF($AM944=0,"",IFERROR(MATCH($AF944,Settings!$B$14:$B$18,0),IFERROR(MATCH(Settings!$C$6,Settings!$B$14:$B$18,0),1)))</f>
        <v/>
      </c>
      <c r="BG944" s="58" t="str">
        <f>IF($AM944=0,"",IF(NOT(ISNUMBER($I944)),"No stop; ","")&amp;IF(AND(ISNUMBER($H944),ISNUMBER($I944)),IF(OR(AND($F944&lt;&gt;"Short",$I944&gt;=$H944),AND($F944="Short",$I944&lt;=$H944)),"Stop on wrong side; ",""),"")&amp;IF($F944="","No direction; ","")&amp;IF(AND(ISNUMBER(Settings!$C$22),ISNUMBER($V944)),IF($V944&gt;Settings!$C$22,"Risk over max $; ",""),"")&amp;IF(AND(ISNUMBER(Settings!$C$23),ISNUMBER($V944),ISNUMBER($AP944),IFERROR(N(INDEX(Accounts!$E$7:$E$16,MATCH($C944,Accounts!$B$7:$B$16,0))),0)&gt;0),IF($V944&gt;Settings!$C$23*($AP944-N($Q944)),"Risk over max %; ",""),"")&amp;IF(AND(ISNUMBER(Settings!$C$24),ISNUMBER($N944)),IF($N944&gt;Settings!$C$24,"Leverage over max; ",""),"")&amp;IF(AND(ISNUMBER(Settings!$C$27),ISNUMBER($T944)),IF($T944&lt;Settings!$C$27,"R:R below min; ",""),"")&amp;IF(ISNUMBER(Settings!$C$25),IF(COUNTIFS($A$6:$A944,$A944,$AM$6:$AM944,1)&gt;Settings!$C$25,"Over max trades/day; ",""),"")&amp;IF(ISNUMBER(Settings!$C$26),IF(SUMIFS($Q$5:$Q943,$A$5:$A943,$A944)&lt;=-Settings!$C$26,"Traded after daily max loss; ",""),"")&amp;IF(AND($AG944="",NOT(ISNUMBER($O944))),"Symbol not in Instruments; ","")&amp;IF(AND($AH944="",NOT(ISNUMBER($O944))),"Forex cross: type Gross P&amp;L; ",""))</f>
        <v/>
      </c>
      <c r="BH944" s="56">
        <f>IF(ISNUMBER($Q944),1,0)</f>
        <v>0</v>
      </c>
      <c r="BI944" s="56">
        <f>IF($Y944="",0,1)</f>
        <v>0</v>
      </c>
      <c r="BJ944" s="56">
        <f>IF($AB944="",0,1)</f>
        <v>0</v>
      </c>
      <c r="BK944" s="56">
        <f>IF(AND($BH944=1,$W944&lt;&gt;"OK"),1,0)</f>
        <v>0</v>
      </c>
      <c r="BL944" s="55">
        <f>IF(N($AZ944)=0,0,IFERROR(INDEX($AT$6:$AT$1005,MATCH($AZ944,$AY$6:$AY$1005,0)),0))</f>
        <v>1187.10688</v>
      </c>
      <c r="BM944" s="56">
        <f>IF(ISNUMBER(SEARCH("daily max loss",$BG944)),1,0)</f>
        <v>0</v>
      </c>
    </row>
    <row r="945" ht="18" customHeight="1">
      <c r="A945" s="38" t="n"/>
      <c r="B945" s="39" t="n"/>
      <c r="C945" s="40" t="n"/>
      <c r="D945" s="41" t="n"/>
      <c r="E945" s="41" t="n"/>
      <c r="F945" s="41" t="n"/>
      <c r="G945" s="41" t="n"/>
      <c r="H945" s="42" t="n"/>
      <c r="I945" s="42" t="n"/>
      <c r="J945" s="42" t="n"/>
      <c r="K945" s="42" t="n"/>
      <c r="L945" s="41" t="n"/>
      <c r="M945" s="41" t="n"/>
      <c r="N945" s="41" t="n"/>
      <c r="O945" s="43" t="n"/>
      <c r="P945" s="43" t="n"/>
      <c r="Q945" s="44" t="str">
        <f>IF($AM945=0,"",IF(ISNUMBER($AK945),$AK945-N($AL945),""))</f>
        <v/>
      </c>
      <c r="R945" s="45" t="str">
        <f>IF(OR($Q945="",NOT(ISNUMBER($V945))),"",$AK945/$V945)</f>
        <v/>
      </c>
      <c r="S945" s="46" t="str">
        <f>IF($Q945="","",IF(AND(ISNUMBER($R945),ABS(N($R945))&lt;N(Settings!$C$8)),"Scratch",IF($Q945&gt;0,"Win",IF($Q945&lt;0,"Loss","Scratch"))))</f>
        <v/>
      </c>
      <c r="T945" s="47" t="str">
        <f>IF(OR($AM945=0,NOT(ISNUMBER($H945)),NOT(ISNUMBER($I945)),NOT(ISNUMBER($J945))),"",IF($H945=$I945,"",ROUND(ABS($J945-$H945)/ABS($H945-$I945),6)))</f>
        <v/>
      </c>
      <c r="U945" s="48" t="str">
        <f>IF(OR($S945&lt;&gt;"Win",NOT(ISNUMBER($T945)),NOT(ISNUMBER($R945))),"",MAX(0,$T945-$R945))</f>
        <v/>
      </c>
      <c r="V945" s="49" t="str">
        <f>IF(OR($AM945=0,NOT(ISNUMBER($H945)),NOT(ISNUMBER($I945)),NOT(ISNUMBER($G945))),"",IF(OR($AG945="",$AH945=""),"",IF(ROUND(ABS($H945-$I945)*ABS($G945)*$AG945*$AH945,6)=0,"",ROUND(ABS($H945-$I945)*ABS($G945)*$AG945*$AH945,6))))</f>
        <v/>
      </c>
      <c r="W945" s="50" t="str">
        <f>IF($AM945=0,"",IF($BG945="","OK",LEFT($BG945,LEN($BG945)-2)))</f>
        <v/>
      </c>
      <c r="X945" s="41" t="n"/>
      <c r="Y945" s="40" t="n"/>
      <c r="Z945" s="41" t="n"/>
      <c r="AA945" s="41" t="n"/>
      <c r="AB945" s="40" t="n"/>
      <c r="AC945" s="51" t="n"/>
      <c r="AD945" s="51" t="n"/>
      <c r="AE945" s="40" t="n"/>
      <c r="AF945" s="52" t="str">
        <f>IF($AM945=0,"",IF($D945&lt;&gt;"",$D945,IF(IFERROR(INDEX(Accounts!$C$7:$C$16,MATCH($C945,Accounts!$B$7:$B$16,0))&amp;"","")&lt;&gt;"",INDEX(Accounts!$C$7:$C$16,MATCH($C945,Accounts!$B$7:$B$16,0)),Settings!$C$6)))</f>
        <v/>
      </c>
      <c r="AG945" s="53" t="str">
        <f>IF($AM945=0,"",IF(AND($BE945&gt;0,N(INDEX(Instruments!$D$6:$D$205,MAX(1,$BE945)))&gt;0),INDEX(Instruments!$D$6:$D$205,MAX(1,$BE945)),IF(N(INDEX(Settings!$D$14:$D$18,$BF945))&gt;0,INDEX(Settings!$D$14:$D$18,$BF945),"")))</f>
        <v/>
      </c>
      <c r="AH945" s="54" t="str">
        <f>IF($AM945=0,"",IF($AF945&lt;&gt;"Forex",1,IF(MID(UPPER(SUBSTITUTE(TRIM($E945),"/","")),4,3)=UPPER(TRIM(Settings!$C$7)),1,IF(LEFT(UPPER(SUBSTITUTE(TRIM($E945),"/","")),3)=UPPER(TRIM(Settings!$C$7)),IF(AND(ISNUMBER($K945),N($K945)&lt;&gt;0),1/$K945,""),""))))</f>
        <v/>
      </c>
      <c r="AI945" s="55" t="str">
        <f>IF($AM945=0,"",IF(OR(NOT(ISNUMBER($H945)),NOT(ISNUMBER($K945)),NOT(ISNUMBER($G945)),$AG945="",$AH945=""),"",ROUND(($K945-$H945)*IF($F945="Short",-1,1)*$G945*$AG945*$AH945,6)))</f>
        <v/>
      </c>
      <c r="AJ945" s="55" t="str">
        <f>IF($AM945=0,"",IF(INDEX(Settings!$E$14:$E$18,$BF945)="% of notional",IF(OR($AG945="",NOT(ISNUMBER($H945)),NOT(ISNUMBER($G945))),"",ROUND(ABS($H945*$G945*$AG945*N($AH945))*IF($L945="Limit",N(INDEX(Settings!$G$14:$G$18,$BF945)),N(INDEX(Settings!$H$14:$H$18,$BF945)))+IF(ISNUMBER($K945),ABS($K945*$G945*$AG945*N($AH945))*IF($M945="Target",N(INDEX(Settings!$G$14:$G$18,$BF945)),N(INDEX(Settings!$H$14:$H$18,$BF945))),0),6)),IF(NOT(ISNUMBER($G945)),"",ROUND(ABS($G945)*2*IF(AND($BE945&gt;0,ISNUMBER(INDEX(Instruments!$G$6:$G$205,MAX(1,$BE945)))),INDEX(Instruments!$G$6:$G$205,MAX(1,$BE945)),N(INDEX(Settings!$F$14:$F$18,$BF945))),6))))</f>
        <v/>
      </c>
      <c r="AK945" s="55" t="str">
        <f>IF($AM945=0,"",IF(ISNUMBER($O945),$O945,$AI945))</f>
        <v/>
      </c>
      <c r="AL945" s="55" t="str">
        <f>IF($AM945=0,"",IF(ISNUMBER($P945),$P945,N($AJ945)))</f>
        <v/>
      </c>
      <c r="AM945" s="56">
        <f>IF(AND($A945&lt;&gt;"",$E945&lt;&gt;"",OR(AND(ISNUMBER($G945),ISNUMBER($H945),ISNUMBER($K945)),ISNUMBER($O945))),1,0)</f>
        <v>0</v>
      </c>
      <c r="AN945" s="57" t="str">
        <f>IF($A945="","",$A945-WEEKDAY($A945,3))</f>
        <v/>
      </c>
      <c r="AO945" s="56" t="str">
        <f>IF($A945="","",WEEKDAY($A945,2))</f>
        <v/>
      </c>
      <c r="AP945" s="55" t="str">
        <f>IF(OR($AM945=0,$C945=""),"",IFERROR(N(INDEX(Accounts!$E$7:$E$16,MATCH($C945,Accounts!$B$7:$B$16,0))),0)+SUMIFS($Q$6:$Q945,$C$6:$C945,$C945))</f>
        <v/>
      </c>
      <c r="AQ945" s="55" t="str">
        <f>IF(OR($AM945=0,$C945=""),"",SUMIFS($Q$6:$Q$1005,$C$6:$C$1005,$C945,$A$6:$A$1005,$A945))</f>
        <v/>
      </c>
      <c r="AR945" s="55" t="str">
        <f>IF(OR($AM945=0,$C945=""),"",IFERROR(N(INDEX(Accounts!$E$7:$E$16,MATCH($C945,Accounts!$B$7:$B$16,0))),0)+SUMIFS($Q$6:$Q$1005,$C$6:$C$1005,$C945,$A$6:$A$1005,"&lt;="&amp;$A945))</f>
        <v/>
      </c>
      <c r="AS945" s="56">
        <f>IF(OR($AM945=0,$Q945=""),0,IF(AND($A945&gt;=Lists!$W$6,$A945&lt;=Lists!$W$7,OR(Dashboard!$D$6="All accounts",$C945=Dashboard!$D$6),OR(Dashboard!$D$7="All markets",$AF945=Dashboard!$D$7)),1,0))</f>
        <v>0</v>
      </c>
      <c r="AT945" s="55">
        <f>IF($AS945=1,N(AT944)+$Q945,N(AT944))</f>
        <v>1187.10688</v>
      </c>
      <c r="AU945" s="55">
        <f>MAX(N(AU944),$AT945)</f>
        <v>1187.10688</v>
      </c>
      <c r="AV945" s="55">
        <f>$AT945-$AU945</f>
        <v>0</v>
      </c>
      <c r="AW945" s="56">
        <f>IF($AS945=1,IF($S945="Win",N(AW944)+1,IF($S945="Loss",0,N(AW944))),N(AW944))</f>
        <v>5</v>
      </c>
      <c r="AX945" s="56">
        <f>IF($AS945=1,IF($S945="Loss",N(AX944)+1,IF($S945="Win",0,N(AX944))),N(AX944))</f>
        <v>0</v>
      </c>
      <c r="AY945" s="56" t="str">
        <f>IF($AS945=1,COUNTIF($AS$6:$AS945,1),"")</f>
        <v/>
      </c>
      <c r="AZ945" s="56">
        <f>MIN(939,N(Lists!$W$8))</f>
        <v>28</v>
      </c>
      <c r="BA945" s="56">
        <f>IF($AS945=1,IF(COUNTIFS($A$6:$A945,$A945,$AS$6:$AS945,1)=1,1,0),0)</f>
        <v>0</v>
      </c>
      <c r="BB945" s="55" t="str">
        <f>IF($BA945=1,SUMIFS($Q$6:$Q$1005,$A$6:$A$1005,$A945,$AS$6:$AS$1005,1),"")</f>
        <v/>
      </c>
      <c r="BC945" s="56">
        <f>IF(ISNUMBER($R945),1,0)</f>
        <v>0</v>
      </c>
      <c r="BD945" s="55" t="str">
        <f>IF(ISNUMBER($U945),$U945*$V945,"")</f>
        <v/>
      </c>
      <c r="BE945" s="56" t="str">
        <f>IF($AM945=0,"",IFERROR(MATCH($AF945&amp;"|"&amp;UPPER(TRIM($E945)),Lists!$A$6:$A$205,0),0))</f>
        <v/>
      </c>
      <c r="BF945" s="56" t="str">
        <f>IF($AM945=0,"",IFERROR(MATCH($AF945,Settings!$B$14:$B$18,0),IFERROR(MATCH(Settings!$C$6,Settings!$B$14:$B$18,0),1)))</f>
        <v/>
      </c>
      <c r="BG945" s="58" t="str">
        <f>IF($AM945=0,"",IF(NOT(ISNUMBER($I945)),"No stop; ","")&amp;IF(AND(ISNUMBER($H945),ISNUMBER($I945)),IF(OR(AND($F945&lt;&gt;"Short",$I945&gt;=$H945),AND($F945="Short",$I945&lt;=$H945)),"Stop on wrong side; ",""),"")&amp;IF($F945="","No direction; ","")&amp;IF(AND(ISNUMBER(Settings!$C$22),ISNUMBER($V945)),IF($V945&gt;Settings!$C$22,"Risk over max $; ",""),"")&amp;IF(AND(ISNUMBER(Settings!$C$23),ISNUMBER($V945),ISNUMBER($AP945),IFERROR(N(INDEX(Accounts!$E$7:$E$16,MATCH($C945,Accounts!$B$7:$B$16,0))),0)&gt;0),IF($V945&gt;Settings!$C$23*($AP945-N($Q945)),"Risk over max %; ",""),"")&amp;IF(AND(ISNUMBER(Settings!$C$24),ISNUMBER($N945)),IF($N945&gt;Settings!$C$24,"Leverage over max; ",""),"")&amp;IF(AND(ISNUMBER(Settings!$C$27),ISNUMBER($T945)),IF($T945&lt;Settings!$C$27,"R:R below min; ",""),"")&amp;IF(ISNUMBER(Settings!$C$25),IF(COUNTIFS($A$6:$A945,$A945,$AM$6:$AM945,1)&gt;Settings!$C$25,"Over max trades/day; ",""),"")&amp;IF(ISNUMBER(Settings!$C$26),IF(SUMIFS($Q$5:$Q944,$A$5:$A944,$A945)&lt;=-Settings!$C$26,"Traded after daily max loss; ",""),"")&amp;IF(AND($AG945="",NOT(ISNUMBER($O945))),"Symbol not in Instruments; ","")&amp;IF(AND($AH945="",NOT(ISNUMBER($O945))),"Forex cross: type Gross P&amp;L; ",""))</f>
        <v/>
      </c>
      <c r="BH945" s="56">
        <f>IF(ISNUMBER($Q945),1,0)</f>
        <v>0</v>
      </c>
      <c r="BI945" s="56">
        <f>IF($Y945="",0,1)</f>
        <v>0</v>
      </c>
      <c r="BJ945" s="56">
        <f>IF($AB945="",0,1)</f>
        <v>0</v>
      </c>
      <c r="BK945" s="56">
        <f>IF(AND($BH945=1,$W945&lt;&gt;"OK"),1,0)</f>
        <v>0</v>
      </c>
      <c r="BL945" s="55">
        <f>IF(N($AZ945)=0,0,IFERROR(INDEX($AT$6:$AT$1005,MATCH($AZ945,$AY$6:$AY$1005,0)),0))</f>
        <v>1187.10688</v>
      </c>
      <c r="BM945" s="56">
        <f>IF(ISNUMBER(SEARCH("daily max loss",$BG945)),1,0)</f>
        <v>0</v>
      </c>
    </row>
    <row r="946" ht="18" customHeight="1">
      <c r="A946" s="38" t="n"/>
      <c r="B946" s="39" t="n"/>
      <c r="C946" s="40" t="n"/>
      <c r="D946" s="41" t="n"/>
      <c r="E946" s="41" t="n"/>
      <c r="F946" s="41" t="n"/>
      <c r="G946" s="41" t="n"/>
      <c r="H946" s="42" t="n"/>
      <c r="I946" s="42" t="n"/>
      <c r="J946" s="42" t="n"/>
      <c r="K946" s="42" t="n"/>
      <c r="L946" s="41" t="n"/>
      <c r="M946" s="41" t="n"/>
      <c r="N946" s="41" t="n"/>
      <c r="O946" s="43" t="n"/>
      <c r="P946" s="43" t="n"/>
      <c r="Q946" s="44" t="str">
        <f>IF($AM946=0,"",IF(ISNUMBER($AK946),$AK946-N($AL946),""))</f>
        <v/>
      </c>
      <c r="R946" s="45" t="str">
        <f>IF(OR($Q946="",NOT(ISNUMBER($V946))),"",$AK946/$V946)</f>
        <v/>
      </c>
      <c r="S946" s="46" t="str">
        <f>IF($Q946="","",IF(AND(ISNUMBER($R946),ABS(N($R946))&lt;N(Settings!$C$8)),"Scratch",IF($Q946&gt;0,"Win",IF($Q946&lt;0,"Loss","Scratch"))))</f>
        <v/>
      </c>
      <c r="T946" s="47" t="str">
        <f>IF(OR($AM946=0,NOT(ISNUMBER($H946)),NOT(ISNUMBER($I946)),NOT(ISNUMBER($J946))),"",IF($H946=$I946,"",ROUND(ABS($J946-$H946)/ABS($H946-$I946),6)))</f>
        <v/>
      </c>
      <c r="U946" s="48" t="str">
        <f>IF(OR($S946&lt;&gt;"Win",NOT(ISNUMBER($T946)),NOT(ISNUMBER($R946))),"",MAX(0,$T946-$R946))</f>
        <v/>
      </c>
      <c r="V946" s="49" t="str">
        <f>IF(OR($AM946=0,NOT(ISNUMBER($H946)),NOT(ISNUMBER($I946)),NOT(ISNUMBER($G946))),"",IF(OR($AG946="",$AH946=""),"",IF(ROUND(ABS($H946-$I946)*ABS($G946)*$AG946*$AH946,6)=0,"",ROUND(ABS($H946-$I946)*ABS($G946)*$AG946*$AH946,6))))</f>
        <v/>
      </c>
      <c r="W946" s="50" t="str">
        <f>IF($AM946=0,"",IF($BG946="","OK",LEFT($BG946,LEN($BG946)-2)))</f>
        <v/>
      </c>
      <c r="X946" s="41" t="n"/>
      <c r="Y946" s="40" t="n"/>
      <c r="Z946" s="41" t="n"/>
      <c r="AA946" s="41" t="n"/>
      <c r="AB946" s="40" t="n"/>
      <c r="AC946" s="51" t="n"/>
      <c r="AD946" s="51" t="n"/>
      <c r="AE946" s="40" t="n"/>
      <c r="AF946" s="52" t="str">
        <f>IF($AM946=0,"",IF($D946&lt;&gt;"",$D946,IF(IFERROR(INDEX(Accounts!$C$7:$C$16,MATCH($C946,Accounts!$B$7:$B$16,0))&amp;"","")&lt;&gt;"",INDEX(Accounts!$C$7:$C$16,MATCH($C946,Accounts!$B$7:$B$16,0)),Settings!$C$6)))</f>
        <v/>
      </c>
      <c r="AG946" s="53" t="str">
        <f>IF($AM946=0,"",IF(AND($BE946&gt;0,N(INDEX(Instruments!$D$6:$D$205,MAX(1,$BE946)))&gt;0),INDEX(Instruments!$D$6:$D$205,MAX(1,$BE946)),IF(N(INDEX(Settings!$D$14:$D$18,$BF946))&gt;0,INDEX(Settings!$D$14:$D$18,$BF946),"")))</f>
        <v/>
      </c>
      <c r="AH946" s="54" t="str">
        <f>IF($AM946=0,"",IF($AF946&lt;&gt;"Forex",1,IF(MID(UPPER(SUBSTITUTE(TRIM($E946),"/","")),4,3)=UPPER(TRIM(Settings!$C$7)),1,IF(LEFT(UPPER(SUBSTITUTE(TRIM($E946),"/","")),3)=UPPER(TRIM(Settings!$C$7)),IF(AND(ISNUMBER($K946),N($K946)&lt;&gt;0),1/$K946,""),""))))</f>
        <v/>
      </c>
      <c r="AI946" s="55" t="str">
        <f>IF($AM946=0,"",IF(OR(NOT(ISNUMBER($H946)),NOT(ISNUMBER($K946)),NOT(ISNUMBER($G946)),$AG946="",$AH946=""),"",ROUND(($K946-$H946)*IF($F946="Short",-1,1)*$G946*$AG946*$AH946,6)))</f>
        <v/>
      </c>
      <c r="AJ946" s="55" t="str">
        <f>IF($AM946=0,"",IF(INDEX(Settings!$E$14:$E$18,$BF946)="% of notional",IF(OR($AG946="",NOT(ISNUMBER($H946)),NOT(ISNUMBER($G946))),"",ROUND(ABS($H946*$G946*$AG946*N($AH946))*IF($L946="Limit",N(INDEX(Settings!$G$14:$G$18,$BF946)),N(INDEX(Settings!$H$14:$H$18,$BF946)))+IF(ISNUMBER($K946),ABS($K946*$G946*$AG946*N($AH946))*IF($M946="Target",N(INDEX(Settings!$G$14:$G$18,$BF946)),N(INDEX(Settings!$H$14:$H$18,$BF946))),0),6)),IF(NOT(ISNUMBER($G946)),"",ROUND(ABS($G946)*2*IF(AND($BE946&gt;0,ISNUMBER(INDEX(Instruments!$G$6:$G$205,MAX(1,$BE946)))),INDEX(Instruments!$G$6:$G$205,MAX(1,$BE946)),N(INDEX(Settings!$F$14:$F$18,$BF946))),6))))</f>
        <v/>
      </c>
      <c r="AK946" s="55" t="str">
        <f>IF($AM946=0,"",IF(ISNUMBER($O946),$O946,$AI946))</f>
        <v/>
      </c>
      <c r="AL946" s="55" t="str">
        <f>IF($AM946=0,"",IF(ISNUMBER($P946),$P946,N($AJ946)))</f>
        <v/>
      </c>
      <c r="AM946" s="56">
        <f>IF(AND($A946&lt;&gt;"",$E946&lt;&gt;"",OR(AND(ISNUMBER($G946),ISNUMBER($H946),ISNUMBER($K946)),ISNUMBER($O946))),1,0)</f>
        <v>0</v>
      </c>
      <c r="AN946" s="57" t="str">
        <f>IF($A946="","",$A946-WEEKDAY($A946,3))</f>
        <v/>
      </c>
      <c r="AO946" s="56" t="str">
        <f>IF($A946="","",WEEKDAY($A946,2))</f>
        <v/>
      </c>
      <c r="AP946" s="55" t="str">
        <f>IF(OR($AM946=0,$C946=""),"",IFERROR(N(INDEX(Accounts!$E$7:$E$16,MATCH($C946,Accounts!$B$7:$B$16,0))),0)+SUMIFS($Q$6:$Q946,$C$6:$C946,$C946))</f>
        <v/>
      </c>
      <c r="AQ946" s="55" t="str">
        <f>IF(OR($AM946=0,$C946=""),"",SUMIFS($Q$6:$Q$1005,$C$6:$C$1005,$C946,$A$6:$A$1005,$A946))</f>
        <v/>
      </c>
      <c r="AR946" s="55" t="str">
        <f>IF(OR($AM946=0,$C946=""),"",IFERROR(N(INDEX(Accounts!$E$7:$E$16,MATCH($C946,Accounts!$B$7:$B$16,0))),0)+SUMIFS($Q$6:$Q$1005,$C$6:$C$1005,$C946,$A$6:$A$1005,"&lt;="&amp;$A946))</f>
        <v/>
      </c>
      <c r="AS946" s="56">
        <f>IF(OR($AM946=0,$Q946=""),0,IF(AND($A946&gt;=Lists!$W$6,$A946&lt;=Lists!$W$7,OR(Dashboard!$D$6="All accounts",$C946=Dashboard!$D$6),OR(Dashboard!$D$7="All markets",$AF946=Dashboard!$D$7)),1,0))</f>
        <v>0</v>
      </c>
      <c r="AT946" s="55">
        <f>IF($AS946=1,N(AT945)+$Q946,N(AT945))</f>
        <v>1187.10688</v>
      </c>
      <c r="AU946" s="55">
        <f>MAX(N(AU945),$AT946)</f>
        <v>1187.10688</v>
      </c>
      <c r="AV946" s="55">
        <f>$AT946-$AU946</f>
        <v>0</v>
      </c>
      <c r="AW946" s="56">
        <f>IF($AS946=1,IF($S946="Win",N(AW945)+1,IF($S946="Loss",0,N(AW945))),N(AW945))</f>
        <v>5</v>
      </c>
      <c r="AX946" s="56">
        <f>IF($AS946=1,IF($S946="Loss",N(AX945)+1,IF($S946="Win",0,N(AX945))),N(AX945))</f>
        <v>0</v>
      </c>
      <c r="AY946" s="56" t="str">
        <f>IF($AS946=1,COUNTIF($AS$6:$AS946,1),"")</f>
        <v/>
      </c>
      <c r="AZ946" s="56">
        <f>MIN(940,N(Lists!$W$8))</f>
        <v>28</v>
      </c>
      <c r="BA946" s="56">
        <f>IF($AS946=1,IF(COUNTIFS($A$6:$A946,$A946,$AS$6:$AS946,1)=1,1,0),0)</f>
        <v>0</v>
      </c>
      <c r="BB946" s="55" t="str">
        <f>IF($BA946=1,SUMIFS($Q$6:$Q$1005,$A$6:$A$1005,$A946,$AS$6:$AS$1005,1),"")</f>
        <v/>
      </c>
      <c r="BC946" s="56">
        <f>IF(ISNUMBER($R946),1,0)</f>
        <v>0</v>
      </c>
      <c r="BD946" s="55" t="str">
        <f>IF(ISNUMBER($U946),$U946*$V946,"")</f>
        <v/>
      </c>
      <c r="BE946" s="56" t="str">
        <f>IF($AM946=0,"",IFERROR(MATCH($AF946&amp;"|"&amp;UPPER(TRIM($E946)),Lists!$A$6:$A$205,0),0))</f>
        <v/>
      </c>
      <c r="BF946" s="56" t="str">
        <f>IF($AM946=0,"",IFERROR(MATCH($AF946,Settings!$B$14:$B$18,0),IFERROR(MATCH(Settings!$C$6,Settings!$B$14:$B$18,0),1)))</f>
        <v/>
      </c>
      <c r="BG946" s="58" t="str">
        <f>IF($AM946=0,"",IF(NOT(ISNUMBER($I946)),"No stop; ","")&amp;IF(AND(ISNUMBER($H946),ISNUMBER($I946)),IF(OR(AND($F946&lt;&gt;"Short",$I946&gt;=$H946),AND($F946="Short",$I946&lt;=$H946)),"Stop on wrong side; ",""),"")&amp;IF($F946="","No direction; ","")&amp;IF(AND(ISNUMBER(Settings!$C$22),ISNUMBER($V946)),IF($V946&gt;Settings!$C$22,"Risk over max $; ",""),"")&amp;IF(AND(ISNUMBER(Settings!$C$23),ISNUMBER($V946),ISNUMBER($AP946),IFERROR(N(INDEX(Accounts!$E$7:$E$16,MATCH($C946,Accounts!$B$7:$B$16,0))),0)&gt;0),IF($V946&gt;Settings!$C$23*($AP946-N($Q946)),"Risk over max %; ",""),"")&amp;IF(AND(ISNUMBER(Settings!$C$24),ISNUMBER($N946)),IF($N946&gt;Settings!$C$24,"Leverage over max; ",""),"")&amp;IF(AND(ISNUMBER(Settings!$C$27),ISNUMBER($T946)),IF($T946&lt;Settings!$C$27,"R:R below min; ",""),"")&amp;IF(ISNUMBER(Settings!$C$25),IF(COUNTIFS($A$6:$A946,$A946,$AM$6:$AM946,1)&gt;Settings!$C$25,"Over max trades/day; ",""),"")&amp;IF(ISNUMBER(Settings!$C$26),IF(SUMIFS($Q$5:$Q945,$A$5:$A945,$A946)&lt;=-Settings!$C$26,"Traded after daily max loss; ",""),"")&amp;IF(AND($AG946="",NOT(ISNUMBER($O946))),"Symbol not in Instruments; ","")&amp;IF(AND($AH946="",NOT(ISNUMBER($O946))),"Forex cross: type Gross P&amp;L; ",""))</f>
        <v/>
      </c>
      <c r="BH946" s="56">
        <f>IF(ISNUMBER($Q946),1,0)</f>
        <v>0</v>
      </c>
      <c r="BI946" s="56">
        <f>IF($Y946="",0,1)</f>
        <v>0</v>
      </c>
      <c r="BJ946" s="56">
        <f>IF($AB946="",0,1)</f>
        <v>0</v>
      </c>
      <c r="BK946" s="56">
        <f>IF(AND($BH946=1,$W946&lt;&gt;"OK"),1,0)</f>
        <v>0</v>
      </c>
      <c r="BL946" s="55">
        <f>IF(N($AZ946)=0,0,IFERROR(INDEX($AT$6:$AT$1005,MATCH($AZ946,$AY$6:$AY$1005,0)),0))</f>
        <v>1187.10688</v>
      </c>
      <c r="BM946" s="56">
        <f>IF(ISNUMBER(SEARCH("daily max loss",$BG946)),1,0)</f>
        <v>0</v>
      </c>
    </row>
    <row r="947" ht="18" customHeight="1">
      <c r="A947" s="38" t="n"/>
      <c r="B947" s="39" t="n"/>
      <c r="C947" s="40" t="n"/>
      <c r="D947" s="41" t="n"/>
      <c r="E947" s="41" t="n"/>
      <c r="F947" s="41" t="n"/>
      <c r="G947" s="41" t="n"/>
      <c r="H947" s="42" t="n"/>
      <c r="I947" s="42" t="n"/>
      <c r="J947" s="42" t="n"/>
      <c r="K947" s="42" t="n"/>
      <c r="L947" s="41" t="n"/>
      <c r="M947" s="41" t="n"/>
      <c r="N947" s="41" t="n"/>
      <c r="O947" s="43" t="n"/>
      <c r="P947" s="43" t="n"/>
      <c r="Q947" s="44" t="str">
        <f>IF($AM947=0,"",IF(ISNUMBER($AK947),$AK947-N($AL947),""))</f>
        <v/>
      </c>
      <c r="R947" s="45" t="str">
        <f>IF(OR($Q947="",NOT(ISNUMBER($V947))),"",$AK947/$V947)</f>
        <v/>
      </c>
      <c r="S947" s="46" t="str">
        <f>IF($Q947="","",IF(AND(ISNUMBER($R947),ABS(N($R947))&lt;N(Settings!$C$8)),"Scratch",IF($Q947&gt;0,"Win",IF($Q947&lt;0,"Loss","Scratch"))))</f>
        <v/>
      </c>
      <c r="T947" s="47" t="str">
        <f>IF(OR($AM947=0,NOT(ISNUMBER($H947)),NOT(ISNUMBER($I947)),NOT(ISNUMBER($J947))),"",IF($H947=$I947,"",ROUND(ABS($J947-$H947)/ABS($H947-$I947),6)))</f>
        <v/>
      </c>
      <c r="U947" s="48" t="str">
        <f>IF(OR($S947&lt;&gt;"Win",NOT(ISNUMBER($T947)),NOT(ISNUMBER($R947))),"",MAX(0,$T947-$R947))</f>
        <v/>
      </c>
      <c r="V947" s="49" t="str">
        <f>IF(OR($AM947=0,NOT(ISNUMBER($H947)),NOT(ISNUMBER($I947)),NOT(ISNUMBER($G947))),"",IF(OR($AG947="",$AH947=""),"",IF(ROUND(ABS($H947-$I947)*ABS($G947)*$AG947*$AH947,6)=0,"",ROUND(ABS($H947-$I947)*ABS($G947)*$AG947*$AH947,6))))</f>
        <v/>
      </c>
      <c r="W947" s="50" t="str">
        <f>IF($AM947=0,"",IF($BG947="","OK",LEFT($BG947,LEN($BG947)-2)))</f>
        <v/>
      </c>
      <c r="X947" s="41" t="n"/>
      <c r="Y947" s="40" t="n"/>
      <c r="Z947" s="41" t="n"/>
      <c r="AA947" s="41" t="n"/>
      <c r="AB947" s="40" t="n"/>
      <c r="AC947" s="51" t="n"/>
      <c r="AD947" s="51" t="n"/>
      <c r="AE947" s="40" t="n"/>
      <c r="AF947" s="52" t="str">
        <f>IF($AM947=0,"",IF($D947&lt;&gt;"",$D947,IF(IFERROR(INDEX(Accounts!$C$7:$C$16,MATCH($C947,Accounts!$B$7:$B$16,0))&amp;"","")&lt;&gt;"",INDEX(Accounts!$C$7:$C$16,MATCH($C947,Accounts!$B$7:$B$16,0)),Settings!$C$6)))</f>
        <v/>
      </c>
      <c r="AG947" s="53" t="str">
        <f>IF($AM947=0,"",IF(AND($BE947&gt;0,N(INDEX(Instruments!$D$6:$D$205,MAX(1,$BE947)))&gt;0),INDEX(Instruments!$D$6:$D$205,MAX(1,$BE947)),IF(N(INDEX(Settings!$D$14:$D$18,$BF947))&gt;0,INDEX(Settings!$D$14:$D$18,$BF947),"")))</f>
        <v/>
      </c>
      <c r="AH947" s="54" t="str">
        <f>IF($AM947=0,"",IF($AF947&lt;&gt;"Forex",1,IF(MID(UPPER(SUBSTITUTE(TRIM($E947),"/","")),4,3)=UPPER(TRIM(Settings!$C$7)),1,IF(LEFT(UPPER(SUBSTITUTE(TRIM($E947),"/","")),3)=UPPER(TRIM(Settings!$C$7)),IF(AND(ISNUMBER($K947),N($K947)&lt;&gt;0),1/$K947,""),""))))</f>
        <v/>
      </c>
      <c r="AI947" s="55" t="str">
        <f>IF($AM947=0,"",IF(OR(NOT(ISNUMBER($H947)),NOT(ISNUMBER($K947)),NOT(ISNUMBER($G947)),$AG947="",$AH947=""),"",ROUND(($K947-$H947)*IF($F947="Short",-1,1)*$G947*$AG947*$AH947,6)))</f>
        <v/>
      </c>
      <c r="AJ947" s="55" t="str">
        <f>IF($AM947=0,"",IF(INDEX(Settings!$E$14:$E$18,$BF947)="% of notional",IF(OR($AG947="",NOT(ISNUMBER($H947)),NOT(ISNUMBER($G947))),"",ROUND(ABS($H947*$G947*$AG947*N($AH947))*IF($L947="Limit",N(INDEX(Settings!$G$14:$G$18,$BF947)),N(INDEX(Settings!$H$14:$H$18,$BF947)))+IF(ISNUMBER($K947),ABS($K947*$G947*$AG947*N($AH947))*IF($M947="Target",N(INDEX(Settings!$G$14:$G$18,$BF947)),N(INDEX(Settings!$H$14:$H$18,$BF947))),0),6)),IF(NOT(ISNUMBER($G947)),"",ROUND(ABS($G947)*2*IF(AND($BE947&gt;0,ISNUMBER(INDEX(Instruments!$G$6:$G$205,MAX(1,$BE947)))),INDEX(Instruments!$G$6:$G$205,MAX(1,$BE947)),N(INDEX(Settings!$F$14:$F$18,$BF947))),6))))</f>
        <v/>
      </c>
      <c r="AK947" s="55" t="str">
        <f>IF($AM947=0,"",IF(ISNUMBER($O947),$O947,$AI947))</f>
        <v/>
      </c>
      <c r="AL947" s="55" t="str">
        <f>IF($AM947=0,"",IF(ISNUMBER($P947),$P947,N($AJ947)))</f>
        <v/>
      </c>
      <c r="AM947" s="56">
        <f>IF(AND($A947&lt;&gt;"",$E947&lt;&gt;"",OR(AND(ISNUMBER($G947),ISNUMBER($H947),ISNUMBER($K947)),ISNUMBER($O947))),1,0)</f>
        <v>0</v>
      </c>
      <c r="AN947" s="57" t="str">
        <f>IF($A947="","",$A947-WEEKDAY($A947,3))</f>
        <v/>
      </c>
      <c r="AO947" s="56" t="str">
        <f>IF($A947="","",WEEKDAY($A947,2))</f>
        <v/>
      </c>
      <c r="AP947" s="55" t="str">
        <f>IF(OR($AM947=0,$C947=""),"",IFERROR(N(INDEX(Accounts!$E$7:$E$16,MATCH($C947,Accounts!$B$7:$B$16,0))),0)+SUMIFS($Q$6:$Q947,$C$6:$C947,$C947))</f>
        <v/>
      </c>
      <c r="AQ947" s="55" t="str">
        <f>IF(OR($AM947=0,$C947=""),"",SUMIFS($Q$6:$Q$1005,$C$6:$C$1005,$C947,$A$6:$A$1005,$A947))</f>
        <v/>
      </c>
      <c r="AR947" s="55" t="str">
        <f>IF(OR($AM947=0,$C947=""),"",IFERROR(N(INDEX(Accounts!$E$7:$E$16,MATCH($C947,Accounts!$B$7:$B$16,0))),0)+SUMIFS($Q$6:$Q$1005,$C$6:$C$1005,$C947,$A$6:$A$1005,"&lt;="&amp;$A947))</f>
        <v/>
      </c>
      <c r="AS947" s="56">
        <f>IF(OR($AM947=0,$Q947=""),0,IF(AND($A947&gt;=Lists!$W$6,$A947&lt;=Lists!$W$7,OR(Dashboard!$D$6="All accounts",$C947=Dashboard!$D$6),OR(Dashboard!$D$7="All markets",$AF947=Dashboard!$D$7)),1,0))</f>
        <v>0</v>
      </c>
      <c r="AT947" s="55">
        <f>IF($AS947=1,N(AT946)+$Q947,N(AT946))</f>
        <v>1187.10688</v>
      </c>
      <c r="AU947" s="55">
        <f>MAX(N(AU946),$AT947)</f>
        <v>1187.10688</v>
      </c>
      <c r="AV947" s="55">
        <f>$AT947-$AU947</f>
        <v>0</v>
      </c>
      <c r="AW947" s="56">
        <f>IF($AS947=1,IF($S947="Win",N(AW946)+1,IF($S947="Loss",0,N(AW946))),N(AW946))</f>
        <v>5</v>
      </c>
      <c r="AX947" s="56">
        <f>IF($AS947=1,IF($S947="Loss",N(AX946)+1,IF($S947="Win",0,N(AX946))),N(AX946))</f>
        <v>0</v>
      </c>
      <c r="AY947" s="56" t="str">
        <f>IF($AS947=1,COUNTIF($AS$6:$AS947,1),"")</f>
        <v/>
      </c>
      <c r="AZ947" s="56">
        <f>MIN(941,N(Lists!$W$8))</f>
        <v>28</v>
      </c>
      <c r="BA947" s="56">
        <f>IF($AS947=1,IF(COUNTIFS($A$6:$A947,$A947,$AS$6:$AS947,1)=1,1,0),0)</f>
        <v>0</v>
      </c>
      <c r="BB947" s="55" t="str">
        <f>IF($BA947=1,SUMIFS($Q$6:$Q$1005,$A$6:$A$1005,$A947,$AS$6:$AS$1005,1),"")</f>
        <v/>
      </c>
      <c r="BC947" s="56">
        <f>IF(ISNUMBER($R947),1,0)</f>
        <v>0</v>
      </c>
      <c r="BD947" s="55" t="str">
        <f>IF(ISNUMBER($U947),$U947*$V947,"")</f>
        <v/>
      </c>
      <c r="BE947" s="56" t="str">
        <f>IF($AM947=0,"",IFERROR(MATCH($AF947&amp;"|"&amp;UPPER(TRIM($E947)),Lists!$A$6:$A$205,0),0))</f>
        <v/>
      </c>
      <c r="BF947" s="56" t="str">
        <f>IF($AM947=0,"",IFERROR(MATCH($AF947,Settings!$B$14:$B$18,0),IFERROR(MATCH(Settings!$C$6,Settings!$B$14:$B$18,0),1)))</f>
        <v/>
      </c>
      <c r="BG947" s="58" t="str">
        <f>IF($AM947=0,"",IF(NOT(ISNUMBER($I947)),"No stop; ","")&amp;IF(AND(ISNUMBER($H947),ISNUMBER($I947)),IF(OR(AND($F947&lt;&gt;"Short",$I947&gt;=$H947),AND($F947="Short",$I947&lt;=$H947)),"Stop on wrong side; ",""),"")&amp;IF($F947="","No direction; ","")&amp;IF(AND(ISNUMBER(Settings!$C$22),ISNUMBER($V947)),IF($V947&gt;Settings!$C$22,"Risk over max $; ",""),"")&amp;IF(AND(ISNUMBER(Settings!$C$23),ISNUMBER($V947),ISNUMBER($AP947),IFERROR(N(INDEX(Accounts!$E$7:$E$16,MATCH($C947,Accounts!$B$7:$B$16,0))),0)&gt;0),IF($V947&gt;Settings!$C$23*($AP947-N($Q947)),"Risk over max %; ",""),"")&amp;IF(AND(ISNUMBER(Settings!$C$24),ISNUMBER($N947)),IF($N947&gt;Settings!$C$24,"Leverage over max; ",""),"")&amp;IF(AND(ISNUMBER(Settings!$C$27),ISNUMBER($T947)),IF($T947&lt;Settings!$C$27,"R:R below min; ",""),"")&amp;IF(ISNUMBER(Settings!$C$25),IF(COUNTIFS($A$6:$A947,$A947,$AM$6:$AM947,1)&gt;Settings!$C$25,"Over max trades/day; ",""),"")&amp;IF(ISNUMBER(Settings!$C$26),IF(SUMIFS($Q$5:$Q946,$A$5:$A946,$A947)&lt;=-Settings!$C$26,"Traded after daily max loss; ",""),"")&amp;IF(AND($AG947="",NOT(ISNUMBER($O947))),"Symbol not in Instruments; ","")&amp;IF(AND($AH947="",NOT(ISNUMBER($O947))),"Forex cross: type Gross P&amp;L; ",""))</f>
        <v/>
      </c>
      <c r="BH947" s="56">
        <f>IF(ISNUMBER($Q947),1,0)</f>
        <v>0</v>
      </c>
      <c r="BI947" s="56">
        <f>IF($Y947="",0,1)</f>
        <v>0</v>
      </c>
      <c r="BJ947" s="56">
        <f>IF($AB947="",0,1)</f>
        <v>0</v>
      </c>
      <c r="BK947" s="56">
        <f>IF(AND($BH947=1,$W947&lt;&gt;"OK"),1,0)</f>
        <v>0</v>
      </c>
      <c r="BL947" s="55">
        <f>IF(N($AZ947)=0,0,IFERROR(INDEX($AT$6:$AT$1005,MATCH($AZ947,$AY$6:$AY$1005,0)),0))</f>
        <v>1187.10688</v>
      </c>
      <c r="BM947" s="56">
        <f>IF(ISNUMBER(SEARCH("daily max loss",$BG947)),1,0)</f>
        <v>0</v>
      </c>
    </row>
    <row r="948" ht="18" customHeight="1">
      <c r="A948" s="38" t="n"/>
      <c r="B948" s="39" t="n"/>
      <c r="C948" s="40" t="n"/>
      <c r="D948" s="41" t="n"/>
      <c r="E948" s="41" t="n"/>
      <c r="F948" s="41" t="n"/>
      <c r="G948" s="41" t="n"/>
      <c r="H948" s="42" t="n"/>
      <c r="I948" s="42" t="n"/>
      <c r="J948" s="42" t="n"/>
      <c r="K948" s="42" t="n"/>
      <c r="L948" s="41" t="n"/>
      <c r="M948" s="41" t="n"/>
      <c r="N948" s="41" t="n"/>
      <c r="O948" s="43" t="n"/>
      <c r="P948" s="43" t="n"/>
      <c r="Q948" s="44" t="str">
        <f>IF($AM948=0,"",IF(ISNUMBER($AK948),$AK948-N($AL948),""))</f>
        <v/>
      </c>
      <c r="R948" s="45" t="str">
        <f>IF(OR($Q948="",NOT(ISNUMBER($V948))),"",$AK948/$V948)</f>
        <v/>
      </c>
      <c r="S948" s="46" t="str">
        <f>IF($Q948="","",IF(AND(ISNUMBER($R948),ABS(N($R948))&lt;N(Settings!$C$8)),"Scratch",IF($Q948&gt;0,"Win",IF($Q948&lt;0,"Loss","Scratch"))))</f>
        <v/>
      </c>
      <c r="T948" s="47" t="str">
        <f>IF(OR($AM948=0,NOT(ISNUMBER($H948)),NOT(ISNUMBER($I948)),NOT(ISNUMBER($J948))),"",IF($H948=$I948,"",ROUND(ABS($J948-$H948)/ABS($H948-$I948),6)))</f>
        <v/>
      </c>
      <c r="U948" s="48" t="str">
        <f>IF(OR($S948&lt;&gt;"Win",NOT(ISNUMBER($T948)),NOT(ISNUMBER($R948))),"",MAX(0,$T948-$R948))</f>
        <v/>
      </c>
      <c r="V948" s="49" t="str">
        <f>IF(OR($AM948=0,NOT(ISNUMBER($H948)),NOT(ISNUMBER($I948)),NOT(ISNUMBER($G948))),"",IF(OR($AG948="",$AH948=""),"",IF(ROUND(ABS($H948-$I948)*ABS($G948)*$AG948*$AH948,6)=0,"",ROUND(ABS($H948-$I948)*ABS($G948)*$AG948*$AH948,6))))</f>
        <v/>
      </c>
      <c r="W948" s="50" t="str">
        <f>IF($AM948=0,"",IF($BG948="","OK",LEFT($BG948,LEN($BG948)-2)))</f>
        <v/>
      </c>
      <c r="X948" s="41" t="n"/>
      <c r="Y948" s="40" t="n"/>
      <c r="Z948" s="41" t="n"/>
      <c r="AA948" s="41" t="n"/>
      <c r="AB948" s="40" t="n"/>
      <c r="AC948" s="51" t="n"/>
      <c r="AD948" s="51" t="n"/>
      <c r="AE948" s="40" t="n"/>
      <c r="AF948" s="52" t="str">
        <f>IF($AM948=0,"",IF($D948&lt;&gt;"",$D948,IF(IFERROR(INDEX(Accounts!$C$7:$C$16,MATCH($C948,Accounts!$B$7:$B$16,0))&amp;"","")&lt;&gt;"",INDEX(Accounts!$C$7:$C$16,MATCH($C948,Accounts!$B$7:$B$16,0)),Settings!$C$6)))</f>
        <v/>
      </c>
      <c r="AG948" s="53" t="str">
        <f>IF($AM948=0,"",IF(AND($BE948&gt;0,N(INDEX(Instruments!$D$6:$D$205,MAX(1,$BE948)))&gt;0),INDEX(Instruments!$D$6:$D$205,MAX(1,$BE948)),IF(N(INDEX(Settings!$D$14:$D$18,$BF948))&gt;0,INDEX(Settings!$D$14:$D$18,$BF948),"")))</f>
        <v/>
      </c>
      <c r="AH948" s="54" t="str">
        <f>IF($AM948=0,"",IF($AF948&lt;&gt;"Forex",1,IF(MID(UPPER(SUBSTITUTE(TRIM($E948),"/","")),4,3)=UPPER(TRIM(Settings!$C$7)),1,IF(LEFT(UPPER(SUBSTITUTE(TRIM($E948),"/","")),3)=UPPER(TRIM(Settings!$C$7)),IF(AND(ISNUMBER($K948),N($K948)&lt;&gt;0),1/$K948,""),""))))</f>
        <v/>
      </c>
      <c r="AI948" s="55" t="str">
        <f>IF($AM948=0,"",IF(OR(NOT(ISNUMBER($H948)),NOT(ISNUMBER($K948)),NOT(ISNUMBER($G948)),$AG948="",$AH948=""),"",ROUND(($K948-$H948)*IF($F948="Short",-1,1)*$G948*$AG948*$AH948,6)))</f>
        <v/>
      </c>
      <c r="AJ948" s="55" t="str">
        <f>IF($AM948=0,"",IF(INDEX(Settings!$E$14:$E$18,$BF948)="% of notional",IF(OR($AG948="",NOT(ISNUMBER($H948)),NOT(ISNUMBER($G948))),"",ROUND(ABS($H948*$G948*$AG948*N($AH948))*IF($L948="Limit",N(INDEX(Settings!$G$14:$G$18,$BF948)),N(INDEX(Settings!$H$14:$H$18,$BF948)))+IF(ISNUMBER($K948),ABS($K948*$G948*$AG948*N($AH948))*IF($M948="Target",N(INDEX(Settings!$G$14:$G$18,$BF948)),N(INDEX(Settings!$H$14:$H$18,$BF948))),0),6)),IF(NOT(ISNUMBER($G948)),"",ROUND(ABS($G948)*2*IF(AND($BE948&gt;0,ISNUMBER(INDEX(Instruments!$G$6:$G$205,MAX(1,$BE948)))),INDEX(Instruments!$G$6:$G$205,MAX(1,$BE948)),N(INDEX(Settings!$F$14:$F$18,$BF948))),6))))</f>
        <v/>
      </c>
      <c r="AK948" s="55" t="str">
        <f>IF($AM948=0,"",IF(ISNUMBER($O948),$O948,$AI948))</f>
        <v/>
      </c>
      <c r="AL948" s="55" t="str">
        <f>IF($AM948=0,"",IF(ISNUMBER($P948),$P948,N($AJ948)))</f>
        <v/>
      </c>
      <c r="AM948" s="56">
        <f>IF(AND($A948&lt;&gt;"",$E948&lt;&gt;"",OR(AND(ISNUMBER($G948),ISNUMBER($H948),ISNUMBER($K948)),ISNUMBER($O948))),1,0)</f>
        <v>0</v>
      </c>
      <c r="AN948" s="57" t="str">
        <f>IF($A948="","",$A948-WEEKDAY($A948,3))</f>
        <v/>
      </c>
      <c r="AO948" s="56" t="str">
        <f>IF($A948="","",WEEKDAY($A948,2))</f>
        <v/>
      </c>
      <c r="AP948" s="55" t="str">
        <f>IF(OR($AM948=0,$C948=""),"",IFERROR(N(INDEX(Accounts!$E$7:$E$16,MATCH($C948,Accounts!$B$7:$B$16,0))),0)+SUMIFS($Q$6:$Q948,$C$6:$C948,$C948))</f>
        <v/>
      </c>
      <c r="AQ948" s="55" t="str">
        <f>IF(OR($AM948=0,$C948=""),"",SUMIFS($Q$6:$Q$1005,$C$6:$C$1005,$C948,$A$6:$A$1005,$A948))</f>
        <v/>
      </c>
      <c r="AR948" s="55" t="str">
        <f>IF(OR($AM948=0,$C948=""),"",IFERROR(N(INDEX(Accounts!$E$7:$E$16,MATCH($C948,Accounts!$B$7:$B$16,0))),0)+SUMIFS($Q$6:$Q$1005,$C$6:$C$1005,$C948,$A$6:$A$1005,"&lt;="&amp;$A948))</f>
        <v/>
      </c>
      <c r="AS948" s="56">
        <f>IF(OR($AM948=0,$Q948=""),0,IF(AND($A948&gt;=Lists!$W$6,$A948&lt;=Lists!$W$7,OR(Dashboard!$D$6="All accounts",$C948=Dashboard!$D$6),OR(Dashboard!$D$7="All markets",$AF948=Dashboard!$D$7)),1,0))</f>
        <v>0</v>
      </c>
      <c r="AT948" s="55">
        <f>IF($AS948=1,N(AT947)+$Q948,N(AT947))</f>
        <v>1187.10688</v>
      </c>
      <c r="AU948" s="55">
        <f>MAX(N(AU947),$AT948)</f>
        <v>1187.10688</v>
      </c>
      <c r="AV948" s="55">
        <f>$AT948-$AU948</f>
        <v>0</v>
      </c>
      <c r="AW948" s="56">
        <f>IF($AS948=1,IF($S948="Win",N(AW947)+1,IF($S948="Loss",0,N(AW947))),N(AW947))</f>
        <v>5</v>
      </c>
      <c r="AX948" s="56">
        <f>IF($AS948=1,IF($S948="Loss",N(AX947)+1,IF($S948="Win",0,N(AX947))),N(AX947))</f>
        <v>0</v>
      </c>
      <c r="AY948" s="56" t="str">
        <f>IF($AS948=1,COUNTIF($AS$6:$AS948,1),"")</f>
        <v/>
      </c>
      <c r="AZ948" s="56">
        <f>MIN(942,N(Lists!$W$8))</f>
        <v>28</v>
      </c>
      <c r="BA948" s="56">
        <f>IF($AS948=1,IF(COUNTIFS($A$6:$A948,$A948,$AS$6:$AS948,1)=1,1,0),0)</f>
        <v>0</v>
      </c>
      <c r="BB948" s="55" t="str">
        <f>IF($BA948=1,SUMIFS($Q$6:$Q$1005,$A$6:$A$1005,$A948,$AS$6:$AS$1005,1),"")</f>
        <v/>
      </c>
      <c r="BC948" s="56">
        <f>IF(ISNUMBER($R948),1,0)</f>
        <v>0</v>
      </c>
      <c r="BD948" s="55" t="str">
        <f>IF(ISNUMBER($U948),$U948*$V948,"")</f>
        <v/>
      </c>
      <c r="BE948" s="56" t="str">
        <f>IF($AM948=0,"",IFERROR(MATCH($AF948&amp;"|"&amp;UPPER(TRIM($E948)),Lists!$A$6:$A$205,0),0))</f>
        <v/>
      </c>
      <c r="BF948" s="56" t="str">
        <f>IF($AM948=0,"",IFERROR(MATCH($AF948,Settings!$B$14:$B$18,0),IFERROR(MATCH(Settings!$C$6,Settings!$B$14:$B$18,0),1)))</f>
        <v/>
      </c>
      <c r="BG948" s="58" t="str">
        <f>IF($AM948=0,"",IF(NOT(ISNUMBER($I948)),"No stop; ","")&amp;IF(AND(ISNUMBER($H948),ISNUMBER($I948)),IF(OR(AND($F948&lt;&gt;"Short",$I948&gt;=$H948),AND($F948="Short",$I948&lt;=$H948)),"Stop on wrong side; ",""),"")&amp;IF($F948="","No direction; ","")&amp;IF(AND(ISNUMBER(Settings!$C$22),ISNUMBER($V948)),IF($V948&gt;Settings!$C$22,"Risk over max $; ",""),"")&amp;IF(AND(ISNUMBER(Settings!$C$23),ISNUMBER($V948),ISNUMBER($AP948),IFERROR(N(INDEX(Accounts!$E$7:$E$16,MATCH($C948,Accounts!$B$7:$B$16,0))),0)&gt;0),IF($V948&gt;Settings!$C$23*($AP948-N($Q948)),"Risk over max %; ",""),"")&amp;IF(AND(ISNUMBER(Settings!$C$24),ISNUMBER($N948)),IF($N948&gt;Settings!$C$24,"Leverage over max; ",""),"")&amp;IF(AND(ISNUMBER(Settings!$C$27),ISNUMBER($T948)),IF($T948&lt;Settings!$C$27,"R:R below min; ",""),"")&amp;IF(ISNUMBER(Settings!$C$25),IF(COUNTIFS($A$6:$A948,$A948,$AM$6:$AM948,1)&gt;Settings!$C$25,"Over max trades/day; ",""),"")&amp;IF(ISNUMBER(Settings!$C$26),IF(SUMIFS($Q$5:$Q947,$A$5:$A947,$A948)&lt;=-Settings!$C$26,"Traded after daily max loss; ",""),"")&amp;IF(AND($AG948="",NOT(ISNUMBER($O948))),"Symbol not in Instruments; ","")&amp;IF(AND($AH948="",NOT(ISNUMBER($O948))),"Forex cross: type Gross P&amp;L; ",""))</f>
        <v/>
      </c>
      <c r="BH948" s="56">
        <f>IF(ISNUMBER($Q948),1,0)</f>
        <v>0</v>
      </c>
      <c r="BI948" s="56">
        <f>IF($Y948="",0,1)</f>
        <v>0</v>
      </c>
      <c r="BJ948" s="56">
        <f>IF($AB948="",0,1)</f>
        <v>0</v>
      </c>
      <c r="BK948" s="56">
        <f>IF(AND($BH948=1,$W948&lt;&gt;"OK"),1,0)</f>
        <v>0</v>
      </c>
      <c r="BL948" s="55">
        <f>IF(N($AZ948)=0,0,IFERROR(INDEX($AT$6:$AT$1005,MATCH($AZ948,$AY$6:$AY$1005,0)),0))</f>
        <v>1187.10688</v>
      </c>
      <c r="BM948" s="56">
        <f>IF(ISNUMBER(SEARCH("daily max loss",$BG948)),1,0)</f>
        <v>0</v>
      </c>
    </row>
    <row r="949" ht="18" customHeight="1">
      <c r="A949" s="38" t="n"/>
      <c r="B949" s="39" t="n"/>
      <c r="C949" s="40" t="n"/>
      <c r="D949" s="41" t="n"/>
      <c r="E949" s="41" t="n"/>
      <c r="F949" s="41" t="n"/>
      <c r="G949" s="41" t="n"/>
      <c r="H949" s="42" t="n"/>
      <c r="I949" s="42" t="n"/>
      <c r="J949" s="42" t="n"/>
      <c r="K949" s="42" t="n"/>
      <c r="L949" s="41" t="n"/>
      <c r="M949" s="41" t="n"/>
      <c r="N949" s="41" t="n"/>
      <c r="O949" s="43" t="n"/>
      <c r="P949" s="43" t="n"/>
      <c r="Q949" s="44" t="str">
        <f>IF($AM949=0,"",IF(ISNUMBER($AK949),$AK949-N($AL949),""))</f>
        <v/>
      </c>
      <c r="R949" s="45" t="str">
        <f>IF(OR($Q949="",NOT(ISNUMBER($V949))),"",$AK949/$V949)</f>
        <v/>
      </c>
      <c r="S949" s="46" t="str">
        <f>IF($Q949="","",IF(AND(ISNUMBER($R949),ABS(N($R949))&lt;N(Settings!$C$8)),"Scratch",IF($Q949&gt;0,"Win",IF($Q949&lt;0,"Loss","Scratch"))))</f>
        <v/>
      </c>
      <c r="T949" s="47" t="str">
        <f>IF(OR($AM949=0,NOT(ISNUMBER($H949)),NOT(ISNUMBER($I949)),NOT(ISNUMBER($J949))),"",IF($H949=$I949,"",ROUND(ABS($J949-$H949)/ABS($H949-$I949),6)))</f>
        <v/>
      </c>
      <c r="U949" s="48" t="str">
        <f>IF(OR($S949&lt;&gt;"Win",NOT(ISNUMBER($T949)),NOT(ISNUMBER($R949))),"",MAX(0,$T949-$R949))</f>
        <v/>
      </c>
      <c r="V949" s="49" t="str">
        <f>IF(OR($AM949=0,NOT(ISNUMBER($H949)),NOT(ISNUMBER($I949)),NOT(ISNUMBER($G949))),"",IF(OR($AG949="",$AH949=""),"",IF(ROUND(ABS($H949-$I949)*ABS($G949)*$AG949*$AH949,6)=0,"",ROUND(ABS($H949-$I949)*ABS($G949)*$AG949*$AH949,6))))</f>
        <v/>
      </c>
      <c r="W949" s="50" t="str">
        <f>IF($AM949=0,"",IF($BG949="","OK",LEFT($BG949,LEN($BG949)-2)))</f>
        <v/>
      </c>
      <c r="X949" s="41" t="n"/>
      <c r="Y949" s="40" t="n"/>
      <c r="Z949" s="41" t="n"/>
      <c r="AA949" s="41" t="n"/>
      <c r="AB949" s="40" t="n"/>
      <c r="AC949" s="51" t="n"/>
      <c r="AD949" s="51" t="n"/>
      <c r="AE949" s="40" t="n"/>
      <c r="AF949" s="52" t="str">
        <f>IF($AM949=0,"",IF($D949&lt;&gt;"",$D949,IF(IFERROR(INDEX(Accounts!$C$7:$C$16,MATCH($C949,Accounts!$B$7:$B$16,0))&amp;"","")&lt;&gt;"",INDEX(Accounts!$C$7:$C$16,MATCH($C949,Accounts!$B$7:$B$16,0)),Settings!$C$6)))</f>
        <v/>
      </c>
      <c r="AG949" s="53" t="str">
        <f>IF($AM949=0,"",IF(AND($BE949&gt;0,N(INDEX(Instruments!$D$6:$D$205,MAX(1,$BE949)))&gt;0),INDEX(Instruments!$D$6:$D$205,MAX(1,$BE949)),IF(N(INDEX(Settings!$D$14:$D$18,$BF949))&gt;0,INDEX(Settings!$D$14:$D$18,$BF949),"")))</f>
        <v/>
      </c>
      <c r="AH949" s="54" t="str">
        <f>IF($AM949=0,"",IF($AF949&lt;&gt;"Forex",1,IF(MID(UPPER(SUBSTITUTE(TRIM($E949),"/","")),4,3)=UPPER(TRIM(Settings!$C$7)),1,IF(LEFT(UPPER(SUBSTITUTE(TRIM($E949),"/","")),3)=UPPER(TRIM(Settings!$C$7)),IF(AND(ISNUMBER($K949),N($K949)&lt;&gt;0),1/$K949,""),""))))</f>
        <v/>
      </c>
      <c r="AI949" s="55" t="str">
        <f>IF($AM949=0,"",IF(OR(NOT(ISNUMBER($H949)),NOT(ISNUMBER($K949)),NOT(ISNUMBER($G949)),$AG949="",$AH949=""),"",ROUND(($K949-$H949)*IF($F949="Short",-1,1)*$G949*$AG949*$AH949,6)))</f>
        <v/>
      </c>
      <c r="AJ949" s="55" t="str">
        <f>IF($AM949=0,"",IF(INDEX(Settings!$E$14:$E$18,$BF949)="% of notional",IF(OR($AG949="",NOT(ISNUMBER($H949)),NOT(ISNUMBER($G949))),"",ROUND(ABS($H949*$G949*$AG949*N($AH949))*IF($L949="Limit",N(INDEX(Settings!$G$14:$G$18,$BF949)),N(INDEX(Settings!$H$14:$H$18,$BF949)))+IF(ISNUMBER($K949),ABS($K949*$G949*$AG949*N($AH949))*IF($M949="Target",N(INDEX(Settings!$G$14:$G$18,$BF949)),N(INDEX(Settings!$H$14:$H$18,$BF949))),0),6)),IF(NOT(ISNUMBER($G949)),"",ROUND(ABS($G949)*2*IF(AND($BE949&gt;0,ISNUMBER(INDEX(Instruments!$G$6:$G$205,MAX(1,$BE949)))),INDEX(Instruments!$G$6:$G$205,MAX(1,$BE949)),N(INDEX(Settings!$F$14:$F$18,$BF949))),6))))</f>
        <v/>
      </c>
      <c r="AK949" s="55" t="str">
        <f>IF($AM949=0,"",IF(ISNUMBER($O949),$O949,$AI949))</f>
        <v/>
      </c>
      <c r="AL949" s="55" t="str">
        <f>IF($AM949=0,"",IF(ISNUMBER($P949),$P949,N($AJ949)))</f>
        <v/>
      </c>
      <c r="AM949" s="56">
        <f>IF(AND($A949&lt;&gt;"",$E949&lt;&gt;"",OR(AND(ISNUMBER($G949),ISNUMBER($H949),ISNUMBER($K949)),ISNUMBER($O949))),1,0)</f>
        <v>0</v>
      </c>
      <c r="AN949" s="57" t="str">
        <f>IF($A949="","",$A949-WEEKDAY($A949,3))</f>
        <v/>
      </c>
      <c r="AO949" s="56" t="str">
        <f>IF($A949="","",WEEKDAY($A949,2))</f>
        <v/>
      </c>
      <c r="AP949" s="55" t="str">
        <f>IF(OR($AM949=0,$C949=""),"",IFERROR(N(INDEX(Accounts!$E$7:$E$16,MATCH($C949,Accounts!$B$7:$B$16,0))),0)+SUMIFS($Q$6:$Q949,$C$6:$C949,$C949))</f>
        <v/>
      </c>
      <c r="AQ949" s="55" t="str">
        <f>IF(OR($AM949=0,$C949=""),"",SUMIFS($Q$6:$Q$1005,$C$6:$C$1005,$C949,$A$6:$A$1005,$A949))</f>
        <v/>
      </c>
      <c r="AR949" s="55" t="str">
        <f>IF(OR($AM949=0,$C949=""),"",IFERROR(N(INDEX(Accounts!$E$7:$E$16,MATCH($C949,Accounts!$B$7:$B$16,0))),0)+SUMIFS($Q$6:$Q$1005,$C$6:$C$1005,$C949,$A$6:$A$1005,"&lt;="&amp;$A949))</f>
        <v/>
      </c>
      <c r="AS949" s="56">
        <f>IF(OR($AM949=0,$Q949=""),0,IF(AND($A949&gt;=Lists!$W$6,$A949&lt;=Lists!$W$7,OR(Dashboard!$D$6="All accounts",$C949=Dashboard!$D$6),OR(Dashboard!$D$7="All markets",$AF949=Dashboard!$D$7)),1,0))</f>
        <v>0</v>
      </c>
      <c r="AT949" s="55">
        <f>IF($AS949=1,N(AT948)+$Q949,N(AT948))</f>
        <v>1187.10688</v>
      </c>
      <c r="AU949" s="55">
        <f>MAX(N(AU948),$AT949)</f>
        <v>1187.10688</v>
      </c>
      <c r="AV949" s="55">
        <f>$AT949-$AU949</f>
        <v>0</v>
      </c>
      <c r="AW949" s="56">
        <f>IF($AS949=1,IF($S949="Win",N(AW948)+1,IF($S949="Loss",0,N(AW948))),N(AW948))</f>
        <v>5</v>
      </c>
      <c r="AX949" s="56">
        <f>IF($AS949=1,IF($S949="Loss",N(AX948)+1,IF($S949="Win",0,N(AX948))),N(AX948))</f>
        <v>0</v>
      </c>
      <c r="AY949" s="56" t="str">
        <f>IF($AS949=1,COUNTIF($AS$6:$AS949,1),"")</f>
        <v/>
      </c>
      <c r="AZ949" s="56">
        <f>MIN(943,N(Lists!$W$8))</f>
        <v>28</v>
      </c>
      <c r="BA949" s="56">
        <f>IF($AS949=1,IF(COUNTIFS($A$6:$A949,$A949,$AS$6:$AS949,1)=1,1,0),0)</f>
        <v>0</v>
      </c>
      <c r="BB949" s="55" t="str">
        <f>IF($BA949=1,SUMIFS($Q$6:$Q$1005,$A$6:$A$1005,$A949,$AS$6:$AS$1005,1),"")</f>
        <v/>
      </c>
      <c r="BC949" s="56">
        <f>IF(ISNUMBER($R949),1,0)</f>
        <v>0</v>
      </c>
      <c r="BD949" s="55" t="str">
        <f>IF(ISNUMBER($U949),$U949*$V949,"")</f>
        <v/>
      </c>
      <c r="BE949" s="56" t="str">
        <f>IF($AM949=0,"",IFERROR(MATCH($AF949&amp;"|"&amp;UPPER(TRIM($E949)),Lists!$A$6:$A$205,0),0))</f>
        <v/>
      </c>
      <c r="BF949" s="56" t="str">
        <f>IF($AM949=0,"",IFERROR(MATCH($AF949,Settings!$B$14:$B$18,0),IFERROR(MATCH(Settings!$C$6,Settings!$B$14:$B$18,0),1)))</f>
        <v/>
      </c>
      <c r="BG949" s="58" t="str">
        <f>IF($AM949=0,"",IF(NOT(ISNUMBER($I949)),"No stop; ","")&amp;IF(AND(ISNUMBER($H949),ISNUMBER($I949)),IF(OR(AND($F949&lt;&gt;"Short",$I949&gt;=$H949),AND($F949="Short",$I949&lt;=$H949)),"Stop on wrong side; ",""),"")&amp;IF($F949="","No direction; ","")&amp;IF(AND(ISNUMBER(Settings!$C$22),ISNUMBER($V949)),IF($V949&gt;Settings!$C$22,"Risk over max $; ",""),"")&amp;IF(AND(ISNUMBER(Settings!$C$23),ISNUMBER($V949),ISNUMBER($AP949),IFERROR(N(INDEX(Accounts!$E$7:$E$16,MATCH($C949,Accounts!$B$7:$B$16,0))),0)&gt;0),IF($V949&gt;Settings!$C$23*($AP949-N($Q949)),"Risk over max %; ",""),"")&amp;IF(AND(ISNUMBER(Settings!$C$24),ISNUMBER($N949)),IF($N949&gt;Settings!$C$24,"Leverage over max; ",""),"")&amp;IF(AND(ISNUMBER(Settings!$C$27),ISNUMBER($T949)),IF($T949&lt;Settings!$C$27,"R:R below min; ",""),"")&amp;IF(ISNUMBER(Settings!$C$25),IF(COUNTIFS($A$6:$A949,$A949,$AM$6:$AM949,1)&gt;Settings!$C$25,"Over max trades/day; ",""),"")&amp;IF(ISNUMBER(Settings!$C$26),IF(SUMIFS($Q$5:$Q948,$A$5:$A948,$A949)&lt;=-Settings!$C$26,"Traded after daily max loss; ",""),"")&amp;IF(AND($AG949="",NOT(ISNUMBER($O949))),"Symbol not in Instruments; ","")&amp;IF(AND($AH949="",NOT(ISNUMBER($O949))),"Forex cross: type Gross P&amp;L; ",""))</f>
        <v/>
      </c>
      <c r="BH949" s="56">
        <f>IF(ISNUMBER($Q949),1,0)</f>
        <v>0</v>
      </c>
      <c r="BI949" s="56">
        <f>IF($Y949="",0,1)</f>
        <v>0</v>
      </c>
      <c r="BJ949" s="56">
        <f>IF($AB949="",0,1)</f>
        <v>0</v>
      </c>
      <c r="BK949" s="56">
        <f>IF(AND($BH949=1,$W949&lt;&gt;"OK"),1,0)</f>
        <v>0</v>
      </c>
      <c r="BL949" s="55">
        <f>IF(N($AZ949)=0,0,IFERROR(INDEX($AT$6:$AT$1005,MATCH($AZ949,$AY$6:$AY$1005,0)),0))</f>
        <v>1187.10688</v>
      </c>
      <c r="BM949" s="56">
        <f>IF(ISNUMBER(SEARCH("daily max loss",$BG949)),1,0)</f>
        <v>0</v>
      </c>
    </row>
    <row r="950" ht="18" customHeight="1">
      <c r="A950" s="38" t="n"/>
      <c r="B950" s="39" t="n"/>
      <c r="C950" s="40" t="n"/>
      <c r="D950" s="41" t="n"/>
      <c r="E950" s="41" t="n"/>
      <c r="F950" s="41" t="n"/>
      <c r="G950" s="41" t="n"/>
      <c r="H950" s="42" t="n"/>
      <c r="I950" s="42" t="n"/>
      <c r="J950" s="42" t="n"/>
      <c r="K950" s="42" t="n"/>
      <c r="L950" s="41" t="n"/>
      <c r="M950" s="41" t="n"/>
      <c r="N950" s="41" t="n"/>
      <c r="O950" s="43" t="n"/>
      <c r="P950" s="43" t="n"/>
      <c r="Q950" s="44" t="str">
        <f>IF($AM950=0,"",IF(ISNUMBER($AK950),$AK950-N($AL950),""))</f>
        <v/>
      </c>
      <c r="R950" s="45" t="str">
        <f>IF(OR($Q950="",NOT(ISNUMBER($V950))),"",$AK950/$V950)</f>
        <v/>
      </c>
      <c r="S950" s="46" t="str">
        <f>IF($Q950="","",IF(AND(ISNUMBER($R950),ABS(N($R950))&lt;N(Settings!$C$8)),"Scratch",IF($Q950&gt;0,"Win",IF($Q950&lt;0,"Loss","Scratch"))))</f>
        <v/>
      </c>
      <c r="T950" s="47" t="str">
        <f>IF(OR($AM950=0,NOT(ISNUMBER($H950)),NOT(ISNUMBER($I950)),NOT(ISNUMBER($J950))),"",IF($H950=$I950,"",ROUND(ABS($J950-$H950)/ABS($H950-$I950),6)))</f>
        <v/>
      </c>
      <c r="U950" s="48" t="str">
        <f>IF(OR($S950&lt;&gt;"Win",NOT(ISNUMBER($T950)),NOT(ISNUMBER($R950))),"",MAX(0,$T950-$R950))</f>
        <v/>
      </c>
      <c r="V950" s="49" t="str">
        <f>IF(OR($AM950=0,NOT(ISNUMBER($H950)),NOT(ISNUMBER($I950)),NOT(ISNUMBER($G950))),"",IF(OR($AG950="",$AH950=""),"",IF(ROUND(ABS($H950-$I950)*ABS($G950)*$AG950*$AH950,6)=0,"",ROUND(ABS($H950-$I950)*ABS($G950)*$AG950*$AH950,6))))</f>
        <v/>
      </c>
      <c r="W950" s="50" t="str">
        <f>IF($AM950=0,"",IF($BG950="","OK",LEFT($BG950,LEN($BG950)-2)))</f>
        <v/>
      </c>
      <c r="X950" s="41" t="n"/>
      <c r="Y950" s="40" t="n"/>
      <c r="Z950" s="41" t="n"/>
      <c r="AA950" s="41" t="n"/>
      <c r="AB950" s="40" t="n"/>
      <c r="AC950" s="51" t="n"/>
      <c r="AD950" s="51" t="n"/>
      <c r="AE950" s="40" t="n"/>
      <c r="AF950" s="52" t="str">
        <f>IF($AM950=0,"",IF($D950&lt;&gt;"",$D950,IF(IFERROR(INDEX(Accounts!$C$7:$C$16,MATCH($C950,Accounts!$B$7:$B$16,0))&amp;"","")&lt;&gt;"",INDEX(Accounts!$C$7:$C$16,MATCH($C950,Accounts!$B$7:$B$16,0)),Settings!$C$6)))</f>
        <v/>
      </c>
      <c r="AG950" s="53" t="str">
        <f>IF($AM950=0,"",IF(AND($BE950&gt;0,N(INDEX(Instruments!$D$6:$D$205,MAX(1,$BE950)))&gt;0),INDEX(Instruments!$D$6:$D$205,MAX(1,$BE950)),IF(N(INDEX(Settings!$D$14:$D$18,$BF950))&gt;0,INDEX(Settings!$D$14:$D$18,$BF950),"")))</f>
        <v/>
      </c>
      <c r="AH950" s="54" t="str">
        <f>IF($AM950=0,"",IF($AF950&lt;&gt;"Forex",1,IF(MID(UPPER(SUBSTITUTE(TRIM($E950),"/","")),4,3)=UPPER(TRIM(Settings!$C$7)),1,IF(LEFT(UPPER(SUBSTITUTE(TRIM($E950),"/","")),3)=UPPER(TRIM(Settings!$C$7)),IF(AND(ISNUMBER($K950),N($K950)&lt;&gt;0),1/$K950,""),""))))</f>
        <v/>
      </c>
      <c r="AI950" s="55" t="str">
        <f>IF($AM950=0,"",IF(OR(NOT(ISNUMBER($H950)),NOT(ISNUMBER($K950)),NOT(ISNUMBER($G950)),$AG950="",$AH950=""),"",ROUND(($K950-$H950)*IF($F950="Short",-1,1)*$G950*$AG950*$AH950,6)))</f>
        <v/>
      </c>
      <c r="AJ950" s="55" t="str">
        <f>IF($AM950=0,"",IF(INDEX(Settings!$E$14:$E$18,$BF950)="% of notional",IF(OR($AG950="",NOT(ISNUMBER($H950)),NOT(ISNUMBER($G950))),"",ROUND(ABS($H950*$G950*$AG950*N($AH950))*IF($L950="Limit",N(INDEX(Settings!$G$14:$G$18,$BF950)),N(INDEX(Settings!$H$14:$H$18,$BF950)))+IF(ISNUMBER($K950),ABS($K950*$G950*$AG950*N($AH950))*IF($M950="Target",N(INDEX(Settings!$G$14:$G$18,$BF950)),N(INDEX(Settings!$H$14:$H$18,$BF950))),0),6)),IF(NOT(ISNUMBER($G950)),"",ROUND(ABS($G950)*2*IF(AND($BE950&gt;0,ISNUMBER(INDEX(Instruments!$G$6:$G$205,MAX(1,$BE950)))),INDEX(Instruments!$G$6:$G$205,MAX(1,$BE950)),N(INDEX(Settings!$F$14:$F$18,$BF950))),6))))</f>
        <v/>
      </c>
      <c r="AK950" s="55" t="str">
        <f>IF($AM950=0,"",IF(ISNUMBER($O950),$O950,$AI950))</f>
        <v/>
      </c>
      <c r="AL950" s="55" t="str">
        <f>IF($AM950=0,"",IF(ISNUMBER($P950),$P950,N($AJ950)))</f>
        <v/>
      </c>
      <c r="AM950" s="56">
        <f>IF(AND($A950&lt;&gt;"",$E950&lt;&gt;"",OR(AND(ISNUMBER($G950),ISNUMBER($H950),ISNUMBER($K950)),ISNUMBER($O950))),1,0)</f>
        <v>0</v>
      </c>
      <c r="AN950" s="57" t="str">
        <f>IF($A950="","",$A950-WEEKDAY($A950,3))</f>
        <v/>
      </c>
      <c r="AO950" s="56" t="str">
        <f>IF($A950="","",WEEKDAY($A950,2))</f>
        <v/>
      </c>
      <c r="AP950" s="55" t="str">
        <f>IF(OR($AM950=0,$C950=""),"",IFERROR(N(INDEX(Accounts!$E$7:$E$16,MATCH($C950,Accounts!$B$7:$B$16,0))),0)+SUMIFS($Q$6:$Q950,$C$6:$C950,$C950))</f>
        <v/>
      </c>
      <c r="AQ950" s="55" t="str">
        <f>IF(OR($AM950=0,$C950=""),"",SUMIFS($Q$6:$Q$1005,$C$6:$C$1005,$C950,$A$6:$A$1005,$A950))</f>
        <v/>
      </c>
      <c r="AR950" s="55" t="str">
        <f>IF(OR($AM950=0,$C950=""),"",IFERROR(N(INDEX(Accounts!$E$7:$E$16,MATCH($C950,Accounts!$B$7:$B$16,0))),0)+SUMIFS($Q$6:$Q$1005,$C$6:$C$1005,$C950,$A$6:$A$1005,"&lt;="&amp;$A950))</f>
        <v/>
      </c>
      <c r="AS950" s="56">
        <f>IF(OR($AM950=0,$Q950=""),0,IF(AND($A950&gt;=Lists!$W$6,$A950&lt;=Lists!$W$7,OR(Dashboard!$D$6="All accounts",$C950=Dashboard!$D$6),OR(Dashboard!$D$7="All markets",$AF950=Dashboard!$D$7)),1,0))</f>
        <v>0</v>
      </c>
      <c r="AT950" s="55">
        <f>IF($AS950=1,N(AT949)+$Q950,N(AT949))</f>
        <v>1187.10688</v>
      </c>
      <c r="AU950" s="55">
        <f>MAX(N(AU949),$AT950)</f>
        <v>1187.10688</v>
      </c>
      <c r="AV950" s="55">
        <f>$AT950-$AU950</f>
        <v>0</v>
      </c>
      <c r="AW950" s="56">
        <f>IF($AS950=1,IF($S950="Win",N(AW949)+1,IF($S950="Loss",0,N(AW949))),N(AW949))</f>
        <v>5</v>
      </c>
      <c r="AX950" s="56">
        <f>IF($AS950=1,IF($S950="Loss",N(AX949)+1,IF($S950="Win",0,N(AX949))),N(AX949))</f>
        <v>0</v>
      </c>
      <c r="AY950" s="56" t="str">
        <f>IF($AS950=1,COUNTIF($AS$6:$AS950,1),"")</f>
        <v/>
      </c>
      <c r="AZ950" s="56">
        <f>MIN(944,N(Lists!$W$8))</f>
        <v>28</v>
      </c>
      <c r="BA950" s="56">
        <f>IF($AS950=1,IF(COUNTIFS($A$6:$A950,$A950,$AS$6:$AS950,1)=1,1,0),0)</f>
        <v>0</v>
      </c>
      <c r="BB950" s="55" t="str">
        <f>IF($BA950=1,SUMIFS($Q$6:$Q$1005,$A$6:$A$1005,$A950,$AS$6:$AS$1005,1),"")</f>
        <v/>
      </c>
      <c r="BC950" s="56">
        <f>IF(ISNUMBER($R950),1,0)</f>
        <v>0</v>
      </c>
      <c r="BD950" s="55" t="str">
        <f>IF(ISNUMBER($U950),$U950*$V950,"")</f>
        <v/>
      </c>
      <c r="BE950" s="56" t="str">
        <f>IF($AM950=0,"",IFERROR(MATCH($AF950&amp;"|"&amp;UPPER(TRIM($E950)),Lists!$A$6:$A$205,0),0))</f>
        <v/>
      </c>
      <c r="BF950" s="56" t="str">
        <f>IF($AM950=0,"",IFERROR(MATCH($AF950,Settings!$B$14:$B$18,0),IFERROR(MATCH(Settings!$C$6,Settings!$B$14:$B$18,0),1)))</f>
        <v/>
      </c>
      <c r="BG950" s="58" t="str">
        <f>IF($AM950=0,"",IF(NOT(ISNUMBER($I950)),"No stop; ","")&amp;IF(AND(ISNUMBER($H950),ISNUMBER($I950)),IF(OR(AND($F950&lt;&gt;"Short",$I950&gt;=$H950),AND($F950="Short",$I950&lt;=$H950)),"Stop on wrong side; ",""),"")&amp;IF($F950="","No direction; ","")&amp;IF(AND(ISNUMBER(Settings!$C$22),ISNUMBER($V950)),IF($V950&gt;Settings!$C$22,"Risk over max $; ",""),"")&amp;IF(AND(ISNUMBER(Settings!$C$23),ISNUMBER($V950),ISNUMBER($AP950),IFERROR(N(INDEX(Accounts!$E$7:$E$16,MATCH($C950,Accounts!$B$7:$B$16,0))),0)&gt;0),IF($V950&gt;Settings!$C$23*($AP950-N($Q950)),"Risk over max %; ",""),"")&amp;IF(AND(ISNUMBER(Settings!$C$24),ISNUMBER($N950)),IF($N950&gt;Settings!$C$24,"Leverage over max; ",""),"")&amp;IF(AND(ISNUMBER(Settings!$C$27),ISNUMBER($T950)),IF($T950&lt;Settings!$C$27,"R:R below min; ",""),"")&amp;IF(ISNUMBER(Settings!$C$25),IF(COUNTIFS($A$6:$A950,$A950,$AM$6:$AM950,1)&gt;Settings!$C$25,"Over max trades/day; ",""),"")&amp;IF(ISNUMBER(Settings!$C$26),IF(SUMIFS($Q$5:$Q949,$A$5:$A949,$A950)&lt;=-Settings!$C$26,"Traded after daily max loss; ",""),"")&amp;IF(AND($AG950="",NOT(ISNUMBER($O950))),"Symbol not in Instruments; ","")&amp;IF(AND($AH950="",NOT(ISNUMBER($O950))),"Forex cross: type Gross P&amp;L; ",""))</f>
        <v/>
      </c>
      <c r="BH950" s="56">
        <f>IF(ISNUMBER($Q950),1,0)</f>
        <v>0</v>
      </c>
      <c r="BI950" s="56">
        <f>IF($Y950="",0,1)</f>
        <v>0</v>
      </c>
      <c r="BJ950" s="56">
        <f>IF($AB950="",0,1)</f>
        <v>0</v>
      </c>
      <c r="BK950" s="56">
        <f>IF(AND($BH950=1,$W950&lt;&gt;"OK"),1,0)</f>
        <v>0</v>
      </c>
      <c r="BL950" s="55">
        <f>IF(N($AZ950)=0,0,IFERROR(INDEX($AT$6:$AT$1005,MATCH($AZ950,$AY$6:$AY$1005,0)),0))</f>
        <v>1187.10688</v>
      </c>
      <c r="BM950" s="56">
        <f>IF(ISNUMBER(SEARCH("daily max loss",$BG950)),1,0)</f>
        <v>0</v>
      </c>
    </row>
    <row r="951" ht="18" customHeight="1">
      <c r="A951" s="38" t="n"/>
      <c r="B951" s="39" t="n"/>
      <c r="C951" s="40" t="n"/>
      <c r="D951" s="41" t="n"/>
      <c r="E951" s="41" t="n"/>
      <c r="F951" s="41" t="n"/>
      <c r="G951" s="41" t="n"/>
      <c r="H951" s="42" t="n"/>
      <c r="I951" s="42" t="n"/>
      <c r="J951" s="42" t="n"/>
      <c r="K951" s="42" t="n"/>
      <c r="L951" s="41" t="n"/>
      <c r="M951" s="41" t="n"/>
      <c r="N951" s="41" t="n"/>
      <c r="O951" s="43" t="n"/>
      <c r="P951" s="43" t="n"/>
      <c r="Q951" s="44" t="str">
        <f>IF($AM951=0,"",IF(ISNUMBER($AK951),$AK951-N($AL951),""))</f>
        <v/>
      </c>
      <c r="R951" s="45" t="str">
        <f>IF(OR($Q951="",NOT(ISNUMBER($V951))),"",$AK951/$V951)</f>
        <v/>
      </c>
      <c r="S951" s="46" t="str">
        <f>IF($Q951="","",IF(AND(ISNUMBER($R951),ABS(N($R951))&lt;N(Settings!$C$8)),"Scratch",IF($Q951&gt;0,"Win",IF($Q951&lt;0,"Loss","Scratch"))))</f>
        <v/>
      </c>
      <c r="T951" s="47" t="str">
        <f>IF(OR($AM951=0,NOT(ISNUMBER($H951)),NOT(ISNUMBER($I951)),NOT(ISNUMBER($J951))),"",IF($H951=$I951,"",ROUND(ABS($J951-$H951)/ABS($H951-$I951),6)))</f>
        <v/>
      </c>
      <c r="U951" s="48" t="str">
        <f>IF(OR($S951&lt;&gt;"Win",NOT(ISNUMBER($T951)),NOT(ISNUMBER($R951))),"",MAX(0,$T951-$R951))</f>
        <v/>
      </c>
      <c r="V951" s="49" t="str">
        <f>IF(OR($AM951=0,NOT(ISNUMBER($H951)),NOT(ISNUMBER($I951)),NOT(ISNUMBER($G951))),"",IF(OR($AG951="",$AH951=""),"",IF(ROUND(ABS($H951-$I951)*ABS($G951)*$AG951*$AH951,6)=0,"",ROUND(ABS($H951-$I951)*ABS($G951)*$AG951*$AH951,6))))</f>
        <v/>
      </c>
      <c r="W951" s="50" t="str">
        <f>IF($AM951=0,"",IF($BG951="","OK",LEFT($BG951,LEN($BG951)-2)))</f>
        <v/>
      </c>
      <c r="X951" s="41" t="n"/>
      <c r="Y951" s="40" t="n"/>
      <c r="Z951" s="41" t="n"/>
      <c r="AA951" s="41" t="n"/>
      <c r="AB951" s="40" t="n"/>
      <c r="AC951" s="51" t="n"/>
      <c r="AD951" s="51" t="n"/>
      <c r="AE951" s="40" t="n"/>
      <c r="AF951" s="52" t="str">
        <f>IF($AM951=0,"",IF($D951&lt;&gt;"",$D951,IF(IFERROR(INDEX(Accounts!$C$7:$C$16,MATCH($C951,Accounts!$B$7:$B$16,0))&amp;"","")&lt;&gt;"",INDEX(Accounts!$C$7:$C$16,MATCH($C951,Accounts!$B$7:$B$16,0)),Settings!$C$6)))</f>
        <v/>
      </c>
      <c r="AG951" s="53" t="str">
        <f>IF($AM951=0,"",IF(AND($BE951&gt;0,N(INDEX(Instruments!$D$6:$D$205,MAX(1,$BE951)))&gt;0),INDEX(Instruments!$D$6:$D$205,MAX(1,$BE951)),IF(N(INDEX(Settings!$D$14:$D$18,$BF951))&gt;0,INDEX(Settings!$D$14:$D$18,$BF951),"")))</f>
        <v/>
      </c>
      <c r="AH951" s="54" t="str">
        <f>IF($AM951=0,"",IF($AF951&lt;&gt;"Forex",1,IF(MID(UPPER(SUBSTITUTE(TRIM($E951),"/","")),4,3)=UPPER(TRIM(Settings!$C$7)),1,IF(LEFT(UPPER(SUBSTITUTE(TRIM($E951),"/","")),3)=UPPER(TRIM(Settings!$C$7)),IF(AND(ISNUMBER($K951),N($K951)&lt;&gt;0),1/$K951,""),""))))</f>
        <v/>
      </c>
      <c r="AI951" s="55" t="str">
        <f>IF($AM951=0,"",IF(OR(NOT(ISNUMBER($H951)),NOT(ISNUMBER($K951)),NOT(ISNUMBER($G951)),$AG951="",$AH951=""),"",ROUND(($K951-$H951)*IF($F951="Short",-1,1)*$G951*$AG951*$AH951,6)))</f>
        <v/>
      </c>
      <c r="AJ951" s="55" t="str">
        <f>IF($AM951=0,"",IF(INDEX(Settings!$E$14:$E$18,$BF951)="% of notional",IF(OR($AG951="",NOT(ISNUMBER($H951)),NOT(ISNUMBER($G951))),"",ROUND(ABS($H951*$G951*$AG951*N($AH951))*IF($L951="Limit",N(INDEX(Settings!$G$14:$G$18,$BF951)),N(INDEX(Settings!$H$14:$H$18,$BF951)))+IF(ISNUMBER($K951),ABS($K951*$G951*$AG951*N($AH951))*IF($M951="Target",N(INDEX(Settings!$G$14:$G$18,$BF951)),N(INDEX(Settings!$H$14:$H$18,$BF951))),0),6)),IF(NOT(ISNUMBER($G951)),"",ROUND(ABS($G951)*2*IF(AND($BE951&gt;0,ISNUMBER(INDEX(Instruments!$G$6:$G$205,MAX(1,$BE951)))),INDEX(Instruments!$G$6:$G$205,MAX(1,$BE951)),N(INDEX(Settings!$F$14:$F$18,$BF951))),6))))</f>
        <v/>
      </c>
      <c r="AK951" s="55" t="str">
        <f>IF($AM951=0,"",IF(ISNUMBER($O951),$O951,$AI951))</f>
        <v/>
      </c>
      <c r="AL951" s="55" t="str">
        <f>IF($AM951=0,"",IF(ISNUMBER($P951),$P951,N($AJ951)))</f>
        <v/>
      </c>
      <c r="AM951" s="56">
        <f>IF(AND($A951&lt;&gt;"",$E951&lt;&gt;"",OR(AND(ISNUMBER($G951),ISNUMBER($H951),ISNUMBER($K951)),ISNUMBER($O951))),1,0)</f>
        <v>0</v>
      </c>
      <c r="AN951" s="57" t="str">
        <f>IF($A951="","",$A951-WEEKDAY($A951,3))</f>
        <v/>
      </c>
      <c r="AO951" s="56" t="str">
        <f>IF($A951="","",WEEKDAY($A951,2))</f>
        <v/>
      </c>
      <c r="AP951" s="55" t="str">
        <f>IF(OR($AM951=0,$C951=""),"",IFERROR(N(INDEX(Accounts!$E$7:$E$16,MATCH($C951,Accounts!$B$7:$B$16,0))),0)+SUMIFS($Q$6:$Q951,$C$6:$C951,$C951))</f>
        <v/>
      </c>
      <c r="AQ951" s="55" t="str">
        <f>IF(OR($AM951=0,$C951=""),"",SUMIFS($Q$6:$Q$1005,$C$6:$C$1005,$C951,$A$6:$A$1005,$A951))</f>
        <v/>
      </c>
      <c r="AR951" s="55" t="str">
        <f>IF(OR($AM951=0,$C951=""),"",IFERROR(N(INDEX(Accounts!$E$7:$E$16,MATCH($C951,Accounts!$B$7:$B$16,0))),0)+SUMIFS($Q$6:$Q$1005,$C$6:$C$1005,$C951,$A$6:$A$1005,"&lt;="&amp;$A951))</f>
        <v/>
      </c>
      <c r="AS951" s="56">
        <f>IF(OR($AM951=0,$Q951=""),0,IF(AND($A951&gt;=Lists!$W$6,$A951&lt;=Lists!$W$7,OR(Dashboard!$D$6="All accounts",$C951=Dashboard!$D$6),OR(Dashboard!$D$7="All markets",$AF951=Dashboard!$D$7)),1,0))</f>
        <v>0</v>
      </c>
      <c r="AT951" s="55">
        <f>IF($AS951=1,N(AT950)+$Q951,N(AT950))</f>
        <v>1187.10688</v>
      </c>
      <c r="AU951" s="55">
        <f>MAX(N(AU950),$AT951)</f>
        <v>1187.10688</v>
      </c>
      <c r="AV951" s="55">
        <f>$AT951-$AU951</f>
        <v>0</v>
      </c>
      <c r="AW951" s="56">
        <f>IF($AS951=1,IF($S951="Win",N(AW950)+1,IF($S951="Loss",0,N(AW950))),N(AW950))</f>
        <v>5</v>
      </c>
      <c r="AX951" s="56">
        <f>IF($AS951=1,IF($S951="Loss",N(AX950)+1,IF($S951="Win",0,N(AX950))),N(AX950))</f>
        <v>0</v>
      </c>
      <c r="AY951" s="56" t="str">
        <f>IF($AS951=1,COUNTIF($AS$6:$AS951,1),"")</f>
        <v/>
      </c>
      <c r="AZ951" s="56">
        <f>MIN(945,N(Lists!$W$8))</f>
        <v>28</v>
      </c>
      <c r="BA951" s="56">
        <f>IF($AS951=1,IF(COUNTIFS($A$6:$A951,$A951,$AS$6:$AS951,1)=1,1,0),0)</f>
        <v>0</v>
      </c>
      <c r="BB951" s="55" t="str">
        <f>IF($BA951=1,SUMIFS($Q$6:$Q$1005,$A$6:$A$1005,$A951,$AS$6:$AS$1005,1),"")</f>
        <v/>
      </c>
      <c r="BC951" s="56">
        <f>IF(ISNUMBER($R951),1,0)</f>
        <v>0</v>
      </c>
      <c r="BD951" s="55" t="str">
        <f>IF(ISNUMBER($U951),$U951*$V951,"")</f>
        <v/>
      </c>
      <c r="BE951" s="56" t="str">
        <f>IF($AM951=0,"",IFERROR(MATCH($AF951&amp;"|"&amp;UPPER(TRIM($E951)),Lists!$A$6:$A$205,0),0))</f>
        <v/>
      </c>
      <c r="BF951" s="56" t="str">
        <f>IF($AM951=0,"",IFERROR(MATCH($AF951,Settings!$B$14:$B$18,0),IFERROR(MATCH(Settings!$C$6,Settings!$B$14:$B$18,0),1)))</f>
        <v/>
      </c>
      <c r="BG951" s="58" t="str">
        <f>IF($AM951=0,"",IF(NOT(ISNUMBER($I951)),"No stop; ","")&amp;IF(AND(ISNUMBER($H951),ISNUMBER($I951)),IF(OR(AND($F951&lt;&gt;"Short",$I951&gt;=$H951),AND($F951="Short",$I951&lt;=$H951)),"Stop on wrong side; ",""),"")&amp;IF($F951="","No direction; ","")&amp;IF(AND(ISNUMBER(Settings!$C$22),ISNUMBER($V951)),IF($V951&gt;Settings!$C$22,"Risk over max $; ",""),"")&amp;IF(AND(ISNUMBER(Settings!$C$23),ISNUMBER($V951),ISNUMBER($AP951),IFERROR(N(INDEX(Accounts!$E$7:$E$16,MATCH($C951,Accounts!$B$7:$B$16,0))),0)&gt;0),IF($V951&gt;Settings!$C$23*($AP951-N($Q951)),"Risk over max %; ",""),"")&amp;IF(AND(ISNUMBER(Settings!$C$24),ISNUMBER($N951)),IF($N951&gt;Settings!$C$24,"Leverage over max; ",""),"")&amp;IF(AND(ISNUMBER(Settings!$C$27),ISNUMBER($T951)),IF($T951&lt;Settings!$C$27,"R:R below min; ",""),"")&amp;IF(ISNUMBER(Settings!$C$25),IF(COUNTIFS($A$6:$A951,$A951,$AM$6:$AM951,1)&gt;Settings!$C$25,"Over max trades/day; ",""),"")&amp;IF(ISNUMBER(Settings!$C$26),IF(SUMIFS($Q$5:$Q950,$A$5:$A950,$A951)&lt;=-Settings!$C$26,"Traded after daily max loss; ",""),"")&amp;IF(AND($AG951="",NOT(ISNUMBER($O951))),"Symbol not in Instruments; ","")&amp;IF(AND($AH951="",NOT(ISNUMBER($O951))),"Forex cross: type Gross P&amp;L; ",""))</f>
        <v/>
      </c>
      <c r="BH951" s="56">
        <f>IF(ISNUMBER($Q951),1,0)</f>
        <v>0</v>
      </c>
      <c r="BI951" s="56">
        <f>IF($Y951="",0,1)</f>
        <v>0</v>
      </c>
      <c r="BJ951" s="56">
        <f>IF($AB951="",0,1)</f>
        <v>0</v>
      </c>
      <c r="BK951" s="56">
        <f>IF(AND($BH951=1,$W951&lt;&gt;"OK"),1,0)</f>
        <v>0</v>
      </c>
      <c r="BL951" s="55">
        <f>IF(N($AZ951)=0,0,IFERROR(INDEX($AT$6:$AT$1005,MATCH($AZ951,$AY$6:$AY$1005,0)),0))</f>
        <v>1187.10688</v>
      </c>
      <c r="BM951" s="56">
        <f>IF(ISNUMBER(SEARCH("daily max loss",$BG951)),1,0)</f>
        <v>0</v>
      </c>
    </row>
    <row r="952" ht="18" customHeight="1">
      <c r="A952" s="38" t="n"/>
      <c r="B952" s="39" t="n"/>
      <c r="C952" s="40" t="n"/>
      <c r="D952" s="41" t="n"/>
      <c r="E952" s="41" t="n"/>
      <c r="F952" s="41" t="n"/>
      <c r="G952" s="41" t="n"/>
      <c r="H952" s="42" t="n"/>
      <c r="I952" s="42" t="n"/>
      <c r="J952" s="42" t="n"/>
      <c r="K952" s="42" t="n"/>
      <c r="L952" s="41" t="n"/>
      <c r="M952" s="41" t="n"/>
      <c r="N952" s="41" t="n"/>
      <c r="O952" s="43" t="n"/>
      <c r="P952" s="43" t="n"/>
      <c r="Q952" s="44" t="str">
        <f>IF($AM952=0,"",IF(ISNUMBER($AK952),$AK952-N($AL952),""))</f>
        <v/>
      </c>
      <c r="R952" s="45" t="str">
        <f>IF(OR($Q952="",NOT(ISNUMBER($V952))),"",$AK952/$V952)</f>
        <v/>
      </c>
      <c r="S952" s="46" t="str">
        <f>IF($Q952="","",IF(AND(ISNUMBER($R952),ABS(N($R952))&lt;N(Settings!$C$8)),"Scratch",IF($Q952&gt;0,"Win",IF($Q952&lt;0,"Loss","Scratch"))))</f>
        <v/>
      </c>
      <c r="T952" s="47" t="str">
        <f>IF(OR($AM952=0,NOT(ISNUMBER($H952)),NOT(ISNUMBER($I952)),NOT(ISNUMBER($J952))),"",IF($H952=$I952,"",ROUND(ABS($J952-$H952)/ABS($H952-$I952),6)))</f>
        <v/>
      </c>
      <c r="U952" s="48" t="str">
        <f>IF(OR($S952&lt;&gt;"Win",NOT(ISNUMBER($T952)),NOT(ISNUMBER($R952))),"",MAX(0,$T952-$R952))</f>
        <v/>
      </c>
      <c r="V952" s="49" t="str">
        <f>IF(OR($AM952=0,NOT(ISNUMBER($H952)),NOT(ISNUMBER($I952)),NOT(ISNUMBER($G952))),"",IF(OR($AG952="",$AH952=""),"",IF(ROUND(ABS($H952-$I952)*ABS($G952)*$AG952*$AH952,6)=0,"",ROUND(ABS($H952-$I952)*ABS($G952)*$AG952*$AH952,6))))</f>
        <v/>
      </c>
      <c r="W952" s="50" t="str">
        <f>IF($AM952=0,"",IF($BG952="","OK",LEFT($BG952,LEN($BG952)-2)))</f>
        <v/>
      </c>
      <c r="X952" s="41" t="n"/>
      <c r="Y952" s="40" t="n"/>
      <c r="Z952" s="41" t="n"/>
      <c r="AA952" s="41" t="n"/>
      <c r="AB952" s="40" t="n"/>
      <c r="AC952" s="51" t="n"/>
      <c r="AD952" s="51" t="n"/>
      <c r="AE952" s="40" t="n"/>
      <c r="AF952" s="52" t="str">
        <f>IF($AM952=0,"",IF($D952&lt;&gt;"",$D952,IF(IFERROR(INDEX(Accounts!$C$7:$C$16,MATCH($C952,Accounts!$B$7:$B$16,0))&amp;"","")&lt;&gt;"",INDEX(Accounts!$C$7:$C$16,MATCH($C952,Accounts!$B$7:$B$16,0)),Settings!$C$6)))</f>
        <v/>
      </c>
      <c r="AG952" s="53" t="str">
        <f>IF($AM952=0,"",IF(AND($BE952&gt;0,N(INDEX(Instruments!$D$6:$D$205,MAX(1,$BE952)))&gt;0),INDEX(Instruments!$D$6:$D$205,MAX(1,$BE952)),IF(N(INDEX(Settings!$D$14:$D$18,$BF952))&gt;0,INDEX(Settings!$D$14:$D$18,$BF952),"")))</f>
        <v/>
      </c>
      <c r="AH952" s="54" t="str">
        <f>IF($AM952=0,"",IF($AF952&lt;&gt;"Forex",1,IF(MID(UPPER(SUBSTITUTE(TRIM($E952),"/","")),4,3)=UPPER(TRIM(Settings!$C$7)),1,IF(LEFT(UPPER(SUBSTITUTE(TRIM($E952),"/","")),3)=UPPER(TRIM(Settings!$C$7)),IF(AND(ISNUMBER($K952),N($K952)&lt;&gt;0),1/$K952,""),""))))</f>
        <v/>
      </c>
      <c r="AI952" s="55" t="str">
        <f>IF($AM952=0,"",IF(OR(NOT(ISNUMBER($H952)),NOT(ISNUMBER($K952)),NOT(ISNUMBER($G952)),$AG952="",$AH952=""),"",ROUND(($K952-$H952)*IF($F952="Short",-1,1)*$G952*$AG952*$AH952,6)))</f>
        <v/>
      </c>
      <c r="AJ952" s="55" t="str">
        <f>IF($AM952=0,"",IF(INDEX(Settings!$E$14:$E$18,$BF952)="% of notional",IF(OR($AG952="",NOT(ISNUMBER($H952)),NOT(ISNUMBER($G952))),"",ROUND(ABS($H952*$G952*$AG952*N($AH952))*IF($L952="Limit",N(INDEX(Settings!$G$14:$G$18,$BF952)),N(INDEX(Settings!$H$14:$H$18,$BF952)))+IF(ISNUMBER($K952),ABS($K952*$G952*$AG952*N($AH952))*IF($M952="Target",N(INDEX(Settings!$G$14:$G$18,$BF952)),N(INDEX(Settings!$H$14:$H$18,$BF952))),0),6)),IF(NOT(ISNUMBER($G952)),"",ROUND(ABS($G952)*2*IF(AND($BE952&gt;0,ISNUMBER(INDEX(Instruments!$G$6:$G$205,MAX(1,$BE952)))),INDEX(Instruments!$G$6:$G$205,MAX(1,$BE952)),N(INDEX(Settings!$F$14:$F$18,$BF952))),6))))</f>
        <v/>
      </c>
      <c r="AK952" s="55" t="str">
        <f>IF($AM952=0,"",IF(ISNUMBER($O952),$O952,$AI952))</f>
        <v/>
      </c>
      <c r="AL952" s="55" t="str">
        <f>IF($AM952=0,"",IF(ISNUMBER($P952),$P952,N($AJ952)))</f>
        <v/>
      </c>
      <c r="AM952" s="56">
        <f>IF(AND($A952&lt;&gt;"",$E952&lt;&gt;"",OR(AND(ISNUMBER($G952),ISNUMBER($H952),ISNUMBER($K952)),ISNUMBER($O952))),1,0)</f>
        <v>0</v>
      </c>
      <c r="AN952" s="57" t="str">
        <f>IF($A952="","",$A952-WEEKDAY($A952,3))</f>
        <v/>
      </c>
      <c r="AO952" s="56" t="str">
        <f>IF($A952="","",WEEKDAY($A952,2))</f>
        <v/>
      </c>
      <c r="AP952" s="55" t="str">
        <f>IF(OR($AM952=0,$C952=""),"",IFERROR(N(INDEX(Accounts!$E$7:$E$16,MATCH($C952,Accounts!$B$7:$B$16,0))),0)+SUMIFS($Q$6:$Q952,$C$6:$C952,$C952))</f>
        <v/>
      </c>
      <c r="AQ952" s="55" t="str">
        <f>IF(OR($AM952=0,$C952=""),"",SUMIFS($Q$6:$Q$1005,$C$6:$C$1005,$C952,$A$6:$A$1005,$A952))</f>
        <v/>
      </c>
      <c r="AR952" s="55" t="str">
        <f>IF(OR($AM952=0,$C952=""),"",IFERROR(N(INDEX(Accounts!$E$7:$E$16,MATCH($C952,Accounts!$B$7:$B$16,0))),0)+SUMIFS($Q$6:$Q$1005,$C$6:$C$1005,$C952,$A$6:$A$1005,"&lt;="&amp;$A952))</f>
        <v/>
      </c>
      <c r="AS952" s="56">
        <f>IF(OR($AM952=0,$Q952=""),0,IF(AND($A952&gt;=Lists!$W$6,$A952&lt;=Lists!$W$7,OR(Dashboard!$D$6="All accounts",$C952=Dashboard!$D$6),OR(Dashboard!$D$7="All markets",$AF952=Dashboard!$D$7)),1,0))</f>
        <v>0</v>
      </c>
      <c r="AT952" s="55">
        <f>IF($AS952=1,N(AT951)+$Q952,N(AT951))</f>
        <v>1187.10688</v>
      </c>
      <c r="AU952" s="55">
        <f>MAX(N(AU951),$AT952)</f>
        <v>1187.10688</v>
      </c>
      <c r="AV952" s="55">
        <f>$AT952-$AU952</f>
        <v>0</v>
      </c>
      <c r="AW952" s="56">
        <f>IF($AS952=1,IF($S952="Win",N(AW951)+1,IF($S952="Loss",0,N(AW951))),N(AW951))</f>
        <v>5</v>
      </c>
      <c r="AX952" s="56">
        <f>IF($AS952=1,IF($S952="Loss",N(AX951)+1,IF($S952="Win",0,N(AX951))),N(AX951))</f>
        <v>0</v>
      </c>
      <c r="AY952" s="56" t="str">
        <f>IF($AS952=1,COUNTIF($AS$6:$AS952,1),"")</f>
        <v/>
      </c>
      <c r="AZ952" s="56">
        <f>MIN(946,N(Lists!$W$8))</f>
        <v>28</v>
      </c>
      <c r="BA952" s="56">
        <f>IF($AS952=1,IF(COUNTIFS($A$6:$A952,$A952,$AS$6:$AS952,1)=1,1,0),0)</f>
        <v>0</v>
      </c>
      <c r="BB952" s="55" t="str">
        <f>IF($BA952=1,SUMIFS($Q$6:$Q$1005,$A$6:$A$1005,$A952,$AS$6:$AS$1005,1),"")</f>
        <v/>
      </c>
      <c r="BC952" s="56">
        <f>IF(ISNUMBER($R952),1,0)</f>
        <v>0</v>
      </c>
      <c r="BD952" s="55" t="str">
        <f>IF(ISNUMBER($U952),$U952*$V952,"")</f>
        <v/>
      </c>
      <c r="BE952" s="56" t="str">
        <f>IF($AM952=0,"",IFERROR(MATCH($AF952&amp;"|"&amp;UPPER(TRIM($E952)),Lists!$A$6:$A$205,0),0))</f>
        <v/>
      </c>
      <c r="BF952" s="56" t="str">
        <f>IF($AM952=0,"",IFERROR(MATCH($AF952,Settings!$B$14:$B$18,0),IFERROR(MATCH(Settings!$C$6,Settings!$B$14:$B$18,0),1)))</f>
        <v/>
      </c>
      <c r="BG952" s="58" t="str">
        <f>IF($AM952=0,"",IF(NOT(ISNUMBER($I952)),"No stop; ","")&amp;IF(AND(ISNUMBER($H952),ISNUMBER($I952)),IF(OR(AND($F952&lt;&gt;"Short",$I952&gt;=$H952),AND($F952="Short",$I952&lt;=$H952)),"Stop on wrong side; ",""),"")&amp;IF($F952="","No direction; ","")&amp;IF(AND(ISNUMBER(Settings!$C$22),ISNUMBER($V952)),IF($V952&gt;Settings!$C$22,"Risk over max $; ",""),"")&amp;IF(AND(ISNUMBER(Settings!$C$23),ISNUMBER($V952),ISNUMBER($AP952),IFERROR(N(INDEX(Accounts!$E$7:$E$16,MATCH($C952,Accounts!$B$7:$B$16,0))),0)&gt;0),IF($V952&gt;Settings!$C$23*($AP952-N($Q952)),"Risk over max %; ",""),"")&amp;IF(AND(ISNUMBER(Settings!$C$24),ISNUMBER($N952)),IF($N952&gt;Settings!$C$24,"Leverage over max; ",""),"")&amp;IF(AND(ISNUMBER(Settings!$C$27),ISNUMBER($T952)),IF($T952&lt;Settings!$C$27,"R:R below min; ",""),"")&amp;IF(ISNUMBER(Settings!$C$25),IF(COUNTIFS($A$6:$A952,$A952,$AM$6:$AM952,1)&gt;Settings!$C$25,"Over max trades/day; ",""),"")&amp;IF(ISNUMBER(Settings!$C$26),IF(SUMIFS($Q$5:$Q951,$A$5:$A951,$A952)&lt;=-Settings!$C$26,"Traded after daily max loss; ",""),"")&amp;IF(AND($AG952="",NOT(ISNUMBER($O952))),"Symbol not in Instruments; ","")&amp;IF(AND($AH952="",NOT(ISNUMBER($O952))),"Forex cross: type Gross P&amp;L; ",""))</f>
        <v/>
      </c>
      <c r="BH952" s="56">
        <f>IF(ISNUMBER($Q952),1,0)</f>
        <v>0</v>
      </c>
      <c r="BI952" s="56">
        <f>IF($Y952="",0,1)</f>
        <v>0</v>
      </c>
      <c r="BJ952" s="56">
        <f>IF($AB952="",0,1)</f>
        <v>0</v>
      </c>
      <c r="BK952" s="56">
        <f>IF(AND($BH952=1,$W952&lt;&gt;"OK"),1,0)</f>
        <v>0</v>
      </c>
      <c r="BL952" s="55">
        <f>IF(N($AZ952)=0,0,IFERROR(INDEX($AT$6:$AT$1005,MATCH($AZ952,$AY$6:$AY$1005,0)),0))</f>
        <v>1187.10688</v>
      </c>
      <c r="BM952" s="56">
        <f>IF(ISNUMBER(SEARCH("daily max loss",$BG952)),1,0)</f>
        <v>0</v>
      </c>
    </row>
    <row r="953" ht="18" customHeight="1">
      <c r="A953" s="38" t="n"/>
      <c r="B953" s="39" t="n"/>
      <c r="C953" s="40" t="n"/>
      <c r="D953" s="41" t="n"/>
      <c r="E953" s="41" t="n"/>
      <c r="F953" s="41" t="n"/>
      <c r="G953" s="41" t="n"/>
      <c r="H953" s="42" t="n"/>
      <c r="I953" s="42" t="n"/>
      <c r="J953" s="42" t="n"/>
      <c r="K953" s="42" t="n"/>
      <c r="L953" s="41" t="n"/>
      <c r="M953" s="41" t="n"/>
      <c r="N953" s="41" t="n"/>
      <c r="O953" s="43" t="n"/>
      <c r="P953" s="43" t="n"/>
      <c r="Q953" s="44" t="str">
        <f>IF($AM953=0,"",IF(ISNUMBER($AK953),$AK953-N($AL953),""))</f>
        <v/>
      </c>
      <c r="R953" s="45" t="str">
        <f>IF(OR($Q953="",NOT(ISNUMBER($V953))),"",$AK953/$V953)</f>
        <v/>
      </c>
      <c r="S953" s="46" t="str">
        <f>IF($Q953="","",IF(AND(ISNUMBER($R953),ABS(N($R953))&lt;N(Settings!$C$8)),"Scratch",IF($Q953&gt;0,"Win",IF($Q953&lt;0,"Loss","Scratch"))))</f>
        <v/>
      </c>
      <c r="T953" s="47" t="str">
        <f>IF(OR($AM953=0,NOT(ISNUMBER($H953)),NOT(ISNUMBER($I953)),NOT(ISNUMBER($J953))),"",IF($H953=$I953,"",ROUND(ABS($J953-$H953)/ABS($H953-$I953),6)))</f>
        <v/>
      </c>
      <c r="U953" s="48" t="str">
        <f>IF(OR($S953&lt;&gt;"Win",NOT(ISNUMBER($T953)),NOT(ISNUMBER($R953))),"",MAX(0,$T953-$R953))</f>
        <v/>
      </c>
      <c r="V953" s="49" t="str">
        <f>IF(OR($AM953=0,NOT(ISNUMBER($H953)),NOT(ISNUMBER($I953)),NOT(ISNUMBER($G953))),"",IF(OR($AG953="",$AH953=""),"",IF(ROUND(ABS($H953-$I953)*ABS($G953)*$AG953*$AH953,6)=0,"",ROUND(ABS($H953-$I953)*ABS($G953)*$AG953*$AH953,6))))</f>
        <v/>
      </c>
      <c r="W953" s="50" t="str">
        <f>IF($AM953=0,"",IF($BG953="","OK",LEFT($BG953,LEN($BG953)-2)))</f>
        <v/>
      </c>
      <c r="X953" s="41" t="n"/>
      <c r="Y953" s="40" t="n"/>
      <c r="Z953" s="41" t="n"/>
      <c r="AA953" s="41" t="n"/>
      <c r="AB953" s="40" t="n"/>
      <c r="AC953" s="51" t="n"/>
      <c r="AD953" s="51" t="n"/>
      <c r="AE953" s="40" t="n"/>
      <c r="AF953" s="52" t="str">
        <f>IF($AM953=0,"",IF($D953&lt;&gt;"",$D953,IF(IFERROR(INDEX(Accounts!$C$7:$C$16,MATCH($C953,Accounts!$B$7:$B$16,0))&amp;"","")&lt;&gt;"",INDEX(Accounts!$C$7:$C$16,MATCH($C953,Accounts!$B$7:$B$16,0)),Settings!$C$6)))</f>
        <v/>
      </c>
      <c r="AG953" s="53" t="str">
        <f>IF($AM953=0,"",IF(AND($BE953&gt;0,N(INDEX(Instruments!$D$6:$D$205,MAX(1,$BE953)))&gt;0),INDEX(Instruments!$D$6:$D$205,MAX(1,$BE953)),IF(N(INDEX(Settings!$D$14:$D$18,$BF953))&gt;0,INDEX(Settings!$D$14:$D$18,$BF953),"")))</f>
        <v/>
      </c>
      <c r="AH953" s="54" t="str">
        <f>IF($AM953=0,"",IF($AF953&lt;&gt;"Forex",1,IF(MID(UPPER(SUBSTITUTE(TRIM($E953),"/","")),4,3)=UPPER(TRIM(Settings!$C$7)),1,IF(LEFT(UPPER(SUBSTITUTE(TRIM($E953),"/","")),3)=UPPER(TRIM(Settings!$C$7)),IF(AND(ISNUMBER($K953),N($K953)&lt;&gt;0),1/$K953,""),""))))</f>
        <v/>
      </c>
      <c r="AI953" s="55" t="str">
        <f>IF($AM953=0,"",IF(OR(NOT(ISNUMBER($H953)),NOT(ISNUMBER($K953)),NOT(ISNUMBER($G953)),$AG953="",$AH953=""),"",ROUND(($K953-$H953)*IF($F953="Short",-1,1)*$G953*$AG953*$AH953,6)))</f>
        <v/>
      </c>
      <c r="AJ953" s="55" t="str">
        <f>IF($AM953=0,"",IF(INDEX(Settings!$E$14:$E$18,$BF953)="% of notional",IF(OR($AG953="",NOT(ISNUMBER($H953)),NOT(ISNUMBER($G953))),"",ROUND(ABS($H953*$G953*$AG953*N($AH953))*IF($L953="Limit",N(INDEX(Settings!$G$14:$G$18,$BF953)),N(INDEX(Settings!$H$14:$H$18,$BF953)))+IF(ISNUMBER($K953),ABS($K953*$G953*$AG953*N($AH953))*IF($M953="Target",N(INDEX(Settings!$G$14:$G$18,$BF953)),N(INDEX(Settings!$H$14:$H$18,$BF953))),0),6)),IF(NOT(ISNUMBER($G953)),"",ROUND(ABS($G953)*2*IF(AND($BE953&gt;0,ISNUMBER(INDEX(Instruments!$G$6:$G$205,MAX(1,$BE953)))),INDEX(Instruments!$G$6:$G$205,MAX(1,$BE953)),N(INDEX(Settings!$F$14:$F$18,$BF953))),6))))</f>
        <v/>
      </c>
      <c r="AK953" s="55" t="str">
        <f>IF($AM953=0,"",IF(ISNUMBER($O953),$O953,$AI953))</f>
        <v/>
      </c>
      <c r="AL953" s="55" t="str">
        <f>IF($AM953=0,"",IF(ISNUMBER($P953),$P953,N($AJ953)))</f>
        <v/>
      </c>
      <c r="AM953" s="56">
        <f>IF(AND($A953&lt;&gt;"",$E953&lt;&gt;"",OR(AND(ISNUMBER($G953),ISNUMBER($H953),ISNUMBER($K953)),ISNUMBER($O953))),1,0)</f>
        <v>0</v>
      </c>
      <c r="AN953" s="57" t="str">
        <f>IF($A953="","",$A953-WEEKDAY($A953,3))</f>
        <v/>
      </c>
      <c r="AO953" s="56" t="str">
        <f>IF($A953="","",WEEKDAY($A953,2))</f>
        <v/>
      </c>
      <c r="AP953" s="55" t="str">
        <f>IF(OR($AM953=0,$C953=""),"",IFERROR(N(INDEX(Accounts!$E$7:$E$16,MATCH($C953,Accounts!$B$7:$B$16,0))),0)+SUMIFS($Q$6:$Q953,$C$6:$C953,$C953))</f>
        <v/>
      </c>
      <c r="AQ953" s="55" t="str">
        <f>IF(OR($AM953=0,$C953=""),"",SUMIFS($Q$6:$Q$1005,$C$6:$C$1005,$C953,$A$6:$A$1005,$A953))</f>
        <v/>
      </c>
      <c r="AR953" s="55" t="str">
        <f>IF(OR($AM953=0,$C953=""),"",IFERROR(N(INDEX(Accounts!$E$7:$E$16,MATCH($C953,Accounts!$B$7:$B$16,0))),0)+SUMIFS($Q$6:$Q$1005,$C$6:$C$1005,$C953,$A$6:$A$1005,"&lt;="&amp;$A953))</f>
        <v/>
      </c>
      <c r="AS953" s="56">
        <f>IF(OR($AM953=0,$Q953=""),0,IF(AND($A953&gt;=Lists!$W$6,$A953&lt;=Lists!$W$7,OR(Dashboard!$D$6="All accounts",$C953=Dashboard!$D$6),OR(Dashboard!$D$7="All markets",$AF953=Dashboard!$D$7)),1,0))</f>
        <v>0</v>
      </c>
      <c r="AT953" s="55">
        <f>IF($AS953=1,N(AT952)+$Q953,N(AT952))</f>
        <v>1187.10688</v>
      </c>
      <c r="AU953" s="55">
        <f>MAX(N(AU952),$AT953)</f>
        <v>1187.10688</v>
      </c>
      <c r="AV953" s="55">
        <f>$AT953-$AU953</f>
        <v>0</v>
      </c>
      <c r="AW953" s="56">
        <f>IF($AS953=1,IF($S953="Win",N(AW952)+1,IF($S953="Loss",0,N(AW952))),N(AW952))</f>
        <v>5</v>
      </c>
      <c r="AX953" s="56">
        <f>IF($AS953=1,IF($S953="Loss",N(AX952)+1,IF($S953="Win",0,N(AX952))),N(AX952))</f>
        <v>0</v>
      </c>
      <c r="AY953" s="56" t="str">
        <f>IF($AS953=1,COUNTIF($AS$6:$AS953,1),"")</f>
        <v/>
      </c>
      <c r="AZ953" s="56">
        <f>MIN(947,N(Lists!$W$8))</f>
        <v>28</v>
      </c>
      <c r="BA953" s="56">
        <f>IF($AS953=1,IF(COUNTIFS($A$6:$A953,$A953,$AS$6:$AS953,1)=1,1,0),0)</f>
        <v>0</v>
      </c>
      <c r="BB953" s="55" t="str">
        <f>IF($BA953=1,SUMIFS($Q$6:$Q$1005,$A$6:$A$1005,$A953,$AS$6:$AS$1005,1),"")</f>
        <v/>
      </c>
      <c r="BC953" s="56">
        <f>IF(ISNUMBER($R953),1,0)</f>
        <v>0</v>
      </c>
      <c r="BD953" s="55" t="str">
        <f>IF(ISNUMBER($U953),$U953*$V953,"")</f>
        <v/>
      </c>
      <c r="BE953" s="56" t="str">
        <f>IF($AM953=0,"",IFERROR(MATCH($AF953&amp;"|"&amp;UPPER(TRIM($E953)),Lists!$A$6:$A$205,0),0))</f>
        <v/>
      </c>
      <c r="BF953" s="56" t="str">
        <f>IF($AM953=0,"",IFERROR(MATCH($AF953,Settings!$B$14:$B$18,0),IFERROR(MATCH(Settings!$C$6,Settings!$B$14:$B$18,0),1)))</f>
        <v/>
      </c>
      <c r="BG953" s="58" t="str">
        <f>IF($AM953=0,"",IF(NOT(ISNUMBER($I953)),"No stop; ","")&amp;IF(AND(ISNUMBER($H953),ISNUMBER($I953)),IF(OR(AND($F953&lt;&gt;"Short",$I953&gt;=$H953),AND($F953="Short",$I953&lt;=$H953)),"Stop on wrong side; ",""),"")&amp;IF($F953="","No direction; ","")&amp;IF(AND(ISNUMBER(Settings!$C$22),ISNUMBER($V953)),IF($V953&gt;Settings!$C$22,"Risk over max $; ",""),"")&amp;IF(AND(ISNUMBER(Settings!$C$23),ISNUMBER($V953),ISNUMBER($AP953),IFERROR(N(INDEX(Accounts!$E$7:$E$16,MATCH($C953,Accounts!$B$7:$B$16,0))),0)&gt;0),IF($V953&gt;Settings!$C$23*($AP953-N($Q953)),"Risk over max %; ",""),"")&amp;IF(AND(ISNUMBER(Settings!$C$24),ISNUMBER($N953)),IF($N953&gt;Settings!$C$24,"Leverage over max; ",""),"")&amp;IF(AND(ISNUMBER(Settings!$C$27),ISNUMBER($T953)),IF($T953&lt;Settings!$C$27,"R:R below min; ",""),"")&amp;IF(ISNUMBER(Settings!$C$25),IF(COUNTIFS($A$6:$A953,$A953,$AM$6:$AM953,1)&gt;Settings!$C$25,"Over max trades/day; ",""),"")&amp;IF(ISNUMBER(Settings!$C$26),IF(SUMIFS($Q$5:$Q952,$A$5:$A952,$A953)&lt;=-Settings!$C$26,"Traded after daily max loss; ",""),"")&amp;IF(AND($AG953="",NOT(ISNUMBER($O953))),"Symbol not in Instruments; ","")&amp;IF(AND($AH953="",NOT(ISNUMBER($O953))),"Forex cross: type Gross P&amp;L; ",""))</f>
        <v/>
      </c>
      <c r="BH953" s="56">
        <f>IF(ISNUMBER($Q953),1,0)</f>
        <v>0</v>
      </c>
      <c r="BI953" s="56">
        <f>IF($Y953="",0,1)</f>
        <v>0</v>
      </c>
      <c r="BJ953" s="56">
        <f>IF($AB953="",0,1)</f>
        <v>0</v>
      </c>
      <c r="BK953" s="56">
        <f>IF(AND($BH953=1,$W953&lt;&gt;"OK"),1,0)</f>
        <v>0</v>
      </c>
      <c r="BL953" s="55">
        <f>IF(N($AZ953)=0,0,IFERROR(INDEX($AT$6:$AT$1005,MATCH($AZ953,$AY$6:$AY$1005,0)),0))</f>
        <v>1187.10688</v>
      </c>
      <c r="BM953" s="56">
        <f>IF(ISNUMBER(SEARCH("daily max loss",$BG953)),1,0)</f>
        <v>0</v>
      </c>
    </row>
    <row r="954" ht="18" customHeight="1">
      <c r="A954" s="38" t="n"/>
      <c r="B954" s="39" t="n"/>
      <c r="C954" s="40" t="n"/>
      <c r="D954" s="41" t="n"/>
      <c r="E954" s="41" t="n"/>
      <c r="F954" s="41" t="n"/>
      <c r="G954" s="41" t="n"/>
      <c r="H954" s="42" t="n"/>
      <c r="I954" s="42" t="n"/>
      <c r="J954" s="42" t="n"/>
      <c r="K954" s="42" t="n"/>
      <c r="L954" s="41" t="n"/>
      <c r="M954" s="41" t="n"/>
      <c r="N954" s="41" t="n"/>
      <c r="O954" s="43" t="n"/>
      <c r="P954" s="43" t="n"/>
      <c r="Q954" s="44" t="str">
        <f>IF($AM954=0,"",IF(ISNUMBER($AK954),$AK954-N($AL954),""))</f>
        <v/>
      </c>
      <c r="R954" s="45" t="str">
        <f>IF(OR($Q954="",NOT(ISNUMBER($V954))),"",$AK954/$V954)</f>
        <v/>
      </c>
      <c r="S954" s="46" t="str">
        <f>IF($Q954="","",IF(AND(ISNUMBER($R954),ABS(N($R954))&lt;N(Settings!$C$8)),"Scratch",IF($Q954&gt;0,"Win",IF($Q954&lt;0,"Loss","Scratch"))))</f>
        <v/>
      </c>
      <c r="T954" s="47" t="str">
        <f>IF(OR($AM954=0,NOT(ISNUMBER($H954)),NOT(ISNUMBER($I954)),NOT(ISNUMBER($J954))),"",IF($H954=$I954,"",ROUND(ABS($J954-$H954)/ABS($H954-$I954),6)))</f>
        <v/>
      </c>
      <c r="U954" s="48" t="str">
        <f>IF(OR($S954&lt;&gt;"Win",NOT(ISNUMBER($T954)),NOT(ISNUMBER($R954))),"",MAX(0,$T954-$R954))</f>
        <v/>
      </c>
      <c r="V954" s="49" t="str">
        <f>IF(OR($AM954=0,NOT(ISNUMBER($H954)),NOT(ISNUMBER($I954)),NOT(ISNUMBER($G954))),"",IF(OR($AG954="",$AH954=""),"",IF(ROUND(ABS($H954-$I954)*ABS($G954)*$AG954*$AH954,6)=0,"",ROUND(ABS($H954-$I954)*ABS($G954)*$AG954*$AH954,6))))</f>
        <v/>
      </c>
      <c r="W954" s="50" t="str">
        <f>IF($AM954=0,"",IF($BG954="","OK",LEFT($BG954,LEN($BG954)-2)))</f>
        <v/>
      </c>
      <c r="X954" s="41" t="n"/>
      <c r="Y954" s="40" t="n"/>
      <c r="Z954" s="41" t="n"/>
      <c r="AA954" s="41" t="n"/>
      <c r="AB954" s="40" t="n"/>
      <c r="AC954" s="51" t="n"/>
      <c r="AD954" s="51" t="n"/>
      <c r="AE954" s="40" t="n"/>
      <c r="AF954" s="52" t="str">
        <f>IF($AM954=0,"",IF($D954&lt;&gt;"",$D954,IF(IFERROR(INDEX(Accounts!$C$7:$C$16,MATCH($C954,Accounts!$B$7:$B$16,0))&amp;"","")&lt;&gt;"",INDEX(Accounts!$C$7:$C$16,MATCH($C954,Accounts!$B$7:$B$16,0)),Settings!$C$6)))</f>
        <v/>
      </c>
      <c r="AG954" s="53" t="str">
        <f>IF($AM954=0,"",IF(AND($BE954&gt;0,N(INDEX(Instruments!$D$6:$D$205,MAX(1,$BE954)))&gt;0),INDEX(Instruments!$D$6:$D$205,MAX(1,$BE954)),IF(N(INDEX(Settings!$D$14:$D$18,$BF954))&gt;0,INDEX(Settings!$D$14:$D$18,$BF954),"")))</f>
        <v/>
      </c>
      <c r="AH954" s="54" t="str">
        <f>IF($AM954=0,"",IF($AF954&lt;&gt;"Forex",1,IF(MID(UPPER(SUBSTITUTE(TRIM($E954),"/","")),4,3)=UPPER(TRIM(Settings!$C$7)),1,IF(LEFT(UPPER(SUBSTITUTE(TRIM($E954),"/","")),3)=UPPER(TRIM(Settings!$C$7)),IF(AND(ISNUMBER($K954),N($K954)&lt;&gt;0),1/$K954,""),""))))</f>
        <v/>
      </c>
      <c r="AI954" s="55" t="str">
        <f>IF($AM954=0,"",IF(OR(NOT(ISNUMBER($H954)),NOT(ISNUMBER($K954)),NOT(ISNUMBER($G954)),$AG954="",$AH954=""),"",ROUND(($K954-$H954)*IF($F954="Short",-1,1)*$G954*$AG954*$AH954,6)))</f>
        <v/>
      </c>
      <c r="AJ954" s="55" t="str">
        <f>IF($AM954=0,"",IF(INDEX(Settings!$E$14:$E$18,$BF954)="% of notional",IF(OR($AG954="",NOT(ISNUMBER($H954)),NOT(ISNUMBER($G954))),"",ROUND(ABS($H954*$G954*$AG954*N($AH954))*IF($L954="Limit",N(INDEX(Settings!$G$14:$G$18,$BF954)),N(INDEX(Settings!$H$14:$H$18,$BF954)))+IF(ISNUMBER($K954),ABS($K954*$G954*$AG954*N($AH954))*IF($M954="Target",N(INDEX(Settings!$G$14:$G$18,$BF954)),N(INDEX(Settings!$H$14:$H$18,$BF954))),0),6)),IF(NOT(ISNUMBER($G954)),"",ROUND(ABS($G954)*2*IF(AND($BE954&gt;0,ISNUMBER(INDEX(Instruments!$G$6:$G$205,MAX(1,$BE954)))),INDEX(Instruments!$G$6:$G$205,MAX(1,$BE954)),N(INDEX(Settings!$F$14:$F$18,$BF954))),6))))</f>
        <v/>
      </c>
      <c r="AK954" s="55" t="str">
        <f>IF($AM954=0,"",IF(ISNUMBER($O954),$O954,$AI954))</f>
        <v/>
      </c>
      <c r="AL954" s="55" t="str">
        <f>IF($AM954=0,"",IF(ISNUMBER($P954),$P954,N($AJ954)))</f>
        <v/>
      </c>
      <c r="AM954" s="56">
        <f>IF(AND($A954&lt;&gt;"",$E954&lt;&gt;"",OR(AND(ISNUMBER($G954),ISNUMBER($H954),ISNUMBER($K954)),ISNUMBER($O954))),1,0)</f>
        <v>0</v>
      </c>
      <c r="AN954" s="57" t="str">
        <f>IF($A954="","",$A954-WEEKDAY($A954,3))</f>
        <v/>
      </c>
      <c r="AO954" s="56" t="str">
        <f>IF($A954="","",WEEKDAY($A954,2))</f>
        <v/>
      </c>
      <c r="AP954" s="55" t="str">
        <f>IF(OR($AM954=0,$C954=""),"",IFERROR(N(INDEX(Accounts!$E$7:$E$16,MATCH($C954,Accounts!$B$7:$B$16,0))),0)+SUMIFS($Q$6:$Q954,$C$6:$C954,$C954))</f>
        <v/>
      </c>
      <c r="AQ954" s="55" t="str">
        <f>IF(OR($AM954=0,$C954=""),"",SUMIFS($Q$6:$Q$1005,$C$6:$C$1005,$C954,$A$6:$A$1005,$A954))</f>
        <v/>
      </c>
      <c r="AR954" s="55" t="str">
        <f>IF(OR($AM954=0,$C954=""),"",IFERROR(N(INDEX(Accounts!$E$7:$E$16,MATCH($C954,Accounts!$B$7:$B$16,0))),0)+SUMIFS($Q$6:$Q$1005,$C$6:$C$1005,$C954,$A$6:$A$1005,"&lt;="&amp;$A954))</f>
        <v/>
      </c>
      <c r="AS954" s="56">
        <f>IF(OR($AM954=0,$Q954=""),0,IF(AND($A954&gt;=Lists!$W$6,$A954&lt;=Lists!$W$7,OR(Dashboard!$D$6="All accounts",$C954=Dashboard!$D$6),OR(Dashboard!$D$7="All markets",$AF954=Dashboard!$D$7)),1,0))</f>
        <v>0</v>
      </c>
      <c r="AT954" s="55">
        <f>IF($AS954=1,N(AT953)+$Q954,N(AT953))</f>
        <v>1187.10688</v>
      </c>
      <c r="AU954" s="55">
        <f>MAX(N(AU953),$AT954)</f>
        <v>1187.10688</v>
      </c>
      <c r="AV954" s="55">
        <f>$AT954-$AU954</f>
        <v>0</v>
      </c>
      <c r="AW954" s="56">
        <f>IF($AS954=1,IF($S954="Win",N(AW953)+1,IF($S954="Loss",0,N(AW953))),N(AW953))</f>
        <v>5</v>
      </c>
      <c r="AX954" s="56">
        <f>IF($AS954=1,IF($S954="Loss",N(AX953)+1,IF($S954="Win",0,N(AX953))),N(AX953))</f>
        <v>0</v>
      </c>
      <c r="AY954" s="56" t="str">
        <f>IF($AS954=1,COUNTIF($AS$6:$AS954,1),"")</f>
        <v/>
      </c>
      <c r="AZ954" s="56">
        <f>MIN(948,N(Lists!$W$8))</f>
        <v>28</v>
      </c>
      <c r="BA954" s="56">
        <f>IF($AS954=1,IF(COUNTIFS($A$6:$A954,$A954,$AS$6:$AS954,1)=1,1,0),0)</f>
        <v>0</v>
      </c>
      <c r="BB954" s="55" t="str">
        <f>IF($BA954=1,SUMIFS($Q$6:$Q$1005,$A$6:$A$1005,$A954,$AS$6:$AS$1005,1),"")</f>
        <v/>
      </c>
      <c r="BC954" s="56">
        <f>IF(ISNUMBER($R954),1,0)</f>
        <v>0</v>
      </c>
      <c r="BD954" s="55" t="str">
        <f>IF(ISNUMBER($U954),$U954*$V954,"")</f>
        <v/>
      </c>
      <c r="BE954" s="56" t="str">
        <f>IF($AM954=0,"",IFERROR(MATCH($AF954&amp;"|"&amp;UPPER(TRIM($E954)),Lists!$A$6:$A$205,0),0))</f>
        <v/>
      </c>
      <c r="BF954" s="56" t="str">
        <f>IF($AM954=0,"",IFERROR(MATCH($AF954,Settings!$B$14:$B$18,0),IFERROR(MATCH(Settings!$C$6,Settings!$B$14:$B$18,0),1)))</f>
        <v/>
      </c>
      <c r="BG954" s="58" t="str">
        <f>IF($AM954=0,"",IF(NOT(ISNUMBER($I954)),"No stop; ","")&amp;IF(AND(ISNUMBER($H954),ISNUMBER($I954)),IF(OR(AND($F954&lt;&gt;"Short",$I954&gt;=$H954),AND($F954="Short",$I954&lt;=$H954)),"Stop on wrong side; ",""),"")&amp;IF($F954="","No direction; ","")&amp;IF(AND(ISNUMBER(Settings!$C$22),ISNUMBER($V954)),IF($V954&gt;Settings!$C$22,"Risk over max $; ",""),"")&amp;IF(AND(ISNUMBER(Settings!$C$23),ISNUMBER($V954),ISNUMBER($AP954),IFERROR(N(INDEX(Accounts!$E$7:$E$16,MATCH($C954,Accounts!$B$7:$B$16,0))),0)&gt;0),IF($V954&gt;Settings!$C$23*($AP954-N($Q954)),"Risk over max %; ",""),"")&amp;IF(AND(ISNUMBER(Settings!$C$24),ISNUMBER($N954)),IF($N954&gt;Settings!$C$24,"Leverage over max; ",""),"")&amp;IF(AND(ISNUMBER(Settings!$C$27),ISNUMBER($T954)),IF($T954&lt;Settings!$C$27,"R:R below min; ",""),"")&amp;IF(ISNUMBER(Settings!$C$25),IF(COUNTIFS($A$6:$A954,$A954,$AM$6:$AM954,1)&gt;Settings!$C$25,"Over max trades/day; ",""),"")&amp;IF(ISNUMBER(Settings!$C$26),IF(SUMIFS($Q$5:$Q953,$A$5:$A953,$A954)&lt;=-Settings!$C$26,"Traded after daily max loss; ",""),"")&amp;IF(AND($AG954="",NOT(ISNUMBER($O954))),"Symbol not in Instruments; ","")&amp;IF(AND($AH954="",NOT(ISNUMBER($O954))),"Forex cross: type Gross P&amp;L; ",""))</f>
        <v/>
      </c>
      <c r="BH954" s="56">
        <f>IF(ISNUMBER($Q954),1,0)</f>
        <v>0</v>
      </c>
      <c r="BI954" s="56">
        <f>IF($Y954="",0,1)</f>
        <v>0</v>
      </c>
      <c r="BJ954" s="56">
        <f>IF($AB954="",0,1)</f>
        <v>0</v>
      </c>
      <c r="BK954" s="56">
        <f>IF(AND($BH954=1,$W954&lt;&gt;"OK"),1,0)</f>
        <v>0</v>
      </c>
      <c r="BL954" s="55">
        <f>IF(N($AZ954)=0,0,IFERROR(INDEX($AT$6:$AT$1005,MATCH($AZ954,$AY$6:$AY$1005,0)),0))</f>
        <v>1187.10688</v>
      </c>
      <c r="BM954" s="56">
        <f>IF(ISNUMBER(SEARCH("daily max loss",$BG954)),1,0)</f>
        <v>0</v>
      </c>
    </row>
    <row r="955" ht="18" customHeight="1">
      <c r="A955" s="38" t="n"/>
      <c r="B955" s="39" t="n"/>
      <c r="C955" s="40" t="n"/>
      <c r="D955" s="41" t="n"/>
      <c r="E955" s="41" t="n"/>
      <c r="F955" s="41" t="n"/>
      <c r="G955" s="41" t="n"/>
      <c r="H955" s="42" t="n"/>
      <c r="I955" s="42" t="n"/>
      <c r="J955" s="42" t="n"/>
      <c r="K955" s="42" t="n"/>
      <c r="L955" s="41" t="n"/>
      <c r="M955" s="41" t="n"/>
      <c r="N955" s="41" t="n"/>
      <c r="O955" s="43" t="n"/>
      <c r="P955" s="43" t="n"/>
      <c r="Q955" s="44" t="str">
        <f>IF($AM955=0,"",IF(ISNUMBER($AK955),$AK955-N($AL955),""))</f>
        <v/>
      </c>
      <c r="R955" s="45" t="str">
        <f>IF(OR($Q955="",NOT(ISNUMBER($V955))),"",$AK955/$V955)</f>
        <v/>
      </c>
      <c r="S955" s="46" t="str">
        <f>IF($Q955="","",IF(AND(ISNUMBER($R955),ABS(N($R955))&lt;N(Settings!$C$8)),"Scratch",IF($Q955&gt;0,"Win",IF($Q955&lt;0,"Loss","Scratch"))))</f>
        <v/>
      </c>
      <c r="T955" s="47" t="str">
        <f>IF(OR($AM955=0,NOT(ISNUMBER($H955)),NOT(ISNUMBER($I955)),NOT(ISNUMBER($J955))),"",IF($H955=$I955,"",ROUND(ABS($J955-$H955)/ABS($H955-$I955),6)))</f>
        <v/>
      </c>
      <c r="U955" s="48" t="str">
        <f>IF(OR($S955&lt;&gt;"Win",NOT(ISNUMBER($T955)),NOT(ISNUMBER($R955))),"",MAX(0,$T955-$R955))</f>
        <v/>
      </c>
      <c r="V955" s="49" t="str">
        <f>IF(OR($AM955=0,NOT(ISNUMBER($H955)),NOT(ISNUMBER($I955)),NOT(ISNUMBER($G955))),"",IF(OR($AG955="",$AH955=""),"",IF(ROUND(ABS($H955-$I955)*ABS($G955)*$AG955*$AH955,6)=0,"",ROUND(ABS($H955-$I955)*ABS($G955)*$AG955*$AH955,6))))</f>
        <v/>
      </c>
      <c r="W955" s="50" t="str">
        <f>IF($AM955=0,"",IF($BG955="","OK",LEFT($BG955,LEN($BG955)-2)))</f>
        <v/>
      </c>
      <c r="X955" s="41" t="n"/>
      <c r="Y955" s="40" t="n"/>
      <c r="Z955" s="41" t="n"/>
      <c r="AA955" s="41" t="n"/>
      <c r="AB955" s="40" t="n"/>
      <c r="AC955" s="51" t="n"/>
      <c r="AD955" s="51" t="n"/>
      <c r="AE955" s="40" t="n"/>
      <c r="AF955" s="52" t="str">
        <f>IF($AM955=0,"",IF($D955&lt;&gt;"",$D955,IF(IFERROR(INDEX(Accounts!$C$7:$C$16,MATCH($C955,Accounts!$B$7:$B$16,0))&amp;"","")&lt;&gt;"",INDEX(Accounts!$C$7:$C$16,MATCH($C955,Accounts!$B$7:$B$16,0)),Settings!$C$6)))</f>
        <v/>
      </c>
      <c r="AG955" s="53" t="str">
        <f>IF($AM955=0,"",IF(AND($BE955&gt;0,N(INDEX(Instruments!$D$6:$D$205,MAX(1,$BE955)))&gt;0),INDEX(Instruments!$D$6:$D$205,MAX(1,$BE955)),IF(N(INDEX(Settings!$D$14:$D$18,$BF955))&gt;0,INDEX(Settings!$D$14:$D$18,$BF955),"")))</f>
        <v/>
      </c>
      <c r="AH955" s="54" t="str">
        <f>IF($AM955=0,"",IF($AF955&lt;&gt;"Forex",1,IF(MID(UPPER(SUBSTITUTE(TRIM($E955),"/","")),4,3)=UPPER(TRIM(Settings!$C$7)),1,IF(LEFT(UPPER(SUBSTITUTE(TRIM($E955),"/","")),3)=UPPER(TRIM(Settings!$C$7)),IF(AND(ISNUMBER($K955),N($K955)&lt;&gt;0),1/$K955,""),""))))</f>
        <v/>
      </c>
      <c r="AI955" s="55" t="str">
        <f>IF($AM955=0,"",IF(OR(NOT(ISNUMBER($H955)),NOT(ISNUMBER($K955)),NOT(ISNUMBER($G955)),$AG955="",$AH955=""),"",ROUND(($K955-$H955)*IF($F955="Short",-1,1)*$G955*$AG955*$AH955,6)))</f>
        <v/>
      </c>
      <c r="AJ955" s="55" t="str">
        <f>IF($AM955=0,"",IF(INDEX(Settings!$E$14:$E$18,$BF955)="% of notional",IF(OR($AG955="",NOT(ISNUMBER($H955)),NOT(ISNUMBER($G955))),"",ROUND(ABS($H955*$G955*$AG955*N($AH955))*IF($L955="Limit",N(INDEX(Settings!$G$14:$G$18,$BF955)),N(INDEX(Settings!$H$14:$H$18,$BF955)))+IF(ISNUMBER($K955),ABS($K955*$G955*$AG955*N($AH955))*IF($M955="Target",N(INDEX(Settings!$G$14:$G$18,$BF955)),N(INDEX(Settings!$H$14:$H$18,$BF955))),0),6)),IF(NOT(ISNUMBER($G955)),"",ROUND(ABS($G955)*2*IF(AND($BE955&gt;0,ISNUMBER(INDEX(Instruments!$G$6:$G$205,MAX(1,$BE955)))),INDEX(Instruments!$G$6:$G$205,MAX(1,$BE955)),N(INDEX(Settings!$F$14:$F$18,$BF955))),6))))</f>
        <v/>
      </c>
      <c r="AK955" s="55" t="str">
        <f>IF($AM955=0,"",IF(ISNUMBER($O955),$O955,$AI955))</f>
        <v/>
      </c>
      <c r="AL955" s="55" t="str">
        <f>IF($AM955=0,"",IF(ISNUMBER($P955),$P955,N($AJ955)))</f>
        <v/>
      </c>
      <c r="AM955" s="56">
        <f>IF(AND($A955&lt;&gt;"",$E955&lt;&gt;"",OR(AND(ISNUMBER($G955),ISNUMBER($H955),ISNUMBER($K955)),ISNUMBER($O955))),1,0)</f>
        <v>0</v>
      </c>
      <c r="AN955" s="57" t="str">
        <f>IF($A955="","",$A955-WEEKDAY($A955,3))</f>
        <v/>
      </c>
      <c r="AO955" s="56" t="str">
        <f>IF($A955="","",WEEKDAY($A955,2))</f>
        <v/>
      </c>
      <c r="AP955" s="55" t="str">
        <f>IF(OR($AM955=0,$C955=""),"",IFERROR(N(INDEX(Accounts!$E$7:$E$16,MATCH($C955,Accounts!$B$7:$B$16,0))),0)+SUMIFS($Q$6:$Q955,$C$6:$C955,$C955))</f>
        <v/>
      </c>
      <c r="AQ955" s="55" t="str">
        <f>IF(OR($AM955=0,$C955=""),"",SUMIFS($Q$6:$Q$1005,$C$6:$C$1005,$C955,$A$6:$A$1005,$A955))</f>
        <v/>
      </c>
      <c r="AR955" s="55" t="str">
        <f>IF(OR($AM955=0,$C955=""),"",IFERROR(N(INDEX(Accounts!$E$7:$E$16,MATCH($C955,Accounts!$B$7:$B$16,0))),0)+SUMIFS($Q$6:$Q$1005,$C$6:$C$1005,$C955,$A$6:$A$1005,"&lt;="&amp;$A955))</f>
        <v/>
      </c>
      <c r="AS955" s="56">
        <f>IF(OR($AM955=0,$Q955=""),0,IF(AND($A955&gt;=Lists!$W$6,$A955&lt;=Lists!$W$7,OR(Dashboard!$D$6="All accounts",$C955=Dashboard!$D$6),OR(Dashboard!$D$7="All markets",$AF955=Dashboard!$D$7)),1,0))</f>
        <v>0</v>
      </c>
      <c r="AT955" s="55">
        <f>IF($AS955=1,N(AT954)+$Q955,N(AT954))</f>
        <v>1187.10688</v>
      </c>
      <c r="AU955" s="55">
        <f>MAX(N(AU954),$AT955)</f>
        <v>1187.10688</v>
      </c>
      <c r="AV955" s="55">
        <f>$AT955-$AU955</f>
        <v>0</v>
      </c>
      <c r="AW955" s="56">
        <f>IF($AS955=1,IF($S955="Win",N(AW954)+1,IF($S955="Loss",0,N(AW954))),N(AW954))</f>
        <v>5</v>
      </c>
      <c r="AX955" s="56">
        <f>IF($AS955=1,IF($S955="Loss",N(AX954)+1,IF($S955="Win",0,N(AX954))),N(AX954))</f>
        <v>0</v>
      </c>
      <c r="AY955" s="56" t="str">
        <f>IF($AS955=1,COUNTIF($AS$6:$AS955,1),"")</f>
        <v/>
      </c>
      <c r="AZ955" s="56">
        <f>MIN(949,N(Lists!$W$8))</f>
        <v>28</v>
      </c>
      <c r="BA955" s="56">
        <f>IF($AS955=1,IF(COUNTIFS($A$6:$A955,$A955,$AS$6:$AS955,1)=1,1,0),0)</f>
        <v>0</v>
      </c>
      <c r="BB955" s="55" t="str">
        <f>IF($BA955=1,SUMIFS($Q$6:$Q$1005,$A$6:$A$1005,$A955,$AS$6:$AS$1005,1),"")</f>
        <v/>
      </c>
      <c r="BC955" s="56">
        <f>IF(ISNUMBER($R955),1,0)</f>
        <v>0</v>
      </c>
      <c r="BD955" s="55" t="str">
        <f>IF(ISNUMBER($U955),$U955*$V955,"")</f>
        <v/>
      </c>
      <c r="BE955" s="56" t="str">
        <f>IF($AM955=0,"",IFERROR(MATCH($AF955&amp;"|"&amp;UPPER(TRIM($E955)),Lists!$A$6:$A$205,0),0))</f>
        <v/>
      </c>
      <c r="BF955" s="56" t="str">
        <f>IF($AM955=0,"",IFERROR(MATCH($AF955,Settings!$B$14:$B$18,0),IFERROR(MATCH(Settings!$C$6,Settings!$B$14:$B$18,0),1)))</f>
        <v/>
      </c>
      <c r="BG955" s="58" t="str">
        <f>IF($AM955=0,"",IF(NOT(ISNUMBER($I955)),"No stop; ","")&amp;IF(AND(ISNUMBER($H955),ISNUMBER($I955)),IF(OR(AND($F955&lt;&gt;"Short",$I955&gt;=$H955),AND($F955="Short",$I955&lt;=$H955)),"Stop on wrong side; ",""),"")&amp;IF($F955="","No direction; ","")&amp;IF(AND(ISNUMBER(Settings!$C$22),ISNUMBER($V955)),IF($V955&gt;Settings!$C$22,"Risk over max $; ",""),"")&amp;IF(AND(ISNUMBER(Settings!$C$23),ISNUMBER($V955),ISNUMBER($AP955),IFERROR(N(INDEX(Accounts!$E$7:$E$16,MATCH($C955,Accounts!$B$7:$B$16,0))),0)&gt;0),IF($V955&gt;Settings!$C$23*($AP955-N($Q955)),"Risk over max %; ",""),"")&amp;IF(AND(ISNUMBER(Settings!$C$24),ISNUMBER($N955)),IF($N955&gt;Settings!$C$24,"Leverage over max; ",""),"")&amp;IF(AND(ISNUMBER(Settings!$C$27),ISNUMBER($T955)),IF($T955&lt;Settings!$C$27,"R:R below min; ",""),"")&amp;IF(ISNUMBER(Settings!$C$25),IF(COUNTIFS($A$6:$A955,$A955,$AM$6:$AM955,1)&gt;Settings!$C$25,"Over max trades/day; ",""),"")&amp;IF(ISNUMBER(Settings!$C$26),IF(SUMIFS($Q$5:$Q954,$A$5:$A954,$A955)&lt;=-Settings!$C$26,"Traded after daily max loss; ",""),"")&amp;IF(AND($AG955="",NOT(ISNUMBER($O955))),"Symbol not in Instruments; ","")&amp;IF(AND($AH955="",NOT(ISNUMBER($O955))),"Forex cross: type Gross P&amp;L; ",""))</f>
        <v/>
      </c>
      <c r="BH955" s="56">
        <f>IF(ISNUMBER($Q955),1,0)</f>
        <v>0</v>
      </c>
      <c r="BI955" s="56">
        <f>IF($Y955="",0,1)</f>
        <v>0</v>
      </c>
      <c r="BJ955" s="56">
        <f>IF($AB955="",0,1)</f>
        <v>0</v>
      </c>
      <c r="BK955" s="56">
        <f>IF(AND($BH955=1,$W955&lt;&gt;"OK"),1,0)</f>
        <v>0</v>
      </c>
      <c r="BL955" s="55">
        <f>IF(N($AZ955)=0,0,IFERROR(INDEX($AT$6:$AT$1005,MATCH($AZ955,$AY$6:$AY$1005,0)),0))</f>
        <v>1187.10688</v>
      </c>
      <c r="BM955" s="56">
        <f>IF(ISNUMBER(SEARCH("daily max loss",$BG955)),1,0)</f>
        <v>0</v>
      </c>
    </row>
    <row r="956" ht="18" customHeight="1">
      <c r="A956" s="38" t="n"/>
      <c r="B956" s="39" t="n"/>
      <c r="C956" s="40" t="n"/>
      <c r="D956" s="41" t="n"/>
      <c r="E956" s="41" t="n"/>
      <c r="F956" s="41" t="n"/>
      <c r="G956" s="41" t="n"/>
      <c r="H956" s="42" t="n"/>
      <c r="I956" s="42" t="n"/>
      <c r="J956" s="42" t="n"/>
      <c r="K956" s="42" t="n"/>
      <c r="L956" s="41" t="n"/>
      <c r="M956" s="41" t="n"/>
      <c r="N956" s="41" t="n"/>
      <c r="O956" s="43" t="n"/>
      <c r="P956" s="43" t="n"/>
      <c r="Q956" s="44" t="str">
        <f>IF($AM956=0,"",IF(ISNUMBER($AK956),$AK956-N($AL956),""))</f>
        <v/>
      </c>
      <c r="R956" s="45" t="str">
        <f>IF(OR($Q956="",NOT(ISNUMBER($V956))),"",$AK956/$V956)</f>
        <v/>
      </c>
      <c r="S956" s="46" t="str">
        <f>IF($Q956="","",IF(AND(ISNUMBER($R956),ABS(N($R956))&lt;N(Settings!$C$8)),"Scratch",IF($Q956&gt;0,"Win",IF($Q956&lt;0,"Loss","Scratch"))))</f>
        <v/>
      </c>
      <c r="T956" s="47" t="str">
        <f>IF(OR($AM956=0,NOT(ISNUMBER($H956)),NOT(ISNUMBER($I956)),NOT(ISNUMBER($J956))),"",IF($H956=$I956,"",ROUND(ABS($J956-$H956)/ABS($H956-$I956),6)))</f>
        <v/>
      </c>
      <c r="U956" s="48" t="str">
        <f>IF(OR($S956&lt;&gt;"Win",NOT(ISNUMBER($T956)),NOT(ISNUMBER($R956))),"",MAX(0,$T956-$R956))</f>
        <v/>
      </c>
      <c r="V956" s="49" t="str">
        <f>IF(OR($AM956=0,NOT(ISNUMBER($H956)),NOT(ISNUMBER($I956)),NOT(ISNUMBER($G956))),"",IF(OR($AG956="",$AH956=""),"",IF(ROUND(ABS($H956-$I956)*ABS($G956)*$AG956*$AH956,6)=0,"",ROUND(ABS($H956-$I956)*ABS($G956)*$AG956*$AH956,6))))</f>
        <v/>
      </c>
      <c r="W956" s="50" t="str">
        <f>IF($AM956=0,"",IF($BG956="","OK",LEFT($BG956,LEN($BG956)-2)))</f>
        <v/>
      </c>
      <c r="X956" s="41" t="n"/>
      <c r="Y956" s="40" t="n"/>
      <c r="Z956" s="41" t="n"/>
      <c r="AA956" s="41" t="n"/>
      <c r="AB956" s="40" t="n"/>
      <c r="AC956" s="51" t="n"/>
      <c r="AD956" s="51" t="n"/>
      <c r="AE956" s="40" t="n"/>
      <c r="AF956" s="52" t="str">
        <f>IF($AM956=0,"",IF($D956&lt;&gt;"",$D956,IF(IFERROR(INDEX(Accounts!$C$7:$C$16,MATCH($C956,Accounts!$B$7:$B$16,0))&amp;"","")&lt;&gt;"",INDEX(Accounts!$C$7:$C$16,MATCH($C956,Accounts!$B$7:$B$16,0)),Settings!$C$6)))</f>
        <v/>
      </c>
      <c r="AG956" s="53" t="str">
        <f>IF($AM956=0,"",IF(AND($BE956&gt;0,N(INDEX(Instruments!$D$6:$D$205,MAX(1,$BE956)))&gt;0),INDEX(Instruments!$D$6:$D$205,MAX(1,$BE956)),IF(N(INDEX(Settings!$D$14:$D$18,$BF956))&gt;0,INDEX(Settings!$D$14:$D$18,$BF956),"")))</f>
        <v/>
      </c>
      <c r="AH956" s="54" t="str">
        <f>IF($AM956=0,"",IF($AF956&lt;&gt;"Forex",1,IF(MID(UPPER(SUBSTITUTE(TRIM($E956),"/","")),4,3)=UPPER(TRIM(Settings!$C$7)),1,IF(LEFT(UPPER(SUBSTITUTE(TRIM($E956),"/","")),3)=UPPER(TRIM(Settings!$C$7)),IF(AND(ISNUMBER($K956),N($K956)&lt;&gt;0),1/$K956,""),""))))</f>
        <v/>
      </c>
      <c r="AI956" s="55" t="str">
        <f>IF($AM956=0,"",IF(OR(NOT(ISNUMBER($H956)),NOT(ISNUMBER($K956)),NOT(ISNUMBER($G956)),$AG956="",$AH956=""),"",ROUND(($K956-$H956)*IF($F956="Short",-1,1)*$G956*$AG956*$AH956,6)))</f>
        <v/>
      </c>
      <c r="AJ956" s="55" t="str">
        <f>IF($AM956=0,"",IF(INDEX(Settings!$E$14:$E$18,$BF956)="% of notional",IF(OR($AG956="",NOT(ISNUMBER($H956)),NOT(ISNUMBER($G956))),"",ROUND(ABS($H956*$G956*$AG956*N($AH956))*IF($L956="Limit",N(INDEX(Settings!$G$14:$G$18,$BF956)),N(INDEX(Settings!$H$14:$H$18,$BF956)))+IF(ISNUMBER($K956),ABS($K956*$G956*$AG956*N($AH956))*IF($M956="Target",N(INDEX(Settings!$G$14:$G$18,$BF956)),N(INDEX(Settings!$H$14:$H$18,$BF956))),0),6)),IF(NOT(ISNUMBER($G956)),"",ROUND(ABS($G956)*2*IF(AND($BE956&gt;0,ISNUMBER(INDEX(Instruments!$G$6:$G$205,MAX(1,$BE956)))),INDEX(Instruments!$G$6:$G$205,MAX(1,$BE956)),N(INDEX(Settings!$F$14:$F$18,$BF956))),6))))</f>
        <v/>
      </c>
      <c r="AK956" s="55" t="str">
        <f>IF($AM956=0,"",IF(ISNUMBER($O956),$O956,$AI956))</f>
        <v/>
      </c>
      <c r="AL956" s="55" t="str">
        <f>IF($AM956=0,"",IF(ISNUMBER($P956),$P956,N($AJ956)))</f>
        <v/>
      </c>
      <c r="AM956" s="56">
        <f>IF(AND($A956&lt;&gt;"",$E956&lt;&gt;"",OR(AND(ISNUMBER($G956),ISNUMBER($H956),ISNUMBER($K956)),ISNUMBER($O956))),1,0)</f>
        <v>0</v>
      </c>
      <c r="AN956" s="57" t="str">
        <f>IF($A956="","",$A956-WEEKDAY($A956,3))</f>
        <v/>
      </c>
      <c r="AO956" s="56" t="str">
        <f>IF($A956="","",WEEKDAY($A956,2))</f>
        <v/>
      </c>
      <c r="AP956" s="55" t="str">
        <f>IF(OR($AM956=0,$C956=""),"",IFERROR(N(INDEX(Accounts!$E$7:$E$16,MATCH($C956,Accounts!$B$7:$B$16,0))),0)+SUMIFS($Q$6:$Q956,$C$6:$C956,$C956))</f>
        <v/>
      </c>
      <c r="AQ956" s="55" t="str">
        <f>IF(OR($AM956=0,$C956=""),"",SUMIFS($Q$6:$Q$1005,$C$6:$C$1005,$C956,$A$6:$A$1005,$A956))</f>
        <v/>
      </c>
      <c r="AR956" s="55" t="str">
        <f>IF(OR($AM956=0,$C956=""),"",IFERROR(N(INDEX(Accounts!$E$7:$E$16,MATCH($C956,Accounts!$B$7:$B$16,0))),0)+SUMIFS($Q$6:$Q$1005,$C$6:$C$1005,$C956,$A$6:$A$1005,"&lt;="&amp;$A956))</f>
        <v/>
      </c>
      <c r="AS956" s="56">
        <f>IF(OR($AM956=0,$Q956=""),0,IF(AND($A956&gt;=Lists!$W$6,$A956&lt;=Lists!$W$7,OR(Dashboard!$D$6="All accounts",$C956=Dashboard!$D$6),OR(Dashboard!$D$7="All markets",$AF956=Dashboard!$D$7)),1,0))</f>
        <v>0</v>
      </c>
      <c r="AT956" s="55">
        <f>IF($AS956=1,N(AT955)+$Q956,N(AT955))</f>
        <v>1187.10688</v>
      </c>
      <c r="AU956" s="55">
        <f>MAX(N(AU955),$AT956)</f>
        <v>1187.10688</v>
      </c>
      <c r="AV956" s="55">
        <f>$AT956-$AU956</f>
        <v>0</v>
      </c>
      <c r="AW956" s="56">
        <f>IF($AS956=1,IF($S956="Win",N(AW955)+1,IF($S956="Loss",0,N(AW955))),N(AW955))</f>
        <v>5</v>
      </c>
      <c r="AX956" s="56">
        <f>IF($AS956=1,IF($S956="Loss",N(AX955)+1,IF($S956="Win",0,N(AX955))),N(AX955))</f>
        <v>0</v>
      </c>
      <c r="AY956" s="56" t="str">
        <f>IF($AS956=1,COUNTIF($AS$6:$AS956,1),"")</f>
        <v/>
      </c>
      <c r="AZ956" s="56">
        <f>MIN(950,N(Lists!$W$8))</f>
        <v>28</v>
      </c>
      <c r="BA956" s="56">
        <f>IF($AS956=1,IF(COUNTIFS($A$6:$A956,$A956,$AS$6:$AS956,1)=1,1,0),0)</f>
        <v>0</v>
      </c>
      <c r="BB956" s="55" t="str">
        <f>IF($BA956=1,SUMIFS($Q$6:$Q$1005,$A$6:$A$1005,$A956,$AS$6:$AS$1005,1),"")</f>
        <v/>
      </c>
      <c r="BC956" s="56">
        <f>IF(ISNUMBER($R956),1,0)</f>
        <v>0</v>
      </c>
      <c r="BD956" s="55" t="str">
        <f>IF(ISNUMBER($U956),$U956*$V956,"")</f>
        <v/>
      </c>
      <c r="BE956" s="56" t="str">
        <f>IF($AM956=0,"",IFERROR(MATCH($AF956&amp;"|"&amp;UPPER(TRIM($E956)),Lists!$A$6:$A$205,0),0))</f>
        <v/>
      </c>
      <c r="BF956" s="56" t="str">
        <f>IF($AM956=0,"",IFERROR(MATCH($AF956,Settings!$B$14:$B$18,0),IFERROR(MATCH(Settings!$C$6,Settings!$B$14:$B$18,0),1)))</f>
        <v/>
      </c>
      <c r="BG956" s="58" t="str">
        <f>IF($AM956=0,"",IF(NOT(ISNUMBER($I956)),"No stop; ","")&amp;IF(AND(ISNUMBER($H956),ISNUMBER($I956)),IF(OR(AND($F956&lt;&gt;"Short",$I956&gt;=$H956),AND($F956="Short",$I956&lt;=$H956)),"Stop on wrong side; ",""),"")&amp;IF($F956="","No direction; ","")&amp;IF(AND(ISNUMBER(Settings!$C$22),ISNUMBER($V956)),IF($V956&gt;Settings!$C$22,"Risk over max $; ",""),"")&amp;IF(AND(ISNUMBER(Settings!$C$23),ISNUMBER($V956),ISNUMBER($AP956),IFERROR(N(INDEX(Accounts!$E$7:$E$16,MATCH($C956,Accounts!$B$7:$B$16,0))),0)&gt;0),IF($V956&gt;Settings!$C$23*($AP956-N($Q956)),"Risk over max %; ",""),"")&amp;IF(AND(ISNUMBER(Settings!$C$24),ISNUMBER($N956)),IF($N956&gt;Settings!$C$24,"Leverage over max; ",""),"")&amp;IF(AND(ISNUMBER(Settings!$C$27),ISNUMBER($T956)),IF($T956&lt;Settings!$C$27,"R:R below min; ",""),"")&amp;IF(ISNUMBER(Settings!$C$25),IF(COUNTIFS($A$6:$A956,$A956,$AM$6:$AM956,1)&gt;Settings!$C$25,"Over max trades/day; ",""),"")&amp;IF(ISNUMBER(Settings!$C$26),IF(SUMIFS($Q$5:$Q955,$A$5:$A955,$A956)&lt;=-Settings!$C$26,"Traded after daily max loss; ",""),"")&amp;IF(AND($AG956="",NOT(ISNUMBER($O956))),"Symbol not in Instruments; ","")&amp;IF(AND($AH956="",NOT(ISNUMBER($O956))),"Forex cross: type Gross P&amp;L; ",""))</f>
        <v/>
      </c>
      <c r="BH956" s="56">
        <f>IF(ISNUMBER($Q956),1,0)</f>
        <v>0</v>
      </c>
      <c r="BI956" s="56">
        <f>IF($Y956="",0,1)</f>
        <v>0</v>
      </c>
      <c r="BJ956" s="56">
        <f>IF($AB956="",0,1)</f>
        <v>0</v>
      </c>
      <c r="BK956" s="56">
        <f>IF(AND($BH956=1,$W956&lt;&gt;"OK"),1,0)</f>
        <v>0</v>
      </c>
      <c r="BL956" s="55">
        <f>IF(N($AZ956)=0,0,IFERROR(INDEX($AT$6:$AT$1005,MATCH($AZ956,$AY$6:$AY$1005,0)),0))</f>
        <v>1187.10688</v>
      </c>
      <c r="BM956" s="56">
        <f>IF(ISNUMBER(SEARCH("daily max loss",$BG956)),1,0)</f>
        <v>0</v>
      </c>
    </row>
    <row r="957" ht="18" customHeight="1">
      <c r="A957" s="38" t="n"/>
      <c r="B957" s="39" t="n"/>
      <c r="C957" s="40" t="n"/>
      <c r="D957" s="41" t="n"/>
      <c r="E957" s="41" t="n"/>
      <c r="F957" s="41" t="n"/>
      <c r="G957" s="41" t="n"/>
      <c r="H957" s="42" t="n"/>
      <c r="I957" s="42" t="n"/>
      <c r="J957" s="42" t="n"/>
      <c r="K957" s="42" t="n"/>
      <c r="L957" s="41" t="n"/>
      <c r="M957" s="41" t="n"/>
      <c r="N957" s="41" t="n"/>
      <c r="O957" s="43" t="n"/>
      <c r="P957" s="43" t="n"/>
      <c r="Q957" s="44" t="str">
        <f>IF($AM957=0,"",IF(ISNUMBER($AK957),$AK957-N($AL957),""))</f>
        <v/>
      </c>
      <c r="R957" s="45" t="str">
        <f>IF(OR($Q957="",NOT(ISNUMBER($V957))),"",$AK957/$V957)</f>
        <v/>
      </c>
      <c r="S957" s="46" t="str">
        <f>IF($Q957="","",IF(AND(ISNUMBER($R957),ABS(N($R957))&lt;N(Settings!$C$8)),"Scratch",IF($Q957&gt;0,"Win",IF($Q957&lt;0,"Loss","Scratch"))))</f>
        <v/>
      </c>
      <c r="T957" s="47" t="str">
        <f>IF(OR($AM957=0,NOT(ISNUMBER($H957)),NOT(ISNUMBER($I957)),NOT(ISNUMBER($J957))),"",IF($H957=$I957,"",ROUND(ABS($J957-$H957)/ABS($H957-$I957),6)))</f>
        <v/>
      </c>
      <c r="U957" s="48" t="str">
        <f>IF(OR($S957&lt;&gt;"Win",NOT(ISNUMBER($T957)),NOT(ISNUMBER($R957))),"",MAX(0,$T957-$R957))</f>
        <v/>
      </c>
      <c r="V957" s="49" t="str">
        <f>IF(OR($AM957=0,NOT(ISNUMBER($H957)),NOT(ISNUMBER($I957)),NOT(ISNUMBER($G957))),"",IF(OR($AG957="",$AH957=""),"",IF(ROUND(ABS($H957-$I957)*ABS($G957)*$AG957*$AH957,6)=0,"",ROUND(ABS($H957-$I957)*ABS($G957)*$AG957*$AH957,6))))</f>
        <v/>
      </c>
      <c r="W957" s="50" t="str">
        <f>IF($AM957=0,"",IF($BG957="","OK",LEFT($BG957,LEN($BG957)-2)))</f>
        <v/>
      </c>
      <c r="X957" s="41" t="n"/>
      <c r="Y957" s="40" t="n"/>
      <c r="Z957" s="41" t="n"/>
      <c r="AA957" s="41" t="n"/>
      <c r="AB957" s="40" t="n"/>
      <c r="AC957" s="51" t="n"/>
      <c r="AD957" s="51" t="n"/>
      <c r="AE957" s="40" t="n"/>
      <c r="AF957" s="52" t="str">
        <f>IF($AM957=0,"",IF($D957&lt;&gt;"",$D957,IF(IFERROR(INDEX(Accounts!$C$7:$C$16,MATCH($C957,Accounts!$B$7:$B$16,0))&amp;"","")&lt;&gt;"",INDEX(Accounts!$C$7:$C$16,MATCH($C957,Accounts!$B$7:$B$16,0)),Settings!$C$6)))</f>
        <v/>
      </c>
      <c r="AG957" s="53" t="str">
        <f>IF($AM957=0,"",IF(AND($BE957&gt;0,N(INDEX(Instruments!$D$6:$D$205,MAX(1,$BE957)))&gt;0),INDEX(Instruments!$D$6:$D$205,MAX(1,$BE957)),IF(N(INDEX(Settings!$D$14:$D$18,$BF957))&gt;0,INDEX(Settings!$D$14:$D$18,$BF957),"")))</f>
        <v/>
      </c>
      <c r="AH957" s="54" t="str">
        <f>IF($AM957=0,"",IF($AF957&lt;&gt;"Forex",1,IF(MID(UPPER(SUBSTITUTE(TRIM($E957),"/","")),4,3)=UPPER(TRIM(Settings!$C$7)),1,IF(LEFT(UPPER(SUBSTITUTE(TRIM($E957),"/","")),3)=UPPER(TRIM(Settings!$C$7)),IF(AND(ISNUMBER($K957),N($K957)&lt;&gt;0),1/$K957,""),""))))</f>
        <v/>
      </c>
      <c r="AI957" s="55" t="str">
        <f>IF($AM957=0,"",IF(OR(NOT(ISNUMBER($H957)),NOT(ISNUMBER($K957)),NOT(ISNUMBER($G957)),$AG957="",$AH957=""),"",ROUND(($K957-$H957)*IF($F957="Short",-1,1)*$G957*$AG957*$AH957,6)))</f>
        <v/>
      </c>
      <c r="AJ957" s="55" t="str">
        <f>IF($AM957=0,"",IF(INDEX(Settings!$E$14:$E$18,$BF957)="% of notional",IF(OR($AG957="",NOT(ISNUMBER($H957)),NOT(ISNUMBER($G957))),"",ROUND(ABS($H957*$G957*$AG957*N($AH957))*IF($L957="Limit",N(INDEX(Settings!$G$14:$G$18,$BF957)),N(INDEX(Settings!$H$14:$H$18,$BF957)))+IF(ISNUMBER($K957),ABS($K957*$G957*$AG957*N($AH957))*IF($M957="Target",N(INDEX(Settings!$G$14:$G$18,$BF957)),N(INDEX(Settings!$H$14:$H$18,$BF957))),0),6)),IF(NOT(ISNUMBER($G957)),"",ROUND(ABS($G957)*2*IF(AND($BE957&gt;0,ISNUMBER(INDEX(Instruments!$G$6:$G$205,MAX(1,$BE957)))),INDEX(Instruments!$G$6:$G$205,MAX(1,$BE957)),N(INDEX(Settings!$F$14:$F$18,$BF957))),6))))</f>
        <v/>
      </c>
      <c r="AK957" s="55" t="str">
        <f>IF($AM957=0,"",IF(ISNUMBER($O957),$O957,$AI957))</f>
        <v/>
      </c>
      <c r="AL957" s="55" t="str">
        <f>IF($AM957=0,"",IF(ISNUMBER($P957),$P957,N($AJ957)))</f>
        <v/>
      </c>
      <c r="AM957" s="56">
        <f>IF(AND($A957&lt;&gt;"",$E957&lt;&gt;"",OR(AND(ISNUMBER($G957),ISNUMBER($H957),ISNUMBER($K957)),ISNUMBER($O957))),1,0)</f>
        <v>0</v>
      </c>
      <c r="AN957" s="57" t="str">
        <f>IF($A957="","",$A957-WEEKDAY($A957,3))</f>
        <v/>
      </c>
      <c r="AO957" s="56" t="str">
        <f>IF($A957="","",WEEKDAY($A957,2))</f>
        <v/>
      </c>
      <c r="AP957" s="55" t="str">
        <f>IF(OR($AM957=0,$C957=""),"",IFERROR(N(INDEX(Accounts!$E$7:$E$16,MATCH($C957,Accounts!$B$7:$B$16,0))),0)+SUMIFS($Q$6:$Q957,$C$6:$C957,$C957))</f>
        <v/>
      </c>
      <c r="AQ957" s="55" t="str">
        <f>IF(OR($AM957=0,$C957=""),"",SUMIFS($Q$6:$Q$1005,$C$6:$C$1005,$C957,$A$6:$A$1005,$A957))</f>
        <v/>
      </c>
      <c r="AR957" s="55" t="str">
        <f>IF(OR($AM957=0,$C957=""),"",IFERROR(N(INDEX(Accounts!$E$7:$E$16,MATCH($C957,Accounts!$B$7:$B$16,0))),0)+SUMIFS($Q$6:$Q$1005,$C$6:$C$1005,$C957,$A$6:$A$1005,"&lt;="&amp;$A957))</f>
        <v/>
      </c>
      <c r="AS957" s="56">
        <f>IF(OR($AM957=0,$Q957=""),0,IF(AND($A957&gt;=Lists!$W$6,$A957&lt;=Lists!$W$7,OR(Dashboard!$D$6="All accounts",$C957=Dashboard!$D$6),OR(Dashboard!$D$7="All markets",$AF957=Dashboard!$D$7)),1,0))</f>
        <v>0</v>
      </c>
      <c r="AT957" s="55">
        <f>IF($AS957=1,N(AT956)+$Q957,N(AT956))</f>
        <v>1187.10688</v>
      </c>
      <c r="AU957" s="55">
        <f>MAX(N(AU956),$AT957)</f>
        <v>1187.10688</v>
      </c>
      <c r="AV957" s="55">
        <f>$AT957-$AU957</f>
        <v>0</v>
      </c>
      <c r="AW957" s="56">
        <f>IF($AS957=1,IF($S957="Win",N(AW956)+1,IF($S957="Loss",0,N(AW956))),N(AW956))</f>
        <v>5</v>
      </c>
      <c r="AX957" s="56">
        <f>IF($AS957=1,IF($S957="Loss",N(AX956)+1,IF($S957="Win",0,N(AX956))),N(AX956))</f>
        <v>0</v>
      </c>
      <c r="AY957" s="56" t="str">
        <f>IF($AS957=1,COUNTIF($AS$6:$AS957,1),"")</f>
        <v/>
      </c>
      <c r="AZ957" s="56">
        <f>MIN(951,N(Lists!$W$8))</f>
        <v>28</v>
      </c>
      <c r="BA957" s="56">
        <f>IF($AS957=1,IF(COUNTIFS($A$6:$A957,$A957,$AS$6:$AS957,1)=1,1,0),0)</f>
        <v>0</v>
      </c>
      <c r="BB957" s="55" t="str">
        <f>IF($BA957=1,SUMIFS($Q$6:$Q$1005,$A$6:$A$1005,$A957,$AS$6:$AS$1005,1),"")</f>
        <v/>
      </c>
      <c r="BC957" s="56">
        <f>IF(ISNUMBER($R957),1,0)</f>
        <v>0</v>
      </c>
      <c r="BD957" s="55" t="str">
        <f>IF(ISNUMBER($U957),$U957*$V957,"")</f>
        <v/>
      </c>
      <c r="BE957" s="56" t="str">
        <f>IF($AM957=0,"",IFERROR(MATCH($AF957&amp;"|"&amp;UPPER(TRIM($E957)),Lists!$A$6:$A$205,0),0))</f>
        <v/>
      </c>
      <c r="BF957" s="56" t="str">
        <f>IF($AM957=0,"",IFERROR(MATCH($AF957,Settings!$B$14:$B$18,0),IFERROR(MATCH(Settings!$C$6,Settings!$B$14:$B$18,0),1)))</f>
        <v/>
      </c>
      <c r="BG957" s="58" t="str">
        <f>IF($AM957=0,"",IF(NOT(ISNUMBER($I957)),"No stop; ","")&amp;IF(AND(ISNUMBER($H957),ISNUMBER($I957)),IF(OR(AND($F957&lt;&gt;"Short",$I957&gt;=$H957),AND($F957="Short",$I957&lt;=$H957)),"Stop on wrong side; ",""),"")&amp;IF($F957="","No direction; ","")&amp;IF(AND(ISNUMBER(Settings!$C$22),ISNUMBER($V957)),IF($V957&gt;Settings!$C$22,"Risk over max $; ",""),"")&amp;IF(AND(ISNUMBER(Settings!$C$23),ISNUMBER($V957),ISNUMBER($AP957),IFERROR(N(INDEX(Accounts!$E$7:$E$16,MATCH($C957,Accounts!$B$7:$B$16,0))),0)&gt;0),IF($V957&gt;Settings!$C$23*($AP957-N($Q957)),"Risk over max %; ",""),"")&amp;IF(AND(ISNUMBER(Settings!$C$24),ISNUMBER($N957)),IF($N957&gt;Settings!$C$24,"Leverage over max; ",""),"")&amp;IF(AND(ISNUMBER(Settings!$C$27),ISNUMBER($T957)),IF($T957&lt;Settings!$C$27,"R:R below min; ",""),"")&amp;IF(ISNUMBER(Settings!$C$25),IF(COUNTIFS($A$6:$A957,$A957,$AM$6:$AM957,1)&gt;Settings!$C$25,"Over max trades/day; ",""),"")&amp;IF(ISNUMBER(Settings!$C$26),IF(SUMIFS($Q$5:$Q956,$A$5:$A956,$A957)&lt;=-Settings!$C$26,"Traded after daily max loss; ",""),"")&amp;IF(AND($AG957="",NOT(ISNUMBER($O957))),"Symbol not in Instruments; ","")&amp;IF(AND($AH957="",NOT(ISNUMBER($O957))),"Forex cross: type Gross P&amp;L; ",""))</f>
        <v/>
      </c>
      <c r="BH957" s="56">
        <f>IF(ISNUMBER($Q957),1,0)</f>
        <v>0</v>
      </c>
      <c r="BI957" s="56">
        <f>IF($Y957="",0,1)</f>
        <v>0</v>
      </c>
      <c r="BJ957" s="56">
        <f>IF($AB957="",0,1)</f>
        <v>0</v>
      </c>
      <c r="BK957" s="56">
        <f>IF(AND($BH957=1,$W957&lt;&gt;"OK"),1,0)</f>
        <v>0</v>
      </c>
      <c r="BL957" s="55">
        <f>IF(N($AZ957)=0,0,IFERROR(INDEX($AT$6:$AT$1005,MATCH($AZ957,$AY$6:$AY$1005,0)),0))</f>
        <v>1187.10688</v>
      </c>
      <c r="BM957" s="56">
        <f>IF(ISNUMBER(SEARCH("daily max loss",$BG957)),1,0)</f>
        <v>0</v>
      </c>
    </row>
    <row r="958" ht="18" customHeight="1">
      <c r="A958" s="38" t="n"/>
      <c r="B958" s="39" t="n"/>
      <c r="C958" s="40" t="n"/>
      <c r="D958" s="41" t="n"/>
      <c r="E958" s="41" t="n"/>
      <c r="F958" s="41" t="n"/>
      <c r="G958" s="41" t="n"/>
      <c r="H958" s="42" t="n"/>
      <c r="I958" s="42" t="n"/>
      <c r="J958" s="42" t="n"/>
      <c r="K958" s="42" t="n"/>
      <c r="L958" s="41" t="n"/>
      <c r="M958" s="41" t="n"/>
      <c r="N958" s="41" t="n"/>
      <c r="O958" s="43" t="n"/>
      <c r="P958" s="43" t="n"/>
      <c r="Q958" s="44" t="str">
        <f>IF($AM958=0,"",IF(ISNUMBER($AK958),$AK958-N($AL958),""))</f>
        <v/>
      </c>
      <c r="R958" s="45" t="str">
        <f>IF(OR($Q958="",NOT(ISNUMBER($V958))),"",$AK958/$V958)</f>
        <v/>
      </c>
      <c r="S958" s="46" t="str">
        <f>IF($Q958="","",IF(AND(ISNUMBER($R958),ABS(N($R958))&lt;N(Settings!$C$8)),"Scratch",IF($Q958&gt;0,"Win",IF($Q958&lt;0,"Loss","Scratch"))))</f>
        <v/>
      </c>
      <c r="T958" s="47" t="str">
        <f>IF(OR($AM958=0,NOT(ISNUMBER($H958)),NOT(ISNUMBER($I958)),NOT(ISNUMBER($J958))),"",IF($H958=$I958,"",ROUND(ABS($J958-$H958)/ABS($H958-$I958),6)))</f>
        <v/>
      </c>
      <c r="U958" s="48" t="str">
        <f>IF(OR($S958&lt;&gt;"Win",NOT(ISNUMBER($T958)),NOT(ISNUMBER($R958))),"",MAX(0,$T958-$R958))</f>
        <v/>
      </c>
      <c r="V958" s="49" t="str">
        <f>IF(OR($AM958=0,NOT(ISNUMBER($H958)),NOT(ISNUMBER($I958)),NOT(ISNUMBER($G958))),"",IF(OR($AG958="",$AH958=""),"",IF(ROUND(ABS($H958-$I958)*ABS($G958)*$AG958*$AH958,6)=0,"",ROUND(ABS($H958-$I958)*ABS($G958)*$AG958*$AH958,6))))</f>
        <v/>
      </c>
      <c r="W958" s="50" t="str">
        <f>IF($AM958=0,"",IF($BG958="","OK",LEFT($BG958,LEN($BG958)-2)))</f>
        <v/>
      </c>
      <c r="X958" s="41" t="n"/>
      <c r="Y958" s="40" t="n"/>
      <c r="Z958" s="41" t="n"/>
      <c r="AA958" s="41" t="n"/>
      <c r="AB958" s="40" t="n"/>
      <c r="AC958" s="51" t="n"/>
      <c r="AD958" s="51" t="n"/>
      <c r="AE958" s="40" t="n"/>
      <c r="AF958" s="52" t="str">
        <f>IF($AM958=0,"",IF($D958&lt;&gt;"",$D958,IF(IFERROR(INDEX(Accounts!$C$7:$C$16,MATCH($C958,Accounts!$B$7:$B$16,0))&amp;"","")&lt;&gt;"",INDEX(Accounts!$C$7:$C$16,MATCH($C958,Accounts!$B$7:$B$16,0)),Settings!$C$6)))</f>
        <v/>
      </c>
      <c r="AG958" s="53" t="str">
        <f>IF($AM958=0,"",IF(AND($BE958&gt;0,N(INDEX(Instruments!$D$6:$D$205,MAX(1,$BE958)))&gt;0),INDEX(Instruments!$D$6:$D$205,MAX(1,$BE958)),IF(N(INDEX(Settings!$D$14:$D$18,$BF958))&gt;0,INDEX(Settings!$D$14:$D$18,$BF958),"")))</f>
        <v/>
      </c>
      <c r="AH958" s="54" t="str">
        <f>IF($AM958=0,"",IF($AF958&lt;&gt;"Forex",1,IF(MID(UPPER(SUBSTITUTE(TRIM($E958),"/","")),4,3)=UPPER(TRIM(Settings!$C$7)),1,IF(LEFT(UPPER(SUBSTITUTE(TRIM($E958),"/","")),3)=UPPER(TRIM(Settings!$C$7)),IF(AND(ISNUMBER($K958),N($K958)&lt;&gt;0),1/$K958,""),""))))</f>
        <v/>
      </c>
      <c r="AI958" s="55" t="str">
        <f>IF($AM958=0,"",IF(OR(NOT(ISNUMBER($H958)),NOT(ISNUMBER($K958)),NOT(ISNUMBER($G958)),$AG958="",$AH958=""),"",ROUND(($K958-$H958)*IF($F958="Short",-1,1)*$G958*$AG958*$AH958,6)))</f>
        <v/>
      </c>
      <c r="AJ958" s="55" t="str">
        <f>IF($AM958=0,"",IF(INDEX(Settings!$E$14:$E$18,$BF958)="% of notional",IF(OR($AG958="",NOT(ISNUMBER($H958)),NOT(ISNUMBER($G958))),"",ROUND(ABS($H958*$G958*$AG958*N($AH958))*IF($L958="Limit",N(INDEX(Settings!$G$14:$G$18,$BF958)),N(INDEX(Settings!$H$14:$H$18,$BF958)))+IF(ISNUMBER($K958),ABS($K958*$G958*$AG958*N($AH958))*IF($M958="Target",N(INDEX(Settings!$G$14:$G$18,$BF958)),N(INDEX(Settings!$H$14:$H$18,$BF958))),0),6)),IF(NOT(ISNUMBER($G958)),"",ROUND(ABS($G958)*2*IF(AND($BE958&gt;0,ISNUMBER(INDEX(Instruments!$G$6:$G$205,MAX(1,$BE958)))),INDEX(Instruments!$G$6:$G$205,MAX(1,$BE958)),N(INDEX(Settings!$F$14:$F$18,$BF958))),6))))</f>
        <v/>
      </c>
      <c r="AK958" s="55" t="str">
        <f>IF($AM958=0,"",IF(ISNUMBER($O958),$O958,$AI958))</f>
        <v/>
      </c>
      <c r="AL958" s="55" t="str">
        <f>IF($AM958=0,"",IF(ISNUMBER($P958),$P958,N($AJ958)))</f>
        <v/>
      </c>
      <c r="AM958" s="56">
        <f>IF(AND($A958&lt;&gt;"",$E958&lt;&gt;"",OR(AND(ISNUMBER($G958),ISNUMBER($H958),ISNUMBER($K958)),ISNUMBER($O958))),1,0)</f>
        <v>0</v>
      </c>
      <c r="AN958" s="57" t="str">
        <f>IF($A958="","",$A958-WEEKDAY($A958,3))</f>
        <v/>
      </c>
      <c r="AO958" s="56" t="str">
        <f>IF($A958="","",WEEKDAY($A958,2))</f>
        <v/>
      </c>
      <c r="AP958" s="55" t="str">
        <f>IF(OR($AM958=0,$C958=""),"",IFERROR(N(INDEX(Accounts!$E$7:$E$16,MATCH($C958,Accounts!$B$7:$B$16,0))),0)+SUMIFS($Q$6:$Q958,$C$6:$C958,$C958))</f>
        <v/>
      </c>
      <c r="AQ958" s="55" t="str">
        <f>IF(OR($AM958=0,$C958=""),"",SUMIFS($Q$6:$Q$1005,$C$6:$C$1005,$C958,$A$6:$A$1005,$A958))</f>
        <v/>
      </c>
      <c r="AR958" s="55" t="str">
        <f>IF(OR($AM958=0,$C958=""),"",IFERROR(N(INDEX(Accounts!$E$7:$E$16,MATCH($C958,Accounts!$B$7:$B$16,0))),0)+SUMIFS($Q$6:$Q$1005,$C$6:$C$1005,$C958,$A$6:$A$1005,"&lt;="&amp;$A958))</f>
        <v/>
      </c>
      <c r="AS958" s="56">
        <f>IF(OR($AM958=0,$Q958=""),0,IF(AND($A958&gt;=Lists!$W$6,$A958&lt;=Lists!$W$7,OR(Dashboard!$D$6="All accounts",$C958=Dashboard!$D$6),OR(Dashboard!$D$7="All markets",$AF958=Dashboard!$D$7)),1,0))</f>
        <v>0</v>
      </c>
      <c r="AT958" s="55">
        <f>IF($AS958=1,N(AT957)+$Q958,N(AT957))</f>
        <v>1187.10688</v>
      </c>
      <c r="AU958" s="55">
        <f>MAX(N(AU957),$AT958)</f>
        <v>1187.10688</v>
      </c>
      <c r="AV958" s="55">
        <f>$AT958-$AU958</f>
        <v>0</v>
      </c>
      <c r="AW958" s="56">
        <f>IF($AS958=1,IF($S958="Win",N(AW957)+1,IF($S958="Loss",0,N(AW957))),N(AW957))</f>
        <v>5</v>
      </c>
      <c r="AX958" s="56">
        <f>IF($AS958=1,IF($S958="Loss",N(AX957)+1,IF($S958="Win",0,N(AX957))),N(AX957))</f>
        <v>0</v>
      </c>
      <c r="AY958" s="56" t="str">
        <f>IF($AS958=1,COUNTIF($AS$6:$AS958,1),"")</f>
        <v/>
      </c>
      <c r="AZ958" s="56">
        <f>MIN(952,N(Lists!$W$8))</f>
        <v>28</v>
      </c>
      <c r="BA958" s="56">
        <f>IF($AS958=1,IF(COUNTIFS($A$6:$A958,$A958,$AS$6:$AS958,1)=1,1,0),0)</f>
        <v>0</v>
      </c>
      <c r="BB958" s="55" t="str">
        <f>IF($BA958=1,SUMIFS($Q$6:$Q$1005,$A$6:$A$1005,$A958,$AS$6:$AS$1005,1),"")</f>
        <v/>
      </c>
      <c r="BC958" s="56">
        <f>IF(ISNUMBER($R958),1,0)</f>
        <v>0</v>
      </c>
      <c r="BD958" s="55" t="str">
        <f>IF(ISNUMBER($U958),$U958*$V958,"")</f>
        <v/>
      </c>
      <c r="BE958" s="56" t="str">
        <f>IF($AM958=0,"",IFERROR(MATCH($AF958&amp;"|"&amp;UPPER(TRIM($E958)),Lists!$A$6:$A$205,0),0))</f>
        <v/>
      </c>
      <c r="BF958" s="56" t="str">
        <f>IF($AM958=0,"",IFERROR(MATCH($AF958,Settings!$B$14:$B$18,0),IFERROR(MATCH(Settings!$C$6,Settings!$B$14:$B$18,0),1)))</f>
        <v/>
      </c>
      <c r="BG958" s="58" t="str">
        <f>IF($AM958=0,"",IF(NOT(ISNUMBER($I958)),"No stop; ","")&amp;IF(AND(ISNUMBER($H958),ISNUMBER($I958)),IF(OR(AND($F958&lt;&gt;"Short",$I958&gt;=$H958),AND($F958="Short",$I958&lt;=$H958)),"Stop on wrong side; ",""),"")&amp;IF($F958="","No direction; ","")&amp;IF(AND(ISNUMBER(Settings!$C$22),ISNUMBER($V958)),IF($V958&gt;Settings!$C$22,"Risk over max $; ",""),"")&amp;IF(AND(ISNUMBER(Settings!$C$23),ISNUMBER($V958),ISNUMBER($AP958),IFERROR(N(INDEX(Accounts!$E$7:$E$16,MATCH($C958,Accounts!$B$7:$B$16,0))),0)&gt;0),IF($V958&gt;Settings!$C$23*($AP958-N($Q958)),"Risk over max %; ",""),"")&amp;IF(AND(ISNUMBER(Settings!$C$24),ISNUMBER($N958)),IF($N958&gt;Settings!$C$24,"Leverage over max; ",""),"")&amp;IF(AND(ISNUMBER(Settings!$C$27),ISNUMBER($T958)),IF($T958&lt;Settings!$C$27,"R:R below min; ",""),"")&amp;IF(ISNUMBER(Settings!$C$25),IF(COUNTIFS($A$6:$A958,$A958,$AM$6:$AM958,1)&gt;Settings!$C$25,"Over max trades/day; ",""),"")&amp;IF(ISNUMBER(Settings!$C$26),IF(SUMIFS($Q$5:$Q957,$A$5:$A957,$A958)&lt;=-Settings!$C$26,"Traded after daily max loss; ",""),"")&amp;IF(AND($AG958="",NOT(ISNUMBER($O958))),"Symbol not in Instruments; ","")&amp;IF(AND($AH958="",NOT(ISNUMBER($O958))),"Forex cross: type Gross P&amp;L; ",""))</f>
        <v/>
      </c>
      <c r="BH958" s="56">
        <f>IF(ISNUMBER($Q958),1,0)</f>
        <v>0</v>
      </c>
      <c r="BI958" s="56">
        <f>IF($Y958="",0,1)</f>
        <v>0</v>
      </c>
      <c r="BJ958" s="56">
        <f>IF($AB958="",0,1)</f>
        <v>0</v>
      </c>
      <c r="BK958" s="56">
        <f>IF(AND($BH958=1,$W958&lt;&gt;"OK"),1,0)</f>
        <v>0</v>
      </c>
      <c r="BL958" s="55">
        <f>IF(N($AZ958)=0,0,IFERROR(INDEX($AT$6:$AT$1005,MATCH($AZ958,$AY$6:$AY$1005,0)),0))</f>
        <v>1187.10688</v>
      </c>
      <c r="BM958" s="56">
        <f>IF(ISNUMBER(SEARCH("daily max loss",$BG958)),1,0)</f>
        <v>0</v>
      </c>
    </row>
    <row r="959" ht="18" customHeight="1">
      <c r="A959" s="38" t="n"/>
      <c r="B959" s="39" t="n"/>
      <c r="C959" s="40" t="n"/>
      <c r="D959" s="41" t="n"/>
      <c r="E959" s="41" t="n"/>
      <c r="F959" s="41" t="n"/>
      <c r="G959" s="41" t="n"/>
      <c r="H959" s="42" t="n"/>
      <c r="I959" s="42" t="n"/>
      <c r="J959" s="42" t="n"/>
      <c r="K959" s="42" t="n"/>
      <c r="L959" s="41" t="n"/>
      <c r="M959" s="41" t="n"/>
      <c r="N959" s="41" t="n"/>
      <c r="O959" s="43" t="n"/>
      <c r="P959" s="43" t="n"/>
      <c r="Q959" s="44" t="str">
        <f>IF($AM959=0,"",IF(ISNUMBER($AK959),$AK959-N($AL959),""))</f>
        <v/>
      </c>
      <c r="R959" s="45" t="str">
        <f>IF(OR($Q959="",NOT(ISNUMBER($V959))),"",$AK959/$V959)</f>
        <v/>
      </c>
      <c r="S959" s="46" t="str">
        <f>IF($Q959="","",IF(AND(ISNUMBER($R959),ABS(N($R959))&lt;N(Settings!$C$8)),"Scratch",IF($Q959&gt;0,"Win",IF($Q959&lt;0,"Loss","Scratch"))))</f>
        <v/>
      </c>
      <c r="T959" s="47" t="str">
        <f>IF(OR($AM959=0,NOT(ISNUMBER($H959)),NOT(ISNUMBER($I959)),NOT(ISNUMBER($J959))),"",IF($H959=$I959,"",ROUND(ABS($J959-$H959)/ABS($H959-$I959),6)))</f>
        <v/>
      </c>
      <c r="U959" s="48" t="str">
        <f>IF(OR($S959&lt;&gt;"Win",NOT(ISNUMBER($T959)),NOT(ISNUMBER($R959))),"",MAX(0,$T959-$R959))</f>
        <v/>
      </c>
      <c r="V959" s="49" t="str">
        <f>IF(OR($AM959=0,NOT(ISNUMBER($H959)),NOT(ISNUMBER($I959)),NOT(ISNUMBER($G959))),"",IF(OR($AG959="",$AH959=""),"",IF(ROUND(ABS($H959-$I959)*ABS($G959)*$AG959*$AH959,6)=0,"",ROUND(ABS($H959-$I959)*ABS($G959)*$AG959*$AH959,6))))</f>
        <v/>
      </c>
      <c r="W959" s="50" t="str">
        <f>IF($AM959=0,"",IF($BG959="","OK",LEFT($BG959,LEN($BG959)-2)))</f>
        <v/>
      </c>
      <c r="X959" s="41" t="n"/>
      <c r="Y959" s="40" t="n"/>
      <c r="Z959" s="41" t="n"/>
      <c r="AA959" s="41" t="n"/>
      <c r="AB959" s="40" t="n"/>
      <c r="AC959" s="51" t="n"/>
      <c r="AD959" s="51" t="n"/>
      <c r="AE959" s="40" t="n"/>
      <c r="AF959" s="52" t="str">
        <f>IF($AM959=0,"",IF($D959&lt;&gt;"",$D959,IF(IFERROR(INDEX(Accounts!$C$7:$C$16,MATCH($C959,Accounts!$B$7:$B$16,0))&amp;"","")&lt;&gt;"",INDEX(Accounts!$C$7:$C$16,MATCH($C959,Accounts!$B$7:$B$16,0)),Settings!$C$6)))</f>
        <v/>
      </c>
      <c r="AG959" s="53" t="str">
        <f>IF($AM959=0,"",IF(AND($BE959&gt;0,N(INDEX(Instruments!$D$6:$D$205,MAX(1,$BE959)))&gt;0),INDEX(Instruments!$D$6:$D$205,MAX(1,$BE959)),IF(N(INDEX(Settings!$D$14:$D$18,$BF959))&gt;0,INDEX(Settings!$D$14:$D$18,$BF959),"")))</f>
        <v/>
      </c>
      <c r="AH959" s="54" t="str">
        <f>IF($AM959=0,"",IF($AF959&lt;&gt;"Forex",1,IF(MID(UPPER(SUBSTITUTE(TRIM($E959),"/","")),4,3)=UPPER(TRIM(Settings!$C$7)),1,IF(LEFT(UPPER(SUBSTITUTE(TRIM($E959),"/","")),3)=UPPER(TRIM(Settings!$C$7)),IF(AND(ISNUMBER($K959),N($K959)&lt;&gt;0),1/$K959,""),""))))</f>
        <v/>
      </c>
      <c r="AI959" s="55" t="str">
        <f>IF($AM959=0,"",IF(OR(NOT(ISNUMBER($H959)),NOT(ISNUMBER($K959)),NOT(ISNUMBER($G959)),$AG959="",$AH959=""),"",ROUND(($K959-$H959)*IF($F959="Short",-1,1)*$G959*$AG959*$AH959,6)))</f>
        <v/>
      </c>
      <c r="AJ959" s="55" t="str">
        <f>IF($AM959=0,"",IF(INDEX(Settings!$E$14:$E$18,$BF959)="% of notional",IF(OR($AG959="",NOT(ISNUMBER($H959)),NOT(ISNUMBER($G959))),"",ROUND(ABS($H959*$G959*$AG959*N($AH959))*IF($L959="Limit",N(INDEX(Settings!$G$14:$G$18,$BF959)),N(INDEX(Settings!$H$14:$H$18,$BF959)))+IF(ISNUMBER($K959),ABS($K959*$G959*$AG959*N($AH959))*IF($M959="Target",N(INDEX(Settings!$G$14:$G$18,$BF959)),N(INDEX(Settings!$H$14:$H$18,$BF959))),0),6)),IF(NOT(ISNUMBER($G959)),"",ROUND(ABS($G959)*2*IF(AND($BE959&gt;0,ISNUMBER(INDEX(Instruments!$G$6:$G$205,MAX(1,$BE959)))),INDEX(Instruments!$G$6:$G$205,MAX(1,$BE959)),N(INDEX(Settings!$F$14:$F$18,$BF959))),6))))</f>
        <v/>
      </c>
      <c r="AK959" s="55" t="str">
        <f>IF($AM959=0,"",IF(ISNUMBER($O959),$O959,$AI959))</f>
        <v/>
      </c>
      <c r="AL959" s="55" t="str">
        <f>IF($AM959=0,"",IF(ISNUMBER($P959),$P959,N($AJ959)))</f>
        <v/>
      </c>
      <c r="AM959" s="56">
        <f>IF(AND($A959&lt;&gt;"",$E959&lt;&gt;"",OR(AND(ISNUMBER($G959),ISNUMBER($H959),ISNUMBER($K959)),ISNUMBER($O959))),1,0)</f>
        <v>0</v>
      </c>
      <c r="AN959" s="57" t="str">
        <f>IF($A959="","",$A959-WEEKDAY($A959,3))</f>
        <v/>
      </c>
      <c r="AO959" s="56" t="str">
        <f>IF($A959="","",WEEKDAY($A959,2))</f>
        <v/>
      </c>
      <c r="AP959" s="55" t="str">
        <f>IF(OR($AM959=0,$C959=""),"",IFERROR(N(INDEX(Accounts!$E$7:$E$16,MATCH($C959,Accounts!$B$7:$B$16,0))),0)+SUMIFS($Q$6:$Q959,$C$6:$C959,$C959))</f>
        <v/>
      </c>
      <c r="AQ959" s="55" t="str">
        <f>IF(OR($AM959=0,$C959=""),"",SUMIFS($Q$6:$Q$1005,$C$6:$C$1005,$C959,$A$6:$A$1005,$A959))</f>
        <v/>
      </c>
      <c r="AR959" s="55" t="str">
        <f>IF(OR($AM959=0,$C959=""),"",IFERROR(N(INDEX(Accounts!$E$7:$E$16,MATCH($C959,Accounts!$B$7:$B$16,0))),0)+SUMIFS($Q$6:$Q$1005,$C$6:$C$1005,$C959,$A$6:$A$1005,"&lt;="&amp;$A959))</f>
        <v/>
      </c>
      <c r="AS959" s="56">
        <f>IF(OR($AM959=0,$Q959=""),0,IF(AND($A959&gt;=Lists!$W$6,$A959&lt;=Lists!$W$7,OR(Dashboard!$D$6="All accounts",$C959=Dashboard!$D$6),OR(Dashboard!$D$7="All markets",$AF959=Dashboard!$D$7)),1,0))</f>
        <v>0</v>
      </c>
      <c r="AT959" s="55">
        <f>IF($AS959=1,N(AT958)+$Q959,N(AT958))</f>
        <v>1187.10688</v>
      </c>
      <c r="AU959" s="55">
        <f>MAX(N(AU958),$AT959)</f>
        <v>1187.10688</v>
      </c>
      <c r="AV959" s="55">
        <f>$AT959-$AU959</f>
        <v>0</v>
      </c>
      <c r="AW959" s="56">
        <f>IF($AS959=1,IF($S959="Win",N(AW958)+1,IF($S959="Loss",0,N(AW958))),N(AW958))</f>
        <v>5</v>
      </c>
      <c r="AX959" s="56">
        <f>IF($AS959=1,IF($S959="Loss",N(AX958)+1,IF($S959="Win",0,N(AX958))),N(AX958))</f>
        <v>0</v>
      </c>
      <c r="AY959" s="56" t="str">
        <f>IF($AS959=1,COUNTIF($AS$6:$AS959,1),"")</f>
        <v/>
      </c>
      <c r="AZ959" s="56">
        <f>MIN(953,N(Lists!$W$8))</f>
        <v>28</v>
      </c>
      <c r="BA959" s="56">
        <f>IF($AS959=1,IF(COUNTIFS($A$6:$A959,$A959,$AS$6:$AS959,1)=1,1,0),0)</f>
        <v>0</v>
      </c>
      <c r="BB959" s="55" t="str">
        <f>IF($BA959=1,SUMIFS($Q$6:$Q$1005,$A$6:$A$1005,$A959,$AS$6:$AS$1005,1),"")</f>
        <v/>
      </c>
      <c r="BC959" s="56">
        <f>IF(ISNUMBER($R959),1,0)</f>
        <v>0</v>
      </c>
      <c r="BD959" s="55" t="str">
        <f>IF(ISNUMBER($U959),$U959*$V959,"")</f>
        <v/>
      </c>
      <c r="BE959" s="56" t="str">
        <f>IF($AM959=0,"",IFERROR(MATCH($AF959&amp;"|"&amp;UPPER(TRIM($E959)),Lists!$A$6:$A$205,0),0))</f>
        <v/>
      </c>
      <c r="BF959" s="56" t="str">
        <f>IF($AM959=0,"",IFERROR(MATCH($AF959,Settings!$B$14:$B$18,0),IFERROR(MATCH(Settings!$C$6,Settings!$B$14:$B$18,0),1)))</f>
        <v/>
      </c>
      <c r="BG959" s="58" t="str">
        <f>IF($AM959=0,"",IF(NOT(ISNUMBER($I959)),"No stop; ","")&amp;IF(AND(ISNUMBER($H959),ISNUMBER($I959)),IF(OR(AND($F959&lt;&gt;"Short",$I959&gt;=$H959),AND($F959="Short",$I959&lt;=$H959)),"Stop on wrong side; ",""),"")&amp;IF($F959="","No direction; ","")&amp;IF(AND(ISNUMBER(Settings!$C$22),ISNUMBER($V959)),IF($V959&gt;Settings!$C$22,"Risk over max $; ",""),"")&amp;IF(AND(ISNUMBER(Settings!$C$23),ISNUMBER($V959),ISNUMBER($AP959),IFERROR(N(INDEX(Accounts!$E$7:$E$16,MATCH($C959,Accounts!$B$7:$B$16,0))),0)&gt;0),IF($V959&gt;Settings!$C$23*($AP959-N($Q959)),"Risk over max %; ",""),"")&amp;IF(AND(ISNUMBER(Settings!$C$24),ISNUMBER($N959)),IF($N959&gt;Settings!$C$24,"Leverage over max; ",""),"")&amp;IF(AND(ISNUMBER(Settings!$C$27),ISNUMBER($T959)),IF($T959&lt;Settings!$C$27,"R:R below min; ",""),"")&amp;IF(ISNUMBER(Settings!$C$25),IF(COUNTIFS($A$6:$A959,$A959,$AM$6:$AM959,1)&gt;Settings!$C$25,"Over max trades/day; ",""),"")&amp;IF(ISNUMBER(Settings!$C$26),IF(SUMIFS($Q$5:$Q958,$A$5:$A958,$A959)&lt;=-Settings!$C$26,"Traded after daily max loss; ",""),"")&amp;IF(AND($AG959="",NOT(ISNUMBER($O959))),"Symbol not in Instruments; ","")&amp;IF(AND($AH959="",NOT(ISNUMBER($O959))),"Forex cross: type Gross P&amp;L; ",""))</f>
        <v/>
      </c>
      <c r="BH959" s="56">
        <f>IF(ISNUMBER($Q959),1,0)</f>
        <v>0</v>
      </c>
      <c r="BI959" s="56">
        <f>IF($Y959="",0,1)</f>
        <v>0</v>
      </c>
      <c r="BJ959" s="56">
        <f>IF($AB959="",0,1)</f>
        <v>0</v>
      </c>
      <c r="BK959" s="56">
        <f>IF(AND($BH959=1,$W959&lt;&gt;"OK"),1,0)</f>
        <v>0</v>
      </c>
      <c r="BL959" s="55">
        <f>IF(N($AZ959)=0,0,IFERROR(INDEX($AT$6:$AT$1005,MATCH($AZ959,$AY$6:$AY$1005,0)),0))</f>
        <v>1187.10688</v>
      </c>
      <c r="BM959" s="56">
        <f>IF(ISNUMBER(SEARCH("daily max loss",$BG959)),1,0)</f>
        <v>0</v>
      </c>
    </row>
    <row r="960" ht="18" customHeight="1">
      <c r="A960" s="38" t="n"/>
      <c r="B960" s="39" t="n"/>
      <c r="C960" s="40" t="n"/>
      <c r="D960" s="41" t="n"/>
      <c r="E960" s="41" t="n"/>
      <c r="F960" s="41" t="n"/>
      <c r="G960" s="41" t="n"/>
      <c r="H960" s="42" t="n"/>
      <c r="I960" s="42" t="n"/>
      <c r="J960" s="42" t="n"/>
      <c r="K960" s="42" t="n"/>
      <c r="L960" s="41" t="n"/>
      <c r="M960" s="41" t="n"/>
      <c r="N960" s="41" t="n"/>
      <c r="O960" s="43" t="n"/>
      <c r="P960" s="43" t="n"/>
      <c r="Q960" s="44" t="str">
        <f>IF($AM960=0,"",IF(ISNUMBER($AK960),$AK960-N($AL960),""))</f>
        <v/>
      </c>
      <c r="R960" s="45" t="str">
        <f>IF(OR($Q960="",NOT(ISNUMBER($V960))),"",$AK960/$V960)</f>
        <v/>
      </c>
      <c r="S960" s="46" t="str">
        <f>IF($Q960="","",IF(AND(ISNUMBER($R960),ABS(N($R960))&lt;N(Settings!$C$8)),"Scratch",IF($Q960&gt;0,"Win",IF($Q960&lt;0,"Loss","Scratch"))))</f>
        <v/>
      </c>
      <c r="T960" s="47" t="str">
        <f>IF(OR($AM960=0,NOT(ISNUMBER($H960)),NOT(ISNUMBER($I960)),NOT(ISNUMBER($J960))),"",IF($H960=$I960,"",ROUND(ABS($J960-$H960)/ABS($H960-$I960),6)))</f>
        <v/>
      </c>
      <c r="U960" s="48" t="str">
        <f>IF(OR($S960&lt;&gt;"Win",NOT(ISNUMBER($T960)),NOT(ISNUMBER($R960))),"",MAX(0,$T960-$R960))</f>
        <v/>
      </c>
      <c r="V960" s="49" t="str">
        <f>IF(OR($AM960=0,NOT(ISNUMBER($H960)),NOT(ISNUMBER($I960)),NOT(ISNUMBER($G960))),"",IF(OR($AG960="",$AH960=""),"",IF(ROUND(ABS($H960-$I960)*ABS($G960)*$AG960*$AH960,6)=0,"",ROUND(ABS($H960-$I960)*ABS($G960)*$AG960*$AH960,6))))</f>
        <v/>
      </c>
      <c r="W960" s="50" t="str">
        <f>IF($AM960=0,"",IF($BG960="","OK",LEFT($BG960,LEN($BG960)-2)))</f>
        <v/>
      </c>
      <c r="X960" s="41" t="n"/>
      <c r="Y960" s="40" t="n"/>
      <c r="Z960" s="41" t="n"/>
      <c r="AA960" s="41" t="n"/>
      <c r="AB960" s="40" t="n"/>
      <c r="AC960" s="51" t="n"/>
      <c r="AD960" s="51" t="n"/>
      <c r="AE960" s="40" t="n"/>
      <c r="AF960" s="52" t="str">
        <f>IF($AM960=0,"",IF($D960&lt;&gt;"",$D960,IF(IFERROR(INDEX(Accounts!$C$7:$C$16,MATCH($C960,Accounts!$B$7:$B$16,0))&amp;"","")&lt;&gt;"",INDEX(Accounts!$C$7:$C$16,MATCH($C960,Accounts!$B$7:$B$16,0)),Settings!$C$6)))</f>
        <v/>
      </c>
      <c r="AG960" s="53" t="str">
        <f>IF($AM960=0,"",IF(AND($BE960&gt;0,N(INDEX(Instruments!$D$6:$D$205,MAX(1,$BE960)))&gt;0),INDEX(Instruments!$D$6:$D$205,MAX(1,$BE960)),IF(N(INDEX(Settings!$D$14:$D$18,$BF960))&gt;0,INDEX(Settings!$D$14:$D$18,$BF960),"")))</f>
        <v/>
      </c>
      <c r="AH960" s="54" t="str">
        <f>IF($AM960=0,"",IF($AF960&lt;&gt;"Forex",1,IF(MID(UPPER(SUBSTITUTE(TRIM($E960),"/","")),4,3)=UPPER(TRIM(Settings!$C$7)),1,IF(LEFT(UPPER(SUBSTITUTE(TRIM($E960),"/","")),3)=UPPER(TRIM(Settings!$C$7)),IF(AND(ISNUMBER($K960),N($K960)&lt;&gt;0),1/$K960,""),""))))</f>
        <v/>
      </c>
      <c r="AI960" s="55" t="str">
        <f>IF($AM960=0,"",IF(OR(NOT(ISNUMBER($H960)),NOT(ISNUMBER($K960)),NOT(ISNUMBER($G960)),$AG960="",$AH960=""),"",ROUND(($K960-$H960)*IF($F960="Short",-1,1)*$G960*$AG960*$AH960,6)))</f>
        <v/>
      </c>
      <c r="AJ960" s="55" t="str">
        <f>IF($AM960=0,"",IF(INDEX(Settings!$E$14:$E$18,$BF960)="% of notional",IF(OR($AG960="",NOT(ISNUMBER($H960)),NOT(ISNUMBER($G960))),"",ROUND(ABS($H960*$G960*$AG960*N($AH960))*IF($L960="Limit",N(INDEX(Settings!$G$14:$G$18,$BF960)),N(INDEX(Settings!$H$14:$H$18,$BF960)))+IF(ISNUMBER($K960),ABS($K960*$G960*$AG960*N($AH960))*IF($M960="Target",N(INDEX(Settings!$G$14:$G$18,$BF960)),N(INDEX(Settings!$H$14:$H$18,$BF960))),0),6)),IF(NOT(ISNUMBER($G960)),"",ROUND(ABS($G960)*2*IF(AND($BE960&gt;0,ISNUMBER(INDEX(Instruments!$G$6:$G$205,MAX(1,$BE960)))),INDEX(Instruments!$G$6:$G$205,MAX(1,$BE960)),N(INDEX(Settings!$F$14:$F$18,$BF960))),6))))</f>
        <v/>
      </c>
      <c r="AK960" s="55" t="str">
        <f>IF($AM960=0,"",IF(ISNUMBER($O960),$O960,$AI960))</f>
        <v/>
      </c>
      <c r="AL960" s="55" t="str">
        <f>IF($AM960=0,"",IF(ISNUMBER($P960),$P960,N($AJ960)))</f>
        <v/>
      </c>
      <c r="AM960" s="56">
        <f>IF(AND($A960&lt;&gt;"",$E960&lt;&gt;"",OR(AND(ISNUMBER($G960),ISNUMBER($H960),ISNUMBER($K960)),ISNUMBER($O960))),1,0)</f>
        <v>0</v>
      </c>
      <c r="AN960" s="57" t="str">
        <f>IF($A960="","",$A960-WEEKDAY($A960,3))</f>
        <v/>
      </c>
      <c r="AO960" s="56" t="str">
        <f>IF($A960="","",WEEKDAY($A960,2))</f>
        <v/>
      </c>
      <c r="AP960" s="55" t="str">
        <f>IF(OR($AM960=0,$C960=""),"",IFERROR(N(INDEX(Accounts!$E$7:$E$16,MATCH($C960,Accounts!$B$7:$B$16,0))),0)+SUMIFS($Q$6:$Q960,$C$6:$C960,$C960))</f>
        <v/>
      </c>
      <c r="AQ960" s="55" t="str">
        <f>IF(OR($AM960=0,$C960=""),"",SUMIFS($Q$6:$Q$1005,$C$6:$C$1005,$C960,$A$6:$A$1005,$A960))</f>
        <v/>
      </c>
      <c r="AR960" s="55" t="str">
        <f>IF(OR($AM960=0,$C960=""),"",IFERROR(N(INDEX(Accounts!$E$7:$E$16,MATCH($C960,Accounts!$B$7:$B$16,0))),0)+SUMIFS($Q$6:$Q$1005,$C$6:$C$1005,$C960,$A$6:$A$1005,"&lt;="&amp;$A960))</f>
        <v/>
      </c>
      <c r="AS960" s="56">
        <f>IF(OR($AM960=0,$Q960=""),0,IF(AND($A960&gt;=Lists!$W$6,$A960&lt;=Lists!$W$7,OR(Dashboard!$D$6="All accounts",$C960=Dashboard!$D$6),OR(Dashboard!$D$7="All markets",$AF960=Dashboard!$D$7)),1,0))</f>
        <v>0</v>
      </c>
      <c r="AT960" s="55">
        <f>IF($AS960=1,N(AT959)+$Q960,N(AT959))</f>
        <v>1187.10688</v>
      </c>
      <c r="AU960" s="55">
        <f>MAX(N(AU959),$AT960)</f>
        <v>1187.10688</v>
      </c>
      <c r="AV960" s="55">
        <f>$AT960-$AU960</f>
        <v>0</v>
      </c>
      <c r="AW960" s="56">
        <f>IF($AS960=1,IF($S960="Win",N(AW959)+1,IF($S960="Loss",0,N(AW959))),N(AW959))</f>
        <v>5</v>
      </c>
      <c r="AX960" s="56">
        <f>IF($AS960=1,IF($S960="Loss",N(AX959)+1,IF($S960="Win",0,N(AX959))),N(AX959))</f>
        <v>0</v>
      </c>
      <c r="AY960" s="56" t="str">
        <f>IF($AS960=1,COUNTIF($AS$6:$AS960,1),"")</f>
        <v/>
      </c>
      <c r="AZ960" s="56">
        <f>MIN(954,N(Lists!$W$8))</f>
        <v>28</v>
      </c>
      <c r="BA960" s="56">
        <f>IF($AS960=1,IF(COUNTIFS($A$6:$A960,$A960,$AS$6:$AS960,1)=1,1,0),0)</f>
        <v>0</v>
      </c>
      <c r="BB960" s="55" t="str">
        <f>IF($BA960=1,SUMIFS($Q$6:$Q$1005,$A$6:$A$1005,$A960,$AS$6:$AS$1005,1),"")</f>
        <v/>
      </c>
      <c r="BC960" s="56">
        <f>IF(ISNUMBER($R960),1,0)</f>
        <v>0</v>
      </c>
      <c r="BD960" s="55" t="str">
        <f>IF(ISNUMBER($U960),$U960*$V960,"")</f>
        <v/>
      </c>
      <c r="BE960" s="56" t="str">
        <f>IF($AM960=0,"",IFERROR(MATCH($AF960&amp;"|"&amp;UPPER(TRIM($E960)),Lists!$A$6:$A$205,0),0))</f>
        <v/>
      </c>
      <c r="BF960" s="56" t="str">
        <f>IF($AM960=0,"",IFERROR(MATCH($AF960,Settings!$B$14:$B$18,0),IFERROR(MATCH(Settings!$C$6,Settings!$B$14:$B$18,0),1)))</f>
        <v/>
      </c>
      <c r="BG960" s="58" t="str">
        <f>IF($AM960=0,"",IF(NOT(ISNUMBER($I960)),"No stop; ","")&amp;IF(AND(ISNUMBER($H960),ISNUMBER($I960)),IF(OR(AND($F960&lt;&gt;"Short",$I960&gt;=$H960),AND($F960="Short",$I960&lt;=$H960)),"Stop on wrong side; ",""),"")&amp;IF($F960="","No direction; ","")&amp;IF(AND(ISNUMBER(Settings!$C$22),ISNUMBER($V960)),IF($V960&gt;Settings!$C$22,"Risk over max $; ",""),"")&amp;IF(AND(ISNUMBER(Settings!$C$23),ISNUMBER($V960),ISNUMBER($AP960),IFERROR(N(INDEX(Accounts!$E$7:$E$16,MATCH($C960,Accounts!$B$7:$B$16,0))),0)&gt;0),IF($V960&gt;Settings!$C$23*($AP960-N($Q960)),"Risk over max %; ",""),"")&amp;IF(AND(ISNUMBER(Settings!$C$24),ISNUMBER($N960)),IF($N960&gt;Settings!$C$24,"Leverage over max; ",""),"")&amp;IF(AND(ISNUMBER(Settings!$C$27),ISNUMBER($T960)),IF($T960&lt;Settings!$C$27,"R:R below min; ",""),"")&amp;IF(ISNUMBER(Settings!$C$25),IF(COUNTIFS($A$6:$A960,$A960,$AM$6:$AM960,1)&gt;Settings!$C$25,"Over max trades/day; ",""),"")&amp;IF(ISNUMBER(Settings!$C$26),IF(SUMIFS($Q$5:$Q959,$A$5:$A959,$A960)&lt;=-Settings!$C$26,"Traded after daily max loss; ",""),"")&amp;IF(AND($AG960="",NOT(ISNUMBER($O960))),"Symbol not in Instruments; ","")&amp;IF(AND($AH960="",NOT(ISNUMBER($O960))),"Forex cross: type Gross P&amp;L; ",""))</f>
        <v/>
      </c>
      <c r="BH960" s="56">
        <f>IF(ISNUMBER($Q960),1,0)</f>
        <v>0</v>
      </c>
      <c r="BI960" s="56">
        <f>IF($Y960="",0,1)</f>
        <v>0</v>
      </c>
      <c r="BJ960" s="56">
        <f>IF($AB960="",0,1)</f>
        <v>0</v>
      </c>
      <c r="BK960" s="56">
        <f>IF(AND($BH960=1,$W960&lt;&gt;"OK"),1,0)</f>
        <v>0</v>
      </c>
      <c r="BL960" s="55">
        <f>IF(N($AZ960)=0,0,IFERROR(INDEX($AT$6:$AT$1005,MATCH($AZ960,$AY$6:$AY$1005,0)),0))</f>
        <v>1187.10688</v>
      </c>
      <c r="BM960" s="56">
        <f>IF(ISNUMBER(SEARCH("daily max loss",$BG960)),1,0)</f>
        <v>0</v>
      </c>
    </row>
    <row r="961" ht="18" customHeight="1">
      <c r="A961" s="38" t="n"/>
      <c r="B961" s="39" t="n"/>
      <c r="C961" s="40" t="n"/>
      <c r="D961" s="41" t="n"/>
      <c r="E961" s="41" t="n"/>
      <c r="F961" s="41" t="n"/>
      <c r="G961" s="41" t="n"/>
      <c r="H961" s="42" t="n"/>
      <c r="I961" s="42" t="n"/>
      <c r="J961" s="42" t="n"/>
      <c r="K961" s="42" t="n"/>
      <c r="L961" s="41" t="n"/>
      <c r="M961" s="41" t="n"/>
      <c r="N961" s="41" t="n"/>
      <c r="O961" s="43" t="n"/>
      <c r="P961" s="43" t="n"/>
      <c r="Q961" s="44" t="str">
        <f>IF($AM961=0,"",IF(ISNUMBER($AK961),$AK961-N($AL961),""))</f>
        <v/>
      </c>
      <c r="R961" s="45" t="str">
        <f>IF(OR($Q961="",NOT(ISNUMBER($V961))),"",$AK961/$V961)</f>
        <v/>
      </c>
      <c r="S961" s="46" t="str">
        <f>IF($Q961="","",IF(AND(ISNUMBER($R961),ABS(N($R961))&lt;N(Settings!$C$8)),"Scratch",IF($Q961&gt;0,"Win",IF($Q961&lt;0,"Loss","Scratch"))))</f>
        <v/>
      </c>
      <c r="T961" s="47" t="str">
        <f>IF(OR($AM961=0,NOT(ISNUMBER($H961)),NOT(ISNUMBER($I961)),NOT(ISNUMBER($J961))),"",IF($H961=$I961,"",ROUND(ABS($J961-$H961)/ABS($H961-$I961),6)))</f>
        <v/>
      </c>
      <c r="U961" s="48" t="str">
        <f>IF(OR($S961&lt;&gt;"Win",NOT(ISNUMBER($T961)),NOT(ISNUMBER($R961))),"",MAX(0,$T961-$R961))</f>
        <v/>
      </c>
      <c r="V961" s="49" t="str">
        <f>IF(OR($AM961=0,NOT(ISNUMBER($H961)),NOT(ISNUMBER($I961)),NOT(ISNUMBER($G961))),"",IF(OR($AG961="",$AH961=""),"",IF(ROUND(ABS($H961-$I961)*ABS($G961)*$AG961*$AH961,6)=0,"",ROUND(ABS($H961-$I961)*ABS($G961)*$AG961*$AH961,6))))</f>
        <v/>
      </c>
      <c r="W961" s="50" t="str">
        <f>IF($AM961=0,"",IF($BG961="","OK",LEFT($BG961,LEN($BG961)-2)))</f>
        <v/>
      </c>
      <c r="X961" s="41" t="n"/>
      <c r="Y961" s="40" t="n"/>
      <c r="Z961" s="41" t="n"/>
      <c r="AA961" s="41" t="n"/>
      <c r="AB961" s="40" t="n"/>
      <c r="AC961" s="51" t="n"/>
      <c r="AD961" s="51" t="n"/>
      <c r="AE961" s="40" t="n"/>
      <c r="AF961" s="52" t="str">
        <f>IF($AM961=0,"",IF($D961&lt;&gt;"",$D961,IF(IFERROR(INDEX(Accounts!$C$7:$C$16,MATCH($C961,Accounts!$B$7:$B$16,0))&amp;"","")&lt;&gt;"",INDEX(Accounts!$C$7:$C$16,MATCH($C961,Accounts!$B$7:$B$16,0)),Settings!$C$6)))</f>
        <v/>
      </c>
      <c r="AG961" s="53" t="str">
        <f>IF($AM961=0,"",IF(AND($BE961&gt;0,N(INDEX(Instruments!$D$6:$D$205,MAX(1,$BE961)))&gt;0),INDEX(Instruments!$D$6:$D$205,MAX(1,$BE961)),IF(N(INDEX(Settings!$D$14:$D$18,$BF961))&gt;0,INDEX(Settings!$D$14:$D$18,$BF961),"")))</f>
        <v/>
      </c>
      <c r="AH961" s="54" t="str">
        <f>IF($AM961=0,"",IF($AF961&lt;&gt;"Forex",1,IF(MID(UPPER(SUBSTITUTE(TRIM($E961),"/","")),4,3)=UPPER(TRIM(Settings!$C$7)),1,IF(LEFT(UPPER(SUBSTITUTE(TRIM($E961),"/","")),3)=UPPER(TRIM(Settings!$C$7)),IF(AND(ISNUMBER($K961),N($K961)&lt;&gt;0),1/$K961,""),""))))</f>
        <v/>
      </c>
      <c r="AI961" s="55" t="str">
        <f>IF($AM961=0,"",IF(OR(NOT(ISNUMBER($H961)),NOT(ISNUMBER($K961)),NOT(ISNUMBER($G961)),$AG961="",$AH961=""),"",ROUND(($K961-$H961)*IF($F961="Short",-1,1)*$G961*$AG961*$AH961,6)))</f>
        <v/>
      </c>
      <c r="AJ961" s="55" t="str">
        <f>IF($AM961=0,"",IF(INDEX(Settings!$E$14:$E$18,$BF961)="% of notional",IF(OR($AG961="",NOT(ISNUMBER($H961)),NOT(ISNUMBER($G961))),"",ROUND(ABS($H961*$G961*$AG961*N($AH961))*IF($L961="Limit",N(INDEX(Settings!$G$14:$G$18,$BF961)),N(INDEX(Settings!$H$14:$H$18,$BF961)))+IF(ISNUMBER($K961),ABS($K961*$G961*$AG961*N($AH961))*IF($M961="Target",N(INDEX(Settings!$G$14:$G$18,$BF961)),N(INDEX(Settings!$H$14:$H$18,$BF961))),0),6)),IF(NOT(ISNUMBER($G961)),"",ROUND(ABS($G961)*2*IF(AND($BE961&gt;0,ISNUMBER(INDEX(Instruments!$G$6:$G$205,MAX(1,$BE961)))),INDEX(Instruments!$G$6:$G$205,MAX(1,$BE961)),N(INDEX(Settings!$F$14:$F$18,$BF961))),6))))</f>
        <v/>
      </c>
      <c r="AK961" s="55" t="str">
        <f>IF($AM961=0,"",IF(ISNUMBER($O961),$O961,$AI961))</f>
        <v/>
      </c>
      <c r="AL961" s="55" t="str">
        <f>IF($AM961=0,"",IF(ISNUMBER($P961),$P961,N($AJ961)))</f>
        <v/>
      </c>
      <c r="AM961" s="56">
        <f>IF(AND($A961&lt;&gt;"",$E961&lt;&gt;"",OR(AND(ISNUMBER($G961),ISNUMBER($H961),ISNUMBER($K961)),ISNUMBER($O961))),1,0)</f>
        <v>0</v>
      </c>
      <c r="AN961" s="57" t="str">
        <f>IF($A961="","",$A961-WEEKDAY($A961,3))</f>
        <v/>
      </c>
      <c r="AO961" s="56" t="str">
        <f>IF($A961="","",WEEKDAY($A961,2))</f>
        <v/>
      </c>
      <c r="AP961" s="55" t="str">
        <f>IF(OR($AM961=0,$C961=""),"",IFERROR(N(INDEX(Accounts!$E$7:$E$16,MATCH($C961,Accounts!$B$7:$B$16,0))),0)+SUMIFS($Q$6:$Q961,$C$6:$C961,$C961))</f>
        <v/>
      </c>
      <c r="AQ961" s="55" t="str">
        <f>IF(OR($AM961=0,$C961=""),"",SUMIFS($Q$6:$Q$1005,$C$6:$C$1005,$C961,$A$6:$A$1005,$A961))</f>
        <v/>
      </c>
      <c r="AR961" s="55" t="str">
        <f>IF(OR($AM961=0,$C961=""),"",IFERROR(N(INDEX(Accounts!$E$7:$E$16,MATCH($C961,Accounts!$B$7:$B$16,0))),0)+SUMIFS($Q$6:$Q$1005,$C$6:$C$1005,$C961,$A$6:$A$1005,"&lt;="&amp;$A961))</f>
        <v/>
      </c>
      <c r="AS961" s="56">
        <f>IF(OR($AM961=0,$Q961=""),0,IF(AND($A961&gt;=Lists!$W$6,$A961&lt;=Lists!$W$7,OR(Dashboard!$D$6="All accounts",$C961=Dashboard!$D$6),OR(Dashboard!$D$7="All markets",$AF961=Dashboard!$D$7)),1,0))</f>
        <v>0</v>
      </c>
      <c r="AT961" s="55">
        <f>IF($AS961=1,N(AT960)+$Q961,N(AT960))</f>
        <v>1187.10688</v>
      </c>
      <c r="AU961" s="55">
        <f>MAX(N(AU960),$AT961)</f>
        <v>1187.10688</v>
      </c>
      <c r="AV961" s="55">
        <f>$AT961-$AU961</f>
        <v>0</v>
      </c>
      <c r="AW961" s="56">
        <f>IF($AS961=1,IF($S961="Win",N(AW960)+1,IF($S961="Loss",0,N(AW960))),N(AW960))</f>
        <v>5</v>
      </c>
      <c r="AX961" s="56">
        <f>IF($AS961=1,IF($S961="Loss",N(AX960)+1,IF($S961="Win",0,N(AX960))),N(AX960))</f>
        <v>0</v>
      </c>
      <c r="AY961" s="56" t="str">
        <f>IF($AS961=1,COUNTIF($AS$6:$AS961,1),"")</f>
        <v/>
      </c>
      <c r="AZ961" s="56">
        <f>MIN(955,N(Lists!$W$8))</f>
        <v>28</v>
      </c>
      <c r="BA961" s="56">
        <f>IF($AS961=1,IF(COUNTIFS($A$6:$A961,$A961,$AS$6:$AS961,1)=1,1,0),0)</f>
        <v>0</v>
      </c>
      <c r="BB961" s="55" t="str">
        <f>IF($BA961=1,SUMIFS($Q$6:$Q$1005,$A$6:$A$1005,$A961,$AS$6:$AS$1005,1),"")</f>
        <v/>
      </c>
      <c r="BC961" s="56">
        <f>IF(ISNUMBER($R961),1,0)</f>
        <v>0</v>
      </c>
      <c r="BD961" s="55" t="str">
        <f>IF(ISNUMBER($U961),$U961*$V961,"")</f>
        <v/>
      </c>
      <c r="BE961" s="56" t="str">
        <f>IF($AM961=0,"",IFERROR(MATCH($AF961&amp;"|"&amp;UPPER(TRIM($E961)),Lists!$A$6:$A$205,0),0))</f>
        <v/>
      </c>
      <c r="BF961" s="56" t="str">
        <f>IF($AM961=0,"",IFERROR(MATCH($AF961,Settings!$B$14:$B$18,0),IFERROR(MATCH(Settings!$C$6,Settings!$B$14:$B$18,0),1)))</f>
        <v/>
      </c>
      <c r="BG961" s="58" t="str">
        <f>IF($AM961=0,"",IF(NOT(ISNUMBER($I961)),"No stop; ","")&amp;IF(AND(ISNUMBER($H961),ISNUMBER($I961)),IF(OR(AND($F961&lt;&gt;"Short",$I961&gt;=$H961),AND($F961="Short",$I961&lt;=$H961)),"Stop on wrong side; ",""),"")&amp;IF($F961="","No direction; ","")&amp;IF(AND(ISNUMBER(Settings!$C$22),ISNUMBER($V961)),IF($V961&gt;Settings!$C$22,"Risk over max $; ",""),"")&amp;IF(AND(ISNUMBER(Settings!$C$23),ISNUMBER($V961),ISNUMBER($AP961),IFERROR(N(INDEX(Accounts!$E$7:$E$16,MATCH($C961,Accounts!$B$7:$B$16,0))),0)&gt;0),IF($V961&gt;Settings!$C$23*($AP961-N($Q961)),"Risk over max %; ",""),"")&amp;IF(AND(ISNUMBER(Settings!$C$24),ISNUMBER($N961)),IF($N961&gt;Settings!$C$24,"Leverage over max; ",""),"")&amp;IF(AND(ISNUMBER(Settings!$C$27),ISNUMBER($T961)),IF($T961&lt;Settings!$C$27,"R:R below min; ",""),"")&amp;IF(ISNUMBER(Settings!$C$25),IF(COUNTIFS($A$6:$A961,$A961,$AM$6:$AM961,1)&gt;Settings!$C$25,"Over max trades/day; ",""),"")&amp;IF(ISNUMBER(Settings!$C$26),IF(SUMIFS($Q$5:$Q960,$A$5:$A960,$A961)&lt;=-Settings!$C$26,"Traded after daily max loss; ",""),"")&amp;IF(AND($AG961="",NOT(ISNUMBER($O961))),"Symbol not in Instruments; ","")&amp;IF(AND($AH961="",NOT(ISNUMBER($O961))),"Forex cross: type Gross P&amp;L; ",""))</f>
        <v/>
      </c>
      <c r="BH961" s="56">
        <f>IF(ISNUMBER($Q961),1,0)</f>
        <v>0</v>
      </c>
      <c r="BI961" s="56">
        <f>IF($Y961="",0,1)</f>
        <v>0</v>
      </c>
      <c r="BJ961" s="56">
        <f>IF($AB961="",0,1)</f>
        <v>0</v>
      </c>
      <c r="BK961" s="56">
        <f>IF(AND($BH961=1,$W961&lt;&gt;"OK"),1,0)</f>
        <v>0</v>
      </c>
      <c r="BL961" s="55">
        <f>IF(N($AZ961)=0,0,IFERROR(INDEX($AT$6:$AT$1005,MATCH($AZ961,$AY$6:$AY$1005,0)),0))</f>
        <v>1187.10688</v>
      </c>
      <c r="BM961" s="56">
        <f>IF(ISNUMBER(SEARCH("daily max loss",$BG961)),1,0)</f>
        <v>0</v>
      </c>
    </row>
    <row r="962" ht="18" customHeight="1">
      <c r="A962" s="38" t="n"/>
      <c r="B962" s="39" t="n"/>
      <c r="C962" s="40" t="n"/>
      <c r="D962" s="41" t="n"/>
      <c r="E962" s="41" t="n"/>
      <c r="F962" s="41" t="n"/>
      <c r="G962" s="41" t="n"/>
      <c r="H962" s="42" t="n"/>
      <c r="I962" s="42" t="n"/>
      <c r="J962" s="42" t="n"/>
      <c r="K962" s="42" t="n"/>
      <c r="L962" s="41" t="n"/>
      <c r="M962" s="41" t="n"/>
      <c r="N962" s="41" t="n"/>
      <c r="O962" s="43" t="n"/>
      <c r="P962" s="43" t="n"/>
      <c r="Q962" s="44" t="str">
        <f>IF($AM962=0,"",IF(ISNUMBER($AK962),$AK962-N($AL962),""))</f>
        <v/>
      </c>
      <c r="R962" s="45" t="str">
        <f>IF(OR($Q962="",NOT(ISNUMBER($V962))),"",$AK962/$V962)</f>
        <v/>
      </c>
      <c r="S962" s="46" t="str">
        <f>IF($Q962="","",IF(AND(ISNUMBER($R962),ABS(N($R962))&lt;N(Settings!$C$8)),"Scratch",IF($Q962&gt;0,"Win",IF($Q962&lt;0,"Loss","Scratch"))))</f>
        <v/>
      </c>
      <c r="T962" s="47" t="str">
        <f>IF(OR($AM962=0,NOT(ISNUMBER($H962)),NOT(ISNUMBER($I962)),NOT(ISNUMBER($J962))),"",IF($H962=$I962,"",ROUND(ABS($J962-$H962)/ABS($H962-$I962),6)))</f>
        <v/>
      </c>
      <c r="U962" s="48" t="str">
        <f>IF(OR($S962&lt;&gt;"Win",NOT(ISNUMBER($T962)),NOT(ISNUMBER($R962))),"",MAX(0,$T962-$R962))</f>
        <v/>
      </c>
      <c r="V962" s="49" t="str">
        <f>IF(OR($AM962=0,NOT(ISNUMBER($H962)),NOT(ISNUMBER($I962)),NOT(ISNUMBER($G962))),"",IF(OR($AG962="",$AH962=""),"",IF(ROUND(ABS($H962-$I962)*ABS($G962)*$AG962*$AH962,6)=0,"",ROUND(ABS($H962-$I962)*ABS($G962)*$AG962*$AH962,6))))</f>
        <v/>
      </c>
      <c r="W962" s="50" t="str">
        <f>IF($AM962=0,"",IF($BG962="","OK",LEFT($BG962,LEN($BG962)-2)))</f>
        <v/>
      </c>
      <c r="X962" s="41" t="n"/>
      <c r="Y962" s="40" t="n"/>
      <c r="Z962" s="41" t="n"/>
      <c r="AA962" s="41" t="n"/>
      <c r="AB962" s="40" t="n"/>
      <c r="AC962" s="51" t="n"/>
      <c r="AD962" s="51" t="n"/>
      <c r="AE962" s="40" t="n"/>
      <c r="AF962" s="52" t="str">
        <f>IF($AM962=0,"",IF($D962&lt;&gt;"",$D962,IF(IFERROR(INDEX(Accounts!$C$7:$C$16,MATCH($C962,Accounts!$B$7:$B$16,0))&amp;"","")&lt;&gt;"",INDEX(Accounts!$C$7:$C$16,MATCH($C962,Accounts!$B$7:$B$16,0)),Settings!$C$6)))</f>
        <v/>
      </c>
      <c r="AG962" s="53" t="str">
        <f>IF($AM962=0,"",IF(AND($BE962&gt;0,N(INDEX(Instruments!$D$6:$D$205,MAX(1,$BE962)))&gt;0),INDEX(Instruments!$D$6:$D$205,MAX(1,$BE962)),IF(N(INDEX(Settings!$D$14:$D$18,$BF962))&gt;0,INDEX(Settings!$D$14:$D$18,$BF962),"")))</f>
        <v/>
      </c>
      <c r="AH962" s="54" t="str">
        <f>IF($AM962=0,"",IF($AF962&lt;&gt;"Forex",1,IF(MID(UPPER(SUBSTITUTE(TRIM($E962),"/","")),4,3)=UPPER(TRIM(Settings!$C$7)),1,IF(LEFT(UPPER(SUBSTITUTE(TRIM($E962),"/","")),3)=UPPER(TRIM(Settings!$C$7)),IF(AND(ISNUMBER($K962),N($K962)&lt;&gt;0),1/$K962,""),""))))</f>
        <v/>
      </c>
      <c r="AI962" s="55" t="str">
        <f>IF($AM962=0,"",IF(OR(NOT(ISNUMBER($H962)),NOT(ISNUMBER($K962)),NOT(ISNUMBER($G962)),$AG962="",$AH962=""),"",ROUND(($K962-$H962)*IF($F962="Short",-1,1)*$G962*$AG962*$AH962,6)))</f>
        <v/>
      </c>
      <c r="AJ962" s="55" t="str">
        <f>IF($AM962=0,"",IF(INDEX(Settings!$E$14:$E$18,$BF962)="% of notional",IF(OR($AG962="",NOT(ISNUMBER($H962)),NOT(ISNUMBER($G962))),"",ROUND(ABS($H962*$G962*$AG962*N($AH962))*IF($L962="Limit",N(INDEX(Settings!$G$14:$G$18,$BF962)),N(INDEX(Settings!$H$14:$H$18,$BF962)))+IF(ISNUMBER($K962),ABS($K962*$G962*$AG962*N($AH962))*IF($M962="Target",N(INDEX(Settings!$G$14:$G$18,$BF962)),N(INDEX(Settings!$H$14:$H$18,$BF962))),0),6)),IF(NOT(ISNUMBER($G962)),"",ROUND(ABS($G962)*2*IF(AND($BE962&gt;0,ISNUMBER(INDEX(Instruments!$G$6:$G$205,MAX(1,$BE962)))),INDEX(Instruments!$G$6:$G$205,MAX(1,$BE962)),N(INDEX(Settings!$F$14:$F$18,$BF962))),6))))</f>
        <v/>
      </c>
      <c r="AK962" s="55" t="str">
        <f>IF($AM962=0,"",IF(ISNUMBER($O962),$O962,$AI962))</f>
        <v/>
      </c>
      <c r="AL962" s="55" t="str">
        <f>IF($AM962=0,"",IF(ISNUMBER($P962),$P962,N($AJ962)))</f>
        <v/>
      </c>
      <c r="AM962" s="56">
        <f>IF(AND($A962&lt;&gt;"",$E962&lt;&gt;"",OR(AND(ISNUMBER($G962),ISNUMBER($H962),ISNUMBER($K962)),ISNUMBER($O962))),1,0)</f>
        <v>0</v>
      </c>
      <c r="AN962" s="57" t="str">
        <f>IF($A962="","",$A962-WEEKDAY($A962,3))</f>
        <v/>
      </c>
      <c r="AO962" s="56" t="str">
        <f>IF($A962="","",WEEKDAY($A962,2))</f>
        <v/>
      </c>
      <c r="AP962" s="55" t="str">
        <f>IF(OR($AM962=0,$C962=""),"",IFERROR(N(INDEX(Accounts!$E$7:$E$16,MATCH($C962,Accounts!$B$7:$B$16,0))),0)+SUMIFS($Q$6:$Q962,$C$6:$C962,$C962))</f>
        <v/>
      </c>
      <c r="AQ962" s="55" t="str">
        <f>IF(OR($AM962=0,$C962=""),"",SUMIFS($Q$6:$Q$1005,$C$6:$C$1005,$C962,$A$6:$A$1005,$A962))</f>
        <v/>
      </c>
      <c r="AR962" s="55" t="str">
        <f>IF(OR($AM962=0,$C962=""),"",IFERROR(N(INDEX(Accounts!$E$7:$E$16,MATCH($C962,Accounts!$B$7:$B$16,0))),0)+SUMIFS($Q$6:$Q$1005,$C$6:$C$1005,$C962,$A$6:$A$1005,"&lt;="&amp;$A962))</f>
        <v/>
      </c>
      <c r="AS962" s="56">
        <f>IF(OR($AM962=0,$Q962=""),0,IF(AND($A962&gt;=Lists!$W$6,$A962&lt;=Lists!$W$7,OR(Dashboard!$D$6="All accounts",$C962=Dashboard!$D$6),OR(Dashboard!$D$7="All markets",$AF962=Dashboard!$D$7)),1,0))</f>
        <v>0</v>
      </c>
      <c r="AT962" s="55">
        <f>IF($AS962=1,N(AT961)+$Q962,N(AT961))</f>
        <v>1187.10688</v>
      </c>
      <c r="AU962" s="55">
        <f>MAX(N(AU961),$AT962)</f>
        <v>1187.10688</v>
      </c>
      <c r="AV962" s="55">
        <f>$AT962-$AU962</f>
        <v>0</v>
      </c>
      <c r="AW962" s="56">
        <f>IF($AS962=1,IF($S962="Win",N(AW961)+1,IF($S962="Loss",0,N(AW961))),N(AW961))</f>
        <v>5</v>
      </c>
      <c r="AX962" s="56">
        <f>IF($AS962=1,IF($S962="Loss",N(AX961)+1,IF($S962="Win",0,N(AX961))),N(AX961))</f>
        <v>0</v>
      </c>
      <c r="AY962" s="56" t="str">
        <f>IF($AS962=1,COUNTIF($AS$6:$AS962,1),"")</f>
        <v/>
      </c>
      <c r="AZ962" s="56">
        <f>MIN(956,N(Lists!$W$8))</f>
        <v>28</v>
      </c>
      <c r="BA962" s="56">
        <f>IF($AS962=1,IF(COUNTIFS($A$6:$A962,$A962,$AS$6:$AS962,1)=1,1,0),0)</f>
        <v>0</v>
      </c>
      <c r="BB962" s="55" t="str">
        <f>IF($BA962=1,SUMIFS($Q$6:$Q$1005,$A$6:$A$1005,$A962,$AS$6:$AS$1005,1),"")</f>
        <v/>
      </c>
      <c r="BC962" s="56">
        <f>IF(ISNUMBER($R962),1,0)</f>
        <v>0</v>
      </c>
      <c r="BD962" s="55" t="str">
        <f>IF(ISNUMBER($U962),$U962*$V962,"")</f>
        <v/>
      </c>
      <c r="BE962" s="56" t="str">
        <f>IF($AM962=0,"",IFERROR(MATCH($AF962&amp;"|"&amp;UPPER(TRIM($E962)),Lists!$A$6:$A$205,0),0))</f>
        <v/>
      </c>
      <c r="BF962" s="56" t="str">
        <f>IF($AM962=0,"",IFERROR(MATCH($AF962,Settings!$B$14:$B$18,0),IFERROR(MATCH(Settings!$C$6,Settings!$B$14:$B$18,0),1)))</f>
        <v/>
      </c>
      <c r="BG962" s="58" t="str">
        <f>IF($AM962=0,"",IF(NOT(ISNUMBER($I962)),"No stop; ","")&amp;IF(AND(ISNUMBER($H962),ISNUMBER($I962)),IF(OR(AND($F962&lt;&gt;"Short",$I962&gt;=$H962),AND($F962="Short",$I962&lt;=$H962)),"Stop on wrong side; ",""),"")&amp;IF($F962="","No direction; ","")&amp;IF(AND(ISNUMBER(Settings!$C$22),ISNUMBER($V962)),IF($V962&gt;Settings!$C$22,"Risk over max $; ",""),"")&amp;IF(AND(ISNUMBER(Settings!$C$23),ISNUMBER($V962),ISNUMBER($AP962),IFERROR(N(INDEX(Accounts!$E$7:$E$16,MATCH($C962,Accounts!$B$7:$B$16,0))),0)&gt;0),IF($V962&gt;Settings!$C$23*($AP962-N($Q962)),"Risk over max %; ",""),"")&amp;IF(AND(ISNUMBER(Settings!$C$24),ISNUMBER($N962)),IF($N962&gt;Settings!$C$24,"Leverage over max; ",""),"")&amp;IF(AND(ISNUMBER(Settings!$C$27),ISNUMBER($T962)),IF($T962&lt;Settings!$C$27,"R:R below min; ",""),"")&amp;IF(ISNUMBER(Settings!$C$25),IF(COUNTIFS($A$6:$A962,$A962,$AM$6:$AM962,1)&gt;Settings!$C$25,"Over max trades/day; ",""),"")&amp;IF(ISNUMBER(Settings!$C$26),IF(SUMIFS($Q$5:$Q961,$A$5:$A961,$A962)&lt;=-Settings!$C$26,"Traded after daily max loss; ",""),"")&amp;IF(AND($AG962="",NOT(ISNUMBER($O962))),"Symbol not in Instruments; ","")&amp;IF(AND($AH962="",NOT(ISNUMBER($O962))),"Forex cross: type Gross P&amp;L; ",""))</f>
        <v/>
      </c>
      <c r="BH962" s="56">
        <f>IF(ISNUMBER($Q962),1,0)</f>
        <v>0</v>
      </c>
      <c r="BI962" s="56">
        <f>IF($Y962="",0,1)</f>
        <v>0</v>
      </c>
      <c r="BJ962" s="56">
        <f>IF($AB962="",0,1)</f>
        <v>0</v>
      </c>
      <c r="BK962" s="56">
        <f>IF(AND($BH962=1,$W962&lt;&gt;"OK"),1,0)</f>
        <v>0</v>
      </c>
      <c r="BL962" s="55">
        <f>IF(N($AZ962)=0,0,IFERROR(INDEX($AT$6:$AT$1005,MATCH($AZ962,$AY$6:$AY$1005,0)),0))</f>
        <v>1187.10688</v>
      </c>
      <c r="BM962" s="56">
        <f>IF(ISNUMBER(SEARCH("daily max loss",$BG962)),1,0)</f>
        <v>0</v>
      </c>
    </row>
    <row r="963" ht="18" customHeight="1">
      <c r="A963" s="38" t="n"/>
      <c r="B963" s="39" t="n"/>
      <c r="C963" s="40" t="n"/>
      <c r="D963" s="41" t="n"/>
      <c r="E963" s="41" t="n"/>
      <c r="F963" s="41" t="n"/>
      <c r="G963" s="41" t="n"/>
      <c r="H963" s="42" t="n"/>
      <c r="I963" s="42" t="n"/>
      <c r="J963" s="42" t="n"/>
      <c r="K963" s="42" t="n"/>
      <c r="L963" s="41" t="n"/>
      <c r="M963" s="41" t="n"/>
      <c r="N963" s="41" t="n"/>
      <c r="O963" s="43" t="n"/>
      <c r="P963" s="43" t="n"/>
      <c r="Q963" s="44" t="str">
        <f>IF($AM963=0,"",IF(ISNUMBER($AK963),$AK963-N($AL963),""))</f>
        <v/>
      </c>
      <c r="R963" s="45" t="str">
        <f>IF(OR($Q963="",NOT(ISNUMBER($V963))),"",$AK963/$V963)</f>
        <v/>
      </c>
      <c r="S963" s="46" t="str">
        <f>IF($Q963="","",IF(AND(ISNUMBER($R963),ABS(N($R963))&lt;N(Settings!$C$8)),"Scratch",IF($Q963&gt;0,"Win",IF($Q963&lt;0,"Loss","Scratch"))))</f>
        <v/>
      </c>
      <c r="T963" s="47" t="str">
        <f>IF(OR($AM963=0,NOT(ISNUMBER($H963)),NOT(ISNUMBER($I963)),NOT(ISNUMBER($J963))),"",IF($H963=$I963,"",ROUND(ABS($J963-$H963)/ABS($H963-$I963),6)))</f>
        <v/>
      </c>
      <c r="U963" s="48" t="str">
        <f>IF(OR($S963&lt;&gt;"Win",NOT(ISNUMBER($T963)),NOT(ISNUMBER($R963))),"",MAX(0,$T963-$R963))</f>
        <v/>
      </c>
      <c r="V963" s="49" t="str">
        <f>IF(OR($AM963=0,NOT(ISNUMBER($H963)),NOT(ISNUMBER($I963)),NOT(ISNUMBER($G963))),"",IF(OR($AG963="",$AH963=""),"",IF(ROUND(ABS($H963-$I963)*ABS($G963)*$AG963*$AH963,6)=0,"",ROUND(ABS($H963-$I963)*ABS($G963)*$AG963*$AH963,6))))</f>
        <v/>
      </c>
      <c r="W963" s="50" t="str">
        <f>IF($AM963=0,"",IF($BG963="","OK",LEFT($BG963,LEN($BG963)-2)))</f>
        <v/>
      </c>
      <c r="X963" s="41" t="n"/>
      <c r="Y963" s="40" t="n"/>
      <c r="Z963" s="41" t="n"/>
      <c r="AA963" s="41" t="n"/>
      <c r="AB963" s="40" t="n"/>
      <c r="AC963" s="51" t="n"/>
      <c r="AD963" s="51" t="n"/>
      <c r="AE963" s="40" t="n"/>
      <c r="AF963" s="52" t="str">
        <f>IF($AM963=0,"",IF($D963&lt;&gt;"",$D963,IF(IFERROR(INDEX(Accounts!$C$7:$C$16,MATCH($C963,Accounts!$B$7:$B$16,0))&amp;"","")&lt;&gt;"",INDEX(Accounts!$C$7:$C$16,MATCH($C963,Accounts!$B$7:$B$16,0)),Settings!$C$6)))</f>
        <v/>
      </c>
      <c r="AG963" s="53" t="str">
        <f>IF($AM963=0,"",IF(AND($BE963&gt;0,N(INDEX(Instruments!$D$6:$D$205,MAX(1,$BE963)))&gt;0),INDEX(Instruments!$D$6:$D$205,MAX(1,$BE963)),IF(N(INDEX(Settings!$D$14:$D$18,$BF963))&gt;0,INDEX(Settings!$D$14:$D$18,$BF963),"")))</f>
        <v/>
      </c>
      <c r="AH963" s="54" t="str">
        <f>IF($AM963=0,"",IF($AF963&lt;&gt;"Forex",1,IF(MID(UPPER(SUBSTITUTE(TRIM($E963),"/","")),4,3)=UPPER(TRIM(Settings!$C$7)),1,IF(LEFT(UPPER(SUBSTITUTE(TRIM($E963),"/","")),3)=UPPER(TRIM(Settings!$C$7)),IF(AND(ISNUMBER($K963),N($K963)&lt;&gt;0),1/$K963,""),""))))</f>
        <v/>
      </c>
      <c r="AI963" s="55" t="str">
        <f>IF($AM963=0,"",IF(OR(NOT(ISNUMBER($H963)),NOT(ISNUMBER($K963)),NOT(ISNUMBER($G963)),$AG963="",$AH963=""),"",ROUND(($K963-$H963)*IF($F963="Short",-1,1)*$G963*$AG963*$AH963,6)))</f>
        <v/>
      </c>
      <c r="AJ963" s="55" t="str">
        <f>IF($AM963=0,"",IF(INDEX(Settings!$E$14:$E$18,$BF963)="% of notional",IF(OR($AG963="",NOT(ISNUMBER($H963)),NOT(ISNUMBER($G963))),"",ROUND(ABS($H963*$G963*$AG963*N($AH963))*IF($L963="Limit",N(INDEX(Settings!$G$14:$G$18,$BF963)),N(INDEX(Settings!$H$14:$H$18,$BF963)))+IF(ISNUMBER($K963),ABS($K963*$G963*$AG963*N($AH963))*IF($M963="Target",N(INDEX(Settings!$G$14:$G$18,$BF963)),N(INDEX(Settings!$H$14:$H$18,$BF963))),0),6)),IF(NOT(ISNUMBER($G963)),"",ROUND(ABS($G963)*2*IF(AND($BE963&gt;0,ISNUMBER(INDEX(Instruments!$G$6:$G$205,MAX(1,$BE963)))),INDEX(Instruments!$G$6:$G$205,MAX(1,$BE963)),N(INDEX(Settings!$F$14:$F$18,$BF963))),6))))</f>
        <v/>
      </c>
      <c r="AK963" s="55" t="str">
        <f>IF($AM963=0,"",IF(ISNUMBER($O963),$O963,$AI963))</f>
        <v/>
      </c>
      <c r="AL963" s="55" t="str">
        <f>IF($AM963=0,"",IF(ISNUMBER($P963),$P963,N($AJ963)))</f>
        <v/>
      </c>
      <c r="AM963" s="56">
        <f>IF(AND($A963&lt;&gt;"",$E963&lt;&gt;"",OR(AND(ISNUMBER($G963),ISNUMBER($H963),ISNUMBER($K963)),ISNUMBER($O963))),1,0)</f>
        <v>0</v>
      </c>
      <c r="AN963" s="57" t="str">
        <f>IF($A963="","",$A963-WEEKDAY($A963,3))</f>
        <v/>
      </c>
      <c r="AO963" s="56" t="str">
        <f>IF($A963="","",WEEKDAY($A963,2))</f>
        <v/>
      </c>
      <c r="AP963" s="55" t="str">
        <f>IF(OR($AM963=0,$C963=""),"",IFERROR(N(INDEX(Accounts!$E$7:$E$16,MATCH($C963,Accounts!$B$7:$B$16,0))),0)+SUMIFS($Q$6:$Q963,$C$6:$C963,$C963))</f>
        <v/>
      </c>
      <c r="AQ963" s="55" t="str">
        <f>IF(OR($AM963=0,$C963=""),"",SUMIFS($Q$6:$Q$1005,$C$6:$C$1005,$C963,$A$6:$A$1005,$A963))</f>
        <v/>
      </c>
      <c r="AR963" s="55" t="str">
        <f>IF(OR($AM963=0,$C963=""),"",IFERROR(N(INDEX(Accounts!$E$7:$E$16,MATCH($C963,Accounts!$B$7:$B$16,0))),0)+SUMIFS($Q$6:$Q$1005,$C$6:$C$1005,$C963,$A$6:$A$1005,"&lt;="&amp;$A963))</f>
        <v/>
      </c>
      <c r="AS963" s="56">
        <f>IF(OR($AM963=0,$Q963=""),0,IF(AND($A963&gt;=Lists!$W$6,$A963&lt;=Lists!$W$7,OR(Dashboard!$D$6="All accounts",$C963=Dashboard!$D$6),OR(Dashboard!$D$7="All markets",$AF963=Dashboard!$D$7)),1,0))</f>
        <v>0</v>
      </c>
      <c r="AT963" s="55">
        <f>IF($AS963=1,N(AT962)+$Q963,N(AT962))</f>
        <v>1187.10688</v>
      </c>
      <c r="AU963" s="55">
        <f>MAX(N(AU962),$AT963)</f>
        <v>1187.10688</v>
      </c>
      <c r="AV963" s="55">
        <f>$AT963-$AU963</f>
        <v>0</v>
      </c>
      <c r="AW963" s="56">
        <f>IF($AS963=1,IF($S963="Win",N(AW962)+1,IF($S963="Loss",0,N(AW962))),N(AW962))</f>
        <v>5</v>
      </c>
      <c r="AX963" s="56">
        <f>IF($AS963=1,IF($S963="Loss",N(AX962)+1,IF($S963="Win",0,N(AX962))),N(AX962))</f>
        <v>0</v>
      </c>
      <c r="AY963" s="56" t="str">
        <f>IF($AS963=1,COUNTIF($AS$6:$AS963,1),"")</f>
        <v/>
      </c>
      <c r="AZ963" s="56">
        <f>MIN(957,N(Lists!$W$8))</f>
        <v>28</v>
      </c>
      <c r="BA963" s="56">
        <f>IF($AS963=1,IF(COUNTIFS($A$6:$A963,$A963,$AS$6:$AS963,1)=1,1,0),0)</f>
        <v>0</v>
      </c>
      <c r="BB963" s="55" t="str">
        <f>IF($BA963=1,SUMIFS($Q$6:$Q$1005,$A$6:$A$1005,$A963,$AS$6:$AS$1005,1),"")</f>
        <v/>
      </c>
      <c r="BC963" s="56">
        <f>IF(ISNUMBER($R963),1,0)</f>
        <v>0</v>
      </c>
      <c r="BD963" s="55" t="str">
        <f>IF(ISNUMBER($U963),$U963*$V963,"")</f>
        <v/>
      </c>
      <c r="BE963" s="56" t="str">
        <f>IF($AM963=0,"",IFERROR(MATCH($AF963&amp;"|"&amp;UPPER(TRIM($E963)),Lists!$A$6:$A$205,0),0))</f>
        <v/>
      </c>
      <c r="BF963" s="56" t="str">
        <f>IF($AM963=0,"",IFERROR(MATCH($AF963,Settings!$B$14:$B$18,0),IFERROR(MATCH(Settings!$C$6,Settings!$B$14:$B$18,0),1)))</f>
        <v/>
      </c>
      <c r="BG963" s="58" t="str">
        <f>IF($AM963=0,"",IF(NOT(ISNUMBER($I963)),"No stop; ","")&amp;IF(AND(ISNUMBER($H963),ISNUMBER($I963)),IF(OR(AND($F963&lt;&gt;"Short",$I963&gt;=$H963),AND($F963="Short",$I963&lt;=$H963)),"Stop on wrong side; ",""),"")&amp;IF($F963="","No direction; ","")&amp;IF(AND(ISNUMBER(Settings!$C$22),ISNUMBER($V963)),IF($V963&gt;Settings!$C$22,"Risk over max $; ",""),"")&amp;IF(AND(ISNUMBER(Settings!$C$23),ISNUMBER($V963),ISNUMBER($AP963),IFERROR(N(INDEX(Accounts!$E$7:$E$16,MATCH($C963,Accounts!$B$7:$B$16,0))),0)&gt;0),IF($V963&gt;Settings!$C$23*($AP963-N($Q963)),"Risk over max %; ",""),"")&amp;IF(AND(ISNUMBER(Settings!$C$24),ISNUMBER($N963)),IF($N963&gt;Settings!$C$24,"Leverage over max; ",""),"")&amp;IF(AND(ISNUMBER(Settings!$C$27),ISNUMBER($T963)),IF($T963&lt;Settings!$C$27,"R:R below min; ",""),"")&amp;IF(ISNUMBER(Settings!$C$25),IF(COUNTIFS($A$6:$A963,$A963,$AM$6:$AM963,1)&gt;Settings!$C$25,"Over max trades/day; ",""),"")&amp;IF(ISNUMBER(Settings!$C$26),IF(SUMIFS($Q$5:$Q962,$A$5:$A962,$A963)&lt;=-Settings!$C$26,"Traded after daily max loss; ",""),"")&amp;IF(AND($AG963="",NOT(ISNUMBER($O963))),"Symbol not in Instruments; ","")&amp;IF(AND($AH963="",NOT(ISNUMBER($O963))),"Forex cross: type Gross P&amp;L; ",""))</f>
        <v/>
      </c>
      <c r="BH963" s="56">
        <f>IF(ISNUMBER($Q963),1,0)</f>
        <v>0</v>
      </c>
      <c r="BI963" s="56">
        <f>IF($Y963="",0,1)</f>
        <v>0</v>
      </c>
      <c r="BJ963" s="56">
        <f>IF($AB963="",0,1)</f>
        <v>0</v>
      </c>
      <c r="BK963" s="56">
        <f>IF(AND($BH963=1,$W963&lt;&gt;"OK"),1,0)</f>
        <v>0</v>
      </c>
      <c r="BL963" s="55">
        <f>IF(N($AZ963)=0,0,IFERROR(INDEX($AT$6:$AT$1005,MATCH($AZ963,$AY$6:$AY$1005,0)),0))</f>
        <v>1187.10688</v>
      </c>
      <c r="BM963" s="56">
        <f>IF(ISNUMBER(SEARCH("daily max loss",$BG963)),1,0)</f>
        <v>0</v>
      </c>
    </row>
    <row r="964" ht="18" customHeight="1">
      <c r="A964" s="38" t="n"/>
      <c r="B964" s="39" t="n"/>
      <c r="C964" s="40" t="n"/>
      <c r="D964" s="41" t="n"/>
      <c r="E964" s="41" t="n"/>
      <c r="F964" s="41" t="n"/>
      <c r="G964" s="41" t="n"/>
      <c r="H964" s="42" t="n"/>
      <c r="I964" s="42" t="n"/>
      <c r="J964" s="42" t="n"/>
      <c r="K964" s="42" t="n"/>
      <c r="L964" s="41" t="n"/>
      <c r="M964" s="41" t="n"/>
      <c r="N964" s="41" t="n"/>
      <c r="O964" s="43" t="n"/>
      <c r="P964" s="43" t="n"/>
      <c r="Q964" s="44" t="str">
        <f>IF($AM964=0,"",IF(ISNUMBER($AK964),$AK964-N($AL964),""))</f>
        <v/>
      </c>
      <c r="R964" s="45" t="str">
        <f>IF(OR($Q964="",NOT(ISNUMBER($V964))),"",$AK964/$V964)</f>
        <v/>
      </c>
      <c r="S964" s="46" t="str">
        <f>IF($Q964="","",IF(AND(ISNUMBER($R964),ABS(N($R964))&lt;N(Settings!$C$8)),"Scratch",IF($Q964&gt;0,"Win",IF($Q964&lt;0,"Loss","Scratch"))))</f>
        <v/>
      </c>
      <c r="T964" s="47" t="str">
        <f>IF(OR($AM964=0,NOT(ISNUMBER($H964)),NOT(ISNUMBER($I964)),NOT(ISNUMBER($J964))),"",IF($H964=$I964,"",ROUND(ABS($J964-$H964)/ABS($H964-$I964),6)))</f>
        <v/>
      </c>
      <c r="U964" s="48" t="str">
        <f>IF(OR($S964&lt;&gt;"Win",NOT(ISNUMBER($T964)),NOT(ISNUMBER($R964))),"",MAX(0,$T964-$R964))</f>
        <v/>
      </c>
      <c r="V964" s="49" t="str">
        <f>IF(OR($AM964=0,NOT(ISNUMBER($H964)),NOT(ISNUMBER($I964)),NOT(ISNUMBER($G964))),"",IF(OR($AG964="",$AH964=""),"",IF(ROUND(ABS($H964-$I964)*ABS($G964)*$AG964*$AH964,6)=0,"",ROUND(ABS($H964-$I964)*ABS($G964)*$AG964*$AH964,6))))</f>
        <v/>
      </c>
      <c r="W964" s="50" t="str">
        <f>IF($AM964=0,"",IF($BG964="","OK",LEFT($BG964,LEN($BG964)-2)))</f>
        <v/>
      </c>
      <c r="X964" s="41" t="n"/>
      <c r="Y964" s="40" t="n"/>
      <c r="Z964" s="41" t="n"/>
      <c r="AA964" s="41" t="n"/>
      <c r="AB964" s="40" t="n"/>
      <c r="AC964" s="51" t="n"/>
      <c r="AD964" s="51" t="n"/>
      <c r="AE964" s="40" t="n"/>
      <c r="AF964" s="52" t="str">
        <f>IF($AM964=0,"",IF($D964&lt;&gt;"",$D964,IF(IFERROR(INDEX(Accounts!$C$7:$C$16,MATCH($C964,Accounts!$B$7:$B$16,0))&amp;"","")&lt;&gt;"",INDEX(Accounts!$C$7:$C$16,MATCH($C964,Accounts!$B$7:$B$16,0)),Settings!$C$6)))</f>
        <v/>
      </c>
      <c r="AG964" s="53" t="str">
        <f>IF($AM964=0,"",IF(AND($BE964&gt;0,N(INDEX(Instruments!$D$6:$D$205,MAX(1,$BE964)))&gt;0),INDEX(Instruments!$D$6:$D$205,MAX(1,$BE964)),IF(N(INDEX(Settings!$D$14:$D$18,$BF964))&gt;0,INDEX(Settings!$D$14:$D$18,$BF964),"")))</f>
        <v/>
      </c>
      <c r="AH964" s="54" t="str">
        <f>IF($AM964=0,"",IF($AF964&lt;&gt;"Forex",1,IF(MID(UPPER(SUBSTITUTE(TRIM($E964),"/","")),4,3)=UPPER(TRIM(Settings!$C$7)),1,IF(LEFT(UPPER(SUBSTITUTE(TRIM($E964),"/","")),3)=UPPER(TRIM(Settings!$C$7)),IF(AND(ISNUMBER($K964),N($K964)&lt;&gt;0),1/$K964,""),""))))</f>
        <v/>
      </c>
      <c r="AI964" s="55" t="str">
        <f>IF($AM964=0,"",IF(OR(NOT(ISNUMBER($H964)),NOT(ISNUMBER($K964)),NOT(ISNUMBER($G964)),$AG964="",$AH964=""),"",ROUND(($K964-$H964)*IF($F964="Short",-1,1)*$G964*$AG964*$AH964,6)))</f>
        <v/>
      </c>
      <c r="AJ964" s="55" t="str">
        <f>IF($AM964=0,"",IF(INDEX(Settings!$E$14:$E$18,$BF964)="% of notional",IF(OR($AG964="",NOT(ISNUMBER($H964)),NOT(ISNUMBER($G964))),"",ROUND(ABS($H964*$G964*$AG964*N($AH964))*IF($L964="Limit",N(INDEX(Settings!$G$14:$G$18,$BF964)),N(INDEX(Settings!$H$14:$H$18,$BF964)))+IF(ISNUMBER($K964),ABS($K964*$G964*$AG964*N($AH964))*IF($M964="Target",N(INDEX(Settings!$G$14:$G$18,$BF964)),N(INDEX(Settings!$H$14:$H$18,$BF964))),0),6)),IF(NOT(ISNUMBER($G964)),"",ROUND(ABS($G964)*2*IF(AND($BE964&gt;0,ISNUMBER(INDEX(Instruments!$G$6:$G$205,MAX(1,$BE964)))),INDEX(Instruments!$G$6:$G$205,MAX(1,$BE964)),N(INDEX(Settings!$F$14:$F$18,$BF964))),6))))</f>
        <v/>
      </c>
      <c r="AK964" s="55" t="str">
        <f>IF($AM964=0,"",IF(ISNUMBER($O964),$O964,$AI964))</f>
        <v/>
      </c>
      <c r="AL964" s="55" t="str">
        <f>IF($AM964=0,"",IF(ISNUMBER($P964),$P964,N($AJ964)))</f>
        <v/>
      </c>
      <c r="AM964" s="56">
        <f>IF(AND($A964&lt;&gt;"",$E964&lt;&gt;"",OR(AND(ISNUMBER($G964),ISNUMBER($H964),ISNUMBER($K964)),ISNUMBER($O964))),1,0)</f>
        <v>0</v>
      </c>
      <c r="AN964" s="57" t="str">
        <f>IF($A964="","",$A964-WEEKDAY($A964,3))</f>
        <v/>
      </c>
      <c r="AO964" s="56" t="str">
        <f>IF($A964="","",WEEKDAY($A964,2))</f>
        <v/>
      </c>
      <c r="AP964" s="55" t="str">
        <f>IF(OR($AM964=0,$C964=""),"",IFERROR(N(INDEX(Accounts!$E$7:$E$16,MATCH($C964,Accounts!$B$7:$B$16,0))),0)+SUMIFS($Q$6:$Q964,$C$6:$C964,$C964))</f>
        <v/>
      </c>
      <c r="AQ964" s="55" t="str">
        <f>IF(OR($AM964=0,$C964=""),"",SUMIFS($Q$6:$Q$1005,$C$6:$C$1005,$C964,$A$6:$A$1005,$A964))</f>
        <v/>
      </c>
      <c r="AR964" s="55" t="str">
        <f>IF(OR($AM964=0,$C964=""),"",IFERROR(N(INDEX(Accounts!$E$7:$E$16,MATCH($C964,Accounts!$B$7:$B$16,0))),0)+SUMIFS($Q$6:$Q$1005,$C$6:$C$1005,$C964,$A$6:$A$1005,"&lt;="&amp;$A964))</f>
        <v/>
      </c>
      <c r="AS964" s="56">
        <f>IF(OR($AM964=0,$Q964=""),0,IF(AND($A964&gt;=Lists!$W$6,$A964&lt;=Lists!$W$7,OR(Dashboard!$D$6="All accounts",$C964=Dashboard!$D$6),OR(Dashboard!$D$7="All markets",$AF964=Dashboard!$D$7)),1,0))</f>
        <v>0</v>
      </c>
      <c r="AT964" s="55">
        <f>IF($AS964=1,N(AT963)+$Q964,N(AT963))</f>
        <v>1187.10688</v>
      </c>
      <c r="AU964" s="55">
        <f>MAX(N(AU963),$AT964)</f>
        <v>1187.10688</v>
      </c>
      <c r="AV964" s="55">
        <f>$AT964-$AU964</f>
        <v>0</v>
      </c>
      <c r="AW964" s="56">
        <f>IF($AS964=1,IF($S964="Win",N(AW963)+1,IF($S964="Loss",0,N(AW963))),N(AW963))</f>
        <v>5</v>
      </c>
      <c r="AX964" s="56">
        <f>IF($AS964=1,IF($S964="Loss",N(AX963)+1,IF($S964="Win",0,N(AX963))),N(AX963))</f>
        <v>0</v>
      </c>
      <c r="AY964" s="56" t="str">
        <f>IF($AS964=1,COUNTIF($AS$6:$AS964,1),"")</f>
        <v/>
      </c>
      <c r="AZ964" s="56">
        <f>MIN(958,N(Lists!$W$8))</f>
        <v>28</v>
      </c>
      <c r="BA964" s="56">
        <f>IF($AS964=1,IF(COUNTIFS($A$6:$A964,$A964,$AS$6:$AS964,1)=1,1,0),0)</f>
        <v>0</v>
      </c>
      <c r="BB964" s="55" t="str">
        <f>IF($BA964=1,SUMIFS($Q$6:$Q$1005,$A$6:$A$1005,$A964,$AS$6:$AS$1005,1),"")</f>
        <v/>
      </c>
      <c r="BC964" s="56">
        <f>IF(ISNUMBER($R964),1,0)</f>
        <v>0</v>
      </c>
      <c r="BD964" s="55" t="str">
        <f>IF(ISNUMBER($U964),$U964*$V964,"")</f>
        <v/>
      </c>
      <c r="BE964" s="56" t="str">
        <f>IF($AM964=0,"",IFERROR(MATCH($AF964&amp;"|"&amp;UPPER(TRIM($E964)),Lists!$A$6:$A$205,0),0))</f>
        <v/>
      </c>
      <c r="BF964" s="56" t="str">
        <f>IF($AM964=0,"",IFERROR(MATCH($AF964,Settings!$B$14:$B$18,0),IFERROR(MATCH(Settings!$C$6,Settings!$B$14:$B$18,0),1)))</f>
        <v/>
      </c>
      <c r="BG964" s="58" t="str">
        <f>IF($AM964=0,"",IF(NOT(ISNUMBER($I964)),"No stop; ","")&amp;IF(AND(ISNUMBER($H964),ISNUMBER($I964)),IF(OR(AND($F964&lt;&gt;"Short",$I964&gt;=$H964),AND($F964="Short",$I964&lt;=$H964)),"Stop on wrong side; ",""),"")&amp;IF($F964="","No direction; ","")&amp;IF(AND(ISNUMBER(Settings!$C$22),ISNUMBER($V964)),IF($V964&gt;Settings!$C$22,"Risk over max $; ",""),"")&amp;IF(AND(ISNUMBER(Settings!$C$23),ISNUMBER($V964),ISNUMBER($AP964),IFERROR(N(INDEX(Accounts!$E$7:$E$16,MATCH($C964,Accounts!$B$7:$B$16,0))),0)&gt;0),IF($V964&gt;Settings!$C$23*($AP964-N($Q964)),"Risk over max %; ",""),"")&amp;IF(AND(ISNUMBER(Settings!$C$24),ISNUMBER($N964)),IF($N964&gt;Settings!$C$24,"Leverage over max; ",""),"")&amp;IF(AND(ISNUMBER(Settings!$C$27),ISNUMBER($T964)),IF($T964&lt;Settings!$C$27,"R:R below min; ",""),"")&amp;IF(ISNUMBER(Settings!$C$25),IF(COUNTIFS($A$6:$A964,$A964,$AM$6:$AM964,1)&gt;Settings!$C$25,"Over max trades/day; ",""),"")&amp;IF(ISNUMBER(Settings!$C$26),IF(SUMIFS($Q$5:$Q963,$A$5:$A963,$A964)&lt;=-Settings!$C$26,"Traded after daily max loss; ",""),"")&amp;IF(AND($AG964="",NOT(ISNUMBER($O964))),"Symbol not in Instruments; ","")&amp;IF(AND($AH964="",NOT(ISNUMBER($O964))),"Forex cross: type Gross P&amp;L; ",""))</f>
        <v/>
      </c>
      <c r="BH964" s="56">
        <f>IF(ISNUMBER($Q964),1,0)</f>
        <v>0</v>
      </c>
      <c r="BI964" s="56">
        <f>IF($Y964="",0,1)</f>
        <v>0</v>
      </c>
      <c r="BJ964" s="56">
        <f>IF($AB964="",0,1)</f>
        <v>0</v>
      </c>
      <c r="BK964" s="56">
        <f>IF(AND($BH964=1,$W964&lt;&gt;"OK"),1,0)</f>
        <v>0</v>
      </c>
      <c r="BL964" s="55">
        <f>IF(N($AZ964)=0,0,IFERROR(INDEX($AT$6:$AT$1005,MATCH($AZ964,$AY$6:$AY$1005,0)),0))</f>
        <v>1187.10688</v>
      </c>
      <c r="BM964" s="56">
        <f>IF(ISNUMBER(SEARCH("daily max loss",$BG964)),1,0)</f>
        <v>0</v>
      </c>
    </row>
    <row r="965" ht="18" customHeight="1">
      <c r="A965" s="38" t="n"/>
      <c r="B965" s="39" t="n"/>
      <c r="C965" s="40" t="n"/>
      <c r="D965" s="41" t="n"/>
      <c r="E965" s="41" t="n"/>
      <c r="F965" s="41" t="n"/>
      <c r="G965" s="41" t="n"/>
      <c r="H965" s="42" t="n"/>
      <c r="I965" s="42" t="n"/>
      <c r="J965" s="42" t="n"/>
      <c r="K965" s="42" t="n"/>
      <c r="L965" s="41" t="n"/>
      <c r="M965" s="41" t="n"/>
      <c r="N965" s="41" t="n"/>
      <c r="O965" s="43" t="n"/>
      <c r="P965" s="43" t="n"/>
      <c r="Q965" s="44" t="str">
        <f>IF($AM965=0,"",IF(ISNUMBER($AK965),$AK965-N($AL965),""))</f>
        <v/>
      </c>
      <c r="R965" s="45" t="str">
        <f>IF(OR($Q965="",NOT(ISNUMBER($V965))),"",$AK965/$V965)</f>
        <v/>
      </c>
      <c r="S965" s="46" t="str">
        <f>IF($Q965="","",IF(AND(ISNUMBER($R965),ABS(N($R965))&lt;N(Settings!$C$8)),"Scratch",IF($Q965&gt;0,"Win",IF($Q965&lt;0,"Loss","Scratch"))))</f>
        <v/>
      </c>
      <c r="T965" s="47" t="str">
        <f>IF(OR($AM965=0,NOT(ISNUMBER($H965)),NOT(ISNUMBER($I965)),NOT(ISNUMBER($J965))),"",IF($H965=$I965,"",ROUND(ABS($J965-$H965)/ABS($H965-$I965),6)))</f>
        <v/>
      </c>
      <c r="U965" s="48" t="str">
        <f>IF(OR($S965&lt;&gt;"Win",NOT(ISNUMBER($T965)),NOT(ISNUMBER($R965))),"",MAX(0,$T965-$R965))</f>
        <v/>
      </c>
      <c r="V965" s="49" t="str">
        <f>IF(OR($AM965=0,NOT(ISNUMBER($H965)),NOT(ISNUMBER($I965)),NOT(ISNUMBER($G965))),"",IF(OR($AG965="",$AH965=""),"",IF(ROUND(ABS($H965-$I965)*ABS($G965)*$AG965*$AH965,6)=0,"",ROUND(ABS($H965-$I965)*ABS($G965)*$AG965*$AH965,6))))</f>
        <v/>
      </c>
      <c r="W965" s="50" t="str">
        <f>IF($AM965=0,"",IF($BG965="","OK",LEFT($BG965,LEN($BG965)-2)))</f>
        <v/>
      </c>
      <c r="X965" s="41" t="n"/>
      <c r="Y965" s="40" t="n"/>
      <c r="Z965" s="41" t="n"/>
      <c r="AA965" s="41" t="n"/>
      <c r="AB965" s="40" t="n"/>
      <c r="AC965" s="51" t="n"/>
      <c r="AD965" s="51" t="n"/>
      <c r="AE965" s="40" t="n"/>
      <c r="AF965" s="52" t="str">
        <f>IF($AM965=0,"",IF($D965&lt;&gt;"",$D965,IF(IFERROR(INDEX(Accounts!$C$7:$C$16,MATCH($C965,Accounts!$B$7:$B$16,0))&amp;"","")&lt;&gt;"",INDEX(Accounts!$C$7:$C$16,MATCH($C965,Accounts!$B$7:$B$16,0)),Settings!$C$6)))</f>
        <v/>
      </c>
      <c r="AG965" s="53" t="str">
        <f>IF($AM965=0,"",IF(AND($BE965&gt;0,N(INDEX(Instruments!$D$6:$D$205,MAX(1,$BE965)))&gt;0),INDEX(Instruments!$D$6:$D$205,MAX(1,$BE965)),IF(N(INDEX(Settings!$D$14:$D$18,$BF965))&gt;0,INDEX(Settings!$D$14:$D$18,$BF965),"")))</f>
        <v/>
      </c>
      <c r="AH965" s="54" t="str">
        <f>IF($AM965=0,"",IF($AF965&lt;&gt;"Forex",1,IF(MID(UPPER(SUBSTITUTE(TRIM($E965),"/","")),4,3)=UPPER(TRIM(Settings!$C$7)),1,IF(LEFT(UPPER(SUBSTITUTE(TRIM($E965),"/","")),3)=UPPER(TRIM(Settings!$C$7)),IF(AND(ISNUMBER($K965),N($K965)&lt;&gt;0),1/$K965,""),""))))</f>
        <v/>
      </c>
      <c r="AI965" s="55" t="str">
        <f>IF($AM965=0,"",IF(OR(NOT(ISNUMBER($H965)),NOT(ISNUMBER($K965)),NOT(ISNUMBER($G965)),$AG965="",$AH965=""),"",ROUND(($K965-$H965)*IF($F965="Short",-1,1)*$G965*$AG965*$AH965,6)))</f>
        <v/>
      </c>
      <c r="AJ965" s="55" t="str">
        <f>IF($AM965=0,"",IF(INDEX(Settings!$E$14:$E$18,$BF965)="% of notional",IF(OR($AG965="",NOT(ISNUMBER($H965)),NOT(ISNUMBER($G965))),"",ROUND(ABS($H965*$G965*$AG965*N($AH965))*IF($L965="Limit",N(INDEX(Settings!$G$14:$G$18,$BF965)),N(INDEX(Settings!$H$14:$H$18,$BF965)))+IF(ISNUMBER($K965),ABS($K965*$G965*$AG965*N($AH965))*IF($M965="Target",N(INDEX(Settings!$G$14:$G$18,$BF965)),N(INDEX(Settings!$H$14:$H$18,$BF965))),0),6)),IF(NOT(ISNUMBER($G965)),"",ROUND(ABS($G965)*2*IF(AND($BE965&gt;0,ISNUMBER(INDEX(Instruments!$G$6:$G$205,MAX(1,$BE965)))),INDEX(Instruments!$G$6:$G$205,MAX(1,$BE965)),N(INDEX(Settings!$F$14:$F$18,$BF965))),6))))</f>
        <v/>
      </c>
      <c r="AK965" s="55" t="str">
        <f>IF($AM965=0,"",IF(ISNUMBER($O965),$O965,$AI965))</f>
        <v/>
      </c>
      <c r="AL965" s="55" t="str">
        <f>IF($AM965=0,"",IF(ISNUMBER($P965),$P965,N($AJ965)))</f>
        <v/>
      </c>
      <c r="AM965" s="56">
        <f>IF(AND($A965&lt;&gt;"",$E965&lt;&gt;"",OR(AND(ISNUMBER($G965),ISNUMBER($H965),ISNUMBER($K965)),ISNUMBER($O965))),1,0)</f>
        <v>0</v>
      </c>
      <c r="AN965" s="57" t="str">
        <f>IF($A965="","",$A965-WEEKDAY($A965,3))</f>
        <v/>
      </c>
      <c r="AO965" s="56" t="str">
        <f>IF($A965="","",WEEKDAY($A965,2))</f>
        <v/>
      </c>
      <c r="AP965" s="55" t="str">
        <f>IF(OR($AM965=0,$C965=""),"",IFERROR(N(INDEX(Accounts!$E$7:$E$16,MATCH($C965,Accounts!$B$7:$B$16,0))),0)+SUMIFS($Q$6:$Q965,$C$6:$C965,$C965))</f>
        <v/>
      </c>
      <c r="AQ965" s="55" t="str">
        <f>IF(OR($AM965=0,$C965=""),"",SUMIFS($Q$6:$Q$1005,$C$6:$C$1005,$C965,$A$6:$A$1005,$A965))</f>
        <v/>
      </c>
      <c r="AR965" s="55" t="str">
        <f>IF(OR($AM965=0,$C965=""),"",IFERROR(N(INDEX(Accounts!$E$7:$E$16,MATCH($C965,Accounts!$B$7:$B$16,0))),0)+SUMIFS($Q$6:$Q$1005,$C$6:$C$1005,$C965,$A$6:$A$1005,"&lt;="&amp;$A965))</f>
        <v/>
      </c>
      <c r="AS965" s="56">
        <f>IF(OR($AM965=0,$Q965=""),0,IF(AND($A965&gt;=Lists!$W$6,$A965&lt;=Lists!$W$7,OR(Dashboard!$D$6="All accounts",$C965=Dashboard!$D$6),OR(Dashboard!$D$7="All markets",$AF965=Dashboard!$D$7)),1,0))</f>
        <v>0</v>
      </c>
      <c r="AT965" s="55">
        <f>IF($AS965=1,N(AT964)+$Q965,N(AT964))</f>
        <v>1187.10688</v>
      </c>
      <c r="AU965" s="55">
        <f>MAX(N(AU964),$AT965)</f>
        <v>1187.10688</v>
      </c>
      <c r="AV965" s="55">
        <f>$AT965-$AU965</f>
        <v>0</v>
      </c>
      <c r="AW965" s="56">
        <f>IF($AS965=1,IF($S965="Win",N(AW964)+1,IF($S965="Loss",0,N(AW964))),N(AW964))</f>
        <v>5</v>
      </c>
      <c r="AX965" s="56">
        <f>IF($AS965=1,IF($S965="Loss",N(AX964)+1,IF($S965="Win",0,N(AX964))),N(AX964))</f>
        <v>0</v>
      </c>
      <c r="AY965" s="56" t="str">
        <f>IF($AS965=1,COUNTIF($AS$6:$AS965,1),"")</f>
        <v/>
      </c>
      <c r="AZ965" s="56">
        <f>MIN(959,N(Lists!$W$8))</f>
        <v>28</v>
      </c>
      <c r="BA965" s="56">
        <f>IF($AS965=1,IF(COUNTIFS($A$6:$A965,$A965,$AS$6:$AS965,1)=1,1,0),0)</f>
        <v>0</v>
      </c>
      <c r="BB965" s="55" t="str">
        <f>IF($BA965=1,SUMIFS($Q$6:$Q$1005,$A$6:$A$1005,$A965,$AS$6:$AS$1005,1),"")</f>
        <v/>
      </c>
      <c r="BC965" s="56">
        <f>IF(ISNUMBER($R965),1,0)</f>
        <v>0</v>
      </c>
      <c r="BD965" s="55" t="str">
        <f>IF(ISNUMBER($U965),$U965*$V965,"")</f>
        <v/>
      </c>
      <c r="BE965" s="56" t="str">
        <f>IF($AM965=0,"",IFERROR(MATCH($AF965&amp;"|"&amp;UPPER(TRIM($E965)),Lists!$A$6:$A$205,0),0))</f>
        <v/>
      </c>
      <c r="BF965" s="56" t="str">
        <f>IF($AM965=0,"",IFERROR(MATCH($AF965,Settings!$B$14:$B$18,0),IFERROR(MATCH(Settings!$C$6,Settings!$B$14:$B$18,0),1)))</f>
        <v/>
      </c>
      <c r="BG965" s="58" t="str">
        <f>IF($AM965=0,"",IF(NOT(ISNUMBER($I965)),"No stop; ","")&amp;IF(AND(ISNUMBER($H965),ISNUMBER($I965)),IF(OR(AND($F965&lt;&gt;"Short",$I965&gt;=$H965),AND($F965="Short",$I965&lt;=$H965)),"Stop on wrong side; ",""),"")&amp;IF($F965="","No direction; ","")&amp;IF(AND(ISNUMBER(Settings!$C$22),ISNUMBER($V965)),IF($V965&gt;Settings!$C$22,"Risk over max $; ",""),"")&amp;IF(AND(ISNUMBER(Settings!$C$23),ISNUMBER($V965),ISNUMBER($AP965),IFERROR(N(INDEX(Accounts!$E$7:$E$16,MATCH($C965,Accounts!$B$7:$B$16,0))),0)&gt;0),IF($V965&gt;Settings!$C$23*($AP965-N($Q965)),"Risk over max %; ",""),"")&amp;IF(AND(ISNUMBER(Settings!$C$24),ISNUMBER($N965)),IF($N965&gt;Settings!$C$24,"Leverage over max; ",""),"")&amp;IF(AND(ISNUMBER(Settings!$C$27),ISNUMBER($T965)),IF($T965&lt;Settings!$C$27,"R:R below min; ",""),"")&amp;IF(ISNUMBER(Settings!$C$25),IF(COUNTIFS($A$6:$A965,$A965,$AM$6:$AM965,1)&gt;Settings!$C$25,"Over max trades/day; ",""),"")&amp;IF(ISNUMBER(Settings!$C$26),IF(SUMIFS($Q$5:$Q964,$A$5:$A964,$A965)&lt;=-Settings!$C$26,"Traded after daily max loss; ",""),"")&amp;IF(AND($AG965="",NOT(ISNUMBER($O965))),"Symbol not in Instruments; ","")&amp;IF(AND($AH965="",NOT(ISNUMBER($O965))),"Forex cross: type Gross P&amp;L; ",""))</f>
        <v/>
      </c>
      <c r="BH965" s="56">
        <f>IF(ISNUMBER($Q965),1,0)</f>
        <v>0</v>
      </c>
      <c r="BI965" s="56">
        <f>IF($Y965="",0,1)</f>
        <v>0</v>
      </c>
      <c r="BJ965" s="56">
        <f>IF($AB965="",0,1)</f>
        <v>0</v>
      </c>
      <c r="BK965" s="56">
        <f>IF(AND($BH965=1,$W965&lt;&gt;"OK"),1,0)</f>
        <v>0</v>
      </c>
      <c r="BL965" s="55">
        <f>IF(N($AZ965)=0,0,IFERROR(INDEX($AT$6:$AT$1005,MATCH($AZ965,$AY$6:$AY$1005,0)),0))</f>
        <v>1187.10688</v>
      </c>
      <c r="BM965" s="56">
        <f>IF(ISNUMBER(SEARCH("daily max loss",$BG965)),1,0)</f>
        <v>0</v>
      </c>
    </row>
    <row r="966" ht="18" customHeight="1">
      <c r="A966" s="38" t="n"/>
      <c r="B966" s="39" t="n"/>
      <c r="C966" s="40" t="n"/>
      <c r="D966" s="41" t="n"/>
      <c r="E966" s="41" t="n"/>
      <c r="F966" s="41" t="n"/>
      <c r="G966" s="41" t="n"/>
      <c r="H966" s="42" t="n"/>
      <c r="I966" s="42" t="n"/>
      <c r="J966" s="42" t="n"/>
      <c r="K966" s="42" t="n"/>
      <c r="L966" s="41" t="n"/>
      <c r="M966" s="41" t="n"/>
      <c r="N966" s="41" t="n"/>
      <c r="O966" s="43" t="n"/>
      <c r="P966" s="43" t="n"/>
      <c r="Q966" s="44" t="str">
        <f>IF($AM966=0,"",IF(ISNUMBER($AK966),$AK966-N($AL966),""))</f>
        <v/>
      </c>
      <c r="R966" s="45" t="str">
        <f>IF(OR($Q966="",NOT(ISNUMBER($V966))),"",$AK966/$V966)</f>
        <v/>
      </c>
      <c r="S966" s="46" t="str">
        <f>IF($Q966="","",IF(AND(ISNUMBER($R966),ABS(N($R966))&lt;N(Settings!$C$8)),"Scratch",IF($Q966&gt;0,"Win",IF($Q966&lt;0,"Loss","Scratch"))))</f>
        <v/>
      </c>
      <c r="T966" s="47" t="str">
        <f>IF(OR($AM966=0,NOT(ISNUMBER($H966)),NOT(ISNUMBER($I966)),NOT(ISNUMBER($J966))),"",IF($H966=$I966,"",ROUND(ABS($J966-$H966)/ABS($H966-$I966),6)))</f>
        <v/>
      </c>
      <c r="U966" s="48" t="str">
        <f>IF(OR($S966&lt;&gt;"Win",NOT(ISNUMBER($T966)),NOT(ISNUMBER($R966))),"",MAX(0,$T966-$R966))</f>
        <v/>
      </c>
      <c r="V966" s="49" t="str">
        <f>IF(OR($AM966=0,NOT(ISNUMBER($H966)),NOT(ISNUMBER($I966)),NOT(ISNUMBER($G966))),"",IF(OR($AG966="",$AH966=""),"",IF(ROUND(ABS($H966-$I966)*ABS($G966)*$AG966*$AH966,6)=0,"",ROUND(ABS($H966-$I966)*ABS($G966)*$AG966*$AH966,6))))</f>
        <v/>
      </c>
      <c r="W966" s="50" t="str">
        <f>IF($AM966=0,"",IF($BG966="","OK",LEFT($BG966,LEN($BG966)-2)))</f>
        <v/>
      </c>
      <c r="X966" s="41" t="n"/>
      <c r="Y966" s="40" t="n"/>
      <c r="Z966" s="41" t="n"/>
      <c r="AA966" s="41" t="n"/>
      <c r="AB966" s="40" t="n"/>
      <c r="AC966" s="51" t="n"/>
      <c r="AD966" s="51" t="n"/>
      <c r="AE966" s="40" t="n"/>
      <c r="AF966" s="52" t="str">
        <f>IF($AM966=0,"",IF($D966&lt;&gt;"",$D966,IF(IFERROR(INDEX(Accounts!$C$7:$C$16,MATCH($C966,Accounts!$B$7:$B$16,0))&amp;"","")&lt;&gt;"",INDEX(Accounts!$C$7:$C$16,MATCH($C966,Accounts!$B$7:$B$16,0)),Settings!$C$6)))</f>
        <v/>
      </c>
      <c r="AG966" s="53" t="str">
        <f>IF($AM966=0,"",IF(AND($BE966&gt;0,N(INDEX(Instruments!$D$6:$D$205,MAX(1,$BE966)))&gt;0),INDEX(Instruments!$D$6:$D$205,MAX(1,$BE966)),IF(N(INDEX(Settings!$D$14:$D$18,$BF966))&gt;0,INDEX(Settings!$D$14:$D$18,$BF966),"")))</f>
        <v/>
      </c>
      <c r="AH966" s="54" t="str">
        <f>IF($AM966=0,"",IF($AF966&lt;&gt;"Forex",1,IF(MID(UPPER(SUBSTITUTE(TRIM($E966),"/","")),4,3)=UPPER(TRIM(Settings!$C$7)),1,IF(LEFT(UPPER(SUBSTITUTE(TRIM($E966),"/","")),3)=UPPER(TRIM(Settings!$C$7)),IF(AND(ISNUMBER($K966),N($K966)&lt;&gt;0),1/$K966,""),""))))</f>
        <v/>
      </c>
      <c r="AI966" s="55" t="str">
        <f>IF($AM966=0,"",IF(OR(NOT(ISNUMBER($H966)),NOT(ISNUMBER($K966)),NOT(ISNUMBER($G966)),$AG966="",$AH966=""),"",ROUND(($K966-$H966)*IF($F966="Short",-1,1)*$G966*$AG966*$AH966,6)))</f>
        <v/>
      </c>
      <c r="AJ966" s="55" t="str">
        <f>IF($AM966=0,"",IF(INDEX(Settings!$E$14:$E$18,$BF966)="% of notional",IF(OR($AG966="",NOT(ISNUMBER($H966)),NOT(ISNUMBER($G966))),"",ROUND(ABS($H966*$G966*$AG966*N($AH966))*IF($L966="Limit",N(INDEX(Settings!$G$14:$G$18,$BF966)),N(INDEX(Settings!$H$14:$H$18,$BF966)))+IF(ISNUMBER($K966),ABS($K966*$G966*$AG966*N($AH966))*IF($M966="Target",N(INDEX(Settings!$G$14:$G$18,$BF966)),N(INDEX(Settings!$H$14:$H$18,$BF966))),0),6)),IF(NOT(ISNUMBER($G966)),"",ROUND(ABS($G966)*2*IF(AND($BE966&gt;0,ISNUMBER(INDEX(Instruments!$G$6:$G$205,MAX(1,$BE966)))),INDEX(Instruments!$G$6:$G$205,MAX(1,$BE966)),N(INDEX(Settings!$F$14:$F$18,$BF966))),6))))</f>
        <v/>
      </c>
      <c r="AK966" s="55" t="str">
        <f>IF($AM966=0,"",IF(ISNUMBER($O966),$O966,$AI966))</f>
        <v/>
      </c>
      <c r="AL966" s="55" t="str">
        <f>IF($AM966=0,"",IF(ISNUMBER($P966),$P966,N($AJ966)))</f>
        <v/>
      </c>
      <c r="AM966" s="56">
        <f>IF(AND($A966&lt;&gt;"",$E966&lt;&gt;"",OR(AND(ISNUMBER($G966),ISNUMBER($H966),ISNUMBER($K966)),ISNUMBER($O966))),1,0)</f>
        <v>0</v>
      </c>
      <c r="AN966" s="57" t="str">
        <f>IF($A966="","",$A966-WEEKDAY($A966,3))</f>
        <v/>
      </c>
      <c r="AO966" s="56" t="str">
        <f>IF($A966="","",WEEKDAY($A966,2))</f>
        <v/>
      </c>
      <c r="AP966" s="55" t="str">
        <f>IF(OR($AM966=0,$C966=""),"",IFERROR(N(INDEX(Accounts!$E$7:$E$16,MATCH($C966,Accounts!$B$7:$B$16,0))),0)+SUMIFS($Q$6:$Q966,$C$6:$C966,$C966))</f>
        <v/>
      </c>
      <c r="AQ966" s="55" t="str">
        <f>IF(OR($AM966=0,$C966=""),"",SUMIFS($Q$6:$Q$1005,$C$6:$C$1005,$C966,$A$6:$A$1005,$A966))</f>
        <v/>
      </c>
      <c r="AR966" s="55" t="str">
        <f>IF(OR($AM966=0,$C966=""),"",IFERROR(N(INDEX(Accounts!$E$7:$E$16,MATCH($C966,Accounts!$B$7:$B$16,0))),0)+SUMIFS($Q$6:$Q$1005,$C$6:$C$1005,$C966,$A$6:$A$1005,"&lt;="&amp;$A966))</f>
        <v/>
      </c>
      <c r="AS966" s="56">
        <f>IF(OR($AM966=0,$Q966=""),0,IF(AND($A966&gt;=Lists!$W$6,$A966&lt;=Lists!$W$7,OR(Dashboard!$D$6="All accounts",$C966=Dashboard!$D$6),OR(Dashboard!$D$7="All markets",$AF966=Dashboard!$D$7)),1,0))</f>
        <v>0</v>
      </c>
      <c r="AT966" s="55">
        <f>IF($AS966=1,N(AT965)+$Q966,N(AT965))</f>
        <v>1187.10688</v>
      </c>
      <c r="AU966" s="55">
        <f>MAX(N(AU965),$AT966)</f>
        <v>1187.10688</v>
      </c>
      <c r="AV966" s="55">
        <f>$AT966-$AU966</f>
        <v>0</v>
      </c>
      <c r="AW966" s="56">
        <f>IF($AS966=1,IF($S966="Win",N(AW965)+1,IF($S966="Loss",0,N(AW965))),N(AW965))</f>
        <v>5</v>
      </c>
      <c r="AX966" s="56">
        <f>IF($AS966=1,IF($S966="Loss",N(AX965)+1,IF($S966="Win",0,N(AX965))),N(AX965))</f>
        <v>0</v>
      </c>
      <c r="AY966" s="56" t="str">
        <f>IF($AS966=1,COUNTIF($AS$6:$AS966,1),"")</f>
        <v/>
      </c>
      <c r="AZ966" s="56">
        <f>MIN(960,N(Lists!$W$8))</f>
        <v>28</v>
      </c>
      <c r="BA966" s="56">
        <f>IF($AS966=1,IF(COUNTIFS($A$6:$A966,$A966,$AS$6:$AS966,1)=1,1,0),0)</f>
        <v>0</v>
      </c>
      <c r="BB966" s="55" t="str">
        <f>IF($BA966=1,SUMIFS($Q$6:$Q$1005,$A$6:$A$1005,$A966,$AS$6:$AS$1005,1),"")</f>
        <v/>
      </c>
      <c r="BC966" s="56">
        <f>IF(ISNUMBER($R966),1,0)</f>
        <v>0</v>
      </c>
      <c r="BD966" s="55" t="str">
        <f>IF(ISNUMBER($U966),$U966*$V966,"")</f>
        <v/>
      </c>
      <c r="BE966" s="56" t="str">
        <f>IF($AM966=0,"",IFERROR(MATCH($AF966&amp;"|"&amp;UPPER(TRIM($E966)),Lists!$A$6:$A$205,0),0))</f>
        <v/>
      </c>
      <c r="BF966" s="56" t="str">
        <f>IF($AM966=0,"",IFERROR(MATCH($AF966,Settings!$B$14:$B$18,0),IFERROR(MATCH(Settings!$C$6,Settings!$B$14:$B$18,0),1)))</f>
        <v/>
      </c>
      <c r="BG966" s="58" t="str">
        <f>IF($AM966=0,"",IF(NOT(ISNUMBER($I966)),"No stop; ","")&amp;IF(AND(ISNUMBER($H966),ISNUMBER($I966)),IF(OR(AND($F966&lt;&gt;"Short",$I966&gt;=$H966),AND($F966="Short",$I966&lt;=$H966)),"Stop on wrong side; ",""),"")&amp;IF($F966="","No direction; ","")&amp;IF(AND(ISNUMBER(Settings!$C$22),ISNUMBER($V966)),IF($V966&gt;Settings!$C$22,"Risk over max $; ",""),"")&amp;IF(AND(ISNUMBER(Settings!$C$23),ISNUMBER($V966),ISNUMBER($AP966),IFERROR(N(INDEX(Accounts!$E$7:$E$16,MATCH($C966,Accounts!$B$7:$B$16,0))),0)&gt;0),IF($V966&gt;Settings!$C$23*($AP966-N($Q966)),"Risk over max %; ",""),"")&amp;IF(AND(ISNUMBER(Settings!$C$24),ISNUMBER($N966)),IF($N966&gt;Settings!$C$24,"Leverage over max; ",""),"")&amp;IF(AND(ISNUMBER(Settings!$C$27),ISNUMBER($T966)),IF($T966&lt;Settings!$C$27,"R:R below min; ",""),"")&amp;IF(ISNUMBER(Settings!$C$25),IF(COUNTIFS($A$6:$A966,$A966,$AM$6:$AM966,1)&gt;Settings!$C$25,"Over max trades/day; ",""),"")&amp;IF(ISNUMBER(Settings!$C$26),IF(SUMIFS($Q$5:$Q965,$A$5:$A965,$A966)&lt;=-Settings!$C$26,"Traded after daily max loss; ",""),"")&amp;IF(AND($AG966="",NOT(ISNUMBER($O966))),"Symbol not in Instruments; ","")&amp;IF(AND($AH966="",NOT(ISNUMBER($O966))),"Forex cross: type Gross P&amp;L; ",""))</f>
        <v/>
      </c>
      <c r="BH966" s="56">
        <f>IF(ISNUMBER($Q966),1,0)</f>
        <v>0</v>
      </c>
      <c r="BI966" s="56">
        <f>IF($Y966="",0,1)</f>
        <v>0</v>
      </c>
      <c r="BJ966" s="56">
        <f>IF($AB966="",0,1)</f>
        <v>0</v>
      </c>
      <c r="BK966" s="56">
        <f>IF(AND($BH966=1,$W966&lt;&gt;"OK"),1,0)</f>
        <v>0</v>
      </c>
      <c r="BL966" s="55">
        <f>IF(N($AZ966)=0,0,IFERROR(INDEX($AT$6:$AT$1005,MATCH($AZ966,$AY$6:$AY$1005,0)),0))</f>
        <v>1187.10688</v>
      </c>
      <c r="BM966" s="56">
        <f>IF(ISNUMBER(SEARCH("daily max loss",$BG966)),1,0)</f>
        <v>0</v>
      </c>
    </row>
    <row r="967" ht="18" customHeight="1">
      <c r="A967" s="38" t="n"/>
      <c r="B967" s="39" t="n"/>
      <c r="C967" s="40" t="n"/>
      <c r="D967" s="41" t="n"/>
      <c r="E967" s="41" t="n"/>
      <c r="F967" s="41" t="n"/>
      <c r="G967" s="41" t="n"/>
      <c r="H967" s="42" t="n"/>
      <c r="I967" s="42" t="n"/>
      <c r="J967" s="42" t="n"/>
      <c r="K967" s="42" t="n"/>
      <c r="L967" s="41" t="n"/>
      <c r="M967" s="41" t="n"/>
      <c r="N967" s="41" t="n"/>
      <c r="O967" s="43" t="n"/>
      <c r="P967" s="43" t="n"/>
      <c r="Q967" s="44" t="str">
        <f>IF($AM967=0,"",IF(ISNUMBER($AK967),$AK967-N($AL967),""))</f>
        <v/>
      </c>
      <c r="R967" s="45" t="str">
        <f>IF(OR($Q967="",NOT(ISNUMBER($V967))),"",$AK967/$V967)</f>
        <v/>
      </c>
      <c r="S967" s="46" t="str">
        <f>IF($Q967="","",IF(AND(ISNUMBER($R967),ABS(N($R967))&lt;N(Settings!$C$8)),"Scratch",IF($Q967&gt;0,"Win",IF($Q967&lt;0,"Loss","Scratch"))))</f>
        <v/>
      </c>
      <c r="T967" s="47" t="str">
        <f>IF(OR($AM967=0,NOT(ISNUMBER($H967)),NOT(ISNUMBER($I967)),NOT(ISNUMBER($J967))),"",IF($H967=$I967,"",ROUND(ABS($J967-$H967)/ABS($H967-$I967),6)))</f>
        <v/>
      </c>
      <c r="U967" s="48" t="str">
        <f>IF(OR($S967&lt;&gt;"Win",NOT(ISNUMBER($T967)),NOT(ISNUMBER($R967))),"",MAX(0,$T967-$R967))</f>
        <v/>
      </c>
      <c r="V967" s="49" t="str">
        <f>IF(OR($AM967=0,NOT(ISNUMBER($H967)),NOT(ISNUMBER($I967)),NOT(ISNUMBER($G967))),"",IF(OR($AG967="",$AH967=""),"",IF(ROUND(ABS($H967-$I967)*ABS($G967)*$AG967*$AH967,6)=0,"",ROUND(ABS($H967-$I967)*ABS($G967)*$AG967*$AH967,6))))</f>
        <v/>
      </c>
      <c r="W967" s="50" t="str">
        <f>IF($AM967=0,"",IF($BG967="","OK",LEFT($BG967,LEN($BG967)-2)))</f>
        <v/>
      </c>
      <c r="X967" s="41" t="n"/>
      <c r="Y967" s="40" t="n"/>
      <c r="Z967" s="41" t="n"/>
      <c r="AA967" s="41" t="n"/>
      <c r="AB967" s="40" t="n"/>
      <c r="AC967" s="51" t="n"/>
      <c r="AD967" s="51" t="n"/>
      <c r="AE967" s="40" t="n"/>
      <c r="AF967" s="52" t="str">
        <f>IF($AM967=0,"",IF($D967&lt;&gt;"",$D967,IF(IFERROR(INDEX(Accounts!$C$7:$C$16,MATCH($C967,Accounts!$B$7:$B$16,0))&amp;"","")&lt;&gt;"",INDEX(Accounts!$C$7:$C$16,MATCH($C967,Accounts!$B$7:$B$16,0)),Settings!$C$6)))</f>
        <v/>
      </c>
      <c r="AG967" s="53" t="str">
        <f>IF($AM967=0,"",IF(AND($BE967&gt;0,N(INDEX(Instruments!$D$6:$D$205,MAX(1,$BE967)))&gt;0),INDEX(Instruments!$D$6:$D$205,MAX(1,$BE967)),IF(N(INDEX(Settings!$D$14:$D$18,$BF967))&gt;0,INDEX(Settings!$D$14:$D$18,$BF967),"")))</f>
        <v/>
      </c>
      <c r="AH967" s="54" t="str">
        <f>IF($AM967=0,"",IF($AF967&lt;&gt;"Forex",1,IF(MID(UPPER(SUBSTITUTE(TRIM($E967),"/","")),4,3)=UPPER(TRIM(Settings!$C$7)),1,IF(LEFT(UPPER(SUBSTITUTE(TRIM($E967),"/","")),3)=UPPER(TRIM(Settings!$C$7)),IF(AND(ISNUMBER($K967),N($K967)&lt;&gt;0),1/$K967,""),""))))</f>
        <v/>
      </c>
      <c r="AI967" s="55" t="str">
        <f>IF($AM967=0,"",IF(OR(NOT(ISNUMBER($H967)),NOT(ISNUMBER($K967)),NOT(ISNUMBER($G967)),$AG967="",$AH967=""),"",ROUND(($K967-$H967)*IF($F967="Short",-1,1)*$G967*$AG967*$AH967,6)))</f>
        <v/>
      </c>
      <c r="AJ967" s="55" t="str">
        <f>IF($AM967=0,"",IF(INDEX(Settings!$E$14:$E$18,$BF967)="% of notional",IF(OR($AG967="",NOT(ISNUMBER($H967)),NOT(ISNUMBER($G967))),"",ROUND(ABS($H967*$G967*$AG967*N($AH967))*IF($L967="Limit",N(INDEX(Settings!$G$14:$G$18,$BF967)),N(INDEX(Settings!$H$14:$H$18,$BF967)))+IF(ISNUMBER($K967),ABS($K967*$G967*$AG967*N($AH967))*IF($M967="Target",N(INDEX(Settings!$G$14:$G$18,$BF967)),N(INDEX(Settings!$H$14:$H$18,$BF967))),0),6)),IF(NOT(ISNUMBER($G967)),"",ROUND(ABS($G967)*2*IF(AND($BE967&gt;0,ISNUMBER(INDEX(Instruments!$G$6:$G$205,MAX(1,$BE967)))),INDEX(Instruments!$G$6:$G$205,MAX(1,$BE967)),N(INDEX(Settings!$F$14:$F$18,$BF967))),6))))</f>
        <v/>
      </c>
      <c r="AK967" s="55" t="str">
        <f>IF($AM967=0,"",IF(ISNUMBER($O967),$O967,$AI967))</f>
        <v/>
      </c>
      <c r="AL967" s="55" t="str">
        <f>IF($AM967=0,"",IF(ISNUMBER($P967),$P967,N($AJ967)))</f>
        <v/>
      </c>
      <c r="AM967" s="56">
        <f>IF(AND($A967&lt;&gt;"",$E967&lt;&gt;"",OR(AND(ISNUMBER($G967),ISNUMBER($H967),ISNUMBER($K967)),ISNUMBER($O967))),1,0)</f>
        <v>0</v>
      </c>
      <c r="AN967" s="57" t="str">
        <f>IF($A967="","",$A967-WEEKDAY($A967,3))</f>
        <v/>
      </c>
      <c r="AO967" s="56" t="str">
        <f>IF($A967="","",WEEKDAY($A967,2))</f>
        <v/>
      </c>
      <c r="AP967" s="55" t="str">
        <f>IF(OR($AM967=0,$C967=""),"",IFERROR(N(INDEX(Accounts!$E$7:$E$16,MATCH($C967,Accounts!$B$7:$B$16,0))),0)+SUMIFS($Q$6:$Q967,$C$6:$C967,$C967))</f>
        <v/>
      </c>
      <c r="AQ967" s="55" t="str">
        <f>IF(OR($AM967=0,$C967=""),"",SUMIFS($Q$6:$Q$1005,$C$6:$C$1005,$C967,$A$6:$A$1005,$A967))</f>
        <v/>
      </c>
      <c r="AR967" s="55" t="str">
        <f>IF(OR($AM967=0,$C967=""),"",IFERROR(N(INDEX(Accounts!$E$7:$E$16,MATCH($C967,Accounts!$B$7:$B$16,0))),0)+SUMIFS($Q$6:$Q$1005,$C$6:$C$1005,$C967,$A$6:$A$1005,"&lt;="&amp;$A967))</f>
        <v/>
      </c>
      <c r="AS967" s="56">
        <f>IF(OR($AM967=0,$Q967=""),0,IF(AND($A967&gt;=Lists!$W$6,$A967&lt;=Lists!$W$7,OR(Dashboard!$D$6="All accounts",$C967=Dashboard!$D$6),OR(Dashboard!$D$7="All markets",$AF967=Dashboard!$D$7)),1,0))</f>
        <v>0</v>
      </c>
      <c r="AT967" s="55">
        <f>IF($AS967=1,N(AT966)+$Q967,N(AT966))</f>
        <v>1187.10688</v>
      </c>
      <c r="AU967" s="55">
        <f>MAX(N(AU966),$AT967)</f>
        <v>1187.10688</v>
      </c>
      <c r="AV967" s="55">
        <f>$AT967-$AU967</f>
        <v>0</v>
      </c>
      <c r="AW967" s="56">
        <f>IF($AS967=1,IF($S967="Win",N(AW966)+1,IF($S967="Loss",0,N(AW966))),N(AW966))</f>
        <v>5</v>
      </c>
      <c r="AX967" s="56">
        <f>IF($AS967=1,IF($S967="Loss",N(AX966)+1,IF($S967="Win",0,N(AX966))),N(AX966))</f>
        <v>0</v>
      </c>
      <c r="AY967" s="56" t="str">
        <f>IF($AS967=1,COUNTIF($AS$6:$AS967,1),"")</f>
        <v/>
      </c>
      <c r="AZ967" s="56">
        <f>MIN(961,N(Lists!$W$8))</f>
        <v>28</v>
      </c>
      <c r="BA967" s="56">
        <f>IF($AS967=1,IF(COUNTIFS($A$6:$A967,$A967,$AS$6:$AS967,1)=1,1,0),0)</f>
        <v>0</v>
      </c>
      <c r="BB967" s="55" t="str">
        <f>IF($BA967=1,SUMIFS($Q$6:$Q$1005,$A$6:$A$1005,$A967,$AS$6:$AS$1005,1),"")</f>
        <v/>
      </c>
      <c r="BC967" s="56">
        <f>IF(ISNUMBER($R967),1,0)</f>
        <v>0</v>
      </c>
      <c r="BD967" s="55" t="str">
        <f>IF(ISNUMBER($U967),$U967*$V967,"")</f>
        <v/>
      </c>
      <c r="BE967" s="56" t="str">
        <f>IF($AM967=0,"",IFERROR(MATCH($AF967&amp;"|"&amp;UPPER(TRIM($E967)),Lists!$A$6:$A$205,0),0))</f>
        <v/>
      </c>
      <c r="BF967" s="56" t="str">
        <f>IF($AM967=0,"",IFERROR(MATCH($AF967,Settings!$B$14:$B$18,0),IFERROR(MATCH(Settings!$C$6,Settings!$B$14:$B$18,0),1)))</f>
        <v/>
      </c>
      <c r="BG967" s="58" t="str">
        <f>IF($AM967=0,"",IF(NOT(ISNUMBER($I967)),"No stop; ","")&amp;IF(AND(ISNUMBER($H967),ISNUMBER($I967)),IF(OR(AND($F967&lt;&gt;"Short",$I967&gt;=$H967),AND($F967="Short",$I967&lt;=$H967)),"Stop on wrong side; ",""),"")&amp;IF($F967="","No direction; ","")&amp;IF(AND(ISNUMBER(Settings!$C$22),ISNUMBER($V967)),IF($V967&gt;Settings!$C$22,"Risk over max $; ",""),"")&amp;IF(AND(ISNUMBER(Settings!$C$23),ISNUMBER($V967),ISNUMBER($AP967),IFERROR(N(INDEX(Accounts!$E$7:$E$16,MATCH($C967,Accounts!$B$7:$B$16,0))),0)&gt;0),IF($V967&gt;Settings!$C$23*($AP967-N($Q967)),"Risk over max %; ",""),"")&amp;IF(AND(ISNUMBER(Settings!$C$24),ISNUMBER($N967)),IF($N967&gt;Settings!$C$24,"Leverage over max; ",""),"")&amp;IF(AND(ISNUMBER(Settings!$C$27),ISNUMBER($T967)),IF($T967&lt;Settings!$C$27,"R:R below min; ",""),"")&amp;IF(ISNUMBER(Settings!$C$25),IF(COUNTIFS($A$6:$A967,$A967,$AM$6:$AM967,1)&gt;Settings!$C$25,"Over max trades/day; ",""),"")&amp;IF(ISNUMBER(Settings!$C$26),IF(SUMIFS($Q$5:$Q966,$A$5:$A966,$A967)&lt;=-Settings!$C$26,"Traded after daily max loss; ",""),"")&amp;IF(AND($AG967="",NOT(ISNUMBER($O967))),"Symbol not in Instruments; ","")&amp;IF(AND($AH967="",NOT(ISNUMBER($O967))),"Forex cross: type Gross P&amp;L; ",""))</f>
        <v/>
      </c>
      <c r="BH967" s="56">
        <f>IF(ISNUMBER($Q967),1,0)</f>
        <v>0</v>
      </c>
      <c r="BI967" s="56">
        <f>IF($Y967="",0,1)</f>
        <v>0</v>
      </c>
      <c r="BJ967" s="56">
        <f>IF($AB967="",0,1)</f>
        <v>0</v>
      </c>
      <c r="BK967" s="56">
        <f>IF(AND($BH967=1,$W967&lt;&gt;"OK"),1,0)</f>
        <v>0</v>
      </c>
      <c r="BL967" s="55">
        <f>IF(N($AZ967)=0,0,IFERROR(INDEX($AT$6:$AT$1005,MATCH($AZ967,$AY$6:$AY$1005,0)),0))</f>
        <v>1187.10688</v>
      </c>
      <c r="BM967" s="56">
        <f>IF(ISNUMBER(SEARCH("daily max loss",$BG967)),1,0)</f>
        <v>0</v>
      </c>
    </row>
    <row r="968" ht="18" customHeight="1">
      <c r="A968" s="38" t="n"/>
      <c r="B968" s="39" t="n"/>
      <c r="C968" s="40" t="n"/>
      <c r="D968" s="41" t="n"/>
      <c r="E968" s="41" t="n"/>
      <c r="F968" s="41" t="n"/>
      <c r="G968" s="41" t="n"/>
      <c r="H968" s="42" t="n"/>
      <c r="I968" s="42" t="n"/>
      <c r="J968" s="42" t="n"/>
      <c r="K968" s="42" t="n"/>
      <c r="L968" s="41" t="n"/>
      <c r="M968" s="41" t="n"/>
      <c r="N968" s="41" t="n"/>
      <c r="O968" s="43" t="n"/>
      <c r="P968" s="43" t="n"/>
      <c r="Q968" s="44" t="str">
        <f>IF($AM968=0,"",IF(ISNUMBER($AK968),$AK968-N($AL968),""))</f>
        <v/>
      </c>
      <c r="R968" s="45" t="str">
        <f>IF(OR($Q968="",NOT(ISNUMBER($V968))),"",$AK968/$V968)</f>
        <v/>
      </c>
      <c r="S968" s="46" t="str">
        <f>IF($Q968="","",IF(AND(ISNUMBER($R968),ABS(N($R968))&lt;N(Settings!$C$8)),"Scratch",IF($Q968&gt;0,"Win",IF($Q968&lt;0,"Loss","Scratch"))))</f>
        <v/>
      </c>
      <c r="T968" s="47" t="str">
        <f>IF(OR($AM968=0,NOT(ISNUMBER($H968)),NOT(ISNUMBER($I968)),NOT(ISNUMBER($J968))),"",IF($H968=$I968,"",ROUND(ABS($J968-$H968)/ABS($H968-$I968),6)))</f>
        <v/>
      </c>
      <c r="U968" s="48" t="str">
        <f>IF(OR($S968&lt;&gt;"Win",NOT(ISNUMBER($T968)),NOT(ISNUMBER($R968))),"",MAX(0,$T968-$R968))</f>
        <v/>
      </c>
      <c r="V968" s="49" t="str">
        <f>IF(OR($AM968=0,NOT(ISNUMBER($H968)),NOT(ISNUMBER($I968)),NOT(ISNUMBER($G968))),"",IF(OR($AG968="",$AH968=""),"",IF(ROUND(ABS($H968-$I968)*ABS($G968)*$AG968*$AH968,6)=0,"",ROUND(ABS($H968-$I968)*ABS($G968)*$AG968*$AH968,6))))</f>
        <v/>
      </c>
      <c r="W968" s="50" t="str">
        <f>IF($AM968=0,"",IF($BG968="","OK",LEFT($BG968,LEN($BG968)-2)))</f>
        <v/>
      </c>
      <c r="X968" s="41" t="n"/>
      <c r="Y968" s="40" t="n"/>
      <c r="Z968" s="41" t="n"/>
      <c r="AA968" s="41" t="n"/>
      <c r="AB968" s="40" t="n"/>
      <c r="AC968" s="51" t="n"/>
      <c r="AD968" s="51" t="n"/>
      <c r="AE968" s="40" t="n"/>
      <c r="AF968" s="52" t="str">
        <f>IF($AM968=0,"",IF($D968&lt;&gt;"",$D968,IF(IFERROR(INDEX(Accounts!$C$7:$C$16,MATCH($C968,Accounts!$B$7:$B$16,0))&amp;"","")&lt;&gt;"",INDEX(Accounts!$C$7:$C$16,MATCH($C968,Accounts!$B$7:$B$16,0)),Settings!$C$6)))</f>
        <v/>
      </c>
      <c r="AG968" s="53" t="str">
        <f>IF($AM968=0,"",IF(AND($BE968&gt;0,N(INDEX(Instruments!$D$6:$D$205,MAX(1,$BE968)))&gt;0),INDEX(Instruments!$D$6:$D$205,MAX(1,$BE968)),IF(N(INDEX(Settings!$D$14:$D$18,$BF968))&gt;0,INDEX(Settings!$D$14:$D$18,$BF968),"")))</f>
        <v/>
      </c>
      <c r="AH968" s="54" t="str">
        <f>IF($AM968=0,"",IF($AF968&lt;&gt;"Forex",1,IF(MID(UPPER(SUBSTITUTE(TRIM($E968),"/","")),4,3)=UPPER(TRIM(Settings!$C$7)),1,IF(LEFT(UPPER(SUBSTITUTE(TRIM($E968),"/","")),3)=UPPER(TRIM(Settings!$C$7)),IF(AND(ISNUMBER($K968),N($K968)&lt;&gt;0),1/$K968,""),""))))</f>
        <v/>
      </c>
      <c r="AI968" s="55" t="str">
        <f>IF($AM968=0,"",IF(OR(NOT(ISNUMBER($H968)),NOT(ISNUMBER($K968)),NOT(ISNUMBER($G968)),$AG968="",$AH968=""),"",ROUND(($K968-$H968)*IF($F968="Short",-1,1)*$G968*$AG968*$AH968,6)))</f>
        <v/>
      </c>
      <c r="AJ968" s="55" t="str">
        <f>IF($AM968=0,"",IF(INDEX(Settings!$E$14:$E$18,$BF968)="% of notional",IF(OR($AG968="",NOT(ISNUMBER($H968)),NOT(ISNUMBER($G968))),"",ROUND(ABS($H968*$G968*$AG968*N($AH968))*IF($L968="Limit",N(INDEX(Settings!$G$14:$G$18,$BF968)),N(INDEX(Settings!$H$14:$H$18,$BF968)))+IF(ISNUMBER($K968),ABS($K968*$G968*$AG968*N($AH968))*IF($M968="Target",N(INDEX(Settings!$G$14:$G$18,$BF968)),N(INDEX(Settings!$H$14:$H$18,$BF968))),0),6)),IF(NOT(ISNUMBER($G968)),"",ROUND(ABS($G968)*2*IF(AND($BE968&gt;0,ISNUMBER(INDEX(Instruments!$G$6:$G$205,MAX(1,$BE968)))),INDEX(Instruments!$G$6:$G$205,MAX(1,$BE968)),N(INDEX(Settings!$F$14:$F$18,$BF968))),6))))</f>
        <v/>
      </c>
      <c r="AK968" s="55" t="str">
        <f>IF($AM968=0,"",IF(ISNUMBER($O968),$O968,$AI968))</f>
        <v/>
      </c>
      <c r="AL968" s="55" t="str">
        <f>IF($AM968=0,"",IF(ISNUMBER($P968),$P968,N($AJ968)))</f>
        <v/>
      </c>
      <c r="AM968" s="56">
        <f>IF(AND($A968&lt;&gt;"",$E968&lt;&gt;"",OR(AND(ISNUMBER($G968),ISNUMBER($H968),ISNUMBER($K968)),ISNUMBER($O968))),1,0)</f>
        <v>0</v>
      </c>
      <c r="AN968" s="57" t="str">
        <f>IF($A968="","",$A968-WEEKDAY($A968,3))</f>
        <v/>
      </c>
      <c r="AO968" s="56" t="str">
        <f>IF($A968="","",WEEKDAY($A968,2))</f>
        <v/>
      </c>
      <c r="AP968" s="55" t="str">
        <f>IF(OR($AM968=0,$C968=""),"",IFERROR(N(INDEX(Accounts!$E$7:$E$16,MATCH($C968,Accounts!$B$7:$B$16,0))),0)+SUMIFS($Q$6:$Q968,$C$6:$C968,$C968))</f>
        <v/>
      </c>
      <c r="AQ968" s="55" t="str">
        <f>IF(OR($AM968=0,$C968=""),"",SUMIFS($Q$6:$Q$1005,$C$6:$C$1005,$C968,$A$6:$A$1005,$A968))</f>
        <v/>
      </c>
      <c r="AR968" s="55" t="str">
        <f>IF(OR($AM968=0,$C968=""),"",IFERROR(N(INDEX(Accounts!$E$7:$E$16,MATCH($C968,Accounts!$B$7:$B$16,0))),0)+SUMIFS($Q$6:$Q$1005,$C$6:$C$1005,$C968,$A$6:$A$1005,"&lt;="&amp;$A968))</f>
        <v/>
      </c>
      <c r="AS968" s="56">
        <f>IF(OR($AM968=0,$Q968=""),0,IF(AND($A968&gt;=Lists!$W$6,$A968&lt;=Lists!$W$7,OR(Dashboard!$D$6="All accounts",$C968=Dashboard!$D$6),OR(Dashboard!$D$7="All markets",$AF968=Dashboard!$D$7)),1,0))</f>
        <v>0</v>
      </c>
      <c r="AT968" s="55">
        <f>IF($AS968=1,N(AT967)+$Q968,N(AT967))</f>
        <v>1187.10688</v>
      </c>
      <c r="AU968" s="55">
        <f>MAX(N(AU967),$AT968)</f>
        <v>1187.10688</v>
      </c>
      <c r="AV968" s="55">
        <f>$AT968-$AU968</f>
        <v>0</v>
      </c>
      <c r="AW968" s="56">
        <f>IF($AS968=1,IF($S968="Win",N(AW967)+1,IF($S968="Loss",0,N(AW967))),N(AW967))</f>
        <v>5</v>
      </c>
      <c r="AX968" s="56">
        <f>IF($AS968=1,IF($S968="Loss",N(AX967)+1,IF($S968="Win",0,N(AX967))),N(AX967))</f>
        <v>0</v>
      </c>
      <c r="AY968" s="56" t="str">
        <f>IF($AS968=1,COUNTIF($AS$6:$AS968,1),"")</f>
        <v/>
      </c>
      <c r="AZ968" s="56">
        <f>MIN(962,N(Lists!$W$8))</f>
        <v>28</v>
      </c>
      <c r="BA968" s="56">
        <f>IF($AS968=1,IF(COUNTIFS($A$6:$A968,$A968,$AS$6:$AS968,1)=1,1,0),0)</f>
        <v>0</v>
      </c>
      <c r="BB968" s="55" t="str">
        <f>IF($BA968=1,SUMIFS($Q$6:$Q$1005,$A$6:$A$1005,$A968,$AS$6:$AS$1005,1),"")</f>
        <v/>
      </c>
      <c r="BC968" s="56">
        <f>IF(ISNUMBER($R968),1,0)</f>
        <v>0</v>
      </c>
      <c r="BD968" s="55" t="str">
        <f>IF(ISNUMBER($U968),$U968*$V968,"")</f>
        <v/>
      </c>
      <c r="BE968" s="56" t="str">
        <f>IF($AM968=0,"",IFERROR(MATCH($AF968&amp;"|"&amp;UPPER(TRIM($E968)),Lists!$A$6:$A$205,0),0))</f>
        <v/>
      </c>
      <c r="BF968" s="56" t="str">
        <f>IF($AM968=0,"",IFERROR(MATCH($AF968,Settings!$B$14:$B$18,0),IFERROR(MATCH(Settings!$C$6,Settings!$B$14:$B$18,0),1)))</f>
        <v/>
      </c>
      <c r="BG968" s="58" t="str">
        <f>IF($AM968=0,"",IF(NOT(ISNUMBER($I968)),"No stop; ","")&amp;IF(AND(ISNUMBER($H968),ISNUMBER($I968)),IF(OR(AND($F968&lt;&gt;"Short",$I968&gt;=$H968),AND($F968="Short",$I968&lt;=$H968)),"Stop on wrong side; ",""),"")&amp;IF($F968="","No direction; ","")&amp;IF(AND(ISNUMBER(Settings!$C$22),ISNUMBER($V968)),IF($V968&gt;Settings!$C$22,"Risk over max $; ",""),"")&amp;IF(AND(ISNUMBER(Settings!$C$23),ISNUMBER($V968),ISNUMBER($AP968),IFERROR(N(INDEX(Accounts!$E$7:$E$16,MATCH($C968,Accounts!$B$7:$B$16,0))),0)&gt;0),IF($V968&gt;Settings!$C$23*($AP968-N($Q968)),"Risk over max %; ",""),"")&amp;IF(AND(ISNUMBER(Settings!$C$24),ISNUMBER($N968)),IF($N968&gt;Settings!$C$24,"Leverage over max; ",""),"")&amp;IF(AND(ISNUMBER(Settings!$C$27),ISNUMBER($T968)),IF($T968&lt;Settings!$C$27,"R:R below min; ",""),"")&amp;IF(ISNUMBER(Settings!$C$25),IF(COUNTIFS($A$6:$A968,$A968,$AM$6:$AM968,1)&gt;Settings!$C$25,"Over max trades/day; ",""),"")&amp;IF(ISNUMBER(Settings!$C$26),IF(SUMIFS($Q$5:$Q967,$A$5:$A967,$A968)&lt;=-Settings!$C$26,"Traded after daily max loss; ",""),"")&amp;IF(AND($AG968="",NOT(ISNUMBER($O968))),"Symbol not in Instruments; ","")&amp;IF(AND($AH968="",NOT(ISNUMBER($O968))),"Forex cross: type Gross P&amp;L; ",""))</f>
        <v/>
      </c>
      <c r="BH968" s="56">
        <f>IF(ISNUMBER($Q968),1,0)</f>
        <v>0</v>
      </c>
      <c r="BI968" s="56">
        <f>IF($Y968="",0,1)</f>
        <v>0</v>
      </c>
      <c r="BJ968" s="56">
        <f>IF($AB968="",0,1)</f>
        <v>0</v>
      </c>
      <c r="BK968" s="56">
        <f>IF(AND($BH968=1,$W968&lt;&gt;"OK"),1,0)</f>
        <v>0</v>
      </c>
      <c r="BL968" s="55">
        <f>IF(N($AZ968)=0,0,IFERROR(INDEX($AT$6:$AT$1005,MATCH($AZ968,$AY$6:$AY$1005,0)),0))</f>
        <v>1187.10688</v>
      </c>
      <c r="BM968" s="56">
        <f>IF(ISNUMBER(SEARCH("daily max loss",$BG968)),1,0)</f>
        <v>0</v>
      </c>
    </row>
    <row r="969" ht="18" customHeight="1">
      <c r="A969" s="38" t="n"/>
      <c r="B969" s="39" t="n"/>
      <c r="C969" s="40" t="n"/>
      <c r="D969" s="41" t="n"/>
      <c r="E969" s="41" t="n"/>
      <c r="F969" s="41" t="n"/>
      <c r="G969" s="41" t="n"/>
      <c r="H969" s="42" t="n"/>
      <c r="I969" s="42" t="n"/>
      <c r="J969" s="42" t="n"/>
      <c r="K969" s="42" t="n"/>
      <c r="L969" s="41" t="n"/>
      <c r="M969" s="41" t="n"/>
      <c r="N969" s="41" t="n"/>
      <c r="O969" s="43" t="n"/>
      <c r="P969" s="43" t="n"/>
      <c r="Q969" s="44" t="str">
        <f>IF($AM969=0,"",IF(ISNUMBER($AK969),$AK969-N($AL969),""))</f>
        <v/>
      </c>
      <c r="R969" s="45" t="str">
        <f>IF(OR($Q969="",NOT(ISNUMBER($V969))),"",$AK969/$V969)</f>
        <v/>
      </c>
      <c r="S969" s="46" t="str">
        <f>IF($Q969="","",IF(AND(ISNUMBER($R969),ABS(N($R969))&lt;N(Settings!$C$8)),"Scratch",IF($Q969&gt;0,"Win",IF($Q969&lt;0,"Loss","Scratch"))))</f>
        <v/>
      </c>
      <c r="T969" s="47" t="str">
        <f>IF(OR($AM969=0,NOT(ISNUMBER($H969)),NOT(ISNUMBER($I969)),NOT(ISNUMBER($J969))),"",IF($H969=$I969,"",ROUND(ABS($J969-$H969)/ABS($H969-$I969),6)))</f>
        <v/>
      </c>
      <c r="U969" s="48" t="str">
        <f>IF(OR($S969&lt;&gt;"Win",NOT(ISNUMBER($T969)),NOT(ISNUMBER($R969))),"",MAX(0,$T969-$R969))</f>
        <v/>
      </c>
      <c r="V969" s="49" t="str">
        <f>IF(OR($AM969=0,NOT(ISNUMBER($H969)),NOT(ISNUMBER($I969)),NOT(ISNUMBER($G969))),"",IF(OR($AG969="",$AH969=""),"",IF(ROUND(ABS($H969-$I969)*ABS($G969)*$AG969*$AH969,6)=0,"",ROUND(ABS($H969-$I969)*ABS($G969)*$AG969*$AH969,6))))</f>
        <v/>
      </c>
      <c r="W969" s="50" t="str">
        <f>IF($AM969=0,"",IF($BG969="","OK",LEFT($BG969,LEN($BG969)-2)))</f>
        <v/>
      </c>
      <c r="X969" s="41" t="n"/>
      <c r="Y969" s="40" t="n"/>
      <c r="Z969" s="41" t="n"/>
      <c r="AA969" s="41" t="n"/>
      <c r="AB969" s="40" t="n"/>
      <c r="AC969" s="51" t="n"/>
      <c r="AD969" s="51" t="n"/>
      <c r="AE969" s="40" t="n"/>
      <c r="AF969" s="52" t="str">
        <f>IF($AM969=0,"",IF($D969&lt;&gt;"",$D969,IF(IFERROR(INDEX(Accounts!$C$7:$C$16,MATCH($C969,Accounts!$B$7:$B$16,0))&amp;"","")&lt;&gt;"",INDEX(Accounts!$C$7:$C$16,MATCH($C969,Accounts!$B$7:$B$16,0)),Settings!$C$6)))</f>
        <v/>
      </c>
      <c r="AG969" s="53" t="str">
        <f>IF($AM969=0,"",IF(AND($BE969&gt;0,N(INDEX(Instruments!$D$6:$D$205,MAX(1,$BE969)))&gt;0),INDEX(Instruments!$D$6:$D$205,MAX(1,$BE969)),IF(N(INDEX(Settings!$D$14:$D$18,$BF969))&gt;0,INDEX(Settings!$D$14:$D$18,$BF969),"")))</f>
        <v/>
      </c>
      <c r="AH969" s="54" t="str">
        <f>IF($AM969=0,"",IF($AF969&lt;&gt;"Forex",1,IF(MID(UPPER(SUBSTITUTE(TRIM($E969),"/","")),4,3)=UPPER(TRIM(Settings!$C$7)),1,IF(LEFT(UPPER(SUBSTITUTE(TRIM($E969),"/","")),3)=UPPER(TRIM(Settings!$C$7)),IF(AND(ISNUMBER($K969),N($K969)&lt;&gt;0),1/$K969,""),""))))</f>
        <v/>
      </c>
      <c r="AI969" s="55" t="str">
        <f>IF($AM969=0,"",IF(OR(NOT(ISNUMBER($H969)),NOT(ISNUMBER($K969)),NOT(ISNUMBER($G969)),$AG969="",$AH969=""),"",ROUND(($K969-$H969)*IF($F969="Short",-1,1)*$G969*$AG969*$AH969,6)))</f>
        <v/>
      </c>
      <c r="AJ969" s="55" t="str">
        <f>IF($AM969=0,"",IF(INDEX(Settings!$E$14:$E$18,$BF969)="% of notional",IF(OR($AG969="",NOT(ISNUMBER($H969)),NOT(ISNUMBER($G969))),"",ROUND(ABS($H969*$G969*$AG969*N($AH969))*IF($L969="Limit",N(INDEX(Settings!$G$14:$G$18,$BF969)),N(INDEX(Settings!$H$14:$H$18,$BF969)))+IF(ISNUMBER($K969),ABS($K969*$G969*$AG969*N($AH969))*IF($M969="Target",N(INDEX(Settings!$G$14:$G$18,$BF969)),N(INDEX(Settings!$H$14:$H$18,$BF969))),0),6)),IF(NOT(ISNUMBER($G969)),"",ROUND(ABS($G969)*2*IF(AND($BE969&gt;0,ISNUMBER(INDEX(Instruments!$G$6:$G$205,MAX(1,$BE969)))),INDEX(Instruments!$G$6:$G$205,MAX(1,$BE969)),N(INDEX(Settings!$F$14:$F$18,$BF969))),6))))</f>
        <v/>
      </c>
      <c r="AK969" s="55" t="str">
        <f>IF($AM969=0,"",IF(ISNUMBER($O969),$O969,$AI969))</f>
        <v/>
      </c>
      <c r="AL969" s="55" t="str">
        <f>IF($AM969=0,"",IF(ISNUMBER($P969),$P969,N($AJ969)))</f>
        <v/>
      </c>
      <c r="AM969" s="56">
        <f>IF(AND($A969&lt;&gt;"",$E969&lt;&gt;"",OR(AND(ISNUMBER($G969),ISNUMBER($H969),ISNUMBER($K969)),ISNUMBER($O969))),1,0)</f>
        <v>0</v>
      </c>
      <c r="AN969" s="57" t="str">
        <f>IF($A969="","",$A969-WEEKDAY($A969,3))</f>
        <v/>
      </c>
      <c r="AO969" s="56" t="str">
        <f>IF($A969="","",WEEKDAY($A969,2))</f>
        <v/>
      </c>
      <c r="AP969" s="55" t="str">
        <f>IF(OR($AM969=0,$C969=""),"",IFERROR(N(INDEX(Accounts!$E$7:$E$16,MATCH($C969,Accounts!$B$7:$B$16,0))),0)+SUMIFS($Q$6:$Q969,$C$6:$C969,$C969))</f>
        <v/>
      </c>
      <c r="AQ969" s="55" t="str">
        <f>IF(OR($AM969=0,$C969=""),"",SUMIFS($Q$6:$Q$1005,$C$6:$C$1005,$C969,$A$6:$A$1005,$A969))</f>
        <v/>
      </c>
      <c r="AR969" s="55" t="str">
        <f>IF(OR($AM969=0,$C969=""),"",IFERROR(N(INDEX(Accounts!$E$7:$E$16,MATCH($C969,Accounts!$B$7:$B$16,0))),0)+SUMIFS($Q$6:$Q$1005,$C$6:$C$1005,$C969,$A$6:$A$1005,"&lt;="&amp;$A969))</f>
        <v/>
      </c>
      <c r="AS969" s="56">
        <f>IF(OR($AM969=0,$Q969=""),0,IF(AND($A969&gt;=Lists!$W$6,$A969&lt;=Lists!$W$7,OR(Dashboard!$D$6="All accounts",$C969=Dashboard!$D$6),OR(Dashboard!$D$7="All markets",$AF969=Dashboard!$D$7)),1,0))</f>
        <v>0</v>
      </c>
      <c r="AT969" s="55">
        <f>IF($AS969=1,N(AT968)+$Q969,N(AT968))</f>
        <v>1187.10688</v>
      </c>
      <c r="AU969" s="55">
        <f>MAX(N(AU968),$AT969)</f>
        <v>1187.10688</v>
      </c>
      <c r="AV969" s="55">
        <f>$AT969-$AU969</f>
        <v>0</v>
      </c>
      <c r="AW969" s="56">
        <f>IF($AS969=1,IF($S969="Win",N(AW968)+1,IF($S969="Loss",0,N(AW968))),N(AW968))</f>
        <v>5</v>
      </c>
      <c r="AX969" s="56">
        <f>IF($AS969=1,IF($S969="Loss",N(AX968)+1,IF($S969="Win",0,N(AX968))),N(AX968))</f>
        <v>0</v>
      </c>
      <c r="AY969" s="56" t="str">
        <f>IF($AS969=1,COUNTIF($AS$6:$AS969,1),"")</f>
        <v/>
      </c>
      <c r="AZ969" s="56">
        <f>MIN(963,N(Lists!$W$8))</f>
        <v>28</v>
      </c>
      <c r="BA969" s="56">
        <f>IF($AS969=1,IF(COUNTIFS($A$6:$A969,$A969,$AS$6:$AS969,1)=1,1,0),0)</f>
        <v>0</v>
      </c>
      <c r="BB969" s="55" t="str">
        <f>IF($BA969=1,SUMIFS($Q$6:$Q$1005,$A$6:$A$1005,$A969,$AS$6:$AS$1005,1),"")</f>
        <v/>
      </c>
      <c r="BC969" s="56">
        <f>IF(ISNUMBER($R969),1,0)</f>
        <v>0</v>
      </c>
      <c r="BD969" s="55" t="str">
        <f>IF(ISNUMBER($U969),$U969*$V969,"")</f>
        <v/>
      </c>
      <c r="BE969" s="56" t="str">
        <f>IF($AM969=0,"",IFERROR(MATCH($AF969&amp;"|"&amp;UPPER(TRIM($E969)),Lists!$A$6:$A$205,0),0))</f>
        <v/>
      </c>
      <c r="BF969" s="56" t="str">
        <f>IF($AM969=0,"",IFERROR(MATCH($AF969,Settings!$B$14:$B$18,0),IFERROR(MATCH(Settings!$C$6,Settings!$B$14:$B$18,0),1)))</f>
        <v/>
      </c>
      <c r="BG969" s="58" t="str">
        <f>IF($AM969=0,"",IF(NOT(ISNUMBER($I969)),"No stop; ","")&amp;IF(AND(ISNUMBER($H969),ISNUMBER($I969)),IF(OR(AND($F969&lt;&gt;"Short",$I969&gt;=$H969),AND($F969="Short",$I969&lt;=$H969)),"Stop on wrong side; ",""),"")&amp;IF($F969="","No direction; ","")&amp;IF(AND(ISNUMBER(Settings!$C$22),ISNUMBER($V969)),IF($V969&gt;Settings!$C$22,"Risk over max $; ",""),"")&amp;IF(AND(ISNUMBER(Settings!$C$23),ISNUMBER($V969),ISNUMBER($AP969),IFERROR(N(INDEX(Accounts!$E$7:$E$16,MATCH($C969,Accounts!$B$7:$B$16,0))),0)&gt;0),IF($V969&gt;Settings!$C$23*($AP969-N($Q969)),"Risk over max %; ",""),"")&amp;IF(AND(ISNUMBER(Settings!$C$24),ISNUMBER($N969)),IF($N969&gt;Settings!$C$24,"Leverage over max; ",""),"")&amp;IF(AND(ISNUMBER(Settings!$C$27),ISNUMBER($T969)),IF($T969&lt;Settings!$C$27,"R:R below min; ",""),"")&amp;IF(ISNUMBER(Settings!$C$25),IF(COUNTIFS($A$6:$A969,$A969,$AM$6:$AM969,1)&gt;Settings!$C$25,"Over max trades/day; ",""),"")&amp;IF(ISNUMBER(Settings!$C$26),IF(SUMIFS($Q$5:$Q968,$A$5:$A968,$A969)&lt;=-Settings!$C$26,"Traded after daily max loss; ",""),"")&amp;IF(AND($AG969="",NOT(ISNUMBER($O969))),"Symbol not in Instruments; ","")&amp;IF(AND($AH969="",NOT(ISNUMBER($O969))),"Forex cross: type Gross P&amp;L; ",""))</f>
        <v/>
      </c>
      <c r="BH969" s="56">
        <f>IF(ISNUMBER($Q969),1,0)</f>
        <v>0</v>
      </c>
      <c r="BI969" s="56">
        <f>IF($Y969="",0,1)</f>
        <v>0</v>
      </c>
      <c r="BJ969" s="56">
        <f>IF($AB969="",0,1)</f>
        <v>0</v>
      </c>
      <c r="BK969" s="56">
        <f>IF(AND($BH969=1,$W969&lt;&gt;"OK"),1,0)</f>
        <v>0</v>
      </c>
      <c r="BL969" s="55">
        <f>IF(N($AZ969)=0,0,IFERROR(INDEX($AT$6:$AT$1005,MATCH($AZ969,$AY$6:$AY$1005,0)),0))</f>
        <v>1187.10688</v>
      </c>
      <c r="BM969" s="56">
        <f>IF(ISNUMBER(SEARCH("daily max loss",$BG969)),1,0)</f>
        <v>0</v>
      </c>
    </row>
    <row r="970" ht="18" customHeight="1">
      <c r="A970" s="38" t="n"/>
      <c r="B970" s="39" t="n"/>
      <c r="C970" s="40" t="n"/>
      <c r="D970" s="41" t="n"/>
      <c r="E970" s="41" t="n"/>
      <c r="F970" s="41" t="n"/>
      <c r="G970" s="41" t="n"/>
      <c r="H970" s="42" t="n"/>
      <c r="I970" s="42" t="n"/>
      <c r="J970" s="42" t="n"/>
      <c r="K970" s="42" t="n"/>
      <c r="L970" s="41" t="n"/>
      <c r="M970" s="41" t="n"/>
      <c r="N970" s="41" t="n"/>
      <c r="O970" s="43" t="n"/>
      <c r="P970" s="43" t="n"/>
      <c r="Q970" s="44" t="str">
        <f>IF($AM970=0,"",IF(ISNUMBER($AK970),$AK970-N($AL970),""))</f>
        <v/>
      </c>
      <c r="R970" s="45" t="str">
        <f>IF(OR($Q970="",NOT(ISNUMBER($V970))),"",$AK970/$V970)</f>
        <v/>
      </c>
      <c r="S970" s="46" t="str">
        <f>IF($Q970="","",IF(AND(ISNUMBER($R970),ABS(N($R970))&lt;N(Settings!$C$8)),"Scratch",IF($Q970&gt;0,"Win",IF($Q970&lt;0,"Loss","Scratch"))))</f>
        <v/>
      </c>
      <c r="T970" s="47" t="str">
        <f>IF(OR($AM970=0,NOT(ISNUMBER($H970)),NOT(ISNUMBER($I970)),NOT(ISNUMBER($J970))),"",IF($H970=$I970,"",ROUND(ABS($J970-$H970)/ABS($H970-$I970),6)))</f>
        <v/>
      </c>
      <c r="U970" s="48" t="str">
        <f>IF(OR($S970&lt;&gt;"Win",NOT(ISNUMBER($T970)),NOT(ISNUMBER($R970))),"",MAX(0,$T970-$R970))</f>
        <v/>
      </c>
      <c r="V970" s="49" t="str">
        <f>IF(OR($AM970=0,NOT(ISNUMBER($H970)),NOT(ISNUMBER($I970)),NOT(ISNUMBER($G970))),"",IF(OR($AG970="",$AH970=""),"",IF(ROUND(ABS($H970-$I970)*ABS($G970)*$AG970*$AH970,6)=0,"",ROUND(ABS($H970-$I970)*ABS($G970)*$AG970*$AH970,6))))</f>
        <v/>
      </c>
      <c r="W970" s="50" t="str">
        <f>IF($AM970=0,"",IF($BG970="","OK",LEFT($BG970,LEN($BG970)-2)))</f>
        <v/>
      </c>
      <c r="X970" s="41" t="n"/>
      <c r="Y970" s="40" t="n"/>
      <c r="Z970" s="41" t="n"/>
      <c r="AA970" s="41" t="n"/>
      <c r="AB970" s="40" t="n"/>
      <c r="AC970" s="51" t="n"/>
      <c r="AD970" s="51" t="n"/>
      <c r="AE970" s="40" t="n"/>
      <c r="AF970" s="52" t="str">
        <f>IF($AM970=0,"",IF($D970&lt;&gt;"",$D970,IF(IFERROR(INDEX(Accounts!$C$7:$C$16,MATCH($C970,Accounts!$B$7:$B$16,0))&amp;"","")&lt;&gt;"",INDEX(Accounts!$C$7:$C$16,MATCH($C970,Accounts!$B$7:$B$16,0)),Settings!$C$6)))</f>
        <v/>
      </c>
      <c r="AG970" s="53" t="str">
        <f>IF($AM970=0,"",IF(AND($BE970&gt;0,N(INDEX(Instruments!$D$6:$D$205,MAX(1,$BE970)))&gt;0),INDEX(Instruments!$D$6:$D$205,MAX(1,$BE970)),IF(N(INDEX(Settings!$D$14:$D$18,$BF970))&gt;0,INDEX(Settings!$D$14:$D$18,$BF970),"")))</f>
        <v/>
      </c>
      <c r="AH970" s="54" t="str">
        <f>IF($AM970=0,"",IF($AF970&lt;&gt;"Forex",1,IF(MID(UPPER(SUBSTITUTE(TRIM($E970),"/","")),4,3)=UPPER(TRIM(Settings!$C$7)),1,IF(LEFT(UPPER(SUBSTITUTE(TRIM($E970),"/","")),3)=UPPER(TRIM(Settings!$C$7)),IF(AND(ISNUMBER($K970),N($K970)&lt;&gt;0),1/$K970,""),""))))</f>
        <v/>
      </c>
      <c r="AI970" s="55" t="str">
        <f>IF($AM970=0,"",IF(OR(NOT(ISNUMBER($H970)),NOT(ISNUMBER($K970)),NOT(ISNUMBER($G970)),$AG970="",$AH970=""),"",ROUND(($K970-$H970)*IF($F970="Short",-1,1)*$G970*$AG970*$AH970,6)))</f>
        <v/>
      </c>
      <c r="AJ970" s="55" t="str">
        <f>IF($AM970=0,"",IF(INDEX(Settings!$E$14:$E$18,$BF970)="% of notional",IF(OR($AG970="",NOT(ISNUMBER($H970)),NOT(ISNUMBER($G970))),"",ROUND(ABS($H970*$G970*$AG970*N($AH970))*IF($L970="Limit",N(INDEX(Settings!$G$14:$G$18,$BF970)),N(INDEX(Settings!$H$14:$H$18,$BF970)))+IF(ISNUMBER($K970),ABS($K970*$G970*$AG970*N($AH970))*IF($M970="Target",N(INDEX(Settings!$G$14:$G$18,$BF970)),N(INDEX(Settings!$H$14:$H$18,$BF970))),0),6)),IF(NOT(ISNUMBER($G970)),"",ROUND(ABS($G970)*2*IF(AND($BE970&gt;0,ISNUMBER(INDEX(Instruments!$G$6:$G$205,MAX(1,$BE970)))),INDEX(Instruments!$G$6:$G$205,MAX(1,$BE970)),N(INDEX(Settings!$F$14:$F$18,$BF970))),6))))</f>
        <v/>
      </c>
      <c r="AK970" s="55" t="str">
        <f>IF($AM970=0,"",IF(ISNUMBER($O970),$O970,$AI970))</f>
        <v/>
      </c>
      <c r="AL970" s="55" t="str">
        <f>IF($AM970=0,"",IF(ISNUMBER($P970),$P970,N($AJ970)))</f>
        <v/>
      </c>
      <c r="AM970" s="56">
        <f>IF(AND($A970&lt;&gt;"",$E970&lt;&gt;"",OR(AND(ISNUMBER($G970),ISNUMBER($H970),ISNUMBER($K970)),ISNUMBER($O970))),1,0)</f>
        <v>0</v>
      </c>
      <c r="AN970" s="57" t="str">
        <f>IF($A970="","",$A970-WEEKDAY($A970,3))</f>
        <v/>
      </c>
      <c r="AO970" s="56" t="str">
        <f>IF($A970="","",WEEKDAY($A970,2))</f>
        <v/>
      </c>
      <c r="AP970" s="55" t="str">
        <f>IF(OR($AM970=0,$C970=""),"",IFERROR(N(INDEX(Accounts!$E$7:$E$16,MATCH($C970,Accounts!$B$7:$B$16,0))),0)+SUMIFS($Q$6:$Q970,$C$6:$C970,$C970))</f>
        <v/>
      </c>
      <c r="AQ970" s="55" t="str">
        <f>IF(OR($AM970=0,$C970=""),"",SUMIFS($Q$6:$Q$1005,$C$6:$C$1005,$C970,$A$6:$A$1005,$A970))</f>
        <v/>
      </c>
      <c r="AR970" s="55" t="str">
        <f>IF(OR($AM970=0,$C970=""),"",IFERROR(N(INDEX(Accounts!$E$7:$E$16,MATCH($C970,Accounts!$B$7:$B$16,0))),0)+SUMIFS($Q$6:$Q$1005,$C$6:$C$1005,$C970,$A$6:$A$1005,"&lt;="&amp;$A970))</f>
        <v/>
      </c>
      <c r="AS970" s="56">
        <f>IF(OR($AM970=0,$Q970=""),0,IF(AND($A970&gt;=Lists!$W$6,$A970&lt;=Lists!$W$7,OR(Dashboard!$D$6="All accounts",$C970=Dashboard!$D$6),OR(Dashboard!$D$7="All markets",$AF970=Dashboard!$D$7)),1,0))</f>
        <v>0</v>
      </c>
      <c r="AT970" s="55">
        <f>IF($AS970=1,N(AT969)+$Q970,N(AT969))</f>
        <v>1187.10688</v>
      </c>
      <c r="AU970" s="55">
        <f>MAX(N(AU969),$AT970)</f>
        <v>1187.10688</v>
      </c>
      <c r="AV970" s="55">
        <f>$AT970-$AU970</f>
        <v>0</v>
      </c>
      <c r="AW970" s="56">
        <f>IF($AS970=1,IF($S970="Win",N(AW969)+1,IF($S970="Loss",0,N(AW969))),N(AW969))</f>
        <v>5</v>
      </c>
      <c r="AX970" s="56">
        <f>IF($AS970=1,IF($S970="Loss",N(AX969)+1,IF($S970="Win",0,N(AX969))),N(AX969))</f>
        <v>0</v>
      </c>
      <c r="AY970" s="56" t="str">
        <f>IF($AS970=1,COUNTIF($AS$6:$AS970,1),"")</f>
        <v/>
      </c>
      <c r="AZ970" s="56">
        <f>MIN(964,N(Lists!$W$8))</f>
        <v>28</v>
      </c>
      <c r="BA970" s="56">
        <f>IF($AS970=1,IF(COUNTIFS($A$6:$A970,$A970,$AS$6:$AS970,1)=1,1,0),0)</f>
        <v>0</v>
      </c>
      <c r="BB970" s="55" t="str">
        <f>IF($BA970=1,SUMIFS($Q$6:$Q$1005,$A$6:$A$1005,$A970,$AS$6:$AS$1005,1),"")</f>
        <v/>
      </c>
      <c r="BC970" s="56">
        <f>IF(ISNUMBER($R970),1,0)</f>
        <v>0</v>
      </c>
      <c r="BD970" s="55" t="str">
        <f>IF(ISNUMBER($U970),$U970*$V970,"")</f>
        <v/>
      </c>
      <c r="BE970" s="56" t="str">
        <f>IF($AM970=0,"",IFERROR(MATCH($AF970&amp;"|"&amp;UPPER(TRIM($E970)),Lists!$A$6:$A$205,0),0))</f>
        <v/>
      </c>
      <c r="BF970" s="56" t="str">
        <f>IF($AM970=0,"",IFERROR(MATCH($AF970,Settings!$B$14:$B$18,0),IFERROR(MATCH(Settings!$C$6,Settings!$B$14:$B$18,0),1)))</f>
        <v/>
      </c>
      <c r="BG970" s="58" t="str">
        <f>IF($AM970=0,"",IF(NOT(ISNUMBER($I970)),"No stop; ","")&amp;IF(AND(ISNUMBER($H970),ISNUMBER($I970)),IF(OR(AND($F970&lt;&gt;"Short",$I970&gt;=$H970),AND($F970="Short",$I970&lt;=$H970)),"Stop on wrong side; ",""),"")&amp;IF($F970="","No direction; ","")&amp;IF(AND(ISNUMBER(Settings!$C$22),ISNUMBER($V970)),IF($V970&gt;Settings!$C$22,"Risk over max $; ",""),"")&amp;IF(AND(ISNUMBER(Settings!$C$23),ISNUMBER($V970),ISNUMBER($AP970),IFERROR(N(INDEX(Accounts!$E$7:$E$16,MATCH($C970,Accounts!$B$7:$B$16,0))),0)&gt;0),IF($V970&gt;Settings!$C$23*($AP970-N($Q970)),"Risk over max %; ",""),"")&amp;IF(AND(ISNUMBER(Settings!$C$24),ISNUMBER($N970)),IF($N970&gt;Settings!$C$24,"Leverage over max; ",""),"")&amp;IF(AND(ISNUMBER(Settings!$C$27),ISNUMBER($T970)),IF($T970&lt;Settings!$C$27,"R:R below min; ",""),"")&amp;IF(ISNUMBER(Settings!$C$25),IF(COUNTIFS($A$6:$A970,$A970,$AM$6:$AM970,1)&gt;Settings!$C$25,"Over max trades/day; ",""),"")&amp;IF(ISNUMBER(Settings!$C$26),IF(SUMIFS($Q$5:$Q969,$A$5:$A969,$A970)&lt;=-Settings!$C$26,"Traded after daily max loss; ",""),"")&amp;IF(AND($AG970="",NOT(ISNUMBER($O970))),"Symbol not in Instruments; ","")&amp;IF(AND($AH970="",NOT(ISNUMBER($O970))),"Forex cross: type Gross P&amp;L; ",""))</f>
        <v/>
      </c>
      <c r="BH970" s="56">
        <f>IF(ISNUMBER($Q970),1,0)</f>
        <v>0</v>
      </c>
      <c r="BI970" s="56">
        <f>IF($Y970="",0,1)</f>
        <v>0</v>
      </c>
      <c r="BJ970" s="56">
        <f>IF($AB970="",0,1)</f>
        <v>0</v>
      </c>
      <c r="BK970" s="56">
        <f>IF(AND($BH970=1,$W970&lt;&gt;"OK"),1,0)</f>
        <v>0</v>
      </c>
      <c r="BL970" s="55">
        <f>IF(N($AZ970)=0,0,IFERROR(INDEX($AT$6:$AT$1005,MATCH($AZ970,$AY$6:$AY$1005,0)),0))</f>
        <v>1187.10688</v>
      </c>
      <c r="BM970" s="56">
        <f>IF(ISNUMBER(SEARCH("daily max loss",$BG970)),1,0)</f>
        <v>0</v>
      </c>
    </row>
    <row r="971" ht="18" customHeight="1">
      <c r="A971" s="38" t="n"/>
      <c r="B971" s="39" t="n"/>
      <c r="C971" s="40" t="n"/>
      <c r="D971" s="41" t="n"/>
      <c r="E971" s="41" t="n"/>
      <c r="F971" s="41" t="n"/>
      <c r="G971" s="41" t="n"/>
      <c r="H971" s="42" t="n"/>
      <c r="I971" s="42" t="n"/>
      <c r="J971" s="42" t="n"/>
      <c r="K971" s="42" t="n"/>
      <c r="L971" s="41" t="n"/>
      <c r="M971" s="41" t="n"/>
      <c r="N971" s="41" t="n"/>
      <c r="O971" s="43" t="n"/>
      <c r="P971" s="43" t="n"/>
      <c r="Q971" s="44" t="str">
        <f>IF($AM971=0,"",IF(ISNUMBER($AK971),$AK971-N($AL971),""))</f>
        <v/>
      </c>
      <c r="R971" s="45" t="str">
        <f>IF(OR($Q971="",NOT(ISNUMBER($V971))),"",$AK971/$V971)</f>
        <v/>
      </c>
      <c r="S971" s="46" t="str">
        <f>IF($Q971="","",IF(AND(ISNUMBER($R971),ABS(N($R971))&lt;N(Settings!$C$8)),"Scratch",IF($Q971&gt;0,"Win",IF($Q971&lt;0,"Loss","Scratch"))))</f>
        <v/>
      </c>
      <c r="T971" s="47" t="str">
        <f>IF(OR($AM971=0,NOT(ISNUMBER($H971)),NOT(ISNUMBER($I971)),NOT(ISNUMBER($J971))),"",IF($H971=$I971,"",ROUND(ABS($J971-$H971)/ABS($H971-$I971),6)))</f>
        <v/>
      </c>
      <c r="U971" s="48" t="str">
        <f>IF(OR($S971&lt;&gt;"Win",NOT(ISNUMBER($T971)),NOT(ISNUMBER($R971))),"",MAX(0,$T971-$R971))</f>
        <v/>
      </c>
      <c r="V971" s="49" t="str">
        <f>IF(OR($AM971=0,NOT(ISNUMBER($H971)),NOT(ISNUMBER($I971)),NOT(ISNUMBER($G971))),"",IF(OR($AG971="",$AH971=""),"",IF(ROUND(ABS($H971-$I971)*ABS($G971)*$AG971*$AH971,6)=0,"",ROUND(ABS($H971-$I971)*ABS($G971)*$AG971*$AH971,6))))</f>
        <v/>
      </c>
      <c r="W971" s="50" t="str">
        <f>IF($AM971=0,"",IF($BG971="","OK",LEFT($BG971,LEN($BG971)-2)))</f>
        <v/>
      </c>
      <c r="X971" s="41" t="n"/>
      <c r="Y971" s="40" t="n"/>
      <c r="Z971" s="41" t="n"/>
      <c r="AA971" s="41" t="n"/>
      <c r="AB971" s="40" t="n"/>
      <c r="AC971" s="51" t="n"/>
      <c r="AD971" s="51" t="n"/>
      <c r="AE971" s="40" t="n"/>
      <c r="AF971" s="52" t="str">
        <f>IF($AM971=0,"",IF($D971&lt;&gt;"",$D971,IF(IFERROR(INDEX(Accounts!$C$7:$C$16,MATCH($C971,Accounts!$B$7:$B$16,0))&amp;"","")&lt;&gt;"",INDEX(Accounts!$C$7:$C$16,MATCH($C971,Accounts!$B$7:$B$16,0)),Settings!$C$6)))</f>
        <v/>
      </c>
      <c r="AG971" s="53" t="str">
        <f>IF($AM971=0,"",IF(AND($BE971&gt;0,N(INDEX(Instruments!$D$6:$D$205,MAX(1,$BE971)))&gt;0),INDEX(Instruments!$D$6:$D$205,MAX(1,$BE971)),IF(N(INDEX(Settings!$D$14:$D$18,$BF971))&gt;0,INDEX(Settings!$D$14:$D$18,$BF971),"")))</f>
        <v/>
      </c>
      <c r="AH971" s="54" t="str">
        <f>IF($AM971=0,"",IF($AF971&lt;&gt;"Forex",1,IF(MID(UPPER(SUBSTITUTE(TRIM($E971),"/","")),4,3)=UPPER(TRIM(Settings!$C$7)),1,IF(LEFT(UPPER(SUBSTITUTE(TRIM($E971),"/","")),3)=UPPER(TRIM(Settings!$C$7)),IF(AND(ISNUMBER($K971),N($K971)&lt;&gt;0),1/$K971,""),""))))</f>
        <v/>
      </c>
      <c r="AI971" s="55" t="str">
        <f>IF($AM971=0,"",IF(OR(NOT(ISNUMBER($H971)),NOT(ISNUMBER($K971)),NOT(ISNUMBER($G971)),$AG971="",$AH971=""),"",ROUND(($K971-$H971)*IF($F971="Short",-1,1)*$G971*$AG971*$AH971,6)))</f>
        <v/>
      </c>
      <c r="AJ971" s="55" t="str">
        <f>IF($AM971=0,"",IF(INDEX(Settings!$E$14:$E$18,$BF971)="% of notional",IF(OR($AG971="",NOT(ISNUMBER($H971)),NOT(ISNUMBER($G971))),"",ROUND(ABS($H971*$G971*$AG971*N($AH971))*IF($L971="Limit",N(INDEX(Settings!$G$14:$G$18,$BF971)),N(INDEX(Settings!$H$14:$H$18,$BF971)))+IF(ISNUMBER($K971),ABS($K971*$G971*$AG971*N($AH971))*IF($M971="Target",N(INDEX(Settings!$G$14:$G$18,$BF971)),N(INDEX(Settings!$H$14:$H$18,$BF971))),0),6)),IF(NOT(ISNUMBER($G971)),"",ROUND(ABS($G971)*2*IF(AND($BE971&gt;0,ISNUMBER(INDEX(Instruments!$G$6:$G$205,MAX(1,$BE971)))),INDEX(Instruments!$G$6:$G$205,MAX(1,$BE971)),N(INDEX(Settings!$F$14:$F$18,$BF971))),6))))</f>
        <v/>
      </c>
      <c r="AK971" s="55" t="str">
        <f>IF($AM971=0,"",IF(ISNUMBER($O971),$O971,$AI971))</f>
        <v/>
      </c>
      <c r="AL971" s="55" t="str">
        <f>IF($AM971=0,"",IF(ISNUMBER($P971),$P971,N($AJ971)))</f>
        <v/>
      </c>
      <c r="AM971" s="56">
        <f>IF(AND($A971&lt;&gt;"",$E971&lt;&gt;"",OR(AND(ISNUMBER($G971),ISNUMBER($H971),ISNUMBER($K971)),ISNUMBER($O971))),1,0)</f>
        <v>0</v>
      </c>
      <c r="AN971" s="57" t="str">
        <f>IF($A971="","",$A971-WEEKDAY($A971,3))</f>
        <v/>
      </c>
      <c r="AO971" s="56" t="str">
        <f>IF($A971="","",WEEKDAY($A971,2))</f>
        <v/>
      </c>
      <c r="AP971" s="55" t="str">
        <f>IF(OR($AM971=0,$C971=""),"",IFERROR(N(INDEX(Accounts!$E$7:$E$16,MATCH($C971,Accounts!$B$7:$B$16,0))),0)+SUMIFS($Q$6:$Q971,$C$6:$C971,$C971))</f>
        <v/>
      </c>
      <c r="AQ971" s="55" t="str">
        <f>IF(OR($AM971=0,$C971=""),"",SUMIFS($Q$6:$Q$1005,$C$6:$C$1005,$C971,$A$6:$A$1005,$A971))</f>
        <v/>
      </c>
      <c r="AR971" s="55" t="str">
        <f>IF(OR($AM971=0,$C971=""),"",IFERROR(N(INDEX(Accounts!$E$7:$E$16,MATCH($C971,Accounts!$B$7:$B$16,0))),0)+SUMIFS($Q$6:$Q$1005,$C$6:$C$1005,$C971,$A$6:$A$1005,"&lt;="&amp;$A971))</f>
        <v/>
      </c>
      <c r="AS971" s="56">
        <f>IF(OR($AM971=0,$Q971=""),0,IF(AND($A971&gt;=Lists!$W$6,$A971&lt;=Lists!$W$7,OR(Dashboard!$D$6="All accounts",$C971=Dashboard!$D$6),OR(Dashboard!$D$7="All markets",$AF971=Dashboard!$D$7)),1,0))</f>
        <v>0</v>
      </c>
      <c r="AT971" s="55">
        <f>IF($AS971=1,N(AT970)+$Q971,N(AT970))</f>
        <v>1187.10688</v>
      </c>
      <c r="AU971" s="55">
        <f>MAX(N(AU970),$AT971)</f>
        <v>1187.10688</v>
      </c>
      <c r="AV971" s="55">
        <f>$AT971-$AU971</f>
        <v>0</v>
      </c>
      <c r="AW971" s="56">
        <f>IF($AS971=1,IF($S971="Win",N(AW970)+1,IF($S971="Loss",0,N(AW970))),N(AW970))</f>
        <v>5</v>
      </c>
      <c r="AX971" s="56">
        <f>IF($AS971=1,IF($S971="Loss",N(AX970)+1,IF($S971="Win",0,N(AX970))),N(AX970))</f>
        <v>0</v>
      </c>
      <c r="AY971" s="56" t="str">
        <f>IF($AS971=1,COUNTIF($AS$6:$AS971,1),"")</f>
        <v/>
      </c>
      <c r="AZ971" s="56">
        <f>MIN(965,N(Lists!$W$8))</f>
        <v>28</v>
      </c>
      <c r="BA971" s="56">
        <f>IF($AS971=1,IF(COUNTIFS($A$6:$A971,$A971,$AS$6:$AS971,1)=1,1,0),0)</f>
        <v>0</v>
      </c>
      <c r="BB971" s="55" t="str">
        <f>IF($BA971=1,SUMIFS($Q$6:$Q$1005,$A$6:$A$1005,$A971,$AS$6:$AS$1005,1),"")</f>
        <v/>
      </c>
      <c r="BC971" s="56">
        <f>IF(ISNUMBER($R971),1,0)</f>
        <v>0</v>
      </c>
      <c r="BD971" s="55" t="str">
        <f>IF(ISNUMBER($U971),$U971*$V971,"")</f>
        <v/>
      </c>
      <c r="BE971" s="56" t="str">
        <f>IF($AM971=0,"",IFERROR(MATCH($AF971&amp;"|"&amp;UPPER(TRIM($E971)),Lists!$A$6:$A$205,0),0))</f>
        <v/>
      </c>
      <c r="BF971" s="56" t="str">
        <f>IF($AM971=0,"",IFERROR(MATCH($AF971,Settings!$B$14:$B$18,0),IFERROR(MATCH(Settings!$C$6,Settings!$B$14:$B$18,0),1)))</f>
        <v/>
      </c>
      <c r="BG971" s="58" t="str">
        <f>IF($AM971=0,"",IF(NOT(ISNUMBER($I971)),"No stop; ","")&amp;IF(AND(ISNUMBER($H971),ISNUMBER($I971)),IF(OR(AND($F971&lt;&gt;"Short",$I971&gt;=$H971),AND($F971="Short",$I971&lt;=$H971)),"Stop on wrong side; ",""),"")&amp;IF($F971="","No direction; ","")&amp;IF(AND(ISNUMBER(Settings!$C$22),ISNUMBER($V971)),IF($V971&gt;Settings!$C$22,"Risk over max $; ",""),"")&amp;IF(AND(ISNUMBER(Settings!$C$23),ISNUMBER($V971),ISNUMBER($AP971),IFERROR(N(INDEX(Accounts!$E$7:$E$16,MATCH($C971,Accounts!$B$7:$B$16,0))),0)&gt;0),IF($V971&gt;Settings!$C$23*($AP971-N($Q971)),"Risk over max %; ",""),"")&amp;IF(AND(ISNUMBER(Settings!$C$24),ISNUMBER($N971)),IF($N971&gt;Settings!$C$24,"Leverage over max; ",""),"")&amp;IF(AND(ISNUMBER(Settings!$C$27),ISNUMBER($T971)),IF($T971&lt;Settings!$C$27,"R:R below min; ",""),"")&amp;IF(ISNUMBER(Settings!$C$25),IF(COUNTIFS($A$6:$A971,$A971,$AM$6:$AM971,1)&gt;Settings!$C$25,"Over max trades/day; ",""),"")&amp;IF(ISNUMBER(Settings!$C$26),IF(SUMIFS($Q$5:$Q970,$A$5:$A970,$A971)&lt;=-Settings!$C$26,"Traded after daily max loss; ",""),"")&amp;IF(AND($AG971="",NOT(ISNUMBER($O971))),"Symbol not in Instruments; ","")&amp;IF(AND($AH971="",NOT(ISNUMBER($O971))),"Forex cross: type Gross P&amp;L; ",""))</f>
        <v/>
      </c>
      <c r="BH971" s="56">
        <f>IF(ISNUMBER($Q971),1,0)</f>
        <v>0</v>
      </c>
      <c r="BI971" s="56">
        <f>IF($Y971="",0,1)</f>
        <v>0</v>
      </c>
      <c r="BJ971" s="56">
        <f>IF($AB971="",0,1)</f>
        <v>0</v>
      </c>
      <c r="BK971" s="56">
        <f>IF(AND($BH971=1,$W971&lt;&gt;"OK"),1,0)</f>
        <v>0</v>
      </c>
      <c r="BL971" s="55">
        <f>IF(N($AZ971)=0,0,IFERROR(INDEX($AT$6:$AT$1005,MATCH($AZ971,$AY$6:$AY$1005,0)),0))</f>
        <v>1187.10688</v>
      </c>
      <c r="BM971" s="56">
        <f>IF(ISNUMBER(SEARCH("daily max loss",$BG971)),1,0)</f>
        <v>0</v>
      </c>
    </row>
    <row r="972" ht="18" customHeight="1">
      <c r="A972" s="38" t="n"/>
      <c r="B972" s="39" t="n"/>
      <c r="C972" s="40" t="n"/>
      <c r="D972" s="41" t="n"/>
      <c r="E972" s="41" t="n"/>
      <c r="F972" s="41" t="n"/>
      <c r="G972" s="41" t="n"/>
      <c r="H972" s="42" t="n"/>
      <c r="I972" s="42" t="n"/>
      <c r="J972" s="42" t="n"/>
      <c r="K972" s="42" t="n"/>
      <c r="L972" s="41" t="n"/>
      <c r="M972" s="41" t="n"/>
      <c r="N972" s="41" t="n"/>
      <c r="O972" s="43" t="n"/>
      <c r="P972" s="43" t="n"/>
      <c r="Q972" s="44" t="str">
        <f>IF($AM972=0,"",IF(ISNUMBER($AK972),$AK972-N($AL972),""))</f>
        <v/>
      </c>
      <c r="R972" s="45" t="str">
        <f>IF(OR($Q972="",NOT(ISNUMBER($V972))),"",$AK972/$V972)</f>
        <v/>
      </c>
      <c r="S972" s="46" t="str">
        <f>IF($Q972="","",IF(AND(ISNUMBER($R972),ABS(N($R972))&lt;N(Settings!$C$8)),"Scratch",IF($Q972&gt;0,"Win",IF($Q972&lt;0,"Loss","Scratch"))))</f>
        <v/>
      </c>
      <c r="T972" s="47" t="str">
        <f>IF(OR($AM972=0,NOT(ISNUMBER($H972)),NOT(ISNUMBER($I972)),NOT(ISNUMBER($J972))),"",IF($H972=$I972,"",ROUND(ABS($J972-$H972)/ABS($H972-$I972),6)))</f>
        <v/>
      </c>
      <c r="U972" s="48" t="str">
        <f>IF(OR($S972&lt;&gt;"Win",NOT(ISNUMBER($T972)),NOT(ISNUMBER($R972))),"",MAX(0,$T972-$R972))</f>
        <v/>
      </c>
      <c r="V972" s="49" t="str">
        <f>IF(OR($AM972=0,NOT(ISNUMBER($H972)),NOT(ISNUMBER($I972)),NOT(ISNUMBER($G972))),"",IF(OR($AG972="",$AH972=""),"",IF(ROUND(ABS($H972-$I972)*ABS($G972)*$AG972*$AH972,6)=0,"",ROUND(ABS($H972-$I972)*ABS($G972)*$AG972*$AH972,6))))</f>
        <v/>
      </c>
      <c r="W972" s="50" t="str">
        <f>IF($AM972=0,"",IF($BG972="","OK",LEFT($BG972,LEN($BG972)-2)))</f>
        <v/>
      </c>
      <c r="X972" s="41" t="n"/>
      <c r="Y972" s="40" t="n"/>
      <c r="Z972" s="41" t="n"/>
      <c r="AA972" s="41" t="n"/>
      <c r="AB972" s="40" t="n"/>
      <c r="AC972" s="51" t="n"/>
      <c r="AD972" s="51" t="n"/>
      <c r="AE972" s="40" t="n"/>
      <c r="AF972" s="52" t="str">
        <f>IF($AM972=0,"",IF($D972&lt;&gt;"",$D972,IF(IFERROR(INDEX(Accounts!$C$7:$C$16,MATCH($C972,Accounts!$B$7:$B$16,0))&amp;"","")&lt;&gt;"",INDEX(Accounts!$C$7:$C$16,MATCH($C972,Accounts!$B$7:$B$16,0)),Settings!$C$6)))</f>
        <v/>
      </c>
      <c r="AG972" s="53" t="str">
        <f>IF($AM972=0,"",IF(AND($BE972&gt;0,N(INDEX(Instruments!$D$6:$D$205,MAX(1,$BE972)))&gt;0),INDEX(Instruments!$D$6:$D$205,MAX(1,$BE972)),IF(N(INDEX(Settings!$D$14:$D$18,$BF972))&gt;0,INDEX(Settings!$D$14:$D$18,$BF972),"")))</f>
        <v/>
      </c>
      <c r="AH972" s="54" t="str">
        <f>IF($AM972=0,"",IF($AF972&lt;&gt;"Forex",1,IF(MID(UPPER(SUBSTITUTE(TRIM($E972),"/","")),4,3)=UPPER(TRIM(Settings!$C$7)),1,IF(LEFT(UPPER(SUBSTITUTE(TRIM($E972),"/","")),3)=UPPER(TRIM(Settings!$C$7)),IF(AND(ISNUMBER($K972),N($K972)&lt;&gt;0),1/$K972,""),""))))</f>
        <v/>
      </c>
      <c r="AI972" s="55" t="str">
        <f>IF($AM972=0,"",IF(OR(NOT(ISNUMBER($H972)),NOT(ISNUMBER($K972)),NOT(ISNUMBER($G972)),$AG972="",$AH972=""),"",ROUND(($K972-$H972)*IF($F972="Short",-1,1)*$G972*$AG972*$AH972,6)))</f>
        <v/>
      </c>
      <c r="AJ972" s="55" t="str">
        <f>IF($AM972=0,"",IF(INDEX(Settings!$E$14:$E$18,$BF972)="% of notional",IF(OR($AG972="",NOT(ISNUMBER($H972)),NOT(ISNUMBER($G972))),"",ROUND(ABS($H972*$G972*$AG972*N($AH972))*IF($L972="Limit",N(INDEX(Settings!$G$14:$G$18,$BF972)),N(INDEX(Settings!$H$14:$H$18,$BF972)))+IF(ISNUMBER($K972),ABS($K972*$G972*$AG972*N($AH972))*IF($M972="Target",N(INDEX(Settings!$G$14:$G$18,$BF972)),N(INDEX(Settings!$H$14:$H$18,$BF972))),0),6)),IF(NOT(ISNUMBER($G972)),"",ROUND(ABS($G972)*2*IF(AND($BE972&gt;0,ISNUMBER(INDEX(Instruments!$G$6:$G$205,MAX(1,$BE972)))),INDEX(Instruments!$G$6:$G$205,MAX(1,$BE972)),N(INDEX(Settings!$F$14:$F$18,$BF972))),6))))</f>
        <v/>
      </c>
      <c r="AK972" s="55" t="str">
        <f>IF($AM972=0,"",IF(ISNUMBER($O972),$O972,$AI972))</f>
        <v/>
      </c>
      <c r="AL972" s="55" t="str">
        <f>IF($AM972=0,"",IF(ISNUMBER($P972),$P972,N($AJ972)))</f>
        <v/>
      </c>
      <c r="AM972" s="56">
        <f>IF(AND($A972&lt;&gt;"",$E972&lt;&gt;"",OR(AND(ISNUMBER($G972),ISNUMBER($H972),ISNUMBER($K972)),ISNUMBER($O972))),1,0)</f>
        <v>0</v>
      </c>
      <c r="AN972" s="57" t="str">
        <f>IF($A972="","",$A972-WEEKDAY($A972,3))</f>
        <v/>
      </c>
      <c r="AO972" s="56" t="str">
        <f>IF($A972="","",WEEKDAY($A972,2))</f>
        <v/>
      </c>
      <c r="AP972" s="55" t="str">
        <f>IF(OR($AM972=0,$C972=""),"",IFERROR(N(INDEX(Accounts!$E$7:$E$16,MATCH($C972,Accounts!$B$7:$B$16,0))),0)+SUMIFS($Q$6:$Q972,$C$6:$C972,$C972))</f>
        <v/>
      </c>
      <c r="AQ972" s="55" t="str">
        <f>IF(OR($AM972=0,$C972=""),"",SUMIFS($Q$6:$Q$1005,$C$6:$C$1005,$C972,$A$6:$A$1005,$A972))</f>
        <v/>
      </c>
      <c r="AR972" s="55" t="str">
        <f>IF(OR($AM972=0,$C972=""),"",IFERROR(N(INDEX(Accounts!$E$7:$E$16,MATCH($C972,Accounts!$B$7:$B$16,0))),0)+SUMIFS($Q$6:$Q$1005,$C$6:$C$1005,$C972,$A$6:$A$1005,"&lt;="&amp;$A972))</f>
        <v/>
      </c>
      <c r="AS972" s="56">
        <f>IF(OR($AM972=0,$Q972=""),0,IF(AND($A972&gt;=Lists!$W$6,$A972&lt;=Lists!$W$7,OR(Dashboard!$D$6="All accounts",$C972=Dashboard!$D$6),OR(Dashboard!$D$7="All markets",$AF972=Dashboard!$D$7)),1,0))</f>
        <v>0</v>
      </c>
      <c r="AT972" s="55">
        <f>IF($AS972=1,N(AT971)+$Q972,N(AT971))</f>
        <v>1187.10688</v>
      </c>
      <c r="AU972" s="55">
        <f>MAX(N(AU971),$AT972)</f>
        <v>1187.10688</v>
      </c>
      <c r="AV972" s="55">
        <f>$AT972-$AU972</f>
        <v>0</v>
      </c>
      <c r="AW972" s="56">
        <f>IF($AS972=1,IF($S972="Win",N(AW971)+1,IF($S972="Loss",0,N(AW971))),N(AW971))</f>
        <v>5</v>
      </c>
      <c r="AX972" s="56">
        <f>IF($AS972=1,IF($S972="Loss",N(AX971)+1,IF($S972="Win",0,N(AX971))),N(AX971))</f>
        <v>0</v>
      </c>
      <c r="AY972" s="56" t="str">
        <f>IF($AS972=1,COUNTIF($AS$6:$AS972,1),"")</f>
        <v/>
      </c>
      <c r="AZ972" s="56">
        <f>MIN(966,N(Lists!$W$8))</f>
        <v>28</v>
      </c>
      <c r="BA972" s="56">
        <f>IF($AS972=1,IF(COUNTIFS($A$6:$A972,$A972,$AS$6:$AS972,1)=1,1,0),0)</f>
        <v>0</v>
      </c>
      <c r="BB972" s="55" t="str">
        <f>IF($BA972=1,SUMIFS($Q$6:$Q$1005,$A$6:$A$1005,$A972,$AS$6:$AS$1005,1),"")</f>
        <v/>
      </c>
      <c r="BC972" s="56">
        <f>IF(ISNUMBER($R972),1,0)</f>
        <v>0</v>
      </c>
      <c r="BD972" s="55" t="str">
        <f>IF(ISNUMBER($U972),$U972*$V972,"")</f>
        <v/>
      </c>
      <c r="BE972" s="56" t="str">
        <f>IF($AM972=0,"",IFERROR(MATCH($AF972&amp;"|"&amp;UPPER(TRIM($E972)),Lists!$A$6:$A$205,0),0))</f>
        <v/>
      </c>
      <c r="BF972" s="56" t="str">
        <f>IF($AM972=0,"",IFERROR(MATCH($AF972,Settings!$B$14:$B$18,0),IFERROR(MATCH(Settings!$C$6,Settings!$B$14:$B$18,0),1)))</f>
        <v/>
      </c>
      <c r="BG972" s="58" t="str">
        <f>IF($AM972=0,"",IF(NOT(ISNUMBER($I972)),"No stop; ","")&amp;IF(AND(ISNUMBER($H972),ISNUMBER($I972)),IF(OR(AND($F972&lt;&gt;"Short",$I972&gt;=$H972),AND($F972="Short",$I972&lt;=$H972)),"Stop on wrong side; ",""),"")&amp;IF($F972="","No direction; ","")&amp;IF(AND(ISNUMBER(Settings!$C$22),ISNUMBER($V972)),IF($V972&gt;Settings!$C$22,"Risk over max $; ",""),"")&amp;IF(AND(ISNUMBER(Settings!$C$23),ISNUMBER($V972),ISNUMBER($AP972),IFERROR(N(INDEX(Accounts!$E$7:$E$16,MATCH($C972,Accounts!$B$7:$B$16,0))),0)&gt;0),IF($V972&gt;Settings!$C$23*($AP972-N($Q972)),"Risk over max %; ",""),"")&amp;IF(AND(ISNUMBER(Settings!$C$24),ISNUMBER($N972)),IF($N972&gt;Settings!$C$24,"Leverage over max; ",""),"")&amp;IF(AND(ISNUMBER(Settings!$C$27),ISNUMBER($T972)),IF($T972&lt;Settings!$C$27,"R:R below min; ",""),"")&amp;IF(ISNUMBER(Settings!$C$25),IF(COUNTIFS($A$6:$A972,$A972,$AM$6:$AM972,1)&gt;Settings!$C$25,"Over max trades/day; ",""),"")&amp;IF(ISNUMBER(Settings!$C$26),IF(SUMIFS($Q$5:$Q971,$A$5:$A971,$A972)&lt;=-Settings!$C$26,"Traded after daily max loss; ",""),"")&amp;IF(AND($AG972="",NOT(ISNUMBER($O972))),"Symbol not in Instruments; ","")&amp;IF(AND($AH972="",NOT(ISNUMBER($O972))),"Forex cross: type Gross P&amp;L; ",""))</f>
        <v/>
      </c>
      <c r="BH972" s="56">
        <f>IF(ISNUMBER($Q972),1,0)</f>
        <v>0</v>
      </c>
      <c r="BI972" s="56">
        <f>IF($Y972="",0,1)</f>
        <v>0</v>
      </c>
      <c r="BJ972" s="56">
        <f>IF($AB972="",0,1)</f>
        <v>0</v>
      </c>
      <c r="BK972" s="56">
        <f>IF(AND($BH972=1,$W972&lt;&gt;"OK"),1,0)</f>
        <v>0</v>
      </c>
      <c r="BL972" s="55">
        <f>IF(N($AZ972)=0,0,IFERROR(INDEX($AT$6:$AT$1005,MATCH($AZ972,$AY$6:$AY$1005,0)),0))</f>
        <v>1187.10688</v>
      </c>
      <c r="BM972" s="56">
        <f>IF(ISNUMBER(SEARCH("daily max loss",$BG972)),1,0)</f>
        <v>0</v>
      </c>
    </row>
    <row r="973" ht="18" customHeight="1">
      <c r="A973" s="38" t="n"/>
      <c r="B973" s="39" t="n"/>
      <c r="C973" s="40" t="n"/>
      <c r="D973" s="41" t="n"/>
      <c r="E973" s="41" t="n"/>
      <c r="F973" s="41" t="n"/>
      <c r="G973" s="41" t="n"/>
      <c r="H973" s="42" t="n"/>
      <c r="I973" s="42" t="n"/>
      <c r="J973" s="42" t="n"/>
      <c r="K973" s="42" t="n"/>
      <c r="L973" s="41" t="n"/>
      <c r="M973" s="41" t="n"/>
      <c r="N973" s="41" t="n"/>
      <c r="O973" s="43" t="n"/>
      <c r="P973" s="43" t="n"/>
      <c r="Q973" s="44" t="str">
        <f>IF($AM973=0,"",IF(ISNUMBER($AK973),$AK973-N($AL973),""))</f>
        <v/>
      </c>
      <c r="R973" s="45" t="str">
        <f>IF(OR($Q973="",NOT(ISNUMBER($V973))),"",$AK973/$V973)</f>
        <v/>
      </c>
      <c r="S973" s="46" t="str">
        <f>IF($Q973="","",IF(AND(ISNUMBER($R973),ABS(N($R973))&lt;N(Settings!$C$8)),"Scratch",IF($Q973&gt;0,"Win",IF($Q973&lt;0,"Loss","Scratch"))))</f>
        <v/>
      </c>
      <c r="T973" s="47" t="str">
        <f>IF(OR($AM973=0,NOT(ISNUMBER($H973)),NOT(ISNUMBER($I973)),NOT(ISNUMBER($J973))),"",IF($H973=$I973,"",ROUND(ABS($J973-$H973)/ABS($H973-$I973),6)))</f>
        <v/>
      </c>
      <c r="U973" s="48" t="str">
        <f>IF(OR($S973&lt;&gt;"Win",NOT(ISNUMBER($T973)),NOT(ISNUMBER($R973))),"",MAX(0,$T973-$R973))</f>
        <v/>
      </c>
      <c r="V973" s="49" t="str">
        <f>IF(OR($AM973=0,NOT(ISNUMBER($H973)),NOT(ISNUMBER($I973)),NOT(ISNUMBER($G973))),"",IF(OR($AG973="",$AH973=""),"",IF(ROUND(ABS($H973-$I973)*ABS($G973)*$AG973*$AH973,6)=0,"",ROUND(ABS($H973-$I973)*ABS($G973)*$AG973*$AH973,6))))</f>
        <v/>
      </c>
      <c r="W973" s="50" t="str">
        <f>IF($AM973=0,"",IF($BG973="","OK",LEFT($BG973,LEN($BG973)-2)))</f>
        <v/>
      </c>
      <c r="X973" s="41" t="n"/>
      <c r="Y973" s="40" t="n"/>
      <c r="Z973" s="41" t="n"/>
      <c r="AA973" s="41" t="n"/>
      <c r="AB973" s="40" t="n"/>
      <c r="AC973" s="51" t="n"/>
      <c r="AD973" s="51" t="n"/>
      <c r="AE973" s="40" t="n"/>
      <c r="AF973" s="52" t="str">
        <f>IF($AM973=0,"",IF($D973&lt;&gt;"",$D973,IF(IFERROR(INDEX(Accounts!$C$7:$C$16,MATCH($C973,Accounts!$B$7:$B$16,0))&amp;"","")&lt;&gt;"",INDEX(Accounts!$C$7:$C$16,MATCH($C973,Accounts!$B$7:$B$16,0)),Settings!$C$6)))</f>
        <v/>
      </c>
      <c r="AG973" s="53" t="str">
        <f>IF($AM973=0,"",IF(AND($BE973&gt;0,N(INDEX(Instruments!$D$6:$D$205,MAX(1,$BE973)))&gt;0),INDEX(Instruments!$D$6:$D$205,MAX(1,$BE973)),IF(N(INDEX(Settings!$D$14:$D$18,$BF973))&gt;0,INDEX(Settings!$D$14:$D$18,$BF973),"")))</f>
        <v/>
      </c>
      <c r="AH973" s="54" t="str">
        <f>IF($AM973=0,"",IF($AF973&lt;&gt;"Forex",1,IF(MID(UPPER(SUBSTITUTE(TRIM($E973),"/","")),4,3)=UPPER(TRIM(Settings!$C$7)),1,IF(LEFT(UPPER(SUBSTITUTE(TRIM($E973),"/","")),3)=UPPER(TRIM(Settings!$C$7)),IF(AND(ISNUMBER($K973),N($K973)&lt;&gt;0),1/$K973,""),""))))</f>
        <v/>
      </c>
      <c r="AI973" s="55" t="str">
        <f>IF($AM973=0,"",IF(OR(NOT(ISNUMBER($H973)),NOT(ISNUMBER($K973)),NOT(ISNUMBER($G973)),$AG973="",$AH973=""),"",ROUND(($K973-$H973)*IF($F973="Short",-1,1)*$G973*$AG973*$AH973,6)))</f>
        <v/>
      </c>
      <c r="AJ973" s="55" t="str">
        <f>IF($AM973=0,"",IF(INDEX(Settings!$E$14:$E$18,$BF973)="% of notional",IF(OR($AG973="",NOT(ISNUMBER($H973)),NOT(ISNUMBER($G973))),"",ROUND(ABS($H973*$G973*$AG973*N($AH973))*IF($L973="Limit",N(INDEX(Settings!$G$14:$G$18,$BF973)),N(INDEX(Settings!$H$14:$H$18,$BF973)))+IF(ISNUMBER($K973),ABS($K973*$G973*$AG973*N($AH973))*IF($M973="Target",N(INDEX(Settings!$G$14:$G$18,$BF973)),N(INDEX(Settings!$H$14:$H$18,$BF973))),0),6)),IF(NOT(ISNUMBER($G973)),"",ROUND(ABS($G973)*2*IF(AND($BE973&gt;0,ISNUMBER(INDEX(Instruments!$G$6:$G$205,MAX(1,$BE973)))),INDEX(Instruments!$G$6:$G$205,MAX(1,$BE973)),N(INDEX(Settings!$F$14:$F$18,$BF973))),6))))</f>
        <v/>
      </c>
      <c r="AK973" s="55" t="str">
        <f>IF($AM973=0,"",IF(ISNUMBER($O973),$O973,$AI973))</f>
        <v/>
      </c>
      <c r="AL973" s="55" t="str">
        <f>IF($AM973=0,"",IF(ISNUMBER($P973),$P973,N($AJ973)))</f>
        <v/>
      </c>
      <c r="AM973" s="56">
        <f>IF(AND($A973&lt;&gt;"",$E973&lt;&gt;"",OR(AND(ISNUMBER($G973),ISNUMBER($H973),ISNUMBER($K973)),ISNUMBER($O973))),1,0)</f>
        <v>0</v>
      </c>
      <c r="AN973" s="57" t="str">
        <f>IF($A973="","",$A973-WEEKDAY($A973,3))</f>
        <v/>
      </c>
      <c r="AO973" s="56" t="str">
        <f>IF($A973="","",WEEKDAY($A973,2))</f>
        <v/>
      </c>
      <c r="AP973" s="55" t="str">
        <f>IF(OR($AM973=0,$C973=""),"",IFERROR(N(INDEX(Accounts!$E$7:$E$16,MATCH($C973,Accounts!$B$7:$B$16,0))),0)+SUMIFS($Q$6:$Q973,$C$6:$C973,$C973))</f>
        <v/>
      </c>
      <c r="AQ973" s="55" t="str">
        <f>IF(OR($AM973=0,$C973=""),"",SUMIFS($Q$6:$Q$1005,$C$6:$C$1005,$C973,$A$6:$A$1005,$A973))</f>
        <v/>
      </c>
      <c r="AR973" s="55" t="str">
        <f>IF(OR($AM973=0,$C973=""),"",IFERROR(N(INDEX(Accounts!$E$7:$E$16,MATCH($C973,Accounts!$B$7:$B$16,0))),0)+SUMIFS($Q$6:$Q$1005,$C$6:$C$1005,$C973,$A$6:$A$1005,"&lt;="&amp;$A973))</f>
        <v/>
      </c>
      <c r="AS973" s="56">
        <f>IF(OR($AM973=0,$Q973=""),0,IF(AND($A973&gt;=Lists!$W$6,$A973&lt;=Lists!$W$7,OR(Dashboard!$D$6="All accounts",$C973=Dashboard!$D$6),OR(Dashboard!$D$7="All markets",$AF973=Dashboard!$D$7)),1,0))</f>
        <v>0</v>
      </c>
      <c r="AT973" s="55">
        <f>IF($AS973=1,N(AT972)+$Q973,N(AT972))</f>
        <v>1187.10688</v>
      </c>
      <c r="AU973" s="55">
        <f>MAX(N(AU972),$AT973)</f>
        <v>1187.10688</v>
      </c>
      <c r="AV973" s="55">
        <f>$AT973-$AU973</f>
        <v>0</v>
      </c>
      <c r="AW973" s="56">
        <f>IF($AS973=1,IF($S973="Win",N(AW972)+1,IF($S973="Loss",0,N(AW972))),N(AW972))</f>
        <v>5</v>
      </c>
      <c r="AX973" s="56">
        <f>IF($AS973=1,IF($S973="Loss",N(AX972)+1,IF($S973="Win",0,N(AX972))),N(AX972))</f>
        <v>0</v>
      </c>
      <c r="AY973" s="56" t="str">
        <f>IF($AS973=1,COUNTIF($AS$6:$AS973,1),"")</f>
        <v/>
      </c>
      <c r="AZ973" s="56">
        <f>MIN(967,N(Lists!$W$8))</f>
        <v>28</v>
      </c>
      <c r="BA973" s="56">
        <f>IF($AS973=1,IF(COUNTIFS($A$6:$A973,$A973,$AS$6:$AS973,1)=1,1,0),0)</f>
        <v>0</v>
      </c>
      <c r="BB973" s="55" t="str">
        <f>IF($BA973=1,SUMIFS($Q$6:$Q$1005,$A$6:$A$1005,$A973,$AS$6:$AS$1005,1),"")</f>
        <v/>
      </c>
      <c r="BC973" s="56">
        <f>IF(ISNUMBER($R973),1,0)</f>
        <v>0</v>
      </c>
      <c r="BD973" s="55" t="str">
        <f>IF(ISNUMBER($U973),$U973*$V973,"")</f>
        <v/>
      </c>
      <c r="BE973" s="56" t="str">
        <f>IF($AM973=0,"",IFERROR(MATCH($AF973&amp;"|"&amp;UPPER(TRIM($E973)),Lists!$A$6:$A$205,0),0))</f>
        <v/>
      </c>
      <c r="BF973" s="56" t="str">
        <f>IF($AM973=0,"",IFERROR(MATCH($AF973,Settings!$B$14:$B$18,0),IFERROR(MATCH(Settings!$C$6,Settings!$B$14:$B$18,0),1)))</f>
        <v/>
      </c>
      <c r="BG973" s="58" t="str">
        <f>IF($AM973=0,"",IF(NOT(ISNUMBER($I973)),"No stop; ","")&amp;IF(AND(ISNUMBER($H973),ISNUMBER($I973)),IF(OR(AND($F973&lt;&gt;"Short",$I973&gt;=$H973),AND($F973="Short",$I973&lt;=$H973)),"Stop on wrong side; ",""),"")&amp;IF($F973="","No direction; ","")&amp;IF(AND(ISNUMBER(Settings!$C$22),ISNUMBER($V973)),IF($V973&gt;Settings!$C$22,"Risk over max $; ",""),"")&amp;IF(AND(ISNUMBER(Settings!$C$23),ISNUMBER($V973),ISNUMBER($AP973),IFERROR(N(INDEX(Accounts!$E$7:$E$16,MATCH($C973,Accounts!$B$7:$B$16,0))),0)&gt;0),IF($V973&gt;Settings!$C$23*($AP973-N($Q973)),"Risk over max %; ",""),"")&amp;IF(AND(ISNUMBER(Settings!$C$24),ISNUMBER($N973)),IF($N973&gt;Settings!$C$24,"Leverage over max; ",""),"")&amp;IF(AND(ISNUMBER(Settings!$C$27),ISNUMBER($T973)),IF($T973&lt;Settings!$C$27,"R:R below min; ",""),"")&amp;IF(ISNUMBER(Settings!$C$25),IF(COUNTIFS($A$6:$A973,$A973,$AM$6:$AM973,1)&gt;Settings!$C$25,"Over max trades/day; ",""),"")&amp;IF(ISNUMBER(Settings!$C$26),IF(SUMIFS($Q$5:$Q972,$A$5:$A972,$A973)&lt;=-Settings!$C$26,"Traded after daily max loss; ",""),"")&amp;IF(AND($AG973="",NOT(ISNUMBER($O973))),"Symbol not in Instruments; ","")&amp;IF(AND($AH973="",NOT(ISNUMBER($O973))),"Forex cross: type Gross P&amp;L; ",""))</f>
        <v/>
      </c>
      <c r="BH973" s="56">
        <f>IF(ISNUMBER($Q973),1,0)</f>
        <v>0</v>
      </c>
      <c r="BI973" s="56">
        <f>IF($Y973="",0,1)</f>
        <v>0</v>
      </c>
      <c r="BJ973" s="56">
        <f>IF($AB973="",0,1)</f>
        <v>0</v>
      </c>
      <c r="BK973" s="56">
        <f>IF(AND($BH973=1,$W973&lt;&gt;"OK"),1,0)</f>
        <v>0</v>
      </c>
      <c r="BL973" s="55">
        <f>IF(N($AZ973)=0,0,IFERROR(INDEX($AT$6:$AT$1005,MATCH($AZ973,$AY$6:$AY$1005,0)),0))</f>
        <v>1187.10688</v>
      </c>
      <c r="BM973" s="56">
        <f>IF(ISNUMBER(SEARCH("daily max loss",$BG973)),1,0)</f>
        <v>0</v>
      </c>
    </row>
    <row r="974" ht="18" customHeight="1">
      <c r="A974" s="38" t="n"/>
      <c r="B974" s="39" t="n"/>
      <c r="C974" s="40" t="n"/>
      <c r="D974" s="41" t="n"/>
      <c r="E974" s="41" t="n"/>
      <c r="F974" s="41" t="n"/>
      <c r="G974" s="41" t="n"/>
      <c r="H974" s="42" t="n"/>
      <c r="I974" s="42" t="n"/>
      <c r="J974" s="42" t="n"/>
      <c r="K974" s="42" t="n"/>
      <c r="L974" s="41" t="n"/>
      <c r="M974" s="41" t="n"/>
      <c r="N974" s="41" t="n"/>
      <c r="O974" s="43" t="n"/>
      <c r="P974" s="43" t="n"/>
      <c r="Q974" s="44" t="str">
        <f>IF($AM974=0,"",IF(ISNUMBER($AK974),$AK974-N($AL974),""))</f>
        <v/>
      </c>
      <c r="R974" s="45" t="str">
        <f>IF(OR($Q974="",NOT(ISNUMBER($V974))),"",$AK974/$V974)</f>
        <v/>
      </c>
      <c r="S974" s="46" t="str">
        <f>IF($Q974="","",IF(AND(ISNUMBER($R974),ABS(N($R974))&lt;N(Settings!$C$8)),"Scratch",IF($Q974&gt;0,"Win",IF($Q974&lt;0,"Loss","Scratch"))))</f>
        <v/>
      </c>
      <c r="T974" s="47" t="str">
        <f>IF(OR($AM974=0,NOT(ISNUMBER($H974)),NOT(ISNUMBER($I974)),NOT(ISNUMBER($J974))),"",IF($H974=$I974,"",ROUND(ABS($J974-$H974)/ABS($H974-$I974),6)))</f>
        <v/>
      </c>
      <c r="U974" s="48" t="str">
        <f>IF(OR($S974&lt;&gt;"Win",NOT(ISNUMBER($T974)),NOT(ISNUMBER($R974))),"",MAX(0,$T974-$R974))</f>
        <v/>
      </c>
      <c r="V974" s="49" t="str">
        <f>IF(OR($AM974=0,NOT(ISNUMBER($H974)),NOT(ISNUMBER($I974)),NOT(ISNUMBER($G974))),"",IF(OR($AG974="",$AH974=""),"",IF(ROUND(ABS($H974-$I974)*ABS($G974)*$AG974*$AH974,6)=0,"",ROUND(ABS($H974-$I974)*ABS($G974)*$AG974*$AH974,6))))</f>
        <v/>
      </c>
      <c r="W974" s="50" t="str">
        <f>IF($AM974=0,"",IF($BG974="","OK",LEFT($BG974,LEN($BG974)-2)))</f>
        <v/>
      </c>
      <c r="X974" s="41" t="n"/>
      <c r="Y974" s="40" t="n"/>
      <c r="Z974" s="41" t="n"/>
      <c r="AA974" s="41" t="n"/>
      <c r="AB974" s="40" t="n"/>
      <c r="AC974" s="51" t="n"/>
      <c r="AD974" s="51" t="n"/>
      <c r="AE974" s="40" t="n"/>
      <c r="AF974" s="52" t="str">
        <f>IF($AM974=0,"",IF($D974&lt;&gt;"",$D974,IF(IFERROR(INDEX(Accounts!$C$7:$C$16,MATCH($C974,Accounts!$B$7:$B$16,0))&amp;"","")&lt;&gt;"",INDEX(Accounts!$C$7:$C$16,MATCH($C974,Accounts!$B$7:$B$16,0)),Settings!$C$6)))</f>
        <v/>
      </c>
      <c r="AG974" s="53" t="str">
        <f>IF($AM974=0,"",IF(AND($BE974&gt;0,N(INDEX(Instruments!$D$6:$D$205,MAX(1,$BE974)))&gt;0),INDEX(Instruments!$D$6:$D$205,MAX(1,$BE974)),IF(N(INDEX(Settings!$D$14:$D$18,$BF974))&gt;0,INDEX(Settings!$D$14:$D$18,$BF974),"")))</f>
        <v/>
      </c>
      <c r="AH974" s="54" t="str">
        <f>IF($AM974=0,"",IF($AF974&lt;&gt;"Forex",1,IF(MID(UPPER(SUBSTITUTE(TRIM($E974),"/","")),4,3)=UPPER(TRIM(Settings!$C$7)),1,IF(LEFT(UPPER(SUBSTITUTE(TRIM($E974),"/","")),3)=UPPER(TRIM(Settings!$C$7)),IF(AND(ISNUMBER($K974),N($K974)&lt;&gt;0),1/$K974,""),""))))</f>
        <v/>
      </c>
      <c r="AI974" s="55" t="str">
        <f>IF($AM974=0,"",IF(OR(NOT(ISNUMBER($H974)),NOT(ISNUMBER($K974)),NOT(ISNUMBER($G974)),$AG974="",$AH974=""),"",ROUND(($K974-$H974)*IF($F974="Short",-1,1)*$G974*$AG974*$AH974,6)))</f>
        <v/>
      </c>
      <c r="AJ974" s="55" t="str">
        <f>IF($AM974=0,"",IF(INDEX(Settings!$E$14:$E$18,$BF974)="% of notional",IF(OR($AG974="",NOT(ISNUMBER($H974)),NOT(ISNUMBER($G974))),"",ROUND(ABS($H974*$G974*$AG974*N($AH974))*IF($L974="Limit",N(INDEX(Settings!$G$14:$G$18,$BF974)),N(INDEX(Settings!$H$14:$H$18,$BF974)))+IF(ISNUMBER($K974),ABS($K974*$G974*$AG974*N($AH974))*IF($M974="Target",N(INDEX(Settings!$G$14:$G$18,$BF974)),N(INDEX(Settings!$H$14:$H$18,$BF974))),0),6)),IF(NOT(ISNUMBER($G974)),"",ROUND(ABS($G974)*2*IF(AND($BE974&gt;0,ISNUMBER(INDEX(Instruments!$G$6:$G$205,MAX(1,$BE974)))),INDEX(Instruments!$G$6:$G$205,MAX(1,$BE974)),N(INDEX(Settings!$F$14:$F$18,$BF974))),6))))</f>
        <v/>
      </c>
      <c r="AK974" s="55" t="str">
        <f>IF($AM974=0,"",IF(ISNUMBER($O974),$O974,$AI974))</f>
        <v/>
      </c>
      <c r="AL974" s="55" t="str">
        <f>IF($AM974=0,"",IF(ISNUMBER($P974),$P974,N($AJ974)))</f>
        <v/>
      </c>
      <c r="AM974" s="56">
        <f>IF(AND($A974&lt;&gt;"",$E974&lt;&gt;"",OR(AND(ISNUMBER($G974),ISNUMBER($H974),ISNUMBER($K974)),ISNUMBER($O974))),1,0)</f>
        <v>0</v>
      </c>
      <c r="AN974" s="57" t="str">
        <f>IF($A974="","",$A974-WEEKDAY($A974,3))</f>
        <v/>
      </c>
      <c r="AO974" s="56" t="str">
        <f>IF($A974="","",WEEKDAY($A974,2))</f>
        <v/>
      </c>
      <c r="AP974" s="55" t="str">
        <f>IF(OR($AM974=0,$C974=""),"",IFERROR(N(INDEX(Accounts!$E$7:$E$16,MATCH($C974,Accounts!$B$7:$B$16,0))),0)+SUMIFS($Q$6:$Q974,$C$6:$C974,$C974))</f>
        <v/>
      </c>
      <c r="AQ974" s="55" t="str">
        <f>IF(OR($AM974=0,$C974=""),"",SUMIFS($Q$6:$Q$1005,$C$6:$C$1005,$C974,$A$6:$A$1005,$A974))</f>
        <v/>
      </c>
      <c r="AR974" s="55" t="str">
        <f>IF(OR($AM974=0,$C974=""),"",IFERROR(N(INDEX(Accounts!$E$7:$E$16,MATCH($C974,Accounts!$B$7:$B$16,0))),0)+SUMIFS($Q$6:$Q$1005,$C$6:$C$1005,$C974,$A$6:$A$1005,"&lt;="&amp;$A974))</f>
        <v/>
      </c>
      <c r="AS974" s="56">
        <f>IF(OR($AM974=0,$Q974=""),0,IF(AND($A974&gt;=Lists!$W$6,$A974&lt;=Lists!$W$7,OR(Dashboard!$D$6="All accounts",$C974=Dashboard!$D$6),OR(Dashboard!$D$7="All markets",$AF974=Dashboard!$D$7)),1,0))</f>
        <v>0</v>
      </c>
      <c r="AT974" s="55">
        <f>IF($AS974=1,N(AT973)+$Q974,N(AT973))</f>
        <v>1187.10688</v>
      </c>
      <c r="AU974" s="55">
        <f>MAX(N(AU973),$AT974)</f>
        <v>1187.10688</v>
      </c>
      <c r="AV974" s="55">
        <f>$AT974-$AU974</f>
        <v>0</v>
      </c>
      <c r="AW974" s="56">
        <f>IF($AS974=1,IF($S974="Win",N(AW973)+1,IF($S974="Loss",0,N(AW973))),N(AW973))</f>
        <v>5</v>
      </c>
      <c r="AX974" s="56">
        <f>IF($AS974=1,IF($S974="Loss",N(AX973)+1,IF($S974="Win",0,N(AX973))),N(AX973))</f>
        <v>0</v>
      </c>
      <c r="AY974" s="56" t="str">
        <f>IF($AS974=1,COUNTIF($AS$6:$AS974,1),"")</f>
        <v/>
      </c>
      <c r="AZ974" s="56">
        <f>MIN(968,N(Lists!$W$8))</f>
        <v>28</v>
      </c>
      <c r="BA974" s="56">
        <f>IF($AS974=1,IF(COUNTIFS($A$6:$A974,$A974,$AS$6:$AS974,1)=1,1,0),0)</f>
        <v>0</v>
      </c>
      <c r="BB974" s="55" t="str">
        <f>IF($BA974=1,SUMIFS($Q$6:$Q$1005,$A$6:$A$1005,$A974,$AS$6:$AS$1005,1),"")</f>
        <v/>
      </c>
      <c r="BC974" s="56">
        <f>IF(ISNUMBER($R974),1,0)</f>
        <v>0</v>
      </c>
      <c r="BD974" s="55" t="str">
        <f>IF(ISNUMBER($U974),$U974*$V974,"")</f>
        <v/>
      </c>
      <c r="BE974" s="56" t="str">
        <f>IF($AM974=0,"",IFERROR(MATCH($AF974&amp;"|"&amp;UPPER(TRIM($E974)),Lists!$A$6:$A$205,0),0))</f>
        <v/>
      </c>
      <c r="BF974" s="56" t="str">
        <f>IF($AM974=0,"",IFERROR(MATCH($AF974,Settings!$B$14:$B$18,0),IFERROR(MATCH(Settings!$C$6,Settings!$B$14:$B$18,0),1)))</f>
        <v/>
      </c>
      <c r="BG974" s="58" t="str">
        <f>IF($AM974=0,"",IF(NOT(ISNUMBER($I974)),"No stop; ","")&amp;IF(AND(ISNUMBER($H974),ISNUMBER($I974)),IF(OR(AND($F974&lt;&gt;"Short",$I974&gt;=$H974),AND($F974="Short",$I974&lt;=$H974)),"Stop on wrong side; ",""),"")&amp;IF($F974="","No direction; ","")&amp;IF(AND(ISNUMBER(Settings!$C$22),ISNUMBER($V974)),IF($V974&gt;Settings!$C$22,"Risk over max $; ",""),"")&amp;IF(AND(ISNUMBER(Settings!$C$23),ISNUMBER($V974),ISNUMBER($AP974),IFERROR(N(INDEX(Accounts!$E$7:$E$16,MATCH($C974,Accounts!$B$7:$B$16,0))),0)&gt;0),IF($V974&gt;Settings!$C$23*($AP974-N($Q974)),"Risk over max %; ",""),"")&amp;IF(AND(ISNUMBER(Settings!$C$24),ISNUMBER($N974)),IF($N974&gt;Settings!$C$24,"Leverage over max; ",""),"")&amp;IF(AND(ISNUMBER(Settings!$C$27),ISNUMBER($T974)),IF($T974&lt;Settings!$C$27,"R:R below min; ",""),"")&amp;IF(ISNUMBER(Settings!$C$25),IF(COUNTIFS($A$6:$A974,$A974,$AM$6:$AM974,1)&gt;Settings!$C$25,"Over max trades/day; ",""),"")&amp;IF(ISNUMBER(Settings!$C$26),IF(SUMIFS($Q$5:$Q973,$A$5:$A973,$A974)&lt;=-Settings!$C$26,"Traded after daily max loss; ",""),"")&amp;IF(AND($AG974="",NOT(ISNUMBER($O974))),"Symbol not in Instruments; ","")&amp;IF(AND($AH974="",NOT(ISNUMBER($O974))),"Forex cross: type Gross P&amp;L; ",""))</f>
        <v/>
      </c>
      <c r="BH974" s="56">
        <f>IF(ISNUMBER($Q974),1,0)</f>
        <v>0</v>
      </c>
      <c r="BI974" s="56">
        <f>IF($Y974="",0,1)</f>
        <v>0</v>
      </c>
      <c r="BJ974" s="56">
        <f>IF($AB974="",0,1)</f>
        <v>0</v>
      </c>
      <c r="BK974" s="56">
        <f>IF(AND($BH974=1,$W974&lt;&gt;"OK"),1,0)</f>
        <v>0</v>
      </c>
      <c r="BL974" s="55">
        <f>IF(N($AZ974)=0,0,IFERROR(INDEX($AT$6:$AT$1005,MATCH($AZ974,$AY$6:$AY$1005,0)),0))</f>
        <v>1187.10688</v>
      </c>
      <c r="BM974" s="56">
        <f>IF(ISNUMBER(SEARCH("daily max loss",$BG974)),1,0)</f>
        <v>0</v>
      </c>
    </row>
    <row r="975" ht="18" customHeight="1">
      <c r="A975" s="38" t="n"/>
      <c r="B975" s="39" t="n"/>
      <c r="C975" s="40" t="n"/>
      <c r="D975" s="41" t="n"/>
      <c r="E975" s="41" t="n"/>
      <c r="F975" s="41" t="n"/>
      <c r="G975" s="41" t="n"/>
      <c r="H975" s="42" t="n"/>
      <c r="I975" s="42" t="n"/>
      <c r="J975" s="42" t="n"/>
      <c r="K975" s="42" t="n"/>
      <c r="L975" s="41" t="n"/>
      <c r="M975" s="41" t="n"/>
      <c r="N975" s="41" t="n"/>
      <c r="O975" s="43" t="n"/>
      <c r="P975" s="43" t="n"/>
      <c r="Q975" s="44" t="str">
        <f>IF($AM975=0,"",IF(ISNUMBER($AK975),$AK975-N($AL975),""))</f>
        <v/>
      </c>
      <c r="R975" s="45" t="str">
        <f>IF(OR($Q975="",NOT(ISNUMBER($V975))),"",$AK975/$V975)</f>
        <v/>
      </c>
      <c r="S975" s="46" t="str">
        <f>IF($Q975="","",IF(AND(ISNUMBER($R975),ABS(N($R975))&lt;N(Settings!$C$8)),"Scratch",IF($Q975&gt;0,"Win",IF($Q975&lt;0,"Loss","Scratch"))))</f>
        <v/>
      </c>
      <c r="T975" s="47" t="str">
        <f>IF(OR($AM975=0,NOT(ISNUMBER($H975)),NOT(ISNUMBER($I975)),NOT(ISNUMBER($J975))),"",IF($H975=$I975,"",ROUND(ABS($J975-$H975)/ABS($H975-$I975),6)))</f>
        <v/>
      </c>
      <c r="U975" s="48" t="str">
        <f>IF(OR($S975&lt;&gt;"Win",NOT(ISNUMBER($T975)),NOT(ISNUMBER($R975))),"",MAX(0,$T975-$R975))</f>
        <v/>
      </c>
      <c r="V975" s="49" t="str">
        <f>IF(OR($AM975=0,NOT(ISNUMBER($H975)),NOT(ISNUMBER($I975)),NOT(ISNUMBER($G975))),"",IF(OR($AG975="",$AH975=""),"",IF(ROUND(ABS($H975-$I975)*ABS($G975)*$AG975*$AH975,6)=0,"",ROUND(ABS($H975-$I975)*ABS($G975)*$AG975*$AH975,6))))</f>
        <v/>
      </c>
      <c r="W975" s="50" t="str">
        <f>IF($AM975=0,"",IF($BG975="","OK",LEFT($BG975,LEN($BG975)-2)))</f>
        <v/>
      </c>
      <c r="X975" s="41" t="n"/>
      <c r="Y975" s="40" t="n"/>
      <c r="Z975" s="41" t="n"/>
      <c r="AA975" s="41" t="n"/>
      <c r="AB975" s="40" t="n"/>
      <c r="AC975" s="51" t="n"/>
      <c r="AD975" s="51" t="n"/>
      <c r="AE975" s="40" t="n"/>
      <c r="AF975" s="52" t="str">
        <f>IF($AM975=0,"",IF($D975&lt;&gt;"",$D975,IF(IFERROR(INDEX(Accounts!$C$7:$C$16,MATCH($C975,Accounts!$B$7:$B$16,0))&amp;"","")&lt;&gt;"",INDEX(Accounts!$C$7:$C$16,MATCH($C975,Accounts!$B$7:$B$16,0)),Settings!$C$6)))</f>
        <v/>
      </c>
      <c r="AG975" s="53" t="str">
        <f>IF($AM975=0,"",IF(AND($BE975&gt;0,N(INDEX(Instruments!$D$6:$D$205,MAX(1,$BE975)))&gt;0),INDEX(Instruments!$D$6:$D$205,MAX(1,$BE975)),IF(N(INDEX(Settings!$D$14:$D$18,$BF975))&gt;0,INDEX(Settings!$D$14:$D$18,$BF975),"")))</f>
        <v/>
      </c>
      <c r="AH975" s="54" t="str">
        <f>IF($AM975=0,"",IF($AF975&lt;&gt;"Forex",1,IF(MID(UPPER(SUBSTITUTE(TRIM($E975),"/","")),4,3)=UPPER(TRIM(Settings!$C$7)),1,IF(LEFT(UPPER(SUBSTITUTE(TRIM($E975),"/","")),3)=UPPER(TRIM(Settings!$C$7)),IF(AND(ISNUMBER($K975),N($K975)&lt;&gt;0),1/$K975,""),""))))</f>
        <v/>
      </c>
      <c r="AI975" s="55" t="str">
        <f>IF($AM975=0,"",IF(OR(NOT(ISNUMBER($H975)),NOT(ISNUMBER($K975)),NOT(ISNUMBER($G975)),$AG975="",$AH975=""),"",ROUND(($K975-$H975)*IF($F975="Short",-1,1)*$G975*$AG975*$AH975,6)))</f>
        <v/>
      </c>
      <c r="AJ975" s="55" t="str">
        <f>IF($AM975=0,"",IF(INDEX(Settings!$E$14:$E$18,$BF975)="% of notional",IF(OR($AG975="",NOT(ISNUMBER($H975)),NOT(ISNUMBER($G975))),"",ROUND(ABS($H975*$G975*$AG975*N($AH975))*IF($L975="Limit",N(INDEX(Settings!$G$14:$G$18,$BF975)),N(INDEX(Settings!$H$14:$H$18,$BF975)))+IF(ISNUMBER($K975),ABS($K975*$G975*$AG975*N($AH975))*IF($M975="Target",N(INDEX(Settings!$G$14:$G$18,$BF975)),N(INDEX(Settings!$H$14:$H$18,$BF975))),0),6)),IF(NOT(ISNUMBER($G975)),"",ROUND(ABS($G975)*2*IF(AND($BE975&gt;0,ISNUMBER(INDEX(Instruments!$G$6:$G$205,MAX(1,$BE975)))),INDEX(Instruments!$G$6:$G$205,MAX(1,$BE975)),N(INDEX(Settings!$F$14:$F$18,$BF975))),6))))</f>
        <v/>
      </c>
      <c r="AK975" s="55" t="str">
        <f>IF($AM975=0,"",IF(ISNUMBER($O975),$O975,$AI975))</f>
        <v/>
      </c>
      <c r="AL975" s="55" t="str">
        <f>IF($AM975=0,"",IF(ISNUMBER($P975),$P975,N($AJ975)))</f>
        <v/>
      </c>
      <c r="AM975" s="56">
        <f>IF(AND($A975&lt;&gt;"",$E975&lt;&gt;"",OR(AND(ISNUMBER($G975),ISNUMBER($H975),ISNUMBER($K975)),ISNUMBER($O975))),1,0)</f>
        <v>0</v>
      </c>
      <c r="AN975" s="57" t="str">
        <f>IF($A975="","",$A975-WEEKDAY($A975,3))</f>
        <v/>
      </c>
      <c r="AO975" s="56" t="str">
        <f>IF($A975="","",WEEKDAY($A975,2))</f>
        <v/>
      </c>
      <c r="AP975" s="55" t="str">
        <f>IF(OR($AM975=0,$C975=""),"",IFERROR(N(INDEX(Accounts!$E$7:$E$16,MATCH($C975,Accounts!$B$7:$B$16,0))),0)+SUMIFS($Q$6:$Q975,$C$6:$C975,$C975))</f>
        <v/>
      </c>
      <c r="AQ975" s="55" t="str">
        <f>IF(OR($AM975=0,$C975=""),"",SUMIFS($Q$6:$Q$1005,$C$6:$C$1005,$C975,$A$6:$A$1005,$A975))</f>
        <v/>
      </c>
      <c r="AR975" s="55" t="str">
        <f>IF(OR($AM975=0,$C975=""),"",IFERROR(N(INDEX(Accounts!$E$7:$E$16,MATCH($C975,Accounts!$B$7:$B$16,0))),0)+SUMIFS($Q$6:$Q$1005,$C$6:$C$1005,$C975,$A$6:$A$1005,"&lt;="&amp;$A975))</f>
        <v/>
      </c>
      <c r="AS975" s="56">
        <f>IF(OR($AM975=0,$Q975=""),0,IF(AND($A975&gt;=Lists!$W$6,$A975&lt;=Lists!$W$7,OR(Dashboard!$D$6="All accounts",$C975=Dashboard!$D$6),OR(Dashboard!$D$7="All markets",$AF975=Dashboard!$D$7)),1,0))</f>
        <v>0</v>
      </c>
      <c r="AT975" s="55">
        <f>IF($AS975=1,N(AT974)+$Q975,N(AT974))</f>
        <v>1187.10688</v>
      </c>
      <c r="AU975" s="55">
        <f>MAX(N(AU974),$AT975)</f>
        <v>1187.10688</v>
      </c>
      <c r="AV975" s="55">
        <f>$AT975-$AU975</f>
        <v>0</v>
      </c>
      <c r="AW975" s="56">
        <f>IF($AS975=1,IF($S975="Win",N(AW974)+1,IF($S975="Loss",0,N(AW974))),N(AW974))</f>
        <v>5</v>
      </c>
      <c r="AX975" s="56">
        <f>IF($AS975=1,IF($S975="Loss",N(AX974)+1,IF($S975="Win",0,N(AX974))),N(AX974))</f>
        <v>0</v>
      </c>
      <c r="AY975" s="56" t="str">
        <f>IF($AS975=1,COUNTIF($AS$6:$AS975,1),"")</f>
        <v/>
      </c>
      <c r="AZ975" s="56">
        <f>MIN(969,N(Lists!$W$8))</f>
        <v>28</v>
      </c>
      <c r="BA975" s="56">
        <f>IF($AS975=1,IF(COUNTIFS($A$6:$A975,$A975,$AS$6:$AS975,1)=1,1,0),0)</f>
        <v>0</v>
      </c>
      <c r="BB975" s="55" t="str">
        <f>IF($BA975=1,SUMIFS($Q$6:$Q$1005,$A$6:$A$1005,$A975,$AS$6:$AS$1005,1),"")</f>
        <v/>
      </c>
      <c r="BC975" s="56">
        <f>IF(ISNUMBER($R975),1,0)</f>
        <v>0</v>
      </c>
      <c r="BD975" s="55" t="str">
        <f>IF(ISNUMBER($U975),$U975*$V975,"")</f>
        <v/>
      </c>
      <c r="BE975" s="56" t="str">
        <f>IF($AM975=0,"",IFERROR(MATCH($AF975&amp;"|"&amp;UPPER(TRIM($E975)),Lists!$A$6:$A$205,0),0))</f>
        <v/>
      </c>
      <c r="BF975" s="56" t="str">
        <f>IF($AM975=0,"",IFERROR(MATCH($AF975,Settings!$B$14:$B$18,0),IFERROR(MATCH(Settings!$C$6,Settings!$B$14:$B$18,0),1)))</f>
        <v/>
      </c>
      <c r="BG975" s="58" t="str">
        <f>IF($AM975=0,"",IF(NOT(ISNUMBER($I975)),"No stop; ","")&amp;IF(AND(ISNUMBER($H975),ISNUMBER($I975)),IF(OR(AND($F975&lt;&gt;"Short",$I975&gt;=$H975),AND($F975="Short",$I975&lt;=$H975)),"Stop on wrong side; ",""),"")&amp;IF($F975="","No direction; ","")&amp;IF(AND(ISNUMBER(Settings!$C$22),ISNUMBER($V975)),IF($V975&gt;Settings!$C$22,"Risk over max $; ",""),"")&amp;IF(AND(ISNUMBER(Settings!$C$23),ISNUMBER($V975),ISNUMBER($AP975),IFERROR(N(INDEX(Accounts!$E$7:$E$16,MATCH($C975,Accounts!$B$7:$B$16,0))),0)&gt;0),IF($V975&gt;Settings!$C$23*($AP975-N($Q975)),"Risk over max %; ",""),"")&amp;IF(AND(ISNUMBER(Settings!$C$24),ISNUMBER($N975)),IF($N975&gt;Settings!$C$24,"Leverage over max; ",""),"")&amp;IF(AND(ISNUMBER(Settings!$C$27),ISNUMBER($T975)),IF($T975&lt;Settings!$C$27,"R:R below min; ",""),"")&amp;IF(ISNUMBER(Settings!$C$25),IF(COUNTIFS($A$6:$A975,$A975,$AM$6:$AM975,1)&gt;Settings!$C$25,"Over max trades/day; ",""),"")&amp;IF(ISNUMBER(Settings!$C$26),IF(SUMIFS($Q$5:$Q974,$A$5:$A974,$A975)&lt;=-Settings!$C$26,"Traded after daily max loss; ",""),"")&amp;IF(AND($AG975="",NOT(ISNUMBER($O975))),"Symbol not in Instruments; ","")&amp;IF(AND($AH975="",NOT(ISNUMBER($O975))),"Forex cross: type Gross P&amp;L; ",""))</f>
        <v/>
      </c>
      <c r="BH975" s="56">
        <f>IF(ISNUMBER($Q975),1,0)</f>
        <v>0</v>
      </c>
      <c r="BI975" s="56">
        <f>IF($Y975="",0,1)</f>
        <v>0</v>
      </c>
      <c r="BJ975" s="56">
        <f>IF($AB975="",0,1)</f>
        <v>0</v>
      </c>
      <c r="BK975" s="56">
        <f>IF(AND($BH975=1,$W975&lt;&gt;"OK"),1,0)</f>
        <v>0</v>
      </c>
      <c r="BL975" s="55">
        <f>IF(N($AZ975)=0,0,IFERROR(INDEX($AT$6:$AT$1005,MATCH($AZ975,$AY$6:$AY$1005,0)),0))</f>
        <v>1187.10688</v>
      </c>
      <c r="BM975" s="56">
        <f>IF(ISNUMBER(SEARCH("daily max loss",$BG975)),1,0)</f>
        <v>0</v>
      </c>
    </row>
    <row r="976" ht="18" customHeight="1">
      <c r="A976" s="38" t="n"/>
      <c r="B976" s="39" t="n"/>
      <c r="C976" s="40" t="n"/>
      <c r="D976" s="41" t="n"/>
      <c r="E976" s="41" t="n"/>
      <c r="F976" s="41" t="n"/>
      <c r="G976" s="41" t="n"/>
      <c r="H976" s="42" t="n"/>
      <c r="I976" s="42" t="n"/>
      <c r="J976" s="42" t="n"/>
      <c r="K976" s="42" t="n"/>
      <c r="L976" s="41" t="n"/>
      <c r="M976" s="41" t="n"/>
      <c r="N976" s="41" t="n"/>
      <c r="O976" s="43" t="n"/>
      <c r="P976" s="43" t="n"/>
      <c r="Q976" s="44" t="str">
        <f>IF($AM976=0,"",IF(ISNUMBER($AK976),$AK976-N($AL976),""))</f>
        <v/>
      </c>
      <c r="R976" s="45" t="str">
        <f>IF(OR($Q976="",NOT(ISNUMBER($V976))),"",$AK976/$V976)</f>
        <v/>
      </c>
      <c r="S976" s="46" t="str">
        <f>IF($Q976="","",IF(AND(ISNUMBER($R976),ABS(N($R976))&lt;N(Settings!$C$8)),"Scratch",IF($Q976&gt;0,"Win",IF($Q976&lt;0,"Loss","Scratch"))))</f>
        <v/>
      </c>
      <c r="T976" s="47" t="str">
        <f>IF(OR($AM976=0,NOT(ISNUMBER($H976)),NOT(ISNUMBER($I976)),NOT(ISNUMBER($J976))),"",IF($H976=$I976,"",ROUND(ABS($J976-$H976)/ABS($H976-$I976),6)))</f>
        <v/>
      </c>
      <c r="U976" s="48" t="str">
        <f>IF(OR($S976&lt;&gt;"Win",NOT(ISNUMBER($T976)),NOT(ISNUMBER($R976))),"",MAX(0,$T976-$R976))</f>
        <v/>
      </c>
      <c r="V976" s="49" t="str">
        <f>IF(OR($AM976=0,NOT(ISNUMBER($H976)),NOT(ISNUMBER($I976)),NOT(ISNUMBER($G976))),"",IF(OR($AG976="",$AH976=""),"",IF(ROUND(ABS($H976-$I976)*ABS($G976)*$AG976*$AH976,6)=0,"",ROUND(ABS($H976-$I976)*ABS($G976)*$AG976*$AH976,6))))</f>
        <v/>
      </c>
      <c r="W976" s="50" t="str">
        <f>IF($AM976=0,"",IF($BG976="","OK",LEFT($BG976,LEN($BG976)-2)))</f>
        <v/>
      </c>
      <c r="X976" s="41" t="n"/>
      <c r="Y976" s="40" t="n"/>
      <c r="Z976" s="41" t="n"/>
      <c r="AA976" s="41" t="n"/>
      <c r="AB976" s="40" t="n"/>
      <c r="AC976" s="51" t="n"/>
      <c r="AD976" s="51" t="n"/>
      <c r="AE976" s="40" t="n"/>
      <c r="AF976" s="52" t="str">
        <f>IF($AM976=0,"",IF($D976&lt;&gt;"",$D976,IF(IFERROR(INDEX(Accounts!$C$7:$C$16,MATCH($C976,Accounts!$B$7:$B$16,0))&amp;"","")&lt;&gt;"",INDEX(Accounts!$C$7:$C$16,MATCH($C976,Accounts!$B$7:$B$16,0)),Settings!$C$6)))</f>
        <v/>
      </c>
      <c r="AG976" s="53" t="str">
        <f>IF($AM976=0,"",IF(AND($BE976&gt;0,N(INDEX(Instruments!$D$6:$D$205,MAX(1,$BE976)))&gt;0),INDEX(Instruments!$D$6:$D$205,MAX(1,$BE976)),IF(N(INDEX(Settings!$D$14:$D$18,$BF976))&gt;0,INDEX(Settings!$D$14:$D$18,$BF976),"")))</f>
        <v/>
      </c>
      <c r="AH976" s="54" t="str">
        <f>IF($AM976=0,"",IF($AF976&lt;&gt;"Forex",1,IF(MID(UPPER(SUBSTITUTE(TRIM($E976),"/","")),4,3)=UPPER(TRIM(Settings!$C$7)),1,IF(LEFT(UPPER(SUBSTITUTE(TRIM($E976),"/","")),3)=UPPER(TRIM(Settings!$C$7)),IF(AND(ISNUMBER($K976),N($K976)&lt;&gt;0),1/$K976,""),""))))</f>
        <v/>
      </c>
      <c r="AI976" s="55" t="str">
        <f>IF($AM976=0,"",IF(OR(NOT(ISNUMBER($H976)),NOT(ISNUMBER($K976)),NOT(ISNUMBER($G976)),$AG976="",$AH976=""),"",ROUND(($K976-$H976)*IF($F976="Short",-1,1)*$G976*$AG976*$AH976,6)))</f>
        <v/>
      </c>
      <c r="AJ976" s="55" t="str">
        <f>IF($AM976=0,"",IF(INDEX(Settings!$E$14:$E$18,$BF976)="% of notional",IF(OR($AG976="",NOT(ISNUMBER($H976)),NOT(ISNUMBER($G976))),"",ROUND(ABS($H976*$G976*$AG976*N($AH976))*IF($L976="Limit",N(INDEX(Settings!$G$14:$G$18,$BF976)),N(INDEX(Settings!$H$14:$H$18,$BF976)))+IF(ISNUMBER($K976),ABS($K976*$G976*$AG976*N($AH976))*IF($M976="Target",N(INDEX(Settings!$G$14:$G$18,$BF976)),N(INDEX(Settings!$H$14:$H$18,$BF976))),0),6)),IF(NOT(ISNUMBER($G976)),"",ROUND(ABS($G976)*2*IF(AND($BE976&gt;0,ISNUMBER(INDEX(Instruments!$G$6:$G$205,MAX(1,$BE976)))),INDEX(Instruments!$G$6:$G$205,MAX(1,$BE976)),N(INDEX(Settings!$F$14:$F$18,$BF976))),6))))</f>
        <v/>
      </c>
      <c r="AK976" s="55" t="str">
        <f>IF($AM976=0,"",IF(ISNUMBER($O976),$O976,$AI976))</f>
        <v/>
      </c>
      <c r="AL976" s="55" t="str">
        <f>IF($AM976=0,"",IF(ISNUMBER($P976),$P976,N($AJ976)))</f>
        <v/>
      </c>
      <c r="AM976" s="56">
        <f>IF(AND($A976&lt;&gt;"",$E976&lt;&gt;"",OR(AND(ISNUMBER($G976),ISNUMBER($H976),ISNUMBER($K976)),ISNUMBER($O976))),1,0)</f>
        <v>0</v>
      </c>
      <c r="AN976" s="57" t="str">
        <f>IF($A976="","",$A976-WEEKDAY($A976,3))</f>
        <v/>
      </c>
      <c r="AO976" s="56" t="str">
        <f>IF($A976="","",WEEKDAY($A976,2))</f>
        <v/>
      </c>
      <c r="AP976" s="55" t="str">
        <f>IF(OR($AM976=0,$C976=""),"",IFERROR(N(INDEX(Accounts!$E$7:$E$16,MATCH($C976,Accounts!$B$7:$B$16,0))),0)+SUMIFS($Q$6:$Q976,$C$6:$C976,$C976))</f>
        <v/>
      </c>
      <c r="AQ976" s="55" t="str">
        <f>IF(OR($AM976=0,$C976=""),"",SUMIFS($Q$6:$Q$1005,$C$6:$C$1005,$C976,$A$6:$A$1005,$A976))</f>
        <v/>
      </c>
      <c r="AR976" s="55" t="str">
        <f>IF(OR($AM976=0,$C976=""),"",IFERROR(N(INDEX(Accounts!$E$7:$E$16,MATCH($C976,Accounts!$B$7:$B$16,0))),0)+SUMIFS($Q$6:$Q$1005,$C$6:$C$1005,$C976,$A$6:$A$1005,"&lt;="&amp;$A976))</f>
        <v/>
      </c>
      <c r="AS976" s="56">
        <f>IF(OR($AM976=0,$Q976=""),0,IF(AND($A976&gt;=Lists!$W$6,$A976&lt;=Lists!$W$7,OR(Dashboard!$D$6="All accounts",$C976=Dashboard!$D$6),OR(Dashboard!$D$7="All markets",$AF976=Dashboard!$D$7)),1,0))</f>
        <v>0</v>
      </c>
      <c r="AT976" s="55">
        <f>IF($AS976=1,N(AT975)+$Q976,N(AT975))</f>
        <v>1187.10688</v>
      </c>
      <c r="AU976" s="55">
        <f>MAX(N(AU975),$AT976)</f>
        <v>1187.10688</v>
      </c>
      <c r="AV976" s="55">
        <f>$AT976-$AU976</f>
        <v>0</v>
      </c>
      <c r="AW976" s="56">
        <f>IF($AS976=1,IF($S976="Win",N(AW975)+1,IF($S976="Loss",0,N(AW975))),N(AW975))</f>
        <v>5</v>
      </c>
      <c r="AX976" s="56">
        <f>IF($AS976=1,IF($S976="Loss",N(AX975)+1,IF($S976="Win",0,N(AX975))),N(AX975))</f>
        <v>0</v>
      </c>
      <c r="AY976" s="56" t="str">
        <f>IF($AS976=1,COUNTIF($AS$6:$AS976,1),"")</f>
        <v/>
      </c>
      <c r="AZ976" s="56">
        <f>MIN(970,N(Lists!$W$8))</f>
        <v>28</v>
      </c>
      <c r="BA976" s="56">
        <f>IF($AS976=1,IF(COUNTIFS($A$6:$A976,$A976,$AS$6:$AS976,1)=1,1,0),0)</f>
        <v>0</v>
      </c>
      <c r="BB976" s="55" t="str">
        <f>IF($BA976=1,SUMIFS($Q$6:$Q$1005,$A$6:$A$1005,$A976,$AS$6:$AS$1005,1),"")</f>
        <v/>
      </c>
      <c r="BC976" s="56">
        <f>IF(ISNUMBER($R976),1,0)</f>
        <v>0</v>
      </c>
      <c r="BD976" s="55" t="str">
        <f>IF(ISNUMBER($U976),$U976*$V976,"")</f>
        <v/>
      </c>
      <c r="BE976" s="56" t="str">
        <f>IF($AM976=0,"",IFERROR(MATCH($AF976&amp;"|"&amp;UPPER(TRIM($E976)),Lists!$A$6:$A$205,0),0))</f>
        <v/>
      </c>
      <c r="BF976" s="56" t="str">
        <f>IF($AM976=0,"",IFERROR(MATCH($AF976,Settings!$B$14:$B$18,0),IFERROR(MATCH(Settings!$C$6,Settings!$B$14:$B$18,0),1)))</f>
        <v/>
      </c>
      <c r="BG976" s="58" t="str">
        <f>IF($AM976=0,"",IF(NOT(ISNUMBER($I976)),"No stop; ","")&amp;IF(AND(ISNUMBER($H976),ISNUMBER($I976)),IF(OR(AND($F976&lt;&gt;"Short",$I976&gt;=$H976),AND($F976="Short",$I976&lt;=$H976)),"Stop on wrong side; ",""),"")&amp;IF($F976="","No direction; ","")&amp;IF(AND(ISNUMBER(Settings!$C$22),ISNUMBER($V976)),IF($V976&gt;Settings!$C$22,"Risk over max $; ",""),"")&amp;IF(AND(ISNUMBER(Settings!$C$23),ISNUMBER($V976),ISNUMBER($AP976),IFERROR(N(INDEX(Accounts!$E$7:$E$16,MATCH($C976,Accounts!$B$7:$B$16,0))),0)&gt;0),IF($V976&gt;Settings!$C$23*($AP976-N($Q976)),"Risk over max %; ",""),"")&amp;IF(AND(ISNUMBER(Settings!$C$24),ISNUMBER($N976)),IF($N976&gt;Settings!$C$24,"Leverage over max; ",""),"")&amp;IF(AND(ISNUMBER(Settings!$C$27),ISNUMBER($T976)),IF($T976&lt;Settings!$C$27,"R:R below min; ",""),"")&amp;IF(ISNUMBER(Settings!$C$25),IF(COUNTIFS($A$6:$A976,$A976,$AM$6:$AM976,1)&gt;Settings!$C$25,"Over max trades/day; ",""),"")&amp;IF(ISNUMBER(Settings!$C$26),IF(SUMIFS($Q$5:$Q975,$A$5:$A975,$A976)&lt;=-Settings!$C$26,"Traded after daily max loss; ",""),"")&amp;IF(AND($AG976="",NOT(ISNUMBER($O976))),"Symbol not in Instruments; ","")&amp;IF(AND($AH976="",NOT(ISNUMBER($O976))),"Forex cross: type Gross P&amp;L; ",""))</f>
        <v/>
      </c>
      <c r="BH976" s="56">
        <f>IF(ISNUMBER($Q976),1,0)</f>
        <v>0</v>
      </c>
      <c r="BI976" s="56">
        <f>IF($Y976="",0,1)</f>
        <v>0</v>
      </c>
      <c r="BJ976" s="56">
        <f>IF($AB976="",0,1)</f>
        <v>0</v>
      </c>
      <c r="BK976" s="56">
        <f>IF(AND($BH976=1,$W976&lt;&gt;"OK"),1,0)</f>
        <v>0</v>
      </c>
      <c r="BL976" s="55">
        <f>IF(N($AZ976)=0,0,IFERROR(INDEX($AT$6:$AT$1005,MATCH($AZ976,$AY$6:$AY$1005,0)),0))</f>
        <v>1187.10688</v>
      </c>
      <c r="BM976" s="56">
        <f>IF(ISNUMBER(SEARCH("daily max loss",$BG976)),1,0)</f>
        <v>0</v>
      </c>
    </row>
    <row r="977" ht="18" customHeight="1">
      <c r="A977" s="38" t="n"/>
      <c r="B977" s="39" t="n"/>
      <c r="C977" s="40" t="n"/>
      <c r="D977" s="41" t="n"/>
      <c r="E977" s="41" t="n"/>
      <c r="F977" s="41" t="n"/>
      <c r="G977" s="41" t="n"/>
      <c r="H977" s="42" t="n"/>
      <c r="I977" s="42" t="n"/>
      <c r="J977" s="42" t="n"/>
      <c r="K977" s="42" t="n"/>
      <c r="L977" s="41" t="n"/>
      <c r="M977" s="41" t="n"/>
      <c r="N977" s="41" t="n"/>
      <c r="O977" s="43" t="n"/>
      <c r="P977" s="43" t="n"/>
      <c r="Q977" s="44" t="str">
        <f>IF($AM977=0,"",IF(ISNUMBER($AK977),$AK977-N($AL977),""))</f>
        <v/>
      </c>
      <c r="R977" s="45" t="str">
        <f>IF(OR($Q977="",NOT(ISNUMBER($V977))),"",$AK977/$V977)</f>
        <v/>
      </c>
      <c r="S977" s="46" t="str">
        <f>IF($Q977="","",IF(AND(ISNUMBER($R977),ABS(N($R977))&lt;N(Settings!$C$8)),"Scratch",IF($Q977&gt;0,"Win",IF($Q977&lt;0,"Loss","Scratch"))))</f>
        <v/>
      </c>
      <c r="T977" s="47" t="str">
        <f>IF(OR($AM977=0,NOT(ISNUMBER($H977)),NOT(ISNUMBER($I977)),NOT(ISNUMBER($J977))),"",IF($H977=$I977,"",ROUND(ABS($J977-$H977)/ABS($H977-$I977),6)))</f>
        <v/>
      </c>
      <c r="U977" s="48" t="str">
        <f>IF(OR($S977&lt;&gt;"Win",NOT(ISNUMBER($T977)),NOT(ISNUMBER($R977))),"",MAX(0,$T977-$R977))</f>
        <v/>
      </c>
      <c r="V977" s="49" t="str">
        <f>IF(OR($AM977=0,NOT(ISNUMBER($H977)),NOT(ISNUMBER($I977)),NOT(ISNUMBER($G977))),"",IF(OR($AG977="",$AH977=""),"",IF(ROUND(ABS($H977-$I977)*ABS($G977)*$AG977*$AH977,6)=0,"",ROUND(ABS($H977-$I977)*ABS($G977)*$AG977*$AH977,6))))</f>
        <v/>
      </c>
      <c r="W977" s="50" t="str">
        <f>IF($AM977=0,"",IF($BG977="","OK",LEFT($BG977,LEN($BG977)-2)))</f>
        <v/>
      </c>
      <c r="X977" s="41" t="n"/>
      <c r="Y977" s="40" t="n"/>
      <c r="Z977" s="41" t="n"/>
      <c r="AA977" s="41" t="n"/>
      <c r="AB977" s="40" t="n"/>
      <c r="AC977" s="51" t="n"/>
      <c r="AD977" s="51" t="n"/>
      <c r="AE977" s="40" t="n"/>
      <c r="AF977" s="52" t="str">
        <f>IF($AM977=0,"",IF($D977&lt;&gt;"",$D977,IF(IFERROR(INDEX(Accounts!$C$7:$C$16,MATCH($C977,Accounts!$B$7:$B$16,0))&amp;"","")&lt;&gt;"",INDEX(Accounts!$C$7:$C$16,MATCH($C977,Accounts!$B$7:$B$16,0)),Settings!$C$6)))</f>
        <v/>
      </c>
      <c r="AG977" s="53" t="str">
        <f>IF($AM977=0,"",IF(AND($BE977&gt;0,N(INDEX(Instruments!$D$6:$D$205,MAX(1,$BE977)))&gt;0),INDEX(Instruments!$D$6:$D$205,MAX(1,$BE977)),IF(N(INDEX(Settings!$D$14:$D$18,$BF977))&gt;0,INDEX(Settings!$D$14:$D$18,$BF977),"")))</f>
        <v/>
      </c>
      <c r="AH977" s="54" t="str">
        <f>IF($AM977=0,"",IF($AF977&lt;&gt;"Forex",1,IF(MID(UPPER(SUBSTITUTE(TRIM($E977),"/","")),4,3)=UPPER(TRIM(Settings!$C$7)),1,IF(LEFT(UPPER(SUBSTITUTE(TRIM($E977),"/","")),3)=UPPER(TRIM(Settings!$C$7)),IF(AND(ISNUMBER($K977),N($K977)&lt;&gt;0),1/$K977,""),""))))</f>
        <v/>
      </c>
      <c r="AI977" s="55" t="str">
        <f>IF($AM977=0,"",IF(OR(NOT(ISNUMBER($H977)),NOT(ISNUMBER($K977)),NOT(ISNUMBER($G977)),$AG977="",$AH977=""),"",ROUND(($K977-$H977)*IF($F977="Short",-1,1)*$G977*$AG977*$AH977,6)))</f>
        <v/>
      </c>
      <c r="AJ977" s="55" t="str">
        <f>IF($AM977=0,"",IF(INDEX(Settings!$E$14:$E$18,$BF977)="% of notional",IF(OR($AG977="",NOT(ISNUMBER($H977)),NOT(ISNUMBER($G977))),"",ROUND(ABS($H977*$G977*$AG977*N($AH977))*IF($L977="Limit",N(INDEX(Settings!$G$14:$G$18,$BF977)),N(INDEX(Settings!$H$14:$H$18,$BF977)))+IF(ISNUMBER($K977),ABS($K977*$G977*$AG977*N($AH977))*IF($M977="Target",N(INDEX(Settings!$G$14:$G$18,$BF977)),N(INDEX(Settings!$H$14:$H$18,$BF977))),0),6)),IF(NOT(ISNUMBER($G977)),"",ROUND(ABS($G977)*2*IF(AND($BE977&gt;0,ISNUMBER(INDEX(Instruments!$G$6:$G$205,MAX(1,$BE977)))),INDEX(Instruments!$G$6:$G$205,MAX(1,$BE977)),N(INDEX(Settings!$F$14:$F$18,$BF977))),6))))</f>
        <v/>
      </c>
      <c r="AK977" s="55" t="str">
        <f>IF($AM977=0,"",IF(ISNUMBER($O977),$O977,$AI977))</f>
        <v/>
      </c>
      <c r="AL977" s="55" t="str">
        <f>IF($AM977=0,"",IF(ISNUMBER($P977),$P977,N($AJ977)))</f>
        <v/>
      </c>
      <c r="AM977" s="56">
        <f>IF(AND($A977&lt;&gt;"",$E977&lt;&gt;"",OR(AND(ISNUMBER($G977),ISNUMBER($H977),ISNUMBER($K977)),ISNUMBER($O977))),1,0)</f>
        <v>0</v>
      </c>
      <c r="AN977" s="57" t="str">
        <f>IF($A977="","",$A977-WEEKDAY($A977,3))</f>
        <v/>
      </c>
      <c r="AO977" s="56" t="str">
        <f>IF($A977="","",WEEKDAY($A977,2))</f>
        <v/>
      </c>
      <c r="AP977" s="55" t="str">
        <f>IF(OR($AM977=0,$C977=""),"",IFERROR(N(INDEX(Accounts!$E$7:$E$16,MATCH($C977,Accounts!$B$7:$B$16,0))),0)+SUMIFS($Q$6:$Q977,$C$6:$C977,$C977))</f>
        <v/>
      </c>
      <c r="AQ977" s="55" t="str">
        <f>IF(OR($AM977=0,$C977=""),"",SUMIFS($Q$6:$Q$1005,$C$6:$C$1005,$C977,$A$6:$A$1005,$A977))</f>
        <v/>
      </c>
      <c r="AR977" s="55" t="str">
        <f>IF(OR($AM977=0,$C977=""),"",IFERROR(N(INDEX(Accounts!$E$7:$E$16,MATCH($C977,Accounts!$B$7:$B$16,0))),0)+SUMIFS($Q$6:$Q$1005,$C$6:$C$1005,$C977,$A$6:$A$1005,"&lt;="&amp;$A977))</f>
        <v/>
      </c>
      <c r="AS977" s="56">
        <f>IF(OR($AM977=0,$Q977=""),0,IF(AND($A977&gt;=Lists!$W$6,$A977&lt;=Lists!$W$7,OR(Dashboard!$D$6="All accounts",$C977=Dashboard!$D$6),OR(Dashboard!$D$7="All markets",$AF977=Dashboard!$D$7)),1,0))</f>
        <v>0</v>
      </c>
      <c r="AT977" s="55">
        <f>IF($AS977=1,N(AT976)+$Q977,N(AT976))</f>
        <v>1187.10688</v>
      </c>
      <c r="AU977" s="55">
        <f>MAX(N(AU976),$AT977)</f>
        <v>1187.10688</v>
      </c>
      <c r="AV977" s="55">
        <f>$AT977-$AU977</f>
        <v>0</v>
      </c>
      <c r="AW977" s="56">
        <f>IF($AS977=1,IF($S977="Win",N(AW976)+1,IF($S977="Loss",0,N(AW976))),N(AW976))</f>
        <v>5</v>
      </c>
      <c r="AX977" s="56">
        <f>IF($AS977=1,IF($S977="Loss",N(AX976)+1,IF($S977="Win",0,N(AX976))),N(AX976))</f>
        <v>0</v>
      </c>
      <c r="AY977" s="56" t="str">
        <f>IF($AS977=1,COUNTIF($AS$6:$AS977,1),"")</f>
        <v/>
      </c>
      <c r="AZ977" s="56">
        <f>MIN(971,N(Lists!$W$8))</f>
        <v>28</v>
      </c>
      <c r="BA977" s="56">
        <f>IF($AS977=1,IF(COUNTIFS($A$6:$A977,$A977,$AS$6:$AS977,1)=1,1,0),0)</f>
        <v>0</v>
      </c>
      <c r="BB977" s="55" t="str">
        <f>IF($BA977=1,SUMIFS($Q$6:$Q$1005,$A$6:$A$1005,$A977,$AS$6:$AS$1005,1),"")</f>
        <v/>
      </c>
      <c r="BC977" s="56">
        <f>IF(ISNUMBER($R977),1,0)</f>
        <v>0</v>
      </c>
      <c r="BD977" s="55" t="str">
        <f>IF(ISNUMBER($U977),$U977*$V977,"")</f>
        <v/>
      </c>
      <c r="BE977" s="56" t="str">
        <f>IF($AM977=0,"",IFERROR(MATCH($AF977&amp;"|"&amp;UPPER(TRIM($E977)),Lists!$A$6:$A$205,0),0))</f>
        <v/>
      </c>
      <c r="BF977" s="56" t="str">
        <f>IF($AM977=0,"",IFERROR(MATCH($AF977,Settings!$B$14:$B$18,0),IFERROR(MATCH(Settings!$C$6,Settings!$B$14:$B$18,0),1)))</f>
        <v/>
      </c>
      <c r="BG977" s="58" t="str">
        <f>IF($AM977=0,"",IF(NOT(ISNUMBER($I977)),"No stop; ","")&amp;IF(AND(ISNUMBER($H977),ISNUMBER($I977)),IF(OR(AND($F977&lt;&gt;"Short",$I977&gt;=$H977),AND($F977="Short",$I977&lt;=$H977)),"Stop on wrong side; ",""),"")&amp;IF($F977="","No direction; ","")&amp;IF(AND(ISNUMBER(Settings!$C$22),ISNUMBER($V977)),IF($V977&gt;Settings!$C$22,"Risk over max $; ",""),"")&amp;IF(AND(ISNUMBER(Settings!$C$23),ISNUMBER($V977),ISNUMBER($AP977),IFERROR(N(INDEX(Accounts!$E$7:$E$16,MATCH($C977,Accounts!$B$7:$B$16,0))),0)&gt;0),IF($V977&gt;Settings!$C$23*($AP977-N($Q977)),"Risk over max %; ",""),"")&amp;IF(AND(ISNUMBER(Settings!$C$24),ISNUMBER($N977)),IF($N977&gt;Settings!$C$24,"Leverage over max; ",""),"")&amp;IF(AND(ISNUMBER(Settings!$C$27),ISNUMBER($T977)),IF($T977&lt;Settings!$C$27,"R:R below min; ",""),"")&amp;IF(ISNUMBER(Settings!$C$25),IF(COUNTIFS($A$6:$A977,$A977,$AM$6:$AM977,1)&gt;Settings!$C$25,"Over max trades/day; ",""),"")&amp;IF(ISNUMBER(Settings!$C$26),IF(SUMIFS($Q$5:$Q976,$A$5:$A976,$A977)&lt;=-Settings!$C$26,"Traded after daily max loss; ",""),"")&amp;IF(AND($AG977="",NOT(ISNUMBER($O977))),"Symbol not in Instruments; ","")&amp;IF(AND($AH977="",NOT(ISNUMBER($O977))),"Forex cross: type Gross P&amp;L; ",""))</f>
        <v/>
      </c>
      <c r="BH977" s="56">
        <f>IF(ISNUMBER($Q977),1,0)</f>
        <v>0</v>
      </c>
      <c r="BI977" s="56">
        <f>IF($Y977="",0,1)</f>
        <v>0</v>
      </c>
      <c r="BJ977" s="56">
        <f>IF($AB977="",0,1)</f>
        <v>0</v>
      </c>
      <c r="BK977" s="56">
        <f>IF(AND($BH977=1,$W977&lt;&gt;"OK"),1,0)</f>
        <v>0</v>
      </c>
      <c r="BL977" s="55">
        <f>IF(N($AZ977)=0,0,IFERROR(INDEX($AT$6:$AT$1005,MATCH($AZ977,$AY$6:$AY$1005,0)),0))</f>
        <v>1187.10688</v>
      </c>
      <c r="BM977" s="56">
        <f>IF(ISNUMBER(SEARCH("daily max loss",$BG977)),1,0)</f>
        <v>0</v>
      </c>
    </row>
    <row r="978" ht="18" customHeight="1">
      <c r="A978" s="38" t="n"/>
      <c r="B978" s="39" t="n"/>
      <c r="C978" s="40" t="n"/>
      <c r="D978" s="41" t="n"/>
      <c r="E978" s="41" t="n"/>
      <c r="F978" s="41" t="n"/>
      <c r="G978" s="41" t="n"/>
      <c r="H978" s="42" t="n"/>
      <c r="I978" s="42" t="n"/>
      <c r="J978" s="42" t="n"/>
      <c r="K978" s="42" t="n"/>
      <c r="L978" s="41" t="n"/>
      <c r="M978" s="41" t="n"/>
      <c r="N978" s="41" t="n"/>
      <c r="O978" s="43" t="n"/>
      <c r="P978" s="43" t="n"/>
      <c r="Q978" s="44" t="str">
        <f>IF($AM978=0,"",IF(ISNUMBER($AK978),$AK978-N($AL978),""))</f>
        <v/>
      </c>
      <c r="R978" s="45" t="str">
        <f>IF(OR($Q978="",NOT(ISNUMBER($V978))),"",$AK978/$V978)</f>
        <v/>
      </c>
      <c r="S978" s="46" t="str">
        <f>IF($Q978="","",IF(AND(ISNUMBER($R978),ABS(N($R978))&lt;N(Settings!$C$8)),"Scratch",IF($Q978&gt;0,"Win",IF($Q978&lt;0,"Loss","Scratch"))))</f>
        <v/>
      </c>
      <c r="T978" s="47" t="str">
        <f>IF(OR($AM978=0,NOT(ISNUMBER($H978)),NOT(ISNUMBER($I978)),NOT(ISNUMBER($J978))),"",IF($H978=$I978,"",ROUND(ABS($J978-$H978)/ABS($H978-$I978),6)))</f>
        <v/>
      </c>
      <c r="U978" s="48" t="str">
        <f>IF(OR($S978&lt;&gt;"Win",NOT(ISNUMBER($T978)),NOT(ISNUMBER($R978))),"",MAX(0,$T978-$R978))</f>
        <v/>
      </c>
      <c r="V978" s="49" t="str">
        <f>IF(OR($AM978=0,NOT(ISNUMBER($H978)),NOT(ISNUMBER($I978)),NOT(ISNUMBER($G978))),"",IF(OR($AG978="",$AH978=""),"",IF(ROUND(ABS($H978-$I978)*ABS($G978)*$AG978*$AH978,6)=0,"",ROUND(ABS($H978-$I978)*ABS($G978)*$AG978*$AH978,6))))</f>
        <v/>
      </c>
      <c r="W978" s="50" t="str">
        <f>IF($AM978=0,"",IF($BG978="","OK",LEFT($BG978,LEN($BG978)-2)))</f>
        <v/>
      </c>
      <c r="X978" s="41" t="n"/>
      <c r="Y978" s="40" t="n"/>
      <c r="Z978" s="41" t="n"/>
      <c r="AA978" s="41" t="n"/>
      <c r="AB978" s="40" t="n"/>
      <c r="AC978" s="51" t="n"/>
      <c r="AD978" s="51" t="n"/>
      <c r="AE978" s="40" t="n"/>
      <c r="AF978" s="52" t="str">
        <f>IF($AM978=0,"",IF($D978&lt;&gt;"",$D978,IF(IFERROR(INDEX(Accounts!$C$7:$C$16,MATCH($C978,Accounts!$B$7:$B$16,0))&amp;"","")&lt;&gt;"",INDEX(Accounts!$C$7:$C$16,MATCH($C978,Accounts!$B$7:$B$16,0)),Settings!$C$6)))</f>
        <v/>
      </c>
      <c r="AG978" s="53" t="str">
        <f>IF($AM978=0,"",IF(AND($BE978&gt;0,N(INDEX(Instruments!$D$6:$D$205,MAX(1,$BE978)))&gt;0),INDEX(Instruments!$D$6:$D$205,MAX(1,$BE978)),IF(N(INDEX(Settings!$D$14:$D$18,$BF978))&gt;0,INDEX(Settings!$D$14:$D$18,$BF978),"")))</f>
        <v/>
      </c>
      <c r="AH978" s="54" t="str">
        <f>IF($AM978=0,"",IF($AF978&lt;&gt;"Forex",1,IF(MID(UPPER(SUBSTITUTE(TRIM($E978),"/","")),4,3)=UPPER(TRIM(Settings!$C$7)),1,IF(LEFT(UPPER(SUBSTITUTE(TRIM($E978),"/","")),3)=UPPER(TRIM(Settings!$C$7)),IF(AND(ISNUMBER($K978),N($K978)&lt;&gt;0),1/$K978,""),""))))</f>
        <v/>
      </c>
      <c r="AI978" s="55" t="str">
        <f>IF($AM978=0,"",IF(OR(NOT(ISNUMBER($H978)),NOT(ISNUMBER($K978)),NOT(ISNUMBER($G978)),$AG978="",$AH978=""),"",ROUND(($K978-$H978)*IF($F978="Short",-1,1)*$G978*$AG978*$AH978,6)))</f>
        <v/>
      </c>
      <c r="AJ978" s="55" t="str">
        <f>IF($AM978=0,"",IF(INDEX(Settings!$E$14:$E$18,$BF978)="% of notional",IF(OR($AG978="",NOT(ISNUMBER($H978)),NOT(ISNUMBER($G978))),"",ROUND(ABS($H978*$G978*$AG978*N($AH978))*IF($L978="Limit",N(INDEX(Settings!$G$14:$G$18,$BF978)),N(INDEX(Settings!$H$14:$H$18,$BF978)))+IF(ISNUMBER($K978),ABS($K978*$G978*$AG978*N($AH978))*IF($M978="Target",N(INDEX(Settings!$G$14:$G$18,$BF978)),N(INDEX(Settings!$H$14:$H$18,$BF978))),0),6)),IF(NOT(ISNUMBER($G978)),"",ROUND(ABS($G978)*2*IF(AND($BE978&gt;0,ISNUMBER(INDEX(Instruments!$G$6:$G$205,MAX(1,$BE978)))),INDEX(Instruments!$G$6:$G$205,MAX(1,$BE978)),N(INDEX(Settings!$F$14:$F$18,$BF978))),6))))</f>
        <v/>
      </c>
      <c r="AK978" s="55" t="str">
        <f>IF($AM978=0,"",IF(ISNUMBER($O978),$O978,$AI978))</f>
        <v/>
      </c>
      <c r="AL978" s="55" t="str">
        <f>IF($AM978=0,"",IF(ISNUMBER($P978),$P978,N($AJ978)))</f>
        <v/>
      </c>
      <c r="AM978" s="56">
        <f>IF(AND($A978&lt;&gt;"",$E978&lt;&gt;"",OR(AND(ISNUMBER($G978),ISNUMBER($H978),ISNUMBER($K978)),ISNUMBER($O978))),1,0)</f>
        <v>0</v>
      </c>
      <c r="AN978" s="57" t="str">
        <f>IF($A978="","",$A978-WEEKDAY($A978,3))</f>
        <v/>
      </c>
      <c r="AO978" s="56" t="str">
        <f>IF($A978="","",WEEKDAY($A978,2))</f>
        <v/>
      </c>
      <c r="AP978" s="55" t="str">
        <f>IF(OR($AM978=0,$C978=""),"",IFERROR(N(INDEX(Accounts!$E$7:$E$16,MATCH($C978,Accounts!$B$7:$B$16,0))),0)+SUMIFS($Q$6:$Q978,$C$6:$C978,$C978))</f>
        <v/>
      </c>
      <c r="AQ978" s="55" t="str">
        <f>IF(OR($AM978=0,$C978=""),"",SUMIFS($Q$6:$Q$1005,$C$6:$C$1005,$C978,$A$6:$A$1005,$A978))</f>
        <v/>
      </c>
      <c r="AR978" s="55" t="str">
        <f>IF(OR($AM978=0,$C978=""),"",IFERROR(N(INDEX(Accounts!$E$7:$E$16,MATCH($C978,Accounts!$B$7:$B$16,0))),0)+SUMIFS($Q$6:$Q$1005,$C$6:$C$1005,$C978,$A$6:$A$1005,"&lt;="&amp;$A978))</f>
        <v/>
      </c>
      <c r="AS978" s="56">
        <f>IF(OR($AM978=0,$Q978=""),0,IF(AND($A978&gt;=Lists!$W$6,$A978&lt;=Lists!$W$7,OR(Dashboard!$D$6="All accounts",$C978=Dashboard!$D$6),OR(Dashboard!$D$7="All markets",$AF978=Dashboard!$D$7)),1,0))</f>
        <v>0</v>
      </c>
      <c r="AT978" s="55">
        <f>IF($AS978=1,N(AT977)+$Q978,N(AT977))</f>
        <v>1187.10688</v>
      </c>
      <c r="AU978" s="55">
        <f>MAX(N(AU977),$AT978)</f>
        <v>1187.10688</v>
      </c>
      <c r="AV978" s="55">
        <f>$AT978-$AU978</f>
        <v>0</v>
      </c>
      <c r="AW978" s="56">
        <f>IF($AS978=1,IF($S978="Win",N(AW977)+1,IF($S978="Loss",0,N(AW977))),N(AW977))</f>
        <v>5</v>
      </c>
      <c r="AX978" s="56">
        <f>IF($AS978=1,IF($S978="Loss",N(AX977)+1,IF($S978="Win",0,N(AX977))),N(AX977))</f>
        <v>0</v>
      </c>
      <c r="AY978" s="56" t="str">
        <f>IF($AS978=1,COUNTIF($AS$6:$AS978,1),"")</f>
        <v/>
      </c>
      <c r="AZ978" s="56">
        <f>MIN(972,N(Lists!$W$8))</f>
        <v>28</v>
      </c>
      <c r="BA978" s="56">
        <f>IF($AS978=1,IF(COUNTIFS($A$6:$A978,$A978,$AS$6:$AS978,1)=1,1,0),0)</f>
        <v>0</v>
      </c>
      <c r="BB978" s="55" t="str">
        <f>IF($BA978=1,SUMIFS($Q$6:$Q$1005,$A$6:$A$1005,$A978,$AS$6:$AS$1005,1),"")</f>
        <v/>
      </c>
      <c r="BC978" s="56">
        <f>IF(ISNUMBER($R978),1,0)</f>
        <v>0</v>
      </c>
      <c r="BD978" s="55" t="str">
        <f>IF(ISNUMBER($U978),$U978*$V978,"")</f>
        <v/>
      </c>
      <c r="BE978" s="56" t="str">
        <f>IF($AM978=0,"",IFERROR(MATCH($AF978&amp;"|"&amp;UPPER(TRIM($E978)),Lists!$A$6:$A$205,0),0))</f>
        <v/>
      </c>
      <c r="BF978" s="56" t="str">
        <f>IF($AM978=0,"",IFERROR(MATCH($AF978,Settings!$B$14:$B$18,0),IFERROR(MATCH(Settings!$C$6,Settings!$B$14:$B$18,0),1)))</f>
        <v/>
      </c>
      <c r="BG978" s="58" t="str">
        <f>IF($AM978=0,"",IF(NOT(ISNUMBER($I978)),"No stop; ","")&amp;IF(AND(ISNUMBER($H978),ISNUMBER($I978)),IF(OR(AND($F978&lt;&gt;"Short",$I978&gt;=$H978),AND($F978="Short",$I978&lt;=$H978)),"Stop on wrong side; ",""),"")&amp;IF($F978="","No direction; ","")&amp;IF(AND(ISNUMBER(Settings!$C$22),ISNUMBER($V978)),IF($V978&gt;Settings!$C$22,"Risk over max $; ",""),"")&amp;IF(AND(ISNUMBER(Settings!$C$23),ISNUMBER($V978),ISNUMBER($AP978),IFERROR(N(INDEX(Accounts!$E$7:$E$16,MATCH($C978,Accounts!$B$7:$B$16,0))),0)&gt;0),IF($V978&gt;Settings!$C$23*($AP978-N($Q978)),"Risk over max %; ",""),"")&amp;IF(AND(ISNUMBER(Settings!$C$24),ISNUMBER($N978)),IF($N978&gt;Settings!$C$24,"Leverage over max; ",""),"")&amp;IF(AND(ISNUMBER(Settings!$C$27),ISNUMBER($T978)),IF($T978&lt;Settings!$C$27,"R:R below min; ",""),"")&amp;IF(ISNUMBER(Settings!$C$25),IF(COUNTIFS($A$6:$A978,$A978,$AM$6:$AM978,1)&gt;Settings!$C$25,"Over max trades/day; ",""),"")&amp;IF(ISNUMBER(Settings!$C$26),IF(SUMIFS($Q$5:$Q977,$A$5:$A977,$A978)&lt;=-Settings!$C$26,"Traded after daily max loss; ",""),"")&amp;IF(AND($AG978="",NOT(ISNUMBER($O978))),"Symbol not in Instruments; ","")&amp;IF(AND($AH978="",NOT(ISNUMBER($O978))),"Forex cross: type Gross P&amp;L; ",""))</f>
        <v/>
      </c>
      <c r="BH978" s="56">
        <f>IF(ISNUMBER($Q978),1,0)</f>
        <v>0</v>
      </c>
      <c r="BI978" s="56">
        <f>IF($Y978="",0,1)</f>
        <v>0</v>
      </c>
      <c r="BJ978" s="56">
        <f>IF($AB978="",0,1)</f>
        <v>0</v>
      </c>
      <c r="BK978" s="56">
        <f>IF(AND($BH978=1,$W978&lt;&gt;"OK"),1,0)</f>
        <v>0</v>
      </c>
      <c r="BL978" s="55">
        <f>IF(N($AZ978)=0,0,IFERROR(INDEX($AT$6:$AT$1005,MATCH($AZ978,$AY$6:$AY$1005,0)),0))</f>
        <v>1187.10688</v>
      </c>
      <c r="BM978" s="56">
        <f>IF(ISNUMBER(SEARCH("daily max loss",$BG978)),1,0)</f>
        <v>0</v>
      </c>
    </row>
    <row r="979" ht="18" customHeight="1">
      <c r="A979" s="38" t="n"/>
      <c r="B979" s="39" t="n"/>
      <c r="C979" s="40" t="n"/>
      <c r="D979" s="41" t="n"/>
      <c r="E979" s="41" t="n"/>
      <c r="F979" s="41" t="n"/>
      <c r="G979" s="41" t="n"/>
      <c r="H979" s="42" t="n"/>
      <c r="I979" s="42" t="n"/>
      <c r="J979" s="42" t="n"/>
      <c r="K979" s="42" t="n"/>
      <c r="L979" s="41" t="n"/>
      <c r="M979" s="41" t="n"/>
      <c r="N979" s="41" t="n"/>
      <c r="O979" s="43" t="n"/>
      <c r="P979" s="43" t="n"/>
      <c r="Q979" s="44" t="str">
        <f>IF($AM979=0,"",IF(ISNUMBER($AK979),$AK979-N($AL979),""))</f>
        <v/>
      </c>
      <c r="R979" s="45" t="str">
        <f>IF(OR($Q979="",NOT(ISNUMBER($V979))),"",$AK979/$V979)</f>
        <v/>
      </c>
      <c r="S979" s="46" t="str">
        <f>IF($Q979="","",IF(AND(ISNUMBER($R979),ABS(N($R979))&lt;N(Settings!$C$8)),"Scratch",IF($Q979&gt;0,"Win",IF($Q979&lt;0,"Loss","Scratch"))))</f>
        <v/>
      </c>
      <c r="T979" s="47" t="str">
        <f>IF(OR($AM979=0,NOT(ISNUMBER($H979)),NOT(ISNUMBER($I979)),NOT(ISNUMBER($J979))),"",IF($H979=$I979,"",ROUND(ABS($J979-$H979)/ABS($H979-$I979),6)))</f>
        <v/>
      </c>
      <c r="U979" s="48" t="str">
        <f>IF(OR($S979&lt;&gt;"Win",NOT(ISNUMBER($T979)),NOT(ISNUMBER($R979))),"",MAX(0,$T979-$R979))</f>
        <v/>
      </c>
      <c r="V979" s="49" t="str">
        <f>IF(OR($AM979=0,NOT(ISNUMBER($H979)),NOT(ISNUMBER($I979)),NOT(ISNUMBER($G979))),"",IF(OR($AG979="",$AH979=""),"",IF(ROUND(ABS($H979-$I979)*ABS($G979)*$AG979*$AH979,6)=0,"",ROUND(ABS($H979-$I979)*ABS($G979)*$AG979*$AH979,6))))</f>
        <v/>
      </c>
      <c r="W979" s="50" t="str">
        <f>IF($AM979=0,"",IF($BG979="","OK",LEFT($BG979,LEN($BG979)-2)))</f>
        <v/>
      </c>
      <c r="X979" s="41" t="n"/>
      <c r="Y979" s="40" t="n"/>
      <c r="Z979" s="41" t="n"/>
      <c r="AA979" s="41" t="n"/>
      <c r="AB979" s="40" t="n"/>
      <c r="AC979" s="51" t="n"/>
      <c r="AD979" s="51" t="n"/>
      <c r="AE979" s="40" t="n"/>
      <c r="AF979" s="52" t="str">
        <f>IF($AM979=0,"",IF($D979&lt;&gt;"",$D979,IF(IFERROR(INDEX(Accounts!$C$7:$C$16,MATCH($C979,Accounts!$B$7:$B$16,0))&amp;"","")&lt;&gt;"",INDEX(Accounts!$C$7:$C$16,MATCH($C979,Accounts!$B$7:$B$16,0)),Settings!$C$6)))</f>
        <v/>
      </c>
      <c r="AG979" s="53" t="str">
        <f>IF($AM979=0,"",IF(AND($BE979&gt;0,N(INDEX(Instruments!$D$6:$D$205,MAX(1,$BE979)))&gt;0),INDEX(Instruments!$D$6:$D$205,MAX(1,$BE979)),IF(N(INDEX(Settings!$D$14:$D$18,$BF979))&gt;0,INDEX(Settings!$D$14:$D$18,$BF979),"")))</f>
        <v/>
      </c>
      <c r="AH979" s="54" t="str">
        <f>IF($AM979=0,"",IF($AF979&lt;&gt;"Forex",1,IF(MID(UPPER(SUBSTITUTE(TRIM($E979),"/","")),4,3)=UPPER(TRIM(Settings!$C$7)),1,IF(LEFT(UPPER(SUBSTITUTE(TRIM($E979),"/","")),3)=UPPER(TRIM(Settings!$C$7)),IF(AND(ISNUMBER($K979),N($K979)&lt;&gt;0),1/$K979,""),""))))</f>
        <v/>
      </c>
      <c r="AI979" s="55" t="str">
        <f>IF($AM979=0,"",IF(OR(NOT(ISNUMBER($H979)),NOT(ISNUMBER($K979)),NOT(ISNUMBER($G979)),$AG979="",$AH979=""),"",ROUND(($K979-$H979)*IF($F979="Short",-1,1)*$G979*$AG979*$AH979,6)))</f>
        <v/>
      </c>
      <c r="AJ979" s="55" t="str">
        <f>IF($AM979=0,"",IF(INDEX(Settings!$E$14:$E$18,$BF979)="% of notional",IF(OR($AG979="",NOT(ISNUMBER($H979)),NOT(ISNUMBER($G979))),"",ROUND(ABS($H979*$G979*$AG979*N($AH979))*IF($L979="Limit",N(INDEX(Settings!$G$14:$G$18,$BF979)),N(INDEX(Settings!$H$14:$H$18,$BF979)))+IF(ISNUMBER($K979),ABS($K979*$G979*$AG979*N($AH979))*IF($M979="Target",N(INDEX(Settings!$G$14:$G$18,$BF979)),N(INDEX(Settings!$H$14:$H$18,$BF979))),0),6)),IF(NOT(ISNUMBER($G979)),"",ROUND(ABS($G979)*2*IF(AND($BE979&gt;0,ISNUMBER(INDEX(Instruments!$G$6:$G$205,MAX(1,$BE979)))),INDEX(Instruments!$G$6:$G$205,MAX(1,$BE979)),N(INDEX(Settings!$F$14:$F$18,$BF979))),6))))</f>
        <v/>
      </c>
      <c r="AK979" s="55" t="str">
        <f>IF($AM979=0,"",IF(ISNUMBER($O979),$O979,$AI979))</f>
        <v/>
      </c>
      <c r="AL979" s="55" t="str">
        <f>IF($AM979=0,"",IF(ISNUMBER($P979),$P979,N($AJ979)))</f>
        <v/>
      </c>
      <c r="AM979" s="56">
        <f>IF(AND($A979&lt;&gt;"",$E979&lt;&gt;"",OR(AND(ISNUMBER($G979),ISNUMBER($H979),ISNUMBER($K979)),ISNUMBER($O979))),1,0)</f>
        <v>0</v>
      </c>
      <c r="AN979" s="57" t="str">
        <f>IF($A979="","",$A979-WEEKDAY($A979,3))</f>
        <v/>
      </c>
      <c r="AO979" s="56" t="str">
        <f>IF($A979="","",WEEKDAY($A979,2))</f>
        <v/>
      </c>
      <c r="AP979" s="55" t="str">
        <f>IF(OR($AM979=0,$C979=""),"",IFERROR(N(INDEX(Accounts!$E$7:$E$16,MATCH($C979,Accounts!$B$7:$B$16,0))),0)+SUMIFS($Q$6:$Q979,$C$6:$C979,$C979))</f>
        <v/>
      </c>
      <c r="AQ979" s="55" t="str">
        <f>IF(OR($AM979=0,$C979=""),"",SUMIFS($Q$6:$Q$1005,$C$6:$C$1005,$C979,$A$6:$A$1005,$A979))</f>
        <v/>
      </c>
      <c r="AR979" s="55" t="str">
        <f>IF(OR($AM979=0,$C979=""),"",IFERROR(N(INDEX(Accounts!$E$7:$E$16,MATCH($C979,Accounts!$B$7:$B$16,0))),0)+SUMIFS($Q$6:$Q$1005,$C$6:$C$1005,$C979,$A$6:$A$1005,"&lt;="&amp;$A979))</f>
        <v/>
      </c>
      <c r="AS979" s="56">
        <f>IF(OR($AM979=0,$Q979=""),0,IF(AND($A979&gt;=Lists!$W$6,$A979&lt;=Lists!$W$7,OR(Dashboard!$D$6="All accounts",$C979=Dashboard!$D$6),OR(Dashboard!$D$7="All markets",$AF979=Dashboard!$D$7)),1,0))</f>
        <v>0</v>
      </c>
      <c r="AT979" s="55">
        <f>IF($AS979=1,N(AT978)+$Q979,N(AT978))</f>
        <v>1187.10688</v>
      </c>
      <c r="AU979" s="55">
        <f>MAX(N(AU978),$AT979)</f>
        <v>1187.10688</v>
      </c>
      <c r="AV979" s="55">
        <f>$AT979-$AU979</f>
        <v>0</v>
      </c>
      <c r="AW979" s="56">
        <f>IF($AS979=1,IF($S979="Win",N(AW978)+1,IF($S979="Loss",0,N(AW978))),N(AW978))</f>
        <v>5</v>
      </c>
      <c r="AX979" s="56">
        <f>IF($AS979=1,IF($S979="Loss",N(AX978)+1,IF($S979="Win",0,N(AX978))),N(AX978))</f>
        <v>0</v>
      </c>
      <c r="AY979" s="56" t="str">
        <f>IF($AS979=1,COUNTIF($AS$6:$AS979,1),"")</f>
        <v/>
      </c>
      <c r="AZ979" s="56">
        <f>MIN(973,N(Lists!$W$8))</f>
        <v>28</v>
      </c>
      <c r="BA979" s="56">
        <f>IF($AS979=1,IF(COUNTIFS($A$6:$A979,$A979,$AS$6:$AS979,1)=1,1,0),0)</f>
        <v>0</v>
      </c>
      <c r="BB979" s="55" t="str">
        <f>IF($BA979=1,SUMIFS($Q$6:$Q$1005,$A$6:$A$1005,$A979,$AS$6:$AS$1005,1),"")</f>
        <v/>
      </c>
      <c r="BC979" s="56">
        <f>IF(ISNUMBER($R979),1,0)</f>
        <v>0</v>
      </c>
      <c r="BD979" s="55" t="str">
        <f>IF(ISNUMBER($U979),$U979*$V979,"")</f>
        <v/>
      </c>
      <c r="BE979" s="56" t="str">
        <f>IF($AM979=0,"",IFERROR(MATCH($AF979&amp;"|"&amp;UPPER(TRIM($E979)),Lists!$A$6:$A$205,0),0))</f>
        <v/>
      </c>
      <c r="BF979" s="56" t="str">
        <f>IF($AM979=0,"",IFERROR(MATCH($AF979,Settings!$B$14:$B$18,0),IFERROR(MATCH(Settings!$C$6,Settings!$B$14:$B$18,0),1)))</f>
        <v/>
      </c>
      <c r="BG979" s="58" t="str">
        <f>IF($AM979=0,"",IF(NOT(ISNUMBER($I979)),"No stop; ","")&amp;IF(AND(ISNUMBER($H979),ISNUMBER($I979)),IF(OR(AND($F979&lt;&gt;"Short",$I979&gt;=$H979),AND($F979="Short",$I979&lt;=$H979)),"Stop on wrong side; ",""),"")&amp;IF($F979="","No direction; ","")&amp;IF(AND(ISNUMBER(Settings!$C$22),ISNUMBER($V979)),IF($V979&gt;Settings!$C$22,"Risk over max $; ",""),"")&amp;IF(AND(ISNUMBER(Settings!$C$23),ISNUMBER($V979),ISNUMBER($AP979),IFERROR(N(INDEX(Accounts!$E$7:$E$16,MATCH($C979,Accounts!$B$7:$B$16,0))),0)&gt;0),IF($V979&gt;Settings!$C$23*($AP979-N($Q979)),"Risk over max %; ",""),"")&amp;IF(AND(ISNUMBER(Settings!$C$24),ISNUMBER($N979)),IF($N979&gt;Settings!$C$24,"Leverage over max; ",""),"")&amp;IF(AND(ISNUMBER(Settings!$C$27),ISNUMBER($T979)),IF($T979&lt;Settings!$C$27,"R:R below min; ",""),"")&amp;IF(ISNUMBER(Settings!$C$25),IF(COUNTIFS($A$6:$A979,$A979,$AM$6:$AM979,1)&gt;Settings!$C$25,"Over max trades/day; ",""),"")&amp;IF(ISNUMBER(Settings!$C$26),IF(SUMIFS($Q$5:$Q978,$A$5:$A978,$A979)&lt;=-Settings!$C$26,"Traded after daily max loss; ",""),"")&amp;IF(AND($AG979="",NOT(ISNUMBER($O979))),"Symbol not in Instruments; ","")&amp;IF(AND($AH979="",NOT(ISNUMBER($O979))),"Forex cross: type Gross P&amp;L; ",""))</f>
        <v/>
      </c>
      <c r="BH979" s="56">
        <f>IF(ISNUMBER($Q979),1,0)</f>
        <v>0</v>
      </c>
      <c r="BI979" s="56">
        <f>IF($Y979="",0,1)</f>
        <v>0</v>
      </c>
      <c r="BJ979" s="56">
        <f>IF($AB979="",0,1)</f>
        <v>0</v>
      </c>
      <c r="BK979" s="56">
        <f>IF(AND($BH979=1,$W979&lt;&gt;"OK"),1,0)</f>
        <v>0</v>
      </c>
      <c r="BL979" s="55">
        <f>IF(N($AZ979)=0,0,IFERROR(INDEX($AT$6:$AT$1005,MATCH($AZ979,$AY$6:$AY$1005,0)),0))</f>
        <v>1187.10688</v>
      </c>
      <c r="BM979" s="56">
        <f>IF(ISNUMBER(SEARCH("daily max loss",$BG979)),1,0)</f>
        <v>0</v>
      </c>
    </row>
    <row r="980" ht="18" customHeight="1">
      <c r="A980" s="38" t="n"/>
      <c r="B980" s="39" t="n"/>
      <c r="C980" s="40" t="n"/>
      <c r="D980" s="41" t="n"/>
      <c r="E980" s="41" t="n"/>
      <c r="F980" s="41" t="n"/>
      <c r="G980" s="41" t="n"/>
      <c r="H980" s="42" t="n"/>
      <c r="I980" s="42" t="n"/>
      <c r="J980" s="42" t="n"/>
      <c r="K980" s="42" t="n"/>
      <c r="L980" s="41" t="n"/>
      <c r="M980" s="41" t="n"/>
      <c r="N980" s="41" t="n"/>
      <c r="O980" s="43" t="n"/>
      <c r="P980" s="43" t="n"/>
      <c r="Q980" s="44" t="str">
        <f>IF($AM980=0,"",IF(ISNUMBER($AK980),$AK980-N($AL980),""))</f>
        <v/>
      </c>
      <c r="R980" s="45" t="str">
        <f>IF(OR($Q980="",NOT(ISNUMBER($V980))),"",$AK980/$V980)</f>
        <v/>
      </c>
      <c r="S980" s="46" t="str">
        <f>IF($Q980="","",IF(AND(ISNUMBER($R980),ABS(N($R980))&lt;N(Settings!$C$8)),"Scratch",IF($Q980&gt;0,"Win",IF($Q980&lt;0,"Loss","Scratch"))))</f>
        <v/>
      </c>
      <c r="T980" s="47" t="str">
        <f>IF(OR($AM980=0,NOT(ISNUMBER($H980)),NOT(ISNUMBER($I980)),NOT(ISNUMBER($J980))),"",IF($H980=$I980,"",ROUND(ABS($J980-$H980)/ABS($H980-$I980),6)))</f>
        <v/>
      </c>
      <c r="U980" s="48" t="str">
        <f>IF(OR($S980&lt;&gt;"Win",NOT(ISNUMBER($T980)),NOT(ISNUMBER($R980))),"",MAX(0,$T980-$R980))</f>
        <v/>
      </c>
      <c r="V980" s="49" t="str">
        <f>IF(OR($AM980=0,NOT(ISNUMBER($H980)),NOT(ISNUMBER($I980)),NOT(ISNUMBER($G980))),"",IF(OR($AG980="",$AH980=""),"",IF(ROUND(ABS($H980-$I980)*ABS($G980)*$AG980*$AH980,6)=0,"",ROUND(ABS($H980-$I980)*ABS($G980)*$AG980*$AH980,6))))</f>
        <v/>
      </c>
      <c r="W980" s="50" t="str">
        <f>IF($AM980=0,"",IF($BG980="","OK",LEFT($BG980,LEN($BG980)-2)))</f>
        <v/>
      </c>
      <c r="X980" s="41" t="n"/>
      <c r="Y980" s="40" t="n"/>
      <c r="Z980" s="41" t="n"/>
      <c r="AA980" s="41" t="n"/>
      <c r="AB980" s="40" t="n"/>
      <c r="AC980" s="51" t="n"/>
      <c r="AD980" s="51" t="n"/>
      <c r="AE980" s="40" t="n"/>
      <c r="AF980" s="52" t="str">
        <f>IF($AM980=0,"",IF($D980&lt;&gt;"",$D980,IF(IFERROR(INDEX(Accounts!$C$7:$C$16,MATCH($C980,Accounts!$B$7:$B$16,0))&amp;"","")&lt;&gt;"",INDEX(Accounts!$C$7:$C$16,MATCH($C980,Accounts!$B$7:$B$16,0)),Settings!$C$6)))</f>
        <v/>
      </c>
      <c r="AG980" s="53" t="str">
        <f>IF($AM980=0,"",IF(AND($BE980&gt;0,N(INDEX(Instruments!$D$6:$D$205,MAX(1,$BE980)))&gt;0),INDEX(Instruments!$D$6:$D$205,MAX(1,$BE980)),IF(N(INDEX(Settings!$D$14:$D$18,$BF980))&gt;0,INDEX(Settings!$D$14:$D$18,$BF980),"")))</f>
        <v/>
      </c>
      <c r="AH980" s="54" t="str">
        <f>IF($AM980=0,"",IF($AF980&lt;&gt;"Forex",1,IF(MID(UPPER(SUBSTITUTE(TRIM($E980),"/","")),4,3)=UPPER(TRIM(Settings!$C$7)),1,IF(LEFT(UPPER(SUBSTITUTE(TRIM($E980),"/","")),3)=UPPER(TRIM(Settings!$C$7)),IF(AND(ISNUMBER($K980),N($K980)&lt;&gt;0),1/$K980,""),""))))</f>
        <v/>
      </c>
      <c r="AI980" s="55" t="str">
        <f>IF($AM980=0,"",IF(OR(NOT(ISNUMBER($H980)),NOT(ISNUMBER($K980)),NOT(ISNUMBER($G980)),$AG980="",$AH980=""),"",ROUND(($K980-$H980)*IF($F980="Short",-1,1)*$G980*$AG980*$AH980,6)))</f>
        <v/>
      </c>
      <c r="AJ980" s="55" t="str">
        <f>IF($AM980=0,"",IF(INDEX(Settings!$E$14:$E$18,$BF980)="% of notional",IF(OR($AG980="",NOT(ISNUMBER($H980)),NOT(ISNUMBER($G980))),"",ROUND(ABS($H980*$G980*$AG980*N($AH980))*IF($L980="Limit",N(INDEX(Settings!$G$14:$G$18,$BF980)),N(INDEX(Settings!$H$14:$H$18,$BF980)))+IF(ISNUMBER($K980),ABS($K980*$G980*$AG980*N($AH980))*IF($M980="Target",N(INDEX(Settings!$G$14:$G$18,$BF980)),N(INDEX(Settings!$H$14:$H$18,$BF980))),0),6)),IF(NOT(ISNUMBER($G980)),"",ROUND(ABS($G980)*2*IF(AND($BE980&gt;0,ISNUMBER(INDEX(Instruments!$G$6:$G$205,MAX(1,$BE980)))),INDEX(Instruments!$G$6:$G$205,MAX(1,$BE980)),N(INDEX(Settings!$F$14:$F$18,$BF980))),6))))</f>
        <v/>
      </c>
      <c r="AK980" s="55" t="str">
        <f>IF($AM980=0,"",IF(ISNUMBER($O980),$O980,$AI980))</f>
        <v/>
      </c>
      <c r="AL980" s="55" t="str">
        <f>IF($AM980=0,"",IF(ISNUMBER($P980),$P980,N($AJ980)))</f>
        <v/>
      </c>
      <c r="AM980" s="56">
        <f>IF(AND($A980&lt;&gt;"",$E980&lt;&gt;"",OR(AND(ISNUMBER($G980),ISNUMBER($H980),ISNUMBER($K980)),ISNUMBER($O980))),1,0)</f>
        <v>0</v>
      </c>
      <c r="AN980" s="57" t="str">
        <f>IF($A980="","",$A980-WEEKDAY($A980,3))</f>
        <v/>
      </c>
      <c r="AO980" s="56" t="str">
        <f>IF($A980="","",WEEKDAY($A980,2))</f>
        <v/>
      </c>
      <c r="AP980" s="55" t="str">
        <f>IF(OR($AM980=0,$C980=""),"",IFERROR(N(INDEX(Accounts!$E$7:$E$16,MATCH($C980,Accounts!$B$7:$B$16,0))),0)+SUMIFS($Q$6:$Q980,$C$6:$C980,$C980))</f>
        <v/>
      </c>
      <c r="AQ980" s="55" t="str">
        <f>IF(OR($AM980=0,$C980=""),"",SUMIFS($Q$6:$Q$1005,$C$6:$C$1005,$C980,$A$6:$A$1005,$A980))</f>
        <v/>
      </c>
      <c r="AR980" s="55" t="str">
        <f>IF(OR($AM980=0,$C980=""),"",IFERROR(N(INDEX(Accounts!$E$7:$E$16,MATCH($C980,Accounts!$B$7:$B$16,0))),0)+SUMIFS($Q$6:$Q$1005,$C$6:$C$1005,$C980,$A$6:$A$1005,"&lt;="&amp;$A980))</f>
        <v/>
      </c>
      <c r="AS980" s="56">
        <f>IF(OR($AM980=0,$Q980=""),0,IF(AND($A980&gt;=Lists!$W$6,$A980&lt;=Lists!$W$7,OR(Dashboard!$D$6="All accounts",$C980=Dashboard!$D$6),OR(Dashboard!$D$7="All markets",$AF980=Dashboard!$D$7)),1,0))</f>
        <v>0</v>
      </c>
      <c r="AT980" s="55">
        <f>IF($AS980=1,N(AT979)+$Q980,N(AT979))</f>
        <v>1187.10688</v>
      </c>
      <c r="AU980" s="55">
        <f>MAX(N(AU979),$AT980)</f>
        <v>1187.10688</v>
      </c>
      <c r="AV980" s="55">
        <f>$AT980-$AU980</f>
        <v>0</v>
      </c>
      <c r="AW980" s="56">
        <f>IF($AS980=1,IF($S980="Win",N(AW979)+1,IF($S980="Loss",0,N(AW979))),N(AW979))</f>
        <v>5</v>
      </c>
      <c r="AX980" s="56">
        <f>IF($AS980=1,IF($S980="Loss",N(AX979)+1,IF($S980="Win",0,N(AX979))),N(AX979))</f>
        <v>0</v>
      </c>
      <c r="AY980" s="56" t="str">
        <f>IF($AS980=1,COUNTIF($AS$6:$AS980,1),"")</f>
        <v/>
      </c>
      <c r="AZ980" s="56">
        <f>MIN(974,N(Lists!$W$8))</f>
        <v>28</v>
      </c>
      <c r="BA980" s="56">
        <f>IF($AS980=1,IF(COUNTIFS($A$6:$A980,$A980,$AS$6:$AS980,1)=1,1,0),0)</f>
        <v>0</v>
      </c>
      <c r="BB980" s="55" t="str">
        <f>IF($BA980=1,SUMIFS($Q$6:$Q$1005,$A$6:$A$1005,$A980,$AS$6:$AS$1005,1),"")</f>
        <v/>
      </c>
      <c r="BC980" s="56">
        <f>IF(ISNUMBER($R980),1,0)</f>
        <v>0</v>
      </c>
      <c r="BD980" s="55" t="str">
        <f>IF(ISNUMBER($U980),$U980*$V980,"")</f>
        <v/>
      </c>
      <c r="BE980" s="56" t="str">
        <f>IF($AM980=0,"",IFERROR(MATCH($AF980&amp;"|"&amp;UPPER(TRIM($E980)),Lists!$A$6:$A$205,0),0))</f>
        <v/>
      </c>
      <c r="BF980" s="56" t="str">
        <f>IF($AM980=0,"",IFERROR(MATCH($AF980,Settings!$B$14:$B$18,0),IFERROR(MATCH(Settings!$C$6,Settings!$B$14:$B$18,0),1)))</f>
        <v/>
      </c>
      <c r="BG980" s="58" t="str">
        <f>IF($AM980=0,"",IF(NOT(ISNUMBER($I980)),"No stop; ","")&amp;IF(AND(ISNUMBER($H980),ISNUMBER($I980)),IF(OR(AND($F980&lt;&gt;"Short",$I980&gt;=$H980),AND($F980="Short",$I980&lt;=$H980)),"Stop on wrong side; ",""),"")&amp;IF($F980="","No direction; ","")&amp;IF(AND(ISNUMBER(Settings!$C$22),ISNUMBER($V980)),IF($V980&gt;Settings!$C$22,"Risk over max $; ",""),"")&amp;IF(AND(ISNUMBER(Settings!$C$23),ISNUMBER($V980),ISNUMBER($AP980),IFERROR(N(INDEX(Accounts!$E$7:$E$16,MATCH($C980,Accounts!$B$7:$B$16,0))),0)&gt;0),IF($V980&gt;Settings!$C$23*($AP980-N($Q980)),"Risk over max %; ",""),"")&amp;IF(AND(ISNUMBER(Settings!$C$24),ISNUMBER($N980)),IF($N980&gt;Settings!$C$24,"Leverage over max; ",""),"")&amp;IF(AND(ISNUMBER(Settings!$C$27),ISNUMBER($T980)),IF($T980&lt;Settings!$C$27,"R:R below min; ",""),"")&amp;IF(ISNUMBER(Settings!$C$25),IF(COUNTIFS($A$6:$A980,$A980,$AM$6:$AM980,1)&gt;Settings!$C$25,"Over max trades/day; ",""),"")&amp;IF(ISNUMBER(Settings!$C$26),IF(SUMIFS($Q$5:$Q979,$A$5:$A979,$A980)&lt;=-Settings!$C$26,"Traded after daily max loss; ",""),"")&amp;IF(AND($AG980="",NOT(ISNUMBER($O980))),"Symbol not in Instruments; ","")&amp;IF(AND($AH980="",NOT(ISNUMBER($O980))),"Forex cross: type Gross P&amp;L; ",""))</f>
        <v/>
      </c>
      <c r="BH980" s="56">
        <f>IF(ISNUMBER($Q980),1,0)</f>
        <v>0</v>
      </c>
      <c r="BI980" s="56">
        <f>IF($Y980="",0,1)</f>
        <v>0</v>
      </c>
      <c r="BJ980" s="56">
        <f>IF($AB980="",0,1)</f>
        <v>0</v>
      </c>
      <c r="BK980" s="56">
        <f>IF(AND($BH980=1,$W980&lt;&gt;"OK"),1,0)</f>
        <v>0</v>
      </c>
      <c r="BL980" s="55">
        <f>IF(N($AZ980)=0,0,IFERROR(INDEX($AT$6:$AT$1005,MATCH($AZ980,$AY$6:$AY$1005,0)),0))</f>
        <v>1187.10688</v>
      </c>
      <c r="BM980" s="56">
        <f>IF(ISNUMBER(SEARCH("daily max loss",$BG980)),1,0)</f>
        <v>0</v>
      </c>
    </row>
    <row r="981" ht="18" customHeight="1">
      <c r="A981" s="38" t="n"/>
      <c r="B981" s="39" t="n"/>
      <c r="C981" s="40" t="n"/>
      <c r="D981" s="41" t="n"/>
      <c r="E981" s="41" t="n"/>
      <c r="F981" s="41" t="n"/>
      <c r="G981" s="41" t="n"/>
      <c r="H981" s="42" t="n"/>
      <c r="I981" s="42" t="n"/>
      <c r="J981" s="42" t="n"/>
      <c r="K981" s="42" t="n"/>
      <c r="L981" s="41" t="n"/>
      <c r="M981" s="41" t="n"/>
      <c r="N981" s="41" t="n"/>
      <c r="O981" s="43" t="n"/>
      <c r="P981" s="43" t="n"/>
      <c r="Q981" s="44" t="str">
        <f>IF($AM981=0,"",IF(ISNUMBER($AK981),$AK981-N($AL981),""))</f>
        <v/>
      </c>
      <c r="R981" s="45" t="str">
        <f>IF(OR($Q981="",NOT(ISNUMBER($V981))),"",$AK981/$V981)</f>
        <v/>
      </c>
      <c r="S981" s="46" t="str">
        <f>IF($Q981="","",IF(AND(ISNUMBER($R981),ABS(N($R981))&lt;N(Settings!$C$8)),"Scratch",IF($Q981&gt;0,"Win",IF($Q981&lt;0,"Loss","Scratch"))))</f>
        <v/>
      </c>
      <c r="T981" s="47" t="str">
        <f>IF(OR($AM981=0,NOT(ISNUMBER($H981)),NOT(ISNUMBER($I981)),NOT(ISNUMBER($J981))),"",IF($H981=$I981,"",ROUND(ABS($J981-$H981)/ABS($H981-$I981),6)))</f>
        <v/>
      </c>
      <c r="U981" s="48" t="str">
        <f>IF(OR($S981&lt;&gt;"Win",NOT(ISNUMBER($T981)),NOT(ISNUMBER($R981))),"",MAX(0,$T981-$R981))</f>
        <v/>
      </c>
      <c r="V981" s="49" t="str">
        <f>IF(OR($AM981=0,NOT(ISNUMBER($H981)),NOT(ISNUMBER($I981)),NOT(ISNUMBER($G981))),"",IF(OR($AG981="",$AH981=""),"",IF(ROUND(ABS($H981-$I981)*ABS($G981)*$AG981*$AH981,6)=0,"",ROUND(ABS($H981-$I981)*ABS($G981)*$AG981*$AH981,6))))</f>
        <v/>
      </c>
      <c r="W981" s="50" t="str">
        <f>IF($AM981=0,"",IF($BG981="","OK",LEFT($BG981,LEN($BG981)-2)))</f>
        <v/>
      </c>
      <c r="X981" s="41" t="n"/>
      <c r="Y981" s="40" t="n"/>
      <c r="Z981" s="41" t="n"/>
      <c r="AA981" s="41" t="n"/>
      <c r="AB981" s="40" t="n"/>
      <c r="AC981" s="51" t="n"/>
      <c r="AD981" s="51" t="n"/>
      <c r="AE981" s="40" t="n"/>
      <c r="AF981" s="52" t="str">
        <f>IF($AM981=0,"",IF($D981&lt;&gt;"",$D981,IF(IFERROR(INDEX(Accounts!$C$7:$C$16,MATCH($C981,Accounts!$B$7:$B$16,0))&amp;"","")&lt;&gt;"",INDEX(Accounts!$C$7:$C$16,MATCH($C981,Accounts!$B$7:$B$16,0)),Settings!$C$6)))</f>
        <v/>
      </c>
      <c r="AG981" s="53" t="str">
        <f>IF($AM981=0,"",IF(AND($BE981&gt;0,N(INDEX(Instruments!$D$6:$D$205,MAX(1,$BE981)))&gt;0),INDEX(Instruments!$D$6:$D$205,MAX(1,$BE981)),IF(N(INDEX(Settings!$D$14:$D$18,$BF981))&gt;0,INDEX(Settings!$D$14:$D$18,$BF981),"")))</f>
        <v/>
      </c>
      <c r="AH981" s="54" t="str">
        <f>IF($AM981=0,"",IF($AF981&lt;&gt;"Forex",1,IF(MID(UPPER(SUBSTITUTE(TRIM($E981),"/","")),4,3)=UPPER(TRIM(Settings!$C$7)),1,IF(LEFT(UPPER(SUBSTITUTE(TRIM($E981),"/","")),3)=UPPER(TRIM(Settings!$C$7)),IF(AND(ISNUMBER($K981),N($K981)&lt;&gt;0),1/$K981,""),""))))</f>
        <v/>
      </c>
      <c r="AI981" s="55" t="str">
        <f>IF($AM981=0,"",IF(OR(NOT(ISNUMBER($H981)),NOT(ISNUMBER($K981)),NOT(ISNUMBER($G981)),$AG981="",$AH981=""),"",ROUND(($K981-$H981)*IF($F981="Short",-1,1)*$G981*$AG981*$AH981,6)))</f>
        <v/>
      </c>
      <c r="AJ981" s="55" t="str">
        <f>IF($AM981=0,"",IF(INDEX(Settings!$E$14:$E$18,$BF981)="% of notional",IF(OR($AG981="",NOT(ISNUMBER($H981)),NOT(ISNUMBER($G981))),"",ROUND(ABS($H981*$G981*$AG981*N($AH981))*IF($L981="Limit",N(INDEX(Settings!$G$14:$G$18,$BF981)),N(INDEX(Settings!$H$14:$H$18,$BF981)))+IF(ISNUMBER($K981),ABS($K981*$G981*$AG981*N($AH981))*IF($M981="Target",N(INDEX(Settings!$G$14:$G$18,$BF981)),N(INDEX(Settings!$H$14:$H$18,$BF981))),0),6)),IF(NOT(ISNUMBER($G981)),"",ROUND(ABS($G981)*2*IF(AND($BE981&gt;0,ISNUMBER(INDEX(Instruments!$G$6:$G$205,MAX(1,$BE981)))),INDEX(Instruments!$G$6:$G$205,MAX(1,$BE981)),N(INDEX(Settings!$F$14:$F$18,$BF981))),6))))</f>
        <v/>
      </c>
      <c r="AK981" s="55" t="str">
        <f>IF($AM981=0,"",IF(ISNUMBER($O981),$O981,$AI981))</f>
        <v/>
      </c>
      <c r="AL981" s="55" t="str">
        <f>IF($AM981=0,"",IF(ISNUMBER($P981),$P981,N($AJ981)))</f>
        <v/>
      </c>
      <c r="AM981" s="56">
        <f>IF(AND($A981&lt;&gt;"",$E981&lt;&gt;"",OR(AND(ISNUMBER($G981),ISNUMBER($H981),ISNUMBER($K981)),ISNUMBER($O981))),1,0)</f>
        <v>0</v>
      </c>
      <c r="AN981" s="57" t="str">
        <f>IF($A981="","",$A981-WEEKDAY($A981,3))</f>
        <v/>
      </c>
      <c r="AO981" s="56" t="str">
        <f>IF($A981="","",WEEKDAY($A981,2))</f>
        <v/>
      </c>
      <c r="AP981" s="55" t="str">
        <f>IF(OR($AM981=0,$C981=""),"",IFERROR(N(INDEX(Accounts!$E$7:$E$16,MATCH($C981,Accounts!$B$7:$B$16,0))),0)+SUMIFS($Q$6:$Q981,$C$6:$C981,$C981))</f>
        <v/>
      </c>
      <c r="AQ981" s="55" t="str">
        <f>IF(OR($AM981=0,$C981=""),"",SUMIFS($Q$6:$Q$1005,$C$6:$C$1005,$C981,$A$6:$A$1005,$A981))</f>
        <v/>
      </c>
      <c r="AR981" s="55" t="str">
        <f>IF(OR($AM981=0,$C981=""),"",IFERROR(N(INDEX(Accounts!$E$7:$E$16,MATCH($C981,Accounts!$B$7:$B$16,0))),0)+SUMIFS($Q$6:$Q$1005,$C$6:$C$1005,$C981,$A$6:$A$1005,"&lt;="&amp;$A981))</f>
        <v/>
      </c>
      <c r="AS981" s="56">
        <f>IF(OR($AM981=0,$Q981=""),0,IF(AND($A981&gt;=Lists!$W$6,$A981&lt;=Lists!$W$7,OR(Dashboard!$D$6="All accounts",$C981=Dashboard!$D$6),OR(Dashboard!$D$7="All markets",$AF981=Dashboard!$D$7)),1,0))</f>
        <v>0</v>
      </c>
      <c r="AT981" s="55">
        <f>IF($AS981=1,N(AT980)+$Q981,N(AT980))</f>
        <v>1187.10688</v>
      </c>
      <c r="AU981" s="55">
        <f>MAX(N(AU980),$AT981)</f>
        <v>1187.10688</v>
      </c>
      <c r="AV981" s="55">
        <f>$AT981-$AU981</f>
        <v>0</v>
      </c>
      <c r="AW981" s="56">
        <f>IF($AS981=1,IF($S981="Win",N(AW980)+1,IF($S981="Loss",0,N(AW980))),N(AW980))</f>
        <v>5</v>
      </c>
      <c r="AX981" s="56">
        <f>IF($AS981=1,IF($S981="Loss",N(AX980)+1,IF($S981="Win",0,N(AX980))),N(AX980))</f>
        <v>0</v>
      </c>
      <c r="AY981" s="56" t="str">
        <f>IF($AS981=1,COUNTIF($AS$6:$AS981,1),"")</f>
        <v/>
      </c>
      <c r="AZ981" s="56">
        <f>MIN(975,N(Lists!$W$8))</f>
        <v>28</v>
      </c>
      <c r="BA981" s="56">
        <f>IF($AS981=1,IF(COUNTIFS($A$6:$A981,$A981,$AS$6:$AS981,1)=1,1,0),0)</f>
        <v>0</v>
      </c>
      <c r="BB981" s="55" t="str">
        <f>IF($BA981=1,SUMIFS($Q$6:$Q$1005,$A$6:$A$1005,$A981,$AS$6:$AS$1005,1),"")</f>
        <v/>
      </c>
      <c r="BC981" s="56">
        <f>IF(ISNUMBER($R981),1,0)</f>
        <v>0</v>
      </c>
      <c r="BD981" s="55" t="str">
        <f>IF(ISNUMBER($U981),$U981*$V981,"")</f>
        <v/>
      </c>
      <c r="BE981" s="56" t="str">
        <f>IF($AM981=0,"",IFERROR(MATCH($AF981&amp;"|"&amp;UPPER(TRIM($E981)),Lists!$A$6:$A$205,0),0))</f>
        <v/>
      </c>
      <c r="BF981" s="56" t="str">
        <f>IF($AM981=0,"",IFERROR(MATCH($AF981,Settings!$B$14:$B$18,0),IFERROR(MATCH(Settings!$C$6,Settings!$B$14:$B$18,0),1)))</f>
        <v/>
      </c>
      <c r="BG981" s="58" t="str">
        <f>IF($AM981=0,"",IF(NOT(ISNUMBER($I981)),"No stop; ","")&amp;IF(AND(ISNUMBER($H981),ISNUMBER($I981)),IF(OR(AND($F981&lt;&gt;"Short",$I981&gt;=$H981),AND($F981="Short",$I981&lt;=$H981)),"Stop on wrong side; ",""),"")&amp;IF($F981="","No direction; ","")&amp;IF(AND(ISNUMBER(Settings!$C$22),ISNUMBER($V981)),IF($V981&gt;Settings!$C$22,"Risk over max $; ",""),"")&amp;IF(AND(ISNUMBER(Settings!$C$23),ISNUMBER($V981),ISNUMBER($AP981),IFERROR(N(INDEX(Accounts!$E$7:$E$16,MATCH($C981,Accounts!$B$7:$B$16,0))),0)&gt;0),IF($V981&gt;Settings!$C$23*($AP981-N($Q981)),"Risk over max %; ",""),"")&amp;IF(AND(ISNUMBER(Settings!$C$24),ISNUMBER($N981)),IF($N981&gt;Settings!$C$24,"Leverage over max; ",""),"")&amp;IF(AND(ISNUMBER(Settings!$C$27),ISNUMBER($T981)),IF($T981&lt;Settings!$C$27,"R:R below min; ",""),"")&amp;IF(ISNUMBER(Settings!$C$25),IF(COUNTIFS($A$6:$A981,$A981,$AM$6:$AM981,1)&gt;Settings!$C$25,"Over max trades/day; ",""),"")&amp;IF(ISNUMBER(Settings!$C$26),IF(SUMIFS($Q$5:$Q980,$A$5:$A980,$A981)&lt;=-Settings!$C$26,"Traded after daily max loss; ",""),"")&amp;IF(AND($AG981="",NOT(ISNUMBER($O981))),"Symbol not in Instruments; ","")&amp;IF(AND($AH981="",NOT(ISNUMBER($O981))),"Forex cross: type Gross P&amp;L; ",""))</f>
        <v/>
      </c>
      <c r="BH981" s="56">
        <f>IF(ISNUMBER($Q981),1,0)</f>
        <v>0</v>
      </c>
      <c r="BI981" s="56">
        <f>IF($Y981="",0,1)</f>
        <v>0</v>
      </c>
      <c r="BJ981" s="56">
        <f>IF($AB981="",0,1)</f>
        <v>0</v>
      </c>
      <c r="BK981" s="56">
        <f>IF(AND($BH981=1,$W981&lt;&gt;"OK"),1,0)</f>
        <v>0</v>
      </c>
      <c r="BL981" s="55">
        <f>IF(N($AZ981)=0,0,IFERROR(INDEX($AT$6:$AT$1005,MATCH($AZ981,$AY$6:$AY$1005,0)),0))</f>
        <v>1187.10688</v>
      </c>
      <c r="BM981" s="56">
        <f>IF(ISNUMBER(SEARCH("daily max loss",$BG981)),1,0)</f>
        <v>0</v>
      </c>
    </row>
    <row r="982" ht="18" customHeight="1">
      <c r="A982" s="38" t="n"/>
      <c r="B982" s="39" t="n"/>
      <c r="C982" s="40" t="n"/>
      <c r="D982" s="41" t="n"/>
      <c r="E982" s="41" t="n"/>
      <c r="F982" s="41" t="n"/>
      <c r="G982" s="41" t="n"/>
      <c r="H982" s="42" t="n"/>
      <c r="I982" s="42" t="n"/>
      <c r="J982" s="42" t="n"/>
      <c r="K982" s="42" t="n"/>
      <c r="L982" s="41" t="n"/>
      <c r="M982" s="41" t="n"/>
      <c r="N982" s="41" t="n"/>
      <c r="O982" s="43" t="n"/>
      <c r="P982" s="43" t="n"/>
      <c r="Q982" s="44" t="str">
        <f>IF($AM982=0,"",IF(ISNUMBER($AK982),$AK982-N($AL982),""))</f>
        <v/>
      </c>
      <c r="R982" s="45" t="str">
        <f>IF(OR($Q982="",NOT(ISNUMBER($V982))),"",$AK982/$V982)</f>
        <v/>
      </c>
      <c r="S982" s="46" t="str">
        <f>IF($Q982="","",IF(AND(ISNUMBER($R982),ABS(N($R982))&lt;N(Settings!$C$8)),"Scratch",IF($Q982&gt;0,"Win",IF($Q982&lt;0,"Loss","Scratch"))))</f>
        <v/>
      </c>
      <c r="T982" s="47" t="str">
        <f>IF(OR($AM982=0,NOT(ISNUMBER($H982)),NOT(ISNUMBER($I982)),NOT(ISNUMBER($J982))),"",IF($H982=$I982,"",ROUND(ABS($J982-$H982)/ABS($H982-$I982),6)))</f>
        <v/>
      </c>
      <c r="U982" s="48" t="str">
        <f>IF(OR($S982&lt;&gt;"Win",NOT(ISNUMBER($T982)),NOT(ISNUMBER($R982))),"",MAX(0,$T982-$R982))</f>
        <v/>
      </c>
      <c r="V982" s="49" t="str">
        <f>IF(OR($AM982=0,NOT(ISNUMBER($H982)),NOT(ISNUMBER($I982)),NOT(ISNUMBER($G982))),"",IF(OR($AG982="",$AH982=""),"",IF(ROUND(ABS($H982-$I982)*ABS($G982)*$AG982*$AH982,6)=0,"",ROUND(ABS($H982-$I982)*ABS($G982)*$AG982*$AH982,6))))</f>
        <v/>
      </c>
      <c r="W982" s="50" t="str">
        <f>IF($AM982=0,"",IF($BG982="","OK",LEFT($BG982,LEN($BG982)-2)))</f>
        <v/>
      </c>
      <c r="X982" s="41" t="n"/>
      <c r="Y982" s="40" t="n"/>
      <c r="Z982" s="41" t="n"/>
      <c r="AA982" s="41" t="n"/>
      <c r="AB982" s="40" t="n"/>
      <c r="AC982" s="51" t="n"/>
      <c r="AD982" s="51" t="n"/>
      <c r="AE982" s="40" t="n"/>
      <c r="AF982" s="52" t="str">
        <f>IF($AM982=0,"",IF($D982&lt;&gt;"",$D982,IF(IFERROR(INDEX(Accounts!$C$7:$C$16,MATCH($C982,Accounts!$B$7:$B$16,0))&amp;"","")&lt;&gt;"",INDEX(Accounts!$C$7:$C$16,MATCH($C982,Accounts!$B$7:$B$16,0)),Settings!$C$6)))</f>
        <v/>
      </c>
      <c r="AG982" s="53" t="str">
        <f>IF($AM982=0,"",IF(AND($BE982&gt;0,N(INDEX(Instruments!$D$6:$D$205,MAX(1,$BE982)))&gt;0),INDEX(Instruments!$D$6:$D$205,MAX(1,$BE982)),IF(N(INDEX(Settings!$D$14:$D$18,$BF982))&gt;0,INDEX(Settings!$D$14:$D$18,$BF982),"")))</f>
        <v/>
      </c>
      <c r="AH982" s="54" t="str">
        <f>IF($AM982=0,"",IF($AF982&lt;&gt;"Forex",1,IF(MID(UPPER(SUBSTITUTE(TRIM($E982),"/","")),4,3)=UPPER(TRIM(Settings!$C$7)),1,IF(LEFT(UPPER(SUBSTITUTE(TRIM($E982),"/","")),3)=UPPER(TRIM(Settings!$C$7)),IF(AND(ISNUMBER($K982),N($K982)&lt;&gt;0),1/$K982,""),""))))</f>
        <v/>
      </c>
      <c r="AI982" s="55" t="str">
        <f>IF($AM982=0,"",IF(OR(NOT(ISNUMBER($H982)),NOT(ISNUMBER($K982)),NOT(ISNUMBER($G982)),$AG982="",$AH982=""),"",ROUND(($K982-$H982)*IF($F982="Short",-1,1)*$G982*$AG982*$AH982,6)))</f>
        <v/>
      </c>
      <c r="AJ982" s="55" t="str">
        <f>IF($AM982=0,"",IF(INDEX(Settings!$E$14:$E$18,$BF982)="% of notional",IF(OR($AG982="",NOT(ISNUMBER($H982)),NOT(ISNUMBER($G982))),"",ROUND(ABS($H982*$G982*$AG982*N($AH982))*IF($L982="Limit",N(INDEX(Settings!$G$14:$G$18,$BF982)),N(INDEX(Settings!$H$14:$H$18,$BF982)))+IF(ISNUMBER($K982),ABS($K982*$G982*$AG982*N($AH982))*IF($M982="Target",N(INDEX(Settings!$G$14:$G$18,$BF982)),N(INDEX(Settings!$H$14:$H$18,$BF982))),0),6)),IF(NOT(ISNUMBER($G982)),"",ROUND(ABS($G982)*2*IF(AND($BE982&gt;0,ISNUMBER(INDEX(Instruments!$G$6:$G$205,MAX(1,$BE982)))),INDEX(Instruments!$G$6:$G$205,MAX(1,$BE982)),N(INDEX(Settings!$F$14:$F$18,$BF982))),6))))</f>
        <v/>
      </c>
      <c r="AK982" s="55" t="str">
        <f>IF($AM982=0,"",IF(ISNUMBER($O982),$O982,$AI982))</f>
        <v/>
      </c>
      <c r="AL982" s="55" t="str">
        <f>IF($AM982=0,"",IF(ISNUMBER($P982),$P982,N($AJ982)))</f>
        <v/>
      </c>
      <c r="AM982" s="56">
        <f>IF(AND($A982&lt;&gt;"",$E982&lt;&gt;"",OR(AND(ISNUMBER($G982),ISNUMBER($H982),ISNUMBER($K982)),ISNUMBER($O982))),1,0)</f>
        <v>0</v>
      </c>
      <c r="AN982" s="57" t="str">
        <f>IF($A982="","",$A982-WEEKDAY($A982,3))</f>
        <v/>
      </c>
      <c r="AO982" s="56" t="str">
        <f>IF($A982="","",WEEKDAY($A982,2))</f>
        <v/>
      </c>
      <c r="AP982" s="55" t="str">
        <f>IF(OR($AM982=0,$C982=""),"",IFERROR(N(INDEX(Accounts!$E$7:$E$16,MATCH($C982,Accounts!$B$7:$B$16,0))),0)+SUMIFS($Q$6:$Q982,$C$6:$C982,$C982))</f>
        <v/>
      </c>
      <c r="AQ982" s="55" t="str">
        <f>IF(OR($AM982=0,$C982=""),"",SUMIFS($Q$6:$Q$1005,$C$6:$C$1005,$C982,$A$6:$A$1005,$A982))</f>
        <v/>
      </c>
      <c r="AR982" s="55" t="str">
        <f>IF(OR($AM982=0,$C982=""),"",IFERROR(N(INDEX(Accounts!$E$7:$E$16,MATCH($C982,Accounts!$B$7:$B$16,0))),0)+SUMIFS($Q$6:$Q$1005,$C$6:$C$1005,$C982,$A$6:$A$1005,"&lt;="&amp;$A982))</f>
        <v/>
      </c>
      <c r="AS982" s="56">
        <f>IF(OR($AM982=0,$Q982=""),0,IF(AND($A982&gt;=Lists!$W$6,$A982&lt;=Lists!$W$7,OR(Dashboard!$D$6="All accounts",$C982=Dashboard!$D$6),OR(Dashboard!$D$7="All markets",$AF982=Dashboard!$D$7)),1,0))</f>
        <v>0</v>
      </c>
      <c r="AT982" s="55">
        <f>IF($AS982=1,N(AT981)+$Q982,N(AT981))</f>
        <v>1187.10688</v>
      </c>
      <c r="AU982" s="55">
        <f>MAX(N(AU981),$AT982)</f>
        <v>1187.10688</v>
      </c>
      <c r="AV982" s="55">
        <f>$AT982-$AU982</f>
        <v>0</v>
      </c>
      <c r="AW982" s="56">
        <f>IF($AS982=1,IF($S982="Win",N(AW981)+1,IF($S982="Loss",0,N(AW981))),N(AW981))</f>
        <v>5</v>
      </c>
      <c r="AX982" s="56">
        <f>IF($AS982=1,IF($S982="Loss",N(AX981)+1,IF($S982="Win",0,N(AX981))),N(AX981))</f>
        <v>0</v>
      </c>
      <c r="AY982" s="56" t="str">
        <f>IF($AS982=1,COUNTIF($AS$6:$AS982,1),"")</f>
        <v/>
      </c>
      <c r="AZ982" s="56">
        <f>MIN(976,N(Lists!$W$8))</f>
        <v>28</v>
      </c>
      <c r="BA982" s="56">
        <f>IF($AS982=1,IF(COUNTIFS($A$6:$A982,$A982,$AS$6:$AS982,1)=1,1,0),0)</f>
        <v>0</v>
      </c>
      <c r="BB982" s="55" t="str">
        <f>IF($BA982=1,SUMIFS($Q$6:$Q$1005,$A$6:$A$1005,$A982,$AS$6:$AS$1005,1),"")</f>
        <v/>
      </c>
      <c r="BC982" s="56">
        <f>IF(ISNUMBER($R982),1,0)</f>
        <v>0</v>
      </c>
      <c r="BD982" s="55" t="str">
        <f>IF(ISNUMBER($U982),$U982*$V982,"")</f>
        <v/>
      </c>
      <c r="BE982" s="56" t="str">
        <f>IF($AM982=0,"",IFERROR(MATCH($AF982&amp;"|"&amp;UPPER(TRIM($E982)),Lists!$A$6:$A$205,0),0))</f>
        <v/>
      </c>
      <c r="BF982" s="56" t="str">
        <f>IF($AM982=0,"",IFERROR(MATCH($AF982,Settings!$B$14:$B$18,0),IFERROR(MATCH(Settings!$C$6,Settings!$B$14:$B$18,0),1)))</f>
        <v/>
      </c>
      <c r="BG982" s="58" t="str">
        <f>IF($AM982=0,"",IF(NOT(ISNUMBER($I982)),"No stop; ","")&amp;IF(AND(ISNUMBER($H982),ISNUMBER($I982)),IF(OR(AND($F982&lt;&gt;"Short",$I982&gt;=$H982),AND($F982="Short",$I982&lt;=$H982)),"Stop on wrong side; ",""),"")&amp;IF($F982="","No direction; ","")&amp;IF(AND(ISNUMBER(Settings!$C$22),ISNUMBER($V982)),IF($V982&gt;Settings!$C$22,"Risk over max $; ",""),"")&amp;IF(AND(ISNUMBER(Settings!$C$23),ISNUMBER($V982),ISNUMBER($AP982),IFERROR(N(INDEX(Accounts!$E$7:$E$16,MATCH($C982,Accounts!$B$7:$B$16,0))),0)&gt;0),IF($V982&gt;Settings!$C$23*($AP982-N($Q982)),"Risk over max %; ",""),"")&amp;IF(AND(ISNUMBER(Settings!$C$24),ISNUMBER($N982)),IF($N982&gt;Settings!$C$24,"Leverage over max; ",""),"")&amp;IF(AND(ISNUMBER(Settings!$C$27),ISNUMBER($T982)),IF($T982&lt;Settings!$C$27,"R:R below min; ",""),"")&amp;IF(ISNUMBER(Settings!$C$25),IF(COUNTIFS($A$6:$A982,$A982,$AM$6:$AM982,1)&gt;Settings!$C$25,"Over max trades/day; ",""),"")&amp;IF(ISNUMBER(Settings!$C$26),IF(SUMIFS($Q$5:$Q981,$A$5:$A981,$A982)&lt;=-Settings!$C$26,"Traded after daily max loss; ",""),"")&amp;IF(AND($AG982="",NOT(ISNUMBER($O982))),"Symbol not in Instruments; ","")&amp;IF(AND($AH982="",NOT(ISNUMBER($O982))),"Forex cross: type Gross P&amp;L; ",""))</f>
        <v/>
      </c>
      <c r="BH982" s="56">
        <f>IF(ISNUMBER($Q982),1,0)</f>
        <v>0</v>
      </c>
      <c r="BI982" s="56">
        <f>IF($Y982="",0,1)</f>
        <v>0</v>
      </c>
      <c r="BJ982" s="56">
        <f>IF($AB982="",0,1)</f>
        <v>0</v>
      </c>
      <c r="BK982" s="56">
        <f>IF(AND($BH982=1,$W982&lt;&gt;"OK"),1,0)</f>
        <v>0</v>
      </c>
      <c r="BL982" s="55">
        <f>IF(N($AZ982)=0,0,IFERROR(INDEX($AT$6:$AT$1005,MATCH($AZ982,$AY$6:$AY$1005,0)),0))</f>
        <v>1187.10688</v>
      </c>
      <c r="BM982" s="56">
        <f>IF(ISNUMBER(SEARCH("daily max loss",$BG982)),1,0)</f>
        <v>0</v>
      </c>
    </row>
    <row r="983" ht="18" customHeight="1">
      <c r="A983" s="38" t="n"/>
      <c r="B983" s="39" t="n"/>
      <c r="C983" s="40" t="n"/>
      <c r="D983" s="41" t="n"/>
      <c r="E983" s="41" t="n"/>
      <c r="F983" s="41" t="n"/>
      <c r="G983" s="41" t="n"/>
      <c r="H983" s="42" t="n"/>
      <c r="I983" s="42" t="n"/>
      <c r="J983" s="42" t="n"/>
      <c r="K983" s="42" t="n"/>
      <c r="L983" s="41" t="n"/>
      <c r="M983" s="41" t="n"/>
      <c r="N983" s="41" t="n"/>
      <c r="O983" s="43" t="n"/>
      <c r="P983" s="43" t="n"/>
      <c r="Q983" s="44" t="str">
        <f>IF($AM983=0,"",IF(ISNUMBER($AK983),$AK983-N($AL983),""))</f>
        <v/>
      </c>
      <c r="R983" s="45" t="str">
        <f>IF(OR($Q983="",NOT(ISNUMBER($V983))),"",$AK983/$V983)</f>
        <v/>
      </c>
      <c r="S983" s="46" t="str">
        <f>IF($Q983="","",IF(AND(ISNUMBER($R983),ABS(N($R983))&lt;N(Settings!$C$8)),"Scratch",IF($Q983&gt;0,"Win",IF($Q983&lt;0,"Loss","Scratch"))))</f>
        <v/>
      </c>
      <c r="T983" s="47" t="str">
        <f>IF(OR($AM983=0,NOT(ISNUMBER($H983)),NOT(ISNUMBER($I983)),NOT(ISNUMBER($J983))),"",IF($H983=$I983,"",ROUND(ABS($J983-$H983)/ABS($H983-$I983),6)))</f>
        <v/>
      </c>
      <c r="U983" s="48" t="str">
        <f>IF(OR($S983&lt;&gt;"Win",NOT(ISNUMBER($T983)),NOT(ISNUMBER($R983))),"",MAX(0,$T983-$R983))</f>
        <v/>
      </c>
      <c r="V983" s="49" t="str">
        <f>IF(OR($AM983=0,NOT(ISNUMBER($H983)),NOT(ISNUMBER($I983)),NOT(ISNUMBER($G983))),"",IF(OR($AG983="",$AH983=""),"",IF(ROUND(ABS($H983-$I983)*ABS($G983)*$AG983*$AH983,6)=0,"",ROUND(ABS($H983-$I983)*ABS($G983)*$AG983*$AH983,6))))</f>
        <v/>
      </c>
      <c r="W983" s="50" t="str">
        <f>IF($AM983=0,"",IF($BG983="","OK",LEFT($BG983,LEN($BG983)-2)))</f>
        <v/>
      </c>
      <c r="X983" s="41" t="n"/>
      <c r="Y983" s="40" t="n"/>
      <c r="Z983" s="41" t="n"/>
      <c r="AA983" s="41" t="n"/>
      <c r="AB983" s="40" t="n"/>
      <c r="AC983" s="51" t="n"/>
      <c r="AD983" s="51" t="n"/>
      <c r="AE983" s="40" t="n"/>
      <c r="AF983" s="52" t="str">
        <f>IF($AM983=0,"",IF($D983&lt;&gt;"",$D983,IF(IFERROR(INDEX(Accounts!$C$7:$C$16,MATCH($C983,Accounts!$B$7:$B$16,0))&amp;"","")&lt;&gt;"",INDEX(Accounts!$C$7:$C$16,MATCH($C983,Accounts!$B$7:$B$16,0)),Settings!$C$6)))</f>
        <v/>
      </c>
      <c r="AG983" s="53" t="str">
        <f>IF($AM983=0,"",IF(AND($BE983&gt;0,N(INDEX(Instruments!$D$6:$D$205,MAX(1,$BE983)))&gt;0),INDEX(Instruments!$D$6:$D$205,MAX(1,$BE983)),IF(N(INDEX(Settings!$D$14:$D$18,$BF983))&gt;0,INDEX(Settings!$D$14:$D$18,$BF983),"")))</f>
        <v/>
      </c>
      <c r="AH983" s="54" t="str">
        <f>IF($AM983=0,"",IF($AF983&lt;&gt;"Forex",1,IF(MID(UPPER(SUBSTITUTE(TRIM($E983),"/","")),4,3)=UPPER(TRIM(Settings!$C$7)),1,IF(LEFT(UPPER(SUBSTITUTE(TRIM($E983),"/","")),3)=UPPER(TRIM(Settings!$C$7)),IF(AND(ISNUMBER($K983),N($K983)&lt;&gt;0),1/$K983,""),""))))</f>
        <v/>
      </c>
      <c r="AI983" s="55" t="str">
        <f>IF($AM983=0,"",IF(OR(NOT(ISNUMBER($H983)),NOT(ISNUMBER($K983)),NOT(ISNUMBER($G983)),$AG983="",$AH983=""),"",ROUND(($K983-$H983)*IF($F983="Short",-1,1)*$G983*$AG983*$AH983,6)))</f>
        <v/>
      </c>
      <c r="AJ983" s="55" t="str">
        <f>IF($AM983=0,"",IF(INDEX(Settings!$E$14:$E$18,$BF983)="% of notional",IF(OR($AG983="",NOT(ISNUMBER($H983)),NOT(ISNUMBER($G983))),"",ROUND(ABS($H983*$G983*$AG983*N($AH983))*IF($L983="Limit",N(INDEX(Settings!$G$14:$G$18,$BF983)),N(INDEX(Settings!$H$14:$H$18,$BF983)))+IF(ISNUMBER($K983),ABS($K983*$G983*$AG983*N($AH983))*IF($M983="Target",N(INDEX(Settings!$G$14:$G$18,$BF983)),N(INDEX(Settings!$H$14:$H$18,$BF983))),0),6)),IF(NOT(ISNUMBER($G983)),"",ROUND(ABS($G983)*2*IF(AND($BE983&gt;0,ISNUMBER(INDEX(Instruments!$G$6:$G$205,MAX(1,$BE983)))),INDEX(Instruments!$G$6:$G$205,MAX(1,$BE983)),N(INDEX(Settings!$F$14:$F$18,$BF983))),6))))</f>
        <v/>
      </c>
      <c r="AK983" s="55" t="str">
        <f>IF($AM983=0,"",IF(ISNUMBER($O983),$O983,$AI983))</f>
        <v/>
      </c>
      <c r="AL983" s="55" t="str">
        <f>IF($AM983=0,"",IF(ISNUMBER($P983),$P983,N($AJ983)))</f>
        <v/>
      </c>
      <c r="AM983" s="56">
        <f>IF(AND($A983&lt;&gt;"",$E983&lt;&gt;"",OR(AND(ISNUMBER($G983),ISNUMBER($H983),ISNUMBER($K983)),ISNUMBER($O983))),1,0)</f>
        <v>0</v>
      </c>
      <c r="AN983" s="57" t="str">
        <f>IF($A983="","",$A983-WEEKDAY($A983,3))</f>
        <v/>
      </c>
      <c r="AO983" s="56" t="str">
        <f>IF($A983="","",WEEKDAY($A983,2))</f>
        <v/>
      </c>
      <c r="AP983" s="55" t="str">
        <f>IF(OR($AM983=0,$C983=""),"",IFERROR(N(INDEX(Accounts!$E$7:$E$16,MATCH($C983,Accounts!$B$7:$B$16,0))),0)+SUMIFS($Q$6:$Q983,$C$6:$C983,$C983))</f>
        <v/>
      </c>
      <c r="AQ983" s="55" t="str">
        <f>IF(OR($AM983=0,$C983=""),"",SUMIFS($Q$6:$Q$1005,$C$6:$C$1005,$C983,$A$6:$A$1005,$A983))</f>
        <v/>
      </c>
      <c r="AR983" s="55" t="str">
        <f>IF(OR($AM983=0,$C983=""),"",IFERROR(N(INDEX(Accounts!$E$7:$E$16,MATCH($C983,Accounts!$B$7:$B$16,0))),0)+SUMIFS($Q$6:$Q$1005,$C$6:$C$1005,$C983,$A$6:$A$1005,"&lt;="&amp;$A983))</f>
        <v/>
      </c>
      <c r="AS983" s="56">
        <f>IF(OR($AM983=0,$Q983=""),0,IF(AND($A983&gt;=Lists!$W$6,$A983&lt;=Lists!$W$7,OR(Dashboard!$D$6="All accounts",$C983=Dashboard!$D$6),OR(Dashboard!$D$7="All markets",$AF983=Dashboard!$D$7)),1,0))</f>
        <v>0</v>
      </c>
      <c r="AT983" s="55">
        <f>IF($AS983=1,N(AT982)+$Q983,N(AT982))</f>
        <v>1187.10688</v>
      </c>
      <c r="AU983" s="55">
        <f>MAX(N(AU982),$AT983)</f>
        <v>1187.10688</v>
      </c>
      <c r="AV983" s="55">
        <f>$AT983-$AU983</f>
        <v>0</v>
      </c>
      <c r="AW983" s="56">
        <f>IF($AS983=1,IF($S983="Win",N(AW982)+1,IF($S983="Loss",0,N(AW982))),N(AW982))</f>
        <v>5</v>
      </c>
      <c r="AX983" s="56">
        <f>IF($AS983=1,IF($S983="Loss",N(AX982)+1,IF($S983="Win",0,N(AX982))),N(AX982))</f>
        <v>0</v>
      </c>
      <c r="AY983" s="56" t="str">
        <f>IF($AS983=1,COUNTIF($AS$6:$AS983,1),"")</f>
        <v/>
      </c>
      <c r="AZ983" s="56">
        <f>MIN(977,N(Lists!$W$8))</f>
        <v>28</v>
      </c>
      <c r="BA983" s="56">
        <f>IF($AS983=1,IF(COUNTIFS($A$6:$A983,$A983,$AS$6:$AS983,1)=1,1,0),0)</f>
        <v>0</v>
      </c>
      <c r="BB983" s="55" t="str">
        <f>IF($BA983=1,SUMIFS($Q$6:$Q$1005,$A$6:$A$1005,$A983,$AS$6:$AS$1005,1),"")</f>
        <v/>
      </c>
      <c r="BC983" s="56">
        <f>IF(ISNUMBER($R983),1,0)</f>
        <v>0</v>
      </c>
      <c r="BD983" s="55" t="str">
        <f>IF(ISNUMBER($U983),$U983*$V983,"")</f>
        <v/>
      </c>
      <c r="BE983" s="56" t="str">
        <f>IF($AM983=0,"",IFERROR(MATCH($AF983&amp;"|"&amp;UPPER(TRIM($E983)),Lists!$A$6:$A$205,0),0))</f>
        <v/>
      </c>
      <c r="BF983" s="56" t="str">
        <f>IF($AM983=0,"",IFERROR(MATCH($AF983,Settings!$B$14:$B$18,0),IFERROR(MATCH(Settings!$C$6,Settings!$B$14:$B$18,0),1)))</f>
        <v/>
      </c>
      <c r="BG983" s="58" t="str">
        <f>IF($AM983=0,"",IF(NOT(ISNUMBER($I983)),"No stop; ","")&amp;IF(AND(ISNUMBER($H983),ISNUMBER($I983)),IF(OR(AND($F983&lt;&gt;"Short",$I983&gt;=$H983),AND($F983="Short",$I983&lt;=$H983)),"Stop on wrong side; ",""),"")&amp;IF($F983="","No direction; ","")&amp;IF(AND(ISNUMBER(Settings!$C$22),ISNUMBER($V983)),IF($V983&gt;Settings!$C$22,"Risk over max $; ",""),"")&amp;IF(AND(ISNUMBER(Settings!$C$23),ISNUMBER($V983),ISNUMBER($AP983),IFERROR(N(INDEX(Accounts!$E$7:$E$16,MATCH($C983,Accounts!$B$7:$B$16,0))),0)&gt;0),IF($V983&gt;Settings!$C$23*($AP983-N($Q983)),"Risk over max %; ",""),"")&amp;IF(AND(ISNUMBER(Settings!$C$24),ISNUMBER($N983)),IF($N983&gt;Settings!$C$24,"Leverage over max; ",""),"")&amp;IF(AND(ISNUMBER(Settings!$C$27),ISNUMBER($T983)),IF($T983&lt;Settings!$C$27,"R:R below min; ",""),"")&amp;IF(ISNUMBER(Settings!$C$25),IF(COUNTIFS($A$6:$A983,$A983,$AM$6:$AM983,1)&gt;Settings!$C$25,"Over max trades/day; ",""),"")&amp;IF(ISNUMBER(Settings!$C$26),IF(SUMIFS($Q$5:$Q982,$A$5:$A982,$A983)&lt;=-Settings!$C$26,"Traded after daily max loss; ",""),"")&amp;IF(AND($AG983="",NOT(ISNUMBER($O983))),"Symbol not in Instruments; ","")&amp;IF(AND($AH983="",NOT(ISNUMBER($O983))),"Forex cross: type Gross P&amp;L; ",""))</f>
        <v/>
      </c>
      <c r="BH983" s="56">
        <f>IF(ISNUMBER($Q983),1,0)</f>
        <v>0</v>
      </c>
      <c r="BI983" s="56">
        <f>IF($Y983="",0,1)</f>
        <v>0</v>
      </c>
      <c r="BJ983" s="56">
        <f>IF($AB983="",0,1)</f>
        <v>0</v>
      </c>
      <c r="BK983" s="56">
        <f>IF(AND($BH983=1,$W983&lt;&gt;"OK"),1,0)</f>
        <v>0</v>
      </c>
      <c r="BL983" s="55">
        <f>IF(N($AZ983)=0,0,IFERROR(INDEX($AT$6:$AT$1005,MATCH($AZ983,$AY$6:$AY$1005,0)),0))</f>
        <v>1187.10688</v>
      </c>
      <c r="BM983" s="56">
        <f>IF(ISNUMBER(SEARCH("daily max loss",$BG983)),1,0)</f>
        <v>0</v>
      </c>
    </row>
    <row r="984" ht="18" customHeight="1">
      <c r="A984" s="38" t="n"/>
      <c r="B984" s="39" t="n"/>
      <c r="C984" s="40" t="n"/>
      <c r="D984" s="41" t="n"/>
      <c r="E984" s="41" t="n"/>
      <c r="F984" s="41" t="n"/>
      <c r="G984" s="41" t="n"/>
      <c r="H984" s="42" t="n"/>
      <c r="I984" s="42" t="n"/>
      <c r="J984" s="42" t="n"/>
      <c r="K984" s="42" t="n"/>
      <c r="L984" s="41" t="n"/>
      <c r="M984" s="41" t="n"/>
      <c r="N984" s="41" t="n"/>
      <c r="O984" s="43" t="n"/>
      <c r="P984" s="43" t="n"/>
      <c r="Q984" s="44" t="str">
        <f>IF($AM984=0,"",IF(ISNUMBER($AK984),$AK984-N($AL984),""))</f>
        <v/>
      </c>
      <c r="R984" s="45" t="str">
        <f>IF(OR($Q984="",NOT(ISNUMBER($V984))),"",$AK984/$V984)</f>
        <v/>
      </c>
      <c r="S984" s="46" t="str">
        <f>IF($Q984="","",IF(AND(ISNUMBER($R984),ABS(N($R984))&lt;N(Settings!$C$8)),"Scratch",IF($Q984&gt;0,"Win",IF($Q984&lt;0,"Loss","Scratch"))))</f>
        <v/>
      </c>
      <c r="T984" s="47" t="str">
        <f>IF(OR($AM984=0,NOT(ISNUMBER($H984)),NOT(ISNUMBER($I984)),NOT(ISNUMBER($J984))),"",IF($H984=$I984,"",ROUND(ABS($J984-$H984)/ABS($H984-$I984),6)))</f>
        <v/>
      </c>
      <c r="U984" s="48" t="str">
        <f>IF(OR($S984&lt;&gt;"Win",NOT(ISNUMBER($T984)),NOT(ISNUMBER($R984))),"",MAX(0,$T984-$R984))</f>
        <v/>
      </c>
      <c r="V984" s="49" t="str">
        <f>IF(OR($AM984=0,NOT(ISNUMBER($H984)),NOT(ISNUMBER($I984)),NOT(ISNUMBER($G984))),"",IF(OR($AG984="",$AH984=""),"",IF(ROUND(ABS($H984-$I984)*ABS($G984)*$AG984*$AH984,6)=0,"",ROUND(ABS($H984-$I984)*ABS($G984)*$AG984*$AH984,6))))</f>
        <v/>
      </c>
      <c r="W984" s="50" t="str">
        <f>IF($AM984=0,"",IF($BG984="","OK",LEFT($BG984,LEN($BG984)-2)))</f>
        <v/>
      </c>
      <c r="X984" s="41" t="n"/>
      <c r="Y984" s="40" t="n"/>
      <c r="Z984" s="41" t="n"/>
      <c r="AA984" s="41" t="n"/>
      <c r="AB984" s="40" t="n"/>
      <c r="AC984" s="51" t="n"/>
      <c r="AD984" s="51" t="n"/>
      <c r="AE984" s="40" t="n"/>
      <c r="AF984" s="52" t="str">
        <f>IF($AM984=0,"",IF($D984&lt;&gt;"",$D984,IF(IFERROR(INDEX(Accounts!$C$7:$C$16,MATCH($C984,Accounts!$B$7:$B$16,0))&amp;"","")&lt;&gt;"",INDEX(Accounts!$C$7:$C$16,MATCH($C984,Accounts!$B$7:$B$16,0)),Settings!$C$6)))</f>
        <v/>
      </c>
      <c r="AG984" s="53" t="str">
        <f>IF($AM984=0,"",IF(AND($BE984&gt;0,N(INDEX(Instruments!$D$6:$D$205,MAX(1,$BE984)))&gt;0),INDEX(Instruments!$D$6:$D$205,MAX(1,$BE984)),IF(N(INDEX(Settings!$D$14:$D$18,$BF984))&gt;0,INDEX(Settings!$D$14:$D$18,$BF984),"")))</f>
        <v/>
      </c>
      <c r="AH984" s="54" t="str">
        <f>IF($AM984=0,"",IF($AF984&lt;&gt;"Forex",1,IF(MID(UPPER(SUBSTITUTE(TRIM($E984),"/","")),4,3)=UPPER(TRIM(Settings!$C$7)),1,IF(LEFT(UPPER(SUBSTITUTE(TRIM($E984),"/","")),3)=UPPER(TRIM(Settings!$C$7)),IF(AND(ISNUMBER($K984),N($K984)&lt;&gt;0),1/$K984,""),""))))</f>
        <v/>
      </c>
      <c r="AI984" s="55" t="str">
        <f>IF($AM984=0,"",IF(OR(NOT(ISNUMBER($H984)),NOT(ISNUMBER($K984)),NOT(ISNUMBER($G984)),$AG984="",$AH984=""),"",ROUND(($K984-$H984)*IF($F984="Short",-1,1)*$G984*$AG984*$AH984,6)))</f>
        <v/>
      </c>
      <c r="AJ984" s="55" t="str">
        <f>IF($AM984=0,"",IF(INDEX(Settings!$E$14:$E$18,$BF984)="% of notional",IF(OR($AG984="",NOT(ISNUMBER($H984)),NOT(ISNUMBER($G984))),"",ROUND(ABS($H984*$G984*$AG984*N($AH984))*IF($L984="Limit",N(INDEX(Settings!$G$14:$G$18,$BF984)),N(INDEX(Settings!$H$14:$H$18,$BF984)))+IF(ISNUMBER($K984),ABS($K984*$G984*$AG984*N($AH984))*IF($M984="Target",N(INDEX(Settings!$G$14:$G$18,$BF984)),N(INDEX(Settings!$H$14:$H$18,$BF984))),0),6)),IF(NOT(ISNUMBER($G984)),"",ROUND(ABS($G984)*2*IF(AND($BE984&gt;0,ISNUMBER(INDEX(Instruments!$G$6:$G$205,MAX(1,$BE984)))),INDEX(Instruments!$G$6:$G$205,MAX(1,$BE984)),N(INDEX(Settings!$F$14:$F$18,$BF984))),6))))</f>
        <v/>
      </c>
      <c r="AK984" s="55" t="str">
        <f>IF($AM984=0,"",IF(ISNUMBER($O984),$O984,$AI984))</f>
        <v/>
      </c>
      <c r="AL984" s="55" t="str">
        <f>IF($AM984=0,"",IF(ISNUMBER($P984),$P984,N($AJ984)))</f>
        <v/>
      </c>
      <c r="AM984" s="56">
        <f>IF(AND($A984&lt;&gt;"",$E984&lt;&gt;"",OR(AND(ISNUMBER($G984),ISNUMBER($H984),ISNUMBER($K984)),ISNUMBER($O984))),1,0)</f>
        <v>0</v>
      </c>
      <c r="AN984" s="57" t="str">
        <f>IF($A984="","",$A984-WEEKDAY($A984,3))</f>
        <v/>
      </c>
      <c r="AO984" s="56" t="str">
        <f>IF($A984="","",WEEKDAY($A984,2))</f>
        <v/>
      </c>
      <c r="AP984" s="55" t="str">
        <f>IF(OR($AM984=0,$C984=""),"",IFERROR(N(INDEX(Accounts!$E$7:$E$16,MATCH($C984,Accounts!$B$7:$B$16,0))),0)+SUMIFS($Q$6:$Q984,$C$6:$C984,$C984))</f>
        <v/>
      </c>
      <c r="AQ984" s="55" t="str">
        <f>IF(OR($AM984=0,$C984=""),"",SUMIFS($Q$6:$Q$1005,$C$6:$C$1005,$C984,$A$6:$A$1005,$A984))</f>
        <v/>
      </c>
      <c r="AR984" s="55" t="str">
        <f>IF(OR($AM984=0,$C984=""),"",IFERROR(N(INDEX(Accounts!$E$7:$E$16,MATCH($C984,Accounts!$B$7:$B$16,0))),0)+SUMIFS($Q$6:$Q$1005,$C$6:$C$1005,$C984,$A$6:$A$1005,"&lt;="&amp;$A984))</f>
        <v/>
      </c>
      <c r="AS984" s="56">
        <f>IF(OR($AM984=0,$Q984=""),0,IF(AND($A984&gt;=Lists!$W$6,$A984&lt;=Lists!$W$7,OR(Dashboard!$D$6="All accounts",$C984=Dashboard!$D$6),OR(Dashboard!$D$7="All markets",$AF984=Dashboard!$D$7)),1,0))</f>
        <v>0</v>
      </c>
      <c r="AT984" s="55">
        <f>IF($AS984=1,N(AT983)+$Q984,N(AT983))</f>
        <v>1187.10688</v>
      </c>
      <c r="AU984" s="55">
        <f>MAX(N(AU983),$AT984)</f>
        <v>1187.10688</v>
      </c>
      <c r="AV984" s="55">
        <f>$AT984-$AU984</f>
        <v>0</v>
      </c>
      <c r="AW984" s="56">
        <f>IF($AS984=1,IF($S984="Win",N(AW983)+1,IF($S984="Loss",0,N(AW983))),N(AW983))</f>
        <v>5</v>
      </c>
      <c r="AX984" s="56">
        <f>IF($AS984=1,IF($S984="Loss",N(AX983)+1,IF($S984="Win",0,N(AX983))),N(AX983))</f>
        <v>0</v>
      </c>
      <c r="AY984" s="56" t="str">
        <f>IF($AS984=1,COUNTIF($AS$6:$AS984,1),"")</f>
        <v/>
      </c>
      <c r="AZ984" s="56">
        <f>MIN(978,N(Lists!$W$8))</f>
        <v>28</v>
      </c>
      <c r="BA984" s="56">
        <f>IF($AS984=1,IF(COUNTIFS($A$6:$A984,$A984,$AS$6:$AS984,1)=1,1,0),0)</f>
        <v>0</v>
      </c>
      <c r="BB984" s="55" t="str">
        <f>IF($BA984=1,SUMIFS($Q$6:$Q$1005,$A$6:$A$1005,$A984,$AS$6:$AS$1005,1),"")</f>
        <v/>
      </c>
      <c r="BC984" s="56">
        <f>IF(ISNUMBER($R984),1,0)</f>
        <v>0</v>
      </c>
      <c r="BD984" s="55" t="str">
        <f>IF(ISNUMBER($U984),$U984*$V984,"")</f>
        <v/>
      </c>
      <c r="BE984" s="56" t="str">
        <f>IF($AM984=0,"",IFERROR(MATCH($AF984&amp;"|"&amp;UPPER(TRIM($E984)),Lists!$A$6:$A$205,0),0))</f>
        <v/>
      </c>
      <c r="BF984" s="56" t="str">
        <f>IF($AM984=0,"",IFERROR(MATCH($AF984,Settings!$B$14:$B$18,0),IFERROR(MATCH(Settings!$C$6,Settings!$B$14:$B$18,0),1)))</f>
        <v/>
      </c>
      <c r="BG984" s="58" t="str">
        <f>IF($AM984=0,"",IF(NOT(ISNUMBER($I984)),"No stop; ","")&amp;IF(AND(ISNUMBER($H984),ISNUMBER($I984)),IF(OR(AND($F984&lt;&gt;"Short",$I984&gt;=$H984),AND($F984="Short",$I984&lt;=$H984)),"Stop on wrong side; ",""),"")&amp;IF($F984="","No direction; ","")&amp;IF(AND(ISNUMBER(Settings!$C$22),ISNUMBER($V984)),IF($V984&gt;Settings!$C$22,"Risk over max $; ",""),"")&amp;IF(AND(ISNUMBER(Settings!$C$23),ISNUMBER($V984),ISNUMBER($AP984),IFERROR(N(INDEX(Accounts!$E$7:$E$16,MATCH($C984,Accounts!$B$7:$B$16,0))),0)&gt;0),IF($V984&gt;Settings!$C$23*($AP984-N($Q984)),"Risk over max %; ",""),"")&amp;IF(AND(ISNUMBER(Settings!$C$24),ISNUMBER($N984)),IF($N984&gt;Settings!$C$24,"Leverage over max; ",""),"")&amp;IF(AND(ISNUMBER(Settings!$C$27),ISNUMBER($T984)),IF($T984&lt;Settings!$C$27,"R:R below min; ",""),"")&amp;IF(ISNUMBER(Settings!$C$25),IF(COUNTIFS($A$6:$A984,$A984,$AM$6:$AM984,1)&gt;Settings!$C$25,"Over max trades/day; ",""),"")&amp;IF(ISNUMBER(Settings!$C$26),IF(SUMIFS($Q$5:$Q983,$A$5:$A983,$A984)&lt;=-Settings!$C$26,"Traded after daily max loss; ",""),"")&amp;IF(AND($AG984="",NOT(ISNUMBER($O984))),"Symbol not in Instruments; ","")&amp;IF(AND($AH984="",NOT(ISNUMBER($O984))),"Forex cross: type Gross P&amp;L; ",""))</f>
        <v/>
      </c>
      <c r="BH984" s="56">
        <f>IF(ISNUMBER($Q984),1,0)</f>
        <v>0</v>
      </c>
      <c r="BI984" s="56">
        <f>IF($Y984="",0,1)</f>
        <v>0</v>
      </c>
      <c r="BJ984" s="56">
        <f>IF($AB984="",0,1)</f>
        <v>0</v>
      </c>
      <c r="BK984" s="56">
        <f>IF(AND($BH984=1,$W984&lt;&gt;"OK"),1,0)</f>
        <v>0</v>
      </c>
      <c r="BL984" s="55">
        <f>IF(N($AZ984)=0,0,IFERROR(INDEX($AT$6:$AT$1005,MATCH($AZ984,$AY$6:$AY$1005,0)),0))</f>
        <v>1187.10688</v>
      </c>
      <c r="BM984" s="56">
        <f>IF(ISNUMBER(SEARCH("daily max loss",$BG984)),1,0)</f>
        <v>0</v>
      </c>
    </row>
    <row r="985" ht="18" customHeight="1">
      <c r="A985" s="38" t="n"/>
      <c r="B985" s="39" t="n"/>
      <c r="C985" s="40" t="n"/>
      <c r="D985" s="41" t="n"/>
      <c r="E985" s="41" t="n"/>
      <c r="F985" s="41" t="n"/>
      <c r="G985" s="41" t="n"/>
      <c r="H985" s="42" t="n"/>
      <c r="I985" s="42" t="n"/>
      <c r="J985" s="42" t="n"/>
      <c r="K985" s="42" t="n"/>
      <c r="L985" s="41" t="n"/>
      <c r="M985" s="41" t="n"/>
      <c r="N985" s="41" t="n"/>
      <c r="O985" s="43" t="n"/>
      <c r="P985" s="43" t="n"/>
      <c r="Q985" s="44" t="str">
        <f>IF($AM985=0,"",IF(ISNUMBER($AK985),$AK985-N($AL985),""))</f>
        <v/>
      </c>
      <c r="R985" s="45" t="str">
        <f>IF(OR($Q985="",NOT(ISNUMBER($V985))),"",$AK985/$V985)</f>
        <v/>
      </c>
      <c r="S985" s="46" t="str">
        <f>IF($Q985="","",IF(AND(ISNUMBER($R985),ABS(N($R985))&lt;N(Settings!$C$8)),"Scratch",IF($Q985&gt;0,"Win",IF($Q985&lt;0,"Loss","Scratch"))))</f>
        <v/>
      </c>
      <c r="T985" s="47" t="str">
        <f>IF(OR($AM985=0,NOT(ISNUMBER($H985)),NOT(ISNUMBER($I985)),NOT(ISNUMBER($J985))),"",IF($H985=$I985,"",ROUND(ABS($J985-$H985)/ABS($H985-$I985),6)))</f>
        <v/>
      </c>
      <c r="U985" s="48" t="str">
        <f>IF(OR($S985&lt;&gt;"Win",NOT(ISNUMBER($T985)),NOT(ISNUMBER($R985))),"",MAX(0,$T985-$R985))</f>
        <v/>
      </c>
      <c r="V985" s="49" t="str">
        <f>IF(OR($AM985=0,NOT(ISNUMBER($H985)),NOT(ISNUMBER($I985)),NOT(ISNUMBER($G985))),"",IF(OR($AG985="",$AH985=""),"",IF(ROUND(ABS($H985-$I985)*ABS($G985)*$AG985*$AH985,6)=0,"",ROUND(ABS($H985-$I985)*ABS($G985)*$AG985*$AH985,6))))</f>
        <v/>
      </c>
      <c r="W985" s="50" t="str">
        <f>IF($AM985=0,"",IF($BG985="","OK",LEFT($BG985,LEN($BG985)-2)))</f>
        <v/>
      </c>
      <c r="X985" s="41" t="n"/>
      <c r="Y985" s="40" t="n"/>
      <c r="Z985" s="41" t="n"/>
      <c r="AA985" s="41" t="n"/>
      <c r="AB985" s="40" t="n"/>
      <c r="AC985" s="51" t="n"/>
      <c r="AD985" s="51" t="n"/>
      <c r="AE985" s="40" t="n"/>
      <c r="AF985" s="52" t="str">
        <f>IF($AM985=0,"",IF($D985&lt;&gt;"",$D985,IF(IFERROR(INDEX(Accounts!$C$7:$C$16,MATCH($C985,Accounts!$B$7:$B$16,0))&amp;"","")&lt;&gt;"",INDEX(Accounts!$C$7:$C$16,MATCH($C985,Accounts!$B$7:$B$16,0)),Settings!$C$6)))</f>
        <v/>
      </c>
      <c r="AG985" s="53" t="str">
        <f>IF($AM985=0,"",IF(AND($BE985&gt;0,N(INDEX(Instruments!$D$6:$D$205,MAX(1,$BE985)))&gt;0),INDEX(Instruments!$D$6:$D$205,MAX(1,$BE985)),IF(N(INDEX(Settings!$D$14:$D$18,$BF985))&gt;0,INDEX(Settings!$D$14:$D$18,$BF985),"")))</f>
        <v/>
      </c>
      <c r="AH985" s="54" t="str">
        <f>IF($AM985=0,"",IF($AF985&lt;&gt;"Forex",1,IF(MID(UPPER(SUBSTITUTE(TRIM($E985),"/","")),4,3)=UPPER(TRIM(Settings!$C$7)),1,IF(LEFT(UPPER(SUBSTITUTE(TRIM($E985),"/","")),3)=UPPER(TRIM(Settings!$C$7)),IF(AND(ISNUMBER($K985),N($K985)&lt;&gt;0),1/$K985,""),""))))</f>
        <v/>
      </c>
      <c r="AI985" s="55" t="str">
        <f>IF($AM985=0,"",IF(OR(NOT(ISNUMBER($H985)),NOT(ISNUMBER($K985)),NOT(ISNUMBER($G985)),$AG985="",$AH985=""),"",ROUND(($K985-$H985)*IF($F985="Short",-1,1)*$G985*$AG985*$AH985,6)))</f>
        <v/>
      </c>
      <c r="AJ985" s="55" t="str">
        <f>IF($AM985=0,"",IF(INDEX(Settings!$E$14:$E$18,$BF985)="% of notional",IF(OR($AG985="",NOT(ISNUMBER($H985)),NOT(ISNUMBER($G985))),"",ROUND(ABS($H985*$G985*$AG985*N($AH985))*IF($L985="Limit",N(INDEX(Settings!$G$14:$G$18,$BF985)),N(INDEX(Settings!$H$14:$H$18,$BF985)))+IF(ISNUMBER($K985),ABS($K985*$G985*$AG985*N($AH985))*IF($M985="Target",N(INDEX(Settings!$G$14:$G$18,$BF985)),N(INDEX(Settings!$H$14:$H$18,$BF985))),0),6)),IF(NOT(ISNUMBER($G985)),"",ROUND(ABS($G985)*2*IF(AND($BE985&gt;0,ISNUMBER(INDEX(Instruments!$G$6:$G$205,MAX(1,$BE985)))),INDEX(Instruments!$G$6:$G$205,MAX(1,$BE985)),N(INDEX(Settings!$F$14:$F$18,$BF985))),6))))</f>
        <v/>
      </c>
      <c r="AK985" s="55" t="str">
        <f>IF($AM985=0,"",IF(ISNUMBER($O985),$O985,$AI985))</f>
        <v/>
      </c>
      <c r="AL985" s="55" t="str">
        <f>IF($AM985=0,"",IF(ISNUMBER($P985),$P985,N($AJ985)))</f>
        <v/>
      </c>
      <c r="AM985" s="56">
        <f>IF(AND($A985&lt;&gt;"",$E985&lt;&gt;"",OR(AND(ISNUMBER($G985),ISNUMBER($H985),ISNUMBER($K985)),ISNUMBER($O985))),1,0)</f>
        <v>0</v>
      </c>
      <c r="AN985" s="57" t="str">
        <f>IF($A985="","",$A985-WEEKDAY($A985,3))</f>
        <v/>
      </c>
      <c r="AO985" s="56" t="str">
        <f>IF($A985="","",WEEKDAY($A985,2))</f>
        <v/>
      </c>
      <c r="AP985" s="55" t="str">
        <f>IF(OR($AM985=0,$C985=""),"",IFERROR(N(INDEX(Accounts!$E$7:$E$16,MATCH($C985,Accounts!$B$7:$B$16,0))),0)+SUMIFS($Q$6:$Q985,$C$6:$C985,$C985))</f>
        <v/>
      </c>
      <c r="AQ985" s="55" t="str">
        <f>IF(OR($AM985=0,$C985=""),"",SUMIFS($Q$6:$Q$1005,$C$6:$C$1005,$C985,$A$6:$A$1005,$A985))</f>
        <v/>
      </c>
      <c r="AR985" s="55" t="str">
        <f>IF(OR($AM985=0,$C985=""),"",IFERROR(N(INDEX(Accounts!$E$7:$E$16,MATCH($C985,Accounts!$B$7:$B$16,0))),0)+SUMIFS($Q$6:$Q$1005,$C$6:$C$1005,$C985,$A$6:$A$1005,"&lt;="&amp;$A985))</f>
        <v/>
      </c>
      <c r="AS985" s="56">
        <f>IF(OR($AM985=0,$Q985=""),0,IF(AND($A985&gt;=Lists!$W$6,$A985&lt;=Lists!$W$7,OR(Dashboard!$D$6="All accounts",$C985=Dashboard!$D$6),OR(Dashboard!$D$7="All markets",$AF985=Dashboard!$D$7)),1,0))</f>
        <v>0</v>
      </c>
      <c r="AT985" s="55">
        <f>IF($AS985=1,N(AT984)+$Q985,N(AT984))</f>
        <v>1187.10688</v>
      </c>
      <c r="AU985" s="55">
        <f>MAX(N(AU984),$AT985)</f>
        <v>1187.10688</v>
      </c>
      <c r="AV985" s="55">
        <f>$AT985-$AU985</f>
        <v>0</v>
      </c>
      <c r="AW985" s="56">
        <f>IF($AS985=1,IF($S985="Win",N(AW984)+1,IF($S985="Loss",0,N(AW984))),N(AW984))</f>
        <v>5</v>
      </c>
      <c r="AX985" s="56">
        <f>IF($AS985=1,IF($S985="Loss",N(AX984)+1,IF($S985="Win",0,N(AX984))),N(AX984))</f>
        <v>0</v>
      </c>
      <c r="AY985" s="56" t="str">
        <f>IF($AS985=1,COUNTIF($AS$6:$AS985,1),"")</f>
        <v/>
      </c>
      <c r="AZ985" s="56">
        <f>MIN(979,N(Lists!$W$8))</f>
        <v>28</v>
      </c>
      <c r="BA985" s="56">
        <f>IF($AS985=1,IF(COUNTIFS($A$6:$A985,$A985,$AS$6:$AS985,1)=1,1,0),0)</f>
        <v>0</v>
      </c>
      <c r="BB985" s="55" t="str">
        <f>IF($BA985=1,SUMIFS($Q$6:$Q$1005,$A$6:$A$1005,$A985,$AS$6:$AS$1005,1),"")</f>
        <v/>
      </c>
      <c r="BC985" s="56">
        <f>IF(ISNUMBER($R985),1,0)</f>
        <v>0</v>
      </c>
      <c r="BD985" s="55" t="str">
        <f>IF(ISNUMBER($U985),$U985*$V985,"")</f>
        <v/>
      </c>
      <c r="BE985" s="56" t="str">
        <f>IF($AM985=0,"",IFERROR(MATCH($AF985&amp;"|"&amp;UPPER(TRIM($E985)),Lists!$A$6:$A$205,0),0))</f>
        <v/>
      </c>
      <c r="BF985" s="56" t="str">
        <f>IF($AM985=0,"",IFERROR(MATCH($AF985,Settings!$B$14:$B$18,0),IFERROR(MATCH(Settings!$C$6,Settings!$B$14:$B$18,0),1)))</f>
        <v/>
      </c>
      <c r="BG985" s="58" t="str">
        <f>IF($AM985=0,"",IF(NOT(ISNUMBER($I985)),"No stop; ","")&amp;IF(AND(ISNUMBER($H985),ISNUMBER($I985)),IF(OR(AND($F985&lt;&gt;"Short",$I985&gt;=$H985),AND($F985="Short",$I985&lt;=$H985)),"Stop on wrong side; ",""),"")&amp;IF($F985="","No direction; ","")&amp;IF(AND(ISNUMBER(Settings!$C$22),ISNUMBER($V985)),IF($V985&gt;Settings!$C$22,"Risk over max $; ",""),"")&amp;IF(AND(ISNUMBER(Settings!$C$23),ISNUMBER($V985),ISNUMBER($AP985),IFERROR(N(INDEX(Accounts!$E$7:$E$16,MATCH($C985,Accounts!$B$7:$B$16,0))),0)&gt;0),IF($V985&gt;Settings!$C$23*($AP985-N($Q985)),"Risk over max %; ",""),"")&amp;IF(AND(ISNUMBER(Settings!$C$24),ISNUMBER($N985)),IF($N985&gt;Settings!$C$24,"Leverage over max; ",""),"")&amp;IF(AND(ISNUMBER(Settings!$C$27),ISNUMBER($T985)),IF($T985&lt;Settings!$C$27,"R:R below min; ",""),"")&amp;IF(ISNUMBER(Settings!$C$25),IF(COUNTIFS($A$6:$A985,$A985,$AM$6:$AM985,1)&gt;Settings!$C$25,"Over max trades/day; ",""),"")&amp;IF(ISNUMBER(Settings!$C$26),IF(SUMIFS($Q$5:$Q984,$A$5:$A984,$A985)&lt;=-Settings!$C$26,"Traded after daily max loss; ",""),"")&amp;IF(AND($AG985="",NOT(ISNUMBER($O985))),"Symbol not in Instruments; ","")&amp;IF(AND($AH985="",NOT(ISNUMBER($O985))),"Forex cross: type Gross P&amp;L; ",""))</f>
        <v/>
      </c>
      <c r="BH985" s="56">
        <f>IF(ISNUMBER($Q985),1,0)</f>
        <v>0</v>
      </c>
      <c r="BI985" s="56">
        <f>IF($Y985="",0,1)</f>
        <v>0</v>
      </c>
      <c r="BJ985" s="56">
        <f>IF($AB985="",0,1)</f>
        <v>0</v>
      </c>
      <c r="BK985" s="56">
        <f>IF(AND($BH985=1,$W985&lt;&gt;"OK"),1,0)</f>
        <v>0</v>
      </c>
      <c r="BL985" s="55">
        <f>IF(N($AZ985)=0,0,IFERROR(INDEX($AT$6:$AT$1005,MATCH($AZ985,$AY$6:$AY$1005,0)),0))</f>
        <v>1187.10688</v>
      </c>
      <c r="BM985" s="56">
        <f>IF(ISNUMBER(SEARCH("daily max loss",$BG985)),1,0)</f>
        <v>0</v>
      </c>
    </row>
    <row r="986" ht="18" customHeight="1">
      <c r="A986" s="38" t="n"/>
      <c r="B986" s="39" t="n"/>
      <c r="C986" s="40" t="n"/>
      <c r="D986" s="41" t="n"/>
      <c r="E986" s="41" t="n"/>
      <c r="F986" s="41" t="n"/>
      <c r="G986" s="41" t="n"/>
      <c r="H986" s="42" t="n"/>
      <c r="I986" s="42" t="n"/>
      <c r="J986" s="42" t="n"/>
      <c r="K986" s="42" t="n"/>
      <c r="L986" s="41" t="n"/>
      <c r="M986" s="41" t="n"/>
      <c r="N986" s="41" t="n"/>
      <c r="O986" s="43" t="n"/>
      <c r="P986" s="43" t="n"/>
      <c r="Q986" s="44" t="str">
        <f>IF($AM986=0,"",IF(ISNUMBER($AK986),$AK986-N($AL986),""))</f>
        <v/>
      </c>
      <c r="R986" s="45" t="str">
        <f>IF(OR($Q986="",NOT(ISNUMBER($V986))),"",$AK986/$V986)</f>
        <v/>
      </c>
      <c r="S986" s="46" t="str">
        <f>IF($Q986="","",IF(AND(ISNUMBER($R986),ABS(N($R986))&lt;N(Settings!$C$8)),"Scratch",IF($Q986&gt;0,"Win",IF($Q986&lt;0,"Loss","Scratch"))))</f>
        <v/>
      </c>
      <c r="T986" s="47" t="str">
        <f>IF(OR($AM986=0,NOT(ISNUMBER($H986)),NOT(ISNUMBER($I986)),NOT(ISNUMBER($J986))),"",IF($H986=$I986,"",ROUND(ABS($J986-$H986)/ABS($H986-$I986),6)))</f>
        <v/>
      </c>
      <c r="U986" s="48" t="str">
        <f>IF(OR($S986&lt;&gt;"Win",NOT(ISNUMBER($T986)),NOT(ISNUMBER($R986))),"",MAX(0,$T986-$R986))</f>
        <v/>
      </c>
      <c r="V986" s="49" t="str">
        <f>IF(OR($AM986=0,NOT(ISNUMBER($H986)),NOT(ISNUMBER($I986)),NOT(ISNUMBER($G986))),"",IF(OR($AG986="",$AH986=""),"",IF(ROUND(ABS($H986-$I986)*ABS($G986)*$AG986*$AH986,6)=0,"",ROUND(ABS($H986-$I986)*ABS($G986)*$AG986*$AH986,6))))</f>
        <v/>
      </c>
      <c r="W986" s="50" t="str">
        <f>IF($AM986=0,"",IF($BG986="","OK",LEFT($BG986,LEN($BG986)-2)))</f>
        <v/>
      </c>
      <c r="X986" s="41" t="n"/>
      <c r="Y986" s="40" t="n"/>
      <c r="Z986" s="41" t="n"/>
      <c r="AA986" s="41" t="n"/>
      <c r="AB986" s="40" t="n"/>
      <c r="AC986" s="51" t="n"/>
      <c r="AD986" s="51" t="n"/>
      <c r="AE986" s="40" t="n"/>
      <c r="AF986" s="52" t="str">
        <f>IF($AM986=0,"",IF($D986&lt;&gt;"",$D986,IF(IFERROR(INDEX(Accounts!$C$7:$C$16,MATCH($C986,Accounts!$B$7:$B$16,0))&amp;"","")&lt;&gt;"",INDEX(Accounts!$C$7:$C$16,MATCH($C986,Accounts!$B$7:$B$16,0)),Settings!$C$6)))</f>
        <v/>
      </c>
      <c r="AG986" s="53" t="str">
        <f>IF($AM986=0,"",IF(AND($BE986&gt;0,N(INDEX(Instruments!$D$6:$D$205,MAX(1,$BE986)))&gt;0),INDEX(Instruments!$D$6:$D$205,MAX(1,$BE986)),IF(N(INDEX(Settings!$D$14:$D$18,$BF986))&gt;0,INDEX(Settings!$D$14:$D$18,$BF986),"")))</f>
        <v/>
      </c>
      <c r="AH986" s="54" t="str">
        <f>IF($AM986=0,"",IF($AF986&lt;&gt;"Forex",1,IF(MID(UPPER(SUBSTITUTE(TRIM($E986),"/","")),4,3)=UPPER(TRIM(Settings!$C$7)),1,IF(LEFT(UPPER(SUBSTITUTE(TRIM($E986),"/","")),3)=UPPER(TRIM(Settings!$C$7)),IF(AND(ISNUMBER($K986),N($K986)&lt;&gt;0),1/$K986,""),""))))</f>
        <v/>
      </c>
      <c r="AI986" s="55" t="str">
        <f>IF($AM986=0,"",IF(OR(NOT(ISNUMBER($H986)),NOT(ISNUMBER($K986)),NOT(ISNUMBER($G986)),$AG986="",$AH986=""),"",ROUND(($K986-$H986)*IF($F986="Short",-1,1)*$G986*$AG986*$AH986,6)))</f>
        <v/>
      </c>
      <c r="AJ986" s="55" t="str">
        <f>IF($AM986=0,"",IF(INDEX(Settings!$E$14:$E$18,$BF986)="% of notional",IF(OR($AG986="",NOT(ISNUMBER($H986)),NOT(ISNUMBER($G986))),"",ROUND(ABS($H986*$G986*$AG986*N($AH986))*IF($L986="Limit",N(INDEX(Settings!$G$14:$G$18,$BF986)),N(INDEX(Settings!$H$14:$H$18,$BF986)))+IF(ISNUMBER($K986),ABS($K986*$G986*$AG986*N($AH986))*IF($M986="Target",N(INDEX(Settings!$G$14:$G$18,$BF986)),N(INDEX(Settings!$H$14:$H$18,$BF986))),0),6)),IF(NOT(ISNUMBER($G986)),"",ROUND(ABS($G986)*2*IF(AND($BE986&gt;0,ISNUMBER(INDEX(Instruments!$G$6:$G$205,MAX(1,$BE986)))),INDEX(Instruments!$G$6:$G$205,MAX(1,$BE986)),N(INDEX(Settings!$F$14:$F$18,$BF986))),6))))</f>
        <v/>
      </c>
      <c r="AK986" s="55" t="str">
        <f>IF($AM986=0,"",IF(ISNUMBER($O986),$O986,$AI986))</f>
        <v/>
      </c>
      <c r="AL986" s="55" t="str">
        <f>IF($AM986=0,"",IF(ISNUMBER($P986),$P986,N($AJ986)))</f>
        <v/>
      </c>
      <c r="AM986" s="56">
        <f>IF(AND($A986&lt;&gt;"",$E986&lt;&gt;"",OR(AND(ISNUMBER($G986),ISNUMBER($H986),ISNUMBER($K986)),ISNUMBER($O986))),1,0)</f>
        <v>0</v>
      </c>
      <c r="AN986" s="57" t="str">
        <f>IF($A986="","",$A986-WEEKDAY($A986,3))</f>
        <v/>
      </c>
      <c r="AO986" s="56" t="str">
        <f>IF($A986="","",WEEKDAY($A986,2))</f>
        <v/>
      </c>
      <c r="AP986" s="55" t="str">
        <f>IF(OR($AM986=0,$C986=""),"",IFERROR(N(INDEX(Accounts!$E$7:$E$16,MATCH($C986,Accounts!$B$7:$B$16,0))),0)+SUMIFS($Q$6:$Q986,$C$6:$C986,$C986))</f>
        <v/>
      </c>
      <c r="AQ986" s="55" t="str">
        <f>IF(OR($AM986=0,$C986=""),"",SUMIFS($Q$6:$Q$1005,$C$6:$C$1005,$C986,$A$6:$A$1005,$A986))</f>
        <v/>
      </c>
      <c r="AR986" s="55" t="str">
        <f>IF(OR($AM986=0,$C986=""),"",IFERROR(N(INDEX(Accounts!$E$7:$E$16,MATCH($C986,Accounts!$B$7:$B$16,0))),0)+SUMIFS($Q$6:$Q$1005,$C$6:$C$1005,$C986,$A$6:$A$1005,"&lt;="&amp;$A986))</f>
        <v/>
      </c>
      <c r="AS986" s="56">
        <f>IF(OR($AM986=0,$Q986=""),0,IF(AND($A986&gt;=Lists!$W$6,$A986&lt;=Lists!$W$7,OR(Dashboard!$D$6="All accounts",$C986=Dashboard!$D$6),OR(Dashboard!$D$7="All markets",$AF986=Dashboard!$D$7)),1,0))</f>
        <v>0</v>
      </c>
      <c r="AT986" s="55">
        <f>IF($AS986=1,N(AT985)+$Q986,N(AT985))</f>
        <v>1187.10688</v>
      </c>
      <c r="AU986" s="55">
        <f>MAX(N(AU985),$AT986)</f>
        <v>1187.10688</v>
      </c>
      <c r="AV986" s="55">
        <f>$AT986-$AU986</f>
        <v>0</v>
      </c>
      <c r="AW986" s="56">
        <f>IF($AS986=1,IF($S986="Win",N(AW985)+1,IF($S986="Loss",0,N(AW985))),N(AW985))</f>
        <v>5</v>
      </c>
      <c r="AX986" s="56">
        <f>IF($AS986=1,IF($S986="Loss",N(AX985)+1,IF($S986="Win",0,N(AX985))),N(AX985))</f>
        <v>0</v>
      </c>
      <c r="AY986" s="56" t="str">
        <f>IF($AS986=1,COUNTIF($AS$6:$AS986,1),"")</f>
        <v/>
      </c>
      <c r="AZ986" s="56">
        <f>MIN(980,N(Lists!$W$8))</f>
        <v>28</v>
      </c>
      <c r="BA986" s="56">
        <f>IF($AS986=1,IF(COUNTIFS($A$6:$A986,$A986,$AS$6:$AS986,1)=1,1,0),0)</f>
        <v>0</v>
      </c>
      <c r="BB986" s="55" t="str">
        <f>IF($BA986=1,SUMIFS($Q$6:$Q$1005,$A$6:$A$1005,$A986,$AS$6:$AS$1005,1),"")</f>
        <v/>
      </c>
      <c r="BC986" s="56">
        <f>IF(ISNUMBER($R986),1,0)</f>
        <v>0</v>
      </c>
      <c r="BD986" s="55" t="str">
        <f>IF(ISNUMBER($U986),$U986*$V986,"")</f>
        <v/>
      </c>
      <c r="BE986" s="56" t="str">
        <f>IF($AM986=0,"",IFERROR(MATCH($AF986&amp;"|"&amp;UPPER(TRIM($E986)),Lists!$A$6:$A$205,0),0))</f>
        <v/>
      </c>
      <c r="BF986" s="56" t="str">
        <f>IF($AM986=0,"",IFERROR(MATCH($AF986,Settings!$B$14:$B$18,0),IFERROR(MATCH(Settings!$C$6,Settings!$B$14:$B$18,0),1)))</f>
        <v/>
      </c>
      <c r="BG986" s="58" t="str">
        <f>IF($AM986=0,"",IF(NOT(ISNUMBER($I986)),"No stop; ","")&amp;IF(AND(ISNUMBER($H986),ISNUMBER($I986)),IF(OR(AND($F986&lt;&gt;"Short",$I986&gt;=$H986),AND($F986="Short",$I986&lt;=$H986)),"Stop on wrong side; ",""),"")&amp;IF($F986="","No direction; ","")&amp;IF(AND(ISNUMBER(Settings!$C$22),ISNUMBER($V986)),IF($V986&gt;Settings!$C$22,"Risk over max $; ",""),"")&amp;IF(AND(ISNUMBER(Settings!$C$23),ISNUMBER($V986),ISNUMBER($AP986),IFERROR(N(INDEX(Accounts!$E$7:$E$16,MATCH($C986,Accounts!$B$7:$B$16,0))),0)&gt;0),IF($V986&gt;Settings!$C$23*($AP986-N($Q986)),"Risk over max %; ",""),"")&amp;IF(AND(ISNUMBER(Settings!$C$24),ISNUMBER($N986)),IF($N986&gt;Settings!$C$24,"Leverage over max; ",""),"")&amp;IF(AND(ISNUMBER(Settings!$C$27),ISNUMBER($T986)),IF($T986&lt;Settings!$C$27,"R:R below min; ",""),"")&amp;IF(ISNUMBER(Settings!$C$25),IF(COUNTIFS($A$6:$A986,$A986,$AM$6:$AM986,1)&gt;Settings!$C$25,"Over max trades/day; ",""),"")&amp;IF(ISNUMBER(Settings!$C$26),IF(SUMIFS($Q$5:$Q985,$A$5:$A985,$A986)&lt;=-Settings!$C$26,"Traded after daily max loss; ",""),"")&amp;IF(AND($AG986="",NOT(ISNUMBER($O986))),"Symbol not in Instruments; ","")&amp;IF(AND($AH986="",NOT(ISNUMBER($O986))),"Forex cross: type Gross P&amp;L; ",""))</f>
        <v/>
      </c>
      <c r="BH986" s="56">
        <f>IF(ISNUMBER($Q986),1,0)</f>
        <v>0</v>
      </c>
      <c r="BI986" s="56">
        <f>IF($Y986="",0,1)</f>
        <v>0</v>
      </c>
      <c r="BJ986" s="56">
        <f>IF($AB986="",0,1)</f>
        <v>0</v>
      </c>
      <c r="BK986" s="56">
        <f>IF(AND($BH986=1,$W986&lt;&gt;"OK"),1,0)</f>
        <v>0</v>
      </c>
      <c r="BL986" s="55">
        <f>IF(N($AZ986)=0,0,IFERROR(INDEX($AT$6:$AT$1005,MATCH($AZ986,$AY$6:$AY$1005,0)),0))</f>
        <v>1187.10688</v>
      </c>
      <c r="BM986" s="56">
        <f>IF(ISNUMBER(SEARCH("daily max loss",$BG986)),1,0)</f>
        <v>0</v>
      </c>
    </row>
    <row r="987" ht="18" customHeight="1">
      <c r="A987" s="38" t="n"/>
      <c r="B987" s="39" t="n"/>
      <c r="C987" s="40" t="n"/>
      <c r="D987" s="41" t="n"/>
      <c r="E987" s="41" t="n"/>
      <c r="F987" s="41" t="n"/>
      <c r="G987" s="41" t="n"/>
      <c r="H987" s="42" t="n"/>
      <c r="I987" s="42" t="n"/>
      <c r="J987" s="42" t="n"/>
      <c r="K987" s="42" t="n"/>
      <c r="L987" s="41" t="n"/>
      <c r="M987" s="41" t="n"/>
      <c r="N987" s="41" t="n"/>
      <c r="O987" s="43" t="n"/>
      <c r="P987" s="43" t="n"/>
      <c r="Q987" s="44" t="str">
        <f>IF($AM987=0,"",IF(ISNUMBER($AK987),$AK987-N($AL987),""))</f>
        <v/>
      </c>
      <c r="R987" s="45" t="str">
        <f>IF(OR($Q987="",NOT(ISNUMBER($V987))),"",$AK987/$V987)</f>
        <v/>
      </c>
      <c r="S987" s="46" t="str">
        <f>IF($Q987="","",IF(AND(ISNUMBER($R987),ABS(N($R987))&lt;N(Settings!$C$8)),"Scratch",IF($Q987&gt;0,"Win",IF($Q987&lt;0,"Loss","Scratch"))))</f>
        <v/>
      </c>
      <c r="T987" s="47" t="str">
        <f>IF(OR($AM987=0,NOT(ISNUMBER($H987)),NOT(ISNUMBER($I987)),NOT(ISNUMBER($J987))),"",IF($H987=$I987,"",ROUND(ABS($J987-$H987)/ABS($H987-$I987),6)))</f>
        <v/>
      </c>
      <c r="U987" s="48" t="str">
        <f>IF(OR($S987&lt;&gt;"Win",NOT(ISNUMBER($T987)),NOT(ISNUMBER($R987))),"",MAX(0,$T987-$R987))</f>
        <v/>
      </c>
      <c r="V987" s="49" t="str">
        <f>IF(OR($AM987=0,NOT(ISNUMBER($H987)),NOT(ISNUMBER($I987)),NOT(ISNUMBER($G987))),"",IF(OR($AG987="",$AH987=""),"",IF(ROUND(ABS($H987-$I987)*ABS($G987)*$AG987*$AH987,6)=0,"",ROUND(ABS($H987-$I987)*ABS($G987)*$AG987*$AH987,6))))</f>
        <v/>
      </c>
      <c r="W987" s="50" t="str">
        <f>IF($AM987=0,"",IF($BG987="","OK",LEFT($BG987,LEN($BG987)-2)))</f>
        <v/>
      </c>
      <c r="X987" s="41" t="n"/>
      <c r="Y987" s="40" t="n"/>
      <c r="Z987" s="41" t="n"/>
      <c r="AA987" s="41" t="n"/>
      <c r="AB987" s="40" t="n"/>
      <c r="AC987" s="51" t="n"/>
      <c r="AD987" s="51" t="n"/>
      <c r="AE987" s="40" t="n"/>
      <c r="AF987" s="52" t="str">
        <f>IF($AM987=0,"",IF($D987&lt;&gt;"",$D987,IF(IFERROR(INDEX(Accounts!$C$7:$C$16,MATCH($C987,Accounts!$B$7:$B$16,0))&amp;"","")&lt;&gt;"",INDEX(Accounts!$C$7:$C$16,MATCH($C987,Accounts!$B$7:$B$16,0)),Settings!$C$6)))</f>
        <v/>
      </c>
      <c r="AG987" s="53" t="str">
        <f>IF($AM987=0,"",IF(AND($BE987&gt;0,N(INDEX(Instruments!$D$6:$D$205,MAX(1,$BE987)))&gt;0),INDEX(Instruments!$D$6:$D$205,MAX(1,$BE987)),IF(N(INDEX(Settings!$D$14:$D$18,$BF987))&gt;0,INDEX(Settings!$D$14:$D$18,$BF987),"")))</f>
        <v/>
      </c>
      <c r="AH987" s="54" t="str">
        <f>IF($AM987=0,"",IF($AF987&lt;&gt;"Forex",1,IF(MID(UPPER(SUBSTITUTE(TRIM($E987),"/","")),4,3)=UPPER(TRIM(Settings!$C$7)),1,IF(LEFT(UPPER(SUBSTITUTE(TRIM($E987),"/","")),3)=UPPER(TRIM(Settings!$C$7)),IF(AND(ISNUMBER($K987),N($K987)&lt;&gt;0),1/$K987,""),""))))</f>
        <v/>
      </c>
      <c r="AI987" s="55" t="str">
        <f>IF($AM987=0,"",IF(OR(NOT(ISNUMBER($H987)),NOT(ISNUMBER($K987)),NOT(ISNUMBER($G987)),$AG987="",$AH987=""),"",ROUND(($K987-$H987)*IF($F987="Short",-1,1)*$G987*$AG987*$AH987,6)))</f>
        <v/>
      </c>
      <c r="AJ987" s="55" t="str">
        <f>IF($AM987=0,"",IF(INDEX(Settings!$E$14:$E$18,$BF987)="% of notional",IF(OR($AG987="",NOT(ISNUMBER($H987)),NOT(ISNUMBER($G987))),"",ROUND(ABS($H987*$G987*$AG987*N($AH987))*IF($L987="Limit",N(INDEX(Settings!$G$14:$G$18,$BF987)),N(INDEX(Settings!$H$14:$H$18,$BF987)))+IF(ISNUMBER($K987),ABS($K987*$G987*$AG987*N($AH987))*IF($M987="Target",N(INDEX(Settings!$G$14:$G$18,$BF987)),N(INDEX(Settings!$H$14:$H$18,$BF987))),0),6)),IF(NOT(ISNUMBER($G987)),"",ROUND(ABS($G987)*2*IF(AND($BE987&gt;0,ISNUMBER(INDEX(Instruments!$G$6:$G$205,MAX(1,$BE987)))),INDEX(Instruments!$G$6:$G$205,MAX(1,$BE987)),N(INDEX(Settings!$F$14:$F$18,$BF987))),6))))</f>
        <v/>
      </c>
      <c r="AK987" s="55" t="str">
        <f>IF($AM987=0,"",IF(ISNUMBER($O987),$O987,$AI987))</f>
        <v/>
      </c>
      <c r="AL987" s="55" t="str">
        <f>IF($AM987=0,"",IF(ISNUMBER($P987),$P987,N($AJ987)))</f>
        <v/>
      </c>
      <c r="AM987" s="56">
        <f>IF(AND($A987&lt;&gt;"",$E987&lt;&gt;"",OR(AND(ISNUMBER($G987),ISNUMBER($H987),ISNUMBER($K987)),ISNUMBER($O987))),1,0)</f>
        <v>0</v>
      </c>
      <c r="AN987" s="57" t="str">
        <f>IF($A987="","",$A987-WEEKDAY($A987,3))</f>
        <v/>
      </c>
      <c r="AO987" s="56" t="str">
        <f>IF($A987="","",WEEKDAY($A987,2))</f>
        <v/>
      </c>
      <c r="AP987" s="55" t="str">
        <f>IF(OR($AM987=0,$C987=""),"",IFERROR(N(INDEX(Accounts!$E$7:$E$16,MATCH($C987,Accounts!$B$7:$B$16,0))),0)+SUMIFS($Q$6:$Q987,$C$6:$C987,$C987))</f>
        <v/>
      </c>
      <c r="AQ987" s="55" t="str">
        <f>IF(OR($AM987=0,$C987=""),"",SUMIFS($Q$6:$Q$1005,$C$6:$C$1005,$C987,$A$6:$A$1005,$A987))</f>
        <v/>
      </c>
      <c r="AR987" s="55" t="str">
        <f>IF(OR($AM987=0,$C987=""),"",IFERROR(N(INDEX(Accounts!$E$7:$E$16,MATCH($C987,Accounts!$B$7:$B$16,0))),0)+SUMIFS($Q$6:$Q$1005,$C$6:$C$1005,$C987,$A$6:$A$1005,"&lt;="&amp;$A987))</f>
        <v/>
      </c>
      <c r="AS987" s="56">
        <f>IF(OR($AM987=0,$Q987=""),0,IF(AND($A987&gt;=Lists!$W$6,$A987&lt;=Lists!$W$7,OR(Dashboard!$D$6="All accounts",$C987=Dashboard!$D$6),OR(Dashboard!$D$7="All markets",$AF987=Dashboard!$D$7)),1,0))</f>
        <v>0</v>
      </c>
      <c r="AT987" s="55">
        <f>IF($AS987=1,N(AT986)+$Q987,N(AT986))</f>
        <v>1187.10688</v>
      </c>
      <c r="AU987" s="55">
        <f>MAX(N(AU986),$AT987)</f>
        <v>1187.10688</v>
      </c>
      <c r="AV987" s="55">
        <f>$AT987-$AU987</f>
        <v>0</v>
      </c>
      <c r="AW987" s="56">
        <f>IF($AS987=1,IF($S987="Win",N(AW986)+1,IF($S987="Loss",0,N(AW986))),N(AW986))</f>
        <v>5</v>
      </c>
      <c r="AX987" s="56">
        <f>IF($AS987=1,IF($S987="Loss",N(AX986)+1,IF($S987="Win",0,N(AX986))),N(AX986))</f>
        <v>0</v>
      </c>
      <c r="AY987" s="56" t="str">
        <f>IF($AS987=1,COUNTIF($AS$6:$AS987,1),"")</f>
        <v/>
      </c>
      <c r="AZ987" s="56">
        <f>MIN(981,N(Lists!$W$8))</f>
        <v>28</v>
      </c>
      <c r="BA987" s="56">
        <f>IF($AS987=1,IF(COUNTIFS($A$6:$A987,$A987,$AS$6:$AS987,1)=1,1,0),0)</f>
        <v>0</v>
      </c>
      <c r="BB987" s="55" t="str">
        <f>IF($BA987=1,SUMIFS($Q$6:$Q$1005,$A$6:$A$1005,$A987,$AS$6:$AS$1005,1),"")</f>
        <v/>
      </c>
      <c r="BC987" s="56">
        <f>IF(ISNUMBER($R987),1,0)</f>
        <v>0</v>
      </c>
      <c r="BD987" s="55" t="str">
        <f>IF(ISNUMBER($U987),$U987*$V987,"")</f>
        <v/>
      </c>
      <c r="BE987" s="56" t="str">
        <f>IF($AM987=0,"",IFERROR(MATCH($AF987&amp;"|"&amp;UPPER(TRIM($E987)),Lists!$A$6:$A$205,0),0))</f>
        <v/>
      </c>
      <c r="BF987" s="56" t="str">
        <f>IF($AM987=0,"",IFERROR(MATCH($AF987,Settings!$B$14:$B$18,0),IFERROR(MATCH(Settings!$C$6,Settings!$B$14:$B$18,0),1)))</f>
        <v/>
      </c>
      <c r="BG987" s="58" t="str">
        <f>IF($AM987=0,"",IF(NOT(ISNUMBER($I987)),"No stop; ","")&amp;IF(AND(ISNUMBER($H987),ISNUMBER($I987)),IF(OR(AND($F987&lt;&gt;"Short",$I987&gt;=$H987),AND($F987="Short",$I987&lt;=$H987)),"Stop on wrong side; ",""),"")&amp;IF($F987="","No direction; ","")&amp;IF(AND(ISNUMBER(Settings!$C$22),ISNUMBER($V987)),IF($V987&gt;Settings!$C$22,"Risk over max $; ",""),"")&amp;IF(AND(ISNUMBER(Settings!$C$23),ISNUMBER($V987),ISNUMBER($AP987),IFERROR(N(INDEX(Accounts!$E$7:$E$16,MATCH($C987,Accounts!$B$7:$B$16,0))),0)&gt;0),IF($V987&gt;Settings!$C$23*($AP987-N($Q987)),"Risk over max %; ",""),"")&amp;IF(AND(ISNUMBER(Settings!$C$24),ISNUMBER($N987)),IF($N987&gt;Settings!$C$24,"Leverage over max; ",""),"")&amp;IF(AND(ISNUMBER(Settings!$C$27),ISNUMBER($T987)),IF($T987&lt;Settings!$C$27,"R:R below min; ",""),"")&amp;IF(ISNUMBER(Settings!$C$25),IF(COUNTIFS($A$6:$A987,$A987,$AM$6:$AM987,1)&gt;Settings!$C$25,"Over max trades/day; ",""),"")&amp;IF(ISNUMBER(Settings!$C$26),IF(SUMIFS($Q$5:$Q986,$A$5:$A986,$A987)&lt;=-Settings!$C$26,"Traded after daily max loss; ",""),"")&amp;IF(AND($AG987="",NOT(ISNUMBER($O987))),"Symbol not in Instruments; ","")&amp;IF(AND($AH987="",NOT(ISNUMBER($O987))),"Forex cross: type Gross P&amp;L; ",""))</f>
        <v/>
      </c>
      <c r="BH987" s="56">
        <f>IF(ISNUMBER($Q987),1,0)</f>
        <v>0</v>
      </c>
      <c r="BI987" s="56">
        <f>IF($Y987="",0,1)</f>
        <v>0</v>
      </c>
      <c r="BJ987" s="56">
        <f>IF($AB987="",0,1)</f>
        <v>0</v>
      </c>
      <c r="BK987" s="56">
        <f>IF(AND($BH987=1,$W987&lt;&gt;"OK"),1,0)</f>
        <v>0</v>
      </c>
      <c r="BL987" s="55">
        <f>IF(N($AZ987)=0,0,IFERROR(INDEX($AT$6:$AT$1005,MATCH($AZ987,$AY$6:$AY$1005,0)),0))</f>
        <v>1187.10688</v>
      </c>
      <c r="BM987" s="56">
        <f>IF(ISNUMBER(SEARCH("daily max loss",$BG987)),1,0)</f>
        <v>0</v>
      </c>
    </row>
    <row r="988" ht="18" customHeight="1">
      <c r="A988" s="38" t="n"/>
      <c r="B988" s="39" t="n"/>
      <c r="C988" s="40" t="n"/>
      <c r="D988" s="41" t="n"/>
      <c r="E988" s="41" t="n"/>
      <c r="F988" s="41" t="n"/>
      <c r="G988" s="41" t="n"/>
      <c r="H988" s="42" t="n"/>
      <c r="I988" s="42" t="n"/>
      <c r="J988" s="42" t="n"/>
      <c r="K988" s="42" t="n"/>
      <c r="L988" s="41" t="n"/>
      <c r="M988" s="41" t="n"/>
      <c r="N988" s="41" t="n"/>
      <c r="O988" s="43" t="n"/>
      <c r="P988" s="43" t="n"/>
      <c r="Q988" s="44" t="str">
        <f>IF($AM988=0,"",IF(ISNUMBER($AK988),$AK988-N($AL988),""))</f>
        <v/>
      </c>
      <c r="R988" s="45" t="str">
        <f>IF(OR($Q988="",NOT(ISNUMBER($V988))),"",$AK988/$V988)</f>
        <v/>
      </c>
      <c r="S988" s="46" t="str">
        <f>IF($Q988="","",IF(AND(ISNUMBER($R988),ABS(N($R988))&lt;N(Settings!$C$8)),"Scratch",IF($Q988&gt;0,"Win",IF($Q988&lt;0,"Loss","Scratch"))))</f>
        <v/>
      </c>
      <c r="T988" s="47" t="str">
        <f>IF(OR($AM988=0,NOT(ISNUMBER($H988)),NOT(ISNUMBER($I988)),NOT(ISNUMBER($J988))),"",IF($H988=$I988,"",ROUND(ABS($J988-$H988)/ABS($H988-$I988),6)))</f>
        <v/>
      </c>
      <c r="U988" s="48" t="str">
        <f>IF(OR($S988&lt;&gt;"Win",NOT(ISNUMBER($T988)),NOT(ISNUMBER($R988))),"",MAX(0,$T988-$R988))</f>
        <v/>
      </c>
      <c r="V988" s="49" t="str">
        <f>IF(OR($AM988=0,NOT(ISNUMBER($H988)),NOT(ISNUMBER($I988)),NOT(ISNUMBER($G988))),"",IF(OR($AG988="",$AH988=""),"",IF(ROUND(ABS($H988-$I988)*ABS($G988)*$AG988*$AH988,6)=0,"",ROUND(ABS($H988-$I988)*ABS($G988)*$AG988*$AH988,6))))</f>
        <v/>
      </c>
      <c r="W988" s="50" t="str">
        <f>IF($AM988=0,"",IF($BG988="","OK",LEFT($BG988,LEN($BG988)-2)))</f>
        <v/>
      </c>
      <c r="X988" s="41" t="n"/>
      <c r="Y988" s="40" t="n"/>
      <c r="Z988" s="41" t="n"/>
      <c r="AA988" s="41" t="n"/>
      <c r="AB988" s="40" t="n"/>
      <c r="AC988" s="51" t="n"/>
      <c r="AD988" s="51" t="n"/>
      <c r="AE988" s="40" t="n"/>
      <c r="AF988" s="52" t="str">
        <f>IF($AM988=0,"",IF($D988&lt;&gt;"",$D988,IF(IFERROR(INDEX(Accounts!$C$7:$C$16,MATCH($C988,Accounts!$B$7:$B$16,0))&amp;"","")&lt;&gt;"",INDEX(Accounts!$C$7:$C$16,MATCH($C988,Accounts!$B$7:$B$16,0)),Settings!$C$6)))</f>
        <v/>
      </c>
      <c r="AG988" s="53" t="str">
        <f>IF($AM988=0,"",IF(AND($BE988&gt;0,N(INDEX(Instruments!$D$6:$D$205,MAX(1,$BE988)))&gt;0),INDEX(Instruments!$D$6:$D$205,MAX(1,$BE988)),IF(N(INDEX(Settings!$D$14:$D$18,$BF988))&gt;0,INDEX(Settings!$D$14:$D$18,$BF988),"")))</f>
        <v/>
      </c>
      <c r="AH988" s="54" t="str">
        <f>IF($AM988=0,"",IF($AF988&lt;&gt;"Forex",1,IF(MID(UPPER(SUBSTITUTE(TRIM($E988),"/","")),4,3)=UPPER(TRIM(Settings!$C$7)),1,IF(LEFT(UPPER(SUBSTITUTE(TRIM($E988),"/","")),3)=UPPER(TRIM(Settings!$C$7)),IF(AND(ISNUMBER($K988),N($K988)&lt;&gt;0),1/$K988,""),""))))</f>
        <v/>
      </c>
      <c r="AI988" s="55" t="str">
        <f>IF($AM988=0,"",IF(OR(NOT(ISNUMBER($H988)),NOT(ISNUMBER($K988)),NOT(ISNUMBER($G988)),$AG988="",$AH988=""),"",ROUND(($K988-$H988)*IF($F988="Short",-1,1)*$G988*$AG988*$AH988,6)))</f>
        <v/>
      </c>
      <c r="AJ988" s="55" t="str">
        <f>IF($AM988=0,"",IF(INDEX(Settings!$E$14:$E$18,$BF988)="% of notional",IF(OR($AG988="",NOT(ISNUMBER($H988)),NOT(ISNUMBER($G988))),"",ROUND(ABS($H988*$G988*$AG988*N($AH988))*IF($L988="Limit",N(INDEX(Settings!$G$14:$G$18,$BF988)),N(INDEX(Settings!$H$14:$H$18,$BF988)))+IF(ISNUMBER($K988),ABS($K988*$G988*$AG988*N($AH988))*IF($M988="Target",N(INDEX(Settings!$G$14:$G$18,$BF988)),N(INDEX(Settings!$H$14:$H$18,$BF988))),0),6)),IF(NOT(ISNUMBER($G988)),"",ROUND(ABS($G988)*2*IF(AND($BE988&gt;0,ISNUMBER(INDEX(Instruments!$G$6:$G$205,MAX(1,$BE988)))),INDEX(Instruments!$G$6:$G$205,MAX(1,$BE988)),N(INDEX(Settings!$F$14:$F$18,$BF988))),6))))</f>
        <v/>
      </c>
      <c r="AK988" s="55" t="str">
        <f>IF($AM988=0,"",IF(ISNUMBER($O988),$O988,$AI988))</f>
        <v/>
      </c>
      <c r="AL988" s="55" t="str">
        <f>IF($AM988=0,"",IF(ISNUMBER($P988),$P988,N($AJ988)))</f>
        <v/>
      </c>
      <c r="AM988" s="56">
        <f>IF(AND($A988&lt;&gt;"",$E988&lt;&gt;"",OR(AND(ISNUMBER($G988),ISNUMBER($H988),ISNUMBER($K988)),ISNUMBER($O988))),1,0)</f>
        <v>0</v>
      </c>
      <c r="AN988" s="57" t="str">
        <f>IF($A988="","",$A988-WEEKDAY($A988,3))</f>
        <v/>
      </c>
      <c r="AO988" s="56" t="str">
        <f>IF($A988="","",WEEKDAY($A988,2))</f>
        <v/>
      </c>
      <c r="AP988" s="55" t="str">
        <f>IF(OR($AM988=0,$C988=""),"",IFERROR(N(INDEX(Accounts!$E$7:$E$16,MATCH($C988,Accounts!$B$7:$B$16,0))),0)+SUMIFS($Q$6:$Q988,$C$6:$C988,$C988))</f>
        <v/>
      </c>
      <c r="AQ988" s="55" t="str">
        <f>IF(OR($AM988=0,$C988=""),"",SUMIFS($Q$6:$Q$1005,$C$6:$C$1005,$C988,$A$6:$A$1005,$A988))</f>
        <v/>
      </c>
      <c r="AR988" s="55" t="str">
        <f>IF(OR($AM988=0,$C988=""),"",IFERROR(N(INDEX(Accounts!$E$7:$E$16,MATCH($C988,Accounts!$B$7:$B$16,0))),0)+SUMIFS($Q$6:$Q$1005,$C$6:$C$1005,$C988,$A$6:$A$1005,"&lt;="&amp;$A988))</f>
        <v/>
      </c>
      <c r="AS988" s="56">
        <f>IF(OR($AM988=0,$Q988=""),0,IF(AND($A988&gt;=Lists!$W$6,$A988&lt;=Lists!$W$7,OR(Dashboard!$D$6="All accounts",$C988=Dashboard!$D$6),OR(Dashboard!$D$7="All markets",$AF988=Dashboard!$D$7)),1,0))</f>
        <v>0</v>
      </c>
      <c r="AT988" s="55">
        <f>IF($AS988=1,N(AT987)+$Q988,N(AT987))</f>
        <v>1187.10688</v>
      </c>
      <c r="AU988" s="55">
        <f>MAX(N(AU987),$AT988)</f>
        <v>1187.10688</v>
      </c>
      <c r="AV988" s="55">
        <f>$AT988-$AU988</f>
        <v>0</v>
      </c>
      <c r="AW988" s="56">
        <f>IF($AS988=1,IF($S988="Win",N(AW987)+1,IF($S988="Loss",0,N(AW987))),N(AW987))</f>
        <v>5</v>
      </c>
      <c r="AX988" s="56">
        <f>IF($AS988=1,IF($S988="Loss",N(AX987)+1,IF($S988="Win",0,N(AX987))),N(AX987))</f>
        <v>0</v>
      </c>
      <c r="AY988" s="56" t="str">
        <f>IF($AS988=1,COUNTIF($AS$6:$AS988,1),"")</f>
        <v/>
      </c>
      <c r="AZ988" s="56">
        <f>MIN(982,N(Lists!$W$8))</f>
        <v>28</v>
      </c>
      <c r="BA988" s="56">
        <f>IF($AS988=1,IF(COUNTIFS($A$6:$A988,$A988,$AS$6:$AS988,1)=1,1,0),0)</f>
        <v>0</v>
      </c>
      <c r="BB988" s="55" t="str">
        <f>IF($BA988=1,SUMIFS($Q$6:$Q$1005,$A$6:$A$1005,$A988,$AS$6:$AS$1005,1),"")</f>
        <v/>
      </c>
      <c r="BC988" s="56">
        <f>IF(ISNUMBER($R988),1,0)</f>
        <v>0</v>
      </c>
      <c r="BD988" s="55" t="str">
        <f>IF(ISNUMBER($U988),$U988*$V988,"")</f>
        <v/>
      </c>
      <c r="BE988" s="56" t="str">
        <f>IF($AM988=0,"",IFERROR(MATCH($AF988&amp;"|"&amp;UPPER(TRIM($E988)),Lists!$A$6:$A$205,0),0))</f>
        <v/>
      </c>
      <c r="BF988" s="56" t="str">
        <f>IF($AM988=0,"",IFERROR(MATCH($AF988,Settings!$B$14:$B$18,0),IFERROR(MATCH(Settings!$C$6,Settings!$B$14:$B$18,0),1)))</f>
        <v/>
      </c>
      <c r="BG988" s="58" t="str">
        <f>IF($AM988=0,"",IF(NOT(ISNUMBER($I988)),"No stop; ","")&amp;IF(AND(ISNUMBER($H988),ISNUMBER($I988)),IF(OR(AND($F988&lt;&gt;"Short",$I988&gt;=$H988),AND($F988="Short",$I988&lt;=$H988)),"Stop on wrong side; ",""),"")&amp;IF($F988="","No direction; ","")&amp;IF(AND(ISNUMBER(Settings!$C$22),ISNUMBER($V988)),IF($V988&gt;Settings!$C$22,"Risk over max $; ",""),"")&amp;IF(AND(ISNUMBER(Settings!$C$23),ISNUMBER($V988),ISNUMBER($AP988),IFERROR(N(INDEX(Accounts!$E$7:$E$16,MATCH($C988,Accounts!$B$7:$B$16,0))),0)&gt;0),IF($V988&gt;Settings!$C$23*($AP988-N($Q988)),"Risk over max %; ",""),"")&amp;IF(AND(ISNUMBER(Settings!$C$24),ISNUMBER($N988)),IF($N988&gt;Settings!$C$24,"Leverage over max; ",""),"")&amp;IF(AND(ISNUMBER(Settings!$C$27),ISNUMBER($T988)),IF($T988&lt;Settings!$C$27,"R:R below min; ",""),"")&amp;IF(ISNUMBER(Settings!$C$25),IF(COUNTIFS($A$6:$A988,$A988,$AM$6:$AM988,1)&gt;Settings!$C$25,"Over max trades/day; ",""),"")&amp;IF(ISNUMBER(Settings!$C$26),IF(SUMIFS($Q$5:$Q987,$A$5:$A987,$A988)&lt;=-Settings!$C$26,"Traded after daily max loss; ",""),"")&amp;IF(AND($AG988="",NOT(ISNUMBER($O988))),"Symbol not in Instruments; ","")&amp;IF(AND($AH988="",NOT(ISNUMBER($O988))),"Forex cross: type Gross P&amp;L; ",""))</f>
        <v/>
      </c>
      <c r="BH988" s="56">
        <f>IF(ISNUMBER($Q988),1,0)</f>
        <v>0</v>
      </c>
      <c r="BI988" s="56">
        <f>IF($Y988="",0,1)</f>
        <v>0</v>
      </c>
      <c r="BJ988" s="56">
        <f>IF($AB988="",0,1)</f>
        <v>0</v>
      </c>
      <c r="BK988" s="56">
        <f>IF(AND($BH988=1,$W988&lt;&gt;"OK"),1,0)</f>
        <v>0</v>
      </c>
      <c r="BL988" s="55">
        <f>IF(N($AZ988)=0,0,IFERROR(INDEX($AT$6:$AT$1005,MATCH($AZ988,$AY$6:$AY$1005,0)),0))</f>
        <v>1187.10688</v>
      </c>
      <c r="BM988" s="56">
        <f>IF(ISNUMBER(SEARCH("daily max loss",$BG988)),1,0)</f>
        <v>0</v>
      </c>
    </row>
    <row r="989" ht="18" customHeight="1">
      <c r="A989" s="38" t="n"/>
      <c r="B989" s="39" t="n"/>
      <c r="C989" s="40" t="n"/>
      <c r="D989" s="41" t="n"/>
      <c r="E989" s="41" t="n"/>
      <c r="F989" s="41" t="n"/>
      <c r="G989" s="41" t="n"/>
      <c r="H989" s="42" t="n"/>
      <c r="I989" s="42" t="n"/>
      <c r="J989" s="42" t="n"/>
      <c r="K989" s="42" t="n"/>
      <c r="L989" s="41" t="n"/>
      <c r="M989" s="41" t="n"/>
      <c r="N989" s="41" t="n"/>
      <c r="O989" s="43" t="n"/>
      <c r="P989" s="43" t="n"/>
      <c r="Q989" s="44" t="str">
        <f>IF($AM989=0,"",IF(ISNUMBER($AK989),$AK989-N($AL989),""))</f>
        <v/>
      </c>
      <c r="R989" s="45" t="str">
        <f>IF(OR($Q989="",NOT(ISNUMBER($V989))),"",$AK989/$V989)</f>
        <v/>
      </c>
      <c r="S989" s="46" t="str">
        <f>IF($Q989="","",IF(AND(ISNUMBER($R989),ABS(N($R989))&lt;N(Settings!$C$8)),"Scratch",IF($Q989&gt;0,"Win",IF($Q989&lt;0,"Loss","Scratch"))))</f>
        <v/>
      </c>
      <c r="T989" s="47" t="str">
        <f>IF(OR($AM989=0,NOT(ISNUMBER($H989)),NOT(ISNUMBER($I989)),NOT(ISNUMBER($J989))),"",IF($H989=$I989,"",ROUND(ABS($J989-$H989)/ABS($H989-$I989),6)))</f>
        <v/>
      </c>
      <c r="U989" s="48" t="str">
        <f>IF(OR($S989&lt;&gt;"Win",NOT(ISNUMBER($T989)),NOT(ISNUMBER($R989))),"",MAX(0,$T989-$R989))</f>
        <v/>
      </c>
      <c r="V989" s="49" t="str">
        <f>IF(OR($AM989=0,NOT(ISNUMBER($H989)),NOT(ISNUMBER($I989)),NOT(ISNUMBER($G989))),"",IF(OR($AG989="",$AH989=""),"",IF(ROUND(ABS($H989-$I989)*ABS($G989)*$AG989*$AH989,6)=0,"",ROUND(ABS($H989-$I989)*ABS($G989)*$AG989*$AH989,6))))</f>
        <v/>
      </c>
      <c r="W989" s="50" t="str">
        <f>IF($AM989=0,"",IF($BG989="","OK",LEFT($BG989,LEN($BG989)-2)))</f>
        <v/>
      </c>
      <c r="X989" s="41" t="n"/>
      <c r="Y989" s="40" t="n"/>
      <c r="Z989" s="41" t="n"/>
      <c r="AA989" s="41" t="n"/>
      <c r="AB989" s="40" t="n"/>
      <c r="AC989" s="51" t="n"/>
      <c r="AD989" s="51" t="n"/>
      <c r="AE989" s="40" t="n"/>
      <c r="AF989" s="52" t="str">
        <f>IF($AM989=0,"",IF($D989&lt;&gt;"",$D989,IF(IFERROR(INDEX(Accounts!$C$7:$C$16,MATCH($C989,Accounts!$B$7:$B$16,0))&amp;"","")&lt;&gt;"",INDEX(Accounts!$C$7:$C$16,MATCH($C989,Accounts!$B$7:$B$16,0)),Settings!$C$6)))</f>
        <v/>
      </c>
      <c r="AG989" s="53" t="str">
        <f>IF($AM989=0,"",IF(AND($BE989&gt;0,N(INDEX(Instruments!$D$6:$D$205,MAX(1,$BE989)))&gt;0),INDEX(Instruments!$D$6:$D$205,MAX(1,$BE989)),IF(N(INDEX(Settings!$D$14:$D$18,$BF989))&gt;0,INDEX(Settings!$D$14:$D$18,$BF989),"")))</f>
        <v/>
      </c>
      <c r="AH989" s="54" t="str">
        <f>IF($AM989=0,"",IF($AF989&lt;&gt;"Forex",1,IF(MID(UPPER(SUBSTITUTE(TRIM($E989),"/","")),4,3)=UPPER(TRIM(Settings!$C$7)),1,IF(LEFT(UPPER(SUBSTITUTE(TRIM($E989),"/","")),3)=UPPER(TRIM(Settings!$C$7)),IF(AND(ISNUMBER($K989),N($K989)&lt;&gt;0),1/$K989,""),""))))</f>
        <v/>
      </c>
      <c r="AI989" s="55" t="str">
        <f>IF($AM989=0,"",IF(OR(NOT(ISNUMBER($H989)),NOT(ISNUMBER($K989)),NOT(ISNUMBER($G989)),$AG989="",$AH989=""),"",ROUND(($K989-$H989)*IF($F989="Short",-1,1)*$G989*$AG989*$AH989,6)))</f>
        <v/>
      </c>
      <c r="AJ989" s="55" t="str">
        <f>IF($AM989=0,"",IF(INDEX(Settings!$E$14:$E$18,$BF989)="% of notional",IF(OR($AG989="",NOT(ISNUMBER($H989)),NOT(ISNUMBER($G989))),"",ROUND(ABS($H989*$G989*$AG989*N($AH989))*IF($L989="Limit",N(INDEX(Settings!$G$14:$G$18,$BF989)),N(INDEX(Settings!$H$14:$H$18,$BF989)))+IF(ISNUMBER($K989),ABS($K989*$G989*$AG989*N($AH989))*IF($M989="Target",N(INDEX(Settings!$G$14:$G$18,$BF989)),N(INDEX(Settings!$H$14:$H$18,$BF989))),0),6)),IF(NOT(ISNUMBER($G989)),"",ROUND(ABS($G989)*2*IF(AND($BE989&gt;0,ISNUMBER(INDEX(Instruments!$G$6:$G$205,MAX(1,$BE989)))),INDEX(Instruments!$G$6:$G$205,MAX(1,$BE989)),N(INDEX(Settings!$F$14:$F$18,$BF989))),6))))</f>
        <v/>
      </c>
      <c r="AK989" s="55" t="str">
        <f>IF($AM989=0,"",IF(ISNUMBER($O989),$O989,$AI989))</f>
        <v/>
      </c>
      <c r="AL989" s="55" t="str">
        <f>IF($AM989=0,"",IF(ISNUMBER($P989),$P989,N($AJ989)))</f>
        <v/>
      </c>
      <c r="AM989" s="56">
        <f>IF(AND($A989&lt;&gt;"",$E989&lt;&gt;"",OR(AND(ISNUMBER($G989),ISNUMBER($H989),ISNUMBER($K989)),ISNUMBER($O989))),1,0)</f>
        <v>0</v>
      </c>
      <c r="AN989" s="57" t="str">
        <f>IF($A989="","",$A989-WEEKDAY($A989,3))</f>
        <v/>
      </c>
      <c r="AO989" s="56" t="str">
        <f>IF($A989="","",WEEKDAY($A989,2))</f>
        <v/>
      </c>
      <c r="AP989" s="55" t="str">
        <f>IF(OR($AM989=0,$C989=""),"",IFERROR(N(INDEX(Accounts!$E$7:$E$16,MATCH($C989,Accounts!$B$7:$B$16,0))),0)+SUMIFS($Q$6:$Q989,$C$6:$C989,$C989))</f>
        <v/>
      </c>
      <c r="AQ989" s="55" t="str">
        <f>IF(OR($AM989=0,$C989=""),"",SUMIFS($Q$6:$Q$1005,$C$6:$C$1005,$C989,$A$6:$A$1005,$A989))</f>
        <v/>
      </c>
      <c r="AR989" s="55" t="str">
        <f>IF(OR($AM989=0,$C989=""),"",IFERROR(N(INDEX(Accounts!$E$7:$E$16,MATCH($C989,Accounts!$B$7:$B$16,0))),0)+SUMIFS($Q$6:$Q$1005,$C$6:$C$1005,$C989,$A$6:$A$1005,"&lt;="&amp;$A989))</f>
        <v/>
      </c>
      <c r="AS989" s="56">
        <f>IF(OR($AM989=0,$Q989=""),0,IF(AND($A989&gt;=Lists!$W$6,$A989&lt;=Lists!$W$7,OR(Dashboard!$D$6="All accounts",$C989=Dashboard!$D$6),OR(Dashboard!$D$7="All markets",$AF989=Dashboard!$D$7)),1,0))</f>
        <v>0</v>
      </c>
      <c r="AT989" s="55">
        <f>IF($AS989=1,N(AT988)+$Q989,N(AT988))</f>
        <v>1187.10688</v>
      </c>
      <c r="AU989" s="55">
        <f>MAX(N(AU988),$AT989)</f>
        <v>1187.10688</v>
      </c>
      <c r="AV989" s="55">
        <f>$AT989-$AU989</f>
        <v>0</v>
      </c>
      <c r="AW989" s="56">
        <f>IF($AS989=1,IF($S989="Win",N(AW988)+1,IF($S989="Loss",0,N(AW988))),N(AW988))</f>
        <v>5</v>
      </c>
      <c r="AX989" s="56">
        <f>IF($AS989=1,IF($S989="Loss",N(AX988)+1,IF($S989="Win",0,N(AX988))),N(AX988))</f>
        <v>0</v>
      </c>
      <c r="AY989" s="56" t="str">
        <f>IF($AS989=1,COUNTIF($AS$6:$AS989,1),"")</f>
        <v/>
      </c>
      <c r="AZ989" s="56">
        <f>MIN(983,N(Lists!$W$8))</f>
        <v>28</v>
      </c>
      <c r="BA989" s="56">
        <f>IF($AS989=1,IF(COUNTIFS($A$6:$A989,$A989,$AS$6:$AS989,1)=1,1,0),0)</f>
        <v>0</v>
      </c>
      <c r="BB989" s="55" t="str">
        <f>IF($BA989=1,SUMIFS($Q$6:$Q$1005,$A$6:$A$1005,$A989,$AS$6:$AS$1005,1),"")</f>
        <v/>
      </c>
      <c r="BC989" s="56">
        <f>IF(ISNUMBER($R989),1,0)</f>
        <v>0</v>
      </c>
      <c r="BD989" s="55" t="str">
        <f>IF(ISNUMBER($U989),$U989*$V989,"")</f>
        <v/>
      </c>
      <c r="BE989" s="56" t="str">
        <f>IF($AM989=0,"",IFERROR(MATCH($AF989&amp;"|"&amp;UPPER(TRIM($E989)),Lists!$A$6:$A$205,0),0))</f>
        <v/>
      </c>
      <c r="BF989" s="56" t="str">
        <f>IF($AM989=0,"",IFERROR(MATCH($AF989,Settings!$B$14:$B$18,0),IFERROR(MATCH(Settings!$C$6,Settings!$B$14:$B$18,0),1)))</f>
        <v/>
      </c>
      <c r="BG989" s="58" t="str">
        <f>IF($AM989=0,"",IF(NOT(ISNUMBER($I989)),"No stop; ","")&amp;IF(AND(ISNUMBER($H989),ISNUMBER($I989)),IF(OR(AND($F989&lt;&gt;"Short",$I989&gt;=$H989),AND($F989="Short",$I989&lt;=$H989)),"Stop on wrong side; ",""),"")&amp;IF($F989="","No direction; ","")&amp;IF(AND(ISNUMBER(Settings!$C$22),ISNUMBER($V989)),IF($V989&gt;Settings!$C$22,"Risk over max $; ",""),"")&amp;IF(AND(ISNUMBER(Settings!$C$23),ISNUMBER($V989),ISNUMBER($AP989),IFERROR(N(INDEX(Accounts!$E$7:$E$16,MATCH($C989,Accounts!$B$7:$B$16,0))),0)&gt;0),IF($V989&gt;Settings!$C$23*($AP989-N($Q989)),"Risk over max %; ",""),"")&amp;IF(AND(ISNUMBER(Settings!$C$24),ISNUMBER($N989)),IF($N989&gt;Settings!$C$24,"Leverage over max; ",""),"")&amp;IF(AND(ISNUMBER(Settings!$C$27),ISNUMBER($T989)),IF($T989&lt;Settings!$C$27,"R:R below min; ",""),"")&amp;IF(ISNUMBER(Settings!$C$25),IF(COUNTIFS($A$6:$A989,$A989,$AM$6:$AM989,1)&gt;Settings!$C$25,"Over max trades/day; ",""),"")&amp;IF(ISNUMBER(Settings!$C$26),IF(SUMIFS($Q$5:$Q988,$A$5:$A988,$A989)&lt;=-Settings!$C$26,"Traded after daily max loss; ",""),"")&amp;IF(AND($AG989="",NOT(ISNUMBER($O989))),"Symbol not in Instruments; ","")&amp;IF(AND($AH989="",NOT(ISNUMBER($O989))),"Forex cross: type Gross P&amp;L; ",""))</f>
        <v/>
      </c>
      <c r="BH989" s="56">
        <f>IF(ISNUMBER($Q989),1,0)</f>
        <v>0</v>
      </c>
      <c r="BI989" s="56">
        <f>IF($Y989="",0,1)</f>
        <v>0</v>
      </c>
      <c r="BJ989" s="56">
        <f>IF($AB989="",0,1)</f>
        <v>0</v>
      </c>
      <c r="BK989" s="56">
        <f>IF(AND($BH989=1,$W989&lt;&gt;"OK"),1,0)</f>
        <v>0</v>
      </c>
      <c r="BL989" s="55">
        <f>IF(N($AZ989)=0,0,IFERROR(INDEX($AT$6:$AT$1005,MATCH($AZ989,$AY$6:$AY$1005,0)),0))</f>
        <v>1187.10688</v>
      </c>
      <c r="BM989" s="56">
        <f>IF(ISNUMBER(SEARCH("daily max loss",$BG989)),1,0)</f>
        <v>0</v>
      </c>
    </row>
    <row r="990" ht="18" customHeight="1">
      <c r="A990" s="38" t="n"/>
      <c r="B990" s="39" t="n"/>
      <c r="C990" s="40" t="n"/>
      <c r="D990" s="41" t="n"/>
      <c r="E990" s="41" t="n"/>
      <c r="F990" s="41" t="n"/>
      <c r="G990" s="41" t="n"/>
      <c r="H990" s="42" t="n"/>
      <c r="I990" s="42" t="n"/>
      <c r="J990" s="42" t="n"/>
      <c r="K990" s="42" t="n"/>
      <c r="L990" s="41" t="n"/>
      <c r="M990" s="41" t="n"/>
      <c r="N990" s="41" t="n"/>
      <c r="O990" s="43" t="n"/>
      <c r="P990" s="43" t="n"/>
      <c r="Q990" s="44" t="str">
        <f>IF($AM990=0,"",IF(ISNUMBER($AK990),$AK990-N($AL990),""))</f>
        <v/>
      </c>
      <c r="R990" s="45" t="str">
        <f>IF(OR($Q990="",NOT(ISNUMBER($V990))),"",$AK990/$V990)</f>
        <v/>
      </c>
      <c r="S990" s="46" t="str">
        <f>IF($Q990="","",IF(AND(ISNUMBER($R990),ABS(N($R990))&lt;N(Settings!$C$8)),"Scratch",IF($Q990&gt;0,"Win",IF($Q990&lt;0,"Loss","Scratch"))))</f>
        <v/>
      </c>
      <c r="T990" s="47" t="str">
        <f>IF(OR($AM990=0,NOT(ISNUMBER($H990)),NOT(ISNUMBER($I990)),NOT(ISNUMBER($J990))),"",IF($H990=$I990,"",ROUND(ABS($J990-$H990)/ABS($H990-$I990),6)))</f>
        <v/>
      </c>
      <c r="U990" s="48" t="str">
        <f>IF(OR($S990&lt;&gt;"Win",NOT(ISNUMBER($T990)),NOT(ISNUMBER($R990))),"",MAX(0,$T990-$R990))</f>
        <v/>
      </c>
      <c r="V990" s="49" t="str">
        <f>IF(OR($AM990=0,NOT(ISNUMBER($H990)),NOT(ISNUMBER($I990)),NOT(ISNUMBER($G990))),"",IF(OR($AG990="",$AH990=""),"",IF(ROUND(ABS($H990-$I990)*ABS($G990)*$AG990*$AH990,6)=0,"",ROUND(ABS($H990-$I990)*ABS($G990)*$AG990*$AH990,6))))</f>
        <v/>
      </c>
      <c r="W990" s="50" t="str">
        <f>IF($AM990=0,"",IF($BG990="","OK",LEFT($BG990,LEN($BG990)-2)))</f>
        <v/>
      </c>
      <c r="X990" s="41" t="n"/>
      <c r="Y990" s="40" t="n"/>
      <c r="Z990" s="41" t="n"/>
      <c r="AA990" s="41" t="n"/>
      <c r="AB990" s="40" t="n"/>
      <c r="AC990" s="51" t="n"/>
      <c r="AD990" s="51" t="n"/>
      <c r="AE990" s="40" t="n"/>
      <c r="AF990" s="52" t="str">
        <f>IF($AM990=0,"",IF($D990&lt;&gt;"",$D990,IF(IFERROR(INDEX(Accounts!$C$7:$C$16,MATCH($C990,Accounts!$B$7:$B$16,0))&amp;"","")&lt;&gt;"",INDEX(Accounts!$C$7:$C$16,MATCH($C990,Accounts!$B$7:$B$16,0)),Settings!$C$6)))</f>
        <v/>
      </c>
      <c r="AG990" s="53" t="str">
        <f>IF($AM990=0,"",IF(AND($BE990&gt;0,N(INDEX(Instruments!$D$6:$D$205,MAX(1,$BE990)))&gt;0),INDEX(Instruments!$D$6:$D$205,MAX(1,$BE990)),IF(N(INDEX(Settings!$D$14:$D$18,$BF990))&gt;0,INDEX(Settings!$D$14:$D$18,$BF990),"")))</f>
        <v/>
      </c>
      <c r="AH990" s="54" t="str">
        <f>IF($AM990=0,"",IF($AF990&lt;&gt;"Forex",1,IF(MID(UPPER(SUBSTITUTE(TRIM($E990),"/","")),4,3)=UPPER(TRIM(Settings!$C$7)),1,IF(LEFT(UPPER(SUBSTITUTE(TRIM($E990),"/","")),3)=UPPER(TRIM(Settings!$C$7)),IF(AND(ISNUMBER($K990),N($K990)&lt;&gt;0),1/$K990,""),""))))</f>
        <v/>
      </c>
      <c r="AI990" s="55" t="str">
        <f>IF($AM990=0,"",IF(OR(NOT(ISNUMBER($H990)),NOT(ISNUMBER($K990)),NOT(ISNUMBER($G990)),$AG990="",$AH990=""),"",ROUND(($K990-$H990)*IF($F990="Short",-1,1)*$G990*$AG990*$AH990,6)))</f>
        <v/>
      </c>
      <c r="AJ990" s="55" t="str">
        <f>IF($AM990=0,"",IF(INDEX(Settings!$E$14:$E$18,$BF990)="% of notional",IF(OR($AG990="",NOT(ISNUMBER($H990)),NOT(ISNUMBER($G990))),"",ROUND(ABS($H990*$G990*$AG990*N($AH990))*IF($L990="Limit",N(INDEX(Settings!$G$14:$G$18,$BF990)),N(INDEX(Settings!$H$14:$H$18,$BF990)))+IF(ISNUMBER($K990),ABS($K990*$G990*$AG990*N($AH990))*IF($M990="Target",N(INDEX(Settings!$G$14:$G$18,$BF990)),N(INDEX(Settings!$H$14:$H$18,$BF990))),0),6)),IF(NOT(ISNUMBER($G990)),"",ROUND(ABS($G990)*2*IF(AND($BE990&gt;0,ISNUMBER(INDEX(Instruments!$G$6:$G$205,MAX(1,$BE990)))),INDEX(Instruments!$G$6:$G$205,MAX(1,$BE990)),N(INDEX(Settings!$F$14:$F$18,$BF990))),6))))</f>
        <v/>
      </c>
      <c r="AK990" s="55" t="str">
        <f>IF($AM990=0,"",IF(ISNUMBER($O990),$O990,$AI990))</f>
        <v/>
      </c>
      <c r="AL990" s="55" t="str">
        <f>IF($AM990=0,"",IF(ISNUMBER($P990),$P990,N($AJ990)))</f>
        <v/>
      </c>
      <c r="AM990" s="56">
        <f>IF(AND($A990&lt;&gt;"",$E990&lt;&gt;"",OR(AND(ISNUMBER($G990),ISNUMBER($H990),ISNUMBER($K990)),ISNUMBER($O990))),1,0)</f>
        <v>0</v>
      </c>
      <c r="AN990" s="57" t="str">
        <f>IF($A990="","",$A990-WEEKDAY($A990,3))</f>
        <v/>
      </c>
      <c r="AO990" s="56" t="str">
        <f>IF($A990="","",WEEKDAY($A990,2))</f>
        <v/>
      </c>
      <c r="AP990" s="55" t="str">
        <f>IF(OR($AM990=0,$C990=""),"",IFERROR(N(INDEX(Accounts!$E$7:$E$16,MATCH($C990,Accounts!$B$7:$B$16,0))),0)+SUMIFS($Q$6:$Q990,$C$6:$C990,$C990))</f>
        <v/>
      </c>
      <c r="AQ990" s="55" t="str">
        <f>IF(OR($AM990=0,$C990=""),"",SUMIFS($Q$6:$Q$1005,$C$6:$C$1005,$C990,$A$6:$A$1005,$A990))</f>
        <v/>
      </c>
      <c r="AR990" s="55" t="str">
        <f>IF(OR($AM990=0,$C990=""),"",IFERROR(N(INDEX(Accounts!$E$7:$E$16,MATCH($C990,Accounts!$B$7:$B$16,0))),0)+SUMIFS($Q$6:$Q$1005,$C$6:$C$1005,$C990,$A$6:$A$1005,"&lt;="&amp;$A990))</f>
        <v/>
      </c>
      <c r="AS990" s="56">
        <f>IF(OR($AM990=0,$Q990=""),0,IF(AND($A990&gt;=Lists!$W$6,$A990&lt;=Lists!$W$7,OR(Dashboard!$D$6="All accounts",$C990=Dashboard!$D$6),OR(Dashboard!$D$7="All markets",$AF990=Dashboard!$D$7)),1,0))</f>
        <v>0</v>
      </c>
      <c r="AT990" s="55">
        <f>IF($AS990=1,N(AT989)+$Q990,N(AT989))</f>
        <v>1187.10688</v>
      </c>
      <c r="AU990" s="55">
        <f>MAX(N(AU989),$AT990)</f>
        <v>1187.10688</v>
      </c>
      <c r="AV990" s="55">
        <f>$AT990-$AU990</f>
        <v>0</v>
      </c>
      <c r="AW990" s="56">
        <f>IF($AS990=1,IF($S990="Win",N(AW989)+1,IF($S990="Loss",0,N(AW989))),N(AW989))</f>
        <v>5</v>
      </c>
      <c r="AX990" s="56">
        <f>IF($AS990=1,IF($S990="Loss",N(AX989)+1,IF($S990="Win",0,N(AX989))),N(AX989))</f>
        <v>0</v>
      </c>
      <c r="AY990" s="56" t="str">
        <f>IF($AS990=1,COUNTIF($AS$6:$AS990,1),"")</f>
        <v/>
      </c>
      <c r="AZ990" s="56">
        <f>MIN(984,N(Lists!$W$8))</f>
        <v>28</v>
      </c>
      <c r="BA990" s="56">
        <f>IF($AS990=1,IF(COUNTIFS($A$6:$A990,$A990,$AS$6:$AS990,1)=1,1,0),0)</f>
        <v>0</v>
      </c>
      <c r="BB990" s="55" t="str">
        <f>IF($BA990=1,SUMIFS($Q$6:$Q$1005,$A$6:$A$1005,$A990,$AS$6:$AS$1005,1),"")</f>
        <v/>
      </c>
      <c r="BC990" s="56">
        <f>IF(ISNUMBER($R990),1,0)</f>
        <v>0</v>
      </c>
      <c r="BD990" s="55" t="str">
        <f>IF(ISNUMBER($U990),$U990*$V990,"")</f>
        <v/>
      </c>
      <c r="BE990" s="56" t="str">
        <f>IF($AM990=0,"",IFERROR(MATCH($AF990&amp;"|"&amp;UPPER(TRIM($E990)),Lists!$A$6:$A$205,0),0))</f>
        <v/>
      </c>
      <c r="BF990" s="56" t="str">
        <f>IF($AM990=0,"",IFERROR(MATCH($AF990,Settings!$B$14:$B$18,0),IFERROR(MATCH(Settings!$C$6,Settings!$B$14:$B$18,0),1)))</f>
        <v/>
      </c>
      <c r="BG990" s="58" t="str">
        <f>IF($AM990=0,"",IF(NOT(ISNUMBER($I990)),"No stop; ","")&amp;IF(AND(ISNUMBER($H990),ISNUMBER($I990)),IF(OR(AND($F990&lt;&gt;"Short",$I990&gt;=$H990),AND($F990="Short",$I990&lt;=$H990)),"Stop on wrong side; ",""),"")&amp;IF($F990="","No direction; ","")&amp;IF(AND(ISNUMBER(Settings!$C$22),ISNUMBER($V990)),IF($V990&gt;Settings!$C$22,"Risk over max $; ",""),"")&amp;IF(AND(ISNUMBER(Settings!$C$23),ISNUMBER($V990),ISNUMBER($AP990),IFERROR(N(INDEX(Accounts!$E$7:$E$16,MATCH($C990,Accounts!$B$7:$B$16,0))),0)&gt;0),IF($V990&gt;Settings!$C$23*($AP990-N($Q990)),"Risk over max %; ",""),"")&amp;IF(AND(ISNUMBER(Settings!$C$24),ISNUMBER($N990)),IF($N990&gt;Settings!$C$24,"Leverage over max; ",""),"")&amp;IF(AND(ISNUMBER(Settings!$C$27),ISNUMBER($T990)),IF($T990&lt;Settings!$C$27,"R:R below min; ",""),"")&amp;IF(ISNUMBER(Settings!$C$25),IF(COUNTIFS($A$6:$A990,$A990,$AM$6:$AM990,1)&gt;Settings!$C$25,"Over max trades/day; ",""),"")&amp;IF(ISNUMBER(Settings!$C$26),IF(SUMIFS($Q$5:$Q989,$A$5:$A989,$A990)&lt;=-Settings!$C$26,"Traded after daily max loss; ",""),"")&amp;IF(AND($AG990="",NOT(ISNUMBER($O990))),"Symbol not in Instruments; ","")&amp;IF(AND($AH990="",NOT(ISNUMBER($O990))),"Forex cross: type Gross P&amp;L; ",""))</f>
        <v/>
      </c>
      <c r="BH990" s="56">
        <f>IF(ISNUMBER($Q990),1,0)</f>
        <v>0</v>
      </c>
      <c r="BI990" s="56">
        <f>IF($Y990="",0,1)</f>
        <v>0</v>
      </c>
      <c r="BJ990" s="56">
        <f>IF($AB990="",0,1)</f>
        <v>0</v>
      </c>
      <c r="BK990" s="56">
        <f>IF(AND($BH990=1,$W990&lt;&gt;"OK"),1,0)</f>
        <v>0</v>
      </c>
      <c r="BL990" s="55">
        <f>IF(N($AZ990)=0,0,IFERROR(INDEX($AT$6:$AT$1005,MATCH($AZ990,$AY$6:$AY$1005,0)),0))</f>
        <v>1187.10688</v>
      </c>
      <c r="BM990" s="56">
        <f>IF(ISNUMBER(SEARCH("daily max loss",$BG990)),1,0)</f>
        <v>0</v>
      </c>
    </row>
    <row r="991" ht="18" customHeight="1">
      <c r="A991" s="38" t="n"/>
      <c r="B991" s="39" t="n"/>
      <c r="C991" s="40" t="n"/>
      <c r="D991" s="41" t="n"/>
      <c r="E991" s="41" t="n"/>
      <c r="F991" s="41" t="n"/>
      <c r="G991" s="41" t="n"/>
      <c r="H991" s="42" t="n"/>
      <c r="I991" s="42" t="n"/>
      <c r="J991" s="42" t="n"/>
      <c r="K991" s="42" t="n"/>
      <c r="L991" s="41" t="n"/>
      <c r="M991" s="41" t="n"/>
      <c r="N991" s="41" t="n"/>
      <c r="O991" s="43" t="n"/>
      <c r="P991" s="43" t="n"/>
      <c r="Q991" s="44" t="str">
        <f>IF($AM991=0,"",IF(ISNUMBER($AK991),$AK991-N($AL991),""))</f>
        <v/>
      </c>
      <c r="R991" s="45" t="str">
        <f>IF(OR($Q991="",NOT(ISNUMBER($V991))),"",$AK991/$V991)</f>
        <v/>
      </c>
      <c r="S991" s="46" t="str">
        <f>IF($Q991="","",IF(AND(ISNUMBER($R991),ABS(N($R991))&lt;N(Settings!$C$8)),"Scratch",IF($Q991&gt;0,"Win",IF($Q991&lt;0,"Loss","Scratch"))))</f>
        <v/>
      </c>
      <c r="T991" s="47" t="str">
        <f>IF(OR($AM991=0,NOT(ISNUMBER($H991)),NOT(ISNUMBER($I991)),NOT(ISNUMBER($J991))),"",IF($H991=$I991,"",ROUND(ABS($J991-$H991)/ABS($H991-$I991),6)))</f>
        <v/>
      </c>
      <c r="U991" s="48" t="str">
        <f>IF(OR($S991&lt;&gt;"Win",NOT(ISNUMBER($T991)),NOT(ISNUMBER($R991))),"",MAX(0,$T991-$R991))</f>
        <v/>
      </c>
      <c r="V991" s="49" t="str">
        <f>IF(OR($AM991=0,NOT(ISNUMBER($H991)),NOT(ISNUMBER($I991)),NOT(ISNUMBER($G991))),"",IF(OR($AG991="",$AH991=""),"",IF(ROUND(ABS($H991-$I991)*ABS($G991)*$AG991*$AH991,6)=0,"",ROUND(ABS($H991-$I991)*ABS($G991)*$AG991*$AH991,6))))</f>
        <v/>
      </c>
      <c r="W991" s="50" t="str">
        <f>IF($AM991=0,"",IF($BG991="","OK",LEFT($BG991,LEN($BG991)-2)))</f>
        <v/>
      </c>
      <c r="X991" s="41" t="n"/>
      <c r="Y991" s="40" t="n"/>
      <c r="Z991" s="41" t="n"/>
      <c r="AA991" s="41" t="n"/>
      <c r="AB991" s="40" t="n"/>
      <c r="AC991" s="51" t="n"/>
      <c r="AD991" s="51" t="n"/>
      <c r="AE991" s="40" t="n"/>
      <c r="AF991" s="52" t="str">
        <f>IF($AM991=0,"",IF($D991&lt;&gt;"",$D991,IF(IFERROR(INDEX(Accounts!$C$7:$C$16,MATCH($C991,Accounts!$B$7:$B$16,0))&amp;"","")&lt;&gt;"",INDEX(Accounts!$C$7:$C$16,MATCH($C991,Accounts!$B$7:$B$16,0)),Settings!$C$6)))</f>
        <v/>
      </c>
      <c r="AG991" s="53" t="str">
        <f>IF($AM991=0,"",IF(AND($BE991&gt;0,N(INDEX(Instruments!$D$6:$D$205,MAX(1,$BE991)))&gt;0),INDEX(Instruments!$D$6:$D$205,MAX(1,$BE991)),IF(N(INDEX(Settings!$D$14:$D$18,$BF991))&gt;0,INDEX(Settings!$D$14:$D$18,$BF991),"")))</f>
        <v/>
      </c>
      <c r="AH991" s="54" t="str">
        <f>IF($AM991=0,"",IF($AF991&lt;&gt;"Forex",1,IF(MID(UPPER(SUBSTITUTE(TRIM($E991),"/","")),4,3)=UPPER(TRIM(Settings!$C$7)),1,IF(LEFT(UPPER(SUBSTITUTE(TRIM($E991),"/","")),3)=UPPER(TRIM(Settings!$C$7)),IF(AND(ISNUMBER($K991),N($K991)&lt;&gt;0),1/$K991,""),""))))</f>
        <v/>
      </c>
      <c r="AI991" s="55" t="str">
        <f>IF($AM991=0,"",IF(OR(NOT(ISNUMBER($H991)),NOT(ISNUMBER($K991)),NOT(ISNUMBER($G991)),$AG991="",$AH991=""),"",ROUND(($K991-$H991)*IF($F991="Short",-1,1)*$G991*$AG991*$AH991,6)))</f>
        <v/>
      </c>
      <c r="AJ991" s="55" t="str">
        <f>IF($AM991=0,"",IF(INDEX(Settings!$E$14:$E$18,$BF991)="% of notional",IF(OR($AG991="",NOT(ISNUMBER($H991)),NOT(ISNUMBER($G991))),"",ROUND(ABS($H991*$G991*$AG991*N($AH991))*IF($L991="Limit",N(INDEX(Settings!$G$14:$G$18,$BF991)),N(INDEX(Settings!$H$14:$H$18,$BF991)))+IF(ISNUMBER($K991),ABS($K991*$G991*$AG991*N($AH991))*IF($M991="Target",N(INDEX(Settings!$G$14:$G$18,$BF991)),N(INDEX(Settings!$H$14:$H$18,$BF991))),0),6)),IF(NOT(ISNUMBER($G991)),"",ROUND(ABS($G991)*2*IF(AND($BE991&gt;0,ISNUMBER(INDEX(Instruments!$G$6:$G$205,MAX(1,$BE991)))),INDEX(Instruments!$G$6:$G$205,MAX(1,$BE991)),N(INDEX(Settings!$F$14:$F$18,$BF991))),6))))</f>
        <v/>
      </c>
      <c r="AK991" s="55" t="str">
        <f>IF($AM991=0,"",IF(ISNUMBER($O991),$O991,$AI991))</f>
        <v/>
      </c>
      <c r="AL991" s="55" t="str">
        <f>IF($AM991=0,"",IF(ISNUMBER($P991),$P991,N($AJ991)))</f>
        <v/>
      </c>
      <c r="AM991" s="56">
        <f>IF(AND($A991&lt;&gt;"",$E991&lt;&gt;"",OR(AND(ISNUMBER($G991),ISNUMBER($H991),ISNUMBER($K991)),ISNUMBER($O991))),1,0)</f>
        <v>0</v>
      </c>
      <c r="AN991" s="57" t="str">
        <f>IF($A991="","",$A991-WEEKDAY($A991,3))</f>
        <v/>
      </c>
      <c r="AO991" s="56" t="str">
        <f>IF($A991="","",WEEKDAY($A991,2))</f>
        <v/>
      </c>
      <c r="AP991" s="55" t="str">
        <f>IF(OR($AM991=0,$C991=""),"",IFERROR(N(INDEX(Accounts!$E$7:$E$16,MATCH($C991,Accounts!$B$7:$B$16,0))),0)+SUMIFS($Q$6:$Q991,$C$6:$C991,$C991))</f>
        <v/>
      </c>
      <c r="AQ991" s="55" t="str">
        <f>IF(OR($AM991=0,$C991=""),"",SUMIFS($Q$6:$Q$1005,$C$6:$C$1005,$C991,$A$6:$A$1005,$A991))</f>
        <v/>
      </c>
      <c r="AR991" s="55" t="str">
        <f>IF(OR($AM991=0,$C991=""),"",IFERROR(N(INDEX(Accounts!$E$7:$E$16,MATCH($C991,Accounts!$B$7:$B$16,0))),0)+SUMIFS($Q$6:$Q$1005,$C$6:$C$1005,$C991,$A$6:$A$1005,"&lt;="&amp;$A991))</f>
        <v/>
      </c>
      <c r="AS991" s="56">
        <f>IF(OR($AM991=0,$Q991=""),0,IF(AND($A991&gt;=Lists!$W$6,$A991&lt;=Lists!$W$7,OR(Dashboard!$D$6="All accounts",$C991=Dashboard!$D$6),OR(Dashboard!$D$7="All markets",$AF991=Dashboard!$D$7)),1,0))</f>
        <v>0</v>
      </c>
      <c r="AT991" s="55">
        <f>IF($AS991=1,N(AT990)+$Q991,N(AT990))</f>
        <v>1187.10688</v>
      </c>
      <c r="AU991" s="55">
        <f>MAX(N(AU990),$AT991)</f>
        <v>1187.10688</v>
      </c>
      <c r="AV991" s="55">
        <f>$AT991-$AU991</f>
        <v>0</v>
      </c>
      <c r="AW991" s="56">
        <f>IF($AS991=1,IF($S991="Win",N(AW990)+1,IF($S991="Loss",0,N(AW990))),N(AW990))</f>
        <v>5</v>
      </c>
      <c r="AX991" s="56">
        <f>IF($AS991=1,IF($S991="Loss",N(AX990)+1,IF($S991="Win",0,N(AX990))),N(AX990))</f>
        <v>0</v>
      </c>
      <c r="AY991" s="56" t="str">
        <f>IF($AS991=1,COUNTIF($AS$6:$AS991,1),"")</f>
        <v/>
      </c>
      <c r="AZ991" s="56">
        <f>MIN(985,N(Lists!$W$8))</f>
        <v>28</v>
      </c>
      <c r="BA991" s="56">
        <f>IF($AS991=1,IF(COUNTIFS($A$6:$A991,$A991,$AS$6:$AS991,1)=1,1,0),0)</f>
        <v>0</v>
      </c>
      <c r="BB991" s="55" t="str">
        <f>IF($BA991=1,SUMIFS($Q$6:$Q$1005,$A$6:$A$1005,$A991,$AS$6:$AS$1005,1),"")</f>
        <v/>
      </c>
      <c r="BC991" s="56">
        <f>IF(ISNUMBER($R991),1,0)</f>
        <v>0</v>
      </c>
      <c r="BD991" s="55" t="str">
        <f>IF(ISNUMBER($U991),$U991*$V991,"")</f>
        <v/>
      </c>
      <c r="BE991" s="56" t="str">
        <f>IF($AM991=0,"",IFERROR(MATCH($AF991&amp;"|"&amp;UPPER(TRIM($E991)),Lists!$A$6:$A$205,0),0))</f>
        <v/>
      </c>
      <c r="BF991" s="56" t="str">
        <f>IF($AM991=0,"",IFERROR(MATCH($AF991,Settings!$B$14:$B$18,0),IFERROR(MATCH(Settings!$C$6,Settings!$B$14:$B$18,0),1)))</f>
        <v/>
      </c>
      <c r="BG991" s="58" t="str">
        <f>IF($AM991=0,"",IF(NOT(ISNUMBER($I991)),"No stop; ","")&amp;IF(AND(ISNUMBER($H991),ISNUMBER($I991)),IF(OR(AND($F991&lt;&gt;"Short",$I991&gt;=$H991),AND($F991="Short",$I991&lt;=$H991)),"Stop on wrong side; ",""),"")&amp;IF($F991="","No direction; ","")&amp;IF(AND(ISNUMBER(Settings!$C$22),ISNUMBER($V991)),IF($V991&gt;Settings!$C$22,"Risk over max $; ",""),"")&amp;IF(AND(ISNUMBER(Settings!$C$23),ISNUMBER($V991),ISNUMBER($AP991),IFERROR(N(INDEX(Accounts!$E$7:$E$16,MATCH($C991,Accounts!$B$7:$B$16,0))),0)&gt;0),IF($V991&gt;Settings!$C$23*($AP991-N($Q991)),"Risk over max %; ",""),"")&amp;IF(AND(ISNUMBER(Settings!$C$24),ISNUMBER($N991)),IF($N991&gt;Settings!$C$24,"Leverage over max; ",""),"")&amp;IF(AND(ISNUMBER(Settings!$C$27),ISNUMBER($T991)),IF($T991&lt;Settings!$C$27,"R:R below min; ",""),"")&amp;IF(ISNUMBER(Settings!$C$25),IF(COUNTIFS($A$6:$A991,$A991,$AM$6:$AM991,1)&gt;Settings!$C$25,"Over max trades/day; ",""),"")&amp;IF(ISNUMBER(Settings!$C$26),IF(SUMIFS($Q$5:$Q990,$A$5:$A990,$A991)&lt;=-Settings!$C$26,"Traded after daily max loss; ",""),"")&amp;IF(AND($AG991="",NOT(ISNUMBER($O991))),"Symbol not in Instruments; ","")&amp;IF(AND($AH991="",NOT(ISNUMBER($O991))),"Forex cross: type Gross P&amp;L; ",""))</f>
        <v/>
      </c>
      <c r="BH991" s="56">
        <f>IF(ISNUMBER($Q991),1,0)</f>
        <v>0</v>
      </c>
      <c r="BI991" s="56">
        <f>IF($Y991="",0,1)</f>
        <v>0</v>
      </c>
      <c r="BJ991" s="56">
        <f>IF($AB991="",0,1)</f>
        <v>0</v>
      </c>
      <c r="BK991" s="56">
        <f>IF(AND($BH991=1,$W991&lt;&gt;"OK"),1,0)</f>
        <v>0</v>
      </c>
      <c r="BL991" s="55">
        <f>IF(N($AZ991)=0,0,IFERROR(INDEX($AT$6:$AT$1005,MATCH($AZ991,$AY$6:$AY$1005,0)),0))</f>
        <v>1187.10688</v>
      </c>
      <c r="BM991" s="56">
        <f>IF(ISNUMBER(SEARCH("daily max loss",$BG991)),1,0)</f>
        <v>0</v>
      </c>
    </row>
    <row r="992" ht="18" customHeight="1">
      <c r="A992" s="38" t="n"/>
      <c r="B992" s="39" t="n"/>
      <c r="C992" s="40" t="n"/>
      <c r="D992" s="41" t="n"/>
      <c r="E992" s="41" t="n"/>
      <c r="F992" s="41" t="n"/>
      <c r="G992" s="41" t="n"/>
      <c r="H992" s="42" t="n"/>
      <c r="I992" s="42" t="n"/>
      <c r="J992" s="42" t="n"/>
      <c r="K992" s="42" t="n"/>
      <c r="L992" s="41" t="n"/>
      <c r="M992" s="41" t="n"/>
      <c r="N992" s="41" t="n"/>
      <c r="O992" s="43" t="n"/>
      <c r="P992" s="43" t="n"/>
      <c r="Q992" s="44" t="str">
        <f>IF($AM992=0,"",IF(ISNUMBER($AK992),$AK992-N($AL992),""))</f>
        <v/>
      </c>
      <c r="R992" s="45" t="str">
        <f>IF(OR($Q992="",NOT(ISNUMBER($V992))),"",$AK992/$V992)</f>
        <v/>
      </c>
      <c r="S992" s="46" t="str">
        <f>IF($Q992="","",IF(AND(ISNUMBER($R992),ABS(N($R992))&lt;N(Settings!$C$8)),"Scratch",IF($Q992&gt;0,"Win",IF($Q992&lt;0,"Loss","Scratch"))))</f>
        <v/>
      </c>
      <c r="T992" s="47" t="str">
        <f>IF(OR($AM992=0,NOT(ISNUMBER($H992)),NOT(ISNUMBER($I992)),NOT(ISNUMBER($J992))),"",IF($H992=$I992,"",ROUND(ABS($J992-$H992)/ABS($H992-$I992),6)))</f>
        <v/>
      </c>
      <c r="U992" s="48" t="str">
        <f>IF(OR($S992&lt;&gt;"Win",NOT(ISNUMBER($T992)),NOT(ISNUMBER($R992))),"",MAX(0,$T992-$R992))</f>
        <v/>
      </c>
      <c r="V992" s="49" t="str">
        <f>IF(OR($AM992=0,NOT(ISNUMBER($H992)),NOT(ISNUMBER($I992)),NOT(ISNUMBER($G992))),"",IF(OR($AG992="",$AH992=""),"",IF(ROUND(ABS($H992-$I992)*ABS($G992)*$AG992*$AH992,6)=0,"",ROUND(ABS($H992-$I992)*ABS($G992)*$AG992*$AH992,6))))</f>
        <v/>
      </c>
      <c r="W992" s="50" t="str">
        <f>IF($AM992=0,"",IF($BG992="","OK",LEFT($BG992,LEN($BG992)-2)))</f>
        <v/>
      </c>
      <c r="X992" s="41" t="n"/>
      <c r="Y992" s="40" t="n"/>
      <c r="Z992" s="41" t="n"/>
      <c r="AA992" s="41" t="n"/>
      <c r="AB992" s="40" t="n"/>
      <c r="AC992" s="51" t="n"/>
      <c r="AD992" s="51" t="n"/>
      <c r="AE992" s="40" t="n"/>
      <c r="AF992" s="52" t="str">
        <f>IF($AM992=0,"",IF($D992&lt;&gt;"",$D992,IF(IFERROR(INDEX(Accounts!$C$7:$C$16,MATCH($C992,Accounts!$B$7:$B$16,0))&amp;"","")&lt;&gt;"",INDEX(Accounts!$C$7:$C$16,MATCH($C992,Accounts!$B$7:$B$16,0)),Settings!$C$6)))</f>
        <v/>
      </c>
      <c r="AG992" s="53" t="str">
        <f>IF($AM992=0,"",IF(AND($BE992&gt;0,N(INDEX(Instruments!$D$6:$D$205,MAX(1,$BE992)))&gt;0),INDEX(Instruments!$D$6:$D$205,MAX(1,$BE992)),IF(N(INDEX(Settings!$D$14:$D$18,$BF992))&gt;0,INDEX(Settings!$D$14:$D$18,$BF992),"")))</f>
        <v/>
      </c>
      <c r="AH992" s="54" t="str">
        <f>IF($AM992=0,"",IF($AF992&lt;&gt;"Forex",1,IF(MID(UPPER(SUBSTITUTE(TRIM($E992),"/","")),4,3)=UPPER(TRIM(Settings!$C$7)),1,IF(LEFT(UPPER(SUBSTITUTE(TRIM($E992),"/","")),3)=UPPER(TRIM(Settings!$C$7)),IF(AND(ISNUMBER($K992),N($K992)&lt;&gt;0),1/$K992,""),""))))</f>
        <v/>
      </c>
      <c r="AI992" s="55" t="str">
        <f>IF($AM992=0,"",IF(OR(NOT(ISNUMBER($H992)),NOT(ISNUMBER($K992)),NOT(ISNUMBER($G992)),$AG992="",$AH992=""),"",ROUND(($K992-$H992)*IF($F992="Short",-1,1)*$G992*$AG992*$AH992,6)))</f>
        <v/>
      </c>
      <c r="AJ992" s="55" t="str">
        <f>IF($AM992=0,"",IF(INDEX(Settings!$E$14:$E$18,$BF992)="% of notional",IF(OR($AG992="",NOT(ISNUMBER($H992)),NOT(ISNUMBER($G992))),"",ROUND(ABS($H992*$G992*$AG992*N($AH992))*IF($L992="Limit",N(INDEX(Settings!$G$14:$G$18,$BF992)),N(INDEX(Settings!$H$14:$H$18,$BF992)))+IF(ISNUMBER($K992),ABS($K992*$G992*$AG992*N($AH992))*IF($M992="Target",N(INDEX(Settings!$G$14:$G$18,$BF992)),N(INDEX(Settings!$H$14:$H$18,$BF992))),0),6)),IF(NOT(ISNUMBER($G992)),"",ROUND(ABS($G992)*2*IF(AND($BE992&gt;0,ISNUMBER(INDEX(Instruments!$G$6:$G$205,MAX(1,$BE992)))),INDEX(Instruments!$G$6:$G$205,MAX(1,$BE992)),N(INDEX(Settings!$F$14:$F$18,$BF992))),6))))</f>
        <v/>
      </c>
      <c r="AK992" s="55" t="str">
        <f>IF($AM992=0,"",IF(ISNUMBER($O992),$O992,$AI992))</f>
        <v/>
      </c>
      <c r="AL992" s="55" t="str">
        <f>IF($AM992=0,"",IF(ISNUMBER($P992),$P992,N($AJ992)))</f>
        <v/>
      </c>
      <c r="AM992" s="56">
        <f>IF(AND($A992&lt;&gt;"",$E992&lt;&gt;"",OR(AND(ISNUMBER($G992),ISNUMBER($H992),ISNUMBER($K992)),ISNUMBER($O992))),1,0)</f>
        <v>0</v>
      </c>
      <c r="AN992" s="57" t="str">
        <f>IF($A992="","",$A992-WEEKDAY($A992,3))</f>
        <v/>
      </c>
      <c r="AO992" s="56" t="str">
        <f>IF($A992="","",WEEKDAY($A992,2))</f>
        <v/>
      </c>
      <c r="AP992" s="55" t="str">
        <f>IF(OR($AM992=0,$C992=""),"",IFERROR(N(INDEX(Accounts!$E$7:$E$16,MATCH($C992,Accounts!$B$7:$B$16,0))),0)+SUMIFS($Q$6:$Q992,$C$6:$C992,$C992))</f>
        <v/>
      </c>
      <c r="AQ992" s="55" t="str">
        <f>IF(OR($AM992=0,$C992=""),"",SUMIFS($Q$6:$Q$1005,$C$6:$C$1005,$C992,$A$6:$A$1005,$A992))</f>
        <v/>
      </c>
      <c r="AR992" s="55" t="str">
        <f>IF(OR($AM992=0,$C992=""),"",IFERROR(N(INDEX(Accounts!$E$7:$E$16,MATCH($C992,Accounts!$B$7:$B$16,0))),0)+SUMIFS($Q$6:$Q$1005,$C$6:$C$1005,$C992,$A$6:$A$1005,"&lt;="&amp;$A992))</f>
        <v/>
      </c>
      <c r="AS992" s="56">
        <f>IF(OR($AM992=0,$Q992=""),0,IF(AND($A992&gt;=Lists!$W$6,$A992&lt;=Lists!$W$7,OR(Dashboard!$D$6="All accounts",$C992=Dashboard!$D$6),OR(Dashboard!$D$7="All markets",$AF992=Dashboard!$D$7)),1,0))</f>
        <v>0</v>
      </c>
      <c r="AT992" s="55">
        <f>IF($AS992=1,N(AT991)+$Q992,N(AT991))</f>
        <v>1187.10688</v>
      </c>
      <c r="AU992" s="55">
        <f>MAX(N(AU991),$AT992)</f>
        <v>1187.10688</v>
      </c>
      <c r="AV992" s="55">
        <f>$AT992-$AU992</f>
        <v>0</v>
      </c>
      <c r="AW992" s="56">
        <f>IF($AS992=1,IF($S992="Win",N(AW991)+1,IF($S992="Loss",0,N(AW991))),N(AW991))</f>
        <v>5</v>
      </c>
      <c r="AX992" s="56">
        <f>IF($AS992=1,IF($S992="Loss",N(AX991)+1,IF($S992="Win",0,N(AX991))),N(AX991))</f>
        <v>0</v>
      </c>
      <c r="AY992" s="56" t="str">
        <f>IF($AS992=1,COUNTIF($AS$6:$AS992,1),"")</f>
        <v/>
      </c>
      <c r="AZ992" s="56">
        <f>MIN(986,N(Lists!$W$8))</f>
        <v>28</v>
      </c>
      <c r="BA992" s="56">
        <f>IF($AS992=1,IF(COUNTIFS($A$6:$A992,$A992,$AS$6:$AS992,1)=1,1,0),0)</f>
        <v>0</v>
      </c>
      <c r="BB992" s="55" t="str">
        <f>IF($BA992=1,SUMIFS($Q$6:$Q$1005,$A$6:$A$1005,$A992,$AS$6:$AS$1005,1),"")</f>
        <v/>
      </c>
      <c r="BC992" s="56">
        <f>IF(ISNUMBER($R992),1,0)</f>
        <v>0</v>
      </c>
      <c r="BD992" s="55" t="str">
        <f>IF(ISNUMBER($U992),$U992*$V992,"")</f>
        <v/>
      </c>
      <c r="BE992" s="56" t="str">
        <f>IF($AM992=0,"",IFERROR(MATCH($AF992&amp;"|"&amp;UPPER(TRIM($E992)),Lists!$A$6:$A$205,0),0))</f>
        <v/>
      </c>
      <c r="BF992" s="56" t="str">
        <f>IF($AM992=0,"",IFERROR(MATCH($AF992,Settings!$B$14:$B$18,0),IFERROR(MATCH(Settings!$C$6,Settings!$B$14:$B$18,0),1)))</f>
        <v/>
      </c>
      <c r="BG992" s="58" t="str">
        <f>IF($AM992=0,"",IF(NOT(ISNUMBER($I992)),"No stop; ","")&amp;IF(AND(ISNUMBER($H992),ISNUMBER($I992)),IF(OR(AND($F992&lt;&gt;"Short",$I992&gt;=$H992),AND($F992="Short",$I992&lt;=$H992)),"Stop on wrong side; ",""),"")&amp;IF($F992="","No direction; ","")&amp;IF(AND(ISNUMBER(Settings!$C$22),ISNUMBER($V992)),IF($V992&gt;Settings!$C$22,"Risk over max $; ",""),"")&amp;IF(AND(ISNUMBER(Settings!$C$23),ISNUMBER($V992),ISNUMBER($AP992),IFERROR(N(INDEX(Accounts!$E$7:$E$16,MATCH($C992,Accounts!$B$7:$B$16,0))),0)&gt;0),IF($V992&gt;Settings!$C$23*($AP992-N($Q992)),"Risk over max %; ",""),"")&amp;IF(AND(ISNUMBER(Settings!$C$24),ISNUMBER($N992)),IF($N992&gt;Settings!$C$24,"Leverage over max; ",""),"")&amp;IF(AND(ISNUMBER(Settings!$C$27),ISNUMBER($T992)),IF($T992&lt;Settings!$C$27,"R:R below min; ",""),"")&amp;IF(ISNUMBER(Settings!$C$25),IF(COUNTIFS($A$6:$A992,$A992,$AM$6:$AM992,1)&gt;Settings!$C$25,"Over max trades/day; ",""),"")&amp;IF(ISNUMBER(Settings!$C$26),IF(SUMIFS($Q$5:$Q991,$A$5:$A991,$A992)&lt;=-Settings!$C$26,"Traded after daily max loss; ",""),"")&amp;IF(AND($AG992="",NOT(ISNUMBER($O992))),"Symbol not in Instruments; ","")&amp;IF(AND($AH992="",NOT(ISNUMBER($O992))),"Forex cross: type Gross P&amp;L; ",""))</f>
        <v/>
      </c>
      <c r="BH992" s="56">
        <f>IF(ISNUMBER($Q992),1,0)</f>
        <v>0</v>
      </c>
      <c r="BI992" s="56">
        <f>IF($Y992="",0,1)</f>
        <v>0</v>
      </c>
      <c r="BJ992" s="56">
        <f>IF($AB992="",0,1)</f>
        <v>0</v>
      </c>
      <c r="BK992" s="56">
        <f>IF(AND($BH992=1,$W992&lt;&gt;"OK"),1,0)</f>
        <v>0</v>
      </c>
      <c r="BL992" s="55">
        <f>IF(N($AZ992)=0,0,IFERROR(INDEX($AT$6:$AT$1005,MATCH($AZ992,$AY$6:$AY$1005,0)),0))</f>
        <v>1187.10688</v>
      </c>
      <c r="BM992" s="56">
        <f>IF(ISNUMBER(SEARCH("daily max loss",$BG992)),1,0)</f>
        <v>0</v>
      </c>
    </row>
    <row r="993" ht="18" customHeight="1">
      <c r="A993" s="38" t="n"/>
      <c r="B993" s="39" t="n"/>
      <c r="C993" s="40" t="n"/>
      <c r="D993" s="41" t="n"/>
      <c r="E993" s="41" t="n"/>
      <c r="F993" s="41" t="n"/>
      <c r="G993" s="41" t="n"/>
      <c r="H993" s="42" t="n"/>
      <c r="I993" s="42" t="n"/>
      <c r="J993" s="42" t="n"/>
      <c r="K993" s="42" t="n"/>
      <c r="L993" s="41" t="n"/>
      <c r="M993" s="41" t="n"/>
      <c r="N993" s="41" t="n"/>
      <c r="O993" s="43" t="n"/>
      <c r="P993" s="43" t="n"/>
      <c r="Q993" s="44" t="str">
        <f>IF($AM993=0,"",IF(ISNUMBER($AK993),$AK993-N($AL993),""))</f>
        <v/>
      </c>
      <c r="R993" s="45" t="str">
        <f>IF(OR($Q993="",NOT(ISNUMBER($V993))),"",$AK993/$V993)</f>
        <v/>
      </c>
      <c r="S993" s="46" t="str">
        <f>IF($Q993="","",IF(AND(ISNUMBER($R993),ABS(N($R993))&lt;N(Settings!$C$8)),"Scratch",IF($Q993&gt;0,"Win",IF($Q993&lt;0,"Loss","Scratch"))))</f>
        <v/>
      </c>
      <c r="T993" s="47" t="str">
        <f>IF(OR($AM993=0,NOT(ISNUMBER($H993)),NOT(ISNUMBER($I993)),NOT(ISNUMBER($J993))),"",IF($H993=$I993,"",ROUND(ABS($J993-$H993)/ABS($H993-$I993),6)))</f>
        <v/>
      </c>
      <c r="U993" s="48" t="str">
        <f>IF(OR($S993&lt;&gt;"Win",NOT(ISNUMBER($T993)),NOT(ISNUMBER($R993))),"",MAX(0,$T993-$R993))</f>
        <v/>
      </c>
      <c r="V993" s="49" t="str">
        <f>IF(OR($AM993=0,NOT(ISNUMBER($H993)),NOT(ISNUMBER($I993)),NOT(ISNUMBER($G993))),"",IF(OR($AG993="",$AH993=""),"",IF(ROUND(ABS($H993-$I993)*ABS($G993)*$AG993*$AH993,6)=0,"",ROUND(ABS($H993-$I993)*ABS($G993)*$AG993*$AH993,6))))</f>
        <v/>
      </c>
      <c r="W993" s="50" t="str">
        <f>IF($AM993=0,"",IF($BG993="","OK",LEFT($BG993,LEN($BG993)-2)))</f>
        <v/>
      </c>
      <c r="X993" s="41" t="n"/>
      <c r="Y993" s="40" t="n"/>
      <c r="Z993" s="41" t="n"/>
      <c r="AA993" s="41" t="n"/>
      <c r="AB993" s="40" t="n"/>
      <c r="AC993" s="51" t="n"/>
      <c r="AD993" s="51" t="n"/>
      <c r="AE993" s="40" t="n"/>
      <c r="AF993" s="52" t="str">
        <f>IF($AM993=0,"",IF($D993&lt;&gt;"",$D993,IF(IFERROR(INDEX(Accounts!$C$7:$C$16,MATCH($C993,Accounts!$B$7:$B$16,0))&amp;"","")&lt;&gt;"",INDEX(Accounts!$C$7:$C$16,MATCH($C993,Accounts!$B$7:$B$16,0)),Settings!$C$6)))</f>
        <v/>
      </c>
      <c r="AG993" s="53" t="str">
        <f>IF($AM993=0,"",IF(AND($BE993&gt;0,N(INDEX(Instruments!$D$6:$D$205,MAX(1,$BE993)))&gt;0),INDEX(Instruments!$D$6:$D$205,MAX(1,$BE993)),IF(N(INDEX(Settings!$D$14:$D$18,$BF993))&gt;0,INDEX(Settings!$D$14:$D$18,$BF993),"")))</f>
        <v/>
      </c>
      <c r="AH993" s="54" t="str">
        <f>IF($AM993=0,"",IF($AF993&lt;&gt;"Forex",1,IF(MID(UPPER(SUBSTITUTE(TRIM($E993),"/","")),4,3)=UPPER(TRIM(Settings!$C$7)),1,IF(LEFT(UPPER(SUBSTITUTE(TRIM($E993),"/","")),3)=UPPER(TRIM(Settings!$C$7)),IF(AND(ISNUMBER($K993),N($K993)&lt;&gt;0),1/$K993,""),""))))</f>
        <v/>
      </c>
      <c r="AI993" s="55" t="str">
        <f>IF($AM993=0,"",IF(OR(NOT(ISNUMBER($H993)),NOT(ISNUMBER($K993)),NOT(ISNUMBER($G993)),$AG993="",$AH993=""),"",ROUND(($K993-$H993)*IF($F993="Short",-1,1)*$G993*$AG993*$AH993,6)))</f>
        <v/>
      </c>
      <c r="AJ993" s="55" t="str">
        <f>IF($AM993=0,"",IF(INDEX(Settings!$E$14:$E$18,$BF993)="% of notional",IF(OR($AG993="",NOT(ISNUMBER($H993)),NOT(ISNUMBER($G993))),"",ROUND(ABS($H993*$G993*$AG993*N($AH993))*IF($L993="Limit",N(INDEX(Settings!$G$14:$G$18,$BF993)),N(INDEX(Settings!$H$14:$H$18,$BF993)))+IF(ISNUMBER($K993),ABS($K993*$G993*$AG993*N($AH993))*IF($M993="Target",N(INDEX(Settings!$G$14:$G$18,$BF993)),N(INDEX(Settings!$H$14:$H$18,$BF993))),0),6)),IF(NOT(ISNUMBER($G993)),"",ROUND(ABS($G993)*2*IF(AND($BE993&gt;0,ISNUMBER(INDEX(Instruments!$G$6:$G$205,MAX(1,$BE993)))),INDEX(Instruments!$G$6:$G$205,MAX(1,$BE993)),N(INDEX(Settings!$F$14:$F$18,$BF993))),6))))</f>
        <v/>
      </c>
      <c r="AK993" s="55" t="str">
        <f>IF($AM993=0,"",IF(ISNUMBER($O993),$O993,$AI993))</f>
        <v/>
      </c>
      <c r="AL993" s="55" t="str">
        <f>IF($AM993=0,"",IF(ISNUMBER($P993),$P993,N($AJ993)))</f>
        <v/>
      </c>
      <c r="AM993" s="56">
        <f>IF(AND($A993&lt;&gt;"",$E993&lt;&gt;"",OR(AND(ISNUMBER($G993),ISNUMBER($H993),ISNUMBER($K993)),ISNUMBER($O993))),1,0)</f>
        <v>0</v>
      </c>
      <c r="AN993" s="57" t="str">
        <f>IF($A993="","",$A993-WEEKDAY($A993,3))</f>
        <v/>
      </c>
      <c r="AO993" s="56" t="str">
        <f>IF($A993="","",WEEKDAY($A993,2))</f>
        <v/>
      </c>
      <c r="AP993" s="55" t="str">
        <f>IF(OR($AM993=0,$C993=""),"",IFERROR(N(INDEX(Accounts!$E$7:$E$16,MATCH($C993,Accounts!$B$7:$B$16,0))),0)+SUMIFS($Q$6:$Q993,$C$6:$C993,$C993))</f>
        <v/>
      </c>
      <c r="AQ993" s="55" t="str">
        <f>IF(OR($AM993=0,$C993=""),"",SUMIFS($Q$6:$Q$1005,$C$6:$C$1005,$C993,$A$6:$A$1005,$A993))</f>
        <v/>
      </c>
      <c r="AR993" s="55" t="str">
        <f>IF(OR($AM993=0,$C993=""),"",IFERROR(N(INDEX(Accounts!$E$7:$E$16,MATCH($C993,Accounts!$B$7:$B$16,0))),0)+SUMIFS($Q$6:$Q$1005,$C$6:$C$1005,$C993,$A$6:$A$1005,"&lt;="&amp;$A993))</f>
        <v/>
      </c>
      <c r="AS993" s="56">
        <f>IF(OR($AM993=0,$Q993=""),0,IF(AND($A993&gt;=Lists!$W$6,$A993&lt;=Lists!$W$7,OR(Dashboard!$D$6="All accounts",$C993=Dashboard!$D$6),OR(Dashboard!$D$7="All markets",$AF993=Dashboard!$D$7)),1,0))</f>
        <v>0</v>
      </c>
      <c r="AT993" s="55">
        <f>IF($AS993=1,N(AT992)+$Q993,N(AT992))</f>
        <v>1187.10688</v>
      </c>
      <c r="AU993" s="55">
        <f>MAX(N(AU992),$AT993)</f>
        <v>1187.10688</v>
      </c>
      <c r="AV993" s="55">
        <f>$AT993-$AU993</f>
        <v>0</v>
      </c>
      <c r="AW993" s="56">
        <f>IF($AS993=1,IF($S993="Win",N(AW992)+1,IF($S993="Loss",0,N(AW992))),N(AW992))</f>
        <v>5</v>
      </c>
      <c r="AX993" s="56">
        <f>IF($AS993=1,IF($S993="Loss",N(AX992)+1,IF($S993="Win",0,N(AX992))),N(AX992))</f>
        <v>0</v>
      </c>
      <c r="AY993" s="56" t="str">
        <f>IF($AS993=1,COUNTIF($AS$6:$AS993,1),"")</f>
        <v/>
      </c>
      <c r="AZ993" s="56">
        <f>MIN(987,N(Lists!$W$8))</f>
        <v>28</v>
      </c>
      <c r="BA993" s="56">
        <f>IF($AS993=1,IF(COUNTIFS($A$6:$A993,$A993,$AS$6:$AS993,1)=1,1,0),0)</f>
        <v>0</v>
      </c>
      <c r="BB993" s="55" t="str">
        <f>IF($BA993=1,SUMIFS($Q$6:$Q$1005,$A$6:$A$1005,$A993,$AS$6:$AS$1005,1),"")</f>
        <v/>
      </c>
      <c r="BC993" s="56">
        <f>IF(ISNUMBER($R993),1,0)</f>
        <v>0</v>
      </c>
      <c r="BD993" s="55" t="str">
        <f>IF(ISNUMBER($U993),$U993*$V993,"")</f>
        <v/>
      </c>
      <c r="BE993" s="56" t="str">
        <f>IF($AM993=0,"",IFERROR(MATCH($AF993&amp;"|"&amp;UPPER(TRIM($E993)),Lists!$A$6:$A$205,0),0))</f>
        <v/>
      </c>
      <c r="BF993" s="56" t="str">
        <f>IF($AM993=0,"",IFERROR(MATCH($AF993,Settings!$B$14:$B$18,0),IFERROR(MATCH(Settings!$C$6,Settings!$B$14:$B$18,0),1)))</f>
        <v/>
      </c>
      <c r="BG993" s="58" t="str">
        <f>IF($AM993=0,"",IF(NOT(ISNUMBER($I993)),"No stop; ","")&amp;IF(AND(ISNUMBER($H993),ISNUMBER($I993)),IF(OR(AND($F993&lt;&gt;"Short",$I993&gt;=$H993),AND($F993="Short",$I993&lt;=$H993)),"Stop on wrong side; ",""),"")&amp;IF($F993="","No direction; ","")&amp;IF(AND(ISNUMBER(Settings!$C$22),ISNUMBER($V993)),IF($V993&gt;Settings!$C$22,"Risk over max $; ",""),"")&amp;IF(AND(ISNUMBER(Settings!$C$23),ISNUMBER($V993),ISNUMBER($AP993),IFERROR(N(INDEX(Accounts!$E$7:$E$16,MATCH($C993,Accounts!$B$7:$B$16,0))),0)&gt;0),IF($V993&gt;Settings!$C$23*($AP993-N($Q993)),"Risk over max %; ",""),"")&amp;IF(AND(ISNUMBER(Settings!$C$24),ISNUMBER($N993)),IF($N993&gt;Settings!$C$24,"Leverage over max; ",""),"")&amp;IF(AND(ISNUMBER(Settings!$C$27),ISNUMBER($T993)),IF($T993&lt;Settings!$C$27,"R:R below min; ",""),"")&amp;IF(ISNUMBER(Settings!$C$25),IF(COUNTIFS($A$6:$A993,$A993,$AM$6:$AM993,1)&gt;Settings!$C$25,"Over max trades/day; ",""),"")&amp;IF(ISNUMBER(Settings!$C$26),IF(SUMIFS($Q$5:$Q992,$A$5:$A992,$A993)&lt;=-Settings!$C$26,"Traded after daily max loss; ",""),"")&amp;IF(AND($AG993="",NOT(ISNUMBER($O993))),"Symbol not in Instruments; ","")&amp;IF(AND($AH993="",NOT(ISNUMBER($O993))),"Forex cross: type Gross P&amp;L; ",""))</f>
        <v/>
      </c>
      <c r="BH993" s="56">
        <f>IF(ISNUMBER($Q993),1,0)</f>
        <v>0</v>
      </c>
      <c r="BI993" s="56">
        <f>IF($Y993="",0,1)</f>
        <v>0</v>
      </c>
      <c r="BJ993" s="56">
        <f>IF($AB993="",0,1)</f>
        <v>0</v>
      </c>
      <c r="BK993" s="56">
        <f>IF(AND($BH993=1,$W993&lt;&gt;"OK"),1,0)</f>
        <v>0</v>
      </c>
      <c r="BL993" s="55">
        <f>IF(N($AZ993)=0,0,IFERROR(INDEX($AT$6:$AT$1005,MATCH($AZ993,$AY$6:$AY$1005,0)),0))</f>
        <v>1187.10688</v>
      </c>
      <c r="BM993" s="56">
        <f>IF(ISNUMBER(SEARCH("daily max loss",$BG993)),1,0)</f>
        <v>0</v>
      </c>
    </row>
    <row r="994" ht="18" customHeight="1">
      <c r="A994" s="38" t="n"/>
      <c r="B994" s="39" t="n"/>
      <c r="C994" s="40" t="n"/>
      <c r="D994" s="41" t="n"/>
      <c r="E994" s="41" t="n"/>
      <c r="F994" s="41" t="n"/>
      <c r="G994" s="41" t="n"/>
      <c r="H994" s="42" t="n"/>
      <c r="I994" s="42" t="n"/>
      <c r="J994" s="42" t="n"/>
      <c r="K994" s="42" t="n"/>
      <c r="L994" s="41" t="n"/>
      <c r="M994" s="41" t="n"/>
      <c r="N994" s="41" t="n"/>
      <c r="O994" s="43" t="n"/>
      <c r="P994" s="43" t="n"/>
      <c r="Q994" s="44" t="str">
        <f>IF($AM994=0,"",IF(ISNUMBER($AK994),$AK994-N($AL994),""))</f>
        <v/>
      </c>
      <c r="R994" s="45" t="str">
        <f>IF(OR($Q994="",NOT(ISNUMBER($V994))),"",$AK994/$V994)</f>
        <v/>
      </c>
      <c r="S994" s="46" t="str">
        <f>IF($Q994="","",IF(AND(ISNUMBER($R994),ABS(N($R994))&lt;N(Settings!$C$8)),"Scratch",IF($Q994&gt;0,"Win",IF($Q994&lt;0,"Loss","Scratch"))))</f>
        <v/>
      </c>
      <c r="T994" s="47" t="str">
        <f>IF(OR($AM994=0,NOT(ISNUMBER($H994)),NOT(ISNUMBER($I994)),NOT(ISNUMBER($J994))),"",IF($H994=$I994,"",ROUND(ABS($J994-$H994)/ABS($H994-$I994),6)))</f>
        <v/>
      </c>
      <c r="U994" s="48" t="str">
        <f>IF(OR($S994&lt;&gt;"Win",NOT(ISNUMBER($T994)),NOT(ISNUMBER($R994))),"",MAX(0,$T994-$R994))</f>
        <v/>
      </c>
      <c r="V994" s="49" t="str">
        <f>IF(OR($AM994=0,NOT(ISNUMBER($H994)),NOT(ISNUMBER($I994)),NOT(ISNUMBER($G994))),"",IF(OR($AG994="",$AH994=""),"",IF(ROUND(ABS($H994-$I994)*ABS($G994)*$AG994*$AH994,6)=0,"",ROUND(ABS($H994-$I994)*ABS($G994)*$AG994*$AH994,6))))</f>
        <v/>
      </c>
      <c r="W994" s="50" t="str">
        <f>IF($AM994=0,"",IF($BG994="","OK",LEFT($BG994,LEN($BG994)-2)))</f>
        <v/>
      </c>
      <c r="X994" s="41" t="n"/>
      <c r="Y994" s="40" t="n"/>
      <c r="Z994" s="41" t="n"/>
      <c r="AA994" s="41" t="n"/>
      <c r="AB994" s="40" t="n"/>
      <c r="AC994" s="51" t="n"/>
      <c r="AD994" s="51" t="n"/>
      <c r="AE994" s="40" t="n"/>
      <c r="AF994" s="52" t="str">
        <f>IF($AM994=0,"",IF($D994&lt;&gt;"",$D994,IF(IFERROR(INDEX(Accounts!$C$7:$C$16,MATCH($C994,Accounts!$B$7:$B$16,0))&amp;"","")&lt;&gt;"",INDEX(Accounts!$C$7:$C$16,MATCH($C994,Accounts!$B$7:$B$16,0)),Settings!$C$6)))</f>
        <v/>
      </c>
      <c r="AG994" s="53" t="str">
        <f>IF($AM994=0,"",IF(AND($BE994&gt;0,N(INDEX(Instruments!$D$6:$D$205,MAX(1,$BE994)))&gt;0),INDEX(Instruments!$D$6:$D$205,MAX(1,$BE994)),IF(N(INDEX(Settings!$D$14:$D$18,$BF994))&gt;0,INDEX(Settings!$D$14:$D$18,$BF994),"")))</f>
        <v/>
      </c>
      <c r="AH994" s="54" t="str">
        <f>IF($AM994=0,"",IF($AF994&lt;&gt;"Forex",1,IF(MID(UPPER(SUBSTITUTE(TRIM($E994),"/","")),4,3)=UPPER(TRIM(Settings!$C$7)),1,IF(LEFT(UPPER(SUBSTITUTE(TRIM($E994),"/","")),3)=UPPER(TRIM(Settings!$C$7)),IF(AND(ISNUMBER($K994),N($K994)&lt;&gt;0),1/$K994,""),""))))</f>
        <v/>
      </c>
      <c r="AI994" s="55" t="str">
        <f>IF($AM994=0,"",IF(OR(NOT(ISNUMBER($H994)),NOT(ISNUMBER($K994)),NOT(ISNUMBER($G994)),$AG994="",$AH994=""),"",ROUND(($K994-$H994)*IF($F994="Short",-1,1)*$G994*$AG994*$AH994,6)))</f>
        <v/>
      </c>
      <c r="AJ994" s="55" t="str">
        <f>IF($AM994=0,"",IF(INDEX(Settings!$E$14:$E$18,$BF994)="% of notional",IF(OR($AG994="",NOT(ISNUMBER($H994)),NOT(ISNUMBER($G994))),"",ROUND(ABS($H994*$G994*$AG994*N($AH994))*IF($L994="Limit",N(INDEX(Settings!$G$14:$G$18,$BF994)),N(INDEX(Settings!$H$14:$H$18,$BF994)))+IF(ISNUMBER($K994),ABS($K994*$G994*$AG994*N($AH994))*IF($M994="Target",N(INDEX(Settings!$G$14:$G$18,$BF994)),N(INDEX(Settings!$H$14:$H$18,$BF994))),0),6)),IF(NOT(ISNUMBER($G994)),"",ROUND(ABS($G994)*2*IF(AND($BE994&gt;0,ISNUMBER(INDEX(Instruments!$G$6:$G$205,MAX(1,$BE994)))),INDEX(Instruments!$G$6:$G$205,MAX(1,$BE994)),N(INDEX(Settings!$F$14:$F$18,$BF994))),6))))</f>
        <v/>
      </c>
      <c r="AK994" s="55" t="str">
        <f>IF($AM994=0,"",IF(ISNUMBER($O994),$O994,$AI994))</f>
        <v/>
      </c>
      <c r="AL994" s="55" t="str">
        <f>IF($AM994=0,"",IF(ISNUMBER($P994),$P994,N($AJ994)))</f>
        <v/>
      </c>
      <c r="AM994" s="56">
        <f>IF(AND($A994&lt;&gt;"",$E994&lt;&gt;"",OR(AND(ISNUMBER($G994),ISNUMBER($H994),ISNUMBER($K994)),ISNUMBER($O994))),1,0)</f>
        <v>0</v>
      </c>
      <c r="AN994" s="57" t="str">
        <f>IF($A994="","",$A994-WEEKDAY($A994,3))</f>
        <v/>
      </c>
      <c r="AO994" s="56" t="str">
        <f>IF($A994="","",WEEKDAY($A994,2))</f>
        <v/>
      </c>
      <c r="AP994" s="55" t="str">
        <f>IF(OR($AM994=0,$C994=""),"",IFERROR(N(INDEX(Accounts!$E$7:$E$16,MATCH($C994,Accounts!$B$7:$B$16,0))),0)+SUMIFS($Q$6:$Q994,$C$6:$C994,$C994))</f>
        <v/>
      </c>
      <c r="AQ994" s="55" t="str">
        <f>IF(OR($AM994=0,$C994=""),"",SUMIFS($Q$6:$Q$1005,$C$6:$C$1005,$C994,$A$6:$A$1005,$A994))</f>
        <v/>
      </c>
      <c r="AR994" s="55" t="str">
        <f>IF(OR($AM994=0,$C994=""),"",IFERROR(N(INDEX(Accounts!$E$7:$E$16,MATCH($C994,Accounts!$B$7:$B$16,0))),0)+SUMIFS($Q$6:$Q$1005,$C$6:$C$1005,$C994,$A$6:$A$1005,"&lt;="&amp;$A994))</f>
        <v/>
      </c>
      <c r="AS994" s="56">
        <f>IF(OR($AM994=0,$Q994=""),0,IF(AND($A994&gt;=Lists!$W$6,$A994&lt;=Lists!$W$7,OR(Dashboard!$D$6="All accounts",$C994=Dashboard!$D$6),OR(Dashboard!$D$7="All markets",$AF994=Dashboard!$D$7)),1,0))</f>
        <v>0</v>
      </c>
      <c r="AT994" s="55">
        <f>IF($AS994=1,N(AT993)+$Q994,N(AT993))</f>
        <v>1187.10688</v>
      </c>
      <c r="AU994" s="55">
        <f>MAX(N(AU993),$AT994)</f>
        <v>1187.10688</v>
      </c>
      <c r="AV994" s="55">
        <f>$AT994-$AU994</f>
        <v>0</v>
      </c>
      <c r="AW994" s="56">
        <f>IF($AS994=1,IF($S994="Win",N(AW993)+1,IF($S994="Loss",0,N(AW993))),N(AW993))</f>
        <v>5</v>
      </c>
      <c r="AX994" s="56">
        <f>IF($AS994=1,IF($S994="Loss",N(AX993)+1,IF($S994="Win",0,N(AX993))),N(AX993))</f>
        <v>0</v>
      </c>
      <c r="AY994" s="56" t="str">
        <f>IF($AS994=1,COUNTIF($AS$6:$AS994,1),"")</f>
        <v/>
      </c>
      <c r="AZ994" s="56">
        <f>MIN(988,N(Lists!$W$8))</f>
        <v>28</v>
      </c>
      <c r="BA994" s="56">
        <f>IF($AS994=1,IF(COUNTIFS($A$6:$A994,$A994,$AS$6:$AS994,1)=1,1,0),0)</f>
        <v>0</v>
      </c>
      <c r="BB994" s="55" t="str">
        <f>IF($BA994=1,SUMIFS($Q$6:$Q$1005,$A$6:$A$1005,$A994,$AS$6:$AS$1005,1),"")</f>
        <v/>
      </c>
      <c r="BC994" s="56">
        <f>IF(ISNUMBER($R994),1,0)</f>
        <v>0</v>
      </c>
      <c r="BD994" s="55" t="str">
        <f>IF(ISNUMBER($U994),$U994*$V994,"")</f>
        <v/>
      </c>
      <c r="BE994" s="56" t="str">
        <f>IF($AM994=0,"",IFERROR(MATCH($AF994&amp;"|"&amp;UPPER(TRIM($E994)),Lists!$A$6:$A$205,0),0))</f>
        <v/>
      </c>
      <c r="BF994" s="56" t="str">
        <f>IF($AM994=0,"",IFERROR(MATCH($AF994,Settings!$B$14:$B$18,0),IFERROR(MATCH(Settings!$C$6,Settings!$B$14:$B$18,0),1)))</f>
        <v/>
      </c>
      <c r="BG994" s="58" t="str">
        <f>IF($AM994=0,"",IF(NOT(ISNUMBER($I994)),"No stop; ","")&amp;IF(AND(ISNUMBER($H994),ISNUMBER($I994)),IF(OR(AND($F994&lt;&gt;"Short",$I994&gt;=$H994),AND($F994="Short",$I994&lt;=$H994)),"Stop on wrong side; ",""),"")&amp;IF($F994="","No direction; ","")&amp;IF(AND(ISNUMBER(Settings!$C$22),ISNUMBER($V994)),IF($V994&gt;Settings!$C$22,"Risk over max $; ",""),"")&amp;IF(AND(ISNUMBER(Settings!$C$23),ISNUMBER($V994),ISNUMBER($AP994),IFERROR(N(INDEX(Accounts!$E$7:$E$16,MATCH($C994,Accounts!$B$7:$B$16,0))),0)&gt;0),IF($V994&gt;Settings!$C$23*($AP994-N($Q994)),"Risk over max %; ",""),"")&amp;IF(AND(ISNUMBER(Settings!$C$24),ISNUMBER($N994)),IF($N994&gt;Settings!$C$24,"Leverage over max; ",""),"")&amp;IF(AND(ISNUMBER(Settings!$C$27),ISNUMBER($T994)),IF($T994&lt;Settings!$C$27,"R:R below min; ",""),"")&amp;IF(ISNUMBER(Settings!$C$25),IF(COUNTIFS($A$6:$A994,$A994,$AM$6:$AM994,1)&gt;Settings!$C$25,"Over max trades/day; ",""),"")&amp;IF(ISNUMBER(Settings!$C$26),IF(SUMIFS($Q$5:$Q993,$A$5:$A993,$A994)&lt;=-Settings!$C$26,"Traded after daily max loss; ",""),"")&amp;IF(AND($AG994="",NOT(ISNUMBER($O994))),"Symbol not in Instruments; ","")&amp;IF(AND($AH994="",NOT(ISNUMBER($O994))),"Forex cross: type Gross P&amp;L; ",""))</f>
        <v/>
      </c>
      <c r="BH994" s="56">
        <f>IF(ISNUMBER($Q994),1,0)</f>
        <v>0</v>
      </c>
      <c r="BI994" s="56">
        <f>IF($Y994="",0,1)</f>
        <v>0</v>
      </c>
      <c r="BJ994" s="56">
        <f>IF($AB994="",0,1)</f>
        <v>0</v>
      </c>
      <c r="BK994" s="56">
        <f>IF(AND($BH994=1,$W994&lt;&gt;"OK"),1,0)</f>
        <v>0</v>
      </c>
      <c r="BL994" s="55">
        <f>IF(N($AZ994)=0,0,IFERROR(INDEX($AT$6:$AT$1005,MATCH($AZ994,$AY$6:$AY$1005,0)),0))</f>
        <v>1187.10688</v>
      </c>
      <c r="BM994" s="56">
        <f>IF(ISNUMBER(SEARCH("daily max loss",$BG994)),1,0)</f>
        <v>0</v>
      </c>
    </row>
    <row r="995" ht="18" customHeight="1">
      <c r="A995" s="38" t="n"/>
      <c r="B995" s="39" t="n"/>
      <c r="C995" s="40" t="n"/>
      <c r="D995" s="41" t="n"/>
      <c r="E995" s="41" t="n"/>
      <c r="F995" s="41" t="n"/>
      <c r="G995" s="41" t="n"/>
      <c r="H995" s="42" t="n"/>
      <c r="I995" s="42" t="n"/>
      <c r="J995" s="42" t="n"/>
      <c r="K995" s="42" t="n"/>
      <c r="L995" s="41" t="n"/>
      <c r="M995" s="41" t="n"/>
      <c r="N995" s="41" t="n"/>
      <c r="O995" s="43" t="n"/>
      <c r="P995" s="43" t="n"/>
      <c r="Q995" s="44" t="str">
        <f>IF($AM995=0,"",IF(ISNUMBER($AK995),$AK995-N($AL995),""))</f>
        <v/>
      </c>
      <c r="R995" s="45" t="str">
        <f>IF(OR($Q995="",NOT(ISNUMBER($V995))),"",$AK995/$V995)</f>
        <v/>
      </c>
      <c r="S995" s="46" t="str">
        <f>IF($Q995="","",IF(AND(ISNUMBER($R995),ABS(N($R995))&lt;N(Settings!$C$8)),"Scratch",IF($Q995&gt;0,"Win",IF($Q995&lt;0,"Loss","Scratch"))))</f>
        <v/>
      </c>
      <c r="T995" s="47" t="str">
        <f>IF(OR($AM995=0,NOT(ISNUMBER($H995)),NOT(ISNUMBER($I995)),NOT(ISNUMBER($J995))),"",IF($H995=$I995,"",ROUND(ABS($J995-$H995)/ABS($H995-$I995),6)))</f>
        <v/>
      </c>
      <c r="U995" s="48" t="str">
        <f>IF(OR($S995&lt;&gt;"Win",NOT(ISNUMBER($T995)),NOT(ISNUMBER($R995))),"",MAX(0,$T995-$R995))</f>
        <v/>
      </c>
      <c r="V995" s="49" t="str">
        <f>IF(OR($AM995=0,NOT(ISNUMBER($H995)),NOT(ISNUMBER($I995)),NOT(ISNUMBER($G995))),"",IF(OR($AG995="",$AH995=""),"",IF(ROUND(ABS($H995-$I995)*ABS($G995)*$AG995*$AH995,6)=0,"",ROUND(ABS($H995-$I995)*ABS($G995)*$AG995*$AH995,6))))</f>
        <v/>
      </c>
      <c r="W995" s="50" t="str">
        <f>IF($AM995=0,"",IF($BG995="","OK",LEFT($BG995,LEN($BG995)-2)))</f>
        <v/>
      </c>
      <c r="X995" s="41" t="n"/>
      <c r="Y995" s="40" t="n"/>
      <c r="Z995" s="41" t="n"/>
      <c r="AA995" s="41" t="n"/>
      <c r="AB995" s="40" t="n"/>
      <c r="AC995" s="51" t="n"/>
      <c r="AD995" s="51" t="n"/>
      <c r="AE995" s="40" t="n"/>
      <c r="AF995" s="52" t="str">
        <f>IF($AM995=0,"",IF($D995&lt;&gt;"",$D995,IF(IFERROR(INDEX(Accounts!$C$7:$C$16,MATCH($C995,Accounts!$B$7:$B$16,0))&amp;"","")&lt;&gt;"",INDEX(Accounts!$C$7:$C$16,MATCH($C995,Accounts!$B$7:$B$16,0)),Settings!$C$6)))</f>
        <v/>
      </c>
      <c r="AG995" s="53" t="str">
        <f>IF($AM995=0,"",IF(AND($BE995&gt;0,N(INDEX(Instruments!$D$6:$D$205,MAX(1,$BE995)))&gt;0),INDEX(Instruments!$D$6:$D$205,MAX(1,$BE995)),IF(N(INDEX(Settings!$D$14:$D$18,$BF995))&gt;0,INDEX(Settings!$D$14:$D$18,$BF995),"")))</f>
        <v/>
      </c>
      <c r="AH995" s="54" t="str">
        <f>IF($AM995=0,"",IF($AF995&lt;&gt;"Forex",1,IF(MID(UPPER(SUBSTITUTE(TRIM($E995),"/","")),4,3)=UPPER(TRIM(Settings!$C$7)),1,IF(LEFT(UPPER(SUBSTITUTE(TRIM($E995),"/","")),3)=UPPER(TRIM(Settings!$C$7)),IF(AND(ISNUMBER($K995),N($K995)&lt;&gt;0),1/$K995,""),""))))</f>
        <v/>
      </c>
      <c r="AI995" s="55" t="str">
        <f>IF($AM995=0,"",IF(OR(NOT(ISNUMBER($H995)),NOT(ISNUMBER($K995)),NOT(ISNUMBER($G995)),$AG995="",$AH995=""),"",ROUND(($K995-$H995)*IF($F995="Short",-1,1)*$G995*$AG995*$AH995,6)))</f>
        <v/>
      </c>
      <c r="AJ995" s="55" t="str">
        <f>IF($AM995=0,"",IF(INDEX(Settings!$E$14:$E$18,$BF995)="% of notional",IF(OR($AG995="",NOT(ISNUMBER($H995)),NOT(ISNUMBER($G995))),"",ROUND(ABS($H995*$G995*$AG995*N($AH995))*IF($L995="Limit",N(INDEX(Settings!$G$14:$G$18,$BF995)),N(INDEX(Settings!$H$14:$H$18,$BF995)))+IF(ISNUMBER($K995),ABS($K995*$G995*$AG995*N($AH995))*IF($M995="Target",N(INDEX(Settings!$G$14:$G$18,$BF995)),N(INDEX(Settings!$H$14:$H$18,$BF995))),0),6)),IF(NOT(ISNUMBER($G995)),"",ROUND(ABS($G995)*2*IF(AND($BE995&gt;0,ISNUMBER(INDEX(Instruments!$G$6:$G$205,MAX(1,$BE995)))),INDEX(Instruments!$G$6:$G$205,MAX(1,$BE995)),N(INDEX(Settings!$F$14:$F$18,$BF995))),6))))</f>
        <v/>
      </c>
      <c r="AK995" s="55" t="str">
        <f>IF($AM995=0,"",IF(ISNUMBER($O995),$O995,$AI995))</f>
        <v/>
      </c>
      <c r="AL995" s="55" t="str">
        <f>IF($AM995=0,"",IF(ISNUMBER($P995),$P995,N($AJ995)))</f>
        <v/>
      </c>
      <c r="AM995" s="56">
        <f>IF(AND($A995&lt;&gt;"",$E995&lt;&gt;"",OR(AND(ISNUMBER($G995),ISNUMBER($H995),ISNUMBER($K995)),ISNUMBER($O995))),1,0)</f>
        <v>0</v>
      </c>
      <c r="AN995" s="57" t="str">
        <f>IF($A995="","",$A995-WEEKDAY($A995,3))</f>
        <v/>
      </c>
      <c r="AO995" s="56" t="str">
        <f>IF($A995="","",WEEKDAY($A995,2))</f>
        <v/>
      </c>
      <c r="AP995" s="55" t="str">
        <f>IF(OR($AM995=0,$C995=""),"",IFERROR(N(INDEX(Accounts!$E$7:$E$16,MATCH($C995,Accounts!$B$7:$B$16,0))),0)+SUMIFS($Q$6:$Q995,$C$6:$C995,$C995))</f>
        <v/>
      </c>
      <c r="AQ995" s="55" t="str">
        <f>IF(OR($AM995=0,$C995=""),"",SUMIFS($Q$6:$Q$1005,$C$6:$C$1005,$C995,$A$6:$A$1005,$A995))</f>
        <v/>
      </c>
      <c r="AR995" s="55" t="str">
        <f>IF(OR($AM995=0,$C995=""),"",IFERROR(N(INDEX(Accounts!$E$7:$E$16,MATCH($C995,Accounts!$B$7:$B$16,0))),0)+SUMIFS($Q$6:$Q$1005,$C$6:$C$1005,$C995,$A$6:$A$1005,"&lt;="&amp;$A995))</f>
        <v/>
      </c>
      <c r="AS995" s="56">
        <f>IF(OR($AM995=0,$Q995=""),0,IF(AND($A995&gt;=Lists!$W$6,$A995&lt;=Lists!$W$7,OR(Dashboard!$D$6="All accounts",$C995=Dashboard!$D$6),OR(Dashboard!$D$7="All markets",$AF995=Dashboard!$D$7)),1,0))</f>
        <v>0</v>
      </c>
      <c r="AT995" s="55">
        <f>IF($AS995=1,N(AT994)+$Q995,N(AT994))</f>
        <v>1187.10688</v>
      </c>
      <c r="AU995" s="55">
        <f>MAX(N(AU994),$AT995)</f>
        <v>1187.10688</v>
      </c>
      <c r="AV995" s="55">
        <f>$AT995-$AU995</f>
        <v>0</v>
      </c>
      <c r="AW995" s="56">
        <f>IF($AS995=1,IF($S995="Win",N(AW994)+1,IF($S995="Loss",0,N(AW994))),N(AW994))</f>
        <v>5</v>
      </c>
      <c r="AX995" s="56">
        <f>IF($AS995=1,IF($S995="Loss",N(AX994)+1,IF($S995="Win",0,N(AX994))),N(AX994))</f>
        <v>0</v>
      </c>
      <c r="AY995" s="56" t="str">
        <f>IF($AS995=1,COUNTIF($AS$6:$AS995,1),"")</f>
        <v/>
      </c>
      <c r="AZ995" s="56">
        <f>MIN(989,N(Lists!$W$8))</f>
        <v>28</v>
      </c>
      <c r="BA995" s="56">
        <f>IF($AS995=1,IF(COUNTIFS($A$6:$A995,$A995,$AS$6:$AS995,1)=1,1,0),0)</f>
        <v>0</v>
      </c>
      <c r="BB995" s="55" t="str">
        <f>IF($BA995=1,SUMIFS($Q$6:$Q$1005,$A$6:$A$1005,$A995,$AS$6:$AS$1005,1),"")</f>
        <v/>
      </c>
      <c r="BC995" s="56">
        <f>IF(ISNUMBER($R995),1,0)</f>
        <v>0</v>
      </c>
      <c r="BD995" s="55" t="str">
        <f>IF(ISNUMBER($U995),$U995*$V995,"")</f>
        <v/>
      </c>
      <c r="BE995" s="56" t="str">
        <f>IF($AM995=0,"",IFERROR(MATCH($AF995&amp;"|"&amp;UPPER(TRIM($E995)),Lists!$A$6:$A$205,0),0))</f>
        <v/>
      </c>
      <c r="BF995" s="56" t="str">
        <f>IF($AM995=0,"",IFERROR(MATCH($AF995,Settings!$B$14:$B$18,0),IFERROR(MATCH(Settings!$C$6,Settings!$B$14:$B$18,0),1)))</f>
        <v/>
      </c>
      <c r="BG995" s="58" t="str">
        <f>IF($AM995=0,"",IF(NOT(ISNUMBER($I995)),"No stop; ","")&amp;IF(AND(ISNUMBER($H995),ISNUMBER($I995)),IF(OR(AND($F995&lt;&gt;"Short",$I995&gt;=$H995),AND($F995="Short",$I995&lt;=$H995)),"Stop on wrong side; ",""),"")&amp;IF($F995="","No direction; ","")&amp;IF(AND(ISNUMBER(Settings!$C$22),ISNUMBER($V995)),IF($V995&gt;Settings!$C$22,"Risk over max $; ",""),"")&amp;IF(AND(ISNUMBER(Settings!$C$23),ISNUMBER($V995),ISNUMBER($AP995),IFERROR(N(INDEX(Accounts!$E$7:$E$16,MATCH($C995,Accounts!$B$7:$B$16,0))),0)&gt;0),IF($V995&gt;Settings!$C$23*($AP995-N($Q995)),"Risk over max %; ",""),"")&amp;IF(AND(ISNUMBER(Settings!$C$24),ISNUMBER($N995)),IF($N995&gt;Settings!$C$24,"Leverage over max; ",""),"")&amp;IF(AND(ISNUMBER(Settings!$C$27),ISNUMBER($T995)),IF($T995&lt;Settings!$C$27,"R:R below min; ",""),"")&amp;IF(ISNUMBER(Settings!$C$25),IF(COUNTIFS($A$6:$A995,$A995,$AM$6:$AM995,1)&gt;Settings!$C$25,"Over max trades/day; ",""),"")&amp;IF(ISNUMBER(Settings!$C$26),IF(SUMIFS($Q$5:$Q994,$A$5:$A994,$A995)&lt;=-Settings!$C$26,"Traded after daily max loss; ",""),"")&amp;IF(AND($AG995="",NOT(ISNUMBER($O995))),"Symbol not in Instruments; ","")&amp;IF(AND($AH995="",NOT(ISNUMBER($O995))),"Forex cross: type Gross P&amp;L; ",""))</f>
        <v/>
      </c>
      <c r="BH995" s="56">
        <f>IF(ISNUMBER($Q995),1,0)</f>
        <v>0</v>
      </c>
      <c r="BI995" s="56">
        <f>IF($Y995="",0,1)</f>
        <v>0</v>
      </c>
      <c r="BJ995" s="56">
        <f>IF($AB995="",0,1)</f>
        <v>0</v>
      </c>
      <c r="BK995" s="56">
        <f>IF(AND($BH995=1,$W995&lt;&gt;"OK"),1,0)</f>
        <v>0</v>
      </c>
      <c r="BL995" s="55">
        <f>IF(N($AZ995)=0,0,IFERROR(INDEX($AT$6:$AT$1005,MATCH($AZ995,$AY$6:$AY$1005,0)),0))</f>
        <v>1187.10688</v>
      </c>
      <c r="BM995" s="56">
        <f>IF(ISNUMBER(SEARCH("daily max loss",$BG995)),1,0)</f>
        <v>0</v>
      </c>
    </row>
    <row r="996" ht="18" customHeight="1">
      <c r="A996" s="38" t="n"/>
      <c r="B996" s="39" t="n"/>
      <c r="C996" s="40" t="n"/>
      <c r="D996" s="41" t="n"/>
      <c r="E996" s="41" t="n"/>
      <c r="F996" s="41" t="n"/>
      <c r="G996" s="41" t="n"/>
      <c r="H996" s="42" t="n"/>
      <c r="I996" s="42" t="n"/>
      <c r="J996" s="42" t="n"/>
      <c r="K996" s="42" t="n"/>
      <c r="L996" s="41" t="n"/>
      <c r="M996" s="41" t="n"/>
      <c r="N996" s="41" t="n"/>
      <c r="O996" s="43" t="n"/>
      <c r="P996" s="43" t="n"/>
      <c r="Q996" s="44" t="str">
        <f>IF($AM996=0,"",IF(ISNUMBER($AK996),$AK996-N($AL996),""))</f>
        <v/>
      </c>
      <c r="R996" s="45" t="str">
        <f>IF(OR($Q996="",NOT(ISNUMBER($V996))),"",$AK996/$V996)</f>
        <v/>
      </c>
      <c r="S996" s="46" t="str">
        <f>IF($Q996="","",IF(AND(ISNUMBER($R996),ABS(N($R996))&lt;N(Settings!$C$8)),"Scratch",IF($Q996&gt;0,"Win",IF($Q996&lt;0,"Loss","Scratch"))))</f>
        <v/>
      </c>
      <c r="T996" s="47" t="str">
        <f>IF(OR($AM996=0,NOT(ISNUMBER($H996)),NOT(ISNUMBER($I996)),NOT(ISNUMBER($J996))),"",IF($H996=$I996,"",ROUND(ABS($J996-$H996)/ABS($H996-$I996),6)))</f>
        <v/>
      </c>
      <c r="U996" s="48" t="str">
        <f>IF(OR($S996&lt;&gt;"Win",NOT(ISNUMBER($T996)),NOT(ISNUMBER($R996))),"",MAX(0,$T996-$R996))</f>
        <v/>
      </c>
      <c r="V996" s="49" t="str">
        <f>IF(OR($AM996=0,NOT(ISNUMBER($H996)),NOT(ISNUMBER($I996)),NOT(ISNUMBER($G996))),"",IF(OR($AG996="",$AH996=""),"",IF(ROUND(ABS($H996-$I996)*ABS($G996)*$AG996*$AH996,6)=0,"",ROUND(ABS($H996-$I996)*ABS($G996)*$AG996*$AH996,6))))</f>
        <v/>
      </c>
      <c r="W996" s="50" t="str">
        <f>IF($AM996=0,"",IF($BG996="","OK",LEFT($BG996,LEN($BG996)-2)))</f>
        <v/>
      </c>
      <c r="X996" s="41" t="n"/>
      <c r="Y996" s="40" t="n"/>
      <c r="Z996" s="41" t="n"/>
      <c r="AA996" s="41" t="n"/>
      <c r="AB996" s="40" t="n"/>
      <c r="AC996" s="51" t="n"/>
      <c r="AD996" s="51" t="n"/>
      <c r="AE996" s="40" t="n"/>
      <c r="AF996" s="52" t="str">
        <f>IF($AM996=0,"",IF($D996&lt;&gt;"",$D996,IF(IFERROR(INDEX(Accounts!$C$7:$C$16,MATCH($C996,Accounts!$B$7:$B$16,0))&amp;"","")&lt;&gt;"",INDEX(Accounts!$C$7:$C$16,MATCH($C996,Accounts!$B$7:$B$16,0)),Settings!$C$6)))</f>
        <v/>
      </c>
      <c r="AG996" s="53" t="str">
        <f>IF($AM996=0,"",IF(AND($BE996&gt;0,N(INDEX(Instruments!$D$6:$D$205,MAX(1,$BE996)))&gt;0),INDEX(Instruments!$D$6:$D$205,MAX(1,$BE996)),IF(N(INDEX(Settings!$D$14:$D$18,$BF996))&gt;0,INDEX(Settings!$D$14:$D$18,$BF996),"")))</f>
        <v/>
      </c>
      <c r="AH996" s="54" t="str">
        <f>IF($AM996=0,"",IF($AF996&lt;&gt;"Forex",1,IF(MID(UPPER(SUBSTITUTE(TRIM($E996),"/","")),4,3)=UPPER(TRIM(Settings!$C$7)),1,IF(LEFT(UPPER(SUBSTITUTE(TRIM($E996),"/","")),3)=UPPER(TRIM(Settings!$C$7)),IF(AND(ISNUMBER($K996),N($K996)&lt;&gt;0),1/$K996,""),""))))</f>
        <v/>
      </c>
      <c r="AI996" s="55" t="str">
        <f>IF($AM996=0,"",IF(OR(NOT(ISNUMBER($H996)),NOT(ISNUMBER($K996)),NOT(ISNUMBER($G996)),$AG996="",$AH996=""),"",ROUND(($K996-$H996)*IF($F996="Short",-1,1)*$G996*$AG996*$AH996,6)))</f>
        <v/>
      </c>
      <c r="AJ996" s="55" t="str">
        <f>IF($AM996=0,"",IF(INDEX(Settings!$E$14:$E$18,$BF996)="% of notional",IF(OR($AG996="",NOT(ISNUMBER($H996)),NOT(ISNUMBER($G996))),"",ROUND(ABS($H996*$G996*$AG996*N($AH996))*IF($L996="Limit",N(INDEX(Settings!$G$14:$G$18,$BF996)),N(INDEX(Settings!$H$14:$H$18,$BF996)))+IF(ISNUMBER($K996),ABS($K996*$G996*$AG996*N($AH996))*IF($M996="Target",N(INDEX(Settings!$G$14:$G$18,$BF996)),N(INDEX(Settings!$H$14:$H$18,$BF996))),0),6)),IF(NOT(ISNUMBER($G996)),"",ROUND(ABS($G996)*2*IF(AND($BE996&gt;0,ISNUMBER(INDEX(Instruments!$G$6:$G$205,MAX(1,$BE996)))),INDEX(Instruments!$G$6:$G$205,MAX(1,$BE996)),N(INDEX(Settings!$F$14:$F$18,$BF996))),6))))</f>
        <v/>
      </c>
      <c r="AK996" s="55" t="str">
        <f>IF($AM996=0,"",IF(ISNUMBER($O996),$O996,$AI996))</f>
        <v/>
      </c>
      <c r="AL996" s="55" t="str">
        <f>IF($AM996=0,"",IF(ISNUMBER($P996),$P996,N($AJ996)))</f>
        <v/>
      </c>
      <c r="AM996" s="56">
        <f>IF(AND($A996&lt;&gt;"",$E996&lt;&gt;"",OR(AND(ISNUMBER($G996),ISNUMBER($H996),ISNUMBER($K996)),ISNUMBER($O996))),1,0)</f>
        <v>0</v>
      </c>
      <c r="AN996" s="57" t="str">
        <f>IF($A996="","",$A996-WEEKDAY($A996,3))</f>
        <v/>
      </c>
      <c r="AO996" s="56" t="str">
        <f>IF($A996="","",WEEKDAY($A996,2))</f>
        <v/>
      </c>
      <c r="AP996" s="55" t="str">
        <f>IF(OR($AM996=0,$C996=""),"",IFERROR(N(INDEX(Accounts!$E$7:$E$16,MATCH($C996,Accounts!$B$7:$B$16,0))),0)+SUMIFS($Q$6:$Q996,$C$6:$C996,$C996))</f>
        <v/>
      </c>
      <c r="AQ996" s="55" t="str">
        <f>IF(OR($AM996=0,$C996=""),"",SUMIFS($Q$6:$Q$1005,$C$6:$C$1005,$C996,$A$6:$A$1005,$A996))</f>
        <v/>
      </c>
      <c r="AR996" s="55" t="str">
        <f>IF(OR($AM996=0,$C996=""),"",IFERROR(N(INDEX(Accounts!$E$7:$E$16,MATCH($C996,Accounts!$B$7:$B$16,0))),0)+SUMIFS($Q$6:$Q$1005,$C$6:$C$1005,$C996,$A$6:$A$1005,"&lt;="&amp;$A996))</f>
        <v/>
      </c>
      <c r="AS996" s="56">
        <f>IF(OR($AM996=0,$Q996=""),0,IF(AND($A996&gt;=Lists!$W$6,$A996&lt;=Lists!$W$7,OR(Dashboard!$D$6="All accounts",$C996=Dashboard!$D$6),OR(Dashboard!$D$7="All markets",$AF996=Dashboard!$D$7)),1,0))</f>
        <v>0</v>
      </c>
      <c r="AT996" s="55">
        <f>IF($AS996=1,N(AT995)+$Q996,N(AT995))</f>
        <v>1187.10688</v>
      </c>
      <c r="AU996" s="55">
        <f>MAX(N(AU995),$AT996)</f>
        <v>1187.10688</v>
      </c>
      <c r="AV996" s="55">
        <f>$AT996-$AU996</f>
        <v>0</v>
      </c>
      <c r="AW996" s="56">
        <f>IF($AS996=1,IF($S996="Win",N(AW995)+1,IF($S996="Loss",0,N(AW995))),N(AW995))</f>
        <v>5</v>
      </c>
      <c r="AX996" s="56">
        <f>IF($AS996=1,IF($S996="Loss",N(AX995)+1,IF($S996="Win",0,N(AX995))),N(AX995))</f>
        <v>0</v>
      </c>
      <c r="AY996" s="56" t="str">
        <f>IF($AS996=1,COUNTIF($AS$6:$AS996,1),"")</f>
        <v/>
      </c>
      <c r="AZ996" s="56">
        <f>MIN(990,N(Lists!$W$8))</f>
        <v>28</v>
      </c>
      <c r="BA996" s="56">
        <f>IF($AS996=1,IF(COUNTIFS($A$6:$A996,$A996,$AS$6:$AS996,1)=1,1,0),0)</f>
        <v>0</v>
      </c>
      <c r="BB996" s="55" t="str">
        <f>IF($BA996=1,SUMIFS($Q$6:$Q$1005,$A$6:$A$1005,$A996,$AS$6:$AS$1005,1),"")</f>
        <v/>
      </c>
      <c r="BC996" s="56">
        <f>IF(ISNUMBER($R996),1,0)</f>
        <v>0</v>
      </c>
      <c r="BD996" s="55" t="str">
        <f>IF(ISNUMBER($U996),$U996*$V996,"")</f>
        <v/>
      </c>
      <c r="BE996" s="56" t="str">
        <f>IF($AM996=0,"",IFERROR(MATCH($AF996&amp;"|"&amp;UPPER(TRIM($E996)),Lists!$A$6:$A$205,0),0))</f>
        <v/>
      </c>
      <c r="BF996" s="56" t="str">
        <f>IF($AM996=0,"",IFERROR(MATCH($AF996,Settings!$B$14:$B$18,0),IFERROR(MATCH(Settings!$C$6,Settings!$B$14:$B$18,0),1)))</f>
        <v/>
      </c>
      <c r="BG996" s="58" t="str">
        <f>IF($AM996=0,"",IF(NOT(ISNUMBER($I996)),"No stop; ","")&amp;IF(AND(ISNUMBER($H996),ISNUMBER($I996)),IF(OR(AND($F996&lt;&gt;"Short",$I996&gt;=$H996),AND($F996="Short",$I996&lt;=$H996)),"Stop on wrong side; ",""),"")&amp;IF($F996="","No direction; ","")&amp;IF(AND(ISNUMBER(Settings!$C$22),ISNUMBER($V996)),IF($V996&gt;Settings!$C$22,"Risk over max $; ",""),"")&amp;IF(AND(ISNUMBER(Settings!$C$23),ISNUMBER($V996),ISNUMBER($AP996),IFERROR(N(INDEX(Accounts!$E$7:$E$16,MATCH($C996,Accounts!$B$7:$B$16,0))),0)&gt;0),IF($V996&gt;Settings!$C$23*($AP996-N($Q996)),"Risk over max %; ",""),"")&amp;IF(AND(ISNUMBER(Settings!$C$24),ISNUMBER($N996)),IF($N996&gt;Settings!$C$24,"Leverage over max; ",""),"")&amp;IF(AND(ISNUMBER(Settings!$C$27),ISNUMBER($T996)),IF($T996&lt;Settings!$C$27,"R:R below min; ",""),"")&amp;IF(ISNUMBER(Settings!$C$25),IF(COUNTIFS($A$6:$A996,$A996,$AM$6:$AM996,1)&gt;Settings!$C$25,"Over max trades/day; ",""),"")&amp;IF(ISNUMBER(Settings!$C$26),IF(SUMIFS($Q$5:$Q995,$A$5:$A995,$A996)&lt;=-Settings!$C$26,"Traded after daily max loss; ",""),"")&amp;IF(AND($AG996="",NOT(ISNUMBER($O996))),"Symbol not in Instruments; ","")&amp;IF(AND($AH996="",NOT(ISNUMBER($O996))),"Forex cross: type Gross P&amp;L; ",""))</f>
        <v/>
      </c>
      <c r="BH996" s="56">
        <f>IF(ISNUMBER($Q996),1,0)</f>
        <v>0</v>
      </c>
      <c r="BI996" s="56">
        <f>IF($Y996="",0,1)</f>
        <v>0</v>
      </c>
      <c r="BJ996" s="56">
        <f>IF($AB996="",0,1)</f>
        <v>0</v>
      </c>
      <c r="BK996" s="56">
        <f>IF(AND($BH996=1,$W996&lt;&gt;"OK"),1,0)</f>
        <v>0</v>
      </c>
      <c r="BL996" s="55">
        <f>IF(N($AZ996)=0,0,IFERROR(INDEX($AT$6:$AT$1005,MATCH($AZ996,$AY$6:$AY$1005,0)),0))</f>
        <v>1187.10688</v>
      </c>
      <c r="BM996" s="56">
        <f>IF(ISNUMBER(SEARCH("daily max loss",$BG996)),1,0)</f>
        <v>0</v>
      </c>
    </row>
    <row r="997" ht="18" customHeight="1">
      <c r="A997" s="38" t="n"/>
      <c r="B997" s="39" t="n"/>
      <c r="C997" s="40" t="n"/>
      <c r="D997" s="41" t="n"/>
      <c r="E997" s="41" t="n"/>
      <c r="F997" s="41" t="n"/>
      <c r="G997" s="41" t="n"/>
      <c r="H997" s="42" t="n"/>
      <c r="I997" s="42" t="n"/>
      <c r="J997" s="42" t="n"/>
      <c r="K997" s="42" t="n"/>
      <c r="L997" s="41" t="n"/>
      <c r="M997" s="41" t="n"/>
      <c r="N997" s="41" t="n"/>
      <c r="O997" s="43" t="n"/>
      <c r="P997" s="43" t="n"/>
      <c r="Q997" s="44" t="str">
        <f>IF($AM997=0,"",IF(ISNUMBER($AK997),$AK997-N($AL997),""))</f>
        <v/>
      </c>
      <c r="R997" s="45" t="str">
        <f>IF(OR($Q997="",NOT(ISNUMBER($V997))),"",$AK997/$V997)</f>
        <v/>
      </c>
      <c r="S997" s="46" t="str">
        <f>IF($Q997="","",IF(AND(ISNUMBER($R997),ABS(N($R997))&lt;N(Settings!$C$8)),"Scratch",IF($Q997&gt;0,"Win",IF($Q997&lt;0,"Loss","Scratch"))))</f>
        <v/>
      </c>
      <c r="T997" s="47" t="str">
        <f>IF(OR($AM997=0,NOT(ISNUMBER($H997)),NOT(ISNUMBER($I997)),NOT(ISNUMBER($J997))),"",IF($H997=$I997,"",ROUND(ABS($J997-$H997)/ABS($H997-$I997),6)))</f>
        <v/>
      </c>
      <c r="U997" s="48" t="str">
        <f>IF(OR($S997&lt;&gt;"Win",NOT(ISNUMBER($T997)),NOT(ISNUMBER($R997))),"",MAX(0,$T997-$R997))</f>
        <v/>
      </c>
      <c r="V997" s="49" t="str">
        <f>IF(OR($AM997=0,NOT(ISNUMBER($H997)),NOT(ISNUMBER($I997)),NOT(ISNUMBER($G997))),"",IF(OR($AG997="",$AH997=""),"",IF(ROUND(ABS($H997-$I997)*ABS($G997)*$AG997*$AH997,6)=0,"",ROUND(ABS($H997-$I997)*ABS($G997)*$AG997*$AH997,6))))</f>
        <v/>
      </c>
      <c r="W997" s="50" t="str">
        <f>IF($AM997=0,"",IF($BG997="","OK",LEFT($BG997,LEN($BG997)-2)))</f>
        <v/>
      </c>
      <c r="X997" s="41" t="n"/>
      <c r="Y997" s="40" t="n"/>
      <c r="Z997" s="41" t="n"/>
      <c r="AA997" s="41" t="n"/>
      <c r="AB997" s="40" t="n"/>
      <c r="AC997" s="51" t="n"/>
      <c r="AD997" s="51" t="n"/>
      <c r="AE997" s="40" t="n"/>
      <c r="AF997" s="52" t="str">
        <f>IF($AM997=0,"",IF($D997&lt;&gt;"",$D997,IF(IFERROR(INDEX(Accounts!$C$7:$C$16,MATCH($C997,Accounts!$B$7:$B$16,0))&amp;"","")&lt;&gt;"",INDEX(Accounts!$C$7:$C$16,MATCH($C997,Accounts!$B$7:$B$16,0)),Settings!$C$6)))</f>
        <v/>
      </c>
      <c r="AG997" s="53" t="str">
        <f>IF($AM997=0,"",IF(AND($BE997&gt;0,N(INDEX(Instruments!$D$6:$D$205,MAX(1,$BE997)))&gt;0),INDEX(Instruments!$D$6:$D$205,MAX(1,$BE997)),IF(N(INDEX(Settings!$D$14:$D$18,$BF997))&gt;0,INDEX(Settings!$D$14:$D$18,$BF997),"")))</f>
        <v/>
      </c>
      <c r="AH997" s="54" t="str">
        <f>IF($AM997=0,"",IF($AF997&lt;&gt;"Forex",1,IF(MID(UPPER(SUBSTITUTE(TRIM($E997),"/","")),4,3)=UPPER(TRIM(Settings!$C$7)),1,IF(LEFT(UPPER(SUBSTITUTE(TRIM($E997),"/","")),3)=UPPER(TRIM(Settings!$C$7)),IF(AND(ISNUMBER($K997),N($K997)&lt;&gt;0),1/$K997,""),""))))</f>
        <v/>
      </c>
      <c r="AI997" s="55" t="str">
        <f>IF($AM997=0,"",IF(OR(NOT(ISNUMBER($H997)),NOT(ISNUMBER($K997)),NOT(ISNUMBER($G997)),$AG997="",$AH997=""),"",ROUND(($K997-$H997)*IF($F997="Short",-1,1)*$G997*$AG997*$AH997,6)))</f>
        <v/>
      </c>
      <c r="AJ997" s="55" t="str">
        <f>IF($AM997=0,"",IF(INDEX(Settings!$E$14:$E$18,$BF997)="% of notional",IF(OR($AG997="",NOT(ISNUMBER($H997)),NOT(ISNUMBER($G997))),"",ROUND(ABS($H997*$G997*$AG997*N($AH997))*IF($L997="Limit",N(INDEX(Settings!$G$14:$G$18,$BF997)),N(INDEX(Settings!$H$14:$H$18,$BF997)))+IF(ISNUMBER($K997),ABS($K997*$G997*$AG997*N($AH997))*IF($M997="Target",N(INDEX(Settings!$G$14:$G$18,$BF997)),N(INDEX(Settings!$H$14:$H$18,$BF997))),0),6)),IF(NOT(ISNUMBER($G997)),"",ROUND(ABS($G997)*2*IF(AND($BE997&gt;0,ISNUMBER(INDEX(Instruments!$G$6:$G$205,MAX(1,$BE997)))),INDEX(Instruments!$G$6:$G$205,MAX(1,$BE997)),N(INDEX(Settings!$F$14:$F$18,$BF997))),6))))</f>
        <v/>
      </c>
      <c r="AK997" s="55" t="str">
        <f>IF($AM997=0,"",IF(ISNUMBER($O997),$O997,$AI997))</f>
        <v/>
      </c>
      <c r="AL997" s="55" t="str">
        <f>IF($AM997=0,"",IF(ISNUMBER($P997),$P997,N($AJ997)))</f>
        <v/>
      </c>
      <c r="AM997" s="56">
        <f>IF(AND($A997&lt;&gt;"",$E997&lt;&gt;"",OR(AND(ISNUMBER($G997),ISNUMBER($H997),ISNUMBER($K997)),ISNUMBER($O997))),1,0)</f>
        <v>0</v>
      </c>
      <c r="AN997" s="57" t="str">
        <f>IF($A997="","",$A997-WEEKDAY($A997,3))</f>
        <v/>
      </c>
      <c r="AO997" s="56" t="str">
        <f>IF($A997="","",WEEKDAY($A997,2))</f>
        <v/>
      </c>
      <c r="AP997" s="55" t="str">
        <f>IF(OR($AM997=0,$C997=""),"",IFERROR(N(INDEX(Accounts!$E$7:$E$16,MATCH($C997,Accounts!$B$7:$B$16,0))),0)+SUMIFS($Q$6:$Q997,$C$6:$C997,$C997))</f>
        <v/>
      </c>
      <c r="AQ997" s="55" t="str">
        <f>IF(OR($AM997=0,$C997=""),"",SUMIFS($Q$6:$Q$1005,$C$6:$C$1005,$C997,$A$6:$A$1005,$A997))</f>
        <v/>
      </c>
      <c r="AR997" s="55" t="str">
        <f>IF(OR($AM997=0,$C997=""),"",IFERROR(N(INDEX(Accounts!$E$7:$E$16,MATCH($C997,Accounts!$B$7:$B$16,0))),0)+SUMIFS($Q$6:$Q$1005,$C$6:$C$1005,$C997,$A$6:$A$1005,"&lt;="&amp;$A997))</f>
        <v/>
      </c>
      <c r="AS997" s="56">
        <f>IF(OR($AM997=0,$Q997=""),0,IF(AND($A997&gt;=Lists!$W$6,$A997&lt;=Lists!$W$7,OR(Dashboard!$D$6="All accounts",$C997=Dashboard!$D$6),OR(Dashboard!$D$7="All markets",$AF997=Dashboard!$D$7)),1,0))</f>
        <v>0</v>
      </c>
      <c r="AT997" s="55">
        <f>IF($AS997=1,N(AT996)+$Q997,N(AT996))</f>
        <v>1187.10688</v>
      </c>
      <c r="AU997" s="55">
        <f>MAX(N(AU996),$AT997)</f>
        <v>1187.10688</v>
      </c>
      <c r="AV997" s="55">
        <f>$AT997-$AU997</f>
        <v>0</v>
      </c>
      <c r="AW997" s="56">
        <f>IF($AS997=1,IF($S997="Win",N(AW996)+1,IF($S997="Loss",0,N(AW996))),N(AW996))</f>
        <v>5</v>
      </c>
      <c r="AX997" s="56">
        <f>IF($AS997=1,IF($S997="Loss",N(AX996)+1,IF($S997="Win",0,N(AX996))),N(AX996))</f>
        <v>0</v>
      </c>
      <c r="AY997" s="56" t="str">
        <f>IF($AS997=1,COUNTIF($AS$6:$AS997,1),"")</f>
        <v/>
      </c>
      <c r="AZ997" s="56">
        <f>MIN(991,N(Lists!$W$8))</f>
        <v>28</v>
      </c>
      <c r="BA997" s="56">
        <f>IF($AS997=1,IF(COUNTIFS($A$6:$A997,$A997,$AS$6:$AS997,1)=1,1,0),0)</f>
        <v>0</v>
      </c>
      <c r="BB997" s="55" t="str">
        <f>IF($BA997=1,SUMIFS($Q$6:$Q$1005,$A$6:$A$1005,$A997,$AS$6:$AS$1005,1),"")</f>
        <v/>
      </c>
      <c r="BC997" s="56">
        <f>IF(ISNUMBER($R997),1,0)</f>
        <v>0</v>
      </c>
      <c r="BD997" s="55" t="str">
        <f>IF(ISNUMBER($U997),$U997*$V997,"")</f>
        <v/>
      </c>
      <c r="BE997" s="56" t="str">
        <f>IF($AM997=0,"",IFERROR(MATCH($AF997&amp;"|"&amp;UPPER(TRIM($E997)),Lists!$A$6:$A$205,0),0))</f>
        <v/>
      </c>
      <c r="BF997" s="56" t="str">
        <f>IF($AM997=0,"",IFERROR(MATCH($AF997,Settings!$B$14:$B$18,0),IFERROR(MATCH(Settings!$C$6,Settings!$B$14:$B$18,0),1)))</f>
        <v/>
      </c>
      <c r="BG997" s="58" t="str">
        <f>IF($AM997=0,"",IF(NOT(ISNUMBER($I997)),"No stop; ","")&amp;IF(AND(ISNUMBER($H997),ISNUMBER($I997)),IF(OR(AND($F997&lt;&gt;"Short",$I997&gt;=$H997),AND($F997="Short",$I997&lt;=$H997)),"Stop on wrong side; ",""),"")&amp;IF($F997="","No direction; ","")&amp;IF(AND(ISNUMBER(Settings!$C$22),ISNUMBER($V997)),IF($V997&gt;Settings!$C$22,"Risk over max $; ",""),"")&amp;IF(AND(ISNUMBER(Settings!$C$23),ISNUMBER($V997),ISNUMBER($AP997),IFERROR(N(INDEX(Accounts!$E$7:$E$16,MATCH($C997,Accounts!$B$7:$B$16,0))),0)&gt;0),IF($V997&gt;Settings!$C$23*($AP997-N($Q997)),"Risk over max %; ",""),"")&amp;IF(AND(ISNUMBER(Settings!$C$24),ISNUMBER($N997)),IF($N997&gt;Settings!$C$24,"Leverage over max; ",""),"")&amp;IF(AND(ISNUMBER(Settings!$C$27),ISNUMBER($T997)),IF($T997&lt;Settings!$C$27,"R:R below min; ",""),"")&amp;IF(ISNUMBER(Settings!$C$25),IF(COUNTIFS($A$6:$A997,$A997,$AM$6:$AM997,1)&gt;Settings!$C$25,"Over max trades/day; ",""),"")&amp;IF(ISNUMBER(Settings!$C$26),IF(SUMIFS($Q$5:$Q996,$A$5:$A996,$A997)&lt;=-Settings!$C$26,"Traded after daily max loss; ",""),"")&amp;IF(AND($AG997="",NOT(ISNUMBER($O997))),"Symbol not in Instruments; ","")&amp;IF(AND($AH997="",NOT(ISNUMBER($O997))),"Forex cross: type Gross P&amp;L; ",""))</f>
        <v/>
      </c>
      <c r="BH997" s="56">
        <f>IF(ISNUMBER($Q997),1,0)</f>
        <v>0</v>
      </c>
      <c r="BI997" s="56">
        <f>IF($Y997="",0,1)</f>
        <v>0</v>
      </c>
      <c r="BJ997" s="56">
        <f>IF($AB997="",0,1)</f>
        <v>0</v>
      </c>
      <c r="BK997" s="56">
        <f>IF(AND($BH997=1,$W997&lt;&gt;"OK"),1,0)</f>
        <v>0</v>
      </c>
      <c r="BL997" s="55">
        <f>IF(N($AZ997)=0,0,IFERROR(INDEX($AT$6:$AT$1005,MATCH($AZ997,$AY$6:$AY$1005,0)),0))</f>
        <v>1187.10688</v>
      </c>
      <c r="BM997" s="56">
        <f>IF(ISNUMBER(SEARCH("daily max loss",$BG997)),1,0)</f>
        <v>0</v>
      </c>
    </row>
    <row r="998" ht="18" customHeight="1">
      <c r="A998" s="38" t="n"/>
      <c r="B998" s="39" t="n"/>
      <c r="C998" s="40" t="n"/>
      <c r="D998" s="41" t="n"/>
      <c r="E998" s="41" t="n"/>
      <c r="F998" s="41" t="n"/>
      <c r="G998" s="41" t="n"/>
      <c r="H998" s="42" t="n"/>
      <c r="I998" s="42" t="n"/>
      <c r="J998" s="42" t="n"/>
      <c r="K998" s="42" t="n"/>
      <c r="L998" s="41" t="n"/>
      <c r="M998" s="41" t="n"/>
      <c r="N998" s="41" t="n"/>
      <c r="O998" s="43" t="n"/>
      <c r="P998" s="43" t="n"/>
      <c r="Q998" s="44" t="str">
        <f>IF($AM998=0,"",IF(ISNUMBER($AK998),$AK998-N($AL998),""))</f>
        <v/>
      </c>
      <c r="R998" s="45" t="str">
        <f>IF(OR($Q998="",NOT(ISNUMBER($V998))),"",$AK998/$V998)</f>
        <v/>
      </c>
      <c r="S998" s="46" t="str">
        <f>IF($Q998="","",IF(AND(ISNUMBER($R998),ABS(N($R998))&lt;N(Settings!$C$8)),"Scratch",IF($Q998&gt;0,"Win",IF($Q998&lt;0,"Loss","Scratch"))))</f>
        <v/>
      </c>
      <c r="T998" s="47" t="str">
        <f>IF(OR($AM998=0,NOT(ISNUMBER($H998)),NOT(ISNUMBER($I998)),NOT(ISNUMBER($J998))),"",IF($H998=$I998,"",ROUND(ABS($J998-$H998)/ABS($H998-$I998),6)))</f>
        <v/>
      </c>
      <c r="U998" s="48" t="str">
        <f>IF(OR($S998&lt;&gt;"Win",NOT(ISNUMBER($T998)),NOT(ISNUMBER($R998))),"",MAX(0,$T998-$R998))</f>
        <v/>
      </c>
      <c r="V998" s="49" t="str">
        <f>IF(OR($AM998=0,NOT(ISNUMBER($H998)),NOT(ISNUMBER($I998)),NOT(ISNUMBER($G998))),"",IF(OR($AG998="",$AH998=""),"",IF(ROUND(ABS($H998-$I998)*ABS($G998)*$AG998*$AH998,6)=0,"",ROUND(ABS($H998-$I998)*ABS($G998)*$AG998*$AH998,6))))</f>
        <v/>
      </c>
      <c r="W998" s="50" t="str">
        <f>IF($AM998=0,"",IF($BG998="","OK",LEFT($BG998,LEN($BG998)-2)))</f>
        <v/>
      </c>
      <c r="X998" s="41" t="n"/>
      <c r="Y998" s="40" t="n"/>
      <c r="Z998" s="41" t="n"/>
      <c r="AA998" s="41" t="n"/>
      <c r="AB998" s="40" t="n"/>
      <c r="AC998" s="51" t="n"/>
      <c r="AD998" s="51" t="n"/>
      <c r="AE998" s="40" t="n"/>
      <c r="AF998" s="52" t="str">
        <f>IF($AM998=0,"",IF($D998&lt;&gt;"",$D998,IF(IFERROR(INDEX(Accounts!$C$7:$C$16,MATCH($C998,Accounts!$B$7:$B$16,0))&amp;"","")&lt;&gt;"",INDEX(Accounts!$C$7:$C$16,MATCH($C998,Accounts!$B$7:$B$16,0)),Settings!$C$6)))</f>
        <v/>
      </c>
      <c r="AG998" s="53" t="str">
        <f>IF($AM998=0,"",IF(AND($BE998&gt;0,N(INDEX(Instruments!$D$6:$D$205,MAX(1,$BE998)))&gt;0),INDEX(Instruments!$D$6:$D$205,MAX(1,$BE998)),IF(N(INDEX(Settings!$D$14:$D$18,$BF998))&gt;0,INDEX(Settings!$D$14:$D$18,$BF998),"")))</f>
        <v/>
      </c>
      <c r="AH998" s="54" t="str">
        <f>IF($AM998=0,"",IF($AF998&lt;&gt;"Forex",1,IF(MID(UPPER(SUBSTITUTE(TRIM($E998),"/","")),4,3)=UPPER(TRIM(Settings!$C$7)),1,IF(LEFT(UPPER(SUBSTITUTE(TRIM($E998),"/","")),3)=UPPER(TRIM(Settings!$C$7)),IF(AND(ISNUMBER($K998),N($K998)&lt;&gt;0),1/$K998,""),""))))</f>
        <v/>
      </c>
      <c r="AI998" s="55" t="str">
        <f>IF($AM998=0,"",IF(OR(NOT(ISNUMBER($H998)),NOT(ISNUMBER($K998)),NOT(ISNUMBER($G998)),$AG998="",$AH998=""),"",ROUND(($K998-$H998)*IF($F998="Short",-1,1)*$G998*$AG998*$AH998,6)))</f>
        <v/>
      </c>
      <c r="AJ998" s="55" t="str">
        <f>IF($AM998=0,"",IF(INDEX(Settings!$E$14:$E$18,$BF998)="% of notional",IF(OR($AG998="",NOT(ISNUMBER($H998)),NOT(ISNUMBER($G998))),"",ROUND(ABS($H998*$G998*$AG998*N($AH998))*IF($L998="Limit",N(INDEX(Settings!$G$14:$G$18,$BF998)),N(INDEX(Settings!$H$14:$H$18,$BF998)))+IF(ISNUMBER($K998),ABS($K998*$G998*$AG998*N($AH998))*IF($M998="Target",N(INDEX(Settings!$G$14:$G$18,$BF998)),N(INDEX(Settings!$H$14:$H$18,$BF998))),0),6)),IF(NOT(ISNUMBER($G998)),"",ROUND(ABS($G998)*2*IF(AND($BE998&gt;0,ISNUMBER(INDEX(Instruments!$G$6:$G$205,MAX(1,$BE998)))),INDEX(Instruments!$G$6:$G$205,MAX(1,$BE998)),N(INDEX(Settings!$F$14:$F$18,$BF998))),6))))</f>
        <v/>
      </c>
      <c r="AK998" s="55" t="str">
        <f>IF($AM998=0,"",IF(ISNUMBER($O998),$O998,$AI998))</f>
        <v/>
      </c>
      <c r="AL998" s="55" t="str">
        <f>IF($AM998=0,"",IF(ISNUMBER($P998),$P998,N($AJ998)))</f>
        <v/>
      </c>
      <c r="AM998" s="56">
        <f>IF(AND($A998&lt;&gt;"",$E998&lt;&gt;"",OR(AND(ISNUMBER($G998),ISNUMBER($H998),ISNUMBER($K998)),ISNUMBER($O998))),1,0)</f>
        <v>0</v>
      </c>
      <c r="AN998" s="57" t="str">
        <f>IF($A998="","",$A998-WEEKDAY($A998,3))</f>
        <v/>
      </c>
      <c r="AO998" s="56" t="str">
        <f>IF($A998="","",WEEKDAY($A998,2))</f>
        <v/>
      </c>
      <c r="AP998" s="55" t="str">
        <f>IF(OR($AM998=0,$C998=""),"",IFERROR(N(INDEX(Accounts!$E$7:$E$16,MATCH($C998,Accounts!$B$7:$B$16,0))),0)+SUMIFS($Q$6:$Q998,$C$6:$C998,$C998))</f>
        <v/>
      </c>
      <c r="AQ998" s="55" t="str">
        <f>IF(OR($AM998=0,$C998=""),"",SUMIFS($Q$6:$Q$1005,$C$6:$C$1005,$C998,$A$6:$A$1005,$A998))</f>
        <v/>
      </c>
      <c r="AR998" s="55" t="str">
        <f>IF(OR($AM998=0,$C998=""),"",IFERROR(N(INDEX(Accounts!$E$7:$E$16,MATCH($C998,Accounts!$B$7:$B$16,0))),0)+SUMIFS($Q$6:$Q$1005,$C$6:$C$1005,$C998,$A$6:$A$1005,"&lt;="&amp;$A998))</f>
        <v/>
      </c>
      <c r="AS998" s="56">
        <f>IF(OR($AM998=0,$Q998=""),0,IF(AND($A998&gt;=Lists!$W$6,$A998&lt;=Lists!$W$7,OR(Dashboard!$D$6="All accounts",$C998=Dashboard!$D$6),OR(Dashboard!$D$7="All markets",$AF998=Dashboard!$D$7)),1,0))</f>
        <v>0</v>
      </c>
      <c r="AT998" s="55">
        <f>IF($AS998=1,N(AT997)+$Q998,N(AT997))</f>
        <v>1187.10688</v>
      </c>
      <c r="AU998" s="55">
        <f>MAX(N(AU997),$AT998)</f>
        <v>1187.10688</v>
      </c>
      <c r="AV998" s="55">
        <f>$AT998-$AU998</f>
        <v>0</v>
      </c>
      <c r="AW998" s="56">
        <f>IF($AS998=1,IF($S998="Win",N(AW997)+1,IF($S998="Loss",0,N(AW997))),N(AW997))</f>
        <v>5</v>
      </c>
      <c r="AX998" s="56">
        <f>IF($AS998=1,IF($S998="Loss",N(AX997)+1,IF($S998="Win",0,N(AX997))),N(AX997))</f>
        <v>0</v>
      </c>
      <c r="AY998" s="56" t="str">
        <f>IF($AS998=1,COUNTIF($AS$6:$AS998,1),"")</f>
        <v/>
      </c>
      <c r="AZ998" s="56">
        <f>MIN(992,N(Lists!$W$8))</f>
        <v>28</v>
      </c>
      <c r="BA998" s="56">
        <f>IF($AS998=1,IF(COUNTIFS($A$6:$A998,$A998,$AS$6:$AS998,1)=1,1,0),0)</f>
        <v>0</v>
      </c>
      <c r="BB998" s="55" t="str">
        <f>IF($BA998=1,SUMIFS($Q$6:$Q$1005,$A$6:$A$1005,$A998,$AS$6:$AS$1005,1),"")</f>
        <v/>
      </c>
      <c r="BC998" s="56">
        <f>IF(ISNUMBER($R998),1,0)</f>
        <v>0</v>
      </c>
      <c r="BD998" s="55" t="str">
        <f>IF(ISNUMBER($U998),$U998*$V998,"")</f>
        <v/>
      </c>
      <c r="BE998" s="56" t="str">
        <f>IF($AM998=0,"",IFERROR(MATCH($AF998&amp;"|"&amp;UPPER(TRIM($E998)),Lists!$A$6:$A$205,0),0))</f>
        <v/>
      </c>
      <c r="BF998" s="56" t="str">
        <f>IF($AM998=0,"",IFERROR(MATCH($AF998,Settings!$B$14:$B$18,0),IFERROR(MATCH(Settings!$C$6,Settings!$B$14:$B$18,0),1)))</f>
        <v/>
      </c>
      <c r="BG998" s="58" t="str">
        <f>IF($AM998=0,"",IF(NOT(ISNUMBER($I998)),"No stop; ","")&amp;IF(AND(ISNUMBER($H998),ISNUMBER($I998)),IF(OR(AND($F998&lt;&gt;"Short",$I998&gt;=$H998),AND($F998="Short",$I998&lt;=$H998)),"Stop on wrong side; ",""),"")&amp;IF($F998="","No direction; ","")&amp;IF(AND(ISNUMBER(Settings!$C$22),ISNUMBER($V998)),IF($V998&gt;Settings!$C$22,"Risk over max $; ",""),"")&amp;IF(AND(ISNUMBER(Settings!$C$23),ISNUMBER($V998),ISNUMBER($AP998),IFERROR(N(INDEX(Accounts!$E$7:$E$16,MATCH($C998,Accounts!$B$7:$B$16,0))),0)&gt;0),IF($V998&gt;Settings!$C$23*($AP998-N($Q998)),"Risk over max %; ",""),"")&amp;IF(AND(ISNUMBER(Settings!$C$24),ISNUMBER($N998)),IF($N998&gt;Settings!$C$24,"Leverage over max; ",""),"")&amp;IF(AND(ISNUMBER(Settings!$C$27),ISNUMBER($T998)),IF($T998&lt;Settings!$C$27,"R:R below min; ",""),"")&amp;IF(ISNUMBER(Settings!$C$25),IF(COUNTIFS($A$6:$A998,$A998,$AM$6:$AM998,1)&gt;Settings!$C$25,"Over max trades/day; ",""),"")&amp;IF(ISNUMBER(Settings!$C$26),IF(SUMIFS($Q$5:$Q997,$A$5:$A997,$A998)&lt;=-Settings!$C$26,"Traded after daily max loss; ",""),"")&amp;IF(AND($AG998="",NOT(ISNUMBER($O998))),"Symbol not in Instruments; ","")&amp;IF(AND($AH998="",NOT(ISNUMBER($O998))),"Forex cross: type Gross P&amp;L; ",""))</f>
        <v/>
      </c>
      <c r="BH998" s="56">
        <f>IF(ISNUMBER($Q998),1,0)</f>
        <v>0</v>
      </c>
      <c r="BI998" s="56">
        <f>IF($Y998="",0,1)</f>
        <v>0</v>
      </c>
      <c r="BJ998" s="56">
        <f>IF($AB998="",0,1)</f>
        <v>0</v>
      </c>
      <c r="BK998" s="56">
        <f>IF(AND($BH998=1,$W998&lt;&gt;"OK"),1,0)</f>
        <v>0</v>
      </c>
      <c r="BL998" s="55">
        <f>IF(N($AZ998)=0,0,IFERROR(INDEX($AT$6:$AT$1005,MATCH($AZ998,$AY$6:$AY$1005,0)),0))</f>
        <v>1187.10688</v>
      </c>
      <c r="BM998" s="56">
        <f>IF(ISNUMBER(SEARCH("daily max loss",$BG998)),1,0)</f>
        <v>0</v>
      </c>
    </row>
    <row r="999" ht="18" customHeight="1">
      <c r="A999" s="38" t="n"/>
      <c r="B999" s="39" t="n"/>
      <c r="C999" s="40" t="n"/>
      <c r="D999" s="41" t="n"/>
      <c r="E999" s="41" t="n"/>
      <c r="F999" s="41" t="n"/>
      <c r="G999" s="41" t="n"/>
      <c r="H999" s="42" t="n"/>
      <c r="I999" s="42" t="n"/>
      <c r="J999" s="42" t="n"/>
      <c r="K999" s="42" t="n"/>
      <c r="L999" s="41" t="n"/>
      <c r="M999" s="41" t="n"/>
      <c r="N999" s="41" t="n"/>
      <c r="O999" s="43" t="n"/>
      <c r="P999" s="43" t="n"/>
      <c r="Q999" s="44" t="str">
        <f>IF($AM999=0,"",IF(ISNUMBER($AK999),$AK999-N($AL999),""))</f>
        <v/>
      </c>
      <c r="R999" s="45" t="str">
        <f>IF(OR($Q999="",NOT(ISNUMBER($V999))),"",$AK999/$V999)</f>
        <v/>
      </c>
      <c r="S999" s="46" t="str">
        <f>IF($Q999="","",IF(AND(ISNUMBER($R999),ABS(N($R999))&lt;N(Settings!$C$8)),"Scratch",IF($Q999&gt;0,"Win",IF($Q999&lt;0,"Loss","Scratch"))))</f>
        <v/>
      </c>
      <c r="T999" s="47" t="str">
        <f>IF(OR($AM999=0,NOT(ISNUMBER($H999)),NOT(ISNUMBER($I999)),NOT(ISNUMBER($J999))),"",IF($H999=$I999,"",ROUND(ABS($J999-$H999)/ABS($H999-$I999),6)))</f>
        <v/>
      </c>
      <c r="U999" s="48" t="str">
        <f>IF(OR($S999&lt;&gt;"Win",NOT(ISNUMBER($T999)),NOT(ISNUMBER($R999))),"",MAX(0,$T999-$R999))</f>
        <v/>
      </c>
      <c r="V999" s="49" t="str">
        <f>IF(OR($AM999=0,NOT(ISNUMBER($H999)),NOT(ISNUMBER($I999)),NOT(ISNUMBER($G999))),"",IF(OR($AG999="",$AH999=""),"",IF(ROUND(ABS($H999-$I999)*ABS($G999)*$AG999*$AH999,6)=0,"",ROUND(ABS($H999-$I999)*ABS($G999)*$AG999*$AH999,6))))</f>
        <v/>
      </c>
      <c r="W999" s="50" t="str">
        <f>IF($AM999=0,"",IF($BG999="","OK",LEFT($BG999,LEN($BG999)-2)))</f>
        <v/>
      </c>
      <c r="X999" s="41" t="n"/>
      <c r="Y999" s="40" t="n"/>
      <c r="Z999" s="41" t="n"/>
      <c r="AA999" s="41" t="n"/>
      <c r="AB999" s="40" t="n"/>
      <c r="AC999" s="51" t="n"/>
      <c r="AD999" s="51" t="n"/>
      <c r="AE999" s="40" t="n"/>
      <c r="AF999" s="52" t="str">
        <f>IF($AM999=0,"",IF($D999&lt;&gt;"",$D999,IF(IFERROR(INDEX(Accounts!$C$7:$C$16,MATCH($C999,Accounts!$B$7:$B$16,0))&amp;"","")&lt;&gt;"",INDEX(Accounts!$C$7:$C$16,MATCH($C999,Accounts!$B$7:$B$16,0)),Settings!$C$6)))</f>
        <v/>
      </c>
      <c r="AG999" s="53" t="str">
        <f>IF($AM999=0,"",IF(AND($BE999&gt;0,N(INDEX(Instruments!$D$6:$D$205,MAX(1,$BE999)))&gt;0),INDEX(Instruments!$D$6:$D$205,MAX(1,$BE999)),IF(N(INDEX(Settings!$D$14:$D$18,$BF999))&gt;0,INDEX(Settings!$D$14:$D$18,$BF999),"")))</f>
        <v/>
      </c>
      <c r="AH999" s="54" t="str">
        <f>IF($AM999=0,"",IF($AF999&lt;&gt;"Forex",1,IF(MID(UPPER(SUBSTITUTE(TRIM($E999),"/","")),4,3)=UPPER(TRIM(Settings!$C$7)),1,IF(LEFT(UPPER(SUBSTITUTE(TRIM($E999),"/","")),3)=UPPER(TRIM(Settings!$C$7)),IF(AND(ISNUMBER($K999),N($K999)&lt;&gt;0),1/$K999,""),""))))</f>
        <v/>
      </c>
      <c r="AI999" s="55" t="str">
        <f>IF($AM999=0,"",IF(OR(NOT(ISNUMBER($H999)),NOT(ISNUMBER($K999)),NOT(ISNUMBER($G999)),$AG999="",$AH999=""),"",ROUND(($K999-$H999)*IF($F999="Short",-1,1)*$G999*$AG999*$AH999,6)))</f>
        <v/>
      </c>
      <c r="AJ999" s="55" t="str">
        <f>IF($AM999=0,"",IF(INDEX(Settings!$E$14:$E$18,$BF999)="% of notional",IF(OR($AG999="",NOT(ISNUMBER($H999)),NOT(ISNUMBER($G999))),"",ROUND(ABS($H999*$G999*$AG999*N($AH999))*IF($L999="Limit",N(INDEX(Settings!$G$14:$G$18,$BF999)),N(INDEX(Settings!$H$14:$H$18,$BF999)))+IF(ISNUMBER($K999),ABS($K999*$G999*$AG999*N($AH999))*IF($M999="Target",N(INDEX(Settings!$G$14:$G$18,$BF999)),N(INDEX(Settings!$H$14:$H$18,$BF999))),0),6)),IF(NOT(ISNUMBER($G999)),"",ROUND(ABS($G999)*2*IF(AND($BE999&gt;0,ISNUMBER(INDEX(Instruments!$G$6:$G$205,MAX(1,$BE999)))),INDEX(Instruments!$G$6:$G$205,MAX(1,$BE999)),N(INDEX(Settings!$F$14:$F$18,$BF999))),6))))</f>
        <v/>
      </c>
      <c r="AK999" s="55" t="str">
        <f>IF($AM999=0,"",IF(ISNUMBER($O999),$O999,$AI999))</f>
        <v/>
      </c>
      <c r="AL999" s="55" t="str">
        <f>IF($AM999=0,"",IF(ISNUMBER($P999),$P999,N($AJ999)))</f>
        <v/>
      </c>
      <c r="AM999" s="56">
        <f>IF(AND($A999&lt;&gt;"",$E999&lt;&gt;"",OR(AND(ISNUMBER($G999),ISNUMBER($H999),ISNUMBER($K999)),ISNUMBER($O999))),1,0)</f>
        <v>0</v>
      </c>
      <c r="AN999" s="57" t="str">
        <f>IF($A999="","",$A999-WEEKDAY($A999,3))</f>
        <v/>
      </c>
      <c r="AO999" s="56" t="str">
        <f>IF($A999="","",WEEKDAY($A999,2))</f>
        <v/>
      </c>
      <c r="AP999" s="55" t="str">
        <f>IF(OR($AM999=0,$C999=""),"",IFERROR(N(INDEX(Accounts!$E$7:$E$16,MATCH($C999,Accounts!$B$7:$B$16,0))),0)+SUMIFS($Q$6:$Q999,$C$6:$C999,$C999))</f>
        <v/>
      </c>
      <c r="AQ999" s="55" t="str">
        <f>IF(OR($AM999=0,$C999=""),"",SUMIFS($Q$6:$Q$1005,$C$6:$C$1005,$C999,$A$6:$A$1005,$A999))</f>
        <v/>
      </c>
      <c r="AR999" s="55" t="str">
        <f>IF(OR($AM999=0,$C999=""),"",IFERROR(N(INDEX(Accounts!$E$7:$E$16,MATCH($C999,Accounts!$B$7:$B$16,0))),0)+SUMIFS($Q$6:$Q$1005,$C$6:$C$1005,$C999,$A$6:$A$1005,"&lt;="&amp;$A999))</f>
        <v/>
      </c>
      <c r="AS999" s="56">
        <f>IF(OR($AM999=0,$Q999=""),0,IF(AND($A999&gt;=Lists!$W$6,$A999&lt;=Lists!$W$7,OR(Dashboard!$D$6="All accounts",$C999=Dashboard!$D$6),OR(Dashboard!$D$7="All markets",$AF999=Dashboard!$D$7)),1,0))</f>
        <v>0</v>
      </c>
      <c r="AT999" s="55">
        <f>IF($AS999=1,N(AT998)+$Q999,N(AT998))</f>
        <v>1187.10688</v>
      </c>
      <c r="AU999" s="55">
        <f>MAX(N(AU998),$AT999)</f>
        <v>1187.10688</v>
      </c>
      <c r="AV999" s="55">
        <f>$AT999-$AU999</f>
        <v>0</v>
      </c>
      <c r="AW999" s="56">
        <f>IF($AS999=1,IF($S999="Win",N(AW998)+1,IF($S999="Loss",0,N(AW998))),N(AW998))</f>
        <v>5</v>
      </c>
      <c r="AX999" s="56">
        <f>IF($AS999=1,IF($S999="Loss",N(AX998)+1,IF($S999="Win",0,N(AX998))),N(AX998))</f>
        <v>0</v>
      </c>
      <c r="AY999" s="56" t="str">
        <f>IF($AS999=1,COUNTIF($AS$6:$AS999,1),"")</f>
        <v/>
      </c>
      <c r="AZ999" s="56">
        <f>MIN(993,N(Lists!$W$8))</f>
        <v>28</v>
      </c>
      <c r="BA999" s="56">
        <f>IF($AS999=1,IF(COUNTIFS($A$6:$A999,$A999,$AS$6:$AS999,1)=1,1,0),0)</f>
        <v>0</v>
      </c>
      <c r="BB999" s="55" t="str">
        <f>IF($BA999=1,SUMIFS($Q$6:$Q$1005,$A$6:$A$1005,$A999,$AS$6:$AS$1005,1),"")</f>
        <v/>
      </c>
      <c r="BC999" s="56">
        <f>IF(ISNUMBER($R999),1,0)</f>
        <v>0</v>
      </c>
      <c r="BD999" s="55" t="str">
        <f>IF(ISNUMBER($U999),$U999*$V999,"")</f>
        <v/>
      </c>
      <c r="BE999" s="56" t="str">
        <f>IF($AM999=0,"",IFERROR(MATCH($AF999&amp;"|"&amp;UPPER(TRIM($E999)),Lists!$A$6:$A$205,0),0))</f>
        <v/>
      </c>
      <c r="BF999" s="56" t="str">
        <f>IF($AM999=0,"",IFERROR(MATCH($AF999,Settings!$B$14:$B$18,0),IFERROR(MATCH(Settings!$C$6,Settings!$B$14:$B$18,0),1)))</f>
        <v/>
      </c>
      <c r="BG999" s="58" t="str">
        <f>IF($AM999=0,"",IF(NOT(ISNUMBER($I999)),"No stop; ","")&amp;IF(AND(ISNUMBER($H999),ISNUMBER($I999)),IF(OR(AND($F999&lt;&gt;"Short",$I999&gt;=$H999),AND($F999="Short",$I999&lt;=$H999)),"Stop on wrong side; ",""),"")&amp;IF($F999="","No direction; ","")&amp;IF(AND(ISNUMBER(Settings!$C$22),ISNUMBER($V999)),IF($V999&gt;Settings!$C$22,"Risk over max $; ",""),"")&amp;IF(AND(ISNUMBER(Settings!$C$23),ISNUMBER($V999),ISNUMBER($AP999),IFERROR(N(INDEX(Accounts!$E$7:$E$16,MATCH($C999,Accounts!$B$7:$B$16,0))),0)&gt;0),IF($V999&gt;Settings!$C$23*($AP999-N($Q999)),"Risk over max %; ",""),"")&amp;IF(AND(ISNUMBER(Settings!$C$24),ISNUMBER($N999)),IF($N999&gt;Settings!$C$24,"Leverage over max; ",""),"")&amp;IF(AND(ISNUMBER(Settings!$C$27),ISNUMBER($T999)),IF($T999&lt;Settings!$C$27,"R:R below min; ",""),"")&amp;IF(ISNUMBER(Settings!$C$25),IF(COUNTIFS($A$6:$A999,$A999,$AM$6:$AM999,1)&gt;Settings!$C$25,"Over max trades/day; ",""),"")&amp;IF(ISNUMBER(Settings!$C$26),IF(SUMIFS($Q$5:$Q998,$A$5:$A998,$A999)&lt;=-Settings!$C$26,"Traded after daily max loss; ",""),"")&amp;IF(AND($AG999="",NOT(ISNUMBER($O999))),"Symbol not in Instruments; ","")&amp;IF(AND($AH999="",NOT(ISNUMBER($O999))),"Forex cross: type Gross P&amp;L; ",""))</f>
        <v/>
      </c>
      <c r="BH999" s="56">
        <f>IF(ISNUMBER($Q999),1,0)</f>
        <v>0</v>
      </c>
      <c r="BI999" s="56">
        <f>IF($Y999="",0,1)</f>
        <v>0</v>
      </c>
      <c r="BJ999" s="56">
        <f>IF($AB999="",0,1)</f>
        <v>0</v>
      </c>
      <c r="BK999" s="56">
        <f>IF(AND($BH999=1,$W999&lt;&gt;"OK"),1,0)</f>
        <v>0</v>
      </c>
      <c r="BL999" s="55">
        <f>IF(N($AZ999)=0,0,IFERROR(INDEX($AT$6:$AT$1005,MATCH($AZ999,$AY$6:$AY$1005,0)),0))</f>
        <v>1187.10688</v>
      </c>
      <c r="BM999" s="56">
        <f>IF(ISNUMBER(SEARCH("daily max loss",$BG999)),1,0)</f>
        <v>0</v>
      </c>
    </row>
    <row r="1000" ht="18" customHeight="1">
      <c r="A1000" s="38" t="n"/>
      <c r="B1000" s="39" t="n"/>
      <c r="C1000" s="40" t="n"/>
      <c r="D1000" s="41" t="n"/>
      <c r="E1000" s="41" t="n"/>
      <c r="F1000" s="41" t="n"/>
      <c r="G1000" s="41" t="n"/>
      <c r="H1000" s="42" t="n"/>
      <c r="I1000" s="42" t="n"/>
      <c r="J1000" s="42" t="n"/>
      <c r="K1000" s="42" t="n"/>
      <c r="L1000" s="41" t="n"/>
      <c r="M1000" s="41" t="n"/>
      <c r="N1000" s="41" t="n"/>
      <c r="O1000" s="43" t="n"/>
      <c r="P1000" s="43" t="n"/>
      <c r="Q1000" s="44" t="str">
        <f>IF($AM1000=0,"",IF(ISNUMBER($AK1000),$AK1000-N($AL1000),""))</f>
        <v/>
      </c>
      <c r="R1000" s="45" t="str">
        <f>IF(OR($Q1000="",NOT(ISNUMBER($V1000))),"",$AK1000/$V1000)</f>
        <v/>
      </c>
      <c r="S1000" s="46" t="str">
        <f>IF($Q1000="","",IF(AND(ISNUMBER($R1000),ABS(N($R1000))&lt;N(Settings!$C$8)),"Scratch",IF($Q1000&gt;0,"Win",IF($Q1000&lt;0,"Loss","Scratch"))))</f>
        <v/>
      </c>
      <c r="T1000" s="47" t="str">
        <f>IF(OR($AM1000=0,NOT(ISNUMBER($H1000)),NOT(ISNUMBER($I1000)),NOT(ISNUMBER($J1000))),"",IF($H1000=$I1000,"",ROUND(ABS($J1000-$H1000)/ABS($H1000-$I1000),6)))</f>
        <v/>
      </c>
      <c r="U1000" s="48" t="str">
        <f>IF(OR($S1000&lt;&gt;"Win",NOT(ISNUMBER($T1000)),NOT(ISNUMBER($R1000))),"",MAX(0,$T1000-$R1000))</f>
        <v/>
      </c>
      <c r="V1000" s="49" t="str">
        <f>IF(OR($AM1000=0,NOT(ISNUMBER($H1000)),NOT(ISNUMBER($I1000)),NOT(ISNUMBER($G1000))),"",IF(OR($AG1000="",$AH1000=""),"",IF(ROUND(ABS($H1000-$I1000)*ABS($G1000)*$AG1000*$AH1000,6)=0,"",ROUND(ABS($H1000-$I1000)*ABS($G1000)*$AG1000*$AH1000,6))))</f>
        <v/>
      </c>
      <c r="W1000" s="50" t="str">
        <f>IF($AM1000=0,"",IF($BG1000="","OK",LEFT($BG1000,LEN($BG1000)-2)))</f>
        <v/>
      </c>
      <c r="X1000" s="41" t="n"/>
      <c r="Y1000" s="40" t="n"/>
      <c r="Z1000" s="41" t="n"/>
      <c r="AA1000" s="41" t="n"/>
      <c r="AB1000" s="40" t="n"/>
      <c r="AC1000" s="51" t="n"/>
      <c r="AD1000" s="51" t="n"/>
      <c r="AE1000" s="40" t="n"/>
      <c r="AF1000" s="52" t="str">
        <f>IF($AM1000=0,"",IF($D1000&lt;&gt;"",$D1000,IF(IFERROR(INDEX(Accounts!$C$7:$C$16,MATCH($C1000,Accounts!$B$7:$B$16,0))&amp;"","")&lt;&gt;"",INDEX(Accounts!$C$7:$C$16,MATCH($C1000,Accounts!$B$7:$B$16,0)),Settings!$C$6)))</f>
        <v/>
      </c>
      <c r="AG1000" s="53" t="str">
        <f>IF($AM1000=0,"",IF(AND($BE1000&gt;0,N(INDEX(Instruments!$D$6:$D$205,MAX(1,$BE1000)))&gt;0),INDEX(Instruments!$D$6:$D$205,MAX(1,$BE1000)),IF(N(INDEX(Settings!$D$14:$D$18,$BF1000))&gt;0,INDEX(Settings!$D$14:$D$18,$BF1000),"")))</f>
        <v/>
      </c>
      <c r="AH1000" s="54" t="str">
        <f>IF($AM1000=0,"",IF($AF1000&lt;&gt;"Forex",1,IF(MID(UPPER(SUBSTITUTE(TRIM($E1000),"/","")),4,3)=UPPER(TRIM(Settings!$C$7)),1,IF(LEFT(UPPER(SUBSTITUTE(TRIM($E1000),"/","")),3)=UPPER(TRIM(Settings!$C$7)),IF(AND(ISNUMBER($K1000),N($K1000)&lt;&gt;0),1/$K1000,""),""))))</f>
        <v/>
      </c>
      <c r="AI1000" s="55" t="str">
        <f>IF($AM1000=0,"",IF(OR(NOT(ISNUMBER($H1000)),NOT(ISNUMBER($K1000)),NOT(ISNUMBER($G1000)),$AG1000="",$AH1000=""),"",ROUND(($K1000-$H1000)*IF($F1000="Short",-1,1)*$G1000*$AG1000*$AH1000,6)))</f>
        <v/>
      </c>
      <c r="AJ1000" s="55" t="str">
        <f>IF($AM1000=0,"",IF(INDEX(Settings!$E$14:$E$18,$BF1000)="% of notional",IF(OR($AG1000="",NOT(ISNUMBER($H1000)),NOT(ISNUMBER($G1000))),"",ROUND(ABS($H1000*$G1000*$AG1000*N($AH1000))*IF($L1000="Limit",N(INDEX(Settings!$G$14:$G$18,$BF1000)),N(INDEX(Settings!$H$14:$H$18,$BF1000)))+IF(ISNUMBER($K1000),ABS($K1000*$G1000*$AG1000*N($AH1000))*IF($M1000="Target",N(INDEX(Settings!$G$14:$G$18,$BF1000)),N(INDEX(Settings!$H$14:$H$18,$BF1000))),0),6)),IF(NOT(ISNUMBER($G1000)),"",ROUND(ABS($G1000)*2*IF(AND($BE1000&gt;0,ISNUMBER(INDEX(Instruments!$G$6:$G$205,MAX(1,$BE1000)))),INDEX(Instruments!$G$6:$G$205,MAX(1,$BE1000)),N(INDEX(Settings!$F$14:$F$18,$BF1000))),6))))</f>
        <v/>
      </c>
      <c r="AK1000" s="55" t="str">
        <f>IF($AM1000=0,"",IF(ISNUMBER($O1000),$O1000,$AI1000))</f>
        <v/>
      </c>
      <c r="AL1000" s="55" t="str">
        <f>IF($AM1000=0,"",IF(ISNUMBER($P1000),$P1000,N($AJ1000)))</f>
        <v/>
      </c>
      <c r="AM1000" s="56">
        <f>IF(AND($A1000&lt;&gt;"",$E1000&lt;&gt;"",OR(AND(ISNUMBER($G1000),ISNUMBER($H1000),ISNUMBER($K1000)),ISNUMBER($O1000))),1,0)</f>
        <v>0</v>
      </c>
      <c r="AN1000" s="57" t="str">
        <f>IF($A1000="","",$A1000-WEEKDAY($A1000,3))</f>
        <v/>
      </c>
      <c r="AO1000" s="56" t="str">
        <f>IF($A1000="","",WEEKDAY($A1000,2))</f>
        <v/>
      </c>
      <c r="AP1000" s="55" t="str">
        <f>IF(OR($AM1000=0,$C1000=""),"",IFERROR(N(INDEX(Accounts!$E$7:$E$16,MATCH($C1000,Accounts!$B$7:$B$16,0))),0)+SUMIFS($Q$6:$Q1000,$C$6:$C1000,$C1000))</f>
        <v/>
      </c>
      <c r="AQ1000" s="55" t="str">
        <f>IF(OR($AM1000=0,$C1000=""),"",SUMIFS($Q$6:$Q$1005,$C$6:$C$1005,$C1000,$A$6:$A$1005,$A1000))</f>
        <v/>
      </c>
      <c r="AR1000" s="55" t="str">
        <f>IF(OR($AM1000=0,$C1000=""),"",IFERROR(N(INDEX(Accounts!$E$7:$E$16,MATCH($C1000,Accounts!$B$7:$B$16,0))),0)+SUMIFS($Q$6:$Q$1005,$C$6:$C$1005,$C1000,$A$6:$A$1005,"&lt;="&amp;$A1000))</f>
        <v/>
      </c>
      <c r="AS1000" s="56">
        <f>IF(OR($AM1000=0,$Q1000=""),0,IF(AND($A1000&gt;=Lists!$W$6,$A1000&lt;=Lists!$W$7,OR(Dashboard!$D$6="All accounts",$C1000=Dashboard!$D$6),OR(Dashboard!$D$7="All markets",$AF1000=Dashboard!$D$7)),1,0))</f>
        <v>0</v>
      </c>
      <c r="AT1000" s="55">
        <f>IF($AS1000=1,N(AT999)+$Q1000,N(AT999))</f>
        <v>1187.10688</v>
      </c>
      <c r="AU1000" s="55">
        <f>MAX(N(AU999),$AT1000)</f>
        <v>1187.10688</v>
      </c>
      <c r="AV1000" s="55">
        <f>$AT1000-$AU1000</f>
        <v>0</v>
      </c>
      <c r="AW1000" s="56">
        <f>IF($AS1000=1,IF($S1000="Win",N(AW999)+1,IF($S1000="Loss",0,N(AW999))),N(AW999))</f>
        <v>5</v>
      </c>
      <c r="AX1000" s="56">
        <f>IF($AS1000=1,IF($S1000="Loss",N(AX999)+1,IF($S1000="Win",0,N(AX999))),N(AX999))</f>
        <v>0</v>
      </c>
      <c r="AY1000" s="56" t="str">
        <f>IF($AS1000=1,COUNTIF($AS$6:$AS1000,1),"")</f>
        <v/>
      </c>
      <c r="AZ1000" s="56">
        <f>MIN(994,N(Lists!$W$8))</f>
        <v>28</v>
      </c>
      <c r="BA1000" s="56">
        <f>IF($AS1000=1,IF(COUNTIFS($A$6:$A1000,$A1000,$AS$6:$AS1000,1)=1,1,0),0)</f>
        <v>0</v>
      </c>
      <c r="BB1000" s="55" t="str">
        <f>IF($BA1000=1,SUMIFS($Q$6:$Q$1005,$A$6:$A$1005,$A1000,$AS$6:$AS$1005,1),"")</f>
        <v/>
      </c>
      <c r="BC1000" s="56">
        <f>IF(ISNUMBER($R1000),1,0)</f>
        <v>0</v>
      </c>
      <c r="BD1000" s="55" t="str">
        <f>IF(ISNUMBER($U1000),$U1000*$V1000,"")</f>
        <v/>
      </c>
      <c r="BE1000" s="56" t="str">
        <f>IF($AM1000=0,"",IFERROR(MATCH($AF1000&amp;"|"&amp;UPPER(TRIM($E1000)),Lists!$A$6:$A$205,0),0))</f>
        <v/>
      </c>
      <c r="BF1000" s="56" t="str">
        <f>IF($AM1000=0,"",IFERROR(MATCH($AF1000,Settings!$B$14:$B$18,0),IFERROR(MATCH(Settings!$C$6,Settings!$B$14:$B$18,0),1)))</f>
        <v/>
      </c>
      <c r="BG1000" s="58" t="str">
        <f>IF($AM1000=0,"",IF(NOT(ISNUMBER($I1000)),"No stop; ","")&amp;IF(AND(ISNUMBER($H1000),ISNUMBER($I1000)),IF(OR(AND($F1000&lt;&gt;"Short",$I1000&gt;=$H1000),AND($F1000="Short",$I1000&lt;=$H1000)),"Stop on wrong side; ",""),"")&amp;IF($F1000="","No direction; ","")&amp;IF(AND(ISNUMBER(Settings!$C$22),ISNUMBER($V1000)),IF($V1000&gt;Settings!$C$22,"Risk over max $; ",""),"")&amp;IF(AND(ISNUMBER(Settings!$C$23),ISNUMBER($V1000),ISNUMBER($AP1000),IFERROR(N(INDEX(Accounts!$E$7:$E$16,MATCH($C1000,Accounts!$B$7:$B$16,0))),0)&gt;0),IF($V1000&gt;Settings!$C$23*($AP1000-N($Q1000)),"Risk over max %; ",""),"")&amp;IF(AND(ISNUMBER(Settings!$C$24),ISNUMBER($N1000)),IF($N1000&gt;Settings!$C$24,"Leverage over max; ",""),"")&amp;IF(AND(ISNUMBER(Settings!$C$27),ISNUMBER($T1000)),IF($T1000&lt;Settings!$C$27,"R:R below min; ",""),"")&amp;IF(ISNUMBER(Settings!$C$25),IF(COUNTIFS($A$6:$A1000,$A1000,$AM$6:$AM1000,1)&gt;Settings!$C$25,"Over max trades/day; ",""),"")&amp;IF(ISNUMBER(Settings!$C$26),IF(SUMIFS($Q$5:$Q999,$A$5:$A999,$A1000)&lt;=-Settings!$C$26,"Traded after daily max loss; ",""),"")&amp;IF(AND($AG1000="",NOT(ISNUMBER($O1000))),"Symbol not in Instruments; ","")&amp;IF(AND($AH1000="",NOT(ISNUMBER($O1000))),"Forex cross: type Gross P&amp;L; ",""))</f>
        <v/>
      </c>
      <c r="BH1000" s="56">
        <f>IF(ISNUMBER($Q1000),1,0)</f>
        <v>0</v>
      </c>
      <c r="BI1000" s="56">
        <f>IF($Y1000="",0,1)</f>
        <v>0</v>
      </c>
      <c r="BJ1000" s="56">
        <f>IF($AB1000="",0,1)</f>
        <v>0</v>
      </c>
      <c r="BK1000" s="56">
        <f>IF(AND($BH1000=1,$W1000&lt;&gt;"OK"),1,0)</f>
        <v>0</v>
      </c>
      <c r="BL1000" s="55">
        <f>IF(N($AZ1000)=0,0,IFERROR(INDEX($AT$6:$AT$1005,MATCH($AZ1000,$AY$6:$AY$1005,0)),0))</f>
        <v>1187.10688</v>
      </c>
      <c r="BM1000" s="56">
        <f>IF(ISNUMBER(SEARCH("daily max loss",$BG1000)),1,0)</f>
        <v>0</v>
      </c>
    </row>
    <row r="1001" ht="18" customHeight="1">
      <c r="A1001" s="38" t="n"/>
      <c r="B1001" s="39" t="n"/>
      <c r="C1001" s="40" t="n"/>
      <c r="D1001" s="41" t="n"/>
      <c r="E1001" s="41" t="n"/>
      <c r="F1001" s="41" t="n"/>
      <c r="G1001" s="41" t="n"/>
      <c r="H1001" s="42" t="n"/>
      <c r="I1001" s="42" t="n"/>
      <c r="J1001" s="42" t="n"/>
      <c r="K1001" s="42" t="n"/>
      <c r="L1001" s="41" t="n"/>
      <c r="M1001" s="41" t="n"/>
      <c r="N1001" s="41" t="n"/>
      <c r="O1001" s="43" t="n"/>
      <c r="P1001" s="43" t="n"/>
      <c r="Q1001" s="44" t="str">
        <f>IF($AM1001=0,"",IF(ISNUMBER($AK1001),$AK1001-N($AL1001),""))</f>
        <v/>
      </c>
      <c r="R1001" s="45" t="str">
        <f>IF(OR($Q1001="",NOT(ISNUMBER($V1001))),"",$AK1001/$V1001)</f>
        <v/>
      </c>
      <c r="S1001" s="46" t="str">
        <f>IF($Q1001="","",IF(AND(ISNUMBER($R1001),ABS(N($R1001))&lt;N(Settings!$C$8)),"Scratch",IF($Q1001&gt;0,"Win",IF($Q1001&lt;0,"Loss","Scratch"))))</f>
        <v/>
      </c>
      <c r="T1001" s="47" t="str">
        <f>IF(OR($AM1001=0,NOT(ISNUMBER($H1001)),NOT(ISNUMBER($I1001)),NOT(ISNUMBER($J1001))),"",IF($H1001=$I1001,"",ROUND(ABS($J1001-$H1001)/ABS($H1001-$I1001),6)))</f>
        <v/>
      </c>
      <c r="U1001" s="48" t="str">
        <f>IF(OR($S1001&lt;&gt;"Win",NOT(ISNUMBER($T1001)),NOT(ISNUMBER($R1001))),"",MAX(0,$T1001-$R1001))</f>
        <v/>
      </c>
      <c r="V1001" s="49" t="str">
        <f>IF(OR($AM1001=0,NOT(ISNUMBER($H1001)),NOT(ISNUMBER($I1001)),NOT(ISNUMBER($G1001))),"",IF(OR($AG1001="",$AH1001=""),"",IF(ROUND(ABS($H1001-$I1001)*ABS($G1001)*$AG1001*$AH1001,6)=0,"",ROUND(ABS($H1001-$I1001)*ABS($G1001)*$AG1001*$AH1001,6))))</f>
        <v/>
      </c>
      <c r="W1001" s="50" t="str">
        <f>IF($AM1001=0,"",IF($BG1001="","OK",LEFT($BG1001,LEN($BG1001)-2)))</f>
        <v/>
      </c>
      <c r="X1001" s="41" t="n"/>
      <c r="Y1001" s="40" t="n"/>
      <c r="Z1001" s="41" t="n"/>
      <c r="AA1001" s="41" t="n"/>
      <c r="AB1001" s="40" t="n"/>
      <c r="AC1001" s="51" t="n"/>
      <c r="AD1001" s="51" t="n"/>
      <c r="AE1001" s="40" t="n"/>
      <c r="AF1001" s="52" t="str">
        <f>IF($AM1001=0,"",IF($D1001&lt;&gt;"",$D1001,IF(IFERROR(INDEX(Accounts!$C$7:$C$16,MATCH($C1001,Accounts!$B$7:$B$16,0))&amp;"","")&lt;&gt;"",INDEX(Accounts!$C$7:$C$16,MATCH($C1001,Accounts!$B$7:$B$16,0)),Settings!$C$6)))</f>
        <v/>
      </c>
      <c r="AG1001" s="53" t="str">
        <f>IF($AM1001=0,"",IF(AND($BE1001&gt;0,N(INDEX(Instruments!$D$6:$D$205,MAX(1,$BE1001)))&gt;0),INDEX(Instruments!$D$6:$D$205,MAX(1,$BE1001)),IF(N(INDEX(Settings!$D$14:$D$18,$BF1001))&gt;0,INDEX(Settings!$D$14:$D$18,$BF1001),"")))</f>
        <v/>
      </c>
      <c r="AH1001" s="54" t="str">
        <f>IF($AM1001=0,"",IF($AF1001&lt;&gt;"Forex",1,IF(MID(UPPER(SUBSTITUTE(TRIM($E1001),"/","")),4,3)=UPPER(TRIM(Settings!$C$7)),1,IF(LEFT(UPPER(SUBSTITUTE(TRIM($E1001),"/","")),3)=UPPER(TRIM(Settings!$C$7)),IF(AND(ISNUMBER($K1001),N($K1001)&lt;&gt;0),1/$K1001,""),""))))</f>
        <v/>
      </c>
      <c r="AI1001" s="55" t="str">
        <f>IF($AM1001=0,"",IF(OR(NOT(ISNUMBER($H1001)),NOT(ISNUMBER($K1001)),NOT(ISNUMBER($G1001)),$AG1001="",$AH1001=""),"",ROUND(($K1001-$H1001)*IF($F1001="Short",-1,1)*$G1001*$AG1001*$AH1001,6)))</f>
        <v/>
      </c>
      <c r="AJ1001" s="55" t="str">
        <f>IF($AM1001=0,"",IF(INDEX(Settings!$E$14:$E$18,$BF1001)="% of notional",IF(OR($AG1001="",NOT(ISNUMBER($H1001)),NOT(ISNUMBER($G1001))),"",ROUND(ABS($H1001*$G1001*$AG1001*N($AH1001))*IF($L1001="Limit",N(INDEX(Settings!$G$14:$G$18,$BF1001)),N(INDEX(Settings!$H$14:$H$18,$BF1001)))+IF(ISNUMBER($K1001),ABS($K1001*$G1001*$AG1001*N($AH1001))*IF($M1001="Target",N(INDEX(Settings!$G$14:$G$18,$BF1001)),N(INDEX(Settings!$H$14:$H$18,$BF1001))),0),6)),IF(NOT(ISNUMBER($G1001)),"",ROUND(ABS($G1001)*2*IF(AND($BE1001&gt;0,ISNUMBER(INDEX(Instruments!$G$6:$G$205,MAX(1,$BE1001)))),INDEX(Instruments!$G$6:$G$205,MAX(1,$BE1001)),N(INDEX(Settings!$F$14:$F$18,$BF1001))),6))))</f>
        <v/>
      </c>
      <c r="AK1001" s="55" t="str">
        <f>IF($AM1001=0,"",IF(ISNUMBER($O1001),$O1001,$AI1001))</f>
        <v/>
      </c>
      <c r="AL1001" s="55" t="str">
        <f>IF($AM1001=0,"",IF(ISNUMBER($P1001),$P1001,N($AJ1001)))</f>
        <v/>
      </c>
      <c r="AM1001" s="56">
        <f>IF(AND($A1001&lt;&gt;"",$E1001&lt;&gt;"",OR(AND(ISNUMBER($G1001),ISNUMBER($H1001),ISNUMBER($K1001)),ISNUMBER($O1001))),1,0)</f>
        <v>0</v>
      </c>
      <c r="AN1001" s="57" t="str">
        <f>IF($A1001="","",$A1001-WEEKDAY($A1001,3))</f>
        <v/>
      </c>
      <c r="AO1001" s="56" t="str">
        <f>IF($A1001="","",WEEKDAY($A1001,2))</f>
        <v/>
      </c>
      <c r="AP1001" s="55" t="str">
        <f>IF(OR($AM1001=0,$C1001=""),"",IFERROR(N(INDEX(Accounts!$E$7:$E$16,MATCH($C1001,Accounts!$B$7:$B$16,0))),0)+SUMIFS($Q$6:$Q1001,$C$6:$C1001,$C1001))</f>
        <v/>
      </c>
      <c r="AQ1001" s="55" t="str">
        <f>IF(OR($AM1001=0,$C1001=""),"",SUMIFS($Q$6:$Q$1005,$C$6:$C$1005,$C1001,$A$6:$A$1005,$A1001))</f>
        <v/>
      </c>
      <c r="AR1001" s="55" t="str">
        <f>IF(OR($AM1001=0,$C1001=""),"",IFERROR(N(INDEX(Accounts!$E$7:$E$16,MATCH($C1001,Accounts!$B$7:$B$16,0))),0)+SUMIFS($Q$6:$Q$1005,$C$6:$C$1005,$C1001,$A$6:$A$1005,"&lt;="&amp;$A1001))</f>
        <v/>
      </c>
      <c r="AS1001" s="56">
        <f>IF(OR($AM1001=0,$Q1001=""),0,IF(AND($A1001&gt;=Lists!$W$6,$A1001&lt;=Lists!$W$7,OR(Dashboard!$D$6="All accounts",$C1001=Dashboard!$D$6),OR(Dashboard!$D$7="All markets",$AF1001=Dashboard!$D$7)),1,0))</f>
        <v>0</v>
      </c>
      <c r="AT1001" s="55">
        <f>IF($AS1001=1,N(AT1000)+$Q1001,N(AT1000))</f>
        <v>1187.10688</v>
      </c>
      <c r="AU1001" s="55">
        <f>MAX(N(AU1000),$AT1001)</f>
        <v>1187.10688</v>
      </c>
      <c r="AV1001" s="55">
        <f>$AT1001-$AU1001</f>
        <v>0</v>
      </c>
      <c r="AW1001" s="56">
        <f>IF($AS1001=1,IF($S1001="Win",N(AW1000)+1,IF($S1001="Loss",0,N(AW1000))),N(AW1000))</f>
        <v>5</v>
      </c>
      <c r="AX1001" s="56">
        <f>IF($AS1001=1,IF($S1001="Loss",N(AX1000)+1,IF($S1001="Win",0,N(AX1000))),N(AX1000))</f>
        <v>0</v>
      </c>
      <c r="AY1001" s="56" t="str">
        <f>IF($AS1001=1,COUNTIF($AS$6:$AS1001,1),"")</f>
        <v/>
      </c>
      <c r="AZ1001" s="56">
        <f>MIN(995,N(Lists!$W$8))</f>
        <v>28</v>
      </c>
      <c r="BA1001" s="56">
        <f>IF($AS1001=1,IF(COUNTIFS($A$6:$A1001,$A1001,$AS$6:$AS1001,1)=1,1,0),0)</f>
        <v>0</v>
      </c>
      <c r="BB1001" s="55" t="str">
        <f>IF($BA1001=1,SUMIFS($Q$6:$Q$1005,$A$6:$A$1005,$A1001,$AS$6:$AS$1005,1),"")</f>
        <v/>
      </c>
      <c r="BC1001" s="56">
        <f>IF(ISNUMBER($R1001),1,0)</f>
        <v>0</v>
      </c>
      <c r="BD1001" s="55" t="str">
        <f>IF(ISNUMBER($U1001),$U1001*$V1001,"")</f>
        <v/>
      </c>
      <c r="BE1001" s="56" t="str">
        <f>IF($AM1001=0,"",IFERROR(MATCH($AF1001&amp;"|"&amp;UPPER(TRIM($E1001)),Lists!$A$6:$A$205,0),0))</f>
        <v/>
      </c>
      <c r="BF1001" s="56" t="str">
        <f>IF($AM1001=0,"",IFERROR(MATCH($AF1001,Settings!$B$14:$B$18,0),IFERROR(MATCH(Settings!$C$6,Settings!$B$14:$B$18,0),1)))</f>
        <v/>
      </c>
      <c r="BG1001" s="58" t="str">
        <f>IF($AM1001=0,"",IF(NOT(ISNUMBER($I1001)),"No stop; ","")&amp;IF(AND(ISNUMBER($H1001),ISNUMBER($I1001)),IF(OR(AND($F1001&lt;&gt;"Short",$I1001&gt;=$H1001),AND($F1001="Short",$I1001&lt;=$H1001)),"Stop on wrong side; ",""),"")&amp;IF($F1001="","No direction; ","")&amp;IF(AND(ISNUMBER(Settings!$C$22),ISNUMBER($V1001)),IF($V1001&gt;Settings!$C$22,"Risk over max $; ",""),"")&amp;IF(AND(ISNUMBER(Settings!$C$23),ISNUMBER($V1001),ISNUMBER($AP1001),IFERROR(N(INDEX(Accounts!$E$7:$E$16,MATCH($C1001,Accounts!$B$7:$B$16,0))),0)&gt;0),IF($V1001&gt;Settings!$C$23*($AP1001-N($Q1001)),"Risk over max %; ",""),"")&amp;IF(AND(ISNUMBER(Settings!$C$24),ISNUMBER($N1001)),IF($N1001&gt;Settings!$C$24,"Leverage over max; ",""),"")&amp;IF(AND(ISNUMBER(Settings!$C$27),ISNUMBER($T1001)),IF($T1001&lt;Settings!$C$27,"R:R below min; ",""),"")&amp;IF(ISNUMBER(Settings!$C$25),IF(COUNTIFS($A$6:$A1001,$A1001,$AM$6:$AM1001,1)&gt;Settings!$C$25,"Over max trades/day; ",""),"")&amp;IF(ISNUMBER(Settings!$C$26),IF(SUMIFS($Q$5:$Q1000,$A$5:$A1000,$A1001)&lt;=-Settings!$C$26,"Traded after daily max loss; ",""),"")&amp;IF(AND($AG1001="",NOT(ISNUMBER($O1001))),"Symbol not in Instruments; ","")&amp;IF(AND($AH1001="",NOT(ISNUMBER($O1001))),"Forex cross: type Gross P&amp;L; ",""))</f>
        <v/>
      </c>
      <c r="BH1001" s="56">
        <f>IF(ISNUMBER($Q1001),1,0)</f>
        <v>0</v>
      </c>
      <c r="BI1001" s="56">
        <f>IF($Y1001="",0,1)</f>
        <v>0</v>
      </c>
      <c r="BJ1001" s="56">
        <f>IF($AB1001="",0,1)</f>
        <v>0</v>
      </c>
      <c r="BK1001" s="56">
        <f>IF(AND($BH1001=1,$W1001&lt;&gt;"OK"),1,0)</f>
        <v>0</v>
      </c>
      <c r="BL1001" s="55">
        <f>IF(N($AZ1001)=0,0,IFERROR(INDEX($AT$6:$AT$1005,MATCH($AZ1001,$AY$6:$AY$1005,0)),0))</f>
        <v>1187.10688</v>
      </c>
      <c r="BM1001" s="56">
        <f>IF(ISNUMBER(SEARCH("daily max loss",$BG1001)),1,0)</f>
        <v>0</v>
      </c>
    </row>
    <row r="1002" ht="18" customHeight="1">
      <c r="A1002" s="38" t="n"/>
      <c r="B1002" s="39" t="n"/>
      <c r="C1002" s="40" t="n"/>
      <c r="D1002" s="41" t="n"/>
      <c r="E1002" s="41" t="n"/>
      <c r="F1002" s="41" t="n"/>
      <c r="G1002" s="41" t="n"/>
      <c r="H1002" s="42" t="n"/>
      <c r="I1002" s="42" t="n"/>
      <c r="J1002" s="42" t="n"/>
      <c r="K1002" s="42" t="n"/>
      <c r="L1002" s="41" t="n"/>
      <c r="M1002" s="41" t="n"/>
      <c r="N1002" s="41" t="n"/>
      <c r="O1002" s="43" t="n"/>
      <c r="P1002" s="43" t="n"/>
      <c r="Q1002" s="44" t="str">
        <f>IF($AM1002=0,"",IF(ISNUMBER($AK1002),$AK1002-N($AL1002),""))</f>
        <v/>
      </c>
      <c r="R1002" s="45" t="str">
        <f>IF(OR($Q1002="",NOT(ISNUMBER($V1002))),"",$AK1002/$V1002)</f>
        <v/>
      </c>
      <c r="S1002" s="46" t="str">
        <f>IF($Q1002="","",IF(AND(ISNUMBER($R1002),ABS(N($R1002))&lt;N(Settings!$C$8)),"Scratch",IF($Q1002&gt;0,"Win",IF($Q1002&lt;0,"Loss","Scratch"))))</f>
        <v/>
      </c>
      <c r="T1002" s="47" t="str">
        <f>IF(OR($AM1002=0,NOT(ISNUMBER($H1002)),NOT(ISNUMBER($I1002)),NOT(ISNUMBER($J1002))),"",IF($H1002=$I1002,"",ROUND(ABS($J1002-$H1002)/ABS($H1002-$I1002),6)))</f>
        <v/>
      </c>
      <c r="U1002" s="48" t="str">
        <f>IF(OR($S1002&lt;&gt;"Win",NOT(ISNUMBER($T1002)),NOT(ISNUMBER($R1002))),"",MAX(0,$T1002-$R1002))</f>
        <v/>
      </c>
      <c r="V1002" s="49" t="str">
        <f>IF(OR($AM1002=0,NOT(ISNUMBER($H1002)),NOT(ISNUMBER($I1002)),NOT(ISNUMBER($G1002))),"",IF(OR($AG1002="",$AH1002=""),"",IF(ROUND(ABS($H1002-$I1002)*ABS($G1002)*$AG1002*$AH1002,6)=0,"",ROUND(ABS($H1002-$I1002)*ABS($G1002)*$AG1002*$AH1002,6))))</f>
        <v/>
      </c>
      <c r="W1002" s="50" t="str">
        <f>IF($AM1002=0,"",IF($BG1002="","OK",LEFT($BG1002,LEN($BG1002)-2)))</f>
        <v/>
      </c>
      <c r="X1002" s="41" t="n"/>
      <c r="Y1002" s="40" t="n"/>
      <c r="Z1002" s="41" t="n"/>
      <c r="AA1002" s="41" t="n"/>
      <c r="AB1002" s="40" t="n"/>
      <c r="AC1002" s="51" t="n"/>
      <c r="AD1002" s="51" t="n"/>
      <c r="AE1002" s="40" t="n"/>
      <c r="AF1002" s="52" t="str">
        <f>IF($AM1002=0,"",IF($D1002&lt;&gt;"",$D1002,IF(IFERROR(INDEX(Accounts!$C$7:$C$16,MATCH($C1002,Accounts!$B$7:$B$16,0))&amp;"","")&lt;&gt;"",INDEX(Accounts!$C$7:$C$16,MATCH($C1002,Accounts!$B$7:$B$16,0)),Settings!$C$6)))</f>
        <v/>
      </c>
      <c r="AG1002" s="53" t="str">
        <f>IF($AM1002=0,"",IF(AND($BE1002&gt;0,N(INDEX(Instruments!$D$6:$D$205,MAX(1,$BE1002)))&gt;0),INDEX(Instruments!$D$6:$D$205,MAX(1,$BE1002)),IF(N(INDEX(Settings!$D$14:$D$18,$BF1002))&gt;0,INDEX(Settings!$D$14:$D$18,$BF1002),"")))</f>
        <v/>
      </c>
      <c r="AH1002" s="54" t="str">
        <f>IF($AM1002=0,"",IF($AF1002&lt;&gt;"Forex",1,IF(MID(UPPER(SUBSTITUTE(TRIM($E1002),"/","")),4,3)=UPPER(TRIM(Settings!$C$7)),1,IF(LEFT(UPPER(SUBSTITUTE(TRIM($E1002),"/","")),3)=UPPER(TRIM(Settings!$C$7)),IF(AND(ISNUMBER($K1002),N($K1002)&lt;&gt;0),1/$K1002,""),""))))</f>
        <v/>
      </c>
      <c r="AI1002" s="55" t="str">
        <f>IF($AM1002=0,"",IF(OR(NOT(ISNUMBER($H1002)),NOT(ISNUMBER($K1002)),NOT(ISNUMBER($G1002)),$AG1002="",$AH1002=""),"",ROUND(($K1002-$H1002)*IF($F1002="Short",-1,1)*$G1002*$AG1002*$AH1002,6)))</f>
        <v/>
      </c>
      <c r="AJ1002" s="55" t="str">
        <f>IF($AM1002=0,"",IF(INDEX(Settings!$E$14:$E$18,$BF1002)="% of notional",IF(OR($AG1002="",NOT(ISNUMBER($H1002)),NOT(ISNUMBER($G1002))),"",ROUND(ABS($H1002*$G1002*$AG1002*N($AH1002))*IF($L1002="Limit",N(INDEX(Settings!$G$14:$G$18,$BF1002)),N(INDEX(Settings!$H$14:$H$18,$BF1002)))+IF(ISNUMBER($K1002),ABS($K1002*$G1002*$AG1002*N($AH1002))*IF($M1002="Target",N(INDEX(Settings!$G$14:$G$18,$BF1002)),N(INDEX(Settings!$H$14:$H$18,$BF1002))),0),6)),IF(NOT(ISNUMBER($G1002)),"",ROUND(ABS($G1002)*2*IF(AND($BE1002&gt;0,ISNUMBER(INDEX(Instruments!$G$6:$G$205,MAX(1,$BE1002)))),INDEX(Instruments!$G$6:$G$205,MAX(1,$BE1002)),N(INDEX(Settings!$F$14:$F$18,$BF1002))),6))))</f>
        <v/>
      </c>
      <c r="AK1002" s="55" t="str">
        <f>IF($AM1002=0,"",IF(ISNUMBER($O1002),$O1002,$AI1002))</f>
        <v/>
      </c>
      <c r="AL1002" s="55" t="str">
        <f>IF($AM1002=0,"",IF(ISNUMBER($P1002),$P1002,N($AJ1002)))</f>
        <v/>
      </c>
      <c r="AM1002" s="56">
        <f>IF(AND($A1002&lt;&gt;"",$E1002&lt;&gt;"",OR(AND(ISNUMBER($G1002),ISNUMBER($H1002),ISNUMBER($K1002)),ISNUMBER($O1002))),1,0)</f>
        <v>0</v>
      </c>
      <c r="AN1002" s="57" t="str">
        <f>IF($A1002="","",$A1002-WEEKDAY($A1002,3))</f>
        <v/>
      </c>
      <c r="AO1002" s="56" t="str">
        <f>IF($A1002="","",WEEKDAY($A1002,2))</f>
        <v/>
      </c>
      <c r="AP1002" s="55" t="str">
        <f>IF(OR($AM1002=0,$C1002=""),"",IFERROR(N(INDEX(Accounts!$E$7:$E$16,MATCH($C1002,Accounts!$B$7:$B$16,0))),0)+SUMIFS($Q$6:$Q1002,$C$6:$C1002,$C1002))</f>
        <v/>
      </c>
      <c r="AQ1002" s="55" t="str">
        <f>IF(OR($AM1002=0,$C1002=""),"",SUMIFS($Q$6:$Q$1005,$C$6:$C$1005,$C1002,$A$6:$A$1005,$A1002))</f>
        <v/>
      </c>
      <c r="AR1002" s="55" t="str">
        <f>IF(OR($AM1002=0,$C1002=""),"",IFERROR(N(INDEX(Accounts!$E$7:$E$16,MATCH($C1002,Accounts!$B$7:$B$16,0))),0)+SUMIFS($Q$6:$Q$1005,$C$6:$C$1005,$C1002,$A$6:$A$1005,"&lt;="&amp;$A1002))</f>
        <v/>
      </c>
      <c r="AS1002" s="56">
        <f>IF(OR($AM1002=0,$Q1002=""),0,IF(AND($A1002&gt;=Lists!$W$6,$A1002&lt;=Lists!$W$7,OR(Dashboard!$D$6="All accounts",$C1002=Dashboard!$D$6),OR(Dashboard!$D$7="All markets",$AF1002=Dashboard!$D$7)),1,0))</f>
        <v>0</v>
      </c>
      <c r="AT1002" s="55">
        <f>IF($AS1002=1,N(AT1001)+$Q1002,N(AT1001))</f>
        <v>1187.10688</v>
      </c>
      <c r="AU1002" s="55">
        <f>MAX(N(AU1001),$AT1002)</f>
        <v>1187.10688</v>
      </c>
      <c r="AV1002" s="55">
        <f>$AT1002-$AU1002</f>
        <v>0</v>
      </c>
      <c r="AW1002" s="56">
        <f>IF($AS1002=1,IF($S1002="Win",N(AW1001)+1,IF($S1002="Loss",0,N(AW1001))),N(AW1001))</f>
        <v>5</v>
      </c>
      <c r="AX1002" s="56">
        <f>IF($AS1002=1,IF($S1002="Loss",N(AX1001)+1,IF($S1002="Win",0,N(AX1001))),N(AX1001))</f>
        <v>0</v>
      </c>
      <c r="AY1002" s="56" t="str">
        <f>IF($AS1002=1,COUNTIF($AS$6:$AS1002,1),"")</f>
        <v/>
      </c>
      <c r="AZ1002" s="56">
        <f>MIN(996,N(Lists!$W$8))</f>
        <v>28</v>
      </c>
      <c r="BA1002" s="56">
        <f>IF($AS1002=1,IF(COUNTIFS($A$6:$A1002,$A1002,$AS$6:$AS1002,1)=1,1,0),0)</f>
        <v>0</v>
      </c>
      <c r="BB1002" s="55" t="str">
        <f>IF($BA1002=1,SUMIFS($Q$6:$Q$1005,$A$6:$A$1005,$A1002,$AS$6:$AS$1005,1),"")</f>
        <v/>
      </c>
      <c r="BC1002" s="56">
        <f>IF(ISNUMBER($R1002),1,0)</f>
        <v>0</v>
      </c>
      <c r="BD1002" s="55" t="str">
        <f>IF(ISNUMBER($U1002),$U1002*$V1002,"")</f>
        <v/>
      </c>
      <c r="BE1002" s="56" t="str">
        <f>IF($AM1002=0,"",IFERROR(MATCH($AF1002&amp;"|"&amp;UPPER(TRIM($E1002)),Lists!$A$6:$A$205,0),0))</f>
        <v/>
      </c>
      <c r="BF1002" s="56" t="str">
        <f>IF($AM1002=0,"",IFERROR(MATCH($AF1002,Settings!$B$14:$B$18,0),IFERROR(MATCH(Settings!$C$6,Settings!$B$14:$B$18,0),1)))</f>
        <v/>
      </c>
      <c r="BG1002" s="58" t="str">
        <f>IF($AM1002=0,"",IF(NOT(ISNUMBER($I1002)),"No stop; ","")&amp;IF(AND(ISNUMBER($H1002),ISNUMBER($I1002)),IF(OR(AND($F1002&lt;&gt;"Short",$I1002&gt;=$H1002),AND($F1002="Short",$I1002&lt;=$H1002)),"Stop on wrong side; ",""),"")&amp;IF($F1002="","No direction; ","")&amp;IF(AND(ISNUMBER(Settings!$C$22),ISNUMBER($V1002)),IF($V1002&gt;Settings!$C$22,"Risk over max $; ",""),"")&amp;IF(AND(ISNUMBER(Settings!$C$23),ISNUMBER($V1002),ISNUMBER($AP1002),IFERROR(N(INDEX(Accounts!$E$7:$E$16,MATCH($C1002,Accounts!$B$7:$B$16,0))),0)&gt;0),IF($V1002&gt;Settings!$C$23*($AP1002-N($Q1002)),"Risk over max %; ",""),"")&amp;IF(AND(ISNUMBER(Settings!$C$24),ISNUMBER($N1002)),IF($N1002&gt;Settings!$C$24,"Leverage over max; ",""),"")&amp;IF(AND(ISNUMBER(Settings!$C$27),ISNUMBER($T1002)),IF($T1002&lt;Settings!$C$27,"R:R below min; ",""),"")&amp;IF(ISNUMBER(Settings!$C$25),IF(COUNTIFS($A$6:$A1002,$A1002,$AM$6:$AM1002,1)&gt;Settings!$C$25,"Over max trades/day; ",""),"")&amp;IF(ISNUMBER(Settings!$C$26),IF(SUMIFS($Q$5:$Q1001,$A$5:$A1001,$A1002)&lt;=-Settings!$C$26,"Traded after daily max loss; ",""),"")&amp;IF(AND($AG1002="",NOT(ISNUMBER($O1002))),"Symbol not in Instruments; ","")&amp;IF(AND($AH1002="",NOT(ISNUMBER($O1002))),"Forex cross: type Gross P&amp;L; ",""))</f>
        <v/>
      </c>
      <c r="BH1002" s="56">
        <f>IF(ISNUMBER($Q1002),1,0)</f>
        <v>0</v>
      </c>
      <c r="BI1002" s="56">
        <f>IF($Y1002="",0,1)</f>
        <v>0</v>
      </c>
      <c r="BJ1002" s="56">
        <f>IF($AB1002="",0,1)</f>
        <v>0</v>
      </c>
      <c r="BK1002" s="56">
        <f>IF(AND($BH1002=1,$W1002&lt;&gt;"OK"),1,0)</f>
        <v>0</v>
      </c>
      <c r="BL1002" s="55">
        <f>IF(N($AZ1002)=0,0,IFERROR(INDEX($AT$6:$AT$1005,MATCH($AZ1002,$AY$6:$AY$1005,0)),0))</f>
        <v>1187.10688</v>
      </c>
      <c r="BM1002" s="56">
        <f>IF(ISNUMBER(SEARCH("daily max loss",$BG1002)),1,0)</f>
        <v>0</v>
      </c>
    </row>
    <row r="1003" ht="18" customHeight="1">
      <c r="A1003" s="38" t="n"/>
      <c r="B1003" s="39" t="n"/>
      <c r="C1003" s="40" t="n"/>
      <c r="D1003" s="41" t="n"/>
      <c r="E1003" s="41" t="n"/>
      <c r="F1003" s="41" t="n"/>
      <c r="G1003" s="41" t="n"/>
      <c r="H1003" s="42" t="n"/>
      <c r="I1003" s="42" t="n"/>
      <c r="J1003" s="42" t="n"/>
      <c r="K1003" s="42" t="n"/>
      <c r="L1003" s="41" t="n"/>
      <c r="M1003" s="41" t="n"/>
      <c r="N1003" s="41" t="n"/>
      <c r="O1003" s="43" t="n"/>
      <c r="P1003" s="43" t="n"/>
      <c r="Q1003" s="44" t="str">
        <f>IF($AM1003=0,"",IF(ISNUMBER($AK1003),$AK1003-N($AL1003),""))</f>
        <v/>
      </c>
      <c r="R1003" s="45" t="str">
        <f>IF(OR($Q1003="",NOT(ISNUMBER($V1003))),"",$AK1003/$V1003)</f>
        <v/>
      </c>
      <c r="S1003" s="46" t="str">
        <f>IF($Q1003="","",IF(AND(ISNUMBER($R1003),ABS(N($R1003))&lt;N(Settings!$C$8)),"Scratch",IF($Q1003&gt;0,"Win",IF($Q1003&lt;0,"Loss","Scratch"))))</f>
        <v/>
      </c>
      <c r="T1003" s="47" t="str">
        <f>IF(OR($AM1003=0,NOT(ISNUMBER($H1003)),NOT(ISNUMBER($I1003)),NOT(ISNUMBER($J1003))),"",IF($H1003=$I1003,"",ROUND(ABS($J1003-$H1003)/ABS($H1003-$I1003),6)))</f>
        <v/>
      </c>
      <c r="U1003" s="48" t="str">
        <f>IF(OR($S1003&lt;&gt;"Win",NOT(ISNUMBER($T1003)),NOT(ISNUMBER($R1003))),"",MAX(0,$T1003-$R1003))</f>
        <v/>
      </c>
      <c r="V1003" s="49" t="str">
        <f>IF(OR($AM1003=0,NOT(ISNUMBER($H1003)),NOT(ISNUMBER($I1003)),NOT(ISNUMBER($G1003))),"",IF(OR($AG1003="",$AH1003=""),"",IF(ROUND(ABS($H1003-$I1003)*ABS($G1003)*$AG1003*$AH1003,6)=0,"",ROUND(ABS($H1003-$I1003)*ABS($G1003)*$AG1003*$AH1003,6))))</f>
        <v/>
      </c>
      <c r="W1003" s="50" t="str">
        <f>IF($AM1003=0,"",IF($BG1003="","OK",LEFT($BG1003,LEN($BG1003)-2)))</f>
        <v/>
      </c>
      <c r="X1003" s="41" t="n"/>
      <c r="Y1003" s="40" t="n"/>
      <c r="Z1003" s="41" t="n"/>
      <c r="AA1003" s="41" t="n"/>
      <c r="AB1003" s="40" t="n"/>
      <c r="AC1003" s="51" t="n"/>
      <c r="AD1003" s="51" t="n"/>
      <c r="AE1003" s="40" t="n"/>
      <c r="AF1003" s="52" t="str">
        <f>IF($AM1003=0,"",IF($D1003&lt;&gt;"",$D1003,IF(IFERROR(INDEX(Accounts!$C$7:$C$16,MATCH($C1003,Accounts!$B$7:$B$16,0))&amp;"","")&lt;&gt;"",INDEX(Accounts!$C$7:$C$16,MATCH($C1003,Accounts!$B$7:$B$16,0)),Settings!$C$6)))</f>
        <v/>
      </c>
      <c r="AG1003" s="53" t="str">
        <f>IF($AM1003=0,"",IF(AND($BE1003&gt;0,N(INDEX(Instruments!$D$6:$D$205,MAX(1,$BE1003)))&gt;0),INDEX(Instruments!$D$6:$D$205,MAX(1,$BE1003)),IF(N(INDEX(Settings!$D$14:$D$18,$BF1003))&gt;0,INDEX(Settings!$D$14:$D$18,$BF1003),"")))</f>
        <v/>
      </c>
      <c r="AH1003" s="54" t="str">
        <f>IF($AM1003=0,"",IF($AF1003&lt;&gt;"Forex",1,IF(MID(UPPER(SUBSTITUTE(TRIM($E1003),"/","")),4,3)=UPPER(TRIM(Settings!$C$7)),1,IF(LEFT(UPPER(SUBSTITUTE(TRIM($E1003),"/","")),3)=UPPER(TRIM(Settings!$C$7)),IF(AND(ISNUMBER($K1003),N($K1003)&lt;&gt;0),1/$K1003,""),""))))</f>
        <v/>
      </c>
      <c r="AI1003" s="55" t="str">
        <f>IF($AM1003=0,"",IF(OR(NOT(ISNUMBER($H1003)),NOT(ISNUMBER($K1003)),NOT(ISNUMBER($G1003)),$AG1003="",$AH1003=""),"",ROUND(($K1003-$H1003)*IF($F1003="Short",-1,1)*$G1003*$AG1003*$AH1003,6)))</f>
        <v/>
      </c>
      <c r="AJ1003" s="55" t="str">
        <f>IF($AM1003=0,"",IF(INDEX(Settings!$E$14:$E$18,$BF1003)="% of notional",IF(OR($AG1003="",NOT(ISNUMBER($H1003)),NOT(ISNUMBER($G1003))),"",ROUND(ABS($H1003*$G1003*$AG1003*N($AH1003))*IF($L1003="Limit",N(INDEX(Settings!$G$14:$G$18,$BF1003)),N(INDEX(Settings!$H$14:$H$18,$BF1003)))+IF(ISNUMBER($K1003),ABS($K1003*$G1003*$AG1003*N($AH1003))*IF($M1003="Target",N(INDEX(Settings!$G$14:$G$18,$BF1003)),N(INDEX(Settings!$H$14:$H$18,$BF1003))),0),6)),IF(NOT(ISNUMBER($G1003)),"",ROUND(ABS($G1003)*2*IF(AND($BE1003&gt;0,ISNUMBER(INDEX(Instruments!$G$6:$G$205,MAX(1,$BE1003)))),INDEX(Instruments!$G$6:$G$205,MAX(1,$BE1003)),N(INDEX(Settings!$F$14:$F$18,$BF1003))),6))))</f>
        <v/>
      </c>
      <c r="AK1003" s="55" t="str">
        <f>IF($AM1003=0,"",IF(ISNUMBER($O1003),$O1003,$AI1003))</f>
        <v/>
      </c>
      <c r="AL1003" s="55" t="str">
        <f>IF($AM1003=0,"",IF(ISNUMBER($P1003),$P1003,N($AJ1003)))</f>
        <v/>
      </c>
      <c r="AM1003" s="56">
        <f>IF(AND($A1003&lt;&gt;"",$E1003&lt;&gt;"",OR(AND(ISNUMBER($G1003),ISNUMBER($H1003),ISNUMBER($K1003)),ISNUMBER($O1003))),1,0)</f>
        <v>0</v>
      </c>
      <c r="AN1003" s="57" t="str">
        <f>IF($A1003="","",$A1003-WEEKDAY($A1003,3))</f>
        <v/>
      </c>
      <c r="AO1003" s="56" t="str">
        <f>IF($A1003="","",WEEKDAY($A1003,2))</f>
        <v/>
      </c>
      <c r="AP1003" s="55" t="str">
        <f>IF(OR($AM1003=0,$C1003=""),"",IFERROR(N(INDEX(Accounts!$E$7:$E$16,MATCH($C1003,Accounts!$B$7:$B$16,0))),0)+SUMIFS($Q$6:$Q1003,$C$6:$C1003,$C1003))</f>
        <v/>
      </c>
      <c r="AQ1003" s="55" t="str">
        <f>IF(OR($AM1003=0,$C1003=""),"",SUMIFS($Q$6:$Q$1005,$C$6:$C$1005,$C1003,$A$6:$A$1005,$A1003))</f>
        <v/>
      </c>
      <c r="AR1003" s="55" t="str">
        <f>IF(OR($AM1003=0,$C1003=""),"",IFERROR(N(INDEX(Accounts!$E$7:$E$16,MATCH($C1003,Accounts!$B$7:$B$16,0))),0)+SUMIFS($Q$6:$Q$1005,$C$6:$C$1005,$C1003,$A$6:$A$1005,"&lt;="&amp;$A1003))</f>
        <v/>
      </c>
      <c r="AS1003" s="56">
        <f>IF(OR($AM1003=0,$Q1003=""),0,IF(AND($A1003&gt;=Lists!$W$6,$A1003&lt;=Lists!$W$7,OR(Dashboard!$D$6="All accounts",$C1003=Dashboard!$D$6),OR(Dashboard!$D$7="All markets",$AF1003=Dashboard!$D$7)),1,0))</f>
        <v>0</v>
      </c>
      <c r="AT1003" s="55">
        <f>IF($AS1003=1,N(AT1002)+$Q1003,N(AT1002))</f>
        <v>1187.10688</v>
      </c>
      <c r="AU1003" s="55">
        <f>MAX(N(AU1002),$AT1003)</f>
        <v>1187.10688</v>
      </c>
      <c r="AV1003" s="55">
        <f>$AT1003-$AU1003</f>
        <v>0</v>
      </c>
      <c r="AW1003" s="56">
        <f>IF($AS1003=1,IF($S1003="Win",N(AW1002)+1,IF($S1003="Loss",0,N(AW1002))),N(AW1002))</f>
        <v>5</v>
      </c>
      <c r="AX1003" s="56">
        <f>IF($AS1003=1,IF($S1003="Loss",N(AX1002)+1,IF($S1003="Win",0,N(AX1002))),N(AX1002))</f>
        <v>0</v>
      </c>
      <c r="AY1003" s="56" t="str">
        <f>IF($AS1003=1,COUNTIF($AS$6:$AS1003,1),"")</f>
        <v/>
      </c>
      <c r="AZ1003" s="56">
        <f>MIN(997,N(Lists!$W$8))</f>
        <v>28</v>
      </c>
      <c r="BA1003" s="56">
        <f>IF($AS1003=1,IF(COUNTIFS($A$6:$A1003,$A1003,$AS$6:$AS1003,1)=1,1,0),0)</f>
        <v>0</v>
      </c>
      <c r="BB1003" s="55" t="str">
        <f>IF($BA1003=1,SUMIFS($Q$6:$Q$1005,$A$6:$A$1005,$A1003,$AS$6:$AS$1005,1),"")</f>
        <v/>
      </c>
      <c r="BC1003" s="56">
        <f>IF(ISNUMBER($R1003),1,0)</f>
        <v>0</v>
      </c>
      <c r="BD1003" s="55" t="str">
        <f>IF(ISNUMBER($U1003),$U1003*$V1003,"")</f>
        <v/>
      </c>
      <c r="BE1003" s="56" t="str">
        <f>IF($AM1003=0,"",IFERROR(MATCH($AF1003&amp;"|"&amp;UPPER(TRIM($E1003)),Lists!$A$6:$A$205,0),0))</f>
        <v/>
      </c>
      <c r="BF1003" s="56" t="str">
        <f>IF($AM1003=0,"",IFERROR(MATCH($AF1003,Settings!$B$14:$B$18,0),IFERROR(MATCH(Settings!$C$6,Settings!$B$14:$B$18,0),1)))</f>
        <v/>
      </c>
      <c r="BG1003" s="58" t="str">
        <f>IF($AM1003=0,"",IF(NOT(ISNUMBER($I1003)),"No stop; ","")&amp;IF(AND(ISNUMBER($H1003),ISNUMBER($I1003)),IF(OR(AND($F1003&lt;&gt;"Short",$I1003&gt;=$H1003),AND($F1003="Short",$I1003&lt;=$H1003)),"Stop on wrong side; ",""),"")&amp;IF($F1003="","No direction; ","")&amp;IF(AND(ISNUMBER(Settings!$C$22),ISNUMBER($V1003)),IF($V1003&gt;Settings!$C$22,"Risk over max $; ",""),"")&amp;IF(AND(ISNUMBER(Settings!$C$23),ISNUMBER($V1003),ISNUMBER($AP1003),IFERROR(N(INDEX(Accounts!$E$7:$E$16,MATCH($C1003,Accounts!$B$7:$B$16,0))),0)&gt;0),IF($V1003&gt;Settings!$C$23*($AP1003-N($Q1003)),"Risk over max %; ",""),"")&amp;IF(AND(ISNUMBER(Settings!$C$24),ISNUMBER($N1003)),IF($N1003&gt;Settings!$C$24,"Leverage over max; ",""),"")&amp;IF(AND(ISNUMBER(Settings!$C$27),ISNUMBER($T1003)),IF($T1003&lt;Settings!$C$27,"R:R below min; ",""),"")&amp;IF(ISNUMBER(Settings!$C$25),IF(COUNTIFS($A$6:$A1003,$A1003,$AM$6:$AM1003,1)&gt;Settings!$C$25,"Over max trades/day; ",""),"")&amp;IF(ISNUMBER(Settings!$C$26),IF(SUMIFS($Q$5:$Q1002,$A$5:$A1002,$A1003)&lt;=-Settings!$C$26,"Traded after daily max loss; ",""),"")&amp;IF(AND($AG1003="",NOT(ISNUMBER($O1003))),"Symbol not in Instruments; ","")&amp;IF(AND($AH1003="",NOT(ISNUMBER($O1003))),"Forex cross: type Gross P&amp;L; ",""))</f>
        <v/>
      </c>
      <c r="BH1003" s="56">
        <f>IF(ISNUMBER($Q1003),1,0)</f>
        <v>0</v>
      </c>
      <c r="BI1003" s="56">
        <f>IF($Y1003="",0,1)</f>
        <v>0</v>
      </c>
      <c r="BJ1003" s="56">
        <f>IF($AB1003="",0,1)</f>
        <v>0</v>
      </c>
      <c r="BK1003" s="56">
        <f>IF(AND($BH1003=1,$W1003&lt;&gt;"OK"),1,0)</f>
        <v>0</v>
      </c>
      <c r="BL1003" s="55">
        <f>IF(N($AZ1003)=0,0,IFERROR(INDEX($AT$6:$AT$1005,MATCH($AZ1003,$AY$6:$AY$1005,0)),0))</f>
        <v>1187.10688</v>
      </c>
      <c r="BM1003" s="56">
        <f>IF(ISNUMBER(SEARCH("daily max loss",$BG1003)),1,0)</f>
        <v>0</v>
      </c>
    </row>
    <row r="1004" ht="18" customHeight="1">
      <c r="A1004" s="38" t="n"/>
      <c r="B1004" s="39" t="n"/>
      <c r="C1004" s="40" t="n"/>
      <c r="D1004" s="41" t="n"/>
      <c r="E1004" s="41" t="n"/>
      <c r="F1004" s="41" t="n"/>
      <c r="G1004" s="41" t="n"/>
      <c r="H1004" s="42" t="n"/>
      <c r="I1004" s="42" t="n"/>
      <c r="J1004" s="42" t="n"/>
      <c r="K1004" s="42" t="n"/>
      <c r="L1004" s="41" t="n"/>
      <c r="M1004" s="41" t="n"/>
      <c r="N1004" s="41" t="n"/>
      <c r="O1004" s="43" t="n"/>
      <c r="P1004" s="43" t="n"/>
      <c r="Q1004" s="44" t="str">
        <f>IF($AM1004=0,"",IF(ISNUMBER($AK1004),$AK1004-N($AL1004),""))</f>
        <v/>
      </c>
      <c r="R1004" s="45" t="str">
        <f>IF(OR($Q1004="",NOT(ISNUMBER($V1004))),"",$AK1004/$V1004)</f>
        <v/>
      </c>
      <c r="S1004" s="46" t="str">
        <f>IF($Q1004="","",IF(AND(ISNUMBER($R1004),ABS(N($R1004))&lt;N(Settings!$C$8)),"Scratch",IF($Q1004&gt;0,"Win",IF($Q1004&lt;0,"Loss","Scratch"))))</f>
        <v/>
      </c>
      <c r="T1004" s="47" t="str">
        <f>IF(OR($AM1004=0,NOT(ISNUMBER($H1004)),NOT(ISNUMBER($I1004)),NOT(ISNUMBER($J1004))),"",IF($H1004=$I1004,"",ROUND(ABS($J1004-$H1004)/ABS($H1004-$I1004),6)))</f>
        <v/>
      </c>
      <c r="U1004" s="48" t="str">
        <f>IF(OR($S1004&lt;&gt;"Win",NOT(ISNUMBER($T1004)),NOT(ISNUMBER($R1004))),"",MAX(0,$T1004-$R1004))</f>
        <v/>
      </c>
      <c r="V1004" s="49" t="str">
        <f>IF(OR($AM1004=0,NOT(ISNUMBER($H1004)),NOT(ISNUMBER($I1004)),NOT(ISNUMBER($G1004))),"",IF(OR($AG1004="",$AH1004=""),"",IF(ROUND(ABS($H1004-$I1004)*ABS($G1004)*$AG1004*$AH1004,6)=0,"",ROUND(ABS($H1004-$I1004)*ABS($G1004)*$AG1004*$AH1004,6))))</f>
        <v/>
      </c>
      <c r="W1004" s="50" t="str">
        <f>IF($AM1004=0,"",IF($BG1004="","OK",LEFT($BG1004,LEN($BG1004)-2)))</f>
        <v/>
      </c>
      <c r="X1004" s="41" t="n"/>
      <c r="Y1004" s="40" t="n"/>
      <c r="Z1004" s="41" t="n"/>
      <c r="AA1004" s="41" t="n"/>
      <c r="AB1004" s="40" t="n"/>
      <c r="AC1004" s="51" t="n"/>
      <c r="AD1004" s="51" t="n"/>
      <c r="AE1004" s="40" t="n"/>
      <c r="AF1004" s="52" t="str">
        <f>IF($AM1004=0,"",IF($D1004&lt;&gt;"",$D1004,IF(IFERROR(INDEX(Accounts!$C$7:$C$16,MATCH($C1004,Accounts!$B$7:$B$16,0))&amp;"","")&lt;&gt;"",INDEX(Accounts!$C$7:$C$16,MATCH($C1004,Accounts!$B$7:$B$16,0)),Settings!$C$6)))</f>
        <v/>
      </c>
      <c r="AG1004" s="53" t="str">
        <f>IF($AM1004=0,"",IF(AND($BE1004&gt;0,N(INDEX(Instruments!$D$6:$D$205,MAX(1,$BE1004)))&gt;0),INDEX(Instruments!$D$6:$D$205,MAX(1,$BE1004)),IF(N(INDEX(Settings!$D$14:$D$18,$BF1004))&gt;0,INDEX(Settings!$D$14:$D$18,$BF1004),"")))</f>
        <v/>
      </c>
      <c r="AH1004" s="54" t="str">
        <f>IF($AM1004=0,"",IF($AF1004&lt;&gt;"Forex",1,IF(MID(UPPER(SUBSTITUTE(TRIM($E1004),"/","")),4,3)=UPPER(TRIM(Settings!$C$7)),1,IF(LEFT(UPPER(SUBSTITUTE(TRIM($E1004),"/","")),3)=UPPER(TRIM(Settings!$C$7)),IF(AND(ISNUMBER($K1004),N($K1004)&lt;&gt;0),1/$K1004,""),""))))</f>
        <v/>
      </c>
      <c r="AI1004" s="55" t="str">
        <f>IF($AM1004=0,"",IF(OR(NOT(ISNUMBER($H1004)),NOT(ISNUMBER($K1004)),NOT(ISNUMBER($G1004)),$AG1004="",$AH1004=""),"",ROUND(($K1004-$H1004)*IF($F1004="Short",-1,1)*$G1004*$AG1004*$AH1004,6)))</f>
        <v/>
      </c>
      <c r="AJ1004" s="55" t="str">
        <f>IF($AM1004=0,"",IF(INDEX(Settings!$E$14:$E$18,$BF1004)="% of notional",IF(OR($AG1004="",NOT(ISNUMBER($H1004)),NOT(ISNUMBER($G1004))),"",ROUND(ABS($H1004*$G1004*$AG1004*N($AH1004))*IF($L1004="Limit",N(INDEX(Settings!$G$14:$G$18,$BF1004)),N(INDEX(Settings!$H$14:$H$18,$BF1004)))+IF(ISNUMBER($K1004),ABS($K1004*$G1004*$AG1004*N($AH1004))*IF($M1004="Target",N(INDEX(Settings!$G$14:$G$18,$BF1004)),N(INDEX(Settings!$H$14:$H$18,$BF1004))),0),6)),IF(NOT(ISNUMBER($G1004)),"",ROUND(ABS($G1004)*2*IF(AND($BE1004&gt;0,ISNUMBER(INDEX(Instruments!$G$6:$G$205,MAX(1,$BE1004)))),INDEX(Instruments!$G$6:$G$205,MAX(1,$BE1004)),N(INDEX(Settings!$F$14:$F$18,$BF1004))),6))))</f>
        <v/>
      </c>
      <c r="AK1004" s="55" t="str">
        <f>IF($AM1004=0,"",IF(ISNUMBER($O1004),$O1004,$AI1004))</f>
        <v/>
      </c>
      <c r="AL1004" s="55" t="str">
        <f>IF($AM1004=0,"",IF(ISNUMBER($P1004),$P1004,N($AJ1004)))</f>
        <v/>
      </c>
      <c r="AM1004" s="56">
        <f>IF(AND($A1004&lt;&gt;"",$E1004&lt;&gt;"",OR(AND(ISNUMBER($G1004),ISNUMBER($H1004),ISNUMBER($K1004)),ISNUMBER($O1004))),1,0)</f>
        <v>0</v>
      </c>
      <c r="AN1004" s="57" t="str">
        <f>IF($A1004="","",$A1004-WEEKDAY($A1004,3))</f>
        <v/>
      </c>
      <c r="AO1004" s="56" t="str">
        <f>IF($A1004="","",WEEKDAY($A1004,2))</f>
        <v/>
      </c>
      <c r="AP1004" s="55" t="str">
        <f>IF(OR($AM1004=0,$C1004=""),"",IFERROR(N(INDEX(Accounts!$E$7:$E$16,MATCH($C1004,Accounts!$B$7:$B$16,0))),0)+SUMIFS($Q$6:$Q1004,$C$6:$C1004,$C1004))</f>
        <v/>
      </c>
      <c r="AQ1004" s="55" t="str">
        <f>IF(OR($AM1004=0,$C1004=""),"",SUMIFS($Q$6:$Q$1005,$C$6:$C$1005,$C1004,$A$6:$A$1005,$A1004))</f>
        <v/>
      </c>
      <c r="AR1004" s="55" t="str">
        <f>IF(OR($AM1004=0,$C1004=""),"",IFERROR(N(INDEX(Accounts!$E$7:$E$16,MATCH($C1004,Accounts!$B$7:$B$16,0))),0)+SUMIFS($Q$6:$Q$1005,$C$6:$C$1005,$C1004,$A$6:$A$1005,"&lt;="&amp;$A1004))</f>
        <v/>
      </c>
      <c r="AS1004" s="56">
        <f>IF(OR($AM1004=0,$Q1004=""),0,IF(AND($A1004&gt;=Lists!$W$6,$A1004&lt;=Lists!$W$7,OR(Dashboard!$D$6="All accounts",$C1004=Dashboard!$D$6),OR(Dashboard!$D$7="All markets",$AF1004=Dashboard!$D$7)),1,0))</f>
        <v>0</v>
      </c>
      <c r="AT1004" s="55">
        <f>IF($AS1004=1,N(AT1003)+$Q1004,N(AT1003))</f>
        <v>1187.10688</v>
      </c>
      <c r="AU1004" s="55">
        <f>MAX(N(AU1003),$AT1004)</f>
        <v>1187.10688</v>
      </c>
      <c r="AV1004" s="55">
        <f>$AT1004-$AU1004</f>
        <v>0</v>
      </c>
      <c r="AW1004" s="56">
        <f>IF($AS1004=1,IF($S1004="Win",N(AW1003)+1,IF($S1004="Loss",0,N(AW1003))),N(AW1003))</f>
        <v>5</v>
      </c>
      <c r="AX1004" s="56">
        <f>IF($AS1004=1,IF($S1004="Loss",N(AX1003)+1,IF($S1004="Win",0,N(AX1003))),N(AX1003))</f>
        <v>0</v>
      </c>
      <c r="AY1004" s="56" t="str">
        <f>IF($AS1004=1,COUNTIF($AS$6:$AS1004,1),"")</f>
        <v/>
      </c>
      <c r="AZ1004" s="56">
        <f>MIN(998,N(Lists!$W$8))</f>
        <v>28</v>
      </c>
      <c r="BA1004" s="56">
        <f>IF($AS1004=1,IF(COUNTIFS($A$6:$A1004,$A1004,$AS$6:$AS1004,1)=1,1,0),0)</f>
        <v>0</v>
      </c>
      <c r="BB1004" s="55" t="str">
        <f>IF($BA1004=1,SUMIFS($Q$6:$Q$1005,$A$6:$A$1005,$A1004,$AS$6:$AS$1005,1),"")</f>
        <v/>
      </c>
      <c r="BC1004" s="56">
        <f>IF(ISNUMBER($R1004),1,0)</f>
        <v>0</v>
      </c>
      <c r="BD1004" s="55" t="str">
        <f>IF(ISNUMBER($U1004),$U1004*$V1004,"")</f>
        <v/>
      </c>
      <c r="BE1004" s="56" t="str">
        <f>IF($AM1004=0,"",IFERROR(MATCH($AF1004&amp;"|"&amp;UPPER(TRIM($E1004)),Lists!$A$6:$A$205,0),0))</f>
        <v/>
      </c>
      <c r="BF1004" s="56" t="str">
        <f>IF($AM1004=0,"",IFERROR(MATCH($AF1004,Settings!$B$14:$B$18,0),IFERROR(MATCH(Settings!$C$6,Settings!$B$14:$B$18,0),1)))</f>
        <v/>
      </c>
      <c r="BG1004" s="58" t="str">
        <f>IF($AM1004=0,"",IF(NOT(ISNUMBER($I1004)),"No stop; ","")&amp;IF(AND(ISNUMBER($H1004),ISNUMBER($I1004)),IF(OR(AND($F1004&lt;&gt;"Short",$I1004&gt;=$H1004),AND($F1004="Short",$I1004&lt;=$H1004)),"Stop on wrong side; ",""),"")&amp;IF($F1004="","No direction; ","")&amp;IF(AND(ISNUMBER(Settings!$C$22),ISNUMBER($V1004)),IF($V1004&gt;Settings!$C$22,"Risk over max $; ",""),"")&amp;IF(AND(ISNUMBER(Settings!$C$23),ISNUMBER($V1004),ISNUMBER($AP1004),IFERROR(N(INDEX(Accounts!$E$7:$E$16,MATCH($C1004,Accounts!$B$7:$B$16,0))),0)&gt;0),IF($V1004&gt;Settings!$C$23*($AP1004-N($Q1004)),"Risk over max %; ",""),"")&amp;IF(AND(ISNUMBER(Settings!$C$24),ISNUMBER($N1004)),IF($N1004&gt;Settings!$C$24,"Leverage over max; ",""),"")&amp;IF(AND(ISNUMBER(Settings!$C$27),ISNUMBER($T1004)),IF($T1004&lt;Settings!$C$27,"R:R below min; ",""),"")&amp;IF(ISNUMBER(Settings!$C$25),IF(COUNTIFS($A$6:$A1004,$A1004,$AM$6:$AM1004,1)&gt;Settings!$C$25,"Over max trades/day; ",""),"")&amp;IF(ISNUMBER(Settings!$C$26),IF(SUMIFS($Q$5:$Q1003,$A$5:$A1003,$A1004)&lt;=-Settings!$C$26,"Traded after daily max loss; ",""),"")&amp;IF(AND($AG1004="",NOT(ISNUMBER($O1004))),"Symbol not in Instruments; ","")&amp;IF(AND($AH1004="",NOT(ISNUMBER($O1004))),"Forex cross: type Gross P&amp;L; ",""))</f>
        <v/>
      </c>
      <c r="BH1004" s="56">
        <f>IF(ISNUMBER($Q1004),1,0)</f>
        <v>0</v>
      </c>
      <c r="BI1004" s="56">
        <f>IF($Y1004="",0,1)</f>
        <v>0</v>
      </c>
      <c r="BJ1004" s="56">
        <f>IF($AB1004="",0,1)</f>
        <v>0</v>
      </c>
      <c r="BK1004" s="56">
        <f>IF(AND($BH1004=1,$W1004&lt;&gt;"OK"),1,0)</f>
        <v>0</v>
      </c>
      <c r="BL1004" s="55">
        <f>IF(N($AZ1004)=0,0,IFERROR(INDEX($AT$6:$AT$1005,MATCH($AZ1004,$AY$6:$AY$1005,0)),0))</f>
        <v>1187.10688</v>
      </c>
      <c r="BM1004" s="56">
        <f>IF(ISNUMBER(SEARCH("daily max loss",$BG1004)),1,0)</f>
        <v>0</v>
      </c>
    </row>
    <row r="1005" ht="18" customHeight="1">
      <c r="A1005" s="38" t="n"/>
      <c r="B1005" s="39" t="n"/>
      <c r="C1005" s="40" t="n"/>
      <c r="D1005" s="41" t="n"/>
      <c r="E1005" s="41" t="n"/>
      <c r="F1005" s="41" t="n"/>
      <c r="G1005" s="41" t="n"/>
      <c r="H1005" s="42" t="n"/>
      <c r="I1005" s="42" t="n"/>
      <c r="J1005" s="42" t="n"/>
      <c r="K1005" s="42" t="n"/>
      <c r="L1005" s="41" t="n"/>
      <c r="M1005" s="41" t="n"/>
      <c r="N1005" s="41" t="n"/>
      <c r="O1005" s="43" t="n"/>
      <c r="P1005" s="43" t="n"/>
      <c r="Q1005" s="44" t="str">
        <f>IF($AM1005=0,"",IF(ISNUMBER($AK1005),$AK1005-N($AL1005),""))</f>
        <v/>
      </c>
      <c r="R1005" s="45" t="str">
        <f>IF(OR($Q1005="",NOT(ISNUMBER($V1005))),"",$AK1005/$V1005)</f>
        <v/>
      </c>
      <c r="S1005" s="46" t="str">
        <f>IF($Q1005="","",IF(AND(ISNUMBER($R1005),ABS(N($R1005))&lt;N(Settings!$C$8)),"Scratch",IF($Q1005&gt;0,"Win",IF($Q1005&lt;0,"Loss","Scratch"))))</f>
        <v/>
      </c>
      <c r="T1005" s="47" t="str">
        <f>IF(OR($AM1005=0,NOT(ISNUMBER($H1005)),NOT(ISNUMBER($I1005)),NOT(ISNUMBER($J1005))),"",IF($H1005=$I1005,"",ROUND(ABS($J1005-$H1005)/ABS($H1005-$I1005),6)))</f>
        <v/>
      </c>
      <c r="U1005" s="48" t="str">
        <f>IF(OR($S1005&lt;&gt;"Win",NOT(ISNUMBER($T1005)),NOT(ISNUMBER($R1005))),"",MAX(0,$T1005-$R1005))</f>
        <v/>
      </c>
      <c r="V1005" s="49" t="str">
        <f>IF(OR($AM1005=0,NOT(ISNUMBER($H1005)),NOT(ISNUMBER($I1005)),NOT(ISNUMBER($G1005))),"",IF(OR($AG1005="",$AH1005=""),"",IF(ROUND(ABS($H1005-$I1005)*ABS($G1005)*$AG1005*$AH1005,6)=0,"",ROUND(ABS($H1005-$I1005)*ABS($G1005)*$AG1005*$AH1005,6))))</f>
        <v/>
      </c>
      <c r="W1005" s="50" t="str">
        <f>IF($AM1005=0,"",IF($BG1005="","OK",LEFT($BG1005,LEN($BG1005)-2)))</f>
        <v/>
      </c>
      <c r="X1005" s="41" t="n"/>
      <c r="Y1005" s="40" t="n"/>
      <c r="Z1005" s="41" t="n"/>
      <c r="AA1005" s="41" t="n"/>
      <c r="AB1005" s="40" t="n"/>
      <c r="AC1005" s="51" t="n"/>
      <c r="AD1005" s="51" t="n"/>
      <c r="AE1005" s="40" t="n"/>
      <c r="AF1005" s="52" t="str">
        <f>IF($AM1005=0,"",IF($D1005&lt;&gt;"",$D1005,IF(IFERROR(INDEX(Accounts!$C$7:$C$16,MATCH($C1005,Accounts!$B$7:$B$16,0))&amp;"","")&lt;&gt;"",INDEX(Accounts!$C$7:$C$16,MATCH($C1005,Accounts!$B$7:$B$16,0)),Settings!$C$6)))</f>
        <v/>
      </c>
      <c r="AG1005" s="53" t="str">
        <f>IF($AM1005=0,"",IF(AND($BE1005&gt;0,N(INDEX(Instruments!$D$6:$D$205,MAX(1,$BE1005)))&gt;0),INDEX(Instruments!$D$6:$D$205,MAX(1,$BE1005)),IF(N(INDEX(Settings!$D$14:$D$18,$BF1005))&gt;0,INDEX(Settings!$D$14:$D$18,$BF1005),"")))</f>
        <v/>
      </c>
      <c r="AH1005" s="54" t="str">
        <f>IF($AM1005=0,"",IF($AF1005&lt;&gt;"Forex",1,IF(MID(UPPER(SUBSTITUTE(TRIM($E1005),"/","")),4,3)=UPPER(TRIM(Settings!$C$7)),1,IF(LEFT(UPPER(SUBSTITUTE(TRIM($E1005),"/","")),3)=UPPER(TRIM(Settings!$C$7)),IF(AND(ISNUMBER($K1005),N($K1005)&lt;&gt;0),1/$K1005,""),""))))</f>
        <v/>
      </c>
      <c r="AI1005" s="55" t="str">
        <f>IF($AM1005=0,"",IF(OR(NOT(ISNUMBER($H1005)),NOT(ISNUMBER($K1005)),NOT(ISNUMBER($G1005)),$AG1005="",$AH1005=""),"",ROUND(($K1005-$H1005)*IF($F1005="Short",-1,1)*$G1005*$AG1005*$AH1005,6)))</f>
        <v/>
      </c>
      <c r="AJ1005" s="55" t="str">
        <f>IF($AM1005=0,"",IF(INDEX(Settings!$E$14:$E$18,$BF1005)="% of notional",IF(OR($AG1005="",NOT(ISNUMBER($H1005)),NOT(ISNUMBER($G1005))),"",ROUND(ABS($H1005*$G1005*$AG1005*N($AH1005))*IF($L1005="Limit",N(INDEX(Settings!$G$14:$G$18,$BF1005)),N(INDEX(Settings!$H$14:$H$18,$BF1005)))+IF(ISNUMBER($K1005),ABS($K1005*$G1005*$AG1005*N($AH1005))*IF($M1005="Target",N(INDEX(Settings!$G$14:$G$18,$BF1005)),N(INDEX(Settings!$H$14:$H$18,$BF1005))),0),6)),IF(NOT(ISNUMBER($G1005)),"",ROUND(ABS($G1005)*2*IF(AND($BE1005&gt;0,ISNUMBER(INDEX(Instruments!$G$6:$G$205,MAX(1,$BE1005)))),INDEX(Instruments!$G$6:$G$205,MAX(1,$BE1005)),N(INDEX(Settings!$F$14:$F$18,$BF1005))),6))))</f>
        <v/>
      </c>
      <c r="AK1005" s="55" t="str">
        <f>IF($AM1005=0,"",IF(ISNUMBER($O1005),$O1005,$AI1005))</f>
        <v/>
      </c>
      <c r="AL1005" s="55" t="str">
        <f>IF($AM1005=0,"",IF(ISNUMBER($P1005),$P1005,N($AJ1005)))</f>
        <v/>
      </c>
      <c r="AM1005" s="56">
        <f>IF(AND($A1005&lt;&gt;"",$E1005&lt;&gt;"",OR(AND(ISNUMBER($G1005),ISNUMBER($H1005),ISNUMBER($K1005)),ISNUMBER($O1005))),1,0)</f>
        <v>0</v>
      </c>
      <c r="AN1005" s="57" t="str">
        <f>IF($A1005="","",$A1005-WEEKDAY($A1005,3))</f>
        <v/>
      </c>
      <c r="AO1005" s="56" t="str">
        <f>IF($A1005="","",WEEKDAY($A1005,2))</f>
        <v/>
      </c>
      <c r="AP1005" s="55" t="str">
        <f>IF(OR($AM1005=0,$C1005=""),"",IFERROR(N(INDEX(Accounts!$E$7:$E$16,MATCH($C1005,Accounts!$B$7:$B$16,0))),0)+SUMIFS($Q$6:$Q1005,$C$6:$C1005,$C1005))</f>
        <v/>
      </c>
      <c r="AQ1005" s="55" t="str">
        <f>IF(OR($AM1005=0,$C1005=""),"",SUMIFS($Q$6:$Q$1005,$C$6:$C$1005,$C1005,$A$6:$A$1005,$A1005))</f>
        <v/>
      </c>
      <c r="AR1005" s="55" t="str">
        <f>IF(OR($AM1005=0,$C1005=""),"",IFERROR(N(INDEX(Accounts!$E$7:$E$16,MATCH($C1005,Accounts!$B$7:$B$16,0))),0)+SUMIFS($Q$6:$Q$1005,$C$6:$C$1005,$C1005,$A$6:$A$1005,"&lt;="&amp;$A1005))</f>
        <v/>
      </c>
      <c r="AS1005" s="56">
        <f>IF(OR($AM1005=0,$Q1005=""),0,IF(AND($A1005&gt;=Lists!$W$6,$A1005&lt;=Lists!$W$7,OR(Dashboard!$D$6="All accounts",$C1005=Dashboard!$D$6),OR(Dashboard!$D$7="All markets",$AF1005=Dashboard!$D$7)),1,0))</f>
        <v>0</v>
      </c>
      <c r="AT1005" s="55">
        <f>IF($AS1005=1,N(AT1004)+$Q1005,N(AT1004))</f>
        <v>1187.10688</v>
      </c>
      <c r="AU1005" s="55">
        <f>MAX(N(AU1004),$AT1005)</f>
        <v>1187.10688</v>
      </c>
      <c r="AV1005" s="55">
        <f>$AT1005-$AU1005</f>
        <v>0</v>
      </c>
      <c r="AW1005" s="56">
        <f>IF($AS1005=1,IF($S1005="Win",N(AW1004)+1,IF($S1005="Loss",0,N(AW1004))),N(AW1004))</f>
        <v>5</v>
      </c>
      <c r="AX1005" s="56">
        <f>IF($AS1005=1,IF($S1005="Loss",N(AX1004)+1,IF($S1005="Win",0,N(AX1004))),N(AX1004))</f>
        <v>0</v>
      </c>
      <c r="AY1005" s="56" t="str">
        <f>IF($AS1005=1,COUNTIF($AS$6:$AS1005,1),"")</f>
        <v/>
      </c>
      <c r="AZ1005" s="56">
        <f>MIN(999,N(Lists!$W$8))</f>
        <v>28</v>
      </c>
      <c r="BA1005" s="56">
        <f>IF($AS1005=1,IF(COUNTIFS($A$6:$A1005,$A1005,$AS$6:$AS1005,1)=1,1,0),0)</f>
        <v>0</v>
      </c>
      <c r="BB1005" s="55" t="str">
        <f>IF($BA1005=1,SUMIFS($Q$6:$Q$1005,$A$6:$A$1005,$A1005,$AS$6:$AS$1005,1),"")</f>
        <v/>
      </c>
      <c r="BC1005" s="56">
        <f>IF(ISNUMBER($R1005),1,0)</f>
        <v>0</v>
      </c>
      <c r="BD1005" s="55" t="str">
        <f>IF(ISNUMBER($U1005),$U1005*$V1005,"")</f>
        <v/>
      </c>
      <c r="BE1005" s="56" t="str">
        <f>IF($AM1005=0,"",IFERROR(MATCH($AF1005&amp;"|"&amp;UPPER(TRIM($E1005)),Lists!$A$6:$A$205,0),0))</f>
        <v/>
      </c>
      <c r="BF1005" s="56" t="str">
        <f>IF($AM1005=0,"",IFERROR(MATCH($AF1005,Settings!$B$14:$B$18,0),IFERROR(MATCH(Settings!$C$6,Settings!$B$14:$B$18,0),1)))</f>
        <v/>
      </c>
      <c r="BG1005" s="58" t="str">
        <f>IF($AM1005=0,"",IF(NOT(ISNUMBER($I1005)),"No stop; ","")&amp;IF(AND(ISNUMBER($H1005),ISNUMBER($I1005)),IF(OR(AND($F1005&lt;&gt;"Short",$I1005&gt;=$H1005),AND($F1005="Short",$I1005&lt;=$H1005)),"Stop on wrong side; ",""),"")&amp;IF($F1005="","No direction; ","")&amp;IF(AND(ISNUMBER(Settings!$C$22),ISNUMBER($V1005)),IF($V1005&gt;Settings!$C$22,"Risk over max $; ",""),"")&amp;IF(AND(ISNUMBER(Settings!$C$23),ISNUMBER($V1005),ISNUMBER($AP1005),IFERROR(N(INDEX(Accounts!$E$7:$E$16,MATCH($C1005,Accounts!$B$7:$B$16,0))),0)&gt;0),IF($V1005&gt;Settings!$C$23*($AP1005-N($Q1005)),"Risk over max %; ",""),"")&amp;IF(AND(ISNUMBER(Settings!$C$24),ISNUMBER($N1005)),IF($N1005&gt;Settings!$C$24,"Leverage over max; ",""),"")&amp;IF(AND(ISNUMBER(Settings!$C$27),ISNUMBER($T1005)),IF($T1005&lt;Settings!$C$27,"R:R below min; ",""),"")&amp;IF(ISNUMBER(Settings!$C$25),IF(COUNTIFS($A$6:$A1005,$A1005,$AM$6:$AM1005,1)&gt;Settings!$C$25,"Over max trades/day; ",""),"")&amp;IF(ISNUMBER(Settings!$C$26),IF(SUMIFS($Q$5:$Q1004,$A$5:$A1004,$A1005)&lt;=-Settings!$C$26,"Traded after daily max loss; ",""),"")&amp;IF(AND($AG1005="",NOT(ISNUMBER($O1005))),"Symbol not in Instruments; ","")&amp;IF(AND($AH1005="",NOT(ISNUMBER($O1005))),"Forex cross: type Gross P&amp;L; ",""))</f>
        <v/>
      </c>
      <c r="BH1005" s="56">
        <f>IF(ISNUMBER($Q1005),1,0)</f>
        <v>0</v>
      </c>
      <c r="BI1005" s="56">
        <f>IF($Y1005="",0,1)</f>
        <v>0</v>
      </c>
      <c r="BJ1005" s="56">
        <f>IF($AB1005="",0,1)</f>
        <v>0</v>
      </c>
      <c r="BK1005" s="56">
        <f>IF(AND($BH1005=1,$W1005&lt;&gt;"OK"),1,0)</f>
        <v>0</v>
      </c>
      <c r="BL1005" s="55">
        <f>IF(N($AZ1005)=0,0,IFERROR(INDEX($AT$6:$AT$1005,MATCH($AZ1005,$AY$6:$AY$1005,0)),0))</f>
        <v>1187.10688</v>
      </c>
      <c r="BM1005" s="56">
        <f>IF(ISNUMBER(SEARCH("daily max loss",$BG1005)),1,0)</f>
        <v>0</v>
      </c>
    </row>
  </sheetData>
  <mergeCells count="4">
    <mergeCell ref="Q4:W4"/>
    <mergeCell ref="X4:AE4"/>
    <mergeCell ref="A4:P4"/>
    <mergeCell ref="AF4:BM4"/>
  </mergeCells>
  <conditionalFormatting sqref="S6:S1005">
    <cfRule type="cellIs" priority="1" operator="equal" dxfId="0">
      <formula>"Win"</formula>
    </cfRule>
    <cfRule type="cellIs" priority="2" operator="equal" dxfId="1">
      <formula>"Loss"</formula>
    </cfRule>
  </conditionalFormatting>
  <conditionalFormatting sqref="Q6:Q1005">
    <cfRule type="cellIs" priority="3" operator="greaterThan" dxfId="2">
      <formula>0</formula>
    </cfRule>
  </conditionalFormatting>
  <conditionalFormatting sqref="R6:R1005">
    <cfRule type="cellIs" priority="4" operator="lessThan" dxfId="1">
      <formula>-1.05</formula>
    </cfRule>
  </conditionalFormatting>
  <conditionalFormatting sqref="W6:W1005">
    <cfRule type="expression" priority="5" dxfId="3">
      <formula>AND($W6&lt;&gt;"",$W6&lt;&gt;"OK")</formula>
    </cfRule>
    <cfRule type="cellIs" priority="6" operator="equal" dxfId="4">
      <formula>"OK"</formula>
    </cfRule>
  </conditionalFormatting>
  <conditionalFormatting sqref="Z6:Z1005">
    <cfRule type="expression" priority="7" dxfId="5">
      <formula>AND($Z6="Yes",$W6&lt;&gt;"",$W6&lt;&gt;"OK")</formula>
    </cfRule>
    <cfRule type="cellIs" priority="8" operator="equal" dxfId="6">
      <formula>"No"</formula>
    </cfRule>
  </conditionalFormatting>
  <dataValidations count="11">
    <dataValidation sqref="C6:C1005" showDropDown="0" showInputMessage="0" showErrorMessage="0" allowBlank="1" type="list" errorStyle="information">
      <formula1>=Accounts!$B$7:$B$16</formula1>
    </dataValidation>
    <dataValidation sqref="D6:D1005" showDropDown="0" showInputMessage="0" showErrorMessage="1" allowBlank="1" type="list">
      <formula1>"Futures,Stocks,Options,Forex,Crypto"</formula1>
    </dataValidation>
    <dataValidation sqref="E6:E1005" showDropDown="0" showInputMessage="0" showErrorMessage="0" allowBlank="1" type="list" errorStyle="information">
      <formula1>=Lists!$D$6:$D$205</formula1>
    </dataValidation>
    <dataValidation sqref="F6:F1005" showDropDown="0" showInputMessage="0" showErrorMessage="1" allowBlank="1" type="list">
      <formula1>"Long,Short"</formula1>
    </dataValidation>
    <dataValidation sqref="L6:L1005" showDropDown="0" showInputMessage="0" showErrorMessage="1" allowBlank="1" type="list">
      <formula1>"Limit,Market,Stop"</formula1>
    </dataValidation>
    <dataValidation sqref="M6:M1005" showDropDown="0" showInputMessage="0" showErrorMessage="1" allowBlank="1" type="list">
      <formula1>"Target,Stop loss,Manual,Trailing stop,Breakeven,Time exit"</formula1>
    </dataValidation>
    <dataValidation sqref="X6:X1005" showDropDown="0" showInputMessage="0" showErrorMessage="0" allowBlank="1" type="list" errorStyle="information">
      <formula1>=Lists!$I$6:$I$11</formula1>
    </dataValidation>
    <dataValidation sqref="Y6:Y1005" showDropDown="0" showInputMessage="0" showErrorMessage="0" allowBlank="1" type="list" errorStyle="information">
      <formula1>='Setup Playbook'!$B$6:$B$15</formula1>
    </dataValidation>
    <dataValidation sqref="Z6:Z1005" showDropDown="0" showInputMessage="0" showErrorMessage="1" allowBlank="1" type="list">
      <formula1>"Yes,No"</formula1>
    </dataValidation>
    <dataValidation sqref="AA6:AA1005" showDropDown="0" showInputMessage="0" showErrorMessage="0" allowBlank="1" type="list" errorStyle="information">
      <formula1>=Psychology!$B$6:$B$15</formula1>
    </dataValidation>
    <dataValidation sqref="AB6:AB1005" showDropDown="0" showInputMessage="0" showErrorMessage="0" allowBlank="1" type="list" errorStyle="information">
      <formula1>=Psychology!$E$6:$E$17</formula1>
    </dataValidation>
  </dataValidations>
  <pageMargins left="0.3" right="0.3" top="0.4" bottom="0.4"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1E7B34"/>
    <outlinePr summaryBelow="1" summaryRight="1"/>
    <pageSetUpPr fitToPage="1"/>
  </sheetPr>
  <dimension ref="B2:Q111"/>
  <sheetViews>
    <sheetView showGridLines="0" workbookViewId="0">
      <pane ySplit="7" topLeftCell="A8" activePane="bottomLeft" state="frozen"/>
      <selection pane="bottomLeft" activeCell="A1" sqref="A1"/>
    </sheetView>
  </sheetViews>
  <sheetFormatPr baseColWidth="8" defaultRowHeight="15"/>
  <cols>
    <col width="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s>
  <sheetData>
    <row r="1" ht="15" customHeight="1"/>
    <row r="2" ht="26" customHeight="1">
      <c r="B2" s="9" t="str">
        <f>Settings!$C$9&amp;"  ·  DASHBOARD"</f>
        <v>My Trading Journal  ·  DASHBOARD</v>
      </c>
    </row>
    <row r="3" ht="15" customHeight="1">
      <c r="B3" s="10" t="inlineStr">
        <is>
          <t>Every number updates from the Trade Log. Change the yellow filters to look at any period, account or market.</t>
        </is>
      </c>
    </row>
    <row r="4" ht="15" customHeight="1"/>
    <row r="5" ht="18" customHeight="1">
      <c r="B5" s="5" t="inlineStr">
        <is>
          <t>Period</t>
        </is>
      </c>
      <c r="D5" s="59" t="inlineStr">
        <is>
          <t>All time</t>
        </is>
      </c>
      <c r="E5" s="60" t="n"/>
      <c r="F5" s="5" t="inlineStr">
        <is>
          <t>Custom from</t>
        </is>
      </c>
      <c r="H5" s="61" t="n"/>
      <c r="J5" s="62" t="inlineStr">
        <is>
          <t>HOW TO USE IT:  1) Pick a period (weekend: 'Last week').  2) Read the Leak Report — it's where your money goes.  3) Write ONE rule to fix on the Weekly Review tab. Change one thing per week, never because of one trade.</t>
        </is>
      </c>
      <c r="K5" s="63" t="n"/>
      <c r="L5" s="63" t="n"/>
      <c r="M5" s="63" t="n"/>
      <c r="N5" s="63" t="n"/>
      <c r="O5" s="63" t="n"/>
      <c r="P5" s="63" t="n"/>
      <c r="Q5" s="63" t="n"/>
    </row>
    <row r="6" ht="18" customHeight="1">
      <c r="B6" s="5" t="inlineStr">
        <is>
          <t>Account</t>
        </is>
      </c>
      <c r="D6" s="59" t="inlineStr">
        <is>
          <t>All accounts</t>
        </is>
      </c>
      <c r="E6" s="60" t="n"/>
      <c r="F6" s="5" t="inlineStr">
        <is>
          <t>Custom to</t>
        </is>
      </c>
      <c r="H6" s="61" t="n"/>
      <c r="J6" s="63" t="n"/>
      <c r="K6" s="63" t="n"/>
      <c r="L6" s="63" t="n"/>
      <c r="M6" s="63" t="n"/>
      <c r="N6" s="63" t="n"/>
      <c r="O6" s="63" t="n"/>
      <c r="P6" s="63" t="n"/>
      <c r="Q6" s="63" t="n"/>
    </row>
    <row r="7" ht="18" customHeight="1">
      <c r="B7" s="5" t="inlineStr">
        <is>
          <t>Market</t>
        </is>
      </c>
      <c r="D7" s="59" t="inlineStr">
        <is>
          <t>All markets</t>
        </is>
      </c>
      <c r="E7" s="60" t="n"/>
      <c r="F7" s="5" t="inlineStr">
        <is>
          <t>Dates shown</t>
        </is>
      </c>
      <c r="H7" s="64" t="str">
        <f>IF(Dashboard!$D$5="All time","All",Lists!$W$6)</f>
        <v>All</v>
      </c>
      <c r="I7" s="64" t="str">
        <f>IF(Dashboard!$D$5="All time","",Lists!$W$7)</f>
        <v/>
      </c>
      <c r="J7" s="63" t="n"/>
      <c r="K7" s="63" t="n"/>
      <c r="L7" s="63" t="n"/>
      <c r="M7" s="63" t="n"/>
      <c r="N7" s="63" t="n"/>
      <c r="O7" s="63" t="n"/>
      <c r="P7" s="63" t="n"/>
      <c r="Q7" s="63" t="n"/>
    </row>
    <row r="8" ht="15" customHeight="1"/>
    <row r="9" ht="15" customHeight="1">
      <c r="B9" s="65" t="inlineStr">
        <is>
          <t>NET P&amp;L</t>
        </is>
      </c>
      <c r="C9" s="66" t="n"/>
      <c r="D9" s="65" t="inlineStr">
        <is>
          <t>WIN RATE</t>
        </is>
      </c>
      <c r="E9" s="66" t="n"/>
      <c r="F9" s="65" t="inlineStr">
        <is>
          <t>PROFIT FACTOR</t>
        </is>
      </c>
      <c r="G9" s="66" t="n"/>
      <c r="H9" s="65" t="inlineStr">
        <is>
          <t>EXPECTANCY / TRADE</t>
        </is>
      </c>
      <c r="I9" s="66" t="n"/>
      <c r="J9" s="65" t="inlineStr">
        <is>
          <t>AVG R / TRADE</t>
        </is>
      </c>
      <c r="K9" s="66" t="n"/>
      <c r="L9" s="65" t="inlineStr">
        <is>
          <t>TRADES</t>
        </is>
      </c>
      <c r="M9" s="66" t="n"/>
      <c r="N9" s="65" t="inlineStr">
        <is>
          <t>MAX DRAWDOWN</t>
        </is>
      </c>
      <c r="O9" s="66" t="n"/>
      <c r="P9" s="65" t="inlineStr">
        <is>
          <t>FOLLOWED RULES</t>
        </is>
      </c>
      <c r="Q9" s="66" t="n"/>
    </row>
    <row r="10" ht="34" customHeight="1">
      <c r="B10" s="67">
        <f>SUMIFS('Trade Log'!$Q$6:$Q$1005,'Trade Log'!$AS$6:$AS$1005,1)</f>
        <v>1187.10688</v>
      </c>
      <c r="C10" s="68" t="n"/>
      <c r="D10" s="69">
        <f>IFERROR(COUNTIFS('Trade Log'!$AS$6:$AS$1005,1,'Trade Log'!$S$6:$S$1005,"Win")/(COUNTIFS('Trade Log'!$AS$6:$AS$1005,1,'Trade Log'!$S$6:$S$1005,"Win")+COUNTIFS('Trade Log'!$AS$6:$AS$1005,1,'Trade Log'!$S$6:$S$1005,"Loss")),"—")</f>
        <v>0.666666666666667</v>
      </c>
      <c r="E10" s="68" t="n"/>
      <c r="F10" s="70">
        <f>IF(COUNTIFS('Trade Log'!$AS$6:$AS$1005,1)=0,"—",IF(SUMIFS('Trade Log'!$Q$6:$Q$1005,'Trade Log'!$AS$6:$AS$1005,1,'Trade Log'!$Q$6:$Q$1005,"&lt;0")=0,IF(SUMIFS('Trade Log'!$Q$6:$Q$1005,'Trade Log'!$AS$6:$AS$1005,1,'Trade Log'!$Q$6:$Q$1005,"&gt;0")&gt;0,"No losses","—"),SUMIFS('Trade Log'!$Q$6:$Q$1005,'Trade Log'!$AS$6:$AS$1005,1,'Trade Log'!$Q$6:$Q$1005,"&gt;0")/-SUMIFS('Trade Log'!$Q$6:$Q$1005,'Trade Log'!$AS$6:$AS$1005,1,'Trade Log'!$Q$6:$Q$1005,"&lt;0")))</f>
        <v>2.03151429522288</v>
      </c>
      <c r="G10" s="68" t="n"/>
      <c r="H10" s="67">
        <f>IFERROR(SUMIFS('Trade Log'!$Q$6:$Q$1005,'Trade Log'!$AS$6:$AS$1005,1)/COUNTIFS('Trade Log'!$AS$6:$AS$1005,1),"—")</f>
        <v>42.3966742857143</v>
      </c>
      <c r="I10" s="68" t="n"/>
      <c r="J10" s="71">
        <f>IFERROR(SUMIFS('Trade Log'!$R$6:$R$1005,'Trade Log'!$AS$6:$AS$1005,1)/COUNTIFS('Trade Log'!$AS$6:$AS$1005,1,'Trade Log'!$BC$6:$BC$1005,1),"—")</f>
        <v>0.683452380952381</v>
      </c>
      <c r="K10" s="68" t="n"/>
      <c r="L10" s="72">
        <f>COUNTIFS('Trade Log'!$AS$6:$AS$1005,1)</f>
        <v>28</v>
      </c>
      <c r="M10" s="68" t="n"/>
      <c r="N10" s="67">
        <f>MIN('Trade Log'!$AV$6:$AV$1005)</f>
        <v>-468.739</v>
      </c>
      <c r="O10" s="68" t="n"/>
      <c r="P10" s="69">
        <f>IFERROR(COUNTIFS('Trade Log'!$AS$6:$AS$1005,1,'Trade Log'!$Z$6:$Z$1005,"Yes")/(COUNTIFS('Trade Log'!$AS$6:$AS$1005,1,'Trade Log'!$Z$6:$Z$1005,"Yes")+COUNTIFS('Trade Log'!$AS$6:$AS$1005,1,'Trade Log'!$Z$6:$Z$1005,"No")),"—")</f>
        <v>0.571428571428571</v>
      </c>
      <c r="Q10" s="68" t="n"/>
    </row>
    <row r="11" ht="15" customHeight="1">
      <c r="B11" s="73" t="str">
        <f>"W "&amp;COUNTIFS('Trade Log'!$AS$6:$AS$1005,1,'Trade Log'!$S$6:$S$1005,"Win")&amp;" · L "&amp;COUNTIFS('Trade Log'!$AS$6:$AS$1005,1,'Trade Log'!$S$6:$S$1005,"Loss")&amp;" · S "&amp;COUNTIFS('Trade Log'!$AS$6:$AS$1005,1,'Trade Log'!$S$6:$S$1005,"Scratch")</f>
        <v>W 18 · L 9 · S 1</v>
      </c>
      <c r="C11" s="74" t="n"/>
      <c r="D11" s="73" t="str">
        <f>"of "&amp;(COUNTIFS('Trade Log'!$AS$6:$AS$1005,1,'Trade Log'!$S$6:$S$1005,"Win")+COUNTIFS('Trade Log'!$AS$6:$AS$1005,1,'Trade Log'!$S$6:$S$1005,"Loss"))&amp;" wins + losses"</f>
        <v>of 27 wins + losses</v>
      </c>
      <c r="E11" s="74" t="n"/>
      <c r="F11" s="73" t="str">
        <f>"gross wins ÷ gross losses"</f>
        <v>gross wins ÷ gross losses</v>
      </c>
      <c r="G11" s="74" t="n"/>
      <c r="H11" s="73" t="str">
        <f>"average net per trade"</f>
        <v>average net per trade</v>
      </c>
      <c r="I11" s="74" t="n"/>
      <c r="J11" s="73" t="str">
        <f>"total "&amp;ROUND(SUMIFS('Trade Log'!$R$6:$R$1005,'Trade Log'!$AS$6:$AS$1005,1),2)&amp;"R"</f>
        <v>total 19.14R</v>
      </c>
      <c r="K11" s="74" t="n"/>
      <c r="L11" s="73" t="str">
        <f>"over "&amp;SUM('Trade Log'!$BA$6:$BA$1005)&amp;" trading days"</f>
        <v>over 13 trading days</v>
      </c>
      <c r="M11" s="74" t="n"/>
      <c r="N11" s="73" t="str">
        <f>"closed trades, peak to trough"</f>
        <v>closed trades, peak to trough</v>
      </c>
      <c r="O11" s="74" t="n"/>
      <c r="P11" s="73" t="str">
        <f>"of "&amp;(COUNTIFS('Trade Log'!$AS$6:$AS$1005,1,'Trade Log'!$Z$6:$Z$1005,"Yes")+COUNTIFS('Trade Log'!$AS$6:$AS$1005,1,'Trade Log'!$Z$6:$Z$1005,"No"))&amp;" tagged trades"</f>
        <v>of 28 tagged trades</v>
      </c>
      <c r="Q11" s="74" t="n"/>
    </row>
    <row r="12" ht="15" customHeight="1"/>
    <row r="13" ht="18" customHeight="1">
      <c r="B13" s="11" t="inlineStr">
        <is>
          <t>EQUITY CURVE  —  closed trades in your filter</t>
        </is>
      </c>
      <c r="C13" s="12" t="n"/>
      <c r="D13" s="12" t="n"/>
      <c r="E13" s="12" t="n"/>
      <c r="F13" s="12" t="n"/>
      <c r="G13" s="12" t="n"/>
      <c r="H13" s="12" t="n"/>
      <c r="I13" s="12" t="n"/>
      <c r="J13" s="11" t="inlineStr">
        <is>
          <t>LEAK REPORT  —  where your money goes</t>
        </is>
      </c>
      <c r="K13" s="12" t="n"/>
      <c r="L13" s="12" t="n"/>
      <c r="M13" s="12" t="n"/>
      <c r="N13" s="12" t="n"/>
      <c r="O13" s="12" t="n"/>
      <c r="P13" s="12" t="n"/>
      <c r="Q13" s="12" t="n"/>
    </row>
    <row r="14" ht="20" customHeight="1">
      <c r="J14" s="75" t="inlineStr">
        <is>
          <t>Leak</t>
        </is>
      </c>
      <c r="K14" s="76" t="n"/>
      <c r="L14" s="76" t="n"/>
      <c r="M14" s="76" t="n"/>
      <c r="N14" s="15" t="inlineStr">
        <is>
          <t>Trades</t>
        </is>
      </c>
      <c r="O14" s="15" t="inlineStr">
        <is>
          <t>$</t>
        </is>
      </c>
      <c r="P14" s="76" t="n"/>
      <c r="Q14" s="15" t="inlineStr">
        <is>
          <t>R</t>
        </is>
      </c>
    </row>
    <row r="15" ht="20" customHeight="1">
      <c r="J15" s="77" t="str">
        <f>"Winners closed before target  ($ and R given up)"</f>
        <v>Winners closed before target  ($ and R given up)</v>
      </c>
      <c r="K15" s="78" t="n"/>
      <c r="L15" s="78" t="n"/>
      <c r="M15" s="78" t="n"/>
      <c r="N15" s="79">
        <f>COUNTIFS('Trade Log'!$AS$6:$AS$1005,1,'Trade Log'!$U$6:$U$1005,"&gt;0")</f>
        <v>8</v>
      </c>
      <c r="O15" s="80">
        <f>-SUMIFS('Trade Log'!$BD$6:$BD$1005,'Trade Log'!$AS$6:$AS$1005,1)</f>
        <v>-469.3</v>
      </c>
      <c r="P15" s="78" t="n"/>
      <c r="Q15" s="81">
        <f>-SUMIFS('Trade Log'!$U$6:$U$1005,'Trade Log'!$AS$6:$AS$1005,1)</f>
        <v>-6.43</v>
      </c>
    </row>
    <row r="16" ht="20" customHeight="1">
      <c r="J16" s="77" t="str">
        <f>"Trades where you broke your rules  (net)"</f>
        <v>Trades where you broke your rules  (net)</v>
      </c>
      <c r="K16" s="78" t="n"/>
      <c r="L16" s="78" t="n"/>
      <c r="M16" s="78" t="n"/>
      <c r="N16" s="79">
        <f>COUNTIFS('Trade Log'!$AS$6:$AS$1005,1,'Trade Log'!$Z$6:$Z$1005,"No")</f>
        <v>12</v>
      </c>
      <c r="O16" s="80">
        <f>SUMIFS('Trade Log'!$Q$6:$Q$1005,'Trade Log'!$AS$6:$AS$1005,1,'Trade Log'!$Z$6:$Z$1005,"No")</f>
        <v>-443.64112</v>
      </c>
      <c r="P16" s="78" t="n"/>
      <c r="Q16" s="81">
        <f>SUMIFS('Trade Log'!$R$6:$R$1005,'Trade Log'!$AS$6:$AS$1005,1,'Trade Log'!$Z$6:$Z$1005,"No")</f>
        <v>-0.763333333333333</v>
      </c>
    </row>
    <row r="17" ht="20" customHeight="1">
      <c r="J17" s="77" t="str">
        <f>"Trades with a mistake tag  (net)"</f>
        <v>Trades with a mistake tag  (net)</v>
      </c>
      <c r="K17" s="78" t="n"/>
      <c r="L17" s="78" t="n"/>
      <c r="M17" s="78" t="n"/>
      <c r="N17" s="79">
        <f>COUNTIFS('Trade Log'!$AS$6:$AS$1005,1,'Trade Log'!$BJ$6:$BJ$1005,1)</f>
        <v>12</v>
      </c>
      <c r="O17" s="80">
        <f>SUMIFS('Trade Log'!$Q$6:$Q$1005,'Trade Log'!$AS$6:$AS$1005,1,'Trade Log'!$BJ$6:$BJ$1005,1)</f>
        <v>-443.64112</v>
      </c>
      <c r="P17" s="78" t="n"/>
      <c r="Q17" s="81">
        <f>SUMIFS('Trade Log'!$R$6:$R$1005,'Trade Log'!$AS$6:$AS$1005,1,'Trade Log'!$BJ$6:$BJ$1005,1)</f>
        <v>-0.763333333333333</v>
      </c>
    </row>
    <row r="18" ht="20" customHeight="1">
      <c r="J18" s="77" t="str">
        <f>"Trades your rule check flagged  (net)"</f>
        <v>Trades your rule check flagged  (net)</v>
      </c>
      <c r="K18" s="78" t="n"/>
      <c r="L18" s="78" t="n"/>
      <c r="M18" s="78" t="n"/>
      <c r="N18" s="79">
        <f>COUNTIFS('Trade Log'!$AS$6:$AS$1005,1,'Trade Log'!$BK$6:$BK$1005,1)</f>
        <v>5</v>
      </c>
      <c r="O18" s="80">
        <f>SUMIFS('Trade Log'!$Q$6:$Q$1005,'Trade Log'!$AS$6:$AS$1005,1,'Trade Log'!$BK$6:$BK$1005,1)</f>
        <v>-172.95212</v>
      </c>
      <c r="P18" s="78" t="n"/>
      <c r="Q18" s="81">
        <f>SUMIFS('Trade Log'!$R$6:$R$1005,'Trade Log'!$AS$6:$AS$1005,1,'Trade Log'!$BK$6:$BK$1005,1)</f>
        <v>1.13666666666667</v>
      </c>
    </row>
    <row r="19" ht="20" customHeight="1">
      <c r="J19" s="77" t="str">
        <f>"Fees paid  (R col = % of gross profit)"</f>
        <v>Fees paid  (R col = % of gross profit)</v>
      </c>
      <c r="K19" s="78" t="n"/>
      <c r="L19" s="78" t="n"/>
      <c r="M19" s="78" t="n"/>
      <c r="N19" s="79">
        <f>COUNTIFS('Trade Log'!$AS$6:$AS$1005,1)</f>
        <v>28</v>
      </c>
      <c r="O19" s="80">
        <f>-SUMIFS('Trade Log'!$AL$6:$AL$1005,'Trade Log'!$AS$6:$AS$1005,1)</f>
        <v>-67.09312</v>
      </c>
      <c r="P19" s="78" t="n"/>
      <c r="Q19" s="82">
        <f>IFERROR(SUMIFS('Trade Log'!$AL$6:$AL$1005,'Trade Log'!$AS$6:$AS$1005,1)/SUMIFS('Trade Log'!$AK$6:$AK$1005,'Trade Log'!$AS$6:$AS$1005,1,'Trade Log'!$AK$6:$AK$1005,"&gt;0"),"—")</f>
        <v>0.0282533035751884</v>
      </c>
    </row>
    <row r="20" ht="20" customHeight="1">
      <c r="J20" s="77" t="str">
        <f>"Fees on Market + Stop entries  (R col = avg fee)"</f>
        <v>Fees on Market + Stop entries  (R col = avg fee)</v>
      </c>
      <c r="K20" s="78" t="n"/>
      <c r="L20" s="78" t="n"/>
      <c r="M20" s="78" t="n"/>
      <c r="N20" s="79">
        <f>COUNTIFS('Trade Log'!$AS$6:$AS$1005,1,'Trade Log'!$L$6:$L$1005,"Market")+COUNTIFS('Trade Log'!$AS$6:$AS$1005,1,'Trade Log'!$L$6:$L$1005,"Stop")</f>
        <v>11</v>
      </c>
      <c r="O20" s="80">
        <f>-(SUMIFS('Trade Log'!$AL$6:$AL$1005,'Trade Log'!$AS$6:$AS$1005,1,'Trade Log'!$L$6:$L$1005,"Market")+SUMIFS('Trade Log'!$AL$6:$AL$1005,'Trade Log'!$AS$6:$AS$1005,1,'Trade Log'!$L$6:$L$1005,"Stop"))</f>
        <v>-39.028</v>
      </c>
      <c r="P20" s="78" t="n"/>
      <c r="Q20" s="83">
        <f>IFERROR(-O20/N20,"—")</f>
        <v>3.548</v>
      </c>
    </row>
    <row r="21" ht="20" customHeight="1">
      <c r="J21" s="77" t="str">
        <f>"Costliest emotion: "&amp;IF(MIN($O$57:$O$66)&gt;=0,"none lost money",INDEX($J$57:$J$66,MATCH(MIN($O$57:$O$66),$O$57:$O$66,0)))</f>
        <v>Costliest emotion: FOMO</v>
      </c>
      <c r="K21" s="78" t="n"/>
      <c r="L21" s="78" t="n"/>
      <c r="M21" s="78" t="n"/>
      <c r="N21" s="79">
        <f>IF(MIN($O$57:$O$66)&gt;=0,"—",INDEX($M$57:$M$66,MATCH(MIN($O$57:$O$66),$O$57:$O$66,0)))</f>
        <v>3</v>
      </c>
      <c r="O21" s="80">
        <f>IF(MIN($O$57:$O$66)&gt;=0,"—",MIN($O$57:$O$66))</f>
        <v>-417.239</v>
      </c>
      <c r="P21" s="78" t="n"/>
      <c r="Q21" s="81">
        <f>IF(MIN($O$57:$O$66)&gt;=0,"—",SUMIFS('Trade Log'!$R$6:$R$1005,'Trade Log'!$AS$6:$AS$1005,1,'Trade Log'!$AA$6:$AA$1005,INDEX($J$57:$J$66,MATCH(MIN($O$57:$O$66),$O$57:$O$66,0))))</f>
        <v>-3</v>
      </c>
    </row>
    <row r="22" ht="20" customHeight="1">
      <c r="J22" s="77" t="str">
        <f>"Most common mistake: "&amp;IF(MAX($E$72:$E$83)=0,"none",INDEX($B$72:$B$83,MATCH(MAX($E$72:$E$83),$E$72:$E$83,0)))</f>
        <v>Most common mistake: Took profit too early</v>
      </c>
      <c r="K22" s="78" t="n"/>
      <c r="L22" s="78" t="n"/>
      <c r="M22" s="78" t="n"/>
      <c r="N22" s="79">
        <f>IF(MAX($E$72:$E$83)=0,"—",MAX($E$72:$E$83))</f>
        <v>4</v>
      </c>
      <c r="O22" s="80">
        <f>IF(MAX($E$72:$E$83)=0,"—",INDEX($G$72:$G$83,MATCH(MAX($E$72:$E$83),$E$72:$E$83,0)))</f>
        <v>254.811</v>
      </c>
      <c r="P22" s="78" t="n"/>
      <c r="Q22" s="81">
        <f>IF(MAX($E$72:$E$83)=0,"—",SUMIFS('Trade Log'!$R$6:$R$1005,'Trade Log'!$AS$6:$AS$1005,1,'Trade Log'!$AB$6:$AB$1005,INDEX($B$72:$B$83,MATCH(MAX($E$72:$E$83),$E$72:$E$83,0))))</f>
        <v>3.6</v>
      </c>
    </row>
    <row r="23" ht="20" customHeight="1">
      <c r="J23" s="77" t="str">
        <f>"Worst setup: "&amp;IF(COUNT($G$57:$G$66)=0,"—",IF(MIN($G$57:$G$66)&gt;=0,"none lost money",INDEX($B$57:$B$66,MATCH(MIN($G$57:$G$66),$G$57:$G$66,0))))</f>
        <v>Worst setup: Failed Breakout Reversal</v>
      </c>
      <c r="K23" s="78" t="n"/>
      <c r="L23" s="78" t="n"/>
      <c r="M23" s="78" t="n"/>
      <c r="N23" s="79">
        <f>IF(COUNT($G$57:$G$66)=0,"—",IF(MIN($G$57:$G$66)&gt;=0,"—",INDEX($E$57:$E$66,MATCH(MIN($G$57:$G$66),$G$57:$G$66,0))))</f>
        <v>5</v>
      </c>
      <c r="O23" s="80">
        <f>IF(COUNT($G$57:$G$66)=0,"—",IF(MIN($G$57:$G$66)&gt;=0,"—",MIN($G$57:$G$66)))</f>
        <v>-566.239</v>
      </c>
      <c r="P23" s="78" t="n"/>
      <c r="Q23" s="81">
        <f>IF(COUNT($G$57:$G$66)=0,"—",IF(MIN($G$57:$G$66)&gt;=0,"—",SUMIFS('Trade Log'!$R$6:$R$1005,'Trade Log'!$AS$6:$AS$1005,1,'Trade Log'!$Y$6:$Y$1005,INDEX($B$57:$B$66,MATCH(MIN($G$57:$G$66),$G$57:$G$66,0)))))</f>
        <v>-5.5</v>
      </c>
    </row>
    <row r="24" ht="30" customHeight="1">
      <c r="J24" s="84" t="str">
        <f>"When you followed your rules you made "&amp;IFERROR(ROUND(Q38,2),"—")&amp;" per trade. When you broke them: "&amp;IFERROR(ROUND(Q39,2),"—")&amp;" per trade."</f>
        <v>When you followed your rules you made 101.92 per trade. When you broke them: -36.97 per trade.</v>
      </c>
      <c r="K24" s="63" t="n"/>
      <c r="L24" s="63" t="n"/>
      <c r="M24" s="63" t="n"/>
      <c r="N24" s="63" t="n"/>
      <c r="O24" s="63" t="n"/>
      <c r="P24" s="63" t="n"/>
      <c r="Q24" s="63" t="n"/>
    </row>
    <row r="25" ht="15" customHeight="1"/>
    <row r="26" ht="18" customHeight="1">
      <c r="J26" s="11" t="inlineStr">
        <is>
          <t>DAILY STATS</t>
        </is>
      </c>
      <c r="K26" s="12" t="n"/>
      <c r="L26" s="12" t="n"/>
      <c r="M26" s="12" t="n"/>
      <c r="N26" s="12" t="n"/>
      <c r="O26" s="12" t="n"/>
      <c r="P26" s="12" t="n"/>
      <c r="Q26" s="12" t="n"/>
    </row>
    <row r="27" ht="15" customHeight="1">
      <c r="J27" s="85" t="inlineStr">
        <is>
          <t>Trading days</t>
        </is>
      </c>
      <c r="K27" s="78" t="n"/>
      <c r="L27" s="78" t="n"/>
      <c r="M27" s="86">
        <f>SUM('Trade Log'!$BA$6:$BA$1005)</f>
        <v>13</v>
      </c>
      <c r="N27" s="85" t="inlineStr">
        <is>
          <t>Green days</t>
        </is>
      </c>
      <c r="O27" s="78" t="n"/>
      <c r="P27" s="78" t="n"/>
      <c r="Q27" s="86">
        <f>COUNTIF('Trade Log'!$BB$6:$BB$1005,"&gt;0")</f>
        <v>10</v>
      </c>
    </row>
    <row r="28" ht="15" customHeight="1">
      <c r="J28" s="85" t="inlineStr">
        <is>
          <t>Red days</t>
        </is>
      </c>
      <c r="K28" s="78" t="n"/>
      <c r="L28" s="78" t="n"/>
      <c r="M28" s="86">
        <f>COUNTIF('Trade Log'!$BB$6:$BB$1005,"&lt;0")</f>
        <v>3</v>
      </c>
      <c r="N28" s="85" t="inlineStr">
        <is>
          <t>Green-day rate</t>
        </is>
      </c>
      <c r="O28" s="78" t="n"/>
      <c r="P28" s="78" t="n"/>
      <c r="Q28" s="87">
        <f>IFERROR(COUNTIF('Trade Log'!$BB$6:$BB$1005,"&gt;0")/SUM('Trade Log'!$BA$6:$BA$1005),"—")</f>
        <v>0.769230769230769</v>
      </c>
    </row>
    <row r="29" ht="15" customHeight="1">
      <c r="J29" s="85" t="inlineStr">
        <is>
          <t>Avg net per day</t>
        </is>
      </c>
      <c r="K29" s="78" t="n"/>
      <c r="L29" s="78" t="n"/>
      <c r="M29" s="80">
        <f>IFERROR(SUMIFS('Trade Log'!$Q$6:$Q$1005,'Trade Log'!$AS$6:$AS$1005,1)/SUM('Trade Log'!$BA$6:$BA$1005),"—")</f>
        <v>91.3159138461539</v>
      </c>
      <c r="N29" s="85" t="inlineStr">
        <is>
          <t>Avg trades per day</t>
        </is>
      </c>
      <c r="O29" s="78" t="n"/>
      <c r="P29" s="78" t="n"/>
      <c r="Q29" s="88">
        <f>IFERROR(COUNTIFS('Trade Log'!$AS$6:$AS$1005,1)/SUM('Trade Log'!$BA$6:$BA$1005),"—")</f>
        <v>2.15384615384615</v>
      </c>
    </row>
    <row r="30" ht="15" customHeight="1">
      <c r="J30" s="85" t="inlineStr">
        <is>
          <t>Best day</t>
        </is>
      </c>
      <c r="K30" s="78" t="n"/>
      <c r="L30" s="78" t="n"/>
      <c r="M30" s="80">
        <f>IF(SUM('Trade Log'!$BA$6:$BA$1005)=0,"—",MAX('Trade Log'!$BB$6:$BB$1005))</f>
        <v>347.761</v>
      </c>
      <c r="N30" s="85" t="inlineStr">
        <is>
          <t>Worst day</t>
        </is>
      </c>
      <c r="O30" s="78" t="n"/>
      <c r="P30" s="78" t="n"/>
      <c r="Q30" s="80">
        <f>IF(SUM('Trade Log'!$BA$6:$BA$1005)=0,"—",MIN('Trade Log'!$BB$6:$BB$1005))</f>
        <v>-395.5</v>
      </c>
    </row>
    <row r="31" ht="15" customHeight="1"/>
    <row r="32" ht="15" customHeight="1"/>
    <row r="33" ht="18" customHeight="1">
      <c r="B33" s="11" t="inlineStr">
        <is>
          <t>PERFORMANCE DETAILS</t>
        </is>
      </c>
      <c r="C33" s="12" t="n"/>
      <c r="D33" s="12" t="n"/>
      <c r="E33" s="12" t="n"/>
      <c r="F33" s="12" t="n"/>
      <c r="G33" s="12" t="n"/>
      <c r="H33" s="12" t="n"/>
      <c r="I33" s="12" t="n"/>
      <c r="J33" s="11" t="inlineStr">
        <is>
          <t>RULES &amp; DISCIPLINE</t>
        </is>
      </c>
      <c r="K33" s="12" t="n"/>
      <c r="L33" s="12" t="n"/>
      <c r="M33" s="12" t="n"/>
      <c r="N33" s="12" t="n"/>
      <c r="O33" s="12" t="n"/>
      <c r="P33" s="12" t="n"/>
      <c r="Q33" s="12" t="n"/>
    </row>
    <row r="34" ht="17" customHeight="1">
      <c r="B34" s="85" t="inlineStr">
        <is>
          <t>Total trades</t>
        </is>
      </c>
      <c r="C34" s="78" t="n"/>
      <c r="D34" s="78" t="n"/>
      <c r="E34" s="86">
        <f>COUNTIFS('Trade Log'!$AS$6:$AS$1005,1)</f>
        <v>28</v>
      </c>
      <c r="F34" s="85" t="inlineStr">
        <is>
          <t>Wins</t>
        </is>
      </c>
      <c r="G34" s="78" t="n"/>
      <c r="H34" s="78" t="n"/>
      <c r="I34" s="86">
        <f>COUNTIFS('Trade Log'!$AS$6:$AS$1005,1,'Trade Log'!$S$6:$S$1005,"Win")</f>
        <v>18</v>
      </c>
    </row>
    <row r="35" ht="17" customHeight="1">
      <c r="B35" s="85" t="inlineStr">
        <is>
          <t>Losses</t>
        </is>
      </c>
      <c r="C35" s="78" t="n"/>
      <c r="D35" s="78" t="n"/>
      <c r="E35" s="86">
        <f>COUNTIFS('Trade Log'!$AS$6:$AS$1005,1,'Trade Log'!$S$6:$S$1005,"Loss")</f>
        <v>9</v>
      </c>
      <c r="F35" s="85" t="inlineStr">
        <is>
          <t>Scratches</t>
        </is>
      </c>
      <c r="G35" s="78" t="n"/>
      <c r="H35" s="78" t="n"/>
      <c r="I35" s="86">
        <f>COUNTIFS('Trade Log'!$AS$6:$AS$1005,1,'Trade Log'!$S$6:$S$1005,"Scratch")</f>
        <v>1</v>
      </c>
      <c r="J35" s="75" t="inlineStr">
        <is>
          <t>Rule check</t>
        </is>
      </c>
      <c r="K35" s="76" t="n"/>
      <c r="L35" s="76" t="n"/>
      <c r="M35" s="15" t="inlineStr">
        <is>
          <t>Trades</t>
        </is>
      </c>
      <c r="N35" s="15" t="inlineStr">
        <is>
          <t>Win %</t>
        </is>
      </c>
      <c r="O35" s="15" t="inlineStr">
        <is>
          <t>Net P&amp;L</t>
        </is>
      </c>
      <c r="P35" s="15" t="inlineStr">
        <is>
          <t>Avg R</t>
        </is>
      </c>
      <c r="Q35" s="15" t="inlineStr">
        <is>
          <t>Expectancy</t>
        </is>
      </c>
    </row>
    <row r="36" ht="17" customHeight="1">
      <c r="B36" s="85" t="inlineStr">
        <is>
          <t>Win rate</t>
        </is>
      </c>
      <c r="C36" s="78" t="n"/>
      <c r="D36" s="78" t="n"/>
      <c r="E36" s="87">
        <f>IFERROR(COUNTIFS('Trade Log'!$AS$6:$AS$1005,1,'Trade Log'!$S$6:$S$1005,"Win")/(COUNTIFS('Trade Log'!$AS$6:$AS$1005,1,'Trade Log'!$S$6:$S$1005,"Win")+COUNTIFS('Trade Log'!$AS$6:$AS$1005,1,'Trade Log'!$S$6:$S$1005,"Loss")),"—")</f>
        <v>0.666666666666667</v>
      </c>
      <c r="F36" s="85" t="inlineStr">
        <is>
          <t>Gross P&amp;L</t>
        </is>
      </c>
      <c r="G36" s="78" t="n"/>
      <c r="H36" s="78" t="n"/>
      <c r="I36" s="80">
        <f>SUMIFS('Trade Log'!$AK$6:$AK$1005,'Trade Log'!$AS$6:$AS$1005,1)</f>
        <v>1254.2</v>
      </c>
      <c r="J36" s="85" t="inlineStr">
        <is>
          <t>Followed rules (Yes)</t>
        </is>
      </c>
      <c r="K36" s="78" t="n"/>
      <c r="L36" s="78" t="n"/>
      <c r="M36" s="79">
        <f>COUNTIFS('Trade Log'!$AS$6:$AS$1005,1,'Trade Log'!$Z$6:$Z$1005,"Yes")</f>
        <v>16</v>
      </c>
      <c r="N36" s="82">
        <f>IFERROR(COUNTIFS('Trade Log'!$AS$6:$AS$1005,1,'Trade Log'!$Z$6:$Z$1005,"Yes",'Trade Log'!$S$6:$S$1005,"Win")/(COUNTIFS('Trade Log'!$AS$6:$AS$1005,1,'Trade Log'!$Z$6:$Z$1005,"Yes",'Trade Log'!$S$6:$S$1005,"Win")+COUNTIFS('Trade Log'!$AS$6:$AS$1005,1,'Trade Log'!$Z$6:$Z$1005,"Yes",'Trade Log'!$S$6:$S$1005,"Loss")),"—")</f>
        <v>0.8</v>
      </c>
      <c r="O36" s="80">
        <f>SUMIFS('Trade Log'!$Q$6:$Q$1005,'Trade Log'!$AS$6:$AS$1005,1,'Trade Log'!$Z$6:$Z$1005,"Yes")</f>
        <v>1630.748</v>
      </c>
      <c r="P36" s="81">
        <f>IFERROR(SUMIFS('Trade Log'!$R$6:$R$1005,'Trade Log'!$AS$6:$AS$1005,1,'Trade Log'!$Z$6:$Z$1005,"Yes")/COUNTIFS('Trade Log'!$AS$6:$AS$1005,1,'Trade Log'!$Z$6:$Z$1005,"Yes",'Trade Log'!$BC$6:$BC$1005,1),"—")</f>
        <v>1.24375</v>
      </c>
      <c r="Q36" s="83">
        <f>IFERROR(SUMIFS('Trade Log'!$Q$6:$Q$1005,'Trade Log'!$AS$6:$AS$1005,1,'Trade Log'!$Z$6:$Z$1005,"Yes")/COUNTIFS('Trade Log'!$AS$6:$AS$1005,1,'Trade Log'!$Z$6:$Z$1005,"Yes"),"—")</f>
        <v>101.92175</v>
      </c>
    </row>
    <row r="37" ht="17" customHeight="1">
      <c r="B37" s="85" t="inlineStr">
        <is>
          <t>Fees</t>
        </is>
      </c>
      <c r="C37" s="78" t="n"/>
      <c r="D37" s="78" t="n"/>
      <c r="E37" s="80">
        <f>-SUMIFS('Trade Log'!$AL$6:$AL$1005,'Trade Log'!$AS$6:$AS$1005,1)</f>
        <v>-67.09312</v>
      </c>
      <c r="F37" s="85" t="inlineStr">
        <is>
          <t>Net P&amp;L</t>
        </is>
      </c>
      <c r="G37" s="78" t="n"/>
      <c r="H37" s="78" t="n"/>
      <c r="I37" s="80">
        <f>SUMIFS('Trade Log'!$Q$6:$Q$1005,'Trade Log'!$AS$6:$AS$1005,1)</f>
        <v>1187.10688</v>
      </c>
      <c r="J37" s="85" t="inlineStr">
        <is>
          <t>Broke rules (No)</t>
        </is>
      </c>
      <c r="K37" s="78" t="n"/>
      <c r="L37" s="78" t="n"/>
      <c r="M37" s="79">
        <f>COUNTIFS('Trade Log'!$AS$6:$AS$1005,1,'Trade Log'!$Z$6:$Z$1005,"No")</f>
        <v>12</v>
      </c>
      <c r="N37" s="82">
        <f>IFERROR(COUNTIFS('Trade Log'!$AS$6:$AS$1005,1,'Trade Log'!$Z$6:$Z$1005,"No",'Trade Log'!$S$6:$S$1005,"Win")/(COUNTIFS('Trade Log'!$AS$6:$AS$1005,1,'Trade Log'!$Z$6:$Z$1005,"No",'Trade Log'!$S$6:$S$1005,"Win")+COUNTIFS('Trade Log'!$AS$6:$AS$1005,1,'Trade Log'!$Z$6:$Z$1005,"No",'Trade Log'!$S$6:$S$1005,"Loss")),"—")</f>
        <v>0.5</v>
      </c>
      <c r="O37" s="80">
        <f>SUMIFS('Trade Log'!$Q$6:$Q$1005,'Trade Log'!$AS$6:$AS$1005,1,'Trade Log'!$Z$6:$Z$1005,"No")</f>
        <v>-443.64112</v>
      </c>
      <c r="P37" s="81">
        <f>IFERROR(SUMIFS('Trade Log'!$R$6:$R$1005,'Trade Log'!$AS$6:$AS$1005,1,'Trade Log'!$Z$6:$Z$1005,"No")/COUNTIFS('Trade Log'!$AS$6:$AS$1005,1,'Trade Log'!$Z$6:$Z$1005,"No",'Trade Log'!$BC$6:$BC$1005,1),"—")</f>
        <v>-0.0636111111111111</v>
      </c>
      <c r="Q37" s="83">
        <f>IFERROR(SUMIFS('Trade Log'!$Q$6:$Q$1005,'Trade Log'!$AS$6:$AS$1005,1,'Trade Log'!$Z$6:$Z$1005,"No")/COUNTIFS('Trade Log'!$AS$6:$AS$1005,1,'Trade Log'!$Z$6:$Z$1005,"No"),"—")</f>
        <v>-36.9700933333333</v>
      </c>
    </row>
    <row r="38" ht="17" customHeight="1">
      <c r="B38" s="85" t="inlineStr">
        <is>
          <t>Average win</t>
        </is>
      </c>
      <c r="C38" s="78" t="n"/>
      <c r="D38" s="78" t="n"/>
      <c r="E38" s="80">
        <f>IFERROR(SUMIFS('Trade Log'!$Q$6:$Q$1005,'Trade Log'!$AS$6:$AS$1005,1,'Trade Log'!$S$6:$S$1005,"Win")/COUNTIFS('Trade Log'!$AS$6:$AS$1005,1,'Trade Log'!$S$6:$S$1005,"Win"),"—")</f>
        <v>129.719215555556</v>
      </c>
      <c r="F38" s="85" t="inlineStr">
        <is>
          <t>Average loss</t>
        </is>
      </c>
      <c r="G38" s="78" t="n"/>
      <c r="H38" s="78" t="n"/>
      <c r="I38" s="80">
        <f>IFERROR(SUMIFS('Trade Log'!$Q$6:$Q$1005,'Trade Log'!$AS$6:$AS$1005,1,'Trade Log'!$S$6:$S$1005,"Loss")/COUNTIFS('Trade Log'!$AS$6:$AS$1005,1,'Trade Log'!$S$6:$S$1005,"Loss"),"—")</f>
        <v>-127.871</v>
      </c>
      <c r="J38" s="77" t="inlineStr">
        <is>
          <t>Expectancy if you follow rules</t>
        </is>
      </c>
      <c r="K38" s="78" t="n"/>
      <c r="L38" s="78" t="n"/>
      <c r="M38" s="79" t="inlineStr"/>
      <c r="N38" s="82" t="inlineStr"/>
      <c r="O38" s="80" t="inlineStr"/>
      <c r="P38" s="81" t="inlineStr"/>
      <c r="Q38" s="83">
        <f>Q36</f>
        <v>101.92175</v>
      </c>
    </row>
    <row r="39" ht="17" customHeight="1">
      <c r="B39" s="85" t="inlineStr">
        <is>
          <t>Payoff (avg win ÷ avg loss)</t>
        </is>
      </c>
      <c r="C39" s="78" t="n"/>
      <c r="D39" s="78" t="n"/>
      <c r="E39" s="89">
        <f>IFERROR((IFERROR(SUMIFS('Trade Log'!$Q$6:$Q$1005,'Trade Log'!$AS$6:$AS$1005,1,'Trade Log'!$S$6:$S$1005,"Win")/COUNTIFS('Trade Log'!$AS$6:$AS$1005,1,'Trade Log'!$S$6:$S$1005,"Win"),"—"))/ABS(IFERROR(SUMIFS('Trade Log'!$Q$6:$Q$1005,'Trade Log'!$AS$6:$AS$1005,1,'Trade Log'!$S$6:$S$1005,"Loss")/COUNTIFS('Trade Log'!$AS$6:$AS$1005,1,'Trade Log'!$S$6:$S$1005,"Loss"),"—")),"—")</f>
        <v>1.0144537506984</v>
      </c>
      <c r="F39" s="85" t="inlineStr">
        <is>
          <t>Profit factor</t>
        </is>
      </c>
      <c r="G39" s="78" t="n"/>
      <c r="H39" s="78" t="n"/>
      <c r="I39" s="89">
        <f>IF(COUNTIFS('Trade Log'!$AS$6:$AS$1005,1)=0,"—",IF(SUMIFS('Trade Log'!$Q$6:$Q$1005,'Trade Log'!$AS$6:$AS$1005,1,'Trade Log'!$Q$6:$Q$1005,"&lt;0")=0,IF(SUMIFS('Trade Log'!$Q$6:$Q$1005,'Trade Log'!$AS$6:$AS$1005,1,'Trade Log'!$Q$6:$Q$1005,"&gt;0")&gt;0,"No losses","—"),SUMIFS('Trade Log'!$Q$6:$Q$1005,'Trade Log'!$AS$6:$AS$1005,1,'Trade Log'!$Q$6:$Q$1005,"&gt;0")/-SUMIFS('Trade Log'!$Q$6:$Q$1005,'Trade Log'!$AS$6:$AS$1005,1,'Trade Log'!$Q$6:$Q$1005,"&lt;0")))</f>
        <v>2.03151429522288</v>
      </c>
      <c r="J39" s="77" t="inlineStr">
        <is>
          <t>Expectancy when you break them</t>
        </is>
      </c>
      <c r="K39" s="78" t="n"/>
      <c r="L39" s="78" t="n"/>
      <c r="M39" s="79" t="inlineStr"/>
      <c r="N39" s="82" t="inlineStr"/>
      <c r="O39" s="80" t="inlineStr"/>
      <c r="P39" s="81" t="inlineStr"/>
      <c r="Q39" s="83">
        <f>Q37</f>
        <v>-36.9700933333333</v>
      </c>
    </row>
    <row r="40" ht="17" customHeight="1">
      <c r="B40" s="85" t="inlineStr">
        <is>
          <t>Expectancy ($ / trade)</t>
        </is>
      </c>
      <c r="C40" s="78" t="n"/>
      <c r="D40" s="78" t="n"/>
      <c r="E40" s="80">
        <f>IFERROR(SUMIFS('Trade Log'!$Q$6:$Q$1005,'Trade Log'!$AS$6:$AS$1005,1)/COUNTIFS('Trade Log'!$AS$6:$AS$1005,1),"—")</f>
        <v>42.3966742857143</v>
      </c>
      <c r="F40" s="85" t="inlineStr">
        <is>
          <t>Average R</t>
        </is>
      </c>
      <c r="G40" s="78" t="n"/>
      <c r="H40" s="78" t="n"/>
      <c r="I40" s="90">
        <f>IFERROR(SUMIFS('Trade Log'!$R$6:$R$1005,'Trade Log'!$AS$6:$AS$1005,1)/COUNTIFS('Trade Log'!$AS$6:$AS$1005,1,'Trade Log'!$BC$6:$BC$1005,1),"—")</f>
        <v>0.683452380952381</v>
      </c>
      <c r="J40" s="85" t="inlineStr">
        <is>
          <t>Not tagged</t>
        </is>
      </c>
      <c r="K40" s="78" t="n"/>
      <c r="L40" s="78" t="n"/>
      <c r="M40" s="79">
        <f>COUNTIFS('Trade Log'!$AS$6:$AS$1005,1)-M36-M37</f>
        <v>0</v>
      </c>
      <c r="N40" s="82" t="inlineStr"/>
      <c r="O40" s="80" t="inlineStr"/>
      <c r="P40" s="81" t="inlineStr"/>
      <c r="Q40" s="83" t="inlineStr"/>
    </row>
    <row r="41" ht="17" customHeight="1">
      <c r="B41" s="85" t="inlineStr">
        <is>
          <t>Total R</t>
        </is>
      </c>
      <c r="C41" s="78" t="n"/>
      <c r="D41" s="78" t="n"/>
      <c r="E41" s="90">
        <f>SUMIFS('Trade Log'!$R$6:$R$1005,'Trade Log'!$AS$6:$AS$1005,1)</f>
        <v>19.1366666666667</v>
      </c>
      <c r="F41" s="85" t="inlineStr">
        <is>
          <t>Best trade</t>
        </is>
      </c>
      <c r="G41" s="78" t="n"/>
      <c r="H41" s="78" t="n"/>
      <c r="I41" s="80">
        <f>IF(COUNTIFS('Trade Log'!$AS$6:$AS$1005,1)=0,"—",_xlfn.MAXIFS('Trade Log'!$Q$6:$Q$1005,'Trade Log'!$AS$6:$AS$1005,1))</f>
        <v>299</v>
      </c>
    </row>
    <row r="42" ht="17" customHeight="1">
      <c r="B42" s="85" t="inlineStr">
        <is>
          <t>Worst trade</t>
        </is>
      </c>
      <c r="C42" s="78" t="n"/>
      <c r="D42" s="78" t="n"/>
      <c r="E42" s="80">
        <f>IF(COUNTIFS('Trade Log'!$AS$6:$AS$1005,1)=0,"—",_xlfn.MINIFS('Trade Log'!$Q$6:$Q$1005,'Trade Log'!$AS$6:$AS$1005,1))</f>
        <v>-306</v>
      </c>
      <c r="F42" s="85" t="inlineStr">
        <is>
          <t>Max drawdown</t>
        </is>
      </c>
      <c r="G42" s="78" t="n"/>
      <c r="H42" s="78" t="n"/>
      <c r="I42" s="80">
        <f>MIN('Trade Log'!$AV$6:$AV$1005)</f>
        <v>-468.739</v>
      </c>
      <c r="J42" s="75" t="inlineStr">
        <is>
          <t>Direction</t>
        </is>
      </c>
      <c r="K42" s="76" t="n"/>
      <c r="L42" s="76" t="n"/>
      <c r="M42" s="15" t="inlineStr">
        <is>
          <t>Trades</t>
        </is>
      </c>
      <c r="N42" s="15" t="inlineStr">
        <is>
          <t>Win %</t>
        </is>
      </c>
      <c r="O42" s="15" t="inlineStr">
        <is>
          <t>Net P&amp;L</t>
        </is>
      </c>
      <c r="P42" s="15" t="inlineStr">
        <is>
          <t>Avg R</t>
        </is>
      </c>
      <c r="Q42" s="15" t="inlineStr">
        <is>
          <t>Profit factor</t>
        </is>
      </c>
    </row>
    <row r="43" ht="17" customHeight="1">
      <c r="B43" s="85" t="inlineStr">
        <is>
          <t>Max winning streak</t>
        </is>
      </c>
      <c r="C43" s="78" t="n"/>
      <c r="D43" s="78" t="n"/>
      <c r="E43" s="86">
        <f>MAX('Trade Log'!$AW$6:$AW$1005)</f>
        <v>5</v>
      </c>
      <c r="F43" s="85" t="inlineStr">
        <is>
          <t>Max losing streak</t>
        </is>
      </c>
      <c r="G43" s="78" t="n"/>
      <c r="H43" s="78" t="n"/>
      <c r="I43" s="86">
        <f>MAX('Trade Log'!$AX$6:$AX$1005)</f>
        <v>4</v>
      </c>
      <c r="J43" s="85" t="inlineStr">
        <is>
          <t>Long</t>
        </is>
      </c>
      <c r="K43" s="78" t="n"/>
      <c r="L43" s="78" t="n"/>
      <c r="M43" s="79">
        <f>COUNTIFS('Trade Log'!$AS$6:$AS$1005,1,'Trade Log'!$F$6:$F$1005,"Long")</f>
        <v>17</v>
      </c>
      <c r="N43" s="82">
        <f>IFERROR(COUNTIFS('Trade Log'!$AS$6:$AS$1005,1,'Trade Log'!$F$6:$F$1005,"Long",'Trade Log'!$S$6:$S$1005,"Win")/(COUNTIFS('Trade Log'!$AS$6:$AS$1005,1,'Trade Log'!$F$6:$F$1005,"Long",'Trade Log'!$S$6:$S$1005,"Win")+COUNTIFS('Trade Log'!$AS$6:$AS$1005,1,'Trade Log'!$F$6:$F$1005,"Long",'Trade Log'!$S$6:$S$1005,"Loss")),"—")</f>
        <v>0.875</v>
      </c>
      <c r="O43" s="80">
        <f>SUMIFS('Trade Log'!$Q$6:$Q$1005,'Trade Log'!$AS$6:$AS$1005,1,'Trade Log'!$F$6:$F$1005,"Long")</f>
        <v>1384.94588</v>
      </c>
      <c r="P43" s="81">
        <f>IFERROR(SUMIFS('Trade Log'!$R$6:$R$1005,'Trade Log'!$AS$6:$AS$1005,1,'Trade Log'!$F$6:$F$1005,"Long")/COUNTIFS('Trade Log'!$AS$6:$AS$1005,1,'Trade Log'!$F$6:$F$1005,"Long",'Trade Log'!$BC$6:$BC$1005,1),"—")</f>
        <v>1.17470588235294</v>
      </c>
      <c r="Q43" s="91">
        <f>IF(COUNTIFS('Trade Log'!$AS$6:$AS$1005,1,'Trade Log'!$F$6:$F$1005,"Long")=0,"—",IF(SUMIFS('Trade Log'!$Q$6:$Q$1005,'Trade Log'!$AS$6:$AS$1005,1,'Trade Log'!$F$6:$F$1005,"Long",'Trade Log'!$Q$6:$Q$1005,"&lt;0")=0,IF(SUMIFS('Trade Log'!$Q$6:$Q$1005,'Trade Log'!$AS$6:$AS$1005,1,'Trade Log'!$F$6:$F$1005,"Long",'Trade Log'!$Q$6:$Q$1005,"&gt;0")&gt;0,"No losses","—"),SUMIFS('Trade Log'!$Q$6:$Q$1005,'Trade Log'!$AS$6:$AS$1005,1,'Trade Log'!$F$6:$F$1005,"Long",'Trade Log'!$Q$6:$Q$1005,"&gt;0")/-SUMIFS('Trade Log'!$Q$6:$Q$1005,'Trade Log'!$AS$6:$AS$1005,1,'Trade Log'!$F$6:$F$1005,"Long",'Trade Log'!$Q$6:$Q$1005,"&lt;0")))</f>
        <v>4.34527990338164</v>
      </c>
    </row>
    <row r="44" ht="17" customHeight="1">
      <c r="B44" s="85" t="inlineStr">
        <is>
          <t>Avg $ risk per trade</t>
        </is>
      </c>
      <c r="C44" s="78" t="n"/>
      <c r="D44" s="78" t="n"/>
      <c r="E44" s="80">
        <f>IFERROR(SUMIFS('Trade Log'!$V$6:$V$1005,'Trade Log'!$AS$6:$AS$1005,1)/COUNTIFS('Trade Log'!$AS$6:$AS$1005,1,'Trade Log'!$V$6:$V$1005,"&gt;0"),"—")</f>
        <v>91.8035714285714</v>
      </c>
      <c r="F44" s="85" t="inlineStr">
        <is>
          <t>Largest $ risk</t>
        </is>
      </c>
      <c r="G44" s="78" t="n"/>
      <c r="H44" s="78" t="n"/>
      <c r="I44" s="80">
        <f>IF(COUNTIFS('Trade Log'!$AS$6:$AS$1005,1)=0,"—",_xlfn.MAXIFS('Trade Log'!$V$6:$V$1005,'Trade Log'!$AS$6:$AS$1005,1))</f>
        <v>300</v>
      </c>
      <c r="J44" s="85" t="inlineStr">
        <is>
          <t>Short</t>
        </is>
      </c>
      <c r="K44" s="78" t="n"/>
      <c r="L44" s="78" t="n"/>
      <c r="M44" s="79">
        <f>COUNTIFS('Trade Log'!$AS$6:$AS$1005,1,'Trade Log'!$F$6:$F$1005,"Short")</f>
        <v>11</v>
      </c>
      <c r="N44" s="82">
        <f>IFERROR(COUNTIFS('Trade Log'!$AS$6:$AS$1005,1,'Trade Log'!$F$6:$F$1005,"Short",'Trade Log'!$S$6:$S$1005,"Win")/(COUNTIFS('Trade Log'!$AS$6:$AS$1005,1,'Trade Log'!$F$6:$F$1005,"Short",'Trade Log'!$S$6:$S$1005,"Win")+COUNTIFS('Trade Log'!$AS$6:$AS$1005,1,'Trade Log'!$F$6:$F$1005,"Short",'Trade Log'!$S$6:$S$1005,"Loss")),"—")</f>
        <v>0.363636363636364</v>
      </c>
      <c r="O44" s="80">
        <f>SUMIFS('Trade Log'!$Q$6:$Q$1005,'Trade Log'!$AS$6:$AS$1005,1,'Trade Log'!$F$6:$F$1005,"Short")</f>
        <v>-197.839</v>
      </c>
      <c r="P44" s="81">
        <f>IFERROR(SUMIFS('Trade Log'!$R$6:$R$1005,'Trade Log'!$AS$6:$AS$1005,1,'Trade Log'!$F$6:$F$1005,"Short")/COUNTIFS('Trade Log'!$AS$6:$AS$1005,1,'Trade Log'!$F$6:$F$1005,"Short",'Trade Log'!$BC$6:$BC$1005,1),"—")</f>
        <v>-0.0757575757575758</v>
      </c>
      <c r="Q44" s="91">
        <f>IF(COUNTIFS('Trade Log'!$AS$6:$AS$1005,1,'Trade Log'!$F$6:$F$1005,"Short")=0,"—",IF(SUMIFS('Trade Log'!$Q$6:$Q$1005,'Trade Log'!$AS$6:$AS$1005,1,'Trade Log'!$F$6:$F$1005,"Short",'Trade Log'!$Q$6:$Q$1005,"&lt;0")=0,IF(SUMIFS('Trade Log'!$Q$6:$Q$1005,'Trade Log'!$AS$6:$AS$1005,1,'Trade Log'!$F$6:$F$1005,"Short",'Trade Log'!$Q$6:$Q$1005,"&gt;0")&gt;0,"No losses","—"),SUMIFS('Trade Log'!$Q$6:$Q$1005,'Trade Log'!$AS$6:$AS$1005,1,'Trade Log'!$F$6:$F$1005,"Short",'Trade Log'!$Q$6:$Q$1005,"&gt;0")/-SUMIFS('Trade Log'!$Q$6:$Q$1005,'Trade Log'!$AS$6:$AS$1005,1,'Trade Log'!$F$6:$F$1005,"Short",'Trade Log'!$Q$6:$Q$1005,"&lt;0")))</f>
        <v>0.731503082762992</v>
      </c>
    </row>
    <row r="45" ht="17" customHeight="1">
      <c r="B45" s="85" t="inlineStr">
        <is>
          <t>Avg planned R:R</t>
        </is>
      </c>
      <c r="C45" s="78" t="n"/>
      <c r="D45" s="78" t="n"/>
      <c r="E45" s="89">
        <f>IFERROR(SUMIFS('Trade Log'!$T$6:$T$1005,'Trade Log'!$AS$6:$AS$1005,1)/COUNTIFS('Trade Log'!$AS$6:$AS$1005,1,'Trade Log'!$T$6:$T$1005,"&gt;0"),"—")</f>
        <v>1.96428571428571</v>
      </c>
      <c r="F45" s="85" t="inlineStr">
        <is>
          <t>Winners cut before target</t>
        </is>
      </c>
      <c r="G45" s="78" t="n"/>
      <c r="H45" s="78" t="n"/>
      <c r="I45" s="87">
        <f>IFERROR(COUNTIFS('Trade Log'!$AS$6:$AS$1005,1,'Trade Log'!$U$6:$U$1005,"&gt;0")/COUNTIFS('Trade Log'!$AS$6:$AS$1005,1,'Trade Log'!$S$6:$S$1005,"Win"),"—")</f>
        <v>0.444444444444444</v>
      </c>
    </row>
    <row r="46" ht="17" customHeight="1">
      <c r="J46" s="75" t="inlineStr">
        <is>
          <t>Entry order</t>
        </is>
      </c>
      <c r="K46" s="76" t="n"/>
      <c r="L46" s="76" t="n"/>
      <c r="M46" s="15" t="inlineStr">
        <is>
          <t>Trades</t>
        </is>
      </c>
      <c r="N46" s="15" t="inlineStr">
        <is>
          <t>Win %</t>
        </is>
      </c>
      <c r="O46" s="15" t="inlineStr">
        <is>
          <t>Net P&amp;L</t>
        </is>
      </c>
      <c r="P46" s="15" t="inlineStr">
        <is>
          <t>Fees paid</t>
        </is>
      </c>
      <c r="Q46" s="15" t="inlineStr">
        <is>
          <t>Avg fee</t>
        </is>
      </c>
    </row>
    <row r="47" ht="17" customHeight="1">
      <c r="J47" s="85" t="inlineStr">
        <is>
          <t>Limit</t>
        </is>
      </c>
      <c r="K47" s="78" t="n"/>
      <c r="L47" s="78" t="n"/>
      <c r="M47" s="79">
        <f>COUNTIFS('Trade Log'!$AS$6:$AS$1005,1,'Trade Log'!$L$6:$L$1005,"Limit")</f>
        <v>17</v>
      </c>
      <c r="N47" s="82">
        <f>IFERROR(COUNTIFS('Trade Log'!$AS$6:$AS$1005,1,'Trade Log'!$L$6:$L$1005,"Limit",'Trade Log'!$S$6:$S$1005,"Win")/(COUNTIFS('Trade Log'!$AS$6:$AS$1005,1,'Trade Log'!$L$6:$L$1005,"Limit",'Trade Log'!$S$6:$S$1005,"Win")+COUNTIFS('Trade Log'!$AS$6:$AS$1005,1,'Trade Log'!$L$6:$L$1005,"Limit",'Trade Log'!$S$6:$S$1005,"Loss")),"—")</f>
        <v>0.882352941176471</v>
      </c>
      <c r="O47" s="80">
        <f>SUMIFS('Trade Log'!$Q$6:$Q$1005,'Trade Log'!$AS$6:$AS$1005,1,'Trade Log'!$L$6:$L$1005,"Limit")</f>
        <v>1892.63488</v>
      </c>
      <c r="P47" s="83">
        <f>-SUMIFS('Trade Log'!$AL$6:$AL$1005,'Trade Log'!$AS$6:$AS$1005,1,'Trade Log'!$L$6:$L$1005,"Limit")</f>
        <v>-28.06512</v>
      </c>
      <c r="Q47" s="83">
        <f>IFERROR(SUMIFS('Trade Log'!$AL$6:$AL$1005,'Trade Log'!$AS$6:$AS$1005,1,'Trade Log'!$L$6:$L$1005,"Limit")/COUNTIFS('Trade Log'!$AS$6:$AS$1005,1,'Trade Log'!$L$6:$L$1005,"Limit"),"—")</f>
        <v>1.65088941176471</v>
      </c>
    </row>
    <row r="48" ht="17" customHeight="1">
      <c r="J48" s="85" t="inlineStr">
        <is>
          <t>Market</t>
        </is>
      </c>
      <c r="K48" s="78" t="n"/>
      <c r="L48" s="78" t="n"/>
      <c r="M48" s="79">
        <f>COUNTIFS('Trade Log'!$AS$6:$AS$1005,1,'Trade Log'!$L$6:$L$1005,"Market")</f>
        <v>11</v>
      </c>
      <c r="N48" s="82">
        <f>IFERROR(COUNTIFS('Trade Log'!$AS$6:$AS$1005,1,'Trade Log'!$L$6:$L$1005,"Market",'Trade Log'!$S$6:$S$1005,"Win")/(COUNTIFS('Trade Log'!$AS$6:$AS$1005,1,'Trade Log'!$L$6:$L$1005,"Market",'Trade Log'!$S$6:$S$1005,"Win")+COUNTIFS('Trade Log'!$AS$6:$AS$1005,1,'Trade Log'!$L$6:$L$1005,"Market",'Trade Log'!$S$6:$S$1005,"Loss")),"—")</f>
        <v>0.3</v>
      </c>
      <c r="O48" s="80">
        <f>SUMIFS('Trade Log'!$Q$6:$Q$1005,'Trade Log'!$AS$6:$AS$1005,1,'Trade Log'!$L$6:$L$1005,"Market")</f>
        <v>-705.528</v>
      </c>
      <c r="P48" s="83">
        <f>-SUMIFS('Trade Log'!$AL$6:$AL$1005,'Trade Log'!$AS$6:$AS$1005,1,'Trade Log'!$L$6:$L$1005,"Market")</f>
        <v>-39.028</v>
      </c>
      <c r="Q48" s="83">
        <f>IFERROR(SUMIFS('Trade Log'!$AL$6:$AL$1005,'Trade Log'!$AS$6:$AS$1005,1,'Trade Log'!$L$6:$L$1005,"Market")/COUNTIFS('Trade Log'!$AS$6:$AS$1005,1,'Trade Log'!$L$6:$L$1005,"Market"),"—")</f>
        <v>3.548</v>
      </c>
    </row>
    <row r="49" ht="17" customHeight="1">
      <c r="J49" s="85" t="inlineStr">
        <is>
          <t>Stop</t>
        </is>
      </c>
      <c r="K49" s="78" t="n"/>
      <c r="L49" s="78" t="n"/>
      <c r="M49" s="79">
        <f>COUNTIFS('Trade Log'!$AS$6:$AS$1005,1,'Trade Log'!$L$6:$L$1005,"Stop")</f>
        <v>0</v>
      </c>
      <c r="N49" s="82" t="str">
        <f>IFERROR(COUNTIFS('Trade Log'!$AS$6:$AS$1005,1,'Trade Log'!$L$6:$L$1005,"Stop",'Trade Log'!$S$6:$S$1005,"Win")/(COUNTIFS('Trade Log'!$AS$6:$AS$1005,1,'Trade Log'!$L$6:$L$1005,"Stop",'Trade Log'!$S$6:$S$1005,"Win")+COUNTIFS('Trade Log'!$AS$6:$AS$1005,1,'Trade Log'!$L$6:$L$1005,"Stop",'Trade Log'!$S$6:$S$1005,"Loss")),"—")</f>
        <v>—</v>
      </c>
      <c r="O49" s="80">
        <f>SUMIFS('Trade Log'!$Q$6:$Q$1005,'Trade Log'!$AS$6:$AS$1005,1,'Trade Log'!$L$6:$L$1005,"Stop")</f>
        <v>0</v>
      </c>
      <c r="P49" s="83">
        <f>-SUMIFS('Trade Log'!$AL$6:$AL$1005,'Trade Log'!$AS$6:$AS$1005,1,'Trade Log'!$L$6:$L$1005,"Stop")</f>
        <v>0</v>
      </c>
      <c r="Q49" s="83" t="str">
        <f>IFERROR(SUMIFS('Trade Log'!$AL$6:$AL$1005,'Trade Log'!$AS$6:$AS$1005,1,'Trade Log'!$L$6:$L$1005,"Stop")/COUNTIFS('Trade Log'!$AS$6:$AS$1005,1,'Trade Log'!$L$6:$L$1005,"Stop"),"—")</f>
        <v>—</v>
      </c>
    </row>
    <row r="50" ht="17" customHeight="1">
      <c r="J50" s="85" t="inlineStr">
        <is>
          <t>Not tagged</t>
        </is>
      </c>
      <c r="K50" s="78" t="n"/>
      <c r="L50" s="78" t="n"/>
      <c r="M50" s="79">
        <f>COUNTIFS('Trade Log'!$AS$6:$AS$1005,1)-SUM(M47:M49)</f>
        <v>0</v>
      </c>
      <c r="N50" s="82" t="inlineStr"/>
      <c r="O50" s="80" t="inlineStr"/>
      <c r="P50" s="83" t="inlineStr"/>
      <c r="Q50" s="83" t="inlineStr"/>
    </row>
    <row r="51" ht="15" customHeight="1"/>
    <row r="52" ht="15" customHeight="1"/>
    <row r="53" ht="15" customHeight="1"/>
    <row r="54" ht="15" customHeight="1"/>
    <row r="55" ht="18" customHeight="1">
      <c r="B55" s="11" t="inlineStr">
        <is>
          <t>BY SETUP  —  what actually pays?</t>
        </is>
      </c>
      <c r="C55" s="12" t="n"/>
      <c r="D55" s="12" t="n"/>
      <c r="E55" s="12" t="n"/>
      <c r="F55" s="12" t="n"/>
      <c r="G55" s="12" t="n"/>
      <c r="H55" s="12" t="n"/>
      <c r="I55" s="12" t="n"/>
      <c r="J55" s="11" t="inlineStr">
        <is>
          <t>BY EMOTION  —  which feeling costs you money?</t>
        </is>
      </c>
      <c r="K55" s="12" t="n"/>
      <c r="L55" s="12" t="n"/>
      <c r="M55" s="12" t="n"/>
      <c r="N55" s="12" t="n"/>
      <c r="O55" s="12" t="n"/>
      <c r="P55" s="12" t="n"/>
      <c r="Q55" s="12" t="n"/>
    </row>
    <row r="56" ht="20" customHeight="1">
      <c r="B56" s="75" t="inlineStr">
        <is>
          <t>Setup</t>
        </is>
      </c>
      <c r="C56" s="76" t="n"/>
      <c r="D56" s="76" t="n"/>
      <c r="E56" s="15" t="inlineStr">
        <is>
          <t>Trades</t>
        </is>
      </c>
      <c r="F56" s="15" t="inlineStr">
        <is>
          <t>Win %</t>
        </is>
      </c>
      <c r="G56" s="15" t="inlineStr">
        <is>
          <t>Net P&amp;L</t>
        </is>
      </c>
      <c r="H56" s="15" t="inlineStr">
        <is>
          <t>Avg R</t>
        </is>
      </c>
      <c r="I56" s="15" t="inlineStr">
        <is>
          <t>Profit factor</t>
        </is>
      </c>
      <c r="J56" s="75" t="inlineStr">
        <is>
          <t>Emotion</t>
        </is>
      </c>
      <c r="K56" s="76" t="n"/>
      <c r="L56" s="76" t="n"/>
      <c r="M56" s="15" t="inlineStr">
        <is>
          <t>Trades</t>
        </is>
      </c>
      <c r="N56" s="15" t="inlineStr">
        <is>
          <t>Win %</t>
        </is>
      </c>
      <c r="O56" s="15" t="inlineStr">
        <is>
          <t>Net P&amp;L</t>
        </is>
      </c>
      <c r="P56" s="15" t="inlineStr">
        <is>
          <t>Avg R</t>
        </is>
      </c>
      <c r="Q56" s="15" t="inlineStr">
        <is>
          <t>% of trades</t>
        </is>
      </c>
    </row>
    <row r="57" ht="15" customHeight="1">
      <c r="B57" s="85" t="str">
        <f>IF('Setup Playbook'!$B$6="","",'Setup Playbook'!$B$6)</f>
        <v>Breakout &amp; Retest</v>
      </c>
      <c r="C57" s="78" t="n"/>
      <c r="D57" s="78" t="n"/>
      <c r="E57" s="79">
        <f>IF($B57="","",COUNTIFS('Trade Log'!$AS$6:$AS$1005,1,'Trade Log'!$Y$6:$Y$1005,$B57))</f>
        <v>8</v>
      </c>
      <c r="F57" s="82">
        <f>IF($B57="","",IFERROR(COUNTIFS('Trade Log'!$AS$6:$AS$1005,1,'Trade Log'!$Y$6:$Y$1005,$B57,'Trade Log'!$S$6:$S$1005,"Win")/(COUNTIFS('Trade Log'!$AS$6:$AS$1005,1,'Trade Log'!$Y$6:$Y$1005,$B57,'Trade Log'!$S$6:$S$1005,"Win")+COUNTIFS('Trade Log'!$AS$6:$AS$1005,1,'Trade Log'!$Y$6:$Y$1005,$B57,'Trade Log'!$S$6:$S$1005,"Loss")),"—"))</f>
        <v>0.857142857142857</v>
      </c>
      <c r="G57" s="80">
        <f>IF($B57="","",SUMIFS('Trade Log'!$Q$6:$Q$1005,'Trade Log'!$AS$6:$AS$1005,1,'Trade Log'!$Y$6:$Y$1005,$B57))</f>
        <v>686.848</v>
      </c>
      <c r="H57" s="81">
        <f>IF($B57="","",IFERROR(SUMIFS('Trade Log'!$R$6:$R$1005,'Trade Log'!$AS$6:$AS$1005,1,'Trade Log'!$Y$6:$Y$1005,$B57)/COUNTIFS('Trade Log'!$AS$6:$AS$1005,1,'Trade Log'!$Y$6:$Y$1005,$B57,'Trade Log'!$BC$6:$BC$1005,1),"—"))</f>
        <v>1.38333333333333</v>
      </c>
      <c r="I57" s="91">
        <f>IF($B57="","",IF(COUNTIFS('Trade Log'!$AS$6:$AS$1005,1,'Trade Log'!$Y$6:$Y$1005,$B57)=0,"—",IF(SUMIFS('Trade Log'!$Q$6:$Q$1005,'Trade Log'!$AS$6:$AS$1005,1,'Trade Log'!$Y$6:$Y$1005,$B57,'Trade Log'!$Q$6:$Q$1005,"&lt;0")=0,IF(SUMIFS('Trade Log'!$Q$6:$Q$1005,'Trade Log'!$AS$6:$AS$1005,1,'Trade Log'!$Y$6:$Y$1005,$B57,'Trade Log'!$Q$6:$Q$1005,"&gt;0")&gt;0,"No losses","—"),SUMIFS('Trade Log'!$Q$6:$Q$1005,'Trade Log'!$AS$6:$AS$1005,1,'Trade Log'!$Y$6:$Y$1005,$B57,'Trade Log'!$Q$6:$Q$1005,"&gt;0")/-SUMIFS('Trade Log'!$Q$6:$Q$1005,'Trade Log'!$AS$6:$AS$1005,1,'Trade Log'!$Y$6:$Y$1005,$B57,'Trade Log'!$Q$6:$Q$1005,"&lt;0"))))</f>
        <v>3.24460130718954</v>
      </c>
      <c r="J57" s="85" t="str">
        <f>IF(Psychology!$B$6="","",Psychology!$B$6)</f>
        <v>Calm</v>
      </c>
      <c r="K57" s="78" t="n"/>
      <c r="L57" s="78" t="n"/>
      <c r="M57" s="79">
        <f>IF($J57="","",COUNTIFS('Trade Log'!$AS$6:$AS$1005,1,'Trade Log'!$AA$6:$AA$1005,$J57))</f>
        <v>12</v>
      </c>
      <c r="N57" s="82">
        <f>IF($J57="","",IFERROR(COUNTIFS('Trade Log'!$AS$6:$AS$1005,1,'Trade Log'!$AA$6:$AA$1005,$J57,'Trade Log'!$S$6:$S$1005,"Win")/(COUNTIFS('Trade Log'!$AS$6:$AS$1005,1,'Trade Log'!$AA$6:$AA$1005,$J57,'Trade Log'!$S$6:$S$1005,"Win")+COUNTIFS('Trade Log'!$AS$6:$AS$1005,1,'Trade Log'!$AA$6:$AA$1005,$J57,'Trade Log'!$S$6:$S$1005,"Loss")),"—"))</f>
        <v>0.75</v>
      </c>
      <c r="O57" s="80">
        <f>IF($J57="","",SUMIFS('Trade Log'!$Q$6:$Q$1005,'Trade Log'!$AS$6:$AS$1005,1,'Trade Log'!$AA$6:$AA$1005,$J57))</f>
        <v>1357.604</v>
      </c>
      <c r="P57" s="81">
        <f>IF($J57="","",IFERROR(SUMIFS('Trade Log'!$R$6:$R$1005,'Trade Log'!$AS$6:$AS$1005,1,'Trade Log'!$AA$6:$AA$1005,$J57)/COUNTIFS('Trade Log'!$AS$6:$AS$1005,1,'Trade Log'!$AA$6:$AA$1005,$J57,'Trade Log'!$BC$6:$BC$1005,1),"—"))</f>
        <v>1.24305555555556</v>
      </c>
      <c r="Q57" s="82">
        <f>IF($J57="","",IFERROR(COUNTIFS('Trade Log'!$AS$6:$AS$1005,1,'Trade Log'!$AA$6:$AA$1005,$J57)/COUNTIFS('Trade Log'!$AS$6:$AS$1005,1),"—"))</f>
        <v>0.428571428571429</v>
      </c>
    </row>
    <row r="58" ht="15" customHeight="1">
      <c r="B58" s="85" t="str">
        <f>IF('Setup Playbook'!$B$7="","",'Setup Playbook'!$B$7)</f>
        <v>Trend Pullback</v>
      </c>
      <c r="C58" s="78" t="n"/>
      <c r="D58" s="78" t="n"/>
      <c r="E58" s="79">
        <f>IF($B58="","",COUNTIFS('Trade Log'!$AS$6:$AS$1005,1,'Trade Log'!$Y$6:$Y$1005,$B58))</f>
        <v>8</v>
      </c>
      <c r="F58" s="82">
        <f>IF($B58="","",IFERROR(COUNTIFS('Trade Log'!$AS$6:$AS$1005,1,'Trade Log'!$Y$6:$Y$1005,$B58,'Trade Log'!$S$6:$S$1005,"Win")/(COUNTIFS('Trade Log'!$AS$6:$AS$1005,1,'Trade Log'!$Y$6:$Y$1005,$B58,'Trade Log'!$S$6:$S$1005,"Win")+COUNTIFS('Trade Log'!$AS$6:$AS$1005,1,'Trade Log'!$Y$6:$Y$1005,$B58,'Trade Log'!$S$6:$S$1005,"Loss")),"—"))</f>
        <v>1</v>
      </c>
      <c r="G58" s="80">
        <f>IF($B58="","",SUMIFS('Trade Log'!$Q$6:$Q$1005,'Trade Log'!$AS$6:$AS$1005,1,'Trade Log'!$Y$6:$Y$1005,$B58))</f>
        <v>831.09788</v>
      </c>
      <c r="H58" s="81">
        <f>IF($B58="","",IFERROR(SUMIFS('Trade Log'!$R$6:$R$1005,'Trade Log'!$AS$6:$AS$1005,1,'Trade Log'!$Y$6:$Y$1005,$B58)/COUNTIFS('Trade Log'!$AS$6:$AS$1005,1,'Trade Log'!$Y$6:$Y$1005,$B58,'Trade Log'!$BC$6:$BC$1005,1),"—"))</f>
        <v>1.29</v>
      </c>
      <c r="I58" s="91" t="str">
        <f>IF($B58="","",IF(COUNTIFS('Trade Log'!$AS$6:$AS$1005,1,'Trade Log'!$Y$6:$Y$1005,$B58)=0,"—",IF(SUMIFS('Trade Log'!$Q$6:$Q$1005,'Trade Log'!$AS$6:$AS$1005,1,'Trade Log'!$Y$6:$Y$1005,$B58,'Trade Log'!$Q$6:$Q$1005,"&lt;0")=0,IF(SUMIFS('Trade Log'!$Q$6:$Q$1005,'Trade Log'!$AS$6:$AS$1005,1,'Trade Log'!$Y$6:$Y$1005,$B58,'Trade Log'!$Q$6:$Q$1005,"&gt;0")&gt;0,"No losses","—"),SUMIFS('Trade Log'!$Q$6:$Q$1005,'Trade Log'!$AS$6:$AS$1005,1,'Trade Log'!$Y$6:$Y$1005,$B58,'Trade Log'!$Q$6:$Q$1005,"&gt;0")/-SUMIFS('Trade Log'!$Q$6:$Q$1005,'Trade Log'!$AS$6:$AS$1005,1,'Trade Log'!$Y$6:$Y$1005,$B58,'Trade Log'!$Q$6:$Q$1005,"&lt;0"))))</f>
        <v>No losses</v>
      </c>
      <c r="J58" s="85" t="str">
        <f>IF(Psychology!$B$7="","",Psychology!$B$7)</f>
        <v>Confident</v>
      </c>
      <c r="K58" s="78" t="n"/>
      <c r="L58" s="78" t="n"/>
      <c r="M58" s="79">
        <f>IF($J58="","",COUNTIFS('Trade Log'!$AS$6:$AS$1005,1,'Trade Log'!$AA$6:$AA$1005,$J58))</f>
        <v>3</v>
      </c>
      <c r="N58" s="82">
        <f>IF($J58="","",IFERROR(COUNTIFS('Trade Log'!$AS$6:$AS$1005,1,'Trade Log'!$AA$6:$AA$1005,$J58,'Trade Log'!$S$6:$S$1005,"Win")/(COUNTIFS('Trade Log'!$AS$6:$AS$1005,1,'Trade Log'!$AA$6:$AA$1005,$J58,'Trade Log'!$S$6:$S$1005,"Win")+COUNTIFS('Trade Log'!$AS$6:$AS$1005,1,'Trade Log'!$AA$6:$AA$1005,$J58,'Trade Log'!$S$6:$S$1005,"Loss")),"—"))</f>
        <v>1</v>
      </c>
      <c r="O58" s="80">
        <f>IF($J58="","",SUMIFS('Trade Log'!$Q$6:$Q$1005,'Trade Log'!$AS$6:$AS$1005,1,'Trade Log'!$AA$6:$AA$1005,$J58))</f>
        <v>270.144</v>
      </c>
      <c r="P58" s="81">
        <f>IF($J58="","",IFERROR(SUMIFS('Trade Log'!$R$6:$R$1005,'Trade Log'!$AS$6:$AS$1005,1,'Trade Log'!$AA$6:$AA$1005,$J58)/COUNTIFS('Trade Log'!$AS$6:$AS$1005,1,'Trade Log'!$AA$6:$AA$1005,$J58,'Trade Log'!$BC$6:$BC$1005,1),"—"))</f>
        <v>1.63888888888889</v>
      </c>
      <c r="Q58" s="82">
        <f>IF($J58="","",IFERROR(COUNTIFS('Trade Log'!$AS$6:$AS$1005,1,'Trade Log'!$AA$6:$AA$1005,$J58)/COUNTIFS('Trade Log'!$AS$6:$AS$1005,1),"—"))</f>
        <v>0.107142857142857</v>
      </c>
    </row>
    <row r="59" ht="15" customHeight="1">
      <c r="B59" s="85" t="str">
        <f>IF('Setup Playbook'!$B$8="","",'Setup Playbook'!$B$8)</f>
        <v>Failed Breakout Reversal</v>
      </c>
      <c r="C59" s="78" t="n"/>
      <c r="D59" s="78" t="n"/>
      <c r="E59" s="79">
        <f>IF($B59="","",COUNTIFS('Trade Log'!$AS$6:$AS$1005,1,'Trade Log'!$Y$6:$Y$1005,$B59))</f>
        <v>5</v>
      </c>
      <c r="F59" s="82">
        <f>IF($B59="","",IFERROR(COUNTIFS('Trade Log'!$AS$6:$AS$1005,1,'Trade Log'!$Y$6:$Y$1005,$B59,'Trade Log'!$S$6:$S$1005,"Win")/(COUNTIFS('Trade Log'!$AS$6:$AS$1005,1,'Trade Log'!$Y$6:$Y$1005,$B59,'Trade Log'!$S$6:$S$1005,"Win")+COUNTIFS('Trade Log'!$AS$6:$AS$1005,1,'Trade Log'!$Y$6:$Y$1005,$B59,'Trade Log'!$S$6:$S$1005,"Loss")),"—"))</f>
        <v>0</v>
      </c>
      <c r="G59" s="80">
        <f>IF($B59="","",SUMIFS('Trade Log'!$Q$6:$Q$1005,'Trade Log'!$AS$6:$AS$1005,1,'Trade Log'!$Y$6:$Y$1005,$B59))</f>
        <v>-566.239</v>
      </c>
      <c r="H59" s="81">
        <f>IF($B59="","",IFERROR(SUMIFS('Trade Log'!$R$6:$R$1005,'Trade Log'!$AS$6:$AS$1005,1,'Trade Log'!$Y$6:$Y$1005,$B59)/COUNTIFS('Trade Log'!$AS$6:$AS$1005,1,'Trade Log'!$Y$6:$Y$1005,$B59,'Trade Log'!$BC$6:$BC$1005,1),"—"))</f>
        <v>-1.1</v>
      </c>
      <c r="I59" s="91">
        <f>IF($B59="","",IF(COUNTIFS('Trade Log'!$AS$6:$AS$1005,1,'Trade Log'!$Y$6:$Y$1005,$B59)=0,"—",IF(SUMIFS('Trade Log'!$Q$6:$Q$1005,'Trade Log'!$AS$6:$AS$1005,1,'Trade Log'!$Y$6:$Y$1005,$B59,'Trade Log'!$Q$6:$Q$1005,"&lt;0")=0,IF(SUMIFS('Trade Log'!$Q$6:$Q$1005,'Trade Log'!$AS$6:$AS$1005,1,'Trade Log'!$Y$6:$Y$1005,$B59,'Trade Log'!$Q$6:$Q$1005,"&gt;0")&gt;0,"No losses","—"),SUMIFS('Trade Log'!$Q$6:$Q$1005,'Trade Log'!$AS$6:$AS$1005,1,'Trade Log'!$Y$6:$Y$1005,$B59,'Trade Log'!$Q$6:$Q$1005,"&gt;0")/-SUMIFS('Trade Log'!$Q$6:$Q$1005,'Trade Log'!$AS$6:$AS$1005,1,'Trade Log'!$Y$6:$Y$1005,$B59,'Trade Log'!$Q$6:$Q$1005,"&lt;0"))))</f>
        <v>0</v>
      </c>
      <c r="J59" s="85" t="str">
        <f>IF(Psychology!$B$8="","",Psychology!$B$8)</f>
        <v>Hesitant</v>
      </c>
      <c r="K59" s="78" t="n"/>
      <c r="L59" s="78" t="n"/>
      <c r="M59" s="79">
        <f>IF($J59="","",COUNTIFS('Trade Log'!$AS$6:$AS$1005,1,'Trade Log'!$AA$6:$AA$1005,$J59))</f>
        <v>2</v>
      </c>
      <c r="N59" s="82">
        <f>IF($J59="","",IFERROR(COUNTIFS('Trade Log'!$AS$6:$AS$1005,1,'Trade Log'!$AA$6:$AA$1005,$J59,'Trade Log'!$S$6:$S$1005,"Win")/(COUNTIFS('Trade Log'!$AS$6:$AS$1005,1,'Trade Log'!$AA$6:$AA$1005,$J59,'Trade Log'!$S$6:$S$1005,"Win")+COUNTIFS('Trade Log'!$AS$6:$AS$1005,1,'Trade Log'!$AA$6:$AA$1005,$J59,'Trade Log'!$S$6:$S$1005,"Loss")),"—"))</f>
        <v>1</v>
      </c>
      <c r="O59" s="80">
        <f>IF($J59="","",SUMIFS('Trade Log'!$Q$6:$Q$1005,'Trade Log'!$AS$6:$AS$1005,1,'Trade Log'!$AA$6:$AA$1005,$J59))</f>
        <v>63.5</v>
      </c>
      <c r="P59" s="81">
        <f>IF($J59="","",IFERROR(SUMIFS('Trade Log'!$R$6:$R$1005,'Trade Log'!$AS$6:$AS$1005,1,'Trade Log'!$AA$6:$AA$1005,$J59)/COUNTIFS('Trade Log'!$AS$6:$AS$1005,1,'Trade Log'!$AA$6:$AA$1005,$J59,'Trade Log'!$BC$6:$BC$1005,1),"—"))</f>
        <v>0.45</v>
      </c>
      <c r="Q59" s="82">
        <f>IF($J59="","",IFERROR(COUNTIFS('Trade Log'!$AS$6:$AS$1005,1,'Trade Log'!$AA$6:$AA$1005,$J59)/COUNTIFS('Trade Log'!$AS$6:$AS$1005,1),"—"))</f>
        <v>0.0714285714285714</v>
      </c>
    </row>
    <row r="60" ht="15" customHeight="1">
      <c r="B60" s="85" t="str">
        <f>IF('Setup Playbook'!$B$9="","",'Setup Playbook'!$B$9)</f>
        <v>Range Fade</v>
      </c>
      <c r="C60" s="78" t="n"/>
      <c r="D60" s="78" t="n"/>
      <c r="E60" s="79">
        <f>IF($B60="","",COUNTIFS('Trade Log'!$AS$6:$AS$1005,1,'Trade Log'!$Y$6:$Y$1005,$B60))</f>
        <v>4</v>
      </c>
      <c r="F60" s="82">
        <f>IF($B60="","",IFERROR(COUNTIFS('Trade Log'!$AS$6:$AS$1005,1,'Trade Log'!$Y$6:$Y$1005,$B60,'Trade Log'!$S$6:$S$1005,"Win")/(COUNTIFS('Trade Log'!$AS$6:$AS$1005,1,'Trade Log'!$Y$6:$Y$1005,$B60,'Trade Log'!$S$6:$S$1005,"Win")+COUNTIFS('Trade Log'!$AS$6:$AS$1005,1,'Trade Log'!$Y$6:$Y$1005,$B60,'Trade Log'!$S$6:$S$1005,"Loss")),"—"))</f>
        <v>0.75</v>
      </c>
      <c r="G60" s="80">
        <f>IF($B60="","",SUMIFS('Trade Log'!$Q$6:$Q$1005,'Trade Log'!$AS$6:$AS$1005,1,'Trade Log'!$Y$6:$Y$1005,$B60))</f>
        <v>434.9</v>
      </c>
      <c r="H60" s="81">
        <f>IF($B60="","",IFERROR(SUMIFS('Trade Log'!$R$6:$R$1005,'Trade Log'!$AS$6:$AS$1005,1,'Trade Log'!$Y$6:$Y$1005,$B60)/COUNTIFS('Trade Log'!$AS$6:$AS$1005,1,'Trade Log'!$Y$6:$Y$1005,$B60,'Trade Log'!$BC$6:$BC$1005,1),"—"))</f>
        <v>1.20833333333333</v>
      </c>
      <c r="I60" s="91">
        <f>IF($B60="","",IF(COUNTIFS('Trade Log'!$AS$6:$AS$1005,1,'Trade Log'!$Y$6:$Y$1005,$B60)=0,"—",IF(SUMIFS('Trade Log'!$Q$6:$Q$1005,'Trade Log'!$AS$6:$AS$1005,1,'Trade Log'!$Y$6:$Y$1005,$B60,'Trade Log'!$Q$6:$Q$1005,"&lt;0")=0,IF(SUMIFS('Trade Log'!$Q$6:$Q$1005,'Trade Log'!$AS$6:$AS$1005,1,'Trade Log'!$Y$6:$Y$1005,$B60,'Trade Log'!$Q$6:$Q$1005,"&gt;0")&gt;0,"No losses","—"),SUMIFS('Trade Log'!$Q$6:$Q$1005,'Trade Log'!$AS$6:$AS$1005,1,'Trade Log'!$Y$6:$Y$1005,$B60,'Trade Log'!$Q$6:$Q$1005,"&gt;0")/-SUMIFS('Trade Log'!$Q$6:$Q$1005,'Trade Log'!$AS$6:$AS$1005,1,'Trade Log'!$Y$6:$Y$1005,$B60,'Trade Log'!$Q$6:$Q$1005,"&lt;0"))))</f>
        <v>8.8929219600726</v>
      </c>
      <c r="J60" s="85" t="str">
        <f>IF(Psychology!$B$9="","",Psychology!$B$9)</f>
        <v>Anxious</v>
      </c>
      <c r="K60" s="78" t="n"/>
      <c r="L60" s="78" t="n"/>
      <c r="M60" s="79">
        <f>IF($J60="","",COUNTIFS('Trade Log'!$AS$6:$AS$1005,1,'Trade Log'!$AA$6:$AA$1005,$J60))</f>
        <v>3</v>
      </c>
      <c r="N60" s="82">
        <f>IF($J60="","",IFERROR(COUNTIFS('Trade Log'!$AS$6:$AS$1005,1,'Trade Log'!$AA$6:$AA$1005,$J60,'Trade Log'!$S$6:$S$1005,"Win")/(COUNTIFS('Trade Log'!$AS$6:$AS$1005,1,'Trade Log'!$AA$6:$AA$1005,$J60,'Trade Log'!$S$6:$S$1005,"Win")+COUNTIFS('Trade Log'!$AS$6:$AS$1005,1,'Trade Log'!$AA$6:$AA$1005,$J60,'Trade Log'!$S$6:$S$1005,"Loss")),"—"))</f>
        <v>1</v>
      </c>
      <c r="O60" s="80">
        <f>IF($J60="","",SUMIFS('Trade Log'!$Q$6:$Q$1005,'Trade Log'!$AS$6:$AS$1005,1,'Trade Log'!$AA$6:$AA$1005,$J60))</f>
        <v>194.311</v>
      </c>
      <c r="P60" s="81">
        <f>IF($J60="","",IFERROR(SUMIFS('Trade Log'!$R$6:$R$1005,'Trade Log'!$AS$6:$AS$1005,1,'Trade Log'!$AA$6:$AA$1005,$J60)/COUNTIFS('Trade Log'!$AS$6:$AS$1005,1,'Trade Log'!$AA$6:$AA$1005,$J60,'Trade Log'!$BC$6:$BC$1005,1),"—"))</f>
        <v>0.922222222222222</v>
      </c>
      <c r="Q60" s="82">
        <f>IF($J60="","",IFERROR(COUNTIFS('Trade Log'!$AS$6:$AS$1005,1,'Trade Log'!$AA$6:$AA$1005,$J60)/COUNTIFS('Trade Log'!$AS$6:$AS$1005,1),"—"))</f>
        <v>0.107142857142857</v>
      </c>
    </row>
    <row r="61" ht="15" customHeight="1">
      <c r="B61" s="85" t="str">
        <f>IF('Setup Playbook'!$B$10="","",'Setup Playbook'!$B$10)</f>
        <v/>
      </c>
      <c r="C61" s="78" t="n"/>
      <c r="D61" s="78" t="n"/>
      <c r="E61" s="79" t="str">
        <f>IF($B61="","",COUNTIFS('Trade Log'!$AS$6:$AS$1005,1,'Trade Log'!$Y$6:$Y$1005,$B61))</f>
        <v/>
      </c>
      <c r="F61" s="82" t="str">
        <f>IF($B61="","",IFERROR(COUNTIFS('Trade Log'!$AS$6:$AS$1005,1,'Trade Log'!$Y$6:$Y$1005,$B61,'Trade Log'!$S$6:$S$1005,"Win")/(COUNTIFS('Trade Log'!$AS$6:$AS$1005,1,'Trade Log'!$Y$6:$Y$1005,$B61,'Trade Log'!$S$6:$S$1005,"Win")+COUNTIFS('Trade Log'!$AS$6:$AS$1005,1,'Trade Log'!$Y$6:$Y$1005,$B61,'Trade Log'!$S$6:$S$1005,"Loss")),"—"))</f>
        <v/>
      </c>
      <c r="G61" s="80" t="str">
        <f>IF($B61="","",SUMIFS('Trade Log'!$Q$6:$Q$1005,'Trade Log'!$AS$6:$AS$1005,1,'Trade Log'!$Y$6:$Y$1005,$B61))</f>
        <v/>
      </c>
      <c r="H61" s="81" t="str">
        <f>IF($B61="","",IFERROR(SUMIFS('Trade Log'!$R$6:$R$1005,'Trade Log'!$AS$6:$AS$1005,1,'Trade Log'!$Y$6:$Y$1005,$B61)/COUNTIFS('Trade Log'!$AS$6:$AS$1005,1,'Trade Log'!$Y$6:$Y$1005,$B61,'Trade Log'!$BC$6:$BC$1005,1),"—"))</f>
        <v/>
      </c>
      <c r="I61" s="91" t="str">
        <f>IF($B61="","",IF(COUNTIFS('Trade Log'!$AS$6:$AS$1005,1,'Trade Log'!$Y$6:$Y$1005,$B61)=0,"—",IF(SUMIFS('Trade Log'!$Q$6:$Q$1005,'Trade Log'!$AS$6:$AS$1005,1,'Trade Log'!$Y$6:$Y$1005,$B61,'Trade Log'!$Q$6:$Q$1005,"&lt;0")=0,IF(SUMIFS('Trade Log'!$Q$6:$Q$1005,'Trade Log'!$AS$6:$AS$1005,1,'Trade Log'!$Y$6:$Y$1005,$B61,'Trade Log'!$Q$6:$Q$1005,"&gt;0")&gt;0,"No losses","—"),SUMIFS('Trade Log'!$Q$6:$Q$1005,'Trade Log'!$AS$6:$AS$1005,1,'Trade Log'!$Y$6:$Y$1005,$B61,'Trade Log'!$Q$6:$Q$1005,"&gt;0")/-SUMIFS('Trade Log'!$Q$6:$Q$1005,'Trade Log'!$AS$6:$AS$1005,1,'Trade Log'!$Y$6:$Y$1005,$B61,'Trade Log'!$Q$6:$Q$1005,"&lt;0"))))</f>
        <v/>
      </c>
      <c r="J61" s="85" t="str">
        <f>IF(Psychology!$B$10="","",Psychology!$B$10)</f>
        <v>FOMO</v>
      </c>
      <c r="K61" s="78" t="n"/>
      <c r="L61" s="78" t="n"/>
      <c r="M61" s="79">
        <f>IF($J61="","",COUNTIFS('Trade Log'!$AS$6:$AS$1005,1,'Trade Log'!$AA$6:$AA$1005,$J61))</f>
        <v>3</v>
      </c>
      <c r="N61" s="82">
        <f>IF($J61="","",IFERROR(COUNTIFS('Trade Log'!$AS$6:$AS$1005,1,'Trade Log'!$AA$6:$AA$1005,$J61,'Trade Log'!$S$6:$S$1005,"Win")/(COUNTIFS('Trade Log'!$AS$6:$AS$1005,1,'Trade Log'!$AA$6:$AA$1005,$J61,'Trade Log'!$S$6:$S$1005,"Win")+COUNTIFS('Trade Log'!$AS$6:$AS$1005,1,'Trade Log'!$AA$6:$AA$1005,$J61,'Trade Log'!$S$6:$S$1005,"Loss")),"—"))</f>
        <v>0</v>
      </c>
      <c r="O61" s="80">
        <f>IF($J61="","",SUMIFS('Trade Log'!$Q$6:$Q$1005,'Trade Log'!$AS$6:$AS$1005,1,'Trade Log'!$AA$6:$AA$1005,$J61))</f>
        <v>-417.239</v>
      </c>
      <c r="P61" s="81">
        <f>IF($J61="","",IFERROR(SUMIFS('Trade Log'!$R$6:$R$1005,'Trade Log'!$AS$6:$AS$1005,1,'Trade Log'!$AA$6:$AA$1005,$J61)/COUNTIFS('Trade Log'!$AS$6:$AS$1005,1,'Trade Log'!$AA$6:$AA$1005,$J61,'Trade Log'!$BC$6:$BC$1005,1),"—"))</f>
        <v>-1</v>
      </c>
      <c r="Q61" s="82">
        <f>IF($J61="","",IFERROR(COUNTIFS('Trade Log'!$AS$6:$AS$1005,1,'Trade Log'!$AA$6:$AA$1005,$J61)/COUNTIFS('Trade Log'!$AS$6:$AS$1005,1),"—"))</f>
        <v>0.107142857142857</v>
      </c>
    </row>
    <row r="62" ht="15" customHeight="1">
      <c r="B62" s="85" t="str">
        <f>IF('Setup Playbook'!$B$11="","",'Setup Playbook'!$B$11)</f>
        <v/>
      </c>
      <c r="C62" s="78" t="n"/>
      <c r="D62" s="78" t="n"/>
      <c r="E62" s="79" t="str">
        <f>IF($B62="","",COUNTIFS('Trade Log'!$AS$6:$AS$1005,1,'Trade Log'!$Y$6:$Y$1005,$B62))</f>
        <v/>
      </c>
      <c r="F62" s="82" t="str">
        <f>IF($B62="","",IFERROR(COUNTIFS('Trade Log'!$AS$6:$AS$1005,1,'Trade Log'!$Y$6:$Y$1005,$B62,'Trade Log'!$S$6:$S$1005,"Win")/(COUNTIFS('Trade Log'!$AS$6:$AS$1005,1,'Trade Log'!$Y$6:$Y$1005,$B62,'Trade Log'!$S$6:$S$1005,"Win")+COUNTIFS('Trade Log'!$AS$6:$AS$1005,1,'Trade Log'!$Y$6:$Y$1005,$B62,'Trade Log'!$S$6:$S$1005,"Loss")),"—"))</f>
        <v/>
      </c>
      <c r="G62" s="80" t="str">
        <f>IF($B62="","",SUMIFS('Trade Log'!$Q$6:$Q$1005,'Trade Log'!$AS$6:$AS$1005,1,'Trade Log'!$Y$6:$Y$1005,$B62))</f>
        <v/>
      </c>
      <c r="H62" s="81" t="str">
        <f>IF($B62="","",IFERROR(SUMIFS('Trade Log'!$R$6:$R$1005,'Trade Log'!$AS$6:$AS$1005,1,'Trade Log'!$Y$6:$Y$1005,$B62)/COUNTIFS('Trade Log'!$AS$6:$AS$1005,1,'Trade Log'!$Y$6:$Y$1005,$B62,'Trade Log'!$BC$6:$BC$1005,1),"—"))</f>
        <v/>
      </c>
      <c r="I62" s="91" t="str">
        <f>IF($B62="","",IF(COUNTIFS('Trade Log'!$AS$6:$AS$1005,1,'Trade Log'!$Y$6:$Y$1005,$B62)=0,"—",IF(SUMIFS('Trade Log'!$Q$6:$Q$1005,'Trade Log'!$AS$6:$AS$1005,1,'Trade Log'!$Y$6:$Y$1005,$B62,'Trade Log'!$Q$6:$Q$1005,"&lt;0")=0,IF(SUMIFS('Trade Log'!$Q$6:$Q$1005,'Trade Log'!$AS$6:$AS$1005,1,'Trade Log'!$Y$6:$Y$1005,$B62,'Trade Log'!$Q$6:$Q$1005,"&gt;0")&gt;0,"No losses","—"),SUMIFS('Trade Log'!$Q$6:$Q$1005,'Trade Log'!$AS$6:$AS$1005,1,'Trade Log'!$Y$6:$Y$1005,$B62,'Trade Log'!$Q$6:$Q$1005,"&gt;0")/-SUMIFS('Trade Log'!$Q$6:$Q$1005,'Trade Log'!$AS$6:$AS$1005,1,'Trade Log'!$Y$6:$Y$1005,$B62,'Trade Log'!$Q$6:$Q$1005,"&lt;0"))))</f>
        <v/>
      </c>
      <c r="J62" s="85" t="str">
        <f>IF(Psychology!$B$11="","",Psychology!$B$11)</f>
        <v>Greedy</v>
      </c>
      <c r="K62" s="78" t="n"/>
      <c r="L62" s="78" t="n"/>
      <c r="M62" s="79">
        <f>IF($J62="","",COUNTIFS('Trade Log'!$AS$6:$AS$1005,1,'Trade Log'!$AA$6:$AA$1005,$J62))</f>
        <v>1</v>
      </c>
      <c r="N62" s="82">
        <f>IF($J62="","",IFERROR(COUNTIFS('Trade Log'!$AS$6:$AS$1005,1,'Trade Log'!$AA$6:$AA$1005,$J62,'Trade Log'!$S$6:$S$1005,"Win")/(COUNTIFS('Trade Log'!$AS$6:$AS$1005,1,'Trade Log'!$AA$6:$AA$1005,$J62,'Trade Log'!$S$6:$S$1005,"Win")+COUNTIFS('Trade Log'!$AS$6:$AS$1005,1,'Trade Log'!$AA$6:$AA$1005,$J62,'Trade Log'!$S$6:$S$1005,"Loss")),"—"))</f>
        <v>1</v>
      </c>
      <c r="O62" s="80">
        <f>IF($J62="","",SUMIFS('Trade Log'!$Q$6:$Q$1005,'Trade Log'!$AS$6:$AS$1005,1,'Trade Log'!$AA$6:$AA$1005,$J62))</f>
        <v>100.28688</v>
      </c>
      <c r="P62" s="81">
        <f>IF($J62="","",IFERROR(SUMIFS('Trade Log'!$R$6:$R$1005,'Trade Log'!$AS$6:$AS$1005,1,'Trade Log'!$AA$6:$AA$1005,$J62)/COUNTIFS('Trade Log'!$AS$6:$AS$1005,1,'Trade Log'!$AA$6:$AA$1005,$J62,'Trade Log'!$BC$6:$BC$1005,1),"—"))</f>
        <v>1.72</v>
      </c>
      <c r="Q62" s="82">
        <f>IF($J62="","",IFERROR(COUNTIFS('Trade Log'!$AS$6:$AS$1005,1,'Trade Log'!$AA$6:$AA$1005,$J62)/COUNTIFS('Trade Log'!$AS$6:$AS$1005,1),"—"))</f>
        <v>0.0357142857142857</v>
      </c>
    </row>
    <row r="63" ht="15" customHeight="1">
      <c r="B63" s="85" t="str">
        <f>IF('Setup Playbook'!$B$12="","",'Setup Playbook'!$B$12)</f>
        <v/>
      </c>
      <c r="C63" s="78" t="n"/>
      <c r="D63" s="78" t="n"/>
      <c r="E63" s="79" t="str">
        <f>IF($B63="","",COUNTIFS('Trade Log'!$AS$6:$AS$1005,1,'Trade Log'!$Y$6:$Y$1005,$B63))</f>
        <v/>
      </c>
      <c r="F63" s="82" t="str">
        <f>IF($B63="","",IFERROR(COUNTIFS('Trade Log'!$AS$6:$AS$1005,1,'Trade Log'!$Y$6:$Y$1005,$B63,'Trade Log'!$S$6:$S$1005,"Win")/(COUNTIFS('Trade Log'!$AS$6:$AS$1005,1,'Trade Log'!$Y$6:$Y$1005,$B63,'Trade Log'!$S$6:$S$1005,"Win")+COUNTIFS('Trade Log'!$AS$6:$AS$1005,1,'Trade Log'!$Y$6:$Y$1005,$B63,'Trade Log'!$S$6:$S$1005,"Loss")),"—"))</f>
        <v/>
      </c>
      <c r="G63" s="80" t="str">
        <f>IF($B63="","",SUMIFS('Trade Log'!$Q$6:$Q$1005,'Trade Log'!$AS$6:$AS$1005,1,'Trade Log'!$Y$6:$Y$1005,$B63))</f>
        <v/>
      </c>
      <c r="H63" s="81" t="str">
        <f>IF($B63="","",IFERROR(SUMIFS('Trade Log'!$R$6:$R$1005,'Trade Log'!$AS$6:$AS$1005,1,'Trade Log'!$Y$6:$Y$1005,$B63)/COUNTIFS('Trade Log'!$AS$6:$AS$1005,1,'Trade Log'!$Y$6:$Y$1005,$B63,'Trade Log'!$BC$6:$BC$1005,1),"—"))</f>
        <v/>
      </c>
      <c r="I63" s="91" t="str">
        <f>IF($B63="","",IF(COUNTIFS('Trade Log'!$AS$6:$AS$1005,1,'Trade Log'!$Y$6:$Y$1005,$B63)=0,"—",IF(SUMIFS('Trade Log'!$Q$6:$Q$1005,'Trade Log'!$AS$6:$AS$1005,1,'Trade Log'!$Y$6:$Y$1005,$B63,'Trade Log'!$Q$6:$Q$1005,"&lt;0")=0,IF(SUMIFS('Trade Log'!$Q$6:$Q$1005,'Trade Log'!$AS$6:$AS$1005,1,'Trade Log'!$Y$6:$Y$1005,$B63,'Trade Log'!$Q$6:$Q$1005,"&gt;0")&gt;0,"No losses","—"),SUMIFS('Trade Log'!$Q$6:$Q$1005,'Trade Log'!$AS$6:$AS$1005,1,'Trade Log'!$Y$6:$Y$1005,$B63,'Trade Log'!$Q$6:$Q$1005,"&gt;0")/-SUMIFS('Trade Log'!$Q$6:$Q$1005,'Trade Log'!$AS$6:$AS$1005,1,'Trade Log'!$Y$6:$Y$1005,$B63,'Trade Log'!$Q$6:$Q$1005,"&lt;0"))))</f>
        <v/>
      </c>
      <c r="J63" s="85" t="str">
        <f>IF(Psychology!$B$12="","",Psychology!$B$12)</f>
        <v>Revenge</v>
      </c>
      <c r="K63" s="78" t="n"/>
      <c r="L63" s="78" t="n"/>
      <c r="M63" s="79">
        <f>IF($J63="","",COUNTIFS('Trade Log'!$AS$6:$AS$1005,1,'Trade Log'!$AA$6:$AA$1005,$J63))</f>
        <v>1</v>
      </c>
      <c r="N63" s="82">
        <f>IF($J63="","",IFERROR(COUNTIFS('Trade Log'!$AS$6:$AS$1005,1,'Trade Log'!$AA$6:$AA$1005,$J63,'Trade Log'!$S$6:$S$1005,"Win")/(COUNTIFS('Trade Log'!$AS$6:$AS$1005,1,'Trade Log'!$AA$6:$AA$1005,$J63,'Trade Log'!$S$6:$S$1005,"Win")+COUNTIFS('Trade Log'!$AS$6:$AS$1005,1,'Trade Log'!$AA$6:$AA$1005,$J63,'Trade Log'!$S$6:$S$1005,"Loss")),"—"))</f>
        <v>0</v>
      </c>
      <c r="O63" s="80">
        <f>IF($J63="","",SUMIFS('Trade Log'!$Q$6:$Q$1005,'Trade Log'!$AS$6:$AS$1005,1,'Trade Log'!$AA$6:$AA$1005,$J63))</f>
        <v>-182</v>
      </c>
      <c r="P63" s="81">
        <f>IF($J63="","",IFERROR(SUMIFS('Trade Log'!$R$6:$R$1005,'Trade Log'!$AS$6:$AS$1005,1,'Trade Log'!$AA$6:$AA$1005,$J63)/COUNTIFS('Trade Log'!$AS$6:$AS$1005,1,'Trade Log'!$AA$6:$AA$1005,$J63,'Trade Log'!$BC$6:$BC$1005,1),"—"))</f>
        <v>-1.5</v>
      </c>
      <c r="Q63" s="82">
        <f>IF($J63="","",IFERROR(COUNTIFS('Trade Log'!$AS$6:$AS$1005,1,'Trade Log'!$AA$6:$AA$1005,$J63)/COUNTIFS('Trade Log'!$AS$6:$AS$1005,1),"—"))</f>
        <v>0.0357142857142857</v>
      </c>
    </row>
    <row r="64" ht="15" customHeight="1">
      <c r="B64" s="85" t="str">
        <f>IF('Setup Playbook'!$B$13="","",'Setup Playbook'!$B$13)</f>
        <v/>
      </c>
      <c r="C64" s="78" t="n"/>
      <c r="D64" s="78" t="n"/>
      <c r="E64" s="79" t="str">
        <f>IF($B64="","",COUNTIFS('Trade Log'!$AS$6:$AS$1005,1,'Trade Log'!$Y$6:$Y$1005,$B64))</f>
        <v/>
      </c>
      <c r="F64" s="82" t="str">
        <f>IF($B64="","",IFERROR(COUNTIFS('Trade Log'!$AS$6:$AS$1005,1,'Trade Log'!$Y$6:$Y$1005,$B64,'Trade Log'!$S$6:$S$1005,"Win")/(COUNTIFS('Trade Log'!$AS$6:$AS$1005,1,'Trade Log'!$Y$6:$Y$1005,$B64,'Trade Log'!$S$6:$S$1005,"Win")+COUNTIFS('Trade Log'!$AS$6:$AS$1005,1,'Trade Log'!$Y$6:$Y$1005,$B64,'Trade Log'!$S$6:$S$1005,"Loss")),"—"))</f>
        <v/>
      </c>
      <c r="G64" s="80" t="str">
        <f>IF($B64="","",SUMIFS('Trade Log'!$Q$6:$Q$1005,'Trade Log'!$AS$6:$AS$1005,1,'Trade Log'!$Y$6:$Y$1005,$B64))</f>
        <v/>
      </c>
      <c r="H64" s="81" t="str">
        <f>IF($B64="","",IFERROR(SUMIFS('Trade Log'!$R$6:$R$1005,'Trade Log'!$AS$6:$AS$1005,1,'Trade Log'!$Y$6:$Y$1005,$B64)/COUNTIFS('Trade Log'!$AS$6:$AS$1005,1,'Trade Log'!$Y$6:$Y$1005,$B64,'Trade Log'!$BC$6:$BC$1005,1),"—"))</f>
        <v/>
      </c>
      <c r="I64" s="91" t="str">
        <f>IF($B64="","",IF(COUNTIFS('Trade Log'!$AS$6:$AS$1005,1,'Trade Log'!$Y$6:$Y$1005,$B64)=0,"—",IF(SUMIFS('Trade Log'!$Q$6:$Q$1005,'Trade Log'!$AS$6:$AS$1005,1,'Trade Log'!$Y$6:$Y$1005,$B64,'Trade Log'!$Q$6:$Q$1005,"&lt;0")=0,IF(SUMIFS('Trade Log'!$Q$6:$Q$1005,'Trade Log'!$AS$6:$AS$1005,1,'Trade Log'!$Y$6:$Y$1005,$B64,'Trade Log'!$Q$6:$Q$1005,"&gt;0")&gt;0,"No losses","—"),SUMIFS('Trade Log'!$Q$6:$Q$1005,'Trade Log'!$AS$6:$AS$1005,1,'Trade Log'!$Y$6:$Y$1005,$B64,'Trade Log'!$Q$6:$Q$1005,"&gt;0")/-SUMIFS('Trade Log'!$Q$6:$Q$1005,'Trade Log'!$AS$6:$AS$1005,1,'Trade Log'!$Y$6:$Y$1005,$B64,'Trade Log'!$Q$6:$Q$1005,"&lt;0"))))</f>
        <v/>
      </c>
      <c r="J64" s="85" t="str">
        <f>IF(Psychology!$B$13="","",Psychology!$B$13)</f>
        <v>Bored</v>
      </c>
      <c r="K64" s="78" t="n"/>
      <c r="L64" s="78" t="n"/>
      <c r="M64" s="79">
        <f>IF($J64="","",COUNTIFS('Trade Log'!$AS$6:$AS$1005,1,'Trade Log'!$AA$6:$AA$1005,$J64))</f>
        <v>1</v>
      </c>
      <c r="N64" s="82">
        <f>IF($J64="","",IFERROR(COUNTIFS('Trade Log'!$AS$6:$AS$1005,1,'Trade Log'!$AA$6:$AA$1005,$J64,'Trade Log'!$S$6:$S$1005,"Win")/(COUNTIFS('Trade Log'!$AS$6:$AS$1005,1,'Trade Log'!$AA$6:$AA$1005,$J64,'Trade Log'!$S$6:$S$1005,"Win")+COUNTIFS('Trade Log'!$AS$6:$AS$1005,1,'Trade Log'!$AA$6:$AA$1005,$J64,'Trade Log'!$S$6:$S$1005,"Loss")),"—"))</f>
        <v>0</v>
      </c>
      <c r="O64" s="80">
        <f>IF($J64="","",SUMIFS('Trade Log'!$Q$6:$Q$1005,'Trade Log'!$AS$6:$AS$1005,1,'Trade Log'!$AA$6:$AA$1005,$J64))</f>
        <v>-108</v>
      </c>
      <c r="P64" s="81">
        <f>IF($J64="","",IFERROR(SUMIFS('Trade Log'!$R$6:$R$1005,'Trade Log'!$AS$6:$AS$1005,1,'Trade Log'!$AA$6:$AA$1005,$J64)/COUNTIFS('Trade Log'!$AS$6:$AS$1005,1,'Trade Log'!$AA$6:$AA$1005,$J64,'Trade Log'!$BC$6:$BC$1005,1),"—"))</f>
        <v>-1</v>
      </c>
      <c r="Q64" s="82">
        <f>IF($J64="","",IFERROR(COUNTIFS('Trade Log'!$AS$6:$AS$1005,1,'Trade Log'!$AA$6:$AA$1005,$J64)/COUNTIFS('Trade Log'!$AS$6:$AS$1005,1),"—"))</f>
        <v>0.0357142857142857</v>
      </c>
    </row>
    <row r="65" ht="15" customHeight="1">
      <c r="B65" s="85" t="str">
        <f>IF('Setup Playbook'!$B$14="","",'Setup Playbook'!$B$14)</f>
        <v/>
      </c>
      <c r="C65" s="78" t="n"/>
      <c r="D65" s="78" t="n"/>
      <c r="E65" s="79" t="str">
        <f>IF($B65="","",COUNTIFS('Trade Log'!$AS$6:$AS$1005,1,'Trade Log'!$Y$6:$Y$1005,$B65))</f>
        <v/>
      </c>
      <c r="F65" s="82" t="str">
        <f>IF($B65="","",IFERROR(COUNTIFS('Trade Log'!$AS$6:$AS$1005,1,'Trade Log'!$Y$6:$Y$1005,$B65,'Trade Log'!$S$6:$S$1005,"Win")/(COUNTIFS('Trade Log'!$AS$6:$AS$1005,1,'Trade Log'!$Y$6:$Y$1005,$B65,'Trade Log'!$S$6:$S$1005,"Win")+COUNTIFS('Trade Log'!$AS$6:$AS$1005,1,'Trade Log'!$Y$6:$Y$1005,$B65,'Trade Log'!$S$6:$S$1005,"Loss")),"—"))</f>
        <v/>
      </c>
      <c r="G65" s="80" t="str">
        <f>IF($B65="","",SUMIFS('Trade Log'!$Q$6:$Q$1005,'Trade Log'!$AS$6:$AS$1005,1,'Trade Log'!$Y$6:$Y$1005,$B65))</f>
        <v/>
      </c>
      <c r="H65" s="81" t="str">
        <f>IF($B65="","",IFERROR(SUMIFS('Trade Log'!$R$6:$R$1005,'Trade Log'!$AS$6:$AS$1005,1,'Trade Log'!$Y$6:$Y$1005,$B65)/COUNTIFS('Trade Log'!$AS$6:$AS$1005,1,'Trade Log'!$Y$6:$Y$1005,$B65,'Trade Log'!$BC$6:$BC$1005,1),"—"))</f>
        <v/>
      </c>
      <c r="I65" s="91" t="str">
        <f>IF($B65="","",IF(COUNTIFS('Trade Log'!$AS$6:$AS$1005,1,'Trade Log'!$Y$6:$Y$1005,$B65)=0,"—",IF(SUMIFS('Trade Log'!$Q$6:$Q$1005,'Trade Log'!$AS$6:$AS$1005,1,'Trade Log'!$Y$6:$Y$1005,$B65,'Trade Log'!$Q$6:$Q$1005,"&lt;0")=0,IF(SUMIFS('Trade Log'!$Q$6:$Q$1005,'Trade Log'!$AS$6:$AS$1005,1,'Trade Log'!$Y$6:$Y$1005,$B65,'Trade Log'!$Q$6:$Q$1005,"&gt;0")&gt;0,"No losses","—"),SUMIFS('Trade Log'!$Q$6:$Q$1005,'Trade Log'!$AS$6:$AS$1005,1,'Trade Log'!$Y$6:$Y$1005,$B65,'Trade Log'!$Q$6:$Q$1005,"&gt;0")/-SUMIFS('Trade Log'!$Q$6:$Q$1005,'Trade Log'!$AS$6:$AS$1005,1,'Trade Log'!$Y$6:$Y$1005,$B65,'Trade Log'!$Q$6:$Q$1005,"&lt;0"))))</f>
        <v/>
      </c>
      <c r="J65" s="85" t="str">
        <f>IF(Psychology!$B$14="","",Psychology!$B$14)</f>
        <v>Tilted</v>
      </c>
      <c r="K65" s="78" t="n"/>
      <c r="L65" s="78" t="n"/>
      <c r="M65" s="79">
        <f>IF($J65="","",COUNTIFS('Trade Log'!$AS$6:$AS$1005,1,'Trade Log'!$AA$6:$AA$1005,$J65))</f>
        <v>2</v>
      </c>
      <c r="N65" s="82">
        <f>IF($J65="","",IFERROR(COUNTIFS('Trade Log'!$AS$6:$AS$1005,1,'Trade Log'!$AA$6:$AA$1005,$J65,'Trade Log'!$S$6:$S$1005,"Win")/(COUNTIFS('Trade Log'!$AS$6:$AS$1005,1,'Trade Log'!$AA$6:$AA$1005,$J65,'Trade Log'!$S$6:$S$1005,"Win")+COUNTIFS('Trade Log'!$AS$6:$AS$1005,1,'Trade Log'!$AA$6:$AA$1005,$J65,'Trade Log'!$S$6:$S$1005,"Loss")),"—"))</f>
        <v>0.5</v>
      </c>
      <c r="O65" s="80">
        <f>IF($J65="","",SUMIFS('Trade Log'!$Q$6:$Q$1005,'Trade Log'!$AS$6:$AS$1005,1,'Trade Log'!$AA$6:$AA$1005,$J65))</f>
        <v>-91.5</v>
      </c>
      <c r="P65" s="81">
        <f>IF($J65="","",IFERROR(SUMIFS('Trade Log'!$R$6:$R$1005,'Trade Log'!$AS$6:$AS$1005,1,'Trade Log'!$AA$6:$AA$1005,$J65)/COUNTIFS('Trade Log'!$AS$6:$AS$1005,1,'Trade Log'!$AA$6:$AA$1005,$J65,'Trade Log'!$BC$6:$BC$1005,1),"—"))</f>
        <v>-0.291666666666667</v>
      </c>
      <c r="Q65" s="82">
        <f>IF($J65="","",IFERROR(COUNTIFS('Trade Log'!$AS$6:$AS$1005,1,'Trade Log'!$AA$6:$AA$1005,$J65)/COUNTIFS('Trade Log'!$AS$6:$AS$1005,1),"—"))</f>
        <v>0.0714285714285714</v>
      </c>
    </row>
    <row r="66" ht="15" customHeight="1">
      <c r="B66" s="85" t="str">
        <f>IF('Setup Playbook'!$B$15="","",'Setup Playbook'!$B$15)</f>
        <v/>
      </c>
      <c r="C66" s="78" t="n"/>
      <c r="D66" s="78" t="n"/>
      <c r="E66" s="79" t="str">
        <f>IF($B66="","",COUNTIFS('Trade Log'!$AS$6:$AS$1005,1,'Trade Log'!$Y$6:$Y$1005,$B66))</f>
        <v/>
      </c>
      <c r="F66" s="82" t="str">
        <f>IF($B66="","",IFERROR(COUNTIFS('Trade Log'!$AS$6:$AS$1005,1,'Trade Log'!$Y$6:$Y$1005,$B66,'Trade Log'!$S$6:$S$1005,"Win")/(COUNTIFS('Trade Log'!$AS$6:$AS$1005,1,'Trade Log'!$Y$6:$Y$1005,$B66,'Trade Log'!$S$6:$S$1005,"Win")+COUNTIFS('Trade Log'!$AS$6:$AS$1005,1,'Trade Log'!$Y$6:$Y$1005,$B66,'Trade Log'!$S$6:$S$1005,"Loss")),"—"))</f>
        <v/>
      </c>
      <c r="G66" s="80" t="str">
        <f>IF($B66="","",SUMIFS('Trade Log'!$Q$6:$Q$1005,'Trade Log'!$AS$6:$AS$1005,1,'Trade Log'!$Y$6:$Y$1005,$B66))</f>
        <v/>
      </c>
      <c r="H66" s="81" t="str">
        <f>IF($B66="","",IFERROR(SUMIFS('Trade Log'!$R$6:$R$1005,'Trade Log'!$AS$6:$AS$1005,1,'Trade Log'!$Y$6:$Y$1005,$B66)/COUNTIFS('Trade Log'!$AS$6:$AS$1005,1,'Trade Log'!$Y$6:$Y$1005,$B66,'Trade Log'!$BC$6:$BC$1005,1),"—"))</f>
        <v/>
      </c>
      <c r="I66" s="91" t="str">
        <f>IF($B66="","",IF(COUNTIFS('Trade Log'!$AS$6:$AS$1005,1,'Trade Log'!$Y$6:$Y$1005,$B66)=0,"—",IF(SUMIFS('Trade Log'!$Q$6:$Q$1005,'Trade Log'!$AS$6:$AS$1005,1,'Trade Log'!$Y$6:$Y$1005,$B66,'Trade Log'!$Q$6:$Q$1005,"&lt;0")=0,IF(SUMIFS('Trade Log'!$Q$6:$Q$1005,'Trade Log'!$AS$6:$AS$1005,1,'Trade Log'!$Y$6:$Y$1005,$B66,'Trade Log'!$Q$6:$Q$1005,"&gt;0")&gt;0,"No losses","—"),SUMIFS('Trade Log'!$Q$6:$Q$1005,'Trade Log'!$AS$6:$AS$1005,1,'Trade Log'!$Y$6:$Y$1005,$B66,'Trade Log'!$Q$6:$Q$1005,"&gt;0")/-SUMIFS('Trade Log'!$Q$6:$Q$1005,'Trade Log'!$AS$6:$AS$1005,1,'Trade Log'!$Y$6:$Y$1005,$B66,'Trade Log'!$Q$6:$Q$1005,"&lt;0"))))</f>
        <v/>
      </c>
      <c r="J66" s="85" t="str">
        <f>IF(Psychology!$B$15="","",Psychology!$B$15)</f>
        <v>Other</v>
      </c>
      <c r="K66" s="78" t="n"/>
      <c r="L66" s="78" t="n"/>
      <c r="M66" s="79">
        <f>IF($J66="","",COUNTIFS('Trade Log'!$AS$6:$AS$1005,1,'Trade Log'!$AA$6:$AA$1005,$J66))</f>
        <v>0</v>
      </c>
      <c r="N66" s="82" t="str">
        <f>IF($J66="","",IFERROR(COUNTIFS('Trade Log'!$AS$6:$AS$1005,1,'Trade Log'!$AA$6:$AA$1005,$J66,'Trade Log'!$S$6:$S$1005,"Win")/(COUNTIFS('Trade Log'!$AS$6:$AS$1005,1,'Trade Log'!$AA$6:$AA$1005,$J66,'Trade Log'!$S$6:$S$1005,"Win")+COUNTIFS('Trade Log'!$AS$6:$AS$1005,1,'Trade Log'!$AA$6:$AA$1005,$J66,'Trade Log'!$S$6:$S$1005,"Loss")),"—"))</f>
        <v>—</v>
      </c>
      <c r="O66" s="80">
        <f>IF($J66="","",SUMIFS('Trade Log'!$Q$6:$Q$1005,'Trade Log'!$AS$6:$AS$1005,1,'Trade Log'!$AA$6:$AA$1005,$J66))</f>
        <v>0</v>
      </c>
      <c r="P66" s="81" t="str">
        <f>IF($J66="","",IFERROR(SUMIFS('Trade Log'!$R$6:$R$1005,'Trade Log'!$AS$6:$AS$1005,1,'Trade Log'!$AA$6:$AA$1005,$J66)/COUNTIFS('Trade Log'!$AS$6:$AS$1005,1,'Trade Log'!$AA$6:$AA$1005,$J66,'Trade Log'!$BC$6:$BC$1005,1),"—"))</f>
        <v>—</v>
      </c>
      <c r="Q66" s="82">
        <f>IF($J66="","",IFERROR(COUNTIFS('Trade Log'!$AS$6:$AS$1005,1,'Trade Log'!$AA$6:$AA$1005,$J66)/COUNTIFS('Trade Log'!$AS$6:$AS$1005,1),"—"))</f>
        <v>0</v>
      </c>
    </row>
    <row r="67" ht="15" customHeight="1">
      <c r="B67" s="77" t="inlineStr">
        <is>
          <t>No setup tagged</t>
        </is>
      </c>
      <c r="C67" s="78" t="n"/>
      <c r="D67" s="78" t="n"/>
      <c r="E67" s="79">
        <f>COUNTIFS('Trade Log'!$AS$6:$AS$1005,1,'Trade Log'!$BI$6:$BI$1005,0)</f>
        <v>3</v>
      </c>
      <c r="F67" s="82">
        <f>IFERROR(COUNTIFS('Trade Log'!$AS$6:$AS$1005,1,'Trade Log'!$BI$6:$BI$1005,0,'Trade Log'!$S$6:$S$1005,"Win")/(COUNTIFS('Trade Log'!$AS$6:$AS$1005,1,'Trade Log'!$BI$6:$BI$1005,0,'Trade Log'!$S$6:$S$1005,"Win")+COUNTIFS('Trade Log'!$AS$6:$AS$1005,1,'Trade Log'!$BI$6:$BI$1005,0,'Trade Log'!$S$6:$S$1005,"Loss")),"—")</f>
        <v>0.333333333333333</v>
      </c>
      <c r="G67" s="80">
        <f>SUMIFS('Trade Log'!$Q$6:$Q$1005,'Trade Log'!$AS$6:$AS$1005,1,'Trade Log'!$BI$6:$BI$1005,0)</f>
        <v>-199.5</v>
      </c>
      <c r="H67" s="81">
        <f>IFERROR(SUMIFS('Trade Log'!$R$6:$R$1005,'Trade Log'!$AS$6:$AS$1005,1,'Trade Log'!$BI$6:$BI$1005,0)/COUNTIFS('Trade Log'!$AS$6:$AS$1005,1,'Trade Log'!$BI$6:$BI$1005,0,'Trade Log'!$BC$6:$BC$1005,1),"—")</f>
        <v>-0.527777777777778</v>
      </c>
      <c r="I67" s="91">
        <f>IF(COUNTIFS('Trade Log'!$AS$6:$AS$1005,1,'Trade Log'!$BI$6:$BI$1005,0)=0,"—",IF(SUMIFS('Trade Log'!$Q$6:$Q$1005,'Trade Log'!$AS$6:$AS$1005,1,'Trade Log'!$BI$6:$BI$1005,0,'Trade Log'!$Q$6:$Q$1005,"&lt;0")=0,IF(SUMIFS('Trade Log'!$Q$6:$Q$1005,'Trade Log'!$AS$6:$AS$1005,1,'Trade Log'!$BI$6:$BI$1005,0,'Trade Log'!$Q$6:$Q$1005,"&gt;0")&gt;0,"No losses","—"),SUMIFS('Trade Log'!$Q$6:$Q$1005,'Trade Log'!$AS$6:$AS$1005,1,'Trade Log'!$BI$6:$BI$1005,0,'Trade Log'!$Q$6:$Q$1005,"&gt;0")/-SUMIFS('Trade Log'!$Q$6:$Q$1005,'Trade Log'!$AS$6:$AS$1005,1,'Trade Log'!$BI$6:$BI$1005,0,'Trade Log'!$Q$6:$Q$1005,"&lt;0")))</f>
        <v>0.10738255033557</v>
      </c>
      <c r="J67" s="85" t="inlineStr">
        <is>
          <t>Not tagged / other</t>
        </is>
      </c>
      <c r="K67" s="78" t="n"/>
      <c r="L67" s="78" t="n"/>
      <c r="M67" s="79">
        <f>COUNTIFS('Trade Log'!$AS$6:$AS$1005,1)-SUM(M57:M66)</f>
        <v>0</v>
      </c>
      <c r="N67" s="82" t="inlineStr"/>
      <c r="O67" s="80" t="inlineStr"/>
      <c r="P67" s="81" t="inlineStr"/>
      <c r="Q67" s="82" t="inlineStr"/>
    </row>
    <row r="68" ht="15" customHeight="1">
      <c r="B68" s="85" t="inlineStr">
        <is>
          <t>Not in playbook (typed)</t>
        </is>
      </c>
      <c r="C68" s="78" t="n"/>
      <c r="D68" s="78" t="n"/>
      <c r="E68" s="79">
        <f>COUNTIFS('Trade Log'!$AS$6:$AS$1005,1,'Trade Log'!$BI$6:$BI$1005,1)-SUM(E57:E66)</f>
        <v>0</v>
      </c>
      <c r="F68" s="82" t="inlineStr"/>
      <c r="G68" s="80">
        <f>SUMIFS('Trade Log'!$Q$6:$Q$1005,'Trade Log'!$AS$6:$AS$1005,1,'Trade Log'!$BI$6:$BI$1005,1)-SUM(G57:G66)</f>
        <v>0</v>
      </c>
      <c r="H68" s="81" t="inlineStr"/>
      <c r="I68" s="91" t="inlineStr"/>
    </row>
    <row r="69" ht="15" customHeight="1"/>
    <row r="70" ht="18" customHeight="1">
      <c r="B70" s="11" t="inlineStr">
        <is>
          <t>BY MISTAKE  —  your leak list</t>
        </is>
      </c>
      <c r="C70" s="12" t="n"/>
      <c r="D70" s="12" t="n"/>
      <c r="E70" s="12" t="n"/>
      <c r="F70" s="12" t="n"/>
      <c r="G70" s="12" t="n"/>
      <c r="H70" s="12" t="n"/>
      <c r="I70" s="12" t="n"/>
      <c r="J70" s="11" t="inlineStr">
        <is>
          <t>BY SESSION</t>
        </is>
      </c>
      <c r="K70" s="12" t="n"/>
      <c r="L70" s="12" t="n"/>
      <c r="M70" s="12" t="n"/>
      <c r="N70" s="12" t="n"/>
      <c r="O70" s="12" t="n"/>
      <c r="P70" s="12" t="n"/>
      <c r="Q70" s="12" t="n"/>
    </row>
    <row r="71" ht="20" customHeight="1">
      <c r="B71" s="75" t="inlineStr">
        <is>
          <t>Mistake</t>
        </is>
      </c>
      <c r="C71" s="76" t="n"/>
      <c r="D71" s="76" t="n"/>
      <c r="E71" s="15" t="inlineStr">
        <is>
          <t>Count</t>
        </is>
      </c>
      <c r="F71" s="15" t="inlineStr">
        <is>
          <t>% of trades</t>
        </is>
      </c>
      <c r="G71" s="15" t="inlineStr">
        <is>
          <t>Net P&amp;L</t>
        </is>
      </c>
      <c r="H71" s="15" t="inlineStr">
        <is>
          <t>Avg R</t>
        </is>
      </c>
      <c r="I71" s="15" t="inlineStr">
        <is>
          <t>Total R</t>
        </is>
      </c>
      <c r="J71" s="75" t="inlineStr">
        <is>
          <t>Session</t>
        </is>
      </c>
      <c r="K71" s="76" t="n"/>
      <c r="L71" s="76" t="n"/>
      <c r="M71" s="15" t="inlineStr">
        <is>
          <t>Trades</t>
        </is>
      </c>
      <c r="N71" s="15" t="inlineStr">
        <is>
          <t>Win %</t>
        </is>
      </c>
      <c r="O71" s="15" t="inlineStr">
        <is>
          <t>Net P&amp;L</t>
        </is>
      </c>
      <c r="P71" s="15" t="inlineStr">
        <is>
          <t>Avg R</t>
        </is>
      </c>
      <c r="Q71" s="15" t="inlineStr">
        <is>
          <t>Profit factor</t>
        </is>
      </c>
    </row>
    <row r="72" ht="15" customHeight="1">
      <c r="B72" s="85" t="str">
        <f>IF(Psychology!$E$6="","",Psychology!$E$6)</f>
        <v>Early entry</v>
      </c>
      <c r="C72" s="78" t="n"/>
      <c r="D72" s="78" t="n"/>
      <c r="E72" s="79">
        <f>IF($B72="","",COUNTIFS('Trade Log'!$AS$6:$AS$1005,1,'Trade Log'!$AB$6:$AB$1005,$B72))</f>
        <v>0</v>
      </c>
      <c r="F72" s="82">
        <f>IF($B72="","",IFERROR(COUNTIFS('Trade Log'!$AS$6:$AS$1005,1,'Trade Log'!$AB$6:$AB$1005,$B72)/COUNTIFS('Trade Log'!$AS$6:$AS$1005,1),"—"))</f>
        <v>0</v>
      </c>
      <c r="G72" s="80">
        <f>IF($B72="","",SUMIFS('Trade Log'!$Q$6:$Q$1005,'Trade Log'!$AS$6:$AS$1005,1,'Trade Log'!$AB$6:$AB$1005,$B72))</f>
        <v>0</v>
      </c>
      <c r="H72" s="81" t="str">
        <f>IF($B72="","",IFERROR(SUMIFS('Trade Log'!$R$6:$R$1005,'Trade Log'!$AS$6:$AS$1005,1,'Trade Log'!$AB$6:$AB$1005,$B72)/COUNTIFS('Trade Log'!$AS$6:$AS$1005,1,'Trade Log'!$AB$6:$AB$1005,$B72,'Trade Log'!$BC$6:$BC$1005,1),"—"))</f>
        <v>—</v>
      </c>
      <c r="I72" s="81">
        <f>IF($B72="","",SUMIFS('Trade Log'!$R$6:$R$1005,'Trade Log'!$AS$6:$AS$1005,1,'Trade Log'!$AB$6:$AB$1005,$B72))</f>
        <v>0</v>
      </c>
      <c r="J72" s="85" t="str">
        <f>Lists!$I$6</f>
        <v>Overnight</v>
      </c>
      <c r="K72" s="78" t="n"/>
      <c r="L72" s="78" t="n"/>
      <c r="M72" s="79">
        <f>IF($J72="","",COUNTIFS('Trade Log'!$AS$6:$AS$1005,1,'Trade Log'!$X$6:$X$1005,$J72))</f>
        <v>0</v>
      </c>
      <c r="N72" s="82" t="str">
        <f>IF($J72="","",IFERROR(COUNTIFS('Trade Log'!$AS$6:$AS$1005,1,'Trade Log'!$X$6:$X$1005,$J72,'Trade Log'!$S$6:$S$1005,"Win")/(COUNTIFS('Trade Log'!$AS$6:$AS$1005,1,'Trade Log'!$X$6:$X$1005,$J72,'Trade Log'!$S$6:$S$1005,"Win")+COUNTIFS('Trade Log'!$AS$6:$AS$1005,1,'Trade Log'!$X$6:$X$1005,$J72,'Trade Log'!$S$6:$S$1005,"Loss")),"—"))</f>
        <v>—</v>
      </c>
      <c r="O72" s="80">
        <f>IF($J72="","",SUMIFS('Trade Log'!$Q$6:$Q$1005,'Trade Log'!$AS$6:$AS$1005,1,'Trade Log'!$X$6:$X$1005,$J72))</f>
        <v>0</v>
      </c>
      <c r="P72" s="81" t="str">
        <f>IF($J72="","",IFERROR(SUMIFS('Trade Log'!$R$6:$R$1005,'Trade Log'!$AS$6:$AS$1005,1,'Trade Log'!$X$6:$X$1005,$J72)/COUNTIFS('Trade Log'!$AS$6:$AS$1005,1,'Trade Log'!$X$6:$X$1005,$J72,'Trade Log'!$BC$6:$BC$1005,1),"—"))</f>
        <v>—</v>
      </c>
      <c r="Q72" s="91" t="str">
        <f>IF($J72="","",IF(COUNTIFS('Trade Log'!$AS$6:$AS$1005,1,'Trade Log'!$X$6:$X$1005,$J72)=0,"—",IF(SUMIFS('Trade Log'!$Q$6:$Q$1005,'Trade Log'!$AS$6:$AS$1005,1,'Trade Log'!$X$6:$X$1005,$J72,'Trade Log'!$Q$6:$Q$1005,"&lt;0")=0,IF(SUMIFS('Trade Log'!$Q$6:$Q$1005,'Trade Log'!$AS$6:$AS$1005,1,'Trade Log'!$X$6:$X$1005,$J72,'Trade Log'!$Q$6:$Q$1005,"&gt;0")&gt;0,"No losses","—"),SUMIFS('Trade Log'!$Q$6:$Q$1005,'Trade Log'!$AS$6:$AS$1005,1,'Trade Log'!$X$6:$X$1005,$J72,'Trade Log'!$Q$6:$Q$1005,"&gt;0")/-SUMIFS('Trade Log'!$Q$6:$Q$1005,'Trade Log'!$AS$6:$AS$1005,1,'Trade Log'!$X$6:$X$1005,$J72,'Trade Log'!$Q$6:$Q$1005,"&lt;0"))))</f>
        <v>—</v>
      </c>
    </row>
    <row r="73" ht="15" customHeight="1">
      <c r="B73" s="85" t="str">
        <f>IF(Psychology!$E$7="","",Psychology!$E$7)</f>
        <v>Late entry (chased)</v>
      </c>
      <c r="C73" s="78" t="n"/>
      <c r="D73" s="78" t="n"/>
      <c r="E73" s="79">
        <f>IF($B73="","",COUNTIFS('Trade Log'!$AS$6:$AS$1005,1,'Trade Log'!$AB$6:$AB$1005,$B73))</f>
        <v>2</v>
      </c>
      <c r="F73" s="82">
        <f>IF($B73="","",IFERROR(COUNTIFS('Trade Log'!$AS$6:$AS$1005,1,'Trade Log'!$AB$6:$AB$1005,$B73)/COUNTIFS('Trade Log'!$AS$6:$AS$1005,1),"—"))</f>
        <v>0.0714285714285714</v>
      </c>
      <c r="G73" s="80">
        <f>IF($B73="","",SUMIFS('Trade Log'!$Q$6:$Q$1005,'Trade Log'!$AS$6:$AS$1005,1,'Trade Log'!$AB$6:$AB$1005,$B73))</f>
        <v>-111.239</v>
      </c>
      <c r="H73" s="81">
        <f>IF($B73="","",IFERROR(SUMIFS('Trade Log'!$R$6:$R$1005,'Trade Log'!$AS$6:$AS$1005,1,'Trade Log'!$AB$6:$AB$1005,$B73)/COUNTIFS('Trade Log'!$AS$6:$AS$1005,1,'Trade Log'!$AB$6:$AB$1005,$B73,'Trade Log'!$BC$6:$BC$1005,1),"—"))</f>
        <v>-1</v>
      </c>
      <c r="I73" s="81">
        <f>IF($B73="","",SUMIFS('Trade Log'!$R$6:$R$1005,'Trade Log'!$AS$6:$AS$1005,1,'Trade Log'!$AB$6:$AB$1005,$B73))</f>
        <v>-2</v>
      </c>
      <c r="J73" s="85" t="str">
        <f>Lists!$I$7</f>
        <v>London</v>
      </c>
      <c r="K73" s="78" t="n"/>
      <c r="L73" s="78" t="n"/>
      <c r="M73" s="79">
        <f>IF($J73="","",COUNTIFS('Trade Log'!$AS$6:$AS$1005,1,'Trade Log'!$X$6:$X$1005,$J73))</f>
        <v>0</v>
      </c>
      <c r="N73" s="82" t="str">
        <f>IF($J73="","",IFERROR(COUNTIFS('Trade Log'!$AS$6:$AS$1005,1,'Trade Log'!$X$6:$X$1005,$J73,'Trade Log'!$S$6:$S$1005,"Win")/(COUNTIFS('Trade Log'!$AS$6:$AS$1005,1,'Trade Log'!$X$6:$X$1005,$J73,'Trade Log'!$S$6:$S$1005,"Win")+COUNTIFS('Trade Log'!$AS$6:$AS$1005,1,'Trade Log'!$X$6:$X$1005,$J73,'Trade Log'!$S$6:$S$1005,"Loss")),"—"))</f>
        <v>—</v>
      </c>
      <c r="O73" s="80">
        <f>IF($J73="","",SUMIFS('Trade Log'!$Q$6:$Q$1005,'Trade Log'!$AS$6:$AS$1005,1,'Trade Log'!$X$6:$X$1005,$J73))</f>
        <v>0</v>
      </c>
      <c r="P73" s="81" t="str">
        <f>IF($J73="","",IFERROR(SUMIFS('Trade Log'!$R$6:$R$1005,'Trade Log'!$AS$6:$AS$1005,1,'Trade Log'!$X$6:$X$1005,$J73)/COUNTIFS('Trade Log'!$AS$6:$AS$1005,1,'Trade Log'!$X$6:$X$1005,$J73,'Trade Log'!$BC$6:$BC$1005,1),"—"))</f>
        <v>—</v>
      </c>
      <c r="Q73" s="91" t="str">
        <f>IF($J73="","",IF(COUNTIFS('Trade Log'!$AS$6:$AS$1005,1,'Trade Log'!$X$6:$X$1005,$J73)=0,"—",IF(SUMIFS('Trade Log'!$Q$6:$Q$1005,'Trade Log'!$AS$6:$AS$1005,1,'Trade Log'!$X$6:$X$1005,$J73,'Trade Log'!$Q$6:$Q$1005,"&lt;0")=0,IF(SUMIFS('Trade Log'!$Q$6:$Q$1005,'Trade Log'!$AS$6:$AS$1005,1,'Trade Log'!$X$6:$X$1005,$J73,'Trade Log'!$Q$6:$Q$1005,"&gt;0")&gt;0,"No losses","—"),SUMIFS('Trade Log'!$Q$6:$Q$1005,'Trade Log'!$AS$6:$AS$1005,1,'Trade Log'!$X$6:$X$1005,$J73,'Trade Log'!$Q$6:$Q$1005,"&gt;0")/-SUMIFS('Trade Log'!$Q$6:$Q$1005,'Trade Log'!$AS$6:$AS$1005,1,'Trade Log'!$X$6:$X$1005,$J73,'Trade Log'!$Q$6:$Q$1005,"&lt;0"))))</f>
        <v>—</v>
      </c>
    </row>
    <row r="74" ht="15" customHeight="1">
      <c r="B74" s="85" t="str">
        <f>IF(Psychology!$E$8="","",Psychology!$E$8)</f>
        <v>No stop</v>
      </c>
      <c r="C74" s="78" t="n"/>
      <c r="D74" s="78" t="n"/>
      <c r="E74" s="79">
        <f>IF($B74="","",COUNTIFS('Trade Log'!$AS$6:$AS$1005,1,'Trade Log'!$AB$6:$AB$1005,$B74))</f>
        <v>0</v>
      </c>
      <c r="F74" s="82">
        <f>IF($B74="","",IFERROR(COUNTIFS('Trade Log'!$AS$6:$AS$1005,1,'Trade Log'!$AB$6:$AB$1005,$B74)/COUNTIFS('Trade Log'!$AS$6:$AS$1005,1),"—"))</f>
        <v>0</v>
      </c>
      <c r="G74" s="80">
        <f>IF($B74="","",SUMIFS('Trade Log'!$Q$6:$Q$1005,'Trade Log'!$AS$6:$AS$1005,1,'Trade Log'!$AB$6:$AB$1005,$B74))</f>
        <v>0</v>
      </c>
      <c r="H74" s="81" t="str">
        <f>IF($B74="","",IFERROR(SUMIFS('Trade Log'!$R$6:$R$1005,'Trade Log'!$AS$6:$AS$1005,1,'Trade Log'!$AB$6:$AB$1005,$B74)/COUNTIFS('Trade Log'!$AS$6:$AS$1005,1,'Trade Log'!$AB$6:$AB$1005,$B74,'Trade Log'!$BC$6:$BC$1005,1),"—"))</f>
        <v>—</v>
      </c>
      <c r="I74" s="81">
        <f>IF($B74="","",SUMIFS('Trade Log'!$R$6:$R$1005,'Trade Log'!$AS$6:$AS$1005,1,'Trade Log'!$AB$6:$AB$1005,$B74))</f>
        <v>0</v>
      </c>
      <c r="J74" s="85" t="str">
        <f>Lists!$I$8</f>
        <v>NY Open</v>
      </c>
      <c r="K74" s="78" t="n"/>
      <c r="L74" s="78" t="n"/>
      <c r="M74" s="79">
        <f>IF($J74="","",COUNTIFS('Trade Log'!$AS$6:$AS$1005,1,'Trade Log'!$X$6:$X$1005,$J74))</f>
        <v>18</v>
      </c>
      <c r="N74" s="82">
        <f>IF($J74="","",IFERROR(COUNTIFS('Trade Log'!$AS$6:$AS$1005,1,'Trade Log'!$X$6:$X$1005,$J74,'Trade Log'!$S$6:$S$1005,"Win")/(COUNTIFS('Trade Log'!$AS$6:$AS$1005,1,'Trade Log'!$X$6:$X$1005,$J74,'Trade Log'!$S$6:$S$1005,"Win")+COUNTIFS('Trade Log'!$AS$6:$AS$1005,1,'Trade Log'!$X$6:$X$1005,$J74,'Trade Log'!$S$6:$S$1005,"Loss")),"—"))</f>
        <v>0.764705882352941</v>
      </c>
      <c r="O74" s="80">
        <f>IF($J74="","",SUMIFS('Trade Log'!$Q$6:$Q$1005,'Trade Log'!$AS$6:$AS$1005,1,'Trade Log'!$X$6:$X$1005,$J74))</f>
        <v>1284</v>
      </c>
      <c r="P74" s="81">
        <f>IF($J74="","",IFERROR(SUMIFS('Trade Log'!$R$6:$R$1005,'Trade Log'!$AS$6:$AS$1005,1,'Trade Log'!$X$6:$X$1005,$J74)/COUNTIFS('Trade Log'!$AS$6:$AS$1005,1,'Trade Log'!$X$6:$X$1005,$J74,'Trade Log'!$BC$6:$BC$1005,1),"—"))</f>
        <v>0.938888888888889</v>
      </c>
      <c r="Q74" s="91">
        <f>IF($J74="","",IF(COUNTIFS('Trade Log'!$AS$6:$AS$1005,1,'Trade Log'!$X$6:$X$1005,$J74)=0,"—",IF(SUMIFS('Trade Log'!$Q$6:$Q$1005,'Trade Log'!$AS$6:$AS$1005,1,'Trade Log'!$X$6:$X$1005,$J74,'Trade Log'!$Q$6:$Q$1005,"&lt;0")=0,IF(SUMIFS('Trade Log'!$Q$6:$Q$1005,'Trade Log'!$AS$6:$AS$1005,1,'Trade Log'!$X$6:$X$1005,$J74,'Trade Log'!$Q$6:$Q$1005,"&gt;0")&gt;0,"No losses","—"),SUMIFS('Trade Log'!$Q$6:$Q$1005,'Trade Log'!$AS$6:$AS$1005,1,'Trade Log'!$X$6:$X$1005,$J74,'Trade Log'!$Q$6:$Q$1005,"&gt;0")/-SUMIFS('Trade Log'!$Q$6:$Q$1005,'Trade Log'!$AS$6:$AS$1005,1,'Trade Log'!$X$6:$X$1005,$J74,'Trade Log'!$Q$6:$Q$1005,"&lt;0"))))</f>
        <v>2.76981392143349</v>
      </c>
    </row>
    <row r="75" ht="15" customHeight="1">
      <c r="B75" s="85" t="str">
        <f>IF(Psychology!$E$9="","",Psychology!$E$9)</f>
        <v>Moved stop</v>
      </c>
      <c r="C75" s="78" t="n"/>
      <c r="D75" s="78" t="n"/>
      <c r="E75" s="79">
        <f>IF($B75="","",COUNTIFS('Trade Log'!$AS$6:$AS$1005,1,'Trade Log'!$AB$6:$AB$1005,$B75))</f>
        <v>1</v>
      </c>
      <c r="F75" s="82">
        <f>IF($B75="","",IFERROR(COUNTIFS('Trade Log'!$AS$6:$AS$1005,1,'Trade Log'!$AB$6:$AB$1005,$B75)/COUNTIFS('Trade Log'!$AS$6:$AS$1005,1),"—"))</f>
        <v>0.0357142857142857</v>
      </c>
      <c r="G75" s="80">
        <f>IF($B75="","",SUMIFS('Trade Log'!$Q$6:$Q$1005,'Trade Log'!$AS$6:$AS$1005,1,'Trade Log'!$AB$6:$AB$1005,$B75))</f>
        <v>-182</v>
      </c>
      <c r="H75" s="81">
        <f>IF($B75="","",IFERROR(SUMIFS('Trade Log'!$R$6:$R$1005,'Trade Log'!$AS$6:$AS$1005,1,'Trade Log'!$AB$6:$AB$1005,$B75)/COUNTIFS('Trade Log'!$AS$6:$AS$1005,1,'Trade Log'!$AB$6:$AB$1005,$B75,'Trade Log'!$BC$6:$BC$1005,1),"—"))</f>
        <v>-1.5</v>
      </c>
      <c r="I75" s="81">
        <f>IF($B75="","",SUMIFS('Trade Log'!$R$6:$R$1005,'Trade Log'!$AS$6:$AS$1005,1,'Trade Log'!$AB$6:$AB$1005,$B75))</f>
        <v>-1.5</v>
      </c>
      <c r="J75" s="85" t="str">
        <f>Lists!$I$9</f>
        <v>NY Midday</v>
      </c>
      <c r="K75" s="78" t="n"/>
      <c r="L75" s="78" t="n"/>
      <c r="M75" s="79">
        <f>IF($J75="","",COUNTIFS('Trade Log'!$AS$6:$AS$1005,1,'Trade Log'!$X$6:$X$1005,$J75))</f>
        <v>2</v>
      </c>
      <c r="N75" s="82">
        <f>IF($J75="","",IFERROR(COUNTIFS('Trade Log'!$AS$6:$AS$1005,1,'Trade Log'!$X$6:$X$1005,$J75,'Trade Log'!$S$6:$S$1005,"Win")/(COUNTIFS('Trade Log'!$AS$6:$AS$1005,1,'Trade Log'!$X$6:$X$1005,$J75,'Trade Log'!$S$6:$S$1005,"Win")+COUNTIFS('Trade Log'!$AS$6:$AS$1005,1,'Trade Log'!$X$6:$X$1005,$J75,'Trade Log'!$S$6:$S$1005,"Loss")),"—"))</f>
        <v>0.5</v>
      </c>
      <c r="O75" s="80">
        <f>IF($J75="","",SUMIFS('Trade Log'!$Q$6:$Q$1005,'Trade Log'!$AS$6:$AS$1005,1,'Trade Log'!$X$6:$X$1005,$J75))</f>
        <v>-38</v>
      </c>
      <c r="P75" s="81">
        <f>IF($J75="","",IFERROR(SUMIFS('Trade Log'!$R$6:$R$1005,'Trade Log'!$AS$6:$AS$1005,1,'Trade Log'!$X$6:$X$1005,$J75)/COUNTIFS('Trade Log'!$AS$6:$AS$1005,1,'Trade Log'!$X$6:$X$1005,$J75,'Trade Log'!$BC$6:$BC$1005,1),"—"))</f>
        <v>-0.291666666666667</v>
      </c>
      <c r="Q75" s="91">
        <f>IF($J75="","",IF(COUNTIFS('Trade Log'!$AS$6:$AS$1005,1,'Trade Log'!$X$6:$X$1005,$J75)=0,"—",IF(SUMIFS('Trade Log'!$Q$6:$Q$1005,'Trade Log'!$AS$6:$AS$1005,1,'Trade Log'!$X$6:$X$1005,$J75,'Trade Log'!$Q$6:$Q$1005,"&lt;0")=0,IF(SUMIFS('Trade Log'!$Q$6:$Q$1005,'Trade Log'!$AS$6:$AS$1005,1,'Trade Log'!$X$6:$X$1005,$J75,'Trade Log'!$Q$6:$Q$1005,"&gt;0")&gt;0,"No losses","—"),SUMIFS('Trade Log'!$Q$6:$Q$1005,'Trade Log'!$AS$6:$AS$1005,1,'Trade Log'!$X$6:$X$1005,$J75,'Trade Log'!$Q$6:$Q$1005,"&gt;0")/-SUMIFS('Trade Log'!$Q$6:$Q$1005,'Trade Log'!$AS$6:$AS$1005,1,'Trade Log'!$X$6:$X$1005,$J75,'Trade Log'!$Q$6:$Q$1005,"&lt;0"))))</f>
        <v>0.387096774193548</v>
      </c>
    </row>
    <row r="76" ht="15" customHeight="1">
      <c r="B76" s="85" t="str">
        <f>IF(Psychology!$E$10="","",Psychology!$E$10)</f>
        <v>Oversized</v>
      </c>
      <c r="C76" s="78" t="n"/>
      <c r="D76" s="78" t="n"/>
      <c r="E76" s="79">
        <f>IF($B76="","",COUNTIFS('Trade Log'!$AS$6:$AS$1005,1,'Trade Log'!$AB$6:$AB$1005,$B76))</f>
        <v>2</v>
      </c>
      <c r="F76" s="82">
        <f>IF($B76="","",IFERROR(COUNTIFS('Trade Log'!$AS$6:$AS$1005,1,'Trade Log'!$AB$6:$AB$1005,$B76)/COUNTIFS('Trade Log'!$AS$6:$AS$1005,1),"—"))</f>
        <v>0.0714285714285714</v>
      </c>
      <c r="G76" s="80">
        <f>IF($B76="","",SUMIFS('Trade Log'!$Q$6:$Q$1005,'Trade Log'!$AS$6:$AS$1005,1,'Trade Log'!$AB$6:$AB$1005,$B76))</f>
        <v>-205.71312</v>
      </c>
      <c r="H76" s="81">
        <f>IF($B76="","",IFERROR(SUMIFS('Trade Log'!$R$6:$R$1005,'Trade Log'!$AS$6:$AS$1005,1,'Trade Log'!$AB$6:$AB$1005,$B76)/COUNTIFS('Trade Log'!$AS$6:$AS$1005,1,'Trade Log'!$AB$6:$AB$1005,$B76,'Trade Log'!$BC$6:$BC$1005,1),"—"))</f>
        <v>0.36</v>
      </c>
      <c r="I76" s="81">
        <f>IF($B76="","",SUMIFS('Trade Log'!$R$6:$R$1005,'Trade Log'!$AS$6:$AS$1005,1,'Trade Log'!$AB$6:$AB$1005,$B76))</f>
        <v>0.72</v>
      </c>
      <c r="J76" s="85" t="str">
        <f>Lists!$I$10</f>
        <v>NY Afternoon</v>
      </c>
      <c r="K76" s="78" t="n"/>
      <c r="L76" s="78" t="n"/>
      <c r="M76" s="79">
        <f>IF($J76="","",COUNTIFS('Trade Log'!$AS$6:$AS$1005,1,'Trade Log'!$X$6:$X$1005,$J76))</f>
        <v>2</v>
      </c>
      <c r="N76" s="82">
        <f>IF($J76="","",IFERROR(COUNTIFS('Trade Log'!$AS$6:$AS$1005,1,'Trade Log'!$X$6:$X$1005,$J76,'Trade Log'!$S$6:$S$1005,"Win")/(COUNTIFS('Trade Log'!$AS$6:$AS$1005,1,'Trade Log'!$X$6:$X$1005,$J76,'Trade Log'!$S$6:$S$1005,"Win")+COUNTIFS('Trade Log'!$AS$6:$AS$1005,1,'Trade Log'!$X$6:$X$1005,$J76,'Trade Log'!$S$6:$S$1005,"Loss")),"—"))</f>
        <v>0</v>
      </c>
      <c r="O76" s="80">
        <f>IF($J76="","",SUMIFS('Trade Log'!$Q$6:$Q$1005,'Trade Log'!$AS$6:$AS$1005,1,'Trade Log'!$X$6:$X$1005,$J76))</f>
        <v>-259</v>
      </c>
      <c r="P76" s="81">
        <f>IF($J76="","",IFERROR(SUMIFS('Trade Log'!$R$6:$R$1005,'Trade Log'!$AS$6:$AS$1005,1,'Trade Log'!$X$6:$X$1005,$J76)/COUNTIFS('Trade Log'!$AS$6:$AS$1005,1,'Trade Log'!$X$6:$X$1005,$J76,'Trade Log'!$BC$6:$BC$1005,1),"—"))</f>
        <v>-1</v>
      </c>
      <c r="Q76" s="91">
        <f>IF($J76="","",IF(COUNTIFS('Trade Log'!$AS$6:$AS$1005,1,'Trade Log'!$X$6:$X$1005,$J76)=0,"—",IF(SUMIFS('Trade Log'!$Q$6:$Q$1005,'Trade Log'!$AS$6:$AS$1005,1,'Trade Log'!$X$6:$X$1005,$J76,'Trade Log'!$Q$6:$Q$1005,"&lt;0")=0,IF(SUMIFS('Trade Log'!$Q$6:$Q$1005,'Trade Log'!$AS$6:$AS$1005,1,'Trade Log'!$X$6:$X$1005,$J76,'Trade Log'!$Q$6:$Q$1005,"&gt;0")&gt;0,"No losses","—"),SUMIFS('Trade Log'!$Q$6:$Q$1005,'Trade Log'!$AS$6:$AS$1005,1,'Trade Log'!$X$6:$X$1005,$J76,'Trade Log'!$Q$6:$Q$1005,"&gt;0")/-SUMIFS('Trade Log'!$Q$6:$Q$1005,'Trade Log'!$AS$6:$AS$1005,1,'Trade Log'!$X$6:$X$1005,$J76,'Trade Log'!$Q$6:$Q$1005,"&lt;0"))))</f>
        <v>0</v>
      </c>
    </row>
    <row r="77" ht="15" customHeight="1">
      <c r="B77" s="85" t="str">
        <f>IF(Psychology!$E$11="","",Psychology!$E$11)</f>
        <v>Took profit too early</v>
      </c>
      <c r="C77" s="78" t="n"/>
      <c r="D77" s="78" t="n"/>
      <c r="E77" s="79">
        <f>IF($B77="","",COUNTIFS('Trade Log'!$AS$6:$AS$1005,1,'Trade Log'!$AB$6:$AB$1005,$B77))</f>
        <v>4</v>
      </c>
      <c r="F77" s="82">
        <f>IF($B77="","",IFERROR(COUNTIFS('Trade Log'!$AS$6:$AS$1005,1,'Trade Log'!$AB$6:$AB$1005,$B77)/COUNTIFS('Trade Log'!$AS$6:$AS$1005,1),"—"))</f>
        <v>0.142857142857143</v>
      </c>
      <c r="G77" s="80">
        <f>IF($B77="","",SUMIFS('Trade Log'!$Q$6:$Q$1005,'Trade Log'!$AS$6:$AS$1005,1,'Trade Log'!$AB$6:$AB$1005,$B77))</f>
        <v>254.811</v>
      </c>
      <c r="H77" s="81">
        <f>IF($B77="","",IFERROR(SUMIFS('Trade Log'!$R$6:$R$1005,'Trade Log'!$AS$6:$AS$1005,1,'Trade Log'!$AB$6:$AB$1005,$B77)/COUNTIFS('Trade Log'!$AS$6:$AS$1005,1,'Trade Log'!$AB$6:$AB$1005,$B77,'Trade Log'!$BC$6:$BC$1005,1),"—"))</f>
        <v>0.9</v>
      </c>
      <c r="I77" s="81">
        <f>IF($B77="","",SUMIFS('Trade Log'!$R$6:$R$1005,'Trade Log'!$AS$6:$AS$1005,1,'Trade Log'!$AB$6:$AB$1005,$B77))</f>
        <v>3.6</v>
      </c>
      <c r="J77" s="85" t="str">
        <f>Lists!$I$11</f>
        <v>NY Close</v>
      </c>
      <c r="K77" s="78" t="n"/>
      <c r="L77" s="78" t="n"/>
      <c r="M77" s="79">
        <f>IF($J77="","",COUNTIFS('Trade Log'!$AS$6:$AS$1005,1,'Trade Log'!$X$6:$X$1005,$J77))</f>
        <v>0</v>
      </c>
      <c r="N77" s="82" t="str">
        <f>IF($J77="","",IFERROR(COUNTIFS('Trade Log'!$AS$6:$AS$1005,1,'Trade Log'!$X$6:$X$1005,$J77,'Trade Log'!$S$6:$S$1005,"Win")/(COUNTIFS('Trade Log'!$AS$6:$AS$1005,1,'Trade Log'!$X$6:$X$1005,$J77,'Trade Log'!$S$6:$S$1005,"Win")+COUNTIFS('Trade Log'!$AS$6:$AS$1005,1,'Trade Log'!$X$6:$X$1005,$J77,'Trade Log'!$S$6:$S$1005,"Loss")),"—"))</f>
        <v>—</v>
      </c>
      <c r="O77" s="80">
        <f>IF($J77="","",SUMIFS('Trade Log'!$Q$6:$Q$1005,'Trade Log'!$AS$6:$AS$1005,1,'Trade Log'!$X$6:$X$1005,$J77))</f>
        <v>0</v>
      </c>
      <c r="P77" s="81" t="str">
        <f>IF($J77="","",IFERROR(SUMIFS('Trade Log'!$R$6:$R$1005,'Trade Log'!$AS$6:$AS$1005,1,'Trade Log'!$X$6:$X$1005,$J77)/COUNTIFS('Trade Log'!$AS$6:$AS$1005,1,'Trade Log'!$X$6:$X$1005,$J77,'Trade Log'!$BC$6:$BC$1005,1),"—"))</f>
        <v>—</v>
      </c>
      <c r="Q77" s="91" t="str">
        <f>IF($J77="","",IF(COUNTIFS('Trade Log'!$AS$6:$AS$1005,1,'Trade Log'!$X$6:$X$1005,$J77)=0,"—",IF(SUMIFS('Trade Log'!$Q$6:$Q$1005,'Trade Log'!$AS$6:$AS$1005,1,'Trade Log'!$X$6:$X$1005,$J77,'Trade Log'!$Q$6:$Q$1005,"&lt;0")=0,IF(SUMIFS('Trade Log'!$Q$6:$Q$1005,'Trade Log'!$AS$6:$AS$1005,1,'Trade Log'!$X$6:$X$1005,$J77,'Trade Log'!$Q$6:$Q$1005,"&gt;0")&gt;0,"No losses","—"),SUMIFS('Trade Log'!$Q$6:$Q$1005,'Trade Log'!$AS$6:$AS$1005,1,'Trade Log'!$X$6:$X$1005,$J77,'Trade Log'!$Q$6:$Q$1005,"&gt;0")/-SUMIFS('Trade Log'!$Q$6:$Q$1005,'Trade Log'!$AS$6:$AS$1005,1,'Trade Log'!$X$6:$X$1005,$J77,'Trade Log'!$Q$6:$Q$1005,"&lt;0"))))</f>
        <v>—</v>
      </c>
    </row>
    <row r="78" ht="15" customHeight="1">
      <c r="B78" s="85" t="str">
        <f>IF(Psychology!$E$12="","",Psychology!$E$12)</f>
        <v>Held loser too long</v>
      </c>
      <c r="C78" s="78" t="n"/>
      <c r="D78" s="78" t="n"/>
      <c r="E78" s="79">
        <f>IF($B78="","",COUNTIFS('Trade Log'!$AS$6:$AS$1005,1,'Trade Log'!$AB$6:$AB$1005,$B78))</f>
        <v>0</v>
      </c>
      <c r="F78" s="82">
        <f>IF($B78="","",IFERROR(COUNTIFS('Trade Log'!$AS$6:$AS$1005,1,'Trade Log'!$AB$6:$AB$1005,$B78)/COUNTIFS('Trade Log'!$AS$6:$AS$1005,1),"—"))</f>
        <v>0</v>
      </c>
      <c r="G78" s="80">
        <f>IF($B78="","",SUMIFS('Trade Log'!$Q$6:$Q$1005,'Trade Log'!$AS$6:$AS$1005,1,'Trade Log'!$AB$6:$AB$1005,$B78))</f>
        <v>0</v>
      </c>
      <c r="H78" s="81" t="str">
        <f>IF($B78="","",IFERROR(SUMIFS('Trade Log'!$R$6:$R$1005,'Trade Log'!$AS$6:$AS$1005,1,'Trade Log'!$AB$6:$AB$1005,$B78)/COUNTIFS('Trade Log'!$AS$6:$AS$1005,1,'Trade Log'!$AB$6:$AB$1005,$B78,'Trade Log'!$BC$6:$BC$1005,1),"—"))</f>
        <v>—</v>
      </c>
      <c r="I78" s="81">
        <f>IF($B78="","",SUMIFS('Trade Log'!$R$6:$R$1005,'Trade Log'!$AS$6:$AS$1005,1,'Trade Log'!$AB$6:$AB$1005,$B78))</f>
        <v>0</v>
      </c>
      <c r="J78" s="85" t="inlineStr">
        <is>
          <t>Other / not tagged</t>
        </is>
      </c>
      <c r="K78" s="78" t="n"/>
      <c r="L78" s="78" t="n"/>
      <c r="M78" s="79">
        <f>COUNTIFS('Trade Log'!$AS$6:$AS$1005,1)-SUM(M72:M77)</f>
        <v>6</v>
      </c>
      <c r="N78" s="82" t="inlineStr"/>
      <c r="O78" s="80">
        <f>SUMIFS('Trade Log'!$Q$6:$Q$1005,'Trade Log'!$AS$6:$AS$1005,1)-SUM(O72:O77)</f>
        <v>200.10688</v>
      </c>
      <c r="P78" s="81" t="inlineStr"/>
      <c r="Q78" s="91" t="inlineStr"/>
    </row>
    <row r="79" ht="15" customHeight="1">
      <c r="B79" s="85" t="str">
        <f>IF(Psychology!$E$13="","",Psychology!$E$13)</f>
        <v>No setup (impulse)</v>
      </c>
      <c r="C79" s="78" t="n"/>
      <c r="D79" s="78" t="n"/>
      <c r="E79" s="79">
        <f>IF($B79="","",COUNTIFS('Trade Log'!$AS$6:$AS$1005,1,'Trade Log'!$AB$6:$AB$1005,$B79))</f>
        <v>2</v>
      </c>
      <c r="F79" s="82">
        <f>IF($B79="","",IFERROR(COUNTIFS('Trade Log'!$AS$6:$AS$1005,1,'Trade Log'!$AB$6:$AB$1005,$B79)/COUNTIFS('Trade Log'!$AS$6:$AS$1005,1),"—"))</f>
        <v>0.0714285714285714</v>
      </c>
      <c r="G79" s="80">
        <f>IF($B79="","",SUMIFS('Trade Log'!$Q$6:$Q$1005,'Trade Log'!$AS$6:$AS$1005,1,'Trade Log'!$AB$6:$AB$1005,$B79))</f>
        <v>-223.5</v>
      </c>
      <c r="H79" s="81">
        <f>IF($B79="","",IFERROR(SUMIFS('Trade Log'!$R$6:$R$1005,'Trade Log'!$AS$6:$AS$1005,1,'Trade Log'!$AB$6:$AB$1005,$B79)/COUNTIFS('Trade Log'!$AS$6:$AS$1005,1,'Trade Log'!$AB$6:$AB$1005,$B79,'Trade Log'!$BC$6:$BC$1005,1),"—"))</f>
        <v>-1</v>
      </c>
      <c r="I79" s="81">
        <f>IF($B79="","",SUMIFS('Trade Log'!$R$6:$R$1005,'Trade Log'!$AS$6:$AS$1005,1,'Trade Log'!$AB$6:$AB$1005,$B79))</f>
        <v>-2</v>
      </c>
    </row>
    <row r="80" ht="15" customHeight="1">
      <c r="B80" s="85" t="str">
        <f>IF(Psychology!$E$14="","",Psychology!$E$14)</f>
        <v>Overtraded</v>
      </c>
      <c r="C80" s="78" t="n"/>
      <c r="D80" s="78" t="n"/>
      <c r="E80" s="79">
        <f>IF($B80="","",COUNTIFS('Trade Log'!$AS$6:$AS$1005,1,'Trade Log'!$AB$6:$AB$1005,$B80))</f>
        <v>0</v>
      </c>
      <c r="F80" s="82">
        <f>IF($B80="","",IFERROR(COUNTIFS('Trade Log'!$AS$6:$AS$1005,1,'Trade Log'!$AB$6:$AB$1005,$B80)/COUNTIFS('Trade Log'!$AS$6:$AS$1005,1),"—"))</f>
        <v>0</v>
      </c>
      <c r="G80" s="80">
        <f>IF($B80="","",SUMIFS('Trade Log'!$Q$6:$Q$1005,'Trade Log'!$AS$6:$AS$1005,1,'Trade Log'!$AB$6:$AB$1005,$B80))</f>
        <v>0</v>
      </c>
      <c r="H80" s="81" t="str">
        <f>IF($B80="","",IFERROR(SUMIFS('Trade Log'!$R$6:$R$1005,'Trade Log'!$AS$6:$AS$1005,1,'Trade Log'!$AB$6:$AB$1005,$B80)/COUNTIFS('Trade Log'!$AS$6:$AS$1005,1,'Trade Log'!$AB$6:$AB$1005,$B80,'Trade Log'!$BC$6:$BC$1005,1),"—"))</f>
        <v>—</v>
      </c>
      <c r="I80" s="81">
        <f>IF($B80="","",SUMIFS('Trade Log'!$R$6:$R$1005,'Trade Log'!$AS$6:$AS$1005,1,'Trade Log'!$AB$6:$AB$1005,$B80))</f>
        <v>0</v>
      </c>
    </row>
    <row r="81" ht="15" customHeight="1">
      <c r="B81" s="85" t="str">
        <f>IF(Psychology!$E$15="","",Psychology!$E$15)</f>
        <v>Traded after max loss</v>
      </c>
      <c r="C81" s="78" t="n"/>
      <c r="D81" s="78" t="n"/>
      <c r="E81" s="79">
        <f>IF($B81="","",COUNTIFS('Trade Log'!$AS$6:$AS$1005,1,'Trade Log'!$AB$6:$AB$1005,$B81))</f>
        <v>1</v>
      </c>
      <c r="F81" s="82">
        <f>IF($B81="","",IFERROR(COUNTIFS('Trade Log'!$AS$6:$AS$1005,1,'Trade Log'!$AB$6:$AB$1005,$B81)/COUNTIFS('Trade Log'!$AS$6:$AS$1005,1),"—"))</f>
        <v>0.0357142857142857</v>
      </c>
      <c r="G81" s="80">
        <f>IF($B81="","",SUMIFS('Trade Log'!$Q$6:$Q$1005,'Trade Log'!$AS$6:$AS$1005,1,'Trade Log'!$AB$6:$AB$1005,$B81))</f>
        <v>24</v>
      </c>
      <c r="H81" s="81">
        <f>IF($B81="","",IFERROR(SUMIFS('Trade Log'!$R$6:$R$1005,'Trade Log'!$AS$6:$AS$1005,1,'Trade Log'!$AB$6:$AB$1005,$B81)/COUNTIFS('Trade Log'!$AS$6:$AS$1005,1,'Trade Log'!$AB$6:$AB$1005,$B81,'Trade Log'!$BC$6:$BC$1005,1),"—"))</f>
        <v>0.416666666666667</v>
      </c>
      <c r="I81" s="81">
        <f>IF($B81="","",SUMIFS('Trade Log'!$R$6:$R$1005,'Trade Log'!$AS$6:$AS$1005,1,'Trade Log'!$AB$6:$AB$1005,$B81))</f>
        <v>0.416666666666667</v>
      </c>
    </row>
    <row r="82" ht="15" customHeight="1">
      <c r="B82" s="85" t="str">
        <f>IF(Psychology!$E$16="","",Psychology!$E$16)</f>
        <v>Ignored my plan</v>
      </c>
      <c r="C82" s="78" t="n"/>
      <c r="D82" s="78" t="n"/>
      <c r="E82" s="79">
        <f>IF($B82="","",COUNTIFS('Trade Log'!$AS$6:$AS$1005,1,'Trade Log'!$AB$6:$AB$1005,$B82))</f>
        <v>0</v>
      </c>
      <c r="F82" s="82">
        <f>IF($B82="","",IFERROR(COUNTIFS('Trade Log'!$AS$6:$AS$1005,1,'Trade Log'!$AB$6:$AB$1005,$B82)/COUNTIFS('Trade Log'!$AS$6:$AS$1005,1),"—"))</f>
        <v>0</v>
      </c>
      <c r="G82" s="80">
        <f>IF($B82="","",SUMIFS('Trade Log'!$Q$6:$Q$1005,'Trade Log'!$AS$6:$AS$1005,1,'Trade Log'!$AB$6:$AB$1005,$B82))</f>
        <v>0</v>
      </c>
      <c r="H82" s="81" t="str">
        <f>IF($B82="","",IFERROR(SUMIFS('Trade Log'!$R$6:$R$1005,'Trade Log'!$AS$6:$AS$1005,1,'Trade Log'!$AB$6:$AB$1005,$B82)/COUNTIFS('Trade Log'!$AS$6:$AS$1005,1,'Trade Log'!$AB$6:$AB$1005,$B82,'Trade Log'!$BC$6:$BC$1005,1),"—"))</f>
        <v>—</v>
      </c>
      <c r="I82" s="81">
        <f>IF($B82="","",SUMIFS('Trade Log'!$R$6:$R$1005,'Trade Log'!$AS$6:$AS$1005,1,'Trade Log'!$AB$6:$AB$1005,$B82))</f>
        <v>0</v>
      </c>
    </row>
    <row r="83" ht="15" customHeight="1">
      <c r="B83" s="85" t="str">
        <f>IF(Psychology!$E$17="","",Psychology!$E$17)</f>
        <v>Other</v>
      </c>
      <c r="C83" s="78" t="n"/>
      <c r="D83" s="78" t="n"/>
      <c r="E83" s="79">
        <f>IF($B83="","",COUNTIFS('Trade Log'!$AS$6:$AS$1005,1,'Trade Log'!$AB$6:$AB$1005,$B83))</f>
        <v>0</v>
      </c>
      <c r="F83" s="82">
        <f>IF($B83="","",IFERROR(COUNTIFS('Trade Log'!$AS$6:$AS$1005,1,'Trade Log'!$AB$6:$AB$1005,$B83)/COUNTIFS('Trade Log'!$AS$6:$AS$1005,1),"—"))</f>
        <v>0</v>
      </c>
      <c r="G83" s="80">
        <f>IF($B83="","",SUMIFS('Trade Log'!$Q$6:$Q$1005,'Trade Log'!$AS$6:$AS$1005,1,'Trade Log'!$AB$6:$AB$1005,$B83))</f>
        <v>0</v>
      </c>
      <c r="H83" s="81" t="str">
        <f>IF($B83="","",IFERROR(SUMIFS('Trade Log'!$R$6:$R$1005,'Trade Log'!$AS$6:$AS$1005,1,'Trade Log'!$AB$6:$AB$1005,$B83)/COUNTIFS('Trade Log'!$AS$6:$AS$1005,1,'Trade Log'!$AB$6:$AB$1005,$B83,'Trade Log'!$BC$6:$BC$1005,1),"—"))</f>
        <v>—</v>
      </c>
      <c r="I83" s="81">
        <f>IF($B83="","",SUMIFS('Trade Log'!$R$6:$R$1005,'Trade Log'!$AS$6:$AS$1005,1,'Trade Log'!$AB$6:$AB$1005,$B83))</f>
        <v>0</v>
      </c>
    </row>
    <row r="84" ht="15" customHeight="1">
      <c r="B84" s="77" t="inlineStr">
        <is>
          <t>Clean trades (no mistake)</t>
        </is>
      </c>
      <c r="C84" s="78" t="n"/>
      <c r="D84" s="78" t="n"/>
      <c r="E84" s="79">
        <f>COUNTIFS('Trade Log'!$AS$6:$AS$1005,1,'Trade Log'!$BJ$6:$BJ$1005,0)</f>
        <v>16</v>
      </c>
      <c r="F84" s="82">
        <f>IFERROR(COUNTIFS('Trade Log'!$AS$6:$AS$1005,1,'Trade Log'!$BJ$6:$BJ$1005,0)/COUNTIFS('Trade Log'!$AS$6:$AS$1005,1),"—")</f>
        <v>0.571428571428571</v>
      </c>
      <c r="G84" s="80">
        <f>SUMIFS('Trade Log'!$Q$6:$Q$1005,'Trade Log'!$AS$6:$AS$1005,1,'Trade Log'!$BJ$6:$BJ$1005,0)</f>
        <v>1630.748</v>
      </c>
      <c r="H84" s="81">
        <f>IFERROR(SUMIFS('Trade Log'!$R$6:$R$1005,'Trade Log'!$AS$6:$AS$1005,1,'Trade Log'!$BJ$6:$BJ$1005,0)/COUNTIFS('Trade Log'!$AS$6:$AS$1005,1,'Trade Log'!$BJ$6:$BJ$1005,0,'Trade Log'!$BC$6:$BC$1005,1),"—")</f>
        <v>1.24375</v>
      </c>
      <c r="I84" s="81">
        <f>SUMIFS('Trade Log'!$R$6:$R$1005,'Trade Log'!$AS$6:$AS$1005,1,'Trade Log'!$BJ$6:$BJ$1005,0)</f>
        <v>19.9</v>
      </c>
    </row>
    <row r="85" ht="15" customHeight="1"/>
    <row r="86" ht="18" customHeight="1">
      <c r="B86" s="11" t="inlineStr">
        <is>
          <t>BY WEEKDAY</t>
        </is>
      </c>
      <c r="C86" s="12" t="n"/>
      <c r="D86" s="12" t="n"/>
      <c r="E86" s="12" t="n"/>
      <c r="F86" s="12" t="n"/>
      <c r="G86" s="12" t="n"/>
      <c r="H86" s="12" t="n"/>
      <c r="I86" s="12" t="n"/>
      <c r="J86" s="11" t="inlineStr">
        <is>
          <t>BY EXIT REASON</t>
        </is>
      </c>
      <c r="K86" s="12" t="n"/>
      <c r="L86" s="12" t="n"/>
      <c r="M86" s="12" t="n"/>
      <c r="N86" s="12" t="n"/>
      <c r="O86" s="12" t="n"/>
      <c r="P86" s="12" t="n"/>
      <c r="Q86" s="12" t="n"/>
    </row>
    <row r="87" ht="26" customHeight="1">
      <c r="B87" s="75" t="inlineStr">
        <is>
          <t>Day</t>
        </is>
      </c>
      <c r="C87" s="76" t="n"/>
      <c r="D87" s="76" t="n"/>
      <c r="E87" s="15" t="inlineStr">
        <is>
          <t>Trades</t>
        </is>
      </c>
      <c r="F87" s="15" t="inlineStr">
        <is>
          <t>Win %</t>
        </is>
      </c>
      <c r="G87" s="15" t="inlineStr">
        <is>
          <t>Net P&amp;L</t>
        </is>
      </c>
      <c r="H87" s="15" t="inlineStr">
        <is>
          <t>Avg R</t>
        </is>
      </c>
      <c r="I87" s="15" t="inlineStr">
        <is>
          <t>Profit factor</t>
        </is>
      </c>
      <c r="J87" s="75" t="inlineStr">
        <is>
          <t>Exit reason</t>
        </is>
      </c>
      <c r="K87" s="76" t="n"/>
      <c r="L87" s="76" t="n"/>
      <c r="M87" s="15" t="inlineStr">
        <is>
          <t>Trades</t>
        </is>
      </c>
      <c r="N87" s="15" t="inlineStr">
        <is>
          <t>Win %</t>
        </is>
      </c>
      <c r="O87" s="15" t="inlineStr">
        <is>
          <t>Net P&amp;L</t>
        </is>
      </c>
      <c r="P87" s="15" t="inlineStr">
        <is>
          <t>Avg R</t>
        </is>
      </c>
      <c r="Q87" s="15" t="inlineStr">
        <is>
          <t>R short of target</t>
        </is>
      </c>
    </row>
    <row r="88" ht="15" customHeight="1">
      <c r="B88" s="85" t="inlineStr">
        <is>
          <t>Monday</t>
        </is>
      </c>
      <c r="C88" s="78" t="n"/>
      <c r="D88" s="78" t="n"/>
      <c r="E88" s="79">
        <f>COUNTIFS('Trade Log'!$AS$6:$AS$1005,1,'Trade Log'!$AO$6:$AO$1005,1)</f>
        <v>6</v>
      </c>
      <c r="F88" s="82">
        <f>IFERROR(COUNTIFS('Trade Log'!$AS$6:$AS$1005,1,'Trade Log'!$AO$6:$AO$1005,1,'Trade Log'!$S$6:$S$1005,"Win")/(COUNTIFS('Trade Log'!$AS$6:$AS$1005,1,'Trade Log'!$AO$6:$AO$1005,1,'Trade Log'!$S$6:$S$1005,"Win")+COUNTIFS('Trade Log'!$AS$6:$AS$1005,1,'Trade Log'!$AO$6:$AO$1005,1,'Trade Log'!$S$6:$S$1005,"Loss")),"—")</f>
        <v>1</v>
      </c>
      <c r="G88" s="80">
        <f>SUMIFS('Trade Log'!$Q$6:$Q$1005,'Trade Log'!$AS$6:$AS$1005,1,'Trade Log'!$AO$6:$AO$1005,1)</f>
        <v>879.811</v>
      </c>
      <c r="H88" s="81">
        <f>IFERROR(SUMIFS('Trade Log'!$R$6:$R$1005,'Trade Log'!$AS$6:$AS$1005,1,'Trade Log'!$AO$6:$AO$1005,1)/COUNTIFS('Trade Log'!$AS$6:$AS$1005,1,'Trade Log'!$AO$6:$AO$1005,1,'Trade Log'!$BC$6:$BC$1005,1),"—")</f>
        <v>1.48888888888889</v>
      </c>
      <c r="I88" s="91" t="str">
        <f>IF(COUNTIFS('Trade Log'!$AS$6:$AS$1005,1,'Trade Log'!$AO$6:$AO$1005,1)=0,"—",IF(SUMIFS('Trade Log'!$Q$6:$Q$1005,'Trade Log'!$AS$6:$AS$1005,1,'Trade Log'!$AO$6:$AO$1005,1,'Trade Log'!$Q$6:$Q$1005,"&lt;0")=0,IF(SUMIFS('Trade Log'!$Q$6:$Q$1005,'Trade Log'!$AS$6:$AS$1005,1,'Trade Log'!$AO$6:$AO$1005,1,'Trade Log'!$Q$6:$Q$1005,"&gt;0")&gt;0,"No losses","—"),SUMIFS('Trade Log'!$Q$6:$Q$1005,'Trade Log'!$AS$6:$AS$1005,1,'Trade Log'!$AO$6:$AO$1005,1,'Trade Log'!$Q$6:$Q$1005,"&gt;0")/-SUMIFS('Trade Log'!$Q$6:$Q$1005,'Trade Log'!$AS$6:$AS$1005,1,'Trade Log'!$AO$6:$AO$1005,1,'Trade Log'!$Q$6:$Q$1005,"&lt;0")))</f>
        <v>No losses</v>
      </c>
      <c r="J88" s="85" t="inlineStr">
        <is>
          <t>Target</t>
        </is>
      </c>
      <c r="K88" s="78" t="n"/>
      <c r="L88" s="78" t="n"/>
      <c r="M88" s="79">
        <f>COUNTIFS('Trade Log'!$AS$6:$AS$1005,1,'Trade Log'!$M$6:$M$1005,"Target")</f>
        <v>10</v>
      </c>
      <c r="N88" s="82">
        <f>IFERROR(COUNTIFS('Trade Log'!$AS$6:$AS$1005,1,'Trade Log'!$M$6:$M$1005,"Target",'Trade Log'!$S$6:$S$1005,"Win")/(COUNTIFS('Trade Log'!$AS$6:$AS$1005,1,'Trade Log'!$M$6:$M$1005,"Target",'Trade Log'!$S$6:$S$1005,"Win")+COUNTIFS('Trade Log'!$AS$6:$AS$1005,1,'Trade Log'!$M$6:$M$1005,"Target",'Trade Log'!$S$6:$S$1005,"Loss")),"—")</f>
        <v>1</v>
      </c>
      <c r="O88" s="80">
        <f>SUMIFS('Trade Log'!$Q$6:$Q$1005,'Trade Log'!$AS$6:$AS$1005,1,'Trade Log'!$M$6:$M$1005,"Target")</f>
        <v>1613.848</v>
      </c>
      <c r="P88" s="81">
        <f>IFERROR(SUMIFS('Trade Log'!$R$6:$R$1005,'Trade Log'!$AS$6:$AS$1005,1,'Trade Log'!$M$6:$M$1005,"Target")/COUNTIFS('Trade Log'!$AS$6:$AS$1005,1,'Trade Log'!$M$6:$M$1005,"Target",'Trade Log'!$BC$6:$BC$1005,1),"—")</f>
        <v>1.9</v>
      </c>
      <c r="Q88" s="92">
        <f>SUMIFS('Trade Log'!$U$6:$U$1005,'Trade Log'!$AS$6:$AS$1005,1,'Trade Log'!$M$6:$M$1005,"Target")</f>
        <v>0</v>
      </c>
    </row>
    <row r="89" ht="15" customHeight="1">
      <c r="B89" s="85" t="inlineStr">
        <is>
          <t>Tuesday</t>
        </is>
      </c>
      <c r="C89" s="78" t="n"/>
      <c r="D89" s="78" t="n"/>
      <c r="E89" s="79">
        <f>COUNTIFS('Trade Log'!$AS$6:$AS$1005,1,'Trade Log'!$AO$6:$AO$1005,2)</f>
        <v>7</v>
      </c>
      <c r="F89" s="82">
        <f>IFERROR(COUNTIFS('Trade Log'!$AS$6:$AS$1005,1,'Trade Log'!$AO$6:$AO$1005,2,'Trade Log'!$S$6:$S$1005,"Win")/(COUNTIFS('Trade Log'!$AS$6:$AS$1005,1,'Trade Log'!$AO$6:$AO$1005,2,'Trade Log'!$S$6:$S$1005,"Win")+COUNTIFS('Trade Log'!$AS$6:$AS$1005,1,'Trade Log'!$AO$6:$AO$1005,2,'Trade Log'!$S$6:$S$1005,"Loss")),"—")</f>
        <v>0.571428571428571</v>
      </c>
      <c r="G89" s="80">
        <f>SUMIFS('Trade Log'!$Q$6:$Q$1005,'Trade Log'!$AS$6:$AS$1005,1,'Trade Log'!$AO$6:$AO$1005,2)</f>
        <v>106.604</v>
      </c>
      <c r="H89" s="81">
        <f>IFERROR(SUMIFS('Trade Log'!$R$6:$R$1005,'Trade Log'!$AS$6:$AS$1005,1,'Trade Log'!$AO$6:$AO$1005,2)/COUNTIFS('Trade Log'!$AS$6:$AS$1005,1,'Trade Log'!$AO$6:$AO$1005,2,'Trade Log'!$BC$6:$BC$1005,1),"—")</f>
        <v>0.547619047619048</v>
      </c>
      <c r="I89" s="91">
        <f>IF(COUNTIFS('Trade Log'!$AS$6:$AS$1005,1,'Trade Log'!$AO$6:$AO$1005,2)=0,"—",IF(SUMIFS('Trade Log'!$Q$6:$Q$1005,'Trade Log'!$AS$6:$AS$1005,1,'Trade Log'!$AO$6:$AO$1005,2,'Trade Log'!$Q$6:$Q$1005,"&lt;0")=0,IF(SUMIFS('Trade Log'!$Q$6:$Q$1005,'Trade Log'!$AS$6:$AS$1005,1,'Trade Log'!$AO$6:$AO$1005,2,'Trade Log'!$Q$6:$Q$1005,"&gt;0")&gt;0,"No losses","—"),SUMIFS('Trade Log'!$Q$6:$Q$1005,'Trade Log'!$AS$6:$AS$1005,1,'Trade Log'!$AO$6:$AO$1005,2,'Trade Log'!$Q$6:$Q$1005,"&gt;0")/-SUMIFS('Trade Log'!$Q$6:$Q$1005,'Trade Log'!$AS$6:$AS$1005,1,'Trade Log'!$AO$6:$AO$1005,2,'Trade Log'!$Q$6:$Q$1005,"&lt;0")))</f>
        <v>1.39762775083924</v>
      </c>
      <c r="J89" s="85" t="inlineStr">
        <is>
          <t>Stop loss</t>
        </is>
      </c>
      <c r="K89" s="78" t="n"/>
      <c r="L89" s="78" t="n"/>
      <c r="M89" s="79">
        <f>COUNTIFS('Trade Log'!$AS$6:$AS$1005,1,'Trade Log'!$M$6:$M$1005,"Stop loss")</f>
        <v>9</v>
      </c>
      <c r="N89" s="82">
        <f>IFERROR(COUNTIFS('Trade Log'!$AS$6:$AS$1005,1,'Trade Log'!$M$6:$M$1005,"Stop loss",'Trade Log'!$S$6:$S$1005,"Win")/(COUNTIFS('Trade Log'!$AS$6:$AS$1005,1,'Trade Log'!$M$6:$M$1005,"Stop loss",'Trade Log'!$S$6:$S$1005,"Win")+COUNTIFS('Trade Log'!$AS$6:$AS$1005,1,'Trade Log'!$M$6:$M$1005,"Stop loss",'Trade Log'!$S$6:$S$1005,"Loss")),"—")</f>
        <v>0</v>
      </c>
      <c r="O89" s="80">
        <f>SUMIFS('Trade Log'!$Q$6:$Q$1005,'Trade Log'!$AS$6:$AS$1005,1,'Trade Log'!$M$6:$M$1005,"Stop loss")</f>
        <v>-1150.839</v>
      </c>
      <c r="P89" s="81">
        <f>IFERROR(SUMIFS('Trade Log'!$R$6:$R$1005,'Trade Log'!$AS$6:$AS$1005,1,'Trade Log'!$M$6:$M$1005,"Stop loss")/COUNTIFS('Trade Log'!$AS$6:$AS$1005,1,'Trade Log'!$M$6:$M$1005,"Stop loss",'Trade Log'!$BC$6:$BC$1005,1),"—")</f>
        <v>-1.05555555555556</v>
      </c>
      <c r="Q89" s="92">
        <f>SUMIFS('Trade Log'!$U$6:$U$1005,'Trade Log'!$AS$6:$AS$1005,1,'Trade Log'!$M$6:$M$1005,"Stop loss")</f>
        <v>0</v>
      </c>
    </row>
    <row r="90" ht="15" customHeight="1">
      <c r="B90" s="85" t="inlineStr">
        <is>
          <t>Wednesday</t>
        </is>
      </c>
      <c r="C90" s="78" t="n"/>
      <c r="D90" s="78" t="n"/>
      <c r="E90" s="79">
        <f>COUNTIFS('Trade Log'!$AS$6:$AS$1005,1,'Trade Log'!$AO$6:$AO$1005,3)</f>
        <v>4</v>
      </c>
      <c r="F90" s="82">
        <f>IFERROR(COUNTIFS('Trade Log'!$AS$6:$AS$1005,1,'Trade Log'!$AO$6:$AO$1005,3,'Trade Log'!$S$6:$S$1005,"Win")/(COUNTIFS('Trade Log'!$AS$6:$AS$1005,1,'Trade Log'!$AO$6:$AO$1005,3,'Trade Log'!$S$6:$S$1005,"Win")+COUNTIFS('Trade Log'!$AS$6:$AS$1005,1,'Trade Log'!$AO$6:$AO$1005,3,'Trade Log'!$S$6:$S$1005,"Loss")),"—")</f>
        <v>0.666666666666667</v>
      </c>
      <c r="G90" s="80">
        <f>SUMIFS('Trade Log'!$Q$6:$Q$1005,'Trade Log'!$AS$6:$AS$1005,1,'Trade Log'!$AO$6:$AO$1005,3)</f>
        <v>128</v>
      </c>
      <c r="H90" s="81">
        <f>IFERROR(SUMIFS('Trade Log'!$R$6:$R$1005,'Trade Log'!$AS$6:$AS$1005,1,'Trade Log'!$AO$6:$AO$1005,3)/COUNTIFS('Trade Log'!$AS$6:$AS$1005,1,'Trade Log'!$AO$6:$AO$1005,3,'Trade Log'!$BC$6:$BC$1005,1),"—")</f>
        <v>0.745833333333333</v>
      </c>
      <c r="I90" s="91">
        <f>IF(COUNTIFS('Trade Log'!$AS$6:$AS$1005,1,'Trade Log'!$AO$6:$AO$1005,3)=0,"—",IF(SUMIFS('Trade Log'!$Q$6:$Q$1005,'Trade Log'!$AS$6:$AS$1005,1,'Trade Log'!$AO$6:$AO$1005,3,'Trade Log'!$Q$6:$Q$1005,"&lt;0")=0,IF(SUMIFS('Trade Log'!$Q$6:$Q$1005,'Trade Log'!$AS$6:$AS$1005,1,'Trade Log'!$AO$6:$AO$1005,3,'Trade Log'!$Q$6:$Q$1005,"&gt;0")&gt;0,"No losses","—"),SUMIFS('Trade Log'!$Q$6:$Q$1005,'Trade Log'!$AS$6:$AS$1005,1,'Trade Log'!$AO$6:$AO$1005,3,'Trade Log'!$Q$6:$Q$1005,"&gt;0")/-SUMIFS('Trade Log'!$Q$6:$Q$1005,'Trade Log'!$AS$6:$AS$1005,1,'Trade Log'!$AO$6:$AO$1005,3,'Trade Log'!$Q$6:$Q$1005,"&lt;0")))</f>
        <v>2.18518518518519</v>
      </c>
      <c r="J90" s="85" t="inlineStr">
        <is>
          <t>Manual</t>
        </is>
      </c>
      <c r="K90" s="78" t="n"/>
      <c r="L90" s="78" t="n"/>
      <c r="M90" s="79">
        <f>COUNTIFS('Trade Log'!$AS$6:$AS$1005,1,'Trade Log'!$M$6:$M$1005,"Manual")</f>
        <v>8</v>
      </c>
      <c r="N90" s="82">
        <f>IFERROR(COUNTIFS('Trade Log'!$AS$6:$AS$1005,1,'Trade Log'!$M$6:$M$1005,"Manual",'Trade Log'!$S$6:$S$1005,"Win")/(COUNTIFS('Trade Log'!$AS$6:$AS$1005,1,'Trade Log'!$M$6:$M$1005,"Manual",'Trade Log'!$S$6:$S$1005,"Win")+COUNTIFS('Trade Log'!$AS$6:$AS$1005,1,'Trade Log'!$M$6:$M$1005,"Manual",'Trade Log'!$S$6:$S$1005,"Loss")),"—")</f>
        <v>1</v>
      </c>
      <c r="O90" s="80">
        <f>SUMIFS('Trade Log'!$Q$6:$Q$1005,'Trade Log'!$AS$6:$AS$1005,1,'Trade Log'!$M$6:$M$1005,"Manual")</f>
        <v>721.09788</v>
      </c>
      <c r="P90" s="81">
        <f>IFERROR(SUMIFS('Trade Log'!$R$6:$R$1005,'Trade Log'!$AS$6:$AS$1005,1,'Trade Log'!$M$6:$M$1005,"Manual")/COUNTIFS('Trade Log'!$AS$6:$AS$1005,1,'Trade Log'!$M$6:$M$1005,"Manual",'Trade Log'!$BC$6:$BC$1005,1),"—")</f>
        <v>1.19625</v>
      </c>
      <c r="Q90" s="92">
        <f>SUMIFS('Trade Log'!$U$6:$U$1005,'Trade Log'!$AS$6:$AS$1005,1,'Trade Log'!$M$6:$M$1005,"Manual")</f>
        <v>6.43</v>
      </c>
    </row>
    <row r="91" ht="15" customHeight="1">
      <c r="B91" s="85" t="inlineStr">
        <is>
          <t>Thursday</t>
        </is>
      </c>
      <c r="C91" s="78" t="n"/>
      <c r="D91" s="78" t="n"/>
      <c r="E91" s="79">
        <f>COUNTIFS('Trade Log'!$AS$6:$AS$1005,1,'Trade Log'!$AO$6:$AO$1005,4)</f>
        <v>5</v>
      </c>
      <c r="F91" s="82">
        <f>IFERROR(COUNTIFS('Trade Log'!$AS$6:$AS$1005,1,'Trade Log'!$AO$6:$AO$1005,4,'Trade Log'!$S$6:$S$1005,"Win")/(COUNTIFS('Trade Log'!$AS$6:$AS$1005,1,'Trade Log'!$AO$6:$AO$1005,4,'Trade Log'!$S$6:$S$1005,"Win")+COUNTIFS('Trade Log'!$AS$6:$AS$1005,1,'Trade Log'!$AO$6:$AO$1005,4,'Trade Log'!$S$6:$S$1005,"Loss")),"—")</f>
        <v>0.6</v>
      </c>
      <c r="G91" s="80">
        <f>SUMIFS('Trade Log'!$Q$6:$Q$1005,'Trade Log'!$AS$6:$AS$1005,1,'Trade Log'!$AO$6:$AO$1005,4)</f>
        <v>139.905</v>
      </c>
      <c r="H91" s="81">
        <f>IFERROR(SUMIFS('Trade Log'!$R$6:$R$1005,'Trade Log'!$AS$6:$AS$1005,1,'Trade Log'!$AO$6:$AO$1005,4)/COUNTIFS('Trade Log'!$AS$6:$AS$1005,1,'Trade Log'!$AO$6:$AO$1005,4,'Trade Log'!$BC$6:$BC$1005,1),"—")</f>
        <v>0.566666666666667</v>
      </c>
      <c r="I91" s="91">
        <f>IF(COUNTIFS('Trade Log'!$AS$6:$AS$1005,1,'Trade Log'!$AO$6:$AO$1005,4)=0,"—",IF(SUMIFS('Trade Log'!$Q$6:$Q$1005,'Trade Log'!$AS$6:$AS$1005,1,'Trade Log'!$AO$6:$AO$1005,4,'Trade Log'!$Q$6:$Q$1005,"&lt;0")=0,IF(SUMIFS('Trade Log'!$Q$6:$Q$1005,'Trade Log'!$AS$6:$AS$1005,1,'Trade Log'!$AO$6:$AO$1005,4,'Trade Log'!$Q$6:$Q$1005,"&gt;0")&gt;0,"No losses","—"),SUMIFS('Trade Log'!$Q$6:$Q$1005,'Trade Log'!$AS$6:$AS$1005,1,'Trade Log'!$AO$6:$AO$1005,4,'Trade Log'!$Q$6:$Q$1005,"&gt;0")/-SUMIFS('Trade Log'!$Q$6:$Q$1005,'Trade Log'!$AS$6:$AS$1005,1,'Trade Log'!$AO$6:$AO$1005,4,'Trade Log'!$Q$6:$Q$1005,"&lt;0")))</f>
        <v>1.39383344734109</v>
      </c>
      <c r="J91" s="85" t="inlineStr">
        <is>
          <t>Trailing stop</t>
        </is>
      </c>
      <c r="K91" s="78" t="n"/>
      <c r="L91" s="78" t="n"/>
      <c r="M91" s="79">
        <f>COUNTIFS('Trade Log'!$AS$6:$AS$1005,1,'Trade Log'!$M$6:$M$1005,"Trailing stop")</f>
        <v>0</v>
      </c>
      <c r="N91" s="82" t="str">
        <f>IFERROR(COUNTIFS('Trade Log'!$AS$6:$AS$1005,1,'Trade Log'!$M$6:$M$1005,"Trailing stop",'Trade Log'!$S$6:$S$1005,"Win")/(COUNTIFS('Trade Log'!$AS$6:$AS$1005,1,'Trade Log'!$M$6:$M$1005,"Trailing stop",'Trade Log'!$S$6:$S$1005,"Win")+COUNTIFS('Trade Log'!$AS$6:$AS$1005,1,'Trade Log'!$M$6:$M$1005,"Trailing stop",'Trade Log'!$S$6:$S$1005,"Loss")),"—")</f>
        <v>—</v>
      </c>
      <c r="O91" s="80">
        <f>SUMIFS('Trade Log'!$Q$6:$Q$1005,'Trade Log'!$AS$6:$AS$1005,1,'Trade Log'!$M$6:$M$1005,"Trailing stop")</f>
        <v>0</v>
      </c>
      <c r="P91" s="81" t="str">
        <f>IFERROR(SUMIFS('Trade Log'!$R$6:$R$1005,'Trade Log'!$AS$6:$AS$1005,1,'Trade Log'!$M$6:$M$1005,"Trailing stop")/COUNTIFS('Trade Log'!$AS$6:$AS$1005,1,'Trade Log'!$M$6:$M$1005,"Trailing stop",'Trade Log'!$BC$6:$BC$1005,1),"—")</f>
        <v>—</v>
      </c>
      <c r="Q91" s="92">
        <f>SUMIFS('Trade Log'!$U$6:$U$1005,'Trade Log'!$AS$6:$AS$1005,1,'Trade Log'!$M$6:$M$1005,"Trailing stop")</f>
        <v>0</v>
      </c>
    </row>
    <row r="92" ht="15" customHeight="1">
      <c r="B92" s="85" t="inlineStr">
        <is>
          <t>Friday</t>
        </is>
      </c>
      <c r="C92" s="78" t="n"/>
      <c r="D92" s="78" t="n"/>
      <c r="E92" s="79">
        <f>COUNTIFS('Trade Log'!$AS$6:$AS$1005,1,'Trade Log'!$AO$6:$AO$1005,5)</f>
        <v>5</v>
      </c>
      <c r="F92" s="82">
        <f>IFERROR(COUNTIFS('Trade Log'!$AS$6:$AS$1005,1,'Trade Log'!$AO$6:$AO$1005,5,'Trade Log'!$S$6:$S$1005,"Win")/(COUNTIFS('Trade Log'!$AS$6:$AS$1005,1,'Trade Log'!$AO$6:$AO$1005,5,'Trade Log'!$S$6:$S$1005,"Win")+COUNTIFS('Trade Log'!$AS$6:$AS$1005,1,'Trade Log'!$AO$6:$AO$1005,5,'Trade Log'!$S$6:$S$1005,"Loss")),"—")</f>
        <v>0.4</v>
      </c>
      <c r="G92" s="80">
        <f>SUMIFS('Trade Log'!$Q$6:$Q$1005,'Trade Log'!$AS$6:$AS$1005,1,'Trade Log'!$AO$6:$AO$1005,5)</f>
        <v>-167.5</v>
      </c>
      <c r="H92" s="81">
        <f>IFERROR(SUMIFS('Trade Log'!$R$6:$R$1005,'Trade Log'!$AS$6:$AS$1005,1,'Trade Log'!$AO$6:$AO$1005,5)/COUNTIFS('Trade Log'!$AS$6:$AS$1005,1,'Trade Log'!$AO$6:$AO$1005,5,'Trade Log'!$BC$6:$BC$1005,1),"—")</f>
        <v>-0.233333333333333</v>
      </c>
      <c r="I92" s="91">
        <f>IF(COUNTIFS('Trade Log'!$AS$6:$AS$1005,1,'Trade Log'!$AO$6:$AO$1005,5)=0,"—",IF(SUMIFS('Trade Log'!$Q$6:$Q$1005,'Trade Log'!$AS$6:$AS$1005,1,'Trade Log'!$AO$6:$AO$1005,5,'Trade Log'!$Q$6:$Q$1005,"&lt;0")=0,IF(SUMIFS('Trade Log'!$Q$6:$Q$1005,'Trade Log'!$AS$6:$AS$1005,1,'Trade Log'!$AO$6:$AO$1005,5,'Trade Log'!$Q$6:$Q$1005,"&gt;0")&gt;0,"No losses","—"),SUMIFS('Trade Log'!$Q$6:$Q$1005,'Trade Log'!$AS$6:$AS$1005,1,'Trade Log'!$AO$6:$AO$1005,5,'Trade Log'!$Q$6:$Q$1005,"&gt;0")/-SUMIFS('Trade Log'!$Q$6:$Q$1005,'Trade Log'!$AS$6:$AS$1005,1,'Trade Log'!$AO$6:$AO$1005,5,'Trade Log'!$Q$6:$Q$1005,"&lt;0")))</f>
        <v>0.600715137067938</v>
      </c>
      <c r="J92" s="85" t="inlineStr">
        <is>
          <t>Breakeven</t>
        </is>
      </c>
      <c r="K92" s="78" t="n"/>
      <c r="L92" s="78" t="n"/>
      <c r="M92" s="79">
        <f>COUNTIFS('Trade Log'!$AS$6:$AS$1005,1,'Trade Log'!$M$6:$M$1005,"Breakeven")</f>
        <v>1</v>
      </c>
      <c r="N92" s="82" t="str">
        <f>IFERROR(COUNTIFS('Trade Log'!$AS$6:$AS$1005,1,'Trade Log'!$M$6:$M$1005,"Breakeven",'Trade Log'!$S$6:$S$1005,"Win")/(COUNTIFS('Trade Log'!$AS$6:$AS$1005,1,'Trade Log'!$M$6:$M$1005,"Breakeven",'Trade Log'!$S$6:$S$1005,"Win")+COUNTIFS('Trade Log'!$AS$6:$AS$1005,1,'Trade Log'!$M$6:$M$1005,"Breakeven",'Trade Log'!$S$6:$S$1005,"Loss")),"—")</f>
        <v>—</v>
      </c>
      <c r="O92" s="80">
        <f>SUMIFS('Trade Log'!$Q$6:$Q$1005,'Trade Log'!$AS$6:$AS$1005,1,'Trade Log'!$M$6:$M$1005,"Breakeven")</f>
        <v>3</v>
      </c>
      <c r="P92" s="81">
        <f>IFERROR(SUMIFS('Trade Log'!$R$6:$R$1005,'Trade Log'!$AS$6:$AS$1005,1,'Trade Log'!$M$6:$M$1005,"Breakeven")/COUNTIFS('Trade Log'!$AS$6:$AS$1005,1,'Trade Log'!$M$6:$M$1005,"Breakeven",'Trade Log'!$BC$6:$BC$1005,1),"—")</f>
        <v>0.0666666666666667</v>
      </c>
      <c r="Q92" s="92">
        <f>SUMIFS('Trade Log'!$U$6:$U$1005,'Trade Log'!$AS$6:$AS$1005,1,'Trade Log'!$M$6:$M$1005,"Breakeven")</f>
        <v>0</v>
      </c>
    </row>
    <row r="93" ht="15" customHeight="1">
      <c r="B93" s="85" t="inlineStr">
        <is>
          <t>Saturday</t>
        </is>
      </c>
      <c r="C93" s="78" t="n"/>
      <c r="D93" s="78" t="n"/>
      <c r="E93" s="79">
        <f>COUNTIFS('Trade Log'!$AS$6:$AS$1005,1,'Trade Log'!$AO$6:$AO$1005,6)</f>
        <v>1</v>
      </c>
      <c r="F93" s="82">
        <f>IFERROR(COUNTIFS('Trade Log'!$AS$6:$AS$1005,1,'Trade Log'!$AO$6:$AO$1005,6,'Trade Log'!$S$6:$S$1005,"Win")/(COUNTIFS('Trade Log'!$AS$6:$AS$1005,1,'Trade Log'!$AO$6:$AO$1005,6,'Trade Log'!$S$6:$S$1005,"Win")+COUNTIFS('Trade Log'!$AS$6:$AS$1005,1,'Trade Log'!$AO$6:$AO$1005,6,'Trade Log'!$S$6:$S$1005,"Loss")),"—")</f>
        <v>1</v>
      </c>
      <c r="G93" s="80">
        <f>SUMIFS('Trade Log'!$Q$6:$Q$1005,'Trade Log'!$AS$6:$AS$1005,1,'Trade Log'!$AO$6:$AO$1005,6)</f>
        <v>100.28688</v>
      </c>
      <c r="H93" s="81">
        <f>IFERROR(SUMIFS('Trade Log'!$R$6:$R$1005,'Trade Log'!$AS$6:$AS$1005,1,'Trade Log'!$AO$6:$AO$1005,6)/COUNTIFS('Trade Log'!$AS$6:$AS$1005,1,'Trade Log'!$AO$6:$AO$1005,6,'Trade Log'!$BC$6:$BC$1005,1),"—")</f>
        <v>1.72</v>
      </c>
      <c r="I93" s="91" t="str">
        <f>IF(COUNTIFS('Trade Log'!$AS$6:$AS$1005,1,'Trade Log'!$AO$6:$AO$1005,6)=0,"—",IF(SUMIFS('Trade Log'!$Q$6:$Q$1005,'Trade Log'!$AS$6:$AS$1005,1,'Trade Log'!$AO$6:$AO$1005,6,'Trade Log'!$Q$6:$Q$1005,"&lt;0")=0,IF(SUMIFS('Trade Log'!$Q$6:$Q$1005,'Trade Log'!$AS$6:$AS$1005,1,'Trade Log'!$AO$6:$AO$1005,6,'Trade Log'!$Q$6:$Q$1005,"&gt;0")&gt;0,"No losses","—"),SUMIFS('Trade Log'!$Q$6:$Q$1005,'Trade Log'!$AS$6:$AS$1005,1,'Trade Log'!$AO$6:$AO$1005,6,'Trade Log'!$Q$6:$Q$1005,"&gt;0")/-SUMIFS('Trade Log'!$Q$6:$Q$1005,'Trade Log'!$AS$6:$AS$1005,1,'Trade Log'!$AO$6:$AO$1005,6,'Trade Log'!$Q$6:$Q$1005,"&lt;0")))</f>
        <v>No losses</v>
      </c>
      <c r="J93" s="85" t="inlineStr">
        <is>
          <t>Time exit</t>
        </is>
      </c>
      <c r="K93" s="78" t="n"/>
      <c r="L93" s="78" t="n"/>
      <c r="M93" s="79">
        <f>COUNTIFS('Trade Log'!$AS$6:$AS$1005,1,'Trade Log'!$M$6:$M$1005,"Time exit")</f>
        <v>0</v>
      </c>
      <c r="N93" s="82" t="str">
        <f>IFERROR(COUNTIFS('Trade Log'!$AS$6:$AS$1005,1,'Trade Log'!$M$6:$M$1005,"Time exit",'Trade Log'!$S$6:$S$1005,"Win")/(COUNTIFS('Trade Log'!$AS$6:$AS$1005,1,'Trade Log'!$M$6:$M$1005,"Time exit",'Trade Log'!$S$6:$S$1005,"Win")+COUNTIFS('Trade Log'!$AS$6:$AS$1005,1,'Trade Log'!$M$6:$M$1005,"Time exit",'Trade Log'!$S$6:$S$1005,"Loss")),"—")</f>
        <v>—</v>
      </c>
      <c r="O93" s="80">
        <f>SUMIFS('Trade Log'!$Q$6:$Q$1005,'Trade Log'!$AS$6:$AS$1005,1,'Trade Log'!$M$6:$M$1005,"Time exit")</f>
        <v>0</v>
      </c>
      <c r="P93" s="81" t="str">
        <f>IFERROR(SUMIFS('Trade Log'!$R$6:$R$1005,'Trade Log'!$AS$6:$AS$1005,1,'Trade Log'!$M$6:$M$1005,"Time exit")/COUNTIFS('Trade Log'!$AS$6:$AS$1005,1,'Trade Log'!$M$6:$M$1005,"Time exit",'Trade Log'!$BC$6:$BC$1005,1),"—")</f>
        <v>—</v>
      </c>
      <c r="Q93" s="92">
        <f>SUMIFS('Trade Log'!$U$6:$U$1005,'Trade Log'!$AS$6:$AS$1005,1,'Trade Log'!$M$6:$M$1005,"Time exit")</f>
        <v>0</v>
      </c>
    </row>
    <row r="94" ht="15" customHeight="1">
      <c r="B94" s="85" t="inlineStr">
        <is>
          <t>Sunday</t>
        </is>
      </c>
      <c r="C94" s="78" t="n"/>
      <c r="D94" s="78" t="n"/>
      <c r="E94" s="79">
        <f>COUNTIFS('Trade Log'!$AS$6:$AS$1005,1,'Trade Log'!$AO$6:$AO$1005,7)</f>
        <v>0</v>
      </c>
      <c r="F94" s="82" t="str">
        <f>IFERROR(COUNTIFS('Trade Log'!$AS$6:$AS$1005,1,'Trade Log'!$AO$6:$AO$1005,7,'Trade Log'!$S$6:$S$1005,"Win")/(COUNTIFS('Trade Log'!$AS$6:$AS$1005,1,'Trade Log'!$AO$6:$AO$1005,7,'Trade Log'!$S$6:$S$1005,"Win")+COUNTIFS('Trade Log'!$AS$6:$AS$1005,1,'Trade Log'!$AO$6:$AO$1005,7,'Trade Log'!$S$6:$S$1005,"Loss")),"—")</f>
        <v>—</v>
      </c>
      <c r="G94" s="80">
        <f>SUMIFS('Trade Log'!$Q$6:$Q$1005,'Trade Log'!$AS$6:$AS$1005,1,'Trade Log'!$AO$6:$AO$1005,7)</f>
        <v>0</v>
      </c>
      <c r="H94" s="81" t="str">
        <f>IFERROR(SUMIFS('Trade Log'!$R$6:$R$1005,'Trade Log'!$AS$6:$AS$1005,1,'Trade Log'!$AO$6:$AO$1005,7)/COUNTIFS('Trade Log'!$AS$6:$AS$1005,1,'Trade Log'!$AO$6:$AO$1005,7,'Trade Log'!$BC$6:$BC$1005,1),"—")</f>
        <v>—</v>
      </c>
      <c r="I94" s="91" t="str">
        <f>IF(COUNTIFS('Trade Log'!$AS$6:$AS$1005,1,'Trade Log'!$AO$6:$AO$1005,7)=0,"—",IF(SUMIFS('Trade Log'!$Q$6:$Q$1005,'Trade Log'!$AS$6:$AS$1005,1,'Trade Log'!$AO$6:$AO$1005,7,'Trade Log'!$Q$6:$Q$1005,"&lt;0")=0,IF(SUMIFS('Trade Log'!$Q$6:$Q$1005,'Trade Log'!$AS$6:$AS$1005,1,'Trade Log'!$AO$6:$AO$1005,7,'Trade Log'!$Q$6:$Q$1005,"&gt;0")&gt;0,"No losses","—"),SUMIFS('Trade Log'!$Q$6:$Q$1005,'Trade Log'!$AS$6:$AS$1005,1,'Trade Log'!$AO$6:$AO$1005,7,'Trade Log'!$Q$6:$Q$1005,"&gt;0")/-SUMIFS('Trade Log'!$Q$6:$Q$1005,'Trade Log'!$AS$6:$AS$1005,1,'Trade Log'!$AO$6:$AO$1005,7,'Trade Log'!$Q$6:$Q$1005,"&lt;0")))</f>
        <v>—</v>
      </c>
      <c r="J94" s="85" t="inlineStr">
        <is>
          <t>Not tagged</t>
        </is>
      </c>
      <c r="K94" s="78" t="n"/>
      <c r="L94" s="78" t="n"/>
      <c r="M94" s="79">
        <f>COUNTIFS('Trade Log'!$AS$6:$AS$1005,1)-SUM(M88:M93)</f>
        <v>0</v>
      </c>
      <c r="N94" s="82" t="inlineStr"/>
      <c r="O94" s="80">
        <f>SUMIFS('Trade Log'!$Q$6:$Q$1005,'Trade Log'!$AS$6:$AS$1005,1)-SUM(O88:O93)</f>
        <v>0</v>
      </c>
      <c r="P94" s="81" t="inlineStr"/>
      <c r="Q94" s="92" t="inlineStr"/>
    </row>
    <row r="95" ht="15" customHeight="1"/>
    <row r="96" ht="15" customHeight="1"/>
    <row r="97" ht="18" customHeight="1">
      <c r="B97" s="11" t="inlineStr">
        <is>
          <t>BY ACCOUNT</t>
        </is>
      </c>
      <c r="C97" s="12" t="n"/>
      <c r="D97" s="12" t="n"/>
      <c r="E97" s="12" t="n"/>
      <c r="F97" s="12" t="n"/>
      <c r="G97" s="12" t="n"/>
      <c r="H97" s="12" t="n"/>
      <c r="I97" s="12" t="n"/>
      <c r="J97" s="11" t="inlineStr">
        <is>
          <t>NET P&amp;L BY SETUP  (chart shows your first 6 setups)</t>
        </is>
      </c>
      <c r="K97" s="12" t="n"/>
      <c r="L97" s="12" t="n"/>
      <c r="M97" s="12" t="n"/>
      <c r="N97" s="12" t="n"/>
      <c r="O97" s="12" t="n"/>
      <c r="P97" s="12" t="n"/>
      <c r="Q97" s="12" t="n"/>
    </row>
    <row r="98" ht="20" customHeight="1">
      <c r="B98" s="75" t="inlineStr">
        <is>
          <t>Account</t>
        </is>
      </c>
      <c r="C98" s="76" t="n"/>
      <c r="D98" s="76" t="n"/>
      <c r="E98" s="15" t="inlineStr">
        <is>
          <t>Trades</t>
        </is>
      </c>
      <c r="F98" s="15" t="inlineStr">
        <is>
          <t>Win %</t>
        </is>
      </c>
      <c r="G98" s="15" t="inlineStr">
        <is>
          <t>Net P&amp;L</t>
        </is>
      </c>
      <c r="H98" s="15" t="inlineStr">
        <is>
          <t>Avg R</t>
        </is>
      </c>
      <c r="I98" s="15" t="inlineStr">
        <is>
          <t>Profit factor</t>
        </is>
      </c>
    </row>
    <row r="99" ht="15" customHeight="1">
      <c r="B99" s="85" t="str">
        <f>IF(Accounts!$B$7="","",Accounts!$B$7)</f>
        <v>Prop Eval 50K</v>
      </c>
      <c r="C99" s="78" t="n"/>
      <c r="D99" s="78" t="n"/>
      <c r="E99" s="79">
        <f>IF($B99="","",COUNTIFS('Trade Log'!$AS$6:$AS$1005,1,'Trade Log'!$C$6:$C$1005,$B99))</f>
        <v>22</v>
      </c>
      <c r="F99" s="82">
        <f>IF($B99="","",IFERROR(COUNTIFS('Trade Log'!$AS$6:$AS$1005,1,'Trade Log'!$C$6:$C$1005,$B99,'Trade Log'!$S$6:$S$1005,"Win")/(COUNTIFS('Trade Log'!$AS$6:$AS$1005,1,'Trade Log'!$C$6:$C$1005,$B99,'Trade Log'!$S$6:$S$1005,"Win")+COUNTIFS('Trade Log'!$AS$6:$AS$1005,1,'Trade Log'!$C$6:$C$1005,$B99,'Trade Log'!$S$6:$S$1005,"Loss")),"—"))</f>
        <v>0.666666666666667</v>
      </c>
      <c r="G99" s="80">
        <f>IF($B99="","",SUMIFS('Trade Log'!$Q$6:$Q$1005,'Trade Log'!$AS$6:$AS$1005,1,'Trade Log'!$C$6:$C$1005,$B99))</f>
        <v>987</v>
      </c>
      <c r="H99" s="81">
        <f>IF($B99="","",IFERROR(SUMIFS('Trade Log'!$R$6:$R$1005,'Trade Log'!$AS$6:$AS$1005,1,'Trade Log'!$C$6:$C$1005,$B99)/COUNTIFS('Trade Log'!$AS$6:$AS$1005,1,'Trade Log'!$C$6:$C$1005,$B99,'Trade Log'!$BC$6:$BC$1005,1),"—"))</f>
        <v>0.650757575757576</v>
      </c>
      <c r="I99" s="91">
        <f>IF($B99="","",IF(COUNTIFS('Trade Log'!$AS$6:$AS$1005,1,'Trade Log'!$C$6:$C$1005,$B99)=0,"—",IF(SUMIFS('Trade Log'!$Q$6:$Q$1005,'Trade Log'!$AS$6:$AS$1005,1,'Trade Log'!$C$6:$C$1005,$B99,'Trade Log'!$Q$6:$Q$1005,"&lt;0")=0,IF(SUMIFS('Trade Log'!$Q$6:$Q$1005,'Trade Log'!$AS$6:$AS$1005,1,'Trade Log'!$C$6:$C$1005,$B99,'Trade Log'!$Q$6:$Q$1005,"&gt;0")&gt;0,"No losses","—"),SUMIFS('Trade Log'!$Q$6:$Q$1005,'Trade Log'!$AS$6:$AS$1005,1,'Trade Log'!$C$6:$C$1005,$B99,'Trade Log'!$Q$6:$Q$1005,"&gt;0")/-SUMIFS('Trade Log'!$Q$6:$Q$1005,'Trade Log'!$AS$6:$AS$1005,1,'Trade Log'!$C$6:$C$1005,$B99,'Trade Log'!$Q$6:$Q$1005,"&lt;0"))))</f>
        <v>1.94314381270903</v>
      </c>
    </row>
    <row r="100" ht="15" customHeight="1">
      <c r="B100" s="85" t="str">
        <f>IF(Accounts!$B$8="","",Accounts!$B$8)</f>
        <v>Crypto Main</v>
      </c>
      <c r="C100" s="78" t="n"/>
      <c r="D100" s="78" t="n"/>
      <c r="E100" s="79">
        <f>IF($B100="","",COUNTIFS('Trade Log'!$AS$6:$AS$1005,1,'Trade Log'!$C$6:$C$1005,$B100))</f>
        <v>6</v>
      </c>
      <c r="F100" s="82">
        <f>IF($B100="","",IFERROR(COUNTIFS('Trade Log'!$AS$6:$AS$1005,1,'Trade Log'!$C$6:$C$1005,$B100,'Trade Log'!$S$6:$S$1005,"Win")/(COUNTIFS('Trade Log'!$AS$6:$AS$1005,1,'Trade Log'!$C$6:$C$1005,$B100,'Trade Log'!$S$6:$S$1005,"Win")+COUNTIFS('Trade Log'!$AS$6:$AS$1005,1,'Trade Log'!$C$6:$C$1005,$B100,'Trade Log'!$S$6:$S$1005,"Loss")),"—"))</f>
        <v>0.666666666666667</v>
      </c>
      <c r="G100" s="80">
        <f>IF($B100="","",SUMIFS('Trade Log'!$Q$6:$Q$1005,'Trade Log'!$AS$6:$AS$1005,1,'Trade Log'!$C$6:$C$1005,$B100))</f>
        <v>200.10688</v>
      </c>
      <c r="H100" s="81">
        <f>IF($B100="","",IFERROR(SUMIFS('Trade Log'!$R$6:$R$1005,'Trade Log'!$AS$6:$AS$1005,1,'Trade Log'!$C$6:$C$1005,$B100)/COUNTIFS('Trade Log'!$AS$6:$AS$1005,1,'Trade Log'!$C$6:$C$1005,$B100,'Trade Log'!$BC$6:$BC$1005,1),"—"))</f>
        <v>0.803333333333333</v>
      </c>
      <c r="I100" s="91">
        <f>IF($B100="","",IF(COUNTIFS('Trade Log'!$AS$6:$AS$1005,1,'Trade Log'!$C$6:$C$1005,$B100)=0,"—",IF(SUMIFS('Trade Log'!$Q$6:$Q$1005,'Trade Log'!$AS$6:$AS$1005,1,'Trade Log'!$C$6:$C$1005,$B100,'Trade Log'!$Q$6:$Q$1005,"&lt;0")=0,IF(SUMIFS('Trade Log'!$Q$6:$Q$1005,'Trade Log'!$AS$6:$AS$1005,1,'Trade Log'!$C$6:$C$1005,$B100,'Trade Log'!$Q$6:$Q$1005,"&gt;0")&gt;0,"No losses","—"),SUMIFS('Trade Log'!$Q$6:$Q$1005,'Trade Log'!$AS$6:$AS$1005,1,'Trade Log'!$C$6:$C$1005,$B100,'Trade Log'!$Q$6:$Q$1005,"&gt;0")/-SUMIFS('Trade Log'!$Q$6:$Q$1005,'Trade Log'!$AS$6:$AS$1005,1,'Trade Log'!$C$6:$C$1005,$B100,'Trade Log'!$Q$6:$Q$1005,"&lt;0"))))</f>
        <v>2.91785315174575</v>
      </c>
    </row>
    <row r="101" ht="15" customHeight="1">
      <c r="B101" s="85" t="str">
        <f>IF(Accounts!$B$9="","",Accounts!$B$9)</f>
        <v/>
      </c>
      <c r="C101" s="78" t="n"/>
      <c r="D101" s="78" t="n"/>
      <c r="E101" s="79" t="str">
        <f>IF($B101="","",COUNTIFS('Trade Log'!$AS$6:$AS$1005,1,'Trade Log'!$C$6:$C$1005,$B101))</f>
        <v/>
      </c>
      <c r="F101" s="82" t="str">
        <f>IF($B101="","",IFERROR(COUNTIFS('Trade Log'!$AS$6:$AS$1005,1,'Trade Log'!$C$6:$C$1005,$B101,'Trade Log'!$S$6:$S$1005,"Win")/(COUNTIFS('Trade Log'!$AS$6:$AS$1005,1,'Trade Log'!$C$6:$C$1005,$B101,'Trade Log'!$S$6:$S$1005,"Win")+COUNTIFS('Trade Log'!$AS$6:$AS$1005,1,'Trade Log'!$C$6:$C$1005,$B101,'Trade Log'!$S$6:$S$1005,"Loss")),"—"))</f>
        <v/>
      </c>
      <c r="G101" s="80" t="str">
        <f>IF($B101="","",SUMIFS('Trade Log'!$Q$6:$Q$1005,'Trade Log'!$AS$6:$AS$1005,1,'Trade Log'!$C$6:$C$1005,$B101))</f>
        <v/>
      </c>
      <c r="H101" s="81" t="str">
        <f>IF($B101="","",IFERROR(SUMIFS('Trade Log'!$R$6:$R$1005,'Trade Log'!$AS$6:$AS$1005,1,'Trade Log'!$C$6:$C$1005,$B101)/COUNTIFS('Trade Log'!$AS$6:$AS$1005,1,'Trade Log'!$C$6:$C$1005,$B101,'Trade Log'!$BC$6:$BC$1005,1),"—"))</f>
        <v/>
      </c>
      <c r="I101" s="91" t="str">
        <f>IF($B101="","",IF(COUNTIFS('Trade Log'!$AS$6:$AS$1005,1,'Trade Log'!$C$6:$C$1005,$B101)=0,"—",IF(SUMIFS('Trade Log'!$Q$6:$Q$1005,'Trade Log'!$AS$6:$AS$1005,1,'Trade Log'!$C$6:$C$1005,$B101,'Trade Log'!$Q$6:$Q$1005,"&lt;0")=0,IF(SUMIFS('Trade Log'!$Q$6:$Q$1005,'Trade Log'!$AS$6:$AS$1005,1,'Trade Log'!$C$6:$C$1005,$B101,'Trade Log'!$Q$6:$Q$1005,"&gt;0")&gt;0,"No losses","—"),SUMIFS('Trade Log'!$Q$6:$Q$1005,'Trade Log'!$AS$6:$AS$1005,1,'Trade Log'!$C$6:$C$1005,$B101,'Trade Log'!$Q$6:$Q$1005,"&gt;0")/-SUMIFS('Trade Log'!$Q$6:$Q$1005,'Trade Log'!$AS$6:$AS$1005,1,'Trade Log'!$C$6:$C$1005,$B101,'Trade Log'!$Q$6:$Q$1005,"&lt;0"))))</f>
        <v/>
      </c>
    </row>
    <row r="102" ht="15" customHeight="1">
      <c r="B102" s="85" t="str">
        <f>IF(Accounts!$B$10="","",Accounts!$B$10)</f>
        <v/>
      </c>
      <c r="C102" s="78" t="n"/>
      <c r="D102" s="78" t="n"/>
      <c r="E102" s="79" t="str">
        <f>IF($B102="","",COUNTIFS('Trade Log'!$AS$6:$AS$1005,1,'Trade Log'!$C$6:$C$1005,$B102))</f>
        <v/>
      </c>
      <c r="F102" s="82" t="str">
        <f>IF($B102="","",IFERROR(COUNTIFS('Trade Log'!$AS$6:$AS$1005,1,'Trade Log'!$C$6:$C$1005,$B102,'Trade Log'!$S$6:$S$1005,"Win")/(COUNTIFS('Trade Log'!$AS$6:$AS$1005,1,'Trade Log'!$C$6:$C$1005,$B102,'Trade Log'!$S$6:$S$1005,"Win")+COUNTIFS('Trade Log'!$AS$6:$AS$1005,1,'Trade Log'!$C$6:$C$1005,$B102,'Trade Log'!$S$6:$S$1005,"Loss")),"—"))</f>
        <v/>
      </c>
      <c r="G102" s="80" t="str">
        <f>IF($B102="","",SUMIFS('Trade Log'!$Q$6:$Q$1005,'Trade Log'!$AS$6:$AS$1005,1,'Trade Log'!$C$6:$C$1005,$B102))</f>
        <v/>
      </c>
      <c r="H102" s="81" t="str">
        <f>IF($B102="","",IFERROR(SUMIFS('Trade Log'!$R$6:$R$1005,'Trade Log'!$AS$6:$AS$1005,1,'Trade Log'!$C$6:$C$1005,$B102)/COUNTIFS('Trade Log'!$AS$6:$AS$1005,1,'Trade Log'!$C$6:$C$1005,$B102,'Trade Log'!$BC$6:$BC$1005,1),"—"))</f>
        <v/>
      </c>
      <c r="I102" s="91" t="str">
        <f>IF($B102="","",IF(COUNTIFS('Trade Log'!$AS$6:$AS$1005,1,'Trade Log'!$C$6:$C$1005,$B102)=0,"—",IF(SUMIFS('Trade Log'!$Q$6:$Q$1005,'Trade Log'!$AS$6:$AS$1005,1,'Trade Log'!$C$6:$C$1005,$B102,'Trade Log'!$Q$6:$Q$1005,"&lt;0")=0,IF(SUMIFS('Trade Log'!$Q$6:$Q$1005,'Trade Log'!$AS$6:$AS$1005,1,'Trade Log'!$C$6:$C$1005,$B102,'Trade Log'!$Q$6:$Q$1005,"&gt;0")&gt;0,"No losses","—"),SUMIFS('Trade Log'!$Q$6:$Q$1005,'Trade Log'!$AS$6:$AS$1005,1,'Trade Log'!$C$6:$C$1005,$B102,'Trade Log'!$Q$6:$Q$1005,"&gt;0")/-SUMIFS('Trade Log'!$Q$6:$Q$1005,'Trade Log'!$AS$6:$AS$1005,1,'Trade Log'!$C$6:$C$1005,$B102,'Trade Log'!$Q$6:$Q$1005,"&lt;0"))))</f>
        <v/>
      </c>
    </row>
    <row r="103" ht="15" customHeight="1">
      <c r="B103" s="85" t="str">
        <f>IF(Accounts!$B$11="","",Accounts!$B$11)</f>
        <v/>
      </c>
      <c r="C103" s="78" t="n"/>
      <c r="D103" s="78" t="n"/>
      <c r="E103" s="79" t="str">
        <f>IF($B103="","",COUNTIFS('Trade Log'!$AS$6:$AS$1005,1,'Trade Log'!$C$6:$C$1005,$B103))</f>
        <v/>
      </c>
      <c r="F103" s="82" t="str">
        <f>IF($B103="","",IFERROR(COUNTIFS('Trade Log'!$AS$6:$AS$1005,1,'Trade Log'!$C$6:$C$1005,$B103,'Trade Log'!$S$6:$S$1005,"Win")/(COUNTIFS('Trade Log'!$AS$6:$AS$1005,1,'Trade Log'!$C$6:$C$1005,$B103,'Trade Log'!$S$6:$S$1005,"Win")+COUNTIFS('Trade Log'!$AS$6:$AS$1005,1,'Trade Log'!$C$6:$C$1005,$B103,'Trade Log'!$S$6:$S$1005,"Loss")),"—"))</f>
        <v/>
      </c>
      <c r="G103" s="80" t="str">
        <f>IF($B103="","",SUMIFS('Trade Log'!$Q$6:$Q$1005,'Trade Log'!$AS$6:$AS$1005,1,'Trade Log'!$C$6:$C$1005,$B103))</f>
        <v/>
      </c>
      <c r="H103" s="81" t="str">
        <f>IF($B103="","",IFERROR(SUMIFS('Trade Log'!$R$6:$R$1005,'Trade Log'!$AS$6:$AS$1005,1,'Trade Log'!$C$6:$C$1005,$B103)/COUNTIFS('Trade Log'!$AS$6:$AS$1005,1,'Trade Log'!$C$6:$C$1005,$B103,'Trade Log'!$BC$6:$BC$1005,1),"—"))</f>
        <v/>
      </c>
      <c r="I103" s="91" t="str">
        <f>IF($B103="","",IF(COUNTIFS('Trade Log'!$AS$6:$AS$1005,1,'Trade Log'!$C$6:$C$1005,$B103)=0,"—",IF(SUMIFS('Trade Log'!$Q$6:$Q$1005,'Trade Log'!$AS$6:$AS$1005,1,'Trade Log'!$C$6:$C$1005,$B103,'Trade Log'!$Q$6:$Q$1005,"&lt;0")=0,IF(SUMIFS('Trade Log'!$Q$6:$Q$1005,'Trade Log'!$AS$6:$AS$1005,1,'Trade Log'!$C$6:$C$1005,$B103,'Trade Log'!$Q$6:$Q$1005,"&gt;0")&gt;0,"No losses","—"),SUMIFS('Trade Log'!$Q$6:$Q$1005,'Trade Log'!$AS$6:$AS$1005,1,'Trade Log'!$C$6:$C$1005,$B103,'Trade Log'!$Q$6:$Q$1005,"&gt;0")/-SUMIFS('Trade Log'!$Q$6:$Q$1005,'Trade Log'!$AS$6:$AS$1005,1,'Trade Log'!$C$6:$C$1005,$B103,'Trade Log'!$Q$6:$Q$1005,"&lt;0"))))</f>
        <v/>
      </c>
    </row>
    <row r="104" ht="15" customHeight="1">
      <c r="B104" s="85" t="str">
        <f>IF(Accounts!$B$12="","",Accounts!$B$12)</f>
        <v/>
      </c>
      <c r="C104" s="78" t="n"/>
      <c r="D104" s="78" t="n"/>
      <c r="E104" s="79" t="str">
        <f>IF($B104="","",COUNTIFS('Trade Log'!$AS$6:$AS$1005,1,'Trade Log'!$C$6:$C$1005,$B104))</f>
        <v/>
      </c>
      <c r="F104" s="82" t="str">
        <f>IF($B104="","",IFERROR(COUNTIFS('Trade Log'!$AS$6:$AS$1005,1,'Trade Log'!$C$6:$C$1005,$B104,'Trade Log'!$S$6:$S$1005,"Win")/(COUNTIFS('Trade Log'!$AS$6:$AS$1005,1,'Trade Log'!$C$6:$C$1005,$B104,'Trade Log'!$S$6:$S$1005,"Win")+COUNTIFS('Trade Log'!$AS$6:$AS$1005,1,'Trade Log'!$C$6:$C$1005,$B104,'Trade Log'!$S$6:$S$1005,"Loss")),"—"))</f>
        <v/>
      </c>
      <c r="G104" s="80" t="str">
        <f>IF($B104="","",SUMIFS('Trade Log'!$Q$6:$Q$1005,'Trade Log'!$AS$6:$AS$1005,1,'Trade Log'!$C$6:$C$1005,$B104))</f>
        <v/>
      </c>
      <c r="H104" s="81" t="str">
        <f>IF($B104="","",IFERROR(SUMIFS('Trade Log'!$R$6:$R$1005,'Trade Log'!$AS$6:$AS$1005,1,'Trade Log'!$C$6:$C$1005,$B104)/COUNTIFS('Trade Log'!$AS$6:$AS$1005,1,'Trade Log'!$C$6:$C$1005,$B104,'Trade Log'!$BC$6:$BC$1005,1),"—"))</f>
        <v/>
      </c>
      <c r="I104" s="91" t="str">
        <f>IF($B104="","",IF(COUNTIFS('Trade Log'!$AS$6:$AS$1005,1,'Trade Log'!$C$6:$C$1005,$B104)=0,"—",IF(SUMIFS('Trade Log'!$Q$6:$Q$1005,'Trade Log'!$AS$6:$AS$1005,1,'Trade Log'!$C$6:$C$1005,$B104,'Trade Log'!$Q$6:$Q$1005,"&lt;0")=0,IF(SUMIFS('Trade Log'!$Q$6:$Q$1005,'Trade Log'!$AS$6:$AS$1005,1,'Trade Log'!$C$6:$C$1005,$B104,'Trade Log'!$Q$6:$Q$1005,"&gt;0")&gt;0,"No losses","—"),SUMIFS('Trade Log'!$Q$6:$Q$1005,'Trade Log'!$AS$6:$AS$1005,1,'Trade Log'!$C$6:$C$1005,$B104,'Trade Log'!$Q$6:$Q$1005,"&gt;0")/-SUMIFS('Trade Log'!$Q$6:$Q$1005,'Trade Log'!$AS$6:$AS$1005,1,'Trade Log'!$C$6:$C$1005,$B104,'Trade Log'!$Q$6:$Q$1005,"&lt;0"))))</f>
        <v/>
      </c>
    </row>
    <row r="105" ht="15" customHeight="1">
      <c r="B105" s="85" t="str">
        <f>IF(Accounts!$B$13="","",Accounts!$B$13)</f>
        <v/>
      </c>
      <c r="C105" s="78" t="n"/>
      <c r="D105" s="78" t="n"/>
      <c r="E105" s="79" t="str">
        <f>IF($B105="","",COUNTIFS('Trade Log'!$AS$6:$AS$1005,1,'Trade Log'!$C$6:$C$1005,$B105))</f>
        <v/>
      </c>
      <c r="F105" s="82" t="str">
        <f>IF($B105="","",IFERROR(COUNTIFS('Trade Log'!$AS$6:$AS$1005,1,'Trade Log'!$C$6:$C$1005,$B105,'Trade Log'!$S$6:$S$1005,"Win")/(COUNTIFS('Trade Log'!$AS$6:$AS$1005,1,'Trade Log'!$C$6:$C$1005,$B105,'Trade Log'!$S$6:$S$1005,"Win")+COUNTIFS('Trade Log'!$AS$6:$AS$1005,1,'Trade Log'!$C$6:$C$1005,$B105,'Trade Log'!$S$6:$S$1005,"Loss")),"—"))</f>
        <v/>
      </c>
      <c r="G105" s="80" t="str">
        <f>IF($B105="","",SUMIFS('Trade Log'!$Q$6:$Q$1005,'Trade Log'!$AS$6:$AS$1005,1,'Trade Log'!$C$6:$C$1005,$B105))</f>
        <v/>
      </c>
      <c r="H105" s="81" t="str">
        <f>IF($B105="","",IFERROR(SUMIFS('Trade Log'!$R$6:$R$1005,'Trade Log'!$AS$6:$AS$1005,1,'Trade Log'!$C$6:$C$1005,$B105)/COUNTIFS('Trade Log'!$AS$6:$AS$1005,1,'Trade Log'!$C$6:$C$1005,$B105,'Trade Log'!$BC$6:$BC$1005,1),"—"))</f>
        <v/>
      </c>
      <c r="I105" s="91" t="str">
        <f>IF($B105="","",IF(COUNTIFS('Trade Log'!$AS$6:$AS$1005,1,'Trade Log'!$C$6:$C$1005,$B105)=0,"—",IF(SUMIFS('Trade Log'!$Q$6:$Q$1005,'Trade Log'!$AS$6:$AS$1005,1,'Trade Log'!$C$6:$C$1005,$B105,'Trade Log'!$Q$6:$Q$1005,"&lt;0")=0,IF(SUMIFS('Trade Log'!$Q$6:$Q$1005,'Trade Log'!$AS$6:$AS$1005,1,'Trade Log'!$C$6:$C$1005,$B105,'Trade Log'!$Q$6:$Q$1005,"&gt;0")&gt;0,"No losses","—"),SUMIFS('Trade Log'!$Q$6:$Q$1005,'Trade Log'!$AS$6:$AS$1005,1,'Trade Log'!$C$6:$C$1005,$B105,'Trade Log'!$Q$6:$Q$1005,"&gt;0")/-SUMIFS('Trade Log'!$Q$6:$Q$1005,'Trade Log'!$AS$6:$AS$1005,1,'Trade Log'!$C$6:$C$1005,$B105,'Trade Log'!$Q$6:$Q$1005,"&lt;0"))))</f>
        <v/>
      </c>
    </row>
    <row r="106" ht="15" customHeight="1">
      <c r="B106" s="85" t="str">
        <f>IF(Accounts!$B$14="","",Accounts!$B$14)</f>
        <v/>
      </c>
      <c r="C106" s="78" t="n"/>
      <c r="D106" s="78" t="n"/>
      <c r="E106" s="79" t="str">
        <f>IF($B106="","",COUNTIFS('Trade Log'!$AS$6:$AS$1005,1,'Trade Log'!$C$6:$C$1005,$B106))</f>
        <v/>
      </c>
      <c r="F106" s="82" t="str">
        <f>IF($B106="","",IFERROR(COUNTIFS('Trade Log'!$AS$6:$AS$1005,1,'Trade Log'!$C$6:$C$1005,$B106,'Trade Log'!$S$6:$S$1005,"Win")/(COUNTIFS('Trade Log'!$AS$6:$AS$1005,1,'Trade Log'!$C$6:$C$1005,$B106,'Trade Log'!$S$6:$S$1005,"Win")+COUNTIFS('Trade Log'!$AS$6:$AS$1005,1,'Trade Log'!$C$6:$C$1005,$B106,'Trade Log'!$S$6:$S$1005,"Loss")),"—"))</f>
        <v/>
      </c>
      <c r="G106" s="80" t="str">
        <f>IF($B106="","",SUMIFS('Trade Log'!$Q$6:$Q$1005,'Trade Log'!$AS$6:$AS$1005,1,'Trade Log'!$C$6:$C$1005,$B106))</f>
        <v/>
      </c>
      <c r="H106" s="81" t="str">
        <f>IF($B106="","",IFERROR(SUMIFS('Trade Log'!$R$6:$R$1005,'Trade Log'!$AS$6:$AS$1005,1,'Trade Log'!$C$6:$C$1005,$B106)/COUNTIFS('Trade Log'!$AS$6:$AS$1005,1,'Trade Log'!$C$6:$C$1005,$B106,'Trade Log'!$BC$6:$BC$1005,1),"—"))</f>
        <v/>
      </c>
      <c r="I106" s="91" t="str">
        <f>IF($B106="","",IF(COUNTIFS('Trade Log'!$AS$6:$AS$1005,1,'Trade Log'!$C$6:$C$1005,$B106)=0,"—",IF(SUMIFS('Trade Log'!$Q$6:$Q$1005,'Trade Log'!$AS$6:$AS$1005,1,'Trade Log'!$C$6:$C$1005,$B106,'Trade Log'!$Q$6:$Q$1005,"&lt;0")=0,IF(SUMIFS('Trade Log'!$Q$6:$Q$1005,'Trade Log'!$AS$6:$AS$1005,1,'Trade Log'!$C$6:$C$1005,$B106,'Trade Log'!$Q$6:$Q$1005,"&gt;0")&gt;0,"No losses","—"),SUMIFS('Trade Log'!$Q$6:$Q$1005,'Trade Log'!$AS$6:$AS$1005,1,'Trade Log'!$C$6:$C$1005,$B106,'Trade Log'!$Q$6:$Q$1005,"&gt;0")/-SUMIFS('Trade Log'!$Q$6:$Q$1005,'Trade Log'!$AS$6:$AS$1005,1,'Trade Log'!$C$6:$C$1005,$B106,'Trade Log'!$Q$6:$Q$1005,"&lt;0"))))</f>
        <v/>
      </c>
    </row>
    <row r="107" ht="15" customHeight="1">
      <c r="B107" s="85" t="str">
        <f>IF(Accounts!$B$15="","",Accounts!$B$15)</f>
        <v/>
      </c>
      <c r="C107" s="78" t="n"/>
      <c r="D107" s="78" t="n"/>
      <c r="E107" s="79" t="str">
        <f>IF($B107="","",COUNTIFS('Trade Log'!$AS$6:$AS$1005,1,'Trade Log'!$C$6:$C$1005,$B107))</f>
        <v/>
      </c>
      <c r="F107" s="82" t="str">
        <f>IF($B107="","",IFERROR(COUNTIFS('Trade Log'!$AS$6:$AS$1005,1,'Trade Log'!$C$6:$C$1005,$B107,'Trade Log'!$S$6:$S$1005,"Win")/(COUNTIFS('Trade Log'!$AS$6:$AS$1005,1,'Trade Log'!$C$6:$C$1005,$B107,'Trade Log'!$S$6:$S$1005,"Win")+COUNTIFS('Trade Log'!$AS$6:$AS$1005,1,'Trade Log'!$C$6:$C$1005,$B107,'Trade Log'!$S$6:$S$1005,"Loss")),"—"))</f>
        <v/>
      </c>
      <c r="G107" s="80" t="str">
        <f>IF($B107="","",SUMIFS('Trade Log'!$Q$6:$Q$1005,'Trade Log'!$AS$6:$AS$1005,1,'Trade Log'!$C$6:$C$1005,$B107))</f>
        <v/>
      </c>
      <c r="H107" s="81" t="str">
        <f>IF($B107="","",IFERROR(SUMIFS('Trade Log'!$R$6:$R$1005,'Trade Log'!$AS$6:$AS$1005,1,'Trade Log'!$C$6:$C$1005,$B107)/COUNTIFS('Trade Log'!$AS$6:$AS$1005,1,'Trade Log'!$C$6:$C$1005,$B107,'Trade Log'!$BC$6:$BC$1005,1),"—"))</f>
        <v/>
      </c>
      <c r="I107" s="91" t="str">
        <f>IF($B107="","",IF(COUNTIFS('Trade Log'!$AS$6:$AS$1005,1,'Trade Log'!$C$6:$C$1005,$B107)=0,"—",IF(SUMIFS('Trade Log'!$Q$6:$Q$1005,'Trade Log'!$AS$6:$AS$1005,1,'Trade Log'!$C$6:$C$1005,$B107,'Trade Log'!$Q$6:$Q$1005,"&lt;0")=0,IF(SUMIFS('Trade Log'!$Q$6:$Q$1005,'Trade Log'!$AS$6:$AS$1005,1,'Trade Log'!$C$6:$C$1005,$B107,'Trade Log'!$Q$6:$Q$1005,"&gt;0")&gt;0,"No losses","—"),SUMIFS('Trade Log'!$Q$6:$Q$1005,'Trade Log'!$AS$6:$AS$1005,1,'Trade Log'!$C$6:$C$1005,$B107,'Trade Log'!$Q$6:$Q$1005,"&gt;0")/-SUMIFS('Trade Log'!$Q$6:$Q$1005,'Trade Log'!$AS$6:$AS$1005,1,'Trade Log'!$C$6:$C$1005,$B107,'Trade Log'!$Q$6:$Q$1005,"&lt;0"))))</f>
        <v/>
      </c>
    </row>
    <row r="108" ht="15" customHeight="1">
      <c r="B108" s="85" t="str">
        <f>IF(Accounts!$B$16="","",Accounts!$B$16)</f>
        <v/>
      </c>
      <c r="C108" s="78" t="n"/>
      <c r="D108" s="78" t="n"/>
      <c r="E108" s="79" t="str">
        <f>IF($B108="","",COUNTIFS('Trade Log'!$AS$6:$AS$1005,1,'Trade Log'!$C$6:$C$1005,$B108))</f>
        <v/>
      </c>
      <c r="F108" s="82" t="str">
        <f>IF($B108="","",IFERROR(COUNTIFS('Trade Log'!$AS$6:$AS$1005,1,'Trade Log'!$C$6:$C$1005,$B108,'Trade Log'!$S$6:$S$1005,"Win")/(COUNTIFS('Trade Log'!$AS$6:$AS$1005,1,'Trade Log'!$C$6:$C$1005,$B108,'Trade Log'!$S$6:$S$1005,"Win")+COUNTIFS('Trade Log'!$AS$6:$AS$1005,1,'Trade Log'!$C$6:$C$1005,$B108,'Trade Log'!$S$6:$S$1005,"Loss")),"—"))</f>
        <v/>
      </c>
      <c r="G108" s="80" t="str">
        <f>IF($B108="","",SUMIFS('Trade Log'!$Q$6:$Q$1005,'Trade Log'!$AS$6:$AS$1005,1,'Trade Log'!$C$6:$C$1005,$B108))</f>
        <v/>
      </c>
      <c r="H108" s="81" t="str">
        <f>IF($B108="","",IFERROR(SUMIFS('Trade Log'!$R$6:$R$1005,'Trade Log'!$AS$6:$AS$1005,1,'Trade Log'!$C$6:$C$1005,$B108)/COUNTIFS('Trade Log'!$AS$6:$AS$1005,1,'Trade Log'!$C$6:$C$1005,$B108,'Trade Log'!$BC$6:$BC$1005,1),"—"))</f>
        <v/>
      </c>
      <c r="I108" s="91" t="str">
        <f>IF($B108="","",IF(COUNTIFS('Trade Log'!$AS$6:$AS$1005,1,'Trade Log'!$C$6:$C$1005,$B108)=0,"—",IF(SUMIFS('Trade Log'!$Q$6:$Q$1005,'Trade Log'!$AS$6:$AS$1005,1,'Trade Log'!$C$6:$C$1005,$B108,'Trade Log'!$Q$6:$Q$1005,"&lt;0")=0,IF(SUMIFS('Trade Log'!$Q$6:$Q$1005,'Trade Log'!$AS$6:$AS$1005,1,'Trade Log'!$C$6:$C$1005,$B108,'Trade Log'!$Q$6:$Q$1005,"&gt;0")&gt;0,"No losses","—"),SUMIFS('Trade Log'!$Q$6:$Q$1005,'Trade Log'!$AS$6:$AS$1005,1,'Trade Log'!$C$6:$C$1005,$B108,'Trade Log'!$Q$6:$Q$1005,"&gt;0")/-SUMIFS('Trade Log'!$Q$6:$Q$1005,'Trade Log'!$AS$6:$AS$1005,1,'Trade Log'!$C$6:$C$1005,$B108,'Trade Log'!$Q$6:$Q$1005,"&lt;0"))))</f>
        <v/>
      </c>
    </row>
    <row r="109" ht="15" customHeight="1"/>
    <row r="110" ht="15" customHeight="1"/>
    <row r="111" ht="18" customHeight="1">
      <c r="B111" s="11" t="inlineStr">
        <is>
          <t>NET P&amp;L BY WEEKDAY</t>
        </is>
      </c>
      <c r="C111" s="12" t="n"/>
      <c r="D111" s="12" t="n"/>
      <c r="E111" s="12" t="n"/>
      <c r="F111" s="12" t="n"/>
      <c r="G111" s="12" t="n"/>
      <c r="H111" s="12" t="n"/>
      <c r="I111" s="12" t="n"/>
      <c r="J111" s="11" t="inlineStr">
        <is>
          <t>NET P&amp;L BY EMOTION</t>
        </is>
      </c>
      <c r="K111" s="12" t="n"/>
      <c r="L111" s="12" t="n"/>
      <c r="M111" s="12" t="n"/>
      <c r="N111" s="12" t="n"/>
      <c r="O111" s="12" t="n"/>
      <c r="P111" s="12" t="n"/>
      <c r="Q111" s="12" t="n"/>
    </row>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sheetData>
  <mergeCells count="190">
    <mergeCell ref="B42:D42"/>
    <mergeCell ref="B60:D60"/>
    <mergeCell ref="F36:H36"/>
    <mergeCell ref="N11:O11"/>
    <mergeCell ref="J97:Q97"/>
    <mergeCell ref="F45:H45"/>
    <mergeCell ref="H10:I10"/>
    <mergeCell ref="B57:D57"/>
    <mergeCell ref="J74:L74"/>
    <mergeCell ref="J10:K10"/>
    <mergeCell ref="J27:L27"/>
    <mergeCell ref="O15:P15"/>
    <mergeCell ref="J35:L35"/>
    <mergeCell ref="J5:Q7"/>
    <mergeCell ref="B44:D44"/>
    <mergeCell ref="J13:Q13"/>
    <mergeCell ref="H9:I9"/>
    <mergeCell ref="J18:M18"/>
    <mergeCell ref="B34:D34"/>
    <mergeCell ref="J9:K9"/>
    <mergeCell ref="D6:E6"/>
    <mergeCell ref="B70:I70"/>
    <mergeCell ref="B37:D37"/>
    <mergeCell ref="B108:D108"/>
    <mergeCell ref="J17:M17"/>
    <mergeCell ref="N28:P28"/>
    <mergeCell ref="J66:L66"/>
    <mergeCell ref="B84:D84"/>
    <mergeCell ref="B111:I111"/>
    <mergeCell ref="J75:L75"/>
    <mergeCell ref="J24:Q24"/>
    <mergeCell ref="B92:D92"/>
    <mergeCell ref="J50:L50"/>
    <mergeCell ref="F39:H39"/>
    <mergeCell ref="J19:M19"/>
    <mergeCell ref="N30:P30"/>
    <mergeCell ref="J70:Q70"/>
    <mergeCell ref="O16:P16"/>
    <mergeCell ref="J46:L46"/>
    <mergeCell ref="B80:D80"/>
    <mergeCell ref="D7:E7"/>
    <mergeCell ref="J26:Q26"/>
    <mergeCell ref="B94:D94"/>
    <mergeCell ref="J61:L61"/>
    <mergeCell ref="J92:L92"/>
    <mergeCell ref="J39:L39"/>
    <mergeCell ref="J48:L48"/>
    <mergeCell ref="B62:D62"/>
    <mergeCell ref="J72:L72"/>
    <mergeCell ref="J29:L29"/>
    <mergeCell ref="B72:D72"/>
    <mergeCell ref="O17:P17"/>
    <mergeCell ref="J38:L38"/>
    <mergeCell ref="B56:D56"/>
    <mergeCell ref="J33:Q33"/>
    <mergeCell ref="J87:L87"/>
    <mergeCell ref="B105:D105"/>
    <mergeCell ref="B43:D43"/>
    <mergeCell ref="J40:L40"/>
    <mergeCell ref="B98:D98"/>
    <mergeCell ref="D10:E10"/>
    <mergeCell ref="J89:L89"/>
    <mergeCell ref="F10:G10"/>
    <mergeCell ref="B107:D107"/>
    <mergeCell ref="F41:H41"/>
    <mergeCell ref="J65:L65"/>
    <mergeCell ref="P10:Q10"/>
    <mergeCell ref="F35:H35"/>
    <mergeCell ref="B73:D73"/>
    <mergeCell ref="B88:D88"/>
    <mergeCell ref="F6:G6"/>
    <mergeCell ref="B82:D82"/>
    <mergeCell ref="P9:Q9"/>
    <mergeCell ref="J63:L63"/>
    <mergeCell ref="J23:M23"/>
    <mergeCell ref="B86:I86"/>
    <mergeCell ref="B11:C11"/>
    <mergeCell ref="B99:D99"/>
    <mergeCell ref="D11:E11"/>
    <mergeCell ref="F5:G5"/>
    <mergeCell ref="B74:D74"/>
    <mergeCell ref="J91:L91"/>
    <mergeCell ref="P11:Q11"/>
    <mergeCell ref="B68:D68"/>
    <mergeCell ref="B83:D83"/>
    <mergeCell ref="J43:L43"/>
    <mergeCell ref="B13:I13"/>
    <mergeCell ref="H11:I11"/>
    <mergeCell ref="J55:Q55"/>
    <mergeCell ref="B36:D36"/>
    <mergeCell ref="J11:K11"/>
    <mergeCell ref="B76:D76"/>
    <mergeCell ref="O21:P21"/>
    <mergeCell ref="B45:D45"/>
    <mergeCell ref="J42:L42"/>
    <mergeCell ref="B100:D100"/>
    <mergeCell ref="B75:D75"/>
    <mergeCell ref="D9:E9"/>
    <mergeCell ref="J44:L44"/>
    <mergeCell ref="F9:G9"/>
    <mergeCell ref="J67:L67"/>
    <mergeCell ref="B6:C6"/>
    <mergeCell ref="B59:D59"/>
    <mergeCell ref="J28:L28"/>
    <mergeCell ref="B33:I33"/>
    <mergeCell ref="B102:D102"/>
    <mergeCell ref="J37:L37"/>
    <mergeCell ref="J60:L60"/>
    <mergeCell ref="J20:M20"/>
    <mergeCell ref="F40:H40"/>
    <mergeCell ref="J78:L78"/>
    <mergeCell ref="B39:D39"/>
    <mergeCell ref="J30:L30"/>
    <mergeCell ref="J22:M22"/>
    <mergeCell ref="B7:C7"/>
    <mergeCell ref="O19:P19"/>
    <mergeCell ref="J21:M21"/>
    <mergeCell ref="B78:D78"/>
    <mergeCell ref="B87:D87"/>
    <mergeCell ref="F7:G7"/>
    <mergeCell ref="F38:H38"/>
    <mergeCell ref="O20:P20"/>
    <mergeCell ref="F43:H43"/>
    <mergeCell ref="J47:L47"/>
    <mergeCell ref="B65:D65"/>
    <mergeCell ref="J56:L56"/>
    <mergeCell ref="F37:H37"/>
    <mergeCell ref="J90:L90"/>
    <mergeCell ref="O22:P22"/>
    <mergeCell ref="J71:L71"/>
    <mergeCell ref="B63:D63"/>
    <mergeCell ref="J86:Q86"/>
    <mergeCell ref="B41:D41"/>
    <mergeCell ref="J58:L58"/>
    <mergeCell ref="J76:L76"/>
    <mergeCell ref="L10:M10"/>
    <mergeCell ref="B35:D35"/>
    <mergeCell ref="N10:O10"/>
    <mergeCell ref="N27:P27"/>
    <mergeCell ref="F44:H44"/>
    <mergeCell ref="B9:C9"/>
    <mergeCell ref="J73:L73"/>
    <mergeCell ref="B91:D91"/>
    <mergeCell ref="L9:M9"/>
    <mergeCell ref="F34:H34"/>
    <mergeCell ref="N9:O9"/>
    <mergeCell ref="J57:L57"/>
    <mergeCell ref="B66:D66"/>
    <mergeCell ref="B55:I55"/>
    <mergeCell ref="B5:C5"/>
    <mergeCell ref="B93:D93"/>
    <mergeCell ref="D5:E5"/>
    <mergeCell ref="O23:P23"/>
    <mergeCell ref="J59:L59"/>
    <mergeCell ref="L11:M11"/>
    <mergeCell ref="J16:M16"/>
    <mergeCell ref="B77:D77"/>
    <mergeCell ref="B97:I97"/>
    <mergeCell ref="F11:G11"/>
    <mergeCell ref="J49:L49"/>
    <mergeCell ref="F42:H42"/>
    <mergeCell ref="B67:D67"/>
    <mergeCell ref="J111:Q111"/>
    <mergeCell ref="B61:D61"/>
    <mergeCell ref="J36:L36"/>
    <mergeCell ref="B101:D101"/>
    <mergeCell ref="O18:P18"/>
    <mergeCell ref="B38:D38"/>
    <mergeCell ref="B103:D103"/>
    <mergeCell ref="J94:L94"/>
    <mergeCell ref="N29:P29"/>
    <mergeCell ref="B40:D40"/>
    <mergeCell ref="J14:M14"/>
    <mergeCell ref="B64:D64"/>
    <mergeCell ref="B89:D89"/>
    <mergeCell ref="B104:D104"/>
    <mergeCell ref="J62:L62"/>
    <mergeCell ref="B79:D79"/>
    <mergeCell ref="B10:C10"/>
    <mergeCell ref="B106:D106"/>
    <mergeCell ref="J15:M15"/>
    <mergeCell ref="J64:L64"/>
    <mergeCell ref="B81:D81"/>
    <mergeCell ref="B90:D90"/>
    <mergeCell ref="B71:D71"/>
    <mergeCell ref="J88:L88"/>
    <mergeCell ref="O14:P14"/>
    <mergeCell ref="B58:D58"/>
    <mergeCell ref="J93:L93"/>
    <mergeCell ref="J77:L77"/>
  </mergeCells>
  <conditionalFormatting sqref="B10">
    <cfRule type="cellIs" priority="1" operator="lessThan" dxfId="7">
      <formula>0</formula>
    </cfRule>
    <cfRule type="cellIs" priority="2" operator="greaterThan" dxfId="8">
      <formula>0</formula>
    </cfRule>
  </conditionalFormatting>
  <conditionalFormatting sqref="H10">
    <cfRule type="cellIs" priority="3" operator="lessThan" dxfId="7">
      <formula>0</formula>
    </cfRule>
    <cfRule type="cellIs" priority="4" operator="greaterThan" dxfId="8">
      <formula>0</formula>
    </cfRule>
  </conditionalFormatting>
  <conditionalFormatting sqref="N10">
    <cfRule type="cellIs" priority="5" operator="lessThan" dxfId="7">
      <formula>0</formula>
    </cfRule>
    <cfRule type="cellIs" priority="6" operator="greaterThan" dxfId="8">
      <formula>0</formula>
    </cfRule>
  </conditionalFormatting>
  <conditionalFormatting sqref="O15:P23">
    <cfRule type="cellIs" priority="7" operator="lessThan" dxfId="9">
      <formula>0</formula>
    </cfRule>
    <cfRule type="cellIs" priority="8" operator="greaterThan" dxfId="2">
      <formula>0</formula>
    </cfRule>
  </conditionalFormatting>
  <conditionalFormatting sqref="M29:M30">
    <cfRule type="cellIs" priority="9" operator="lessThan" dxfId="9">
      <formula>0</formula>
    </cfRule>
    <cfRule type="cellIs" priority="10" operator="greaterThan" dxfId="2">
      <formula>0</formula>
    </cfRule>
  </conditionalFormatting>
  <conditionalFormatting sqref="Q30">
    <cfRule type="cellIs" priority="11" operator="lessThan" dxfId="9">
      <formula>0</formula>
    </cfRule>
    <cfRule type="cellIs" priority="12" operator="greaterThan" dxfId="2">
      <formula>0</formula>
    </cfRule>
  </conditionalFormatting>
  <conditionalFormatting sqref="I36">
    <cfRule type="cellIs" priority="13" operator="lessThan" dxfId="9">
      <formula>0</formula>
    </cfRule>
    <cfRule type="cellIs" priority="14" operator="greaterThan" dxfId="2">
      <formula>0</formula>
    </cfRule>
  </conditionalFormatting>
  <conditionalFormatting sqref="E37:E38">
    <cfRule type="cellIs" priority="15" operator="lessThan" dxfId="9">
      <formula>0</formula>
    </cfRule>
    <cfRule type="cellIs" priority="16" operator="greaterThan" dxfId="2">
      <formula>0</formula>
    </cfRule>
  </conditionalFormatting>
  <conditionalFormatting sqref="I37:I38">
    <cfRule type="cellIs" priority="17" operator="lessThan" dxfId="9">
      <formula>0</formula>
    </cfRule>
    <cfRule type="cellIs" priority="18" operator="greaterThan" dxfId="2">
      <formula>0</formula>
    </cfRule>
  </conditionalFormatting>
  <conditionalFormatting sqref="E40:E42">
    <cfRule type="cellIs" priority="19" operator="lessThan" dxfId="9">
      <formula>0</formula>
    </cfRule>
    <cfRule type="cellIs" priority="20" operator="greaterThan" dxfId="2">
      <formula>0</formula>
    </cfRule>
  </conditionalFormatting>
  <conditionalFormatting sqref="I40:I42">
    <cfRule type="cellIs" priority="21" operator="lessThan" dxfId="9">
      <formula>0</formula>
    </cfRule>
    <cfRule type="cellIs" priority="22" operator="greaterThan" dxfId="2">
      <formula>0</formula>
    </cfRule>
  </conditionalFormatting>
  <conditionalFormatting sqref="G57:G68">
    <cfRule type="cellIs" priority="23" operator="lessThan" dxfId="9">
      <formula>0</formula>
    </cfRule>
    <cfRule type="cellIs" priority="24" operator="greaterThan" dxfId="2">
      <formula>0</formula>
    </cfRule>
  </conditionalFormatting>
  <conditionalFormatting sqref="O57:O67">
    <cfRule type="cellIs" priority="25" operator="lessThan" dxfId="9">
      <formula>0</formula>
    </cfRule>
    <cfRule type="cellIs" priority="26" operator="greaterThan" dxfId="2">
      <formula>0</formula>
    </cfRule>
  </conditionalFormatting>
  <conditionalFormatting sqref="G72:G84">
    <cfRule type="cellIs" priority="27" operator="lessThan" dxfId="9">
      <formula>0</formula>
    </cfRule>
    <cfRule type="cellIs" priority="28" operator="greaterThan" dxfId="2">
      <formula>0</formula>
    </cfRule>
  </conditionalFormatting>
  <conditionalFormatting sqref="O72:O78">
    <cfRule type="cellIs" priority="29" operator="lessThan" dxfId="9">
      <formula>0</formula>
    </cfRule>
    <cfRule type="cellIs" priority="30" operator="greaterThan" dxfId="2">
      <formula>0</formula>
    </cfRule>
  </conditionalFormatting>
  <conditionalFormatting sqref="G88:G94">
    <cfRule type="cellIs" priority="31" operator="lessThan" dxfId="9">
      <formula>0</formula>
    </cfRule>
    <cfRule type="cellIs" priority="32" operator="greaterThan" dxfId="2">
      <formula>0</formula>
    </cfRule>
  </conditionalFormatting>
  <conditionalFormatting sqref="O88:O94">
    <cfRule type="cellIs" priority="33" operator="lessThan" dxfId="9">
      <formula>0</formula>
    </cfRule>
    <cfRule type="cellIs" priority="34" operator="greaterThan" dxfId="2">
      <formula>0</formula>
    </cfRule>
  </conditionalFormatting>
  <conditionalFormatting sqref="G99:G108">
    <cfRule type="cellIs" priority="35" operator="lessThan" dxfId="9">
      <formula>0</formula>
    </cfRule>
    <cfRule type="cellIs" priority="36" operator="greaterThan" dxfId="2">
      <formula>0</formula>
    </cfRule>
  </conditionalFormatting>
  <conditionalFormatting sqref="O36:O37">
    <cfRule type="cellIs" priority="37" operator="lessThan" dxfId="9">
      <formula>0</formula>
    </cfRule>
    <cfRule type="cellIs" priority="38" operator="greaterThan" dxfId="2">
      <formula>0</formula>
    </cfRule>
  </conditionalFormatting>
  <conditionalFormatting sqref="O43:O44">
    <cfRule type="cellIs" priority="39" operator="lessThan" dxfId="9">
      <formula>0</formula>
    </cfRule>
    <cfRule type="cellIs" priority="40" operator="greaterThan" dxfId="2">
      <formula>0</formula>
    </cfRule>
  </conditionalFormatting>
  <conditionalFormatting sqref="O47:O49">
    <cfRule type="cellIs" priority="41" operator="lessThan" dxfId="9">
      <formula>0</formula>
    </cfRule>
    <cfRule type="cellIs" priority="42" operator="greaterThan" dxfId="2">
      <formula>0</formula>
    </cfRule>
  </conditionalFormatting>
  <conditionalFormatting sqref="Q36:Q39">
    <cfRule type="cellIs" priority="43" operator="lessThan" dxfId="9">
      <formula>0</formula>
    </cfRule>
    <cfRule type="cellIs" priority="44" operator="greaterThan" dxfId="2">
      <formula>0</formula>
    </cfRule>
  </conditionalFormatting>
  <dataValidations count="3">
    <dataValidation sqref="D5" showDropDown="0" showInputMessage="0" showErrorMessage="1" allowBlank="1" type="list">
      <formula1>=Lists!$H$6:$H$13</formula1>
    </dataValidation>
    <dataValidation sqref="D6" showDropDown="0" showInputMessage="0" showErrorMessage="1" allowBlank="1" type="list">
      <formula1>=Lists!$E$6:$E$16</formula1>
    </dataValidation>
    <dataValidation sqref="D7" showDropDown="0" showInputMessage="0" showErrorMessage="1" allowBlank="1" type="list">
      <formula1>=Lists!$F$6:$F$11</formula1>
    </dataValidation>
  </dataValidations>
  <pageMargins left="0.3" right="0.3" top="0.4" bottom="0.4"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00B3261E"/>
    <outlinePr summaryBelow="1" summaryRight="1"/>
    <pageSetUpPr fitToPage="1"/>
  </sheetPr>
  <dimension ref="B2:Y2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10" customWidth="1" min="3" max="3"/>
    <col width="17" customWidth="1" min="4" max="4"/>
    <col width="12" customWidth="1" min="5" max="5"/>
    <col width="11" customWidth="1" min="6" max="6"/>
    <col width="11" customWidth="1" min="7" max="7"/>
    <col width="20" customWidth="1" min="8" max="8"/>
    <col width="12" customWidth="1" min="9" max="9"/>
    <col width="11" customWidth="1" min="10" max="10"/>
    <col width="12" customWidth="1" min="11" max="11"/>
    <col width="8" customWidth="1" min="12" max="12"/>
    <col width="12" customWidth="1" min="13" max="13"/>
    <col width="13" customWidth="1" min="14" max="14"/>
    <col width="13" customWidth="1" min="15" max="15"/>
    <col width="13" customWidth="1" min="16" max="16"/>
    <col width="12"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30" customWidth="1" min="25" max="25"/>
  </cols>
  <sheetData>
    <row r="2">
      <c r="B2" s="9" t="inlineStr">
        <is>
          <t>ACCOUNTS &amp; PROP-FIRM TRACKER</t>
        </is>
      </c>
    </row>
    <row r="3">
      <c r="B3" s="10" t="inlineStr">
        <is>
          <t>One row per account. Prop traders: enter your firm's rules and watch the room you have left before you break one.</t>
        </is>
      </c>
    </row>
    <row r="4" ht="30" customHeight="1">
      <c r="B4" s="22" t="inlineStr">
        <is>
          <t>⚠ Firms calculate drawdown differently (end of day vs. intraday, with or without open trades). This tracker uses your CLOSED trades only, so your real room can be smaller. Your firm's dashboard is the final word. The two rows below are EXAMPLES — replace them.</t>
        </is>
      </c>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3" t="n"/>
      <c r="Y4" s="23" t="n"/>
    </row>
    <row r="5">
      <c r="B5" s="31" t="inlineStr">
        <is>
          <t>YOUR ACCOUNT RULES  (type here)</t>
        </is>
      </c>
      <c r="C5" s="32" t="n"/>
      <c r="D5" s="32" t="n"/>
      <c r="E5" s="32" t="n"/>
      <c r="F5" s="32" t="n"/>
      <c r="G5" s="32" t="n"/>
      <c r="H5" s="32" t="n"/>
      <c r="I5" s="32" t="n"/>
      <c r="J5" s="32" t="n"/>
      <c r="K5" s="32" t="n"/>
      <c r="L5" s="33" t="inlineStr">
        <is>
          <t>LIVE TRACKER  (automatic)</t>
        </is>
      </c>
      <c r="M5" s="34" t="n"/>
      <c r="N5" s="34" t="n"/>
      <c r="O5" s="34" t="n"/>
      <c r="P5" s="34" t="n"/>
      <c r="Q5" s="34" t="n"/>
      <c r="R5" s="34" t="n"/>
      <c r="S5" s="34" t="n"/>
      <c r="T5" s="34" t="n"/>
      <c r="U5" s="34" t="n"/>
      <c r="V5" s="34" t="n"/>
      <c r="W5" s="34" t="n"/>
      <c r="X5" s="34" t="n"/>
      <c r="Y5" s="34" t="n"/>
    </row>
    <row r="6" ht="52" customHeight="1">
      <c r="B6" s="15" t="inlineStr">
        <is>
          <t>Account name</t>
        </is>
      </c>
      <c r="C6" s="15" t="inlineStr">
        <is>
          <t>Market</t>
        </is>
      </c>
      <c r="D6" s="15" t="inlineStr">
        <is>
          <t>Type</t>
        </is>
      </c>
      <c r="E6" s="15" t="inlineStr">
        <is>
          <t>Starting
balance</t>
        </is>
      </c>
      <c r="F6" s="15" t="inlineStr">
        <is>
          <t>Profit
target ($)</t>
        </is>
      </c>
      <c r="G6" s="15" t="inlineStr">
        <is>
          <t>Max
drawdown ($)</t>
        </is>
      </c>
      <c r="H6" s="15" t="inlineStr">
        <is>
          <t>Drawdown type</t>
        </is>
      </c>
      <c r="I6" s="15" t="inlineStr">
        <is>
          <t>Trailing stops
at (balance)</t>
        </is>
      </c>
      <c r="J6" s="15" t="inlineStr">
        <is>
          <t>Daily loss
limit ($)</t>
        </is>
      </c>
      <c r="K6" s="15" t="inlineStr">
        <is>
          <t>Consistency
(max % from
best day)</t>
        </is>
      </c>
      <c r="L6" s="15" t="inlineStr">
        <is>
          <t>Trades</t>
        </is>
      </c>
      <c r="M6" s="15" t="inlineStr">
        <is>
          <t>Net P&amp;L</t>
        </is>
      </c>
      <c r="N6" s="15" t="inlineStr">
        <is>
          <t>Balance now</t>
        </is>
      </c>
      <c r="O6" s="15" t="inlineStr">
        <is>
          <t>High-water
mark</t>
        </is>
      </c>
      <c r="P6" s="15" t="inlineStr">
        <is>
          <t>Drawdown
floor</t>
        </is>
      </c>
      <c r="Q6" s="15" t="inlineStr">
        <is>
          <t>Room to
floor ($)</t>
        </is>
      </c>
      <c r="R6" s="15" t="inlineStr">
        <is>
          <t>Drawdown
used</t>
        </is>
      </c>
      <c r="S6" s="15" t="inlineStr">
        <is>
          <t>Today's
P&amp;L</t>
        </is>
      </c>
      <c r="T6" s="15" t="inlineStr">
        <is>
          <t>Daily room
left</t>
        </is>
      </c>
      <c r="U6" s="15" t="inlineStr">
        <is>
          <t>Worst day</t>
        </is>
      </c>
      <c r="V6" s="15" t="inlineStr">
        <is>
          <t>Best day</t>
        </is>
      </c>
      <c r="W6" s="15" t="inlineStr">
        <is>
          <t>Best day %
of profit</t>
        </is>
      </c>
      <c r="X6" s="15" t="inlineStr">
        <is>
          <t>Target
progress</t>
        </is>
      </c>
      <c r="Y6" s="15" t="inlineStr">
        <is>
          <t>Status</t>
        </is>
      </c>
    </row>
    <row r="7" ht="22" customHeight="1">
      <c r="B7" s="93" t="inlineStr">
        <is>
          <t>Prop Eval 50K</t>
        </is>
      </c>
      <c r="C7" s="17" t="inlineStr">
        <is>
          <t>Futures</t>
        </is>
      </c>
      <c r="D7" s="17" t="inlineStr">
        <is>
          <t>Prop - Evaluation</t>
        </is>
      </c>
      <c r="E7" s="94" t="n">
        <v>50000</v>
      </c>
      <c r="F7" s="94" t="n">
        <v>3000</v>
      </c>
      <c r="G7" s="94" t="n">
        <v>2000</v>
      </c>
      <c r="H7" s="17" t="inlineStr">
        <is>
          <t>Trailing - end of day</t>
        </is>
      </c>
      <c r="I7" s="94" t="n">
        <v>50000</v>
      </c>
      <c r="J7" s="94" t="n">
        <v>1000</v>
      </c>
      <c r="K7" s="95" t="n">
        <v>0.5</v>
      </c>
      <c r="L7" s="96">
        <f>IF($B7="","",COUNTIFS('Trade Log'!$C$6:$C$1005,$B7,'Trade Log'!$BH$6:$BH$1005,1))</f>
        <v>22</v>
      </c>
      <c r="M7" s="97">
        <f>IF($B7="","",SUMIFS('Trade Log'!$Q$6:$Q$1005,'Trade Log'!$C$6:$C$1005,$B7))</f>
        <v>987</v>
      </c>
      <c r="N7" s="98">
        <f>IF($B7="","",N($E7)+$M7)</f>
        <v>50987</v>
      </c>
      <c r="O7" s="97">
        <f>IF($B7="","",IF($H7="Trailing - end of day",MAX(N($E7),_xlfn.MAXIFS('Trade Log'!$AR$6:$AR$1005,'Trade Log'!$C$6:$C$1005,$B7)),MAX(N($E7),_xlfn.MAXIFS('Trade Log'!$AP$6:$AP$1005,'Trade Log'!$C$6:$C$1005,$B7))))</f>
        <v>50987</v>
      </c>
      <c r="P7" s="97">
        <f>IF(OR($B7="",NOT(ISNUMBER($G7))),"",IF(OR($H7="Static",$H7=""),N($E7)-$G7,IF(ISNUMBER($I7),MIN($O7-$G7,$I7),$O7-$G7)))</f>
        <v>48987</v>
      </c>
      <c r="Q7" s="98">
        <f>IF(NOT(ISNUMBER($P7)),"",$N7-$P7)</f>
        <v>2000</v>
      </c>
      <c r="R7" s="99">
        <f>IF(OR(NOT(ISNUMBER($Q7)),N($G7)&lt;=0),"",MAX(0,1-$Q7/$G7))</f>
        <v>0</v>
      </c>
      <c r="S7" s="97">
        <f>IF($B7="","",SUMIFS('Trade Log'!$Q$6:$Q$1005,'Trade Log'!$C$6:$C$1005,$B7,'Trade Log'!$A$6:$A$1005,TODAY()))</f>
        <v>0</v>
      </c>
      <c r="T7" s="97">
        <f>IF(OR($B7="",NOT(ISNUMBER($J7))),"",$J7+MIN(0,$S7))</f>
        <v>1000</v>
      </c>
      <c r="U7" s="97">
        <f>IF(OR($B7="",N($L7)=0),"",_xlfn.MINIFS('Trade Log'!$AQ$6:$AQ$1005,'Trade Log'!$C$6:$C$1005,$B7))</f>
        <v>-395.5</v>
      </c>
      <c r="V7" s="97">
        <f>IF(OR($B7="",N($L7)=0),"",_xlfn.MAXIFS('Trade Log'!$AQ$6:$AQ$1005,'Trade Log'!$C$6:$C$1005,$B7))</f>
        <v>397</v>
      </c>
      <c r="W7" s="99">
        <f>IF(OR($B7="",N($L7)=0),"",IF($M7&gt;0,MAX(0,$V7)/$M7,""))</f>
        <v>0.402228976697062</v>
      </c>
      <c r="X7" s="99">
        <f>IF(OR($B7="",NOT(ISNUMBER($F7))),"",IF($F7=0,"",$M7/$F7))</f>
        <v>0.329</v>
      </c>
      <c r="Y7" s="100" t="str">
        <f>IF($B7="","",IF(N($L7)=0,"No trades yet",IF(AND(ISNUMBER($P7),N($N7)&lt;=N($P7)),"BREACHED - drawdown",IF(AND(ISNUMBER($J7),ISNUMBER($U7),N($U7)&lt;=-N($J7)),"BREACHED - daily limit",IF(AND(ISNUMBER($F7),N($M7)&gt;=N($F7),OR(NOT(ISNUMBER($K7)),N($W7)&lt;=N($K7))),"TARGET HIT",IF(AND(ISNUMBER($F7),N($M7)&gt;=N($F7)),"Target hit - consistency not met yet",IF(AND(ISNUMBER($R7),N($R7)&gt;=0.75),"CAUTION - 75%+ of drawdown used",IF(AND(ISNUMBER($K7),ISNUMBER($W7),N($W7)&gt;N($K7)),"Consistency: best day too big","Active"))))))))</f>
        <v>Active</v>
      </c>
    </row>
    <row r="8" ht="22" customHeight="1">
      <c r="B8" s="93" t="inlineStr">
        <is>
          <t>Crypto Main</t>
        </is>
      </c>
      <c r="C8" s="17" t="inlineStr">
        <is>
          <t>Crypto</t>
        </is>
      </c>
      <c r="D8" s="17" t="inlineStr">
        <is>
          <t>Personal</t>
        </is>
      </c>
      <c r="E8" s="94" t="n">
        <v>5000</v>
      </c>
      <c r="F8" s="94" t="n"/>
      <c r="G8" s="94" t="n"/>
      <c r="H8" s="17" t="n"/>
      <c r="I8" s="94" t="n"/>
      <c r="J8" s="94" t="n"/>
      <c r="K8" s="95" t="n"/>
      <c r="L8" s="96">
        <f>IF($B8="","",COUNTIFS('Trade Log'!$C$6:$C$1005,$B8,'Trade Log'!$BH$6:$BH$1005,1))</f>
        <v>6</v>
      </c>
      <c r="M8" s="97">
        <f>IF($B8="","",SUMIFS('Trade Log'!$Q$6:$Q$1005,'Trade Log'!$C$6:$C$1005,$B8))</f>
        <v>200.10688</v>
      </c>
      <c r="N8" s="98">
        <f>IF($B8="","",N($E8)+$M8)</f>
        <v>5200.10688</v>
      </c>
      <c r="O8" s="97">
        <f>IF($B8="","",IF($H8="Trailing - end of day",MAX(N($E8),_xlfn.MAXIFS('Trade Log'!$AR$6:$AR$1005,'Trade Log'!$C$6:$C$1005,$B8)),MAX(N($E8),_xlfn.MAXIFS('Trade Log'!$AP$6:$AP$1005,'Trade Log'!$C$6:$C$1005,$B8))))</f>
        <v>5200.10688</v>
      </c>
      <c r="P8" s="97" t="str">
        <f>IF(OR($B8="",NOT(ISNUMBER($G8))),"",IF(OR($H8="Static",$H8=""),N($E8)-$G8,IF(ISNUMBER($I8),MIN($O8-$G8,$I8),$O8-$G8)))</f>
        <v/>
      </c>
      <c r="Q8" s="98" t="str">
        <f>IF(NOT(ISNUMBER($P8)),"",$N8-$P8)</f>
        <v/>
      </c>
      <c r="R8" s="99" t="str">
        <f>IF(OR(NOT(ISNUMBER($Q8)),N($G8)&lt;=0),"",MAX(0,1-$Q8/$G8))</f>
        <v/>
      </c>
      <c r="S8" s="97">
        <f>IF($B8="","",SUMIFS('Trade Log'!$Q$6:$Q$1005,'Trade Log'!$C$6:$C$1005,$B8,'Trade Log'!$A$6:$A$1005,TODAY()))</f>
        <v>0</v>
      </c>
      <c r="T8" s="97" t="str">
        <f>IF(OR($B8="",NOT(ISNUMBER($J8))),"",$J8+MIN(0,$S8))</f>
        <v/>
      </c>
      <c r="U8" s="97">
        <f>IF(OR($B8="",N($L8)=0),"",_xlfn.MINIFS('Trade Log'!$AQ$6:$AQ$1005,'Trade Log'!$C$6:$C$1005,$B8))</f>
        <v>-55.1</v>
      </c>
      <c r="V8" s="97">
        <f>IF(OR($B8="",N($L8)=0),"",_xlfn.MAXIFS('Trade Log'!$AQ$6:$AQ$1005,'Trade Log'!$C$6:$C$1005,$B8))</f>
        <v>100.28688</v>
      </c>
      <c r="W8" s="99">
        <f>IF(OR($B8="",N($L8)=0),"",IF($M8&gt;0,MAX(0,$V8)/$M8,""))</f>
        <v>0.501166576581475</v>
      </c>
      <c r="X8" s="99" t="str">
        <f>IF(OR($B8="",NOT(ISNUMBER($F8))),"",IF($F8=0,"",$M8/$F8))</f>
        <v/>
      </c>
      <c r="Y8" s="100" t="str">
        <f>IF($B8="","",IF(N($L8)=0,"No trades yet",IF(AND(ISNUMBER($P8),N($N8)&lt;=N($P8)),"BREACHED - drawdown",IF(AND(ISNUMBER($J8),ISNUMBER($U8),N($U8)&lt;=-N($J8)),"BREACHED - daily limit",IF(AND(ISNUMBER($F8),N($M8)&gt;=N($F8),OR(NOT(ISNUMBER($K8)),N($W8)&lt;=N($K8))),"TARGET HIT",IF(AND(ISNUMBER($F8),N($M8)&gt;=N($F8)),"Target hit - consistency not met yet",IF(AND(ISNUMBER($R8),N($R8)&gt;=0.75),"CAUTION - 75%+ of drawdown used",IF(AND(ISNUMBER($K8),ISNUMBER($W8),N($W8)&gt;N($K8)),"Consistency: best day too big","Active"))))))))</f>
        <v>Active</v>
      </c>
    </row>
    <row r="9" ht="22" customHeight="1">
      <c r="B9" s="93" t="n"/>
      <c r="C9" s="17" t="n"/>
      <c r="D9" s="17" t="n"/>
      <c r="E9" s="94" t="n"/>
      <c r="F9" s="94" t="n"/>
      <c r="G9" s="94" t="n"/>
      <c r="H9" s="17" t="n"/>
      <c r="I9" s="94" t="n"/>
      <c r="J9" s="94" t="n"/>
      <c r="K9" s="95" t="n"/>
      <c r="L9" s="96" t="str">
        <f>IF($B9="","",COUNTIFS('Trade Log'!$C$6:$C$1005,$B9,'Trade Log'!$BH$6:$BH$1005,1))</f>
        <v/>
      </c>
      <c r="M9" s="97" t="str">
        <f>IF($B9="","",SUMIFS('Trade Log'!$Q$6:$Q$1005,'Trade Log'!$C$6:$C$1005,$B9))</f>
        <v/>
      </c>
      <c r="N9" s="98" t="str">
        <f>IF($B9="","",N($E9)+$M9)</f>
        <v/>
      </c>
      <c r="O9" s="97" t="str">
        <f>IF($B9="","",IF($H9="Trailing - end of day",MAX(N($E9),_xlfn.MAXIFS('Trade Log'!$AR$6:$AR$1005,'Trade Log'!$C$6:$C$1005,$B9)),MAX(N($E9),_xlfn.MAXIFS('Trade Log'!$AP$6:$AP$1005,'Trade Log'!$C$6:$C$1005,$B9))))</f>
        <v/>
      </c>
      <c r="P9" s="97" t="str">
        <f>IF(OR($B9="",NOT(ISNUMBER($G9))),"",IF(OR($H9="Static",$H9=""),N($E9)-$G9,IF(ISNUMBER($I9),MIN($O9-$G9,$I9),$O9-$G9)))</f>
        <v/>
      </c>
      <c r="Q9" s="98" t="str">
        <f>IF(NOT(ISNUMBER($P9)),"",$N9-$P9)</f>
        <v/>
      </c>
      <c r="R9" s="99" t="str">
        <f>IF(OR(NOT(ISNUMBER($Q9)),N($G9)&lt;=0),"",MAX(0,1-$Q9/$G9))</f>
        <v/>
      </c>
      <c r="S9" s="97" t="str">
        <f>IF($B9="","",SUMIFS('Trade Log'!$Q$6:$Q$1005,'Trade Log'!$C$6:$C$1005,$B9,'Trade Log'!$A$6:$A$1005,TODAY()))</f>
        <v/>
      </c>
      <c r="T9" s="97" t="str">
        <f>IF(OR($B9="",NOT(ISNUMBER($J9))),"",$J9+MIN(0,$S9))</f>
        <v/>
      </c>
      <c r="U9" s="97" t="str">
        <f>IF(OR($B9="",N($L9)=0),"",_xlfn.MINIFS('Trade Log'!$AQ$6:$AQ$1005,'Trade Log'!$C$6:$C$1005,$B9))</f>
        <v/>
      </c>
      <c r="V9" s="97" t="str">
        <f>IF(OR($B9="",N($L9)=0),"",_xlfn.MAXIFS('Trade Log'!$AQ$6:$AQ$1005,'Trade Log'!$C$6:$C$1005,$B9))</f>
        <v/>
      </c>
      <c r="W9" s="99" t="str">
        <f>IF(OR($B9="",N($L9)=0),"",IF($M9&gt;0,MAX(0,$V9)/$M9,""))</f>
        <v/>
      </c>
      <c r="X9" s="99" t="str">
        <f>IF(OR($B9="",NOT(ISNUMBER($F9))),"",IF($F9=0,"",$M9/$F9))</f>
        <v/>
      </c>
      <c r="Y9" s="100" t="str">
        <f>IF($B9="","",IF(N($L9)=0,"No trades yet",IF(AND(ISNUMBER($P9),N($N9)&lt;=N($P9)),"BREACHED - drawdown",IF(AND(ISNUMBER($J9),ISNUMBER($U9),N($U9)&lt;=-N($J9)),"BREACHED - daily limit",IF(AND(ISNUMBER($F9),N($M9)&gt;=N($F9),OR(NOT(ISNUMBER($K9)),N($W9)&lt;=N($K9))),"TARGET HIT",IF(AND(ISNUMBER($F9),N($M9)&gt;=N($F9)),"Target hit - consistency not met yet",IF(AND(ISNUMBER($R9),N($R9)&gt;=0.75),"CAUTION - 75%+ of drawdown used",IF(AND(ISNUMBER($K9),ISNUMBER($W9),N($W9)&gt;N($K9)),"Consistency: best day too big","Active"))))))))</f>
        <v/>
      </c>
    </row>
    <row r="10" ht="22" customHeight="1">
      <c r="B10" s="93" t="n"/>
      <c r="C10" s="17" t="n"/>
      <c r="D10" s="17" t="n"/>
      <c r="E10" s="94" t="n"/>
      <c r="F10" s="94" t="n"/>
      <c r="G10" s="94" t="n"/>
      <c r="H10" s="17" t="n"/>
      <c r="I10" s="94" t="n"/>
      <c r="J10" s="94" t="n"/>
      <c r="K10" s="95" t="n"/>
      <c r="L10" s="96" t="str">
        <f>IF($B10="","",COUNTIFS('Trade Log'!$C$6:$C$1005,$B10,'Trade Log'!$BH$6:$BH$1005,1))</f>
        <v/>
      </c>
      <c r="M10" s="97" t="str">
        <f>IF($B10="","",SUMIFS('Trade Log'!$Q$6:$Q$1005,'Trade Log'!$C$6:$C$1005,$B10))</f>
        <v/>
      </c>
      <c r="N10" s="98" t="str">
        <f>IF($B10="","",N($E10)+$M10)</f>
        <v/>
      </c>
      <c r="O10" s="97" t="str">
        <f>IF($B10="","",IF($H10="Trailing - end of day",MAX(N($E10),_xlfn.MAXIFS('Trade Log'!$AR$6:$AR$1005,'Trade Log'!$C$6:$C$1005,$B10)),MAX(N($E10),_xlfn.MAXIFS('Trade Log'!$AP$6:$AP$1005,'Trade Log'!$C$6:$C$1005,$B10))))</f>
        <v/>
      </c>
      <c r="P10" s="97" t="str">
        <f>IF(OR($B10="",NOT(ISNUMBER($G10))),"",IF(OR($H10="Static",$H10=""),N($E10)-$G10,IF(ISNUMBER($I10),MIN($O10-$G10,$I10),$O10-$G10)))</f>
        <v/>
      </c>
      <c r="Q10" s="98" t="str">
        <f>IF(NOT(ISNUMBER($P10)),"",$N10-$P10)</f>
        <v/>
      </c>
      <c r="R10" s="99" t="str">
        <f>IF(OR(NOT(ISNUMBER($Q10)),N($G10)&lt;=0),"",MAX(0,1-$Q10/$G10))</f>
        <v/>
      </c>
      <c r="S10" s="97" t="str">
        <f>IF($B10="","",SUMIFS('Trade Log'!$Q$6:$Q$1005,'Trade Log'!$C$6:$C$1005,$B10,'Trade Log'!$A$6:$A$1005,TODAY()))</f>
        <v/>
      </c>
      <c r="T10" s="97" t="str">
        <f>IF(OR($B10="",NOT(ISNUMBER($J10))),"",$J10+MIN(0,$S10))</f>
        <v/>
      </c>
      <c r="U10" s="97" t="str">
        <f>IF(OR($B10="",N($L10)=0),"",_xlfn.MINIFS('Trade Log'!$AQ$6:$AQ$1005,'Trade Log'!$C$6:$C$1005,$B10))</f>
        <v/>
      </c>
      <c r="V10" s="97" t="str">
        <f>IF(OR($B10="",N($L10)=0),"",_xlfn.MAXIFS('Trade Log'!$AQ$6:$AQ$1005,'Trade Log'!$C$6:$C$1005,$B10))</f>
        <v/>
      </c>
      <c r="W10" s="99" t="str">
        <f>IF(OR($B10="",N($L10)=0),"",IF($M10&gt;0,MAX(0,$V10)/$M10,""))</f>
        <v/>
      </c>
      <c r="X10" s="99" t="str">
        <f>IF(OR($B10="",NOT(ISNUMBER($F10))),"",IF($F10=0,"",$M10/$F10))</f>
        <v/>
      </c>
      <c r="Y10" s="100" t="str">
        <f>IF($B10="","",IF(N($L10)=0,"No trades yet",IF(AND(ISNUMBER($P10),N($N10)&lt;=N($P10)),"BREACHED - drawdown",IF(AND(ISNUMBER($J10),ISNUMBER($U10),N($U10)&lt;=-N($J10)),"BREACHED - daily limit",IF(AND(ISNUMBER($F10),N($M10)&gt;=N($F10),OR(NOT(ISNUMBER($K10)),N($W10)&lt;=N($K10))),"TARGET HIT",IF(AND(ISNUMBER($F10),N($M10)&gt;=N($F10)),"Target hit - consistency not met yet",IF(AND(ISNUMBER($R10),N($R10)&gt;=0.75),"CAUTION - 75%+ of drawdown used",IF(AND(ISNUMBER($K10),ISNUMBER($W10),N($W10)&gt;N($K10)),"Consistency: best day too big","Active"))))))))</f>
        <v/>
      </c>
    </row>
    <row r="11" ht="22" customHeight="1">
      <c r="B11" s="93" t="n"/>
      <c r="C11" s="17" t="n"/>
      <c r="D11" s="17" t="n"/>
      <c r="E11" s="94" t="n"/>
      <c r="F11" s="94" t="n"/>
      <c r="G11" s="94" t="n"/>
      <c r="H11" s="17" t="n"/>
      <c r="I11" s="94" t="n"/>
      <c r="J11" s="94" t="n"/>
      <c r="K11" s="95" t="n"/>
      <c r="L11" s="96" t="str">
        <f>IF($B11="","",COUNTIFS('Trade Log'!$C$6:$C$1005,$B11,'Trade Log'!$BH$6:$BH$1005,1))</f>
        <v/>
      </c>
      <c r="M11" s="97" t="str">
        <f>IF($B11="","",SUMIFS('Trade Log'!$Q$6:$Q$1005,'Trade Log'!$C$6:$C$1005,$B11))</f>
        <v/>
      </c>
      <c r="N11" s="98" t="str">
        <f>IF($B11="","",N($E11)+$M11)</f>
        <v/>
      </c>
      <c r="O11" s="97" t="str">
        <f>IF($B11="","",IF($H11="Trailing - end of day",MAX(N($E11),_xlfn.MAXIFS('Trade Log'!$AR$6:$AR$1005,'Trade Log'!$C$6:$C$1005,$B11)),MAX(N($E11),_xlfn.MAXIFS('Trade Log'!$AP$6:$AP$1005,'Trade Log'!$C$6:$C$1005,$B11))))</f>
        <v/>
      </c>
      <c r="P11" s="97" t="str">
        <f>IF(OR($B11="",NOT(ISNUMBER($G11))),"",IF(OR($H11="Static",$H11=""),N($E11)-$G11,IF(ISNUMBER($I11),MIN($O11-$G11,$I11),$O11-$G11)))</f>
        <v/>
      </c>
      <c r="Q11" s="98" t="str">
        <f>IF(NOT(ISNUMBER($P11)),"",$N11-$P11)</f>
        <v/>
      </c>
      <c r="R11" s="99" t="str">
        <f>IF(OR(NOT(ISNUMBER($Q11)),N($G11)&lt;=0),"",MAX(0,1-$Q11/$G11))</f>
        <v/>
      </c>
      <c r="S11" s="97" t="str">
        <f>IF($B11="","",SUMIFS('Trade Log'!$Q$6:$Q$1005,'Trade Log'!$C$6:$C$1005,$B11,'Trade Log'!$A$6:$A$1005,TODAY()))</f>
        <v/>
      </c>
      <c r="T11" s="97" t="str">
        <f>IF(OR($B11="",NOT(ISNUMBER($J11))),"",$J11+MIN(0,$S11))</f>
        <v/>
      </c>
      <c r="U11" s="97" t="str">
        <f>IF(OR($B11="",N($L11)=0),"",_xlfn.MINIFS('Trade Log'!$AQ$6:$AQ$1005,'Trade Log'!$C$6:$C$1005,$B11))</f>
        <v/>
      </c>
      <c r="V11" s="97" t="str">
        <f>IF(OR($B11="",N($L11)=0),"",_xlfn.MAXIFS('Trade Log'!$AQ$6:$AQ$1005,'Trade Log'!$C$6:$C$1005,$B11))</f>
        <v/>
      </c>
      <c r="W11" s="99" t="str">
        <f>IF(OR($B11="",N($L11)=0),"",IF($M11&gt;0,MAX(0,$V11)/$M11,""))</f>
        <v/>
      </c>
      <c r="X11" s="99" t="str">
        <f>IF(OR($B11="",NOT(ISNUMBER($F11))),"",IF($F11=0,"",$M11/$F11))</f>
        <v/>
      </c>
      <c r="Y11" s="100" t="str">
        <f>IF($B11="","",IF(N($L11)=0,"No trades yet",IF(AND(ISNUMBER($P11),N($N11)&lt;=N($P11)),"BREACHED - drawdown",IF(AND(ISNUMBER($J11),ISNUMBER($U11),N($U11)&lt;=-N($J11)),"BREACHED - daily limit",IF(AND(ISNUMBER($F11),N($M11)&gt;=N($F11),OR(NOT(ISNUMBER($K11)),N($W11)&lt;=N($K11))),"TARGET HIT",IF(AND(ISNUMBER($F11),N($M11)&gt;=N($F11)),"Target hit - consistency not met yet",IF(AND(ISNUMBER($R11),N($R11)&gt;=0.75),"CAUTION - 75%+ of drawdown used",IF(AND(ISNUMBER($K11),ISNUMBER($W11),N($W11)&gt;N($K11)),"Consistency: best day too big","Active"))))))))</f>
        <v/>
      </c>
    </row>
    <row r="12" ht="22" customHeight="1">
      <c r="B12" s="93" t="n"/>
      <c r="C12" s="17" t="n"/>
      <c r="D12" s="17" t="n"/>
      <c r="E12" s="94" t="n"/>
      <c r="F12" s="94" t="n"/>
      <c r="G12" s="94" t="n"/>
      <c r="H12" s="17" t="n"/>
      <c r="I12" s="94" t="n"/>
      <c r="J12" s="94" t="n"/>
      <c r="K12" s="95" t="n"/>
      <c r="L12" s="96" t="str">
        <f>IF($B12="","",COUNTIFS('Trade Log'!$C$6:$C$1005,$B12,'Trade Log'!$BH$6:$BH$1005,1))</f>
        <v/>
      </c>
      <c r="M12" s="97" t="str">
        <f>IF($B12="","",SUMIFS('Trade Log'!$Q$6:$Q$1005,'Trade Log'!$C$6:$C$1005,$B12))</f>
        <v/>
      </c>
      <c r="N12" s="98" t="str">
        <f>IF($B12="","",N($E12)+$M12)</f>
        <v/>
      </c>
      <c r="O12" s="97" t="str">
        <f>IF($B12="","",IF($H12="Trailing - end of day",MAX(N($E12),_xlfn.MAXIFS('Trade Log'!$AR$6:$AR$1005,'Trade Log'!$C$6:$C$1005,$B12)),MAX(N($E12),_xlfn.MAXIFS('Trade Log'!$AP$6:$AP$1005,'Trade Log'!$C$6:$C$1005,$B12))))</f>
        <v/>
      </c>
      <c r="P12" s="97" t="str">
        <f>IF(OR($B12="",NOT(ISNUMBER($G12))),"",IF(OR($H12="Static",$H12=""),N($E12)-$G12,IF(ISNUMBER($I12),MIN($O12-$G12,$I12),$O12-$G12)))</f>
        <v/>
      </c>
      <c r="Q12" s="98" t="str">
        <f>IF(NOT(ISNUMBER($P12)),"",$N12-$P12)</f>
        <v/>
      </c>
      <c r="R12" s="99" t="str">
        <f>IF(OR(NOT(ISNUMBER($Q12)),N($G12)&lt;=0),"",MAX(0,1-$Q12/$G12))</f>
        <v/>
      </c>
      <c r="S12" s="97" t="str">
        <f>IF($B12="","",SUMIFS('Trade Log'!$Q$6:$Q$1005,'Trade Log'!$C$6:$C$1005,$B12,'Trade Log'!$A$6:$A$1005,TODAY()))</f>
        <v/>
      </c>
      <c r="T12" s="97" t="str">
        <f>IF(OR($B12="",NOT(ISNUMBER($J12))),"",$J12+MIN(0,$S12))</f>
        <v/>
      </c>
      <c r="U12" s="97" t="str">
        <f>IF(OR($B12="",N($L12)=0),"",_xlfn.MINIFS('Trade Log'!$AQ$6:$AQ$1005,'Trade Log'!$C$6:$C$1005,$B12))</f>
        <v/>
      </c>
      <c r="V12" s="97" t="str">
        <f>IF(OR($B12="",N($L12)=0),"",_xlfn.MAXIFS('Trade Log'!$AQ$6:$AQ$1005,'Trade Log'!$C$6:$C$1005,$B12))</f>
        <v/>
      </c>
      <c r="W12" s="99" t="str">
        <f>IF(OR($B12="",N($L12)=0),"",IF($M12&gt;0,MAX(0,$V12)/$M12,""))</f>
        <v/>
      </c>
      <c r="X12" s="99" t="str">
        <f>IF(OR($B12="",NOT(ISNUMBER($F12))),"",IF($F12=0,"",$M12/$F12))</f>
        <v/>
      </c>
      <c r="Y12" s="100" t="str">
        <f>IF($B12="","",IF(N($L12)=0,"No trades yet",IF(AND(ISNUMBER($P12),N($N12)&lt;=N($P12)),"BREACHED - drawdown",IF(AND(ISNUMBER($J12),ISNUMBER($U12),N($U12)&lt;=-N($J12)),"BREACHED - daily limit",IF(AND(ISNUMBER($F12),N($M12)&gt;=N($F12),OR(NOT(ISNUMBER($K12)),N($W12)&lt;=N($K12))),"TARGET HIT",IF(AND(ISNUMBER($F12),N($M12)&gt;=N($F12)),"Target hit - consistency not met yet",IF(AND(ISNUMBER($R12),N($R12)&gt;=0.75),"CAUTION - 75%+ of drawdown used",IF(AND(ISNUMBER($K12),ISNUMBER($W12),N($W12)&gt;N($K12)),"Consistency: best day too big","Active"))))))))</f>
        <v/>
      </c>
    </row>
    <row r="13" ht="22" customHeight="1">
      <c r="B13" s="93" t="n"/>
      <c r="C13" s="17" t="n"/>
      <c r="D13" s="17" t="n"/>
      <c r="E13" s="94" t="n"/>
      <c r="F13" s="94" t="n"/>
      <c r="G13" s="94" t="n"/>
      <c r="H13" s="17" t="n"/>
      <c r="I13" s="94" t="n"/>
      <c r="J13" s="94" t="n"/>
      <c r="K13" s="95" t="n"/>
      <c r="L13" s="96" t="str">
        <f>IF($B13="","",COUNTIFS('Trade Log'!$C$6:$C$1005,$B13,'Trade Log'!$BH$6:$BH$1005,1))</f>
        <v/>
      </c>
      <c r="M13" s="97" t="str">
        <f>IF($B13="","",SUMIFS('Trade Log'!$Q$6:$Q$1005,'Trade Log'!$C$6:$C$1005,$B13))</f>
        <v/>
      </c>
      <c r="N13" s="98" t="str">
        <f>IF($B13="","",N($E13)+$M13)</f>
        <v/>
      </c>
      <c r="O13" s="97" t="str">
        <f>IF($B13="","",IF($H13="Trailing - end of day",MAX(N($E13),_xlfn.MAXIFS('Trade Log'!$AR$6:$AR$1005,'Trade Log'!$C$6:$C$1005,$B13)),MAX(N($E13),_xlfn.MAXIFS('Trade Log'!$AP$6:$AP$1005,'Trade Log'!$C$6:$C$1005,$B13))))</f>
        <v/>
      </c>
      <c r="P13" s="97" t="str">
        <f>IF(OR($B13="",NOT(ISNUMBER($G13))),"",IF(OR($H13="Static",$H13=""),N($E13)-$G13,IF(ISNUMBER($I13),MIN($O13-$G13,$I13),$O13-$G13)))</f>
        <v/>
      </c>
      <c r="Q13" s="98" t="str">
        <f>IF(NOT(ISNUMBER($P13)),"",$N13-$P13)</f>
        <v/>
      </c>
      <c r="R13" s="99" t="str">
        <f>IF(OR(NOT(ISNUMBER($Q13)),N($G13)&lt;=0),"",MAX(0,1-$Q13/$G13))</f>
        <v/>
      </c>
      <c r="S13" s="97" t="str">
        <f>IF($B13="","",SUMIFS('Trade Log'!$Q$6:$Q$1005,'Trade Log'!$C$6:$C$1005,$B13,'Trade Log'!$A$6:$A$1005,TODAY()))</f>
        <v/>
      </c>
      <c r="T13" s="97" t="str">
        <f>IF(OR($B13="",NOT(ISNUMBER($J13))),"",$J13+MIN(0,$S13))</f>
        <v/>
      </c>
      <c r="U13" s="97" t="str">
        <f>IF(OR($B13="",N($L13)=0),"",_xlfn.MINIFS('Trade Log'!$AQ$6:$AQ$1005,'Trade Log'!$C$6:$C$1005,$B13))</f>
        <v/>
      </c>
      <c r="V13" s="97" t="str">
        <f>IF(OR($B13="",N($L13)=0),"",_xlfn.MAXIFS('Trade Log'!$AQ$6:$AQ$1005,'Trade Log'!$C$6:$C$1005,$B13))</f>
        <v/>
      </c>
      <c r="W13" s="99" t="str">
        <f>IF(OR($B13="",N($L13)=0),"",IF($M13&gt;0,MAX(0,$V13)/$M13,""))</f>
        <v/>
      </c>
      <c r="X13" s="99" t="str">
        <f>IF(OR($B13="",NOT(ISNUMBER($F13))),"",IF($F13=0,"",$M13/$F13))</f>
        <v/>
      </c>
      <c r="Y13" s="100" t="str">
        <f>IF($B13="","",IF(N($L13)=0,"No trades yet",IF(AND(ISNUMBER($P13),N($N13)&lt;=N($P13)),"BREACHED - drawdown",IF(AND(ISNUMBER($J13),ISNUMBER($U13),N($U13)&lt;=-N($J13)),"BREACHED - daily limit",IF(AND(ISNUMBER($F13),N($M13)&gt;=N($F13),OR(NOT(ISNUMBER($K13)),N($W13)&lt;=N($K13))),"TARGET HIT",IF(AND(ISNUMBER($F13),N($M13)&gt;=N($F13)),"Target hit - consistency not met yet",IF(AND(ISNUMBER($R13),N($R13)&gt;=0.75),"CAUTION - 75%+ of drawdown used",IF(AND(ISNUMBER($K13),ISNUMBER($W13),N($W13)&gt;N($K13)),"Consistency: best day too big","Active"))))))))</f>
        <v/>
      </c>
    </row>
    <row r="14" ht="22" customHeight="1">
      <c r="B14" s="93" t="n"/>
      <c r="C14" s="17" t="n"/>
      <c r="D14" s="17" t="n"/>
      <c r="E14" s="94" t="n"/>
      <c r="F14" s="94" t="n"/>
      <c r="G14" s="94" t="n"/>
      <c r="H14" s="17" t="n"/>
      <c r="I14" s="94" t="n"/>
      <c r="J14" s="94" t="n"/>
      <c r="K14" s="95" t="n"/>
      <c r="L14" s="96" t="str">
        <f>IF($B14="","",COUNTIFS('Trade Log'!$C$6:$C$1005,$B14,'Trade Log'!$BH$6:$BH$1005,1))</f>
        <v/>
      </c>
      <c r="M14" s="97" t="str">
        <f>IF($B14="","",SUMIFS('Trade Log'!$Q$6:$Q$1005,'Trade Log'!$C$6:$C$1005,$B14))</f>
        <v/>
      </c>
      <c r="N14" s="98" t="str">
        <f>IF($B14="","",N($E14)+$M14)</f>
        <v/>
      </c>
      <c r="O14" s="97" t="str">
        <f>IF($B14="","",IF($H14="Trailing - end of day",MAX(N($E14),_xlfn.MAXIFS('Trade Log'!$AR$6:$AR$1005,'Trade Log'!$C$6:$C$1005,$B14)),MAX(N($E14),_xlfn.MAXIFS('Trade Log'!$AP$6:$AP$1005,'Trade Log'!$C$6:$C$1005,$B14))))</f>
        <v/>
      </c>
      <c r="P14" s="97" t="str">
        <f>IF(OR($B14="",NOT(ISNUMBER($G14))),"",IF(OR($H14="Static",$H14=""),N($E14)-$G14,IF(ISNUMBER($I14),MIN($O14-$G14,$I14),$O14-$G14)))</f>
        <v/>
      </c>
      <c r="Q14" s="98" t="str">
        <f>IF(NOT(ISNUMBER($P14)),"",$N14-$P14)</f>
        <v/>
      </c>
      <c r="R14" s="99" t="str">
        <f>IF(OR(NOT(ISNUMBER($Q14)),N($G14)&lt;=0),"",MAX(0,1-$Q14/$G14))</f>
        <v/>
      </c>
      <c r="S14" s="97" t="str">
        <f>IF($B14="","",SUMIFS('Trade Log'!$Q$6:$Q$1005,'Trade Log'!$C$6:$C$1005,$B14,'Trade Log'!$A$6:$A$1005,TODAY()))</f>
        <v/>
      </c>
      <c r="T14" s="97" t="str">
        <f>IF(OR($B14="",NOT(ISNUMBER($J14))),"",$J14+MIN(0,$S14))</f>
        <v/>
      </c>
      <c r="U14" s="97" t="str">
        <f>IF(OR($B14="",N($L14)=0),"",_xlfn.MINIFS('Trade Log'!$AQ$6:$AQ$1005,'Trade Log'!$C$6:$C$1005,$B14))</f>
        <v/>
      </c>
      <c r="V14" s="97" t="str">
        <f>IF(OR($B14="",N($L14)=0),"",_xlfn.MAXIFS('Trade Log'!$AQ$6:$AQ$1005,'Trade Log'!$C$6:$C$1005,$B14))</f>
        <v/>
      </c>
      <c r="W14" s="99" t="str">
        <f>IF(OR($B14="",N($L14)=0),"",IF($M14&gt;0,MAX(0,$V14)/$M14,""))</f>
        <v/>
      </c>
      <c r="X14" s="99" t="str">
        <f>IF(OR($B14="",NOT(ISNUMBER($F14))),"",IF($F14=0,"",$M14/$F14))</f>
        <v/>
      </c>
      <c r="Y14" s="100" t="str">
        <f>IF($B14="","",IF(N($L14)=0,"No trades yet",IF(AND(ISNUMBER($P14),N($N14)&lt;=N($P14)),"BREACHED - drawdown",IF(AND(ISNUMBER($J14),ISNUMBER($U14),N($U14)&lt;=-N($J14)),"BREACHED - daily limit",IF(AND(ISNUMBER($F14),N($M14)&gt;=N($F14),OR(NOT(ISNUMBER($K14)),N($W14)&lt;=N($K14))),"TARGET HIT",IF(AND(ISNUMBER($F14),N($M14)&gt;=N($F14)),"Target hit - consistency not met yet",IF(AND(ISNUMBER($R14),N($R14)&gt;=0.75),"CAUTION - 75%+ of drawdown used",IF(AND(ISNUMBER($K14),ISNUMBER($W14),N($W14)&gt;N($K14)),"Consistency: best day too big","Active"))))))))</f>
        <v/>
      </c>
    </row>
    <row r="15" ht="22" customHeight="1">
      <c r="B15" s="93" t="n"/>
      <c r="C15" s="17" t="n"/>
      <c r="D15" s="17" t="n"/>
      <c r="E15" s="94" t="n"/>
      <c r="F15" s="94" t="n"/>
      <c r="G15" s="94" t="n"/>
      <c r="H15" s="17" t="n"/>
      <c r="I15" s="94" t="n"/>
      <c r="J15" s="94" t="n"/>
      <c r="K15" s="95" t="n"/>
      <c r="L15" s="96" t="str">
        <f>IF($B15="","",COUNTIFS('Trade Log'!$C$6:$C$1005,$B15,'Trade Log'!$BH$6:$BH$1005,1))</f>
        <v/>
      </c>
      <c r="M15" s="97" t="str">
        <f>IF($B15="","",SUMIFS('Trade Log'!$Q$6:$Q$1005,'Trade Log'!$C$6:$C$1005,$B15))</f>
        <v/>
      </c>
      <c r="N15" s="98" t="str">
        <f>IF($B15="","",N($E15)+$M15)</f>
        <v/>
      </c>
      <c r="O15" s="97" t="str">
        <f>IF($B15="","",IF($H15="Trailing - end of day",MAX(N($E15),_xlfn.MAXIFS('Trade Log'!$AR$6:$AR$1005,'Trade Log'!$C$6:$C$1005,$B15)),MAX(N($E15),_xlfn.MAXIFS('Trade Log'!$AP$6:$AP$1005,'Trade Log'!$C$6:$C$1005,$B15))))</f>
        <v/>
      </c>
      <c r="P15" s="97" t="str">
        <f>IF(OR($B15="",NOT(ISNUMBER($G15))),"",IF(OR($H15="Static",$H15=""),N($E15)-$G15,IF(ISNUMBER($I15),MIN($O15-$G15,$I15),$O15-$G15)))</f>
        <v/>
      </c>
      <c r="Q15" s="98" t="str">
        <f>IF(NOT(ISNUMBER($P15)),"",$N15-$P15)</f>
        <v/>
      </c>
      <c r="R15" s="99" t="str">
        <f>IF(OR(NOT(ISNUMBER($Q15)),N($G15)&lt;=0),"",MAX(0,1-$Q15/$G15))</f>
        <v/>
      </c>
      <c r="S15" s="97" t="str">
        <f>IF($B15="","",SUMIFS('Trade Log'!$Q$6:$Q$1005,'Trade Log'!$C$6:$C$1005,$B15,'Trade Log'!$A$6:$A$1005,TODAY()))</f>
        <v/>
      </c>
      <c r="T15" s="97" t="str">
        <f>IF(OR($B15="",NOT(ISNUMBER($J15))),"",$J15+MIN(0,$S15))</f>
        <v/>
      </c>
      <c r="U15" s="97" t="str">
        <f>IF(OR($B15="",N($L15)=0),"",_xlfn.MINIFS('Trade Log'!$AQ$6:$AQ$1005,'Trade Log'!$C$6:$C$1005,$B15))</f>
        <v/>
      </c>
      <c r="V15" s="97" t="str">
        <f>IF(OR($B15="",N($L15)=0),"",_xlfn.MAXIFS('Trade Log'!$AQ$6:$AQ$1005,'Trade Log'!$C$6:$C$1005,$B15))</f>
        <v/>
      </c>
      <c r="W15" s="99" t="str">
        <f>IF(OR($B15="",N($L15)=0),"",IF($M15&gt;0,MAX(0,$V15)/$M15,""))</f>
        <v/>
      </c>
      <c r="X15" s="99" t="str">
        <f>IF(OR($B15="",NOT(ISNUMBER($F15))),"",IF($F15=0,"",$M15/$F15))</f>
        <v/>
      </c>
      <c r="Y15" s="100" t="str">
        <f>IF($B15="","",IF(N($L15)=0,"No trades yet",IF(AND(ISNUMBER($P15),N($N15)&lt;=N($P15)),"BREACHED - drawdown",IF(AND(ISNUMBER($J15),ISNUMBER($U15),N($U15)&lt;=-N($J15)),"BREACHED - daily limit",IF(AND(ISNUMBER($F15),N($M15)&gt;=N($F15),OR(NOT(ISNUMBER($K15)),N($W15)&lt;=N($K15))),"TARGET HIT",IF(AND(ISNUMBER($F15),N($M15)&gt;=N($F15)),"Target hit - consistency not met yet",IF(AND(ISNUMBER($R15),N($R15)&gt;=0.75),"CAUTION - 75%+ of drawdown used",IF(AND(ISNUMBER($K15),ISNUMBER($W15),N($W15)&gt;N($K15)),"Consistency: best day too big","Active"))))))))</f>
        <v/>
      </c>
    </row>
    <row r="16" ht="22" customHeight="1">
      <c r="B16" s="93" t="n"/>
      <c r="C16" s="17" t="n"/>
      <c r="D16" s="17" t="n"/>
      <c r="E16" s="94" t="n"/>
      <c r="F16" s="94" t="n"/>
      <c r="G16" s="94" t="n"/>
      <c r="H16" s="17" t="n"/>
      <c r="I16" s="94" t="n"/>
      <c r="J16" s="94" t="n"/>
      <c r="K16" s="95" t="n"/>
      <c r="L16" s="96" t="str">
        <f>IF($B16="","",COUNTIFS('Trade Log'!$C$6:$C$1005,$B16,'Trade Log'!$BH$6:$BH$1005,1))</f>
        <v/>
      </c>
      <c r="M16" s="97" t="str">
        <f>IF($B16="","",SUMIFS('Trade Log'!$Q$6:$Q$1005,'Trade Log'!$C$6:$C$1005,$B16))</f>
        <v/>
      </c>
      <c r="N16" s="98" t="str">
        <f>IF($B16="","",N($E16)+$M16)</f>
        <v/>
      </c>
      <c r="O16" s="97" t="str">
        <f>IF($B16="","",IF($H16="Trailing - end of day",MAX(N($E16),_xlfn.MAXIFS('Trade Log'!$AR$6:$AR$1005,'Trade Log'!$C$6:$C$1005,$B16)),MAX(N($E16),_xlfn.MAXIFS('Trade Log'!$AP$6:$AP$1005,'Trade Log'!$C$6:$C$1005,$B16))))</f>
        <v/>
      </c>
      <c r="P16" s="97" t="str">
        <f>IF(OR($B16="",NOT(ISNUMBER($G16))),"",IF(OR($H16="Static",$H16=""),N($E16)-$G16,IF(ISNUMBER($I16),MIN($O16-$G16,$I16),$O16-$G16)))</f>
        <v/>
      </c>
      <c r="Q16" s="98" t="str">
        <f>IF(NOT(ISNUMBER($P16)),"",$N16-$P16)</f>
        <v/>
      </c>
      <c r="R16" s="99" t="str">
        <f>IF(OR(NOT(ISNUMBER($Q16)),N($G16)&lt;=0),"",MAX(0,1-$Q16/$G16))</f>
        <v/>
      </c>
      <c r="S16" s="97" t="str">
        <f>IF($B16="","",SUMIFS('Trade Log'!$Q$6:$Q$1005,'Trade Log'!$C$6:$C$1005,$B16,'Trade Log'!$A$6:$A$1005,TODAY()))</f>
        <v/>
      </c>
      <c r="T16" s="97" t="str">
        <f>IF(OR($B16="",NOT(ISNUMBER($J16))),"",$J16+MIN(0,$S16))</f>
        <v/>
      </c>
      <c r="U16" s="97" t="str">
        <f>IF(OR($B16="",N($L16)=0),"",_xlfn.MINIFS('Trade Log'!$AQ$6:$AQ$1005,'Trade Log'!$C$6:$C$1005,$B16))</f>
        <v/>
      </c>
      <c r="V16" s="97" t="str">
        <f>IF(OR($B16="",N($L16)=0),"",_xlfn.MAXIFS('Trade Log'!$AQ$6:$AQ$1005,'Trade Log'!$C$6:$C$1005,$B16))</f>
        <v/>
      </c>
      <c r="W16" s="99" t="str">
        <f>IF(OR($B16="",N($L16)=0),"",IF($M16&gt;0,MAX(0,$V16)/$M16,""))</f>
        <v/>
      </c>
      <c r="X16" s="99" t="str">
        <f>IF(OR($B16="",NOT(ISNUMBER($F16))),"",IF($F16=0,"",$M16/$F16))</f>
        <v/>
      </c>
      <c r="Y16" s="100" t="str">
        <f>IF($B16="","",IF(N($L16)=0,"No trades yet",IF(AND(ISNUMBER($P16),N($N16)&lt;=N($P16)),"BREACHED - drawdown",IF(AND(ISNUMBER($J16),ISNUMBER($U16),N($U16)&lt;=-N($J16)),"BREACHED - daily limit",IF(AND(ISNUMBER($F16),N($M16)&gt;=N($F16),OR(NOT(ISNUMBER($K16)),N($W16)&lt;=N($K16))),"TARGET HIT",IF(AND(ISNUMBER($F16),N($M16)&gt;=N($F16)),"Target hit - consistency not met yet",IF(AND(ISNUMBER($R16),N($R16)&gt;=0.75),"CAUTION - 75%+ of drawdown used",IF(AND(ISNUMBER($K16),ISNUMBER($W16),N($W16)&gt;N($K16)),"Consistency: best day too big","Active"))))))))</f>
        <v/>
      </c>
    </row>
    <row r="19">
      <c r="B19" s="101" t="inlineStr">
        <is>
          <t>HOW TO READ THIS</t>
        </is>
      </c>
    </row>
    <row r="20">
      <c r="B20" s="8" t="inlineStr">
        <is>
          <t>• Drawdown floor: the balance you must stay above. Static = starting balance minus max drawdown. Trailing = high-water mark minus max drawdown, capped at 'Trailing stops at' if your firm stops trailing (e.g. at your starting balance).</t>
        </is>
      </c>
    </row>
    <row r="21">
      <c r="B21" s="8" t="inlineStr">
        <is>
          <t>• High-water mark = your highest balance. 'Trailing - end of day' accounts count only each day's closing balance; all others count every closed trade.</t>
        </is>
      </c>
    </row>
    <row r="22">
      <c r="B22" s="8" t="inlineStr">
        <is>
          <t>• Room to floor: how much you can lose from here before the account is breached. Drawdown used: how much of your max drawdown is gone.</t>
        </is>
      </c>
    </row>
    <row r="23">
      <c r="B23" s="8" t="inlineStr">
        <is>
          <t>• Consistency: your best day as a % of total profit. Many firms cap this (for example 40–50%) before a payout — check your firm's exact rule.</t>
        </is>
      </c>
    </row>
    <row r="24">
      <c r="B24" s="8" t="inlineStr">
        <is>
          <t>• Today's P&amp;L and Daily room left use today's date, so they show 0 until you log a trade today.</t>
        </is>
      </c>
    </row>
  </sheetData>
  <mergeCells count="9">
    <mergeCell ref="B4:Y4"/>
    <mergeCell ref="B21:Y21"/>
    <mergeCell ref="B24:Y24"/>
    <mergeCell ref="B20:Y20"/>
    <mergeCell ref="B19:Y19"/>
    <mergeCell ref="B23:Y23"/>
    <mergeCell ref="B22:Y22"/>
    <mergeCell ref="B5:K5"/>
    <mergeCell ref="L5:Y5"/>
  </mergeCells>
  <conditionalFormatting sqref="Y7:Y16">
    <cfRule type="expression" priority="1" dxfId="1">
      <formula>ISNUMBER(SEARCH("BREACHED",$Y7))</formula>
    </cfRule>
    <cfRule type="expression" priority="2" dxfId="0">
      <formula>$Y7="TARGET HIT"</formula>
    </cfRule>
    <cfRule type="expression" priority="3" dxfId="5">
      <formula>OR(ISNUMBER(SEARCH("CAUTION",$Y7)),ISNUMBER(SEARCH("onsistency",$Y7)))</formula>
    </cfRule>
  </conditionalFormatting>
  <conditionalFormatting sqref="R7:R16">
    <cfRule type="cellIs" priority="4" operator="greaterThanOrEqual" dxfId="9">
      <formula>0.75</formula>
    </cfRule>
  </conditionalFormatting>
  <dataValidations count="3">
    <dataValidation sqref="C7:C16" showDropDown="0" showInputMessage="0" showErrorMessage="1" allowBlank="1" type="list">
      <formula1>"Futures,Stocks,Options,Forex,Crypto"</formula1>
    </dataValidation>
    <dataValidation sqref="D7:D16" showDropDown="0" showInputMessage="0" showErrorMessage="1" allowBlank="1" type="list">
      <formula1>"Personal,Prop - Evaluation,Prop - Funded"</formula1>
    </dataValidation>
    <dataValidation sqref="H7:H16" showDropDown="0" showInputMessage="0" showErrorMessage="1" allowBlank="1" type="list">
      <formula1>"Static,Trailing - end of day,Trailing - closed trades"</formula1>
    </dataValidation>
  </dataValidations>
  <pageMargins left="0.3" right="0.3" top="0.4" bottom="0.4" header="0.5" footer="0.5"/>
  <pageSetup orientation="landscape" fitToHeight="0" fitToWidth="1"/>
</worksheet>
</file>

<file path=xl/worksheets/sheet6.xml><?xml version="1.0" encoding="utf-8"?>
<worksheet xmlns="http://schemas.openxmlformats.org/spreadsheetml/2006/main">
  <sheetPr>
    <tabColor rgb="007B61FF"/>
    <outlinePr summaryBelow="1" summaryRight="1"/>
    <pageSetUpPr fitToPage="1"/>
  </sheetPr>
  <dimension ref="B2:O371"/>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11" customWidth="1" min="2" max="2"/>
    <col width="6" customWidth="1" min="3" max="3"/>
    <col width="7" customWidth="1" min="4" max="4"/>
    <col width="11" customWidth="1" min="5" max="5"/>
    <col width="8" customWidth="1" min="6" max="6"/>
    <col width="9" customWidth="1" min="7" max="7"/>
    <col width="8" customWidth="1" min="8" max="8"/>
    <col width="22" customWidth="1" min="9" max="9"/>
    <col width="30" customWidth="1" min="10" max="10"/>
    <col width="28" customWidth="1" min="11" max="11"/>
    <col width="38" customWidth="1" min="12" max="12"/>
    <col width="11" customWidth="1" min="13" max="13"/>
    <col width="10" customWidth="1" min="14" max="14"/>
    <col width="32" customWidth="1" min="15" max="15"/>
  </cols>
  <sheetData>
    <row r="2">
      <c r="B2" s="9" t="inlineStr">
        <is>
          <t>DAILY JOURNAL</t>
        </is>
      </c>
    </row>
    <row r="3">
      <c r="B3" s="10" t="inlineStr">
        <is>
          <t>5 minutes after your last trade. Grade your execution, not your P&amp;L. Type your first day in B6 — the rest of the dates fill in by themselves.</t>
        </is>
      </c>
    </row>
    <row r="4">
      <c r="B4" s="33" t="inlineStr">
        <is>
          <t>THE DAY  (automatic)</t>
        </is>
      </c>
      <c r="C4" s="34" t="n"/>
      <c r="D4" s="34" t="n"/>
      <c r="E4" s="34" t="n"/>
      <c r="F4" s="34" t="n"/>
      <c r="G4" s="34" t="n"/>
      <c r="H4" s="34" t="n"/>
      <c r="I4" s="31" t="inlineStr">
        <is>
          <t>YOUR REVIEW  (type here)</t>
        </is>
      </c>
      <c r="J4" s="32" t="n"/>
      <c r="K4" s="32" t="n"/>
      <c r="L4" s="32" t="n"/>
      <c r="M4" s="32" t="n"/>
      <c r="N4" s="32" t="n"/>
      <c r="O4" s="32" t="n"/>
    </row>
    <row r="5" ht="48" customHeight="1">
      <c r="B5" s="15" t="inlineStr">
        <is>
          <t>Date</t>
        </is>
      </c>
      <c r="C5" s="15" t="inlineStr">
        <is>
          <t>Day</t>
        </is>
      </c>
      <c r="D5" s="15" t="inlineStr">
        <is>
          <t>Trades</t>
        </is>
      </c>
      <c r="E5" s="15" t="inlineStr">
        <is>
          <t>Net P&amp;L</t>
        </is>
      </c>
      <c r="F5" s="15" t="inlineStr">
        <is>
          <t>Win %</t>
        </is>
      </c>
      <c r="G5" s="15" t="inlineStr">
        <is>
          <t>Total R</t>
        </is>
      </c>
      <c r="H5" s="15" t="inlineStr">
        <is>
          <t>Rule
breaks</t>
        </is>
      </c>
      <c r="I5" s="15" t="inlineStr">
        <is>
          <t>Auto flags</t>
        </is>
      </c>
      <c r="J5" s="15" t="inlineStr">
        <is>
          <t>Plan / bias before the open</t>
        </is>
      </c>
      <c r="K5" s="15" t="inlineStr">
        <is>
          <t>What the market did</t>
        </is>
      </c>
      <c r="L5" s="15" t="inlineStr">
        <is>
          <t>What I did — repeat it or delete it?</t>
        </is>
      </c>
      <c r="M5" s="15" t="inlineStr">
        <is>
          <t>Emotional
carryover
(1 calm–5 tilted)</t>
        </is>
      </c>
      <c r="N5" s="15" t="inlineStr">
        <is>
          <t>Execution
grade (A–F)</t>
        </is>
      </c>
      <c r="O5" s="15" t="inlineStr">
        <is>
          <t>One lesson for tomorrow</t>
        </is>
      </c>
    </row>
    <row r="6" ht="58" customHeight="1">
      <c r="B6" s="102" t="n">
        <v>46286</v>
      </c>
      <c r="C6" s="103" t="str">
        <f>IF($B6="","",CHOOSE(WEEKDAY($B6,2),"Mon","Tue","Wed","Thu","Fri","Sat","Sun"))</f>
        <v>Mon</v>
      </c>
      <c r="D6" s="96">
        <f>IF($B6="","",COUNTIFS('Trade Log'!$A$6:$A$1005,$B6,'Trade Log'!$BH$6:$BH$1005,1))</f>
        <v>2</v>
      </c>
      <c r="E6" s="98">
        <f>IF(OR($B6="",N($D6)=0),"",SUMIFS('Trade Log'!$Q$6:$Q$1005,'Trade Log'!$A$6:$A$1005,$B6))</f>
        <v>298.5</v>
      </c>
      <c r="F6" s="99">
        <f>IF(OR($B6="",N($D6)=0),"",IFERROR(COUNTIFS('Trade Log'!$A$6:$A$1005,$B6,'Trade Log'!$S$6:$S$1005,"Win")/(COUNTIFS('Trade Log'!$A$6:$A$1005,$B6,'Trade Log'!$S$6:$S$1005,"Win")+COUNTIFS('Trade Log'!$A$6:$A$1005,$B6,'Trade Log'!$S$6:$S$1005,"Loss")),"—"))</f>
        <v>1</v>
      </c>
      <c r="G6" s="104">
        <f>IF(OR($B6="",N($D6)=0),"",SUMIFS('Trade Log'!$R$6:$R$1005,'Trade Log'!$A$6:$A$1005,$B6))</f>
        <v>2.83333333333333</v>
      </c>
      <c r="H6" s="96">
        <f>IF(OR($B6="",N($D6)=0),"",COUNTIFS('Trade Log'!$A$6:$A$1005,$B6,'Trade Log'!$Z$6:$Z$1005,"No"))</f>
        <v>1</v>
      </c>
      <c r="I6" s="105" t="str">
        <f>IF(OR($B6="",N($D6)=0),"",IF(AND(ISNUMBER(Settings!$C$26),N($E6)&lt;=-N(Settings!$C$26)),"Hit daily max loss. ","")&amp;IF(COUNTIFS('Trade Log'!$A$6:$A$1005,$B6,'Trade Log'!$BM$6:$BM$1005,1)&gt;0,"Kept trading after daily max loss. ","")&amp;IF(AND(ISNUMBER(Settings!$C$25),N($D6)&gt;N(Settings!$C$25)),"Over max trades. ",""))</f>
        <v/>
      </c>
      <c r="J6" s="106" t="inlineStr">
        <is>
          <t>Bias long above the overnight high. A+ setups only.</t>
        </is>
      </c>
      <c r="K6" s="106" t="inlineStr">
        <is>
          <t>Trend day up after a gap.</t>
        </is>
      </c>
      <c r="L6" s="106" t="inlineStr">
        <is>
          <t>Two longs. Held the first, bailed early on the second - repeat the first, delete the second.</t>
        </is>
      </c>
      <c r="M6" s="29" t="n">
        <v>2</v>
      </c>
      <c r="N6" s="29" t="inlineStr">
        <is>
          <t>B</t>
        </is>
      </c>
      <c r="O6" s="106" t="inlineStr">
        <is>
          <t>Let winners reach the target I set before the trade.</t>
        </is>
      </c>
    </row>
    <row r="7">
      <c r="B7" s="107">
        <f>IF($B6="","",$B6+IF(AND(Settings!$C$10&lt;&gt;"Yes",WEEKDAY($B6,2)&gt;=5),8-WEEKDAY($B6,2),1))</f>
        <v>46287</v>
      </c>
      <c r="C7" s="103" t="str">
        <f>IF($B7="","",CHOOSE(WEEKDAY($B7,2),"Mon","Tue","Wed","Thu","Fri","Sat","Sun"))</f>
        <v>Tue</v>
      </c>
      <c r="D7" s="96">
        <f>IF($B7="","",COUNTIFS('Trade Log'!$A$6:$A$1005,$B7,'Trade Log'!$BH$6:$BH$1005,1))</f>
        <v>3</v>
      </c>
      <c r="E7" s="98">
        <f>IF(OR($B7="",N($D7)=0),"",SUMIFS('Trade Log'!$Q$6:$Q$1005,'Trade Log'!$A$6:$A$1005,$B7))</f>
        <v>115.704</v>
      </c>
      <c r="F7" s="99">
        <f>IF(OR($B7="",N($D7)=0),"",IFERROR(COUNTIFS('Trade Log'!$A$6:$A$1005,$B7,'Trade Log'!$S$6:$S$1005,"Win")/(COUNTIFS('Trade Log'!$A$6:$A$1005,$B7,'Trade Log'!$S$6:$S$1005,"Win")+COUNTIFS('Trade Log'!$A$6:$A$1005,$B7,'Trade Log'!$S$6:$S$1005,"Loss")),"—"))</f>
        <v>0.666666666666667</v>
      </c>
      <c r="G7" s="104">
        <f>IF(OR($B7="",N($D7)=0),"",SUMIFS('Trade Log'!$R$6:$R$1005,'Trade Log'!$A$6:$A$1005,$B7))</f>
        <v>3</v>
      </c>
      <c r="H7" s="96">
        <f>IF(OR($B7="",N($D7)=0),"",COUNTIFS('Trade Log'!$A$6:$A$1005,$B7,'Trade Log'!$Z$6:$Z$1005,"No"))</f>
        <v>1</v>
      </c>
      <c r="I7" s="105" t="str">
        <f>IF(OR($B7="",N($D7)=0),"",IF(AND(ISNUMBER(Settings!$C$26),N($E7)&lt;=-N(Settings!$C$26)),"Hit daily max loss. ","")&amp;IF(COUNTIFS('Trade Log'!$A$6:$A$1005,$B7,'Trade Log'!$BM$6:$BM$1005,1)&gt;0,"Kept trading after daily max loss. ","")&amp;IF(AND(ISNUMBER(Settings!$C$25),N($D7)&gt;N(Settings!$C$25)),"Over max trades. ",""))</f>
        <v/>
      </c>
      <c r="J7" s="106" t="n"/>
      <c r="K7" s="106" t="n"/>
      <c r="L7" s="106" t="n"/>
      <c r="M7" s="29" t="n"/>
      <c r="N7" s="29" t="n"/>
      <c r="O7" s="106" t="n"/>
    </row>
    <row r="8">
      <c r="B8" s="107">
        <f>IF($B7="","",$B7+IF(AND(Settings!$C$10&lt;&gt;"Yes",WEEKDAY($B7,2)&gt;=5),8-WEEKDAY($B7,2),1))</f>
        <v>46288</v>
      </c>
      <c r="C8" s="103" t="str">
        <f>IF($B8="","",CHOOSE(WEEKDAY($B8,2),"Mon","Tue","Wed","Thu","Fri","Sat","Sun"))</f>
        <v>Wed</v>
      </c>
      <c r="D8" s="96">
        <f>IF($B8="","",COUNTIFS('Trade Log'!$A$6:$A$1005,$B8,'Trade Log'!$BH$6:$BH$1005,1))</f>
        <v>2</v>
      </c>
      <c r="E8" s="98">
        <f>IF(OR($B8="",N($D8)=0),"",SUMIFS('Trade Log'!$Q$6:$Q$1005,'Trade Log'!$A$6:$A$1005,$B8))</f>
        <v>6</v>
      </c>
      <c r="F8" s="99">
        <f>IF(OR($B8="",N($D8)=0),"",IFERROR(COUNTIFS('Trade Log'!$A$6:$A$1005,$B8,'Trade Log'!$S$6:$S$1005,"Win")/(COUNTIFS('Trade Log'!$A$6:$A$1005,$B8,'Trade Log'!$S$6:$S$1005,"Win")+COUNTIFS('Trade Log'!$A$6:$A$1005,$B8,'Trade Log'!$S$6:$S$1005,"Loss")),"—"))</f>
        <v>0.5</v>
      </c>
      <c r="G8" s="104">
        <f>IF(OR($B8="",N($D8)=0),"",SUMIFS('Trade Log'!$R$6:$R$1005,'Trade Log'!$A$6:$A$1005,$B8))</f>
        <v>0.916666666666667</v>
      </c>
      <c r="H8" s="96">
        <f>IF(OR($B8="",N($D8)=0),"",COUNTIFS('Trade Log'!$A$6:$A$1005,$B8,'Trade Log'!$Z$6:$Z$1005,"No"))</f>
        <v>1</v>
      </c>
      <c r="I8" s="105" t="str">
        <f>IF(OR($B8="",N($D8)=0),"",IF(AND(ISNUMBER(Settings!$C$26),N($E8)&lt;=-N(Settings!$C$26)),"Hit daily max loss. ","")&amp;IF(COUNTIFS('Trade Log'!$A$6:$A$1005,$B8,'Trade Log'!$BM$6:$BM$1005,1)&gt;0,"Kept trading after daily max loss. ","")&amp;IF(AND(ISNUMBER(Settings!$C$25),N($D8)&gt;N(Settings!$C$25)),"Over max trades. ",""))</f>
        <v/>
      </c>
      <c r="J8" s="106" t="n"/>
      <c r="K8" s="106" t="n"/>
      <c r="L8" s="106" t="n"/>
      <c r="M8" s="29" t="n"/>
      <c r="N8" s="29" t="n"/>
      <c r="O8" s="106" t="n"/>
    </row>
    <row r="9">
      <c r="B9" s="107">
        <f>IF($B8="","",$B8+IF(AND(Settings!$C$10&lt;&gt;"Yes",WEEKDAY($B8,2)&gt;=5),8-WEEKDAY($B8,2),1))</f>
        <v>46289</v>
      </c>
      <c r="C9" s="103" t="str">
        <f>IF($B9="","",CHOOSE(WEEKDAY($B9,2),"Mon","Tue","Wed","Thu","Fri","Sat","Sun"))</f>
        <v>Thu</v>
      </c>
      <c r="D9" s="96">
        <f>IF($B9="","",COUNTIFS('Trade Log'!$A$6:$A$1005,$B9,'Trade Log'!$BH$6:$BH$1005,1))</f>
        <v>3</v>
      </c>
      <c r="E9" s="98">
        <f>IF(OR($B9="",N($D9)=0),"",SUMIFS('Trade Log'!$Q$6:$Q$1005,'Trade Log'!$A$6:$A$1005,$B9))</f>
        <v>347.761</v>
      </c>
      <c r="F9" s="99">
        <f>IF(OR($B9="",N($D9)=0),"",IFERROR(COUNTIFS('Trade Log'!$A$6:$A$1005,$B9,'Trade Log'!$S$6:$S$1005,"Win")/(COUNTIFS('Trade Log'!$A$6:$A$1005,$B9,'Trade Log'!$S$6:$S$1005,"Win")+COUNTIFS('Trade Log'!$A$6:$A$1005,$B9,'Trade Log'!$S$6:$S$1005,"Loss")),"—"))</f>
        <v>0.666666666666667</v>
      </c>
      <c r="G9" s="104">
        <f>IF(OR($B9="",N($D9)=0),"",SUMIFS('Trade Log'!$R$6:$R$1005,'Trade Log'!$A$6:$A$1005,$B9))</f>
        <v>1.83333333333333</v>
      </c>
      <c r="H9" s="96">
        <f>IF(OR($B9="",N($D9)=0),"",COUNTIFS('Trade Log'!$A$6:$A$1005,$B9,'Trade Log'!$Z$6:$Z$1005,"No"))</f>
        <v>2</v>
      </c>
      <c r="I9" s="105" t="str">
        <f>IF(OR($B9="",N($D9)=0),"",IF(AND(ISNUMBER(Settings!$C$26),N($E9)&lt;=-N(Settings!$C$26)),"Hit daily max loss. ","")&amp;IF(COUNTIFS('Trade Log'!$A$6:$A$1005,$B9,'Trade Log'!$BM$6:$BM$1005,1)&gt;0,"Kept trading after daily max loss. ","")&amp;IF(AND(ISNUMBER(Settings!$C$25),N($D9)&gt;N(Settings!$C$25)),"Over max trades. ",""))</f>
        <v/>
      </c>
      <c r="J9" s="106" t="n"/>
      <c r="K9" s="106" t="n"/>
      <c r="L9" s="106" t="n"/>
      <c r="M9" s="29" t="n"/>
      <c r="N9" s="29" t="n"/>
      <c r="O9" s="106" t="n"/>
    </row>
    <row r="10" ht="58" customHeight="1">
      <c r="B10" s="107">
        <f>IF($B9="","",$B9+IF(AND(Settings!$C$10&lt;&gt;"Yes",WEEKDAY($B9,2)&gt;=5),8-WEEKDAY($B9,2),1))</f>
        <v>46290</v>
      </c>
      <c r="C10" s="103" t="str">
        <f>IF($B10="","",CHOOSE(WEEKDAY($B10,2),"Mon","Tue","Wed","Thu","Fri","Sat","Sun"))</f>
        <v>Fri</v>
      </c>
      <c r="D10" s="96">
        <f>IF($B10="","",COUNTIFS('Trade Log'!$A$6:$A$1005,$B10,'Trade Log'!$BH$6:$BH$1005,1))</f>
        <v>4</v>
      </c>
      <c r="E10" s="98">
        <f>IF(OR($B10="",N($D10)=0),"",SUMIFS('Trade Log'!$Q$6:$Q$1005,'Trade Log'!$A$6:$A$1005,$B10))</f>
        <v>-395.5</v>
      </c>
      <c r="F10" s="99">
        <f>IF(OR($B10="",N($D10)=0),"",IFERROR(COUNTIFS('Trade Log'!$A$6:$A$1005,$B10,'Trade Log'!$S$6:$S$1005,"Win")/(COUNTIFS('Trade Log'!$A$6:$A$1005,$B10,'Trade Log'!$S$6:$S$1005,"Win")+COUNTIFS('Trade Log'!$A$6:$A$1005,$B10,'Trade Log'!$S$6:$S$1005,"Loss")),"—"))</f>
        <v>0.25</v>
      </c>
      <c r="G10" s="104">
        <f>IF(OR($B10="",N($D10)=0),"",SUMIFS('Trade Log'!$R$6:$R$1005,'Trade Log'!$A$6:$A$1005,$B10))</f>
        <v>-3.08333333333333</v>
      </c>
      <c r="H10" s="96">
        <f>IF(OR($B10="",N($D10)=0),"",COUNTIFS('Trade Log'!$A$6:$A$1005,$B10,'Trade Log'!$Z$6:$Z$1005,"No"))</f>
        <v>3</v>
      </c>
      <c r="I10" s="105" t="str">
        <f>IF(OR($B10="",N($D10)=0),"",IF(AND(ISNUMBER(Settings!$C$26),N($E10)&lt;=-N(Settings!$C$26)),"Hit daily max loss. ","")&amp;IF(COUNTIFS('Trade Log'!$A$6:$A$1005,$B10,'Trade Log'!$BM$6:$BM$1005,1)&gt;0,"Kept trading after daily max loss. ","")&amp;IF(AND(ISNUMBER(Settings!$C$25),N($D10)&gt;N(Settings!$C$25)),"Over max trades. ",""))</f>
        <v>Kept trading after daily max loss. </v>
      </c>
      <c r="J10" s="106" t="inlineStr">
        <is>
          <t>Choppy overnight. Small size, max 2 trades.</t>
        </is>
      </c>
      <c r="K10" s="106" t="inlineStr">
        <is>
          <t>Gold reversed up after a failed breakdown.</t>
        </is>
      </c>
      <c r="L10" s="106" t="inlineStr">
        <is>
          <t>Lost the first trade fairly, then revenge-traded, moved a stop and kept going past my daily max. Delete all of it.</t>
        </is>
      </c>
      <c r="M10" s="29" t="n">
        <v>5</v>
      </c>
      <c r="N10" s="29" t="inlineStr">
        <is>
          <t>F</t>
        </is>
      </c>
      <c r="O10" s="106" t="inlineStr">
        <is>
          <t>After 2 losses in a row I'm done for the day.</t>
        </is>
      </c>
    </row>
    <row r="11">
      <c r="B11" s="107">
        <f>IF($B10="","",$B10+IF(AND(Settings!$C$10&lt;&gt;"Yes",WEEKDAY($B10,2)&gt;=5),8-WEEKDAY($B10,2),1))</f>
        <v>46293</v>
      </c>
      <c r="C11" s="103" t="str">
        <f>IF($B11="","",CHOOSE(WEEKDAY($B11,2),"Mon","Tue","Wed","Thu","Fri","Sat","Sun"))</f>
        <v>Mon</v>
      </c>
      <c r="D11" s="96">
        <f>IF($B11="","",COUNTIFS('Trade Log'!$A$6:$A$1005,$B11,'Trade Log'!$BH$6:$BH$1005,1))</f>
        <v>2</v>
      </c>
      <c r="E11" s="98">
        <f>IF(OR($B11="",N($D11)=0),"",SUMIFS('Trade Log'!$Q$6:$Q$1005,'Trade Log'!$A$6:$A$1005,$B11))</f>
        <v>296</v>
      </c>
      <c r="F11" s="99">
        <f>IF(OR($B11="",N($D11)=0),"",IFERROR(COUNTIFS('Trade Log'!$A$6:$A$1005,$B11,'Trade Log'!$S$6:$S$1005,"Win")/(COUNTIFS('Trade Log'!$A$6:$A$1005,$B11,'Trade Log'!$S$6:$S$1005,"Win")+COUNTIFS('Trade Log'!$A$6:$A$1005,$B11,'Trade Log'!$S$6:$S$1005,"Loss")),"—"))</f>
        <v>1</v>
      </c>
      <c r="G11" s="104">
        <f>IF(OR($B11="",N($D11)=0),"",SUMIFS('Trade Log'!$R$6:$R$1005,'Trade Log'!$A$6:$A$1005,$B11))</f>
        <v>3</v>
      </c>
      <c r="H11" s="96">
        <f>IF(OR($B11="",N($D11)=0),"",COUNTIFS('Trade Log'!$A$6:$A$1005,$B11,'Trade Log'!$Z$6:$Z$1005,"No"))</f>
        <v>0</v>
      </c>
      <c r="I11" s="105" t="str">
        <f>IF(OR($B11="",N($D11)=0),"",IF(AND(ISNUMBER(Settings!$C$26),N($E11)&lt;=-N(Settings!$C$26)),"Hit daily max loss. ","")&amp;IF(COUNTIFS('Trade Log'!$A$6:$A$1005,$B11,'Trade Log'!$BM$6:$BM$1005,1)&gt;0,"Kept trading after daily max loss. ","")&amp;IF(AND(ISNUMBER(Settings!$C$25),N($D11)&gt;N(Settings!$C$25)),"Over max trades. ",""))</f>
        <v/>
      </c>
      <c r="J11" s="106" t="n"/>
      <c r="K11" s="106" t="n"/>
      <c r="L11" s="106" t="n"/>
      <c r="M11" s="29" t="n"/>
      <c r="N11" s="29" t="n"/>
      <c r="O11" s="106" t="n"/>
    </row>
    <row r="12">
      <c r="B12" s="107">
        <f>IF($B11="","",$B11+IF(AND(Settings!$C$10&lt;&gt;"Yes",WEEKDAY($B11,2)&gt;=5),8-WEEKDAY($B11,2),1))</f>
        <v>46294</v>
      </c>
      <c r="C12" s="103" t="str">
        <f>IF($B12="","",CHOOSE(WEEKDAY($B12,2),"Mon","Tue","Wed","Thu","Fri","Sat","Sun"))</f>
        <v>Tue</v>
      </c>
      <c r="D12" s="96">
        <f>IF($B12="","",COUNTIFS('Trade Log'!$A$6:$A$1005,$B12,'Trade Log'!$BH$6:$BH$1005,1))</f>
        <v>3</v>
      </c>
      <c r="E12" s="98">
        <f>IF(OR($B12="",N($D12)=0),"",SUMIFS('Trade Log'!$Q$6:$Q$1005,'Trade Log'!$A$6:$A$1005,$B12))</f>
        <v>-58.1</v>
      </c>
      <c r="F12" s="99">
        <f>IF(OR($B12="",N($D12)=0),"",IFERROR(COUNTIFS('Trade Log'!$A$6:$A$1005,$B12,'Trade Log'!$S$6:$S$1005,"Win")/(COUNTIFS('Trade Log'!$A$6:$A$1005,$B12,'Trade Log'!$S$6:$S$1005,"Win")+COUNTIFS('Trade Log'!$A$6:$A$1005,$B12,'Trade Log'!$S$6:$S$1005,"Loss")),"—"))</f>
        <v>0.333333333333333</v>
      </c>
      <c r="G12" s="104">
        <f>IF(OR($B12="",N($D12)=0),"",SUMIFS('Trade Log'!$R$6:$R$1005,'Trade Log'!$A$6:$A$1005,$B12))</f>
        <v>0</v>
      </c>
      <c r="H12" s="96">
        <f>IF(OR($B12="",N($D12)=0),"",COUNTIFS('Trade Log'!$A$6:$A$1005,$B12,'Trade Log'!$Z$6:$Z$1005,"No"))</f>
        <v>0</v>
      </c>
      <c r="I12" s="105" t="str">
        <f>IF(OR($B12="",N($D12)=0),"",IF(AND(ISNUMBER(Settings!$C$26),N($E12)&lt;=-N(Settings!$C$26)),"Hit daily max loss. ","")&amp;IF(COUNTIFS('Trade Log'!$A$6:$A$1005,$B12,'Trade Log'!$BM$6:$BM$1005,1)&gt;0,"Kept trading after daily max loss. ","")&amp;IF(AND(ISNUMBER(Settings!$C$25),N($D12)&gt;N(Settings!$C$25)),"Over max trades. ",""))</f>
        <v/>
      </c>
      <c r="J12" s="106" t="n"/>
      <c r="K12" s="106" t="n"/>
      <c r="L12" s="106" t="n"/>
      <c r="M12" s="29" t="n"/>
      <c r="N12" s="29" t="n"/>
      <c r="O12" s="106" t="n"/>
    </row>
    <row r="13">
      <c r="B13" s="107">
        <f>IF($B12="","",$B12+IF(AND(Settings!$C$10&lt;&gt;"Yes",WEEKDAY($B12,2)&gt;=5),8-WEEKDAY($B12,2),1))</f>
        <v>46295</v>
      </c>
      <c r="C13" s="103" t="str">
        <f>IF($B13="","",CHOOSE(WEEKDAY($B13,2),"Mon","Tue","Wed","Thu","Fri","Sat","Sun"))</f>
        <v>Wed</v>
      </c>
      <c r="D13" s="96">
        <f>IF($B13="","",COUNTIFS('Trade Log'!$A$6:$A$1005,$B13,'Trade Log'!$BH$6:$BH$1005,1))</f>
        <v>2</v>
      </c>
      <c r="E13" s="98">
        <f>IF(OR($B13="",N($D13)=0),"",SUMIFS('Trade Log'!$Q$6:$Q$1005,'Trade Log'!$A$6:$A$1005,$B13))</f>
        <v>122</v>
      </c>
      <c r="F13" s="99">
        <f>IF(OR($B13="",N($D13)=0),"",IFERROR(COUNTIFS('Trade Log'!$A$6:$A$1005,$B13,'Trade Log'!$S$6:$S$1005,"Win")/(COUNTIFS('Trade Log'!$A$6:$A$1005,$B13,'Trade Log'!$S$6:$S$1005,"Win")+COUNTIFS('Trade Log'!$A$6:$A$1005,$B13,'Trade Log'!$S$6:$S$1005,"Loss")),"—"))</f>
        <v>1</v>
      </c>
      <c r="G13" s="104">
        <f>IF(OR($B13="",N($D13)=0),"",SUMIFS('Trade Log'!$R$6:$R$1005,'Trade Log'!$A$6:$A$1005,$B13))</f>
        <v>2.06666666666667</v>
      </c>
      <c r="H13" s="96">
        <f>IF(OR($B13="",N($D13)=0),"",COUNTIFS('Trade Log'!$A$6:$A$1005,$B13,'Trade Log'!$Z$6:$Z$1005,"No"))</f>
        <v>0</v>
      </c>
      <c r="I13" s="105" t="str">
        <f>IF(OR($B13="",N($D13)=0),"",IF(AND(ISNUMBER(Settings!$C$26),N($E13)&lt;=-N(Settings!$C$26)),"Hit daily max loss. ","")&amp;IF(COUNTIFS('Trade Log'!$A$6:$A$1005,$B13,'Trade Log'!$BM$6:$BM$1005,1)&gt;0,"Kept trading after daily max loss. ","")&amp;IF(AND(ISNUMBER(Settings!$C$25),N($D13)&gt;N(Settings!$C$25)),"Over max trades. ",""))</f>
        <v/>
      </c>
      <c r="J13" s="106" t="n"/>
      <c r="K13" s="106" t="n"/>
      <c r="L13" s="106" t="n"/>
      <c r="M13" s="29" t="n"/>
      <c r="N13" s="29" t="n"/>
      <c r="O13" s="106" t="n"/>
    </row>
    <row r="14" ht="58" customHeight="1">
      <c r="B14" s="107">
        <f>IF($B13="","",$B13+IF(AND(Settings!$C$10&lt;&gt;"Yes",WEEKDAY($B13,2)&gt;=5),8-WEEKDAY($B13,2),1))</f>
        <v>46296</v>
      </c>
      <c r="C14" s="103" t="str">
        <f>IF($B14="","",CHOOSE(WEEKDAY($B14,2),"Mon","Tue","Wed","Thu","Fri","Sat","Sun"))</f>
        <v>Thu</v>
      </c>
      <c r="D14" s="96">
        <f>IF($B14="","",COUNTIFS('Trade Log'!$A$6:$A$1005,$B14,'Trade Log'!$BH$6:$BH$1005,1))</f>
        <v>2</v>
      </c>
      <c r="E14" s="98">
        <f>IF(OR($B14="",N($D14)=0),"",SUMIFS('Trade Log'!$Q$6:$Q$1005,'Trade Log'!$A$6:$A$1005,$B14))</f>
        <v>-207.856</v>
      </c>
      <c r="F14" s="99">
        <f>IF(OR($B14="",N($D14)=0),"",IFERROR(COUNTIFS('Trade Log'!$A$6:$A$1005,$B14,'Trade Log'!$S$6:$S$1005,"Win")/(COUNTIFS('Trade Log'!$A$6:$A$1005,$B14,'Trade Log'!$S$6:$S$1005,"Win")+COUNTIFS('Trade Log'!$A$6:$A$1005,$B14,'Trade Log'!$S$6:$S$1005,"Loss")),"—"))</f>
        <v>0.5</v>
      </c>
      <c r="G14" s="104">
        <f>IF(OR($B14="",N($D14)=0),"",SUMIFS('Trade Log'!$R$6:$R$1005,'Trade Log'!$A$6:$A$1005,$B14))</f>
        <v>1</v>
      </c>
      <c r="H14" s="96">
        <f>IF(OR($B14="",N($D14)=0),"",COUNTIFS('Trade Log'!$A$6:$A$1005,$B14,'Trade Log'!$Z$6:$Z$1005,"No"))</f>
        <v>1</v>
      </c>
      <c r="I14" s="105" t="str">
        <f>IF(OR($B14="",N($D14)=0),"",IF(AND(ISNUMBER(Settings!$C$26),N($E14)&lt;=-N(Settings!$C$26)),"Hit daily max loss. ","")&amp;IF(COUNTIFS('Trade Log'!$A$6:$A$1005,$B14,'Trade Log'!$BM$6:$BM$1005,1)&gt;0,"Kept trading after daily max loss. ","")&amp;IF(AND(ISNUMBER(Settings!$C$25),N($D14)&gt;N(Settings!$C$25)),"Over max trades. ",""))</f>
        <v/>
      </c>
      <c r="J14" s="106" t="inlineStr">
        <is>
          <t>Bias long. Normal size.</t>
        </is>
      </c>
      <c r="K14" s="106" t="inlineStr">
        <is>
          <t>Breakout failed and reversed hard.</t>
        </is>
      </c>
      <c r="L14" s="106" t="inlineStr">
        <is>
          <t>Doubled my size after two green days and broke my max risk.</t>
        </is>
      </c>
      <c r="M14" s="29" t="n">
        <v>4</v>
      </c>
      <c r="N14" s="29" t="inlineStr">
        <is>
          <t>D</t>
        </is>
      </c>
      <c r="O14" s="106" t="inlineStr">
        <is>
          <t>Size stays fixed. A green week is not a reason to size up.</t>
        </is>
      </c>
    </row>
    <row r="15">
      <c r="B15" s="107">
        <f>IF($B14="","",$B14+IF(AND(Settings!$C$10&lt;&gt;"Yes",WEEKDAY($B14,2)&gt;=5),8-WEEKDAY($B14,2),1))</f>
        <v>46297</v>
      </c>
      <c r="C15" s="103" t="str">
        <f>IF($B15="","",CHOOSE(WEEKDAY($B15,2),"Mon","Tue","Wed","Thu","Fri","Sat","Sun"))</f>
        <v>Fri</v>
      </c>
      <c r="D15" s="96">
        <f>IF($B15="","",COUNTIFS('Trade Log'!$A$6:$A$1005,$B15,'Trade Log'!$BH$6:$BH$1005,1))</f>
        <v>1</v>
      </c>
      <c r="E15" s="98">
        <f>IF(OR($B15="",N($D15)=0),"",SUMIFS('Trade Log'!$Q$6:$Q$1005,'Trade Log'!$A$6:$A$1005,$B15))</f>
        <v>228</v>
      </c>
      <c r="F15" s="99">
        <f>IF(OR($B15="",N($D15)=0),"",IFERROR(COUNTIFS('Trade Log'!$A$6:$A$1005,$B15,'Trade Log'!$S$6:$S$1005,"Win")/(COUNTIFS('Trade Log'!$A$6:$A$1005,$B15,'Trade Log'!$S$6:$S$1005,"Win")+COUNTIFS('Trade Log'!$A$6:$A$1005,$B15,'Trade Log'!$S$6:$S$1005,"Loss")),"—"))</f>
        <v>1</v>
      </c>
      <c r="G15" s="104">
        <f>IF(OR($B15="",N($D15)=0),"",SUMIFS('Trade Log'!$R$6:$R$1005,'Trade Log'!$A$6:$A$1005,$B15))</f>
        <v>1.91666666666667</v>
      </c>
      <c r="H15" s="96">
        <f>IF(OR($B15="",N($D15)=0),"",COUNTIFS('Trade Log'!$A$6:$A$1005,$B15,'Trade Log'!$Z$6:$Z$1005,"No"))</f>
        <v>0</v>
      </c>
      <c r="I15" s="105" t="str">
        <f>IF(OR($B15="",N($D15)=0),"",IF(AND(ISNUMBER(Settings!$C$26),N($E15)&lt;=-N(Settings!$C$26)),"Hit daily max loss. ","")&amp;IF(COUNTIFS('Trade Log'!$A$6:$A$1005,$B15,'Trade Log'!$BM$6:$BM$1005,1)&gt;0,"Kept trading after daily max loss. ","")&amp;IF(AND(ISNUMBER(Settings!$C$25),N($D15)&gt;N(Settings!$C$25)),"Over max trades. ",""))</f>
        <v/>
      </c>
      <c r="J15" s="106" t="n"/>
      <c r="K15" s="106" t="n"/>
      <c r="L15" s="106" t="n"/>
      <c r="M15" s="29" t="n"/>
      <c r="N15" s="29" t="n"/>
      <c r="O15" s="106" t="n"/>
    </row>
    <row r="16">
      <c r="B16" s="107">
        <f>IF($B15="","",$B15+IF(AND(Settings!$C$10&lt;&gt;"Yes",WEEKDAY($B15,2)&gt;=5),8-WEEKDAY($B15,2),1))</f>
        <v>46300</v>
      </c>
      <c r="C16" s="103" t="str">
        <f>IF($B16="","",CHOOSE(WEEKDAY($B16,2),"Mon","Tue","Wed","Thu","Fri","Sat","Sun"))</f>
        <v>Mon</v>
      </c>
      <c r="D16" s="96">
        <f>IF($B16="","",COUNTIFS('Trade Log'!$A$6:$A$1005,$B16,'Trade Log'!$BH$6:$BH$1005,1))</f>
        <v>2</v>
      </c>
      <c r="E16" s="98">
        <f>IF(OR($B16="",N($D16)=0),"",SUMIFS('Trade Log'!$Q$6:$Q$1005,'Trade Log'!$A$6:$A$1005,$B16))</f>
        <v>285.311</v>
      </c>
      <c r="F16" s="99">
        <f>IF(OR($B16="",N($D16)=0),"",IFERROR(COUNTIFS('Trade Log'!$A$6:$A$1005,$B16,'Trade Log'!$S$6:$S$1005,"Win")/(COUNTIFS('Trade Log'!$A$6:$A$1005,$B16,'Trade Log'!$S$6:$S$1005,"Win")+COUNTIFS('Trade Log'!$A$6:$A$1005,$B16,'Trade Log'!$S$6:$S$1005,"Loss")),"—"))</f>
        <v>1</v>
      </c>
      <c r="G16" s="104">
        <f>IF(OR($B16="",N($D16)=0),"",SUMIFS('Trade Log'!$R$6:$R$1005,'Trade Log'!$A$6:$A$1005,$B16))</f>
        <v>3.1</v>
      </c>
      <c r="H16" s="96">
        <f>IF(OR($B16="",N($D16)=0),"",COUNTIFS('Trade Log'!$A$6:$A$1005,$B16,'Trade Log'!$Z$6:$Z$1005,"No"))</f>
        <v>1</v>
      </c>
      <c r="I16" s="105" t="str">
        <f>IF(OR($B16="",N($D16)=0),"",IF(AND(ISNUMBER(Settings!$C$26),N($E16)&lt;=-N(Settings!$C$26)),"Hit daily max loss. ","")&amp;IF(COUNTIFS('Trade Log'!$A$6:$A$1005,$B16,'Trade Log'!$BM$6:$BM$1005,1)&gt;0,"Kept trading after daily max loss. ","")&amp;IF(AND(ISNUMBER(Settings!$C$25),N($D16)&gt;N(Settings!$C$25)),"Over max trades. ",""))</f>
        <v/>
      </c>
      <c r="J16" s="106" t="n"/>
      <c r="K16" s="106" t="n"/>
      <c r="L16" s="106" t="n"/>
      <c r="M16" s="29" t="n"/>
      <c r="N16" s="29" t="n"/>
      <c r="O16" s="106" t="n"/>
    </row>
    <row r="17">
      <c r="B17" s="107">
        <f>IF($B16="","",$B16+IF(AND(Settings!$C$10&lt;&gt;"Yes",WEEKDAY($B16,2)&gt;=5),8-WEEKDAY($B16,2),1))</f>
        <v>46301</v>
      </c>
      <c r="C17" s="103" t="str">
        <f>IF($B17="","",CHOOSE(WEEKDAY($B17,2),"Mon","Tue","Wed","Thu","Fri","Sat","Sun"))</f>
        <v>Tue</v>
      </c>
      <c r="D17" s="96">
        <f>IF($B17="","",COUNTIFS('Trade Log'!$A$6:$A$1005,$B17,'Trade Log'!$BH$6:$BH$1005,1))</f>
        <v>1</v>
      </c>
      <c r="E17" s="98">
        <f>IF(OR($B17="",N($D17)=0),"",SUMIFS('Trade Log'!$Q$6:$Q$1005,'Trade Log'!$A$6:$A$1005,$B17))</f>
        <v>49</v>
      </c>
      <c r="F17" s="99">
        <f>IF(OR($B17="",N($D17)=0),"",IFERROR(COUNTIFS('Trade Log'!$A$6:$A$1005,$B17,'Trade Log'!$S$6:$S$1005,"Win")/(COUNTIFS('Trade Log'!$A$6:$A$1005,$B17,'Trade Log'!$S$6:$S$1005,"Win")+COUNTIFS('Trade Log'!$A$6:$A$1005,$B17,'Trade Log'!$S$6:$S$1005,"Loss")),"—"))</f>
        <v>1</v>
      </c>
      <c r="G17" s="104">
        <f>IF(OR($B17="",N($D17)=0),"",SUMIFS('Trade Log'!$R$6:$R$1005,'Trade Log'!$A$6:$A$1005,$B17))</f>
        <v>0.833333333333333</v>
      </c>
      <c r="H17" s="96">
        <f>IF(OR($B17="",N($D17)=0),"",COUNTIFS('Trade Log'!$A$6:$A$1005,$B17,'Trade Log'!$Z$6:$Z$1005,"No"))</f>
        <v>1</v>
      </c>
      <c r="I17" s="105" t="str">
        <f>IF(OR($B17="",N($D17)=0),"",IF(AND(ISNUMBER(Settings!$C$26),N($E17)&lt;=-N(Settings!$C$26)),"Hit daily max loss. ","")&amp;IF(COUNTIFS('Trade Log'!$A$6:$A$1005,$B17,'Trade Log'!$BM$6:$BM$1005,1)&gt;0,"Kept trading after daily max loss. ","")&amp;IF(AND(ISNUMBER(Settings!$C$25),N($D17)&gt;N(Settings!$C$25)),"Over max trades. ",""))</f>
        <v/>
      </c>
      <c r="J17" s="106" t="n"/>
      <c r="K17" s="106" t="n"/>
      <c r="L17" s="106" t="n"/>
      <c r="M17" s="29" t="n"/>
      <c r="N17" s="29" t="n"/>
      <c r="O17" s="106" t="n"/>
    </row>
    <row r="18">
      <c r="B18" s="107">
        <f>IF($B17="","",$B17+IF(AND(Settings!$C$10&lt;&gt;"Yes",WEEKDAY($B17,2)&gt;=5),8-WEEKDAY($B17,2),1))</f>
        <v>46302</v>
      </c>
      <c r="C18" s="103" t="str">
        <f>IF($B18="","",CHOOSE(WEEKDAY($B18,2),"Mon","Tue","Wed","Thu","Fri","Sat","Sun"))</f>
        <v>Wed</v>
      </c>
      <c r="D18" s="96">
        <f>IF($B18="","",COUNTIFS('Trade Log'!$A$6:$A$1005,$B18,'Trade Log'!$BH$6:$BH$1005,1))</f>
        <v>0</v>
      </c>
      <c r="E18" s="98" t="str">
        <f>IF(OR($B18="",N($D18)=0),"",SUMIFS('Trade Log'!$Q$6:$Q$1005,'Trade Log'!$A$6:$A$1005,$B18))</f>
        <v/>
      </c>
      <c r="F18" s="99" t="str">
        <f>IF(OR($B18="",N($D18)=0),"",IFERROR(COUNTIFS('Trade Log'!$A$6:$A$1005,$B18,'Trade Log'!$S$6:$S$1005,"Win")/(COUNTIFS('Trade Log'!$A$6:$A$1005,$B18,'Trade Log'!$S$6:$S$1005,"Win")+COUNTIFS('Trade Log'!$A$6:$A$1005,$B18,'Trade Log'!$S$6:$S$1005,"Loss")),"—"))</f>
        <v/>
      </c>
      <c r="G18" s="104" t="str">
        <f>IF(OR($B18="",N($D18)=0),"",SUMIFS('Trade Log'!$R$6:$R$1005,'Trade Log'!$A$6:$A$1005,$B18))</f>
        <v/>
      </c>
      <c r="H18" s="96" t="str">
        <f>IF(OR($B18="",N($D18)=0),"",COUNTIFS('Trade Log'!$A$6:$A$1005,$B18,'Trade Log'!$Z$6:$Z$1005,"No"))</f>
        <v/>
      </c>
      <c r="I18" s="105" t="str">
        <f>IF(OR($B18="",N($D18)=0),"",IF(AND(ISNUMBER(Settings!$C$26),N($E18)&lt;=-N(Settings!$C$26)),"Hit daily max loss. ","")&amp;IF(COUNTIFS('Trade Log'!$A$6:$A$1005,$B18,'Trade Log'!$BM$6:$BM$1005,1)&gt;0,"Kept trading after daily max loss. ","")&amp;IF(AND(ISNUMBER(Settings!$C$25),N($D18)&gt;N(Settings!$C$25)),"Over max trades. ",""))</f>
        <v/>
      </c>
      <c r="J18" s="106" t="n"/>
      <c r="K18" s="106" t="n"/>
      <c r="L18" s="106" t="n"/>
      <c r="M18" s="29" t="n"/>
      <c r="N18" s="29" t="n"/>
      <c r="O18" s="106" t="n"/>
    </row>
    <row r="19">
      <c r="B19" s="107">
        <f>IF($B18="","",$B18+IF(AND(Settings!$C$10&lt;&gt;"Yes",WEEKDAY($B18,2)&gt;=5),8-WEEKDAY($B18,2),1))</f>
        <v>46303</v>
      </c>
      <c r="C19" s="103" t="str">
        <f>IF($B19="","",CHOOSE(WEEKDAY($B19,2),"Mon","Tue","Wed","Thu","Fri","Sat","Sun"))</f>
        <v>Thu</v>
      </c>
      <c r="D19" s="96">
        <f>IF($B19="","",COUNTIFS('Trade Log'!$A$6:$A$1005,$B19,'Trade Log'!$BH$6:$BH$1005,1))</f>
        <v>0</v>
      </c>
      <c r="E19" s="98" t="str">
        <f>IF(OR($B19="",N($D19)=0),"",SUMIFS('Trade Log'!$Q$6:$Q$1005,'Trade Log'!$A$6:$A$1005,$B19))</f>
        <v/>
      </c>
      <c r="F19" s="99" t="str">
        <f>IF(OR($B19="",N($D19)=0),"",IFERROR(COUNTIFS('Trade Log'!$A$6:$A$1005,$B19,'Trade Log'!$S$6:$S$1005,"Win")/(COUNTIFS('Trade Log'!$A$6:$A$1005,$B19,'Trade Log'!$S$6:$S$1005,"Win")+COUNTIFS('Trade Log'!$A$6:$A$1005,$B19,'Trade Log'!$S$6:$S$1005,"Loss")),"—"))</f>
        <v/>
      </c>
      <c r="G19" s="104" t="str">
        <f>IF(OR($B19="",N($D19)=0),"",SUMIFS('Trade Log'!$R$6:$R$1005,'Trade Log'!$A$6:$A$1005,$B19))</f>
        <v/>
      </c>
      <c r="H19" s="96" t="str">
        <f>IF(OR($B19="",N($D19)=0),"",COUNTIFS('Trade Log'!$A$6:$A$1005,$B19,'Trade Log'!$Z$6:$Z$1005,"No"))</f>
        <v/>
      </c>
      <c r="I19" s="105" t="str">
        <f>IF(OR($B19="",N($D19)=0),"",IF(AND(ISNUMBER(Settings!$C$26),N($E19)&lt;=-N(Settings!$C$26)),"Hit daily max loss. ","")&amp;IF(COUNTIFS('Trade Log'!$A$6:$A$1005,$B19,'Trade Log'!$BM$6:$BM$1005,1)&gt;0,"Kept trading after daily max loss. ","")&amp;IF(AND(ISNUMBER(Settings!$C$25),N($D19)&gt;N(Settings!$C$25)),"Over max trades. ",""))</f>
        <v/>
      </c>
      <c r="J19" s="106" t="n"/>
      <c r="K19" s="106" t="n"/>
      <c r="L19" s="106" t="n"/>
      <c r="M19" s="29" t="n"/>
      <c r="N19" s="29" t="n"/>
      <c r="O19" s="106" t="n"/>
    </row>
    <row r="20">
      <c r="B20" s="107">
        <f>IF($B19="","",$B19+IF(AND(Settings!$C$10&lt;&gt;"Yes",WEEKDAY($B19,2)&gt;=5),8-WEEKDAY($B19,2),1))</f>
        <v>46304</v>
      </c>
      <c r="C20" s="103" t="str">
        <f>IF($B20="","",CHOOSE(WEEKDAY($B20,2),"Mon","Tue","Wed","Thu","Fri","Sat","Sun"))</f>
        <v>Fri</v>
      </c>
      <c r="D20" s="96">
        <f>IF($B20="","",COUNTIFS('Trade Log'!$A$6:$A$1005,$B20,'Trade Log'!$BH$6:$BH$1005,1))</f>
        <v>0</v>
      </c>
      <c r="E20" s="98" t="str">
        <f>IF(OR($B20="",N($D20)=0),"",SUMIFS('Trade Log'!$Q$6:$Q$1005,'Trade Log'!$A$6:$A$1005,$B20))</f>
        <v/>
      </c>
      <c r="F20" s="99" t="str">
        <f>IF(OR($B20="",N($D20)=0),"",IFERROR(COUNTIFS('Trade Log'!$A$6:$A$1005,$B20,'Trade Log'!$S$6:$S$1005,"Win")/(COUNTIFS('Trade Log'!$A$6:$A$1005,$B20,'Trade Log'!$S$6:$S$1005,"Win")+COUNTIFS('Trade Log'!$A$6:$A$1005,$B20,'Trade Log'!$S$6:$S$1005,"Loss")),"—"))</f>
        <v/>
      </c>
      <c r="G20" s="104" t="str">
        <f>IF(OR($B20="",N($D20)=0),"",SUMIFS('Trade Log'!$R$6:$R$1005,'Trade Log'!$A$6:$A$1005,$B20))</f>
        <v/>
      </c>
      <c r="H20" s="96" t="str">
        <f>IF(OR($B20="",N($D20)=0),"",COUNTIFS('Trade Log'!$A$6:$A$1005,$B20,'Trade Log'!$Z$6:$Z$1005,"No"))</f>
        <v/>
      </c>
      <c r="I20" s="105" t="str">
        <f>IF(OR($B20="",N($D20)=0),"",IF(AND(ISNUMBER(Settings!$C$26),N($E20)&lt;=-N(Settings!$C$26)),"Hit daily max loss. ","")&amp;IF(COUNTIFS('Trade Log'!$A$6:$A$1005,$B20,'Trade Log'!$BM$6:$BM$1005,1)&gt;0,"Kept trading after daily max loss. ","")&amp;IF(AND(ISNUMBER(Settings!$C$25),N($D20)&gt;N(Settings!$C$25)),"Over max trades. ",""))</f>
        <v/>
      </c>
      <c r="J20" s="106" t="n"/>
      <c r="K20" s="106" t="n"/>
      <c r="L20" s="106" t="n"/>
      <c r="M20" s="29" t="n"/>
      <c r="N20" s="29" t="n"/>
      <c r="O20" s="106" t="n"/>
    </row>
    <row r="21">
      <c r="B21" s="107">
        <f>IF($B20="","",$B20+IF(AND(Settings!$C$10&lt;&gt;"Yes",WEEKDAY($B20,2)&gt;=5),8-WEEKDAY($B20,2),1))</f>
        <v>46307</v>
      </c>
      <c r="C21" s="103" t="str">
        <f>IF($B21="","",CHOOSE(WEEKDAY($B21,2),"Mon","Tue","Wed","Thu","Fri","Sat","Sun"))</f>
        <v>Mon</v>
      </c>
      <c r="D21" s="96">
        <f>IF($B21="","",COUNTIFS('Trade Log'!$A$6:$A$1005,$B21,'Trade Log'!$BH$6:$BH$1005,1))</f>
        <v>0</v>
      </c>
      <c r="E21" s="98" t="str">
        <f>IF(OR($B21="",N($D21)=0),"",SUMIFS('Trade Log'!$Q$6:$Q$1005,'Trade Log'!$A$6:$A$1005,$B21))</f>
        <v/>
      </c>
      <c r="F21" s="99" t="str">
        <f>IF(OR($B21="",N($D21)=0),"",IFERROR(COUNTIFS('Trade Log'!$A$6:$A$1005,$B21,'Trade Log'!$S$6:$S$1005,"Win")/(COUNTIFS('Trade Log'!$A$6:$A$1005,$B21,'Trade Log'!$S$6:$S$1005,"Win")+COUNTIFS('Trade Log'!$A$6:$A$1005,$B21,'Trade Log'!$S$6:$S$1005,"Loss")),"—"))</f>
        <v/>
      </c>
      <c r="G21" s="104" t="str">
        <f>IF(OR($B21="",N($D21)=0),"",SUMIFS('Trade Log'!$R$6:$R$1005,'Trade Log'!$A$6:$A$1005,$B21))</f>
        <v/>
      </c>
      <c r="H21" s="96" t="str">
        <f>IF(OR($B21="",N($D21)=0),"",COUNTIFS('Trade Log'!$A$6:$A$1005,$B21,'Trade Log'!$Z$6:$Z$1005,"No"))</f>
        <v/>
      </c>
      <c r="I21" s="105" t="str">
        <f>IF(OR($B21="",N($D21)=0),"",IF(AND(ISNUMBER(Settings!$C$26),N($E21)&lt;=-N(Settings!$C$26)),"Hit daily max loss. ","")&amp;IF(COUNTIFS('Trade Log'!$A$6:$A$1005,$B21,'Trade Log'!$BM$6:$BM$1005,1)&gt;0,"Kept trading after daily max loss. ","")&amp;IF(AND(ISNUMBER(Settings!$C$25),N($D21)&gt;N(Settings!$C$25)),"Over max trades. ",""))</f>
        <v/>
      </c>
      <c r="J21" s="106" t="n"/>
      <c r="K21" s="106" t="n"/>
      <c r="L21" s="106" t="n"/>
      <c r="M21" s="29" t="n"/>
      <c r="N21" s="29" t="n"/>
      <c r="O21" s="106" t="n"/>
    </row>
    <row r="22">
      <c r="B22" s="107">
        <f>IF($B21="","",$B21+IF(AND(Settings!$C$10&lt;&gt;"Yes",WEEKDAY($B21,2)&gt;=5),8-WEEKDAY($B21,2),1))</f>
        <v>46308</v>
      </c>
      <c r="C22" s="103" t="str">
        <f>IF($B22="","",CHOOSE(WEEKDAY($B22,2),"Mon","Tue","Wed","Thu","Fri","Sat","Sun"))</f>
        <v>Tue</v>
      </c>
      <c r="D22" s="96">
        <f>IF($B22="","",COUNTIFS('Trade Log'!$A$6:$A$1005,$B22,'Trade Log'!$BH$6:$BH$1005,1))</f>
        <v>0</v>
      </c>
      <c r="E22" s="98" t="str">
        <f>IF(OR($B22="",N($D22)=0),"",SUMIFS('Trade Log'!$Q$6:$Q$1005,'Trade Log'!$A$6:$A$1005,$B22))</f>
        <v/>
      </c>
      <c r="F22" s="99" t="str">
        <f>IF(OR($B22="",N($D22)=0),"",IFERROR(COUNTIFS('Trade Log'!$A$6:$A$1005,$B22,'Trade Log'!$S$6:$S$1005,"Win")/(COUNTIFS('Trade Log'!$A$6:$A$1005,$B22,'Trade Log'!$S$6:$S$1005,"Win")+COUNTIFS('Trade Log'!$A$6:$A$1005,$B22,'Trade Log'!$S$6:$S$1005,"Loss")),"—"))</f>
        <v/>
      </c>
      <c r="G22" s="104" t="str">
        <f>IF(OR($B22="",N($D22)=0),"",SUMIFS('Trade Log'!$R$6:$R$1005,'Trade Log'!$A$6:$A$1005,$B22))</f>
        <v/>
      </c>
      <c r="H22" s="96" t="str">
        <f>IF(OR($B22="",N($D22)=0),"",COUNTIFS('Trade Log'!$A$6:$A$1005,$B22,'Trade Log'!$Z$6:$Z$1005,"No"))</f>
        <v/>
      </c>
      <c r="I22" s="105" t="str">
        <f>IF(OR($B22="",N($D22)=0),"",IF(AND(ISNUMBER(Settings!$C$26),N($E22)&lt;=-N(Settings!$C$26)),"Hit daily max loss. ","")&amp;IF(COUNTIFS('Trade Log'!$A$6:$A$1005,$B22,'Trade Log'!$BM$6:$BM$1005,1)&gt;0,"Kept trading after daily max loss. ","")&amp;IF(AND(ISNUMBER(Settings!$C$25),N($D22)&gt;N(Settings!$C$25)),"Over max trades. ",""))</f>
        <v/>
      </c>
      <c r="J22" s="106" t="n"/>
      <c r="K22" s="106" t="n"/>
      <c r="L22" s="106" t="n"/>
      <c r="M22" s="29" t="n"/>
      <c r="N22" s="29" t="n"/>
      <c r="O22" s="106" t="n"/>
    </row>
    <row r="23">
      <c r="B23" s="107">
        <f>IF($B22="","",$B22+IF(AND(Settings!$C$10&lt;&gt;"Yes",WEEKDAY($B22,2)&gt;=5),8-WEEKDAY($B22,2),1))</f>
        <v>46309</v>
      </c>
      <c r="C23" s="103" t="str">
        <f>IF($B23="","",CHOOSE(WEEKDAY($B23,2),"Mon","Tue","Wed","Thu","Fri","Sat","Sun"))</f>
        <v>Wed</v>
      </c>
      <c r="D23" s="96">
        <f>IF($B23="","",COUNTIFS('Trade Log'!$A$6:$A$1005,$B23,'Trade Log'!$BH$6:$BH$1005,1))</f>
        <v>0</v>
      </c>
      <c r="E23" s="98" t="str">
        <f>IF(OR($B23="",N($D23)=0),"",SUMIFS('Trade Log'!$Q$6:$Q$1005,'Trade Log'!$A$6:$A$1005,$B23))</f>
        <v/>
      </c>
      <c r="F23" s="99" t="str">
        <f>IF(OR($B23="",N($D23)=0),"",IFERROR(COUNTIFS('Trade Log'!$A$6:$A$1005,$B23,'Trade Log'!$S$6:$S$1005,"Win")/(COUNTIFS('Trade Log'!$A$6:$A$1005,$B23,'Trade Log'!$S$6:$S$1005,"Win")+COUNTIFS('Trade Log'!$A$6:$A$1005,$B23,'Trade Log'!$S$6:$S$1005,"Loss")),"—"))</f>
        <v/>
      </c>
      <c r="G23" s="104" t="str">
        <f>IF(OR($B23="",N($D23)=0),"",SUMIFS('Trade Log'!$R$6:$R$1005,'Trade Log'!$A$6:$A$1005,$B23))</f>
        <v/>
      </c>
      <c r="H23" s="96" t="str">
        <f>IF(OR($B23="",N($D23)=0),"",COUNTIFS('Trade Log'!$A$6:$A$1005,$B23,'Trade Log'!$Z$6:$Z$1005,"No"))</f>
        <v/>
      </c>
      <c r="I23" s="105" t="str">
        <f>IF(OR($B23="",N($D23)=0),"",IF(AND(ISNUMBER(Settings!$C$26),N($E23)&lt;=-N(Settings!$C$26)),"Hit daily max loss. ","")&amp;IF(COUNTIFS('Trade Log'!$A$6:$A$1005,$B23,'Trade Log'!$BM$6:$BM$1005,1)&gt;0,"Kept trading after daily max loss. ","")&amp;IF(AND(ISNUMBER(Settings!$C$25),N($D23)&gt;N(Settings!$C$25)),"Over max trades. ",""))</f>
        <v/>
      </c>
      <c r="J23" s="106" t="n"/>
      <c r="K23" s="106" t="n"/>
      <c r="L23" s="106" t="n"/>
      <c r="M23" s="29" t="n"/>
      <c r="N23" s="29" t="n"/>
      <c r="O23" s="106" t="n"/>
    </row>
    <row r="24">
      <c r="B24" s="107">
        <f>IF($B23="","",$B23+IF(AND(Settings!$C$10&lt;&gt;"Yes",WEEKDAY($B23,2)&gt;=5),8-WEEKDAY($B23,2),1))</f>
        <v>46310</v>
      </c>
      <c r="C24" s="103" t="str">
        <f>IF($B24="","",CHOOSE(WEEKDAY($B24,2),"Mon","Tue","Wed","Thu","Fri","Sat","Sun"))</f>
        <v>Thu</v>
      </c>
      <c r="D24" s="96">
        <f>IF($B24="","",COUNTIFS('Trade Log'!$A$6:$A$1005,$B24,'Trade Log'!$BH$6:$BH$1005,1))</f>
        <v>0</v>
      </c>
      <c r="E24" s="98" t="str">
        <f>IF(OR($B24="",N($D24)=0),"",SUMIFS('Trade Log'!$Q$6:$Q$1005,'Trade Log'!$A$6:$A$1005,$B24))</f>
        <v/>
      </c>
      <c r="F24" s="99" t="str">
        <f>IF(OR($B24="",N($D24)=0),"",IFERROR(COUNTIFS('Trade Log'!$A$6:$A$1005,$B24,'Trade Log'!$S$6:$S$1005,"Win")/(COUNTIFS('Trade Log'!$A$6:$A$1005,$B24,'Trade Log'!$S$6:$S$1005,"Win")+COUNTIFS('Trade Log'!$A$6:$A$1005,$B24,'Trade Log'!$S$6:$S$1005,"Loss")),"—"))</f>
        <v/>
      </c>
      <c r="G24" s="104" t="str">
        <f>IF(OR($B24="",N($D24)=0),"",SUMIFS('Trade Log'!$R$6:$R$1005,'Trade Log'!$A$6:$A$1005,$B24))</f>
        <v/>
      </c>
      <c r="H24" s="96" t="str">
        <f>IF(OR($B24="",N($D24)=0),"",COUNTIFS('Trade Log'!$A$6:$A$1005,$B24,'Trade Log'!$Z$6:$Z$1005,"No"))</f>
        <v/>
      </c>
      <c r="I24" s="105" t="str">
        <f>IF(OR($B24="",N($D24)=0),"",IF(AND(ISNUMBER(Settings!$C$26),N($E24)&lt;=-N(Settings!$C$26)),"Hit daily max loss. ","")&amp;IF(COUNTIFS('Trade Log'!$A$6:$A$1005,$B24,'Trade Log'!$BM$6:$BM$1005,1)&gt;0,"Kept trading after daily max loss. ","")&amp;IF(AND(ISNUMBER(Settings!$C$25),N($D24)&gt;N(Settings!$C$25)),"Over max trades. ",""))</f>
        <v/>
      </c>
      <c r="J24" s="106" t="n"/>
      <c r="K24" s="106" t="n"/>
      <c r="L24" s="106" t="n"/>
      <c r="M24" s="29" t="n"/>
      <c r="N24" s="29" t="n"/>
      <c r="O24" s="106" t="n"/>
    </row>
    <row r="25">
      <c r="B25" s="107">
        <f>IF($B24="","",$B24+IF(AND(Settings!$C$10&lt;&gt;"Yes",WEEKDAY($B24,2)&gt;=5),8-WEEKDAY($B24,2),1))</f>
        <v>46311</v>
      </c>
      <c r="C25" s="103" t="str">
        <f>IF($B25="","",CHOOSE(WEEKDAY($B25,2),"Mon","Tue","Wed","Thu","Fri","Sat","Sun"))</f>
        <v>Fri</v>
      </c>
      <c r="D25" s="96">
        <f>IF($B25="","",COUNTIFS('Trade Log'!$A$6:$A$1005,$B25,'Trade Log'!$BH$6:$BH$1005,1))</f>
        <v>0</v>
      </c>
      <c r="E25" s="98" t="str">
        <f>IF(OR($B25="",N($D25)=0),"",SUMIFS('Trade Log'!$Q$6:$Q$1005,'Trade Log'!$A$6:$A$1005,$B25))</f>
        <v/>
      </c>
      <c r="F25" s="99" t="str">
        <f>IF(OR($B25="",N($D25)=0),"",IFERROR(COUNTIFS('Trade Log'!$A$6:$A$1005,$B25,'Trade Log'!$S$6:$S$1005,"Win")/(COUNTIFS('Trade Log'!$A$6:$A$1005,$B25,'Trade Log'!$S$6:$S$1005,"Win")+COUNTIFS('Trade Log'!$A$6:$A$1005,$B25,'Trade Log'!$S$6:$S$1005,"Loss")),"—"))</f>
        <v/>
      </c>
      <c r="G25" s="104" t="str">
        <f>IF(OR($B25="",N($D25)=0),"",SUMIFS('Trade Log'!$R$6:$R$1005,'Trade Log'!$A$6:$A$1005,$B25))</f>
        <v/>
      </c>
      <c r="H25" s="96" t="str">
        <f>IF(OR($B25="",N($D25)=0),"",COUNTIFS('Trade Log'!$A$6:$A$1005,$B25,'Trade Log'!$Z$6:$Z$1005,"No"))</f>
        <v/>
      </c>
      <c r="I25" s="105" t="str">
        <f>IF(OR($B25="",N($D25)=0),"",IF(AND(ISNUMBER(Settings!$C$26),N($E25)&lt;=-N(Settings!$C$26)),"Hit daily max loss. ","")&amp;IF(COUNTIFS('Trade Log'!$A$6:$A$1005,$B25,'Trade Log'!$BM$6:$BM$1005,1)&gt;0,"Kept trading after daily max loss. ","")&amp;IF(AND(ISNUMBER(Settings!$C$25),N($D25)&gt;N(Settings!$C$25)),"Over max trades. ",""))</f>
        <v/>
      </c>
      <c r="J25" s="106" t="n"/>
      <c r="K25" s="106" t="n"/>
      <c r="L25" s="106" t="n"/>
      <c r="M25" s="29" t="n"/>
      <c r="N25" s="29" t="n"/>
      <c r="O25" s="106" t="n"/>
    </row>
    <row r="26">
      <c r="B26" s="107">
        <f>IF($B25="","",$B25+IF(AND(Settings!$C$10&lt;&gt;"Yes",WEEKDAY($B25,2)&gt;=5),8-WEEKDAY($B25,2),1))</f>
        <v>46314</v>
      </c>
      <c r="C26" s="103" t="str">
        <f>IF($B26="","",CHOOSE(WEEKDAY($B26,2),"Mon","Tue","Wed","Thu","Fri","Sat","Sun"))</f>
        <v>Mon</v>
      </c>
      <c r="D26" s="96">
        <f>IF($B26="","",COUNTIFS('Trade Log'!$A$6:$A$1005,$B26,'Trade Log'!$BH$6:$BH$1005,1))</f>
        <v>0</v>
      </c>
      <c r="E26" s="98" t="str">
        <f>IF(OR($B26="",N($D26)=0),"",SUMIFS('Trade Log'!$Q$6:$Q$1005,'Trade Log'!$A$6:$A$1005,$B26))</f>
        <v/>
      </c>
      <c r="F26" s="99" t="str">
        <f>IF(OR($B26="",N($D26)=0),"",IFERROR(COUNTIFS('Trade Log'!$A$6:$A$1005,$B26,'Trade Log'!$S$6:$S$1005,"Win")/(COUNTIFS('Trade Log'!$A$6:$A$1005,$B26,'Trade Log'!$S$6:$S$1005,"Win")+COUNTIFS('Trade Log'!$A$6:$A$1005,$B26,'Trade Log'!$S$6:$S$1005,"Loss")),"—"))</f>
        <v/>
      </c>
      <c r="G26" s="104" t="str">
        <f>IF(OR($B26="",N($D26)=0),"",SUMIFS('Trade Log'!$R$6:$R$1005,'Trade Log'!$A$6:$A$1005,$B26))</f>
        <v/>
      </c>
      <c r="H26" s="96" t="str">
        <f>IF(OR($B26="",N($D26)=0),"",COUNTIFS('Trade Log'!$A$6:$A$1005,$B26,'Trade Log'!$Z$6:$Z$1005,"No"))</f>
        <v/>
      </c>
      <c r="I26" s="105" t="str">
        <f>IF(OR($B26="",N($D26)=0),"",IF(AND(ISNUMBER(Settings!$C$26),N($E26)&lt;=-N(Settings!$C$26)),"Hit daily max loss. ","")&amp;IF(COUNTIFS('Trade Log'!$A$6:$A$1005,$B26,'Trade Log'!$BM$6:$BM$1005,1)&gt;0,"Kept trading after daily max loss. ","")&amp;IF(AND(ISNUMBER(Settings!$C$25),N($D26)&gt;N(Settings!$C$25)),"Over max trades. ",""))</f>
        <v/>
      </c>
      <c r="J26" s="106" t="n"/>
      <c r="K26" s="106" t="n"/>
      <c r="L26" s="106" t="n"/>
      <c r="M26" s="29" t="n"/>
      <c r="N26" s="29" t="n"/>
      <c r="O26" s="106" t="n"/>
    </row>
    <row r="27">
      <c r="B27" s="107">
        <f>IF($B26="","",$B26+IF(AND(Settings!$C$10&lt;&gt;"Yes",WEEKDAY($B26,2)&gt;=5),8-WEEKDAY($B26,2),1))</f>
        <v>46315</v>
      </c>
      <c r="C27" s="103" t="str">
        <f>IF($B27="","",CHOOSE(WEEKDAY($B27,2),"Mon","Tue","Wed","Thu","Fri","Sat","Sun"))</f>
        <v>Tue</v>
      </c>
      <c r="D27" s="96">
        <f>IF($B27="","",COUNTIFS('Trade Log'!$A$6:$A$1005,$B27,'Trade Log'!$BH$6:$BH$1005,1))</f>
        <v>0</v>
      </c>
      <c r="E27" s="98" t="str">
        <f>IF(OR($B27="",N($D27)=0),"",SUMIFS('Trade Log'!$Q$6:$Q$1005,'Trade Log'!$A$6:$A$1005,$B27))</f>
        <v/>
      </c>
      <c r="F27" s="99" t="str">
        <f>IF(OR($B27="",N($D27)=0),"",IFERROR(COUNTIFS('Trade Log'!$A$6:$A$1005,$B27,'Trade Log'!$S$6:$S$1005,"Win")/(COUNTIFS('Trade Log'!$A$6:$A$1005,$B27,'Trade Log'!$S$6:$S$1005,"Win")+COUNTIFS('Trade Log'!$A$6:$A$1005,$B27,'Trade Log'!$S$6:$S$1005,"Loss")),"—"))</f>
        <v/>
      </c>
      <c r="G27" s="104" t="str">
        <f>IF(OR($B27="",N($D27)=0),"",SUMIFS('Trade Log'!$R$6:$R$1005,'Trade Log'!$A$6:$A$1005,$B27))</f>
        <v/>
      </c>
      <c r="H27" s="96" t="str">
        <f>IF(OR($B27="",N($D27)=0),"",COUNTIFS('Trade Log'!$A$6:$A$1005,$B27,'Trade Log'!$Z$6:$Z$1005,"No"))</f>
        <v/>
      </c>
      <c r="I27" s="105" t="str">
        <f>IF(OR($B27="",N($D27)=0),"",IF(AND(ISNUMBER(Settings!$C$26),N($E27)&lt;=-N(Settings!$C$26)),"Hit daily max loss. ","")&amp;IF(COUNTIFS('Trade Log'!$A$6:$A$1005,$B27,'Trade Log'!$BM$6:$BM$1005,1)&gt;0,"Kept trading after daily max loss. ","")&amp;IF(AND(ISNUMBER(Settings!$C$25),N($D27)&gt;N(Settings!$C$25)),"Over max trades. ",""))</f>
        <v/>
      </c>
      <c r="J27" s="106" t="n"/>
      <c r="K27" s="106" t="n"/>
      <c r="L27" s="106" t="n"/>
      <c r="M27" s="29" t="n"/>
      <c r="N27" s="29" t="n"/>
      <c r="O27" s="106" t="n"/>
    </row>
    <row r="28">
      <c r="B28" s="107">
        <f>IF($B27="","",$B27+IF(AND(Settings!$C$10&lt;&gt;"Yes",WEEKDAY($B27,2)&gt;=5),8-WEEKDAY($B27,2),1))</f>
        <v>46316</v>
      </c>
      <c r="C28" s="103" t="str">
        <f>IF($B28="","",CHOOSE(WEEKDAY($B28,2),"Mon","Tue","Wed","Thu","Fri","Sat","Sun"))</f>
        <v>Wed</v>
      </c>
      <c r="D28" s="96">
        <f>IF($B28="","",COUNTIFS('Trade Log'!$A$6:$A$1005,$B28,'Trade Log'!$BH$6:$BH$1005,1))</f>
        <v>0</v>
      </c>
      <c r="E28" s="98" t="str">
        <f>IF(OR($B28="",N($D28)=0),"",SUMIFS('Trade Log'!$Q$6:$Q$1005,'Trade Log'!$A$6:$A$1005,$B28))</f>
        <v/>
      </c>
      <c r="F28" s="99" t="str">
        <f>IF(OR($B28="",N($D28)=0),"",IFERROR(COUNTIFS('Trade Log'!$A$6:$A$1005,$B28,'Trade Log'!$S$6:$S$1005,"Win")/(COUNTIFS('Trade Log'!$A$6:$A$1005,$B28,'Trade Log'!$S$6:$S$1005,"Win")+COUNTIFS('Trade Log'!$A$6:$A$1005,$B28,'Trade Log'!$S$6:$S$1005,"Loss")),"—"))</f>
        <v/>
      </c>
      <c r="G28" s="104" t="str">
        <f>IF(OR($B28="",N($D28)=0),"",SUMIFS('Trade Log'!$R$6:$R$1005,'Trade Log'!$A$6:$A$1005,$B28))</f>
        <v/>
      </c>
      <c r="H28" s="96" t="str">
        <f>IF(OR($B28="",N($D28)=0),"",COUNTIFS('Trade Log'!$A$6:$A$1005,$B28,'Trade Log'!$Z$6:$Z$1005,"No"))</f>
        <v/>
      </c>
      <c r="I28" s="105" t="str">
        <f>IF(OR($B28="",N($D28)=0),"",IF(AND(ISNUMBER(Settings!$C$26),N($E28)&lt;=-N(Settings!$C$26)),"Hit daily max loss. ","")&amp;IF(COUNTIFS('Trade Log'!$A$6:$A$1005,$B28,'Trade Log'!$BM$6:$BM$1005,1)&gt;0,"Kept trading after daily max loss. ","")&amp;IF(AND(ISNUMBER(Settings!$C$25),N($D28)&gt;N(Settings!$C$25)),"Over max trades. ",""))</f>
        <v/>
      </c>
      <c r="J28" s="106" t="n"/>
      <c r="K28" s="106" t="n"/>
      <c r="L28" s="106" t="n"/>
      <c r="M28" s="29" t="n"/>
      <c r="N28" s="29" t="n"/>
      <c r="O28" s="106" t="n"/>
    </row>
    <row r="29">
      <c r="B29" s="107">
        <f>IF($B28="","",$B28+IF(AND(Settings!$C$10&lt;&gt;"Yes",WEEKDAY($B28,2)&gt;=5),8-WEEKDAY($B28,2),1))</f>
        <v>46317</v>
      </c>
      <c r="C29" s="103" t="str">
        <f>IF($B29="","",CHOOSE(WEEKDAY($B29,2),"Mon","Tue","Wed","Thu","Fri","Sat","Sun"))</f>
        <v>Thu</v>
      </c>
      <c r="D29" s="96">
        <f>IF($B29="","",COUNTIFS('Trade Log'!$A$6:$A$1005,$B29,'Trade Log'!$BH$6:$BH$1005,1))</f>
        <v>0</v>
      </c>
      <c r="E29" s="98" t="str">
        <f>IF(OR($B29="",N($D29)=0),"",SUMIFS('Trade Log'!$Q$6:$Q$1005,'Trade Log'!$A$6:$A$1005,$B29))</f>
        <v/>
      </c>
      <c r="F29" s="99" t="str">
        <f>IF(OR($B29="",N($D29)=0),"",IFERROR(COUNTIFS('Trade Log'!$A$6:$A$1005,$B29,'Trade Log'!$S$6:$S$1005,"Win")/(COUNTIFS('Trade Log'!$A$6:$A$1005,$B29,'Trade Log'!$S$6:$S$1005,"Win")+COUNTIFS('Trade Log'!$A$6:$A$1005,$B29,'Trade Log'!$S$6:$S$1005,"Loss")),"—"))</f>
        <v/>
      </c>
      <c r="G29" s="104" t="str">
        <f>IF(OR($B29="",N($D29)=0),"",SUMIFS('Trade Log'!$R$6:$R$1005,'Trade Log'!$A$6:$A$1005,$B29))</f>
        <v/>
      </c>
      <c r="H29" s="96" t="str">
        <f>IF(OR($B29="",N($D29)=0),"",COUNTIFS('Trade Log'!$A$6:$A$1005,$B29,'Trade Log'!$Z$6:$Z$1005,"No"))</f>
        <v/>
      </c>
      <c r="I29" s="105" t="str">
        <f>IF(OR($B29="",N($D29)=0),"",IF(AND(ISNUMBER(Settings!$C$26),N($E29)&lt;=-N(Settings!$C$26)),"Hit daily max loss. ","")&amp;IF(COUNTIFS('Trade Log'!$A$6:$A$1005,$B29,'Trade Log'!$BM$6:$BM$1005,1)&gt;0,"Kept trading after daily max loss. ","")&amp;IF(AND(ISNUMBER(Settings!$C$25),N($D29)&gt;N(Settings!$C$25)),"Over max trades. ",""))</f>
        <v/>
      </c>
      <c r="J29" s="106" t="n"/>
      <c r="K29" s="106" t="n"/>
      <c r="L29" s="106" t="n"/>
      <c r="M29" s="29" t="n"/>
      <c r="N29" s="29" t="n"/>
      <c r="O29" s="106" t="n"/>
    </row>
    <row r="30">
      <c r="B30" s="107">
        <f>IF($B29="","",$B29+IF(AND(Settings!$C$10&lt;&gt;"Yes",WEEKDAY($B29,2)&gt;=5),8-WEEKDAY($B29,2),1))</f>
        <v>46318</v>
      </c>
      <c r="C30" s="103" t="str">
        <f>IF($B30="","",CHOOSE(WEEKDAY($B30,2),"Mon","Tue","Wed","Thu","Fri","Sat","Sun"))</f>
        <v>Fri</v>
      </c>
      <c r="D30" s="96">
        <f>IF($B30="","",COUNTIFS('Trade Log'!$A$6:$A$1005,$B30,'Trade Log'!$BH$6:$BH$1005,1))</f>
        <v>0</v>
      </c>
      <c r="E30" s="98" t="str">
        <f>IF(OR($B30="",N($D30)=0),"",SUMIFS('Trade Log'!$Q$6:$Q$1005,'Trade Log'!$A$6:$A$1005,$B30))</f>
        <v/>
      </c>
      <c r="F30" s="99" t="str">
        <f>IF(OR($B30="",N($D30)=0),"",IFERROR(COUNTIFS('Trade Log'!$A$6:$A$1005,$B30,'Trade Log'!$S$6:$S$1005,"Win")/(COUNTIFS('Trade Log'!$A$6:$A$1005,$B30,'Trade Log'!$S$6:$S$1005,"Win")+COUNTIFS('Trade Log'!$A$6:$A$1005,$B30,'Trade Log'!$S$6:$S$1005,"Loss")),"—"))</f>
        <v/>
      </c>
      <c r="G30" s="104" t="str">
        <f>IF(OR($B30="",N($D30)=0),"",SUMIFS('Trade Log'!$R$6:$R$1005,'Trade Log'!$A$6:$A$1005,$B30))</f>
        <v/>
      </c>
      <c r="H30" s="96" t="str">
        <f>IF(OR($B30="",N($D30)=0),"",COUNTIFS('Trade Log'!$A$6:$A$1005,$B30,'Trade Log'!$Z$6:$Z$1005,"No"))</f>
        <v/>
      </c>
      <c r="I30" s="105" t="str">
        <f>IF(OR($B30="",N($D30)=0),"",IF(AND(ISNUMBER(Settings!$C$26),N($E30)&lt;=-N(Settings!$C$26)),"Hit daily max loss. ","")&amp;IF(COUNTIFS('Trade Log'!$A$6:$A$1005,$B30,'Trade Log'!$BM$6:$BM$1005,1)&gt;0,"Kept trading after daily max loss. ","")&amp;IF(AND(ISNUMBER(Settings!$C$25),N($D30)&gt;N(Settings!$C$25)),"Over max trades. ",""))</f>
        <v/>
      </c>
      <c r="J30" s="106" t="n"/>
      <c r="K30" s="106" t="n"/>
      <c r="L30" s="106" t="n"/>
      <c r="M30" s="29" t="n"/>
      <c r="N30" s="29" t="n"/>
      <c r="O30" s="106" t="n"/>
    </row>
    <row r="31">
      <c r="B31" s="107">
        <f>IF($B30="","",$B30+IF(AND(Settings!$C$10&lt;&gt;"Yes",WEEKDAY($B30,2)&gt;=5),8-WEEKDAY($B30,2),1))</f>
        <v>46321</v>
      </c>
      <c r="C31" s="103" t="str">
        <f>IF($B31="","",CHOOSE(WEEKDAY($B31,2),"Mon","Tue","Wed","Thu","Fri","Sat","Sun"))</f>
        <v>Mon</v>
      </c>
      <c r="D31" s="96">
        <f>IF($B31="","",COUNTIFS('Trade Log'!$A$6:$A$1005,$B31,'Trade Log'!$BH$6:$BH$1005,1))</f>
        <v>0</v>
      </c>
      <c r="E31" s="98" t="str">
        <f>IF(OR($B31="",N($D31)=0),"",SUMIFS('Trade Log'!$Q$6:$Q$1005,'Trade Log'!$A$6:$A$1005,$B31))</f>
        <v/>
      </c>
      <c r="F31" s="99" t="str">
        <f>IF(OR($B31="",N($D31)=0),"",IFERROR(COUNTIFS('Trade Log'!$A$6:$A$1005,$B31,'Trade Log'!$S$6:$S$1005,"Win")/(COUNTIFS('Trade Log'!$A$6:$A$1005,$B31,'Trade Log'!$S$6:$S$1005,"Win")+COUNTIFS('Trade Log'!$A$6:$A$1005,$B31,'Trade Log'!$S$6:$S$1005,"Loss")),"—"))</f>
        <v/>
      </c>
      <c r="G31" s="104" t="str">
        <f>IF(OR($B31="",N($D31)=0),"",SUMIFS('Trade Log'!$R$6:$R$1005,'Trade Log'!$A$6:$A$1005,$B31))</f>
        <v/>
      </c>
      <c r="H31" s="96" t="str">
        <f>IF(OR($B31="",N($D31)=0),"",COUNTIFS('Trade Log'!$A$6:$A$1005,$B31,'Trade Log'!$Z$6:$Z$1005,"No"))</f>
        <v/>
      </c>
      <c r="I31" s="105" t="str">
        <f>IF(OR($B31="",N($D31)=0),"",IF(AND(ISNUMBER(Settings!$C$26),N($E31)&lt;=-N(Settings!$C$26)),"Hit daily max loss. ","")&amp;IF(COUNTIFS('Trade Log'!$A$6:$A$1005,$B31,'Trade Log'!$BM$6:$BM$1005,1)&gt;0,"Kept trading after daily max loss. ","")&amp;IF(AND(ISNUMBER(Settings!$C$25),N($D31)&gt;N(Settings!$C$25)),"Over max trades. ",""))</f>
        <v/>
      </c>
      <c r="J31" s="106" t="n"/>
      <c r="K31" s="106" t="n"/>
      <c r="L31" s="106" t="n"/>
      <c r="M31" s="29" t="n"/>
      <c r="N31" s="29" t="n"/>
      <c r="O31" s="106" t="n"/>
    </row>
    <row r="32">
      <c r="B32" s="107">
        <f>IF($B31="","",$B31+IF(AND(Settings!$C$10&lt;&gt;"Yes",WEEKDAY($B31,2)&gt;=5),8-WEEKDAY($B31,2),1))</f>
        <v>46322</v>
      </c>
      <c r="C32" s="103" t="str">
        <f>IF($B32="","",CHOOSE(WEEKDAY($B32,2),"Mon","Tue","Wed","Thu","Fri","Sat","Sun"))</f>
        <v>Tue</v>
      </c>
      <c r="D32" s="96">
        <f>IF($B32="","",COUNTIFS('Trade Log'!$A$6:$A$1005,$B32,'Trade Log'!$BH$6:$BH$1005,1))</f>
        <v>0</v>
      </c>
      <c r="E32" s="98" t="str">
        <f>IF(OR($B32="",N($D32)=0),"",SUMIFS('Trade Log'!$Q$6:$Q$1005,'Trade Log'!$A$6:$A$1005,$B32))</f>
        <v/>
      </c>
      <c r="F32" s="99" t="str">
        <f>IF(OR($B32="",N($D32)=0),"",IFERROR(COUNTIFS('Trade Log'!$A$6:$A$1005,$B32,'Trade Log'!$S$6:$S$1005,"Win")/(COUNTIFS('Trade Log'!$A$6:$A$1005,$B32,'Trade Log'!$S$6:$S$1005,"Win")+COUNTIFS('Trade Log'!$A$6:$A$1005,$B32,'Trade Log'!$S$6:$S$1005,"Loss")),"—"))</f>
        <v/>
      </c>
      <c r="G32" s="104" t="str">
        <f>IF(OR($B32="",N($D32)=0),"",SUMIFS('Trade Log'!$R$6:$R$1005,'Trade Log'!$A$6:$A$1005,$B32))</f>
        <v/>
      </c>
      <c r="H32" s="96" t="str">
        <f>IF(OR($B32="",N($D32)=0),"",COUNTIFS('Trade Log'!$A$6:$A$1005,$B32,'Trade Log'!$Z$6:$Z$1005,"No"))</f>
        <v/>
      </c>
      <c r="I32" s="105" t="str">
        <f>IF(OR($B32="",N($D32)=0),"",IF(AND(ISNUMBER(Settings!$C$26),N($E32)&lt;=-N(Settings!$C$26)),"Hit daily max loss. ","")&amp;IF(COUNTIFS('Trade Log'!$A$6:$A$1005,$B32,'Trade Log'!$BM$6:$BM$1005,1)&gt;0,"Kept trading after daily max loss. ","")&amp;IF(AND(ISNUMBER(Settings!$C$25),N($D32)&gt;N(Settings!$C$25)),"Over max trades. ",""))</f>
        <v/>
      </c>
      <c r="J32" s="106" t="n"/>
      <c r="K32" s="106" t="n"/>
      <c r="L32" s="106" t="n"/>
      <c r="M32" s="29" t="n"/>
      <c r="N32" s="29" t="n"/>
      <c r="O32" s="106" t="n"/>
    </row>
    <row r="33">
      <c r="B33" s="107">
        <f>IF($B32="","",$B32+IF(AND(Settings!$C$10&lt;&gt;"Yes",WEEKDAY($B32,2)&gt;=5),8-WEEKDAY($B32,2),1))</f>
        <v>46323</v>
      </c>
      <c r="C33" s="103" t="str">
        <f>IF($B33="","",CHOOSE(WEEKDAY($B33,2),"Mon","Tue","Wed","Thu","Fri","Sat","Sun"))</f>
        <v>Wed</v>
      </c>
      <c r="D33" s="96">
        <f>IF($B33="","",COUNTIFS('Trade Log'!$A$6:$A$1005,$B33,'Trade Log'!$BH$6:$BH$1005,1))</f>
        <v>0</v>
      </c>
      <c r="E33" s="98" t="str">
        <f>IF(OR($B33="",N($D33)=0),"",SUMIFS('Trade Log'!$Q$6:$Q$1005,'Trade Log'!$A$6:$A$1005,$B33))</f>
        <v/>
      </c>
      <c r="F33" s="99" t="str">
        <f>IF(OR($B33="",N($D33)=0),"",IFERROR(COUNTIFS('Trade Log'!$A$6:$A$1005,$B33,'Trade Log'!$S$6:$S$1005,"Win")/(COUNTIFS('Trade Log'!$A$6:$A$1005,$B33,'Trade Log'!$S$6:$S$1005,"Win")+COUNTIFS('Trade Log'!$A$6:$A$1005,$B33,'Trade Log'!$S$6:$S$1005,"Loss")),"—"))</f>
        <v/>
      </c>
      <c r="G33" s="104" t="str">
        <f>IF(OR($B33="",N($D33)=0),"",SUMIFS('Trade Log'!$R$6:$R$1005,'Trade Log'!$A$6:$A$1005,$B33))</f>
        <v/>
      </c>
      <c r="H33" s="96" t="str">
        <f>IF(OR($B33="",N($D33)=0),"",COUNTIFS('Trade Log'!$A$6:$A$1005,$B33,'Trade Log'!$Z$6:$Z$1005,"No"))</f>
        <v/>
      </c>
      <c r="I33" s="105" t="str">
        <f>IF(OR($B33="",N($D33)=0),"",IF(AND(ISNUMBER(Settings!$C$26),N($E33)&lt;=-N(Settings!$C$26)),"Hit daily max loss. ","")&amp;IF(COUNTIFS('Trade Log'!$A$6:$A$1005,$B33,'Trade Log'!$BM$6:$BM$1005,1)&gt;0,"Kept trading after daily max loss. ","")&amp;IF(AND(ISNUMBER(Settings!$C$25),N($D33)&gt;N(Settings!$C$25)),"Over max trades. ",""))</f>
        <v/>
      </c>
      <c r="J33" s="106" t="n"/>
      <c r="K33" s="106" t="n"/>
      <c r="L33" s="106" t="n"/>
      <c r="M33" s="29" t="n"/>
      <c r="N33" s="29" t="n"/>
      <c r="O33" s="106" t="n"/>
    </row>
    <row r="34">
      <c r="B34" s="107">
        <f>IF($B33="","",$B33+IF(AND(Settings!$C$10&lt;&gt;"Yes",WEEKDAY($B33,2)&gt;=5),8-WEEKDAY($B33,2),1))</f>
        <v>46324</v>
      </c>
      <c r="C34" s="103" t="str">
        <f>IF($B34="","",CHOOSE(WEEKDAY($B34,2),"Mon","Tue","Wed","Thu","Fri","Sat","Sun"))</f>
        <v>Thu</v>
      </c>
      <c r="D34" s="96">
        <f>IF($B34="","",COUNTIFS('Trade Log'!$A$6:$A$1005,$B34,'Trade Log'!$BH$6:$BH$1005,1))</f>
        <v>0</v>
      </c>
      <c r="E34" s="98" t="str">
        <f>IF(OR($B34="",N($D34)=0),"",SUMIFS('Trade Log'!$Q$6:$Q$1005,'Trade Log'!$A$6:$A$1005,$B34))</f>
        <v/>
      </c>
      <c r="F34" s="99" t="str">
        <f>IF(OR($B34="",N($D34)=0),"",IFERROR(COUNTIFS('Trade Log'!$A$6:$A$1005,$B34,'Trade Log'!$S$6:$S$1005,"Win")/(COUNTIFS('Trade Log'!$A$6:$A$1005,$B34,'Trade Log'!$S$6:$S$1005,"Win")+COUNTIFS('Trade Log'!$A$6:$A$1005,$B34,'Trade Log'!$S$6:$S$1005,"Loss")),"—"))</f>
        <v/>
      </c>
      <c r="G34" s="104" t="str">
        <f>IF(OR($B34="",N($D34)=0),"",SUMIFS('Trade Log'!$R$6:$R$1005,'Trade Log'!$A$6:$A$1005,$B34))</f>
        <v/>
      </c>
      <c r="H34" s="96" t="str">
        <f>IF(OR($B34="",N($D34)=0),"",COUNTIFS('Trade Log'!$A$6:$A$1005,$B34,'Trade Log'!$Z$6:$Z$1005,"No"))</f>
        <v/>
      </c>
      <c r="I34" s="105" t="str">
        <f>IF(OR($B34="",N($D34)=0),"",IF(AND(ISNUMBER(Settings!$C$26),N($E34)&lt;=-N(Settings!$C$26)),"Hit daily max loss. ","")&amp;IF(COUNTIFS('Trade Log'!$A$6:$A$1005,$B34,'Trade Log'!$BM$6:$BM$1005,1)&gt;0,"Kept trading after daily max loss. ","")&amp;IF(AND(ISNUMBER(Settings!$C$25),N($D34)&gt;N(Settings!$C$25)),"Over max trades. ",""))</f>
        <v/>
      </c>
      <c r="J34" s="106" t="n"/>
      <c r="K34" s="106" t="n"/>
      <c r="L34" s="106" t="n"/>
      <c r="M34" s="29" t="n"/>
      <c r="N34" s="29" t="n"/>
      <c r="O34" s="106" t="n"/>
    </row>
    <row r="35">
      <c r="B35" s="107">
        <f>IF($B34="","",$B34+IF(AND(Settings!$C$10&lt;&gt;"Yes",WEEKDAY($B34,2)&gt;=5),8-WEEKDAY($B34,2),1))</f>
        <v>46325</v>
      </c>
      <c r="C35" s="103" t="str">
        <f>IF($B35="","",CHOOSE(WEEKDAY($B35,2),"Mon","Tue","Wed","Thu","Fri","Sat","Sun"))</f>
        <v>Fri</v>
      </c>
      <c r="D35" s="96">
        <f>IF($B35="","",COUNTIFS('Trade Log'!$A$6:$A$1005,$B35,'Trade Log'!$BH$6:$BH$1005,1))</f>
        <v>0</v>
      </c>
      <c r="E35" s="98" t="str">
        <f>IF(OR($B35="",N($D35)=0),"",SUMIFS('Trade Log'!$Q$6:$Q$1005,'Trade Log'!$A$6:$A$1005,$B35))</f>
        <v/>
      </c>
      <c r="F35" s="99" t="str">
        <f>IF(OR($B35="",N($D35)=0),"",IFERROR(COUNTIFS('Trade Log'!$A$6:$A$1005,$B35,'Trade Log'!$S$6:$S$1005,"Win")/(COUNTIFS('Trade Log'!$A$6:$A$1005,$B35,'Trade Log'!$S$6:$S$1005,"Win")+COUNTIFS('Trade Log'!$A$6:$A$1005,$B35,'Trade Log'!$S$6:$S$1005,"Loss")),"—"))</f>
        <v/>
      </c>
      <c r="G35" s="104" t="str">
        <f>IF(OR($B35="",N($D35)=0),"",SUMIFS('Trade Log'!$R$6:$R$1005,'Trade Log'!$A$6:$A$1005,$B35))</f>
        <v/>
      </c>
      <c r="H35" s="96" t="str">
        <f>IF(OR($B35="",N($D35)=0),"",COUNTIFS('Trade Log'!$A$6:$A$1005,$B35,'Trade Log'!$Z$6:$Z$1005,"No"))</f>
        <v/>
      </c>
      <c r="I35" s="105" t="str">
        <f>IF(OR($B35="",N($D35)=0),"",IF(AND(ISNUMBER(Settings!$C$26),N($E35)&lt;=-N(Settings!$C$26)),"Hit daily max loss. ","")&amp;IF(COUNTIFS('Trade Log'!$A$6:$A$1005,$B35,'Trade Log'!$BM$6:$BM$1005,1)&gt;0,"Kept trading after daily max loss. ","")&amp;IF(AND(ISNUMBER(Settings!$C$25),N($D35)&gt;N(Settings!$C$25)),"Over max trades. ",""))</f>
        <v/>
      </c>
      <c r="J35" s="106" t="n"/>
      <c r="K35" s="106" t="n"/>
      <c r="L35" s="106" t="n"/>
      <c r="M35" s="29" t="n"/>
      <c r="N35" s="29" t="n"/>
      <c r="O35" s="106" t="n"/>
    </row>
    <row r="36">
      <c r="B36" s="107">
        <f>IF($B35="","",$B35+IF(AND(Settings!$C$10&lt;&gt;"Yes",WEEKDAY($B35,2)&gt;=5),8-WEEKDAY($B35,2),1))</f>
        <v>46328</v>
      </c>
      <c r="C36" s="103" t="str">
        <f>IF($B36="","",CHOOSE(WEEKDAY($B36,2),"Mon","Tue","Wed","Thu","Fri","Sat","Sun"))</f>
        <v>Mon</v>
      </c>
      <c r="D36" s="96">
        <f>IF($B36="","",COUNTIFS('Trade Log'!$A$6:$A$1005,$B36,'Trade Log'!$BH$6:$BH$1005,1))</f>
        <v>0</v>
      </c>
      <c r="E36" s="98" t="str">
        <f>IF(OR($B36="",N($D36)=0),"",SUMIFS('Trade Log'!$Q$6:$Q$1005,'Trade Log'!$A$6:$A$1005,$B36))</f>
        <v/>
      </c>
      <c r="F36" s="99" t="str">
        <f>IF(OR($B36="",N($D36)=0),"",IFERROR(COUNTIFS('Trade Log'!$A$6:$A$1005,$B36,'Trade Log'!$S$6:$S$1005,"Win")/(COUNTIFS('Trade Log'!$A$6:$A$1005,$B36,'Trade Log'!$S$6:$S$1005,"Win")+COUNTIFS('Trade Log'!$A$6:$A$1005,$B36,'Trade Log'!$S$6:$S$1005,"Loss")),"—"))</f>
        <v/>
      </c>
      <c r="G36" s="104" t="str">
        <f>IF(OR($B36="",N($D36)=0),"",SUMIFS('Trade Log'!$R$6:$R$1005,'Trade Log'!$A$6:$A$1005,$B36))</f>
        <v/>
      </c>
      <c r="H36" s="96" t="str">
        <f>IF(OR($B36="",N($D36)=0),"",COUNTIFS('Trade Log'!$A$6:$A$1005,$B36,'Trade Log'!$Z$6:$Z$1005,"No"))</f>
        <v/>
      </c>
      <c r="I36" s="105" t="str">
        <f>IF(OR($B36="",N($D36)=0),"",IF(AND(ISNUMBER(Settings!$C$26),N($E36)&lt;=-N(Settings!$C$26)),"Hit daily max loss. ","")&amp;IF(COUNTIFS('Trade Log'!$A$6:$A$1005,$B36,'Trade Log'!$BM$6:$BM$1005,1)&gt;0,"Kept trading after daily max loss. ","")&amp;IF(AND(ISNUMBER(Settings!$C$25),N($D36)&gt;N(Settings!$C$25)),"Over max trades. ",""))</f>
        <v/>
      </c>
      <c r="J36" s="106" t="n"/>
      <c r="K36" s="106" t="n"/>
      <c r="L36" s="106" t="n"/>
      <c r="M36" s="29" t="n"/>
      <c r="N36" s="29" t="n"/>
      <c r="O36" s="106" t="n"/>
    </row>
    <row r="37">
      <c r="B37" s="107">
        <f>IF($B36="","",$B36+IF(AND(Settings!$C$10&lt;&gt;"Yes",WEEKDAY($B36,2)&gt;=5),8-WEEKDAY($B36,2),1))</f>
        <v>46329</v>
      </c>
      <c r="C37" s="103" t="str">
        <f>IF($B37="","",CHOOSE(WEEKDAY($B37,2),"Mon","Tue","Wed","Thu","Fri","Sat","Sun"))</f>
        <v>Tue</v>
      </c>
      <c r="D37" s="96">
        <f>IF($B37="","",COUNTIFS('Trade Log'!$A$6:$A$1005,$B37,'Trade Log'!$BH$6:$BH$1005,1))</f>
        <v>0</v>
      </c>
      <c r="E37" s="98" t="str">
        <f>IF(OR($B37="",N($D37)=0),"",SUMIFS('Trade Log'!$Q$6:$Q$1005,'Trade Log'!$A$6:$A$1005,$B37))</f>
        <v/>
      </c>
      <c r="F37" s="99" t="str">
        <f>IF(OR($B37="",N($D37)=0),"",IFERROR(COUNTIFS('Trade Log'!$A$6:$A$1005,$B37,'Trade Log'!$S$6:$S$1005,"Win")/(COUNTIFS('Trade Log'!$A$6:$A$1005,$B37,'Trade Log'!$S$6:$S$1005,"Win")+COUNTIFS('Trade Log'!$A$6:$A$1005,$B37,'Trade Log'!$S$6:$S$1005,"Loss")),"—"))</f>
        <v/>
      </c>
      <c r="G37" s="104" t="str">
        <f>IF(OR($B37="",N($D37)=0),"",SUMIFS('Trade Log'!$R$6:$R$1005,'Trade Log'!$A$6:$A$1005,$B37))</f>
        <v/>
      </c>
      <c r="H37" s="96" t="str">
        <f>IF(OR($B37="",N($D37)=0),"",COUNTIFS('Trade Log'!$A$6:$A$1005,$B37,'Trade Log'!$Z$6:$Z$1005,"No"))</f>
        <v/>
      </c>
      <c r="I37" s="105" t="str">
        <f>IF(OR($B37="",N($D37)=0),"",IF(AND(ISNUMBER(Settings!$C$26),N($E37)&lt;=-N(Settings!$C$26)),"Hit daily max loss. ","")&amp;IF(COUNTIFS('Trade Log'!$A$6:$A$1005,$B37,'Trade Log'!$BM$6:$BM$1005,1)&gt;0,"Kept trading after daily max loss. ","")&amp;IF(AND(ISNUMBER(Settings!$C$25),N($D37)&gt;N(Settings!$C$25)),"Over max trades. ",""))</f>
        <v/>
      </c>
      <c r="J37" s="106" t="n"/>
      <c r="K37" s="106" t="n"/>
      <c r="L37" s="106" t="n"/>
      <c r="M37" s="29" t="n"/>
      <c r="N37" s="29" t="n"/>
      <c r="O37" s="106" t="n"/>
    </row>
    <row r="38">
      <c r="B38" s="107">
        <f>IF($B37="","",$B37+IF(AND(Settings!$C$10&lt;&gt;"Yes",WEEKDAY($B37,2)&gt;=5),8-WEEKDAY($B37,2),1))</f>
        <v>46330</v>
      </c>
      <c r="C38" s="103" t="str">
        <f>IF($B38="","",CHOOSE(WEEKDAY($B38,2),"Mon","Tue","Wed","Thu","Fri","Sat","Sun"))</f>
        <v>Wed</v>
      </c>
      <c r="D38" s="96">
        <f>IF($B38="","",COUNTIFS('Trade Log'!$A$6:$A$1005,$B38,'Trade Log'!$BH$6:$BH$1005,1))</f>
        <v>0</v>
      </c>
      <c r="E38" s="98" t="str">
        <f>IF(OR($B38="",N($D38)=0),"",SUMIFS('Trade Log'!$Q$6:$Q$1005,'Trade Log'!$A$6:$A$1005,$B38))</f>
        <v/>
      </c>
      <c r="F38" s="99" t="str">
        <f>IF(OR($B38="",N($D38)=0),"",IFERROR(COUNTIFS('Trade Log'!$A$6:$A$1005,$B38,'Trade Log'!$S$6:$S$1005,"Win")/(COUNTIFS('Trade Log'!$A$6:$A$1005,$B38,'Trade Log'!$S$6:$S$1005,"Win")+COUNTIFS('Trade Log'!$A$6:$A$1005,$B38,'Trade Log'!$S$6:$S$1005,"Loss")),"—"))</f>
        <v/>
      </c>
      <c r="G38" s="104" t="str">
        <f>IF(OR($B38="",N($D38)=0),"",SUMIFS('Trade Log'!$R$6:$R$1005,'Trade Log'!$A$6:$A$1005,$B38))</f>
        <v/>
      </c>
      <c r="H38" s="96" t="str">
        <f>IF(OR($B38="",N($D38)=0),"",COUNTIFS('Trade Log'!$A$6:$A$1005,$B38,'Trade Log'!$Z$6:$Z$1005,"No"))</f>
        <v/>
      </c>
      <c r="I38" s="105" t="str">
        <f>IF(OR($B38="",N($D38)=0),"",IF(AND(ISNUMBER(Settings!$C$26),N($E38)&lt;=-N(Settings!$C$26)),"Hit daily max loss. ","")&amp;IF(COUNTIFS('Trade Log'!$A$6:$A$1005,$B38,'Trade Log'!$BM$6:$BM$1005,1)&gt;0,"Kept trading after daily max loss. ","")&amp;IF(AND(ISNUMBER(Settings!$C$25),N($D38)&gt;N(Settings!$C$25)),"Over max trades. ",""))</f>
        <v/>
      </c>
      <c r="J38" s="106" t="n"/>
      <c r="K38" s="106" t="n"/>
      <c r="L38" s="106" t="n"/>
      <c r="M38" s="29" t="n"/>
      <c r="N38" s="29" t="n"/>
      <c r="O38" s="106" t="n"/>
    </row>
    <row r="39">
      <c r="B39" s="107">
        <f>IF($B38="","",$B38+IF(AND(Settings!$C$10&lt;&gt;"Yes",WEEKDAY($B38,2)&gt;=5),8-WEEKDAY($B38,2),1))</f>
        <v>46331</v>
      </c>
      <c r="C39" s="103" t="str">
        <f>IF($B39="","",CHOOSE(WEEKDAY($B39,2),"Mon","Tue","Wed","Thu","Fri","Sat","Sun"))</f>
        <v>Thu</v>
      </c>
      <c r="D39" s="96">
        <f>IF($B39="","",COUNTIFS('Trade Log'!$A$6:$A$1005,$B39,'Trade Log'!$BH$6:$BH$1005,1))</f>
        <v>0</v>
      </c>
      <c r="E39" s="98" t="str">
        <f>IF(OR($B39="",N($D39)=0),"",SUMIFS('Trade Log'!$Q$6:$Q$1005,'Trade Log'!$A$6:$A$1005,$B39))</f>
        <v/>
      </c>
      <c r="F39" s="99" t="str">
        <f>IF(OR($B39="",N($D39)=0),"",IFERROR(COUNTIFS('Trade Log'!$A$6:$A$1005,$B39,'Trade Log'!$S$6:$S$1005,"Win")/(COUNTIFS('Trade Log'!$A$6:$A$1005,$B39,'Trade Log'!$S$6:$S$1005,"Win")+COUNTIFS('Trade Log'!$A$6:$A$1005,$B39,'Trade Log'!$S$6:$S$1005,"Loss")),"—"))</f>
        <v/>
      </c>
      <c r="G39" s="104" t="str">
        <f>IF(OR($B39="",N($D39)=0),"",SUMIFS('Trade Log'!$R$6:$R$1005,'Trade Log'!$A$6:$A$1005,$B39))</f>
        <v/>
      </c>
      <c r="H39" s="96" t="str">
        <f>IF(OR($B39="",N($D39)=0),"",COUNTIFS('Trade Log'!$A$6:$A$1005,$B39,'Trade Log'!$Z$6:$Z$1005,"No"))</f>
        <v/>
      </c>
      <c r="I39" s="105" t="str">
        <f>IF(OR($B39="",N($D39)=0),"",IF(AND(ISNUMBER(Settings!$C$26),N($E39)&lt;=-N(Settings!$C$26)),"Hit daily max loss. ","")&amp;IF(COUNTIFS('Trade Log'!$A$6:$A$1005,$B39,'Trade Log'!$BM$6:$BM$1005,1)&gt;0,"Kept trading after daily max loss. ","")&amp;IF(AND(ISNUMBER(Settings!$C$25),N($D39)&gt;N(Settings!$C$25)),"Over max trades. ",""))</f>
        <v/>
      </c>
      <c r="J39" s="106" t="n"/>
      <c r="K39" s="106" t="n"/>
      <c r="L39" s="106" t="n"/>
      <c r="M39" s="29" t="n"/>
      <c r="N39" s="29" t="n"/>
      <c r="O39" s="106" t="n"/>
    </row>
    <row r="40">
      <c r="B40" s="107">
        <f>IF($B39="","",$B39+IF(AND(Settings!$C$10&lt;&gt;"Yes",WEEKDAY($B39,2)&gt;=5),8-WEEKDAY($B39,2),1))</f>
        <v>46332</v>
      </c>
      <c r="C40" s="103" t="str">
        <f>IF($B40="","",CHOOSE(WEEKDAY($B40,2),"Mon","Tue","Wed","Thu","Fri","Sat","Sun"))</f>
        <v>Fri</v>
      </c>
      <c r="D40" s="96">
        <f>IF($B40="","",COUNTIFS('Trade Log'!$A$6:$A$1005,$B40,'Trade Log'!$BH$6:$BH$1005,1))</f>
        <v>0</v>
      </c>
      <c r="E40" s="98" t="str">
        <f>IF(OR($B40="",N($D40)=0),"",SUMIFS('Trade Log'!$Q$6:$Q$1005,'Trade Log'!$A$6:$A$1005,$B40))</f>
        <v/>
      </c>
      <c r="F40" s="99" t="str">
        <f>IF(OR($B40="",N($D40)=0),"",IFERROR(COUNTIFS('Trade Log'!$A$6:$A$1005,$B40,'Trade Log'!$S$6:$S$1005,"Win")/(COUNTIFS('Trade Log'!$A$6:$A$1005,$B40,'Trade Log'!$S$6:$S$1005,"Win")+COUNTIFS('Trade Log'!$A$6:$A$1005,$B40,'Trade Log'!$S$6:$S$1005,"Loss")),"—"))</f>
        <v/>
      </c>
      <c r="G40" s="104" t="str">
        <f>IF(OR($B40="",N($D40)=0),"",SUMIFS('Trade Log'!$R$6:$R$1005,'Trade Log'!$A$6:$A$1005,$B40))</f>
        <v/>
      </c>
      <c r="H40" s="96" t="str">
        <f>IF(OR($B40="",N($D40)=0),"",COUNTIFS('Trade Log'!$A$6:$A$1005,$B40,'Trade Log'!$Z$6:$Z$1005,"No"))</f>
        <v/>
      </c>
      <c r="I40" s="105" t="str">
        <f>IF(OR($B40="",N($D40)=0),"",IF(AND(ISNUMBER(Settings!$C$26),N($E40)&lt;=-N(Settings!$C$26)),"Hit daily max loss. ","")&amp;IF(COUNTIFS('Trade Log'!$A$6:$A$1005,$B40,'Trade Log'!$BM$6:$BM$1005,1)&gt;0,"Kept trading after daily max loss. ","")&amp;IF(AND(ISNUMBER(Settings!$C$25),N($D40)&gt;N(Settings!$C$25)),"Over max trades. ",""))</f>
        <v/>
      </c>
      <c r="J40" s="106" t="n"/>
      <c r="K40" s="106" t="n"/>
      <c r="L40" s="106" t="n"/>
      <c r="M40" s="29" t="n"/>
      <c r="N40" s="29" t="n"/>
      <c r="O40" s="106" t="n"/>
    </row>
    <row r="41">
      <c r="B41" s="107">
        <f>IF($B40="","",$B40+IF(AND(Settings!$C$10&lt;&gt;"Yes",WEEKDAY($B40,2)&gt;=5),8-WEEKDAY($B40,2),1))</f>
        <v>46335</v>
      </c>
      <c r="C41" s="103" t="str">
        <f>IF($B41="","",CHOOSE(WEEKDAY($B41,2),"Mon","Tue","Wed","Thu","Fri","Sat","Sun"))</f>
        <v>Mon</v>
      </c>
      <c r="D41" s="96">
        <f>IF($B41="","",COUNTIFS('Trade Log'!$A$6:$A$1005,$B41,'Trade Log'!$BH$6:$BH$1005,1))</f>
        <v>0</v>
      </c>
      <c r="E41" s="98" t="str">
        <f>IF(OR($B41="",N($D41)=0),"",SUMIFS('Trade Log'!$Q$6:$Q$1005,'Trade Log'!$A$6:$A$1005,$B41))</f>
        <v/>
      </c>
      <c r="F41" s="99" t="str">
        <f>IF(OR($B41="",N($D41)=0),"",IFERROR(COUNTIFS('Trade Log'!$A$6:$A$1005,$B41,'Trade Log'!$S$6:$S$1005,"Win")/(COUNTIFS('Trade Log'!$A$6:$A$1005,$B41,'Trade Log'!$S$6:$S$1005,"Win")+COUNTIFS('Trade Log'!$A$6:$A$1005,$B41,'Trade Log'!$S$6:$S$1005,"Loss")),"—"))</f>
        <v/>
      </c>
      <c r="G41" s="104" t="str">
        <f>IF(OR($B41="",N($D41)=0),"",SUMIFS('Trade Log'!$R$6:$R$1005,'Trade Log'!$A$6:$A$1005,$B41))</f>
        <v/>
      </c>
      <c r="H41" s="96" t="str">
        <f>IF(OR($B41="",N($D41)=0),"",COUNTIFS('Trade Log'!$A$6:$A$1005,$B41,'Trade Log'!$Z$6:$Z$1005,"No"))</f>
        <v/>
      </c>
      <c r="I41" s="105" t="str">
        <f>IF(OR($B41="",N($D41)=0),"",IF(AND(ISNUMBER(Settings!$C$26),N($E41)&lt;=-N(Settings!$C$26)),"Hit daily max loss. ","")&amp;IF(COUNTIFS('Trade Log'!$A$6:$A$1005,$B41,'Trade Log'!$BM$6:$BM$1005,1)&gt;0,"Kept trading after daily max loss. ","")&amp;IF(AND(ISNUMBER(Settings!$C$25),N($D41)&gt;N(Settings!$C$25)),"Over max trades. ",""))</f>
        <v/>
      </c>
      <c r="J41" s="106" t="n"/>
      <c r="K41" s="106" t="n"/>
      <c r="L41" s="106" t="n"/>
      <c r="M41" s="29" t="n"/>
      <c r="N41" s="29" t="n"/>
      <c r="O41" s="106" t="n"/>
    </row>
    <row r="42">
      <c r="B42" s="107">
        <f>IF($B41="","",$B41+IF(AND(Settings!$C$10&lt;&gt;"Yes",WEEKDAY($B41,2)&gt;=5),8-WEEKDAY($B41,2),1))</f>
        <v>46336</v>
      </c>
      <c r="C42" s="103" t="str">
        <f>IF($B42="","",CHOOSE(WEEKDAY($B42,2),"Mon","Tue","Wed","Thu","Fri","Sat","Sun"))</f>
        <v>Tue</v>
      </c>
      <c r="D42" s="96">
        <f>IF($B42="","",COUNTIFS('Trade Log'!$A$6:$A$1005,$B42,'Trade Log'!$BH$6:$BH$1005,1))</f>
        <v>0</v>
      </c>
      <c r="E42" s="98" t="str">
        <f>IF(OR($B42="",N($D42)=0),"",SUMIFS('Trade Log'!$Q$6:$Q$1005,'Trade Log'!$A$6:$A$1005,$B42))</f>
        <v/>
      </c>
      <c r="F42" s="99" t="str">
        <f>IF(OR($B42="",N($D42)=0),"",IFERROR(COUNTIFS('Trade Log'!$A$6:$A$1005,$B42,'Trade Log'!$S$6:$S$1005,"Win")/(COUNTIFS('Trade Log'!$A$6:$A$1005,$B42,'Trade Log'!$S$6:$S$1005,"Win")+COUNTIFS('Trade Log'!$A$6:$A$1005,$B42,'Trade Log'!$S$6:$S$1005,"Loss")),"—"))</f>
        <v/>
      </c>
      <c r="G42" s="104" t="str">
        <f>IF(OR($B42="",N($D42)=0),"",SUMIFS('Trade Log'!$R$6:$R$1005,'Trade Log'!$A$6:$A$1005,$B42))</f>
        <v/>
      </c>
      <c r="H42" s="96" t="str">
        <f>IF(OR($B42="",N($D42)=0),"",COUNTIFS('Trade Log'!$A$6:$A$1005,$B42,'Trade Log'!$Z$6:$Z$1005,"No"))</f>
        <v/>
      </c>
      <c r="I42" s="105" t="str">
        <f>IF(OR($B42="",N($D42)=0),"",IF(AND(ISNUMBER(Settings!$C$26),N($E42)&lt;=-N(Settings!$C$26)),"Hit daily max loss. ","")&amp;IF(COUNTIFS('Trade Log'!$A$6:$A$1005,$B42,'Trade Log'!$BM$6:$BM$1005,1)&gt;0,"Kept trading after daily max loss. ","")&amp;IF(AND(ISNUMBER(Settings!$C$25),N($D42)&gt;N(Settings!$C$25)),"Over max trades. ",""))</f>
        <v/>
      </c>
      <c r="J42" s="106" t="n"/>
      <c r="K42" s="106" t="n"/>
      <c r="L42" s="106" t="n"/>
      <c r="M42" s="29" t="n"/>
      <c r="N42" s="29" t="n"/>
      <c r="O42" s="106" t="n"/>
    </row>
    <row r="43">
      <c r="B43" s="107">
        <f>IF($B42="","",$B42+IF(AND(Settings!$C$10&lt;&gt;"Yes",WEEKDAY($B42,2)&gt;=5),8-WEEKDAY($B42,2),1))</f>
        <v>46337</v>
      </c>
      <c r="C43" s="103" t="str">
        <f>IF($B43="","",CHOOSE(WEEKDAY($B43,2),"Mon","Tue","Wed","Thu","Fri","Sat","Sun"))</f>
        <v>Wed</v>
      </c>
      <c r="D43" s="96">
        <f>IF($B43="","",COUNTIFS('Trade Log'!$A$6:$A$1005,$B43,'Trade Log'!$BH$6:$BH$1005,1))</f>
        <v>0</v>
      </c>
      <c r="E43" s="98" t="str">
        <f>IF(OR($B43="",N($D43)=0),"",SUMIFS('Trade Log'!$Q$6:$Q$1005,'Trade Log'!$A$6:$A$1005,$B43))</f>
        <v/>
      </c>
      <c r="F43" s="99" t="str">
        <f>IF(OR($B43="",N($D43)=0),"",IFERROR(COUNTIFS('Trade Log'!$A$6:$A$1005,$B43,'Trade Log'!$S$6:$S$1005,"Win")/(COUNTIFS('Trade Log'!$A$6:$A$1005,$B43,'Trade Log'!$S$6:$S$1005,"Win")+COUNTIFS('Trade Log'!$A$6:$A$1005,$B43,'Trade Log'!$S$6:$S$1005,"Loss")),"—"))</f>
        <v/>
      </c>
      <c r="G43" s="104" t="str">
        <f>IF(OR($B43="",N($D43)=0),"",SUMIFS('Trade Log'!$R$6:$R$1005,'Trade Log'!$A$6:$A$1005,$B43))</f>
        <v/>
      </c>
      <c r="H43" s="96" t="str">
        <f>IF(OR($B43="",N($D43)=0),"",COUNTIFS('Trade Log'!$A$6:$A$1005,$B43,'Trade Log'!$Z$6:$Z$1005,"No"))</f>
        <v/>
      </c>
      <c r="I43" s="105" t="str">
        <f>IF(OR($B43="",N($D43)=0),"",IF(AND(ISNUMBER(Settings!$C$26),N($E43)&lt;=-N(Settings!$C$26)),"Hit daily max loss. ","")&amp;IF(COUNTIFS('Trade Log'!$A$6:$A$1005,$B43,'Trade Log'!$BM$6:$BM$1005,1)&gt;0,"Kept trading after daily max loss. ","")&amp;IF(AND(ISNUMBER(Settings!$C$25),N($D43)&gt;N(Settings!$C$25)),"Over max trades. ",""))</f>
        <v/>
      </c>
      <c r="J43" s="106" t="n"/>
      <c r="K43" s="106" t="n"/>
      <c r="L43" s="106" t="n"/>
      <c r="M43" s="29" t="n"/>
      <c r="N43" s="29" t="n"/>
      <c r="O43" s="106" t="n"/>
    </row>
    <row r="44">
      <c r="B44" s="107">
        <f>IF($B43="","",$B43+IF(AND(Settings!$C$10&lt;&gt;"Yes",WEEKDAY($B43,2)&gt;=5),8-WEEKDAY($B43,2),1))</f>
        <v>46338</v>
      </c>
      <c r="C44" s="103" t="str">
        <f>IF($B44="","",CHOOSE(WEEKDAY($B44,2),"Mon","Tue","Wed","Thu","Fri","Sat","Sun"))</f>
        <v>Thu</v>
      </c>
      <c r="D44" s="96">
        <f>IF($B44="","",COUNTIFS('Trade Log'!$A$6:$A$1005,$B44,'Trade Log'!$BH$6:$BH$1005,1))</f>
        <v>0</v>
      </c>
      <c r="E44" s="98" t="str">
        <f>IF(OR($B44="",N($D44)=0),"",SUMIFS('Trade Log'!$Q$6:$Q$1005,'Trade Log'!$A$6:$A$1005,$B44))</f>
        <v/>
      </c>
      <c r="F44" s="99" t="str">
        <f>IF(OR($B44="",N($D44)=0),"",IFERROR(COUNTIFS('Trade Log'!$A$6:$A$1005,$B44,'Trade Log'!$S$6:$S$1005,"Win")/(COUNTIFS('Trade Log'!$A$6:$A$1005,$B44,'Trade Log'!$S$6:$S$1005,"Win")+COUNTIFS('Trade Log'!$A$6:$A$1005,$B44,'Trade Log'!$S$6:$S$1005,"Loss")),"—"))</f>
        <v/>
      </c>
      <c r="G44" s="104" t="str">
        <f>IF(OR($B44="",N($D44)=0),"",SUMIFS('Trade Log'!$R$6:$R$1005,'Trade Log'!$A$6:$A$1005,$B44))</f>
        <v/>
      </c>
      <c r="H44" s="96" t="str">
        <f>IF(OR($B44="",N($D44)=0),"",COUNTIFS('Trade Log'!$A$6:$A$1005,$B44,'Trade Log'!$Z$6:$Z$1005,"No"))</f>
        <v/>
      </c>
      <c r="I44" s="105" t="str">
        <f>IF(OR($B44="",N($D44)=0),"",IF(AND(ISNUMBER(Settings!$C$26),N($E44)&lt;=-N(Settings!$C$26)),"Hit daily max loss. ","")&amp;IF(COUNTIFS('Trade Log'!$A$6:$A$1005,$B44,'Trade Log'!$BM$6:$BM$1005,1)&gt;0,"Kept trading after daily max loss. ","")&amp;IF(AND(ISNUMBER(Settings!$C$25),N($D44)&gt;N(Settings!$C$25)),"Over max trades. ",""))</f>
        <v/>
      </c>
      <c r="J44" s="106" t="n"/>
      <c r="K44" s="106" t="n"/>
      <c r="L44" s="106" t="n"/>
      <c r="M44" s="29" t="n"/>
      <c r="N44" s="29" t="n"/>
      <c r="O44" s="106" t="n"/>
    </row>
    <row r="45">
      <c r="B45" s="107">
        <f>IF($B44="","",$B44+IF(AND(Settings!$C$10&lt;&gt;"Yes",WEEKDAY($B44,2)&gt;=5),8-WEEKDAY($B44,2),1))</f>
        <v>46339</v>
      </c>
      <c r="C45" s="103" t="str">
        <f>IF($B45="","",CHOOSE(WEEKDAY($B45,2),"Mon","Tue","Wed","Thu","Fri","Sat","Sun"))</f>
        <v>Fri</v>
      </c>
      <c r="D45" s="96">
        <f>IF($B45="","",COUNTIFS('Trade Log'!$A$6:$A$1005,$B45,'Trade Log'!$BH$6:$BH$1005,1))</f>
        <v>0</v>
      </c>
      <c r="E45" s="98" t="str">
        <f>IF(OR($B45="",N($D45)=0),"",SUMIFS('Trade Log'!$Q$6:$Q$1005,'Trade Log'!$A$6:$A$1005,$B45))</f>
        <v/>
      </c>
      <c r="F45" s="99" t="str">
        <f>IF(OR($B45="",N($D45)=0),"",IFERROR(COUNTIFS('Trade Log'!$A$6:$A$1005,$B45,'Trade Log'!$S$6:$S$1005,"Win")/(COUNTIFS('Trade Log'!$A$6:$A$1005,$B45,'Trade Log'!$S$6:$S$1005,"Win")+COUNTIFS('Trade Log'!$A$6:$A$1005,$B45,'Trade Log'!$S$6:$S$1005,"Loss")),"—"))</f>
        <v/>
      </c>
      <c r="G45" s="104" t="str">
        <f>IF(OR($B45="",N($D45)=0),"",SUMIFS('Trade Log'!$R$6:$R$1005,'Trade Log'!$A$6:$A$1005,$B45))</f>
        <v/>
      </c>
      <c r="H45" s="96" t="str">
        <f>IF(OR($B45="",N($D45)=0),"",COUNTIFS('Trade Log'!$A$6:$A$1005,$B45,'Trade Log'!$Z$6:$Z$1005,"No"))</f>
        <v/>
      </c>
      <c r="I45" s="105" t="str">
        <f>IF(OR($B45="",N($D45)=0),"",IF(AND(ISNUMBER(Settings!$C$26),N($E45)&lt;=-N(Settings!$C$26)),"Hit daily max loss. ","")&amp;IF(COUNTIFS('Trade Log'!$A$6:$A$1005,$B45,'Trade Log'!$BM$6:$BM$1005,1)&gt;0,"Kept trading after daily max loss. ","")&amp;IF(AND(ISNUMBER(Settings!$C$25),N($D45)&gt;N(Settings!$C$25)),"Over max trades. ",""))</f>
        <v/>
      </c>
      <c r="J45" s="106" t="n"/>
      <c r="K45" s="106" t="n"/>
      <c r="L45" s="106" t="n"/>
      <c r="M45" s="29" t="n"/>
      <c r="N45" s="29" t="n"/>
      <c r="O45" s="106" t="n"/>
    </row>
    <row r="46">
      <c r="B46" s="107">
        <f>IF($B45="","",$B45+IF(AND(Settings!$C$10&lt;&gt;"Yes",WEEKDAY($B45,2)&gt;=5),8-WEEKDAY($B45,2),1))</f>
        <v>46342</v>
      </c>
      <c r="C46" s="103" t="str">
        <f>IF($B46="","",CHOOSE(WEEKDAY($B46,2),"Mon","Tue","Wed","Thu","Fri","Sat","Sun"))</f>
        <v>Mon</v>
      </c>
      <c r="D46" s="96">
        <f>IF($B46="","",COUNTIFS('Trade Log'!$A$6:$A$1005,$B46,'Trade Log'!$BH$6:$BH$1005,1))</f>
        <v>0</v>
      </c>
      <c r="E46" s="98" t="str">
        <f>IF(OR($B46="",N($D46)=0),"",SUMIFS('Trade Log'!$Q$6:$Q$1005,'Trade Log'!$A$6:$A$1005,$B46))</f>
        <v/>
      </c>
      <c r="F46" s="99" t="str">
        <f>IF(OR($B46="",N($D46)=0),"",IFERROR(COUNTIFS('Trade Log'!$A$6:$A$1005,$B46,'Trade Log'!$S$6:$S$1005,"Win")/(COUNTIFS('Trade Log'!$A$6:$A$1005,$B46,'Trade Log'!$S$6:$S$1005,"Win")+COUNTIFS('Trade Log'!$A$6:$A$1005,$B46,'Trade Log'!$S$6:$S$1005,"Loss")),"—"))</f>
        <v/>
      </c>
      <c r="G46" s="104" t="str">
        <f>IF(OR($B46="",N($D46)=0),"",SUMIFS('Trade Log'!$R$6:$R$1005,'Trade Log'!$A$6:$A$1005,$B46))</f>
        <v/>
      </c>
      <c r="H46" s="96" t="str">
        <f>IF(OR($B46="",N($D46)=0),"",COUNTIFS('Trade Log'!$A$6:$A$1005,$B46,'Trade Log'!$Z$6:$Z$1005,"No"))</f>
        <v/>
      </c>
      <c r="I46" s="105" t="str">
        <f>IF(OR($B46="",N($D46)=0),"",IF(AND(ISNUMBER(Settings!$C$26),N($E46)&lt;=-N(Settings!$C$26)),"Hit daily max loss. ","")&amp;IF(COUNTIFS('Trade Log'!$A$6:$A$1005,$B46,'Trade Log'!$BM$6:$BM$1005,1)&gt;0,"Kept trading after daily max loss. ","")&amp;IF(AND(ISNUMBER(Settings!$C$25),N($D46)&gt;N(Settings!$C$25)),"Over max trades. ",""))</f>
        <v/>
      </c>
      <c r="J46" s="106" t="n"/>
      <c r="K46" s="106" t="n"/>
      <c r="L46" s="106" t="n"/>
      <c r="M46" s="29" t="n"/>
      <c r="N46" s="29" t="n"/>
      <c r="O46" s="106" t="n"/>
    </row>
    <row r="47">
      <c r="B47" s="107">
        <f>IF($B46="","",$B46+IF(AND(Settings!$C$10&lt;&gt;"Yes",WEEKDAY($B46,2)&gt;=5),8-WEEKDAY($B46,2),1))</f>
        <v>46343</v>
      </c>
      <c r="C47" s="103" t="str">
        <f>IF($B47="","",CHOOSE(WEEKDAY($B47,2),"Mon","Tue","Wed","Thu","Fri","Sat","Sun"))</f>
        <v>Tue</v>
      </c>
      <c r="D47" s="96">
        <f>IF($B47="","",COUNTIFS('Trade Log'!$A$6:$A$1005,$B47,'Trade Log'!$BH$6:$BH$1005,1))</f>
        <v>0</v>
      </c>
      <c r="E47" s="98" t="str">
        <f>IF(OR($B47="",N($D47)=0),"",SUMIFS('Trade Log'!$Q$6:$Q$1005,'Trade Log'!$A$6:$A$1005,$B47))</f>
        <v/>
      </c>
      <c r="F47" s="99" t="str">
        <f>IF(OR($B47="",N($D47)=0),"",IFERROR(COUNTIFS('Trade Log'!$A$6:$A$1005,$B47,'Trade Log'!$S$6:$S$1005,"Win")/(COUNTIFS('Trade Log'!$A$6:$A$1005,$B47,'Trade Log'!$S$6:$S$1005,"Win")+COUNTIFS('Trade Log'!$A$6:$A$1005,$B47,'Trade Log'!$S$6:$S$1005,"Loss")),"—"))</f>
        <v/>
      </c>
      <c r="G47" s="104" t="str">
        <f>IF(OR($B47="",N($D47)=0),"",SUMIFS('Trade Log'!$R$6:$R$1005,'Trade Log'!$A$6:$A$1005,$B47))</f>
        <v/>
      </c>
      <c r="H47" s="96" t="str">
        <f>IF(OR($B47="",N($D47)=0),"",COUNTIFS('Trade Log'!$A$6:$A$1005,$B47,'Trade Log'!$Z$6:$Z$1005,"No"))</f>
        <v/>
      </c>
      <c r="I47" s="105" t="str">
        <f>IF(OR($B47="",N($D47)=0),"",IF(AND(ISNUMBER(Settings!$C$26),N($E47)&lt;=-N(Settings!$C$26)),"Hit daily max loss. ","")&amp;IF(COUNTIFS('Trade Log'!$A$6:$A$1005,$B47,'Trade Log'!$BM$6:$BM$1005,1)&gt;0,"Kept trading after daily max loss. ","")&amp;IF(AND(ISNUMBER(Settings!$C$25),N($D47)&gt;N(Settings!$C$25)),"Over max trades. ",""))</f>
        <v/>
      </c>
      <c r="J47" s="106" t="n"/>
      <c r="K47" s="106" t="n"/>
      <c r="L47" s="106" t="n"/>
      <c r="M47" s="29" t="n"/>
      <c r="N47" s="29" t="n"/>
      <c r="O47" s="106" t="n"/>
    </row>
    <row r="48">
      <c r="B48" s="107">
        <f>IF($B47="","",$B47+IF(AND(Settings!$C$10&lt;&gt;"Yes",WEEKDAY($B47,2)&gt;=5),8-WEEKDAY($B47,2),1))</f>
        <v>46344</v>
      </c>
      <c r="C48" s="103" t="str">
        <f>IF($B48="","",CHOOSE(WEEKDAY($B48,2),"Mon","Tue","Wed","Thu","Fri","Sat","Sun"))</f>
        <v>Wed</v>
      </c>
      <c r="D48" s="96">
        <f>IF($B48="","",COUNTIFS('Trade Log'!$A$6:$A$1005,$B48,'Trade Log'!$BH$6:$BH$1005,1))</f>
        <v>0</v>
      </c>
      <c r="E48" s="98" t="str">
        <f>IF(OR($B48="",N($D48)=0),"",SUMIFS('Trade Log'!$Q$6:$Q$1005,'Trade Log'!$A$6:$A$1005,$B48))</f>
        <v/>
      </c>
      <c r="F48" s="99" t="str">
        <f>IF(OR($B48="",N($D48)=0),"",IFERROR(COUNTIFS('Trade Log'!$A$6:$A$1005,$B48,'Trade Log'!$S$6:$S$1005,"Win")/(COUNTIFS('Trade Log'!$A$6:$A$1005,$B48,'Trade Log'!$S$6:$S$1005,"Win")+COUNTIFS('Trade Log'!$A$6:$A$1005,$B48,'Trade Log'!$S$6:$S$1005,"Loss")),"—"))</f>
        <v/>
      </c>
      <c r="G48" s="104" t="str">
        <f>IF(OR($B48="",N($D48)=0),"",SUMIFS('Trade Log'!$R$6:$R$1005,'Trade Log'!$A$6:$A$1005,$B48))</f>
        <v/>
      </c>
      <c r="H48" s="96" t="str">
        <f>IF(OR($B48="",N($D48)=0),"",COUNTIFS('Trade Log'!$A$6:$A$1005,$B48,'Trade Log'!$Z$6:$Z$1005,"No"))</f>
        <v/>
      </c>
      <c r="I48" s="105" t="str">
        <f>IF(OR($B48="",N($D48)=0),"",IF(AND(ISNUMBER(Settings!$C$26),N($E48)&lt;=-N(Settings!$C$26)),"Hit daily max loss. ","")&amp;IF(COUNTIFS('Trade Log'!$A$6:$A$1005,$B48,'Trade Log'!$BM$6:$BM$1005,1)&gt;0,"Kept trading after daily max loss. ","")&amp;IF(AND(ISNUMBER(Settings!$C$25),N($D48)&gt;N(Settings!$C$25)),"Over max trades. ",""))</f>
        <v/>
      </c>
      <c r="J48" s="106" t="n"/>
      <c r="K48" s="106" t="n"/>
      <c r="L48" s="106" t="n"/>
      <c r="M48" s="29" t="n"/>
      <c r="N48" s="29" t="n"/>
      <c r="O48" s="106" t="n"/>
    </row>
    <row r="49">
      <c r="B49" s="107">
        <f>IF($B48="","",$B48+IF(AND(Settings!$C$10&lt;&gt;"Yes",WEEKDAY($B48,2)&gt;=5),8-WEEKDAY($B48,2),1))</f>
        <v>46345</v>
      </c>
      <c r="C49" s="103" t="str">
        <f>IF($B49="","",CHOOSE(WEEKDAY($B49,2),"Mon","Tue","Wed","Thu","Fri","Sat","Sun"))</f>
        <v>Thu</v>
      </c>
      <c r="D49" s="96">
        <f>IF($B49="","",COUNTIFS('Trade Log'!$A$6:$A$1005,$B49,'Trade Log'!$BH$6:$BH$1005,1))</f>
        <v>0</v>
      </c>
      <c r="E49" s="98" t="str">
        <f>IF(OR($B49="",N($D49)=0),"",SUMIFS('Trade Log'!$Q$6:$Q$1005,'Trade Log'!$A$6:$A$1005,$B49))</f>
        <v/>
      </c>
      <c r="F49" s="99" t="str">
        <f>IF(OR($B49="",N($D49)=0),"",IFERROR(COUNTIFS('Trade Log'!$A$6:$A$1005,$B49,'Trade Log'!$S$6:$S$1005,"Win")/(COUNTIFS('Trade Log'!$A$6:$A$1005,$B49,'Trade Log'!$S$6:$S$1005,"Win")+COUNTIFS('Trade Log'!$A$6:$A$1005,$B49,'Trade Log'!$S$6:$S$1005,"Loss")),"—"))</f>
        <v/>
      </c>
      <c r="G49" s="104" t="str">
        <f>IF(OR($B49="",N($D49)=0),"",SUMIFS('Trade Log'!$R$6:$R$1005,'Trade Log'!$A$6:$A$1005,$B49))</f>
        <v/>
      </c>
      <c r="H49" s="96" t="str">
        <f>IF(OR($B49="",N($D49)=0),"",COUNTIFS('Trade Log'!$A$6:$A$1005,$B49,'Trade Log'!$Z$6:$Z$1005,"No"))</f>
        <v/>
      </c>
      <c r="I49" s="105" t="str">
        <f>IF(OR($B49="",N($D49)=0),"",IF(AND(ISNUMBER(Settings!$C$26),N($E49)&lt;=-N(Settings!$C$26)),"Hit daily max loss. ","")&amp;IF(COUNTIFS('Trade Log'!$A$6:$A$1005,$B49,'Trade Log'!$BM$6:$BM$1005,1)&gt;0,"Kept trading after daily max loss. ","")&amp;IF(AND(ISNUMBER(Settings!$C$25),N($D49)&gt;N(Settings!$C$25)),"Over max trades. ",""))</f>
        <v/>
      </c>
      <c r="J49" s="106" t="n"/>
      <c r="K49" s="106" t="n"/>
      <c r="L49" s="106" t="n"/>
      <c r="M49" s="29" t="n"/>
      <c r="N49" s="29" t="n"/>
      <c r="O49" s="106" t="n"/>
    </row>
    <row r="50">
      <c r="B50" s="107">
        <f>IF($B49="","",$B49+IF(AND(Settings!$C$10&lt;&gt;"Yes",WEEKDAY($B49,2)&gt;=5),8-WEEKDAY($B49,2),1))</f>
        <v>46346</v>
      </c>
      <c r="C50" s="103" t="str">
        <f>IF($B50="","",CHOOSE(WEEKDAY($B50,2),"Mon","Tue","Wed","Thu","Fri","Sat","Sun"))</f>
        <v>Fri</v>
      </c>
      <c r="D50" s="96">
        <f>IF($B50="","",COUNTIFS('Trade Log'!$A$6:$A$1005,$B50,'Trade Log'!$BH$6:$BH$1005,1))</f>
        <v>0</v>
      </c>
      <c r="E50" s="98" t="str">
        <f>IF(OR($B50="",N($D50)=0),"",SUMIFS('Trade Log'!$Q$6:$Q$1005,'Trade Log'!$A$6:$A$1005,$B50))</f>
        <v/>
      </c>
      <c r="F50" s="99" t="str">
        <f>IF(OR($B50="",N($D50)=0),"",IFERROR(COUNTIFS('Trade Log'!$A$6:$A$1005,$B50,'Trade Log'!$S$6:$S$1005,"Win")/(COUNTIFS('Trade Log'!$A$6:$A$1005,$B50,'Trade Log'!$S$6:$S$1005,"Win")+COUNTIFS('Trade Log'!$A$6:$A$1005,$B50,'Trade Log'!$S$6:$S$1005,"Loss")),"—"))</f>
        <v/>
      </c>
      <c r="G50" s="104" t="str">
        <f>IF(OR($B50="",N($D50)=0),"",SUMIFS('Trade Log'!$R$6:$R$1005,'Trade Log'!$A$6:$A$1005,$B50))</f>
        <v/>
      </c>
      <c r="H50" s="96" t="str">
        <f>IF(OR($B50="",N($D50)=0),"",COUNTIFS('Trade Log'!$A$6:$A$1005,$B50,'Trade Log'!$Z$6:$Z$1005,"No"))</f>
        <v/>
      </c>
      <c r="I50" s="105" t="str">
        <f>IF(OR($B50="",N($D50)=0),"",IF(AND(ISNUMBER(Settings!$C$26),N($E50)&lt;=-N(Settings!$C$26)),"Hit daily max loss. ","")&amp;IF(COUNTIFS('Trade Log'!$A$6:$A$1005,$B50,'Trade Log'!$BM$6:$BM$1005,1)&gt;0,"Kept trading after daily max loss. ","")&amp;IF(AND(ISNUMBER(Settings!$C$25),N($D50)&gt;N(Settings!$C$25)),"Over max trades. ",""))</f>
        <v/>
      </c>
      <c r="J50" s="106" t="n"/>
      <c r="K50" s="106" t="n"/>
      <c r="L50" s="106" t="n"/>
      <c r="M50" s="29" t="n"/>
      <c r="N50" s="29" t="n"/>
      <c r="O50" s="106" t="n"/>
    </row>
    <row r="51">
      <c r="B51" s="107">
        <f>IF($B50="","",$B50+IF(AND(Settings!$C$10&lt;&gt;"Yes",WEEKDAY($B50,2)&gt;=5),8-WEEKDAY($B50,2),1))</f>
        <v>46349</v>
      </c>
      <c r="C51" s="103" t="str">
        <f>IF($B51="","",CHOOSE(WEEKDAY($B51,2),"Mon","Tue","Wed","Thu","Fri","Sat","Sun"))</f>
        <v>Mon</v>
      </c>
      <c r="D51" s="96">
        <f>IF($B51="","",COUNTIFS('Trade Log'!$A$6:$A$1005,$B51,'Trade Log'!$BH$6:$BH$1005,1))</f>
        <v>0</v>
      </c>
      <c r="E51" s="98" t="str">
        <f>IF(OR($B51="",N($D51)=0),"",SUMIFS('Trade Log'!$Q$6:$Q$1005,'Trade Log'!$A$6:$A$1005,$B51))</f>
        <v/>
      </c>
      <c r="F51" s="99" t="str">
        <f>IF(OR($B51="",N($D51)=0),"",IFERROR(COUNTIFS('Trade Log'!$A$6:$A$1005,$B51,'Trade Log'!$S$6:$S$1005,"Win")/(COUNTIFS('Trade Log'!$A$6:$A$1005,$B51,'Trade Log'!$S$6:$S$1005,"Win")+COUNTIFS('Trade Log'!$A$6:$A$1005,$B51,'Trade Log'!$S$6:$S$1005,"Loss")),"—"))</f>
        <v/>
      </c>
      <c r="G51" s="104" t="str">
        <f>IF(OR($B51="",N($D51)=0),"",SUMIFS('Trade Log'!$R$6:$R$1005,'Trade Log'!$A$6:$A$1005,$B51))</f>
        <v/>
      </c>
      <c r="H51" s="96" t="str">
        <f>IF(OR($B51="",N($D51)=0),"",COUNTIFS('Trade Log'!$A$6:$A$1005,$B51,'Trade Log'!$Z$6:$Z$1005,"No"))</f>
        <v/>
      </c>
      <c r="I51" s="105" t="str">
        <f>IF(OR($B51="",N($D51)=0),"",IF(AND(ISNUMBER(Settings!$C$26),N($E51)&lt;=-N(Settings!$C$26)),"Hit daily max loss. ","")&amp;IF(COUNTIFS('Trade Log'!$A$6:$A$1005,$B51,'Trade Log'!$BM$6:$BM$1005,1)&gt;0,"Kept trading after daily max loss. ","")&amp;IF(AND(ISNUMBER(Settings!$C$25),N($D51)&gt;N(Settings!$C$25)),"Over max trades. ",""))</f>
        <v/>
      </c>
      <c r="J51" s="106" t="n"/>
      <c r="K51" s="106" t="n"/>
      <c r="L51" s="106" t="n"/>
      <c r="M51" s="29" t="n"/>
      <c r="N51" s="29" t="n"/>
      <c r="O51" s="106" t="n"/>
    </row>
    <row r="52">
      <c r="B52" s="107">
        <f>IF($B51="","",$B51+IF(AND(Settings!$C$10&lt;&gt;"Yes",WEEKDAY($B51,2)&gt;=5),8-WEEKDAY($B51,2),1))</f>
        <v>46350</v>
      </c>
      <c r="C52" s="103" t="str">
        <f>IF($B52="","",CHOOSE(WEEKDAY($B52,2),"Mon","Tue","Wed","Thu","Fri","Sat","Sun"))</f>
        <v>Tue</v>
      </c>
      <c r="D52" s="96">
        <f>IF($B52="","",COUNTIFS('Trade Log'!$A$6:$A$1005,$B52,'Trade Log'!$BH$6:$BH$1005,1))</f>
        <v>0</v>
      </c>
      <c r="E52" s="98" t="str">
        <f>IF(OR($B52="",N($D52)=0),"",SUMIFS('Trade Log'!$Q$6:$Q$1005,'Trade Log'!$A$6:$A$1005,$B52))</f>
        <v/>
      </c>
      <c r="F52" s="99" t="str">
        <f>IF(OR($B52="",N($D52)=0),"",IFERROR(COUNTIFS('Trade Log'!$A$6:$A$1005,$B52,'Trade Log'!$S$6:$S$1005,"Win")/(COUNTIFS('Trade Log'!$A$6:$A$1005,$B52,'Trade Log'!$S$6:$S$1005,"Win")+COUNTIFS('Trade Log'!$A$6:$A$1005,$B52,'Trade Log'!$S$6:$S$1005,"Loss")),"—"))</f>
        <v/>
      </c>
      <c r="G52" s="104" t="str">
        <f>IF(OR($B52="",N($D52)=0),"",SUMIFS('Trade Log'!$R$6:$R$1005,'Trade Log'!$A$6:$A$1005,$B52))</f>
        <v/>
      </c>
      <c r="H52" s="96" t="str">
        <f>IF(OR($B52="",N($D52)=0),"",COUNTIFS('Trade Log'!$A$6:$A$1005,$B52,'Trade Log'!$Z$6:$Z$1005,"No"))</f>
        <v/>
      </c>
      <c r="I52" s="105" t="str">
        <f>IF(OR($B52="",N($D52)=0),"",IF(AND(ISNUMBER(Settings!$C$26),N($E52)&lt;=-N(Settings!$C$26)),"Hit daily max loss. ","")&amp;IF(COUNTIFS('Trade Log'!$A$6:$A$1005,$B52,'Trade Log'!$BM$6:$BM$1005,1)&gt;0,"Kept trading after daily max loss. ","")&amp;IF(AND(ISNUMBER(Settings!$C$25),N($D52)&gt;N(Settings!$C$25)),"Over max trades. ",""))</f>
        <v/>
      </c>
      <c r="J52" s="106" t="n"/>
      <c r="K52" s="106" t="n"/>
      <c r="L52" s="106" t="n"/>
      <c r="M52" s="29" t="n"/>
      <c r="N52" s="29" t="n"/>
      <c r="O52" s="106" t="n"/>
    </row>
    <row r="53">
      <c r="B53" s="107">
        <f>IF($B52="","",$B52+IF(AND(Settings!$C$10&lt;&gt;"Yes",WEEKDAY($B52,2)&gt;=5),8-WEEKDAY($B52,2),1))</f>
        <v>46351</v>
      </c>
      <c r="C53" s="103" t="str">
        <f>IF($B53="","",CHOOSE(WEEKDAY($B53,2),"Mon","Tue","Wed","Thu","Fri","Sat","Sun"))</f>
        <v>Wed</v>
      </c>
      <c r="D53" s="96">
        <f>IF($B53="","",COUNTIFS('Trade Log'!$A$6:$A$1005,$B53,'Trade Log'!$BH$6:$BH$1005,1))</f>
        <v>0</v>
      </c>
      <c r="E53" s="98" t="str">
        <f>IF(OR($B53="",N($D53)=0),"",SUMIFS('Trade Log'!$Q$6:$Q$1005,'Trade Log'!$A$6:$A$1005,$B53))</f>
        <v/>
      </c>
      <c r="F53" s="99" t="str">
        <f>IF(OR($B53="",N($D53)=0),"",IFERROR(COUNTIFS('Trade Log'!$A$6:$A$1005,$B53,'Trade Log'!$S$6:$S$1005,"Win")/(COUNTIFS('Trade Log'!$A$6:$A$1005,$B53,'Trade Log'!$S$6:$S$1005,"Win")+COUNTIFS('Trade Log'!$A$6:$A$1005,$B53,'Trade Log'!$S$6:$S$1005,"Loss")),"—"))</f>
        <v/>
      </c>
      <c r="G53" s="104" t="str">
        <f>IF(OR($B53="",N($D53)=0),"",SUMIFS('Trade Log'!$R$6:$R$1005,'Trade Log'!$A$6:$A$1005,$B53))</f>
        <v/>
      </c>
      <c r="H53" s="96" t="str">
        <f>IF(OR($B53="",N($D53)=0),"",COUNTIFS('Trade Log'!$A$6:$A$1005,$B53,'Trade Log'!$Z$6:$Z$1005,"No"))</f>
        <v/>
      </c>
      <c r="I53" s="105" t="str">
        <f>IF(OR($B53="",N($D53)=0),"",IF(AND(ISNUMBER(Settings!$C$26),N($E53)&lt;=-N(Settings!$C$26)),"Hit daily max loss. ","")&amp;IF(COUNTIFS('Trade Log'!$A$6:$A$1005,$B53,'Trade Log'!$BM$6:$BM$1005,1)&gt;0,"Kept trading after daily max loss. ","")&amp;IF(AND(ISNUMBER(Settings!$C$25),N($D53)&gt;N(Settings!$C$25)),"Over max trades. ",""))</f>
        <v/>
      </c>
      <c r="J53" s="106" t="n"/>
      <c r="K53" s="106" t="n"/>
      <c r="L53" s="106" t="n"/>
      <c r="M53" s="29" t="n"/>
      <c r="N53" s="29" t="n"/>
      <c r="O53" s="106" t="n"/>
    </row>
    <row r="54">
      <c r="B54" s="107">
        <f>IF($B53="","",$B53+IF(AND(Settings!$C$10&lt;&gt;"Yes",WEEKDAY($B53,2)&gt;=5),8-WEEKDAY($B53,2),1))</f>
        <v>46352</v>
      </c>
      <c r="C54" s="103" t="str">
        <f>IF($B54="","",CHOOSE(WEEKDAY($B54,2),"Mon","Tue","Wed","Thu","Fri","Sat","Sun"))</f>
        <v>Thu</v>
      </c>
      <c r="D54" s="96">
        <f>IF($B54="","",COUNTIFS('Trade Log'!$A$6:$A$1005,$B54,'Trade Log'!$BH$6:$BH$1005,1))</f>
        <v>0</v>
      </c>
      <c r="E54" s="98" t="str">
        <f>IF(OR($B54="",N($D54)=0),"",SUMIFS('Trade Log'!$Q$6:$Q$1005,'Trade Log'!$A$6:$A$1005,$B54))</f>
        <v/>
      </c>
      <c r="F54" s="99" t="str">
        <f>IF(OR($B54="",N($D54)=0),"",IFERROR(COUNTIFS('Trade Log'!$A$6:$A$1005,$B54,'Trade Log'!$S$6:$S$1005,"Win")/(COUNTIFS('Trade Log'!$A$6:$A$1005,$B54,'Trade Log'!$S$6:$S$1005,"Win")+COUNTIFS('Trade Log'!$A$6:$A$1005,$B54,'Trade Log'!$S$6:$S$1005,"Loss")),"—"))</f>
        <v/>
      </c>
      <c r="G54" s="104" t="str">
        <f>IF(OR($B54="",N($D54)=0),"",SUMIFS('Trade Log'!$R$6:$R$1005,'Trade Log'!$A$6:$A$1005,$B54))</f>
        <v/>
      </c>
      <c r="H54" s="96" t="str">
        <f>IF(OR($B54="",N($D54)=0),"",COUNTIFS('Trade Log'!$A$6:$A$1005,$B54,'Trade Log'!$Z$6:$Z$1005,"No"))</f>
        <v/>
      </c>
      <c r="I54" s="105" t="str">
        <f>IF(OR($B54="",N($D54)=0),"",IF(AND(ISNUMBER(Settings!$C$26),N($E54)&lt;=-N(Settings!$C$26)),"Hit daily max loss. ","")&amp;IF(COUNTIFS('Trade Log'!$A$6:$A$1005,$B54,'Trade Log'!$BM$6:$BM$1005,1)&gt;0,"Kept trading after daily max loss. ","")&amp;IF(AND(ISNUMBER(Settings!$C$25),N($D54)&gt;N(Settings!$C$25)),"Over max trades. ",""))</f>
        <v/>
      </c>
      <c r="J54" s="106" t="n"/>
      <c r="K54" s="106" t="n"/>
      <c r="L54" s="106" t="n"/>
      <c r="M54" s="29" t="n"/>
      <c r="N54" s="29" t="n"/>
      <c r="O54" s="106" t="n"/>
    </row>
    <row r="55">
      <c r="B55" s="107">
        <f>IF($B54="","",$B54+IF(AND(Settings!$C$10&lt;&gt;"Yes",WEEKDAY($B54,2)&gt;=5),8-WEEKDAY($B54,2),1))</f>
        <v>46353</v>
      </c>
      <c r="C55" s="103" t="str">
        <f>IF($B55="","",CHOOSE(WEEKDAY($B55,2),"Mon","Tue","Wed","Thu","Fri","Sat","Sun"))</f>
        <v>Fri</v>
      </c>
      <c r="D55" s="96">
        <f>IF($B55="","",COUNTIFS('Trade Log'!$A$6:$A$1005,$B55,'Trade Log'!$BH$6:$BH$1005,1))</f>
        <v>0</v>
      </c>
      <c r="E55" s="98" t="str">
        <f>IF(OR($B55="",N($D55)=0),"",SUMIFS('Trade Log'!$Q$6:$Q$1005,'Trade Log'!$A$6:$A$1005,$B55))</f>
        <v/>
      </c>
      <c r="F55" s="99" t="str">
        <f>IF(OR($B55="",N($D55)=0),"",IFERROR(COUNTIFS('Trade Log'!$A$6:$A$1005,$B55,'Trade Log'!$S$6:$S$1005,"Win")/(COUNTIFS('Trade Log'!$A$6:$A$1005,$B55,'Trade Log'!$S$6:$S$1005,"Win")+COUNTIFS('Trade Log'!$A$6:$A$1005,$B55,'Trade Log'!$S$6:$S$1005,"Loss")),"—"))</f>
        <v/>
      </c>
      <c r="G55" s="104" t="str">
        <f>IF(OR($B55="",N($D55)=0),"",SUMIFS('Trade Log'!$R$6:$R$1005,'Trade Log'!$A$6:$A$1005,$B55))</f>
        <v/>
      </c>
      <c r="H55" s="96" t="str">
        <f>IF(OR($B55="",N($D55)=0),"",COUNTIFS('Trade Log'!$A$6:$A$1005,$B55,'Trade Log'!$Z$6:$Z$1005,"No"))</f>
        <v/>
      </c>
      <c r="I55" s="105" t="str">
        <f>IF(OR($B55="",N($D55)=0),"",IF(AND(ISNUMBER(Settings!$C$26),N($E55)&lt;=-N(Settings!$C$26)),"Hit daily max loss. ","")&amp;IF(COUNTIFS('Trade Log'!$A$6:$A$1005,$B55,'Trade Log'!$BM$6:$BM$1005,1)&gt;0,"Kept trading after daily max loss. ","")&amp;IF(AND(ISNUMBER(Settings!$C$25),N($D55)&gt;N(Settings!$C$25)),"Over max trades. ",""))</f>
        <v/>
      </c>
      <c r="J55" s="106" t="n"/>
      <c r="K55" s="106" t="n"/>
      <c r="L55" s="106" t="n"/>
      <c r="M55" s="29" t="n"/>
      <c r="N55" s="29" t="n"/>
      <c r="O55" s="106" t="n"/>
    </row>
    <row r="56">
      <c r="B56" s="107">
        <f>IF($B55="","",$B55+IF(AND(Settings!$C$10&lt;&gt;"Yes",WEEKDAY($B55,2)&gt;=5),8-WEEKDAY($B55,2),1))</f>
        <v>46356</v>
      </c>
      <c r="C56" s="103" t="str">
        <f>IF($B56="","",CHOOSE(WEEKDAY($B56,2),"Mon","Tue","Wed","Thu","Fri","Sat","Sun"))</f>
        <v>Mon</v>
      </c>
      <c r="D56" s="96">
        <f>IF($B56="","",COUNTIFS('Trade Log'!$A$6:$A$1005,$B56,'Trade Log'!$BH$6:$BH$1005,1))</f>
        <v>0</v>
      </c>
      <c r="E56" s="98" t="str">
        <f>IF(OR($B56="",N($D56)=0),"",SUMIFS('Trade Log'!$Q$6:$Q$1005,'Trade Log'!$A$6:$A$1005,$B56))</f>
        <v/>
      </c>
      <c r="F56" s="99" t="str">
        <f>IF(OR($B56="",N($D56)=0),"",IFERROR(COUNTIFS('Trade Log'!$A$6:$A$1005,$B56,'Trade Log'!$S$6:$S$1005,"Win")/(COUNTIFS('Trade Log'!$A$6:$A$1005,$B56,'Trade Log'!$S$6:$S$1005,"Win")+COUNTIFS('Trade Log'!$A$6:$A$1005,$B56,'Trade Log'!$S$6:$S$1005,"Loss")),"—"))</f>
        <v/>
      </c>
      <c r="G56" s="104" t="str">
        <f>IF(OR($B56="",N($D56)=0),"",SUMIFS('Trade Log'!$R$6:$R$1005,'Trade Log'!$A$6:$A$1005,$B56))</f>
        <v/>
      </c>
      <c r="H56" s="96" t="str">
        <f>IF(OR($B56="",N($D56)=0),"",COUNTIFS('Trade Log'!$A$6:$A$1005,$B56,'Trade Log'!$Z$6:$Z$1005,"No"))</f>
        <v/>
      </c>
      <c r="I56" s="105" t="str">
        <f>IF(OR($B56="",N($D56)=0),"",IF(AND(ISNUMBER(Settings!$C$26),N($E56)&lt;=-N(Settings!$C$26)),"Hit daily max loss. ","")&amp;IF(COUNTIFS('Trade Log'!$A$6:$A$1005,$B56,'Trade Log'!$BM$6:$BM$1005,1)&gt;0,"Kept trading after daily max loss. ","")&amp;IF(AND(ISNUMBER(Settings!$C$25),N($D56)&gt;N(Settings!$C$25)),"Over max trades. ",""))</f>
        <v/>
      </c>
      <c r="J56" s="106" t="n"/>
      <c r="K56" s="106" t="n"/>
      <c r="L56" s="106" t="n"/>
      <c r="M56" s="29" t="n"/>
      <c r="N56" s="29" t="n"/>
      <c r="O56" s="106" t="n"/>
    </row>
    <row r="57">
      <c r="B57" s="107">
        <f>IF($B56="","",$B56+IF(AND(Settings!$C$10&lt;&gt;"Yes",WEEKDAY($B56,2)&gt;=5),8-WEEKDAY($B56,2),1))</f>
        <v>46357</v>
      </c>
      <c r="C57" s="103" t="str">
        <f>IF($B57="","",CHOOSE(WEEKDAY($B57,2),"Mon","Tue","Wed","Thu","Fri","Sat","Sun"))</f>
        <v>Tue</v>
      </c>
      <c r="D57" s="96">
        <f>IF($B57="","",COUNTIFS('Trade Log'!$A$6:$A$1005,$B57,'Trade Log'!$BH$6:$BH$1005,1))</f>
        <v>0</v>
      </c>
      <c r="E57" s="98" t="str">
        <f>IF(OR($B57="",N($D57)=0),"",SUMIFS('Trade Log'!$Q$6:$Q$1005,'Trade Log'!$A$6:$A$1005,$B57))</f>
        <v/>
      </c>
      <c r="F57" s="99" t="str">
        <f>IF(OR($B57="",N($D57)=0),"",IFERROR(COUNTIFS('Trade Log'!$A$6:$A$1005,$B57,'Trade Log'!$S$6:$S$1005,"Win")/(COUNTIFS('Trade Log'!$A$6:$A$1005,$B57,'Trade Log'!$S$6:$S$1005,"Win")+COUNTIFS('Trade Log'!$A$6:$A$1005,$B57,'Trade Log'!$S$6:$S$1005,"Loss")),"—"))</f>
        <v/>
      </c>
      <c r="G57" s="104" t="str">
        <f>IF(OR($B57="",N($D57)=0),"",SUMIFS('Trade Log'!$R$6:$R$1005,'Trade Log'!$A$6:$A$1005,$B57))</f>
        <v/>
      </c>
      <c r="H57" s="96" t="str">
        <f>IF(OR($B57="",N($D57)=0),"",COUNTIFS('Trade Log'!$A$6:$A$1005,$B57,'Trade Log'!$Z$6:$Z$1005,"No"))</f>
        <v/>
      </c>
      <c r="I57" s="105" t="str">
        <f>IF(OR($B57="",N($D57)=0),"",IF(AND(ISNUMBER(Settings!$C$26),N($E57)&lt;=-N(Settings!$C$26)),"Hit daily max loss. ","")&amp;IF(COUNTIFS('Trade Log'!$A$6:$A$1005,$B57,'Trade Log'!$BM$6:$BM$1005,1)&gt;0,"Kept trading after daily max loss. ","")&amp;IF(AND(ISNUMBER(Settings!$C$25),N($D57)&gt;N(Settings!$C$25)),"Over max trades. ",""))</f>
        <v/>
      </c>
      <c r="J57" s="106" t="n"/>
      <c r="K57" s="106" t="n"/>
      <c r="L57" s="106" t="n"/>
      <c r="M57" s="29" t="n"/>
      <c r="N57" s="29" t="n"/>
      <c r="O57" s="106" t="n"/>
    </row>
    <row r="58">
      <c r="B58" s="107">
        <f>IF($B57="","",$B57+IF(AND(Settings!$C$10&lt;&gt;"Yes",WEEKDAY($B57,2)&gt;=5),8-WEEKDAY($B57,2),1))</f>
        <v>46358</v>
      </c>
      <c r="C58" s="103" t="str">
        <f>IF($B58="","",CHOOSE(WEEKDAY($B58,2),"Mon","Tue","Wed","Thu","Fri","Sat","Sun"))</f>
        <v>Wed</v>
      </c>
      <c r="D58" s="96">
        <f>IF($B58="","",COUNTIFS('Trade Log'!$A$6:$A$1005,$B58,'Trade Log'!$BH$6:$BH$1005,1))</f>
        <v>0</v>
      </c>
      <c r="E58" s="98" t="str">
        <f>IF(OR($B58="",N($D58)=0),"",SUMIFS('Trade Log'!$Q$6:$Q$1005,'Trade Log'!$A$6:$A$1005,$B58))</f>
        <v/>
      </c>
      <c r="F58" s="99" t="str">
        <f>IF(OR($B58="",N($D58)=0),"",IFERROR(COUNTIFS('Trade Log'!$A$6:$A$1005,$B58,'Trade Log'!$S$6:$S$1005,"Win")/(COUNTIFS('Trade Log'!$A$6:$A$1005,$B58,'Trade Log'!$S$6:$S$1005,"Win")+COUNTIFS('Trade Log'!$A$6:$A$1005,$B58,'Trade Log'!$S$6:$S$1005,"Loss")),"—"))</f>
        <v/>
      </c>
      <c r="G58" s="104" t="str">
        <f>IF(OR($B58="",N($D58)=0),"",SUMIFS('Trade Log'!$R$6:$R$1005,'Trade Log'!$A$6:$A$1005,$B58))</f>
        <v/>
      </c>
      <c r="H58" s="96" t="str">
        <f>IF(OR($B58="",N($D58)=0),"",COUNTIFS('Trade Log'!$A$6:$A$1005,$B58,'Trade Log'!$Z$6:$Z$1005,"No"))</f>
        <v/>
      </c>
      <c r="I58" s="105" t="str">
        <f>IF(OR($B58="",N($D58)=0),"",IF(AND(ISNUMBER(Settings!$C$26),N($E58)&lt;=-N(Settings!$C$26)),"Hit daily max loss. ","")&amp;IF(COUNTIFS('Trade Log'!$A$6:$A$1005,$B58,'Trade Log'!$BM$6:$BM$1005,1)&gt;0,"Kept trading after daily max loss. ","")&amp;IF(AND(ISNUMBER(Settings!$C$25),N($D58)&gt;N(Settings!$C$25)),"Over max trades. ",""))</f>
        <v/>
      </c>
      <c r="J58" s="106" t="n"/>
      <c r="K58" s="106" t="n"/>
      <c r="L58" s="106" t="n"/>
      <c r="M58" s="29" t="n"/>
      <c r="N58" s="29" t="n"/>
      <c r="O58" s="106" t="n"/>
    </row>
    <row r="59">
      <c r="B59" s="107">
        <f>IF($B58="","",$B58+IF(AND(Settings!$C$10&lt;&gt;"Yes",WEEKDAY($B58,2)&gt;=5),8-WEEKDAY($B58,2),1))</f>
        <v>46359</v>
      </c>
      <c r="C59" s="103" t="str">
        <f>IF($B59="","",CHOOSE(WEEKDAY($B59,2),"Mon","Tue","Wed","Thu","Fri","Sat","Sun"))</f>
        <v>Thu</v>
      </c>
      <c r="D59" s="96">
        <f>IF($B59="","",COUNTIFS('Trade Log'!$A$6:$A$1005,$B59,'Trade Log'!$BH$6:$BH$1005,1))</f>
        <v>0</v>
      </c>
      <c r="E59" s="98" t="str">
        <f>IF(OR($B59="",N($D59)=0),"",SUMIFS('Trade Log'!$Q$6:$Q$1005,'Trade Log'!$A$6:$A$1005,$B59))</f>
        <v/>
      </c>
      <c r="F59" s="99" t="str">
        <f>IF(OR($B59="",N($D59)=0),"",IFERROR(COUNTIFS('Trade Log'!$A$6:$A$1005,$B59,'Trade Log'!$S$6:$S$1005,"Win")/(COUNTIFS('Trade Log'!$A$6:$A$1005,$B59,'Trade Log'!$S$6:$S$1005,"Win")+COUNTIFS('Trade Log'!$A$6:$A$1005,$B59,'Trade Log'!$S$6:$S$1005,"Loss")),"—"))</f>
        <v/>
      </c>
      <c r="G59" s="104" t="str">
        <f>IF(OR($B59="",N($D59)=0),"",SUMIFS('Trade Log'!$R$6:$R$1005,'Trade Log'!$A$6:$A$1005,$B59))</f>
        <v/>
      </c>
      <c r="H59" s="96" t="str">
        <f>IF(OR($B59="",N($D59)=0),"",COUNTIFS('Trade Log'!$A$6:$A$1005,$B59,'Trade Log'!$Z$6:$Z$1005,"No"))</f>
        <v/>
      </c>
      <c r="I59" s="105" t="str">
        <f>IF(OR($B59="",N($D59)=0),"",IF(AND(ISNUMBER(Settings!$C$26),N($E59)&lt;=-N(Settings!$C$26)),"Hit daily max loss. ","")&amp;IF(COUNTIFS('Trade Log'!$A$6:$A$1005,$B59,'Trade Log'!$BM$6:$BM$1005,1)&gt;0,"Kept trading after daily max loss. ","")&amp;IF(AND(ISNUMBER(Settings!$C$25),N($D59)&gt;N(Settings!$C$25)),"Over max trades. ",""))</f>
        <v/>
      </c>
      <c r="J59" s="106" t="n"/>
      <c r="K59" s="106" t="n"/>
      <c r="L59" s="106" t="n"/>
      <c r="M59" s="29" t="n"/>
      <c r="N59" s="29" t="n"/>
      <c r="O59" s="106" t="n"/>
    </row>
    <row r="60">
      <c r="B60" s="107">
        <f>IF($B59="","",$B59+IF(AND(Settings!$C$10&lt;&gt;"Yes",WEEKDAY($B59,2)&gt;=5),8-WEEKDAY($B59,2),1))</f>
        <v>46360</v>
      </c>
      <c r="C60" s="103" t="str">
        <f>IF($B60="","",CHOOSE(WEEKDAY($B60,2),"Mon","Tue","Wed","Thu","Fri","Sat","Sun"))</f>
        <v>Fri</v>
      </c>
      <c r="D60" s="96">
        <f>IF($B60="","",COUNTIFS('Trade Log'!$A$6:$A$1005,$B60,'Trade Log'!$BH$6:$BH$1005,1))</f>
        <v>0</v>
      </c>
      <c r="E60" s="98" t="str">
        <f>IF(OR($B60="",N($D60)=0),"",SUMIFS('Trade Log'!$Q$6:$Q$1005,'Trade Log'!$A$6:$A$1005,$B60))</f>
        <v/>
      </c>
      <c r="F60" s="99" t="str">
        <f>IF(OR($B60="",N($D60)=0),"",IFERROR(COUNTIFS('Trade Log'!$A$6:$A$1005,$B60,'Trade Log'!$S$6:$S$1005,"Win")/(COUNTIFS('Trade Log'!$A$6:$A$1005,$B60,'Trade Log'!$S$6:$S$1005,"Win")+COUNTIFS('Trade Log'!$A$6:$A$1005,$B60,'Trade Log'!$S$6:$S$1005,"Loss")),"—"))</f>
        <v/>
      </c>
      <c r="G60" s="104" t="str">
        <f>IF(OR($B60="",N($D60)=0),"",SUMIFS('Trade Log'!$R$6:$R$1005,'Trade Log'!$A$6:$A$1005,$B60))</f>
        <v/>
      </c>
      <c r="H60" s="96" t="str">
        <f>IF(OR($B60="",N($D60)=0),"",COUNTIFS('Trade Log'!$A$6:$A$1005,$B60,'Trade Log'!$Z$6:$Z$1005,"No"))</f>
        <v/>
      </c>
      <c r="I60" s="105" t="str">
        <f>IF(OR($B60="",N($D60)=0),"",IF(AND(ISNUMBER(Settings!$C$26),N($E60)&lt;=-N(Settings!$C$26)),"Hit daily max loss. ","")&amp;IF(COUNTIFS('Trade Log'!$A$6:$A$1005,$B60,'Trade Log'!$BM$6:$BM$1005,1)&gt;0,"Kept trading after daily max loss. ","")&amp;IF(AND(ISNUMBER(Settings!$C$25),N($D60)&gt;N(Settings!$C$25)),"Over max trades. ",""))</f>
        <v/>
      </c>
      <c r="J60" s="106" t="n"/>
      <c r="K60" s="106" t="n"/>
      <c r="L60" s="106" t="n"/>
      <c r="M60" s="29" t="n"/>
      <c r="N60" s="29" t="n"/>
      <c r="O60" s="106" t="n"/>
    </row>
    <row r="61">
      <c r="B61" s="107">
        <f>IF($B60="","",$B60+IF(AND(Settings!$C$10&lt;&gt;"Yes",WEEKDAY($B60,2)&gt;=5),8-WEEKDAY($B60,2),1))</f>
        <v>46363</v>
      </c>
      <c r="C61" s="103" t="str">
        <f>IF($B61="","",CHOOSE(WEEKDAY($B61,2),"Mon","Tue","Wed","Thu","Fri","Sat","Sun"))</f>
        <v>Mon</v>
      </c>
      <c r="D61" s="96">
        <f>IF($B61="","",COUNTIFS('Trade Log'!$A$6:$A$1005,$B61,'Trade Log'!$BH$6:$BH$1005,1))</f>
        <v>0</v>
      </c>
      <c r="E61" s="98" t="str">
        <f>IF(OR($B61="",N($D61)=0),"",SUMIFS('Trade Log'!$Q$6:$Q$1005,'Trade Log'!$A$6:$A$1005,$B61))</f>
        <v/>
      </c>
      <c r="F61" s="99" t="str">
        <f>IF(OR($B61="",N($D61)=0),"",IFERROR(COUNTIFS('Trade Log'!$A$6:$A$1005,$B61,'Trade Log'!$S$6:$S$1005,"Win")/(COUNTIFS('Trade Log'!$A$6:$A$1005,$B61,'Trade Log'!$S$6:$S$1005,"Win")+COUNTIFS('Trade Log'!$A$6:$A$1005,$B61,'Trade Log'!$S$6:$S$1005,"Loss")),"—"))</f>
        <v/>
      </c>
      <c r="G61" s="104" t="str">
        <f>IF(OR($B61="",N($D61)=0),"",SUMIFS('Trade Log'!$R$6:$R$1005,'Trade Log'!$A$6:$A$1005,$B61))</f>
        <v/>
      </c>
      <c r="H61" s="96" t="str">
        <f>IF(OR($B61="",N($D61)=0),"",COUNTIFS('Trade Log'!$A$6:$A$1005,$B61,'Trade Log'!$Z$6:$Z$1005,"No"))</f>
        <v/>
      </c>
      <c r="I61" s="105" t="str">
        <f>IF(OR($B61="",N($D61)=0),"",IF(AND(ISNUMBER(Settings!$C$26),N($E61)&lt;=-N(Settings!$C$26)),"Hit daily max loss. ","")&amp;IF(COUNTIFS('Trade Log'!$A$6:$A$1005,$B61,'Trade Log'!$BM$6:$BM$1005,1)&gt;0,"Kept trading after daily max loss. ","")&amp;IF(AND(ISNUMBER(Settings!$C$25),N($D61)&gt;N(Settings!$C$25)),"Over max trades. ",""))</f>
        <v/>
      </c>
      <c r="J61" s="106" t="n"/>
      <c r="K61" s="106" t="n"/>
      <c r="L61" s="106" t="n"/>
      <c r="M61" s="29" t="n"/>
      <c r="N61" s="29" t="n"/>
      <c r="O61" s="106" t="n"/>
    </row>
    <row r="62">
      <c r="B62" s="107">
        <f>IF($B61="","",$B61+IF(AND(Settings!$C$10&lt;&gt;"Yes",WEEKDAY($B61,2)&gt;=5),8-WEEKDAY($B61,2),1))</f>
        <v>46364</v>
      </c>
      <c r="C62" s="103" t="str">
        <f>IF($B62="","",CHOOSE(WEEKDAY($B62,2),"Mon","Tue","Wed","Thu","Fri","Sat","Sun"))</f>
        <v>Tue</v>
      </c>
      <c r="D62" s="96">
        <f>IF($B62="","",COUNTIFS('Trade Log'!$A$6:$A$1005,$B62,'Trade Log'!$BH$6:$BH$1005,1))</f>
        <v>0</v>
      </c>
      <c r="E62" s="98" t="str">
        <f>IF(OR($B62="",N($D62)=0),"",SUMIFS('Trade Log'!$Q$6:$Q$1005,'Trade Log'!$A$6:$A$1005,$B62))</f>
        <v/>
      </c>
      <c r="F62" s="99" t="str">
        <f>IF(OR($B62="",N($D62)=0),"",IFERROR(COUNTIFS('Trade Log'!$A$6:$A$1005,$B62,'Trade Log'!$S$6:$S$1005,"Win")/(COUNTIFS('Trade Log'!$A$6:$A$1005,$B62,'Trade Log'!$S$6:$S$1005,"Win")+COUNTIFS('Trade Log'!$A$6:$A$1005,$B62,'Trade Log'!$S$6:$S$1005,"Loss")),"—"))</f>
        <v/>
      </c>
      <c r="G62" s="104" t="str">
        <f>IF(OR($B62="",N($D62)=0),"",SUMIFS('Trade Log'!$R$6:$R$1005,'Trade Log'!$A$6:$A$1005,$B62))</f>
        <v/>
      </c>
      <c r="H62" s="96" t="str">
        <f>IF(OR($B62="",N($D62)=0),"",COUNTIFS('Trade Log'!$A$6:$A$1005,$B62,'Trade Log'!$Z$6:$Z$1005,"No"))</f>
        <v/>
      </c>
      <c r="I62" s="105" t="str">
        <f>IF(OR($B62="",N($D62)=0),"",IF(AND(ISNUMBER(Settings!$C$26),N($E62)&lt;=-N(Settings!$C$26)),"Hit daily max loss. ","")&amp;IF(COUNTIFS('Trade Log'!$A$6:$A$1005,$B62,'Trade Log'!$BM$6:$BM$1005,1)&gt;0,"Kept trading after daily max loss. ","")&amp;IF(AND(ISNUMBER(Settings!$C$25),N($D62)&gt;N(Settings!$C$25)),"Over max trades. ",""))</f>
        <v/>
      </c>
      <c r="J62" s="106" t="n"/>
      <c r="K62" s="106" t="n"/>
      <c r="L62" s="106" t="n"/>
      <c r="M62" s="29" t="n"/>
      <c r="N62" s="29" t="n"/>
      <c r="O62" s="106" t="n"/>
    </row>
    <row r="63">
      <c r="B63" s="107">
        <f>IF($B62="","",$B62+IF(AND(Settings!$C$10&lt;&gt;"Yes",WEEKDAY($B62,2)&gt;=5),8-WEEKDAY($B62,2),1))</f>
        <v>46365</v>
      </c>
      <c r="C63" s="103" t="str">
        <f>IF($B63="","",CHOOSE(WEEKDAY($B63,2),"Mon","Tue","Wed","Thu","Fri","Sat","Sun"))</f>
        <v>Wed</v>
      </c>
      <c r="D63" s="96">
        <f>IF($B63="","",COUNTIFS('Trade Log'!$A$6:$A$1005,$B63,'Trade Log'!$BH$6:$BH$1005,1))</f>
        <v>0</v>
      </c>
      <c r="E63" s="98" t="str">
        <f>IF(OR($B63="",N($D63)=0),"",SUMIFS('Trade Log'!$Q$6:$Q$1005,'Trade Log'!$A$6:$A$1005,$B63))</f>
        <v/>
      </c>
      <c r="F63" s="99" t="str">
        <f>IF(OR($B63="",N($D63)=0),"",IFERROR(COUNTIFS('Trade Log'!$A$6:$A$1005,$B63,'Trade Log'!$S$6:$S$1005,"Win")/(COUNTIFS('Trade Log'!$A$6:$A$1005,$B63,'Trade Log'!$S$6:$S$1005,"Win")+COUNTIFS('Trade Log'!$A$6:$A$1005,$B63,'Trade Log'!$S$6:$S$1005,"Loss")),"—"))</f>
        <v/>
      </c>
      <c r="G63" s="104" t="str">
        <f>IF(OR($B63="",N($D63)=0),"",SUMIFS('Trade Log'!$R$6:$R$1005,'Trade Log'!$A$6:$A$1005,$B63))</f>
        <v/>
      </c>
      <c r="H63" s="96" t="str">
        <f>IF(OR($B63="",N($D63)=0),"",COUNTIFS('Trade Log'!$A$6:$A$1005,$B63,'Trade Log'!$Z$6:$Z$1005,"No"))</f>
        <v/>
      </c>
      <c r="I63" s="105" t="str">
        <f>IF(OR($B63="",N($D63)=0),"",IF(AND(ISNUMBER(Settings!$C$26),N($E63)&lt;=-N(Settings!$C$26)),"Hit daily max loss. ","")&amp;IF(COUNTIFS('Trade Log'!$A$6:$A$1005,$B63,'Trade Log'!$BM$6:$BM$1005,1)&gt;0,"Kept trading after daily max loss. ","")&amp;IF(AND(ISNUMBER(Settings!$C$25),N($D63)&gt;N(Settings!$C$25)),"Over max trades. ",""))</f>
        <v/>
      </c>
      <c r="J63" s="106" t="n"/>
      <c r="K63" s="106" t="n"/>
      <c r="L63" s="106" t="n"/>
      <c r="M63" s="29" t="n"/>
      <c r="N63" s="29" t="n"/>
      <c r="O63" s="106" t="n"/>
    </row>
    <row r="64">
      <c r="B64" s="107">
        <f>IF($B63="","",$B63+IF(AND(Settings!$C$10&lt;&gt;"Yes",WEEKDAY($B63,2)&gt;=5),8-WEEKDAY($B63,2),1))</f>
        <v>46366</v>
      </c>
      <c r="C64" s="103" t="str">
        <f>IF($B64="","",CHOOSE(WEEKDAY($B64,2),"Mon","Tue","Wed","Thu","Fri","Sat","Sun"))</f>
        <v>Thu</v>
      </c>
      <c r="D64" s="96">
        <f>IF($B64="","",COUNTIFS('Trade Log'!$A$6:$A$1005,$B64,'Trade Log'!$BH$6:$BH$1005,1))</f>
        <v>0</v>
      </c>
      <c r="E64" s="98" t="str">
        <f>IF(OR($B64="",N($D64)=0),"",SUMIFS('Trade Log'!$Q$6:$Q$1005,'Trade Log'!$A$6:$A$1005,$B64))</f>
        <v/>
      </c>
      <c r="F64" s="99" t="str">
        <f>IF(OR($B64="",N($D64)=0),"",IFERROR(COUNTIFS('Trade Log'!$A$6:$A$1005,$B64,'Trade Log'!$S$6:$S$1005,"Win")/(COUNTIFS('Trade Log'!$A$6:$A$1005,$B64,'Trade Log'!$S$6:$S$1005,"Win")+COUNTIFS('Trade Log'!$A$6:$A$1005,$B64,'Trade Log'!$S$6:$S$1005,"Loss")),"—"))</f>
        <v/>
      </c>
      <c r="G64" s="104" t="str">
        <f>IF(OR($B64="",N($D64)=0),"",SUMIFS('Trade Log'!$R$6:$R$1005,'Trade Log'!$A$6:$A$1005,$B64))</f>
        <v/>
      </c>
      <c r="H64" s="96" t="str">
        <f>IF(OR($B64="",N($D64)=0),"",COUNTIFS('Trade Log'!$A$6:$A$1005,$B64,'Trade Log'!$Z$6:$Z$1005,"No"))</f>
        <v/>
      </c>
      <c r="I64" s="105" t="str">
        <f>IF(OR($B64="",N($D64)=0),"",IF(AND(ISNUMBER(Settings!$C$26),N($E64)&lt;=-N(Settings!$C$26)),"Hit daily max loss. ","")&amp;IF(COUNTIFS('Trade Log'!$A$6:$A$1005,$B64,'Trade Log'!$BM$6:$BM$1005,1)&gt;0,"Kept trading after daily max loss. ","")&amp;IF(AND(ISNUMBER(Settings!$C$25),N($D64)&gt;N(Settings!$C$25)),"Over max trades. ",""))</f>
        <v/>
      </c>
      <c r="J64" s="106" t="n"/>
      <c r="K64" s="106" t="n"/>
      <c r="L64" s="106" t="n"/>
      <c r="M64" s="29" t="n"/>
      <c r="N64" s="29" t="n"/>
      <c r="O64" s="106" t="n"/>
    </row>
    <row r="65">
      <c r="B65" s="107">
        <f>IF($B64="","",$B64+IF(AND(Settings!$C$10&lt;&gt;"Yes",WEEKDAY($B64,2)&gt;=5),8-WEEKDAY($B64,2),1))</f>
        <v>46367</v>
      </c>
      <c r="C65" s="103" t="str">
        <f>IF($B65="","",CHOOSE(WEEKDAY($B65,2),"Mon","Tue","Wed","Thu","Fri","Sat","Sun"))</f>
        <v>Fri</v>
      </c>
      <c r="D65" s="96">
        <f>IF($B65="","",COUNTIFS('Trade Log'!$A$6:$A$1005,$B65,'Trade Log'!$BH$6:$BH$1005,1))</f>
        <v>0</v>
      </c>
      <c r="E65" s="98" t="str">
        <f>IF(OR($B65="",N($D65)=0),"",SUMIFS('Trade Log'!$Q$6:$Q$1005,'Trade Log'!$A$6:$A$1005,$B65))</f>
        <v/>
      </c>
      <c r="F65" s="99" t="str">
        <f>IF(OR($B65="",N($D65)=0),"",IFERROR(COUNTIFS('Trade Log'!$A$6:$A$1005,$B65,'Trade Log'!$S$6:$S$1005,"Win")/(COUNTIFS('Trade Log'!$A$6:$A$1005,$B65,'Trade Log'!$S$6:$S$1005,"Win")+COUNTIFS('Trade Log'!$A$6:$A$1005,$B65,'Trade Log'!$S$6:$S$1005,"Loss")),"—"))</f>
        <v/>
      </c>
      <c r="G65" s="104" t="str">
        <f>IF(OR($B65="",N($D65)=0),"",SUMIFS('Trade Log'!$R$6:$R$1005,'Trade Log'!$A$6:$A$1005,$B65))</f>
        <v/>
      </c>
      <c r="H65" s="96" t="str">
        <f>IF(OR($B65="",N($D65)=0),"",COUNTIFS('Trade Log'!$A$6:$A$1005,$B65,'Trade Log'!$Z$6:$Z$1005,"No"))</f>
        <v/>
      </c>
      <c r="I65" s="105" t="str">
        <f>IF(OR($B65="",N($D65)=0),"",IF(AND(ISNUMBER(Settings!$C$26),N($E65)&lt;=-N(Settings!$C$26)),"Hit daily max loss. ","")&amp;IF(COUNTIFS('Trade Log'!$A$6:$A$1005,$B65,'Trade Log'!$BM$6:$BM$1005,1)&gt;0,"Kept trading after daily max loss. ","")&amp;IF(AND(ISNUMBER(Settings!$C$25),N($D65)&gt;N(Settings!$C$25)),"Over max trades. ",""))</f>
        <v/>
      </c>
      <c r="J65" s="106" t="n"/>
      <c r="K65" s="106" t="n"/>
      <c r="L65" s="106" t="n"/>
      <c r="M65" s="29" t="n"/>
      <c r="N65" s="29" t="n"/>
      <c r="O65" s="106" t="n"/>
    </row>
    <row r="66">
      <c r="B66" s="107">
        <f>IF($B65="","",$B65+IF(AND(Settings!$C$10&lt;&gt;"Yes",WEEKDAY($B65,2)&gt;=5),8-WEEKDAY($B65,2),1))</f>
        <v>46370</v>
      </c>
      <c r="C66" s="103" t="str">
        <f>IF($B66="","",CHOOSE(WEEKDAY($B66,2),"Mon","Tue","Wed","Thu","Fri","Sat","Sun"))</f>
        <v>Mon</v>
      </c>
      <c r="D66" s="96">
        <f>IF($B66="","",COUNTIFS('Trade Log'!$A$6:$A$1005,$B66,'Trade Log'!$BH$6:$BH$1005,1))</f>
        <v>0</v>
      </c>
      <c r="E66" s="98" t="str">
        <f>IF(OR($B66="",N($D66)=0),"",SUMIFS('Trade Log'!$Q$6:$Q$1005,'Trade Log'!$A$6:$A$1005,$B66))</f>
        <v/>
      </c>
      <c r="F66" s="99" t="str">
        <f>IF(OR($B66="",N($D66)=0),"",IFERROR(COUNTIFS('Trade Log'!$A$6:$A$1005,$B66,'Trade Log'!$S$6:$S$1005,"Win")/(COUNTIFS('Trade Log'!$A$6:$A$1005,$B66,'Trade Log'!$S$6:$S$1005,"Win")+COUNTIFS('Trade Log'!$A$6:$A$1005,$B66,'Trade Log'!$S$6:$S$1005,"Loss")),"—"))</f>
        <v/>
      </c>
      <c r="G66" s="104" t="str">
        <f>IF(OR($B66="",N($D66)=0),"",SUMIFS('Trade Log'!$R$6:$R$1005,'Trade Log'!$A$6:$A$1005,$B66))</f>
        <v/>
      </c>
      <c r="H66" s="96" t="str">
        <f>IF(OR($B66="",N($D66)=0),"",COUNTIFS('Trade Log'!$A$6:$A$1005,$B66,'Trade Log'!$Z$6:$Z$1005,"No"))</f>
        <v/>
      </c>
      <c r="I66" s="105" t="str">
        <f>IF(OR($B66="",N($D66)=0),"",IF(AND(ISNUMBER(Settings!$C$26),N($E66)&lt;=-N(Settings!$C$26)),"Hit daily max loss. ","")&amp;IF(COUNTIFS('Trade Log'!$A$6:$A$1005,$B66,'Trade Log'!$BM$6:$BM$1005,1)&gt;0,"Kept trading after daily max loss. ","")&amp;IF(AND(ISNUMBER(Settings!$C$25),N($D66)&gt;N(Settings!$C$25)),"Over max trades. ",""))</f>
        <v/>
      </c>
      <c r="J66" s="106" t="n"/>
      <c r="K66" s="106" t="n"/>
      <c r="L66" s="106" t="n"/>
      <c r="M66" s="29" t="n"/>
      <c r="N66" s="29" t="n"/>
      <c r="O66" s="106" t="n"/>
    </row>
    <row r="67">
      <c r="B67" s="107">
        <f>IF($B66="","",$B66+IF(AND(Settings!$C$10&lt;&gt;"Yes",WEEKDAY($B66,2)&gt;=5),8-WEEKDAY($B66,2),1))</f>
        <v>46371</v>
      </c>
      <c r="C67" s="103" t="str">
        <f>IF($B67="","",CHOOSE(WEEKDAY($B67,2),"Mon","Tue","Wed","Thu","Fri","Sat","Sun"))</f>
        <v>Tue</v>
      </c>
      <c r="D67" s="96">
        <f>IF($B67="","",COUNTIFS('Trade Log'!$A$6:$A$1005,$B67,'Trade Log'!$BH$6:$BH$1005,1))</f>
        <v>0</v>
      </c>
      <c r="E67" s="98" t="str">
        <f>IF(OR($B67="",N($D67)=0),"",SUMIFS('Trade Log'!$Q$6:$Q$1005,'Trade Log'!$A$6:$A$1005,$B67))</f>
        <v/>
      </c>
      <c r="F67" s="99" t="str">
        <f>IF(OR($B67="",N($D67)=0),"",IFERROR(COUNTIFS('Trade Log'!$A$6:$A$1005,$B67,'Trade Log'!$S$6:$S$1005,"Win")/(COUNTIFS('Trade Log'!$A$6:$A$1005,$B67,'Trade Log'!$S$6:$S$1005,"Win")+COUNTIFS('Trade Log'!$A$6:$A$1005,$B67,'Trade Log'!$S$6:$S$1005,"Loss")),"—"))</f>
        <v/>
      </c>
      <c r="G67" s="104" t="str">
        <f>IF(OR($B67="",N($D67)=0),"",SUMIFS('Trade Log'!$R$6:$R$1005,'Trade Log'!$A$6:$A$1005,$B67))</f>
        <v/>
      </c>
      <c r="H67" s="96" t="str">
        <f>IF(OR($B67="",N($D67)=0),"",COUNTIFS('Trade Log'!$A$6:$A$1005,$B67,'Trade Log'!$Z$6:$Z$1005,"No"))</f>
        <v/>
      </c>
      <c r="I67" s="105" t="str">
        <f>IF(OR($B67="",N($D67)=0),"",IF(AND(ISNUMBER(Settings!$C$26),N($E67)&lt;=-N(Settings!$C$26)),"Hit daily max loss. ","")&amp;IF(COUNTIFS('Trade Log'!$A$6:$A$1005,$B67,'Trade Log'!$BM$6:$BM$1005,1)&gt;0,"Kept trading after daily max loss. ","")&amp;IF(AND(ISNUMBER(Settings!$C$25),N($D67)&gt;N(Settings!$C$25)),"Over max trades. ",""))</f>
        <v/>
      </c>
      <c r="J67" s="106" t="n"/>
      <c r="K67" s="106" t="n"/>
      <c r="L67" s="106" t="n"/>
      <c r="M67" s="29" t="n"/>
      <c r="N67" s="29" t="n"/>
      <c r="O67" s="106" t="n"/>
    </row>
    <row r="68">
      <c r="B68" s="107">
        <f>IF($B67="","",$B67+IF(AND(Settings!$C$10&lt;&gt;"Yes",WEEKDAY($B67,2)&gt;=5),8-WEEKDAY($B67,2),1))</f>
        <v>46372</v>
      </c>
      <c r="C68" s="103" t="str">
        <f>IF($B68="","",CHOOSE(WEEKDAY($B68,2),"Mon","Tue","Wed","Thu","Fri","Sat","Sun"))</f>
        <v>Wed</v>
      </c>
      <c r="D68" s="96">
        <f>IF($B68="","",COUNTIFS('Trade Log'!$A$6:$A$1005,$B68,'Trade Log'!$BH$6:$BH$1005,1))</f>
        <v>0</v>
      </c>
      <c r="E68" s="98" t="str">
        <f>IF(OR($B68="",N($D68)=0),"",SUMIFS('Trade Log'!$Q$6:$Q$1005,'Trade Log'!$A$6:$A$1005,$B68))</f>
        <v/>
      </c>
      <c r="F68" s="99" t="str">
        <f>IF(OR($B68="",N($D68)=0),"",IFERROR(COUNTIFS('Trade Log'!$A$6:$A$1005,$B68,'Trade Log'!$S$6:$S$1005,"Win")/(COUNTIFS('Trade Log'!$A$6:$A$1005,$B68,'Trade Log'!$S$6:$S$1005,"Win")+COUNTIFS('Trade Log'!$A$6:$A$1005,$B68,'Trade Log'!$S$6:$S$1005,"Loss")),"—"))</f>
        <v/>
      </c>
      <c r="G68" s="104" t="str">
        <f>IF(OR($B68="",N($D68)=0),"",SUMIFS('Trade Log'!$R$6:$R$1005,'Trade Log'!$A$6:$A$1005,$B68))</f>
        <v/>
      </c>
      <c r="H68" s="96" t="str">
        <f>IF(OR($B68="",N($D68)=0),"",COUNTIFS('Trade Log'!$A$6:$A$1005,$B68,'Trade Log'!$Z$6:$Z$1005,"No"))</f>
        <v/>
      </c>
      <c r="I68" s="105" t="str">
        <f>IF(OR($B68="",N($D68)=0),"",IF(AND(ISNUMBER(Settings!$C$26),N($E68)&lt;=-N(Settings!$C$26)),"Hit daily max loss. ","")&amp;IF(COUNTIFS('Trade Log'!$A$6:$A$1005,$B68,'Trade Log'!$BM$6:$BM$1005,1)&gt;0,"Kept trading after daily max loss. ","")&amp;IF(AND(ISNUMBER(Settings!$C$25),N($D68)&gt;N(Settings!$C$25)),"Over max trades. ",""))</f>
        <v/>
      </c>
      <c r="J68" s="106" t="n"/>
      <c r="K68" s="106" t="n"/>
      <c r="L68" s="106" t="n"/>
      <c r="M68" s="29" t="n"/>
      <c r="N68" s="29" t="n"/>
      <c r="O68" s="106" t="n"/>
    </row>
    <row r="69">
      <c r="B69" s="107">
        <f>IF($B68="","",$B68+IF(AND(Settings!$C$10&lt;&gt;"Yes",WEEKDAY($B68,2)&gt;=5),8-WEEKDAY($B68,2),1))</f>
        <v>46373</v>
      </c>
      <c r="C69" s="103" t="str">
        <f>IF($B69="","",CHOOSE(WEEKDAY($B69,2),"Mon","Tue","Wed","Thu","Fri","Sat","Sun"))</f>
        <v>Thu</v>
      </c>
      <c r="D69" s="96">
        <f>IF($B69="","",COUNTIFS('Trade Log'!$A$6:$A$1005,$B69,'Trade Log'!$BH$6:$BH$1005,1))</f>
        <v>0</v>
      </c>
      <c r="E69" s="98" t="str">
        <f>IF(OR($B69="",N($D69)=0),"",SUMIFS('Trade Log'!$Q$6:$Q$1005,'Trade Log'!$A$6:$A$1005,$B69))</f>
        <v/>
      </c>
      <c r="F69" s="99" t="str">
        <f>IF(OR($B69="",N($D69)=0),"",IFERROR(COUNTIFS('Trade Log'!$A$6:$A$1005,$B69,'Trade Log'!$S$6:$S$1005,"Win")/(COUNTIFS('Trade Log'!$A$6:$A$1005,$B69,'Trade Log'!$S$6:$S$1005,"Win")+COUNTIFS('Trade Log'!$A$6:$A$1005,$B69,'Trade Log'!$S$6:$S$1005,"Loss")),"—"))</f>
        <v/>
      </c>
      <c r="G69" s="104" t="str">
        <f>IF(OR($B69="",N($D69)=0),"",SUMIFS('Trade Log'!$R$6:$R$1005,'Trade Log'!$A$6:$A$1005,$B69))</f>
        <v/>
      </c>
      <c r="H69" s="96" t="str">
        <f>IF(OR($B69="",N($D69)=0),"",COUNTIFS('Trade Log'!$A$6:$A$1005,$B69,'Trade Log'!$Z$6:$Z$1005,"No"))</f>
        <v/>
      </c>
      <c r="I69" s="105" t="str">
        <f>IF(OR($B69="",N($D69)=0),"",IF(AND(ISNUMBER(Settings!$C$26),N($E69)&lt;=-N(Settings!$C$26)),"Hit daily max loss. ","")&amp;IF(COUNTIFS('Trade Log'!$A$6:$A$1005,$B69,'Trade Log'!$BM$6:$BM$1005,1)&gt;0,"Kept trading after daily max loss. ","")&amp;IF(AND(ISNUMBER(Settings!$C$25),N($D69)&gt;N(Settings!$C$25)),"Over max trades. ",""))</f>
        <v/>
      </c>
      <c r="J69" s="106" t="n"/>
      <c r="K69" s="106" t="n"/>
      <c r="L69" s="106" t="n"/>
      <c r="M69" s="29" t="n"/>
      <c r="N69" s="29" t="n"/>
      <c r="O69" s="106" t="n"/>
    </row>
    <row r="70">
      <c r="B70" s="107">
        <f>IF($B69="","",$B69+IF(AND(Settings!$C$10&lt;&gt;"Yes",WEEKDAY($B69,2)&gt;=5),8-WEEKDAY($B69,2),1))</f>
        <v>46374</v>
      </c>
      <c r="C70" s="103" t="str">
        <f>IF($B70="","",CHOOSE(WEEKDAY($B70,2),"Mon","Tue","Wed","Thu","Fri","Sat","Sun"))</f>
        <v>Fri</v>
      </c>
      <c r="D70" s="96">
        <f>IF($B70="","",COUNTIFS('Trade Log'!$A$6:$A$1005,$B70,'Trade Log'!$BH$6:$BH$1005,1))</f>
        <v>0</v>
      </c>
      <c r="E70" s="98" t="str">
        <f>IF(OR($B70="",N($D70)=0),"",SUMIFS('Trade Log'!$Q$6:$Q$1005,'Trade Log'!$A$6:$A$1005,$B70))</f>
        <v/>
      </c>
      <c r="F70" s="99" t="str">
        <f>IF(OR($B70="",N($D70)=0),"",IFERROR(COUNTIFS('Trade Log'!$A$6:$A$1005,$B70,'Trade Log'!$S$6:$S$1005,"Win")/(COUNTIFS('Trade Log'!$A$6:$A$1005,$B70,'Trade Log'!$S$6:$S$1005,"Win")+COUNTIFS('Trade Log'!$A$6:$A$1005,$B70,'Trade Log'!$S$6:$S$1005,"Loss")),"—"))</f>
        <v/>
      </c>
      <c r="G70" s="104" t="str">
        <f>IF(OR($B70="",N($D70)=0),"",SUMIFS('Trade Log'!$R$6:$R$1005,'Trade Log'!$A$6:$A$1005,$B70))</f>
        <v/>
      </c>
      <c r="H70" s="96" t="str">
        <f>IF(OR($B70="",N($D70)=0),"",COUNTIFS('Trade Log'!$A$6:$A$1005,$B70,'Trade Log'!$Z$6:$Z$1005,"No"))</f>
        <v/>
      </c>
      <c r="I70" s="105" t="str">
        <f>IF(OR($B70="",N($D70)=0),"",IF(AND(ISNUMBER(Settings!$C$26),N($E70)&lt;=-N(Settings!$C$26)),"Hit daily max loss. ","")&amp;IF(COUNTIFS('Trade Log'!$A$6:$A$1005,$B70,'Trade Log'!$BM$6:$BM$1005,1)&gt;0,"Kept trading after daily max loss. ","")&amp;IF(AND(ISNUMBER(Settings!$C$25),N($D70)&gt;N(Settings!$C$25)),"Over max trades. ",""))</f>
        <v/>
      </c>
      <c r="J70" s="106" t="n"/>
      <c r="K70" s="106" t="n"/>
      <c r="L70" s="106" t="n"/>
      <c r="M70" s="29" t="n"/>
      <c r="N70" s="29" t="n"/>
      <c r="O70" s="106" t="n"/>
    </row>
    <row r="71">
      <c r="B71" s="107">
        <f>IF($B70="","",$B70+IF(AND(Settings!$C$10&lt;&gt;"Yes",WEEKDAY($B70,2)&gt;=5),8-WEEKDAY($B70,2),1))</f>
        <v>46377</v>
      </c>
      <c r="C71" s="103" t="str">
        <f>IF($B71="","",CHOOSE(WEEKDAY($B71,2),"Mon","Tue","Wed","Thu","Fri","Sat","Sun"))</f>
        <v>Mon</v>
      </c>
      <c r="D71" s="96">
        <f>IF($B71="","",COUNTIFS('Trade Log'!$A$6:$A$1005,$B71,'Trade Log'!$BH$6:$BH$1005,1))</f>
        <v>0</v>
      </c>
      <c r="E71" s="98" t="str">
        <f>IF(OR($B71="",N($D71)=0),"",SUMIFS('Trade Log'!$Q$6:$Q$1005,'Trade Log'!$A$6:$A$1005,$B71))</f>
        <v/>
      </c>
      <c r="F71" s="99" t="str">
        <f>IF(OR($B71="",N($D71)=0),"",IFERROR(COUNTIFS('Trade Log'!$A$6:$A$1005,$B71,'Trade Log'!$S$6:$S$1005,"Win")/(COUNTIFS('Trade Log'!$A$6:$A$1005,$B71,'Trade Log'!$S$6:$S$1005,"Win")+COUNTIFS('Trade Log'!$A$6:$A$1005,$B71,'Trade Log'!$S$6:$S$1005,"Loss")),"—"))</f>
        <v/>
      </c>
      <c r="G71" s="104" t="str">
        <f>IF(OR($B71="",N($D71)=0),"",SUMIFS('Trade Log'!$R$6:$R$1005,'Trade Log'!$A$6:$A$1005,$B71))</f>
        <v/>
      </c>
      <c r="H71" s="96" t="str">
        <f>IF(OR($B71="",N($D71)=0),"",COUNTIFS('Trade Log'!$A$6:$A$1005,$B71,'Trade Log'!$Z$6:$Z$1005,"No"))</f>
        <v/>
      </c>
      <c r="I71" s="105" t="str">
        <f>IF(OR($B71="",N($D71)=0),"",IF(AND(ISNUMBER(Settings!$C$26),N($E71)&lt;=-N(Settings!$C$26)),"Hit daily max loss. ","")&amp;IF(COUNTIFS('Trade Log'!$A$6:$A$1005,$B71,'Trade Log'!$BM$6:$BM$1005,1)&gt;0,"Kept trading after daily max loss. ","")&amp;IF(AND(ISNUMBER(Settings!$C$25),N($D71)&gt;N(Settings!$C$25)),"Over max trades. ",""))</f>
        <v/>
      </c>
      <c r="J71" s="106" t="n"/>
      <c r="K71" s="106" t="n"/>
      <c r="L71" s="106" t="n"/>
      <c r="M71" s="29" t="n"/>
      <c r="N71" s="29" t="n"/>
      <c r="O71" s="106" t="n"/>
    </row>
    <row r="72">
      <c r="B72" s="107">
        <f>IF($B71="","",$B71+IF(AND(Settings!$C$10&lt;&gt;"Yes",WEEKDAY($B71,2)&gt;=5),8-WEEKDAY($B71,2),1))</f>
        <v>46378</v>
      </c>
      <c r="C72" s="103" t="str">
        <f>IF($B72="","",CHOOSE(WEEKDAY($B72,2),"Mon","Tue","Wed","Thu","Fri","Sat","Sun"))</f>
        <v>Tue</v>
      </c>
      <c r="D72" s="96">
        <f>IF($B72="","",COUNTIFS('Trade Log'!$A$6:$A$1005,$B72,'Trade Log'!$BH$6:$BH$1005,1))</f>
        <v>0</v>
      </c>
      <c r="E72" s="98" t="str">
        <f>IF(OR($B72="",N($D72)=0),"",SUMIFS('Trade Log'!$Q$6:$Q$1005,'Trade Log'!$A$6:$A$1005,$B72))</f>
        <v/>
      </c>
      <c r="F72" s="99" t="str">
        <f>IF(OR($B72="",N($D72)=0),"",IFERROR(COUNTIFS('Trade Log'!$A$6:$A$1005,$B72,'Trade Log'!$S$6:$S$1005,"Win")/(COUNTIFS('Trade Log'!$A$6:$A$1005,$B72,'Trade Log'!$S$6:$S$1005,"Win")+COUNTIFS('Trade Log'!$A$6:$A$1005,$B72,'Trade Log'!$S$6:$S$1005,"Loss")),"—"))</f>
        <v/>
      </c>
      <c r="G72" s="104" t="str">
        <f>IF(OR($B72="",N($D72)=0),"",SUMIFS('Trade Log'!$R$6:$R$1005,'Trade Log'!$A$6:$A$1005,$B72))</f>
        <v/>
      </c>
      <c r="H72" s="96" t="str">
        <f>IF(OR($B72="",N($D72)=0),"",COUNTIFS('Trade Log'!$A$6:$A$1005,$B72,'Trade Log'!$Z$6:$Z$1005,"No"))</f>
        <v/>
      </c>
      <c r="I72" s="105" t="str">
        <f>IF(OR($B72="",N($D72)=0),"",IF(AND(ISNUMBER(Settings!$C$26),N($E72)&lt;=-N(Settings!$C$26)),"Hit daily max loss. ","")&amp;IF(COUNTIFS('Trade Log'!$A$6:$A$1005,$B72,'Trade Log'!$BM$6:$BM$1005,1)&gt;0,"Kept trading after daily max loss. ","")&amp;IF(AND(ISNUMBER(Settings!$C$25),N($D72)&gt;N(Settings!$C$25)),"Over max trades. ",""))</f>
        <v/>
      </c>
      <c r="J72" s="106" t="n"/>
      <c r="K72" s="106" t="n"/>
      <c r="L72" s="106" t="n"/>
      <c r="M72" s="29" t="n"/>
      <c r="N72" s="29" t="n"/>
      <c r="O72" s="106" t="n"/>
    </row>
    <row r="73">
      <c r="B73" s="107">
        <f>IF($B72="","",$B72+IF(AND(Settings!$C$10&lt;&gt;"Yes",WEEKDAY($B72,2)&gt;=5),8-WEEKDAY($B72,2),1))</f>
        <v>46379</v>
      </c>
      <c r="C73" s="103" t="str">
        <f>IF($B73="","",CHOOSE(WEEKDAY($B73,2),"Mon","Tue","Wed","Thu","Fri","Sat","Sun"))</f>
        <v>Wed</v>
      </c>
      <c r="D73" s="96">
        <f>IF($B73="","",COUNTIFS('Trade Log'!$A$6:$A$1005,$B73,'Trade Log'!$BH$6:$BH$1005,1))</f>
        <v>0</v>
      </c>
      <c r="E73" s="98" t="str">
        <f>IF(OR($B73="",N($D73)=0),"",SUMIFS('Trade Log'!$Q$6:$Q$1005,'Trade Log'!$A$6:$A$1005,$B73))</f>
        <v/>
      </c>
      <c r="F73" s="99" t="str">
        <f>IF(OR($B73="",N($D73)=0),"",IFERROR(COUNTIFS('Trade Log'!$A$6:$A$1005,$B73,'Trade Log'!$S$6:$S$1005,"Win")/(COUNTIFS('Trade Log'!$A$6:$A$1005,$B73,'Trade Log'!$S$6:$S$1005,"Win")+COUNTIFS('Trade Log'!$A$6:$A$1005,$B73,'Trade Log'!$S$6:$S$1005,"Loss")),"—"))</f>
        <v/>
      </c>
      <c r="G73" s="104" t="str">
        <f>IF(OR($B73="",N($D73)=0),"",SUMIFS('Trade Log'!$R$6:$R$1005,'Trade Log'!$A$6:$A$1005,$B73))</f>
        <v/>
      </c>
      <c r="H73" s="96" t="str">
        <f>IF(OR($B73="",N($D73)=0),"",COUNTIFS('Trade Log'!$A$6:$A$1005,$B73,'Trade Log'!$Z$6:$Z$1005,"No"))</f>
        <v/>
      </c>
      <c r="I73" s="105" t="str">
        <f>IF(OR($B73="",N($D73)=0),"",IF(AND(ISNUMBER(Settings!$C$26),N($E73)&lt;=-N(Settings!$C$26)),"Hit daily max loss. ","")&amp;IF(COUNTIFS('Trade Log'!$A$6:$A$1005,$B73,'Trade Log'!$BM$6:$BM$1005,1)&gt;0,"Kept trading after daily max loss. ","")&amp;IF(AND(ISNUMBER(Settings!$C$25),N($D73)&gt;N(Settings!$C$25)),"Over max trades. ",""))</f>
        <v/>
      </c>
      <c r="J73" s="106" t="n"/>
      <c r="K73" s="106" t="n"/>
      <c r="L73" s="106" t="n"/>
      <c r="M73" s="29" t="n"/>
      <c r="N73" s="29" t="n"/>
      <c r="O73" s="106" t="n"/>
    </row>
    <row r="74">
      <c r="B74" s="107">
        <f>IF($B73="","",$B73+IF(AND(Settings!$C$10&lt;&gt;"Yes",WEEKDAY($B73,2)&gt;=5),8-WEEKDAY($B73,2),1))</f>
        <v>46380</v>
      </c>
      <c r="C74" s="103" t="str">
        <f>IF($B74="","",CHOOSE(WEEKDAY($B74,2),"Mon","Tue","Wed","Thu","Fri","Sat","Sun"))</f>
        <v>Thu</v>
      </c>
      <c r="D74" s="96">
        <f>IF($B74="","",COUNTIFS('Trade Log'!$A$6:$A$1005,$B74,'Trade Log'!$BH$6:$BH$1005,1))</f>
        <v>0</v>
      </c>
      <c r="E74" s="98" t="str">
        <f>IF(OR($B74="",N($D74)=0),"",SUMIFS('Trade Log'!$Q$6:$Q$1005,'Trade Log'!$A$6:$A$1005,$B74))</f>
        <v/>
      </c>
      <c r="F74" s="99" t="str">
        <f>IF(OR($B74="",N($D74)=0),"",IFERROR(COUNTIFS('Trade Log'!$A$6:$A$1005,$B74,'Trade Log'!$S$6:$S$1005,"Win")/(COUNTIFS('Trade Log'!$A$6:$A$1005,$B74,'Trade Log'!$S$6:$S$1005,"Win")+COUNTIFS('Trade Log'!$A$6:$A$1005,$B74,'Trade Log'!$S$6:$S$1005,"Loss")),"—"))</f>
        <v/>
      </c>
      <c r="G74" s="104" t="str">
        <f>IF(OR($B74="",N($D74)=0),"",SUMIFS('Trade Log'!$R$6:$R$1005,'Trade Log'!$A$6:$A$1005,$B74))</f>
        <v/>
      </c>
      <c r="H74" s="96" t="str">
        <f>IF(OR($B74="",N($D74)=0),"",COUNTIFS('Trade Log'!$A$6:$A$1005,$B74,'Trade Log'!$Z$6:$Z$1005,"No"))</f>
        <v/>
      </c>
      <c r="I74" s="105" t="str">
        <f>IF(OR($B74="",N($D74)=0),"",IF(AND(ISNUMBER(Settings!$C$26),N($E74)&lt;=-N(Settings!$C$26)),"Hit daily max loss. ","")&amp;IF(COUNTIFS('Trade Log'!$A$6:$A$1005,$B74,'Trade Log'!$BM$6:$BM$1005,1)&gt;0,"Kept trading after daily max loss. ","")&amp;IF(AND(ISNUMBER(Settings!$C$25),N($D74)&gt;N(Settings!$C$25)),"Over max trades. ",""))</f>
        <v/>
      </c>
      <c r="J74" s="106" t="n"/>
      <c r="K74" s="106" t="n"/>
      <c r="L74" s="106" t="n"/>
      <c r="M74" s="29" t="n"/>
      <c r="N74" s="29" t="n"/>
      <c r="O74" s="106" t="n"/>
    </row>
    <row r="75">
      <c r="B75" s="107">
        <f>IF($B74="","",$B74+IF(AND(Settings!$C$10&lt;&gt;"Yes",WEEKDAY($B74,2)&gt;=5),8-WEEKDAY($B74,2),1))</f>
        <v>46381</v>
      </c>
      <c r="C75" s="103" t="str">
        <f>IF($B75="","",CHOOSE(WEEKDAY($B75,2),"Mon","Tue","Wed","Thu","Fri","Sat","Sun"))</f>
        <v>Fri</v>
      </c>
      <c r="D75" s="96">
        <f>IF($B75="","",COUNTIFS('Trade Log'!$A$6:$A$1005,$B75,'Trade Log'!$BH$6:$BH$1005,1))</f>
        <v>0</v>
      </c>
      <c r="E75" s="98" t="str">
        <f>IF(OR($B75="",N($D75)=0),"",SUMIFS('Trade Log'!$Q$6:$Q$1005,'Trade Log'!$A$6:$A$1005,$B75))</f>
        <v/>
      </c>
      <c r="F75" s="99" t="str">
        <f>IF(OR($B75="",N($D75)=0),"",IFERROR(COUNTIFS('Trade Log'!$A$6:$A$1005,$B75,'Trade Log'!$S$6:$S$1005,"Win")/(COUNTIFS('Trade Log'!$A$6:$A$1005,$B75,'Trade Log'!$S$6:$S$1005,"Win")+COUNTIFS('Trade Log'!$A$6:$A$1005,$B75,'Trade Log'!$S$6:$S$1005,"Loss")),"—"))</f>
        <v/>
      </c>
      <c r="G75" s="104" t="str">
        <f>IF(OR($B75="",N($D75)=0),"",SUMIFS('Trade Log'!$R$6:$R$1005,'Trade Log'!$A$6:$A$1005,$B75))</f>
        <v/>
      </c>
      <c r="H75" s="96" t="str">
        <f>IF(OR($B75="",N($D75)=0),"",COUNTIFS('Trade Log'!$A$6:$A$1005,$B75,'Trade Log'!$Z$6:$Z$1005,"No"))</f>
        <v/>
      </c>
      <c r="I75" s="105" t="str">
        <f>IF(OR($B75="",N($D75)=0),"",IF(AND(ISNUMBER(Settings!$C$26),N($E75)&lt;=-N(Settings!$C$26)),"Hit daily max loss. ","")&amp;IF(COUNTIFS('Trade Log'!$A$6:$A$1005,$B75,'Trade Log'!$BM$6:$BM$1005,1)&gt;0,"Kept trading after daily max loss. ","")&amp;IF(AND(ISNUMBER(Settings!$C$25),N($D75)&gt;N(Settings!$C$25)),"Over max trades. ",""))</f>
        <v/>
      </c>
      <c r="J75" s="106" t="n"/>
      <c r="K75" s="106" t="n"/>
      <c r="L75" s="106" t="n"/>
      <c r="M75" s="29" t="n"/>
      <c r="N75" s="29" t="n"/>
      <c r="O75" s="106" t="n"/>
    </row>
    <row r="76">
      <c r="B76" s="107">
        <f>IF($B75="","",$B75+IF(AND(Settings!$C$10&lt;&gt;"Yes",WEEKDAY($B75,2)&gt;=5),8-WEEKDAY($B75,2),1))</f>
        <v>46384</v>
      </c>
      <c r="C76" s="103" t="str">
        <f>IF($B76="","",CHOOSE(WEEKDAY($B76,2),"Mon","Tue","Wed","Thu","Fri","Sat","Sun"))</f>
        <v>Mon</v>
      </c>
      <c r="D76" s="96">
        <f>IF($B76="","",COUNTIFS('Trade Log'!$A$6:$A$1005,$B76,'Trade Log'!$BH$6:$BH$1005,1))</f>
        <v>0</v>
      </c>
      <c r="E76" s="98" t="str">
        <f>IF(OR($B76="",N($D76)=0),"",SUMIFS('Trade Log'!$Q$6:$Q$1005,'Trade Log'!$A$6:$A$1005,$B76))</f>
        <v/>
      </c>
      <c r="F76" s="99" t="str">
        <f>IF(OR($B76="",N($D76)=0),"",IFERROR(COUNTIFS('Trade Log'!$A$6:$A$1005,$B76,'Trade Log'!$S$6:$S$1005,"Win")/(COUNTIFS('Trade Log'!$A$6:$A$1005,$B76,'Trade Log'!$S$6:$S$1005,"Win")+COUNTIFS('Trade Log'!$A$6:$A$1005,$B76,'Trade Log'!$S$6:$S$1005,"Loss")),"—"))</f>
        <v/>
      </c>
      <c r="G76" s="104" t="str">
        <f>IF(OR($B76="",N($D76)=0),"",SUMIFS('Trade Log'!$R$6:$R$1005,'Trade Log'!$A$6:$A$1005,$B76))</f>
        <v/>
      </c>
      <c r="H76" s="96" t="str">
        <f>IF(OR($B76="",N($D76)=0),"",COUNTIFS('Trade Log'!$A$6:$A$1005,$B76,'Trade Log'!$Z$6:$Z$1005,"No"))</f>
        <v/>
      </c>
      <c r="I76" s="105" t="str">
        <f>IF(OR($B76="",N($D76)=0),"",IF(AND(ISNUMBER(Settings!$C$26),N($E76)&lt;=-N(Settings!$C$26)),"Hit daily max loss. ","")&amp;IF(COUNTIFS('Trade Log'!$A$6:$A$1005,$B76,'Trade Log'!$BM$6:$BM$1005,1)&gt;0,"Kept trading after daily max loss. ","")&amp;IF(AND(ISNUMBER(Settings!$C$25),N($D76)&gt;N(Settings!$C$25)),"Over max trades. ",""))</f>
        <v/>
      </c>
      <c r="J76" s="106" t="n"/>
      <c r="K76" s="106" t="n"/>
      <c r="L76" s="106" t="n"/>
      <c r="M76" s="29" t="n"/>
      <c r="N76" s="29" t="n"/>
      <c r="O76" s="106" t="n"/>
    </row>
    <row r="77">
      <c r="B77" s="107">
        <f>IF($B76="","",$B76+IF(AND(Settings!$C$10&lt;&gt;"Yes",WEEKDAY($B76,2)&gt;=5),8-WEEKDAY($B76,2),1))</f>
        <v>46385</v>
      </c>
      <c r="C77" s="103" t="str">
        <f>IF($B77="","",CHOOSE(WEEKDAY($B77,2),"Mon","Tue","Wed","Thu","Fri","Sat","Sun"))</f>
        <v>Tue</v>
      </c>
      <c r="D77" s="96">
        <f>IF($B77="","",COUNTIFS('Trade Log'!$A$6:$A$1005,$B77,'Trade Log'!$BH$6:$BH$1005,1))</f>
        <v>0</v>
      </c>
      <c r="E77" s="98" t="str">
        <f>IF(OR($B77="",N($D77)=0),"",SUMIFS('Trade Log'!$Q$6:$Q$1005,'Trade Log'!$A$6:$A$1005,$B77))</f>
        <v/>
      </c>
      <c r="F77" s="99" t="str">
        <f>IF(OR($B77="",N($D77)=0),"",IFERROR(COUNTIFS('Trade Log'!$A$6:$A$1005,$B77,'Trade Log'!$S$6:$S$1005,"Win")/(COUNTIFS('Trade Log'!$A$6:$A$1005,$B77,'Trade Log'!$S$6:$S$1005,"Win")+COUNTIFS('Trade Log'!$A$6:$A$1005,$B77,'Trade Log'!$S$6:$S$1005,"Loss")),"—"))</f>
        <v/>
      </c>
      <c r="G77" s="104" t="str">
        <f>IF(OR($B77="",N($D77)=0),"",SUMIFS('Trade Log'!$R$6:$R$1005,'Trade Log'!$A$6:$A$1005,$B77))</f>
        <v/>
      </c>
      <c r="H77" s="96" t="str">
        <f>IF(OR($B77="",N($D77)=0),"",COUNTIFS('Trade Log'!$A$6:$A$1005,$B77,'Trade Log'!$Z$6:$Z$1005,"No"))</f>
        <v/>
      </c>
      <c r="I77" s="105" t="str">
        <f>IF(OR($B77="",N($D77)=0),"",IF(AND(ISNUMBER(Settings!$C$26),N($E77)&lt;=-N(Settings!$C$26)),"Hit daily max loss. ","")&amp;IF(COUNTIFS('Trade Log'!$A$6:$A$1005,$B77,'Trade Log'!$BM$6:$BM$1005,1)&gt;0,"Kept trading after daily max loss. ","")&amp;IF(AND(ISNUMBER(Settings!$C$25),N($D77)&gt;N(Settings!$C$25)),"Over max trades. ",""))</f>
        <v/>
      </c>
      <c r="J77" s="106" t="n"/>
      <c r="K77" s="106" t="n"/>
      <c r="L77" s="106" t="n"/>
      <c r="M77" s="29" t="n"/>
      <c r="N77" s="29" t="n"/>
      <c r="O77" s="106" t="n"/>
    </row>
    <row r="78">
      <c r="B78" s="107">
        <f>IF($B77="","",$B77+IF(AND(Settings!$C$10&lt;&gt;"Yes",WEEKDAY($B77,2)&gt;=5),8-WEEKDAY($B77,2),1))</f>
        <v>46386</v>
      </c>
      <c r="C78" s="103" t="str">
        <f>IF($B78="","",CHOOSE(WEEKDAY($B78,2),"Mon","Tue","Wed","Thu","Fri","Sat","Sun"))</f>
        <v>Wed</v>
      </c>
      <c r="D78" s="96">
        <f>IF($B78="","",COUNTIFS('Trade Log'!$A$6:$A$1005,$B78,'Trade Log'!$BH$6:$BH$1005,1))</f>
        <v>0</v>
      </c>
      <c r="E78" s="98" t="str">
        <f>IF(OR($B78="",N($D78)=0),"",SUMIFS('Trade Log'!$Q$6:$Q$1005,'Trade Log'!$A$6:$A$1005,$B78))</f>
        <v/>
      </c>
      <c r="F78" s="99" t="str">
        <f>IF(OR($B78="",N($D78)=0),"",IFERROR(COUNTIFS('Trade Log'!$A$6:$A$1005,$B78,'Trade Log'!$S$6:$S$1005,"Win")/(COUNTIFS('Trade Log'!$A$6:$A$1005,$B78,'Trade Log'!$S$6:$S$1005,"Win")+COUNTIFS('Trade Log'!$A$6:$A$1005,$B78,'Trade Log'!$S$6:$S$1005,"Loss")),"—"))</f>
        <v/>
      </c>
      <c r="G78" s="104" t="str">
        <f>IF(OR($B78="",N($D78)=0),"",SUMIFS('Trade Log'!$R$6:$R$1005,'Trade Log'!$A$6:$A$1005,$B78))</f>
        <v/>
      </c>
      <c r="H78" s="96" t="str">
        <f>IF(OR($B78="",N($D78)=0),"",COUNTIFS('Trade Log'!$A$6:$A$1005,$B78,'Trade Log'!$Z$6:$Z$1005,"No"))</f>
        <v/>
      </c>
      <c r="I78" s="105" t="str">
        <f>IF(OR($B78="",N($D78)=0),"",IF(AND(ISNUMBER(Settings!$C$26),N($E78)&lt;=-N(Settings!$C$26)),"Hit daily max loss. ","")&amp;IF(COUNTIFS('Trade Log'!$A$6:$A$1005,$B78,'Trade Log'!$BM$6:$BM$1005,1)&gt;0,"Kept trading after daily max loss. ","")&amp;IF(AND(ISNUMBER(Settings!$C$25),N($D78)&gt;N(Settings!$C$25)),"Over max trades. ",""))</f>
        <v/>
      </c>
      <c r="J78" s="106" t="n"/>
      <c r="K78" s="106" t="n"/>
      <c r="L78" s="106" t="n"/>
      <c r="M78" s="29" t="n"/>
      <c r="N78" s="29" t="n"/>
      <c r="O78" s="106" t="n"/>
    </row>
    <row r="79">
      <c r="B79" s="107">
        <f>IF($B78="","",$B78+IF(AND(Settings!$C$10&lt;&gt;"Yes",WEEKDAY($B78,2)&gt;=5),8-WEEKDAY($B78,2),1))</f>
        <v>46387</v>
      </c>
      <c r="C79" s="103" t="str">
        <f>IF($B79="","",CHOOSE(WEEKDAY($B79,2),"Mon","Tue","Wed","Thu","Fri","Sat","Sun"))</f>
        <v>Thu</v>
      </c>
      <c r="D79" s="96">
        <f>IF($B79="","",COUNTIFS('Trade Log'!$A$6:$A$1005,$B79,'Trade Log'!$BH$6:$BH$1005,1))</f>
        <v>0</v>
      </c>
      <c r="E79" s="98" t="str">
        <f>IF(OR($B79="",N($D79)=0),"",SUMIFS('Trade Log'!$Q$6:$Q$1005,'Trade Log'!$A$6:$A$1005,$B79))</f>
        <v/>
      </c>
      <c r="F79" s="99" t="str">
        <f>IF(OR($B79="",N($D79)=0),"",IFERROR(COUNTIFS('Trade Log'!$A$6:$A$1005,$B79,'Trade Log'!$S$6:$S$1005,"Win")/(COUNTIFS('Trade Log'!$A$6:$A$1005,$B79,'Trade Log'!$S$6:$S$1005,"Win")+COUNTIFS('Trade Log'!$A$6:$A$1005,$B79,'Trade Log'!$S$6:$S$1005,"Loss")),"—"))</f>
        <v/>
      </c>
      <c r="G79" s="104" t="str">
        <f>IF(OR($B79="",N($D79)=0),"",SUMIFS('Trade Log'!$R$6:$R$1005,'Trade Log'!$A$6:$A$1005,$B79))</f>
        <v/>
      </c>
      <c r="H79" s="96" t="str">
        <f>IF(OR($B79="",N($D79)=0),"",COUNTIFS('Trade Log'!$A$6:$A$1005,$B79,'Trade Log'!$Z$6:$Z$1005,"No"))</f>
        <v/>
      </c>
      <c r="I79" s="105" t="str">
        <f>IF(OR($B79="",N($D79)=0),"",IF(AND(ISNUMBER(Settings!$C$26),N($E79)&lt;=-N(Settings!$C$26)),"Hit daily max loss. ","")&amp;IF(COUNTIFS('Trade Log'!$A$6:$A$1005,$B79,'Trade Log'!$BM$6:$BM$1005,1)&gt;0,"Kept trading after daily max loss. ","")&amp;IF(AND(ISNUMBER(Settings!$C$25),N($D79)&gt;N(Settings!$C$25)),"Over max trades. ",""))</f>
        <v/>
      </c>
      <c r="J79" s="106" t="n"/>
      <c r="K79" s="106" t="n"/>
      <c r="L79" s="106" t="n"/>
      <c r="M79" s="29" t="n"/>
      <c r="N79" s="29" t="n"/>
      <c r="O79" s="106" t="n"/>
    </row>
    <row r="80">
      <c r="B80" s="107">
        <f>IF($B79="","",$B79+IF(AND(Settings!$C$10&lt;&gt;"Yes",WEEKDAY($B79,2)&gt;=5),8-WEEKDAY($B79,2),1))</f>
        <v>46388</v>
      </c>
      <c r="C80" s="103" t="str">
        <f>IF($B80="","",CHOOSE(WEEKDAY($B80,2),"Mon","Tue","Wed","Thu","Fri","Sat","Sun"))</f>
        <v>Fri</v>
      </c>
      <c r="D80" s="96">
        <f>IF($B80="","",COUNTIFS('Trade Log'!$A$6:$A$1005,$B80,'Trade Log'!$BH$6:$BH$1005,1))</f>
        <v>0</v>
      </c>
      <c r="E80" s="98" t="str">
        <f>IF(OR($B80="",N($D80)=0),"",SUMIFS('Trade Log'!$Q$6:$Q$1005,'Trade Log'!$A$6:$A$1005,$B80))</f>
        <v/>
      </c>
      <c r="F80" s="99" t="str">
        <f>IF(OR($B80="",N($D80)=0),"",IFERROR(COUNTIFS('Trade Log'!$A$6:$A$1005,$B80,'Trade Log'!$S$6:$S$1005,"Win")/(COUNTIFS('Trade Log'!$A$6:$A$1005,$B80,'Trade Log'!$S$6:$S$1005,"Win")+COUNTIFS('Trade Log'!$A$6:$A$1005,$B80,'Trade Log'!$S$6:$S$1005,"Loss")),"—"))</f>
        <v/>
      </c>
      <c r="G80" s="104" t="str">
        <f>IF(OR($B80="",N($D80)=0),"",SUMIFS('Trade Log'!$R$6:$R$1005,'Trade Log'!$A$6:$A$1005,$B80))</f>
        <v/>
      </c>
      <c r="H80" s="96" t="str">
        <f>IF(OR($B80="",N($D80)=0),"",COUNTIFS('Trade Log'!$A$6:$A$1005,$B80,'Trade Log'!$Z$6:$Z$1005,"No"))</f>
        <v/>
      </c>
      <c r="I80" s="105" t="str">
        <f>IF(OR($B80="",N($D80)=0),"",IF(AND(ISNUMBER(Settings!$C$26),N($E80)&lt;=-N(Settings!$C$26)),"Hit daily max loss. ","")&amp;IF(COUNTIFS('Trade Log'!$A$6:$A$1005,$B80,'Trade Log'!$BM$6:$BM$1005,1)&gt;0,"Kept trading after daily max loss. ","")&amp;IF(AND(ISNUMBER(Settings!$C$25),N($D80)&gt;N(Settings!$C$25)),"Over max trades. ",""))</f>
        <v/>
      </c>
      <c r="J80" s="106" t="n"/>
      <c r="K80" s="106" t="n"/>
      <c r="L80" s="106" t="n"/>
      <c r="M80" s="29" t="n"/>
      <c r="N80" s="29" t="n"/>
      <c r="O80" s="106" t="n"/>
    </row>
    <row r="81">
      <c r="B81" s="107">
        <f>IF($B80="","",$B80+IF(AND(Settings!$C$10&lt;&gt;"Yes",WEEKDAY($B80,2)&gt;=5),8-WEEKDAY($B80,2),1))</f>
        <v>46391</v>
      </c>
      <c r="C81" s="103" t="str">
        <f>IF($B81="","",CHOOSE(WEEKDAY($B81,2),"Mon","Tue","Wed","Thu","Fri","Sat","Sun"))</f>
        <v>Mon</v>
      </c>
      <c r="D81" s="96">
        <f>IF($B81="","",COUNTIFS('Trade Log'!$A$6:$A$1005,$B81,'Trade Log'!$BH$6:$BH$1005,1))</f>
        <v>0</v>
      </c>
      <c r="E81" s="98" t="str">
        <f>IF(OR($B81="",N($D81)=0),"",SUMIFS('Trade Log'!$Q$6:$Q$1005,'Trade Log'!$A$6:$A$1005,$B81))</f>
        <v/>
      </c>
      <c r="F81" s="99" t="str">
        <f>IF(OR($B81="",N($D81)=0),"",IFERROR(COUNTIFS('Trade Log'!$A$6:$A$1005,$B81,'Trade Log'!$S$6:$S$1005,"Win")/(COUNTIFS('Trade Log'!$A$6:$A$1005,$B81,'Trade Log'!$S$6:$S$1005,"Win")+COUNTIFS('Trade Log'!$A$6:$A$1005,$B81,'Trade Log'!$S$6:$S$1005,"Loss")),"—"))</f>
        <v/>
      </c>
      <c r="G81" s="104" t="str">
        <f>IF(OR($B81="",N($D81)=0),"",SUMIFS('Trade Log'!$R$6:$R$1005,'Trade Log'!$A$6:$A$1005,$B81))</f>
        <v/>
      </c>
      <c r="H81" s="96" t="str">
        <f>IF(OR($B81="",N($D81)=0),"",COUNTIFS('Trade Log'!$A$6:$A$1005,$B81,'Trade Log'!$Z$6:$Z$1005,"No"))</f>
        <v/>
      </c>
      <c r="I81" s="105" t="str">
        <f>IF(OR($B81="",N($D81)=0),"",IF(AND(ISNUMBER(Settings!$C$26),N($E81)&lt;=-N(Settings!$C$26)),"Hit daily max loss. ","")&amp;IF(COUNTIFS('Trade Log'!$A$6:$A$1005,$B81,'Trade Log'!$BM$6:$BM$1005,1)&gt;0,"Kept trading after daily max loss. ","")&amp;IF(AND(ISNUMBER(Settings!$C$25),N($D81)&gt;N(Settings!$C$25)),"Over max trades. ",""))</f>
        <v/>
      </c>
      <c r="J81" s="106" t="n"/>
      <c r="K81" s="106" t="n"/>
      <c r="L81" s="106" t="n"/>
      <c r="M81" s="29" t="n"/>
      <c r="N81" s="29" t="n"/>
      <c r="O81" s="106" t="n"/>
    </row>
    <row r="82">
      <c r="B82" s="107">
        <f>IF($B81="","",$B81+IF(AND(Settings!$C$10&lt;&gt;"Yes",WEEKDAY($B81,2)&gt;=5),8-WEEKDAY($B81,2),1))</f>
        <v>46392</v>
      </c>
      <c r="C82" s="103" t="str">
        <f>IF($B82="","",CHOOSE(WEEKDAY($B82,2),"Mon","Tue","Wed","Thu","Fri","Sat","Sun"))</f>
        <v>Tue</v>
      </c>
      <c r="D82" s="96">
        <f>IF($B82="","",COUNTIFS('Trade Log'!$A$6:$A$1005,$B82,'Trade Log'!$BH$6:$BH$1005,1))</f>
        <v>0</v>
      </c>
      <c r="E82" s="98" t="str">
        <f>IF(OR($B82="",N($D82)=0),"",SUMIFS('Trade Log'!$Q$6:$Q$1005,'Trade Log'!$A$6:$A$1005,$B82))</f>
        <v/>
      </c>
      <c r="F82" s="99" t="str">
        <f>IF(OR($B82="",N($D82)=0),"",IFERROR(COUNTIFS('Trade Log'!$A$6:$A$1005,$B82,'Trade Log'!$S$6:$S$1005,"Win")/(COUNTIFS('Trade Log'!$A$6:$A$1005,$B82,'Trade Log'!$S$6:$S$1005,"Win")+COUNTIFS('Trade Log'!$A$6:$A$1005,$B82,'Trade Log'!$S$6:$S$1005,"Loss")),"—"))</f>
        <v/>
      </c>
      <c r="G82" s="104" t="str">
        <f>IF(OR($B82="",N($D82)=0),"",SUMIFS('Trade Log'!$R$6:$R$1005,'Trade Log'!$A$6:$A$1005,$B82))</f>
        <v/>
      </c>
      <c r="H82" s="96" t="str">
        <f>IF(OR($B82="",N($D82)=0),"",COUNTIFS('Trade Log'!$A$6:$A$1005,$B82,'Trade Log'!$Z$6:$Z$1005,"No"))</f>
        <v/>
      </c>
      <c r="I82" s="105" t="str">
        <f>IF(OR($B82="",N($D82)=0),"",IF(AND(ISNUMBER(Settings!$C$26),N($E82)&lt;=-N(Settings!$C$26)),"Hit daily max loss. ","")&amp;IF(COUNTIFS('Trade Log'!$A$6:$A$1005,$B82,'Trade Log'!$BM$6:$BM$1005,1)&gt;0,"Kept trading after daily max loss. ","")&amp;IF(AND(ISNUMBER(Settings!$C$25),N($D82)&gt;N(Settings!$C$25)),"Over max trades. ",""))</f>
        <v/>
      </c>
      <c r="J82" s="106" t="n"/>
      <c r="K82" s="106" t="n"/>
      <c r="L82" s="106" t="n"/>
      <c r="M82" s="29" t="n"/>
      <c r="N82" s="29" t="n"/>
      <c r="O82" s="106" t="n"/>
    </row>
    <row r="83">
      <c r="B83" s="107">
        <f>IF($B82="","",$B82+IF(AND(Settings!$C$10&lt;&gt;"Yes",WEEKDAY($B82,2)&gt;=5),8-WEEKDAY($B82,2),1))</f>
        <v>46393</v>
      </c>
      <c r="C83" s="103" t="str">
        <f>IF($B83="","",CHOOSE(WEEKDAY($B83,2),"Mon","Tue","Wed","Thu","Fri","Sat","Sun"))</f>
        <v>Wed</v>
      </c>
      <c r="D83" s="96">
        <f>IF($B83="","",COUNTIFS('Trade Log'!$A$6:$A$1005,$B83,'Trade Log'!$BH$6:$BH$1005,1))</f>
        <v>0</v>
      </c>
      <c r="E83" s="98" t="str">
        <f>IF(OR($B83="",N($D83)=0),"",SUMIFS('Trade Log'!$Q$6:$Q$1005,'Trade Log'!$A$6:$A$1005,$B83))</f>
        <v/>
      </c>
      <c r="F83" s="99" t="str">
        <f>IF(OR($B83="",N($D83)=0),"",IFERROR(COUNTIFS('Trade Log'!$A$6:$A$1005,$B83,'Trade Log'!$S$6:$S$1005,"Win")/(COUNTIFS('Trade Log'!$A$6:$A$1005,$B83,'Trade Log'!$S$6:$S$1005,"Win")+COUNTIFS('Trade Log'!$A$6:$A$1005,$B83,'Trade Log'!$S$6:$S$1005,"Loss")),"—"))</f>
        <v/>
      </c>
      <c r="G83" s="104" t="str">
        <f>IF(OR($B83="",N($D83)=0),"",SUMIFS('Trade Log'!$R$6:$R$1005,'Trade Log'!$A$6:$A$1005,$B83))</f>
        <v/>
      </c>
      <c r="H83" s="96" t="str">
        <f>IF(OR($B83="",N($D83)=0),"",COUNTIFS('Trade Log'!$A$6:$A$1005,$B83,'Trade Log'!$Z$6:$Z$1005,"No"))</f>
        <v/>
      </c>
      <c r="I83" s="105" t="str">
        <f>IF(OR($B83="",N($D83)=0),"",IF(AND(ISNUMBER(Settings!$C$26),N($E83)&lt;=-N(Settings!$C$26)),"Hit daily max loss. ","")&amp;IF(COUNTIFS('Trade Log'!$A$6:$A$1005,$B83,'Trade Log'!$BM$6:$BM$1005,1)&gt;0,"Kept trading after daily max loss. ","")&amp;IF(AND(ISNUMBER(Settings!$C$25),N($D83)&gt;N(Settings!$C$25)),"Over max trades. ",""))</f>
        <v/>
      </c>
      <c r="J83" s="106" t="n"/>
      <c r="K83" s="106" t="n"/>
      <c r="L83" s="106" t="n"/>
      <c r="M83" s="29" t="n"/>
      <c r="N83" s="29" t="n"/>
      <c r="O83" s="106" t="n"/>
    </row>
    <row r="84">
      <c r="B84" s="107">
        <f>IF($B83="","",$B83+IF(AND(Settings!$C$10&lt;&gt;"Yes",WEEKDAY($B83,2)&gt;=5),8-WEEKDAY($B83,2),1))</f>
        <v>46394</v>
      </c>
      <c r="C84" s="103" t="str">
        <f>IF($B84="","",CHOOSE(WEEKDAY($B84,2),"Mon","Tue","Wed","Thu","Fri","Sat","Sun"))</f>
        <v>Thu</v>
      </c>
      <c r="D84" s="96">
        <f>IF($B84="","",COUNTIFS('Trade Log'!$A$6:$A$1005,$B84,'Trade Log'!$BH$6:$BH$1005,1))</f>
        <v>0</v>
      </c>
      <c r="E84" s="98" t="str">
        <f>IF(OR($B84="",N($D84)=0),"",SUMIFS('Trade Log'!$Q$6:$Q$1005,'Trade Log'!$A$6:$A$1005,$B84))</f>
        <v/>
      </c>
      <c r="F84" s="99" t="str">
        <f>IF(OR($B84="",N($D84)=0),"",IFERROR(COUNTIFS('Trade Log'!$A$6:$A$1005,$B84,'Trade Log'!$S$6:$S$1005,"Win")/(COUNTIFS('Trade Log'!$A$6:$A$1005,$B84,'Trade Log'!$S$6:$S$1005,"Win")+COUNTIFS('Trade Log'!$A$6:$A$1005,$B84,'Trade Log'!$S$6:$S$1005,"Loss")),"—"))</f>
        <v/>
      </c>
      <c r="G84" s="104" t="str">
        <f>IF(OR($B84="",N($D84)=0),"",SUMIFS('Trade Log'!$R$6:$R$1005,'Trade Log'!$A$6:$A$1005,$B84))</f>
        <v/>
      </c>
      <c r="H84" s="96" t="str">
        <f>IF(OR($B84="",N($D84)=0),"",COUNTIFS('Trade Log'!$A$6:$A$1005,$B84,'Trade Log'!$Z$6:$Z$1005,"No"))</f>
        <v/>
      </c>
      <c r="I84" s="105" t="str">
        <f>IF(OR($B84="",N($D84)=0),"",IF(AND(ISNUMBER(Settings!$C$26),N($E84)&lt;=-N(Settings!$C$26)),"Hit daily max loss. ","")&amp;IF(COUNTIFS('Trade Log'!$A$6:$A$1005,$B84,'Trade Log'!$BM$6:$BM$1005,1)&gt;0,"Kept trading after daily max loss. ","")&amp;IF(AND(ISNUMBER(Settings!$C$25),N($D84)&gt;N(Settings!$C$25)),"Over max trades. ",""))</f>
        <v/>
      </c>
      <c r="J84" s="106" t="n"/>
      <c r="K84" s="106" t="n"/>
      <c r="L84" s="106" t="n"/>
      <c r="M84" s="29" t="n"/>
      <c r="N84" s="29" t="n"/>
      <c r="O84" s="106" t="n"/>
    </row>
    <row r="85">
      <c r="B85" s="107">
        <f>IF($B84="","",$B84+IF(AND(Settings!$C$10&lt;&gt;"Yes",WEEKDAY($B84,2)&gt;=5),8-WEEKDAY($B84,2),1))</f>
        <v>46395</v>
      </c>
      <c r="C85" s="103" t="str">
        <f>IF($B85="","",CHOOSE(WEEKDAY($B85,2),"Mon","Tue","Wed","Thu","Fri","Sat","Sun"))</f>
        <v>Fri</v>
      </c>
      <c r="D85" s="96">
        <f>IF($B85="","",COUNTIFS('Trade Log'!$A$6:$A$1005,$B85,'Trade Log'!$BH$6:$BH$1005,1))</f>
        <v>0</v>
      </c>
      <c r="E85" s="98" t="str">
        <f>IF(OR($B85="",N($D85)=0),"",SUMIFS('Trade Log'!$Q$6:$Q$1005,'Trade Log'!$A$6:$A$1005,$B85))</f>
        <v/>
      </c>
      <c r="F85" s="99" t="str">
        <f>IF(OR($B85="",N($D85)=0),"",IFERROR(COUNTIFS('Trade Log'!$A$6:$A$1005,$B85,'Trade Log'!$S$6:$S$1005,"Win")/(COUNTIFS('Trade Log'!$A$6:$A$1005,$B85,'Trade Log'!$S$6:$S$1005,"Win")+COUNTIFS('Trade Log'!$A$6:$A$1005,$B85,'Trade Log'!$S$6:$S$1005,"Loss")),"—"))</f>
        <v/>
      </c>
      <c r="G85" s="104" t="str">
        <f>IF(OR($B85="",N($D85)=0),"",SUMIFS('Trade Log'!$R$6:$R$1005,'Trade Log'!$A$6:$A$1005,$B85))</f>
        <v/>
      </c>
      <c r="H85" s="96" t="str">
        <f>IF(OR($B85="",N($D85)=0),"",COUNTIFS('Trade Log'!$A$6:$A$1005,$B85,'Trade Log'!$Z$6:$Z$1005,"No"))</f>
        <v/>
      </c>
      <c r="I85" s="105" t="str">
        <f>IF(OR($B85="",N($D85)=0),"",IF(AND(ISNUMBER(Settings!$C$26),N($E85)&lt;=-N(Settings!$C$26)),"Hit daily max loss. ","")&amp;IF(COUNTIFS('Trade Log'!$A$6:$A$1005,$B85,'Trade Log'!$BM$6:$BM$1005,1)&gt;0,"Kept trading after daily max loss. ","")&amp;IF(AND(ISNUMBER(Settings!$C$25),N($D85)&gt;N(Settings!$C$25)),"Over max trades. ",""))</f>
        <v/>
      </c>
      <c r="J85" s="106" t="n"/>
      <c r="K85" s="106" t="n"/>
      <c r="L85" s="106" t="n"/>
      <c r="M85" s="29" t="n"/>
      <c r="N85" s="29" t="n"/>
      <c r="O85" s="106" t="n"/>
    </row>
    <row r="86">
      <c r="B86" s="107">
        <f>IF($B85="","",$B85+IF(AND(Settings!$C$10&lt;&gt;"Yes",WEEKDAY($B85,2)&gt;=5),8-WEEKDAY($B85,2),1))</f>
        <v>46398</v>
      </c>
      <c r="C86" s="103" t="str">
        <f>IF($B86="","",CHOOSE(WEEKDAY($B86,2),"Mon","Tue","Wed","Thu","Fri","Sat","Sun"))</f>
        <v>Mon</v>
      </c>
      <c r="D86" s="96">
        <f>IF($B86="","",COUNTIFS('Trade Log'!$A$6:$A$1005,$B86,'Trade Log'!$BH$6:$BH$1005,1))</f>
        <v>0</v>
      </c>
      <c r="E86" s="98" t="str">
        <f>IF(OR($B86="",N($D86)=0),"",SUMIFS('Trade Log'!$Q$6:$Q$1005,'Trade Log'!$A$6:$A$1005,$B86))</f>
        <v/>
      </c>
      <c r="F86" s="99" t="str">
        <f>IF(OR($B86="",N($D86)=0),"",IFERROR(COUNTIFS('Trade Log'!$A$6:$A$1005,$B86,'Trade Log'!$S$6:$S$1005,"Win")/(COUNTIFS('Trade Log'!$A$6:$A$1005,$B86,'Trade Log'!$S$6:$S$1005,"Win")+COUNTIFS('Trade Log'!$A$6:$A$1005,$B86,'Trade Log'!$S$6:$S$1005,"Loss")),"—"))</f>
        <v/>
      </c>
      <c r="G86" s="104" t="str">
        <f>IF(OR($B86="",N($D86)=0),"",SUMIFS('Trade Log'!$R$6:$R$1005,'Trade Log'!$A$6:$A$1005,$B86))</f>
        <v/>
      </c>
      <c r="H86" s="96" t="str">
        <f>IF(OR($B86="",N($D86)=0),"",COUNTIFS('Trade Log'!$A$6:$A$1005,$B86,'Trade Log'!$Z$6:$Z$1005,"No"))</f>
        <v/>
      </c>
      <c r="I86" s="105" t="str">
        <f>IF(OR($B86="",N($D86)=0),"",IF(AND(ISNUMBER(Settings!$C$26),N($E86)&lt;=-N(Settings!$C$26)),"Hit daily max loss. ","")&amp;IF(COUNTIFS('Trade Log'!$A$6:$A$1005,$B86,'Trade Log'!$BM$6:$BM$1005,1)&gt;0,"Kept trading after daily max loss. ","")&amp;IF(AND(ISNUMBER(Settings!$C$25),N($D86)&gt;N(Settings!$C$25)),"Over max trades. ",""))</f>
        <v/>
      </c>
      <c r="J86" s="106" t="n"/>
      <c r="K86" s="106" t="n"/>
      <c r="L86" s="106" t="n"/>
      <c r="M86" s="29" t="n"/>
      <c r="N86" s="29" t="n"/>
      <c r="O86" s="106" t="n"/>
    </row>
    <row r="87">
      <c r="B87" s="107">
        <f>IF($B86="","",$B86+IF(AND(Settings!$C$10&lt;&gt;"Yes",WEEKDAY($B86,2)&gt;=5),8-WEEKDAY($B86,2),1))</f>
        <v>46399</v>
      </c>
      <c r="C87" s="103" t="str">
        <f>IF($B87="","",CHOOSE(WEEKDAY($B87,2),"Mon","Tue","Wed","Thu","Fri","Sat","Sun"))</f>
        <v>Tue</v>
      </c>
      <c r="D87" s="96">
        <f>IF($B87="","",COUNTIFS('Trade Log'!$A$6:$A$1005,$B87,'Trade Log'!$BH$6:$BH$1005,1))</f>
        <v>0</v>
      </c>
      <c r="E87" s="98" t="str">
        <f>IF(OR($B87="",N($D87)=0),"",SUMIFS('Trade Log'!$Q$6:$Q$1005,'Trade Log'!$A$6:$A$1005,$B87))</f>
        <v/>
      </c>
      <c r="F87" s="99" t="str">
        <f>IF(OR($B87="",N($D87)=0),"",IFERROR(COUNTIFS('Trade Log'!$A$6:$A$1005,$B87,'Trade Log'!$S$6:$S$1005,"Win")/(COUNTIFS('Trade Log'!$A$6:$A$1005,$B87,'Trade Log'!$S$6:$S$1005,"Win")+COUNTIFS('Trade Log'!$A$6:$A$1005,$B87,'Trade Log'!$S$6:$S$1005,"Loss")),"—"))</f>
        <v/>
      </c>
      <c r="G87" s="104" t="str">
        <f>IF(OR($B87="",N($D87)=0),"",SUMIFS('Trade Log'!$R$6:$R$1005,'Trade Log'!$A$6:$A$1005,$B87))</f>
        <v/>
      </c>
      <c r="H87" s="96" t="str">
        <f>IF(OR($B87="",N($D87)=0),"",COUNTIFS('Trade Log'!$A$6:$A$1005,$B87,'Trade Log'!$Z$6:$Z$1005,"No"))</f>
        <v/>
      </c>
      <c r="I87" s="105" t="str">
        <f>IF(OR($B87="",N($D87)=0),"",IF(AND(ISNUMBER(Settings!$C$26),N($E87)&lt;=-N(Settings!$C$26)),"Hit daily max loss. ","")&amp;IF(COUNTIFS('Trade Log'!$A$6:$A$1005,$B87,'Trade Log'!$BM$6:$BM$1005,1)&gt;0,"Kept trading after daily max loss. ","")&amp;IF(AND(ISNUMBER(Settings!$C$25),N($D87)&gt;N(Settings!$C$25)),"Over max trades. ",""))</f>
        <v/>
      </c>
      <c r="J87" s="106" t="n"/>
      <c r="K87" s="106" t="n"/>
      <c r="L87" s="106" t="n"/>
      <c r="M87" s="29" t="n"/>
      <c r="N87" s="29" t="n"/>
      <c r="O87" s="106" t="n"/>
    </row>
    <row r="88">
      <c r="B88" s="107">
        <f>IF($B87="","",$B87+IF(AND(Settings!$C$10&lt;&gt;"Yes",WEEKDAY($B87,2)&gt;=5),8-WEEKDAY($B87,2),1))</f>
        <v>46400</v>
      </c>
      <c r="C88" s="103" t="str">
        <f>IF($B88="","",CHOOSE(WEEKDAY($B88,2),"Mon","Tue","Wed","Thu","Fri","Sat","Sun"))</f>
        <v>Wed</v>
      </c>
      <c r="D88" s="96">
        <f>IF($B88="","",COUNTIFS('Trade Log'!$A$6:$A$1005,$B88,'Trade Log'!$BH$6:$BH$1005,1))</f>
        <v>0</v>
      </c>
      <c r="E88" s="98" t="str">
        <f>IF(OR($B88="",N($D88)=0),"",SUMIFS('Trade Log'!$Q$6:$Q$1005,'Trade Log'!$A$6:$A$1005,$B88))</f>
        <v/>
      </c>
      <c r="F88" s="99" t="str">
        <f>IF(OR($B88="",N($D88)=0),"",IFERROR(COUNTIFS('Trade Log'!$A$6:$A$1005,$B88,'Trade Log'!$S$6:$S$1005,"Win")/(COUNTIFS('Trade Log'!$A$6:$A$1005,$B88,'Trade Log'!$S$6:$S$1005,"Win")+COUNTIFS('Trade Log'!$A$6:$A$1005,$B88,'Trade Log'!$S$6:$S$1005,"Loss")),"—"))</f>
        <v/>
      </c>
      <c r="G88" s="104" t="str">
        <f>IF(OR($B88="",N($D88)=0),"",SUMIFS('Trade Log'!$R$6:$R$1005,'Trade Log'!$A$6:$A$1005,$B88))</f>
        <v/>
      </c>
      <c r="H88" s="96" t="str">
        <f>IF(OR($B88="",N($D88)=0),"",COUNTIFS('Trade Log'!$A$6:$A$1005,$B88,'Trade Log'!$Z$6:$Z$1005,"No"))</f>
        <v/>
      </c>
      <c r="I88" s="105" t="str">
        <f>IF(OR($B88="",N($D88)=0),"",IF(AND(ISNUMBER(Settings!$C$26),N($E88)&lt;=-N(Settings!$C$26)),"Hit daily max loss. ","")&amp;IF(COUNTIFS('Trade Log'!$A$6:$A$1005,$B88,'Trade Log'!$BM$6:$BM$1005,1)&gt;0,"Kept trading after daily max loss. ","")&amp;IF(AND(ISNUMBER(Settings!$C$25),N($D88)&gt;N(Settings!$C$25)),"Over max trades. ",""))</f>
        <v/>
      </c>
      <c r="J88" s="106" t="n"/>
      <c r="K88" s="106" t="n"/>
      <c r="L88" s="106" t="n"/>
      <c r="M88" s="29" t="n"/>
      <c r="N88" s="29" t="n"/>
      <c r="O88" s="106" t="n"/>
    </row>
    <row r="89">
      <c r="B89" s="107">
        <f>IF($B88="","",$B88+IF(AND(Settings!$C$10&lt;&gt;"Yes",WEEKDAY($B88,2)&gt;=5),8-WEEKDAY($B88,2),1))</f>
        <v>46401</v>
      </c>
      <c r="C89" s="103" t="str">
        <f>IF($B89="","",CHOOSE(WEEKDAY($B89,2),"Mon","Tue","Wed","Thu","Fri","Sat","Sun"))</f>
        <v>Thu</v>
      </c>
      <c r="D89" s="96">
        <f>IF($B89="","",COUNTIFS('Trade Log'!$A$6:$A$1005,$B89,'Trade Log'!$BH$6:$BH$1005,1))</f>
        <v>0</v>
      </c>
      <c r="E89" s="98" t="str">
        <f>IF(OR($B89="",N($D89)=0),"",SUMIFS('Trade Log'!$Q$6:$Q$1005,'Trade Log'!$A$6:$A$1005,$B89))</f>
        <v/>
      </c>
      <c r="F89" s="99" t="str">
        <f>IF(OR($B89="",N($D89)=0),"",IFERROR(COUNTIFS('Trade Log'!$A$6:$A$1005,$B89,'Trade Log'!$S$6:$S$1005,"Win")/(COUNTIFS('Trade Log'!$A$6:$A$1005,$B89,'Trade Log'!$S$6:$S$1005,"Win")+COUNTIFS('Trade Log'!$A$6:$A$1005,$B89,'Trade Log'!$S$6:$S$1005,"Loss")),"—"))</f>
        <v/>
      </c>
      <c r="G89" s="104" t="str">
        <f>IF(OR($B89="",N($D89)=0),"",SUMIFS('Trade Log'!$R$6:$R$1005,'Trade Log'!$A$6:$A$1005,$B89))</f>
        <v/>
      </c>
      <c r="H89" s="96" t="str">
        <f>IF(OR($B89="",N($D89)=0),"",COUNTIFS('Trade Log'!$A$6:$A$1005,$B89,'Trade Log'!$Z$6:$Z$1005,"No"))</f>
        <v/>
      </c>
      <c r="I89" s="105" t="str">
        <f>IF(OR($B89="",N($D89)=0),"",IF(AND(ISNUMBER(Settings!$C$26),N($E89)&lt;=-N(Settings!$C$26)),"Hit daily max loss. ","")&amp;IF(COUNTIFS('Trade Log'!$A$6:$A$1005,$B89,'Trade Log'!$BM$6:$BM$1005,1)&gt;0,"Kept trading after daily max loss. ","")&amp;IF(AND(ISNUMBER(Settings!$C$25),N($D89)&gt;N(Settings!$C$25)),"Over max trades. ",""))</f>
        <v/>
      </c>
      <c r="J89" s="106" t="n"/>
      <c r="K89" s="106" t="n"/>
      <c r="L89" s="106" t="n"/>
      <c r="M89" s="29" t="n"/>
      <c r="N89" s="29" t="n"/>
      <c r="O89" s="106" t="n"/>
    </row>
    <row r="90">
      <c r="B90" s="107">
        <f>IF($B89="","",$B89+IF(AND(Settings!$C$10&lt;&gt;"Yes",WEEKDAY($B89,2)&gt;=5),8-WEEKDAY($B89,2),1))</f>
        <v>46402</v>
      </c>
      <c r="C90" s="103" t="str">
        <f>IF($B90="","",CHOOSE(WEEKDAY($B90,2),"Mon","Tue","Wed","Thu","Fri","Sat","Sun"))</f>
        <v>Fri</v>
      </c>
      <c r="D90" s="96">
        <f>IF($B90="","",COUNTIFS('Trade Log'!$A$6:$A$1005,$B90,'Trade Log'!$BH$6:$BH$1005,1))</f>
        <v>0</v>
      </c>
      <c r="E90" s="98" t="str">
        <f>IF(OR($B90="",N($D90)=0),"",SUMIFS('Trade Log'!$Q$6:$Q$1005,'Trade Log'!$A$6:$A$1005,$B90))</f>
        <v/>
      </c>
      <c r="F90" s="99" t="str">
        <f>IF(OR($B90="",N($D90)=0),"",IFERROR(COUNTIFS('Trade Log'!$A$6:$A$1005,$B90,'Trade Log'!$S$6:$S$1005,"Win")/(COUNTIFS('Trade Log'!$A$6:$A$1005,$B90,'Trade Log'!$S$6:$S$1005,"Win")+COUNTIFS('Trade Log'!$A$6:$A$1005,$B90,'Trade Log'!$S$6:$S$1005,"Loss")),"—"))</f>
        <v/>
      </c>
      <c r="G90" s="104" t="str">
        <f>IF(OR($B90="",N($D90)=0),"",SUMIFS('Trade Log'!$R$6:$R$1005,'Trade Log'!$A$6:$A$1005,$B90))</f>
        <v/>
      </c>
      <c r="H90" s="96" t="str">
        <f>IF(OR($B90="",N($D90)=0),"",COUNTIFS('Trade Log'!$A$6:$A$1005,$B90,'Trade Log'!$Z$6:$Z$1005,"No"))</f>
        <v/>
      </c>
      <c r="I90" s="105" t="str">
        <f>IF(OR($B90="",N($D90)=0),"",IF(AND(ISNUMBER(Settings!$C$26),N($E90)&lt;=-N(Settings!$C$26)),"Hit daily max loss. ","")&amp;IF(COUNTIFS('Trade Log'!$A$6:$A$1005,$B90,'Trade Log'!$BM$6:$BM$1005,1)&gt;0,"Kept trading after daily max loss. ","")&amp;IF(AND(ISNUMBER(Settings!$C$25),N($D90)&gt;N(Settings!$C$25)),"Over max trades. ",""))</f>
        <v/>
      </c>
      <c r="J90" s="106" t="n"/>
      <c r="K90" s="106" t="n"/>
      <c r="L90" s="106" t="n"/>
      <c r="M90" s="29" t="n"/>
      <c r="N90" s="29" t="n"/>
      <c r="O90" s="106" t="n"/>
    </row>
    <row r="91">
      <c r="B91" s="107">
        <f>IF($B90="","",$B90+IF(AND(Settings!$C$10&lt;&gt;"Yes",WEEKDAY($B90,2)&gt;=5),8-WEEKDAY($B90,2),1))</f>
        <v>46405</v>
      </c>
      <c r="C91" s="103" t="str">
        <f>IF($B91="","",CHOOSE(WEEKDAY($B91,2),"Mon","Tue","Wed","Thu","Fri","Sat","Sun"))</f>
        <v>Mon</v>
      </c>
      <c r="D91" s="96">
        <f>IF($B91="","",COUNTIFS('Trade Log'!$A$6:$A$1005,$B91,'Trade Log'!$BH$6:$BH$1005,1))</f>
        <v>0</v>
      </c>
      <c r="E91" s="98" t="str">
        <f>IF(OR($B91="",N($D91)=0),"",SUMIFS('Trade Log'!$Q$6:$Q$1005,'Trade Log'!$A$6:$A$1005,$B91))</f>
        <v/>
      </c>
      <c r="F91" s="99" t="str">
        <f>IF(OR($B91="",N($D91)=0),"",IFERROR(COUNTIFS('Trade Log'!$A$6:$A$1005,$B91,'Trade Log'!$S$6:$S$1005,"Win")/(COUNTIFS('Trade Log'!$A$6:$A$1005,$B91,'Trade Log'!$S$6:$S$1005,"Win")+COUNTIFS('Trade Log'!$A$6:$A$1005,$B91,'Trade Log'!$S$6:$S$1005,"Loss")),"—"))</f>
        <v/>
      </c>
      <c r="G91" s="104" t="str">
        <f>IF(OR($B91="",N($D91)=0),"",SUMIFS('Trade Log'!$R$6:$R$1005,'Trade Log'!$A$6:$A$1005,$B91))</f>
        <v/>
      </c>
      <c r="H91" s="96" t="str">
        <f>IF(OR($B91="",N($D91)=0),"",COUNTIFS('Trade Log'!$A$6:$A$1005,$B91,'Trade Log'!$Z$6:$Z$1005,"No"))</f>
        <v/>
      </c>
      <c r="I91" s="105" t="str">
        <f>IF(OR($B91="",N($D91)=0),"",IF(AND(ISNUMBER(Settings!$C$26),N($E91)&lt;=-N(Settings!$C$26)),"Hit daily max loss. ","")&amp;IF(COUNTIFS('Trade Log'!$A$6:$A$1005,$B91,'Trade Log'!$BM$6:$BM$1005,1)&gt;0,"Kept trading after daily max loss. ","")&amp;IF(AND(ISNUMBER(Settings!$C$25),N($D91)&gt;N(Settings!$C$25)),"Over max trades. ",""))</f>
        <v/>
      </c>
      <c r="J91" s="106" t="n"/>
      <c r="K91" s="106" t="n"/>
      <c r="L91" s="106" t="n"/>
      <c r="M91" s="29" t="n"/>
      <c r="N91" s="29" t="n"/>
      <c r="O91" s="106" t="n"/>
    </row>
    <row r="92">
      <c r="B92" s="107">
        <f>IF($B91="","",$B91+IF(AND(Settings!$C$10&lt;&gt;"Yes",WEEKDAY($B91,2)&gt;=5),8-WEEKDAY($B91,2),1))</f>
        <v>46406</v>
      </c>
      <c r="C92" s="103" t="str">
        <f>IF($B92="","",CHOOSE(WEEKDAY($B92,2),"Mon","Tue","Wed","Thu","Fri","Sat","Sun"))</f>
        <v>Tue</v>
      </c>
      <c r="D92" s="96">
        <f>IF($B92="","",COUNTIFS('Trade Log'!$A$6:$A$1005,$B92,'Trade Log'!$BH$6:$BH$1005,1))</f>
        <v>0</v>
      </c>
      <c r="E92" s="98" t="str">
        <f>IF(OR($B92="",N($D92)=0),"",SUMIFS('Trade Log'!$Q$6:$Q$1005,'Trade Log'!$A$6:$A$1005,$B92))</f>
        <v/>
      </c>
      <c r="F92" s="99" t="str">
        <f>IF(OR($B92="",N($D92)=0),"",IFERROR(COUNTIFS('Trade Log'!$A$6:$A$1005,$B92,'Trade Log'!$S$6:$S$1005,"Win")/(COUNTIFS('Trade Log'!$A$6:$A$1005,$B92,'Trade Log'!$S$6:$S$1005,"Win")+COUNTIFS('Trade Log'!$A$6:$A$1005,$B92,'Trade Log'!$S$6:$S$1005,"Loss")),"—"))</f>
        <v/>
      </c>
      <c r="G92" s="104" t="str">
        <f>IF(OR($B92="",N($D92)=0),"",SUMIFS('Trade Log'!$R$6:$R$1005,'Trade Log'!$A$6:$A$1005,$B92))</f>
        <v/>
      </c>
      <c r="H92" s="96" t="str">
        <f>IF(OR($B92="",N($D92)=0),"",COUNTIFS('Trade Log'!$A$6:$A$1005,$B92,'Trade Log'!$Z$6:$Z$1005,"No"))</f>
        <v/>
      </c>
      <c r="I92" s="105" t="str">
        <f>IF(OR($B92="",N($D92)=0),"",IF(AND(ISNUMBER(Settings!$C$26),N($E92)&lt;=-N(Settings!$C$26)),"Hit daily max loss. ","")&amp;IF(COUNTIFS('Trade Log'!$A$6:$A$1005,$B92,'Trade Log'!$BM$6:$BM$1005,1)&gt;0,"Kept trading after daily max loss. ","")&amp;IF(AND(ISNUMBER(Settings!$C$25),N($D92)&gt;N(Settings!$C$25)),"Over max trades. ",""))</f>
        <v/>
      </c>
      <c r="J92" s="106" t="n"/>
      <c r="K92" s="106" t="n"/>
      <c r="L92" s="106" t="n"/>
      <c r="M92" s="29" t="n"/>
      <c r="N92" s="29" t="n"/>
      <c r="O92" s="106" t="n"/>
    </row>
    <row r="93">
      <c r="B93" s="107">
        <f>IF($B92="","",$B92+IF(AND(Settings!$C$10&lt;&gt;"Yes",WEEKDAY($B92,2)&gt;=5),8-WEEKDAY($B92,2),1))</f>
        <v>46407</v>
      </c>
      <c r="C93" s="103" t="str">
        <f>IF($B93="","",CHOOSE(WEEKDAY($B93,2),"Mon","Tue","Wed","Thu","Fri","Sat","Sun"))</f>
        <v>Wed</v>
      </c>
      <c r="D93" s="96">
        <f>IF($B93="","",COUNTIFS('Trade Log'!$A$6:$A$1005,$B93,'Trade Log'!$BH$6:$BH$1005,1))</f>
        <v>0</v>
      </c>
      <c r="E93" s="98" t="str">
        <f>IF(OR($B93="",N($D93)=0),"",SUMIFS('Trade Log'!$Q$6:$Q$1005,'Trade Log'!$A$6:$A$1005,$B93))</f>
        <v/>
      </c>
      <c r="F93" s="99" t="str">
        <f>IF(OR($B93="",N($D93)=0),"",IFERROR(COUNTIFS('Trade Log'!$A$6:$A$1005,$B93,'Trade Log'!$S$6:$S$1005,"Win")/(COUNTIFS('Trade Log'!$A$6:$A$1005,$B93,'Trade Log'!$S$6:$S$1005,"Win")+COUNTIFS('Trade Log'!$A$6:$A$1005,$B93,'Trade Log'!$S$6:$S$1005,"Loss")),"—"))</f>
        <v/>
      </c>
      <c r="G93" s="104" t="str">
        <f>IF(OR($B93="",N($D93)=0),"",SUMIFS('Trade Log'!$R$6:$R$1005,'Trade Log'!$A$6:$A$1005,$B93))</f>
        <v/>
      </c>
      <c r="H93" s="96" t="str">
        <f>IF(OR($B93="",N($D93)=0),"",COUNTIFS('Trade Log'!$A$6:$A$1005,$B93,'Trade Log'!$Z$6:$Z$1005,"No"))</f>
        <v/>
      </c>
      <c r="I93" s="105" t="str">
        <f>IF(OR($B93="",N($D93)=0),"",IF(AND(ISNUMBER(Settings!$C$26),N($E93)&lt;=-N(Settings!$C$26)),"Hit daily max loss. ","")&amp;IF(COUNTIFS('Trade Log'!$A$6:$A$1005,$B93,'Trade Log'!$BM$6:$BM$1005,1)&gt;0,"Kept trading after daily max loss. ","")&amp;IF(AND(ISNUMBER(Settings!$C$25),N($D93)&gt;N(Settings!$C$25)),"Over max trades. ",""))</f>
        <v/>
      </c>
      <c r="J93" s="106" t="n"/>
      <c r="K93" s="106" t="n"/>
      <c r="L93" s="106" t="n"/>
      <c r="M93" s="29" t="n"/>
      <c r="N93" s="29" t="n"/>
      <c r="O93" s="106" t="n"/>
    </row>
    <row r="94">
      <c r="B94" s="107">
        <f>IF($B93="","",$B93+IF(AND(Settings!$C$10&lt;&gt;"Yes",WEEKDAY($B93,2)&gt;=5),8-WEEKDAY($B93,2),1))</f>
        <v>46408</v>
      </c>
      <c r="C94" s="103" t="str">
        <f>IF($B94="","",CHOOSE(WEEKDAY($B94,2),"Mon","Tue","Wed","Thu","Fri","Sat","Sun"))</f>
        <v>Thu</v>
      </c>
      <c r="D94" s="96">
        <f>IF($B94="","",COUNTIFS('Trade Log'!$A$6:$A$1005,$B94,'Trade Log'!$BH$6:$BH$1005,1))</f>
        <v>0</v>
      </c>
      <c r="E94" s="98" t="str">
        <f>IF(OR($B94="",N($D94)=0),"",SUMIFS('Trade Log'!$Q$6:$Q$1005,'Trade Log'!$A$6:$A$1005,$B94))</f>
        <v/>
      </c>
      <c r="F94" s="99" t="str">
        <f>IF(OR($B94="",N($D94)=0),"",IFERROR(COUNTIFS('Trade Log'!$A$6:$A$1005,$B94,'Trade Log'!$S$6:$S$1005,"Win")/(COUNTIFS('Trade Log'!$A$6:$A$1005,$B94,'Trade Log'!$S$6:$S$1005,"Win")+COUNTIFS('Trade Log'!$A$6:$A$1005,$B94,'Trade Log'!$S$6:$S$1005,"Loss")),"—"))</f>
        <v/>
      </c>
      <c r="G94" s="104" t="str">
        <f>IF(OR($B94="",N($D94)=0),"",SUMIFS('Trade Log'!$R$6:$R$1005,'Trade Log'!$A$6:$A$1005,$B94))</f>
        <v/>
      </c>
      <c r="H94" s="96" t="str">
        <f>IF(OR($B94="",N($D94)=0),"",COUNTIFS('Trade Log'!$A$6:$A$1005,$B94,'Trade Log'!$Z$6:$Z$1005,"No"))</f>
        <v/>
      </c>
      <c r="I94" s="105" t="str">
        <f>IF(OR($B94="",N($D94)=0),"",IF(AND(ISNUMBER(Settings!$C$26),N($E94)&lt;=-N(Settings!$C$26)),"Hit daily max loss. ","")&amp;IF(COUNTIFS('Trade Log'!$A$6:$A$1005,$B94,'Trade Log'!$BM$6:$BM$1005,1)&gt;0,"Kept trading after daily max loss. ","")&amp;IF(AND(ISNUMBER(Settings!$C$25),N($D94)&gt;N(Settings!$C$25)),"Over max trades. ",""))</f>
        <v/>
      </c>
      <c r="J94" s="106" t="n"/>
      <c r="K94" s="106" t="n"/>
      <c r="L94" s="106" t="n"/>
      <c r="M94" s="29" t="n"/>
      <c r="N94" s="29" t="n"/>
      <c r="O94" s="106" t="n"/>
    </row>
    <row r="95">
      <c r="B95" s="107">
        <f>IF($B94="","",$B94+IF(AND(Settings!$C$10&lt;&gt;"Yes",WEEKDAY($B94,2)&gt;=5),8-WEEKDAY($B94,2),1))</f>
        <v>46409</v>
      </c>
      <c r="C95" s="103" t="str">
        <f>IF($B95="","",CHOOSE(WEEKDAY($B95,2),"Mon","Tue","Wed","Thu","Fri","Sat","Sun"))</f>
        <v>Fri</v>
      </c>
      <c r="D95" s="96">
        <f>IF($B95="","",COUNTIFS('Trade Log'!$A$6:$A$1005,$B95,'Trade Log'!$BH$6:$BH$1005,1))</f>
        <v>0</v>
      </c>
      <c r="E95" s="98" t="str">
        <f>IF(OR($B95="",N($D95)=0),"",SUMIFS('Trade Log'!$Q$6:$Q$1005,'Trade Log'!$A$6:$A$1005,$B95))</f>
        <v/>
      </c>
      <c r="F95" s="99" t="str">
        <f>IF(OR($B95="",N($D95)=0),"",IFERROR(COUNTIFS('Trade Log'!$A$6:$A$1005,$B95,'Trade Log'!$S$6:$S$1005,"Win")/(COUNTIFS('Trade Log'!$A$6:$A$1005,$B95,'Trade Log'!$S$6:$S$1005,"Win")+COUNTIFS('Trade Log'!$A$6:$A$1005,$B95,'Trade Log'!$S$6:$S$1005,"Loss")),"—"))</f>
        <v/>
      </c>
      <c r="G95" s="104" t="str">
        <f>IF(OR($B95="",N($D95)=0),"",SUMIFS('Trade Log'!$R$6:$R$1005,'Trade Log'!$A$6:$A$1005,$B95))</f>
        <v/>
      </c>
      <c r="H95" s="96" t="str">
        <f>IF(OR($B95="",N($D95)=0),"",COUNTIFS('Trade Log'!$A$6:$A$1005,$B95,'Trade Log'!$Z$6:$Z$1005,"No"))</f>
        <v/>
      </c>
      <c r="I95" s="105" t="str">
        <f>IF(OR($B95="",N($D95)=0),"",IF(AND(ISNUMBER(Settings!$C$26),N($E95)&lt;=-N(Settings!$C$26)),"Hit daily max loss. ","")&amp;IF(COUNTIFS('Trade Log'!$A$6:$A$1005,$B95,'Trade Log'!$BM$6:$BM$1005,1)&gt;0,"Kept trading after daily max loss. ","")&amp;IF(AND(ISNUMBER(Settings!$C$25),N($D95)&gt;N(Settings!$C$25)),"Over max trades. ",""))</f>
        <v/>
      </c>
      <c r="J95" s="106" t="n"/>
      <c r="K95" s="106" t="n"/>
      <c r="L95" s="106" t="n"/>
      <c r="M95" s="29" t="n"/>
      <c r="N95" s="29" t="n"/>
      <c r="O95" s="106" t="n"/>
    </row>
    <row r="96">
      <c r="B96" s="107">
        <f>IF($B95="","",$B95+IF(AND(Settings!$C$10&lt;&gt;"Yes",WEEKDAY($B95,2)&gt;=5),8-WEEKDAY($B95,2),1))</f>
        <v>46412</v>
      </c>
      <c r="C96" s="103" t="str">
        <f>IF($B96="","",CHOOSE(WEEKDAY($B96,2),"Mon","Tue","Wed","Thu","Fri","Sat","Sun"))</f>
        <v>Mon</v>
      </c>
      <c r="D96" s="96">
        <f>IF($B96="","",COUNTIFS('Trade Log'!$A$6:$A$1005,$B96,'Trade Log'!$BH$6:$BH$1005,1))</f>
        <v>0</v>
      </c>
      <c r="E96" s="98" t="str">
        <f>IF(OR($B96="",N($D96)=0),"",SUMIFS('Trade Log'!$Q$6:$Q$1005,'Trade Log'!$A$6:$A$1005,$B96))</f>
        <v/>
      </c>
      <c r="F96" s="99" t="str">
        <f>IF(OR($B96="",N($D96)=0),"",IFERROR(COUNTIFS('Trade Log'!$A$6:$A$1005,$B96,'Trade Log'!$S$6:$S$1005,"Win")/(COUNTIFS('Trade Log'!$A$6:$A$1005,$B96,'Trade Log'!$S$6:$S$1005,"Win")+COUNTIFS('Trade Log'!$A$6:$A$1005,$B96,'Trade Log'!$S$6:$S$1005,"Loss")),"—"))</f>
        <v/>
      </c>
      <c r="G96" s="104" t="str">
        <f>IF(OR($B96="",N($D96)=0),"",SUMIFS('Trade Log'!$R$6:$R$1005,'Trade Log'!$A$6:$A$1005,$B96))</f>
        <v/>
      </c>
      <c r="H96" s="96" t="str">
        <f>IF(OR($B96="",N($D96)=0),"",COUNTIFS('Trade Log'!$A$6:$A$1005,$B96,'Trade Log'!$Z$6:$Z$1005,"No"))</f>
        <v/>
      </c>
      <c r="I96" s="105" t="str">
        <f>IF(OR($B96="",N($D96)=0),"",IF(AND(ISNUMBER(Settings!$C$26),N($E96)&lt;=-N(Settings!$C$26)),"Hit daily max loss. ","")&amp;IF(COUNTIFS('Trade Log'!$A$6:$A$1005,$B96,'Trade Log'!$BM$6:$BM$1005,1)&gt;0,"Kept trading after daily max loss. ","")&amp;IF(AND(ISNUMBER(Settings!$C$25),N($D96)&gt;N(Settings!$C$25)),"Over max trades. ",""))</f>
        <v/>
      </c>
      <c r="J96" s="106" t="n"/>
      <c r="K96" s="106" t="n"/>
      <c r="L96" s="106" t="n"/>
      <c r="M96" s="29" t="n"/>
      <c r="N96" s="29" t="n"/>
      <c r="O96" s="106" t="n"/>
    </row>
    <row r="97">
      <c r="B97" s="107">
        <f>IF($B96="","",$B96+IF(AND(Settings!$C$10&lt;&gt;"Yes",WEEKDAY($B96,2)&gt;=5),8-WEEKDAY($B96,2),1))</f>
        <v>46413</v>
      </c>
      <c r="C97" s="103" t="str">
        <f>IF($B97="","",CHOOSE(WEEKDAY($B97,2),"Mon","Tue","Wed","Thu","Fri","Sat","Sun"))</f>
        <v>Tue</v>
      </c>
      <c r="D97" s="96">
        <f>IF($B97="","",COUNTIFS('Trade Log'!$A$6:$A$1005,$B97,'Trade Log'!$BH$6:$BH$1005,1))</f>
        <v>0</v>
      </c>
      <c r="E97" s="98" t="str">
        <f>IF(OR($B97="",N($D97)=0),"",SUMIFS('Trade Log'!$Q$6:$Q$1005,'Trade Log'!$A$6:$A$1005,$B97))</f>
        <v/>
      </c>
      <c r="F97" s="99" t="str">
        <f>IF(OR($B97="",N($D97)=0),"",IFERROR(COUNTIFS('Trade Log'!$A$6:$A$1005,$B97,'Trade Log'!$S$6:$S$1005,"Win")/(COUNTIFS('Trade Log'!$A$6:$A$1005,$B97,'Trade Log'!$S$6:$S$1005,"Win")+COUNTIFS('Trade Log'!$A$6:$A$1005,$B97,'Trade Log'!$S$6:$S$1005,"Loss")),"—"))</f>
        <v/>
      </c>
      <c r="G97" s="104" t="str">
        <f>IF(OR($B97="",N($D97)=0),"",SUMIFS('Trade Log'!$R$6:$R$1005,'Trade Log'!$A$6:$A$1005,$B97))</f>
        <v/>
      </c>
      <c r="H97" s="96" t="str">
        <f>IF(OR($B97="",N($D97)=0),"",COUNTIFS('Trade Log'!$A$6:$A$1005,$B97,'Trade Log'!$Z$6:$Z$1005,"No"))</f>
        <v/>
      </c>
      <c r="I97" s="105" t="str">
        <f>IF(OR($B97="",N($D97)=0),"",IF(AND(ISNUMBER(Settings!$C$26),N($E97)&lt;=-N(Settings!$C$26)),"Hit daily max loss. ","")&amp;IF(COUNTIFS('Trade Log'!$A$6:$A$1005,$B97,'Trade Log'!$BM$6:$BM$1005,1)&gt;0,"Kept trading after daily max loss. ","")&amp;IF(AND(ISNUMBER(Settings!$C$25),N($D97)&gt;N(Settings!$C$25)),"Over max trades. ",""))</f>
        <v/>
      </c>
      <c r="J97" s="106" t="n"/>
      <c r="K97" s="106" t="n"/>
      <c r="L97" s="106" t="n"/>
      <c r="M97" s="29" t="n"/>
      <c r="N97" s="29" t="n"/>
      <c r="O97" s="106" t="n"/>
    </row>
    <row r="98">
      <c r="B98" s="107">
        <f>IF($B97="","",$B97+IF(AND(Settings!$C$10&lt;&gt;"Yes",WEEKDAY($B97,2)&gt;=5),8-WEEKDAY($B97,2),1))</f>
        <v>46414</v>
      </c>
      <c r="C98" s="103" t="str">
        <f>IF($B98="","",CHOOSE(WEEKDAY($B98,2),"Mon","Tue","Wed","Thu","Fri","Sat","Sun"))</f>
        <v>Wed</v>
      </c>
      <c r="D98" s="96">
        <f>IF($B98="","",COUNTIFS('Trade Log'!$A$6:$A$1005,$B98,'Trade Log'!$BH$6:$BH$1005,1))</f>
        <v>0</v>
      </c>
      <c r="E98" s="98" t="str">
        <f>IF(OR($B98="",N($D98)=0),"",SUMIFS('Trade Log'!$Q$6:$Q$1005,'Trade Log'!$A$6:$A$1005,$B98))</f>
        <v/>
      </c>
      <c r="F98" s="99" t="str">
        <f>IF(OR($B98="",N($D98)=0),"",IFERROR(COUNTIFS('Trade Log'!$A$6:$A$1005,$B98,'Trade Log'!$S$6:$S$1005,"Win")/(COUNTIFS('Trade Log'!$A$6:$A$1005,$B98,'Trade Log'!$S$6:$S$1005,"Win")+COUNTIFS('Trade Log'!$A$6:$A$1005,$B98,'Trade Log'!$S$6:$S$1005,"Loss")),"—"))</f>
        <v/>
      </c>
      <c r="G98" s="104" t="str">
        <f>IF(OR($B98="",N($D98)=0),"",SUMIFS('Trade Log'!$R$6:$R$1005,'Trade Log'!$A$6:$A$1005,$B98))</f>
        <v/>
      </c>
      <c r="H98" s="96" t="str">
        <f>IF(OR($B98="",N($D98)=0),"",COUNTIFS('Trade Log'!$A$6:$A$1005,$B98,'Trade Log'!$Z$6:$Z$1005,"No"))</f>
        <v/>
      </c>
      <c r="I98" s="105" t="str">
        <f>IF(OR($B98="",N($D98)=0),"",IF(AND(ISNUMBER(Settings!$C$26),N($E98)&lt;=-N(Settings!$C$26)),"Hit daily max loss. ","")&amp;IF(COUNTIFS('Trade Log'!$A$6:$A$1005,$B98,'Trade Log'!$BM$6:$BM$1005,1)&gt;0,"Kept trading after daily max loss. ","")&amp;IF(AND(ISNUMBER(Settings!$C$25),N($D98)&gt;N(Settings!$C$25)),"Over max trades. ",""))</f>
        <v/>
      </c>
      <c r="J98" s="106" t="n"/>
      <c r="K98" s="106" t="n"/>
      <c r="L98" s="106" t="n"/>
      <c r="M98" s="29" t="n"/>
      <c r="N98" s="29" t="n"/>
      <c r="O98" s="106" t="n"/>
    </row>
    <row r="99">
      <c r="B99" s="107">
        <f>IF($B98="","",$B98+IF(AND(Settings!$C$10&lt;&gt;"Yes",WEEKDAY($B98,2)&gt;=5),8-WEEKDAY($B98,2),1))</f>
        <v>46415</v>
      </c>
      <c r="C99" s="103" t="str">
        <f>IF($B99="","",CHOOSE(WEEKDAY($B99,2),"Mon","Tue","Wed","Thu","Fri","Sat","Sun"))</f>
        <v>Thu</v>
      </c>
      <c r="D99" s="96">
        <f>IF($B99="","",COUNTIFS('Trade Log'!$A$6:$A$1005,$B99,'Trade Log'!$BH$6:$BH$1005,1))</f>
        <v>0</v>
      </c>
      <c r="E99" s="98" t="str">
        <f>IF(OR($B99="",N($D99)=0),"",SUMIFS('Trade Log'!$Q$6:$Q$1005,'Trade Log'!$A$6:$A$1005,$B99))</f>
        <v/>
      </c>
      <c r="F99" s="99" t="str">
        <f>IF(OR($B99="",N($D99)=0),"",IFERROR(COUNTIFS('Trade Log'!$A$6:$A$1005,$B99,'Trade Log'!$S$6:$S$1005,"Win")/(COUNTIFS('Trade Log'!$A$6:$A$1005,$B99,'Trade Log'!$S$6:$S$1005,"Win")+COUNTIFS('Trade Log'!$A$6:$A$1005,$B99,'Trade Log'!$S$6:$S$1005,"Loss")),"—"))</f>
        <v/>
      </c>
      <c r="G99" s="104" t="str">
        <f>IF(OR($B99="",N($D99)=0),"",SUMIFS('Trade Log'!$R$6:$R$1005,'Trade Log'!$A$6:$A$1005,$B99))</f>
        <v/>
      </c>
      <c r="H99" s="96" t="str">
        <f>IF(OR($B99="",N($D99)=0),"",COUNTIFS('Trade Log'!$A$6:$A$1005,$B99,'Trade Log'!$Z$6:$Z$1005,"No"))</f>
        <v/>
      </c>
      <c r="I99" s="105" t="str">
        <f>IF(OR($B99="",N($D99)=0),"",IF(AND(ISNUMBER(Settings!$C$26),N($E99)&lt;=-N(Settings!$C$26)),"Hit daily max loss. ","")&amp;IF(COUNTIFS('Trade Log'!$A$6:$A$1005,$B99,'Trade Log'!$BM$6:$BM$1005,1)&gt;0,"Kept trading after daily max loss. ","")&amp;IF(AND(ISNUMBER(Settings!$C$25),N($D99)&gt;N(Settings!$C$25)),"Over max trades. ",""))</f>
        <v/>
      </c>
      <c r="J99" s="106" t="n"/>
      <c r="K99" s="106" t="n"/>
      <c r="L99" s="106" t="n"/>
      <c r="M99" s="29" t="n"/>
      <c r="N99" s="29" t="n"/>
      <c r="O99" s="106" t="n"/>
    </row>
    <row r="100">
      <c r="B100" s="107">
        <f>IF($B99="","",$B99+IF(AND(Settings!$C$10&lt;&gt;"Yes",WEEKDAY($B99,2)&gt;=5),8-WEEKDAY($B99,2),1))</f>
        <v>46416</v>
      </c>
      <c r="C100" s="103" t="str">
        <f>IF($B100="","",CHOOSE(WEEKDAY($B100,2),"Mon","Tue","Wed","Thu","Fri","Sat","Sun"))</f>
        <v>Fri</v>
      </c>
      <c r="D100" s="96">
        <f>IF($B100="","",COUNTIFS('Trade Log'!$A$6:$A$1005,$B100,'Trade Log'!$BH$6:$BH$1005,1))</f>
        <v>0</v>
      </c>
      <c r="E100" s="98" t="str">
        <f>IF(OR($B100="",N($D100)=0),"",SUMIFS('Trade Log'!$Q$6:$Q$1005,'Trade Log'!$A$6:$A$1005,$B100))</f>
        <v/>
      </c>
      <c r="F100" s="99" t="str">
        <f>IF(OR($B100="",N($D100)=0),"",IFERROR(COUNTIFS('Trade Log'!$A$6:$A$1005,$B100,'Trade Log'!$S$6:$S$1005,"Win")/(COUNTIFS('Trade Log'!$A$6:$A$1005,$B100,'Trade Log'!$S$6:$S$1005,"Win")+COUNTIFS('Trade Log'!$A$6:$A$1005,$B100,'Trade Log'!$S$6:$S$1005,"Loss")),"—"))</f>
        <v/>
      </c>
      <c r="G100" s="104" t="str">
        <f>IF(OR($B100="",N($D100)=0),"",SUMIFS('Trade Log'!$R$6:$R$1005,'Trade Log'!$A$6:$A$1005,$B100))</f>
        <v/>
      </c>
      <c r="H100" s="96" t="str">
        <f>IF(OR($B100="",N($D100)=0),"",COUNTIFS('Trade Log'!$A$6:$A$1005,$B100,'Trade Log'!$Z$6:$Z$1005,"No"))</f>
        <v/>
      </c>
      <c r="I100" s="105" t="str">
        <f>IF(OR($B100="",N($D100)=0),"",IF(AND(ISNUMBER(Settings!$C$26),N($E100)&lt;=-N(Settings!$C$26)),"Hit daily max loss. ","")&amp;IF(COUNTIFS('Trade Log'!$A$6:$A$1005,$B100,'Trade Log'!$BM$6:$BM$1005,1)&gt;0,"Kept trading after daily max loss. ","")&amp;IF(AND(ISNUMBER(Settings!$C$25),N($D100)&gt;N(Settings!$C$25)),"Over max trades. ",""))</f>
        <v/>
      </c>
      <c r="J100" s="106" t="n"/>
      <c r="K100" s="106" t="n"/>
      <c r="L100" s="106" t="n"/>
      <c r="M100" s="29" t="n"/>
      <c r="N100" s="29" t="n"/>
      <c r="O100" s="106" t="n"/>
    </row>
    <row r="101">
      <c r="B101" s="107">
        <f>IF($B100="","",$B100+IF(AND(Settings!$C$10&lt;&gt;"Yes",WEEKDAY($B100,2)&gt;=5),8-WEEKDAY($B100,2),1))</f>
        <v>46419</v>
      </c>
      <c r="C101" s="103" t="str">
        <f>IF($B101="","",CHOOSE(WEEKDAY($B101,2),"Mon","Tue","Wed","Thu","Fri","Sat","Sun"))</f>
        <v>Mon</v>
      </c>
      <c r="D101" s="96">
        <f>IF($B101="","",COUNTIFS('Trade Log'!$A$6:$A$1005,$B101,'Trade Log'!$BH$6:$BH$1005,1))</f>
        <v>0</v>
      </c>
      <c r="E101" s="98" t="str">
        <f>IF(OR($B101="",N($D101)=0),"",SUMIFS('Trade Log'!$Q$6:$Q$1005,'Trade Log'!$A$6:$A$1005,$B101))</f>
        <v/>
      </c>
      <c r="F101" s="99" t="str">
        <f>IF(OR($B101="",N($D101)=0),"",IFERROR(COUNTIFS('Trade Log'!$A$6:$A$1005,$B101,'Trade Log'!$S$6:$S$1005,"Win")/(COUNTIFS('Trade Log'!$A$6:$A$1005,$B101,'Trade Log'!$S$6:$S$1005,"Win")+COUNTIFS('Trade Log'!$A$6:$A$1005,$B101,'Trade Log'!$S$6:$S$1005,"Loss")),"—"))</f>
        <v/>
      </c>
      <c r="G101" s="104" t="str">
        <f>IF(OR($B101="",N($D101)=0),"",SUMIFS('Trade Log'!$R$6:$R$1005,'Trade Log'!$A$6:$A$1005,$B101))</f>
        <v/>
      </c>
      <c r="H101" s="96" t="str">
        <f>IF(OR($B101="",N($D101)=0),"",COUNTIFS('Trade Log'!$A$6:$A$1005,$B101,'Trade Log'!$Z$6:$Z$1005,"No"))</f>
        <v/>
      </c>
      <c r="I101" s="105" t="str">
        <f>IF(OR($B101="",N($D101)=0),"",IF(AND(ISNUMBER(Settings!$C$26),N($E101)&lt;=-N(Settings!$C$26)),"Hit daily max loss. ","")&amp;IF(COUNTIFS('Trade Log'!$A$6:$A$1005,$B101,'Trade Log'!$BM$6:$BM$1005,1)&gt;0,"Kept trading after daily max loss. ","")&amp;IF(AND(ISNUMBER(Settings!$C$25),N($D101)&gt;N(Settings!$C$25)),"Over max trades. ",""))</f>
        <v/>
      </c>
      <c r="J101" s="106" t="n"/>
      <c r="K101" s="106" t="n"/>
      <c r="L101" s="106" t="n"/>
      <c r="M101" s="29" t="n"/>
      <c r="N101" s="29" t="n"/>
      <c r="O101" s="106" t="n"/>
    </row>
    <row r="102">
      <c r="B102" s="107">
        <f>IF($B101="","",$B101+IF(AND(Settings!$C$10&lt;&gt;"Yes",WEEKDAY($B101,2)&gt;=5),8-WEEKDAY($B101,2),1))</f>
        <v>46420</v>
      </c>
      <c r="C102" s="103" t="str">
        <f>IF($B102="","",CHOOSE(WEEKDAY($B102,2),"Mon","Tue","Wed","Thu","Fri","Sat","Sun"))</f>
        <v>Tue</v>
      </c>
      <c r="D102" s="96">
        <f>IF($B102="","",COUNTIFS('Trade Log'!$A$6:$A$1005,$B102,'Trade Log'!$BH$6:$BH$1005,1))</f>
        <v>0</v>
      </c>
      <c r="E102" s="98" t="str">
        <f>IF(OR($B102="",N($D102)=0),"",SUMIFS('Trade Log'!$Q$6:$Q$1005,'Trade Log'!$A$6:$A$1005,$B102))</f>
        <v/>
      </c>
      <c r="F102" s="99" t="str">
        <f>IF(OR($B102="",N($D102)=0),"",IFERROR(COUNTIFS('Trade Log'!$A$6:$A$1005,$B102,'Trade Log'!$S$6:$S$1005,"Win")/(COUNTIFS('Trade Log'!$A$6:$A$1005,$B102,'Trade Log'!$S$6:$S$1005,"Win")+COUNTIFS('Trade Log'!$A$6:$A$1005,$B102,'Trade Log'!$S$6:$S$1005,"Loss")),"—"))</f>
        <v/>
      </c>
      <c r="G102" s="104" t="str">
        <f>IF(OR($B102="",N($D102)=0),"",SUMIFS('Trade Log'!$R$6:$R$1005,'Trade Log'!$A$6:$A$1005,$B102))</f>
        <v/>
      </c>
      <c r="H102" s="96" t="str">
        <f>IF(OR($B102="",N($D102)=0),"",COUNTIFS('Trade Log'!$A$6:$A$1005,$B102,'Trade Log'!$Z$6:$Z$1005,"No"))</f>
        <v/>
      </c>
      <c r="I102" s="105" t="str">
        <f>IF(OR($B102="",N($D102)=0),"",IF(AND(ISNUMBER(Settings!$C$26),N($E102)&lt;=-N(Settings!$C$26)),"Hit daily max loss. ","")&amp;IF(COUNTIFS('Trade Log'!$A$6:$A$1005,$B102,'Trade Log'!$BM$6:$BM$1005,1)&gt;0,"Kept trading after daily max loss. ","")&amp;IF(AND(ISNUMBER(Settings!$C$25),N($D102)&gt;N(Settings!$C$25)),"Over max trades. ",""))</f>
        <v/>
      </c>
      <c r="J102" s="106" t="n"/>
      <c r="K102" s="106" t="n"/>
      <c r="L102" s="106" t="n"/>
      <c r="M102" s="29" t="n"/>
      <c r="N102" s="29" t="n"/>
      <c r="O102" s="106" t="n"/>
    </row>
    <row r="103">
      <c r="B103" s="107">
        <f>IF($B102="","",$B102+IF(AND(Settings!$C$10&lt;&gt;"Yes",WEEKDAY($B102,2)&gt;=5),8-WEEKDAY($B102,2),1))</f>
        <v>46421</v>
      </c>
      <c r="C103" s="103" t="str">
        <f>IF($B103="","",CHOOSE(WEEKDAY($B103,2),"Mon","Tue","Wed","Thu","Fri","Sat","Sun"))</f>
        <v>Wed</v>
      </c>
      <c r="D103" s="96">
        <f>IF($B103="","",COUNTIFS('Trade Log'!$A$6:$A$1005,$B103,'Trade Log'!$BH$6:$BH$1005,1))</f>
        <v>0</v>
      </c>
      <c r="E103" s="98" t="str">
        <f>IF(OR($B103="",N($D103)=0),"",SUMIFS('Trade Log'!$Q$6:$Q$1005,'Trade Log'!$A$6:$A$1005,$B103))</f>
        <v/>
      </c>
      <c r="F103" s="99" t="str">
        <f>IF(OR($B103="",N($D103)=0),"",IFERROR(COUNTIFS('Trade Log'!$A$6:$A$1005,$B103,'Trade Log'!$S$6:$S$1005,"Win")/(COUNTIFS('Trade Log'!$A$6:$A$1005,$B103,'Trade Log'!$S$6:$S$1005,"Win")+COUNTIFS('Trade Log'!$A$6:$A$1005,$B103,'Trade Log'!$S$6:$S$1005,"Loss")),"—"))</f>
        <v/>
      </c>
      <c r="G103" s="104" t="str">
        <f>IF(OR($B103="",N($D103)=0),"",SUMIFS('Trade Log'!$R$6:$R$1005,'Trade Log'!$A$6:$A$1005,$B103))</f>
        <v/>
      </c>
      <c r="H103" s="96" t="str">
        <f>IF(OR($B103="",N($D103)=0),"",COUNTIFS('Trade Log'!$A$6:$A$1005,$B103,'Trade Log'!$Z$6:$Z$1005,"No"))</f>
        <v/>
      </c>
      <c r="I103" s="105" t="str">
        <f>IF(OR($B103="",N($D103)=0),"",IF(AND(ISNUMBER(Settings!$C$26),N($E103)&lt;=-N(Settings!$C$26)),"Hit daily max loss. ","")&amp;IF(COUNTIFS('Trade Log'!$A$6:$A$1005,$B103,'Trade Log'!$BM$6:$BM$1005,1)&gt;0,"Kept trading after daily max loss. ","")&amp;IF(AND(ISNUMBER(Settings!$C$25),N($D103)&gt;N(Settings!$C$25)),"Over max trades. ",""))</f>
        <v/>
      </c>
      <c r="J103" s="106" t="n"/>
      <c r="K103" s="106" t="n"/>
      <c r="L103" s="106" t="n"/>
      <c r="M103" s="29" t="n"/>
      <c r="N103" s="29" t="n"/>
      <c r="O103" s="106" t="n"/>
    </row>
    <row r="104">
      <c r="B104" s="107">
        <f>IF($B103="","",$B103+IF(AND(Settings!$C$10&lt;&gt;"Yes",WEEKDAY($B103,2)&gt;=5),8-WEEKDAY($B103,2),1))</f>
        <v>46422</v>
      </c>
      <c r="C104" s="103" t="str">
        <f>IF($B104="","",CHOOSE(WEEKDAY($B104,2),"Mon","Tue","Wed","Thu","Fri","Sat","Sun"))</f>
        <v>Thu</v>
      </c>
      <c r="D104" s="96">
        <f>IF($B104="","",COUNTIFS('Trade Log'!$A$6:$A$1005,$B104,'Trade Log'!$BH$6:$BH$1005,1))</f>
        <v>0</v>
      </c>
      <c r="E104" s="98" t="str">
        <f>IF(OR($B104="",N($D104)=0),"",SUMIFS('Trade Log'!$Q$6:$Q$1005,'Trade Log'!$A$6:$A$1005,$B104))</f>
        <v/>
      </c>
      <c r="F104" s="99" t="str">
        <f>IF(OR($B104="",N($D104)=0),"",IFERROR(COUNTIFS('Trade Log'!$A$6:$A$1005,$B104,'Trade Log'!$S$6:$S$1005,"Win")/(COUNTIFS('Trade Log'!$A$6:$A$1005,$B104,'Trade Log'!$S$6:$S$1005,"Win")+COUNTIFS('Trade Log'!$A$6:$A$1005,$B104,'Trade Log'!$S$6:$S$1005,"Loss")),"—"))</f>
        <v/>
      </c>
      <c r="G104" s="104" t="str">
        <f>IF(OR($B104="",N($D104)=0),"",SUMIFS('Trade Log'!$R$6:$R$1005,'Trade Log'!$A$6:$A$1005,$B104))</f>
        <v/>
      </c>
      <c r="H104" s="96" t="str">
        <f>IF(OR($B104="",N($D104)=0),"",COUNTIFS('Trade Log'!$A$6:$A$1005,$B104,'Trade Log'!$Z$6:$Z$1005,"No"))</f>
        <v/>
      </c>
      <c r="I104" s="105" t="str">
        <f>IF(OR($B104="",N($D104)=0),"",IF(AND(ISNUMBER(Settings!$C$26),N($E104)&lt;=-N(Settings!$C$26)),"Hit daily max loss. ","")&amp;IF(COUNTIFS('Trade Log'!$A$6:$A$1005,$B104,'Trade Log'!$BM$6:$BM$1005,1)&gt;0,"Kept trading after daily max loss. ","")&amp;IF(AND(ISNUMBER(Settings!$C$25),N($D104)&gt;N(Settings!$C$25)),"Over max trades. ",""))</f>
        <v/>
      </c>
      <c r="J104" s="106" t="n"/>
      <c r="K104" s="106" t="n"/>
      <c r="L104" s="106" t="n"/>
      <c r="M104" s="29" t="n"/>
      <c r="N104" s="29" t="n"/>
      <c r="O104" s="106" t="n"/>
    </row>
    <row r="105">
      <c r="B105" s="107">
        <f>IF($B104="","",$B104+IF(AND(Settings!$C$10&lt;&gt;"Yes",WEEKDAY($B104,2)&gt;=5),8-WEEKDAY($B104,2),1))</f>
        <v>46423</v>
      </c>
      <c r="C105" s="103" t="str">
        <f>IF($B105="","",CHOOSE(WEEKDAY($B105,2),"Mon","Tue","Wed","Thu","Fri","Sat","Sun"))</f>
        <v>Fri</v>
      </c>
      <c r="D105" s="96">
        <f>IF($B105="","",COUNTIFS('Trade Log'!$A$6:$A$1005,$B105,'Trade Log'!$BH$6:$BH$1005,1))</f>
        <v>0</v>
      </c>
      <c r="E105" s="98" t="str">
        <f>IF(OR($B105="",N($D105)=0),"",SUMIFS('Trade Log'!$Q$6:$Q$1005,'Trade Log'!$A$6:$A$1005,$B105))</f>
        <v/>
      </c>
      <c r="F105" s="99" t="str">
        <f>IF(OR($B105="",N($D105)=0),"",IFERROR(COUNTIFS('Trade Log'!$A$6:$A$1005,$B105,'Trade Log'!$S$6:$S$1005,"Win")/(COUNTIFS('Trade Log'!$A$6:$A$1005,$B105,'Trade Log'!$S$6:$S$1005,"Win")+COUNTIFS('Trade Log'!$A$6:$A$1005,$B105,'Trade Log'!$S$6:$S$1005,"Loss")),"—"))</f>
        <v/>
      </c>
      <c r="G105" s="104" t="str">
        <f>IF(OR($B105="",N($D105)=0),"",SUMIFS('Trade Log'!$R$6:$R$1005,'Trade Log'!$A$6:$A$1005,$B105))</f>
        <v/>
      </c>
      <c r="H105" s="96" t="str">
        <f>IF(OR($B105="",N($D105)=0),"",COUNTIFS('Trade Log'!$A$6:$A$1005,$B105,'Trade Log'!$Z$6:$Z$1005,"No"))</f>
        <v/>
      </c>
      <c r="I105" s="105" t="str">
        <f>IF(OR($B105="",N($D105)=0),"",IF(AND(ISNUMBER(Settings!$C$26),N($E105)&lt;=-N(Settings!$C$26)),"Hit daily max loss. ","")&amp;IF(COUNTIFS('Trade Log'!$A$6:$A$1005,$B105,'Trade Log'!$BM$6:$BM$1005,1)&gt;0,"Kept trading after daily max loss. ","")&amp;IF(AND(ISNUMBER(Settings!$C$25),N($D105)&gt;N(Settings!$C$25)),"Over max trades. ",""))</f>
        <v/>
      </c>
      <c r="J105" s="106" t="n"/>
      <c r="K105" s="106" t="n"/>
      <c r="L105" s="106" t="n"/>
      <c r="M105" s="29" t="n"/>
      <c r="N105" s="29" t="n"/>
      <c r="O105" s="106" t="n"/>
    </row>
    <row r="106">
      <c r="B106" s="107">
        <f>IF($B105="","",$B105+IF(AND(Settings!$C$10&lt;&gt;"Yes",WEEKDAY($B105,2)&gt;=5),8-WEEKDAY($B105,2),1))</f>
        <v>46426</v>
      </c>
      <c r="C106" s="103" t="str">
        <f>IF($B106="","",CHOOSE(WEEKDAY($B106,2),"Mon","Tue","Wed","Thu","Fri","Sat","Sun"))</f>
        <v>Mon</v>
      </c>
      <c r="D106" s="96">
        <f>IF($B106="","",COUNTIFS('Trade Log'!$A$6:$A$1005,$B106,'Trade Log'!$BH$6:$BH$1005,1))</f>
        <v>0</v>
      </c>
      <c r="E106" s="98" t="str">
        <f>IF(OR($B106="",N($D106)=0),"",SUMIFS('Trade Log'!$Q$6:$Q$1005,'Trade Log'!$A$6:$A$1005,$B106))</f>
        <v/>
      </c>
      <c r="F106" s="99" t="str">
        <f>IF(OR($B106="",N($D106)=0),"",IFERROR(COUNTIFS('Trade Log'!$A$6:$A$1005,$B106,'Trade Log'!$S$6:$S$1005,"Win")/(COUNTIFS('Trade Log'!$A$6:$A$1005,$B106,'Trade Log'!$S$6:$S$1005,"Win")+COUNTIFS('Trade Log'!$A$6:$A$1005,$B106,'Trade Log'!$S$6:$S$1005,"Loss")),"—"))</f>
        <v/>
      </c>
      <c r="G106" s="104" t="str">
        <f>IF(OR($B106="",N($D106)=0),"",SUMIFS('Trade Log'!$R$6:$R$1005,'Trade Log'!$A$6:$A$1005,$B106))</f>
        <v/>
      </c>
      <c r="H106" s="96" t="str">
        <f>IF(OR($B106="",N($D106)=0),"",COUNTIFS('Trade Log'!$A$6:$A$1005,$B106,'Trade Log'!$Z$6:$Z$1005,"No"))</f>
        <v/>
      </c>
      <c r="I106" s="105" t="str">
        <f>IF(OR($B106="",N($D106)=0),"",IF(AND(ISNUMBER(Settings!$C$26),N($E106)&lt;=-N(Settings!$C$26)),"Hit daily max loss. ","")&amp;IF(COUNTIFS('Trade Log'!$A$6:$A$1005,$B106,'Trade Log'!$BM$6:$BM$1005,1)&gt;0,"Kept trading after daily max loss. ","")&amp;IF(AND(ISNUMBER(Settings!$C$25),N($D106)&gt;N(Settings!$C$25)),"Over max trades. ",""))</f>
        <v/>
      </c>
      <c r="J106" s="106" t="n"/>
      <c r="K106" s="106" t="n"/>
      <c r="L106" s="106" t="n"/>
      <c r="M106" s="29" t="n"/>
      <c r="N106" s="29" t="n"/>
      <c r="O106" s="106" t="n"/>
    </row>
    <row r="107">
      <c r="B107" s="107">
        <f>IF($B106="","",$B106+IF(AND(Settings!$C$10&lt;&gt;"Yes",WEEKDAY($B106,2)&gt;=5),8-WEEKDAY($B106,2),1))</f>
        <v>46427</v>
      </c>
      <c r="C107" s="103" t="str">
        <f>IF($B107="","",CHOOSE(WEEKDAY($B107,2),"Mon","Tue","Wed","Thu","Fri","Sat","Sun"))</f>
        <v>Tue</v>
      </c>
      <c r="D107" s="96">
        <f>IF($B107="","",COUNTIFS('Trade Log'!$A$6:$A$1005,$B107,'Trade Log'!$BH$6:$BH$1005,1))</f>
        <v>0</v>
      </c>
      <c r="E107" s="98" t="str">
        <f>IF(OR($B107="",N($D107)=0),"",SUMIFS('Trade Log'!$Q$6:$Q$1005,'Trade Log'!$A$6:$A$1005,$B107))</f>
        <v/>
      </c>
      <c r="F107" s="99" t="str">
        <f>IF(OR($B107="",N($D107)=0),"",IFERROR(COUNTIFS('Trade Log'!$A$6:$A$1005,$B107,'Trade Log'!$S$6:$S$1005,"Win")/(COUNTIFS('Trade Log'!$A$6:$A$1005,$B107,'Trade Log'!$S$6:$S$1005,"Win")+COUNTIFS('Trade Log'!$A$6:$A$1005,$B107,'Trade Log'!$S$6:$S$1005,"Loss")),"—"))</f>
        <v/>
      </c>
      <c r="G107" s="104" t="str">
        <f>IF(OR($B107="",N($D107)=0),"",SUMIFS('Trade Log'!$R$6:$R$1005,'Trade Log'!$A$6:$A$1005,$B107))</f>
        <v/>
      </c>
      <c r="H107" s="96" t="str">
        <f>IF(OR($B107="",N($D107)=0),"",COUNTIFS('Trade Log'!$A$6:$A$1005,$B107,'Trade Log'!$Z$6:$Z$1005,"No"))</f>
        <v/>
      </c>
      <c r="I107" s="105" t="str">
        <f>IF(OR($B107="",N($D107)=0),"",IF(AND(ISNUMBER(Settings!$C$26),N($E107)&lt;=-N(Settings!$C$26)),"Hit daily max loss. ","")&amp;IF(COUNTIFS('Trade Log'!$A$6:$A$1005,$B107,'Trade Log'!$BM$6:$BM$1005,1)&gt;0,"Kept trading after daily max loss. ","")&amp;IF(AND(ISNUMBER(Settings!$C$25),N($D107)&gt;N(Settings!$C$25)),"Over max trades. ",""))</f>
        <v/>
      </c>
      <c r="J107" s="106" t="n"/>
      <c r="K107" s="106" t="n"/>
      <c r="L107" s="106" t="n"/>
      <c r="M107" s="29" t="n"/>
      <c r="N107" s="29" t="n"/>
      <c r="O107" s="106" t="n"/>
    </row>
    <row r="108">
      <c r="B108" s="107">
        <f>IF($B107="","",$B107+IF(AND(Settings!$C$10&lt;&gt;"Yes",WEEKDAY($B107,2)&gt;=5),8-WEEKDAY($B107,2),1))</f>
        <v>46428</v>
      </c>
      <c r="C108" s="103" t="str">
        <f>IF($B108="","",CHOOSE(WEEKDAY($B108,2),"Mon","Tue","Wed","Thu","Fri","Sat","Sun"))</f>
        <v>Wed</v>
      </c>
      <c r="D108" s="96">
        <f>IF($B108="","",COUNTIFS('Trade Log'!$A$6:$A$1005,$B108,'Trade Log'!$BH$6:$BH$1005,1))</f>
        <v>0</v>
      </c>
      <c r="E108" s="98" t="str">
        <f>IF(OR($B108="",N($D108)=0),"",SUMIFS('Trade Log'!$Q$6:$Q$1005,'Trade Log'!$A$6:$A$1005,$B108))</f>
        <v/>
      </c>
      <c r="F108" s="99" t="str">
        <f>IF(OR($B108="",N($D108)=0),"",IFERROR(COUNTIFS('Trade Log'!$A$6:$A$1005,$B108,'Trade Log'!$S$6:$S$1005,"Win")/(COUNTIFS('Trade Log'!$A$6:$A$1005,$B108,'Trade Log'!$S$6:$S$1005,"Win")+COUNTIFS('Trade Log'!$A$6:$A$1005,$B108,'Trade Log'!$S$6:$S$1005,"Loss")),"—"))</f>
        <v/>
      </c>
      <c r="G108" s="104" t="str">
        <f>IF(OR($B108="",N($D108)=0),"",SUMIFS('Trade Log'!$R$6:$R$1005,'Trade Log'!$A$6:$A$1005,$B108))</f>
        <v/>
      </c>
      <c r="H108" s="96" t="str">
        <f>IF(OR($B108="",N($D108)=0),"",COUNTIFS('Trade Log'!$A$6:$A$1005,$B108,'Trade Log'!$Z$6:$Z$1005,"No"))</f>
        <v/>
      </c>
      <c r="I108" s="105" t="str">
        <f>IF(OR($B108="",N($D108)=0),"",IF(AND(ISNUMBER(Settings!$C$26),N($E108)&lt;=-N(Settings!$C$26)),"Hit daily max loss. ","")&amp;IF(COUNTIFS('Trade Log'!$A$6:$A$1005,$B108,'Trade Log'!$BM$6:$BM$1005,1)&gt;0,"Kept trading after daily max loss. ","")&amp;IF(AND(ISNUMBER(Settings!$C$25),N($D108)&gt;N(Settings!$C$25)),"Over max trades. ",""))</f>
        <v/>
      </c>
      <c r="J108" s="106" t="n"/>
      <c r="K108" s="106" t="n"/>
      <c r="L108" s="106" t="n"/>
      <c r="M108" s="29" t="n"/>
      <c r="N108" s="29" t="n"/>
      <c r="O108" s="106" t="n"/>
    </row>
    <row r="109">
      <c r="B109" s="107">
        <f>IF($B108="","",$B108+IF(AND(Settings!$C$10&lt;&gt;"Yes",WEEKDAY($B108,2)&gt;=5),8-WEEKDAY($B108,2),1))</f>
        <v>46429</v>
      </c>
      <c r="C109" s="103" t="str">
        <f>IF($B109="","",CHOOSE(WEEKDAY($B109,2),"Mon","Tue","Wed","Thu","Fri","Sat","Sun"))</f>
        <v>Thu</v>
      </c>
      <c r="D109" s="96">
        <f>IF($B109="","",COUNTIFS('Trade Log'!$A$6:$A$1005,$B109,'Trade Log'!$BH$6:$BH$1005,1))</f>
        <v>0</v>
      </c>
      <c r="E109" s="98" t="str">
        <f>IF(OR($B109="",N($D109)=0),"",SUMIFS('Trade Log'!$Q$6:$Q$1005,'Trade Log'!$A$6:$A$1005,$B109))</f>
        <v/>
      </c>
      <c r="F109" s="99" t="str">
        <f>IF(OR($B109="",N($D109)=0),"",IFERROR(COUNTIFS('Trade Log'!$A$6:$A$1005,$B109,'Trade Log'!$S$6:$S$1005,"Win")/(COUNTIFS('Trade Log'!$A$6:$A$1005,$B109,'Trade Log'!$S$6:$S$1005,"Win")+COUNTIFS('Trade Log'!$A$6:$A$1005,$B109,'Trade Log'!$S$6:$S$1005,"Loss")),"—"))</f>
        <v/>
      </c>
      <c r="G109" s="104" t="str">
        <f>IF(OR($B109="",N($D109)=0),"",SUMIFS('Trade Log'!$R$6:$R$1005,'Trade Log'!$A$6:$A$1005,$B109))</f>
        <v/>
      </c>
      <c r="H109" s="96" t="str">
        <f>IF(OR($B109="",N($D109)=0),"",COUNTIFS('Trade Log'!$A$6:$A$1005,$B109,'Trade Log'!$Z$6:$Z$1005,"No"))</f>
        <v/>
      </c>
      <c r="I109" s="105" t="str">
        <f>IF(OR($B109="",N($D109)=0),"",IF(AND(ISNUMBER(Settings!$C$26),N($E109)&lt;=-N(Settings!$C$26)),"Hit daily max loss. ","")&amp;IF(COUNTIFS('Trade Log'!$A$6:$A$1005,$B109,'Trade Log'!$BM$6:$BM$1005,1)&gt;0,"Kept trading after daily max loss. ","")&amp;IF(AND(ISNUMBER(Settings!$C$25),N($D109)&gt;N(Settings!$C$25)),"Over max trades. ",""))</f>
        <v/>
      </c>
      <c r="J109" s="106" t="n"/>
      <c r="K109" s="106" t="n"/>
      <c r="L109" s="106" t="n"/>
      <c r="M109" s="29" t="n"/>
      <c r="N109" s="29" t="n"/>
      <c r="O109" s="106" t="n"/>
    </row>
    <row r="110">
      <c r="B110" s="107">
        <f>IF($B109="","",$B109+IF(AND(Settings!$C$10&lt;&gt;"Yes",WEEKDAY($B109,2)&gt;=5),8-WEEKDAY($B109,2),1))</f>
        <v>46430</v>
      </c>
      <c r="C110" s="103" t="str">
        <f>IF($B110="","",CHOOSE(WEEKDAY($B110,2),"Mon","Tue","Wed","Thu","Fri","Sat","Sun"))</f>
        <v>Fri</v>
      </c>
      <c r="D110" s="96">
        <f>IF($B110="","",COUNTIFS('Trade Log'!$A$6:$A$1005,$B110,'Trade Log'!$BH$6:$BH$1005,1))</f>
        <v>0</v>
      </c>
      <c r="E110" s="98" t="str">
        <f>IF(OR($B110="",N($D110)=0),"",SUMIFS('Trade Log'!$Q$6:$Q$1005,'Trade Log'!$A$6:$A$1005,$B110))</f>
        <v/>
      </c>
      <c r="F110" s="99" t="str">
        <f>IF(OR($B110="",N($D110)=0),"",IFERROR(COUNTIFS('Trade Log'!$A$6:$A$1005,$B110,'Trade Log'!$S$6:$S$1005,"Win")/(COUNTIFS('Trade Log'!$A$6:$A$1005,$B110,'Trade Log'!$S$6:$S$1005,"Win")+COUNTIFS('Trade Log'!$A$6:$A$1005,$B110,'Trade Log'!$S$6:$S$1005,"Loss")),"—"))</f>
        <v/>
      </c>
      <c r="G110" s="104" t="str">
        <f>IF(OR($B110="",N($D110)=0),"",SUMIFS('Trade Log'!$R$6:$R$1005,'Trade Log'!$A$6:$A$1005,$B110))</f>
        <v/>
      </c>
      <c r="H110" s="96" t="str">
        <f>IF(OR($B110="",N($D110)=0),"",COUNTIFS('Trade Log'!$A$6:$A$1005,$B110,'Trade Log'!$Z$6:$Z$1005,"No"))</f>
        <v/>
      </c>
      <c r="I110" s="105" t="str">
        <f>IF(OR($B110="",N($D110)=0),"",IF(AND(ISNUMBER(Settings!$C$26),N($E110)&lt;=-N(Settings!$C$26)),"Hit daily max loss. ","")&amp;IF(COUNTIFS('Trade Log'!$A$6:$A$1005,$B110,'Trade Log'!$BM$6:$BM$1005,1)&gt;0,"Kept trading after daily max loss. ","")&amp;IF(AND(ISNUMBER(Settings!$C$25),N($D110)&gt;N(Settings!$C$25)),"Over max trades. ",""))</f>
        <v/>
      </c>
      <c r="J110" s="106" t="n"/>
      <c r="K110" s="106" t="n"/>
      <c r="L110" s="106" t="n"/>
      <c r="M110" s="29" t="n"/>
      <c r="N110" s="29" t="n"/>
      <c r="O110" s="106" t="n"/>
    </row>
    <row r="111">
      <c r="B111" s="107">
        <f>IF($B110="","",$B110+IF(AND(Settings!$C$10&lt;&gt;"Yes",WEEKDAY($B110,2)&gt;=5),8-WEEKDAY($B110,2),1))</f>
        <v>46433</v>
      </c>
      <c r="C111" s="103" t="str">
        <f>IF($B111="","",CHOOSE(WEEKDAY($B111,2),"Mon","Tue","Wed","Thu","Fri","Sat","Sun"))</f>
        <v>Mon</v>
      </c>
      <c r="D111" s="96">
        <f>IF($B111="","",COUNTIFS('Trade Log'!$A$6:$A$1005,$B111,'Trade Log'!$BH$6:$BH$1005,1))</f>
        <v>0</v>
      </c>
      <c r="E111" s="98" t="str">
        <f>IF(OR($B111="",N($D111)=0),"",SUMIFS('Trade Log'!$Q$6:$Q$1005,'Trade Log'!$A$6:$A$1005,$B111))</f>
        <v/>
      </c>
      <c r="F111" s="99" t="str">
        <f>IF(OR($B111="",N($D111)=0),"",IFERROR(COUNTIFS('Trade Log'!$A$6:$A$1005,$B111,'Trade Log'!$S$6:$S$1005,"Win")/(COUNTIFS('Trade Log'!$A$6:$A$1005,$B111,'Trade Log'!$S$6:$S$1005,"Win")+COUNTIFS('Trade Log'!$A$6:$A$1005,$B111,'Trade Log'!$S$6:$S$1005,"Loss")),"—"))</f>
        <v/>
      </c>
      <c r="G111" s="104" t="str">
        <f>IF(OR($B111="",N($D111)=0),"",SUMIFS('Trade Log'!$R$6:$R$1005,'Trade Log'!$A$6:$A$1005,$B111))</f>
        <v/>
      </c>
      <c r="H111" s="96" t="str">
        <f>IF(OR($B111="",N($D111)=0),"",COUNTIFS('Trade Log'!$A$6:$A$1005,$B111,'Trade Log'!$Z$6:$Z$1005,"No"))</f>
        <v/>
      </c>
      <c r="I111" s="105" t="str">
        <f>IF(OR($B111="",N($D111)=0),"",IF(AND(ISNUMBER(Settings!$C$26),N($E111)&lt;=-N(Settings!$C$26)),"Hit daily max loss. ","")&amp;IF(COUNTIFS('Trade Log'!$A$6:$A$1005,$B111,'Trade Log'!$BM$6:$BM$1005,1)&gt;0,"Kept trading after daily max loss. ","")&amp;IF(AND(ISNUMBER(Settings!$C$25),N($D111)&gt;N(Settings!$C$25)),"Over max trades. ",""))</f>
        <v/>
      </c>
      <c r="J111" s="106" t="n"/>
      <c r="K111" s="106" t="n"/>
      <c r="L111" s="106" t="n"/>
      <c r="M111" s="29" t="n"/>
      <c r="N111" s="29" t="n"/>
      <c r="O111" s="106" t="n"/>
    </row>
    <row r="112">
      <c r="B112" s="107">
        <f>IF($B111="","",$B111+IF(AND(Settings!$C$10&lt;&gt;"Yes",WEEKDAY($B111,2)&gt;=5),8-WEEKDAY($B111,2),1))</f>
        <v>46434</v>
      </c>
      <c r="C112" s="103" t="str">
        <f>IF($B112="","",CHOOSE(WEEKDAY($B112,2),"Mon","Tue","Wed","Thu","Fri","Sat","Sun"))</f>
        <v>Tue</v>
      </c>
      <c r="D112" s="96">
        <f>IF($B112="","",COUNTIFS('Trade Log'!$A$6:$A$1005,$B112,'Trade Log'!$BH$6:$BH$1005,1))</f>
        <v>0</v>
      </c>
      <c r="E112" s="98" t="str">
        <f>IF(OR($B112="",N($D112)=0),"",SUMIFS('Trade Log'!$Q$6:$Q$1005,'Trade Log'!$A$6:$A$1005,$B112))</f>
        <v/>
      </c>
      <c r="F112" s="99" t="str">
        <f>IF(OR($B112="",N($D112)=0),"",IFERROR(COUNTIFS('Trade Log'!$A$6:$A$1005,$B112,'Trade Log'!$S$6:$S$1005,"Win")/(COUNTIFS('Trade Log'!$A$6:$A$1005,$B112,'Trade Log'!$S$6:$S$1005,"Win")+COUNTIFS('Trade Log'!$A$6:$A$1005,$B112,'Trade Log'!$S$6:$S$1005,"Loss")),"—"))</f>
        <v/>
      </c>
      <c r="G112" s="104" t="str">
        <f>IF(OR($B112="",N($D112)=0),"",SUMIFS('Trade Log'!$R$6:$R$1005,'Trade Log'!$A$6:$A$1005,$B112))</f>
        <v/>
      </c>
      <c r="H112" s="96" t="str">
        <f>IF(OR($B112="",N($D112)=0),"",COUNTIFS('Trade Log'!$A$6:$A$1005,$B112,'Trade Log'!$Z$6:$Z$1005,"No"))</f>
        <v/>
      </c>
      <c r="I112" s="105" t="str">
        <f>IF(OR($B112="",N($D112)=0),"",IF(AND(ISNUMBER(Settings!$C$26),N($E112)&lt;=-N(Settings!$C$26)),"Hit daily max loss. ","")&amp;IF(COUNTIFS('Trade Log'!$A$6:$A$1005,$B112,'Trade Log'!$BM$6:$BM$1005,1)&gt;0,"Kept trading after daily max loss. ","")&amp;IF(AND(ISNUMBER(Settings!$C$25),N($D112)&gt;N(Settings!$C$25)),"Over max trades. ",""))</f>
        <v/>
      </c>
      <c r="J112" s="106" t="n"/>
      <c r="K112" s="106" t="n"/>
      <c r="L112" s="106" t="n"/>
      <c r="M112" s="29" t="n"/>
      <c r="N112" s="29" t="n"/>
      <c r="O112" s="106" t="n"/>
    </row>
    <row r="113">
      <c r="B113" s="107">
        <f>IF($B112="","",$B112+IF(AND(Settings!$C$10&lt;&gt;"Yes",WEEKDAY($B112,2)&gt;=5),8-WEEKDAY($B112,2),1))</f>
        <v>46435</v>
      </c>
      <c r="C113" s="103" t="str">
        <f>IF($B113="","",CHOOSE(WEEKDAY($B113,2),"Mon","Tue","Wed","Thu","Fri","Sat","Sun"))</f>
        <v>Wed</v>
      </c>
      <c r="D113" s="96">
        <f>IF($B113="","",COUNTIFS('Trade Log'!$A$6:$A$1005,$B113,'Trade Log'!$BH$6:$BH$1005,1))</f>
        <v>0</v>
      </c>
      <c r="E113" s="98" t="str">
        <f>IF(OR($B113="",N($D113)=0),"",SUMIFS('Trade Log'!$Q$6:$Q$1005,'Trade Log'!$A$6:$A$1005,$B113))</f>
        <v/>
      </c>
      <c r="F113" s="99" t="str">
        <f>IF(OR($B113="",N($D113)=0),"",IFERROR(COUNTIFS('Trade Log'!$A$6:$A$1005,$B113,'Trade Log'!$S$6:$S$1005,"Win")/(COUNTIFS('Trade Log'!$A$6:$A$1005,$B113,'Trade Log'!$S$6:$S$1005,"Win")+COUNTIFS('Trade Log'!$A$6:$A$1005,$B113,'Trade Log'!$S$6:$S$1005,"Loss")),"—"))</f>
        <v/>
      </c>
      <c r="G113" s="104" t="str">
        <f>IF(OR($B113="",N($D113)=0),"",SUMIFS('Trade Log'!$R$6:$R$1005,'Trade Log'!$A$6:$A$1005,$B113))</f>
        <v/>
      </c>
      <c r="H113" s="96" t="str">
        <f>IF(OR($B113="",N($D113)=0),"",COUNTIFS('Trade Log'!$A$6:$A$1005,$B113,'Trade Log'!$Z$6:$Z$1005,"No"))</f>
        <v/>
      </c>
      <c r="I113" s="105" t="str">
        <f>IF(OR($B113="",N($D113)=0),"",IF(AND(ISNUMBER(Settings!$C$26),N($E113)&lt;=-N(Settings!$C$26)),"Hit daily max loss. ","")&amp;IF(COUNTIFS('Trade Log'!$A$6:$A$1005,$B113,'Trade Log'!$BM$6:$BM$1005,1)&gt;0,"Kept trading after daily max loss. ","")&amp;IF(AND(ISNUMBER(Settings!$C$25),N($D113)&gt;N(Settings!$C$25)),"Over max trades. ",""))</f>
        <v/>
      </c>
      <c r="J113" s="106" t="n"/>
      <c r="K113" s="106" t="n"/>
      <c r="L113" s="106" t="n"/>
      <c r="M113" s="29" t="n"/>
      <c r="N113" s="29" t="n"/>
      <c r="O113" s="106" t="n"/>
    </row>
    <row r="114">
      <c r="B114" s="107">
        <f>IF($B113="","",$B113+IF(AND(Settings!$C$10&lt;&gt;"Yes",WEEKDAY($B113,2)&gt;=5),8-WEEKDAY($B113,2),1))</f>
        <v>46436</v>
      </c>
      <c r="C114" s="103" t="str">
        <f>IF($B114="","",CHOOSE(WEEKDAY($B114,2),"Mon","Tue","Wed","Thu","Fri","Sat","Sun"))</f>
        <v>Thu</v>
      </c>
      <c r="D114" s="96">
        <f>IF($B114="","",COUNTIFS('Trade Log'!$A$6:$A$1005,$B114,'Trade Log'!$BH$6:$BH$1005,1))</f>
        <v>0</v>
      </c>
      <c r="E114" s="98" t="str">
        <f>IF(OR($B114="",N($D114)=0),"",SUMIFS('Trade Log'!$Q$6:$Q$1005,'Trade Log'!$A$6:$A$1005,$B114))</f>
        <v/>
      </c>
      <c r="F114" s="99" t="str">
        <f>IF(OR($B114="",N($D114)=0),"",IFERROR(COUNTIFS('Trade Log'!$A$6:$A$1005,$B114,'Trade Log'!$S$6:$S$1005,"Win")/(COUNTIFS('Trade Log'!$A$6:$A$1005,$B114,'Trade Log'!$S$6:$S$1005,"Win")+COUNTIFS('Trade Log'!$A$6:$A$1005,$B114,'Trade Log'!$S$6:$S$1005,"Loss")),"—"))</f>
        <v/>
      </c>
      <c r="G114" s="104" t="str">
        <f>IF(OR($B114="",N($D114)=0),"",SUMIFS('Trade Log'!$R$6:$R$1005,'Trade Log'!$A$6:$A$1005,$B114))</f>
        <v/>
      </c>
      <c r="H114" s="96" t="str">
        <f>IF(OR($B114="",N($D114)=0),"",COUNTIFS('Trade Log'!$A$6:$A$1005,$B114,'Trade Log'!$Z$6:$Z$1005,"No"))</f>
        <v/>
      </c>
      <c r="I114" s="105" t="str">
        <f>IF(OR($B114="",N($D114)=0),"",IF(AND(ISNUMBER(Settings!$C$26),N($E114)&lt;=-N(Settings!$C$26)),"Hit daily max loss. ","")&amp;IF(COUNTIFS('Trade Log'!$A$6:$A$1005,$B114,'Trade Log'!$BM$6:$BM$1005,1)&gt;0,"Kept trading after daily max loss. ","")&amp;IF(AND(ISNUMBER(Settings!$C$25),N($D114)&gt;N(Settings!$C$25)),"Over max trades. ",""))</f>
        <v/>
      </c>
      <c r="J114" s="106" t="n"/>
      <c r="K114" s="106" t="n"/>
      <c r="L114" s="106" t="n"/>
      <c r="M114" s="29" t="n"/>
      <c r="N114" s="29" t="n"/>
      <c r="O114" s="106" t="n"/>
    </row>
    <row r="115">
      <c r="B115" s="107">
        <f>IF($B114="","",$B114+IF(AND(Settings!$C$10&lt;&gt;"Yes",WEEKDAY($B114,2)&gt;=5),8-WEEKDAY($B114,2),1))</f>
        <v>46437</v>
      </c>
      <c r="C115" s="103" t="str">
        <f>IF($B115="","",CHOOSE(WEEKDAY($B115,2),"Mon","Tue","Wed","Thu","Fri","Sat","Sun"))</f>
        <v>Fri</v>
      </c>
      <c r="D115" s="96">
        <f>IF($B115="","",COUNTIFS('Trade Log'!$A$6:$A$1005,$B115,'Trade Log'!$BH$6:$BH$1005,1))</f>
        <v>0</v>
      </c>
      <c r="E115" s="98" t="str">
        <f>IF(OR($B115="",N($D115)=0),"",SUMIFS('Trade Log'!$Q$6:$Q$1005,'Trade Log'!$A$6:$A$1005,$B115))</f>
        <v/>
      </c>
      <c r="F115" s="99" t="str">
        <f>IF(OR($B115="",N($D115)=0),"",IFERROR(COUNTIFS('Trade Log'!$A$6:$A$1005,$B115,'Trade Log'!$S$6:$S$1005,"Win")/(COUNTIFS('Trade Log'!$A$6:$A$1005,$B115,'Trade Log'!$S$6:$S$1005,"Win")+COUNTIFS('Trade Log'!$A$6:$A$1005,$B115,'Trade Log'!$S$6:$S$1005,"Loss")),"—"))</f>
        <v/>
      </c>
      <c r="G115" s="104" t="str">
        <f>IF(OR($B115="",N($D115)=0),"",SUMIFS('Trade Log'!$R$6:$R$1005,'Trade Log'!$A$6:$A$1005,$B115))</f>
        <v/>
      </c>
      <c r="H115" s="96" t="str">
        <f>IF(OR($B115="",N($D115)=0),"",COUNTIFS('Trade Log'!$A$6:$A$1005,$B115,'Trade Log'!$Z$6:$Z$1005,"No"))</f>
        <v/>
      </c>
      <c r="I115" s="105" t="str">
        <f>IF(OR($B115="",N($D115)=0),"",IF(AND(ISNUMBER(Settings!$C$26),N($E115)&lt;=-N(Settings!$C$26)),"Hit daily max loss. ","")&amp;IF(COUNTIFS('Trade Log'!$A$6:$A$1005,$B115,'Trade Log'!$BM$6:$BM$1005,1)&gt;0,"Kept trading after daily max loss. ","")&amp;IF(AND(ISNUMBER(Settings!$C$25),N($D115)&gt;N(Settings!$C$25)),"Over max trades. ",""))</f>
        <v/>
      </c>
      <c r="J115" s="106" t="n"/>
      <c r="K115" s="106" t="n"/>
      <c r="L115" s="106" t="n"/>
      <c r="M115" s="29" t="n"/>
      <c r="N115" s="29" t="n"/>
      <c r="O115" s="106" t="n"/>
    </row>
    <row r="116">
      <c r="B116" s="107">
        <f>IF($B115="","",$B115+IF(AND(Settings!$C$10&lt;&gt;"Yes",WEEKDAY($B115,2)&gt;=5),8-WEEKDAY($B115,2),1))</f>
        <v>46440</v>
      </c>
      <c r="C116" s="103" t="str">
        <f>IF($B116="","",CHOOSE(WEEKDAY($B116,2),"Mon","Tue","Wed","Thu","Fri","Sat","Sun"))</f>
        <v>Mon</v>
      </c>
      <c r="D116" s="96">
        <f>IF($B116="","",COUNTIFS('Trade Log'!$A$6:$A$1005,$B116,'Trade Log'!$BH$6:$BH$1005,1))</f>
        <v>0</v>
      </c>
      <c r="E116" s="98" t="str">
        <f>IF(OR($B116="",N($D116)=0),"",SUMIFS('Trade Log'!$Q$6:$Q$1005,'Trade Log'!$A$6:$A$1005,$B116))</f>
        <v/>
      </c>
      <c r="F116" s="99" t="str">
        <f>IF(OR($B116="",N($D116)=0),"",IFERROR(COUNTIFS('Trade Log'!$A$6:$A$1005,$B116,'Trade Log'!$S$6:$S$1005,"Win")/(COUNTIFS('Trade Log'!$A$6:$A$1005,$B116,'Trade Log'!$S$6:$S$1005,"Win")+COUNTIFS('Trade Log'!$A$6:$A$1005,$B116,'Trade Log'!$S$6:$S$1005,"Loss")),"—"))</f>
        <v/>
      </c>
      <c r="G116" s="104" t="str">
        <f>IF(OR($B116="",N($D116)=0),"",SUMIFS('Trade Log'!$R$6:$R$1005,'Trade Log'!$A$6:$A$1005,$B116))</f>
        <v/>
      </c>
      <c r="H116" s="96" t="str">
        <f>IF(OR($B116="",N($D116)=0),"",COUNTIFS('Trade Log'!$A$6:$A$1005,$B116,'Trade Log'!$Z$6:$Z$1005,"No"))</f>
        <v/>
      </c>
      <c r="I116" s="105" t="str">
        <f>IF(OR($B116="",N($D116)=0),"",IF(AND(ISNUMBER(Settings!$C$26),N($E116)&lt;=-N(Settings!$C$26)),"Hit daily max loss. ","")&amp;IF(COUNTIFS('Trade Log'!$A$6:$A$1005,$B116,'Trade Log'!$BM$6:$BM$1005,1)&gt;0,"Kept trading after daily max loss. ","")&amp;IF(AND(ISNUMBER(Settings!$C$25),N($D116)&gt;N(Settings!$C$25)),"Over max trades. ",""))</f>
        <v/>
      </c>
      <c r="J116" s="106" t="n"/>
      <c r="K116" s="106" t="n"/>
      <c r="L116" s="106" t="n"/>
      <c r="M116" s="29" t="n"/>
      <c r="N116" s="29" t="n"/>
      <c r="O116" s="106" t="n"/>
    </row>
    <row r="117">
      <c r="B117" s="107">
        <f>IF($B116="","",$B116+IF(AND(Settings!$C$10&lt;&gt;"Yes",WEEKDAY($B116,2)&gt;=5),8-WEEKDAY($B116,2),1))</f>
        <v>46441</v>
      </c>
      <c r="C117" s="103" t="str">
        <f>IF($B117="","",CHOOSE(WEEKDAY($B117,2),"Mon","Tue","Wed","Thu","Fri","Sat","Sun"))</f>
        <v>Tue</v>
      </c>
      <c r="D117" s="96">
        <f>IF($B117="","",COUNTIFS('Trade Log'!$A$6:$A$1005,$B117,'Trade Log'!$BH$6:$BH$1005,1))</f>
        <v>0</v>
      </c>
      <c r="E117" s="98" t="str">
        <f>IF(OR($B117="",N($D117)=0),"",SUMIFS('Trade Log'!$Q$6:$Q$1005,'Trade Log'!$A$6:$A$1005,$B117))</f>
        <v/>
      </c>
      <c r="F117" s="99" t="str">
        <f>IF(OR($B117="",N($D117)=0),"",IFERROR(COUNTIFS('Trade Log'!$A$6:$A$1005,$B117,'Trade Log'!$S$6:$S$1005,"Win")/(COUNTIFS('Trade Log'!$A$6:$A$1005,$B117,'Trade Log'!$S$6:$S$1005,"Win")+COUNTIFS('Trade Log'!$A$6:$A$1005,$B117,'Trade Log'!$S$6:$S$1005,"Loss")),"—"))</f>
        <v/>
      </c>
      <c r="G117" s="104" t="str">
        <f>IF(OR($B117="",N($D117)=0),"",SUMIFS('Trade Log'!$R$6:$R$1005,'Trade Log'!$A$6:$A$1005,$B117))</f>
        <v/>
      </c>
      <c r="H117" s="96" t="str">
        <f>IF(OR($B117="",N($D117)=0),"",COUNTIFS('Trade Log'!$A$6:$A$1005,$B117,'Trade Log'!$Z$6:$Z$1005,"No"))</f>
        <v/>
      </c>
      <c r="I117" s="105" t="str">
        <f>IF(OR($B117="",N($D117)=0),"",IF(AND(ISNUMBER(Settings!$C$26),N($E117)&lt;=-N(Settings!$C$26)),"Hit daily max loss. ","")&amp;IF(COUNTIFS('Trade Log'!$A$6:$A$1005,$B117,'Trade Log'!$BM$6:$BM$1005,1)&gt;0,"Kept trading after daily max loss. ","")&amp;IF(AND(ISNUMBER(Settings!$C$25),N($D117)&gt;N(Settings!$C$25)),"Over max trades. ",""))</f>
        <v/>
      </c>
      <c r="J117" s="106" t="n"/>
      <c r="K117" s="106" t="n"/>
      <c r="L117" s="106" t="n"/>
      <c r="M117" s="29" t="n"/>
      <c r="N117" s="29" t="n"/>
      <c r="O117" s="106" t="n"/>
    </row>
    <row r="118">
      <c r="B118" s="107">
        <f>IF($B117="","",$B117+IF(AND(Settings!$C$10&lt;&gt;"Yes",WEEKDAY($B117,2)&gt;=5),8-WEEKDAY($B117,2),1))</f>
        <v>46442</v>
      </c>
      <c r="C118" s="103" t="str">
        <f>IF($B118="","",CHOOSE(WEEKDAY($B118,2),"Mon","Tue","Wed","Thu","Fri","Sat","Sun"))</f>
        <v>Wed</v>
      </c>
      <c r="D118" s="96">
        <f>IF($B118="","",COUNTIFS('Trade Log'!$A$6:$A$1005,$B118,'Trade Log'!$BH$6:$BH$1005,1))</f>
        <v>0</v>
      </c>
      <c r="E118" s="98" t="str">
        <f>IF(OR($B118="",N($D118)=0),"",SUMIFS('Trade Log'!$Q$6:$Q$1005,'Trade Log'!$A$6:$A$1005,$B118))</f>
        <v/>
      </c>
      <c r="F118" s="99" t="str">
        <f>IF(OR($B118="",N($D118)=0),"",IFERROR(COUNTIFS('Trade Log'!$A$6:$A$1005,$B118,'Trade Log'!$S$6:$S$1005,"Win")/(COUNTIFS('Trade Log'!$A$6:$A$1005,$B118,'Trade Log'!$S$6:$S$1005,"Win")+COUNTIFS('Trade Log'!$A$6:$A$1005,$B118,'Trade Log'!$S$6:$S$1005,"Loss")),"—"))</f>
        <v/>
      </c>
      <c r="G118" s="104" t="str">
        <f>IF(OR($B118="",N($D118)=0),"",SUMIFS('Trade Log'!$R$6:$R$1005,'Trade Log'!$A$6:$A$1005,$B118))</f>
        <v/>
      </c>
      <c r="H118" s="96" t="str">
        <f>IF(OR($B118="",N($D118)=0),"",COUNTIFS('Trade Log'!$A$6:$A$1005,$B118,'Trade Log'!$Z$6:$Z$1005,"No"))</f>
        <v/>
      </c>
      <c r="I118" s="105" t="str">
        <f>IF(OR($B118="",N($D118)=0),"",IF(AND(ISNUMBER(Settings!$C$26),N($E118)&lt;=-N(Settings!$C$26)),"Hit daily max loss. ","")&amp;IF(COUNTIFS('Trade Log'!$A$6:$A$1005,$B118,'Trade Log'!$BM$6:$BM$1005,1)&gt;0,"Kept trading after daily max loss. ","")&amp;IF(AND(ISNUMBER(Settings!$C$25),N($D118)&gt;N(Settings!$C$25)),"Over max trades. ",""))</f>
        <v/>
      </c>
      <c r="J118" s="106" t="n"/>
      <c r="K118" s="106" t="n"/>
      <c r="L118" s="106" t="n"/>
      <c r="M118" s="29" t="n"/>
      <c r="N118" s="29" t="n"/>
      <c r="O118" s="106" t="n"/>
    </row>
    <row r="119">
      <c r="B119" s="107">
        <f>IF($B118="","",$B118+IF(AND(Settings!$C$10&lt;&gt;"Yes",WEEKDAY($B118,2)&gt;=5),8-WEEKDAY($B118,2),1))</f>
        <v>46443</v>
      </c>
      <c r="C119" s="103" t="str">
        <f>IF($B119="","",CHOOSE(WEEKDAY($B119,2),"Mon","Tue","Wed","Thu","Fri","Sat","Sun"))</f>
        <v>Thu</v>
      </c>
      <c r="D119" s="96">
        <f>IF($B119="","",COUNTIFS('Trade Log'!$A$6:$A$1005,$B119,'Trade Log'!$BH$6:$BH$1005,1))</f>
        <v>0</v>
      </c>
      <c r="E119" s="98" t="str">
        <f>IF(OR($B119="",N($D119)=0),"",SUMIFS('Trade Log'!$Q$6:$Q$1005,'Trade Log'!$A$6:$A$1005,$B119))</f>
        <v/>
      </c>
      <c r="F119" s="99" t="str">
        <f>IF(OR($B119="",N($D119)=0),"",IFERROR(COUNTIFS('Trade Log'!$A$6:$A$1005,$B119,'Trade Log'!$S$6:$S$1005,"Win")/(COUNTIFS('Trade Log'!$A$6:$A$1005,$B119,'Trade Log'!$S$6:$S$1005,"Win")+COUNTIFS('Trade Log'!$A$6:$A$1005,$B119,'Trade Log'!$S$6:$S$1005,"Loss")),"—"))</f>
        <v/>
      </c>
      <c r="G119" s="104" t="str">
        <f>IF(OR($B119="",N($D119)=0),"",SUMIFS('Trade Log'!$R$6:$R$1005,'Trade Log'!$A$6:$A$1005,$B119))</f>
        <v/>
      </c>
      <c r="H119" s="96" t="str">
        <f>IF(OR($B119="",N($D119)=0),"",COUNTIFS('Trade Log'!$A$6:$A$1005,$B119,'Trade Log'!$Z$6:$Z$1005,"No"))</f>
        <v/>
      </c>
      <c r="I119" s="105" t="str">
        <f>IF(OR($B119="",N($D119)=0),"",IF(AND(ISNUMBER(Settings!$C$26),N($E119)&lt;=-N(Settings!$C$26)),"Hit daily max loss. ","")&amp;IF(COUNTIFS('Trade Log'!$A$6:$A$1005,$B119,'Trade Log'!$BM$6:$BM$1005,1)&gt;0,"Kept trading after daily max loss. ","")&amp;IF(AND(ISNUMBER(Settings!$C$25),N($D119)&gt;N(Settings!$C$25)),"Over max trades. ",""))</f>
        <v/>
      </c>
      <c r="J119" s="106" t="n"/>
      <c r="K119" s="106" t="n"/>
      <c r="L119" s="106" t="n"/>
      <c r="M119" s="29" t="n"/>
      <c r="N119" s="29" t="n"/>
      <c r="O119" s="106" t="n"/>
    </row>
    <row r="120">
      <c r="B120" s="107">
        <f>IF($B119="","",$B119+IF(AND(Settings!$C$10&lt;&gt;"Yes",WEEKDAY($B119,2)&gt;=5),8-WEEKDAY($B119,2),1))</f>
        <v>46444</v>
      </c>
      <c r="C120" s="103" t="str">
        <f>IF($B120="","",CHOOSE(WEEKDAY($B120,2),"Mon","Tue","Wed","Thu","Fri","Sat","Sun"))</f>
        <v>Fri</v>
      </c>
      <c r="D120" s="96">
        <f>IF($B120="","",COUNTIFS('Trade Log'!$A$6:$A$1005,$B120,'Trade Log'!$BH$6:$BH$1005,1))</f>
        <v>0</v>
      </c>
      <c r="E120" s="98" t="str">
        <f>IF(OR($B120="",N($D120)=0),"",SUMIFS('Trade Log'!$Q$6:$Q$1005,'Trade Log'!$A$6:$A$1005,$B120))</f>
        <v/>
      </c>
      <c r="F120" s="99" t="str">
        <f>IF(OR($B120="",N($D120)=0),"",IFERROR(COUNTIFS('Trade Log'!$A$6:$A$1005,$B120,'Trade Log'!$S$6:$S$1005,"Win")/(COUNTIFS('Trade Log'!$A$6:$A$1005,$B120,'Trade Log'!$S$6:$S$1005,"Win")+COUNTIFS('Trade Log'!$A$6:$A$1005,$B120,'Trade Log'!$S$6:$S$1005,"Loss")),"—"))</f>
        <v/>
      </c>
      <c r="G120" s="104" t="str">
        <f>IF(OR($B120="",N($D120)=0),"",SUMIFS('Trade Log'!$R$6:$R$1005,'Trade Log'!$A$6:$A$1005,$B120))</f>
        <v/>
      </c>
      <c r="H120" s="96" t="str">
        <f>IF(OR($B120="",N($D120)=0),"",COUNTIFS('Trade Log'!$A$6:$A$1005,$B120,'Trade Log'!$Z$6:$Z$1005,"No"))</f>
        <v/>
      </c>
      <c r="I120" s="105" t="str">
        <f>IF(OR($B120="",N($D120)=0),"",IF(AND(ISNUMBER(Settings!$C$26),N($E120)&lt;=-N(Settings!$C$26)),"Hit daily max loss. ","")&amp;IF(COUNTIFS('Trade Log'!$A$6:$A$1005,$B120,'Trade Log'!$BM$6:$BM$1005,1)&gt;0,"Kept trading after daily max loss. ","")&amp;IF(AND(ISNUMBER(Settings!$C$25),N($D120)&gt;N(Settings!$C$25)),"Over max trades. ",""))</f>
        <v/>
      </c>
      <c r="J120" s="106" t="n"/>
      <c r="K120" s="106" t="n"/>
      <c r="L120" s="106" t="n"/>
      <c r="M120" s="29" t="n"/>
      <c r="N120" s="29" t="n"/>
      <c r="O120" s="106" t="n"/>
    </row>
    <row r="121">
      <c r="B121" s="107">
        <f>IF($B120="","",$B120+IF(AND(Settings!$C$10&lt;&gt;"Yes",WEEKDAY($B120,2)&gt;=5),8-WEEKDAY($B120,2),1))</f>
        <v>46447</v>
      </c>
      <c r="C121" s="103" t="str">
        <f>IF($B121="","",CHOOSE(WEEKDAY($B121,2),"Mon","Tue","Wed","Thu","Fri","Sat","Sun"))</f>
        <v>Mon</v>
      </c>
      <c r="D121" s="96">
        <f>IF($B121="","",COUNTIFS('Trade Log'!$A$6:$A$1005,$B121,'Trade Log'!$BH$6:$BH$1005,1))</f>
        <v>0</v>
      </c>
      <c r="E121" s="98" t="str">
        <f>IF(OR($B121="",N($D121)=0),"",SUMIFS('Trade Log'!$Q$6:$Q$1005,'Trade Log'!$A$6:$A$1005,$B121))</f>
        <v/>
      </c>
      <c r="F121" s="99" t="str">
        <f>IF(OR($B121="",N($D121)=0),"",IFERROR(COUNTIFS('Trade Log'!$A$6:$A$1005,$B121,'Trade Log'!$S$6:$S$1005,"Win")/(COUNTIFS('Trade Log'!$A$6:$A$1005,$B121,'Trade Log'!$S$6:$S$1005,"Win")+COUNTIFS('Trade Log'!$A$6:$A$1005,$B121,'Trade Log'!$S$6:$S$1005,"Loss")),"—"))</f>
        <v/>
      </c>
      <c r="G121" s="104" t="str">
        <f>IF(OR($B121="",N($D121)=0),"",SUMIFS('Trade Log'!$R$6:$R$1005,'Trade Log'!$A$6:$A$1005,$B121))</f>
        <v/>
      </c>
      <c r="H121" s="96" t="str">
        <f>IF(OR($B121="",N($D121)=0),"",COUNTIFS('Trade Log'!$A$6:$A$1005,$B121,'Trade Log'!$Z$6:$Z$1005,"No"))</f>
        <v/>
      </c>
      <c r="I121" s="105" t="str">
        <f>IF(OR($B121="",N($D121)=0),"",IF(AND(ISNUMBER(Settings!$C$26),N($E121)&lt;=-N(Settings!$C$26)),"Hit daily max loss. ","")&amp;IF(COUNTIFS('Trade Log'!$A$6:$A$1005,$B121,'Trade Log'!$BM$6:$BM$1005,1)&gt;0,"Kept trading after daily max loss. ","")&amp;IF(AND(ISNUMBER(Settings!$C$25),N($D121)&gt;N(Settings!$C$25)),"Over max trades. ",""))</f>
        <v/>
      </c>
      <c r="J121" s="106" t="n"/>
      <c r="K121" s="106" t="n"/>
      <c r="L121" s="106" t="n"/>
      <c r="M121" s="29" t="n"/>
      <c r="N121" s="29" t="n"/>
      <c r="O121" s="106" t="n"/>
    </row>
    <row r="122">
      <c r="B122" s="107">
        <f>IF($B121="","",$B121+IF(AND(Settings!$C$10&lt;&gt;"Yes",WEEKDAY($B121,2)&gt;=5),8-WEEKDAY($B121,2),1))</f>
        <v>46448</v>
      </c>
      <c r="C122" s="103" t="str">
        <f>IF($B122="","",CHOOSE(WEEKDAY($B122,2),"Mon","Tue","Wed","Thu","Fri","Sat","Sun"))</f>
        <v>Tue</v>
      </c>
      <c r="D122" s="96">
        <f>IF($B122="","",COUNTIFS('Trade Log'!$A$6:$A$1005,$B122,'Trade Log'!$BH$6:$BH$1005,1))</f>
        <v>0</v>
      </c>
      <c r="E122" s="98" t="str">
        <f>IF(OR($B122="",N($D122)=0),"",SUMIFS('Trade Log'!$Q$6:$Q$1005,'Trade Log'!$A$6:$A$1005,$B122))</f>
        <v/>
      </c>
      <c r="F122" s="99" t="str">
        <f>IF(OR($B122="",N($D122)=0),"",IFERROR(COUNTIFS('Trade Log'!$A$6:$A$1005,$B122,'Trade Log'!$S$6:$S$1005,"Win")/(COUNTIFS('Trade Log'!$A$6:$A$1005,$B122,'Trade Log'!$S$6:$S$1005,"Win")+COUNTIFS('Trade Log'!$A$6:$A$1005,$B122,'Trade Log'!$S$6:$S$1005,"Loss")),"—"))</f>
        <v/>
      </c>
      <c r="G122" s="104" t="str">
        <f>IF(OR($B122="",N($D122)=0),"",SUMIFS('Trade Log'!$R$6:$R$1005,'Trade Log'!$A$6:$A$1005,$B122))</f>
        <v/>
      </c>
      <c r="H122" s="96" t="str">
        <f>IF(OR($B122="",N($D122)=0),"",COUNTIFS('Trade Log'!$A$6:$A$1005,$B122,'Trade Log'!$Z$6:$Z$1005,"No"))</f>
        <v/>
      </c>
      <c r="I122" s="105" t="str">
        <f>IF(OR($B122="",N($D122)=0),"",IF(AND(ISNUMBER(Settings!$C$26),N($E122)&lt;=-N(Settings!$C$26)),"Hit daily max loss. ","")&amp;IF(COUNTIFS('Trade Log'!$A$6:$A$1005,$B122,'Trade Log'!$BM$6:$BM$1005,1)&gt;0,"Kept trading after daily max loss. ","")&amp;IF(AND(ISNUMBER(Settings!$C$25),N($D122)&gt;N(Settings!$C$25)),"Over max trades. ",""))</f>
        <v/>
      </c>
      <c r="J122" s="106" t="n"/>
      <c r="K122" s="106" t="n"/>
      <c r="L122" s="106" t="n"/>
      <c r="M122" s="29" t="n"/>
      <c r="N122" s="29" t="n"/>
      <c r="O122" s="106" t="n"/>
    </row>
    <row r="123">
      <c r="B123" s="107">
        <f>IF($B122="","",$B122+IF(AND(Settings!$C$10&lt;&gt;"Yes",WEEKDAY($B122,2)&gt;=5),8-WEEKDAY($B122,2),1))</f>
        <v>46449</v>
      </c>
      <c r="C123" s="103" t="str">
        <f>IF($B123="","",CHOOSE(WEEKDAY($B123,2),"Mon","Tue","Wed","Thu","Fri","Sat","Sun"))</f>
        <v>Wed</v>
      </c>
      <c r="D123" s="96">
        <f>IF($B123="","",COUNTIFS('Trade Log'!$A$6:$A$1005,$B123,'Trade Log'!$BH$6:$BH$1005,1))</f>
        <v>0</v>
      </c>
      <c r="E123" s="98" t="str">
        <f>IF(OR($B123="",N($D123)=0),"",SUMIFS('Trade Log'!$Q$6:$Q$1005,'Trade Log'!$A$6:$A$1005,$B123))</f>
        <v/>
      </c>
      <c r="F123" s="99" t="str">
        <f>IF(OR($B123="",N($D123)=0),"",IFERROR(COUNTIFS('Trade Log'!$A$6:$A$1005,$B123,'Trade Log'!$S$6:$S$1005,"Win")/(COUNTIFS('Trade Log'!$A$6:$A$1005,$B123,'Trade Log'!$S$6:$S$1005,"Win")+COUNTIFS('Trade Log'!$A$6:$A$1005,$B123,'Trade Log'!$S$6:$S$1005,"Loss")),"—"))</f>
        <v/>
      </c>
      <c r="G123" s="104" t="str">
        <f>IF(OR($B123="",N($D123)=0),"",SUMIFS('Trade Log'!$R$6:$R$1005,'Trade Log'!$A$6:$A$1005,$B123))</f>
        <v/>
      </c>
      <c r="H123" s="96" t="str">
        <f>IF(OR($B123="",N($D123)=0),"",COUNTIFS('Trade Log'!$A$6:$A$1005,$B123,'Trade Log'!$Z$6:$Z$1005,"No"))</f>
        <v/>
      </c>
      <c r="I123" s="105" t="str">
        <f>IF(OR($B123="",N($D123)=0),"",IF(AND(ISNUMBER(Settings!$C$26),N($E123)&lt;=-N(Settings!$C$26)),"Hit daily max loss. ","")&amp;IF(COUNTIFS('Trade Log'!$A$6:$A$1005,$B123,'Trade Log'!$BM$6:$BM$1005,1)&gt;0,"Kept trading after daily max loss. ","")&amp;IF(AND(ISNUMBER(Settings!$C$25),N($D123)&gt;N(Settings!$C$25)),"Over max trades. ",""))</f>
        <v/>
      </c>
      <c r="J123" s="106" t="n"/>
      <c r="K123" s="106" t="n"/>
      <c r="L123" s="106" t="n"/>
      <c r="M123" s="29" t="n"/>
      <c r="N123" s="29" t="n"/>
      <c r="O123" s="106" t="n"/>
    </row>
    <row r="124">
      <c r="B124" s="107">
        <f>IF($B123="","",$B123+IF(AND(Settings!$C$10&lt;&gt;"Yes",WEEKDAY($B123,2)&gt;=5),8-WEEKDAY($B123,2),1))</f>
        <v>46450</v>
      </c>
      <c r="C124" s="103" t="str">
        <f>IF($B124="","",CHOOSE(WEEKDAY($B124,2),"Mon","Tue","Wed","Thu","Fri","Sat","Sun"))</f>
        <v>Thu</v>
      </c>
      <c r="D124" s="96">
        <f>IF($B124="","",COUNTIFS('Trade Log'!$A$6:$A$1005,$B124,'Trade Log'!$BH$6:$BH$1005,1))</f>
        <v>0</v>
      </c>
      <c r="E124" s="98" t="str">
        <f>IF(OR($B124="",N($D124)=0),"",SUMIFS('Trade Log'!$Q$6:$Q$1005,'Trade Log'!$A$6:$A$1005,$B124))</f>
        <v/>
      </c>
      <c r="F124" s="99" t="str">
        <f>IF(OR($B124="",N($D124)=0),"",IFERROR(COUNTIFS('Trade Log'!$A$6:$A$1005,$B124,'Trade Log'!$S$6:$S$1005,"Win")/(COUNTIFS('Trade Log'!$A$6:$A$1005,$B124,'Trade Log'!$S$6:$S$1005,"Win")+COUNTIFS('Trade Log'!$A$6:$A$1005,$B124,'Trade Log'!$S$6:$S$1005,"Loss")),"—"))</f>
        <v/>
      </c>
      <c r="G124" s="104" t="str">
        <f>IF(OR($B124="",N($D124)=0),"",SUMIFS('Trade Log'!$R$6:$R$1005,'Trade Log'!$A$6:$A$1005,$B124))</f>
        <v/>
      </c>
      <c r="H124" s="96" t="str">
        <f>IF(OR($B124="",N($D124)=0),"",COUNTIFS('Trade Log'!$A$6:$A$1005,$B124,'Trade Log'!$Z$6:$Z$1005,"No"))</f>
        <v/>
      </c>
      <c r="I124" s="105" t="str">
        <f>IF(OR($B124="",N($D124)=0),"",IF(AND(ISNUMBER(Settings!$C$26),N($E124)&lt;=-N(Settings!$C$26)),"Hit daily max loss. ","")&amp;IF(COUNTIFS('Trade Log'!$A$6:$A$1005,$B124,'Trade Log'!$BM$6:$BM$1005,1)&gt;0,"Kept trading after daily max loss. ","")&amp;IF(AND(ISNUMBER(Settings!$C$25),N($D124)&gt;N(Settings!$C$25)),"Over max trades. ",""))</f>
        <v/>
      </c>
      <c r="J124" s="106" t="n"/>
      <c r="K124" s="106" t="n"/>
      <c r="L124" s="106" t="n"/>
      <c r="M124" s="29" t="n"/>
      <c r="N124" s="29" t="n"/>
      <c r="O124" s="106" t="n"/>
    </row>
    <row r="125">
      <c r="B125" s="107">
        <f>IF($B124="","",$B124+IF(AND(Settings!$C$10&lt;&gt;"Yes",WEEKDAY($B124,2)&gt;=5),8-WEEKDAY($B124,2),1))</f>
        <v>46451</v>
      </c>
      <c r="C125" s="103" t="str">
        <f>IF($B125="","",CHOOSE(WEEKDAY($B125,2),"Mon","Tue","Wed","Thu","Fri","Sat","Sun"))</f>
        <v>Fri</v>
      </c>
      <c r="D125" s="96">
        <f>IF($B125="","",COUNTIFS('Trade Log'!$A$6:$A$1005,$B125,'Trade Log'!$BH$6:$BH$1005,1))</f>
        <v>0</v>
      </c>
      <c r="E125" s="98" t="str">
        <f>IF(OR($B125="",N($D125)=0),"",SUMIFS('Trade Log'!$Q$6:$Q$1005,'Trade Log'!$A$6:$A$1005,$B125))</f>
        <v/>
      </c>
      <c r="F125" s="99" t="str">
        <f>IF(OR($B125="",N($D125)=0),"",IFERROR(COUNTIFS('Trade Log'!$A$6:$A$1005,$B125,'Trade Log'!$S$6:$S$1005,"Win")/(COUNTIFS('Trade Log'!$A$6:$A$1005,$B125,'Trade Log'!$S$6:$S$1005,"Win")+COUNTIFS('Trade Log'!$A$6:$A$1005,$B125,'Trade Log'!$S$6:$S$1005,"Loss")),"—"))</f>
        <v/>
      </c>
      <c r="G125" s="104" t="str">
        <f>IF(OR($B125="",N($D125)=0),"",SUMIFS('Trade Log'!$R$6:$R$1005,'Trade Log'!$A$6:$A$1005,$B125))</f>
        <v/>
      </c>
      <c r="H125" s="96" t="str">
        <f>IF(OR($B125="",N($D125)=0),"",COUNTIFS('Trade Log'!$A$6:$A$1005,$B125,'Trade Log'!$Z$6:$Z$1005,"No"))</f>
        <v/>
      </c>
      <c r="I125" s="105" t="str">
        <f>IF(OR($B125="",N($D125)=0),"",IF(AND(ISNUMBER(Settings!$C$26),N($E125)&lt;=-N(Settings!$C$26)),"Hit daily max loss. ","")&amp;IF(COUNTIFS('Trade Log'!$A$6:$A$1005,$B125,'Trade Log'!$BM$6:$BM$1005,1)&gt;0,"Kept trading after daily max loss. ","")&amp;IF(AND(ISNUMBER(Settings!$C$25),N($D125)&gt;N(Settings!$C$25)),"Over max trades. ",""))</f>
        <v/>
      </c>
      <c r="J125" s="106" t="n"/>
      <c r="K125" s="106" t="n"/>
      <c r="L125" s="106" t="n"/>
      <c r="M125" s="29" t="n"/>
      <c r="N125" s="29" t="n"/>
      <c r="O125" s="106" t="n"/>
    </row>
    <row r="126">
      <c r="B126" s="107">
        <f>IF($B125="","",$B125+IF(AND(Settings!$C$10&lt;&gt;"Yes",WEEKDAY($B125,2)&gt;=5),8-WEEKDAY($B125,2),1))</f>
        <v>46454</v>
      </c>
      <c r="C126" s="103" t="str">
        <f>IF($B126="","",CHOOSE(WEEKDAY($B126,2),"Mon","Tue","Wed","Thu","Fri","Sat","Sun"))</f>
        <v>Mon</v>
      </c>
      <c r="D126" s="96">
        <f>IF($B126="","",COUNTIFS('Trade Log'!$A$6:$A$1005,$B126,'Trade Log'!$BH$6:$BH$1005,1))</f>
        <v>0</v>
      </c>
      <c r="E126" s="98" t="str">
        <f>IF(OR($B126="",N($D126)=0),"",SUMIFS('Trade Log'!$Q$6:$Q$1005,'Trade Log'!$A$6:$A$1005,$B126))</f>
        <v/>
      </c>
      <c r="F126" s="99" t="str">
        <f>IF(OR($B126="",N($D126)=0),"",IFERROR(COUNTIFS('Trade Log'!$A$6:$A$1005,$B126,'Trade Log'!$S$6:$S$1005,"Win")/(COUNTIFS('Trade Log'!$A$6:$A$1005,$B126,'Trade Log'!$S$6:$S$1005,"Win")+COUNTIFS('Trade Log'!$A$6:$A$1005,$B126,'Trade Log'!$S$6:$S$1005,"Loss")),"—"))</f>
        <v/>
      </c>
      <c r="G126" s="104" t="str">
        <f>IF(OR($B126="",N($D126)=0),"",SUMIFS('Trade Log'!$R$6:$R$1005,'Trade Log'!$A$6:$A$1005,$B126))</f>
        <v/>
      </c>
      <c r="H126" s="96" t="str">
        <f>IF(OR($B126="",N($D126)=0),"",COUNTIFS('Trade Log'!$A$6:$A$1005,$B126,'Trade Log'!$Z$6:$Z$1005,"No"))</f>
        <v/>
      </c>
      <c r="I126" s="105" t="str">
        <f>IF(OR($B126="",N($D126)=0),"",IF(AND(ISNUMBER(Settings!$C$26),N($E126)&lt;=-N(Settings!$C$26)),"Hit daily max loss. ","")&amp;IF(COUNTIFS('Trade Log'!$A$6:$A$1005,$B126,'Trade Log'!$BM$6:$BM$1005,1)&gt;0,"Kept trading after daily max loss. ","")&amp;IF(AND(ISNUMBER(Settings!$C$25),N($D126)&gt;N(Settings!$C$25)),"Over max trades. ",""))</f>
        <v/>
      </c>
      <c r="J126" s="106" t="n"/>
      <c r="K126" s="106" t="n"/>
      <c r="L126" s="106" t="n"/>
      <c r="M126" s="29" t="n"/>
      <c r="N126" s="29" t="n"/>
      <c r="O126" s="106" t="n"/>
    </row>
    <row r="127">
      <c r="B127" s="107">
        <f>IF($B126="","",$B126+IF(AND(Settings!$C$10&lt;&gt;"Yes",WEEKDAY($B126,2)&gt;=5),8-WEEKDAY($B126,2),1))</f>
        <v>46455</v>
      </c>
      <c r="C127" s="103" t="str">
        <f>IF($B127="","",CHOOSE(WEEKDAY($B127,2),"Mon","Tue","Wed","Thu","Fri","Sat","Sun"))</f>
        <v>Tue</v>
      </c>
      <c r="D127" s="96">
        <f>IF($B127="","",COUNTIFS('Trade Log'!$A$6:$A$1005,$B127,'Trade Log'!$BH$6:$BH$1005,1))</f>
        <v>0</v>
      </c>
      <c r="E127" s="98" t="str">
        <f>IF(OR($B127="",N($D127)=0),"",SUMIFS('Trade Log'!$Q$6:$Q$1005,'Trade Log'!$A$6:$A$1005,$B127))</f>
        <v/>
      </c>
      <c r="F127" s="99" t="str">
        <f>IF(OR($B127="",N($D127)=0),"",IFERROR(COUNTIFS('Trade Log'!$A$6:$A$1005,$B127,'Trade Log'!$S$6:$S$1005,"Win")/(COUNTIFS('Trade Log'!$A$6:$A$1005,$B127,'Trade Log'!$S$6:$S$1005,"Win")+COUNTIFS('Trade Log'!$A$6:$A$1005,$B127,'Trade Log'!$S$6:$S$1005,"Loss")),"—"))</f>
        <v/>
      </c>
      <c r="G127" s="104" t="str">
        <f>IF(OR($B127="",N($D127)=0),"",SUMIFS('Trade Log'!$R$6:$R$1005,'Trade Log'!$A$6:$A$1005,$B127))</f>
        <v/>
      </c>
      <c r="H127" s="96" t="str">
        <f>IF(OR($B127="",N($D127)=0),"",COUNTIFS('Trade Log'!$A$6:$A$1005,$B127,'Trade Log'!$Z$6:$Z$1005,"No"))</f>
        <v/>
      </c>
      <c r="I127" s="105" t="str">
        <f>IF(OR($B127="",N($D127)=0),"",IF(AND(ISNUMBER(Settings!$C$26),N($E127)&lt;=-N(Settings!$C$26)),"Hit daily max loss. ","")&amp;IF(COUNTIFS('Trade Log'!$A$6:$A$1005,$B127,'Trade Log'!$BM$6:$BM$1005,1)&gt;0,"Kept trading after daily max loss. ","")&amp;IF(AND(ISNUMBER(Settings!$C$25),N($D127)&gt;N(Settings!$C$25)),"Over max trades. ",""))</f>
        <v/>
      </c>
      <c r="J127" s="106" t="n"/>
      <c r="K127" s="106" t="n"/>
      <c r="L127" s="106" t="n"/>
      <c r="M127" s="29" t="n"/>
      <c r="N127" s="29" t="n"/>
      <c r="O127" s="106" t="n"/>
    </row>
    <row r="128">
      <c r="B128" s="107">
        <f>IF($B127="","",$B127+IF(AND(Settings!$C$10&lt;&gt;"Yes",WEEKDAY($B127,2)&gt;=5),8-WEEKDAY($B127,2),1))</f>
        <v>46456</v>
      </c>
      <c r="C128" s="103" t="str">
        <f>IF($B128="","",CHOOSE(WEEKDAY($B128,2),"Mon","Tue","Wed","Thu","Fri","Sat","Sun"))</f>
        <v>Wed</v>
      </c>
      <c r="D128" s="96">
        <f>IF($B128="","",COUNTIFS('Trade Log'!$A$6:$A$1005,$B128,'Trade Log'!$BH$6:$BH$1005,1))</f>
        <v>0</v>
      </c>
      <c r="E128" s="98" t="str">
        <f>IF(OR($B128="",N($D128)=0),"",SUMIFS('Trade Log'!$Q$6:$Q$1005,'Trade Log'!$A$6:$A$1005,$B128))</f>
        <v/>
      </c>
      <c r="F128" s="99" t="str">
        <f>IF(OR($B128="",N($D128)=0),"",IFERROR(COUNTIFS('Trade Log'!$A$6:$A$1005,$B128,'Trade Log'!$S$6:$S$1005,"Win")/(COUNTIFS('Trade Log'!$A$6:$A$1005,$B128,'Trade Log'!$S$6:$S$1005,"Win")+COUNTIFS('Trade Log'!$A$6:$A$1005,$B128,'Trade Log'!$S$6:$S$1005,"Loss")),"—"))</f>
        <v/>
      </c>
      <c r="G128" s="104" t="str">
        <f>IF(OR($B128="",N($D128)=0),"",SUMIFS('Trade Log'!$R$6:$R$1005,'Trade Log'!$A$6:$A$1005,$B128))</f>
        <v/>
      </c>
      <c r="H128" s="96" t="str">
        <f>IF(OR($B128="",N($D128)=0),"",COUNTIFS('Trade Log'!$A$6:$A$1005,$B128,'Trade Log'!$Z$6:$Z$1005,"No"))</f>
        <v/>
      </c>
      <c r="I128" s="105" t="str">
        <f>IF(OR($B128="",N($D128)=0),"",IF(AND(ISNUMBER(Settings!$C$26),N($E128)&lt;=-N(Settings!$C$26)),"Hit daily max loss. ","")&amp;IF(COUNTIFS('Trade Log'!$A$6:$A$1005,$B128,'Trade Log'!$BM$6:$BM$1005,1)&gt;0,"Kept trading after daily max loss. ","")&amp;IF(AND(ISNUMBER(Settings!$C$25),N($D128)&gt;N(Settings!$C$25)),"Over max trades. ",""))</f>
        <v/>
      </c>
      <c r="J128" s="106" t="n"/>
      <c r="K128" s="106" t="n"/>
      <c r="L128" s="106" t="n"/>
      <c r="M128" s="29" t="n"/>
      <c r="N128" s="29" t="n"/>
      <c r="O128" s="106" t="n"/>
    </row>
    <row r="129">
      <c r="B129" s="107">
        <f>IF($B128="","",$B128+IF(AND(Settings!$C$10&lt;&gt;"Yes",WEEKDAY($B128,2)&gt;=5),8-WEEKDAY($B128,2),1))</f>
        <v>46457</v>
      </c>
      <c r="C129" s="103" t="str">
        <f>IF($B129="","",CHOOSE(WEEKDAY($B129,2),"Mon","Tue","Wed","Thu","Fri","Sat","Sun"))</f>
        <v>Thu</v>
      </c>
      <c r="D129" s="96">
        <f>IF($B129="","",COUNTIFS('Trade Log'!$A$6:$A$1005,$B129,'Trade Log'!$BH$6:$BH$1005,1))</f>
        <v>0</v>
      </c>
      <c r="E129" s="98" t="str">
        <f>IF(OR($B129="",N($D129)=0),"",SUMIFS('Trade Log'!$Q$6:$Q$1005,'Trade Log'!$A$6:$A$1005,$B129))</f>
        <v/>
      </c>
      <c r="F129" s="99" t="str">
        <f>IF(OR($B129="",N($D129)=0),"",IFERROR(COUNTIFS('Trade Log'!$A$6:$A$1005,$B129,'Trade Log'!$S$6:$S$1005,"Win")/(COUNTIFS('Trade Log'!$A$6:$A$1005,$B129,'Trade Log'!$S$6:$S$1005,"Win")+COUNTIFS('Trade Log'!$A$6:$A$1005,$B129,'Trade Log'!$S$6:$S$1005,"Loss")),"—"))</f>
        <v/>
      </c>
      <c r="G129" s="104" t="str">
        <f>IF(OR($B129="",N($D129)=0),"",SUMIFS('Trade Log'!$R$6:$R$1005,'Trade Log'!$A$6:$A$1005,$B129))</f>
        <v/>
      </c>
      <c r="H129" s="96" t="str">
        <f>IF(OR($B129="",N($D129)=0),"",COUNTIFS('Trade Log'!$A$6:$A$1005,$B129,'Trade Log'!$Z$6:$Z$1005,"No"))</f>
        <v/>
      </c>
      <c r="I129" s="105" t="str">
        <f>IF(OR($B129="",N($D129)=0),"",IF(AND(ISNUMBER(Settings!$C$26),N($E129)&lt;=-N(Settings!$C$26)),"Hit daily max loss. ","")&amp;IF(COUNTIFS('Trade Log'!$A$6:$A$1005,$B129,'Trade Log'!$BM$6:$BM$1005,1)&gt;0,"Kept trading after daily max loss. ","")&amp;IF(AND(ISNUMBER(Settings!$C$25),N($D129)&gt;N(Settings!$C$25)),"Over max trades. ",""))</f>
        <v/>
      </c>
      <c r="J129" s="106" t="n"/>
      <c r="K129" s="106" t="n"/>
      <c r="L129" s="106" t="n"/>
      <c r="M129" s="29" t="n"/>
      <c r="N129" s="29" t="n"/>
      <c r="O129" s="106" t="n"/>
    </row>
    <row r="130">
      <c r="B130" s="107">
        <f>IF($B129="","",$B129+IF(AND(Settings!$C$10&lt;&gt;"Yes",WEEKDAY($B129,2)&gt;=5),8-WEEKDAY($B129,2),1))</f>
        <v>46458</v>
      </c>
      <c r="C130" s="103" t="str">
        <f>IF($B130="","",CHOOSE(WEEKDAY($B130,2),"Mon","Tue","Wed","Thu","Fri","Sat","Sun"))</f>
        <v>Fri</v>
      </c>
      <c r="D130" s="96">
        <f>IF($B130="","",COUNTIFS('Trade Log'!$A$6:$A$1005,$B130,'Trade Log'!$BH$6:$BH$1005,1))</f>
        <v>0</v>
      </c>
      <c r="E130" s="98" t="str">
        <f>IF(OR($B130="",N($D130)=0),"",SUMIFS('Trade Log'!$Q$6:$Q$1005,'Trade Log'!$A$6:$A$1005,$B130))</f>
        <v/>
      </c>
      <c r="F130" s="99" t="str">
        <f>IF(OR($B130="",N($D130)=0),"",IFERROR(COUNTIFS('Trade Log'!$A$6:$A$1005,$B130,'Trade Log'!$S$6:$S$1005,"Win")/(COUNTIFS('Trade Log'!$A$6:$A$1005,$B130,'Trade Log'!$S$6:$S$1005,"Win")+COUNTIFS('Trade Log'!$A$6:$A$1005,$B130,'Trade Log'!$S$6:$S$1005,"Loss")),"—"))</f>
        <v/>
      </c>
      <c r="G130" s="104" t="str">
        <f>IF(OR($B130="",N($D130)=0),"",SUMIFS('Trade Log'!$R$6:$R$1005,'Trade Log'!$A$6:$A$1005,$B130))</f>
        <v/>
      </c>
      <c r="H130" s="96" t="str">
        <f>IF(OR($B130="",N($D130)=0),"",COUNTIFS('Trade Log'!$A$6:$A$1005,$B130,'Trade Log'!$Z$6:$Z$1005,"No"))</f>
        <v/>
      </c>
      <c r="I130" s="105" t="str">
        <f>IF(OR($B130="",N($D130)=0),"",IF(AND(ISNUMBER(Settings!$C$26),N($E130)&lt;=-N(Settings!$C$26)),"Hit daily max loss. ","")&amp;IF(COUNTIFS('Trade Log'!$A$6:$A$1005,$B130,'Trade Log'!$BM$6:$BM$1005,1)&gt;0,"Kept trading after daily max loss. ","")&amp;IF(AND(ISNUMBER(Settings!$C$25),N($D130)&gt;N(Settings!$C$25)),"Over max trades. ",""))</f>
        <v/>
      </c>
      <c r="J130" s="106" t="n"/>
      <c r="K130" s="106" t="n"/>
      <c r="L130" s="106" t="n"/>
      <c r="M130" s="29" t="n"/>
      <c r="N130" s="29" t="n"/>
      <c r="O130" s="106" t="n"/>
    </row>
    <row r="131">
      <c r="B131" s="107">
        <f>IF($B130="","",$B130+IF(AND(Settings!$C$10&lt;&gt;"Yes",WEEKDAY($B130,2)&gt;=5),8-WEEKDAY($B130,2),1))</f>
        <v>46461</v>
      </c>
      <c r="C131" s="103" t="str">
        <f>IF($B131="","",CHOOSE(WEEKDAY($B131,2),"Mon","Tue","Wed","Thu","Fri","Sat","Sun"))</f>
        <v>Mon</v>
      </c>
      <c r="D131" s="96">
        <f>IF($B131="","",COUNTIFS('Trade Log'!$A$6:$A$1005,$B131,'Trade Log'!$BH$6:$BH$1005,1))</f>
        <v>0</v>
      </c>
      <c r="E131" s="98" t="str">
        <f>IF(OR($B131="",N($D131)=0),"",SUMIFS('Trade Log'!$Q$6:$Q$1005,'Trade Log'!$A$6:$A$1005,$B131))</f>
        <v/>
      </c>
      <c r="F131" s="99" t="str">
        <f>IF(OR($B131="",N($D131)=0),"",IFERROR(COUNTIFS('Trade Log'!$A$6:$A$1005,$B131,'Trade Log'!$S$6:$S$1005,"Win")/(COUNTIFS('Trade Log'!$A$6:$A$1005,$B131,'Trade Log'!$S$6:$S$1005,"Win")+COUNTIFS('Trade Log'!$A$6:$A$1005,$B131,'Trade Log'!$S$6:$S$1005,"Loss")),"—"))</f>
        <v/>
      </c>
      <c r="G131" s="104" t="str">
        <f>IF(OR($B131="",N($D131)=0),"",SUMIFS('Trade Log'!$R$6:$R$1005,'Trade Log'!$A$6:$A$1005,$B131))</f>
        <v/>
      </c>
      <c r="H131" s="96" t="str">
        <f>IF(OR($B131="",N($D131)=0),"",COUNTIFS('Trade Log'!$A$6:$A$1005,$B131,'Trade Log'!$Z$6:$Z$1005,"No"))</f>
        <v/>
      </c>
      <c r="I131" s="105" t="str">
        <f>IF(OR($B131="",N($D131)=0),"",IF(AND(ISNUMBER(Settings!$C$26),N($E131)&lt;=-N(Settings!$C$26)),"Hit daily max loss. ","")&amp;IF(COUNTIFS('Trade Log'!$A$6:$A$1005,$B131,'Trade Log'!$BM$6:$BM$1005,1)&gt;0,"Kept trading after daily max loss. ","")&amp;IF(AND(ISNUMBER(Settings!$C$25),N($D131)&gt;N(Settings!$C$25)),"Over max trades. ",""))</f>
        <v/>
      </c>
      <c r="J131" s="106" t="n"/>
      <c r="K131" s="106" t="n"/>
      <c r="L131" s="106" t="n"/>
      <c r="M131" s="29" t="n"/>
      <c r="N131" s="29" t="n"/>
      <c r="O131" s="106" t="n"/>
    </row>
    <row r="132">
      <c r="B132" s="107">
        <f>IF($B131="","",$B131+IF(AND(Settings!$C$10&lt;&gt;"Yes",WEEKDAY($B131,2)&gt;=5),8-WEEKDAY($B131,2),1))</f>
        <v>46462</v>
      </c>
      <c r="C132" s="103" t="str">
        <f>IF($B132="","",CHOOSE(WEEKDAY($B132,2),"Mon","Tue","Wed","Thu","Fri","Sat","Sun"))</f>
        <v>Tue</v>
      </c>
      <c r="D132" s="96">
        <f>IF($B132="","",COUNTIFS('Trade Log'!$A$6:$A$1005,$B132,'Trade Log'!$BH$6:$BH$1005,1))</f>
        <v>0</v>
      </c>
      <c r="E132" s="98" t="str">
        <f>IF(OR($B132="",N($D132)=0),"",SUMIFS('Trade Log'!$Q$6:$Q$1005,'Trade Log'!$A$6:$A$1005,$B132))</f>
        <v/>
      </c>
      <c r="F132" s="99" t="str">
        <f>IF(OR($B132="",N($D132)=0),"",IFERROR(COUNTIFS('Trade Log'!$A$6:$A$1005,$B132,'Trade Log'!$S$6:$S$1005,"Win")/(COUNTIFS('Trade Log'!$A$6:$A$1005,$B132,'Trade Log'!$S$6:$S$1005,"Win")+COUNTIFS('Trade Log'!$A$6:$A$1005,$B132,'Trade Log'!$S$6:$S$1005,"Loss")),"—"))</f>
        <v/>
      </c>
      <c r="G132" s="104" t="str">
        <f>IF(OR($B132="",N($D132)=0),"",SUMIFS('Trade Log'!$R$6:$R$1005,'Trade Log'!$A$6:$A$1005,$B132))</f>
        <v/>
      </c>
      <c r="H132" s="96" t="str">
        <f>IF(OR($B132="",N($D132)=0),"",COUNTIFS('Trade Log'!$A$6:$A$1005,$B132,'Trade Log'!$Z$6:$Z$1005,"No"))</f>
        <v/>
      </c>
      <c r="I132" s="105" t="str">
        <f>IF(OR($B132="",N($D132)=0),"",IF(AND(ISNUMBER(Settings!$C$26),N($E132)&lt;=-N(Settings!$C$26)),"Hit daily max loss. ","")&amp;IF(COUNTIFS('Trade Log'!$A$6:$A$1005,$B132,'Trade Log'!$BM$6:$BM$1005,1)&gt;0,"Kept trading after daily max loss. ","")&amp;IF(AND(ISNUMBER(Settings!$C$25),N($D132)&gt;N(Settings!$C$25)),"Over max trades. ",""))</f>
        <v/>
      </c>
      <c r="J132" s="106" t="n"/>
      <c r="K132" s="106" t="n"/>
      <c r="L132" s="106" t="n"/>
      <c r="M132" s="29" t="n"/>
      <c r="N132" s="29" t="n"/>
      <c r="O132" s="106" t="n"/>
    </row>
    <row r="133">
      <c r="B133" s="107">
        <f>IF($B132="","",$B132+IF(AND(Settings!$C$10&lt;&gt;"Yes",WEEKDAY($B132,2)&gt;=5),8-WEEKDAY($B132,2),1))</f>
        <v>46463</v>
      </c>
      <c r="C133" s="103" t="str">
        <f>IF($B133="","",CHOOSE(WEEKDAY($B133,2),"Mon","Tue","Wed","Thu","Fri","Sat","Sun"))</f>
        <v>Wed</v>
      </c>
      <c r="D133" s="96">
        <f>IF($B133="","",COUNTIFS('Trade Log'!$A$6:$A$1005,$B133,'Trade Log'!$BH$6:$BH$1005,1))</f>
        <v>0</v>
      </c>
      <c r="E133" s="98" t="str">
        <f>IF(OR($B133="",N($D133)=0),"",SUMIFS('Trade Log'!$Q$6:$Q$1005,'Trade Log'!$A$6:$A$1005,$B133))</f>
        <v/>
      </c>
      <c r="F133" s="99" t="str">
        <f>IF(OR($B133="",N($D133)=0),"",IFERROR(COUNTIFS('Trade Log'!$A$6:$A$1005,$B133,'Trade Log'!$S$6:$S$1005,"Win")/(COUNTIFS('Trade Log'!$A$6:$A$1005,$B133,'Trade Log'!$S$6:$S$1005,"Win")+COUNTIFS('Trade Log'!$A$6:$A$1005,$B133,'Trade Log'!$S$6:$S$1005,"Loss")),"—"))</f>
        <v/>
      </c>
      <c r="G133" s="104" t="str">
        <f>IF(OR($B133="",N($D133)=0),"",SUMIFS('Trade Log'!$R$6:$R$1005,'Trade Log'!$A$6:$A$1005,$B133))</f>
        <v/>
      </c>
      <c r="H133" s="96" t="str">
        <f>IF(OR($B133="",N($D133)=0),"",COUNTIFS('Trade Log'!$A$6:$A$1005,$B133,'Trade Log'!$Z$6:$Z$1005,"No"))</f>
        <v/>
      </c>
      <c r="I133" s="105" t="str">
        <f>IF(OR($B133="",N($D133)=0),"",IF(AND(ISNUMBER(Settings!$C$26),N($E133)&lt;=-N(Settings!$C$26)),"Hit daily max loss. ","")&amp;IF(COUNTIFS('Trade Log'!$A$6:$A$1005,$B133,'Trade Log'!$BM$6:$BM$1005,1)&gt;0,"Kept trading after daily max loss. ","")&amp;IF(AND(ISNUMBER(Settings!$C$25),N($D133)&gt;N(Settings!$C$25)),"Over max trades. ",""))</f>
        <v/>
      </c>
      <c r="J133" s="106" t="n"/>
      <c r="K133" s="106" t="n"/>
      <c r="L133" s="106" t="n"/>
      <c r="M133" s="29" t="n"/>
      <c r="N133" s="29" t="n"/>
      <c r="O133" s="106" t="n"/>
    </row>
    <row r="134">
      <c r="B134" s="107">
        <f>IF($B133="","",$B133+IF(AND(Settings!$C$10&lt;&gt;"Yes",WEEKDAY($B133,2)&gt;=5),8-WEEKDAY($B133,2),1))</f>
        <v>46464</v>
      </c>
      <c r="C134" s="103" t="str">
        <f>IF($B134="","",CHOOSE(WEEKDAY($B134,2),"Mon","Tue","Wed","Thu","Fri","Sat","Sun"))</f>
        <v>Thu</v>
      </c>
      <c r="D134" s="96">
        <f>IF($B134="","",COUNTIFS('Trade Log'!$A$6:$A$1005,$B134,'Trade Log'!$BH$6:$BH$1005,1))</f>
        <v>0</v>
      </c>
      <c r="E134" s="98" t="str">
        <f>IF(OR($B134="",N($D134)=0),"",SUMIFS('Trade Log'!$Q$6:$Q$1005,'Trade Log'!$A$6:$A$1005,$B134))</f>
        <v/>
      </c>
      <c r="F134" s="99" t="str">
        <f>IF(OR($B134="",N($D134)=0),"",IFERROR(COUNTIFS('Trade Log'!$A$6:$A$1005,$B134,'Trade Log'!$S$6:$S$1005,"Win")/(COUNTIFS('Trade Log'!$A$6:$A$1005,$B134,'Trade Log'!$S$6:$S$1005,"Win")+COUNTIFS('Trade Log'!$A$6:$A$1005,$B134,'Trade Log'!$S$6:$S$1005,"Loss")),"—"))</f>
        <v/>
      </c>
      <c r="G134" s="104" t="str">
        <f>IF(OR($B134="",N($D134)=0),"",SUMIFS('Trade Log'!$R$6:$R$1005,'Trade Log'!$A$6:$A$1005,$B134))</f>
        <v/>
      </c>
      <c r="H134" s="96" t="str">
        <f>IF(OR($B134="",N($D134)=0),"",COUNTIFS('Trade Log'!$A$6:$A$1005,$B134,'Trade Log'!$Z$6:$Z$1005,"No"))</f>
        <v/>
      </c>
      <c r="I134" s="105" t="str">
        <f>IF(OR($B134="",N($D134)=0),"",IF(AND(ISNUMBER(Settings!$C$26),N($E134)&lt;=-N(Settings!$C$26)),"Hit daily max loss. ","")&amp;IF(COUNTIFS('Trade Log'!$A$6:$A$1005,$B134,'Trade Log'!$BM$6:$BM$1005,1)&gt;0,"Kept trading after daily max loss. ","")&amp;IF(AND(ISNUMBER(Settings!$C$25),N($D134)&gt;N(Settings!$C$25)),"Over max trades. ",""))</f>
        <v/>
      </c>
      <c r="J134" s="106" t="n"/>
      <c r="K134" s="106" t="n"/>
      <c r="L134" s="106" t="n"/>
      <c r="M134" s="29" t="n"/>
      <c r="N134" s="29" t="n"/>
      <c r="O134" s="106" t="n"/>
    </row>
    <row r="135">
      <c r="B135" s="107">
        <f>IF($B134="","",$B134+IF(AND(Settings!$C$10&lt;&gt;"Yes",WEEKDAY($B134,2)&gt;=5),8-WEEKDAY($B134,2),1))</f>
        <v>46465</v>
      </c>
      <c r="C135" s="103" t="str">
        <f>IF($B135="","",CHOOSE(WEEKDAY($B135,2),"Mon","Tue","Wed","Thu","Fri","Sat","Sun"))</f>
        <v>Fri</v>
      </c>
      <c r="D135" s="96">
        <f>IF($B135="","",COUNTIFS('Trade Log'!$A$6:$A$1005,$B135,'Trade Log'!$BH$6:$BH$1005,1))</f>
        <v>0</v>
      </c>
      <c r="E135" s="98" t="str">
        <f>IF(OR($B135="",N($D135)=0),"",SUMIFS('Trade Log'!$Q$6:$Q$1005,'Trade Log'!$A$6:$A$1005,$B135))</f>
        <v/>
      </c>
      <c r="F135" s="99" t="str">
        <f>IF(OR($B135="",N($D135)=0),"",IFERROR(COUNTIFS('Trade Log'!$A$6:$A$1005,$B135,'Trade Log'!$S$6:$S$1005,"Win")/(COUNTIFS('Trade Log'!$A$6:$A$1005,$B135,'Trade Log'!$S$6:$S$1005,"Win")+COUNTIFS('Trade Log'!$A$6:$A$1005,$B135,'Trade Log'!$S$6:$S$1005,"Loss")),"—"))</f>
        <v/>
      </c>
      <c r="G135" s="104" t="str">
        <f>IF(OR($B135="",N($D135)=0),"",SUMIFS('Trade Log'!$R$6:$R$1005,'Trade Log'!$A$6:$A$1005,$B135))</f>
        <v/>
      </c>
      <c r="H135" s="96" t="str">
        <f>IF(OR($B135="",N($D135)=0),"",COUNTIFS('Trade Log'!$A$6:$A$1005,$B135,'Trade Log'!$Z$6:$Z$1005,"No"))</f>
        <v/>
      </c>
      <c r="I135" s="105" t="str">
        <f>IF(OR($B135="",N($D135)=0),"",IF(AND(ISNUMBER(Settings!$C$26),N($E135)&lt;=-N(Settings!$C$26)),"Hit daily max loss. ","")&amp;IF(COUNTIFS('Trade Log'!$A$6:$A$1005,$B135,'Trade Log'!$BM$6:$BM$1005,1)&gt;0,"Kept trading after daily max loss. ","")&amp;IF(AND(ISNUMBER(Settings!$C$25),N($D135)&gt;N(Settings!$C$25)),"Over max trades. ",""))</f>
        <v/>
      </c>
      <c r="J135" s="106" t="n"/>
      <c r="K135" s="106" t="n"/>
      <c r="L135" s="106" t="n"/>
      <c r="M135" s="29" t="n"/>
      <c r="N135" s="29" t="n"/>
      <c r="O135" s="106" t="n"/>
    </row>
    <row r="136">
      <c r="B136" s="107">
        <f>IF($B135="","",$B135+IF(AND(Settings!$C$10&lt;&gt;"Yes",WEEKDAY($B135,2)&gt;=5),8-WEEKDAY($B135,2),1))</f>
        <v>46468</v>
      </c>
      <c r="C136" s="103" t="str">
        <f>IF($B136="","",CHOOSE(WEEKDAY($B136,2),"Mon","Tue","Wed","Thu","Fri","Sat","Sun"))</f>
        <v>Mon</v>
      </c>
      <c r="D136" s="96">
        <f>IF($B136="","",COUNTIFS('Trade Log'!$A$6:$A$1005,$B136,'Trade Log'!$BH$6:$BH$1005,1))</f>
        <v>0</v>
      </c>
      <c r="E136" s="98" t="str">
        <f>IF(OR($B136="",N($D136)=0),"",SUMIFS('Trade Log'!$Q$6:$Q$1005,'Trade Log'!$A$6:$A$1005,$B136))</f>
        <v/>
      </c>
      <c r="F136" s="99" t="str">
        <f>IF(OR($B136="",N($D136)=0),"",IFERROR(COUNTIFS('Trade Log'!$A$6:$A$1005,$B136,'Trade Log'!$S$6:$S$1005,"Win")/(COUNTIFS('Trade Log'!$A$6:$A$1005,$B136,'Trade Log'!$S$6:$S$1005,"Win")+COUNTIFS('Trade Log'!$A$6:$A$1005,$B136,'Trade Log'!$S$6:$S$1005,"Loss")),"—"))</f>
        <v/>
      </c>
      <c r="G136" s="104" t="str">
        <f>IF(OR($B136="",N($D136)=0),"",SUMIFS('Trade Log'!$R$6:$R$1005,'Trade Log'!$A$6:$A$1005,$B136))</f>
        <v/>
      </c>
      <c r="H136" s="96" t="str">
        <f>IF(OR($B136="",N($D136)=0),"",COUNTIFS('Trade Log'!$A$6:$A$1005,$B136,'Trade Log'!$Z$6:$Z$1005,"No"))</f>
        <v/>
      </c>
      <c r="I136" s="105" t="str">
        <f>IF(OR($B136="",N($D136)=0),"",IF(AND(ISNUMBER(Settings!$C$26),N($E136)&lt;=-N(Settings!$C$26)),"Hit daily max loss. ","")&amp;IF(COUNTIFS('Trade Log'!$A$6:$A$1005,$B136,'Trade Log'!$BM$6:$BM$1005,1)&gt;0,"Kept trading after daily max loss. ","")&amp;IF(AND(ISNUMBER(Settings!$C$25),N($D136)&gt;N(Settings!$C$25)),"Over max trades. ",""))</f>
        <v/>
      </c>
      <c r="J136" s="106" t="n"/>
      <c r="K136" s="106" t="n"/>
      <c r="L136" s="106" t="n"/>
      <c r="M136" s="29" t="n"/>
      <c r="N136" s="29" t="n"/>
      <c r="O136" s="106" t="n"/>
    </row>
    <row r="137">
      <c r="B137" s="107">
        <f>IF($B136="","",$B136+IF(AND(Settings!$C$10&lt;&gt;"Yes",WEEKDAY($B136,2)&gt;=5),8-WEEKDAY($B136,2),1))</f>
        <v>46469</v>
      </c>
      <c r="C137" s="103" t="str">
        <f>IF($B137="","",CHOOSE(WEEKDAY($B137,2),"Mon","Tue","Wed","Thu","Fri","Sat","Sun"))</f>
        <v>Tue</v>
      </c>
      <c r="D137" s="96">
        <f>IF($B137="","",COUNTIFS('Trade Log'!$A$6:$A$1005,$B137,'Trade Log'!$BH$6:$BH$1005,1))</f>
        <v>0</v>
      </c>
      <c r="E137" s="98" t="str">
        <f>IF(OR($B137="",N($D137)=0),"",SUMIFS('Trade Log'!$Q$6:$Q$1005,'Trade Log'!$A$6:$A$1005,$B137))</f>
        <v/>
      </c>
      <c r="F137" s="99" t="str">
        <f>IF(OR($B137="",N($D137)=0),"",IFERROR(COUNTIFS('Trade Log'!$A$6:$A$1005,$B137,'Trade Log'!$S$6:$S$1005,"Win")/(COUNTIFS('Trade Log'!$A$6:$A$1005,$B137,'Trade Log'!$S$6:$S$1005,"Win")+COUNTIFS('Trade Log'!$A$6:$A$1005,$B137,'Trade Log'!$S$6:$S$1005,"Loss")),"—"))</f>
        <v/>
      </c>
      <c r="G137" s="104" t="str">
        <f>IF(OR($B137="",N($D137)=0),"",SUMIFS('Trade Log'!$R$6:$R$1005,'Trade Log'!$A$6:$A$1005,$B137))</f>
        <v/>
      </c>
      <c r="H137" s="96" t="str">
        <f>IF(OR($B137="",N($D137)=0),"",COUNTIFS('Trade Log'!$A$6:$A$1005,$B137,'Trade Log'!$Z$6:$Z$1005,"No"))</f>
        <v/>
      </c>
      <c r="I137" s="105" t="str">
        <f>IF(OR($B137="",N($D137)=0),"",IF(AND(ISNUMBER(Settings!$C$26),N($E137)&lt;=-N(Settings!$C$26)),"Hit daily max loss. ","")&amp;IF(COUNTIFS('Trade Log'!$A$6:$A$1005,$B137,'Trade Log'!$BM$6:$BM$1005,1)&gt;0,"Kept trading after daily max loss. ","")&amp;IF(AND(ISNUMBER(Settings!$C$25),N($D137)&gt;N(Settings!$C$25)),"Over max trades. ",""))</f>
        <v/>
      </c>
      <c r="J137" s="106" t="n"/>
      <c r="K137" s="106" t="n"/>
      <c r="L137" s="106" t="n"/>
      <c r="M137" s="29" t="n"/>
      <c r="N137" s="29" t="n"/>
      <c r="O137" s="106" t="n"/>
    </row>
    <row r="138">
      <c r="B138" s="107">
        <f>IF($B137="","",$B137+IF(AND(Settings!$C$10&lt;&gt;"Yes",WEEKDAY($B137,2)&gt;=5),8-WEEKDAY($B137,2),1))</f>
        <v>46470</v>
      </c>
      <c r="C138" s="103" t="str">
        <f>IF($B138="","",CHOOSE(WEEKDAY($B138,2),"Mon","Tue","Wed","Thu","Fri","Sat","Sun"))</f>
        <v>Wed</v>
      </c>
      <c r="D138" s="96">
        <f>IF($B138="","",COUNTIFS('Trade Log'!$A$6:$A$1005,$B138,'Trade Log'!$BH$6:$BH$1005,1))</f>
        <v>0</v>
      </c>
      <c r="E138" s="98" t="str">
        <f>IF(OR($B138="",N($D138)=0),"",SUMIFS('Trade Log'!$Q$6:$Q$1005,'Trade Log'!$A$6:$A$1005,$B138))</f>
        <v/>
      </c>
      <c r="F138" s="99" t="str">
        <f>IF(OR($B138="",N($D138)=0),"",IFERROR(COUNTIFS('Trade Log'!$A$6:$A$1005,$B138,'Trade Log'!$S$6:$S$1005,"Win")/(COUNTIFS('Trade Log'!$A$6:$A$1005,$B138,'Trade Log'!$S$6:$S$1005,"Win")+COUNTIFS('Trade Log'!$A$6:$A$1005,$B138,'Trade Log'!$S$6:$S$1005,"Loss")),"—"))</f>
        <v/>
      </c>
      <c r="G138" s="104" t="str">
        <f>IF(OR($B138="",N($D138)=0),"",SUMIFS('Trade Log'!$R$6:$R$1005,'Trade Log'!$A$6:$A$1005,$B138))</f>
        <v/>
      </c>
      <c r="H138" s="96" t="str">
        <f>IF(OR($B138="",N($D138)=0),"",COUNTIFS('Trade Log'!$A$6:$A$1005,$B138,'Trade Log'!$Z$6:$Z$1005,"No"))</f>
        <v/>
      </c>
      <c r="I138" s="105" t="str">
        <f>IF(OR($B138="",N($D138)=0),"",IF(AND(ISNUMBER(Settings!$C$26),N($E138)&lt;=-N(Settings!$C$26)),"Hit daily max loss. ","")&amp;IF(COUNTIFS('Trade Log'!$A$6:$A$1005,$B138,'Trade Log'!$BM$6:$BM$1005,1)&gt;0,"Kept trading after daily max loss. ","")&amp;IF(AND(ISNUMBER(Settings!$C$25),N($D138)&gt;N(Settings!$C$25)),"Over max trades. ",""))</f>
        <v/>
      </c>
      <c r="J138" s="106" t="n"/>
      <c r="K138" s="106" t="n"/>
      <c r="L138" s="106" t="n"/>
      <c r="M138" s="29" t="n"/>
      <c r="N138" s="29" t="n"/>
      <c r="O138" s="106" t="n"/>
    </row>
    <row r="139">
      <c r="B139" s="107">
        <f>IF($B138="","",$B138+IF(AND(Settings!$C$10&lt;&gt;"Yes",WEEKDAY($B138,2)&gt;=5),8-WEEKDAY($B138,2),1))</f>
        <v>46471</v>
      </c>
      <c r="C139" s="103" t="str">
        <f>IF($B139="","",CHOOSE(WEEKDAY($B139,2),"Mon","Tue","Wed","Thu","Fri","Sat","Sun"))</f>
        <v>Thu</v>
      </c>
      <c r="D139" s="96">
        <f>IF($B139="","",COUNTIFS('Trade Log'!$A$6:$A$1005,$B139,'Trade Log'!$BH$6:$BH$1005,1))</f>
        <v>0</v>
      </c>
      <c r="E139" s="98" t="str">
        <f>IF(OR($B139="",N($D139)=0),"",SUMIFS('Trade Log'!$Q$6:$Q$1005,'Trade Log'!$A$6:$A$1005,$B139))</f>
        <v/>
      </c>
      <c r="F139" s="99" t="str">
        <f>IF(OR($B139="",N($D139)=0),"",IFERROR(COUNTIFS('Trade Log'!$A$6:$A$1005,$B139,'Trade Log'!$S$6:$S$1005,"Win")/(COUNTIFS('Trade Log'!$A$6:$A$1005,$B139,'Trade Log'!$S$6:$S$1005,"Win")+COUNTIFS('Trade Log'!$A$6:$A$1005,$B139,'Trade Log'!$S$6:$S$1005,"Loss")),"—"))</f>
        <v/>
      </c>
      <c r="G139" s="104" t="str">
        <f>IF(OR($B139="",N($D139)=0),"",SUMIFS('Trade Log'!$R$6:$R$1005,'Trade Log'!$A$6:$A$1005,$B139))</f>
        <v/>
      </c>
      <c r="H139" s="96" t="str">
        <f>IF(OR($B139="",N($D139)=0),"",COUNTIFS('Trade Log'!$A$6:$A$1005,$B139,'Trade Log'!$Z$6:$Z$1005,"No"))</f>
        <v/>
      </c>
      <c r="I139" s="105" t="str">
        <f>IF(OR($B139="",N($D139)=0),"",IF(AND(ISNUMBER(Settings!$C$26),N($E139)&lt;=-N(Settings!$C$26)),"Hit daily max loss. ","")&amp;IF(COUNTIFS('Trade Log'!$A$6:$A$1005,$B139,'Trade Log'!$BM$6:$BM$1005,1)&gt;0,"Kept trading after daily max loss. ","")&amp;IF(AND(ISNUMBER(Settings!$C$25),N($D139)&gt;N(Settings!$C$25)),"Over max trades. ",""))</f>
        <v/>
      </c>
      <c r="J139" s="106" t="n"/>
      <c r="K139" s="106" t="n"/>
      <c r="L139" s="106" t="n"/>
      <c r="M139" s="29" t="n"/>
      <c r="N139" s="29" t="n"/>
      <c r="O139" s="106" t="n"/>
    </row>
    <row r="140">
      <c r="B140" s="107">
        <f>IF($B139="","",$B139+IF(AND(Settings!$C$10&lt;&gt;"Yes",WEEKDAY($B139,2)&gt;=5),8-WEEKDAY($B139,2),1))</f>
        <v>46472</v>
      </c>
      <c r="C140" s="103" t="str">
        <f>IF($B140="","",CHOOSE(WEEKDAY($B140,2),"Mon","Tue","Wed","Thu","Fri","Sat","Sun"))</f>
        <v>Fri</v>
      </c>
      <c r="D140" s="96">
        <f>IF($B140="","",COUNTIFS('Trade Log'!$A$6:$A$1005,$B140,'Trade Log'!$BH$6:$BH$1005,1))</f>
        <v>0</v>
      </c>
      <c r="E140" s="98" t="str">
        <f>IF(OR($B140="",N($D140)=0),"",SUMIFS('Trade Log'!$Q$6:$Q$1005,'Trade Log'!$A$6:$A$1005,$B140))</f>
        <v/>
      </c>
      <c r="F140" s="99" t="str">
        <f>IF(OR($B140="",N($D140)=0),"",IFERROR(COUNTIFS('Trade Log'!$A$6:$A$1005,$B140,'Trade Log'!$S$6:$S$1005,"Win")/(COUNTIFS('Trade Log'!$A$6:$A$1005,$B140,'Trade Log'!$S$6:$S$1005,"Win")+COUNTIFS('Trade Log'!$A$6:$A$1005,$B140,'Trade Log'!$S$6:$S$1005,"Loss")),"—"))</f>
        <v/>
      </c>
      <c r="G140" s="104" t="str">
        <f>IF(OR($B140="",N($D140)=0),"",SUMIFS('Trade Log'!$R$6:$R$1005,'Trade Log'!$A$6:$A$1005,$B140))</f>
        <v/>
      </c>
      <c r="H140" s="96" t="str">
        <f>IF(OR($B140="",N($D140)=0),"",COUNTIFS('Trade Log'!$A$6:$A$1005,$B140,'Trade Log'!$Z$6:$Z$1005,"No"))</f>
        <v/>
      </c>
      <c r="I140" s="105" t="str">
        <f>IF(OR($B140="",N($D140)=0),"",IF(AND(ISNUMBER(Settings!$C$26),N($E140)&lt;=-N(Settings!$C$26)),"Hit daily max loss. ","")&amp;IF(COUNTIFS('Trade Log'!$A$6:$A$1005,$B140,'Trade Log'!$BM$6:$BM$1005,1)&gt;0,"Kept trading after daily max loss. ","")&amp;IF(AND(ISNUMBER(Settings!$C$25),N($D140)&gt;N(Settings!$C$25)),"Over max trades. ",""))</f>
        <v/>
      </c>
      <c r="J140" s="106" t="n"/>
      <c r="K140" s="106" t="n"/>
      <c r="L140" s="106" t="n"/>
      <c r="M140" s="29" t="n"/>
      <c r="N140" s="29" t="n"/>
      <c r="O140" s="106" t="n"/>
    </row>
    <row r="141">
      <c r="B141" s="107">
        <f>IF($B140="","",$B140+IF(AND(Settings!$C$10&lt;&gt;"Yes",WEEKDAY($B140,2)&gt;=5),8-WEEKDAY($B140,2),1))</f>
        <v>46475</v>
      </c>
      <c r="C141" s="103" t="str">
        <f>IF($B141="","",CHOOSE(WEEKDAY($B141,2),"Mon","Tue","Wed","Thu","Fri","Sat","Sun"))</f>
        <v>Mon</v>
      </c>
      <c r="D141" s="96">
        <f>IF($B141="","",COUNTIFS('Trade Log'!$A$6:$A$1005,$B141,'Trade Log'!$BH$6:$BH$1005,1))</f>
        <v>0</v>
      </c>
      <c r="E141" s="98" t="str">
        <f>IF(OR($B141="",N($D141)=0),"",SUMIFS('Trade Log'!$Q$6:$Q$1005,'Trade Log'!$A$6:$A$1005,$B141))</f>
        <v/>
      </c>
      <c r="F141" s="99" t="str">
        <f>IF(OR($B141="",N($D141)=0),"",IFERROR(COUNTIFS('Trade Log'!$A$6:$A$1005,$B141,'Trade Log'!$S$6:$S$1005,"Win")/(COUNTIFS('Trade Log'!$A$6:$A$1005,$B141,'Trade Log'!$S$6:$S$1005,"Win")+COUNTIFS('Trade Log'!$A$6:$A$1005,$B141,'Trade Log'!$S$6:$S$1005,"Loss")),"—"))</f>
        <v/>
      </c>
      <c r="G141" s="104" t="str">
        <f>IF(OR($B141="",N($D141)=0),"",SUMIFS('Trade Log'!$R$6:$R$1005,'Trade Log'!$A$6:$A$1005,$B141))</f>
        <v/>
      </c>
      <c r="H141" s="96" t="str">
        <f>IF(OR($B141="",N($D141)=0),"",COUNTIFS('Trade Log'!$A$6:$A$1005,$B141,'Trade Log'!$Z$6:$Z$1005,"No"))</f>
        <v/>
      </c>
      <c r="I141" s="105" t="str">
        <f>IF(OR($B141="",N($D141)=0),"",IF(AND(ISNUMBER(Settings!$C$26),N($E141)&lt;=-N(Settings!$C$26)),"Hit daily max loss. ","")&amp;IF(COUNTIFS('Trade Log'!$A$6:$A$1005,$B141,'Trade Log'!$BM$6:$BM$1005,1)&gt;0,"Kept trading after daily max loss. ","")&amp;IF(AND(ISNUMBER(Settings!$C$25),N($D141)&gt;N(Settings!$C$25)),"Over max trades. ",""))</f>
        <v/>
      </c>
      <c r="J141" s="106" t="n"/>
      <c r="K141" s="106" t="n"/>
      <c r="L141" s="106" t="n"/>
      <c r="M141" s="29" t="n"/>
      <c r="N141" s="29" t="n"/>
      <c r="O141" s="106" t="n"/>
    </row>
    <row r="142">
      <c r="B142" s="107">
        <f>IF($B141="","",$B141+IF(AND(Settings!$C$10&lt;&gt;"Yes",WEEKDAY($B141,2)&gt;=5),8-WEEKDAY($B141,2),1))</f>
        <v>46476</v>
      </c>
      <c r="C142" s="103" t="str">
        <f>IF($B142="","",CHOOSE(WEEKDAY($B142,2),"Mon","Tue","Wed","Thu","Fri","Sat","Sun"))</f>
        <v>Tue</v>
      </c>
      <c r="D142" s="96">
        <f>IF($B142="","",COUNTIFS('Trade Log'!$A$6:$A$1005,$B142,'Trade Log'!$BH$6:$BH$1005,1))</f>
        <v>0</v>
      </c>
      <c r="E142" s="98" t="str">
        <f>IF(OR($B142="",N($D142)=0),"",SUMIFS('Trade Log'!$Q$6:$Q$1005,'Trade Log'!$A$6:$A$1005,$B142))</f>
        <v/>
      </c>
      <c r="F142" s="99" t="str">
        <f>IF(OR($B142="",N($D142)=0),"",IFERROR(COUNTIFS('Trade Log'!$A$6:$A$1005,$B142,'Trade Log'!$S$6:$S$1005,"Win")/(COUNTIFS('Trade Log'!$A$6:$A$1005,$B142,'Trade Log'!$S$6:$S$1005,"Win")+COUNTIFS('Trade Log'!$A$6:$A$1005,$B142,'Trade Log'!$S$6:$S$1005,"Loss")),"—"))</f>
        <v/>
      </c>
      <c r="G142" s="104" t="str">
        <f>IF(OR($B142="",N($D142)=0),"",SUMIFS('Trade Log'!$R$6:$R$1005,'Trade Log'!$A$6:$A$1005,$B142))</f>
        <v/>
      </c>
      <c r="H142" s="96" t="str">
        <f>IF(OR($B142="",N($D142)=0),"",COUNTIFS('Trade Log'!$A$6:$A$1005,$B142,'Trade Log'!$Z$6:$Z$1005,"No"))</f>
        <v/>
      </c>
      <c r="I142" s="105" t="str">
        <f>IF(OR($B142="",N($D142)=0),"",IF(AND(ISNUMBER(Settings!$C$26),N($E142)&lt;=-N(Settings!$C$26)),"Hit daily max loss. ","")&amp;IF(COUNTIFS('Trade Log'!$A$6:$A$1005,$B142,'Trade Log'!$BM$6:$BM$1005,1)&gt;0,"Kept trading after daily max loss. ","")&amp;IF(AND(ISNUMBER(Settings!$C$25),N($D142)&gt;N(Settings!$C$25)),"Over max trades. ",""))</f>
        <v/>
      </c>
      <c r="J142" s="106" t="n"/>
      <c r="K142" s="106" t="n"/>
      <c r="L142" s="106" t="n"/>
      <c r="M142" s="29" t="n"/>
      <c r="N142" s="29" t="n"/>
      <c r="O142" s="106" t="n"/>
    </row>
    <row r="143">
      <c r="B143" s="107">
        <f>IF($B142="","",$B142+IF(AND(Settings!$C$10&lt;&gt;"Yes",WEEKDAY($B142,2)&gt;=5),8-WEEKDAY($B142,2),1))</f>
        <v>46477</v>
      </c>
      <c r="C143" s="103" t="str">
        <f>IF($B143="","",CHOOSE(WEEKDAY($B143,2),"Mon","Tue","Wed","Thu","Fri","Sat","Sun"))</f>
        <v>Wed</v>
      </c>
      <c r="D143" s="96">
        <f>IF($B143="","",COUNTIFS('Trade Log'!$A$6:$A$1005,$B143,'Trade Log'!$BH$6:$BH$1005,1))</f>
        <v>0</v>
      </c>
      <c r="E143" s="98" t="str">
        <f>IF(OR($B143="",N($D143)=0),"",SUMIFS('Trade Log'!$Q$6:$Q$1005,'Trade Log'!$A$6:$A$1005,$B143))</f>
        <v/>
      </c>
      <c r="F143" s="99" t="str">
        <f>IF(OR($B143="",N($D143)=0),"",IFERROR(COUNTIFS('Trade Log'!$A$6:$A$1005,$B143,'Trade Log'!$S$6:$S$1005,"Win")/(COUNTIFS('Trade Log'!$A$6:$A$1005,$B143,'Trade Log'!$S$6:$S$1005,"Win")+COUNTIFS('Trade Log'!$A$6:$A$1005,$B143,'Trade Log'!$S$6:$S$1005,"Loss")),"—"))</f>
        <v/>
      </c>
      <c r="G143" s="104" t="str">
        <f>IF(OR($B143="",N($D143)=0),"",SUMIFS('Trade Log'!$R$6:$R$1005,'Trade Log'!$A$6:$A$1005,$B143))</f>
        <v/>
      </c>
      <c r="H143" s="96" t="str">
        <f>IF(OR($B143="",N($D143)=0),"",COUNTIFS('Trade Log'!$A$6:$A$1005,$B143,'Trade Log'!$Z$6:$Z$1005,"No"))</f>
        <v/>
      </c>
      <c r="I143" s="105" t="str">
        <f>IF(OR($B143="",N($D143)=0),"",IF(AND(ISNUMBER(Settings!$C$26),N($E143)&lt;=-N(Settings!$C$26)),"Hit daily max loss. ","")&amp;IF(COUNTIFS('Trade Log'!$A$6:$A$1005,$B143,'Trade Log'!$BM$6:$BM$1005,1)&gt;0,"Kept trading after daily max loss. ","")&amp;IF(AND(ISNUMBER(Settings!$C$25),N($D143)&gt;N(Settings!$C$25)),"Over max trades. ",""))</f>
        <v/>
      </c>
      <c r="J143" s="106" t="n"/>
      <c r="K143" s="106" t="n"/>
      <c r="L143" s="106" t="n"/>
      <c r="M143" s="29" t="n"/>
      <c r="N143" s="29" t="n"/>
      <c r="O143" s="106" t="n"/>
    </row>
    <row r="144">
      <c r="B144" s="107">
        <f>IF($B143="","",$B143+IF(AND(Settings!$C$10&lt;&gt;"Yes",WEEKDAY($B143,2)&gt;=5),8-WEEKDAY($B143,2),1))</f>
        <v>46478</v>
      </c>
      <c r="C144" s="103" t="str">
        <f>IF($B144="","",CHOOSE(WEEKDAY($B144,2),"Mon","Tue","Wed","Thu","Fri","Sat","Sun"))</f>
        <v>Thu</v>
      </c>
      <c r="D144" s="96">
        <f>IF($B144="","",COUNTIFS('Trade Log'!$A$6:$A$1005,$B144,'Trade Log'!$BH$6:$BH$1005,1))</f>
        <v>0</v>
      </c>
      <c r="E144" s="98" t="str">
        <f>IF(OR($B144="",N($D144)=0),"",SUMIFS('Trade Log'!$Q$6:$Q$1005,'Trade Log'!$A$6:$A$1005,$B144))</f>
        <v/>
      </c>
      <c r="F144" s="99" t="str">
        <f>IF(OR($B144="",N($D144)=0),"",IFERROR(COUNTIFS('Trade Log'!$A$6:$A$1005,$B144,'Trade Log'!$S$6:$S$1005,"Win")/(COUNTIFS('Trade Log'!$A$6:$A$1005,$B144,'Trade Log'!$S$6:$S$1005,"Win")+COUNTIFS('Trade Log'!$A$6:$A$1005,$B144,'Trade Log'!$S$6:$S$1005,"Loss")),"—"))</f>
        <v/>
      </c>
      <c r="G144" s="104" t="str">
        <f>IF(OR($B144="",N($D144)=0),"",SUMIFS('Trade Log'!$R$6:$R$1005,'Trade Log'!$A$6:$A$1005,$B144))</f>
        <v/>
      </c>
      <c r="H144" s="96" t="str">
        <f>IF(OR($B144="",N($D144)=0),"",COUNTIFS('Trade Log'!$A$6:$A$1005,$B144,'Trade Log'!$Z$6:$Z$1005,"No"))</f>
        <v/>
      </c>
      <c r="I144" s="105" t="str">
        <f>IF(OR($B144="",N($D144)=0),"",IF(AND(ISNUMBER(Settings!$C$26),N($E144)&lt;=-N(Settings!$C$26)),"Hit daily max loss. ","")&amp;IF(COUNTIFS('Trade Log'!$A$6:$A$1005,$B144,'Trade Log'!$BM$6:$BM$1005,1)&gt;0,"Kept trading after daily max loss. ","")&amp;IF(AND(ISNUMBER(Settings!$C$25),N($D144)&gt;N(Settings!$C$25)),"Over max trades. ",""))</f>
        <v/>
      </c>
      <c r="J144" s="106" t="n"/>
      <c r="K144" s="106" t="n"/>
      <c r="L144" s="106" t="n"/>
      <c r="M144" s="29" t="n"/>
      <c r="N144" s="29" t="n"/>
      <c r="O144" s="106" t="n"/>
    </row>
    <row r="145">
      <c r="B145" s="107">
        <f>IF($B144="","",$B144+IF(AND(Settings!$C$10&lt;&gt;"Yes",WEEKDAY($B144,2)&gt;=5),8-WEEKDAY($B144,2),1))</f>
        <v>46479</v>
      </c>
      <c r="C145" s="103" t="str">
        <f>IF($B145="","",CHOOSE(WEEKDAY($B145,2),"Mon","Tue","Wed","Thu","Fri","Sat","Sun"))</f>
        <v>Fri</v>
      </c>
      <c r="D145" s="96">
        <f>IF($B145="","",COUNTIFS('Trade Log'!$A$6:$A$1005,$B145,'Trade Log'!$BH$6:$BH$1005,1))</f>
        <v>0</v>
      </c>
      <c r="E145" s="98" t="str">
        <f>IF(OR($B145="",N($D145)=0),"",SUMIFS('Trade Log'!$Q$6:$Q$1005,'Trade Log'!$A$6:$A$1005,$B145))</f>
        <v/>
      </c>
      <c r="F145" s="99" t="str">
        <f>IF(OR($B145="",N($D145)=0),"",IFERROR(COUNTIFS('Trade Log'!$A$6:$A$1005,$B145,'Trade Log'!$S$6:$S$1005,"Win")/(COUNTIFS('Trade Log'!$A$6:$A$1005,$B145,'Trade Log'!$S$6:$S$1005,"Win")+COUNTIFS('Trade Log'!$A$6:$A$1005,$B145,'Trade Log'!$S$6:$S$1005,"Loss")),"—"))</f>
        <v/>
      </c>
      <c r="G145" s="104" t="str">
        <f>IF(OR($B145="",N($D145)=0),"",SUMIFS('Trade Log'!$R$6:$R$1005,'Trade Log'!$A$6:$A$1005,$B145))</f>
        <v/>
      </c>
      <c r="H145" s="96" t="str">
        <f>IF(OR($B145="",N($D145)=0),"",COUNTIFS('Trade Log'!$A$6:$A$1005,$B145,'Trade Log'!$Z$6:$Z$1005,"No"))</f>
        <v/>
      </c>
      <c r="I145" s="105" t="str">
        <f>IF(OR($B145="",N($D145)=0),"",IF(AND(ISNUMBER(Settings!$C$26),N($E145)&lt;=-N(Settings!$C$26)),"Hit daily max loss. ","")&amp;IF(COUNTIFS('Trade Log'!$A$6:$A$1005,$B145,'Trade Log'!$BM$6:$BM$1005,1)&gt;0,"Kept trading after daily max loss. ","")&amp;IF(AND(ISNUMBER(Settings!$C$25),N($D145)&gt;N(Settings!$C$25)),"Over max trades. ",""))</f>
        <v/>
      </c>
      <c r="J145" s="106" t="n"/>
      <c r="K145" s="106" t="n"/>
      <c r="L145" s="106" t="n"/>
      <c r="M145" s="29" t="n"/>
      <c r="N145" s="29" t="n"/>
      <c r="O145" s="106" t="n"/>
    </row>
    <row r="146">
      <c r="B146" s="107">
        <f>IF($B145="","",$B145+IF(AND(Settings!$C$10&lt;&gt;"Yes",WEEKDAY($B145,2)&gt;=5),8-WEEKDAY($B145,2),1))</f>
        <v>46482</v>
      </c>
      <c r="C146" s="103" t="str">
        <f>IF($B146="","",CHOOSE(WEEKDAY($B146,2),"Mon","Tue","Wed","Thu","Fri","Sat","Sun"))</f>
        <v>Mon</v>
      </c>
      <c r="D146" s="96">
        <f>IF($B146="","",COUNTIFS('Trade Log'!$A$6:$A$1005,$B146,'Trade Log'!$BH$6:$BH$1005,1))</f>
        <v>0</v>
      </c>
      <c r="E146" s="98" t="str">
        <f>IF(OR($B146="",N($D146)=0),"",SUMIFS('Trade Log'!$Q$6:$Q$1005,'Trade Log'!$A$6:$A$1005,$B146))</f>
        <v/>
      </c>
      <c r="F146" s="99" t="str">
        <f>IF(OR($B146="",N($D146)=0),"",IFERROR(COUNTIFS('Trade Log'!$A$6:$A$1005,$B146,'Trade Log'!$S$6:$S$1005,"Win")/(COUNTIFS('Trade Log'!$A$6:$A$1005,$B146,'Trade Log'!$S$6:$S$1005,"Win")+COUNTIFS('Trade Log'!$A$6:$A$1005,$B146,'Trade Log'!$S$6:$S$1005,"Loss")),"—"))</f>
        <v/>
      </c>
      <c r="G146" s="104" t="str">
        <f>IF(OR($B146="",N($D146)=0),"",SUMIFS('Trade Log'!$R$6:$R$1005,'Trade Log'!$A$6:$A$1005,$B146))</f>
        <v/>
      </c>
      <c r="H146" s="96" t="str">
        <f>IF(OR($B146="",N($D146)=0),"",COUNTIFS('Trade Log'!$A$6:$A$1005,$B146,'Trade Log'!$Z$6:$Z$1005,"No"))</f>
        <v/>
      </c>
      <c r="I146" s="105" t="str">
        <f>IF(OR($B146="",N($D146)=0),"",IF(AND(ISNUMBER(Settings!$C$26),N($E146)&lt;=-N(Settings!$C$26)),"Hit daily max loss. ","")&amp;IF(COUNTIFS('Trade Log'!$A$6:$A$1005,$B146,'Trade Log'!$BM$6:$BM$1005,1)&gt;0,"Kept trading after daily max loss. ","")&amp;IF(AND(ISNUMBER(Settings!$C$25),N($D146)&gt;N(Settings!$C$25)),"Over max trades. ",""))</f>
        <v/>
      </c>
      <c r="J146" s="106" t="n"/>
      <c r="K146" s="106" t="n"/>
      <c r="L146" s="106" t="n"/>
      <c r="M146" s="29" t="n"/>
      <c r="N146" s="29" t="n"/>
      <c r="O146" s="106" t="n"/>
    </row>
    <row r="147">
      <c r="B147" s="107">
        <f>IF($B146="","",$B146+IF(AND(Settings!$C$10&lt;&gt;"Yes",WEEKDAY($B146,2)&gt;=5),8-WEEKDAY($B146,2),1))</f>
        <v>46483</v>
      </c>
      <c r="C147" s="103" t="str">
        <f>IF($B147="","",CHOOSE(WEEKDAY($B147,2),"Mon","Tue","Wed","Thu","Fri","Sat","Sun"))</f>
        <v>Tue</v>
      </c>
      <c r="D147" s="96">
        <f>IF($B147="","",COUNTIFS('Trade Log'!$A$6:$A$1005,$B147,'Trade Log'!$BH$6:$BH$1005,1))</f>
        <v>0</v>
      </c>
      <c r="E147" s="98" t="str">
        <f>IF(OR($B147="",N($D147)=0),"",SUMIFS('Trade Log'!$Q$6:$Q$1005,'Trade Log'!$A$6:$A$1005,$B147))</f>
        <v/>
      </c>
      <c r="F147" s="99" t="str">
        <f>IF(OR($B147="",N($D147)=0),"",IFERROR(COUNTIFS('Trade Log'!$A$6:$A$1005,$B147,'Trade Log'!$S$6:$S$1005,"Win")/(COUNTIFS('Trade Log'!$A$6:$A$1005,$B147,'Trade Log'!$S$6:$S$1005,"Win")+COUNTIFS('Trade Log'!$A$6:$A$1005,$B147,'Trade Log'!$S$6:$S$1005,"Loss")),"—"))</f>
        <v/>
      </c>
      <c r="G147" s="104" t="str">
        <f>IF(OR($B147="",N($D147)=0),"",SUMIFS('Trade Log'!$R$6:$R$1005,'Trade Log'!$A$6:$A$1005,$B147))</f>
        <v/>
      </c>
      <c r="H147" s="96" t="str">
        <f>IF(OR($B147="",N($D147)=0),"",COUNTIFS('Trade Log'!$A$6:$A$1005,$B147,'Trade Log'!$Z$6:$Z$1005,"No"))</f>
        <v/>
      </c>
      <c r="I147" s="105" t="str">
        <f>IF(OR($B147="",N($D147)=0),"",IF(AND(ISNUMBER(Settings!$C$26),N($E147)&lt;=-N(Settings!$C$26)),"Hit daily max loss. ","")&amp;IF(COUNTIFS('Trade Log'!$A$6:$A$1005,$B147,'Trade Log'!$BM$6:$BM$1005,1)&gt;0,"Kept trading after daily max loss. ","")&amp;IF(AND(ISNUMBER(Settings!$C$25),N($D147)&gt;N(Settings!$C$25)),"Over max trades. ",""))</f>
        <v/>
      </c>
      <c r="J147" s="106" t="n"/>
      <c r="K147" s="106" t="n"/>
      <c r="L147" s="106" t="n"/>
      <c r="M147" s="29" t="n"/>
      <c r="N147" s="29" t="n"/>
      <c r="O147" s="106" t="n"/>
    </row>
    <row r="148">
      <c r="B148" s="107">
        <f>IF($B147="","",$B147+IF(AND(Settings!$C$10&lt;&gt;"Yes",WEEKDAY($B147,2)&gt;=5),8-WEEKDAY($B147,2),1))</f>
        <v>46484</v>
      </c>
      <c r="C148" s="103" t="str">
        <f>IF($B148="","",CHOOSE(WEEKDAY($B148,2),"Mon","Tue","Wed","Thu","Fri","Sat","Sun"))</f>
        <v>Wed</v>
      </c>
      <c r="D148" s="96">
        <f>IF($B148="","",COUNTIFS('Trade Log'!$A$6:$A$1005,$B148,'Trade Log'!$BH$6:$BH$1005,1))</f>
        <v>0</v>
      </c>
      <c r="E148" s="98" t="str">
        <f>IF(OR($B148="",N($D148)=0),"",SUMIFS('Trade Log'!$Q$6:$Q$1005,'Trade Log'!$A$6:$A$1005,$B148))</f>
        <v/>
      </c>
      <c r="F148" s="99" t="str">
        <f>IF(OR($B148="",N($D148)=0),"",IFERROR(COUNTIFS('Trade Log'!$A$6:$A$1005,$B148,'Trade Log'!$S$6:$S$1005,"Win")/(COUNTIFS('Trade Log'!$A$6:$A$1005,$B148,'Trade Log'!$S$6:$S$1005,"Win")+COUNTIFS('Trade Log'!$A$6:$A$1005,$B148,'Trade Log'!$S$6:$S$1005,"Loss")),"—"))</f>
        <v/>
      </c>
      <c r="G148" s="104" t="str">
        <f>IF(OR($B148="",N($D148)=0),"",SUMIFS('Trade Log'!$R$6:$R$1005,'Trade Log'!$A$6:$A$1005,$B148))</f>
        <v/>
      </c>
      <c r="H148" s="96" t="str">
        <f>IF(OR($B148="",N($D148)=0),"",COUNTIFS('Trade Log'!$A$6:$A$1005,$B148,'Trade Log'!$Z$6:$Z$1005,"No"))</f>
        <v/>
      </c>
      <c r="I148" s="105" t="str">
        <f>IF(OR($B148="",N($D148)=0),"",IF(AND(ISNUMBER(Settings!$C$26),N($E148)&lt;=-N(Settings!$C$26)),"Hit daily max loss. ","")&amp;IF(COUNTIFS('Trade Log'!$A$6:$A$1005,$B148,'Trade Log'!$BM$6:$BM$1005,1)&gt;0,"Kept trading after daily max loss. ","")&amp;IF(AND(ISNUMBER(Settings!$C$25),N($D148)&gt;N(Settings!$C$25)),"Over max trades. ",""))</f>
        <v/>
      </c>
      <c r="J148" s="106" t="n"/>
      <c r="K148" s="106" t="n"/>
      <c r="L148" s="106" t="n"/>
      <c r="M148" s="29" t="n"/>
      <c r="N148" s="29" t="n"/>
      <c r="O148" s="106" t="n"/>
    </row>
    <row r="149">
      <c r="B149" s="107">
        <f>IF($B148="","",$B148+IF(AND(Settings!$C$10&lt;&gt;"Yes",WEEKDAY($B148,2)&gt;=5),8-WEEKDAY($B148,2),1))</f>
        <v>46485</v>
      </c>
      <c r="C149" s="103" t="str">
        <f>IF($B149="","",CHOOSE(WEEKDAY($B149,2),"Mon","Tue","Wed","Thu","Fri","Sat","Sun"))</f>
        <v>Thu</v>
      </c>
      <c r="D149" s="96">
        <f>IF($B149="","",COUNTIFS('Trade Log'!$A$6:$A$1005,$B149,'Trade Log'!$BH$6:$BH$1005,1))</f>
        <v>0</v>
      </c>
      <c r="E149" s="98" t="str">
        <f>IF(OR($B149="",N($D149)=0),"",SUMIFS('Trade Log'!$Q$6:$Q$1005,'Trade Log'!$A$6:$A$1005,$B149))</f>
        <v/>
      </c>
      <c r="F149" s="99" t="str">
        <f>IF(OR($B149="",N($D149)=0),"",IFERROR(COUNTIFS('Trade Log'!$A$6:$A$1005,$B149,'Trade Log'!$S$6:$S$1005,"Win")/(COUNTIFS('Trade Log'!$A$6:$A$1005,$B149,'Trade Log'!$S$6:$S$1005,"Win")+COUNTIFS('Trade Log'!$A$6:$A$1005,$B149,'Trade Log'!$S$6:$S$1005,"Loss")),"—"))</f>
        <v/>
      </c>
      <c r="G149" s="104" t="str">
        <f>IF(OR($B149="",N($D149)=0),"",SUMIFS('Trade Log'!$R$6:$R$1005,'Trade Log'!$A$6:$A$1005,$B149))</f>
        <v/>
      </c>
      <c r="H149" s="96" t="str">
        <f>IF(OR($B149="",N($D149)=0),"",COUNTIFS('Trade Log'!$A$6:$A$1005,$B149,'Trade Log'!$Z$6:$Z$1005,"No"))</f>
        <v/>
      </c>
      <c r="I149" s="105" t="str">
        <f>IF(OR($B149="",N($D149)=0),"",IF(AND(ISNUMBER(Settings!$C$26),N($E149)&lt;=-N(Settings!$C$26)),"Hit daily max loss. ","")&amp;IF(COUNTIFS('Trade Log'!$A$6:$A$1005,$B149,'Trade Log'!$BM$6:$BM$1005,1)&gt;0,"Kept trading after daily max loss. ","")&amp;IF(AND(ISNUMBER(Settings!$C$25),N($D149)&gt;N(Settings!$C$25)),"Over max trades. ",""))</f>
        <v/>
      </c>
      <c r="J149" s="106" t="n"/>
      <c r="K149" s="106" t="n"/>
      <c r="L149" s="106" t="n"/>
      <c r="M149" s="29" t="n"/>
      <c r="N149" s="29" t="n"/>
      <c r="O149" s="106" t="n"/>
    </row>
    <row r="150">
      <c r="B150" s="107">
        <f>IF($B149="","",$B149+IF(AND(Settings!$C$10&lt;&gt;"Yes",WEEKDAY($B149,2)&gt;=5),8-WEEKDAY($B149,2),1))</f>
        <v>46486</v>
      </c>
      <c r="C150" s="103" t="str">
        <f>IF($B150="","",CHOOSE(WEEKDAY($B150,2),"Mon","Tue","Wed","Thu","Fri","Sat","Sun"))</f>
        <v>Fri</v>
      </c>
      <c r="D150" s="96">
        <f>IF($B150="","",COUNTIFS('Trade Log'!$A$6:$A$1005,$B150,'Trade Log'!$BH$6:$BH$1005,1))</f>
        <v>0</v>
      </c>
      <c r="E150" s="98" t="str">
        <f>IF(OR($B150="",N($D150)=0),"",SUMIFS('Trade Log'!$Q$6:$Q$1005,'Trade Log'!$A$6:$A$1005,$B150))</f>
        <v/>
      </c>
      <c r="F150" s="99" t="str">
        <f>IF(OR($B150="",N($D150)=0),"",IFERROR(COUNTIFS('Trade Log'!$A$6:$A$1005,$B150,'Trade Log'!$S$6:$S$1005,"Win")/(COUNTIFS('Trade Log'!$A$6:$A$1005,$B150,'Trade Log'!$S$6:$S$1005,"Win")+COUNTIFS('Trade Log'!$A$6:$A$1005,$B150,'Trade Log'!$S$6:$S$1005,"Loss")),"—"))</f>
        <v/>
      </c>
      <c r="G150" s="104" t="str">
        <f>IF(OR($B150="",N($D150)=0),"",SUMIFS('Trade Log'!$R$6:$R$1005,'Trade Log'!$A$6:$A$1005,$B150))</f>
        <v/>
      </c>
      <c r="H150" s="96" t="str">
        <f>IF(OR($B150="",N($D150)=0),"",COUNTIFS('Trade Log'!$A$6:$A$1005,$B150,'Trade Log'!$Z$6:$Z$1005,"No"))</f>
        <v/>
      </c>
      <c r="I150" s="105" t="str">
        <f>IF(OR($B150="",N($D150)=0),"",IF(AND(ISNUMBER(Settings!$C$26),N($E150)&lt;=-N(Settings!$C$26)),"Hit daily max loss. ","")&amp;IF(COUNTIFS('Trade Log'!$A$6:$A$1005,$B150,'Trade Log'!$BM$6:$BM$1005,1)&gt;0,"Kept trading after daily max loss. ","")&amp;IF(AND(ISNUMBER(Settings!$C$25),N($D150)&gt;N(Settings!$C$25)),"Over max trades. ",""))</f>
        <v/>
      </c>
      <c r="J150" s="106" t="n"/>
      <c r="K150" s="106" t="n"/>
      <c r="L150" s="106" t="n"/>
      <c r="M150" s="29" t="n"/>
      <c r="N150" s="29" t="n"/>
      <c r="O150" s="106" t="n"/>
    </row>
    <row r="151">
      <c r="B151" s="107">
        <f>IF($B150="","",$B150+IF(AND(Settings!$C$10&lt;&gt;"Yes",WEEKDAY($B150,2)&gt;=5),8-WEEKDAY($B150,2),1))</f>
        <v>46489</v>
      </c>
      <c r="C151" s="103" t="str">
        <f>IF($B151="","",CHOOSE(WEEKDAY($B151,2),"Mon","Tue","Wed","Thu","Fri","Sat","Sun"))</f>
        <v>Mon</v>
      </c>
      <c r="D151" s="96">
        <f>IF($B151="","",COUNTIFS('Trade Log'!$A$6:$A$1005,$B151,'Trade Log'!$BH$6:$BH$1005,1))</f>
        <v>0</v>
      </c>
      <c r="E151" s="98" t="str">
        <f>IF(OR($B151="",N($D151)=0),"",SUMIFS('Trade Log'!$Q$6:$Q$1005,'Trade Log'!$A$6:$A$1005,$B151))</f>
        <v/>
      </c>
      <c r="F151" s="99" t="str">
        <f>IF(OR($B151="",N($D151)=0),"",IFERROR(COUNTIFS('Trade Log'!$A$6:$A$1005,$B151,'Trade Log'!$S$6:$S$1005,"Win")/(COUNTIFS('Trade Log'!$A$6:$A$1005,$B151,'Trade Log'!$S$6:$S$1005,"Win")+COUNTIFS('Trade Log'!$A$6:$A$1005,$B151,'Trade Log'!$S$6:$S$1005,"Loss")),"—"))</f>
        <v/>
      </c>
      <c r="G151" s="104" t="str">
        <f>IF(OR($B151="",N($D151)=0),"",SUMIFS('Trade Log'!$R$6:$R$1005,'Trade Log'!$A$6:$A$1005,$B151))</f>
        <v/>
      </c>
      <c r="H151" s="96" t="str">
        <f>IF(OR($B151="",N($D151)=0),"",COUNTIFS('Trade Log'!$A$6:$A$1005,$B151,'Trade Log'!$Z$6:$Z$1005,"No"))</f>
        <v/>
      </c>
      <c r="I151" s="105" t="str">
        <f>IF(OR($B151="",N($D151)=0),"",IF(AND(ISNUMBER(Settings!$C$26),N($E151)&lt;=-N(Settings!$C$26)),"Hit daily max loss. ","")&amp;IF(COUNTIFS('Trade Log'!$A$6:$A$1005,$B151,'Trade Log'!$BM$6:$BM$1005,1)&gt;0,"Kept trading after daily max loss. ","")&amp;IF(AND(ISNUMBER(Settings!$C$25),N($D151)&gt;N(Settings!$C$25)),"Over max trades. ",""))</f>
        <v/>
      </c>
      <c r="J151" s="106" t="n"/>
      <c r="K151" s="106" t="n"/>
      <c r="L151" s="106" t="n"/>
      <c r="M151" s="29" t="n"/>
      <c r="N151" s="29" t="n"/>
      <c r="O151" s="106" t="n"/>
    </row>
    <row r="152">
      <c r="B152" s="107">
        <f>IF($B151="","",$B151+IF(AND(Settings!$C$10&lt;&gt;"Yes",WEEKDAY($B151,2)&gt;=5),8-WEEKDAY($B151,2),1))</f>
        <v>46490</v>
      </c>
      <c r="C152" s="103" t="str">
        <f>IF($B152="","",CHOOSE(WEEKDAY($B152,2),"Mon","Tue","Wed","Thu","Fri","Sat","Sun"))</f>
        <v>Tue</v>
      </c>
      <c r="D152" s="96">
        <f>IF($B152="","",COUNTIFS('Trade Log'!$A$6:$A$1005,$B152,'Trade Log'!$BH$6:$BH$1005,1))</f>
        <v>0</v>
      </c>
      <c r="E152" s="98" t="str">
        <f>IF(OR($B152="",N($D152)=0),"",SUMIFS('Trade Log'!$Q$6:$Q$1005,'Trade Log'!$A$6:$A$1005,$B152))</f>
        <v/>
      </c>
      <c r="F152" s="99" t="str">
        <f>IF(OR($B152="",N($D152)=0),"",IFERROR(COUNTIFS('Trade Log'!$A$6:$A$1005,$B152,'Trade Log'!$S$6:$S$1005,"Win")/(COUNTIFS('Trade Log'!$A$6:$A$1005,$B152,'Trade Log'!$S$6:$S$1005,"Win")+COUNTIFS('Trade Log'!$A$6:$A$1005,$B152,'Trade Log'!$S$6:$S$1005,"Loss")),"—"))</f>
        <v/>
      </c>
      <c r="G152" s="104" t="str">
        <f>IF(OR($B152="",N($D152)=0),"",SUMIFS('Trade Log'!$R$6:$R$1005,'Trade Log'!$A$6:$A$1005,$B152))</f>
        <v/>
      </c>
      <c r="H152" s="96" t="str">
        <f>IF(OR($B152="",N($D152)=0),"",COUNTIFS('Trade Log'!$A$6:$A$1005,$B152,'Trade Log'!$Z$6:$Z$1005,"No"))</f>
        <v/>
      </c>
      <c r="I152" s="105" t="str">
        <f>IF(OR($B152="",N($D152)=0),"",IF(AND(ISNUMBER(Settings!$C$26),N($E152)&lt;=-N(Settings!$C$26)),"Hit daily max loss. ","")&amp;IF(COUNTIFS('Trade Log'!$A$6:$A$1005,$B152,'Trade Log'!$BM$6:$BM$1005,1)&gt;0,"Kept trading after daily max loss. ","")&amp;IF(AND(ISNUMBER(Settings!$C$25),N($D152)&gt;N(Settings!$C$25)),"Over max trades. ",""))</f>
        <v/>
      </c>
      <c r="J152" s="106" t="n"/>
      <c r="K152" s="106" t="n"/>
      <c r="L152" s="106" t="n"/>
      <c r="M152" s="29" t="n"/>
      <c r="N152" s="29" t="n"/>
      <c r="O152" s="106" t="n"/>
    </row>
    <row r="153">
      <c r="B153" s="107">
        <f>IF($B152="","",$B152+IF(AND(Settings!$C$10&lt;&gt;"Yes",WEEKDAY($B152,2)&gt;=5),8-WEEKDAY($B152,2),1))</f>
        <v>46491</v>
      </c>
      <c r="C153" s="103" t="str">
        <f>IF($B153="","",CHOOSE(WEEKDAY($B153,2),"Mon","Tue","Wed","Thu","Fri","Sat","Sun"))</f>
        <v>Wed</v>
      </c>
      <c r="D153" s="96">
        <f>IF($B153="","",COUNTIFS('Trade Log'!$A$6:$A$1005,$B153,'Trade Log'!$BH$6:$BH$1005,1))</f>
        <v>0</v>
      </c>
      <c r="E153" s="98" t="str">
        <f>IF(OR($B153="",N($D153)=0),"",SUMIFS('Trade Log'!$Q$6:$Q$1005,'Trade Log'!$A$6:$A$1005,$B153))</f>
        <v/>
      </c>
      <c r="F153" s="99" t="str">
        <f>IF(OR($B153="",N($D153)=0),"",IFERROR(COUNTIFS('Trade Log'!$A$6:$A$1005,$B153,'Trade Log'!$S$6:$S$1005,"Win")/(COUNTIFS('Trade Log'!$A$6:$A$1005,$B153,'Trade Log'!$S$6:$S$1005,"Win")+COUNTIFS('Trade Log'!$A$6:$A$1005,$B153,'Trade Log'!$S$6:$S$1005,"Loss")),"—"))</f>
        <v/>
      </c>
      <c r="G153" s="104" t="str">
        <f>IF(OR($B153="",N($D153)=0),"",SUMIFS('Trade Log'!$R$6:$R$1005,'Trade Log'!$A$6:$A$1005,$B153))</f>
        <v/>
      </c>
      <c r="H153" s="96" t="str">
        <f>IF(OR($B153="",N($D153)=0),"",COUNTIFS('Trade Log'!$A$6:$A$1005,$B153,'Trade Log'!$Z$6:$Z$1005,"No"))</f>
        <v/>
      </c>
      <c r="I153" s="105" t="str">
        <f>IF(OR($B153="",N($D153)=0),"",IF(AND(ISNUMBER(Settings!$C$26),N($E153)&lt;=-N(Settings!$C$26)),"Hit daily max loss. ","")&amp;IF(COUNTIFS('Trade Log'!$A$6:$A$1005,$B153,'Trade Log'!$BM$6:$BM$1005,1)&gt;0,"Kept trading after daily max loss. ","")&amp;IF(AND(ISNUMBER(Settings!$C$25),N($D153)&gt;N(Settings!$C$25)),"Over max trades. ",""))</f>
        <v/>
      </c>
      <c r="J153" s="106" t="n"/>
      <c r="K153" s="106" t="n"/>
      <c r="L153" s="106" t="n"/>
      <c r="M153" s="29" t="n"/>
      <c r="N153" s="29" t="n"/>
      <c r="O153" s="106" t="n"/>
    </row>
    <row r="154">
      <c r="B154" s="107">
        <f>IF($B153="","",$B153+IF(AND(Settings!$C$10&lt;&gt;"Yes",WEEKDAY($B153,2)&gt;=5),8-WEEKDAY($B153,2),1))</f>
        <v>46492</v>
      </c>
      <c r="C154" s="103" t="str">
        <f>IF($B154="","",CHOOSE(WEEKDAY($B154,2),"Mon","Tue","Wed","Thu","Fri","Sat","Sun"))</f>
        <v>Thu</v>
      </c>
      <c r="D154" s="96">
        <f>IF($B154="","",COUNTIFS('Trade Log'!$A$6:$A$1005,$B154,'Trade Log'!$BH$6:$BH$1005,1))</f>
        <v>0</v>
      </c>
      <c r="E154" s="98" t="str">
        <f>IF(OR($B154="",N($D154)=0),"",SUMIFS('Trade Log'!$Q$6:$Q$1005,'Trade Log'!$A$6:$A$1005,$B154))</f>
        <v/>
      </c>
      <c r="F154" s="99" t="str">
        <f>IF(OR($B154="",N($D154)=0),"",IFERROR(COUNTIFS('Trade Log'!$A$6:$A$1005,$B154,'Trade Log'!$S$6:$S$1005,"Win")/(COUNTIFS('Trade Log'!$A$6:$A$1005,$B154,'Trade Log'!$S$6:$S$1005,"Win")+COUNTIFS('Trade Log'!$A$6:$A$1005,$B154,'Trade Log'!$S$6:$S$1005,"Loss")),"—"))</f>
        <v/>
      </c>
      <c r="G154" s="104" t="str">
        <f>IF(OR($B154="",N($D154)=0),"",SUMIFS('Trade Log'!$R$6:$R$1005,'Trade Log'!$A$6:$A$1005,$B154))</f>
        <v/>
      </c>
      <c r="H154" s="96" t="str">
        <f>IF(OR($B154="",N($D154)=0),"",COUNTIFS('Trade Log'!$A$6:$A$1005,$B154,'Trade Log'!$Z$6:$Z$1005,"No"))</f>
        <v/>
      </c>
      <c r="I154" s="105" t="str">
        <f>IF(OR($B154="",N($D154)=0),"",IF(AND(ISNUMBER(Settings!$C$26),N($E154)&lt;=-N(Settings!$C$26)),"Hit daily max loss. ","")&amp;IF(COUNTIFS('Trade Log'!$A$6:$A$1005,$B154,'Trade Log'!$BM$6:$BM$1005,1)&gt;0,"Kept trading after daily max loss. ","")&amp;IF(AND(ISNUMBER(Settings!$C$25),N($D154)&gt;N(Settings!$C$25)),"Over max trades. ",""))</f>
        <v/>
      </c>
      <c r="J154" s="106" t="n"/>
      <c r="K154" s="106" t="n"/>
      <c r="L154" s="106" t="n"/>
      <c r="M154" s="29" t="n"/>
      <c r="N154" s="29" t="n"/>
      <c r="O154" s="106" t="n"/>
    </row>
    <row r="155">
      <c r="B155" s="107">
        <f>IF($B154="","",$B154+IF(AND(Settings!$C$10&lt;&gt;"Yes",WEEKDAY($B154,2)&gt;=5),8-WEEKDAY($B154,2),1))</f>
        <v>46493</v>
      </c>
      <c r="C155" s="103" t="str">
        <f>IF($B155="","",CHOOSE(WEEKDAY($B155,2),"Mon","Tue","Wed","Thu","Fri","Sat","Sun"))</f>
        <v>Fri</v>
      </c>
      <c r="D155" s="96">
        <f>IF($B155="","",COUNTIFS('Trade Log'!$A$6:$A$1005,$B155,'Trade Log'!$BH$6:$BH$1005,1))</f>
        <v>0</v>
      </c>
      <c r="E155" s="98" t="str">
        <f>IF(OR($B155="",N($D155)=0),"",SUMIFS('Trade Log'!$Q$6:$Q$1005,'Trade Log'!$A$6:$A$1005,$B155))</f>
        <v/>
      </c>
      <c r="F155" s="99" t="str">
        <f>IF(OR($B155="",N($D155)=0),"",IFERROR(COUNTIFS('Trade Log'!$A$6:$A$1005,$B155,'Trade Log'!$S$6:$S$1005,"Win")/(COUNTIFS('Trade Log'!$A$6:$A$1005,$B155,'Trade Log'!$S$6:$S$1005,"Win")+COUNTIFS('Trade Log'!$A$6:$A$1005,$B155,'Trade Log'!$S$6:$S$1005,"Loss")),"—"))</f>
        <v/>
      </c>
      <c r="G155" s="104" t="str">
        <f>IF(OR($B155="",N($D155)=0),"",SUMIFS('Trade Log'!$R$6:$R$1005,'Trade Log'!$A$6:$A$1005,$B155))</f>
        <v/>
      </c>
      <c r="H155" s="96" t="str">
        <f>IF(OR($B155="",N($D155)=0),"",COUNTIFS('Trade Log'!$A$6:$A$1005,$B155,'Trade Log'!$Z$6:$Z$1005,"No"))</f>
        <v/>
      </c>
      <c r="I155" s="105" t="str">
        <f>IF(OR($B155="",N($D155)=0),"",IF(AND(ISNUMBER(Settings!$C$26),N($E155)&lt;=-N(Settings!$C$26)),"Hit daily max loss. ","")&amp;IF(COUNTIFS('Trade Log'!$A$6:$A$1005,$B155,'Trade Log'!$BM$6:$BM$1005,1)&gt;0,"Kept trading after daily max loss. ","")&amp;IF(AND(ISNUMBER(Settings!$C$25),N($D155)&gt;N(Settings!$C$25)),"Over max trades. ",""))</f>
        <v/>
      </c>
      <c r="J155" s="106" t="n"/>
      <c r="K155" s="106" t="n"/>
      <c r="L155" s="106" t="n"/>
      <c r="M155" s="29" t="n"/>
      <c r="N155" s="29" t="n"/>
      <c r="O155" s="106" t="n"/>
    </row>
    <row r="156">
      <c r="B156" s="107">
        <f>IF($B155="","",$B155+IF(AND(Settings!$C$10&lt;&gt;"Yes",WEEKDAY($B155,2)&gt;=5),8-WEEKDAY($B155,2),1))</f>
        <v>46496</v>
      </c>
      <c r="C156" s="103" t="str">
        <f>IF($B156="","",CHOOSE(WEEKDAY($B156,2),"Mon","Tue","Wed","Thu","Fri","Sat","Sun"))</f>
        <v>Mon</v>
      </c>
      <c r="D156" s="96">
        <f>IF($B156="","",COUNTIFS('Trade Log'!$A$6:$A$1005,$B156,'Trade Log'!$BH$6:$BH$1005,1))</f>
        <v>0</v>
      </c>
      <c r="E156" s="98" t="str">
        <f>IF(OR($B156="",N($D156)=0),"",SUMIFS('Trade Log'!$Q$6:$Q$1005,'Trade Log'!$A$6:$A$1005,$B156))</f>
        <v/>
      </c>
      <c r="F156" s="99" t="str">
        <f>IF(OR($B156="",N($D156)=0),"",IFERROR(COUNTIFS('Trade Log'!$A$6:$A$1005,$B156,'Trade Log'!$S$6:$S$1005,"Win")/(COUNTIFS('Trade Log'!$A$6:$A$1005,$B156,'Trade Log'!$S$6:$S$1005,"Win")+COUNTIFS('Trade Log'!$A$6:$A$1005,$B156,'Trade Log'!$S$6:$S$1005,"Loss")),"—"))</f>
        <v/>
      </c>
      <c r="G156" s="104" t="str">
        <f>IF(OR($B156="",N($D156)=0),"",SUMIFS('Trade Log'!$R$6:$R$1005,'Trade Log'!$A$6:$A$1005,$B156))</f>
        <v/>
      </c>
      <c r="H156" s="96" t="str">
        <f>IF(OR($B156="",N($D156)=0),"",COUNTIFS('Trade Log'!$A$6:$A$1005,$B156,'Trade Log'!$Z$6:$Z$1005,"No"))</f>
        <v/>
      </c>
      <c r="I156" s="105" t="str">
        <f>IF(OR($B156="",N($D156)=0),"",IF(AND(ISNUMBER(Settings!$C$26),N($E156)&lt;=-N(Settings!$C$26)),"Hit daily max loss. ","")&amp;IF(COUNTIFS('Trade Log'!$A$6:$A$1005,$B156,'Trade Log'!$BM$6:$BM$1005,1)&gt;0,"Kept trading after daily max loss. ","")&amp;IF(AND(ISNUMBER(Settings!$C$25),N($D156)&gt;N(Settings!$C$25)),"Over max trades. ",""))</f>
        <v/>
      </c>
      <c r="J156" s="106" t="n"/>
      <c r="K156" s="106" t="n"/>
      <c r="L156" s="106" t="n"/>
      <c r="M156" s="29" t="n"/>
      <c r="N156" s="29" t="n"/>
      <c r="O156" s="106" t="n"/>
    </row>
    <row r="157">
      <c r="B157" s="107">
        <f>IF($B156="","",$B156+IF(AND(Settings!$C$10&lt;&gt;"Yes",WEEKDAY($B156,2)&gt;=5),8-WEEKDAY($B156,2),1))</f>
        <v>46497</v>
      </c>
      <c r="C157" s="103" t="str">
        <f>IF($B157="","",CHOOSE(WEEKDAY($B157,2),"Mon","Tue","Wed","Thu","Fri","Sat","Sun"))</f>
        <v>Tue</v>
      </c>
      <c r="D157" s="96">
        <f>IF($B157="","",COUNTIFS('Trade Log'!$A$6:$A$1005,$B157,'Trade Log'!$BH$6:$BH$1005,1))</f>
        <v>0</v>
      </c>
      <c r="E157" s="98" t="str">
        <f>IF(OR($B157="",N($D157)=0),"",SUMIFS('Trade Log'!$Q$6:$Q$1005,'Trade Log'!$A$6:$A$1005,$B157))</f>
        <v/>
      </c>
      <c r="F157" s="99" t="str">
        <f>IF(OR($B157="",N($D157)=0),"",IFERROR(COUNTIFS('Trade Log'!$A$6:$A$1005,$B157,'Trade Log'!$S$6:$S$1005,"Win")/(COUNTIFS('Trade Log'!$A$6:$A$1005,$B157,'Trade Log'!$S$6:$S$1005,"Win")+COUNTIFS('Trade Log'!$A$6:$A$1005,$B157,'Trade Log'!$S$6:$S$1005,"Loss")),"—"))</f>
        <v/>
      </c>
      <c r="G157" s="104" t="str">
        <f>IF(OR($B157="",N($D157)=0),"",SUMIFS('Trade Log'!$R$6:$R$1005,'Trade Log'!$A$6:$A$1005,$B157))</f>
        <v/>
      </c>
      <c r="H157" s="96" t="str">
        <f>IF(OR($B157="",N($D157)=0),"",COUNTIFS('Trade Log'!$A$6:$A$1005,$B157,'Trade Log'!$Z$6:$Z$1005,"No"))</f>
        <v/>
      </c>
      <c r="I157" s="105" t="str">
        <f>IF(OR($B157="",N($D157)=0),"",IF(AND(ISNUMBER(Settings!$C$26),N($E157)&lt;=-N(Settings!$C$26)),"Hit daily max loss. ","")&amp;IF(COUNTIFS('Trade Log'!$A$6:$A$1005,$B157,'Trade Log'!$BM$6:$BM$1005,1)&gt;0,"Kept trading after daily max loss. ","")&amp;IF(AND(ISNUMBER(Settings!$C$25),N($D157)&gt;N(Settings!$C$25)),"Over max trades. ",""))</f>
        <v/>
      </c>
      <c r="J157" s="106" t="n"/>
      <c r="K157" s="106" t="n"/>
      <c r="L157" s="106" t="n"/>
      <c r="M157" s="29" t="n"/>
      <c r="N157" s="29" t="n"/>
      <c r="O157" s="106" t="n"/>
    </row>
    <row r="158">
      <c r="B158" s="107">
        <f>IF($B157="","",$B157+IF(AND(Settings!$C$10&lt;&gt;"Yes",WEEKDAY($B157,2)&gt;=5),8-WEEKDAY($B157,2),1))</f>
        <v>46498</v>
      </c>
      <c r="C158" s="103" t="str">
        <f>IF($B158="","",CHOOSE(WEEKDAY($B158,2),"Mon","Tue","Wed","Thu","Fri","Sat","Sun"))</f>
        <v>Wed</v>
      </c>
      <c r="D158" s="96">
        <f>IF($B158="","",COUNTIFS('Trade Log'!$A$6:$A$1005,$B158,'Trade Log'!$BH$6:$BH$1005,1))</f>
        <v>0</v>
      </c>
      <c r="E158" s="98" t="str">
        <f>IF(OR($B158="",N($D158)=0),"",SUMIFS('Trade Log'!$Q$6:$Q$1005,'Trade Log'!$A$6:$A$1005,$B158))</f>
        <v/>
      </c>
      <c r="F158" s="99" t="str">
        <f>IF(OR($B158="",N($D158)=0),"",IFERROR(COUNTIFS('Trade Log'!$A$6:$A$1005,$B158,'Trade Log'!$S$6:$S$1005,"Win")/(COUNTIFS('Trade Log'!$A$6:$A$1005,$B158,'Trade Log'!$S$6:$S$1005,"Win")+COUNTIFS('Trade Log'!$A$6:$A$1005,$B158,'Trade Log'!$S$6:$S$1005,"Loss")),"—"))</f>
        <v/>
      </c>
      <c r="G158" s="104" t="str">
        <f>IF(OR($B158="",N($D158)=0),"",SUMIFS('Trade Log'!$R$6:$R$1005,'Trade Log'!$A$6:$A$1005,$B158))</f>
        <v/>
      </c>
      <c r="H158" s="96" t="str">
        <f>IF(OR($B158="",N($D158)=0),"",COUNTIFS('Trade Log'!$A$6:$A$1005,$B158,'Trade Log'!$Z$6:$Z$1005,"No"))</f>
        <v/>
      </c>
      <c r="I158" s="105" t="str">
        <f>IF(OR($B158="",N($D158)=0),"",IF(AND(ISNUMBER(Settings!$C$26),N($E158)&lt;=-N(Settings!$C$26)),"Hit daily max loss. ","")&amp;IF(COUNTIFS('Trade Log'!$A$6:$A$1005,$B158,'Trade Log'!$BM$6:$BM$1005,1)&gt;0,"Kept trading after daily max loss. ","")&amp;IF(AND(ISNUMBER(Settings!$C$25),N($D158)&gt;N(Settings!$C$25)),"Over max trades. ",""))</f>
        <v/>
      </c>
      <c r="J158" s="106" t="n"/>
      <c r="K158" s="106" t="n"/>
      <c r="L158" s="106" t="n"/>
      <c r="M158" s="29" t="n"/>
      <c r="N158" s="29" t="n"/>
      <c r="O158" s="106" t="n"/>
    </row>
    <row r="159">
      <c r="B159" s="107">
        <f>IF($B158="","",$B158+IF(AND(Settings!$C$10&lt;&gt;"Yes",WEEKDAY($B158,2)&gt;=5),8-WEEKDAY($B158,2),1))</f>
        <v>46499</v>
      </c>
      <c r="C159" s="103" t="str">
        <f>IF($B159="","",CHOOSE(WEEKDAY($B159,2),"Mon","Tue","Wed","Thu","Fri","Sat","Sun"))</f>
        <v>Thu</v>
      </c>
      <c r="D159" s="96">
        <f>IF($B159="","",COUNTIFS('Trade Log'!$A$6:$A$1005,$B159,'Trade Log'!$BH$6:$BH$1005,1))</f>
        <v>0</v>
      </c>
      <c r="E159" s="98" t="str">
        <f>IF(OR($B159="",N($D159)=0),"",SUMIFS('Trade Log'!$Q$6:$Q$1005,'Trade Log'!$A$6:$A$1005,$B159))</f>
        <v/>
      </c>
      <c r="F159" s="99" t="str">
        <f>IF(OR($B159="",N($D159)=0),"",IFERROR(COUNTIFS('Trade Log'!$A$6:$A$1005,$B159,'Trade Log'!$S$6:$S$1005,"Win")/(COUNTIFS('Trade Log'!$A$6:$A$1005,$B159,'Trade Log'!$S$6:$S$1005,"Win")+COUNTIFS('Trade Log'!$A$6:$A$1005,$B159,'Trade Log'!$S$6:$S$1005,"Loss")),"—"))</f>
        <v/>
      </c>
      <c r="G159" s="104" t="str">
        <f>IF(OR($B159="",N($D159)=0),"",SUMIFS('Trade Log'!$R$6:$R$1005,'Trade Log'!$A$6:$A$1005,$B159))</f>
        <v/>
      </c>
      <c r="H159" s="96" t="str">
        <f>IF(OR($B159="",N($D159)=0),"",COUNTIFS('Trade Log'!$A$6:$A$1005,$B159,'Trade Log'!$Z$6:$Z$1005,"No"))</f>
        <v/>
      </c>
      <c r="I159" s="105" t="str">
        <f>IF(OR($B159="",N($D159)=0),"",IF(AND(ISNUMBER(Settings!$C$26),N($E159)&lt;=-N(Settings!$C$26)),"Hit daily max loss. ","")&amp;IF(COUNTIFS('Trade Log'!$A$6:$A$1005,$B159,'Trade Log'!$BM$6:$BM$1005,1)&gt;0,"Kept trading after daily max loss. ","")&amp;IF(AND(ISNUMBER(Settings!$C$25),N($D159)&gt;N(Settings!$C$25)),"Over max trades. ",""))</f>
        <v/>
      </c>
      <c r="J159" s="106" t="n"/>
      <c r="K159" s="106" t="n"/>
      <c r="L159" s="106" t="n"/>
      <c r="M159" s="29" t="n"/>
      <c r="N159" s="29" t="n"/>
      <c r="O159" s="106" t="n"/>
    </row>
    <row r="160">
      <c r="B160" s="107">
        <f>IF($B159="","",$B159+IF(AND(Settings!$C$10&lt;&gt;"Yes",WEEKDAY($B159,2)&gt;=5),8-WEEKDAY($B159,2),1))</f>
        <v>46500</v>
      </c>
      <c r="C160" s="103" t="str">
        <f>IF($B160="","",CHOOSE(WEEKDAY($B160,2),"Mon","Tue","Wed","Thu","Fri","Sat","Sun"))</f>
        <v>Fri</v>
      </c>
      <c r="D160" s="96">
        <f>IF($B160="","",COUNTIFS('Trade Log'!$A$6:$A$1005,$B160,'Trade Log'!$BH$6:$BH$1005,1))</f>
        <v>0</v>
      </c>
      <c r="E160" s="98" t="str">
        <f>IF(OR($B160="",N($D160)=0),"",SUMIFS('Trade Log'!$Q$6:$Q$1005,'Trade Log'!$A$6:$A$1005,$B160))</f>
        <v/>
      </c>
      <c r="F160" s="99" t="str">
        <f>IF(OR($B160="",N($D160)=0),"",IFERROR(COUNTIFS('Trade Log'!$A$6:$A$1005,$B160,'Trade Log'!$S$6:$S$1005,"Win")/(COUNTIFS('Trade Log'!$A$6:$A$1005,$B160,'Trade Log'!$S$6:$S$1005,"Win")+COUNTIFS('Trade Log'!$A$6:$A$1005,$B160,'Trade Log'!$S$6:$S$1005,"Loss")),"—"))</f>
        <v/>
      </c>
      <c r="G160" s="104" t="str">
        <f>IF(OR($B160="",N($D160)=0),"",SUMIFS('Trade Log'!$R$6:$R$1005,'Trade Log'!$A$6:$A$1005,$B160))</f>
        <v/>
      </c>
      <c r="H160" s="96" t="str">
        <f>IF(OR($B160="",N($D160)=0),"",COUNTIFS('Trade Log'!$A$6:$A$1005,$B160,'Trade Log'!$Z$6:$Z$1005,"No"))</f>
        <v/>
      </c>
      <c r="I160" s="105" t="str">
        <f>IF(OR($B160="",N($D160)=0),"",IF(AND(ISNUMBER(Settings!$C$26),N($E160)&lt;=-N(Settings!$C$26)),"Hit daily max loss. ","")&amp;IF(COUNTIFS('Trade Log'!$A$6:$A$1005,$B160,'Trade Log'!$BM$6:$BM$1005,1)&gt;0,"Kept trading after daily max loss. ","")&amp;IF(AND(ISNUMBER(Settings!$C$25),N($D160)&gt;N(Settings!$C$25)),"Over max trades. ",""))</f>
        <v/>
      </c>
      <c r="J160" s="106" t="n"/>
      <c r="K160" s="106" t="n"/>
      <c r="L160" s="106" t="n"/>
      <c r="M160" s="29" t="n"/>
      <c r="N160" s="29" t="n"/>
      <c r="O160" s="106" t="n"/>
    </row>
    <row r="161">
      <c r="B161" s="107">
        <f>IF($B160="","",$B160+IF(AND(Settings!$C$10&lt;&gt;"Yes",WEEKDAY($B160,2)&gt;=5),8-WEEKDAY($B160,2),1))</f>
        <v>46503</v>
      </c>
      <c r="C161" s="103" t="str">
        <f>IF($B161="","",CHOOSE(WEEKDAY($B161,2),"Mon","Tue","Wed","Thu","Fri","Sat","Sun"))</f>
        <v>Mon</v>
      </c>
      <c r="D161" s="96">
        <f>IF($B161="","",COUNTIFS('Trade Log'!$A$6:$A$1005,$B161,'Trade Log'!$BH$6:$BH$1005,1))</f>
        <v>0</v>
      </c>
      <c r="E161" s="98" t="str">
        <f>IF(OR($B161="",N($D161)=0),"",SUMIFS('Trade Log'!$Q$6:$Q$1005,'Trade Log'!$A$6:$A$1005,$B161))</f>
        <v/>
      </c>
      <c r="F161" s="99" t="str">
        <f>IF(OR($B161="",N($D161)=0),"",IFERROR(COUNTIFS('Trade Log'!$A$6:$A$1005,$B161,'Trade Log'!$S$6:$S$1005,"Win")/(COUNTIFS('Trade Log'!$A$6:$A$1005,$B161,'Trade Log'!$S$6:$S$1005,"Win")+COUNTIFS('Trade Log'!$A$6:$A$1005,$B161,'Trade Log'!$S$6:$S$1005,"Loss")),"—"))</f>
        <v/>
      </c>
      <c r="G161" s="104" t="str">
        <f>IF(OR($B161="",N($D161)=0),"",SUMIFS('Trade Log'!$R$6:$R$1005,'Trade Log'!$A$6:$A$1005,$B161))</f>
        <v/>
      </c>
      <c r="H161" s="96" t="str">
        <f>IF(OR($B161="",N($D161)=0),"",COUNTIFS('Trade Log'!$A$6:$A$1005,$B161,'Trade Log'!$Z$6:$Z$1005,"No"))</f>
        <v/>
      </c>
      <c r="I161" s="105" t="str">
        <f>IF(OR($B161="",N($D161)=0),"",IF(AND(ISNUMBER(Settings!$C$26),N($E161)&lt;=-N(Settings!$C$26)),"Hit daily max loss. ","")&amp;IF(COUNTIFS('Trade Log'!$A$6:$A$1005,$B161,'Trade Log'!$BM$6:$BM$1005,1)&gt;0,"Kept trading after daily max loss. ","")&amp;IF(AND(ISNUMBER(Settings!$C$25),N($D161)&gt;N(Settings!$C$25)),"Over max trades. ",""))</f>
        <v/>
      </c>
      <c r="J161" s="106" t="n"/>
      <c r="K161" s="106" t="n"/>
      <c r="L161" s="106" t="n"/>
      <c r="M161" s="29" t="n"/>
      <c r="N161" s="29" t="n"/>
      <c r="O161" s="106" t="n"/>
    </row>
    <row r="162">
      <c r="B162" s="107">
        <f>IF($B161="","",$B161+IF(AND(Settings!$C$10&lt;&gt;"Yes",WEEKDAY($B161,2)&gt;=5),8-WEEKDAY($B161,2),1))</f>
        <v>46504</v>
      </c>
      <c r="C162" s="103" t="str">
        <f>IF($B162="","",CHOOSE(WEEKDAY($B162,2),"Mon","Tue","Wed","Thu","Fri","Sat","Sun"))</f>
        <v>Tue</v>
      </c>
      <c r="D162" s="96">
        <f>IF($B162="","",COUNTIFS('Trade Log'!$A$6:$A$1005,$B162,'Trade Log'!$BH$6:$BH$1005,1))</f>
        <v>0</v>
      </c>
      <c r="E162" s="98" t="str">
        <f>IF(OR($B162="",N($D162)=0),"",SUMIFS('Trade Log'!$Q$6:$Q$1005,'Trade Log'!$A$6:$A$1005,$B162))</f>
        <v/>
      </c>
      <c r="F162" s="99" t="str">
        <f>IF(OR($B162="",N($D162)=0),"",IFERROR(COUNTIFS('Trade Log'!$A$6:$A$1005,$B162,'Trade Log'!$S$6:$S$1005,"Win")/(COUNTIFS('Trade Log'!$A$6:$A$1005,$B162,'Trade Log'!$S$6:$S$1005,"Win")+COUNTIFS('Trade Log'!$A$6:$A$1005,$B162,'Trade Log'!$S$6:$S$1005,"Loss")),"—"))</f>
        <v/>
      </c>
      <c r="G162" s="104" t="str">
        <f>IF(OR($B162="",N($D162)=0),"",SUMIFS('Trade Log'!$R$6:$R$1005,'Trade Log'!$A$6:$A$1005,$B162))</f>
        <v/>
      </c>
      <c r="H162" s="96" t="str">
        <f>IF(OR($B162="",N($D162)=0),"",COUNTIFS('Trade Log'!$A$6:$A$1005,$B162,'Trade Log'!$Z$6:$Z$1005,"No"))</f>
        <v/>
      </c>
      <c r="I162" s="105" t="str">
        <f>IF(OR($B162="",N($D162)=0),"",IF(AND(ISNUMBER(Settings!$C$26),N($E162)&lt;=-N(Settings!$C$26)),"Hit daily max loss. ","")&amp;IF(COUNTIFS('Trade Log'!$A$6:$A$1005,$B162,'Trade Log'!$BM$6:$BM$1005,1)&gt;0,"Kept trading after daily max loss. ","")&amp;IF(AND(ISNUMBER(Settings!$C$25),N($D162)&gt;N(Settings!$C$25)),"Over max trades. ",""))</f>
        <v/>
      </c>
      <c r="J162" s="106" t="n"/>
      <c r="K162" s="106" t="n"/>
      <c r="L162" s="106" t="n"/>
      <c r="M162" s="29" t="n"/>
      <c r="N162" s="29" t="n"/>
      <c r="O162" s="106" t="n"/>
    </row>
    <row r="163">
      <c r="B163" s="107">
        <f>IF($B162="","",$B162+IF(AND(Settings!$C$10&lt;&gt;"Yes",WEEKDAY($B162,2)&gt;=5),8-WEEKDAY($B162,2),1))</f>
        <v>46505</v>
      </c>
      <c r="C163" s="103" t="str">
        <f>IF($B163="","",CHOOSE(WEEKDAY($B163,2),"Mon","Tue","Wed","Thu","Fri","Sat","Sun"))</f>
        <v>Wed</v>
      </c>
      <c r="D163" s="96">
        <f>IF($B163="","",COUNTIFS('Trade Log'!$A$6:$A$1005,$B163,'Trade Log'!$BH$6:$BH$1005,1))</f>
        <v>0</v>
      </c>
      <c r="E163" s="98" t="str">
        <f>IF(OR($B163="",N($D163)=0),"",SUMIFS('Trade Log'!$Q$6:$Q$1005,'Trade Log'!$A$6:$A$1005,$B163))</f>
        <v/>
      </c>
      <c r="F163" s="99" t="str">
        <f>IF(OR($B163="",N($D163)=0),"",IFERROR(COUNTIFS('Trade Log'!$A$6:$A$1005,$B163,'Trade Log'!$S$6:$S$1005,"Win")/(COUNTIFS('Trade Log'!$A$6:$A$1005,$B163,'Trade Log'!$S$6:$S$1005,"Win")+COUNTIFS('Trade Log'!$A$6:$A$1005,$B163,'Trade Log'!$S$6:$S$1005,"Loss")),"—"))</f>
        <v/>
      </c>
      <c r="G163" s="104" t="str">
        <f>IF(OR($B163="",N($D163)=0),"",SUMIFS('Trade Log'!$R$6:$R$1005,'Trade Log'!$A$6:$A$1005,$B163))</f>
        <v/>
      </c>
      <c r="H163" s="96" t="str">
        <f>IF(OR($B163="",N($D163)=0),"",COUNTIFS('Trade Log'!$A$6:$A$1005,$B163,'Trade Log'!$Z$6:$Z$1005,"No"))</f>
        <v/>
      </c>
      <c r="I163" s="105" t="str">
        <f>IF(OR($B163="",N($D163)=0),"",IF(AND(ISNUMBER(Settings!$C$26),N($E163)&lt;=-N(Settings!$C$26)),"Hit daily max loss. ","")&amp;IF(COUNTIFS('Trade Log'!$A$6:$A$1005,$B163,'Trade Log'!$BM$6:$BM$1005,1)&gt;0,"Kept trading after daily max loss. ","")&amp;IF(AND(ISNUMBER(Settings!$C$25),N($D163)&gt;N(Settings!$C$25)),"Over max trades. ",""))</f>
        <v/>
      </c>
      <c r="J163" s="106" t="n"/>
      <c r="K163" s="106" t="n"/>
      <c r="L163" s="106" t="n"/>
      <c r="M163" s="29" t="n"/>
      <c r="N163" s="29" t="n"/>
      <c r="O163" s="106" t="n"/>
    </row>
    <row r="164">
      <c r="B164" s="107">
        <f>IF($B163="","",$B163+IF(AND(Settings!$C$10&lt;&gt;"Yes",WEEKDAY($B163,2)&gt;=5),8-WEEKDAY($B163,2),1))</f>
        <v>46506</v>
      </c>
      <c r="C164" s="103" t="str">
        <f>IF($B164="","",CHOOSE(WEEKDAY($B164,2),"Mon","Tue","Wed","Thu","Fri","Sat","Sun"))</f>
        <v>Thu</v>
      </c>
      <c r="D164" s="96">
        <f>IF($B164="","",COUNTIFS('Trade Log'!$A$6:$A$1005,$B164,'Trade Log'!$BH$6:$BH$1005,1))</f>
        <v>0</v>
      </c>
      <c r="E164" s="98" t="str">
        <f>IF(OR($B164="",N($D164)=0),"",SUMIFS('Trade Log'!$Q$6:$Q$1005,'Trade Log'!$A$6:$A$1005,$B164))</f>
        <v/>
      </c>
      <c r="F164" s="99" t="str">
        <f>IF(OR($B164="",N($D164)=0),"",IFERROR(COUNTIFS('Trade Log'!$A$6:$A$1005,$B164,'Trade Log'!$S$6:$S$1005,"Win")/(COUNTIFS('Trade Log'!$A$6:$A$1005,$B164,'Trade Log'!$S$6:$S$1005,"Win")+COUNTIFS('Trade Log'!$A$6:$A$1005,$B164,'Trade Log'!$S$6:$S$1005,"Loss")),"—"))</f>
        <v/>
      </c>
      <c r="G164" s="104" t="str">
        <f>IF(OR($B164="",N($D164)=0),"",SUMIFS('Trade Log'!$R$6:$R$1005,'Trade Log'!$A$6:$A$1005,$B164))</f>
        <v/>
      </c>
      <c r="H164" s="96" t="str">
        <f>IF(OR($B164="",N($D164)=0),"",COUNTIFS('Trade Log'!$A$6:$A$1005,$B164,'Trade Log'!$Z$6:$Z$1005,"No"))</f>
        <v/>
      </c>
      <c r="I164" s="105" t="str">
        <f>IF(OR($B164="",N($D164)=0),"",IF(AND(ISNUMBER(Settings!$C$26),N($E164)&lt;=-N(Settings!$C$26)),"Hit daily max loss. ","")&amp;IF(COUNTIFS('Trade Log'!$A$6:$A$1005,$B164,'Trade Log'!$BM$6:$BM$1005,1)&gt;0,"Kept trading after daily max loss. ","")&amp;IF(AND(ISNUMBER(Settings!$C$25),N($D164)&gt;N(Settings!$C$25)),"Over max trades. ",""))</f>
        <v/>
      </c>
      <c r="J164" s="106" t="n"/>
      <c r="K164" s="106" t="n"/>
      <c r="L164" s="106" t="n"/>
      <c r="M164" s="29" t="n"/>
      <c r="N164" s="29" t="n"/>
      <c r="O164" s="106" t="n"/>
    </row>
    <row r="165">
      <c r="B165" s="107">
        <f>IF($B164="","",$B164+IF(AND(Settings!$C$10&lt;&gt;"Yes",WEEKDAY($B164,2)&gt;=5),8-WEEKDAY($B164,2),1))</f>
        <v>46507</v>
      </c>
      <c r="C165" s="103" t="str">
        <f>IF($B165="","",CHOOSE(WEEKDAY($B165,2),"Mon","Tue","Wed","Thu","Fri","Sat","Sun"))</f>
        <v>Fri</v>
      </c>
      <c r="D165" s="96">
        <f>IF($B165="","",COUNTIFS('Trade Log'!$A$6:$A$1005,$B165,'Trade Log'!$BH$6:$BH$1005,1))</f>
        <v>0</v>
      </c>
      <c r="E165" s="98" t="str">
        <f>IF(OR($B165="",N($D165)=0),"",SUMIFS('Trade Log'!$Q$6:$Q$1005,'Trade Log'!$A$6:$A$1005,$B165))</f>
        <v/>
      </c>
      <c r="F165" s="99" t="str">
        <f>IF(OR($B165="",N($D165)=0),"",IFERROR(COUNTIFS('Trade Log'!$A$6:$A$1005,$B165,'Trade Log'!$S$6:$S$1005,"Win")/(COUNTIFS('Trade Log'!$A$6:$A$1005,$B165,'Trade Log'!$S$6:$S$1005,"Win")+COUNTIFS('Trade Log'!$A$6:$A$1005,$B165,'Trade Log'!$S$6:$S$1005,"Loss")),"—"))</f>
        <v/>
      </c>
      <c r="G165" s="104" t="str">
        <f>IF(OR($B165="",N($D165)=0),"",SUMIFS('Trade Log'!$R$6:$R$1005,'Trade Log'!$A$6:$A$1005,$B165))</f>
        <v/>
      </c>
      <c r="H165" s="96" t="str">
        <f>IF(OR($B165="",N($D165)=0),"",COUNTIFS('Trade Log'!$A$6:$A$1005,$B165,'Trade Log'!$Z$6:$Z$1005,"No"))</f>
        <v/>
      </c>
      <c r="I165" s="105" t="str">
        <f>IF(OR($B165="",N($D165)=0),"",IF(AND(ISNUMBER(Settings!$C$26),N($E165)&lt;=-N(Settings!$C$26)),"Hit daily max loss. ","")&amp;IF(COUNTIFS('Trade Log'!$A$6:$A$1005,$B165,'Trade Log'!$BM$6:$BM$1005,1)&gt;0,"Kept trading after daily max loss. ","")&amp;IF(AND(ISNUMBER(Settings!$C$25),N($D165)&gt;N(Settings!$C$25)),"Over max trades. ",""))</f>
        <v/>
      </c>
      <c r="J165" s="106" t="n"/>
      <c r="K165" s="106" t="n"/>
      <c r="L165" s="106" t="n"/>
      <c r="M165" s="29" t="n"/>
      <c r="N165" s="29" t="n"/>
      <c r="O165" s="106" t="n"/>
    </row>
    <row r="166">
      <c r="B166" s="107">
        <f>IF($B165="","",$B165+IF(AND(Settings!$C$10&lt;&gt;"Yes",WEEKDAY($B165,2)&gt;=5),8-WEEKDAY($B165,2),1))</f>
        <v>46510</v>
      </c>
      <c r="C166" s="103" t="str">
        <f>IF($B166="","",CHOOSE(WEEKDAY($B166,2),"Mon","Tue","Wed","Thu","Fri","Sat","Sun"))</f>
        <v>Mon</v>
      </c>
      <c r="D166" s="96">
        <f>IF($B166="","",COUNTIFS('Trade Log'!$A$6:$A$1005,$B166,'Trade Log'!$BH$6:$BH$1005,1))</f>
        <v>0</v>
      </c>
      <c r="E166" s="98" t="str">
        <f>IF(OR($B166="",N($D166)=0),"",SUMIFS('Trade Log'!$Q$6:$Q$1005,'Trade Log'!$A$6:$A$1005,$B166))</f>
        <v/>
      </c>
      <c r="F166" s="99" t="str">
        <f>IF(OR($B166="",N($D166)=0),"",IFERROR(COUNTIFS('Trade Log'!$A$6:$A$1005,$B166,'Trade Log'!$S$6:$S$1005,"Win")/(COUNTIFS('Trade Log'!$A$6:$A$1005,$B166,'Trade Log'!$S$6:$S$1005,"Win")+COUNTIFS('Trade Log'!$A$6:$A$1005,$B166,'Trade Log'!$S$6:$S$1005,"Loss")),"—"))</f>
        <v/>
      </c>
      <c r="G166" s="104" t="str">
        <f>IF(OR($B166="",N($D166)=0),"",SUMIFS('Trade Log'!$R$6:$R$1005,'Trade Log'!$A$6:$A$1005,$B166))</f>
        <v/>
      </c>
      <c r="H166" s="96" t="str">
        <f>IF(OR($B166="",N($D166)=0),"",COUNTIFS('Trade Log'!$A$6:$A$1005,$B166,'Trade Log'!$Z$6:$Z$1005,"No"))</f>
        <v/>
      </c>
      <c r="I166" s="105" t="str">
        <f>IF(OR($B166="",N($D166)=0),"",IF(AND(ISNUMBER(Settings!$C$26),N($E166)&lt;=-N(Settings!$C$26)),"Hit daily max loss. ","")&amp;IF(COUNTIFS('Trade Log'!$A$6:$A$1005,$B166,'Trade Log'!$BM$6:$BM$1005,1)&gt;0,"Kept trading after daily max loss. ","")&amp;IF(AND(ISNUMBER(Settings!$C$25),N($D166)&gt;N(Settings!$C$25)),"Over max trades. ",""))</f>
        <v/>
      </c>
      <c r="J166" s="106" t="n"/>
      <c r="K166" s="106" t="n"/>
      <c r="L166" s="106" t="n"/>
      <c r="M166" s="29" t="n"/>
      <c r="N166" s="29" t="n"/>
      <c r="O166" s="106" t="n"/>
    </row>
    <row r="167">
      <c r="B167" s="107">
        <f>IF($B166="","",$B166+IF(AND(Settings!$C$10&lt;&gt;"Yes",WEEKDAY($B166,2)&gt;=5),8-WEEKDAY($B166,2),1))</f>
        <v>46511</v>
      </c>
      <c r="C167" s="103" t="str">
        <f>IF($B167="","",CHOOSE(WEEKDAY($B167,2),"Mon","Tue","Wed","Thu","Fri","Sat","Sun"))</f>
        <v>Tue</v>
      </c>
      <c r="D167" s="96">
        <f>IF($B167="","",COUNTIFS('Trade Log'!$A$6:$A$1005,$B167,'Trade Log'!$BH$6:$BH$1005,1))</f>
        <v>0</v>
      </c>
      <c r="E167" s="98" t="str">
        <f>IF(OR($B167="",N($D167)=0),"",SUMIFS('Trade Log'!$Q$6:$Q$1005,'Trade Log'!$A$6:$A$1005,$B167))</f>
        <v/>
      </c>
      <c r="F167" s="99" t="str">
        <f>IF(OR($B167="",N($D167)=0),"",IFERROR(COUNTIFS('Trade Log'!$A$6:$A$1005,$B167,'Trade Log'!$S$6:$S$1005,"Win")/(COUNTIFS('Trade Log'!$A$6:$A$1005,$B167,'Trade Log'!$S$6:$S$1005,"Win")+COUNTIFS('Trade Log'!$A$6:$A$1005,$B167,'Trade Log'!$S$6:$S$1005,"Loss")),"—"))</f>
        <v/>
      </c>
      <c r="G167" s="104" t="str">
        <f>IF(OR($B167="",N($D167)=0),"",SUMIFS('Trade Log'!$R$6:$R$1005,'Trade Log'!$A$6:$A$1005,$B167))</f>
        <v/>
      </c>
      <c r="H167" s="96" t="str">
        <f>IF(OR($B167="",N($D167)=0),"",COUNTIFS('Trade Log'!$A$6:$A$1005,$B167,'Trade Log'!$Z$6:$Z$1005,"No"))</f>
        <v/>
      </c>
      <c r="I167" s="105" t="str">
        <f>IF(OR($B167="",N($D167)=0),"",IF(AND(ISNUMBER(Settings!$C$26),N($E167)&lt;=-N(Settings!$C$26)),"Hit daily max loss. ","")&amp;IF(COUNTIFS('Trade Log'!$A$6:$A$1005,$B167,'Trade Log'!$BM$6:$BM$1005,1)&gt;0,"Kept trading after daily max loss. ","")&amp;IF(AND(ISNUMBER(Settings!$C$25),N($D167)&gt;N(Settings!$C$25)),"Over max trades. ",""))</f>
        <v/>
      </c>
      <c r="J167" s="106" t="n"/>
      <c r="K167" s="106" t="n"/>
      <c r="L167" s="106" t="n"/>
      <c r="M167" s="29" t="n"/>
      <c r="N167" s="29" t="n"/>
      <c r="O167" s="106" t="n"/>
    </row>
    <row r="168">
      <c r="B168" s="107">
        <f>IF($B167="","",$B167+IF(AND(Settings!$C$10&lt;&gt;"Yes",WEEKDAY($B167,2)&gt;=5),8-WEEKDAY($B167,2),1))</f>
        <v>46512</v>
      </c>
      <c r="C168" s="103" t="str">
        <f>IF($B168="","",CHOOSE(WEEKDAY($B168,2),"Mon","Tue","Wed","Thu","Fri","Sat","Sun"))</f>
        <v>Wed</v>
      </c>
      <c r="D168" s="96">
        <f>IF($B168="","",COUNTIFS('Trade Log'!$A$6:$A$1005,$B168,'Trade Log'!$BH$6:$BH$1005,1))</f>
        <v>0</v>
      </c>
      <c r="E168" s="98" t="str">
        <f>IF(OR($B168="",N($D168)=0),"",SUMIFS('Trade Log'!$Q$6:$Q$1005,'Trade Log'!$A$6:$A$1005,$B168))</f>
        <v/>
      </c>
      <c r="F168" s="99" t="str">
        <f>IF(OR($B168="",N($D168)=0),"",IFERROR(COUNTIFS('Trade Log'!$A$6:$A$1005,$B168,'Trade Log'!$S$6:$S$1005,"Win")/(COUNTIFS('Trade Log'!$A$6:$A$1005,$B168,'Trade Log'!$S$6:$S$1005,"Win")+COUNTIFS('Trade Log'!$A$6:$A$1005,$B168,'Trade Log'!$S$6:$S$1005,"Loss")),"—"))</f>
        <v/>
      </c>
      <c r="G168" s="104" t="str">
        <f>IF(OR($B168="",N($D168)=0),"",SUMIFS('Trade Log'!$R$6:$R$1005,'Trade Log'!$A$6:$A$1005,$B168))</f>
        <v/>
      </c>
      <c r="H168" s="96" t="str">
        <f>IF(OR($B168="",N($D168)=0),"",COUNTIFS('Trade Log'!$A$6:$A$1005,$B168,'Trade Log'!$Z$6:$Z$1005,"No"))</f>
        <v/>
      </c>
      <c r="I168" s="105" t="str">
        <f>IF(OR($B168="",N($D168)=0),"",IF(AND(ISNUMBER(Settings!$C$26),N($E168)&lt;=-N(Settings!$C$26)),"Hit daily max loss. ","")&amp;IF(COUNTIFS('Trade Log'!$A$6:$A$1005,$B168,'Trade Log'!$BM$6:$BM$1005,1)&gt;0,"Kept trading after daily max loss. ","")&amp;IF(AND(ISNUMBER(Settings!$C$25),N($D168)&gt;N(Settings!$C$25)),"Over max trades. ",""))</f>
        <v/>
      </c>
      <c r="J168" s="106" t="n"/>
      <c r="K168" s="106" t="n"/>
      <c r="L168" s="106" t="n"/>
      <c r="M168" s="29" t="n"/>
      <c r="N168" s="29" t="n"/>
      <c r="O168" s="106" t="n"/>
    </row>
    <row r="169">
      <c r="B169" s="107">
        <f>IF($B168="","",$B168+IF(AND(Settings!$C$10&lt;&gt;"Yes",WEEKDAY($B168,2)&gt;=5),8-WEEKDAY($B168,2),1))</f>
        <v>46513</v>
      </c>
      <c r="C169" s="103" t="str">
        <f>IF($B169="","",CHOOSE(WEEKDAY($B169,2),"Mon","Tue","Wed","Thu","Fri","Sat","Sun"))</f>
        <v>Thu</v>
      </c>
      <c r="D169" s="96">
        <f>IF($B169="","",COUNTIFS('Trade Log'!$A$6:$A$1005,$B169,'Trade Log'!$BH$6:$BH$1005,1))</f>
        <v>0</v>
      </c>
      <c r="E169" s="98" t="str">
        <f>IF(OR($B169="",N($D169)=0),"",SUMIFS('Trade Log'!$Q$6:$Q$1005,'Trade Log'!$A$6:$A$1005,$B169))</f>
        <v/>
      </c>
      <c r="F169" s="99" t="str">
        <f>IF(OR($B169="",N($D169)=0),"",IFERROR(COUNTIFS('Trade Log'!$A$6:$A$1005,$B169,'Trade Log'!$S$6:$S$1005,"Win")/(COUNTIFS('Trade Log'!$A$6:$A$1005,$B169,'Trade Log'!$S$6:$S$1005,"Win")+COUNTIFS('Trade Log'!$A$6:$A$1005,$B169,'Trade Log'!$S$6:$S$1005,"Loss")),"—"))</f>
        <v/>
      </c>
      <c r="G169" s="104" t="str">
        <f>IF(OR($B169="",N($D169)=0),"",SUMIFS('Trade Log'!$R$6:$R$1005,'Trade Log'!$A$6:$A$1005,$B169))</f>
        <v/>
      </c>
      <c r="H169" s="96" t="str">
        <f>IF(OR($B169="",N($D169)=0),"",COUNTIFS('Trade Log'!$A$6:$A$1005,$B169,'Trade Log'!$Z$6:$Z$1005,"No"))</f>
        <v/>
      </c>
      <c r="I169" s="105" t="str">
        <f>IF(OR($B169="",N($D169)=0),"",IF(AND(ISNUMBER(Settings!$C$26),N($E169)&lt;=-N(Settings!$C$26)),"Hit daily max loss. ","")&amp;IF(COUNTIFS('Trade Log'!$A$6:$A$1005,$B169,'Trade Log'!$BM$6:$BM$1005,1)&gt;0,"Kept trading after daily max loss. ","")&amp;IF(AND(ISNUMBER(Settings!$C$25),N($D169)&gt;N(Settings!$C$25)),"Over max trades. ",""))</f>
        <v/>
      </c>
      <c r="J169" s="106" t="n"/>
      <c r="K169" s="106" t="n"/>
      <c r="L169" s="106" t="n"/>
      <c r="M169" s="29" t="n"/>
      <c r="N169" s="29" t="n"/>
      <c r="O169" s="106" t="n"/>
    </row>
    <row r="170">
      <c r="B170" s="107">
        <f>IF($B169="","",$B169+IF(AND(Settings!$C$10&lt;&gt;"Yes",WEEKDAY($B169,2)&gt;=5),8-WEEKDAY($B169,2),1))</f>
        <v>46514</v>
      </c>
      <c r="C170" s="103" t="str">
        <f>IF($B170="","",CHOOSE(WEEKDAY($B170,2),"Mon","Tue","Wed","Thu","Fri","Sat","Sun"))</f>
        <v>Fri</v>
      </c>
      <c r="D170" s="96">
        <f>IF($B170="","",COUNTIFS('Trade Log'!$A$6:$A$1005,$B170,'Trade Log'!$BH$6:$BH$1005,1))</f>
        <v>0</v>
      </c>
      <c r="E170" s="98" t="str">
        <f>IF(OR($B170="",N($D170)=0),"",SUMIFS('Trade Log'!$Q$6:$Q$1005,'Trade Log'!$A$6:$A$1005,$B170))</f>
        <v/>
      </c>
      <c r="F170" s="99" t="str">
        <f>IF(OR($B170="",N($D170)=0),"",IFERROR(COUNTIFS('Trade Log'!$A$6:$A$1005,$B170,'Trade Log'!$S$6:$S$1005,"Win")/(COUNTIFS('Trade Log'!$A$6:$A$1005,$B170,'Trade Log'!$S$6:$S$1005,"Win")+COUNTIFS('Trade Log'!$A$6:$A$1005,$B170,'Trade Log'!$S$6:$S$1005,"Loss")),"—"))</f>
        <v/>
      </c>
      <c r="G170" s="104" t="str">
        <f>IF(OR($B170="",N($D170)=0),"",SUMIFS('Trade Log'!$R$6:$R$1005,'Trade Log'!$A$6:$A$1005,$B170))</f>
        <v/>
      </c>
      <c r="H170" s="96" t="str">
        <f>IF(OR($B170="",N($D170)=0),"",COUNTIFS('Trade Log'!$A$6:$A$1005,$B170,'Trade Log'!$Z$6:$Z$1005,"No"))</f>
        <v/>
      </c>
      <c r="I170" s="105" t="str">
        <f>IF(OR($B170="",N($D170)=0),"",IF(AND(ISNUMBER(Settings!$C$26),N($E170)&lt;=-N(Settings!$C$26)),"Hit daily max loss. ","")&amp;IF(COUNTIFS('Trade Log'!$A$6:$A$1005,$B170,'Trade Log'!$BM$6:$BM$1005,1)&gt;0,"Kept trading after daily max loss. ","")&amp;IF(AND(ISNUMBER(Settings!$C$25),N($D170)&gt;N(Settings!$C$25)),"Over max trades. ",""))</f>
        <v/>
      </c>
      <c r="J170" s="106" t="n"/>
      <c r="K170" s="106" t="n"/>
      <c r="L170" s="106" t="n"/>
      <c r="M170" s="29" t="n"/>
      <c r="N170" s="29" t="n"/>
      <c r="O170" s="106" t="n"/>
    </row>
    <row r="171">
      <c r="B171" s="107">
        <f>IF($B170="","",$B170+IF(AND(Settings!$C$10&lt;&gt;"Yes",WEEKDAY($B170,2)&gt;=5),8-WEEKDAY($B170,2),1))</f>
        <v>46517</v>
      </c>
      <c r="C171" s="103" t="str">
        <f>IF($B171="","",CHOOSE(WEEKDAY($B171,2),"Mon","Tue","Wed","Thu","Fri","Sat","Sun"))</f>
        <v>Mon</v>
      </c>
      <c r="D171" s="96">
        <f>IF($B171="","",COUNTIFS('Trade Log'!$A$6:$A$1005,$B171,'Trade Log'!$BH$6:$BH$1005,1))</f>
        <v>0</v>
      </c>
      <c r="E171" s="98" t="str">
        <f>IF(OR($B171="",N($D171)=0),"",SUMIFS('Trade Log'!$Q$6:$Q$1005,'Trade Log'!$A$6:$A$1005,$B171))</f>
        <v/>
      </c>
      <c r="F171" s="99" t="str">
        <f>IF(OR($B171="",N($D171)=0),"",IFERROR(COUNTIFS('Trade Log'!$A$6:$A$1005,$B171,'Trade Log'!$S$6:$S$1005,"Win")/(COUNTIFS('Trade Log'!$A$6:$A$1005,$B171,'Trade Log'!$S$6:$S$1005,"Win")+COUNTIFS('Trade Log'!$A$6:$A$1005,$B171,'Trade Log'!$S$6:$S$1005,"Loss")),"—"))</f>
        <v/>
      </c>
      <c r="G171" s="104" t="str">
        <f>IF(OR($B171="",N($D171)=0),"",SUMIFS('Trade Log'!$R$6:$R$1005,'Trade Log'!$A$6:$A$1005,$B171))</f>
        <v/>
      </c>
      <c r="H171" s="96" t="str">
        <f>IF(OR($B171="",N($D171)=0),"",COUNTIFS('Trade Log'!$A$6:$A$1005,$B171,'Trade Log'!$Z$6:$Z$1005,"No"))</f>
        <v/>
      </c>
      <c r="I171" s="105" t="str">
        <f>IF(OR($B171="",N($D171)=0),"",IF(AND(ISNUMBER(Settings!$C$26),N($E171)&lt;=-N(Settings!$C$26)),"Hit daily max loss. ","")&amp;IF(COUNTIFS('Trade Log'!$A$6:$A$1005,$B171,'Trade Log'!$BM$6:$BM$1005,1)&gt;0,"Kept trading after daily max loss. ","")&amp;IF(AND(ISNUMBER(Settings!$C$25),N($D171)&gt;N(Settings!$C$25)),"Over max trades. ",""))</f>
        <v/>
      </c>
      <c r="J171" s="106" t="n"/>
      <c r="K171" s="106" t="n"/>
      <c r="L171" s="106" t="n"/>
      <c r="M171" s="29" t="n"/>
      <c r="N171" s="29" t="n"/>
      <c r="O171" s="106" t="n"/>
    </row>
    <row r="172">
      <c r="B172" s="107">
        <f>IF($B171="","",$B171+IF(AND(Settings!$C$10&lt;&gt;"Yes",WEEKDAY($B171,2)&gt;=5),8-WEEKDAY($B171,2),1))</f>
        <v>46518</v>
      </c>
      <c r="C172" s="103" t="str">
        <f>IF($B172="","",CHOOSE(WEEKDAY($B172,2),"Mon","Tue","Wed","Thu","Fri","Sat","Sun"))</f>
        <v>Tue</v>
      </c>
      <c r="D172" s="96">
        <f>IF($B172="","",COUNTIFS('Trade Log'!$A$6:$A$1005,$B172,'Trade Log'!$BH$6:$BH$1005,1))</f>
        <v>0</v>
      </c>
      <c r="E172" s="98" t="str">
        <f>IF(OR($B172="",N($D172)=0),"",SUMIFS('Trade Log'!$Q$6:$Q$1005,'Trade Log'!$A$6:$A$1005,$B172))</f>
        <v/>
      </c>
      <c r="F172" s="99" t="str">
        <f>IF(OR($B172="",N($D172)=0),"",IFERROR(COUNTIFS('Trade Log'!$A$6:$A$1005,$B172,'Trade Log'!$S$6:$S$1005,"Win")/(COUNTIFS('Trade Log'!$A$6:$A$1005,$B172,'Trade Log'!$S$6:$S$1005,"Win")+COUNTIFS('Trade Log'!$A$6:$A$1005,$B172,'Trade Log'!$S$6:$S$1005,"Loss")),"—"))</f>
        <v/>
      </c>
      <c r="G172" s="104" t="str">
        <f>IF(OR($B172="",N($D172)=0),"",SUMIFS('Trade Log'!$R$6:$R$1005,'Trade Log'!$A$6:$A$1005,$B172))</f>
        <v/>
      </c>
      <c r="H172" s="96" t="str">
        <f>IF(OR($B172="",N($D172)=0),"",COUNTIFS('Trade Log'!$A$6:$A$1005,$B172,'Trade Log'!$Z$6:$Z$1005,"No"))</f>
        <v/>
      </c>
      <c r="I172" s="105" t="str">
        <f>IF(OR($B172="",N($D172)=0),"",IF(AND(ISNUMBER(Settings!$C$26),N($E172)&lt;=-N(Settings!$C$26)),"Hit daily max loss. ","")&amp;IF(COUNTIFS('Trade Log'!$A$6:$A$1005,$B172,'Trade Log'!$BM$6:$BM$1005,1)&gt;0,"Kept trading after daily max loss. ","")&amp;IF(AND(ISNUMBER(Settings!$C$25),N($D172)&gt;N(Settings!$C$25)),"Over max trades. ",""))</f>
        <v/>
      </c>
      <c r="J172" s="106" t="n"/>
      <c r="K172" s="106" t="n"/>
      <c r="L172" s="106" t="n"/>
      <c r="M172" s="29" t="n"/>
      <c r="N172" s="29" t="n"/>
      <c r="O172" s="106" t="n"/>
    </row>
    <row r="173">
      <c r="B173" s="107">
        <f>IF($B172="","",$B172+IF(AND(Settings!$C$10&lt;&gt;"Yes",WEEKDAY($B172,2)&gt;=5),8-WEEKDAY($B172,2),1))</f>
        <v>46519</v>
      </c>
      <c r="C173" s="103" t="str">
        <f>IF($B173="","",CHOOSE(WEEKDAY($B173,2),"Mon","Tue","Wed","Thu","Fri","Sat","Sun"))</f>
        <v>Wed</v>
      </c>
      <c r="D173" s="96">
        <f>IF($B173="","",COUNTIFS('Trade Log'!$A$6:$A$1005,$B173,'Trade Log'!$BH$6:$BH$1005,1))</f>
        <v>0</v>
      </c>
      <c r="E173" s="98" t="str">
        <f>IF(OR($B173="",N($D173)=0),"",SUMIFS('Trade Log'!$Q$6:$Q$1005,'Trade Log'!$A$6:$A$1005,$B173))</f>
        <v/>
      </c>
      <c r="F173" s="99" t="str">
        <f>IF(OR($B173="",N($D173)=0),"",IFERROR(COUNTIFS('Trade Log'!$A$6:$A$1005,$B173,'Trade Log'!$S$6:$S$1005,"Win")/(COUNTIFS('Trade Log'!$A$6:$A$1005,$B173,'Trade Log'!$S$6:$S$1005,"Win")+COUNTIFS('Trade Log'!$A$6:$A$1005,$B173,'Trade Log'!$S$6:$S$1005,"Loss")),"—"))</f>
        <v/>
      </c>
      <c r="G173" s="104" t="str">
        <f>IF(OR($B173="",N($D173)=0),"",SUMIFS('Trade Log'!$R$6:$R$1005,'Trade Log'!$A$6:$A$1005,$B173))</f>
        <v/>
      </c>
      <c r="H173" s="96" t="str">
        <f>IF(OR($B173="",N($D173)=0),"",COUNTIFS('Trade Log'!$A$6:$A$1005,$B173,'Trade Log'!$Z$6:$Z$1005,"No"))</f>
        <v/>
      </c>
      <c r="I173" s="105" t="str">
        <f>IF(OR($B173="",N($D173)=0),"",IF(AND(ISNUMBER(Settings!$C$26),N($E173)&lt;=-N(Settings!$C$26)),"Hit daily max loss. ","")&amp;IF(COUNTIFS('Trade Log'!$A$6:$A$1005,$B173,'Trade Log'!$BM$6:$BM$1005,1)&gt;0,"Kept trading after daily max loss. ","")&amp;IF(AND(ISNUMBER(Settings!$C$25),N($D173)&gt;N(Settings!$C$25)),"Over max trades. ",""))</f>
        <v/>
      </c>
      <c r="J173" s="106" t="n"/>
      <c r="K173" s="106" t="n"/>
      <c r="L173" s="106" t="n"/>
      <c r="M173" s="29" t="n"/>
      <c r="N173" s="29" t="n"/>
      <c r="O173" s="106" t="n"/>
    </row>
    <row r="174">
      <c r="B174" s="107">
        <f>IF($B173="","",$B173+IF(AND(Settings!$C$10&lt;&gt;"Yes",WEEKDAY($B173,2)&gt;=5),8-WEEKDAY($B173,2),1))</f>
        <v>46520</v>
      </c>
      <c r="C174" s="103" t="str">
        <f>IF($B174="","",CHOOSE(WEEKDAY($B174,2),"Mon","Tue","Wed","Thu","Fri","Sat","Sun"))</f>
        <v>Thu</v>
      </c>
      <c r="D174" s="96">
        <f>IF($B174="","",COUNTIFS('Trade Log'!$A$6:$A$1005,$B174,'Trade Log'!$BH$6:$BH$1005,1))</f>
        <v>0</v>
      </c>
      <c r="E174" s="98" t="str">
        <f>IF(OR($B174="",N($D174)=0),"",SUMIFS('Trade Log'!$Q$6:$Q$1005,'Trade Log'!$A$6:$A$1005,$B174))</f>
        <v/>
      </c>
      <c r="F174" s="99" t="str">
        <f>IF(OR($B174="",N($D174)=0),"",IFERROR(COUNTIFS('Trade Log'!$A$6:$A$1005,$B174,'Trade Log'!$S$6:$S$1005,"Win")/(COUNTIFS('Trade Log'!$A$6:$A$1005,$B174,'Trade Log'!$S$6:$S$1005,"Win")+COUNTIFS('Trade Log'!$A$6:$A$1005,$B174,'Trade Log'!$S$6:$S$1005,"Loss")),"—"))</f>
        <v/>
      </c>
      <c r="G174" s="104" t="str">
        <f>IF(OR($B174="",N($D174)=0),"",SUMIFS('Trade Log'!$R$6:$R$1005,'Trade Log'!$A$6:$A$1005,$B174))</f>
        <v/>
      </c>
      <c r="H174" s="96" t="str">
        <f>IF(OR($B174="",N($D174)=0),"",COUNTIFS('Trade Log'!$A$6:$A$1005,$B174,'Trade Log'!$Z$6:$Z$1005,"No"))</f>
        <v/>
      </c>
      <c r="I174" s="105" t="str">
        <f>IF(OR($B174="",N($D174)=0),"",IF(AND(ISNUMBER(Settings!$C$26),N($E174)&lt;=-N(Settings!$C$26)),"Hit daily max loss. ","")&amp;IF(COUNTIFS('Trade Log'!$A$6:$A$1005,$B174,'Trade Log'!$BM$6:$BM$1005,1)&gt;0,"Kept trading after daily max loss. ","")&amp;IF(AND(ISNUMBER(Settings!$C$25),N($D174)&gt;N(Settings!$C$25)),"Over max trades. ",""))</f>
        <v/>
      </c>
      <c r="J174" s="106" t="n"/>
      <c r="K174" s="106" t="n"/>
      <c r="L174" s="106" t="n"/>
      <c r="M174" s="29" t="n"/>
      <c r="N174" s="29" t="n"/>
      <c r="O174" s="106" t="n"/>
    </row>
    <row r="175">
      <c r="B175" s="107">
        <f>IF($B174="","",$B174+IF(AND(Settings!$C$10&lt;&gt;"Yes",WEEKDAY($B174,2)&gt;=5),8-WEEKDAY($B174,2),1))</f>
        <v>46521</v>
      </c>
      <c r="C175" s="103" t="str">
        <f>IF($B175="","",CHOOSE(WEEKDAY($B175,2),"Mon","Tue","Wed","Thu","Fri","Sat","Sun"))</f>
        <v>Fri</v>
      </c>
      <c r="D175" s="96">
        <f>IF($B175="","",COUNTIFS('Trade Log'!$A$6:$A$1005,$B175,'Trade Log'!$BH$6:$BH$1005,1))</f>
        <v>0</v>
      </c>
      <c r="E175" s="98" t="str">
        <f>IF(OR($B175="",N($D175)=0),"",SUMIFS('Trade Log'!$Q$6:$Q$1005,'Trade Log'!$A$6:$A$1005,$B175))</f>
        <v/>
      </c>
      <c r="F175" s="99" t="str">
        <f>IF(OR($B175="",N($D175)=0),"",IFERROR(COUNTIFS('Trade Log'!$A$6:$A$1005,$B175,'Trade Log'!$S$6:$S$1005,"Win")/(COUNTIFS('Trade Log'!$A$6:$A$1005,$B175,'Trade Log'!$S$6:$S$1005,"Win")+COUNTIFS('Trade Log'!$A$6:$A$1005,$B175,'Trade Log'!$S$6:$S$1005,"Loss")),"—"))</f>
        <v/>
      </c>
      <c r="G175" s="104" t="str">
        <f>IF(OR($B175="",N($D175)=0),"",SUMIFS('Trade Log'!$R$6:$R$1005,'Trade Log'!$A$6:$A$1005,$B175))</f>
        <v/>
      </c>
      <c r="H175" s="96" t="str">
        <f>IF(OR($B175="",N($D175)=0),"",COUNTIFS('Trade Log'!$A$6:$A$1005,$B175,'Trade Log'!$Z$6:$Z$1005,"No"))</f>
        <v/>
      </c>
      <c r="I175" s="105" t="str">
        <f>IF(OR($B175="",N($D175)=0),"",IF(AND(ISNUMBER(Settings!$C$26),N($E175)&lt;=-N(Settings!$C$26)),"Hit daily max loss. ","")&amp;IF(COUNTIFS('Trade Log'!$A$6:$A$1005,$B175,'Trade Log'!$BM$6:$BM$1005,1)&gt;0,"Kept trading after daily max loss. ","")&amp;IF(AND(ISNUMBER(Settings!$C$25),N($D175)&gt;N(Settings!$C$25)),"Over max trades. ",""))</f>
        <v/>
      </c>
      <c r="J175" s="106" t="n"/>
      <c r="K175" s="106" t="n"/>
      <c r="L175" s="106" t="n"/>
      <c r="M175" s="29" t="n"/>
      <c r="N175" s="29" t="n"/>
      <c r="O175" s="106" t="n"/>
    </row>
    <row r="176">
      <c r="B176" s="107">
        <f>IF($B175="","",$B175+IF(AND(Settings!$C$10&lt;&gt;"Yes",WEEKDAY($B175,2)&gt;=5),8-WEEKDAY($B175,2),1))</f>
        <v>46524</v>
      </c>
      <c r="C176" s="103" t="str">
        <f>IF($B176="","",CHOOSE(WEEKDAY($B176,2),"Mon","Tue","Wed","Thu","Fri","Sat","Sun"))</f>
        <v>Mon</v>
      </c>
      <c r="D176" s="96">
        <f>IF($B176="","",COUNTIFS('Trade Log'!$A$6:$A$1005,$B176,'Trade Log'!$BH$6:$BH$1005,1))</f>
        <v>0</v>
      </c>
      <c r="E176" s="98" t="str">
        <f>IF(OR($B176="",N($D176)=0),"",SUMIFS('Trade Log'!$Q$6:$Q$1005,'Trade Log'!$A$6:$A$1005,$B176))</f>
        <v/>
      </c>
      <c r="F176" s="99" t="str">
        <f>IF(OR($B176="",N($D176)=0),"",IFERROR(COUNTIFS('Trade Log'!$A$6:$A$1005,$B176,'Trade Log'!$S$6:$S$1005,"Win")/(COUNTIFS('Trade Log'!$A$6:$A$1005,$B176,'Trade Log'!$S$6:$S$1005,"Win")+COUNTIFS('Trade Log'!$A$6:$A$1005,$B176,'Trade Log'!$S$6:$S$1005,"Loss")),"—"))</f>
        <v/>
      </c>
      <c r="G176" s="104" t="str">
        <f>IF(OR($B176="",N($D176)=0),"",SUMIFS('Trade Log'!$R$6:$R$1005,'Trade Log'!$A$6:$A$1005,$B176))</f>
        <v/>
      </c>
      <c r="H176" s="96" t="str">
        <f>IF(OR($B176="",N($D176)=0),"",COUNTIFS('Trade Log'!$A$6:$A$1005,$B176,'Trade Log'!$Z$6:$Z$1005,"No"))</f>
        <v/>
      </c>
      <c r="I176" s="105" t="str">
        <f>IF(OR($B176="",N($D176)=0),"",IF(AND(ISNUMBER(Settings!$C$26),N($E176)&lt;=-N(Settings!$C$26)),"Hit daily max loss. ","")&amp;IF(COUNTIFS('Trade Log'!$A$6:$A$1005,$B176,'Trade Log'!$BM$6:$BM$1005,1)&gt;0,"Kept trading after daily max loss. ","")&amp;IF(AND(ISNUMBER(Settings!$C$25),N($D176)&gt;N(Settings!$C$25)),"Over max trades. ",""))</f>
        <v/>
      </c>
      <c r="J176" s="106" t="n"/>
      <c r="K176" s="106" t="n"/>
      <c r="L176" s="106" t="n"/>
      <c r="M176" s="29" t="n"/>
      <c r="N176" s="29" t="n"/>
      <c r="O176" s="106" t="n"/>
    </row>
    <row r="177">
      <c r="B177" s="107">
        <f>IF($B176="","",$B176+IF(AND(Settings!$C$10&lt;&gt;"Yes",WEEKDAY($B176,2)&gt;=5),8-WEEKDAY($B176,2),1))</f>
        <v>46525</v>
      </c>
      <c r="C177" s="103" t="str">
        <f>IF($B177="","",CHOOSE(WEEKDAY($B177,2),"Mon","Tue","Wed","Thu","Fri","Sat","Sun"))</f>
        <v>Tue</v>
      </c>
      <c r="D177" s="96">
        <f>IF($B177="","",COUNTIFS('Trade Log'!$A$6:$A$1005,$B177,'Trade Log'!$BH$6:$BH$1005,1))</f>
        <v>0</v>
      </c>
      <c r="E177" s="98" t="str">
        <f>IF(OR($B177="",N($D177)=0),"",SUMIFS('Trade Log'!$Q$6:$Q$1005,'Trade Log'!$A$6:$A$1005,$B177))</f>
        <v/>
      </c>
      <c r="F177" s="99" t="str">
        <f>IF(OR($B177="",N($D177)=0),"",IFERROR(COUNTIFS('Trade Log'!$A$6:$A$1005,$B177,'Trade Log'!$S$6:$S$1005,"Win")/(COUNTIFS('Trade Log'!$A$6:$A$1005,$B177,'Trade Log'!$S$6:$S$1005,"Win")+COUNTIFS('Trade Log'!$A$6:$A$1005,$B177,'Trade Log'!$S$6:$S$1005,"Loss")),"—"))</f>
        <v/>
      </c>
      <c r="G177" s="104" t="str">
        <f>IF(OR($B177="",N($D177)=0),"",SUMIFS('Trade Log'!$R$6:$R$1005,'Trade Log'!$A$6:$A$1005,$B177))</f>
        <v/>
      </c>
      <c r="H177" s="96" t="str">
        <f>IF(OR($B177="",N($D177)=0),"",COUNTIFS('Trade Log'!$A$6:$A$1005,$B177,'Trade Log'!$Z$6:$Z$1005,"No"))</f>
        <v/>
      </c>
      <c r="I177" s="105" t="str">
        <f>IF(OR($B177="",N($D177)=0),"",IF(AND(ISNUMBER(Settings!$C$26),N($E177)&lt;=-N(Settings!$C$26)),"Hit daily max loss. ","")&amp;IF(COUNTIFS('Trade Log'!$A$6:$A$1005,$B177,'Trade Log'!$BM$6:$BM$1005,1)&gt;0,"Kept trading after daily max loss. ","")&amp;IF(AND(ISNUMBER(Settings!$C$25),N($D177)&gt;N(Settings!$C$25)),"Over max trades. ",""))</f>
        <v/>
      </c>
      <c r="J177" s="106" t="n"/>
      <c r="K177" s="106" t="n"/>
      <c r="L177" s="106" t="n"/>
      <c r="M177" s="29" t="n"/>
      <c r="N177" s="29" t="n"/>
      <c r="O177" s="106" t="n"/>
    </row>
    <row r="178">
      <c r="B178" s="107">
        <f>IF($B177="","",$B177+IF(AND(Settings!$C$10&lt;&gt;"Yes",WEEKDAY($B177,2)&gt;=5),8-WEEKDAY($B177,2),1))</f>
        <v>46526</v>
      </c>
      <c r="C178" s="103" t="str">
        <f>IF($B178="","",CHOOSE(WEEKDAY($B178,2),"Mon","Tue","Wed","Thu","Fri","Sat","Sun"))</f>
        <v>Wed</v>
      </c>
      <c r="D178" s="96">
        <f>IF($B178="","",COUNTIFS('Trade Log'!$A$6:$A$1005,$B178,'Trade Log'!$BH$6:$BH$1005,1))</f>
        <v>0</v>
      </c>
      <c r="E178" s="98" t="str">
        <f>IF(OR($B178="",N($D178)=0),"",SUMIFS('Trade Log'!$Q$6:$Q$1005,'Trade Log'!$A$6:$A$1005,$B178))</f>
        <v/>
      </c>
      <c r="F178" s="99" t="str">
        <f>IF(OR($B178="",N($D178)=0),"",IFERROR(COUNTIFS('Trade Log'!$A$6:$A$1005,$B178,'Trade Log'!$S$6:$S$1005,"Win")/(COUNTIFS('Trade Log'!$A$6:$A$1005,$B178,'Trade Log'!$S$6:$S$1005,"Win")+COUNTIFS('Trade Log'!$A$6:$A$1005,$B178,'Trade Log'!$S$6:$S$1005,"Loss")),"—"))</f>
        <v/>
      </c>
      <c r="G178" s="104" t="str">
        <f>IF(OR($B178="",N($D178)=0),"",SUMIFS('Trade Log'!$R$6:$R$1005,'Trade Log'!$A$6:$A$1005,$B178))</f>
        <v/>
      </c>
      <c r="H178" s="96" t="str">
        <f>IF(OR($B178="",N($D178)=0),"",COUNTIFS('Trade Log'!$A$6:$A$1005,$B178,'Trade Log'!$Z$6:$Z$1005,"No"))</f>
        <v/>
      </c>
      <c r="I178" s="105" t="str">
        <f>IF(OR($B178="",N($D178)=0),"",IF(AND(ISNUMBER(Settings!$C$26),N($E178)&lt;=-N(Settings!$C$26)),"Hit daily max loss. ","")&amp;IF(COUNTIFS('Trade Log'!$A$6:$A$1005,$B178,'Trade Log'!$BM$6:$BM$1005,1)&gt;0,"Kept trading after daily max loss. ","")&amp;IF(AND(ISNUMBER(Settings!$C$25),N($D178)&gt;N(Settings!$C$25)),"Over max trades. ",""))</f>
        <v/>
      </c>
      <c r="J178" s="106" t="n"/>
      <c r="K178" s="106" t="n"/>
      <c r="L178" s="106" t="n"/>
      <c r="M178" s="29" t="n"/>
      <c r="N178" s="29" t="n"/>
      <c r="O178" s="106" t="n"/>
    </row>
    <row r="179">
      <c r="B179" s="107">
        <f>IF($B178="","",$B178+IF(AND(Settings!$C$10&lt;&gt;"Yes",WEEKDAY($B178,2)&gt;=5),8-WEEKDAY($B178,2),1))</f>
        <v>46527</v>
      </c>
      <c r="C179" s="103" t="str">
        <f>IF($B179="","",CHOOSE(WEEKDAY($B179,2),"Mon","Tue","Wed","Thu","Fri","Sat","Sun"))</f>
        <v>Thu</v>
      </c>
      <c r="D179" s="96">
        <f>IF($B179="","",COUNTIFS('Trade Log'!$A$6:$A$1005,$B179,'Trade Log'!$BH$6:$BH$1005,1))</f>
        <v>0</v>
      </c>
      <c r="E179" s="98" t="str">
        <f>IF(OR($B179="",N($D179)=0),"",SUMIFS('Trade Log'!$Q$6:$Q$1005,'Trade Log'!$A$6:$A$1005,$B179))</f>
        <v/>
      </c>
      <c r="F179" s="99" t="str">
        <f>IF(OR($B179="",N($D179)=0),"",IFERROR(COUNTIFS('Trade Log'!$A$6:$A$1005,$B179,'Trade Log'!$S$6:$S$1005,"Win")/(COUNTIFS('Trade Log'!$A$6:$A$1005,$B179,'Trade Log'!$S$6:$S$1005,"Win")+COUNTIFS('Trade Log'!$A$6:$A$1005,$B179,'Trade Log'!$S$6:$S$1005,"Loss")),"—"))</f>
        <v/>
      </c>
      <c r="G179" s="104" t="str">
        <f>IF(OR($B179="",N($D179)=0),"",SUMIFS('Trade Log'!$R$6:$R$1005,'Trade Log'!$A$6:$A$1005,$B179))</f>
        <v/>
      </c>
      <c r="H179" s="96" t="str">
        <f>IF(OR($B179="",N($D179)=0),"",COUNTIFS('Trade Log'!$A$6:$A$1005,$B179,'Trade Log'!$Z$6:$Z$1005,"No"))</f>
        <v/>
      </c>
      <c r="I179" s="105" t="str">
        <f>IF(OR($B179="",N($D179)=0),"",IF(AND(ISNUMBER(Settings!$C$26),N($E179)&lt;=-N(Settings!$C$26)),"Hit daily max loss. ","")&amp;IF(COUNTIFS('Trade Log'!$A$6:$A$1005,$B179,'Trade Log'!$BM$6:$BM$1005,1)&gt;0,"Kept trading after daily max loss. ","")&amp;IF(AND(ISNUMBER(Settings!$C$25),N($D179)&gt;N(Settings!$C$25)),"Over max trades. ",""))</f>
        <v/>
      </c>
      <c r="J179" s="106" t="n"/>
      <c r="K179" s="106" t="n"/>
      <c r="L179" s="106" t="n"/>
      <c r="M179" s="29" t="n"/>
      <c r="N179" s="29" t="n"/>
      <c r="O179" s="106" t="n"/>
    </row>
    <row r="180">
      <c r="B180" s="107">
        <f>IF($B179="","",$B179+IF(AND(Settings!$C$10&lt;&gt;"Yes",WEEKDAY($B179,2)&gt;=5),8-WEEKDAY($B179,2),1))</f>
        <v>46528</v>
      </c>
      <c r="C180" s="103" t="str">
        <f>IF($B180="","",CHOOSE(WEEKDAY($B180,2),"Mon","Tue","Wed","Thu","Fri","Sat","Sun"))</f>
        <v>Fri</v>
      </c>
      <c r="D180" s="96">
        <f>IF($B180="","",COUNTIFS('Trade Log'!$A$6:$A$1005,$B180,'Trade Log'!$BH$6:$BH$1005,1))</f>
        <v>0</v>
      </c>
      <c r="E180" s="98" t="str">
        <f>IF(OR($B180="",N($D180)=0),"",SUMIFS('Trade Log'!$Q$6:$Q$1005,'Trade Log'!$A$6:$A$1005,$B180))</f>
        <v/>
      </c>
      <c r="F180" s="99" t="str">
        <f>IF(OR($B180="",N($D180)=0),"",IFERROR(COUNTIFS('Trade Log'!$A$6:$A$1005,$B180,'Trade Log'!$S$6:$S$1005,"Win")/(COUNTIFS('Trade Log'!$A$6:$A$1005,$B180,'Trade Log'!$S$6:$S$1005,"Win")+COUNTIFS('Trade Log'!$A$6:$A$1005,$B180,'Trade Log'!$S$6:$S$1005,"Loss")),"—"))</f>
        <v/>
      </c>
      <c r="G180" s="104" t="str">
        <f>IF(OR($B180="",N($D180)=0),"",SUMIFS('Trade Log'!$R$6:$R$1005,'Trade Log'!$A$6:$A$1005,$B180))</f>
        <v/>
      </c>
      <c r="H180" s="96" t="str">
        <f>IF(OR($B180="",N($D180)=0),"",COUNTIFS('Trade Log'!$A$6:$A$1005,$B180,'Trade Log'!$Z$6:$Z$1005,"No"))</f>
        <v/>
      </c>
      <c r="I180" s="105" t="str">
        <f>IF(OR($B180="",N($D180)=0),"",IF(AND(ISNUMBER(Settings!$C$26),N($E180)&lt;=-N(Settings!$C$26)),"Hit daily max loss. ","")&amp;IF(COUNTIFS('Trade Log'!$A$6:$A$1005,$B180,'Trade Log'!$BM$6:$BM$1005,1)&gt;0,"Kept trading after daily max loss. ","")&amp;IF(AND(ISNUMBER(Settings!$C$25),N($D180)&gt;N(Settings!$C$25)),"Over max trades. ",""))</f>
        <v/>
      </c>
      <c r="J180" s="106" t="n"/>
      <c r="K180" s="106" t="n"/>
      <c r="L180" s="106" t="n"/>
      <c r="M180" s="29" t="n"/>
      <c r="N180" s="29" t="n"/>
      <c r="O180" s="106" t="n"/>
    </row>
    <row r="181">
      <c r="B181" s="107">
        <f>IF($B180="","",$B180+IF(AND(Settings!$C$10&lt;&gt;"Yes",WEEKDAY($B180,2)&gt;=5),8-WEEKDAY($B180,2),1))</f>
        <v>46531</v>
      </c>
      <c r="C181" s="103" t="str">
        <f>IF($B181="","",CHOOSE(WEEKDAY($B181,2),"Mon","Tue","Wed","Thu","Fri","Sat","Sun"))</f>
        <v>Mon</v>
      </c>
      <c r="D181" s="96">
        <f>IF($B181="","",COUNTIFS('Trade Log'!$A$6:$A$1005,$B181,'Trade Log'!$BH$6:$BH$1005,1))</f>
        <v>0</v>
      </c>
      <c r="E181" s="98" t="str">
        <f>IF(OR($B181="",N($D181)=0),"",SUMIFS('Trade Log'!$Q$6:$Q$1005,'Trade Log'!$A$6:$A$1005,$B181))</f>
        <v/>
      </c>
      <c r="F181" s="99" t="str">
        <f>IF(OR($B181="",N($D181)=0),"",IFERROR(COUNTIFS('Trade Log'!$A$6:$A$1005,$B181,'Trade Log'!$S$6:$S$1005,"Win")/(COUNTIFS('Trade Log'!$A$6:$A$1005,$B181,'Trade Log'!$S$6:$S$1005,"Win")+COUNTIFS('Trade Log'!$A$6:$A$1005,$B181,'Trade Log'!$S$6:$S$1005,"Loss")),"—"))</f>
        <v/>
      </c>
      <c r="G181" s="104" t="str">
        <f>IF(OR($B181="",N($D181)=0),"",SUMIFS('Trade Log'!$R$6:$R$1005,'Trade Log'!$A$6:$A$1005,$B181))</f>
        <v/>
      </c>
      <c r="H181" s="96" t="str">
        <f>IF(OR($B181="",N($D181)=0),"",COUNTIFS('Trade Log'!$A$6:$A$1005,$B181,'Trade Log'!$Z$6:$Z$1005,"No"))</f>
        <v/>
      </c>
      <c r="I181" s="105" t="str">
        <f>IF(OR($B181="",N($D181)=0),"",IF(AND(ISNUMBER(Settings!$C$26),N($E181)&lt;=-N(Settings!$C$26)),"Hit daily max loss. ","")&amp;IF(COUNTIFS('Trade Log'!$A$6:$A$1005,$B181,'Trade Log'!$BM$6:$BM$1005,1)&gt;0,"Kept trading after daily max loss. ","")&amp;IF(AND(ISNUMBER(Settings!$C$25),N($D181)&gt;N(Settings!$C$25)),"Over max trades. ",""))</f>
        <v/>
      </c>
      <c r="J181" s="106" t="n"/>
      <c r="K181" s="106" t="n"/>
      <c r="L181" s="106" t="n"/>
      <c r="M181" s="29" t="n"/>
      <c r="N181" s="29" t="n"/>
      <c r="O181" s="106" t="n"/>
    </row>
    <row r="182">
      <c r="B182" s="107">
        <f>IF($B181="","",$B181+IF(AND(Settings!$C$10&lt;&gt;"Yes",WEEKDAY($B181,2)&gt;=5),8-WEEKDAY($B181,2),1))</f>
        <v>46532</v>
      </c>
      <c r="C182" s="103" t="str">
        <f>IF($B182="","",CHOOSE(WEEKDAY($B182,2),"Mon","Tue","Wed","Thu","Fri","Sat","Sun"))</f>
        <v>Tue</v>
      </c>
      <c r="D182" s="96">
        <f>IF($B182="","",COUNTIFS('Trade Log'!$A$6:$A$1005,$B182,'Trade Log'!$BH$6:$BH$1005,1))</f>
        <v>0</v>
      </c>
      <c r="E182" s="98" t="str">
        <f>IF(OR($B182="",N($D182)=0),"",SUMIFS('Trade Log'!$Q$6:$Q$1005,'Trade Log'!$A$6:$A$1005,$B182))</f>
        <v/>
      </c>
      <c r="F182" s="99" t="str">
        <f>IF(OR($B182="",N($D182)=0),"",IFERROR(COUNTIFS('Trade Log'!$A$6:$A$1005,$B182,'Trade Log'!$S$6:$S$1005,"Win")/(COUNTIFS('Trade Log'!$A$6:$A$1005,$B182,'Trade Log'!$S$6:$S$1005,"Win")+COUNTIFS('Trade Log'!$A$6:$A$1005,$B182,'Trade Log'!$S$6:$S$1005,"Loss")),"—"))</f>
        <v/>
      </c>
      <c r="G182" s="104" t="str">
        <f>IF(OR($B182="",N($D182)=0),"",SUMIFS('Trade Log'!$R$6:$R$1005,'Trade Log'!$A$6:$A$1005,$B182))</f>
        <v/>
      </c>
      <c r="H182" s="96" t="str">
        <f>IF(OR($B182="",N($D182)=0),"",COUNTIFS('Trade Log'!$A$6:$A$1005,$B182,'Trade Log'!$Z$6:$Z$1005,"No"))</f>
        <v/>
      </c>
      <c r="I182" s="105" t="str">
        <f>IF(OR($B182="",N($D182)=0),"",IF(AND(ISNUMBER(Settings!$C$26),N($E182)&lt;=-N(Settings!$C$26)),"Hit daily max loss. ","")&amp;IF(COUNTIFS('Trade Log'!$A$6:$A$1005,$B182,'Trade Log'!$BM$6:$BM$1005,1)&gt;0,"Kept trading after daily max loss. ","")&amp;IF(AND(ISNUMBER(Settings!$C$25),N($D182)&gt;N(Settings!$C$25)),"Over max trades. ",""))</f>
        <v/>
      </c>
      <c r="J182" s="106" t="n"/>
      <c r="K182" s="106" t="n"/>
      <c r="L182" s="106" t="n"/>
      <c r="M182" s="29" t="n"/>
      <c r="N182" s="29" t="n"/>
      <c r="O182" s="106" t="n"/>
    </row>
    <row r="183">
      <c r="B183" s="107">
        <f>IF($B182="","",$B182+IF(AND(Settings!$C$10&lt;&gt;"Yes",WEEKDAY($B182,2)&gt;=5),8-WEEKDAY($B182,2),1))</f>
        <v>46533</v>
      </c>
      <c r="C183" s="103" t="str">
        <f>IF($B183="","",CHOOSE(WEEKDAY($B183,2),"Mon","Tue","Wed","Thu","Fri","Sat","Sun"))</f>
        <v>Wed</v>
      </c>
      <c r="D183" s="96">
        <f>IF($B183="","",COUNTIFS('Trade Log'!$A$6:$A$1005,$B183,'Trade Log'!$BH$6:$BH$1005,1))</f>
        <v>0</v>
      </c>
      <c r="E183" s="98" t="str">
        <f>IF(OR($B183="",N($D183)=0),"",SUMIFS('Trade Log'!$Q$6:$Q$1005,'Trade Log'!$A$6:$A$1005,$B183))</f>
        <v/>
      </c>
      <c r="F183" s="99" t="str">
        <f>IF(OR($B183="",N($D183)=0),"",IFERROR(COUNTIFS('Trade Log'!$A$6:$A$1005,$B183,'Trade Log'!$S$6:$S$1005,"Win")/(COUNTIFS('Trade Log'!$A$6:$A$1005,$B183,'Trade Log'!$S$6:$S$1005,"Win")+COUNTIFS('Trade Log'!$A$6:$A$1005,$B183,'Trade Log'!$S$6:$S$1005,"Loss")),"—"))</f>
        <v/>
      </c>
      <c r="G183" s="104" t="str">
        <f>IF(OR($B183="",N($D183)=0),"",SUMIFS('Trade Log'!$R$6:$R$1005,'Trade Log'!$A$6:$A$1005,$B183))</f>
        <v/>
      </c>
      <c r="H183" s="96" t="str">
        <f>IF(OR($B183="",N($D183)=0),"",COUNTIFS('Trade Log'!$A$6:$A$1005,$B183,'Trade Log'!$Z$6:$Z$1005,"No"))</f>
        <v/>
      </c>
      <c r="I183" s="105" t="str">
        <f>IF(OR($B183="",N($D183)=0),"",IF(AND(ISNUMBER(Settings!$C$26),N($E183)&lt;=-N(Settings!$C$26)),"Hit daily max loss. ","")&amp;IF(COUNTIFS('Trade Log'!$A$6:$A$1005,$B183,'Trade Log'!$BM$6:$BM$1005,1)&gt;0,"Kept trading after daily max loss. ","")&amp;IF(AND(ISNUMBER(Settings!$C$25),N($D183)&gt;N(Settings!$C$25)),"Over max trades. ",""))</f>
        <v/>
      </c>
      <c r="J183" s="106" t="n"/>
      <c r="K183" s="106" t="n"/>
      <c r="L183" s="106" t="n"/>
      <c r="M183" s="29" t="n"/>
      <c r="N183" s="29" t="n"/>
      <c r="O183" s="106" t="n"/>
    </row>
    <row r="184">
      <c r="B184" s="107">
        <f>IF($B183="","",$B183+IF(AND(Settings!$C$10&lt;&gt;"Yes",WEEKDAY($B183,2)&gt;=5),8-WEEKDAY($B183,2),1))</f>
        <v>46534</v>
      </c>
      <c r="C184" s="103" t="str">
        <f>IF($B184="","",CHOOSE(WEEKDAY($B184,2),"Mon","Tue","Wed","Thu","Fri","Sat","Sun"))</f>
        <v>Thu</v>
      </c>
      <c r="D184" s="96">
        <f>IF($B184="","",COUNTIFS('Trade Log'!$A$6:$A$1005,$B184,'Trade Log'!$BH$6:$BH$1005,1))</f>
        <v>0</v>
      </c>
      <c r="E184" s="98" t="str">
        <f>IF(OR($B184="",N($D184)=0),"",SUMIFS('Trade Log'!$Q$6:$Q$1005,'Trade Log'!$A$6:$A$1005,$B184))</f>
        <v/>
      </c>
      <c r="F184" s="99" t="str">
        <f>IF(OR($B184="",N($D184)=0),"",IFERROR(COUNTIFS('Trade Log'!$A$6:$A$1005,$B184,'Trade Log'!$S$6:$S$1005,"Win")/(COUNTIFS('Trade Log'!$A$6:$A$1005,$B184,'Trade Log'!$S$6:$S$1005,"Win")+COUNTIFS('Trade Log'!$A$6:$A$1005,$B184,'Trade Log'!$S$6:$S$1005,"Loss")),"—"))</f>
        <v/>
      </c>
      <c r="G184" s="104" t="str">
        <f>IF(OR($B184="",N($D184)=0),"",SUMIFS('Trade Log'!$R$6:$R$1005,'Trade Log'!$A$6:$A$1005,$B184))</f>
        <v/>
      </c>
      <c r="H184" s="96" t="str">
        <f>IF(OR($B184="",N($D184)=0),"",COUNTIFS('Trade Log'!$A$6:$A$1005,$B184,'Trade Log'!$Z$6:$Z$1005,"No"))</f>
        <v/>
      </c>
      <c r="I184" s="105" t="str">
        <f>IF(OR($B184="",N($D184)=0),"",IF(AND(ISNUMBER(Settings!$C$26),N($E184)&lt;=-N(Settings!$C$26)),"Hit daily max loss. ","")&amp;IF(COUNTIFS('Trade Log'!$A$6:$A$1005,$B184,'Trade Log'!$BM$6:$BM$1005,1)&gt;0,"Kept trading after daily max loss. ","")&amp;IF(AND(ISNUMBER(Settings!$C$25),N($D184)&gt;N(Settings!$C$25)),"Over max trades. ",""))</f>
        <v/>
      </c>
      <c r="J184" s="106" t="n"/>
      <c r="K184" s="106" t="n"/>
      <c r="L184" s="106" t="n"/>
      <c r="M184" s="29" t="n"/>
      <c r="N184" s="29" t="n"/>
      <c r="O184" s="106" t="n"/>
    </row>
    <row r="185">
      <c r="B185" s="107">
        <f>IF($B184="","",$B184+IF(AND(Settings!$C$10&lt;&gt;"Yes",WEEKDAY($B184,2)&gt;=5),8-WEEKDAY($B184,2),1))</f>
        <v>46535</v>
      </c>
      <c r="C185" s="103" t="str">
        <f>IF($B185="","",CHOOSE(WEEKDAY($B185,2),"Mon","Tue","Wed","Thu","Fri","Sat","Sun"))</f>
        <v>Fri</v>
      </c>
      <c r="D185" s="96">
        <f>IF($B185="","",COUNTIFS('Trade Log'!$A$6:$A$1005,$B185,'Trade Log'!$BH$6:$BH$1005,1))</f>
        <v>0</v>
      </c>
      <c r="E185" s="98" t="str">
        <f>IF(OR($B185="",N($D185)=0),"",SUMIFS('Trade Log'!$Q$6:$Q$1005,'Trade Log'!$A$6:$A$1005,$B185))</f>
        <v/>
      </c>
      <c r="F185" s="99" t="str">
        <f>IF(OR($B185="",N($D185)=0),"",IFERROR(COUNTIFS('Trade Log'!$A$6:$A$1005,$B185,'Trade Log'!$S$6:$S$1005,"Win")/(COUNTIFS('Trade Log'!$A$6:$A$1005,$B185,'Trade Log'!$S$6:$S$1005,"Win")+COUNTIFS('Trade Log'!$A$6:$A$1005,$B185,'Trade Log'!$S$6:$S$1005,"Loss")),"—"))</f>
        <v/>
      </c>
      <c r="G185" s="104" t="str">
        <f>IF(OR($B185="",N($D185)=0),"",SUMIFS('Trade Log'!$R$6:$R$1005,'Trade Log'!$A$6:$A$1005,$B185))</f>
        <v/>
      </c>
      <c r="H185" s="96" t="str">
        <f>IF(OR($B185="",N($D185)=0),"",COUNTIFS('Trade Log'!$A$6:$A$1005,$B185,'Trade Log'!$Z$6:$Z$1005,"No"))</f>
        <v/>
      </c>
      <c r="I185" s="105" t="str">
        <f>IF(OR($B185="",N($D185)=0),"",IF(AND(ISNUMBER(Settings!$C$26),N($E185)&lt;=-N(Settings!$C$26)),"Hit daily max loss. ","")&amp;IF(COUNTIFS('Trade Log'!$A$6:$A$1005,$B185,'Trade Log'!$BM$6:$BM$1005,1)&gt;0,"Kept trading after daily max loss. ","")&amp;IF(AND(ISNUMBER(Settings!$C$25),N($D185)&gt;N(Settings!$C$25)),"Over max trades. ",""))</f>
        <v/>
      </c>
      <c r="J185" s="106" t="n"/>
      <c r="K185" s="106" t="n"/>
      <c r="L185" s="106" t="n"/>
      <c r="M185" s="29" t="n"/>
      <c r="N185" s="29" t="n"/>
      <c r="O185" s="106" t="n"/>
    </row>
    <row r="186">
      <c r="B186" s="107">
        <f>IF($B185="","",$B185+IF(AND(Settings!$C$10&lt;&gt;"Yes",WEEKDAY($B185,2)&gt;=5),8-WEEKDAY($B185,2),1))</f>
        <v>46538</v>
      </c>
      <c r="C186" s="103" t="str">
        <f>IF($B186="","",CHOOSE(WEEKDAY($B186,2),"Mon","Tue","Wed","Thu","Fri","Sat","Sun"))</f>
        <v>Mon</v>
      </c>
      <c r="D186" s="96">
        <f>IF($B186="","",COUNTIFS('Trade Log'!$A$6:$A$1005,$B186,'Trade Log'!$BH$6:$BH$1005,1))</f>
        <v>0</v>
      </c>
      <c r="E186" s="98" t="str">
        <f>IF(OR($B186="",N($D186)=0),"",SUMIFS('Trade Log'!$Q$6:$Q$1005,'Trade Log'!$A$6:$A$1005,$B186))</f>
        <v/>
      </c>
      <c r="F186" s="99" t="str">
        <f>IF(OR($B186="",N($D186)=0),"",IFERROR(COUNTIFS('Trade Log'!$A$6:$A$1005,$B186,'Trade Log'!$S$6:$S$1005,"Win")/(COUNTIFS('Trade Log'!$A$6:$A$1005,$B186,'Trade Log'!$S$6:$S$1005,"Win")+COUNTIFS('Trade Log'!$A$6:$A$1005,$B186,'Trade Log'!$S$6:$S$1005,"Loss")),"—"))</f>
        <v/>
      </c>
      <c r="G186" s="104" t="str">
        <f>IF(OR($B186="",N($D186)=0),"",SUMIFS('Trade Log'!$R$6:$R$1005,'Trade Log'!$A$6:$A$1005,$B186))</f>
        <v/>
      </c>
      <c r="H186" s="96" t="str">
        <f>IF(OR($B186="",N($D186)=0),"",COUNTIFS('Trade Log'!$A$6:$A$1005,$B186,'Trade Log'!$Z$6:$Z$1005,"No"))</f>
        <v/>
      </c>
      <c r="I186" s="105" t="str">
        <f>IF(OR($B186="",N($D186)=0),"",IF(AND(ISNUMBER(Settings!$C$26),N($E186)&lt;=-N(Settings!$C$26)),"Hit daily max loss. ","")&amp;IF(COUNTIFS('Trade Log'!$A$6:$A$1005,$B186,'Trade Log'!$BM$6:$BM$1005,1)&gt;0,"Kept trading after daily max loss. ","")&amp;IF(AND(ISNUMBER(Settings!$C$25),N($D186)&gt;N(Settings!$C$25)),"Over max trades. ",""))</f>
        <v/>
      </c>
      <c r="J186" s="106" t="n"/>
      <c r="K186" s="106" t="n"/>
      <c r="L186" s="106" t="n"/>
      <c r="M186" s="29" t="n"/>
      <c r="N186" s="29" t="n"/>
      <c r="O186" s="106" t="n"/>
    </row>
    <row r="187">
      <c r="B187" s="107">
        <f>IF($B186="","",$B186+IF(AND(Settings!$C$10&lt;&gt;"Yes",WEEKDAY($B186,2)&gt;=5),8-WEEKDAY($B186,2),1))</f>
        <v>46539</v>
      </c>
      <c r="C187" s="103" t="str">
        <f>IF($B187="","",CHOOSE(WEEKDAY($B187,2),"Mon","Tue","Wed","Thu","Fri","Sat","Sun"))</f>
        <v>Tue</v>
      </c>
      <c r="D187" s="96">
        <f>IF($B187="","",COUNTIFS('Trade Log'!$A$6:$A$1005,$B187,'Trade Log'!$BH$6:$BH$1005,1))</f>
        <v>0</v>
      </c>
      <c r="E187" s="98" t="str">
        <f>IF(OR($B187="",N($D187)=0),"",SUMIFS('Trade Log'!$Q$6:$Q$1005,'Trade Log'!$A$6:$A$1005,$B187))</f>
        <v/>
      </c>
      <c r="F187" s="99" t="str">
        <f>IF(OR($B187="",N($D187)=0),"",IFERROR(COUNTIFS('Trade Log'!$A$6:$A$1005,$B187,'Trade Log'!$S$6:$S$1005,"Win")/(COUNTIFS('Trade Log'!$A$6:$A$1005,$B187,'Trade Log'!$S$6:$S$1005,"Win")+COUNTIFS('Trade Log'!$A$6:$A$1005,$B187,'Trade Log'!$S$6:$S$1005,"Loss")),"—"))</f>
        <v/>
      </c>
      <c r="G187" s="104" t="str">
        <f>IF(OR($B187="",N($D187)=0),"",SUMIFS('Trade Log'!$R$6:$R$1005,'Trade Log'!$A$6:$A$1005,$B187))</f>
        <v/>
      </c>
      <c r="H187" s="96" t="str">
        <f>IF(OR($B187="",N($D187)=0),"",COUNTIFS('Trade Log'!$A$6:$A$1005,$B187,'Trade Log'!$Z$6:$Z$1005,"No"))</f>
        <v/>
      </c>
      <c r="I187" s="105" t="str">
        <f>IF(OR($B187="",N($D187)=0),"",IF(AND(ISNUMBER(Settings!$C$26),N($E187)&lt;=-N(Settings!$C$26)),"Hit daily max loss. ","")&amp;IF(COUNTIFS('Trade Log'!$A$6:$A$1005,$B187,'Trade Log'!$BM$6:$BM$1005,1)&gt;0,"Kept trading after daily max loss. ","")&amp;IF(AND(ISNUMBER(Settings!$C$25),N($D187)&gt;N(Settings!$C$25)),"Over max trades. ",""))</f>
        <v/>
      </c>
      <c r="J187" s="106" t="n"/>
      <c r="K187" s="106" t="n"/>
      <c r="L187" s="106" t="n"/>
      <c r="M187" s="29" t="n"/>
      <c r="N187" s="29" t="n"/>
      <c r="O187" s="106" t="n"/>
    </row>
    <row r="188">
      <c r="B188" s="107">
        <f>IF($B187="","",$B187+IF(AND(Settings!$C$10&lt;&gt;"Yes",WEEKDAY($B187,2)&gt;=5),8-WEEKDAY($B187,2),1))</f>
        <v>46540</v>
      </c>
      <c r="C188" s="103" t="str">
        <f>IF($B188="","",CHOOSE(WEEKDAY($B188,2),"Mon","Tue","Wed","Thu","Fri","Sat","Sun"))</f>
        <v>Wed</v>
      </c>
      <c r="D188" s="96">
        <f>IF($B188="","",COUNTIFS('Trade Log'!$A$6:$A$1005,$B188,'Trade Log'!$BH$6:$BH$1005,1))</f>
        <v>0</v>
      </c>
      <c r="E188" s="98" t="str">
        <f>IF(OR($B188="",N($D188)=0),"",SUMIFS('Trade Log'!$Q$6:$Q$1005,'Trade Log'!$A$6:$A$1005,$B188))</f>
        <v/>
      </c>
      <c r="F188" s="99" t="str">
        <f>IF(OR($B188="",N($D188)=0),"",IFERROR(COUNTIFS('Trade Log'!$A$6:$A$1005,$B188,'Trade Log'!$S$6:$S$1005,"Win")/(COUNTIFS('Trade Log'!$A$6:$A$1005,$B188,'Trade Log'!$S$6:$S$1005,"Win")+COUNTIFS('Trade Log'!$A$6:$A$1005,$B188,'Trade Log'!$S$6:$S$1005,"Loss")),"—"))</f>
        <v/>
      </c>
      <c r="G188" s="104" t="str">
        <f>IF(OR($B188="",N($D188)=0),"",SUMIFS('Trade Log'!$R$6:$R$1005,'Trade Log'!$A$6:$A$1005,$B188))</f>
        <v/>
      </c>
      <c r="H188" s="96" t="str">
        <f>IF(OR($B188="",N($D188)=0),"",COUNTIFS('Trade Log'!$A$6:$A$1005,$B188,'Trade Log'!$Z$6:$Z$1005,"No"))</f>
        <v/>
      </c>
      <c r="I188" s="105" t="str">
        <f>IF(OR($B188="",N($D188)=0),"",IF(AND(ISNUMBER(Settings!$C$26),N($E188)&lt;=-N(Settings!$C$26)),"Hit daily max loss. ","")&amp;IF(COUNTIFS('Trade Log'!$A$6:$A$1005,$B188,'Trade Log'!$BM$6:$BM$1005,1)&gt;0,"Kept trading after daily max loss. ","")&amp;IF(AND(ISNUMBER(Settings!$C$25),N($D188)&gt;N(Settings!$C$25)),"Over max trades. ",""))</f>
        <v/>
      </c>
      <c r="J188" s="106" t="n"/>
      <c r="K188" s="106" t="n"/>
      <c r="L188" s="106" t="n"/>
      <c r="M188" s="29" t="n"/>
      <c r="N188" s="29" t="n"/>
      <c r="O188" s="106" t="n"/>
    </row>
    <row r="189">
      <c r="B189" s="107">
        <f>IF($B188="","",$B188+IF(AND(Settings!$C$10&lt;&gt;"Yes",WEEKDAY($B188,2)&gt;=5),8-WEEKDAY($B188,2),1))</f>
        <v>46541</v>
      </c>
      <c r="C189" s="103" t="str">
        <f>IF($B189="","",CHOOSE(WEEKDAY($B189,2),"Mon","Tue","Wed","Thu","Fri","Sat","Sun"))</f>
        <v>Thu</v>
      </c>
      <c r="D189" s="96">
        <f>IF($B189="","",COUNTIFS('Trade Log'!$A$6:$A$1005,$B189,'Trade Log'!$BH$6:$BH$1005,1))</f>
        <v>0</v>
      </c>
      <c r="E189" s="98" t="str">
        <f>IF(OR($B189="",N($D189)=0),"",SUMIFS('Trade Log'!$Q$6:$Q$1005,'Trade Log'!$A$6:$A$1005,$B189))</f>
        <v/>
      </c>
      <c r="F189" s="99" t="str">
        <f>IF(OR($B189="",N($D189)=0),"",IFERROR(COUNTIFS('Trade Log'!$A$6:$A$1005,$B189,'Trade Log'!$S$6:$S$1005,"Win")/(COUNTIFS('Trade Log'!$A$6:$A$1005,$B189,'Trade Log'!$S$6:$S$1005,"Win")+COUNTIFS('Trade Log'!$A$6:$A$1005,$B189,'Trade Log'!$S$6:$S$1005,"Loss")),"—"))</f>
        <v/>
      </c>
      <c r="G189" s="104" t="str">
        <f>IF(OR($B189="",N($D189)=0),"",SUMIFS('Trade Log'!$R$6:$R$1005,'Trade Log'!$A$6:$A$1005,$B189))</f>
        <v/>
      </c>
      <c r="H189" s="96" t="str">
        <f>IF(OR($B189="",N($D189)=0),"",COUNTIFS('Trade Log'!$A$6:$A$1005,$B189,'Trade Log'!$Z$6:$Z$1005,"No"))</f>
        <v/>
      </c>
      <c r="I189" s="105" t="str">
        <f>IF(OR($B189="",N($D189)=0),"",IF(AND(ISNUMBER(Settings!$C$26),N($E189)&lt;=-N(Settings!$C$26)),"Hit daily max loss. ","")&amp;IF(COUNTIFS('Trade Log'!$A$6:$A$1005,$B189,'Trade Log'!$BM$6:$BM$1005,1)&gt;0,"Kept trading after daily max loss. ","")&amp;IF(AND(ISNUMBER(Settings!$C$25),N($D189)&gt;N(Settings!$C$25)),"Over max trades. ",""))</f>
        <v/>
      </c>
      <c r="J189" s="106" t="n"/>
      <c r="K189" s="106" t="n"/>
      <c r="L189" s="106" t="n"/>
      <c r="M189" s="29" t="n"/>
      <c r="N189" s="29" t="n"/>
      <c r="O189" s="106" t="n"/>
    </row>
    <row r="190">
      <c r="B190" s="107">
        <f>IF($B189="","",$B189+IF(AND(Settings!$C$10&lt;&gt;"Yes",WEEKDAY($B189,2)&gt;=5),8-WEEKDAY($B189,2),1))</f>
        <v>46542</v>
      </c>
      <c r="C190" s="103" t="str">
        <f>IF($B190="","",CHOOSE(WEEKDAY($B190,2),"Mon","Tue","Wed","Thu","Fri","Sat","Sun"))</f>
        <v>Fri</v>
      </c>
      <c r="D190" s="96">
        <f>IF($B190="","",COUNTIFS('Trade Log'!$A$6:$A$1005,$B190,'Trade Log'!$BH$6:$BH$1005,1))</f>
        <v>0</v>
      </c>
      <c r="E190" s="98" t="str">
        <f>IF(OR($B190="",N($D190)=0),"",SUMIFS('Trade Log'!$Q$6:$Q$1005,'Trade Log'!$A$6:$A$1005,$B190))</f>
        <v/>
      </c>
      <c r="F190" s="99" t="str">
        <f>IF(OR($B190="",N($D190)=0),"",IFERROR(COUNTIFS('Trade Log'!$A$6:$A$1005,$B190,'Trade Log'!$S$6:$S$1005,"Win")/(COUNTIFS('Trade Log'!$A$6:$A$1005,$B190,'Trade Log'!$S$6:$S$1005,"Win")+COUNTIFS('Trade Log'!$A$6:$A$1005,$B190,'Trade Log'!$S$6:$S$1005,"Loss")),"—"))</f>
        <v/>
      </c>
      <c r="G190" s="104" t="str">
        <f>IF(OR($B190="",N($D190)=0),"",SUMIFS('Trade Log'!$R$6:$R$1005,'Trade Log'!$A$6:$A$1005,$B190))</f>
        <v/>
      </c>
      <c r="H190" s="96" t="str">
        <f>IF(OR($B190="",N($D190)=0),"",COUNTIFS('Trade Log'!$A$6:$A$1005,$B190,'Trade Log'!$Z$6:$Z$1005,"No"))</f>
        <v/>
      </c>
      <c r="I190" s="105" t="str">
        <f>IF(OR($B190="",N($D190)=0),"",IF(AND(ISNUMBER(Settings!$C$26),N($E190)&lt;=-N(Settings!$C$26)),"Hit daily max loss. ","")&amp;IF(COUNTIFS('Trade Log'!$A$6:$A$1005,$B190,'Trade Log'!$BM$6:$BM$1005,1)&gt;0,"Kept trading after daily max loss. ","")&amp;IF(AND(ISNUMBER(Settings!$C$25),N($D190)&gt;N(Settings!$C$25)),"Over max trades. ",""))</f>
        <v/>
      </c>
      <c r="J190" s="106" t="n"/>
      <c r="K190" s="106" t="n"/>
      <c r="L190" s="106" t="n"/>
      <c r="M190" s="29" t="n"/>
      <c r="N190" s="29" t="n"/>
      <c r="O190" s="106" t="n"/>
    </row>
    <row r="191">
      <c r="B191" s="107">
        <f>IF($B190="","",$B190+IF(AND(Settings!$C$10&lt;&gt;"Yes",WEEKDAY($B190,2)&gt;=5),8-WEEKDAY($B190,2),1))</f>
        <v>46545</v>
      </c>
      <c r="C191" s="103" t="str">
        <f>IF($B191="","",CHOOSE(WEEKDAY($B191,2),"Mon","Tue","Wed","Thu","Fri","Sat","Sun"))</f>
        <v>Mon</v>
      </c>
      <c r="D191" s="96">
        <f>IF($B191="","",COUNTIFS('Trade Log'!$A$6:$A$1005,$B191,'Trade Log'!$BH$6:$BH$1005,1))</f>
        <v>0</v>
      </c>
      <c r="E191" s="98" t="str">
        <f>IF(OR($B191="",N($D191)=0),"",SUMIFS('Trade Log'!$Q$6:$Q$1005,'Trade Log'!$A$6:$A$1005,$B191))</f>
        <v/>
      </c>
      <c r="F191" s="99" t="str">
        <f>IF(OR($B191="",N($D191)=0),"",IFERROR(COUNTIFS('Trade Log'!$A$6:$A$1005,$B191,'Trade Log'!$S$6:$S$1005,"Win")/(COUNTIFS('Trade Log'!$A$6:$A$1005,$B191,'Trade Log'!$S$6:$S$1005,"Win")+COUNTIFS('Trade Log'!$A$6:$A$1005,$B191,'Trade Log'!$S$6:$S$1005,"Loss")),"—"))</f>
        <v/>
      </c>
      <c r="G191" s="104" t="str">
        <f>IF(OR($B191="",N($D191)=0),"",SUMIFS('Trade Log'!$R$6:$R$1005,'Trade Log'!$A$6:$A$1005,$B191))</f>
        <v/>
      </c>
      <c r="H191" s="96" t="str">
        <f>IF(OR($B191="",N($D191)=0),"",COUNTIFS('Trade Log'!$A$6:$A$1005,$B191,'Trade Log'!$Z$6:$Z$1005,"No"))</f>
        <v/>
      </c>
      <c r="I191" s="105" t="str">
        <f>IF(OR($B191="",N($D191)=0),"",IF(AND(ISNUMBER(Settings!$C$26),N($E191)&lt;=-N(Settings!$C$26)),"Hit daily max loss. ","")&amp;IF(COUNTIFS('Trade Log'!$A$6:$A$1005,$B191,'Trade Log'!$BM$6:$BM$1005,1)&gt;0,"Kept trading after daily max loss. ","")&amp;IF(AND(ISNUMBER(Settings!$C$25),N($D191)&gt;N(Settings!$C$25)),"Over max trades. ",""))</f>
        <v/>
      </c>
      <c r="J191" s="106" t="n"/>
      <c r="K191" s="106" t="n"/>
      <c r="L191" s="106" t="n"/>
      <c r="M191" s="29" t="n"/>
      <c r="N191" s="29" t="n"/>
      <c r="O191" s="106" t="n"/>
    </row>
    <row r="192">
      <c r="B192" s="107">
        <f>IF($B191="","",$B191+IF(AND(Settings!$C$10&lt;&gt;"Yes",WEEKDAY($B191,2)&gt;=5),8-WEEKDAY($B191,2),1))</f>
        <v>46546</v>
      </c>
      <c r="C192" s="103" t="str">
        <f>IF($B192="","",CHOOSE(WEEKDAY($B192,2),"Mon","Tue","Wed","Thu","Fri","Sat","Sun"))</f>
        <v>Tue</v>
      </c>
      <c r="D192" s="96">
        <f>IF($B192="","",COUNTIFS('Trade Log'!$A$6:$A$1005,$B192,'Trade Log'!$BH$6:$BH$1005,1))</f>
        <v>0</v>
      </c>
      <c r="E192" s="98" t="str">
        <f>IF(OR($B192="",N($D192)=0),"",SUMIFS('Trade Log'!$Q$6:$Q$1005,'Trade Log'!$A$6:$A$1005,$B192))</f>
        <v/>
      </c>
      <c r="F192" s="99" t="str">
        <f>IF(OR($B192="",N($D192)=0),"",IFERROR(COUNTIFS('Trade Log'!$A$6:$A$1005,$B192,'Trade Log'!$S$6:$S$1005,"Win")/(COUNTIFS('Trade Log'!$A$6:$A$1005,$B192,'Trade Log'!$S$6:$S$1005,"Win")+COUNTIFS('Trade Log'!$A$6:$A$1005,$B192,'Trade Log'!$S$6:$S$1005,"Loss")),"—"))</f>
        <v/>
      </c>
      <c r="G192" s="104" t="str">
        <f>IF(OR($B192="",N($D192)=0),"",SUMIFS('Trade Log'!$R$6:$R$1005,'Trade Log'!$A$6:$A$1005,$B192))</f>
        <v/>
      </c>
      <c r="H192" s="96" t="str">
        <f>IF(OR($B192="",N($D192)=0),"",COUNTIFS('Trade Log'!$A$6:$A$1005,$B192,'Trade Log'!$Z$6:$Z$1005,"No"))</f>
        <v/>
      </c>
      <c r="I192" s="105" t="str">
        <f>IF(OR($B192="",N($D192)=0),"",IF(AND(ISNUMBER(Settings!$C$26),N($E192)&lt;=-N(Settings!$C$26)),"Hit daily max loss. ","")&amp;IF(COUNTIFS('Trade Log'!$A$6:$A$1005,$B192,'Trade Log'!$BM$6:$BM$1005,1)&gt;0,"Kept trading after daily max loss. ","")&amp;IF(AND(ISNUMBER(Settings!$C$25),N($D192)&gt;N(Settings!$C$25)),"Over max trades. ",""))</f>
        <v/>
      </c>
      <c r="J192" s="106" t="n"/>
      <c r="K192" s="106" t="n"/>
      <c r="L192" s="106" t="n"/>
      <c r="M192" s="29" t="n"/>
      <c r="N192" s="29" t="n"/>
      <c r="O192" s="106" t="n"/>
    </row>
    <row r="193">
      <c r="B193" s="107">
        <f>IF($B192="","",$B192+IF(AND(Settings!$C$10&lt;&gt;"Yes",WEEKDAY($B192,2)&gt;=5),8-WEEKDAY($B192,2),1))</f>
        <v>46547</v>
      </c>
      <c r="C193" s="103" t="str">
        <f>IF($B193="","",CHOOSE(WEEKDAY($B193,2),"Mon","Tue","Wed","Thu","Fri","Sat","Sun"))</f>
        <v>Wed</v>
      </c>
      <c r="D193" s="96">
        <f>IF($B193="","",COUNTIFS('Trade Log'!$A$6:$A$1005,$B193,'Trade Log'!$BH$6:$BH$1005,1))</f>
        <v>0</v>
      </c>
      <c r="E193" s="98" t="str">
        <f>IF(OR($B193="",N($D193)=0),"",SUMIFS('Trade Log'!$Q$6:$Q$1005,'Trade Log'!$A$6:$A$1005,$B193))</f>
        <v/>
      </c>
      <c r="F193" s="99" t="str">
        <f>IF(OR($B193="",N($D193)=0),"",IFERROR(COUNTIFS('Trade Log'!$A$6:$A$1005,$B193,'Trade Log'!$S$6:$S$1005,"Win")/(COUNTIFS('Trade Log'!$A$6:$A$1005,$B193,'Trade Log'!$S$6:$S$1005,"Win")+COUNTIFS('Trade Log'!$A$6:$A$1005,$B193,'Trade Log'!$S$6:$S$1005,"Loss")),"—"))</f>
        <v/>
      </c>
      <c r="G193" s="104" t="str">
        <f>IF(OR($B193="",N($D193)=0),"",SUMIFS('Trade Log'!$R$6:$R$1005,'Trade Log'!$A$6:$A$1005,$B193))</f>
        <v/>
      </c>
      <c r="H193" s="96" t="str">
        <f>IF(OR($B193="",N($D193)=0),"",COUNTIFS('Trade Log'!$A$6:$A$1005,$B193,'Trade Log'!$Z$6:$Z$1005,"No"))</f>
        <v/>
      </c>
      <c r="I193" s="105" t="str">
        <f>IF(OR($B193="",N($D193)=0),"",IF(AND(ISNUMBER(Settings!$C$26),N($E193)&lt;=-N(Settings!$C$26)),"Hit daily max loss. ","")&amp;IF(COUNTIFS('Trade Log'!$A$6:$A$1005,$B193,'Trade Log'!$BM$6:$BM$1005,1)&gt;0,"Kept trading after daily max loss. ","")&amp;IF(AND(ISNUMBER(Settings!$C$25),N($D193)&gt;N(Settings!$C$25)),"Over max trades. ",""))</f>
        <v/>
      </c>
      <c r="J193" s="106" t="n"/>
      <c r="K193" s="106" t="n"/>
      <c r="L193" s="106" t="n"/>
      <c r="M193" s="29" t="n"/>
      <c r="N193" s="29" t="n"/>
      <c r="O193" s="106" t="n"/>
    </row>
    <row r="194">
      <c r="B194" s="107">
        <f>IF($B193="","",$B193+IF(AND(Settings!$C$10&lt;&gt;"Yes",WEEKDAY($B193,2)&gt;=5),8-WEEKDAY($B193,2),1))</f>
        <v>46548</v>
      </c>
      <c r="C194" s="103" t="str">
        <f>IF($B194="","",CHOOSE(WEEKDAY($B194,2),"Mon","Tue","Wed","Thu","Fri","Sat","Sun"))</f>
        <v>Thu</v>
      </c>
      <c r="D194" s="96">
        <f>IF($B194="","",COUNTIFS('Trade Log'!$A$6:$A$1005,$B194,'Trade Log'!$BH$6:$BH$1005,1))</f>
        <v>0</v>
      </c>
      <c r="E194" s="98" t="str">
        <f>IF(OR($B194="",N($D194)=0),"",SUMIFS('Trade Log'!$Q$6:$Q$1005,'Trade Log'!$A$6:$A$1005,$B194))</f>
        <v/>
      </c>
      <c r="F194" s="99" t="str">
        <f>IF(OR($B194="",N($D194)=0),"",IFERROR(COUNTIFS('Trade Log'!$A$6:$A$1005,$B194,'Trade Log'!$S$6:$S$1005,"Win")/(COUNTIFS('Trade Log'!$A$6:$A$1005,$B194,'Trade Log'!$S$6:$S$1005,"Win")+COUNTIFS('Trade Log'!$A$6:$A$1005,$B194,'Trade Log'!$S$6:$S$1005,"Loss")),"—"))</f>
        <v/>
      </c>
      <c r="G194" s="104" t="str">
        <f>IF(OR($B194="",N($D194)=0),"",SUMIFS('Trade Log'!$R$6:$R$1005,'Trade Log'!$A$6:$A$1005,$B194))</f>
        <v/>
      </c>
      <c r="H194" s="96" t="str">
        <f>IF(OR($B194="",N($D194)=0),"",COUNTIFS('Trade Log'!$A$6:$A$1005,$B194,'Trade Log'!$Z$6:$Z$1005,"No"))</f>
        <v/>
      </c>
      <c r="I194" s="105" t="str">
        <f>IF(OR($B194="",N($D194)=0),"",IF(AND(ISNUMBER(Settings!$C$26),N($E194)&lt;=-N(Settings!$C$26)),"Hit daily max loss. ","")&amp;IF(COUNTIFS('Trade Log'!$A$6:$A$1005,$B194,'Trade Log'!$BM$6:$BM$1005,1)&gt;0,"Kept trading after daily max loss. ","")&amp;IF(AND(ISNUMBER(Settings!$C$25),N($D194)&gt;N(Settings!$C$25)),"Over max trades. ",""))</f>
        <v/>
      </c>
      <c r="J194" s="106" t="n"/>
      <c r="K194" s="106" t="n"/>
      <c r="L194" s="106" t="n"/>
      <c r="M194" s="29" t="n"/>
      <c r="N194" s="29" t="n"/>
      <c r="O194" s="106" t="n"/>
    </row>
    <row r="195">
      <c r="B195" s="107">
        <f>IF($B194="","",$B194+IF(AND(Settings!$C$10&lt;&gt;"Yes",WEEKDAY($B194,2)&gt;=5),8-WEEKDAY($B194,2),1))</f>
        <v>46549</v>
      </c>
      <c r="C195" s="103" t="str">
        <f>IF($B195="","",CHOOSE(WEEKDAY($B195,2),"Mon","Tue","Wed","Thu","Fri","Sat","Sun"))</f>
        <v>Fri</v>
      </c>
      <c r="D195" s="96">
        <f>IF($B195="","",COUNTIFS('Trade Log'!$A$6:$A$1005,$B195,'Trade Log'!$BH$6:$BH$1005,1))</f>
        <v>0</v>
      </c>
      <c r="E195" s="98" t="str">
        <f>IF(OR($B195="",N($D195)=0),"",SUMIFS('Trade Log'!$Q$6:$Q$1005,'Trade Log'!$A$6:$A$1005,$B195))</f>
        <v/>
      </c>
      <c r="F195" s="99" t="str">
        <f>IF(OR($B195="",N($D195)=0),"",IFERROR(COUNTIFS('Trade Log'!$A$6:$A$1005,$B195,'Trade Log'!$S$6:$S$1005,"Win")/(COUNTIFS('Trade Log'!$A$6:$A$1005,$B195,'Trade Log'!$S$6:$S$1005,"Win")+COUNTIFS('Trade Log'!$A$6:$A$1005,$B195,'Trade Log'!$S$6:$S$1005,"Loss")),"—"))</f>
        <v/>
      </c>
      <c r="G195" s="104" t="str">
        <f>IF(OR($B195="",N($D195)=0),"",SUMIFS('Trade Log'!$R$6:$R$1005,'Trade Log'!$A$6:$A$1005,$B195))</f>
        <v/>
      </c>
      <c r="H195" s="96" t="str">
        <f>IF(OR($B195="",N($D195)=0),"",COUNTIFS('Trade Log'!$A$6:$A$1005,$B195,'Trade Log'!$Z$6:$Z$1005,"No"))</f>
        <v/>
      </c>
      <c r="I195" s="105" t="str">
        <f>IF(OR($B195="",N($D195)=0),"",IF(AND(ISNUMBER(Settings!$C$26),N($E195)&lt;=-N(Settings!$C$26)),"Hit daily max loss. ","")&amp;IF(COUNTIFS('Trade Log'!$A$6:$A$1005,$B195,'Trade Log'!$BM$6:$BM$1005,1)&gt;0,"Kept trading after daily max loss. ","")&amp;IF(AND(ISNUMBER(Settings!$C$25),N($D195)&gt;N(Settings!$C$25)),"Over max trades. ",""))</f>
        <v/>
      </c>
      <c r="J195" s="106" t="n"/>
      <c r="K195" s="106" t="n"/>
      <c r="L195" s="106" t="n"/>
      <c r="M195" s="29" t="n"/>
      <c r="N195" s="29" t="n"/>
      <c r="O195" s="106" t="n"/>
    </row>
    <row r="196">
      <c r="B196" s="107">
        <f>IF($B195="","",$B195+IF(AND(Settings!$C$10&lt;&gt;"Yes",WEEKDAY($B195,2)&gt;=5),8-WEEKDAY($B195,2),1))</f>
        <v>46552</v>
      </c>
      <c r="C196" s="103" t="str">
        <f>IF($B196="","",CHOOSE(WEEKDAY($B196,2),"Mon","Tue","Wed","Thu","Fri","Sat","Sun"))</f>
        <v>Mon</v>
      </c>
      <c r="D196" s="96">
        <f>IF($B196="","",COUNTIFS('Trade Log'!$A$6:$A$1005,$B196,'Trade Log'!$BH$6:$BH$1005,1))</f>
        <v>0</v>
      </c>
      <c r="E196" s="98" t="str">
        <f>IF(OR($B196="",N($D196)=0),"",SUMIFS('Trade Log'!$Q$6:$Q$1005,'Trade Log'!$A$6:$A$1005,$B196))</f>
        <v/>
      </c>
      <c r="F196" s="99" t="str">
        <f>IF(OR($B196="",N($D196)=0),"",IFERROR(COUNTIFS('Trade Log'!$A$6:$A$1005,$B196,'Trade Log'!$S$6:$S$1005,"Win")/(COUNTIFS('Trade Log'!$A$6:$A$1005,$B196,'Trade Log'!$S$6:$S$1005,"Win")+COUNTIFS('Trade Log'!$A$6:$A$1005,$B196,'Trade Log'!$S$6:$S$1005,"Loss")),"—"))</f>
        <v/>
      </c>
      <c r="G196" s="104" t="str">
        <f>IF(OR($B196="",N($D196)=0),"",SUMIFS('Trade Log'!$R$6:$R$1005,'Trade Log'!$A$6:$A$1005,$B196))</f>
        <v/>
      </c>
      <c r="H196" s="96" t="str">
        <f>IF(OR($B196="",N($D196)=0),"",COUNTIFS('Trade Log'!$A$6:$A$1005,$B196,'Trade Log'!$Z$6:$Z$1005,"No"))</f>
        <v/>
      </c>
      <c r="I196" s="105" t="str">
        <f>IF(OR($B196="",N($D196)=0),"",IF(AND(ISNUMBER(Settings!$C$26),N($E196)&lt;=-N(Settings!$C$26)),"Hit daily max loss. ","")&amp;IF(COUNTIFS('Trade Log'!$A$6:$A$1005,$B196,'Trade Log'!$BM$6:$BM$1005,1)&gt;0,"Kept trading after daily max loss. ","")&amp;IF(AND(ISNUMBER(Settings!$C$25),N($D196)&gt;N(Settings!$C$25)),"Over max trades. ",""))</f>
        <v/>
      </c>
      <c r="J196" s="106" t="n"/>
      <c r="K196" s="106" t="n"/>
      <c r="L196" s="106" t="n"/>
      <c r="M196" s="29" t="n"/>
      <c r="N196" s="29" t="n"/>
      <c r="O196" s="106" t="n"/>
    </row>
    <row r="197">
      <c r="B197" s="107">
        <f>IF($B196="","",$B196+IF(AND(Settings!$C$10&lt;&gt;"Yes",WEEKDAY($B196,2)&gt;=5),8-WEEKDAY($B196,2),1))</f>
        <v>46553</v>
      </c>
      <c r="C197" s="103" t="str">
        <f>IF($B197="","",CHOOSE(WEEKDAY($B197,2),"Mon","Tue","Wed","Thu","Fri","Sat","Sun"))</f>
        <v>Tue</v>
      </c>
      <c r="D197" s="96">
        <f>IF($B197="","",COUNTIFS('Trade Log'!$A$6:$A$1005,$B197,'Trade Log'!$BH$6:$BH$1005,1))</f>
        <v>0</v>
      </c>
      <c r="E197" s="98" t="str">
        <f>IF(OR($B197="",N($D197)=0),"",SUMIFS('Trade Log'!$Q$6:$Q$1005,'Trade Log'!$A$6:$A$1005,$B197))</f>
        <v/>
      </c>
      <c r="F197" s="99" t="str">
        <f>IF(OR($B197="",N($D197)=0),"",IFERROR(COUNTIFS('Trade Log'!$A$6:$A$1005,$B197,'Trade Log'!$S$6:$S$1005,"Win")/(COUNTIFS('Trade Log'!$A$6:$A$1005,$B197,'Trade Log'!$S$6:$S$1005,"Win")+COUNTIFS('Trade Log'!$A$6:$A$1005,$B197,'Trade Log'!$S$6:$S$1005,"Loss")),"—"))</f>
        <v/>
      </c>
      <c r="G197" s="104" t="str">
        <f>IF(OR($B197="",N($D197)=0),"",SUMIFS('Trade Log'!$R$6:$R$1005,'Trade Log'!$A$6:$A$1005,$B197))</f>
        <v/>
      </c>
      <c r="H197" s="96" t="str">
        <f>IF(OR($B197="",N($D197)=0),"",COUNTIFS('Trade Log'!$A$6:$A$1005,$B197,'Trade Log'!$Z$6:$Z$1005,"No"))</f>
        <v/>
      </c>
      <c r="I197" s="105" t="str">
        <f>IF(OR($B197="",N($D197)=0),"",IF(AND(ISNUMBER(Settings!$C$26),N($E197)&lt;=-N(Settings!$C$26)),"Hit daily max loss. ","")&amp;IF(COUNTIFS('Trade Log'!$A$6:$A$1005,$B197,'Trade Log'!$BM$6:$BM$1005,1)&gt;0,"Kept trading after daily max loss. ","")&amp;IF(AND(ISNUMBER(Settings!$C$25),N($D197)&gt;N(Settings!$C$25)),"Over max trades. ",""))</f>
        <v/>
      </c>
      <c r="J197" s="106" t="n"/>
      <c r="K197" s="106" t="n"/>
      <c r="L197" s="106" t="n"/>
      <c r="M197" s="29" t="n"/>
      <c r="N197" s="29" t="n"/>
      <c r="O197" s="106" t="n"/>
    </row>
    <row r="198">
      <c r="B198" s="107">
        <f>IF($B197="","",$B197+IF(AND(Settings!$C$10&lt;&gt;"Yes",WEEKDAY($B197,2)&gt;=5),8-WEEKDAY($B197,2),1))</f>
        <v>46554</v>
      </c>
      <c r="C198" s="103" t="str">
        <f>IF($B198="","",CHOOSE(WEEKDAY($B198,2),"Mon","Tue","Wed","Thu","Fri","Sat","Sun"))</f>
        <v>Wed</v>
      </c>
      <c r="D198" s="96">
        <f>IF($B198="","",COUNTIFS('Trade Log'!$A$6:$A$1005,$B198,'Trade Log'!$BH$6:$BH$1005,1))</f>
        <v>0</v>
      </c>
      <c r="E198" s="98" t="str">
        <f>IF(OR($B198="",N($D198)=0),"",SUMIFS('Trade Log'!$Q$6:$Q$1005,'Trade Log'!$A$6:$A$1005,$B198))</f>
        <v/>
      </c>
      <c r="F198" s="99" t="str">
        <f>IF(OR($B198="",N($D198)=0),"",IFERROR(COUNTIFS('Trade Log'!$A$6:$A$1005,$B198,'Trade Log'!$S$6:$S$1005,"Win")/(COUNTIFS('Trade Log'!$A$6:$A$1005,$B198,'Trade Log'!$S$6:$S$1005,"Win")+COUNTIFS('Trade Log'!$A$6:$A$1005,$B198,'Trade Log'!$S$6:$S$1005,"Loss")),"—"))</f>
        <v/>
      </c>
      <c r="G198" s="104" t="str">
        <f>IF(OR($B198="",N($D198)=0),"",SUMIFS('Trade Log'!$R$6:$R$1005,'Trade Log'!$A$6:$A$1005,$B198))</f>
        <v/>
      </c>
      <c r="H198" s="96" t="str">
        <f>IF(OR($B198="",N($D198)=0),"",COUNTIFS('Trade Log'!$A$6:$A$1005,$B198,'Trade Log'!$Z$6:$Z$1005,"No"))</f>
        <v/>
      </c>
      <c r="I198" s="105" t="str">
        <f>IF(OR($B198="",N($D198)=0),"",IF(AND(ISNUMBER(Settings!$C$26),N($E198)&lt;=-N(Settings!$C$26)),"Hit daily max loss. ","")&amp;IF(COUNTIFS('Trade Log'!$A$6:$A$1005,$B198,'Trade Log'!$BM$6:$BM$1005,1)&gt;0,"Kept trading after daily max loss. ","")&amp;IF(AND(ISNUMBER(Settings!$C$25),N($D198)&gt;N(Settings!$C$25)),"Over max trades. ",""))</f>
        <v/>
      </c>
      <c r="J198" s="106" t="n"/>
      <c r="K198" s="106" t="n"/>
      <c r="L198" s="106" t="n"/>
      <c r="M198" s="29" t="n"/>
      <c r="N198" s="29" t="n"/>
      <c r="O198" s="106" t="n"/>
    </row>
    <row r="199">
      <c r="B199" s="107">
        <f>IF($B198="","",$B198+IF(AND(Settings!$C$10&lt;&gt;"Yes",WEEKDAY($B198,2)&gt;=5),8-WEEKDAY($B198,2),1))</f>
        <v>46555</v>
      </c>
      <c r="C199" s="103" t="str">
        <f>IF($B199="","",CHOOSE(WEEKDAY($B199,2),"Mon","Tue","Wed","Thu","Fri","Sat","Sun"))</f>
        <v>Thu</v>
      </c>
      <c r="D199" s="96">
        <f>IF($B199="","",COUNTIFS('Trade Log'!$A$6:$A$1005,$B199,'Trade Log'!$BH$6:$BH$1005,1))</f>
        <v>0</v>
      </c>
      <c r="E199" s="98" t="str">
        <f>IF(OR($B199="",N($D199)=0),"",SUMIFS('Trade Log'!$Q$6:$Q$1005,'Trade Log'!$A$6:$A$1005,$B199))</f>
        <v/>
      </c>
      <c r="F199" s="99" t="str">
        <f>IF(OR($B199="",N($D199)=0),"",IFERROR(COUNTIFS('Trade Log'!$A$6:$A$1005,$B199,'Trade Log'!$S$6:$S$1005,"Win")/(COUNTIFS('Trade Log'!$A$6:$A$1005,$B199,'Trade Log'!$S$6:$S$1005,"Win")+COUNTIFS('Trade Log'!$A$6:$A$1005,$B199,'Trade Log'!$S$6:$S$1005,"Loss")),"—"))</f>
        <v/>
      </c>
      <c r="G199" s="104" t="str">
        <f>IF(OR($B199="",N($D199)=0),"",SUMIFS('Trade Log'!$R$6:$R$1005,'Trade Log'!$A$6:$A$1005,$B199))</f>
        <v/>
      </c>
      <c r="H199" s="96" t="str">
        <f>IF(OR($B199="",N($D199)=0),"",COUNTIFS('Trade Log'!$A$6:$A$1005,$B199,'Trade Log'!$Z$6:$Z$1005,"No"))</f>
        <v/>
      </c>
      <c r="I199" s="105" t="str">
        <f>IF(OR($B199="",N($D199)=0),"",IF(AND(ISNUMBER(Settings!$C$26),N($E199)&lt;=-N(Settings!$C$26)),"Hit daily max loss. ","")&amp;IF(COUNTIFS('Trade Log'!$A$6:$A$1005,$B199,'Trade Log'!$BM$6:$BM$1005,1)&gt;0,"Kept trading after daily max loss. ","")&amp;IF(AND(ISNUMBER(Settings!$C$25),N($D199)&gt;N(Settings!$C$25)),"Over max trades. ",""))</f>
        <v/>
      </c>
      <c r="J199" s="106" t="n"/>
      <c r="K199" s="106" t="n"/>
      <c r="L199" s="106" t="n"/>
      <c r="M199" s="29" t="n"/>
      <c r="N199" s="29" t="n"/>
      <c r="O199" s="106" t="n"/>
    </row>
    <row r="200">
      <c r="B200" s="107">
        <f>IF($B199="","",$B199+IF(AND(Settings!$C$10&lt;&gt;"Yes",WEEKDAY($B199,2)&gt;=5),8-WEEKDAY($B199,2),1))</f>
        <v>46556</v>
      </c>
      <c r="C200" s="103" t="str">
        <f>IF($B200="","",CHOOSE(WEEKDAY($B200,2),"Mon","Tue","Wed","Thu","Fri","Sat","Sun"))</f>
        <v>Fri</v>
      </c>
      <c r="D200" s="96">
        <f>IF($B200="","",COUNTIFS('Trade Log'!$A$6:$A$1005,$B200,'Trade Log'!$BH$6:$BH$1005,1))</f>
        <v>0</v>
      </c>
      <c r="E200" s="98" t="str">
        <f>IF(OR($B200="",N($D200)=0),"",SUMIFS('Trade Log'!$Q$6:$Q$1005,'Trade Log'!$A$6:$A$1005,$B200))</f>
        <v/>
      </c>
      <c r="F200" s="99" t="str">
        <f>IF(OR($B200="",N($D200)=0),"",IFERROR(COUNTIFS('Trade Log'!$A$6:$A$1005,$B200,'Trade Log'!$S$6:$S$1005,"Win")/(COUNTIFS('Trade Log'!$A$6:$A$1005,$B200,'Trade Log'!$S$6:$S$1005,"Win")+COUNTIFS('Trade Log'!$A$6:$A$1005,$B200,'Trade Log'!$S$6:$S$1005,"Loss")),"—"))</f>
        <v/>
      </c>
      <c r="G200" s="104" t="str">
        <f>IF(OR($B200="",N($D200)=0),"",SUMIFS('Trade Log'!$R$6:$R$1005,'Trade Log'!$A$6:$A$1005,$B200))</f>
        <v/>
      </c>
      <c r="H200" s="96" t="str">
        <f>IF(OR($B200="",N($D200)=0),"",COUNTIFS('Trade Log'!$A$6:$A$1005,$B200,'Trade Log'!$Z$6:$Z$1005,"No"))</f>
        <v/>
      </c>
      <c r="I200" s="105" t="str">
        <f>IF(OR($B200="",N($D200)=0),"",IF(AND(ISNUMBER(Settings!$C$26),N($E200)&lt;=-N(Settings!$C$26)),"Hit daily max loss. ","")&amp;IF(COUNTIFS('Trade Log'!$A$6:$A$1005,$B200,'Trade Log'!$BM$6:$BM$1005,1)&gt;0,"Kept trading after daily max loss. ","")&amp;IF(AND(ISNUMBER(Settings!$C$25),N($D200)&gt;N(Settings!$C$25)),"Over max trades. ",""))</f>
        <v/>
      </c>
      <c r="J200" s="106" t="n"/>
      <c r="K200" s="106" t="n"/>
      <c r="L200" s="106" t="n"/>
      <c r="M200" s="29" t="n"/>
      <c r="N200" s="29" t="n"/>
      <c r="O200" s="106" t="n"/>
    </row>
    <row r="201">
      <c r="B201" s="107">
        <f>IF($B200="","",$B200+IF(AND(Settings!$C$10&lt;&gt;"Yes",WEEKDAY($B200,2)&gt;=5),8-WEEKDAY($B200,2),1))</f>
        <v>46559</v>
      </c>
      <c r="C201" s="103" t="str">
        <f>IF($B201="","",CHOOSE(WEEKDAY($B201,2),"Mon","Tue","Wed","Thu","Fri","Sat","Sun"))</f>
        <v>Mon</v>
      </c>
      <c r="D201" s="96">
        <f>IF($B201="","",COUNTIFS('Trade Log'!$A$6:$A$1005,$B201,'Trade Log'!$BH$6:$BH$1005,1))</f>
        <v>0</v>
      </c>
      <c r="E201" s="98" t="str">
        <f>IF(OR($B201="",N($D201)=0),"",SUMIFS('Trade Log'!$Q$6:$Q$1005,'Trade Log'!$A$6:$A$1005,$B201))</f>
        <v/>
      </c>
      <c r="F201" s="99" t="str">
        <f>IF(OR($B201="",N($D201)=0),"",IFERROR(COUNTIFS('Trade Log'!$A$6:$A$1005,$B201,'Trade Log'!$S$6:$S$1005,"Win")/(COUNTIFS('Trade Log'!$A$6:$A$1005,$B201,'Trade Log'!$S$6:$S$1005,"Win")+COUNTIFS('Trade Log'!$A$6:$A$1005,$B201,'Trade Log'!$S$6:$S$1005,"Loss")),"—"))</f>
        <v/>
      </c>
      <c r="G201" s="104" t="str">
        <f>IF(OR($B201="",N($D201)=0),"",SUMIFS('Trade Log'!$R$6:$R$1005,'Trade Log'!$A$6:$A$1005,$B201))</f>
        <v/>
      </c>
      <c r="H201" s="96" t="str">
        <f>IF(OR($B201="",N($D201)=0),"",COUNTIFS('Trade Log'!$A$6:$A$1005,$B201,'Trade Log'!$Z$6:$Z$1005,"No"))</f>
        <v/>
      </c>
      <c r="I201" s="105" t="str">
        <f>IF(OR($B201="",N($D201)=0),"",IF(AND(ISNUMBER(Settings!$C$26),N($E201)&lt;=-N(Settings!$C$26)),"Hit daily max loss. ","")&amp;IF(COUNTIFS('Trade Log'!$A$6:$A$1005,$B201,'Trade Log'!$BM$6:$BM$1005,1)&gt;0,"Kept trading after daily max loss. ","")&amp;IF(AND(ISNUMBER(Settings!$C$25),N($D201)&gt;N(Settings!$C$25)),"Over max trades. ",""))</f>
        <v/>
      </c>
      <c r="J201" s="106" t="n"/>
      <c r="K201" s="106" t="n"/>
      <c r="L201" s="106" t="n"/>
      <c r="M201" s="29" t="n"/>
      <c r="N201" s="29" t="n"/>
      <c r="O201" s="106" t="n"/>
    </row>
    <row r="202">
      <c r="B202" s="107">
        <f>IF($B201="","",$B201+IF(AND(Settings!$C$10&lt;&gt;"Yes",WEEKDAY($B201,2)&gt;=5),8-WEEKDAY($B201,2),1))</f>
        <v>46560</v>
      </c>
      <c r="C202" s="103" t="str">
        <f>IF($B202="","",CHOOSE(WEEKDAY($B202,2),"Mon","Tue","Wed","Thu","Fri","Sat","Sun"))</f>
        <v>Tue</v>
      </c>
      <c r="D202" s="96">
        <f>IF($B202="","",COUNTIFS('Trade Log'!$A$6:$A$1005,$B202,'Trade Log'!$BH$6:$BH$1005,1))</f>
        <v>0</v>
      </c>
      <c r="E202" s="98" t="str">
        <f>IF(OR($B202="",N($D202)=0),"",SUMIFS('Trade Log'!$Q$6:$Q$1005,'Trade Log'!$A$6:$A$1005,$B202))</f>
        <v/>
      </c>
      <c r="F202" s="99" t="str">
        <f>IF(OR($B202="",N($D202)=0),"",IFERROR(COUNTIFS('Trade Log'!$A$6:$A$1005,$B202,'Trade Log'!$S$6:$S$1005,"Win")/(COUNTIFS('Trade Log'!$A$6:$A$1005,$B202,'Trade Log'!$S$6:$S$1005,"Win")+COUNTIFS('Trade Log'!$A$6:$A$1005,$B202,'Trade Log'!$S$6:$S$1005,"Loss")),"—"))</f>
        <v/>
      </c>
      <c r="G202" s="104" t="str">
        <f>IF(OR($B202="",N($D202)=0),"",SUMIFS('Trade Log'!$R$6:$R$1005,'Trade Log'!$A$6:$A$1005,$B202))</f>
        <v/>
      </c>
      <c r="H202" s="96" t="str">
        <f>IF(OR($B202="",N($D202)=0),"",COUNTIFS('Trade Log'!$A$6:$A$1005,$B202,'Trade Log'!$Z$6:$Z$1005,"No"))</f>
        <v/>
      </c>
      <c r="I202" s="105" t="str">
        <f>IF(OR($B202="",N($D202)=0),"",IF(AND(ISNUMBER(Settings!$C$26),N($E202)&lt;=-N(Settings!$C$26)),"Hit daily max loss. ","")&amp;IF(COUNTIFS('Trade Log'!$A$6:$A$1005,$B202,'Trade Log'!$BM$6:$BM$1005,1)&gt;0,"Kept trading after daily max loss. ","")&amp;IF(AND(ISNUMBER(Settings!$C$25),N($D202)&gt;N(Settings!$C$25)),"Over max trades. ",""))</f>
        <v/>
      </c>
      <c r="J202" s="106" t="n"/>
      <c r="K202" s="106" t="n"/>
      <c r="L202" s="106" t="n"/>
      <c r="M202" s="29" t="n"/>
      <c r="N202" s="29" t="n"/>
      <c r="O202" s="106" t="n"/>
    </row>
    <row r="203">
      <c r="B203" s="107">
        <f>IF($B202="","",$B202+IF(AND(Settings!$C$10&lt;&gt;"Yes",WEEKDAY($B202,2)&gt;=5),8-WEEKDAY($B202,2),1))</f>
        <v>46561</v>
      </c>
      <c r="C203" s="103" t="str">
        <f>IF($B203="","",CHOOSE(WEEKDAY($B203,2),"Mon","Tue","Wed","Thu","Fri","Sat","Sun"))</f>
        <v>Wed</v>
      </c>
      <c r="D203" s="96">
        <f>IF($B203="","",COUNTIFS('Trade Log'!$A$6:$A$1005,$B203,'Trade Log'!$BH$6:$BH$1005,1))</f>
        <v>0</v>
      </c>
      <c r="E203" s="98" t="str">
        <f>IF(OR($B203="",N($D203)=0),"",SUMIFS('Trade Log'!$Q$6:$Q$1005,'Trade Log'!$A$6:$A$1005,$B203))</f>
        <v/>
      </c>
      <c r="F203" s="99" t="str">
        <f>IF(OR($B203="",N($D203)=0),"",IFERROR(COUNTIFS('Trade Log'!$A$6:$A$1005,$B203,'Trade Log'!$S$6:$S$1005,"Win")/(COUNTIFS('Trade Log'!$A$6:$A$1005,$B203,'Trade Log'!$S$6:$S$1005,"Win")+COUNTIFS('Trade Log'!$A$6:$A$1005,$B203,'Trade Log'!$S$6:$S$1005,"Loss")),"—"))</f>
        <v/>
      </c>
      <c r="G203" s="104" t="str">
        <f>IF(OR($B203="",N($D203)=0),"",SUMIFS('Trade Log'!$R$6:$R$1005,'Trade Log'!$A$6:$A$1005,$B203))</f>
        <v/>
      </c>
      <c r="H203" s="96" t="str">
        <f>IF(OR($B203="",N($D203)=0),"",COUNTIFS('Trade Log'!$A$6:$A$1005,$B203,'Trade Log'!$Z$6:$Z$1005,"No"))</f>
        <v/>
      </c>
      <c r="I203" s="105" t="str">
        <f>IF(OR($B203="",N($D203)=0),"",IF(AND(ISNUMBER(Settings!$C$26),N($E203)&lt;=-N(Settings!$C$26)),"Hit daily max loss. ","")&amp;IF(COUNTIFS('Trade Log'!$A$6:$A$1005,$B203,'Trade Log'!$BM$6:$BM$1005,1)&gt;0,"Kept trading after daily max loss. ","")&amp;IF(AND(ISNUMBER(Settings!$C$25),N($D203)&gt;N(Settings!$C$25)),"Over max trades. ",""))</f>
        <v/>
      </c>
      <c r="J203" s="106" t="n"/>
      <c r="K203" s="106" t="n"/>
      <c r="L203" s="106" t="n"/>
      <c r="M203" s="29" t="n"/>
      <c r="N203" s="29" t="n"/>
      <c r="O203" s="106" t="n"/>
    </row>
    <row r="204">
      <c r="B204" s="107">
        <f>IF($B203="","",$B203+IF(AND(Settings!$C$10&lt;&gt;"Yes",WEEKDAY($B203,2)&gt;=5),8-WEEKDAY($B203,2),1))</f>
        <v>46562</v>
      </c>
      <c r="C204" s="103" t="str">
        <f>IF($B204="","",CHOOSE(WEEKDAY($B204,2),"Mon","Tue","Wed","Thu","Fri","Sat","Sun"))</f>
        <v>Thu</v>
      </c>
      <c r="D204" s="96">
        <f>IF($B204="","",COUNTIFS('Trade Log'!$A$6:$A$1005,$B204,'Trade Log'!$BH$6:$BH$1005,1))</f>
        <v>0</v>
      </c>
      <c r="E204" s="98" t="str">
        <f>IF(OR($B204="",N($D204)=0),"",SUMIFS('Trade Log'!$Q$6:$Q$1005,'Trade Log'!$A$6:$A$1005,$B204))</f>
        <v/>
      </c>
      <c r="F204" s="99" t="str">
        <f>IF(OR($B204="",N($D204)=0),"",IFERROR(COUNTIFS('Trade Log'!$A$6:$A$1005,$B204,'Trade Log'!$S$6:$S$1005,"Win")/(COUNTIFS('Trade Log'!$A$6:$A$1005,$B204,'Trade Log'!$S$6:$S$1005,"Win")+COUNTIFS('Trade Log'!$A$6:$A$1005,$B204,'Trade Log'!$S$6:$S$1005,"Loss")),"—"))</f>
        <v/>
      </c>
      <c r="G204" s="104" t="str">
        <f>IF(OR($B204="",N($D204)=0),"",SUMIFS('Trade Log'!$R$6:$R$1005,'Trade Log'!$A$6:$A$1005,$B204))</f>
        <v/>
      </c>
      <c r="H204" s="96" t="str">
        <f>IF(OR($B204="",N($D204)=0),"",COUNTIFS('Trade Log'!$A$6:$A$1005,$B204,'Trade Log'!$Z$6:$Z$1005,"No"))</f>
        <v/>
      </c>
      <c r="I204" s="105" t="str">
        <f>IF(OR($B204="",N($D204)=0),"",IF(AND(ISNUMBER(Settings!$C$26),N($E204)&lt;=-N(Settings!$C$26)),"Hit daily max loss. ","")&amp;IF(COUNTIFS('Trade Log'!$A$6:$A$1005,$B204,'Trade Log'!$BM$6:$BM$1005,1)&gt;0,"Kept trading after daily max loss. ","")&amp;IF(AND(ISNUMBER(Settings!$C$25),N($D204)&gt;N(Settings!$C$25)),"Over max trades. ",""))</f>
        <v/>
      </c>
      <c r="J204" s="106" t="n"/>
      <c r="K204" s="106" t="n"/>
      <c r="L204" s="106" t="n"/>
      <c r="M204" s="29" t="n"/>
      <c r="N204" s="29" t="n"/>
      <c r="O204" s="106" t="n"/>
    </row>
    <row r="205">
      <c r="B205" s="107">
        <f>IF($B204="","",$B204+IF(AND(Settings!$C$10&lt;&gt;"Yes",WEEKDAY($B204,2)&gt;=5),8-WEEKDAY($B204,2),1))</f>
        <v>46563</v>
      </c>
      <c r="C205" s="103" t="str">
        <f>IF($B205="","",CHOOSE(WEEKDAY($B205,2),"Mon","Tue","Wed","Thu","Fri","Sat","Sun"))</f>
        <v>Fri</v>
      </c>
      <c r="D205" s="96">
        <f>IF($B205="","",COUNTIFS('Trade Log'!$A$6:$A$1005,$B205,'Trade Log'!$BH$6:$BH$1005,1))</f>
        <v>0</v>
      </c>
      <c r="E205" s="98" t="str">
        <f>IF(OR($B205="",N($D205)=0),"",SUMIFS('Trade Log'!$Q$6:$Q$1005,'Trade Log'!$A$6:$A$1005,$B205))</f>
        <v/>
      </c>
      <c r="F205" s="99" t="str">
        <f>IF(OR($B205="",N($D205)=0),"",IFERROR(COUNTIFS('Trade Log'!$A$6:$A$1005,$B205,'Trade Log'!$S$6:$S$1005,"Win")/(COUNTIFS('Trade Log'!$A$6:$A$1005,$B205,'Trade Log'!$S$6:$S$1005,"Win")+COUNTIFS('Trade Log'!$A$6:$A$1005,$B205,'Trade Log'!$S$6:$S$1005,"Loss")),"—"))</f>
        <v/>
      </c>
      <c r="G205" s="104" t="str">
        <f>IF(OR($B205="",N($D205)=0),"",SUMIFS('Trade Log'!$R$6:$R$1005,'Trade Log'!$A$6:$A$1005,$B205))</f>
        <v/>
      </c>
      <c r="H205" s="96" t="str">
        <f>IF(OR($B205="",N($D205)=0),"",COUNTIFS('Trade Log'!$A$6:$A$1005,$B205,'Trade Log'!$Z$6:$Z$1005,"No"))</f>
        <v/>
      </c>
      <c r="I205" s="105" t="str">
        <f>IF(OR($B205="",N($D205)=0),"",IF(AND(ISNUMBER(Settings!$C$26),N($E205)&lt;=-N(Settings!$C$26)),"Hit daily max loss. ","")&amp;IF(COUNTIFS('Trade Log'!$A$6:$A$1005,$B205,'Trade Log'!$BM$6:$BM$1005,1)&gt;0,"Kept trading after daily max loss. ","")&amp;IF(AND(ISNUMBER(Settings!$C$25),N($D205)&gt;N(Settings!$C$25)),"Over max trades. ",""))</f>
        <v/>
      </c>
      <c r="J205" s="106" t="n"/>
      <c r="K205" s="106" t="n"/>
      <c r="L205" s="106" t="n"/>
      <c r="M205" s="29" t="n"/>
      <c r="N205" s="29" t="n"/>
      <c r="O205" s="106" t="n"/>
    </row>
    <row r="206">
      <c r="B206" s="107">
        <f>IF($B205="","",$B205+IF(AND(Settings!$C$10&lt;&gt;"Yes",WEEKDAY($B205,2)&gt;=5),8-WEEKDAY($B205,2),1))</f>
        <v>46566</v>
      </c>
      <c r="C206" s="103" t="str">
        <f>IF($B206="","",CHOOSE(WEEKDAY($B206,2),"Mon","Tue","Wed","Thu","Fri","Sat","Sun"))</f>
        <v>Mon</v>
      </c>
      <c r="D206" s="96">
        <f>IF($B206="","",COUNTIFS('Trade Log'!$A$6:$A$1005,$B206,'Trade Log'!$BH$6:$BH$1005,1))</f>
        <v>0</v>
      </c>
      <c r="E206" s="98" t="str">
        <f>IF(OR($B206="",N($D206)=0),"",SUMIFS('Trade Log'!$Q$6:$Q$1005,'Trade Log'!$A$6:$A$1005,$B206))</f>
        <v/>
      </c>
      <c r="F206" s="99" t="str">
        <f>IF(OR($B206="",N($D206)=0),"",IFERROR(COUNTIFS('Trade Log'!$A$6:$A$1005,$B206,'Trade Log'!$S$6:$S$1005,"Win")/(COUNTIFS('Trade Log'!$A$6:$A$1005,$B206,'Trade Log'!$S$6:$S$1005,"Win")+COUNTIFS('Trade Log'!$A$6:$A$1005,$B206,'Trade Log'!$S$6:$S$1005,"Loss")),"—"))</f>
        <v/>
      </c>
      <c r="G206" s="104" t="str">
        <f>IF(OR($B206="",N($D206)=0),"",SUMIFS('Trade Log'!$R$6:$R$1005,'Trade Log'!$A$6:$A$1005,$B206))</f>
        <v/>
      </c>
      <c r="H206" s="96" t="str">
        <f>IF(OR($B206="",N($D206)=0),"",COUNTIFS('Trade Log'!$A$6:$A$1005,$B206,'Trade Log'!$Z$6:$Z$1005,"No"))</f>
        <v/>
      </c>
      <c r="I206" s="105" t="str">
        <f>IF(OR($B206="",N($D206)=0),"",IF(AND(ISNUMBER(Settings!$C$26),N($E206)&lt;=-N(Settings!$C$26)),"Hit daily max loss. ","")&amp;IF(COUNTIFS('Trade Log'!$A$6:$A$1005,$B206,'Trade Log'!$BM$6:$BM$1005,1)&gt;0,"Kept trading after daily max loss. ","")&amp;IF(AND(ISNUMBER(Settings!$C$25),N($D206)&gt;N(Settings!$C$25)),"Over max trades. ",""))</f>
        <v/>
      </c>
      <c r="J206" s="106" t="n"/>
      <c r="K206" s="106" t="n"/>
      <c r="L206" s="106" t="n"/>
      <c r="M206" s="29" t="n"/>
      <c r="N206" s="29" t="n"/>
      <c r="O206" s="106" t="n"/>
    </row>
    <row r="207">
      <c r="B207" s="107">
        <f>IF($B206="","",$B206+IF(AND(Settings!$C$10&lt;&gt;"Yes",WEEKDAY($B206,2)&gt;=5),8-WEEKDAY($B206,2),1))</f>
        <v>46567</v>
      </c>
      <c r="C207" s="103" t="str">
        <f>IF($B207="","",CHOOSE(WEEKDAY($B207,2),"Mon","Tue","Wed","Thu","Fri","Sat","Sun"))</f>
        <v>Tue</v>
      </c>
      <c r="D207" s="96">
        <f>IF($B207="","",COUNTIFS('Trade Log'!$A$6:$A$1005,$B207,'Trade Log'!$BH$6:$BH$1005,1))</f>
        <v>0</v>
      </c>
      <c r="E207" s="98" t="str">
        <f>IF(OR($B207="",N($D207)=0),"",SUMIFS('Trade Log'!$Q$6:$Q$1005,'Trade Log'!$A$6:$A$1005,$B207))</f>
        <v/>
      </c>
      <c r="F207" s="99" t="str">
        <f>IF(OR($B207="",N($D207)=0),"",IFERROR(COUNTIFS('Trade Log'!$A$6:$A$1005,$B207,'Trade Log'!$S$6:$S$1005,"Win")/(COUNTIFS('Trade Log'!$A$6:$A$1005,$B207,'Trade Log'!$S$6:$S$1005,"Win")+COUNTIFS('Trade Log'!$A$6:$A$1005,$B207,'Trade Log'!$S$6:$S$1005,"Loss")),"—"))</f>
        <v/>
      </c>
      <c r="G207" s="104" t="str">
        <f>IF(OR($B207="",N($D207)=0),"",SUMIFS('Trade Log'!$R$6:$R$1005,'Trade Log'!$A$6:$A$1005,$B207))</f>
        <v/>
      </c>
      <c r="H207" s="96" t="str">
        <f>IF(OR($B207="",N($D207)=0),"",COUNTIFS('Trade Log'!$A$6:$A$1005,$B207,'Trade Log'!$Z$6:$Z$1005,"No"))</f>
        <v/>
      </c>
      <c r="I207" s="105" t="str">
        <f>IF(OR($B207="",N($D207)=0),"",IF(AND(ISNUMBER(Settings!$C$26),N($E207)&lt;=-N(Settings!$C$26)),"Hit daily max loss. ","")&amp;IF(COUNTIFS('Trade Log'!$A$6:$A$1005,$B207,'Trade Log'!$BM$6:$BM$1005,1)&gt;0,"Kept trading after daily max loss. ","")&amp;IF(AND(ISNUMBER(Settings!$C$25),N($D207)&gt;N(Settings!$C$25)),"Over max trades. ",""))</f>
        <v/>
      </c>
      <c r="J207" s="106" t="n"/>
      <c r="K207" s="106" t="n"/>
      <c r="L207" s="106" t="n"/>
      <c r="M207" s="29" t="n"/>
      <c r="N207" s="29" t="n"/>
      <c r="O207" s="106" t="n"/>
    </row>
    <row r="208">
      <c r="B208" s="107">
        <f>IF($B207="","",$B207+IF(AND(Settings!$C$10&lt;&gt;"Yes",WEEKDAY($B207,2)&gt;=5),8-WEEKDAY($B207,2),1))</f>
        <v>46568</v>
      </c>
      <c r="C208" s="103" t="str">
        <f>IF($B208="","",CHOOSE(WEEKDAY($B208,2),"Mon","Tue","Wed","Thu","Fri","Sat","Sun"))</f>
        <v>Wed</v>
      </c>
      <c r="D208" s="96">
        <f>IF($B208="","",COUNTIFS('Trade Log'!$A$6:$A$1005,$B208,'Trade Log'!$BH$6:$BH$1005,1))</f>
        <v>0</v>
      </c>
      <c r="E208" s="98" t="str">
        <f>IF(OR($B208="",N($D208)=0),"",SUMIFS('Trade Log'!$Q$6:$Q$1005,'Trade Log'!$A$6:$A$1005,$B208))</f>
        <v/>
      </c>
      <c r="F208" s="99" t="str">
        <f>IF(OR($B208="",N($D208)=0),"",IFERROR(COUNTIFS('Trade Log'!$A$6:$A$1005,$B208,'Trade Log'!$S$6:$S$1005,"Win")/(COUNTIFS('Trade Log'!$A$6:$A$1005,$B208,'Trade Log'!$S$6:$S$1005,"Win")+COUNTIFS('Trade Log'!$A$6:$A$1005,$B208,'Trade Log'!$S$6:$S$1005,"Loss")),"—"))</f>
        <v/>
      </c>
      <c r="G208" s="104" t="str">
        <f>IF(OR($B208="",N($D208)=0),"",SUMIFS('Trade Log'!$R$6:$R$1005,'Trade Log'!$A$6:$A$1005,$B208))</f>
        <v/>
      </c>
      <c r="H208" s="96" t="str">
        <f>IF(OR($B208="",N($D208)=0),"",COUNTIFS('Trade Log'!$A$6:$A$1005,$B208,'Trade Log'!$Z$6:$Z$1005,"No"))</f>
        <v/>
      </c>
      <c r="I208" s="105" t="str">
        <f>IF(OR($B208="",N($D208)=0),"",IF(AND(ISNUMBER(Settings!$C$26),N($E208)&lt;=-N(Settings!$C$26)),"Hit daily max loss. ","")&amp;IF(COUNTIFS('Trade Log'!$A$6:$A$1005,$B208,'Trade Log'!$BM$6:$BM$1005,1)&gt;0,"Kept trading after daily max loss. ","")&amp;IF(AND(ISNUMBER(Settings!$C$25),N($D208)&gt;N(Settings!$C$25)),"Over max trades. ",""))</f>
        <v/>
      </c>
      <c r="J208" s="106" t="n"/>
      <c r="K208" s="106" t="n"/>
      <c r="L208" s="106" t="n"/>
      <c r="M208" s="29" t="n"/>
      <c r="N208" s="29" t="n"/>
      <c r="O208" s="106" t="n"/>
    </row>
    <row r="209">
      <c r="B209" s="107">
        <f>IF($B208="","",$B208+IF(AND(Settings!$C$10&lt;&gt;"Yes",WEEKDAY($B208,2)&gt;=5),8-WEEKDAY($B208,2),1))</f>
        <v>46569</v>
      </c>
      <c r="C209" s="103" t="str">
        <f>IF($B209="","",CHOOSE(WEEKDAY($B209,2),"Mon","Tue","Wed","Thu","Fri","Sat","Sun"))</f>
        <v>Thu</v>
      </c>
      <c r="D209" s="96">
        <f>IF($B209="","",COUNTIFS('Trade Log'!$A$6:$A$1005,$B209,'Trade Log'!$BH$6:$BH$1005,1))</f>
        <v>0</v>
      </c>
      <c r="E209" s="98" t="str">
        <f>IF(OR($B209="",N($D209)=0),"",SUMIFS('Trade Log'!$Q$6:$Q$1005,'Trade Log'!$A$6:$A$1005,$B209))</f>
        <v/>
      </c>
      <c r="F209" s="99" t="str">
        <f>IF(OR($B209="",N($D209)=0),"",IFERROR(COUNTIFS('Trade Log'!$A$6:$A$1005,$B209,'Trade Log'!$S$6:$S$1005,"Win")/(COUNTIFS('Trade Log'!$A$6:$A$1005,$B209,'Trade Log'!$S$6:$S$1005,"Win")+COUNTIFS('Trade Log'!$A$6:$A$1005,$B209,'Trade Log'!$S$6:$S$1005,"Loss")),"—"))</f>
        <v/>
      </c>
      <c r="G209" s="104" t="str">
        <f>IF(OR($B209="",N($D209)=0),"",SUMIFS('Trade Log'!$R$6:$R$1005,'Trade Log'!$A$6:$A$1005,$B209))</f>
        <v/>
      </c>
      <c r="H209" s="96" t="str">
        <f>IF(OR($B209="",N($D209)=0),"",COUNTIFS('Trade Log'!$A$6:$A$1005,$B209,'Trade Log'!$Z$6:$Z$1005,"No"))</f>
        <v/>
      </c>
      <c r="I209" s="105" t="str">
        <f>IF(OR($B209="",N($D209)=0),"",IF(AND(ISNUMBER(Settings!$C$26),N($E209)&lt;=-N(Settings!$C$26)),"Hit daily max loss. ","")&amp;IF(COUNTIFS('Trade Log'!$A$6:$A$1005,$B209,'Trade Log'!$BM$6:$BM$1005,1)&gt;0,"Kept trading after daily max loss. ","")&amp;IF(AND(ISNUMBER(Settings!$C$25),N($D209)&gt;N(Settings!$C$25)),"Over max trades. ",""))</f>
        <v/>
      </c>
      <c r="J209" s="106" t="n"/>
      <c r="K209" s="106" t="n"/>
      <c r="L209" s="106" t="n"/>
      <c r="M209" s="29" t="n"/>
      <c r="N209" s="29" t="n"/>
      <c r="O209" s="106" t="n"/>
    </row>
    <row r="210">
      <c r="B210" s="107">
        <f>IF($B209="","",$B209+IF(AND(Settings!$C$10&lt;&gt;"Yes",WEEKDAY($B209,2)&gt;=5),8-WEEKDAY($B209,2),1))</f>
        <v>46570</v>
      </c>
      <c r="C210" s="103" t="str">
        <f>IF($B210="","",CHOOSE(WEEKDAY($B210,2),"Mon","Tue","Wed","Thu","Fri","Sat","Sun"))</f>
        <v>Fri</v>
      </c>
      <c r="D210" s="96">
        <f>IF($B210="","",COUNTIFS('Trade Log'!$A$6:$A$1005,$B210,'Trade Log'!$BH$6:$BH$1005,1))</f>
        <v>0</v>
      </c>
      <c r="E210" s="98" t="str">
        <f>IF(OR($B210="",N($D210)=0),"",SUMIFS('Trade Log'!$Q$6:$Q$1005,'Trade Log'!$A$6:$A$1005,$B210))</f>
        <v/>
      </c>
      <c r="F210" s="99" t="str">
        <f>IF(OR($B210="",N($D210)=0),"",IFERROR(COUNTIFS('Trade Log'!$A$6:$A$1005,$B210,'Trade Log'!$S$6:$S$1005,"Win")/(COUNTIFS('Trade Log'!$A$6:$A$1005,$B210,'Trade Log'!$S$6:$S$1005,"Win")+COUNTIFS('Trade Log'!$A$6:$A$1005,$B210,'Trade Log'!$S$6:$S$1005,"Loss")),"—"))</f>
        <v/>
      </c>
      <c r="G210" s="104" t="str">
        <f>IF(OR($B210="",N($D210)=0),"",SUMIFS('Trade Log'!$R$6:$R$1005,'Trade Log'!$A$6:$A$1005,$B210))</f>
        <v/>
      </c>
      <c r="H210" s="96" t="str">
        <f>IF(OR($B210="",N($D210)=0),"",COUNTIFS('Trade Log'!$A$6:$A$1005,$B210,'Trade Log'!$Z$6:$Z$1005,"No"))</f>
        <v/>
      </c>
      <c r="I210" s="105" t="str">
        <f>IF(OR($B210="",N($D210)=0),"",IF(AND(ISNUMBER(Settings!$C$26),N($E210)&lt;=-N(Settings!$C$26)),"Hit daily max loss. ","")&amp;IF(COUNTIFS('Trade Log'!$A$6:$A$1005,$B210,'Trade Log'!$BM$6:$BM$1005,1)&gt;0,"Kept trading after daily max loss. ","")&amp;IF(AND(ISNUMBER(Settings!$C$25),N($D210)&gt;N(Settings!$C$25)),"Over max trades. ",""))</f>
        <v/>
      </c>
      <c r="J210" s="106" t="n"/>
      <c r="K210" s="106" t="n"/>
      <c r="L210" s="106" t="n"/>
      <c r="M210" s="29" t="n"/>
      <c r="N210" s="29" t="n"/>
      <c r="O210" s="106" t="n"/>
    </row>
    <row r="211">
      <c r="B211" s="107">
        <f>IF($B210="","",$B210+IF(AND(Settings!$C$10&lt;&gt;"Yes",WEEKDAY($B210,2)&gt;=5),8-WEEKDAY($B210,2),1))</f>
        <v>46573</v>
      </c>
      <c r="C211" s="103" t="str">
        <f>IF($B211="","",CHOOSE(WEEKDAY($B211,2),"Mon","Tue","Wed","Thu","Fri","Sat","Sun"))</f>
        <v>Mon</v>
      </c>
      <c r="D211" s="96">
        <f>IF($B211="","",COUNTIFS('Trade Log'!$A$6:$A$1005,$B211,'Trade Log'!$BH$6:$BH$1005,1))</f>
        <v>0</v>
      </c>
      <c r="E211" s="98" t="str">
        <f>IF(OR($B211="",N($D211)=0),"",SUMIFS('Trade Log'!$Q$6:$Q$1005,'Trade Log'!$A$6:$A$1005,$B211))</f>
        <v/>
      </c>
      <c r="F211" s="99" t="str">
        <f>IF(OR($B211="",N($D211)=0),"",IFERROR(COUNTIFS('Trade Log'!$A$6:$A$1005,$B211,'Trade Log'!$S$6:$S$1005,"Win")/(COUNTIFS('Trade Log'!$A$6:$A$1005,$B211,'Trade Log'!$S$6:$S$1005,"Win")+COUNTIFS('Trade Log'!$A$6:$A$1005,$B211,'Trade Log'!$S$6:$S$1005,"Loss")),"—"))</f>
        <v/>
      </c>
      <c r="G211" s="104" t="str">
        <f>IF(OR($B211="",N($D211)=0),"",SUMIFS('Trade Log'!$R$6:$R$1005,'Trade Log'!$A$6:$A$1005,$B211))</f>
        <v/>
      </c>
      <c r="H211" s="96" t="str">
        <f>IF(OR($B211="",N($D211)=0),"",COUNTIFS('Trade Log'!$A$6:$A$1005,$B211,'Trade Log'!$Z$6:$Z$1005,"No"))</f>
        <v/>
      </c>
      <c r="I211" s="105" t="str">
        <f>IF(OR($B211="",N($D211)=0),"",IF(AND(ISNUMBER(Settings!$C$26),N($E211)&lt;=-N(Settings!$C$26)),"Hit daily max loss. ","")&amp;IF(COUNTIFS('Trade Log'!$A$6:$A$1005,$B211,'Trade Log'!$BM$6:$BM$1005,1)&gt;0,"Kept trading after daily max loss. ","")&amp;IF(AND(ISNUMBER(Settings!$C$25),N($D211)&gt;N(Settings!$C$25)),"Over max trades. ",""))</f>
        <v/>
      </c>
      <c r="J211" s="106" t="n"/>
      <c r="K211" s="106" t="n"/>
      <c r="L211" s="106" t="n"/>
      <c r="M211" s="29" t="n"/>
      <c r="N211" s="29" t="n"/>
      <c r="O211" s="106" t="n"/>
    </row>
    <row r="212">
      <c r="B212" s="107">
        <f>IF($B211="","",$B211+IF(AND(Settings!$C$10&lt;&gt;"Yes",WEEKDAY($B211,2)&gt;=5),8-WEEKDAY($B211,2),1))</f>
        <v>46574</v>
      </c>
      <c r="C212" s="103" t="str">
        <f>IF($B212="","",CHOOSE(WEEKDAY($B212,2),"Mon","Tue","Wed","Thu","Fri","Sat","Sun"))</f>
        <v>Tue</v>
      </c>
      <c r="D212" s="96">
        <f>IF($B212="","",COUNTIFS('Trade Log'!$A$6:$A$1005,$B212,'Trade Log'!$BH$6:$BH$1005,1))</f>
        <v>0</v>
      </c>
      <c r="E212" s="98" t="str">
        <f>IF(OR($B212="",N($D212)=0),"",SUMIFS('Trade Log'!$Q$6:$Q$1005,'Trade Log'!$A$6:$A$1005,$B212))</f>
        <v/>
      </c>
      <c r="F212" s="99" t="str">
        <f>IF(OR($B212="",N($D212)=0),"",IFERROR(COUNTIFS('Trade Log'!$A$6:$A$1005,$B212,'Trade Log'!$S$6:$S$1005,"Win")/(COUNTIFS('Trade Log'!$A$6:$A$1005,$B212,'Trade Log'!$S$6:$S$1005,"Win")+COUNTIFS('Trade Log'!$A$6:$A$1005,$B212,'Trade Log'!$S$6:$S$1005,"Loss")),"—"))</f>
        <v/>
      </c>
      <c r="G212" s="104" t="str">
        <f>IF(OR($B212="",N($D212)=0),"",SUMIFS('Trade Log'!$R$6:$R$1005,'Trade Log'!$A$6:$A$1005,$B212))</f>
        <v/>
      </c>
      <c r="H212" s="96" t="str">
        <f>IF(OR($B212="",N($D212)=0),"",COUNTIFS('Trade Log'!$A$6:$A$1005,$B212,'Trade Log'!$Z$6:$Z$1005,"No"))</f>
        <v/>
      </c>
      <c r="I212" s="105" t="str">
        <f>IF(OR($B212="",N($D212)=0),"",IF(AND(ISNUMBER(Settings!$C$26),N($E212)&lt;=-N(Settings!$C$26)),"Hit daily max loss. ","")&amp;IF(COUNTIFS('Trade Log'!$A$6:$A$1005,$B212,'Trade Log'!$BM$6:$BM$1005,1)&gt;0,"Kept trading after daily max loss. ","")&amp;IF(AND(ISNUMBER(Settings!$C$25),N($D212)&gt;N(Settings!$C$25)),"Over max trades. ",""))</f>
        <v/>
      </c>
      <c r="J212" s="106" t="n"/>
      <c r="K212" s="106" t="n"/>
      <c r="L212" s="106" t="n"/>
      <c r="M212" s="29" t="n"/>
      <c r="N212" s="29" t="n"/>
      <c r="O212" s="106" t="n"/>
    </row>
    <row r="213">
      <c r="B213" s="107">
        <f>IF($B212="","",$B212+IF(AND(Settings!$C$10&lt;&gt;"Yes",WEEKDAY($B212,2)&gt;=5),8-WEEKDAY($B212,2),1))</f>
        <v>46575</v>
      </c>
      <c r="C213" s="103" t="str">
        <f>IF($B213="","",CHOOSE(WEEKDAY($B213,2),"Mon","Tue","Wed","Thu","Fri","Sat","Sun"))</f>
        <v>Wed</v>
      </c>
      <c r="D213" s="96">
        <f>IF($B213="","",COUNTIFS('Trade Log'!$A$6:$A$1005,$B213,'Trade Log'!$BH$6:$BH$1005,1))</f>
        <v>0</v>
      </c>
      <c r="E213" s="98" t="str">
        <f>IF(OR($B213="",N($D213)=0),"",SUMIFS('Trade Log'!$Q$6:$Q$1005,'Trade Log'!$A$6:$A$1005,$B213))</f>
        <v/>
      </c>
      <c r="F213" s="99" t="str">
        <f>IF(OR($B213="",N($D213)=0),"",IFERROR(COUNTIFS('Trade Log'!$A$6:$A$1005,$B213,'Trade Log'!$S$6:$S$1005,"Win")/(COUNTIFS('Trade Log'!$A$6:$A$1005,$B213,'Trade Log'!$S$6:$S$1005,"Win")+COUNTIFS('Trade Log'!$A$6:$A$1005,$B213,'Trade Log'!$S$6:$S$1005,"Loss")),"—"))</f>
        <v/>
      </c>
      <c r="G213" s="104" t="str">
        <f>IF(OR($B213="",N($D213)=0),"",SUMIFS('Trade Log'!$R$6:$R$1005,'Trade Log'!$A$6:$A$1005,$B213))</f>
        <v/>
      </c>
      <c r="H213" s="96" t="str">
        <f>IF(OR($B213="",N($D213)=0),"",COUNTIFS('Trade Log'!$A$6:$A$1005,$B213,'Trade Log'!$Z$6:$Z$1005,"No"))</f>
        <v/>
      </c>
      <c r="I213" s="105" t="str">
        <f>IF(OR($B213="",N($D213)=0),"",IF(AND(ISNUMBER(Settings!$C$26),N($E213)&lt;=-N(Settings!$C$26)),"Hit daily max loss. ","")&amp;IF(COUNTIFS('Trade Log'!$A$6:$A$1005,$B213,'Trade Log'!$BM$6:$BM$1005,1)&gt;0,"Kept trading after daily max loss. ","")&amp;IF(AND(ISNUMBER(Settings!$C$25),N($D213)&gt;N(Settings!$C$25)),"Over max trades. ",""))</f>
        <v/>
      </c>
      <c r="J213" s="106" t="n"/>
      <c r="K213" s="106" t="n"/>
      <c r="L213" s="106" t="n"/>
      <c r="M213" s="29" t="n"/>
      <c r="N213" s="29" t="n"/>
      <c r="O213" s="106" t="n"/>
    </row>
    <row r="214">
      <c r="B214" s="107">
        <f>IF($B213="","",$B213+IF(AND(Settings!$C$10&lt;&gt;"Yes",WEEKDAY($B213,2)&gt;=5),8-WEEKDAY($B213,2),1))</f>
        <v>46576</v>
      </c>
      <c r="C214" s="103" t="str">
        <f>IF($B214="","",CHOOSE(WEEKDAY($B214,2),"Mon","Tue","Wed","Thu","Fri","Sat","Sun"))</f>
        <v>Thu</v>
      </c>
      <c r="D214" s="96">
        <f>IF($B214="","",COUNTIFS('Trade Log'!$A$6:$A$1005,$B214,'Trade Log'!$BH$6:$BH$1005,1))</f>
        <v>0</v>
      </c>
      <c r="E214" s="98" t="str">
        <f>IF(OR($B214="",N($D214)=0),"",SUMIFS('Trade Log'!$Q$6:$Q$1005,'Trade Log'!$A$6:$A$1005,$B214))</f>
        <v/>
      </c>
      <c r="F214" s="99" t="str">
        <f>IF(OR($B214="",N($D214)=0),"",IFERROR(COUNTIFS('Trade Log'!$A$6:$A$1005,$B214,'Trade Log'!$S$6:$S$1005,"Win")/(COUNTIFS('Trade Log'!$A$6:$A$1005,$B214,'Trade Log'!$S$6:$S$1005,"Win")+COUNTIFS('Trade Log'!$A$6:$A$1005,$B214,'Trade Log'!$S$6:$S$1005,"Loss")),"—"))</f>
        <v/>
      </c>
      <c r="G214" s="104" t="str">
        <f>IF(OR($B214="",N($D214)=0),"",SUMIFS('Trade Log'!$R$6:$R$1005,'Trade Log'!$A$6:$A$1005,$B214))</f>
        <v/>
      </c>
      <c r="H214" s="96" t="str">
        <f>IF(OR($B214="",N($D214)=0),"",COUNTIFS('Trade Log'!$A$6:$A$1005,$B214,'Trade Log'!$Z$6:$Z$1005,"No"))</f>
        <v/>
      </c>
      <c r="I214" s="105" t="str">
        <f>IF(OR($B214="",N($D214)=0),"",IF(AND(ISNUMBER(Settings!$C$26),N($E214)&lt;=-N(Settings!$C$26)),"Hit daily max loss. ","")&amp;IF(COUNTIFS('Trade Log'!$A$6:$A$1005,$B214,'Trade Log'!$BM$6:$BM$1005,1)&gt;0,"Kept trading after daily max loss. ","")&amp;IF(AND(ISNUMBER(Settings!$C$25),N($D214)&gt;N(Settings!$C$25)),"Over max trades. ",""))</f>
        <v/>
      </c>
      <c r="J214" s="106" t="n"/>
      <c r="K214" s="106" t="n"/>
      <c r="L214" s="106" t="n"/>
      <c r="M214" s="29" t="n"/>
      <c r="N214" s="29" t="n"/>
      <c r="O214" s="106" t="n"/>
    </row>
    <row r="215">
      <c r="B215" s="107">
        <f>IF($B214="","",$B214+IF(AND(Settings!$C$10&lt;&gt;"Yes",WEEKDAY($B214,2)&gt;=5),8-WEEKDAY($B214,2),1))</f>
        <v>46577</v>
      </c>
      <c r="C215" s="103" t="str">
        <f>IF($B215="","",CHOOSE(WEEKDAY($B215,2),"Mon","Tue","Wed","Thu","Fri","Sat","Sun"))</f>
        <v>Fri</v>
      </c>
      <c r="D215" s="96">
        <f>IF($B215="","",COUNTIFS('Trade Log'!$A$6:$A$1005,$B215,'Trade Log'!$BH$6:$BH$1005,1))</f>
        <v>0</v>
      </c>
      <c r="E215" s="98" t="str">
        <f>IF(OR($B215="",N($D215)=0),"",SUMIFS('Trade Log'!$Q$6:$Q$1005,'Trade Log'!$A$6:$A$1005,$B215))</f>
        <v/>
      </c>
      <c r="F215" s="99" t="str">
        <f>IF(OR($B215="",N($D215)=0),"",IFERROR(COUNTIFS('Trade Log'!$A$6:$A$1005,$B215,'Trade Log'!$S$6:$S$1005,"Win")/(COUNTIFS('Trade Log'!$A$6:$A$1005,$B215,'Trade Log'!$S$6:$S$1005,"Win")+COUNTIFS('Trade Log'!$A$6:$A$1005,$B215,'Trade Log'!$S$6:$S$1005,"Loss")),"—"))</f>
        <v/>
      </c>
      <c r="G215" s="104" t="str">
        <f>IF(OR($B215="",N($D215)=0),"",SUMIFS('Trade Log'!$R$6:$R$1005,'Trade Log'!$A$6:$A$1005,$B215))</f>
        <v/>
      </c>
      <c r="H215" s="96" t="str">
        <f>IF(OR($B215="",N($D215)=0),"",COUNTIFS('Trade Log'!$A$6:$A$1005,$B215,'Trade Log'!$Z$6:$Z$1005,"No"))</f>
        <v/>
      </c>
      <c r="I215" s="105" t="str">
        <f>IF(OR($B215="",N($D215)=0),"",IF(AND(ISNUMBER(Settings!$C$26),N($E215)&lt;=-N(Settings!$C$26)),"Hit daily max loss. ","")&amp;IF(COUNTIFS('Trade Log'!$A$6:$A$1005,$B215,'Trade Log'!$BM$6:$BM$1005,1)&gt;0,"Kept trading after daily max loss. ","")&amp;IF(AND(ISNUMBER(Settings!$C$25),N($D215)&gt;N(Settings!$C$25)),"Over max trades. ",""))</f>
        <v/>
      </c>
      <c r="J215" s="106" t="n"/>
      <c r="K215" s="106" t="n"/>
      <c r="L215" s="106" t="n"/>
      <c r="M215" s="29" t="n"/>
      <c r="N215" s="29" t="n"/>
      <c r="O215" s="106" t="n"/>
    </row>
    <row r="216">
      <c r="B216" s="107">
        <f>IF($B215="","",$B215+IF(AND(Settings!$C$10&lt;&gt;"Yes",WEEKDAY($B215,2)&gt;=5),8-WEEKDAY($B215,2),1))</f>
        <v>46580</v>
      </c>
      <c r="C216" s="103" t="str">
        <f>IF($B216="","",CHOOSE(WEEKDAY($B216,2),"Mon","Tue","Wed","Thu","Fri","Sat","Sun"))</f>
        <v>Mon</v>
      </c>
      <c r="D216" s="96">
        <f>IF($B216="","",COUNTIFS('Trade Log'!$A$6:$A$1005,$B216,'Trade Log'!$BH$6:$BH$1005,1))</f>
        <v>0</v>
      </c>
      <c r="E216" s="98" t="str">
        <f>IF(OR($B216="",N($D216)=0),"",SUMIFS('Trade Log'!$Q$6:$Q$1005,'Trade Log'!$A$6:$A$1005,$B216))</f>
        <v/>
      </c>
      <c r="F216" s="99" t="str">
        <f>IF(OR($B216="",N($D216)=0),"",IFERROR(COUNTIFS('Trade Log'!$A$6:$A$1005,$B216,'Trade Log'!$S$6:$S$1005,"Win")/(COUNTIFS('Trade Log'!$A$6:$A$1005,$B216,'Trade Log'!$S$6:$S$1005,"Win")+COUNTIFS('Trade Log'!$A$6:$A$1005,$B216,'Trade Log'!$S$6:$S$1005,"Loss")),"—"))</f>
        <v/>
      </c>
      <c r="G216" s="104" t="str">
        <f>IF(OR($B216="",N($D216)=0),"",SUMIFS('Trade Log'!$R$6:$R$1005,'Trade Log'!$A$6:$A$1005,$B216))</f>
        <v/>
      </c>
      <c r="H216" s="96" t="str">
        <f>IF(OR($B216="",N($D216)=0),"",COUNTIFS('Trade Log'!$A$6:$A$1005,$B216,'Trade Log'!$Z$6:$Z$1005,"No"))</f>
        <v/>
      </c>
      <c r="I216" s="105" t="str">
        <f>IF(OR($B216="",N($D216)=0),"",IF(AND(ISNUMBER(Settings!$C$26),N($E216)&lt;=-N(Settings!$C$26)),"Hit daily max loss. ","")&amp;IF(COUNTIFS('Trade Log'!$A$6:$A$1005,$B216,'Trade Log'!$BM$6:$BM$1005,1)&gt;0,"Kept trading after daily max loss. ","")&amp;IF(AND(ISNUMBER(Settings!$C$25),N($D216)&gt;N(Settings!$C$25)),"Over max trades. ",""))</f>
        <v/>
      </c>
      <c r="J216" s="106" t="n"/>
      <c r="K216" s="106" t="n"/>
      <c r="L216" s="106" t="n"/>
      <c r="M216" s="29" t="n"/>
      <c r="N216" s="29" t="n"/>
      <c r="O216" s="106" t="n"/>
    </row>
    <row r="217">
      <c r="B217" s="107">
        <f>IF($B216="","",$B216+IF(AND(Settings!$C$10&lt;&gt;"Yes",WEEKDAY($B216,2)&gt;=5),8-WEEKDAY($B216,2),1))</f>
        <v>46581</v>
      </c>
      <c r="C217" s="103" t="str">
        <f>IF($B217="","",CHOOSE(WEEKDAY($B217,2),"Mon","Tue","Wed","Thu","Fri","Sat","Sun"))</f>
        <v>Tue</v>
      </c>
      <c r="D217" s="96">
        <f>IF($B217="","",COUNTIFS('Trade Log'!$A$6:$A$1005,$B217,'Trade Log'!$BH$6:$BH$1005,1))</f>
        <v>0</v>
      </c>
      <c r="E217" s="98" t="str">
        <f>IF(OR($B217="",N($D217)=0),"",SUMIFS('Trade Log'!$Q$6:$Q$1005,'Trade Log'!$A$6:$A$1005,$B217))</f>
        <v/>
      </c>
      <c r="F217" s="99" t="str">
        <f>IF(OR($B217="",N($D217)=0),"",IFERROR(COUNTIFS('Trade Log'!$A$6:$A$1005,$B217,'Trade Log'!$S$6:$S$1005,"Win")/(COUNTIFS('Trade Log'!$A$6:$A$1005,$B217,'Trade Log'!$S$6:$S$1005,"Win")+COUNTIFS('Trade Log'!$A$6:$A$1005,$B217,'Trade Log'!$S$6:$S$1005,"Loss")),"—"))</f>
        <v/>
      </c>
      <c r="G217" s="104" t="str">
        <f>IF(OR($B217="",N($D217)=0),"",SUMIFS('Trade Log'!$R$6:$R$1005,'Trade Log'!$A$6:$A$1005,$B217))</f>
        <v/>
      </c>
      <c r="H217" s="96" t="str">
        <f>IF(OR($B217="",N($D217)=0),"",COUNTIFS('Trade Log'!$A$6:$A$1005,$B217,'Trade Log'!$Z$6:$Z$1005,"No"))</f>
        <v/>
      </c>
      <c r="I217" s="105" t="str">
        <f>IF(OR($B217="",N($D217)=0),"",IF(AND(ISNUMBER(Settings!$C$26),N($E217)&lt;=-N(Settings!$C$26)),"Hit daily max loss. ","")&amp;IF(COUNTIFS('Trade Log'!$A$6:$A$1005,$B217,'Trade Log'!$BM$6:$BM$1005,1)&gt;0,"Kept trading after daily max loss. ","")&amp;IF(AND(ISNUMBER(Settings!$C$25),N($D217)&gt;N(Settings!$C$25)),"Over max trades. ",""))</f>
        <v/>
      </c>
      <c r="J217" s="106" t="n"/>
      <c r="K217" s="106" t="n"/>
      <c r="L217" s="106" t="n"/>
      <c r="M217" s="29" t="n"/>
      <c r="N217" s="29" t="n"/>
      <c r="O217" s="106" t="n"/>
    </row>
    <row r="218">
      <c r="B218" s="107">
        <f>IF($B217="","",$B217+IF(AND(Settings!$C$10&lt;&gt;"Yes",WEEKDAY($B217,2)&gt;=5),8-WEEKDAY($B217,2),1))</f>
        <v>46582</v>
      </c>
      <c r="C218" s="103" t="str">
        <f>IF($B218="","",CHOOSE(WEEKDAY($B218,2),"Mon","Tue","Wed","Thu","Fri","Sat","Sun"))</f>
        <v>Wed</v>
      </c>
      <c r="D218" s="96">
        <f>IF($B218="","",COUNTIFS('Trade Log'!$A$6:$A$1005,$B218,'Trade Log'!$BH$6:$BH$1005,1))</f>
        <v>0</v>
      </c>
      <c r="E218" s="98" t="str">
        <f>IF(OR($B218="",N($D218)=0),"",SUMIFS('Trade Log'!$Q$6:$Q$1005,'Trade Log'!$A$6:$A$1005,$B218))</f>
        <v/>
      </c>
      <c r="F218" s="99" t="str">
        <f>IF(OR($B218="",N($D218)=0),"",IFERROR(COUNTIFS('Trade Log'!$A$6:$A$1005,$B218,'Trade Log'!$S$6:$S$1005,"Win")/(COUNTIFS('Trade Log'!$A$6:$A$1005,$B218,'Trade Log'!$S$6:$S$1005,"Win")+COUNTIFS('Trade Log'!$A$6:$A$1005,$B218,'Trade Log'!$S$6:$S$1005,"Loss")),"—"))</f>
        <v/>
      </c>
      <c r="G218" s="104" t="str">
        <f>IF(OR($B218="",N($D218)=0),"",SUMIFS('Trade Log'!$R$6:$R$1005,'Trade Log'!$A$6:$A$1005,$B218))</f>
        <v/>
      </c>
      <c r="H218" s="96" t="str">
        <f>IF(OR($B218="",N($D218)=0),"",COUNTIFS('Trade Log'!$A$6:$A$1005,$B218,'Trade Log'!$Z$6:$Z$1005,"No"))</f>
        <v/>
      </c>
      <c r="I218" s="105" t="str">
        <f>IF(OR($B218="",N($D218)=0),"",IF(AND(ISNUMBER(Settings!$C$26),N($E218)&lt;=-N(Settings!$C$26)),"Hit daily max loss. ","")&amp;IF(COUNTIFS('Trade Log'!$A$6:$A$1005,$B218,'Trade Log'!$BM$6:$BM$1005,1)&gt;0,"Kept trading after daily max loss. ","")&amp;IF(AND(ISNUMBER(Settings!$C$25),N($D218)&gt;N(Settings!$C$25)),"Over max trades. ",""))</f>
        <v/>
      </c>
      <c r="J218" s="106" t="n"/>
      <c r="K218" s="106" t="n"/>
      <c r="L218" s="106" t="n"/>
      <c r="M218" s="29" t="n"/>
      <c r="N218" s="29" t="n"/>
      <c r="O218" s="106" t="n"/>
    </row>
    <row r="219">
      <c r="B219" s="107">
        <f>IF($B218="","",$B218+IF(AND(Settings!$C$10&lt;&gt;"Yes",WEEKDAY($B218,2)&gt;=5),8-WEEKDAY($B218,2),1))</f>
        <v>46583</v>
      </c>
      <c r="C219" s="103" t="str">
        <f>IF($B219="","",CHOOSE(WEEKDAY($B219,2),"Mon","Tue","Wed","Thu","Fri","Sat","Sun"))</f>
        <v>Thu</v>
      </c>
      <c r="D219" s="96">
        <f>IF($B219="","",COUNTIFS('Trade Log'!$A$6:$A$1005,$B219,'Trade Log'!$BH$6:$BH$1005,1))</f>
        <v>0</v>
      </c>
      <c r="E219" s="98" t="str">
        <f>IF(OR($B219="",N($D219)=0),"",SUMIFS('Trade Log'!$Q$6:$Q$1005,'Trade Log'!$A$6:$A$1005,$B219))</f>
        <v/>
      </c>
      <c r="F219" s="99" t="str">
        <f>IF(OR($B219="",N($D219)=0),"",IFERROR(COUNTIFS('Trade Log'!$A$6:$A$1005,$B219,'Trade Log'!$S$6:$S$1005,"Win")/(COUNTIFS('Trade Log'!$A$6:$A$1005,$B219,'Trade Log'!$S$6:$S$1005,"Win")+COUNTIFS('Trade Log'!$A$6:$A$1005,$B219,'Trade Log'!$S$6:$S$1005,"Loss")),"—"))</f>
        <v/>
      </c>
      <c r="G219" s="104" t="str">
        <f>IF(OR($B219="",N($D219)=0),"",SUMIFS('Trade Log'!$R$6:$R$1005,'Trade Log'!$A$6:$A$1005,$B219))</f>
        <v/>
      </c>
      <c r="H219" s="96" t="str">
        <f>IF(OR($B219="",N($D219)=0),"",COUNTIFS('Trade Log'!$A$6:$A$1005,$B219,'Trade Log'!$Z$6:$Z$1005,"No"))</f>
        <v/>
      </c>
      <c r="I219" s="105" t="str">
        <f>IF(OR($B219="",N($D219)=0),"",IF(AND(ISNUMBER(Settings!$C$26),N($E219)&lt;=-N(Settings!$C$26)),"Hit daily max loss. ","")&amp;IF(COUNTIFS('Trade Log'!$A$6:$A$1005,$B219,'Trade Log'!$BM$6:$BM$1005,1)&gt;0,"Kept trading after daily max loss. ","")&amp;IF(AND(ISNUMBER(Settings!$C$25),N($D219)&gt;N(Settings!$C$25)),"Over max trades. ",""))</f>
        <v/>
      </c>
      <c r="J219" s="106" t="n"/>
      <c r="K219" s="106" t="n"/>
      <c r="L219" s="106" t="n"/>
      <c r="M219" s="29" t="n"/>
      <c r="N219" s="29" t="n"/>
      <c r="O219" s="106" t="n"/>
    </row>
    <row r="220">
      <c r="B220" s="107">
        <f>IF($B219="","",$B219+IF(AND(Settings!$C$10&lt;&gt;"Yes",WEEKDAY($B219,2)&gt;=5),8-WEEKDAY($B219,2),1))</f>
        <v>46584</v>
      </c>
      <c r="C220" s="103" t="str">
        <f>IF($B220="","",CHOOSE(WEEKDAY($B220,2),"Mon","Tue","Wed","Thu","Fri","Sat","Sun"))</f>
        <v>Fri</v>
      </c>
      <c r="D220" s="96">
        <f>IF($B220="","",COUNTIFS('Trade Log'!$A$6:$A$1005,$B220,'Trade Log'!$BH$6:$BH$1005,1))</f>
        <v>0</v>
      </c>
      <c r="E220" s="98" t="str">
        <f>IF(OR($B220="",N($D220)=0),"",SUMIFS('Trade Log'!$Q$6:$Q$1005,'Trade Log'!$A$6:$A$1005,$B220))</f>
        <v/>
      </c>
      <c r="F220" s="99" t="str">
        <f>IF(OR($B220="",N($D220)=0),"",IFERROR(COUNTIFS('Trade Log'!$A$6:$A$1005,$B220,'Trade Log'!$S$6:$S$1005,"Win")/(COUNTIFS('Trade Log'!$A$6:$A$1005,$B220,'Trade Log'!$S$6:$S$1005,"Win")+COUNTIFS('Trade Log'!$A$6:$A$1005,$B220,'Trade Log'!$S$6:$S$1005,"Loss")),"—"))</f>
        <v/>
      </c>
      <c r="G220" s="104" t="str">
        <f>IF(OR($B220="",N($D220)=0),"",SUMIFS('Trade Log'!$R$6:$R$1005,'Trade Log'!$A$6:$A$1005,$B220))</f>
        <v/>
      </c>
      <c r="H220" s="96" t="str">
        <f>IF(OR($B220="",N($D220)=0),"",COUNTIFS('Trade Log'!$A$6:$A$1005,$B220,'Trade Log'!$Z$6:$Z$1005,"No"))</f>
        <v/>
      </c>
      <c r="I220" s="105" t="str">
        <f>IF(OR($B220="",N($D220)=0),"",IF(AND(ISNUMBER(Settings!$C$26),N($E220)&lt;=-N(Settings!$C$26)),"Hit daily max loss. ","")&amp;IF(COUNTIFS('Trade Log'!$A$6:$A$1005,$B220,'Trade Log'!$BM$6:$BM$1005,1)&gt;0,"Kept trading after daily max loss. ","")&amp;IF(AND(ISNUMBER(Settings!$C$25),N($D220)&gt;N(Settings!$C$25)),"Over max trades. ",""))</f>
        <v/>
      </c>
      <c r="J220" s="106" t="n"/>
      <c r="K220" s="106" t="n"/>
      <c r="L220" s="106" t="n"/>
      <c r="M220" s="29" t="n"/>
      <c r="N220" s="29" t="n"/>
      <c r="O220" s="106" t="n"/>
    </row>
    <row r="221">
      <c r="B221" s="107">
        <f>IF($B220="","",$B220+IF(AND(Settings!$C$10&lt;&gt;"Yes",WEEKDAY($B220,2)&gt;=5),8-WEEKDAY($B220,2),1))</f>
        <v>46587</v>
      </c>
      <c r="C221" s="103" t="str">
        <f>IF($B221="","",CHOOSE(WEEKDAY($B221,2),"Mon","Tue","Wed","Thu","Fri","Sat","Sun"))</f>
        <v>Mon</v>
      </c>
      <c r="D221" s="96">
        <f>IF($B221="","",COUNTIFS('Trade Log'!$A$6:$A$1005,$B221,'Trade Log'!$BH$6:$BH$1005,1))</f>
        <v>0</v>
      </c>
      <c r="E221" s="98" t="str">
        <f>IF(OR($B221="",N($D221)=0),"",SUMIFS('Trade Log'!$Q$6:$Q$1005,'Trade Log'!$A$6:$A$1005,$B221))</f>
        <v/>
      </c>
      <c r="F221" s="99" t="str">
        <f>IF(OR($B221="",N($D221)=0),"",IFERROR(COUNTIFS('Trade Log'!$A$6:$A$1005,$B221,'Trade Log'!$S$6:$S$1005,"Win")/(COUNTIFS('Trade Log'!$A$6:$A$1005,$B221,'Trade Log'!$S$6:$S$1005,"Win")+COUNTIFS('Trade Log'!$A$6:$A$1005,$B221,'Trade Log'!$S$6:$S$1005,"Loss")),"—"))</f>
        <v/>
      </c>
      <c r="G221" s="104" t="str">
        <f>IF(OR($B221="",N($D221)=0),"",SUMIFS('Trade Log'!$R$6:$R$1005,'Trade Log'!$A$6:$A$1005,$B221))</f>
        <v/>
      </c>
      <c r="H221" s="96" t="str">
        <f>IF(OR($B221="",N($D221)=0),"",COUNTIFS('Trade Log'!$A$6:$A$1005,$B221,'Trade Log'!$Z$6:$Z$1005,"No"))</f>
        <v/>
      </c>
      <c r="I221" s="105" t="str">
        <f>IF(OR($B221="",N($D221)=0),"",IF(AND(ISNUMBER(Settings!$C$26),N($E221)&lt;=-N(Settings!$C$26)),"Hit daily max loss. ","")&amp;IF(COUNTIFS('Trade Log'!$A$6:$A$1005,$B221,'Trade Log'!$BM$6:$BM$1005,1)&gt;0,"Kept trading after daily max loss. ","")&amp;IF(AND(ISNUMBER(Settings!$C$25),N($D221)&gt;N(Settings!$C$25)),"Over max trades. ",""))</f>
        <v/>
      </c>
      <c r="J221" s="106" t="n"/>
      <c r="K221" s="106" t="n"/>
      <c r="L221" s="106" t="n"/>
      <c r="M221" s="29" t="n"/>
      <c r="N221" s="29" t="n"/>
      <c r="O221" s="106" t="n"/>
    </row>
    <row r="222">
      <c r="B222" s="107">
        <f>IF($B221="","",$B221+IF(AND(Settings!$C$10&lt;&gt;"Yes",WEEKDAY($B221,2)&gt;=5),8-WEEKDAY($B221,2),1))</f>
        <v>46588</v>
      </c>
      <c r="C222" s="103" t="str">
        <f>IF($B222="","",CHOOSE(WEEKDAY($B222,2),"Mon","Tue","Wed","Thu","Fri","Sat","Sun"))</f>
        <v>Tue</v>
      </c>
      <c r="D222" s="96">
        <f>IF($B222="","",COUNTIFS('Trade Log'!$A$6:$A$1005,$B222,'Trade Log'!$BH$6:$BH$1005,1))</f>
        <v>0</v>
      </c>
      <c r="E222" s="98" t="str">
        <f>IF(OR($B222="",N($D222)=0),"",SUMIFS('Trade Log'!$Q$6:$Q$1005,'Trade Log'!$A$6:$A$1005,$B222))</f>
        <v/>
      </c>
      <c r="F222" s="99" t="str">
        <f>IF(OR($B222="",N($D222)=0),"",IFERROR(COUNTIFS('Trade Log'!$A$6:$A$1005,$B222,'Trade Log'!$S$6:$S$1005,"Win")/(COUNTIFS('Trade Log'!$A$6:$A$1005,$B222,'Trade Log'!$S$6:$S$1005,"Win")+COUNTIFS('Trade Log'!$A$6:$A$1005,$B222,'Trade Log'!$S$6:$S$1005,"Loss")),"—"))</f>
        <v/>
      </c>
      <c r="G222" s="104" t="str">
        <f>IF(OR($B222="",N($D222)=0),"",SUMIFS('Trade Log'!$R$6:$R$1005,'Trade Log'!$A$6:$A$1005,$B222))</f>
        <v/>
      </c>
      <c r="H222" s="96" t="str">
        <f>IF(OR($B222="",N($D222)=0),"",COUNTIFS('Trade Log'!$A$6:$A$1005,$B222,'Trade Log'!$Z$6:$Z$1005,"No"))</f>
        <v/>
      </c>
      <c r="I222" s="105" t="str">
        <f>IF(OR($B222="",N($D222)=0),"",IF(AND(ISNUMBER(Settings!$C$26),N($E222)&lt;=-N(Settings!$C$26)),"Hit daily max loss. ","")&amp;IF(COUNTIFS('Trade Log'!$A$6:$A$1005,$B222,'Trade Log'!$BM$6:$BM$1005,1)&gt;0,"Kept trading after daily max loss. ","")&amp;IF(AND(ISNUMBER(Settings!$C$25),N($D222)&gt;N(Settings!$C$25)),"Over max trades. ",""))</f>
        <v/>
      </c>
      <c r="J222" s="106" t="n"/>
      <c r="K222" s="106" t="n"/>
      <c r="L222" s="106" t="n"/>
      <c r="M222" s="29" t="n"/>
      <c r="N222" s="29" t="n"/>
      <c r="O222" s="106" t="n"/>
    </row>
    <row r="223">
      <c r="B223" s="107">
        <f>IF($B222="","",$B222+IF(AND(Settings!$C$10&lt;&gt;"Yes",WEEKDAY($B222,2)&gt;=5),8-WEEKDAY($B222,2),1))</f>
        <v>46589</v>
      </c>
      <c r="C223" s="103" t="str">
        <f>IF($B223="","",CHOOSE(WEEKDAY($B223,2),"Mon","Tue","Wed","Thu","Fri","Sat","Sun"))</f>
        <v>Wed</v>
      </c>
      <c r="D223" s="96">
        <f>IF($B223="","",COUNTIFS('Trade Log'!$A$6:$A$1005,$B223,'Trade Log'!$BH$6:$BH$1005,1))</f>
        <v>0</v>
      </c>
      <c r="E223" s="98" t="str">
        <f>IF(OR($B223="",N($D223)=0),"",SUMIFS('Trade Log'!$Q$6:$Q$1005,'Trade Log'!$A$6:$A$1005,$B223))</f>
        <v/>
      </c>
      <c r="F223" s="99" t="str">
        <f>IF(OR($B223="",N($D223)=0),"",IFERROR(COUNTIFS('Trade Log'!$A$6:$A$1005,$B223,'Trade Log'!$S$6:$S$1005,"Win")/(COUNTIFS('Trade Log'!$A$6:$A$1005,$B223,'Trade Log'!$S$6:$S$1005,"Win")+COUNTIFS('Trade Log'!$A$6:$A$1005,$B223,'Trade Log'!$S$6:$S$1005,"Loss")),"—"))</f>
        <v/>
      </c>
      <c r="G223" s="104" t="str">
        <f>IF(OR($B223="",N($D223)=0),"",SUMIFS('Trade Log'!$R$6:$R$1005,'Trade Log'!$A$6:$A$1005,$B223))</f>
        <v/>
      </c>
      <c r="H223" s="96" t="str">
        <f>IF(OR($B223="",N($D223)=0),"",COUNTIFS('Trade Log'!$A$6:$A$1005,$B223,'Trade Log'!$Z$6:$Z$1005,"No"))</f>
        <v/>
      </c>
      <c r="I223" s="105" t="str">
        <f>IF(OR($B223="",N($D223)=0),"",IF(AND(ISNUMBER(Settings!$C$26),N($E223)&lt;=-N(Settings!$C$26)),"Hit daily max loss. ","")&amp;IF(COUNTIFS('Trade Log'!$A$6:$A$1005,$B223,'Trade Log'!$BM$6:$BM$1005,1)&gt;0,"Kept trading after daily max loss. ","")&amp;IF(AND(ISNUMBER(Settings!$C$25),N($D223)&gt;N(Settings!$C$25)),"Over max trades. ",""))</f>
        <v/>
      </c>
      <c r="J223" s="106" t="n"/>
      <c r="K223" s="106" t="n"/>
      <c r="L223" s="106" t="n"/>
      <c r="M223" s="29" t="n"/>
      <c r="N223" s="29" t="n"/>
      <c r="O223" s="106" t="n"/>
    </row>
    <row r="224">
      <c r="B224" s="107">
        <f>IF($B223="","",$B223+IF(AND(Settings!$C$10&lt;&gt;"Yes",WEEKDAY($B223,2)&gt;=5),8-WEEKDAY($B223,2),1))</f>
        <v>46590</v>
      </c>
      <c r="C224" s="103" t="str">
        <f>IF($B224="","",CHOOSE(WEEKDAY($B224,2),"Mon","Tue","Wed","Thu","Fri","Sat","Sun"))</f>
        <v>Thu</v>
      </c>
      <c r="D224" s="96">
        <f>IF($B224="","",COUNTIFS('Trade Log'!$A$6:$A$1005,$B224,'Trade Log'!$BH$6:$BH$1005,1))</f>
        <v>0</v>
      </c>
      <c r="E224" s="98" t="str">
        <f>IF(OR($B224="",N($D224)=0),"",SUMIFS('Trade Log'!$Q$6:$Q$1005,'Trade Log'!$A$6:$A$1005,$B224))</f>
        <v/>
      </c>
      <c r="F224" s="99" t="str">
        <f>IF(OR($B224="",N($D224)=0),"",IFERROR(COUNTIFS('Trade Log'!$A$6:$A$1005,$B224,'Trade Log'!$S$6:$S$1005,"Win")/(COUNTIFS('Trade Log'!$A$6:$A$1005,$B224,'Trade Log'!$S$6:$S$1005,"Win")+COUNTIFS('Trade Log'!$A$6:$A$1005,$B224,'Trade Log'!$S$6:$S$1005,"Loss")),"—"))</f>
        <v/>
      </c>
      <c r="G224" s="104" t="str">
        <f>IF(OR($B224="",N($D224)=0),"",SUMIFS('Trade Log'!$R$6:$R$1005,'Trade Log'!$A$6:$A$1005,$B224))</f>
        <v/>
      </c>
      <c r="H224" s="96" t="str">
        <f>IF(OR($B224="",N($D224)=0),"",COUNTIFS('Trade Log'!$A$6:$A$1005,$B224,'Trade Log'!$Z$6:$Z$1005,"No"))</f>
        <v/>
      </c>
      <c r="I224" s="105" t="str">
        <f>IF(OR($B224="",N($D224)=0),"",IF(AND(ISNUMBER(Settings!$C$26),N($E224)&lt;=-N(Settings!$C$26)),"Hit daily max loss. ","")&amp;IF(COUNTIFS('Trade Log'!$A$6:$A$1005,$B224,'Trade Log'!$BM$6:$BM$1005,1)&gt;0,"Kept trading after daily max loss. ","")&amp;IF(AND(ISNUMBER(Settings!$C$25),N($D224)&gt;N(Settings!$C$25)),"Over max trades. ",""))</f>
        <v/>
      </c>
      <c r="J224" s="106" t="n"/>
      <c r="K224" s="106" t="n"/>
      <c r="L224" s="106" t="n"/>
      <c r="M224" s="29" t="n"/>
      <c r="N224" s="29" t="n"/>
      <c r="O224" s="106" t="n"/>
    </row>
    <row r="225">
      <c r="B225" s="107">
        <f>IF($B224="","",$B224+IF(AND(Settings!$C$10&lt;&gt;"Yes",WEEKDAY($B224,2)&gt;=5),8-WEEKDAY($B224,2),1))</f>
        <v>46591</v>
      </c>
      <c r="C225" s="103" t="str">
        <f>IF($B225="","",CHOOSE(WEEKDAY($B225,2),"Mon","Tue","Wed","Thu","Fri","Sat","Sun"))</f>
        <v>Fri</v>
      </c>
      <c r="D225" s="96">
        <f>IF($B225="","",COUNTIFS('Trade Log'!$A$6:$A$1005,$B225,'Trade Log'!$BH$6:$BH$1005,1))</f>
        <v>0</v>
      </c>
      <c r="E225" s="98" t="str">
        <f>IF(OR($B225="",N($D225)=0),"",SUMIFS('Trade Log'!$Q$6:$Q$1005,'Trade Log'!$A$6:$A$1005,$B225))</f>
        <v/>
      </c>
      <c r="F225" s="99" t="str">
        <f>IF(OR($B225="",N($D225)=0),"",IFERROR(COUNTIFS('Trade Log'!$A$6:$A$1005,$B225,'Trade Log'!$S$6:$S$1005,"Win")/(COUNTIFS('Trade Log'!$A$6:$A$1005,$B225,'Trade Log'!$S$6:$S$1005,"Win")+COUNTIFS('Trade Log'!$A$6:$A$1005,$B225,'Trade Log'!$S$6:$S$1005,"Loss")),"—"))</f>
        <v/>
      </c>
      <c r="G225" s="104" t="str">
        <f>IF(OR($B225="",N($D225)=0),"",SUMIFS('Trade Log'!$R$6:$R$1005,'Trade Log'!$A$6:$A$1005,$B225))</f>
        <v/>
      </c>
      <c r="H225" s="96" t="str">
        <f>IF(OR($B225="",N($D225)=0),"",COUNTIFS('Trade Log'!$A$6:$A$1005,$B225,'Trade Log'!$Z$6:$Z$1005,"No"))</f>
        <v/>
      </c>
      <c r="I225" s="105" t="str">
        <f>IF(OR($B225="",N($D225)=0),"",IF(AND(ISNUMBER(Settings!$C$26),N($E225)&lt;=-N(Settings!$C$26)),"Hit daily max loss. ","")&amp;IF(COUNTIFS('Trade Log'!$A$6:$A$1005,$B225,'Trade Log'!$BM$6:$BM$1005,1)&gt;0,"Kept trading after daily max loss. ","")&amp;IF(AND(ISNUMBER(Settings!$C$25),N($D225)&gt;N(Settings!$C$25)),"Over max trades. ",""))</f>
        <v/>
      </c>
      <c r="J225" s="106" t="n"/>
      <c r="K225" s="106" t="n"/>
      <c r="L225" s="106" t="n"/>
      <c r="M225" s="29" t="n"/>
      <c r="N225" s="29" t="n"/>
      <c r="O225" s="106" t="n"/>
    </row>
    <row r="226">
      <c r="B226" s="107">
        <f>IF($B225="","",$B225+IF(AND(Settings!$C$10&lt;&gt;"Yes",WEEKDAY($B225,2)&gt;=5),8-WEEKDAY($B225,2),1))</f>
        <v>46594</v>
      </c>
      <c r="C226" s="103" t="str">
        <f>IF($B226="","",CHOOSE(WEEKDAY($B226,2),"Mon","Tue","Wed","Thu","Fri","Sat","Sun"))</f>
        <v>Mon</v>
      </c>
      <c r="D226" s="96">
        <f>IF($B226="","",COUNTIFS('Trade Log'!$A$6:$A$1005,$B226,'Trade Log'!$BH$6:$BH$1005,1))</f>
        <v>0</v>
      </c>
      <c r="E226" s="98" t="str">
        <f>IF(OR($B226="",N($D226)=0),"",SUMIFS('Trade Log'!$Q$6:$Q$1005,'Trade Log'!$A$6:$A$1005,$B226))</f>
        <v/>
      </c>
      <c r="F226" s="99" t="str">
        <f>IF(OR($B226="",N($D226)=0),"",IFERROR(COUNTIFS('Trade Log'!$A$6:$A$1005,$B226,'Trade Log'!$S$6:$S$1005,"Win")/(COUNTIFS('Trade Log'!$A$6:$A$1005,$B226,'Trade Log'!$S$6:$S$1005,"Win")+COUNTIFS('Trade Log'!$A$6:$A$1005,$B226,'Trade Log'!$S$6:$S$1005,"Loss")),"—"))</f>
        <v/>
      </c>
      <c r="G226" s="104" t="str">
        <f>IF(OR($B226="",N($D226)=0),"",SUMIFS('Trade Log'!$R$6:$R$1005,'Trade Log'!$A$6:$A$1005,$B226))</f>
        <v/>
      </c>
      <c r="H226" s="96" t="str">
        <f>IF(OR($B226="",N($D226)=0),"",COUNTIFS('Trade Log'!$A$6:$A$1005,$B226,'Trade Log'!$Z$6:$Z$1005,"No"))</f>
        <v/>
      </c>
      <c r="I226" s="105" t="str">
        <f>IF(OR($B226="",N($D226)=0),"",IF(AND(ISNUMBER(Settings!$C$26),N($E226)&lt;=-N(Settings!$C$26)),"Hit daily max loss. ","")&amp;IF(COUNTIFS('Trade Log'!$A$6:$A$1005,$B226,'Trade Log'!$BM$6:$BM$1005,1)&gt;0,"Kept trading after daily max loss. ","")&amp;IF(AND(ISNUMBER(Settings!$C$25),N($D226)&gt;N(Settings!$C$25)),"Over max trades. ",""))</f>
        <v/>
      </c>
      <c r="J226" s="106" t="n"/>
      <c r="K226" s="106" t="n"/>
      <c r="L226" s="106" t="n"/>
      <c r="M226" s="29" t="n"/>
      <c r="N226" s="29" t="n"/>
      <c r="O226" s="106" t="n"/>
    </row>
    <row r="227">
      <c r="B227" s="107">
        <f>IF($B226="","",$B226+IF(AND(Settings!$C$10&lt;&gt;"Yes",WEEKDAY($B226,2)&gt;=5),8-WEEKDAY($B226,2),1))</f>
        <v>46595</v>
      </c>
      <c r="C227" s="103" t="str">
        <f>IF($B227="","",CHOOSE(WEEKDAY($B227,2),"Mon","Tue","Wed","Thu","Fri","Sat","Sun"))</f>
        <v>Tue</v>
      </c>
      <c r="D227" s="96">
        <f>IF($B227="","",COUNTIFS('Trade Log'!$A$6:$A$1005,$B227,'Trade Log'!$BH$6:$BH$1005,1))</f>
        <v>0</v>
      </c>
      <c r="E227" s="98" t="str">
        <f>IF(OR($B227="",N($D227)=0),"",SUMIFS('Trade Log'!$Q$6:$Q$1005,'Trade Log'!$A$6:$A$1005,$B227))</f>
        <v/>
      </c>
      <c r="F227" s="99" t="str">
        <f>IF(OR($B227="",N($D227)=0),"",IFERROR(COUNTIFS('Trade Log'!$A$6:$A$1005,$B227,'Trade Log'!$S$6:$S$1005,"Win")/(COUNTIFS('Trade Log'!$A$6:$A$1005,$B227,'Trade Log'!$S$6:$S$1005,"Win")+COUNTIFS('Trade Log'!$A$6:$A$1005,$B227,'Trade Log'!$S$6:$S$1005,"Loss")),"—"))</f>
        <v/>
      </c>
      <c r="G227" s="104" t="str">
        <f>IF(OR($B227="",N($D227)=0),"",SUMIFS('Trade Log'!$R$6:$R$1005,'Trade Log'!$A$6:$A$1005,$B227))</f>
        <v/>
      </c>
      <c r="H227" s="96" t="str">
        <f>IF(OR($B227="",N($D227)=0),"",COUNTIFS('Trade Log'!$A$6:$A$1005,$B227,'Trade Log'!$Z$6:$Z$1005,"No"))</f>
        <v/>
      </c>
      <c r="I227" s="105" t="str">
        <f>IF(OR($B227="",N($D227)=0),"",IF(AND(ISNUMBER(Settings!$C$26),N($E227)&lt;=-N(Settings!$C$26)),"Hit daily max loss. ","")&amp;IF(COUNTIFS('Trade Log'!$A$6:$A$1005,$B227,'Trade Log'!$BM$6:$BM$1005,1)&gt;0,"Kept trading after daily max loss. ","")&amp;IF(AND(ISNUMBER(Settings!$C$25),N($D227)&gt;N(Settings!$C$25)),"Over max trades. ",""))</f>
        <v/>
      </c>
      <c r="J227" s="106" t="n"/>
      <c r="K227" s="106" t="n"/>
      <c r="L227" s="106" t="n"/>
      <c r="M227" s="29" t="n"/>
      <c r="N227" s="29" t="n"/>
      <c r="O227" s="106" t="n"/>
    </row>
    <row r="228">
      <c r="B228" s="107">
        <f>IF($B227="","",$B227+IF(AND(Settings!$C$10&lt;&gt;"Yes",WEEKDAY($B227,2)&gt;=5),8-WEEKDAY($B227,2),1))</f>
        <v>46596</v>
      </c>
      <c r="C228" s="103" t="str">
        <f>IF($B228="","",CHOOSE(WEEKDAY($B228,2),"Mon","Tue","Wed","Thu","Fri","Sat","Sun"))</f>
        <v>Wed</v>
      </c>
      <c r="D228" s="96">
        <f>IF($B228="","",COUNTIFS('Trade Log'!$A$6:$A$1005,$B228,'Trade Log'!$BH$6:$BH$1005,1))</f>
        <v>0</v>
      </c>
      <c r="E228" s="98" t="str">
        <f>IF(OR($B228="",N($D228)=0),"",SUMIFS('Trade Log'!$Q$6:$Q$1005,'Trade Log'!$A$6:$A$1005,$B228))</f>
        <v/>
      </c>
      <c r="F228" s="99" t="str">
        <f>IF(OR($B228="",N($D228)=0),"",IFERROR(COUNTIFS('Trade Log'!$A$6:$A$1005,$B228,'Trade Log'!$S$6:$S$1005,"Win")/(COUNTIFS('Trade Log'!$A$6:$A$1005,$B228,'Trade Log'!$S$6:$S$1005,"Win")+COUNTIFS('Trade Log'!$A$6:$A$1005,$B228,'Trade Log'!$S$6:$S$1005,"Loss")),"—"))</f>
        <v/>
      </c>
      <c r="G228" s="104" t="str">
        <f>IF(OR($B228="",N($D228)=0),"",SUMIFS('Trade Log'!$R$6:$R$1005,'Trade Log'!$A$6:$A$1005,$B228))</f>
        <v/>
      </c>
      <c r="H228" s="96" t="str">
        <f>IF(OR($B228="",N($D228)=0),"",COUNTIFS('Trade Log'!$A$6:$A$1005,$B228,'Trade Log'!$Z$6:$Z$1005,"No"))</f>
        <v/>
      </c>
      <c r="I228" s="105" t="str">
        <f>IF(OR($B228="",N($D228)=0),"",IF(AND(ISNUMBER(Settings!$C$26),N($E228)&lt;=-N(Settings!$C$26)),"Hit daily max loss. ","")&amp;IF(COUNTIFS('Trade Log'!$A$6:$A$1005,$B228,'Trade Log'!$BM$6:$BM$1005,1)&gt;0,"Kept trading after daily max loss. ","")&amp;IF(AND(ISNUMBER(Settings!$C$25),N($D228)&gt;N(Settings!$C$25)),"Over max trades. ",""))</f>
        <v/>
      </c>
      <c r="J228" s="106" t="n"/>
      <c r="K228" s="106" t="n"/>
      <c r="L228" s="106" t="n"/>
      <c r="M228" s="29" t="n"/>
      <c r="N228" s="29" t="n"/>
      <c r="O228" s="106" t="n"/>
    </row>
    <row r="229">
      <c r="B229" s="107">
        <f>IF($B228="","",$B228+IF(AND(Settings!$C$10&lt;&gt;"Yes",WEEKDAY($B228,2)&gt;=5),8-WEEKDAY($B228,2),1))</f>
        <v>46597</v>
      </c>
      <c r="C229" s="103" t="str">
        <f>IF($B229="","",CHOOSE(WEEKDAY($B229,2),"Mon","Tue","Wed","Thu","Fri","Sat","Sun"))</f>
        <v>Thu</v>
      </c>
      <c r="D229" s="96">
        <f>IF($B229="","",COUNTIFS('Trade Log'!$A$6:$A$1005,$B229,'Trade Log'!$BH$6:$BH$1005,1))</f>
        <v>0</v>
      </c>
      <c r="E229" s="98" t="str">
        <f>IF(OR($B229="",N($D229)=0),"",SUMIFS('Trade Log'!$Q$6:$Q$1005,'Trade Log'!$A$6:$A$1005,$B229))</f>
        <v/>
      </c>
      <c r="F229" s="99" t="str">
        <f>IF(OR($B229="",N($D229)=0),"",IFERROR(COUNTIFS('Trade Log'!$A$6:$A$1005,$B229,'Trade Log'!$S$6:$S$1005,"Win")/(COUNTIFS('Trade Log'!$A$6:$A$1005,$B229,'Trade Log'!$S$6:$S$1005,"Win")+COUNTIFS('Trade Log'!$A$6:$A$1005,$B229,'Trade Log'!$S$6:$S$1005,"Loss")),"—"))</f>
        <v/>
      </c>
      <c r="G229" s="104" t="str">
        <f>IF(OR($B229="",N($D229)=0),"",SUMIFS('Trade Log'!$R$6:$R$1005,'Trade Log'!$A$6:$A$1005,$B229))</f>
        <v/>
      </c>
      <c r="H229" s="96" t="str">
        <f>IF(OR($B229="",N($D229)=0),"",COUNTIFS('Trade Log'!$A$6:$A$1005,$B229,'Trade Log'!$Z$6:$Z$1005,"No"))</f>
        <v/>
      </c>
      <c r="I229" s="105" t="str">
        <f>IF(OR($B229="",N($D229)=0),"",IF(AND(ISNUMBER(Settings!$C$26),N($E229)&lt;=-N(Settings!$C$26)),"Hit daily max loss. ","")&amp;IF(COUNTIFS('Trade Log'!$A$6:$A$1005,$B229,'Trade Log'!$BM$6:$BM$1005,1)&gt;0,"Kept trading after daily max loss. ","")&amp;IF(AND(ISNUMBER(Settings!$C$25),N($D229)&gt;N(Settings!$C$25)),"Over max trades. ",""))</f>
        <v/>
      </c>
      <c r="J229" s="106" t="n"/>
      <c r="K229" s="106" t="n"/>
      <c r="L229" s="106" t="n"/>
      <c r="M229" s="29" t="n"/>
      <c r="N229" s="29" t="n"/>
      <c r="O229" s="106" t="n"/>
    </row>
    <row r="230">
      <c r="B230" s="107">
        <f>IF($B229="","",$B229+IF(AND(Settings!$C$10&lt;&gt;"Yes",WEEKDAY($B229,2)&gt;=5),8-WEEKDAY($B229,2),1))</f>
        <v>46598</v>
      </c>
      <c r="C230" s="103" t="str">
        <f>IF($B230="","",CHOOSE(WEEKDAY($B230,2),"Mon","Tue","Wed","Thu","Fri","Sat","Sun"))</f>
        <v>Fri</v>
      </c>
      <c r="D230" s="96">
        <f>IF($B230="","",COUNTIFS('Trade Log'!$A$6:$A$1005,$B230,'Trade Log'!$BH$6:$BH$1005,1))</f>
        <v>0</v>
      </c>
      <c r="E230" s="98" t="str">
        <f>IF(OR($B230="",N($D230)=0),"",SUMIFS('Trade Log'!$Q$6:$Q$1005,'Trade Log'!$A$6:$A$1005,$B230))</f>
        <v/>
      </c>
      <c r="F230" s="99" t="str">
        <f>IF(OR($B230="",N($D230)=0),"",IFERROR(COUNTIFS('Trade Log'!$A$6:$A$1005,$B230,'Trade Log'!$S$6:$S$1005,"Win")/(COUNTIFS('Trade Log'!$A$6:$A$1005,$B230,'Trade Log'!$S$6:$S$1005,"Win")+COUNTIFS('Trade Log'!$A$6:$A$1005,$B230,'Trade Log'!$S$6:$S$1005,"Loss")),"—"))</f>
        <v/>
      </c>
      <c r="G230" s="104" t="str">
        <f>IF(OR($B230="",N($D230)=0),"",SUMIFS('Trade Log'!$R$6:$R$1005,'Trade Log'!$A$6:$A$1005,$B230))</f>
        <v/>
      </c>
      <c r="H230" s="96" t="str">
        <f>IF(OR($B230="",N($D230)=0),"",COUNTIFS('Trade Log'!$A$6:$A$1005,$B230,'Trade Log'!$Z$6:$Z$1005,"No"))</f>
        <v/>
      </c>
      <c r="I230" s="105" t="str">
        <f>IF(OR($B230="",N($D230)=0),"",IF(AND(ISNUMBER(Settings!$C$26),N($E230)&lt;=-N(Settings!$C$26)),"Hit daily max loss. ","")&amp;IF(COUNTIFS('Trade Log'!$A$6:$A$1005,$B230,'Trade Log'!$BM$6:$BM$1005,1)&gt;0,"Kept trading after daily max loss. ","")&amp;IF(AND(ISNUMBER(Settings!$C$25),N($D230)&gt;N(Settings!$C$25)),"Over max trades. ",""))</f>
        <v/>
      </c>
      <c r="J230" s="106" t="n"/>
      <c r="K230" s="106" t="n"/>
      <c r="L230" s="106" t="n"/>
      <c r="M230" s="29" t="n"/>
      <c r="N230" s="29" t="n"/>
      <c r="O230" s="106" t="n"/>
    </row>
    <row r="231">
      <c r="B231" s="107">
        <f>IF($B230="","",$B230+IF(AND(Settings!$C$10&lt;&gt;"Yes",WEEKDAY($B230,2)&gt;=5),8-WEEKDAY($B230,2),1))</f>
        <v>46601</v>
      </c>
      <c r="C231" s="103" t="str">
        <f>IF($B231="","",CHOOSE(WEEKDAY($B231,2),"Mon","Tue","Wed","Thu","Fri","Sat","Sun"))</f>
        <v>Mon</v>
      </c>
      <c r="D231" s="96">
        <f>IF($B231="","",COUNTIFS('Trade Log'!$A$6:$A$1005,$B231,'Trade Log'!$BH$6:$BH$1005,1))</f>
        <v>0</v>
      </c>
      <c r="E231" s="98" t="str">
        <f>IF(OR($B231="",N($D231)=0),"",SUMIFS('Trade Log'!$Q$6:$Q$1005,'Trade Log'!$A$6:$A$1005,$B231))</f>
        <v/>
      </c>
      <c r="F231" s="99" t="str">
        <f>IF(OR($B231="",N($D231)=0),"",IFERROR(COUNTIFS('Trade Log'!$A$6:$A$1005,$B231,'Trade Log'!$S$6:$S$1005,"Win")/(COUNTIFS('Trade Log'!$A$6:$A$1005,$B231,'Trade Log'!$S$6:$S$1005,"Win")+COUNTIFS('Trade Log'!$A$6:$A$1005,$B231,'Trade Log'!$S$6:$S$1005,"Loss")),"—"))</f>
        <v/>
      </c>
      <c r="G231" s="104" t="str">
        <f>IF(OR($B231="",N($D231)=0),"",SUMIFS('Trade Log'!$R$6:$R$1005,'Trade Log'!$A$6:$A$1005,$B231))</f>
        <v/>
      </c>
      <c r="H231" s="96" t="str">
        <f>IF(OR($B231="",N($D231)=0),"",COUNTIFS('Trade Log'!$A$6:$A$1005,$B231,'Trade Log'!$Z$6:$Z$1005,"No"))</f>
        <v/>
      </c>
      <c r="I231" s="105" t="str">
        <f>IF(OR($B231="",N($D231)=0),"",IF(AND(ISNUMBER(Settings!$C$26),N($E231)&lt;=-N(Settings!$C$26)),"Hit daily max loss. ","")&amp;IF(COUNTIFS('Trade Log'!$A$6:$A$1005,$B231,'Trade Log'!$BM$6:$BM$1005,1)&gt;0,"Kept trading after daily max loss. ","")&amp;IF(AND(ISNUMBER(Settings!$C$25),N($D231)&gt;N(Settings!$C$25)),"Over max trades. ",""))</f>
        <v/>
      </c>
      <c r="J231" s="106" t="n"/>
      <c r="K231" s="106" t="n"/>
      <c r="L231" s="106" t="n"/>
      <c r="M231" s="29" t="n"/>
      <c r="N231" s="29" t="n"/>
      <c r="O231" s="106" t="n"/>
    </row>
    <row r="232">
      <c r="B232" s="107">
        <f>IF($B231="","",$B231+IF(AND(Settings!$C$10&lt;&gt;"Yes",WEEKDAY($B231,2)&gt;=5),8-WEEKDAY($B231,2),1))</f>
        <v>46602</v>
      </c>
      <c r="C232" s="103" t="str">
        <f>IF($B232="","",CHOOSE(WEEKDAY($B232,2),"Mon","Tue","Wed","Thu","Fri","Sat","Sun"))</f>
        <v>Tue</v>
      </c>
      <c r="D232" s="96">
        <f>IF($B232="","",COUNTIFS('Trade Log'!$A$6:$A$1005,$B232,'Trade Log'!$BH$6:$BH$1005,1))</f>
        <v>0</v>
      </c>
      <c r="E232" s="98" t="str">
        <f>IF(OR($B232="",N($D232)=0),"",SUMIFS('Trade Log'!$Q$6:$Q$1005,'Trade Log'!$A$6:$A$1005,$B232))</f>
        <v/>
      </c>
      <c r="F232" s="99" t="str">
        <f>IF(OR($B232="",N($D232)=0),"",IFERROR(COUNTIFS('Trade Log'!$A$6:$A$1005,$B232,'Trade Log'!$S$6:$S$1005,"Win")/(COUNTIFS('Trade Log'!$A$6:$A$1005,$B232,'Trade Log'!$S$6:$S$1005,"Win")+COUNTIFS('Trade Log'!$A$6:$A$1005,$B232,'Trade Log'!$S$6:$S$1005,"Loss")),"—"))</f>
        <v/>
      </c>
      <c r="G232" s="104" t="str">
        <f>IF(OR($B232="",N($D232)=0),"",SUMIFS('Trade Log'!$R$6:$R$1005,'Trade Log'!$A$6:$A$1005,$B232))</f>
        <v/>
      </c>
      <c r="H232" s="96" t="str">
        <f>IF(OR($B232="",N($D232)=0),"",COUNTIFS('Trade Log'!$A$6:$A$1005,$B232,'Trade Log'!$Z$6:$Z$1005,"No"))</f>
        <v/>
      </c>
      <c r="I232" s="105" t="str">
        <f>IF(OR($B232="",N($D232)=0),"",IF(AND(ISNUMBER(Settings!$C$26),N($E232)&lt;=-N(Settings!$C$26)),"Hit daily max loss. ","")&amp;IF(COUNTIFS('Trade Log'!$A$6:$A$1005,$B232,'Trade Log'!$BM$6:$BM$1005,1)&gt;0,"Kept trading after daily max loss. ","")&amp;IF(AND(ISNUMBER(Settings!$C$25),N($D232)&gt;N(Settings!$C$25)),"Over max trades. ",""))</f>
        <v/>
      </c>
      <c r="J232" s="106" t="n"/>
      <c r="K232" s="106" t="n"/>
      <c r="L232" s="106" t="n"/>
      <c r="M232" s="29" t="n"/>
      <c r="N232" s="29" t="n"/>
      <c r="O232" s="106" t="n"/>
    </row>
    <row r="233">
      <c r="B233" s="107">
        <f>IF($B232="","",$B232+IF(AND(Settings!$C$10&lt;&gt;"Yes",WEEKDAY($B232,2)&gt;=5),8-WEEKDAY($B232,2),1))</f>
        <v>46603</v>
      </c>
      <c r="C233" s="103" t="str">
        <f>IF($B233="","",CHOOSE(WEEKDAY($B233,2),"Mon","Tue","Wed","Thu","Fri","Sat","Sun"))</f>
        <v>Wed</v>
      </c>
      <c r="D233" s="96">
        <f>IF($B233="","",COUNTIFS('Trade Log'!$A$6:$A$1005,$B233,'Trade Log'!$BH$6:$BH$1005,1))</f>
        <v>0</v>
      </c>
      <c r="E233" s="98" t="str">
        <f>IF(OR($B233="",N($D233)=0),"",SUMIFS('Trade Log'!$Q$6:$Q$1005,'Trade Log'!$A$6:$A$1005,$B233))</f>
        <v/>
      </c>
      <c r="F233" s="99" t="str">
        <f>IF(OR($B233="",N($D233)=0),"",IFERROR(COUNTIFS('Trade Log'!$A$6:$A$1005,$B233,'Trade Log'!$S$6:$S$1005,"Win")/(COUNTIFS('Trade Log'!$A$6:$A$1005,$B233,'Trade Log'!$S$6:$S$1005,"Win")+COUNTIFS('Trade Log'!$A$6:$A$1005,$B233,'Trade Log'!$S$6:$S$1005,"Loss")),"—"))</f>
        <v/>
      </c>
      <c r="G233" s="104" t="str">
        <f>IF(OR($B233="",N($D233)=0),"",SUMIFS('Trade Log'!$R$6:$R$1005,'Trade Log'!$A$6:$A$1005,$B233))</f>
        <v/>
      </c>
      <c r="H233" s="96" t="str">
        <f>IF(OR($B233="",N($D233)=0),"",COUNTIFS('Trade Log'!$A$6:$A$1005,$B233,'Trade Log'!$Z$6:$Z$1005,"No"))</f>
        <v/>
      </c>
      <c r="I233" s="105" t="str">
        <f>IF(OR($B233="",N($D233)=0),"",IF(AND(ISNUMBER(Settings!$C$26),N($E233)&lt;=-N(Settings!$C$26)),"Hit daily max loss. ","")&amp;IF(COUNTIFS('Trade Log'!$A$6:$A$1005,$B233,'Trade Log'!$BM$6:$BM$1005,1)&gt;0,"Kept trading after daily max loss. ","")&amp;IF(AND(ISNUMBER(Settings!$C$25),N($D233)&gt;N(Settings!$C$25)),"Over max trades. ",""))</f>
        <v/>
      </c>
      <c r="J233" s="106" t="n"/>
      <c r="K233" s="106" t="n"/>
      <c r="L233" s="106" t="n"/>
      <c r="M233" s="29" t="n"/>
      <c r="N233" s="29" t="n"/>
      <c r="O233" s="106" t="n"/>
    </row>
    <row r="234">
      <c r="B234" s="107">
        <f>IF($B233="","",$B233+IF(AND(Settings!$C$10&lt;&gt;"Yes",WEEKDAY($B233,2)&gt;=5),8-WEEKDAY($B233,2),1))</f>
        <v>46604</v>
      </c>
      <c r="C234" s="103" t="str">
        <f>IF($B234="","",CHOOSE(WEEKDAY($B234,2),"Mon","Tue","Wed","Thu","Fri","Sat","Sun"))</f>
        <v>Thu</v>
      </c>
      <c r="D234" s="96">
        <f>IF($B234="","",COUNTIFS('Trade Log'!$A$6:$A$1005,$B234,'Trade Log'!$BH$6:$BH$1005,1))</f>
        <v>0</v>
      </c>
      <c r="E234" s="98" t="str">
        <f>IF(OR($B234="",N($D234)=0),"",SUMIFS('Trade Log'!$Q$6:$Q$1005,'Trade Log'!$A$6:$A$1005,$B234))</f>
        <v/>
      </c>
      <c r="F234" s="99" t="str">
        <f>IF(OR($B234="",N($D234)=0),"",IFERROR(COUNTIFS('Trade Log'!$A$6:$A$1005,$B234,'Trade Log'!$S$6:$S$1005,"Win")/(COUNTIFS('Trade Log'!$A$6:$A$1005,$B234,'Trade Log'!$S$6:$S$1005,"Win")+COUNTIFS('Trade Log'!$A$6:$A$1005,$B234,'Trade Log'!$S$6:$S$1005,"Loss")),"—"))</f>
        <v/>
      </c>
      <c r="G234" s="104" t="str">
        <f>IF(OR($B234="",N($D234)=0),"",SUMIFS('Trade Log'!$R$6:$R$1005,'Trade Log'!$A$6:$A$1005,$B234))</f>
        <v/>
      </c>
      <c r="H234" s="96" t="str">
        <f>IF(OR($B234="",N($D234)=0),"",COUNTIFS('Trade Log'!$A$6:$A$1005,$B234,'Trade Log'!$Z$6:$Z$1005,"No"))</f>
        <v/>
      </c>
      <c r="I234" s="105" t="str">
        <f>IF(OR($B234="",N($D234)=0),"",IF(AND(ISNUMBER(Settings!$C$26),N($E234)&lt;=-N(Settings!$C$26)),"Hit daily max loss. ","")&amp;IF(COUNTIFS('Trade Log'!$A$6:$A$1005,$B234,'Trade Log'!$BM$6:$BM$1005,1)&gt;0,"Kept trading after daily max loss. ","")&amp;IF(AND(ISNUMBER(Settings!$C$25),N($D234)&gt;N(Settings!$C$25)),"Over max trades. ",""))</f>
        <v/>
      </c>
      <c r="J234" s="106" t="n"/>
      <c r="K234" s="106" t="n"/>
      <c r="L234" s="106" t="n"/>
      <c r="M234" s="29" t="n"/>
      <c r="N234" s="29" t="n"/>
      <c r="O234" s="106" t="n"/>
    </row>
    <row r="235">
      <c r="B235" s="107">
        <f>IF($B234="","",$B234+IF(AND(Settings!$C$10&lt;&gt;"Yes",WEEKDAY($B234,2)&gt;=5),8-WEEKDAY($B234,2),1))</f>
        <v>46605</v>
      </c>
      <c r="C235" s="103" t="str">
        <f>IF($B235="","",CHOOSE(WEEKDAY($B235,2),"Mon","Tue","Wed","Thu","Fri","Sat","Sun"))</f>
        <v>Fri</v>
      </c>
      <c r="D235" s="96">
        <f>IF($B235="","",COUNTIFS('Trade Log'!$A$6:$A$1005,$B235,'Trade Log'!$BH$6:$BH$1005,1))</f>
        <v>0</v>
      </c>
      <c r="E235" s="98" t="str">
        <f>IF(OR($B235="",N($D235)=0),"",SUMIFS('Trade Log'!$Q$6:$Q$1005,'Trade Log'!$A$6:$A$1005,$B235))</f>
        <v/>
      </c>
      <c r="F235" s="99" t="str">
        <f>IF(OR($B235="",N($D235)=0),"",IFERROR(COUNTIFS('Trade Log'!$A$6:$A$1005,$B235,'Trade Log'!$S$6:$S$1005,"Win")/(COUNTIFS('Trade Log'!$A$6:$A$1005,$B235,'Trade Log'!$S$6:$S$1005,"Win")+COUNTIFS('Trade Log'!$A$6:$A$1005,$B235,'Trade Log'!$S$6:$S$1005,"Loss")),"—"))</f>
        <v/>
      </c>
      <c r="G235" s="104" t="str">
        <f>IF(OR($B235="",N($D235)=0),"",SUMIFS('Trade Log'!$R$6:$R$1005,'Trade Log'!$A$6:$A$1005,$B235))</f>
        <v/>
      </c>
      <c r="H235" s="96" t="str">
        <f>IF(OR($B235="",N($D235)=0),"",COUNTIFS('Trade Log'!$A$6:$A$1005,$B235,'Trade Log'!$Z$6:$Z$1005,"No"))</f>
        <v/>
      </c>
      <c r="I235" s="105" t="str">
        <f>IF(OR($B235="",N($D235)=0),"",IF(AND(ISNUMBER(Settings!$C$26),N($E235)&lt;=-N(Settings!$C$26)),"Hit daily max loss. ","")&amp;IF(COUNTIFS('Trade Log'!$A$6:$A$1005,$B235,'Trade Log'!$BM$6:$BM$1005,1)&gt;0,"Kept trading after daily max loss. ","")&amp;IF(AND(ISNUMBER(Settings!$C$25),N($D235)&gt;N(Settings!$C$25)),"Over max trades. ",""))</f>
        <v/>
      </c>
      <c r="J235" s="106" t="n"/>
      <c r="K235" s="106" t="n"/>
      <c r="L235" s="106" t="n"/>
      <c r="M235" s="29" t="n"/>
      <c r="N235" s="29" t="n"/>
      <c r="O235" s="106" t="n"/>
    </row>
    <row r="236">
      <c r="B236" s="107">
        <f>IF($B235="","",$B235+IF(AND(Settings!$C$10&lt;&gt;"Yes",WEEKDAY($B235,2)&gt;=5),8-WEEKDAY($B235,2),1))</f>
        <v>46608</v>
      </c>
      <c r="C236" s="103" t="str">
        <f>IF($B236="","",CHOOSE(WEEKDAY($B236,2),"Mon","Tue","Wed","Thu","Fri","Sat","Sun"))</f>
        <v>Mon</v>
      </c>
      <c r="D236" s="96">
        <f>IF($B236="","",COUNTIFS('Trade Log'!$A$6:$A$1005,$B236,'Trade Log'!$BH$6:$BH$1005,1))</f>
        <v>0</v>
      </c>
      <c r="E236" s="98" t="str">
        <f>IF(OR($B236="",N($D236)=0),"",SUMIFS('Trade Log'!$Q$6:$Q$1005,'Trade Log'!$A$6:$A$1005,$B236))</f>
        <v/>
      </c>
      <c r="F236" s="99" t="str">
        <f>IF(OR($B236="",N($D236)=0),"",IFERROR(COUNTIFS('Trade Log'!$A$6:$A$1005,$B236,'Trade Log'!$S$6:$S$1005,"Win")/(COUNTIFS('Trade Log'!$A$6:$A$1005,$B236,'Trade Log'!$S$6:$S$1005,"Win")+COUNTIFS('Trade Log'!$A$6:$A$1005,$B236,'Trade Log'!$S$6:$S$1005,"Loss")),"—"))</f>
        <v/>
      </c>
      <c r="G236" s="104" t="str">
        <f>IF(OR($B236="",N($D236)=0),"",SUMIFS('Trade Log'!$R$6:$R$1005,'Trade Log'!$A$6:$A$1005,$B236))</f>
        <v/>
      </c>
      <c r="H236" s="96" t="str">
        <f>IF(OR($B236="",N($D236)=0),"",COUNTIFS('Trade Log'!$A$6:$A$1005,$B236,'Trade Log'!$Z$6:$Z$1005,"No"))</f>
        <v/>
      </c>
      <c r="I236" s="105" t="str">
        <f>IF(OR($B236="",N($D236)=0),"",IF(AND(ISNUMBER(Settings!$C$26),N($E236)&lt;=-N(Settings!$C$26)),"Hit daily max loss. ","")&amp;IF(COUNTIFS('Trade Log'!$A$6:$A$1005,$B236,'Trade Log'!$BM$6:$BM$1005,1)&gt;0,"Kept trading after daily max loss. ","")&amp;IF(AND(ISNUMBER(Settings!$C$25),N($D236)&gt;N(Settings!$C$25)),"Over max trades. ",""))</f>
        <v/>
      </c>
      <c r="J236" s="106" t="n"/>
      <c r="K236" s="106" t="n"/>
      <c r="L236" s="106" t="n"/>
      <c r="M236" s="29" t="n"/>
      <c r="N236" s="29" t="n"/>
      <c r="O236" s="106" t="n"/>
    </row>
    <row r="237">
      <c r="B237" s="107">
        <f>IF($B236="","",$B236+IF(AND(Settings!$C$10&lt;&gt;"Yes",WEEKDAY($B236,2)&gt;=5),8-WEEKDAY($B236,2),1))</f>
        <v>46609</v>
      </c>
      <c r="C237" s="103" t="str">
        <f>IF($B237="","",CHOOSE(WEEKDAY($B237,2),"Mon","Tue","Wed","Thu","Fri","Sat","Sun"))</f>
        <v>Tue</v>
      </c>
      <c r="D237" s="96">
        <f>IF($B237="","",COUNTIFS('Trade Log'!$A$6:$A$1005,$B237,'Trade Log'!$BH$6:$BH$1005,1))</f>
        <v>0</v>
      </c>
      <c r="E237" s="98" t="str">
        <f>IF(OR($B237="",N($D237)=0),"",SUMIFS('Trade Log'!$Q$6:$Q$1005,'Trade Log'!$A$6:$A$1005,$B237))</f>
        <v/>
      </c>
      <c r="F237" s="99" t="str">
        <f>IF(OR($B237="",N($D237)=0),"",IFERROR(COUNTIFS('Trade Log'!$A$6:$A$1005,$B237,'Trade Log'!$S$6:$S$1005,"Win")/(COUNTIFS('Trade Log'!$A$6:$A$1005,$B237,'Trade Log'!$S$6:$S$1005,"Win")+COUNTIFS('Trade Log'!$A$6:$A$1005,$B237,'Trade Log'!$S$6:$S$1005,"Loss")),"—"))</f>
        <v/>
      </c>
      <c r="G237" s="104" t="str">
        <f>IF(OR($B237="",N($D237)=0),"",SUMIFS('Trade Log'!$R$6:$R$1005,'Trade Log'!$A$6:$A$1005,$B237))</f>
        <v/>
      </c>
      <c r="H237" s="96" t="str">
        <f>IF(OR($B237="",N($D237)=0),"",COUNTIFS('Trade Log'!$A$6:$A$1005,$B237,'Trade Log'!$Z$6:$Z$1005,"No"))</f>
        <v/>
      </c>
      <c r="I237" s="105" t="str">
        <f>IF(OR($B237="",N($D237)=0),"",IF(AND(ISNUMBER(Settings!$C$26),N($E237)&lt;=-N(Settings!$C$26)),"Hit daily max loss. ","")&amp;IF(COUNTIFS('Trade Log'!$A$6:$A$1005,$B237,'Trade Log'!$BM$6:$BM$1005,1)&gt;0,"Kept trading after daily max loss. ","")&amp;IF(AND(ISNUMBER(Settings!$C$25),N($D237)&gt;N(Settings!$C$25)),"Over max trades. ",""))</f>
        <v/>
      </c>
      <c r="J237" s="106" t="n"/>
      <c r="K237" s="106" t="n"/>
      <c r="L237" s="106" t="n"/>
      <c r="M237" s="29" t="n"/>
      <c r="N237" s="29" t="n"/>
      <c r="O237" s="106" t="n"/>
    </row>
    <row r="238">
      <c r="B238" s="107">
        <f>IF($B237="","",$B237+IF(AND(Settings!$C$10&lt;&gt;"Yes",WEEKDAY($B237,2)&gt;=5),8-WEEKDAY($B237,2),1))</f>
        <v>46610</v>
      </c>
      <c r="C238" s="103" t="str">
        <f>IF($B238="","",CHOOSE(WEEKDAY($B238,2),"Mon","Tue","Wed","Thu","Fri","Sat","Sun"))</f>
        <v>Wed</v>
      </c>
      <c r="D238" s="96">
        <f>IF($B238="","",COUNTIFS('Trade Log'!$A$6:$A$1005,$B238,'Trade Log'!$BH$6:$BH$1005,1))</f>
        <v>0</v>
      </c>
      <c r="E238" s="98" t="str">
        <f>IF(OR($B238="",N($D238)=0),"",SUMIFS('Trade Log'!$Q$6:$Q$1005,'Trade Log'!$A$6:$A$1005,$B238))</f>
        <v/>
      </c>
      <c r="F238" s="99" t="str">
        <f>IF(OR($B238="",N($D238)=0),"",IFERROR(COUNTIFS('Trade Log'!$A$6:$A$1005,$B238,'Trade Log'!$S$6:$S$1005,"Win")/(COUNTIFS('Trade Log'!$A$6:$A$1005,$B238,'Trade Log'!$S$6:$S$1005,"Win")+COUNTIFS('Trade Log'!$A$6:$A$1005,$B238,'Trade Log'!$S$6:$S$1005,"Loss")),"—"))</f>
        <v/>
      </c>
      <c r="G238" s="104" t="str">
        <f>IF(OR($B238="",N($D238)=0),"",SUMIFS('Trade Log'!$R$6:$R$1005,'Trade Log'!$A$6:$A$1005,$B238))</f>
        <v/>
      </c>
      <c r="H238" s="96" t="str">
        <f>IF(OR($B238="",N($D238)=0),"",COUNTIFS('Trade Log'!$A$6:$A$1005,$B238,'Trade Log'!$Z$6:$Z$1005,"No"))</f>
        <v/>
      </c>
      <c r="I238" s="105" t="str">
        <f>IF(OR($B238="",N($D238)=0),"",IF(AND(ISNUMBER(Settings!$C$26),N($E238)&lt;=-N(Settings!$C$26)),"Hit daily max loss. ","")&amp;IF(COUNTIFS('Trade Log'!$A$6:$A$1005,$B238,'Trade Log'!$BM$6:$BM$1005,1)&gt;0,"Kept trading after daily max loss. ","")&amp;IF(AND(ISNUMBER(Settings!$C$25),N($D238)&gt;N(Settings!$C$25)),"Over max trades. ",""))</f>
        <v/>
      </c>
      <c r="J238" s="106" t="n"/>
      <c r="K238" s="106" t="n"/>
      <c r="L238" s="106" t="n"/>
      <c r="M238" s="29" t="n"/>
      <c r="N238" s="29" t="n"/>
      <c r="O238" s="106" t="n"/>
    </row>
    <row r="239">
      <c r="B239" s="107">
        <f>IF($B238="","",$B238+IF(AND(Settings!$C$10&lt;&gt;"Yes",WEEKDAY($B238,2)&gt;=5),8-WEEKDAY($B238,2),1))</f>
        <v>46611</v>
      </c>
      <c r="C239" s="103" t="str">
        <f>IF($B239="","",CHOOSE(WEEKDAY($B239,2),"Mon","Tue","Wed","Thu","Fri","Sat","Sun"))</f>
        <v>Thu</v>
      </c>
      <c r="D239" s="96">
        <f>IF($B239="","",COUNTIFS('Trade Log'!$A$6:$A$1005,$B239,'Trade Log'!$BH$6:$BH$1005,1))</f>
        <v>0</v>
      </c>
      <c r="E239" s="98" t="str">
        <f>IF(OR($B239="",N($D239)=0),"",SUMIFS('Trade Log'!$Q$6:$Q$1005,'Trade Log'!$A$6:$A$1005,$B239))</f>
        <v/>
      </c>
      <c r="F239" s="99" t="str">
        <f>IF(OR($B239="",N($D239)=0),"",IFERROR(COUNTIFS('Trade Log'!$A$6:$A$1005,$B239,'Trade Log'!$S$6:$S$1005,"Win")/(COUNTIFS('Trade Log'!$A$6:$A$1005,$B239,'Trade Log'!$S$6:$S$1005,"Win")+COUNTIFS('Trade Log'!$A$6:$A$1005,$B239,'Trade Log'!$S$6:$S$1005,"Loss")),"—"))</f>
        <v/>
      </c>
      <c r="G239" s="104" t="str">
        <f>IF(OR($B239="",N($D239)=0),"",SUMIFS('Trade Log'!$R$6:$R$1005,'Trade Log'!$A$6:$A$1005,$B239))</f>
        <v/>
      </c>
      <c r="H239" s="96" t="str">
        <f>IF(OR($B239="",N($D239)=0),"",COUNTIFS('Trade Log'!$A$6:$A$1005,$B239,'Trade Log'!$Z$6:$Z$1005,"No"))</f>
        <v/>
      </c>
      <c r="I239" s="105" t="str">
        <f>IF(OR($B239="",N($D239)=0),"",IF(AND(ISNUMBER(Settings!$C$26),N($E239)&lt;=-N(Settings!$C$26)),"Hit daily max loss. ","")&amp;IF(COUNTIFS('Trade Log'!$A$6:$A$1005,$B239,'Trade Log'!$BM$6:$BM$1005,1)&gt;0,"Kept trading after daily max loss. ","")&amp;IF(AND(ISNUMBER(Settings!$C$25),N($D239)&gt;N(Settings!$C$25)),"Over max trades. ",""))</f>
        <v/>
      </c>
      <c r="J239" s="106" t="n"/>
      <c r="K239" s="106" t="n"/>
      <c r="L239" s="106" t="n"/>
      <c r="M239" s="29" t="n"/>
      <c r="N239" s="29" t="n"/>
      <c r="O239" s="106" t="n"/>
    </row>
    <row r="240">
      <c r="B240" s="107">
        <f>IF($B239="","",$B239+IF(AND(Settings!$C$10&lt;&gt;"Yes",WEEKDAY($B239,2)&gt;=5),8-WEEKDAY($B239,2),1))</f>
        <v>46612</v>
      </c>
      <c r="C240" s="103" t="str">
        <f>IF($B240="","",CHOOSE(WEEKDAY($B240,2),"Mon","Tue","Wed","Thu","Fri","Sat","Sun"))</f>
        <v>Fri</v>
      </c>
      <c r="D240" s="96">
        <f>IF($B240="","",COUNTIFS('Trade Log'!$A$6:$A$1005,$B240,'Trade Log'!$BH$6:$BH$1005,1))</f>
        <v>0</v>
      </c>
      <c r="E240" s="98" t="str">
        <f>IF(OR($B240="",N($D240)=0),"",SUMIFS('Trade Log'!$Q$6:$Q$1005,'Trade Log'!$A$6:$A$1005,$B240))</f>
        <v/>
      </c>
      <c r="F240" s="99" t="str">
        <f>IF(OR($B240="",N($D240)=0),"",IFERROR(COUNTIFS('Trade Log'!$A$6:$A$1005,$B240,'Trade Log'!$S$6:$S$1005,"Win")/(COUNTIFS('Trade Log'!$A$6:$A$1005,$B240,'Trade Log'!$S$6:$S$1005,"Win")+COUNTIFS('Trade Log'!$A$6:$A$1005,$B240,'Trade Log'!$S$6:$S$1005,"Loss")),"—"))</f>
        <v/>
      </c>
      <c r="G240" s="104" t="str">
        <f>IF(OR($B240="",N($D240)=0),"",SUMIFS('Trade Log'!$R$6:$R$1005,'Trade Log'!$A$6:$A$1005,$B240))</f>
        <v/>
      </c>
      <c r="H240" s="96" t="str">
        <f>IF(OR($B240="",N($D240)=0),"",COUNTIFS('Trade Log'!$A$6:$A$1005,$B240,'Trade Log'!$Z$6:$Z$1005,"No"))</f>
        <v/>
      </c>
      <c r="I240" s="105" t="str">
        <f>IF(OR($B240="",N($D240)=0),"",IF(AND(ISNUMBER(Settings!$C$26),N($E240)&lt;=-N(Settings!$C$26)),"Hit daily max loss. ","")&amp;IF(COUNTIFS('Trade Log'!$A$6:$A$1005,$B240,'Trade Log'!$BM$6:$BM$1005,1)&gt;0,"Kept trading after daily max loss. ","")&amp;IF(AND(ISNUMBER(Settings!$C$25),N($D240)&gt;N(Settings!$C$25)),"Over max trades. ",""))</f>
        <v/>
      </c>
      <c r="J240" s="106" t="n"/>
      <c r="K240" s="106" t="n"/>
      <c r="L240" s="106" t="n"/>
      <c r="M240" s="29" t="n"/>
      <c r="N240" s="29" t="n"/>
      <c r="O240" s="106" t="n"/>
    </row>
    <row r="241">
      <c r="B241" s="107">
        <f>IF($B240="","",$B240+IF(AND(Settings!$C$10&lt;&gt;"Yes",WEEKDAY($B240,2)&gt;=5),8-WEEKDAY($B240,2),1))</f>
        <v>46615</v>
      </c>
      <c r="C241" s="103" t="str">
        <f>IF($B241="","",CHOOSE(WEEKDAY($B241,2),"Mon","Tue","Wed","Thu","Fri","Sat","Sun"))</f>
        <v>Mon</v>
      </c>
      <c r="D241" s="96">
        <f>IF($B241="","",COUNTIFS('Trade Log'!$A$6:$A$1005,$B241,'Trade Log'!$BH$6:$BH$1005,1))</f>
        <v>0</v>
      </c>
      <c r="E241" s="98" t="str">
        <f>IF(OR($B241="",N($D241)=0),"",SUMIFS('Trade Log'!$Q$6:$Q$1005,'Trade Log'!$A$6:$A$1005,$B241))</f>
        <v/>
      </c>
      <c r="F241" s="99" t="str">
        <f>IF(OR($B241="",N($D241)=0),"",IFERROR(COUNTIFS('Trade Log'!$A$6:$A$1005,$B241,'Trade Log'!$S$6:$S$1005,"Win")/(COUNTIFS('Trade Log'!$A$6:$A$1005,$B241,'Trade Log'!$S$6:$S$1005,"Win")+COUNTIFS('Trade Log'!$A$6:$A$1005,$B241,'Trade Log'!$S$6:$S$1005,"Loss")),"—"))</f>
        <v/>
      </c>
      <c r="G241" s="104" t="str">
        <f>IF(OR($B241="",N($D241)=0),"",SUMIFS('Trade Log'!$R$6:$R$1005,'Trade Log'!$A$6:$A$1005,$B241))</f>
        <v/>
      </c>
      <c r="H241" s="96" t="str">
        <f>IF(OR($B241="",N($D241)=0),"",COUNTIFS('Trade Log'!$A$6:$A$1005,$B241,'Trade Log'!$Z$6:$Z$1005,"No"))</f>
        <v/>
      </c>
      <c r="I241" s="105" t="str">
        <f>IF(OR($B241="",N($D241)=0),"",IF(AND(ISNUMBER(Settings!$C$26),N($E241)&lt;=-N(Settings!$C$26)),"Hit daily max loss. ","")&amp;IF(COUNTIFS('Trade Log'!$A$6:$A$1005,$B241,'Trade Log'!$BM$6:$BM$1005,1)&gt;0,"Kept trading after daily max loss. ","")&amp;IF(AND(ISNUMBER(Settings!$C$25),N($D241)&gt;N(Settings!$C$25)),"Over max trades. ",""))</f>
        <v/>
      </c>
      <c r="J241" s="106" t="n"/>
      <c r="K241" s="106" t="n"/>
      <c r="L241" s="106" t="n"/>
      <c r="M241" s="29" t="n"/>
      <c r="N241" s="29" t="n"/>
      <c r="O241" s="106" t="n"/>
    </row>
    <row r="242">
      <c r="B242" s="107">
        <f>IF($B241="","",$B241+IF(AND(Settings!$C$10&lt;&gt;"Yes",WEEKDAY($B241,2)&gt;=5),8-WEEKDAY($B241,2),1))</f>
        <v>46616</v>
      </c>
      <c r="C242" s="103" t="str">
        <f>IF($B242="","",CHOOSE(WEEKDAY($B242,2),"Mon","Tue","Wed","Thu","Fri","Sat","Sun"))</f>
        <v>Tue</v>
      </c>
      <c r="D242" s="96">
        <f>IF($B242="","",COUNTIFS('Trade Log'!$A$6:$A$1005,$B242,'Trade Log'!$BH$6:$BH$1005,1))</f>
        <v>0</v>
      </c>
      <c r="E242" s="98" t="str">
        <f>IF(OR($B242="",N($D242)=0),"",SUMIFS('Trade Log'!$Q$6:$Q$1005,'Trade Log'!$A$6:$A$1005,$B242))</f>
        <v/>
      </c>
      <c r="F242" s="99" t="str">
        <f>IF(OR($B242="",N($D242)=0),"",IFERROR(COUNTIFS('Trade Log'!$A$6:$A$1005,$B242,'Trade Log'!$S$6:$S$1005,"Win")/(COUNTIFS('Trade Log'!$A$6:$A$1005,$B242,'Trade Log'!$S$6:$S$1005,"Win")+COUNTIFS('Trade Log'!$A$6:$A$1005,$B242,'Trade Log'!$S$6:$S$1005,"Loss")),"—"))</f>
        <v/>
      </c>
      <c r="G242" s="104" t="str">
        <f>IF(OR($B242="",N($D242)=0),"",SUMIFS('Trade Log'!$R$6:$R$1005,'Trade Log'!$A$6:$A$1005,$B242))</f>
        <v/>
      </c>
      <c r="H242" s="96" t="str">
        <f>IF(OR($B242="",N($D242)=0),"",COUNTIFS('Trade Log'!$A$6:$A$1005,$B242,'Trade Log'!$Z$6:$Z$1005,"No"))</f>
        <v/>
      </c>
      <c r="I242" s="105" t="str">
        <f>IF(OR($B242="",N($D242)=0),"",IF(AND(ISNUMBER(Settings!$C$26),N($E242)&lt;=-N(Settings!$C$26)),"Hit daily max loss. ","")&amp;IF(COUNTIFS('Trade Log'!$A$6:$A$1005,$B242,'Trade Log'!$BM$6:$BM$1005,1)&gt;0,"Kept trading after daily max loss. ","")&amp;IF(AND(ISNUMBER(Settings!$C$25),N($D242)&gt;N(Settings!$C$25)),"Over max trades. ",""))</f>
        <v/>
      </c>
      <c r="J242" s="106" t="n"/>
      <c r="K242" s="106" t="n"/>
      <c r="L242" s="106" t="n"/>
      <c r="M242" s="29" t="n"/>
      <c r="N242" s="29" t="n"/>
      <c r="O242" s="106" t="n"/>
    </row>
    <row r="243">
      <c r="B243" s="107">
        <f>IF($B242="","",$B242+IF(AND(Settings!$C$10&lt;&gt;"Yes",WEEKDAY($B242,2)&gt;=5),8-WEEKDAY($B242,2),1))</f>
        <v>46617</v>
      </c>
      <c r="C243" s="103" t="str">
        <f>IF($B243="","",CHOOSE(WEEKDAY($B243,2),"Mon","Tue","Wed","Thu","Fri","Sat","Sun"))</f>
        <v>Wed</v>
      </c>
      <c r="D243" s="96">
        <f>IF($B243="","",COUNTIFS('Trade Log'!$A$6:$A$1005,$B243,'Trade Log'!$BH$6:$BH$1005,1))</f>
        <v>0</v>
      </c>
      <c r="E243" s="98" t="str">
        <f>IF(OR($B243="",N($D243)=0),"",SUMIFS('Trade Log'!$Q$6:$Q$1005,'Trade Log'!$A$6:$A$1005,$B243))</f>
        <v/>
      </c>
      <c r="F243" s="99" t="str">
        <f>IF(OR($B243="",N($D243)=0),"",IFERROR(COUNTIFS('Trade Log'!$A$6:$A$1005,$B243,'Trade Log'!$S$6:$S$1005,"Win")/(COUNTIFS('Trade Log'!$A$6:$A$1005,$B243,'Trade Log'!$S$6:$S$1005,"Win")+COUNTIFS('Trade Log'!$A$6:$A$1005,$B243,'Trade Log'!$S$6:$S$1005,"Loss")),"—"))</f>
        <v/>
      </c>
      <c r="G243" s="104" t="str">
        <f>IF(OR($B243="",N($D243)=0),"",SUMIFS('Trade Log'!$R$6:$R$1005,'Trade Log'!$A$6:$A$1005,$B243))</f>
        <v/>
      </c>
      <c r="H243" s="96" t="str">
        <f>IF(OR($B243="",N($D243)=0),"",COUNTIFS('Trade Log'!$A$6:$A$1005,$B243,'Trade Log'!$Z$6:$Z$1005,"No"))</f>
        <v/>
      </c>
      <c r="I243" s="105" t="str">
        <f>IF(OR($B243="",N($D243)=0),"",IF(AND(ISNUMBER(Settings!$C$26),N($E243)&lt;=-N(Settings!$C$26)),"Hit daily max loss. ","")&amp;IF(COUNTIFS('Trade Log'!$A$6:$A$1005,$B243,'Trade Log'!$BM$6:$BM$1005,1)&gt;0,"Kept trading after daily max loss. ","")&amp;IF(AND(ISNUMBER(Settings!$C$25),N($D243)&gt;N(Settings!$C$25)),"Over max trades. ",""))</f>
        <v/>
      </c>
      <c r="J243" s="106" t="n"/>
      <c r="K243" s="106" t="n"/>
      <c r="L243" s="106" t="n"/>
      <c r="M243" s="29" t="n"/>
      <c r="N243" s="29" t="n"/>
      <c r="O243" s="106" t="n"/>
    </row>
    <row r="244">
      <c r="B244" s="107">
        <f>IF($B243="","",$B243+IF(AND(Settings!$C$10&lt;&gt;"Yes",WEEKDAY($B243,2)&gt;=5),8-WEEKDAY($B243,2),1))</f>
        <v>46618</v>
      </c>
      <c r="C244" s="103" t="str">
        <f>IF($B244="","",CHOOSE(WEEKDAY($B244,2),"Mon","Tue","Wed","Thu","Fri","Sat","Sun"))</f>
        <v>Thu</v>
      </c>
      <c r="D244" s="96">
        <f>IF($B244="","",COUNTIFS('Trade Log'!$A$6:$A$1005,$B244,'Trade Log'!$BH$6:$BH$1005,1))</f>
        <v>0</v>
      </c>
      <c r="E244" s="98" t="str">
        <f>IF(OR($B244="",N($D244)=0),"",SUMIFS('Trade Log'!$Q$6:$Q$1005,'Trade Log'!$A$6:$A$1005,$B244))</f>
        <v/>
      </c>
      <c r="F244" s="99" t="str">
        <f>IF(OR($B244="",N($D244)=0),"",IFERROR(COUNTIFS('Trade Log'!$A$6:$A$1005,$B244,'Trade Log'!$S$6:$S$1005,"Win")/(COUNTIFS('Trade Log'!$A$6:$A$1005,$B244,'Trade Log'!$S$6:$S$1005,"Win")+COUNTIFS('Trade Log'!$A$6:$A$1005,$B244,'Trade Log'!$S$6:$S$1005,"Loss")),"—"))</f>
        <v/>
      </c>
      <c r="G244" s="104" t="str">
        <f>IF(OR($B244="",N($D244)=0),"",SUMIFS('Trade Log'!$R$6:$R$1005,'Trade Log'!$A$6:$A$1005,$B244))</f>
        <v/>
      </c>
      <c r="H244" s="96" t="str">
        <f>IF(OR($B244="",N($D244)=0),"",COUNTIFS('Trade Log'!$A$6:$A$1005,$B244,'Trade Log'!$Z$6:$Z$1005,"No"))</f>
        <v/>
      </c>
      <c r="I244" s="105" t="str">
        <f>IF(OR($B244="",N($D244)=0),"",IF(AND(ISNUMBER(Settings!$C$26),N($E244)&lt;=-N(Settings!$C$26)),"Hit daily max loss. ","")&amp;IF(COUNTIFS('Trade Log'!$A$6:$A$1005,$B244,'Trade Log'!$BM$6:$BM$1005,1)&gt;0,"Kept trading after daily max loss. ","")&amp;IF(AND(ISNUMBER(Settings!$C$25),N($D244)&gt;N(Settings!$C$25)),"Over max trades. ",""))</f>
        <v/>
      </c>
      <c r="J244" s="106" t="n"/>
      <c r="K244" s="106" t="n"/>
      <c r="L244" s="106" t="n"/>
      <c r="M244" s="29" t="n"/>
      <c r="N244" s="29" t="n"/>
      <c r="O244" s="106" t="n"/>
    </row>
    <row r="245">
      <c r="B245" s="107">
        <f>IF($B244="","",$B244+IF(AND(Settings!$C$10&lt;&gt;"Yes",WEEKDAY($B244,2)&gt;=5),8-WEEKDAY($B244,2),1))</f>
        <v>46619</v>
      </c>
      <c r="C245" s="103" t="str">
        <f>IF($B245="","",CHOOSE(WEEKDAY($B245,2),"Mon","Tue","Wed","Thu","Fri","Sat","Sun"))</f>
        <v>Fri</v>
      </c>
      <c r="D245" s="96">
        <f>IF($B245="","",COUNTIFS('Trade Log'!$A$6:$A$1005,$B245,'Trade Log'!$BH$6:$BH$1005,1))</f>
        <v>0</v>
      </c>
      <c r="E245" s="98" t="str">
        <f>IF(OR($B245="",N($D245)=0),"",SUMIFS('Trade Log'!$Q$6:$Q$1005,'Trade Log'!$A$6:$A$1005,$B245))</f>
        <v/>
      </c>
      <c r="F245" s="99" t="str">
        <f>IF(OR($B245="",N($D245)=0),"",IFERROR(COUNTIFS('Trade Log'!$A$6:$A$1005,$B245,'Trade Log'!$S$6:$S$1005,"Win")/(COUNTIFS('Trade Log'!$A$6:$A$1005,$B245,'Trade Log'!$S$6:$S$1005,"Win")+COUNTIFS('Trade Log'!$A$6:$A$1005,$B245,'Trade Log'!$S$6:$S$1005,"Loss")),"—"))</f>
        <v/>
      </c>
      <c r="G245" s="104" t="str">
        <f>IF(OR($B245="",N($D245)=0),"",SUMIFS('Trade Log'!$R$6:$R$1005,'Trade Log'!$A$6:$A$1005,$B245))</f>
        <v/>
      </c>
      <c r="H245" s="96" t="str">
        <f>IF(OR($B245="",N($D245)=0),"",COUNTIFS('Trade Log'!$A$6:$A$1005,$B245,'Trade Log'!$Z$6:$Z$1005,"No"))</f>
        <v/>
      </c>
      <c r="I245" s="105" t="str">
        <f>IF(OR($B245="",N($D245)=0),"",IF(AND(ISNUMBER(Settings!$C$26),N($E245)&lt;=-N(Settings!$C$26)),"Hit daily max loss. ","")&amp;IF(COUNTIFS('Trade Log'!$A$6:$A$1005,$B245,'Trade Log'!$BM$6:$BM$1005,1)&gt;0,"Kept trading after daily max loss. ","")&amp;IF(AND(ISNUMBER(Settings!$C$25),N($D245)&gt;N(Settings!$C$25)),"Over max trades. ",""))</f>
        <v/>
      </c>
      <c r="J245" s="106" t="n"/>
      <c r="K245" s="106" t="n"/>
      <c r="L245" s="106" t="n"/>
      <c r="M245" s="29" t="n"/>
      <c r="N245" s="29" t="n"/>
      <c r="O245" s="106" t="n"/>
    </row>
    <row r="246">
      <c r="B246" s="107">
        <f>IF($B245="","",$B245+IF(AND(Settings!$C$10&lt;&gt;"Yes",WEEKDAY($B245,2)&gt;=5),8-WEEKDAY($B245,2),1))</f>
        <v>46622</v>
      </c>
      <c r="C246" s="103" t="str">
        <f>IF($B246="","",CHOOSE(WEEKDAY($B246,2),"Mon","Tue","Wed","Thu","Fri","Sat","Sun"))</f>
        <v>Mon</v>
      </c>
      <c r="D246" s="96">
        <f>IF($B246="","",COUNTIFS('Trade Log'!$A$6:$A$1005,$B246,'Trade Log'!$BH$6:$BH$1005,1))</f>
        <v>0</v>
      </c>
      <c r="E246" s="98" t="str">
        <f>IF(OR($B246="",N($D246)=0),"",SUMIFS('Trade Log'!$Q$6:$Q$1005,'Trade Log'!$A$6:$A$1005,$B246))</f>
        <v/>
      </c>
      <c r="F246" s="99" t="str">
        <f>IF(OR($B246="",N($D246)=0),"",IFERROR(COUNTIFS('Trade Log'!$A$6:$A$1005,$B246,'Trade Log'!$S$6:$S$1005,"Win")/(COUNTIFS('Trade Log'!$A$6:$A$1005,$B246,'Trade Log'!$S$6:$S$1005,"Win")+COUNTIFS('Trade Log'!$A$6:$A$1005,$B246,'Trade Log'!$S$6:$S$1005,"Loss")),"—"))</f>
        <v/>
      </c>
      <c r="G246" s="104" t="str">
        <f>IF(OR($B246="",N($D246)=0),"",SUMIFS('Trade Log'!$R$6:$R$1005,'Trade Log'!$A$6:$A$1005,$B246))</f>
        <v/>
      </c>
      <c r="H246" s="96" t="str">
        <f>IF(OR($B246="",N($D246)=0),"",COUNTIFS('Trade Log'!$A$6:$A$1005,$B246,'Trade Log'!$Z$6:$Z$1005,"No"))</f>
        <v/>
      </c>
      <c r="I246" s="105" t="str">
        <f>IF(OR($B246="",N($D246)=0),"",IF(AND(ISNUMBER(Settings!$C$26),N($E246)&lt;=-N(Settings!$C$26)),"Hit daily max loss. ","")&amp;IF(COUNTIFS('Trade Log'!$A$6:$A$1005,$B246,'Trade Log'!$BM$6:$BM$1005,1)&gt;0,"Kept trading after daily max loss. ","")&amp;IF(AND(ISNUMBER(Settings!$C$25),N($D246)&gt;N(Settings!$C$25)),"Over max trades. ",""))</f>
        <v/>
      </c>
      <c r="J246" s="106" t="n"/>
      <c r="K246" s="106" t="n"/>
      <c r="L246" s="106" t="n"/>
      <c r="M246" s="29" t="n"/>
      <c r="N246" s="29" t="n"/>
      <c r="O246" s="106" t="n"/>
    </row>
    <row r="247">
      <c r="B247" s="107">
        <f>IF($B246="","",$B246+IF(AND(Settings!$C$10&lt;&gt;"Yes",WEEKDAY($B246,2)&gt;=5),8-WEEKDAY($B246,2),1))</f>
        <v>46623</v>
      </c>
      <c r="C247" s="103" t="str">
        <f>IF($B247="","",CHOOSE(WEEKDAY($B247,2),"Mon","Tue","Wed","Thu","Fri","Sat","Sun"))</f>
        <v>Tue</v>
      </c>
      <c r="D247" s="96">
        <f>IF($B247="","",COUNTIFS('Trade Log'!$A$6:$A$1005,$B247,'Trade Log'!$BH$6:$BH$1005,1))</f>
        <v>0</v>
      </c>
      <c r="E247" s="98" t="str">
        <f>IF(OR($B247="",N($D247)=0),"",SUMIFS('Trade Log'!$Q$6:$Q$1005,'Trade Log'!$A$6:$A$1005,$B247))</f>
        <v/>
      </c>
      <c r="F247" s="99" t="str">
        <f>IF(OR($B247="",N($D247)=0),"",IFERROR(COUNTIFS('Trade Log'!$A$6:$A$1005,$B247,'Trade Log'!$S$6:$S$1005,"Win")/(COUNTIFS('Trade Log'!$A$6:$A$1005,$B247,'Trade Log'!$S$6:$S$1005,"Win")+COUNTIFS('Trade Log'!$A$6:$A$1005,$B247,'Trade Log'!$S$6:$S$1005,"Loss")),"—"))</f>
        <v/>
      </c>
      <c r="G247" s="104" t="str">
        <f>IF(OR($B247="",N($D247)=0),"",SUMIFS('Trade Log'!$R$6:$R$1005,'Trade Log'!$A$6:$A$1005,$B247))</f>
        <v/>
      </c>
      <c r="H247" s="96" t="str">
        <f>IF(OR($B247="",N($D247)=0),"",COUNTIFS('Trade Log'!$A$6:$A$1005,$B247,'Trade Log'!$Z$6:$Z$1005,"No"))</f>
        <v/>
      </c>
      <c r="I247" s="105" t="str">
        <f>IF(OR($B247="",N($D247)=0),"",IF(AND(ISNUMBER(Settings!$C$26),N($E247)&lt;=-N(Settings!$C$26)),"Hit daily max loss. ","")&amp;IF(COUNTIFS('Trade Log'!$A$6:$A$1005,$B247,'Trade Log'!$BM$6:$BM$1005,1)&gt;0,"Kept trading after daily max loss. ","")&amp;IF(AND(ISNUMBER(Settings!$C$25),N($D247)&gt;N(Settings!$C$25)),"Over max trades. ",""))</f>
        <v/>
      </c>
      <c r="J247" s="106" t="n"/>
      <c r="K247" s="106" t="n"/>
      <c r="L247" s="106" t="n"/>
      <c r="M247" s="29" t="n"/>
      <c r="N247" s="29" t="n"/>
      <c r="O247" s="106" t="n"/>
    </row>
    <row r="248">
      <c r="B248" s="107">
        <f>IF($B247="","",$B247+IF(AND(Settings!$C$10&lt;&gt;"Yes",WEEKDAY($B247,2)&gt;=5),8-WEEKDAY($B247,2),1))</f>
        <v>46624</v>
      </c>
      <c r="C248" s="103" t="str">
        <f>IF($B248="","",CHOOSE(WEEKDAY($B248,2),"Mon","Tue","Wed","Thu","Fri","Sat","Sun"))</f>
        <v>Wed</v>
      </c>
      <c r="D248" s="96">
        <f>IF($B248="","",COUNTIFS('Trade Log'!$A$6:$A$1005,$B248,'Trade Log'!$BH$6:$BH$1005,1))</f>
        <v>0</v>
      </c>
      <c r="E248" s="98" t="str">
        <f>IF(OR($B248="",N($D248)=0),"",SUMIFS('Trade Log'!$Q$6:$Q$1005,'Trade Log'!$A$6:$A$1005,$B248))</f>
        <v/>
      </c>
      <c r="F248" s="99" t="str">
        <f>IF(OR($B248="",N($D248)=0),"",IFERROR(COUNTIFS('Trade Log'!$A$6:$A$1005,$B248,'Trade Log'!$S$6:$S$1005,"Win")/(COUNTIFS('Trade Log'!$A$6:$A$1005,$B248,'Trade Log'!$S$6:$S$1005,"Win")+COUNTIFS('Trade Log'!$A$6:$A$1005,$B248,'Trade Log'!$S$6:$S$1005,"Loss")),"—"))</f>
        <v/>
      </c>
      <c r="G248" s="104" t="str">
        <f>IF(OR($B248="",N($D248)=0),"",SUMIFS('Trade Log'!$R$6:$R$1005,'Trade Log'!$A$6:$A$1005,$B248))</f>
        <v/>
      </c>
      <c r="H248" s="96" t="str">
        <f>IF(OR($B248="",N($D248)=0),"",COUNTIFS('Trade Log'!$A$6:$A$1005,$B248,'Trade Log'!$Z$6:$Z$1005,"No"))</f>
        <v/>
      </c>
      <c r="I248" s="105" t="str">
        <f>IF(OR($B248="",N($D248)=0),"",IF(AND(ISNUMBER(Settings!$C$26),N($E248)&lt;=-N(Settings!$C$26)),"Hit daily max loss. ","")&amp;IF(COUNTIFS('Trade Log'!$A$6:$A$1005,$B248,'Trade Log'!$BM$6:$BM$1005,1)&gt;0,"Kept trading after daily max loss. ","")&amp;IF(AND(ISNUMBER(Settings!$C$25),N($D248)&gt;N(Settings!$C$25)),"Over max trades. ",""))</f>
        <v/>
      </c>
      <c r="J248" s="106" t="n"/>
      <c r="K248" s="106" t="n"/>
      <c r="L248" s="106" t="n"/>
      <c r="M248" s="29" t="n"/>
      <c r="N248" s="29" t="n"/>
      <c r="O248" s="106" t="n"/>
    </row>
    <row r="249">
      <c r="B249" s="107">
        <f>IF($B248="","",$B248+IF(AND(Settings!$C$10&lt;&gt;"Yes",WEEKDAY($B248,2)&gt;=5),8-WEEKDAY($B248,2),1))</f>
        <v>46625</v>
      </c>
      <c r="C249" s="103" t="str">
        <f>IF($B249="","",CHOOSE(WEEKDAY($B249,2),"Mon","Tue","Wed","Thu","Fri","Sat","Sun"))</f>
        <v>Thu</v>
      </c>
      <c r="D249" s="96">
        <f>IF($B249="","",COUNTIFS('Trade Log'!$A$6:$A$1005,$B249,'Trade Log'!$BH$6:$BH$1005,1))</f>
        <v>0</v>
      </c>
      <c r="E249" s="98" t="str">
        <f>IF(OR($B249="",N($D249)=0),"",SUMIFS('Trade Log'!$Q$6:$Q$1005,'Trade Log'!$A$6:$A$1005,$B249))</f>
        <v/>
      </c>
      <c r="F249" s="99" t="str">
        <f>IF(OR($B249="",N($D249)=0),"",IFERROR(COUNTIFS('Trade Log'!$A$6:$A$1005,$B249,'Trade Log'!$S$6:$S$1005,"Win")/(COUNTIFS('Trade Log'!$A$6:$A$1005,$B249,'Trade Log'!$S$6:$S$1005,"Win")+COUNTIFS('Trade Log'!$A$6:$A$1005,$B249,'Trade Log'!$S$6:$S$1005,"Loss")),"—"))</f>
        <v/>
      </c>
      <c r="G249" s="104" t="str">
        <f>IF(OR($B249="",N($D249)=0),"",SUMIFS('Trade Log'!$R$6:$R$1005,'Trade Log'!$A$6:$A$1005,$B249))</f>
        <v/>
      </c>
      <c r="H249" s="96" t="str">
        <f>IF(OR($B249="",N($D249)=0),"",COUNTIFS('Trade Log'!$A$6:$A$1005,$B249,'Trade Log'!$Z$6:$Z$1005,"No"))</f>
        <v/>
      </c>
      <c r="I249" s="105" t="str">
        <f>IF(OR($B249="",N($D249)=0),"",IF(AND(ISNUMBER(Settings!$C$26),N($E249)&lt;=-N(Settings!$C$26)),"Hit daily max loss. ","")&amp;IF(COUNTIFS('Trade Log'!$A$6:$A$1005,$B249,'Trade Log'!$BM$6:$BM$1005,1)&gt;0,"Kept trading after daily max loss. ","")&amp;IF(AND(ISNUMBER(Settings!$C$25),N($D249)&gt;N(Settings!$C$25)),"Over max trades. ",""))</f>
        <v/>
      </c>
      <c r="J249" s="106" t="n"/>
      <c r="K249" s="106" t="n"/>
      <c r="L249" s="106" t="n"/>
      <c r="M249" s="29" t="n"/>
      <c r="N249" s="29" t="n"/>
      <c r="O249" s="106" t="n"/>
    </row>
    <row r="250">
      <c r="B250" s="107">
        <f>IF($B249="","",$B249+IF(AND(Settings!$C$10&lt;&gt;"Yes",WEEKDAY($B249,2)&gt;=5),8-WEEKDAY($B249,2),1))</f>
        <v>46626</v>
      </c>
      <c r="C250" s="103" t="str">
        <f>IF($B250="","",CHOOSE(WEEKDAY($B250,2),"Mon","Tue","Wed","Thu","Fri","Sat","Sun"))</f>
        <v>Fri</v>
      </c>
      <c r="D250" s="96">
        <f>IF($B250="","",COUNTIFS('Trade Log'!$A$6:$A$1005,$B250,'Trade Log'!$BH$6:$BH$1005,1))</f>
        <v>0</v>
      </c>
      <c r="E250" s="98" t="str">
        <f>IF(OR($B250="",N($D250)=0),"",SUMIFS('Trade Log'!$Q$6:$Q$1005,'Trade Log'!$A$6:$A$1005,$B250))</f>
        <v/>
      </c>
      <c r="F250" s="99" t="str">
        <f>IF(OR($B250="",N($D250)=0),"",IFERROR(COUNTIFS('Trade Log'!$A$6:$A$1005,$B250,'Trade Log'!$S$6:$S$1005,"Win")/(COUNTIFS('Trade Log'!$A$6:$A$1005,$B250,'Trade Log'!$S$6:$S$1005,"Win")+COUNTIFS('Trade Log'!$A$6:$A$1005,$B250,'Trade Log'!$S$6:$S$1005,"Loss")),"—"))</f>
        <v/>
      </c>
      <c r="G250" s="104" t="str">
        <f>IF(OR($B250="",N($D250)=0),"",SUMIFS('Trade Log'!$R$6:$R$1005,'Trade Log'!$A$6:$A$1005,$B250))</f>
        <v/>
      </c>
      <c r="H250" s="96" t="str">
        <f>IF(OR($B250="",N($D250)=0),"",COUNTIFS('Trade Log'!$A$6:$A$1005,$B250,'Trade Log'!$Z$6:$Z$1005,"No"))</f>
        <v/>
      </c>
      <c r="I250" s="105" t="str">
        <f>IF(OR($B250="",N($D250)=0),"",IF(AND(ISNUMBER(Settings!$C$26),N($E250)&lt;=-N(Settings!$C$26)),"Hit daily max loss. ","")&amp;IF(COUNTIFS('Trade Log'!$A$6:$A$1005,$B250,'Trade Log'!$BM$6:$BM$1005,1)&gt;0,"Kept trading after daily max loss. ","")&amp;IF(AND(ISNUMBER(Settings!$C$25),N($D250)&gt;N(Settings!$C$25)),"Over max trades. ",""))</f>
        <v/>
      </c>
      <c r="J250" s="106" t="n"/>
      <c r="K250" s="106" t="n"/>
      <c r="L250" s="106" t="n"/>
      <c r="M250" s="29" t="n"/>
      <c r="N250" s="29" t="n"/>
      <c r="O250" s="106" t="n"/>
    </row>
    <row r="251">
      <c r="B251" s="107">
        <f>IF($B250="","",$B250+IF(AND(Settings!$C$10&lt;&gt;"Yes",WEEKDAY($B250,2)&gt;=5),8-WEEKDAY($B250,2),1))</f>
        <v>46629</v>
      </c>
      <c r="C251" s="103" t="str">
        <f>IF($B251="","",CHOOSE(WEEKDAY($B251,2),"Mon","Tue","Wed","Thu","Fri","Sat","Sun"))</f>
        <v>Mon</v>
      </c>
      <c r="D251" s="96">
        <f>IF($B251="","",COUNTIFS('Trade Log'!$A$6:$A$1005,$B251,'Trade Log'!$BH$6:$BH$1005,1))</f>
        <v>0</v>
      </c>
      <c r="E251" s="98" t="str">
        <f>IF(OR($B251="",N($D251)=0),"",SUMIFS('Trade Log'!$Q$6:$Q$1005,'Trade Log'!$A$6:$A$1005,$B251))</f>
        <v/>
      </c>
      <c r="F251" s="99" t="str">
        <f>IF(OR($B251="",N($D251)=0),"",IFERROR(COUNTIFS('Trade Log'!$A$6:$A$1005,$B251,'Trade Log'!$S$6:$S$1005,"Win")/(COUNTIFS('Trade Log'!$A$6:$A$1005,$B251,'Trade Log'!$S$6:$S$1005,"Win")+COUNTIFS('Trade Log'!$A$6:$A$1005,$B251,'Trade Log'!$S$6:$S$1005,"Loss")),"—"))</f>
        <v/>
      </c>
      <c r="G251" s="104" t="str">
        <f>IF(OR($B251="",N($D251)=0),"",SUMIFS('Trade Log'!$R$6:$R$1005,'Trade Log'!$A$6:$A$1005,$B251))</f>
        <v/>
      </c>
      <c r="H251" s="96" t="str">
        <f>IF(OR($B251="",N($D251)=0),"",COUNTIFS('Trade Log'!$A$6:$A$1005,$B251,'Trade Log'!$Z$6:$Z$1005,"No"))</f>
        <v/>
      </c>
      <c r="I251" s="105" t="str">
        <f>IF(OR($B251="",N($D251)=0),"",IF(AND(ISNUMBER(Settings!$C$26),N($E251)&lt;=-N(Settings!$C$26)),"Hit daily max loss. ","")&amp;IF(COUNTIFS('Trade Log'!$A$6:$A$1005,$B251,'Trade Log'!$BM$6:$BM$1005,1)&gt;0,"Kept trading after daily max loss. ","")&amp;IF(AND(ISNUMBER(Settings!$C$25),N($D251)&gt;N(Settings!$C$25)),"Over max trades. ",""))</f>
        <v/>
      </c>
      <c r="J251" s="106" t="n"/>
      <c r="K251" s="106" t="n"/>
      <c r="L251" s="106" t="n"/>
      <c r="M251" s="29" t="n"/>
      <c r="N251" s="29" t="n"/>
      <c r="O251" s="106" t="n"/>
    </row>
    <row r="252">
      <c r="B252" s="107">
        <f>IF($B251="","",$B251+IF(AND(Settings!$C$10&lt;&gt;"Yes",WEEKDAY($B251,2)&gt;=5),8-WEEKDAY($B251,2),1))</f>
        <v>46630</v>
      </c>
      <c r="C252" s="103" t="str">
        <f>IF($B252="","",CHOOSE(WEEKDAY($B252,2),"Mon","Tue","Wed","Thu","Fri","Sat","Sun"))</f>
        <v>Tue</v>
      </c>
      <c r="D252" s="96">
        <f>IF($B252="","",COUNTIFS('Trade Log'!$A$6:$A$1005,$B252,'Trade Log'!$BH$6:$BH$1005,1))</f>
        <v>0</v>
      </c>
      <c r="E252" s="98" t="str">
        <f>IF(OR($B252="",N($D252)=0),"",SUMIFS('Trade Log'!$Q$6:$Q$1005,'Trade Log'!$A$6:$A$1005,$B252))</f>
        <v/>
      </c>
      <c r="F252" s="99" t="str">
        <f>IF(OR($B252="",N($D252)=0),"",IFERROR(COUNTIFS('Trade Log'!$A$6:$A$1005,$B252,'Trade Log'!$S$6:$S$1005,"Win")/(COUNTIFS('Trade Log'!$A$6:$A$1005,$B252,'Trade Log'!$S$6:$S$1005,"Win")+COUNTIFS('Trade Log'!$A$6:$A$1005,$B252,'Trade Log'!$S$6:$S$1005,"Loss")),"—"))</f>
        <v/>
      </c>
      <c r="G252" s="104" t="str">
        <f>IF(OR($B252="",N($D252)=0),"",SUMIFS('Trade Log'!$R$6:$R$1005,'Trade Log'!$A$6:$A$1005,$B252))</f>
        <v/>
      </c>
      <c r="H252" s="96" t="str">
        <f>IF(OR($B252="",N($D252)=0),"",COUNTIFS('Trade Log'!$A$6:$A$1005,$B252,'Trade Log'!$Z$6:$Z$1005,"No"))</f>
        <v/>
      </c>
      <c r="I252" s="105" t="str">
        <f>IF(OR($B252="",N($D252)=0),"",IF(AND(ISNUMBER(Settings!$C$26),N($E252)&lt;=-N(Settings!$C$26)),"Hit daily max loss. ","")&amp;IF(COUNTIFS('Trade Log'!$A$6:$A$1005,$B252,'Trade Log'!$BM$6:$BM$1005,1)&gt;0,"Kept trading after daily max loss. ","")&amp;IF(AND(ISNUMBER(Settings!$C$25),N($D252)&gt;N(Settings!$C$25)),"Over max trades. ",""))</f>
        <v/>
      </c>
      <c r="J252" s="106" t="n"/>
      <c r="K252" s="106" t="n"/>
      <c r="L252" s="106" t="n"/>
      <c r="M252" s="29" t="n"/>
      <c r="N252" s="29" t="n"/>
      <c r="O252" s="106" t="n"/>
    </row>
    <row r="253">
      <c r="B253" s="107">
        <f>IF($B252="","",$B252+IF(AND(Settings!$C$10&lt;&gt;"Yes",WEEKDAY($B252,2)&gt;=5),8-WEEKDAY($B252,2),1))</f>
        <v>46631</v>
      </c>
      <c r="C253" s="103" t="str">
        <f>IF($B253="","",CHOOSE(WEEKDAY($B253,2),"Mon","Tue","Wed","Thu","Fri","Sat","Sun"))</f>
        <v>Wed</v>
      </c>
      <c r="D253" s="96">
        <f>IF($B253="","",COUNTIFS('Trade Log'!$A$6:$A$1005,$B253,'Trade Log'!$BH$6:$BH$1005,1))</f>
        <v>0</v>
      </c>
      <c r="E253" s="98" t="str">
        <f>IF(OR($B253="",N($D253)=0),"",SUMIFS('Trade Log'!$Q$6:$Q$1005,'Trade Log'!$A$6:$A$1005,$B253))</f>
        <v/>
      </c>
      <c r="F253" s="99" t="str">
        <f>IF(OR($B253="",N($D253)=0),"",IFERROR(COUNTIFS('Trade Log'!$A$6:$A$1005,$B253,'Trade Log'!$S$6:$S$1005,"Win")/(COUNTIFS('Trade Log'!$A$6:$A$1005,$B253,'Trade Log'!$S$6:$S$1005,"Win")+COUNTIFS('Trade Log'!$A$6:$A$1005,$B253,'Trade Log'!$S$6:$S$1005,"Loss")),"—"))</f>
        <v/>
      </c>
      <c r="G253" s="104" t="str">
        <f>IF(OR($B253="",N($D253)=0),"",SUMIFS('Trade Log'!$R$6:$R$1005,'Trade Log'!$A$6:$A$1005,$B253))</f>
        <v/>
      </c>
      <c r="H253" s="96" t="str">
        <f>IF(OR($B253="",N($D253)=0),"",COUNTIFS('Trade Log'!$A$6:$A$1005,$B253,'Trade Log'!$Z$6:$Z$1005,"No"))</f>
        <v/>
      </c>
      <c r="I253" s="105" t="str">
        <f>IF(OR($B253="",N($D253)=0),"",IF(AND(ISNUMBER(Settings!$C$26),N($E253)&lt;=-N(Settings!$C$26)),"Hit daily max loss. ","")&amp;IF(COUNTIFS('Trade Log'!$A$6:$A$1005,$B253,'Trade Log'!$BM$6:$BM$1005,1)&gt;0,"Kept trading after daily max loss. ","")&amp;IF(AND(ISNUMBER(Settings!$C$25),N($D253)&gt;N(Settings!$C$25)),"Over max trades. ",""))</f>
        <v/>
      </c>
      <c r="J253" s="106" t="n"/>
      <c r="K253" s="106" t="n"/>
      <c r="L253" s="106" t="n"/>
      <c r="M253" s="29" t="n"/>
      <c r="N253" s="29" t="n"/>
      <c r="O253" s="106" t="n"/>
    </row>
    <row r="254">
      <c r="B254" s="107">
        <f>IF($B253="","",$B253+IF(AND(Settings!$C$10&lt;&gt;"Yes",WEEKDAY($B253,2)&gt;=5),8-WEEKDAY($B253,2),1))</f>
        <v>46632</v>
      </c>
      <c r="C254" s="103" t="str">
        <f>IF($B254="","",CHOOSE(WEEKDAY($B254,2),"Mon","Tue","Wed","Thu","Fri","Sat","Sun"))</f>
        <v>Thu</v>
      </c>
      <c r="D254" s="96">
        <f>IF($B254="","",COUNTIFS('Trade Log'!$A$6:$A$1005,$B254,'Trade Log'!$BH$6:$BH$1005,1))</f>
        <v>0</v>
      </c>
      <c r="E254" s="98" t="str">
        <f>IF(OR($B254="",N($D254)=0),"",SUMIFS('Trade Log'!$Q$6:$Q$1005,'Trade Log'!$A$6:$A$1005,$B254))</f>
        <v/>
      </c>
      <c r="F254" s="99" t="str">
        <f>IF(OR($B254="",N($D254)=0),"",IFERROR(COUNTIFS('Trade Log'!$A$6:$A$1005,$B254,'Trade Log'!$S$6:$S$1005,"Win")/(COUNTIFS('Trade Log'!$A$6:$A$1005,$B254,'Trade Log'!$S$6:$S$1005,"Win")+COUNTIFS('Trade Log'!$A$6:$A$1005,$B254,'Trade Log'!$S$6:$S$1005,"Loss")),"—"))</f>
        <v/>
      </c>
      <c r="G254" s="104" t="str">
        <f>IF(OR($B254="",N($D254)=0),"",SUMIFS('Trade Log'!$R$6:$R$1005,'Trade Log'!$A$6:$A$1005,$B254))</f>
        <v/>
      </c>
      <c r="H254" s="96" t="str">
        <f>IF(OR($B254="",N($D254)=0),"",COUNTIFS('Trade Log'!$A$6:$A$1005,$B254,'Trade Log'!$Z$6:$Z$1005,"No"))</f>
        <v/>
      </c>
      <c r="I254" s="105" t="str">
        <f>IF(OR($B254="",N($D254)=0),"",IF(AND(ISNUMBER(Settings!$C$26),N($E254)&lt;=-N(Settings!$C$26)),"Hit daily max loss. ","")&amp;IF(COUNTIFS('Trade Log'!$A$6:$A$1005,$B254,'Trade Log'!$BM$6:$BM$1005,1)&gt;0,"Kept trading after daily max loss. ","")&amp;IF(AND(ISNUMBER(Settings!$C$25),N($D254)&gt;N(Settings!$C$25)),"Over max trades. ",""))</f>
        <v/>
      </c>
      <c r="J254" s="106" t="n"/>
      <c r="K254" s="106" t="n"/>
      <c r="L254" s="106" t="n"/>
      <c r="M254" s="29" t="n"/>
      <c r="N254" s="29" t="n"/>
      <c r="O254" s="106" t="n"/>
    </row>
    <row r="255">
      <c r="B255" s="107">
        <f>IF($B254="","",$B254+IF(AND(Settings!$C$10&lt;&gt;"Yes",WEEKDAY($B254,2)&gt;=5),8-WEEKDAY($B254,2),1))</f>
        <v>46633</v>
      </c>
      <c r="C255" s="103" t="str">
        <f>IF($B255="","",CHOOSE(WEEKDAY($B255,2),"Mon","Tue","Wed","Thu","Fri","Sat","Sun"))</f>
        <v>Fri</v>
      </c>
      <c r="D255" s="96">
        <f>IF($B255="","",COUNTIFS('Trade Log'!$A$6:$A$1005,$B255,'Trade Log'!$BH$6:$BH$1005,1))</f>
        <v>0</v>
      </c>
      <c r="E255" s="98" t="str">
        <f>IF(OR($B255="",N($D255)=0),"",SUMIFS('Trade Log'!$Q$6:$Q$1005,'Trade Log'!$A$6:$A$1005,$B255))</f>
        <v/>
      </c>
      <c r="F255" s="99" t="str">
        <f>IF(OR($B255="",N($D255)=0),"",IFERROR(COUNTIFS('Trade Log'!$A$6:$A$1005,$B255,'Trade Log'!$S$6:$S$1005,"Win")/(COUNTIFS('Trade Log'!$A$6:$A$1005,$B255,'Trade Log'!$S$6:$S$1005,"Win")+COUNTIFS('Trade Log'!$A$6:$A$1005,$B255,'Trade Log'!$S$6:$S$1005,"Loss")),"—"))</f>
        <v/>
      </c>
      <c r="G255" s="104" t="str">
        <f>IF(OR($B255="",N($D255)=0),"",SUMIFS('Trade Log'!$R$6:$R$1005,'Trade Log'!$A$6:$A$1005,$B255))</f>
        <v/>
      </c>
      <c r="H255" s="96" t="str">
        <f>IF(OR($B255="",N($D255)=0),"",COUNTIFS('Trade Log'!$A$6:$A$1005,$B255,'Trade Log'!$Z$6:$Z$1005,"No"))</f>
        <v/>
      </c>
      <c r="I255" s="105" t="str">
        <f>IF(OR($B255="",N($D255)=0),"",IF(AND(ISNUMBER(Settings!$C$26),N($E255)&lt;=-N(Settings!$C$26)),"Hit daily max loss. ","")&amp;IF(COUNTIFS('Trade Log'!$A$6:$A$1005,$B255,'Trade Log'!$BM$6:$BM$1005,1)&gt;0,"Kept trading after daily max loss. ","")&amp;IF(AND(ISNUMBER(Settings!$C$25),N($D255)&gt;N(Settings!$C$25)),"Over max trades. ",""))</f>
        <v/>
      </c>
      <c r="J255" s="106" t="n"/>
      <c r="K255" s="106" t="n"/>
      <c r="L255" s="106" t="n"/>
      <c r="M255" s="29" t="n"/>
      <c r="N255" s="29" t="n"/>
      <c r="O255" s="106" t="n"/>
    </row>
    <row r="256">
      <c r="B256" s="107">
        <f>IF($B255="","",$B255+IF(AND(Settings!$C$10&lt;&gt;"Yes",WEEKDAY($B255,2)&gt;=5),8-WEEKDAY($B255,2),1))</f>
        <v>46636</v>
      </c>
      <c r="C256" s="103" t="str">
        <f>IF($B256="","",CHOOSE(WEEKDAY($B256,2),"Mon","Tue","Wed","Thu","Fri","Sat","Sun"))</f>
        <v>Mon</v>
      </c>
      <c r="D256" s="96">
        <f>IF($B256="","",COUNTIFS('Trade Log'!$A$6:$A$1005,$B256,'Trade Log'!$BH$6:$BH$1005,1))</f>
        <v>0</v>
      </c>
      <c r="E256" s="98" t="str">
        <f>IF(OR($B256="",N($D256)=0),"",SUMIFS('Trade Log'!$Q$6:$Q$1005,'Trade Log'!$A$6:$A$1005,$B256))</f>
        <v/>
      </c>
      <c r="F256" s="99" t="str">
        <f>IF(OR($B256="",N($D256)=0),"",IFERROR(COUNTIFS('Trade Log'!$A$6:$A$1005,$B256,'Trade Log'!$S$6:$S$1005,"Win")/(COUNTIFS('Trade Log'!$A$6:$A$1005,$B256,'Trade Log'!$S$6:$S$1005,"Win")+COUNTIFS('Trade Log'!$A$6:$A$1005,$B256,'Trade Log'!$S$6:$S$1005,"Loss")),"—"))</f>
        <v/>
      </c>
      <c r="G256" s="104" t="str">
        <f>IF(OR($B256="",N($D256)=0),"",SUMIFS('Trade Log'!$R$6:$R$1005,'Trade Log'!$A$6:$A$1005,$B256))</f>
        <v/>
      </c>
      <c r="H256" s="96" t="str">
        <f>IF(OR($B256="",N($D256)=0),"",COUNTIFS('Trade Log'!$A$6:$A$1005,$B256,'Trade Log'!$Z$6:$Z$1005,"No"))</f>
        <v/>
      </c>
      <c r="I256" s="105" t="str">
        <f>IF(OR($B256="",N($D256)=0),"",IF(AND(ISNUMBER(Settings!$C$26),N($E256)&lt;=-N(Settings!$C$26)),"Hit daily max loss. ","")&amp;IF(COUNTIFS('Trade Log'!$A$6:$A$1005,$B256,'Trade Log'!$BM$6:$BM$1005,1)&gt;0,"Kept trading after daily max loss. ","")&amp;IF(AND(ISNUMBER(Settings!$C$25),N($D256)&gt;N(Settings!$C$25)),"Over max trades. ",""))</f>
        <v/>
      </c>
      <c r="J256" s="106" t="n"/>
      <c r="K256" s="106" t="n"/>
      <c r="L256" s="106" t="n"/>
      <c r="M256" s="29" t="n"/>
      <c r="N256" s="29" t="n"/>
      <c r="O256" s="106" t="n"/>
    </row>
    <row r="257">
      <c r="B257" s="107">
        <f>IF($B256="","",$B256+IF(AND(Settings!$C$10&lt;&gt;"Yes",WEEKDAY($B256,2)&gt;=5),8-WEEKDAY($B256,2),1))</f>
        <v>46637</v>
      </c>
      <c r="C257" s="103" t="str">
        <f>IF($B257="","",CHOOSE(WEEKDAY($B257,2),"Mon","Tue","Wed","Thu","Fri","Sat","Sun"))</f>
        <v>Tue</v>
      </c>
      <c r="D257" s="96">
        <f>IF($B257="","",COUNTIFS('Trade Log'!$A$6:$A$1005,$B257,'Trade Log'!$BH$6:$BH$1005,1))</f>
        <v>0</v>
      </c>
      <c r="E257" s="98" t="str">
        <f>IF(OR($B257="",N($D257)=0),"",SUMIFS('Trade Log'!$Q$6:$Q$1005,'Trade Log'!$A$6:$A$1005,$B257))</f>
        <v/>
      </c>
      <c r="F257" s="99" t="str">
        <f>IF(OR($B257="",N($D257)=0),"",IFERROR(COUNTIFS('Trade Log'!$A$6:$A$1005,$B257,'Trade Log'!$S$6:$S$1005,"Win")/(COUNTIFS('Trade Log'!$A$6:$A$1005,$B257,'Trade Log'!$S$6:$S$1005,"Win")+COUNTIFS('Trade Log'!$A$6:$A$1005,$B257,'Trade Log'!$S$6:$S$1005,"Loss")),"—"))</f>
        <v/>
      </c>
      <c r="G257" s="104" t="str">
        <f>IF(OR($B257="",N($D257)=0),"",SUMIFS('Trade Log'!$R$6:$R$1005,'Trade Log'!$A$6:$A$1005,$B257))</f>
        <v/>
      </c>
      <c r="H257" s="96" t="str">
        <f>IF(OR($B257="",N($D257)=0),"",COUNTIFS('Trade Log'!$A$6:$A$1005,$B257,'Trade Log'!$Z$6:$Z$1005,"No"))</f>
        <v/>
      </c>
      <c r="I257" s="105" t="str">
        <f>IF(OR($B257="",N($D257)=0),"",IF(AND(ISNUMBER(Settings!$C$26),N($E257)&lt;=-N(Settings!$C$26)),"Hit daily max loss. ","")&amp;IF(COUNTIFS('Trade Log'!$A$6:$A$1005,$B257,'Trade Log'!$BM$6:$BM$1005,1)&gt;0,"Kept trading after daily max loss. ","")&amp;IF(AND(ISNUMBER(Settings!$C$25),N($D257)&gt;N(Settings!$C$25)),"Over max trades. ",""))</f>
        <v/>
      </c>
      <c r="J257" s="106" t="n"/>
      <c r="K257" s="106" t="n"/>
      <c r="L257" s="106" t="n"/>
      <c r="M257" s="29" t="n"/>
      <c r="N257" s="29" t="n"/>
      <c r="O257" s="106" t="n"/>
    </row>
    <row r="258">
      <c r="B258" s="107">
        <f>IF($B257="","",$B257+IF(AND(Settings!$C$10&lt;&gt;"Yes",WEEKDAY($B257,2)&gt;=5),8-WEEKDAY($B257,2),1))</f>
        <v>46638</v>
      </c>
      <c r="C258" s="103" t="str">
        <f>IF($B258="","",CHOOSE(WEEKDAY($B258,2),"Mon","Tue","Wed","Thu","Fri","Sat","Sun"))</f>
        <v>Wed</v>
      </c>
      <c r="D258" s="96">
        <f>IF($B258="","",COUNTIFS('Trade Log'!$A$6:$A$1005,$B258,'Trade Log'!$BH$6:$BH$1005,1))</f>
        <v>0</v>
      </c>
      <c r="E258" s="98" t="str">
        <f>IF(OR($B258="",N($D258)=0),"",SUMIFS('Trade Log'!$Q$6:$Q$1005,'Trade Log'!$A$6:$A$1005,$B258))</f>
        <v/>
      </c>
      <c r="F258" s="99" t="str">
        <f>IF(OR($B258="",N($D258)=0),"",IFERROR(COUNTIFS('Trade Log'!$A$6:$A$1005,$B258,'Trade Log'!$S$6:$S$1005,"Win")/(COUNTIFS('Trade Log'!$A$6:$A$1005,$B258,'Trade Log'!$S$6:$S$1005,"Win")+COUNTIFS('Trade Log'!$A$6:$A$1005,$B258,'Trade Log'!$S$6:$S$1005,"Loss")),"—"))</f>
        <v/>
      </c>
      <c r="G258" s="104" t="str">
        <f>IF(OR($B258="",N($D258)=0),"",SUMIFS('Trade Log'!$R$6:$R$1005,'Trade Log'!$A$6:$A$1005,$B258))</f>
        <v/>
      </c>
      <c r="H258" s="96" t="str">
        <f>IF(OR($B258="",N($D258)=0),"",COUNTIFS('Trade Log'!$A$6:$A$1005,$B258,'Trade Log'!$Z$6:$Z$1005,"No"))</f>
        <v/>
      </c>
      <c r="I258" s="105" t="str">
        <f>IF(OR($B258="",N($D258)=0),"",IF(AND(ISNUMBER(Settings!$C$26),N($E258)&lt;=-N(Settings!$C$26)),"Hit daily max loss. ","")&amp;IF(COUNTIFS('Trade Log'!$A$6:$A$1005,$B258,'Trade Log'!$BM$6:$BM$1005,1)&gt;0,"Kept trading after daily max loss. ","")&amp;IF(AND(ISNUMBER(Settings!$C$25),N($D258)&gt;N(Settings!$C$25)),"Over max trades. ",""))</f>
        <v/>
      </c>
      <c r="J258" s="106" t="n"/>
      <c r="K258" s="106" t="n"/>
      <c r="L258" s="106" t="n"/>
      <c r="M258" s="29" t="n"/>
      <c r="N258" s="29" t="n"/>
      <c r="O258" s="106" t="n"/>
    </row>
    <row r="259">
      <c r="B259" s="107">
        <f>IF($B258="","",$B258+IF(AND(Settings!$C$10&lt;&gt;"Yes",WEEKDAY($B258,2)&gt;=5),8-WEEKDAY($B258,2),1))</f>
        <v>46639</v>
      </c>
      <c r="C259" s="103" t="str">
        <f>IF($B259="","",CHOOSE(WEEKDAY($B259,2),"Mon","Tue","Wed","Thu","Fri","Sat","Sun"))</f>
        <v>Thu</v>
      </c>
      <c r="D259" s="96">
        <f>IF($B259="","",COUNTIFS('Trade Log'!$A$6:$A$1005,$B259,'Trade Log'!$BH$6:$BH$1005,1))</f>
        <v>0</v>
      </c>
      <c r="E259" s="98" t="str">
        <f>IF(OR($B259="",N($D259)=0),"",SUMIFS('Trade Log'!$Q$6:$Q$1005,'Trade Log'!$A$6:$A$1005,$B259))</f>
        <v/>
      </c>
      <c r="F259" s="99" t="str">
        <f>IF(OR($B259="",N($D259)=0),"",IFERROR(COUNTIFS('Trade Log'!$A$6:$A$1005,$B259,'Trade Log'!$S$6:$S$1005,"Win")/(COUNTIFS('Trade Log'!$A$6:$A$1005,$B259,'Trade Log'!$S$6:$S$1005,"Win")+COUNTIFS('Trade Log'!$A$6:$A$1005,$B259,'Trade Log'!$S$6:$S$1005,"Loss")),"—"))</f>
        <v/>
      </c>
      <c r="G259" s="104" t="str">
        <f>IF(OR($B259="",N($D259)=0),"",SUMIFS('Trade Log'!$R$6:$R$1005,'Trade Log'!$A$6:$A$1005,$B259))</f>
        <v/>
      </c>
      <c r="H259" s="96" t="str">
        <f>IF(OR($B259="",N($D259)=0),"",COUNTIFS('Trade Log'!$A$6:$A$1005,$B259,'Trade Log'!$Z$6:$Z$1005,"No"))</f>
        <v/>
      </c>
      <c r="I259" s="105" t="str">
        <f>IF(OR($B259="",N($D259)=0),"",IF(AND(ISNUMBER(Settings!$C$26),N($E259)&lt;=-N(Settings!$C$26)),"Hit daily max loss. ","")&amp;IF(COUNTIFS('Trade Log'!$A$6:$A$1005,$B259,'Trade Log'!$BM$6:$BM$1005,1)&gt;0,"Kept trading after daily max loss. ","")&amp;IF(AND(ISNUMBER(Settings!$C$25),N($D259)&gt;N(Settings!$C$25)),"Over max trades. ",""))</f>
        <v/>
      </c>
      <c r="J259" s="106" t="n"/>
      <c r="K259" s="106" t="n"/>
      <c r="L259" s="106" t="n"/>
      <c r="M259" s="29" t="n"/>
      <c r="N259" s="29" t="n"/>
      <c r="O259" s="106" t="n"/>
    </row>
    <row r="260">
      <c r="B260" s="107">
        <f>IF($B259="","",$B259+IF(AND(Settings!$C$10&lt;&gt;"Yes",WEEKDAY($B259,2)&gt;=5),8-WEEKDAY($B259,2),1))</f>
        <v>46640</v>
      </c>
      <c r="C260" s="103" t="str">
        <f>IF($B260="","",CHOOSE(WEEKDAY($B260,2),"Mon","Tue","Wed","Thu","Fri","Sat","Sun"))</f>
        <v>Fri</v>
      </c>
      <c r="D260" s="96">
        <f>IF($B260="","",COUNTIFS('Trade Log'!$A$6:$A$1005,$B260,'Trade Log'!$BH$6:$BH$1005,1))</f>
        <v>0</v>
      </c>
      <c r="E260" s="98" t="str">
        <f>IF(OR($B260="",N($D260)=0),"",SUMIFS('Trade Log'!$Q$6:$Q$1005,'Trade Log'!$A$6:$A$1005,$B260))</f>
        <v/>
      </c>
      <c r="F260" s="99" t="str">
        <f>IF(OR($B260="",N($D260)=0),"",IFERROR(COUNTIFS('Trade Log'!$A$6:$A$1005,$B260,'Trade Log'!$S$6:$S$1005,"Win")/(COUNTIFS('Trade Log'!$A$6:$A$1005,$B260,'Trade Log'!$S$6:$S$1005,"Win")+COUNTIFS('Trade Log'!$A$6:$A$1005,$B260,'Trade Log'!$S$6:$S$1005,"Loss")),"—"))</f>
        <v/>
      </c>
      <c r="G260" s="104" t="str">
        <f>IF(OR($B260="",N($D260)=0),"",SUMIFS('Trade Log'!$R$6:$R$1005,'Trade Log'!$A$6:$A$1005,$B260))</f>
        <v/>
      </c>
      <c r="H260" s="96" t="str">
        <f>IF(OR($B260="",N($D260)=0),"",COUNTIFS('Trade Log'!$A$6:$A$1005,$B260,'Trade Log'!$Z$6:$Z$1005,"No"))</f>
        <v/>
      </c>
      <c r="I260" s="105" t="str">
        <f>IF(OR($B260="",N($D260)=0),"",IF(AND(ISNUMBER(Settings!$C$26),N($E260)&lt;=-N(Settings!$C$26)),"Hit daily max loss. ","")&amp;IF(COUNTIFS('Trade Log'!$A$6:$A$1005,$B260,'Trade Log'!$BM$6:$BM$1005,1)&gt;0,"Kept trading after daily max loss. ","")&amp;IF(AND(ISNUMBER(Settings!$C$25),N($D260)&gt;N(Settings!$C$25)),"Over max trades. ",""))</f>
        <v/>
      </c>
      <c r="J260" s="106" t="n"/>
      <c r="K260" s="106" t="n"/>
      <c r="L260" s="106" t="n"/>
      <c r="M260" s="29" t="n"/>
      <c r="N260" s="29" t="n"/>
      <c r="O260" s="106" t="n"/>
    </row>
    <row r="261">
      <c r="B261" s="107">
        <f>IF($B260="","",$B260+IF(AND(Settings!$C$10&lt;&gt;"Yes",WEEKDAY($B260,2)&gt;=5),8-WEEKDAY($B260,2),1))</f>
        <v>46643</v>
      </c>
      <c r="C261" s="103" t="str">
        <f>IF($B261="","",CHOOSE(WEEKDAY($B261,2),"Mon","Tue","Wed","Thu","Fri","Sat","Sun"))</f>
        <v>Mon</v>
      </c>
      <c r="D261" s="96">
        <f>IF($B261="","",COUNTIFS('Trade Log'!$A$6:$A$1005,$B261,'Trade Log'!$BH$6:$BH$1005,1))</f>
        <v>0</v>
      </c>
      <c r="E261" s="98" t="str">
        <f>IF(OR($B261="",N($D261)=0),"",SUMIFS('Trade Log'!$Q$6:$Q$1005,'Trade Log'!$A$6:$A$1005,$B261))</f>
        <v/>
      </c>
      <c r="F261" s="99" t="str">
        <f>IF(OR($B261="",N($D261)=0),"",IFERROR(COUNTIFS('Trade Log'!$A$6:$A$1005,$B261,'Trade Log'!$S$6:$S$1005,"Win")/(COUNTIFS('Trade Log'!$A$6:$A$1005,$B261,'Trade Log'!$S$6:$S$1005,"Win")+COUNTIFS('Trade Log'!$A$6:$A$1005,$B261,'Trade Log'!$S$6:$S$1005,"Loss")),"—"))</f>
        <v/>
      </c>
      <c r="G261" s="104" t="str">
        <f>IF(OR($B261="",N($D261)=0),"",SUMIFS('Trade Log'!$R$6:$R$1005,'Trade Log'!$A$6:$A$1005,$B261))</f>
        <v/>
      </c>
      <c r="H261" s="96" t="str">
        <f>IF(OR($B261="",N($D261)=0),"",COUNTIFS('Trade Log'!$A$6:$A$1005,$B261,'Trade Log'!$Z$6:$Z$1005,"No"))</f>
        <v/>
      </c>
      <c r="I261" s="105" t="str">
        <f>IF(OR($B261="",N($D261)=0),"",IF(AND(ISNUMBER(Settings!$C$26),N($E261)&lt;=-N(Settings!$C$26)),"Hit daily max loss. ","")&amp;IF(COUNTIFS('Trade Log'!$A$6:$A$1005,$B261,'Trade Log'!$BM$6:$BM$1005,1)&gt;0,"Kept trading after daily max loss. ","")&amp;IF(AND(ISNUMBER(Settings!$C$25),N($D261)&gt;N(Settings!$C$25)),"Over max trades. ",""))</f>
        <v/>
      </c>
      <c r="J261" s="106" t="n"/>
      <c r="K261" s="106" t="n"/>
      <c r="L261" s="106" t="n"/>
      <c r="M261" s="29" t="n"/>
      <c r="N261" s="29" t="n"/>
      <c r="O261" s="106" t="n"/>
    </row>
    <row r="262">
      <c r="B262" s="107">
        <f>IF($B261="","",$B261+IF(AND(Settings!$C$10&lt;&gt;"Yes",WEEKDAY($B261,2)&gt;=5),8-WEEKDAY($B261,2),1))</f>
        <v>46644</v>
      </c>
      <c r="C262" s="103" t="str">
        <f>IF($B262="","",CHOOSE(WEEKDAY($B262,2),"Mon","Tue","Wed","Thu","Fri","Sat","Sun"))</f>
        <v>Tue</v>
      </c>
      <c r="D262" s="96">
        <f>IF($B262="","",COUNTIFS('Trade Log'!$A$6:$A$1005,$B262,'Trade Log'!$BH$6:$BH$1005,1))</f>
        <v>0</v>
      </c>
      <c r="E262" s="98" t="str">
        <f>IF(OR($B262="",N($D262)=0),"",SUMIFS('Trade Log'!$Q$6:$Q$1005,'Trade Log'!$A$6:$A$1005,$B262))</f>
        <v/>
      </c>
      <c r="F262" s="99" t="str">
        <f>IF(OR($B262="",N($D262)=0),"",IFERROR(COUNTIFS('Trade Log'!$A$6:$A$1005,$B262,'Trade Log'!$S$6:$S$1005,"Win")/(COUNTIFS('Trade Log'!$A$6:$A$1005,$B262,'Trade Log'!$S$6:$S$1005,"Win")+COUNTIFS('Trade Log'!$A$6:$A$1005,$B262,'Trade Log'!$S$6:$S$1005,"Loss")),"—"))</f>
        <v/>
      </c>
      <c r="G262" s="104" t="str">
        <f>IF(OR($B262="",N($D262)=0),"",SUMIFS('Trade Log'!$R$6:$R$1005,'Trade Log'!$A$6:$A$1005,$B262))</f>
        <v/>
      </c>
      <c r="H262" s="96" t="str">
        <f>IF(OR($B262="",N($D262)=0),"",COUNTIFS('Trade Log'!$A$6:$A$1005,$B262,'Trade Log'!$Z$6:$Z$1005,"No"))</f>
        <v/>
      </c>
      <c r="I262" s="105" t="str">
        <f>IF(OR($B262="",N($D262)=0),"",IF(AND(ISNUMBER(Settings!$C$26),N($E262)&lt;=-N(Settings!$C$26)),"Hit daily max loss. ","")&amp;IF(COUNTIFS('Trade Log'!$A$6:$A$1005,$B262,'Trade Log'!$BM$6:$BM$1005,1)&gt;0,"Kept trading after daily max loss. ","")&amp;IF(AND(ISNUMBER(Settings!$C$25),N($D262)&gt;N(Settings!$C$25)),"Over max trades. ",""))</f>
        <v/>
      </c>
      <c r="J262" s="106" t="n"/>
      <c r="K262" s="106" t="n"/>
      <c r="L262" s="106" t="n"/>
      <c r="M262" s="29" t="n"/>
      <c r="N262" s="29" t="n"/>
      <c r="O262" s="106" t="n"/>
    </row>
    <row r="263">
      <c r="B263" s="107">
        <f>IF($B262="","",$B262+IF(AND(Settings!$C$10&lt;&gt;"Yes",WEEKDAY($B262,2)&gt;=5),8-WEEKDAY($B262,2),1))</f>
        <v>46645</v>
      </c>
      <c r="C263" s="103" t="str">
        <f>IF($B263="","",CHOOSE(WEEKDAY($B263,2),"Mon","Tue","Wed","Thu","Fri","Sat","Sun"))</f>
        <v>Wed</v>
      </c>
      <c r="D263" s="96">
        <f>IF($B263="","",COUNTIFS('Trade Log'!$A$6:$A$1005,$B263,'Trade Log'!$BH$6:$BH$1005,1))</f>
        <v>0</v>
      </c>
      <c r="E263" s="98" t="str">
        <f>IF(OR($B263="",N($D263)=0),"",SUMIFS('Trade Log'!$Q$6:$Q$1005,'Trade Log'!$A$6:$A$1005,$B263))</f>
        <v/>
      </c>
      <c r="F263" s="99" t="str">
        <f>IF(OR($B263="",N($D263)=0),"",IFERROR(COUNTIFS('Trade Log'!$A$6:$A$1005,$B263,'Trade Log'!$S$6:$S$1005,"Win")/(COUNTIFS('Trade Log'!$A$6:$A$1005,$B263,'Trade Log'!$S$6:$S$1005,"Win")+COUNTIFS('Trade Log'!$A$6:$A$1005,$B263,'Trade Log'!$S$6:$S$1005,"Loss")),"—"))</f>
        <v/>
      </c>
      <c r="G263" s="104" t="str">
        <f>IF(OR($B263="",N($D263)=0),"",SUMIFS('Trade Log'!$R$6:$R$1005,'Trade Log'!$A$6:$A$1005,$B263))</f>
        <v/>
      </c>
      <c r="H263" s="96" t="str">
        <f>IF(OR($B263="",N($D263)=0),"",COUNTIFS('Trade Log'!$A$6:$A$1005,$B263,'Trade Log'!$Z$6:$Z$1005,"No"))</f>
        <v/>
      </c>
      <c r="I263" s="105" t="str">
        <f>IF(OR($B263="",N($D263)=0),"",IF(AND(ISNUMBER(Settings!$C$26),N($E263)&lt;=-N(Settings!$C$26)),"Hit daily max loss. ","")&amp;IF(COUNTIFS('Trade Log'!$A$6:$A$1005,$B263,'Trade Log'!$BM$6:$BM$1005,1)&gt;0,"Kept trading after daily max loss. ","")&amp;IF(AND(ISNUMBER(Settings!$C$25),N($D263)&gt;N(Settings!$C$25)),"Over max trades. ",""))</f>
        <v/>
      </c>
      <c r="J263" s="106" t="n"/>
      <c r="K263" s="106" t="n"/>
      <c r="L263" s="106" t="n"/>
      <c r="M263" s="29" t="n"/>
      <c r="N263" s="29" t="n"/>
      <c r="O263" s="106" t="n"/>
    </row>
    <row r="264">
      <c r="B264" s="107">
        <f>IF($B263="","",$B263+IF(AND(Settings!$C$10&lt;&gt;"Yes",WEEKDAY($B263,2)&gt;=5),8-WEEKDAY($B263,2),1))</f>
        <v>46646</v>
      </c>
      <c r="C264" s="103" t="str">
        <f>IF($B264="","",CHOOSE(WEEKDAY($B264,2),"Mon","Tue","Wed","Thu","Fri","Sat","Sun"))</f>
        <v>Thu</v>
      </c>
      <c r="D264" s="96">
        <f>IF($B264="","",COUNTIFS('Trade Log'!$A$6:$A$1005,$B264,'Trade Log'!$BH$6:$BH$1005,1))</f>
        <v>0</v>
      </c>
      <c r="E264" s="98" t="str">
        <f>IF(OR($B264="",N($D264)=0),"",SUMIFS('Trade Log'!$Q$6:$Q$1005,'Trade Log'!$A$6:$A$1005,$B264))</f>
        <v/>
      </c>
      <c r="F264" s="99" t="str">
        <f>IF(OR($B264="",N($D264)=0),"",IFERROR(COUNTIFS('Trade Log'!$A$6:$A$1005,$B264,'Trade Log'!$S$6:$S$1005,"Win")/(COUNTIFS('Trade Log'!$A$6:$A$1005,$B264,'Trade Log'!$S$6:$S$1005,"Win")+COUNTIFS('Trade Log'!$A$6:$A$1005,$B264,'Trade Log'!$S$6:$S$1005,"Loss")),"—"))</f>
        <v/>
      </c>
      <c r="G264" s="104" t="str">
        <f>IF(OR($B264="",N($D264)=0),"",SUMIFS('Trade Log'!$R$6:$R$1005,'Trade Log'!$A$6:$A$1005,$B264))</f>
        <v/>
      </c>
      <c r="H264" s="96" t="str">
        <f>IF(OR($B264="",N($D264)=0),"",COUNTIFS('Trade Log'!$A$6:$A$1005,$B264,'Trade Log'!$Z$6:$Z$1005,"No"))</f>
        <v/>
      </c>
      <c r="I264" s="105" t="str">
        <f>IF(OR($B264="",N($D264)=0),"",IF(AND(ISNUMBER(Settings!$C$26),N($E264)&lt;=-N(Settings!$C$26)),"Hit daily max loss. ","")&amp;IF(COUNTIFS('Trade Log'!$A$6:$A$1005,$B264,'Trade Log'!$BM$6:$BM$1005,1)&gt;0,"Kept trading after daily max loss. ","")&amp;IF(AND(ISNUMBER(Settings!$C$25),N($D264)&gt;N(Settings!$C$25)),"Over max trades. ",""))</f>
        <v/>
      </c>
      <c r="J264" s="106" t="n"/>
      <c r="K264" s="106" t="n"/>
      <c r="L264" s="106" t="n"/>
      <c r="M264" s="29" t="n"/>
      <c r="N264" s="29" t="n"/>
      <c r="O264" s="106" t="n"/>
    </row>
    <row r="265">
      <c r="B265" s="107">
        <f>IF($B264="","",$B264+IF(AND(Settings!$C$10&lt;&gt;"Yes",WEEKDAY($B264,2)&gt;=5),8-WEEKDAY($B264,2),1))</f>
        <v>46647</v>
      </c>
      <c r="C265" s="103" t="str">
        <f>IF($B265="","",CHOOSE(WEEKDAY($B265,2),"Mon","Tue","Wed","Thu","Fri","Sat","Sun"))</f>
        <v>Fri</v>
      </c>
      <c r="D265" s="96">
        <f>IF($B265="","",COUNTIFS('Trade Log'!$A$6:$A$1005,$B265,'Trade Log'!$BH$6:$BH$1005,1))</f>
        <v>0</v>
      </c>
      <c r="E265" s="98" t="str">
        <f>IF(OR($B265="",N($D265)=0),"",SUMIFS('Trade Log'!$Q$6:$Q$1005,'Trade Log'!$A$6:$A$1005,$B265))</f>
        <v/>
      </c>
      <c r="F265" s="99" t="str">
        <f>IF(OR($B265="",N($D265)=0),"",IFERROR(COUNTIFS('Trade Log'!$A$6:$A$1005,$B265,'Trade Log'!$S$6:$S$1005,"Win")/(COUNTIFS('Trade Log'!$A$6:$A$1005,$B265,'Trade Log'!$S$6:$S$1005,"Win")+COUNTIFS('Trade Log'!$A$6:$A$1005,$B265,'Trade Log'!$S$6:$S$1005,"Loss")),"—"))</f>
        <v/>
      </c>
      <c r="G265" s="104" t="str">
        <f>IF(OR($B265="",N($D265)=0),"",SUMIFS('Trade Log'!$R$6:$R$1005,'Trade Log'!$A$6:$A$1005,$B265))</f>
        <v/>
      </c>
      <c r="H265" s="96" t="str">
        <f>IF(OR($B265="",N($D265)=0),"",COUNTIFS('Trade Log'!$A$6:$A$1005,$B265,'Trade Log'!$Z$6:$Z$1005,"No"))</f>
        <v/>
      </c>
      <c r="I265" s="105" t="str">
        <f>IF(OR($B265="",N($D265)=0),"",IF(AND(ISNUMBER(Settings!$C$26),N($E265)&lt;=-N(Settings!$C$26)),"Hit daily max loss. ","")&amp;IF(COUNTIFS('Trade Log'!$A$6:$A$1005,$B265,'Trade Log'!$BM$6:$BM$1005,1)&gt;0,"Kept trading after daily max loss. ","")&amp;IF(AND(ISNUMBER(Settings!$C$25),N($D265)&gt;N(Settings!$C$25)),"Over max trades. ",""))</f>
        <v/>
      </c>
      <c r="J265" s="106" t="n"/>
      <c r="K265" s="106" t="n"/>
      <c r="L265" s="106" t="n"/>
      <c r="M265" s="29" t="n"/>
      <c r="N265" s="29" t="n"/>
      <c r="O265" s="106" t="n"/>
    </row>
    <row r="266">
      <c r="B266" s="107">
        <f>IF($B265="","",$B265+IF(AND(Settings!$C$10&lt;&gt;"Yes",WEEKDAY($B265,2)&gt;=5),8-WEEKDAY($B265,2),1))</f>
        <v>46650</v>
      </c>
      <c r="C266" s="103" t="str">
        <f>IF($B266="","",CHOOSE(WEEKDAY($B266,2),"Mon","Tue","Wed","Thu","Fri","Sat","Sun"))</f>
        <v>Mon</v>
      </c>
      <c r="D266" s="96">
        <f>IF($B266="","",COUNTIFS('Trade Log'!$A$6:$A$1005,$B266,'Trade Log'!$BH$6:$BH$1005,1))</f>
        <v>0</v>
      </c>
      <c r="E266" s="98" t="str">
        <f>IF(OR($B266="",N($D266)=0),"",SUMIFS('Trade Log'!$Q$6:$Q$1005,'Trade Log'!$A$6:$A$1005,$B266))</f>
        <v/>
      </c>
      <c r="F266" s="99" t="str">
        <f>IF(OR($B266="",N($D266)=0),"",IFERROR(COUNTIFS('Trade Log'!$A$6:$A$1005,$B266,'Trade Log'!$S$6:$S$1005,"Win")/(COUNTIFS('Trade Log'!$A$6:$A$1005,$B266,'Trade Log'!$S$6:$S$1005,"Win")+COUNTIFS('Trade Log'!$A$6:$A$1005,$B266,'Trade Log'!$S$6:$S$1005,"Loss")),"—"))</f>
        <v/>
      </c>
      <c r="G266" s="104" t="str">
        <f>IF(OR($B266="",N($D266)=0),"",SUMIFS('Trade Log'!$R$6:$R$1005,'Trade Log'!$A$6:$A$1005,$B266))</f>
        <v/>
      </c>
      <c r="H266" s="96" t="str">
        <f>IF(OR($B266="",N($D266)=0),"",COUNTIFS('Trade Log'!$A$6:$A$1005,$B266,'Trade Log'!$Z$6:$Z$1005,"No"))</f>
        <v/>
      </c>
      <c r="I266" s="105" t="str">
        <f>IF(OR($B266="",N($D266)=0),"",IF(AND(ISNUMBER(Settings!$C$26),N($E266)&lt;=-N(Settings!$C$26)),"Hit daily max loss. ","")&amp;IF(COUNTIFS('Trade Log'!$A$6:$A$1005,$B266,'Trade Log'!$BM$6:$BM$1005,1)&gt;0,"Kept trading after daily max loss. ","")&amp;IF(AND(ISNUMBER(Settings!$C$25),N($D266)&gt;N(Settings!$C$25)),"Over max trades. ",""))</f>
        <v/>
      </c>
      <c r="J266" s="106" t="n"/>
      <c r="K266" s="106" t="n"/>
      <c r="L266" s="106" t="n"/>
      <c r="M266" s="29" t="n"/>
      <c r="N266" s="29" t="n"/>
      <c r="O266" s="106" t="n"/>
    </row>
    <row r="267">
      <c r="B267" s="107">
        <f>IF($B266="","",$B266+IF(AND(Settings!$C$10&lt;&gt;"Yes",WEEKDAY($B266,2)&gt;=5),8-WEEKDAY($B266,2),1))</f>
        <v>46651</v>
      </c>
      <c r="C267" s="103" t="str">
        <f>IF($B267="","",CHOOSE(WEEKDAY($B267,2),"Mon","Tue","Wed","Thu","Fri","Sat","Sun"))</f>
        <v>Tue</v>
      </c>
      <c r="D267" s="96">
        <f>IF($B267="","",COUNTIFS('Trade Log'!$A$6:$A$1005,$B267,'Trade Log'!$BH$6:$BH$1005,1))</f>
        <v>0</v>
      </c>
      <c r="E267" s="98" t="str">
        <f>IF(OR($B267="",N($D267)=0),"",SUMIFS('Trade Log'!$Q$6:$Q$1005,'Trade Log'!$A$6:$A$1005,$B267))</f>
        <v/>
      </c>
      <c r="F267" s="99" t="str">
        <f>IF(OR($B267="",N($D267)=0),"",IFERROR(COUNTIFS('Trade Log'!$A$6:$A$1005,$B267,'Trade Log'!$S$6:$S$1005,"Win")/(COUNTIFS('Trade Log'!$A$6:$A$1005,$B267,'Trade Log'!$S$6:$S$1005,"Win")+COUNTIFS('Trade Log'!$A$6:$A$1005,$B267,'Trade Log'!$S$6:$S$1005,"Loss")),"—"))</f>
        <v/>
      </c>
      <c r="G267" s="104" t="str">
        <f>IF(OR($B267="",N($D267)=0),"",SUMIFS('Trade Log'!$R$6:$R$1005,'Trade Log'!$A$6:$A$1005,$B267))</f>
        <v/>
      </c>
      <c r="H267" s="96" t="str">
        <f>IF(OR($B267="",N($D267)=0),"",COUNTIFS('Trade Log'!$A$6:$A$1005,$B267,'Trade Log'!$Z$6:$Z$1005,"No"))</f>
        <v/>
      </c>
      <c r="I267" s="105" t="str">
        <f>IF(OR($B267="",N($D267)=0),"",IF(AND(ISNUMBER(Settings!$C$26),N($E267)&lt;=-N(Settings!$C$26)),"Hit daily max loss. ","")&amp;IF(COUNTIFS('Trade Log'!$A$6:$A$1005,$B267,'Trade Log'!$BM$6:$BM$1005,1)&gt;0,"Kept trading after daily max loss. ","")&amp;IF(AND(ISNUMBER(Settings!$C$25),N($D267)&gt;N(Settings!$C$25)),"Over max trades. ",""))</f>
        <v/>
      </c>
      <c r="J267" s="106" t="n"/>
      <c r="K267" s="106" t="n"/>
      <c r="L267" s="106" t="n"/>
      <c r="M267" s="29" t="n"/>
      <c r="N267" s="29" t="n"/>
      <c r="O267" s="106" t="n"/>
    </row>
    <row r="268">
      <c r="B268" s="107">
        <f>IF($B267="","",$B267+IF(AND(Settings!$C$10&lt;&gt;"Yes",WEEKDAY($B267,2)&gt;=5),8-WEEKDAY($B267,2),1))</f>
        <v>46652</v>
      </c>
      <c r="C268" s="103" t="str">
        <f>IF($B268="","",CHOOSE(WEEKDAY($B268,2),"Mon","Tue","Wed","Thu","Fri","Sat","Sun"))</f>
        <v>Wed</v>
      </c>
      <c r="D268" s="96">
        <f>IF($B268="","",COUNTIFS('Trade Log'!$A$6:$A$1005,$B268,'Trade Log'!$BH$6:$BH$1005,1))</f>
        <v>0</v>
      </c>
      <c r="E268" s="98" t="str">
        <f>IF(OR($B268="",N($D268)=0),"",SUMIFS('Trade Log'!$Q$6:$Q$1005,'Trade Log'!$A$6:$A$1005,$B268))</f>
        <v/>
      </c>
      <c r="F268" s="99" t="str">
        <f>IF(OR($B268="",N($D268)=0),"",IFERROR(COUNTIFS('Trade Log'!$A$6:$A$1005,$B268,'Trade Log'!$S$6:$S$1005,"Win")/(COUNTIFS('Trade Log'!$A$6:$A$1005,$B268,'Trade Log'!$S$6:$S$1005,"Win")+COUNTIFS('Trade Log'!$A$6:$A$1005,$B268,'Trade Log'!$S$6:$S$1005,"Loss")),"—"))</f>
        <v/>
      </c>
      <c r="G268" s="104" t="str">
        <f>IF(OR($B268="",N($D268)=0),"",SUMIFS('Trade Log'!$R$6:$R$1005,'Trade Log'!$A$6:$A$1005,$B268))</f>
        <v/>
      </c>
      <c r="H268" s="96" t="str">
        <f>IF(OR($B268="",N($D268)=0),"",COUNTIFS('Trade Log'!$A$6:$A$1005,$B268,'Trade Log'!$Z$6:$Z$1005,"No"))</f>
        <v/>
      </c>
      <c r="I268" s="105" t="str">
        <f>IF(OR($B268="",N($D268)=0),"",IF(AND(ISNUMBER(Settings!$C$26),N($E268)&lt;=-N(Settings!$C$26)),"Hit daily max loss. ","")&amp;IF(COUNTIFS('Trade Log'!$A$6:$A$1005,$B268,'Trade Log'!$BM$6:$BM$1005,1)&gt;0,"Kept trading after daily max loss. ","")&amp;IF(AND(ISNUMBER(Settings!$C$25),N($D268)&gt;N(Settings!$C$25)),"Over max trades. ",""))</f>
        <v/>
      </c>
      <c r="J268" s="106" t="n"/>
      <c r="K268" s="106" t="n"/>
      <c r="L268" s="106" t="n"/>
      <c r="M268" s="29" t="n"/>
      <c r="N268" s="29" t="n"/>
      <c r="O268" s="106" t="n"/>
    </row>
    <row r="269">
      <c r="B269" s="107">
        <f>IF($B268="","",$B268+IF(AND(Settings!$C$10&lt;&gt;"Yes",WEEKDAY($B268,2)&gt;=5),8-WEEKDAY($B268,2),1))</f>
        <v>46653</v>
      </c>
      <c r="C269" s="103" t="str">
        <f>IF($B269="","",CHOOSE(WEEKDAY($B269,2),"Mon","Tue","Wed","Thu","Fri","Sat","Sun"))</f>
        <v>Thu</v>
      </c>
      <c r="D269" s="96">
        <f>IF($B269="","",COUNTIFS('Trade Log'!$A$6:$A$1005,$B269,'Trade Log'!$BH$6:$BH$1005,1))</f>
        <v>0</v>
      </c>
      <c r="E269" s="98" t="str">
        <f>IF(OR($B269="",N($D269)=0),"",SUMIFS('Trade Log'!$Q$6:$Q$1005,'Trade Log'!$A$6:$A$1005,$B269))</f>
        <v/>
      </c>
      <c r="F269" s="99" t="str">
        <f>IF(OR($B269="",N($D269)=0),"",IFERROR(COUNTIFS('Trade Log'!$A$6:$A$1005,$B269,'Trade Log'!$S$6:$S$1005,"Win")/(COUNTIFS('Trade Log'!$A$6:$A$1005,$B269,'Trade Log'!$S$6:$S$1005,"Win")+COUNTIFS('Trade Log'!$A$6:$A$1005,$B269,'Trade Log'!$S$6:$S$1005,"Loss")),"—"))</f>
        <v/>
      </c>
      <c r="G269" s="104" t="str">
        <f>IF(OR($B269="",N($D269)=0),"",SUMIFS('Trade Log'!$R$6:$R$1005,'Trade Log'!$A$6:$A$1005,$B269))</f>
        <v/>
      </c>
      <c r="H269" s="96" t="str">
        <f>IF(OR($B269="",N($D269)=0),"",COUNTIFS('Trade Log'!$A$6:$A$1005,$B269,'Trade Log'!$Z$6:$Z$1005,"No"))</f>
        <v/>
      </c>
      <c r="I269" s="105" t="str">
        <f>IF(OR($B269="",N($D269)=0),"",IF(AND(ISNUMBER(Settings!$C$26),N($E269)&lt;=-N(Settings!$C$26)),"Hit daily max loss. ","")&amp;IF(COUNTIFS('Trade Log'!$A$6:$A$1005,$B269,'Trade Log'!$BM$6:$BM$1005,1)&gt;0,"Kept trading after daily max loss. ","")&amp;IF(AND(ISNUMBER(Settings!$C$25),N($D269)&gt;N(Settings!$C$25)),"Over max trades. ",""))</f>
        <v/>
      </c>
      <c r="J269" s="106" t="n"/>
      <c r="K269" s="106" t="n"/>
      <c r="L269" s="106" t="n"/>
      <c r="M269" s="29" t="n"/>
      <c r="N269" s="29" t="n"/>
      <c r="O269" s="106" t="n"/>
    </row>
    <row r="270">
      <c r="B270" s="107">
        <f>IF($B269="","",$B269+IF(AND(Settings!$C$10&lt;&gt;"Yes",WEEKDAY($B269,2)&gt;=5),8-WEEKDAY($B269,2),1))</f>
        <v>46654</v>
      </c>
      <c r="C270" s="103" t="str">
        <f>IF($B270="","",CHOOSE(WEEKDAY($B270,2),"Mon","Tue","Wed","Thu","Fri","Sat","Sun"))</f>
        <v>Fri</v>
      </c>
      <c r="D270" s="96">
        <f>IF($B270="","",COUNTIFS('Trade Log'!$A$6:$A$1005,$B270,'Trade Log'!$BH$6:$BH$1005,1))</f>
        <v>0</v>
      </c>
      <c r="E270" s="98" t="str">
        <f>IF(OR($B270="",N($D270)=0),"",SUMIFS('Trade Log'!$Q$6:$Q$1005,'Trade Log'!$A$6:$A$1005,$B270))</f>
        <v/>
      </c>
      <c r="F270" s="99" t="str">
        <f>IF(OR($B270="",N($D270)=0),"",IFERROR(COUNTIFS('Trade Log'!$A$6:$A$1005,$B270,'Trade Log'!$S$6:$S$1005,"Win")/(COUNTIFS('Trade Log'!$A$6:$A$1005,$B270,'Trade Log'!$S$6:$S$1005,"Win")+COUNTIFS('Trade Log'!$A$6:$A$1005,$B270,'Trade Log'!$S$6:$S$1005,"Loss")),"—"))</f>
        <v/>
      </c>
      <c r="G270" s="104" t="str">
        <f>IF(OR($B270="",N($D270)=0),"",SUMIFS('Trade Log'!$R$6:$R$1005,'Trade Log'!$A$6:$A$1005,$B270))</f>
        <v/>
      </c>
      <c r="H270" s="96" t="str">
        <f>IF(OR($B270="",N($D270)=0),"",COUNTIFS('Trade Log'!$A$6:$A$1005,$B270,'Trade Log'!$Z$6:$Z$1005,"No"))</f>
        <v/>
      </c>
      <c r="I270" s="105" t="str">
        <f>IF(OR($B270="",N($D270)=0),"",IF(AND(ISNUMBER(Settings!$C$26),N($E270)&lt;=-N(Settings!$C$26)),"Hit daily max loss. ","")&amp;IF(COUNTIFS('Trade Log'!$A$6:$A$1005,$B270,'Trade Log'!$BM$6:$BM$1005,1)&gt;0,"Kept trading after daily max loss. ","")&amp;IF(AND(ISNUMBER(Settings!$C$25),N($D270)&gt;N(Settings!$C$25)),"Over max trades. ",""))</f>
        <v/>
      </c>
      <c r="J270" s="106" t="n"/>
      <c r="K270" s="106" t="n"/>
      <c r="L270" s="106" t="n"/>
      <c r="M270" s="29" t="n"/>
      <c r="N270" s="29" t="n"/>
      <c r="O270" s="106" t="n"/>
    </row>
    <row r="271">
      <c r="B271" s="107">
        <f>IF($B270="","",$B270+IF(AND(Settings!$C$10&lt;&gt;"Yes",WEEKDAY($B270,2)&gt;=5),8-WEEKDAY($B270,2),1))</f>
        <v>46657</v>
      </c>
      <c r="C271" s="103" t="str">
        <f>IF($B271="","",CHOOSE(WEEKDAY($B271,2),"Mon","Tue","Wed","Thu","Fri","Sat","Sun"))</f>
        <v>Mon</v>
      </c>
      <c r="D271" s="96">
        <f>IF($B271="","",COUNTIFS('Trade Log'!$A$6:$A$1005,$B271,'Trade Log'!$BH$6:$BH$1005,1))</f>
        <v>0</v>
      </c>
      <c r="E271" s="98" t="str">
        <f>IF(OR($B271="",N($D271)=0),"",SUMIFS('Trade Log'!$Q$6:$Q$1005,'Trade Log'!$A$6:$A$1005,$B271))</f>
        <v/>
      </c>
      <c r="F271" s="99" t="str">
        <f>IF(OR($B271="",N($D271)=0),"",IFERROR(COUNTIFS('Trade Log'!$A$6:$A$1005,$B271,'Trade Log'!$S$6:$S$1005,"Win")/(COUNTIFS('Trade Log'!$A$6:$A$1005,$B271,'Trade Log'!$S$6:$S$1005,"Win")+COUNTIFS('Trade Log'!$A$6:$A$1005,$B271,'Trade Log'!$S$6:$S$1005,"Loss")),"—"))</f>
        <v/>
      </c>
      <c r="G271" s="104" t="str">
        <f>IF(OR($B271="",N($D271)=0),"",SUMIFS('Trade Log'!$R$6:$R$1005,'Trade Log'!$A$6:$A$1005,$B271))</f>
        <v/>
      </c>
      <c r="H271" s="96" t="str">
        <f>IF(OR($B271="",N($D271)=0),"",COUNTIFS('Trade Log'!$A$6:$A$1005,$B271,'Trade Log'!$Z$6:$Z$1005,"No"))</f>
        <v/>
      </c>
      <c r="I271" s="105" t="str">
        <f>IF(OR($B271="",N($D271)=0),"",IF(AND(ISNUMBER(Settings!$C$26),N($E271)&lt;=-N(Settings!$C$26)),"Hit daily max loss. ","")&amp;IF(COUNTIFS('Trade Log'!$A$6:$A$1005,$B271,'Trade Log'!$BM$6:$BM$1005,1)&gt;0,"Kept trading after daily max loss. ","")&amp;IF(AND(ISNUMBER(Settings!$C$25),N($D271)&gt;N(Settings!$C$25)),"Over max trades. ",""))</f>
        <v/>
      </c>
      <c r="J271" s="106" t="n"/>
      <c r="K271" s="106" t="n"/>
      <c r="L271" s="106" t="n"/>
      <c r="M271" s="29" t="n"/>
      <c r="N271" s="29" t="n"/>
      <c r="O271" s="106" t="n"/>
    </row>
    <row r="272">
      <c r="B272" s="107">
        <f>IF($B271="","",$B271+IF(AND(Settings!$C$10&lt;&gt;"Yes",WEEKDAY($B271,2)&gt;=5),8-WEEKDAY($B271,2),1))</f>
        <v>46658</v>
      </c>
      <c r="C272" s="103" t="str">
        <f>IF($B272="","",CHOOSE(WEEKDAY($B272,2),"Mon","Tue","Wed","Thu","Fri","Sat","Sun"))</f>
        <v>Tue</v>
      </c>
      <c r="D272" s="96">
        <f>IF($B272="","",COUNTIFS('Trade Log'!$A$6:$A$1005,$B272,'Trade Log'!$BH$6:$BH$1005,1))</f>
        <v>0</v>
      </c>
      <c r="E272" s="98" t="str">
        <f>IF(OR($B272="",N($D272)=0),"",SUMIFS('Trade Log'!$Q$6:$Q$1005,'Trade Log'!$A$6:$A$1005,$B272))</f>
        <v/>
      </c>
      <c r="F272" s="99" t="str">
        <f>IF(OR($B272="",N($D272)=0),"",IFERROR(COUNTIFS('Trade Log'!$A$6:$A$1005,$B272,'Trade Log'!$S$6:$S$1005,"Win")/(COUNTIFS('Trade Log'!$A$6:$A$1005,$B272,'Trade Log'!$S$6:$S$1005,"Win")+COUNTIFS('Trade Log'!$A$6:$A$1005,$B272,'Trade Log'!$S$6:$S$1005,"Loss")),"—"))</f>
        <v/>
      </c>
      <c r="G272" s="104" t="str">
        <f>IF(OR($B272="",N($D272)=0),"",SUMIFS('Trade Log'!$R$6:$R$1005,'Trade Log'!$A$6:$A$1005,$B272))</f>
        <v/>
      </c>
      <c r="H272" s="96" t="str">
        <f>IF(OR($B272="",N($D272)=0),"",COUNTIFS('Trade Log'!$A$6:$A$1005,$B272,'Trade Log'!$Z$6:$Z$1005,"No"))</f>
        <v/>
      </c>
      <c r="I272" s="105" t="str">
        <f>IF(OR($B272="",N($D272)=0),"",IF(AND(ISNUMBER(Settings!$C$26),N($E272)&lt;=-N(Settings!$C$26)),"Hit daily max loss. ","")&amp;IF(COUNTIFS('Trade Log'!$A$6:$A$1005,$B272,'Trade Log'!$BM$6:$BM$1005,1)&gt;0,"Kept trading after daily max loss. ","")&amp;IF(AND(ISNUMBER(Settings!$C$25),N($D272)&gt;N(Settings!$C$25)),"Over max trades. ",""))</f>
        <v/>
      </c>
      <c r="J272" s="106" t="n"/>
      <c r="K272" s="106" t="n"/>
      <c r="L272" s="106" t="n"/>
      <c r="M272" s="29" t="n"/>
      <c r="N272" s="29" t="n"/>
      <c r="O272" s="106" t="n"/>
    </row>
    <row r="273">
      <c r="B273" s="107">
        <f>IF($B272="","",$B272+IF(AND(Settings!$C$10&lt;&gt;"Yes",WEEKDAY($B272,2)&gt;=5),8-WEEKDAY($B272,2),1))</f>
        <v>46659</v>
      </c>
      <c r="C273" s="103" t="str">
        <f>IF($B273="","",CHOOSE(WEEKDAY($B273,2),"Mon","Tue","Wed","Thu","Fri","Sat","Sun"))</f>
        <v>Wed</v>
      </c>
      <c r="D273" s="96">
        <f>IF($B273="","",COUNTIFS('Trade Log'!$A$6:$A$1005,$B273,'Trade Log'!$BH$6:$BH$1005,1))</f>
        <v>0</v>
      </c>
      <c r="E273" s="98" t="str">
        <f>IF(OR($B273="",N($D273)=0),"",SUMIFS('Trade Log'!$Q$6:$Q$1005,'Trade Log'!$A$6:$A$1005,$B273))</f>
        <v/>
      </c>
      <c r="F273" s="99" t="str">
        <f>IF(OR($B273="",N($D273)=0),"",IFERROR(COUNTIFS('Trade Log'!$A$6:$A$1005,$B273,'Trade Log'!$S$6:$S$1005,"Win")/(COUNTIFS('Trade Log'!$A$6:$A$1005,$B273,'Trade Log'!$S$6:$S$1005,"Win")+COUNTIFS('Trade Log'!$A$6:$A$1005,$B273,'Trade Log'!$S$6:$S$1005,"Loss")),"—"))</f>
        <v/>
      </c>
      <c r="G273" s="104" t="str">
        <f>IF(OR($B273="",N($D273)=0),"",SUMIFS('Trade Log'!$R$6:$R$1005,'Trade Log'!$A$6:$A$1005,$B273))</f>
        <v/>
      </c>
      <c r="H273" s="96" t="str">
        <f>IF(OR($B273="",N($D273)=0),"",COUNTIFS('Trade Log'!$A$6:$A$1005,$B273,'Trade Log'!$Z$6:$Z$1005,"No"))</f>
        <v/>
      </c>
      <c r="I273" s="105" t="str">
        <f>IF(OR($B273="",N($D273)=0),"",IF(AND(ISNUMBER(Settings!$C$26),N($E273)&lt;=-N(Settings!$C$26)),"Hit daily max loss. ","")&amp;IF(COUNTIFS('Trade Log'!$A$6:$A$1005,$B273,'Trade Log'!$BM$6:$BM$1005,1)&gt;0,"Kept trading after daily max loss. ","")&amp;IF(AND(ISNUMBER(Settings!$C$25),N($D273)&gt;N(Settings!$C$25)),"Over max trades. ",""))</f>
        <v/>
      </c>
      <c r="J273" s="106" t="n"/>
      <c r="K273" s="106" t="n"/>
      <c r="L273" s="106" t="n"/>
      <c r="M273" s="29" t="n"/>
      <c r="N273" s="29" t="n"/>
      <c r="O273" s="106" t="n"/>
    </row>
    <row r="274">
      <c r="B274" s="107">
        <f>IF($B273="","",$B273+IF(AND(Settings!$C$10&lt;&gt;"Yes",WEEKDAY($B273,2)&gt;=5),8-WEEKDAY($B273,2),1))</f>
        <v>46660</v>
      </c>
      <c r="C274" s="103" t="str">
        <f>IF($B274="","",CHOOSE(WEEKDAY($B274,2),"Mon","Tue","Wed","Thu","Fri","Sat","Sun"))</f>
        <v>Thu</v>
      </c>
      <c r="D274" s="96">
        <f>IF($B274="","",COUNTIFS('Trade Log'!$A$6:$A$1005,$B274,'Trade Log'!$BH$6:$BH$1005,1))</f>
        <v>0</v>
      </c>
      <c r="E274" s="98" t="str">
        <f>IF(OR($B274="",N($D274)=0),"",SUMIFS('Trade Log'!$Q$6:$Q$1005,'Trade Log'!$A$6:$A$1005,$B274))</f>
        <v/>
      </c>
      <c r="F274" s="99" t="str">
        <f>IF(OR($B274="",N($D274)=0),"",IFERROR(COUNTIFS('Trade Log'!$A$6:$A$1005,$B274,'Trade Log'!$S$6:$S$1005,"Win")/(COUNTIFS('Trade Log'!$A$6:$A$1005,$B274,'Trade Log'!$S$6:$S$1005,"Win")+COUNTIFS('Trade Log'!$A$6:$A$1005,$B274,'Trade Log'!$S$6:$S$1005,"Loss")),"—"))</f>
        <v/>
      </c>
      <c r="G274" s="104" t="str">
        <f>IF(OR($B274="",N($D274)=0),"",SUMIFS('Trade Log'!$R$6:$R$1005,'Trade Log'!$A$6:$A$1005,$B274))</f>
        <v/>
      </c>
      <c r="H274" s="96" t="str">
        <f>IF(OR($B274="",N($D274)=0),"",COUNTIFS('Trade Log'!$A$6:$A$1005,$B274,'Trade Log'!$Z$6:$Z$1005,"No"))</f>
        <v/>
      </c>
      <c r="I274" s="105" t="str">
        <f>IF(OR($B274="",N($D274)=0),"",IF(AND(ISNUMBER(Settings!$C$26),N($E274)&lt;=-N(Settings!$C$26)),"Hit daily max loss. ","")&amp;IF(COUNTIFS('Trade Log'!$A$6:$A$1005,$B274,'Trade Log'!$BM$6:$BM$1005,1)&gt;0,"Kept trading after daily max loss. ","")&amp;IF(AND(ISNUMBER(Settings!$C$25),N($D274)&gt;N(Settings!$C$25)),"Over max trades. ",""))</f>
        <v/>
      </c>
      <c r="J274" s="106" t="n"/>
      <c r="K274" s="106" t="n"/>
      <c r="L274" s="106" t="n"/>
      <c r="M274" s="29" t="n"/>
      <c r="N274" s="29" t="n"/>
      <c r="O274" s="106" t="n"/>
    </row>
    <row r="275">
      <c r="B275" s="107">
        <f>IF($B274="","",$B274+IF(AND(Settings!$C$10&lt;&gt;"Yes",WEEKDAY($B274,2)&gt;=5),8-WEEKDAY($B274,2),1))</f>
        <v>46661</v>
      </c>
      <c r="C275" s="103" t="str">
        <f>IF($B275="","",CHOOSE(WEEKDAY($B275,2),"Mon","Tue","Wed","Thu","Fri","Sat","Sun"))</f>
        <v>Fri</v>
      </c>
      <c r="D275" s="96">
        <f>IF($B275="","",COUNTIFS('Trade Log'!$A$6:$A$1005,$B275,'Trade Log'!$BH$6:$BH$1005,1))</f>
        <v>0</v>
      </c>
      <c r="E275" s="98" t="str">
        <f>IF(OR($B275="",N($D275)=0),"",SUMIFS('Trade Log'!$Q$6:$Q$1005,'Trade Log'!$A$6:$A$1005,$B275))</f>
        <v/>
      </c>
      <c r="F275" s="99" t="str">
        <f>IF(OR($B275="",N($D275)=0),"",IFERROR(COUNTIFS('Trade Log'!$A$6:$A$1005,$B275,'Trade Log'!$S$6:$S$1005,"Win")/(COUNTIFS('Trade Log'!$A$6:$A$1005,$B275,'Trade Log'!$S$6:$S$1005,"Win")+COUNTIFS('Trade Log'!$A$6:$A$1005,$B275,'Trade Log'!$S$6:$S$1005,"Loss")),"—"))</f>
        <v/>
      </c>
      <c r="G275" s="104" t="str">
        <f>IF(OR($B275="",N($D275)=0),"",SUMIFS('Trade Log'!$R$6:$R$1005,'Trade Log'!$A$6:$A$1005,$B275))</f>
        <v/>
      </c>
      <c r="H275" s="96" t="str">
        <f>IF(OR($B275="",N($D275)=0),"",COUNTIFS('Trade Log'!$A$6:$A$1005,$B275,'Trade Log'!$Z$6:$Z$1005,"No"))</f>
        <v/>
      </c>
      <c r="I275" s="105" t="str">
        <f>IF(OR($B275="",N($D275)=0),"",IF(AND(ISNUMBER(Settings!$C$26),N($E275)&lt;=-N(Settings!$C$26)),"Hit daily max loss. ","")&amp;IF(COUNTIFS('Trade Log'!$A$6:$A$1005,$B275,'Trade Log'!$BM$6:$BM$1005,1)&gt;0,"Kept trading after daily max loss. ","")&amp;IF(AND(ISNUMBER(Settings!$C$25),N($D275)&gt;N(Settings!$C$25)),"Over max trades. ",""))</f>
        <v/>
      </c>
      <c r="J275" s="106" t="n"/>
      <c r="K275" s="106" t="n"/>
      <c r="L275" s="106" t="n"/>
      <c r="M275" s="29" t="n"/>
      <c r="N275" s="29" t="n"/>
      <c r="O275" s="106" t="n"/>
    </row>
    <row r="276">
      <c r="B276" s="107">
        <f>IF($B275="","",$B275+IF(AND(Settings!$C$10&lt;&gt;"Yes",WEEKDAY($B275,2)&gt;=5),8-WEEKDAY($B275,2),1))</f>
        <v>46664</v>
      </c>
      <c r="C276" s="103" t="str">
        <f>IF($B276="","",CHOOSE(WEEKDAY($B276,2),"Mon","Tue","Wed","Thu","Fri","Sat","Sun"))</f>
        <v>Mon</v>
      </c>
      <c r="D276" s="96">
        <f>IF($B276="","",COUNTIFS('Trade Log'!$A$6:$A$1005,$B276,'Trade Log'!$BH$6:$BH$1005,1))</f>
        <v>0</v>
      </c>
      <c r="E276" s="98" t="str">
        <f>IF(OR($B276="",N($D276)=0),"",SUMIFS('Trade Log'!$Q$6:$Q$1005,'Trade Log'!$A$6:$A$1005,$B276))</f>
        <v/>
      </c>
      <c r="F276" s="99" t="str">
        <f>IF(OR($B276="",N($D276)=0),"",IFERROR(COUNTIFS('Trade Log'!$A$6:$A$1005,$B276,'Trade Log'!$S$6:$S$1005,"Win")/(COUNTIFS('Trade Log'!$A$6:$A$1005,$B276,'Trade Log'!$S$6:$S$1005,"Win")+COUNTIFS('Trade Log'!$A$6:$A$1005,$B276,'Trade Log'!$S$6:$S$1005,"Loss")),"—"))</f>
        <v/>
      </c>
      <c r="G276" s="104" t="str">
        <f>IF(OR($B276="",N($D276)=0),"",SUMIFS('Trade Log'!$R$6:$R$1005,'Trade Log'!$A$6:$A$1005,$B276))</f>
        <v/>
      </c>
      <c r="H276" s="96" t="str">
        <f>IF(OR($B276="",N($D276)=0),"",COUNTIFS('Trade Log'!$A$6:$A$1005,$B276,'Trade Log'!$Z$6:$Z$1005,"No"))</f>
        <v/>
      </c>
      <c r="I276" s="105" t="str">
        <f>IF(OR($B276="",N($D276)=0),"",IF(AND(ISNUMBER(Settings!$C$26),N($E276)&lt;=-N(Settings!$C$26)),"Hit daily max loss. ","")&amp;IF(COUNTIFS('Trade Log'!$A$6:$A$1005,$B276,'Trade Log'!$BM$6:$BM$1005,1)&gt;0,"Kept trading after daily max loss. ","")&amp;IF(AND(ISNUMBER(Settings!$C$25),N($D276)&gt;N(Settings!$C$25)),"Over max trades. ",""))</f>
        <v/>
      </c>
      <c r="J276" s="106" t="n"/>
      <c r="K276" s="106" t="n"/>
      <c r="L276" s="106" t="n"/>
      <c r="M276" s="29" t="n"/>
      <c r="N276" s="29" t="n"/>
      <c r="O276" s="106" t="n"/>
    </row>
    <row r="277">
      <c r="B277" s="107">
        <f>IF($B276="","",$B276+IF(AND(Settings!$C$10&lt;&gt;"Yes",WEEKDAY($B276,2)&gt;=5),8-WEEKDAY($B276,2),1))</f>
        <v>46665</v>
      </c>
      <c r="C277" s="103" t="str">
        <f>IF($B277="","",CHOOSE(WEEKDAY($B277,2),"Mon","Tue","Wed","Thu","Fri","Sat","Sun"))</f>
        <v>Tue</v>
      </c>
      <c r="D277" s="96">
        <f>IF($B277="","",COUNTIFS('Trade Log'!$A$6:$A$1005,$B277,'Trade Log'!$BH$6:$BH$1005,1))</f>
        <v>0</v>
      </c>
      <c r="E277" s="98" t="str">
        <f>IF(OR($B277="",N($D277)=0),"",SUMIFS('Trade Log'!$Q$6:$Q$1005,'Trade Log'!$A$6:$A$1005,$B277))</f>
        <v/>
      </c>
      <c r="F277" s="99" t="str">
        <f>IF(OR($B277="",N($D277)=0),"",IFERROR(COUNTIFS('Trade Log'!$A$6:$A$1005,$B277,'Trade Log'!$S$6:$S$1005,"Win")/(COUNTIFS('Trade Log'!$A$6:$A$1005,$B277,'Trade Log'!$S$6:$S$1005,"Win")+COUNTIFS('Trade Log'!$A$6:$A$1005,$B277,'Trade Log'!$S$6:$S$1005,"Loss")),"—"))</f>
        <v/>
      </c>
      <c r="G277" s="104" t="str">
        <f>IF(OR($B277="",N($D277)=0),"",SUMIFS('Trade Log'!$R$6:$R$1005,'Trade Log'!$A$6:$A$1005,$B277))</f>
        <v/>
      </c>
      <c r="H277" s="96" t="str">
        <f>IF(OR($B277="",N($D277)=0),"",COUNTIFS('Trade Log'!$A$6:$A$1005,$B277,'Trade Log'!$Z$6:$Z$1005,"No"))</f>
        <v/>
      </c>
      <c r="I277" s="105" t="str">
        <f>IF(OR($B277="",N($D277)=0),"",IF(AND(ISNUMBER(Settings!$C$26),N($E277)&lt;=-N(Settings!$C$26)),"Hit daily max loss. ","")&amp;IF(COUNTIFS('Trade Log'!$A$6:$A$1005,$B277,'Trade Log'!$BM$6:$BM$1005,1)&gt;0,"Kept trading after daily max loss. ","")&amp;IF(AND(ISNUMBER(Settings!$C$25),N($D277)&gt;N(Settings!$C$25)),"Over max trades. ",""))</f>
        <v/>
      </c>
      <c r="J277" s="106" t="n"/>
      <c r="K277" s="106" t="n"/>
      <c r="L277" s="106" t="n"/>
      <c r="M277" s="29" t="n"/>
      <c r="N277" s="29" t="n"/>
      <c r="O277" s="106" t="n"/>
    </row>
    <row r="278">
      <c r="B278" s="107">
        <f>IF($B277="","",$B277+IF(AND(Settings!$C$10&lt;&gt;"Yes",WEEKDAY($B277,2)&gt;=5),8-WEEKDAY($B277,2),1))</f>
        <v>46666</v>
      </c>
      <c r="C278" s="103" t="str">
        <f>IF($B278="","",CHOOSE(WEEKDAY($B278,2),"Mon","Tue","Wed","Thu","Fri","Sat","Sun"))</f>
        <v>Wed</v>
      </c>
      <c r="D278" s="96">
        <f>IF($B278="","",COUNTIFS('Trade Log'!$A$6:$A$1005,$B278,'Trade Log'!$BH$6:$BH$1005,1))</f>
        <v>0</v>
      </c>
      <c r="E278" s="98" t="str">
        <f>IF(OR($B278="",N($D278)=0),"",SUMIFS('Trade Log'!$Q$6:$Q$1005,'Trade Log'!$A$6:$A$1005,$B278))</f>
        <v/>
      </c>
      <c r="F278" s="99" t="str">
        <f>IF(OR($B278="",N($D278)=0),"",IFERROR(COUNTIFS('Trade Log'!$A$6:$A$1005,$B278,'Trade Log'!$S$6:$S$1005,"Win")/(COUNTIFS('Trade Log'!$A$6:$A$1005,$B278,'Trade Log'!$S$6:$S$1005,"Win")+COUNTIFS('Trade Log'!$A$6:$A$1005,$B278,'Trade Log'!$S$6:$S$1005,"Loss")),"—"))</f>
        <v/>
      </c>
      <c r="G278" s="104" t="str">
        <f>IF(OR($B278="",N($D278)=0),"",SUMIFS('Trade Log'!$R$6:$R$1005,'Trade Log'!$A$6:$A$1005,$B278))</f>
        <v/>
      </c>
      <c r="H278" s="96" t="str">
        <f>IF(OR($B278="",N($D278)=0),"",COUNTIFS('Trade Log'!$A$6:$A$1005,$B278,'Trade Log'!$Z$6:$Z$1005,"No"))</f>
        <v/>
      </c>
      <c r="I278" s="105" t="str">
        <f>IF(OR($B278="",N($D278)=0),"",IF(AND(ISNUMBER(Settings!$C$26),N($E278)&lt;=-N(Settings!$C$26)),"Hit daily max loss. ","")&amp;IF(COUNTIFS('Trade Log'!$A$6:$A$1005,$B278,'Trade Log'!$BM$6:$BM$1005,1)&gt;0,"Kept trading after daily max loss. ","")&amp;IF(AND(ISNUMBER(Settings!$C$25),N($D278)&gt;N(Settings!$C$25)),"Over max trades. ",""))</f>
        <v/>
      </c>
      <c r="J278" s="106" t="n"/>
      <c r="K278" s="106" t="n"/>
      <c r="L278" s="106" t="n"/>
      <c r="M278" s="29" t="n"/>
      <c r="N278" s="29" t="n"/>
      <c r="O278" s="106" t="n"/>
    </row>
    <row r="279">
      <c r="B279" s="107">
        <f>IF($B278="","",$B278+IF(AND(Settings!$C$10&lt;&gt;"Yes",WEEKDAY($B278,2)&gt;=5),8-WEEKDAY($B278,2),1))</f>
        <v>46667</v>
      </c>
      <c r="C279" s="103" t="str">
        <f>IF($B279="","",CHOOSE(WEEKDAY($B279,2),"Mon","Tue","Wed","Thu","Fri","Sat","Sun"))</f>
        <v>Thu</v>
      </c>
      <c r="D279" s="96">
        <f>IF($B279="","",COUNTIFS('Trade Log'!$A$6:$A$1005,$B279,'Trade Log'!$BH$6:$BH$1005,1))</f>
        <v>0</v>
      </c>
      <c r="E279" s="98" t="str">
        <f>IF(OR($B279="",N($D279)=0),"",SUMIFS('Trade Log'!$Q$6:$Q$1005,'Trade Log'!$A$6:$A$1005,$B279))</f>
        <v/>
      </c>
      <c r="F279" s="99" t="str">
        <f>IF(OR($B279="",N($D279)=0),"",IFERROR(COUNTIFS('Trade Log'!$A$6:$A$1005,$B279,'Trade Log'!$S$6:$S$1005,"Win")/(COUNTIFS('Trade Log'!$A$6:$A$1005,$B279,'Trade Log'!$S$6:$S$1005,"Win")+COUNTIFS('Trade Log'!$A$6:$A$1005,$B279,'Trade Log'!$S$6:$S$1005,"Loss")),"—"))</f>
        <v/>
      </c>
      <c r="G279" s="104" t="str">
        <f>IF(OR($B279="",N($D279)=0),"",SUMIFS('Trade Log'!$R$6:$R$1005,'Trade Log'!$A$6:$A$1005,$B279))</f>
        <v/>
      </c>
      <c r="H279" s="96" t="str">
        <f>IF(OR($B279="",N($D279)=0),"",COUNTIFS('Trade Log'!$A$6:$A$1005,$B279,'Trade Log'!$Z$6:$Z$1005,"No"))</f>
        <v/>
      </c>
      <c r="I279" s="105" t="str">
        <f>IF(OR($B279="",N($D279)=0),"",IF(AND(ISNUMBER(Settings!$C$26),N($E279)&lt;=-N(Settings!$C$26)),"Hit daily max loss. ","")&amp;IF(COUNTIFS('Trade Log'!$A$6:$A$1005,$B279,'Trade Log'!$BM$6:$BM$1005,1)&gt;0,"Kept trading after daily max loss. ","")&amp;IF(AND(ISNUMBER(Settings!$C$25),N($D279)&gt;N(Settings!$C$25)),"Over max trades. ",""))</f>
        <v/>
      </c>
      <c r="J279" s="106" t="n"/>
      <c r="K279" s="106" t="n"/>
      <c r="L279" s="106" t="n"/>
      <c r="M279" s="29" t="n"/>
      <c r="N279" s="29" t="n"/>
      <c r="O279" s="106" t="n"/>
    </row>
    <row r="280">
      <c r="B280" s="107">
        <f>IF($B279="","",$B279+IF(AND(Settings!$C$10&lt;&gt;"Yes",WEEKDAY($B279,2)&gt;=5),8-WEEKDAY($B279,2),1))</f>
        <v>46668</v>
      </c>
      <c r="C280" s="103" t="str">
        <f>IF($B280="","",CHOOSE(WEEKDAY($B280,2),"Mon","Tue","Wed","Thu","Fri","Sat","Sun"))</f>
        <v>Fri</v>
      </c>
      <c r="D280" s="96">
        <f>IF($B280="","",COUNTIFS('Trade Log'!$A$6:$A$1005,$B280,'Trade Log'!$BH$6:$BH$1005,1))</f>
        <v>0</v>
      </c>
      <c r="E280" s="98" t="str">
        <f>IF(OR($B280="",N($D280)=0),"",SUMIFS('Trade Log'!$Q$6:$Q$1005,'Trade Log'!$A$6:$A$1005,$B280))</f>
        <v/>
      </c>
      <c r="F280" s="99" t="str">
        <f>IF(OR($B280="",N($D280)=0),"",IFERROR(COUNTIFS('Trade Log'!$A$6:$A$1005,$B280,'Trade Log'!$S$6:$S$1005,"Win")/(COUNTIFS('Trade Log'!$A$6:$A$1005,$B280,'Trade Log'!$S$6:$S$1005,"Win")+COUNTIFS('Trade Log'!$A$6:$A$1005,$B280,'Trade Log'!$S$6:$S$1005,"Loss")),"—"))</f>
        <v/>
      </c>
      <c r="G280" s="104" t="str">
        <f>IF(OR($B280="",N($D280)=0),"",SUMIFS('Trade Log'!$R$6:$R$1005,'Trade Log'!$A$6:$A$1005,$B280))</f>
        <v/>
      </c>
      <c r="H280" s="96" t="str">
        <f>IF(OR($B280="",N($D280)=0),"",COUNTIFS('Trade Log'!$A$6:$A$1005,$B280,'Trade Log'!$Z$6:$Z$1005,"No"))</f>
        <v/>
      </c>
      <c r="I280" s="105" t="str">
        <f>IF(OR($B280="",N($D280)=0),"",IF(AND(ISNUMBER(Settings!$C$26),N($E280)&lt;=-N(Settings!$C$26)),"Hit daily max loss. ","")&amp;IF(COUNTIFS('Trade Log'!$A$6:$A$1005,$B280,'Trade Log'!$BM$6:$BM$1005,1)&gt;0,"Kept trading after daily max loss. ","")&amp;IF(AND(ISNUMBER(Settings!$C$25),N($D280)&gt;N(Settings!$C$25)),"Over max trades. ",""))</f>
        <v/>
      </c>
      <c r="J280" s="106" t="n"/>
      <c r="K280" s="106" t="n"/>
      <c r="L280" s="106" t="n"/>
      <c r="M280" s="29" t="n"/>
      <c r="N280" s="29" t="n"/>
      <c r="O280" s="106" t="n"/>
    </row>
    <row r="281">
      <c r="B281" s="107">
        <f>IF($B280="","",$B280+IF(AND(Settings!$C$10&lt;&gt;"Yes",WEEKDAY($B280,2)&gt;=5),8-WEEKDAY($B280,2),1))</f>
        <v>46671</v>
      </c>
      <c r="C281" s="103" t="str">
        <f>IF($B281="","",CHOOSE(WEEKDAY($B281,2),"Mon","Tue","Wed","Thu","Fri","Sat","Sun"))</f>
        <v>Mon</v>
      </c>
      <c r="D281" s="96">
        <f>IF($B281="","",COUNTIFS('Trade Log'!$A$6:$A$1005,$B281,'Trade Log'!$BH$6:$BH$1005,1))</f>
        <v>0</v>
      </c>
      <c r="E281" s="98" t="str">
        <f>IF(OR($B281="",N($D281)=0),"",SUMIFS('Trade Log'!$Q$6:$Q$1005,'Trade Log'!$A$6:$A$1005,$B281))</f>
        <v/>
      </c>
      <c r="F281" s="99" t="str">
        <f>IF(OR($B281="",N($D281)=0),"",IFERROR(COUNTIFS('Trade Log'!$A$6:$A$1005,$B281,'Trade Log'!$S$6:$S$1005,"Win")/(COUNTIFS('Trade Log'!$A$6:$A$1005,$B281,'Trade Log'!$S$6:$S$1005,"Win")+COUNTIFS('Trade Log'!$A$6:$A$1005,$B281,'Trade Log'!$S$6:$S$1005,"Loss")),"—"))</f>
        <v/>
      </c>
      <c r="G281" s="104" t="str">
        <f>IF(OR($B281="",N($D281)=0),"",SUMIFS('Trade Log'!$R$6:$R$1005,'Trade Log'!$A$6:$A$1005,$B281))</f>
        <v/>
      </c>
      <c r="H281" s="96" t="str">
        <f>IF(OR($B281="",N($D281)=0),"",COUNTIFS('Trade Log'!$A$6:$A$1005,$B281,'Trade Log'!$Z$6:$Z$1005,"No"))</f>
        <v/>
      </c>
      <c r="I281" s="105" t="str">
        <f>IF(OR($B281="",N($D281)=0),"",IF(AND(ISNUMBER(Settings!$C$26),N($E281)&lt;=-N(Settings!$C$26)),"Hit daily max loss. ","")&amp;IF(COUNTIFS('Trade Log'!$A$6:$A$1005,$B281,'Trade Log'!$BM$6:$BM$1005,1)&gt;0,"Kept trading after daily max loss. ","")&amp;IF(AND(ISNUMBER(Settings!$C$25),N($D281)&gt;N(Settings!$C$25)),"Over max trades. ",""))</f>
        <v/>
      </c>
      <c r="J281" s="106" t="n"/>
      <c r="K281" s="106" t="n"/>
      <c r="L281" s="106" t="n"/>
      <c r="M281" s="29" t="n"/>
      <c r="N281" s="29" t="n"/>
      <c r="O281" s="106" t="n"/>
    </row>
    <row r="282">
      <c r="B282" s="107">
        <f>IF($B281="","",$B281+IF(AND(Settings!$C$10&lt;&gt;"Yes",WEEKDAY($B281,2)&gt;=5),8-WEEKDAY($B281,2),1))</f>
        <v>46672</v>
      </c>
      <c r="C282" s="103" t="str">
        <f>IF($B282="","",CHOOSE(WEEKDAY($B282,2),"Mon","Tue","Wed","Thu","Fri","Sat","Sun"))</f>
        <v>Tue</v>
      </c>
      <c r="D282" s="96">
        <f>IF($B282="","",COUNTIFS('Trade Log'!$A$6:$A$1005,$B282,'Trade Log'!$BH$6:$BH$1005,1))</f>
        <v>0</v>
      </c>
      <c r="E282" s="98" t="str">
        <f>IF(OR($B282="",N($D282)=0),"",SUMIFS('Trade Log'!$Q$6:$Q$1005,'Trade Log'!$A$6:$A$1005,$B282))</f>
        <v/>
      </c>
      <c r="F282" s="99" t="str">
        <f>IF(OR($B282="",N($D282)=0),"",IFERROR(COUNTIFS('Trade Log'!$A$6:$A$1005,$B282,'Trade Log'!$S$6:$S$1005,"Win")/(COUNTIFS('Trade Log'!$A$6:$A$1005,$B282,'Trade Log'!$S$6:$S$1005,"Win")+COUNTIFS('Trade Log'!$A$6:$A$1005,$B282,'Trade Log'!$S$6:$S$1005,"Loss")),"—"))</f>
        <v/>
      </c>
      <c r="G282" s="104" t="str">
        <f>IF(OR($B282="",N($D282)=0),"",SUMIFS('Trade Log'!$R$6:$R$1005,'Trade Log'!$A$6:$A$1005,$B282))</f>
        <v/>
      </c>
      <c r="H282" s="96" t="str">
        <f>IF(OR($B282="",N($D282)=0),"",COUNTIFS('Trade Log'!$A$6:$A$1005,$B282,'Trade Log'!$Z$6:$Z$1005,"No"))</f>
        <v/>
      </c>
      <c r="I282" s="105" t="str">
        <f>IF(OR($B282="",N($D282)=0),"",IF(AND(ISNUMBER(Settings!$C$26),N($E282)&lt;=-N(Settings!$C$26)),"Hit daily max loss. ","")&amp;IF(COUNTIFS('Trade Log'!$A$6:$A$1005,$B282,'Trade Log'!$BM$6:$BM$1005,1)&gt;0,"Kept trading after daily max loss. ","")&amp;IF(AND(ISNUMBER(Settings!$C$25),N($D282)&gt;N(Settings!$C$25)),"Over max trades. ",""))</f>
        <v/>
      </c>
      <c r="J282" s="106" t="n"/>
      <c r="K282" s="106" t="n"/>
      <c r="L282" s="106" t="n"/>
      <c r="M282" s="29" t="n"/>
      <c r="N282" s="29" t="n"/>
      <c r="O282" s="106" t="n"/>
    </row>
    <row r="283">
      <c r="B283" s="107">
        <f>IF($B282="","",$B282+IF(AND(Settings!$C$10&lt;&gt;"Yes",WEEKDAY($B282,2)&gt;=5),8-WEEKDAY($B282,2),1))</f>
        <v>46673</v>
      </c>
      <c r="C283" s="103" t="str">
        <f>IF($B283="","",CHOOSE(WEEKDAY($B283,2),"Mon","Tue","Wed","Thu","Fri","Sat","Sun"))</f>
        <v>Wed</v>
      </c>
      <c r="D283" s="96">
        <f>IF($B283="","",COUNTIFS('Trade Log'!$A$6:$A$1005,$B283,'Trade Log'!$BH$6:$BH$1005,1))</f>
        <v>0</v>
      </c>
      <c r="E283" s="98" t="str">
        <f>IF(OR($B283="",N($D283)=0),"",SUMIFS('Trade Log'!$Q$6:$Q$1005,'Trade Log'!$A$6:$A$1005,$B283))</f>
        <v/>
      </c>
      <c r="F283" s="99" t="str">
        <f>IF(OR($B283="",N($D283)=0),"",IFERROR(COUNTIFS('Trade Log'!$A$6:$A$1005,$B283,'Trade Log'!$S$6:$S$1005,"Win")/(COUNTIFS('Trade Log'!$A$6:$A$1005,$B283,'Trade Log'!$S$6:$S$1005,"Win")+COUNTIFS('Trade Log'!$A$6:$A$1005,$B283,'Trade Log'!$S$6:$S$1005,"Loss")),"—"))</f>
        <v/>
      </c>
      <c r="G283" s="104" t="str">
        <f>IF(OR($B283="",N($D283)=0),"",SUMIFS('Trade Log'!$R$6:$R$1005,'Trade Log'!$A$6:$A$1005,$B283))</f>
        <v/>
      </c>
      <c r="H283" s="96" t="str">
        <f>IF(OR($B283="",N($D283)=0),"",COUNTIFS('Trade Log'!$A$6:$A$1005,$B283,'Trade Log'!$Z$6:$Z$1005,"No"))</f>
        <v/>
      </c>
      <c r="I283" s="105" t="str">
        <f>IF(OR($B283="",N($D283)=0),"",IF(AND(ISNUMBER(Settings!$C$26),N($E283)&lt;=-N(Settings!$C$26)),"Hit daily max loss. ","")&amp;IF(COUNTIFS('Trade Log'!$A$6:$A$1005,$B283,'Trade Log'!$BM$6:$BM$1005,1)&gt;0,"Kept trading after daily max loss. ","")&amp;IF(AND(ISNUMBER(Settings!$C$25),N($D283)&gt;N(Settings!$C$25)),"Over max trades. ",""))</f>
        <v/>
      </c>
      <c r="J283" s="106" t="n"/>
      <c r="K283" s="106" t="n"/>
      <c r="L283" s="106" t="n"/>
      <c r="M283" s="29" t="n"/>
      <c r="N283" s="29" t="n"/>
      <c r="O283" s="106" t="n"/>
    </row>
    <row r="284">
      <c r="B284" s="107">
        <f>IF($B283="","",$B283+IF(AND(Settings!$C$10&lt;&gt;"Yes",WEEKDAY($B283,2)&gt;=5),8-WEEKDAY($B283,2),1))</f>
        <v>46674</v>
      </c>
      <c r="C284" s="103" t="str">
        <f>IF($B284="","",CHOOSE(WEEKDAY($B284,2),"Mon","Tue","Wed","Thu","Fri","Sat","Sun"))</f>
        <v>Thu</v>
      </c>
      <c r="D284" s="96">
        <f>IF($B284="","",COUNTIFS('Trade Log'!$A$6:$A$1005,$B284,'Trade Log'!$BH$6:$BH$1005,1))</f>
        <v>0</v>
      </c>
      <c r="E284" s="98" t="str">
        <f>IF(OR($B284="",N($D284)=0),"",SUMIFS('Trade Log'!$Q$6:$Q$1005,'Trade Log'!$A$6:$A$1005,$B284))</f>
        <v/>
      </c>
      <c r="F284" s="99" t="str">
        <f>IF(OR($B284="",N($D284)=0),"",IFERROR(COUNTIFS('Trade Log'!$A$6:$A$1005,$B284,'Trade Log'!$S$6:$S$1005,"Win")/(COUNTIFS('Trade Log'!$A$6:$A$1005,$B284,'Trade Log'!$S$6:$S$1005,"Win")+COUNTIFS('Trade Log'!$A$6:$A$1005,$B284,'Trade Log'!$S$6:$S$1005,"Loss")),"—"))</f>
        <v/>
      </c>
      <c r="G284" s="104" t="str">
        <f>IF(OR($B284="",N($D284)=0),"",SUMIFS('Trade Log'!$R$6:$R$1005,'Trade Log'!$A$6:$A$1005,$B284))</f>
        <v/>
      </c>
      <c r="H284" s="96" t="str">
        <f>IF(OR($B284="",N($D284)=0),"",COUNTIFS('Trade Log'!$A$6:$A$1005,$B284,'Trade Log'!$Z$6:$Z$1005,"No"))</f>
        <v/>
      </c>
      <c r="I284" s="105" t="str">
        <f>IF(OR($B284="",N($D284)=0),"",IF(AND(ISNUMBER(Settings!$C$26),N($E284)&lt;=-N(Settings!$C$26)),"Hit daily max loss. ","")&amp;IF(COUNTIFS('Trade Log'!$A$6:$A$1005,$B284,'Trade Log'!$BM$6:$BM$1005,1)&gt;0,"Kept trading after daily max loss. ","")&amp;IF(AND(ISNUMBER(Settings!$C$25),N($D284)&gt;N(Settings!$C$25)),"Over max trades. ",""))</f>
        <v/>
      </c>
      <c r="J284" s="106" t="n"/>
      <c r="K284" s="106" t="n"/>
      <c r="L284" s="106" t="n"/>
      <c r="M284" s="29" t="n"/>
      <c r="N284" s="29" t="n"/>
      <c r="O284" s="106" t="n"/>
    </row>
    <row r="285">
      <c r="B285" s="107">
        <f>IF($B284="","",$B284+IF(AND(Settings!$C$10&lt;&gt;"Yes",WEEKDAY($B284,2)&gt;=5),8-WEEKDAY($B284,2),1))</f>
        <v>46675</v>
      </c>
      <c r="C285" s="103" t="str">
        <f>IF($B285="","",CHOOSE(WEEKDAY($B285,2),"Mon","Tue","Wed","Thu","Fri","Sat","Sun"))</f>
        <v>Fri</v>
      </c>
      <c r="D285" s="96">
        <f>IF($B285="","",COUNTIFS('Trade Log'!$A$6:$A$1005,$B285,'Trade Log'!$BH$6:$BH$1005,1))</f>
        <v>0</v>
      </c>
      <c r="E285" s="98" t="str">
        <f>IF(OR($B285="",N($D285)=0),"",SUMIFS('Trade Log'!$Q$6:$Q$1005,'Trade Log'!$A$6:$A$1005,$B285))</f>
        <v/>
      </c>
      <c r="F285" s="99" t="str">
        <f>IF(OR($B285="",N($D285)=0),"",IFERROR(COUNTIFS('Trade Log'!$A$6:$A$1005,$B285,'Trade Log'!$S$6:$S$1005,"Win")/(COUNTIFS('Trade Log'!$A$6:$A$1005,$B285,'Trade Log'!$S$6:$S$1005,"Win")+COUNTIFS('Trade Log'!$A$6:$A$1005,$B285,'Trade Log'!$S$6:$S$1005,"Loss")),"—"))</f>
        <v/>
      </c>
      <c r="G285" s="104" t="str">
        <f>IF(OR($B285="",N($D285)=0),"",SUMIFS('Trade Log'!$R$6:$R$1005,'Trade Log'!$A$6:$A$1005,$B285))</f>
        <v/>
      </c>
      <c r="H285" s="96" t="str">
        <f>IF(OR($B285="",N($D285)=0),"",COUNTIFS('Trade Log'!$A$6:$A$1005,$B285,'Trade Log'!$Z$6:$Z$1005,"No"))</f>
        <v/>
      </c>
      <c r="I285" s="105" t="str">
        <f>IF(OR($B285="",N($D285)=0),"",IF(AND(ISNUMBER(Settings!$C$26),N($E285)&lt;=-N(Settings!$C$26)),"Hit daily max loss. ","")&amp;IF(COUNTIFS('Trade Log'!$A$6:$A$1005,$B285,'Trade Log'!$BM$6:$BM$1005,1)&gt;0,"Kept trading after daily max loss. ","")&amp;IF(AND(ISNUMBER(Settings!$C$25),N($D285)&gt;N(Settings!$C$25)),"Over max trades. ",""))</f>
        <v/>
      </c>
      <c r="J285" s="106" t="n"/>
      <c r="K285" s="106" t="n"/>
      <c r="L285" s="106" t="n"/>
      <c r="M285" s="29" t="n"/>
      <c r="N285" s="29" t="n"/>
      <c r="O285" s="106" t="n"/>
    </row>
    <row r="286">
      <c r="B286" s="107">
        <f>IF($B285="","",$B285+IF(AND(Settings!$C$10&lt;&gt;"Yes",WEEKDAY($B285,2)&gt;=5),8-WEEKDAY($B285,2),1))</f>
        <v>46678</v>
      </c>
      <c r="C286" s="103" t="str">
        <f>IF($B286="","",CHOOSE(WEEKDAY($B286,2),"Mon","Tue","Wed","Thu","Fri","Sat","Sun"))</f>
        <v>Mon</v>
      </c>
      <c r="D286" s="96">
        <f>IF($B286="","",COUNTIFS('Trade Log'!$A$6:$A$1005,$B286,'Trade Log'!$BH$6:$BH$1005,1))</f>
        <v>0</v>
      </c>
      <c r="E286" s="98" t="str">
        <f>IF(OR($B286="",N($D286)=0),"",SUMIFS('Trade Log'!$Q$6:$Q$1005,'Trade Log'!$A$6:$A$1005,$B286))</f>
        <v/>
      </c>
      <c r="F286" s="99" t="str">
        <f>IF(OR($B286="",N($D286)=0),"",IFERROR(COUNTIFS('Trade Log'!$A$6:$A$1005,$B286,'Trade Log'!$S$6:$S$1005,"Win")/(COUNTIFS('Trade Log'!$A$6:$A$1005,$B286,'Trade Log'!$S$6:$S$1005,"Win")+COUNTIFS('Trade Log'!$A$6:$A$1005,$B286,'Trade Log'!$S$6:$S$1005,"Loss")),"—"))</f>
        <v/>
      </c>
      <c r="G286" s="104" t="str">
        <f>IF(OR($B286="",N($D286)=0),"",SUMIFS('Trade Log'!$R$6:$R$1005,'Trade Log'!$A$6:$A$1005,$B286))</f>
        <v/>
      </c>
      <c r="H286" s="96" t="str">
        <f>IF(OR($B286="",N($D286)=0),"",COUNTIFS('Trade Log'!$A$6:$A$1005,$B286,'Trade Log'!$Z$6:$Z$1005,"No"))</f>
        <v/>
      </c>
      <c r="I286" s="105" t="str">
        <f>IF(OR($B286="",N($D286)=0),"",IF(AND(ISNUMBER(Settings!$C$26),N($E286)&lt;=-N(Settings!$C$26)),"Hit daily max loss. ","")&amp;IF(COUNTIFS('Trade Log'!$A$6:$A$1005,$B286,'Trade Log'!$BM$6:$BM$1005,1)&gt;0,"Kept trading after daily max loss. ","")&amp;IF(AND(ISNUMBER(Settings!$C$25),N($D286)&gt;N(Settings!$C$25)),"Over max trades. ",""))</f>
        <v/>
      </c>
      <c r="J286" s="106" t="n"/>
      <c r="K286" s="106" t="n"/>
      <c r="L286" s="106" t="n"/>
      <c r="M286" s="29" t="n"/>
      <c r="N286" s="29" t="n"/>
      <c r="O286" s="106" t="n"/>
    </row>
    <row r="287">
      <c r="B287" s="107">
        <f>IF($B286="","",$B286+IF(AND(Settings!$C$10&lt;&gt;"Yes",WEEKDAY($B286,2)&gt;=5),8-WEEKDAY($B286,2),1))</f>
        <v>46679</v>
      </c>
      <c r="C287" s="103" t="str">
        <f>IF($B287="","",CHOOSE(WEEKDAY($B287,2),"Mon","Tue","Wed","Thu","Fri","Sat","Sun"))</f>
        <v>Tue</v>
      </c>
      <c r="D287" s="96">
        <f>IF($B287="","",COUNTIFS('Trade Log'!$A$6:$A$1005,$B287,'Trade Log'!$BH$6:$BH$1005,1))</f>
        <v>0</v>
      </c>
      <c r="E287" s="98" t="str">
        <f>IF(OR($B287="",N($D287)=0),"",SUMIFS('Trade Log'!$Q$6:$Q$1005,'Trade Log'!$A$6:$A$1005,$B287))</f>
        <v/>
      </c>
      <c r="F287" s="99" t="str">
        <f>IF(OR($B287="",N($D287)=0),"",IFERROR(COUNTIFS('Trade Log'!$A$6:$A$1005,$B287,'Trade Log'!$S$6:$S$1005,"Win")/(COUNTIFS('Trade Log'!$A$6:$A$1005,$B287,'Trade Log'!$S$6:$S$1005,"Win")+COUNTIFS('Trade Log'!$A$6:$A$1005,$B287,'Trade Log'!$S$6:$S$1005,"Loss")),"—"))</f>
        <v/>
      </c>
      <c r="G287" s="104" t="str">
        <f>IF(OR($B287="",N($D287)=0),"",SUMIFS('Trade Log'!$R$6:$R$1005,'Trade Log'!$A$6:$A$1005,$B287))</f>
        <v/>
      </c>
      <c r="H287" s="96" t="str">
        <f>IF(OR($B287="",N($D287)=0),"",COUNTIFS('Trade Log'!$A$6:$A$1005,$B287,'Trade Log'!$Z$6:$Z$1005,"No"))</f>
        <v/>
      </c>
      <c r="I287" s="105" t="str">
        <f>IF(OR($B287="",N($D287)=0),"",IF(AND(ISNUMBER(Settings!$C$26),N($E287)&lt;=-N(Settings!$C$26)),"Hit daily max loss. ","")&amp;IF(COUNTIFS('Trade Log'!$A$6:$A$1005,$B287,'Trade Log'!$BM$6:$BM$1005,1)&gt;0,"Kept trading after daily max loss. ","")&amp;IF(AND(ISNUMBER(Settings!$C$25),N($D287)&gt;N(Settings!$C$25)),"Over max trades. ",""))</f>
        <v/>
      </c>
      <c r="J287" s="106" t="n"/>
      <c r="K287" s="106" t="n"/>
      <c r="L287" s="106" t="n"/>
      <c r="M287" s="29" t="n"/>
      <c r="N287" s="29" t="n"/>
      <c r="O287" s="106" t="n"/>
    </row>
    <row r="288">
      <c r="B288" s="107">
        <f>IF($B287="","",$B287+IF(AND(Settings!$C$10&lt;&gt;"Yes",WEEKDAY($B287,2)&gt;=5),8-WEEKDAY($B287,2),1))</f>
        <v>46680</v>
      </c>
      <c r="C288" s="103" t="str">
        <f>IF($B288="","",CHOOSE(WEEKDAY($B288,2),"Mon","Tue","Wed","Thu","Fri","Sat","Sun"))</f>
        <v>Wed</v>
      </c>
      <c r="D288" s="96">
        <f>IF($B288="","",COUNTIFS('Trade Log'!$A$6:$A$1005,$B288,'Trade Log'!$BH$6:$BH$1005,1))</f>
        <v>0</v>
      </c>
      <c r="E288" s="98" t="str">
        <f>IF(OR($B288="",N($D288)=0),"",SUMIFS('Trade Log'!$Q$6:$Q$1005,'Trade Log'!$A$6:$A$1005,$B288))</f>
        <v/>
      </c>
      <c r="F288" s="99" t="str">
        <f>IF(OR($B288="",N($D288)=0),"",IFERROR(COUNTIFS('Trade Log'!$A$6:$A$1005,$B288,'Trade Log'!$S$6:$S$1005,"Win")/(COUNTIFS('Trade Log'!$A$6:$A$1005,$B288,'Trade Log'!$S$6:$S$1005,"Win")+COUNTIFS('Trade Log'!$A$6:$A$1005,$B288,'Trade Log'!$S$6:$S$1005,"Loss")),"—"))</f>
        <v/>
      </c>
      <c r="G288" s="104" t="str">
        <f>IF(OR($B288="",N($D288)=0),"",SUMIFS('Trade Log'!$R$6:$R$1005,'Trade Log'!$A$6:$A$1005,$B288))</f>
        <v/>
      </c>
      <c r="H288" s="96" t="str">
        <f>IF(OR($B288="",N($D288)=0),"",COUNTIFS('Trade Log'!$A$6:$A$1005,$B288,'Trade Log'!$Z$6:$Z$1005,"No"))</f>
        <v/>
      </c>
      <c r="I288" s="105" t="str">
        <f>IF(OR($B288="",N($D288)=0),"",IF(AND(ISNUMBER(Settings!$C$26),N($E288)&lt;=-N(Settings!$C$26)),"Hit daily max loss. ","")&amp;IF(COUNTIFS('Trade Log'!$A$6:$A$1005,$B288,'Trade Log'!$BM$6:$BM$1005,1)&gt;0,"Kept trading after daily max loss. ","")&amp;IF(AND(ISNUMBER(Settings!$C$25),N($D288)&gt;N(Settings!$C$25)),"Over max trades. ",""))</f>
        <v/>
      </c>
      <c r="J288" s="106" t="n"/>
      <c r="K288" s="106" t="n"/>
      <c r="L288" s="106" t="n"/>
      <c r="M288" s="29" t="n"/>
      <c r="N288" s="29" t="n"/>
      <c r="O288" s="106" t="n"/>
    </row>
    <row r="289">
      <c r="B289" s="107">
        <f>IF($B288="","",$B288+IF(AND(Settings!$C$10&lt;&gt;"Yes",WEEKDAY($B288,2)&gt;=5),8-WEEKDAY($B288,2),1))</f>
        <v>46681</v>
      </c>
      <c r="C289" s="103" t="str">
        <f>IF($B289="","",CHOOSE(WEEKDAY($B289,2),"Mon","Tue","Wed","Thu","Fri","Sat","Sun"))</f>
        <v>Thu</v>
      </c>
      <c r="D289" s="96">
        <f>IF($B289="","",COUNTIFS('Trade Log'!$A$6:$A$1005,$B289,'Trade Log'!$BH$6:$BH$1005,1))</f>
        <v>0</v>
      </c>
      <c r="E289" s="98" t="str">
        <f>IF(OR($B289="",N($D289)=0),"",SUMIFS('Trade Log'!$Q$6:$Q$1005,'Trade Log'!$A$6:$A$1005,$B289))</f>
        <v/>
      </c>
      <c r="F289" s="99" t="str">
        <f>IF(OR($B289="",N($D289)=0),"",IFERROR(COUNTIFS('Trade Log'!$A$6:$A$1005,$B289,'Trade Log'!$S$6:$S$1005,"Win")/(COUNTIFS('Trade Log'!$A$6:$A$1005,$B289,'Trade Log'!$S$6:$S$1005,"Win")+COUNTIFS('Trade Log'!$A$6:$A$1005,$B289,'Trade Log'!$S$6:$S$1005,"Loss")),"—"))</f>
        <v/>
      </c>
      <c r="G289" s="104" t="str">
        <f>IF(OR($B289="",N($D289)=0),"",SUMIFS('Trade Log'!$R$6:$R$1005,'Trade Log'!$A$6:$A$1005,$B289))</f>
        <v/>
      </c>
      <c r="H289" s="96" t="str">
        <f>IF(OR($B289="",N($D289)=0),"",COUNTIFS('Trade Log'!$A$6:$A$1005,$B289,'Trade Log'!$Z$6:$Z$1005,"No"))</f>
        <v/>
      </c>
      <c r="I289" s="105" t="str">
        <f>IF(OR($B289="",N($D289)=0),"",IF(AND(ISNUMBER(Settings!$C$26),N($E289)&lt;=-N(Settings!$C$26)),"Hit daily max loss. ","")&amp;IF(COUNTIFS('Trade Log'!$A$6:$A$1005,$B289,'Trade Log'!$BM$6:$BM$1005,1)&gt;0,"Kept trading after daily max loss. ","")&amp;IF(AND(ISNUMBER(Settings!$C$25),N($D289)&gt;N(Settings!$C$25)),"Over max trades. ",""))</f>
        <v/>
      </c>
      <c r="J289" s="106" t="n"/>
      <c r="K289" s="106" t="n"/>
      <c r="L289" s="106" t="n"/>
      <c r="M289" s="29" t="n"/>
      <c r="N289" s="29" t="n"/>
      <c r="O289" s="106" t="n"/>
    </row>
    <row r="290">
      <c r="B290" s="107">
        <f>IF($B289="","",$B289+IF(AND(Settings!$C$10&lt;&gt;"Yes",WEEKDAY($B289,2)&gt;=5),8-WEEKDAY($B289,2),1))</f>
        <v>46682</v>
      </c>
      <c r="C290" s="103" t="str">
        <f>IF($B290="","",CHOOSE(WEEKDAY($B290,2),"Mon","Tue","Wed","Thu","Fri","Sat","Sun"))</f>
        <v>Fri</v>
      </c>
      <c r="D290" s="96">
        <f>IF($B290="","",COUNTIFS('Trade Log'!$A$6:$A$1005,$B290,'Trade Log'!$BH$6:$BH$1005,1))</f>
        <v>0</v>
      </c>
      <c r="E290" s="98" t="str">
        <f>IF(OR($B290="",N($D290)=0),"",SUMIFS('Trade Log'!$Q$6:$Q$1005,'Trade Log'!$A$6:$A$1005,$B290))</f>
        <v/>
      </c>
      <c r="F290" s="99" t="str">
        <f>IF(OR($B290="",N($D290)=0),"",IFERROR(COUNTIFS('Trade Log'!$A$6:$A$1005,$B290,'Trade Log'!$S$6:$S$1005,"Win")/(COUNTIFS('Trade Log'!$A$6:$A$1005,$B290,'Trade Log'!$S$6:$S$1005,"Win")+COUNTIFS('Trade Log'!$A$6:$A$1005,$B290,'Trade Log'!$S$6:$S$1005,"Loss")),"—"))</f>
        <v/>
      </c>
      <c r="G290" s="104" t="str">
        <f>IF(OR($B290="",N($D290)=0),"",SUMIFS('Trade Log'!$R$6:$R$1005,'Trade Log'!$A$6:$A$1005,$B290))</f>
        <v/>
      </c>
      <c r="H290" s="96" t="str">
        <f>IF(OR($B290="",N($D290)=0),"",COUNTIFS('Trade Log'!$A$6:$A$1005,$B290,'Trade Log'!$Z$6:$Z$1005,"No"))</f>
        <v/>
      </c>
      <c r="I290" s="105" t="str">
        <f>IF(OR($B290="",N($D290)=0),"",IF(AND(ISNUMBER(Settings!$C$26),N($E290)&lt;=-N(Settings!$C$26)),"Hit daily max loss. ","")&amp;IF(COUNTIFS('Trade Log'!$A$6:$A$1005,$B290,'Trade Log'!$BM$6:$BM$1005,1)&gt;0,"Kept trading after daily max loss. ","")&amp;IF(AND(ISNUMBER(Settings!$C$25),N($D290)&gt;N(Settings!$C$25)),"Over max trades. ",""))</f>
        <v/>
      </c>
      <c r="J290" s="106" t="n"/>
      <c r="K290" s="106" t="n"/>
      <c r="L290" s="106" t="n"/>
      <c r="M290" s="29" t="n"/>
      <c r="N290" s="29" t="n"/>
      <c r="O290" s="106" t="n"/>
    </row>
    <row r="291">
      <c r="B291" s="107">
        <f>IF($B290="","",$B290+IF(AND(Settings!$C$10&lt;&gt;"Yes",WEEKDAY($B290,2)&gt;=5),8-WEEKDAY($B290,2),1))</f>
        <v>46685</v>
      </c>
      <c r="C291" s="103" t="str">
        <f>IF($B291="","",CHOOSE(WEEKDAY($B291,2),"Mon","Tue","Wed","Thu","Fri","Sat","Sun"))</f>
        <v>Mon</v>
      </c>
      <c r="D291" s="96">
        <f>IF($B291="","",COUNTIFS('Trade Log'!$A$6:$A$1005,$B291,'Trade Log'!$BH$6:$BH$1005,1))</f>
        <v>0</v>
      </c>
      <c r="E291" s="98" t="str">
        <f>IF(OR($B291="",N($D291)=0),"",SUMIFS('Trade Log'!$Q$6:$Q$1005,'Trade Log'!$A$6:$A$1005,$B291))</f>
        <v/>
      </c>
      <c r="F291" s="99" t="str">
        <f>IF(OR($B291="",N($D291)=0),"",IFERROR(COUNTIFS('Trade Log'!$A$6:$A$1005,$B291,'Trade Log'!$S$6:$S$1005,"Win")/(COUNTIFS('Trade Log'!$A$6:$A$1005,$B291,'Trade Log'!$S$6:$S$1005,"Win")+COUNTIFS('Trade Log'!$A$6:$A$1005,$B291,'Trade Log'!$S$6:$S$1005,"Loss")),"—"))</f>
        <v/>
      </c>
      <c r="G291" s="104" t="str">
        <f>IF(OR($B291="",N($D291)=0),"",SUMIFS('Trade Log'!$R$6:$R$1005,'Trade Log'!$A$6:$A$1005,$B291))</f>
        <v/>
      </c>
      <c r="H291" s="96" t="str">
        <f>IF(OR($B291="",N($D291)=0),"",COUNTIFS('Trade Log'!$A$6:$A$1005,$B291,'Trade Log'!$Z$6:$Z$1005,"No"))</f>
        <v/>
      </c>
      <c r="I291" s="105" t="str">
        <f>IF(OR($B291="",N($D291)=0),"",IF(AND(ISNUMBER(Settings!$C$26),N($E291)&lt;=-N(Settings!$C$26)),"Hit daily max loss. ","")&amp;IF(COUNTIFS('Trade Log'!$A$6:$A$1005,$B291,'Trade Log'!$BM$6:$BM$1005,1)&gt;0,"Kept trading after daily max loss. ","")&amp;IF(AND(ISNUMBER(Settings!$C$25),N($D291)&gt;N(Settings!$C$25)),"Over max trades. ",""))</f>
        <v/>
      </c>
      <c r="J291" s="106" t="n"/>
      <c r="K291" s="106" t="n"/>
      <c r="L291" s="106" t="n"/>
      <c r="M291" s="29" t="n"/>
      <c r="N291" s="29" t="n"/>
      <c r="O291" s="106" t="n"/>
    </row>
    <row r="292">
      <c r="B292" s="107">
        <f>IF($B291="","",$B291+IF(AND(Settings!$C$10&lt;&gt;"Yes",WEEKDAY($B291,2)&gt;=5),8-WEEKDAY($B291,2),1))</f>
        <v>46686</v>
      </c>
      <c r="C292" s="103" t="str">
        <f>IF($B292="","",CHOOSE(WEEKDAY($B292,2),"Mon","Tue","Wed","Thu","Fri","Sat","Sun"))</f>
        <v>Tue</v>
      </c>
      <c r="D292" s="96">
        <f>IF($B292="","",COUNTIFS('Trade Log'!$A$6:$A$1005,$B292,'Trade Log'!$BH$6:$BH$1005,1))</f>
        <v>0</v>
      </c>
      <c r="E292" s="98" t="str">
        <f>IF(OR($B292="",N($D292)=0),"",SUMIFS('Trade Log'!$Q$6:$Q$1005,'Trade Log'!$A$6:$A$1005,$B292))</f>
        <v/>
      </c>
      <c r="F292" s="99" t="str">
        <f>IF(OR($B292="",N($D292)=0),"",IFERROR(COUNTIFS('Trade Log'!$A$6:$A$1005,$B292,'Trade Log'!$S$6:$S$1005,"Win")/(COUNTIFS('Trade Log'!$A$6:$A$1005,$B292,'Trade Log'!$S$6:$S$1005,"Win")+COUNTIFS('Trade Log'!$A$6:$A$1005,$B292,'Trade Log'!$S$6:$S$1005,"Loss")),"—"))</f>
        <v/>
      </c>
      <c r="G292" s="104" t="str">
        <f>IF(OR($B292="",N($D292)=0),"",SUMIFS('Trade Log'!$R$6:$R$1005,'Trade Log'!$A$6:$A$1005,$B292))</f>
        <v/>
      </c>
      <c r="H292" s="96" t="str">
        <f>IF(OR($B292="",N($D292)=0),"",COUNTIFS('Trade Log'!$A$6:$A$1005,$B292,'Trade Log'!$Z$6:$Z$1005,"No"))</f>
        <v/>
      </c>
      <c r="I292" s="105" t="str">
        <f>IF(OR($B292="",N($D292)=0),"",IF(AND(ISNUMBER(Settings!$C$26),N($E292)&lt;=-N(Settings!$C$26)),"Hit daily max loss. ","")&amp;IF(COUNTIFS('Trade Log'!$A$6:$A$1005,$B292,'Trade Log'!$BM$6:$BM$1005,1)&gt;0,"Kept trading after daily max loss. ","")&amp;IF(AND(ISNUMBER(Settings!$C$25),N($D292)&gt;N(Settings!$C$25)),"Over max trades. ",""))</f>
        <v/>
      </c>
      <c r="J292" s="106" t="n"/>
      <c r="K292" s="106" t="n"/>
      <c r="L292" s="106" t="n"/>
      <c r="M292" s="29" t="n"/>
      <c r="N292" s="29" t="n"/>
      <c r="O292" s="106" t="n"/>
    </row>
    <row r="293">
      <c r="B293" s="107">
        <f>IF($B292="","",$B292+IF(AND(Settings!$C$10&lt;&gt;"Yes",WEEKDAY($B292,2)&gt;=5),8-WEEKDAY($B292,2),1))</f>
        <v>46687</v>
      </c>
      <c r="C293" s="103" t="str">
        <f>IF($B293="","",CHOOSE(WEEKDAY($B293,2),"Mon","Tue","Wed","Thu","Fri","Sat","Sun"))</f>
        <v>Wed</v>
      </c>
      <c r="D293" s="96">
        <f>IF($B293="","",COUNTIFS('Trade Log'!$A$6:$A$1005,$B293,'Trade Log'!$BH$6:$BH$1005,1))</f>
        <v>0</v>
      </c>
      <c r="E293" s="98" t="str">
        <f>IF(OR($B293="",N($D293)=0),"",SUMIFS('Trade Log'!$Q$6:$Q$1005,'Trade Log'!$A$6:$A$1005,$B293))</f>
        <v/>
      </c>
      <c r="F293" s="99" t="str">
        <f>IF(OR($B293="",N($D293)=0),"",IFERROR(COUNTIFS('Trade Log'!$A$6:$A$1005,$B293,'Trade Log'!$S$6:$S$1005,"Win")/(COUNTIFS('Trade Log'!$A$6:$A$1005,$B293,'Trade Log'!$S$6:$S$1005,"Win")+COUNTIFS('Trade Log'!$A$6:$A$1005,$B293,'Trade Log'!$S$6:$S$1005,"Loss")),"—"))</f>
        <v/>
      </c>
      <c r="G293" s="104" t="str">
        <f>IF(OR($B293="",N($D293)=0),"",SUMIFS('Trade Log'!$R$6:$R$1005,'Trade Log'!$A$6:$A$1005,$B293))</f>
        <v/>
      </c>
      <c r="H293" s="96" t="str">
        <f>IF(OR($B293="",N($D293)=0),"",COUNTIFS('Trade Log'!$A$6:$A$1005,$B293,'Trade Log'!$Z$6:$Z$1005,"No"))</f>
        <v/>
      </c>
      <c r="I293" s="105" t="str">
        <f>IF(OR($B293="",N($D293)=0),"",IF(AND(ISNUMBER(Settings!$C$26),N($E293)&lt;=-N(Settings!$C$26)),"Hit daily max loss. ","")&amp;IF(COUNTIFS('Trade Log'!$A$6:$A$1005,$B293,'Trade Log'!$BM$6:$BM$1005,1)&gt;0,"Kept trading after daily max loss. ","")&amp;IF(AND(ISNUMBER(Settings!$C$25),N($D293)&gt;N(Settings!$C$25)),"Over max trades. ",""))</f>
        <v/>
      </c>
      <c r="J293" s="106" t="n"/>
      <c r="K293" s="106" t="n"/>
      <c r="L293" s="106" t="n"/>
      <c r="M293" s="29" t="n"/>
      <c r="N293" s="29" t="n"/>
      <c r="O293" s="106" t="n"/>
    </row>
    <row r="294">
      <c r="B294" s="107">
        <f>IF($B293="","",$B293+IF(AND(Settings!$C$10&lt;&gt;"Yes",WEEKDAY($B293,2)&gt;=5),8-WEEKDAY($B293,2),1))</f>
        <v>46688</v>
      </c>
      <c r="C294" s="103" t="str">
        <f>IF($B294="","",CHOOSE(WEEKDAY($B294,2),"Mon","Tue","Wed","Thu","Fri","Sat","Sun"))</f>
        <v>Thu</v>
      </c>
      <c r="D294" s="96">
        <f>IF($B294="","",COUNTIFS('Trade Log'!$A$6:$A$1005,$B294,'Trade Log'!$BH$6:$BH$1005,1))</f>
        <v>0</v>
      </c>
      <c r="E294" s="98" t="str">
        <f>IF(OR($B294="",N($D294)=0),"",SUMIFS('Trade Log'!$Q$6:$Q$1005,'Trade Log'!$A$6:$A$1005,$B294))</f>
        <v/>
      </c>
      <c r="F294" s="99" t="str">
        <f>IF(OR($B294="",N($D294)=0),"",IFERROR(COUNTIFS('Trade Log'!$A$6:$A$1005,$B294,'Trade Log'!$S$6:$S$1005,"Win")/(COUNTIFS('Trade Log'!$A$6:$A$1005,$B294,'Trade Log'!$S$6:$S$1005,"Win")+COUNTIFS('Trade Log'!$A$6:$A$1005,$B294,'Trade Log'!$S$6:$S$1005,"Loss")),"—"))</f>
        <v/>
      </c>
      <c r="G294" s="104" t="str">
        <f>IF(OR($B294="",N($D294)=0),"",SUMIFS('Trade Log'!$R$6:$R$1005,'Trade Log'!$A$6:$A$1005,$B294))</f>
        <v/>
      </c>
      <c r="H294" s="96" t="str">
        <f>IF(OR($B294="",N($D294)=0),"",COUNTIFS('Trade Log'!$A$6:$A$1005,$B294,'Trade Log'!$Z$6:$Z$1005,"No"))</f>
        <v/>
      </c>
      <c r="I294" s="105" t="str">
        <f>IF(OR($B294="",N($D294)=0),"",IF(AND(ISNUMBER(Settings!$C$26),N($E294)&lt;=-N(Settings!$C$26)),"Hit daily max loss. ","")&amp;IF(COUNTIFS('Trade Log'!$A$6:$A$1005,$B294,'Trade Log'!$BM$6:$BM$1005,1)&gt;0,"Kept trading after daily max loss. ","")&amp;IF(AND(ISNUMBER(Settings!$C$25),N($D294)&gt;N(Settings!$C$25)),"Over max trades. ",""))</f>
        <v/>
      </c>
      <c r="J294" s="106" t="n"/>
      <c r="K294" s="106" t="n"/>
      <c r="L294" s="106" t="n"/>
      <c r="M294" s="29" t="n"/>
      <c r="N294" s="29" t="n"/>
      <c r="O294" s="106" t="n"/>
    </row>
    <row r="295">
      <c r="B295" s="107">
        <f>IF($B294="","",$B294+IF(AND(Settings!$C$10&lt;&gt;"Yes",WEEKDAY($B294,2)&gt;=5),8-WEEKDAY($B294,2),1))</f>
        <v>46689</v>
      </c>
      <c r="C295" s="103" t="str">
        <f>IF($B295="","",CHOOSE(WEEKDAY($B295,2),"Mon","Tue","Wed","Thu","Fri","Sat","Sun"))</f>
        <v>Fri</v>
      </c>
      <c r="D295" s="96">
        <f>IF($B295="","",COUNTIFS('Trade Log'!$A$6:$A$1005,$B295,'Trade Log'!$BH$6:$BH$1005,1))</f>
        <v>0</v>
      </c>
      <c r="E295" s="98" t="str">
        <f>IF(OR($B295="",N($D295)=0),"",SUMIFS('Trade Log'!$Q$6:$Q$1005,'Trade Log'!$A$6:$A$1005,$B295))</f>
        <v/>
      </c>
      <c r="F295" s="99" t="str">
        <f>IF(OR($B295="",N($D295)=0),"",IFERROR(COUNTIFS('Trade Log'!$A$6:$A$1005,$B295,'Trade Log'!$S$6:$S$1005,"Win")/(COUNTIFS('Trade Log'!$A$6:$A$1005,$B295,'Trade Log'!$S$6:$S$1005,"Win")+COUNTIFS('Trade Log'!$A$6:$A$1005,$B295,'Trade Log'!$S$6:$S$1005,"Loss")),"—"))</f>
        <v/>
      </c>
      <c r="G295" s="104" t="str">
        <f>IF(OR($B295="",N($D295)=0),"",SUMIFS('Trade Log'!$R$6:$R$1005,'Trade Log'!$A$6:$A$1005,$B295))</f>
        <v/>
      </c>
      <c r="H295" s="96" t="str">
        <f>IF(OR($B295="",N($D295)=0),"",COUNTIFS('Trade Log'!$A$6:$A$1005,$B295,'Trade Log'!$Z$6:$Z$1005,"No"))</f>
        <v/>
      </c>
      <c r="I295" s="105" t="str">
        <f>IF(OR($B295="",N($D295)=0),"",IF(AND(ISNUMBER(Settings!$C$26),N($E295)&lt;=-N(Settings!$C$26)),"Hit daily max loss. ","")&amp;IF(COUNTIFS('Trade Log'!$A$6:$A$1005,$B295,'Trade Log'!$BM$6:$BM$1005,1)&gt;0,"Kept trading after daily max loss. ","")&amp;IF(AND(ISNUMBER(Settings!$C$25),N($D295)&gt;N(Settings!$C$25)),"Over max trades. ",""))</f>
        <v/>
      </c>
      <c r="J295" s="106" t="n"/>
      <c r="K295" s="106" t="n"/>
      <c r="L295" s="106" t="n"/>
      <c r="M295" s="29" t="n"/>
      <c r="N295" s="29" t="n"/>
      <c r="O295" s="106" t="n"/>
    </row>
    <row r="296">
      <c r="B296" s="107">
        <f>IF($B295="","",$B295+IF(AND(Settings!$C$10&lt;&gt;"Yes",WEEKDAY($B295,2)&gt;=5),8-WEEKDAY($B295,2),1))</f>
        <v>46692</v>
      </c>
      <c r="C296" s="103" t="str">
        <f>IF($B296="","",CHOOSE(WEEKDAY($B296,2),"Mon","Tue","Wed","Thu","Fri","Sat","Sun"))</f>
        <v>Mon</v>
      </c>
      <c r="D296" s="96">
        <f>IF($B296="","",COUNTIFS('Trade Log'!$A$6:$A$1005,$B296,'Trade Log'!$BH$6:$BH$1005,1))</f>
        <v>0</v>
      </c>
      <c r="E296" s="98" t="str">
        <f>IF(OR($B296="",N($D296)=0),"",SUMIFS('Trade Log'!$Q$6:$Q$1005,'Trade Log'!$A$6:$A$1005,$B296))</f>
        <v/>
      </c>
      <c r="F296" s="99" t="str">
        <f>IF(OR($B296="",N($D296)=0),"",IFERROR(COUNTIFS('Trade Log'!$A$6:$A$1005,$B296,'Trade Log'!$S$6:$S$1005,"Win")/(COUNTIFS('Trade Log'!$A$6:$A$1005,$B296,'Trade Log'!$S$6:$S$1005,"Win")+COUNTIFS('Trade Log'!$A$6:$A$1005,$B296,'Trade Log'!$S$6:$S$1005,"Loss")),"—"))</f>
        <v/>
      </c>
      <c r="G296" s="104" t="str">
        <f>IF(OR($B296="",N($D296)=0),"",SUMIFS('Trade Log'!$R$6:$R$1005,'Trade Log'!$A$6:$A$1005,$B296))</f>
        <v/>
      </c>
      <c r="H296" s="96" t="str">
        <f>IF(OR($B296="",N($D296)=0),"",COUNTIFS('Trade Log'!$A$6:$A$1005,$B296,'Trade Log'!$Z$6:$Z$1005,"No"))</f>
        <v/>
      </c>
      <c r="I296" s="105" t="str">
        <f>IF(OR($B296="",N($D296)=0),"",IF(AND(ISNUMBER(Settings!$C$26),N($E296)&lt;=-N(Settings!$C$26)),"Hit daily max loss. ","")&amp;IF(COUNTIFS('Trade Log'!$A$6:$A$1005,$B296,'Trade Log'!$BM$6:$BM$1005,1)&gt;0,"Kept trading after daily max loss. ","")&amp;IF(AND(ISNUMBER(Settings!$C$25),N($D296)&gt;N(Settings!$C$25)),"Over max trades. ",""))</f>
        <v/>
      </c>
      <c r="J296" s="106" t="n"/>
      <c r="K296" s="106" t="n"/>
      <c r="L296" s="106" t="n"/>
      <c r="M296" s="29" t="n"/>
      <c r="N296" s="29" t="n"/>
      <c r="O296" s="106" t="n"/>
    </row>
    <row r="297">
      <c r="B297" s="107">
        <f>IF($B296="","",$B296+IF(AND(Settings!$C$10&lt;&gt;"Yes",WEEKDAY($B296,2)&gt;=5),8-WEEKDAY($B296,2),1))</f>
        <v>46693</v>
      </c>
      <c r="C297" s="103" t="str">
        <f>IF($B297="","",CHOOSE(WEEKDAY($B297,2),"Mon","Tue","Wed","Thu","Fri","Sat","Sun"))</f>
        <v>Tue</v>
      </c>
      <c r="D297" s="96">
        <f>IF($B297="","",COUNTIFS('Trade Log'!$A$6:$A$1005,$B297,'Trade Log'!$BH$6:$BH$1005,1))</f>
        <v>0</v>
      </c>
      <c r="E297" s="98" t="str">
        <f>IF(OR($B297="",N($D297)=0),"",SUMIFS('Trade Log'!$Q$6:$Q$1005,'Trade Log'!$A$6:$A$1005,$B297))</f>
        <v/>
      </c>
      <c r="F297" s="99" t="str">
        <f>IF(OR($B297="",N($D297)=0),"",IFERROR(COUNTIFS('Trade Log'!$A$6:$A$1005,$B297,'Trade Log'!$S$6:$S$1005,"Win")/(COUNTIFS('Trade Log'!$A$6:$A$1005,$B297,'Trade Log'!$S$6:$S$1005,"Win")+COUNTIFS('Trade Log'!$A$6:$A$1005,$B297,'Trade Log'!$S$6:$S$1005,"Loss")),"—"))</f>
        <v/>
      </c>
      <c r="G297" s="104" t="str">
        <f>IF(OR($B297="",N($D297)=0),"",SUMIFS('Trade Log'!$R$6:$R$1005,'Trade Log'!$A$6:$A$1005,$B297))</f>
        <v/>
      </c>
      <c r="H297" s="96" t="str">
        <f>IF(OR($B297="",N($D297)=0),"",COUNTIFS('Trade Log'!$A$6:$A$1005,$B297,'Trade Log'!$Z$6:$Z$1005,"No"))</f>
        <v/>
      </c>
      <c r="I297" s="105" t="str">
        <f>IF(OR($B297="",N($D297)=0),"",IF(AND(ISNUMBER(Settings!$C$26),N($E297)&lt;=-N(Settings!$C$26)),"Hit daily max loss. ","")&amp;IF(COUNTIFS('Trade Log'!$A$6:$A$1005,$B297,'Trade Log'!$BM$6:$BM$1005,1)&gt;0,"Kept trading after daily max loss. ","")&amp;IF(AND(ISNUMBER(Settings!$C$25),N($D297)&gt;N(Settings!$C$25)),"Over max trades. ",""))</f>
        <v/>
      </c>
      <c r="J297" s="106" t="n"/>
      <c r="K297" s="106" t="n"/>
      <c r="L297" s="106" t="n"/>
      <c r="M297" s="29" t="n"/>
      <c r="N297" s="29" t="n"/>
      <c r="O297" s="106" t="n"/>
    </row>
    <row r="298">
      <c r="B298" s="107">
        <f>IF($B297="","",$B297+IF(AND(Settings!$C$10&lt;&gt;"Yes",WEEKDAY($B297,2)&gt;=5),8-WEEKDAY($B297,2),1))</f>
        <v>46694</v>
      </c>
      <c r="C298" s="103" t="str">
        <f>IF($B298="","",CHOOSE(WEEKDAY($B298,2),"Mon","Tue","Wed","Thu","Fri","Sat","Sun"))</f>
        <v>Wed</v>
      </c>
      <c r="D298" s="96">
        <f>IF($B298="","",COUNTIFS('Trade Log'!$A$6:$A$1005,$B298,'Trade Log'!$BH$6:$BH$1005,1))</f>
        <v>0</v>
      </c>
      <c r="E298" s="98" t="str">
        <f>IF(OR($B298="",N($D298)=0),"",SUMIFS('Trade Log'!$Q$6:$Q$1005,'Trade Log'!$A$6:$A$1005,$B298))</f>
        <v/>
      </c>
      <c r="F298" s="99" t="str">
        <f>IF(OR($B298="",N($D298)=0),"",IFERROR(COUNTIFS('Trade Log'!$A$6:$A$1005,$B298,'Trade Log'!$S$6:$S$1005,"Win")/(COUNTIFS('Trade Log'!$A$6:$A$1005,$B298,'Trade Log'!$S$6:$S$1005,"Win")+COUNTIFS('Trade Log'!$A$6:$A$1005,$B298,'Trade Log'!$S$6:$S$1005,"Loss")),"—"))</f>
        <v/>
      </c>
      <c r="G298" s="104" t="str">
        <f>IF(OR($B298="",N($D298)=0),"",SUMIFS('Trade Log'!$R$6:$R$1005,'Trade Log'!$A$6:$A$1005,$B298))</f>
        <v/>
      </c>
      <c r="H298" s="96" t="str">
        <f>IF(OR($B298="",N($D298)=0),"",COUNTIFS('Trade Log'!$A$6:$A$1005,$B298,'Trade Log'!$Z$6:$Z$1005,"No"))</f>
        <v/>
      </c>
      <c r="I298" s="105" t="str">
        <f>IF(OR($B298="",N($D298)=0),"",IF(AND(ISNUMBER(Settings!$C$26),N($E298)&lt;=-N(Settings!$C$26)),"Hit daily max loss. ","")&amp;IF(COUNTIFS('Trade Log'!$A$6:$A$1005,$B298,'Trade Log'!$BM$6:$BM$1005,1)&gt;0,"Kept trading after daily max loss. ","")&amp;IF(AND(ISNUMBER(Settings!$C$25),N($D298)&gt;N(Settings!$C$25)),"Over max trades. ",""))</f>
        <v/>
      </c>
      <c r="J298" s="106" t="n"/>
      <c r="K298" s="106" t="n"/>
      <c r="L298" s="106" t="n"/>
      <c r="M298" s="29" t="n"/>
      <c r="N298" s="29" t="n"/>
      <c r="O298" s="106" t="n"/>
    </row>
    <row r="299">
      <c r="B299" s="107">
        <f>IF($B298="","",$B298+IF(AND(Settings!$C$10&lt;&gt;"Yes",WEEKDAY($B298,2)&gt;=5),8-WEEKDAY($B298,2),1))</f>
        <v>46695</v>
      </c>
      <c r="C299" s="103" t="str">
        <f>IF($B299="","",CHOOSE(WEEKDAY($B299,2),"Mon","Tue","Wed","Thu","Fri","Sat","Sun"))</f>
        <v>Thu</v>
      </c>
      <c r="D299" s="96">
        <f>IF($B299="","",COUNTIFS('Trade Log'!$A$6:$A$1005,$B299,'Trade Log'!$BH$6:$BH$1005,1))</f>
        <v>0</v>
      </c>
      <c r="E299" s="98" t="str">
        <f>IF(OR($B299="",N($D299)=0),"",SUMIFS('Trade Log'!$Q$6:$Q$1005,'Trade Log'!$A$6:$A$1005,$B299))</f>
        <v/>
      </c>
      <c r="F299" s="99" t="str">
        <f>IF(OR($B299="",N($D299)=0),"",IFERROR(COUNTIFS('Trade Log'!$A$6:$A$1005,$B299,'Trade Log'!$S$6:$S$1005,"Win")/(COUNTIFS('Trade Log'!$A$6:$A$1005,$B299,'Trade Log'!$S$6:$S$1005,"Win")+COUNTIFS('Trade Log'!$A$6:$A$1005,$B299,'Trade Log'!$S$6:$S$1005,"Loss")),"—"))</f>
        <v/>
      </c>
      <c r="G299" s="104" t="str">
        <f>IF(OR($B299="",N($D299)=0),"",SUMIFS('Trade Log'!$R$6:$R$1005,'Trade Log'!$A$6:$A$1005,$B299))</f>
        <v/>
      </c>
      <c r="H299" s="96" t="str">
        <f>IF(OR($B299="",N($D299)=0),"",COUNTIFS('Trade Log'!$A$6:$A$1005,$B299,'Trade Log'!$Z$6:$Z$1005,"No"))</f>
        <v/>
      </c>
      <c r="I299" s="105" t="str">
        <f>IF(OR($B299="",N($D299)=0),"",IF(AND(ISNUMBER(Settings!$C$26),N($E299)&lt;=-N(Settings!$C$26)),"Hit daily max loss. ","")&amp;IF(COUNTIFS('Trade Log'!$A$6:$A$1005,$B299,'Trade Log'!$BM$6:$BM$1005,1)&gt;0,"Kept trading after daily max loss. ","")&amp;IF(AND(ISNUMBER(Settings!$C$25),N($D299)&gt;N(Settings!$C$25)),"Over max trades. ",""))</f>
        <v/>
      </c>
      <c r="J299" s="106" t="n"/>
      <c r="K299" s="106" t="n"/>
      <c r="L299" s="106" t="n"/>
      <c r="M299" s="29" t="n"/>
      <c r="N299" s="29" t="n"/>
      <c r="O299" s="106" t="n"/>
    </row>
    <row r="300">
      <c r="B300" s="107">
        <f>IF($B299="","",$B299+IF(AND(Settings!$C$10&lt;&gt;"Yes",WEEKDAY($B299,2)&gt;=5),8-WEEKDAY($B299,2),1))</f>
        <v>46696</v>
      </c>
      <c r="C300" s="103" t="str">
        <f>IF($B300="","",CHOOSE(WEEKDAY($B300,2),"Mon","Tue","Wed","Thu","Fri","Sat","Sun"))</f>
        <v>Fri</v>
      </c>
      <c r="D300" s="96">
        <f>IF($B300="","",COUNTIFS('Trade Log'!$A$6:$A$1005,$B300,'Trade Log'!$BH$6:$BH$1005,1))</f>
        <v>0</v>
      </c>
      <c r="E300" s="98" t="str">
        <f>IF(OR($B300="",N($D300)=0),"",SUMIFS('Trade Log'!$Q$6:$Q$1005,'Trade Log'!$A$6:$A$1005,$B300))</f>
        <v/>
      </c>
      <c r="F300" s="99" t="str">
        <f>IF(OR($B300="",N($D300)=0),"",IFERROR(COUNTIFS('Trade Log'!$A$6:$A$1005,$B300,'Trade Log'!$S$6:$S$1005,"Win")/(COUNTIFS('Trade Log'!$A$6:$A$1005,$B300,'Trade Log'!$S$6:$S$1005,"Win")+COUNTIFS('Trade Log'!$A$6:$A$1005,$B300,'Trade Log'!$S$6:$S$1005,"Loss")),"—"))</f>
        <v/>
      </c>
      <c r="G300" s="104" t="str">
        <f>IF(OR($B300="",N($D300)=0),"",SUMIFS('Trade Log'!$R$6:$R$1005,'Trade Log'!$A$6:$A$1005,$B300))</f>
        <v/>
      </c>
      <c r="H300" s="96" t="str">
        <f>IF(OR($B300="",N($D300)=0),"",COUNTIFS('Trade Log'!$A$6:$A$1005,$B300,'Trade Log'!$Z$6:$Z$1005,"No"))</f>
        <v/>
      </c>
      <c r="I300" s="105" t="str">
        <f>IF(OR($B300="",N($D300)=0),"",IF(AND(ISNUMBER(Settings!$C$26),N($E300)&lt;=-N(Settings!$C$26)),"Hit daily max loss. ","")&amp;IF(COUNTIFS('Trade Log'!$A$6:$A$1005,$B300,'Trade Log'!$BM$6:$BM$1005,1)&gt;0,"Kept trading after daily max loss. ","")&amp;IF(AND(ISNUMBER(Settings!$C$25),N($D300)&gt;N(Settings!$C$25)),"Over max trades. ",""))</f>
        <v/>
      </c>
      <c r="J300" s="106" t="n"/>
      <c r="K300" s="106" t="n"/>
      <c r="L300" s="106" t="n"/>
      <c r="M300" s="29" t="n"/>
      <c r="N300" s="29" t="n"/>
      <c r="O300" s="106" t="n"/>
    </row>
    <row r="301">
      <c r="B301" s="107">
        <f>IF($B300="","",$B300+IF(AND(Settings!$C$10&lt;&gt;"Yes",WEEKDAY($B300,2)&gt;=5),8-WEEKDAY($B300,2),1))</f>
        <v>46699</v>
      </c>
      <c r="C301" s="103" t="str">
        <f>IF($B301="","",CHOOSE(WEEKDAY($B301,2),"Mon","Tue","Wed","Thu","Fri","Sat","Sun"))</f>
        <v>Mon</v>
      </c>
      <c r="D301" s="96">
        <f>IF($B301="","",COUNTIFS('Trade Log'!$A$6:$A$1005,$B301,'Trade Log'!$BH$6:$BH$1005,1))</f>
        <v>0</v>
      </c>
      <c r="E301" s="98" t="str">
        <f>IF(OR($B301="",N($D301)=0),"",SUMIFS('Trade Log'!$Q$6:$Q$1005,'Trade Log'!$A$6:$A$1005,$B301))</f>
        <v/>
      </c>
      <c r="F301" s="99" t="str">
        <f>IF(OR($B301="",N($D301)=0),"",IFERROR(COUNTIFS('Trade Log'!$A$6:$A$1005,$B301,'Trade Log'!$S$6:$S$1005,"Win")/(COUNTIFS('Trade Log'!$A$6:$A$1005,$B301,'Trade Log'!$S$6:$S$1005,"Win")+COUNTIFS('Trade Log'!$A$6:$A$1005,$B301,'Trade Log'!$S$6:$S$1005,"Loss")),"—"))</f>
        <v/>
      </c>
      <c r="G301" s="104" t="str">
        <f>IF(OR($B301="",N($D301)=0),"",SUMIFS('Trade Log'!$R$6:$R$1005,'Trade Log'!$A$6:$A$1005,$B301))</f>
        <v/>
      </c>
      <c r="H301" s="96" t="str">
        <f>IF(OR($B301="",N($D301)=0),"",COUNTIFS('Trade Log'!$A$6:$A$1005,$B301,'Trade Log'!$Z$6:$Z$1005,"No"))</f>
        <v/>
      </c>
      <c r="I301" s="105" t="str">
        <f>IF(OR($B301="",N($D301)=0),"",IF(AND(ISNUMBER(Settings!$C$26),N($E301)&lt;=-N(Settings!$C$26)),"Hit daily max loss. ","")&amp;IF(COUNTIFS('Trade Log'!$A$6:$A$1005,$B301,'Trade Log'!$BM$6:$BM$1005,1)&gt;0,"Kept trading after daily max loss. ","")&amp;IF(AND(ISNUMBER(Settings!$C$25),N($D301)&gt;N(Settings!$C$25)),"Over max trades. ",""))</f>
        <v/>
      </c>
      <c r="J301" s="106" t="n"/>
      <c r="K301" s="106" t="n"/>
      <c r="L301" s="106" t="n"/>
      <c r="M301" s="29" t="n"/>
      <c r="N301" s="29" t="n"/>
      <c r="O301" s="106" t="n"/>
    </row>
    <row r="302">
      <c r="B302" s="107">
        <f>IF($B301="","",$B301+IF(AND(Settings!$C$10&lt;&gt;"Yes",WEEKDAY($B301,2)&gt;=5),8-WEEKDAY($B301,2),1))</f>
        <v>46700</v>
      </c>
      <c r="C302" s="103" t="str">
        <f>IF($B302="","",CHOOSE(WEEKDAY($B302,2),"Mon","Tue","Wed","Thu","Fri","Sat","Sun"))</f>
        <v>Tue</v>
      </c>
      <c r="D302" s="96">
        <f>IF($B302="","",COUNTIFS('Trade Log'!$A$6:$A$1005,$B302,'Trade Log'!$BH$6:$BH$1005,1))</f>
        <v>0</v>
      </c>
      <c r="E302" s="98" t="str">
        <f>IF(OR($B302="",N($D302)=0),"",SUMIFS('Trade Log'!$Q$6:$Q$1005,'Trade Log'!$A$6:$A$1005,$B302))</f>
        <v/>
      </c>
      <c r="F302" s="99" t="str">
        <f>IF(OR($B302="",N($D302)=0),"",IFERROR(COUNTIFS('Trade Log'!$A$6:$A$1005,$B302,'Trade Log'!$S$6:$S$1005,"Win")/(COUNTIFS('Trade Log'!$A$6:$A$1005,$B302,'Trade Log'!$S$6:$S$1005,"Win")+COUNTIFS('Trade Log'!$A$6:$A$1005,$B302,'Trade Log'!$S$6:$S$1005,"Loss")),"—"))</f>
        <v/>
      </c>
      <c r="G302" s="104" t="str">
        <f>IF(OR($B302="",N($D302)=0),"",SUMIFS('Trade Log'!$R$6:$R$1005,'Trade Log'!$A$6:$A$1005,$B302))</f>
        <v/>
      </c>
      <c r="H302" s="96" t="str">
        <f>IF(OR($B302="",N($D302)=0),"",COUNTIFS('Trade Log'!$A$6:$A$1005,$B302,'Trade Log'!$Z$6:$Z$1005,"No"))</f>
        <v/>
      </c>
      <c r="I302" s="105" t="str">
        <f>IF(OR($B302="",N($D302)=0),"",IF(AND(ISNUMBER(Settings!$C$26),N($E302)&lt;=-N(Settings!$C$26)),"Hit daily max loss. ","")&amp;IF(COUNTIFS('Trade Log'!$A$6:$A$1005,$B302,'Trade Log'!$BM$6:$BM$1005,1)&gt;0,"Kept trading after daily max loss. ","")&amp;IF(AND(ISNUMBER(Settings!$C$25),N($D302)&gt;N(Settings!$C$25)),"Over max trades. ",""))</f>
        <v/>
      </c>
      <c r="J302" s="106" t="n"/>
      <c r="K302" s="106" t="n"/>
      <c r="L302" s="106" t="n"/>
      <c r="M302" s="29" t="n"/>
      <c r="N302" s="29" t="n"/>
      <c r="O302" s="106" t="n"/>
    </row>
    <row r="303">
      <c r="B303" s="107">
        <f>IF($B302="","",$B302+IF(AND(Settings!$C$10&lt;&gt;"Yes",WEEKDAY($B302,2)&gt;=5),8-WEEKDAY($B302,2),1))</f>
        <v>46701</v>
      </c>
      <c r="C303" s="103" t="str">
        <f>IF($B303="","",CHOOSE(WEEKDAY($B303,2),"Mon","Tue","Wed","Thu","Fri","Sat","Sun"))</f>
        <v>Wed</v>
      </c>
      <c r="D303" s="96">
        <f>IF($B303="","",COUNTIFS('Trade Log'!$A$6:$A$1005,$B303,'Trade Log'!$BH$6:$BH$1005,1))</f>
        <v>0</v>
      </c>
      <c r="E303" s="98" t="str">
        <f>IF(OR($B303="",N($D303)=0),"",SUMIFS('Trade Log'!$Q$6:$Q$1005,'Trade Log'!$A$6:$A$1005,$B303))</f>
        <v/>
      </c>
      <c r="F303" s="99" t="str">
        <f>IF(OR($B303="",N($D303)=0),"",IFERROR(COUNTIFS('Trade Log'!$A$6:$A$1005,$B303,'Trade Log'!$S$6:$S$1005,"Win")/(COUNTIFS('Trade Log'!$A$6:$A$1005,$B303,'Trade Log'!$S$6:$S$1005,"Win")+COUNTIFS('Trade Log'!$A$6:$A$1005,$B303,'Trade Log'!$S$6:$S$1005,"Loss")),"—"))</f>
        <v/>
      </c>
      <c r="G303" s="104" t="str">
        <f>IF(OR($B303="",N($D303)=0),"",SUMIFS('Trade Log'!$R$6:$R$1005,'Trade Log'!$A$6:$A$1005,$B303))</f>
        <v/>
      </c>
      <c r="H303" s="96" t="str">
        <f>IF(OR($B303="",N($D303)=0),"",COUNTIFS('Trade Log'!$A$6:$A$1005,$B303,'Trade Log'!$Z$6:$Z$1005,"No"))</f>
        <v/>
      </c>
      <c r="I303" s="105" t="str">
        <f>IF(OR($B303="",N($D303)=0),"",IF(AND(ISNUMBER(Settings!$C$26),N($E303)&lt;=-N(Settings!$C$26)),"Hit daily max loss. ","")&amp;IF(COUNTIFS('Trade Log'!$A$6:$A$1005,$B303,'Trade Log'!$BM$6:$BM$1005,1)&gt;0,"Kept trading after daily max loss. ","")&amp;IF(AND(ISNUMBER(Settings!$C$25),N($D303)&gt;N(Settings!$C$25)),"Over max trades. ",""))</f>
        <v/>
      </c>
      <c r="J303" s="106" t="n"/>
      <c r="K303" s="106" t="n"/>
      <c r="L303" s="106" t="n"/>
      <c r="M303" s="29" t="n"/>
      <c r="N303" s="29" t="n"/>
      <c r="O303" s="106" t="n"/>
    </row>
    <row r="304">
      <c r="B304" s="107">
        <f>IF($B303="","",$B303+IF(AND(Settings!$C$10&lt;&gt;"Yes",WEEKDAY($B303,2)&gt;=5),8-WEEKDAY($B303,2),1))</f>
        <v>46702</v>
      </c>
      <c r="C304" s="103" t="str">
        <f>IF($B304="","",CHOOSE(WEEKDAY($B304,2),"Mon","Tue","Wed","Thu","Fri","Sat","Sun"))</f>
        <v>Thu</v>
      </c>
      <c r="D304" s="96">
        <f>IF($B304="","",COUNTIFS('Trade Log'!$A$6:$A$1005,$B304,'Trade Log'!$BH$6:$BH$1005,1))</f>
        <v>0</v>
      </c>
      <c r="E304" s="98" t="str">
        <f>IF(OR($B304="",N($D304)=0),"",SUMIFS('Trade Log'!$Q$6:$Q$1005,'Trade Log'!$A$6:$A$1005,$B304))</f>
        <v/>
      </c>
      <c r="F304" s="99" t="str">
        <f>IF(OR($B304="",N($D304)=0),"",IFERROR(COUNTIFS('Trade Log'!$A$6:$A$1005,$B304,'Trade Log'!$S$6:$S$1005,"Win")/(COUNTIFS('Trade Log'!$A$6:$A$1005,$B304,'Trade Log'!$S$6:$S$1005,"Win")+COUNTIFS('Trade Log'!$A$6:$A$1005,$B304,'Trade Log'!$S$6:$S$1005,"Loss")),"—"))</f>
        <v/>
      </c>
      <c r="G304" s="104" t="str">
        <f>IF(OR($B304="",N($D304)=0),"",SUMIFS('Trade Log'!$R$6:$R$1005,'Trade Log'!$A$6:$A$1005,$B304))</f>
        <v/>
      </c>
      <c r="H304" s="96" t="str">
        <f>IF(OR($B304="",N($D304)=0),"",COUNTIFS('Trade Log'!$A$6:$A$1005,$B304,'Trade Log'!$Z$6:$Z$1005,"No"))</f>
        <v/>
      </c>
      <c r="I304" s="105" t="str">
        <f>IF(OR($B304="",N($D304)=0),"",IF(AND(ISNUMBER(Settings!$C$26),N($E304)&lt;=-N(Settings!$C$26)),"Hit daily max loss. ","")&amp;IF(COUNTIFS('Trade Log'!$A$6:$A$1005,$B304,'Trade Log'!$BM$6:$BM$1005,1)&gt;0,"Kept trading after daily max loss. ","")&amp;IF(AND(ISNUMBER(Settings!$C$25),N($D304)&gt;N(Settings!$C$25)),"Over max trades. ",""))</f>
        <v/>
      </c>
      <c r="J304" s="106" t="n"/>
      <c r="K304" s="106" t="n"/>
      <c r="L304" s="106" t="n"/>
      <c r="M304" s="29" t="n"/>
      <c r="N304" s="29" t="n"/>
      <c r="O304" s="106" t="n"/>
    </row>
    <row r="305">
      <c r="B305" s="107">
        <f>IF($B304="","",$B304+IF(AND(Settings!$C$10&lt;&gt;"Yes",WEEKDAY($B304,2)&gt;=5),8-WEEKDAY($B304,2),1))</f>
        <v>46703</v>
      </c>
      <c r="C305" s="103" t="str">
        <f>IF($B305="","",CHOOSE(WEEKDAY($B305,2),"Mon","Tue","Wed","Thu","Fri","Sat","Sun"))</f>
        <v>Fri</v>
      </c>
      <c r="D305" s="96">
        <f>IF($B305="","",COUNTIFS('Trade Log'!$A$6:$A$1005,$B305,'Trade Log'!$BH$6:$BH$1005,1))</f>
        <v>0</v>
      </c>
      <c r="E305" s="98" t="str">
        <f>IF(OR($B305="",N($D305)=0),"",SUMIFS('Trade Log'!$Q$6:$Q$1005,'Trade Log'!$A$6:$A$1005,$B305))</f>
        <v/>
      </c>
      <c r="F305" s="99" t="str">
        <f>IF(OR($B305="",N($D305)=0),"",IFERROR(COUNTIFS('Trade Log'!$A$6:$A$1005,$B305,'Trade Log'!$S$6:$S$1005,"Win")/(COUNTIFS('Trade Log'!$A$6:$A$1005,$B305,'Trade Log'!$S$6:$S$1005,"Win")+COUNTIFS('Trade Log'!$A$6:$A$1005,$B305,'Trade Log'!$S$6:$S$1005,"Loss")),"—"))</f>
        <v/>
      </c>
      <c r="G305" s="104" t="str">
        <f>IF(OR($B305="",N($D305)=0),"",SUMIFS('Trade Log'!$R$6:$R$1005,'Trade Log'!$A$6:$A$1005,$B305))</f>
        <v/>
      </c>
      <c r="H305" s="96" t="str">
        <f>IF(OR($B305="",N($D305)=0),"",COUNTIFS('Trade Log'!$A$6:$A$1005,$B305,'Trade Log'!$Z$6:$Z$1005,"No"))</f>
        <v/>
      </c>
      <c r="I305" s="105" t="str">
        <f>IF(OR($B305="",N($D305)=0),"",IF(AND(ISNUMBER(Settings!$C$26),N($E305)&lt;=-N(Settings!$C$26)),"Hit daily max loss. ","")&amp;IF(COUNTIFS('Trade Log'!$A$6:$A$1005,$B305,'Trade Log'!$BM$6:$BM$1005,1)&gt;0,"Kept trading after daily max loss. ","")&amp;IF(AND(ISNUMBER(Settings!$C$25),N($D305)&gt;N(Settings!$C$25)),"Over max trades. ",""))</f>
        <v/>
      </c>
      <c r="J305" s="106" t="n"/>
      <c r="K305" s="106" t="n"/>
      <c r="L305" s="106" t="n"/>
      <c r="M305" s="29" t="n"/>
      <c r="N305" s="29" t="n"/>
      <c r="O305" s="106" t="n"/>
    </row>
    <row r="306">
      <c r="B306" s="107">
        <f>IF($B305="","",$B305+IF(AND(Settings!$C$10&lt;&gt;"Yes",WEEKDAY($B305,2)&gt;=5),8-WEEKDAY($B305,2),1))</f>
        <v>46706</v>
      </c>
      <c r="C306" s="103" t="str">
        <f>IF($B306="","",CHOOSE(WEEKDAY($B306,2),"Mon","Tue","Wed","Thu","Fri","Sat","Sun"))</f>
        <v>Mon</v>
      </c>
      <c r="D306" s="96">
        <f>IF($B306="","",COUNTIFS('Trade Log'!$A$6:$A$1005,$B306,'Trade Log'!$BH$6:$BH$1005,1))</f>
        <v>0</v>
      </c>
      <c r="E306" s="98" t="str">
        <f>IF(OR($B306="",N($D306)=0),"",SUMIFS('Trade Log'!$Q$6:$Q$1005,'Trade Log'!$A$6:$A$1005,$B306))</f>
        <v/>
      </c>
      <c r="F306" s="99" t="str">
        <f>IF(OR($B306="",N($D306)=0),"",IFERROR(COUNTIFS('Trade Log'!$A$6:$A$1005,$B306,'Trade Log'!$S$6:$S$1005,"Win")/(COUNTIFS('Trade Log'!$A$6:$A$1005,$B306,'Trade Log'!$S$6:$S$1005,"Win")+COUNTIFS('Trade Log'!$A$6:$A$1005,$B306,'Trade Log'!$S$6:$S$1005,"Loss")),"—"))</f>
        <v/>
      </c>
      <c r="G306" s="104" t="str">
        <f>IF(OR($B306="",N($D306)=0),"",SUMIFS('Trade Log'!$R$6:$R$1005,'Trade Log'!$A$6:$A$1005,$B306))</f>
        <v/>
      </c>
      <c r="H306" s="96" t="str">
        <f>IF(OR($B306="",N($D306)=0),"",COUNTIFS('Trade Log'!$A$6:$A$1005,$B306,'Trade Log'!$Z$6:$Z$1005,"No"))</f>
        <v/>
      </c>
      <c r="I306" s="105" t="str">
        <f>IF(OR($B306="",N($D306)=0),"",IF(AND(ISNUMBER(Settings!$C$26),N($E306)&lt;=-N(Settings!$C$26)),"Hit daily max loss. ","")&amp;IF(COUNTIFS('Trade Log'!$A$6:$A$1005,$B306,'Trade Log'!$BM$6:$BM$1005,1)&gt;0,"Kept trading after daily max loss. ","")&amp;IF(AND(ISNUMBER(Settings!$C$25),N($D306)&gt;N(Settings!$C$25)),"Over max trades. ",""))</f>
        <v/>
      </c>
      <c r="J306" s="106" t="n"/>
      <c r="K306" s="106" t="n"/>
      <c r="L306" s="106" t="n"/>
      <c r="M306" s="29" t="n"/>
      <c r="N306" s="29" t="n"/>
      <c r="O306" s="106" t="n"/>
    </row>
    <row r="307">
      <c r="B307" s="107">
        <f>IF($B306="","",$B306+IF(AND(Settings!$C$10&lt;&gt;"Yes",WEEKDAY($B306,2)&gt;=5),8-WEEKDAY($B306,2),1))</f>
        <v>46707</v>
      </c>
      <c r="C307" s="103" t="str">
        <f>IF($B307="","",CHOOSE(WEEKDAY($B307,2),"Mon","Tue","Wed","Thu","Fri","Sat","Sun"))</f>
        <v>Tue</v>
      </c>
      <c r="D307" s="96">
        <f>IF($B307="","",COUNTIFS('Trade Log'!$A$6:$A$1005,$B307,'Trade Log'!$BH$6:$BH$1005,1))</f>
        <v>0</v>
      </c>
      <c r="E307" s="98" t="str">
        <f>IF(OR($B307="",N($D307)=0),"",SUMIFS('Trade Log'!$Q$6:$Q$1005,'Trade Log'!$A$6:$A$1005,$B307))</f>
        <v/>
      </c>
      <c r="F307" s="99" t="str">
        <f>IF(OR($B307="",N($D307)=0),"",IFERROR(COUNTIFS('Trade Log'!$A$6:$A$1005,$B307,'Trade Log'!$S$6:$S$1005,"Win")/(COUNTIFS('Trade Log'!$A$6:$A$1005,$B307,'Trade Log'!$S$6:$S$1005,"Win")+COUNTIFS('Trade Log'!$A$6:$A$1005,$B307,'Trade Log'!$S$6:$S$1005,"Loss")),"—"))</f>
        <v/>
      </c>
      <c r="G307" s="104" t="str">
        <f>IF(OR($B307="",N($D307)=0),"",SUMIFS('Trade Log'!$R$6:$R$1005,'Trade Log'!$A$6:$A$1005,$B307))</f>
        <v/>
      </c>
      <c r="H307" s="96" t="str">
        <f>IF(OR($B307="",N($D307)=0),"",COUNTIFS('Trade Log'!$A$6:$A$1005,$B307,'Trade Log'!$Z$6:$Z$1005,"No"))</f>
        <v/>
      </c>
      <c r="I307" s="105" t="str">
        <f>IF(OR($B307="",N($D307)=0),"",IF(AND(ISNUMBER(Settings!$C$26),N($E307)&lt;=-N(Settings!$C$26)),"Hit daily max loss. ","")&amp;IF(COUNTIFS('Trade Log'!$A$6:$A$1005,$B307,'Trade Log'!$BM$6:$BM$1005,1)&gt;0,"Kept trading after daily max loss. ","")&amp;IF(AND(ISNUMBER(Settings!$C$25),N($D307)&gt;N(Settings!$C$25)),"Over max trades. ",""))</f>
        <v/>
      </c>
      <c r="J307" s="106" t="n"/>
      <c r="K307" s="106" t="n"/>
      <c r="L307" s="106" t="n"/>
      <c r="M307" s="29" t="n"/>
      <c r="N307" s="29" t="n"/>
      <c r="O307" s="106" t="n"/>
    </row>
    <row r="308">
      <c r="B308" s="107">
        <f>IF($B307="","",$B307+IF(AND(Settings!$C$10&lt;&gt;"Yes",WEEKDAY($B307,2)&gt;=5),8-WEEKDAY($B307,2),1))</f>
        <v>46708</v>
      </c>
      <c r="C308" s="103" t="str">
        <f>IF($B308="","",CHOOSE(WEEKDAY($B308,2),"Mon","Tue","Wed","Thu","Fri","Sat","Sun"))</f>
        <v>Wed</v>
      </c>
      <c r="D308" s="96">
        <f>IF($B308="","",COUNTIFS('Trade Log'!$A$6:$A$1005,$B308,'Trade Log'!$BH$6:$BH$1005,1))</f>
        <v>0</v>
      </c>
      <c r="E308" s="98" t="str">
        <f>IF(OR($B308="",N($D308)=0),"",SUMIFS('Trade Log'!$Q$6:$Q$1005,'Trade Log'!$A$6:$A$1005,$B308))</f>
        <v/>
      </c>
      <c r="F308" s="99" t="str">
        <f>IF(OR($B308="",N($D308)=0),"",IFERROR(COUNTIFS('Trade Log'!$A$6:$A$1005,$B308,'Trade Log'!$S$6:$S$1005,"Win")/(COUNTIFS('Trade Log'!$A$6:$A$1005,$B308,'Trade Log'!$S$6:$S$1005,"Win")+COUNTIFS('Trade Log'!$A$6:$A$1005,$B308,'Trade Log'!$S$6:$S$1005,"Loss")),"—"))</f>
        <v/>
      </c>
      <c r="G308" s="104" t="str">
        <f>IF(OR($B308="",N($D308)=0),"",SUMIFS('Trade Log'!$R$6:$R$1005,'Trade Log'!$A$6:$A$1005,$B308))</f>
        <v/>
      </c>
      <c r="H308" s="96" t="str">
        <f>IF(OR($B308="",N($D308)=0),"",COUNTIFS('Trade Log'!$A$6:$A$1005,$B308,'Trade Log'!$Z$6:$Z$1005,"No"))</f>
        <v/>
      </c>
      <c r="I308" s="105" t="str">
        <f>IF(OR($B308="",N($D308)=0),"",IF(AND(ISNUMBER(Settings!$C$26),N($E308)&lt;=-N(Settings!$C$26)),"Hit daily max loss. ","")&amp;IF(COUNTIFS('Trade Log'!$A$6:$A$1005,$B308,'Trade Log'!$BM$6:$BM$1005,1)&gt;0,"Kept trading after daily max loss. ","")&amp;IF(AND(ISNUMBER(Settings!$C$25),N($D308)&gt;N(Settings!$C$25)),"Over max trades. ",""))</f>
        <v/>
      </c>
      <c r="J308" s="106" t="n"/>
      <c r="K308" s="106" t="n"/>
      <c r="L308" s="106" t="n"/>
      <c r="M308" s="29" t="n"/>
      <c r="N308" s="29" t="n"/>
      <c r="O308" s="106" t="n"/>
    </row>
    <row r="309">
      <c r="B309" s="107">
        <f>IF($B308="","",$B308+IF(AND(Settings!$C$10&lt;&gt;"Yes",WEEKDAY($B308,2)&gt;=5),8-WEEKDAY($B308,2),1))</f>
        <v>46709</v>
      </c>
      <c r="C309" s="103" t="str">
        <f>IF($B309="","",CHOOSE(WEEKDAY($B309,2),"Mon","Tue","Wed","Thu","Fri","Sat","Sun"))</f>
        <v>Thu</v>
      </c>
      <c r="D309" s="96">
        <f>IF($B309="","",COUNTIFS('Trade Log'!$A$6:$A$1005,$B309,'Trade Log'!$BH$6:$BH$1005,1))</f>
        <v>0</v>
      </c>
      <c r="E309" s="98" t="str">
        <f>IF(OR($B309="",N($D309)=0),"",SUMIFS('Trade Log'!$Q$6:$Q$1005,'Trade Log'!$A$6:$A$1005,$B309))</f>
        <v/>
      </c>
      <c r="F309" s="99" t="str">
        <f>IF(OR($B309="",N($D309)=0),"",IFERROR(COUNTIFS('Trade Log'!$A$6:$A$1005,$B309,'Trade Log'!$S$6:$S$1005,"Win")/(COUNTIFS('Trade Log'!$A$6:$A$1005,$B309,'Trade Log'!$S$6:$S$1005,"Win")+COUNTIFS('Trade Log'!$A$6:$A$1005,$B309,'Trade Log'!$S$6:$S$1005,"Loss")),"—"))</f>
        <v/>
      </c>
      <c r="G309" s="104" t="str">
        <f>IF(OR($B309="",N($D309)=0),"",SUMIFS('Trade Log'!$R$6:$R$1005,'Trade Log'!$A$6:$A$1005,$B309))</f>
        <v/>
      </c>
      <c r="H309" s="96" t="str">
        <f>IF(OR($B309="",N($D309)=0),"",COUNTIFS('Trade Log'!$A$6:$A$1005,$B309,'Trade Log'!$Z$6:$Z$1005,"No"))</f>
        <v/>
      </c>
      <c r="I309" s="105" t="str">
        <f>IF(OR($B309="",N($D309)=0),"",IF(AND(ISNUMBER(Settings!$C$26),N($E309)&lt;=-N(Settings!$C$26)),"Hit daily max loss. ","")&amp;IF(COUNTIFS('Trade Log'!$A$6:$A$1005,$B309,'Trade Log'!$BM$6:$BM$1005,1)&gt;0,"Kept trading after daily max loss. ","")&amp;IF(AND(ISNUMBER(Settings!$C$25),N($D309)&gt;N(Settings!$C$25)),"Over max trades. ",""))</f>
        <v/>
      </c>
      <c r="J309" s="106" t="n"/>
      <c r="K309" s="106" t="n"/>
      <c r="L309" s="106" t="n"/>
      <c r="M309" s="29" t="n"/>
      <c r="N309" s="29" t="n"/>
      <c r="O309" s="106" t="n"/>
    </row>
    <row r="310">
      <c r="B310" s="107">
        <f>IF($B309="","",$B309+IF(AND(Settings!$C$10&lt;&gt;"Yes",WEEKDAY($B309,2)&gt;=5),8-WEEKDAY($B309,2),1))</f>
        <v>46710</v>
      </c>
      <c r="C310" s="103" t="str">
        <f>IF($B310="","",CHOOSE(WEEKDAY($B310,2),"Mon","Tue","Wed","Thu","Fri","Sat","Sun"))</f>
        <v>Fri</v>
      </c>
      <c r="D310" s="96">
        <f>IF($B310="","",COUNTIFS('Trade Log'!$A$6:$A$1005,$B310,'Trade Log'!$BH$6:$BH$1005,1))</f>
        <v>0</v>
      </c>
      <c r="E310" s="98" t="str">
        <f>IF(OR($B310="",N($D310)=0),"",SUMIFS('Trade Log'!$Q$6:$Q$1005,'Trade Log'!$A$6:$A$1005,$B310))</f>
        <v/>
      </c>
      <c r="F310" s="99" t="str">
        <f>IF(OR($B310="",N($D310)=0),"",IFERROR(COUNTIFS('Trade Log'!$A$6:$A$1005,$B310,'Trade Log'!$S$6:$S$1005,"Win")/(COUNTIFS('Trade Log'!$A$6:$A$1005,$B310,'Trade Log'!$S$6:$S$1005,"Win")+COUNTIFS('Trade Log'!$A$6:$A$1005,$B310,'Trade Log'!$S$6:$S$1005,"Loss")),"—"))</f>
        <v/>
      </c>
      <c r="G310" s="104" t="str">
        <f>IF(OR($B310="",N($D310)=0),"",SUMIFS('Trade Log'!$R$6:$R$1005,'Trade Log'!$A$6:$A$1005,$B310))</f>
        <v/>
      </c>
      <c r="H310" s="96" t="str">
        <f>IF(OR($B310="",N($D310)=0),"",COUNTIFS('Trade Log'!$A$6:$A$1005,$B310,'Trade Log'!$Z$6:$Z$1005,"No"))</f>
        <v/>
      </c>
      <c r="I310" s="105" t="str">
        <f>IF(OR($B310="",N($D310)=0),"",IF(AND(ISNUMBER(Settings!$C$26),N($E310)&lt;=-N(Settings!$C$26)),"Hit daily max loss. ","")&amp;IF(COUNTIFS('Trade Log'!$A$6:$A$1005,$B310,'Trade Log'!$BM$6:$BM$1005,1)&gt;0,"Kept trading after daily max loss. ","")&amp;IF(AND(ISNUMBER(Settings!$C$25),N($D310)&gt;N(Settings!$C$25)),"Over max trades. ",""))</f>
        <v/>
      </c>
      <c r="J310" s="106" t="n"/>
      <c r="K310" s="106" t="n"/>
      <c r="L310" s="106" t="n"/>
      <c r="M310" s="29" t="n"/>
      <c r="N310" s="29" t="n"/>
      <c r="O310" s="106" t="n"/>
    </row>
    <row r="311">
      <c r="B311" s="107">
        <f>IF($B310="","",$B310+IF(AND(Settings!$C$10&lt;&gt;"Yes",WEEKDAY($B310,2)&gt;=5),8-WEEKDAY($B310,2),1))</f>
        <v>46713</v>
      </c>
      <c r="C311" s="103" t="str">
        <f>IF($B311="","",CHOOSE(WEEKDAY($B311,2),"Mon","Tue","Wed","Thu","Fri","Sat","Sun"))</f>
        <v>Mon</v>
      </c>
      <c r="D311" s="96">
        <f>IF($B311="","",COUNTIFS('Trade Log'!$A$6:$A$1005,$B311,'Trade Log'!$BH$6:$BH$1005,1))</f>
        <v>0</v>
      </c>
      <c r="E311" s="98" t="str">
        <f>IF(OR($B311="",N($D311)=0),"",SUMIFS('Trade Log'!$Q$6:$Q$1005,'Trade Log'!$A$6:$A$1005,$B311))</f>
        <v/>
      </c>
      <c r="F311" s="99" t="str">
        <f>IF(OR($B311="",N($D311)=0),"",IFERROR(COUNTIFS('Trade Log'!$A$6:$A$1005,$B311,'Trade Log'!$S$6:$S$1005,"Win")/(COUNTIFS('Trade Log'!$A$6:$A$1005,$B311,'Trade Log'!$S$6:$S$1005,"Win")+COUNTIFS('Trade Log'!$A$6:$A$1005,$B311,'Trade Log'!$S$6:$S$1005,"Loss")),"—"))</f>
        <v/>
      </c>
      <c r="G311" s="104" t="str">
        <f>IF(OR($B311="",N($D311)=0),"",SUMIFS('Trade Log'!$R$6:$R$1005,'Trade Log'!$A$6:$A$1005,$B311))</f>
        <v/>
      </c>
      <c r="H311" s="96" t="str">
        <f>IF(OR($B311="",N($D311)=0),"",COUNTIFS('Trade Log'!$A$6:$A$1005,$B311,'Trade Log'!$Z$6:$Z$1005,"No"))</f>
        <v/>
      </c>
      <c r="I311" s="105" t="str">
        <f>IF(OR($B311="",N($D311)=0),"",IF(AND(ISNUMBER(Settings!$C$26),N($E311)&lt;=-N(Settings!$C$26)),"Hit daily max loss. ","")&amp;IF(COUNTIFS('Trade Log'!$A$6:$A$1005,$B311,'Trade Log'!$BM$6:$BM$1005,1)&gt;0,"Kept trading after daily max loss. ","")&amp;IF(AND(ISNUMBER(Settings!$C$25),N($D311)&gt;N(Settings!$C$25)),"Over max trades. ",""))</f>
        <v/>
      </c>
      <c r="J311" s="106" t="n"/>
      <c r="K311" s="106" t="n"/>
      <c r="L311" s="106" t="n"/>
      <c r="M311" s="29" t="n"/>
      <c r="N311" s="29" t="n"/>
      <c r="O311" s="106" t="n"/>
    </row>
    <row r="312">
      <c r="B312" s="107">
        <f>IF($B311="","",$B311+IF(AND(Settings!$C$10&lt;&gt;"Yes",WEEKDAY($B311,2)&gt;=5),8-WEEKDAY($B311,2),1))</f>
        <v>46714</v>
      </c>
      <c r="C312" s="103" t="str">
        <f>IF($B312="","",CHOOSE(WEEKDAY($B312,2),"Mon","Tue","Wed","Thu","Fri","Sat","Sun"))</f>
        <v>Tue</v>
      </c>
      <c r="D312" s="96">
        <f>IF($B312="","",COUNTIFS('Trade Log'!$A$6:$A$1005,$B312,'Trade Log'!$BH$6:$BH$1005,1))</f>
        <v>0</v>
      </c>
      <c r="E312" s="98" t="str">
        <f>IF(OR($B312="",N($D312)=0),"",SUMIFS('Trade Log'!$Q$6:$Q$1005,'Trade Log'!$A$6:$A$1005,$B312))</f>
        <v/>
      </c>
      <c r="F312" s="99" t="str">
        <f>IF(OR($B312="",N($D312)=0),"",IFERROR(COUNTIFS('Trade Log'!$A$6:$A$1005,$B312,'Trade Log'!$S$6:$S$1005,"Win")/(COUNTIFS('Trade Log'!$A$6:$A$1005,$B312,'Trade Log'!$S$6:$S$1005,"Win")+COUNTIFS('Trade Log'!$A$6:$A$1005,$B312,'Trade Log'!$S$6:$S$1005,"Loss")),"—"))</f>
        <v/>
      </c>
      <c r="G312" s="104" t="str">
        <f>IF(OR($B312="",N($D312)=0),"",SUMIFS('Trade Log'!$R$6:$R$1005,'Trade Log'!$A$6:$A$1005,$B312))</f>
        <v/>
      </c>
      <c r="H312" s="96" t="str">
        <f>IF(OR($B312="",N($D312)=0),"",COUNTIFS('Trade Log'!$A$6:$A$1005,$B312,'Trade Log'!$Z$6:$Z$1005,"No"))</f>
        <v/>
      </c>
      <c r="I312" s="105" t="str">
        <f>IF(OR($B312="",N($D312)=0),"",IF(AND(ISNUMBER(Settings!$C$26),N($E312)&lt;=-N(Settings!$C$26)),"Hit daily max loss. ","")&amp;IF(COUNTIFS('Trade Log'!$A$6:$A$1005,$B312,'Trade Log'!$BM$6:$BM$1005,1)&gt;0,"Kept trading after daily max loss. ","")&amp;IF(AND(ISNUMBER(Settings!$C$25),N($D312)&gt;N(Settings!$C$25)),"Over max trades. ",""))</f>
        <v/>
      </c>
      <c r="J312" s="106" t="n"/>
      <c r="K312" s="106" t="n"/>
      <c r="L312" s="106" t="n"/>
      <c r="M312" s="29" t="n"/>
      <c r="N312" s="29" t="n"/>
      <c r="O312" s="106" t="n"/>
    </row>
    <row r="313">
      <c r="B313" s="107">
        <f>IF($B312="","",$B312+IF(AND(Settings!$C$10&lt;&gt;"Yes",WEEKDAY($B312,2)&gt;=5),8-WEEKDAY($B312,2),1))</f>
        <v>46715</v>
      </c>
      <c r="C313" s="103" t="str">
        <f>IF($B313="","",CHOOSE(WEEKDAY($B313,2),"Mon","Tue","Wed","Thu","Fri","Sat","Sun"))</f>
        <v>Wed</v>
      </c>
      <c r="D313" s="96">
        <f>IF($B313="","",COUNTIFS('Trade Log'!$A$6:$A$1005,$B313,'Trade Log'!$BH$6:$BH$1005,1))</f>
        <v>0</v>
      </c>
      <c r="E313" s="98" t="str">
        <f>IF(OR($B313="",N($D313)=0),"",SUMIFS('Trade Log'!$Q$6:$Q$1005,'Trade Log'!$A$6:$A$1005,$B313))</f>
        <v/>
      </c>
      <c r="F313" s="99" t="str">
        <f>IF(OR($B313="",N($D313)=0),"",IFERROR(COUNTIFS('Trade Log'!$A$6:$A$1005,$B313,'Trade Log'!$S$6:$S$1005,"Win")/(COUNTIFS('Trade Log'!$A$6:$A$1005,$B313,'Trade Log'!$S$6:$S$1005,"Win")+COUNTIFS('Trade Log'!$A$6:$A$1005,$B313,'Trade Log'!$S$6:$S$1005,"Loss")),"—"))</f>
        <v/>
      </c>
      <c r="G313" s="104" t="str">
        <f>IF(OR($B313="",N($D313)=0),"",SUMIFS('Trade Log'!$R$6:$R$1005,'Trade Log'!$A$6:$A$1005,$B313))</f>
        <v/>
      </c>
      <c r="H313" s="96" t="str">
        <f>IF(OR($B313="",N($D313)=0),"",COUNTIFS('Trade Log'!$A$6:$A$1005,$B313,'Trade Log'!$Z$6:$Z$1005,"No"))</f>
        <v/>
      </c>
      <c r="I313" s="105" t="str">
        <f>IF(OR($B313="",N($D313)=0),"",IF(AND(ISNUMBER(Settings!$C$26),N($E313)&lt;=-N(Settings!$C$26)),"Hit daily max loss. ","")&amp;IF(COUNTIFS('Trade Log'!$A$6:$A$1005,$B313,'Trade Log'!$BM$6:$BM$1005,1)&gt;0,"Kept trading after daily max loss. ","")&amp;IF(AND(ISNUMBER(Settings!$C$25),N($D313)&gt;N(Settings!$C$25)),"Over max trades. ",""))</f>
        <v/>
      </c>
      <c r="J313" s="106" t="n"/>
      <c r="K313" s="106" t="n"/>
      <c r="L313" s="106" t="n"/>
      <c r="M313" s="29" t="n"/>
      <c r="N313" s="29" t="n"/>
      <c r="O313" s="106" t="n"/>
    </row>
    <row r="314">
      <c r="B314" s="107">
        <f>IF($B313="","",$B313+IF(AND(Settings!$C$10&lt;&gt;"Yes",WEEKDAY($B313,2)&gt;=5),8-WEEKDAY($B313,2),1))</f>
        <v>46716</v>
      </c>
      <c r="C314" s="103" t="str">
        <f>IF($B314="","",CHOOSE(WEEKDAY($B314,2),"Mon","Tue","Wed","Thu","Fri","Sat","Sun"))</f>
        <v>Thu</v>
      </c>
      <c r="D314" s="96">
        <f>IF($B314="","",COUNTIFS('Trade Log'!$A$6:$A$1005,$B314,'Trade Log'!$BH$6:$BH$1005,1))</f>
        <v>0</v>
      </c>
      <c r="E314" s="98" t="str">
        <f>IF(OR($B314="",N($D314)=0),"",SUMIFS('Trade Log'!$Q$6:$Q$1005,'Trade Log'!$A$6:$A$1005,$B314))</f>
        <v/>
      </c>
      <c r="F314" s="99" t="str">
        <f>IF(OR($B314="",N($D314)=0),"",IFERROR(COUNTIFS('Trade Log'!$A$6:$A$1005,$B314,'Trade Log'!$S$6:$S$1005,"Win")/(COUNTIFS('Trade Log'!$A$6:$A$1005,$B314,'Trade Log'!$S$6:$S$1005,"Win")+COUNTIFS('Trade Log'!$A$6:$A$1005,$B314,'Trade Log'!$S$6:$S$1005,"Loss")),"—"))</f>
        <v/>
      </c>
      <c r="G314" s="104" t="str">
        <f>IF(OR($B314="",N($D314)=0),"",SUMIFS('Trade Log'!$R$6:$R$1005,'Trade Log'!$A$6:$A$1005,$B314))</f>
        <v/>
      </c>
      <c r="H314" s="96" t="str">
        <f>IF(OR($B314="",N($D314)=0),"",COUNTIFS('Trade Log'!$A$6:$A$1005,$B314,'Trade Log'!$Z$6:$Z$1005,"No"))</f>
        <v/>
      </c>
      <c r="I314" s="105" t="str">
        <f>IF(OR($B314="",N($D314)=0),"",IF(AND(ISNUMBER(Settings!$C$26),N($E314)&lt;=-N(Settings!$C$26)),"Hit daily max loss. ","")&amp;IF(COUNTIFS('Trade Log'!$A$6:$A$1005,$B314,'Trade Log'!$BM$6:$BM$1005,1)&gt;0,"Kept trading after daily max loss. ","")&amp;IF(AND(ISNUMBER(Settings!$C$25),N($D314)&gt;N(Settings!$C$25)),"Over max trades. ",""))</f>
        <v/>
      </c>
      <c r="J314" s="106" t="n"/>
      <c r="K314" s="106" t="n"/>
      <c r="L314" s="106" t="n"/>
      <c r="M314" s="29" t="n"/>
      <c r="N314" s="29" t="n"/>
      <c r="O314" s="106" t="n"/>
    </row>
    <row r="315">
      <c r="B315" s="107">
        <f>IF($B314="","",$B314+IF(AND(Settings!$C$10&lt;&gt;"Yes",WEEKDAY($B314,2)&gt;=5),8-WEEKDAY($B314,2),1))</f>
        <v>46717</v>
      </c>
      <c r="C315" s="103" t="str">
        <f>IF($B315="","",CHOOSE(WEEKDAY($B315,2),"Mon","Tue","Wed","Thu","Fri","Sat","Sun"))</f>
        <v>Fri</v>
      </c>
      <c r="D315" s="96">
        <f>IF($B315="","",COUNTIFS('Trade Log'!$A$6:$A$1005,$B315,'Trade Log'!$BH$6:$BH$1005,1))</f>
        <v>0</v>
      </c>
      <c r="E315" s="98" t="str">
        <f>IF(OR($B315="",N($D315)=0),"",SUMIFS('Trade Log'!$Q$6:$Q$1005,'Trade Log'!$A$6:$A$1005,$B315))</f>
        <v/>
      </c>
      <c r="F315" s="99" t="str">
        <f>IF(OR($B315="",N($D315)=0),"",IFERROR(COUNTIFS('Trade Log'!$A$6:$A$1005,$B315,'Trade Log'!$S$6:$S$1005,"Win")/(COUNTIFS('Trade Log'!$A$6:$A$1005,$B315,'Trade Log'!$S$6:$S$1005,"Win")+COUNTIFS('Trade Log'!$A$6:$A$1005,$B315,'Trade Log'!$S$6:$S$1005,"Loss")),"—"))</f>
        <v/>
      </c>
      <c r="G315" s="104" t="str">
        <f>IF(OR($B315="",N($D315)=0),"",SUMIFS('Trade Log'!$R$6:$R$1005,'Trade Log'!$A$6:$A$1005,$B315))</f>
        <v/>
      </c>
      <c r="H315" s="96" t="str">
        <f>IF(OR($B315="",N($D315)=0),"",COUNTIFS('Trade Log'!$A$6:$A$1005,$B315,'Trade Log'!$Z$6:$Z$1005,"No"))</f>
        <v/>
      </c>
      <c r="I315" s="105" t="str">
        <f>IF(OR($B315="",N($D315)=0),"",IF(AND(ISNUMBER(Settings!$C$26),N($E315)&lt;=-N(Settings!$C$26)),"Hit daily max loss. ","")&amp;IF(COUNTIFS('Trade Log'!$A$6:$A$1005,$B315,'Trade Log'!$BM$6:$BM$1005,1)&gt;0,"Kept trading after daily max loss. ","")&amp;IF(AND(ISNUMBER(Settings!$C$25),N($D315)&gt;N(Settings!$C$25)),"Over max trades. ",""))</f>
        <v/>
      </c>
      <c r="J315" s="106" t="n"/>
      <c r="K315" s="106" t="n"/>
      <c r="L315" s="106" t="n"/>
      <c r="M315" s="29" t="n"/>
      <c r="N315" s="29" t="n"/>
      <c r="O315" s="106" t="n"/>
    </row>
    <row r="316">
      <c r="B316" s="107">
        <f>IF($B315="","",$B315+IF(AND(Settings!$C$10&lt;&gt;"Yes",WEEKDAY($B315,2)&gt;=5),8-WEEKDAY($B315,2),1))</f>
        <v>46720</v>
      </c>
      <c r="C316" s="103" t="str">
        <f>IF($B316="","",CHOOSE(WEEKDAY($B316,2),"Mon","Tue","Wed","Thu","Fri","Sat","Sun"))</f>
        <v>Mon</v>
      </c>
      <c r="D316" s="96">
        <f>IF($B316="","",COUNTIFS('Trade Log'!$A$6:$A$1005,$B316,'Trade Log'!$BH$6:$BH$1005,1))</f>
        <v>0</v>
      </c>
      <c r="E316" s="98" t="str">
        <f>IF(OR($B316="",N($D316)=0),"",SUMIFS('Trade Log'!$Q$6:$Q$1005,'Trade Log'!$A$6:$A$1005,$B316))</f>
        <v/>
      </c>
      <c r="F316" s="99" t="str">
        <f>IF(OR($B316="",N($D316)=0),"",IFERROR(COUNTIFS('Trade Log'!$A$6:$A$1005,$B316,'Trade Log'!$S$6:$S$1005,"Win")/(COUNTIFS('Trade Log'!$A$6:$A$1005,$B316,'Trade Log'!$S$6:$S$1005,"Win")+COUNTIFS('Trade Log'!$A$6:$A$1005,$B316,'Trade Log'!$S$6:$S$1005,"Loss")),"—"))</f>
        <v/>
      </c>
      <c r="G316" s="104" t="str">
        <f>IF(OR($B316="",N($D316)=0),"",SUMIFS('Trade Log'!$R$6:$R$1005,'Trade Log'!$A$6:$A$1005,$B316))</f>
        <v/>
      </c>
      <c r="H316" s="96" t="str">
        <f>IF(OR($B316="",N($D316)=0),"",COUNTIFS('Trade Log'!$A$6:$A$1005,$B316,'Trade Log'!$Z$6:$Z$1005,"No"))</f>
        <v/>
      </c>
      <c r="I316" s="105" t="str">
        <f>IF(OR($B316="",N($D316)=0),"",IF(AND(ISNUMBER(Settings!$C$26),N($E316)&lt;=-N(Settings!$C$26)),"Hit daily max loss. ","")&amp;IF(COUNTIFS('Trade Log'!$A$6:$A$1005,$B316,'Trade Log'!$BM$6:$BM$1005,1)&gt;0,"Kept trading after daily max loss. ","")&amp;IF(AND(ISNUMBER(Settings!$C$25),N($D316)&gt;N(Settings!$C$25)),"Over max trades. ",""))</f>
        <v/>
      </c>
      <c r="J316" s="106" t="n"/>
      <c r="K316" s="106" t="n"/>
      <c r="L316" s="106" t="n"/>
      <c r="M316" s="29" t="n"/>
      <c r="N316" s="29" t="n"/>
      <c r="O316" s="106" t="n"/>
    </row>
    <row r="317">
      <c r="B317" s="107">
        <f>IF($B316="","",$B316+IF(AND(Settings!$C$10&lt;&gt;"Yes",WEEKDAY($B316,2)&gt;=5),8-WEEKDAY($B316,2),1))</f>
        <v>46721</v>
      </c>
      <c r="C317" s="103" t="str">
        <f>IF($B317="","",CHOOSE(WEEKDAY($B317,2),"Mon","Tue","Wed","Thu","Fri","Sat","Sun"))</f>
        <v>Tue</v>
      </c>
      <c r="D317" s="96">
        <f>IF($B317="","",COUNTIFS('Trade Log'!$A$6:$A$1005,$B317,'Trade Log'!$BH$6:$BH$1005,1))</f>
        <v>0</v>
      </c>
      <c r="E317" s="98" t="str">
        <f>IF(OR($B317="",N($D317)=0),"",SUMIFS('Trade Log'!$Q$6:$Q$1005,'Trade Log'!$A$6:$A$1005,$B317))</f>
        <v/>
      </c>
      <c r="F317" s="99" t="str">
        <f>IF(OR($B317="",N($D317)=0),"",IFERROR(COUNTIFS('Trade Log'!$A$6:$A$1005,$B317,'Trade Log'!$S$6:$S$1005,"Win")/(COUNTIFS('Trade Log'!$A$6:$A$1005,$B317,'Trade Log'!$S$6:$S$1005,"Win")+COUNTIFS('Trade Log'!$A$6:$A$1005,$B317,'Trade Log'!$S$6:$S$1005,"Loss")),"—"))</f>
        <v/>
      </c>
      <c r="G317" s="104" t="str">
        <f>IF(OR($B317="",N($D317)=0),"",SUMIFS('Trade Log'!$R$6:$R$1005,'Trade Log'!$A$6:$A$1005,$B317))</f>
        <v/>
      </c>
      <c r="H317" s="96" t="str">
        <f>IF(OR($B317="",N($D317)=0),"",COUNTIFS('Trade Log'!$A$6:$A$1005,$B317,'Trade Log'!$Z$6:$Z$1005,"No"))</f>
        <v/>
      </c>
      <c r="I317" s="105" t="str">
        <f>IF(OR($B317="",N($D317)=0),"",IF(AND(ISNUMBER(Settings!$C$26),N($E317)&lt;=-N(Settings!$C$26)),"Hit daily max loss. ","")&amp;IF(COUNTIFS('Trade Log'!$A$6:$A$1005,$B317,'Trade Log'!$BM$6:$BM$1005,1)&gt;0,"Kept trading after daily max loss. ","")&amp;IF(AND(ISNUMBER(Settings!$C$25),N($D317)&gt;N(Settings!$C$25)),"Over max trades. ",""))</f>
        <v/>
      </c>
      <c r="J317" s="106" t="n"/>
      <c r="K317" s="106" t="n"/>
      <c r="L317" s="106" t="n"/>
      <c r="M317" s="29" t="n"/>
      <c r="N317" s="29" t="n"/>
      <c r="O317" s="106" t="n"/>
    </row>
    <row r="318">
      <c r="B318" s="107">
        <f>IF($B317="","",$B317+IF(AND(Settings!$C$10&lt;&gt;"Yes",WEEKDAY($B317,2)&gt;=5),8-WEEKDAY($B317,2),1))</f>
        <v>46722</v>
      </c>
      <c r="C318" s="103" t="str">
        <f>IF($B318="","",CHOOSE(WEEKDAY($B318,2),"Mon","Tue","Wed","Thu","Fri","Sat","Sun"))</f>
        <v>Wed</v>
      </c>
      <c r="D318" s="96">
        <f>IF($B318="","",COUNTIFS('Trade Log'!$A$6:$A$1005,$B318,'Trade Log'!$BH$6:$BH$1005,1))</f>
        <v>0</v>
      </c>
      <c r="E318" s="98" t="str">
        <f>IF(OR($B318="",N($D318)=0),"",SUMIFS('Trade Log'!$Q$6:$Q$1005,'Trade Log'!$A$6:$A$1005,$B318))</f>
        <v/>
      </c>
      <c r="F318" s="99" t="str">
        <f>IF(OR($B318="",N($D318)=0),"",IFERROR(COUNTIFS('Trade Log'!$A$6:$A$1005,$B318,'Trade Log'!$S$6:$S$1005,"Win")/(COUNTIFS('Trade Log'!$A$6:$A$1005,$B318,'Trade Log'!$S$6:$S$1005,"Win")+COUNTIFS('Trade Log'!$A$6:$A$1005,$B318,'Trade Log'!$S$6:$S$1005,"Loss")),"—"))</f>
        <v/>
      </c>
      <c r="G318" s="104" t="str">
        <f>IF(OR($B318="",N($D318)=0),"",SUMIFS('Trade Log'!$R$6:$R$1005,'Trade Log'!$A$6:$A$1005,$B318))</f>
        <v/>
      </c>
      <c r="H318" s="96" t="str">
        <f>IF(OR($B318="",N($D318)=0),"",COUNTIFS('Trade Log'!$A$6:$A$1005,$B318,'Trade Log'!$Z$6:$Z$1005,"No"))</f>
        <v/>
      </c>
      <c r="I318" s="105" t="str">
        <f>IF(OR($B318="",N($D318)=0),"",IF(AND(ISNUMBER(Settings!$C$26),N($E318)&lt;=-N(Settings!$C$26)),"Hit daily max loss. ","")&amp;IF(COUNTIFS('Trade Log'!$A$6:$A$1005,$B318,'Trade Log'!$BM$6:$BM$1005,1)&gt;0,"Kept trading after daily max loss. ","")&amp;IF(AND(ISNUMBER(Settings!$C$25),N($D318)&gt;N(Settings!$C$25)),"Over max trades. ",""))</f>
        <v/>
      </c>
      <c r="J318" s="106" t="n"/>
      <c r="K318" s="106" t="n"/>
      <c r="L318" s="106" t="n"/>
      <c r="M318" s="29" t="n"/>
      <c r="N318" s="29" t="n"/>
      <c r="O318" s="106" t="n"/>
    </row>
    <row r="319">
      <c r="B319" s="107">
        <f>IF($B318="","",$B318+IF(AND(Settings!$C$10&lt;&gt;"Yes",WEEKDAY($B318,2)&gt;=5),8-WEEKDAY($B318,2),1))</f>
        <v>46723</v>
      </c>
      <c r="C319" s="103" t="str">
        <f>IF($B319="","",CHOOSE(WEEKDAY($B319,2),"Mon","Tue","Wed","Thu","Fri","Sat","Sun"))</f>
        <v>Thu</v>
      </c>
      <c r="D319" s="96">
        <f>IF($B319="","",COUNTIFS('Trade Log'!$A$6:$A$1005,$B319,'Trade Log'!$BH$6:$BH$1005,1))</f>
        <v>0</v>
      </c>
      <c r="E319" s="98" t="str">
        <f>IF(OR($B319="",N($D319)=0),"",SUMIFS('Trade Log'!$Q$6:$Q$1005,'Trade Log'!$A$6:$A$1005,$B319))</f>
        <v/>
      </c>
      <c r="F319" s="99" t="str">
        <f>IF(OR($B319="",N($D319)=0),"",IFERROR(COUNTIFS('Trade Log'!$A$6:$A$1005,$B319,'Trade Log'!$S$6:$S$1005,"Win")/(COUNTIFS('Trade Log'!$A$6:$A$1005,$B319,'Trade Log'!$S$6:$S$1005,"Win")+COUNTIFS('Trade Log'!$A$6:$A$1005,$B319,'Trade Log'!$S$6:$S$1005,"Loss")),"—"))</f>
        <v/>
      </c>
      <c r="G319" s="104" t="str">
        <f>IF(OR($B319="",N($D319)=0),"",SUMIFS('Trade Log'!$R$6:$R$1005,'Trade Log'!$A$6:$A$1005,$B319))</f>
        <v/>
      </c>
      <c r="H319" s="96" t="str">
        <f>IF(OR($B319="",N($D319)=0),"",COUNTIFS('Trade Log'!$A$6:$A$1005,$B319,'Trade Log'!$Z$6:$Z$1005,"No"))</f>
        <v/>
      </c>
      <c r="I319" s="105" t="str">
        <f>IF(OR($B319="",N($D319)=0),"",IF(AND(ISNUMBER(Settings!$C$26),N($E319)&lt;=-N(Settings!$C$26)),"Hit daily max loss. ","")&amp;IF(COUNTIFS('Trade Log'!$A$6:$A$1005,$B319,'Trade Log'!$BM$6:$BM$1005,1)&gt;0,"Kept trading after daily max loss. ","")&amp;IF(AND(ISNUMBER(Settings!$C$25),N($D319)&gt;N(Settings!$C$25)),"Over max trades. ",""))</f>
        <v/>
      </c>
      <c r="J319" s="106" t="n"/>
      <c r="K319" s="106" t="n"/>
      <c r="L319" s="106" t="n"/>
      <c r="M319" s="29" t="n"/>
      <c r="N319" s="29" t="n"/>
      <c r="O319" s="106" t="n"/>
    </row>
    <row r="320">
      <c r="B320" s="107">
        <f>IF($B319="","",$B319+IF(AND(Settings!$C$10&lt;&gt;"Yes",WEEKDAY($B319,2)&gt;=5),8-WEEKDAY($B319,2),1))</f>
        <v>46724</v>
      </c>
      <c r="C320" s="103" t="str">
        <f>IF($B320="","",CHOOSE(WEEKDAY($B320,2),"Mon","Tue","Wed","Thu","Fri","Sat","Sun"))</f>
        <v>Fri</v>
      </c>
      <c r="D320" s="96">
        <f>IF($B320="","",COUNTIFS('Trade Log'!$A$6:$A$1005,$B320,'Trade Log'!$BH$6:$BH$1005,1))</f>
        <v>0</v>
      </c>
      <c r="E320" s="98" t="str">
        <f>IF(OR($B320="",N($D320)=0),"",SUMIFS('Trade Log'!$Q$6:$Q$1005,'Trade Log'!$A$6:$A$1005,$B320))</f>
        <v/>
      </c>
      <c r="F320" s="99" t="str">
        <f>IF(OR($B320="",N($D320)=0),"",IFERROR(COUNTIFS('Trade Log'!$A$6:$A$1005,$B320,'Trade Log'!$S$6:$S$1005,"Win")/(COUNTIFS('Trade Log'!$A$6:$A$1005,$B320,'Trade Log'!$S$6:$S$1005,"Win")+COUNTIFS('Trade Log'!$A$6:$A$1005,$B320,'Trade Log'!$S$6:$S$1005,"Loss")),"—"))</f>
        <v/>
      </c>
      <c r="G320" s="104" t="str">
        <f>IF(OR($B320="",N($D320)=0),"",SUMIFS('Trade Log'!$R$6:$R$1005,'Trade Log'!$A$6:$A$1005,$B320))</f>
        <v/>
      </c>
      <c r="H320" s="96" t="str">
        <f>IF(OR($B320="",N($D320)=0),"",COUNTIFS('Trade Log'!$A$6:$A$1005,$B320,'Trade Log'!$Z$6:$Z$1005,"No"))</f>
        <v/>
      </c>
      <c r="I320" s="105" t="str">
        <f>IF(OR($B320="",N($D320)=0),"",IF(AND(ISNUMBER(Settings!$C$26),N($E320)&lt;=-N(Settings!$C$26)),"Hit daily max loss. ","")&amp;IF(COUNTIFS('Trade Log'!$A$6:$A$1005,$B320,'Trade Log'!$BM$6:$BM$1005,1)&gt;0,"Kept trading after daily max loss. ","")&amp;IF(AND(ISNUMBER(Settings!$C$25),N($D320)&gt;N(Settings!$C$25)),"Over max trades. ",""))</f>
        <v/>
      </c>
      <c r="J320" s="106" t="n"/>
      <c r="K320" s="106" t="n"/>
      <c r="L320" s="106" t="n"/>
      <c r="M320" s="29" t="n"/>
      <c r="N320" s="29" t="n"/>
      <c r="O320" s="106" t="n"/>
    </row>
    <row r="321">
      <c r="B321" s="107">
        <f>IF($B320="","",$B320+IF(AND(Settings!$C$10&lt;&gt;"Yes",WEEKDAY($B320,2)&gt;=5),8-WEEKDAY($B320,2),1))</f>
        <v>46727</v>
      </c>
      <c r="C321" s="103" t="str">
        <f>IF($B321="","",CHOOSE(WEEKDAY($B321,2),"Mon","Tue","Wed","Thu","Fri","Sat","Sun"))</f>
        <v>Mon</v>
      </c>
      <c r="D321" s="96">
        <f>IF($B321="","",COUNTIFS('Trade Log'!$A$6:$A$1005,$B321,'Trade Log'!$BH$6:$BH$1005,1))</f>
        <v>0</v>
      </c>
      <c r="E321" s="98" t="str">
        <f>IF(OR($B321="",N($D321)=0),"",SUMIFS('Trade Log'!$Q$6:$Q$1005,'Trade Log'!$A$6:$A$1005,$B321))</f>
        <v/>
      </c>
      <c r="F321" s="99" t="str">
        <f>IF(OR($B321="",N($D321)=0),"",IFERROR(COUNTIFS('Trade Log'!$A$6:$A$1005,$B321,'Trade Log'!$S$6:$S$1005,"Win")/(COUNTIFS('Trade Log'!$A$6:$A$1005,$B321,'Trade Log'!$S$6:$S$1005,"Win")+COUNTIFS('Trade Log'!$A$6:$A$1005,$B321,'Trade Log'!$S$6:$S$1005,"Loss")),"—"))</f>
        <v/>
      </c>
      <c r="G321" s="104" t="str">
        <f>IF(OR($B321="",N($D321)=0),"",SUMIFS('Trade Log'!$R$6:$R$1005,'Trade Log'!$A$6:$A$1005,$B321))</f>
        <v/>
      </c>
      <c r="H321" s="96" t="str">
        <f>IF(OR($B321="",N($D321)=0),"",COUNTIFS('Trade Log'!$A$6:$A$1005,$B321,'Trade Log'!$Z$6:$Z$1005,"No"))</f>
        <v/>
      </c>
      <c r="I321" s="105" t="str">
        <f>IF(OR($B321="",N($D321)=0),"",IF(AND(ISNUMBER(Settings!$C$26),N($E321)&lt;=-N(Settings!$C$26)),"Hit daily max loss. ","")&amp;IF(COUNTIFS('Trade Log'!$A$6:$A$1005,$B321,'Trade Log'!$BM$6:$BM$1005,1)&gt;0,"Kept trading after daily max loss. ","")&amp;IF(AND(ISNUMBER(Settings!$C$25),N($D321)&gt;N(Settings!$C$25)),"Over max trades. ",""))</f>
        <v/>
      </c>
      <c r="J321" s="106" t="n"/>
      <c r="K321" s="106" t="n"/>
      <c r="L321" s="106" t="n"/>
      <c r="M321" s="29" t="n"/>
      <c r="N321" s="29" t="n"/>
      <c r="O321" s="106" t="n"/>
    </row>
    <row r="322">
      <c r="B322" s="107">
        <f>IF($B321="","",$B321+IF(AND(Settings!$C$10&lt;&gt;"Yes",WEEKDAY($B321,2)&gt;=5),8-WEEKDAY($B321,2),1))</f>
        <v>46728</v>
      </c>
      <c r="C322" s="103" t="str">
        <f>IF($B322="","",CHOOSE(WEEKDAY($B322,2),"Mon","Tue","Wed","Thu","Fri","Sat","Sun"))</f>
        <v>Tue</v>
      </c>
      <c r="D322" s="96">
        <f>IF($B322="","",COUNTIFS('Trade Log'!$A$6:$A$1005,$B322,'Trade Log'!$BH$6:$BH$1005,1))</f>
        <v>0</v>
      </c>
      <c r="E322" s="98" t="str">
        <f>IF(OR($B322="",N($D322)=0),"",SUMIFS('Trade Log'!$Q$6:$Q$1005,'Trade Log'!$A$6:$A$1005,$B322))</f>
        <v/>
      </c>
      <c r="F322" s="99" t="str">
        <f>IF(OR($B322="",N($D322)=0),"",IFERROR(COUNTIFS('Trade Log'!$A$6:$A$1005,$B322,'Trade Log'!$S$6:$S$1005,"Win")/(COUNTIFS('Trade Log'!$A$6:$A$1005,$B322,'Trade Log'!$S$6:$S$1005,"Win")+COUNTIFS('Trade Log'!$A$6:$A$1005,$B322,'Trade Log'!$S$6:$S$1005,"Loss")),"—"))</f>
        <v/>
      </c>
      <c r="G322" s="104" t="str">
        <f>IF(OR($B322="",N($D322)=0),"",SUMIFS('Trade Log'!$R$6:$R$1005,'Trade Log'!$A$6:$A$1005,$B322))</f>
        <v/>
      </c>
      <c r="H322" s="96" t="str">
        <f>IF(OR($B322="",N($D322)=0),"",COUNTIFS('Trade Log'!$A$6:$A$1005,$B322,'Trade Log'!$Z$6:$Z$1005,"No"))</f>
        <v/>
      </c>
      <c r="I322" s="105" t="str">
        <f>IF(OR($B322="",N($D322)=0),"",IF(AND(ISNUMBER(Settings!$C$26),N($E322)&lt;=-N(Settings!$C$26)),"Hit daily max loss. ","")&amp;IF(COUNTIFS('Trade Log'!$A$6:$A$1005,$B322,'Trade Log'!$BM$6:$BM$1005,1)&gt;0,"Kept trading after daily max loss. ","")&amp;IF(AND(ISNUMBER(Settings!$C$25),N($D322)&gt;N(Settings!$C$25)),"Over max trades. ",""))</f>
        <v/>
      </c>
      <c r="J322" s="106" t="n"/>
      <c r="K322" s="106" t="n"/>
      <c r="L322" s="106" t="n"/>
      <c r="M322" s="29" t="n"/>
      <c r="N322" s="29" t="n"/>
      <c r="O322" s="106" t="n"/>
    </row>
    <row r="323">
      <c r="B323" s="107">
        <f>IF($B322="","",$B322+IF(AND(Settings!$C$10&lt;&gt;"Yes",WEEKDAY($B322,2)&gt;=5),8-WEEKDAY($B322,2),1))</f>
        <v>46729</v>
      </c>
      <c r="C323" s="103" t="str">
        <f>IF($B323="","",CHOOSE(WEEKDAY($B323,2),"Mon","Tue","Wed","Thu","Fri","Sat","Sun"))</f>
        <v>Wed</v>
      </c>
      <c r="D323" s="96">
        <f>IF($B323="","",COUNTIFS('Trade Log'!$A$6:$A$1005,$B323,'Trade Log'!$BH$6:$BH$1005,1))</f>
        <v>0</v>
      </c>
      <c r="E323" s="98" t="str">
        <f>IF(OR($B323="",N($D323)=0),"",SUMIFS('Trade Log'!$Q$6:$Q$1005,'Trade Log'!$A$6:$A$1005,$B323))</f>
        <v/>
      </c>
      <c r="F323" s="99" t="str">
        <f>IF(OR($B323="",N($D323)=0),"",IFERROR(COUNTIFS('Trade Log'!$A$6:$A$1005,$B323,'Trade Log'!$S$6:$S$1005,"Win")/(COUNTIFS('Trade Log'!$A$6:$A$1005,$B323,'Trade Log'!$S$6:$S$1005,"Win")+COUNTIFS('Trade Log'!$A$6:$A$1005,$B323,'Trade Log'!$S$6:$S$1005,"Loss")),"—"))</f>
        <v/>
      </c>
      <c r="G323" s="104" t="str">
        <f>IF(OR($B323="",N($D323)=0),"",SUMIFS('Trade Log'!$R$6:$R$1005,'Trade Log'!$A$6:$A$1005,$B323))</f>
        <v/>
      </c>
      <c r="H323" s="96" t="str">
        <f>IF(OR($B323="",N($D323)=0),"",COUNTIFS('Trade Log'!$A$6:$A$1005,$B323,'Trade Log'!$Z$6:$Z$1005,"No"))</f>
        <v/>
      </c>
      <c r="I323" s="105" t="str">
        <f>IF(OR($B323="",N($D323)=0),"",IF(AND(ISNUMBER(Settings!$C$26),N($E323)&lt;=-N(Settings!$C$26)),"Hit daily max loss. ","")&amp;IF(COUNTIFS('Trade Log'!$A$6:$A$1005,$B323,'Trade Log'!$BM$6:$BM$1005,1)&gt;0,"Kept trading after daily max loss. ","")&amp;IF(AND(ISNUMBER(Settings!$C$25),N($D323)&gt;N(Settings!$C$25)),"Over max trades. ",""))</f>
        <v/>
      </c>
      <c r="J323" s="106" t="n"/>
      <c r="K323" s="106" t="n"/>
      <c r="L323" s="106" t="n"/>
      <c r="M323" s="29" t="n"/>
      <c r="N323" s="29" t="n"/>
      <c r="O323" s="106" t="n"/>
    </row>
    <row r="324">
      <c r="B324" s="107">
        <f>IF($B323="","",$B323+IF(AND(Settings!$C$10&lt;&gt;"Yes",WEEKDAY($B323,2)&gt;=5),8-WEEKDAY($B323,2),1))</f>
        <v>46730</v>
      </c>
      <c r="C324" s="103" t="str">
        <f>IF($B324="","",CHOOSE(WEEKDAY($B324,2),"Mon","Tue","Wed","Thu","Fri","Sat","Sun"))</f>
        <v>Thu</v>
      </c>
      <c r="D324" s="96">
        <f>IF($B324="","",COUNTIFS('Trade Log'!$A$6:$A$1005,$B324,'Trade Log'!$BH$6:$BH$1005,1))</f>
        <v>0</v>
      </c>
      <c r="E324" s="98" t="str">
        <f>IF(OR($B324="",N($D324)=0),"",SUMIFS('Trade Log'!$Q$6:$Q$1005,'Trade Log'!$A$6:$A$1005,$B324))</f>
        <v/>
      </c>
      <c r="F324" s="99" t="str">
        <f>IF(OR($B324="",N($D324)=0),"",IFERROR(COUNTIFS('Trade Log'!$A$6:$A$1005,$B324,'Trade Log'!$S$6:$S$1005,"Win")/(COUNTIFS('Trade Log'!$A$6:$A$1005,$B324,'Trade Log'!$S$6:$S$1005,"Win")+COUNTIFS('Trade Log'!$A$6:$A$1005,$B324,'Trade Log'!$S$6:$S$1005,"Loss")),"—"))</f>
        <v/>
      </c>
      <c r="G324" s="104" t="str">
        <f>IF(OR($B324="",N($D324)=0),"",SUMIFS('Trade Log'!$R$6:$R$1005,'Trade Log'!$A$6:$A$1005,$B324))</f>
        <v/>
      </c>
      <c r="H324" s="96" t="str">
        <f>IF(OR($B324="",N($D324)=0),"",COUNTIFS('Trade Log'!$A$6:$A$1005,$B324,'Trade Log'!$Z$6:$Z$1005,"No"))</f>
        <v/>
      </c>
      <c r="I324" s="105" t="str">
        <f>IF(OR($B324="",N($D324)=0),"",IF(AND(ISNUMBER(Settings!$C$26),N($E324)&lt;=-N(Settings!$C$26)),"Hit daily max loss. ","")&amp;IF(COUNTIFS('Trade Log'!$A$6:$A$1005,$B324,'Trade Log'!$BM$6:$BM$1005,1)&gt;0,"Kept trading after daily max loss. ","")&amp;IF(AND(ISNUMBER(Settings!$C$25),N($D324)&gt;N(Settings!$C$25)),"Over max trades. ",""))</f>
        <v/>
      </c>
      <c r="J324" s="106" t="n"/>
      <c r="K324" s="106" t="n"/>
      <c r="L324" s="106" t="n"/>
      <c r="M324" s="29" t="n"/>
      <c r="N324" s="29" t="n"/>
      <c r="O324" s="106" t="n"/>
    </row>
    <row r="325">
      <c r="B325" s="107">
        <f>IF($B324="","",$B324+IF(AND(Settings!$C$10&lt;&gt;"Yes",WEEKDAY($B324,2)&gt;=5),8-WEEKDAY($B324,2),1))</f>
        <v>46731</v>
      </c>
      <c r="C325" s="103" t="str">
        <f>IF($B325="","",CHOOSE(WEEKDAY($B325,2),"Mon","Tue","Wed","Thu","Fri","Sat","Sun"))</f>
        <v>Fri</v>
      </c>
      <c r="D325" s="96">
        <f>IF($B325="","",COUNTIFS('Trade Log'!$A$6:$A$1005,$B325,'Trade Log'!$BH$6:$BH$1005,1))</f>
        <v>0</v>
      </c>
      <c r="E325" s="98" t="str">
        <f>IF(OR($B325="",N($D325)=0),"",SUMIFS('Trade Log'!$Q$6:$Q$1005,'Trade Log'!$A$6:$A$1005,$B325))</f>
        <v/>
      </c>
      <c r="F325" s="99" t="str">
        <f>IF(OR($B325="",N($D325)=0),"",IFERROR(COUNTIFS('Trade Log'!$A$6:$A$1005,$B325,'Trade Log'!$S$6:$S$1005,"Win")/(COUNTIFS('Trade Log'!$A$6:$A$1005,$B325,'Trade Log'!$S$6:$S$1005,"Win")+COUNTIFS('Trade Log'!$A$6:$A$1005,$B325,'Trade Log'!$S$6:$S$1005,"Loss")),"—"))</f>
        <v/>
      </c>
      <c r="G325" s="104" t="str">
        <f>IF(OR($B325="",N($D325)=0),"",SUMIFS('Trade Log'!$R$6:$R$1005,'Trade Log'!$A$6:$A$1005,$B325))</f>
        <v/>
      </c>
      <c r="H325" s="96" t="str">
        <f>IF(OR($B325="",N($D325)=0),"",COUNTIFS('Trade Log'!$A$6:$A$1005,$B325,'Trade Log'!$Z$6:$Z$1005,"No"))</f>
        <v/>
      </c>
      <c r="I325" s="105" t="str">
        <f>IF(OR($B325="",N($D325)=0),"",IF(AND(ISNUMBER(Settings!$C$26),N($E325)&lt;=-N(Settings!$C$26)),"Hit daily max loss. ","")&amp;IF(COUNTIFS('Trade Log'!$A$6:$A$1005,$B325,'Trade Log'!$BM$6:$BM$1005,1)&gt;0,"Kept trading after daily max loss. ","")&amp;IF(AND(ISNUMBER(Settings!$C$25),N($D325)&gt;N(Settings!$C$25)),"Over max trades. ",""))</f>
        <v/>
      </c>
      <c r="J325" s="106" t="n"/>
      <c r="K325" s="106" t="n"/>
      <c r="L325" s="106" t="n"/>
      <c r="M325" s="29" t="n"/>
      <c r="N325" s="29" t="n"/>
      <c r="O325" s="106" t="n"/>
    </row>
    <row r="326">
      <c r="B326" s="107">
        <f>IF($B325="","",$B325+IF(AND(Settings!$C$10&lt;&gt;"Yes",WEEKDAY($B325,2)&gt;=5),8-WEEKDAY($B325,2),1))</f>
        <v>46734</v>
      </c>
      <c r="C326" s="103" t="str">
        <f>IF($B326="","",CHOOSE(WEEKDAY($B326,2),"Mon","Tue","Wed","Thu","Fri","Sat","Sun"))</f>
        <v>Mon</v>
      </c>
      <c r="D326" s="96">
        <f>IF($B326="","",COUNTIFS('Trade Log'!$A$6:$A$1005,$B326,'Trade Log'!$BH$6:$BH$1005,1))</f>
        <v>0</v>
      </c>
      <c r="E326" s="98" t="str">
        <f>IF(OR($B326="",N($D326)=0),"",SUMIFS('Trade Log'!$Q$6:$Q$1005,'Trade Log'!$A$6:$A$1005,$B326))</f>
        <v/>
      </c>
      <c r="F326" s="99" t="str">
        <f>IF(OR($B326="",N($D326)=0),"",IFERROR(COUNTIFS('Trade Log'!$A$6:$A$1005,$B326,'Trade Log'!$S$6:$S$1005,"Win")/(COUNTIFS('Trade Log'!$A$6:$A$1005,$B326,'Trade Log'!$S$6:$S$1005,"Win")+COUNTIFS('Trade Log'!$A$6:$A$1005,$B326,'Trade Log'!$S$6:$S$1005,"Loss")),"—"))</f>
        <v/>
      </c>
      <c r="G326" s="104" t="str">
        <f>IF(OR($B326="",N($D326)=0),"",SUMIFS('Trade Log'!$R$6:$R$1005,'Trade Log'!$A$6:$A$1005,$B326))</f>
        <v/>
      </c>
      <c r="H326" s="96" t="str">
        <f>IF(OR($B326="",N($D326)=0),"",COUNTIFS('Trade Log'!$A$6:$A$1005,$B326,'Trade Log'!$Z$6:$Z$1005,"No"))</f>
        <v/>
      </c>
      <c r="I326" s="105" t="str">
        <f>IF(OR($B326="",N($D326)=0),"",IF(AND(ISNUMBER(Settings!$C$26),N($E326)&lt;=-N(Settings!$C$26)),"Hit daily max loss. ","")&amp;IF(COUNTIFS('Trade Log'!$A$6:$A$1005,$B326,'Trade Log'!$BM$6:$BM$1005,1)&gt;0,"Kept trading after daily max loss. ","")&amp;IF(AND(ISNUMBER(Settings!$C$25),N($D326)&gt;N(Settings!$C$25)),"Over max trades. ",""))</f>
        <v/>
      </c>
      <c r="J326" s="106" t="n"/>
      <c r="K326" s="106" t="n"/>
      <c r="L326" s="106" t="n"/>
      <c r="M326" s="29" t="n"/>
      <c r="N326" s="29" t="n"/>
      <c r="O326" s="106" t="n"/>
    </row>
    <row r="327">
      <c r="B327" s="107">
        <f>IF($B326="","",$B326+IF(AND(Settings!$C$10&lt;&gt;"Yes",WEEKDAY($B326,2)&gt;=5),8-WEEKDAY($B326,2),1))</f>
        <v>46735</v>
      </c>
      <c r="C327" s="103" t="str">
        <f>IF($B327="","",CHOOSE(WEEKDAY($B327,2),"Mon","Tue","Wed","Thu","Fri","Sat","Sun"))</f>
        <v>Tue</v>
      </c>
      <c r="D327" s="96">
        <f>IF($B327="","",COUNTIFS('Trade Log'!$A$6:$A$1005,$B327,'Trade Log'!$BH$6:$BH$1005,1))</f>
        <v>0</v>
      </c>
      <c r="E327" s="98" t="str">
        <f>IF(OR($B327="",N($D327)=0),"",SUMIFS('Trade Log'!$Q$6:$Q$1005,'Trade Log'!$A$6:$A$1005,$B327))</f>
        <v/>
      </c>
      <c r="F327" s="99" t="str">
        <f>IF(OR($B327="",N($D327)=0),"",IFERROR(COUNTIFS('Trade Log'!$A$6:$A$1005,$B327,'Trade Log'!$S$6:$S$1005,"Win")/(COUNTIFS('Trade Log'!$A$6:$A$1005,$B327,'Trade Log'!$S$6:$S$1005,"Win")+COUNTIFS('Trade Log'!$A$6:$A$1005,$B327,'Trade Log'!$S$6:$S$1005,"Loss")),"—"))</f>
        <v/>
      </c>
      <c r="G327" s="104" t="str">
        <f>IF(OR($B327="",N($D327)=0),"",SUMIFS('Trade Log'!$R$6:$R$1005,'Trade Log'!$A$6:$A$1005,$B327))</f>
        <v/>
      </c>
      <c r="H327" s="96" t="str">
        <f>IF(OR($B327="",N($D327)=0),"",COUNTIFS('Trade Log'!$A$6:$A$1005,$B327,'Trade Log'!$Z$6:$Z$1005,"No"))</f>
        <v/>
      </c>
      <c r="I327" s="105" t="str">
        <f>IF(OR($B327="",N($D327)=0),"",IF(AND(ISNUMBER(Settings!$C$26),N($E327)&lt;=-N(Settings!$C$26)),"Hit daily max loss. ","")&amp;IF(COUNTIFS('Trade Log'!$A$6:$A$1005,$B327,'Trade Log'!$BM$6:$BM$1005,1)&gt;0,"Kept trading after daily max loss. ","")&amp;IF(AND(ISNUMBER(Settings!$C$25),N($D327)&gt;N(Settings!$C$25)),"Over max trades. ",""))</f>
        <v/>
      </c>
      <c r="J327" s="106" t="n"/>
      <c r="K327" s="106" t="n"/>
      <c r="L327" s="106" t="n"/>
      <c r="M327" s="29" t="n"/>
      <c r="N327" s="29" t="n"/>
      <c r="O327" s="106" t="n"/>
    </row>
    <row r="328">
      <c r="B328" s="107">
        <f>IF($B327="","",$B327+IF(AND(Settings!$C$10&lt;&gt;"Yes",WEEKDAY($B327,2)&gt;=5),8-WEEKDAY($B327,2),1))</f>
        <v>46736</v>
      </c>
      <c r="C328" s="103" t="str">
        <f>IF($B328="","",CHOOSE(WEEKDAY($B328,2),"Mon","Tue","Wed","Thu","Fri","Sat","Sun"))</f>
        <v>Wed</v>
      </c>
      <c r="D328" s="96">
        <f>IF($B328="","",COUNTIFS('Trade Log'!$A$6:$A$1005,$B328,'Trade Log'!$BH$6:$BH$1005,1))</f>
        <v>0</v>
      </c>
      <c r="E328" s="98" t="str">
        <f>IF(OR($B328="",N($D328)=0),"",SUMIFS('Trade Log'!$Q$6:$Q$1005,'Trade Log'!$A$6:$A$1005,$B328))</f>
        <v/>
      </c>
      <c r="F328" s="99" t="str">
        <f>IF(OR($B328="",N($D328)=0),"",IFERROR(COUNTIFS('Trade Log'!$A$6:$A$1005,$B328,'Trade Log'!$S$6:$S$1005,"Win")/(COUNTIFS('Trade Log'!$A$6:$A$1005,$B328,'Trade Log'!$S$6:$S$1005,"Win")+COUNTIFS('Trade Log'!$A$6:$A$1005,$B328,'Trade Log'!$S$6:$S$1005,"Loss")),"—"))</f>
        <v/>
      </c>
      <c r="G328" s="104" t="str">
        <f>IF(OR($B328="",N($D328)=0),"",SUMIFS('Trade Log'!$R$6:$R$1005,'Trade Log'!$A$6:$A$1005,$B328))</f>
        <v/>
      </c>
      <c r="H328" s="96" t="str">
        <f>IF(OR($B328="",N($D328)=0),"",COUNTIFS('Trade Log'!$A$6:$A$1005,$B328,'Trade Log'!$Z$6:$Z$1005,"No"))</f>
        <v/>
      </c>
      <c r="I328" s="105" t="str">
        <f>IF(OR($B328="",N($D328)=0),"",IF(AND(ISNUMBER(Settings!$C$26),N($E328)&lt;=-N(Settings!$C$26)),"Hit daily max loss. ","")&amp;IF(COUNTIFS('Trade Log'!$A$6:$A$1005,$B328,'Trade Log'!$BM$6:$BM$1005,1)&gt;0,"Kept trading after daily max loss. ","")&amp;IF(AND(ISNUMBER(Settings!$C$25),N($D328)&gt;N(Settings!$C$25)),"Over max trades. ",""))</f>
        <v/>
      </c>
      <c r="J328" s="106" t="n"/>
      <c r="K328" s="106" t="n"/>
      <c r="L328" s="106" t="n"/>
      <c r="M328" s="29" t="n"/>
      <c r="N328" s="29" t="n"/>
      <c r="O328" s="106" t="n"/>
    </row>
    <row r="329">
      <c r="B329" s="107">
        <f>IF($B328="","",$B328+IF(AND(Settings!$C$10&lt;&gt;"Yes",WEEKDAY($B328,2)&gt;=5),8-WEEKDAY($B328,2),1))</f>
        <v>46737</v>
      </c>
      <c r="C329" s="103" t="str">
        <f>IF($B329="","",CHOOSE(WEEKDAY($B329,2),"Mon","Tue","Wed","Thu","Fri","Sat","Sun"))</f>
        <v>Thu</v>
      </c>
      <c r="D329" s="96">
        <f>IF($B329="","",COUNTIFS('Trade Log'!$A$6:$A$1005,$B329,'Trade Log'!$BH$6:$BH$1005,1))</f>
        <v>0</v>
      </c>
      <c r="E329" s="98" t="str">
        <f>IF(OR($B329="",N($D329)=0),"",SUMIFS('Trade Log'!$Q$6:$Q$1005,'Trade Log'!$A$6:$A$1005,$B329))</f>
        <v/>
      </c>
      <c r="F329" s="99" t="str">
        <f>IF(OR($B329="",N($D329)=0),"",IFERROR(COUNTIFS('Trade Log'!$A$6:$A$1005,$B329,'Trade Log'!$S$6:$S$1005,"Win")/(COUNTIFS('Trade Log'!$A$6:$A$1005,$B329,'Trade Log'!$S$6:$S$1005,"Win")+COUNTIFS('Trade Log'!$A$6:$A$1005,$B329,'Trade Log'!$S$6:$S$1005,"Loss")),"—"))</f>
        <v/>
      </c>
      <c r="G329" s="104" t="str">
        <f>IF(OR($B329="",N($D329)=0),"",SUMIFS('Trade Log'!$R$6:$R$1005,'Trade Log'!$A$6:$A$1005,$B329))</f>
        <v/>
      </c>
      <c r="H329" s="96" t="str">
        <f>IF(OR($B329="",N($D329)=0),"",COUNTIFS('Trade Log'!$A$6:$A$1005,$B329,'Trade Log'!$Z$6:$Z$1005,"No"))</f>
        <v/>
      </c>
      <c r="I329" s="105" t="str">
        <f>IF(OR($B329="",N($D329)=0),"",IF(AND(ISNUMBER(Settings!$C$26),N($E329)&lt;=-N(Settings!$C$26)),"Hit daily max loss. ","")&amp;IF(COUNTIFS('Trade Log'!$A$6:$A$1005,$B329,'Trade Log'!$BM$6:$BM$1005,1)&gt;0,"Kept trading after daily max loss. ","")&amp;IF(AND(ISNUMBER(Settings!$C$25),N($D329)&gt;N(Settings!$C$25)),"Over max trades. ",""))</f>
        <v/>
      </c>
      <c r="J329" s="106" t="n"/>
      <c r="K329" s="106" t="n"/>
      <c r="L329" s="106" t="n"/>
      <c r="M329" s="29" t="n"/>
      <c r="N329" s="29" t="n"/>
      <c r="O329" s="106" t="n"/>
    </row>
    <row r="330">
      <c r="B330" s="107">
        <f>IF($B329="","",$B329+IF(AND(Settings!$C$10&lt;&gt;"Yes",WEEKDAY($B329,2)&gt;=5),8-WEEKDAY($B329,2),1))</f>
        <v>46738</v>
      </c>
      <c r="C330" s="103" t="str">
        <f>IF($B330="","",CHOOSE(WEEKDAY($B330,2),"Mon","Tue","Wed","Thu","Fri","Sat","Sun"))</f>
        <v>Fri</v>
      </c>
      <c r="D330" s="96">
        <f>IF($B330="","",COUNTIFS('Trade Log'!$A$6:$A$1005,$B330,'Trade Log'!$BH$6:$BH$1005,1))</f>
        <v>0</v>
      </c>
      <c r="E330" s="98" t="str">
        <f>IF(OR($B330="",N($D330)=0),"",SUMIFS('Trade Log'!$Q$6:$Q$1005,'Trade Log'!$A$6:$A$1005,$B330))</f>
        <v/>
      </c>
      <c r="F330" s="99" t="str">
        <f>IF(OR($B330="",N($D330)=0),"",IFERROR(COUNTIFS('Trade Log'!$A$6:$A$1005,$B330,'Trade Log'!$S$6:$S$1005,"Win")/(COUNTIFS('Trade Log'!$A$6:$A$1005,$B330,'Trade Log'!$S$6:$S$1005,"Win")+COUNTIFS('Trade Log'!$A$6:$A$1005,$B330,'Trade Log'!$S$6:$S$1005,"Loss")),"—"))</f>
        <v/>
      </c>
      <c r="G330" s="104" t="str">
        <f>IF(OR($B330="",N($D330)=0),"",SUMIFS('Trade Log'!$R$6:$R$1005,'Trade Log'!$A$6:$A$1005,$B330))</f>
        <v/>
      </c>
      <c r="H330" s="96" t="str">
        <f>IF(OR($B330="",N($D330)=0),"",COUNTIFS('Trade Log'!$A$6:$A$1005,$B330,'Trade Log'!$Z$6:$Z$1005,"No"))</f>
        <v/>
      </c>
      <c r="I330" s="105" t="str">
        <f>IF(OR($B330="",N($D330)=0),"",IF(AND(ISNUMBER(Settings!$C$26),N($E330)&lt;=-N(Settings!$C$26)),"Hit daily max loss. ","")&amp;IF(COUNTIFS('Trade Log'!$A$6:$A$1005,$B330,'Trade Log'!$BM$6:$BM$1005,1)&gt;0,"Kept trading after daily max loss. ","")&amp;IF(AND(ISNUMBER(Settings!$C$25),N($D330)&gt;N(Settings!$C$25)),"Over max trades. ",""))</f>
        <v/>
      </c>
      <c r="J330" s="106" t="n"/>
      <c r="K330" s="106" t="n"/>
      <c r="L330" s="106" t="n"/>
      <c r="M330" s="29" t="n"/>
      <c r="N330" s="29" t="n"/>
      <c r="O330" s="106" t="n"/>
    </row>
    <row r="331">
      <c r="B331" s="107">
        <f>IF($B330="","",$B330+IF(AND(Settings!$C$10&lt;&gt;"Yes",WEEKDAY($B330,2)&gt;=5),8-WEEKDAY($B330,2),1))</f>
        <v>46741</v>
      </c>
      <c r="C331" s="103" t="str">
        <f>IF($B331="","",CHOOSE(WEEKDAY($B331,2),"Mon","Tue","Wed","Thu","Fri","Sat","Sun"))</f>
        <v>Mon</v>
      </c>
      <c r="D331" s="96">
        <f>IF($B331="","",COUNTIFS('Trade Log'!$A$6:$A$1005,$B331,'Trade Log'!$BH$6:$BH$1005,1))</f>
        <v>0</v>
      </c>
      <c r="E331" s="98" t="str">
        <f>IF(OR($B331="",N($D331)=0),"",SUMIFS('Trade Log'!$Q$6:$Q$1005,'Trade Log'!$A$6:$A$1005,$B331))</f>
        <v/>
      </c>
      <c r="F331" s="99" t="str">
        <f>IF(OR($B331="",N($D331)=0),"",IFERROR(COUNTIFS('Trade Log'!$A$6:$A$1005,$B331,'Trade Log'!$S$6:$S$1005,"Win")/(COUNTIFS('Trade Log'!$A$6:$A$1005,$B331,'Trade Log'!$S$6:$S$1005,"Win")+COUNTIFS('Trade Log'!$A$6:$A$1005,$B331,'Trade Log'!$S$6:$S$1005,"Loss")),"—"))</f>
        <v/>
      </c>
      <c r="G331" s="104" t="str">
        <f>IF(OR($B331="",N($D331)=0),"",SUMIFS('Trade Log'!$R$6:$R$1005,'Trade Log'!$A$6:$A$1005,$B331))</f>
        <v/>
      </c>
      <c r="H331" s="96" t="str">
        <f>IF(OR($B331="",N($D331)=0),"",COUNTIFS('Trade Log'!$A$6:$A$1005,$B331,'Trade Log'!$Z$6:$Z$1005,"No"))</f>
        <v/>
      </c>
      <c r="I331" s="105" t="str">
        <f>IF(OR($B331="",N($D331)=0),"",IF(AND(ISNUMBER(Settings!$C$26),N($E331)&lt;=-N(Settings!$C$26)),"Hit daily max loss. ","")&amp;IF(COUNTIFS('Trade Log'!$A$6:$A$1005,$B331,'Trade Log'!$BM$6:$BM$1005,1)&gt;0,"Kept trading after daily max loss. ","")&amp;IF(AND(ISNUMBER(Settings!$C$25),N($D331)&gt;N(Settings!$C$25)),"Over max trades. ",""))</f>
        <v/>
      </c>
      <c r="J331" s="106" t="n"/>
      <c r="K331" s="106" t="n"/>
      <c r="L331" s="106" t="n"/>
      <c r="M331" s="29" t="n"/>
      <c r="N331" s="29" t="n"/>
      <c r="O331" s="106" t="n"/>
    </row>
    <row r="332">
      <c r="B332" s="107">
        <f>IF($B331="","",$B331+IF(AND(Settings!$C$10&lt;&gt;"Yes",WEEKDAY($B331,2)&gt;=5),8-WEEKDAY($B331,2),1))</f>
        <v>46742</v>
      </c>
      <c r="C332" s="103" t="str">
        <f>IF($B332="","",CHOOSE(WEEKDAY($B332,2),"Mon","Tue","Wed","Thu","Fri","Sat","Sun"))</f>
        <v>Tue</v>
      </c>
      <c r="D332" s="96">
        <f>IF($B332="","",COUNTIFS('Trade Log'!$A$6:$A$1005,$B332,'Trade Log'!$BH$6:$BH$1005,1))</f>
        <v>0</v>
      </c>
      <c r="E332" s="98" t="str">
        <f>IF(OR($B332="",N($D332)=0),"",SUMIFS('Trade Log'!$Q$6:$Q$1005,'Trade Log'!$A$6:$A$1005,$B332))</f>
        <v/>
      </c>
      <c r="F332" s="99" t="str">
        <f>IF(OR($B332="",N($D332)=0),"",IFERROR(COUNTIFS('Trade Log'!$A$6:$A$1005,$B332,'Trade Log'!$S$6:$S$1005,"Win")/(COUNTIFS('Trade Log'!$A$6:$A$1005,$B332,'Trade Log'!$S$6:$S$1005,"Win")+COUNTIFS('Trade Log'!$A$6:$A$1005,$B332,'Trade Log'!$S$6:$S$1005,"Loss")),"—"))</f>
        <v/>
      </c>
      <c r="G332" s="104" t="str">
        <f>IF(OR($B332="",N($D332)=0),"",SUMIFS('Trade Log'!$R$6:$R$1005,'Trade Log'!$A$6:$A$1005,$B332))</f>
        <v/>
      </c>
      <c r="H332" s="96" t="str">
        <f>IF(OR($B332="",N($D332)=0),"",COUNTIFS('Trade Log'!$A$6:$A$1005,$B332,'Trade Log'!$Z$6:$Z$1005,"No"))</f>
        <v/>
      </c>
      <c r="I332" s="105" t="str">
        <f>IF(OR($B332="",N($D332)=0),"",IF(AND(ISNUMBER(Settings!$C$26),N($E332)&lt;=-N(Settings!$C$26)),"Hit daily max loss. ","")&amp;IF(COUNTIFS('Trade Log'!$A$6:$A$1005,$B332,'Trade Log'!$BM$6:$BM$1005,1)&gt;0,"Kept trading after daily max loss. ","")&amp;IF(AND(ISNUMBER(Settings!$C$25),N($D332)&gt;N(Settings!$C$25)),"Over max trades. ",""))</f>
        <v/>
      </c>
      <c r="J332" s="106" t="n"/>
      <c r="K332" s="106" t="n"/>
      <c r="L332" s="106" t="n"/>
      <c r="M332" s="29" t="n"/>
      <c r="N332" s="29" t="n"/>
      <c r="O332" s="106" t="n"/>
    </row>
    <row r="333">
      <c r="B333" s="107">
        <f>IF($B332="","",$B332+IF(AND(Settings!$C$10&lt;&gt;"Yes",WEEKDAY($B332,2)&gt;=5),8-WEEKDAY($B332,2),1))</f>
        <v>46743</v>
      </c>
      <c r="C333" s="103" t="str">
        <f>IF($B333="","",CHOOSE(WEEKDAY($B333,2),"Mon","Tue","Wed","Thu","Fri","Sat","Sun"))</f>
        <v>Wed</v>
      </c>
      <c r="D333" s="96">
        <f>IF($B333="","",COUNTIFS('Trade Log'!$A$6:$A$1005,$B333,'Trade Log'!$BH$6:$BH$1005,1))</f>
        <v>0</v>
      </c>
      <c r="E333" s="98" t="str">
        <f>IF(OR($B333="",N($D333)=0),"",SUMIFS('Trade Log'!$Q$6:$Q$1005,'Trade Log'!$A$6:$A$1005,$B333))</f>
        <v/>
      </c>
      <c r="F333" s="99" t="str">
        <f>IF(OR($B333="",N($D333)=0),"",IFERROR(COUNTIFS('Trade Log'!$A$6:$A$1005,$B333,'Trade Log'!$S$6:$S$1005,"Win")/(COUNTIFS('Trade Log'!$A$6:$A$1005,$B333,'Trade Log'!$S$6:$S$1005,"Win")+COUNTIFS('Trade Log'!$A$6:$A$1005,$B333,'Trade Log'!$S$6:$S$1005,"Loss")),"—"))</f>
        <v/>
      </c>
      <c r="G333" s="104" t="str">
        <f>IF(OR($B333="",N($D333)=0),"",SUMIFS('Trade Log'!$R$6:$R$1005,'Trade Log'!$A$6:$A$1005,$B333))</f>
        <v/>
      </c>
      <c r="H333" s="96" t="str">
        <f>IF(OR($B333="",N($D333)=0),"",COUNTIFS('Trade Log'!$A$6:$A$1005,$B333,'Trade Log'!$Z$6:$Z$1005,"No"))</f>
        <v/>
      </c>
      <c r="I333" s="105" t="str">
        <f>IF(OR($B333="",N($D333)=0),"",IF(AND(ISNUMBER(Settings!$C$26),N($E333)&lt;=-N(Settings!$C$26)),"Hit daily max loss. ","")&amp;IF(COUNTIFS('Trade Log'!$A$6:$A$1005,$B333,'Trade Log'!$BM$6:$BM$1005,1)&gt;0,"Kept trading after daily max loss. ","")&amp;IF(AND(ISNUMBER(Settings!$C$25),N($D333)&gt;N(Settings!$C$25)),"Over max trades. ",""))</f>
        <v/>
      </c>
      <c r="J333" s="106" t="n"/>
      <c r="K333" s="106" t="n"/>
      <c r="L333" s="106" t="n"/>
      <c r="M333" s="29" t="n"/>
      <c r="N333" s="29" t="n"/>
      <c r="O333" s="106" t="n"/>
    </row>
    <row r="334">
      <c r="B334" s="107">
        <f>IF($B333="","",$B333+IF(AND(Settings!$C$10&lt;&gt;"Yes",WEEKDAY($B333,2)&gt;=5),8-WEEKDAY($B333,2),1))</f>
        <v>46744</v>
      </c>
      <c r="C334" s="103" t="str">
        <f>IF($B334="","",CHOOSE(WEEKDAY($B334,2),"Mon","Tue","Wed","Thu","Fri","Sat","Sun"))</f>
        <v>Thu</v>
      </c>
      <c r="D334" s="96">
        <f>IF($B334="","",COUNTIFS('Trade Log'!$A$6:$A$1005,$B334,'Trade Log'!$BH$6:$BH$1005,1))</f>
        <v>0</v>
      </c>
      <c r="E334" s="98" t="str">
        <f>IF(OR($B334="",N($D334)=0),"",SUMIFS('Trade Log'!$Q$6:$Q$1005,'Trade Log'!$A$6:$A$1005,$B334))</f>
        <v/>
      </c>
      <c r="F334" s="99" t="str">
        <f>IF(OR($B334="",N($D334)=0),"",IFERROR(COUNTIFS('Trade Log'!$A$6:$A$1005,$B334,'Trade Log'!$S$6:$S$1005,"Win")/(COUNTIFS('Trade Log'!$A$6:$A$1005,$B334,'Trade Log'!$S$6:$S$1005,"Win")+COUNTIFS('Trade Log'!$A$6:$A$1005,$B334,'Trade Log'!$S$6:$S$1005,"Loss")),"—"))</f>
        <v/>
      </c>
      <c r="G334" s="104" t="str">
        <f>IF(OR($B334="",N($D334)=0),"",SUMIFS('Trade Log'!$R$6:$R$1005,'Trade Log'!$A$6:$A$1005,$B334))</f>
        <v/>
      </c>
      <c r="H334" s="96" t="str">
        <f>IF(OR($B334="",N($D334)=0),"",COUNTIFS('Trade Log'!$A$6:$A$1005,$B334,'Trade Log'!$Z$6:$Z$1005,"No"))</f>
        <v/>
      </c>
      <c r="I334" s="105" t="str">
        <f>IF(OR($B334="",N($D334)=0),"",IF(AND(ISNUMBER(Settings!$C$26),N($E334)&lt;=-N(Settings!$C$26)),"Hit daily max loss. ","")&amp;IF(COUNTIFS('Trade Log'!$A$6:$A$1005,$B334,'Trade Log'!$BM$6:$BM$1005,1)&gt;0,"Kept trading after daily max loss. ","")&amp;IF(AND(ISNUMBER(Settings!$C$25),N($D334)&gt;N(Settings!$C$25)),"Over max trades. ",""))</f>
        <v/>
      </c>
      <c r="J334" s="106" t="n"/>
      <c r="K334" s="106" t="n"/>
      <c r="L334" s="106" t="n"/>
      <c r="M334" s="29" t="n"/>
      <c r="N334" s="29" t="n"/>
      <c r="O334" s="106" t="n"/>
    </row>
    <row r="335">
      <c r="B335" s="107">
        <f>IF($B334="","",$B334+IF(AND(Settings!$C$10&lt;&gt;"Yes",WEEKDAY($B334,2)&gt;=5),8-WEEKDAY($B334,2),1))</f>
        <v>46745</v>
      </c>
      <c r="C335" s="103" t="str">
        <f>IF($B335="","",CHOOSE(WEEKDAY($B335,2),"Mon","Tue","Wed","Thu","Fri","Sat","Sun"))</f>
        <v>Fri</v>
      </c>
      <c r="D335" s="96">
        <f>IF($B335="","",COUNTIFS('Trade Log'!$A$6:$A$1005,$B335,'Trade Log'!$BH$6:$BH$1005,1))</f>
        <v>0</v>
      </c>
      <c r="E335" s="98" t="str">
        <f>IF(OR($B335="",N($D335)=0),"",SUMIFS('Trade Log'!$Q$6:$Q$1005,'Trade Log'!$A$6:$A$1005,$B335))</f>
        <v/>
      </c>
      <c r="F335" s="99" t="str">
        <f>IF(OR($B335="",N($D335)=0),"",IFERROR(COUNTIFS('Trade Log'!$A$6:$A$1005,$B335,'Trade Log'!$S$6:$S$1005,"Win")/(COUNTIFS('Trade Log'!$A$6:$A$1005,$B335,'Trade Log'!$S$6:$S$1005,"Win")+COUNTIFS('Trade Log'!$A$6:$A$1005,$B335,'Trade Log'!$S$6:$S$1005,"Loss")),"—"))</f>
        <v/>
      </c>
      <c r="G335" s="104" t="str">
        <f>IF(OR($B335="",N($D335)=0),"",SUMIFS('Trade Log'!$R$6:$R$1005,'Trade Log'!$A$6:$A$1005,$B335))</f>
        <v/>
      </c>
      <c r="H335" s="96" t="str">
        <f>IF(OR($B335="",N($D335)=0),"",COUNTIFS('Trade Log'!$A$6:$A$1005,$B335,'Trade Log'!$Z$6:$Z$1005,"No"))</f>
        <v/>
      </c>
      <c r="I335" s="105" t="str">
        <f>IF(OR($B335="",N($D335)=0),"",IF(AND(ISNUMBER(Settings!$C$26),N($E335)&lt;=-N(Settings!$C$26)),"Hit daily max loss. ","")&amp;IF(COUNTIFS('Trade Log'!$A$6:$A$1005,$B335,'Trade Log'!$BM$6:$BM$1005,1)&gt;0,"Kept trading after daily max loss. ","")&amp;IF(AND(ISNUMBER(Settings!$C$25),N($D335)&gt;N(Settings!$C$25)),"Over max trades. ",""))</f>
        <v/>
      </c>
      <c r="J335" s="106" t="n"/>
      <c r="K335" s="106" t="n"/>
      <c r="L335" s="106" t="n"/>
      <c r="M335" s="29" t="n"/>
      <c r="N335" s="29" t="n"/>
      <c r="O335" s="106" t="n"/>
    </row>
    <row r="336">
      <c r="B336" s="107">
        <f>IF($B335="","",$B335+IF(AND(Settings!$C$10&lt;&gt;"Yes",WEEKDAY($B335,2)&gt;=5),8-WEEKDAY($B335,2),1))</f>
        <v>46748</v>
      </c>
      <c r="C336" s="103" t="str">
        <f>IF($B336="","",CHOOSE(WEEKDAY($B336,2),"Mon","Tue","Wed","Thu","Fri","Sat","Sun"))</f>
        <v>Mon</v>
      </c>
      <c r="D336" s="96">
        <f>IF($B336="","",COUNTIFS('Trade Log'!$A$6:$A$1005,$B336,'Trade Log'!$BH$6:$BH$1005,1))</f>
        <v>0</v>
      </c>
      <c r="E336" s="98" t="str">
        <f>IF(OR($B336="",N($D336)=0),"",SUMIFS('Trade Log'!$Q$6:$Q$1005,'Trade Log'!$A$6:$A$1005,$B336))</f>
        <v/>
      </c>
      <c r="F336" s="99" t="str">
        <f>IF(OR($B336="",N($D336)=0),"",IFERROR(COUNTIFS('Trade Log'!$A$6:$A$1005,$B336,'Trade Log'!$S$6:$S$1005,"Win")/(COUNTIFS('Trade Log'!$A$6:$A$1005,$B336,'Trade Log'!$S$6:$S$1005,"Win")+COUNTIFS('Trade Log'!$A$6:$A$1005,$B336,'Trade Log'!$S$6:$S$1005,"Loss")),"—"))</f>
        <v/>
      </c>
      <c r="G336" s="104" t="str">
        <f>IF(OR($B336="",N($D336)=0),"",SUMIFS('Trade Log'!$R$6:$R$1005,'Trade Log'!$A$6:$A$1005,$B336))</f>
        <v/>
      </c>
      <c r="H336" s="96" t="str">
        <f>IF(OR($B336="",N($D336)=0),"",COUNTIFS('Trade Log'!$A$6:$A$1005,$B336,'Trade Log'!$Z$6:$Z$1005,"No"))</f>
        <v/>
      </c>
      <c r="I336" s="105" t="str">
        <f>IF(OR($B336="",N($D336)=0),"",IF(AND(ISNUMBER(Settings!$C$26),N($E336)&lt;=-N(Settings!$C$26)),"Hit daily max loss. ","")&amp;IF(COUNTIFS('Trade Log'!$A$6:$A$1005,$B336,'Trade Log'!$BM$6:$BM$1005,1)&gt;0,"Kept trading after daily max loss. ","")&amp;IF(AND(ISNUMBER(Settings!$C$25),N($D336)&gt;N(Settings!$C$25)),"Over max trades. ",""))</f>
        <v/>
      </c>
      <c r="J336" s="106" t="n"/>
      <c r="K336" s="106" t="n"/>
      <c r="L336" s="106" t="n"/>
      <c r="M336" s="29" t="n"/>
      <c r="N336" s="29" t="n"/>
      <c r="O336" s="106" t="n"/>
    </row>
    <row r="337">
      <c r="B337" s="107">
        <f>IF($B336="","",$B336+IF(AND(Settings!$C$10&lt;&gt;"Yes",WEEKDAY($B336,2)&gt;=5),8-WEEKDAY($B336,2),1))</f>
        <v>46749</v>
      </c>
      <c r="C337" s="103" t="str">
        <f>IF($B337="","",CHOOSE(WEEKDAY($B337,2),"Mon","Tue","Wed","Thu","Fri","Sat","Sun"))</f>
        <v>Tue</v>
      </c>
      <c r="D337" s="96">
        <f>IF($B337="","",COUNTIFS('Trade Log'!$A$6:$A$1005,$B337,'Trade Log'!$BH$6:$BH$1005,1))</f>
        <v>0</v>
      </c>
      <c r="E337" s="98" t="str">
        <f>IF(OR($B337="",N($D337)=0),"",SUMIFS('Trade Log'!$Q$6:$Q$1005,'Trade Log'!$A$6:$A$1005,$B337))</f>
        <v/>
      </c>
      <c r="F337" s="99" t="str">
        <f>IF(OR($B337="",N($D337)=0),"",IFERROR(COUNTIFS('Trade Log'!$A$6:$A$1005,$B337,'Trade Log'!$S$6:$S$1005,"Win")/(COUNTIFS('Trade Log'!$A$6:$A$1005,$B337,'Trade Log'!$S$6:$S$1005,"Win")+COUNTIFS('Trade Log'!$A$6:$A$1005,$B337,'Trade Log'!$S$6:$S$1005,"Loss")),"—"))</f>
        <v/>
      </c>
      <c r="G337" s="104" t="str">
        <f>IF(OR($B337="",N($D337)=0),"",SUMIFS('Trade Log'!$R$6:$R$1005,'Trade Log'!$A$6:$A$1005,$B337))</f>
        <v/>
      </c>
      <c r="H337" s="96" t="str">
        <f>IF(OR($B337="",N($D337)=0),"",COUNTIFS('Trade Log'!$A$6:$A$1005,$B337,'Trade Log'!$Z$6:$Z$1005,"No"))</f>
        <v/>
      </c>
      <c r="I337" s="105" t="str">
        <f>IF(OR($B337="",N($D337)=0),"",IF(AND(ISNUMBER(Settings!$C$26),N($E337)&lt;=-N(Settings!$C$26)),"Hit daily max loss. ","")&amp;IF(COUNTIFS('Trade Log'!$A$6:$A$1005,$B337,'Trade Log'!$BM$6:$BM$1005,1)&gt;0,"Kept trading after daily max loss. ","")&amp;IF(AND(ISNUMBER(Settings!$C$25),N($D337)&gt;N(Settings!$C$25)),"Over max trades. ",""))</f>
        <v/>
      </c>
      <c r="J337" s="106" t="n"/>
      <c r="K337" s="106" t="n"/>
      <c r="L337" s="106" t="n"/>
      <c r="M337" s="29" t="n"/>
      <c r="N337" s="29" t="n"/>
      <c r="O337" s="106" t="n"/>
    </row>
    <row r="338">
      <c r="B338" s="107">
        <f>IF($B337="","",$B337+IF(AND(Settings!$C$10&lt;&gt;"Yes",WEEKDAY($B337,2)&gt;=5),8-WEEKDAY($B337,2),1))</f>
        <v>46750</v>
      </c>
      <c r="C338" s="103" t="str">
        <f>IF($B338="","",CHOOSE(WEEKDAY($B338,2),"Mon","Tue","Wed","Thu","Fri","Sat","Sun"))</f>
        <v>Wed</v>
      </c>
      <c r="D338" s="96">
        <f>IF($B338="","",COUNTIFS('Trade Log'!$A$6:$A$1005,$B338,'Trade Log'!$BH$6:$BH$1005,1))</f>
        <v>0</v>
      </c>
      <c r="E338" s="98" t="str">
        <f>IF(OR($B338="",N($D338)=0),"",SUMIFS('Trade Log'!$Q$6:$Q$1005,'Trade Log'!$A$6:$A$1005,$B338))</f>
        <v/>
      </c>
      <c r="F338" s="99" t="str">
        <f>IF(OR($B338="",N($D338)=0),"",IFERROR(COUNTIFS('Trade Log'!$A$6:$A$1005,$B338,'Trade Log'!$S$6:$S$1005,"Win")/(COUNTIFS('Trade Log'!$A$6:$A$1005,$B338,'Trade Log'!$S$6:$S$1005,"Win")+COUNTIFS('Trade Log'!$A$6:$A$1005,$B338,'Trade Log'!$S$6:$S$1005,"Loss")),"—"))</f>
        <v/>
      </c>
      <c r="G338" s="104" t="str">
        <f>IF(OR($B338="",N($D338)=0),"",SUMIFS('Trade Log'!$R$6:$R$1005,'Trade Log'!$A$6:$A$1005,$B338))</f>
        <v/>
      </c>
      <c r="H338" s="96" t="str">
        <f>IF(OR($B338="",N($D338)=0),"",COUNTIFS('Trade Log'!$A$6:$A$1005,$B338,'Trade Log'!$Z$6:$Z$1005,"No"))</f>
        <v/>
      </c>
      <c r="I338" s="105" t="str">
        <f>IF(OR($B338="",N($D338)=0),"",IF(AND(ISNUMBER(Settings!$C$26),N($E338)&lt;=-N(Settings!$C$26)),"Hit daily max loss. ","")&amp;IF(COUNTIFS('Trade Log'!$A$6:$A$1005,$B338,'Trade Log'!$BM$6:$BM$1005,1)&gt;0,"Kept trading after daily max loss. ","")&amp;IF(AND(ISNUMBER(Settings!$C$25),N($D338)&gt;N(Settings!$C$25)),"Over max trades. ",""))</f>
        <v/>
      </c>
      <c r="J338" s="106" t="n"/>
      <c r="K338" s="106" t="n"/>
      <c r="L338" s="106" t="n"/>
      <c r="M338" s="29" t="n"/>
      <c r="N338" s="29" t="n"/>
      <c r="O338" s="106" t="n"/>
    </row>
    <row r="339">
      <c r="B339" s="107">
        <f>IF($B338="","",$B338+IF(AND(Settings!$C$10&lt;&gt;"Yes",WEEKDAY($B338,2)&gt;=5),8-WEEKDAY($B338,2),1))</f>
        <v>46751</v>
      </c>
      <c r="C339" s="103" t="str">
        <f>IF($B339="","",CHOOSE(WEEKDAY($B339,2),"Mon","Tue","Wed","Thu","Fri","Sat","Sun"))</f>
        <v>Thu</v>
      </c>
      <c r="D339" s="96">
        <f>IF($B339="","",COUNTIFS('Trade Log'!$A$6:$A$1005,$B339,'Trade Log'!$BH$6:$BH$1005,1))</f>
        <v>0</v>
      </c>
      <c r="E339" s="98" t="str">
        <f>IF(OR($B339="",N($D339)=0),"",SUMIFS('Trade Log'!$Q$6:$Q$1005,'Trade Log'!$A$6:$A$1005,$B339))</f>
        <v/>
      </c>
      <c r="F339" s="99" t="str">
        <f>IF(OR($B339="",N($D339)=0),"",IFERROR(COUNTIFS('Trade Log'!$A$6:$A$1005,$B339,'Trade Log'!$S$6:$S$1005,"Win")/(COUNTIFS('Trade Log'!$A$6:$A$1005,$B339,'Trade Log'!$S$6:$S$1005,"Win")+COUNTIFS('Trade Log'!$A$6:$A$1005,$B339,'Trade Log'!$S$6:$S$1005,"Loss")),"—"))</f>
        <v/>
      </c>
      <c r="G339" s="104" t="str">
        <f>IF(OR($B339="",N($D339)=0),"",SUMIFS('Trade Log'!$R$6:$R$1005,'Trade Log'!$A$6:$A$1005,$B339))</f>
        <v/>
      </c>
      <c r="H339" s="96" t="str">
        <f>IF(OR($B339="",N($D339)=0),"",COUNTIFS('Trade Log'!$A$6:$A$1005,$B339,'Trade Log'!$Z$6:$Z$1005,"No"))</f>
        <v/>
      </c>
      <c r="I339" s="105" t="str">
        <f>IF(OR($B339="",N($D339)=0),"",IF(AND(ISNUMBER(Settings!$C$26),N($E339)&lt;=-N(Settings!$C$26)),"Hit daily max loss. ","")&amp;IF(COUNTIFS('Trade Log'!$A$6:$A$1005,$B339,'Trade Log'!$BM$6:$BM$1005,1)&gt;0,"Kept trading after daily max loss. ","")&amp;IF(AND(ISNUMBER(Settings!$C$25),N($D339)&gt;N(Settings!$C$25)),"Over max trades. ",""))</f>
        <v/>
      </c>
      <c r="J339" s="106" t="n"/>
      <c r="K339" s="106" t="n"/>
      <c r="L339" s="106" t="n"/>
      <c r="M339" s="29" t="n"/>
      <c r="N339" s="29" t="n"/>
      <c r="O339" s="106" t="n"/>
    </row>
    <row r="340">
      <c r="B340" s="107">
        <f>IF($B339="","",$B339+IF(AND(Settings!$C$10&lt;&gt;"Yes",WEEKDAY($B339,2)&gt;=5),8-WEEKDAY($B339,2),1))</f>
        <v>46752</v>
      </c>
      <c r="C340" s="103" t="str">
        <f>IF($B340="","",CHOOSE(WEEKDAY($B340,2),"Mon","Tue","Wed","Thu","Fri","Sat","Sun"))</f>
        <v>Fri</v>
      </c>
      <c r="D340" s="96">
        <f>IF($B340="","",COUNTIFS('Trade Log'!$A$6:$A$1005,$B340,'Trade Log'!$BH$6:$BH$1005,1))</f>
        <v>0</v>
      </c>
      <c r="E340" s="98" t="str">
        <f>IF(OR($B340="",N($D340)=0),"",SUMIFS('Trade Log'!$Q$6:$Q$1005,'Trade Log'!$A$6:$A$1005,$B340))</f>
        <v/>
      </c>
      <c r="F340" s="99" t="str">
        <f>IF(OR($B340="",N($D340)=0),"",IFERROR(COUNTIFS('Trade Log'!$A$6:$A$1005,$B340,'Trade Log'!$S$6:$S$1005,"Win")/(COUNTIFS('Trade Log'!$A$6:$A$1005,$B340,'Trade Log'!$S$6:$S$1005,"Win")+COUNTIFS('Trade Log'!$A$6:$A$1005,$B340,'Trade Log'!$S$6:$S$1005,"Loss")),"—"))</f>
        <v/>
      </c>
      <c r="G340" s="104" t="str">
        <f>IF(OR($B340="",N($D340)=0),"",SUMIFS('Trade Log'!$R$6:$R$1005,'Trade Log'!$A$6:$A$1005,$B340))</f>
        <v/>
      </c>
      <c r="H340" s="96" t="str">
        <f>IF(OR($B340="",N($D340)=0),"",COUNTIFS('Trade Log'!$A$6:$A$1005,$B340,'Trade Log'!$Z$6:$Z$1005,"No"))</f>
        <v/>
      </c>
      <c r="I340" s="105" t="str">
        <f>IF(OR($B340="",N($D340)=0),"",IF(AND(ISNUMBER(Settings!$C$26),N($E340)&lt;=-N(Settings!$C$26)),"Hit daily max loss. ","")&amp;IF(COUNTIFS('Trade Log'!$A$6:$A$1005,$B340,'Trade Log'!$BM$6:$BM$1005,1)&gt;0,"Kept trading after daily max loss. ","")&amp;IF(AND(ISNUMBER(Settings!$C$25),N($D340)&gt;N(Settings!$C$25)),"Over max trades. ",""))</f>
        <v/>
      </c>
      <c r="J340" s="106" t="n"/>
      <c r="K340" s="106" t="n"/>
      <c r="L340" s="106" t="n"/>
      <c r="M340" s="29" t="n"/>
      <c r="N340" s="29" t="n"/>
      <c r="O340" s="106" t="n"/>
    </row>
    <row r="341">
      <c r="B341" s="107">
        <f>IF($B340="","",$B340+IF(AND(Settings!$C$10&lt;&gt;"Yes",WEEKDAY($B340,2)&gt;=5),8-WEEKDAY($B340,2),1))</f>
        <v>46755</v>
      </c>
      <c r="C341" s="103" t="str">
        <f>IF($B341="","",CHOOSE(WEEKDAY($B341,2),"Mon","Tue","Wed","Thu","Fri","Sat","Sun"))</f>
        <v>Mon</v>
      </c>
      <c r="D341" s="96">
        <f>IF($B341="","",COUNTIFS('Trade Log'!$A$6:$A$1005,$B341,'Trade Log'!$BH$6:$BH$1005,1))</f>
        <v>0</v>
      </c>
      <c r="E341" s="98" t="str">
        <f>IF(OR($B341="",N($D341)=0),"",SUMIFS('Trade Log'!$Q$6:$Q$1005,'Trade Log'!$A$6:$A$1005,$B341))</f>
        <v/>
      </c>
      <c r="F341" s="99" t="str">
        <f>IF(OR($B341="",N($D341)=0),"",IFERROR(COUNTIFS('Trade Log'!$A$6:$A$1005,$B341,'Trade Log'!$S$6:$S$1005,"Win")/(COUNTIFS('Trade Log'!$A$6:$A$1005,$B341,'Trade Log'!$S$6:$S$1005,"Win")+COUNTIFS('Trade Log'!$A$6:$A$1005,$B341,'Trade Log'!$S$6:$S$1005,"Loss")),"—"))</f>
        <v/>
      </c>
      <c r="G341" s="104" t="str">
        <f>IF(OR($B341="",N($D341)=0),"",SUMIFS('Trade Log'!$R$6:$R$1005,'Trade Log'!$A$6:$A$1005,$B341))</f>
        <v/>
      </c>
      <c r="H341" s="96" t="str">
        <f>IF(OR($B341="",N($D341)=0),"",COUNTIFS('Trade Log'!$A$6:$A$1005,$B341,'Trade Log'!$Z$6:$Z$1005,"No"))</f>
        <v/>
      </c>
      <c r="I341" s="105" t="str">
        <f>IF(OR($B341="",N($D341)=0),"",IF(AND(ISNUMBER(Settings!$C$26),N($E341)&lt;=-N(Settings!$C$26)),"Hit daily max loss. ","")&amp;IF(COUNTIFS('Trade Log'!$A$6:$A$1005,$B341,'Trade Log'!$BM$6:$BM$1005,1)&gt;0,"Kept trading after daily max loss. ","")&amp;IF(AND(ISNUMBER(Settings!$C$25),N($D341)&gt;N(Settings!$C$25)),"Over max trades. ",""))</f>
        <v/>
      </c>
      <c r="J341" s="106" t="n"/>
      <c r="K341" s="106" t="n"/>
      <c r="L341" s="106" t="n"/>
      <c r="M341" s="29" t="n"/>
      <c r="N341" s="29" t="n"/>
      <c r="O341" s="106" t="n"/>
    </row>
    <row r="342">
      <c r="B342" s="107">
        <f>IF($B341="","",$B341+IF(AND(Settings!$C$10&lt;&gt;"Yes",WEEKDAY($B341,2)&gt;=5),8-WEEKDAY($B341,2),1))</f>
        <v>46756</v>
      </c>
      <c r="C342" s="103" t="str">
        <f>IF($B342="","",CHOOSE(WEEKDAY($B342,2),"Mon","Tue","Wed","Thu","Fri","Sat","Sun"))</f>
        <v>Tue</v>
      </c>
      <c r="D342" s="96">
        <f>IF($B342="","",COUNTIFS('Trade Log'!$A$6:$A$1005,$B342,'Trade Log'!$BH$6:$BH$1005,1))</f>
        <v>0</v>
      </c>
      <c r="E342" s="98" t="str">
        <f>IF(OR($B342="",N($D342)=0),"",SUMIFS('Trade Log'!$Q$6:$Q$1005,'Trade Log'!$A$6:$A$1005,$B342))</f>
        <v/>
      </c>
      <c r="F342" s="99" t="str">
        <f>IF(OR($B342="",N($D342)=0),"",IFERROR(COUNTIFS('Trade Log'!$A$6:$A$1005,$B342,'Trade Log'!$S$6:$S$1005,"Win")/(COUNTIFS('Trade Log'!$A$6:$A$1005,$B342,'Trade Log'!$S$6:$S$1005,"Win")+COUNTIFS('Trade Log'!$A$6:$A$1005,$B342,'Trade Log'!$S$6:$S$1005,"Loss")),"—"))</f>
        <v/>
      </c>
      <c r="G342" s="104" t="str">
        <f>IF(OR($B342="",N($D342)=0),"",SUMIFS('Trade Log'!$R$6:$R$1005,'Trade Log'!$A$6:$A$1005,$B342))</f>
        <v/>
      </c>
      <c r="H342" s="96" t="str">
        <f>IF(OR($B342="",N($D342)=0),"",COUNTIFS('Trade Log'!$A$6:$A$1005,$B342,'Trade Log'!$Z$6:$Z$1005,"No"))</f>
        <v/>
      </c>
      <c r="I342" s="105" t="str">
        <f>IF(OR($B342="",N($D342)=0),"",IF(AND(ISNUMBER(Settings!$C$26),N($E342)&lt;=-N(Settings!$C$26)),"Hit daily max loss. ","")&amp;IF(COUNTIFS('Trade Log'!$A$6:$A$1005,$B342,'Trade Log'!$BM$6:$BM$1005,1)&gt;0,"Kept trading after daily max loss. ","")&amp;IF(AND(ISNUMBER(Settings!$C$25),N($D342)&gt;N(Settings!$C$25)),"Over max trades. ",""))</f>
        <v/>
      </c>
      <c r="J342" s="106" t="n"/>
      <c r="K342" s="106" t="n"/>
      <c r="L342" s="106" t="n"/>
      <c r="M342" s="29" t="n"/>
      <c r="N342" s="29" t="n"/>
      <c r="O342" s="106" t="n"/>
    </row>
    <row r="343">
      <c r="B343" s="107">
        <f>IF($B342="","",$B342+IF(AND(Settings!$C$10&lt;&gt;"Yes",WEEKDAY($B342,2)&gt;=5),8-WEEKDAY($B342,2),1))</f>
        <v>46757</v>
      </c>
      <c r="C343" s="103" t="str">
        <f>IF($B343="","",CHOOSE(WEEKDAY($B343,2),"Mon","Tue","Wed","Thu","Fri","Sat","Sun"))</f>
        <v>Wed</v>
      </c>
      <c r="D343" s="96">
        <f>IF($B343="","",COUNTIFS('Trade Log'!$A$6:$A$1005,$B343,'Trade Log'!$BH$6:$BH$1005,1))</f>
        <v>0</v>
      </c>
      <c r="E343" s="98" t="str">
        <f>IF(OR($B343="",N($D343)=0),"",SUMIFS('Trade Log'!$Q$6:$Q$1005,'Trade Log'!$A$6:$A$1005,$B343))</f>
        <v/>
      </c>
      <c r="F343" s="99" t="str">
        <f>IF(OR($B343="",N($D343)=0),"",IFERROR(COUNTIFS('Trade Log'!$A$6:$A$1005,$B343,'Trade Log'!$S$6:$S$1005,"Win")/(COUNTIFS('Trade Log'!$A$6:$A$1005,$B343,'Trade Log'!$S$6:$S$1005,"Win")+COUNTIFS('Trade Log'!$A$6:$A$1005,$B343,'Trade Log'!$S$6:$S$1005,"Loss")),"—"))</f>
        <v/>
      </c>
      <c r="G343" s="104" t="str">
        <f>IF(OR($B343="",N($D343)=0),"",SUMIFS('Trade Log'!$R$6:$R$1005,'Trade Log'!$A$6:$A$1005,$B343))</f>
        <v/>
      </c>
      <c r="H343" s="96" t="str">
        <f>IF(OR($B343="",N($D343)=0),"",COUNTIFS('Trade Log'!$A$6:$A$1005,$B343,'Trade Log'!$Z$6:$Z$1005,"No"))</f>
        <v/>
      </c>
      <c r="I343" s="105" t="str">
        <f>IF(OR($B343="",N($D343)=0),"",IF(AND(ISNUMBER(Settings!$C$26),N($E343)&lt;=-N(Settings!$C$26)),"Hit daily max loss. ","")&amp;IF(COUNTIFS('Trade Log'!$A$6:$A$1005,$B343,'Trade Log'!$BM$6:$BM$1005,1)&gt;0,"Kept trading after daily max loss. ","")&amp;IF(AND(ISNUMBER(Settings!$C$25),N($D343)&gt;N(Settings!$C$25)),"Over max trades. ",""))</f>
        <v/>
      </c>
      <c r="J343" s="106" t="n"/>
      <c r="K343" s="106" t="n"/>
      <c r="L343" s="106" t="n"/>
      <c r="M343" s="29" t="n"/>
      <c r="N343" s="29" t="n"/>
      <c r="O343" s="106" t="n"/>
    </row>
    <row r="344">
      <c r="B344" s="107">
        <f>IF($B343="","",$B343+IF(AND(Settings!$C$10&lt;&gt;"Yes",WEEKDAY($B343,2)&gt;=5),8-WEEKDAY($B343,2),1))</f>
        <v>46758</v>
      </c>
      <c r="C344" s="103" t="str">
        <f>IF($B344="","",CHOOSE(WEEKDAY($B344,2),"Mon","Tue","Wed","Thu","Fri","Sat","Sun"))</f>
        <v>Thu</v>
      </c>
      <c r="D344" s="96">
        <f>IF($B344="","",COUNTIFS('Trade Log'!$A$6:$A$1005,$B344,'Trade Log'!$BH$6:$BH$1005,1))</f>
        <v>0</v>
      </c>
      <c r="E344" s="98" t="str">
        <f>IF(OR($B344="",N($D344)=0),"",SUMIFS('Trade Log'!$Q$6:$Q$1005,'Trade Log'!$A$6:$A$1005,$B344))</f>
        <v/>
      </c>
      <c r="F344" s="99" t="str">
        <f>IF(OR($B344="",N($D344)=0),"",IFERROR(COUNTIFS('Trade Log'!$A$6:$A$1005,$B344,'Trade Log'!$S$6:$S$1005,"Win")/(COUNTIFS('Trade Log'!$A$6:$A$1005,$B344,'Trade Log'!$S$6:$S$1005,"Win")+COUNTIFS('Trade Log'!$A$6:$A$1005,$B344,'Trade Log'!$S$6:$S$1005,"Loss")),"—"))</f>
        <v/>
      </c>
      <c r="G344" s="104" t="str">
        <f>IF(OR($B344="",N($D344)=0),"",SUMIFS('Trade Log'!$R$6:$R$1005,'Trade Log'!$A$6:$A$1005,$B344))</f>
        <v/>
      </c>
      <c r="H344" s="96" t="str">
        <f>IF(OR($B344="",N($D344)=0),"",COUNTIFS('Trade Log'!$A$6:$A$1005,$B344,'Trade Log'!$Z$6:$Z$1005,"No"))</f>
        <v/>
      </c>
      <c r="I344" s="105" t="str">
        <f>IF(OR($B344="",N($D344)=0),"",IF(AND(ISNUMBER(Settings!$C$26),N($E344)&lt;=-N(Settings!$C$26)),"Hit daily max loss. ","")&amp;IF(COUNTIFS('Trade Log'!$A$6:$A$1005,$B344,'Trade Log'!$BM$6:$BM$1005,1)&gt;0,"Kept trading after daily max loss. ","")&amp;IF(AND(ISNUMBER(Settings!$C$25),N($D344)&gt;N(Settings!$C$25)),"Over max trades. ",""))</f>
        <v/>
      </c>
      <c r="J344" s="106" t="n"/>
      <c r="K344" s="106" t="n"/>
      <c r="L344" s="106" t="n"/>
      <c r="M344" s="29" t="n"/>
      <c r="N344" s="29" t="n"/>
      <c r="O344" s="106" t="n"/>
    </row>
    <row r="345">
      <c r="B345" s="107">
        <f>IF($B344="","",$B344+IF(AND(Settings!$C$10&lt;&gt;"Yes",WEEKDAY($B344,2)&gt;=5),8-WEEKDAY($B344,2),1))</f>
        <v>46759</v>
      </c>
      <c r="C345" s="103" t="str">
        <f>IF($B345="","",CHOOSE(WEEKDAY($B345,2),"Mon","Tue","Wed","Thu","Fri","Sat","Sun"))</f>
        <v>Fri</v>
      </c>
      <c r="D345" s="96">
        <f>IF($B345="","",COUNTIFS('Trade Log'!$A$6:$A$1005,$B345,'Trade Log'!$BH$6:$BH$1005,1))</f>
        <v>0</v>
      </c>
      <c r="E345" s="98" t="str">
        <f>IF(OR($B345="",N($D345)=0),"",SUMIFS('Trade Log'!$Q$6:$Q$1005,'Trade Log'!$A$6:$A$1005,$B345))</f>
        <v/>
      </c>
      <c r="F345" s="99" t="str">
        <f>IF(OR($B345="",N($D345)=0),"",IFERROR(COUNTIFS('Trade Log'!$A$6:$A$1005,$B345,'Trade Log'!$S$6:$S$1005,"Win")/(COUNTIFS('Trade Log'!$A$6:$A$1005,$B345,'Trade Log'!$S$6:$S$1005,"Win")+COUNTIFS('Trade Log'!$A$6:$A$1005,$B345,'Trade Log'!$S$6:$S$1005,"Loss")),"—"))</f>
        <v/>
      </c>
      <c r="G345" s="104" t="str">
        <f>IF(OR($B345="",N($D345)=0),"",SUMIFS('Trade Log'!$R$6:$R$1005,'Trade Log'!$A$6:$A$1005,$B345))</f>
        <v/>
      </c>
      <c r="H345" s="96" t="str">
        <f>IF(OR($B345="",N($D345)=0),"",COUNTIFS('Trade Log'!$A$6:$A$1005,$B345,'Trade Log'!$Z$6:$Z$1005,"No"))</f>
        <v/>
      </c>
      <c r="I345" s="105" t="str">
        <f>IF(OR($B345="",N($D345)=0),"",IF(AND(ISNUMBER(Settings!$C$26),N($E345)&lt;=-N(Settings!$C$26)),"Hit daily max loss. ","")&amp;IF(COUNTIFS('Trade Log'!$A$6:$A$1005,$B345,'Trade Log'!$BM$6:$BM$1005,1)&gt;0,"Kept trading after daily max loss. ","")&amp;IF(AND(ISNUMBER(Settings!$C$25),N($D345)&gt;N(Settings!$C$25)),"Over max trades. ",""))</f>
        <v/>
      </c>
      <c r="J345" s="106" t="n"/>
      <c r="K345" s="106" t="n"/>
      <c r="L345" s="106" t="n"/>
      <c r="M345" s="29" t="n"/>
      <c r="N345" s="29" t="n"/>
      <c r="O345" s="106" t="n"/>
    </row>
    <row r="346">
      <c r="B346" s="107">
        <f>IF($B345="","",$B345+IF(AND(Settings!$C$10&lt;&gt;"Yes",WEEKDAY($B345,2)&gt;=5),8-WEEKDAY($B345,2),1))</f>
        <v>46762</v>
      </c>
      <c r="C346" s="103" t="str">
        <f>IF($B346="","",CHOOSE(WEEKDAY($B346,2),"Mon","Tue","Wed","Thu","Fri","Sat","Sun"))</f>
        <v>Mon</v>
      </c>
      <c r="D346" s="96">
        <f>IF($B346="","",COUNTIFS('Trade Log'!$A$6:$A$1005,$B346,'Trade Log'!$BH$6:$BH$1005,1))</f>
        <v>0</v>
      </c>
      <c r="E346" s="98" t="str">
        <f>IF(OR($B346="",N($D346)=0),"",SUMIFS('Trade Log'!$Q$6:$Q$1005,'Trade Log'!$A$6:$A$1005,$B346))</f>
        <v/>
      </c>
      <c r="F346" s="99" t="str">
        <f>IF(OR($B346="",N($D346)=0),"",IFERROR(COUNTIFS('Trade Log'!$A$6:$A$1005,$B346,'Trade Log'!$S$6:$S$1005,"Win")/(COUNTIFS('Trade Log'!$A$6:$A$1005,$B346,'Trade Log'!$S$6:$S$1005,"Win")+COUNTIFS('Trade Log'!$A$6:$A$1005,$B346,'Trade Log'!$S$6:$S$1005,"Loss")),"—"))</f>
        <v/>
      </c>
      <c r="G346" s="104" t="str">
        <f>IF(OR($B346="",N($D346)=0),"",SUMIFS('Trade Log'!$R$6:$R$1005,'Trade Log'!$A$6:$A$1005,$B346))</f>
        <v/>
      </c>
      <c r="H346" s="96" t="str">
        <f>IF(OR($B346="",N($D346)=0),"",COUNTIFS('Trade Log'!$A$6:$A$1005,$B346,'Trade Log'!$Z$6:$Z$1005,"No"))</f>
        <v/>
      </c>
      <c r="I346" s="105" t="str">
        <f>IF(OR($B346="",N($D346)=0),"",IF(AND(ISNUMBER(Settings!$C$26),N($E346)&lt;=-N(Settings!$C$26)),"Hit daily max loss. ","")&amp;IF(COUNTIFS('Trade Log'!$A$6:$A$1005,$B346,'Trade Log'!$BM$6:$BM$1005,1)&gt;0,"Kept trading after daily max loss. ","")&amp;IF(AND(ISNUMBER(Settings!$C$25),N($D346)&gt;N(Settings!$C$25)),"Over max trades. ",""))</f>
        <v/>
      </c>
      <c r="J346" s="106" t="n"/>
      <c r="K346" s="106" t="n"/>
      <c r="L346" s="106" t="n"/>
      <c r="M346" s="29" t="n"/>
      <c r="N346" s="29" t="n"/>
      <c r="O346" s="106" t="n"/>
    </row>
    <row r="347">
      <c r="B347" s="107">
        <f>IF($B346="","",$B346+IF(AND(Settings!$C$10&lt;&gt;"Yes",WEEKDAY($B346,2)&gt;=5),8-WEEKDAY($B346,2),1))</f>
        <v>46763</v>
      </c>
      <c r="C347" s="103" t="str">
        <f>IF($B347="","",CHOOSE(WEEKDAY($B347,2),"Mon","Tue","Wed","Thu","Fri","Sat","Sun"))</f>
        <v>Tue</v>
      </c>
      <c r="D347" s="96">
        <f>IF($B347="","",COUNTIFS('Trade Log'!$A$6:$A$1005,$B347,'Trade Log'!$BH$6:$BH$1005,1))</f>
        <v>0</v>
      </c>
      <c r="E347" s="98" t="str">
        <f>IF(OR($B347="",N($D347)=0),"",SUMIFS('Trade Log'!$Q$6:$Q$1005,'Trade Log'!$A$6:$A$1005,$B347))</f>
        <v/>
      </c>
      <c r="F347" s="99" t="str">
        <f>IF(OR($B347="",N($D347)=0),"",IFERROR(COUNTIFS('Trade Log'!$A$6:$A$1005,$B347,'Trade Log'!$S$6:$S$1005,"Win")/(COUNTIFS('Trade Log'!$A$6:$A$1005,$B347,'Trade Log'!$S$6:$S$1005,"Win")+COUNTIFS('Trade Log'!$A$6:$A$1005,$B347,'Trade Log'!$S$6:$S$1005,"Loss")),"—"))</f>
        <v/>
      </c>
      <c r="G347" s="104" t="str">
        <f>IF(OR($B347="",N($D347)=0),"",SUMIFS('Trade Log'!$R$6:$R$1005,'Trade Log'!$A$6:$A$1005,$B347))</f>
        <v/>
      </c>
      <c r="H347" s="96" t="str">
        <f>IF(OR($B347="",N($D347)=0),"",COUNTIFS('Trade Log'!$A$6:$A$1005,$B347,'Trade Log'!$Z$6:$Z$1005,"No"))</f>
        <v/>
      </c>
      <c r="I347" s="105" t="str">
        <f>IF(OR($B347="",N($D347)=0),"",IF(AND(ISNUMBER(Settings!$C$26),N($E347)&lt;=-N(Settings!$C$26)),"Hit daily max loss. ","")&amp;IF(COUNTIFS('Trade Log'!$A$6:$A$1005,$B347,'Trade Log'!$BM$6:$BM$1005,1)&gt;0,"Kept trading after daily max loss. ","")&amp;IF(AND(ISNUMBER(Settings!$C$25),N($D347)&gt;N(Settings!$C$25)),"Over max trades. ",""))</f>
        <v/>
      </c>
      <c r="J347" s="106" t="n"/>
      <c r="K347" s="106" t="n"/>
      <c r="L347" s="106" t="n"/>
      <c r="M347" s="29" t="n"/>
      <c r="N347" s="29" t="n"/>
      <c r="O347" s="106" t="n"/>
    </row>
    <row r="348">
      <c r="B348" s="107">
        <f>IF($B347="","",$B347+IF(AND(Settings!$C$10&lt;&gt;"Yes",WEEKDAY($B347,2)&gt;=5),8-WEEKDAY($B347,2),1))</f>
        <v>46764</v>
      </c>
      <c r="C348" s="103" t="str">
        <f>IF($B348="","",CHOOSE(WEEKDAY($B348,2),"Mon","Tue","Wed","Thu","Fri","Sat","Sun"))</f>
        <v>Wed</v>
      </c>
      <c r="D348" s="96">
        <f>IF($B348="","",COUNTIFS('Trade Log'!$A$6:$A$1005,$B348,'Trade Log'!$BH$6:$BH$1005,1))</f>
        <v>0</v>
      </c>
      <c r="E348" s="98" t="str">
        <f>IF(OR($B348="",N($D348)=0),"",SUMIFS('Trade Log'!$Q$6:$Q$1005,'Trade Log'!$A$6:$A$1005,$B348))</f>
        <v/>
      </c>
      <c r="F348" s="99" t="str">
        <f>IF(OR($B348="",N($D348)=0),"",IFERROR(COUNTIFS('Trade Log'!$A$6:$A$1005,$B348,'Trade Log'!$S$6:$S$1005,"Win")/(COUNTIFS('Trade Log'!$A$6:$A$1005,$B348,'Trade Log'!$S$6:$S$1005,"Win")+COUNTIFS('Trade Log'!$A$6:$A$1005,$B348,'Trade Log'!$S$6:$S$1005,"Loss")),"—"))</f>
        <v/>
      </c>
      <c r="G348" s="104" t="str">
        <f>IF(OR($B348="",N($D348)=0),"",SUMIFS('Trade Log'!$R$6:$R$1005,'Trade Log'!$A$6:$A$1005,$B348))</f>
        <v/>
      </c>
      <c r="H348" s="96" t="str">
        <f>IF(OR($B348="",N($D348)=0),"",COUNTIFS('Trade Log'!$A$6:$A$1005,$B348,'Trade Log'!$Z$6:$Z$1005,"No"))</f>
        <v/>
      </c>
      <c r="I348" s="105" t="str">
        <f>IF(OR($B348="",N($D348)=0),"",IF(AND(ISNUMBER(Settings!$C$26),N($E348)&lt;=-N(Settings!$C$26)),"Hit daily max loss. ","")&amp;IF(COUNTIFS('Trade Log'!$A$6:$A$1005,$B348,'Trade Log'!$BM$6:$BM$1005,1)&gt;0,"Kept trading after daily max loss. ","")&amp;IF(AND(ISNUMBER(Settings!$C$25),N($D348)&gt;N(Settings!$C$25)),"Over max trades. ",""))</f>
        <v/>
      </c>
      <c r="J348" s="106" t="n"/>
      <c r="K348" s="106" t="n"/>
      <c r="L348" s="106" t="n"/>
      <c r="M348" s="29" t="n"/>
      <c r="N348" s="29" t="n"/>
      <c r="O348" s="106" t="n"/>
    </row>
    <row r="349">
      <c r="B349" s="107">
        <f>IF($B348="","",$B348+IF(AND(Settings!$C$10&lt;&gt;"Yes",WEEKDAY($B348,2)&gt;=5),8-WEEKDAY($B348,2),1))</f>
        <v>46765</v>
      </c>
      <c r="C349" s="103" t="str">
        <f>IF($B349="","",CHOOSE(WEEKDAY($B349,2),"Mon","Tue","Wed","Thu","Fri","Sat","Sun"))</f>
        <v>Thu</v>
      </c>
      <c r="D349" s="96">
        <f>IF($B349="","",COUNTIFS('Trade Log'!$A$6:$A$1005,$B349,'Trade Log'!$BH$6:$BH$1005,1))</f>
        <v>0</v>
      </c>
      <c r="E349" s="98" t="str">
        <f>IF(OR($B349="",N($D349)=0),"",SUMIFS('Trade Log'!$Q$6:$Q$1005,'Trade Log'!$A$6:$A$1005,$B349))</f>
        <v/>
      </c>
      <c r="F349" s="99" t="str">
        <f>IF(OR($B349="",N($D349)=0),"",IFERROR(COUNTIFS('Trade Log'!$A$6:$A$1005,$B349,'Trade Log'!$S$6:$S$1005,"Win")/(COUNTIFS('Trade Log'!$A$6:$A$1005,$B349,'Trade Log'!$S$6:$S$1005,"Win")+COUNTIFS('Trade Log'!$A$6:$A$1005,$B349,'Trade Log'!$S$6:$S$1005,"Loss")),"—"))</f>
        <v/>
      </c>
      <c r="G349" s="104" t="str">
        <f>IF(OR($B349="",N($D349)=0),"",SUMIFS('Trade Log'!$R$6:$R$1005,'Trade Log'!$A$6:$A$1005,$B349))</f>
        <v/>
      </c>
      <c r="H349" s="96" t="str">
        <f>IF(OR($B349="",N($D349)=0),"",COUNTIFS('Trade Log'!$A$6:$A$1005,$B349,'Trade Log'!$Z$6:$Z$1005,"No"))</f>
        <v/>
      </c>
      <c r="I349" s="105" t="str">
        <f>IF(OR($B349="",N($D349)=0),"",IF(AND(ISNUMBER(Settings!$C$26),N($E349)&lt;=-N(Settings!$C$26)),"Hit daily max loss. ","")&amp;IF(COUNTIFS('Trade Log'!$A$6:$A$1005,$B349,'Trade Log'!$BM$6:$BM$1005,1)&gt;0,"Kept trading after daily max loss. ","")&amp;IF(AND(ISNUMBER(Settings!$C$25),N($D349)&gt;N(Settings!$C$25)),"Over max trades. ",""))</f>
        <v/>
      </c>
      <c r="J349" s="106" t="n"/>
      <c r="K349" s="106" t="n"/>
      <c r="L349" s="106" t="n"/>
      <c r="M349" s="29" t="n"/>
      <c r="N349" s="29" t="n"/>
      <c r="O349" s="106" t="n"/>
    </row>
    <row r="350">
      <c r="B350" s="107">
        <f>IF($B349="","",$B349+IF(AND(Settings!$C$10&lt;&gt;"Yes",WEEKDAY($B349,2)&gt;=5),8-WEEKDAY($B349,2),1))</f>
        <v>46766</v>
      </c>
      <c r="C350" s="103" t="str">
        <f>IF($B350="","",CHOOSE(WEEKDAY($B350,2),"Mon","Tue","Wed","Thu","Fri","Sat","Sun"))</f>
        <v>Fri</v>
      </c>
      <c r="D350" s="96">
        <f>IF($B350="","",COUNTIFS('Trade Log'!$A$6:$A$1005,$B350,'Trade Log'!$BH$6:$BH$1005,1))</f>
        <v>0</v>
      </c>
      <c r="E350" s="98" t="str">
        <f>IF(OR($B350="",N($D350)=0),"",SUMIFS('Trade Log'!$Q$6:$Q$1005,'Trade Log'!$A$6:$A$1005,$B350))</f>
        <v/>
      </c>
      <c r="F350" s="99" t="str">
        <f>IF(OR($B350="",N($D350)=0),"",IFERROR(COUNTIFS('Trade Log'!$A$6:$A$1005,$B350,'Trade Log'!$S$6:$S$1005,"Win")/(COUNTIFS('Trade Log'!$A$6:$A$1005,$B350,'Trade Log'!$S$6:$S$1005,"Win")+COUNTIFS('Trade Log'!$A$6:$A$1005,$B350,'Trade Log'!$S$6:$S$1005,"Loss")),"—"))</f>
        <v/>
      </c>
      <c r="G350" s="104" t="str">
        <f>IF(OR($B350="",N($D350)=0),"",SUMIFS('Trade Log'!$R$6:$R$1005,'Trade Log'!$A$6:$A$1005,$B350))</f>
        <v/>
      </c>
      <c r="H350" s="96" t="str">
        <f>IF(OR($B350="",N($D350)=0),"",COUNTIFS('Trade Log'!$A$6:$A$1005,$B350,'Trade Log'!$Z$6:$Z$1005,"No"))</f>
        <v/>
      </c>
      <c r="I350" s="105" t="str">
        <f>IF(OR($B350="",N($D350)=0),"",IF(AND(ISNUMBER(Settings!$C$26),N($E350)&lt;=-N(Settings!$C$26)),"Hit daily max loss. ","")&amp;IF(COUNTIFS('Trade Log'!$A$6:$A$1005,$B350,'Trade Log'!$BM$6:$BM$1005,1)&gt;0,"Kept trading after daily max loss. ","")&amp;IF(AND(ISNUMBER(Settings!$C$25),N($D350)&gt;N(Settings!$C$25)),"Over max trades. ",""))</f>
        <v/>
      </c>
      <c r="J350" s="106" t="n"/>
      <c r="K350" s="106" t="n"/>
      <c r="L350" s="106" t="n"/>
      <c r="M350" s="29" t="n"/>
      <c r="N350" s="29" t="n"/>
      <c r="O350" s="106" t="n"/>
    </row>
    <row r="351">
      <c r="B351" s="107">
        <f>IF($B350="","",$B350+IF(AND(Settings!$C$10&lt;&gt;"Yes",WEEKDAY($B350,2)&gt;=5),8-WEEKDAY($B350,2),1))</f>
        <v>46769</v>
      </c>
      <c r="C351" s="103" t="str">
        <f>IF($B351="","",CHOOSE(WEEKDAY($B351,2),"Mon","Tue","Wed","Thu","Fri","Sat","Sun"))</f>
        <v>Mon</v>
      </c>
      <c r="D351" s="96">
        <f>IF($B351="","",COUNTIFS('Trade Log'!$A$6:$A$1005,$B351,'Trade Log'!$BH$6:$BH$1005,1))</f>
        <v>0</v>
      </c>
      <c r="E351" s="98" t="str">
        <f>IF(OR($B351="",N($D351)=0),"",SUMIFS('Trade Log'!$Q$6:$Q$1005,'Trade Log'!$A$6:$A$1005,$B351))</f>
        <v/>
      </c>
      <c r="F351" s="99" t="str">
        <f>IF(OR($B351="",N($D351)=0),"",IFERROR(COUNTIFS('Trade Log'!$A$6:$A$1005,$B351,'Trade Log'!$S$6:$S$1005,"Win")/(COUNTIFS('Trade Log'!$A$6:$A$1005,$B351,'Trade Log'!$S$6:$S$1005,"Win")+COUNTIFS('Trade Log'!$A$6:$A$1005,$B351,'Trade Log'!$S$6:$S$1005,"Loss")),"—"))</f>
        <v/>
      </c>
      <c r="G351" s="104" t="str">
        <f>IF(OR($B351="",N($D351)=0),"",SUMIFS('Trade Log'!$R$6:$R$1005,'Trade Log'!$A$6:$A$1005,$B351))</f>
        <v/>
      </c>
      <c r="H351" s="96" t="str">
        <f>IF(OR($B351="",N($D351)=0),"",COUNTIFS('Trade Log'!$A$6:$A$1005,$B351,'Trade Log'!$Z$6:$Z$1005,"No"))</f>
        <v/>
      </c>
      <c r="I351" s="105" t="str">
        <f>IF(OR($B351="",N($D351)=0),"",IF(AND(ISNUMBER(Settings!$C$26),N($E351)&lt;=-N(Settings!$C$26)),"Hit daily max loss. ","")&amp;IF(COUNTIFS('Trade Log'!$A$6:$A$1005,$B351,'Trade Log'!$BM$6:$BM$1005,1)&gt;0,"Kept trading after daily max loss. ","")&amp;IF(AND(ISNUMBER(Settings!$C$25),N($D351)&gt;N(Settings!$C$25)),"Over max trades. ",""))</f>
        <v/>
      </c>
      <c r="J351" s="106" t="n"/>
      <c r="K351" s="106" t="n"/>
      <c r="L351" s="106" t="n"/>
      <c r="M351" s="29" t="n"/>
      <c r="N351" s="29" t="n"/>
      <c r="O351" s="106" t="n"/>
    </row>
    <row r="352">
      <c r="B352" s="107">
        <f>IF($B351="","",$B351+IF(AND(Settings!$C$10&lt;&gt;"Yes",WEEKDAY($B351,2)&gt;=5),8-WEEKDAY($B351,2),1))</f>
        <v>46770</v>
      </c>
      <c r="C352" s="103" t="str">
        <f>IF($B352="","",CHOOSE(WEEKDAY($B352,2),"Mon","Tue","Wed","Thu","Fri","Sat","Sun"))</f>
        <v>Tue</v>
      </c>
      <c r="D352" s="96">
        <f>IF($B352="","",COUNTIFS('Trade Log'!$A$6:$A$1005,$B352,'Trade Log'!$BH$6:$BH$1005,1))</f>
        <v>0</v>
      </c>
      <c r="E352" s="98" t="str">
        <f>IF(OR($B352="",N($D352)=0),"",SUMIFS('Trade Log'!$Q$6:$Q$1005,'Trade Log'!$A$6:$A$1005,$B352))</f>
        <v/>
      </c>
      <c r="F352" s="99" t="str">
        <f>IF(OR($B352="",N($D352)=0),"",IFERROR(COUNTIFS('Trade Log'!$A$6:$A$1005,$B352,'Trade Log'!$S$6:$S$1005,"Win")/(COUNTIFS('Trade Log'!$A$6:$A$1005,$B352,'Trade Log'!$S$6:$S$1005,"Win")+COUNTIFS('Trade Log'!$A$6:$A$1005,$B352,'Trade Log'!$S$6:$S$1005,"Loss")),"—"))</f>
        <v/>
      </c>
      <c r="G352" s="104" t="str">
        <f>IF(OR($B352="",N($D352)=0),"",SUMIFS('Trade Log'!$R$6:$R$1005,'Trade Log'!$A$6:$A$1005,$B352))</f>
        <v/>
      </c>
      <c r="H352" s="96" t="str">
        <f>IF(OR($B352="",N($D352)=0),"",COUNTIFS('Trade Log'!$A$6:$A$1005,$B352,'Trade Log'!$Z$6:$Z$1005,"No"))</f>
        <v/>
      </c>
      <c r="I352" s="105" t="str">
        <f>IF(OR($B352="",N($D352)=0),"",IF(AND(ISNUMBER(Settings!$C$26),N($E352)&lt;=-N(Settings!$C$26)),"Hit daily max loss. ","")&amp;IF(COUNTIFS('Trade Log'!$A$6:$A$1005,$B352,'Trade Log'!$BM$6:$BM$1005,1)&gt;0,"Kept trading after daily max loss. ","")&amp;IF(AND(ISNUMBER(Settings!$C$25),N($D352)&gt;N(Settings!$C$25)),"Over max trades. ",""))</f>
        <v/>
      </c>
      <c r="J352" s="106" t="n"/>
      <c r="K352" s="106" t="n"/>
      <c r="L352" s="106" t="n"/>
      <c r="M352" s="29" t="n"/>
      <c r="N352" s="29" t="n"/>
      <c r="O352" s="106" t="n"/>
    </row>
    <row r="353">
      <c r="B353" s="107">
        <f>IF($B352="","",$B352+IF(AND(Settings!$C$10&lt;&gt;"Yes",WEEKDAY($B352,2)&gt;=5),8-WEEKDAY($B352,2),1))</f>
        <v>46771</v>
      </c>
      <c r="C353" s="103" t="str">
        <f>IF($B353="","",CHOOSE(WEEKDAY($B353,2),"Mon","Tue","Wed","Thu","Fri","Sat","Sun"))</f>
        <v>Wed</v>
      </c>
      <c r="D353" s="96">
        <f>IF($B353="","",COUNTIFS('Trade Log'!$A$6:$A$1005,$B353,'Trade Log'!$BH$6:$BH$1005,1))</f>
        <v>0</v>
      </c>
      <c r="E353" s="98" t="str">
        <f>IF(OR($B353="",N($D353)=0),"",SUMIFS('Trade Log'!$Q$6:$Q$1005,'Trade Log'!$A$6:$A$1005,$B353))</f>
        <v/>
      </c>
      <c r="F353" s="99" t="str">
        <f>IF(OR($B353="",N($D353)=0),"",IFERROR(COUNTIFS('Trade Log'!$A$6:$A$1005,$B353,'Trade Log'!$S$6:$S$1005,"Win")/(COUNTIFS('Trade Log'!$A$6:$A$1005,$B353,'Trade Log'!$S$6:$S$1005,"Win")+COUNTIFS('Trade Log'!$A$6:$A$1005,$B353,'Trade Log'!$S$6:$S$1005,"Loss")),"—"))</f>
        <v/>
      </c>
      <c r="G353" s="104" t="str">
        <f>IF(OR($B353="",N($D353)=0),"",SUMIFS('Trade Log'!$R$6:$R$1005,'Trade Log'!$A$6:$A$1005,$B353))</f>
        <v/>
      </c>
      <c r="H353" s="96" t="str">
        <f>IF(OR($B353="",N($D353)=0),"",COUNTIFS('Trade Log'!$A$6:$A$1005,$B353,'Trade Log'!$Z$6:$Z$1005,"No"))</f>
        <v/>
      </c>
      <c r="I353" s="105" t="str">
        <f>IF(OR($B353="",N($D353)=0),"",IF(AND(ISNUMBER(Settings!$C$26),N($E353)&lt;=-N(Settings!$C$26)),"Hit daily max loss. ","")&amp;IF(COUNTIFS('Trade Log'!$A$6:$A$1005,$B353,'Trade Log'!$BM$6:$BM$1005,1)&gt;0,"Kept trading after daily max loss. ","")&amp;IF(AND(ISNUMBER(Settings!$C$25),N($D353)&gt;N(Settings!$C$25)),"Over max trades. ",""))</f>
        <v/>
      </c>
      <c r="J353" s="106" t="n"/>
      <c r="K353" s="106" t="n"/>
      <c r="L353" s="106" t="n"/>
      <c r="M353" s="29" t="n"/>
      <c r="N353" s="29" t="n"/>
      <c r="O353" s="106" t="n"/>
    </row>
    <row r="354">
      <c r="B354" s="107">
        <f>IF($B353="","",$B353+IF(AND(Settings!$C$10&lt;&gt;"Yes",WEEKDAY($B353,2)&gt;=5),8-WEEKDAY($B353,2),1))</f>
        <v>46772</v>
      </c>
      <c r="C354" s="103" t="str">
        <f>IF($B354="","",CHOOSE(WEEKDAY($B354,2),"Mon","Tue","Wed","Thu","Fri","Sat","Sun"))</f>
        <v>Thu</v>
      </c>
      <c r="D354" s="96">
        <f>IF($B354="","",COUNTIFS('Trade Log'!$A$6:$A$1005,$B354,'Trade Log'!$BH$6:$BH$1005,1))</f>
        <v>0</v>
      </c>
      <c r="E354" s="98" t="str">
        <f>IF(OR($B354="",N($D354)=0),"",SUMIFS('Trade Log'!$Q$6:$Q$1005,'Trade Log'!$A$6:$A$1005,$B354))</f>
        <v/>
      </c>
      <c r="F354" s="99" t="str">
        <f>IF(OR($B354="",N($D354)=0),"",IFERROR(COUNTIFS('Trade Log'!$A$6:$A$1005,$B354,'Trade Log'!$S$6:$S$1005,"Win")/(COUNTIFS('Trade Log'!$A$6:$A$1005,$B354,'Trade Log'!$S$6:$S$1005,"Win")+COUNTIFS('Trade Log'!$A$6:$A$1005,$B354,'Trade Log'!$S$6:$S$1005,"Loss")),"—"))</f>
        <v/>
      </c>
      <c r="G354" s="104" t="str">
        <f>IF(OR($B354="",N($D354)=0),"",SUMIFS('Trade Log'!$R$6:$R$1005,'Trade Log'!$A$6:$A$1005,$B354))</f>
        <v/>
      </c>
      <c r="H354" s="96" t="str">
        <f>IF(OR($B354="",N($D354)=0),"",COUNTIFS('Trade Log'!$A$6:$A$1005,$B354,'Trade Log'!$Z$6:$Z$1005,"No"))</f>
        <v/>
      </c>
      <c r="I354" s="105" t="str">
        <f>IF(OR($B354="",N($D354)=0),"",IF(AND(ISNUMBER(Settings!$C$26),N($E354)&lt;=-N(Settings!$C$26)),"Hit daily max loss. ","")&amp;IF(COUNTIFS('Trade Log'!$A$6:$A$1005,$B354,'Trade Log'!$BM$6:$BM$1005,1)&gt;0,"Kept trading after daily max loss. ","")&amp;IF(AND(ISNUMBER(Settings!$C$25),N($D354)&gt;N(Settings!$C$25)),"Over max trades. ",""))</f>
        <v/>
      </c>
      <c r="J354" s="106" t="n"/>
      <c r="K354" s="106" t="n"/>
      <c r="L354" s="106" t="n"/>
      <c r="M354" s="29" t="n"/>
      <c r="N354" s="29" t="n"/>
      <c r="O354" s="106" t="n"/>
    </row>
    <row r="355">
      <c r="B355" s="107">
        <f>IF($B354="","",$B354+IF(AND(Settings!$C$10&lt;&gt;"Yes",WEEKDAY($B354,2)&gt;=5),8-WEEKDAY($B354,2),1))</f>
        <v>46773</v>
      </c>
      <c r="C355" s="103" t="str">
        <f>IF($B355="","",CHOOSE(WEEKDAY($B355,2),"Mon","Tue","Wed","Thu","Fri","Sat","Sun"))</f>
        <v>Fri</v>
      </c>
      <c r="D355" s="96">
        <f>IF($B355="","",COUNTIFS('Trade Log'!$A$6:$A$1005,$B355,'Trade Log'!$BH$6:$BH$1005,1))</f>
        <v>0</v>
      </c>
      <c r="E355" s="98" t="str">
        <f>IF(OR($B355="",N($D355)=0),"",SUMIFS('Trade Log'!$Q$6:$Q$1005,'Trade Log'!$A$6:$A$1005,$B355))</f>
        <v/>
      </c>
      <c r="F355" s="99" t="str">
        <f>IF(OR($B355="",N($D355)=0),"",IFERROR(COUNTIFS('Trade Log'!$A$6:$A$1005,$B355,'Trade Log'!$S$6:$S$1005,"Win")/(COUNTIFS('Trade Log'!$A$6:$A$1005,$B355,'Trade Log'!$S$6:$S$1005,"Win")+COUNTIFS('Trade Log'!$A$6:$A$1005,$B355,'Trade Log'!$S$6:$S$1005,"Loss")),"—"))</f>
        <v/>
      </c>
      <c r="G355" s="104" t="str">
        <f>IF(OR($B355="",N($D355)=0),"",SUMIFS('Trade Log'!$R$6:$R$1005,'Trade Log'!$A$6:$A$1005,$B355))</f>
        <v/>
      </c>
      <c r="H355" s="96" t="str">
        <f>IF(OR($B355="",N($D355)=0),"",COUNTIFS('Trade Log'!$A$6:$A$1005,$B355,'Trade Log'!$Z$6:$Z$1005,"No"))</f>
        <v/>
      </c>
      <c r="I355" s="105" t="str">
        <f>IF(OR($B355="",N($D355)=0),"",IF(AND(ISNUMBER(Settings!$C$26),N($E355)&lt;=-N(Settings!$C$26)),"Hit daily max loss. ","")&amp;IF(COUNTIFS('Trade Log'!$A$6:$A$1005,$B355,'Trade Log'!$BM$6:$BM$1005,1)&gt;0,"Kept trading after daily max loss. ","")&amp;IF(AND(ISNUMBER(Settings!$C$25),N($D355)&gt;N(Settings!$C$25)),"Over max trades. ",""))</f>
        <v/>
      </c>
      <c r="J355" s="106" t="n"/>
      <c r="K355" s="106" t="n"/>
      <c r="L355" s="106" t="n"/>
      <c r="M355" s="29" t="n"/>
      <c r="N355" s="29" t="n"/>
      <c r="O355" s="106" t="n"/>
    </row>
    <row r="356">
      <c r="B356" s="107">
        <f>IF($B355="","",$B355+IF(AND(Settings!$C$10&lt;&gt;"Yes",WEEKDAY($B355,2)&gt;=5),8-WEEKDAY($B355,2),1))</f>
        <v>46776</v>
      </c>
      <c r="C356" s="103" t="str">
        <f>IF($B356="","",CHOOSE(WEEKDAY($B356,2),"Mon","Tue","Wed","Thu","Fri","Sat","Sun"))</f>
        <v>Mon</v>
      </c>
      <c r="D356" s="96">
        <f>IF($B356="","",COUNTIFS('Trade Log'!$A$6:$A$1005,$B356,'Trade Log'!$BH$6:$BH$1005,1))</f>
        <v>0</v>
      </c>
      <c r="E356" s="98" t="str">
        <f>IF(OR($B356="",N($D356)=0),"",SUMIFS('Trade Log'!$Q$6:$Q$1005,'Trade Log'!$A$6:$A$1005,$B356))</f>
        <v/>
      </c>
      <c r="F356" s="99" t="str">
        <f>IF(OR($B356="",N($D356)=0),"",IFERROR(COUNTIFS('Trade Log'!$A$6:$A$1005,$B356,'Trade Log'!$S$6:$S$1005,"Win")/(COUNTIFS('Trade Log'!$A$6:$A$1005,$B356,'Trade Log'!$S$6:$S$1005,"Win")+COUNTIFS('Trade Log'!$A$6:$A$1005,$B356,'Trade Log'!$S$6:$S$1005,"Loss")),"—"))</f>
        <v/>
      </c>
      <c r="G356" s="104" t="str">
        <f>IF(OR($B356="",N($D356)=0),"",SUMIFS('Trade Log'!$R$6:$R$1005,'Trade Log'!$A$6:$A$1005,$B356))</f>
        <v/>
      </c>
      <c r="H356" s="96" t="str">
        <f>IF(OR($B356="",N($D356)=0),"",COUNTIFS('Trade Log'!$A$6:$A$1005,$B356,'Trade Log'!$Z$6:$Z$1005,"No"))</f>
        <v/>
      </c>
      <c r="I356" s="105" t="str">
        <f>IF(OR($B356="",N($D356)=0),"",IF(AND(ISNUMBER(Settings!$C$26),N($E356)&lt;=-N(Settings!$C$26)),"Hit daily max loss. ","")&amp;IF(COUNTIFS('Trade Log'!$A$6:$A$1005,$B356,'Trade Log'!$BM$6:$BM$1005,1)&gt;0,"Kept trading after daily max loss. ","")&amp;IF(AND(ISNUMBER(Settings!$C$25),N($D356)&gt;N(Settings!$C$25)),"Over max trades. ",""))</f>
        <v/>
      </c>
      <c r="J356" s="106" t="n"/>
      <c r="K356" s="106" t="n"/>
      <c r="L356" s="106" t="n"/>
      <c r="M356" s="29" t="n"/>
      <c r="N356" s="29" t="n"/>
      <c r="O356" s="106" t="n"/>
    </row>
    <row r="357">
      <c r="B357" s="107">
        <f>IF($B356="","",$B356+IF(AND(Settings!$C$10&lt;&gt;"Yes",WEEKDAY($B356,2)&gt;=5),8-WEEKDAY($B356,2),1))</f>
        <v>46777</v>
      </c>
      <c r="C357" s="103" t="str">
        <f>IF($B357="","",CHOOSE(WEEKDAY($B357,2),"Mon","Tue","Wed","Thu","Fri","Sat","Sun"))</f>
        <v>Tue</v>
      </c>
      <c r="D357" s="96">
        <f>IF($B357="","",COUNTIFS('Trade Log'!$A$6:$A$1005,$B357,'Trade Log'!$BH$6:$BH$1005,1))</f>
        <v>0</v>
      </c>
      <c r="E357" s="98" t="str">
        <f>IF(OR($B357="",N($D357)=0),"",SUMIFS('Trade Log'!$Q$6:$Q$1005,'Trade Log'!$A$6:$A$1005,$B357))</f>
        <v/>
      </c>
      <c r="F357" s="99" t="str">
        <f>IF(OR($B357="",N($D357)=0),"",IFERROR(COUNTIFS('Trade Log'!$A$6:$A$1005,$B357,'Trade Log'!$S$6:$S$1005,"Win")/(COUNTIFS('Trade Log'!$A$6:$A$1005,$B357,'Trade Log'!$S$6:$S$1005,"Win")+COUNTIFS('Trade Log'!$A$6:$A$1005,$B357,'Trade Log'!$S$6:$S$1005,"Loss")),"—"))</f>
        <v/>
      </c>
      <c r="G357" s="104" t="str">
        <f>IF(OR($B357="",N($D357)=0),"",SUMIFS('Trade Log'!$R$6:$R$1005,'Trade Log'!$A$6:$A$1005,$B357))</f>
        <v/>
      </c>
      <c r="H357" s="96" t="str">
        <f>IF(OR($B357="",N($D357)=0),"",COUNTIFS('Trade Log'!$A$6:$A$1005,$B357,'Trade Log'!$Z$6:$Z$1005,"No"))</f>
        <v/>
      </c>
      <c r="I357" s="105" t="str">
        <f>IF(OR($B357="",N($D357)=0),"",IF(AND(ISNUMBER(Settings!$C$26),N($E357)&lt;=-N(Settings!$C$26)),"Hit daily max loss. ","")&amp;IF(COUNTIFS('Trade Log'!$A$6:$A$1005,$B357,'Trade Log'!$BM$6:$BM$1005,1)&gt;0,"Kept trading after daily max loss. ","")&amp;IF(AND(ISNUMBER(Settings!$C$25),N($D357)&gt;N(Settings!$C$25)),"Over max trades. ",""))</f>
        <v/>
      </c>
      <c r="J357" s="106" t="n"/>
      <c r="K357" s="106" t="n"/>
      <c r="L357" s="106" t="n"/>
      <c r="M357" s="29" t="n"/>
      <c r="N357" s="29" t="n"/>
      <c r="O357" s="106" t="n"/>
    </row>
    <row r="358">
      <c r="B358" s="107">
        <f>IF($B357="","",$B357+IF(AND(Settings!$C$10&lt;&gt;"Yes",WEEKDAY($B357,2)&gt;=5),8-WEEKDAY($B357,2),1))</f>
        <v>46778</v>
      </c>
      <c r="C358" s="103" t="str">
        <f>IF($B358="","",CHOOSE(WEEKDAY($B358,2),"Mon","Tue","Wed","Thu","Fri","Sat","Sun"))</f>
        <v>Wed</v>
      </c>
      <c r="D358" s="96">
        <f>IF($B358="","",COUNTIFS('Trade Log'!$A$6:$A$1005,$B358,'Trade Log'!$BH$6:$BH$1005,1))</f>
        <v>0</v>
      </c>
      <c r="E358" s="98" t="str">
        <f>IF(OR($B358="",N($D358)=0),"",SUMIFS('Trade Log'!$Q$6:$Q$1005,'Trade Log'!$A$6:$A$1005,$B358))</f>
        <v/>
      </c>
      <c r="F358" s="99" t="str">
        <f>IF(OR($B358="",N($D358)=0),"",IFERROR(COUNTIFS('Trade Log'!$A$6:$A$1005,$B358,'Trade Log'!$S$6:$S$1005,"Win")/(COUNTIFS('Trade Log'!$A$6:$A$1005,$B358,'Trade Log'!$S$6:$S$1005,"Win")+COUNTIFS('Trade Log'!$A$6:$A$1005,$B358,'Trade Log'!$S$6:$S$1005,"Loss")),"—"))</f>
        <v/>
      </c>
      <c r="G358" s="104" t="str">
        <f>IF(OR($B358="",N($D358)=0),"",SUMIFS('Trade Log'!$R$6:$R$1005,'Trade Log'!$A$6:$A$1005,$B358))</f>
        <v/>
      </c>
      <c r="H358" s="96" t="str">
        <f>IF(OR($B358="",N($D358)=0),"",COUNTIFS('Trade Log'!$A$6:$A$1005,$B358,'Trade Log'!$Z$6:$Z$1005,"No"))</f>
        <v/>
      </c>
      <c r="I358" s="105" t="str">
        <f>IF(OR($B358="",N($D358)=0),"",IF(AND(ISNUMBER(Settings!$C$26),N($E358)&lt;=-N(Settings!$C$26)),"Hit daily max loss. ","")&amp;IF(COUNTIFS('Trade Log'!$A$6:$A$1005,$B358,'Trade Log'!$BM$6:$BM$1005,1)&gt;0,"Kept trading after daily max loss. ","")&amp;IF(AND(ISNUMBER(Settings!$C$25),N($D358)&gt;N(Settings!$C$25)),"Over max trades. ",""))</f>
        <v/>
      </c>
      <c r="J358" s="106" t="n"/>
      <c r="K358" s="106" t="n"/>
      <c r="L358" s="106" t="n"/>
      <c r="M358" s="29" t="n"/>
      <c r="N358" s="29" t="n"/>
      <c r="O358" s="106" t="n"/>
    </row>
    <row r="359">
      <c r="B359" s="107">
        <f>IF($B358="","",$B358+IF(AND(Settings!$C$10&lt;&gt;"Yes",WEEKDAY($B358,2)&gt;=5),8-WEEKDAY($B358,2),1))</f>
        <v>46779</v>
      </c>
      <c r="C359" s="103" t="str">
        <f>IF($B359="","",CHOOSE(WEEKDAY($B359,2),"Mon","Tue","Wed","Thu","Fri","Sat","Sun"))</f>
        <v>Thu</v>
      </c>
      <c r="D359" s="96">
        <f>IF($B359="","",COUNTIFS('Trade Log'!$A$6:$A$1005,$B359,'Trade Log'!$BH$6:$BH$1005,1))</f>
        <v>0</v>
      </c>
      <c r="E359" s="98" t="str">
        <f>IF(OR($B359="",N($D359)=0),"",SUMIFS('Trade Log'!$Q$6:$Q$1005,'Trade Log'!$A$6:$A$1005,$B359))</f>
        <v/>
      </c>
      <c r="F359" s="99" t="str">
        <f>IF(OR($B359="",N($D359)=0),"",IFERROR(COUNTIFS('Trade Log'!$A$6:$A$1005,$B359,'Trade Log'!$S$6:$S$1005,"Win")/(COUNTIFS('Trade Log'!$A$6:$A$1005,$B359,'Trade Log'!$S$6:$S$1005,"Win")+COUNTIFS('Trade Log'!$A$6:$A$1005,$B359,'Trade Log'!$S$6:$S$1005,"Loss")),"—"))</f>
        <v/>
      </c>
      <c r="G359" s="104" t="str">
        <f>IF(OR($B359="",N($D359)=0),"",SUMIFS('Trade Log'!$R$6:$R$1005,'Trade Log'!$A$6:$A$1005,$B359))</f>
        <v/>
      </c>
      <c r="H359" s="96" t="str">
        <f>IF(OR($B359="",N($D359)=0),"",COUNTIFS('Trade Log'!$A$6:$A$1005,$B359,'Trade Log'!$Z$6:$Z$1005,"No"))</f>
        <v/>
      </c>
      <c r="I359" s="105" t="str">
        <f>IF(OR($B359="",N($D359)=0),"",IF(AND(ISNUMBER(Settings!$C$26),N($E359)&lt;=-N(Settings!$C$26)),"Hit daily max loss. ","")&amp;IF(COUNTIFS('Trade Log'!$A$6:$A$1005,$B359,'Trade Log'!$BM$6:$BM$1005,1)&gt;0,"Kept trading after daily max loss. ","")&amp;IF(AND(ISNUMBER(Settings!$C$25),N($D359)&gt;N(Settings!$C$25)),"Over max trades. ",""))</f>
        <v/>
      </c>
      <c r="J359" s="106" t="n"/>
      <c r="K359" s="106" t="n"/>
      <c r="L359" s="106" t="n"/>
      <c r="M359" s="29" t="n"/>
      <c r="N359" s="29" t="n"/>
      <c r="O359" s="106" t="n"/>
    </row>
    <row r="360">
      <c r="B360" s="107">
        <f>IF($B359="","",$B359+IF(AND(Settings!$C$10&lt;&gt;"Yes",WEEKDAY($B359,2)&gt;=5),8-WEEKDAY($B359,2),1))</f>
        <v>46780</v>
      </c>
      <c r="C360" s="103" t="str">
        <f>IF($B360="","",CHOOSE(WEEKDAY($B360,2),"Mon","Tue","Wed","Thu","Fri","Sat","Sun"))</f>
        <v>Fri</v>
      </c>
      <c r="D360" s="96">
        <f>IF($B360="","",COUNTIFS('Trade Log'!$A$6:$A$1005,$B360,'Trade Log'!$BH$6:$BH$1005,1))</f>
        <v>0</v>
      </c>
      <c r="E360" s="98" t="str">
        <f>IF(OR($B360="",N($D360)=0),"",SUMIFS('Trade Log'!$Q$6:$Q$1005,'Trade Log'!$A$6:$A$1005,$B360))</f>
        <v/>
      </c>
      <c r="F360" s="99" t="str">
        <f>IF(OR($B360="",N($D360)=0),"",IFERROR(COUNTIFS('Trade Log'!$A$6:$A$1005,$B360,'Trade Log'!$S$6:$S$1005,"Win")/(COUNTIFS('Trade Log'!$A$6:$A$1005,$B360,'Trade Log'!$S$6:$S$1005,"Win")+COUNTIFS('Trade Log'!$A$6:$A$1005,$B360,'Trade Log'!$S$6:$S$1005,"Loss")),"—"))</f>
        <v/>
      </c>
      <c r="G360" s="104" t="str">
        <f>IF(OR($B360="",N($D360)=0),"",SUMIFS('Trade Log'!$R$6:$R$1005,'Trade Log'!$A$6:$A$1005,$B360))</f>
        <v/>
      </c>
      <c r="H360" s="96" t="str">
        <f>IF(OR($B360="",N($D360)=0),"",COUNTIFS('Trade Log'!$A$6:$A$1005,$B360,'Trade Log'!$Z$6:$Z$1005,"No"))</f>
        <v/>
      </c>
      <c r="I360" s="105" t="str">
        <f>IF(OR($B360="",N($D360)=0),"",IF(AND(ISNUMBER(Settings!$C$26),N($E360)&lt;=-N(Settings!$C$26)),"Hit daily max loss. ","")&amp;IF(COUNTIFS('Trade Log'!$A$6:$A$1005,$B360,'Trade Log'!$BM$6:$BM$1005,1)&gt;0,"Kept trading after daily max loss. ","")&amp;IF(AND(ISNUMBER(Settings!$C$25),N($D360)&gt;N(Settings!$C$25)),"Over max trades. ",""))</f>
        <v/>
      </c>
      <c r="J360" s="106" t="n"/>
      <c r="K360" s="106" t="n"/>
      <c r="L360" s="106" t="n"/>
      <c r="M360" s="29" t="n"/>
      <c r="N360" s="29" t="n"/>
      <c r="O360" s="106" t="n"/>
    </row>
    <row r="361">
      <c r="B361" s="107">
        <f>IF($B360="","",$B360+IF(AND(Settings!$C$10&lt;&gt;"Yes",WEEKDAY($B360,2)&gt;=5),8-WEEKDAY($B360,2),1))</f>
        <v>46783</v>
      </c>
      <c r="C361" s="103" t="str">
        <f>IF($B361="","",CHOOSE(WEEKDAY($B361,2),"Mon","Tue","Wed","Thu","Fri","Sat","Sun"))</f>
        <v>Mon</v>
      </c>
      <c r="D361" s="96">
        <f>IF($B361="","",COUNTIFS('Trade Log'!$A$6:$A$1005,$B361,'Trade Log'!$BH$6:$BH$1005,1))</f>
        <v>0</v>
      </c>
      <c r="E361" s="98" t="str">
        <f>IF(OR($B361="",N($D361)=0),"",SUMIFS('Trade Log'!$Q$6:$Q$1005,'Trade Log'!$A$6:$A$1005,$B361))</f>
        <v/>
      </c>
      <c r="F361" s="99" t="str">
        <f>IF(OR($B361="",N($D361)=0),"",IFERROR(COUNTIFS('Trade Log'!$A$6:$A$1005,$B361,'Trade Log'!$S$6:$S$1005,"Win")/(COUNTIFS('Trade Log'!$A$6:$A$1005,$B361,'Trade Log'!$S$6:$S$1005,"Win")+COUNTIFS('Trade Log'!$A$6:$A$1005,$B361,'Trade Log'!$S$6:$S$1005,"Loss")),"—"))</f>
        <v/>
      </c>
      <c r="G361" s="104" t="str">
        <f>IF(OR($B361="",N($D361)=0),"",SUMIFS('Trade Log'!$R$6:$R$1005,'Trade Log'!$A$6:$A$1005,$B361))</f>
        <v/>
      </c>
      <c r="H361" s="96" t="str">
        <f>IF(OR($B361="",N($D361)=0),"",COUNTIFS('Trade Log'!$A$6:$A$1005,$B361,'Trade Log'!$Z$6:$Z$1005,"No"))</f>
        <v/>
      </c>
      <c r="I361" s="105" t="str">
        <f>IF(OR($B361="",N($D361)=0),"",IF(AND(ISNUMBER(Settings!$C$26),N($E361)&lt;=-N(Settings!$C$26)),"Hit daily max loss. ","")&amp;IF(COUNTIFS('Trade Log'!$A$6:$A$1005,$B361,'Trade Log'!$BM$6:$BM$1005,1)&gt;0,"Kept trading after daily max loss. ","")&amp;IF(AND(ISNUMBER(Settings!$C$25),N($D361)&gt;N(Settings!$C$25)),"Over max trades. ",""))</f>
        <v/>
      </c>
      <c r="J361" s="106" t="n"/>
      <c r="K361" s="106" t="n"/>
      <c r="L361" s="106" t="n"/>
      <c r="M361" s="29" t="n"/>
      <c r="N361" s="29" t="n"/>
      <c r="O361" s="106" t="n"/>
    </row>
    <row r="362">
      <c r="B362" s="107">
        <f>IF($B361="","",$B361+IF(AND(Settings!$C$10&lt;&gt;"Yes",WEEKDAY($B361,2)&gt;=5),8-WEEKDAY($B361,2),1))</f>
        <v>46784</v>
      </c>
      <c r="C362" s="103" t="str">
        <f>IF($B362="","",CHOOSE(WEEKDAY($B362,2),"Mon","Tue","Wed","Thu","Fri","Sat","Sun"))</f>
        <v>Tue</v>
      </c>
      <c r="D362" s="96">
        <f>IF($B362="","",COUNTIFS('Trade Log'!$A$6:$A$1005,$B362,'Trade Log'!$BH$6:$BH$1005,1))</f>
        <v>0</v>
      </c>
      <c r="E362" s="98" t="str">
        <f>IF(OR($B362="",N($D362)=0),"",SUMIFS('Trade Log'!$Q$6:$Q$1005,'Trade Log'!$A$6:$A$1005,$B362))</f>
        <v/>
      </c>
      <c r="F362" s="99" t="str">
        <f>IF(OR($B362="",N($D362)=0),"",IFERROR(COUNTIFS('Trade Log'!$A$6:$A$1005,$B362,'Trade Log'!$S$6:$S$1005,"Win")/(COUNTIFS('Trade Log'!$A$6:$A$1005,$B362,'Trade Log'!$S$6:$S$1005,"Win")+COUNTIFS('Trade Log'!$A$6:$A$1005,$B362,'Trade Log'!$S$6:$S$1005,"Loss")),"—"))</f>
        <v/>
      </c>
      <c r="G362" s="104" t="str">
        <f>IF(OR($B362="",N($D362)=0),"",SUMIFS('Trade Log'!$R$6:$R$1005,'Trade Log'!$A$6:$A$1005,$B362))</f>
        <v/>
      </c>
      <c r="H362" s="96" t="str">
        <f>IF(OR($B362="",N($D362)=0),"",COUNTIFS('Trade Log'!$A$6:$A$1005,$B362,'Trade Log'!$Z$6:$Z$1005,"No"))</f>
        <v/>
      </c>
      <c r="I362" s="105" t="str">
        <f>IF(OR($B362="",N($D362)=0),"",IF(AND(ISNUMBER(Settings!$C$26),N($E362)&lt;=-N(Settings!$C$26)),"Hit daily max loss. ","")&amp;IF(COUNTIFS('Trade Log'!$A$6:$A$1005,$B362,'Trade Log'!$BM$6:$BM$1005,1)&gt;0,"Kept trading after daily max loss. ","")&amp;IF(AND(ISNUMBER(Settings!$C$25),N($D362)&gt;N(Settings!$C$25)),"Over max trades. ",""))</f>
        <v/>
      </c>
      <c r="J362" s="106" t="n"/>
      <c r="K362" s="106" t="n"/>
      <c r="L362" s="106" t="n"/>
      <c r="M362" s="29" t="n"/>
      <c r="N362" s="29" t="n"/>
      <c r="O362" s="106" t="n"/>
    </row>
    <row r="363">
      <c r="B363" s="107">
        <f>IF($B362="","",$B362+IF(AND(Settings!$C$10&lt;&gt;"Yes",WEEKDAY($B362,2)&gt;=5),8-WEEKDAY($B362,2),1))</f>
        <v>46785</v>
      </c>
      <c r="C363" s="103" t="str">
        <f>IF($B363="","",CHOOSE(WEEKDAY($B363,2),"Mon","Tue","Wed","Thu","Fri","Sat","Sun"))</f>
        <v>Wed</v>
      </c>
      <c r="D363" s="96">
        <f>IF($B363="","",COUNTIFS('Trade Log'!$A$6:$A$1005,$B363,'Trade Log'!$BH$6:$BH$1005,1))</f>
        <v>0</v>
      </c>
      <c r="E363" s="98" t="str">
        <f>IF(OR($B363="",N($D363)=0),"",SUMIFS('Trade Log'!$Q$6:$Q$1005,'Trade Log'!$A$6:$A$1005,$B363))</f>
        <v/>
      </c>
      <c r="F363" s="99" t="str">
        <f>IF(OR($B363="",N($D363)=0),"",IFERROR(COUNTIFS('Trade Log'!$A$6:$A$1005,$B363,'Trade Log'!$S$6:$S$1005,"Win")/(COUNTIFS('Trade Log'!$A$6:$A$1005,$B363,'Trade Log'!$S$6:$S$1005,"Win")+COUNTIFS('Trade Log'!$A$6:$A$1005,$B363,'Trade Log'!$S$6:$S$1005,"Loss")),"—"))</f>
        <v/>
      </c>
      <c r="G363" s="104" t="str">
        <f>IF(OR($B363="",N($D363)=0),"",SUMIFS('Trade Log'!$R$6:$R$1005,'Trade Log'!$A$6:$A$1005,$B363))</f>
        <v/>
      </c>
      <c r="H363" s="96" t="str">
        <f>IF(OR($B363="",N($D363)=0),"",COUNTIFS('Trade Log'!$A$6:$A$1005,$B363,'Trade Log'!$Z$6:$Z$1005,"No"))</f>
        <v/>
      </c>
      <c r="I363" s="105" t="str">
        <f>IF(OR($B363="",N($D363)=0),"",IF(AND(ISNUMBER(Settings!$C$26),N($E363)&lt;=-N(Settings!$C$26)),"Hit daily max loss. ","")&amp;IF(COUNTIFS('Trade Log'!$A$6:$A$1005,$B363,'Trade Log'!$BM$6:$BM$1005,1)&gt;0,"Kept trading after daily max loss. ","")&amp;IF(AND(ISNUMBER(Settings!$C$25),N($D363)&gt;N(Settings!$C$25)),"Over max trades. ",""))</f>
        <v/>
      </c>
      <c r="J363" s="106" t="n"/>
      <c r="K363" s="106" t="n"/>
      <c r="L363" s="106" t="n"/>
      <c r="M363" s="29" t="n"/>
      <c r="N363" s="29" t="n"/>
      <c r="O363" s="106" t="n"/>
    </row>
    <row r="364">
      <c r="B364" s="107">
        <f>IF($B363="","",$B363+IF(AND(Settings!$C$10&lt;&gt;"Yes",WEEKDAY($B363,2)&gt;=5),8-WEEKDAY($B363,2),1))</f>
        <v>46786</v>
      </c>
      <c r="C364" s="103" t="str">
        <f>IF($B364="","",CHOOSE(WEEKDAY($B364,2),"Mon","Tue","Wed","Thu","Fri","Sat","Sun"))</f>
        <v>Thu</v>
      </c>
      <c r="D364" s="96">
        <f>IF($B364="","",COUNTIFS('Trade Log'!$A$6:$A$1005,$B364,'Trade Log'!$BH$6:$BH$1005,1))</f>
        <v>0</v>
      </c>
      <c r="E364" s="98" t="str">
        <f>IF(OR($B364="",N($D364)=0),"",SUMIFS('Trade Log'!$Q$6:$Q$1005,'Trade Log'!$A$6:$A$1005,$B364))</f>
        <v/>
      </c>
      <c r="F364" s="99" t="str">
        <f>IF(OR($B364="",N($D364)=0),"",IFERROR(COUNTIFS('Trade Log'!$A$6:$A$1005,$B364,'Trade Log'!$S$6:$S$1005,"Win")/(COUNTIFS('Trade Log'!$A$6:$A$1005,$B364,'Trade Log'!$S$6:$S$1005,"Win")+COUNTIFS('Trade Log'!$A$6:$A$1005,$B364,'Trade Log'!$S$6:$S$1005,"Loss")),"—"))</f>
        <v/>
      </c>
      <c r="G364" s="104" t="str">
        <f>IF(OR($B364="",N($D364)=0),"",SUMIFS('Trade Log'!$R$6:$R$1005,'Trade Log'!$A$6:$A$1005,$B364))</f>
        <v/>
      </c>
      <c r="H364" s="96" t="str">
        <f>IF(OR($B364="",N($D364)=0),"",COUNTIFS('Trade Log'!$A$6:$A$1005,$B364,'Trade Log'!$Z$6:$Z$1005,"No"))</f>
        <v/>
      </c>
      <c r="I364" s="105" t="str">
        <f>IF(OR($B364="",N($D364)=0),"",IF(AND(ISNUMBER(Settings!$C$26),N($E364)&lt;=-N(Settings!$C$26)),"Hit daily max loss. ","")&amp;IF(COUNTIFS('Trade Log'!$A$6:$A$1005,$B364,'Trade Log'!$BM$6:$BM$1005,1)&gt;0,"Kept trading after daily max loss. ","")&amp;IF(AND(ISNUMBER(Settings!$C$25),N($D364)&gt;N(Settings!$C$25)),"Over max trades. ",""))</f>
        <v/>
      </c>
      <c r="J364" s="106" t="n"/>
      <c r="K364" s="106" t="n"/>
      <c r="L364" s="106" t="n"/>
      <c r="M364" s="29" t="n"/>
      <c r="N364" s="29" t="n"/>
      <c r="O364" s="106" t="n"/>
    </row>
    <row r="365">
      <c r="B365" s="107">
        <f>IF($B364="","",$B364+IF(AND(Settings!$C$10&lt;&gt;"Yes",WEEKDAY($B364,2)&gt;=5),8-WEEKDAY($B364,2),1))</f>
        <v>46787</v>
      </c>
      <c r="C365" s="103" t="str">
        <f>IF($B365="","",CHOOSE(WEEKDAY($B365,2),"Mon","Tue","Wed","Thu","Fri","Sat","Sun"))</f>
        <v>Fri</v>
      </c>
      <c r="D365" s="96">
        <f>IF($B365="","",COUNTIFS('Trade Log'!$A$6:$A$1005,$B365,'Trade Log'!$BH$6:$BH$1005,1))</f>
        <v>0</v>
      </c>
      <c r="E365" s="98" t="str">
        <f>IF(OR($B365="",N($D365)=0),"",SUMIFS('Trade Log'!$Q$6:$Q$1005,'Trade Log'!$A$6:$A$1005,$B365))</f>
        <v/>
      </c>
      <c r="F365" s="99" t="str">
        <f>IF(OR($B365="",N($D365)=0),"",IFERROR(COUNTIFS('Trade Log'!$A$6:$A$1005,$B365,'Trade Log'!$S$6:$S$1005,"Win")/(COUNTIFS('Trade Log'!$A$6:$A$1005,$B365,'Trade Log'!$S$6:$S$1005,"Win")+COUNTIFS('Trade Log'!$A$6:$A$1005,$B365,'Trade Log'!$S$6:$S$1005,"Loss")),"—"))</f>
        <v/>
      </c>
      <c r="G365" s="104" t="str">
        <f>IF(OR($B365="",N($D365)=0),"",SUMIFS('Trade Log'!$R$6:$R$1005,'Trade Log'!$A$6:$A$1005,$B365))</f>
        <v/>
      </c>
      <c r="H365" s="96" t="str">
        <f>IF(OR($B365="",N($D365)=0),"",COUNTIFS('Trade Log'!$A$6:$A$1005,$B365,'Trade Log'!$Z$6:$Z$1005,"No"))</f>
        <v/>
      </c>
      <c r="I365" s="105" t="str">
        <f>IF(OR($B365="",N($D365)=0),"",IF(AND(ISNUMBER(Settings!$C$26),N($E365)&lt;=-N(Settings!$C$26)),"Hit daily max loss. ","")&amp;IF(COUNTIFS('Trade Log'!$A$6:$A$1005,$B365,'Trade Log'!$BM$6:$BM$1005,1)&gt;0,"Kept trading after daily max loss. ","")&amp;IF(AND(ISNUMBER(Settings!$C$25),N($D365)&gt;N(Settings!$C$25)),"Over max trades. ",""))</f>
        <v/>
      </c>
      <c r="J365" s="106" t="n"/>
      <c r="K365" s="106" t="n"/>
      <c r="L365" s="106" t="n"/>
      <c r="M365" s="29" t="n"/>
      <c r="N365" s="29" t="n"/>
      <c r="O365" s="106" t="n"/>
    </row>
    <row r="366">
      <c r="B366" s="107">
        <f>IF($B365="","",$B365+IF(AND(Settings!$C$10&lt;&gt;"Yes",WEEKDAY($B365,2)&gt;=5),8-WEEKDAY($B365,2),1))</f>
        <v>46790</v>
      </c>
      <c r="C366" s="103" t="str">
        <f>IF($B366="","",CHOOSE(WEEKDAY($B366,2),"Mon","Tue","Wed","Thu","Fri","Sat","Sun"))</f>
        <v>Mon</v>
      </c>
      <c r="D366" s="96">
        <f>IF($B366="","",COUNTIFS('Trade Log'!$A$6:$A$1005,$B366,'Trade Log'!$BH$6:$BH$1005,1))</f>
        <v>0</v>
      </c>
      <c r="E366" s="98" t="str">
        <f>IF(OR($B366="",N($D366)=0),"",SUMIFS('Trade Log'!$Q$6:$Q$1005,'Trade Log'!$A$6:$A$1005,$B366))</f>
        <v/>
      </c>
      <c r="F366" s="99" t="str">
        <f>IF(OR($B366="",N($D366)=0),"",IFERROR(COUNTIFS('Trade Log'!$A$6:$A$1005,$B366,'Trade Log'!$S$6:$S$1005,"Win")/(COUNTIFS('Trade Log'!$A$6:$A$1005,$B366,'Trade Log'!$S$6:$S$1005,"Win")+COUNTIFS('Trade Log'!$A$6:$A$1005,$B366,'Trade Log'!$S$6:$S$1005,"Loss")),"—"))</f>
        <v/>
      </c>
      <c r="G366" s="104" t="str">
        <f>IF(OR($B366="",N($D366)=0),"",SUMIFS('Trade Log'!$R$6:$R$1005,'Trade Log'!$A$6:$A$1005,$B366))</f>
        <v/>
      </c>
      <c r="H366" s="96" t="str">
        <f>IF(OR($B366="",N($D366)=0),"",COUNTIFS('Trade Log'!$A$6:$A$1005,$B366,'Trade Log'!$Z$6:$Z$1005,"No"))</f>
        <v/>
      </c>
      <c r="I366" s="105" t="str">
        <f>IF(OR($B366="",N($D366)=0),"",IF(AND(ISNUMBER(Settings!$C$26),N($E366)&lt;=-N(Settings!$C$26)),"Hit daily max loss. ","")&amp;IF(COUNTIFS('Trade Log'!$A$6:$A$1005,$B366,'Trade Log'!$BM$6:$BM$1005,1)&gt;0,"Kept trading after daily max loss. ","")&amp;IF(AND(ISNUMBER(Settings!$C$25),N($D366)&gt;N(Settings!$C$25)),"Over max trades. ",""))</f>
        <v/>
      </c>
      <c r="J366" s="106" t="n"/>
      <c r="K366" s="106" t="n"/>
      <c r="L366" s="106" t="n"/>
      <c r="M366" s="29" t="n"/>
      <c r="N366" s="29" t="n"/>
      <c r="O366" s="106" t="n"/>
    </row>
    <row r="367">
      <c r="B367" s="107">
        <f>IF($B366="","",$B366+IF(AND(Settings!$C$10&lt;&gt;"Yes",WEEKDAY($B366,2)&gt;=5),8-WEEKDAY($B366,2),1))</f>
        <v>46791</v>
      </c>
      <c r="C367" s="103" t="str">
        <f>IF($B367="","",CHOOSE(WEEKDAY($B367,2),"Mon","Tue","Wed","Thu","Fri","Sat","Sun"))</f>
        <v>Tue</v>
      </c>
      <c r="D367" s="96">
        <f>IF($B367="","",COUNTIFS('Trade Log'!$A$6:$A$1005,$B367,'Trade Log'!$BH$6:$BH$1005,1))</f>
        <v>0</v>
      </c>
      <c r="E367" s="98" t="str">
        <f>IF(OR($B367="",N($D367)=0),"",SUMIFS('Trade Log'!$Q$6:$Q$1005,'Trade Log'!$A$6:$A$1005,$B367))</f>
        <v/>
      </c>
      <c r="F367" s="99" t="str">
        <f>IF(OR($B367="",N($D367)=0),"",IFERROR(COUNTIFS('Trade Log'!$A$6:$A$1005,$B367,'Trade Log'!$S$6:$S$1005,"Win")/(COUNTIFS('Trade Log'!$A$6:$A$1005,$B367,'Trade Log'!$S$6:$S$1005,"Win")+COUNTIFS('Trade Log'!$A$6:$A$1005,$B367,'Trade Log'!$S$6:$S$1005,"Loss")),"—"))</f>
        <v/>
      </c>
      <c r="G367" s="104" t="str">
        <f>IF(OR($B367="",N($D367)=0),"",SUMIFS('Trade Log'!$R$6:$R$1005,'Trade Log'!$A$6:$A$1005,$B367))</f>
        <v/>
      </c>
      <c r="H367" s="96" t="str">
        <f>IF(OR($B367="",N($D367)=0),"",COUNTIFS('Trade Log'!$A$6:$A$1005,$B367,'Trade Log'!$Z$6:$Z$1005,"No"))</f>
        <v/>
      </c>
      <c r="I367" s="105" t="str">
        <f>IF(OR($B367="",N($D367)=0),"",IF(AND(ISNUMBER(Settings!$C$26),N($E367)&lt;=-N(Settings!$C$26)),"Hit daily max loss. ","")&amp;IF(COUNTIFS('Trade Log'!$A$6:$A$1005,$B367,'Trade Log'!$BM$6:$BM$1005,1)&gt;0,"Kept trading after daily max loss. ","")&amp;IF(AND(ISNUMBER(Settings!$C$25),N($D367)&gt;N(Settings!$C$25)),"Over max trades. ",""))</f>
        <v/>
      </c>
      <c r="J367" s="106" t="n"/>
      <c r="K367" s="106" t="n"/>
      <c r="L367" s="106" t="n"/>
      <c r="M367" s="29" t="n"/>
      <c r="N367" s="29" t="n"/>
      <c r="O367" s="106" t="n"/>
    </row>
    <row r="368">
      <c r="B368" s="107">
        <f>IF($B367="","",$B367+IF(AND(Settings!$C$10&lt;&gt;"Yes",WEEKDAY($B367,2)&gt;=5),8-WEEKDAY($B367,2),1))</f>
        <v>46792</v>
      </c>
      <c r="C368" s="103" t="str">
        <f>IF($B368="","",CHOOSE(WEEKDAY($B368,2),"Mon","Tue","Wed","Thu","Fri","Sat","Sun"))</f>
        <v>Wed</v>
      </c>
      <c r="D368" s="96">
        <f>IF($B368="","",COUNTIFS('Trade Log'!$A$6:$A$1005,$B368,'Trade Log'!$BH$6:$BH$1005,1))</f>
        <v>0</v>
      </c>
      <c r="E368" s="98" t="str">
        <f>IF(OR($B368="",N($D368)=0),"",SUMIFS('Trade Log'!$Q$6:$Q$1005,'Trade Log'!$A$6:$A$1005,$B368))</f>
        <v/>
      </c>
      <c r="F368" s="99" t="str">
        <f>IF(OR($B368="",N($D368)=0),"",IFERROR(COUNTIFS('Trade Log'!$A$6:$A$1005,$B368,'Trade Log'!$S$6:$S$1005,"Win")/(COUNTIFS('Trade Log'!$A$6:$A$1005,$B368,'Trade Log'!$S$6:$S$1005,"Win")+COUNTIFS('Trade Log'!$A$6:$A$1005,$B368,'Trade Log'!$S$6:$S$1005,"Loss")),"—"))</f>
        <v/>
      </c>
      <c r="G368" s="104" t="str">
        <f>IF(OR($B368="",N($D368)=0),"",SUMIFS('Trade Log'!$R$6:$R$1005,'Trade Log'!$A$6:$A$1005,$B368))</f>
        <v/>
      </c>
      <c r="H368" s="96" t="str">
        <f>IF(OR($B368="",N($D368)=0),"",COUNTIFS('Trade Log'!$A$6:$A$1005,$B368,'Trade Log'!$Z$6:$Z$1005,"No"))</f>
        <v/>
      </c>
      <c r="I368" s="105" t="str">
        <f>IF(OR($B368="",N($D368)=0),"",IF(AND(ISNUMBER(Settings!$C$26),N($E368)&lt;=-N(Settings!$C$26)),"Hit daily max loss. ","")&amp;IF(COUNTIFS('Trade Log'!$A$6:$A$1005,$B368,'Trade Log'!$BM$6:$BM$1005,1)&gt;0,"Kept trading after daily max loss. ","")&amp;IF(AND(ISNUMBER(Settings!$C$25),N($D368)&gt;N(Settings!$C$25)),"Over max trades. ",""))</f>
        <v/>
      </c>
      <c r="J368" s="106" t="n"/>
      <c r="K368" s="106" t="n"/>
      <c r="L368" s="106" t="n"/>
      <c r="M368" s="29" t="n"/>
      <c r="N368" s="29" t="n"/>
      <c r="O368" s="106" t="n"/>
    </row>
    <row r="369">
      <c r="B369" s="107">
        <f>IF($B368="","",$B368+IF(AND(Settings!$C$10&lt;&gt;"Yes",WEEKDAY($B368,2)&gt;=5),8-WEEKDAY($B368,2),1))</f>
        <v>46793</v>
      </c>
      <c r="C369" s="103" t="str">
        <f>IF($B369="","",CHOOSE(WEEKDAY($B369,2),"Mon","Tue","Wed","Thu","Fri","Sat","Sun"))</f>
        <v>Thu</v>
      </c>
      <c r="D369" s="96">
        <f>IF($B369="","",COUNTIFS('Trade Log'!$A$6:$A$1005,$B369,'Trade Log'!$BH$6:$BH$1005,1))</f>
        <v>0</v>
      </c>
      <c r="E369" s="98" t="str">
        <f>IF(OR($B369="",N($D369)=0),"",SUMIFS('Trade Log'!$Q$6:$Q$1005,'Trade Log'!$A$6:$A$1005,$B369))</f>
        <v/>
      </c>
      <c r="F369" s="99" t="str">
        <f>IF(OR($B369="",N($D369)=0),"",IFERROR(COUNTIFS('Trade Log'!$A$6:$A$1005,$B369,'Trade Log'!$S$6:$S$1005,"Win")/(COUNTIFS('Trade Log'!$A$6:$A$1005,$B369,'Trade Log'!$S$6:$S$1005,"Win")+COUNTIFS('Trade Log'!$A$6:$A$1005,$B369,'Trade Log'!$S$6:$S$1005,"Loss")),"—"))</f>
        <v/>
      </c>
      <c r="G369" s="104" t="str">
        <f>IF(OR($B369="",N($D369)=0),"",SUMIFS('Trade Log'!$R$6:$R$1005,'Trade Log'!$A$6:$A$1005,$B369))</f>
        <v/>
      </c>
      <c r="H369" s="96" t="str">
        <f>IF(OR($B369="",N($D369)=0),"",COUNTIFS('Trade Log'!$A$6:$A$1005,$B369,'Trade Log'!$Z$6:$Z$1005,"No"))</f>
        <v/>
      </c>
      <c r="I369" s="105" t="str">
        <f>IF(OR($B369="",N($D369)=0),"",IF(AND(ISNUMBER(Settings!$C$26),N($E369)&lt;=-N(Settings!$C$26)),"Hit daily max loss. ","")&amp;IF(COUNTIFS('Trade Log'!$A$6:$A$1005,$B369,'Trade Log'!$BM$6:$BM$1005,1)&gt;0,"Kept trading after daily max loss. ","")&amp;IF(AND(ISNUMBER(Settings!$C$25),N($D369)&gt;N(Settings!$C$25)),"Over max trades. ",""))</f>
        <v/>
      </c>
      <c r="J369" s="106" t="n"/>
      <c r="K369" s="106" t="n"/>
      <c r="L369" s="106" t="n"/>
      <c r="M369" s="29" t="n"/>
      <c r="N369" s="29" t="n"/>
      <c r="O369" s="106" t="n"/>
    </row>
    <row r="370">
      <c r="B370" s="107">
        <f>IF($B369="","",$B369+IF(AND(Settings!$C$10&lt;&gt;"Yes",WEEKDAY($B369,2)&gt;=5),8-WEEKDAY($B369,2),1))</f>
        <v>46794</v>
      </c>
      <c r="C370" s="103" t="str">
        <f>IF($B370="","",CHOOSE(WEEKDAY($B370,2),"Mon","Tue","Wed","Thu","Fri","Sat","Sun"))</f>
        <v>Fri</v>
      </c>
      <c r="D370" s="96">
        <f>IF($B370="","",COUNTIFS('Trade Log'!$A$6:$A$1005,$B370,'Trade Log'!$BH$6:$BH$1005,1))</f>
        <v>0</v>
      </c>
      <c r="E370" s="98" t="str">
        <f>IF(OR($B370="",N($D370)=0),"",SUMIFS('Trade Log'!$Q$6:$Q$1005,'Trade Log'!$A$6:$A$1005,$B370))</f>
        <v/>
      </c>
      <c r="F370" s="99" t="str">
        <f>IF(OR($B370="",N($D370)=0),"",IFERROR(COUNTIFS('Trade Log'!$A$6:$A$1005,$B370,'Trade Log'!$S$6:$S$1005,"Win")/(COUNTIFS('Trade Log'!$A$6:$A$1005,$B370,'Trade Log'!$S$6:$S$1005,"Win")+COUNTIFS('Trade Log'!$A$6:$A$1005,$B370,'Trade Log'!$S$6:$S$1005,"Loss")),"—"))</f>
        <v/>
      </c>
      <c r="G370" s="104" t="str">
        <f>IF(OR($B370="",N($D370)=0),"",SUMIFS('Trade Log'!$R$6:$R$1005,'Trade Log'!$A$6:$A$1005,$B370))</f>
        <v/>
      </c>
      <c r="H370" s="96" t="str">
        <f>IF(OR($B370="",N($D370)=0),"",COUNTIFS('Trade Log'!$A$6:$A$1005,$B370,'Trade Log'!$Z$6:$Z$1005,"No"))</f>
        <v/>
      </c>
      <c r="I370" s="105" t="str">
        <f>IF(OR($B370="",N($D370)=0),"",IF(AND(ISNUMBER(Settings!$C$26),N($E370)&lt;=-N(Settings!$C$26)),"Hit daily max loss. ","")&amp;IF(COUNTIFS('Trade Log'!$A$6:$A$1005,$B370,'Trade Log'!$BM$6:$BM$1005,1)&gt;0,"Kept trading after daily max loss. ","")&amp;IF(AND(ISNUMBER(Settings!$C$25),N($D370)&gt;N(Settings!$C$25)),"Over max trades. ",""))</f>
        <v/>
      </c>
      <c r="J370" s="106" t="n"/>
      <c r="K370" s="106" t="n"/>
      <c r="L370" s="106" t="n"/>
      <c r="M370" s="29" t="n"/>
      <c r="N370" s="29" t="n"/>
      <c r="O370" s="106" t="n"/>
    </row>
    <row r="371">
      <c r="B371" s="107">
        <f>IF($B370="","",$B370+IF(AND(Settings!$C$10&lt;&gt;"Yes",WEEKDAY($B370,2)&gt;=5),8-WEEKDAY($B370,2),1))</f>
        <v>46797</v>
      </c>
      <c r="C371" s="103" t="str">
        <f>IF($B371="","",CHOOSE(WEEKDAY($B371,2),"Mon","Tue","Wed","Thu","Fri","Sat","Sun"))</f>
        <v>Mon</v>
      </c>
      <c r="D371" s="96">
        <f>IF($B371="","",COUNTIFS('Trade Log'!$A$6:$A$1005,$B371,'Trade Log'!$BH$6:$BH$1005,1))</f>
        <v>0</v>
      </c>
      <c r="E371" s="98" t="str">
        <f>IF(OR($B371="",N($D371)=0),"",SUMIFS('Trade Log'!$Q$6:$Q$1005,'Trade Log'!$A$6:$A$1005,$B371))</f>
        <v/>
      </c>
      <c r="F371" s="99" t="str">
        <f>IF(OR($B371="",N($D371)=0),"",IFERROR(COUNTIFS('Trade Log'!$A$6:$A$1005,$B371,'Trade Log'!$S$6:$S$1005,"Win")/(COUNTIFS('Trade Log'!$A$6:$A$1005,$B371,'Trade Log'!$S$6:$S$1005,"Win")+COUNTIFS('Trade Log'!$A$6:$A$1005,$B371,'Trade Log'!$S$6:$S$1005,"Loss")),"—"))</f>
        <v/>
      </c>
      <c r="G371" s="104" t="str">
        <f>IF(OR($B371="",N($D371)=0),"",SUMIFS('Trade Log'!$R$6:$R$1005,'Trade Log'!$A$6:$A$1005,$B371))</f>
        <v/>
      </c>
      <c r="H371" s="96" t="str">
        <f>IF(OR($B371="",N($D371)=0),"",COUNTIFS('Trade Log'!$A$6:$A$1005,$B371,'Trade Log'!$Z$6:$Z$1005,"No"))</f>
        <v/>
      </c>
      <c r="I371" s="105" t="str">
        <f>IF(OR($B371="",N($D371)=0),"",IF(AND(ISNUMBER(Settings!$C$26),N($E371)&lt;=-N(Settings!$C$26)),"Hit daily max loss. ","")&amp;IF(COUNTIFS('Trade Log'!$A$6:$A$1005,$B371,'Trade Log'!$BM$6:$BM$1005,1)&gt;0,"Kept trading after daily max loss. ","")&amp;IF(AND(ISNUMBER(Settings!$C$25),N($D371)&gt;N(Settings!$C$25)),"Over max trades. ",""))</f>
        <v/>
      </c>
      <c r="J371" s="106" t="n"/>
      <c r="K371" s="106" t="n"/>
      <c r="L371" s="106" t="n"/>
      <c r="M371" s="29" t="n"/>
      <c r="N371" s="29" t="n"/>
      <c r="O371" s="106" t="n"/>
    </row>
  </sheetData>
  <mergeCells count="2">
    <mergeCell ref="B4:H4"/>
    <mergeCell ref="I4:O4"/>
  </mergeCells>
  <conditionalFormatting sqref="E6:E371">
    <cfRule type="cellIs" priority="1" operator="lessThan" dxfId="9">
      <formula>0</formula>
    </cfRule>
    <cfRule type="cellIs" priority="2" operator="greaterThan" dxfId="2">
      <formula>0</formula>
    </cfRule>
  </conditionalFormatting>
  <dataValidations count="2">
    <dataValidation sqref="M6:M371" showDropDown="0" showInputMessage="0" showErrorMessage="1" allowBlank="1" type="list">
      <formula1>"1,2,3,4,5"</formula1>
    </dataValidation>
    <dataValidation sqref="N6:N371" showDropDown="0" showInputMessage="0" showErrorMessage="1" allowBlank="1" type="list">
      <formula1>"A,B,C,D,F"</formula1>
    </dataValidation>
  </dataValidations>
  <pageMargins left="0.3" right="0.3" top="0.4" bottom="0.4" header="0.5" footer="0.5"/>
  <pageSetup orientation="landscape" fitToHeight="0" fitToWidth="1"/>
</worksheet>
</file>

<file path=xl/worksheets/sheet7.xml><?xml version="1.0" encoding="utf-8"?>
<worksheet xmlns="http://schemas.openxmlformats.org/spreadsheetml/2006/main">
  <sheetPr>
    <tabColor rgb="007B61FF"/>
    <outlinePr summaryBelow="1" summaryRight="1"/>
    <pageSetUpPr fitToPage="1"/>
  </sheetPr>
  <dimension ref="B2:AV6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 customWidth="1" min="2" max="2"/>
    <col width="7" customWidth="1" min="3" max="3"/>
    <col width="11" customWidth="1" min="4" max="4"/>
    <col width="8" customWidth="1" min="5" max="5"/>
    <col width="8" customWidth="1" min="6" max="6"/>
    <col width="9" customWidth="1" min="7" max="7"/>
    <col width="9" customWidth="1" min="8" max="8"/>
    <col width="20" customWidth="1" min="9" max="9"/>
    <col width="18" customWidth="1" min="10" max="10"/>
    <col width="20" customWidth="1" min="11" max="11"/>
    <col width="30" customWidth="1" min="12" max="12"/>
    <col width="30" customWidth="1" min="13" max="13"/>
    <col width="34" customWidth="1" min="14" max="14"/>
    <col width="12" customWidth="1" min="15" max="15"/>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s>
  <sheetData>
    <row r="2">
      <c r="B2" s="9" t="inlineStr">
        <is>
          <t>WEEKLY REVIEW</t>
        </is>
      </c>
    </row>
    <row r="3">
      <c r="B3" s="10" t="inlineStr">
        <is>
          <t>20 minutes on the weekend. Read the week, then commit to ONE change. Type the Monday of your first week in B6 — the rest fill in by themselves.</t>
        </is>
      </c>
    </row>
    <row r="4">
      <c r="B4" s="33" t="inlineStr">
        <is>
          <t>THE WEEK  (automatic)</t>
        </is>
      </c>
      <c r="C4" s="34" t="n"/>
      <c r="D4" s="34" t="n"/>
      <c r="E4" s="34" t="n"/>
      <c r="F4" s="34" t="n"/>
      <c r="G4" s="34" t="n"/>
      <c r="H4" s="34" t="n"/>
      <c r="I4" s="34" t="n"/>
      <c r="J4" s="34" t="n"/>
      <c r="K4" s="34" t="n"/>
      <c r="L4" s="31" t="inlineStr">
        <is>
          <t>YOUR REVIEW  (type here)</t>
        </is>
      </c>
      <c r="M4" s="32" t="n"/>
      <c r="N4" s="32" t="n"/>
      <c r="O4" s="32" t="n"/>
      <c r="Q4" s="108" t="inlineStr">
        <is>
          <t>HELPERS (automatic — don't edit)</t>
        </is>
      </c>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6" t="n"/>
      <c r="AV4" s="36" t="n"/>
    </row>
    <row r="5" ht="48" customHeight="1">
      <c r="B5" s="15" t="inlineStr">
        <is>
          <t>Week of
(Monday)</t>
        </is>
      </c>
      <c r="C5" s="15" t="inlineStr">
        <is>
          <t>Trades</t>
        </is>
      </c>
      <c r="D5" s="15" t="inlineStr">
        <is>
          <t>Net P&amp;L</t>
        </is>
      </c>
      <c r="E5" s="15" t="inlineStr">
        <is>
          <t>Win %</t>
        </is>
      </c>
      <c r="F5" s="15" t="inlineStr">
        <is>
          <t>Avg R</t>
        </is>
      </c>
      <c r="G5" s="15" t="inlineStr">
        <is>
          <t>Profit
factor</t>
        </is>
      </c>
      <c r="H5" s="15" t="inlineStr">
        <is>
          <t>Followed
rules</t>
        </is>
      </c>
      <c r="I5" s="15" t="inlineStr">
        <is>
          <t>Most frequent
mistake</t>
        </is>
      </c>
      <c r="J5" s="15" t="inlineStr">
        <is>
          <t>Costliest
emotion</t>
        </is>
      </c>
      <c r="K5" s="15" t="inlineStr">
        <is>
          <t>Best setup</t>
        </is>
      </c>
      <c r="L5" s="15" t="inlineStr">
        <is>
          <t>What worked</t>
        </is>
      </c>
      <c r="M5" s="15" t="inlineStr">
        <is>
          <t>What leaked</t>
        </is>
      </c>
      <c r="N5" s="15" t="inlineStr">
        <is>
          <t>ONE decision for next week</t>
        </is>
      </c>
      <c r="O5" s="15" t="inlineStr">
        <is>
          <t>Kept last
week's
decision?</t>
        </is>
      </c>
      <c r="Q5" s="109" t="str">
        <f>Psychology!$E$6&amp;""</f>
        <v>Early entry</v>
      </c>
      <c r="R5" s="109" t="str">
        <f>Psychology!$E$7&amp;""</f>
        <v>Late entry (chased)</v>
      </c>
      <c r="S5" s="109" t="str">
        <f>Psychology!$E$8&amp;""</f>
        <v>No stop</v>
      </c>
      <c r="T5" s="109" t="str">
        <f>Psychology!$E$9&amp;""</f>
        <v>Moved stop</v>
      </c>
      <c r="U5" s="109" t="str">
        <f>Psychology!$E$10&amp;""</f>
        <v>Oversized</v>
      </c>
      <c r="V5" s="109" t="str">
        <f>Psychology!$E$11&amp;""</f>
        <v>Took profit too early</v>
      </c>
      <c r="W5" s="109" t="str">
        <f>Psychology!$E$12&amp;""</f>
        <v>Held loser too long</v>
      </c>
      <c r="X5" s="109" t="str">
        <f>Psychology!$E$13&amp;""</f>
        <v>No setup (impulse)</v>
      </c>
      <c r="Y5" s="109" t="str">
        <f>Psychology!$E$14&amp;""</f>
        <v>Overtraded</v>
      </c>
      <c r="Z5" s="109" t="str">
        <f>Psychology!$E$15&amp;""</f>
        <v>Traded after max loss</v>
      </c>
      <c r="AA5" s="109" t="str">
        <f>Psychology!$E$16&amp;""</f>
        <v>Ignored my plan</v>
      </c>
      <c r="AB5" s="109" t="str">
        <f>Psychology!$E$17&amp;""</f>
        <v>Other</v>
      </c>
      <c r="AC5" s="109" t="str">
        <f>Psychology!$B$6&amp;""</f>
        <v>Calm</v>
      </c>
      <c r="AD5" s="109" t="str">
        <f>Psychology!$B$7&amp;""</f>
        <v>Confident</v>
      </c>
      <c r="AE5" s="109" t="str">
        <f>Psychology!$B$8&amp;""</f>
        <v>Hesitant</v>
      </c>
      <c r="AF5" s="109" t="str">
        <f>Psychology!$B$9&amp;""</f>
        <v>Anxious</v>
      </c>
      <c r="AG5" s="109" t="str">
        <f>Psychology!$B$10&amp;""</f>
        <v>FOMO</v>
      </c>
      <c r="AH5" s="109" t="str">
        <f>Psychology!$B$11&amp;""</f>
        <v>Greedy</v>
      </c>
      <c r="AI5" s="109" t="str">
        <f>Psychology!$B$12&amp;""</f>
        <v>Revenge</v>
      </c>
      <c r="AJ5" s="109" t="str">
        <f>Psychology!$B$13&amp;""</f>
        <v>Bored</v>
      </c>
      <c r="AK5" s="109" t="str">
        <f>Psychology!$B$14&amp;""</f>
        <v>Tilted</v>
      </c>
      <c r="AL5" s="109" t="str">
        <f>Psychology!$B$15&amp;""</f>
        <v>Other</v>
      </c>
      <c r="AM5" s="109" t="str">
        <f>'Setup Playbook'!$B$6&amp;""</f>
        <v>Breakout &amp; Retest</v>
      </c>
      <c r="AN5" s="109" t="str">
        <f>'Setup Playbook'!$B$7&amp;""</f>
        <v>Trend Pullback</v>
      </c>
      <c r="AO5" s="109" t="str">
        <f>'Setup Playbook'!$B$8&amp;""</f>
        <v>Failed Breakout Reversal</v>
      </c>
      <c r="AP5" s="109" t="str">
        <f>'Setup Playbook'!$B$9&amp;""</f>
        <v>Range Fade</v>
      </c>
      <c r="AQ5" s="109" t="str">
        <f>'Setup Playbook'!$B$10&amp;""</f>
        <v/>
      </c>
      <c r="AR5" s="109" t="str">
        <f>'Setup Playbook'!$B$11&amp;""</f>
        <v/>
      </c>
      <c r="AS5" s="109" t="str">
        <f>'Setup Playbook'!$B$12&amp;""</f>
        <v/>
      </c>
      <c r="AT5" s="109" t="str">
        <f>'Setup Playbook'!$B$13&amp;""</f>
        <v/>
      </c>
      <c r="AU5" s="109" t="str">
        <f>'Setup Playbook'!$B$14&amp;""</f>
        <v/>
      </c>
      <c r="AV5" s="109" t="str">
        <f>'Setup Playbook'!$B$15&amp;""</f>
        <v/>
      </c>
    </row>
    <row r="6" ht="58" customHeight="1">
      <c r="B6" s="102" t="n">
        <v>46286</v>
      </c>
      <c r="C6" s="96">
        <f>IF($B6="","",COUNTIFS('Trade Log'!$A$6:$A$1005,"&gt;="&amp;$B6,'Trade Log'!$A$6:$A$1005,"&lt;="&amp;($B6+6),'Trade Log'!$BH$6:$BH$1005,1))</f>
        <v>15</v>
      </c>
      <c r="D6" s="98">
        <f>IF(OR($B6="",N($C6)=0),"",SUMIFS('Trade Log'!$Q$6:$Q$1005,'Trade Log'!$A$6:$A$1005,"&gt;="&amp;$B6,'Trade Log'!$A$6:$A$1005,"&lt;="&amp;($B6+6)))</f>
        <v>472.75188</v>
      </c>
      <c r="E6" s="99">
        <f>IF(OR($B6="",N($C6)=0),"",IFERROR(COUNTIFS('Trade Log'!$A$6:$A$1005,"&gt;="&amp;$B6,'Trade Log'!$A$6:$A$1005,"&lt;="&amp;($B6+6),'Trade Log'!$S$6:$S$1005,"Win")/(COUNTIFS('Trade Log'!$A$6:$A$1005,"&gt;="&amp;$B6,'Trade Log'!$A$6:$A$1005,"&lt;="&amp;($B6+6),'Trade Log'!$S$6:$S$1005,"Win")+COUNTIFS('Trade Log'!$A$6:$A$1005,"&gt;="&amp;$B6,'Trade Log'!$A$6:$A$1005,"&lt;="&amp;($B6+6),'Trade Log'!$S$6:$S$1005,"Loss")),"—"))</f>
        <v>0.6</v>
      </c>
      <c r="F6" s="104">
        <f>IF(OR($B6="",N($C6)=0),"",IFERROR(SUMIFS('Trade Log'!$R$6:$R$1005,'Trade Log'!$A$6:$A$1005,"&gt;="&amp;$B6,'Trade Log'!$A$6:$A$1005,"&lt;="&amp;($B6+6))/COUNTIFS('Trade Log'!$A$6:$A$1005,"&gt;="&amp;$B6,'Trade Log'!$A$6:$A$1005,"&lt;="&amp;($B6+6),'Trade Log'!$BC$6:$BC$1005,1),"—"))</f>
        <v>0.481333333333333</v>
      </c>
      <c r="G6" s="110">
        <f>IF(OR($B6="",N($C6)=0),"",IF(SUMIFS('Trade Log'!$Q$6:$Q$1005,'Trade Log'!$A$6:$A$1005,"&gt;="&amp;$B6,'Trade Log'!$A$6:$A$1005,"&lt;="&amp;($B6+6),'Trade Log'!$Q$6:$Q$1005,"&lt;0")=0,IF(SUMIFS('Trade Log'!$Q$6:$Q$1005,'Trade Log'!$A$6:$A$1005,"&gt;="&amp;$B6,'Trade Log'!$A$6:$A$1005,"&lt;="&amp;($B6+6),'Trade Log'!$Q$6:$Q$1005,"&gt;0")&gt;0,"No losses","—"),SUMIFS('Trade Log'!$Q$6:$Q$1005,'Trade Log'!$A$6:$A$1005,"&gt;="&amp;$B6,'Trade Log'!$A$6:$A$1005,"&lt;="&amp;($B6+6),'Trade Log'!$Q$6:$Q$1005,"&gt;0")/-SUMIFS('Trade Log'!$Q$6:$Q$1005,'Trade Log'!$A$6:$A$1005,"&gt;="&amp;$B6,'Trade Log'!$A$6:$A$1005,"&lt;="&amp;($B6+6),'Trade Log'!$Q$6:$Q$1005,"&lt;0")))</f>
        <v>1.74013310601044</v>
      </c>
      <c r="H6" s="99">
        <f>IF(OR($B6="",N($C6)=0),"",IFERROR(COUNTIFS('Trade Log'!$A$6:$A$1005,"&gt;="&amp;$B6,'Trade Log'!$A$6:$A$1005,"&lt;="&amp;($B6+6),'Trade Log'!$Z$6:$Z$1005,"Yes")/(COUNTIFS('Trade Log'!$A$6:$A$1005,"&gt;="&amp;$B6,'Trade Log'!$A$6:$A$1005,"&lt;="&amp;($B6+6),'Trade Log'!$Z$6:$Z$1005,"Yes")+COUNTIFS('Trade Log'!$A$6:$A$1005,"&gt;="&amp;$B6,'Trade Log'!$A$6:$A$1005,"&lt;="&amp;($B6+6),'Trade Log'!$Z$6:$Z$1005,"No")),"—"))</f>
        <v>0.4</v>
      </c>
      <c r="I6" s="111" t="str">
        <f>IF(OR($B6="",N($C6)=0),"",IF(MAX($Q6:$AB6)=0,"None — clean week",INDEX($Q$5:$AB$5,MATCH(MAX($Q6:$AB6),$Q6:$AB6,0))))</f>
        <v>Late entry (chased)</v>
      </c>
      <c r="J6" s="111" t="str">
        <f>IF(OR($B6="",N($C6)=0),"",IF(MIN($AC6:$AL6)&gt;=0,"None lost money",INDEX($AC$5:$AL$5,MATCH(MIN($AC6:$AL6),$AC6:$AL6,0))))</f>
        <v>Revenge</v>
      </c>
      <c r="K6" s="111" t="str">
        <f>IF(OR($B6="",N($C6)=0),"",IF(MAX($AM6:$AV6)&lt;=0,"None made money",INDEX($AM$5:$AV$5,MATCH(MAX($AM6:$AV6),$AM6:$AV6,0))))</f>
        <v>Trend Pullback</v>
      </c>
      <c r="L6" s="106" t="inlineStr">
        <is>
          <t>Breakout &amp; Retest, and holding to target on Monday/Tuesday.</t>
        </is>
      </c>
      <c r="M6" s="106" t="inlineStr">
        <is>
          <t>Friday tilt: revenge trade, moved stop, traded past my daily max loss.</t>
        </is>
      </c>
      <c r="N6" s="112" t="inlineStr">
        <is>
          <t>Hard stop for the day after 2 losses in a row.</t>
        </is>
      </c>
      <c r="O6" s="29" t="n"/>
      <c r="Q6" s="109">
        <f>IF(OR($B6="",Q$5=""),0,COUNTIFS('Trade Log'!$A$6:$A$1005,"&gt;="&amp;$B6,'Trade Log'!$A$6:$A$1005,"&lt;="&amp;($B6+6),'Trade Log'!$AB$6:$AB$1005,Q$5))</f>
        <v>0</v>
      </c>
      <c r="R6" s="109">
        <f>IF(OR($B6="",R$5=""),0,COUNTIFS('Trade Log'!$A$6:$A$1005,"&gt;="&amp;$B6,'Trade Log'!$A$6:$A$1005,"&lt;="&amp;($B6+6),'Trade Log'!$AB$6:$AB$1005,R$5))</f>
        <v>2</v>
      </c>
      <c r="S6" s="109">
        <f>IF(OR($B6="",S$5=""),0,COUNTIFS('Trade Log'!$A$6:$A$1005,"&gt;="&amp;$B6,'Trade Log'!$A$6:$A$1005,"&lt;="&amp;($B6+6),'Trade Log'!$AB$6:$AB$1005,S$5))</f>
        <v>0</v>
      </c>
      <c r="T6" s="109">
        <f>IF(OR($B6="",T$5=""),0,COUNTIFS('Trade Log'!$A$6:$A$1005,"&gt;="&amp;$B6,'Trade Log'!$A$6:$A$1005,"&lt;="&amp;($B6+6),'Trade Log'!$AB$6:$AB$1005,T$5))</f>
        <v>1</v>
      </c>
      <c r="U6" s="109">
        <f>IF(OR($B6="",U$5=""),0,COUNTIFS('Trade Log'!$A$6:$A$1005,"&gt;="&amp;$B6,'Trade Log'!$A$6:$A$1005,"&lt;="&amp;($B6+6),'Trade Log'!$AB$6:$AB$1005,U$5))</f>
        <v>1</v>
      </c>
      <c r="V6" s="109">
        <f>IF(OR($B6="",V$5=""),0,COUNTIFS('Trade Log'!$A$6:$A$1005,"&gt;="&amp;$B6,'Trade Log'!$A$6:$A$1005,"&lt;="&amp;($B6+6),'Trade Log'!$AB$6:$AB$1005,V$5))</f>
        <v>2</v>
      </c>
      <c r="W6" s="109">
        <f>IF(OR($B6="",W$5=""),0,COUNTIFS('Trade Log'!$A$6:$A$1005,"&gt;="&amp;$B6,'Trade Log'!$A$6:$A$1005,"&lt;="&amp;($B6+6),'Trade Log'!$AB$6:$AB$1005,W$5))</f>
        <v>0</v>
      </c>
      <c r="X6" s="109">
        <f>IF(OR($B6="",X$5=""),0,COUNTIFS('Trade Log'!$A$6:$A$1005,"&gt;="&amp;$B6,'Trade Log'!$A$6:$A$1005,"&lt;="&amp;($B6+6),'Trade Log'!$AB$6:$AB$1005,X$5))</f>
        <v>2</v>
      </c>
      <c r="Y6" s="109">
        <f>IF(OR($B6="",Y$5=""),0,COUNTIFS('Trade Log'!$A$6:$A$1005,"&gt;="&amp;$B6,'Trade Log'!$A$6:$A$1005,"&lt;="&amp;($B6+6),'Trade Log'!$AB$6:$AB$1005,Y$5))</f>
        <v>0</v>
      </c>
      <c r="Z6" s="109">
        <f>IF(OR($B6="",Z$5=""),0,COUNTIFS('Trade Log'!$A$6:$A$1005,"&gt;="&amp;$B6,'Trade Log'!$A$6:$A$1005,"&lt;="&amp;($B6+6),'Trade Log'!$AB$6:$AB$1005,Z$5))</f>
        <v>1</v>
      </c>
      <c r="AA6" s="109">
        <f>IF(OR($B6="",AA$5=""),0,COUNTIFS('Trade Log'!$A$6:$A$1005,"&gt;="&amp;$B6,'Trade Log'!$A$6:$A$1005,"&lt;="&amp;($B6+6),'Trade Log'!$AB$6:$AB$1005,AA$5))</f>
        <v>0</v>
      </c>
      <c r="AB6" s="109">
        <f>IF(OR($B6="",AB$5=""),0,COUNTIFS('Trade Log'!$A$6:$A$1005,"&gt;="&amp;$B6,'Trade Log'!$A$6:$A$1005,"&lt;="&amp;($B6+6),'Trade Log'!$AB$6:$AB$1005,AB$5))</f>
        <v>0</v>
      </c>
      <c r="AC6" s="113">
        <f>IF(OR($B6="",AC$5=""),0,SUMIFS('Trade Log'!$Q$6:$Q$1005,'Trade Log'!$A$6:$A$1005,"&gt;="&amp;$B6,'Trade Log'!$A$6:$A$1005,"&lt;="&amp;($B6+6),'Trade Log'!$AA$6:$AA$1005,AC$5))</f>
        <v>592.704</v>
      </c>
      <c r="AD6" s="113">
        <f>IF(OR($B6="",AD$5=""),0,SUMIFS('Trade Log'!$Q$6:$Q$1005,'Trade Log'!$A$6:$A$1005,"&gt;="&amp;$B6,'Trade Log'!$A$6:$A$1005,"&lt;="&amp;($B6+6),'Trade Log'!$AA$6:$AA$1005,AD$5))</f>
        <v>114</v>
      </c>
      <c r="AE6" s="113">
        <f>IF(OR($B6="",AE$5=""),0,SUMIFS('Trade Log'!$Q$6:$Q$1005,'Trade Log'!$A$6:$A$1005,"&gt;="&amp;$B6,'Trade Log'!$A$6:$A$1005,"&lt;="&amp;($B6+6),'Trade Log'!$AA$6:$AA$1005,AE$5))</f>
        <v>60.5</v>
      </c>
      <c r="AF6" s="113">
        <f>IF(OR($B6="",AF$5=""),0,SUMIFS('Trade Log'!$Q$6:$Q$1005,'Trade Log'!$A$6:$A$1005,"&gt;="&amp;$B6,'Trade Log'!$A$6:$A$1005,"&lt;="&amp;($B6+6),'Trade Log'!$AA$6:$AA$1005,AF$5))</f>
        <v>98</v>
      </c>
      <c r="AG6" s="113">
        <f>IF(OR($B6="",AG$5=""),0,SUMIFS('Trade Log'!$Q$6:$Q$1005,'Trade Log'!$A$6:$A$1005,"&gt;="&amp;$B6,'Trade Log'!$A$6:$A$1005,"&lt;="&amp;($B6+6),'Trade Log'!$AA$6:$AA$1005,AG$5))</f>
        <v>-111.239</v>
      </c>
      <c r="AH6" s="113">
        <f>IF(OR($B6="",AH$5=""),0,SUMIFS('Trade Log'!$Q$6:$Q$1005,'Trade Log'!$A$6:$A$1005,"&gt;="&amp;$B6,'Trade Log'!$A$6:$A$1005,"&lt;="&amp;($B6+6),'Trade Log'!$AA$6:$AA$1005,AH$5))</f>
        <v>100.28688</v>
      </c>
      <c r="AI6" s="113">
        <f>IF(OR($B6="",AI$5=""),0,SUMIFS('Trade Log'!$Q$6:$Q$1005,'Trade Log'!$A$6:$A$1005,"&gt;="&amp;$B6,'Trade Log'!$A$6:$A$1005,"&lt;="&amp;($B6+6),'Trade Log'!$AA$6:$AA$1005,AI$5))</f>
        <v>-182</v>
      </c>
      <c r="AJ6" s="113">
        <f>IF(OR($B6="",AJ$5=""),0,SUMIFS('Trade Log'!$Q$6:$Q$1005,'Trade Log'!$A$6:$A$1005,"&gt;="&amp;$B6,'Trade Log'!$A$6:$A$1005,"&lt;="&amp;($B6+6),'Trade Log'!$AA$6:$AA$1005,AJ$5))</f>
        <v>-108</v>
      </c>
      <c r="AK6" s="113">
        <f>IF(OR($B6="",AK$5=""),0,SUMIFS('Trade Log'!$Q$6:$Q$1005,'Trade Log'!$A$6:$A$1005,"&gt;="&amp;$B6,'Trade Log'!$A$6:$A$1005,"&lt;="&amp;($B6+6),'Trade Log'!$AA$6:$AA$1005,AK$5))</f>
        <v>-91.5</v>
      </c>
      <c r="AL6" s="113">
        <f>IF(OR($B6="",AL$5=""),0,SUMIFS('Trade Log'!$Q$6:$Q$1005,'Trade Log'!$A$6:$A$1005,"&gt;="&amp;$B6,'Trade Log'!$A$6:$A$1005,"&lt;="&amp;($B6+6),'Trade Log'!$AA$6:$AA$1005,AL$5))</f>
        <v>0</v>
      </c>
      <c r="AM6" s="113">
        <f>IF(OR($B6="",AM$5=""),0,SUMIFS('Trade Log'!$Q$6:$Q$1005,'Trade Log'!$A$6:$A$1005,"&gt;="&amp;$B6,'Trade Log'!$A$6:$A$1005,"&lt;="&amp;($B6+6),'Trade Log'!$Y$6:$Y$1005,AM$5))</f>
        <v>415.704</v>
      </c>
      <c r="AN6" s="113">
        <f>IF(OR($B6="",AN$5=""),0,SUMIFS('Trade Log'!$Q$6:$Q$1005,'Trade Log'!$A$6:$A$1005,"&gt;="&amp;$B6,'Trade Log'!$A$6:$A$1005,"&lt;="&amp;($B6+6),'Trade Log'!$Y$6:$Y$1005,AN$5))</f>
        <v>557.78688</v>
      </c>
      <c r="AO6" s="113">
        <f>IF(OR($B6="",AO$5=""),0,SUMIFS('Trade Log'!$Q$6:$Q$1005,'Trade Log'!$A$6:$A$1005,"&gt;="&amp;$B6,'Trade Log'!$A$6:$A$1005,"&lt;="&amp;($B6+6),'Trade Log'!$Y$6:$Y$1005,AO$5))</f>
        <v>-415.239</v>
      </c>
      <c r="AP6" s="113">
        <f>IF(OR($B6="",AP$5=""),0,SUMIFS('Trade Log'!$Q$6:$Q$1005,'Trade Log'!$A$6:$A$1005,"&gt;="&amp;$B6,'Trade Log'!$A$6:$A$1005,"&lt;="&amp;($B6+6),'Trade Log'!$Y$6:$Y$1005,AP$5))</f>
        <v>114</v>
      </c>
      <c r="AQ6" s="113">
        <f>IF(OR($B6="",AQ$5=""),0,SUMIFS('Trade Log'!$Q$6:$Q$1005,'Trade Log'!$A$6:$A$1005,"&gt;="&amp;$B6,'Trade Log'!$A$6:$A$1005,"&lt;="&amp;($B6+6),'Trade Log'!$Y$6:$Y$1005,AQ$5))</f>
        <v>0</v>
      </c>
      <c r="AR6" s="113">
        <f>IF(OR($B6="",AR$5=""),0,SUMIFS('Trade Log'!$Q$6:$Q$1005,'Trade Log'!$A$6:$A$1005,"&gt;="&amp;$B6,'Trade Log'!$A$6:$A$1005,"&lt;="&amp;($B6+6),'Trade Log'!$Y$6:$Y$1005,AR$5))</f>
        <v>0</v>
      </c>
      <c r="AS6" s="113">
        <f>IF(OR($B6="",AS$5=""),0,SUMIFS('Trade Log'!$Q$6:$Q$1005,'Trade Log'!$A$6:$A$1005,"&gt;="&amp;$B6,'Trade Log'!$A$6:$A$1005,"&lt;="&amp;($B6+6),'Trade Log'!$Y$6:$Y$1005,AS$5))</f>
        <v>0</v>
      </c>
      <c r="AT6" s="113">
        <f>IF(OR($B6="",AT$5=""),0,SUMIFS('Trade Log'!$Q$6:$Q$1005,'Trade Log'!$A$6:$A$1005,"&gt;="&amp;$B6,'Trade Log'!$A$6:$A$1005,"&lt;="&amp;($B6+6),'Trade Log'!$Y$6:$Y$1005,AT$5))</f>
        <v>0</v>
      </c>
      <c r="AU6" s="113">
        <f>IF(OR($B6="",AU$5=""),0,SUMIFS('Trade Log'!$Q$6:$Q$1005,'Trade Log'!$A$6:$A$1005,"&gt;="&amp;$B6,'Trade Log'!$A$6:$A$1005,"&lt;="&amp;($B6+6),'Trade Log'!$Y$6:$Y$1005,AU$5))</f>
        <v>0</v>
      </c>
      <c r="AV6" s="113">
        <f>IF(OR($B6="",AV$5=""),0,SUMIFS('Trade Log'!$Q$6:$Q$1005,'Trade Log'!$A$6:$A$1005,"&gt;="&amp;$B6,'Trade Log'!$A$6:$A$1005,"&lt;="&amp;($B6+6),'Trade Log'!$Y$6:$Y$1005,AV$5))</f>
        <v>0</v>
      </c>
    </row>
    <row r="7" ht="58" customHeight="1">
      <c r="B7" s="107">
        <f>IF($B6="","",$B6+7)</f>
        <v>46293</v>
      </c>
      <c r="C7" s="96">
        <f>IF($B7="","",COUNTIFS('Trade Log'!$A$6:$A$1005,"&gt;="&amp;$B7,'Trade Log'!$A$6:$A$1005,"&lt;="&amp;($B7+6),'Trade Log'!$BH$6:$BH$1005,1))</f>
        <v>10</v>
      </c>
      <c r="D7" s="98">
        <f>IF(OR($B7="",N($C7)=0),"",SUMIFS('Trade Log'!$Q$6:$Q$1005,'Trade Log'!$A$6:$A$1005,"&gt;="&amp;$B7,'Trade Log'!$A$6:$A$1005,"&lt;="&amp;($B7+6)))</f>
        <v>380.044</v>
      </c>
      <c r="E7" s="99">
        <f>IF(OR($B7="",N($C7)=0),"",IFERROR(COUNTIFS('Trade Log'!$A$6:$A$1005,"&gt;="&amp;$B7,'Trade Log'!$A$6:$A$1005,"&lt;="&amp;($B7+6),'Trade Log'!$S$6:$S$1005,"Win")/(COUNTIFS('Trade Log'!$A$6:$A$1005,"&gt;="&amp;$B7,'Trade Log'!$A$6:$A$1005,"&lt;="&amp;($B7+6),'Trade Log'!$S$6:$S$1005,"Win")+COUNTIFS('Trade Log'!$A$6:$A$1005,"&gt;="&amp;$B7,'Trade Log'!$A$6:$A$1005,"&lt;="&amp;($B7+6),'Trade Log'!$S$6:$S$1005,"Loss")),"—"))</f>
        <v>0.666666666666667</v>
      </c>
      <c r="F7" s="104">
        <f>IF(OR($B7="",N($C7)=0),"",IFERROR(SUMIFS('Trade Log'!$R$6:$R$1005,'Trade Log'!$A$6:$A$1005,"&gt;="&amp;$B7,'Trade Log'!$A$6:$A$1005,"&lt;="&amp;($B7+6))/COUNTIFS('Trade Log'!$A$6:$A$1005,"&gt;="&amp;$B7,'Trade Log'!$A$6:$A$1005,"&lt;="&amp;($B7+6),'Trade Log'!$BC$6:$BC$1005,1),"—"))</f>
        <v>0.798333333333333</v>
      </c>
      <c r="G7" s="110">
        <f>IF(OR($B7="",N($C7)=0),"",IF(SUMIFS('Trade Log'!$Q$6:$Q$1005,'Trade Log'!$A$6:$A$1005,"&gt;="&amp;$B7,'Trade Log'!$A$6:$A$1005,"&lt;="&amp;($B7+6),'Trade Log'!$Q$6:$Q$1005,"&lt;0")=0,IF(SUMIFS('Trade Log'!$Q$6:$Q$1005,'Trade Log'!$A$6:$A$1005,"&gt;="&amp;$B7,'Trade Log'!$A$6:$A$1005,"&lt;="&amp;($B7+6),'Trade Log'!$Q$6:$Q$1005,"&gt;0")&gt;0,"No losses","—"),SUMIFS('Trade Log'!$Q$6:$Q$1005,'Trade Log'!$A$6:$A$1005,"&gt;="&amp;$B7,'Trade Log'!$A$6:$A$1005,"&lt;="&amp;($B7+6),'Trade Log'!$Q$6:$Q$1005,"&gt;0")/-SUMIFS('Trade Log'!$Q$6:$Q$1005,'Trade Log'!$A$6:$A$1005,"&gt;="&amp;$B7,'Trade Log'!$A$6:$A$1005,"&lt;="&amp;($B7+6),'Trade Log'!$Q$6:$Q$1005,"&lt;0")))</f>
        <v>1.74212849052919</v>
      </c>
      <c r="H7" s="99">
        <f>IF(OR($B7="",N($C7)=0),"",IFERROR(COUNTIFS('Trade Log'!$A$6:$A$1005,"&gt;="&amp;$B7,'Trade Log'!$A$6:$A$1005,"&lt;="&amp;($B7+6),'Trade Log'!$Z$6:$Z$1005,"Yes")/(COUNTIFS('Trade Log'!$A$6:$A$1005,"&gt;="&amp;$B7,'Trade Log'!$A$6:$A$1005,"&lt;="&amp;($B7+6),'Trade Log'!$Z$6:$Z$1005,"Yes")+COUNTIFS('Trade Log'!$A$6:$A$1005,"&gt;="&amp;$B7,'Trade Log'!$A$6:$A$1005,"&lt;="&amp;($B7+6),'Trade Log'!$Z$6:$Z$1005,"No")),"—"))</f>
        <v>0.9</v>
      </c>
      <c r="I7" s="111" t="str">
        <f>IF(OR($B7="",N($C7)=0),"",IF(MAX($Q7:$AB7)=0,"None — clean week",INDEX($Q$5:$AB$5,MATCH(MAX($Q7:$AB7),$Q7:$AB7,0))))</f>
        <v>Oversized</v>
      </c>
      <c r="J7" s="111" t="str">
        <f>IF(OR($B7="",N($C7)=0),"",IF(MIN($AC7:$AL7)&gt;=0,"None lost money",INDEX($AC$5:$AL$5,MATCH(MIN($AC7:$AL7),$AC7:$AL7,0))))</f>
        <v>FOMO</v>
      </c>
      <c r="K7" s="111" t="str">
        <f>IF(OR($B7="",N($C7)=0),"",IF(MAX($AM7:$AV7)&lt;=0,"None made money",INDEX($AM$5:$AV$5,MATCH(MAX($AM7:$AV7),$AM7:$AV7,0))))</f>
        <v>Range Fade</v>
      </c>
      <c r="L7" s="106" t="inlineStr">
        <is>
          <t>Cleaner week. Range fades and trend pullbacks paid.</t>
        </is>
      </c>
      <c r="M7" s="106" t="inlineStr">
        <is>
          <t>Thursday: doubled size on a breakout and broke my max risk.</t>
        </is>
      </c>
      <c r="N7" s="112" t="inlineStr">
        <is>
          <t>Fixed size: never more than my max $ risk per trade.</t>
        </is>
      </c>
      <c r="O7" s="29" t="inlineStr">
        <is>
          <t>Yes</t>
        </is>
      </c>
      <c r="Q7" s="109">
        <f>IF(OR($B7="",Q$5=""),0,COUNTIFS('Trade Log'!$A$6:$A$1005,"&gt;="&amp;$B7,'Trade Log'!$A$6:$A$1005,"&lt;="&amp;($B7+6),'Trade Log'!$AB$6:$AB$1005,Q$5))</f>
        <v>0</v>
      </c>
      <c r="R7" s="109">
        <f>IF(OR($B7="",R$5=""),0,COUNTIFS('Trade Log'!$A$6:$A$1005,"&gt;="&amp;$B7,'Trade Log'!$A$6:$A$1005,"&lt;="&amp;($B7+6),'Trade Log'!$AB$6:$AB$1005,R$5))</f>
        <v>0</v>
      </c>
      <c r="S7" s="109">
        <f>IF(OR($B7="",S$5=""),0,COUNTIFS('Trade Log'!$A$6:$A$1005,"&gt;="&amp;$B7,'Trade Log'!$A$6:$A$1005,"&lt;="&amp;($B7+6),'Trade Log'!$AB$6:$AB$1005,S$5))</f>
        <v>0</v>
      </c>
      <c r="T7" s="109">
        <f>IF(OR($B7="",T$5=""),0,COUNTIFS('Trade Log'!$A$6:$A$1005,"&gt;="&amp;$B7,'Trade Log'!$A$6:$A$1005,"&lt;="&amp;($B7+6),'Trade Log'!$AB$6:$AB$1005,T$5))</f>
        <v>0</v>
      </c>
      <c r="U7" s="109">
        <f>IF(OR($B7="",U$5=""),0,COUNTIFS('Trade Log'!$A$6:$A$1005,"&gt;="&amp;$B7,'Trade Log'!$A$6:$A$1005,"&lt;="&amp;($B7+6),'Trade Log'!$AB$6:$AB$1005,U$5))</f>
        <v>1</v>
      </c>
      <c r="V7" s="109">
        <f>IF(OR($B7="",V$5=""),0,COUNTIFS('Trade Log'!$A$6:$A$1005,"&gt;="&amp;$B7,'Trade Log'!$A$6:$A$1005,"&lt;="&amp;($B7+6),'Trade Log'!$AB$6:$AB$1005,V$5))</f>
        <v>0</v>
      </c>
      <c r="W7" s="109">
        <f>IF(OR($B7="",W$5=""),0,COUNTIFS('Trade Log'!$A$6:$A$1005,"&gt;="&amp;$B7,'Trade Log'!$A$6:$A$1005,"&lt;="&amp;($B7+6),'Trade Log'!$AB$6:$AB$1005,W$5))</f>
        <v>0</v>
      </c>
      <c r="X7" s="109">
        <f>IF(OR($B7="",X$5=""),0,COUNTIFS('Trade Log'!$A$6:$A$1005,"&gt;="&amp;$B7,'Trade Log'!$A$6:$A$1005,"&lt;="&amp;($B7+6),'Trade Log'!$AB$6:$AB$1005,X$5))</f>
        <v>0</v>
      </c>
      <c r="Y7" s="109">
        <f>IF(OR($B7="",Y$5=""),0,COUNTIFS('Trade Log'!$A$6:$A$1005,"&gt;="&amp;$B7,'Trade Log'!$A$6:$A$1005,"&lt;="&amp;($B7+6),'Trade Log'!$AB$6:$AB$1005,Y$5))</f>
        <v>0</v>
      </c>
      <c r="Z7" s="109">
        <f>IF(OR($B7="",Z$5=""),0,COUNTIFS('Trade Log'!$A$6:$A$1005,"&gt;="&amp;$B7,'Trade Log'!$A$6:$A$1005,"&lt;="&amp;($B7+6),'Trade Log'!$AB$6:$AB$1005,Z$5))</f>
        <v>0</v>
      </c>
      <c r="AA7" s="109">
        <f>IF(OR($B7="",AA$5=""),0,COUNTIFS('Trade Log'!$A$6:$A$1005,"&gt;="&amp;$B7,'Trade Log'!$A$6:$A$1005,"&lt;="&amp;($B7+6),'Trade Log'!$AB$6:$AB$1005,AA$5))</f>
        <v>0</v>
      </c>
      <c r="AB7" s="109">
        <f>IF(OR($B7="",AB$5=""),0,COUNTIFS('Trade Log'!$A$6:$A$1005,"&gt;="&amp;$B7,'Trade Log'!$A$6:$A$1005,"&lt;="&amp;($B7+6),'Trade Log'!$AB$6:$AB$1005,AB$5))</f>
        <v>0</v>
      </c>
      <c r="AC7" s="113">
        <f>IF(OR($B7="",AC$5=""),0,SUMIFS('Trade Log'!$Q$6:$Q$1005,'Trade Log'!$A$6:$A$1005,"&gt;="&amp;$B7,'Trade Log'!$A$6:$A$1005,"&lt;="&amp;($B7+6),'Trade Log'!$AA$6:$AA$1005,AC$5))</f>
        <v>526.9</v>
      </c>
      <c r="AD7" s="113">
        <f>IF(OR($B7="",AD$5=""),0,SUMIFS('Trade Log'!$Q$6:$Q$1005,'Trade Log'!$A$6:$A$1005,"&gt;="&amp;$B7,'Trade Log'!$A$6:$A$1005,"&lt;="&amp;($B7+6),'Trade Log'!$AA$6:$AA$1005,AD$5))</f>
        <v>156.144</v>
      </c>
      <c r="AE7" s="113">
        <f>IF(OR($B7="",AE$5=""),0,SUMIFS('Trade Log'!$Q$6:$Q$1005,'Trade Log'!$A$6:$A$1005,"&gt;="&amp;$B7,'Trade Log'!$A$6:$A$1005,"&lt;="&amp;($B7+6),'Trade Log'!$AA$6:$AA$1005,AE$5))</f>
        <v>3</v>
      </c>
      <c r="AF7" s="113">
        <f>IF(OR($B7="",AF$5=""),0,SUMIFS('Trade Log'!$Q$6:$Q$1005,'Trade Log'!$A$6:$A$1005,"&gt;="&amp;$B7,'Trade Log'!$A$6:$A$1005,"&lt;="&amp;($B7+6),'Trade Log'!$AA$6:$AA$1005,AF$5))</f>
        <v>0</v>
      </c>
      <c r="AG7" s="113">
        <f>IF(OR($B7="",AG$5=""),0,SUMIFS('Trade Log'!$Q$6:$Q$1005,'Trade Log'!$A$6:$A$1005,"&gt;="&amp;$B7,'Trade Log'!$A$6:$A$1005,"&lt;="&amp;($B7+6),'Trade Log'!$AA$6:$AA$1005,AG$5))</f>
        <v>-306</v>
      </c>
      <c r="AH7" s="113">
        <f>IF(OR($B7="",AH$5=""),0,SUMIFS('Trade Log'!$Q$6:$Q$1005,'Trade Log'!$A$6:$A$1005,"&gt;="&amp;$B7,'Trade Log'!$A$6:$A$1005,"&lt;="&amp;($B7+6),'Trade Log'!$AA$6:$AA$1005,AH$5))</f>
        <v>0</v>
      </c>
      <c r="AI7" s="113">
        <f>IF(OR($B7="",AI$5=""),0,SUMIFS('Trade Log'!$Q$6:$Q$1005,'Trade Log'!$A$6:$A$1005,"&gt;="&amp;$B7,'Trade Log'!$A$6:$A$1005,"&lt;="&amp;($B7+6),'Trade Log'!$AA$6:$AA$1005,AI$5))</f>
        <v>0</v>
      </c>
      <c r="AJ7" s="113">
        <f>IF(OR($B7="",AJ$5=""),0,SUMIFS('Trade Log'!$Q$6:$Q$1005,'Trade Log'!$A$6:$A$1005,"&gt;="&amp;$B7,'Trade Log'!$A$6:$A$1005,"&lt;="&amp;($B7+6),'Trade Log'!$AA$6:$AA$1005,AJ$5))</f>
        <v>0</v>
      </c>
      <c r="AK7" s="113">
        <f>IF(OR($B7="",AK$5=""),0,SUMIFS('Trade Log'!$Q$6:$Q$1005,'Trade Log'!$A$6:$A$1005,"&gt;="&amp;$B7,'Trade Log'!$A$6:$A$1005,"&lt;="&amp;($B7+6),'Trade Log'!$AA$6:$AA$1005,AK$5))</f>
        <v>0</v>
      </c>
      <c r="AL7" s="113">
        <f>IF(OR($B7="",AL$5=""),0,SUMIFS('Trade Log'!$Q$6:$Q$1005,'Trade Log'!$A$6:$A$1005,"&gt;="&amp;$B7,'Trade Log'!$A$6:$A$1005,"&lt;="&amp;($B7+6),'Trade Log'!$AA$6:$AA$1005,AL$5))</f>
        <v>0</v>
      </c>
      <c r="AM7" s="113">
        <f>IF(OR($B7="",AM$5=""),0,SUMIFS('Trade Log'!$Q$6:$Q$1005,'Trade Log'!$A$6:$A$1005,"&gt;="&amp;$B7,'Trade Log'!$A$6:$A$1005,"&lt;="&amp;($B7+6),'Trade Log'!$Y$6:$Y$1005,AM$5))</f>
        <v>33.144</v>
      </c>
      <c r="AN7" s="113">
        <f>IF(OR($B7="",AN$5=""),0,SUMIFS('Trade Log'!$Q$6:$Q$1005,'Trade Log'!$A$6:$A$1005,"&gt;="&amp;$B7,'Trade Log'!$A$6:$A$1005,"&lt;="&amp;($B7+6),'Trade Log'!$Y$6:$Y$1005,AN$5))</f>
        <v>177</v>
      </c>
      <c r="AO7" s="113">
        <f>IF(OR($B7="",AO$5=""),0,SUMIFS('Trade Log'!$Q$6:$Q$1005,'Trade Log'!$A$6:$A$1005,"&gt;="&amp;$B7,'Trade Log'!$A$6:$A$1005,"&lt;="&amp;($B7+6),'Trade Log'!$Y$6:$Y$1005,AO$5))</f>
        <v>-151</v>
      </c>
      <c r="AP7" s="113">
        <f>IF(OR($B7="",AP$5=""),0,SUMIFS('Trade Log'!$Q$6:$Q$1005,'Trade Log'!$A$6:$A$1005,"&gt;="&amp;$B7,'Trade Log'!$A$6:$A$1005,"&lt;="&amp;($B7+6),'Trade Log'!$Y$6:$Y$1005,AP$5))</f>
        <v>320.9</v>
      </c>
      <c r="AQ7" s="113">
        <f>IF(OR($B7="",AQ$5=""),0,SUMIFS('Trade Log'!$Q$6:$Q$1005,'Trade Log'!$A$6:$A$1005,"&gt;="&amp;$B7,'Trade Log'!$A$6:$A$1005,"&lt;="&amp;($B7+6),'Trade Log'!$Y$6:$Y$1005,AQ$5))</f>
        <v>0</v>
      </c>
      <c r="AR7" s="113">
        <f>IF(OR($B7="",AR$5=""),0,SUMIFS('Trade Log'!$Q$6:$Q$1005,'Trade Log'!$A$6:$A$1005,"&gt;="&amp;$B7,'Trade Log'!$A$6:$A$1005,"&lt;="&amp;($B7+6),'Trade Log'!$Y$6:$Y$1005,AR$5))</f>
        <v>0</v>
      </c>
      <c r="AS7" s="113">
        <f>IF(OR($B7="",AS$5=""),0,SUMIFS('Trade Log'!$Q$6:$Q$1005,'Trade Log'!$A$6:$A$1005,"&gt;="&amp;$B7,'Trade Log'!$A$6:$A$1005,"&lt;="&amp;($B7+6),'Trade Log'!$Y$6:$Y$1005,AS$5))</f>
        <v>0</v>
      </c>
      <c r="AT7" s="113">
        <f>IF(OR($B7="",AT$5=""),0,SUMIFS('Trade Log'!$Q$6:$Q$1005,'Trade Log'!$A$6:$A$1005,"&gt;="&amp;$B7,'Trade Log'!$A$6:$A$1005,"&lt;="&amp;($B7+6),'Trade Log'!$Y$6:$Y$1005,AT$5))</f>
        <v>0</v>
      </c>
      <c r="AU7" s="113">
        <f>IF(OR($B7="",AU$5=""),0,SUMIFS('Trade Log'!$Q$6:$Q$1005,'Trade Log'!$A$6:$A$1005,"&gt;="&amp;$B7,'Trade Log'!$A$6:$A$1005,"&lt;="&amp;($B7+6),'Trade Log'!$Y$6:$Y$1005,AU$5))</f>
        <v>0</v>
      </c>
      <c r="AV7" s="113">
        <f>IF(OR($B7="",AV$5=""),0,SUMIFS('Trade Log'!$Q$6:$Q$1005,'Trade Log'!$A$6:$A$1005,"&gt;="&amp;$B7,'Trade Log'!$A$6:$A$1005,"&lt;="&amp;($B7+6),'Trade Log'!$Y$6:$Y$1005,AV$5))</f>
        <v>0</v>
      </c>
    </row>
    <row r="8">
      <c r="B8" s="107">
        <f>IF($B7="","",$B7+7)</f>
        <v>46300</v>
      </c>
      <c r="C8" s="96">
        <f>IF($B8="","",COUNTIFS('Trade Log'!$A$6:$A$1005,"&gt;="&amp;$B8,'Trade Log'!$A$6:$A$1005,"&lt;="&amp;($B8+6),'Trade Log'!$BH$6:$BH$1005,1))</f>
        <v>3</v>
      </c>
      <c r="D8" s="98">
        <f>IF(OR($B8="",N($C8)=0),"",SUMIFS('Trade Log'!$Q$6:$Q$1005,'Trade Log'!$A$6:$A$1005,"&gt;="&amp;$B8,'Trade Log'!$A$6:$A$1005,"&lt;="&amp;($B8+6)))</f>
        <v>334.311</v>
      </c>
      <c r="E8" s="99">
        <f>IF(OR($B8="",N($C8)=0),"",IFERROR(COUNTIFS('Trade Log'!$A$6:$A$1005,"&gt;="&amp;$B8,'Trade Log'!$A$6:$A$1005,"&lt;="&amp;($B8+6),'Trade Log'!$S$6:$S$1005,"Win")/(COUNTIFS('Trade Log'!$A$6:$A$1005,"&gt;="&amp;$B8,'Trade Log'!$A$6:$A$1005,"&lt;="&amp;($B8+6),'Trade Log'!$S$6:$S$1005,"Win")+COUNTIFS('Trade Log'!$A$6:$A$1005,"&gt;="&amp;$B8,'Trade Log'!$A$6:$A$1005,"&lt;="&amp;($B8+6),'Trade Log'!$S$6:$S$1005,"Loss")),"—"))</f>
        <v>1</v>
      </c>
      <c r="F8" s="104">
        <f>IF(OR($B8="",N($C8)=0),"",IFERROR(SUMIFS('Trade Log'!$R$6:$R$1005,'Trade Log'!$A$6:$A$1005,"&gt;="&amp;$B8,'Trade Log'!$A$6:$A$1005,"&lt;="&amp;($B8+6))/COUNTIFS('Trade Log'!$A$6:$A$1005,"&gt;="&amp;$B8,'Trade Log'!$A$6:$A$1005,"&lt;="&amp;($B8+6),'Trade Log'!$BC$6:$BC$1005,1),"—"))</f>
        <v>1.31111111111111</v>
      </c>
      <c r="G8" s="110" t="str">
        <f>IF(OR($B8="",N($C8)=0),"",IF(SUMIFS('Trade Log'!$Q$6:$Q$1005,'Trade Log'!$A$6:$A$1005,"&gt;="&amp;$B8,'Trade Log'!$A$6:$A$1005,"&lt;="&amp;($B8+6),'Trade Log'!$Q$6:$Q$1005,"&lt;0")=0,IF(SUMIFS('Trade Log'!$Q$6:$Q$1005,'Trade Log'!$A$6:$A$1005,"&gt;="&amp;$B8,'Trade Log'!$A$6:$A$1005,"&lt;="&amp;($B8+6),'Trade Log'!$Q$6:$Q$1005,"&gt;0")&gt;0,"No losses","—"),SUMIFS('Trade Log'!$Q$6:$Q$1005,'Trade Log'!$A$6:$A$1005,"&gt;="&amp;$B8,'Trade Log'!$A$6:$A$1005,"&lt;="&amp;($B8+6),'Trade Log'!$Q$6:$Q$1005,"&gt;0")/-SUMIFS('Trade Log'!$Q$6:$Q$1005,'Trade Log'!$A$6:$A$1005,"&gt;="&amp;$B8,'Trade Log'!$A$6:$A$1005,"&lt;="&amp;($B8+6),'Trade Log'!$Q$6:$Q$1005,"&lt;0")))</f>
        <v>No losses</v>
      </c>
      <c r="H8" s="99">
        <f>IF(OR($B8="",N($C8)=0),"",IFERROR(COUNTIFS('Trade Log'!$A$6:$A$1005,"&gt;="&amp;$B8,'Trade Log'!$A$6:$A$1005,"&lt;="&amp;($B8+6),'Trade Log'!$Z$6:$Z$1005,"Yes")/(COUNTIFS('Trade Log'!$A$6:$A$1005,"&gt;="&amp;$B8,'Trade Log'!$A$6:$A$1005,"&lt;="&amp;($B8+6),'Trade Log'!$Z$6:$Z$1005,"Yes")+COUNTIFS('Trade Log'!$A$6:$A$1005,"&gt;="&amp;$B8,'Trade Log'!$A$6:$A$1005,"&lt;="&amp;($B8+6),'Trade Log'!$Z$6:$Z$1005,"No")),"—"))</f>
        <v>0.333333333333333</v>
      </c>
      <c r="I8" s="111" t="str">
        <f>IF(OR($B8="",N($C8)=0),"",IF(MAX($Q8:$AB8)=0,"None — clean week",INDEX($Q$5:$AB$5,MATCH(MAX($Q8:$AB8),$Q8:$AB8,0))))</f>
        <v>Took profit too early</v>
      </c>
      <c r="J8" s="111" t="str">
        <f>IF(OR($B8="",N($C8)=0),"",IF(MIN($AC8:$AL8)&gt;=0,"None lost money",INDEX($AC$5:$AL$5,MATCH(MIN($AC8:$AL8),$AC8:$AL8,0))))</f>
        <v>None lost money</v>
      </c>
      <c r="K8" s="111" t="str">
        <f>IF(OR($B8="",N($C8)=0),"",IF(MAX($AM8:$AV8)&lt;=0,"None made money",INDEX($AM$5:$AV$5,MATCH(MAX($AM8:$AV8),$AM8:$AV8,0))))</f>
        <v>Breakout &amp; Retest</v>
      </c>
      <c r="L8" s="106" t="n"/>
      <c r="M8" s="106" t="n"/>
      <c r="N8" s="112" t="n"/>
      <c r="O8" s="29" t="n"/>
      <c r="Q8" s="109">
        <f>IF(OR($B8="",Q$5=""),0,COUNTIFS('Trade Log'!$A$6:$A$1005,"&gt;="&amp;$B8,'Trade Log'!$A$6:$A$1005,"&lt;="&amp;($B8+6),'Trade Log'!$AB$6:$AB$1005,Q$5))</f>
        <v>0</v>
      </c>
      <c r="R8" s="109">
        <f>IF(OR($B8="",R$5=""),0,COUNTIFS('Trade Log'!$A$6:$A$1005,"&gt;="&amp;$B8,'Trade Log'!$A$6:$A$1005,"&lt;="&amp;($B8+6),'Trade Log'!$AB$6:$AB$1005,R$5))</f>
        <v>0</v>
      </c>
      <c r="S8" s="109">
        <f>IF(OR($B8="",S$5=""),0,COUNTIFS('Trade Log'!$A$6:$A$1005,"&gt;="&amp;$B8,'Trade Log'!$A$6:$A$1005,"&lt;="&amp;($B8+6),'Trade Log'!$AB$6:$AB$1005,S$5))</f>
        <v>0</v>
      </c>
      <c r="T8" s="109">
        <f>IF(OR($B8="",T$5=""),0,COUNTIFS('Trade Log'!$A$6:$A$1005,"&gt;="&amp;$B8,'Trade Log'!$A$6:$A$1005,"&lt;="&amp;($B8+6),'Trade Log'!$AB$6:$AB$1005,T$5))</f>
        <v>0</v>
      </c>
      <c r="U8" s="109">
        <f>IF(OR($B8="",U$5=""),0,COUNTIFS('Trade Log'!$A$6:$A$1005,"&gt;="&amp;$B8,'Trade Log'!$A$6:$A$1005,"&lt;="&amp;($B8+6),'Trade Log'!$AB$6:$AB$1005,U$5))</f>
        <v>0</v>
      </c>
      <c r="V8" s="109">
        <f>IF(OR($B8="",V$5=""),0,COUNTIFS('Trade Log'!$A$6:$A$1005,"&gt;="&amp;$B8,'Trade Log'!$A$6:$A$1005,"&lt;="&amp;($B8+6),'Trade Log'!$AB$6:$AB$1005,V$5))</f>
        <v>2</v>
      </c>
      <c r="W8" s="109">
        <f>IF(OR($B8="",W$5=""),0,COUNTIFS('Trade Log'!$A$6:$A$1005,"&gt;="&amp;$B8,'Trade Log'!$A$6:$A$1005,"&lt;="&amp;($B8+6),'Trade Log'!$AB$6:$AB$1005,W$5))</f>
        <v>0</v>
      </c>
      <c r="X8" s="109">
        <f>IF(OR($B8="",X$5=""),0,COUNTIFS('Trade Log'!$A$6:$A$1005,"&gt;="&amp;$B8,'Trade Log'!$A$6:$A$1005,"&lt;="&amp;($B8+6),'Trade Log'!$AB$6:$AB$1005,X$5))</f>
        <v>0</v>
      </c>
      <c r="Y8" s="109">
        <f>IF(OR($B8="",Y$5=""),0,COUNTIFS('Trade Log'!$A$6:$A$1005,"&gt;="&amp;$B8,'Trade Log'!$A$6:$A$1005,"&lt;="&amp;($B8+6),'Trade Log'!$AB$6:$AB$1005,Y$5))</f>
        <v>0</v>
      </c>
      <c r="Z8" s="109">
        <f>IF(OR($B8="",Z$5=""),0,COUNTIFS('Trade Log'!$A$6:$A$1005,"&gt;="&amp;$B8,'Trade Log'!$A$6:$A$1005,"&lt;="&amp;($B8+6),'Trade Log'!$AB$6:$AB$1005,Z$5))</f>
        <v>0</v>
      </c>
      <c r="AA8" s="109">
        <f>IF(OR($B8="",AA$5=""),0,COUNTIFS('Trade Log'!$A$6:$A$1005,"&gt;="&amp;$B8,'Trade Log'!$A$6:$A$1005,"&lt;="&amp;($B8+6),'Trade Log'!$AB$6:$AB$1005,AA$5))</f>
        <v>0</v>
      </c>
      <c r="AB8" s="109">
        <f>IF(OR($B8="",AB$5=""),0,COUNTIFS('Trade Log'!$A$6:$A$1005,"&gt;="&amp;$B8,'Trade Log'!$A$6:$A$1005,"&lt;="&amp;($B8+6),'Trade Log'!$AB$6:$AB$1005,AB$5))</f>
        <v>0</v>
      </c>
      <c r="AC8" s="113">
        <f>IF(OR($B8="",AC$5=""),0,SUMIFS('Trade Log'!$Q$6:$Q$1005,'Trade Log'!$A$6:$A$1005,"&gt;="&amp;$B8,'Trade Log'!$A$6:$A$1005,"&lt;="&amp;($B8+6),'Trade Log'!$AA$6:$AA$1005,AC$5))</f>
        <v>238</v>
      </c>
      <c r="AD8" s="113">
        <f>IF(OR($B8="",AD$5=""),0,SUMIFS('Trade Log'!$Q$6:$Q$1005,'Trade Log'!$A$6:$A$1005,"&gt;="&amp;$B8,'Trade Log'!$A$6:$A$1005,"&lt;="&amp;($B8+6),'Trade Log'!$AA$6:$AA$1005,AD$5))</f>
        <v>0</v>
      </c>
      <c r="AE8" s="113">
        <f>IF(OR($B8="",AE$5=""),0,SUMIFS('Trade Log'!$Q$6:$Q$1005,'Trade Log'!$A$6:$A$1005,"&gt;="&amp;$B8,'Trade Log'!$A$6:$A$1005,"&lt;="&amp;($B8+6),'Trade Log'!$AA$6:$AA$1005,AE$5))</f>
        <v>0</v>
      </c>
      <c r="AF8" s="113">
        <f>IF(OR($B8="",AF$5=""),0,SUMIFS('Trade Log'!$Q$6:$Q$1005,'Trade Log'!$A$6:$A$1005,"&gt;="&amp;$B8,'Trade Log'!$A$6:$A$1005,"&lt;="&amp;($B8+6),'Trade Log'!$AA$6:$AA$1005,AF$5))</f>
        <v>96.311</v>
      </c>
      <c r="AG8" s="113">
        <f>IF(OR($B8="",AG$5=""),0,SUMIFS('Trade Log'!$Q$6:$Q$1005,'Trade Log'!$A$6:$A$1005,"&gt;="&amp;$B8,'Trade Log'!$A$6:$A$1005,"&lt;="&amp;($B8+6),'Trade Log'!$AA$6:$AA$1005,AG$5))</f>
        <v>0</v>
      </c>
      <c r="AH8" s="113">
        <f>IF(OR($B8="",AH$5=""),0,SUMIFS('Trade Log'!$Q$6:$Q$1005,'Trade Log'!$A$6:$A$1005,"&gt;="&amp;$B8,'Trade Log'!$A$6:$A$1005,"&lt;="&amp;($B8+6),'Trade Log'!$AA$6:$AA$1005,AH$5))</f>
        <v>0</v>
      </c>
      <c r="AI8" s="113">
        <f>IF(OR($B8="",AI$5=""),0,SUMIFS('Trade Log'!$Q$6:$Q$1005,'Trade Log'!$A$6:$A$1005,"&gt;="&amp;$B8,'Trade Log'!$A$6:$A$1005,"&lt;="&amp;($B8+6),'Trade Log'!$AA$6:$AA$1005,AI$5))</f>
        <v>0</v>
      </c>
      <c r="AJ8" s="113">
        <f>IF(OR($B8="",AJ$5=""),0,SUMIFS('Trade Log'!$Q$6:$Q$1005,'Trade Log'!$A$6:$A$1005,"&gt;="&amp;$B8,'Trade Log'!$A$6:$A$1005,"&lt;="&amp;($B8+6),'Trade Log'!$AA$6:$AA$1005,AJ$5))</f>
        <v>0</v>
      </c>
      <c r="AK8" s="113">
        <f>IF(OR($B8="",AK$5=""),0,SUMIFS('Trade Log'!$Q$6:$Q$1005,'Trade Log'!$A$6:$A$1005,"&gt;="&amp;$B8,'Trade Log'!$A$6:$A$1005,"&lt;="&amp;($B8+6),'Trade Log'!$AA$6:$AA$1005,AK$5))</f>
        <v>0</v>
      </c>
      <c r="AL8" s="113">
        <f>IF(OR($B8="",AL$5=""),0,SUMIFS('Trade Log'!$Q$6:$Q$1005,'Trade Log'!$A$6:$A$1005,"&gt;="&amp;$B8,'Trade Log'!$A$6:$A$1005,"&lt;="&amp;($B8+6),'Trade Log'!$AA$6:$AA$1005,AL$5))</f>
        <v>0</v>
      </c>
      <c r="AM8" s="113">
        <f>IF(OR($B8="",AM$5=""),0,SUMIFS('Trade Log'!$Q$6:$Q$1005,'Trade Log'!$A$6:$A$1005,"&gt;="&amp;$B8,'Trade Log'!$A$6:$A$1005,"&lt;="&amp;($B8+6),'Trade Log'!$Y$6:$Y$1005,AM$5))</f>
        <v>238</v>
      </c>
      <c r="AN8" s="113">
        <f>IF(OR($B8="",AN$5=""),0,SUMIFS('Trade Log'!$Q$6:$Q$1005,'Trade Log'!$A$6:$A$1005,"&gt;="&amp;$B8,'Trade Log'!$A$6:$A$1005,"&lt;="&amp;($B8+6),'Trade Log'!$Y$6:$Y$1005,AN$5))</f>
        <v>96.311</v>
      </c>
      <c r="AO8" s="113">
        <f>IF(OR($B8="",AO$5=""),0,SUMIFS('Trade Log'!$Q$6:$Q$1005,'Trade Log'!$A$6:$A$1005,"&gt;="&amp;$B8,'Trade Log'!$A$6:$A$1005,"&lt;="&amp;($B8+6),'Trade Log'!$Y$6:$Y$1005,AO$5))</f>
        <v>0</v>
      </c>
      <c r="AP8" s="113">
        <f>IF(OR($B8="",AP$5=""),0,SUMIFS('Trade Log'!$Q$6:$Q$1005,'Trade Log'!$A$6:$A$1005,"&gt;="&amp;$B8,'Trade Log'!$A$6:$A$1005,"&lt;="&amp;($B8+6),'Trade Log'!$Y$6:$Y$1005,AP$5))</f>
        <v>0</v>
      </c>
      <c r="AQ8" s="113">
        <f>IF(OR($B8="",AQ$5=""),0,SUMIFS('Trade Log'!$Q$6:$Q$1005,'Trade Log'!$A$6:$A$1005,"&gt;="&amp;$B8,'Trade Log'!$A$6:$A$1005,"&lt;="&amp;($B8+6),'Trade Log'!$Y$6:$Y$1005,AQ$5))</f>
        <v>0</v>
      </c>
      <c r="AR8" s="113">
        <f>IF(OR($B8="",AR$5=""),0,SUMIFS('Trade Log'!$Q$6:$Q$1005,'Trade Log'!$A$6:$A$1005,"&gt;="&amp;$B8,'Trade Log'!$A$6:$A$1005,"&lt;="&amp;($B8+6),'Trade Log'!$Y$6:$Y$1005,AR$5))</f>
        <v>0</v>
      </c>
      <c r="AS8" s="113">
        <f>IF(OR($B8="",AS$5=""),0,SUMIFS('Trade Log'!$Q$6:$Q$1005,'Trade Log'!$A$6:$A$1005,"&gt;="&amp;$B8,'Trade Log'!$A$6:$A$1005,"&lt;="&amp;($B8+6),'Trade Log'!$Y$6:$Y$1005,AS$5))</f>
        <v>0</v>
      </c>
      <c r="AT8" s="113">
        <f>IF(OR($B8="",AT$5=""),0,SUMIFS('Trade Log'!$Q$6:$Q$1005,'Trade Log'!$A$6:$A$1005,"&gt;="&amp;$B8,'Trade Log'!$A$6:$A$1005,"&lt;="&amp;($B8+6),'Trade Log'!$Y$6:$Y$1005,AT$5))</f>
        <v>0</v>
      </c>
      <c r="AU8" s="113">
        <f>IF(OR($B8="",AU$5=""),0,SUMIFS('Trade Log'!$Q$6:$Q$1005,'Trade Log'!$A$6:$A$1005,"&gt;="&amp;$B8,'Trade Log'!$A$6:$A$1005,"&lt;="&amp;($B8+6),'Trade Log'!$Y$6:$Y$1005,AU$5))</f>
        <v>0</v>
      </c>
      <c r="AV8" s="113">
        <f>IF(OR($B8="",AV$5=""),0,SUMIFS('Trade Log'!$Q$6:$Q$1005,'Trade Log'!$A$6:$A$1005,"&gt;="&amp;$B8,'Trade Log'!$A$6:$A$1005,"&lt;="&amp;($B8+6),'Trade Log'!$Y$6:$Y$1005,AV$5))</f>
        <v>0</v>
      </c>
    </row>
    <row r="9">
      <c r="B9" s="107">
        <f>IF($B8="","",$B8+7)</f>
        <v>46307</v>
      </c>
      <c r="C9" s="96">
        <f>IF($B9="","",COUNTIFS('Trade Log'!$A$6:$A$1005,"&gt;="&amp;$B9,'Trade Log'!$A$6:$A$1005,"&lt;="&amp;($B9+6),'Trade Log'!$BH$6:$BH$1005,1))</f>
        <v>0</v>
      </c>
      <c r="D9" s="98" t="str">
        <f>IF(OR($B9="",N($C9)=0),"",SUMIFS('Trade Log'!$Q$6:$Q$1005,'Trade Log'!$A$6:$A$1005,"&gt;="&amp;$B9,'Trade Log'!$A$6:$A$1005,"&lt;="&amp;($B9+6)))</f>
        <v/>
      </c>
      <c r="E9" s="99" t="str">
        <f>IF(OR($B9="",N($C9)=0),"",IFERROR(COUNTIFS('Trade Log'!$A$6:$A$1005,"&gt;="&amp;$B9,'Trade Log'!$A$6:$A$1005,"&lt;="&amp;($B9+6),'Trade Log'!$S$6:$S$1005,"Win")/(COUNTIFS('Trade Log'!$A$6:$A$1005,"&gt;="&amp;$B9,'Trade Log'!$A$6:$A$1005,"&lt;="&amp;($B9+6),'Trade Log'!$S$6:$S$1005,"Win")+COUNTIFS('Trade Log'!$A$6:$A$1005,"&gt;="&amp;$B9,'Trade Log'!$A$6:$A$1005,"&lt;="&amp;($B9+6),'Trade Log'!$S$6:$S$1005,"Loss")),"—"))</f>
        <v/>
      </c>
      <c r="F9" s="104" t="str">
        <f>IF(OR($B9="",N($C9)=0),"",IFERROR(SUMIFS('Trade Log'!$R$6:$R$1005,'Trade Log'!$A$6:$A$1005,"&gt;="&amp;$B9,'Trade Log'!$A$6:$A$1005,"&lt;="&amp;($B9+6))/COUNTIFS('Trade Log'!$A$6:$A$1005,"&gt;="&amp;$B9,'Trade Log'!$A$6:$A$1005,"&lt;="&amp;($B9+6),'Trade Log'!$BC$6:$BC$1005,1),"—"))</f>
        <v/>
      </c>
      <c r="G9" s="110" t="str">
        <f>IF(OR($B9="",N($C9)=0),"",IF(SUMIFS('Trade Log'!$Q$6:$Q$1005,'Trade Log'!$A$6:$A$1005,"&gt;="&amp;$B9,'Trade Log'!$A$6:$A$1005,"&lt;="&amp;($B9+6),'Trade Log'!$Q$6:$Q$1005,"&lt;0")=0,IF(SUMIFS('Trade Log'!$Q$6:$Q$1005,'Trade Log'!$A$6:$A$1005,"&gt;="&amp;$B9,'Trade Log'!$A$6:$A$1005,"&lt;="&amp;($B9+6),'Trade Log'!$Q$6:$Q$1005,"&gt;0")&gt;0,"No losses","—"),SUMIFS('Trade Log'!$Q$6:$Q$1005,'Trade Log'!$A$6:$A$1005,"&gt;="&amp;$B9,'Trade Log'!$A$6:$A$1005,"&lt;="&amp;($B9+6),'Trade Log'!$Q$6:$Q$1005,"&gt;0")/-SUMIFS('Trade Log'!$Q$6:$Q$1005,'Trade Log'!$A$6:$A$1005,"&gt;="&amp;$B9,'Trade Log'!$A$6:$A$1005,"&lt;="&amp;($B9+6),'Trade Log'!$Q$6:$Q$1005,"&lt;0")))</f>
        <v/>
      </c>
      <c r="H9" s="99" t="str">
        <f>IF(OR($B9="",N($C9)=0),"",IFERROR(COUNTIFS('Trade Log'!$A$6:$A$1005,"&gt;="&amp;$B9,'Trade Log'!$A$6:$A$1005,"&lt;="&amp;($B9+6),'Trade Log'!$Z$6:$Z$1005,"Yes")/(COUNTIFS('Trade Log'!$A$6:$A$1005,"&gt;="&amp;$B9,'Trade Log'!$A$6:$A$1005,"&lt;="&amp;($B9+6),'Trade Log'!$Z$6:$Z$1005,"Yes")+COUNTIFS('Trade Log'!$A$6:$A$1005,"&gt;="&amp;$B9,'Trade Log'!$A$6:$A$1005,"&lt;="&amp;($B9+6),'Trade Log'!$Z$6:$Z$1005,"No")),"—"))</f>
        <v/>
      </c>
      <c r="I9" s="111" t="str">
        <f>IF(OR($B9="",N($C9)=0),"",IF(MAX($Q9:$AB9)=0,"None — clean week",INDEX($Q$5:$AB$5,MATCH(MAX($Q9:$AB9),$Q9:$AB9,0))))</f>
        <v/>
      </c>
      <c r="J9" s="111" t="str">
        <f>IF(OR($B9="",N($C9)=0),"",IF(MIN($AC9:$AL9)&gt;=0,"None lost money",INDEX($AC$5:$AL$5,MATCH(MIN($AC9:$AL9),$AC9:$AL9,0))))</f>
        <v/>
      </c>
      <c r="K9" s="111" t="str">
        <f>IF(OR($B9="",N($C9)=0),"",IF(MAX($AM9:$AV9)&lt;=0,"None made money",INDEX($AM$5:$AV$5,MATCH(MAX($AM9:$AV9),$AM9:$AV9,0))))</f>
        <v/>
      </c>
      <c r="L9" s="106" t="n"/>
      <c r="M9" s="106" t="n"/>
      <c r="N9" s="112" t="n"/>
      <c r="O9" s="29" t="n"/>
      <c r="Q9" s="109">
        <f>IF(OR($B9="",Q$5=""),0,COUNTIFS('Trade Log'!$A$6:$A$1005,"&gt;="&amp;$B9,'Trade Log'!$A$6:$A$1005,"&lt;="&amp;($B9+6),'Trade Log'!$AB$6:$AB$1005,Q$5))</f>
        <v>0</v>
      </c>
      <c r="R9" s="109">
        <f>IF(OR($B9="",R$5=""),0,COUNTIFS('Trade Log'!$A$6:$A$1005,"&gt;="&amp;$B9,'Trade Log'!$A$6:$A$1005,"&lt;="&amp;($B9+6),'Trade Log'!$AB$6:$AB$1005,R$5))</f>
        <v>0</v>
      </c>
      <c r="S9" s="109">
        <f>IF(OR($B9="",S$5=""),0,COUNTIFS('Trade Log'!$A$6:$A$1005,"&gt;="&amp;$B9,'Trade Log'!$A$6:$A$1005,"&lt;="&amp;($B9+6),'Trade Log'!$AB$6:$AB$1005,S$5))</f>
        <v>0</v>
      </c>
      <c r="T9" s="109">
        <f>IF(OR($B9="",T$5=""),0,COUNTIFS('Trade Log'!$A$6:$A$1005,"&gt;="&amp;$B9,'Trade Log'!$A$6:$A$1005,"&lt;="&amp;($B9+6),'Trade Log'!$AB$6:$AB$1005,T$5))</f>
        <v>0</v>
      </c>
      <c r="U9" s="109">
        <f>IF(OR($B9="",U$5=""),0,COUNTIFS('Trade Log'!$A$6:$A$1005,"&gt;="&amp;$B9,'Trade Log'!$A$6:$A$1005,"&lt;="&amp;($B9+6),'Trade Log'!$AB$6:$AB$1005,U$5))</f>
        <v>0</v>
      </c>
      <c r="V9" s="109">
        <f>IF(OR($B9="",V$5=""),0,COUNTIFS('Trade Log'!$A$6:$A$1005,"&gt;="&amp;$B9,'Trade Log'!$A$6:$A$1005,"&lt;="&amp;($B9+6),'Trade Log'!$AB$6:$AB$1005,V$5))</f>
        <v>0</v>
      </c>
      <c r="W9" s="109">
        <f>IF(OR($B9="",W$5=""),0,COUNTIFS('Trade Log'!$A$6:$A$1005,"&gt;="&amp;$B9,'Trade Log'!$A$6:$A$1005,"&lt;="&amp;($B9+6),'Trade Log'!$AB$6:$AB$1005,W$5))</f>
        <v>0</v>
      </c>
      <c r="X9" s="109">
        <f>IF(OR($B9="",X$5=""),0,COUNTIFS('Trade Log'!$A$6:$A$1005,"&gt;="&amp;$B9,'Trade Log'!$A$6:$A$1005,"&lt;="&amp;($B9+6),'Trade Log'!$AB$6:$AB$1005,X$5))</f>
        <v>0</v>
      </c>
      <c r="Y9" s="109">
        <f>IF(OR($B9="",Y$5=""),0,COUNTIFS('Trade Log'!$A$6:$A$1005,"&gt;="&amp;$B9,'Trade Log'!$A$6:$A$1005,"&lt;="&amp;($B9+6),'Trade Log'!$AB$6:$AB$1005,Y$5))</f>
        <v>0</v>
      </c>
      <c r="Z9" s="109">
        <f>IF(OR($B9="",Z$5=""),0,COUNTIFS('Trade Log'!$A$6:$A$1005,"&gt;="&amp;$B9,'Trade Log'!$A$6:$A$1005,"&lt;="&amp;($B9+6),'Trade Log'!$AB$6:$AB$1005,Z$5))</f>
        <v>0</v>
      </c>
      <c r="AA9" s="109">
        <f>IF(OR($B9="",AA$5=""),0,COUNTIFS('Trade Log'!$A$6:$A$1005,"&gt;="&amp;$B9,'Trade Log'!$A$6:$A$1005,"&lt;="&amp;($B9+6),'Trade Log'!$AB$6:$AB$1005,AA$5))</f>
        <v>0</v>
      </c>
      <c r="AB9" s="109">
        <f>IF(OR($B9="",AB$5=""),0,COUNTIFS('Trade Log'!$A$6:$A$1005,"&gt;="&amp;$B9,'Trade Log'!$A$6:$A$1005,"&lt;="&amp;($B9+6),'Trade Log'!$AB$6:$AB$1005,AB$5))</f>
        <v>0</v>
      </c>
      <c r="AC9" s="113">
        <f>IF(OR($B9="",AC$5=""),0,SUMIFS('Trade Log'!$Q$6:$Q$1005,'Trade Log'!$A$6:$A$1005,"&gt;="&amp;$B9,'Trade Log'!$A$6:$A$1005,"&lt;="&amp;($B9+6),'Trade Log'!$AA$6:$AA$1005,AC$5))</f>
        <v>0</v>
      </c>
      <c r="AD9" s="113">
        <f>IF(OR($B9="",AD$5=""),0,SUMIFS('Trade Log'!$Q$6:$Q$1005,'Trade Log'!$A$6:$A$1005,"&gt;="&amp;$B9,'Trade Log'!$A$6:$A$1005,"&lt;="&amp;($B9+6),'Trade Log'!$AA$6:$AA$1005,AD$5))</f>
        <v>0</v>
      </c>
      <c r="AE9" s="113">
        <f>IF(OR($B9="",AE$5=""),0,SUMIFS('Trade Log'!$Q$6:$Q$1005,'Trade Log'!$A$6:$A$1005,"&gt;="&amp;$B9,'Trade Log'!$A$6:$A$1005,"&lt;="&amp;($B9+6),'Trade Log'!$AA$6:$AA$1005,AE$5))</f>
        <v>0</v>
      </c>
      <c r="AF9" s="113">
        <f>IF(OR($B9="",AF$5=""),0,SUMIFS('Trade Log'!$Q$6:$Q$1005,'Trade Log'!$A$6:$A$1005,"&gt;="&amp;$B9,'Trade Log'!$A$6:$A$1005,"&lt;="&amp;($B9+6),'Trade Log'!$AA$6:$AA$1005,AF$5))</f>
        <v>0</v>
      </c>
      <c r="AG9" s="113">
        <f>IF(OR($B9="",AG$5=""),0,SUMIFS('Trade Log'!$Q$6:$Q$1005,'Trade Log'!$A$6:$A$1005,"&gt;="&amp;$B9,'Trade Log'!$A$6:$A$1005,"&lt;="&amp;($B9+6),'Trade Log'!$AA$6:$AA$1005,AG$5))</f>
        <v>0</v>
      </c>
      <c r="AH9" s="113">
        <f>IF(OR($B9="",AH$5=""),0,SUMIFS('Trade Log'!$Q$6:$Q$1005,'Trade Log'!$A$6:$A$1005,"&gt;="&amp;$B9,'Trade Log'!$A$6:$A$1005,"&lt;="&amp;($B9+6),'Trade Log'!$AA$6:$AA$1005,AH$5))</f>
        <v>0</v>
      </c>
      <c r="AI9" s="113">
        <f>IF(OR($B9="",AI$5=""),0,SUMIFS('Trade Log'!$Q$6:$Q$1005,'Trade Log'!$A$6:$A$1005,"&gt;="&amp;$B9,'Trade Log'!$A$6:$A$1005,"&lt;="&amp;($B9+6),'Trade Log'!$AA$6:$AA$1005,AI$5))</f>
        <v>0</v>
      </c>
      <c r="AJ9" s="113">
        <f>IF(OR($B9="",AJ$5=""),0,SUMIFS('Trade Log'!$Q$6:$Q$1005,'Trade Log'!$A$6:$A$1005,"&gt;="&amp;$B9,'Trade Log'!$A$6:$A$1005,"&lt;="&amp;($B9+6),'Trade Log'!$AA$6:$AA$1005,AJ$5))</f>
        <v>0</v>
      </c>
      <c r="AK9" s="113">
        <f>IF(OR($B9="",AK$5=""),0,SUMIFS('Trade Log'!$Q$6:$Q$1005,'Trade Log'!$A$6:$A$1005,"&gt;="&amp;$B9,'Trade Log'!$A$6:$A$1005,"&lt;="&amp;($B9+6),'Trade Log'!$AA$6:$AA$1005,AK$5))</f>
        <v>0</v>
      </c>
      <c r="AL9" s="113">
        <f>IF(OR($B9="",AL$5=""),0,SUMIFS('Trade Log'!$Q$6:$Q$1005,'Trade Log'!$A$6:$A$1005,"&gt;="&amp;$B9,'Trade Log'!$A$6:$A$1005,"&lt;="&amp;($B9+6),'Trade Log'!$AA$6:$AA$1005,AL$5))</f>
        <v>0</v>
      </c>
      <c r="AM9" s="113">
        <f>IF(OR($B9="",AM$5=""),0,SUMIFS('Trade Log'!$Q$6:$Q$1005,'Trade Log'!$A$6:$A$1005,"&gt;="&amp;$B9,'Trade Log'!$A$6:$A$1005,"&lt;="&amp;($B9+6),'Trade Log'!$Y$6:$Y$1005,AM$5))</f>
        <v>0</v>
      </c>
      <c r="AN9" s="113">
        <f>IF(OR($B9="",AN$5=""),0,SUMIFS('Trade Log'!$Q$6:$Q$1005,'Trade Log'!$A$6:$A$1005,"&gt;="&amp;$B9,'Trade Log'!$A$6:$A$1005,"&lt;="&amp;($B9+6),'Trade Log'!$Y$6:$Y$1005,AN$5))</f>
        <v>0</v>
      </c>
      <c r="AO9" s="113">
        <f>IF(OR($B9="",AO$5=""),0,SUMIFS('Trade Log'!$Q$6:$Q$1005,'Trade Log'!$A$6:$A$1005,"&gt;="&amp;$B9,'Trade Log'!$A$6:$A$1005,"&lt;="&amp;($B9+6),'Trade Log'!$Y$6:$Y$1005,AO$5))</f>
        <v>0</v>
      </c>
      <c r="AP9" s="113">
        <f>IF(OR($B9="",AP$5=""),0,SUMIFS('Trade Log'!$Q$6:$Q$1005,'Trade Log'!$A$6:$A$1005,"&gt;="&amp;$B9,'Trade Log'!$A$6:$A$1005,"&lt;="&amp;($B9+6),'Trade Log'!$Y$6:$Y$1005,AP$5))</f>
        <v>0</v>
      </c>
      <c r="AQ9" s="113">
        <f>IF(OR($B9="",AQ$5=""),0,SUMIFS('Trade Log'!$Q$6:$Q$1005,'Trade Log'!$A$6:$A$1005,"&gt;="&amp;$B9,'Trade Log'!$A$6:$A$1005,"&lt;="&amp;($B9+6),'Trade Log'!$Y$6:$Y$1005,AQ$5))</f>
        <v>0</v>
      </c>
      <c r="AR9" s="113">
        <f>IF(OR($B9="",AR$5=""),0,SUMIFS('Trade Log'!$Q$6:$Q$1005,'Trade Log'!$A$6:$A$1005,"&gt;="&amp;$B9,'Trade Log'!$A$6:$A$1005,"&lt;="&amp;($B9+6),'Trade Log'!$Y$6:$Y$1005,AR$5))</f>
        <v>0</v>
      </c>
      <c r="AS9" s="113">
        <f>IF(OR($B9="",AS$5=""),0,SUMIFS('Trade Log'!$Q$6:$Q$1005,'Trade Log'!$A$6:$A$1005,"&gt;="&amp;$B9,'Trade Log'!$A$6:$A$1005,"&lt;="&amp;($B9+6),'Trade Log'!$Y$6:$Y$1005,AS$5))</f>
        <v>0</v>
      </c>
      <c r="AT9" s="113">
        <f>IF(OR($B9="",AT$5=""),0,SUMIFS('Trade Log'!$Q$6:$Q$1005,'Trade Log'!$A$6:$A$1005,"&gt;="&amp;$B9,'Trade Log'!$A$6:$A$1005,"&lt;="&amp;($B9+6),'Trade Log'!$Y$6:$Y$1005,AT$5))</f>
        <v>0</v>
      </c>
      <c r="AU9" s="113">
        <f>IF(OR($B9="",AU$5=""),0,SUMIFS('Trade Log'!$Q$6:$Q$1005,'Trade Log'!$A$6:$A$1005,"&gt;="&amp;$B9,'Trade Log'!$A$6:$A$1005,"&lt;="&amp;($B9+6),'Trade Log'!$Y$6:$Y$1005,AU$5))</f>
        <v>0</v>
      </c>
      <c r="AV9" s="113">
        <f>IF(OR($B9="",AV$5=""),0,SUMIFS('Trade Log'!$Q$6:$Q$1005,'Trade Log'!$A$6:$A$1005,"&gt;="&amp;$B9,'Trade Log'!$A$6:$A$1005,"&lt;="&amp;($B9+6),'Trade Log'!$Y$6:$Y$1005,AV$5))</f>
        <v>0</v>
      </c>
    </row>
    <row r="10">
      <c r="B10" s="107">
        <f>IF($B9="","",$B9+7)</f>
        <v>46314</v>
      </c>
      <c r="C10" s="96">
        <f>IF($B10="","",COUNTIFS('Trade Log'!$A$6:$A$1005,"&gt;="&amp;$B10,'Trade Log'!$A$6:$A$1005,"&lt;="&amp;($B10+6),'Trade Log'!$BH$6:$BH$1005,1))</f>
        <v>0</v>
      </c>
      <c r="D10" s="98" t="str">
        <f>IF(OR($B10="",N($C10)=0),"",SUMIFS('Trade Log'!$Q$6:$Q$1005,'Trade Log'!$A$6:$A$1005,"&gt;="&amp;$B10,'Trade Log'!$A$6:$A$1005,"&lt;="&amp;($B10+6)))</f>
        <v/>
      </c>
      <c r="E10" s="99" t="str">
        <f>IF(OR($B10="",N($C10)=0),"",IFERROR(COUNTIFS('Trade Log'!$A$6:$A$1005,"&gt;="&amp;$B10,'Trade Log'!$A$6:$A$1005,"&lt;="&amp;($B10+6),'Trade Log'!$S$6:$S$1005,"Win")/(COUNTIFS('Trade Log'!$A$6:$A$1005,"&gt;="&amp;$B10,'Trade Log'!$A$6:$A$1005,"&lt;="&amp;($B10+6),'Trade Log'!$S$6:$S$1005,"Win")+COUNTIFS('Trade Log'!$A$6:$A$1005,"&gt;="&amp;$B10,'Trade Log'!$A$6:$A$1005,"&lt;="&amp;($B10+6),'Trade Log'!$S$6:$S$1005,"Loss")),"—"))</f>
        <v/>
      </c>
      <c r="F10" s="104" t="str">
        <f>IF(OR($B10="",N($C10)=0),"",IFERROR(SUMIFS('Trade Log'!$R$6:$R$1005,'Trade Log'!$A$6:$A$1005,"&gt;="&amp;$B10,'Trade Log'!$A$6:$A$1005,"&lt;="&amp;($B10+6))/COUNTIFS('Trade Log'!$A$6:$A$1005,"&gt;="&amp;$B10,'Trade Log'!$A$6:$A$1005,"&lt;="&amp;($B10+6),'Trade Log'!$BC$6:$BC$1005,1),"—"))</f>
        <v/>
      </c>
      <c r="G10" s="110" t="str">
        <f>IF(OR($B10="",N($C10)=0),"",IF(SUMIFS('Trade Log'!$Q$6:$Q$1005,'Trade Log'!$A$6:$A$1005,"&gt;="&amp;$B10,'Trade Log'!$A$6:$A$1005,"&lt;="&amp;($B10+6),'Trade Log'!$Q$6:$Q$1005,"&lt;0")=0,IF(SUMIFS('Trade Log'!$Q$6:$Q$1005,'Trade Log'!$A$6:$A$1005,"&gt;="&amp;$B10,'Trade Log'!$A$6:$A$1005,"&lt;="&amp;($B10+6),'Trade Log'!$Q$6:$Q$1005,"&gt;0")&gt;0,"No losses","—"),SUMIFS('Trade Log'!$Q$6:$Q$1005,'Trade Log'!$A$6:$A$1005,"&gt;="&amp;$B10,'Trade Log'!$A$6:$A$1005,"&lt;="&amp;($B10+6),'Trade Log'!$Q$6:$Q$1005,"&gt;0")/-SUMIFS('Trade Log'!$Q$6:$Q$1005,'Trade Log'!$A$6:$A$1005,"&gt;="&amp;$B10,'Trade Log'!$A$6:$A$1005,"&lt;="&amp;($B10+6),'Trade Log'!$Q$6:$Q$1005,"&lt;0")))</f>
        <v/>
      </c>
      <c r="H10" s="99" t="str">
        <f>IF(OR($B10="",N($C10)=0),"",IFERROR(COUNTIFS('Trade Log'!$A$6:$A$1005,"&gt;="&amp;$B10,'Trade Log'!$A$6:$A$1005,"&lt;="&amp;($B10+6),'Trade Log'!$Z$6:$Z$1005,"Yes")/(COUNTIFS('Trade Log'!$A$6:$A$1005,"&gt;="&amp;$B10,'Trade Log'!$A$6:$A$1005,"&lt;="&amp;($B10+6),'Trade Log'!$Z$6:$Z$1005,"Yes")+COUNTIFS('Trade Log'!$A$6:$A$1005,"&gt;="&amp;$B10,'Trade Log'!$A$6:$A$1005,"&lt;="&amp;($B10+6),'Trade Log'!$Z$6:$Z$1005,"No")),"—"))</f>
        <v/>
      </c>
      <c r="I10" s="111" t="str">
        <f>IF(OR($B10="",N($C10)=0),"",IF(MAX($Q10:$AB10)=0,"None — clean week",INDEX($Q$5:$AB$5,MATCH(MAX($Q10:$AB10),$Q10:$AB10,0))))</f>
        <v/>
      </c>
      <c r="J10" s="111" t="str">
        <f>IF(OR($B10="",N($C10)=0),"",IF(MIN($AC10:$AL10)&gt;=0,"None lost money",INDEX($AC$5:$AL$5,MATCH(MIN($AC10:$AL10),$AC10:$AL10,0))))</f>
        <v/>
      </c>
      <c r="K10" s="111" t="str">
        <f>IF(OR($B10="",N($C10)=0),"",IF(MAX($AM10:$AV10)&lt;=0,"None made money",INDEX($AM$5:$AV$5,MATCH(MAX($AM10:$AV10),$AM10:$AV10,0))))</f>
        <v/>
      </c>
      <c r="L10" s="106" t="n"/>
      <c r="M10" s="106" t="n"/>
      <c r="N10" s="112" t="n"/>
      <c r="O10" s="29" t="n"/>
      <c r="Q10" s="109">
        <f>IF(OR($B10="",Q$5=""),0,COUNTIFS('Trade Log'!$A$6:$A$1005,"&gt;="&amp;$B10,'Trade Log'!$A$6:$A$1005,"&lt;="&amp;($B10+6),'Trade Log'!$AB$6:$AB$1005,Q$5))</f>
        <v>0</v>
      </c>
      <c r="R10" s="109">
        <f>IF(OR($B10="",R$5=""),0,COUNTIFS('Trade Log'!$A$6:$A$1005,"&gt;="&amp;$B10,'Trade Log'!$A$6:$A$1005,"&lt;="&amp;($B10+6),'Trade Log'!$AB$6:$AB$1005,R$5))</f>
        <v>0</v>
      </c>
      <c r="S10" s="109">
        <f>IF(OR($B10="",S$5=""),0,COUNTIFS('Trade Log'!$A$6:$A$1005,"&gt;="&amp;$B10,'Trade Log'!$A$6:$A$1005,"&lt;="&amp;($B10+6),'Trade Log'!$AB$6:$AB$1005,S$5))</f>
        <v>0</v>
      </c>
      <c r="T10" s="109">
        <f>IF(OR($B10="",T$5=""),0,COUNTIFS('Trade Log'!$A$6:$A$1005,"&gt;="&amp;$B10,'Trade Log'!$A$6:$A$1005,"&lt;="&amp;($B10+6),'Trade Log'!$AB$6:$AB$1005,T$5))</f>
        <v>0</v>
      </c>
      <c r="U10" s="109">
        <f>IF(OR($B10="",U$5=""),0,COUNTIFS('Trade Log'!$A$6:$A$1005,"&gt;="&amp;$B10,'Trade Log'!$A$6:$A$1005,"&lt;="&amp;($B10+6),'Trade Log'!$AB$6:$AB$1005,U$5))</f>
        <v>0</v>
      </c>
      <c r="V10" s="109">
        <f>IF(OR($B10="",V$5=""),0,COUNTIFS('Trade Log'!$A$6:$A$1005,"&gt;="&amp;$B10,'Trade Log'!$A$6:$A$1005,"&lt;="&amp;($B10+6),'Trade Log'!$AB$6:$AB$1005,V$5))</f>
        <v>0</v>
      </c>
      <c r="W10" s="109">
        <f>IF(OR($B10="",W$5=""),0,COUNTIFS('Trade Log'!$A$6:$A$1005,"&gt;="&amp;$B10,'Trade Log'!$A$6:$A$1005,"&lt;="&amp;($B10+6),'Trade Log'!$AB$6:$AB$1005,W$5))</f>
        <v>0</v>
      </c>
      <c r="X10" s="109">
        <f>IF(OR($B10="",X$5=""),0,COUNTIFS('Trade Log'!$A$6:$A$1005,"&gt;="&amp;$B10,'Trade Log'!$A$6:$A$1005,"&lt;="&amp;($B10+6),'Trade Log'!$AB$6:$AB$1005,X$5))</f>
        <v>0</v>
      </c>
      <c r="Y10" s="109">
        <f>IF(OR($B10="",Y$5=""),0,COUNTIFS('Trade Log'!$A$6:$A$1005,"&gt;="&amp;$B10,'Trade Log'!$A$6:$A$1005,"&lt;="&amp;($B10+6),'Trade Log'!$AB$6:$AB$1005,Y$5))</f>
        <v>0</v>
      </c>
      <c r="Z10" s="109">
        <f>IF(OR($B10="",Z$5=""),0,COUNTIFS('Trade Log'!$A$6:$A$1005,"&gt;="&amp;$B10,'Trade Log'!$A$6:$A$1005,"&lt;="&amp;($B10+6),'Trade Log'!$AB$6:$AB$1005,Z$5))</f>
        <v>0</v>
      </c>
      <c r="AA10" s="109">
        <f>IF(OR($B10="",AA$5=""),0,COUNTIFS('Trade Log'!$A$6:$A$1005,"&gt;="&amp;$B10,'Trade Log'!$A$6:$A$1005,"&lt;="&amp;($B10+6),'Trade Log'!$AB$6:$AB$1005,AA$5))</f>
        <v>0</v>
      </c>
      <c r="AB10" s="109">
        <f>IF(OR($B10="",AB$5=""),0,COUNTIFS('Trade Log'!$A$6:$A$1005,"&gt;="&amp;$B10,'Trade Log'!$A$6:$A$1005,"&lt;="&amp;($B10+6),'Trade Log'!$AB$6:$AB$1005,AB$5))</f>
        <v>0</v>
      </c>
      <c r="AC10" s="113">
        <f>IF(OR($B10="",AC$5=""),0,SUMIFS('Trade Log'!$Q$6:$Q$1005,'Trade Log'!$A$6:$A$1005,"&gt;="&amp;$B10,'Trade Log'!$A$6:$A$1005,"&lt;="&amp;($B10+6),'Trade Log'!$AA$6:$AA$1005,AC$5))</f>
        <v>0</v>
      </c>
      <c r="AD10" s="113">
        <f>IF(OR($B10="",AD$5=""),0,SUMIFS('Trade Log'!$Q$6:$Q$1005,'Trade Log'!$A$6:$A$1005,"&gt;="&amp;$B10,'Trade Log'!$A$6:$A$1005,"&lt;="&amp;($B10+6),'Trade Log'!$AA$6:$AA$1005,AD$5))</f>
        <v>0</v>
      </c>
      <c r="AE10" s="113">
        <f>IF(OR($B10="",AE$5=""),0,SUMIFS('Trade Log'!$Q$6:$Q$1005,'Trade Log'!$A$6:$A$1005,"&gt;="&amp;$B10,'Trade Log'!$A$6:$A$1005,"&lt;="&amp;($B10+6),'Trade Log'!$AA$6:$AA$1005,AE$5))</f>
        <v>0</v>
      </c>
      <c r="AF10" s="113">
        <f>IF(OR($B10="",AF$5=""),0,SUMIFS('Trade Log'!$Q$6:$Q$1005,'Trade Log'!$A$6:$A$1005,"&gt;="&amp;$B10,'Trade Log'!$A$6:$A$1005,"&lt;="&amp;($B10+6),'Trade Log'!$AA$6:$AA$1005,AF$5))</f>
        <v>0</v>
      </c>
      <c r="AG10" s="113">
        <f>IF(OR($B10="",AG$5=""),0,SUMIFS('Trade Log'!$Q$6:$Q$1005,'Trade Log'!$A$6:$A$1005,"&gt;="&amp;$B10,'Trade Log'!$A$6:$A$1005,"&lt;="&amp;($B10+6),'Trade Log'!$AA$6:$AA$1005,AG$5))</f>
        <v>0</v>
      </c>
      <c r="AH10" s="113">
        <f>IF(OR($B10="",AH$5=""),0,SUMIFS('Trade Log'!$Q$6:$Q$1005,'Trade Log'!$A$6:$A$1005,"&gt;="&amp;$B10,'Trade Log'!$A$6:$A$1005,"&lt;="&amp;($B10+6),'Trade Log'!$AA$6:$AA$1005,AH$5))</f>
        <v>0</v>
      </c>
      <c r="AI10" s="113">
        <f>IF(OR($B10="",AI$5=""),0,SUMIFS('Trade Log'!$Q$6:$Q$1005,'Trade Log'!$A$6:$A$1005,"&gt;="&amp;$B10,'Trade Log'!$A$6:$A$1005,"&lt;="&amp;($B10+6),'Trade Log'!$AA$6:$AA$1005,AI$5))</f>
        <v>0</v>
      </c>
      <c r="AJ10" s="113">
        <f>IF(OR($B10="",AJ$5=""),0,SUMIFS('Trade Log'!$Q$6:$Q$1005,'Trade Log'!$A$6:$A$1005,"&gt;="&amp;$B10,'Trade Log'!$A$6:$A$1005,"&lt;="&amp;($B10+6),'Trade Log'!$AA$6:$AA$1005,AJ$5))</f>
        <v>0</v>
      </c>
      <c r="AK10" s="113">
        <f>IF(OR($B10="",AK$5=""),0,SUMIFS('Trade Log'!$Q$6:$Q$1005,'Trade Log'!$A$6:$A$1005,"&gt;="&amp;$B10,'Trade Log'!$A$6:$A$1005,"&lt;="&amp;($B10+6),'Trade Log'!$AA$6:$AA$1005,AK$5))</f>
        <v>0</v>
      </c>
      <c r="AL10" s="113">
        <f>IF(OR($B10="",AL$5=""),0,SUMIFS('Trade Log'!$Q$6:$Q$1005,'Trade Log'!$A$6:$A$1005,"&gt;="&amp;$B10,'Trade Log'!$A$6:$A$1005,"&lt;="&amp;($B10+6),'Trade Log'!$AA$6:$AA$1005,AL$5))</f>
        <v>0</v>
      </c>
      <c r="AM10" s="113">
        <f>IF(OR($B10="",AM$5=""),0,SUMIFS('Trade Log'!$Q$6:$Q$1005,'Trade Log'!$A$6:$A$1005,"&gt;="&amp;$B10,'Trade Log'!$A$6:$A$1005,"&lt;="&amp;($B10+6),'Trade Log'!$Y$6:$Y$1005,AM$5))</f>
        <v>0</v>
      </c>
      <c r="AN10" s="113">
        <f>IF(OR($B10="",AN$5=""),0,SUMIFS('Trade Log'!$Q$6:$Q$1005,'Trade Log'!$A$6:$A$1005,"&gt;="&amp;$B10,'Trade Log'!$A$6:$A$1005,"&lt;="&amp;($B10+6),'Trade Log'!$Y$6:$Y$1005,AN$5))</f>
        <v>0</v>
      </c>
      <c r="AO10" s="113">
        <f>IF(OR($B10="",AO$5=""),0,SUMIFS('Trade Log'!$Q$6:$Q$1005,'Trade Log'!$A$6:$A$1005,"&gt;="&amp;$B10,'Trade Log'!$A$6:$A$1005,"&lt;="&amp;($B10+6),'Trade Log'!$Y$6:$Y$1005,AO$5))</f>
        <v>0</v>
      </c>
      <c r="AP10" s="113">
        <f>IF(OR($B10="",AP$5=""),0,SUMIFS('Trade Log'!$Q$6:$Q$1005,'Trade Log'!$A$6:$A$1005,"&gt;="&amp;$B10,'Trade Log'!$A$6:$A$1005,"&lt;="&amp;($B10+6),'Trade Log'!$Y$6:$Y$1005,AP$5))</f>
        <v>0</v>
      </c>
      <c r="AQ10" s="113">
        <f>IF(OR($B10="",AQ$5=""),0,SUMIFS('Trade Log'!$Q$6:$Q$1005,'Trade Log'!$A$6:$A$1005,"&gt;="&amp;$B10,'Trade Log'!$A$6:$A$1005,"&lt;="&amp;($B10+6),'Trade Log'!$Y$6:$Y$1005,AQ$5))</f>
        <v>0</v>
      </c>
      <c r="AR10" s="113">
        <f>IF(OR($B10="",AR$5=""),0,SUMIFS('Trade Log'!$Q$6:$Q$1005,'Trade Log'!$A$6:$A$1005,"&gt;="&amp;$B10,'Trade Log'!$A$6:$A$1005,"&lt;="&amp;($B10+6),'Trade Log'!$Y$6:$Y$1005,AR$5))</f>
        <v>0</v>
      </c>
      <c r="AS10" s="113">
        <f>IF(OR($B10="",AS$5=""),0,SUMIFS('Trade Log'!$Q$6:$Q$1005,'Trade Log'!$A$6:$A$1005,"&gt;="&amp;$B10,'Trade Log'!$A$6:$A$1005,"&lt;="&amp;($B10+6),'Trade Log'!$Y$6:$Y$1005,AS$5))</f>
        <v>0</v>
      </c>
      <c r="AT10" s="113">
        <f>IF(OR($B10="",AT$5=""),0,SUMIFS('Trade Log'!$Q$6:$Q$1005,'Trade Log'!$A$6:$A$1005,"&gt;="&amp;$B10,'Trade Log'!$A$6:$A$1005,"&lt;="&amp;($B10+6),'Trade Log'!$Y$6:$Y$1005,AT$5))</f>
        <v>0</v>
      </c>
      <c r="AU10" s="113">
        <f>IF(OR($B10="",AU$5=""),0,SUMIFS('Trade Log'!$Q$6:$Q$1005,'Trade Log'!$A$6:$A$1005,"&gt;="&amp;$B10,'Trade Log'!$A$6:$A$1005,"&lt;="&amp;($B10+6),'Trade Log'!$Y$6:$Y$1005,AU$5))</f>
        <v>0</v>
      </c>
      <c r="AV10" s="113">
        <f>IF(OR($B10="",AV$5=""),0,SUMIFS('Trade Log'!$Q$6:$Q$1005,'Trade Log'!$A$6:$A$1005,"&gt;="&amp;$B10,'Trade Log'!$A$6:$A$1005,"&lt;="&amp;($B10+6),'Trade Log'!$Y$6:$Y$1005,AV$5))</f>
        <v>0</v>
      </c>
    </row>
    <row r="11">
      <c r="B11" s="107">
        <f>IF($B10="","",$B10+7)</f>
        <v>46321</v>
      </c>
      <c r="C11" s="96">
        <f>IF($B11="","",COUNTIFS('Trade Log'!$A$6:$A$1005,"&gt;="&amp;$B11,'Trade Log'!$A$6:$A$1005,"&lt;="&amp;($B11+6),'Trade Log'!$BH$6:$BH$1005,1))</f>
        <v>0</v>
      </c>
      <c r="D11" s="98" t="str">
        <f>IF(OR($B11="",N($C11)=0),"",SUMIFS('Trade Log'!$Q$6:$Q$1005,'Trade Log'!$A$6:$A$1005,"&gt;="&amp;$B11,'Trade Log'!$A$6:$A$1005,"&lt;="&amp;($B11+6)))</f>
        <v/>
      </c>
      <c r="E11" s="99" t="str">
        <f>IF(OR($B11="",N($C11)=0),"",IFERROR(COUNTIFS('Trade Log'!$A$6:$A$1005,"&gt;="&amp;$B11,'Trade Log'!$A$6:$A$1005,"&lt;="&amp;($B11+6),'Trade Log'!$S$6:$S$1005,"Win")/(COUNTIFS('Trade Log'!$A$6:$A$1005,"&gt;="&amp;$B11,'Trade Log'!$A$6:$A$1005,"&lt;="&amp;($B11+6),'Trade Log'!$S$6:$S$1005,"Win")+COUNTIFS('Trade Log'!$A$6:$A$1005,"&gt;="&amp;$B11,'Trade Log'!$A$6:$A$1005,"&lt;="&amp;($B11+6),'Trade Log'!$S$6:$S$1005,"Loss")),"—"))</f>
        <v/>
      </c>
      <c r="F11" s="104" t="str">
        <f>IF(OR($B11="",N($C11)=0),"",IFERROR(SUMIFS('Trade Log'!$R$6:$R$1005,'Trade Log'!$A$6:$A$1005,"&gt;="&amp;$B11,'Trade Log'!$A$6:$A$1005,"&lt;="&amp;($B11+6))/COUNTIFS('Trade Log'!$A$6:$A$1005,"&gt;="&amp;$B11,'Trade Log'!$A$6:$A$1005,"&lt;="&amp;($B11+6),'Trade Log'!$BC$6:$BC$1005,1),"—"))</f>
        <v/>
      </c>
      <c r="G11" s="110" t="str">
        <f>IF(OR($B11="",N($C11)=0),"",IF(SUMIFS('Trade Log'!$Q$6:$Q$1005,'Trade Log'!$A$6:$A$1005,"&gt;="&amp;$B11,'Trade Log'!$A$6:$A$1005,"&lt;="&amp;($B11+6),'Trade Log'!$Q$6:$Q$1005,"&lt;0")=0,IF(SUMIFS('Trade Log'!$Q$6:$Q$1005,'Trade Log'!$A$6:$A$1005,"&gt;="&amp;$B11,'Trade Log'!$A$6:$A$1005,"&lt;="&amp;($B11+6),'Trade Log'!$Q$6:$Q$1005,"&gt;0")&gt;0,"No losses","—"),SUMIFS('Trade Log'!$Q$6:$Q$1005,'Trade Log'!$A$6:$A$1005,"&gt;="&amp;$B11,'Trade Log'!$A$6:$A$1005,"&lt;="&amp;($B11+6),'Trade Log'!$Q$6:$Q$1005,"&gt;0")/-SUMIFS('Trade Log'!$Q$6:$Q$1005,'Trade Log'!$A$6:$A$1005,"&gt;="&amp;$B11,'Trade Log'!$A$6:$A$1005,"&lt;="&amp;($B11+6),'Trade Log'!$Q$6:$Q$1005,"&lt;0")))</f>
        <v/>
      </c>
      <c r="H11" s="99" t="str">
        <f>IF(OR($B11="",N($C11)=0),"",IFERROR(COUNTIFS('Trade Log'!$A$6:$A$1005,"&gt;="&amp;$B11,'Trade Log'!$A$6:$A$1005,"&lt;="&amp;($B11+6),'Trade Log'!$Z$6:$Z$1005,"Yes")/(COUNTIFS('Trade Log'!$A$6:$A$1005,"&gt;="&amp;$B11,'Trade Log'!$A$6:$A$1005,"&lt;="&amp;($B11+6),'Trade Log'!$Z$6:$Z$1005,"Yes")+COUNTIFS('Trade Log'!$A$6:$A$1005,"&gt;="&amp;$B11,'Trade Log'!$A$6:$A$1005,"&lt;="&amp;($B11+6),'Trade Log'!$Z$6:$Z$1005,"No")),"—"))</f>
        <v/>
      </c>
      <c r="I11" s="111" t="str">
        <f>IF(OR($B11="",N($C11)=0),"",IF(MAX($Q11:$AB11)=0,"None — clean week",INDEX($Q$5:$AB$5,MATCH(MAX($Q11:$AB11),$Q11:$AB11,0))))</f>
        <v/>
      </c>
      <c r="J11" s="111" t="str">
        <f>IF(OR($B11="",N($C11)=0),"",IF(MIN($AC11:$AL11)&gt;=0,"None lost money",INDEX($AC$5:$AL$5,MATCH(MIN($AC11:$AL11),$AC11:$AL11,0))))</f>
        <v/>
      </c>
      <c r="K11" s="111" t="str">
        <f>IF(OR($B11="",N($C11)=0),"",IF(MAX($AM11:$AV11)&lt;=0,"None made money",INDEX($AM$5:$AV$5,MATCH(MAX($AM11:$AV11),$AM11:$AV11,0))))</f>
        <v/>
      </c>
      <c r="L11" s="106" t="n"/>
      <c r="M11" s="106" t="n"/>
      <c r="N11" s="112" t="n"/>
      <c r="O11" s="29" t="n"/>
      <c r="Q11" s="109">
        <f>IF(OR($B11="",Q$5=""),0,COUNTIFS('Trade Log'!$A$6:$A$1005,"&gt;="&amp;$B11,'Trade Log'!$A$6:$A$1005,"&lt;="&amp;($B11+6),'Trade Log'!$AB$6:$AB$1005,Q$5))</f>
        <v>0</v>
      </c>
      <c r="R11" s="109">
        <f>IF(OR($B11="",R$5=""),0,COUNTIFS('Trade Log'!$A$6:$A$1005,"&gt;="&amp;$B11,'Trade Log'!$A$6:$A$1005,"&lt;="&amp;($B11+6),'Trade Log'!$AB$6:$AB$1005,R$5))</f>
        <v>0</v>
      </c>
      <c r="S11" s="109">
        <f>IF(OR($B11="",S$5=""),0,COUNTIFS('Trade Log'!$A$6:$A$1005,"&gt;="&amp;$B11,'Trade Log'!$A$6:$A$1005,"&lt;="&amp;($B11+6),'Trade Log'!$AB$6:$AB$1005,S$5))</f>
        <v>0</v>
      </c>
      <c r="T11" s="109">
        <f>IF(OR($B11="",T$5=""),0,COUNTIFS('Trade Log'!$A$6:$A$1005,"&gt;="&amp;$B11,'Trade Log'!$A$6:$A$1005,"&lt;="&amp;($B11+6),'Trade Log'!$AB$6:$AB$1005,T$5))</f>
        <v>0</v>
      </c>
      <c r="U11" s="109">
        <f>IF(OR($B11="",U$5=""),0,COUNTIFS('Trade Log'!$A$6:$A$1005,"&gt;="&amp;$B11,'Trade Log'!$A$6:$A$1005,"&lt;="&amp;($B11+6),'Trade Log'!$AB$6:$AB$1005,U$5))</f>
        <v>0</v>
      </c>
      <c r="V11" s="109">
        <f>IF(OR($B11="",V$5=""),0,COUNTIFS('Trade Log'!$A$6:$A$1005,"&gt;="&amp;$B11,'Trade Log'!$A$6:$A$1005,"&lt;="&amp;($B11+6),'Trade Log'!$AB$6:$AB$1005,V$5))</f>
        <v>0</v>
      </c>
      <c r="W11" s="109">
        <f>IF(OR($B11="",W$5=""),0,COUNTIFS('Trade Log'!$A$6:$A$1005,"&gt;="&amp;$B11,'Trade Log'!$A$6:$A$1005,"&lt;="&amp;($B11+6),'Trade Log'!$AB$6:$AB$1005,W$5))</f>
        <v>0</v>
      </c>
      <c r="X11" s="109">
        <f>IF(OR($B11="",X$5=""),0,COUNTIFS('Trade Log'!$A$6:$A$1005,"&gt;="&amp;$B11,'Trade Log'!$A$6:$A$1005,"&lt;="&amp;($B11+6),'Trade Log'!$AB$6:$AB$1005,X$5))</f>
        <v>0</v>
      </c>
      <c r="Y11" s="109">
        <f>IF(OR($B11="",Y$5=""),0,COUNTIFS('Trade Log'!$A$6:$A$1005,"&gt;="&amp;$B11,'Trade Log'!$A$6:$A$1005,"&lt;="&amp;($B11+6),'Trade Log'!$AB$6:$AB$1005,Y$5))</f>
        <v>0</v>
      </c>
      <c r="Z11" s="109">
        <f>IF(OR($B11="",Z$5=""),0,COUNTIFS('Trade Log'!$A$6:$A$1005,"&gt;="&amp;$B11,'Trade Log'!$A$6:$A$1005,"&lt;="&amp;($B11+6),'Trade Log'!$AB$6:$AB$1005,Z$5))</f>
        <v>0</v>
      </c>
      <c r="AA11" s="109">
        <f>IF(OR($B11="",AA$5=""),0,COUNTIFS('Trade Log'!$A$6:$A$1005,"&gt;="&amp;$B11,'Trade Log'!$A$6:$A$1005,"&lt;="&amp;($B11+6),'Trade Log'!$AB$6:$AB$1005,AA$5))</f>
        <v>0</v>
      </c>
      <c r="AB11" s="109">
        <f>IF(OR($B11="",AB$5=""),0,COUNTIFS('Trade Log'!$A$6:$A$1005,"&gt;="&amp;$B11,'Trade Log'!$A$6:$A$1005,"&lt;="&amp;($B11+6),'Trade Log'!$AB$6:$AB$1005,AB$5))</f>
        <v>0</v>
      </c>
      <c r="AC11" s="113">
        <f>IF(OR($B11="",AC$5=""),0,SUMIFS('Trade Log'!$Q$6:$Q$1005,'Trade Log'!$A$6:$A$1005,"&gt;="&amp;$B11,'Trade Log'!$A$6:$A$1005,"&lt;="&amp;($B11+6),'Trade Log'!$AA$6:$AA$1005,AC$5))</f>
        <v>0</v>
      </c>
      <c r="AD11" s="113">
        <f>IF(OR($B11="",AD$5=""),0,SUMIFS('Trade Log'!$Q$6:$Q$1005,'Trade Log'!$A$6:$A$1005,"&gt;="&amp;$B11,'Trade Log'!$A$6:$A$1005,"&lt;="&amp;($B11+6),'Trade Log'!$AA$6:$AA$1005,AD$5))</f>
        <v>0</v>
      </c>
      <c r="AE11" s="113">
        <f>IF(OR($B11="",AE$5=""),0,SUMIFS('Trade Log'!$Q$6:$Q$1005,'Trade Log'!$A$6:$A$1005,"&gt;="&amp;$B11,'Trade Log'!$A$6:$A$1005,"&lt;="&amp;($B11+6),'Trade Log'!$AA$6:$AA$1005,AE$5))</f>
        <v>0</v>
      </c>
      <c r="AF11" s="113">
        <f>IF(OR($B11="",AF$5=""),0,SUMIFS('Trade Log'!$Q$6:$Q$1005,'Trade Log'!$A$6:$A$1005,"&gt;="&amp;$B11,'Trade Log'!$A$6:$A$1005,"&lt;="&amp;($B11+6),'Trade Log'!$AA$6:$AA$1005,AF$5))</f>
        <v>0</v>
      </c>
      <c r="AG11" s="113">
        <f>IF(OR($B11="",AG$5=""),0,SUMIFS('Trade Log'!$Q$6:$Q$1005,'Trade Log'!$A$6:$A$1005,"&gt;="&amp;$B11,'Trade Log'!$A$6:$A$1005,"&lt;="&amp;($B11+6),'Trade Log'!$AA$6:$AA$1005,AG$5))</f>
        <v>0</v>
      </c>
      <c r="AH11" s="113">
        <f>IF(OR($B11="",AH$5=""),0,SUMIFS('Trade Log'!$Q$6:$Q$1005,'Trade Log'!$A$6:$A$1005,"&gt;="&amp;$B11,'Trade Log'!$A$6:$A$1005,"&lt;="&amp;($B11+6),'Trade Log'!$AA$6:$AA$1005,AH$5))</f>
        <v>0</v>
      </c>
      <c r="AI11" s="113">
        <f>IF(OR($B11="",AI$5=""),0,SUMIFS('Trade Log'!$Q$6:$Q$1005,'Trade Log'!$A$6:$A$1005,"&gt;="&amp;$B11,'Trade Log'!$A$6:$A$1005,"&lt;="&amp;($B11+6),'Trade Log'!$AA$6:$AA$1005,AI$5))</f>
        <v>0</v>
      </c>
      <c r="AJ11" s="113">
        <f>IF(OR($B11="",AJ$5=""),0,SUMIFS('Trade Log'!$Q$6:$Q$1005,'Trade Log'!$A$6:$A$1005,"&gt;="&amp;$B11,'Trade Log'!$A$6:$A$1005,"&lt;="&amp;($B11+6),'Trade Log'!$AA$6:$AA$1005,AJ$5))</f>
        <v>0</v>
      </c>
      <c r="AK11" s="113">
        <f>IF(OR($B11="",AK$5=""),0,SUMIFS('Trade Log'!$Q$6:$Q$1005,'Trade Log'!$A$6:$A$1005,"&gt;="&amp;$B11,'Trade Log'!$A$6:$A$1005,"&lt;="&amp;($B11+6),'Trade Log'!$AA$6:$AA$1005,AK$5))</f>
        <v>0</v>
      </c>
      <c r="AL11" s="113">
        <f>IF(OR($B11="",AL$5=""),0,SUMIFS('Trade Log'!$Q$6:$Q$1005,'Trade Log'!$A$6:$A$1005,"&gt;="&amp;$B11,'Trade Log'!$A$6:$A$1005,"&lt;="&amp;($B11+6),'Trade Log'!$AA$6:$AA$1005,AL$5))</f>
        <v>0</v>
      </c>
      <c r="AM11" s="113">
        <f>IF(OR($B11="",AM$5=""),0,SUMIFS('Trade Log'!$Q$6:$Q$1005,'Trade Log'!$A$6:$A$1005,"&gt;="&amp;$B11,'Trade Log'!$A$6:$A$1005,"&lt;="&amp;($B11+6),'Trade Log'!$Y$6:$Y$1005,AM$5))</f>
        <v>0</v>
      </c>
      <c r="AN11" s="113">
        <f>IF(OR($B11="",AN$5=""),0,SUMIFS('Trade Log'!$Q$6:$Q$1005,'Trade Log'!$A$6:$A$1005,"&gt;="&amp;$B11,'Trade Log'!$A$6:$A$1005,"&lt;="&amp;($B11+6),'Trade Log'!$Y$6:$Y$1005,AN$5))</f>
        <v>0</v>
      </c>
      <c r="AO11" s="113">
        <f>IF(OR($B11="",AO$5=""),0,SUMIFS('Trade Log'!$Q$6:$Q$1005,'Trade Log'!$A$6:$A$1005,"&gt;="&amp;$B11,'Trade Log'!$A$6:$A$1005,"&lt;="&amp;($B11+6),'Trade Log'!$Y$6:$Y$1005,AO$5))</f>
        <v>0</v>
      </c>
      <c r="AP11" s="113">
        <f>IF(OR($B11="",AP$5=""),0,SUMIFS('Trade Log'!$Q$6:$Q$1005,'Trade Log'!$A$6:$A$1005,"&gt;="&amp;$B11,'Trade Log'!$A$6:$A$1005,"&lt;="&amp;($B11+6),'Trade Log'!$Y$6:$Y$1005,AP$5))</f>
        <v>0</v>
      </c>
      <c r="AQ11" s="113">
        <f>IF(OR($B11="",AQ$5=""),0,SUMIFS('Trade Log'!$Q$6:$Q$1005,'Trade Log'!$A$6:$A$1005,"&gt;="&amp;$B11,'Trade Log'!$A$6:$A$1005,"&lt;="&amp;($B11+6),'Trade Log'!$Y$6:$Y$1005,AQ$5))</f>
        <v>0</v>
      </c>
      <c r="AR11" s="113">
        <f>IF(OR($B11="",AR$5=""),0,SUMIFS('Trade Log'!$Q$6:$Q$1005,'Trade Log'!$A$6:$A$1005,"&gt;="&amp;$B11,'Trade Log'!$A$6:$A$1005,"&lt;="&amp;($B11+6),'Trade Log'!$Y$6:$Y$1005,AR$5))</f>
        <v>0</v>
      </c>
      <c r="AS11" s="113">
        <f>IF(OR($B11="",AS$5=""),0,SUMIFS('Trade Log'!$Q$6:$Q$1005,'Trade Log'!$A$6:$A$1005,"&gt;="&amp;$B11,'Trade Log'!$A$6:$A$1005,"&lt;="&amp;($B11+6),'Trade Log'!$Y$6:$Y$1005,AS$5))</f>
        <v>0</v>
      </c>
      <c r="AT11" s="113">
        <f>IF(OR($B11="",AT$5=""),0,SUMIFS('Trade Log'!$Q$6:$Q$1005,'Trade Log'!$A$6:$A$1005,"&gt;="&amp;$B11,'Trade Log'!$A$6:$A$1005,"&lt;="&amp;($B11+6),'Trade Log'!$Y$6:$Y$1005,AT$5))</f>
        <v>0</v>
      </c>
      <c r="AU11" s="113">
        <f>IF(OR($B11="",AU$5=""),0,SUMIFS('Trade Log'!$Q$6:$Q$1005,'Trade Log'!$A$6:$A$1005,"&gt;="&amp;$B11,'Trade Log'!$A$6:$A$1005,"&lt;="&amp;($B11+6),'Trade Log'!$Y$6:$Y$1005,AU$5))</f>
        <v>0</v>
      </c>
      <c r="AV11" s="113">
        <f>IF(OR($B11="",AV$5=""),0,SUMIFS('Trade Log'!$Q$6:$Q$1005,'Trade Log'!$A$6:$A$1005,"&gt;="&amp;$B11,'Trade Log'!$A$6:$A$1005,"&lt;="&amp;($B11+6),'Trade Log'!$Y$6:$Y$1005,AV$5))</f>
        <v>0</v>
      </c>
    </row>
    <row r="12">
      <c r="B12" s="107">
        <f>IF($B11="","",$B11+7)</f>
        <v>46328</v>
      </c>
      <c r="C12" s="96">
        <f>IF($B12="","",COUNTIFS('Trade Log'!$A$6:$A$1005,"&gt;="&amp;$B12,'Trade Log'!$A$6:$A$1005,"&lt;="&amp;($B12+6),'Trade Log'!$BH$6:$BH$1005,1))</f>
        <v>0</v>
      </c>
      <c r="D12" s="98" t="str">
        <f>IF(OR($B12="",N($C12)=0),"",SUMIFS('Trade Log'!$Q$6:$Q$1005,'Trade Log'!$A$6:$A$1005,"&gt;="&amp;$B12,'Trade Log'!$A$6:$A$1005,"&lt;="&amp;($B12+6)))</f>
        <v/>
      </c>
      <c r="E12" s="99" t="str">
        <f>IF(OR($B12="",N($C12)=0),"",IFERROR(COUNTIFS('Trade Log'!$A$6:$A$1005,"&gt;="&amp;$B12,'Trade Log'!$A$6:$A$1005,"&lt;="&amp;($B12+6),'Trade Log'!$S$6:$S$1005,"Win")/(COUNTIFS('Trade Log'!$A$6:$A$1005,"&gt;="&amp;$B12,'Trade Log'!$A$6:$A$1005,"&lt;="&amp;($B12+6),'Trade Log'!$S$6:$S$1005,"Win")+COUNTIFS('Trade Log'!$A$6:$A$1005,"&gt;="&amp;$B12,'Trade Log'!$A$6:$A$1005,"&lt;="&amp;($B12+6),'Trade Log'!$S$6:$S$1005,"Loss")),"—"))</f>
        <v/>
      </c>
      <c r="F12" s="104" t="str">
        <f>IF(OR($B12="",N($C12)=0),"",IFERROR(SUMIFS('Trade Log'!$R$6:$R$1005,'Trade Log'!$A$6:$A$1005,"&gt;="&amp;$B12,'Trade Log'!$A$6:$A$1005,"&lt;="&amp;($B12+6))/COUNTIFS('Trade Log'!$A$6:$A$1005,"&gt;="&amp;$B12,'Trade Log'!$A$6:$A$1005,"&lt;="&amp;($B12+6),'Trade Log'!$BC$6:$BC$1005,1),"—"))</f>
        <v/>
      </c>
      <c r="G12" s="110" t="str">
        <f>IF(OR($B12="",N($C12)=0),"",IF(SUMIFS('Trade Log'!$Q$6:$Q$1005,'Trade Log'!$A$6:$A$1005,"&gt;="&amp;$B12,'Trade Log'!$A$6:$A$1005,"&lt;="&amp;($B12+6),'Trade Log'!$Q$6:$Q$1005,"&lt;0")=0,IF(SUMIFS('Trade Log'!$Q$6:$Q$1005,'Trade Log'!$A$6:$A$1005,"&gt;="&amp;$B12,'Trade Log'!$A$6:$A$1005,"&lt;="&amp;($B12+6),'Trade Log'!$Q$6:$Q$1005,"&gt;0")&gt;0,"No losses","—"),SUMIFS('Trade Log'!$Q$6:$Q$1005,'Trade Log'!$A$6:$A$1005,"&gt;="&amp;$B12,'Trade Log'!$A$6:$A$1005,"&lt;="&amp;($B12+6),'Trade Log'!$Q$6:$Q$1005,"&gt;0")/-SUMIFS('Trade Log'!$Q$6:$Q$1005,'Trade Log'!$A$6:$A$1005,"&gt;="&amp;$B12,'Trade Log'!$A$6:$A$1005,"&lt;="&amp;($B12+6),'Trade Log'!$Q$6:$Q$1005,"&lt;0")))</f>
        <v/>
      </c>
      <c r="H12" s="99" t="str">
        <f>IF(OR($B12="",N($C12)=0),"",IFERROR(COUNTIFS('Trade Log'!$A$6:$A$1005,"&gt;="&amp;$B12,'Trade Log'!$A$6:$A$1005,"&lt;="&amp;($B12+6),'Trade Log'!$Z$6:$Z$1005,"Yes")/(COUNTIFS('Trade Log'!$A$6:$A$1005,"&gt;="&amp;$B12,'Trade Log'!$A$6:$A$1005,"&lt;="&amp;($B12+6),'Trade Log'!$Z$6:$Z$1005,"Yes")+COUNTIFS('Trade Log'!$A$6:$A$1005,"&gt;="&amp;$B12,'Trade Log'!$A$6:$A$1005,"&lt;="&amp;($B12+6),'Trade Log'!$Z$6:$Z$1005,"No")),"—"))</f>
        <v/>
      </c>
      <c r="I12" s="111" t="str">
        <f>IF(OR($B12="",N($C12)=0),"",IF(MAX($Q12:$AB12)=0,"None — clean week",INDEX($Q$5:$AB$5,MATCH(MAX($Q12:$AB12),$Q12:$AB12,0))))</f>
        <v/>
      </c>
      <c r="J12" s="111" t="str">
        <f>IF(OR($B12="",N($C12)=0),"",IF(MIN($AC12:$AL12)&gt;=0,"None lost money",INDEX($AC$5:$AL$5,MATCH(MIN($AC12:$AL12),$AC12:$AL12,0))))</f>
        <v/>
      </c>
      <c r="K12" s="111" t="str">
        <f>IF(OR($B12="",N($C12)=0),"",IF(MAX($AM12:$AV12)&lt;=0,"None made money",INDEX($AM$5:$AV$5,MATCH(MAX($AM12:$AV12),$AM12:$AV12,0))))</f>
        <v/>
      </c>
      <c r="L12" s="106" t="n"/>
      <c r="M12" s="106" t="n"/>
      <c r="N12" s="112" t="n"/>
      <c r="O12" s="29" t="n"/>
      <c r="Q12" s="109">
        <f>IF(OR($B12="",Q$5=""),0,COUNTIFS('Trade Log'!$A$6:$A$1005,"&gt;="&amp;$B12,'Trade Log'!$A$6:$A$1005,"&lt;="&amp;($B12+6),'Trade Log'!$AB$6:$AB$1005,Q$5))</f>
        <v>0</v>
      </c>
      <c r="R12" s="109">
        <f>IF(OR($B12="",R$5=""),0,COUNTIFS('Trade Log'!$A$6:$A$1005,"&gt;="&amp;$B12,'Trade Log'!$A$6:$A$1005,"&lt;="&amp;($B12+6),'Trade Log'!$AB$6:$AB$1005,R$5))</f>
        <v>0</v>
      </c>
      <c r="S12" s="109">
        <f>IF(OR($B12="",S$5=""),0,COUNTIFS('Trade Log'!$A$6:$A$1005,"&gt;="&amp;$B12,'Trade Log'!$A$6:$A$1005,"&lt;="&amp;($B12+6),'Trade Log'!$AB$6:$AB$1005,S$5))</f>
        <v>0</v>
      </c>
      <c r="T12" s="109">
        <f>IF(OR($B12="",T$5=""),0,COUNTIFS('Trade Log'!$A$6:$A$1005,"&gt;="&amp;$B12,'Trade Log'!$A$6:$A$1005,"&lt;="&amp;($B12+6),'Trade Log'!$AB$6:$AB$1005,T$5))</f>
        <v>0</v>
      </c>
      <c r="U12" s="109">
        <f>IF(OR($B12="",U$5=""),0,COUNTIFS('Trade Log'!$A$6:$A$1005,"&gt;="&amp;$B12,'Trade Log'!$A$6:$A$1005,"&lt;="&amp;($B12+6),'Trade Log'!$AB$6:$AB$1005,U$5))</f>
        <v>0</v>
      </c>
      <c r="V12" s="109">
        <f>IF(OR($B12="",V$5=""),0,COUNTIFS('Trade Log'!$A$6:$A$1005,"&gt;="&amp;$B12,'Trade Log'!$A$6:$A$1005,"&lt;="&amp;($B12+6),'Trade Log'!$AB$6:$AB$1005,V$5))</f>
        <v>0</v>
      </c>
      <c r="W12" s="109">
        <f>IF(OR($B12="",W$5=""),0,COUNTIFS('Trade Log'!$A$6:$A$1005,"&gt;="&amp;$B12,'Trade Log'!$A$6:$A$1005,"&lt;="&amp;($B12+6),'Trade Log'!$AB$6:$AB$1005,W$5))</f>
        <v>0</v>
      </c>
      <c r="X12" s="109">
        <f>IF(OR($B12="",X$5=""),0,COUNTIFS('Trade Log'!$A$6:$A$1005,"&gt;="&amp;$B12,'Trade Log'!$A$6:$A$1005,"&lt;="&amp;($B12+6),'Trade Log'!$AB$6:$AB$1005,X$5))</f>
        <v>0</v>
      </c>
      <c r="Y12" s="109">
        <f>IF(OR($B12="",Y$5=""),0,COUNTIFS('Trade Log'!$A$6:$A$1005,"&gt;="&amp;$B12,'Trade Log'!$A$6:$A$1005,"&lt;="&amp;($B12+6),'Trade Log'!$AB$6:$AB$1005,Y$5))</f>
        <v>0</v>
      </c>
      <c r="Z12" s="109">
        <f>IF(OR($B12="",Z$5=""),0,COUNTIFS('Trade Log'!$A$6:$A$1005,"&gt;="&amp;$B12,'Trade Log'!$A$6:$A$1005,"&lt;="&amp;($B12+6),'Trade Log'!$AB$6:$AB$1005,Z$5))</f>
        <v>0</v>
      </c>
      <c r="AA12" s="109">
        <f>IF(OR($B12="",AA$5=""),0,COUNTIFS('Trade Log'!$A$6:$A$1005,"&gt;="&amp;$B12,'Trade Log'!$A$6:$A$1005,"&lt;="&amp;($B12+6),'Trade Log'!$AB$6:$AB$1005,AA$5))</f>
        <v>0</v>
      </c>
      <c r="AB12" s="109">
        <f>IF(OR($B12="",AB$5=""),0,COUNTIFS('Trade Log'!$A$6:$A$1005,"&gt;="&amp;$B12,'Trade Log'!$A$6:$A$1005,"&lt;="&amp;($B12+6),'Trade Log'!$AB$6:$AB$1005,AB$5))</f>
        <v>0</v>
      </c>
      <c r="AC12" s="113">
        <f>IF(OR($B12="",AC$5=""),0,SUMIFS('Trade Log'!$Q$6:$Q$1005,'Trade Log'!$A$6:$A$1005,"&gt;="&amp;$B12,'Trade Log'!$A$6:$A$1005,"&lt;="&amp;($B12+6),'Trade Log'!$AA$6:$AA$1005,AC$5))</f>
        <v>0</v>
      </c>
      <c r="AD12" s="113">
        <f>IF(OR($B12="",AD$5=""),0,SUMIFS('Trade Log'!$Q$6:$Q$1005,'Trade Log'!$A$6:$A$1005,"&gt;="&amp;$B12,'Trade Log'!$A$6:$A$1005,"&lt;="&amp;($B12+6),'Trade Log'!$AA$6:$AA$1005,AD$5))</f>
        <v>0</v>
      </c>
      <c r="AE12" s="113">
        <f>IF(OR($B12="",AE$5=""),0,SUMIFS('Trade Log'!$Q$6:$Q$1005,'Trade Log'!$A$6:$A$1005,"&gt;="&amp;$B12,'Trade Log'!$A$6:$A$1005,"&lt;="&amp;($B12+6),'Trade Log'!$AA$6:$AA$1005,AE$5))</f>
        <v>0</v>
      </c>
      <c r="AF12" s="113">
        <f>IF(OR($B12="",AF$5=""),0,SUMIFS('Trade Log'!$Q$6:$Q$1005,'Trade Log'!$A$6:$A$1005,"&gt;="&amp;$B12,'Trade Log'!$A$6:$A$1005,"&lt;="&amp;($B12+6),'Trade Log'!$AA$6:$AA$1005,AF$5))</f>
        <v>0</v>
      </c>
      <c r="AG12" s="113">
        <f>IF(OR($B12="",AG$5=""),0,SUMIFS('Trade Log'!$Q$6:$Q$1005,'Trade Log'!$A$6:$A$1005,"&gt;="&amp;$B12,'Trade Log'!$A$6:$A$1005,"&lt;="&amp;($B12+6),'Trade Log'!$AA$6:$AA$1005,AG$5))</f>
        <v>0</v>
      </c>
      <c r="AH12" s="113">
        <f>IF(OR($B12="",AH$5=""),0,SUMIFS('Trade Log'!$Q$6:$Q$1005,'Trade Log'!$A$6:$A$1005,"&gt;="&amp;$B12,'Trade Log'!$A$6:$A$1005,"&lt;="&amp;($B12+6),'Trade Log'!$AA$6:$AA$1005,AH$5))</f>
        <v>0</v>
      </c>
      <c r="AI12" s="113">
        <f>IF(OR($B12="",AI$5=""),0,SUMIFS('Trade Log'!$Q$6:$Q$1005,'Trade Log'!$A$6:$A$1005,"&gt;="&amp;$B12,'Trade Log'!$A$6:$A$1005,"&lt;="&amp;($B12+6),'Trade Log'!$AA$6:$AA$1005,AI$5))</f>
        <v>0</v>
      </c>
      <c r="AJ12" s="113">
        <f>IF(OR($B12="",AJ$5=""),0,SUMIFS('Trade Log'!$Q$6:$Q$1005,'Trade Log'!$A$6:$A$1005,"&gt;="&amp;$B12,'Trade Log'!$A$6:$A$1005,"&lt;="&amp;($B12+6),'Trade Log'!$AA$6:$AA$1005,AJ$5))</f>
        <v>0</v>
      </c>
      <c r="AK12" s="113">
        <f>IF(OR($B12="",AK$5=""),0,SUMIFS('Trade Log'!$Q$6:$Q$1005,'Trade Log'!$A$6:$A$1005,"&gt;="&amp;$B12,'Trade Log'!$A$6:$A$1005,"&lt;="&amp;($B12+6),'Trade Log'!$AA$6:$AA$1005,AK$5))</f>
        <v>0</v>
      </c>
      <c r="AL12" s="113">
        <f>IF(OR($B12="",AL$5=""),0,SUMIFS('Trade Log'!$Q$6:$Q$1005,'Trade Log'!$A$6:$A$1005,"&gt;="&amp;$B12,'Trade Log'!$A$6:$A$1005,"&lt;="&amp;($B12+6),'Trade Log'!$AA$6:$AA$1005,AL$5))</f>
        <v>0</v>
      </c>
      <c r="AM12" s="113">
        <f>IF(OR($B12="",AM$5=""),0,SUMIFS('Trade Log'!$Q$6:$Q$1005,'Trade Log'!$A$6:$A$1005,"&gt;="&amp;$B12,'Trade Log'!$A$6:$A$1005,"&lt;="&amp;($B12+6),'Trade Log'!$Y$6:$Y$1005,AM$5))</f>
        <v>0</v>
      </c>
      <c r="AN12" s="113">
        <f>IF(OR($B12="",AN$5=""),0,SUMIFS('Trade Log'!$Q$6:$Q$1005,'Trade Log'!$A$6:$A$1005,"&gt;="&amp;$B12,'Trade Log'!$A$6:$A$1005,"&lt;="&amp;($B12+6),'Trade Log'!$Y$6:$Y$1005,AN$5))</f>
        <v>0</v>
      </c>
      <c r="AO12" s="113">
        <f>IF(OR($B12="",AO$5=""),0,SUMIFS('Trade Log'!$Q$6:$Q$1005,'Trade Log'!$A$6:$A$1005,"&gt;="&amp;$B12,'Trade Log'!$A$6:$A$1005,"&lt;="&amp;($B12+6),'Trade Log'!$Y$6:$Y$1005,AO$5))</f>
        <v>0</v>
      </c>
      <c r="AP12" s="113">
        <f>IF(OR($B12="",AP$5=""),0,SUMIFS('Trade Log'!$Q$6:$Q$1005,'Trade Log'!$A$6:$A$1005,"&gt;="&amp;$B12,'Trade Log'!$A$6:$A$1005,"&lt;="&amp;($B12+6),'Trade Log'!$Y$6:$Y$1005,AP$5))</f>
        <v>0</v>
      </c>
      <c r="AQ12" s="113">
        <f>IF(OR($B12="",AQ$5=""),0,SUMIFS('Trade Log'!$Q$6:$Q$1005,'Trade Log'!$A$6:$A$1005,"&gt;="&amp;$B12,'Trade Log'!$A$6:$A$1005,"&lt;="&amp;($B12+6),'Trade Log'!$Y$6:$Y$1005,AQ$5))</f>
        <v>0</v>
      </c>
      <c r="AR12" s="113">
        <f>IF(OR($B12="",AR$5=""),0,SUMIFS('Trade Log'!$Q$6:$Q$1005,'Trade Log'!$A$6:$A$1005,"&gt;="&amp;$B12,'Trade Log'!$A$6:$A$1005,"&lt;="&amp;($B12+6),'Trade Log'!$Y$6:$Y$1005,AR$5))</f>
        <v>0</v>
      </c>
      <c r="AS12" s="113">
        <f>IF(OR($B12="",AS$5=""),0,SUMIFS('Trade Log'!$Q$6:$Q$1005,'Trade Log'!$A$6:$A$1005,"&gt;="&amp;$B12,'Trade Log'!$A$6:$A$1005,"&lt;="&amp;($B12+6),'Trade Log'!$Y$6:$Y$1005,AS$5))</f>
        <v>0</v>
      </c>
      <c r="AT12" s="113">
        <f>IF(OR($B12="",AT$5=""),0,SUMIFS('Trade Log'!$Q$6:$Q$1005,'Trade Log'!$A$6:$A$1005,"&gt;="&amp;$B12,'Trade Log'!$A$6:$A$1005,"&lt;="&amp;($B12+6),'Trade Log'!$Y$6:$Y$1005,AT$5))</f>
        <v>0</v>
      </c>
      <c r="AU12" s="113">
        <f>IF(OR($B12="",AU$5=""),0,SUMIFS('Trade Log'!$Q$6:$Q$1005,'Trade Log'!$A$6:$A$1005,"&gt;="&amp;$B12,'Trade Log'!$A$6:$A$1005,"&lt;="&amp;($B12+6),'Trade Log'!$Y$6:$Y$1005,AU$5))</f>
        <v>0</v>
      </c>
      <c r="AV12" s="113">
        <f>IF(OR($B12="",AV$5=""),0,SUMIFS('Trade Log'!$Q$6:$Q$1005,'Trade Log'!$A$6:$A$1005,"&gt;="&amp;$B12,'Trade Log'!$A$6:$A$1005,"&lt;="&amp;($B12+6),'Trade Log'!$Y$6:$Y$1005,AV$5))</f>
        <v>0</v>
      </c>
    </row>
    <row r="13">
      <c r="B13" s="107">
        <f>IF($B12="","",$B12+7)</f>
        <v>46335</v>
      </c>
      <c r="C13" s="96">
        <f>IF($B13="","",COUNTIFS('Trade Log'!$A$6:$A$1005,"&gt;="&amp;$B13,'Trade Log'!$A$6:$A$1005,"&lt;="&amp;($B13+6),'Trade Log'!$BH$6:$BH$1005,1))</f>
        <v>0</v>
      </c>
      <c r="D13" s="98" t="str">
        <f>IF(OR($B13="",N($C13)=0),"",SUMIFS('Trade Log'!$Q$6:$Q$1005,'Trade Log'!$A$6:$A$1005,"&gt;="&amp;$B13,'Trade Log'!$A$6:$A$1005,"&lt;="&amp;($B13+6)))</f>
        <v/>
      </c>
      <c r="E13" s="99" t="str">
        <f>IF(OR($B13="",N($C13)=0),"",IFERROR(COUNTIFS('Trade Log'!$A$6:$A$1005,"&gt;="&amp;$B13,'Trade Log'!$A$6:$A$1005,"&lt;="&amp;($B13+6),'Trade Log'!$S$6:$S$1005,"Win")/(COUNTIFS('Trade Log'!$A$6:$A$1005,"&gt;="&amp;$B13,'Trade Log'!$A$6:$A$1005,"&lt;="&amp;($B13+6),'Trade Log'!$S$6:$S$1005,"Win")+COUNTIFS('Trade Log'!$A$6:$A$1005,"&gt;="&amp;$B13,'Trade Log'!$A$6:$A$1005,"&lt;="&amp;($B13+6),'Trade Log'!$S$6:$S$1005,"Loss")),"—"))</f>
        <v/>
      </c>
      <c r="F13" s="104" t="str">
        <f>IF(OR($B13="",N($C13)=0),"",IFERROR(SUMIFS('Trade Log'!$R$6:$R$1005,'Trade Log'!$A$6:$A$1005,"&gt;="&amp;$B13,'Trade Log'!$A$6:$A$1005,"&lt;="&amp;($B13+6))/COUNTIFS('Trade Log'!$A$6:$A$1005,"&gt;="&amp;$B13,'Trade Log'!$A$6:$A$1005,"&lt;="&amp;($B13+6),'Trade Log'!$BC$6:$BC$1005,1),"—"))</f>
        <v/>
      </c>
      <c r="G13" s="110" t="str">
        <f>IF(OR($B13="",N($C13)=0),"",IF(SUMIFS('Trade Log'!$Q$6:$Q$1005,'Trade Log'!$A$6:$A$1005,"&gt;="&amp;$B13,'Trade Log'!$A$6:$A$1005,"&lt;="&amp;($B13+6),'Trade Log'!$Q$6:$Q$1005,"&lt;0")=0,IF(SUMIFS('Trade Log'!$Q$6:$Q$1005,'Trade Log'!$A$6:$A$1005,"&gt;="&amp;$B13,'Trade Log'!$A$6:$A$1005,"&lt;="&amp;($B13+6),'Trade Log'!$Q$6:$Q$1005,"&gt;0")&gt;0,"No losses","—"),SUMIFS('Trade Log'!$Q$6:$Q$1005,'Trade Log'!$A$6:$A$1005,"&gt;="&amp;$B13,'Trade Log'!$A$6:$A$1005,"&lt;="&amp;($B13+6),'Trade Log'!$Q$6:$Q$1005,"&gt;0")/-SUMIFS('Trade Log'!$Q$6:$Q$1005,'Trade Log'!$A$6:$A$1005,"&gt;="&amp;$B13,'Trade Log'!$A$6:$A$1005,"&lt;="&amp;($B13+6),'Trade Log'!$Q$6:$Q$1005,"&lt;0")))</f>
        <v/>
      </c>
      <c r="H13" s="99" t="str">
        <f>IF(OR($B13="",N($C13)=0),"",IFERROR(COUNTIFS('Trade Log'!$A$6:$A$1005,"&gt;="&amp;$B13,'Trade Log'!$A$6:$A$1005,"&lt;="&amp;($B13+6),'Trade Log'!$Z$6:$Z$1005,"Yes")/(COUNTIFS('Trade Log'!$A$6:$A$1005,"&gt;="&amp;$B13,'Trade Log'!$A$6:$A$1005,"&lt;="&amp;($B13+6),'Trade Log'!$Z$6:$Z$1005,"Yes")+COUNTIFS('Trade Log'!$A$6:$A$1005,"&gt;="&amp;$B13,'Trade Log'!$A$6:$A$1005,"&lt;="&amp;($B13+6),'Trade Log'!$Z$6:$Z$1005,"No")),"—"))</f>
        <v/>
      </c>
      <c r="I13" s="111" t="str">
        <f>IF(OR($B13="",N($C13)=0),"",IF(MAX($Q13:$AB13)=0,"None — clean week",INDEX($Q$5:$AB$5,MATCH(MAX($Q13:$AB13),$Q13:$AB13,0))))</f>
        <v/>
      </c>
      <c r="J13" s="111" t="str">
        <f>IF(OR($B13="",N($C13)=0),"",IF(MIN($AC13:$AL13)&gt;=0,"None lost money",INDEX($AC$5:$AL$5,MATCH(MIN($AC13:$AL13),$AC13:$AL13,0))))</f>
        <v/>
      </c>
      <c r="K13" s="111" t="str">
        <f>IF(OR($B13="",N($C13)=0),"",IF(MAX($AM13:$AV13)&lt;=0,"None made money",INDEX($AM$5:$AV$5,MATCH(MAX($AM13:$AV13),$AM13:$AV13,0))))</f>
        <v/>
      </c>
      <c r="L13" s="106" t="n"/>
      <c r="M13" s="106" t="n"/>
      <c r="N13" s="112" t="n"/>
      <c r="O13" s="29" t="n"/>
      <c r="Q13" s="109">
        <f>IF(OR($B13="",Q$5=""),0,COUNTIFS('Trade Log'!$A$6:$A$1005,"&gt;="&amp;$B13,'Trade Log'!$A$6:$A$1005,"&lt;="&amp;($B13+6),'Trade Log'!$AB$6:$AB$1005,Q$5))</f>
        <v>0</v>
      </c>
      <c r="R13" s="109">
        <f>IF(OR($B13="",R$5=""),0,COUNTIFS('Trade Log'!$A$6:$A$1005,"&gt;="&amp;$B13,'Trade Log'!$A$6:$A$1005,"&lt;="&amp;($B13+6),'Trade Log'!$AB$6:$AB$1005,R$5))</f>
        <v>0</v>
      </c>
      <c r="S13" s="109">
        <f>IF(OR($B13="",S$5=""),0,COUNTIFS('Trade Log'!$A$6:$A$1005,"&gt;="&amp;$B13,'Trade Log'!$A$6:$A$1005,"&lt;="&amp;($B13+6),'Trade Log'!$AB$6:$AB$1005,S$5))</f>
        <v>0</v>
      </c>
      <c r="T13" s="109">
        <f>IF(OR($B13="",T$5=""),0,COUNTIFS('Trade Log'!$A$6:$A$1005,"&gt;="&amp;$B13,'Trade Log'!$A$6:$A$1005,"&lt;="&amp;($B13+6),'Trade Log'!$AB$6:$AB$1005,T$5))</f>
        <v>0</v>
      </c>
      <c r="U13" s="109">
        <f>IF(OR($B13="",U$5=""),0,COUNTIFS('Trade Log'!$A$6:$A$1005,"&gt;="&amp;$B13,'Trade Log'!$A$6:$A$1005,"&lt;="&amp;($B13+6),'Trade Log'!$AB$6:$AB$1005,U$5))</f>
        <v>0</v>
      </c>
      <c r="V13" s="109">
        <f>IF(OR($B13="",V$5=""),0,COUNTIFS('Trade Log'!$A$6:$A$1005,"&gt;="&amp;$B13,'Trade Log'!$A$6:$A$1005,"&lt;="&amp;($B13+6),'Trade Log'!$AB$6:$AB$1005,V$5))</f>
        <v>0</v>
      </c>
      <c r="W13" s="109">
        <f>IF(OR($B13="",W$5=""),0,COUNTIFS('Trade Log'!$A$6:$A$1005,"&gt;="&amp;$B13,'Trade Log'!$A$6:$A$1005,"&lt;="&amp;($B13+6),'Trade Log'!$AB$6:$AB$1005,W$5))</f>
        <v>0</v>
      </c>
      <c r="X13" s="109">
        <f>IF(OR($B13="",X$5=""),0,COUNTIFS('Trade Log'!$A$6:$A$1005,"&gt;="&amp;$B13,'Trade Log'!$A$6:$A$1005,"&lt;="&amp;($B13+6),'Trade Log'!$AB$6:$AB$1005,X$5))</f>
        <v>0</v>
      </c>
      <c r="Y13" s="109">
        <f>IF(OR($B13="",Y$5=""),0,COUNTIFS('Trade Log'!$A$6:$A$1005,"&gt;="&amp;$B13,'Trade Log'!$A$6:$A$1005,"&lt;="&amp;($B13+6),'Trade Log'!$AB$6:$AB$1005,Y$5))</f>
        <v>0</v>
      </c>
      <c r="Z13" s="109">
        <f>IF(OR($B13="",Z$5=""),0,COUNTIFS('Trade Log'!$A$6:$A$1005,"&gt;="&amp;$B13,'Trade Log'!$A$6:$A$1005,"&lt;="&amp;($B13+6),'Trade Log'!$AB$6:$AB$1005,Z$5))</f>
        <v>0</v>
      </c>
      <c r="AA13" s="109">
        <f>IF(OR($B13="",AA$5=""),0,COUNTIFS('Trade Log'!$A$6:$A$1005,"&gt;="&amp;$B13,'Trade Log'!$A$6:$A$1005,"&lt;="&amp;($B13+6),'Trade Log'!$AB$6:$AB$1005,AA$5))</f>
        <v>0</v>
      </c>
      <c r="AB13" s="109">
        <f>IF(OR($B13="",AB$5=""),0,COUNTIFS('Trade Log'!$A$6:$A$1005,"&gt;="&amp;$B13,'Trade Log'!$A$6:$A$1005,"&lt;="&amp;($B13+6),'Trade Log'!$AB$6:$AB$1005,AB$5))</f>
        <v>0</v>
      </c>
      <c r="AC13" s="113">
        <f>IF(OR($B13="",AC$5=""),0,SUMIFS('Trade Log'!$Q$6:$Q$1005,'Trade Log'!$A$6:$A$1005,"&gt;="&amp;$B13,'Trade Log'!$A$6:$A$1005,"&lt;="&amp;($B13+6),'Trade Log'!$AA$6:$AA$1005,AC$5))</f>
        <v>0</v>
      </c>
      <c r="AD13" s="113">
        <f>IF(OR($B13="",AD$5=""),0,SUMIFS('Trade Log'!$Q$6:$Q$1005,'Trade Log'!$A$6:$A$1005,"&gt;="&amp;$B13,'Trade Log'!$A$6:$A$1005,"&lt;="&amp;($B13+6),'Trade Log'!$AA$6:$AA$1005,AD$5))</f>
        <v>0</v>
      </c>
      <c r="AE13" s="113">
        <f>IF(OR($B13="",AE$5=""),0,SUMIFS('Trade Log'!$Q$6:$Q$1005,'Trade Log'!$A$6:$A$1005,"&gt;="&amp;$B13,'Trade Log'!$A$6:$A$1005,"&lt;="&amp;($B13+6),'Trade Log'!$AA$6:$AA$1005,AE$5))</f>
        <v>0</v>
      </c>
      <c r="AF13" s="113">
        <f>IF(OR($B13="",AF$5=""),0,SUMIFS('Trade Log'!$Q$6:$Q$1005,'Trade Log'!$A$6:$A$1005,"&gt;="&amp;$B13,'Trade Log'!$A$6:$A$1005,"&lt;="&amp;($B13+6),'Trade Log'!$AA$6:$AA$1005,AF$5))</f>
        <v>0</v>
      </c>
      <c r="AG13" s="113">
        <f>IF(OR($B13="",AG$5=""),0,SUMIFS('Trade Log'!$Q$6:$Q$1005,'Trade Log'!$A$6:$A$1005,"&gt;="&amp;$B13,'Trade Log'!$A$6:$A$1005,"&lt;="&amp;($B13+6),'Trade Log'!$AA$6:$AA$1005,AG$5))</f>
        <v>0</v>
      </c>
      <c r="AH13" s="113">
        <f>IF(OR($B13="",AH$5=""),0,SUMIFS('Trade Log'!$Q$6:$Q$1005,'Trade Log'!$A$6:$A$1005,"&gt;="&amp;$B13,'Trade Log'!$A$6:$A$1005,"&lt;="&amp;($B13+6),'Trade Log'!$AA$6:$AA$1005,AH$5))</f>
        <v>0</v>
      </c>
      <c r="AI13" s="113">
        <f>IF(OR($B13="",AI$5=""),0,SUMIFS('Trade Log'!$Q$6:$Q$1005,'Trade Log'!$A$6:$A$1005,"&gt;="&amp;$B13,'Trade Log'!$A$6:$A$1005,"&lt;="&amp;($B13+6),'Trade Log'!$AA$6:$AA$1005,AI$5))</f>
        <v>0</v>
      </c>
      <c r="AJ13" s="113">
        <f>IF(OR($B13="",AJ$5=""),0,SUMIFS('Trade Log'!$Q$6:$Q$1005,'Trade Log'!$A$6:$A$1005,"&gt;="&amp;$B13,'Trade Log'!$A$6:$A$1005,"&lt;="&amp;($B13+6),'Trade Log'!$AA$6:$AA$1005,AJ$5))</f>
        <v>0</v>
      </c>
      <c r="AK13" s="113">
        <f>IF(OR($B13="",AK$5=""),0,SUMIFS('Trade Log'!$Q$6:$Q$1005,'Trade Log'!$A$6:$A$1005,"&gt;="&amp;$B13,'Trade Log'!$A$6:$A$1005,"&lt;="&amp;($B13+6),'Trade Log'!$AA$6:$AA$1005,AK$5))</f>
        <v>0</v>
      </c>
      <c r="AL13" s="113">
        <f>IF(OR($B13="",AL$5=""),0,SUMIFS('Trade Log'!$Q$6:$Q$1005,'Trade Log'!$A$6:$A$1005,"&gt;="&amp;$B13,'Trade Log'!$A$6:$A$1005,"&lt;="&amp;($B13+6),'Trade Log'!$AA$6:$AA$1005,AL$5))</f>
        <v>0</v>
      </c>
      <c r="AM13" s="113">
        <f>IF(OR($B13="",AM$5=""),0,SUMIFS('Trade Log'!$Q$6:$Q$1005,'Trade Log'!$A$6:$A$1005,"&gt;="&amp;$B13,'Trade Log'!$A$6:$A$1005,"&lt;="&amp;($B13+6),'Trade Log'!$Y$6:$Y$1005,AM$5))</f>
        <v>0</v>
      </c>
      <c r="AN13" s="113">
        <f>IF(OR($B13="",AN$5=""),0,SUMIFS('Trade Log'!$Q$6:$Q$1005,'Trade Log'!$A$6:$A$1005,"&gt;="&amp;$B13,'Trade Log'!$A$6:$A$1005,"&lt;="&amp;($B13+6),'Trade Log'!$Y$6:$Y$1005,AN$5))</f>
        <v>0</v>
      </c>
      <c r="AO13" s="113">
        <f>IF(OR($B13="",AO$5=""),0,SUMIFS('Trade Log'!$Q$6:$Q$1005,'Trade Log'!$A$6:$A$1005,"&gt;="&amp;$B13,'Trade Log'!$A$6:$A$1005,"&lt;="&amp;($B13+6),'Trade Log'!$Y$6:$Y$1005,AO$5))</f>
        <v>0</v>
      </c>
      <c r="AP13" s="113">
        <f>IF(OR($B13="",AP$5=""),0,SUMIFS('Trade Log'!$Q$6:$Q$1005,'Trade Log'!$A$6:$A$1005,"&gt;="&amp;$B13,'Trade Log'!$A$6:$A$1005,"&lt;="&amp;($B13+6),'Trade Log'!$Y$6:$Y$1005,AP$5))</f>
        <v>0</v>
      </c>
      <c r="AQ13" s="113">
        <f>IF(OR($B13="",AQ$5=""),0,SUMIFS('Trade Log'!$Q$6:$Q$1005,'Trade Log'!$A$6:$A$1005,"&gt;="&amp;$B13,'Trade Log'!$A$6:$A$1005,"&lt;="&amp;($B13+6),'Trade Log'!$Y$6:$Y$1005,AQ$5))</f>
        <v>0</v>
      </c>
      <c r="AR13" s="113">
        <f>IF(OR($B13="",AR$5=""),0,SUMIFS('Trade Log'!$Q$6:$Q$1005,'Trade Log'!$A$6:$A$1005,"&gt;="&amp;$B13,'Trade Log'!$A$6:$A$1005,"&lt;="&amp;($B13+6),'Trade Log'!$Y$6:$Y$1005,AR$5))</f>
        <v>0</v>
      </c>
      <c r="AS13" s="113">
        <f>IF(OR($B13="",AS$5=""),0,SUMIFS('Trade Log'!$Q$6:$Q$1005,'Trade Log'!$A$6:$A$1005,"&gt;="&amp;$B13,'Trade Log'!$A$6:$A$1005,"&lt;="&amp;($B13+6),'Trade Log'!$Y$6:$Y$1005,AS$5))</f>
        <v>0</v>
      </c>
      <c r="AT13" s="113">
        <f>IF(OR($B13="",AT$5=""),0,SUMIFS('Trade Log'!$Q$6:$Q$1005,'Trade Log'!$A$6:$A$1005,"&gt;="&amp;$B13,'Trade Log'!$A$6:$A$1005,"&lt;="&amp;($B13+6),'Trade Log'!$Y$6:$Y$1005,AT$5))</f>
        <v>0</v>
      </c>
      <c r="AU13" s="113">
        <f>IF(OR($B13="",AU$5=""),0,SUMIFS('Trade Log'!$Q$6:$Q$1005,'Trade Log'!$A$6:$A$1005,"&gt;="&amp;$B13,'Trade Log'!$A$6:$A$1005,"&lt;="&amp;($B13+6),'Trade Log'!$Y$6:$Y$1005,AU$5))</f>
        <v>0</v>
      </c>
      <c r="AV13" s="113">
        <f>IF(OR($B13="",AV$5=""),0,SUMIFS('Trade Log'!$Q$6:$Q$1005,'Trade Log'!$A$6:$A$1005,"&gt;="&amp;$B13,'Trade Log'!$A$6:$A$1005,"&lt;="&amp;($B13+6),'Trade Log'!$Y$6:$Y$1005,AV$5))</f>
        <v>0</v>
      </c>
    </row>
    <row r="14">
      <c r="B14" s="107">
        <f>IF($B13="","",$B13+7)</f>
        <v>46342</v>
      </c>
      <c r="C14" s="96">
        <f>IF($B14="","",COUNTIFS('Trade Log'!$A$6:$A$1005,"&gt;="&amp;$B14,'Trade Log'!$A$6:$A$1005,"&lt;="&amp;($B14+6),'Trade Log'!$BH$6:$BH$1005,1))</f>
        <v>0</v>
      </c>
      <c r="D14" s="98" t="str">
        <f>IF(OR($B14="",N($C14)=0),"",SUMIFS('Trade Log'!$Q$6:$Q$1005,'Trade Log'!$A$6:$A$1005,"&gt;="&amp;$B14,'Trade Log'!$A$6:$A$1005,"&lt;="&amp;($B14+6)))</f>
        <v/>
      </c>
      <c r="E14" s="99" t="str">
        <f>IF(OR($B14="",N($C14)=0),"",IFERROR(COUNTIFS('Trade Log'!$A$6:$A$1005,"&gt;="&amp;$B14,'Trade Log'!$A$6:$A$1005,"&lt;="&amp;($B14+6),'Trade Log'!$S$6:$S$1005,"Win")/(COUNTIFS('Trade Log'!$A$6:$A$1005,"&gt;="&amp;$B14,'Trade Log'!$A$6:$A$1005,"&lt;="&amp;($B14+6),'Trade Log'!$S$6:$S$1005,"Win")+COUNTIFS('Trade Log'!$A$6:$A$1005,"&gt;="&amp;$B14,'Trade Log'!$A$6:$A$1005,"&lt;="&amp;($B14+6),'Trade Log'!$S$6:$S$1005,"Loss")),"—"))</f>
        <v/>
      </c>
      <c r="F14" s="104" t="str">
        <f>IF(OR($B14="",N($C14)=0),"",IFERROR(SUMIFS('Trade Log'!$R$6:$R$1005,'Trade Log'!$A$6:$A$1005,"&gt;="&amp;$B14,'Trade Log'!$A$6:$A$1005,"&lt;="&amp;($B14+6))/COUNTIFS('Trade Log'!$A$6:$A$1005,"&gt;="&amp;$B14,'Trade Log'!$A$6:$A$1005,"&lt;="&amp;($B14+6),'Trade Log'!$BC$6:$BC$1005,1),"—"))</f>
        <v/>
      </c>
      <c r="G14" s="110" t="str">
        <f>IF(OR($B14="",N($C14)=0),"",IF(SUMIFS('Trade Log'!$Q$6:$Q$1005,'Trade Log'!$A$6:$A$1005,"&gt;="&amp;$B14,'Trade Log'!$A$6:$A$1005,"&lt;="&amp;($B14+6),'Trade Log'!$Q$6:$Q$1005,"&lt;0")=0,IF(SUMIFS('Trade Log'!$Q$6:$Q$1005,'Trade Log'!$A$6:$A$1005,"&gt;="&amp;$B14,'Trade Log'!$A$6:$A$1005,"&lt;="&amp;($B14+6),'Trade Log'!$Q$6:$Q$1005,"&gt;0")&gt;0,"No losses","—"),SUMIFS('Trade Log'!$Q$6:$Q$1005,'Trade Log'!$A$6:$A$1005,"&gt;="&amp;$B14,'Trade Log'!$A$6:$A$1005,"&lt;="&amp;($B14+6),'Trade Log'!$Q$6:$Q$1005,"&gt;0")/-SUMIFS('Trade Log'!$Q$6:$Q$1005,'Trade Log'!$A$6:$A$1005,"&gt;="&amp;$B14,'Trade Log'!$A$6:$A$1005,"&lt;="&amp;($B14+6),'Trade Log'!$Q$6:$Q$1005,"&lt;0")))</f>
        <v/>
      </c>
      <c r="H14" s="99" t="str">
        <f>IF(OR($B14="",N($C14)=0),"",IFERROR(COUNTIFS('Trade Log'!$A$6:$A$1005,"&gt;="&amp;$B14,'Trade Log'!$A$6:$A$1005,"&lt;="&amp;($B14+6),'Trade Log'!$Z$6:$Z$1005,"Yes")/(COUNTIFS('Trade Log'!$A$6:$A$1005,"&gt;="&amp;$B14,'Trade Log'!$A$6:$A$1005,"&lt;="&amp;($B14+6),'Trade Log'!$Z$6:$Z$1005,"Yes")+COUNTIFS('Trade Log'!$A$6:$A$1005,"&gt;="&amp;$B14,'Trade Log'!$A$6:$A$1005,"&lt;="&amp;($B14+6),'Trade Log'!$Z$6:$Z$1005,"No")),"—"))</f>
        <v/>
      </c>
      <c r="I14" s="111" t="str">
        <f>IF(OR($B14="",N($C14)=0),"",IF(MAX($Q14:$AB14)=0,"None — clean week",INDEX($Q$5:$AB$5,MATCH(MAX($Q14:$AB14),$Q14:$AB14,0))))</f>
        <v/>
      </c>
      <c r="J14" s="111" t="str">
        <f>IF(OR($B14="",N($C14)=0),"",IF(MIN($AC14:$AL14)&gt;=0,"None lost money",INDEX($AC$5:$AL$5,MATCH(MIN($AC14:$AL14),$AC14:$AL14,0))))</f>
        <v/>
      </c>
      <c r="K14" s="111" t="str">
        <f>IF(OR($B14="",N($C14)=0),"",IF(MAX($AM14:$AV14)&lt;=0,"None made money",INDEX($AM$5:$AV$5,MATCH(MAX($AM14:$AV14),$AM14:$AV14,0))))</f>
        <v/>
      </c>
      <c r="L14" s="106" t="n"/>
      <c r="M14" s="106" t="n"/>
      <c r="N14" s="112" t="n"/>
      <c r="O14" s="29" t="n"/>
      <c r="Q14" s="109">
        <f>IF(OR($B14="",Q$5=""),0,COUNTIFS('Trade Log'!$A$6:$A$1005,"&gt;="&amp;$B14,'Trade Log'!$A$6:$A$1005,"&lt;="&amp;($B14+6),'Trade Log'!$AB$6:$AB$1005,Q$5))</f>
        <v>0</v>
      </c>
      <c r="R14" s="109">
        <f>IF(OR($B14="",R$5=""),0,COUNTIFS('Trade Log'!$A$6:$A$1005,"&gt;="&amp;$B14,'Trade Log'!$A$6:$A$1005,"&lt;="&amp;($B14+6),'Trade Log'!$AB$6:$AB$1005,R$5))</f>
        <v>0</v>
      </c>
      <c r="S14" s="109">
        <f>IF(OR($B14="",S$5=""),0,COUNTIFS('Trade Log'!$A$6:$A$1005,"&gt;="&amp;$B14,'Trade Log'!$A$6:$A$1005,"&lt;="&amp;($B14+6),'Trade Log'!$AB$6:$AB$1005,S$5))</f>
        <v>0</v>
      </c>
      <c r="T14" s="109">
        <f>IF(OR($B14="",T$5=""),0,COUNTIFS('Trade Log'!$A$6:$A$1005,"&gt;="&amp;$B14,'Trade Log'!$A$6:$A$1005,"&lt;="&amp;($B14+6),'Trade Log'!$AB$6:$AB$1005,T$5))</f>
        <v>0</v>
      </c>
      <c r="U14" s="109">
        <f>IF(OR($B14="",U$5=""),0,COUNTIFS('Trade Log'!$A$6:$A$1005,"&gt;="&amp;$B14,'Trade Log'!$A$6:$A$1005,"&lt;="&amp;($B14+6),'Trade Log'!$AB$6:$AB$1005,U$5))</f>
        <v>0</v>
      </c>
      <c r="V14" s="109">
        <f>IF(OR($B14="",V$5=""),0,COUNTIFS('Trade Log'!$A$6:$A$1005,"&gt;="&amp;$B14,'Trade Log'!$A$6:$A$1005,"&lt;="&amp;($B14+6),'Trade Log'!$AB$6:$AB$1005,V$5))</f>
        <v>0</v>
      </c>
      <c r="W14" s="109">
        <f>IF(OR($B14="",W$5=""),0,COUNTIFS('Trade Log'!$A$6:$A$1005,"&gt;="&amp;$B14,'Trade Log'!$A$6:$A$1005,"&lt;="&amp;($B14+6),'Trade Log'!$AB$6:$AB$1005,W$5))</f>
        <v>0</v>
      </c>
      <c r="X14" s="109">
        <f>IF(OR($B14="",X$5=""),0,COUNTIFS('Trade Log'!$A$6:$A$1005,"&gt;="&amp;$B14,'Trade Log'!$A$6:$A$1005,"&lt;="&amp;($B14+6),'Trade Log'!$AB$6:$AB$1005,X$5))</f>
        <v>0</v>
      </c>
      <c r="Y14" s="109">
        <f>IF(OR($B14="",Y$5=""),0,COUNTIFS('Trade Log'!$A$6:$A$1005,"&gt;="&amp;$B14,'Trade Log'!$A$6:$A$1005,"&lt;="&amp;($B14+6),'Trade Log'!$AB$6:$AB$1005,Y$5))</f>
        <v>0</v>
      </c>
      <c r="Z14" s="109">
        <f>IF(OR($B14="",Z$5=""),0,COUNTIFS('Trade Log'!$A$6:$A$1005,"&gt;="&amp;$B14,'Trade Log'!$A$6:$A$1005,"&lt;="&amp;($B14+6),'Trade Log'!$AB$6:$AB$1005,Z$5))</f>
        <v>0</v>
      </c>
      <c r="AA14" s="109">
        <f>IF(OR($B14="",AA$5=""),0,COUNTIFS('Trade Log'!$A$6:$A$1005,"&gt;="&amp;$B14,'Trade Log'!$A$6:$A$1005,"&lt;="&amp;($B14+6),'Trade Log'!$AB$6:$AB$1005,AA$5))</f>
        <v>0</v>
      </c>
      <c r="AB14" s="109">
        <f>IF(OR($B14="",AB$5=""),0,COUNTIFS('Trade Log'!$A$6:$A$1005,"&gt;="&amp;$B14,'Trade Log'!$A$6:$A$1005,"&lt;="&amp;($B14+6),'Trade Log'!$AB$6:$AB$1005,AB$5))</f>
        <v>0</v>
      </c>
      <c r="AC14" s="113">
        <f>IF(OR($B14="",AC$5=""),0,SUMIFS('Trade Log'!$Q$6:$Q$1005,'Trade Log'!$A$6:$A$1005,"&gt;="&amp;$B14,'Trade Log'!$A$6:$A$1005,"&lt;="&amp;($B14+6),'Trade Log'!$AA$6:$AA$1005,AC$5))</f>
        <v>0</v>
      </c>
      <c r="AD14" s="113">
        <f>IF(OR($B14="",AD$5=""),0,SUMIFS('Trade Log'!$Q$6:$Q$1005,'Trade Log'!$A$6:$A$1005,"&gt;="&amp;$B14,'Trade Log'!$A$6:$A$1005,"&lt;="&amp;($B14+6),'Trade Log'!$AA$6:$AA$1005,AD$5))</f>
        <v>0</v>
      </c>
      <c r="AE14" s="113">
        <f>IF(OR($B14="",AE$5=""),0,SUMIFS('Trade Log'!$Q$6:$Q$1005,'Trade Log'!$A$6:$A$1005,"&gt;="&amp;$B14,'Trade Log'!$A$6:$A$1005,"&lt;="&amp;($B14+6),'Trade Log'!$AA$6:$AA$1005,AE$5))</f>
        <v>0</v>
      </c>
      <c r="AF14" s="113">
        <f>IF(OR($B14="",AF$5=""),0,SUMIFS('Trade Log'!$Q$6:$Q$1005,'Trade Log'!$A$6:$A$1005,"&gt;="&amp;$B14,'Trade Log'!$A$6:$A$1005,"&lt;="&amp;($B14+6),'Trade Log'!$AA$6:$AA$1005,AF$5))</f>
        <v>0</v>
      </c>
      <c r="AG14" s="113">
        <f>IF(OR($B14="",AG$5=""),0,SUMIFS('Trade Log'!$Q$6:$Q$1005,'Trade Log'!$A$6:$A$1005,"&gt;="&amp;$B14,'Trade Log'!$A$6:$A$1005,"&lt;="&amp;($B14+6),'Trade Log'!$AA$6:$AA$1005,AG$5))</f>
        <v>0</v>
      </c>
      <c r="AH14" s="113">
        <f>IF(OR($B14="",AH$5=""),0,SUMIFS('Trade Log'!$Q$6:$Q$1005,'Trade Log'!$A$6:$A$1005,"&gt;="&amp;$B14,'Trade Log'!$A$6:$A$1005,"&lt;="&amp;($B14+6),'Trade Log'!$AA$6:$AA$1005,AH$5))</f>
        <v>0</v>
      </c>
      <c r="AI14" s="113">
        <f>IF(OR($B14="",AI$5=""),0,SUMIFS('Trade Log'!$Q$6:$Q$1005,'Trade Log'!$A$6:$A$1005,"&gt;="&amp;$B14,'Trade Log'!$A$6:$A$1005,"&lt;="&amp;($B14+6),'Trade Log'!$AA$6:$AA$1005,AI$5))</f>
        <v>0</v>
      </c>
      <c r="AJ14" s="113">
        <f>IF(OR($B14="",AJ$5=""),0,SUMIFS('Trade Log'!$Q$6:$Q$1005,'Trade Log'!$A$6:$A$1005,"&gt;="&amp;$B14,'Trade Log'!$A$6:$A$1005,"&lt;="&amp;($B14+6),'Trade Log'!$AA$6:$AA$1005,AJ$5))</f>
        <v>0</v>
      </c>
      <c r="AK14" s="113">
        <f>IF(OR($B14="",AK$5=""),0,SUMIFS('Trade Log'!$Q$6:$Q$1005,'Trade Log'!$A$6:$A$1005,"&gt;="&amp;$B14,'Trade Log'!$A$6:$A$1005,"&lt;="&amp;($B14+6),'Trade Log'!$AA$6:$AA$1005,AK$5))</f>
        <v>0</v>
      </c>
      <c r="AL14" s="113">
        <f>IF(OR($B14="",AL$5=""),0,SUMIFS('Trade Log'!$Q$6:$Q$1005,'Trade Log'!$A$6:$A$1005,"&gt;="&amp;$B14,'Trade Log'!$A$6:$A$1005,"&lt;="&amp;($B14+6),'Trade Log'!$AA$6:$AA$1005,AL$5))</f>
        <v>0</v>
      </c>
      <c r="AM14" s="113">
        <f>IF(OR($B14="",AM$5=""),0,SUMIFS('Trade Log'!$Q$6:$Q$1005,'Trade Log'!$A$6:$A$1005,"&gt;="&amp;$B14,'Trade Log'!$A$6:$A$1005,"&lt;="&amp;($B14+6),'Trade Log'!$Y$6:$Y$1005,AM$5))</f>
        <v>0</v>
      </c>
      <c r="AN14" s="113">
        <f>IF(OR($B14="",AN$5=""),0,SUMIFS('Trade Log'!$Q$6:$Q$1005,'Trade Log'!$A$6:$A$1005,"&gt;="&amp;$B14,'Trade Log'!$A$6:$A$1005,"&lt;="&amp;($B14+6),'Trade Log'!$Y$6:$Y$1005,AN$5))</f>
        <v>0</v>
      </c>
      <c r="AO14" s="113">
        <f>IF(OR($B14="",AO$5=""),0,SUMIFS('Trade Log'!$Q$6:$Q$1005,'Trade Log'!$A$6:$A$1005,"&gt;="&amp;$B14,'Trade Log'!$A$6:$A$1005,"&lt;="&amp;($B14+6),'Trade Log'!$Y$6:$Y$1005,AO$5))</f>
        <v>0</v>
      </c>
      <c r="AP14" s="113">
        <f>IF(OR($B14="",AP$5=""),0,SUMIFS('Trade Log'!$Q$6:$Q$1005,'Trade Log'!$A$6:$A$1005,"&gt;="&amp;$B14,'Trade Log'!$A$6:$A$1005,"&lt;="&amp;($B14+6),'Trade Log'!$Y$6:$Y$1005,AP$5))</f>
        <v>0</v>
      </c>
      <c r="AQ14" s="113">
        <f>IF(OR($B14="",AQ$5=""),0,SUMIFS('Trade Log'!$Q$6:$Q$1005,'Trade Log'!$A$6:$A$1005,"&gt;="&amp;$B14,'Trade Log'!$A$6:$A$1005,"&lt;="&amp;($B14+6),'Trade Log'!$Y$6:$Y$1005,AQ$5))</f>
        <v>0</v>
      </c>
      <c r="AR14" s="113">
        <f>IF(OR($B14="",AR$5=""),0,SUMIFS('Trade Log'!$Q$6:$Q$1005,'Trade Log'!$A$6:$A$1005,"&gt;="&amp;$B14,'Trade Log'!$A$6:$A$1005,"&lt;="&amp;($B14+6),'Trade Log'!$Y$6:$Y$1005,AR$5))</f>
        <v>0</v>
      </c>
      <c r="AS14" s="113">
        <f>IF(OR($B14="",AS$5=""),0,SUMIFS('Trade Log'!$Q$6:$Q$1005,'Trade Log'!$A$6:$A$1005,"&gt;="&amp;$B14,'Trade Log'!$A$6:$A$1005,"&lt;="&amp;($B14+6),'Trade Log'!$Y$6:$Y$1005,AS$5))</f>
        <v>0</v>
      </c>
      <c r="AT14" s="113">
        <f>IF(OR($B14="",AT$5=""),0,SUMIFS('Trade Log'!$Q$6:$Q$1005,'Trade Log'!$A$6:$A$1005,"&gt;="&amp;$B14,'Trade Log'!$A$6:$A$1005,"&lt;="&amp;($B14+6),'Trade Log'!$Y$6:$Y$1005,AT$5))</f>
        <v>0</v>
      </c>
      <c r="AU14" s="113">
        <f>IF(OR($B14="",AU$5=""),0,SUMIFS('Trade Log'!$Q$6:$Q$1005,'Trade Log'!$A$6:$A$1005,"&gt;="&amp;$B14,'Trade Log'!$A$6:$A$1005,"&lt;="&amp;($B14+6),'Trade Log'!$Y$6:$Y$1005,AU$5))</f>
        <v>0</v>
      </c>
      <c r="AV14" s="113">
        <f>IF(OR($B14="",AV$5=""),0,SUMIFS('Trade Log'!$Q$6:$Q$1005,'Trade Log'!$A$6:$A$1005,"&gt;="&amp;$B14,'Trade Log'!$A$6:$A$1005,"&lt;="&amp;($B14+6),'Trade Log'!$Y$6:$Y$1005,AV$5))</f>
        <v>0</v>
      </c>
    </row>
    <row r="15">
      <c r="B15" s="107">
        <f>IF($B14="","",$B14+7)</f>
        <v>46349</v>
      </c>
      <c r="C15" s="96">
        <f>IF($B15="","",COUNTIFS('Trade Log'!$A$6:$A$1005,"&gt;="&amp;$B15,'Trade Log'!$A$6:$A$1005,"&lt;="&amp;($B15+6),'Trade Log'!$BH$6:$BH$1005,1))</f>
        <v>0</v>
      </c>
      <c r="D15" s="98" t="str">
        <f>IF(OR($B15="",N($C15)=0),"",SUMIFS('Trade Log'!$Q$6:$Q$1005,'Trade Log'!$A$6:$A$1005,"&gt;="&amp;$B15,'Trade Log'!$A$6:$A$1005,"&lt;="&amp;($B15+6)))</f>
        <v/>
      </c>
      <c r="E15" s="99" t="str">
        <f>IF(OR($B15="",N($C15)=0),"",IFERROR(COUNTIFS('Trade Log'!$A$6:$A$1005,"&gt;="&amp;$B15,'Trade Log'!$A$6:$A$1005,"&lt;="&amp;($B15+6),'Trade Log'!$S$6:$S$1005,"Win")/(COUNTIFS('Trade Log'!$A$6:$A$1005,"&gt;="&amp;$B15,'Trade Log'!$A$6:$A$1005,"&lt;="&amp;($B15+6),'Trade Log'!$S$6:$S$1005,"Win")+COUNTIFS('Trade Log'!$A$6:$A$1005,"&gt;="&amp;$B15,'Trade Log'!$A$6:$A$1005,"&lt;="&amp;($B15+6),'Trade Log'!$S$6:$S$1005,"Loss")),"—"))</f>
        <v/>
      </c>
      <c r="F15" s="104" t="str">
        <f>IF(OR($B15="",N($C15)=0),"",IFERROR(SUMIFS('Trade Log'!$R$6:$R$1005,'Trade Log'!$A$6:$A$1005,"&gt;="&amp;$B15,'Trade Log'!$A$6:$A$1005,"&lt;="&amp;($B15+6))/COUNTIFS('Trade Log'!$A$6:$A$1005,"&gt;="&amp;$B15,'Trade Log'!$A$6:$A$1005,"&lt;="&amp;($B15+6),'Trade Log'!$BC$6:$BC$1005,1),"—"))</f>
        <v/>
      </c>
      <c r="G15" s="110" t="str">
        <f>IF(OR($B15="",N($C15)=0),"",IF(SUMIFS('Trade Log'!$Q$6:$Q$1005,'Trade Log'!$A$6:$A$1005,"&gt;="&amp;$B15,'Trade Log'!$A$6:$A$1005,"&lt;="&amp;($B15+6),'Trade Log'!$Q$6:$Q$1005,"&lt;0")=0,IF(SUMIFS('Trade Log'!$Q$6:$Q$1005,'Trade Log'!$A$6:$A$1005,"&gt;="&amp;$B15,'Trade Log'!$A$6:$A$1005,"&lt;="&amp;($B15+6),'Trade Log'!$Q$6:$Q$1005,"&gt;0")&gt;0,"No losses","—"),SUMIFS('Trade Log'!$Q$6:$Q$1005,'Trade Log'!$A$6:$A$1005,"&gt;="&amp;$B15,'Trade Log'!$A$6:$A$1005,"&lt;="&amp;($B15+6),'Trade Log'!$Q$6:$Q$1005,"&gt;0")/-SUMIFS('Trade Log'!$Q$6:$Q$1005,'Trade Log'!$A$6:$A$1005,"&gt;="&amp;$B15,'Trade Log'!$A$6:$A$1005,"&lt;="&amp;($B15+6),'Trade Log'!$Q$6:$Q$1005,"&lt;0")))</f>
        <v/>
      </c>
      <c r="H15" s="99" t="str">
        <f>IF(OR($B15="",N($C15)=0),"",IFERROR(COUNTIFS('Trade Log'!$A$6:$A$1005,"&gt;="&amp;$B15,'Trade Log'!$A$6:$A$1005,"&lt;="&amp;($B15+6),'Trade Log'!$Z$6:$Z$1005,"Yes")/(COUNTIFS('Trade Log'!$A$6:$A$1005,"&gt;="&amp;$B15,'Trade Log'!$A$6:$A$1005,"&lt;="&amp;($B15+6),'Trade Log'!$Z$6:$Z$1005,"Yes")+COUNTIFS('Trade Log'!$A$6:$A$1005,"&gt;="&amp;$B15,'Trade Log'!$A$6:$A$1005,"&lt;="&amp;($B15+6),'Trade Log'!$Z$6:$Z$1005,"No")),"—"))</f>
        <v/>
      </c>
      <c r="I15" s="111" t="str">
        <f>IF(OR($B15="",N($C15)=0),"",IF(MAX($Q15:$AB15)=0,"None — clean week",INDEX($Q$5:$AB$5,MATCH(MAX($Q15:$AB15),$Q15:$AB15,0))))</f>
        <v/>
      </c>
      <c r="J15" s="111" t="str">
        <f>IF(OR($B15="",N($C15)=0),"",IF(MIN($AC15:$AL15)&gt;=0,"None lost money",INDEX($AC$5:$AL$5,MATCH(MIN($AC15:$AL15),$AC15:$AL15,0))))</f>
        <v/>
      </c>
      <c r="K15" s="111" t="str">
        <f>IF(OR($B15="",N($C15)=0),"",IF(MAX($AM15:$AV15)&lt;=0,"None made money",INDEX($AM$5:$AV$5,MATCH(MAX($AM15:$AV15),$AM15:$AV15,0))))</f>
        <v/>
      </c>
      <c r="L15" s="106" t="n"/>
      <c r="M15" s="106" t="n"/>
      <c r="N15" s="112" t="n"/>
      <c r="O15" s="29" t="n"/>
      <c r="Q15" s="109">
        <f>IF(OR($B15="",Q$5=""),0,COUNTIFS('Trade Log'!$A$6:$A$1005,"&gt;="&amp;$B15,'Trade Log'!$A$6:$A$1005,"&lt;="&amp;($B15+6),'Trade Log'!$AB$6:$AB$1005,Q$5))</f>
        <v>0</v>
      </c>
      <c r="R15" s="109">
        <f>IF(OR($B15="",R$5=""),0,COUNTIFS('Trade Log'!$A$6:$A$1005,"&gt;="&amp;$B15,'Trade Log'!$A$6:$A$1005,"&lt;="&amp;($B15+6),'Trade Log'!$AB$6:$AB$1005,R$5))</f>
        <v>0</v>
      </c>
      <c r="S15" s="109">
        <f>IF(OR($B15="",S$5=""),0,COUNTIFS('Trade Log'!$A$6:$A$1005,"&gt;="&amp;$B15,'Trade Log'!$A$6:$A$1005,"&lt;="&amp;($B15+6),'Trade Log'!$AB$6:$AB$1005,S$5))</f>
        <v>0</v>
      </c>
      <c r="T15" s="109">
        <f>IF(OR($B15="",T$5=""),0,COUNTIFS('Trade Log'!$A$6:$A$1005,"&gt;="&amp;$B15,'Trade Log'!$A$6:$A$1005,"&lt;="&amp;($B15+6),'Trade Log'!$AB$6:$AB$1005,T$5))</f>
        <v>0</v>
      </c>
      <c r="U15" s="109">
        <f>IF(OR($B15="",U$5=""),0,COUNTIFS('Trade Log'!$A$6:$A$1005,"&gt;="&amp;$B15,'Trade Log'!$A$6:$A$1005,"&lt;="&amp;($B15+6),'Trade Log'!$AB$6:$AB$1005,U$5))</f>
        <v>0</v>
      </c>
      <c r="V15" s="109">
        <f>IF(OR($B15="",V$5=""),0,COUNTIFS('Trade Log'!$A$6:$A$1005,"&gt;="&amp;$B15,'Trade Log'!$A$6:$A$1005,"&lt;="&amp;($B15+6),'Trade Log'!$AB$6:$AB$1005,V$5))</f>
        <v>0</v>
      </c>
      <c r="W15" s="109">
        <f>IF(OR($B15="",W$5=""),0,COUNTIFS('Trade Log'!$A$6:$A$1005,"&gt;="&amp;$B15,'Trade Log'!$A$6:$A$1005,"&lt;="&amp;($B15+6),'Trade Log'!$AB$6:$AB$1005,W$5))</f>
        <v>0</v>
      </c>
      <c r="X15" s="109">
        <f>IF(OR($B15="",X$5=""),0,COUNTIFS('Trade Log'!$A$6:$A$1005,"&gt;="&amp;$B15,'Trade Log'!$A$6:$A$1005,"&lt;="&amp;($B15+6),'Trade Log'!$AB$6:$AB$1005,X$5))</f>
        <v>0</v>
      </c>
      <c r="Y15" s="109">
        <f>IF(OR($B15="",Y$5=""),0,COUNTIFS('Trade Log'!$A$6:$A$1005,"&gt;="&amp;$B15,'Trade Log'!$A$6:$A$1005,"&lt;="&amp;($B15+6),'Trade Log'!$AB$6:$AB$1005,Y$5))</f>
        <v>0</v>
      </c>
      <c r="Z15" s="109">
        <f>IF(OR($B15="",Z$5=""),0,COUNTIFS('Trade Log'!$A$6:$A$1005,"&gt;="&amp;$B15,'Trade Log'!$A$6:$A$1005,"&lt;="&amp;($B15+6),'Trade Log'!$AB$6:$AB$1005,Z$5))</f>
        <v>0</v>
      </c>
      <c r="AA15" s="109">
        <f>IF(OR($B15="",AA$5=""),0,COUNTIFS('Trade Log'!$A$6:$A$1005,"&gt;="&amp;$B15,'Trade Log'!$A$6:$A$1005,"&lt;="&amp;($B15+6),'Trade Log'!$AB$6:$AB$1005,AA$5))</f>
        <v>0</v>
      </c>
      <c r="AB15" s="109">
        <f>IF(OR($B15="",AB$5=""),0,COUNTIFS('Trade Log'!$A$6:$A$1005,"&gt;="&amp;$B15,'Trade Log'!$A$6:$A$1005,"&lt;="&amp;($B15+6),'Trade Log'!$AB$6:$AB$1005,AB$5))</f>
        <v>0</v>
      </c>
      <c r="AC15" s="113">
        <f>IF(OR($B15="",AC$5=""),0,SUMIFS('Trade Log'!$Q$6:$Q$1005,'Trade Log'!$A$6:$A$1005,"&gt;="&amp;$B15,'Trade Log'!$A$6:$A$1005,"&lt;="&amp;($B15+6),'Trade Log'!$AA$6:$AA$1005,AC$5))</f>
        <v>0</v>
      </c>
      <c r="AD15" s="113">
        <f>IF(OR($B15="",AD$5=""),0,SUMIFS('Trade Log'!$Q$6:$Q$1005,'Trade Log'!$A$6:$A$1005,"&gt;="&amp;$B15,'Trade Log'!$A$6:$A$1005,"&lt;="&amp;($B15+6),'Trade Log'!$AA$6:$AA$1005,AD$5))</f>
        <v>0</v>
      </c>
      <c r="AE15" s="113">
        <f>IF(OR($B15="",AE$5=""),0,SUMIFS('Trade Log'!$Q$6:$Q$1005,'Trade Log'!$A$6:$A$1005,"&gt;="&amp;$B15,'Trade Log'!$A$6:$A$1005,"&lt;="&amp;($B15+6),'Trade Log'!$AA$6:$AA$1005,AE$5))</f>
        <v>0</v>
      </c>
      <c r="AF15" s="113">
        <f>IF(OR($B15="",AF$5=""),0,SUMIFS('Trade Log'!$Q$6:$Q$1005,'Trade Log'!$A$6:$A$1005,"&gt;="&amp;$B15,'Trade Log'!$A$6:$A$1005,"&lt;="&amp;($B15+6),'Trade Log'!$AA$6:$AA$1005,AF$5))</f>
        <v>0</v>
      </c>
      <c r="AG15" s="113">
        <f>IF(OR($B15="",AG$5=""),0,SUMIFS('Trade Log'!$Q$6:$Q$1005,'Trade Log'!$A$6:$A$1005,"&gt;="&amp;$B15,'Trade Log'!$A$6:$A$1005,"&lt;="&amp;($B15+6),'Trade Log'!$AA$6:$AA$1005,AG$5))</f>
        <v>0</v>
      </c>
      <c r="AH15" s="113">
        <f>IF(OR($B15="",AH$5=""),0,SUMIFS('Trade Log'!$Q$6:$Q$1005,'Trade Log'!$A$6:$A$1005,"&gt;="&amp;$B15,'Trade Log'!$A$6:$A$1005,"&lt;="&amp;($B15+6),'Trade Log'!$AA$6:$AA$1005,AH$5))</f>
        <v>0</v>
      </c>
      <c r="AI15" s="113">
        <f>IF(OR($B15="",AI$5=""),0,SUMIFS('Trade Log'!$Q$6:$Q$1005,'Trade Log'!$A$6:$A$1005,"&gt;="&amp;$B15,'Trade Log'!$A$6:$A$1005,"&lt;="&amp;($B15+6),'Trade Log'!$AA$6:$AA$1005,AI$5))</f>
        <v>0</v>
      </c>
      <c r="AJ15" s="113">
        <f>IF(OR($B15="",AJ$5=""),0,SUMIFS('Trade Log'!$Q$6:$Q$1005,'Trade Log'!$A$6:$A$1005,"&gt;="&amp;$B15,'Trade Log'!$A$6:$A$1005,"&lt;="&amp;($B15+6),'Trade Log'!$AA$6:$AA$1005,AJ$5))</f>
        <v>0</v>
      </c>
      <c r="AK15" s="113">
        <f>IF(OR($B15="",AK$5=""),0,SUMIFS('Trade Log'!$Q$6:$Q$1005,'Trade Log'!$A$6:$A$1005,"&gt;="&amp;$B15,'Trade Log'!$A$6:$A$1005,"&lt;="&amp;($B15+6),'Trade Log'!$AA$6:$AA$1005,AK$5))</f>
        <v>0</v>
      </c>
      <c r="AL15" s="113">
        <f>IF(OR($B15="",AL$5=""),0,SUMIFS('Trade Log'!$Q$6:$Q$1005,'Trade Log'!$A$6:$A$1005,"&gt;="&amp;$B15,'Trade Log'!$A$6:$A$1005,"&lt;="&amp;($B15+6),'Trade Log'!$AA$6:$AA$1005,AL$5))</f>
        <v>0</v>
      </c>
      <c r="AM15" s="113">
        <f>IF(OR($B15="",AM$5=""),0,SUMIFS('Trade Log'!$Q$6:$Q$1005,'Trade Log'!$A$6:$A$1005,"&gt;="&amp;$B15,'Trade Log'!$A$6:$A$1005,"&lt;="&amp;($B15+6),'Trade Log'!$Y$6:$Y$1005,AM$5))</f>
        <v>0</v>
      </c>
      <c r="AN15" s="113">
        <f>IF(OR($B15="",AN$5=""),0,SUMIFS('Trade Log'!$Q$6:$Q$1005,'Trade Log'!$A$6:$A$1005,"&gt;="&amp;$B15,'Trade Log'!$A$6:$A$1005,"&lt;="&amp;($B15+6),'Trade Log'!$Y$6:$Y$1005,AN$5))</f>
        <v>0</v>
      </c>
      <c r="AO15" s="113">
        <f>IF(OR($B15="",AO$5=""),0,SUMIFS('Trade Log'!$Q$6:$Q$1005,'Trade Log'!$A$6:$A$1005,"&gt;="&amp;$B15,'Trade Log'!$A$6:$A$1005,"&lt;="&amp;($B15+6),'Trade Log'!$Y$6:$Y$1005,AO$5))</f>
        <v>0</v>
      </c>
      <c r="AP15" s="113">
        <f>IF(OR($B15="",AP$5=""),0,SUMIFS('Trade Log'!$Q$6:$Q$1005,'Trade Log'!$A$6:$A$1005,"&gt;="&amp;$B15,'Trade Log'!$A$6:$A$1005,"&lt;="&amp;($B15+6),'Trade Log'!$Y$6:$Y$1005,AP$5))</f>
        <v>0</v>
      </c>
      <c r="AQ15" s="113">
        <f>IF(OR($B15="",AQ$5=""),0,SUMIFS('Trade Log'!$Q$6:$Q$1005,'Trade Log'!$A$6:$A$1005,"&gt;="&amp;$B15,'Trade Log'!$A$6:$A$1005,"&lt;="&amp;($B15+6),'Trade Log'!$Y$6:$Y$1005,AQ$5))</f>
        <v>0</v>
      </c>
      <c r="AR15" s="113">
        <f>IF(OR($B15="",AR$5=""),0,SUMIFS('Trade Log'!$Q$6:$Q$1005,'Trade Log'!$A$6:$A$1005,"&gt;="&amp;$B15,'Trade Log'!$A$6:$A$1005,"&lt;="&amp;($B15+6),'Trade Log'!$Y$6:$Y$1005,AR$5))</f>
        <v>0</v>
      </c>
      <c r="AS15" s="113">
        <f>IF(OR($B15="",AS$5=""),0,SUMIFS('Trade Log'!$Q$6:$Q$1005,'Trade Log'!$A$6:$A$1005,"&gt;="&amp;$B15,'Trade Log'!$A$6:$A$1005,"&lt;="&amp;($B15+6),'Trade Log'!$Y$6:$Y$1005,AS$5))</f>
        <v>0</v>
      </c>
      <c r="AT15" s="113">
        <f>IF(OR($B15="",AT$5=""),0,SUMIFS('Trade Log'!$Q$6:$Q$1005,'Trade Log'!$A$6:$A$1005,"&gt;="&amp;$B15,'Trade Log'!$A$6:$A$1005,"&lt;="&amp;($B15+6),'Trade Log'!$Y$6:$Y$1005,AT$5))</f>
        <v>0</v>
      </c>
      <c r="AU15" s="113">
        <f>IF(OR($B15="",AU$5=""),0,SUMIFS('Trade Log'!$Q$6:$Q$1005,'Trade Log'!$A$6:$A$1005,"&gt;="&amp;$B15,'Trade Log'!$A$6:$A$1005,"&lt;="&amp;($B15+6),'Trade Log'!$Y$6:$Y$1005,AU$5))</f>
        <v>0</v>
      </c>
      <c r="AV15" s="113">
        <f>IF(OR($B15="",AV$5=""),0,SUMIFS('Trade Log'!$Q$6:$Q$1005,'Trade Log'!$A$6:$A$1005,"&gt;="&amp;$B15,'Trade Log'!$A$6:$A$1005,"&lt;="&amp;($B15+6),'Trade Log'!$Y$6:$Y$1005,AV$5))</f>
        <v>0</v>
      </c>
    </row>
    <row r="16">
      <c r="B16" s="107">
        <f>IF($B15="","",$B15+7)</f>
        <v>46356</v>
      </c>
      <c r="C16" s="96">
        <f>IF($B16="","",COUNTIFS('Trade Log'!$A$6:$A$1005,"&gt;="&amp;$B16,'Trade Log'!$A$6:$A$1005,"&lt;="&amp;($B16+6),'Trade Log'!$BH$6:$BH$1005,1))</f>
        <v>0</v>
      </c>
      <c r="D16" s="98" t="str">
        <f>IF(OR($B16="",N($C16)=0),"",SUMIFS('Trade Log'!$Q$6:$Q$1005,'Trade Log'!$A$6:$A$1005,"&gt;="&amp;$B16,'Trade Log'!$A$6:$A$1005,"&lt;="&amp;($B16+6)))</f>
        <v/>
      </c>
      <c r="E16" s="99" t="str">
        <f>IF(OR($B16="",N($C16)=0),"",IFERROR(COUNTIFS('Trade Log'!$A$6:$A$1005,"&gt;="&amp;$B16,'Trade Log'!$A$6:$A$1005,"&lt;="&amp;($B16+6),'Trade Log'!$S$6:$S$1005,"Win")/(COUNTIFS('Trade Log'!$A$6:$A$1005,"&gt;="&amp;$B16,'Trade Log'!$A$6:$A$1005,"&lt;="&amp;($B16+6),'Trade Log'!$S$6:$S$1005,"Win")+COUNTIFS('Trade Log'!$A$6:$A$1005,"&gt;="&amp;$B16,'Trade Log'!$A$6:$A$1005,"&lt;="&amp;($B16+6),'Trade Log'!$S$6:$S$1005,"Loss")),"—"))</f>
        <v/>
      </c>
      <c r="F16" s="104" t="str">
        <f>IF(OR($B16="",N($C16)=0),"",IFERROR(SUMIFS('Trade Log'!$R$6:$R$1005,'Trade Log'!$A$6:$A$1005,"&gt;="&amp;$B16,'Trade Log'!$A$6:$A$1005,"&lt;="&amp;($B16+6))/COUNTIFS('Trade Log'!$A$6:$A$1005,"&gt;="&amp;$B16,'Trade Log'!$A$6:$A$1005,"&lt;="&amp;($B16+6),'Trade Log'!$BC$6:$BC$1005,1),"—"))</f>
        <v/>
      </c>
      <c r="G16" s="110" t="str">
        <f>IF(OR($B16="",N($C16)=0),"",IF(SUMIFS('Trade Log'!$Q$6:$Q$1005,'Trade Log'!$A$6:$A$1005,"&gt;="&amp;$B16,'Trade Log'!$A$6:$A$1005,"&lt;="&amp;($B16+6),'Trade Log'!$Q$6:$Q$1005,"&lt;0")=0,IF(SUMIFS('Trade Log'!$Q$6:$Q$1005,'Trade Log'!$A$6:$A$1005,"&gt;="&amp;$B16,'Trade Log'!$A$6:$A$1005,"&lt;="&amp;($B16+6),'Trade Log'!$Q$6:$Q$1005,"&gt;0")&gt;0,"No losses","—"),SUMIFS('Trade Log'!$Q$6:$Q$1005,'Trade Log'!$A$6:$A$1005,"&gt;="&amp;$B16,'Trade Log'!$A$6:$A$1005,"&lt;="&amp;($B16+6),'Trade Log'!$Q$6:$Q$1005,"&gt;0")/-SUMIFS('Trade Log'!$Q$6:$Q$1005,'Trade Log'!$A$6:$A$1005,"&gt;="&amp;$B16,'Trade Log'!$A$6:$A$1005,"&lt;="&amp;($B16+6),'Trade Log'!$Q$6:$Q$1005,"&lt;0")))</f>
        <v/>
      </c>
      <c r="H16" s="99" t="str">
        <f>IF(OR($B16="",N($C16)=0),"",IFERROR(COUNTIFS('Trade Log'!$A$6:$A$1005,"&gt;="&amp;$B16,'Trade Log'!$A$6:$A$1005,"&lt;="&amp;($B16+6),'Trade Log'!$Z$6:$Z$1005,"Yes")/(COUNTIFS('Trade Log'!$A$6:$A$1005,"&gt;="&amp;$B16,'Trade Log'!$A$6:$A$1005,"&lt;="&amp;($B16+6),'Trade Log'!$Z$6:$Z$1005,"Yes")+COUNTIFS('Trade Log'!$A$6:$A$1005,"&gt;="&amp;$B16,'Trade Log'!$A$6:$A$1005,"&lt;="&amp;($B16+6),'Trade Log'!$Z$6:$Z$1005,"No")),"—"))</f>
        <v/>
      </c>
      <c r="I16" s="111" t="str">
        <f>IF(OR($B16="",N($C16)=0),"",IF(MAX($Q16:$AB16)=0,"None — clean week",INDEX($Q$5:$AB$5,MATCH(MAX($Q16:$AB16),$Q16:$AB16,0))))</f>
        <v/>
      </c>
      <c r="J16" s="111" t="str">
        <f>IF(OR($B16="",N($C16)=0),"",IF(MIN($AC16:$AL16)&gt;=0,"None lost money",INDEX($AC$5:$AL$5,MATCH(MIN($AC16:$AL16),$AC16:$AL16,0))))</f>
        <v/>
      </c>
      <c r="K16" s="111" t="str">
        <f>IF(OR($B16="",N($C16)=0),"",IF(MAX($AM16:$AV16)&lt;=0,"None made money",INDEX($AM$5:$AV$5,MATCH(MAX($AM16:$AV16),$AM16:$AV16,0))))</f>
        <v/>
      </c>
      <c r="L16" s="106" t="n"/>
      <c r="M16" s="106" t="n"/>
      <c r="N16" s="112" t="n"/>
      <c r="O16" s="29" t="n"/>
      <c r="Q16" s="109">
        <f>IF(OR($B16="",Q$5=""),0,COUNTIFS('Trade Log'!$A$6:$A$1005,"&gt;="&amp;$B16,'Trade Log'!$A$6:$A$1005,"&lt;="&amp;($B16+6),'Trade Log'!$AB$6:$AB$1005,Q$5))</f>
        <v>0</v>
      </c>
      <c r="R16" s="109">
        <f>IF(OR($B16="",R$5=""),0,COUNTIFS('Trade Log'!$A$6:$A$1005,"&gt;="&amp;$B16,'Trade Log'!$A$6:$A$1005,"&lt;="&amp;($B16+6),'Trade Log'!$AB$6:$AB$1005,R$5))</f>
        <v>0</v>
      </c>
      <c r="S16" s="109">
        <f>IF(OR($B16="",S$5=""),0,COUNTIFS('Trade Log'!$A$6:$A$1005,"&gt;="&amp;$B16,'Trade Log'!$A$6:$A$1005,"&lt;="&amp;($B16+6),'Trade Log'!$AB$6:$AB$1005,S$5))</f>
        <v>0</v>
      </c>
      <c r="T16" s="109">
        <f>IF(OR($B16="",T$5=""),0,COUNTIFS('Trade Log'!$A$6:$A$1005,"&gt;="&amp;$B16,'Trade Log'!$A$6:$A$1005,"&lt;="&amp;($B16+6),'Trade Log'!$AB$6:$AB$1005,T$5))</f>
        <v>0</v>
      </c>
      <c r="U16" s="109">
        <f>IF(OR($B16="",U$5=""),0,COUNTIFS('Trade Log'!$A$6:$A$1005,"&gt;="&amp;$B16,'Trade Log'!$A$6:$A$1005,"&lt;="&amp;($B16+6),'Trade Log'!$AB$6:$AB$1005,U$5))</f>
        <v>0</v>
      </c>
      <c r="V16" s="109">
        <f>IF(OR($B16="",V$5=""),0,COUNTIFS('Trade Log'!$A$6:$A$1005,"&gt;="&amp;$B16,'Trade Log'!$A$6:$A$1005,"&lt;="&amp;($B16+6),'Trade Log'!$AB$6:$AB$1005,V$5))</f>
        <v>0</v>
      </c>
      <c r="W16" s="109">
        <f>IF(OR($B16="",W$5=""),0,COUNTIFS('Trade Log'!$A$6:$A$1005,"&gt;="&amp;$B16,'Trade Log'!$A$6:$A$1005,"&lt;="&amp;($B16+6),'Trade Log'!$AB$6:$AB$1005,W$5))</f>
        <v>0</v>
      </c>
      <c r="X16" s="109">
        <f>IF(OR($B16="",X$5=""),0,COUNTIFS('Trade Log'!$A$6:$A$1005,"&gt;="&amp;$B16,'Trade Log'!$A$6:$A$1005,"&lt;="&amp;($B16+6),'Trade Log'!$AB$6:$AB$1005,X$5))</f>
        <v>0</v>
      </c>
      <c r="Y16" s="109">
        <f>IF(OR($B16="",Y$5=""),0,COUNTIFS('Trade Log'!$A$6:$A$1005,"&gt;="&amp;$B16,'Trade Log'!$A$6:$A$1005,"&lt;="&amp;($B16+6),'Trade Log'!$AB$6:$AB$1005,Y$5))</f>
        <v>0</v>
      </c>
      <c r="Z16" s="109">
        <f>IF(OR($B16="",Z$5=""),0,COUNTIFS('Trade Log'!$A$6:$A$1005,"&gt;="&amp;$B16,'Trade Log'!$A$6:$A$1005,"&lt;="&amp;($B16+6),'Trade Log'!$AB$6:$AB$1005,Z$5))</f>
        <v>0</v>
      </c>
      <c r="AA16" s="109">
        <f>IF(OR($B16="",AA$5=""),0,COUNTIFS('Trade Log'!$A$6:$A$1005,"&gt;="&amp;$B16,'Trade Log'!$A$6:$A$1005,"&lt;="&amp;($B16+6),'Trade Log'!$AB$6:$AB$1005,AA$5))</f>
        <v>0</v>
      </c>
      <c r="AB16" s="109">
        <f>IF(OR($B16="",AB$5=""),0,COUNTIFS('Trade Log'!$A$6:$A$1005,"&gt;="&amp;$B16,'Trade Log'!$A$6:$A$1005,"&lt;="&amp;($B16+6),'Trade Log'!$AB$6:$AB$1005,AB$5))</f>
        <v>0</v>
      </c>
      <c r="AC16" s="113">
        <f>IF(OR($B16="",AC$5=""),0,SUMIFS('Trade Log'!$Q$6:$Q$1005,'Trade Log'!$A$6:$A$1005,"&gt;="&amp;$B16,'Trade Log'!$A$6:$A$1005,"&lt;="&amp;($B16+6),'Trade Log'!$AA$6:$AA$1005,AC$5))</f>
        <v>0</v>
      </c>
      <c r="AD16" s="113">
        <f>IF(OR($B16="",AD$5=""),0,SUMIFS('Trade Log'!$Q$6:$Q$1005,'Trade Log'!$A$6:$A$1005,"&gt;="&amp;$B16,'Trade Log'!$A$6:$A$1005,"&lt;="&amp;($B16+6),'Trade Log'!$AA$6:$AA$1005,AD$5))</f>
        <v>0</v>
      </c>
      <c r="AE16" s="113">
        <f>IF(OR($B16="",AE$5=""),0,SUMIFS('Trade Log'!$Q$6:$Q$1005,'Trade Log'!$A$6:$A$1005,"&gt;="&amp;$B16,'Trade Log'!$A$6:$A$1005,"&lt;="&amp;($B16+6),'Trade Log'!$AA$6:$AA$1005,AE$5))</f>
        <v>0</v>
      </c>
      <c r="AF16" s="113">
        <f>IF(OR($B16="",AF$5=""),0,SUMIFS('Trade Log'!$Q$6:$Q$1005,'Trade Log'!$A$6:$A$1005,"&gt;="&amp;$B16,'Trade Log'!$A$6:$A$1005,"&lt;="&amp;($B16+6),'Trade Log'!$AA$6:$AA$1005,AF$5))</f>
        <v>0</v>
      </c>
      <c r="AG16" s="113">
        <f>IF(OR($B16="",AG$5=""),0,SUMIFS('Trade Log'!$Q$6:$Q$1005,'Trade Log'!$A$6:$A$1005,"&gt;="&amp;$B16,'Trade Log'!$A$6:$A$1005,"&lt;="&amp;($B16+6),'Trade Log'!$AA$6:$AA$1005,AG$5))</f>
        <v>0</v>
      </c>
      <c r="AH16" s="113">
        <f>IF(OR($B16="",AH$5=""),0,SUMIFS('Trade Log'!$Q$6:$Q$1005,'Trade Log'!$A$6:$A$1005,"&gt;="&amp;$B16,'Trade Log'!$A$6:$A$1005,"&lt;="&amp;($B16+6),'Trade Log'!$AA$6:$AA$1005,AH$5))</f>
        <v>0</v>
      </c>
      <c r="AI16" s="113">
        <f>IF(OR($B16="",AI$5=""),0,SUMIFS('Trade Log'!$Q$6:$Q$1005,'Trade Log'!$A$6:$A$1005,"&gt;="&amp;$B16,'Trade Log'!$A$6:$A$1005,"&lt;="&amp;($B16+6),'Trade Log'!$AA$6:$AA$1005,AI$5))</f>
        <v>0</v>
      </c>
      <c r="AJ16" s="113">
        <f>IF(OR($B16="",AJ$5=""),0,SUMIFS('Trade Log'!$Q$6:$Q$1005,'Trade Log'!$A$6:$A$1005,"&gt;="&amp;$B16,'Trade Log'!$A$6:$A$1005,"&lt;="&amp;($B16+6),'Trade Log'!$AA$6:$AA$1005,AJ$5))</f>
        <v>0</v>
      </c>
      <c r="AK16" s="113">
        <f>IF(OR($B16="",AK$5=""),0,SUMIFS('Trade Log'!$Q$6:$Q$1005,'Trade Log'!$A$6:$A$1005,"&gt;="&amp;$B16,'Trade Log'!$A$6:$A$1005,"&lt;="&amp;($B16+6),'Trade Log'!$AA$6:$AA$1005,AK$5))</f>
        <v>0</v>
      </c>
      <c r="AL16" s="113">
        <f>IF(OR($B16="",AL$5=""),0,SUMIFS('Trade Log'!$Q$6:$Q$1005,'Trade Log'!$A$6:$A$1005,"&gt;="&amp;$B16,'Trade Log'!$A$6:$A$1005,"&lt;="&amp;($B16+6),'Trade Log'!$AA$6:$AA$1005,AL$5))</f>
        <v>0</v>
      </c>
      <c r="AM16" s="113">
        <f>IF(OR($B16="",AM$5=""),0,SUMIFS('Trade Log'!$Q$6:$Q$1005,'Trade Log'!$A$6:$A$1005,"&gt;="&amp;$B16,'Trade Log'!$A$6:$A$1005,"&lt;="&amp;($B16+6),'Trade Log'!$Y$6:$Y$1005,AM$5))</f>
        <v>0</v>
      </c>
      <c r="AN16" s="113">
        <f>IF(OR($B16="",AN$5=""),0,SUMIFS('Trade Log'!$Q$6:$Q$1005,'Trade Log'!$A$6:$A$1005,"&gt;="&amp;$B16,'Trade Log'!$A$6:$A$1005,"&lt;="&amp;($B16+6),'Trade Log'!$Y$6:$Y$1005,AN$5))</f>
        <v>0</v>
      </c>
      <c r="AO16" s="113">
        <f>IF(OR($B16="",AO$5=""),0,SUMIFS('Trade Log'!$Q$6:$Q$1005,'Trade Log'!$A$6:$A$1005,"&gt;="&amp;$B16,'Trade Log'!$A$6:$A$1005,"&lt;="&amp;($B16+6),'Trade Log'!$Y$6:$Y$1005,AO$5))</f>
        <v>0</v>
      </c>
      <c r="AP16" s="113">
        <f>IF(OR($B16="",AP$5=""),0,SUMIFS('Trade Log'!$Q$6:$Q$1005,'Trade Log'!$A$6:$A$1005,"&gt;="&amp;$B16,'Trade Log'!$A$6:$A$1005,"&lt;="&amp;($B16+6),'Trade Log'!$Y$6:$Y$1005,AP$5))</f>
        <v>0</v>
      </c>
      <c r="AQ16" s="113">
        <f>IF(OR($B16="",AQ$5=""),0,SUMIFS('Trade Log'!$Q$6:$Q$1005,'Trade Log'!$A$6:$A$1005,"&gt;="&amp;$B16,'Trade Log'!$A$6:$A$1005,"&lt;="&amp;($B16+6),'Trade Log'!$Y$6:$Y$1005,AQ$5))</f>
        <v>0</v>
      </c>
      <c r="AR16" s="113">
        <f>IF(OR($B16="",AR$5=""),0,SUMIFS('Trade Log'!$Q$6:$Q$1005,'Trade Log'!$A$6:$A$1005,"&gt;="&amp;$B16,'Trade Log'!$A$6:$A$1005,"&lt;="&amp;($B16+6),'Trade Log'!$Y$6:$Y$1005,AR$5))</f>
        <v>0</v>
      </c>
      <c r="AS16" s="113">
        <f>IF(OR($B16="",AS$5=""),0,SUMIFS('Trade Log'!$Q$6:$Q$1005,'Trade Log'!$A$6:$A$1005,"&gt;="&amp;$B16,'Trade Log'!$A$6:$A$1005,"&lt;="&amp;($B16+6),'Trade Log'!$Y$6:$Y$1005,AS$5))</f>
        <v>0</v>
      </c>
      <c r="AT16" s="113">
        <f>IF(OR($B16="",AT$5=""),0,SUMIFS('Trade Log'!$Q$6:$Q$1005,'Trade Log'!$A$6:$A$1005,"&gt;="&amp;$B16,'Trade Log'!$A$6:$A$1005,"&lt;="&amp;($B16+6),'Trade Log'!$Y$6:$Y$1005,AT$5))</f>
        <v>0</v>
      </c>
      <c r="AU16" s="113">
        <f>IF(OR($B16="",AU$5=""),0,SUMIFS('Trade Log'!$Q$6:$Q$1005,'Trade Log'!$A$6:$A$1005,"&gt;="&amp;$B16,'Trade Log'!$A$6:$A$1005,"&lt;="&amp;($B16+6),'Trade Log'!$Y$6:$Y$1005,AU$5))</f>
        <v>0</v>
      </c>
      <c r="AV16" s="113">
        <f>IF(OR($B16="",AV$5=""),0,SUMIFS('Trade Log'!$Q$6:$Q$1005,'Trade Log'!$A$6:$A$1005,"&gt;="&amp;$B16,'Trade Log'!$A$6:$A$1005,"&lt;="&amp;($B16+6),'Trade Log'!$Y$6:$Y$1005,AV$5))</f>
        <v>0</v>
      </c>
    </row>
    <row r="17">
      <c r="B17" s="107">
        <f>IF($B16="","",$B16+7)</f>
        <v>46363</v>
      </c>
      <c r="C17" s="96">
        <f>IF($B17="","",COUNTIFS('Trade Log'!$A$6:$A$1005,"&gt;="&amp;$B17,'Trade Log'!$A$6:$A$1005,"&lt;="&amp;($B17+6),'Trade Log'!$BH$6:$BH$1005,1))</f>
        <v>0</v>
      </c>
      <c r="D17" s="98" t="str">
        <f>IF(OR($B17="",N($C17)=0),"",SUMIFS('Trade Log'!$Q$6:$Q$1005,'Trade Log'!$A$6:$A$1005,"&gt;="&amp;$B17,'Trade Log'!$A$6:$A$1005,"&lt;="&amp;($B17+6)))</f>
        <v/>
      </c>
      <c r="E17" s="99" t="str">
        <f>IF(OR($B17="",N($C17)=0),"",IFERROR(COUNTIFS('Trade Log'!$A$6:$A$1005,"&gt;="&amp;$B17,'Trade Log'!$A$6:$A$1005,"&lt;="&amp;($B17+6),'Trade Log'!$S$6:$S$1005,"Win")/(COUNTIFS('Trade Log'!$A$6:$A$1005,"&gt;="&amp;$B17,'Trade Log'!$A$6:$A$1005,"&lt;="&amp;($B17+6),'Trade Log'!$S$6:$S$1005,"Win")+COUNTIFS('Trade Log'!$A$6:$A$1005,"&gt;="&amp;$B17,'Trade Log'!$A$6:$A$1005,"&lt;="&amp;($B17+6),'Trade Log'!$S$6:$S$1005,"Loss")),"—"))</f>
        <v/>
      </c>
      <c r="F17" s="104" t="str">
        <f>IF(OR($B17="",N($C17)=0),"",IFERROR(SUMIFS('Trade Log'!$R$6:$R$1005,'Trade Log'!$A$6:$A$1005,"&gt;="&amp;$B17,'Trade Log'!$A$6:$A$1005,"&lt;="&amp;($B17+6))/COUNTIFS('Trade Log'!$A$6:$A$1005,"&gt;="&amp;$B17,'Trade Log'!$A$6:$A$1005,"&lt;="&amp;($B17+6),'Trade Log'!$BC$6:$BC$1005,1),"—"))</f>
        <v/>
      </c>
      <c r="G17" s="110" t="str">
        <f>IF(OR($B17="",N($C17)=0),"",IF(SUMIFS('Trade Log'!$Q$6:$Q$1005,'Trade Log'!$A$6:$A$1005,"&gt;="&amp;$B17,'Trade Log'!$A$6:$A$1005,"&lt;="&amp;($B17+6),'Trade Log'!$Q$6:$Q$1005,"&lt;0")=0,IF(SUMIFS('Trade Log'!$Q$6:$Q$1005,'Trade Log'!$A$6:$A$1005,"&gt;="&amp;$B17,'Trade Log'!$A$6:$A$1005,"&lt;="&amp;($B17+6),'Trade Log'!$Q$6:$Q$1005,"&gt;0")&gt;0,"No losses","—"),SUMIFS('Trade Log'!$Q$6:$Q$1005,'Trade Log'!$A$6:$A$1005,"&gt;="&amp;$B17,'Trade Log'!$A$6:$A$1005,"&lt;="&amp;($B17+6),'Trade Log'!$Q$6:$Q$1005,"&gt;0")/-SUMIFS('Trade Log'!$Q$6:$Q$1005,'Trade Log'!$A$6:$A$1005,"&gt;="&amp;$B17,'Trade Log'!$A$6:$A$1005,"&lt;="&amp;($B17+6),'Trade Log'!$Q$6:$Q$1005,"&lt;0")))</f>
        <v/>
      </c>
      <c r="H17" s="99" t="str">
        <f>IF(OR($B17="",N($C17)=0),"",IFERROR(COUNTIFS('Trade Log'!$A$6:$A$1005,"&gt;="&amp;$B17,'Trade Log'!$A$6:$A$1005,"&lt;="&amp;($B17+6),'Trade Log'!$Z$6:$Z$1005,"Yes")/(COUNTIFS('Trade Log'!$A$6:$A$1005,"&gt;="&amp;$B17,'Trade Log'!$A$6:$A$1005,"&lt;="&amp;($B17+6),'Trade Log'!$Z$6:$Z$1005,"Yes")+COUNTIFS('Trade Log'!$A$6:$A$1005,"&gt;="&amp;$B17,'Trade Log'!$A$6:$A$1005,"&lt;="&amp;($B17+6),'Trade Log'!$Z$6:$Z$1005,"No")),"—"))</f>
        <v/>
      </c>
      <c r="I17" s="111" t="str">
        <f>IF(OR($B17="",N($C17)=0),"",IF(MAX($Q17:$AB17)=0,"None — clean week",INDEX($Q$5:$AB$5,MATCH(MAX($Q17:$AB17),$Q17:$AB17,0))))</f>
        <v/>
      </c>
      <c r="J17" s="111" t="str">
        <f>IF(OR($B17="",N($C17)=0),"",IF(MIN($AC17:$AL17)&gt;=0,"None lost money",INDEX($AC$5:$AL$5,MATCH(MIN($AC17:$AL17),$AC17:$AL17,0))))</f>
        <v/>
      </c>
      <c r="K17" s="111" t="str">
        <f>IF(OR($B17="",N($C17)=0),"",IF(MAX($AM17:$AV17)&lt;=0,"None made money",INDEX($AM$5:$AV$5,MATCH(MAX($AM17:$AV17),$AM17:$AV17,0))))</f>
        <v/>
      </c>
      <c r="L17" s="106" t="n"/>
      <c r="M17" s="106" t="n"/>
      <c r="N17" s="112" t="n"/>
      <c r="O17" s="29" t="n"/>
      <c r="Q17" s="109">
        <f>IF(OR($B17="",Q$5=""),0,COUNTIFS('Trade Log'!$A$6:$A$1005,"&gt;="&amp;$B17,'Trade Log'!$A$6:$A$1005,"&lt;="&amp;($B17+6),'Trade Log'!$AB$6:$AB$1005,Q$5))</f>
        <v>0</v>
      </c>
      <c r="R17" s="109">
        <f>IF(OR($B17="",R$5=""),0,COUNTIFS('Trade Log'!$A$6:$A$1005,"&gt;="&amp;$B17,'Trade Log'!$A$6:$A$1005,"&lt;="&amp;($B17+6),'Trade Log'!$AB$6:$AB$1005,R$5))</f>
        <v>0</v>
      </c>
      <c r="S17" s="109">
        <f>IF(OR($B17="",S$5=""),0,COUNTIFS('Trade Log'!$A$6:$A$1005,"&gt;="&amp;$B17,'Trade Log'!$A$6:$A$1005,"&lt;="&amp;($B17+6),'Trade Log'!$AB$6:$AB$1005,S$5))</f>
        <v>0</v>
      </c>
      <c r="T17" s="109">
        <f>IF(OR($B17="",T$5=""),0,COUNTIFS('Trade Log'!$A$6:$A$1005,"&gt;="&amp;$B17,'Trade Log'!$A$6:$A$1005,"&lt;="&amp;($B17+6),'Trade Log'!$AB$6:$AB$1005,T$5))</f>
        <v>0</v>
      </c>
      <c r="U17" s="109">
        <f>IF(OR($B17="",U$5=""),0,COUNTIFS('Trade Log'!$A$6:$A$1005,"&gt;="&amp;$B17,'Trade Log'!$A$6:$A$1005,"&lt;="&amp;($B17+6),'Trade Log'!$AB$6:$AB$1005,U$5))</f>
        <v>0</v>
      </c>
      <c r="V17" s="109">
        <f>IF(OR($B17="",V$5=""),0,COUNTIFS('Trade Log'!$A$6:$A$1005,"&gt;="&amp;$B17,'Trade Log'!$A$6:$A$1005,"&lt;="&amp;($B17+6),'Trade Log'!$AB$6:$AB$1005,V$5))</f>
        <v>0</v>
      </c>
      <c r="W17" s="109">
        <f>IF(OR($B17="",W$5=""),0,COUNTIFS('Trade Log'!$A$6:$A$1005,"&gt;="&amp;$B17,'Trade Log'!$A$6:$A$1005,"&lt;="&amp;($B17+6),'Trade Log'!$AB$6:$AB$1005,W$5))</f>
        <v>0</v>
      </c>
      <c r="X17" s="109">
        <f>IF(OR($B17="",X$5=""),0,COUNTIFS('Trade Log'!$A$6:$A$1005,"&gt;="&amp;$B17,'Trade Log'!$A$6:$A$1005,"&lt;="&amp;($B17+6),'Trade Log'!$AB$6:$AB$1005,X$5))</f>
        <v>0</v>
      </c>
      <c r="Y17" s="109">
        <f>IF(OR($B17="",Y$5=""),0,COUNTIFS('Trade Log'!$A$6:$A$1005,"&gt;="&amp;$B17,'Trade Log'!$A$6:$A$1005,"&lt;="&amp;($B17+6),'Trade Log'!$AB$6:$AB$1005,Y$5))</f>
        <v>0</v>
      </c>
      <c r="Z17" s="109">
        <f>IF(OR($B17="",Z$5=""),0,COUNTIFS('Trade Log'!$A$6:$A$1005,"&gt;="&amp;$B17,'Trade Log'!$A$6:$A$1005,"&lt;="&amp;($B17+6),'Trade Log'!$AB$6:$AB$1005,Z$5))</f>
        <v>0</v>
      </c>
      <c r="AA17" s="109">
        <f>IF(OR($B17="",AA$5=""),0,COUNTIFS('Trade Log'!$A$6:$A$1005,"&gt;="&amp;$B17,'Trade Log'!$A$6:$A$1005,"&lt;="&amp;($B17+6),'Trade Log'!$AB$6:$AB$1005,AA$5))</f>
        <v>0</v>
      </c>
      <c r="AB17" s="109">
        <f>IF(OR($B17="",AB$5=""),0,COUNTIFS('Trade Log'!$A$6:$A$1005,"&gt;="&amp;$B17,'Trade Log'!$A$6:$A$1005,"&lt;="&amp;($B17+6),'Trade Log'!$AB$6:$AB$1005,AB$5))</f>
        <v>0</v>
      </c>
      <c r="AC17" s="113">
        <f>IF(OR($B17="",AC$5=""),0,SUMIFS('Trade Log'!$Q$6:$Q$1005,'Trade Log'!$A$6:$A$1005,"&gt;="&amp;$B17,'Trade Log'!$A$6:$A$1005,"&lt;="&amp;($B17+6),'Trade Log'!$AA$6:$AA$1005,AC$5))</f>
        <v>0</v>
      </c>
      <c r="AD17" s="113">
        <f>IF(OR($B17="",AD$5=""),0,SUMIFS('Trade Log'!$Q$6:$Q$1005,'Trade Log'!$A$6:$A$1005,"&gt;="&amp;$B17,'Trade Log'!$A$6:$A$1005,"&lt;="&amp;($B17+6),'Trade Log'!$AA$6:$AA$1005,AD$5))</f>
        <v>0</v>
      </c>
      <c r="AE17" s="113">
        <f>IF(OR($B17="",AE$5=""),0,SUMIFS('Trade Log'!$Q$6:$Q$1005,'Trade Log'!$A$6:$A$1005,"&gt;="&amp;$B17,'Trade Log'!$A$6:$A$1005,"&lt;="&amp;($B17+6),'Trade Log'!$AA$6:$AA$1005,AE$5))</f>
        <v>0</v>
      </c>
      <c r="AF17" s="113">
        <f>IF(OR($B17="",AF$5=""),0,SUMIFS('Trade Log'!$Q$6:$Q$1005,'Trade Log'!$A$6:$A$1005,"&gt;="&amp;$B17,'Trade Log'!$A$6:$A$1005,"&lt;="&amp;($B17+6),'Trade Log'!$AA$6:$AA$1005,AF$5))</f>
        <v>0</v>
      </c>
      <c r="AG17" s="113">
        <f>IF(OR($B17="",AG$5=""),0,SUMIFS('Trade Log'!$Q$6:$Q$1005,'Trade Log'!$A$6:$A$1005,"&gt;="&amp;$B17,'Trade Log'!$A$6:$A$1005,"&lt;="&amp;($B17+6),'Trade Log'!$AA$6:$AA$1005,AG$5))</f>
        <v>0</v>
      </c>
      <c r="AH17" s="113">
        <f>IF(OR($B17="",AH$5=""),0,SUMIFS('Trade Log'!$Q$6:$Q$1005,'Trade Log'!$A$6:$A$1005,"&gt;="&amp;$B17,'Trade Log'!$A$6:$A$1005,"&lt;="&amp;($B17+6),'Trade Log'!$AA$6:$AA$1005,AH$5))</f>
        <v>0</v>
      </c>
      <c r="AI17" s="113">
        <f>IF(OR($B17="",AI$5=""),0,SUMIFS('Trade Log'!$Q$6:$Q$1005,'Trade Log'!$A$6:$A$1005,"&gt;="&amp;$B17,'Trade Log'!$A$6:$A$1005,"&lt;="&amp;($B17+6),'Trade Log'!$AA$6:$AA$1005,AI$5))</f>
        <v>0</v>
      </c>
      <c r="AJ17" s="113">
        <f>IF(OR($B17="",AJ$5=""),0,SUMIFS('Trade Log'!$Q$6:$Q$1005,'Trade Log'!$A$6:$A$1005,"&gt;="&amp;$B17,'Trade Log'!$A$6:$A$1005,"&lt;="&amp;($B17+6),'Trade Log'!$AA$6:$AA$1005,AJ$5))</f>
        <v>0</v>
      </c>
      <c r="AK17" s="113">
        <f>IF(OR($B17="",AK$5=""),0,SUMIFS('Trade Log'!$Q$6:$Q$1005,'Trade Log'!$A$6:$A$1005,"&gt;="&amp;$B17,'Trade Log'!$A$6:$A$1005,"&lt;="&amp;($B17+6),'Trade Log'!$AA$6:$AA$1005,AK$5))</f>
        <v>0</v>
      </c>
      <c r="AL17" s="113">
        <f>IF(OR($B17="",AL$5=""),0,SUMIFS('Trade Log'!$Q$6:$Q$1005,'Trade Log'!$A$6:$A$1005,"&gt;="&amp;$B17,'Trade Log'!$A$6:$A$1005,"&lt;="&amp;($B17+6),'Trade Log'!$AA$6:$AA$1005,AL$5))</f>
        <v>0</v>
      </c>
      <c r="AM17" s="113">
        <f>IF(OR($B17="",AM$5=""),0,SUMIFS('Trade Log'!$Q$6:$Q$1005,'Trade Log'!$A$6:$A$1005,"&gt;="&amp;$B17,'Trade Log'!$A$6:$A$1005,"&lt;="&amp;($B17+6),'Trade Log'!$Y$6:$Y$1005,AM$5))</f>
        <v>0</v>
      </c>
      <c r="AN17" s="113">
        <f>IF(OR($B17="",AN$5=""),0,SUMIFS('Trade Log'!$Q$6:$Q$1005,'Trade Log'!$A$6:$A$1005,"&gt;="&amp;$B17,'Trade Log'!$A$6:$A$1005,"&lt;="&amp;($B17+6),'Trade Log'!$Y$6:$Y$1005,AN$5))</f>
        <v>0</v>
      </c>
      <c r="AO17" s="113">
        <f>IF(OR($B17="",AO$5=""),0,SUMIFS('Trade Log'!$Q$6:$Q$1005,'Trade Log'!$A$6:$A$1005,"&gt;="&amp;$B17,'Trade Log'!$A$6:$A$1005,"&lt;="&amp;($B17+6),'Trade Log'!$Y$6:$Y$1005,AO$5))</f>
        <v>0</v>
      </c>
      <c r="AP17" s="113">
        <f>IF(OR($B17="",AP$5=""),0,SUMIFS('Trade Log'!$Q$6:$Q$1005,'Trade Log'!$A$6:$A$1005,"&gt;="&amp;$B17,'Trade Log'!$A$6:$A$1005,"&lt;="&amp;($B17+6),'Trade Log'!$Y$6:$Y$1005,AP$5))</f>
        <v>0</v>
      </c>
      <c r="AQ17" s="113">
        <f>IF(OR($B17="",AQ$5=""),0,SUMIFS('Trade Log'!$Q$6:$Q$1005,'Trade Log'!$A$6:$A$1005,"&gt;="&amp;$B17,'Trade Log'!$A$6:$A$1005,"&lt;="&amp;($B17+6),'Trade Log'!$Y$6:$Y$1005,AQ$5))</f>
        <v>0</v>
      </c>
      <c r="AR17" s="113">
        <f>IF(OR($B17="",AR$5=""),0,SUMIFS('Trade Log'!$Q$6:$Q$1005,'Trade Log'!$A$6:$A$1005,"&gt;="&amp;$B17,'Trade Log'!$A$6:$A$1005,"&lt;="&amp;($B17+6),'Trade Log'!$Y$6:$Y$1005,AR$5))</f>
        <v>0</v>
      </c>
      <c r="AS17" s="113">
        <f>IF(OR($B17="",AS$5=""),0,SUMIFS('Trade Log'!$Q$6:$Q$1005,'Trade Log'!$A$6:$A$1005,"&gt;="&amp;$B17,'Trade Log'!$A$6:$A$1005,"&lt;="&amp;($B17+6),'Trade Log'!$Y$6:$Y$1005,AS$5))</f>
        <v>0</v>
      </c>
      <c r="AT17" s="113">
        <f>IF(OR($B17="",AT$5=""),0,SUMIFS('Trade Log'!$Q$6:$Q$1005,'Trade Log'!$A$6:$A$1005,"&gt;="&amp;$B17,'Trade Log'!$A$6:$A$1005,"&lt;="&amp;($B17+6),'Trade Log'!$Y$6:$Y$1005,AT$5))</f>
        <v>0</v>
      </c>
      <c r="AU17" s="113">
        <f>IF(OR($B17="",AU$5=""),0,SUMIFS('Trade Log'!$Q$6:$Q$1005,'Trade Log'!$A$6:$A$1005,"&gt;="&amp;$B17,'Trade Log'!$A$6:$A$1005,"&lt;="&amp;($B17+6),'Trade Log'!$Y$6:$Y$1005,AU$5))</f>
        <v>0</v>
      </c>
      <c r="AV17" s="113">
        <f>IF(OR($B17="",AV$5=""),0,SUMIFS('Trade Log'!$Q$6:$Q$1005,'Trade Log'!$A$6:$A$1005,"&gt;="&amp;$B17,'Trade Log'!$A$6:$A$1005,"&lt;="&amp;($B17+6),'Trade Log'!$Y$6:$Y$1005,AV$5))</f>
        <v>0</v>
      </c>
    </row>
    <row r="18">
      <c r="B18" s="107">
        <f>IF($B17="","",$B17+7)</f>
        <v>46370</v>
      </c>
      <c r="C18" s="96">
        <f>IF($B18="","",COUNTIFS('Trade Log'!$A$6:$A$1005,"&gt;="&amp;$B18,'Trade Log'!$A$6:$A$1005,"&lt;="&amp;($B18+6),'Trade Log'!$BH$6:$BH$1005,1))</f>
        <v>0</v>
      </c>
      <c r="D18" s="98" t="str">
        <f>IF(OR($B18="",N($C18)=0),"",SUMIFS('Trade Log'!$Q$6:$Q$1005,'Trade Log'!$A$6:$A$1005,"&gt;="&amp;$B18,'Trade Log'!$A$6:$A$1005,"&lt;="&amp;($B18+6)))</f>
        <v/>
      </c>
      <c r="E18" s="99" t="str">
        <f>IF(OR($B18="",N($C18)=0),"",IFERROR(COUNTIFS('Trade Log'!$A$6:$A$1005,"&gt;="&amp;$B18,'Trade Log'!$A$6:$A$1005,"&lt;="&amp;($B18+6),'Trade Log'!$S$6:$S$1005,"Win")/(COUNTIFS('Trade Log'!$A$6:$A$1005,"&gt;="&amp;$B18,'Trade Log'!$A$6:$A$1005,"&lt;="&amp;($B18+6),'Trade Log'!$S$6:$S$1005,"Win")+COUNTIFS('Trade Log'!$A$6:$A$1005,"&gt;="&amp;$B18,'Trade Log'!$A$6:$A$1005,"&lt;="&amp;($B18+6),'Trade Log'!$S$6:$S$1005,"Loss")),"—"))</f>
        <v/>
      </c>
      <c r="F18" s="104" t="str">
        <f>IF(OR($B18="",N($C18)=0),"",IFERROR(SUMIFS('Trade Log'!$R$6:$R$1005,'Trade Log'!$A$6:$A$1005,"&gt;="&amp;$B18,'Trade Log'!$A$6:$A$1005,"&lt;="&amp;($B18+6))/COUNTIFS('Trade Log'!$A$6:$A$1005,"&gt;="&amp;$B18,'Trade Log'!$A$6:$A$1005,"&lt;="&amp;($B18+6),'Trade Log'!$BC$6:$BC$1005,1),"—"))</f>
        <v/>
      </c>
      <c r="G18" s="110" t="str">
        <f>IF(OR($B18="",N($C18)=0),"",IF(SUMIFS('Trade Log'!$Q$6:$Q$1005,'Trade Log'!$A$6:$A$1005,"&gt;="&amp;$B18,'Trade Log'!$A$6:$A$1005,"&lt;="&amp;($B18+6),'Trade Log'!$Q$6:$Q$1005,"&lt;0")=0,IF(SUMIFS('Trade Log'!$Q$6:$Q$1005,'Trade Log'!$A$6:$A$1005,"&gt;="&amp;$B18,'Trade Log'!$A$6:$A$1005,"&lt;="&amp;($B18+6),'Trade Log'!$Q$6:$Q$1005,"&gt;0")&gt;0,"No losses","—"),SUMIFS('Trade Log'!$Q$6:$Q$1005,'Trade Log'!$A$6:$A$1005,"&gt;="&amp;$B18,'Trade Log'!$A$6:$A$1005,"&lt;="&amp;($B18+6),'Trade Log'!$Q$6:$Q$1005,"&gt;0")/-SUMIFS('Trade Log'!$Q$6:$Q$1005,'Trade Log'!$A$6:$A$1005,"&gt;="&amp;$B18,'Trade Log'!$A$6:$A$1005,"&lt;="&amp;($B18+6),'Trade Log'!$Q$6:$Q$1005,"&lt;0")))</f>
        <v/>
      </c>
      <c r="H18" s="99" t="str">
        <f>IF(OR($B18="",N($C18)=0),"",IFERROR(COUNTIFS('Trade Log'!$A$6:$A$1005,"&gt;="&amp;$B18,'Trade Log'!$A$6:$A$1005,"&lt;="&amp;($B18+6),'Trade Log'!$Z$6:$Z$1005,"Yes")/(COUNTIFS('Trade Log'!$A$6:$A$1005,"&gt;="&amp;$B18,'Trade Log'!$A$6:$A$1005,"&lt;="&amp;($B18+6),'Trade Log'!$Z$6:$Z$1005,"Yes")+COUNTIFS('Trade Log'!$A$6:$A$1005,"&gt;="&amp;$B18,'Trade Log'!$A$6:$A$1005,"&lt;="&amp;($B18+6),'Trade Log'!$Z$6:$Z$1005,"No")),"—"))</f>
        <v/>
      </c>
      <c r="I18" s="111" t="str">
        <f>IF(OR($B18="",N($C18)=0),"",IF(MAX($Q18:$AB18)=0,"None — clean week",INDEX($Q$5:$AB$5,MATCH(MAX($Q18:$AB18),$Q18:$AB18,0))))</f>
        <v/>
      </c>
      <c r="J18" s="111" t="str">
        <f>IF(OR($B18="",N($C18)=0),"",IF(MIN($AC18:$AL18)&gt;=0,"None lost money",INDEX($AC$5:$AL$5,MATCH(MIN($AC18:$AL18),$AC18:$AL18,0))))</f>
        <v/>
      </c>
      <c r="K18" s="111" t="str">
        <f>IF(OR($B18="",N($C18)=0),"",IF(MAX($AM18:$AV18)&lt;=0,"None made money",INDEX($AM$5:$AV$5,MATCH(MAX($AM18:$AV18),$AM18:$AV18,0))))</f>
        <v/>
      </c>
      <c r="L18" s="106" t="n"/>
      <c r="M18" s="106" t="n"/>
      <c r="N18" s="112" t="n"/>
      <c r="O18" s="29" t="n"/>
      <c r="Q18" s="109">
        <f>IF(OR($B18="",Q$5=""),0,COUNTIFS('Trade Log'!$A$6:$A$1005,"&gt;="&amp;$B18,'Trade Log'!$A$6:$A$1005,"&lt;="&amp;($B18+6),'Trade Log'!$AB$6:$AB$1005,Q$5))</f>
        <v>0</v>
      </c>
      <c r="R18" s="109">
        <f>IF(OR($B18="",R$5=""),0,COUNTIFS('Trade Log'!$A$6:$A$1005,"&gt;="&amp;$B18,'Trade Log'!$A$6:$A$1005,"&lt;="&amp;($B18+6),'Trade Log'!$AB$6:$AB$1005,R$5))</f>
        <v>0</v>
      </c>
      <c r="S18" s="109">
        <f>IF(OR($B18="",S$5=""),0,COUNTIFS('Trade Log'!$A$6:$A$1005,"&gt;="&amp;$B18,'Trade Log'!$A$6:$A$1005,"&lt;="&amp;($B18+6),'Trade Log'!$AB$6:$AB$1005,S$5))</f>
        <v>0</v>
      </c>
      <c r="T18" s="109">
        <f>IF(OR($B18="",T$5=""),0,COUNTIFS('Trade Log'!$A$6:$A$1005,"&gt;="&amp;$B18,'Trade Log'!$A$6:$A$1005,"&lt;="&amp;($B18+6),'Trade Log'!$AB$6:$AB$1005,T$5))</f>
        <v>0</v>
      </c>
      <c r="U18" s="109">
        <f>IF(OR($B18="",U$5=""),0,COUNTIFS('Trade Log'!$A$6:$A$1005,"&gt;="&amp;$B18,'Trade Log'!$A$6:$A$1005,"&lt;="&amp;($B18+6),'Trade Log'!$AB$6:$AB$1005,U$5))</f>
        <v>0</v>
      </c>
      <c r="V18" s="109">
        <f>IF(OR($B18="",V$5=""),0,COUNTIFS('Trade Log'!$A$6:$A$1005,"&gt;="&amp;$B18,'Trade Log'!$A$6:$A$1005,"&lt;="&amp;($B18+6),'Trade Log'!$AB$6:$AB$1005,V$5))</f>
        <v>0</v>
      </c>
      <c r="W18" s="109">
        <f>IF(OR($B18="",W$5=""),0,COUNTIFS('Trade Log'!$A$6:$A$1005,"&gt;="&amp;$B18,'Trade Log'!$A$6:$A$1005,"&lt;="&amp;($B18+6),'Trade Log'!$AB$6:$AB$1005,W$5))</f>
        <v>0</v>
      </c>
      <c r="X18" s="109">
        <f>IF(OR($B18="",X$5=""),0,COUNTIFS('Trade Log'!$A$6:$A$1005,"&gt;="&amp;$B18,'Trade Log'!$A$6:$A$1005,"&lt;="&amp;($B18+6),'Trade Log'!$AB$6:$AB$1005,X$5))</f>
        <v>0</v>
      </c>
      <c r="Y18" s="109">
        <f>IF(OR($B18="",Y$5=""),0,COUNTIFS('Trade Log'!$A$6:$A$1005,"&gt;="&amp;$B18,'Trade Log'!$A$6:$A$1005,"&lt;="&amp;($B18+6),'Trade Log'!$AB$6:$AB$1005,Y$5))</f>
        <v>0</v>
      </c>
      <c r="Z18" s="109">
        <f>IF(OR($B18="",Z$5=""),0,COUNTIFS('Trade Log'!$A$6:$A$1005,"&gt;="&amp;$B18,'Trade Log'!$A$6:$A$1005,"&lt;="&amp;($B18+6),'Trade Log'!$AB$6:$AB$1005,Z$5))</f>
        <v>0</v>
      </c>
      <c r="AA18" s="109">
        <f>IF(OR($B18="",AA$5=""),0,COUNTIFS('Trade Log'!$A$6:$A$1005,"&gt;="&amp;$B18,'Trade Log'!$A$6:$A$1005,"&lt;="&amp;($B18+6),'Trade Log'!$AB$6:$AB$1005,AA$5))</f>
        <v>0</v>
      </c>
      <c r="AB18" s="109">
        <f>IF(OR($B18="",AB$5=""),0,COUNTIFS('Trade Log'!$A$6:$A$1005,"&gt;="&amp;$B18,'Trade Log'!$A$6:$A$1005,"&lt;="&amp;($B18+6),'Trade Log'!$AB$6:$AB$1005,AB$5))</f>
        <v>0</v>
      </c>
      <c r="AC18" s="113">
        <f>IF(OR($B18="",AC$5=""),0,SUMIFS('Trade Log'!$Q$6:$Q$1005,'Trade Log'!$A$6:$A$1005,"&gt;="&amp;$B18,'Trade Log'!$A$6:$A$1005,"&lt;="&amp;($B18+6),'Trade Log'!$AA$6:$AA$1005,AC$5))</f>
        <v>0</v>
      </c>
      <c r="AD18" s="113">
        <f>IF(OR($B18="",AD$5=""),0,SUMIFS('Trade Log'!$Q$6:$Q$1005,'Trade Log'!$A$6:$A$1005,"&gt;="&amp;$B18,'Trade Log'!$A$6:$A$1005,"&lt;="&amp;($B18+6),'Trade Log'!$AA$6:$AA$1005,AD$5))</f>
        <v>0</v>
      </c>
      <c r="AE18" s="113">
        <f>IF(OR($B18="",AE$5=""),0,SUMIFS('Trade Log'!$Q$6:$Q$1005,'Trade Log'!$A$6:$A$1005,"&gt;="&amp;$B18,'Trade Log'!$A$6:$A$1005,"&lt;="&amp;($B18+6),'Trade Log'!$AA$6:$AA$1005,AE$5))</f>
        <v>0</v>
      </c>
      <c r="AF18" s="113">
        <f>IF(OR($B18="",AF$5=""),0,SUMIFS('Trade Log'!$Q$6:$Q$1005,'Trade Log'!$A$6:$A$1005,"&gt;="&amp;$B18,'Trade Log'!$A$6:$A$1005,"&lt;="&amp;($B18+6),'Trade Log'!$AA$6:$AA$1005,AF$5))</f>
        <v>0</v>
      </c>
      <c r="AG18" s="113">
        <f>IF(OR($B18="",AG$5=""),0,SUMIFS('Trade Log'!$Q$6:$Q$1005,'Trade Log'!$A$6:$A$1005,"&gt;="&amp;$B18,'Trade Log'!$A$6:$A$1005,"&lt;="&amp;($B18+6),'Trade Log'!$AA$6:$AA$1005,AG$5))</f>
        <v>0</v>
      </c>
      <c r="AH18" s="113">
        <f>IF(OR($B18="",AH$5=""),0,SUMIFS('Trade Log'!$Q$6:$Q$1005,'Trade Log'!$A$6:$A$1005,"&gt;="&amp;$B18,'Trade Log'!$A$6:$A$1005,"&lt;="&amp;($B18+6),'Trade Log'!$AA$6:$AA$1005,AH$5))</f>
        <v>0</v>
      </c>
      <c r="AI18" s="113">
        <f>IF(OR($B18="",AI$5=""),0,SUMIFS('Trade Log'!$Q$6:$Q$1005,'Trade Log'!$A$6:$A$1005,"&gt;="&amp;$B18,'Trade Log'!$A$6:$A$1005,"&lt;="&amp;($B18+6),'Trade Log'!$AA$6:$AA$1005,AI$5))</f>
        <v>0</v>
      </c>
      <c r="AJ18" s="113">
        <f>IF(OR($B18="",AJ$5=""),0,SUMIFS('Trade Log'!$Q$6:$Q$1005,'Trade Log'!$A$6:$A$1005,"&gt;="&amp;$B18,'Trade Log'!$A$6:$A$1005,"&lt;="&amp;($B18+6),'Trade Log'!$AA$6:$AA$1005,AJ$5))</f>
        <v>0</v>
      </c>
      <c r="AK18" s="113">
        <f>IF(OR($B18="",AK$5=""),0,SUMIFS('Trade Log'!$Q$6:$Q$1005,'Trade Log'!$A$6:$A$1005,"&gt;="&amp;$B18,'Trade Log'!$A$6:$A$1005,"&lt;="&amp;($B18+6),'Trade Log'!$AA$6:$AA$1005,AK$5))</f>
        <v>0</v>
      </c>
      <c r="AL18" s="113">
        <f>IF(OR($B18="",AL$5=""),0,SUMIFS('Trade Log'!$Q$6:$Q$1005,'Trade Log'!$A$6:$A$1005,"&gt;="&amp;$B18,'Trade Log'!$A$6:$A$1005,"&lt;="&amp;($B18+6),'Trade Log'!$AA$6:$AA$1005,AL$5))</f>
        <v>0</v>
      </c>
      <c r="AM18" s="113">
        <f>IF(OR($B18="",AM$5=""),0,SUMIFS('Trade Log'!$Q$6:$Q$1005,'Trade Log'!$A$6:$A$1005,"&gt;="&amp;$B18,'Trade Log'!$A$6:$A$1005,"&lt;="&amp;($B18+6),'Trade Log'!$Y$6:$Y$1005,AM$5))</f>
        <v>0</v>
      </c>
      <c r="AN18" s="113">
        <f>IF(OR($B18="",AN$5=""),0,SUMIFS('Trade Log'!$Q$6:$Q$1005,'Trade Log'!$A$6:$A$1005,"&gt;="&amp;$B18,'Trade Log'!$A$6:$A$1005,"&lt;="&amp;($B18+6),'Trade Log'!$Y$6:$Y$1005,AN$5))</f>
        <v>0</v>
      </c>
      <c r="AO18" s="113">
        <f>IF(OR($B18="",AO$5=""),0,SUMIFS('Trade Log'!$Q$6:$Q$1005,'Trade Log'!$A$6:$A$1005,"&gt;="&amp;$B18,'Trade Log'!$A$6:$A$1005,"&lt;="&amp;($B18+6),'Trade Log'!$Y$6:$Y$1005,AO$5))</f>
        <v>0</v>
      </c>
      <c r="AP18" s="113">
        <f>IF(OR($B18="",AP$5=""),0,SUMIFS('Trade Log'!$Q$6:$Q$1005,'Trade Log'!$A$6:$A$1005,"&gt;="&amp;$B18,'Trade Log'!$A$6:$A$1005,"&lt;="&amp;($B18+6),'Trade Log'!$Y$6:$Y$1005,AP$5))</f>
        <v>0</v>
      </c>
      <c r="AQ18" s="113">
        <f>IF(OR($B18="",AQ$5=""),0,SUMIFS('Trade Log'!$Q$6:$Q$1005,'Trade Log'!$A$6:$A$1005,"&gt;="&amp;$B18,'Trade Log'!$A$6:$A$1005,"&lt;="&amp;($B18+6),'Trade Log'!$Y$6:$Y$1005,AQ$5))</f>
        <v>0</v>
      </c>
      <c r="AR18" s="113">
        <f>IF(OR($B18="",AR$5=""),0,SUMIFS('Trade Log'!$Q$6:$Q$1005,'Trade Log'!$A$6:$A$1005,"&gt;="&amp;$B18,'Trade Log'!$A$6:$A$1005,"&lt;="&amp;($B18+6),'Trade Log'!$Y$6:$Y$1005,AR$5))</f>
        <v>0</v>
      </c>
      <c r="AS18" s="113">
        <f>IF(OR($B18="",AS$5=""),0,SUMIFS('Trade Log'!$Q$6:$Q$1005,'Trade Log'!$A$6:$A$1005,"&gt;="&amp;$B18,'Trade Log'!$A$6:$A$1005,"&lt;="&amp;($B18+6),'Trade Log'!$Y$6:$Y$1005,AS$5))</f>
        <v>0</v>
      </c>
      <c r="AT18" s="113">
        <f>IF(OR($B18="",AT$5=""),0,SUMIFS('Trade Log'!$Q$6:$Q$1005,'Trade Log'!$A$6:$A$1005,"&gt;="&amp;$B18,'Trade Log'!$A$6:$A$1005,"&lt;="&amp;($B18+6),'Trade Log'!$Y$6:$Y$1005,AT$5))</f>
        <v>0</v>
      </c>
      <c r="AU18" s="113">
        <f>IF(OR($B18="",AU$5=""),0,SUMIFS('Trade Log'!$Q$6:$Q$1005,'Trade Log'!$A$6:$A$1005,"&gt;="&amp;$B18,'Trade Log'!$A$6:$A$1005,"&lt;="&amp;($B18+6),'Trade Log'!$Y$6:$Y$1005,AU$5))</f>
        <v>0</v>
      </c>
      <c r="AV18" s="113">
        <f>IF(OR($B18="",AV$5=""),0,SUMIFS('Trade Log'!$Q$6:$Q$1005,'Trade Log'!$A$6:$A$1005,"&gt;="&amp;$B18,'Trade Log'!$A$6:$A$1005,"&lt;="&amp;($B18+6),'Trade Log'!$Y$6:$Y$1005,AV$5))</f>
        <v>0</v>
      </c>
    </row>
    <row r="19">
      <c r="B19" s="107">
        <f>IF($B18="","",$B18+7)</f>
        <v>46377</v>
      </c>
      <c r="C19" s="96">
        <f>IF($B19="","",COUNTIFS('Trade Log'!$A$6:$A$1005,"&gt;="&amp;$B19,'Trade Log'!$A$6:$A$1005,"&lt;="&amp;($B19+6),'Trade Log'!$BH$6:$BH$1005,1))</f>
        <v>0</v>
      </c>
      <c r="D19" s="98" t="str">
        <f>IF(OR($B19="",N($C19)=0),"",SUMIFS('Trade Log'!$Q$6:$Q$1005,'Trade Log'!$A$6:$A$1005,"&gt;="&amp;$B19,'Trade Log'!$A$6:$A$1005,"&lt;="&amp;($B19+6)))</f>
        <v/>
      </c>
      <c r="E19" s="99" t="str">
        <f>IF(OR($B19="",N($C19)=0),"",IFERROR(COUNTIFS('Trade Log'!$A$6:$A$1005,"&gt;="&amp;$B19,'Trade Log'!$A$6:$A$1005,"&lt;="&amp;($B19+6),'Trade Log'!$S$6:$S$1005,"Win")/(COUNTIFS('Trade Log'!$A$6:$A$1005,"&gt;="&amp;$B19,'Trade Log'!$A$6:$A$1005,"&lt;="&amp;($B19+6),'Trade Log'!$S$6:$S$1005,"Win")+COUNTIFS('Trade Log'!$A$6:$A$1005,"&gt;="&amp;$B19,'Trade Log'!$A$6:$A$1005,"&lt;="&amp;($B19+6),'Trade Log'!$S$6:$S$1005,"Loss")),"—"))</f>
        <v/>
      </c>
      <c r="F19" s="104" t="str">
        <f>IF(OR($B19="",N($C19)=0),"",IFERROR(SUMIFS('Trade Log'!$R$6:$R$1005,'Trade Log'!$A$6:$A$1005,"&gt;="&amp;$B19,'Trade Log'!$A$6:$A$1005,"&lt;="&amp;($B19+6))/COUNTIFS('Trade Log'!$A$6:$A$1005,"&gt;="&amp;$B19,'Trade Log'!$A$6:$A$1005,"&lt;="&amp;($B19+6),'Trade Log'!$BC$6:$BC$1005,1),"—"))</f>
        <v/>
      </c>
      <c r="G19" s="110" t="str">
        <f>IF(OR($B19="",N($C19)=0),"",IF(SUMIFS('Trade Log'!$Q$6:$Q$1005,'Trade Log'!$A$6:$A$1005,"&gt;="&amp;$B19,'Trade Log'!$A$6:$A$1005,"&lt;="&amp;($B19+6),'Trade Log'!$Q$6:$Q$1005,"&lt;0")=0,IF(SUMIFS('Trade Log'!$Q$6:$Q$1005,'Trade Log'!$A$6:$A$1005,"&gt;="&amp;$B19,'Trade Log'!$A$6:$A$1005,"&lt;="&amp;($B19+6),'Trade Log'!$Q$6:$Q$1005,"&gt;0")&gt;0,"No losses","—"),SUMIFS('Trade Log'!$Q$6:$Q$1005,'Trade Log'!$A$6:$A$1005,"&gt;="&amp;$B19,'Trade Log'!$A$6:$A$1005,"&lt;="&amp;($B19+6),'Trade Log'!$Q$6:$Q$1005,"&gt;0")/-SUMIFS('Trade Log'!$Q$6:$Q$1005,'Trade Log'!$A$6:$A$1005,"&gt;="&amp;$B19,'Trade Log'!$A$6:$A$1005,"&lt;="&amp;($B19+6),'Trade Log'!$Q$6:$Q$1005,"&lt;0")))</f>
        <v/>
      </c>
      <c r="H19" s="99" t="str">
        <f>IF(OR($B19="",N($C19)=0),"",IFERROR(COUNTIFS('Trade Log'!$A$6:$A$1005,"&gt;="&amp;$B19,'Trade Log'!$A$6:$A$1005,"&lt;="&amp;($B19+6),'Trade Log'!$Z$6:$Z$1005,"Yes")/(COUNTIFS('Trade Log'!$A$6:$A$1005,"&gt;="&amp;$B19,'Trade Log'!$A$6:$A$1005,"&lt;="&amp;($B19+6),'Trade Log'!$Z$6:$Z$1005,"Yes")+COUNTIFS('Trade Log'!$A$6:$A$1005,"&gt;="&amp;$B19,'Trade Log'!$A$6:$A$1005,"&lt;="&amp;($B19+6),'Trade Log'!$Z$6:$Z$1005,"No")),"—"))</f>
        <v/>
      </c>
      <c r="I19" s="111" t="str">
        <f>IF(OR($B19="",N($C19)=0),"",IF(MAX($Q19:$AB19)=0,"None — clean week",INDEX($Q$5:$AB$5,MATCH(MAX($Q19:$AB19),$Q19:$AB19,0))))</f>
        <v/>
      </c>
      <c r="J19" s="111" t="str">
        <f>IF(OR($B19="",N($C19)=0),"",IF(MIN($AC19:$AL19)&gt;=0,"None lost money",INDEX($AC$5:$AL$5,MATCH(MIN($AC19:$AL19),$AC19:$AL19,0))))</f>
        <v/>
      </c>
      <c r="K19" s="111" t="str">
        <f>IF(OR($B19="",N($C19)=0),"",IF(MAX($AM19:$AV19)&lt;=0,"None made money",INDEX($AM$5:$AV$5,MATCH(MAX($AM19:$AV19),$AM19:$AV19,0))))</f>
        <v/>
      </c>
      <c r="L19" s="106" t="n"/>
      <c r="M19" s="106" t="n"/>
      <c r="N19" s="112" t="n"/>
      <c r="O19" s="29" t="n"/>
      <c r="Q19" s="109">
        <f>IF(OR($B19="",Q$5=""),0,COUNTIFS('Trade Log'!$A$6:$A$1005,"&gt;="&amp;$B19,'Trade Log'!$A$6:$A$1005,"&lt;="&amp;($B19+6),'Trade Log'!$AB$6:$AB$1005,Q$5))</f>
        <v>0</v>
      </c>
      <c r="R19" s="109">
        <f>IF(OR($B19="",R$5=""),0,COUNTIFS('Trade Log'!$A$6:$A$1005,"&gt;="&amp;$B19,'Trade Log'!$A$6:$A$1005,"&lt;="&amp;($B19+6),'Trade Log'!$AB$6:$AB$1005,R$5))</f>
        <v>0</v>
      </c>
      <c r="S19" s="109">
        <f>IF(OR($B19="",S$5=""),0,COUNTIFS('Trade Log'!$A$6:$A$1005,"&gt;="&amp;$B19,'Trade Log'!$A$6:$A$1005,"&lt;="&amp;($B19+6),'Trade Log'!$AB$6:$AB$1005,S$5))</f>
        <v>0</v>
      </c>
      <c r="T19" s="109">
        <f>IF(OR($B19="",T$5=""),0,COUNTIFS('Trade Log'!$A$6:$A$1005,"&gt;="&amp;$B19,'Trade Log'!$A$6:$A$1005,"&lt;="&amp;($B19+6),'Trade Log'!$AB$6:$AB$1005,T$5))</f>
        <v>0</v>
      </c>
      <c r="U19" s="109">
        <f>IF(OR($B19="",U$5=""),0,COUNTIFS('Trade Log'!$A$6:$A$1005,"&gt;="&amp;$B19,'Trade Log'!$A$6:$A$1005,"&lt;="&amp;($B19+6),'Trade Log'!$AB$6:$AB$1005,U$5))</f>
        <v>0</v>
      </c>
      <c r="V19" s="109">
        <f>IF(OR($B19="",V$5=""),0,COUNTIFS('Trade Log'!$A$6:$A$1005,"&gt;="&amp;$B19,'Trade Log'!$A$6:$A$1005,"&lt;="&amp;($B19+6),'Trade Log'!$AB$6:$AB$1005,V$5))</f>
        <v>0</v>
      </c>
      <c r="W19" s="109">
        <f>IF(OR($B19="",W$5=""),0,COUNTIFS('Trade Log'!$A$6:$A$1005,"&gt;="&amp;$B19,'Trade Log'!$A$6:$A$1005,"&lt;="&amp;($B19+6),'Trade Log'!$AB$6:$AB$1005,W$5))</f>
        <v>0</v>
      </c>
      <c r="X19" s="109">
        <f>IF(OR($B19="",X$5=""),0,COUNTIFS('Trade Log'!$A$6:$A$1005,"&gt;="&amp;$B19,'Trade Log'!$A$6:$A$1005,"&lt;="&amp;($B19+6),'Trade Log'!$AB$6:$AB$1005,X$5))</f>
        <v>0</v>
      </c>
      <c r="Y19" s="109">
        <f>IF(OR($B19="",Y$5=""),0,COUNTIFS('Trade Log'!$A$6:$A$1005,"&gt;="&amp;$B19,'Trade Log'!$A$6:$A$1005,"&lt;="&amp;($B19+6),'Trade Log'!$AB$6:$AB$1005,Y$5))</f>
        <v>0</v>
      </c>
      <c r="Z19" s="109">
        <f>IF(OR($B19="",Z$5=""),0,COUNTIFS('Trade Log'!$A$6:$A$1005,"&gt;="&amp;$B19,'Trade Log'!$A$6:$A$1005,"&lt;="&amp;($B19+6),'Trade Log'!$AB$6:$AB$1005,Z$5))</f>
        <v>0</v>
      </c>
      <c r="AA19" s="109">
        <f>IF(OR($B19="",AA$5=""),0,COUNTIFS('Trade Log'!$A$6:$A$1005,"&gt;="&amp;$B19,'Trade Log'!$A$6:$A$1005,"&lt;="&amp;($B19+6),'Trade Log'!$AB$6:$AB$1005,AA$5))</f>
        <v>0</v>
      </c>
      <c r="AB19" s="109">
        <f>IF(OR($B19="",AB$5=""),0,COUNTIFS('Trade Log'!$A$6:$A$1005,"&gt;="&amp;$B19,'Trade Log'!$A$6:$A$1005,"&lt;="&amp;($B19+6),'Trade Log'!$AB$6:$AB$1005,AB$5))</f>
        <v>0</v>
      </c>
      <c r="AC19" s="113">
        <f>IF(OR($B19="",AC$5=""),0,SUMIFS('Trade Log'!$Q$6:$Q$1005,'Trade Log'!$A$6:$A$1005,"&gt;="&amp;$B19,'Trade Log'!$A$6:$A$1005,"&lt;="&amp;($B19+6),'Trade Log'!$AA$6:$AA$1005,AC$5))</f>
        <v>0</v>
      </c>
      <c r="AD19" s="113">
        <f>IF(OR($B19="",AD$5=""),0,SUMIFS('Trade Log'!$Q$6:$Q$1005,'Trade Log'!$A$6:$A$1005,"&gt;="&amp;$B19,'Trade Log'!$A$6:$A$1005,"&lt;="&amp;($B19+6),'Trade Log'!$AA$6:$AA$1005,AD$5))</f>
        <v>0</v>
      </c>
      <c r="AE19" s="113">
        <f>IF(OR($B19="",AE$5=""),0,SUMIFS('Trade Log'!$Q$6:$Q$1005,'Trade Log'!$A$6:$A$1005,"&gt;="&amp;$B19,'Trade Log'!$A$6:$A$1005,"&lt;="&amp;($B19+6),'Trade Log'!$AA$6:$AA$1005,AE$5))</f>
        <v>0</v>
      </c>
      <c r="AF19" s="113">
        <f>IF(OR($B19="",AF$5=""),0,SUMIFS('Trade Log'!$Q$6:$Q$1005,'Trade Log'!$A$6:$A$1005,"&gt;="&amp;$B19,'Trade Log'!$A$6:$A$1005,"&lt;="&amp;($B19+6),'Trade Log'!$AA$6:$AA$1005,AF$5))</f>
        <v>0</v>
      </c>
      <c r="AG19" s="113">
        <f>IF(OR($B19="",AG$5=""),0,SUMIFS('Trade Log'!$Q$6:$Q$1005,'Trade Log'!$A$6:$A$1005,"&gt;="&amp;$B19,'Trade Log'!$A$6:$A$1005,"&lt;="&amp;($B19+6),'Trade Log'!$AA$6:$AA$1005,AG$5))</f>
        <v>0</v>
      </c>
      <c r="AH19" s="113">
        <f>IF(OR($B19="",AH$5=""),0,SUMIFS('Trade Log'!$Q$6:$Q$1005,'Trade Log'!$A$6:$A$1005,"&gt;="&amp;$B19,'Trade Log'!$A$6:$A$1005,"&lt;="&amp;($B19+6),'Trade Log'!$AA$6:$AA$1005,AH$5))</f>
        <v>0</v>
      </c>
      <c r="AI19" s="113">
        <f>IF(OR($B19="",AI$5=""),0,SUMIFS('Trade Log'!$Q$6:$Q$1005,'Trade Log'!$A$6:$A$1005,"&gt;="&amp;$B19,'Trade Log'!$A$6:$A$1005,"&lt;="&amp;($B19+6),'Trade Log'!$AA$6:$AA$1005,AI$5))</f>
        <v>0</v>
      </c>
      <c r="AJ19" s="113">
        <f>IF(OR($B19="",AJ$5=""),0,SUMIFS('Trade Log'!$Q$6:$Q$1005,'Trade Log'!$A$6:$A$1005,"&gt;="&amp;$B19,'Trade Log'!$A$6:$A$1005,"&lt;="&amp;($B19+6),'Trade Log'!$AA$6:$AA$1005,AJ$5))</f>
        <v>0</v>
      </c>
      <c r="AK19" s="113">
        <f>IF(OR($B19="",AK$5=""),0,SUMIFS('Trade Log'!$Q$6:$Q$1005,'Trade Log'!$A$6:$A$1005,"&gt;="&amp;$B19,'Trade Log'!$A$6:$A$1005,"&lt;="&amp;($B19+6),'Trade Log'!$AA$6:$AA$1005,AK$5))</f>
        <v>0</v>
      </c>
      <c r="AL19" s="113">
        <f>IF(OR($B19="",AL$5=""),0,SUMIFS('Trade Log'!$Q$6:$Q$1005,'Trade Log'!$A$6:$A$1005,"&gt;="&amp;$B19,'Trade Log'!$A$6:$A$1005,"&lt;="&amp;($B19+6),'Trade Log'!$AA$6:$AA$1005,AL$5))</f>
        <v>0</v>
      </c>
      <c r="AM19" s="113">
        <f>IF(OR($B19="",AM$5=""),0,SUMIFS('Trade Log'!$Q$6:$Q$1005,'Trade Log'!$A$6:$A$1005,"&gt;="&amp;$B19,'Trade Log'!$A$6:$A$1005,"&lt;="&amp;($B19+6),'Trade Log'!$Y$6:$Y$1005,AM$5))</f>
        <v>0</v>
      </c>
      <c r="AN19" s="113">
        <f>IF(OR($B19="",AN$5=""),0,SUMIFS('Trade Log'!$Q$6:$Q$1005,'Trade Log'!$A$6:$A$1005,"&gt;="&amp;$B19,'Trade Log'!$A$6:$A$1005,"&lt;="&amp;($B19+6),'Trade Log'!$Y$6:$Y$1005,AN$5))</f>
        <v>0</v>
      </c>
      <c r="AO19" s="113">
        <f>IF(OR($B19="",AO$5=""),0,SUMIFS('Trade Log'!$Q$6:$Q$1005,'Trade Log'!$A$6:$A$1005,"&gt;="&amp;$B19,'Trade Log'!$A$6:$A$1005,"&lt;="&amp;($B19+6),'Trade Log'!$Y$6:$Y$1005,AO$5))</f>
        <v>0</v>
      </c>
      <c r="AP19" s="113">
        <f>IF(OR($B19="",AP$5=""),0,SUMIFS('Trade Log'!$Q$6:$Q$1005,'Trade Log'!$A$6:$A$1005,"&gt;="&amp;$B19,'Trade Log'!$A$6:$A$1005,"&lt;="&amp;($B19+6),'Trade Log'!$Y$6:$Y$1005,AP$5))</f>
        <v>0</v>
      </c>
      <c r="AQ19" s="113">
        <f>IF(OR($B19="",AQ$5=""),0,SUMIFS('Trade Log'!$Q$6:$Q$1005,'Trade Log'!$A$6:$A$1005,"&gt;="&amp;$B19,'Trade Log'!$A$6:$A$1005,"&lt;="&amp;($B19+6),'Trade Log'!$Y$6:$Y$1005,AQ$5))</f>
        <v>0</v>
      </c>
      <c r="AR19" s="113">
        <f>IF(OR($B19="",AR$5=""),0,SUMIFS('Trade Log'!$Q$6:$Q$1005,'Trade Log'!$A$6:$A$1005,"&gt;="&amp;$B19,'Trade Log'!$A$6:$A$1005,"&lt;="&amp;($B19+6),'Trade Log'!$Y$6:$Y$1005,AR$5))</f>
        <v>0</v>
      </c>
      <c r="AS19" s="113">
        <f>IF(OR($B19="",AS$5=""),0,SUMIFS('Trade Log'!$Q$6:$Q$1005,'Trade Log'!$A$6:$A$1005,"&gt;="&amp;$B19,'Trade Log'!$A$6:$A$1005,"&lt;="&amp;($B19+6),'Trade Log'!$Y$6:$Y$1005,AS$5))</f>
        <v>0</v>
      </c>
      <c r="AT19" s="113">
        <f>IF(OR($B19="",AT$5=""),0,SUMIFS('Trade Log'!$Q$6:$Q$1005,'Trade Log'!$A$6:$A$1005,"&gt;="&amp;$B19,'Trade Log'!$A$6:$A$1005,"&lt;="&amp;($B19+6),'Trade Log'!$Y$6:$Y$1005,AT$5))</f>
        <v>0</v>
      </c>
      <c r="AU19" s="113">
        <f>IF(OR($B19="",AU$5=""),0,SUMIFS('Trade Log'!$Q$6:$Q$1005,'Trade Log'!$A$6:$A$1005,"&gt;="&amp;$B19,'Trade Log'!$A$6:$A$1005,"&lt;="&amp;($B19+6),'Trade Log'!$Y$6:$Y$1005,AU$5))</f>
        <v>0</v>
      </c>
      <c r="AV19" s="113">
        <f>IF(OR($B19="",AV$5=""),0,SUMIFS('Trade Log'!$Q$6:$Q$1005,'Trade Log'!$A$6:$A$1005,"&gt;="&amp;$B19,'Trade Log'!$A$6:$A$1005,"&lt;="&amp;($B19+6),'Trade Log'!$Y$6:$Y$1005,AV$5))</f>
        <v>0</v>
      </c>
    </row>
    <row r="20">
      <c r="B20" s="107">
        <f>IF($B19="","",$B19+7)</f>
        <v>46384</v>
      </c>
      <c r="C20" s="96">
        <f>IF($B20="","",COUNTIFS('Trade Log'!$A$6:$A$1005,"&gt;="&amp;$B20,'Trade Log'!$A$6:$A$1005,"&lt;="&amp;($B20+6),'Trade Log'!$BH$6:$BH$1005,1))</f>
        <v>0</v>
      </c>
      <c r="D20" s="98" t="str">
        <f>IF(OR($B20="",N($C20)=0),"",SUMIFS('Trade Log'!$Q$6:$Q$1005,'Trade Log'!$A$6:$A$1005,"&gt;="&amp;$B20,'Trade Log'!$A$6:$A$1005,"&lt;="&amp;($B20+6)))</f>
        <v/>
      </c>
      <c r="E20" s="99" t="str">
        <f>IF(OR($B20="",N($C20)=0),"",IFERROR(COUNTIFS('Trade Log'!$A$6:$A$1005,"&gt;="&amp;$B20,'Trade Log'!$A$6:$A$1005,"&lt;="&amp;($B20+6),'Trade Log'!$S$6:$S$1005,"Win")/(COUNTIFS('Trade Log'!$A$6:$A$1005,"&gt;="&amp;$B20,'Trade Log'!$A$6:$A$1005,"&lt;="&amp;($B20+6),'Trade Log'!$S$6:$S$1005,"Win")+COUNTIFS('Trade Log'!$A$6:$A$1005,"&gt;="&amp;$B20,'Trade Log'!$A$6:$A$1005,"&lt;="&amp;($B20+6),'Trade Log'!$S$6:$S$1005,"Loss")),"—"))</f>
        <v/>
      </c>
      <c r="F20" s="104" t="str">
        <f>IF(OR($B20="",N($C20)=0),"",IFERROR(SUMIFS('Trade Log'!$R$6:$R$1005,'Trade Log'!$A$6:$A$1005,"&gt;="&amp;$B20,'Trade Log'!$A$6:$A$1005,"&lt;="&amp;($B20+6))/COUNTIFS('Trade Log'!$A$6:$A$1005,"&gt;="&amp;$B20,'Trade Log'!$A$6:$A$1005,"&lt;="&amp;($B20+6),'Trade Log'!$BC$6:$BC$1005,1),"—"))</f>
        <v/>
      </c>
      <c r="G20" s="110" t="str">
        <f>IF(OR($B20="",N($C20)=0),"",IF(SUMIFS('Trade Log'!$Q$6:$Q$1005,'Trade Log'!$A$6:$A$1005,"&gt;="&amp;$B20,'Trade Log'!$A$6:$A$1005,"&lt;="&amp;($B20+6),'Trade Log'!$Q$6:$Q$1005,"&lt;0")=0,IF(SUMIFS('Trade Log'!$Q$6:$Q$1005,'Trade Log'!$A$6:$A$1005,"&gt;="&amp;$B20,'Trade Log'!$A$6:$A$1005,"&lt;="&amp;($B20+6),'Trade Log'!$Q$6:$Q$1005,"&gt;0")&gt;0,"No losses","—"),SUMIFS('Trade Log'!$Q$6:$Q$1005,'Trade Log'!$A$6:$A$1005,"&gt;="&amp;$B20,'Trade Log'!$A$6:$A$1005,"&lt;="&amp;($B20+6),'Trade Log'!$Q$6:$Q$1005,"&gt;0")/-SUMIFS('Trade Log'!$Q$6:$Q$1005,'Trade Log'!$A$6:$A$1005,"&gt;="&amp;$B20,'Trade Log'!$A$6:$A$1005,"&lt;="&amp;($B20+6),'Trade Log'!$Q$6:$Q$1005,"&lt;0")))</f>
        <v/>
      </c>
      <c r="H20" s="99" t="str">
        <f>IF(OR($B20="",N($C20)=0),"",IFERROR(COUNTIFS('Trade Log'!$A$6:$A$1005,"&gt;="&amp;$B20,'Trade Log'!$A$6:$A$1005,"&lt;="&amp;($B20+6),'Trade Log'!$Z$6:$Z$1005,"Yes")/(COUNTIFS('Trade Log'!$A$6:$A$1005,"&gt;="&amp;$B20,'Trade Log'!$A$6:$A$1005,"&lt;="&amp;($B20+6),'Trade Log'!$Z$6:$Z$1005,"Yes")+COUNTIFS('Trade Log'!$A$6:$A$1005,"&gt;="&amp;$B20,'Trade Log'!$A$6:$A$1005,"&lt;="&amp;($B20+6),'Trade Log'!$Z$6:$Z$1005,"No")),"—"))</f>
        <v/>
      </c>
      <c r="I20" s="111" t="str">
        <f>IF(OR($B20="",N($C20)=0),"",IF(MAX($Q20:$AB20)=0,"None — clean week",INDEX($Q$5:$AB$5,MATCH(MAX($Q20:$AB20),$Q20:$AB20,0))))</f>
        <v/>
      </c>
      <c r="J20" s="111" t="str">
        <f>IF(OR($B20="",N($C20)=0),"",IF(MIN($AC20:$AL20)&gt;=0,"None lost money",INDEX($AC$5:$AL$5,MATCH(MIN($AC20:$AL20),$AC20:$AL20,0))))</f>
        <v/>
      </c>
      <c r="K20" s="111" t="str">
        <f>IF(OR($B20="",N($C20)=0),"",IF(MAX($AM20:$AV20)&lt;=0,"None made money",INDEX($AM$5:$AV$5,MATCH(MAX($AM20:$AV20),$AM20:$AV20,0))))</f>
        <v/>
      </c>
      <c r="L20" s="106" t="n"/>
      <c r="M20" s="106" t="n"/>
      <c r="N20" s="112" t="n"/>
      <c r="O20" s="29" t="n"/>
      <c r="Q20" s="109">
        <f>IF(OR($B20="",Q$5=""),0,COUNTIFS('Trade Log'!$A$6:$A$1005,"&gt;="&amp;$B20,'Trade Log'!$A$6:$A$1005,"&lt;="&amp;($B20+6),'Trade Log'!$AB$6:$AB$1005,Q$5))</f>
        <v>0</v>
      </c>
      <c r="R20" s="109">
        <f>IF(OR($B20="",R$5=""),0,COUNTIFS('Trade Log'!$A$6:$A$1005,"&gt;="&amp;$B20,'Trade Log'!$A$6:$A$1005,"&lt;="&amp;($B20+6),'Trade Log'!$AB$6:$AB$1005,R$5))</f>
        <v>0</v>
      </c>
      <c r="S20" s="109">
        <f>IF(OR($B20="",S$5=""),0,COUNTIFS('Trade Log'!$A$6:$A$1005,"&gt;="&amp;$B20,'Trade Log'!$A$6:$A$1005,"&lt;="&amp;($B20+6),'Trade Log'!$AB$6:$AB$1005,S$5))</f>
        <v>0</v>
      </c>
      <c r="T20" s="109">
        <f>IF(OR($B20="",T$5=""),0,COUNTIFS('Trade Log'!$A$6:$A$1005,"&gt;="&amp;$B20,'Trade Log'!$A$6:$A$1005,"&lt;="&amp;($B20+6),'Trade Log'!$AB$6:$AB$1005,T$5))</f>
        <v>0</v>
      </c>
      <c r="U20" s="109">
        <f>IF(OR($B20="",U$5=""),0,COUNTIFS('Trade Log'!$A$6:$A$1005,"&gt;="&amp;$B20,'Trade Log'!$A$6:$A$1005,"&lt;="&amp;($B20+6),'Trade Log'!$AB$6:$AB$1005,U$5))</f>
        <v>0</v>
      </c>
      <c r="V20" s="109">
        <f>IF(OR($B20="",V$5=""),0,COUNTIFS('Trade Log'!$A$6:$A$1005,"&gt;="&amp;$B20,'Trade Log'!$A$6:$A$1005,"&lt;="&amp;($B20+6),'Trade Log'!$AB$6:$AB$1005,V$5))</f>
        <v>0</v>
      </c>
      <c r="W20" s="109">
        <f>IF(OR($B20="",W$5=""),0,COUNTIFS('Trade Log'!$A$6:$A$1005,"&gt;="&amp;$B20,'Trade Log'!$A$6:$A$1005,"&lt;="&amp;($B20+6),'Trade Log'!$AB$6:$AB$1005,W$5))</f>
        <v>0</v>
      </c>
      <c r="X20" s="109">
        <f>IF(OR($B20="",X$5=""),0,COUNTIFS('Trade Log'!$A$6:$A$1005,"&gt;="&amp;$B20,'Trade Log'!$A$6:$A$1005,"&lt;="&amp;($B20+6),'Trade Log'!$AB$6:$AB$1005,X$5))</f>
        <v>0</v>
      </c>
      <c r="Y20" s="109">
        <f>IF(OR($B20="",Y$5=""),0,COUNTIFS('Trade Log'!$A$6:$A$1005,"&gt;="&amp;$B20,'Trade Log'!$A$6:$A$1005,"&lt;="&amp;($B20+6),'Trade Log'!$AB$6:$AB$1005,Y$5))</f>
        <v>0</v>
      </c>
      <c r="Z20" s="109">
        <f>IF(OR($B20="",Z$5=""),0,COUNTIFS('Trade Log'!$A$6:$A$1005,"&gt;="&amp;$B20,'Trade Log'!$A$6:$A$1005,"&lt;="&amp;($B20+6),'Trade Log'!$AB$6:$AB$1005,Z$5))</f>
        <v>0</v>
      </c>
      <c r="AA20" s="109">
        <f>IF(OR($B20="",AA$5=""),0,COUNTIFS('Trade Log'!$A$6:$A$1005,"&gt;="&amp;$B20,'Trade Log'!$A$6:$A$1005,"&lt;="&amp;($B20+6),'Trade Log'!$AB$6:$AB$1005,AA$5))</f>
        <v>0</v>
      </c>
      <c r="AB20" s="109">
        <f>IF(OR($B20="",AB$5=""),0,COUNTIFS('Trade Log'!$A$6:$A$1005,"&gt;="&amp;$B20,'Trade Log'!$A$6:$A$1005,"&lt;="&amp;($B20+6),'Trade Log'!$AB$6:$AB$1005,AB$5))</f>
        <v>0</v>
      </c>
      <c r="AC20" s="113">
        <f>IF(OR($B20="",AC$5=""),0,SUMIFS('Trade Log'!$Q$6:$Q$1005,'Trade Log'!$A$6:$A$1005,"&gt;="&amp;$B20,'Trade Log'!$A$6:$A$1005,"&lt;="&amp;($B20+6),'Trade Log'!$AA$6:$AA$1005,AC$5))</f>
        <v>0</v>
      </c>
      <c r="AD20" s="113">
        <f>IF(OR($B20="",AD$5=""),0,SUMIFS('Trade Log'!$Q$6:$Q$1005,'Trade Log'!$A$6:$A$1005,"&gt;="&amp;$B20,'Trade Log'!$A$6:$A$1005,"&lt;="&amp;($B20+6),'Trade Log'!$AA$6:$AA$1005,AD$5))</f>
        <v>0</v>
      </c>
      <c r="AE20" s="113">
        <f>IF(OR($B20="",AE$5=""),0,SUMIFS('Trade Log'!$Q$6:$Q$1005,'Trade Log'!$A$6:$A$1005,"&gt;="&amp;$B20,'Trade Log'!$A$6:$A$1005,"&lt;="&amp;($B20+6),'Trade Log'!$AA$6:$AA$1005,AE$5))</f>
        <v>0</v>
      </c>
      <c r="AF20" s="113">
        <f>IF(OR($B20="",AF$5=""),0,SUMIFS('Trade Log'!$Q$6:$Q$1005,'Trade Log'!$A$6:$A$1005,"&gt;="&amp;$B20,'Trade Log'!$A$6:$A$1005,"&lt;="&amp;($B20+6),'Trade Log'!$AA$6:$AA$1005,AF$5))</f>
        <v>0</v>
      </c>
      <c r="AG20" s="113">
        <f>IF(OR($B20="",AG$5=""),0,SUMIFS('Trade Log'!$Q$6:$Q$1005,'Trade Log'!$A$6:$A$1005,"&gt;="&amp;$B20,'Trade Log'!$A$6:$A$1005,"&lt;="&amp;($B20+6),'Trade Log'!$AA$6:$AA$1005,AG$5))</f>
        <v>0</v>
      </c>
      <c r="AH20" s="113">
        <f>IF(OR($B20="",AH$5=""),0,SUMIFS('Trade Log'!$Q$6:$Q$1005,'Trade Log'!$A$6:$A$1005,"&gt;="&amp;$B20,'Trade Log'!$A$6:$A$1005,"&lt;="&amp;($B20+6),'Trade Log'!$AA$6:$AA$1005,AH$5))</f>
        <v>0</v>
      </c>
      <c r="AI20" s="113">
        <f>IF(OR($B20="",AI$5=""),0,SUMIFS('Trade Log'!$Q$6:$Q$1005,'Trade Log'!$A$6:$A$1005,"&gt;="&amp;$B20,'Trade Log'!$A$6:$A$1005,"&lt;="&amp;($B20+6),'Trade Log'!$AA$6:$AA$1005,AI$5))</f>
        <v>0</v>
      </c>
      <c r="AJ20" s="113">
        <f>IF(OR($B20="",AJ$5=""),0,SUMIFS('Trade Log'!$Q$6:$Q$1005,'Trade Log'!$A$6:$A$1005,"&gt;="&amp;$B20,'Trade Log'!$A$6:$A$1005,"&lt;="&amp;($B20+6),'Trade Log'!$AA$6:$AA$1005,AJ$5))</f>
        <v>0</v>
      </c>
      <c r="AK20" s="113">
        <f>IF(OR($B20="",AK$5=""),0,SUMIFS('Trade Log'!$Q$6:$Q$1005,'Trade Log'!$A$6:$A$1005,"&gt;="&amp;$B20,'Trade Log'!$A$6:$A$1005,"&lt;="&amp;($B20+6),'Trade Log'!$AA$6:$AA$1005,AK$5))</f>
        <v>0</v>
      </c>
      <c r="AL20" s="113">
        <f>IF(OR($B20="",AL$5=""),0,SUMIFS('Trade Log'!$Q$6:$Q$1005,'Trade Log'!$A$6:$A$1005,"&gt;="&amp;$B20,'Trade Log'!$A$6:$A$1005,"&lt;="&amp;($B20+6),'Trade Log'!$AA$6:$AA$1005,AL$5))</f>
        <v>0</v>
      </c>
      <c r="AM20" s="113">
        <f>IF(OR($B20="",AM$5=""),0,SUMIFS('Trade Log'!$Q$6:$Q$1005,'Trade Log'!$A$6:$A$1005,"&gt;="&amp;$B20,'Trade Log'!$A$6:$A$1005,"&lt;="&amp;($B20+6),'Trade Log'!$Y$6:$Y$1005,AM$5))</f>
        <v>0</v>
      </c>
      <c r="AN20" s="113">
        <f>IF(OR($B20="",AN$5=""),0,SUMIFS('Trade Log'!$Q$6:$Q$1005,'Trade Log'!$A$6:$A$1005,"&gt;="&amp;$B20,'Trade Log'!$A$6:$A$1005,"&lt;="&amp;($B20+6),'Trade Log'!$Y$6:$Y$1005,AN$5))</f>
        <v>0</v>
      </c>
      <c r="AO20" s="113">
        <f>IF(OR($B20="",AO$5=""),0,SUMIFS('Trade Log'!$Q$6:$Q$1005,'Trade Log'!$A$6:$A$1005,"&gt;="&amp;$B20,'Trade Log'!$A$6:$A$1005,"&lt;="&amp;($B20+6),'Trade Log'!$Y$6:$Y$1005,AO$5))</f>
        <v>0</v>
      </c>
      <c r="AP20" s="113">
        <f>IF(OR($B20="",AP$5=""),0,SUMIFS('Trade Log'!$Q$6:$Q$1005,'Trade Log'!$A$6:$A$1005,"&gt;="&amp;$B20,'Trade Log'!$A$6:$A$1005,"&lt;="&amp;($B20+6),'Trade Log'!$Y$6:$Y$1005,AP$5))</f>
        <v>0</v>
      </c>
      <c r="AQ20" s="113">
        <f>IF(OR($B20="",AQ$5=""),0,SUMIFS('Trade Log'!$Q$6:$Q$1005,'Trade Log'!$A$6:$A$1005,"&gt;="&amp;$B20,'Trade Log'!$A$6:$A$1005,"&lt;="&amp;($B20+6),'Trade Log'!$Y$6:$Y$1005,AQ$5))</f>
        <v>0</v>
      </c>
      <c r="AR20" s="113">
        <f>IF(OR($B20="",AR$5=""),0,SUMIFS('Trade Log'!$Q$6:$Q$1005,'Trade Log'!$A$6:$A$1005,"&gt;="&amp;$B20,'Trade Log'!$A$6:$A$1005,"&lt;="&amp;($B20+6),'Trade Log'!$Y$6:$Y$1005,AR$5))</f>
        <v>0</v>
      </c>
      <c r="AS20" s="113">
        <f>IF(OR($B20="",AS$5=""),0,SUMIFS('Trade Log'!$Q$6:$Q$1005,'Trade Log'!$A$6:$A$1005,"&gt;="&amp;$B20,'Trade Log'!$A$6:$A$1005,"&lt;="&amp;($B20+6),'Trade Log'!$Y$6:$Y$1005,AS$5))</f>
        <v>0</v>
      </c>
      <c r="AT20" s="113">
        <f>IF(OR($B20="",AT$5=""),0,SUMIFS('Trade Log'!$Q$6:$Q$1005,'Trade Log'!$A$6:$A$1005,"&gt;="&amp;$B20,'Trade Log'!$A$6:$A$1005,"&lt;="&amp;($B20+6),'Trade Log'!$Y$6:$Y$1005,AT$5))</f>
        <v>0</v>
      </c>
      <c r="AU20" s="113">
        <f>IF(OR($B20="",AU$5=""),0,SUMIFS('Trade Log'!$Q$6:$Q$1005,'Trade Log'!$A$6:$A$1005,"&gt;="&amp;$B20,'Trade Log'!$A$6:$A$1005,"&lt;="&amp;($B20+6),'Trade Log'!$Y$6:$Y$1005,AU$5))</f>
        <v>0</v>
      </c>
      <c r="AV20" s="113">
        <f>IF(OR($B20="",AV$5=""),0,SUMIFS('Trade Log'!$Q$6:$Q$1005,'Trade Log'!$A$6:$A$1005,"&gt;="&amp;$B20,'Trade Log'!$A$6:$A$1005,"&lt;="&amp;($B20+6),'Trade Log'!$Y$6:$Y$1005,AV$5))</f>
        <v>0</v>
      </c>
    </row>
    <row r="21">
      <c r="B21" s="107">
        <f>IF($B20="","",$B20+7)</f>
        <v>46391</v>
      </c>
      <c r="C21" s="96">
        <f>IF($B21="","",COUNTIFS('Trade Log'!$A$6:$A$1005,"&gt;="&amp;$B21,'Trade Log'!$A$6:$A$1005,"&lt;="&amp;($B21+6),'Trade Log'!$BH$6:$BH$1005,1))</f>
        <v>0</v>
      </c>
      <c r="D21" s="98" t="str">
        <f>IF(OR($B21="",N($C21)=0),"",SUMIFS('Trade Log'!$Q$6:$Q$1005,'Trade Log'!$A$6:$A$1005,"&gt;="&amp;$B21,'Trade Log'!$A$6:$A$1005,"&lt;="&amp;($B21+6)))</f>
        <v/>
      </c>
      <c r="E21" s="99" t="str">
        <f>IF(OR($B21="",N($C21)=0),"",IFERROR(COUNTIFS('Trade Log'!$A$6:$A$1005,"&gt;="&amp;$B21,'Trade Log'!$A$6:$A$1005,"&lt;="&amp;($B21+6),'Trade Log'!$S$6:$S$1005,"Win")/(COUNTIFS('Trade Log'!$A$6:$A$1005,"&gt;="&amp;$B21,'Trade Log'!$A$6:$A$1005,"&lt;="&amp;($B21+6),'Trade Log'!$S$6:$S$1005,"Win")+COUNTIFS('Trade Log'!$A$6:$A$1005,"&gt;="&amp;$B21,'Trade Log'!$A$6:$A$1005,"&lt;="&amp;($B21+6),'Trade Log'!$S$6:$S$1005,"Loss")),"—"))</f>
        <v/>
      </c>
      <c r="F21" s="104" t="str">
        <f>IF(OR($B21="",N($C21)=0),"",IFERROR(SUMIFS('Trade Log'!$R$6:$R$1005,'Trade Log'!$A$6:$A$1005,"&gt;="&amp;$B21,'Trade Log'!$A$6:$A$1005,"&lt;="&amp;($B21+6))/COUNTIFS('Trade Log'!$A$6:$A$1005,"&gt;="&amp;$B21,'Trade Log'!$A$6:$A$1005,"&lt;="&amp;($B21+6),'Trade Log'!$BC$6:$BC$1005,1),"—"))</f>
        <v/>
      </c>
      <c r="G21" s="110" t="str">
        <f>IF(OR($B21="",N($C21)=0),"",IF(SUMIFS('Trade Log'!$Q$6:$Q$1005,'Trade Log'!$A$6:$A$1005,"&gt;="&amp;$B21,'Trade Log'!$A$6:$A$1005,"&lt;="&amp;($B21+6),'Trade Log'!$Q$6:$Q$1005,"&lt;0")=0,IF(SUMIFS('Trade Log'!$Q$6:$Q$1005,'Trade Log'!$A$6:$A$1005,"&gt;="&amp;$B21,'Trade Log'!$A$6:$A$1005,"&lt;="&amp;($B21+6),'Trade Log'!$Q$6:$Q$1005,"&gt;0")&gt;0,"No losses","—"),SUMIFS('Trade Log'!$Q$6:$Q$1005,'Trade Log'!$A$6:$A$1005,"&gt;="&amp;$B21,'Trade Log'!$A$6:$A$1005,"&lt;="&amp;($B21+6),'Trade Log'!$Q$6:$Q$1005,"&gt;0")/-SUMIFS('Trade Log'!$Q$6:$Q$1005,'Trade Log'!$A$6:$A$1005,"&gt;="&amp;$B21,'Trade Log'!$A$6:$A$1005,"&lt;="&amp;($B21+6),'Trade Log'!$Q$6:$Q$1005,"&lt;0")))</f>
        <v/>
      </c>
      <c r="H21" s="99" t="str">
        <f>IF(OR($B21="",N($C21)=0),"",IFERROR(COUNTIFS('Trade Log'!$A$6:$A$1005,"&gt;="&amp;$B21,'Trade Log'!$A$6:$A$1005,"&lt;="&amp;($B21+6),'Trade Log'!$Z$6:$Z$1005,"Yes")/(COUNTIFS('Trade Log'!$A$6:$A$1005,"&gt;="&amp;$B21,'Trade Log'!$A$6:$A$1005,"&lt;="&amp;($B21+6),'Trade Log'!$Z$6:$Z$1005,"Yes")+COUNTIFS('Trade Log'!$A$6:$A$1005,"&gt;="&amp;$B21,'Trade Log'!$A$6:$A$1005,"&lt;="&amp;($B21+6),'Trade Log'!$Z$6:$Z$1005,"No")),"—"))</f>
        <v/>
      </c>
      <c r="I21" s="111" t="str">
        <f>IF(OR($B21="",N($C21)=0),"",IF(MAX($Q21:$AB21)=0,"None — clean week",INDEX($Q$5:$AB$5,MATCH(MAX($Q21:$AB21),$Q21:$AB21,0))))</f>
        <v/>
      </c>
      <c r="J21" s="111" t="str">
        <f>IF(OR($B21="",N($C21)=0),"",IF(MIN($AC21:$AL21)&gt;=0,"None lost money",INDEX($AC$5:$AL$5,MATCH(MIN($AC21:$AL21),$AC21:$AL21,0))))</f>
        <v/>
      </c>
      <c r="K21" s="111" t="str">
        <f>IF(OR($B21="",N($C21)=0),"",IF(MAX($AM21:$AV21)&lt;=0,"None made money",INDEX($AM$5:$AV$5,MATCH(MAX($AM21:$AV21),$AM21:$AV21,0))))</f>
        <v/>
      </c>
      <c r="L21" s="106" t="n"/>
      <c r="M21" s="106" t="n"/>
      <c r="N21" s="112" t="n"/>
      <c r="O21" s="29" t="n"/>
      <c r="Q21" s="109">
        <f>IF(OR($B21="",Q$5=""),0,COUNTIFS('Trade Log'!$A$6:$A$1005,"&gt;="&amp;$B21,'Trade Log'!$A$6:$A$1005,"&lt;="&amp;($B21+6),'Trade Log'!$AB$6:$AB$1005,Q$5))</f>
        <v>0</v>
      </c>
      <c r="R21" s="109">
        <f>IF(OR($B21="",R$5=""),0,COUNTIFS('Trade Log'!$A$6:$A$1005,"&gt;="&amp;$B21,'Trade Log'!$A$6:$A$1005,"&lt;="&amp;($B21+6),'Trade Log'!$AB$6:$AB$1005,R$5))</f>
        <v>0</v>
      </c>
      <c r="S21" s="109">
        <f>IF(OR($B21="",S$5=""),0,COUNTIFS('Trade Log'!$A$6:$A$1005,"&gt;="&amp;$B21,'Trade Log'!$A$6:$A$1005,"&lt;="&amp;($B21+6),'Trade Log'!$AB$6:$AB$1005,S$5))</f>
        <v>0</v>
      </c>
      <c r="T21" s="109">
        <f>IF(OR($B21="",T$5=""),0,COUNTIFS('Trade Log'!$A$6:$A$1005,"&gt;="&amp;$B21,'Trade Log'!$A$6:$A$1005,"&lt;="&amp;($B21+6),'Trade Log'!$AB$6:$AB$1005,T$5))</f>
        <v>0</v>
      </c>
      <c r="U21" s="109">
        <f>IF(OR($B21="",U$5=""),0,COUNTIFS('Trade Log'!$A$6:$A$1005,"&gt;="&amp;$B21,'Trade Log'!$A$6:$A$1005,"&lt;="&amp;($B21+6),'Trade Log'!$AB$6:$AB$1005,U$5))</f>
        <v>0</v>
      </c>
      <c r="V21" s="109">
        <f>IF(OR($B21="",V$5=""),0,COUNTIFS('Trade Log'!$A$6:$A$1005,"&gt;="&amp;$B21,'Trade Log'!$A$6:$A$1005,"&lt;="&amp;($B21+6),'Trade Log'!$AB$6:$AB$1005,V$5))</f>
        <v>0</v>
      </c>
      <c r="W21" s="109">
        <f>IF(OR($B21="",W$5=""),0,COUNTIFS('Trade Log'!$A$6:$A$1005,"&gt;="&amp;$B21,'Trade Log'!$A$6:$A$1005,"&lt;="&amp;($B21+6),'Trade Log'!$AB$6:$AB$1005,W$5))</f>
        <v>0</v>
      </c>
      <c r="X21" s="109">
        <f>IF(OR($B21="",X$5=""),0,COUNTIFS('Trade Log'!$A$6:$A$1005,"&gt;="&amp;$B21,'Trade Log'!$A$6:$A$1005,"&lt;="&amp;($B21+6),'Trade Log'!$AB$6:$AB$1005,X$5))</f>
        <v>0</v>
      </c>
      <c r="Y21" s="109">
        <f>IF(OR($B21="",Y$5=""),0,COUNTIFS('Trade Log'!$A$6:$A$1005,"&gt;="&amp;$B21,'Trade Log'!$A$6:$A$1005,"&lt;="&amp;($B21+6),'Trade Log'!$AB$6:$AB$1005,Y$5))</f>
        <v>0</v>
      </c>
      <c r="Z21" s="109">
        <f>IF(OR($B21="",Z$5=""),0,COUNTIFS('Trade Log'!$A$6:$A$1005,"&gt;="&amp;$B21,'Trade Log'!$A$6:$A$1005,"&lt;="&amp;($B21+6),'Trade Log'!$AB$6:$AB$1005,Z$5))</f>
        <v>0</v>
      </c>
      <c r="AA21" s="109">
        <f>IF(OR($B21="",AA$5=""),0,COUNTIFS('Trade Log'!$A$6:$A$1005,"&gt;="&amp;$B21,'Trade Log'!$A$6:$A$1005,"&lt;="&amp;($B21+6),'Trade Log'!$AB$6:$AB$1005,AA$5))</f>
        <v>0</v>
      </c>
      <c r="AB21" s="109">
        <f>IF(OR($B21="",AB$5=""),0,COUNTIFS('Trade Log'!$A$6:$A$1005,"&gt;="&amp;$B21,'Trade Log'!$A$6:$A$1005,"&lt;="&amp;($B21+6),'Trade Log'!$AB$6:$AB$1005,AB$5))</f>
        <v>0</v>
      </c>
      <c r="AC21" s="113">
        <f>IF(OR($B21="",AC$5=""),0,SUMIFS('Trade Log'!$Q$6:$Q$1005,'Trade Log'!$A$6:$A$1005,"&gt;="&amp;$B21,'Trade Log'!$A$6:$A$1005,"&lt;="&amp;($B21+6),'Trade Log'!$AA$6:$AA$1005,AC$5))</f>
        <v>0</v>
      </c>
      <c r="AD21" s="113">
        <f>IF(OR($B21="",AD$5=""),0,SUMIFS('Trade Log'!$Q$6:$Q$1005,'Trade Log'!$A$6:$A$1005,"&gt;="&amp;$B21,'Trade Log'!$A$6:$A$1005,"&lt;="&amp;($B21+6),'Trade Log'!$AA$6:$AA$1005,AD$5))</f>
        <v>0</v>
      </c>
      <c r="AE21" s="113">
        <f>IF(OR($B21="",AE$5=""),0,SUMIFS('Trade Log'!$Q$6:$Q$1005,'Trade Log'!$A$6:$A$1005,"&gt;="&amp;$B21,'Trade Log'!$A$6:$A$1005,"&lt;="&amp;($B21+6),'Trade Log'!$AA$6:$AA$1005,AE$5))</f>
        <v>0</v>
      </c>
      <c r="AF21" s="113">
        <f>IF(OR($B21="",AF$5=""),0,SUMIFS('Trade Log'!$Q$6:$Q$1005,'Trade Log'!$A$6:$A$1005,"&gt;="&amp;$B21,'Trade Log'!$A$6:$A$1005,"&lt;="&amp;($B21+6),'Trade Log'!$AA$6:$AA$1005,AF$5))</f>
        <v>0</v>
      </c>
      <c r="AG21" s="113">
        <f>IF(OR($B21="",AG$5=""),0,SUMIFS('Trade Log'!$Q$6:$Q$1005,'Trade Log'!$A$6:$A$1005,"&gt;="&amp;$B21,'Trade Log'!$A$6:$A$1005,"&lt;="&amp;($B21+6),'Trade Log'!$AA$6:$AA$1005,AG$5))</f>
        <v>0</v>
      </c>
      <c r="AH21" s="113">
        <f>IF(OR($B21="",AH$5=""),0,SUMIFS('Trade Log'!$Q$6:$Q$1005,'Trade Log'!$A$6:$A$1005,"&gt;="&amp;$B21,'Trade Log'!$A$6:$A$1005,"&lt;="&amp;($B21+6),'Trade Log'!$AA$6:$AA$1005,AH$5))</f>
        <v>0</v>
      </c>
      <c r="AI21" s="113">
        <f>IF(OR($B21="",AI$5=""),0,SUMIFS('Trade Log'!$Q$6:$Q$1005,'Trade Log'!$A$6:$A$1005,"&gt;="&amp;$B21,'Trade Log'!$A$6:$A$1005,"&lt;="&amp;($B21+6),'Trade Log'!$AA$6:$AA$1005,AI$5))</f>
        <v>0</v>
      </c>
      <c r="AJ21" s="113">
        <f>IF(OR($B21="",AJ$5=""),0,SUMIFS('Trade Log'!$Q$6:$Q$1005,'Trade Log'!$A$6:$A$1005,"&gt;="&amp;$B21,'Trade Log'!$A$6:$A$1005,"&lt;="&amp;($B21+6),'Trade Log'!$AA$6:$AA$1005,AJ$5))</f>
        <v>0</v>
      </c>
      <c r="AK21" s="113">
        <f>IF(OR($B21="",AK$5=""),0,SUMIFS('Trade Log'!$Q$6:$Q$1005,'Trade Log'!$A$6:$A$1005,"&gt;="&amp;$B21,'Trade Log'!$A$6:$A$1005,"&lt;="&amp;($B21+6),'Trade Log'!$AA$6:$AA$1005,AK$5))</f>
        <v>0</v>
      </c>
      <c r="AL21" s="113">
        <f>IF(OR($B21="",AL$5=""),0,SUMIFS('Trade Log'!$Q$6:$Q$1005,'Trade Log'!$A$6:$A$1005,"&gt;="&amp;$B21,'Trade Log'!$A$6:$A$1005,"&lt;="&amp;($B21+6),'Trade Log'!$AA$6:$AA$1005,AL$5))</f>
        <v>0</v>
      </c>
      <c r="AM21" s="113">
        <f>IF(OR($B21="",AM$5=""),0,SUMIFS('Trade Log'!$Q$6:$Q$1005,'Trade Log'!$A$6:$A$1005,"&gt;="&amp;$B21,'Trade Log'!$A$6:$A$1005,"&lt;="&amp;($B21+6),'Trade Log'!$Y$6:$Y$1005,AM$5))</f>
        <v>0</v>
      </c>
      <c r="AN21" s="113">
        <f>IF(OR($B21="",AN$5=""),0,SUMIFS('Trade Log'!$Q$6:$Q$1005,'Trade Log'!$A$6:$A$1005,"&gt;="&amp;$B21,'Trade Log'!$A$6:$A$1005,"&lt;="&amp;($B21+6),'Trade Log'!$Y$6:$Y$1005,AN$5))</f>
        <v>0</v>
      </c>
      <c r="AO21" s="113">
        <f>IF(OR($B21="",AO$5=""),0,SUMIFS('Trade Log'!$Q$6:$Q$1005,'Trade Log'!$A$6:$A$1005,"&gt;="&amp;$B21,'Trade Log'!$A$6:$A$1005,"&lt;="&amp;($B21+6),'Trade Log'!$Y$6:$Y$1005,AO$5))</f>
        <v>0</v>
      </c>
      <c r="AP21" s="113">
        <f>IF(OR($B21="",AP$5=""),0,SUMIFS('Trade Log'!$Q$6:$Q$1005,'Trade Log'!$A$6:$A$1005,"&gt;="&amp;$B21,'Trade Log'!$A$6:$A$1005,"&lt;="&amp;($B21+6),'Trade Log'!$Y$6:$Y$1005,AP$5))</f>
        <v>0</v>
      </c>
      <c r="AQ21" s="113">
        <f>IF(OR($B21="",AQ$5=""),0,SUMIFS('Trade Log'!$Q$6:$Q$1005,'Trade Log'!$A$6:$A$1005,"&gt;="&amp;$B21,'Trade Log'!$A$6:$A$1005,"&lt;="&amp;($B21+6),'Trade Log'!$Y$6:$Y$1005,AQ$5))</f>
        <v>0</v>
      </c>
      <c r="AR21" s="113">
        <f>IF(OR($B21="",AR$5=""),0,SUMIFS('Trade Log'!$Q$6:$Q$1005,'Trade Log'!$A$6:$A$1005,"&gt;="&amp;$B21,'Trade Log'!$A$6:$A$1005,"&lt;="&amp;($B21+6),'Trade Log'!$Y$6:$Y$1005,AR$5))</f>
        <v>0</v>
      </c>
      <c r="AS21" s="113">
        <f>IF(OR($B21="",AS$5=""),0,SUMIFS('Trade Log'!$Q$6:$Q$1005,'Trade Log'!$A$6:$A$1005,"&gt;="&amp;$B21,'Trade Log'!$A$6:$A$1005,"&lt;="&amp;($B21+6),'Trade Log'!$Y$6:$Y$1005,AS$5))</f>
        <v>0</v>
      </c>
      <c r="AT21" s="113">
        <f>IF(OR($B21="",AT$5=""),0,SUMIFS('Trade Log'!$Q$6:$Q$1005,'Trade Log'!$A$6:$A$1005,"&gt;="&amp;$B21,'Trade Log'!$A$6:$A$1005,"&lt;="&amp;($B21+6),'Trade Log'!$Y$6:$Y$1005,AT$5))</f>
        <v>0</v>
      </c>
      <c r="AU21" s="113">
        <f>IF(OR($B21="",AU$5=""),0,SUMIFS('Trade Log'!$Q$6:$Q$1005,'Trade Log'!$A$6:$A$1005,"&gt;="&amp;$B21,'Trade Log'!$A$6:$A$1005,"&lt;="&amp;($B21+6),'Trade Log'!$Y$6:$Y$1005,AU$5))</f>
        <v>0</v>
      </c>
      <c r="AV21" s="113">
        <f>IF(OR($B21="",AV$5=""),0,SUMIFS('Trade Log'!$Q$6:$Q$1005,'Trade Log'!$A$6:$A$1005,"&gt;="&amp;$B21,'Trade Log'!$A$6:$A$1005,"&lt;="&amp;($B21+6),'Trade Log'!$Y$6:$Y$1005,AV$5))</f>
        <v>0</v>
      </c>
    </row>
    <row r="22">
      <c r="B22" s="107">
        <f>IF($B21="","",$B21+7)</f>
        <v>46398</v>
      </c>
      <c r="C22" s="96">
        <f>IF($B22="","",COUNTIFS('Trade Log'!$A$6:$A$1005,"&gt;="&amp;$B22,'Trade Log'!$A$6:$A$1005,"&lt;="&amp;($B22+6),'Trade Log'!$BH$6:$BH$1005,1))</f>
        <v>0</v>
      </c>
      <c r="D22" s="98" t="str">
        <f>IF(OR($B22="",N($C22)=0),"",SUMIFS('Trade Log'!$Q$6:$Q$1005,'Trade Log'!$A$6:$A$1005,"&gt;="&amp;$B22,'Trade Log'!$A$6:$A$1005,"&lt;="&amp;($B22+6)))</f>
        <v/>
      </c>
      <c r="E22" s="99" t="str">
        <f>IF(OR($B22="",N($C22)=0),"",IFERROR(COUNTIFS('Trade Log'!$A$6:$A$1005,"&gt;="&amp;$B22,'Trade Log'!$A$6:$A$1005,"&lt;="&amp;($B22+6),'Trade Log'!$S$6:$S$1005,"Win")/(COUNTIFS('Trade Log'!$A$6:$A$1005,"&gt;="&amp;$B22,'Trade Log'!$A$6:$A$1005,"&lt;="&amp;($B22+6),'Trade Log'!$S$6:$S$1005,"Win")+COUNTIFS('Trade Log'!$A$6:$A$1005,"&gt;="&amp;$B22,'Trade Log'!$A$6:$A$1005,"&lt;="&amp;($B22+6),'Trade Log'!$S$6:$S$1005,"Loss")),"—"))</f>
        <v/>
      </c>
      <c r="F22" s="104" t="str">
        <f>IF(OR($B22="",N($C22)=0),"",IFERROR(SUMIFS('Trade Log'!$R$6:$R$1005,'Trade Log'!$A$6:$A$1005,"&gt;="&amp;$B22,'Trade Log'!$A$6:$A$1005,"&lt;="&amp;($B22+6))/COUNTIFS('Trade Log'!$A$6:$A$1005,"&gt;="&amp;$B22,'Trade Log'!$A$6:$A$1005,"&lt;="&amp;($B22+6),'Trade Log'!$BC$6:$BC$1005,1),"—"))</f>
        <v/>
      </c>
      <c r="G22" s="110" t="str">
        <f>IF(OR($B22="",N($C22)=0),"",IF(SUMIFS('Trade Log'!$Q$6:$Q$1005,'Trade Log'!$A$6:$A$1005,"&gt;="&amp;$B22,'Trade Log'!$A$6:$A$1005,"&lt;="&amp;($B22+6),'Trade Log'!$Q$6:$Q$1005,"&lt;0")=0,IF(SUMIFS('Trade Log'!$Q$6:$Q$1005,'Trade Log'!$A$6:$A$1005,"&gt;="&amp;$B22,'Trade Log'!$A$6:$A$1005,"&lt;="&amp;($B22+6),'Trade Log'!$Q$6:$Q$1005,"&gt;0")&gt;0,"No losses","—"),SUMIFS('Trade Log'!$Q$6:$Q$1005,'Trade Log'!$A$6:$A$1005,"&gt;="&amp;$B22,'Trade Log'!$A$6:$A$1005,"&lt;="&amp;($B22+6),'Trade Log'!$Q$6:$Q$1005,"&gt;0")/-SUMIFS('Trade Log'!$Q$6:$Q$1005,'Trade Log'!$A$6:$A$1005,"&gt;="&amp;$B22,'Trade Log'!$A$6:$A$1005,"&lt;="&amp;($B22+6),'Trade Log'!$Q$6:$Q$1005,"&lt;0")))</f>
        <v/>
      </c>
      <c r="H22" s="99" t="str">
        <f>IF(OR($B22="",N($C22)=0),"",IFERROR(COUNTIFS('Trade Log'!$A$6:$A$1005,"&gt;="&amp;$B22,'Trade Log'!$A$6:$A$1005,"&lt;="&amp;($B22+6),'Trade Log'!$Z$6:$Z$1005,"Yes")/(COUNTIFS('Trade Log'!$A$6:$A$1005,"&gt;="&amp;$B22,'Trade Log'!$A$6:$A$1005,"&lt;="&amp;($B22+6),'Trade Log'!$Z$6:$Z$1005,"Yes")+COUNTIFS('Trade Log'!$A$6:$A$1005,"&gt;="&amp;$B22,'Trade Log'!$A$6:$A$1005,"&lt;="&amp;($B22+6),'Trade Log'!$Z$6:$Z$1005,"No")),"—"))</f>
        <v/>
      </c>
      <c r="I22" s="111" t="str">
        <f>IF(OR($B22="",N($C22)=0),"",IF(MAX($Q22:$AB22)=0,"None — clean week",INDEX($Q$5:$AB$5,MATCH(MAX($Q22:$AB22),$Q22:$AB22,0))))</f>
        <v/>
      </c>
      <c r="J22" s="111" t="str">
        <f>IF(OR($B22="",N($C22)=0),"",IF(MIN($AC22:$AL22)&gt;=0,"None lost money",INDEX($AC$5:$AL$5,MATCH(MIN($AC22:$AL22),$AC22:$AL22,0))))</f>
        <v/>
      </c>
      <c r="K22" s="111" t="str">
        <f>IF(OR($B22="",N($C22)=0),"",IF(MAX($AM22:$AV22)&lt;=0,"None made money",INDEX($AM$5:$AV$5,MATCH(MAX($AM22:$AV22),$AM22:$AV22,0))))</f>
        <v/>
      </c>
      <c r="L22" s="106" t="n"/>
      <c r="M22" s="106" t="n"/>
      <c r="N22" s="112" t="n"/>
      <c r="O22" s="29" t="n"/>
      <c r="Q22" s="109">
        <f>IF(OR($B22="",Q$5=""),0,COUNTIFS('Trade Log'!$A$6:$A$1005,"&gt;="&amp;$B22,'Trade Log'!$A$6:$A$1005,"&lt;="&amp;($B22+6),'Trade Log'!$AB$6:$AB$1005,Q$5))</f>
        <v>0</v>
      </c>
      <c r="R22" s="109">
        <f>IF(OR($B22="",R$5=""),0,COUNTIFS('Trade Log'!$A$6:$A$1005,"&gt;="&amp;$B22,'Trade Log'!$A$6:$A$1005,"&lt;="&amp;($B22+6),'Trade Log'!$AB$6:$AB$1005,R$5))</f>
        <v>0</v>
      </c>
      <c r="S22" s="109">
        <f>IF(OR($B22="",S$5=""),0,COUNTIFS('Trade Log'!$A$6:$A$1005,"&gt;="&amp;$B22,'Trade Log'!$A$6:$A$1005,"&lt;="&amp;($B22+6),'Trade Log'!$AB$6:$AB$1005,S$5))</f>
        <v>0</v>
      </c>
      <c r="T22" s="109">
        <f>IF(OR($B22="",T$5=""),0,COUNTIFS('Trade Log'!$A$6:$A$1005,"&gt;="&amp;$B22,'Trade Log'!$A$6:$A$1005,"&lt;="&amp;($B22+6),'Trade Log'!$AB$6:$AB$1005,T$5))</f>
        <v>0</v>
      </c>
      <c r="U22" s="109">
        <f>IF(OR($B22="",U$5=""),0,COUNTIFS('Trade Log'!$A$6:$A$1005,"&gt;="&amp;$B22,'Trade Log'!$A$6:$A$1005,"&lt;="&amp;($B22+6),'Trade Log'!$AB$6:$AB$1005,U$5))</f>
        <v>0</v>
      </c>
      <c r="V22" s="109">
        <f>IF(OR($B22="",V$5=""),0,COUNTIFS('Trade Log'!$A$6:$A$1005,"&gt;="&amp;$B22,'Trade Log'!$A$6:$A$1005,"&lt;="&amp;($B22+6),'Trade Log'!$AB$6:$AB$1005,V$5))</f>
        <v>0</v>
      </c>
      <c r="W22" s="109">
        <f>IF(OR($B22="",W$5=""),0,COUNTIFS('Trade Log'!$A$6:$A$1005,"&gt;="&amp;$B22,'Trade Log'!$A$6:$A$1005,"&lt;="&amp;($B22+6),'Trade Log'!$AB$6:$AB$1005,W$5))</f>
        <v>0</v>
      </c>
      <c r="X22" s="109">
        <f>IF(OR($B22="",X$5=""),0,COUNTIFS('Trade Log'!$A$6:$A$1005,"&gt;="&amp;$B22,'Trade Log'!$A$6:$A$1005,"&lt;="&amp;($B22+6),'Trade Log'!$AB$6:$AB$1005,X$5))</f>
        <v>0</v>
      </c>
      <c r="Y22" s="109">
        <f>IF(OR($B22="",Y$5=""),0,COUNTIFS('Trade Log'!$A$6:$A$1005,"&gt;="&amp;$B22,'Trade Log'!$A$6:$A$1005,"&lt;="&amp;($B22+6),'Trade Log'!$AB$6:$AB$1005,Y$5))</f>
        <v>0</v>
      </c>
      <c r="Z22" s="109">
        <f>IF(OR($B22="",Z$5=""),0,COUNTIFS('Trade Log'!$A$6:$A$1005,"&gt;="&amp;$B22,'Trade Log'!$A$6:$A$1005,"&lt;="&amp;($B22+6),'Trade Log'!$AB$6:$AB$1005,Z$5))</f>
        <v>0</v>
      </c>
      <c r="AA22" s="109">
        <f>IF(OR($B22="",AA$5=""),0,COUNTIFS('Trade Log'!$A$6:$A$1005,"&gt;="&amp;$B22,'Trade Log'!$A$6:$A$1005,"&lt;="&amp;($B22+6),'Trade Log'!$AB$6:$AB$1005,AA$5))</f>
        <v>0</v>
      </c>
      <c r="AB22" s="109">
        <f>IF(OR($B22="",AB$5=""),0,COUNTIFS('Trade Log'!$A$6:$A$1005,"&gt;="&amp;$B22,'Trade Log'!$A$6:$A$1005,"&lt;="&amp;($B22+6),'Trade Log'!$AB$6:$AB$1005,AB$5))</f>
        <v>0</v>
      </c>
      <c r="AC22" s="113">
        <f>IF(OR($B22="",AC$5=""),0,SUMIFS('Trade Log'!$Q$6:$Q$1005,'Trade Log'!$A$6:$A$1005,"&gt;="&amp;$B22,'Trade Log'!$A$6:$A$1005,"&lt;="&amp;($B22+6),'Trade Log'!$AA$6:$AA$1005,AC$5))</f>
        <v>0</v>
      </c>
      <c r="AD22" s="113">
        <f>IF(OR($B22="",AD$5=""),0,SUMIFS('Trade Log'!$Q$6:$Q$1005,'Trade Log'!$A$6:$A$1005,"&gt;="&amp;$B22,'Trade Log'!$A$6:$A$1005,"&lt;="&amp;($B22+6),'Trade Log'!$AA$6:$AA$1005,AD$5))</f>
        <v>0</v>
      </c>
      <c r="AE22" s="113">
        <f>IF(OR($B22="",AE$5=""),0,SUMIFS('Trade Log'!$Q$6:$Q$1005,'Trade Log'!$A$6:$A$1005,"&gt;="&amp;$B22,'Trade Log'!$A$6:$A$1005,"&lt;="&amp;($B22+6),'Trade Log'!$AA$6:$AA$1005,AE$5))</f>
        <v>0</v>
      </c>
      <c r="AF22" s="113">
        <f>IF(OR($B22="",AF$5=""),0,SUMIFS('Trade Log'!$Q$6:$Q$1005,'Trade Log'!$A$6:$A$1005,"&gt;="&amp;$B22,'Trade Log'!$A$6:$A$1005,"&lt;="&amp;($B22+6),'Trade Log'!$AA$6:$AA$1005,AF$5))</f>
        <v>0</v>
      </c>
      <c r="AG22" s="113">
        <f>IF(OR($B22="",AG$5=""),0,SUMIFS('Trade Log'!$Q$6:$Q$1005,'Trade Log'!$A$6:$A$1005,"&gt;="&amp;$B22,'Trade Log'!$A$6:$A$1005,"&lt;="&amp;($B22+6),'Trade Log'!$AA$6:$AA$1005,AG$5))</f>
        <v>0</v>
      </c>
      <c r="AH22" s="113">
        <f>IF(OR($B22="",AH$5=""),0,SUMIFS('Trade Log'!$Q$6:$Q$1005,'Trade Log'!$A$6:$A$1005,"&gt;="&amp;$B22,'Trade Log'!$A$6:$A$1005,"&lt;="&amp;($B22+6),'Trade Log'!$AA$6:$AA$1005,AH$5))</f>
        <v>0</v>
      </c>
      <c r="AI22" s="113">
        <f>IF(OR($B22="",AI$5=""),0,SUMIFS('Trade Log'!$Q$6:$Q$1005,'Trade Log'!$A$6:$A$1005,"&gt;="&amp;$B22,'Trade Log'!$A$6:$A$1005,"&lt;="&amp;($B22+6),'Trade Log'!$AA$6:$AA$1005,AI$5))</f>
        <v>0</v>
      </c>
      <c r="AJ22" s="113">
        <f>IF(OR($B22="",AJ$5=""),0,SUMIFS('Trade Log'!$Q$6:$Q$1005,'Trade Log'!$A$6:$A$1005,"&gt;="&amp;$B22,'Trade Log'!$A$6:$A$1005,"&lt;="&amp;($B22+6),'Trade Log'!$AA$6:$AA$1005,AJ$5))</f>
        <v>0</v>
      </c>
      <c r="AK22" s="113">
        <f>IF(OR($B22="",AK$5=""),0,SUMIFS('Trade Log'!$Q$6:$Q$1005,'Trade Log'!$A$6:$A$1005,"&gt;="&amp;$B22,'Trade Log'!$A$6:$A$1005,"&lt;="&amp;($B22+6),'Trade Log'!$AA$6:$AA$1005,AK$5))</f>
        <v>0</v>
      </c>
      <c r="AL22" s="113">
        <f>IF(OR($B22="",AL$5=""),0,SUMIFS('Trade Log'!$Q$6:$Q$1005,'Trade Log'!$A$6:$A$1005,"&gt;="&amp;$B22,'Trade Log'!$A$6:$A$1005,"&lt;="&amp;($B22+6),'Trade Log'!$AA$6:$AA$1005,AL$5))</f>
        <v>0</v>
      </c>
      <c r="AM22" s="113">
        <f>IF(OR($B22="",AM$5=""),0,SUMIFS('Trade Log'!$Q$6:$Q$1005,'Trade Log'!$A$6:$A$1005,"&gt;="&amp;$B22,'Trade Log'!$A$6:$A$1005,"&lt;="&amp;($B22+6),'Trade Log'!$Y$6:$Y$1005,AM$5))</f>
        <v>0</v>
      </c>
      <c r="AN22" s="113">
        <f>IF(OR($B22="",AN$5=""),0,SUMIFS('Trade Log'!$Q$6:$Q$1005,'Trade Log'!$A$6:$A$1005,"&gt;="&amp;$B22,'Trade Log'!$A$6:$A$1005,"&lt;="&amp;($B22+6),'Trade Log'!$Y$6:$Y$1005,AN$5))</f>
        <v>0</v>
      </c>
      <c r="AO22" s="113">
        <f>IF(OR($B22="",AO$5=""),0,SUMIFS('Trade Log'!$Q$6:$Q$1005,'Trade Log'!$A$6:$A$1005,"&gt;="&amp;$B22,'Trade Log'!$A$6:$A$1005,"&lt;="&amp;($B22+6),'Trade Log'!$Y$6:$Y$1005,AO$5))</f>
        <v>0</v>
      </c>
      <c r="AP22" s="113">
        <f>IF(OR($B22="",AP$5=""),0,SUMIFS('Trade Log'!$Q$6:$Q$1005,'Trade Log'!$A$6:$A$1005,"&gt;="&amp;$B22,'Trade Log'!$A$6:$A$1005,"&lt;="&amp;($B22+6),'Trade Log'!$Y$6:$Y$1005,AP$5))</f>
        <v>0</v>
      </c>
      <c r="AQ22" s="113">
        <f>IF(OR($B22="",AQ$5=""),0,SUMIFS('Trade Log'!$Q$6:$Q$1005,'Trade Log'!$A$6:$A$1005,"&gt;="&amp;$B22,'Trade Log'!$A$6:$A$1005,"&lt;="&amp;($B22+6),'Trade Log'!$Y$6:$Y$1005,AQ$5))</f>
        <v>0</v>
      </c>
      <c r="AR22" s="113">
        <f>IF(OR($B22="",AR$5=""),0,SUMIFS('Trade Log'!$Q$6:$Q$1005,'Trade Log'!$A$6:$A$1005,"&gt;="&amp;$B22,'Trade Log'!$A$6:$A$1005,"&lt;="&amp;($B22+6),'Trade Log'!$Y$6:$Y$1005,AR$5))</f>
        <v>0</v>
      </c>
      <c r="AS22" s="113">
        <f>IF(OR($B22="",AS$5=""),0,SUMIFS('Trade Log'!$Q$6:$Q$1005,'Trade Log'!$A$6:$A$1005,"&gt;="&amp;$B22,'Trade Log'!$A$6:$A$1005,"&lt;="&amp;($B22+6),'Trade Log'!$Y$6:$Y$1005,AS$5))</f>
        <v>0</v>
      </c>
      <c r="AT22" s="113">
        <f>IF(OR($B22="",AT$5=""),0,SUMIFS('Trade Log'!$Q$6:$Q$1005,'Trade Log'!$A$6:$A$1005,"&gt;="&amp;$B22,'Trade Log'!$A$6:$A$1005,"&lt;="&amp;($B22+6),'Trade Log'!$Y$6:$Y$1005,AT$5))</f>
        <v>0</v>
      </c>
      <c r="AU22" s="113">
        <f>IF(OR($B22="",AU$5=""),0,SUMIFS('Trade Log'!$Q$6:$Q$1005,'Trade Log'!$A$6:$A$1005,"&gt;="&amp;$B22,'Trade Log'!$A$6:$A$1005,"&lt;="&amp;($B22+6),'Trade Log'!$Y$6:$Y$1005,AU$5))</f>
        <v>0</v>
      </c>
      <c r="AV22" s="113">
        <f>IF(OR($B22="",AV$5=""),0,SUMIFS('Trade Log'!$Q$6:$Q$1005,'Trade Log'!$A$6:$A$1005,"&gt;="&amp;$B22,'Trade Log'!$A$6:$A$1005,"&lt;="&amp;($B22+6),'Trade Log'!$Y$6:$Y$1005,AV$5))</f>
        <v>0</v>
      </c>
    </row>
    <row r="23">
      <c r="B23" s="107">
        <f>IF($B22="","",$B22+7)</f>
        <v>46405</v>
      </c>
      <c r="C23" s="96">
        <f>IF($B23="","",COUNTIFS('Trade Log'!$A$6:$A$1005,"&gt;="&amp;$B23,'Trade Log'!$A$6:$A$1005,"&lt;="&amp;($B23+6),'Trade Log'!$BH$6:$BH$1005,1))</f>
        <v>0</v>
      </c>
      <c r="D23" s="98" t="str">
        <f>IF(OR($B23="",N($C23)=0),"",SUMIFS('Trade Log'!$Q$6:$Q$1005,'Trade Log'!$A$6:$A$1005,"&gt;="&amp;$B23,'Trade Log'!$A$6:$A$1005,"&lt;="&amp;($B23+6)))</f>
        <v/>
      </c>
      <c r="E23" s="99" t="str">
        <f>IF(OR($B23="",N($C23)=0),"",IFERROR(COUNTIFS('Trade Log'!$A$6:$A$1005,"&gt;="&amp;$B23,'Trade Log'!$A$6:$A$1005,"&lt;="&amp;($B23+6),'Trade Log'!$S$6:$S$1005,"Win")/(COUNTIFS('Trade Log'!$A$6:$A$1005,"&gt;="&amp;$B23,'Trade Log'!$A$6:$A$1005,"&lt;="&amp;($B23+6),'Trade Log'!$S$6:$S$1005,"Win")+COUNTIFS('Trade Log'!$A$6:$A$1005,"&gt;="&amp;$B23,'Trade Log'!$A$6:$A$1005,"&lt;="&amp;($B23+6),'Trade Log'!$S$6:$S$1005,"Loss")),"—"))</f>
        <v/>
      </c>
      <c r="F23" s="104" t="str">
        <f>IF(OR($B23="",N($C23)=0),"",IFERROR(SUMIFS('Trade Log'!$R$6:$R$1005,'Trade Log'!$A$6:$A$1005,"&gt;="&amp;$B23,'Trade Log'!$A$6:$A$1005,"&lt;="&amp;($B23+6))/COUNTIFS('Trade Log'!$A$6:$A$1005,"&gt;="&amp;$B23,'Trade Log'!$A$6:$A$1005,"&lt;="&amp;($B23+6),'Trade Log'!$BC$6:$BC$1005,1),"—"))</f>
        <v/>
      </c>
      <c r="G23" s="110" t="str">
        <f>IF(OR($B23="",N($C23)=0),"",IF(SUMIFS('Trade Log'!$Q$6:$Q$1005,'Trade Log'!$A$6:$A$1005,"&gt;="&amp;$B23,'Trade Log'!$A$6:$A$1005,"&lt;="&amp;($B23+6),'Trade Log'!$Q$6:$Q$1005,"&lt;0")=0,IF(SUMIFS('Trade Log'!$Q$6:$Q$1005,'Trade Log'!$A$6:$A$1005,"&gt;="&amp;$B23,'Trade Log'!$A$6:$A$1005,"&lt;="&amp;($B23+6),'Trade Log'!$Q$6:$Q$1005,"&gt;0")&gt;0,"No losses","—"),SUMIFS('Trade Log'!$Q$6:$Q$1005,'Trade Log'!$A$6:$A$1005,"&gt;="&amp;$B23,'Trade Log'!$A$6:$A$1005,"&lt;="&amp;($B23+6),'Trade Log'!$Q$6:$Q$1005,"&gt;0")/-SUMIFS('Trade Log'!$Q$6:$Q$1005,'Trade Log'!$A$6:$A$1005,"&gt;="&amp;$B23,'Trade Log'!$A$6:$A$1005,"&lt;="&amp;($B23+6),'Trade Log'!$Q$6:$Q$1005,"&lt;0")))</f>
        <v/>
      </c>
      <c r="H23" s="99" t="str">
        <f>IF(OR($B23="",N($C23)=0),"",IFERROR(COUNTIFS('Trade Log'!$A$6:$A$1005,"&gt;="&amp;$B23,'Trade Log'!$A$6:$A$1005,"&lt;="&amp;($B23+6),'Trade Log'!$Z$6:$Z$1005,"Yes")/(COUNTIFS('Trade Log'!$A$6:$A$1005,"&gt;="&amp;$B23,'Trade Log'!$A$6:$A$1005,"&lt;="&amp;($B23+6),'Trade Log'!$Z$6:$Z$1005,"Yes")+COUNTIFS('Trade Log'!$A$6:$A$1005,"&gt;="&amp;$B23,'Trade Log'!$A$6:$A$1005,"&lt;="&amp;($B23+6),'Trade Log'!$Z$6:$Z$1005,"No")),"—"))</f>
        <v/>
      </c>
      <c r="I23" s="111" t="str">
        <f>IF(OR($B23="",N($C23)=0),"",IF(MAX($Q23:$AB23)=0,"None — clean week",INDEX($Q$5:$AB$5,MATCH(MAX($Q23:$AB23),$Q23:$AB23,0))))</f>
        <v/>
      </c>
      <c r="J23" s="111" t="str">
        <f>IF(OR($B23="",N($C23)=0),"",IF(MIN($AC23:$AL23)&gt;=0,"None lost money",INDEX($AC$5:$AL$5,MATCH(MIN($AC23:$AL23),$AC23:$AL23,0))))</f>
        <v/>
      </c>
      <c r="K23" s="111" t="str">
        <f>IF(OR($B23="",N($C23)=0),"",IF(MAX($AM23:$AV23)&lt;=0,"None made money",INDEX($AM$5:$AV$5,MATCH(MAX($AM23:$AV23),$AM23:$AV23,0))))</f>
        <v/>
      </c>
      <c r="L23" s="106" t="n"/>
      <c r="M23" s="106" t="n"/>
      <c r="N23" s="112" t="n"/>
      <c r="O23" s="29" t="n"/>
      <c r="Q23" s="109">
        <f>IF(OR($B23="",Q$5=""),0,COUNTIFS('Trade Log'!$A$6:$A$1005,"&gt;="&amp;$B23,'Trade Log'!$A$6:$A$1005,"&lt;="&amp;($B23+6),'Trade Log'!$AB$6:$AB$1005,Q$5))</f>
        <v>0</v>
      </c>
      <c r="R23" s="109">
        <f>IF(OR($B23="",R$5=""),0,COUNTIFS('Trade Log'!$A$6:$A$1005,"&gt;="&amp;$B23,'Trade Log'!$A$6:$A$1005,"&lt;="&amp;($B23+6),'Trade Log'!$AB$6:$AB$1005,R$5))</f>
        <v>0</v>
      </c>
      <c r="S23" s="109">
        <f>IF(OR($B23="",S$5=""),0,COUNTIFS('Trade Log'!$A$6:$A$1005,"&gt;="&amp;$B23,'Trade Log'!$A$6:$A$1005,"&lt;="&amp;($B23+6),'Trade Log'!$AB$6:$AB$1005,S$5))</f>
        <v>0</v>
      </c>
      <c r="T23" s="109">
        <f>IF(OR($B23="",T$5=""),0,COUNTIFS('Trade Log'!$A$6:$A$1005,"&gt;="&amp;$B23,'Trade Log'!$A$6:$A$1005,"&lt;="&amp;($B23+6),'Trade Log'!$AB$6:$AB$1005,T$5))</f>
        <v>0</v>
      </c>
      <c r="U23" s="109">
        <f>IF(OR($B23="",U$5=""),0,COUNTIFS('Trade Log'!$A$6:$A$1005,"&gt;="&amp;$B23,'Trade Log'!$A$6:$A$1005,"&lt;="&amp;($B23+6),'Trade Log'!$AB$6:$AB$1005,U$5))</f>
        <v>0</v>
      </c>
      <c r="V23" s="109">
        <f>IF(OR($B23="",V$5=""),0,COUNTIFS('Trade Log'!$A$6:$A$1005,"&gt;="&amp;$B23,'Trade Log'!$A$6:$A$1005,"&lt;="&amp;($B23+6),'Trade Log'!$AB$6:$AB$1005,V$5))</f>
        <v>0</v>
      </c>
      <c r="W23" s="109">
        <f>IF(OR($B23="",W$5=""),0,COUNTIFS('Trade Log'!$A$6:$A$1005,"&gt;="&amp;$B23,'Trade Log'!$A$6:$A$1005,"&lt;="&amp;($B23+6),'Trade Log'!$AB$6:$AB$1005,W$5))</f>
        <v>0</v>
      </c>
      <c r="X23" s="109">
        <f>IF(OR($B23="",X$5=""),0,COUNTIFS('Trade Log'!$A$6:$A$1005,"&gt;="&amp;$B23,'Trade Log'!$A$6:$A$1005,"&lt;="&amp;($B23+6),'Trade Log'!$AB$6:$AB$1005,X$5))</f>
        <v>0</v>
      </c>
      <c r="Y23" s="109">
        <f>IF(OR($B23="",Y$5=""),0,COUNTIFS('Trade Log'!$A$6:$A$1005,"&gt;="&amp;$B23,'Trade Log'!$A$6:$A$1005,"&lt;="&amp;($B23+6),'Trade Log'!$AB$6:$AB$1005,Y$5))</f>
        <v>0</v>
      </c>
      <c r="Z23" s="109">
        <f>IF(OR($B23="",Z$5=""),0,COUNTIFS('Trade Log'!$A$6:$A$1005,"&gt;="&amp;$B23,'Trade Log'!$A$6:$A$1005,"&lt;="&amp;($B23+6),'Trade Log'!$AB$6:$AB$1005,Z$5))</f>
        <v>0</v>
      </c>
      <c r="AA23" s="109">
        <f>IF(OR($B23="",AA$5=""),0,COUNTIFS('Trade Log'!$A$6:$A$1005,"&gt;="&amp;$B23,'Trade Log'!$A$6:$A$1005,"&lt;="&amp;($B23+6),'Trade Log'!$AB$6:$AB$1005,AA$5))</f>
        <v>0</v>
      </c>
      <c r="AB23" s="109">
        <f>IF(OR($B23="",AB$5=""),0,COUNTIFS('Trade Log'!$A$6:$A$1005,"&gt;="&amp;$B23,'Trade Log'!$A$6:$A$1005,"&lt;="&amp;($B23+6),'Trade Log'!$AB$6:$AB$1005,AB$5))</f>
        <v>0</v>
      </c>
      <c r="AC23" s="113">
        <f>IF(OR($B23="",AC$5=""),0,SUMIFS('Trade Log'!$Q$6:$Q$1005,'Trade Log'!$A$6:$A$1005,"&gt;="&amp;$B23,'Trade Log'!$A$6:$A$1005,"&lt;="&amp;($B23+6),'Trade Log'!$AA$6:$AA$1005,AC$5))</f>
        <v>0</v>
      </c>
      <c r="AD23" s="113">
        <f>IF(OR($B23="",AD$5=""),0,SUMIFS('Trade Log'!$Q$6:$Q$1005,'Trade Log'!$A$6:$A$1005,"&gt;="&amp;$B23,'Trade Log'!$A$6:$A$1005,"&lt;="&amp;($B23+6),'Trade Log'!$AA$6:$AA$1005,AD$5))</f>
        <v>0</v>
      </c>
      <c r="AE23" s="113">
        <f>IF(OR($B23="",AE$5=""),0,SUMIFS('Trade Log'!$Q$6:$Q$1005,'Trade Log'!$A$6:$A$1005,"&gt;="&amp;$B23,'Trade Log'!$A$6:$A$1005,"&lt;="&amp;($B23+6),'Trade Log'!$AA$6:$AA$1005,AE$5))</f>
        <v>0</v>
      </c>
      <c r="AF23" s="113">
        <f>IF(OR($B23="",AF$5=""),0,SUMIFS('Trade Log'!$Q$6:$Q$1005,'Trade Log'!$A$6:$A$1005,"&gt;="&amp;$B23,'Trade Log'!$A$6:$A$1005,"&lt;="&amp;($B23+6),'Trade Log'!$AA$6:$AA$1005,AF$5))</f>
        <v>0</v>
      </c>
      <c r="AG23" s="113">
        <f>IF(OR($B23="",AG$5=""),0,SUMIFS('Trade Log'!$Q$6:$Q$1005,'Trade Log'!$A$6:$A$1005,"&gt;="&amp;$B23,'Trade Log'!$A$6:$A$1005,"&lt;="&amp;($B23+6),'Trade Log'!$AA$6:$AA$1005,AG$5))</f>
        <v>0</v>
      </c>
      <c r="AH23" s="113">
        <f>IF(OR($B23="",AH$5=""),0,SUMIFS('Trade Log'!$Q$6:$Q$1005,'Trade Log'!$A$6:$A$1005,"&gt;="&amp;$B23,'Trade Log'!$A$6:$A$1005,"&lt;="&amp;($B23+6),'Trade Log'!$AA$6:$AA$1005,AH$5))</f>
        <v>0</v>
      </c>
      <c r="AI23" s="113">
        <f>IF(OR($B23="",AI$5=""),0,SUMIFS('Trade Log'!$Q$6:$Q$1005,'Trade Log'!$A$6:$A$1005,"&gt;="&amp;$B23,'Trade Log'!$A$6:$A$1005,"&lt;="&amp;($B23+6),'Trade Log'!$AA$6:$AA$1005,AI$5))</f>
        <v>0</v>
      </c>
      <c r="AJ23" s="113">
        <f>IF(OR($B23="",AJ$5=""),0,SUMIFS('Trade Log'!$Q$6:$Q$1005,'Trade Log'!$A$6:$A$1005,"&gt;="&amp;$B23,'Trade Log'!$A$6:$A$1005,"&lt;="&amp;($B23+6),'Trade Log'!$AA$6:$AA$1005,AJ$5))</f>
        <v>0</v>
      </c>
      <c r="AK23" s="113">
        <f>IF(OR($B23="",AK$5=""),0,SUMIFS('Trade Log'!$Q$6:$Q$1005,'Trade Log'!$A$6:$A$1005,"&gt;="&amp;$B23,'Trade Log'!$A$6:$A$1005,"&lt;="&amp;($B23+6),'Trade Log'!$AA$6:$AA$1005,AK$5))</f>
        <v>0</v>
      </c>
      <c r="AL23" s="113">
        <f>IF(OR($B23="",AL$5=""),0,SUMIFS('Trade Log'!$Q$6:$Q$1005,'Trade Log'!$A$6:$A$1005,"&gt;="&amp;$B23,'Trade Log'!$A$6:$A$1005,"&lt;="&amp;($B23+6),'Trade Log'!$AA$6:$AA$1005,AL$5))</f>
        <v>0</v>
      </c>
      <c r="AM23" s="113">
        <f>IF(OR($B23="",AM$5=""),0,SUMIFS('Trade Log'!$Q$6:$Q$1005,'Trade Log'!$A$6:$A$1005,"&gt;="&amp;$B23,'Trade Log'!$A$6:$A$1005,"&lt;="&amp;($B23+6),'Trade Log'!$Y$6:$Y$1005,AM$5))</f>
        <v>0</v>
      </c>
      <c r="AN23" s="113">
        <f>IF(OR($B23="",AN$5=""),0,SUMIFS('Trade Log'!$Q$6:$Q$1005,'Trade Log'!$A$6:$A$1005,"&gt;="&amp;$B23,'Trade Log'!$A$6:$A$1005,"&lt;="&amp;($B23+6),'Trade Log'!$Y$6:$Y$1005,AN$5))</f>
        <v>0</v>
      </c>
      <c r="AO23" s="113">
        <f>IF(OR($B23="",AO$5=""),0,SUMIFS('Trade Log'!$Q$6:$Q$1005,'Trade Log'!$A$6:$A$1005,"&gt;="&amp;$B23,'Trade Log'!$A$6:$A$1005,"&lt;="&amp;($B23+6),'Trade Log'!$Y$6:$Y$1005,AO$5))</f>
        <v>0</v>
      </c>
      <c r="AP23" s="113">
        <f>IF(OR($B23="",AP$5=""),0,SUMIFS('Trade Log'!$Q$6:$Q$1005,'Trade Log'!$A$6:$A$1005,"&gt;="&amp;$B23,'Trade Log'!$A$6:$A$1005,"&lt;="&amp;($B23+6),'Trade Log'!$Y$6:$Y$1005,AP$5))</f>
        <v>0</v>
      </c>
      <c r="AQ23" s="113">
        <f>IF(OR($B23="",AQ$5=""),0,SUMIFS('Trade Log'!$Q$6:$Q$1005,'Trade Log'!$A$6:$A$1005,"&gt;="&amp;$B23,'Trade Log'!$A$6:$A$1005,"&lt;="&amp;($B23+6),'Trade Log'!$Y$6:$Y$1005,AQ$5))</f>
        <v>0</v>
      </c>
      <c r="AR23" s="113">
        <f>IF(OR($B23="",AR$5=""),0,SUMIFS('Trade Log'!$Q$6:$Q$1005,'Trade Log'!$A$6:$A$1005,"&gt;="&amp;$B23,'Trade Log'!$A$6:$A$1005,"&lt;="&amp;($B23+6),'Trade Log'!$Y$6:$Y$1005,AR$5))</f>
        <v>0</v>
      </c>
      <c r="AS23" s="113">
        <f>IF(OR($B23="",AS$5=""),0,SUMIFS('Trade Log'!$Q$6:$Q$1005,'Trade Log'!$A$6:$A$1005,"&gt;="&amp;$B23,'Trade Log'!$A$6:$A$1005,"&lt;="&amp;($B23+6),'Trade Log'!$Y$6:$Y$1005,AS$5))</f>
        <v>0</v>
      </c>
      <c r="AT23" s="113">
        <f>IF(OR($B23="",AT$5=""),0,SUMIFS('Trade Log'!$Q$6:$Q$1005,'Trade Log'!$A$6:$A$1005,"&gt;="&amp;$B23,'Trade Log'!$A$6:$A$1005,"&lt;="&amp;($B23+6),'Trade Log'!$Y$6:$Y$1005,AT$5))</f>
        <v>0</v>
      </c>
      <c r="AU23" s="113">
        <f>IF(OR($B23="",AU$5=""),0,SUMIFS('Trade Log'!$Q$6:$Q$1005,'Trade Log'!$A$6:$A$1005,"&gt;="&amp;$B23,'Trade Log'!$A$6:$A$1005,"&lt;="&amp;($B23+6),'Trade Log'!$Y$6:$Y$1005,AU$5))</f>
        <v>0</v>
      </c>
      <c r="AV23" s="113">
        <f>IF(OR($B23="",AV$5=""),0,SUMIFS('Trade Log'!$Q$6:$Q$1005,'Trade Log'!$A$6:$A$1005,"&gt;="&amp;$B23,'Trade Log'!$A$6:$A$1005,"&lt;="&amp;($B23+6),'Trade Log'!$Y$6:$Y$1005,AV$5))</f>
        <v>0</v>
      </c>
    </row>
    <row r="24">
      <c r="B24" s="107">
        <f>IF($B23="","",$B23+7)</f>
        <v>46412</v>
      </c>
      <c r="C24" s="96">
        <f>IF($B24="","",COUNTIFS('Trade Log'!$A$6:$A$1005,"&gt;="&amp;$B24,'Trade Log'!$A$6:$A$1005,"&lt;="&amp;($B24+6),'Trade Log'!$BH$6:$BH$1005,1))</f>
        <v>0</v>
      </c>
      <c r="D24" s="98" t="str">
        <f>IF(OR($B24="",N($C24)=0),"",SUMIFS('Trade Log'!$Q$6:$Q$1005,'Trade Log'!$A$6:$A$1005,"&gt;="&amp;$B24,'Trade Log'!$A$6:$A$1005,"&lt;="&amp;($B24+6)))</f>
        <v/>
      </c>
      <c r="E24" s="99" t="str">
        <f>IF(OR($B24="",N($C24)=0),"",IFERROR(COUNTIFS('Trade Log'!$A$6:$A$1005,"&gt;="&amp;$B24,'Trade Log'!$A$6:$A$1005,"&lt;="&amp;($B24+6),'Trade Log'!$S$6:$S$1005,"Win")/(COUNTIFS('Trade Log'!$A$6:$A$1005,"&gt;="&amp;$B24,'Trade Log'!$A$6:$A$1005,"&lt;="&amp;($B24+6),'Trade Log'!$S$6:$S$1005,"Win")+COUNTIFS('Trade Log'!$A$6:$A$1005,"&gt;="&amp;$B24,'Trade Log'!$A$6:$A$1005,"&lt;="&amp;($B24+6),'Trade Log'!$S$6:$S$1005,"Loss")),"—"))</f>
        <v/>
      </c>
      <c r="F24" s="104" t="str">
        <f>IF(OR($B24="",N($C24)=0),"",IFERROR(SUMIFS('Trade Log'!$R$6:$R$1005,'Trade Log'!$A$6:$A$1005,"&gt;="&amp;$B24,'Trade Log'!$A$6:$A$1005,"&lt;="&amp;($B24+6))/COUNTIFS('Trade Log'!$A$6:$A$1005,"&gt;="&amp;$B24,'Trade Log'!$A$6:$A$1005,"&lt;="&amp;($B24+6),'Trade Log'!$BC$6:$BC$1005,1),"—"))</f>
        <v/>
      </c>
      <c r="G24" s="110" t="str">
        <f>IF(OR($B24="",N($C24)=0),"",IF(SUMIFS('Trade Log'!$Q$6:$Q$1005,'Trade Log'!$A$6:$A$1005,"&gt;="&amp;$B24,'Trade Log'!$A$6:$A$1005,"&lt;="&amp;($B24+6),'Trade Log'!$Q$6:$Q$1005,"&lt;0")=0,IF(SUMIFS('Trade Log'!$Q$6:$Q$1005,'Trade Log'!$A$6:$A$1005,"&gt;="&amp;$B24,'Trade Log'!$A$6:$A$1005,"&lt;="&amp;($B24+6),'Trade Log'!$Q$6:$Q$1005,"&gt;0")&gt;0,"No losses","—"),SUMIFS('Trade Log'!$Q$6:$Q$1005,'Trade Log'!$A$6:$A$1005,"&gt;="&amp;$B24,'Trade Log'!$A$6:$A$1005,"&lt;="&amp;($B24+6),'Trade Log'!$Q$6:$Q$1005,"&gt;0")/-SUMIFS('Trade Log'!$Q$6:$Q$1005,'Trade Log'!$A$6:$A$1005,"&gt;="&amp;$B24,'Trade Log'!$A$6:$A$1005,"&lt;="&amp;($B24+6),'Trade Log'!$Q$6:$Q$1005,"&lt;0")))</f>
        <v/>
      </c>
      <c r="H24" s="99" t="str">
        <f>IF(OR($B24="",N($C24)=0),"",IFERROR(COUNTIFS('Trade Log'!$A$6:$A$1005,"&gt;="&amp;$B24,'Trade Log'!$A$6:$A$1005,"&lt;="&amp;($B24+6),'Trade Log'!$Z$6:$Z$1005,"Yes")/(COUNTIFS('Trade Log'!$A$6:$A$1005,"&gt;="&amp;$B24,'Trade Log'!$A$6:$A$1005,"&lt;="&amp;($B24+6),'Trade Log'!$Z$6:$Z$1005,"Yes")+COUNTIFS('Trade Log'!$A$6:$A$1005,"&gt;="&amp;$B24,'Trade Log'!$A$6:$A$1005,"&lt;="&amp;($B24+6),'Trade Log'!$Z$6:$Z$1005,"No")),"—"))</f>
        <v/>
      </c>
      <c r="I24" s="111" t="str">
        <f>IF(OR($B24="",N($C24)=0),"",IF(MAX($Q24:$AB24)=0,"None — clean week",INDEX($Q$5:$AB$5,MATCH(MAX($Q24:$AB24),$Q24:$AB24,0))))</f>
        <v/>
      </c>
      <c r="J24" s="111" t="str">
        <f>IF(OR($B24="",N($C24)=0),"",IF(MIN($AC24:$AL24)&gt;=0,"None lost money",INDEX($AC$5:$AL$5,MATCH(MIN($AC24:$AL24),$AC24:$AL24,0))))</f>
        <v/>
      </c>
      <c r="K24" s="111" t="str">
        <f>IF(OR($B24="",N($C24)=0),"",IF(MAX($AM24:$AV24)&lt;=0,"None made money",INDEX($AM$5:$AV$5,MATCH(MAX($AM24:$AV24),$AM24:$AV24,0))))</f>
        <v/>
      </c>
      <c r="L24" s="106" t="n"/>
      <c r="M24" s="106" t="n"/>
      <c r="N24" s="112" t="n"/>
      <c r="O24" s="29" t="n"/>
      <c r="Q24" s="109">
        <f>IF(OR($B24="",Q$5=""),0,COUNTIFS('Trade Log'!$A$6:$A$1005,"&gt;="&amp;$B24,'Trade Log'!$A$6:$A$1005,"&lt;="&amp;($B24+6),'Trade Log'!$AB$6:$AB$1005,Q$5))</f>
        <v>0</v>
      </c>
      <c r="R24" s="109">
        <f>IF(OR($B24="",R$5=""),0,COUNTIFS('Trade Log'!$A$6:$A$1005,"&gt;="&amp;$B24,'Trade Log'!$A$6:$A$1005,"&lt;="&amp;($B24+6),'Trade Log'!$AB$6:$AB$1005,R$5))</f>
        <v>0</v>
      </c>
      <c r="S24" s="109">
        <f>IF(OR($B24="",S$5=""),0,COUNTIFS('Trade Log'!$A$6:$A$1005,"&gt;="&amp;$B24,'Trade Log'!$A$6:$A$1005,"&lt;="&amp;($B24+6),'Trade Log'!$AB$6:$AB$1005,S$5))</f>
        <v>0</v>
      </c>
      <c r="T24" s="109">
        <f>IF(OR($B24="",T$5=""),0,COUNTIFS('Trade Log'!$A$6:$A$1005,"&gt;="&amp;$B24,'Trade Log'!$A$6:$A$1005,"&lt;="&amp;($B24+6),'Trade Log'!$AB$6:$AB$1005,T$5))</f>
        <v>0</v>
      </c>
      <c r="U24" s="109">
        <f>IF(OR($B24="",U$5=""),0,COUNTIFS('Trade Log'!$A$6:$A$1005,"&gt;="&amp;$B24,'Trade Log'!$A$6:$A$1005,"&lt;="&amp;($B24+6),'Trade Log'!$AB$6:$AB$1005,U$5))</f>
        <v>0</v>
      </c>
      <c r="V24" s="109">
        <f>IF(OR($B24="",V$5=""),0,COUNTIFS('Trade Log'!$A$6:$A$1005,"&gt;="&amp;$B24,'Trade Log'!$A$6:$A$1005,"&lt;="&amp;($B24+6),'Trade Log'!$AB$6:$AB$1005,V$5))</f>
        <v>0</v>
      </c>
      <c r="W24" s="109">
        <f>IF(OR($B24="",W$5=""),0,COUNTIFS('Trade Log'!$A$6:$A$1005,"&gt;="&amp;$B24,'Trade Log'!$A$6:$A$1005,"&lt;="&amp;($B24+6),'Trade Log'!$AB$6:$AB$1005,W$5))</f>
        <v>0</v>
      </c>
      <c r="X24" s="109">
        <f>IF(OR($B24="",X$5=""),0,COUNTIFS('Trade Log'!$A$6:$A$1005,"&gt;="&amp;$B24,'Trade Log'!$A$6:$A$1005,"&lt;="&amp;($B24+6),'Trade Log'!$AB$6:$AB$1005,X$5))</f>
        <v>0</v>
      </c>
      <c r="Y24" s="109">
        <f>IF(OR($B24="",Y$5=""),0,COUNTIFS('Trade Log'!$A$6:$A$1005,"&gt;="&amp;$B24,'Trade Log'!$A$6:$A$1005,"&lt;="&amp;($B24+6),'Trade Log'!$AB$6:$AB$1005,Y$5))</f>
        <v>0</v>
      </c>
      <c r="Z24" s="109">
        <f>IF(OR($B24="",Z$5=""),0,COUNTIFS('Trade Log'!$A$6:$A$1005,"&gt;="&amp;$B24,'Trade Log'!$A$6:$A$1005,"&lt;="&amp;($B24+6),'Trade Log'!$AB$6:$AB$1005,Z$5))</f>
        <v>0</v>
      </c>
      <c r="AA24" s="109">
        <f>IF(OR($B24="",AA$5=""),0,COUNTIFS('Trade Log'!$A$6:$A$1005,"&gt;="&amp;$B24,'Trade Log'!$A$6:$A$1005,"&lt;="&amp;($B24+6),'Trade Log'!$AB$6:$AB$1005,AA$5))</f>
        <v>0</v>
      </c>
      <c r="AB24" s="109">
        <f>IF(OR($B24="",AB$5=""),0,COUNTIFS('Trade Log'!$A$6:$A$1005,"&gt;="&amp;$B24,'Trade Log'!$A$6:$A$1005,"&lt;="&amp;($B24+6),'Trade Log'!$AB$6:$AB$1005,AB$5))</f>
        <v>0</v>
      </c>
      <c r="AC24" s="113">
        <f>IF(OR($B24="",AC$5=""),0,SUMIFS('Trade Log'!$Q$6:$Q$1005,'Trade Log'!$A$6:$A$1005,"&gt;="&amp;$B24,'Trade Log'!$A$6:$A$1005,"&lt;="&amp;($B24+6),'Trade Log'!$AA$6:$AA$1005,AC$5))</f>
        <v>0</v>
      </c>
      <c r="AD24" s="113">
        <f>IF(OR($B24="",AD$5=""),0,SUMIFS('Trade Log'!$Q$6:$Q$1005,'Trade Log'!$A$6:$A$1005,"&gt;="&amp;$B24,'Trade Log'!$A$6:$A$1005,"&lt;="&amp;($B24+6),'Trade Log'!$AA$6:$AA$1005,AD$5))</f>
        <v>0</v>
      </c>
      <c r="AE24" s="113">
        <f>IF(OR($B24="",AE$5=""),0,SUMIFS('Trade Log'!$Q$6:$Q$1005,'Trade Log'!$A$6:$A$1005,"&gt;="&amp;$B24,'Trade Log'!$A$6:$A$1005,"&lt;="&amp;($B24+6),'Trade Log'!$AA$6:$AA$1005,AE$5))</f>
        <v>0</v>
      </c>
      <c r="AF24" s="113">
        <f>IF(OR($B24="",AF$5=""),0,SUMIFS('Trade Log'!$Q$6:$Q$1005,'Trade Log'!$A$6:$A$1005,"&gt;="&amp;$B24,'Trade Log'!$A$6:$A$1005,"&lt;="&amp;($B24+6),'Trade Log'!$AA$6:$AA$1005,AF$5))</f>
        <v>0</v>
      </c>
      <c r="AG24" s="113">
        <f>IF(OR($B24="",AG$5=""),0,SUMIFS('Trade Log'!$Q$6:$Q$1005,'Trade Log'!$A$6:$A$1005,"&gt;="&amp;$B24,'Trade Log'!$A$6:$A$1005,"&lt;="&amp;($B24+6),'Trade Log'!$AA$6:$AA$1005,AG$5))</f>
        <v>0</v>
      </c>
      <c r="AH24" s="113">
        <f>IF(OR($B24="",AH$5=""),0,SUMIFS('Trade Log'!$Q$6:$Q$1005,'Trade Log'!$A$6:$A$1005,"&gt;="&amp;$B24,'Trade Log'!$A$6:$A$1005,"&lt;="&amp;($B24+6),'Trade Log'!$AA$6:$AA$1005,AH$5))</f>
        <v>0</v>
      </c>
      <c r="AI24" s="113">
        <f>IF(OR($B24="",AI$5=""),0,SUMIFS('Trade Log'!$Q$6:$Q$1005,'Trade Log'!$A$6:$A$1005,"&gt;="&amp;$B24,'Trade Log'!$A$6:$A$1005,"&lt;="&amp;($B24+6),'Trade Log'!$AA$6:$AA$1005,AI$5))</f>
        <v>0</v>
      </c>
      <c r="AJ24" s="113">
        <f>IF(OR($B24="",AJ$5=""),0,SUMIFS('Trade Log'!$Q$6:$Q$1005,'Trade Log'!$A$6:$A$1005,"&gt;="&amp;$B24,'Trade Log'!$A$6:$A$1005,"&lt;="&amp;($B24+6),'Trade Log'!$AA$6:$AA$1005,AJ$5))</f>
        <v>0</v>
      </c>
      <c r="AK24" s="113">
        <f>IF(OR($B24="",AK$5=""),0,SUMIFS('Trade Log'!$Q$6:$Q$1005,'Trade Log'!$A$6:$A$1005,"&gt;="&amp;$B24,'Trade Log'!$A$6:$A$1005,"&lt;="&amp;($B24+6),'Trade Log'!$AA$6:$AA$1005,AK$5))</f>
        <v>0</v>
      </c>
      <c r="AL24" s="113">
        <f>IF(OR($B24="",AL$5=""),0,SUMIFS('Trade Log'!$Q$6:$Q$1005,'Trade Log'!$A$6:$A$1005,"&gt;="&amp;$B24,'Trade Log'!$A$6:$A$1005,"&lt;="&amp;($B24+6),'Trade Log'!$AA$6:$AA$1005,AL$5))</f>
        <v>0</v>
      </c>
      <c r="AM24" s="113">
        <f>IF(OR($B24="",AM$5=""),0,SUMIFS('Trade Log'!$Q$6:$Q$1005,'Trade Log'!$A$6:$A$1005,"&gt;="&amp;$B24,'Trade Log'!$A$6:$A$1005,"&lt;="&amp;($B24+6),'Trade Log'!$Y$6:$Y$1005,AM$5))</f>
        <v>0</v>
      </c>
      <c r="AN24" s="113">
        <f>IF(OR($B24="",AN$5=""),0,SUMIFS('Trade Log'!$Q$6:$Q$1005,'Trade Log'!$A$6:$A$1005,"&gt;="&amp;$B24,'Trade Log'!$A$6:$A$1005,"&lt;="&amp;($B24+6),'Trade Log'!$Y$6:$Y$1005,AN$5))</f>
        <v>0</v>
      </c>
      <c r="AO24" s="113">
        <f>IF(OR($B24="",AO$5=""),0,SUMIFS('Trade Log'!$Q$6:$Q$1005,'Trade Log'!$A$6:$A$1005,"&gt;="&amp;$B24,'Trade Log'!$A$6:$A$1005,"&lt;="&amp;($B24+6),'Trade Log'!$Y$6:$Y$1005,AO$5))</f>
        <v>0</v>
      </c>
      <c r="AP24" s="113">
        <f>IF(OR($B24="",AP$5=""),0,SUMIFS('Trade Log'!$Q$6:$Q$1005,'Trade Log'!$A$6:$A$1005,"&gt;="&amp;$B24,'Trade Log'!$A$6:$A$1005,"&lt;="&amp;($B24+6),'Trade Log'!$Y$6:$Y$1005,AP$5))</f>
        <v>0</v>
      </c>
      <c r="AQ24" s="113">
        <f>IF(OR($B24="",AQ$5=""),0,SUMIFS('Trade Log'!$Q$6:$Q$1005,'Trade Log'!$A$6:$A$1005,"&gt;="&amp;$B24,'Trade Log'!$A$6:$A$1005,"&lt;="&amp;($B24+6),'Trade Log'!$Y$6:$Y$1005,AQ$5))</f>
        <v>0</v>
      </c>
      <c r="AR24" s="113">
        <f>IF(OR($B24="",AR$5=""),0,SUMIFS('Trade Log'!$Q$6:$Q$1005,'Trade Log'!$A$6:$A$1005,"&gt;="&amp;$B24,'Trade Log'!$A$6:$A$1005,"&lt;="&amp;($B24+6),'Trade Log'!$Y$6:$Y$1005,AR$5))</f>
        <v>0</v>
      </c>
      <c r="AS24" s="113">
        <f>IF(OR($B24="",AS$5=""),0,SUMIFS('Trade Log'!$Q$6:$Q$1005,'Trade Log'!$A$6:$A$1005,"&gt;="&amp;$B24,'Trade Log'!$A$6:$A$1005,"&lt;="&amp;($B24+6),'Trade Log'!$Y$6:$Y$1005,AS$5))</f>
        <v>0</v>
      </c>
      <c r="AT24" s="113">
        <f>IF(OR($B24="",AT$5=""),0,SUMIFS('Trade Log'!$Q$6:$Q$1005,'Trade Log'!$A$6:$A$1005,"&gt;="&amp;$B24,'Trade Log'!$A$6:$A$1005,"&lt;="&amp;($B24+6),'Trade Log'!$Y$6:$Y$1005,AT$5))</f>
        <v>0</v>
      </c>
      <c r="AU24" s="113">
        <f>IF(OR($B24="",AU$5=""),0,SUMIFS('Trade Log'!$Q$6:$Q$1005,'Trade Log'!$A$6:$A$1005,"&gt;="&amp;$B24,'Trade Log'!$A$6:$A$1005,"&lt;="&amp;($B24+6),'Trade Log'!$Y$6:$Y$1005,AU$5))</f>
        <v>0</v>
      </c>
      <c r="AV24" s="113">
        <f>IF(OR($B24="",AV$5=""),0,SUMIFS('Trade Log'!$Q$6:$Q$1005,'Trade Log'!$A$6:$A$1005,"&gt;="&amp;$B24,'Trade Log'!$A$6:$A$1005,"&lt;="&amp;($B24+6),'Trade Log'!$Y$6:$Y$1005,AV$5))</f>
        <v>0</v>
      </c>
    </row>
    <row r="25">
      <c r="B25" s="107">
        <f>IF($B24="","",$B24+7)</f>
        <v>46419</v>
      </c>
      <c r="C25" s="96">
        <f>IF($B25="","",COUNTIFS('Trade Log'!$A$6:$A$1005,"&gt;="&amp;$B25,'Trade Log'!$A$6:$A$1005,"&lt;="&amp;($B25+6),'Trade Log'!$BH$6:$BH$1005,1))</f>
        <v>0</v>
      </c>
      <c r="D25" s="98" t="str">
        <f>IF(OR($B25="",N($C25)=0),"",SUMIFS('Trade Log'!$Q$6:$Q$1005,'Trade Log'!$A$6:$A$1005,"&gt;="&amp;$B25,'Trade Log'!$A$6:$A$1005,"&lt;="&amp;($B25+6)))</f>
        <v/>
      </c>
      <c r="E25" s="99" t="str">
        <f>IF(OR($B25="",N($C25)=0),"",IFERROR(COUNTIFS('Trade Log'!$A$6:$A$1005,"&gt;="&amp;$B25,'Trade Log'!$A$6:$A$1005,"&lt;="&amp;($B25+6),'Trade Log'!$S$6:$S$1005,"Win")/(COUNTIFS('Trade Log'!$A$6:$A$1005,"&gt;="&amp;$B25,'Trade Log'!$A$6:$A$1005,"&lt;="&amp;($B25+6),'Trade Log'!$S$6:$S$1005,"Win")+COUNTIFS('Trade Log'!$A$6:$A$1005,"&gt;="&amp;$B25,'Trade Log'!$A$6:$A$1005,"&lt;="&amp;($B25+6),'Trade Log'!$S$6:$S$1005,"Loss")),"—"))</f>
        <v/>
      </c>
      <c r="F25" s="104" t="str">
        <f>IF(OR($B25="",N($C25)=0),"",IFERROR(SUMIFS('Trade Log'!$R$6:$R$1005,'Trade Log'!$A$6:$A$1005,"&gt;="&amp;$B25,'Trade Log'!$A$6:$A$1005,"&lt;="&amp;($B25+6))/COUNTIFS('Trade Log'!$A$6:$A$1005,"&gt;="&amp;$B25,'Trade Log'!$A$6:$A$1005,"&lt;="&amp;($B25+6),'Trade Log'!$BC$6:$BC$1005,1),"—"))</f>
        <v/>
      </c>
      <c r="G25" s="110" t="str">
        <f>IF(OR($B25="",N($C25)=0),"",IF(SUMIFS('Trade Log'!$Q$6:$Q$1005,'Trade Log'!$A$6:$A$1005,"&gt;="&amp;$B25,'Trade Log'!$A$6:$A$1005,"&lt;="&amp;($B25+6),'Trade Log'!$Q$6:$Q$1005,"&lt;0")=0,IF(SUMIFS('Trade Log'!$Q$6:$Q$1005,'Trade Log'!$A$6:$A$1005,"&gt;="&amp;$B25,'Trade Log'!$A$6:$A$1005,"&lt;="&amp;($B25+6),'Trade Log'!$Q$6:$Q$1005,"&gt;0")&gt;0,"No losses","—"),SUMIFS('Trade Log'!$Q$6:$Q$1005,'Trade Log'!$A$6:$A$1005,"&gt;="&amp;$B25,'Trade Log'!$A$6:$A$1005,"&lt;="&amp;($B25+6),'Trade Log'!$Q$6:$Q$1005,"&gt;0")/-SUMIFS('Trade Log'!$Q$6:$Q$1005,'Trade Log'!$A$6:$A$1005,"&gt;="&amp;$B25,'Trade Log'!$A$6:$A$1005,"&lt;="&amp;($B25+6),'Trade Log'!$Q$6:$Q$1005,"&lt;0")))</f>
        <v/>
      </c>
      <c r="H25" s="99" t="str">
        <f>IF(OR($B25="",N($C25)=0),"",IFERROR(COUNTIFS('Trade Log'!$A$6:$A$1005,"&gt;="&amp;$B25,'Trade Log'!$A$6:$A$1005,"&lt;="&amp;($B25+6),'Trade Log'!$Z$6:$Z$1005,"Yes")/(COUNTIFS('Trade Log'!$A$6:$A$1005,"&gt;="&amp;$B25,'Trade Log'!$A$6:$A$1005,"&lt;="&amp;($B25+6),'Trade Log'!$Z$6:$Z$1005,"Yes")+COUNTIFS('Trade Log'!$A$6:$A$1005,"&gt;="&amp;$B25,'Trade Log'!$A$6:$A$1005,"&lt;="&amp;($B25+6),'Trade Log'!$Z$6:$Z$1005,"No")),"—"))</f>
        <v/>
      </c>
      <c r="I25" s="111" t="str">
        <f>IF(OR($B25="",N($C25)=0),"",IF(MAX($Q25:$AB25)=0,"None — clean week",INDEX($Q$5:$AB$5,MATCH(MAX($Q25:$AB25),$Q25:$AB25,0))))</f>
        <v/>
      </c>
      <c r="J25" s="111" t="str">
        <f>IF(OR($B25="",N($C25)=0),"",IF(MIN($AC25:$AL25)&gt;=0,"None lost money",INDEX($AC$5:$AL$5,MATCH(MIN($AC25:$AL25),$AC25:$AL25,0))))</f>
        <v/>
      </c>
      <c r="K25" s="111" t="str">
        <f>IF(OR($B25="",N($C25)=0),"",IF(MAX($AM25:$AV25)&lt;=0,"None made money",INDEX($AM$5:$AV$5,MATCH(MAX($AM25:$AV25),$AM25:$AV25,0))))</f>
        <v/>
      </c>
      <c r="L25" s="106" t="n"/>
      <c r="M25" s="106" t="n"/>
      <c r="N25" s="112" t="n"/>
      <c r="O25" s="29" t="n"/>
      <c r="Q25" s="109">
        <f>IF(OR($B25="",Q$5=""),0,COUNTIFS('Trade Log'!$A$6:$A$1005,"&gt;="&amp;$B25,'Trade Log'!$A$6:$A$1005,"&lt;="&amp;($B25+6),'Trade Log'!$AB$6:$AB$1005,Q$5))</f>
        <v>0</v>
      </c>
      <c r="R25" s="109">
        <f>IF(OR($B25="",R$5=""),0,COUNTIFS('Trade Log'!$A$6:$A$1005,"&gt;="&amp;$B25,'Trade Log'!$A$6:$A$1005,"&lt;="&amp;($B25+6),'Trade Log'!$AB$6:$AB$1005,R$5))</f>
        <v>0</v>
      </c>
      <c r="S25" s="109">
        <f>IF(OR($B25="",S$5=""),0,COUNTIFS('Trade Log'!$A$6:$A$1005,"&gt;="&amp;$B25,'Trade Log'!$A$6:$A$1005,"&lt;="&amp;($B25+6),'Trade Log'!$AB$6:$AB$1005,S$5))</f>
        <v>0</v>
      </c>
      <c r="T25" s="109">
        <f>IF(OR($B25="",T$5=""),0,COUNTIFS('Trade Log'!$A$6:$A$1005,"&gt;="&amp;$B25,'Trade Log'!$A$6:$A$1005,"&lt;="&amp;($B25+6),'Trade Log'!$AB$6:$AB$1005,T$5))</f>
        <v>0</v>
      </c>
      <c r="U25" s="109">
        <f>IF(OR($B25="",U$5=""),0,COUNTIFS('Trade Log'!$A$6:$A$1005,"&gt;="&amp;$B25,'Trade Log'!$A$6:$A$1005,"&lt;="&amp;($B25+6),'Trade Log'!$AB$6:$AB$1005,U$5))</f>
        <v>0</v>
      </c>
      <c r="V25" s="109">
        <f>IF(OR($B25="",V$5=""),0,COUNTIFS('Trade Log'!$A$6:$A$1005,"&gt;="&amp;$B25,'Trade Log'!$A$6:$A$1005,"&lt;="&amp;($B25+6),'Trade Log'!$AB$6:$AB$1005,V$5))</f>
        <v>0</v>
      </c>
      <c r="W25" s="109">
        <f>IF(OR($B25="",W$5=""),0,COUNTIFS('Trade Log'!$A$6:$A$1005,"&gt;="&amp;$B25,'Trade Log'!$A$6:$A$1005,"&lt;="&amp;($B25+6),'Trade Log'!$AB$6:$AB$1005,W$5))</f>
        <v>0</v>
      </c>
      <c r="X25" s="109">
        <f>IF(OR($B25="",X$5=""),0,COUNTIFS('Trade Log'!$A$6:$A$1005,"&gt;="&amp;$B25,'Trade Log'!$A$6:$A$1005,"&lt;="&amp;($B25+6),'Trade Log'!$AB$6:$AB$1005,X$5))</f>
        <v>0</v>
      </c>
      <c r="Y25" s="109">
        <f>IF(OR($B25="",Y$5=""),0,COUNTIFS('Trade Log'!$A$6:$A$1005,"&gt;="&amp;$B25,'Trade Log'!$A$6:$A$1005,"&lt;="&amp;($B25+6),'Trade Log'!$AB$6:$AB$1005,Y$5))</f>
        <v>0</v>
      </c>
      <c r="Z25" s="109">
        <f>IF(OR($B25="",Z$5=""),0,COUNTIFS('Trade Log'!$A$6:$A$1005,"&gt;="&amp;$B25,'Trade Log'!$A$6:$A$1005,"&lt;="&amp;($B25+6),'Trade Log'!$AB$6:$AB$1005,Z$5))</f>
        <v>0</v>
      </c>
      <c r="AA25" s="109">
        <f>IF(OR($B25="",AA$5=""),0,COUNTIFS('Trade Log'!$A$6:$A$1005,"&gt;="&amp;$B25,'Trade Log'!$A$6:$A$1005,"&lt;="&amp;($B25+6),'Trade Log'!$AB$6:$AB$1005,AA$5))</f>
        <v>0</v>
      </c>
      <c r="AB25" s="109">
        <f>IF(OR($B25="",AB$5=""),0,COUNTIFS('Trade Log'!$A$6:$A$1005,"&gt;="&amp;$B25,'Trade Log'!$A$6:$A$1005,"&lt;="&amp;($B25+6),'Trade Log'!$AB$6:$AB$1005,AB$5))</f>
        <v>0</v>
      </c>
      <c r="AC25" s="113">
        <f>IF(OR($B25="",AC$5=""),0,SUMIFS('Trade Log'!$Q$6:$Q$1005,'Trade Log'!$A$6:$A$1005,"&gt;="&amp;$B25,'Trade Log'!$A$6:$A$1005,"&lt;="&amp;($B25+6),'Trade Log'!$AA$6:$AA$1005,AC$5))</f>
        <v>0</v>
      </c>
      <c r="AD25" s="113">
        <f>IF(OR($B25="",AD$5=""),0,SUMIFS('Trade Log'!$Q$6:$Q$1005,'Trade Log'!$A$6:$A$1005,"&gt;="&amp;$B25,'Trade Log'!$A$6:$A$1005,"&lt;="&amp;($B25+6),'Trade Log'!$AA$6:$AA$1005,AD$5))</f>
        <v>0</v>
      </c>
      <c r="AE25" s="113">
        <f>IF(OR($B25="",AE$5=""),0,SUMIFS('Trade Log'!$Q$6:$Q$1005,'Trade Log'!$A$6:$A$1005,"&gt;="&amp;$B25,'Trade Log'!$A$6:$A$1005,"&lt;="&amp;($B25+6),'Trade Log'!$AA$6:$AA$1005,AE$5))</f>
        <v>0</v>
      </c>
      <c r="AF25" s="113">
        <f>IF(OR($B25="",AF$5=""),0,SUMIFS('Trade Log'!$Q$6:$Q$1005,'Trade Log'!$A$6:$A$1005,"&gt;="&amp;$B25,'Trade Log'!$A$6:$A$1005,"&lt;="&amp;($B25+6),'Trade Log'!$AA$6:$AA$1005,AF$5))</f>
        <v>0</v>
      </c>
      <c r="AG25" s="113">
        <f>IF(OR($B25="",AG$5=""),0,SUMIFS('Trade Log'!$Q$6:$Q$1005,'Trade Log'!$A$6:$A$1005,"&gt;="&amp;$B25,'Trade Log'!$A$6:$A$1005,"&lt;="&amp;($B25+6),'Trade Log'!$AA$6:$AA$1005,AG$5))</f>
        <v>0</v>
      </c>
      <c r="AH25" s="113">
        <f>IF(OR($B25="",AH$5=""),0,SUMIFS('Trade Log'!$Q$6:$Q$1005,'Trade Log'!$A$6:$A$1005,"&gt;="&amp;$B25,'Trade Log'!$A$6:$A$1005,"&lt;="&amp;($B25+6),'Trade Log'!$AA$6:$AA$1005,AH$5))</f>
        <v>0</v>
      </c>
      <c r="AI25" s="113">
        <f>IF(OR($B25="",AI$5=""),0,SUMIFS('Trade Log'!$Q$6:$Q$1005,'Trade Log'!$A$6:$A$1005,"&gt;="&amp;$B25,'Trade Log'!$A$6:$A$1005,"&lt;="&amp;($B25+6),'Trade Log'!$AA$6:$AA$1005,AI$5))</f>
        <v>0</v>
      </c>
      <c r="AJ25" s="113">
        <f>IF(OR($B25="",AJ$5=""),0,SUMIFS('Trade Log'!$Q$6:$Q$1005,'Trade Log'!$A$6:$A$1005,"&gt;="&amp;$B25,'Trade Log'!$A$6:$A$1005,"&lt;="&amp;($B25+6),'Trade Log'!$AA$6:$AA$1005,AJ$5))</f>
        <v>0</v>
      </c>
      <c r="AK25" s="113">
        <f>IF(OR($B25="",AK$5=""),0,SUMIFS('Trade Log'!$Q$6:$Q$1005,'Trade Log'!$A$6:$A$1005,"&gt;="&amp;$B25,'Trade Log'!$A$6:$A$1005,"&lt;="&amp;($B25+6),'Trade Log'!$AA$6:$AA$1005,AK$5))</f>
        <v>0</v>
      </c>
      <c r="AL25" s="113">
        <f>IF(OR($B25="",AL$5=""),0,SUMIFS('Trade Log'!$Q$6:$Q$1005,'Trade Log'!$A$6:$A$1005,"&gt;="&amp;$B25,'Trade Log'!$A$6:$A$1005,"&lt;="&amp;($B25+6),'Trade Log'!$AA$6:$AA$1005,AL$5))</f>
        <v>0</v>
      </c>
      <c r="AM25" s="113">
        <f>IF(OR($B25="",AM$5=""),0,SUMIFS('Trade Log'!$Q$6:$Q$1005,'Trade Log'!$A$6:$A$1005,"&gt;="&amp;$B25,'Trade Log'!$A$6:$A$1005,"&lt;="&amp;($B25+6),'Trade Log'!$Y$6:$Y$1005,AM$5))</f>
        <v>0</v>
      </c>
      <c r="AN25" s="113">
        <f>IF(OR($B25="",AN$5=""),0,SUMIFS('Trade Log'!$Q$6:$Q$1005,'Trade Log'!$A$6:$A$1005,"&gt;="&amp;$B25,'Trade Log'!$A$6:$A$1005,"&lt;="&amp;($B25+6),'Trade Log'!$Y$6:$Y$1005,AN$5))</f>
        <v>0</v>
      </c>
      <c r="AO25" s="113">
        <f>IF(OR($B25="",AO$5=""),0,SUMIFS('Trade Log'!$Q$6:$Q$1005,'Trade Log'!$A$6:$A$1005,"&gt;="&amp;$B25,'Trade Log'!$A$6:$A$1005,"&lt;="&amp;($B25+6),'Trade Log'!$Y$6:$Y$1005,AO$5))</f>
        <v>0</v>
      </c>
      <c r="AP25" s="113">
        <f>IF(OR($B25="",AP$5=""),0,SUMIFS('Trade Log'!$Q$6:$Q$1005,'Trade Log'!$A$6:$A$1005,"&gt;="&amp;$B25,'Trade Log'!$A$6:$A$1005,"&lt;="&amp;($B25+6),'Trade Log'!$Y$6:$Y$1005,AP$5))</f>
        <v>0</v>
      </c>
      <c r="AQ25" s="113">
        <f>IF(OR($B25="",AQ$5=""),0,SUMIFS('Trade Log'!$Q$6:$Q$1005,'Trade Log'!$A$6:$A$1005,"&gt;="&amp;$B25,'Trade Log'!$A$6:$A$1005,"&lt;="&amp;($B25+6),'Trade Log'!$Y$6:$Y$1005,AQ$5))</f>
        <v>0</v>
      </c>
      <c r="AR25" s="113">
        <f>IF(OR($B25="",AR$5=""),0,SUMIFS('Trade Log'!$Q$6:$Q$1005,'Trade Log'!$A$6:$A$1005,"&gt;="&amp;$B25,'Trade Log'!$A$6:$A$1005,"&lt;="&amp;($B25+6),'Trade Log'!$Y$6:$Y$1005,AR$5))</f>
        <v>0</v>
      </c>
      <c r="AS25" s="113">
        <f>IF(OR($B25="",AS$5=""),0,SUMIFS('Trade Log'!$Q$6:$Q$1005,'Trade Log'!$A$6:$A$1005,"&gt;="&amp;$B25,'Trade Log'!$A$6:$A$1005,"&lt;="&amp;($B25+6),'Trade Log'!$Y$6:$Y$1005,AS$5))</f>
        <v>0</v>
      </c>
      <c r="AT25" s="113">
        <f>IF(OR($B25="",AT$5=""),0,SUMIFS('Trade Log'!$Q$6:$Q$1005,'Trade Log'!$A$6:$A$1005,"&gt;="&amp;$B25,'Trade Log'!$A$6:$A$1005,"&lt;="&amp;($B25+6),'Trade Log'!$Y$6:$Y$1005,AT$5))</f>
        <v>0</v>
      </c>
      <c r="AU25" s="113">
        <f>IF(OR($B25="",AU$5=""),0,SUMIFS('Trade Log'!$Q$6:$Q$1005,'Trade Log'!$A$6:$A$1005,"&gt;="&amp;$B25,'Trade Log'!$A$6:$A$1005,"&lt;="&amp;($B25+6),'Trade Log'!$Y$6:$Y$1005,AU$5))</f>
        <v>0</v>
      </c>
      <c r="AV25" s="113">
        <f>IF(OR($B25="",AV$5=""),0,SUMIFS('Trade Log'!$Q$6:$Q$1005,'Trade Log'!$A$6:$A$1005,"&gt;="&amp;$B25,'Trade Log'!$A$6:$A$1005,"&lt;="&amp;($B25+6),'Trade Log'!$Y$6:$Y$1005,AV$5))</f>
        <v>0</v>
      </c>
    </row>
    <row r="26">
      <c r="B26" s="107">
        <f>IF($B25="","",$B25+7)</f>
        <v>46426</v>
      </c>
      <c r="C26" s="96">
        <f>IF($B26="","",COUNTIFS('Trade Log'!$A$6:$A$1005,"&gt;="&amp;$B26,'Trade Log'!$A$6:$A$1005,"&lt;="&amp;($B26+6),'Trade Log'!$BH$6:$BH$1005,1))</f>
        <v>0</v>
      </c>
      <c r="D26" s="98" t="str">
        <f>IF(OR($B26="",N($C26)=0),"",SUMIFS('Trade Log'!$Q$6:$Q$1005,'Trade Log'!$A$6:$A$1005,"&gt;="&amp;$B26,'Trade Log'!$A$6:$A$1005,"&lt;="&amp;($B26+6)))</f>
        <v/>
      </c>
      <c r="E26" s="99" t="str">
        <f>IF(OR($B26="",N($C26)=0),"",IFERROR(COUNTIFS('Trade Log'!$A$6:$A$1005,"&gt;="&amp;$B26,'Trade Log'!$A$6:$A$1005,"&lt;="&amp;($B26+6),'Trade Log'!$S$6:$S$1005,"Win")/(COUNTIFS('Trade Log'!$A$6:$A$1005,"&gt;="&amp;$B26,'Trade Log'!$A$6:$A$1005,"&lt;="&amp;($B26+6),'Trade Log'!$S$6:$S$1005,"Win")+COUNTIFS('Trade Log'!$A$6:$A$1005,"&gt;="&amp;$B26,'Trade Log'!$A$6:$A$1005,"&lt;="&amp;($B26+6),'Trade Log'!$S$6:$S$1005,"Loss")),"—"))</f>
        <v/>
      </c>
      <c r="F26" s="104" t="str">
        <f>IF(OR($B26="",N($C26)=0),"",IFERROR(SUMIFS('Trade Log'!$R$6:$R$1005,'Trade Log'!$A$6:$A$1005,"&gt;="&amp;$B26,'Trade Log'!$A$6:$A$1005,"&lt;="&amp;($B26+6))/COUNTIFS('Trade Log'!$A$6:$A$1005,"&gt;="&amp;$B26,'Trade Log'!$A$6:$A$1005,"&lt;="&amp;($B26+6),'Trade Log'!$BC$6:$BC$1005,1),"—"))</f>
        <v/>
      </c>
      <c r="G26" s="110" t="str">
        <f>IF(OR($B26="",N($C26)=0),"",IF(SUMIFS('Trade Log'!$Q$6:$Q$1005,'Trade Log'!$A$6:$A$1005,"&gt;="&amp;$B26,'Trade Log'!$A$6:$A$1005,"&lt;="&amp;($B26+6),'Trade Log'!$Q$6:$Q$1005,"&lt;0")=0,IF(SUMIFS('Trade Log'!$Q$6:$Q$1005,'Trade Log'!$A$6:$A$1005,"&gt;="&amp;$B26,'Trade Log'!$A$6:$A$1005,"&lt;="&amp;($B26+6),'Trade Log'!$Q$6:$Q$1005,"&gt;0")&gt;0,"No losses","—"),SUMIFS('Trade Log'!$Q$6:$Q$1005,'Trade Log'!$A$6:$A$1005,"&gt;="&amp;$B26,'Trade Log'!$A$6:$A$1005,"&lt;="&amp;($B26+6),'Trade Log'!$Q$6:$Q$1005,"&gt;0")/-SUMIFS('Trade Log'!$Q$6:$Q$1005,'Trade Log'!$A$6:$A$1005,"&gt;="&amp;$B26,'Trade Log'!$A$6:$A$1005,"&lt;="&amp;($B26+6),'Trade Log'!$Q$6:$Q$1005,"&lt;0")))</f>
        <v/>
      </c>
      <c r="H26" s="99" t="str">
        <f>IF(OR($B26="",N($C26)=0),"",IFERROR(COUNTIFS('Trade Log'!$A$6:$A$1005,"&gt;="&amp;$B26,'Trade Log'!$A$6:$A$1005,"&lt;="&amp;($B26+6),'Trade Log'!$Z$6:$Z$1005,"Yes")/(COUNTIFS('Trade Log'!$A$6:$A$1005,"&gt;="&amp;$B26,'Trade Log'!$A$6:$A$1005,"&lt;="&amp;($B26+6),'Trade Log'!$Z$6:$Z$1005,"Yes")+COUNTIFS('Trade Log'!$A$6:$A$1005,"&gt;="&amp;$B26,'Trade Log'!$A$6:$A$1005,"&lt;="&amp;($B26+6),'Trade Log'!$Z$6:$Z$1005,"No")),"—"))</f>
        <v/>
      </c>
      <c r="I26" s="111" t="str">
        <f>IF(OR($B26="",N($C26)=0),"",IF(MAX($Q26:$AB26)=0,"None — clean week",INDEX($Q$5:$AB$5,MATCH(MAX($Q26:$AB26),$Q26:$AB26,0))))</f>
        <v/>
      </c>
      <c r="J26" s="111" t="str">
        <f>IF(OR($B26="",N($C26)=0),"",IF(MIN($AC26:$AL26)&gt;=0,"None lost money",INDEX($AC$5:$AL$5,MATCH(MIN($AC26:$AL26),$AC26:$AL26,0))))</f>
        <v/>
      </c>
      <c r="K26" s="111" t="str">
        <f>IF(OR($B26="",N($C26)=0),"",IF(MAX($AM26:$AV26)&lt;=0,"None made money",INDEX($AM$5:$AV$5,MATCH(MAX($AM26:$AV26),$AM26:$AV26,0))))</f>
        <v/>
      </c>
      <c r="L26" s="106" t="n"/>
      <c r="M26" s="106" t="n"/>
      <c r="N26" s="112" t="n"/>
      <c r="O26" s="29" t="n"/>
      <c r="Q26" s="109">
        <f>IF(OR($B26="",Q$5=""),0,COUNTIFS('Trade Log'!$A$6:$A$1005,"&gt;="&amp;$B26,'Trade Log'!$A$6:$A$1005,"&lt;="&amp;($B26+6),'Trade Log'!$AB$6:$AB$1005,Q$5))</f>
        <v>0</v>
      </c>
      <c r="R26" s="109">
        <f>IF(OR($B26="",R$5=""),0,COUNTIFS('Trade Log'!$A$6:$A$1005,"&gt;="&amp;$B26,'Trade Log'!$A$6:$A$1005,"&lt;="&amp;($B26+6),'Trade Log'!$AB$6:$AB$1005,R$5))</f>
        <v>0</v>
      </c>
      <c r="S26" s="109">
        <f>IF(OR($B26="",S$5=""),0,COUNTIFS('Trade Log'!$A$6:$A$1005,"&gt;="&amp;$B26,'Trade Log'!$A$6:$A$1005,"&lt;="&amp;($B26+6),'Trade Log'!$AB$6:$AB$1005,S$5))</f>
        <v>0</v>
      </c>
      <c r="T26" s="109">
        <f>IF(OR($B26="",T$5=""),0,COUNTIFS('Trade Log'!$A$6:$A$1005,"&gt;="&amp;$B26,'Trade Log'!$A$6:$A$1005,"&lt;="&amp;($B26+6),'Trade Log'!$AB$6:$AB$1005,T$5))</f>
        <v>0</v>
      </c>
      <c r="U26" s="109">
        <f>IF(OR($B26="",U$5=""),0,COUNTIFS('Trade Log'!$A$6:$A$1005,"&gt;="&amp;$B26,'Trade Log'!$A$6:$A$1005,"&lt;="&amp;($B26+6),'Trade Log'!$AB$6:$AB$1005,U$5))</f>
        <v>0</v>
      </c>
      <c r="V26" s="109">
        <f>IF(OR($B26="",V$5=""),0,COUNTIFS('Trade Log'!$A$6:$A$1005,"&gt;="&amp;$B26,'Trade Log'!$A$6:$A$1005,"&lt;="&amp;($B26+6),'Trade Log'!$AB$6:$AB$1005,V$5))</f>
        <v>0</v>
      </c>
      <c r="W26" s="109">
        <f>IF(OR($B26="",W$5=""),0,COUNTIFS('Trade Log'!$A$6:$A$1005,"&gt;="&amp;$B26,'Trade Log'!$A$6:$A$1005,"&lt;="&amp;($B26+6),'Trade Log'!$AB$6:$AB$1005,W$5))</f>
        <v>0</v>
      </c>
      <c r="X26" s="109">
        <f>IF(OR($B26="",X$5=""),0,COUNTIFS('Trade Log'!$A$6:$A$1005,"&gt;="&amp;$B26,'Trade Log'!$A$6:$A$1005,"&lt;="&amp;($B26+6),'Trade Log'!$AB$6:$AB$1005,X$5))</f>
        <v>0</v>
      </c>
      <c r="Y26" s="109">
        <f>IF(OR($B26="",Y$5=""),0,COUNTIFS('Trade Log'!$A$6:$A$1005,"&gt;="&amp;$B26,'Trade Log'!$A$6:$A$1005,"&lt;="&amp;($B26+6),'Trade Log'!$AB$6:$AB$1005,Y$5))</f>
        <v>0</v>
      </c>
      <c r="Z26" s="109">
        <f>IF(OR($B26="",Z$5=""),0,COUNTIFS('Trade Log'!$A$6:$A$1005,"&gt;="&amp;$B26,'Trade Log'!$A$6:$A$1005,"&lt;="&amp;($B26+6),'Trade Log'!$AB$6:$AB$1005,Z$5))</f>
        <v>0</v>
      </c>
      <c r="AA26" s="109">
        <f>IF(OR($B26="",AA$5=""),0,COUNTIFS('Trade Log'!$A$6:$A$1005,"&gt;="&amp;$B26,'Trade Log'!$A$6:$A$1005,"&lt;="&amp;($B26+6),'Trade Log'!$AB$6:$AB$1005,AA$5))</f>
        <v>0</v>
      </c>
      <c r="AB26" s="109">
        <f>IF(OR($B26="",AB$5=""),0,COUNTIFS('Trade Log'!$A$6:$A$1005,"&gt;="&amp;$B26,'Trade Log'!$A$6:$A$1005,"&lt;="&amp;($B26+6),'Trade Log'!$AB$6:$AB$1005,AB$5))</f>
        <v>0</v>
      </c>
      <c r="AC26" s="113">
        <f>IF(OR($B26="",AC$5=""),0,SUMIFS('Trade Log'!$Q$6:$Q$1005,'Trade Log'!$A$6:$A$1005,"&gt;="&amp;$B26,'Trade Log'!$A$6:$A$1005,"&lt;="&amp;($B26+6),'Trade Log'!$AA$6:$AA$1005,AC$5))</f>
        <v>0</v>
      </c>
      <c r="AD26" s="113">
        <f>IF(OR($B26="",AD$5=""),0,SUMIFS('Trade Log'!$Q$6:$Q$1005,'Trade Log'!$A$6:$A$1005,"&gt;="&amp;$B26,'Trade Log'!$A$6:$A$1005,"&lt;="&amp;($B26+6),'Trade Log'!$AA$6:$AA$1005,AD$5))</f>
        <v>0</v>
      </c>
      <c r="AE26" s="113">
        <f>IF(OR($B26="",AE$5=""),0,SUMIFS('Trade Log'!$Q$6:$Q$1005,'Trade Log'!$A$6:$A$1005,"&gt;="&amp;$B26,'Trade Log'!$A$6:$A$1005,"&lt;="&amp;($B26+6),'Trade Log'!$AA$6:$AA$1005,AE$5))</f>
        <v>0</v>
      </c>
      <c r="AF26" s="113">
        <f>IF(OR($B26="",AF$5=""),0,SUMIFS('Trade Log'!$Q$6:$Q$1005,'Trade Log'!$A$6:$A$1005,"&gt;="&amp;$B26,'Trade Log'!$A$6:$A$1005,"&lt;="&amp;($B26+6),'Trade Log'!$AA$6:$AA$1005,AF$5))</f>
        <v>0</v>
      </c>
      <c r="AG26" s="113">
        <f>IF(OR($B26="",AG$5=""),0,SUMIFS('Trade Log'!$Q$6:$Q$1005,'Trade Log'!$A$6:$A$1005,"&gt;="&amp;$B26,'Trade Log'!$A$6:$A$1005,"&lt;="&amp;($B26+6),'Trade Log'!$AA$6:$AA$1005,AG$5))</f>
        <v>0</v>
      </c>
      <c r="AH26" s="113">
        <f>IF(OR($B26="",AH$5=""),0,SUMIFS('Trade Log'!$Q$6:$Q$1005,'Trade Log'!$A$6:$A$1005,"&gt;="&amp;$B26,'Trade Log'!$A$6:$A$1005,"&lt;="&amp;($B26+6),'Trade Log'!$AA$6:$AA$1005,AH$5))</f>
        <v>0</v>
      </c>
      <c r="AI26" s="113">
        <f>IF(OR($B26="",AI$5=""),0,SUMIFS('Trade Log'!$Q$6:$Q$1005,'Trade Log'!$A$6:$A$1005,"&gt;="&amp;$B26,'Trade Log'!$A$6:$A$1005,"&lt;="&amp;($B26+6),'Trade Log'!$AA$6:$AA$1005,AI$5))</f>
        <v>0</v>
      </c>
      <c r="AJ26" s="113">
        <f>IF(OR($B26="",AJ$5=""),0,SUMIFS('Trade Log'!$Q$6:$Q$1005,'Trade Log'!$A$6:$A$1005,"&gt;="&amp;$B26,'Trade Log'!$A$6:$A$1005,"&lt;="&amp;($B26+6),'Trade Log'!$AA$6:$AA$1005,AJ$5))</f>
        <v>0</v>
      </c>
      <c r="AK26" s="113">
        <f>IF(OR($B26="",AK$5=""),0,SUMIFS('Trade Log'!$Q$6:$Q$1005,'Trade Log'!$A$6:$A$1005,"&gt;="&amp;$B26,'Trade Log'!$A$6:$A$1005,"&lt;="&amp;($B26+6),'Trade Log'!$AA$6:$AA$1005,AK$5))</f>
        <v>0</v>
      </c>
      <c r="AL26" s="113">
        <f>IF(OR($B26="",AL$5=""),0,SUMIFS('Trade Log'!$Q$6:$Q$1005,'Trade Log'!$A$6:$A$1005,"&gt;="&amp;$B26,'Trade Log'!$A$6:$A$1005,"&lt;="&amp;($B26+6),'Trade Log'!$AA$6:$AA$1005,AL$5))</f>
        <v>0</v>
      </c>
      <c r="AM26" s="113">
        <f>IF(OR($B26="",AM$5=""),0,SUMIFS('Trade Log'!$Q$6:$Q$1005,'Trade Log'!$A$6:$A$1005,"&gt;="&amp;$B26,'Trade Log'!$A$6:$A$1005,"&lt;="&amp;($B26+6),'Trade Log'!$Y$6:$Y$1005,AM$5))</f>
        <v>0</v>
      </c>
      <c r="AN26" s="113">
        <f>IF(OR($B26="",AN$5=""),0,SUMIFS('Trade Log'!$Q$6:$Q$1005,'Trade Log'!$A$6:$A$1005,"&gt;="&amp;$B26,'Trade Log'!$A$6:$A$1005,"&lt;="&amp;($B26+6),'Trade Log'!$Y$6:$Y$1005,AN$5))</f>
        <v>0</v>
      </c>
      <c r="AO26" s="113">
        <f>IF(OR($B26="",AO$5=""),0,SUMIFS('Trade Log'!$Q$6:$Q$1005,'Trade Log'!$A$6:$A$1005,"&gt;="&amp;$B26,'Trade Log'!$A$6:$A$1005,"&lt;="&amp;($B26+6),'Trade Log'!$Y$6:$Y$1005,AO$5))</f>
        <v>0</v>
      </c>
      <c r="AP26" s="113">
        <f>IF(OR($B26="",AP$5=""),0,SUMIFS('Trade Log'!$Q$6:$Q$1005,'Trade Log'!$A$6:$A$1005,"&gt;="&amp;$B26,'Trade Log'!$A$6:$A$1005,"&lt;="&amp;($B26+6),'Trade Log'!$Y$6:$Y$1005,AP$5))</f>
        <v>0</v>
      </c>
      <c r="AQ26" s="113">
        <f>IF(OR($B26="",AQ$5=""),0,SUMIFS('Trade Log'!$Q$6:$Q$1005,'Trade Log'!$A$6:$A$1005,"&gt;="&amp;$B26,'Trade Log'!$A$6:$A$1005,"&lt;="&amp;($B26+6),'Trade Log'!$Y$6:$Y$1005,AQ$5))</f>
        <v>0</v>
      </c>
      <c r="AR26" s="113">
        <f>IF(OR($B26="",AR$5=""),0,SUMIFS('Trade Log'!$Q$6:$Q$1005,'Trade Log'!$A$6:$A$1005,"&gt;="&amp;$B26,'Trade Log'!$A$6:$A$1005,"&lt;="&amp;($B26+6),'Trade Log'!$Y$6:$Y$1005,AR$5))</f>
        <v>0</v>
      </c>
      <c r="AS26" s="113">
        <f>IF(OR($B26="",AS$5=""),0,SUMIFS('Trade Log'!$Q$6:$Q$1005,'Trade Log'!$A$6:$A$1005,"&gt;="&amp;$B26,'Trade Log'!$A$6:$A$1005,"&lt;="&amp;($B26+6),'Trade Log'!$Y$6:$Y$1005,AS$5))</f>
        <v>0</v>
      </c>
      <c r="AT26" s="113">
        <f>IF(OR($B26="",AT$5=""),0,SUMIFS('Trade Log'!$Q$6:$Q$1005,'Trade Log'!$A$6:$A$1005,"&gt;="&amp;$B26,'Trade Log'!$A$6:$A$1005,"&lt;="&amp;($B26+6),'Trade Log'!$Y$6:$Y$1005,AT$5))</f>
        <v>0</v>
      </c>
      <c r="AU26" s="113">
        <f>IF(OR($B26="",AU$5=""),0,SUMIFS('Trade Log'!$Q$6:$Q$1005,'Trade Log'!$A$6:$A$1005,"&gt;="&amp;$B26,'Trade Log'!$A$6:$A$1005,"&lt;="&amp;($B26+6),'Trade Log'!$Y$6:$Y$1005,AU$5))</f>
        <v>0</v>
      </c>
      <c r="AV26" s="113">
        <f>IF(OR($B26="",AV$5=""),0,SUMIFS('Trade Log'!$Q$6:$Q$1005,'Trade Log'!$A$6:$A$1005,"&gt;="&amp;$B26,'Trade Log'!$A$6:$A$1005,"&lt;="&amp;($B26+6),'Trade Log'!$Y$6:$Y$1005,AV$5))</f>
        <v>0</v>
      </c>
    </row>
    <row r="27">
      <c r="B27" s="107">
        <f>IF($B26="","",$B26+7)</f>
        <v>46433</v>
      </c>
      <c r="C27" s="96">
        <f>IF($B27="","",COUNTIFS('Trade Log'!$A$6:$A$1005,"&gt;="&amp;$B27,'Trade Log'!$A$6:$A$1005,"&lt;="&amp;($B27+6),'Trade Log'!$BH$6:$BH$1005,1))</f>
        <v>0</v>
      </c>
      <c r="D27" s="98" t="str">
        <f>IF(OR($B27="",N($C27)=0),"",SUMIFS('Trade Log'!$Q$6:$Q$1005,'Trade Log'!$A$6:$A$1005,"&gt;="&amp;$B27,'Trade Log'!$A$6:$A$1005,"&lt;="&amp;($B27+6)))</f>
        <v/>
      </c>
      <c r="E27" s="99" t="str">
        <f>IF(OR($B27="",N($C27)=0),"",IFERROR(COUNTIFS('Trade Log'!$A$6:$A$1005,"&gt;="&amp;$B27,'Trade Log'!$A$6:$A$1005,"&lt;="&amp;($B27+6),'Trade Log'!$S$6:$S$1005,"Win")/(COUNTIFS('Trade Log'!$A$6:$A$1005,"&gt;="&amp;$B27,'Trade Log'!$A$6:$A$1005,"&lt;="&amp;($B27+6),'Trade Log'!$S$6:$S$1005,"Win")+COUNTIFS('Trade Log'!$A$6:$A$1005,"&gt;="&amp;$B27,'Trade Log'!$A$6:$A$1005,"&lt;="&amp;($B27+6),'Trade Log'!$S$6:$S$1005,"Loss")),"—"))</f>
        <v/>
      </c>
      <c r="F27" s="104" t="str">
        <f>IF(OR($B27="",N($C27)=0),"",IFERROR(SUMIFS('Trade Log'!$R$6:$R$1005,'Trade Log'!$A$6:$A$1005,"&gt;="&amp;$B27,'Trade Log'!$A$6:$A$1005,"&lt;="&amp;($B27+6))/COUNTIFS('Trade Log'!$A$6:$A$1005,"&gt;="&amp;$B27,'Trade Log'!$A$6:$A$1005,"&lt;="&amp;($B27+6),'Trade Log'!$BC$6:$BC$1005,1),"—"))</f>
        <v/>
      </c>
      <c r="G27" s="110" t="str">
        <f>IF(OR($B27="",N($C27)=0),"",IF(SUMIFS('Trade Log'!$Q$6:$Q$1005,'Trade Log'!$A$6:$A$1005,"&gt;="&amp;$B27,'Trade Log'!$A$6:$A$1005,"&lt;="&amp;($B27+6),'Trade Log'!$Q$6:$Q$1005,"&lt;0")=0,IF(SUMIFS('Trade Log'!$Q$6:$Q$1005,'Trade Log'!$A$6:$A$1005,"&gt;="&amp;$B27,'Trade Log'!$A$6:$A$1005,"&lt;="&amp;($B27+6),'Trade Log'!$Q$6:$Q$1005,"&gt;0")&gt;0,"No losses","—"),SUMIFS('Trade Log'!$Q$6:$Q$1005,'Trade Log'!$A$6:$A$1005,"&gt;="&amp;$B27,'Trade Log'!$A$6:$A$1005,"&lt;="&amp;($B27+6),'Trade Log'!$Q$6:$Q$1005,"&gt;0")/-SUMIFS('Trade Log'!$Q$6:$Q$1005,'Trade Log'!$A$6:$A$1005,"&gt;="&amp;$B27,'Trade Log'!$A$6:$A$1005,"&lt;="&amp;($B27+6),'Trade Log'!$Q$6:$Q$1005,"&lt;0")))</f>
        <v/>
      </c>
      <c r="H27" s="99" t="str">
        <f>IF(OR($B27="",N($C27)=0),"",IFERROR(COUNTIFS('Trade Log'!$A$6:$A$1005,"&gt;="&amp;$B27,'Trade Log'!$A$6:$A$1005,"&lt;="&amp;($B27+6),'Trade Log'!$Z$6:$Z$1005,"Yes")/(COUNTIFS('Trade Log'!$A$6:$A$1005,"&gt;="&amp;$B27,'Trade Log'!$A$6:$A$1005,"&lt;="&amp;($B27+6),'Trade Log'!$Z$6:$Z$1005,"Yes")+COUNTIFS('Trade Log'!$A$6:$A$1005,"&gt;="&amp;$B27,'Trade Log'!$A$6:$A$1005,"&lt;="&amp;($B27+6),'Trade Log'!$Z$6:$Z$1005,"No")),"—"))</f>
        <v/>
      </c>
      <c r="I27" s="111" t="str">
        <f>IF(OR($B27="",N($C27)=0),"",IF(MAX($Q27:$AB27)=0,"None — clean week",INDEX($Q$5:$AB$5,MATCH(MAX($Q27:$AB27),$Q27:$AB27,0))))</f>
        <v/>
      </c>
      <c r="J27" s="111" t="str">
        <f>IF(OR($B27="",N($C27)=0),"",IF(MIN($AC27:$AL27)&gt;=0,"None lost money",INDEX($AC$5:$AL$5,MATCH(MIN($AC27:$AL27),$AC27:$AL27,0))))</f>
        <v/>
      </c>
      <c r="K27" s="111" t="str">
        <f>IF(OR($B27="",N($C27)=0),"",IF(MAX($AM27:$AV27)&lt;=0,"None made money",INDEX($AM$5:$AV$5,MATCH(MAX($AM27:$AV27),$AM27:$AV27,0))))</f>
        <v/>
      </c>
      <c r="L27" s="106" t="n"/>
      <c r="M27" s="106" t="n"/>
      <c r="N27" s="112" t="n"/>
      <c r="O27" s="29" t="n"/>
      <c r="Q27" s="109">
        <f>IF(OR($B27="",Q$5=""),0,COUNTIFS('Trade Log'!$A$6:$A$1005,"&gt;="&amp;$B27,'Trade Log'!$A$6:$A$1005,"&lt;="&amp;($B27+6),'Trade Log'!$AB$6:$AB$1005,Q$5))</f>
        <v>0</v>
      </c>
      <c r="R27" s="109">
        <f>IF(OR($B27="",R$5=""),0,COUNTIFS('Trade Log'!$A$6:$A$1005,"&gt;="&amp;$B27,'Trade Log'!$A$6:$A$1005,"&lt;="&amp;($B27+6),'Trade Log'!$AB$6:$AB$1005,R$5))</f>
        <v>0</v>
      </c>
      <c r="S27" s="109">
        <f>IF(OR($B27="",S$5=""),0,COUNTIFS('Trade Log'!$A$6:$A$1005,"&gt;="&amp;$B27,'Trade Log'!$A$6:$A$1005,"&lt;="&amp;($B27+6),'Trade Log'!$AB$6:$AB$1005,S$5))</f>
        <v>0</v>
      </c>
      <c r="T27" s="109">
        <f>IF(OR($B27="",T$5=""),0,COUNTIFS('Trade Log'!$A$6:$A$1005,"&gt;="&amp;$B27,'Trade Log'!$A$6:$A$1005,"&lt;="&amp;($B27+6),'Trade Log'!$AB$6:$AB$1005,T$5))</f>
        <v>0</v>
      </c>
      <c r="U27" s="109">
        <f>IF(OR($B27="",U$5=""),0,COUNTIFS('Trade Log'!$A$6:$A$1005,"&gt;="&amp;$B27,'Trade Log'!$A$6:$A$1005,"&lt;="&amp;($B27+6),'Trade Log'!$AB$6:$AB$1005,U$5))</f>
        <v>0</v>
      </c>
      <c r="V27" s="109">
        <f>IF(OR($B27="",V$5=""),0,COUNTIFS('Trade Log'!$A$6:$A$1005,"&gt;="&amp;$B27,'Trade Log'!$A$6:$A$1005,"&lt;="&amp;($B27+6),'Trade Log'!$AB$6:$AB$1005,V$5))</f>
        <v>0</v>
      </c>
      <c r="W27" s="109">
        <f>IF(OR($B27="",W$5=""),0,COUNTIFS('Trade Log'!$A$6:$A$1005,"&gt;="&amp;$B27,'Trade Log'!$A$6:$A$1005,"&lt;="&amp;($B27+6),'Trade Log'!$AB$6:$AB$1005,W$5))</f>
        <v>0</v>
      </c>
      <c r="X27" s="109">
        <f>IF(OR($B27="",X$5=""),0,COUNTIFS('Trade Log'!$A$6:$A$1005,"&gt;="&amp;$B27,'Trade Log'!$A$6:$A$1005,"&lt;="&amp;($B27+6),'Trade Log'!$AB$6:$AB$1005,X$5))</f>
        <v>0</v>
      </c>
      <c r="Y27" s="109">
        <f>IF(OR($B27="",Y$5=""),0,COUNTIFS('Trade Log'!$A$6:$A$1005,"&gt;="&amp;$B27,'Trade Log'!$A$6:$A$1005,"&lt;="&amp;($B27+6),'Trade Log'!$AB$6:$AB$1005,Y$5))</f>
        <v>0</v>
      </c>
      <c r="Z27" s="109">
        <f>IF(OR($B27="",Z$5=""),0,COUNTIFS('Trade Log'!$A$6:$A$1005,"&gt;="&amp;$B27,'Trade Log'!$A$6:$A$1005,"&lt;="&amp;($B27+6),'Trade Log'!$AB$6:$AB$1005,Z$5))</f>
        <v>0</v>
      </c>
      <c r="AA27" s="109">
        <f>IF(OR($B27="",AA$5=""),0,COUNTIFS('Trade Log'!$A$6:$A$1005,"&gt;="&amp;$B27,'Trade Log'!$A$6:$A$1005,"&lt;="&amp;($B27+6),'Trade Log'!$AB$6:$AB$1005,AA$5))</f>
        <v>0</v>
      </c>
      <c r="AB27" s="109">
        <f>IF(OR($B27="",AB$5=""),0,COUNTIFS('Trade Log'!$A$6:$A$1005,"&gt;="&amp;$B27,'Trade Log'!$A$6:$A$1005,"&lt;="&amp;($B27+6),'Trade Log'!$AB$6:$AB$1005,AB$5))</f>
        <v>0</v>
      </c>
      <c r="AC27" s="113">
        <f>IF(OR($B27="",AC$5=""),0,SUMIFS('Trade Log'!$Q$6:$Q$1005,'Trade Log'!$A$6:$A$1005,"&gt;="&amp;$B27,'Trade Log'!$A$6:$A$1005,"&lt;="&amp;($B27+6),'Trade Log'!$AA$6:$AA$1005,AC$5))</f>
        <v>0</v>
      </c>
      <c r="AD27" s="113">
        <f>IF(OR($B27="",AD$5=""),0,SUMIFS('Trade Log'!$Q$6:$Q$1005,'Trade Log'!$A$6:$A$1005,"&gt;="&amp;$B27,'Trade Log'!$A$6:$A$1005,"&lt;="&amp;($B27+6),'Trade Log'!$AA$6:$AA$1005,AD$5))</f>
        <v>0</v>
      </c>
      <c r="AE27" s="113">
        <f>IF(OR($B27="",AE$5=""),0,SUMIFS('Trade Log'!$Q$6:$Q$1005,'Trade Log'!$A$6:$A$1005,"&gt;="&amp;$B27,'Trade Log'!$A$6:$A$1005,"&lt;="&amp;($B27+6),'Trade Log'!$AA$6:$AA$1005,AE$5))</f>
        <v>0</v>
      </c>
      <c r="AF27" s="113">
        <f>IF(OR($B27="",AF$5=""),0,SUMIFS('Trade Log'!$Q$6:$Q$1005,'Trade Log'!$A$6:$A$1005,"&gt;="&amp;$B27,'Trade Log'!$A$6:$A$1005,"&lt;="&amp;($B27+6),'Trade Log'!$AA$6:$AA$1005,AF$5))</f>
        <v>0</v>
      </c>
      <c r="AG27" s="113">
        <f>IF(OR($B27="",AG$5=""),0,SUMIFS('Trade Log'!$Q$6:$Q$1005,'Trade Log'!$A$6:$A$1005,"&gt;="&amp;$B27,'Trade Log'!$A$6:$A$1005,"&lt;="&amp;($B27+6),'Trade Log'!$AA$6:$AA$1005,AG$5))</f>
        <v>0</v>
      </c>
      <c r="AH27" s="113">
        <f>IF(OR($B27="",AH$5=""),0,SUMIFS('Trade Log'!$Q$6:$Q$1005,'Trade Log'!$A$6:$A$1005,"&gt;="&amp;$B27,'Trade Log'!$A$6:$A$1005,"&lt;="&amp;($B27+6),'Trade Log'!$AA$6:$AA$1005,AH$5))</f>
        <v>0</v>
      </c>
      <c r="AI27" s="113">
        <f>IF(OR($B27="",AI$5=""),0,SUMIFS('Trade Log'!$Q$6:$Q$1005,'Trade Log'!$A$6:$A$1005,"&gt;="&amp;$B27,'Trade Log'!$A$6:$A$1005,"&lt;="&amp;($B27+6),'Trade Log'!$AA$6:$AA$1005,AI$5))</f>
        <v>0</v>
      </c>
      <c r="AJ27" s="113">
        <f>IF(OR($B27="",AJ$5=""),0,SUMIFS('Trade Log'!$Q$6:$Q$1005,'Trade Log'!$A$6:$A$1005,"&gt;="&amp;$B27,'Trade Log'!$A$6:$A$1005,"&lt;="&amp;($B27+6),'Trade Log'!$AA$6:$AA$1005,AJ$5))</f>
        <v>0</v>
      </c>
      <c r="AK27" s="113">
        <f>IF(OR($B27="",AK$5=""),0,SUMIFS('Trade Log'!$Q$6:$Q$1005,'Trade Log'!$A$6:$A$1005,"&gt;="&amp;$B27,'Trade Log'!$A$6:$A$1005,"&lt;="&amp;($B27+6),'Trade Log'!$AA$6:$AA$1005,AK$5))</f>
        <v>0</v>
      </c>
      <c r="AL27" s="113">
        <f>IF(OR($B27="",AL$5=""),0,SUMIFS('Trade Log'!$Q$6:$Q$1005,'Trade Log'!$A$6:$A$1005,"&gt;="&amp;$B27,'Trade Log'!$A$6:$A$1005,"&lt;="&amp;($B27+6),'Trade Log'!$AA$6:$AA$1005,AL$5))</f>
        <v>0</v>
      </c>
      <c r="AM27" s="113">
        <f>IF(OR($B27="",AM$5=""),0,SUMIFS('Trade Log'!$Q$6:$Q$1005,'Trade Log'!$A$6:$A$1005,"&gt;="&amp;$B27,'Trade Log'!$A$6:$A$1005,"&lt;="&amp;($B27+6),'Trade Log'!$Y$6:$Y$1005,AM$5))</f>
        <v>0</v>
      </c>
      <c r="AN27" s="113">
        <f>IF(OR($B27="",AN$5=""),0,SUMIFS('Trade Log'!$Q$6:$Q$1005,'Trade Log'!$A$6:$A$1005,"&gt;="&amp;$B27,'Trade Log'!$A$6:$A$1005,"&lt;="&amp;($B27+6),'Trade Log'!$Y$6:$Y$1005,AN$5))</f>
        <v>0</v>
      </c>
      <c r="AO27" s="113">
        <f>IF(OR($B27="",AO$5=""),0,SUMIFS('Trade Log'!$Q$6:$Q$1005,'Trade Log'!$A$6:$A$1005,"&gt;="&amp;$B27,'Trade Log'!$A$6:$A$1005,"&lt;="&amp;($B27+6),'Trade Log'!$Y$6:$Y$1005,AO$5))</f>
        <v>0</v>
      </c>
      <c r="AP27" s="113">
        <f>IF(OR($B27="",AP$5=""),0,SUMIFS('Trade Log'!$Q$6:$Q$1005,'Trade Log'!$A$6:$A$1005,"&gt;="&amp;$B27,'Trade Log'!$A$6:$A$1005,"&lt;="&amp;($B27+6),'Trade Log'!$Y$6:$Y$1005,AP$5))</f>
        <v>0</v>
      </c>
      <c r="AQ27" s="113">
        <f>IF(OR($B27="",AQ$5=""),0,SUMIFS('Trade Log'!$Q$6:$Q$1005,'Trade Log'!$A$6:$A$1005,"&gt;="&amp;$B27,'Trade Log'!$A$6:$A$1005,"&lt;="&amp;($B27+6),'Trade Log'!$Y$6:$Y$1005,AQ$5))</f>
        <v>0</v>
      </c>
      <c r="AR27" s="113">
        <f>IF(OR($B27="",AR$5=""),0,SUMIFS('Trade Log'!$Q$6:$Q$1005,'Trade Log'!$A$6:$A$1005,"&gt;="&amp;$B27,'Trade Log'!$A$6:$A$1005,"&lt;="&amp;($B27+6),'Trade Log'!$Y$6:$Y$1005,AR$5))</f>
        <v>0</v>
      </c>
      <c r="AS27" s="113">
        <f>IF(OR($B27="",AS$5=""),0,SUMIFS('Trade Log'!$Q$6:$Q$1005,'Trade Log'!$A$6:$A$1005,"&gt;="&amp;$B27,'Trade Log'!$A$6:$A$1005,"&lt;="&amp;($B27+6),'Trade Log'!$Y$6:$Y$1005,AS$5))</f>
        <v>0</v>
      </c>
      <c r="AT27" s="113">
        <f>IF(OR($B27="",AT$5=""),0,SUMIFS('Trade Log'!$Q$6:$Q$1005,'Trade Log'!$A$6:$A$1005,"&gt;="&amp;$B27,'Trade Log'!$A$6:$A$1005,"&lt;="&amp;($B27+6),'Trade Log'!$Y$6:$Y$1005,AT$5))</f>
        <v>0</v>
      </c>
      <c r="AU27" s="113">
        <f>IF(OR($B27="",AU$5=""),0,SUMIFS('Trade Log'!$Q$6:$Q$1005,'Trade Log'!$A$6:$A$1005,"&gt;="&amp;$B27,'Trade Log'!$A$6:$A$1005,"&lt;="&amp;($B27+6),'Trade Log'!$Y$6:$Y$1005,AU$5))</f>
        <v>0</v>
      </c>
      <c r="AV27" s="113">
        <f>IF(OR($B27="",AV$5=""),0,SUMIFS('Trade Log'!$Q$6:$Q$1005,'Trade Log'!$A$6:$A$1005,"&gt;="&amp;$B27,'Trade Log'!$A$6:$A$1005,"&lt;="&amp;($B27+6),'Trade Log'!$Y$6:$Y$1005,AV$5))</f>
        <v>0</v>
      </c>
    </row>
    <row r="28">
      <c r="B28" s="107">
        <f>IF($B27="","",$B27+7)</f>
        <v>46440</v>
      </c>
      <c r="C28" s="96">
        <f>IF($B28="","",COUNTIFS('Trade Log'!$A$6:$A$1005,"&gt;="&amp;$B28,'Trade Log'!$A$6:$A$1005,"&lt;="&amp;($B28+6),'Trade Log'!$BH$6:$BH$1005,1))</f>
        <v>0</v>
      </c>
      <c r="D28" s="98" t="str">
        <f>IF(OR($B28="",N($C28)=0),"",SUMIFS('Trade Log'!$Q$6:$Q$1005,'Trade Log'!$A$6:$A$1005,"&gt;="&amp;$B28,'Trade Log'!$A$6:$A$1005,"&lt;="&amp;($B28+6)))</f>
        <v/>
      </c>
      <c r="E28" s="99" t="str">
        <f>IF(OR($B28="",N($C28)=0),"",IFERROR(COUNTIFS('Trade Log'!$A$6:$A$1005,"&gt;="&amp;$B28,'Trade Log'!$A$6:$A$1005,"&lt;="&amp;($B28+6),'Trade Log'!$S$6:$S$1005,"Win")/(COUNTIFS('Trade Log'!$A$6:$A$1005,"&gt;="&amp;$B28,'Trade Log'!$A$6:$A$1005,"&lt;="&amp;($B28+6),'Trade Log'!$S$6:$S$1005,"Win")+COUNTIFS('Trade Log'!$A$6:$A$1005,"&gt;="&amp;$B28,'Trade Log'!$A$6:$A$1005,"&lt;="&amp;($B28+6),'Trade Log'!$S$6:$S$1005,"Loss")),"—"))</f>
        <v/>
      </c>
      <c r="F28" s="104" t="str">
        <f>IF(OR($B28="",N($C28)=0),"",IFERROR(SUMIFS('Trade Log'!$R$6:$R$1005,'Trade Log'!$A$6:$A$1005,"&gt;="&amp;$B28,'Trade Log'!$A$6:$A$1005,"&lt;="&amp;($B28+6))/COUNTIFS('Trade Log'!$A$6:$A$1005,"&gt;="&amp;$B28,'Trade Log'!$A$6:$A$1005,"&lt;="&amp;($B28+6),'Trade Log'!$BC$6:$BC$1005,1),"—"))</f>
        <v/>
      </c>
      <c r="G28" s="110" t="str">
        <f>IF(OR($B28="",N($C28)=0),"",IF(SUMIFS('Trade Log'!$Q$6:$Q$1005,'Trade Log'!$A$6:$A$1005,"&gt;="&amp;$B28,'Trade Log'!$A$6:$A$1005,"&lt;="&amp;($B28+6),'Trade Log'!$Q$6:$Q$1005,"&lt;0")=0,IF(SUMIFS('Trade Log'!$Q$6:$Q$1005,'Trade Log'!$A$6:$A$1005,"&gt;="&amp;$B28,'Trade Log'!$A$6:$A$1005,"&lt;="&amp;($B28+6),'Trade Log'!$Q$6:$Q$1005,"&gt;0")&gt;0,"No losses","—"),SUMIFS('Trade Log'!$Q$6:$Q$1005,'Trade Log'!$A$6:$A$1005,"&gt;="&amp;$B28,'Trade Log'!$A$6:$A$1005,"&lt;="&amp;($B28+6),'Trade Log'!$Q$6:$Q$1005,"&gt;0")/-SUMIFS('Trade Log'!$Q$6:$Q$1005,'Trade Log'!$A$6:$A$1005,"&gt;="&amp;$B28,'Trade Log'!$A$6:$A$1005,"&lt;="&amp;($B28+6),'Trade Log'!$Q$6:$Q$1005,"&lt;0")))</f>
        <v/>
      </c>
      <c r="H28" s="99" t="str">
        <f>IF(OR($B28="",N($C28)=0),"",IFERROR(COUNTIFS('Trade Log'!$A$6:$A$1005,"&gt;="&amp;$B28,'Trade Log'!$A$6:$A$1005,"&lt;="&amp;($B28+6),'Trade Log'!$Z$6:$Z$1005,"Yes")/(COUNTIFS('Trade Log'!$A$6:$A$1005,"&gt;="&amp;$B28,'Trade Log'!$A$6:$A$1005,"&lt;="&amp;($B28+6),'Trade Log'!$Z$6:$Z$1005,"Yes")+COUNTIFS('Trade Log'!$A$6:$A$1005,"&gt;="&amp;$B28,'Trade Log'!$A$6:$A$1005,"&lt;="&amp;($B28+6),'Trade Log'!$Z$6:$Z$1005,"No")),"—"))</f>
        <v/>
      </c>
      <c r="I28" s="111" t="str">
        <f>IF(OR($B28="",N($C28)=0),"",IF(MAX($Q28:$AB28)=0,"None — clean week",INDEX($Q$5:$AB$5,MATCH(MAX($Q28:$AB28),$Q28:$AB28,0))))</f>
        <v/>
      </c>
      <c r="J28" s="111" t="str">
        <f>IF(OR($B28="",N($C28)=0),"",IF(MIN($AC28:$AL28)&gt;=0,"None lost money",INDEX($AC$5:$AL$5,MATCH(MIN($AC28:$AL28),$AC28:$AL28,0))))</f>
        <v/>
      </c>
      <c r="K28" s="111" t="str">
        <f>IF(OR($B28="",N($C28)=0),"",IF(MAX($AM28:$AV28)&lt;=0,"None made money",INDEX($AM$5:$AV$5,MATCH(MAX($AM28:$AV28),$AM28:$AV28,0))))</f>
        <v/>
      </c>
      <c r="L28" s="106" t="n"/>
      <c r="M28" s="106" t="n"/>
      <c r="N28" s="112" t="n"/>
      <c r="O28" s="29" t="n"/>
      <c r="Q28" s="109">
        <f>IF(OR($B28="",Q$5=""),0,COUNTIFS('Trade Log'!$A$6:$A$1005,"&gt;="&amp;$B28,'Trade Log'!$A$6:$A$1005,"&lt;="&amp;($B28+6),'Trade Log'!$AB$6:$AB$1005,Q$5))</f>
        <v>0</v>
      </c>
      <c r="R28" s="109">
        <f>IF(OR($B28="",R$5=""),0,COUNTIFS('Trade Log'!$A$6:$A$1005,"&gt;="&amp;$B28,'Trade Log'!$A$6:$A$1005,"&lt;="&amp;($B28+6),'Trade Log'!$AB$6:$AB$1005,R$5))</f>
        <v>0</v>
      </c>
      <c r="S28" s="109">
        <f>IF(OR($B28="",S$5=""),0,COUNTIFS('Trade Log'!$A$6:$A$1005,"&gt;="&amp;$B28,'Trade Log'!$A$6:$A$1005,"&lt;="&amp;($B28+6),'Trade Log'!$AB$6:$AB$1005,S$5))</f>
        <v>0</v>
      </c>
      <c r="T28" s="109">
        <f>IF(OR($B28="",T$5=""),0,COUNTIFS('Trade Log'!$A$6:$A$1005,"&gt;="&amp;$B28,'Trade Log'!$A$6:$A$1005,"&lt;="&amp;($B28+6),'Trade Log'!$AB$6:$AB$1005,T$5))</f>
        <v>0</v>
      </c>
      <c r="U28" s="109">
        <f>IF(OR($B28="",U$5=""),0,COUNTIFS('Trade Log'!$A$6:$A$1005,"&gt;="&amp;$B28,'Trade Log'!$A$6:$A$1005,"&lt;="&amp;($B28+6),'Trade Log'!$AB$6:$AB$1005,U$5))</f>
        <v>0</v>
      </c>
      <c r="V28" s="109">
        <f>IF(OR($B28="",V$5=""),0,COUNTIFS('Trade Log'!$A$6:$A$1005,"&gt;="&amp;$B28,'Trade Log'!$A$6:$A$1005,"&lt;="&amp;($B28+6),'Trade Log'!$AB$6:$AB$1005,V$5))</f>
        <v>0</v>
      </c>
      <c r="W28" s="109">
        <f>IF(OR($B28="",W$5=""),0,COUNTIFS('Trade Log'!$A$6:$A$1005,"&gt;="&amp;$B28,'Trade Log'!$A$6:$A$1005,"&lt;="&amp;($B28+6),'Trade Log'!$AB$6:$AB$1005,W$5))</f>
        <v>0</v>
      </c>
      <c r="X28" s="109">
        <f>IF(OR($B28="",X$5=""),0,COUNTIFS('Trade Log'!$A$6:$A$1005,"&gt;="&amp;$B28,'Trade Log'!$A$6:$A$1005,"&lt;="&amp;($B28+6),'Trade Log'!$AB$6:$AB$1005,X$5))</f>
        <v>0</v>
      </c>
      <c r="Y28" s="109">
        <f>IF(OR($B28="",Y$5=""),0,COUNTIFS('Trade Log'!$A$6:$A$1005,"&gt;="&amp;$B28,'Trade Log'!$A$6:$A$1005,"&lt;="&amp;($B28+6),'Trade Log'!$AB$6:$AB$1005,Y$5))</f>
        <v>0</v>
      </c>
      <c r="Z28" s="109">
        <f>IF(OR($B28="",Z$5=""),0,COUNTIFS('Trade Log'!$A$6:$A$1005,"&gt;="&amp;$B28,'Trade Log'!$A$6:$A$1005,"&lt;="&amp;($B28+6),'Trade Log'!$AB$6:$AB$1005,Z$5))</f>
        <v>0</v>
      </c>
      <c r="AA28" s="109">
        <f>IF(OR($B28="",AA$5=""),0,COUNTIFS('Trade Log'!$A$6:$A$1005,"&gt;="&amp;$B28,'Trade Log'!$A$6:$A$1005,"&lt;="&amp;($B28+6),'Trade Log'!$AB$6:$AB$1005,AA$5))</f>
        <v>0</v>
      </c>
      <c r="AB28" s="109">
        <f>IF(OR($B28="",AB$5=""),0,COUNTIFS('Trade Log'!$A$6:$A$1005,"&gt;="&amp;$B28,'Trade Log'!$A$6:$A$1005,"&lt;="&amp;($B28+6),'Trade Log'!$AB$6:$AB$1005,AB$5))</f>
        <v>0</v>
      </c>
      <c r="AC28" s="113">
        <f>IF(OR($B28="",AC$5=""),0,SUMIFS('Trade Log'!$Q$6:$Q$1005,'Trade Log'!$A$6:$A$1005,"&gt;="&amp;$B28,'Trade Log'!$A$6:$A$1005,"&lt;="&amp;($B28+6),'Trade Log'!$AA$6:$AA$1005,AC$5))</f>
        <v>0</v>
      </c>
      <c r="AD28" s="113">
        <f>IF(OR($B28="",AD$5=""),0,SUMIFS('Trade Log'!$Q$6:$Q$1005,'Trade Log'!$A$6:$A$1005,"&gt;="&amp;$B28,'Trade Log'!$A$6:$A$1005,"&lt;="&amp;($B28+6),'Trade Log'!$AA$6:$AA$1005,AD$5))</f>
        <v>0</v>
      </c>
      <c r="AE28" s="113">
        <f>IF(OR($B28="",AE$5=""),0,SUMIFS('Trade Log'!$Q$6:$Q$1005,'Trade Log'!$A$6:$A$1005,"&gt;="&amp;$B28,'Trade Log'!$A$6:$A$1005,"&lt;="&amp;($B28+6),'Trade Log'!$AA$6:$AA$1005,AE$5))</f>
        <v>0</v>
      </c>
      <c r="AF28" s="113">
        <f>IF(OR($B28="",AF$5=""),0,SUMIFS('Trade Log'!$Q$6:$Q$1005,'Trade Log'!$A$6:$A$1005,"&gt;="&amp;$B28,'Trade Log'!$A$6:$A$1005,"&lt;="&amp;($B28+6),'Trade Log'!$AA$6:$AA$1005,AF$5))</f>
        <v>0</v>
      </c>
      <c r="AG28" s="113">
        <f>IF(OR($B28="",AG$5=""),0,SUMIFS('Trade Log'!$Q$6:$Q$1005,'Trade Log'!$A$6:$A$1005,"&gt;="&amp;$B28,'Trade Log'!$A$6:$A$1005,"&lt;="&amp;($B28+6),'Trade Log'!$AA$6:$AA$1005,AG$5))</f>
        <v>0</v>
      </c>
      <c r="AH28" s="113">
        <f>IF(OR($B28="",AH$5=""),0,SUMIFS('Trade Log'!$Q$6:$Q$1005,'Trade Log'!$A$6:$A$1005,"&gt;="&amp;$B28,'Trade Log'!$A$6:$A$1005,"&lt;="&amp;($B28+6),'Trade Log'!$AA$6:$AA$1005,AH$5))</f>
        <v>0</v>
      </c>
      <c r="AI28" s="113">
        <f>IF(OR($B28="",AI$5=""),0,SUMIFS('Trade Log'!$Q$6:$Q$1005,'Trade Log'!$A$6:$A$1005,"&gt;="&amp;$B28,'Trade Log'!$A$6:$A$1005,"&lt;="&amp;($B28+6),'Trade Log'!$AA$6:$AA$1005,AI$5))</f>
        <v>0</v>
      </c>
      <c r="AJ28" s="113">
        <f>IF(OR($B28="",AJ$5=""),0,SUMIFS('Trade Log'!$Q$6:$Q$1005,'Trade Log'!$A$6:$A$1005,"&gt;="&amp;$B28,'Trade Log'!$A$6:$A$1005,"&lt;="&amp;($B28+6),'Trade Log'!$AA$6:$AA$1005,AJ$5))</f>
        <v>0</v>
      </c>
      <c r="AK28" s="113">
        <f>IF(OR($B28="",AK$5=""),0,SUMIFS('Trade Log'!$Q$6:$Q$1005,'Trade Log'!$A$6:$A$1005,"&gt;="&amp;$B28,'Trade Log'!$A$6:$A$1005,"&lt;="&amp;($B28+6),'Trade Log'!$AA$6:$AA$1005,AK$5))</f>
        <v>0</v>
      </c>
      <c r="AL28" s="113">
        <f>IF(OR($B28="",AL$5=""),0,SUMIFS('Trade Log'!$Q$6:$Q$1005,'Trade Log'!$A$6:$A$1005,"&gt;="&amp;$B28,'Trade Log'!$A$6:$A$1005,"&lt;="&amp;($B28+6),'Trade Log'!$AA$6:$AA$1005,AL$5))</f>
        <v>0</v>
      </c>
      <c r="AM28" s="113">
        <f>IF(OR($B28="",AM$5=""),0,SUMIFS('Trade Log'!$Q$6:$Q$1005,'Trade Log'!$A$6:$A$1005,"&gt;="&amp;$B28,'Trade Log'!$A$6:$A$1005,"&lt;="&amp;($B28+6),'Trade Log'!$Y$6:$Y$1005,AM$5))</f>
        <v>0</v>
      </c>
      <c r="AN28" s="113">
        <f>IF(OR($B28="",AN$5=""),0,SUMIFS('Trade Log'!$Q$6:$Q$1005,'Trade Log'!$A$6:$A$1005,"&gt;="&amp;$B28,'Trade Log'!$A$6:$A$1005,"&lt;="&amp;($B28+6),'Trade Log'!$Y$6:$Y$1005,AN$5))</f>
        <v>0</v>
      </c>
      <c r="AO28" s="113">
        <f>IF(OR($B28="",AO$5=""),0,SUMIFS('Trade Log'!$Q$6:$Q$1005,'Trade Log'!$A$6:$A$1005,"&gt;="&amp;$B28,'Trade Log'!$A$6:$A$1005,"&lt;="&amp;($B28+6),'Trade Log'!$Y$6:$Y$1005,AO$5))</f>
        <v>0</v>
      </c>
      <c r="AP28" s="113">
        <f>IF(OR($B28="",AP$5=""),0,SUMIFS('Trade Log'!$Q$6:$Q$1005,'Trade Log'!$A$6:$A$1005,"&gt;="&amp;$B28,'Trade Log'!$A$6:$A$1005,"&lt;="&amp;($B28+6),'Trade Log'!$Y$6:$Y$1005,AP$5))</f>
        <v>0</v>
      </c>
      <c r="AQ28" s="113">
        <f>IF(OR($B28="",AQ$5=""),0,SUMIFS('Trade Log'!$Q$6:$Q$1005,'Trade Log'!$A$6:$A$1005,"&gt;="&amp;$B28,'Trade Log'!$A$6:$A$1005,"&lt;="&amp;($B28+6),'Trade Log'!$Y$6:$Y$1005,AQ$5))</f>
        <v>0</v>
      </c>
      <c r="AR28" s="113">
        <f>IF(OR($B28="",AR$5=""),0,SUMIFS('Trade Log'!$Q$6:$Q$1005,'Trade Log'!$A$6:$A$1005,"&gt;="&amp;$B28,'Trade Log'!$A$6:$A$1005,"&lt;="&amp;($B28+6),'Trade Log'!$Y$6:$Y$1005,AR$5))</f>
        <v>0</v>
      </c>
      <c r="AS28" s="113">
        <f>IF(OR($B28="",AS$5=""),0,SUMIFS('Trade Log'!$Q$6:$Q$1005,'Trade Log'!$A$6:$A$1005,"&gt;="&amp;$B28,'Trade Log'!$A$6:$A$1005,"&lt;="&amp;($B28+6),'Trade Log'!$Y$6:$Y$1005,AS$5))</f>
        <v>0</v>
      </c>
      <c r="AT28" s="113">
        <f>IF(OR($B28="",AT$5=""),0,SUMIFS('Trade Log'!$Q$6:$Q$1005,'Trade Log'!$A$6:$A$1005,"&gt;="&amp;$B28,'Trade Log'!$A$6:$A$1005,"&lt;="&amp;($B28+6),'Trade Log'!$Y$6:$Y$1005,AT$5))</f>
        <v>0</v>
      </c>
      <c r="AU28" s="113">
        <f>IF(OR($B28="",AU$5=""),0,SUMIFS('Trade Log'!$Q$6:$Q$1005,'Trade Log'!$A$6:$A$1005,"&gt;="&amp;$B28,'Trade Log'!$A$6:$A$1005,"&lt;="&amp;($B28+6),'Trade Log'!$Y$6:$Y$1005,AU$5))</f>
        <v>0</v>
      </c>
      <c r="AV28" s="113">
        <f>IF(OR($B28="",AV$5=""),0,SUMIFS('Trade Log'!$Q$6:$Q$1005,'Trade Log'!$A$6:$A$1005,"&gt;="&amp;$B28,'Trade Log'!$A$6:$A$1005,"&lt;="&amp;($B28+6),'Trade Log'!$Y$6:$Y$1005,AV$5))</f>
        <v>0</v>
      </c>
    </row>
    <row r="29">
      <c r="B29" s="107">
        <f>IF($B28="","",$B28+7)</f>
        <v>46447</v>
      </c>
      <c r="C29" s="96">
        <f>IF($B29="","",COUNTIFS('Trade Log'!$A$6:$A$1005,"&gt;="&amp;$B29,'Trade Log'!$A$6:$A$1005,"&lt;="&amp;($B29+6),'Trade Log'!$BH$6:$BH$1005,1))</f>
        <v>0</v>
      </c>
      <c r="D29" s="98" t="str">
        <f>IF(OR($B29="",N($C29)=0),"",SUMIFS('Trade Log'!$Q$6:$Q$1005,'Trade Log'!$A$6:$A$1005,"&gt;="&amp;$B29,'Trade Log'!$A$6:$A$1005,"&lt;="&amp;($B29+6)))</f>
        <v/>
      </c>
      <c r="E29" s="99" t="str">
        <f>IF(OR($B29="",N($C29)=0),"",IFERROR(COUNTIFS('Trade Log'!$A$6:$A$1005,"&gt;="&amp;$B29,'Trade Log'!$A$6:$A$1005,"&lt;="&amp;($B29+6),'Trade Log'!$S$6:$S$1005,"Win")/(COUNTIFS('Trade Log'!$A$6:$A$1005,"&gt;="&amp;$B29,'Trade Log'!$A$6:$A$1005,"&lt;="&amp;($B29+6),'Trade Log'!$S$6:$S$1005,"Win")+COUNTIFS('Trade Log'!$A$6:$A$1005,"&gt;="&amp;$B29,'Trade Log'!$A$6:$A$1005,"&lt;="&amp;($B29+6),'Trade Log'!$S$6:$S$1005,"Loss")),"—"))</f>
        <v/>
      </c>
      <c r="F29" s="104" t="str">
        <f>IF(OR($B29="",N($C29)=0),"",IFERROR(SUMIFS('Trade Log'!$R$6:$R$1005,'Trade Log'!$A$6:$A$1005,"&gt;="&amp;$B29,'Trade Log'!$A$6:$A$1005,"&lt;="&amp;($B29+6))/COUNTIFS('Trade Log'!$A$6:$A$1005,"&gt;="&amp;$B29,'Trade Log'!$A$6:$A$1005,"&lt;="&amp;($B29+6),'Trade Log'!$BC$6:$BC$1005,1),"—"))</f>
        <v/>
      </c>
      <c r="G29" s="110" t="str">
        <f>IF(OR($B29="",N($C29)=0),"",IF(SUMIFS('Trade Log'!$Q$6:$Q$1005,'Trade Log'!$A$6:$A$1005,"&gt;="&amp;$B29,'Trade Log'!$A$6:$A$1005,"&lt;="&amp;($B29+6),'Trade Log'!$Q$6:$Q$1005,"&lt;0")=0,IF(SUMIFS('Trade Log'!$Q$6:$Q$1005,'Trade Log'!$A$6:$A$1005,"&gt;="&amp;$B29,'Trade Log'!$A$6:$A$1005,"&lt;="&amp;($B29+6),'Trade Log'!$Q$6:$Q$1005,"&gt;0")&gt;0,"No losses","—"),SUMIFS('Trade Log'!$Q$6:$Q$1005,'Trade Log'!$A$6:$A$1005,"&gt;="&amp;$B29,'Trade Log'!$A$6:$A$1005,"&lt;="&amp;($B29+6),'Trade Log'!$Q$6:$Q$1005,"&gt;0")/-SUMIFS('Trade Log'!$Q$6:$Q$1005,'Trade Log'!$A$6:$A$1005,"&gt;="&amp;$B29,'Trade Log'!$A$6:$A$1005,"&lt;="&amp;($B29+6),'Trade Log'!$Q$6:$Q$1005,"&lt;0")))</f>
        <v/>
      </c>
      <c r="H29" s="99" t="str">
        <f>IF(OR($B29="",N($C29)=0),"",IFERROR(COUNTIFS('Trade Log'!$A$6:$A$1005,"&gt;="&amp;$B29,'Trade Log'!$A$6:$A$1005,"&lt;="&amp;($B29+6),'Trade Log'!$Z$6:$Z$1005,"Yes")/(COUNTIFS('Trade Log'!$A$6:$A$1005,"&gt;="&amp;$B29,'Trade Log'!$A$6:$A$1005,"&lt;="&amp;($B29+6),'Trade Log'!$Z$6:$Z$1005,"Yes")+COUNTIFS('Trade Log'!$A$6:$A$1005,"&gt;="&amp;$B29,'Trade Log'!$A$6:$A$1005,"&lt;="&amp;($B29+6),'Trade Log'!$Z$6:$Z$1005,"No")),"—"))</f>
        <v/>
      </c>
      <c r="I29" s="111" t="str">
        <f>IF(OR($B29="",N($C29)=0),"",IF(MAX($Q29:$AB29)=0,"None — clean week",INDEX($Q$5:$AB$5,MATCH(MAX($Q29:$AB29),$Q29:$AB29,0))))</f>
        <v/>
      </c>
      <c r="J29" s="111" t="str">
        <f>IF(OR($B29="",N($C29)=0),"",IF(MIN($AC29:$AL29)&gt;=0,"None lost money",INDEX($AC$5:$AL$5,MATCH(MIN($AC29:$AL29),$AC29:$AL29,0))))</f>
        <v/>
      </c>
      <c r="K29" s="111" t="str">
        <f>IF(OR($B29="",N($C29)=0),"",IF(MAX($AM29:$AV29)&lt;=0,"None made money",INDEX($AM$5:$AV$5,MATCH(MAX($AM29:$AV29),$AM29:$AV29,0))))</f>
        <v/>
      </c>
      <c r="L29" s="106" t="n"/>
      <c r="M29" s="106" t="n"/>
      <c r="N29" s="112" t="n"/>
      <c r="O29" s="29" t="n"/>
      <c r="Q29" s="109">
        <f>IF(OR($B29="",Q$5=""),0,COUNTIFS('Trade Log'!$A$6:$A$1005,"&gt;="&amp;$B29,'Trade Log'!$A$6:$A$1005,"&lt;="&amp;($B29+6),'Trade Log'!$AB$6:$AB$1005,Q$5))</f>
        <v>0</v>
      </c>
      <c r="R29" s="109">
        <f>IF(OR($B29="",R$5=""),0,COUNTIFS('Trade Log'!$A$6:$A$1005,"&gt;="&amp;$B29,'Trade Log'!$A$6:$A$1005,"&lt;="&amp;($B29+6),'Trade Log'!$AB$6:$AB$1005,R$5))</f>
        <v>0</v>
      </c>
      <c r="S29" s="109">
        <f>IF(OR($B29="",S$5=""),0,COUNTIFS('Trade Log'!$A$6:$A$1005,"&gt;="&amp;$B29,'Trade Log'!$A$6:$A$1005,"&lt;="&amp;($B29+6),'Trade Log'!$AB$6:$AB$1005,S$5))</f>
        <v>0</v>
      </c>
      <c r="T29" s="109">
        <f>IF(OR($B29="",T$5=""),0,COUNTIFS('Trade Log'!$A$6:$A$1005,"&gt;="&amp;$B29,'Trade Log'!$A$6:$A$1005,"&lt;="&amp;($B29+6),'Trade Log'!$AB$6:$AB$1005,T$5))</f>
        <v>0</v>
      </c>
      <c r="U29" s="109">
        <f>IF(OR($B29="",U$5=""),0,COUNTIFS('Trade Log'!$A$6:$A$1005,"&gt;="&amp;$B29,'Trade Log'!$A$6:$A$1005,"&lt;="&amp;($B29+6),'Trade Log'!$AB$6:$AB$1005,U$5))</f>
        <v>0</v>
      </c>
      <c r="V29" s="109">
        <f>IF(OR($B29="",V$5=""),0,COUNTIFS('Trade Log'!$A$6:$A$1005,"&gt;="&amp;$B29,'Trade Log'!$A$6:$A$1005,"&lt;="&amp;($B29+6),'Trade Log'!$AB$6:$AB$1005,V$5))</f>
        <v>0</v>
      </c>
      <c r="W29" s="109">
        <f>IF(OR($B29="",W$5=""),0,COUNTIFS('Trade Log'!$A$6:$A$1005,"&gt;="&amp;$B29,'Trade Log'!$A$6:$A$1005,"&lt;="&amp;($B29+6),'Trade Log'!$AB$6:$AB$1005,W$5))</f>
        <v>0</v>
      </c>
      <c r="X29" s="109">
        <f>IF(OR($B29="",X$5=""),0,COUNTIFS('Trade Log'!$A$6:$A$1005,"&gt;="&amp;$B29,'Trade Log'!$A$6:$A$1005,"&lt;="&amp;($B29+6),'Trade Log'!$AB$6:$AB$1005,X$5))</f>
        <v>0</v>
      </c>
      <c r="Y29" s="109">
        <f>IF(OR($B29="",Y$5=""),0,COUNTIFS('Trade Log'!$A$6:$A$1005,"&gt;="&amp;$B29,'Trade Log'!$A$6:$A$1005,"&lt;="&amp;($B29+6),'Trade Log'!$AB$6:$AB$1005,Y$5))</f>
        <v>0</v>
      </c>
      <c r="Z29" s="109">
        <f>IF(OR($B29="",Z$5=""),0,COUNTIFS('Trade Log'!$A$6:$A$1005,"&gt;="&amp;$B29,'Trade Log'!$A$6:$A$1005,"&lt;="&amp;($B29+6),'Trade Log'!$AB$6:$AB$1005,Z$5))</f>
        <v>0</v>
      </c>
      <c r="AA29" s="109">
        <f>IF(OR($B29="",AA$5=""),0,COUNTIFS('Trade Log'!$A$6:$A$1005,"&gt;="&amp;$B29,'Trade Log'!$A$6:$A$1005,"&lt;="&amp;($B29+6),'Trade Log'!$AB$6:$AB$1005,AA$5))</f>
        <v>0</v>
      </c>
      <c r="AB29" s="109">
        <f>IF(OR($B29="",AB$5=""),0,COUNTIFS('Trade Log'!$A$6:$A$1005,"&gt;="&amp;$B29,'Trade Log'!$A$6:$A$1005,"&lt;="&amp;($B29+6),'Trade Log'!$AB$6:$AB$1005,AB$5))</f>
        <v>0</v>
      </c>
      <c r="AC29" s="113">
        <f>IF(OR($B29="",AC$5=""),0,SUMIFS('Trade Log'!$Q$6:$Q$1005,'Trade Log'!$A$6:$A$1005,"&gt;="&amp;$B29,'Trade Log'!$A$6:$A$1005,"&lt;="&amp;($B29+6),'Trade Log'!$AA$6:$AA$1005,AC$5))</f>
        <v>0</v>
      </c>
      <c r="AD29" s="113">
        <f>IF(OR($B29="",AD$5=""),0,SUMIFS('Trade Log'!$Q$6:$Q$1005,'Trade Log'!$A$6:$A$1005,"&gt;="&amp;$B29,'Trade Log'!$A$6:$A$1005,"&lt;="&amp;($B29+6),'Trade Log'!$AA$6:$AA$1005,AD$5))</f>
        <v>0</v>
      </c>
      <c r="AE29" s="113">
        <f>IF(OR($B29="",AE$5=""),0,SUMIFS('Trade Log'!$Q$6:$Q$1005,'Trade Log'!$A$6:$A$1005,"&gt;="&amp;$B29,'Trade Log'!$A$6:$A$1005,"&lt;="&amp;($B29+6),'Trade Log'!$AA$6:$AA$1005,AE$5))</f>
        <v>0</v>
      </c>
      <c r="AF29" s="113">
        <f>IF(OR($B29="",AF$5=""),0,SUMIFS('Trade Log'!$Q$6:$Q$1005,'Trade Log'!$A$6:$A$1005,"&gt;="&amp;$B29,'Trade Log'!$A$6:$A$1005,"&lt;="&amp;($B29+6),'Trade Log'!$AA$6:$AA$1005,AF$5))</f>
        <v>0</v>
      </c>
      <c r="AG29" s="113">
        <f>IF(OR($B29="",AG$5=""),0,SUMIFS('Trade Log'!$Q$6:$Q$1005,'Trade Log'!$A$6:$A$1005,"&gt;="&amp;$B29,'Trade Log'!$A$6:$A$1005,"&lt;="&amp;($B29+6),'Trade Log'!$AA$6:$AA$1005,AG$5))</f>
        <v>0</v>
      </c>
      <c r="AH29" s="113">
        <f>IF(OR($B29="",AH$5=""),0,SUMIFS('Trade Log'!$Q$6:$Q$1005,'Trade Log'!$A$6:$A$1005,"&gt;="&amp;$B29,'Trade Log'!$A$6:$A$1005,"&lt;="&amp;($B29+6),'Trade Log'!$AA$6:$AA$1005,AH$5))</f>
        <v>0</v>
      </c>
      <c r="AI29" s="113">
        <f>IF(OR($B29="",AI$5=""),0,SUMIFS('Trade Log'!$Q$6:$Q$1005,'Trade Log'!$A$6:$A$1005,"&gt;="&amp;$B29,'Trade Log'!$A$6:$A$1005,"&lt;="&amp;($B29+6),'Trade Log'!$AA$6:$AA$1005,AI$5))</f>
        <v>0</v>
      </c>
      <c r="AJ29" s="113">
        <f>IF(OR($B29="",AJ$5=""),0,SUMIFS('Trade Log'!$Q$6:$Q$1005,'Trade Log'!$A$6:$A$1005,"&gt;="&amp;$B29,'Trade Log'!$A$6:$A$1005,"&lt;="&amp;($B29+6),'Trade Log'!$AA$6:$AA$1005,AJ$5))</f>
        <v>0</v>
      </c>
      <c r="AK29" s="113">
        <f>IF(OR($B29="",AK$5=""),0,SUMIFS('Trade Log'!$Q$6:$Q$1005,'Trade Log'!$A$6:$A$1005,"&gt;="&amp;$B29,'Trade Log'!$A$6:$A$1005,"&lt;="&amp;($B29+6),'Trade Log'!$AA$6:$AA$1005,AK$5))</f>
        <v>0</v>
      </c>
      <c r="AL29" s="113">
        <f>IF(OR($B29="",AL$5=""),0,SUMIFS('Trade Log'!$Q$6:$Q$1005,'Trade Log'!$A$6:$A$1005,"&gt;="&amp;$B29,'Trade Log'!$A$6:$A$1005,"&lt;="&amp;($B29+6),'Trade Log'!$AA$6:$AA$1005,AL$5))</f>
        <v>0</v>
      </c>
      <c r="AM29" s="113">
        <f>IF(OR($B29="",AM$5=""),0,SUMIFS('Trade Log'!$Q$6:$Q$1005,'Trade Log'!$A$6:$A$1005,"&gt;="&amp;$B29,'Trade Log'!$A$6:$A$1005,"&lt;="&amp;($B29+6),'Trade Log'!$Y$6:$Y$1005,AM$5))</f>
        <v>0</v>
      </c>
      <c r="AN29" s="113">
        <f>IF(OR($B29="",AN$5=""),0,SUMIFS('Trade Log'!$Q$6:$Q$1005,'Trade Log'!$A$6:$A$1005,"&gt;="&amp;$B29,'Trade Log'!$A$6:$A$1005,"&lt;="&amp;($B29+6),'Trade Log'!$Y$6:$Y$1005,AN$5))</f>
        <v>0</v>
      </c>
      <c r="AO29" s="113">
        <f>IF(OR($B29="",AO$5=""),0,SUMIFS('Trade Log'!$Q$6:$Q$1005,'Trade Log'!$A$6:$A$1005,"&gt;="&amp;$B29,'Trade Log'!$A$6:$A$1005,"&lt;="&amp;($B29+6),'Trade Log'!$Y$6:$Y$1005,AO$5))</f>
        <v>0</v>
      </c>
      <c r="AP29" s="113">
        <f>IF(OR($B29="",AP$5=""),0,SUMIFS('Trade Log'!$Q$6:$Q$1005,'Trade Log'!$A$6:$A$1005,"&gt;="&amp;$B29,'Trade Log'!$A$6:$A$1005,"&lt;="&amp;($B29+6),'Trade Log'!$Y$6:$Y$1005,AP$5))</f>
        <v>0</v>
      </c>
      <c r="AQ29" s="113">
        <f>IF(OR($B29="",AQ$5=""),0,SUMIFS('Trade Log'!$Q$6:$Q$1005,'Trade Log'!$A$6:$A$1005,"&gt;="&amp;$B29,'Trade Log'!$A$6:$A$1005,"&lt;="&amp;($B29+6),'Trade Log'!$Y$6:$Y$1005,AQ$5))</f>
        <v>0</v>
      </c>
      <c r="AR29" s="113">
        <f>IF(OR($B29="",AR$5=""),0,SUMIFS('Trade Log'!$Q$6:$Q$1005,'Trade Log'!$A$6:$A$1005,"&gt;="&amp;$B29,'Trade Log'!$A$6:$A$1005,"&lt;="&amp;($B29+6),'Trade Log'!$Y$6:$Y$1005,AR$5))</f>
        <v>0</v>
      </c>
      <c r="AS29" s="113">
        <f>IF(OR($B29="",AS$5=""),0,SUMIFS('Trade Log'!$Q$6:$Q$1005,'Trade Log'!$A$6:$A$1005,"&gt;="&amp;$B29,'Trade Log'!$A$6:$A$1005,"&lt;="&amp;($B29+6),'Trade Log'!$Y$6:$Y$1005,AS$5))</f>
        <v>0</v>
      </c>
      <c r="AT29" s="113">
        <f>IF(OR($B29="",AT$5=""),0,SUMIFS('Trade Log'!$Q$6:$Q$1005,'Trade Log'!$A$6:$A$1005,"&gt;="&amp;$B29,'Trade Log'!$A$6:$A$1005,"&lt;="&amp;($B29+6),'Trade Log'!$Y$6:$Y$1005,AT$5))</f>
        <v>0</v>
      </c>
      <c r="AU29" s="113">
        <f>IF(OR($B29="",AU$5=""),0,SUMIFS('Trade Log'!$Q$6:$Q$1005,'Trade Log'!$A$6:$A$1005,"&gt;="&amp;$B29,'Trade Log'!$A$6:$A$1005,"&lt;="&amp;($B29+6),'Trade Log'!$Y$6:$Y$1005,AU$5))</f>
        <v>0</v>
      </c>
      <c r="AV29" s="113">
        <f>IF(OR($B29="",AV$5=""),0,SUMIFS('Trade Log'!$Q$6:$Q$1005,'Trade Log'!$A$6:$A$1005,"&gt;="&amp;$B29,'Trade Log'!$A$6:$A$1005,"&lt;="&amp;($B29+6),'Trade Log'!$Y$6:$Y$1005,AV$5))</f>
        <v>0</v>
      </c>
    </row>
    <row r="30">
      <c r="B30" s="107">
        <f>IF($B29="","",$B29+7)</f>
        <v>46454</v>
      </c>
      <c r="C30" s="96">
        <f>IF($B30="","",COUNTIFS('Trade Log'!$A$6:$A$1005,"&gt;="&amp;$B30,'Trade Log'!$A$6:$A$1005,"&lt;="&amp;($B30+6),'Trade Log'!$BH$6:$BH$1005,1))</f>
        <v>0</v>
      </c>
      <c r="D30" s="98" t="str">
        <f>IF(OR($B30="",N($C30)=0),"",SUMIFS('Trade Log'!$Q$6:$Q$1005,'Trade Log'!$A$6:$A$1005,"&gt;="&amp;$B30,'Trade Log'!$A$6:$A$1005,"&lt;="&amp;($B30+6)))</f>
        <v/>
      </c>
      <c r="E30" s="99" t="str">
        <f>IF(OR($B30="",N($C30)=0),"",IFERROR(COUNTIFS('Trade Log'!$A$6:$A$1005,"&gt;="&amp;$B30,'Trade Log'!$A$6:$A$1005,"&lt;="&amp;($B30+6),'Trade Log'!$S$6:$S$1005,"Win")/(COUNTIFS('Trade Log'!$A$6:$A$1005,"&gt;="&amp;$B30,'Trade Log'!$A$6:$A$1005,"&lt;="&amp;($B30+6),'Trade Log'!$S$6:$S$1005,"Win")+COUNTIFS('Trade Log'!$A$6:$A$1005,"&gt;="&amp;$B30,'Trade Log'!$A$6:$A$1005,"&lt;="&amp;($B30+6),'Trade Log'!$S$6:$S$1005,"Loss")),"—"))</f>
        <v/>
      </c>
      <c r="F30" s="104" t="str">
        <f>IF(OR($B30="",N($C30)=0),"",IFERROR(SUMIFS('Trade Log'!$R$6:$R$1005,'Trade Log'!$A$6:$A$1005,"&gt;="&amp;$B30,'Trade Log'!$A$6:$A$1005,"&lt;="&amp;($B30+6))/COUNTIFS('Trade Log'!$A$6:$A$1005,"&gt;="&amp;$B30,'Trade Log'!$A$6:$A$1005,"&lt;="&amp;($B30+6),'Trade Log'!$BC$6:$BC$1005,1),"—"))</f>
        <v/>
      </c>
      <c r="G30" s="110" t="str">
        <f>IF(OR($B30="",N($C30)=0),"",IF(SUMIFS('Trade Log'!$Q$6:$Q$1005,'Trade Log'!$A$6:$A$1005,"&gt;="&amp;$B30,'Trade Log'!$A$6:$A$1005,"&lt;="&amp;($B30+6),'Trade Log'!$Q$6:$Q$1005,"&lt;0")=0,IF(SUMIFS('Trade Log'!$Q$6:$Q$1005,'Trade Log'!$A$6:$A$1005,"&gt;="&amp;$B30,'Trade Log'!$A$6:$A$1005,"&lt;="&amp;($B30+6),'Trade Log'!$Q$6:$Q$1005,"&gt;0")&gt;0,"No losses","—"),SUMIFS('Trade Log'!$Q$6:$Q$1005,'Trade Log'!$A$6:$A$1005,"&gt;="&amp;$B30,'Trade Log'!$A$6:$A$1005,"&lt;="&amp;($B30+6),'Trade Log'!$Q$6:$Q$1005,"&gt;0")/-SUMIFS('Trade Log'!$Q$6:$Q$1005,'Trade Log'!$A$6:$A$1005,"&gt;="&amp;$B30,'Trade Log'!$A$6:$A$1005,"&lt;="&amp;($B30+6),'Trade Log'!$Q$6:$Q$1005,"&lt;0")))</f>
        <v/>
      </c>
      <c r="H30" s="99" t="str">
        <f>IF(OR($B30="",N($C30)=0),"",IFERROR(COUNTIFS('Trade Log'!$A$6:$A$1005,"&gt;="&amp;$B30,'Trade Log'!$A$6:$A$1005,"&lt;="&amp;($B30+6),'Trade Log'!$Z$6:$Z$1005,"Yes")/(COUNTIFS('Trade Log'!$A$6:$A$1005,"&gt;="&amp;$B30,'Trade Log'!$A$6:$A$1005,"&lt;="&amp;($B30+6),'Trade Log'!$Z$6:$Z$1005,"Yes")+COUNTIFS('Trade Log'!$A$6:$A$1005,"&gt;="&amp;$B30,'Trade Log'!$A$6:$A$1005,"&lt;="&amp;($B30+6),'Trade Log'!$Z$6:$Z$1005,"No")),"—"))</f>
        <v/>
      </c>
      <c r="I30" s="111" t="str">
        <f>IF(OR($B30="",N($C30)=0),"",IF(MAX($Q30:$AB30)=0,"None — clean week",INDEX($Q$5:$AB$5,MATCH(MAX($Q30:$AB30),$Q30:$AB30,0))))</f>
        <v/>
      </c>
      <c r="J30" s="111" t="str">
        <f>IF(OR($B30="",N($C30)=0),"",IF(MIN($AC30:$AL30)&gt;=0,"None lost money",INDEX($AC$5:$AL$5,MATCH(MIN($AC30:$AL30),$AC30:$AL30,0))))</f>
        <v/>
      </c>
      <c r="K30" s="111" t="str">
        <f>IF(OR($B30="",N($C30)=0),"",IF(MAX($AM30:$AV30)&lt;=0,"None made money",INDEX($AM$5:$AV$5,MATCH(MAX($AM30:$AV30),$AM30:$AV30,0))))</f>
        <v/>
      </c>
      <c r="L30" s="106" t="n"/>
      <c r="M30" s="106" t="n"/>
      <c r="N30" s="112" t="n"/>
      <c r="O30" s="29" t="n"/>
      <c r="Q30" s="109">
        <f>IF(OR($B30="",Q$5=""),0,COUNTIFS('Trade Log'!$A$6:$A$1005,"&gt;="&amp;$B30,'Trade Log'!$A$6:$A$1005,"&lt;="&amp;($B30+6),'Trade Log'!$AB$6:$AB$1005,Q$5))</f>
        <v>0</v>
      </c>
      <c r="R30" s="109">
        <f>IF(OR($B30="",R$5=""),0,COUNTIFS('Trade Log'!$A$6:$A$1005,"&gt;="&amp;$B30,'Trade Log'!$A$6:$A$1005,"&lt;="&amp;($B30+6),'Trade Log'!$AB$6:$AB$1005,R$5))</f>
        <v>0</v>
      </c>
      <c r="S30" s="109">
        <f>IF(OR($B30="",S$5=""),0,COUNTIFS('Trade Log'!$A$6:$A$1005,"&gt;="&amp;$B30,'Trade Log'!$A$6:$A$1005,"&lt;="&amp;($B30+6),'Trade Log'!$AB$6:$AB$1005,S$5))</f>
        <v>0</v>
      </c>
      <c r="T30" s="109">
        <f>IF(OR($B30="",T$5=""),0,COUNTIFS('Trade Log'!$A$6:$A$1005,"&gt;="&amp;$B30,'Trade Log'!$A$6:$A$1005,"&lt;="&amp;($B30+6),'Trade Log'!$AB$6:$AB$1005,T$5))</f>
        <v>0</v>
      </c>
      <c r="U30" s="109">
        <f>IF(OR($B30="",U$5=""),0,COUNTIFS('Trade Log'!$A$6:$A$1005,"&gt;="&amp;$B30,'Trade Log'!$A$6:$A$1005,"&lt;="&amp;($B30+6),'Trade Log'!$AB$6:$AB$1005,U$5))</f>
        <v>0</v>
      </c>
      <c r="V30" s="109">
        <f>IF(OR($B30="",V$5=""),0,COUNTIFS('Trade Log'!$A$6:$A$1005,"&gt;="&amp;$B30,'Trade Log'!$A$6:$A$1005,"&lt;="&amp;($B30+6),'Trade Log'!$AB$6:$AB$1005,V$5))</f>
        <v>0</v>
      </c>
      <c r="W30" s="109">
        <f>IF(OR($B30="",W$5=""),0,COUNTIFS('Trade Log'!$A$6:$A$1005,"&gt;="&amp;$B30,'Trade Log'!$A$6:$A$1005,"&lt;="&amp;($B30+6),'Trade Log'!$AB$6:$AB$1005,W$5))</f>
        <v>0</v>
      </c>
      <c r="X30" s="109">
        <f>IF(OR($B30="",X$5=""),0,COUNTIFS('Trade Log'!$A$6:$A$1005,"&gt;="&amp;$B30,'Trade Log'!$A$6:$A$1005,"&lt;="&amp;($B30+6),'Trade Log'!$AB$6:$AB$1005,X$5))</f>
        <v>0</v>
      </c>
      <c r="Y30" s="109">
        <f>IF(OR($B30="",Y$5=""),0,COUNTIFS('Trade Log'!$A$6:$A$1005,"&gt;="&amp;$B30,'Trade Log'!$A$6:$A$1005,"&lt;="&amp;($B30+6),'Trade Log'!$AB$6:$AB$1005,Y$5))</f>
        <v>0</v>
      </c>
      <c r="Z30" s="109">
        <f>IF(OR($B30="",Z$5=""),0,COUNTIFS('Trade Log'!$A$6:$A$1005,"&gt;="&amp;$B30,'Trade Log'!$A$6:$A$1005,"&lt;="&amp;($B30+6),'Trade Log'!$AB$6:$AB$1005,Z$5))</f>
        <v>0</v>
      </c>
      <c r="AA30" s="109">
        <f>IF(OR($B30="",AA$5=""),0,COUNTIFS('Trade Log'!$A$6:$A$1005,"&gt;="&amp;$B30,'Trade Log'!$A$6:$A$1005,"&lt;="&amp;($B30+6),'Trade Log'!$AB$6:$AB$1005,AA$5))</f>
        <v>0</v>
      </c>
      <c r="AB30" s="109">
        <f>IF(OR($B30="",AB$5=""),0,COUNTIFS('Trade Log'!$A$6:$A$1005,"&gt;="&amp;$B30,'Trade Log'!$A$6:$A$1005,"&lt;="&amp;($B30+6),'Trade Log'!$AB$6:$AB$1005,AB$5))</f>
        <v>0</v>
      </c>
      <c r="AC30" s="113">
        <f>IF(OR($B30="",AC$5=""),0,SUMIFS('Trade Log'!$Q$6:$Q$1005,'Trade Log'!$A$6:$A$1005,"&gt;="&amp;$B30,'Trade Log'!$A$6:$A$1005,"&lt;="&amp;($B30+6),'Trade Log'!$AA$6:$AA$1005,AC$5))</f>
        <v>0</v>
      </c>
      <c r="AD30" s="113">
        <f>IF(OR($B30="",AD$5=""),0,SUMIFS('Trade Log'!$Q$6:$Q$1005,'Trade Log'!$A$6:$A$1005,"&gt;="&amp;$B30,'Trade Log'!$A$6:$A$1005,"&lt;="&amp;($B30+6),'Trade Log'!$AA$6:$AA$1005,AD$5))</f>
        <v>0</v>
      </c>
      <c r="AE30" s="113">
        <f>IF(OR($B30="",AE$5=""),0,SUMIFS('Trade Log'!$Q$6:$Q$1005,'Trade Log'!$A$6:$A$1005,"&gt;="&amp;$B30,'Trade Log'!$A$6:$A$1005,"&lt;="&amp;($B30+6),'Trade Log'!$AA$6:$AA$1005,AE$5))</f>
        <v>0</v>
      </c>
      <c r="AF30" s="113">
        <f>IF(OR($B30="",AF$5=""),0,SUMIFS('Trade Log'!$Q$6:$Q$1005,'Trade Log'!$A$6:$A$1005,"&gt;="&amp;$B30,'Trade Log'!$A$6:$A$1005,"&lt;="&amp;($B30+6),'Trade Log'!$AA$6:$AA$1005,AF$5))</f>
        <v>0</v>
      </c>
      <c r="AG30" s="113">
        <f>IF(OR($B30="",AG$5=""),0,SUMIFS('Trade Log'!$Q$6:$Q$1005,'Trade Log'!$A$6:$A$1005,"&gt;="&amp;$B30,'Trade Log'!$A$6:$A$1005,"&lt;="&amp;($B30+6),'Trade Log'!$AA$6:$AA$1005,AG$5))</f>
        <v>0</v>
      </c>
      <c r="AH30" s="113">
        <f>IF(OR($B30="",AH$5=""),0,SUMIFS('Trade Log'!$Q$6:$Q$1005,'Trade Log'!$A$6:$A$1005,"&gt;="&amp;$B30,'Trade Log'!$A$6:$A$1005,"&lt;="&amp;($B30+6),'Trade Log'!$AA$6:$AA$1005,AH$5))</f>
        <v>0</v>
      </c>
      <c r="AI30" s="113">
        <f>IF(OR($B30="",AI$5=""),0,SUMIFS('Trade Log'!$Q$6:$Q$1005,'Trade Log'!$A$6:$A$1005,"&gt;="&amp;$B30,'Trade Log'!$A$6:$A$1005,"&lt;="&amp;($B30+6),'Trade Log'!$AA$6:$AA$1005,AI$5))</f>
        <v>0</v>
      </c>
      <c r="AJ30" s="113">
        <f>IF(OR($B30="",AJ$5=""),0,SUMIFS('Trade Log'!$Q$6:$Q$1005,'Trade Log'!$A$6:$A$1005,"&gt;="&amp;$B30,'Trade Log'!$A$6:$A$1005,"&lt;="&amp;($B30+6),'Trade Log'!$AA$6:$AA$1005,AJ$5))</f>
        <v>0</v>
      </c>
      <c r="AK30" s="113">
        <f>IF(OR($B30="",AK$5=""),0,SUMIFS('Trade Log'!$Q$6:$Q$1005,'Trade Log'!$A$6:$A$1005,"&gt;="&amp;$B30,'Trade Log'!$A$6:$A$1005,"&lt;="&amp;($B30+6),'Trade Log'!$AA$6:$AA$1005,AK$5))</f>
        <v>0</v>
      </c>
      <c r="AL30" s="113">
        <f>IF(OR($B30="",AL$5=""),0,SUMIFS('Trade Log'!$Q$6:$Q$1005,'Trade Log'!$A$6:$A$1005,"&gt;="&amp;$B30,'Trade Log'!$A$6:$A$1005,"&lt;="&amp;($B30+6),'Trade Log'!$AA$6:$AA$1005,AL$5))</f>
        <v>0</v>
      </c>
      <c r="AM30" s="113">
        <f>IF(OR($B30="",AM$5=""),0,SUMIFS('Trade Log'!$Q$6:$Q$1005,'Trade Log'!$A$6:$A$1005,"&gt;="&amp;$B30,'Trade Log'!$A$6:$A$1005,"&lt;="&amp;($B30+6),'Trade Log'!$Y$6:$Y$1005,AM$5))</f>
        <v>0</v>
      </c>
      <c r="AN30" s="113">
        <f>IF(OR($B30="",AN$5=""),0,SUMIFS('Trade Log'!$Q$6:$Q$1005,'Trade Log'!$A$6:$A$1005,"&gt;="&amp;$B30,'Trade Log'!$A$6:$A$1005,"&lt;="&amp;($B30+6),'Trade Log'!$Y$6:$Y$1005,AN$5))</f>
        <v>0</v>
      </c>
      <c r="AO30" s="113">
        <f>IF(OR($B30="",AO$5=""),0,SUMIFS('Trade Log'!$Q$6:$Q$1005,'Trade Log'!$A$6:$A$1005,"&gt;="&amp;$B30,'Trade Log'!$A$6:$A$1005,"&lt;="&amp;($B30+6),'Trade Log'!$Y$6:$Y$1005,AO$5))</f>
        <v>0</v>
      </c>
      <c r="AP30" s="113">
        <f>IF(OR($B30="",AP$5=""),0,SUMIFS('Trade Log'!$Q$6:$Q$1005,'Trade Log'!$A$6:$A$1005,"&gt;="&amp;$B30,'Trade Log'!$A$6:$A$1005,"&lt;="&amp;($B30+6),'Trade Log'!$Y$6:$Y$1005,AP$5))</f>
        <v>0</v>
      </c>
      <c r="AQ30" s="113">
        <f>IF(OR($B30="",AQ$5=""),0,SUMIFS('Trade Log'!$Q$6:$Q$1005,'Trade Log'!$A$6:$A$1005,"&gt;="&amp;$B30,'Trade Log'!$A$6:$A$1005,"&lt;="&amp;($B30+6),'Trade Log'!$Y$6:$Y$1005,AQ$5))</f>
        <v>0</v>
      </c>
      <c r="AR30" s="113">
        <f>IF(OR($B30="",AR$5=""),0,SUMIFS('Trade Log'!$Q$6:$Q$1005,'Trade Log'!$A$6:$A$1005,"&gt;="&amp;$B30,'Trade Log'!$A$6:$A$1005,"&lt;="&amp;($B30+6),'Trade Log'!$Y$6:$Y$1005,AR$5))</f>
        <v>0</v>
      </c>
      <c r="AS30" s="113">
        <f>IF(OR($B30="",AS$5=""),0,SUMIFS('Trade Log'!$Q$6:$Q$1005,'Trade Log'!$A$6:$A$1005,"&gt;="&amp;$B30,'Trade Log'!$A$6:$A$1005,"&lt;="&amp;($B30+6),'Trade Log'!$Y$6:$Y$1005,AS$5))</f>
        <v>0</v>
      </c>
      <c r="AT30" s="113">
        <f>IF(OR($B30="",AT$5=""),0,SUMIFS('Trade Log'!$Q$6:$Q$1005,'Trade Log'!$A$6:$A$1005,"&gt;="&amp;$B30,'Trade Log'!$A$6:$A$1005,"&lt;="&amp;($B30+6),'Trade Log'!$Y$6:$Y$1005,AT$5))</f>
        <v>0</v>
      </c>
      <c r="AU30" s="113">
        <f>IF(OR($B30="",AU$5=""),0,SUMIFS('Trade Log'!$Q$6:$Q$1005,'Trade Log'!$A$6:$A$1005,"&gt;="&amp;$B30,'Trade Log'!$A$6:$A$1005,"&lt;="&amp;($B30+6),'Trade Log'!$Y$6:$Y$1005,AU$5))</f>
        <v>0</v>
      </c>
      <c r="AV30" s="113">
        <f>IF(OR($B30="",AV$5=""),0,SUMIFS('Trade Log'!$Q$6:$Q$1005,'Trade Log'!$A$6:$A$1005,"&gt;="&amp;$B30,'Trade Log'!$A$6:$A$1005,"&lt;="&amp;($B30+6),'Trade Log'!$Y$6:$Y$1005,AV$5))</f>
        <v>0</v>
      </c>
    </row>
    <row r="31">
      <c r="B31" s="107">
        <f>IF($B30="","",$B30+7)</f>
        <v>46461</v>
      </c>
      <c r="C31" s="96">
        <f>IF($B31="","",COUNTIFS('Trade Log'!$A$6:$A$1005,"&gt;="&amp;$B31,'Trade Log'!$A$6:$A$1005,"&lt;="&amp;($B31+6),'Trade Log'!$BH$6:$BH$1005,1))</f>
        <v>0</v>
      </c>
      <c r="D31" s="98" t="str">
        <f>IF(OR($B31="",N($C31)=0),"",SUMIFS('Trade Log'!$Q$6:$Q$1005,'Trade Log'!$A$6:$A$1005,"&gt;="&amp;$B31,'Trade Log'!$A$6:$A$1005,"&lt;="&amp;($B31+6)))</f>
        <v/>
      </c>
      <c r="E31" s="99" t="str">
        <f>IF(OR($B31="",N($C31)=0),"",IFERROR(COUNTIFS('Trade Log'!$A$6:$A$1005,"&gt;="&amp;$B31,'Trade Log'!$A$6:$A$1005,"&lt;="&amp;($B31+6),'Trade Log'!$S$6:$S$1005,"Win")/(COUNTIFS('Trade Log'!$A$6:$A$1005,"&gt;="&amp;$B31,'Trade Log'!$A$6:$A$1005,"&lt;="&amp;($B31+6),'Trade Log'!$S$6:$S$1005,"Win")+COUNTIFS('Trade Log'!$A$6:$A$1005,"&gt;="&amp;$B31,'Trade Log'!$A$6:$A$1005,"&lt;="&amp;($B31+6),'Trade Log'!$S$6:$S$1005,"Loss")),"—"))</f>
        <v/>
      </c>
      <c r="F31" s="104" t="str">
        <f>IF(OR($B31="",N($C31)=0),"",IFERROR(SUMIFS('Trade Log'!$R$6:$R$1005,'Trade Log'!$A$6:$A$1005,"&gt;="&amp;$B31,'Trade Log'!$A$6:$A$1005,"&lt;="&amp;($B31+6))/COUNTIFS('Trade Log'!$A$6:$A$1005,"&gt;="&amp;$B31,'Trade Log'!$A$6:$A$1005,"&lt;="&amp;($B31+6),'Trade Log'!$BC$6:$BC$1005,1),"—"))</f>
        <v/>
      </c>
      <c r="G31" s="110" t="str">
        <f>IF(OR($B31="",N($C31)=0),"",IF(SUMIFS('Trade Log'!$Q$6:$Q$1005,'Trade Log'!$A$6:$A$1005,"&gt;="&amp;$B31,'Trade Log'!$A$6:$A$1005,"&lt;="&amp;($B31+6),'Trade Log'!$Q$6:$Q$1005,"&lt;0")=0,IF(SUMIFS('Trade Log'!$Q$6:$Q$1005,'Trade Log'!$A$6:$A$1005,"&gt;="&amp;$B31,'Trade Log'!$A$6:$A$1005,"&lt;="&amp;($B31+6),'Trade Log'!$Q$6:$Q$1005,"&gt;0")&gt;0,"No losses","—"),SUMIFS('Trade Log'!$Q$6:$Q$1005,'Trade Log'!$A$6:$A$1005,"&gt;="&amp;$B31,'Trade Log'!$A$6:$A$1005,"&lt;="&amp;($B31+6),'Trade Log'!$Q$6:$Q$1005,"&gt;0")/-SUMIFS('Trade Log'!$Q$6:$Q$1005,'Trade Log'!$A$6:$A$1005,"&gt;="&amp;$B31,'Trade Log'!$A$6:$A$1005,"&lt;="&amp;($B31+6),'Trade Log'!$Q$6:$Q$1005,"&lt;0")))</f>
        <v/>
      </c>
      <c r="H31" s="99" t="str">
        <f>IF(OR($B31="",N($C31)=0),"",IFERROR(COUNTIFS('Trade Log'!$A$6:$A$1005,"&gt;="&amp;$B31,'Trade Log'!$A$6:$A$1005,"&lt;="&amp;($B31+6),'Trade Log'!$Z$6:$Z$1005,"Yes")/(COUNTIFS('Trade Log'!$A$6:$A$1005,"&gt;="&amp;$B31,'Trade Log'!$A$6:$A$1005,"&lt;="&amp;($B31+6),'Trade Log'!$Z$6:$Z$1005,"Yes")+COUNTIFS('Trade Log'!$A$6:$A$1005,"&gt;="&amp;$B31,'Trade Log'!$A$6:$A$1005,"&lt;="&amp;($B31+6),'Trade Log'!$Z$6:$Z$1005,"No")),"—"))</f>
        <v/>
      </c>
      <c r="I31" s="111" t="str">
        <f>IF(OR($B31="",N($C31)=0),"",IF(MAX($Q31:$AB31)=0,"None — clean week",INDEX($Q$5:$AB$5,MATCH(MAX($Q31:$AB31),$Q31:$AB31,0))))</f>
        <v/>
      </c>
      <c r="J31" s="111" t="str">
        <f>IF(OR($B31="",N($C31)=0),"",IF(MIN($AC31:$AL31)&gt;=0,"None lost money",INDEX($AC$5:$AL$5,MATCH(MIN($AC31:$AL31),$AC31:$AL31,0))))</f>
        <v/>
      </c>
      <c r="K31" s="111" t="str">
        <f>IF(OR($B31="",N($C31)=0),"",IF(MAX($AM31:$AV31)&lt;=0,"None made money",INDEX($AM$5:$AV$5,MATCH(MAX($AM31:$AV31),$AM31:$AV31,0))))</f>
        <v/>
      </c>
      <c r="L31" s="106" t="n"/>
      <c r="M31" s="106" t="n"/>
      <c r="N31" s="112" t="n"/>
      <c r="O31" s="29" t="n"/>
      <c r="Q31" s="109">
        <f>IF(OR($B31="",Q$5=""),0,COUNTIFS('Trade Log'!$A$6:$A$1005,"&gt;="&amp;$B31,'Trade Log'!$A$6:$A$1005,"&lt;="&amp;($B31+6),'Trade Log'!$AB$6:$AB$1005,Q$5))</f>
        <v>0</v>
      </c>
      <c r="R31" s="109">
        <f>IF(OR($B31="",R$5=""),0,COUNTIFS('Trade Log'!$A$6:$A$1005,"&gt;="&amp;$B31,'Trade Log'!$A$6:$A$1005,"&lt;="&amp;($B31+6),'Trade Log'!$AB$6:$AB$1005,R$5))</f>
        <v>0</v>
      </c>
      <c r="S31" s="109">
        <f>IF(OR($B31="",S$5=""),0,COUNTIFS('Trade Log'!$A$6:$A$1005,"&gt;="&amp;$B31,'Trade Log'!$A$6:$A$1005,"&lt;="&amp;($B31+6),'Trade Log'!$AB$6:$AB$1005,S$5))</f>
        <v>0</v>
      </c>
      <c r="T31" s="109">
        <f>IF(OR($B31="",T$5=""),0,COUNTIFS('Trade Log'!$A$6:$A$1005,"&gt;="&amp;$B31,'Trade Log'!$A$6:$A$1005,"&lt;="&amp;($B31+6),'Trade Log'!$AB$6:$AB$1005,T$5))</f>
        <v>0</v>
      </c>
      <c r="U31" s="109">
        <f>IF(OR($B31="",U$5=""),0,COUNTIFS('Trade Log'!$A$6:$A$1005,"&gt;="&amp;$B31,'Trade Log'!$A$6:$A$1005,"&lt;="&amp;($B31+6),'Trade Log'!$AB$6:$AB$1005,U$5))</f>
        <v>0</v>
      </c>
      <c r="V31" s="109">
        <f>IF(OR($B31="",V$5=""),0,COUNTIFS('Trade Log'!$A$6:$A$1005,"&gt;="&amp;$B31,'Trade Log'!$A$6:$A$1005,"&lt;="&amp;($B31+6),'Trade Log'!$AB$6:$AB$1005,V$5))</f>
        <v>0</v>
      </c>
      <c r="W31" s="109">
        <f>IF(OR($B31="",W$5=""),0,COUNTIFS('Trade Log'!$A$6:$A$1005,"&gt;="&amp;$B31,'Trade Log'!$A$6:$A$1005,"&lt;="&amp;($B31+6),'Trade Log'!$AB$6:$AB$1005,W$5))</f>
        <v>0</v>
      </c>
      <c r="X31" s="109">
        <f>IF(OR($B31="",X$5=""),0,COUNTIFS('Trade Log'!$A$6:$A$1005,"&gt;="&amp;$B31,'Trade Log'!$A$6:$A$1005,"&lt;="&amp;($B31+6),'Trade Log'!$AB$6:$AB$1005,X$5))</f>
        <v>0</v>
      </c>
      <c r="Y31" s="109">
        <f>IF(OR($B31="",Y$5=""),0,COUNTIFS('Trade Log'!$A$6:$A$1005,"&gt;="&amp;$B31,'Trade Log'!$A$6:$A$1005,"&lt;="&amp;($B31+6),'Trade Log'!$AB$6:$AB$1005,Y$5))</f>
        <v>0</v>
      </c>
      <c r="Z31" s="109">
        <f>IF(OR($B31="",Z$5=""),0,COUNTIFS('Trade Log'!$A$6:$A$1005,"&gt;="&amp;$B31,'Trade Log'!$A$6:$A$1005,"&lt;="&amp;($B31+6),'Trade Log'!$AB$6:$AB$1005,Z$5))</f>
        <v>0</v>
      </c>
      <c r="AA31" s="109">
        <f>IF(OR($B31="",AA$5=""),0,COUNTIFS('Trade Log'!$A$6:$A$1005,"&gt;="&amp;$B31,'Trade Log'!$A$6:$A$1005,"&lt;="&amp;($B31+6),'Trade Log'!$AB$6:$AB$1005,AA$5))</f>
        <v>0</v>
      </c>
      <c r="AB31" s="109">
        <f>IF(OR($B31="",AB$5=""),0,COUNTIFS('Trade Log'!$A$6:$A$1005,"&gt;="&amp;$B31,'Trade Log'!$A$6:$A$1005,"&lt;="&amp;($B31+6),'Trade Log'!$AB$6:$AB$1005,AB$5))</f>
        <v>0</v>
      </c>
      <c r="AC31" s="113">
        <f>IF(OR($B31="",AC$5=""),0,SUMIFS('Trade Log'!$Q$6:$Q$1005,'Trade Log'!$A$6:$A$1005,"&gt;="&amp;$B31,'Trade Log'!$A$6:$A$1005,"&lt;="&amp;($B31+6),'Trade Log'!$AA$6:$AA$1005,AC$5))</f>
        <v>0</v>
      </c>
      <c r="AD31" s="113">
        <f>IF(OR($B31="",AD$5=""),0,SUMIFS('Trade Log'!$Q$6:$Q$1005,'Trade Log'!$A$6:$A$1005,"&gt;="&amp;$B31,'Trade Log'!$A$6:$A$1005,"&lt;="&amp;($B31+6),'Trade Log'!$AA$6:$AA$1005,AD$5))</f>
        <v>0</v>
      </c>
      <c r="AE31" s="113">
        <f>IF(OR($B31="",AE$5=""),0,SUMIFS('Trade Log'!$Q$6:$Q$1005,'Trade Log'!$A$6:$A$1005,"&gt;="&amp;$B31,'Trade Log'!$A$6:$A$1005,"&lt;="&amp;($B31+6),'Trade Log'!$AA$6:$AA$1005,AE$5))</f>
        <v>0</v>
      </c>
      <c r="AF31" s="113">
        <f>IF(OR($B31="",AF$5=""),0,SUMIFS('Trade Log'!$Q$6:$Q$1005,'Trade Log'!$A$6:$A$1005,"&gt;="&amp;$B31,'Trade Log'!$A$6:$A$1005,"&lt;="&amp;($B31+6),'Trade Log'!$AA$6:$AA$1005,AF$5))</f>
        <v>0</v>
      </c>
      <c r="AG31" s="113">
        <f>IF(OR($B31="",AG$5=""),0,SUMIFS('Trade Log'!$Q$6:$Q$1005,'Trade Log'!$A$6:$A$1005,"&gt;="&amp;$B31,'Trade Log'!$A$6:$A$1005,"&lt;="&amp;($B31+6),'Trade Log'!$AA$6:$AA$1005,AG$5))</f>
        <v>0</v>
      </c>
      <c r="AH31" s="113">
        <f>IF(OR($B31="",AH$5=""),0,SUMIFS('Trade Log'!$Q$6:$Q$1005,'Trade Log'!$A$6:$A$1005,"&gt;="&amp;$B31,'Trade Log'!$A$6:$A$1005,"&lt;="&amp;($B31+6),'Trade Log'!$AA$6:$AA$1005,AH$5))</f>
        <v>0</v>
      </c>
      <c r="AI31" s="113">
        <f>IF(OR($B31="",AI$5=""),0,SUMIFS('Trade Log'!$Q$6:$Q$1005,'Trade Log'!$A$6:$A$1005,"&gt;="&amp;$B31,'Trade Log'!$A$6:$A$1005,"&lt;="&amp;($B31+6),'Trade Log'!$AA$6:$AA$1005,AI$5))</f>
        <v>0</v>
      </c>
      <c r="AJ31" s="113">
        <f>IF(OR($B31="",AJ$5=""),0,SUMIFS('Trade Log'!$Q$6:$Q$1005,'Trade Log'!$A$6:$A$1005,"&gt;="&amp;$B31,'Trade Log'!$A$6:$A$1005,"&lt;="&amp;($B31+6),'Trade Log'!$AA$6:$AA$1005,AJ$5))</f>
        <v>0</v>
      </c>
      <c r="AK31" s="113">
        <f>IF(OR($B31="",AK$5=""),0,SUMIFS('Trade Log'!$Q$6:$Q$1005,'Trade Log'!$A$6:$A$1005,"&gt;="&amp;$B31,'Trade Log'!$A$6:$A$1005,"&lt;="&amp;($B31+6),'Trade Log'!$AA$6:$AA$1005,AK$5))</f>
        <v>0</v>
      </c>
      <c r="AL31" s="113">
        <f>IF(OR($B31="",AL$5=""),0,SUMIFS('Trade Log'!$Q$6:$Q$1005,'Trade Log'!$A$6:$A$1005,"&gt;="&amp;$B31,'Trade Log'!$A$6:$A$1005,"&lt;="&amp;($B31+6),'Trade Log'!$AA$6:$AA$1005,AL$5))</f>
        <v>0</v>
      </c>
      <c r="AM31" s="113">
        <f>IF(OR($B31="",AM$5=""),0,SUMIFS('Trade Log'!$Q$6:$Q$1005,'Trade Log'!$A$6:$A$1005,"&gt;="&amp;$B31,'Trade Log'!$A$6:$A$1005,"&lt;="&amp;($B31+6),'Trade Log'!$Y$6:$Y$1005,AM$5))</f>
        <v>0</v>
      </c>
      <c r="AN31" s="113">
        <f>IF(OR($B31="",AN$5=""),0,SUMIFS('Trade Log'!$Q$6:$Q$1005,'Trade Log'!$A$6:$A$1005,"&gt;="&amp;$B31,'Trade Log'!$A$6:$A$1005,"&lt;="&amp;($B31+6),'Trade Log'!$Y$6:$Y$1005,AN$5))</f>
        <v>0</v>
      </c>
      <c r="AO31" s="113">
        <f>IF(OR($B31="",AO$5=""),0,SUMIFS('Trade Log'!$Q$6:$Q$1005,'Trade Log'!$A$6:$A$1005,"&gt;="&amp;$B31,'Trade Log'!$A$6:$A$1005,"&lt;="&amp;($B31+6),'Trade Log'!$Y$6:$Y$1005,AO$5))</f>
        <v>0</v>
      </c>
      <c r="AP31" s="113">
        <f>IF(OR($B31="",AP$5=""),0,SUMIFS('Trade Log'!$Q$6:$Q$1005,'Trade Log'!$A$6:$A$1005,"&gt;="&amp;$B31,'Trade Log'!$A$6:$A$1005,"&lt;="&amp;($B31+6),'Trade Log'!$Y$6:$Y$1005,AP$5))</f>
        <v>0</v>
      </c>
      <c r="AQ31" s="113">
        <f>IF(OR($B31="",AQ$5=""),0,SUMIFS('Trade Log'!$Q$6:$Q$1005,'Trade Log'!$A$6:$A$1005,"&gt;="&amp;$B31,'Trade Log'!$A$6:$A$1005,"&lt;="&amp;($B31+6),'Trade Log'!$Y$6:$Y$1005,AQ$5))</f>
        <v>0</v>
      </c>
      <c r="AR31" s="113">
        <f>IF(OR($B31="",AR$5=""),0,SUMIFS('Trade Log'!$Q$6:$Q$1005,'Trade Log'!$A$6:$A$1005,"&gt;="&amp;$B31,'Trade Log'!$A$6:$A$1005,"&lt;="&amp;($B31+6),'Trade Log'!$Y$6:$Y$1005,AR$5))</f>
        <v>0</v>
      </c>
      <c r="AS31" s="113">
        <f>IF(OR($B31="",AS$5=""),0,SUMIFS('Trade Log'!$Q$6:$Q$1005,'Trade Log'!$A$6:$A$1005,"&gt;="&amp;$B31,'Trade Log'!$A$6:$A$1005,"&lt;="&amp;($B31+6),'Trade Log'!$Y$6:$Y$1005,AS$5))</f>
        <v>0</v>
      </c>
      <c r="AT31" s="113">
        <f>IF(OR($B31="",AT$5=""),0,SUMIFS('Trade Log'!$Q$6:$Q$1005,'Trade Log'!$A$6:$A$1005,"&gt;="&amp;$B31,'Trade Log'!$A$6:$A$1005,"&lt;="&amp;($B31+6),'Trade Log'!$Y$6:$Y$1005,AT$5))</f>
        <v>0</v>
      </c>
      <c r="AU31" s="113">
        <f>IF(OR($B31="",AU$5=""),0,SUMIFS('Trade Log'!$Q$6:$Q$1005,'Trade Log'!$A$6:$A$1005,"&gt;="&amp;$B31,'Trade Log'!$A$6:$A$1005,"&lt;="&amp;($B31+6),'Trade Log'!$Y$6:$Y$1005,AU$5))</f>
        <v>0</v>
      </c>
      <c r="AV31" s="113">
        <f>IF(OR($B31="",AV$5=""),0,SUMIFS('Trade Log'!$Q$6:$Q$1005,'Trade Log'!$A$6:$A$1005,"&gt;="&amp;$B31,'Trade Log'!$A$6:$A$1005,"&lt;="&amp;($B31+6),'Trade Log'!$Y$6:$Y$1005,AV$5))</f>
        <v>0</v>
      </c>
    </row>
    <row r="32">
      <c r="B32" s="107">
        <f>IF($B31="","",$B31+7)</f>
        <v>46468</v>
      </c>
      <c r="C32" s="96">
        <f>IF($B32="","",COUNTIFS('Trade Log'!$A$6:$A$1005,"&gt;="&amp;$B32,'Trade Log'!$A$6:$A$1005,"&lt;="&amp;($B32+6),'Trade Log'!$BH$6:$BH$1005,1))</f>
        <v>0</v>
      </c>
      <c r="D32" s="98" t="str">
        <f>IF(OR($B32="",N($C32)=0),"",SUMIFS('Trade Log'!$Q$6:$Q$1005,'Trade Log'!$A$6:$A$1005,"&gt;="&amp;$B32,'Trade Log'!$A$6:$A$1005,"&lt;="&amp;($B32+6)))</f>
        <v/>
      </c>
      <c r="E32" s="99" t="str">
        <f>IF(OR($B32="",N($C32)=0),"",IFERROR(COUNTIFS('Trade Log'!$A$6:$A$1005,"&gt;="&amp;$B32,'Trade Log'!$A$6:$A$1005,"&lt;="&amp;($B32+6),'Trade Log'!$S$6:$S$1005,"Win")/(COUNTIFS('Trade Log'!$A$6:$A$1005,"&gt;="&amp;$B32,'Trade Log'!$A$6:$A$1005,"&lt;="&amp;($B32+6),'Trade Log'!$S$6:$S$1005,"Win")+COUNTIFS('Trade Log'!$A$6:$A$1005,"&gt;="&amp;$B32,'Trade Log'!$A$6:$A$1005,"&lt;="&amp;($B32+6),'Trade Log'!$S$6:$S$1005,"Loss")),"—"))</f>
        <v/>
      </c>
      <c r="F32" s="104" t="str">
        <f>IF(OR($B32="",N($C32)=0),"",IFERROR(SUMIFS('Trade Log'!$R$6:$R$1005,'Trade Log'!$A$6:$A$1005,"&gt;="&amp;$B32,'Trade Log'!$A$6:$A$1005,"&lt;="&amp;($B32+6))/COUNTIFS('Trade Log'!$A$6:$A$1005,"&gt;="&amp;$B32,'Trade Log'!$A$6:$A$1005,"&lt;="&amp;($B32+6),'Trade Log'!$BC$6:$BC$1005,1),"—"))</f>
        <v/>
      </c>
      <c r="G32" s="110" t="str">
        <f>IF(OR($B32="",N($C32)=0),"",IF(SUMIFS('Trade Log'!$Q$6:$Q$1005,'Trade Log'!$A$6:$A$1005,"&gt;="&amp;$B32,'Trade Log'!$A$6:$A$1005,"&lt;="&amp;($B32+6),'Trade Log'!$Q$6:$Q$1005,"&lt;0")=0,IF(SUMIFS('Trade Log'!$Q$6:$Q$1005,'Trade Log'!$A$6:$A$1005,"&gt;="&amp;$B32,'Trade Log'!$A$6:$A$1005,"&lt;="&amp;($B32+6),'Trade Log'!$Q$6:$Q$1005,"&gt;0")&gt;0,"No losses","—"),SUMIFS('Trade Log'!$Q$6:$Q$1005,'Trade Log'!$A$6:$A$1005,"&gt;="&amp;$B32,'Trade Log'!$A$6:$A$1005,"&lt;="&amp;($B32+6),'Trade Log'!$Q$6:$Q$1005,"&gt;0")/-SUMIFS('Trade Log'!$Q$6:$Q$1005,'Trade Log'!$A$6:$A$1005,"&gt;="&amp;$B32,'Trade Log'!$A$6:$A$1005,"&lt;="&amp;($B32+6),'Trade Log'!$Q$6:$Q$1005,"&lt;0")))</f>
        <v/>
      </c>
      <c r="H32" s="99" t="str">
        <f>IF(OR($B32="",N($C32)=0),"",IFERROR(COUNTIFS('Trade Log'!$A$6:$A$1005,"&gt;="&amp;$B32,'Trade Log'!$A$6:$A$1005,"&lt;="&amp;($B32+6),'Trade Log'!$Z$6:$Z$1005,"Yes")/(COUNTIFS('Trade Log'!$A$6:$A$1005,"&gt;="&amp;$B32,'Trade Log'!$A$6:$A$1005,"&lt;="&amp;($B32+6),'Trade Log'!$Z$6:$Z$1005,"Yes")+COUNTIFS('Trade Log'!$A$6:$A$1005,"&gt;="&amp;$B32,'Trade Log'!$A$6:$A$1005,"&lt;="&amp;($B32+6),'Trade Log'!$Z$6:$Z$1005,"No")),"—"))</f>
        <v/>
      </c>
      <c r="I32" s="111" t="str">
        <f>IF(OR($B32="",N($C32)=0),"",IF(MAX($Q32:$AB32)=0,"None — clean week",INDEX($Q$5:$AB$5,MATCH(MAX($Q32:$AB32),$Q32:$AB32,0))))</f>
        <v/>
      </c>
      <c r="J32" s="111" t="str">
        <f>IF(OR($B32="",N($C32)=0),"",IF(MIN($AC32:$AL32)&gt;=0,"None lost money",INDEX($AC$5:$AL$5,MATCH(MIN($AC32:$AL32),$AC32:$AL32,0))))</f>
        <v/>
      </c>
      <c r="K32" s="111" t="str">
        <f>IF(OR($B32="",N($C32)=0),"",IF(MAX($AM32:$AV32)&lt;=0,"None made money",INDEX($AM$5:$AV$5,MATCH(MAX($AM32:$AV32),$AM32:$AV32,0))))</f>
        <v/>
      </c>
      <c r="L32" s="106" t="n"/>
      <c r="M32" s="106" t="n"/>
      <c r="N32" s="112" t="n"/>
      <c r="O32" s="29" t="n"/>
      <c r="Q32" s="109">
        <f>IF(OR($B32="",Q$5=""),0,COUNTIFS('Trade Log'!$A$6:$A$1005,"&gt;="&amp;$B32,'Trade Log'!$A$6:$A$1005,"&lt;="&amp;($B32+6),'Trade Log'!$AB$6:$AB$1005,Q$5))</f>
        <v>0</v>
      </c>
      <c r="R32" s="109">
        <f>IF(OR($B32="",R$5=""),0,COUNTIFS('Trade Log'!$A$6:$A$1005,"&gt;="&amp;$B32,'Trade Log'!$A$6:$A$1005,"&lt;="&amp;($B32+6),'Trade Log'!$AB$6:$AB$1005,R$5))</f>
        <v>0</v>
      </c>
      <c r="S32" s="109">
        <f>IF(OR($B32="",S$5=""),0,COUNTIFS('Trade Log'!$A$6:$A$1005,"&gt;="&amp;$B32,'Trade Log'!$A$6:$A$1005,"&lt;="&amp;($B32+6),'Trade Log'!$AB$6:$AB$1005,S$5))</f>
        <v>0</v>
      </c>
      <c r="T32" s="109">
        <f>IF(OR($B32="",T$5=""),0,COUNTIFS('Trade Log'!$A$6:$A$1005,"&gt;="&amp;$B32,'Trade Log'!$A$6:$A$1005,"&lt;="&amp;($B32+6),'Trade Log'!$AB$6:$AB$1005,T$5))</f>
        <v>0</v>
      </c>
      <c r="U32" s="109">
        <f>IF(OR($B32="",U$5=""),0,COUNTIFS('Trade Log'!$A$6:$A$1005,"&gt;="&amp;$B32,'Trade Log'!$A$6:$A$1005,"&lt;="&amp;($B32+6),'Trade Log'!$AB$6:$AB$1005,U$5))</f>
        <v>0</v>
      </c>
      <c r="V32" s="109">
        <f>IF(OR($B32="",V$5=""),0,COUNTIFS('Trade Log'!$A$6:$A$1005,"&gt;="&amp;$B32,'Trade Log'!$A$6:$A$1005,"&lt;="&amp;($B32+6),'Trade Log'!$AB$6:$AB$1005,V$5))</f>
        <v>0</v>
      </c>
      <c r="W32" s="109">
        <f>IF(OR($B32="",W$5=""),0,COUNTIFS('Trade Log'!$A$6:$A$1005,"&gt;="&amp;$B32,'Trade Log'!$A$6:$A$1005,"&lt;="&amp;($B32+6),'Trade Log'!$AB$6:$AB$1005,W$5))</f>
        <v>0</v>
      </c>
      <c r="X32" s="109">
        <f>IF(OR($B32="",X$5=""),0,COUNTIFS('Trade Log'!$A$6:$A$1005,"&gt;="&amp;$B32,'Trade Log'!$A$6:$A$1005,"&lt;="&amp;($B32+6),'Trade Log'!$AB$6:$AB$1005,X$5))</f>
        <v>0</v>
      </c>
      <c r="Y32" s="109">
        <f>IF(OR($B32="",Y$5=""),0,COUNTIFS('Trade Log'!$A$6:$A$1005,"&gt;="&amp;$B32,'Trade Log'!$A$6:$A$1005,"&lt;="&amp;($B32+6),'Trade Log'!$AB$6:$AB$1005,Y$5))</f>
        <v>0</v>
      </c>
      <c r="Z32" s="109">
        <f>IF(OR($B32="",Z$5=""),0,COUNTIFS('Trade Log'!$A$6:$A$1005,"&gt;="&amp;$B32,'Trade Log'!$A$6:$A$1005,"&lt;="&amp;($B32+6),'Trade Log'!$AB$6:$AB$1005,Z$5))</f>
        <v>0</v>
      </c>
      <c r="AA32" s="109">
        <f>IF(OR($B32="",AA$5=""),0,COUNTIFS('Trade Log'!$A$6:$A$1005,"&gt;="&amp;$B32,'Trade Log'!$A$6:$A$1005,"&lt;="&amp;($B32+6),'Trade Log'!$AB$6:$AB$1005,AA$5))</f>
        <v>0</v>
      </c>
      <c r="AB32" s="109">
        <f>IF(OR($B32="",AB$5=""),0,COUNTIFS('Trade Log'!$A$6:$A$1005,"&gt;="&amp;$B32,'Trade Log'!$A$6:$A$1005,"&lt;="&amp;($B32+6),'Trade Log'!$AB$6:$AB$1005,AB$5))</f>
        <v>0</v>
      </c>
      <c r="AC32" s="113">
        <f>IF(OR($B32="",AC$5=""),0,SUMIFS('Trade Log'!$Q$6:$Q$1005,'Trade Log'!$A$6:$A$1005,"&gt;="&amp;$B32,'Trade Log'!$A$6:$A$1005,"&lt;="&amp;($B32+6),'Trade Log'!$AA$6:$AA$1005,AC$5))</f>
        <v>0</v>
      </c>
      <c r="AD32" s="113">
        <f>IF(OR($B32="",AD$5=""),0,SUMIFS('Trade Log'!$Q$6:$Q$1005,'Trade Log'!$A$6:$A$1005,"&gt;="&amp;$B32,'Trade Log'!$A$6:$A$1005,"&lt;="&amp;($B32+6),'Trade Log'!$AA$6:$AA$1005,AD$5))</f>
        <v>0</v>
      </c>
      <c r="AE32" s="113">
        <f>IF(OR($B32="",AE$5=""),0,SUMIFS('Trade Log'!$Q$6:$Q$1005,'Trade Log'!$A$6:$A$1005,"&gt;="&amp;$B32,'Trade Log'!$A$6:$A$1005,"&lt;="&amp;($B32+6),'Trade Log'!$AA$6:$AA$1005,AE$5))</f>
        <v>0</v>
      </c>
      <c r="AF32" s="113">
        <f>IF(OR($B32="",AF$5=""),0,SUMIFS('Trade Log'!$Q$6:$Q$1005,'Trade Log'!$A$6:$A$1005,"&gt;="&amp;$B32,'Trade Log'!$A$6:$A$1005,"&lt;="&amp;($B32+6),'Trade Log'!$AA$6:$AA$1005,AF$5))</f>
        <v>0</v>
      </c>
      <c r="AG32" s="113">
        <f>IF(OR($B32="",AG$5=""),0,SUMIFS('Trade Log'!$Q$6:$Q$1005,'Trade Log'!$A$6:$A$1005,"&gt;="&amp;$B32,'Trade Log'!$A$6:$A$1005,"&lt;="&amp;($B32+6),'Trade Log'!$AA$6:$AA$1005,AG$5))</f>
        <v>0</v>
      </c>
      <c r="AH32" s="113">
        <f>IF(OR($B32="",AH$5=""),0,SUMIFS('Trade Log'!$Q$6:$Q$1005,'Trade Log'!$A$6:$A$1005,"&gt;="&amp;$B32,'Trade Log'!$A$6:$A$1005,"&lt;="&amp;($B32+6),'Trade Log'!$AA$6:$AA$1005,AH$5))</f>
        <v>0</v>
      </c>
      <c r="AI32" s="113">
        <f>IF(OR($B32="",AI$5=""),0,SUMIFS('Trade Log'!$Q$6:$Q$1005,'Trade Log'!$A$6:$A$1005,"&gt;="&amp;$B32,'Trade Log'!$A$6:$A$1005,"&lt;="&amp;($B32+6),'Trade Log'!$AA$6:$AA$1005,AI$5))</f>
        <v>0</v>
      </c>
      <c r="AJ32" s="113">
        <f>IF(OR($B32="",AJ$5=""),0,SUMIFS('Trade Log'!$Q$6:$Q$1005,'Trade Log'!$A$6:$A$1005,"&gt;="&amp;$B32,'Trade Log'!$A$6:$A$1005,"&lt;="&amp;($B32+6),'Trade Log'!$AA$6:$AA$1005,AJ$5))</f>
        <v>0</v>
      </c>
      <c r="AK32" s="113">
        <f>IF(OR($B32="",AK$5=""),0,SUMIFS('Trade Log'!$Q$6:$Q$1005,'Trade Log'!$A$6:$A$1005,"&gt;="&amp;$B32,'Trade Log'!$A$6:$A$1005,"&lt;="&amp;($B32+6),'Trade Log'!$AA$6:$AA$1005,AK$5))</f>
        <v>0</v>
      </c>
      <c r="AL32" s="113">
        <f>IF(OR($B32="",AL$5=""),0,SUMIFS('Trade Log'!$Q$6:$Q$1005,'Trade Log'!$A$6:$A$1005,"&gt;="&amp;$B32,'Trade Log'!$A$6:$A$1005,"&lt;="&amp;($B32+6),'Trade Log'!$AA$6:$AA$1005,AL$5))</f>
        <v>0</v>
      </c>
      <c r="AM32" s="113">
        <f>IF(OR($B32="",AM$5=""),0,SUMIFS('Trade Log'!$Q$6:$Q$1005,'Trade Log'!$A$6:$A$1005,"&gt;="&amp;$B32,'Trade Log'!$A$6:$A$1005,"&lt;="&amp;($B32+6),'Trade Log'!$Y$6:$Y$1005,AM$5))</f>
        <v>0</v>
      </c>
      <c r="AN32" s="113">
        <f>IF(OR($B32="",AN$5=""),0,SUMIFS('Trade Log'!$Q$6:$Q$1005,'Trade Log'!$A$6:$A$1005,"&gt;="&amp;$B32,'Trade Log'!$A$6:$A$1005,"&lt;="&amp;($B32+6),'Trade Log'!$Y$6:$Y$1005,AN$5))</f>
        <v>0</v>
      </c>
      <c r="AO32" s="113">
        <f>IF(OR($B32="",AO$5=""),0,SUMIFS('Trade Log'!$Q$6:$Q$1005,'Trade Log'!$A$6:$A$1005,"&gt;="&amp;$B32,'Trade Log'!$A$6:$A$1005,"&lt;="&amp;($B32+6),'Trade Log'!$Y$6:$Y$1005,AO$5))</f>
        <v>0</v>
      </c>
      <c r="AP32" s="113">
        <f>IF(OR($B32="",AP$5=""),0,SUMIFS('Trade Log'!$Q$6:$Q$1005,'Trade Log'!$A$6:$A$1005,"&gt;="&amp;$B32,'Trade Log'!$A$6:$A$1005,"&lt;="&amp;($B32+6),'Trade Log'!$Y$6:$Y$1005,AP$5))</f>
        <v>0</v>
      </c>
      <c r="AQ32" s="113">
        <f>IF(OR($B32="",AQ$5=""),0,SUMIFS('Trade Log'!$Q$6:$Q$1005,'Trade Log'!$A$6:$A$1005,"&gt;="&amp;$B32,'Trade Log'!$A$6:$A$1005,"&lt;="&amp;($B32+6),'Trade Log'!$Y$6:$Y$1005,AQ$5))</f>
        <v>0</v>
      </c>
      <c r="AR32" s="113">
        <f>IF(OR($B32="",AR$5=""),0,SUMIFS('Trade Log'!$Q$6:$Q$1005,'Trade Log'!$A$6:$A$1005,"&gt;="&amp;$B32,'Trade Log'!$A$6:$A$1005,"&lt;="&amp;($B32+6),'Trade Log'!$Y$6:$Y$1005,AR$5))</f>
        <v>0</v>
      </c>
      <c r="AS32" s="113">
        <f>IF(OR($B32="",AS$5=""),0,SUMIFS('Trade Log'!$Q$6:$Q$1005,'Trade Log'!$A$6:$A$1005,"&gt;="&amp;$B32,'Trade Log'!$A$6:$A$1005,"&lt;="&amp;($B32+6),'Trade Log'!$Y$6:$Y$1005,AS$5))</f>
        <v>0</v>
      </c>
      <c r="AT32" s="113">
        <f>IF(OR($B32="",AT$5=""),0,SUMIFS('Trade Log'!$Q$6:$Q$1005,'Trade Log'!$A$6:$A$1005,"&gt;="&amp;$B32,'Trade Log'!$A$6:$A$1005,"&lt;="&amp;($B32+6),'Trade Log'!$Y$6:$Y$1005,AT$5))</f>
        <v>0</v>
      </c>
      <c r="AU32" s="113">
        <f>IF(OR($B32="",AU$5=""),0,SUMIFS('Trade Log'!$Q$6:$Q$1005,'Trade Log'!$A$6:$A$1005,"&gt;="&amp;$B32,'Trade Log'!$A$6:$A$1005,"&lt;="&amp;($B32+6),'Trade Log'!$Y$6:$Y$1005,AU$5))</f>
        <v>0</v>
      </c>
      <c r="AV32" s="113">
        <f>IF(OR($B32="",AV$5=""),0,SUMIFS('Trade Log'!$Q$6:$Q$1005,'Trade Log'!$A$6:$A$1005,"&gt;="&amp;$B32,'Trade Log'!$A$6:$A$1005,"&lt;="&amp;($B32+6),'Trade Log'!$Y$6:$Y$1005,AV$5))</f>
        <v>0</v>
      </c>
    </row>
    <row r="33">
      <c r="B33" s="107">
        <f>IF($B32="","",$B32+7)</f>
        <v>46475</v>
      </c>
      <c r="C33" s="96">
        <f>IF($B33="","",COUNTIFS('Trade Log'!$A$6:$A$1005,"&gt;="&amp;$B33,'Trade Log'!$A$6:$A$1005,"&lt;="&amp;($B33+6),'Trade Log'!$BH$6:$BH$1005,1))</f>
        <v>0</v>
      </c>
      <c r="D33" s="98" t="str">
        <f>IF(OR($B33="",N($C33)=0),"",SUMIFS('Trade Log'!$Q$6:$Q$1005,'Trade Log'!$A$6:$A$1005,"&gt;="&amp;$B33,'Trade Log'!$A$6:$A$1005,"&lt;="&amp;($B33+6)))</f>
        <v/>
      </c>
      <c r="E33" s="99" t="str">
        <f>IF(OR($B33="",N($C33)=0),"",IFERROR(COUNTIFS('Trade Log'!$A$6:$A$1005,"&gt;="&amp;$B33,'Trade Log'!$A$6:$A$1005,"&lt;="&amp;($B33+6),'Trade Log'!$S$6:$S$1005,"Win")/(COUNTIFS('Trade Log'!$A$6:$A$1005,"&gt;="&amp;$B33,'Trade Log'!$A$6:$A$1005,"&lt;="&amp;($B33+6),'Trade Log'!$S$6:$S$1005,"Win")+COUNTIFS('Trade Log'!$A$6:$A$1005,"&gt;="&amp;$B33,'Trade Log'!$A$6:$A$1005,"&lt;="&amp;($B33+6),'Trade Log'!$S$6:$S$1005,"Loss")),"—"))</f>
        <v/>
      </c>
      <c r="F33" s="104" t="str">
        <f>IF(OR($B33="",N($C33)=0),"",IFERROR(SUMIFS('Trade Log'!$R$6:$R$1005,'Trade Log'!$A$6:$A$1005,"&gt;="&amp;$B33,'Trade Log'!$A$6:$A$1005,"&lt;="&amp;($B33+6))/COUNTIFS('Trade Log'!$A$6:$A$1005,"&gt;="&amp;$B33,'Trade Log'!$A$6:$A$1005,"&lt;="&amp;($B33+6),'Trade Log'!$BC$6:$BC$1005,1),"—"))</f>
        <v/>
      </c>
      <c r="G33" s="110" t="str">
        <f>IF(OR($B33="",N($C33)=0),"",IF(SUMIFS('Trade Log'!$Q$6:$Q$1005,'Trade Log'!$A$6:$A$1005,"&gt;="&amp;$B33,'Trade Log'!$A$6:$A$1005,"&lt;="&amp;($B33+6),'Trade Log'!$Q$6:$Q$1005,"&lt;0")=0,IF(SUMIFS('Trade Log'!$Q$6:$Q$1005,'Trade Log'!$A$6:$A$1005,"&gt;="&amp;$B33,'Trade Log'!$A$6:$A$1005,"&lt;="&amp;($B33+6),'Trade Log'!$Q$6:$Q$1005,"&gt;0")&gt;0,"No losses","—"),SUMIFS('Trade Log'!$Q$6:$Q$1005,'Trade Log'!$A$6:$A$1005,"&gt;="&amp;$B33,'Trade Log'!$A$6:$A$1005,"&lt;="&amp;($B33+6),'Trade Log'!$Q$6:$Q$1005,"&gt;0")/-SUMIFS('Trade Log'!$Q$6:$Q$1005,'Trade Log'!$A$6:$A$1005,"&gt;="&amp;$B33,'Trade Log'!$A$6:$A$1005,"&lt;="&amp;($B33+6),'Trade Log'!$Q$6:$Q$1005,"&lt;0")))</f>
        <v/>
      </c>
      <c r="H33" s="99" t="str">
        <f>IF(OR($B33="",N($C33)=0),"",IFERROR(COUNTIFS('Trade Log'!$A$6:$A$1005,"&gt;="&amp;$B33,'Trade Log'!$A$6:$A$1005,"&lt;="&amp;($B33+6),'Trade Log'!$Z$6:$Z$1005,"Yes")/(COUNTIFS('Trade Log'!$A$6:$A$1005,"&gt;="&amp;$B33,'Trade Log'!$A$6:$A$1005,"&lt;="&amp;($B33+6),'Trade Log'!$Z$6:$Z$1005,"Yes")+COUNTIFS('Trade Log'!$A$6:$A$1005,"&gt;="&amp;$B33,'Trade Log'!$A$6:$A$1005,"&lt;="&amp;($B33+6),'Trade Log'!$Z$6:$Z$1005,"No")),"—"))</f>
        <v/>
      </c>
      <c r="I33" s="111" t="str">
        <f>IF(OR($B33="",N($C33)=0),"",IF(MAX($Q33:$AB33)=0,"None — clean week",INDEX($Q$5:$AB$5,MATCH(MAX($Q33:$AB33),$Q33:$AB33,0))))</f>
        <v/>
      </c>
      <c r="J33" s="111" t="str">
        <f>IF(OR($B33="",N($C33)=0),"",IF(MIN($AC33:$AL33)&gt;=0,"None lost money",INDEX($AC$5:$AL$5,MATCH(MIN($AC33:$AL33),$AC33:$AL33,0))))</f>
        <v/>
      </c>
      <c r="K33" s="111" t="str">
        <f>IF(OR($B33="",N($C33)=0),"",IF(MAX($AM33:$AV33)&lt;=0,"None made money",INDEX($AM$5:$AV$5,MATCH(MAX($AM33:$AV33),$AM33:$AV33,0))))</f>
        <v/>
      </c>
      <c r="L33" s="106" t="n"/>
      <c r="M33" s="106" t="n"/>
      <c r="N33" s="112" t="n"/>
      <c r="O33" s="29" t="n"/>
      <c r="Q33" s="109">
        <f>IF(OR($B33="",Q$5=""),0,COUNTIFS('Trade Log'!$A$6:$A$1005,"&gt;="&amp;$B33,'Trade Log'!$A$6:$A$1005,"&lt;="&amp;($B33+6),'Trade Log'!$AB$6:$AB$1005,Q$5))</f>
        <v>0</v>
      </c>
      <c r="R33" s="109">
        <f>IF(OR($B33="",R$5=""),0,COUNTIFS('Trade Log'!$A$6:$A$1005,"&gt;="&amp;$B33,'Trade Log'!$A$6:$A$1005,"&lt;="&amp;($B33+6),'Trade Log'!$AB$6:$AB$1005,R$5))</f>
        <v>0</v>
      </c>
      <c r="S33" s="109">
        <f>IF(OR($B33="",S$5=""),0,COUNTIFS('Trade Log'!$A$6:$A$1005,"&gt;="&amp;$B33,'Trade Log'!$A$6:$A$1005,"&lt;="&amp;($B33+6),'Trade Log'!$AB$6:$AB$1005,S$5))</f>
        <v>0</v>
      </c>
      <c r="T33" s="109">
        <f>IF(OR($B33="",T$5=""),0,COUNTIFS('Trade Log'!$A$6:$A$1005,"&gt;="&amp;$B33,'Trade Log'!$A$6:$A$1005,"&lt;="&amp;($B33+6),'Trade Log'!$AB$6:$AB$1005,T$5))</f>
        <v>0</v>
      </c>
      <c r="U33" s="109">
        <f>IF(OR($B33="",U$5=""),0,COUNTIFS('Trade Log'!$A$6:$A$1005,"&gt;="&amp;$B33,'Trade Log'!$A$6:$A$1005,"&lt;="&amp;($B33+6),'Trade Log'!$AB$6:$AB$1005,U$5))</f>
        <v>0</v>
      </c>
      <c r="V33" s="109">
        <f>IF(OR($B33="",V$5=""),0,COUNTIFS('Trade Log'!$A$6:$A$1005,"&gt;="&amp;$B33,'Trade Log'!$A$6:$A$1005,"&lt;="&amp;($B33+6),'Trade Log'!$AB$6:$AB$1005,V$5))</f>
        <v>0</v>
      </c>
      <c r="W33" s="109">
        <f>IF(OR($B33="",W$5=""),0,COUNTIFS('Trade Log'!$A$6:$A$1005,"&gt;="&amp;$B33,'Trade Log'!$A$6:$A$1005,"&lt;="&amp;($B33+6),'Trade Log'!$AB$6:$AB$1005,W$5))</f>
        <v>0</v>
      </c>
      <c r="X33" s="109">
        <f>IF(OR($B33="",X$5=""),0,COUNTIFS('Trade Log'!$A$6:$A$1005,"&gt;="&amp;$B33,'Trade Log'!$A$6:$A$1005,"&lt;="&amp;($B33+6),'Trade Log'!$AB$6:$AB$1005,X$5))</f>
        <v>0</v>
      </c>
      <c r="Y33" s="109">
        <f>IF(OR($B33="",Y$5=""),0,COUNTIFS('Trade Log'!$A$6:$A$1005,"&gt;="&amp;$B33,'Trade Log'!$A$6:$A$1005,"&lt;="&amp;($B33+6),'Trade Log'!$AB$6:$AB$1005,Y$5))</f>
        <v>0</v>
      </c>
      <c r="Z33" s="109">
        <f>IF(OR($B33="",Z$5=""),0,COUNTIFS('Trade Log'!$A$6:$A$1005,"&gt;="&amp;$B33,'Trade Log'!$A$6:$A$1005,"&lt;="&amp;($B33+6),'Trade Log'!$AB$6:$AB$1005,Z$5))</f>
        <v>0</v>
      </c>
      <c r="AA33" s="109">
        <f>IF(OR($B33="",AA$5=""),0,COUNTIFS('Trade Log'!$A$6:$A$1005,"&gt;="&amp;$B33,'Trade Log'!$A$6:$A$1005,"&lt;="&amp;($B33+6),'Trade Log'!$AB$6:$AB$1005,AA$5))</f>
        <v>0</v>
      </c>
      <c r="AB33" s="109">
        <f>IF(OR($B33="",AB$5=""),0,COUNTIFS('Trade Log'!$A$6:$A$1005,"&gt;="&amp;$B33,'Trade Log'!$A$6:$A$1005,"&lt;="&amp;($B33+6),'Trade Log'!$AB$6:$AB$1005,AB$5))</f>
        <v>0</v>
      </c>
      <c r="AC33" s="113">
        <f>IF(OR($B33="",AC$5=""),0,SUMIFS('Trade Log'!$Q$6:$Q$1005,'Trade Log'!$A$6:$A$1005,"&gt;="&amp;$B33,'Trade Log'!$A$6:$A$1005,"&lt;="&amp;($B33+6),'Trade Log'!$AA$6:$AA$1005,AC$5))</f>
        <v>0</v>
      </c>
      <c r="AD33" s="113">
        <f>IF(OR($B33="",AD$5=""),0,SUMIFS('Trade Log'!$Q$6:$Q$1005,'Trade Log'!$A$6:$A$1005,"&gt;="&amp;$B33,'Trade Log'!$A$6:$A$1005,"&lt;="&amp;($B33+6),'Trade Log'!$AA$6:$AA$1005,AD$5))</f>
        <v>0</v>
      </c>
      <c r="AE33" s="113">
        <f>IF(OR($B33="",AE$5=""),0,SUMIFS('Trade Log'!$Q$6:$Q$1005,'Trade Log'!$A$6:$A$1005,"&gt;="&amp;$B33,'Trade Log'!$A$6:$A$1005,"&lt;="&amp;($B33+6),'Trade Log'!$AA$6:$AA$1005,AE$5))</f>
        <v>0</v>
      </c>
      <c r="AF33" s="113">
        <f>IF(OR($B33="",AF$5=""),0,SUMIFS('Trade Log'!$Q$6:$Q$1005,'Trade Log'!$A$6:$A$1005,"&gt;="&amp;$B33,'Trade Log'!$A$6:$A$1005,"&lt;="&amp;($B33+6),'Trade Log'!$AA$6:$AA$1005,AF$5))</f>
        <v>0</v>
      </c>
      <c r="AG33" s="113">
        <f>IF(OR($B33="",AG$5=""),0,SUMIFS('Trade Log'!$Q$6:$Q$1005,'Trade Log'!$A$6:$A$1005,"&gt;="&amp;$B33,'Trade Log'!$A$6:$A$1005,"&lt;="&amp;($B33+6),'Trade Log'!$AA$6:$AA$1005,AG$5))</f>
        <v>0</v>
      </c>
      <c r="AH33" s="113">
        <f>IF(OR($B33="",AH$5=""),0,SUMIFS('Trade Log'!$Q$6:$Q$1005,'Trade Log'!$A$6:$A$1005,"&gt;="&amp;$B33,'Trade Log'!$A$6:$A$1005,"&lt;="&amp;($B33+6),'Trade Log'!$AA$6:$AA$1005,AH$5))</f>
        <v>0</v>
      </c>
      <c r="AI33" s="113">
        <f>IF(OR($B33="",AI$5=""),0,SUMIFS('Trade Log'!$Q$6:$Q$1005,'Trade Log'!$A$6:$A$1005,"&gt;="&amp;$B33,'Trade Log'!$A$6:$A$1005,"&lt;="&amp;($B33+6),'Trade Log'!$AA$6:$AA$1005,AI$5))</f>
        <v>0</v>
      </c>
      <c r="AJ33" s="113">
        <f>IF(OR($B33="",AJ$5=""),0,SUMIFS('Trade Log'!$Q$6:$Q$1005,'Trade Log'!$A$6:$A$1005,"&gt;="&amp;$B33,'Trade Log'!$A$6:$A$1005,"&lt;="&amp;($B33+6),'Trade Log'!$AA$6:$AA$1005,AJ$5))</f>
        <v>0</v>
      </c>
      <c r="AK33" s="113">
        <f>IF(OR($B33="",AK$5=""),0,SUMIFS('Trade Log'!$Q$6:$Q$1005,'Trade Log'!$A$6:$A$1005,"&gt;="&amp;$B33,'Trade Log'!$A$6:$A$1005,"&lt;="&amp;($B33+6),'Trade Log'!$AA$6:$AA$1005,AK$5))</f>
        <v>0</v>
      </c>
      <c r="AL33" s="113">
        <f>IF(OR($B33="",AL$5=""),0,SUMIFS('Trade Log'!$Q$6:$Q$1005,'Trade Log'!$A$6:$A$1005,"&gt;="&amp;$B33,'Trade Log'!$A$6:$A$1005,"&lt;="&amp;($B33+6),'Trade Log'!$AA$6:$AA$1005,AL$5))</f>
        <v>0</v>
      </c>
      <c r="AM33" s="113">
        <f>IF(OR($B33="",AM$5=""),0,SUMIFS('Trade Log'!$Q$6:$Q$1005,'Trade Log'!$A$6:$A$1005,"&gt;="&amp;$B33,'Trade Log'!$A$6:$A$1005,"&lt;="&amp;($B33+6),'Trade Log'!$Y$6:$Y$1005,AM$5))</f>
        <v>0</v>
      </c>
      <c r="AN33" s="113">
        <f>IF(OR($B33="",AN$5=""),0,SUMIFS('Trade Log'!$Q$6:$Q$1005,'Trade Log'!$A$6:$A$1005,"&gt;="&amp;$B33,'Trade Log'!$A$6:$A$1005,"&lt;="&amp;($B33+6),'Trade Log'!$Y$6:$Y$1005,AN$5))</f>
        <v>0</v>
      </c>
      <c r="AO33" s="113">
        <f>IF(OR($B33="",AO$5=""),0,SUMIFS('Trade Log'!$Q$6:$Q$1005,'Trade Log'!$A$6:$A$1005,"&gt;="&amp;$B33,'Trade Log'!$A$6:$A$1005,"&lt;="&amp;($B33+6),'Trade Log'!$Y$6:$Y$1005,AO$5))</f>
        <v>0</v>
      </c>
      <c r="AP33" s="113">
        <f>IF(OR($B33="",AP$5=""),0,SUMIFS('Trade Log'!$Q$6:$Q$1005,'Trade Log'!$A$6:$A$1005,"&gt;="&amp;$B33,'Trade Log'!$A$6:$A$1005,"&lt;="&amp;($B33+6),'Trade Log'!$Y$6:$Y$1005,AP$5))</f>
        <v>0</v>
      </c>
      <c r="AQ33" s="113">
        <f>IF(OR($B33="",AQ$5=""),0,SUMIFS('Trade Log'!$Q$6:$Q$1005,'Trade Log'!$A$6:$A$1005,"&gt;="&amp;$B33,'Trade Log'!$A$6:$A$1005,"&lt;="&amp;($B33+6),'Trade Log'!$Y$6:$Y$1005,AQ$5))</f>
        <v>0</v>
      </c>
      <c r="AR33" s="113">
        <f>IF(OR($B33="",AR$5=""),0,SUMIFS('Trade Log'!$Q$6:$Q$1005,'Trade Log'!$A$6:$A$1005,"&gt;="&amp;$B33,'Trade Log'!$A$6:$A$1005,"&lt;="&amp;($B33+6),'Trade Log'!$Y$6:$Y$1005,AR$5))</f>
        <v>0</v>
      </c>
      <c r="AS33" s="113">
        <f>IF(OR($B33="",AS$5=""),0,SUMIFS('Trade Log'!$Q$6:$Q$1005,'Trade Log'!$A$6:$A$1005,"&gt;="&amp;$B33,'Trade Log'!$A$6:$A$1005,"&lt;="&amp;($B33+6),'Trade Log'!$Y$6:$Y$1005,AS$5))</f>
        <v>0</v>
      </c>
      <c r="AT33" s="113">
        <f>IF(OR($B33="",AT$5=""),0,SUMIFS('Trade Log'!$Q$6:$Q$1005,'Trade Log'!$A$6:$A$1005,"&gt;="&amp;$B33,'Trade Log'!$A$6:$A$1005,"&lt;="&amp;($B33+6),'Trade Log'!$Y$6:$Y$1005,AT$5))</f>
        <v>0</v>
      </c>
      <c r="AU33" s="113">
        <f>IF(OR($B33="",AU$5=""),0,SUMIFS('Trade Log'!$Q$6:$Q$1005,'Trade Log'!$A$6:$A$1005,"&gt;="&amp;$B33,'Trade Log'!$A$6:$A$1005,"&lt;="&amp;($B33+6),'Trade Log'!$Y$6:$Y$1005,AU$5))</f>
        <v>0</v>
      </c>
      <c r="AV33" s="113">
        <f>IF(OR($B33="",AV$5=""),0,SUMIFS('Trade Log'!$Q$6:$Q$1005,'Trade Log'!$A$6:$A$1005,"&gt;="&amp;$B33,'Trade Log'!$A$6:$A$1005,"&lt;="&amp;($B33+6),'Trade Log'!$Y$6:$Y$1005,AV$5))</f>
        <v>0</v>
      </c>
    </row>
    <row r="34">
      <c r="B34" s="107">
        <f>IF($B33="","",$B33+7)</f>
        <v>46482</v>
      </c>
      <c r="C34" s="96">
        <f>IF($B34="","",COUNTIFS('Trade Log'!$A$6:$A$1005,"&gt;="&amp;$B34,'Trade Log'!$A$6:$A$1005,"&lt;="&amp;($B34+6),'Trade Log'!$BH$6:$BH$1005,1))</f>
        <v>0</v>
      </c>
      <c r="D34" s="98" t="str">
        <f>IF(OR($B34="",N($C34)=0),"",SUMIFS('Trade Log'!$Q$6:$Q$1005,'Trade Log'!$A$6:$A$1005,"&gt;="&amp;$B34,'Trade Log'!$A$6:$A$1005,"&lt;="&amp;($B34+6)))</f>
        <v/>
      </c>
      <c r="E34" s="99" t="str">
        <f>IF(OR($B34="",N($C34)=0),"",IFERROR(COUNTIFS('Trade Log'!$A$6:$A$1005,"&gt;="&amp;$B34,'Trade Log'!$A$6:$A$1005,"&lt;="&amp;($B34+6),'Trade Log'!$S$6:$S$1005,"Win")/(COUNTIFS('Trade Log'!$A$6:$A$1005,"&gt;="&amp;$B34,'Trade Log'!$A$6:$A$1005,"&lt;="&amp;($B34+6),'Trade Log'!$S$6:$S$1005,"Win")+COUNTIFS('Trade Log'!$A$6:$A$1005,"&gt;="&amp;$B34,'Trade Log'!$A$6:$A$1005,"&lt;="&amp;($B34+6),'Trade Log'!$S$6:$S$1005,"Loss")),"—"))</f>
        <v/>
      </c>
      <c r="F34" s="104" t="str">
        <f>IF(OR($B34="",N($C34)=0),"",IFERROR(SUMIFS('Trade Log'!$R$6:$R$1005,'Trade Log'!$A$6:$A$1005,"&gt;="&amp;$B34,'Trade Log'!$A$6:$A$1005,"&lt;="&amp;($B34+6))/COUNTIFS('Trade Log'!$A$6:$A$1005,"&gt;="&amp;$B34,'Trade Log'!$A$6:$A$1005,"&lt;="&amp;($B34+6),'Trade Log'!$BC$6:$BC$1005,1),"—"))</f>
        <v/>
      </c>
      <c r="G34" s="110" t="str">
        <f>IF(OR($B34="",N($C34)=0),"",IF(SUMIFS('Trade Log'!$Q$6:$Q$1005,'Trade Log'!$A$6:$A$1005,"&gt;="&amp;$B34,'Trade Log'!$A$6:$A$1005,"&lt;="&amp;($B34+6),'Trade Log'!$Q$6:$Q$1005,"&lt;0")=0,IF(SUMIFS('Trade Log'!$Q$6:$Q$1005,'Trade Log'!$A$6:$A$1005,"&gt;="&amp;$B34,'Trade Log'!$A$6:$A$1005,"&lt;="&amp;($B34+6),'Trade Log'!$Q$6:$Q$1005,"&gt;0")&gt;0,"No losses","—"),SUMIFS('Trade Log'!$Q$6:$Q$1005,'Trade Log'!$A$6:$A$1005,"&gt;="&amp;$B34,'Trade Log'!$A$6:$A$1005,"&lt;="&amp;($B34+6),'Trade Log'!$Q$6:$Q$1005,"&gt;0")/-SUMIFS('Trade Log'!$Q$6:$Q$1005,'Trade Log'!$A$6:$A$1005,"&gt;="&amp;$B34,'Trade Log'!$A$6:$A$1005,"&lt;="&amp;($B34+6),'Trade Log'!$Q$6:$Q$1005,"&lt;0")))</f>
        <v/>
      </c>
      <c r="H34" s="99" t="str">
        <f>IF(OR($B34="",N($C34)=0),"",IFERROR(COUNTIFS('Trade Log'!$A$6:$A$1005,"&gt;="&amp;$B34,'Trade Log'!$A$6:$A$1005,"&lt;="&amp;($B34+6),'Trade Log'!$Z$6:$Z$1005,"Yes")/(COUNTIFS('Trade Log'!$A$6:$A$1005,"&gt;="&amp;$B34,'Trade Log'!$A$6:$A$1005,"&lt;="&amp;($B34+6),'Trade Log'!$Z$6:$Z$1005,"Yes")+COUNTIFS('Trade Log'!$A$6:$A$1005,"&gt;="&amp;$B34,'Trade Log'!$A$6:$A$1005,"&lt;="&amp;($B34+6),'Trade Log'!$Z$6:$Z$1005,"No")),"—"))</f>
        <v/>
      </c>
      <c r="I34" s="111" t="str">
        <f>IF(OR($B34="",N($C34)=0),"",IF(MAX($Q34:$AB34)=0,"None — clean week",INDEX($Q$5:$AB$5,MATCH(MAX($Q34:$AB34),$Q34:$AB34,0))))</f>
        <v/>
      </c>
      <c r="J34" s="111" t="str">
        <f>IF(OR($B34="",N($C34)=0),"",IF(MIN($AC34:$AL34)&gt;=0,"None lost money",INDEX($AC$5:$AL$5,MATCH(MIN($AC34:$AL34),$AC34:$AL34,0))))</f>
        <v/>
      </c>
      <c r="K34" s="111" t="str">
        <f>IF(OR($B34="",N($C34)=0),"",IF(MAX($AM34:$AV34)&lt;=0,"None made money",INDEX($AM$5:$AV$5,MATCH(MAX($AM34:$AV34),$AM34:$AV34,0))))</f>
        <v/>
      </c>
      <c r="L34" s="106" t="n"/>
      <c r="M34" s="106" t="n"/>
      <c r="N34" s="112" t="n"/>
      <c r="O34" s="29" t="n"/>
      <c r="Q34" s="109">
        <f>IF(OR($B34="",Q$5=""),0,COUNTIFS('Trade Log'!$A$6:$A$1005,"&gt;="&amp;$B34,'Trade Log'!$A$6:$A$1005,"&lt;="&amp;($B34+6),'Trade Log'!$AB$6:$AB$1005,Q$5))</f>
        <v>0</v>
      </c>
      <c r="R34" s="109">
        <f>IF(OR($B34="",R$5=""),0,COUNTIFS('Trade Log'!$A$6:$A$1005,"&gt;="&amp;$B34,'Trade Log'!$A$6:$A$1005,"&lt;="&amp;($B34+6),'Trade Log'!$AB$6:$AB$1005,R$5))</f>
        <v>0</v>
      </c>
      <c r="S34" s="109">
        <f>IF(OR($B34="",S$5=""),0,COUNTIFS('Trade Log'!$A$6:$A$1005,"&gt;="&amp;$B34,'Trade Log'!$A$6:$A$1005,"&lt;="&amp;($B34+6),'Trade Log'!$AB$6:$AB$1005,S$5))</f>
        <v>0</v>
      </c>
      <c r="T34" s="109">
        <f>IF(OR($B34="",T$5=""),0,COUNTIFS('Trade Log'!$A$6:$A$1005,"&gt;="&amp;$B34,'Trade Log'!$A$6:$A$1005,"&lt;="&amp;($B34+6),'Trade Log'!$AB$6:$AB$1005,T$5))</f>
        <v>0</v>
      </c>
      <c r="U34" s="109">
        <f>IF(OR($B34="",U$5=""),0,COUNTIFS('Trade Log'!$A$6:$A$1005,"&gt;="&amp;$B34,'Trade Log'!$A$6:$A$1005,"&lt;="&amp;($B34+6),'Trade Log'!$AB$6:$AB$1005,U$5))</f>
        <v>0</v>
      </c>
      <c r="V34" s="109">
        <f>IF(OR($B34="",V$5=""),0,COUNTIFS('Trade Log'!$A$6:$A$1005,"&gt;="&amp;$B34,'Trade Log'!$A$6:$A$1005,"&lt;="&amp;($B34+6),'Trade Log'!$AB$6:$AB$1005,V$5))</f>
        <v>0</v>
      </c>
      <c r="W34" s="109">
        <f>IF(OR($B34="",W$5=""),0,COUNTIFS('Trade Log'!$A$6:$A$1005,"&gt;="&amp;$B34,'Trade Log'!$A$6:$A$1005,"&lt;="&amp;($B34+6),'Trade Log'!$AB$6:$AB$1005,W$5))</f>
        <v>0</v>
      </c>
      <c r="X34" s="109">
        <f>IF(OR($B34="",X$5=""),0,COUNTIFS('Trade Log'!$A$6:$A$1005,"&gt;="&amp;$B34,'Trade Log'!$A$6:$A$1005,"&lt;="&amp;($B34+6),'Trade Log'!$AB$6:$AB$1005,X$5))</f>
        <v>0</v>
      </c>
      <c r="Y34" s="109">
        <f>IF(OR($B34="",Y$5=""),0,COUNTIFS('Trade Log'!$A$6:$A$1005,"&gt;="&amp;$B34,'Trade Log'!$A$6:$A$1005,"&lt;="&amp;($B34+6),'Trade Log'!$AB$6:$AB$1005,Y$5))</f>
        <v>0</v>
      </c>
      <c r="Z34" s="109">
        <f>IF(OR($B34="",Z$5=""),0,COUNTIFS('Trade Log'!$A$6:$A$1005,"&gt;="&amp;$B34,'Trade Log'!$A$6:$A$1005,"&lt;="&amp;($B34+6),'Trade Log'!$AB$6:$AB$1005,Z$5))</f>
        <v>0</v>
      </c>
      <c r="AA34" s="109">
        <f>IF(OR($B34="",AA$5=""),0,COUNTIFS('Trade Log'!$A$6:$A$1005,"&gt;="&amp;$B34,'Trade Log'!$A$6:$A$1005,"&lt;="&amp;($B34+6),'Trade Log'!$AB$6:$AB$1005,AA$5))</f>
        <v>0</v>
      </c>
      <c r="AB34" s="109">
        <f>IF(OR($B34="",AB$5=""),0,COUNTIFS('Trade Log'!$A$6:$A$1005,"&gt;="&amp;$B34,'Trade Log'!$A$6:$A$1005,"&lt;="&amp;($B34+6),'Trade Log'!$AB$6:$AB$1005,AB$5))</f>
        <v>0</v>
      </c>
      <c r="AC34" s="113">
        <f>IF(OR($B34="",AC$5=""),0,SUMIFS('Trade Log'!$Q$6:$Q$1005,'Trade Log'!$A$6:$A$1005,"&gt;="&amp;$B34,'Trade Log'!$A$6:$A$1005,"&lt;="&amp;($B34+6),'Trade Log'!$AA$6:$AA$1005,AC$5))</f>
        <v>0</v>
      </c>
      <c r="AD34" s="113">
        <f>IF(OR($B34="",AD$5=""),0,SUMIFS('Trade Log'!$Q$6:$Q$1005,'Trade Log'!$A$6:$A$1005,"&gt;="&amp;$B34,'Trade Log'!$A$6:$A$1005,"&lt;="&amp;($B34+6),'Trade Log'!$AA$6:$AA$1005,AD$5))</f>
        <v>0</v>
      </c>
      <c r="AE34" s="113">
        <f>IF(OR($B34="",AE$5=""),0,SUMIFS('Trade Log'!$Q$6:$Q$1005,'Trade Log'!$A$6:$A$1005,"&gt;="&amp;$B34,'Trade Log'!$A$6:$A$1005,"&lt;="&amp;($B34+6),'Trade Log'!$AA$6:$AA$1005,AE$5))</f>
        <v>0</v>
      </c>
      <c r="AF34" s="113">
        <f>IF(OR($B34="",AF$5=""),0,SUMIFS('Trade Log'!$Q$6:$Q$1005,'Trade Log'!$A$6:$A$1005,"&gt;="&amp;$B34,'Trade Log'!$A$6:$A$1005,"&lt;="&amp;($B34+6),'Trade Log'!$AA$6:$AA$1005,AF$5))</f>
        <v>0</v>
      </c>
      <c r="AG34" s="113">
        <f>IF(OR($B34="",AG$5=""),0,SUMIFS('Trade Log'!$Q$6:$Q$1005,'Trade Log'!$A$6:$A$1005,"&gt;="&amp;$B34,'Trade Log'!$A$6:$A$1005,"&lt;="&amp;($B34+6),'Trade Log'!$AA$6:$AA$1005,AG$5))</f>
        <v>0</v>
      </c>
      <c r="AH34" s="113">
        <f>IF(OR($B34="",AH$5=""),0,SUMIFS('Trade Log'!$Q$6:$Q$1005,'Trade Log'!$A$6:$A$1005,"&gt;="&amp;$B34,'Trade Log'!$A$6:$A$1005,"&lt;="&amp;($B34+6),'Trade Log'!$AA$6:$AA$1005,AH$5))</f>
        <v>0</v>
      </c>
      <c r="AI34" s="113">
        <f>IF(OR($B34="",AI$5=""),0,SUMIFS('Trade Log'!$Q$6:$Q$1005,'Trade Log'!$A$6:$A$1005,"&gt;="&amp;$B34,'Trade Log'!$A$6:$A$1005,"&lt;="&amp;($B34+6),'Trade Log'!$AA$6:$AA$1005,AI$5))</f>
        <v>0</v>
      </c>
      <c r="AJ34" s="113">
        <f>IF(OR($B34="",AJ$5=""),0,SUMIFS('Trade Log'!$Q$6:$Q$1005,'Trade Log'!$A$6:$A$1005,"&gt;="&amp;$B34,'Trade Log'!$A$6:$A$1005,"&lt;="&amp;($B34+6),'Trade Log'!$AA$6:$AA$1005,AJ$5))</f>
        <v>0</v>
      </c>
      <c r="AK34" s="113">
        <f>IF(OR($B34="",AK$5=""),0,SUMIFS('Trade Log'!$Q$6:$Q$1005,'Trade Log'!$A$6:$A$1005,"&gt;="&amp;$B34,'Trade Log'!$A$6:$A$1005,"&lt;="&amp;($B34+6),'Trade Log'!$AA$6:$AA$1005,AK$5))</f>
        <v>0</v>
      </c>
      <c r="AL34" s="113">
        <f>IF(OR($B34="",AL$5=""),0,SUMIFS('Trade Log'!$Q$6:$Q$1005,'Trade Log'!$A$6:$A$1005,"&gt;="&amp;$B34,'Trade Log'!$A$6:$A$1005,"&lt;="&amp;($B34+6),'Trade Log'!$AA$6:$AA$1005,AL$5))</f>
        <v>0</v>
      </c>
      <c r="AM34" s="113">
        <f>IF(OR($B34="",AM$5=""),0,SUMIFS('Trade Log'!$Q$6:$Q$1005,'Trade Log'!$A$6:$A$1005,"&gt;="&amp;$B34,'Trade Log'!$A$6:$A$1005,"&lt;="&amp;($B34+6),'Trade Log'!$Y$6:$Y$1005,AM$5))</f>
        <v>0</v>
      </c>
      <c r="AN34" s="113">
        <f>IF(OR($B34="",AN$5=""),0,SUMIFS('Trade Log'!$Q$6:$Q$1005,'Trade Log'!$A$6:$A$1005,"&gt;="&amp;$B34,'Trade Log'!$A$6:$A$1005,"&lt;="&amp;($B34+6),'Trade Log'!$Y$6:$Y$1005,AN$5))</f>
        <v>0</v>
      </c>
      <c r="AO34" s="113">
        <f>IF(OR($B34="",AO$5=""),0,SUMIFS('Trade Log'!$Q$6:$Q$1005,'Trade Log'!$A$6:$A$1005,"&gt;="&amp;$B34,'Trade Log'!$A$6:$A$1005,"&lt;="&amp;($B34+6),'Trade Log'!$Y$6:$Y$1005,AO$5))</f>
        <v>0</v>
      </c>
      <c r="AP34" s="113">
        <f>IF(OR($B34="",AP$5=""),0,SUMIFS('Trade Log'!$Q$6:$Q$1005,'Trade Log'!$A$6:$A$1005,"&gt;="&amp;$B34,'Trade Log'!$A$6:$A$1005,"&lt;="&amp;($B34+6),'Trade Log'!$Y$6:$Y$1005,AP$5))</f>
        <v>0</v>
      </c>
      <c r="AQ34" s="113">
        <f>IF(OR($B34="",AQ$5=""),0,SUMIFS('Trade Log'!$Q$6:$Q$1005,'Trade Log'!$A$6:$A$1005,"&gt;="&amp;$B34,'Trade Log'!$A$6:$A$1005,"&lt;="&amp;($B34+6),'Trade Log'!$Y$6:$Y$1005,AQ$5))</f>
        <v>0</v>
      </c>
      <c r="AR34" s="113">
        <f>IF(OR($B34="",AR$5=""),0,SUMIFS('Trade Log'!$Q$6:$Q$1005,'Trade Log'!$A$6:$A$1005,"&gt;="&amp;$B34,'Trade Log'!$A$6:$A$1005,"&lt;="&amp;($B34+6),'Trade Log'!$Y$6:$Y$1005,AR$5))</f>
        <v>0</v>
      </c>
      <c r="AS34" s="113">
        <f>IF(OR($B34="",AS$5=""),0,SUMIFS('Trade Log'!$Q$6:$Q$1005,'Trade Log'!$A$6:$A$1005,"&gt;="&amp;$B34,'Trade Log'!$A$6:$A$1005,"&lt;="&amp;($B34+6),'Trade Log'!$Y$6:$Y$1005,AS$5))</f>
        <v>0</v>
      </c>
      <c r="AT34" s="113">
        <f>IF(OR($B34="",AT$5=""),0,SUMIFS('Trade Log'!$Q$6:$Q$1005,'Trade Log'!$A$6:$A$1005,"&gt;="&amp;$B34,'Trade Log'!$A$6:$A$1005,"&lt;="&amp;($B34+6),'Trade Log'!$Y$6:$Y$1005,AT$5))</f>
        <v>0</v>
      </c>
      <c r="AU34" s="113">
        <f>IF(OR($B34="",AU$5=""),0,SUMIFS('Trade Log'!$Q$6:$Q$1005,'Trade Log'!$A$6:$A$1005,"&gt;="&amp;$B34,'Trade Log'!$A$6:$A$1005,"&lt;="&amp;($B34+6),'Trade Log'!$Y$6:$Y$1005,AU$5))</f>
        <v>0</v>
      </c>
      <c r="AV34" s="113">
        <f>IF(OR($B34="",AV$5=""),0,SUMIFS('Trade Log'!$Q$6:$Q$1005,'Trade Log'!$A$6:$A$1005,"&gt;="&amp;$B34,'Trade Log'!$A$6:$A$1005,"&lt;="&amp;($B34+6),'Trade Log'!$Y$6:$Y$1005,AV$5))</f>
        <v>0</v>
      </c>
    </row>
    <row r="35">
      <c r="B35" s="107">
        <f>IF($B34="","",$B34+7)</f>
        <v>46489</v>
      </c>
      <c r="C35" s="96">
        <f>IF($B35="","",COUNTIFS('Trade Log'!$A$6:$A$1005,"&gt;="&amp;$B35,'Trade Log'!$A$6:$A$1005,"&lt;="&amp;($B35+6),'Trade Log'!$BH$6:$BH$1005,1))</f>
        <v>0</v>
      </c>
      <c r="D35" s="98" t="str">
        <f>IF(OR($B35="",N($C35)=0),"",SUMIFS('Trade Log'!$Q$6:$Q$1005,'Trade Log'!$A$6:$A$1005,"&gt;="&amp;$B35,'Trade Log'!$A$6:$A$1005,"&lt;="&amp;($B35+6)))</f>
        <v/>
      </c>
      <c r="E35" s="99" t="str">
        <f>IF(OR($B35="",N($C35)=0),"",IFERROR(COUNTIFS('Trade Log'!$A$6:$A$1005,"&gt;="&amp;$B35,'Trade Log'!$A$6:$A$1005,"&lt;="&amp;($B35+6),'Trade Log'!$S$6:$S$1005,"Win")/(COUNTIFS('Trade Log'!$A$6:$A$1005,"&gt;="&amp;$B35,'Trade Log'!$A$6:$A$1005,"&lt;="&amp;($B35+6),'Trade Log'!$S$6:$S$1005,"Win")+COUNTIFS('Trade Log'!$A$6:$A$1005,"&gt;="&amp;$B35,'Trade Log'!$A$6:$A$1005,"&lt;="&amp;($B35+6),'Trade Log'!$S$6:$S$1005,"Loss")),"—"))</f>
        <v/>
      </c>
      <c r="F35" s="104" t="str">
        <f>IF(OR($B35="",N($C35)=0),"",IFERROR(SUMIFS('Trade Log'!$R$6:$R$1005,'Trade Log'!$A$6:$A$1005,"&gt;="&amp;$B35,'Trade Log'!$A$6:$A$1005,"&lt;="&amp;($B35+6))/COUNTIFS('Trade Log'!$A$6:$A$1005,"&gt;="&amp;$B35,'Trade Log'!$A$6:$A$1005,"&lt;="&amp;($B35+6),'Trade Log'!$BC$6:$BC$1005,1),"—"))</f>
        <v/>
      </c>
      <c r="G35" s="110" t="str">
        <f>IF(OR($B35="",N($C35)=0),"",IF(SUMIFS('Trade Log'!$Q$6:$Q$1005,'Trade Log'!$A$6:$A$1005,"&gt;="&amp;$B35,'Trade Log'!$A$6:$A$1005,"&lt;="&amp;($B35+6),'Trade Log'!$Q$6:$Q$1005,"&lt;0")=0,IF(SUMIFS('Trade Log'!$Q$6:$Q$1005,'Trade Log'!$A$6:$A$1005,"&gt;="&amp;$B35,'Trade Log'!$A$6:$A$1005,"&lt;="&amp;($B35+6),'Trade Log'!$Q$6:$Q$1005,"&gt;0")&gt;0,"No losses","—"),SUMIFS('Trade Log'!$Q$6:$Q$1005,'Trade Log'!$A$6:$A$1005,"&gt;="&amp;$B35,'Trade Log'!$A$6:$A$1005,"&lt;="&amp;($B35+6),'Trade Log'!$Q$6:$Q$1005,"&gt;0")/-SUMIFS('Trade Log'!$Q$6:$Q$1005,'Trade Log'!$A$6:$A$1005,"&gt;="&amp;$B35,'Trade Log'!$A$6:$A$1005,"&lt;="&amp;($B35+6),'Trade Log'!$Q$6:$Q$1005,"&lt;0")))</f>
        <v/>
      </c>
      <c r="H35" s="99" t="str">
        <f>IF(OR($B35="",N($C35)=0),"",IFERROR(COUNTIFS('Trade Log'!$A$6:$A$1005,"&gt;="&amp;$B35,'Trade Log'!$A$6:$A$1005,"&lt;="&amp;($B35+6),'Trade Log'!$Z$6:$Z$1005,"Yes")/(COUNTIFS('Trade Log'!$A$6:$A$1005,"&gt;="&amp;$B35,'Trade Log'!$A$6:$A$1005,"&lt;="&amp;($B35+6),'Trade Log'!$Z$6:$Z$1005,"Yes")+COUNTIFS('Trade Log'!$A$6:$A$1005,"&gt;="&amp;$B35,'Trade Log'!$A$6:$A$1005,"&lt;="&amp;($B35+6),'Trade Log'!$Z$6:$Z$1005,"No")),"—"))</f>
        <v/>
      </c>
      <c r="I35" s="111" t="str">
        <f>IF(OR($B35="",N($C35)=0),"",IF(MAX($Q35:$AB35)=0,"None — clean week",INDEX($Q$5:$AB$5,MATCH(MAX($Q35:$AB35),$Q35:$AB35,0))))</f>
        <v/>
      </c>
      <c r="J35" s="111" t="str">
        <f>IF(OR($B35="",N($C35)=0),"",IF(MIN($AC35:$AL35)&gt;=0,"None lost money",INDEX($AC$5:$AL$5,MATCH(MIN($AC35:$AL35),$AC35:$AL35,0))))</f>
        <v/>
      </c>
      <c r="K35" s="111" t="str">
        <f>IF(OR($B35="",N($C35)=0),"",IF(MAX($AM35:$AV35)&lt;=0,"None made money",INDEX($AM$5:$AV$5,MATCH(MAX($AM35:$AV35),$AM35:$AV35,0))))</f>
        <v/>
      </c>
      <c r="L35" s="106" t="n"/>
      <c r="M35" s="106" t="n"/>
      <c r="N35" s="112" t="n"/>
      <c r="O35" s="29" t="n"/>
      <c r="Q35" s="109">
        <f>IF(OR($B35="",Q$5=""),0,COUNTIFS('Trade Log'!$A$6:$A$1005,"&gt;="&amp;$B35,'Trade Log'!$A$6:$A$1005,"&lt;="&amp;($B35+6),'Trade Log'!$AB$6:$AB$1005,Q$5))</f>
        <v>0</v>
      </c>
      <c r="R35" s="109">
        <f>IF(OR($B35="",R$5=""),0,COUNTIFS('Trade Log'!$A$6:$A$1005,"&gt;="&amp;$B35,'Trade Log'!$A$6:$A$1005,"&lt;="&amp;($B35+6),'Trade Log'!$AB$6:$AB$1005,R$5))</f>
        <v>0</v>
      </c>
      <c r="S35" s="109">
        <f>IF(OR($B35="",S$5=""),0,COUNTIFS('Trade Log'!$A$6:$A$1005,"&gt;="&amp;$B35,'Trade Log'!$A$6:$A$1005,"&lt;="&amp;($B35+6),'Trade Log'!$AB$6:$AB$1005,S$5))</f>
        <v>0</v>
      </c>
      <c r="T35" s="109">
        <f>IF(OR($B35="",T$5=""),0,COUNTIFS('Trade Log'!$A$6:$A$1005,"&gt;="&amp;$B35,'Trade Log'!$A$6:$A$1005,"&lt;="&amp;($B35+6),'Trade Log'!$AB$6:$AB$1005,T$5))</f>
        <v>0</v>
      </c>
      <c r="U35" s="109">
        <f>IF(OR($B35="",U$5=""),0,COUNTIFS('Trade Log'!$A$6:$A$1005,"&gt;="&amp;$B35,'Trade Log'!$A$6:$A$1005,"&lt;="&amp;($B35+6),'Trade Log'!$AB$6:$AB$1005,U$5))</f>
        <v>0</v>
      </c>
      <c r="V35" s="109">
        <f>IF(OR($B35="",V$5=""),0,COUNTIFS('Trade Log'!$A$6:$A$1005,"&gt;="&amp;$B35,'Trade Log'!$A$6:$A$1005,"&lt;="&amp;($B35+6),'Trade Log'!$AB$6:$AB$1005,V$5))</f>
        <v>0</v>
      </c>
      <c r="W35" s="109">
        <f>IF(OR($B35="",W$5=""),0,COUNTIFS('Trade Log'!$A$6:$A$1005,"&gt;="&amp;$B35,'Trade Log'!$A$6:$A$1005,"&lt;="&amp;($B35+6),'Trade Log'!$AB$6:$AB$1005,W$5))</f>
        <v>0</v>
      </c>
      <c r="X35" s="109">
        <f>IF(OR($B35="",X$5=""),0,COUNTIFS('Trade Log'!$A$6:$A$1005,"&gt;="&amp;$B35,'Trade Log'!$A$6:$A$1005,"&lt;="&amp;($B35+6),'Trade Log'!$AB$6:$AB$1005,X$5))</f>
        <v>0</v>
      </c>
      <c r="Y35" s="109">
        <f>IF(OR($B35="",Y$5=""),0,COUNTIFS('Trade Log'!$A$6:$A$1005,"&gt;="&amp;$B35,'Trade Log'!$A$6:$A$1005,"&lt;="&amp;($B35+6),'Trade Log'!$AB$6:$AB$1005,Y$5))</f>
        <v>0</v>
      </c>
      <c r="Z35" s="109">
        <f>IF(OR($B35="",Z$5=""),0,COUNTIFS('Trade Log'!$A$6:$A$1005,"&gt;="&amp;$B35,'Trade Log'!$A$6:$A$1005,"&lt;="&amp;($B35+6),'Trade Log'!$AB$6:$AB$1005,Z$5))</f>
        <v>0</v>
      </c>
      <c r="AA35" s="109">
        <f>IF(OR($B35="",AA$5=""),0,COUNTIFS('Trade Log'!$A$6:$A$1005,"&gt;="&amp;$B35,'Trade Log'!$A$6:$A$1005,"&lt;="&amp;($B35+6),'Trade Log'!$AB$6:$AB$1005,AA$5))</f>
        <v>0</v>
      </c>
      <c r="AB35" s="109">
        <f>IF(OR($B35="",AB$5=""),0,COUNTIFS('Trade Log'!$A$6:$A$1005,"&gt;="&amp;$B35,'Trade Log'!$A$6:$A$1005,"&lt;="&amp;($B35+6),'Trade Log'!$AB$6:$AB$1005,AB$5))</f>
        <v>0</v>
      </c>
      <c r="AC35" s="113">
        <f>IF(OR($B35="",AC$5=""),0,SUMIFS('Trade Log'!$Q$6:$Q$1005,'Trade Log'!$A$6:$A$1005,"&gt;="&amp;$B35,'Trade Log'!$A$6:$A$1005,"&lt;="&amp;($B35+6),'Trade Log'!$AA$6:$AA$1005,AC$5))</f>
        <v>0</v>
      </c>
      <c r="AD35" s="113">
        <f>IF(OR($B35="",AD$5=""),0,SUMIFS('Trade Log'!$Q$6:$Q$1005,'Trade Log'!$A$6:$A$1005,"&gt;="&amp;$B35,'Trade Log'!$A$6:$A$1005,"&lt;="&amp;($B35+6),'Trade Log'!$AA$6:$AA$1005,AD$5))</f>
        <v>0</v>
      </c>
      <c r="AE35" s="113">
        <f>IF(OR($B35="",AE$5=""),0,SUMIFS('Trade Log'!$Q$6:$Q$1005,'Trade Log'!$A$6:$A$1005,"&gt;="&amp;$B35,'Trade Log'!$A$6:$A$1005,"&lt;="&amp;($B35+6),'Trade Log'!$AA$6:$AA$1005,AE$5))</f>
        <v>0</v>
      </c>
      <c r="AF35" s="113">
        <f>IF(OR($B35="",AF$5=""),0,SUMIFS('Trade Log'!$Q$6:$Q$1005,'Trade Log'!$A$6:$A$1005,"&gt;="&amp;$B35,'Trade Log'!$A$6:$A$1005,"&lt;="&amp;($B35+6),'Trade Log'!$AA$6:$AA$1005,AF$5))</f>
        <v>0</v>
      </c>
      <c r="AG35" s="113">
        <f>IF(OR($B35="",AG$5=""),0,SUMIFS('Trade Log'!$Q$6:$Q$1005,'Trade Log'!$A$6:$A$1005,"&gt;="&amp;$B35,'Trade Log'!$A$6:$A$1005,"&lt;="&amp;($B35+6),'Trade Log'!$AA$6:$AA$1005,AG$5))</f>
        <v>0</v>
      </c>
      <c r="AH35" s="113">
        <f>IF(OR($B35="",AH$5=""),0,SUMIFS('Trade Log'!$Q$6:$Q$1005,'Trade Log'!$A$6:$A$1005,"&gt;="&amp;$B35,'Trade Log'!$A$6:$A$1005,"&lt;="&amp;($B35+6),'Trade Log'!$AA$6:$AA$1005,AH$5))</f>
        <v>0</v>
      </c>
      <c r="AI35" s="113">
        <f>IF(OR($B35="",AI$5=""),0,SUMIFS('Trade Log'!$Q$6:$Q$1005,'Trade Log'!$A$6:$A$1005,"&gt;="&amp;$B35,'Trade Log'!$A$6:$A$1005,"&lt;="&amp;($B35+6),'Trade Log'!$AA$6:$AA$1005,AI$5))</f>
        <v>0</v>
      </c>
      <c r="AJ35" s="113">
        <f>IF(OR($B35="",AJ$5=""),0,SUMIFS('Trade Log'!$Q$6:$Q$1005,'Trade Log'!$A$6:$A$1005,"&gt;="&amp;$B35,'Trade Log'!$A$6:$A$1005,"&lt;="&amp;($B35+6),'Trade Log'!$AA$6:$AA$1005,AJ$5))</f>
        <v>0</v>
      </c>
      <c r="AK35" s="113">
        <f>IF(OR($B35="",AK$5=""),0,SUMIFS('Trade Log'!$Q$6:$Q$1005,'Trade Log'!$A$6:$A$1005,"&gt;="&amp;$B35,'Trade Log'!$A$6:$A$1005,"&lt;="&amp;($B35+6),'Trade Log'!$AA$6:$AA$1005,AK$5))</f>
        <v>0</v>
      </c>
      <c r="AL35" s="113">
        <f>IF(OR($B35="",AL$5=""),0,SUMIFS('Trade Log'!$Q$6:$Q$1005,'Trade Log'!$A$6:$A$1005,"&gt;="&amp;$B35,'Trade Log'!$A$6:$A$1005,"&lt;="&amp;($B35+6),'Trade Log'!$AA$6:$AA$1005,AL$5))</f>
        <v>0</v>
      </c>
      <c r="AM35" s="113">
        <f>IF(OR($B35="",AM$5=""),0,SUMIFS('Trade Log'!$Q$6:$Q$1005,'Trade Log'!$A$6:$A$1005,"&gt;="&amp;$B35,'Trade Log'!$A$6:$A$1005,"&lt;="&amp;($B35+6),'Trade Log'!$Y$6:$Y$1005,AM$5))</f>
        <v>0</v>
      </c>
      <c r="AN35" s="113">
        <f>IF(OR($B35="",AN$5=""),0,SUMIFS('Trade Log'!$Q$6:$Q$1005,'Trade Log'!$A$6:$A$1005,"&gt;="&amp;$B35,'Trade Log'!$A$6:$A$1005,"&lt;="&amp;($B35+6),'Trade Log'!$Y$6:$Y$1005,AN$5))</f>
        <v>0</v>
      </c>
      <c r="AO35" s="113">
        <f>IF(OR($B35="",AO$5=""),0,SUMIFS('Trade Log'!$Q$6:$Q$1005,'Trade Log'!$A$6:$A$1005,"&gt;="&amp;$B35,'Trade Log'!$A$6:$A$1005,"&lt;="&amp;($B35+6),'Trade Log'!$Y$6:$Y$1005,AO$5))</f>
        <v>0</v>
      </c>
      <c r="AP35" s="113">
        <f>IF(OR($B35="",AP$5=""),0,SUMIFS('Trade Log'!$Q$6:$Q$1005,'Trade Log'!$A$6:$A$1005,"&gt;="&amp;$B35,'Trade Log'!$A$6:$A$1005,"&lt;="&amp;($B35+6),'Trade Log'!$Y$6:$Y$1005,AP$5))</f>
        <v>0</v>
      </c>
      <c r="AQ35" s="113">
        <f>IF(OR($B35="",AQ$5=""),0,SUMIFS('Trade Log'!$Q$6:$Q$1005,'Trade Log'!$A$6:$A$1005,"&gt;="&amp;$B35,'Trade Log'!$A$6:$A$1005,"&lt;="&amp;($B35+6),'Trade Log'!$Y$6:$Y$1005,AQ$5))</f>
        <v>0</v>
      </c>
      <c r="AR35" s="113">
        <f>IF(OR($B35="",AR$5=""),0,SUMIFS('Trade Log'!$Q$6:$Q$1005,'Trade Log'!$A$6:$A$1005,"&gt;="&amp;$B35,'Trade Log'!$A$6:$A$1005,"&lt;="&amp;($B35+6),'Trade Log'!$Y$6:$Y$1005,AR$5))</f>
        <v>0</v>
      </c>
      <c r="AS35" s="113">
        <f>IF(OR($B35="",AS$5=""),0,SUMIFS('Trade Log'!$Q$6:$Q$1005,'Trade Log'!$A$6:$A$1005,"&gt;="&amp;$B35,'Trade Log'!$A$6:$A$1005,"&lt;="&amp;($B35+6),'Trade Log'!$Y$6:$Y$1005,AS$5))</f>
        <v>0</v>
      </c>
      <c r="AT35" s="113">
        <f>IF(OR($B35="",AT$5=""),0,SUMIFS('Trade Log'!$Q$6:$Q$1005,'Trade Log'!$A$6:$A$1005,"&gt;="&amp;$B35,'Trade Log'!$A$6:$A$1005,"&lt;="&amp;($B35+6),'Trade Log'!$Y$6:$Y$1005,AT$5))</f>
        <v>0</v>
      </c>
      <c r="AU35" s="113">
        <f>IF(OR($B35="",AU$5=""),0,SUMIFS('Trade Log'!$Q$6:$Q$1005,'Trade Log'!$A$6:$A$1005,"&gt;="&amp;$B35,'Trade Log'!$A$6:$A$1005,"&lt;="&amp;($B35+6),'Trade Log'!$Y$6:$Y$1005,AU$5))</f>
        <v>0</v>
      </c>
      <c r="AV35" s="113">
        <f>IF(OR($B35="",AV$5=""),0,SUMIFS('Trade Log'!$Q$6:$Q$1005,'Trade Log'!$A$6:$A$1005,"&gt;="&amp;$B35,'Trade Log'!$A$6:$A$1005,"&lt;="&amp;($B35+6),'Trade Log'!$Y$6:$Y$1005,AV$5))</f>
        <v>0</v>
      </c>
    </row>
    <row r="36">
      <c r="B36" s="107">
        <f>IF($B35="","",$B35+7)</f>
        <v>46496</v>
      </c>
      <c r="C36" s="96">
        <f>IF($B36="","",COUNTIFS('Trade Log'!$A$6:$A$1005,"&gt;="&amp;$B36,'Trade Log'!$A$6:$A$1005,"&lt;="&amp;($B36+6),'Trade Log'!$BH$6:$BH$1005,1))</f>
        <v>0</v>
      </c>
      <c r="D36" s="98" t="str">
        <f>IF(OR($B36="",N($C36)=0),"",SUMIFS('Trade Log'!$Q$6:$Q$1005,'Trade Log'!$A$6:$A$1005,"&gt;="&amp;$B36,'Trade Log'!$A$6:$A$1005,"&lt;="&amp;($B36+6)))</f>
        <v/>
      </c>
      <c r="E36" s="99" t="str">
        <f>IF(OR($B36="",N($C36)=0),"",IFERROR(COUNTIFS('Trade Log'!$A$6:$A$1005,"&gt;="&amp;$B36,'Trade Log'!$A$6:$A$1005,"&lt;="&amp;($B36+6),'Trade Log'!$S$6:$S$1005,"Win")/(COUNTIFS('Trade Log'!$A$6:$A$1005,"&gt;="&amp;$B36,'Trade Log'!$A$6:$A$1005,"&lt;="&amp;($B36+6),'Trade Log'!$S$6:$S$1005,"Win")+COUNTIFS('Trade Log'!$A$6:$A$1005,"&gt;="&amp;$B36,'Trade Log'!$A$6:$A$1005,"&lt;="&amp;($B36+6),'Trade Log'!$S$6:$S$1005,"Loss")),"—"))</f>
        <v/>
      </c>
      <c r="F36" s="104" t="str">
        <f>IF(OR($B36="",N($C36)=0),"",IFERROR(SUMIFS('Trade Log'!$R$6:$R$1005,'Trade Log'!$A$6:$A$1005,"&gt;="&amp;$B36,'Trade Log'!$A$6:$A$1005,"&lt;="&amp;($B36+6))/COUNTIFS('Trade Log'!$A$6:$A$1005,"&gt;="&amp;$B36,'Trade Log'!$A$6:$A$1005,"&lt;="&amp;($B36+6),'Trade Log'!$BC$6:$BC$1005,1),"—"))</f>
        <v/>
      </c>
      <c r="G36" s="110" t="str">
        <f>IF(OR($B36="",N($C36)=0),"",IF(SUMIFS('Trade Log'!$Q$6:$Q$1005,'Trade Log'!$A$6:$A$1005,"&gt;="&amp;$B36,'Trade Log'!$A$6:$A$1005,"&lt;="&amp;($B36+6),'Trade Log'!$Q$6:$Q$1005,"&lt;0")=0,IF(SUMIFS('Trade Log'!$Q$6:$Q$1005,'Trade Log'!$A$6:$A$1005,"&gt;="&amp;$B36,'Trade Log'!$A$6:$A$1005,"&lt;="&amp;($B36+6),'Trade Log'!$Q$6:$Q$1005,"&gt;0")&gt;0,"No losses","—"),SUMIFS('Trade Log'!$Q$6:$Q$1005,'Trade Log'!$A$6:$A$1005,"&gt;="&amp;$B36,'Trade Log'!$A$6:$A$1005,"&lt;="&amp;($B36+6),'Trade Log'!$Q$6:$Q$1005,"&gt;0")/-SUMIFS('Trade Log'!$Q$6:$Q$1005,'Trade Log'!$A$6:$A$1005,"&gt;="&amp;$B36,'Trade Log'!$A$6:$A$1005,"&lt;="&amp;($B36+6),'Trade Log'!$Q$6:$Q$1005,"&lt;0")))</f>
        <v/>
      </c>
      <c r="H36" s="99" t="str">
        <f>IF(OR($B36="",N($C36)=0),"",IFERROR(COUNTIFS('Trade Log'!$A$6:$A$1005,"&gt;="&amp;$B36,'Trade Log'!$A$6:$A$1005,"&lt;="&amp;($B36+6),'Trade Log'!$Z$6:$Z$1005,"Yes")/(COUNTIFS('Trade Log'!$A$6:$A$1005,"&gt;="&amp;$B36,'Trade Log'!$A$6:$A$1005,"&lt;="&amp;($B36+6),'Trade Log'!$Z$6:$Z$1005,"Yes")+COUNTIFS('Trade Log'!$A$6:$A$1005,"&gt;="&amp;$B36,'Trade Log'!$A$6:$A$1005,"&lt;="&amp;($B36+6),'Trade Log'!$Z$6:$Z$1005,"No")),"—"))</f>
        <v/>
      </c>
      <c r="I36" s="111" t="str">
        <f>IF(OR($B36="",N($C36)=0),"",IF(MAX($Q36:$AB36)=0,"None — clean week",INDEX($Q$5:$AB$5,MATCH(MAX($Q36:$AB36),$Q36:$AB36,0))))</f>
        <v/>
      </c>
      <c r="J36" s="111" t="str">
        <f>IF(OR($B36="",N($C36)=0),"",IF(MIN($AC36:$AL36)&gt;=0,"None lost money",INDEX($AC$5:$AL$5,MATCH(MIN($AC36:$AL36),$AC36:$AL36,0))))</f>
        <v/>
      </c>
      <c r="K36" s="111" t="str">
        <f>IF(OR($B36="",N($C36)=0),"",IF(MAX($AM36:$AV36)&lt;=0,"None made money",INDEX($AM$5:$AV$5,MATCH(MAX($AM36:$AV36),$AM36:$AV36,0))))</f>
        <v/>
      </c>
      <c r="L36" s="106" t="n"/>
      <c r="M36" s="106" t="n"/>
      <c r="N36" s="112" t="n"/>
      <c r="O36" s="29" t="n"/>
      <c r="Q36" s="109">
        <f>IF(OR($B36="",Q$5=""),0,COUNTIFS('Trade Log'!$A$6:$A$1005,"&gt;="&amp;$B36,'Trade Log'!$A$6:$A$1005,"&lt;="&amp;($B36+6),'Trade Log'!$AB$6:$AB$1005,Q$5))</f>
        <v>0</v>
      </c>
      <c r="R36" s="109">
        <f>IF(OR($B36="",R$5=""),0,COUNTIFS('Trade Log'!$A$6:$A$1005,"&gt;="&amp;$B36,'Trade Log'!$A$6:$A$1005,"&lt;="&amp;($B36+6),'Trade Log'!$AB$6:$AB$1005,R$5))</f>
        <v>0</v>
      </c>
      <c r="S36" s="109">
        <f>IF(OR($B36="",S$5=""),0,COUNTIFS('Trade Log'!$A$6:$A$1005,"&gt;="&amp;$B36,'Trade Log'!$A$6:$A$1005,"&lt;="&amp;($B36+6),'Trade Log'!$AB$6:$AB$1005,S$5))</f>
        <v>0</v>
      </c>
      <c r="T36" s="109">
        <f>IF(OR($B36="",T$5=""),0,COUNTIFS('Trade Log'!$A$6:$A$1005,"&gt;="&amp;$B36,'Trade Log'!$A$6:$A$1005,"&lt;="&amp;($B36+6),'Trade Log'!$AB$6:$AB$1005,T$5))</f>
        <v>0</v>
      </c>
      <c r="U36" s="109">
        <f>IF(OR($B36="",U$5=""),0,COUNTIFS('Trade Log'!$A$6:$A$1005,"&gt;="&amp;$B36,'Trade Log'!$A$6:$A$1005,"&lt;="&amp;($B36+6),'Trade Log'!$AB$6:$AB$1005,U$5))</f>
        <v>0</v>
      </c>
      <c r="V36" s="109">
        <f>IF(OR($B36="",V$5=""),0,COUNTIFS('Trade Log'!$A$6:$A$1005,"&gt;="&amp;$B36,'Trade Log'!$A$6:$A$1005,"&lt;="&amp;($B36+6),'Trade Log'!$AB$6:$AB$1005,V$5))</f>
        <v>0</v>
      </c>
      <c r="W36" s="109">
        <f>IF(OR($B36="",W$5=""),0,COUNTIFS('Trade Log'!$A$6:$A$1005,"&gt;="&amp;$B36,'Trade Log'!$A$6:$A$1005,"&lt;="&amp;($B36+6),'Trade Log'!$AB$6:$AB$1005,W$5))</f>
        <v>0</v>
      </c>
      <c r="X36" s="109">
        <f>IF(OR($B36="",X$5=""),0,COUNTIFS('Trade Log'!$A$6:$A$1005,"&gt;="&amp;$B36,'Trade Log'!$A$6:$A$1005,"&lt;="&amp;($B36+6),'Trade Log'!$AB$6:$AB$1005,X$5))</f>
        <v>0</v>
      </c>
      <c r="Y36" s="109">
        <f>IF(OR($B36="",Y$5=""),0,COUNTIFS('Trade Log'!$A$6:$A$1005,"&gt;="&amp;$B36,'Trade Log'!$A$6:$A$1005,"&lt;="&amp;($B36+6),'Trade Log'!$AB$6:$AB$1005,Y$5))</f>
        <v>0</v>
      </c>
      <c r="Z36" s="109">
        <f>IF(OR($B36="",Z$5=""),0,COUNTIFS('Trade Log'!$A$6:$A$1005,"&gt;="&amp;$B36,'Trade Log'!$A$6:$A$1005,"&lt;="&amp;($B36+6),'Trade Log'!$AB$6:$AB$1005,Z$5))</f>
        <v>0</v>
      </c>
      <c r="AA36" s="109">
        <f>IF(OR($B36="",AA$5=""),0,COUNTIFS('Trade Log'!$A$6:$A$1005,"&gt;="&amp;$B36,'Trade Log'!$A$6:$A$1005,"&lt;="&amp;($B36+6),'Trade Log'!$AB$6:$AB$1005,AA$5))</f>
        <v>0</v>
      </c>
      <c r="AB36" s="109">
        <f>IF(OR($B36="",AB$5=""),0,COUNTIFS('Trade Log'!$A$6:$A$1005,"&gt;="&amp;$B36,'Trade Log'!$A$6:$A$1005,"&lt;="&amp;($B36+6),'Trade Log'!$AB$6:$AB$1005,AB$5))</f>
        <v>0</v>
      </c>
      <c r="AC36" s="113">
        <f>IF(OR($B36="",AC$5=""),0,SUMIFS('Trade Log'!$Q$6:$Q$1005,'Trade Log'!$A$6:$A$1005,"&gt;="&amp;$B36,'Trade Log'!$A$6:$A$1005,"&lt;="&amp;($B36+6),'Trade Log'!$AA$6:$AA$1005,AC$5))</f>
        <v>0</v>
      </c>
      <c r="AD36" s="113">
        <f>IF(OR($B36="",AD$5=""),0,SUMIFS('Trade Log'!$Q$6:$Q$1005,'Trade Log'!$A$6:$A$1005,"&gt;="&amp;$B36,'Trade Log'!$A$6:$A$1005,"&lt;="&amp;($B36+6),'Trade Log'!$AA$6:$AA$1005,AD$5))</f>
        <v>0</v>
      </c>
      <c r="AE36" s="113">
        <f>IF(OR($B36="",AE$5=""),0,SUMIFS('Trade Log'!$Q$6:$Q$1005,'Trade Log'!$A$6:$A$1005,"&gt;="&amp;$B36,'Trade Log'!$A$6:$A$1005,"&lt;="&amp;($B36+6),'Trade Log'!$AA$6:$AA$1005,AE$5))</f>
        <v>0</v>
      </c>
      <c r="AF36" s="113">
        <f>IF(OR($B36="",AF$5=""),0,SUMIFS('Trade Log'!$Q$6:$Q$1005,'Trade Log'!$A$6:$A$1005,"&gt;="&amp;$B36,'Trade Log'!$A$6:$A$1005,"&lt;="&amp;($B36+6),'Trade Log'!$AA$6:$AA$1005,AF$5))</f>
        <v>0</v>
      </c>
      <c r="AG36" s="113">
        <f>IF(OR($B36="",AG$5=""),0,SUMIFS('Trade Log'!$Q$6:$Q$1005,'Trade Log'!$A$6:$A$1005,"&gt;="&amp;$B36,'Trade Log'!$A$6:$A$1005,"&lt;="&amp;($B36+6),'Trade Log'!$AA$6:$AA$1005,AG$5))</f>
        <v>0</v>
      </c>
      <c r="AH36" s="113">
        <f>IF(OR($B36="",AH$5=""),0,SUMIFS('Trade Log'!$Q$6:$Q$1005,'Trade Log'!$A$6:$A$1005,"&gt;="&amp;$B36,'Trade Log'!$A$6:$A$1005,"&lt;="&amp;($B36+6),'Trade Log'!$AA$6:$AA$1005,AH$5))</f>
        <v>0</v>
      </c>
      <c r="AI36" s="113">
        <f>IF(OR($B36="",AI$5=""),0,SUMIFS('Trade Log'!$Q$6:$Q$1005,'Trade Log'!$A$6:$A$1005,"&gt;="&amp;$B36,'Trade Log'!$A$6:$A$1005,"&lt;="&amp;($B36+6),'Trade Log'!$AA$6:$AA$1005,AI$5))</f>
        <v>0</v>
      </c>
      <c r="AJ36" s="113">
        <f>IF(OR($B36="",AJ$5=""),0,SUMIFS('Trade Log'!$Q$6:$Q$1005,'Trade Log'!$A$6:$A$1005,"&gt;="&amp;$B36,'Trade Log'!$A$6:$A$1005,"&lt;="&amp;($B36+6),'Trade Log'!$AA$6:$AA$1005,AJ$5))</f>
        <v>0</v>
      </c>
      <c r="AK36" s="113">
        <f>IF(OR($B36="",AK$5=""),0,SUMIFS('Trade Log'!$Q$6:$Q$1005,'Trade Log'!$A$6:$A$1005,"&gt;="&amp;$B36,'Trade Log'!$A$6:$A$1005,"&lt;="&amp;($B36+6),'Trade Log'!$AA$6:$AA$1005,AK$5))</f>
        <v>0</v>
      </c>
      <c r="AL36" s="113">
        <f>IF(OR($B36="",AL$5=""),0,SUMIFS('Trade Log'!$Q$6:$Q$1005,'Trade Log'!$A$6:$A$1005,"&gt;="&amp;$B36,'Trade Log'!$A$6:$A$1005,"&lt;="&amp;($B36+6),'Trade Log'!$AA$6:$AA$1005,AL$5))</f>
        <v>0</v>
      </c>
      <c r="AM36" s="113">
        <f>IF(OR($B36="",AM$5=""),0,SUMIFS('Trade Log'!$Q$6:$Q$1005,'Trade Log'!$A$6:$A$1005,"&gt;="&amp;$B36,'Trade Log'!$A$6:$A$1005,"&lt;="&amp;($B36+6),'Trade Log'!$Y$6:$Y$1005,AM$5))</f>
        <v>0</v>
      </c>
      <c r="AN36" s="113">
        <f>IF(OR($B36="",AN$5=""),0,SUMIFS('Trade Log'!$Q$6:$Q$1005,'Trade Log'!$A$6:$A$1005,"&gt;="&amp;$B36,'Trade Log'!$A$6:$A$1005,"&lt;="&amp;($B36+6),'Trade Log'!$Y$6:$Y$1005,AN$5))</f>
        <v>0</v>
      </c>
      <c r="AO36" s="113">
        <f>IF(OR($B36="",AO$5=""),0,SUMIFS('Trade Log'!$Q$6:$Q$1005,'Trade Log'!$A$6:$A$1005,"&gt;="&amp;$B36,'Trade Log'!$A$6:$A$1005,"&lt;="&amp;($B36+6),'Trade Log'!$Y$6:$Y$1005,AO$5))</f>
        <v>0</v>
      </c>
      <c r="AP36" s="113">
        <f>IF(OR($B36="",AP$5=""),0,SUMIFS('Trade Log'!$Q$6:$Q$1005,'Trade Log'!$A$6:$A$1005,"&gt;="&amp;$B36,'Trade Log'!$A$6:$A$1005,"&lt;="&amp;($B36+6),'Trade Log'!$Y$6:$Y$1005,AP$5))</f>
        <v>0</v>
      </c>
      <c r="AQ36" s="113">
        <f>IF(OR($B36="",AQ$5=""),0,SUMIFS('Trade Log'!$Q$6:$Q$1005,'Trade Log'!$A$6:$A$1005,"&gt;="&amp;$B36,'Trade Log'!$A$6:$A$1005,"&lt;="&amp;($B36+6),'Trade Log'!$Y$6:$Y$1005,AQ$5))</f>
        <v>0</v>
      </c>
      <c r="AR36" s="113">
        <f>IF(OR($B36="",AR$5=""),0,SUMIFS('Trade Log'!$Q$6:$Q$1005,'Trade Log'!$A$6:$A$1005,"&gt;="&amp;$B36,'Trade Log'!$A$6:$A$1005,"&lt;="&amp;($B36+6),'Trade Log'!$Y$6:$Y$1005,AR$5))</f>
        <v>0</v>
      </c>
      <c r="AS36" s="113">
        <f>IF(OR($B36="",AS$5=""),0,SUMIFS('Trade Log'!$Q$6:$Q$1005,'Trade Log'!$A$6:$A$1005,"&gt;="&amp;$B36,'Trade Log'!$A$6:$A$1005,"&lt;="&amp;($B36+6),'Trade Log'!$Y$6:$Y$1005,AS$5))</f>
        <v>0</v>
      </c>
      <c r="AT36" s="113">
        <f>IF(OR($B36="",AT$5=""),0,SUMIFS('Trade Log'!$Q$6:$Q$1005,'Trade Log'!$A$6:$A$1005,"&gt;="&amp;$B36,'Trade Log'!$A$6:$A$1005,"&lt;="&amp;($B36+6),'Trade Log'!$Y$6:$Y$1005,AT$5))</f>
        <v>0</v>
      </c>
      <c r="AU36" s="113">
        <f>IF(OR($B36="",AU$5=""),0,SUMIFS('Trade Log'!$Q$6:$Q$1005,'Trade Log'!$A$6:$A$1005,"&gt;="&amp;$B36,'Trade Log'!$A$6:$A$1005,"&lt;="&amp;($B36+6),'Trade Log'!$Y$6:$Y$1005,AU$5))</f>
        <v>0</v>
      </c>
      <c r="AV36" s="113">
        <f>IF(OR($B36="",AV$5=""),0,SUMIFS('Trade Log'!$Q$6:$Q$1005,'Trade Log'!$A$6:$A$1005,"&gt;="&amp;$B36,'Trade Log'!$A$6:$A$1005,"&lt;="&amp;($B36+6),'Trade Log'!$Y$6:$Y$1005,AV$5))</f>
        <v>0</v>
      </c>
    </row>
    <row r="37">
      <c r="B37" s="107">
        <f>IF($B36="","",$B36+7)</f>
        <v>46503</v>
      </c>
      <c r="C37" s="96">
        <f>IF($B37="","",COUNTIFS('Trade Log'!$A$6:$A$1005,"&gt;="&amp;$B37,'Trade Log'!$A$6:$A$1005,"&lt;="&amp;($B37+6),'Trade Log'!$BH$6:$BH$1005,1))</f>
        <v>0</v>
      </c>
      <c r="D37" s="98" t="str">
        <f>IF(OR($B37="",N($C37)=0),"",SUMIFS('Trade Log'!$Q$6:$Q$1005,'Trade Log'!$A$6:$A$1005,"&gt;="&amp;$B37,'Trade Log'!$A$6:$A$1005,"&lt;="&amp;($B37+6)))</f>
        <v/>
      </c>
      <c r="E37" s="99" t="str">
        <f>IF(OR($B37="",N($C37)=0),"",IFERROR(COUNTIFS('Trade Log'!$A$6:$A$1005,"&gt;="&amp;$B37,'Trade Log'!$A$6:$A$1005,"&lt;="&amp;($B37+6),'Trade Log'!$S$6:$S$1005,"Win")/(COUNTIFS('Trade Log'!$A$6:$A$1005,"&gt;="&amp;$B37,'Trade Log'!$A$6:$A$1005,"&lt;="&amp;($B37+6),'Trade Log'!$S$6:$S$1005,"Win")+COUNTIFS('Trade Log'!$A$6:$A$1005,"&gt;="&amp;$B37,'Trade Log'!$A$6:$A$1005,"&lt;="&amp;($B37+6),'Trade Log'!$S$6:$S$1005,"Loss")),"—"))</f>
        <v/>
      </c>
      <c r="F37" s="104" t="str">
        <f>IF(OR($B37="",N($C37)=0),"",IFERROR(SUMIFS('Trade Log'!$R$6:$R$1005,'Trade Log'!$A$6:$A$1005,"&gt;="&amp;$B37,'Trade Log'!$A$6:$A$1005,"&lt;="&amp;($B37+6))/COUNTIFS('Trade Log'!$A$6:$A$1005,"&gt;="&amp;$B37,'Trade Log'!$A$6:$A$1005,"&lt;="&amp;($B37+6),'Trade Log'!$BC$6:$BC$1005,1),"—"))</f>
        <v/>
      </c>
      <c r="G37" s="110" t="str">
        <f>IF(OR($B37="",N($C37)=0),"",IF(SUMIFS('Trade Log'!$Q$6:$Q$1005,'Trade Log'!$A$6:$A$1005,"&gt;="&amp;$B37,'Trade Log'!$A$6:$A$1005,"&lt;="&amp;($B37+6),'Trade Log'!$Q$6:$Q$1005,"&lt;0")=0,IF(SUMIFS('Trade Log'!$Q$6:$Q$1005,'Trade Log'!$A$6:$A$1005,"&gt;="&amp;$B37,'Trade Log'!$A$6:$A$1005,"&lt;="&amp;($B37+6),'Trade Log'!$Q$6:$Q$1005,"&gt;0")&gt;0,"No losses","—"),SUMIFS('Trade Log'!$Q$6:$Q$1005,'Trade Log'!$A$6:$A$1005,"&gt;="&amp;$B37,'Trade Log'!$A$6:$A$1005,"&lt;="&amp;($B37+6),'Trade Log'!$Q$6:$Q$1005,"&gt;0")/-SUMIFS('Trade Log'!$Q$6:$Q$1005,'Trade Log'!$A$6:$A$1005,"&gt;="&amp;$B37,'Trade Log'!$A$6:$A$1005,"&lt;="&amp;($B37+6),'Trade Log'!$Q$6:$Q$1005,"&lt;0")))</f>
        <v/>
      </c>
      <c r="H37" s="99" t="str">
        <f>IF(OR($B37="",N($C37)=0),"",IFERROR(COUNTIFS('Trade Log'!$A$6:$A$1005,"&gt;="&amp;$B37,'Trade Log'!$A$6:$A$1005,"&lt;="&amp;($B37+6),'Trade Log'!$Z$6:$Z$1005,"Yes")/(COUNTIFS('Trade Log'!$A$6:$A$1005,"&gt;="&amp;$B37,'Trade Log'!$A$6:$A$1005,"&lt;="&amp;($B37+6),'Trade Log'!$Z$6:$Z$1005,"Yes")+COUNTIFS('Trade Log'!$A$6:$A$1005,"&gt;="&amp;$B37,'Trade Log'!$A$6:$A$1005,"&lt;="&amp;($B37+6),'Trade Log'!$Z$6:$Z$1005,"No")),"—"))</f>
        <v/>
      </c>
      <c r="I37" s="111" t="str">
        <f>IF(OR($B37="",N($C37)=0),"",IF(MAX($Q37:$AB37)=0,"None — clean week",INDEX($Q$5:$AB$5,MATCH(MAX($Q37:$AB37),$Q37:$AB37,0))))</f>
        <v/>
      </c>
      <c r="J37" s="111" t="str">
        <f>IF(OR($B37="",N($C37)=0),"",IF(MIN($AC37:$AL37)&gt;=0,"None lost money",INDEX($AC$5:$AL$5,MATCH(MIN($AC37:$AL37),$AC37:$AL37,0))))</f>
        <v/>
      </c>
      <c r="K37" s="111" t="str">
        <f>IF(OR($B37="",N($C37)=0),"",IF(MAX($AM37:$AV37)&lt;=0,"None made money",INDEX($AM$5:$AV$5,MATCH(MAX($AM37:$AV37),$AM37:$AV37,0))))</f>
        <v/>
      </c>
      <c r="L37" s="106" t="n"/>
      <c r="M37" s="106" t="n"/>
      <c r="N37" s="112" t="n"/>
      <c r="O37" s="29" t="n"/>
      <c r="Q37" s="109">
        <f>IF(OR($B37="",Q$5=""),0,COUNTIFS('Trade Log'!$A$6:$A$1005,"&gt;="&amp;$B37,'Trade Log'!$A$6:$A$1005,"&lt;="&amp;($B37+6),'Trade Log'!$AB$6:$AB$1005,Q$5))</f>
        <v>0</v>
      </c>
      <c r="R37" s="109">
        <f>IF(OR($B37="",R$5=""),0,COUNTIFS('Trade Log'!$A$6:$A$1005,"&gt;="&amp;$B37,'Trade Log'!$A$6:$A$1005,"&lt;="&amp;($B37+6),'Trade Log'!$AB$6:$AB$1005,R$5))</f>
        <v>0</v>
      </c>
      <c r="S37" s="109">
        <f>IF(OR($B37="",S$5=""),0,COUNTIFS('Trade Log'!$A$6:$A$1005,"&gt;="&amp;$B37,'Trade Log'!$A$6:$A$1005,"&lt;="&amp;($B37+6),'Trade Log'!$AB$6:$AB$1005,S$5))</f>
        <v>0</v>
      </c>
      <c r="T37" s="109">
        <f>IF(OR($B37="",T$5=""),0,COUNTIFS('Trade Log'!$A$6:$A$1005,"&gt;="&amp;$B37,'Trade Log'!$A$6:$A$1005,"&lt;="&amp;($B37+6),'Trade Log'!$AB$6:$AB$1005,T$5))</f>
        <v>0</v>
      </c>
      <c r="U37" s="109">
        <f>IF(OR($B37="",U$5=""),0,COUNTIFS('Trade Log'!$A$6:$A$1005,"&gt;="&amp;$B37,'Trade Log'!$A$6:$A$1005,"&lt;="&amp;($B37+6),'Trade Log'!$AB$6:$AB$1005,U$5))</f>
        <v>0</v>
      </c>
      <c r="V37" s="109">
        <f>IF(OR($B37="",V$5=""),0,COUNTIFS('Trade Log'!$A$6:$A$1005,"&gt;="&amp;$B37,'Trade Log'!$A$6:$A$1005,"&lt;="&amp;($B37+6),'Trade Log'!$AB$6:$AB$1005,V$5))</f>
        <v>0</v>
      </c>
      <c r="W37" s="109">
        <f>IF(OR($B37="",W$5=""),0,COUNTIFS('Trade Log'!$A$6:$A$1005,"&gt;="&amp;$B37,'Trade Log'!$A$6:$A$1005,"&lt;="&amp;($B37+6),'Trade Log'!$AB$6:$AB$1005,W$5))</f>
        <v>0</v>
      </c>
      <c r="X37" s="109">
        <f>IF(OR($B37="",X$5=""),0,COUNTIFS('Trade Log'!$A$6:$A$1005,"&gt;="&amp;$B37,'Trade Log'!$A$6:$A$1005,"&lt;="&amp;($B37+6),'Trade Log'!$AB$6:$AB$1005,X$5))</f>
        <v>0</v>
      </c>
      <c r="Y37" s="109">
        <f>IF(OR($B37="",Y$5=""),0,COUNTIFS('Trade Log'!$A$6:$A$1005,"&gt;="&amp;$B37,'Trade Log'!$A$6:$A$1005,"&lt;="&amp;($B37+6),'Trade Log'!$AB$6:$AB$1005,Y$5))</f>
        <v>0</v>
      </c>
      <c r="Z37" s="109">
        <f>IF(OR($B37="",Z$5=""),0,COUNTIFS('Trade Log'!$A$6:$A$1005,"&gt;="&amp;$B37,'Trade Log'!$A$6:$A$1005,"&lt;="&amp;($B37+6),'Trade Log'!$AB$6:$AB$1005,Z$5))</f>
        <v>0</v>
      </c>
      <c r="AA37" s="109">
        <f>IF(OR($B37="",AA$5=""),0,COUNTIFS('Trade Log'!$A$6:$A$1005,"&gt;="&amp;$B37,'Trade Log'!$A$6:$A$1005,"&lt;="&amp;($B37+6),'Trade Log'!$AB$6:$AB$1005,AA$5))</f>
        <v>0</v>
      </c>
      <c r="AB37" s="109">
        <f>IF(OR($B37="",AB$5=""),0,COUNTIFS('Trade Log'!$A$6:$A$1005,"&gt;="&amp;$B37,'Trade Log'!$A$6:$A$1005,"&lt;="&amp;($B37+6),'Trade Log'!$AB$6:$AB$1005,AB$5))</f>
        <v>0</v>
      </c>
      <c r="AC37" s="113">
        <f>IF(OR($B37="",AC$5=""),0,SUMIFS('Trade Log'!$Q$6:$Q$1005,'Trade Log'!$A$6:$A$1005,"&gt;="&amp;$B37,'Trade Log'!$A$6:$A$1005,"&lt;="&amp;($B37+6),'Trade Log'!$AA$6:$AA$1005,AC$5))</f>
        <v>0</v>
      </c>
      <c r="AD37" s="113">
        <f>IF(OR($B37="",AD$5=""),0,SUMIFS('Trade Log'!$Q$6:$Q$1005,'Trade Log'!$A$6:$A$1005,"&gt;="&amp;$B37,'Trade Log'!$A$6:$A$1005,"&lt;="&amp;($B37+6),'Trade Log'!$AA$6:$AA$1005,AD$5))</f>
        <v>0</v>
      </c>
      <c r="AE37" s="113">
        <f>IF(OR($B37="",AE$5=""),0,SUMIFS('Trade Log'!$Q$6:$Q$1005,'Trade Log'!$A$6:$A$1005,"&gt;="&amp;$B37,'Trade Log'!$A$6:$A$1005,"&lt;="&amp;($B37+6),'Trade Log'!$AA$6:$AA$1005,AE$5))</f>
        <v>0</v>
      </c>
      <c r="AF37" s="113">
        <f>IF(OR($B37="",AF$5=""),0,SUMIFS('Trade Log'!$Q$6:$Q$1005,'Trade Log'!$A$6:$A$1005,"&gt;="&amp;$B37,'Trade Log'!$A$6:$A$1005,"&lt;="&amp;($B37+6),'Trade Log'!$AA$6:$AA$1005,AF$5))</f>
        <v>0</v>
      </c>
      <c r="AG37" s="113">
        <f>IF(OR($B37="",AG$5=""),0,SUMIFS('Trade Log'!$Q$6:$Q$1005,'Trade Log'!$A$6:$A$1005,"&gt;="&amp;$B37,'Trade Log'!$A$6:$A$1005,"&lt;="&amp;($B37+6),'Trade Log'!$AA$6:$AA$1005,AG$5))</f>
        <v>0</v>
      </c>
      <c r="AH37" s="113">
        <f>IF(OR($B37="",AH$5=""),0,SUMIFS('Trade Log'!$Q$6:$Q$1005,'Trade Log'!$A$6:$A$1005,"&gt;="&amp;$B37,'Trade Log'!$A$6:$A$1005,"&lt;="&amp;($B37+6),'Trade Log'!$AA$6:$AA$1005,AH$5))</f>
        <v>0</v>
      </c>
      <c r="AI37" s="113">
        <f>IF(OR($B37="",AI$5=""),0,SUMIFS('Trade Log'!$Q$6:$Q$1005,'Trade Log'!$A$6:$A$1005,"&gt;="&amp;$B37,'Trade Log'!$A$6:$A$1005,"&lt;="&amp;($B37+6),'Trade Log'!$AA$6:$AA$1005,AI$5))</f>
        <v>0</v>
      </c>
      <c r="AJ37" s="113">
        <f>IF(OR($B37="",AJ$5=""),0,SUMIFS('Trade Log'!$Q$6:$Q$1005,'Trade Log'!$A$6:$A$1005,"&gt;="&amp;$B37,'Trade Log'!$A$6:$A$1005,"&lt;="&amp;($B37+6),'Trade Log'!$AA$6:$AA$1005,AJ$5))</f>
        <v>0</v>
      </c>
      <c r="AK37" s="113">
        <f>IF(OR($B37="",AK$5=""),0,SUMIFS('Trade Log'!$Q$6:$Q$1005,'Trade Log'!$A$6:$A$1005,"&gt;="&amp;$B37,'Trade Log'!$A$6:$A$1005,"&lt;="&amp;($B37+6),'Trade Log'!$AA$6:$AA$1005,AK$5))</f>
        <v>0</v>
      </c>
      <c r="AL37" s="113">
        <f>IF(OR($B37="",AL$5=""),0,SUMIFS('Trade Log'!$Q$6:$Q$1005,'Trade Log'!$A$6:$A$1005,"&gt;="&amp;$B37,'Trade Log'!$A$6:$A$1005,"&lt;="&amp;($B37+6),'Trade Log'!$AA$6:$AA$1005,AL$5))</f>
        <v>0</v>
      </c>
      <c r="AM37" s="113">
        <f>IF(OR($B37="",AM$5=""),0,SUMIFS('Trade Log'!$Q$6:$Q$1005,'Trade Log'!$A$6:$A$1005,"&gt;="&amp;$B37,'Trade Log'!$A$6:$A$1005,"&lt;="&amp;($B37+6),'Trade Log'!$Y$6:$Y$1005,AM$5))</f>
        <v>0</v>
      </c>
      <c r="AN37" s="113">
        <f>IF(OR($B37="",AN$5=""),0,SUMIFS('Trade Log'!$Q$6:$Q$1005,'Trade Log'!$A$6:$A$1005,"&gt;="&amp;$B37,'Trade Log'!$A$6:$A$1005,"&lt;="&amp;($B37+6),'Trade Log'!$Y$6:$Y$1005,AN$5))</f>
        <v>0</v>
      </c>
      <c r="AO37" s="113">
        <f>IF(OR($B37="",AO$5=""),0,SUMIFS('Trade Log'!$Q$6:$Q$1005,'Trade Log'!$A$6:$A$1005,"&gt;="&amp;$B37,'Trade Log'!$A$6:$A$1005,"&lt;="&amp;($B37+6),'Trade Log'!$Y$6:$Y$1005,AO$5))</f>
        <v>0</v>
      </c>
      <c r="AP37" s="113">
        <f>IF(OR($B37="",AP$5=""),0,SUMIFS('Trade Log'!$Q$6:$Q$1005,'Trade Log'!$A$6:$A$1005,"&gt;="&amp;$B37,'Trade Log'!$A$6:$A$1005,"&lt;="&amp;($B37+6),'Trade Log'!$Y$6:$Y$1005,AP$5))</f>
        <v>0</v>
      </c>
      <c r="AQ37" s="113">
        <f>IF(OR($B37="",AQ$5=""),0,SUMIFS('Trade Log'!$Q$6:$Q$1005,'Trade Log'!$A$6:$A$1005,"&gt;="&amp;$B37,'Trade Log'!$A$6:$A$1005,"&lt;="&amp;($B37+6),'Trade Log'!$Y$6:$Y$1005,AQ$5))</f>
        <v>0</v>
      </c>
      <c r="AR37" s="113">
        <f>IF(OR($B37="",AR$5=""),0,SUMIFS('Trade Log'!$Q$6:$Q$1005,'Trade Log'!$A$6:$A$1005,"&gt;="&amp;$B37,'Trade Log'!$A$6:$A$1005,"&lt;="&amp;($B37+6),'Trade Log'!$Y$6:$Y$1005,AR$5))</f>
        <v>0</v>
      </c>
      <c r="AS37" s="113">
        <f>IF(OR($B37="",AS$5=""),0,SUMIFS('Trade Log'!$Q$6:$Q$1005,'Trade Log'!$A$6:$A$1005,"&gt;="&amp;$B37,'Trade Log'!$A$6:$A$1005,"&lt;="&amp;($B37+6),'Trade Log'!$Y$6:$Y$1005,AS$5))</f>
        <v>0</v>
      </c>
      <c r="AT37" s="113">
        <f>IF(OR($B37="",AT$5=""),0,SUMIFS('Trade Log'!$Q$6:$Q$1005,'Trade Log'!$A$6:$A$1005,"&gt;="&amp;$B37,'Trade Log'!$A$6:$A$1005,"&lt;="&amp;($B37+6),'Trade Log'!$Y$6:$Y$1005,AT$5))</f>
        <v>0</v>
      </c>
      <c r="AU37" s="113">
        <f>IF(OR($B37="",AU$5=""),0,SUMIFS('Trade Log'!$Q$6:$Q$1005,'Trade Log'!$A$6:$A$1005,"&gt;="&amp;$B37,'Trade Log'!$A$6:$A$1005,"&lt;="&amp;($B37+6),'Trade Log'!$Y$6:$Y$1005,AU$5))</f>
        <v>0</v>
      </c>
      <c r="AV37" s="113">
        <f>IF(OR($B37="",AV$5=""),0,SUMIFS('Trade Log'!$Q$6:$Q$1005,'Trade Log'!$A$6:$A$1005,"&gt;="&amp;$B37,'Trade Log'!$A$6:$A$1005,"&lt;="&amp;($B37+6),'Trade Log'!$Y$6:$Y$1005,AV$5))</f>
        <v>0</v>
      </c>
    </row>
    <row r="38">
      <c r="B38" s="107">
        <f>IF($B37="","",$B37+7)</f>
        <v>46510</v>
      </c>
      <c r="C38" s="96">
        <f>IF($B38="","",COUNTIFS('Trade Log'!$A$6:$A$1005,"&gt;="&amp;$B38,'Trade Log'!$A$6:$A$1005,"&lt;="&amp;($B38+6),'Trade Log'!$BH$6:$BH$1005,1))</f>
        <v>0</v>
      </c>
      <c r="D38" s="98" t="str">
        <f>IF(OR($B38="",N($C38)=0),"",SUMIFS('Trade Log'!$Q$6:$Q$1005,'Trade Log'!$A$6:$A$1005,"&gt;="&amp;$B38,'Trade Log'!$A$6:$A$1005,"&lt;="&amp;($B38+6)))</f>
        <v/>
      </c>
      <c r="E38" s="99" t="str">
        <f>IF(OR($B38="",N($C38)=0),"",IFERROR(COUNTIFS('Trade Log'!$A$6:$A$1005,"&gt;="&amp;$B38,'Trade Log'!$A$6:$A$1005,"&lt;="&amp;($B38+6),'Trade Log'!$S$6:$S$1005,"Win")/(COUNTIFS('Trade Log'!$A$6:$A$1005,"&gt;="&amp;$B38,'Trade Log'!$A$6:$A$1005,"&lt;="&amp;($B38+6),'Trade Log'!$S$6:$S$1005,"Win")+COUNTIFS('Trade Log'!$A$6:$A$1005,"&gt;="&amp;$B38,'Trade Log'!$A$6:$A$1005,"&lt;="&amp;($B38+6),'Trade Log'!$S$6:$S$1005,"Loss")),"—"))</f>
        <v/>
      </c>
      <c r="F38" s="104" t="str">
        <f>IF(OR($B38="",N($C38)=0),"",IFERROR(SUMIFS('Trade Log'!$R$6:$R$1005,'Trade Log'!$A$6:$A$1005,"&gt;="&amp;$B38,'Trade Log'!$A$6:$A$1005,"&lt;="&amp;($B38+6))/COUNTIFS('Trade Log'!$A$6:$A$1005,"&gt;="&amp;$B38,'Trade Log'!$A$6:$A$1005,"&lt;="&amp;($B38+6),'Trade Log'!$BC$6:$BC$1005,1),"—"))</f>
        <v/>
      </c>
      <c r="G38" s="110" t="str">
        <f>IF(OR($B38="",N($C38)=0),"",IF(SUMIFS('Trade Log'!$Q$6:$Q$1005,'Trade Log'!$A$6:$A$1005,"&gt;="&amp;$B38,'Trade Log'!$A$6:$A$1005,"&lt;="&amp;($B38+6),'Trade Log'!$Q$6:$Q$1005,"&lt;0")=0,IF(SUMIFS('Trade Log'!$Q$6:$Q$1005,'Trade Log'!$A$6:$A$1005,"&gt;="&amp;$B38,'Trade Log'!$A$6:$A$1005,"&lt;="&amp;($B38+6),'Trade Log'!$Q$6:$Q$1005,"&gt;0")&gt;0,"No losses","—"),SUMIFS('Trade Log'!$Q$6:$Q$1005,'Trade Log'!$A$6:$A$1005,"&gt;="&amp;$B38,'Trade Log'!$A$6:$A$1005,"&lt;="&amp;($B38+6),'Trade Log'!$Q$6:$Q$1005,"&gt;0")/-SUMIFS('Trade Log'!$Q$6:$Q$1005,'Trade Log'!$A$6:$A$1005,"&gt;="&amp;$B38,'Trade Log'!$A$6:$A$1005,"&lt;="&amp;($B38+6),'Trade Log'!$Q$6:$Q$1005,"&lt;0")))</f>
        <v/>
      </c>
      <c r="H38" s="99" t="str">
        <f>IF(OR($B38="",N($C38)=0),"",IFERROR(COUNTIFS('Trade Log'!$A$6:$A$1005,"&gt;="&amp;$B38,'Trade Log'!$A$6:$A$1005,"&lt;="&amp;($B38+6),'Trade Log'!$Z$6:$Z$1005,"Yes")/(COUNTIFS('Trade Log'!$A$6:$A$1005,"&gt;="&amp;$B38,'Trade Log'!$A$6:$A$1005,"&lt;="&amp;($B38+6),'Trade Log'!$Z$6:$Z$1005,"Yes")+COUNTIFS('Trade Log'!$A$6:$A$1005,"&gt;="&amp;$B38,'Trade Log'!$A$6:$A$1005,"&lt;="&amp;($B38+6),'Trade Log'!$Z$6:$Z$1005,"No")),"—"))</f>
        <v/>
      </c>
      <c r="I38" s="111" t="str">
        <f>IF(OR($B38="",N($C38)=0),"",IF(MAX($Q38:$AB38)=0,"None — clean week",INDEX($Q$5:$AB$5,MATCH(MAX($Q38:$AB38),$Q38:$AB38,0))))</f>
        <v/>
      </c>
      <c r="J38" s="111" t="str">
        <f>IF(OR($B38="",N($C38)=0),"",IF(MIN($AC38:$AL38)&gt;=0,"None lost money",INDEX($AC$5:$AL$5,MATCH(MIN($AC38:$AL38),$AC38:$AL38,0))))</f>
        <v/>
      </c>
      <c r="K38" s="111" t="str">
        <f>IF(OR($B38="",N($C38)=0),"",IF(MAX($AM38:$AV38)&lt;=0,"None made money",INDEX($AM$5:$AV$5,MATCH(MAX($AM38:$AV38),$AM38:$AV38,0))))</f>
        <v/>
      </c>
      <c r="L38" s="106" t="n"/>
      <c r="M38" s="106" t="n"/>
      <c r="N38" s="112" t="n"/>
      <c r="O38" s="29" t="n"/>
      <c r="Q38" s="109">
        <f>IF(OR($B38="",Q$5=""),0,COUNTIFS('Trade Log'!$A$6:$A$1005,"&gt;="&amp;$B38,'Trade Log'!$A$6:$A$1005,"&lt;="&amp;($B38+6),'Trade Log'!$AB$6:$AB$1005,Q$5))</f>
        <v>0</v>
      </c>
      <c r="R38" s="109">
        <f>IF(OR($B38="",R$5=""),0,COUNTIFS('Trade Log'!$A$6:$A$1005,"&gt;="&amp;$B38,'Trade Log'!$A$6:$A$1005,"&lt;="&amp;($B38+6),'Trade Log'!$AB$6:$AB$1005,R$5))</f>
        <v>0</v>
      </c>
      <c r="S38" s="109">
        <f>IF(OR($B38="",S$5=""),0,COUNTIFS('Trade Log'!$A$6:$A$1005,"&gt;="&amp;$B38,'Trade Log'!$A$6:$A$1005,"&lt;="&amp;($B38+6),'Trade Log'!$AB$6:$AB$1005,S$5))</f>
        <v>0</v>
      </c>
      <c r="T38" s="109">
        <f>IF(OR($B38="",T$5=""),0,COUNTIFS('Trade Log'!$A$6:$A$1005,"&gt;="&amp;$B38,'Trade Log'!$A$6:$A$1005,"&lt;="&amp;($B38+6),'Trade Log'!$AB$6:$AB$1005,T$5))</f>
        <v>0</v>
      </c>
      <c r="U38" s="109">
        <f>IF(OR($B38="",U$5=""),0,COUNTIFS('Trade Log'!$A$6:$A$1005,"&gt;="&amp;$B38,'Trade Log'!$A$6:$A$1005,"&lt;="&amp;($B38+6),'Trade Log'!$AB$6:$AB$1005,U$5))</f>
        <v>0</v>
      </c>
      <c r="V38" s="109">
        <f>IF(OR($B38="",V$5=""),0,COUNTIFS('Trade Log'!$A$6:$A$1005,"&gt;="&amp;$B38,'Trade Log'!$A$6:$A$1005,"&lt;="&amp;($B38+6),'Trade Log'!$AB$6:$AB$1005,V$5))</f>
        <v>0</v>
      </c>
      <c r="W38" s="109">
        <f>IF(OR($B38="",W$5=""),0,COUNTIFS('Trade Log'!$A$6:$A$1005,"&gt;="&amp;$B38,'Trade Log'!$A$6:$A$1005,"&lt;="&amp;($B38+6),'Trade Log'!$AB$6:$AB$1005,W$5))</f>
        <v>0</v>
      </c>
      <c r="X38" s="109">
        <f>IF(OR($B38="",X$5=""),0,COUNTIFS('Trade Log'!$A$6:$A$1005,"&gt;="&amp;$B38,'Trade Log'!$A$6:$A$1005,"&lt;="&amp;($B38+6),'Trade Log'!$AB$6:$AB$1005,X$5))</f>
        <v>0</v>
      </c>
      <c r="Y38" s="109">
        <f>IF(OR($B38="",Y$5=""),0,COUNTIFS('Trade Log'!$A$6:$A$1005,"&gt;="&amp;$B38,'Trade Log'!$A$6:$A$1005,"&lt;="&amp;($B38+6),'Trade Log'!$AB$6:$AB$1005,Y$5))</f>
        <v>0</v>
      </c>
      <c r="Z38" s="109">
        <f>IF(OR($B38="",Z$5=""),0,COUNTIFS('Trade Log'!$A$6:$A$1005,"&gt;="&amp;$B38,'Trade Log'!$A$6:$A$1005,"&lt;="&amp;($B38+6),'Trade Log'!$AB$6:$AB$1005,Z$5))</f>
        <v>0</v>
      </c>
      <c r="AA38" s="109">
        <f>IF(OR($B38="",AA$5=""),0,COUNTIFS('Trade Log'!$A$6:$A$1005,"&gt;="&amp;$B38,'Trade Log'!$A$6:$A$1005,"&lt;="&amp;($B38+6),'Trade Log'!$AB$6:$AB$1005,AA$5))</f>
        <v>0</v>
      </c>
      <c r="AB38" s="109">
        <f>IF(OR($B38="",AB$5=""),0,COUNTIFS('Trade Log'!$A$6:$A$1005,"&gt;="&amp;$B38,'Trade Log'!$A$6:$A$1005,"&lt;="&amp;($B38+6),'Trade Log'!$AB$6:$AB$1005,AB$5))</f>
        <v>0</v>
      </c>
      <c r="AC38" s="113">
        <f>IF(OR($B38="",AC$5=""),0,SUMIFS('Trade Log'!$Q$6:$Q$1005,'Trade Log'!$A$6:$A$1005,"&gt;="&amp;$B38,'Trade Log'!$A$6:$A$1005,"&lt;="&amp;($B38+6),'Trade Log'!$AA$6:$AA$1005,AC$5))</f>
        <v>0</v>
      </c>
      <c r="AD38" s="113">
        <f>IF(OR($B38="",AD$5=""),0,SUMIFS('Trade Log'!$Q$6:$Q$1005,'Trade Log'!$A$6:$A$1005,"&gt;="&amp;$B38,'Trade Log'!$A$6:$A$1005,"&lt;="&amp;($B38+6),'Trade Log'!$AA$6:$AA$1005,AD$5))</f>
        <v>0</v>
      </c>
      <c r="AE38" s="113">
        <f>IF(OR($B38="",AE$5=""),0,SUMIFS('Trade Log'!$Q$6:$Q$1005,'Trade Log'!$A$6:$A$1005,"&gt;="&amp;$B38,'Trade Log'!$A$6:$A$1005,"&lt;="&amp;($B38+6),'Trade Log'!$AA$6:$AA$1005,AE$5))</f>
        <v>0</v>
      </c>
      <c r="AF38" s="113">
        <f>IF(OR($B38="",AF$5=""),0,SUMIFS('Trade Log'!$Q$6:$Q$1005,'Trade Log'!$A$6:$A$1005,"&gt;="&amp;$B38,'Trade Log'!$A$6:$A$1005,"&lt;="&amp;($B38+6),'Trade Log'!$AA$6:$AA$1005,AF$5))</f>
        <v>0</v>
      </c>
      <c r="AG38" s="113">
        <f>IF(OR($B38="",AG$5=""),0,SUMIFS('Trade Log'!$Q$6:$Q$1005,'Trade Log'!$A$6:$A$1005,"&gt;="&amp;$B38,'Trade Log'!$A$6:$A$1005,"&lt;="&amp;($B38+6),'Trade Log'!$AA$6:$AA$1005,AG$5))</f>
        <v>0</v>
      </c>
      <c r="AH38" s="113">
        <f>IF(OR($B38="",AH$5=""),0,SUMIFS('Trade Log'!$Q$6:$Q$1005,'Trade Log'!$A$6:$A$1005,"&gt;="&amp;$B38,'Trade Log'!$A$6:$A$1005,"&lt;="&amp;($B38+6),'Trade Log'!$AA$6:$AA$1005,AH$5))</f>
        <v>0</v>
      </c>
      <c r="AI38" s="113">
        <f>IF(OR($B38="",AI$5=""),0,SUMIFS('Trade Log'!$Q$6:$Q$1005,'Trade Log'!$A$6:$A$1005,"&gt;="&amp;$B38,'Trade Log'!$A$6:$A$1005,"&lt;="&amp;($B38+6),'Trade Log'!$AA$6:$AA$1005,AI$5))</f>
        <v>0</v>
      </c>
      <c r="AJ38" s="113">
        <f>IF(OR($B38="",AJ$5=""),0,SUMIFS('Trade Log'!$Q$6:$Q$1005,'Trade Log'!$A$6:$A$1005,"&gt;="&amp;$B38,'Trade Log'!$A$6:$A$1005,"&lt;="&amp;($B38+6),'Trade Log'!$AA$6:$AA$1005,AJ$5))</f>
        <v>0</v>
      </c>
      <c r="AK38" s="113">
        <f>IF(OR($B38="",AK$5=""),0,SUMIFS('Trade Log'!$Q$6:$Q$1005,'Trade Log'!$A$6:$A$1005,"&gt;="&amp;$B38,'Trade Log'!$A$6:$A$1005,"&lt;="&amp;($B38+6),'Trade Log'!$AA$6:$AA$1005,AK$5))</f>
        <v>0</v>
      </c>
      <c r="AL38" s="113">
        <f>IF(OR($B38="",AL$5=""),0,SUMIFS('Trade Log'!$Q$6:$Q$1005,'Trade Log'!$A$6:$A$1005,"&gt;="&amp;$B38,'Trade Log'!$A$6:$A$1005,"&lt;="&amp;($B38+6),'Trade Log'!$AA$6:$AA$1005,AL$5))</f>
        <v>0</v>
      </c>
      <c r="AM38" s="113">
        <f>IF(OR($B38="",AM$5=""),0,SUMIFS('Trade Log'!$Q$6:$Q$1005,'Trade Log'!$A$6:$A$1005,"&gt;="&amp;$B38,'Trade Log'!$A$6:$A$1005,"&lt;="&amp;($B38+6),'Trade Log'!$Y$6:$Y$1005,AM$5))</f>
        <v>0</v>
      </c>
      <c r="AN38" s="113">
        <f>IF(OR($B38="",AN$5=""),0,SUMIFS('Trade Log'!$Q$6:$Q$1005,'Trade Log'!$A$6:$A$1005,"&gt;="&amp;$B38,'Trade Log'!$A$6:$A$1005,"&lt;="&amp;($B38+6),'Trade Log'!$Y$6:$Y$1005,AN$5))</f>
        <v>0</v>
      </c>
      <c r="AO38" s="113">
        <f>IF(OR($B38="",AO$5=""),0,SUMIFS('Trade Log'!$Q$6:$Q$1005,'Trade Log'!$A$6:$A$1005,"&gt;="&amp;$B38,'Trade Log'!$A$6:$A$1005,"&lt;="&amp;($B38+6),'Trade Log'!$Y$6:$Y$1005,AO$5))</f>
        <v>0</v>
      </c>
      <c r="AP38" s="113">
        <f>IF(OR($B38="",AP$5=""),0,SUMIFS('Trade Log'!$Q$6:$Q$1005,'Trade Log'!$A$6:$A$1005,"&gt;="&amp;$B38,'Trade Log'!$A$6:$A$1005,"&lt;="&amp;($B38+6),'Trade Log'!$Y$6:$Y$1005,AP$5))</f>
        <v>0</v>
      </c>
      <c r="AQ38" s="113">
        <f>IF(OR($B38="",AQ$5=""),0,SUMIFS('Trade Log'!$Q$6:$Q$1005,'Trade Log'!$A$6:$A$1005,"&gt;="&amp;$B38,'Trade Log'!$A$6:$A$1005,"&lt;="&amp;($B38+6),'Trade Log'!$Y$6:$Y$1005,AQ$5))</f>
        <v>0</v>
      </c>
      <c r="AR38" s="113">
        <f>IF(OR($B38="",AR$5=""),0,SUMIFS('Trade Log'!$Q$6:$Q$1005,'Trade Log'!$A$6:$A$1005,"&gt;="&amp;$B38,'Trade Log'!$A$6:$A$1005,"&lt;="&amp;($B38+6),'Trade Log'!$Y$6:$Y$1005,AR$5))</f>
        <v>0</v>
      </c>
      <c r="AS38" s="113">
        <f>IF(OR($B38="",AS$5=""),0,SUMIFS('Trade Log'!$Q$6:$Q$1005,'Trade Log'!$A$6:$A$1005,"&gt;="&amp;$B38,'Trade Log'!$A$6:$A$1005,"&lt;="&amp;($B38+6),'Trade Log'!$Y$6:$Y$1005,AS$5))</f>
        <v>0</v>
      </c>
      <c r="AT38" s="113">
        <f>IF(OR($B38="",AT$5=""),0,SUMIFS('Trade Log'!$Q$6:$Q$1005,'Trade Log'!$A$6:$A$1005,"&gt;="&amp;$B38,'Trade Log'!$A$6:$A$1005,"&lt;="&amp;($B38+6),'Trade Log'!$Y$6:$Y$1005,AT$5))</f>
        <v>0</v>
      </c>
      <c r="AU38" s="113">
        <f>IF(OR($B38="",AU$5=""),0,SUMIFS('Trade Log'!$Q$6:$Q$1005,'Trade Log'!$A$6:$A$1005,"&gt;="&amp;$B38,'Trade Log'!$A$6:$A$1005,"&lt;="&amp;($B38+6),'Trade Log'!$Y$6:$Y$1005,AU$5))</f>
        <v>0</v>
      </c>
      <c r="AV38" s="113">
        <f>IF(OR($B38="",AV$5=""),0,SUMIFS('Trade Log'!$Q$6:$Q$1005,'Trade Log'!$A$6:$A$1005,"&gt;="&amp;$B38,'Trade Log'!$A$6:$A$1005,"&lt;="&amp;($B38+6),'Trade Log'!$Y$6:$Y$1005,AV$5))</f>
        <v>0</v>
      </c>
    </row>
    <row r="39">
      <c r="B39" s="107">
        <f>IF($B38="","",$B38+7)</f>
        <v>46517</v>
      </c>
      <c r="C39" s="96">
        <f>IF($B39="","",COUNTIFS('Trade Log'!$A$6:$A$1005,"&gt;="&amp;$B39,'Trade Log'!$A$6:$A$1005,"&lt;="&amp;($B39+6),'Trade Log'!$BH$6:$BH$1005,1))</f>
        <v>0</v>
      </c>
      <c r="D39" s="98" t="str">
        <f>IF(OR($B39="",N($C39)=0),"",SUMIFS('Trade Log'!$Q$6:$Q$1005,'Trade Log'!$A$6:$A$1005,"&gt;="&amp;$B39,'Trade Log'!$A$6:$A$1005,"&lt;="&amp;($B39+6)))</f>
        <v/>
      </c>
      <c r="E39" s="99" t="str">
        <f>IF(OR($B39="",N($C39)=0),"",IFERROR(COUNTIFS('Trade Log'!$A$6:$A$1005,"&gt;="&amp;$B39,'Trade Log'!$A$6:$A$1005,"&lt;="&amp;($B39+6),'Trade Log'!$S$6:$S$1005,"Win")/(COUNTIFS('Trade Log'!$A$6:$A$1005,"&gt;="&amp;$B39,'Trade Log'!$A$6:$A$1005,"&lt;="&amp;($B39+6),'Trade Log'!$S$6:$S$1005,"Win")+COUNTIFS('Trade Log'!$A$6:$A$1005,"&gt;="&amp;$B39,'Trade Log'!$A$6:$A$1005,"&lt;="&amp;($B39+6),'Trade Log'!$S$6:$S$1005,"Loss")),"—"))</f>
        <v/>
      </c>
      <c r="F39" s="104" t="str">
        <f>IF(OR($B39="",N($C39)=0),"",IFERROR(SUMIFS('Trade Log'!$R$6:$R$1005,'Trade Log'!$A$6:$A$1005,"&gt;="&amp;$B39,'Trade Log'!$A$6:$A$1005,"&lt;="&amp;($B39+6))/COUNTIFS('Trade Log'!$A$6:$A$1005,"&gt;="&amp;$B39,'Trade Log'!$A$6:$A$1005,"&lt;="&amp;($B39+6),'Trade Log'!$BC$6:$BC$1005,1),"—"))</f>
        <v/>
      </c>
      <c r="G39" s="110" t="str">
        <f>IF(OR($B39="",N($C39)=0),"",IF(SUMIFS('Trade Log'!$Q$6:$Q$1005,'Trade Log'!$A$6:$A$1005,"&gt;="&amp;$B39,'Trade Log'!$A$6:$A$1005,"&lt;="&amp;($B39+6),'Trade Log'!$Q$6:$Q$1005,"&lt;0")=0,IF(SUMIFS('Trade Log'!$Q$6:$Q$1005,'Trade Log'!$A$6:$A$1005,"&gt;="&amp;$B39,'Trade Log'!$A$6:$A$1005,"&lt;="&amp;($B39+6),'Trade Log'!$Q$6:$Q$1005,"&gt;0")&gt;0,"No losses","—"),SUMIFS('Trade Log'!$Q$6:$Q$1005,'Trade Log'!$A$6:$A$1005,"&gt;="&amp;$B39,'Trade Log'!$A$6:$A$1005,"&lt;="&amp;($B39+6),'Trade Log'!$Q$6:$Q$1005,"&gt;0")/-SUMIFS('Trade Log'!$Q$6:$Q$1005,'Trade Log'!$A$6:$A$1005,"&gt;="&amp;$B39,'Trade Log'!$A$6:$A$1005,"&lt;="&amp;($B39+6),'Trade Log'!$Q$6:$Q$1005,"&lt;0")))</f>
        <v/>
      </c>
      <c r="H39" s="99" t="str">
        <f>IF(OR($B39="",N($C39)=0),"",IFERROR(COUNTIFS('Trade Log'!$A$6:$A$1005,"&gt;="&amp;$B39,'Trade Log'!$A$6:$A$1005,"&lt;="&amp;($B39+6),'Trade Log'!$Z$6:$Z$1005,"Yes")/(COUNTIFS('Trade Log'!$A$6:$A$1005,"&gt;="&amp;$B39,'Trade Log'!$A$6:$A$1005,"&lt;="&amp;($B39+6),'Trade Log'!$Z$6:$Z$1005,"Yes")+COUNTIFS('Trade Log'!$A$6:$A$1005,"&gt;="&amp;$B39,'Trade Log'!$A$6:$A$1005,"&lt;="&amp;($B39+6),'Trade Log'!$Z$6:$Z$1005,"No")),"—"))</f>
        <v/>
      </c>
      <c r="I39" s="111" t="str">
        <f>IF(OR($B39="",N($C39)=0),"",IF(MAX($Q39:$AB39)=0,"None — clean week",INDEX($Q$5:$AB$5,MATCH(MAX($Q39:$AB39),$Q39:$AB39,0))))</f>
        <v/>
      </c>
      <c r="J39" s="111" t="str">
        <f>IF(OR($B39="",N($C39)=0),"",IF(MIN($AC39:$AL39)&gt;=0,"None lost money",INDEX($AC$5:$AL$5,MATCH(MIN($AC39:$AL39),$AC39:$AL39,0))))</f>
        <v/>
      </c>
      <c r="K39" s="111" t="str">
        <f>IF(OR($B39="",N($C39)=0),"",IF(MAX($AM39:$AV39)&lt;=0,"None made money",INDEX($AM$5:$AV$5,MATCH(MAX($AM39:$AV39),$AM39:$AV39,0))))</f>
        <v/>
      </c>
      <c r="L39" s="106" t="n"/>
      <c r="M39" s="106" t="n"/>
      <c r="N39" s="112" t="n"/>
      <c r="O39" s="29" t="n"/>
      <c r="Q39" s="109">
        <f>IF(OR($B39="",Q$5=""),0,COUNTIFS('Trade Log'!$A$6:$A$1005,"&gt;="&amp;$B39,'Trade Log'!$A$6:$A$1005,"&lt;="&amp;($B39+6),'Trade Log'!$AB$6:$AB$1005,Q$5))</f>
        <v>0</v>
      </c>
      <c r="R39" s="109">
        <f>IF(OR($B39="",R$5=""),0,COUNTIFS('Trade Log'!$A$6:$A$1005,"&gt;="&amp;$B39,'Trade Log'!$A$6:$A$1005,"&lt;="&amp;($B39+6),'Trade Log'!$AB$6:$AB$1005,R$5))</f>
        <v>0</v>
      </c>
      <c r="S39" s="109">
        <f>IF(OR($B39="",S$5=""),0,COUNTIFS('Trade Log'!$A$6:$A$1005,"&gt;="&amp;$B39,'Trade Log'!$A$6:$A$1005,"&lt;="&amp;($B39+6),'Trade Log'!$AB$6:$AB$1005,S$5))</f>
        <v>0</v>
      </c>
      <c r="T39" s="109">
        <f>IF(OR($B39="",T$5=""),0,COUNTIFS('Trade Log'!$A$6:$A$1005,"&gt;="&amp;$B39,'Trade Log'!$A$6:$A$1005,"&lt;="&amp;($B39+6),'Trade Log'!$AB$6:$AB$1005,T$5))</f>
        <v>0</v>
      </c>
      <c r="U39" s="109">
        <f>IF(OR($B39="",U$5=""),0,COUNTIFS('Trade Log'!$A$6:$A$1005,"&gt;="&amp;$B39,'Trade Log'!$A$6:$A$1005,"&lt;="&amp;($B39+6),'Trade Log'!$AB$6:$AB$1005,U$5))</f>
        <v>0</v>
      </c>
      <c r="V39" s="109">
        <f>IF(OR($B39="",V$5=""),0,COUNTIFS('Trade Log'!$A$6:$A$1005,"&gt;="&amp;$B39,'Trade Log'!$A$6:$A$1005,"&lt;="&amp;($B39+6),'Trade Log'!$AB$6:$AB$1005,V$5))</f>
        <v>0</v>
      </c>
      <c r="W39" s="109">
        <f>IF(OR($B39="",W$5=""),0,COUNTIFS('Trade Log'!$A$6:$A$1005,"&gt;="&amp;$B39,'Trade Log'!$A$6:$A$1005,"&lt;="&amp;($B39+6),'Trade Log'!$AB$6:$AB$1005,W$5))</f>
        <v>0</v>
      </c>
      <c r="X39" s="109">
        <f>IF(OR($B39="",X$5=""),0,COUNTIFS('Trade Log'!$A$6:$A$1005,"&gt;="&amp;$B39,'Trade Log'!$A$6:$A$1005,"&lt;="&amp;($B39+6),'Trade Log'!$AB$6:$AB$1005,X$5))</f>
        <v>0</v>
      </c>
      <c r="Y39" s="109">
        <f>IF(OR($B39="",Y$5=""),0,COUNTIFS('Trade Log'!$A$6:$A$1005,"&gt;="&amp;$B39,'Trade Log'!$A$6:$A$1005,"&lt;="&amp;($B39+6),'Trade Log'!$AB$6:$AB$1005,Y$5))</f>
        <v>0</v>
      </c>
      <c r="Z39" s="109">
        <f>IF(OR($B39="",Z$5=""),0,COUNTIFS('Trade Log'!$A$6:$A$1005,"&gt;="&amp;$B39,'Trade Log'!$A$6:$A$1005,"&lt;="&amp;($B39+6),'Trade Log'!$AB$6:$AB$1005,Z$5))</f>
        <v>0</v>
      </c>
      <c r="AA39" s="109">
        <f>IF(OR($B39="",AA$5=""),0,COUNTIFS('Trade Log'!$A$6:$A$1005,"&gt;="&amp;$B39,'Trade Log'!$A$6:$A$1005,"&lt;="&amp;($B39+6),'Trade Log'!$AB$6:$AB$1005,AA$5))</f>
        <v>0</v>
      </c>
      <c r="AB39" s="109">
        <f>IF(OR($B39="",AB$5=""),0,COUNTIFS('Trade Log'!$A$6:$A$1005,"&gt;="&amp;$B39,'Trade Log'!$A$6:$A$1005,"&lt;="&amp;($B39+6),'Trade Log'!$AB$6:$AB$1005,AB$5))</f>
        <v>0</v>
      </c>
      <c r="AC39" s="113">
        <f>IF(OR($B39="",AC$5=""),0,SUMIFS('Trade Log'!$Q$6:$Q$1005,'Trade Log'!$A$6:$A$1005,"&gt;="&amp;$B39,'Trade Log'!$A$6:$A$1005,"&lt;="&amp;($B39+6),'Trade Log'!$AA$6:$AA$1005,AC$5))</f>
        <v>0</v>
      </c>
      <c r="AD39" s="113">
        <f>IF(OR($B39="",AD$5=""),0,SUMIFS('Trade Log'!$Q$6:$Q$1005,'Trade Log'!$A$6:$A$1005,"&gt;="&amp;$B39,'Trade Log'!$A$6:$A$1005,"&lt;="&amp;($B39+6),'Trade Log'!$AA$6:$AA$1005,AD$5))</f>
        <v>0</v>
      </c>
      <c r="AE39" s="113">
        <f>IF(OR($B39="",AE$5=""),0,SUMIFS('Trade Log'!$Q$6:$Q$1005,'Trade Log'!$A$6:$A$1005,"&gt;="&amp;$B39,'Trade Log'!$A$6:$A$1005,"&lt;="&amp;($B39+6),'Trade Log'!$AA$6:$AA$1005,AE$5))</f>
        <v>0</v>
      </c>
      <c r="AF39" s="113">
        <f>IF(OR($B39="",AF$5=""),0,SUMIFS('Trade Log'!$Q$6:$Q$1005,'Trade Log'!$A$6:$A$1005,"&gt;="&amp;$B39,'Trade Log'!$A$6:$A$1005,"&lt;="&amp;($B39+6),'Trade Log'!$AA$6:$AA$1005,AF$5))</f>
        <v>0</v>
      </c>
      <c r="AG39" s="113">
        <f>IF(OR($B39="",AG$5=""),0,SUMIFS('Trade Log'!$Q$6:$Q$1005,'Trade Log'!$A$6:$A$1005,"&gt;="&amp;$B39,'Trade Log'!$A$6:$A$1005,"&lt;="&amp;($B39+6),'Trade Log'!$AA$6:$AA$1005,AG$5))</f>
        <v>0</v>
      </c>
      <c r="AH39" s="113">
        <f>IF(OR($B39="",AH$5=""),0,SUMIFS('Trade Log'!$Q$6:$Q$1005,'Trade Log'!$A$6:$A$1005,"&gt;="&amp;$B39,'Trade Log'!$A$6:$A$1005,"&lt;="&amp;($B39+6),'Trade Log'!$AA$6:$AA$1005,AH$5))</f>
        <v>0</v>
      </c>
      <c r="AI39" s="113">
        <f>IF(OR($B39="",AI$5=""),0,SUMIFS('Trade Log'!$Q$6:$Q$1005,'Trade Log'!$A$6:$A$1005,"&gt;="&amp;$B39,'Trade Log'!$A$6:$A$1005,"&lt;="&amp;($B39+6),'Trade Log'!$AA$6:$AA$1005,AI$5))</f>
        <v>0</v>
      </c>
      <c r="AJ39" s="113">
        <f>IF(OR($B39="",AJ$5=""),0,SUMIFS('Trade Log'!$Q$6:$Q$1005,'Trade Log'!$A$6:$A$1005,"&gt;="&amp;$B39,'Trade Log'!$A$6:$A$1005,"&lt;="&amp;($B39+6),'Trade Log'!$AA$6:$AA$1005,AJ$5))</f>
        <v>0</v>
      </c>
      <c r="AK39" s="113">
        <f>IF(OR($B39="",AK$5=""),0,SUMIFS('Trade Log'!$Q$6:$Q$1005,'Trade Log'!$A$6:$A$1005,"&gt;="&amp;$B39,'Trade Log'!$A$6:$A$1005,"&lt;="&amp;($B39+6),'Trade Log'!$AA$6:$AA$1005,AK$5))</f>
        <v>0</v>
      </c>
      <c r="AL39" s="113">
        <f>IF(OR($B39="",AL$5=""),0,SUMIFS('Trade Log'!$Q$6:$Q$1005,'Trade Log'!$A$6:$A$1005,"&gt;="&amp;$B39,'Trade Log'!$A$6:$A$1005,"&lt;="&amp;($B39+6),'Trade Log'!$AA$6:$AA$1005,AL$5))</f>
        <v>0</v>
      </c>
      <c r="AM39" s="113">
        <f>IF(OR($B39="",AM$5=""),0,SUMIFS('Trade Log'!$Q$6:$Q$1005,'Trade Log'!$A$6:$A$1005,"&gt;="&amp;$B39,'Trade Log'!$A$6:$A$1005,"&lt;="&amp;($B39+6),'Trade Log'!$Y$6:$Y$1005,AM$5))</f>
        <v>0</v>
      </c>
      <c r="AN39" s="113">
        <f>IF(OR($B39="",AN$5=""),0,SUMIFS('Trade Log'!$Q$6:$Q$1005,'Trade Log'!$A$6:$A$1005,"&gt;="&amp;$B39,'Trade Log'!$A$6:$A$1005,"&lt;="&amp;($B39+6),'Trade Log'!$Y$6:$Y$1005,AN$5))</f>
        <v>0</v>
      </c>
      <c r="AO39" s="113">
        <f>IF(OR($B39="",AO$5=""),0,SUMIFS('Trade Log'!$Q$6:$Q$1005,'Trade Log'!$A$6:$A$1005,"&gt;="&amp;$B39,'Trade Log'!$A$6:$A$1005,"&lt;="&amp;($B39+6),'Trade Log'!$Y$6:$Y$1005,AO$5))</f>
        <v>0</v>
      </c>
      <c r="AP39" s="113">
        <f>IF(OR($B39="",AP$5=""),0,SUMIFS('Trade Log'!$Q$6:$Q$1005,'Trade Log'!$A$6:$A$1005,"&gt;="&amp;$B39,'Trade Log'!$A$6:$A$1005,"&lt;="&amp;($B39+6),'Trade Log'!$Y$6:$Y$1005,AP$5))</f>
        <v>0</v>
      </c>
      <c r="AQ39" s="113">
        <f>IF(OR($B39="",AQ$5=""),0,SUMIFS('Trade Log'!$Q$6:$Q$1005,'Trade Log'!$A$6:$A$1005,"&gt;="&amp;$B39,'Trade Log'!$A$6:$A$1005,"&lt;="&amp;($B39+6),'Trade Log'!$Y$6:$Y$1005,AQ$5))</f>
        <v>0</v>
      </c>
      <c r="AR39" s="113">
        <f>IF(OR($B39="",AR$5=""),0,SUMIFS('Trade Log'!$Q$6:$Q$1005,'Trade Log'!$A$6:$A$1005,"&gt;="&amp;$B39,'Trade Log'!$A$6:$A$1005,"&lt;="&amp;($B39+6),'Trade Log'!$Y$6:$Y$1005,AR$5))</f>
        <v>0</v>
      </c>
      <c r="AS39" s="113">
        <f>IF(OR($B39="",AS$5=""),0,SUMIFS('Trade Log'!$Q$6:$Q$1005,'Trade Log'!$A$6:$A$1005,"&gt;="&amp;$B39,'Trade Log'!$A$6:$A$1005,"&lt;="&amp;($B39+6),'Trade Log'!$Y$6:$Y$1005,AS$5))</f>
        <v>0</v>
      </c>
      <c r="AT39" s="113">
        <f>IF(OR($B39="",AT$5=""),0,SUMIFS('Trade Log'!$Q$6:$Q$1005,'Trade Log'!$A$6:$A$1005,"&gt;="&amp;$B39,'Trade Log'!$A$6:$A$1005,"&lt;="&amp;($B39+6),'Trade Log'!$Y$6:$Y$1005,AT$5))</f>
        <v>0</v>
      </c>
      <c r="AU39" s="113">
        <f>IF(OR($B39="",AU$5=""),0,SUMIFS('Trade Log'!$Q$6:$Q$1005,'Trade Log'!$A$6:$A$1005,"&gt;="&amp;$B39,'Trade Log'!$A$6:$A$1005,"&lt;="&amp;($B39+6),'Trade Log'!$Y$6:$Y$1005,AU$5))</f>
        <v>0</v>
      </c>
      <c r="AV39" s="113">
        <f>IF(OR($B39="",AV$5=""),0,SUMIFS('Trade Log'!$Q$6:$Q$1005,'Trade Log'!$A$6:$A$1005,"&gt;="&amp;$B39,'Trade Log'!$A$6:$A$1005,"&lt;="&amp;($B39+6),'Trade Log'!$Y$6:$Y$1005,AV$5))</f>
        <v>0</v>
      </c>
    </row>
    <row r="40">
      <c r="B40" s="107">
        <f>IF($B39="","",$B39+7)</f>
        <v>46524</v>
      </c>
      <c r="C40" s="96">
        <f>IF($B40="","",COUNTIFS('Trade Log'!$A$6:$A$1005,"&gt;="&amp;$B40,'Trade Log'!$A$6:$A$1005,"&lt;="&amp;($B40+6),'Trade Log'!$BH$6:$BH$1005,1))</f>
        <v>0</v>
      </c>
      <c r="D40" s="98" t="str">
        <f>IF(OR($B40="",N($C40)=0),"",SUMIFS('Trade Log'!$Q$6:$Q$1005,'Trade Log'!$A$6:$A$1005,"&gt;="&amp;$B40,'Trade Log'!$A$6:$A$1005,"&lt;="&amp;($B40+6)))</f>
        <v/>
      </c>
      <c r="E40" s="99" t="str">
        <f>IF(OR($B40="",N($C40)=0),"",IFERROR(COUNTIFS('Trade Log'!$A$6:$A$1005,"&gt;="&amp;$B40,'Trade Log'!$A$6:$A$1005,"&lt;="&amp;($B40+6),'Trade Log'!$S$6:$S$1005,"Win")/(COUNTIFS('Trade Log'!$A$6:$A$1005,"&gt;="&amp;$B40,'Trade Log'!$A$6:$A$1005,"&lt;="&amp;($B40+6),'Trade Log'!$S$6:$S$1005,"Win")+COUNTIFS('Trade Log'!$A$6:$A$1005,"&gt;="&amp;$B40,'Trade Log'!$A$6:$A$1005,"&lt;="&amp;($B40+6),'Trade Log'!$S$6:$S$1005,"Loss")),"—"))</f>
        <v/>
      </c>
      <c r="F40" s="104" t="str">
        <f>IF(OR($B40="",N($C40)=0),"",IFERROR(SUMIFS('Trade Log'!$R$6:$R$1005,'Trade Log'!$A$6:$A$1005,"&gt;="&amp;$B40,'Trade Log'!$A$6:$A$1005,"&lt;="&amp;($B40+6))/COUNTIFS('Trade Log'!$A$6:$A$1005,"&gt;="&amp;$B40,'Trade Log'!$A$6:$A$1005,"&lt;="&amp;($B40+6),'Trade Log'!$BC$6:$BC$1005,1),"—"))</f>
        <v/>
      </c>
      <c r="G40" s="110" t="str">
        <f>IF(OR($B40="",N($C40)=0),"",IF(SUMIFS('Trade Log'!$Q$6:$Q$1005,'Trade Log'!$A$6:$A$1005,"&gt;="&amp;$B40,'Trade Log'!$A$6:$A$1005,"&lt;="&amp;($B40+6),'Trade Log'!$Q$6:$Q$1005,"&lt;0")=0,IF(SUMIFS('Trade Log'!$Q$6:$Q$1005,'Trade Log'!$A$6:$A$1005,"&gt;="&amp;$B40,'Trade Log'!$A$6:$A$1005,"&lt;="&amp;($B40+6),'Trade Log'!$Q$6:$Q$1005,"&gt;0")&gt;0,"No losses","—"),SUMIFS('Trade Log'!$Q$6:$Q$1005,'Trade Log'!$A$6:$A$1005,"&gt;="&amp;$B40,'Trade Log'!$A$6:$A$1005,"&lt;="&amp;($B40+6),'Trade Log'!$Q$6:$Q$1005,"&gt;0")/-SUMIFS('Trade Log'!$Q$6:$Q$1005,'Trade Log'!$A$6:$A$1005,"&gt;="&amp;$B40,'Trade Log'!$A$6:$A$1005,"&lt;="&amp;($B40+6),'Trade Log'!$Q$6:$Q$1005,"&lt;0")))</f>
        <v/>
      </c>
      <c r="H40" s="99" t="str">
        <f>IF(OR($B40="",N($C40)=0),"",IFERROR(COUNTIFS('Trade Log'!$A$6:$A$1005,"&gt;="&amp;$B40,'Trade Log'!$A$6:$A$1005,"&lt;="&amp;($B40+6),'Trade Log'!$Z$6:$Z$1005,"Yes")/(COUNTIFS('Trade Log'!$A$6:$A$1005,"&gt;="&amp;$B40,'Trade Log'!$A$6:$A$1005,"&lt;="&amp;($B40+6),'Trade Log'!$Z$6:$Z$1005,"Yes")+COUNTIFS('Trade Log'!$A$6:$A$1005,"&gt;="&amp;$B40,'Trade Log'!$A$6:$A$1005,"&lt;="&amp;($B40+6),'Trade Log'!$Z$6:$Z$1005,"No")),"—"))</f>
        <v/>
      </c>
      <c r="I40" s="111" t="str">
        <f>IF(OR($B40="",N($C40)=0),"",IF(MAX($Q40:$AB40)=0,"None — clean week",INDEX($Q$5:$AB$5,MATCH(MAX($Q40:$AB40),$Q40:$AB40,0))))</f>
        <v/>
      </c>
      <c r="J40" s="111" t="str">
        <f>IF(OR($B40="",N($C40)=0),"",IF(MIN($AC40:$AL40)&gt;=0,"None lost money",INDEX($AC$5:$AL$5,MATCH(MIN($AC40:$AL40),$AC40:$AL40,0))))</f>
        <v/>
      </c>
      <c r="K40" s="111" t="str">
        <f>IF(OR($B40="",N($C40)=0),"",IF(MAX($AM40:$AV40)&lt;=0,"None made money",INDEX($AM$5:$AV$5,MATCH(MAX($AM40:$AV40),$AM40:$AV40,0))))</f>
        <v/>
      </c>
      <c r="L40" s="106" t="n"/>
      <c r="M40" s="106" t="n"/>
      <c r="N40" s="112" t="n"/>
      <c r="O40" s="29" t="n"/>
      <c r="Q40" s="109">
        <f>IF(OR($B40="",Q$5=""),0,COUNTIFS('Trade Log'!$A$6:$A$1005,"&gt;="&amp;$B40,'Trade Log'!$A$6:$A$1005,"&lt;="&amp;($B40+6),'Trade Log'!$AB$6:$AB$1005,Q$5))</f>
        <v>0</v>
      </c>
      <c r="R40" s="109">
        <f>IF(OR($B40="",R$5=""),0,COUNTIFS('Trade Log'!$A$6:$A$1005,"&gt;="&amp;$B40,'Trade Log'!$A$6:$A$1005,"&lt;="&amp;($B40+6),'Trade Log'!$AB$6:$AB$1005,R$5))</f>
        <v>0</v>
      </c>
      <c r="S40" s="109">
        <f>IF(OR($B40="",S$5=""),0,COUNTIFS('Trade Log'!$A$6:$A$1005,"&gt;="&amp;$B40,'Trade Log'!$A$6:$A$1005,"&lt;="&amp;($B40+6),'Trade Log'!$AB$6:$AB$1005,S$5))</f>
        <v>0</v>
      </c>
      <c r="T40" s="109">
        <f>IF(OR($B40="",T$5=""),0,COUNTIFS('Trade Log'!$A$6:$A$1005,"&gt;="&amp;$B40,'Trade Log'!$A$6:$A$1005,"&lt;="&amp;($B40+6),'Trade Log'!$AB$6:$AB$1005,T$5))</f>
        <v>0</v>
      </c>
      <c r="U40" s="109">
        <f>IF(OR($B40="",U$5=""),0,COUNTIFS('Trade Log'!$A$6:$A$1005,"&gt;="&amp;$B40,'Trade Log'!$A$6:$A$1005,"&lt;="&amp;($B40+6),'Trade Log'!$AB$6:$AB$1005,U$5))</f>
        <v>0</v>
      </c>
      <c r="V40" s="109">
        <f>IF(OR($B40="",V$5=""),0,COUNTIFS('Trade Log'!$A$6:$A$1005,"&gt;="&amp;$B40,'Trade Log'!$A$6:$A$1005,"&lt;="&amp;($B40+6),'Trade Log'!$AB$6:$AB$1005,V$5))</f>
        <v>0</v>
      </c>
      <c r="W40" s="109">
        <f>IF(OR($B40="",W$5=""),0,COUNTIFS('Trade Log'!$A$6:$A$1005,"&gt;="&amp;$B40,'Trade Log'!$A$6:$A$1005,"&lt;="&amp;($B40+6),'Trade Log'!$AB$6:$AB$1005,W$5))</f>
        <v>0</v>
      </c>
      <c r="X40" s="109">
        <f>IF(OR($B40="",X$5=""),0,COUNTIFS('Trade Log'!$A$6:$A$1005,"&gt;="&amp;$B40,'Trade Log'!$A$6:$A$1005,"&lt;="&amp;($B40+6),'Trade Log'!$AB$6:$AB$1005,X$5))</f>
        <v>0</v>
      </c>
      <c r="Y40" s="109">
        <f>IF(OR($B40="",Y$5=""),0,COUNTIFS('Trade Log'!$A$6:$A$1005,"&gt;="&amp;$B40,'Trade Log'!$A$6:$A$1005,"&lt;="&amp;($B40+6),'Trade Log'!$AB$6:$AB$1005,Y$5))</f>
        <v>0</v>
      </c>
      <c r="Z40" s="109">
        <f>IF(OR($B40="",Z$5=""),0,COUNTIFS('Trade Log'!$A$6:$A$1005,"&gt;="&amp;$B40,'Trade Log'!$A$6:$A$1005,"&lt;="&amp;($B40+6),'Trade Log'!$AB$6:$AB$1005,Z$5))</f>
        <v>0</v>
      </c>
      <c r="AA40" s="109">
        <f>IF(OR($B40="",AA$5=""),0,COUNTIFS('Trade Log'!$A$6:$A$1005,"&gt;="&amp;$B40,'Trade Log'!$A$6:$A$1005,"&lt;="&amp;($B40+6),'Trade Log'!$AB$6:$AB$1005,AA$5))</f>
        <v>0</v>
      </c>
      <c r="AB40" s="109">
        <f>IF(OR($B40="",AB$5=""),0,COUNTIFS('Trade Log'!$A$6:$A$1005,"&gt;="&amp;$B40,'Trade Log'!$A$6:$A$1005,"&lt;="&amp;($B40+6),'Trade Log'!$AB$6:$AB$1005,AB$5))</f>
        <v>0</v>
      </c>
      <c r="AC40" s="113">
        <f>IF(OR($B40="",AC$5=""),0,SUMIFS('Trade Log'!$Q$6:$Q$1005,'Trade Log'!$A$6:$A$1005,"&gt;="&amp;$B40,'Trade Log'!$A$6:$A$1005,"&lt;="&amp;($B40+6),'Trade Log'!$AA$6:$AA$1005,AC$5))</f>
        <v>0</v>
      </c>
      <c r="AD40" s="113">
        <f>IF(OR($B40="",AD$5=""),0,SUMIFS('Trade Log'!$Q$6:$Q$1005,'Trade Log'!$A$6:$A$1005,"&gt;="&amp;$B40,'Trade Log'!$A$6:$A$1005,"&lt;="&amp;($B40+6),'Trade Log'!$AA$6:$AA$1005,AD$5))</f>
        <v>0</v>
      </c>
      <c r="AE40" s="113">
        <f>IF(OR($B40="",AE$5=""),0,SUMIFS('Trade Log'!$Q$6:$Q$1005,'Trade Log'!$A$6:$A$1005,"&gt;="&amp;$B40,'Trade Log'!$A$6:$A$1005,"&lt;="&amp;($B40+6),'Trade Log'!$AA$6:$AA$1005,AE$5))</f>
        <v>0</v>
      </c>
      <c r="AF40" s="113">
        <f>IF(OR($B40="",AF$5=""),0,SUMIFS('Trade Log'!$Q$6:$Q$1005,'Trade Log'!$A$6:$A$1005,"&gt;="&amp;$B40,'Trade Log'!$A$6:$A$1005,"&lt;="&amp;($B40+6),'Trade Log'!$AA$6:$AA$1005,AF$5))</f>
        <v>0</v>
      </c>
      <c r="AG40" s="113">
        <f>IF(OR($B40="",AG$5=""),0,SUMIFS('Trade Log'!$Q$6:$Q$1005,'Trade Log'!$A$6:$A$1005,"&gt;="&amp;$B40,'Trade Log'!$A$6:$A$1005,"&lt;="&amp;($B40+6),'Trade Log'!$AA$6:$AA$1005,AG$5))</f>
        <v>0</v>
      </c>
      <c r="AH40" s="113">
        <f>IF(OR($B40="",AH$5=""),0,SUMIFS('Trade Log'!$Q$6:$Q$1005,'Trade Log'!$A$6:$A$1005,"&gt;="&amp;$B40,'Trade Log'!$A$6:$A$1005,"&lt;="&amp;($B40+6),'Trade Log'!$AA$6:$AA$1005,AH$5))</f>
        <v>0</v>
      </c>
      <c r="AI40" s="113">
        <f>IF(OR($B40="",AI$5=""),0,SUMIFS('Trade Log'!$Q$6:$Q$1005,'Trade Log'!$A$6:$A$1005,"&gt;="&amp;$B40,'Trade Log'!$A$6:$A$1005,"&lt;="&amp;($B40+6),'Trade Log'!$AA$6:$AA$1005,AI$5))</f>
        <v>0</v>
      </c>
      <c r="AJ40" s="113">
        <f>IF(OR($B40="",AJ$5=""),0,SUMIFS('Trade Log'!$Q$6:$Q$1005,'Trade Log'!$A$6:$A$1005,"&gt;="&amp;$B40,'Trade Log'!$A$6:$A$1005,"&lt;="&amp;($B40+6),'Trade Log'!$AA$6:$AA$1005,AJ$5))</f>
        <v>0</v>
      </c>
      <c r="AK40" s="113">
        <f>IF(OR($B40="",AK$5=""),0,SUMIFS('Trade Log'!$Q$6:$Q$1005,'Trade Log'!$A$6:$A$1005,"&gt;="&amp;$B40,'Trade Log'!$A$6:$A$1005,"&lt;="&amp;($B40+6),'Trade Log'!$AA$6:$AA$1005,AK$5))</f>
        <v>0</v>
      </c>
      <c r="AL40" s="113">
        <f>IF(OR($B40="",AL$5=""),0,SUMIFS('Trade Log'!$Q$6:$Q$1005,'Trade Log'!$A$6:$A$1005,"&gt;="&amp;$B40,'Trade Log'!$A$6:$A$1005,"&lt;="&amp;($B40+6),'Trade Log'!$AA$6:$AA$1005,AL$5))</f>
        <v>0</v>
      </c>
      <c r="AM40" s="113">
        <f>IF(OR($B40="",AM$5=""),0,SUMIFS('Trade Log'!$Q$6:$Q$1005,'Trade Log'!$A$6:$A$1005,"&gt;="&amp;$B40,'Trade Log'!$A$6:$A$1005,"&lt;="&amp;($B40+6),'Trade Log'!$Y$6:$Y$1005,AM$5))</f>
        <v>0</v>
      </c>
      <c r="AN40" s="113">
        <f>IF(OR($B40="",AN$5=""),0,SUMIFS('Trade Log'!$Q$6:$Q$1005,'Trade Log'!$A$6:$A$1005,"&gt;="&amp;$B40,'Trade Log'!$A$6:$A$1005,"&lt;="&amp;($B40+6),'Trade Log'!$Y$6:$Y$1005,AN$5))</f>
        <v>0</v>
      </c>
      <c r="AO40" s="113">
        <f>IF(OR($B40="",AO$5=""),0,SUMIFS('Trade Log'!$Q$6:$Q$1005,'Trade Log'!$A$6:$A$1005,"&gt;="&amp;$B40,'Trade Log'!$A$6:$A$1005,"&lt;="&amp;($B40+6),'Trade Log'!$Y$6:$Y$1005,AO$5))</f>
        <v>0</v>
      </c>
      <c r="AP40" s="113">
        <f>IF(OR($B40="",AP$5=""),0,SUMIFS('Trade Log'!$Q$6:$Q$1005,'Trade Log'!$A$6:$A$1005,"&gt;="&amp;$B40,'Trade Log'!$A$6:$A$1005,"&lt;="&amp;($B40+6),'Trade Log'!$Y$6:$Y$1005,AP$5))</f>
        <v>0</v>
      </c>
      <c r="AQ40" s="113">
        <f>IF(OR($B40="",AQ$5=""),0,SUMIFS('Trade Log'!$Q$6:$Q$1005,'Trade Log'!$A$6:$A$1005,"&gt;="&amp;$B40,'Trade Log'!$A$6:$A$1005,"&lt;="&amp;($B40+6),'Trade Log'!$Y$6:$Y$1005,AQ$5))</f>
        <v>0</v>
      </c>
      <c r="AR40" s="113">
        <f>IF(OR($B40="",AR$5=""),0,SUMIFS('Trade Log'!$Q$6:$Q$1005,'Trade Log'!$A$6:$A$1005,"&gt;="&amp;$B40,'Trade Log'!$A$6:$A$1005,"&lt;="&amp;($B40+6),'Trade Log'!$Y$6:$Y$1005,AR$5))</f>
        <v>0</v>
      </c>
      <c r="AS40" s="113">
        <f>IF(OR($B40="",AS$5=""),0,SUMIFS('Trade Log'!$Q$6:$Q$1005,'Trade Log'!$A$6:$A$1005,"&gt;="&amp;$B40,'Trade Log'!$A$6:$A$1005,"&lt;="&amp;($B40+6),'Trade Log'!$Y$6:$Y$1005,AS$5))</f>
        <v>0</v>
      </c>
      <c r="AT40" s="113">
        <f>IF(OR($B40="",AT$5=""),0,SUMIFS('Trade Log'!$Q$6:$Q$1005,'Trade Log'!$A$6:$A$1005,"&gt;="&amp;$B40,'Trade Log'!$A$6:$A$1005,"&lt;="&amp;($B40+6),'Trade Log'!$Y$6:$Y$1005,AT$5))</f>
        <v>0</v>
      </c>
      <c r="AU40" s="113">
        <f>IF(OR($B40="",AU$5=""),0,SUMIFS('Trade Log'!$Q$6:$Q$1005,'Trade Log'!$A$6:$A$1005,"&gt;="&amp;$B40,'Trade Log'!$A$6:$A$1005,"&lt;="&amp;($B40+6),'Trade Log'!$Y$6:$Y$1005,AU$5))</f>
        <v>0</v>
      </c>
      <c r="AV40" s="113">
        <f>IF(OR($B40="",AV$5=""),0,SUMIFS('Trade Log'!$Q$6:$Q$1005,'Trade Log'!$A$6:$A$1005,"&gt;="&amp;$B40,'Trade Log'!$A$6:$A$1005,"&lt;="&amp;($B40+6),'Trade Log'!$Y$6:$Y$1005,AV$5))</f>
        <v>0</v>
      </c>
    </row>
    <row r="41">
      <c r="B41" s="107">
        <f>IF($B40="","",$B40+7)</f>
        <v>46531</v>
      </c>
      <c r="C41" s="96">
        <f>IF($B41="","",COUNTIFS('Trade Log'!$A$6:$A$1005,"&gt;="&amp;$B41,'Trade Log'!$A$6:$A$1005,"&lt;="&amp;($B41+6),'Trade Log'!$BH$6:$BH$1005,1))</f>
        <v>0</v>
      </c>
      <c r="D41" s="98" t="str">
        <f>IF(OR($B41="",N($C41)=0),"",SUMIFS('Trade Log'!$Q$6:$Q$1005,'Trade Log'!$A$6:$A$1005,"&gt;="&amp;$B41,'Trade Log'!$A$6:$A$1005,"&lt;="&amp;($B41+6)))</f>
        <v/>
      </c>
      <c r="E41" s="99" t="str">
        <f>IF(OR($B41="",N($C41)=0),"",IFERROR(COUNTIFS('Trade Log'!$A$6:$A$1005,"&gt;="&amp;$B41,'Trade Log'!$A$6:$A$1005,"&lt;="&amp;($B41+6),'Trade Log'!$S$6:$S$1005,"Win")/(COUNTIFS('Trade Log'!$A$6:$A$1005,"&gt;="&amp;$B41,'Trade Log'!$A$6:$A$1005,"&lt;="&amp;($B41+6),'Trade Log'!$S$6:$S$1005,"Win")+COUNTIFS('Trade Log'!$A$6:$A$1005,"&gt;="&amp;$B41,'Trade Log'!$A$6:$A$1005,"&lt;="&amp;($B41+6),'Trade Log'!$S$6:$S$1005,"Loss")),"—"))</f>
        <v/>
      </c>
      <c r="F41" s="104" t="str">
        <f>IF(OR($B41="",N($C41)=0),"",IFERROR(SUMIFS('Trade Log'!$R$6:$R$1005,'Trade Log'!$A$6:$A$1005,"&gt;="&amp;$B41,'Trade Log'!$A$6:$A$1005,"&lt;="&amp;($B41+6))/COUNTIFS('Trade Log'!$A$6:$A$1005,"&gt;="&amp;$B41,'Trade Log'!$A$6:$A$1005,"&lt;="&amp;($B41+6),'Trade Log'!$BC$6:$BC$1005,1),"—"))</f>
        <v/>
      </c>
      <c r="G41" s="110" t="str">
        <f>IF(OR($B41="",N($C41)=0),"",IF(SUMIFS('Trade Log'!$Q$6:$Q$1005,'Trade Log'!$A$6:$A$1005,"&gt;="&amp;$B41,'Trade Log'!$A$6:$A$1005,"&lt;="&amp;($B41+6),'Trade Log'!$Q$6:$Q$1005,"&lt;0")=0,IF(SUMIFS('Trade Log'!$Q$6:$Q$1005,'Trade Log'!$A$6:$A$1005,"&gt;="&amp;$B41,'Trade Log'!$A$6:$A$1005,"&lt;="&amp;($B41+6),'Trade Log'!$Q$6:$Q$1005,"&gt;0")&gt;0,"No losses","—"),SUMIFS('Trade Log'!$Q$6:$Q$1005,'Trade Log'!$A$6:$A$1005,"&gt;="&amp;$B41,'Trade Log'!$A$6:$A$1005,"&lt;="&amp;($B41+6),'Trade Log'!$Q$6:$Q$1005,"&gt;0")/-SUMIFS('Trade Log'!$Q$6:$Q$1005,'Trade Log'!$A$6:$A$1005,"&gt;="&amp;$B41,'Trade Log'!$A$6:$A$1005,"&lt;="&amp;($B41+6),'Trade Log'!$Q$6:$Q$1005,"&lt;0")))</f>
        <v/>
      </c>
      <c r="H41" s="99" t="str">
        <f>IF(OR($B41="",N($C41)=0),"",IFERROR(COUNTIFS('Trade Log'!$A$6:$A$1005,"&gt;="&amp;$B41,'Trade Log'!$A$6:$A$1005,"&lt;="&amp;($B41+6),'Trade Log'!$Z$6:$Z$1005,"Yes")/(COUNTIFS('Trade Log'!$A$6:$A$1005,"&gt;="&amp;$B41,'Trade Log'!$A$6:$A$1005,"&lt;="&amp;($B41+6),'Trade Log'!$Z$6:$Z$1005,"Yes")+COUNTIFS('Trade Log'!$A$6:$A$1005,"&gt;="&amp;$B41,'Trade Log'!$A$6:$A$1005,"&lt;="&amp;($B41+6),'Trade Log'!$Z$6:$Z$1005,"No")),"—"))</f>
        <v/>
      </c>
      <c r="I41" s="111" t="str">
        <f>IF(OR($B41="",N($C41)=0),"",IF(MAX($Q41:$AB41)=0,"None — clean week",INDEX($Q$5:$AB$5,MATCH(MAX($Q41:$AB41),$Q41:$AB41,0))))</f>
        <v/>
      </c>
      <c r="J41" s="111" t="str">
        <f>IF(OR($B41="",N($C41)=0),"",IF(MIN($AC41:$AL41)&gt;=0,"None lost money",INDEX($AC$5:$AL$5,MATCH(MIN($AC41:$AL41),$AC41:$AL41,0))))</f>
        <v/>
      </c>
      <c r="K41" s="111" t="str">
        <f>IF(OR($B41="",N($C41)=0),"",IF(MAX($AM41:$AV41)&lt;=0,"None made money",INDEX($AM$5:$AV$5,MATCH(MAX($AM41:$AV41),$AM41:$AV41,0))))</f>
        <v/>
      </c>
      <c r="L41" s="106" t="n"/>
      <c r="M41" s="106" t="n"/>
      <c r="N41" s="112" t="n"/>
      <c r="O41" s="29" t="n"/>
      <c r="Q41" s="109">
        <f>IF(OR($B41="",Q$5=""),0,COUNTIFS('Trade Log'!$A$6:$A$1005,"&gt;="&amp;$B41,'Trade Log'!$A$6:$A$1005,"&lt;="&amp;($B41+6),'Trade Log'!$AB$6:$AB$1005,Q$5))</f>
        <v>0</v>
      </c>
      <c r="R41" s="109">
        <f>IF(OR($B41="",R$5=""),0,COUNTIFS('Trade Log'!$A$6:$A$1005,"&gt;="&amp;$B41,'Trade Log'!$A$6:$A$1005,"&lt;="&amp;($B41+6),'Trade Log'!$AB$6:$AB$1005,R$5))</f>
        <v>0</v>
      </c>
      <c r="S41" s="109">
        <f>IF(OR($B41="",S$5=""),0,COUNTIFS('Trade Log'!$A$6:$A$1005,"&gt;="&amp;$B41,'Trade Log'!$A$6:$A$1005,"&lt;="&amp;($B41+6),'Trade Log'!$AB$6:$AB$1005,S$5))</f>
        <v>0</v>
      </c>
      <c r="T41" s="109">
        <f>IF(OR($B41="",T$5=""),0,COUNTIFS('Trade Log'!$A$6:$A$1005,"&gt;="&amp;$B41,'Trade Log'!$A$6:$A$1005,"&lt;="&amp;($B41+6),'Trade Log'!$AB$6:$AB$1005,T$5))</f>
        <v>0</v>
      </c>
      <c r="U41" s="109">
        <f>IF(OR($B41="",U$5=""),0,COUNTIFS('Trade Log'!$A$6:$A$1005,"&gt;="&amp;$B41,'Trade Log'!$A$6:$A$1005,"&lt;="&amp;($B41+6),'Trade Log'!$AB$6:$AB$1005,U$5))</f>
        <v>0</v>
      </c>
      <c r="V41" s="109">
        <f>IF(OR($B41="",V$5=""),0,COUNTIFS('Trade Log'!$A$6:$A$1005,"&gt;="&amp;$B41,'Trade Log'!$A$6:$A$1005,"&lt;="&amp;($B41+6),'Trade Log'!$AB$6:$AB$1005,V$5))</f>
        <v>0</v>
      </c>
      <c r="W41" s="109">
        <f>IF(OR($B41="",W$5=""),0,COUNTIFS('Trade Log'!$A$6:$A$1005,"&gt;="&amp;$B41,'Trade Log'!$A$6:$A$1005,"&lt;="&amp;($B41+6),'Trade Log'!$AB$6:$AB$1005,W$5))</f>
        <v>0</v>
      </c>
      <c r="X41" s="109">
        <f>IF(OR($B41="",X$5=""),0,COUNTIFS('Trade Log'!$A$6:$A$1005,"&gt;="&amp;$B41,'Trade Log'!$A$6:$A$1005,"&lt;="&amp;($B41+6),'Trade Log'!$AB$6:$AB$1005,X$5))</f>
        <v>0</v>
      </c>
      <c r="Y41" s="109">
        <f>IF(OR($B41="",Y$5=""),0,COUNTIFS('Trade Log'!$A$6:$A$1005,"&gt;="&amp;$B41,'Trade Log'!$A$6:$A$1005,"&lt;="&amp;($B41+6),'Trade Log'!$AB$6:$AB$1005,Y$5))</f>
        <v>0</v>
      </c>
      <c r="Z41" s="109">
        <f>IF(OR($B41="",Z$5=""),0,COUNTIFS('Trade Log'!$A$6:$A$1005,"&gt;="&amp;$B41,'Trade Log'!$A$6:$A$1005,"&lt;="&amp;($B41+6),'Trade Log'!$AB$6:$AB$1005,Z$5))</f>
        <v>0</v>
      </c>
      <c r="AA41" s="109">
        <f>IF(OR($B41="",AA$5=""),0,COUNTIFS('Trade Log'!$A$6:$A$1005,"&gt;="&amp;$B41,'Trade Log'!$A$6:$A$1005,"&lt;="&amp;($B41+6),'Trade Log'!$AB$6:$AB$1005,AA$5))</f>
        <v>0</v>
      </c>
      <c r="AB41" s="109">
        <f>IF(OR($B41="",AB$5=""),0,COUNTIFS('Trade Log'!$A$6:$A$1005,"&gt;="&amp;$B41,'Trade Log'!$A$6:$A$1005,"&lt;="&amp;($B41+6),'Trade Log'!$AB$6:$AB$1005,AB$5))</f>
        <v>0</v>
      </c>
      <c r="AC41" s="113">
        <f>IF(OR($B41="",AC$5=""),0,SUMIFS('Trade Log'!$Q$6:$Q$1005,'Trade Log'!$A$6:$A$1005,"&gt;="&amp;$B41,'Trade Log'!$A$6:$A$1005,"&lt;="&amp;($B41+6),'Trade Log'!$AA$6:$AA$1005,AC$5))</f>
        <v>0</v>
      </c>
      <c r="AD41" s="113">
        <f>IF(OR($B41="",AD$5=""),0,SUMIFS('Trade Log'!$Q$6:$Q$1005,'Trade Log'!$A$6:$A$1005,"&gt;="&amp;$B41,'Trade Log'!$A$6:$A$1005,"&lt;="&amp;($B41+6),'Trade Log'!$AA$6:$AA$1005,AD$5))</f>
        <v>0</v>
      </c>
      <c r="AE41" s="113">
        <f>IF(OR($B41="",AE$5=""),0,SUMIFS('Trade Log'!$Q$6:$Q$1005,'Trade Log'!$A$6:$A$1005,"&gt;="&amp;$B41,'Trade Log'!$A$6:$A$1005,"&lt;="&amp;($B41+6),'Trade Log'!$AA$6:$AA$1005,AE$5))</f>
        <v>0</v>
      </c>
      <c r="AF41" s="113">
        <f>IF(OR($B41="",AF$5=""),0,SUMIFS('Trade Log'!$Q$6:$Q$1005,'Trade Log'!$A$6:$A$1005,"&gt;="&amp;$B41,'Trade Log'!$A$6:$A$1005,"&lt;="&amp;($B41+6),'Trade Log'!$AA$6:$AA$1005,AF$5))</f>
        <v>0</v>
      </c>
      <c r="AG41" s="113">
        <f>IF(OR($B41="",AG$5=""),0,SUMIFS('Trade Log'!$Q$6:$Q$1005,'Trade Log'!$A$6:$A$1005,"&gt;="&amp;$B41,'Trade Log'!$A$6:$A$1005,"&lt;="&amp;($B41+6),'Trade Log'!$AA$6:$AA$1005,AG$5))</f>
        <v>0</v>
      </c>
      <c r="AH41" s="113">
        <f>IF(OR($B41="",AH$5=""),0,SUMIFS('Trade Log'!$Q$6:$Q$1005,'Trade Log'!$A$6:$A$1005,"&gt;="&amp;$B41,'Trade Log'!$A$6:$A$1005,"&lt;="&amp;($B41+6),'Trade Log'!$AA$6:$AA$1005,AH$5))</f>
        <v>0</v>
      </c>
      <c r="AI41" s="113">
        <f>IF(OR($B41="",AI$5=""),0,SUMIFS('Trade Log'!$Q$6:$Q$1005,'Trade Log'!$A$6:$A$1005,"&gt;="&amp;$B41,'Trade Log'!$A$6:$A$1005,"&lt;="&amp;($B41+6),'Trade Log'!$AA$6:$AA$1005,AI$5))</f>
        <v>0</v>
      </c>
      <c r="AJ41" s="113">
        <f>IF(OR($B41="",AJ$5=""),0,SUMIFS('Trade Log'!$Q$6:$Q$1005,'Trade Log'!$A$6:$A$1005,"&gt;="&amp;$B41,'Trade Log'!$A$6:$A$1005,"&lt;="&amp;($B41+6),'Trade Log'!$AA$6:$AA$1005,AJ$5))</f>
        <v>0</v>
      </c>
      <c r="AK41" s="113">
        <f>IF(OR($B41="",AK$5=""),0,SUMIFS('Trade Log'!$Q$6:$Q$1005,'Trade Log'!$A$6:$A$1005,"&gt;="&amp;$B41,'Trade Log'!$A$6:$A$1005,"&lt;="&amp;($B41+6),'Trade Log'!$AA$6:$AA$1005,AK$5))</f>
        <v>0</v>
      </c>
      <c r="AL41" s="113">
        <f>IF(OR($B41="",AL$5=""),0,SUMIFS('Trade Log'!$Q$6:$Q$1005,'Trade Log'!$A$6:$A$1005,"&gt;="&amp;$B41,'Trade Log'!$A$6:$A$1005,"&lt;="&amp;($B41+6),'Trade Log'!$AA$6:$AA$1005,AL$5))</f>
        <v>0</v>
      </c>
      <c r="AM41" s="113">
        <f>IF(OR($B41="",AM$5=""),0,SUMIFS('Trade Log'!$Q$6:$Q$1005,'Trade Log'!$A$6:$A$1005,"&gt;="&amp;$B41,'Trade Log'!$A$6:$A$1005,"&lt;="&amp;($B41+6),'Trade Log'!$Y$6:$Y$1005,AM$5))</f>
        <v>0</v>
      </c>
      <c r="AN41" s="113">
        <f>IF(OR($B41="",AN$5=""),0,SUMIFS('Trade Log'!$Q$6:$Q$1005,'Trade Log'!$A$6:$A$1005,"&gt;="&amp;$B41,'Trade Log'!$A$6:$A$1005,"&lt;="&amp;($B41+6),'Trade Log'!$Y$6:$Y$1005,AN$5))</f>
        <v>0</v>
      </c>
      <c r="AO41" s="113">
        <f>IF(OR($B41="",AO$5=""),0,SUMIFS('Trade Log'!$Q$6:$Q$1005,'Trade Log'!$A$6:$A$1005,"&gt;="&amp;$B41,'Trade Log'!$A$6:$A$1005,"&lt;="&amp;($B41+6),'Trade Log'!$Y$6:$Y$1005,AO$5))</f>
        <v>0</v>
      </c>
      <c r="AP41" s="113">
        <f>IF(OR($B41="",AP$5=""),0,SUMIFS('Trade Log'!$Q$6:$Q$1005,'Trade Log'!$A$6:$A$1005,"&gt;="&amp;$B41,'Trade Log'!$A$6:$A$1005,"&lt;="&amp;($B41+6),'Trade Log'!$Y$6:$Y$1005,AP$5))</f>
        <v>0</v>
      </c>
      <c r="AQ41" s="113">
        <f>IF(OR($B41="",AQ$5=""),0,SUMIFS('Trade Log'!$Q$6:$Q$1005,'Trade Log'!$A$6:$A$1005,"&gt;="&amp;$B41,'Trade Log'!$A$6:$A$1005,"&lt;="&amp;($B41+6),'Trade Log'!$Y$6:$Y$1005,AQ$5))</f>
        <v>0</v>
      </c>
      <c r="AR41" s="113">
        <f>IF(OR($B41="",AR$5=""),0,SUMIFS('Trade Log'!$Q$6:$Q$1005,'Trade Log'!$A$6:$A$1005,"&gt;="&amp;$B41,'Trade Log'!$A$6:$A$1005,"&lt;="&amp;($B41+6),'Trade Log'!$Y$6:$Y$1005,AR$5))</f>
        <v>0</v>
      </c>
      <c r="AS41" s="113">
        <f>IF(OR($B41="",AS$5=""),0,SUMIFS('Trade Log'!$Q$6:$Q$1005,'Trade Log'!$A$6:$A$1005,"&gt;="&amp;$B41,'Trade Log'!$A$6:$A$1005,"&lt;="&amp;($B41+6),'Trade Log'!$Y$6:$Y$1005,AS$5))</f>
        <v>0</v>
      </c>
      <c r="AT41" s="113">
        <f>IF(OR($B41="",AT$5=""),0,SUMIFS('Trade Log'!$Q$6:$Q$1005,'Trade Log'!$A$6:$A$1005,"&gt;="&amp;$B41,'Trade Log'!$A$6:$A$1005,"&lt;="&amp;($B41+6),'Trade Log'!$Y$6:$Y$1005,AT$5))</f>
        <v>0</v>
      </c>
      <c r="AU41" s="113">
        <f>IF(OR($B41="",AU$5=""),0,SUMIFS('Trade Log'!$Q$6:$Q$1005,'Trade Log'!$A$6:$A$1005,"&gt;="&amp;$B41,'Trade Log'!$A$6:$A$1005,"&lt;="&amp;($B41+6),'Trade Log'!$Y$6:$Y$1005,AU$5))</f>
        <v>0</v>
      </c>
      <c r="AV41" s="113">
        <f>IF(OR($B41="",AV$5=""),0,SUMIFS('Trade Log'!$Q$6:$Q$1005,'Trade Log'!$A$6:$A$1005,"&gt;="&amp;$B41,'Trade Log'!$A$6:$A$1005,"&lt;="&amp;($B41+6),'Trade Log'!$Y$6:$Y$1005,AV$5))</f>
        <v>0</v>
      </c>
    </row>
    <row r="42">
      <c r="B42" s="107">
        <f>IF($B41="","",$B41+7)</f>
        <v>46538</v>
      </c>
      <c r="C42" s="96">
        <f>IF($B42="","",COUNTIFS('Trade Log'!$A$6:$A$1005,"&gt;="&amp;$B42,'Trade Log'!$A$6:$A$1005,"&lt;="&amp;($B42+6),'Trade Log'!$BH$6:$BH$1005,1))</f>
        <v>0</v>
      </c>
      <c r="D42" s="98" t="str">
        <f>IF(OR($B42="",N($C42)=0),"",SUMIFS('Trade Log'!$Q$6:$Q$1005,'Trade Log'!$A$6:$A$1005,"&gt;="&amp;$B42,'Trade Log'!$A$6:$A$1005,"&lt;="&amp;($B42+6)))</f>
        <v/>
      </c>
      <c r="E42" s="99" t="str">
        <f>IF(OR($B42="",N($C42)=0),"",IFERROR(COUNTIFS('Trade Log'!$A$6:$A$1005,"&gt;="&amp;$B42,'Trade Log'!$A$6:$A$1005,"&lt;="&amp;($B42+6),'Trade Log'!$S$6:$S$1005,"Win")/(COUNTIFS('Trade Log'!$A$6:$A$1005,"&gt;="&amp;$B42,'Trade Log'!$A$6:$A$1005,"&lt;="&amp;($B42+6),'Trade Log'!$S$6:$S$1005,"Win")+COUNTIFS('Trade Log'!$A$6:$A$1005,"&gt;="&amp;$B42,'Trade Log'!$A$6:$A$1005,"&lt;="&amp;($B42+6),'Trade Log'!$S$6:$S$1005,"Loss")),"—"))</f>
        <v/>
      </c>
      <c r="F42" s="104" t="str">
        <f>IF(OR($B42="",N($C42)=0),"",IFERROR(SUMIFS('Trade Log'!$R$6:$R$1005,'Trade Log'!$A$6:$A$1005,"&gt;="&amp;$B42,'Trade Log'!$A$6:$A$1005,"&lt;="&amp;($B42+6))/COUNTIFS('Trade Log'!$A$6:$A$1005,"&gt;="&amp;$B42,'Trade Log'!$A$6:$A$1005,"&lt;="&amp;($B42+6),'Trade Log'!$BC$6:$BC$1005,1),"—"))</f>
        <v/>
      </c>
      <c r="G42" s="110" t="str">
        <f>IF(OR($B42="",N($C42)=0),"",IF(SUMIFS('Trade Log'!$Q$6:$Q$1005,'Trade Log'!$A$6:$A$1005,"&gt;="&amp;$B42,'Trade Log'!$A$6:$A$1005,"&lt;="&amp;($B42+6),'Trade Log'!$Q$6:$Q$1005,"&lt;0")=0,IF(SUMIFS('Trade Log'!$Q$6:$Q$1005,'Trade Log'!$A$6:$A$1005,"&gt;="&amp;$B42,'Trade Log'!$A$6:$A$1005,"&lt;="&amp;($B42+6),'Trade Log'!$Q$6:$Q$1005,"&gt;0")&gt;0,"No losses","—"),SUMIFS('Trade Log'!$Q$6:$Q$1005,'Trade Log'!$A$6:$A$1005,"&gt;="&amp;$B42,'Trade Log'!$A$6:$A$1005,"&lt;="&amp;($B42+6),'Trade Log'!$Q$6:$Q$1005,"&gt;0")/-SUMIFS('Trade Log'!$Q$6:$Q$1005,'Trade Log'!$A$6:$A$1005,"&gt;="&amp;$B42,'Trade Log'!$A$6:$A$1005,"&lt;="&amp;($B42+6),'Trade Log'!$Q$6:$Q$1005,"&lt;0")))</f>
        <v/>
      </c>
      <c r="H42" s="99" t="str">
        <f>IF(OR($B42="",N($C42)=0),"",IFERROR(COUNTIFS('Trade Log'!$A$6:$A$1005,"&gt;="&amp;$B42,'Trade Log'!$A$6:$A$1005,"&lt;="&amp;($B42+6),'Trade Log'!$Z$6:$Z$1005,"Yes")/(COUNTIFS('Trade Log'!$A$6:$A$1005,"&gt;="&amp;$B42,'Trade Log'!$A$6:$A$1005,"&lt;="&amp;($B42+6),'Trade Log'!$Z$6:$Z$1005,"Yes")+COUNTIFS('Trade Log'!$A$6:$A$1005,"&gt;="&amp;$B42,'Trade Log'!$A$6:$A$1005,"&lt;="&amp;($B42+6),'Trade Log'!$Z$6:$Z$1005,"No")),"—"))</f>
        <v/>
      </c>
      <c r="I42" s="111" t="str">
        <f>IF(OR($B42="",N($C42)=0),"",IF(MAX($Q42:$AB42)=0,"None — clean week",INDEX($Q$5:$AB$5,MATCH(MAX($Q42:$AB42),$Q42:$AB42,0))))</f>
        <v/>
      </c>
      <c r="J42" s="111" t="str">
        <f>IF(OR($B42="",N($C42)=0),"",IF(MIN($AC42:$AL42)&gt;=0,"None lost money",INDEX($AC$5:$AL$5,MATCH(MIN($AC42:$AL42),$AC42:$AL42,0))))</f>
        <v/>
      </c>
      <c r="K42" s="111" t="str">
        <f>IF(OR($B42="",N($C42)=0),"",IF(MAX($AM42:$AV42)&lt;=0,"None made money",INDEX($AM$5:$AV$5,MATCH(MAX($AM42:$AV42),$AM42:$AV42,0))))</f>
        <v/>
      </c>
      <c r="L42" s="106" t="n"/>
      <c r="M42" s="106" t="n"/>
      <c r="N42" s="112" t="n"/>
      <c r="O42" s="29" t="n"/>
      <c r="Q42" s="109">
        <f>IF(OR($B42="",Q$5=""),0,COUNTIFS('Trade Log'!$A$6:$A$1005,"&gt;="&amp;$B42,'Trade Log'!$A$6:$A$1005,"&lt;="&amp;($B42+6),'Trade Log'!$AB$6:$AB$1005,Q$5))</f>
        <v>0</v>
      </c>
      <c r="R42" s="109">
        <f>IF(OR($B42="",R$5=""),0,COUNTIFS('Trade Log'!$A$6:$A$1005,"&gt;="&amp;$B42,'Trade Log'!$A$6:$A$1005,"&lt;="&amp;($B42+6),'Trade Log'!$AB$6:$AB$1005,R$5))</f>
        <v>0</v>
      </c>
      <c r="S42" s="109">
        <f>IF(OR($B42="",S$5=""),0,COUNTIFS('Trade Log'!$A$6:$A$1005,"&gt;="&amp;$B42,'Trade Log'!$A$6:$A$1005,"&lt;="&amp;($B42+6),'Trade Log'!$AB$6:$AB$1005,S$5))</f>
        <v>0</v>
      </c>
      <c r="T42" s="109">
        <f>IF(OR($B42="",T$5=""),0,COUNTIFS('Trade Log'!$A$6:$A$1005,"&gt;="&amp;$B42,'Trade Log'!$A$6:$A$1005,"&lt;="&amp;($B42+6),'Trade Log'!$AB$6:$AB$1005,T$5))</f>
        <v>0</v>
      </c>
      <c r="U42" s="109">
        <f>IF(OR($B42="",U$5=""),0,COUNTIFS('Trade Log'!$A$6:$A$1005,"&gt;="&amp;$B42,'Trade Log'!$A$6:$A$1005,"&lt;="&amp;($B42+6),'Trade Log'!$AB$6:$AB$1005,U$5))</f>
        <v>0</v>
      </c>
      <c r="V42" s="109">
        <f>IF(OR($B42="",V$5=""),0,COUNTIFS('Trade Log'!$A$6:$A$1005,"&gt;="&amp;$B42,'Trade Log'!$A$6:$A$1005,"&lt;="&amp;($B42+6),'Trade Log'!$AB$6:$AB$1005,V$5))</f>
        <v>0</v>
      </c>
      <c r="W42" s="109">
        <f>IF(OR($B42="",W$5=""),0,COUNTIFS('Trade Log'!$A$6:$A$1005,"&gt;="&amp;$B42,'Trade Log'!$A$6:$A$1005,"&lt;="&amp;($B42+6),'Trade Log'!$AB$6:$AB$1005,W$5))</f>
        <v>0</v>
      </c>
      <c r="X42" s="109">
        <f>IF(OR($B42="",X$5=""),0,COUNTIFS('Trade Log'!$A$6:$A$1005,"&gt;="&amp;$B42,'Trade Log'!$A$6:$A$1005,"&lt;="&amp;($B42+6),'Trade Log'!$AB$6:$AB$1005,X$5))</f>
        <v>0</v>
      </c>
      <c r="Y42" s="109">
        <f>IF(OR($B42="",Y$5=""),0,COUNTIFS('Trade Log'!$A$6:$A$1005,"&gt;="&amp;$B42,'Trade Log'!$A$6:$A$1005,"&lt;="&amp;($B42+6),'Trade Log'!$AB$6:$AB$1005,Y$5))</f>
        <v>0</v>
      </c>
      <c r="Z42" s="109">
        <f>IF(OR($B42="",Z$5=""),0,COUNTIFS('Trade Log'!$A$6:$A$1005,"&gt;="&amp;$B42,'Trade Log'!$A$6:$A$1005,"&lt;="&amp;($B42+6),'Trade Log'!$AB$6:$AB$1005,Z$5))</f>
        <v>0</v>
      </c>
      <c r="AA42" s="109">
        <f>IF(OR($B42="",AA$5=""),0,COUNTIFS('Trade Log'!$A$6:$A$1005,"&gt;="&amp;$B42,'Trade Log'!$A$6:$A$1005,"&lt;="&amp;($B42+6),'Trade Log'!$AB$6:$AB$1005,AA$5))</f>
        <v>0</v>
      </c>
      <c r="AB42" s="109">
        <f>IF(OR($B42="",AB$5=""),0,COUNTIFS('Trade Log'!$A$6:$A$1005,"&gt;="&amp;$B42,'Trade Log'!$A$6:$A$1005,"&lt;="&amp;($B42+6),'Trade Log'!$AB$6:$AB$1005,AB$5))</f>
        <v>0</v>
      </c>
      <c r="AC42" s="113">
        <f>IF(OR($B42="",AC$5=""),0,SUMIFS('Trade Log'!$Q$6:$Q$1005,'Trade Log'!$A$6:$A$1005,"&gt;="&amp;$B42,'Trade Log'!$A$6:$A$1005,"&lt;="&amp;($B42+6),'Trade Log'!$AA$6:$AA$1005,AC$5))</f>
        <v>0</v>
      </c>
      <c r="AD42" s="113">
        <f>IF(OR($B42="",AD$5=""),0,SUMIFS('Trade Log'!$Q$6:$Q$1005,'Trade Log'!$A$6:$A$1005,"&gt;="&amp;$B42,'Trade Log'!$A$6:$A$1005,"&lt;="&amp;($B42+6),'Trade Log'!$AA$6:$AA$1005,AD$5))</f>
        <v>0</v>
      </c>
      <c r="AE42" s="113">
        <f>IF(OR($B42="",AE$5=""),0,SUMIFS('Trade Log'!$Q$6:$Q$1005,'Trade Log'!$A$6:$A$1005,"&gt;="&amp;$B42,'Trade Log'!$A$6:$A$1005,"&lt;="&amp;($B42+6),'Trade Log'!$AA$6:$AA$1005,AE$5))</f>
        <v>0</v>
      </c>
      <c r="AF42" s="113">
        <f>IF(OR($B42="",AF$5=""),0,SUMIFS('Trade Log'!$Q$6:$Q$1005,'Trade Log'!$A$6:$A$1005,"&gt;="&amp;$B42,'Trade Log'!$A$6:$A$1005,"&lt;="&amp;($B42+6),'Trade Log'!$AA$6:$AA$1005,AF$5))</f>
        <v>0</v>
      </c>
      <c r="AG42" s="113">
        <f>IF(OR($B42="",AG$5=""),0,SUMIFS('Trade Log'!$Q$6:$Q$1005,'Trade Log'!$A$6:$A$1005,"&gt;="&amp;$B42,'Trade Log'!$A$6:$A$1005,"&lt;="&amp;($B42+6),'Trade Log'!$AA$6:$AA$1005,AG$5))</f>
        <v>0</v>
      </c>
      <c r="AH42" s="113">
        <f>IF(OR($B42="",AH$5=""),0,SUMIFS('Trade Log'!$Q$6:$Q$1005,'Trade Log'!$A$6:$A$1005,"&gt;="&amp;$B42,'Trade Log'!$A$6:$A$1005,"&lt;="&amp;($B42+6),'Trade Log'!$AA$6:$AA$1005,AH$5))</f>
        <v>0</v>
      </c>
      <c r="AI42" s="113">
        <f>IF(OR($B42="",AI$5=""),0,SUMIFS('Trade Log'!$Q$6:$Q$1005,'Trade Log'!$A$6:$A$1005,"&gt;="&amp;$B42,'Trade Log'!$A$6:$A$1005,"&lt;="&amp;($B42+6),'Trade Log'!$AA$6:$AA$1005,AI$5))</f>
        <v>0</v>
      </c>
      <c r="AJ42" s="113">
        <f>IF(OR($B42="",AJ$5=""),0,SUMIFS('Trade Log'!$Q$6:$Q$1005,'Trade Log'!$A$6:$A$1005,"&gt;="&amp;$B42,'Trade Log'!$A$6:$A$1005,"&lt;="&amp;($B42+6),'Trade Log'!$AA$6:$AA$1005,AJ$5))</f>
        <v>0</v>
      </c>
      <c r="AK42" s="113">
        <f>IF(OR($B42="",AK$5=""),0,SUMIFS('Trade Log'!$Q$6:$Q$1005,'Trade Log'!$A$6:$A$1005,"&gt;="&amp;$B42,'Trade Log'!$A$6:$A$1005,"&lt;="&amp;($B42+6),'Trade Log'!$AA$6:$AA$1005,AK$5))</f>
        <v>0</v>
      </c>
      <c r="AL42" s="113">
        <f>IF(OR($B42="",AL$5=""),0,SUMIFS('Trade Log'!$Q$6:$Q$1005,'Trade Log'!$A$6:$A$1005,"&gt;="&amp;$B42,'Trade Log'!$A$6:$A$1005,"&lt;="&amp;($B42+6),'Trade Log'!$AA$6:$AA$1005,AL$5))</f>
        <v>0</v>
      </c>
      <c r="AM42" s="113">
        <f>IF(OR($B42="",AM$5=""),0,SUMIFS('Trade Log'!$Q$6:$Q$1005,'Trade Log'!$A$6:$A$1005,"&gt;="&amp;$B42,'Trade Log'!$A$6:$A$1005,"&lt;="&amp;($B42+6),'Trade Log'!$Y$6:$Y$1005,AM$5))</f>
        <v>0</v>
      </c>
      <c r="AN42" s="113">
        <f>IF(OR($B42="",AN$5=""),0,SUMIFS('Trade Log'!$Q$6:$Q$1005,'Trade Log'!$A$6:$A$1005,"&gt;="&amp;$B42,'Trade Log'!$A$6:$A$1005,"&lt;="&amp;($B42+6),'Trade Log'!$Y$6:$Y$1005,AN$5))</f>
        <v>0</v>
      </c>
      <c r="AO42" s="113">
        <f>IF(OR($B42="",AO$5=""),0,SUMIFS('Trade Log'!$Q$6:$Q$1005,'Trade Log'!$A$6:$A$1005,"&gt;="&amp;$B42,'Trade Log'!$A$6:$A$1005,"&lt;="&amp;($B42+6),'Trade Log'!$Y$6:$Y$1005,AO$5))</f>
        <v>0</v>
      </c>
      <c r="AP42" s="113">
        <f>IF(OR($B42="",AP$5=""),0,SUMIFS('Trade Log'!$Q$6:$Q$1005,'Trade Log'!$A$6:$A$1005,"&gt;="&amp;$B42,'Trade Log'!$A$6:$A$1005,"&lt;="&amp;($B42+6),'Trade Log'!$Y$6:$Y$1005,AP$5))</f>
        <v>0</v>
      </c>
      <c r="AQ42" s="113">
        <f>IF(OR($B42="",AQ$5=""),0,SUMIFS('Trade Log'!$Q$6:$Q$1005,'Trade Log'!$A$6:$A$1005,"&gt;="&amp;$B42,'Trade Log'!$A$6:$A$1005,"&lt;="&amp;($B42+6),'Trade Log'!$Y$6:$Y$1005,AQ$5))</f>
        <v>0</v>
      </c>
      <c r="AR42" s="113">
        <f>IF(OR($B42="",AR$5=""),0,SUMIFS('Trade Log'!$Q$6:$Q$1005,'Trade Log'!$A$6:$A$1005,"&gt;="&amp;$B42,'Trade Log'!$A$6:$A$1005,"&lt;="&amp;($B42+6),'Trade Log'!$Y$6:$Y$1005,AR$5))</f>
        <v>0</v>
      </c>
      <c r="AS42" s="113">
        <f>IF(OR($B42="",AS$5=""),0,SUMIFS('Trade Log'!$Q$6:$Q$1005,'Trade Log'!$A$6:$A$1005,"&gt;="&amp;$B42,'Trade Log'!$A$6:$A$1005,"&lt;="&amp;($B42+6),'Trade Log'!$Y$6:$Y$1005,AS$5))</f>
        <v>0</v>
      </c>
      <c r="AT42" s="113">
        <f>IF(OR($B42="",AT$5=""),0,SUMIFS('Trade Log'!$Q$6:$Q$1005,'Trade Log'!$A$6:$A$1005,"&gt;="&amp;$B42,'Trade Log'!$A$6:$A$1005,"&lt;="&amp;($B42+6),'Trade Log'!$Y$6:$Y$1005,AT$5))</f>
        <v>0</v>
      </c>
      <c r="AU42" s="113">
        <f>IF(OR($B42="",AU$5=""),0,SUMIFS('Trade Log'!$Q$6:$Q$1005,'Trade Log'!$A$6:$A$1005,"&gt;="&amp;$B42,'Trade Log'!$A$6:$A$1005,"&lt;="&amp;($B42+6),'Trade Log'!$Y$6:$Y$1005,AU$5))</f>
        <v>0</v>
      </c>
      <c r="AV42" s="113">
        <f>IF(OR($B42="",AV$5=""),0,SUMIFS('Trade Log'!$Q$6:$Q$1005,'Trade Log'!$A$6:$A$1005,"&gt;="&amp;$B42,'Trade Log'!$A$6:$A$1005,"&lt;="&amp;($B42+6),'Trade Log'!$Y$6:$Y$1005,AV$5))</f>
        <v>0</v>
      </c>
    </row>
    <row r="43">
      <c r="B43" s="107">
        <f>IF($B42="","",$B42+7)</f>
        <v>46545</v>
      </c>
      <c r="C43" s="96">
        <f>IF($B43="","",COUNTIFS('Trade Log'!$A$6:$A$1005,"&gt;="&amp;$B43,'Trade Log'!$A$6:$A$1005,"&lt;="&amp;($B43+6),'Trade Log'!$BH$6:$BH$1005,1))</f>
        <v>0</v>
      </c>
      <c r="D43" s="98" t="str">
        <f>IF(OR($B43="",N($C43)=0),"",SUMIFS('Trade Log'!$Q$6:$Q$1005,'Trade Log'!$A$6:$A$1005,"&gt;="&amp;$B43,'Trade Log'!$A$6:$A$1005,"&lt;="&amp;($B43+6)))</f>
        <v/>
      </c>
      <c r="E43" s="99" t="str">
        <f>IF(OR($B43="",N($C43)=0),"",IFERROR(COUNTIFS('Trade Log'!$A$6:$A$1005,"&gt;="&amp;$B43,'Trade Log'!$A$6:$A$1005,"&lt;="&amp;($B43+6),'Trade Log'!$S$6:$S$1005,"Win")/(COUNTIFS('Trade Log'!$A$6:$A$1005,"&gt;="&amp;$B43,'Trade Log'!$A$6:$A$1005,"&lt;="&amp;($B43+6),'Trade Log'!$S$6:$S$1005,"Win")+COUNTIFS('Trade Log'!$A$6:$A$1005,"&gt;="&amp;$B43,'Trade Log'!$A$6:$A$1005,"&lt;="&amp;($B43+6),'Trade Log'!$S$6:$S$1005,"Loss")),"—"))</f>
        <v/>
      </c>
      <c r="F43" s="104" t="str">
        <f>IF(OR($B43="",N($C43)=0),"",IFERROR(SUMIFS('Trade Log'!$R$6:$R$1005,'Trade Log'!$A$6:$A$1005,"&gt;="&amp;$B43,'Trade Log'!$A$6:$A$1005,"&lt;="&amp;($B43+6))/COUNTIFS('Trade Log'!$A$6:$A$1005,"&gt;="&amp;$B43,'Trade Log'!$A$6:$A$1005,"&lt;="&amp;($B43+6),'Trade Log'!$BC$6:$BC$1005,1),"—"))</f>
        <v/>
      </c>
      <c r="G43" s="110" t="str">
        <f>IF(OR($B43="",N($C43)=0),"",IF(SUMIFS('Trade Log'!$Q$6:$Q$1005,'Trade Log'!$A$6:$A$1005,"&gt;="&amp;$B43,'Trade Log'!$A$6:$A$1005,"&lt;="&amp;($B43+6),'Trade Log'!$Q$6:$Q$1005,"&lt;0")=0,IF(SUMIFS('Trade Log'!$Q$6:$Q$1005,'Trade Log'!$A$6:$A$1005,"&gt;="&amp;$B43,'Trade Log'!$A$6:$A$1005,"&lt;="&amp;($B43+6),'Trade Log'!$Q$6:$Q$1005,"&gt;0")&gt;0,"No losses","—"),SUMIFS('Trade Log'!$Q$6:$Q$1005,'Trade Log'!$A$6:$A$1005,"&gt;="&amp;$B43,'Trade Log'!$A$6:$A$1005,"&lt;="&amp;($B43+6),'Trade Log'!$Q$6:$Q$1005,"&gt;0")/-SUMIFS('Trade Log'!$Q$6:$Q$1005,'Trade Log'!$A$6:$A$1005,"&gt;="&amp;$B43,'Trade Log'!$A$6:$A$1005,"&lt;="&amp;($B43+6),'Trade Log'!$Q$6:$Q$1005,"&lt;0")))</f>
        <v/>
      </c>
      <c r="H43" s="99" t="str">
        <f>IF(OR($B43="",N($C43)=0),"",IFERROR(COUNTIFS('Trade Log'!$A$6:$A$1005,"&gt;="&amp;$B43,'Trade Log'!$A$6:$A$1005,"&lt;="&amp;($B43+6),'Trade Log'!$Z$6:$Z$1005,"Yes")/(COUNTIFS('Trade Log'!$A$6:$A$1005,"&gt;="&amp;$B43,'Trade Log'!$A$6:$A$1005,"&lt;="&amp;($B43+6),'Trade Log'!$Z$6:$Z$1005,"Yes")+COUNTIFS('Trade Log'!$A$6:$A$1005,"&gt;="&amp;$B43,'Trade Log'!$A$6:$A$1005,"&lt;="&amp;($B43+6),'Trade Log'!$Z$6:$Z$1005,"No")),"—"))</f>
        <v/>
      </c>
      <c r="I43" s="111" t="str">
        <f>IF(OR($B43="",N($C43)=0),"",IF(MAX($Q43:$AB43)=0,"None — clean week",INDEX($Q$5:$AB$5,MATCH(MAX($Q43:$AB43),$Q43:$AB43,0))))</f>
        <v/>
      </c>
      <c r="J43" s="111" t="str">
        <f>IF(OR($B43="",N($C43)=0),"",IF(MIN($AC43:$AL43)&gt;=0,"None lost money",INDEX($AC$5:$AL$5,MATCH(MIN($AC43:$AL43),$AC43:$AL43,0))))</f>
        <v/>
      </c>
      <c r="K43" s="111" t="str">
        <f>IF(OR($B43="",N($C43)=0),"",IF(MAX($AM43:$AV43)&lt;=0,"None made money",INDEX($AM$5:$AV$5,MATCH(MAX($AM43:$AV43),$AM43:$AV43,0))))</f>
        <v/>
      </c>
      <c r="L43" s="106" t="n"/>
      <c r="M43" s="106" t="n"/>
      <c r="N43" s="112" t="n"/>
      <c r="O43" s="29" t="n"/>
      <c r="Q43" s="109">
        <f>IF(OR($B43="",Q$5=""),0,COUNTIFS('Trade Log'!$A$6:$A$1005,"&gt;="&amp;$B43,'Trade Log'!$A$6:$A$1005,"&lt;="&amp;($B43+6),'Trade Log'!$AB$6:$AB$1005,Q$5))</f>
        <v>0</v>
      </c>
      <c r="R43" s="109">
        <f>IF(OR($B43="",R$5=""),0,COUNTIFS('Trade Log'!$A$6:$A$1005,"&gt;="&amp;$B43,'Trade Log'!$A$6:$A$1005,"&lt;="&amp;($B43+6),'Trade Log'!$AB$6:$AB$1005,R$5))</f>
        <v>0</v>
      </c>
      <c r="S43" s="109">
        <f>IF(OR($B43="",S$5=""),0,COUNTIFS('Trade Log'!$A$6:$A$1005,"&gt;="&amp;$B43,'Trade Log'!$A$6:$A$1005,"&lt;="&amp;($B43+6),'Trade Log'!$AB$6:$AB$1005,S$5))</f>
        <v>0</v>
      </c>
      <c r="T43" s="109">
        <f>IF(OR($B43="",T$5=""),0,COUNTIFS('Trade Log'!$A$6:$A$1005,"&gt;="&amp;$B43,'Trade Log'!$A$6:$A$1005,"&lt;="&amp;($B43+6),'Trade Log'!$AB$6:$AB$1005,T$5))</f>
        <v>0</v>
      </c>
      <c r="U43" s="109">
        <f>IF(OR($B43="",U$5=""),0,COUNTIFS('Trade Log'!$A$6:$A$1005,"&gt;="&amp;$B43,'Trade Log'!$A$6:$A$1005,"&lt;="&amp;($B43+6),'Trade Log'!$AB$6:$AB$1005,U$5))</f>
        <v>0</v>
      </c>
      <c r="V43" s="109">
        <f>IF(OR($B43="",V$5=""),0,COUNTIFS('Trade Log'!$A$6:$A$1005,"&gt;="&amp;$B43,'Trade Log'!$A$6:$A$1005,"&lt;="&amp;($B43+6),'Trade Log'!$AB$6:$AB$1005,V$5))</f>
        <v>0</v>
      </c>
      <c r="W43" s="109">
        <f>IF(OR($B43="",W$5=""),0,COUNTIFS('Trade Log'!$A$6:$A$1005,"&gt;="&amp;$B43,'Trade Log'!$A$6:$A$1005,"&lt;="&amp;($B43+6),'Trade Log'!$AB$6:$AB$1005,W$5))</f>
        <v>0</v>
      </c>
      <c r="X43" s="109">
        <f>IF(OR($B43="",X$5=""),0,COUNTIFS('Trade Log'!$A$6:$A$1005,"&gt;="&amp;$B43,'Trade Log'!$A$6:$A$1005,"&lt;="&amp;($B43+6),'Trade Log'!$AB$6:$AB$1005,X$5))</f>
        <v>0</v>
      </c>
      <c r="Y43" s="109">
        <f>IF(OR($B43="",Y$5=""),0,COUNTIFS('Trade Log'!$A$6:$A$1005,"&gt;="&amp;$B43,'Trade Log'!$A$6:$A$1005,"&lt;="&amp;($B43+6),'Trade Log'!$AB$6:$AB$1005,Y$5))</f>
        <v>0</v>
      </c>
      <c r="Z43" s="109">
        <f>IF(OR($B43="",Z$5=""),0,COUNTIFS('Trade Log'!$A$6:$A$1005,"&gt;="&amp;$B43,'Trade Log'!$A$6:$A$1005,"&lt;="&amp;($B43+6),'Trade Log'!$AB$6:$AB$1005,Z$5))</f>
        <v>0</v>
      </c>
      <c r="AA43" s="109">
        <f>IF(OR($B43="",AA$5=""),0,COUNTIFS('Trade Log'!$A$6:$A$1005,"&gt;="&amp;$B43,'Trade Log'!$A$6:$A$1005,"&lt;="&amp;($B43+6),'Trade Log'!$AB$6:$AB$1005,AA$5))</f>
        <v>0</v>
      </c>
      <c r="AB43" s="109">
        <f>IF(OR($B43="",AB$5=""),0,COUNTIFS('Trade Log'!$A$6:$A$1005,"&gt;="&amp;$B43,'Trade Log'!$A$6:$A$1005,"&lt;="&amp;($B43+6),'Trade Log'!$AB$6:$AB$1005,AB$5))</f>
        <v>0</v>
      </c>
      <c r="AC43" s="113">
        <f>IF(OR($B43="",AC$5=""),0,SUMIFS('Trade Log'!$Q$6:$Q$1005,'Trade Log'!$A$6:$A$1005,"&gt;="&amp;$B43,'Trade Log'!$A$6:$A$1005,"&lt;="&amp;($B43+6),'Trade Log'!$AA$6:$AA$1005,AC$5))</f>
        <v>0</v>
      </c>
      <c r="AD43" s="113">
        <f>IF(OR($B43="",AD$5=""),0,SUMIFS('Trade Log'!$Q$6:$Q$1005,'Trade Log'!$A$6:$A$1005,"&gt;="&amp;$B43,'Trade Log'!$A$6:$A$1005,"&lt;="&amp;($B43+6),'Trade Log'!$AA$6:$AA$1005,AD$5))</f>
        <v>0</v>
      </c>
      <c r="AE43" s="113">
        <f>IF(OR($B43="",AE$5=""),0,SUMIFS('Trade Log'!$Q$6:$Q$1005,'Trade Log'!$A$6:$A$1005,"&gt;="&amp;$B43,'Trade Log'!$A$6:$A$1005,"&lt;="&amp;($B43+6),'Trade Log'!$AA$6:$AA$1005,AE$5))</f>
        <v>0</v>
      </c>
      <c r="AF43" s="113">
        <f>IF(OR($B43="",AF$5=""),0,SUMIFS('Trade Log'!$Q$6:$Q$1005,'Trade Log'!$A$6:$A$1005,"&gt;="&amp;$B43,'Trade Log'!$A$6:$A$1005,"&lt;="&amp;($B43+6),'Trade Log'!$AA$6:$AA$1005,AF$5))</f>
        <v>0</v>
      </c>
      <c r="AG43" s="113">
        <f>IF(OR($B43="",AG$5=""),0,SUMIFS('Trade Log'!$Q$6:$Q$1005,'Trade Log'!$A$6:$A$1005,"&gt;="&amp;$B43,'Trade Log'!$A$6:$A$1005,"&lt;="&amp;($B43+6),'Trade Log'!$AA$6:$AA$1005,AG$5))</f>
        <v>0</v>
      </c>
      <c r="AH43" s="113">
        <f>IF(OR($B43="",AH$5=""),0,SUMIFS('Trade Log'!$Q$6:$Q$1005,'Trade Log'!$A$6:$A$1005,"&gt;="&amp;$B43,'Trade Log'!$A$6:$A$1005,"&lt;="&amp;($B43+6),'Trade Log'!$AA$6:$AA$1005,AH$5))</f>
        <v>0</v>
      </c>
      <c r="AI43" s="113">
        <f>IF(OR($B43="",AI$5=""),0,SUMIFS('Trade Log'!$Q$6:$Q$1005,'Trade Log'!$A$6:$A$1005,"&gt;="&amp;$B43,'Trade Log'!$A$6:$A$1005,"&lt;="&amp;($B43+6),'Trade Log'!$AA$6:$AA$1005,AI$5))</f>
        <v>0</v>
      </c>
      <c r="AJ43" s="113">
        <f>IF(OR($B43="",AJ$5=""),0,SUMIFS('Trade Log'!$Q$6:$Q$1005,'Trade Log'!$A$6:$A$1005,"&gt;="&amp;$B43,'Trade Log'!$A$6:$A$1005,"&lt;="&amp;($B43+6),'Trade Log'!$AA$6:$AA$1005,AJ$5))</f>
        <v>0</v>
      </c>
      <c r="AK43" s="113">
        <f>IF(OR($B43="",AK$5=""),0,SUMIFS('Trade Log'!$Q$6:$Q$1005,'Trade Log'!$A$6:$A$1005,"&gt;="&amp;$B43,'Trade Log'!$A$6:$A$1005,"&lt;="&amp;($B43+6),'Trade Log'!$AA$6:$AA$1005,AK$5))</f>
        <v>0</v>
      </c>
      <c r="AL43" s="113">
        <f>IF(OR($B43="",AL$5=""),0,SUMIFS('Trade Log'!$Q$6:$Q$1005,'Trade Log'!$A$6:$A$1005,"&gt;="&amp;$B43,'Trade Log'!$A$6:$A$1005,"&lt;="&amp;($B43+6),'Trade Log'!$AA$6:$AA$1005,AL$5))</f>
        <v>0</v>
      </c>
      <c r="AM43" s="113">
        <f>IF(OR($B43="",AM$5=""),0,SUMIFS('Trade Log'!$Q$6:$Q$1005,'Trade Log'!$A$6:$A$1005,"&gt;="&amp;$B43,'Trade Log'!$A$6:$A$1005,"&lt;="&amp;($B43+6),'Trade Log'!$Y$6:$Y$1005,AM$5))</f>
        <v>0</v>
      </c>
      <c r="AN43" s="113">
        <f>IF(OR($B43="",AN$5=""),0,SUMIFS('Trade Log'!$Q$6:$Q$1005,'Trade Log'!$A$6:$A$1005,"&gt;="&amp;$B43,'Trade Log'!$A$6:$A$1005,"&lt;="&amp;($B43+6),'Trade Log'!$Y$6:$Y$1005,AN$5))</f>
        <v>0</v>
      </c>
      <c r="AO43" s="113">
        <f>IF(OR($B43="",AO$5=""),0,SUMIFS('Trade Log'!$Q$6:$Q$1005,'Trade Log'!$A$6:$A$1005,"&gt;="&amp;$B43,'Trade Log'!$A$6:$A$1005,"&lt;="&amp;($B43+6),'Trade Log'!$Y$6:$Y$1005,AO$5))</f>
        <v>0</v>
      </c>
      <c r="AP43" s="113">
        <f>IF(OR($B43="",AP$5=""),0,SUMIFS('Trade Log'!$Q$6:$Q$1005,'Trade Log'!$A$6:$A$1005,"&gt;="&amp;$B43,'Trade Log'!$A$6:$A$1005,"&lt;="&amp;($B43+6),'Trade Log'!$Y$6:$Y$1005,AP$5))</f>
        <v>0</v>
      </c>
      <c r="AQ43" s="113">
        <f>IF(OR($B43="",AQ$5=""),0,SUMIFS('Trade Log'!$Q$6:$Q$1005,'Trade Log'!$A$6:$A$1005,"&gt;="&amp;$B43,'Trade Log'!$A$6:$A$1005,"&lt;="&amp;($B43+6),'Trade Log'!$Y$6:$Y$1005,AQ$5))</f>
        <v>0</v>
      </c>
      <c r="AR43" s="113">
        <f>IF(OR($B43="",AR$5=""),0,SUMIFS('Trade Log'!$Q$6:$Q$1005,'Trade Log'!$A$6:$A$1005,"&gt;="&amp;$B43,'Trade Log'!$A$6:$A$1005,"&lt;="&amp;($B43+6),'Trade Log'!$Y$6:$Y$1005,AR$5))</f>
        <v>0</v>
      </c>
      <c r="AS43" s="113">
        <f>IF(OR($B43="",AS$5=""),0,SUMIFS('Trade Log'!$Q$6:$Q$1005,'Trade Log'!$A$6:$A$1005,"&gt;="&amp;$B43,'Trade Log'!$A$6:$A$1005,"&lt;="&amp;($B43+6),'Trade Log'!$Y$6:$Y$1005,AS$5))</f>
        <v>0</v>
      </c>
      <c r="AT43" s="113">
        <f>IF(OR($B43="",AT$5=""),0,SUMIFS('Trade Log'!$Q$6:$Q$1005,'Trade Log'!$A$6:$A$1005,"&gt;="&amp;$B43,'Trade Log'!$A$6:$A$1005,"&lt;="&amp;($B43+6),'Trade Log'!$Y$6:$Y$1005,AT$5))</f>
        <v>0</v>
      </c>
      <c r="AU43" s="113">
        <f>IF(OR($B43="",AU$5=""),0,SUMIFS('Trade Log'!$Q$6:$Q$1005,'Trade Log'!$A$6:$A$1005,"&gt;="&amp;$B43,'Trade Log'!$A$6:$A$1005,"&lt;="&amp;($B43+6),'Trade Log'!$Y$6:$Y$1005,AU$5))</f>
        <v>0</v>
      </c>
      <c r="AV43" s="113">
        <f>IF(OR($B43="",AV$5=""),0,SUMIFS('Trade Log'!$Q$6:$Q$1005,'Trade Log'!$A$6:$A$1005,"&gt;="&amp;$B43,'Trade Log'!$A$6:$A$1005,"&lt;="&amp;($B43+6),'Trade Log'!$Y$6:$Y$1005,AV$5))</f>
        <v>0</v>
      </c>
    </row>
    <row r="44">
      <c r="B44" s="107">
        <f>IF($B43="","",$B43+7)</f>
        <v>46552</v>
      </c>
      <c r="C44" s="96">
        <f>IF($B44="","",COUNTIFS('Trade Log'!$A$6:$A$1005,"&gt;="&amp;$B44,'Trade Log'!$A$6:$A$1005,"&lt;="&amp;($B44+6),'Trade Log'!$BH$6:$BH$1005,1))</f>
        <v>0</v>
      </c>
      <c r="D44" s="98" t="str">
        <f>IF(OR($B44="",N($C44)=0),"",SUMIFS('Trade Log'!$Q$6:$Q$1005,'Trade Log'!$A$6:$A$1005,"&gt;="&amp;$B44,'Trade Log'!$A$6:$A$1005,"&lt;="&amp;($B44+6)))</f>
        <v/>
      </c>
      <c r="E44" s="99" t="str">
        <f>IF(OR($B44="",N($C44)=0),"",IFERROR(COUNTIFS('Trade Log'!$A$6:$A$1005,"&gt;="&amp;$B44,'Trade Log'!$A$6:$A$1005,"&lt;="&amp;($B44+6),'Trade Log'!$S$6:$S$1005,"Win")/(COUNTIFS('Trade Log'!$A$6:$A$1005,"&gt;="&amp;$B44,'Trade Log'!$A$6:$A$1005,"&lt;="&amp;($B44+6),'Trade Log'!$S$6:$S$1005,"Win")+COUNTIFS('Trade Log'!$A$6:$A$1005,"&gt;="&amp;$B44,'Trade Log'!$A$6:$A$1005,"&lt;="&amp;($B44+6),'Trade Log'!$S$6:$S$1005,"Loss")),"—"))</f>
        <v/>
      </c>
      <c r="F44" s="104" t="str">
        <f>IF(OR($B44="",N($C44)=0),"",IFERROR(SUMIFS('Trade Log'!$R$6:$R$1005,'Trade Log'!$A$6:$A$1005,"&gt;="&amp;$B44,'Trade Log'!$A$6:$A$1005,"&lt;="&amp;($B44+6))/COUNTIFS('Trade Log'!$A$6:$A$1005,"&gt;="&amp;$B44,'Trade Log'!$A$6:$A$1005,"&lt;="&amp;($B44+6),'Trade Log'!$BC$6:$BC$1005,1),"—"))</f>
        <v/>
      </c>
      <c r="G44" s="110" t="str">
        <f>IF(OR($B44="",N($C44)=0),"",IF(SUMIFS('Trade Log'!$Q$6:$Q$1005,'Trade Log'!$A$6:$A$1005,"&gt;="&amp;$B44,'Trade Log'!$A$6:$A$1005,"&lt;="&amp;($B44+6),'Trade Log'!$Q$6:$Q$1005,"&lt;0")=0,IF(SUMIFS('Trade Log'!$Q$6:$Q$1005,'Trade Log'!$A$6:$A$1005,"&gt;="&amp;$B44,'Trade Log'!$A$6:$A$1005,"&lt;="&amp;($B44+6),'Trade Log'!$Q$6:$Q$1005,"&gt;0")&gt;0,"No losses","—"),SUMIFS('Trade Log'!$Q$6:$Q$1005,'Trade Log'!$A$6:$A$1005,"&gt;="&amp;$B44,'Trade Log'!$A$6:$A$1005,"&lt;="&amp;($B44+6),'Trade Log'!$Q$6:$Q$1005,"&gt;0")/-SUMIFS('Trade Log'!$Q$6:$Q$1005,'Trade Log'!$A$6:$A$1005,"&gt;="&amp;$B44,'Trade Log'!$A$6:$A$1005,"&lt;="&amp;($B44+6),'Trade Log'!$Q$6:$Q$1005,"&lt;0")))</f>
        <v/>
      </c>
      <c r="H44" s="99" t="str">
        <f>IF(OR($B44="",N($C44)=0),"",IFERROR(COUNTIFS('Trade Log'!$A$6:$A$1005,"&gt;="&amp;$B44,'Trade Log'!$A$6:$A$1005,"&lt;="&amp;($B44+6),'Trade Log'!$Z$6:$Z$1005,"Yes")/(COUNTIFS('Trade Log'!$A$6:$A$1005,"&gt;="&amp;$B44,'Trade Log'!$A$6:$A$1005,"&lt;="&amp;($B44+6),'Trade Log'!$Z$6:$Z$1005,"Yes")+COUNTIFS('Trade Log'!$A$6:$A$1005,"&gt;="&amp;$B44,'Trade Log'!$A$6:$A$1005,"&lt;="&amp;($B44+6),'Trade Log'!$Z$6:$Z$1005,"No")),"—"))</f>
        <v/>
      </c>
      <c r="I44" s="111" t="str">
        <f>IF(OR($B44="",N($C44)=0),"",IF(MAX($Q44:$AB44)=0,"None — clean week",INDEX($Q$5:$AB$5,MATCH(MAX($Q44:$AB44),$Q44:$AB44,0))))</f>
        <v/>
      </c>
      <c r="J44" s="111" t="str">
        <f>IF(OR($B44="",N($C44)=0),"",IF(MIN($AC44:$AL44)&gt;=0,"None lost money",INDEX($AC$5:$AL$5,MATCH(MIN($AC44:$AL44),$AC44:$AL44,0))))</f>
        <v/>
      </c>
      <c r="K44" s="111" t="str">
        <f>IF(OR($B44="",N($C44)=0),"",IF(MAX($AM44:$AV44)&lt;=0,"None made money",INDEX($AM$5:$AV$5,MATCH(MAX($AM44:$AV44),$AM44:$AV44,0))))</f>
        <v/>
      </c>
      <c r="L44" s="106" t="n"/>
      <c r="M44" s="106" t="n"/>
      <c r="N44" s="112" t="n"/>
      <c r="O44" s="29" t="n"/>
      <c r="Q44" s="109">
        <f>IF(OR($B44="",Q$5=""),0,COUNTIFS('Trade Log'!$A$6:$A$1005,"&gt;="&amp;$B44,'Trade Log'!$A$6:$A$1005,"&lt;="&amp;($B44+6),'Trade Log'!$AB$6:$AB$1005,Q$5))</f>
        <v>0</v>
      </c>
      <c r="R44" s="109">
        <f>IF(OR($B44="",R$5=""),0,COUNTIFS('Trade Log'!$A$6:$A$1005,"&gt;="&amp;$B44,'Trade Log'!$A$6:$A$1005,"&lt;="&amp;($B44+6),'Trade Log'!$AB$6:$AB$1005,R$5))</f>
        <v>0</v>
      </c>
      <c r="S44" s="109">
        <f>IF(OR($B44="",S$5=""),0,COUNTIFS('Trade Log'!$A$6:$A$1005,"&gt;="&amp;$B44,'Trade Log'!$A$6:$A$1005,"&lt;="&amp;($B44+6),'Trade Log'!$AB$6:$AB$1005,S$5))</f>
        <v>0</v>
      </c>
      <c r="T44" s="109">
        <f>IF(OR($B44="",T$5=""),0,COUNTIFS('Trade Log'!$A$6:$A$1005,"&gt;="&amp;$B44,'Trade Log'!$A$6:$A$1005,"&lt;="&amp;($B44+6),'Trade Log'!$AB$6:$AB$1005,T$5))</f>
        <v>0</v>
      </c>
      <c r="U44" s="109">
        <f>IF(OR($B44="",U$5=""),0,COUNTIFS('Trade Log'!$A$6:$A$1005,"&gt;="&amp;$B44,'Trade Log'!$A$6:$A$1005,"&lt;="&amp;($B44+6),'Trade Log'!$AB$6:$AB$1005,U$5))</f>
        <v>0</v>
      </c>
      <c r="V44" s="109">
        <f>IF(OR($B44="",V$5=""),0,COUNTIFS('Trade Log'!$A$6:$A$1005,"&gt;="&amp;$B44,'Trade Log'!$A$6:$A$1005,"&lt;="&amp;($B44+6),'Trade Log'!$AB$6:$AB$1005,V$5))</f>
        <v>0</v>
      </c>
      <c r="W44" s="109">
        <f>IF(OR($B44="",W$5=""),0,COUNTIFS('Trade Log'!$A$6:$A$1005,"&gt;="&amp;$B44,'Trade Log'!$A$6:$A$1005,"&lt;="&amp;($B44+6),'Trade Log'!$AB$6:$AB$1005,W$5))</f>
        <v>0</v>
      </c>
      <c r="X44" s="109">
        <f>IF(OR($B44="",X$5=""),0,COUNTIFS('Trade Log'!$A$6:$A$1005,"&gt;="&amp;$B44,'Trade Log'!$A$6:$A$1005,"&lt;="&amp;($B44+6),'Trade Log'!$AB$6:$AB$1005,X$5))</f>
        <v>0</v>
      </c>
      <c r="Y44" s="109">
        <f>IF(OR($B44="",Y$5=""),0,COUNTIFS('Trade Log'!$A$6:$A$1005,"&gt;="&amp;$B44,'Trade Log'!$A$6:$A$1005,"&lt;="&amp;($B44+6),'Trade Log'!$AB$6:$AB$1005,Y$5))</f>
        <v>0</v>
      </c>
      <c r="Z44" s="109">
        <f>IF(OR($B44="",Z$5=""),0,COUNTIFS('Trade Log'!$A$6:$A$1005,"&gt;="&amp;$B44,'Trade Log'!$A$6:$A$1005,"&lt;="&amp;($B44+6),'Trade Log'!$AB$6:$AB$1005,Z$5))</f>
        <v>0</v>
      </c>
      <c r="AA44" s="109">
        <f>IF(OR($B44="",AA$5=""),0,COUNTIFS('Trade Log'!$A$6:$A$1005,"&gt;="&amp;$B44,'Trade Log'!$A$6:$A$1005,"&lt;="&amp;($B44+6),'Trade Log'!$AB$6:$AB$1005,AA$5))</f>
        <v>0</v>
      </c>
      <c r="AB44" s="109">
        <f>IF(OR($B44="",AB$5=""),0,COUNTIFS('Trade Log'!$A$6:$A$1005,"&gt;="&amp;$B44,'Trade Log'!$A$6:$A$1005,"&lt;="&amp;($B44+6),'Trade Log'!$AB$6:$AB$1005,AB$5))</f>
        <v>0</v>
      </c>
      <c r="AC44" s="113">
        <f>IF(OR($B44="",AC$5=""),0,SUMIFS('Trade Log'!$Q$6:$Q$1005,'Trade Log'!$A$6:$A$1005,"&gt;="&amp;$B44,'Trade Log'!$A$6:$A$1005,"&lt;="&amp;($B44+6),'Trade Log'!$AA$6:$AA$1005,AC$5))</f>
        <v>0</v>
      </c>
      <c r="AD44" s="113">
        <f>IF(OR($B44="",AD$5=""),0,SUMIFS('Trade Log'!$Q$6:$Q$1005,'Trade Log'!$A$6:$A$1005,"&gt;="&amp;$B44,'Trade Log'!$A$6:$A$1005,"&lt;="&amp;($B44+6),'Trade Log'!$AA$6:$AA$1005,AD$5))</f>
        <v>0</v>
      </c>
      <c r="AE44" s="113">
        <f>IF(OR($B44="",AE$5=""),0,SUMIFS('Trade Log'!$Q$6:$Q$1005,'Trade Log'!$A$6:$A$1005,"&gt;="&amp;$B44,'Trade Log'!$A$6:$A$1005,"&lt;="&amp;($B44+6),'Trade Log'!$AA$6:$AA$1005,AE$5))</f>
        <v>0</v>
      </c>
      <c r="AF44" s="113">
        <f>IF(OR($B44="",AF$5=""),0,SUMIFS('Trade Log'!$Q$6:$Q$1005,'Trade Log'!$A$6:$A$1005,"&gt;="&amp;$B44,'Trade Log'!$A$6:$A$1005,"&lt;="&amp;($B44+6),'Trade Log'!$AA$6:$AA$1005,AF$5))</f>
        <v>0</v>
      </c>
      <c r="AG44" s="113">
        <f>IF(OR($B44="",AG$5=""),0,SUMIFS('Trade Log'!$Q$6:$Q$1005,'Trade Log'!$A$6:$A$1005,"&gt;="&amp;$B44,'Trade Log'!$A$6:$A$1005,"&lt;="&amp;($B44+6),'Trade Log'!$AA$6:$AA$1005,AG$5))</f>
        <v>0</v>
      </c>
      <c r="AH44" s="113">
        <f>IF(OR($B44="",AH$5=""),0,SUMIFS('Trade Log'!$Q$6:$Q$1005,'Trade Log'!$A$6:$A$1005,"&gt;="&amp;$B44,'Trade Log'!$A$6:$A$1005,"&lt;="&amp;($B44+6),'Trade Log'!$AA$6:$AA$1005,AH$5))</f>
        <v>0</v>
      </c>
      <c r="AI44" s="113">
        <f>IF(OR($B44="",AI$5=""),0,SUMIFS('Trade Log'!$Q$6:$Q$1005,'Trade Log'!$A$6:$A$1005,"&gt;="&amp;$B44,'Trade Log'!$A$6:$A$1005,"&lt;="&amp;($B44+6),'Trade Log'!$AA$6:$AA$1005,AI$5))</f>
        <v>0</v>
      </c>
      <c r="AJ44" s="113">
        <f>IF(OR($B44="",AJ$5=""),0,SUMIFS('Trade Log'!$Q$6:$Q$1005,'Trade Log'!$A$6:$A$1005,"&gt;="&amp;$B44,'Trade Log'!$A$6:$A$1005,"&lt;="&amp;($B44+6),'Trade Log'!$AA$6:$AA$1005,AJ$5))</f>
        <v>0</v>
      </c>
      <c r="AK44" s="113">
        <f>IF(OR($B44="",AK$5=""),0,SUMIFS('Trade Log'!$Q$6:$Q$1005,'Trade Log'!$A$6:$A$1005,"&gt;="&amp;$B44,'Trade Log'!$A$6:$A$1005,"&lt;="&amp;($B44+6),'Trade Log'!$AA$6:$AA$1005,AK$5))</f>
        <v>0</v>
      </c>
      <c r="AL44" s="113">
        <f>IF(OR($B44="",AL$5=""),0,SUMIFS('Trade Log'!$Q$6:$Q$1005,'Trade Log'!$A$6:$A$1005,"&gt;="&amp;$B44,'Trade Log'!$A$6:$A$1005,"&lt;="&amp;($B44+6),'Trade Log'!$AA$6:$AA$1005,AL$5))</f>
        <v>0</v>
      </c>
      <c r="AM44" s="113">
        <f>IF(OR($B44="",AM$5=""),0,SUMIFS('Trade Log'!$Q$6:$Q$1005,'Trade Log'!$A$6:$A$1005,"&gt;="&amp;$B44,'Trade Log'!$A$6:$A$1005,"&lt;="&amp;($B44+6),'Trade Log'!$Y$6:$Y$1005,AM$5))</f>
        <v>0</v>
      </c>
      <c r="AN44" s="113">
        <f>IF(OR($B44="",AN$5=""),0,SUMIFS('Trade Log'!$Q$6:$Q$1005,'Trade Log'!$A$6:$A$1005,"&gt;="&amp;$B44,'Trade Log'!$A$6:$A$1005,"&lt;="&amp;($B44+6),'Trade Log'!$Y$6:$Y$1005,AN$5))</f>
        <v>0</v>
      </c>
      <c r="AO44" s="113">
        <f>IF(OR($B44="",AO$5=""),0,SUMIFS('Trade Log'!$Q$6:$Q$1005,'Trade Log'!$A$6:$A$1005,"&gt;="&amp;$B44,'Trade Log'!$A$6:$A$1005,"&lt;="&amp;($B44+6),'Trade Log'!$Y$6:$Y$1005,AO$5))</f>
        <v>0</v>
      </c>
      <c r="AP44" s="113">
        <f>IF(OR($B44="",AP$5=""),0,SUMIFS('Trade Log'!$Q$6:$Q$1005,'Trade Log'!$A$6:$A$1005,"&gt;="&amp;$B44,'Trade Log'!$A$6:$A$1005,"&lt;="&amp;($B44+6),'Trade Log'!$Y$6:$Y$1005,AP$5))</f>
        <v>0</v>
      </c>
      <c r="AQ44" s="113">
        <f>IF(OR($B44="",AQ$5=""),0,SUMIFS('Trade Log'!$Q$6:$Q$1005,'Trade Log'!$A$6:$A$1005,"&gt;="&amp;$B44,'Trade Log'!$A$6:$A$1005,"&lt;="&amp;($B44+6),'Trade Log'!$Y$6:$Y$1005,AQ$5))</f>
        <v>0</v>
      </c>
      <c r="AR44" s="113">
        <f>IF(OR($B44="",AR$5=""),0,SUMIFS('Trade Log'!$Q$6:$Q$1005,'Trade Log'!$A$6:$A$1005,"&gt;="&amp;$B44,'Trade Log'!$A$6:$A$1005,"&lt;="&amp;($B44+6),'Trade Log'!$Y$6:$Y$1005,AR$5))</f>
        <v>0</v>
      </c>
      <c r="AS44" s="113">
        <f>IF(OR($B44="",AS$5=""),0,SUMIFS('Trade Log'!$Q$6:$Q$1005,'Trade Log'!$A$6:$A$1005,"&gt;="&amp;$B44,'Trade Log'!$A$6:$A$1005,"&lt;="&amp;($B44+6),'Trade Log'!$Y$6:$Y$1005,AS$5))</f>
        <v>0</v>
      </c>
      <c r="AT44" s="113">
        <f>IF(OR($B44="",AT$5=""),0,SUMIFS('Trade Log'!$Q$6:$Q$1005,'Trade Log'!$A$6:$A$1005,"&gt;="&amp;$B44,'Trade Log'!$A$6:$A$1005,"&lt;="&amp;($B44+6),'Trade Log'!$Y$6:$Y$1005,AT$5))</f>
        <v>0</v>
      </c>
      <c r="AU44" s="113">
        <f>IF(OR($B44="",AU$5=""),0,SUMIFS('Trade Log'!$Q$6:$Q$1005,'Trade Log'!$A$6:$A$1005,"&gt;="&amp;$B44,'Trade Log'!$A$6:$A$1005,"&lt;="&amp;($B44+6),'Trade Log'!$Y$6:$Y$1005,AU$5))</f>
        <v>0</v>
      </c>
      <c r="AV44" s="113">
        <f>IF(OR($B44="",AV$5=""),0,SUMIFS('Trade Log'!$Q$6:$Q$1005,'Trade Log'!$A$6:$A$1005,"&gt;="&amp;$B44,'Trade Log'!$A$6:$A$1005,"&lt;="&amp;($B44+6),'Trade Log'!$Y$6:$Y$1005,AV$5))</f>
        <v>0</v>
      </c>
    </row>
    <row r="45">
      <c r="B45" s="107">
        <f>IF($B44="","",$B44+7)</f>
        <v>46559</v>
      </c>
      <c r="C45" s="96">
        <f>IF($B45="","",COUNTIFS('Trade Log'!$A$6:$A$1005,"&gt;="&amp;$B45,'Trade Log'!$A$6:$A$1005,"&lt;="&amp;($B45+6),'Trade Log'!$BH$6:$BH$1005,1))</f>
        <v>0</v>
      </c>
      <c r="D45" s="98" t="str">
        <f>IF(OR($B45="",N($C45)=0),"",SUMIFS('Trade Log'!$Q$6:$Q$1005,'Trade Log'!$A$6:$A$1005,"&gt;="&amp;$B45,'Trade Log'!$A$6:$A$1005,"&lt;="&amp;($B45+6)))</f>
        <v/>
      </c>
      <c r="E45" s="99" t="str">
        <f>IF(OR($B45="",N($C45)=0),"",IFERROR(COUNTIFS('Trade Log'!$A$6:$A$1005,"&gt;="&amp;$B45,'Trade Log'!$A$6:$A$1005,"&lt;="&amp;($B45+6),'Trade Log'!$S$6:$S$1005,"Win")/(COUNTIFS('Trade Log'!$A$6:$A$1005,"&gt;="&amp;$B45,'Trade Log'!$A$6:$A$1005,"&lt;="&amp;($B45+6),'Trade Log'!$S$6:$S$1005,"Win")+COUNTIFS('Trade Log'!$A$6:$A$1005,"&gt;="&amp;$B45,'Trade Log'!$A$6:$A$1005,"&lt;="&amp;($B45+6),'Trade Log'!$S$6:$S$1005,"Loss")),"—"))</f>
        <v/>
      </c>
      <c r="F45" s="104" t="str">
        <f>IF(OR($B45="",N($C45)=0),"",IFERROR(SUMIFS('Trade Log'!$R$6:$R$1005,'Trade Log'!$A$6:$A$1005,"&gt;="&amp;$B45,'Trade Log'!$A$6:$A$1005,"&lt;="&amp;($B45+6))/COUNTIFS('Trade Log'!$A$6:$A$1005,"&gt;="&amp;$B45,'Trade Log'!$A$6:$A$1005,"&lt;="&amp;($B45+6),'Trade Log'!$BC$6:$BC$1005,1),"—"))</f>
        <v/>
      </c>
      <c r="G45" s="110" t="str">
        <f>IF(OR($B45="",N($C45)=0),"",IF(SUMIFS('Trade Log'!$Q$6:$Q$1005,'Trade Log'!$A$6:$A$1005,"&gt;="&amp;$B45,'Trade Log'!$A$6:$A$1005,"&lt;="&amp;($B45+6),'Trade Log'!$Q$6:$Q$1005,"&lt;0")=0,IF(SUMIFS('Trade Log'!$Q$6:$Q$1005,'Trade Log'!$A$6:$A$1005,"&gt;="&amp;$B45,'Trade Log'!$A$6:$A$1005,"&lt;="&amp;($B45+6),'Trade Log'!$Q$6:$Q$1005,"&gt;0")&gt;0,"No losses","—"),SUMIFS('Trade Log'!$Q$6:$Q$1005,'Trade Log'!$A$6:$A$1005,"&gt;="&amp;$B45,'Trade Log'!$A$6:$A$1005,"&lt;="&amp;($B45+6),'Trade Log'!$Q$6:$Q$1005,"&gt;0")/-SUMIFS('Trade Log'!$Q$6:$Q$1005,'Trade Log'!$A$6:$A$1005,"&gt;="&amp;$B45,'Trade Log'!$A$6:$A$1005,"&lt;="&amp;($B45+6),'Trade Log'!$Q$6:$Q$1005,"&lt;0")))</f>
        <v/>
      </c>
      <c r="H45" s="99" t="str">
        <f>IF(OR($B45="",N($C45)=0),"",IFERROR(COUNTIFS('Trade Log'!$A$6:$A$1005,"&gt;="&amp;$B45,'Trade Log'!$A$6:$A$1005,"&lt;="&amp;($B45+6),'Trade Log'!$Z$6:$Z$1005,"Yes")/(COUNTIFS('Trade Log'!$A$6:$A$1005,"&gt;="&amp;$B45,'Trade Log'!$A$6:$A$1005,"&lt;="&amp;($B45+6),'Trade Log'!$Z$6:$Z$1005,"Yes")+COUNTIFS('Trade Log'!$A$6:$A$1005,"&gt;="&amp;$B45,'Trade Log'!$A$6:$A$1005,"&lt;="&amp;($B45+6),'Trade Log'!$Z$6:$Z$1005,"No")),"—"))</f>
        <v/>
      </c>
      <c r="I45" s="111" t="str">
        <f>IF(OR($B45="",N($C45)=0),"",IF(MAX($Q45:$AB45)=0,"None — clean week",INDEX($Q$5:$AB$5,MATCH(MAX($Q45:$AB45),$Q45:$AB45,0))))</f>
        <v/>
      </c>
      <c r="J45" s="111" t="str">
        <f>IF(OR($B45="",N($C45)=0),"",IF(MIN($AC45:$AL45)&gt;=0,"None lost money",INDEX($AC$5:$AL$5,MATCH(MIN($AC45:$AL45),$AC45:$AL45,0))))</f>
        <v/>
      </c>
      <c r="K45" s="111" t="str">
        <f>IF(OR($B45="",N($C45)=0),"",IF(MAX($AM45:$AV45)&lt;=0,"None made money",INDEX($AM$5:$AV$5,MATCH(MAX($AM45:$AV45),$AM45:$AV45,0))))</f>
        <v/>
      </c>
      <c r="L45" s="106" t="n"/>
      <c r="M45" s="106" t="n"/>
      <c r="N45" s="112" t="n"/>
      <c r="O45" s="29" t="n"/>
      <c r="Q45" s="109">
        <f>IF(OR($B45="",Q$5=""),0,COUNTIFS('Trade Log'!$A$6:$A$1005,"&gt;="&amp;$B45,'Trade Log'!$A$6:$A$1005,"&lt;="&amp;($B45+6),'Trade Log'!$AB$6:$AB$1005,Q$5))</f>
        <v>0</v>
      </c>
      <c r="R45" s="109">
        <f>IF(OR($B45="",R$5=""),0,COUNTIFS('Trade Log'!$A$6:$A$1005,"&gt;="&amp;$B45,'Trade Log'!$A$6:$A$1005,"&lt;="&amp;($B45+6),'Trade Log'!$AB$6:$AB$1005,R$5))</f>
        <v>0</v>
      </c>
      <c r="S45" s="109">
        <f>IF(OR($B45="",S$5=""),0,COUNTIFS('Trade Log'!$A$6:$A$1005,"&gt;="&amp;$B45,'Trade Log'!$A$6:$A$1005,"&lt;="&amp;($B45+6),'Trade Log'!$AB$6:$AB$1005,S$5))</f>
        <v>0</v>
      </c>
      <c r="T45" s="109">
        <f>IF(OR($B45="",T$5=""),0,COUNTIFS('Trade Log'!$A$6:$A$1005,"&gt;="&amp;$B45,'Trade Log'!$A$6:$A$1005,"&lt;="&amp;($B45+6),'Trade Log'!$AB$6:$AB$1005,T$5))</f>
        <v>0</v>
      </c>
      <c r="U45" s="109">
        <f>IF(OR($B45="",U$5=""),0,COUNTIFS('Trade Log'!$A$6:$A$1005,"&gt;="&amp;$B45,'Trade Log'!$A$6:$A$1005,"&lt;="&amp;($B45+6),'Trade Log'!$AB$6:$AB$1005,U$5))</f>
        <v>0</v>
      </c>
      <c r="V45" s="109">
        <f>IF(OR($B45="",V$5=""),0,COUNTIFS('Trade Log'!$A$6:$A$1005,"&gt;="&amp;$B45,'Trade Log'!$A$6:$A$1005,"&lt;="&amp;($B45+6),'Trade Log'!$AB$6:$AB$1005,V$5))</f>
        <v>0</v>
      </c>
      <c r="W45" s="109">
        <f>IF(OR($B45="",W$5=""),0,COUNTIFS('Trade Log'!$A$6:$A$1005,"&gt;="&amp;$B45,'Trade Log'!$A$6:$A$1005,"&lt;="&amp;($B45+6),'Trade Log'!$AB$6:$AB$1005,W$5))</f>
        <v>0</v>
      </c>
      <c r="X45" s="109">
        <f>IF(OR($B45="",X$5=""),0,COUNTIFS('Trade Log'!$A$6:$A$1005,"&gt;="&amp;$B45,'Trade Log'!$A$6:$A$1005,"&lt;="&amp;($B45+6),'Trade Log'!$AB$6:$AB$1005,X$5))</f>
        <v>0</v>
      </c>
      <c r="Y45" s="109">
        <f>IF(OR($B45="",Y$5=""),0,COUNTIFS('Trade Log'!$A$6:$A$1005,"&gt;="&amp;$B45,'Trade Log'!$A$6:$A$1005,"&lt;="&amp;($B45+6),'Trade Log'!$AB$6:$AB$1005,Y$5))</f>
        <v>0</v>
      </c>
      <c r="Z45" s="109">
        <f>IF(OR($B45="",Z$5=""),0,COUNTIFS('Trade Log'!$A$6:$A$1005,"&gt;="&amp;$B45,'Trade Log'!$A$6:$A$1005,"&lt;="&amp;($B45+6),'Trade Log'!$AB$6:$AB$1005,Z$5))</f>
        <v>0</v>
      </c>
      <c r="AA45" s="109">
        <f>IF(OR($B45="",AA$5=""),0,COUNTIFS('Trade Log'!$A$6:$A$1005,"&gt;="&amp;$B45,'Trade Log'!$A$6:$A$1005,"&lt;="&amp;($B45+6),'Trade Log'!$AB$6:$AB$1005,AA$5))</f>
        <v>0</v>
      </c>
      <c r="AB45" s="109">
        <f>IF(OR($B45="",AB$5=""),0,COUNTIFS('Trade Log'!$A$6:$A$1005,"&gt;="&amp;$B45,'Trade Log'!$A$6:$A$1005,"&lt;="&amp;($B45+6),'Trade Log'!$AB$6:$AB$1005,AB$5))</f>
        <v>0</v>
      </c>
      <c r="AC45" s="113">
        <f>IF(OR($B45="",AC$5=""),0,SUMIFS('Trade Log'!$Q$6:$Q$1005,'Trade Log'!$A$6:$A$1005,"&gt;="&amp;$B45,'Trade Log'!$A$6:$A$1005,"&lt;="&amp;($B45+6),'Trade Log'!$AA$6:$AA$1005,AC$5))</f>
        <v>0</v>
      </c>
      <c r="AD45" s="113">
        <f>IF(OR($B45="",AD$5=""),0,SUMIFS('Trade Log'!$Q$6:$Q$1005,'Trade Log'!$A$6:$A$1005,"&gt;="&amp;$B45,'Trade Log'!$A$6:$A$1005,"&lt;="&amp;($B45+6),'Trade Log'!$AA$6:$AA$1005,AD$5))</f>
        <v>0</v>
      </c>
      <c r="AE45" s="113">
        <f>IF(OR($B45="",AE$5=""),0,SUMIFS('Trade Log'!$Q$6:$Q$1005,'Trade Log'!$A$6:$A$1005,"&gt;="&amp;$B45,'Trade Log'!$A$6:$A$1005,"&lt;="&amp;($B45+6),'Trade Log'!$AA$6:$AA$1005,AE$5))</f>
        <v>0</v>
      </c>
      <c r="AF45" s="113">
        <f>IF(OR($B45="",AF$5=""),0,SUMIFS('Trade Log'!$Q$6:$Q$1005,'Trade Log'!$A$6:$A$1005,"&gt;="&amp;$B45,'Trade Log'!$A$6:$A$1005,"&lt;="&amp;($B45+6),'Trade Log'!$AA$6:$AA$1005,AF$5))</f>
        <v>0</v>
      </c>
      <c r="AG45" s="113">
        <f>IF(OR($B45="",AG$5=""),0,SUMIFS('Trade Log'!$Q$6:$Q$1005,'Trade Log'!$A$6:$A$1005,"&gt;="&amp;$B45,'Trade Log'!$A$6:$A$1005,"&lt;="&amp;($B45+6),'Trade Log'!$AA$6:$AA$1005,AG$5))</f>
        <v>0</v>
      </c>
      <c r="AH45" s="113">
        <f>IF(OR($B45="",AH$5=""),0,SUMIFS('Trade Log'!$Q$6:$Q$1005,'Trade Log'!$A$6:$A$1005,"&gt;="&amp;$B45,'Trade Log'!$A$6:$A$1005,"&lt;="&amp;($B45+6),'Trade Log'!$AA$6:$AA$1005,AH$5))</f>
        <v>0</v>
      </c>
      <c r="AI45" s="113">
        <f>IF(OR($B45="",AI$5=""),0,SUMIFS('Trade Log'!$Q$6:$Q$1005,'Trade Log'!$A$6:$A$1005,"&gt;="&amp;$B45,'Trade Log'!$A$6:$A$1005,"&lt;="&amp;($B45+6),'Trade Log'!$AA$6:$AA$1005,AI$5))</f>
        <v>0</v>
      </c>
      <c r="AJ45" s="113">
        <f>IF(OR($B45="",AJ$5=""),0,SUMIFS('Trade Log'!$Q$6:$Q$1005,'Trade Log'!$A$6:$A$1005,"&gt;="&amp;$B45,'Trade Log'!$A$6:$A$1005,"&lt;="&amp;($B45+6),'Trade Log'!$AA$6:$AA$1005,AJ$5))</f>
        <v>0</v>
      </c>
      <c r="AK45" s="113">
        <f>IF(OR($B45="",AK$5=""),0,SUMIFS('Trade Log'!$Q$6:$Q$1005,'Trade Log'!$A$6:$A$1005,"&gt;="&amp;$B45,'Trade Log'!$A$6:$A$1005,"&lt;="&amp;($B45+6),'Trade Log'!$AA$6:$AA$1005,AK$5))</f>
        <v>0</v>
      </c>
      <c r="AL45" s="113">
        <f>IF(OR($B45="",AL$5=""),0,SUMIFS('Trade Log'!$Q$6:$Q$1005,'Trade Log'!$A$6:$A$1005,"&gt;="&amp;$B45,'Trade Log'!$A$6:$A$1005,"&lt;="&amp;($B45+6),'Trade Log'!$AA$6:$AA$1005,AL$5))</f>
        <v>0</v>
      </c>
      <c r="AM45" s="113">
        <f>IF(OR($B45="",AM$5=""),0,SUMIFS('Trade Log'!$Q$6:$Q$1005,'Trade Log'!$A$6:$A$1005,"&gt;="&amp;$B45,'Trade Log'!$A$6:$A$1005,"&lt;="&amp;($B45+6),'Trade Log'!$Y$6:$Y$1005,AM$5))</f>
        <v>0</v>
      </c>
      <c r="AN45" s="113">
        <f>IF(OR($B45="",AN$5=""),0,SUMIFS('Trade Log'!$Q$6:$Q$1005,'Trade Log'!$A$6:$A$1005,"&gt;="&amp;$B45,'Trade Log'!$A$6:$A$1005,"&lt;="&amp;($B45+6),'Trade Log'!$Y$6:$Y$1005,AN$5))</f>
        <v>0</v>
      </c>
      <c r="AO45" s="113">
        <f>IF(OR($B45="",AO$5=""),0,SUMIFS('Trade Log'!$Q$6:$Q$1005,'Trade Log'!$A$6:$A$1005,"&gt;="&amp;$B45,'Trade Log'!$A$6:$A$1005,"&lt;="&amp;($B45+6),'Trade Log'!$Y$6:$Y$1005,AO$5))</f>
        <v>0</v>
      </c>
      <c r="AP45" s="113">
        <f>IF(OR($B45="",AP$5=""),0,SUMIFS('Trade Log'!$Q$6:$Q$1005,'Trade Log'!$A$6:$A$1005,"&gt;="&amp;$B45,'Trade Log'!$A$6:$A$1005,"&lt;="&amp;($B45+6),'Trade Log'!$Y$6:$Y$1005,AP$5))</f>
        <v>0</v>
      </c>
      <c r="AQ45" s="113">
        <f>IF(OR($B45="",AQ$5=""),0,SUMIFS('Trade Log'!$Q$6:$Q$1005,'Trade Log'!$A$6:$A$1005,"&gt;="&amp;$B45,'Trade Log'!$A$6:$A$1005,"&lt;="&amp;($B45+6),'Trade Log'!$Y$6:$Y$1005,AQ$5))</f>
        <v>0</v>
      </c>
      <c r="AR45" s="113">
        <f>IF(OR($B45="",AR$5=""),0,SUMIFS('Trade Log'!$Q$6:$Q$1005,'Trade Log'!$A$6:$A$1005,"&gt;="&amp;$B45,'Trade Log'!$A$6:$A$1005,"&lt;="&amp;($B45+6),'Trade Log'!$Y$6:$Y$1005,AR$5))</f>
        <v>0</v>
      </c>
      <c r="AS45" s="113">
        <f>IF(OR($B45="",AS$5=""),0,SUMIFS('Trade Log'!$Q$6:$Q$1005,'Trade Log'!$A$6:$A$1005,"&gt;="&amp;$B45,'Trade Log'!$A$6:$A$1005,"&lt;="&amp;($B45+6),'Trade Log'!$Y$6:$Y$1005,AS$5))</f>
        <v>0</v>
      </c>
      <c r="AT45" s="113">
        <f>IF(OR($B45="",AT$5=""),0,SUMIFS('Trade Log'!$Q$6:$Q$1005,'Trade Log'!$A$6:$A$1005,"&gt;="&amp;$B45,'Trade Log'!$A$6:$A$1005,"&lt;="&amp;($B45+6),'Trade Log'!$Y$6:$Y$1005,AT$5))</f>
        <v>0</v>
      </c>
      <c r="AU45" s="113">
        <f>IF(OR($B45="",AU$5=""),0,SUMIFS('Trade Log'!$Q$6:$Q$1005,'Trade Log'!$A$6:$A$1005,"&gt;="&amp;$B45,'Trade Log'!$A$6:$A$1005,"&lt;="&amp;($B45+6),'Trade Log'!$Y$6:$Y$1005,AU$5))</f>
        <v>0</v>
      </c>
      <c r="AV45" s="113">
        <f>IF(OR($B45="",AV$5=""),0,SUMIFS('Trade Log'!$Q$6:$Q$1005,'Trade Log'!$A$6:$A$1005,"&gt;="&amp;$B45,'Trade Log'!$A$6:$A$1005,"&lt;="&amp;($B45+6),'Trade Log'!$Y$6:$Y$1005,AV$5))</f>
        <v>0</v>
      </c>
    </row>
    <row r="46">
      <c r="B46" s="107">
        <f>IF($B45="","",$B45+7)</f>
        <v>46566</v>
      </c>
      <c r="C46" s="96">
        <f>IF($B46="","",COUNTIFS('Trade Log'!$A$6:$A$1005,"&gt;="&amp;$B46,'Trade Log'!$A$6:$A$1005,"&lt;="&amp;($B46+6),'Trade Log'!$BH$6:$BH$1005,1))</f>
        <v>0</v>
      </c>
      <c r="D46" s="98" t="str">
        <f>IF(OR($B46="",N($C46)=0),"",SUMIFS('Trade Log'!$Q$6:$Q$1005,'Trade Log'!$A$6:$A$1005,"&gt;="&amp;$B46,'Trade Log'!$A$6:$A$1005,"&lt;="&amp;($B46+6)))</f>
        <v/>
      </c>
      <c r="E46" s="99" t="str">
        <f>IF(OR($B46="",N($C46)=0),"",IFERROR(COUNTIFS('Trade Log'!$A$6:$A$1005,"&gt;="&amp;$B46,'Trade Log'!$A$6:$A$1005,"&lt;="&amp;($B46+6),'Trade Log'!$S$6:$S$1005,"Win")/(COUNTIFS('Trade Log'!$A$6:$A$1005,"&gt;="&amp;$B46,'Trade Log'!$A$6:$A$1005,"&lt;="&amp;($B46+6),'Trade Log'!$S$6:$S$1005,"Win")+COUNTIFS('Trade Log'!$A$6:$A$1005,"&gt;="&amp;$B46,'Trade Log'!$A$6:$A$1005,"&lt;="&amp;($B46+6),'Trade Log'!$S$6:$S$1005,"Loss")),"—"))</f>
        <v/>
      </c>
      <c r="F46" s="104" t="str">
        <f>IF(OR($B46="",N($C46)=0),"",IFERROR(SUMIFS('Trade Log'!$R$6:$R$1005,'Trade Log'!$A$6:$A$1005,"&gt;="&amp;$B46,'Trade Log'!$A$6:$A$1005,"&lt;="&amp;($B46+6))/COUNTIFS('Trade Log'!$A$6:$A$1005,"&gt;="&amp;$B46,'Trade Log'!$A$6:$A$1005,"&lt;="&amp;($B46+6),'Trade Log'!$BC$6:$BC$1005,1),"—"))</f>
        <v/>
      </c>
      <c r="G46" s="110" t="str">
        <f>IF(OR($B46="",N($C46)=0),"",IF(SUMIFS('Trade Log'!$Q$6:$Q$1005,'Trade Log'!$A$6:$A$1005,"&gt;="&amp;$B46,'Trade Log'!$A$6:$A$1005,"&lt;="&amp;($B46+6),'Trade Log'!$Q$6:$Q$1005,"&lt;0")=0,IF(SUMIFS('Trade Log'!$Q$6:$Q$1005,'Trade Log'!$A$6:$A$1005,"&gt;="&amp;$B46,'Trade Log'!$A$6:$A$1005,"&lt;="&amp;($B46+6),'Trade Log'!$Q$6:$Q$1005,"&gt;0")&gt;0,"No losses","—"),SUMIFS('Trade Log'!$Q$6:$Q$1005,'Trade Log'!$A$6:$A$1005,"&gt;="&amp;$B46,'Trade Log'!$A$6:$A$1005,"&lt;="&amp;($B46+6),'Trade Log'!$Q$6:$Q$1005,"&gt;0")/-SUMIFS('Trade Log'!$Q$6:$Q$1005,'Trade Log'!$A$6:$A$1005,"&gt;="&amp;$B46,'Trade Log'!$A$6:$A$1005,"&lt;="&amp;($B46+6),'Trade Log'!$Q$6:$Q$1005,"&lt;0")))</f>
        <v/>
      </c>
      <c r="H46" s="99" t="str">
        <f>IF(OR($B46="",N($C46)=0),"",IFERROR(COUNTIFS('Trade Log'!$A$6:$A$1005,"&gt;="&amp;$B46,'Trade Log'!$A$6:$A$1005,"&lt;="&amp;($B46+6),'Trade Log'!$Z$6:$Z$1005,"Yes")/(COUNTIFS('Trade Log'!$A$6:$A$1005,"&gt;="&amp;$B46,'Trade Log'!$A$6:$A$1005,"&lt;="&amp;($B46+6),'Trade Log'!$Z$6:$Z$1005,"Yes")+COUNTIFS('Trade Log'!$A$6:$A$1005,"&gt;="&amp;$B46,'Trade Log'!$A$6:$A$1005,"&lt;="&amp;($B46+6),'Trade Log'!$Z$6:$Z$1005,"No")),"—"))</f>
        <v/>
      </c>
      <c r="I46" s="111" t="str">
        <f>IF(OR($B46="",N($C46)=0),"",IF(MAX($Q46:$AB46)=0,"None — clean week",INDEX($Q$5:$AB$5,MATCH(MAX($Q46:$AB46),$Q46:$AB46,0))))</f>
        <v/>
      </c>
      <c r="J46" s="111" t="str">
        <f>IF(OR($B46="",N($C46)=0),"",IF(MIN($AC46:$AL46)&gt;=0,"None lost money",INDEX($AC$5:$AL$5,MATCH(MIN($AC46:$AL46),$AC46:$AL46,0))))</f>
        <v/>
      </c>
      <c r="K46" s="111" t="str">
        <f>IF(OR($B46="",N($C46)=0),"",IF(MAX($AM46:$AV46)&lt;=0,"None made money",INDEX($AM$5:$AV$5,MATCH(MAX($AM46:$AV46),$AM46:$AV46,0))))</f>
        <v/>
      </c>
      <c r="L46" s="106" t="n"/>
      <c r="M46" s="106" t="n"/>
      <c r="N46" s="112" t="n"/>
      <c r="O46" s="29" t="n"/>
      <c r="Q46" s="109">
        <f>IF(OR($B46="",Q$5=""),0,COUNTIFS('Trade Log'!$A$6:$A$1005,"&gt;="&amp;$B46,'Trade Log'!$A$6:$A$1005,"&lt;="&amp;($B46+6),'Trade Log'!$AB$6:$AB$1005,Q$5))</f>
        <v>0</v>
      </c>
      <c r="R46" s="109">
        <f>IF(OR($B46="",R$5=""),0,COUNTIFS('Trade Log'!$A$6:$A$1005,"&gt;="&amp;$B46,'Trade Log'!$A$6:$A$1005,"&lt;="&amp;($B46+6),'Trade Log'!$AB$6:$AB$1005,R$5))</f>
        <v>0</v>
      </c>
      <c r="S46" s="109">
        <f>IF(OR($B46="",S$5=""),0,COUNTIFS('Trade Log'!$A$6:$A$1005,"&gt;="&amp;$B46,'Trade Log'!$A$6:$A$1005,"&lt;="&amp;($B46+6),'Trade Log'!$AB$6:$AB$1005,S$5))</f>
        <v>0</v>
      </c>
      <c r="T46" s="109">
        <f>IF(OR($B46="",T$5=""),0,COUNTIFS('Trade Log'!$A$6:$A$1005,"&gt;="&amp;$B46,'Trade Log'!$A$6:$A$1005,"&lt;="&amp;($B46+6),'Trade Log'!$AB$6:$AB$1005,T$5))</f>
        <v>0</v>
      </c>
      <c r="U46" s="109">
        <f>IF(OR($B46="",U$5=""),0,COUNTIFS('Trade Log'!$A$6:$A$1005,"&gt;="&amp;$B46,'Trade Log'!$A$6:$A$1005,"&lt;="&amp;($B46+6),'Trade Log'!$AB$6:$AB$1005,U$5))</f>
        <v>0</v>
      </c>
      <c r="V46" s="109">
        <f>IF(OR($B46="",V$5=""),0,COUNTIFS('Trade Log'!$A$6:$A$1005,"&gt;="&amp;$B46,'Trade Log'!$A$6:$A$1005,"&lt;="&amp;($B46+6),'Trade Log'!$AB$6:$AB$1005,V$5))</f>
        <v>0</v>
      </c>
      <c r="W46" s="109">
        <f>IF(OR($B46="",W$5=""),0,COUNTIFS('Trade Log'!$A$6:$A$1005,"&gt;="&amp;$B46,'Trade Log'!$A$6:$A$1005,"&lt;="&amp;($B46+6),'Trade Log'!$AB$6:$AB$1005,W$5))</f>
        <v>0</v>
      </c>
      <c r="X46" s="109">
        <f>IF(OR($B46="",X$5=""),0,COUNTIFS('Trade Log'!$A$6:$A$1005,"&gt;="&amp;$B46,'Trade Log'!$A$6:$A$1005,"&lt;="&amp;($B46+6),'Trade Log'!$AB$6:$AB$1005,X$5))</f>
        <v>0</v>
      </c>
      <c r="Y46" s="109">
        <f>IF(OR($B46="",Y$5=""),0,COUNTIFS('Trade Log'!$A$6:$A$1005,"&gt;="&amp;$B46,'Trade Log'!$A$6:$A$1005,"&lt;="&amp;($B46+6),'Trade Log'!$AB$6:$AB$1005,Y$5))</f>
        <v>0</v>
      </c>
      <c r="Z46" s="109">
        <f>IF(OR($B46="",Z$5=""),0,COUNTIFS('Trade Log'!$A$6:$A$1005,"&gt;="&amp;$B46,'Trade Log'!$A$6:$A$1005,"&lt;="&amp;($B46+6),'Trade Log'!$AB$6:$AB$1005,Z$5))</f>
        <v>0</v>
      </c>
      <c r="AA46" s="109">
        <f>IF(OR($B46="",AA$5=""),0,COUNTIFS('Trade Log'!$A$6:$A$1005,"&gt;="&amp;$B46,'Trade Log'!$A$6:$A$1005,"&lt;="&amp;($B46+6),'Trade Log'!$AB$6:$AB$1005,AA$5))</f>
        <v>0</v>
      </c>
      <c r="AB46" s="109">
        <f>IF(OR($B46="",AB$5=""),0,COUNTIFS('Trade Log'!$A$6:$A$1005,"&gt;="&amp;$B46,'Trade Log'!$A$6:$A$1005,"&lt;="&amp;($B46+6),'Trade Log'!$AB$6:$AB$1005,AB$5))</f>
        <v>0</v>
      </c>
      <c r="AC46" s="113">
        <f>IF(OR($B46="",AC$5=""),0,SUMIFS('Trade Log'!$Q$6:$Q$1005,'Trade Log'!$A$6:$A$1005,"&gt;="&amp;$B46,'Trade Log'!$A$6:$A$1005,"&lt;="&amp;($B46+6),'Trade Log'!$AA$6:$AA$1005,AC$5))</f>
        <v>0</v>
      </c>
      <c r="AD46" s="113">
        <f>IF(OR($B46="",AD$5=""),0,SUMIFS('Trade Log'!$Q$6:$Q$1005,'Trade Log'!$A$6:$A$1005,"&gt;="&amp;$B46,'Trade Log'!$A$6:$A$1005,"&lt;="&amp;($B46+6),'Trade Log'!$AA$6:$AA$1005,AD$5))</f>
        <v>0</v>
      </c>
      <c r="AE46" s="113">
        <f>IF(OR($B46="",AE$5=""),0,SUMIFS('Trade Log'!$Q$6:$Q$1005,'Trade Log'!$A$6:$A$1005,"&gt;="&amp;$B46,'Trade Log'!$A$6:$A$1005,"&lt;="&amp;($B46+6),'Trade Log'!$AA$6:$AA$1005,AE$5))</f>
        <v>0</v>
      </c>
      <c r="AF46" s="113">
        <f>IF(OR($B46="",AF$5=""),0,SUMIFS('Trade Log'!$Q$6:$Q$1005,'Trade Log'!$A$6:$A$1005,"&gt;="&amp;$B46,'Trade Log'!$A$6:$A$1005,"&lt;="&amp;($B46+6),'Trade Log'!$AA$6:$AA$1005,AF$5))</f>
        <v>0</v>
      </c>
      <c r="AG46" s="113">
        <f>IF(OR($B46="",AG$5=""),0,SUMIFS('Trade Log'!$Q$6:$Q$1005,'Trade Log'!$A$6:$A$1005,"&gt;="&amp;$B46,'Trade Log'!$A$6:$A$1005,"&lt;="&amp;($B46+6),'Trade Log'!$AA$6:$AA$1005,AG$5))</f>
        <v>0</v>
      </c>
      <c r="AH46" s="113">
        <f>IF(OR($B46="",AH$5=""),0,SUMIFS('Trade Log'!$Q$6:$Q$1005,'Trade Log'!$A$6:$A$1005,"&gt;="&amp;$B46,'Trade Log'!$A$6:$A$1005,"&lt;="&amp;($B46+6),'Trade Log'!$AA$6:$AA$1005,AH$5))</f>
        <v>0</v>
      </c>
      <c r="AI46" s="113">
        <f>IF(OR($B46="",AI$5=""),0,SUMIFS('Trade Log'!$Q$6:$Q$1005,'Trade Log'!$A$6:$A$1005,"&gt;="&amp;$B46,'Trade Log'!$A$6:$A$1005,"&lt;="&amp;($B46+6),'Trade Log'!$AA$6:$AA$1005,AI$5))</f>
        <v>0</v>
      </c>
      <c r="AJ46" s="113">
        <f>IF(OR($B46="",AJ$5=""),0,SUMIFS('Trade Log'!$Q$6:$Q$1005,'Trade Log'!$A$6:$A$1005,"&gt;="&amp;$B46,'Trade Log'!$A$6:$A$1005,"&lt;="&amp;($B46+6),'Trade Log'!$AA$6:$AA$1005,AJ$5))</f>
        <v>0</v>
      </c>
      <c r="AK46" s="113">
        <f>IF(OR($B46="",AK$5=""),0,SUMIFS('Trade Log'!$Q$6:$Q$1005,'Trade Log'!$A$6:$A$1005,"&gt;="&amp;$B46,'Trade Log'!$A$6:$A$1005,"&lt;="&amp;($B46+6),'Trade Log'!$AA$6:$AA$1005,AK$5))</f>
        <v>0</v>
      </c>
      <c r="AL46" s="113">
        <f>IF(OR($B46="",AL$5=""),0,SUMIFS('Trade Log'!$Q$6:$Q$1005,'Trade Log'!$A$6:$A$1005,"&gt;="&amp;$B46,'Trade Log'!$A$6:$A$1005,"&lt;="&amp;($B46+6),'Trade Log'!$AA$6:$AA$1005,AL$5))</f>
        <v>0</v>
      </c>
      <c r="AM46" s="113">
        <f>IF(OR($B46="",AM$5=""),0,SUMIFS('Trade Log'!$Q$6:$Q$1005,'Trade Log'!$A$6:$A$1005,"&gt;="&amp;$B46,'Trade Log'!$A$6:$A$1005,"&lt;="&amp;($B46+6),'Trade Log'!$Y$6:$Y$1005,AM$5))</f>
        <v>0</v>
      </c>
      <c r="AN46" s="113">
        <f>IF(OR($B46="",AN$5=""),0,SUMIFS('Trade Log'!$Q$6:$Q$1005,'Trade Log'!$A$6:$A$1005,"&gt;="&amp;$B46,'Trade Log'!$A$6:$A$1005,"&lt;="&amp;($B46+6),'Trade Log'!$Y$6:$Y$1005,AN$5))</f>
        <v>0</v>
      </c>
      <c r="AO46" s="113">
        <f>IF(OR($B46="",AO$5=""),0,SUMIFS('Trade Log'!$Q$6:$Q$1005,'Trade Log'!$A$6:$A$1005,"&gt;="&amp;$B46,'Trade Log'!$A$6:$A$1005,"&lt;="&amp;($B46+6),'Trade Log'!$Y$6:$Y$1005,AO$5))</f>
        <v>0</v>
      </c>
      <c r="AP46" s="113">
        <f>IF(OR($B46="",AP$5=""),0,SUMIFS('Trade Log'!$Q$6:$Q$1005,'Trade Log'!$A$6:$A$1005,"&gt;="&amp;$B46,'Trade Log'!$A$6:$A$1005,"&lt;="&amp;($B46+6),'Trade Log'!$Y$6:$Y$1005,AP$5))</f>
        <v>0</v>
      </c>
      <c r="AQ46" s="113">
        <f>IF(OR($B46="",AQ$5=""),0,SUMIFS('Trade Log'!$Q$6:$Q$1005,'Trade Log'!$A$6:$A$1005,"&gt;="&amp;$B46,'Trade Log'!$A$6:$A$1005,"&lt;="&amp;($B46+6),'Trade Log'!$Y$6:$Y$1005,AQ$5))</f>
        <v>0</v>
      </c>
      <c r="AR46" s="113">
        <f>IF(OR($B46="",AR$5=""),0,SUMIFS('Trade Log'!$Q$6:$Q$1005,'Trade Log'!$A$6:$A$1005,"&gt;="&amp;$B46,'Trade Log'!$A$6:$A$1005,"&lt;="&amp;($B46+6),'Trade Log'!$Y$6:$Y$1005,AR$5))</f>
        <v>0</v>
      </c>
      <c r="AS46" s="113">
        <f>IF(OR($B46="",AS$5=""),0,SUMIFS('Trade Log'!$Q$6:$Q$1005,'Trade Log'!$A$6:$A$1005,"&gt;="&amp;$B46,'Trade Log'!$A$6:$A$1005,"&lt;="&amp;($B46+6),'Trade Log'!$Y$6:$Y$1005,AS$5))</f>
        <v>0</v>
      </c>
      <c r="AT46" s="113">
        <f>IF(OR($B46="",AT$5=""),0,SUMIFS('Trade Log'!$Q$6:$Q$1005,'Trade Log'!$A$6:$A$1005,"&gt;="&amp;$B46,'Trade Log'!$A$6:$A$1005,"&lt;="&amp;($B46+6),'Trade Log'!$Y$6:$Y$1005,AT$5))</f>
        <v>0</v>
      </c>
      <c r="AU46" s="113">
        <f>IF(OR($B46="",AU$5=""),0,SUMIFS('Trade Log'!$Q$6:$Q$1005,'Trade Log'!$A$6:$A$1005,"&gt;="&amp;$B46,'Trade Log'!$A$6:$A$1005,"&lt;="&amp;($B46+6),'Trade Log'!$Y$6:$Y$1005,AU$5))</f>
        <v>0</v>
      </c>
      <c r="AV46" s="113">
        <f>IF(OR($B46="",AV$5=""),0,SUMIFS('Trade Log'!$Q$6:$Q$1005,'Trade Log'!$A$6:$A$1005,"&gt;="&amp;$B46,'Trade Log'!$A$6:$A$1005,"&lt;="&amp;($B46+6),'Trade Log'!$Y$6:$Y$1005,AV$5))</f>
        <v>0</v>
      </c>
    </row>
    <row r="47">
      <c r="B47" s="107">
        <f>IF($B46="","",$B46+7)</f>
        <v>46573</v>
      </c>
      <c r="C47" s="96">
        <f>IF($B47="","",COUNTIFS('Trade Log'!$A$6:$A$1005,"&gt;="&amp;$B47,'Trade Log'!$A$6:$A$1005,"&lt;="&amp;($B47+6),'Trade Log'!$BH$6:$BH$1005,1))</f>
        <v>0</v>
      </c>
      <c r="D47" s="98" t="str">
        <f>IF(OR($B47="",N($C47)=0),"",SUMIFS('Trade Log'!$Q$6:$Q$1005,'Trade Log'!$A$6:$A$1005,"&gt;="&amp;$B47,'Trade Log'!$A$6:$A$1005,"&lt;="&amp;($B47+6)))</f>
        <v/>
      </c>
      <c r="E47" s="99" t="str">
        <f>IF(OR($B47="",N($C47)=0),"",IFERROR(COUNTIFS('Trade Log'!$A$6:$A$1005,"&gt;="&amp;$B47,'Trade Log'!$A$6:$A$1005,"&lt;="&amp;($B47+6),'Trade Log'!$S$6:$S$1005,"Win")/(COUNTIFS('Trade Log'!$A$6:$A$1005,"&gt;="&amp;$B47,'Trade Log'!$A$6:$A$1005,"&lt;="&amp;($B47+6),'Trade Log'!$S$6:$S$1005,"Win")+COUNTIFS('Trade Log'!$A$6:$A$1005,"&gt;="&amp;$B47,'Trade Log'!$A$6:$A$1005,"&lt;="&amp;($B47+6),'Trade Log'!$S$6:$S$1005,"Loss")),"—"))</f>
        <v/>
      </c>
      <c r="F47" s="104" t="str">
        <f>IF(OR($B47="",N($C47)=0),"",IFERROR(SUMIFS('Trade Log'!$R$6:$R$1005,'Trade Log'!$A$6:$A$1005,"&gt;="&amp;$B47,'Trade Log'!$A$6:$A$1005,"&lt;="&amp;($B47+6))/COUNTIFS('Trade Log'!$A$6:$A$1005,"&gt;="&amp;$B47,'Trade Log'!$A$6:$A$1005,"&lt;="&amp;($B47+6),'Trade Log'!$BC$6:$BC$1005,1),"—"))</f>
        <v/>
      </c>
      <c r="G47" s="110" t="str">
        <f>IF(OR($B47="",N($C47)=0),"",IF(SUMIFS('Trade Log'!$Q$6:$Q$1005,'Trade Log'!$A$6:$A$1005,"&gt;="&amp;$B47,'Trade Log'!$A$6:$A$1005,"&lt;="&amp;($B47+6),'Trade Log'!$Q$6:$Q$1005,"&lt;0")=0,IF(SUMIFS('Trade Log'!$Q$6:$Q$1005,'Trade Log'!$A$6:$A$1005,"&gt;="&amp;$B47,'Trade Log'!$A$6:$A$1005,"&lt;="&amp;($B47+6),'Trade Log'!$Q$6:$Q$1005,"&gt;0")&gt;0,"No losses","—"),SUMIFS('Trade Log'!$Q$6:$Q$1005,'Trade Log'!$A$6:$A$1005,"&gt;="&amp;$B47,'Trade Log'!$A$6:$A$1005,"&lt;="&amp;($B47+6),'Trade Log'!$Q$6:$Q$1005,"&gt;0")/-SUMIFS('Trade Log'!$Q$6:$Q$1005,'Trade Log'!$A$6:$A$1005,"&gt;="&amp;$B47,'Trade Log'!$A$6:$A$1005,"&lt;="&amp;($B47+6),'Trade Log'!$Q$6:$Q$1005,"&lt;0")))</f>
        <v/>
      </c>
      <c r="H47" s="99" t="str">
        <f>IF(OR($B47="",N($C47)=0),"",IFERROR(COUNTIFS('Trade Log'!$A$6:$A$1005,"&gt;="&amp;$B47,'Trade Log'!$A$6:$A$1005,"&lt;="&amp;($B47+6),'Trade Log'!$Z$6:$Z$1005,"Yes")/(COUNTIFS('Trade Log'!$A$6:$A$1005,"&gt;="&amp;$B47,'Trade Log'!$A$6:$A$1005,"&lt;="&amp;($B47+6),'Trade Log'!$Z$6:$Z$1005,"Yes")+COUNTIFS('Trade Log'!$A$6:$A$1005,"&gt;="&amp;$B47,'Trade Log'!$A$6:$A$1005,"&lt;="&amp;($B47+6),'Trade Log'!$Z$6:$Z$1005,"No")),"—"))</f>
        <v/>
      </c>
      <c r="I47" s="111" t="str">
        <f>IF(OR($B47="",N($C47)=0),"",IF(MAX($Q47:$AB47)=0,"None — clean week",INDEX($Q$5:$AB$5,MATCH(MAX($Q47:$AB47),$Q47:$AB47,0))))</f>
        <v/>
      </c>
      <c r="J47" s="111" t="str">
        <f>IF(OR($B47="",N($C47)=0),"",IF(MIN($AC47:$AL47)&gt;=0,"None lost money",INDEX($AC$5:$AL$5,MATCH(MIN($AC47:$AL47),$AC47:$AL47,0))))</f>
        <v/>
      </c>
      <c r="K47" s="111" t="str">
        <f>IF(OR($B47="",N($C47)=0),"",IF(MAX($AM47:$AV47)&lt;=0,"None made money",INDEX($AM$5:$AV$5,MATCH(MAX($AM47:$AV47),$AM47:$AV47,0))))</f>
        <v/>
      </c>
      <c r="L47" s="106" t="n"/>
      <c r="M47" s="106" t="n"/>
      <c r="N47" s="112" t="n"/>
      <c r="O47" s="29" t="n"/>
      <c r="Q47" s="109">
        <f>IF(OR($B47="",Q$5=""),0,COUNTIFS('Trade Log'!$A$6:$A$1005,"&gt;="&amp;$B47,'Trade Log'!$A$6:$A$1005,"&lt;="&amp;($B47+6),'Trade Log'!$AB$6:$AB$1005,Q$5))</f>
        <v>0</v>
      </c>
      <c r="R47" s="109">
        <f>IF(OR($B47="",R$5=""),0,COUNTIFS('Trade Log'!$A$6:$A$1005,"&gt;="&amp;$B47,'Trade Log'!$A$6:$A$1005,"&lt;="&amp;($B47+6),'Trade Log'!$AB$6:$AB$1005,R$5))</f>
        <v>0</v>
      </c>
      <c r="S47" s="109">
        <f>IF(OR($B47="",S$5=""),0,COUNTIFS('Trade Log'!$A$6:$A$1005,"&gt;="&amp;$B47,'Trade Log'!$A$6:$A$1005,"&lt;="&amp;($B47+6),'Trade Log'!$AB$6:$AB$1005,S$5))</f>
        <v>0</v>
      </c>
      <c r="T47" s="109">
        <f>IF(OR($B47="",T$5=""),0,COUNTIFS('Trade Log'!$A$6:$A$1005,"&gt;="&amp;$B47,'Trade Log'!$A$6:$A$1005,"&lt;="&amp;($B47+6),'Trade Log'!$AB$6:$AB$1005,T$5))</f>
        <v>0</v>
      </c>
      <c r="U47" s="109">
        <f>IF(OR($B47="",U$5=""),0,COUNTIFS('Trade Log'!$A$6:$A$1005,"&gt;="&amp;$B47,'Trade Log'!$A$6:$A$1005,"&lt;="&amp;($B47+6),'Trade Log'!$AB$6:$AB$1005,U$5))</f>
        <v>0</v>
      </c>
      <c r="V47" s="109">
        <f>IF(OR($B47="",V$5=""),0,COUNTIFS('Trade Log'!$A$6:$A$1005,"&gt;="&amp;$B47,'Trade Log'!$A$6:$A$1005,"&lt;="&amp;($B47+6),'Trade Log'!$AB$6:$AB$1005,V$5))</f>
        <v>0</v>
      </c>
      <c r="W47" s="109">
        <f>IF(OR($B47="",W$5=""),0,COUNTIFS('Trade Log'!$A$6:$A$1005,"&gt;="&amp;$B47,'Trade Log'!$A$6:$A$1005,"&lt;="&amp;($B47+6),'Trade Log'!$AB$6:$AB$1005,W$5))</f>
        <v>0</v>
      </c>
      <c r="X47" s="109">
        <f>IF(OR($B47="",X$5=""),0,COUNTIFS('Trade Log'!$A$6:$A$1005,"&gt;="&amp;$B47,'Trade Log'!$A$6:$A$1005,"&lt;="&amp;($B47+6),'Trade Log'!$AB$6:$AB$1005,X$5))</f>
        <v>0</v>
      </c>
      <c r="Y47" s="109">
        <f>IF(OR($B47="",Y$5=""),0,COUNTIFS('Trade Log'!$A$6:$A$1005,"&gt;="&amp;$B47,'Trade Log'!$A$6:$A$1005,"&lt;="&amp;($B47+6),'Trade Log'!$AB$6:$AB$1005,Y$5))</f>
        <v>0</v>
      </c>
      <c r="Z47" s="109">
        <f>IF(OR($B47="",Z$5=""),0,COUNTIFS('Trade Log'!$A$6:$A$1005,"&gt;="&amp;$B47,'Trade Log'!$A$6:$A$1005,"&lt;="&amp;($B47+6),'Trade Log'!$AB$6:$AB$1005,Z$5))</f>
        <v>0</v>
      </c>
      <c r="AA47" s="109">
        <f>IF(OR($B47="",AA$5=""),0,COUNTIFS('Trade Log'!$A$6:$A$1005,"&gt;="&amp;$B47,'Trade Log'!$A$6:$A$1005,"&lt;="&amp;($B47+6),'Trade Log'!$AB$6:$AB$1005,AA$5))</f>
        <v>0</v>
      </c>
      <c r="AB47" s="109">
        <f>IF(OR($B47="",AB$5=""),0,COUNTIFS('Trade Log'!$A$6:$A$1005,"&gt;="&amp;$B47,'Trade Log'!$A$6:$A$1005,"&lt;="&amp;($B47+6),'Trade Log'!$AB$6:$AB$1005,AB$5))</f>
        <v>0</v>
      </c>
      <c r="AC47" s="113">
        <f>IF(OR($B47="",AC$5=""),0,SUMIFS('Trade Log'!$Q$6:$Q$1005,'Trade Log'!$A$6:$A$1005,"&gt;="&amp;$B47,'Trade Log'!$A$6:$A$1005,"&lt;="&amp;($B47+6),'Trade Log'!$AA$6:$AA$1005,AC$5))</f>
        <v>0</v>
      </c>
      <c r="AD47" s="113">
        <f>IF(OR($B47="",AD$5=""),0,SUMIFS('Trade Log'!$Q$6:$Q$1005,'Trade Log'!$A$6:$A$1005,"&gt;="&amp;$B47,'Trade Log'!$A$6:$A$1005,"&lt;="&amp;($B47+6),'Trade Log'!$AA$6:$AA$1005,AD$5))</f>
        <v>0</v>
      </c>
      <c r="AE47" s="113">
        <f>IF(OR($B47="",AE$5=""),0,SUMIFS('Trade Log'!$Q$6:$Q$1005,'Trade Log'!$A$6:$A$1005,"&gt;="&amp;$B47,'Trade Log'!$A$6:$A$1005,"&lt;="&amp;($B47+6),'Trade Log'!$AA$6:$AA$1005,AE$5))</f>
        <v>0</v>
      </c>
      <c r="AF47" s="113">
        <f>IF(OR($B47="",AF$5=""),0,SUMIFS('Trade Log'!$Q$6:$Q$1005,'Trade Log'!$A$6:$A$1005,"&gt;="&amp;$B47,'Trade Log'!$A$6:$A$1005,"&lt;="&amp;($B47+6),'Trade Log'!$AA$6:$AA$1005,AF$5))</f>
        <v>0</v>
      </c>
      <c r="AG47" s="113">
        <f>IF(OR($B47="",AG$5=""),0,SUMIFS('Trade Log'!$Q$6:$Q$1005,'Trade Log'!$A$6:$A$1005,"&gt;="&amp;$B47,'Trade Log'!$A$6:$A$1005,"&lt;="&amp;($B47+6),'Trade Log'!$AA$6:$AA$1005,AG$5))</f>
        <v>0</v>
      </c>
      <c r="AH47" s="113">
        <f>IF(OR($B47="",AH$5=""),0,SUMIFS('Trade Log'!$Q$6:$Q$1005,'Trade Log'!$A$6:$A$1005,"&gt;="&amp;$B47,'Trade Log'!$A$6:$A$1005,"&lt;="&amp;($B47+6),'Trade Log'!$AA$6:$AA$1005,AH$5))</f>
        <v>0</v>
      </c>
      <c r="AI47" s="113">
        <f>IF(OR($B47="",AI$5=""),0,SUMIFS('Trade Log'!$Q$6:$Q$1005,'Trade Log'!$A$6:$A$1005,"&gt;="&amp;$B47,'Trade Log'!$A$6:$A$1005,"&lt;="&amp;($B47+6),'Trade Log'!$AA$6:$AA$1005,AI$5))</f>
        <v>0</v>
      </c>
      <c r="AJ47" s="113">
        <f>IF(OR($B47="",AJ$5=""),0,SUMIFS('Trade Log'!$Q$6:$Q$1005,'Trade Log'!$A$6:$A$1005,"&gt;="&amp;$B47,'Trade Log'!$A$6:$A$1005,"&lt;="&amp;($B47+6),'Trade Log'!$AA$6:$AA$1005,AJ$5))</f>
        <v>0</v>
      </c>
      <c r="AK47" s="113">
        <f>IF(OR($B47="",AK$5=""),0,SUMIFS('Trade Log'!$Q$6:$Q$1005,'Trade Log'!$A$6:$A$1005,"&gt;="&amp;$B47,'Trade Log'!$A$6:$A$1005,"&lt;="&amp;($B47+6),'Trade Log'!$AA$6:$AA$1005,AK$5))</f>
        <v>0</v>
      </c>
      <c r="AL47" s="113">
        <f>IF(OR($B47="",AL$5=""),0,SUMIFS('Trade Log'!$Q$6:$Q$1005,'Trade Log'!$A$6:$A$1005,"&gt;="&amp;$B47,'Trade Log'!$A$6:$A$1005,"&lt;="&amp;($B47+6),'Trade Log'!$AA$6:$AA$1005,AL$5))</f>
        <v>0</v>
      </c>
      <c r="AM47" s="113">
        <f>IF(OR($B47="",AM$5=""),0,SUMIFS('Trade Log'!$Q$6:$Q$1005,'Trade Log'!$A$6:$A$1005,"&gt;="&amp;$B47,'Trade Log'!$A$6:$A$1005,"&lt;="&amp;($B47+6),'Trade Log'!$Y$6:$Y$1005,AM$5))</f>
        <v>0</v>
      </c>
      <c r="AN47" s="113">
        <f>IF(OR($B47="",AN$5=""),0,SUMIFS('Trade Log'!$Q$6:$Q$1005,'Trade Log'!$A$6:$A$1005,"&gt;="&amp;$B47,'Trade Log'!$A$6:$A$1005,"&lt;="&amp;($B47+6),'Trade Log'!$Y$6:$Y$1005,AN$5))</f>
        <v>0</v>
      </c>
      <c r="AO47" s="113">
        <f>IF(OR($B47="",AO$5=""),0,SUMIFS('Trade Log'!$Q$6:$Q$1005,'Trade Log'!$A$6:$A$1005,"&gt;="&amp;$B47,'Trade Log'!$A$6:$A$1005,"&lt;="&amp;($B47+6),'Trade Log'!$Y$6:$Y$1005,AO$5))</f>
        <v>0</v>
      </c>
      <c r="AP47" s="113">
        <f>IF(OR($B47="",AP$5=""),0,SUMIFS('Trade Log'!$Q$6:$Q$1005,'Trade Log'!$A$6:$A$1005,"&gt;="&amp;$B47,'Trade Log'!$A$6:$A$1005,"&lt;="&amp;($B47+6),'Trade Log'!$Y$6:$Y$1005,AP$5))</f>
        <v>0</v>
      </c>
      <c r="AQ47" s="113">
        <f>IF(OR($B47="",AQ$5=""),0,SUMIFS('Trade Log'!$Q$6:$Q$1005,'Trade Log'!$A$6:$A$1005,"&gt;="&amp;$B47,'Trade Log'!$A$6:$A$1005,"&lt;="&amp;($B47+6),'Trade Log'!$Y$6:$Y$1005,AQ$5))</f>
        <v>0</v>
      </c>
      <c r="AR47" s="113">
        <f>IF(OR($B47="",AR$5=""),0,SUMIFS('Trade Log'!$Q$6:$Q$1005,'Trade Log'!$A$6:$A$1005,"&gt;="&amp;$B47,'Trade Log'!$A$6:$A$1005,"&lt;="&amp;($B47+6),'Trade Log'!$Y$6:$Y$1005,AR$5))</f>
        <v>0</v>
      </c>
      <c r="AS47" s="113">
        <f>IF(OR($B47="",AS$5=""),0,SUMIFS('Trade Log'!$Q$6:$Q$1005,'Trade Log'!$A$6:$A$1005,"&gt;="&amp;$B47,'Trade Log'!$A$6:$A$1005,"&lt;="&amp;($B47+6),'Trade Log'!$Y$6:$Y$1005,AS$5))</f>
        <v>0</v>
      </c>
      <c r="AT47" s="113">
        <f>IF(OR($B47="",AT$5=""),0,SUMIFS('Trade Log'!$Q$6:$Q$1005,'Trade Log'!$A$6:$A$1005,"&gt;="&amp;$B47,'Trade Log'!$A$6:$A$1005,"&lt;="&amp;($B47+6),'Trade Log'!$Y$6:$Y$1005,AT$5))</f>
        <v>0</v>
      </c>
      <c r="AU47" s="113">
        <f>IF(OR($B47="",AU$5=""),0,SUMIFS('Trade Log'!$Q$6:$Q$1005,'Trade Log'!$A$6:$A$1005,"&gt;="&amp;$B47,'Trade Log'!$A$6:$A$1005,"&lt;="&amp;($B47+6),'Trade Log'!$Y$6:$Y$1005,AU$5))</f>
        <v>0</v>
      </c>
      <c r="AV47" s="113">
        <f>IF(OR($B47="",AV$5=""),0,SUMIFS('Trade Log'!$Q$6:$Q$1005,'Trade Log'!$A$6:$A$1005,"&gt;="&amp;$B47,'Trade Log'!$A$6:$A$1005,"&lt;="&amp;($B47+6),'Trade Log'!$Y$6:$Y$1005,AV$5))</f>
        <v>0</v>
      </c>
    </row>
    <row r="48">
      <c r="B48" s="107">
        <f>IF($B47="","",$B47+7)</f>
        <v>46580</v>
      </c>
      <c r="C48" s="96">
        <f>IF($B48="","",COUNTIFS('Trade Log'!$A$6:$A$1005,"&gt;="&amp;$B48,'Trade Log'!$A$6:$A$1005,"&lt;="&amp;($B48+6),'Trade Log'!$BH$6:$BH$1005,1))</f>
        <v>0</v>
      </c>
      <c r="D48" s="98" t="str">
        <f>IF(OR($B48="",N($C48)=0),"",SUMIFS('Trade Log'!$Q$6:$Q$1005,'Trade Log'!$A$6:$A$1005,"&gt;="&amp;$B48,'Trade Log'!$A$6:$A$1005,"&lt;="&amp;($B48+6)))</f>
        <v/>
      </c>
      <c r="E48" s="99" t="str">
        <f>IF(OR($B48="",N($C48)=0),"",IFERROR(COUNTIFS('Trade Log'!$A$6:$A$1005,"&gt;="&amp;$B48,'Trade Log'!$A$6:$A$1005,"&lt;="&amp;($B48+6),'Trade Log'!$S$6:$S$1005,"Win")/(COUNTIFS('Trade Log'!$A$6:$A$1005,"&gt;="&amp;$B48,'Trade Log'!$A$6:$A$1005,"&lt;="&amp;($B48+6),'Trade Log'!$S$6:$S$1005,"Win")+COUNTIFS('Trade Log'!$A$6:$A$1005,"&gt;="&amp;$B48,'Trade Log'!$A$6:$A$1005,"&lt;="&amp;($B48+6),'Trade Log'!$S$6:$S$1005,"Loss")),"—"))</f>
        <v/>
      </c>
      <c r="F48" s="104" t="str">
        <f>IF(OR($B48="",N($C48)=0),"",IFERROR(SUMIFS('Trade Log'!$R$6:$R$1005,'Trade Log'!$A$6:$A$1005,"&gt;="&amp;$B48,'Trade Log'!$A$6:$A$1005,"&lt;="&amp;($B48+6))/COUNTIFS('Trade Log'!$A$6:$A$1005,"&gt;="&amp;$B48,'Trade Log'!$A$6:$A$1005,"&lt;="&amp;($B48+6),'Trade Log'!$BC$6:$BC$1005,1),"—"))</f>
        <v/>
      </c>
      <c r="G48" s="110" t="str">
        <f>IF(OR($B48="",N($C48)=0),"",IF(SUMIFS('Trade Log'!$Q$6:$Q$1005,'Trade Log'!$A$6:$A$1005,"&gt;="&amp;$B48,'Trade Log'!$A$6:$A$1005,"&lt;="&amp;($B48+6),'Trade Log'!$Q$6:$Q$1005,"&lt;0")=0,IF(SUMIFS('Trade Log'!$Q$6:$Q$1005,'Trade Log'!$A$6:$A$1005,"&gt;="&amp;$B48,'Trade Log'!$A$6:$A$1005,"&lt;="&amp;($B48+6),'Trade Log'!$Q$6:$Q$1005,"&gt;0")&gt;0,"No losses","—"),SUMIFS('Trade Log'!$Q$6:$Q$1005,'Trade Log'!$A$6:$A$1005,"&gt;="&amp;$B48,'Trade Log'!$A$6:$A$1005,"&lt;="&amp;($B48+6),'Trade Log'!$Q$6:$Q$1005,"&gt;0")/-SUMIFS('Trade Log'!$Q$6:$Q$1005,'Trade Log'!$A$6:$A$1005,"&gt;="&amp;$B48,'Trade Log'!$A$6:$A$1005,"&lt;="&amp;($B48+6),'Trade Log'!$Q$6:$Q$1005,"&lt;0")))</f>
        <v/>
      </c>
      <c r="H48" s="99" t="str">
        <f>IF(OR($B48="",N($C48)=0),"",IFERROR(COUNTIFS('Trade Log'!$A$6:$A$1005,"&gt;="&amp;$B48,'Trade Log'!$A$6:$A$1005,"&lt;="&amp;($B48+6),'Trade Log'!$Z$6:$Z$1005,"Yes")/(COUNTIFS('Trade Log'!$A$6:$A$1005,"&gt;="&amp;$B48,'Trade Log'!$A$6:$A$1005,"&lt;="&amp;($B48+6),'Trade Log'!$Z$6:$Z$1005,"Yes")+COUNTIFS('Trade Log'!$A$6:$A$1005,"&gt;="&amp;$B48,'Trade Log'!$A$6:$A$1005,"&lt;="&amp;($B48+6),'Trade Log'!$Z$6:$Z$1005,"No")),"—"))</f>
        <v/>
      </c>
      <c r="I48" s="111" t="str">
        <f>IF(OR($B48="",N($C48)=0),"",IF(MAX($Q48:$AB48)=0,"None — clean week",INDEX($Q$5:$AB$5,MATCH(MAX($Q48:$AB48),$Q48:$AB48,0))))</f>
        <v/>
      </c>
      <c r="J48" s="111" t="str">
        <f>IF(OR($B48="",N($C48)=0),"",IF(MIN($AC48:$AL48)&gt;=0,"None lost money",INDEX($AC$5:$AL$5,MATCH(MIN($AC48:$AL48),$AC48:$AL48,0))))</f>
        <v/>
      </c>
      <c r="K48" s="111" t="str">
        <f>IF(OR($B48="",N($C48)=0),"",IF(MAX($AM48:$AV48)&lt;=0,"None made money",INDEX($AM$5:$AV$5,MATCH(MAX($AM48:$AV48),$AM48:$AV48,0))))</f>
        <v/>
      </c>
      <c r="L48" s="106" t="n"/>
      <c r="M48" s="106" t="n"/>
      <c r="N48" s="112" t="n"/>
      <c r="O48" s="29" t="n"/>
      <c r="Q48" s="109">
        <f>IF(OR($B48="",Q$5=""),0,COUNTIFS('Trade Log'!$A$6:$A$1005,"&gt;="&amp;$B48,'Trade Log'!$A$6:$A$1005,"&lt;="&amp;($B48+6),'Trade Log'!$AB$6:$AB$1005,Q$5))</f>
        <v>0</v>
      </c>
      <c r="R48" s="109">
        <f>IF(OR($B48="",R$5=""),0,COUNTIFS('Trade Log'!$A$6:$A$1005,"&gt;="&amp;$B48,'Trade Log'!$A$6:$A$1005,"&lt;="&amp;($B48+6),'Trade Log'!$AB$6:$AB$1005,R$5))</f>
        <v>0</v>
      </c>
      <c r="S48" s="109">
        <f>IF(OR($B48="",S$5=""),0,COUNTIFS('Trade Log'!$A$6:$A$1005,"&gt;="&amp;$B48,'Trade Log'!$A$6:$A$1005,"&lt;="&amp;($B48+6),'Trade Log'!$AB$6:$AB$1005,S$5))</f>
        <v>0</v>
      </c>
      <c r="T48" s="109">
        <f>IF(OR($B48="",T$5=""),0,COUNTIFS('Trade Log'!$A$6:$A$1005,"&gt;="&amp;$B48,'Trade Log'!$A$6:$A$1005,"&lt;="&amp;($B48+6),'Trade Log'!$AB$6:$AB$1005,T$5))</f>
        <v>0</v>
      </c>
      <c r="U48" s="109">
        <f>IF(OR($B48="",U$5=""),0,COUNTIFS('Trade Log'!$A$6:$A$1005,"&gt;="&amp;$B48,'Trade Log'!$A$6:$A$1005,"&lt;="&amp;($B48+6),'Trade Log'!$AB$6:$AB$1005,U$5))</f>
        <v>0</v>
      </c>
      <c r="V48" s="109">
        <f>IF(OR($B48="",V$5=""),0,COUNTIFS('Trade Log'!$A$6:$A$1005,"&gt;="&amp;$B48,'Trade Log'!$A$6:$A$1005,"&lt;="&amp;($B48+6),'Trade Log'!$AB$6:$AB$1005,V$5))</f>
        <v>0</v>
      </c>
      <c r="W48" s="109">
        <f>IF(OR($B48="",W$5=""),0,COUNTIFS('Trade Log'!$A$6:$A$1005,"&gt;="&amp;$B48,'Trade Log'!$A$6:$A$1005,"&lt;="&amp;($B48+6),'Trade Log'!$AB$6:$AB$1005,W$5))</f>
        <v>0</v>
      </c>
      <c r="X48" s="109">
        <f>IF(OR($B48="",X$5=""),0,COUNTIFS('Trade Log'!$A$6:$A$1005,"&gt;="&amp;$B48,'Trade Log'!$A$6:$A$1005,"&lt;="&amp;($B48+6),'Trade Log'!$AB$6:$AB$1005,X$5))</f>
        <v>0</v>
      </c>
      <c r="Y48" s="109">
        <f>IF(OR($B48="",Y$5=""),0,COUNTIFS('Trade Log'!$A$6:$A$1005,"&gt;="&amp;$B48,'Trade Log'!$A$6:$A$1005,"&lt;="&amp;($B48+6),'Trade Log'!$AB$6:$AB$1005,Y$5))</f>
        <v>0</v>
      </c>
      <c r="Z48" s="109">
        <f>IF(OR($B48="",Z$5=""),0,COUNTIFS('Trade Log'!$A$6:$A$1005,"&gt;="&amp;$B48,'Trade Log'!$A$6:$A$1005,"&lt;="&amp;($B48+6),'Trade Log'!$AB$6:$AB$1005,Z$5))</f>
        <v>0</v>
      </c>
      <c r="AA48" s="109">
        <f>IF(OR($B48="",AA$5=""),0,COUNTIFS('Trade Log'!$A$6:$A$1005,"&gt;="&amp;$B48,'Trade Log'!$A$6:$A$1005,"&lt;="&amp;($B48+6),'Trade Log'!$AB$6:$AB$1005,AA$5))</f>
        <v>0</v>
      </c>
      <c r="AB48" s="109">
        <f>IF(OR($B48="",AB$5=""),0,COUNTIFS('Trade Log'!$A$6:$A$1005,"&gt;="&amp;$B48,'Trade Log'!$A$6:$A$1005,"&lt;="&amp;($B48+6),'Trade Log'!$AB$6:$AB$1005,AB$5))</f>
        <v>0</v>
      </c>
      <c r="AC48" s="113">
        <f>IF(OR($B48="",AC$5=""),0,SUMIFS('Trade Log'!$Q$6:$Q$1005,'Trade Log'!$A$6:$A$1005,"&gt;="&amp;$B48,'Trade Log'!$A$6:$A$1005,"&lt;="&amp;($B48+6),'Trade Log'!$AA$6:$AA$1005,AC$5))</f>
        <v>0</v>
      </c>
      <c r="AD48" s="113">
        <f>IF(OR($B48="",AD$5=""),0,SUMIFS('Trade Log'!$Q$6:$Q$1005,'Trade Log'!$A$6:$A$1005,"&gt;="&amp;$B48,'Trade Log'!$A$6:$A$1005,"&lt;="&amp;($B48+6),'Trade Log'!$AA$6:$AA$1005,AD$5))</f>
        <v>0</v>
      </c>
      <c r="AE48" s="113">
        <f>IF(OR($B48="",AE$5=""),0,SUMIFS('Trade Log'!$Q$6:$Q$1005,'Trade Log'!$A$6:$A$1005,"&gt;="&amp;$B48,'Trade Log'!$A$6:$A$1005,"&lt;="&amp;($B48+6),'Trade Log'!$AA$6:$AA$1005,AE$5))</f>
        <v>0</v>
      </c>
      <c r="AF48" s="113">
        <f>IF(OR($B48="",AF$5=""),0,SUMIFS('Trade Log'!$Q$6:$Q$1005,'Trade Log'!$A$6:$A$1005,"&gt;="&amp;$B48,'Trade Log'!$A$6:$A$1005,"&lt;="&amp;($B48+6),'Trade Log'!$AA$6:$AA$1005,AF$5))</f>
        <v>0</v>
      </c>
      <c r="AG48" s="113">
        <f>IF(OR($B48="",AG$5=""),0,SUMIFS('Trade Log'!$Q$6:$Q$1005,'Trade Log'!$A$6:$A$1005,"&gt;="&amp;$B48,'Trade Log'!$A$6:$A$1005,"&lt;="&amp;($B48+6),'Trade Log'!$AA$6:$AA$1005,AG$5))</f>
        <v>0</v>
      </c>
      <c r="AH48" s="113">
        <f>IF(OR($B48="",AH$5=""),0,SUMIFS('Trade Log'!$Q$6:$Q$1005,'Trade Log'!$A$6:$A$1005,"&gt;="&amp;$B48,'Trade Log'!$A$6:$A$1005,"&lt;="&amp;($B48+6),'Trade Log'!$AA$6:$AA$1005,AH$5))</f>
        <v>0</v>
      </c>
      <c r="AI48" s="113">
        <f>IF(OR($B48="",AI$5=""),0,SUMIFS('Trade Log'!$Q$6:$Q$1005,'Trade Log'!$A$6:$A$1005,"&gt;="&amp;$B48,'Trade Log'!$A$6:$A$1005,"&lt;="&amp;($B48+6),'Trade Log'!$AA$6:$AA$1005,AI$5))</f>
        <v>0</v>
      </c>
      <c r="AJ48" s="113">
        <f>IF(OR($B48="",AJ$5=""),0,SUMIFS('Trade Log'!$Q$6:$Q$1005,'Trade Log'!$A$6:$A$1005,"&gt;="&amp;$B48,'Trade Log'!$A$6:$A$1005,"&lt;="&amp;($B48+6),'Trade Log'!$AA$6:$AA$1005,AJ$5))</f>
        <v>0</v>
      </c>
      <c r="AK48" s="113">
        <f>IF(OR($B48="",AK$5=""),0,SUMIFS('Trade Log'!$Q$6:$Q$1005,'Trade Log'!$A$6:$A$1005,"&gt;="&amp;$B48,'Trade Log'!$A$6:$A$1005,"&lt;="&amp;($B48+6),'Trade Log'!$AA$6:$AA$1005,AK$5))</f>
        <v>0</v>
      </c>
      <c r="AL48" s="113">
        <f>IF(OR($B48="",AL$5=""),0,SUMIFS('Trade Log'!$Q$6:$Q$1005,'Trade Log'!$A$6:$A$1005,"&gt;="&amp;$B48,'Trade Log'!$A$6:$A$1005,"&lt;="&amp;($B48+6),'Trade Log'!$AA$6:$AA$1005,AL$5))</f>
        <v>0</v>
      </c>
      <c r="AM48" s="113">
        <f>IF(OR($B48="",AM$5=""),0,SUMIFS('Trade Log'!$Q$6:$Q$1005,'Trade Log'!$A$6:$A$1005,"&gt;="&amp;$B48,'Trade Log'!$A$6:$A$1005,"&lt;="&amp;($B48+6),'Trade Log'!$Y$6:$Y$1005,AM$5))</f>
        <v>0</v>
      </c>
      <c r="AN48" s="113">
        <f>IF(OR($B48="",AN$5=""),0,SUMIFS('Trade Log'!$Q$6:$Q$1005,'Trade Log'!$A$6:$A$1005,"&gt;="&amp;$B48,'Trade Log'!$A$6:$A$1005,"&lt;="&amp;($B48+6),'Trade Log'!$Y$6:$Y$1005,AN$5))</f>
        <v>0</v>
      </c>
      <c r="AO48" s="113">
        <f>IF(OR($B48="",AO$5=""),0,SUMIFS('Trade Log'!$Q$6:$Q$1005,'Trade Log'!$A$6:$A$1005,"&gt;="&amp;$B48,'Trade Log'!$A$6:$A$1005,"&lt;="&amp;($B48+6),'Trade Log'!$Y$6:$Y$1005,AO$5))</f>
        <v>0</v>
      </c>
      <c r="AP48" s="113">
        <f>IF(OR($B48="",AP$5=""),0,SUMIFS('Trade Log'!$Q$6:$Q$1005,'Trade Log'!$A$6:$A$1005,"&gt;="&amp;$B48,'Trade Log'!$A$6:$A$1005,"&lt;="&amp;($B48+6),'Trade Log'!$Y$6:$Y$1005,AP$5))</f>
        <v>0</v>
      </c>
      <c r="AQ48" s="113">
        <f>IF(OR($B48="",AQ$5=""),0,SUMIFS('Trade Log'!$Q$6:$Q$1005,'Trade Log'!$A$6:$A$1005,"&gt;="&amp;$B48,'Trade Log'!$A$6:$A$1005,"&lt;="&amp;($B48+6),'Trade Log'!$Y$6:$Y$1005,AQ$5))</f>
        <v>0</v>
      </c>
      <c r="AR48" s="113">
        <f>IF(OR($B48="",AR$5=""),0,SUMIFS('Trade Log'!$Q$6:$Q$1005,'Trade Log'!$A$6:$A$1005,"&gt;="&amp;$B48,'Trade Log'!$A$6:$A$1005,"&lt;="&amp;($B48+6),'Trade Log'!$Y$6:$Y$1005,AR$5))</f>
        <v>0</v>
      </c>
      <c r="AS48" s="113">
        <f>IF(OR($B48="",AS$5=""),0,SUMIFS('Trade Log'!$Q$6:$Q$1005,'Trade Log'!$A$6:$A$1005,"&gt;="&amp;$B48,'Trade Log'!$A$6:$A$1005,"&lt;="&amp;($B48+6),'Trade Log'!$Y$6:$Y$1005,AS$5))</f>
        <v>0</v>
      </c>
      <c r="AT48" s="113">
        <f>IF(OR($B48="",AT$5=""),0,SUMIFS('Trade Log'!$Q$6:$Q$1005,'Trade Log'!$A$6:$A$1005,"&gt;="&amp;$B48,'Trade Log'!$A$6:$A$1005,"&lt;="&amp;($B48+6),'Trade Log'!$Y$6:$Y$1005,AT$5))</f>
        <v>0</v>
      </c>
      <c r="AU48" s="113">
        <f>IF(OR($B48="",AU$5=""),0,SUMIFS('Trade Log'!$Q$6:$Q$1005,'Trade Log'!$A$6:$A$1005,"&gt;="&amp;$B48,'Trade Log'!$A$6:$A$1005,"&lt;="&amp;($B48+6),'Trade Log'!$Y$6:$Y$1005,AU$5))</f>
        <v>0</v>
      </c>
      <c r="AV48" s="113">
        <f>IF(OR($B48="",AV$5=""),0,SUMIFS('Trade Log'!$Q$6:$Q$1005,'Trade Log'!$A$6:$A$1005,"&gt;="&amp;$B48,'Trade Log'!$A$6:$A$1005,"&lt;="&amp;($B48+6),'Trade Log'!$Y$6:$Y$1005,AV$5))</f>
        <v>0</v>
      </c>
    </row>
    <row r="49">
      <c r="B49" s="107">
        <f>IF($B48="","",$B48+7)</f>
        <v>46587</v>
      </c>
      <c r="C49" s="96">
        <f>IF($B49="","",COUNTIFS('Trade Log'!$A$6:$A$1005,"&gt;="&amp;$B49,'Trade Log'!$A$6:$A$1005,"&lt;="&amp;($B49+6),'Trade Log'!$BH$6:$BH$1005,1))</f>
        <v>0</v>
      </c>
      <c r="D49" s="98" t="str">
        <f>IF(OR($B49="",N($C49)=0),"",SUMIFS('Trade Log'!$Q$6:$Q$1005,'Trade Log'!$A$6:$A$1005,"&gt;="&amp;$B49,'Trade Log'!$A$6:$A$1005,"&lt;="&amp;($B49+6)))</f>
        <v/>
      </c>
      <c r="E49" s="99" t="str">
        <f>IF(OR($B49="",N($C49)=0),"",IFERROR(COUNTIFS('Trade Log'!$A$6:$A$1005,"&gt;="&amp;$B49,'Trade Log'!$A$6:$A$1005,"&lt;="&amp;($B49+6),'Trade Log'!$S$6:$S$1005,"Win")/(COUNTIFS('Trade Log'!$A$6:$A$1005,"&gt;="&amp;$B49,'Trade Log'!$A$6:$A$1005,"&lt;="&amp;($B49+6),'Trade Log'!$S$6:$S$1005,"Win")+COUNTIFS('Trade Log'!$A$6:$A$1005,"&gt;="&amp;$B49,'Trade Log'!$A$6:$A$1005,"&lt;="&amp;($B49+6),'Trade Log'!$S$6:$S$1005,"Loss")),"—"))</f>
        <v/>
      </c>
      <c r="F49" s="104" t="str">
        <f>IF(OR($B49="",N($C49)=0),"",IFERROR(SUMIFS('Trade Log'!$R$6:$R$1005,'Trade Log'!$A$6:$A$1005,"&gt;="&amp;$B49,'Trade Log'!$A$6:$A$1005,"&lt;="&amp;($B49+6))/COUNTIFS('Trade Log'!$A$6:$A$1005,"&gt;="&amp;$B49,'Trade Log'!$A$6:$A$1005,"&lt;="&amp;($B49+6),'Trade Log'!$BC$6:$BC$1005,1),"—"))</f>
        <v/>
      </c>
      <c r="G49" s="110" t="str">
        <f>IF(OR($B49="",N($C49)=0),"",IF(SUMIFS('Trade Log'!$Q$6:$Q$1005,'Trade Log'!$A$6:$A$1005,"&gt;="&amp;$B49,'Trade Log'!$A$6:$A$1005,"&lt;="&amp;($B49+6),'Trade Log'!$Q$6:$Q$1005,"&lt;0")=0,IF(SUMIFS('Trade Log'!$Q$6:$Q$1005,'Trade Log'!$A$6:$A$1005,"&gt;="&amp;$B49,'Trade Log'!$A$6:$A$1005,"&lt;="&amp;($B49+6),'Trade Log'!$Q$6:$Q$1005,"&gt;0")&gt;0,"No losses","—"),SUMIFS('Trade Log'!$Q$6:$Q$1005,'Trade Log'!$A$6:$A$1005,"&gt;="&amp;$B49,'Trade Log'!$A$6:$A$1005,"&lt;="&amp;($B49+6),'Trade Log'!$Q$6:$Q$1005,"&gt;0")/-SUMIFS('Trade Log'!$Q$6:$Q$1005,'Trade Log'!$A$6:$A$1005,"&gt;="&amp;$B49,'Trade Log'!$A$6:$A$1005,"&lt;="&amp;($B49+6),'Trade Log'!$Q$6:$Q$1005,"&lt;0")))</f>
        <v/>
      </c>
      <c r="H49" s="99" t="str">
        <f>IF(OR($B49="",N($C49)=0),"",IFERROR(COUNTIFS('Trade Log'!$A$6:$A$1005,"&gt;="&amp;$B49,'Trade Log'!$A$6:$A$1005,"&lt;="&amp;($B49+6),'Trade Log'!$Z$6:$Z$1005,"Yes")/(COUNTIFS('Trade Log'!$A$6:$A$1005,"&gt;="&amp;$B49,'Trade Log'!$A$6:$A$1005,"&lt;="&amp;($B49+6),'Trade Log'!$Z$6:$Z$1005,"Yes")+COUNTIFS('Trade Log'!$A$6:$A$1005,"&gt;="&amp;$B49,'Trade Log'!$A$6:$A$1005,"&lt;="&amp;($B49+6),'Trade Log'!$Z$6:$Z$1005,"No")),"—"))</f>
        <v/>
      </c>
      <c r="I49" s="111" t="str">
        <f>IF(OR($B49="",N($C49)=0),"",IF(MAX($Q49:$AB49)=0,"None — clean week",INDEX($Q$5:$AB$5,MATCH(MAX($Q49:$AB49),$Q49:$AB49,0))))</f>
        <v/>
      </c>
      <c r="J49" s="111" t="str">
        <f>IF(OR($B49="",N($C49)=0),"",IF(MIN($AC49:$AL49)&gt;=0,"None lost money",INDEX($AC$5:$AL$5,MATCH(MIN($AC49:$AL49),$AC49:$AL49,0))))</f>
        <v/>
      </c>
      <c r="K49" s="111" t="str">
        <f>IF(OR($B49="",N($C49)=0),"",IF(MAX($AM49:$AV49)&lt;=0,"None made money",INDEX($AM$5:$AV$5,MATCH(MAX($AM49:$AV49),$AM49:$AV49,0))))</f>
        <v/>
      </c>
      <c r="L49" s="106" t="n"/>
      <c r="M49" s="106" t="n"/>
      <c r="N49" s="112" t="n"/>
      <c r="O49" s="29" t="n"/>
      <c r="Q49" s="109">
        <f>IF(OR($B49="",Q$5=""),0,COUNTIFS('Trade Log'!$A$6:$A$1005,"&gt;="&amp;$B49,'Trade Log'!$A$6:$A$1005,"&lt;="&amp;($B49+6),'Trade Log'!$AB$6:$AB$1005,Q$5))</f>
        <v>0</v>
      </c>
      <c r="R49" s="109">
        <f>IF(OR($B49="",R$5=""),0,COUNTIFS('Trade Log'!$A$6:$A$1005,"&gt;="&amp;$B49,'Trade Log'!$A$6:$A$1005,"&lt;="&amp;($B49+6),'Trade Log'!$AB$6:$AB$1005,R$5))</f>
        <v>0</v>
      </c>
      <c r="S49" s="109">
        <f>IF(OR($B49="",S$5=""),0,COUNTIFS('Trade Log'!$A$6:$A$1005,"&gt;="&amp;$B49,'Trade Log'!$A$6:$A$1005,"&lt;="&amp;($B49+6),'Trade Log'!$AB$6:$AB$1005,S$5))</f>
        <v>0</v>
      </c>
      <c r="T49" s="109">
        <f>IF(OR($B49="",T$5=""),0,COUNTIFS('Trade Log'!$A$6:$A$1005,"&gt;="&amp;$B49,'Trade Log'!$A$6:$A$1005,"&lt;="&amp;($B49+6),'Trade Log'!$AB$6:$AB$1005,T$5))</f>
        <v>0</v>
      </c>
      <c r="U49" s="109">
        <f>IF(OR($B49="",U$5=""),0,COUNTIFS('Trade Log'!$A$6:$A$1005,"&gt;="&amp;$B49,'Trade Log'!$A$6:$A$1005,"&lt;="&amp;($B49+6),'Trade Log'!$AB$6:$AB$1005,U$5))</f>
        <v>0</v>
      </c>
      <c r="V49" s="109">
        <f>IF(OR($B49="",V$5=""),0,COUNTIFS('Trade Log'!$A$6:$A$1005,"&gt;="&amp;$B49,'Trade Log'!$A$6:$A$1005,"&lt;="&amp;($B49+6),'Trade Log'!$AB$6:$AB$1005,V$5))</f>
        <v>0</v>
      </c>
      <c r="W49" s="109">
        <f>IF(OR($B49="",W$5=""),0,COUNTIFS('Trade Log'!$A$6:$A$1005,"&gt;="&amp;$B49,'Trade Log'!$A$6:$A$1005,"&lt;="&amp;($B49+6),'Trade Log'!$AB$6:$AB$1005,W$5))</f>
        <v>0</v>
      </c>
      <c r="X49" s="109">
        <f>IF(OR($B49="",X$5=""),0,COUNTIFS('Trade Log'!$A$6:$A$1005,"&gt;="&amp;$B49,'Trade Log'!$A$6:$A$1005,"&lt;="&amp;($B49+6),'Trade Log'!$AB$6:$AB$1005,X$5))</f>
        <v>0</v>
      </c>
      <c r="Y49" s="109">
        <f>IF(OR($B49="",Y$5=""),0,COUNTIFS('Trade Log'!$A$6:$A$1005,"&gt;="&amp;$B49,'Trade Log'!$A$6:$A$1005,"&lt;="&amp;($B49+6),'Trade Log'!$AB$6:$AB$1005,Y$5))</f>
        <v>0</v>
      </c>
      <c r="Z49" s="109">
        <f>IF(OR($B49="",Z$5=""),0,COUNTIFS('Trade Log'!$A$6:$A$1005,"&gt;="&amp;$B49,'Trade Log'!$A$6:$A$1005,"&lt;="&amp;($B49+6),'Trade Log'!$AB$6:$AB$1005,Z$5))</f>
        <v>0</v>
      </c>
      <c r="AA49" s="109">
        <f>IF(OR($B49="",AA$5=""),0,COUNTIFS('Trade Log'!$A$6:$A$1005,"&gt;="&amp;$B49,'Trade Log'!$A$6:$A$1005,"&lt;="&amp;($B49+6),'Trade Log'!$AB$6:$AB$1005,AA$5))</f>
        <v>0</v>
      </c>
      <c r="AB49" s="109">
        <f>IF(OR($B49="",AB$5=""),0,COUNTIFS('Trade Log'!$A$6:$A$1005,"&gt;="&amp;$B49,'Trade Log'!$A$6:$A$1005,"&lt;="&amp;($B49+6),'Trade Log'!$AB$6:$AB$1005,AB$5))</f>
        <v>0</v>
      </c>
      <c r="AC49" s="113">
        <f>IF(OR($B49="",AC$5=""),0,SUMIFS('Trade Log'!$Q$6:$Q$1005,'Trade Log'!$A$6:$A$1005,"&gt;="&amp;$B49,'Trade Log'!$A$6:$A$1005,"&lt;="&amp;($B49+6),'Trade Log'!$AA$6:$AA$1005,AC$5))</f>
        <v>0</v>
      </c>
      <c r="AD49" s="113">
        <f>IF(OR($B49="",AD$5=""),0,SUMIFS('Trade Log'!$Q$6:$Q$1005,'Trade Log'!$A$6:$A$1005,"&gt;="&amp;$B49,'Trade Log'!$A$6:$A$1005,"&lt;="&amp;($B49+6),'Trade Log'!$AA$6:$AA$1005,AD$5))</f>
        <v>0</v>
      </c>
      <c r="AE49" s="113">
        <f>IF(OR($B49="",AE$5=""),0,SUMIFS('Trade Log'!$Q$6:$Q$1005,'Trade Log'!$A$6:$A$1005,"&gt;="&amp;$B49,'Trade Log'!$A$6:$A$1005,"&lt;="&amp;($B49+6),'Trade Log'!$AA$6:$AA$1005,AE$5))</f>
        <v>0</v>
      </c>
      <c r="AF49" s="113">
        <f>IF(OR($B49="",AF$5=""),0,SUMIFS('Trade Log'!$Q$6:$Q$1005,'Trade Log'!$A$6:$A$1005,"&gt;="&amp;$B49,'Trade Log'!$A$6:$A$1005,"&lt;="&amp;($B49+6),'Trade Log'!$AA$6:$AA$1005,AF$5))</f>
        <v>0</v>
      </c>
      <c r="AG49" s="113">
        <f>IF(OR($B49="",AG$5=""),0,SUMIFS('Trade Log'!$Q$6:$Q$1005,'Trade Log'!$A$6:$A$1005,"&gt;="&amp;$B49,'Trade Log'!$A$6:$A$1005,"&lt;="&amp;($B49+6),'Trade Log'!$AA$6:$AA$1005,AG$5))</f>
        <v>0</v>
      </c>
      <c r="AH49" s="113">
        <f>IF(OR($B49="",AH$5=""),0,SUMIFS('Trade Log'!$Q$6:$Q$1005,'Trade Log'!$A$6:$A$1005,"&gt;="&amp;$B49,'Trade Log'!$A$6:$A$1005,"&lt;="&amp;($B49+6),'Trade Log'!$AA$6:$AA$1005,AH$5))</f>
        <v>0</v>
      </c>
      <c r="AI49" s="113">
        <f>IF(OR($B49="",AI$5=""),0,SUMIFS('Trade Log'!$Q$6:$Q$1005,'Trade Log'!$A$6:$A$1005,"&gt;="&amp;$B49,'Trade Log'!$A$6:$A$1005,"&lt;="&amp;($B49+6),'Trade Log'!$AA$6:$AA$1005,AI$5))</f>
        <v>0</v>
      </c>
      <c r="AJ49" s="113">
        <f>IF(OR($B49="",AJ$5=""),0,SUMIFS('Trade Log'!$Q$6:$Q$1005,'Trade Log'!$A$6:$A$1005,"&gt;="&amp;$B49,'Trade Log'!$A$6:$A$1005,"&lt;="&amp;($B49+6),'Trade Log'!$AA$6:$AA$1005,AJ$5))</f>
        <v>0</v>
      </c>
      <c r="AK49" s="113">
        <f>IF(OR($B49="",AK$5=""),0,SUMIFS('Trade Log'!$Q$6:$Q$1005,'Trade Log'!$A$6:$A$1005,"&gt;="&amp;$B49,'Trade Log'!$A$6:$A$1005,"&lt;="&amp;($B49+6),'Trade Log'!$AA$6:$AA$1005,AK$5))</f>
        <v>0</v>
      </c>
      <c r="AL49" s="113">
        <f>IF(OR($B49="",AL$5=""),0,SUMIFS('Trade Log'!$Q$6:$Q$1005,'Trade Log'!$A$6:$A$1005,"&gt;="&amp;$B49,'Trade Log'!$A$6:$A$1005,"&lt;="&amp;($B49+6),'Trade Log'!$AA$6:$AA$1005,AL$5))</f>
        <v>0</v>
      </c>
      <c r="AM49" s="113">
        <f>IF(OR($B49="",AM$5=""),0,SUMIFS('Trade Log'!$Q$6:$Q$1005,'Trade Log'!$A$6:$A$1005,"&gt;="&amp;$B49,'Trade Log'!$A$6:$A$1005,"&lt;="&amp;($B49+6),'Trade Log'!$Y$6:$Y$1005,AM$5))</f>
        <v>0</v>
      </c>
      <c r="AN49" s="113">
        <f>IF(OR($B49="",AN$5=""),0,SUMIFS('Trade Log'!$Q$6:$Q$1005,'Trade Log'!$A$6:$A$1005,"&gt;="&amp;$B49,'Trade Log'!$A$6:$A$1005,"&lt;="&amp;($B49+6),'Trade Log'!$Y$6:$Y$1005,AN$5))</f>
        <v>0</v>
      </c>
      <c r="AO49" s="113">
        <f>IF(OR($B49="",AO$5=""),0,SUMIFS('Trade Log'!$Q$6:$Q$1005,'Trade Log'!$A$6:$A$1005,"&gt;="&amp;$B49,'Trade Log'!$A$6:$A$1005,"&lt;="&amp;($B49+6),'Trade Log'!$Y$6:$Y$1005,AO$5))</f>
        <v>0</v>
      </c>
      <c r="AP49" s="113">
        <f>IF(OR($B49="",AP$5=""),0,SUMIFS('Trade Log'!$Q$6:$Q$1005,'Trade Log'!$A$6:$A$1005,"&gt;="&amp;$B49,'Trade Log'!$A$6:$A$1005,"&lt;="&amp;($B49+6),'Trade Log'!$Y$6:$Y$1005,AP$5))</f>
        <v>0</v>
      </c>
      <c r="AQ49" s="113">
        <f>IF(OR($B49="",AQ$5=""),0,SUMIFS('Trade Log'!$Q$6:$Q$1005,'Trade Log'!$A$6:$A$1005,"&gt;="&amp;$B49,'Trade Log'!$A$6:$A$1005,"&lt;="&amp;($B49+6),'Trade Log'!$Y$6:$Y$1005,AQ$5))</f>
        <v>0</v>
      </c>
      <c r="AR49" s="113">
        <f>IF(OR($B49="",AR$5=""),0,SUMIFS('Trade Log'!$Q$6:$Q$1005,'Trade Log'!$A$6:$A$1005,"&gt;="&amp;$B49,'Trade Log'!$A$6:$A$1005,"&lt;="&amp;($B49+6),'Trade Log'!$Y$6:$Y$1005,AR$5))</f>
        <v>0</v>
      </c>
      <c r="AS49" s="113">
        <f>IF(OR($B49="",AS$5=""),0,SUMIFS('Trade Log'!$Q$6:$Q$1005,'Trade Log'!$A$6:$A$1005,"&gt;="&amp;$B49,'Trade Log'!$A$6:$A$1005,"&lt;="&amp;($B49+6),'Trade Log'!$Y$6:$Y$1005,AS$5))</f>
        <v>0</v>
      </c>
      <c r="AT49" s="113">
        <f>IF(OR($B49="",AT$5=""),0,SUMIFS('Trade Log'!$Q$6:$Q$1005,'Trade Log'!$A$6:$A$1005,"&gt;="&amp;$B49,'Trade Log'!$A$6:$A$1005,"&lt;="&amp;($B49+6),'Trade Log'!$Y$6:$Y$1005,AT$5))</f>
        <v>0</v>
      </c>
      <c r="AU49" s="113">
        <f>IF(OR($B49="",AU$5=""),0,SUMIFS('Trade Log'!$Q$6:$Q$1005,'Trade Log'!$A$6:$A$1005,"&gt;="&amp;$B49,'Trade Log'!$A$6:$A$1005,"&lt;="&amp;($B49+6),'Trade Log'!$Y$6:$Y$1005,AU$5))</f>
        <v>0</v>
      </c>
      <c r="AV49" s="113">
        <f>IF(OR($B49="",AV$5=""),0,SUMIFS('Trade Log'!$Q$6:$Q$1005,'Trade Log'!$A$6:$A$1005,"&gt;="&amp;$B49,'Trade Log'!$A$6:$A$1005,"&lt;="&amp;($B49+6),'Trade Log'!$Y$6:$Y$1005,AV$5))</f>
        <v>0</v>
      </c>
    </row>
    <row r="50">
      <c r="B50" s="107">
        <f>IF($B49="","",$B49+7)</f>
        <v>46594</v>
      </c>
      <c r="C50" s="96">
        <f>IF($B50="","",COUNTIFS('Trade Log'!$A$6:$A$1005,"&gt;="&amp;$B50,'Trade Log'!$A$6:$A$1005,"&lt;="&amp;($B50+6),'Trade Log'!$BH$6:$BH$1005,1))</f>
        <v>0</v>
      </c>
      <c r="D50" s="98" t="str">
        <f>IF(OR($B50="",N($C50)=0),"",SUMIFS('Trade Log'!$Q$6:$Q$1005,'Trade Log'!$A$6:$A$1005,"&gt;="&amp;$B50,'Trade Log'!$A$6:$A$1005,"&lt;="&amp;($B50+6)))</f>
        <v/>
      </c>
      <c r="E50" s="99" t="str">
        <f>IF(OR($B50="",N($C50)=0),"",IFERROR(COUNTIFS('Trade Log'!$A$6:$A$1005,"&gt;="&amp;$B50,'Trade Log'!$A$6:$A$1005,"&lt;="&amp;($B50+6),'Trade Log'!$S$6:$S$1005,"Win")/(COUNTIFS('Trade Log'!$A$6:$A$1005,"&gt;="&amp;$B50,'Trade Log'!$A$6:$A$1005,"&lt;="&amp;($B50+6),'Trade Log'!$S$6:$S$1005,"Win")+COUNTIFS('Trade Log'!$A$6:$A$1005,"&gt;="&amp;$B50,'Trade Log'!$A$6:$A$1005,"&lt;="&amp;($B50+6),'Trade Log'!$S$6:$S$1005,"Loss")),"—"))</f>
        <v/>
      </c>
      <c r="F50" s="104" t="str">
        <f>IF(OR($B50="",N($C50)=0),"",IFERROR(SUMIFS('Trade Log'!$R$6:$R$1005,'Trade Log'!$A$6:$A$1005,"&gt;="&amp;$B50,'Trade Log'!$A$6:$A$1005,"&lt;="&amp;($B50+6))/COUNTIFS('Trade Log'!$A$6:$A$1005,"&gt;="&amp;$B50,'Trade Log'!$A$6:$A$1005,"&lt;="&amp;($B50+6),'Trade Log'!$BC$6:$BC$1005,1),"—"))</f>
        <v/>
      </c>
      <c r="G50" s="110" t="str">
        <f>IF(OR($B50="",N($C50)=0),"",IF(SUMIFS('Trade Log'!$Q$6:$Q$1005,'Trade Log'!$A$6:$A$1005,"&gt;="&amp;$B50,'Trade Log'!$A$6:$A$1005,"&lt;="&amp;($B50+6),'Trade Log'!$Q$6:$Q$1005,"&lt;0")=0,IF(SUMIFS('Trade Log'!$Q$6:$Q$1005,'Trade Log'!$A$6:$A$1005,"&gt;="&amp;$B50,'Trade Log'!$A$6:$A$1005,"&lt;="&amp;($B50+6),'Trade Log'!$Q$6:$Q$1005,"&gt;0")&gt;0,"No losses","—"),SUMIFS('Trade Log'!$Q$6:$Q$1005,'Trade Log'!$A$6:$A$1005,"&gt;="&amp;$B50,'Trade Log'!$A$6:$A$1005,"&lt;="&amp;($B50+6),'Trade Log'!$Q$6:$Q$1005,"&gt;0")/-SUMIFS('Trade Log'!$Q$6:$Q$1005,'Trade Log'!$A$6:$A$1005,"&gt;="&amp;$B50,'Trade Log'!$A$6:$A$1005,"&lt;="&amp;($B50+6),'Trade Log'!$Q$6:$Q$1005,"&lt;0")))</f>
        <v/>
      </c>
      <c r="H50" s="99" t="str">
        <f>IF(OR($B50="",N($C50)=0),"",IFERROR(COUNTIFS('Trade Log'!$A$6:$A$1005,"&gt;="&amp;$B50,'Trade Log'!$A$6:$A$1005,"&lt;="&amp;($B50+6),'Trade Log'!$Z$6:$Z$1005,"Yes")/(COUNTIFS('Trade Log'!$A$6:$A$1005,"&gt;="&amp;$B50,'Trade Log'!$A$6:$A$1005,"&lt;="&amp;($B50+6),'Trade Log'!$Z$6:$Z$1005,"Yes")+COUNTIFS('Trade Log'!$A$6:$A$1005,"&gt;="&amp;$B50,'Trade Log'!$A$6:$A$1005,"&lt;="&amp;($B50+6),'Trade Log'!$Z$6:$Z$1005,"No")),"—"))</f>
        <v/>
      </c>
      <c r="I50" s="111" t="str">
        <f>IF(OR($B50="",N($C50)=0),"",IF(MAX($Q50:$AB50)=0,"None — clean week",INDEX($Q$5:$AB$5,MATCH(MAX($Q50:$AB50),$Q50:$AB50,0))))</f>
        <v/>
      </c>
      <c r="J50" s="111" t="str">
        <f>IF(OR($B50="",N($C50)=0),"",IF(MIN($AC50:$AL50)&gt;=0,"None lost money",INDEX($AC$5:$AL$5,MATCH(MIN($AC50:$AL50),$AC50:$AL50,0))))</f>
        <v/>
      </c>
      <c r="K50" s="111" t="str">
        <f>IF(OR($B50="",N($C50)=0),"",IF(MAX($AM50:$AV50)&lt;=0,"None made money",INDEX($AM$5:$AV$5,MATCH(MAX($AM50:$AV50),$AM50:$AV50,0))))</f>
        <v/>
      </c>
      <c r="L50" s="106" t="n"/>
      <c r="M50" s="106" t="n"/>
      <c r="N50" s="112" t="n"/>
      <c r="O50" s="29" t="n"/>
      <c r="Q50" s="109">
        <f>IF(OR($B50="",Q$5=""),0,COUNTIFS('Trade Log'!$A$6:$A$1005,"&gt;="&amp;$B50,'Trade Log'!$A$6:$A$1005,"&lt;="&amp;($B50+6),'Trade Log'!$AB$6:$AB$1005,Q$5))</f>
        <v>0</v>
      </c>
      <c r="R50" s="109">
        <f>IF(OR($B50="",R$5=""),0,COUNTIFS('Trade Log'!$A$6:$A$1005,"&gt;="&amp;$B50,'Trade Log'!$A$6:$A$1005,"&lt;="&amp;($B50+6),'Trade Log'!$AB$6:$AB$1005,R$5))</f>
        <v>0</v>
      </c>
      <c r="S50" s="109">
        <f>IF(OR($B50="",S$5=""),0,COUNTIFS('Trade Log'!$A$6:$A$1005,"&gt;="&amp;$B50,'Trade Log'!$A$6:$A$1005,"&lt;="&amp;($B50+6),'Trade Log'!$AB$6:$AB$1005,S$5))</f>
        <v>0</v>
      </c>
      <c r="T50" s="109">
        <f>IF(OR($B50="",T$5=""),0,COUNTIFS('Trade Log'!$A$6:$A$1005,"&gt;="&amp;$B50,'Trade Log'!$A$6:$A$1005,"&lt;="&amp;($B50+6),'Trade Log'!$AB$6:$AB$1005,T$5))</f>
        <v>0</v>
      </c>
      <c r="U50" s="109">
        <f>IF(OR($B50="",U$5=""),0,COUNTIFS('Trade Log'!$A$6:$A$1005,"&gt;="&amp;$B50,'Trade Log'!$A$6:$A$1005,"&lt;="&amp;($B50+6),'Trade Log'!$AB$6:$AB$1005,U$5))</f>
        <v>0</v>
      </c>
      <c r="V50" s="109">
        <f>IF(OR($B50="",V$5=""),0,COUNTIFS('Trade Log'!$A$6:$A$1005,"&gt;="&amp;$B50,'Trade Log'!$A$6:$A$1005,"&lt;="&amp;($B50+6),'Trade Log'!$AB$6:$AB$1005,V$5))</f>
        <v>0</v>
      </c>
      <c r="W50" s="109">
        <f>IF(OR($B50="",W$5=""),0,COUNTIFS('Trade Log'!$A$6:$A$1005,"&gt;="&amp;$B50,'Trade Log'!$A$6:$A$1005,"&lt;="&amp;($B50+6),'Trade Log'!$AB$6:$AB$1005,W$5))</f>
        <v>0</v>
      </c>
      <c r="X50" s="109">
        <f>IF(OR($B50="",X$5=""),0,COUNTIFS('Trade Log'!$A$6:$A$1005,"&gt;="&amp;$B50,'Trade Log'!$A$6:$A$1005,"&lt;="&amp;($B50+6),'Trade Log'!$AB$6:$AB$1005,X$5))</f>
        <v>0</v>
      </c>
      <c r="Y50" s="109">
        <f>IF(OR($B50="",Y$5=""),0,COUNTIFS('Trade Log'!$A$6:$A$1005,"&gt;="&amp;$B50,'Trade Log'!$A$6:$A$1005,"&lt;="&amp;($B50+6),'Trade Log'!$AB$6:$AB$1005,Y$5))</f>
        <v>0</v>
      </c>
      <c r="Z50" s="109">
        <f>IF(OR($B50="",Z$5=""),0,COUNTIFS('Trade Log'!$A$6:$A$1005,"&gt;="&amp;$B50,'Trade Log'!$A$6:$A$1005,"&lt;="&amp;($B50+6),'Trade Log'!$AB$6:$AB$1005,Z$5))</f>
        <v>0</v>
      </c>
      <c r="AA50" s="109">
        <f>IF(OR($B50="",AA$5=""),0,COUNTIFS('Trade Log'!$A$6:$A$1005,"&gt;="&amp;$B50,'Trade Log'!$A$6:$A$1005,"&lt;="&amp;($B50+6),'Trade Log'!$AB$6:$AB$1005,AA$5))</f>
        <v>0</v>
      </c>
      <c r="AB50" s="109">
        <f>IF(OR($B50="",AB$5=""),0,COUNTIFS('Trade Log'!$A$6:$A$1005,"&gt;="&amp;$B50,'Trade Log'!$A$6:$A$1005,"&lt;="&amp;($B50+6),'Trade Log'!$AB$6:$AB$1005,AB$5))</f>
        <v>0</v>
      </c>
      <c r="AC50" s="113">
        <f>IF(OR($B50="",AC$5=""),0,SUMIFS('Trade Log'!$Q$6:$Q$1005,'Trade Log'!$A$6:$A$1005,"&gt;="&amp;$B50,'Trade Log'!$A$6:$A$1005,"&lt;="&amp;($B50+6),'Trade Log'!$AA$6:$AA$1005,AC$5))</f>
        <v>0</v>
      </c>
      <c r="AD50" s="113">
        <f>IF(OR($B50="",AD$5=""),0,SUMIFS('Trade Log'!$Q$6:$Q$1005,'Trade Log'!$A$6:$A$1005,"&gt;="&amp;$B50,'Trade Log'!$A$6:$A$1005,"&lt;="&amp;($B50+6),'Trade Log'!$AA$6:$AA$1005,AD$5))</f>
        <v>0</v>
      </c>
      <c r="AE50" s="113">
        <f>IF(OR($B50="",AE$5=""),0,SUMIFS('Trade Log'!$Q$6:$Q$1005,'Trade Log'!$A$6:$A$1005,"&gt;="&amp;$B50,'Trade Log'!$A$6:$A$1005,"&lt;="&amp;($B50+6),'Trade Log'!$AA$6:$AA$1005,AE$5))</f>
        <v>0</v>
      </c>
      <c r="AF50" s="113">
        <f>IF(OR($B50="",AF$5=""),0,SUMIFS('Trade Log'!$Q$6:$Q$1005,'Trade Log'!$A$6:$A$1005,"&gt;="&amp;$B50,'Trade Log'!$A$6:$A$1005,"&lt;="&amp;($B50+6),'Trade Log'!$AA$6:$AA$1005,AF$5))</f>
        <v>0</v>
      </c>
      <c r="AG50" s="113">
        <f>IF(OR($B50="",AG$5=""),0,SUMIFS('Trade Log'!$Q$6:$Q$1005,'Trade Log'!$A$6:$A$1005,"&gt;="&amp;$B50,'Trade Log'!$A$6:$A$1005,"&lt;="&amp;($B50+6),'Trade Log'!$AA$6:$AA$1005,AG$5))</f>
        <v>0</v>
      </c>
      <c r="AH50" s="113">
        <f>IF(OR($B50="",AH$5=""),0,SUMIFS('Trade Log'!$Q$6:$Q$1005,'Trade Log'!$A$6:$A$1005,"&gt;="&amp;$B50,'Trade Log'!$A$6:$A$1005,"&lt;="&amp;($B50+6),'Trade Log'!$AA$6:$AA$1005,AH$5))</f>
        <v>0</v>
      </c>
      <c r="AI50" s="113">
        <f>IF(OR($B50="",AI$5=""),0,SUMIFS('Trade Log'!$Q$6:$Q$1005,'Trade Log'!$A$6:$A$1005,"&gt;="&amp;$B50,'Trade Log'!$A$6:$A$1005,"&lt;="&amp;($B50+6),'Trade Log'!$AA$6:$AA$1005,AI$5))</f>
        <v>0</v>
      </c>
      <c r="AJ50" s="113">
        <f>IF(OR($B50="",AJ$5=""),0,SUMIFS('Trade Log'!$Q$6:$Q$1005,'Trade Log'!$A$6:$A$1005,"&gt;="&amp;$B50,'Trade Log'!$A$6:$A$1005,"&lt;="&amp;($B50+6),'Trade Log'!$AA$6:$AA$1005,AJ$5))</f>
        <v>0</v>
      </c>
      <c r="AK50" s="113">
        <f>IF(OR($B50="",AK$5=""),0,SUMIFS('Trade Log'!$Q$6:$Q$1005,'Trade Log'!$A$6:$A$1005,"&gt;="&amp;$B50,'Trade Log'!$A$6:$A$1005,"&lt;="&amp;($B50+6),'Trade Log'!$AA$6:$AA$1005,AK$5))</f>
        <v>0</v>
      </c>
      <c r="AL50" s="113">
        <f>IF(OR($B50="",AL$5=""),0,SUMIFS('Trade Log'!$Q$6:$Q$1005,'Trade Log'!$A$6:$A$1005,"&gt;="&amp;$B50,'Trade Log'!$A$6:$A$1005,"&lt;="&amp;($B50+6),'Trade Log'!$AA$6:$AA$1005,AL$5))</f>
        <v>0</v>
      </c>
      <c r="AM50" s="113">
        <f>IF(OR($B50="",AM$5=""),0,SUMIFS('Trade Log'!$Q$6:$Q$1005,'Trade Log'!$A$6:$A$1005,"&gt;="&amp;$B50,'Trade Log'!$A$6:$A$1005,"&lt;="&amp;($B50+6),'Trade Log'!$Y$6:$Y$1005,AM$5))</f>
        <v>0</v>
      </c>
      <c r="AN50" s="113">
        <f>IF(OR($B50="",AN$5=""),0,SUMIFS('Trade Log'!$Q$6:$Q$1005,'Trade Log'!$A$6:$A$1005,"&gt;="&amp;$B50,'Trade Log'!$A$6:$A$1005,"&lt;="&amp;($B50+6),'Trade Log'!$Y$6:$Y$1005,AN$5))</f>
        <v>0</v>
      </c>
      <c r="AO50" s="113">
        <f>IF(OR($B50="",AO$5=""),0,SUMIFS('Trade Log'!$Q$6:$Q$1005,'Trade Log'!$A$6:$A$1005,"&gt;="&amp;$B50,'Trade Log'!$A$6:$A$1005,"&lt;="&amp;($B50+6),'Trade Log'!$Y$6:$Y$1005,AO$5))</f>
        <v>0</v>
      </c>
      <c r="AP50" s="113">
        <f>IF(OR($B50="",AP$5=""),0,SUMIFS('Trade Log'!$Q$6:$Q$1005,'Trade Log'!$A$6:$A$1005,"&gt;="&amp;$B50,'Trade Log'!$A$6:$A$1005,"&lt;="&amp;($B50+6),'Trade Log'!$Y$6:$Y$1005,AP$5))</f>
        <v>0</v>
      </c>
      <c r="AQ50" s="113">
        <f>IF(OR($B50="",AQ$5=""),0,SUMIFS('Trade Log'!$Q$6:$Q$1005,'Trade Log'!$A$6:$A$1005,"&gt;="&amp;$B50,'Trade Log'!$A$6:$A$1005,"&lt;="&amp;($B50+6),'Trade Log'!$Y$6:$Y$1005,AQ$5))</f>
        <v>0</v>
      </c>
      <c r="AR50" s="113">
        <f>IF(OR($B50="",AR$5=""),0,SUMIFS('Trade Log'!$Q$6:$Q$1005,'Trade Log'!$A$6:$A$1005,"&gt;="&amp;$B50,'Trade Log'!$A$6:$A$1005,"&lt;="&amp;($B50+6),'Trade Log'!$Y$6:$Y$1005,AR$5))</f>
        <v>0</v>
      </c>
      <c r="AS50" s="113">
        <f>IF(OR($B50="",AS$5=""),0,SUMIFS('Trade Log'!$Q$6:$Q$1005,'Trade Log'!$A$6:$A$1005,"&gt;="&amp;$B50,'Trade Log'!$A$6:$A$1005,"&lt;="&amp;($B50+6),'Trade Log'!$Y$6:$Y$1005,AS$5))</f>
        <v>0</v>
      </c>
      <c r="AT50" s="113">
        <f>IF(OR($B50="",AT$5=""),0,SUMIFS('Trade Log'!$Q$6:$Q$1005,'Trade Log'!$A$6:$A$1005,"&gt;="&amp;$B50,'Trade Log'!$A$6:$A$1005,"&lt;="&amp;($B50+6),'Trade Log'!$Y$6:$Y$1005,AT$5))</f>
        <v>0</v>
      </c>
      <c r="AU50" s="113">
        <f>IF(OR($B50="",AU$5=""),0,SUMIFS('Trade Log'!$Q$6:$Q$1005,'Trade Log'!$A$6:$A$1005,"&gt;="&amp;$B50,'Trade Log'!$A$6:$A$1005,"&lt;="&amp;($B50+6),'Trade Log'!$Y$6:$Y$1005,AU$5))</f>
        <v>0</v>
      </c>
      <c r="AV50" s="113">
        <f>IF(OR($B50="",AV$5=""),0,SUMIFS('Trade Log'!$Q$6:$Q$1005,'Trade Log'!$A$6:$A$1005,"&gt;="&amp;$B50,'Trade Log'!$A$6:$A$1005,"&lt;="&amp;($B50+6),'Trade Log'!$Y$6:$Y$1005,AV$5))</f>
        <v>0</v>
      </c>
    </row>
    <row r="51">
      <c r="B51" s="107">
        <f>IF($B50="","",$B50+7)</f>
        <v>46601</v>
      </c>
      <c r="C51" s="96">
        <f>IF($B51="","",COUNTIFS('Trade Log'!$A$6:$A$1005,"&gt;="&amp;$B51,'Trade Log'!$A$6:$A$1005,"&lt;="&amp;($B51+6),'Trade Log'!$BH$6:$BH$1005,1))</f>
        <v>0</v>
      </c>
      <c r="D51" s="98" t="str">
        <f>IF(OR($B51="",N($C51)=0),"",SUMIFS('Trade Log'!$Q$6:$Q$1005,'Trade Log'!$A$6:$A$1005,"&gt;="&amp;$B51,'Trade Log'!$A$6:$A$1005,"&lt;="&amp;($B51+6)))</f>
        <v/>
      </c>
      <c r="E51" s="99" t="str">
        <f>IF(OR($B51="",N($C51)=0),"",IFERROR(COUNTIFS('Trade Log'!$A$6:$A$1005,"&gt;="&amp;$B51,'Trade Log'!$A$6:$A$1005,"&lt;="&amp;($B51+6),'Trade Log'!$S$6:$S$1005,"Win")/(COUNTIFS('Trade Log'!$A$6:$A$1005,"&gt;="&amp;$B51,'Trade Log'!$A$6:$A$1005,"&lt;="&amp;($B51+6),'Trade Log'!$S$6:$S$1005,"Win")+COUNTIFS('Trade Log'!$A$6:$A$1005,"&gt;="&amp;$B51,'Trade Log'!$A$6:$A$1005,"&lt;="&amp;($B51+6),'Trade Log'!$S$6:$S$1005,"Loss")),"—"))</f>
        <v/>
      </c>
      <c r="F51" s="104" t="str">
        <f>IF(OR($B51="",N($C51)=0),"",IFERROR(SUMIFS('Trade Log'!$R$6:$R$1005,'Trade Log'!$A$6:$A$1005,"&gt;="&amp;$B51,'Trade Log'!$A$6:$A$1005,"&lt;="&amp;($B51+6))/COUNTIFS('Trade Log'!$A$6:$A$1005,"&gt;="&amp;$B51,'Trade Log'!$A$6:$A$1005,"&lt;="&amp;($B51+6),'Trade Log'!$BC$6:$BC$1005,1),"—"))</f>
        <v/>
      </c>
      <c r="G51" s="110" t="str">
        <f>IF(OR($B51="",N($C51)=0),"",IF(SUMIFS('Trade Log'!$Q$6:$Q$1005,'Trade Log'!$A$6:$A$1005,"&gt;="&amp;$B51,'Trade Log'!$A$6:$A$1005,"&lt;="&amp;($B51+6),'Trade Log'!$Q$6:$Q$1005,"&lt;0")=0,IF(SUMIFS('Trade Log'!$Q$6:$Q$1005,'Trade Log'!$A$6:$A$1005,"&gt;="&amp;$B51,'Trade Log'!$A$6:$A$1005,"&lt;="&amp;($B51+6),'Trade Log'!$Q$6:$Q$1005,"&gt;0")&gt;0,"No losses","—"),SUMIFS('Trade Log'!$Q$6:$Q$1005,'Trade Log'!$A$6:$A$1005,"&gt;="&amp;$B51,'Trade Log'!$A$6:$A$1005,"&lt;="&amp;($B51+6),'Trade Log'!$Q$6:$Q$1005,"&gt;0")/-SUMIFS('Trade Log'!$Q$6:$Q$1005,'Trade Log'!$A$6:$A$1005,"&gt;="&amp;$B51,'Trade Log'!$A$6:$A$1005,"&lt;="&amp;($B51+6),'Trade Log'!$Q$6:$Q$1005,"&lt;0")))</f>
        <v/>
      </c>
      <c r="H51" s="99" t="str">
        <f>IF(OR($B51="",N($C51)=0),"",IFERROR(COUNTIFS('Trade Log'!$A$6:$A$1005,"&gt;="&amp;$B51,'Trade Log'!$A$6:$A$1005,"&lt;="&amp;($B51+6),'Trade Log'!$Z$6:$Z$1005,"Yes")/(COUNTIFS('Trade Log'!$A$6:$A$1005,"&gt;="&amp;$B51,'Trade Log'!$A$6:$A$1005,"&lt;="&amp;($B51+6),'Trade Log'!$Z$6:$Z$1005,"Yes")+COUNTIFS('Trade Log'!$A$6:$A$1005,"&gt;="&amp;$B51,'Trade Log'!$A$6:$A$1005,"&lt;="&amp;($B51+6),'Trade Log'!$Z$6:$Z$1005,"No")),"—"))</f>
        <v/>
      </c>
      <c r="I51" s="111" t="str">
        <f>IF(OR($B51="",N($C51)=0),"",IF(MAX($Q51:$AB51)=0,"None — clean week",INDEX($Q$5:$AB$5,MATCH(MAX($Q51:$AB51),$Q51:$AB51,0))))</f>
        <v/>
      </c>
      <c r="J51" s="111" t="str">
        <f>IF(OR($B51="",N($C51)=0),"",IF(MIN($AC51:$AL51)&gt;=0,"None lost money",INDEX($AC$5:$AL$5,MATCH(MIN($AC51:$AL51),$AC51:$AL51,0))))</f>
        <v/>
      </c>
      <c r="K51" s="111" t="str">
        <f>IF(OR($B51="",N($C51)=0),"",IF(MAX($AM51:$AV51)&lt;=0,"None made money",INDEX($AM$5:$AV$5,MATCH(MAX($AM51:$AV51),$AM51:$AV51,0))))</f>
        <v/>
      </c>
      <c r="L51" s="106" t="n"/>
      <c r="M51" s="106" t="n"/>
      <c r="N51" s="112" t="n"/>
      <c r="O51" s="29" t="n"/>
      <c r="Q51" s="109">
        <f>IF(OR($B51="",Q$5=""),0,COUNTIFS('Trade Log'!$A$6:$A$1005,"&gt;="&amp;$B51,'Trade Log'!$A$6:$A$1005,"&lt;="&amp;($B51+6),'Trade Log'!$AB$6:$AB$1005,Q$5))</f>
        <v>0</v>
      </c>
      <c r="R51" s="109">
        <f>IF(OR($B51="",R$5=""),0,COUNTIFS('Trade Log'!$A$6:$A$1005,"&gt;="&amp;$B51,'Trade Log'!$A$6:$A$1005,"&lt;="&amp;($B51+6),'Trade Log'!$AB$6:$AB$1005,R$5))</f>
        <v>0</v>
      </c>
      <c r="S51" s="109">
        <f>IF(OR($B51="",S$5=""),0,COUNTIFS('Trade Log'!$A$6:$A$1005,"&gt;="&amp;$B51,'Trade Log'!$A$6:$A$1005,"&lt;="&amp;($B51+6),'Trade Log'!$AB$6:$AB$1005,S$5))</f>
        <v>0</v>
      </c>
      <c r="T51" s="109">
        <f>IF(OR($B51="",T$5=""),0,COUNTIFS('Trade Log'!$A$6:$A$1005,"&gt;="&amp;$B51,'Trade Log'!$A$6:$A$1005,"&lt;="&amp;($B51+6),'Trade Log'!$AB$6:$AB$1005,T$5))</f>
        <v>0</v>
      </c>
      <c r="U51" s="109">
        <f>IF(OR($B51="",U$5=""),0,COUNTIFS('Trade Log'!$A$6:$A$1005,"&gt;="&amp;$B51,'Trade Log'!$A$6:$A$1005,"&lt;="&amp;($B51+6),'Trade Log'!$AB$6:$AB$1005,U$5))</f>
        <v>0</v>
      </c>
      <c r="V51" s="109">
        <f>IF(OR($B51="",V$5=""),0,COUNTIFS('Trade Log'!$A$6:$A$1005,"&gt;="&amp;$B51,'Trade Log'!$A$6:$A$1005,"&lt;="&amp;($B51+6),'Trade Log'!$AB$6:$AB$1005,V$5))</f>
        <v>0</v>
      </c>
      <c r="W51" s="109">
        <f>IF(OR($B51="",W$5=""),0,COUNTIFS('Trade Log'!$A$6:$A$1005,"&gt;="&amp;$B51,'Trade Log'!$A$6:$A$1005,"&lt;="&amp;($B51+6),'Trade Log'!$AB$6:$AB$1005,W$5))</f>
        <v>0</v>
      </c>
      <c r="X51" s="109">
        <f>IF(OR($B51="",X$5=""),0,COUNTIFS('Trade Log'!$A$6:$A$1005,"&gt;="&amp;$B51,'Trade Log'!$A$6:$A$1005,"&lt;="&amp;($B51+6),'Trade Log'!$AB$6:$AB$1005,X$5))</f>
        <v>0</v>
      </c>
      <c r="Y51" s="109">
        <f>IF(OR($B51="",Y$5=""),0,COUNTIFS('Trade Log'!$A$6:$A$1005,"&gt;="&amp;$B51,'Trade Log'!$A$6:$A$1005,"&lt;="&amp;($B51+6),'Trade Log'!$AB$6:$AB$1005,Y$5))</f>
        <v>0</v>
      </c>
      <c r="Z51" s="109">
        <f>IF(OR($B51="",Z$5=""),0,COUNTIFS('Trade Log'!$A$6:$A$1005,"&gt;="&amp;$B51,'Trade Log'!$A$6:$A$1005,"&lt;="&amp;($B51+6),'Trade Log'!$AB$6:$AB$1005,Z$5))</f>
        <v>0</v>
      </c>
      <c r="AA51" s="109">
        <f>IF(OR($B51="",AA$5=""),0,COUNTIFS('Trade Log'!$A$6:$A$1005,"&gt;="&amp;$B51,'Trade Log'!$A$6:$A$1005,"&lt;="&amp;($B51+6),'Trade Log'!$AB$6:$AB$1005,AA$5))</f>
        <v>0</v>
      </c>
      <c r="AB51" s="109">
        <f>IF(OR($B51="",AB$5=""),0,COUNTIFS('Trade Log'!$A$6:$A$1005,"&gt;="&amp;$B51,'Trade Log'!$A$6:$A$1005,"&lt;="&amp;($B51+6),'Trade Log'!$AB$6:$AB$1005,AB$5))</f>
        <v>0</v>
      </c>
      <c r="AC51" s="113">
        <f>IF(OR($B51="",AC$5=""),0,SUMIFS('Trade Log'!$Q$6:$Q$1005,'Trade Log'!$A$6:$A$1005,"&gt;="&amp;$B51,'Trade Log'!$A$6:$A$1005,"&lt;="&amp;($B51+6),'Trade Log'!$AA$6:$AA$1005,AC$5))</f>
        <v>0</v>
      </c>
      <c r="AD51" s="113">
        <f>IF(OR($B51="",AD$5=""),0,SUMIFS('Trade Log'!$Q$6:$Q$1005,'Trade Log'!$A$6:$A$1005,"&gt;="&amp;$B51,'Trade Log'!$A$6:$A$1005,"&lt;="&amp;($B51+6),'Trade Log'!$AA$6:$AA$1005,AD$5))</f>
        <v>0</v>
      </c>
      <c r="AE51" s="113">
        <f>IF(OR($B51="",AE$5=""),0,SUMIFS('Trade Log'!$Q$6:$Q$1005,'Trade Log'!$A$6:$A$1005,"&gt;="&amp;$B51,'Trade Log'!$A$6:$A$1005,"&lt;="&amp;($B51+6),'Trade Log'!$AA$6:$AA$1005,AE$5))</f>
        <v>0</v>
      </c>
      <c r="AF51" s="113">
        <f>IF(OR($B51="",AF$5=""),0,SUMIFS('Trade Log'!$Q$6:$Q$1005,'Trade Log'!$A$6:$A$1005,"&gt;="&amp;$B51,'Trade Log'!$A$6:$A$1005,"&lt;="&amp;($B51+6),'Trade Log'!$AA$6:$AA$1005,AF$5))</f>
        <v>0</v>
      </c>
      <c r="AG51" s="113">
        <f>IF(OR($B51="",AG$5=""),0,SUMIFS('Trade Log'!$Q$6:$Q$1005,'Trade Log'!$A$6:$A$1005,"&gt;="&amp;$B51,'Trade Log'!$A$6:$A$1005,"&lt;="&amp;($B51+6),'Trade Log'!$AA$6:$AA$1005,AG$5))</f>
        <v>0</v>
      </c>
      <c r="AH51" s="113">
        <f>IF(OR($B51="",AH$5=""),0,SUMIFS('Trade Log'!$Q$6:$Q$1005,'Trade Log'!$A$6:$A$1005,"&gt;="&amp;$B51,'Trade Log'!$A$6:$A$1005,"&lt;="&amp;($B51+6),'Trade Log'!$AA$6:$AA$1005,AH$5))</f>
        <v>0</v>
      </c>
      <c r="AI51" s="113">
        <f>IF(OR($B51="",AI$5=""),0,SUMIFS('Trade Log'!$Q$6:$Q$1005,'Trade Log'!$A$6:$A$1005,"&gt;="&amp;$B51,'Trade Log'!$A$6:$A$1005,"&lt;="&amp;($B51+6),'Trade Log'!$AA$6:$AA$1005,AI$5))</f>
        <v>0</v>
      </c>
      <c r="AJ51" s="113">
        <f>IF(OR($B51="",AJ$5=""),0,SUMIFS('Trade Log'!$Q$6:$Q$1005,'Trade Log'!$A$6:$A$1005,"&gt;="&amp;$B51,'Trade Log'!$A$6:$A$1005,"&lt;="&amp;($B51+6),'Trade Log'!$AA$6:$AA$1005,AJ$5))</f>
        <v>0</v>
      </c>
      <c r="AK51" s="113">
        <f>IF(OR($B51="",AK$5=""),0,SUMIFS('Trade Log'!$Q$6:$Q$1005,'Trade Log'!$A$6:$A$1005,"&gt;="&amp;$B51,'Trade Log'!$A$6:$A$1005,"&lt;="&amp;($B51+6),'Trade Log'!$AA$6:$AA$1005,AK$5))</f>
        <v>0</v>
      </c>
      <c r="AL51" s="113">
        <f>IF(OR($B51="",AL$5=""),0,SUMIFS('Trade Log'!$Q$6:$Q$1005,'Trade Log'!$A$6:$A$1005,"&gt;="&amp;$B51,'Trade Log'!$A$6:$A$1005,"&lt;="&amp;($B51+6),'Trade Log'!$AA$6:$AA$1005,AL$5))</f>
        <v>0</v>
      </c>
      <c r="AM51" s="113">
        <f>IF(OR($B51="",AM$5=""),0,SUMIFS('Trade Log'!$Q$6:$Q$1005,'Trade Log'!$A$6:$A$1005,"&gt;="&amp;$B51,'Trade Log'!$A$6:$A$1005,"&lt;="&amp;($B51+6),'Trade Log'!$Y$6:$Y$1005,AM$5))</f>
        <v>0</v>
      </c>
      <c r="AN51" s="113">
        <f>IF(OR($B51="",AN$5=""),0,SUMIFS('Trade Log'!$Q$6:$Q$1005,'Trade Log'!$A$6:$A$1005,"&gt;="&amp;$B51,'Trade Log'!$A$6:$A$1005,"&lt;="&amp;($B51+6),'Trade Log'!$Y$6:$Y$1005,AN$5))</f>
        <v>0</v>
      </c>
      <c r="AO51" s="113">
        <f>IF(OR($B51="",AO$5=""),0,SUMIFS('Trade Log'!$Q$6:$Q$1005,'Trade Log'!$A$6:$A$1005,"&gt;="&amp;$B51,'Trade Log'!$A$6:$A$1005,"&lt;="&amp;($B51+6),'Trade Log'!$Y$6:$Y$1005,AO$5))</f>
        <v>0</v>
      </c>
      <c r="AP51" s="113">
        <f>IF(OR($B51="",AP$5=""),0,SUMIFS('Trade Log'!$Q$6:$Q$1005,'Trade Log'!$A$6:$A$1005,"&gt;="&amp;$B51,'Trade Log'!$A$6:$A$1005,"&lt;="&amp;($B51+6),'Trade Log'!$Y$6:$Y$1005,AP$5))</f>
        <v>0</v>
      </c>
      <c r="AQ51" s="113">
        <f>IF(OR($B51="",AQ$5=""),0,SUMIFS('Trade Log'!$Q$6:$Q$1005,'Trade Log'!$A$6:$A$1005,"&gt;="&amp;$B51,'Trade Log'!$A$6:$A$1005,"&lt;="&amp;($B51+6),'Trade Log'!$Y$6:$Y$1005,AQ$5))</f>
        <v>0</v>
      </c>
      <c r="AR51" s="113">
        <f>IF(OR($B51="",AR$5=""),0,SUMIFS('Trade Log'!$Q$6:$Q$1005,'Trade Log'!$A$6:$A$1005,"&gt;="&amp;$B51,'Trade Log'!$A$6:$A$1005,"&lt;="&amp;($B51+6),'Trade Log'!$Y$6:$Y$1005,AR$5))</f>
        <v>0</v>
      </c>
      <c r="AS51" s="113">
        <f>IF(OR($B51="",AS$5=""),0,SUMIFS('Trade Log'!$Q$6:$Q$1005,'Trade Log'!$A$6:$A$1005,"&gt;="&amp;$B51,'Trade Log'!$A$6:$A$1005,"&lt;="&amp;($B51+6),'Trade Log'!$Y$6:$Y$1005,AS$5))</f>
        <v>0</v>
      </c>
      <c r="AT51" s="113">
        <f>IF(OR($B51="",AT$5=""),0,SUMIFS('Trade Log'!$Q$6:$Q$1005,'Trade Log'!$A$6:$A$1005,"&gt;="&amp;$B51,'Trade Log'!$A$6:$A$1005,"&lt;="&amp;($B51+6),'Trade Log'!$Y$6:$Y$1005,AT$5))</f>
        <v>0</v>
      </c>
      <c r="AU51" s="113">
        <f>IF(OR($B51="",AU$5=""),0,SUMIFS('Trade Log'!$Q$6:$Q$1005,'Trade Log'!$A$6:$A$1005,"&gt;="&amp;$B51,'Trade Log'!$A$6:$A$1005,"&lt;="&amp;($B51+6),'Trade Log'!$Y$6:$Y$1005,AU$5))</f>
        <v>0</v>
      </c>
      <c r="AV51" s="113">
        <f>IF(OR($B51="",AV$5=""),0,SUMIFS('Trade Log'!$Q$6:$Q$1005,'Trade Log'!$A$6:$A$1005,"&gt;="&amp;$B51,'Trade Log'!$A$6:$A$1005,"&lt;="&amp;($B51+6),'Trade Log'!$Y$6:$Y$1005,AV$5))</f>
        <v>0</v>
      </c>
    </row>
    <row r="52">
      <c r="B52" s="107">
        <f>IF($B51="","",$B51+7)</f>
        <v>46608</v>
      </c>
      <c r="C52" s="96">
        <f>IF($B52="","",COUNTIFS('Trade Log'!$A$6:$A$1005,"&gt;="&amp;$B52,'Trade Log'!$A$6:$A$1005,"&lt;="&amp;($B52+6),'Trade Log'!$BH$6:$BH$1005,1))</f>
        <v>0</v>
      </c>
      <c r="D52" s="98" t="str">
        <f>IF(OR($B52="",N($C52)=0),"",SUMIFS('Trade Log'!$Q$6:$Q$1005,'Trade Log'!$A$6:$A$1005,"&gt;="&amp;$B52,'Trade Log'!$A$6:$A$1005,"&lt;="&amp;($B52+6)))</f>
        <v/>
      </c>
      <c r="E52" s="99" t="str">
        <f>IF(OR($B52="",N($C52)=0),"",IFERROR(COUNTIFS('Trade Log'!$A$6:$A$1005,"&gt;="&amp;$B52,'Trade Log'!$A$6:$A$1005,"&lt;="&amp;($B52+6),'Trade Log'!$S$6:$S$1005,"Win")/(COUNTIFS('Trade Log'!$A$6:$A$1005,"&gt;="&amp;$B52,'Trade Log'!$A$6:$A$1005,"&lt;="&amp;($B52+6),'Trade Log'!$S$6:$S$1005,"Win")+COUNTIFS('Trade Log'!$A$6:$A$1005,"&gt;="&amp;$B52,'Trade Log'!$A$6:$A$1005,"&lt;="&amp;($B52+6),'Trade Log'!$S$6:$S$1005,"Loss")),"—"))</f>
        <v/>
      </c>
      <c r="F52" s="104" t="str">
        <f>IF(OR($B52="",N($C52)=0),"",IFERROR(SUMIFS('Trade Log'!$R$6:$R$1005,'Trade Log'!$A$6:$A$1005,"&gt;="&amp;$B52,'Trade Log'!$A$6:$A$1005,"&lt;="&amp;($B52+6))/COUNTIFS('Trade Log'!$A$6:$A$1005,"&gt;="&amp;$B52,'Trade Log'!$A$6:$A$1005,"&lt;="&amp;($B52+6),'Trade Log'!$BC$6:$BC$1005,1),"—"))</f>
        <v/>
      </c>
      <c r="G52" s="110" t="str">
        <f>IF(OR($B52="",N($C52)=0),"",IF(SUMIFS('Trade Log'!$Q$6:$Q$1005,'Trade Log'!$A$6:$A$1005,"&gt;="&amp;$B52,'Trade Log'!$A$6:$A$1005,"&lt;="&amp;($B52+6),'Trade Log'!$Q$6:$Q$1005,"&lt;0")=0,IF(SUMIFS('Trade Log'!$Q$6:$Q$1005,'Trade Log'!$A$6:$A$1005,"&gt;="&amp;$B52,'Trade Log'!$A$6:$A$1005,"&lt;="&amp;($B52+6),'Trade Log'!$Q$6:$Q$1005,"&gt;0")&gt;0,"No losses","—"),SUMIFS('Trade Log'!$Q$6:$Q$1005,'Trade Log'!$A$6:$A$1005,"&gt;="&amp;$B52,'Trade Log'!$A$6:$A$1005,"&lt;="&amp;($B52+6),'Trade Log'!$Q$6:$Q$1005,"&gt;0")/-SUMIFS('Trade Log'!$Q$6:$Q$1005,'Trade Log'!$A$6:$A$1005,"&gt;="&amp;$B52,'Trade Log'!$A$6:$A$1005,"&lt;="&amp;($B52+6),'Trade Log'!$Q$6:$Q$1005,"&lt;0")))</f>
        <v/>
      </c>
      <c r="H52" s="99" t="str">
        <f>IF(OR($B52="",N($C52)=0),"",IFERROR(COUNTIFS('Trade Log'!$A$6:$A$1005,"&gt;="&amp;$B52,'Trade Log'!$A$6:$A$1005,"&lt;="&amp;($B52+6),'Trade Log'!$Z$6:$Z$1005,"Yes")/(COUNTIFS('Trade Log'!$A$6:$A$1005,"&gt;="&amp;$B52,'Trade Log'!$A$6:$A$1005,"&lt;="&amp;($B52+6),'Trade Log'!$Z$6:$Z$1005,"Yes")+COUNTIFS('Trade Log'!$A$6:$A$1005,"&gt;="&amp;$B52,'Trade Log'!$A$6:$A$1005,"&lt;="&amp;($B52+6),'Trade Log'!$Z$6:$Z$1005,"No")),"—"))</f>
        <v/>
      </c>
      <c r="I52" s="111" t="str">
        <f>IF(OR($B52="",N($C52)=0),"",IF(MAX($Q52:$AB52)=0,"None — clean week",INDEX($Q$5:$AB$5,MATCH(MAX($Q52:$AB52),$Q52:$AB52,0))))</f>
        <v/>
      </c>
      <c r="J52" s="111" t="str">
        <f>IF(OR($B52="",N($C52)=0),"",IF(MIN($AC52:$AL52)&gt;=0,"None lost money",INDEX($AC$5:$AL$5,MATCH(MIN($AC52:$AL52),$AC52:$AL52,0))))</f>
        <v/>
      </c>
      <c r="K52" s="111" t="str">
        <f>IF(OR($B52="",N($C52)=0),"",IF(MAX($AM52:$AV52)&lt;=0,"None made money",INDEX($AM$5:$AV$5,MATCH(MAX($AM52:$AV52),$AM52:$AV52,0))))</f>
        <v/>
      </c>
      <c r="L52" s="106" t="n"/>
      <c r="M52" s="106" t="n"/>
      <c r="N52" s="112" t="n"/>
      <c r="O52" s="29" t="n"/>
      <c r="Q52" s="109">
        <f>IF(OR($B52="",Q$5=""),0,COUNTIFS('Trade Log'!$A$6:$A$1005,"&gt;="&amp;$B52,'Trade Log'!$A$6:$A$1005,"&lt;="&amp;($B52+6),'Trade Log'!$AB$6:$AB$1005,Q$5))</f>
        <v>0</v>
      </c>
      <c r="R52" s="109">
        <f>IF(OR($B52="",R$5=""),0,COUNTIFS('Trade Log'!$A$6:$A$1005,"&gt;="&amp;$B52,'Trade Log'!$A$6:$A$1005,"&lt;="&amp;($B52+6),'Trade Log'!$AB$6:$AB$1005,R$5))</f>
        <v>0</v>
      </c>
      <c r="S52" s="109">
        <f>IF(OR($B52="",S$5=""),0,COUNTIFS('Trade Log'!$A$6:$A$1005,"&gt;="&amp;$B52,'Trade Log'!$A$6:$A$1005,"&lt;="&amp;($B52+6),'Trade Log'!$AB$6:$AB$1005,S$5))</f>
        <v>0</v>
      </c>
      <c r="T52" s="109">
        <f>IF(OR($B52="",T$5=""),0,COUNTIFS('Trade Log'!$A$6:$A$1005,"&gt;="&amp;$B52,'Trade Log'!$A$6:$A$1005,"&lt;="&amp;($B52+6),'Trade Log'!$AB$6:$AB$1005,T$5))</f>
        <v>0</v>
      </c>
      <c r="U52" s="109">
        <f>IF(OR($B52="",U$5=""),0,COUNTIFS('Trade Log'!$A$6:$A$1005,"&gt;="&amp;$B52,'Trade Log'!$A$6:$A$1005,"&lt;="&amp;($B52+6),'Trade Log'!$AB$6:$AB$1005,U$5))</f>
        <v>0</v>
      </c>
      <c r="V52" s="109">
        <f>IF(OR($B52="",V$5=""),0,COUNTIFS('Trade Log'!$A$6:$A$1005,"&gt;="&amp;$B52,'Trade Log'!$A$6:$A$1005,"&lt;="&amp;($B52+6),'Trade Log'!$AB$6:$AB$1005,V$5))</f>
        <v>0</v>
      </c>
      <c r="W52" s="109">
        <f>IF(OR($B52="",W$5=""),0,COUNTIFS('Trade Log'!$A$6:$A$1005,"&gt;="&amp;$B52,'Trade Log'!$A$6:$A$1005,"&lt;="&amp;($B52+6),'Trade Log'!$AB$6:$AB$1005,W$5))</f>
        <v>0</v>
      </c>
      <c r="X52" s="109">
        <f>IF(OR($B52="",X$5=""),0,COUNTIFS('Trade Log'!$A$6:$A$1005,"&gt;="&amp;$B52,'Trade Log'!$A$6:$A$1005,"&lt;="&amp;($B52+6),'Trade Log'!$AB$6:$AB$1005,X$5))</f>
        <v>0</v>
      </c>
      <c r="Y52" s="109">
        <f>IF(OR($B52="",Y$5=""),0,COUNTIFS('Trade Log'!$A$6:$A$1005,"&gt;="&amp;$B52,'Trade Log'!$A$6:$A$1005,"&lt;="&amp;($B52+6),'Trade Log'!$AB$6:$AB$1005,Y$5))</f>
        <v>0</v>
      </c>
      <c r="Z52" s="109">
        <f>IF(OR($B52="",Z$5=""),0,COUNTIFS('Trade Log'!$A$6:$A$1005,"&gt;="&amp;$B52,'Trade Log'!$A$6:$A$1005,"&lt;="&amp;($B52+6),'Trade Log'!$AB$6:$AB$1005,Z$5))</f>
        <v>0</v>
      </c>
      <c r="AA52" s="109">
        <f>IF(OR($B52="",AA$5=""),0,COUNTIFS('Trade Log'!$A$6:$A$1005,"&gt;="&amp;$B52,'Trade Log'!$A$6:$A$1005,"&lt;="&amp;($B52+6),'Trade Log'!$AB$6:$AB$1005,AA$5))</f>
        <v>0</v>
      </c>
      <c r="AB52" s="109">
        <f>IF(OR($B52="",AB$5=""),0,COUNTIFS('Trade Log'!$A$6:$A$1005,"&gt;="&amp;$B52,'Trade Log'!$A$6:$A$1005,"&lt;="&amp;($B52+6),'Trade Log'!$AB$6:$AB$1005,AB$5))</f>
        <v>0</v>
      </c>
      <c r="AC52" s="113">
        <f>IF(OR($B52="",AC$5=""),0,SUMIFS('Trade Log'!$Q$6:$Q$1005,'Trade Log'!$A$6:$A$1005,"&gt;="&amp;$B52,'Trade Log'!$A$6:$A$1005,"&lt;="&amp;($B52+6),'Trade Log'!$AA$6:$AA$1005,AC$5))</f>
        <v>0</v>
      </c>
      <c r="AD52" s="113">
        <f>IF(OR($B52="",AD$5=""),0,SUMIFS('Trade Log'!$Q$6:$Q$1005,'Trade Log'!$A$6:$A$1005,"&gt;="&amp;$B52,'Trade Log'!$A$6:$A$1005,"&lt;="&amp;($B52+6),'Trade Log'!$AA$6:$AA$1005,AD$5))</f>
        <v>0</v>
      </c>
      <c r="AE52" s="113">
        <f>IF(OR($B52="",AE$5=""),0,SUMIFS('Trade Log'!$Q$6:$Q$1005,'Trade Log'!$A$6:$A$1005,"&gt;="&amp;$B52,'Trade Log'!$A$6:$A$1005,"&lt;="&amp;($B52+6),'Trade Log'!$AA$6:$AA$1005,AE$5))</f>
        <v>0</v>
      </c>
      <c r="AF52" s="113">
        <f>IF(OR($B52="",AF$5=""),0,SUMIFS('Trade Log'!$Q$6:$Q$1005,'Trade Log'!$A$6:$A$1005,"&gt;="&amp;$B52,'Trade Log'!$A$6:$A$1005,"&lt;="&amp;($B52+6),'Trade Log'!$AA$6:$AA$1005,AF$5))</f>
        <v>0</v>
      </c>
      <c r="AG52" s="113">
        <f>IF(OR($B52="",AG$5=""),0,SUMIFS('Trade Log'!$Q$6:$Q$1005,'Trade Log'!$A$6:$A$1005,"&gt;="&amp;$B52,'Trade Log'!$A$6:$A$1005,"&lt;="&amp;($B52+6),'Trade Log'!$AA$6:$AA$1005,AG$5))</f>
        <v>0</v>
      </c>
      <c r="AH52" s="113">
        <f>IF(OR($B52="",AH$5=""),0,SUMIFS('Trade Log'!$Q$6:$Q$1005,'Trade Log'!$A$6:$A$1005,"&gt;="&amp;$B52,'Trade Log'!$A$6:$A$1005,"&lt;="&amp;($B52+6),'Trade Log'!$AA$6:$AA$1005,AH$5))</f>
        <v>0</v>
      </c>
      <c r="AI52" s="113">
        <f>IF(OR($B52="",AI$5=""),0,SUMIFS('Trade Log'!$Q$6:$Q$1005,'Trade Log'!$A$6:$A$1005,"&gt;="&amp;$B52,'Trade Log'!$A$6:$A$1005,"&lt;="&amp;($B52+6),'Trade Log'!$AA$6:$AA$1005,AI$5))</f>
        <v>0</v>
      </c>
      <c r="AJ52" s="113">
        <f>IF(OR($B52="",AJ$5=""),0,SUMIFS('Trade Log'!$Q$6:$Q$1005,'Trade Log'!$A$6:$A$1005,"&gt;="&amp;$B52,'Trade Log'!$A$6:$A$1005,"&lt;="&amp;($B52+6),'Trade Log'!$AA$6:$AA$1005,AJ$5))</f>
        <v>0</v>
      </c>
      <c r="AK52" s="113">
        <f>IF(OR($B52="",AK$5=""),0,SUMIFS('Trade Log'!$Q$6:$Q$1005,'Trade Log'!$A$6:$A$1005,"&gt;="&amp;$B52,'Trade Log'!$A$6:$A$1005,"&lt;="&amp;($B52+6),'Trade Log'!$AA$6:$AA$1005,AK$5))</f>
        <v>0</v>
      </c>
      <c r="AL52" s="113">
        <f>IF(OR($B52="",AL$5=""),0,SUMIFS('Trade Log'!$Q$6:$Q$1005,'Trade Log'!$A$6:$A$1005,"&gt;="&amp;$B52,'Trade Log'!$A$6:$A$1005,"&lt;="&amp;($B52+6),'Trade Log'!$AA$6:$AA$1005,AL$5))</f>
        <v>0</v>
      </c>
      <c r="AM52" s="113">
        <f>IF(OR($B52="",AM$5=""),0,SUMIFS('Trade Log'!$Q$6:$Q$1005,'Trade Log'!$A$6:$A$1005,"&gt;="&amp;$B52,'Trade Log'!$A$6:$A$1005,"&lt;="&amp;($B52+6),'Trade Log'!$Y$6:$Y$1005,AM$5))</f>
        <v>0</v>
      </c>
      <c r="AN52" s="113">
        <f>IF(OR($B52="",AN$5=""),0,SUMIFS('Trade Log'!$Q$6:$Q$1005,'Trade Log'!$A$6:$A$1005,"&gt;="&amp;$B52,'Trade Log'!$A$6:$A$1005,"&lt;="&amp;($B52+6),'Trade Log'!$Y$6:$Y$1005,AN$5))</f>
        <v>0</v>
      </c>
      <c r="AO52" s="113">
        <f>IF(OR($B52="",AO$5=""),0,SUMIFS('Trade Log'!$Q$6:$Q$1005,'Trade Log'!$A$6:$A$1005,"&gt;="&amp;$B52,'Trade Log'!$A$6:$A$1005,"&lt;="&amp;($B52+6),'Trade Log'!$Y$6:$Y$1005,AO$5))</f>
        <v>0</v>
      </c>
      <c r="AP52" s="113">
        <f>IF(OR($B52="",AP$5=""),0,SUMIFS('Trade Log'!$Q$6:$Q$1005,'Trade Log'!$A$6:$A$1005,"&gt;="&amp;$B52,'Trade Log'!$A$6:$A$1005,"&lt;="&amp;($B52+6),'Trade Log'!$Y$6:$Y$1005,AP$5))</f>
        <v>0</v>
      </c>
      <c r="AQ52" s="113">
        <f>IF(OR($B52="",AQ$5=""),0,SUMIFS('Trade Log'!$Q$6:$Q$1005,'Trade Log'!$A$6:$A$1005,"&gt;="&amp;$B52,'Trade Log'!$A$6:$A$1005,"&lt;="&amp;($B52+6),'Trade Log'!$Y$6:$Y$1005,AQ$5))</f>
        <v>0</v>
      </c>
      <c r="AR52" s="113">
        <f>IF(OR($B52="",AR$5=""),0,SUMIFS('Trade Log'!$Q$6:$Q$1005,'Trade Log'!$A$6:$A$1005,"&gt;="&amp;$B52,'Trade Log'!$A$6:$A$1005,"&lt;="&amp;($B52+6),'Trade Log'!$Y$6:$Y$1005,AR$5))</f>
        <v>0</v>
      </c>
      <c r="AS52" s="113">
        <f>IF(OR($B52="",AS$5=""),0,SUMIFS('Trade Log'!$Q$6:$Q$1005,'Trade Log'!$A$6:$A$1005,"&gt;="&amp;$B52,'Trade Log'!$A$6:$A$1005,"&lt;="&amp;($B52+6),'Trade Log'!$Y$6:$Y$1005,AS$5))</f>
        <v>0</v>
      </c>
      <c r="AT52" s="113">
        <f>IF(OR($B52="",AT$5=""),0,SUMIFS('Trade Log'!$Q$6:$Q$1005,'Trade Log'!$A$6:$A$1005,"&gt;="&amp;$B52,'Trade Log'!$A$6:$A$1005,"&lt;="&amp;($B52+6),'Trade Log'!$Y$6:$Y$1005,AT$5))</f>
        <v>0</v>
      </c>
      <c r="AU52" s="113">
        <f>IF(OR($B52="",AU$5=""),0,SUMIFS('Trade Log'!$Q$6:$Q$1005,'Trade Log'!$A$6:$A$1005,"&gt;="&amp;$B52,'Trade Log'!$A$6:$A$1005,"&lt;="&amp;($B52+6),'Trade Log'!$Y$6:$Y$1005,AU$5))</f>
        <v>0</v>
      </c>
      <c r="AV52" s="113">
        <f>IF(OR($B52="",AV$5=""),0,SUMIFS('Trade Log'!$Q$6:$Q$1005,'Trade Log'!$A$6:$A$1005,"&gt;="&amp;$B52,'Trade Log'!$A$6:$A$1005,"&lt;="&amp;($B52+6),'Trade Log'!$Y$6:$Y$1005,AV$5))</f>
        <v>0</v>
      </c>
    </row>
    <row r="53">
      <c r="B53" s="107">
        <f>IF($B52="","",$B52+7)</f>
        <v>46615</v>
      </c>
      <c r="C53" s="96">
        <f>IF($B53="","",COUNTIFS('Trade Log'!$A$6:$A$1005,"&gt;="&amp;$B53,'Trade Log'!$A$6:$A$1005,"&lt;="&amp;($B53+6),'Trade Log'!$BH$6:$BH$1005,1))</f>
        <v>0</v>
      </c>
      <c r="D53" s="98" t="str">
        <f>IF(OR($B53="",N($C53)=0),"",SUMIFS('Trade Log'!$Q$6:$Q$1005,'Trade Log'!$A$6:$A$1005,"&gt;="&amp;$B53,'Trade Log'!$A$6:$A$1005,"&lt;="&amp;($B53+6)))</f>
        <v/>
      </c>
      <c r="E53" s="99" t="str">
        <f>IF(OR($B53="",N($C53)=0),"",IFERROR(COUNTIFS('Trade Log'!$A$6:$A$1005,"&gt;="&amp;$B53,'Trade Log'!$A$6:$A$1005,"&lt;="&amp;($B53+6),'Trade Log'!$S$6:$S$1005,"Win")/(COUNTIFS('Trade Log'!$A$6:$A$1005,"&gt;="&amp;$B53,'Trade Log'!$A$6:$A$1005,"&lt;="&amp;($B53+6),'Trade Log'!$S$6:$S$1005,"Win")+COUNTIFS('Trade Log'!$A$6:$A$1005,"&gt;="&amp;$B53,'Trade Log'!$A$6:$A$1005,"&lt;="&amp;($B53+6),'Trade Log'!$S$6:$S$1005,"Loss")),"—"))</f>
        <v/>
      </c>
      <c r="F53" s="104" t="str">
        <f>IF(OR($B53="",N($C53)=0),"",IFERROR(SUMIFS('Trade Log'!$R$6:$R$1005,'Trade Log'!$A$6:$A$1005,"&gt;="&amp;$B53,'Trade Log'!$A$6:$A$1005,"&lt;="&amp;($B53+6))/COUNTIFS('Trade Log'!$A$6:$A$1005,"&gt;="&amp;$B53,'Trade Log'!$A$6:$A$1005,"&lt;="&amp;($B53+6),'Trade Log'!$BC$6:$BC$1005,1),"—"))</f>
        <v/>
      </c>
      <c r="G53" s="110" t="str">
        <f>IF(OR($B53="",N($C53)=0),"",IF(SUMIFS('Trade Log'!$Q$6:$Q$1005,'Trade Log'!$A$6:$A$1005,"&gt;="&amp;$B53,'Trade Log'!$A$6:$A$1005,"&lt;="&amp;($B53+6),'Trade Log'!$Q$6:$Q$1005,"&lt;0")=0,IF(SUMIFS('Trade Log'!$Q$6:$Q$1005,'Trade Log'!$A$6:$A$1005,"&gt;="&amp;$B53,'Trade Log'!$A$6:$A$1005,"&lt;="&amp;($B53+6),'Trade Log'!$Q$6:$Q$1005,"&gt;0")&gt;0,"No losses","—"),SUMIFS('Trade Log'!$Q$6:$Q$1005,'Trade Log'!$A$6:$A$1005,"&gt;="&amp;$B53,'Trade Log'!$A$6:$A$1005,"&lt;="&amp;($B53+6),'Trade Log'!$Q$6:$Q$1005,"&gt;0")/-SUMIFS('Trade Log'!$Q$6:$Q$1005,'Trade Log'!$A$6:$A$1005,"&gt;="&amp;$B53,'Trade Log'!$A$6:$A$1005,"&lt;="&amp;($B53+6),'Trade Log'!$Q$6:$Q$1005,"&lt;0")))</f>
        <v/>
      </c>
      <c r="H53" s="99" t="str">
        <f>IF(OR($B53="",N($C53)=0),"",IFERROR(COUNTIFS('Trade Log'!$A$6:$A$1005,"&gt;="&amp;$B53,'Trade Log'!$A$6:$A$1005,"&lt;="&amp;($B53+6),'Trade Log'!$Z$6:$Z$1005,"Yes")/(COUNTIFS('Trade Log'!$A$6:$A$1005,"&gt;="&amp;$B53,'Trade Log'!$A$6:$A$1005,"&lt;="&amp;($B53+6),'Trade Log'!$Z$6:$Z$1005,"Yes")+COUNTIFS('Trade Log'!$A$6:$A$1005,"&gt;="&amp;$B53,'Trade Log'!$A$6:$A$1005,"&lt;="&amp;($B53+6),'Trade Log'!$Z$6:$Z$1005,"No")),"—"))</f>
        <v/>
      </c>
      <c r="I53" s="111" t="str">
        <f>IF(OR($B53="",N($C53)=0),"",IF(MAX($Q53:$AB53)=0,"None — clean week",INDEX($Q$5:$AB$5,MATCH(MAX($Q53:$AB53),$Q53:$AB53,0))))</f>
        <v/>
      </c>
      <c r="J53" s="111" t="str">
        <f>IF(OR($B53="",N($C53)=0),"",IF(MIN($AC53:$AL53)&gt;=0,"None lost money",INDEX($AC$5:$AL$5,MATCH(MIN($AC53:$AL53),$AC53:$AL53,0))))</f>
        <v/>
      </c>
      <c r="K53" s="111" t="str">
        <f>IF(OR($B53="",N($C53)=0),"",IF(MAX($AM53:$AV53)&lt;=0,"None made money",INDEX($AM$5:$AV$5,MATCH(MAX($AM53:$AV53),$AM53:$AV53,0))))</f>
        <v/>
      </c>
      <c r="L53" s="106" t="n"/>
      <c r="M53" s="106" t="n"/>
      <c r="N53" s="112" t="n"/>
      <c r="O53" s="29" t="n"/>
      <c r="Q53" s="109">
        <f>IF(OR($B53="",Q$5=""),0,COUNTIFS('Trade Log'!$A$6:$A$1005,"&gt;="&amp;$B53,'Trade Log'!$A$6:$A$1005,"&lt;="&amp;($B53+6),'Trade Log'!$AB$6:$AB$1005,Q$5))</f>
        <v>0</v>
      </c>
      <c r="R53" s="109">
        <f>IF(OR($B53="",R$5=""),0,COUNTIFS('Trade Log'!$A$6:$A$1005,"&gt;="&amp;$B53,'Trade Log'!$A$6:$A$1005,"&lt;="&amp;($B53+6),'Trade Log'!$AB$6:$AB$1005,R$5))</f>
        <v>0</v>
      </c>
      <c r="S53" s="109">
        <f>IF(OR($B53="",S$5=""),0,COUNTIFS('Trade Log'!$A$6:$A$1005,"&gt;="&amp;$B53,'Trade Log'!$A$6:$A$1005,"&lt;="&amp;($B53+6),'Trade Log'!$AB$6:$AB$1005,S$5))</f>
        <v>0</v>
      </c>
      <c r="T53" s="109">
        <f>IF(OR($B53="",T$5=""),0,COUNTIFS('Trade Log'!$A$6:$A$1005,"&gt;="&amp;$B53,'Trade Log'!$A$6:$A$1005,"&lt;="&amp;($B53+6),'Trade Log'!$AB$6:$AB$1005,T$5))</f>
        <v>0</v>
      </c>
      <c r="U53" s="109">
        <f>IF(OR($B53="",U$5=""),0,COUNTIFS('Trade Log'!$A$6:$A$1005,"&gt;="&amp;$B53,'Trade Log'!$A$6:$A$1005,"&lt;="&amp;($B53+6),'Trade Log'!$AB$6:$AB$1005,U$5))</f>
        <v>0</v>
      </c>
      <c r="V53" s="109">
        <f>IF(OR($B53="",V$5=""),0,COUNTIFS('Trade Log'!$A$6:$A$1005,"&gt;="&amp;$B53,'Trade Log'!$A$6:$A$1005,"&lt;="&amp;($B53+6),'Trade Log'!$AB$6:$AB$1005,V$5))</f>
        <v>0</v>
      </c>
      <c r="W53" s="109">
        <f>IF(OR($B53="",W$5=""),0,COUNTIFS('Trade Log'!$A$6:$A$1005,"&gt;="&amp;$B53,'Trade Log'!$A$6:$A$1005,"&lt;="&amp;($B53+6),'Trade Log'!$AB$6:$AB$1005,W$5))</f>
        <v>0</v>
      </c>
      <c r="X53" s="109">
        <f>IF(OR($B53="",X$5=""),0,COUNTIFS('Trade Log'!$A$6:$A$1005,"&gt;="&amp;$B53,'Trade Log'!$A$6:$A$1005,"&lt;="&amp;($B53+6),'Trade Log'!$AB$6:$AB$1005,X$5))</f>
        <v>0</v>
      </c>
      <c r="Y53" s="109">
        <f>IF(OR($B53="",Y$5=""),0,COUNTIFS('Trade Log'!$A$6:$A$1005,"&gt;="&amp;$B53,'Trade Log'!$A$6:$A$1005,"&lt;="&amp;($B53+6),'Trade Log'!$AB$6:$AB$1005,Y$5))</f>
        <v>0</v>
      </c>
      <c r="Z53" s="109">
        <f>IF(OR($B53="",Z$5=""),0,COUNTIFS('Trade Log'!$A$6:$A$1005,"&gt;="&amp;$B53,'Trade Log'!$A$6:$A$1005,"&lt;="&amp;($B53+6),'Trade Log'!$AB$6:$AB$1005,Z$5))</f>
        <v>0</v>
      </c>
      <c r="AA53" s="109">
        <f>IF(OR($B53="",AA$5=""),0,COUNTIFS('Trade Log'!$A$6:$A$1005,"&gt;="&amp;$B53,'Trade Log'!$A$6:$A$1005,"&lt;="&amp;($B53+6),'Trade Log'!$AB$6:$AB$1005,AA$5))</f>
        <v>0</v>
      </c>
      <c r="AB53" s="109">
        <f>IF(OR($B53="",AB$5=""),0,COUNTIFS('Trade Log'!$A$6:$A$1005,"&gt;="&amp;$B53,'Trade Log'!$A$6:$A$1005,"&lt;="&amp;($B53+6),'Trade Log'!$AB$6:$AB$1005,AB$5))</f>
        <v>0</v>
      </c>
      <c r="AC53" s="113">
        <f>IF(OR($B53="",AC$5=""),0,SUMIFS('Trade Log'!$Q$6:$Q$1005,'Trade Log'!$A$6:$A$1005,"&gt;="&amp;$B53,'Trade Log'!$A$6:$A$1005,"&lt;="&amp;($B53+6),'Trade Log'!$AA$6:$AA$1005,AC$5))</f>
        <v>0</v>
      </c>
      <c r="AD53" s="113">
        <f>IF(OR($B53="",AD$5=""),0,SUMIFS('Trade Log'!$Q$6:$Q$1005,'Trade Log'!$A$6:$A$1005,"&gt;="&amp;$B53,'Trade Log'!$A$6:$A$1005,"&lt;="&amp;($B53+6),'Trade Log'!$AA$6:$AA$1005,AD$5))</f>
        <v>0</v>
      </c>
      <c r="AE53" s="113">
        <f>IF(OR($B53="",AE$5=""),0,SUMIFS('Trade Log'!$Q$6:$Q$1005,'Trade Log'!$A$6:$A$1005,"&gt;="&amp;$B53,'Trade Log'!$A$6:$A$1005,"&lt;="&amp;($B53+6),'Trade Log'!$AA$6:$AA$1005,AE$5))</f>
        <v>0</v>
      </c>
      <c r="AF53" s="113">
        <f>IF(OR($B53="",AF$5=""),0,SUMIFS('Trade Log'!$Q$6:$Q$1005,'Trade Log'!$A$6:$A$1005,"&gt;="&amp;$B53,'Trade Log'!$A$6:$A$1005,"&lt;="&amp;($B53+6),'Trade Log'!$AA$6:$AA$1005,AF$5))</f>
        <v>0</v>
      </c>
      <c r="AG53" s="113">
        <f>IF(OR($B53="",AG$5=""),0,SUMIFS('Trade Log'!$Q$6:$Q$1005,'Trade Log'!$A$6:$A$1005,"&gt;="&amp;$B53,'Trade Log'!$A$6:$A$1005,"&lt;="&amp;($B53+6),'Trade Log'!$AA$6:$AA$1005,AG$5))</f>
        <v>0</v>
      </c>
      <c r="AH53" s="113">
        <f>IF(OR($B53="",AH$5=""),0,SUMIFS('Trade Log'!$Q$6:$Q$1005,'Trade Log'!$A$6:$A$1005,"&gt;="&amp;$B53,'Trade Log'!$A$6:$A$1005,"&lt;="&amp;($B53+6),'Trade Log'!$AA$6:$AA$1005,AH$5))</f>
        <v>0</v>
      </c>
      <c r="AI53" s="113">
        <f>IF(OR($B53="",AI$5=""),0,SUMIFS('Trade Log'!$Q$6:$Q$1005,'Trade Log'!$A$6:$A$1005,"&gt;="&amp;$B53,'Trade Log'!$A$6:$A$1005,"&lt;="&amp;($B53+6),'Trade Log'!$AA$6:$AA$1005,AI$5))</f>
        <v>0</v>
      </c>
      <c r="AJ53" s="113">
        <f>IF(OR($B53="",AJ$5=""),0,SUMIFS('Trade Log'!$Q$6:$Q$1005,'Trade Log'!$A$6:$A$1005,"&gt;="&amp;$B53,'Trade Log'!$A$6:$A$1005,"&lt;="&amp;($B53+6),'Trade Log'!$AA$6:$AA$1005,AJ$5))</f>
        <v>0</v>
      </c>
      <c r="AK53" s="113">
        <f>IF(OR($B53="",AK$5=""),0,SUMIFS('Trade Log'!$Q$6:$Q$1005,'Trade Log'!$A$6:$A$1005,"&gt;="&amp;$B53,'Trade Log'!$A$6:$A$1005,"&lt;="&amp;($B53+6),'Trade Log'!$AA$6:$AA$1005,AK$5))</f>
        <v>0</v>
      </c>
      <c r="AL53" s="113">
        <f>IF(OR($B53="",AL$5=""),0,SUMIFS('Trade Log'!$Q$6:$Q$1005,'Trade Log'!$A$6:$A$1005,"&gt;="&amp;$B53,'Trade Log'!$A$6:$A$1005,"&lt;="&amp;($B53+6),'Trade Log'!$AA$6:$AA$1005,AL$5))</f>
        <v>0</v>
      </c>
      <c r="AM53" s="113">
        <f>IF(OR($B53="",AM$5=""),0,SUMIFS('Trade Log'!$Q$6:$Q$1005,'Trade Log'!$A$6:$A$1005,"&gt;="&amp;$B53,'Trade Log'!$A$6:$A$1005,"&lt;="&amp;($B53+6),'Trade Log'!$Y$6:$Y$1005,AM$5))</f>
        <v>0</v>
      </c>
      <c r="AN53" s="113">
        <f>IF(OR($B53="",AN$5=""),0,SUMIFS('Trade Log'!$Q$6:$Q$1005,'Trade Log'!$A$6:$A$1005,"&gt;="&amp;$B53,'Trade Log'!$A$6:$A$1005,"&lt;="&amp;($B53+6),'Trade Log'!$Y$6:$Y$1005,AN$5))</f>
        <v>0</v>
      </c>
      <c r="AO53" s="113">
        <f>IF(OR($B53="",AO$5=""),0,SUMIFS('Trade Log'!$Q$6:$Q$1005,'Trade Log'!$A$6:$A$1005,"&gt;="&amp;$B53,'Trade Log'!$A$6:$A$1005,"&lt;="&amp;($B53+6),'Trade Log'!$Y$6:$Y$1005,AO$5))</f>
        <v>0</v>
      </c>
      <c r="AP53" s="113">
        <f>IF(OR($B53="",AP$5=""),0,SUMIFS('Trade Log'!$Q$6:$Q$1005,'Trade Log'!$A$6:$A$1005,"&gt;="&amp;$B53,'Trade Log'!$A$6:$A$1005,"&lt;="&amp;($B53+6),'Trade Log'!$Y$6:$Y$1005,AP$5))</f>
        <v>0</v>
      </c>
      <c r="AQ53" s="113">
        <f>IF(OR($B53="",AQ$5=""),0,SUMIFS('Trade Log'!$Q$6:$Q$1005,'Trade Log'!$A$6:$A$1005,"&gt;="&amp;$B53,'Trade Log'!$A$6:$A$1005,"&lt;="&amp;($B53+6),'Trade Log'!$Y$6:$Y$1005,AQ$5))</f>
        <v>0</v>
      </c>
      <c r="AR53" s="113">
        <f>IF(OR($B53="",AR$5=""),0,SUMIFS('Trade Log'!$Q$6:$Q$1005,'Trade Log'!$A$6:$A$1005,"&gt;="&amp;$B53,'Trade Log'!$A$6:$A$1005,"&lt;="&amp;($B53+6),'Trade Log'!$Y$6:$Y$1005,AR$5))</f>
        <v>0</v>
      </c>
      <c r="AS53" s="113">
        <f>IF(OR($B53="",AS$5=""),0,SUMIFS('Trade Log'!$Q$6:$Q$1005,'Trade Log'!$A$6:$A$1005,"&gt;="&amp;$B53,'Trade Log'!$A$6:$A$1005,"&lt;="&amp;($B53+6),'Trade Log'!$Y$6:$Y$1005,AS$5))</f>
        <v>0</v>
      </c>
      <c r="AT53" s="113">
        <f>IF(OR($B53="",AT$5=""),0,SUMIFS('Trade Log'!$Q$6:$Q$1005,'Trade Log'!$A$6:$A$1005,"&gt;="&amp;$B53,'Trade Log'!$A$6:$A$1005,"&lt;="&amp;($B53+6),'Trade Log'!$Y$6:$Y$1005,AT$5))</f>
        <v>0</v>
      </c>
      <c r="AU53" s="113">
        <f>IF(OR($B53="",AU$5=""),0,SUMIFS('Trade Log'!$Q$6:$Q$1005,'Trade Log'!$A$6:$A$1005,"&gt;="&amp;$B53,'Trade Log'!$A$6:$A$1005,"&lt;="&amp;($B53+6),'Trade Log'!$Y$6:$Y$1005,AU$5))</f>
        <v>0</v>
      </c>
      <c r="AV53" s="113">
        <f>IF(OR($B53="",AV$5=""),0,SUMIFS('Trade Log'!$Q$6:$Q$1005,'Trade Log'!$A$6:$A$1005,"&gt;="&amp;$B53,'Trade Log'!$A$6:$A$1005,"&lt;="&amp;($B53+6),'Trade Log'!$Y$6:$Y$1005,AV$5))</f>
        <v>0</v>
      </c>
    </row>
    <row r="54">
      <c r="B54" s="107">
        <f>IF($B53="","",$B53+7)</f>
        <v>46622</v>
      </c>
      <c r="C54" s="96">
        <f>IF($B54="","",COUNTIFS('Trade Log'!$A$6:$A$1005,"&gt;="&amp;$B54,'Trade Log'!$A$6:$A$1005,"&lt;="&amp;($B54+6),'Trade Log'!$BH$6:$BH$1005,1))</f>
        <v>0</v>
      </c>
      <c r="D54" s="98" t="str">
        <f>IF(OR($B54="",N($C54)=0),"",SUMIFS('Trade Log'!$Q$6:$Q$1005,'Trade Log'!$A$6:$A$1005,"&gt;="&amp;$B54,'Trade Log'!$A$6:$A$1005,"&lt;="&amp;($B54+6)))</f>
        <v/>
      </c>
      <c r="E54" s="99" t="str">
        <f>IF(OR($B54="",N($C54)=0),"",IFERROR(COUNTIFS('Trade Log'!$A$6:$A$1005,"&gt;="&amp;$B54,'Trade Log'!$A$6:$A$1005,"&lt;="&amp;($B54+6),'Trade Log'!$S$6:$S$1005,"Win")/(COUNTIFS('Trade Log'!$A$6:$A$1005,"&gt;="&amp;$B54,'Trade Log'!$A$6:$A$1005,"&lt;="&amp;($B54+6),'Trade Log'!$S$6:$S$1005,"Win")+COUNTIFS('Trade Log'!$A$6:$A$1005,"&gt;="&amp;$B54,'Trade Log'!$A$6:$A$1005,"&lt;="&amp;($B54+6),'Trade Log'!$S$6:$S$1005,"Loss")),"—"))</f>
        <v/>
      </c>
      <c r="F54" s="104" t="str">
        <f>IF(OR($B54="",N($C54)=0),"",IFERROR(SUMIFS('Trade Log'!$R$6:$R$1005,'Trade Log'!$A$6:$A$1005,"&gt;="&amp;$B54,'Trade Log'!$A$6:$A$1005,"&lt;="&amp;($B54+6))/COUNTIFS('Trade Log'!$A$6:$A$1005,"&gt;="&amp;$B54,'Trade Log'!$A$6:$A$1005,"&lt;="&amp;($B54+6),'Trade Log'!$BC$6:$BC$1005,1),"—"))</f>
        <v/>
      </c>
      <c r="G54" s="110" t="str">
        <f>IF(OR($B54="",N($C54)=0),"",IF(SUMIFS('Trade Log'!$Q$6:$Q$1005,'Trade Log'!$A$6:$A$1005,"&gt;="&amp;$B54,'Trade Log'!$A$6:$A$1005,"&lt;="&amp;($B54+6),'Trade Log'!$Q$6:$Q$1005,"&lt;0")=0,IF(SUMIFS('Trade Log'!$Q$6:$Q$1005,'Trade Log'!$A$6:$A$1005,"&gt;="&amp;$B54,'Trade Log'!$A$6:$A$1005,"&lt;="&amp;($B54+6),'Trade Log'!$Q$6:$Q$1005,"&gt;0")&gt;0,"No losses","—"),SUMIFS('Trade Log'!$Q$6:$Q$1005,'Trade Log'!$A$6:$A$1005,"&gt;="&amp;$B54,'Trade Log'!$A$6:$A$1005,"&lt;="&amp;($B54+6),'Trade Log'!$Q$6:$Q$1005,"&gt;0")/-SUMIFS('Trade Log'!$Q$6:$Q$1005,'Trade Log'!$A$6:$A$1005,"&gt;="&amp;$B54,'Trade Log'!$A$6:$A$1005,"&lt;="&amp;($B54+6),'Trade Log'!$Q$6:$Q$1005,"&lt;0")))</f>
        <v/>
      </c>
      <c r="H54" s="99" t="str">
        <f>IF(OR($B54="",N($C54)=0),"",IFERROR(COUNTIFS('Trade Log'!$A$6:$A$1005,"&gt;="&amp;$B54,'Trade Log'!$A$6:$A$1005,"&lt;="&amp;($B54+6),'Trade Log'!$Z$6:$Z$1005,"Yes")/(COUNTIFS('Trade Log'!$A$6:$A$1005,"&gt;="&amp;$B54,'Trade Log'!$A$6:$A$1005,"&lt;="&amp;($B54+6),'Trade Log'!$Z$6:$Z$1005,"Yes")+COUNTIFS('Trade Log'!$A$6:$A$1005,"&gt;="&amp;$B54,'Trade Log'!$A$6:$A$1005,"&lt;="&amp;($B54+6),'Trade Log'!$Z$6:$Z$1005,"No")),"—"))</f>
        <v/>
      </c>
      <c r="I54" s="111" t="str">
        <f>IF(OR($B54="",N($C54)=0),"",IF(MAX($Q54:$AB54)=0,"None — clean week",INDEX($Q$5:$AB$5,MATCH(MAX($Q54:$AB54),$Q54:$AB54,0))))</f>
        <v/>
      </c>
      <c r="J54" s="111" t="str">
        <f>IF(OR($B54="",N($C54)=0),"",IF(MIN($AC54:$AL54)&gt;=0,"None lost money",INDEX($AC$5:$AL$5,MATCH(MIN($AC54:$AL54),$AC54:$AL54,0))))</f>
        <v/>
      </c>
      <c r="K54" s="111" t="str">
        <f>IF(OR($B54="",N($C54)=0),"",IF(MAX($AM54:$AV54)&lt;=0,"None made money",INDEX($AM$5:$AV$5,MATCH(MAX($AM54:$AV54),$AM54:$AV54,0))))</f>
        <v/>
      </c>
      <c r="L54" s="106" t="n"/>
      <c r="M54" s="106" t="n"/>
      <c r="N54" s="112" t="n"/>
      <c r="O54" s="29" t="n"/>
      <c r="Q54" s="109">
        <f>IF(OR($B54="",Q$5=""),0,COUNTIFS('Trade Log'!$A$6:$A$1005,"&gt;="&amp;$B54,'Trade Log'!$A$6:$A$1005,"&lt;="&amp;($B54+6),'Trade Log'!$AB$6:$AB$1005,Q$5))</f>
        <v>0</v>
      </c>
      <c r="R54" s="109">
        <f>IF(OR($B54="",R$5=""),0,COUNTIFS('Trade Log'!$A$6:$A$1005,"&gt;="&amp;$B54,'Trade Log'!$A$6:$A$1005,"&lt;="&amp;($B54+6),'Trade Log'!$AB$6:$AB$1005,R$5))</f>
        <v>0</v>
      </c>
      <c r="S54" s="109">
        <f>IF(OR($B54="",S$5=""),0,COUNTIFS('Trade Log'!$A$6:$A$1005,"&gt;="&amp;$B54,'Trade Log'!$A$6:$A$1005,"&lt;="&amp;($B54+6),'Trade Log'!$AB$6:$AB$1005,S$5))</f>
        <v>0</v>
      </c>
      <c r="T54" s="109">
        <f>IF(OR($B54="",T$5=""),0,COUNTIFS('Trade Log'!$A$6:$A$1005,"&gt;="&amp;$B54,'Trade Log'!$A$6:$A$1005,"&lt;="&amp;($B54+6),'Trade Log'!$AB$6:$AB$1005,T$5))</f>
        <v>0</v>
      </c>
      <c r="U54" s="109">
        <f>IF(OR($B54="",U$5=""),0,COUNTIFS('Trade Log'!$A$6:$A$1005,"&gt;="&amp;$B54,'Trade Log'!$A$6:$A$1005,"&lt;="&amp;($B54+6),'Trade Log'!$AB$6:$AB$1005,U$5))</f>
        <v>0</v>
      </c>
      <c r="V54" s="109">
        <f>IF(OR($B54="",V$5=""),0,COUNTIFS('Trade Log'!$A$6:$A$1005,"&gt;="&amp;$B54,'Trade Log'!$A$6:$A$1005,"&lt;="&amp;($B54+6),'Trade Log'!$AB$6:$AB$1005,V$5))</f>
        <v>0</v>
      </c>
      <c r="W54" s="109">
        <f>IF(OR($B54="",W$5=""),0,COUNTIFS('Trade Log'!$A$6:$A$1005,"&gt;="&amp;$B54,'Trade Log'!$A$6:$A$1005,"&lt;="&amp;($B54+6),'Trade Log'!$AB$6:$AB$1005,W$5))</f>
        <v>0</v>
      </c>
      <c r="X54" s="109">
        <f>IF(OR($B54="",X$5=""),0,COUNTIFS('Trade Log'!$A$6:$A$1005,"&gt;="&amp;$B54,'Trade Log'!$A$6:$A$1005,"&lt;="&amp;($B54+6),'Trade Log'!$AB$6:$AB$1005,X$5))</f>
        <v>0</v>
      </c>
      <c r="Y54" s="109">
        <f>IF(OR($B54="",Y$5=""),0,COUNTIFS('Trade Log'!$A$6:$A$1005,"&gt;="&amp;$B54,'Trade Log'!$A$6:$A$1005,"&lt;="&amp;($B54+6),'Trade Log'!$AB$6:$AB$1005,Y$5))</f>
        <v>0</v>
      </c>
      <c r="Z54" s="109">
        <f>IF(OR($B54="",Z$5=""),0,COUNTIFS('Trade Log'!$A$6:$A$1005,"&gt;="&amp;$B54,'Trade Log'!$A$6:$A$1005,"&lt;="&amp;($B54+6),'Trade Log'!$AB$6:$AB$1005,Z$5))</f>
        <v>0</v>
      </c>
      <c r="AA54" s="109">
        <f>IF(OR($B54="",AA$5=""),0,COUNTIFS('Trade Log'!$A$6:$A$1005,"&gt;="&amp;$B54,'Trade Log'!$A$6:$A$1005,"&lt;="&amp;($B54+6),'Trade Log'!$AB$6:$AB$1005,AA$5))</f>
        <v>0</v>
      </c>
      <c r="AB54" s="109">
        <f>IF(OR($B54="",AB$5=""),0,COUNTIFS('Trade Log'!$A$6:$A$1005,"&gt;="&amp;$B54,'Trade Log'!$A$6:$A$1005,"&lt;="&amp;($B54+6),'Trade Log'!$AB$6:$AB$1005,AB$5))</f>
        <v>0</v>
      </c>
      <c r="AC54" s="113">
        <f>IF(OR($B54="",AC$5=""),0,SUMIFS('Trade Log'!$Q$6:$Q$1005,'Trade Log'!$A$6:$A$1005,"&gt;="&amp;$B54,'Trade Log'!$A$6:$A$1005,"&lt;="&amp;($B54+6),'Trade Log'!$AA$6:$AA$1005,AC$5))</f>
        <v>0</v>
      </c>
      <c r="AD54" s="113">
        <f>IF(OR($B54="",AD$5=""),0,SUMIFS('Trade Log'!$Q$6:$Q$1005,'Trade Log'!$A$6:$A$1005,"&gt;="&amp;$B54,'Trade Log'!$A$6:$A$1005,"&lt;="&amp;($B54+6),'Trade Log'!$AA$6:$AA$1005,AD$5))</f>
        <v>0</v>
      </c>
      <c r="AE54" s="113">
        <f>IF(OR($B54="",AE$5=""),0,SUMIFS('Trade Log'!$Q$6:$Q$1005,'Trade Log'!$A$6:$A$1005,"&gt;="&amp;$B54,'Trade Log'!$A$6:$A$1005,"&lt;="&amp;($B54+6),'Trade Log'!$AA$6:$AA$1005,AE$5))</f>
        <v>0</v>
      </c>
      <c r="AF54" s="113">
        <f>IF(OR($B54="",AF$5=""),0,SUMIFS('Trade Log'!$Q$6:$Q$1005,'Trade Log'!$A$6:$A$1005,"&gt;="&amp;$B54,'Trade Log'!$A$6:$A$1005,"&lt;="&amp;($B54+6),'Trade Log'!$AA$6:$AA$1005,AF$5))</f>
        <v>0</v>
      </c>
      <c r="AG54" s="113">
        <f>IF(OR($B54="",AG$5=""),0,SUMIFS('Trade Log'!$Q$6:$Q$1005,'Trade Log'!$A$6:$A$1005,"&gt;="&amp;$B54,'Trade Log'!$A$6:$A$1005,"&lt;="&amp;($B54+6),'Trade Log'!$AA$6:$AA$1005,AG$5))</f>
        <v>0</v>
      </c>
      <c r="AH54" s="113">
        <f>IF(OR($B54="",AH$5=""),0,SUMIFS('Trade Log'!$Q$6:$Q$1005,'Trade Log'!$A$6:$A$1005,"&gt;="&amp;$B54,'Trade Log'!$A$6:$A$1005,"&lt;="&amp;($B54+6),'Trade Log'!$AA$6:$AA$1005,AH$5))</f>
        <v>0</v>
      </c>
      <c r="AI54" s="113">
        <f>IF(OR($B54="",AI$5=""),0,SUMIFS('Trade Log'!$Q$6:$Q$1005,'Trade Log'!$A$6:$A$1005,"&gt;="&amp;$B54,'Trade Log'!$A$6:$A$1005,"&lt;="&amp;($B54+6),'Trade Log'!$AA$6:$AA$1005,AI$5))</f>
        <v>0</v>
      </c>
      <c r="AJ54" s="113">
        <f>IF(OR($B54="",AJ$5=""),0,SUMIFS('Trade Log'!$Q$6:$Q$1005,'Trade Log'!$A$6:$A$1005,"&gt;="&amp;$B54,'Trade Log'!$A$6:$A$1005,"&lt;="&amp;($B54+6),'Trade Log'!$AA$6:$AA$1005,AJ$5))</f>
        <v>0</v>
      </c>
      <c r="AK54" s="113">
        <f>IF(OR($B54="",AK$5=""),0,SUMIFS('Trade Log'!$Q$6:$Q$1005,'Trade Log'!$A$6:$A$1005,"&gt;="&amp;$B54,'Trade Log'!$A$6:$A$1005,"&lt;="&amp;($B54+6),'Trade Log'!$AA$6:$AA$1005,AK$5))</f>
        <v>0</v>
      </c>
      <c r="AL54" s="113">
        <f>IF(OR($B54="",AL$5=""),0,SUMIFS('Trade Log'!$Q$6:$Q$1005,'Trade Log'!$A$6:$A$1005,"&gt;="&amp;$B54,'Trade Log'!$A$6:$A$1005,"&lt;="&amp;($B54+6),'Trade Log'!$AA$6:$AA$1005,AL$5))</f>
        <v>0</v>
      </c>
      <c r="AM54" s="113">
        <f>IF(OR($B54="",AM$5=""),0,SUMIFS('Trade Log'!$Q$6:$Q$1005,'Trade Log'!$A$6:$A$1005,"&gt;="&amp;$B54,'Trade Log'!$A$6:$A$1005,"&lt;="&amp;($B54+6),'Trade Log'!$Y$6:$Y$1005,AM$5))</f>
        <v>0</v>
      </c>
      <c r="AN54" s="113">
        <f>IF(OR($B54="",AN$5=""),0,SUMIFS('Trade Log'!$Q$6:$Q$1005,'Trade Log'!$A$6:$A$1005,"&gt;="&amp;$B54,'Trade Log'!$A$6:$A$1005,"&lt;="&amp;($B54+6),'Trade Log'!$Y$6:$Y$1005,AN$5))</f>
        <v>0</v>
      </c>
      <c r="AO54" s="113">
        <f>IF(OR($B54="",AO$5=""),0,SUMIFS('Trade Log'!$Q$6:$Q$1005,'Trade Log'!$A$6:$A$1005,"&gt;="&amp;$B54,'Trade Log'!$A$6:$A$1005,"&lt;="&amp;($B54+6),'Trade Log'!$Y$6:$Y$1005,AO$5))</f>
        <v>0</v>
      </c>
      <c r="AP54" s="113">
        <f>IF(OR($B54="",AP$5=""),0,SUMIFS('Trade Log'!$Q$6:$Q$1005,'Trade Log'!$A$6:$A$1005,"&gt;="&amp;$B54,'Trade Log'!$A$6:$A$1005,"&lt;="&amp;($B54+6),'Trade Log'!$Y$6:$Y$1005,AP$5))</f>
        <v>0</v>
      </c>
      <c r="AQ54" s="113">
        <f>IF(OR($B54="",AQ$5=""),0,SUMIFS('Trade Log'!$Q$6:$Q$1005,'Trade Log'!$A$6:$A$1005,"&gt;="&amp;$B54,'Trade Log'!$A$6:$A$1005,"&lt;="&amp;($B54+6),'Trade Log'!$Y$6:$Y$1005,AQ$5))</f>
        <v>0</v>
      </c>
      <c r="AR54" s="113">
        <f>IF(OR($B54="",AR$5=""),0,SUMIFS('Trade Log'!$Q$6:$Q$1005,'Trade Log'!$A$6:$A$1005,"&gt;="&amp;$B54,'Trade Log'!$A$6:$A$1005,"&lt;="&amp;($B54+6),'Trade Log'!$Y$6:$Y$1005,AR$5))</f>
        <v>0</v>
      </c>
      <c r="AS54" s="113">
        <f>IF(OR($B54="",AS$5=""),0,SUMIFS('Trade Log'!$Q$6:$Q$1005,'Trade Log'!$A$6:$A$1005,"&gt;="&amp;$B54,'Trade Log'!$A$6:$A$1005,"&lt;="&amp;($B54+6),'Trade Log'!$Y$6:$Y$1005,AS$5))</f>
        <v>0</v>
      </c>
      <c r="AT54" s="113">
        <f>IF(OR($B54="",AT$5=""),0,SUMIFS('Trade Log'!$Q$6:$Q$1005,'Trade Log'!$A$6:$A$1005,"&gt;="&amp;$B54,'Trade Log'!$A$6:$A$1005,"&lt;="&amp;($B54+6),'Trade Log'!$Y$6:$Y$1005,AT$5))</f>
        <v>0</v>
      </c>
      <c r="AU54" s="113">
        <f>IF(OR($B54="",AU$5=""),0,SUMIFS('Trade Log'!$Q$6:$Q$1005,'Trade Log'!$A$6:$A$1005,"&gt;="&amp;$B54,'Trade Log'!$A$6:$A$1005,"&lt;="&amp;($B54+6),'Trade Log'!$Y$6:$Y$1005,AU$5))</f>
        <v>0</v>
      </c>
      <c r="AV54" s="113">
        <f>IF(OR($B54="",AV$5=""),0,SUMIFS('Trade Log'!$Q$6:$Q$1005,'Trade Log'!$A$6:$A$1005,"&gt;="&amp;$B54,'Trade Log'!$A$6:$A$1005,"&lt;="&amp;($B54+6),'Trade Log'!$Y$6:$Y$1005,AV$5))</f>
        <v>0</v>
      </c>
    </row>
    <row r="55">
      <c r="B55" s="107">
        <f>IF($B54="","",$B54+7)</f>
        <v>46629</v>
      </c>
      <c r="C55" s="96">
        <f>IF($B55="","",COUNTIFS('Trade Log'!$A$6:$A$1005,"&gt;="&amp;$B55,'Trade Log'!$A$6:$A$1005,"&lt;="&amp;($B55+6),'Trade Log'!$BH$6:$BH$1005,1))</f>
        <v>0</v>
      </c>
      <c r="D55" s="98" t="str">
        <f>IF(OR($B55="",N($C55)=0),"",SUMIFS('Trade Log'!$Q$6:$Q$1005,'Trade Log'!$A$6:$A$1005,"&gt;="&amp;$B55,'Trade Log'!$A$6:$A$1005,"&lt;="&amp;($B55+6)))</f>
        <v/>
      </c>
      <c r="E55" s="99" t="str">
        <f>IF(OR($B55="",N($C55)=0),"",IFERROR(COUNTIFS('Trade Log'!$A$6:$A$1005,"&gt;="&amp;$B55,'Trade Log'!$A$6:$A$1005,"&lt;="&amp;($B55+6),'Trade Log'!$S$6:$S$1005,"Win")/(COUNTIFS('Trade Log'!$A$6:$A$1005,"&gt;="&amp;$B55,'Trade Log'!$A$6:$A$1005,"&lt;="&amp;($B55+6),'Trade Log'!$S$6:$S$1005,"Win")+COUNTIFS('Trade Log'!$A$6:$A$1005,"&gt;="&amp;$B55,'Trade Log'!$A$6:$A$1005,"&lt;="&amp;($B55+6),'Trade Log'!$S$6:$S$1005,"Loss")),"—"))</f>
        <v/>
      </c>
      <c r="F55" s="104" t="str">
        <f>IF(OR($B55="",N($C55)=0),"",IFERROR(SUMIFS('Trade Log'!$R$6:$R$1005,'Trade Log'!$A$6:$A$1005,"&gt;="&amp;$B55,'Trade Log'!$A$6:$A$1005,"&lt;="&amp;($B55+6))/COUNTIFS('Trade Log'!$A$6:$A$1005,"&gt;="&amp;$B55,'Trade Log'!$A$6:$A$1005,"&lt;="&amp;($B55+6),'Trade Log'!$BC$6:$BC$1005,1),"—"))</f>
        <v/>
      </c>
      <c r="G55" s="110" t="str">
        <f>IF(OR($B55="",N($C55)=0),"",IF(SUMIFS('Trade Log'!$Q$6:$Q$1005,'Trade Log'!$A$6:$A$1005,"&gt;="&amp;$B55,'Trade Log'!$A$6:$A$1005,"&lt;="&amp;($B55+6),'Trade Log'!$Q$6:$Q$1005,"&lt;0")=0,IF(SUMIFS('Trade Log'!$Q$6:$Q$1005,'Trade Log'!$A$6:$A$1005,"&gt;="&amp;$B55,'Trade Log'!$A$6:$A$1005,"&lt;="&amp;($B55+6),'Trade Log'!$Q$6:$Q$1005,"&gt;0")&gt;0,"No losses","—"),SUMIFS('Trade Log'!$Q$6:$Q$1005,'Trade Log'!$A$6:$A$1005,"&gt;="&amp;$B55,'Trade Log'!$A$6:$A$1005,"&lt;="&amp;($B55+6),'Trade Log'!$Q$6:$Q$1005,"&gt;0")/-SUMIFS('Trade Log'!$Q$6:$Q$1005,'Trade Log'!$A$6:$A$1005,"&gt;="&amp;$B55,'Trade Log'!$A$6:$A$1005,"&lt;="&amp;($B55+6),'Trade Log'!$Q$6:$Q$1005,"&lt;0")))</f>
        <v/>
      </c>
      <c r="H55" s="99" t="str">
        <f>IF(OR($B55="",N($C55)=0),"",IFERROR(COUNTIFS('Trade Log'!$A$6:$A$1005,"&gt;="&amp;$B55,'Trade Log'!$A$6:$A$1005,"&lt;="&amp;($B55+6),'Trade Log'!$Z$6:$Z$1005,"Yes")/(COUNTIFS('Trade Log'!$A$6:$A$1005,"&gt;="&amp;$B55,'Trade Log'!$A$6:$A$1005,"&lt;="&amp;($B55+6),'Trade Log'!$Z$6:$Z$1005,"Yes")+COUNTIFS('Trade Log'!$A$6:$A$1005,"&gt;="&amp;$B55,'Trade Log'!$A$6:$A$1005,"&lt;="&amp;($B55+6),'Trade Log'!$Z$6:$Z$1005,"No")),"—"))</f>
        <v/>
      </c>
      <c r="I55" s="111" t="str">
        <f>IF(OR($B55="",N($C55)=0),"",IF(MAX($Q55:$AB55)=0,"None — clean week",INDEX($Q$5:$AB$5,MATCH(MAX($Q55:$AB55),$Q55:$AB55,0))))</f>
        <v/>
      </c>
      <c r="J55" s="111" t="str">
        <f>IF(OR($B55="",N($C55)=0),"",IF(MIN($AC55:$AL55)&gt;=0,"None lost money",INDEX($AC$5:$AL$5,MATCH(MIN($AC55:$AL55),$AC55:$AL55,0))))</f>
        <v/>
      </c>
      <c r="K55" s="111" t="str">
        <f>IF(OR($B55="",N($C55)=0),"",IF(MAX($AM55:$AV55)&lt;=0,"None made money",INDEX($AM$5:$AV$5,MATCH(MAX($AM55:$AV55),$AM55:$AV55,0))))</f>
        <v/>
      </c>
      <c r="L55" s="106" t="n"/>
      <c r="M55" s="106" t="n"/>
      <c r="N55" s="112" t="n"/>
      <c r="O55" s="29" t="n"/>
      <c r="Q55" s="109">
        <f>IF(OR($B55="",Q$5=""),0,COUNTIFS('Trade Log'!$A$6:$A$1005,"&gt;="&amp;$B55,'Trade Log'!$A$6:$A$1005,"&lt;="&amp;($B55+6),'Trade Log'!$AB$6:$AB$1005,Q$5))</f>
        <v>0</v>
      </c>
      <c r="R55" s="109">
        <f>IF(OR($B55="",R$5=""),0,COUNTIFS('Trade Log'!$A$6:$A$1005,"&gt;="&amp;$B55,'Trade Log'!$A$6:$A$1005,"&lt;="&amp;($B55+6),'Trade Log'!$AB$6:$AB$1005,R$5))</f>
        <v>0</v>
      </c>
      <c r="S55" s="109">
        <f>IF(OR($B55="",S$5=""),0,COUNTIFS('Trade Log'!$A$6:$A$1005,"&gt;="&amp;$B55,'Trade Log'!$A$6:$A$1005,"&lt;="&amp;($B55+6),'Trade Log'!$AB$6:$AB$1005,S$5))</f>
        <v>0</v>
      </c>
      <c r="T55" s="109">
        <f>IF(OR($B55="",T$5=""),0,COUNTIFS('Trade Log'!$A$6:$A$1005,"&gt;="&amp;$B55,'Trade Log'!$A$6:$A$1005,"&lt;="&amp;($B55+6),'Trade Log'!$AB$6:$AB$1005,T$5))</f>
        <v>0</v>
      </c>
      <c r="U55" s="109">
        <f>IF(OR($B55="",U$5=""),0,COUNTIFS('Trade Log'!$A$6:$A$1005,"&gt;="&amp;$B55,'Trade Log'!$A$6:$A$1005,"&lt;="&amp;($B55+6),'Trade Log'!$AB$6:$AB$1005,U$5))</f>
        <v>0</v>
      </c>
      <c r="V55" s="109">
        <f>IF(OR($B55="",V$5=""),0,COUNTIFS('Trade Log'!$A$6:$A$1005,"&gt;="&amp;$B55,'Trade Log'!$A$6:$A$1005,"&lt;="&amp;($B55+6),'Trade Log'!$AB$6:$AB$1005,V$5))</f>
        <v>0</v>
      </c>
      <c r="W55" s="109">
        <f>IF(OR($B55="",W$5=""),0,COUNTIFS('Trade Log'!$A$6:$A$1005,"&gt;="&amp;$B55,'Trade Log'!$A$6:$A$1005,"&lt;="&amp;($B55+6),'Trade Log'!$AB$6:$AB$1005,W$5))</f>
        <v>0</v>
      </c>
      <c r="X55" s="109">
        <f>IF(OR($B55="",X$5=""),0,COUNTIFS('Trade Log'!$A$6:$A$1005,"&gt;="&amp;$B55,'Trade Log'!$A$6:$A$1005,"&lt;="&amp;($B55+6),'Trade Log'!$AB$6:$AB$1005,X$5))</f>
        <v>0</v>
      </c>
      <c r="Y55" s="109">
        <f>IF(OR($B55="",Y$5=""),0,COUNTIFS('Trade Log'!$A$6:$A$1005,"&gt;="&amp;$B55,'Trade Log'!$A$6:$A$1005,"&lt;="&amp;($B55+6),'Trade Log'!$AB$6:$AB$1005,Y$5))</f>
        <v>0</v>
      </c>
      <c r="Z55" s="109">
        <f>IF(OR($B55="",Z$5=""),0,COUNTIFS('Trade Log'!$A$6:$A$1005,"&gt;="&amp;$B55,'Trade Log'!$A$6:$A$1005,"&lt;="&amp;($B55+6),'Trade Log'!$AB$6:$AB$1005,Z$5))</f>
        <v>0</v>
      </c>
      <c r="AA55" s="109">
        <f>IF(OR($B55="",AA$5=""),0,COUNTIFS('Trade Log'!$A$6:$A$1005,"&gt;="&amp;$B55,'Trade Log'!$A$6:$A$1005,"&lt;="&amp;($B55+6),'Trade Log'!$AB$6:$AB$1005,AA$5))</f>
        <v>0</v>
      </c>
      <c r="AB55" s="109">
        <f>IF(OR($B55="",AB$5=""),0,COUNTIFS('Trade Log'!$A$6:$A$1005,"&gt;="&amp;$B55,'Trade Log'!$A$6:$A$1005,"&lt;="&amp;($B55+6),'Trade Log'!$AB$6:$AB$1005,AB$5))</f>
        <v>0</v>
      </c>
      <c r="AC55" s="113">
        <f>IF(OR($B55="",AC$5=""),0,SUMIFS('Trade Log'!$Q$6:$Q$1005,'Trade Log'!$A$6:$A$1005,"&gt;="&amp;$B55,'Trade Log'!$A$6:$A$1005,"&lt;="&amp;($B55+6),'Trade Log'!$AA$6:$AA$1005,AC$5))</f>
        <v>0</v>
      </c>
      <c r="AD55" s="113">
        <f>IF(OR($B55="",AD$5=""),0,SUMIFS('Trade Log'!$Q$6:$Q$1005,'Trade Log'!$A$6:$A$1005,"&gt;="&amp;$B55,'Trade Log'!$A$6:$A$1005,"&lt;="&amp;($B55+6),'Trade Log'!$AA$6:$AA$1005,AD$5))</f>
        <v>0</v>
      </c>
      <c r="AE55" s="113">
        <f>IF(OR($B55="",AE$5=""),0,SUMIFS('Trade Log'!$Q$6:$Q$1005,'Trade Log'!$A$6:$A$1005,"&gt;="&amp;$B55,'Trade Log'!$A$6:$A$1005,"&lt;="&amp;($B55+6),'Trade Log'!$AA$6:$AA$1005,AE$5))</f>
        <v>0</v>
      </c>
      <c r="AF55" s="113">
        <f>IF(OR($B55="",AF$5=""),0,SUMIFS('Trade Log'!$Q$6:$Q$1005,'Trade Log'!$A$6:$A$1005,"&gt;="&amp;$B55,'Trade Log'!$A$6:$A$1005,"&lt;="&amp;($B55+6),'Trade Log'!$AA$6:$AA$1005,AF$5))</f>
        <v>0</v>
      </c>
      <c r="AG55" s="113">
        <f>IF(OR($B55="",AG$5=""),0,SUMIFS('Trade Log'!$Q$6:$Q$1005,'Trade Log'!$A$6:$A$1005,"&gt;="&amp;$B55,'Trade Log'!$A$6:$A$1005,"&lt;="&amp;($B55+6),'Trade Log'!$AA$6:$AA$1005,AG$5))</f>
        <v>0</v>
      </c>
      <c r="AH55" s="113">
        <f>IF(OR($B55="",AH$5=""),0,SUMIFS('Trade Log'!$Q$6:$Q$1005,'Trade Log'!$A$6:$A$1005,"&gt;="&amp;$B55,'Trade Log'!$A$6:$A$1005,"&lt;="&amp;($B55+6),'Trade Log'!$AA$6:$AA$1005,AH$5))</f>
        <v>0</v>
      </c>
      <c r="AI55" s="113">
        <f>IF(OR($B55="",AI$5=""),0,SUMIFS('Trade Log'!$Q$6:$Q$1005,'Trade Log'!$A$6:$A$1005,"&gt;="&amp;$B55,'Trade Log'!$A$6:$A$1005,"&lt;="&amp;($B55+6),'Trade Log'!$AA$6:$AA$1005,AI$5))</f>
        <v>0</v>
      </c>
      <c r="AJ55" s="113">
        <f>IF(OR($B55="",AJ$5=""),0,SUMIFS('Trade Log'!$Q$6:$Q$1005,'Trade Log'!$A$6:$A$1005,"&gt;="&amp;$B55,'Trade Log'!$A$6:$A$1005,"&lt;="&amp;($B55+6),'Trade Log'!$AA$6:$AA$1005,AJ$5))</f>
        <v>0</v>
      </c>
      <c r="AK55" s="113">
        <f>IF(OR($B55="",AK$5=""),0,SUMIFS('Trade Log'!$Q$6:$Q$1005,'Trade Log'!$A$6:$A$1005,"&gt;="&amp;$B55,'Trade Log'!$A$6:$A$1005,"&lt;="&amp;($B55+6),'Trade Log'!$AA$6:$AA$1005,AK$5))</f>
        <v>0</v>
      </c>
      <c r="AL55" s="113">
        <f>IF(OR($B55="",AL$5=""),0,SUMIFS('Trade Log'!$Q$6:$Q$1005,'Trade Log'!$A$6:$A$1005,"&gt;="&amp;$B55,'Trade Log'!$A$6:$A$1005,"&lt;="&amp;($B55+6),'Trade Log'!$AA$6:$AA$1005,AL$5))</f>
        <v>0</v>
      </c>
      <c r="AM55" s="113">
        <f>IF(OR($B55="",AM$5=""),0,SUMIFS('Trade Log'!$Q$6:$Q$1005,'Trade Log'!$A$6:$A$1005,"&gt;="&amp;$B55,'Trade Log'!$A$6:$A$1005,"&lt;="&amp;($B55+6),'Trade Log'!$Y$6:$Y$1005,AM$5))</f>
        <v>0</v>
      </c>
      <c r="AN55" s="113">
        <f>IF(OR($B55="",AN$5=""),0,SUMIFS('Trade Log'!$Q$6:$Q$1005,'Trade Log'!$A$6:$A$1005,"&gt;="&amp;$B55,'Trade Log'!$A$6:$A$1005,"&lt;="&amp;($B55+6),'Trade Log'!$Y$6:$Y$1005,AN$5))</f>
        <v>0</v>
      </c>
      <c r="AO55" s="113">
        <f>IF(OR($B55="",AO$5=""),0,SUMIFS('Trade Log'!$Q$6:$Q$1005,'Trade Log'!$A$6:$A$1005,"&gt;="&amp;$B55,'Trade Log'!$A$6:$A$1005,"&lt;="&amp;($B55+6),'Trade Log'!$Y$6:$Y$1005,AO$5))</f>
        <v>0</v>
      </c>
      <c r="AP55" s="113">
        <f>IF(OR($B55="",AP$5=""),0,SUMIFS('Trade Log'!$Q$6:$Q$1005,'Trade Log'!$A$6:$A$1005,"&gt;="&amp;$B55,'Trade Log'!$A$6:$A$1005,"&lt;="&amp;($B55+6),'Trade Log'!$Y$6:$Y$1005,AP$5))</f>
        <v>0</v>
      </c>
      <c r="AQ55" s="113">
        <f>IF(OR($B55="",AQ$5=""),0,SUMIFS('Trade Log'!$Q$6:$Q$1005,'Trade Log'!$A$6:$A$1005,"&gt;="&amp;$B55,'Trade Log'!$A$6:$A$1005,"&lt;="&amp;($B55+6),'Trade Log'!$Y$6:$Y$1005,AQ$5))</f>
        <v>0</v>
      </c>
      <c r="AR55" s="113">
        <f>IF(OR($B55="",AR$5=""),0,SUMIFS('Trade Log'!$Q$6:$Q$1005,'Trade Log'!$A$6:$A$1005,"&gt;="&amp;$B55,'Trade Log'!$A$6:$A$1005,"&lt;="&amp;($B55+6),'Trade Log'!$Y$6:$Y$1005,AR$5))</f>
        <v>0</v>
      </c>
      <c r="AS55" s="113">
        <f>IF(OR($B55="",AS$5=""),0,SUMIFS('Trade Log'!$Q$6:$Q$1005,'Trade Log'!$A$6:$A$1005,"&gt;="&amp;$B55,'Trade Log'!$A$6:$A$1005,"&lt;="&amp;($B55+6),'Trade Log'!$Y$6:$Y$1005,AS$5))</f>
        <v>0</v>
      </c>
      <c r="AT55" s="113">
        <f>IF(OR($B55="",AT$5=""),0,SUMIFS('Trade Log'!$Q$6:$Q$1005,'Trade Log'!$A$6:$A$1005,"&gt;="&amp;$B55,'Trade Log'!$A$6:$A$1005,"&lt;="&amp;($B55+6),'Trade Log'!$Y$6:$Y$1005,AT$5))</f>
        <v>0</v>
      </c>
      <c r="AU55" s="113">
        <f>IF(OR($B55="",AU$5=""),0,SUMIFS('Trade Log'!$Q$6:$Q$1005,'Trade Log'!$A$6:$A$1005,"&gt;="&amp;$B55,'Trade Log'!$A$6:$A$1005,"&lt;="&amp;($B55+6),'Trade Log'!$Y$6:$Y$1005,AU$5))</f>
        <v>0</v>
      </c>
      <c r="AV55" s="113">
        <f>IF(OR($B55="",AV$5=""),0,SUMIFS('Trade Log'!$Q$6:$Q$1005,'Trade Log'!$A$6:$A$1005,"&gt;="&amp;$B55,'Trade Log'!$A$6:$A$1005,"&lt;="&amp;($B55+6),'Trade Log'!$Y$6:$Y$1005,AV$5))</f>
        <v>0</v>
      </c>
    </row>
    <row r="56">
      <c r="B56" s="107">
        <f>IF($B55="","",$B55+7)</f>
        <v>46636</v>
      </c>
      <c r="C56" s="96">
        <f>IF($B56="","",COUNTIFS('Trade Log'!$A$6:$A$1005,"&gt;="&amp;$B56,'Trade Log'!$A$6:$A$1005,"&lt;="&amp;($B56+6),'Trade Log'!$BH$6:$BH$1005,1))</f>
        <v>0</v>
      </c>
      <c r="D56" s="98" t="str">
        <f>IF(OR($B56="",N($C56)=0),"",SUMIFS('Trade Log'!$Q$6:$Q$1005,'Trade Log'!$A$6:$A$1005,"&gt;="&amp;$B56,'Trade Log'!$A$6:$A$1005,"&lt;="&amp;($B56+6)))</f>
        <v/>
      </c>
      <c r="E56" s="99" t="str">
        <f>IF(OR($B56="",N($C56)=0),"",IFERROR(COUNTIFS('Trade Log'!$A$6:$A$1005,"&gt;="&amp;$B56,'Trade Log'!$A$6:$A$1005,"&lt;="&amp;($B56+6),'Trade Log'!$S$6:$S$1005,"Win")/(COUNTIFS('Trade Log'!$A$6:$A$1005,"&gt;="&amp;$B56,'Trade Log'!$A$6:$A$1005,"&lt;="&amp;($B56+6),'Trade Log'!$S$6:$S$1005,"Win")+COUNTIFS('Trade Log'!$A$6:$A$1005,"&gt;="&amp;$B56,'Trade Log'!$A$6:$A$1005,"&lt;="&amp;($B56+6),'Trade Log'!$S$6:$S$1005,"Loss")),"—"))</f>
        <v/>
      </c>
      <c r="F56" s="104" t="str">
        <f>IF(OR($B56="",N($C56)=0),"",IFERROR(SUMIFS('Trade Log'!$R$6:$R$1005,'Trade Log'!$A$6:$A$1005,"&gt;="&amp;$B56,'Trade Log'!$A$6:$A$1005,"&lt;="&amp;($B56+6))/COUNTIFS('Trade Log'!$A$6:$A$1005,"&gt;="&amp;$B56,'Trade Log'!$A$6:$A$1005,"&lt;="&amp;($B56+6),'Trade Log'!$BC$6:$BC$1005,1),"—"))</f>
        <v/>
      </c>
      <c r="G56" s="110" t="str">
        <f>IF(OR($B56="",N($C56)=0),"",IF(SUMIFS('Trade Log'!$Q$6:$Q$1005,'Trade Log'!$A$6:$A$1005,"&gt;="&amp;$B56,'Trade Log'!$A$6:$A$1005,"&lt;="&amp;($B56+6),'Trade Log'!$Q$6:$Q$1005,"&lt;0")=0,IF(SUMIFS('Trade Log'!$Q$6:$Q$1005,'Trade Log'!$A$6:$A$1005,"&gt;="&amp;$B56,'Trade Log'!$A$6:$A$1005,"&lt;="&amp;($B56+6),'Trade Log'!$Q$6:$Q$1005,"&gt;0")&gt;0,"No losses","—"),SUMIFS('Trade Log'!$Q$6:$Q$1005,'Trade Log'!$A$6:$A$1005,"&gt;="&amp;$B56,'Trade Log'!$A$6:$A$1005,"&lt;="&amp;($B56+6),'Trade Log'!$Q$6:$Q$1005,"&gt;0")/-SUMIFS('Trade Log'!$Q$6:$Q$1005,'Trade Log'!$A$6:$A$1005,"&gt;="&amp;$B56,'Trade Log'!$A$6:$A$1005,"&lt;="&amp;($B56+6),'Trade Log'!$Q$6:$Q$1005,"&lt;0")))</f>
        <v/>
      </c>
      <c r="H56" s="99" t="str">
        <f>IF(OR($B56="",N($C56)=0),"",IFERROR(COUNTIFS('Trade Log'!$A$6:$A$1005,"&gt;="&amp;$B56,'Trade Log'!$A$6:$A$1005,"&lt;="&amp;($B56+6),'Trade Log'!$Z$6:$Z$1005,"Yes")/(COUNTIFS('Trade Log'!$A$6:$A$1005,"&gt;="&amp;$B56,'Trade Log'!$A$6:$A$1005,"&lt;="&amp;($B56+6),'Trade Log'!$Z$6:$Z$1005,"Yes")+COUNTIFS('Trade Log'!$A$6:$A$1005,"&gt;="&amp;$B56,'Trade Log'!$A$6:$A$1005,"&lt;="&amp;($B56+6),'Trade Log'!$Z$6:$Z$1005,"No")),"—"))</f>
        <v/>
      </c>
      <c r="I56" s="111" t="str">
        <f>IF(OR($B56="",N($C56)=0),"",IF(MAX($Q56:$AB56)=0,"None — clean week",INDEX($Q$5:$AB$5,MATCH(MAX($Q56:$AB56),$Q56:$AB56,0))))</f>
        <v/>
      </c>
      <c r="J56" s="111" t="str">
        <f>IF(OR($B56="",N($C56)=0),"",IF(MIN($AC56:$AL56)&gt;=0,"None lost money",INDEX($AC$5:$AL$5,MATCH(MIN($AC56:$AL56),$AC56:$AL56,0))))</f>
        <v/>
      </c>
      <c r="K56" s="111" t="str">
        <f>IF(OR($B56="",N($C56)=0),"",IF(MAX($AM56:$AV56)&lt;=0,"None made money",INDEX($AM$5:$AV$5,MATCH(MAX($AM56:$AV56),$AM56:$AV56,0))))</f>
        <v/>
      </c>
      <c r="L56" s="106" t="n"/>
      <c r="M56" s="106" t="n"/>
      <c r="N56" s="112" t="n"/>
      <c r="O56" s="29" t="n"/>
      <c r="Q56" s="109">
        <f>IF(OR($B56="",Q$5=""),0,COUNTIFS('Trade Log'!$A$6:$A$1005,"&gt;="&amp;$B56,'Trade Log'!$A$6:$A$1005,"&lt;="&amp;($B56+6),'Trade Log'!$AB$6:$AB$1005,Q$5))</f>
        <v>0</v>
      </c>
      <c r="R56" s="109">
        <f>IF(OR($B56="",R$5=""),0,COUNTIFS('Trade Log'!$A$6:$A$1005,"&gt;="&amp;$B56,'Trade Log'!$A$6:$A$1005,"&lt;="&amp;($B56+6),'Trade Log'!$AB$6:$AB$1005,R$5))</f>
        <v>0</v>
      </c>
      <c r="S56" s="109">
        <f>IF(OR($B56="",S$5=""),0,COUNTIFS('Trade Log'!$A$6:$A$1005,"&gt;="&amp;$B56,'Trade Log'!$A$6:$A$1005,"&lt;="&amp;($B56+6),'Trade Log'!$AB$6:$AB$1005,S$5))</f>
        <v>0</v>
      </c>
      <c r="T56" s="109">
        <f>IF(OR($B56="",T$5=""),0,COUNTIFS('Trade Log'!$A$6:$A$1005,"&gt;="&amp;$B56,'Trade Log'!$A$6:$A$1005,"&lt;="&amp;($B56+6),'Trade Log'!$AB$6:$AB$1005,T$5))</f>
        <v>0</v>
      </c>
      <c r="U56" s="109">
        <f>IF(OR($B56="",U$5=""),0,COUNTIFS('Trade Log'!$A$6:$A$1005,"&gt;="&amp;$B56,'Trade Log'!$A$6:$A$1005,"&lt;="&amp;($B56+6),'Trade Log'!$AB$6:$AB$1005,U$5))</f>
        <v>0</v>
      </c>
      <c r="V56" s="109">
        <f>IF(OR($B56="",V$5=""),0,COUNTIFS('Trade Log'!$A$6:$A$1005,"&gt;="&amp;$B56,'Trade Log'!$A$6:$A$1005,"&lt;="&amp;($B56+6),'Trade Log'!$AB$6:$AB$1005,V$5))</f>
        <v>0</v>
      </c>
      <c r="W56" s="109">
        <f>IF(OR($B56="",W$5=""),0,COUNTIFS('Trade Log'!$A$6:$A$1005,"&gt;="&amp;$B56,'Trade Log'!$A$6:$A$1005,"&lt;="&amp;($B56+6),'Trade Log'!$AB$6:$AB$1005,W$5))</f>
        <v>0</v>
      </c>
      <c r="X56" s="109">
        <f>IF(OR($B56="",X$5=""),0,COUNTIFS('Trade Log'!$A$6:$A$1005,"&gt;="&amp;$B56,'Trade Log'!$A$6:$A$1005,"&lt;="&amp;($B56+6),'Trade Log'!$AB$6:$AB$1005,X$5))</f>
        <v>0</v>
      </c>
      <c r="Y56" s="109">
        <f>IF(OR($B56="",Y$5=""),0,COUNTIFS('Trade Log'!$A$6:$A$1005,"&gt;="&amp;$B56,'Trade Log'!$A$6:$A$1005,"&lt;="&amp;($B56+6),'Trade Log'!$AB$6:$AB$1005,Y$5))</f>
        <v>0</v>
      </c>
      <c r="Z56" s="109">
        <f>IF(OR($B56="",Z$5=""),0,COUNTIFS('Trade Log'!$A$6:$A$1005,"&gt;="&amp;$B56,'Trade Log'!$A$6:$A$1005,"&lt;="&amp;($B56+6),'Trade Log'!$AB$6:$AB$1005,Z$5))</f>
        <v>0</v>
      </c>
      <c r="AA56" s="109">
        <f>IF(OR($B56="",AA$5=""),0,COUNTIFS('Trade Log'!$A$6:$A$1005,"&gt;="&amp;$B56,'Trade Log'!$A$6:$A$1005,"&lt;="&amp;($B56+6),'Trade Log'!$AB$6:$AB$1005,AA$5))</f>
        <v>0</v>
      </c>
      <c r="AB56" s="109">
        <f>IF(OR($B56="",AB$5=""),0,COUNTIFS('Trade Log'!$A$6:$A$1005,"&gt;="&amp;$B56,'Trade Log'!$A$6:$A$1005,"&lt;="&amp;($B56+6),'Trade Log'!$AB$6:$AB$1005,AB$5))</f>
        <v>0</v>
      </c>
      <c r="AC56" s="113">
        <f>IF(OR($B56="",AC$5=""),0,SUMIFS('Trade Log'!$Q$6:$Q$1005,'Trade Log'!$A$6:$A$1005,"&gt;="&amp;$B56,'Trade Log'!$A$6:$A$1005,"&lt;="&amp;($B56+6),'Trade Log'!$AA$6:$AA$1005,AC$5))</f>
        <v>0</v>
      </c>
      <c r="AD56" s="113">
        <f>IF(OR($B56="",AD$5=""),0,SUMIFS('Trade Log'!$Q$6:$Q$1005,'Trade Log'!$A$6:$A$1005,"&gt;="&amp;$B56,'Trade Log'!$A$6:$A$1005,"&lt;="&amp;($B56+6),'Trade Log'!$AA$6:$AA$1005,AD$5))</f>
        <v>0</v>
      </c>
      <c r="AE56" s="113">
        <f>IF(OR($B56="",AE$5=""),0,SUMIFS('Trade Log'!$Q$6:$Q$1005,'Trade Log'!$A$6:$A$1005,"&gt;="&amp;$B56,'Trade Log'!$A$6:$A$1005,"&lt;="&amp;($B56+6),'Trade Log'!$AA$6:$AA$1005,AE$5))</f>
        <v>0</v>
      </c>
      <c r="AF56" s="113">
        <f>IF(OR($B56="",AF$5=""),0,SUMIFS('Trade Log'!$Q$6:$Q$1005,'Trade Log'!$A$6:$A$1005,"&gt;="&amp;$B56,'Trade Log'!$A$6:$A$1005,"&lt;="&amp;($B56+6),'Trade Log'!$AA$6:$AA$1005,AF$5))</f>
        <v>0</v>
      </c>
      <c r="AG56" s="113">
        <f>IF(OR($B56="",AG$5=""),0,SUMIFS('Trade Log'!$Q$6:$Q$1005,'Trade Log'!$A$6:$A$1005,"&gt;="&amp;$B56,'Trade Log'!$A$6:$A$1005,"&lt;="&amp;($B56+6),'Trade Log'!$AA$6:$AA$1005,AG$5))</f>
        <v>0</v>
      </c>
      <c r="AH56" s="113">
        <f>IF(OR($B56="",AH$5=""),0,SUMIFS('Trade Log'!$Q$6:$Q$1005,'Trade Log'!$A$6:$A$1005,"&gt;="&amp;$B56,'Trade Log'!$A$6:$A$1005,"&lt;="&amp;($B56+6),'Trade Log'!$AA$6:$AA$1005,AH$5))</f>
        <v>0</v>
      </c>
      <c r="AI56" s="113">
        <f>IF(OR($B56="",AI$5=""),0,SUMIFS('Trade Log'!$Q$6:$Q$1005,'Trade Log'!$A$6:$A$1005,"&gt;="&amp;$B56,'Trade Log'!$A$6:$A$1005,"&lt;="&amp;($B56+6),'Trade Log'!$AA$6:$AA$1005,AI$5))</f>
        <v>0</v>
      </c>
      <c r="AJ56" s="113">
        <f>IF(OR($B56="",AJ$5=""),0,SUMIFS('Trade Log'!$Q$6:$Q$1005,'Trade Log'!$A$6:$A$1005,"&gt;="&amp;$B56,'Trade Log'!$A$6:$A$1005,"&lt;="&amp;($B56+6),'Trade Log'!$AA$6:$AA$1005,AJ$5))</f>
        <v>0</v>
      </c>
      <c r="AK56" s="113">
        <f>IF(OR($B56="",AK$5=""),0,SUMIFS('Trade Log'!$Q$6:$Q$1005,'Trade Log'!$A$6:$A$1005,"&gt;="&amp;$B56,'Trade Log'!$A$6:$A$1005,"&lt;="&amp;($B56+6),'Trade Log'!$AA$6:$AA$1005,AK$5))</f>
        <v>0</v>
      </c>
      <c r="AL56" s="113">
        <f>IF(OR($B56="",AL$5=""),0,SUMIFS('Trade Log'!$Q$6:$Q$1005,'Trade Log'!$A$6:$A$1005,"&gt;="&amp;$B56,'Trade Log'!$A$6:$A$1005,"&lt;="&amp;($B56+6),'Trade Log'!$AA$6:$AA$1005,AL$5))</f>
        <v>0</v>
      </c>
      <c r="AM56" s="113">
        <f>IF(OR($B56="",AM$5=""),0,SUMIFS('Trade Log'!$Q$6:$Q$1005,'Trade Log'!$A$6:$A$1005,"&gt;="&amp;$B56,'Trade Log'!$A$6:$A$1005,"&lt;="&amp;($B56+6),'Trade Log'!$Y$6:$Y$1005,AM$5))</f>
        <v>0</v>
      </c>
      <c r="AN56" s="113">
        <f>IF(OR($B56="",AN$5=""),0,SUMIFS('Trade Log'!$Q$6:$Q$1005,'Trade Log'!$A$6:$A$1005,"&gt;="&amp;$B56,'Trade Log'!$A$6:$A$1005,"&lt;="&amp;($B56+6),'Trade Log'!$Y$6:$Y$1005,AN$5))</f>
        <v>0</v>
      </c>
      <c r="AO56" s="113">
        <f>IF(OR($B56="",AO$5=""),0,SUMIFS('Trade Log'!$Q$6:$Q$1005,'Trade Log'!$A$6:$A$1005,"&gt;="&amp;$B56,'Trade Log'!$A$6:$A$1005,"&lt;="&amp;($B56+6),'Trade Log'!$Y$6:$Y$1005,AO$5))</f>
        <v>0</v>
      </c>
      <c r="AP56" s="113">
        <f>IF(OR($B56="",AP$5=""),0,SUMIFS('Trade Log'!$Q$6:$Q$1005,'Trade Log'!$A$6:$A$1005,"&gt;="&amp;$B56,'Trade Log'!$A$6:$A$1005,"&lt;="&amp;($B56+6),'Trade Log'!$Y$6:$Y$1005,AP$5))</f>
        <v>0</v>
      </c>
      <c r="AQ56" s="113">
        <f>IF(OR($B56="",AQ$5=""),0,SUMIFS('Trade Log'!$Q$6:$Q$1005,'Trade Log'!$A$6:$A$1005,"&gt;="&amp;$B56,'Trade Log'!$A$6:$A$1005,"&lt;="&amp;($B56+6),'Trade Log'!$Y$6:$Y$1005,AQ$5))</f>
        <v>0</v>
      </c>
      <c r="AR56" s="113">
        <f>IF(OR($B56="",AR$5=""),0,SUMIFS('Trade Log'!$Q$6:$Q$1005,'Trade Log'!$A$6:$A$1005,"&gt;="&amp;$B56,'Trade Log'!$A$6:$A$1005,"&lt;="&amp;($B56+6),'Trade Log'!$Y$6:$Y$1005,AR$5))</f>
        <v>0</v>
      </c>
      <c r="AS56" s="113">
        <f>IF(OR($B56="",AS$5=""),0,SUMIFS('Trade Log'!$Q$6:$Q$1005,'Trade Log'!$A$6:$A$1005,"&gt;="&amp;$B56,'Trade Log'!$A$6:$A$1005,"&lt;="&amp;($B56+6),'Trade Log'!$Y$6:$Y$1005,AS$5))</f>
        <v>0</v>
      </c>
      <c r="AT56" s="113">
        <f>IF(OR($B56="",AT$5=""),0,SUMIFS('Trade Log'!$Q$6:$Q$1005,'Trade Log'!$A$6:$A$1005,"&gt;="&amp;$B56,'Trade Log'!$A$6:$A$1005,"&lt;="&amp;($B56+6),'Trade Log'!$Y$6:$Y$1005,AT$5))</f>
        <v>0</v>
      </c>
      <c r="AU56" s="113">
        <f>IF(OR($B56="",AU$5=""),0,SUMIFS('Trade Log'!$Q$6:$Q$1005,'Trade Log'!$A$6:$A$1005,"&gt;="&amp;$B56,'Trade Log'!$A$6:$A$1005,"&lt;="&amp;($B56+6),'Trade Log'!$Y$6:$Y$1005,AU$5))</f>
        <v>0</v>
      </c>
      <c r="AV56" s="113">
        <f>IF(OR($B56="",AV$5=""),0,SUMIFS('Trade Log'!$Q$6:$Q$1005,'Trade Log'!$A$6:$A$1005,"&gt;="&amp;$B56,'Trade Log'!$A$6:$A$1005,"&lt;="&amp;($B56+6),'Trade Log'!$Y$6:$Y$1005,AV$5))</f>
        <v>0</v>
      </c>
    </row>
    <row r="57">
      <c r="B57" s="107">
        <f>IF($B56="","",$B56+7)</f>
        <v>46643</v>
      </c>
      <c r="C57" s="96">
        <f>IF($B57="","",COUNTIFS('Trade Log'!$A$6:$A$1005,"&gt;="&amp;$B57,'Trade Log'!$A$6:$A$1005,"&lt;="&amp;($B57+6),'Trade Log'!$BH$6:$BH$1005,1))</f>
        <v>0</v>
      </c>
      <c r="D57" s="98" t="str">
        <f>IF(OR($B57="",N($C57)=0),"",SUMIFS('Trade Log'!$Q$6:$Q$1005,'Trade Log'!$A$6:$A$1005,"&gt;="&amp;$B57,'Trade Log'!$A$6:$A$1005,"&lt;="&amp;($B57+6)))</f>
        <v/>
      </c>
      <c r="E57" s="99" t="str">
        <f>IF(OR($B57="",N($C57)=0),"",IFERROR(COUNTIFS('Trade Log'!$A$6:$A$1005,"&gt;="&amp;$B57,'Trade Log'!$A$6:$A$1005,"&lt;="&amp;($B57+6),'Trade Log'!$S$6:$S$1005,"Win")/(COUNTIFS('Trade Log'!$A$6:$A$1005,"&gt;="&amp;$B57,'Trade Log'!$A$6:$A$1005,"&lt;="&amp;($B57+6),'Trade Log'!$S$6:$S$1005,"Win")+COUNTIFS('Trade Log'!$A$6:$A$1005,"&gt;="&amp;$B57,'Trade Log'!$A$6:$A$1005,"&lt;="&amp;($B57+6),'Trade Log'!$S$6:$S$1005,"Loss")),"—"))</f>
        <v/>
      </c>
      <c r="F57" s="104" t="str">
        <f>IF(OR($B57="",N($C57)=0),"",IFERROR(SUMIFS('Trade Log'!$R$6:$R$1005,'Trade Log'!$A$6:$A$1005,"&gt;="&amp;$B57,'Trade Log'!$A$6:$A$1005,"&lt;="&amp;($B57+6))/COUNTIFS('Trade Log'!$A$6:$A$1005,"&gt;="&amp;$B57,'Trade Log'!$A$6:$A$1005,"&lt;="&amp;($B57+6),'Trade Log'!$BC$6:$BC$1005,1),"—"))</f>
        <v/>
      </c>
      <c r="G57" s="110" t="str">
        <f>IF(OR($B57="",N($C57)=0),"",IF(SUMIFS('Trade Log'!$Q$6:$Q$1005,'Trade Log'!$A$6:$A$1005,"&gt;="&amp;$B57,'Trade Log'!$A$6:$A$1005,"&lt;="&amp;($B57+6),'Trade Log'!$Q$6:$Q$1005,"&lt;0")=0,IF(SUMIFS('Trade Log'!$Q$6:$Q$1005,'Trade Log'!$A$6:$A$1005,"&gt;="&amp;$B57,'Trade Log'!$A$6:$A$1005,"&lt;="&amp;($B57+6),'Trade Log'!$Q$6:$Q$1005,"&gt;0")&gt;0,"No losses","—"),SUMIFS('Trade Log'!$Q$6:$Q$1005,'Trade Log'!$A$6:$A$1005,"&gt;="&amp;$B57,'Trade Log'!$A$6:$A$1005,"&lt;="&amp;($B57+6),'Trade Log'!$Q$6:$Q$1005,"&gt;0")/-SUMIFS('Trade Log'!$Q$6:$Q$1005,'Trade Log'!$A$6:$A$1005,"&gt;="&amp;$B57,'Trade Log'!$A$6:$A$1005,"&lt;="&amp;($B57+6),'Trade Log'!$Q$6:$Q$1005,"&lt;0")))</f>
        <v/>
      </c>
      <c r="H57" s="99" t="str">
        <f>IF(OR($B57="",N($C57)=0),"",IFERROR(COUNTIFS('Trade Log'!$A$6:$A$1005,"&gt;="&amp;$B57,'Trade Log'!$A$6:$A$1005,"&lt;="&amp;($B57+6),'Trade Log'!$Z$6:$Z$1005,"Yes")/(COUNTIFS('Trade Log'!$A$6:$A$1005,"&gt;="&amp;$B57,'Trade Log'!$A$6:$A$1005,"&lt;="&amp;($B57+6),'Trade Log'!$Z$6:$Z$1005,"Yes")+COUNTIFS('Trade Log'!$A$6:$A$1005,"&gt;="&amp;$B57,'Trade Log'!$A$6:$A$1005,"&lt;="&amp;($B57+6),'Trade Log'!$Z$6:$Z$1005,"No")),"—"))</f>
        <v/>
      </c>
      <c r="I57" s="111" t="str">
        <f>IF(OR($B57="",N($C57)=0),"",IF(MAX($Q57:$AB57)=0,"None — clean week",INDEX($Q$5:$AB$5,MATCH(MAX($Q57:$AB57),$Q57:$AB57,0))))</f>
        <v/>
      </c>
      <c r="J57" s="111" t="str">
        <f>IF(OR($B57="",N($C57)=0),"",IF(MIN($AC57:$AL57)&gt;=0,"None lost money",INDEX($AC$5:$AL$5,MATCH(MIN($AC57:$AL57),$AC57:$AL57,0))))</f>
        <v/>
      </c>
      <c r="K57" s="111" t="str">
        <f>IF(OR($B57="",N($C57)=0),"",IF(MAX($AM57:$AV57)&lt;=0,"None made money",INDEX($AM$5:$AV$5,MATCH(MAX($AM57:$AV57),$AM57:$AV57,0))))</f>
        <v/>
      </c>
      <c r="L57" s="106" t="n"/>
      <c r="M57" s="106" t="n"/>
      <c r="N57" s="112" t="n"/>
      <c r="O57" s="29" t="n"/>
      <c r="Q57" s="109">
        <f>IF(OR($B57="",Q$5=""),0,COUNTIFS('Trade Log'!$A$6:$A$1005,"&gt;="&amp;$B57,'Trade Log'!$A$6:$A$1005,"&lt;="&amp;($B57+6),'Trade Log'!$AB$6:$AB$1005,Q$5))</f>
        <v>0</v>
      </c>
      <c r="R57" s="109">
        <f>IF(OR($B57="",R$5=""),0,COUNTIFS('Trade Log'!$A$6:$A$1005,"&gt;="&amp;$B57,'Trade Log'!$A$6:$A$1005,"&lt;="&amp;($B57+6),'Trade Log'!$AB$6:$AB$1005,R$5))</f>
        <v>0</v>
      </c>
      <c r="S57" s="109">
        <f>IF(OR($B57="",S$5=""),0,COUNTIFS('Trade Log'!$A$6:$A$1005,"&gt;="&amp;$B57,'Trade Log'!$A$6:$A$1005,"&lt;="&amp;($B57+6),'Trade Log'!$AB$6:$AB$1005,S$5))</f>
        <v>0</v>
      </c>
      <c r="T57" s="109">
        <f>IF(OR($B57="",T$5=""),0,COUNTIFS('Trade Log'!$A$6:$A$1005,"&gt;="&amp;$B57,'Trade Log'!$A$6:$A$1005,"&lt;="&amp;($B57+6),'Trade Log'!$AB$6:$AB$1005,T$5))</f>
        <v>0</v>
      </c>
      <c r="U57" s="109">
        <f>IF(OR($B57="",U$5=""),0,COUNTIFS('Trade Log'!$A$6:$A$1005,"&gt;="&amp;$B57,'Trade Log'!$A$6:$A$1005,"&lt;="&amp;($B57+6),'Trade Log'!$AB$6:$AB$1005,U$5))</f>
        <v>0</v>
      </c>
      <c r="V57" s="109">
        <f>IF(OR($B57="",V$5=""),0,COUNTIFS('Trade Log'!$A$6:$A$1005,"&gt;="&amp;$B57,'Trade Log'!$A$6:$A$1005,"&lt;="&amp;($B57+6),'Trade Log'!$AB$6:$AB$1005,V$5))</f>
        <v>0</v>
      </c>
      <c r="W57" s="109">
        <f>IF(OR($B57="",W$5=""),0,COUNTIFS('Trade Log'!$A$6:$A$1005,"&gt;="&amp;$B57,'Trade Log'!$A$6:$A$1005,"&lt;="&amp;($B57+6),'Trade Log'!$AB$6:$AB$1005,W$5))</f>
        <v>0</v>
      </c>
      <c r="X57" s="109">
        <f>IF(OR($B57="",X$5=""),0,COUNTIFS('Trade Log'!$A$6:$A$1005,"&gt;="&amp;$B57,'Trade Log'!$A$6:$A$1005,"&lt;="&amp;($B57+6),'Trade Log'!$AB$6:$AB$1005,X$5))</f>
        <v>0</v>
      </c>
      <c r="Y57" s="109">
        <f>IF(OR($B57="",Y$5=""),0,COUNTIFS('Trade Log'!$A$6:$A$1005,"&gt;="&amp;$B57,'Trade Log'!$A$6:$A$1005,"&lt;="&amp;($B57+6),'Trade Log'!$AB$6:$AB$1005,Y$5))</f>
        <v>0</v>
      </c>
      <c r="Z57" s="109">
        <f>IF(OR($B57="",Z$5=""),0,COUNTIFS('Trade Log'!$A$6:$A$1005,"&gt;="&amp;$B57,'Trade Log'!$A$6:$A$1005,"&lt;="&amp;($B57+6),'Trade Log'!$AB$6:$AB$1005,Z$5))</f>
        <v>0</v>
      </c>
      <c r="AA57" s="109">
        <f>IF(OR($B57="",AA$5=""),0,COUNTIFS('Trade Log'!$A$6:$A$1005,"&gt;="&amp;$B57,'Trade Log'!$A$6:$A$1005,"&lt;="&amp;($B57+6),'Trade Log'!$AB$6:$AB$1005,AA$5))</f>
        <v>0</v>
      </c>
      <c r="AB57" s="109">
        <f>IF(OR($B57="",AB$5=""),0,COUNTIFS('Trade Log'!$A$6:$A$1005,"&gt;="&amp;$B57,'Trade Log'!$A$6:$A$1005,"&lt;="&amp;($B57+6),'Trade Log'!$AB$6:$AB$1005,AB$5))</f>
        <v>0</v>
      </c>
      <c r="AC57" s="113">
        <f>IF(OR($B57="",AC$5=""),0,SUMIFS('Trade Log'!$Q$6:$Q$1005,'Trade Log'!$A$6:$A$1005,"&gt;="&amp;$B57,'Trade Log'!$A$6:$A$1005,"&lt;="&amp;($B57+6),'Trade Log'!$AA$6:$AA$1005,AC$5))</f>
        <v>0</v>
      </c>
      <c r="AD57" s="113">
        <f>IF(OR($B57="",AD$5=""),0,SUMIFS('Trade Log'!$Q$6:$Q$1005,'Trade Log'!$A$6:$A$1005,"&gt;="&amp;$B57,'Trade Log'!$A$6:$A$1005,"&lt;="&amp;($B57+6),'Trade Log'!$AA$6:$AA$1005,AD$5))</f>
        <v>0</v>
      </c>
      <c r="AE57" s="113">
        <f>IF(OR($B57="",AE$5=""),0,SUMIFS('Trade Log'!$Q$6:$Q$1005,'Trade Log'!$A$6:$A$1005,"&gt;="&amp;$B57,'Trade Log'!$A$6:$A$1005,"&lt;="&amp;($B57+6),'Trade Log'!$AA$6:$AA$1005,AE$5))</f>
        <v>0</v>
      </c>
      <c r="AF57" s="113">
        <f>IF(OR($B57="",AF$5=""),0,SUMIFS('Trade Log'!$Q$6:$Q$1005,'Trade Log'!$A$6:$A$1005,"&gt;="&amp;$B57,'Trade Log'!$A$6:$A$1005,"&lt;="&amp;($B57+6),'Trade Log'!$AA$6:$AA$1005,AF$5))</f>
        <v>0</v>
      </c>
      <c r="AG57" s="113">
        <f>IF(OR($B57="",AG$5=""),0,SUMIFS('Trade Log'!$Q$6:$Q$1005,'Trade Log'!$A$6:$A$1005,"&gt;="&amp;$B57,'Trade Log'!$A$6:$A$1005,"&lt;="&amp;($B57+6),'Trade Log'!$AA$6:$AA$1005,AG$5))</f>
        <v>0</v>
      </c>
      <c r="AH57" s="113">
        <f>IF(OR($B57="",AH$5=""),0,SUMIFS('Trade Log'!$Q$6:$Q$1005,'Trade Log'!$A$6:$A$1005,"&gt;="&amp;$B57,'Trade Log'!$A$6:$A$1005,"&lt;="&amp;($B57+6),'Trade Log'!$AA$6:$AA$1005,AH$5))</f>
        <v>0</v>
      </c>
      <c r="AI57" s="113">
        <f>IF(OR($B57="",AI$5=""),0,SUMIFS('Trade Log'!$Q$6:$Q$1005,'Trade Log'!$A$6:$A$1005,"&gt;="&amp;$B57,'Trade Log'!$A$6:$A$1005,"&lt;="&amp;($B57+6),'Trade Log'!$AA$6:$AA$1005,AI$5))</f>
        <v>0</v>
      </c>
      <c r="AJ57" s="113">
        <f>IF(OR($B57="",AJ$5=""),0,SUMIFS('Trade Log'!$Q$6:$Q$1005,'Trade Log'!$A$6:$A$1005,"&gt;="&amp;$B57,'Trade Log'!$A$6:$A$1005,"&lt;="&amp;($B57+6),'Trade Log'!$AA$6:$AA$1005,AJ$5))</f>
        <v>0</v>
      </c>
      <c r="AK57" s="113">
        <f>IF(OR($B57="",AK$5=""),0,SUMIFS('Trade Log'!$Q$6:$Q$1005,'Trade Log'!$A$6:$A$1005,"&gt;="&amp;$B57,'Trade Log'!$A$6:$A$1005,"&lt;="&amp;($B57+6),'Trade Log'!$AA$6:$AA$1005,AK$5))</f>
        <v>0</v>
      </c>
      <c r="AL57" s="113">
        <f>IF(OR($B57="",AL$5=""),0,SUMIFS('Trade Log'!$Q$6:$Q$1005,'Trade Log'!$A$6:$A$1005,"&gt;="&amp;$B57,'Trade Log'!$A$6:$A$1005,"&lt;="&amp;($B57+6),'Trade Log'!$AA$6:$AA$1005,AL$5))</f>
        <v>0</v>
      </c>
      <c r="AM57" s="113">
        <f>IF(OR($B57="",AM$5=""),0,SUMIFS('Trade Log'!$Q$6:$Q$1005,'Trade Log'!$A$6:$A$1005,"&gt;="&amp;$B57,'Trade Log'!$A$6:$A$1005,"&lt;="&amp;($B57+6),'Trade Log'!$Y$6:$Y$1005,AM$5))</f>
        <v>0</v>
      </c>
      <c r="AN57" s="113">
        <f>IF(OR($B57="",AN$5=""),0,SUMIFS('Trade Log'!$Q$6:$Q$1005,'Trade Log'!$A$6:$A$1005,"&gt;="&amp;$B57,'Trade Log'!$A$6:$A$1005,"&lt;="&amp;($B57+6),'Trade Log'!$Y$6:$Y$1005,AN$5))</f>
        <v>0</v>
      </c>
      <c r="AO57" s="113">
        <f>IF(OR($B57="",AO$5=""),0,SUMIFS('Trade Log'!$Q$6:$Q$1005,'Trade Log'!$A$6:$A$1005,"&gt;="&amp;$B57,'Trade Log'!$A$6:$A$1005,"&lt;="&amp;($B57+6),'Trade Log'!$Y$6:$Y$1005,AO$5))</f>
        <v>0</v>
      </c>
      <c r="AP57" s="113">
        <f>IF(OR($B57="",AP$5=""),0,SUMIFS('Trade Log'!$Q$6:$Q$1005,'Trade Log'!$A$6:$A$1005,"&gt;="&amp;$B57,'Trade Log'!$A$6:$A$1005,"&lt;="&amp;($B57+6),'Trade Log'!$Y$6:$Y$1005,AP$5))</f>
        <v>0</v>
      </c>
      <c r="AQ57" s="113">
        <f>IF(OR($B57="",AQ$5=""),0,SUMIFS('Trade Log'!$Q$6:$Q$1005,'Trade Log'!$A$6:$A$1005,"&gt;="&amp;$B57,'Trade Log'!$A$6:$A$1005,"&lt;="&amp;($B57+6),'Trade Log'!$Y$6:$Y$1005,AQ$5))</f>
        <v>0</v>
      </c>
      <c r="AR57" s="113">
        <f>IF(OR($B57="",AR$5=""),0,SUMIFS('Trade Log'!$Q$6:$Q$1005,'Trade Log'!$A$6:$A$1005,"&gt;="&amp;$B57,'Trade Log'!$A$6:$A$1005,"&lt;="&amp;($B57+6),'Trade Log'!$Y$6:$Y$1005,AR$5))</f>
        <v>0</v>
      </c>
      <c r="AS57" s="113">
        <f>IF(OR($B57="",AS$5=""),0,SUMIFS('Trade Log'!$Q$6:$Q$1005,'Trade Log'!$A$6:$A$1005,"&gt;="&amp;$B57,'Trade Log'!$A$6:$A$1005,"&lt;="&amp;($B57+6),'Trade Log'!$Y$6:$Y$1005,AS$5))</f>
        <v>0</v>
      </c>
      <c r="AT57" s="113">
        <f>IF(OR($B57="",AT$5=""),0,SUMIFS('Trade Log'!$Q$6:$Q$1005,'Trade Log'!$A$6:$A$1005,"&gt;="&amp;$B57,'Trade Log'!$A$6:$A$1005,"&lt;="&amp;($B57+6),'Trade Log'!$Y$6:$Y$1005,AT$5))</f>
        <v>0</v>
      </c>
      <c r="AU57" s="113">
        <f>IF(OR($B57="",AU$5=""),0,SUMIFS('Trade Log'!$Q$6:$Q$1005,'Trade Log'!$A$6:$A$1005,"&gt;="&amp;$B57,'Trade Log'!$A$6:$A$1005,"&lt;="&amp;($B57+6),'Trade Log'!$Y$6:$Y$1005,AU$5))</f>
        <v>0</v>
      </c>
      <c r="AV57" s="113">
        <f>IF(OR($B57="",AV$5=""),0,SUMIFS('Trade Log'!$Q$6:$Q$1005,'Trade Log'!$A$6:$A$1005,"&gt;="&amp;$B57,'Trade Log'!$A$6:$A$1005,"&lt;="&amp;($B57+6),'Trade Log'!$Y$6:$Y$1005,AV$5))</f>
        <v>0</v>
      </c>
    </row>
    <row r="58">
      <c r="B58" s="107">
        <f>IF($B57="","",$B57+7)</f>
        <v>46650</v>
      </c>
      <c r="C58" s="96">
        <f>IF($B58="","",COUNTIFS('Trade Log'!$A$6:$A$1005,"&gt;="&amp;$B58,'Trade Log'!$A$6:$A$1005,"&lt;="&amp;($B58+6),'Trade Log'!$BH$6:$BH$1005,1))</f>
        <v>0</v>
      </c>
      <c r="D58" s="98" t="str">
        <f>IF(OR($B58="",N($C58)=0),"",SUMIFS('Trade Log'!$Q$6:$Q$1005,'Trade Log'!$A$6:$A$1005,"&gt;="&amp;$B58,'Trade Log'!$A$6:$A$1005,"&lt;="&amp;($B58+6)))</f>
        <v/>
      </c>
      <c r="E58" s="99" t="str">
        <f>IF(OR($B58="",N($C58)=0),"",IFERROR(COUNTIFS('Trade Log'!$A$6:$A$1005,"&gt;="&amp;$B58,'Trade Log'!$A$6:$A$1005,"&lt;="&amp;($B58+6),'Trade Log'!$S$6:$S$1005,"Win")/(COUNTIFS('Trade Log'!$A$6:$A$1005,"&gt;="&amp;$B58,'Trade Log'!$A$6:$A$1005,"&lt;="&amp;($B58+6),'Trade Log'!$S$6:$S$1005,"Win")+COUNTIFS('Trade Log'!$A$6:$A$1005,"&gt;="&amp;$B58,'Trade Log'!$A$6:$A$1005,"&lt;="&amp;($B58+6),'Trade Log'!$S$6:$S$1005,"Loss")),"—"))</f>
        <v/>
      </c>
      <c r="F58" s="104" t="str">
        <f>IF(OR($B58="",N($C58)=0),"",IFERROR(SUMIFS('Trade Log'!$R$6:$R$1005,'Trade Log'!$A$6:$A$1005,"&gt;="&amp;$B58,'Trade Log'!$A$6:$A$1005,"&lt;="&amp;($B58+6))/COUNTIFS('Trade Log'!$A$6:$A$1005,"&gt;="&amp;$B58,'Trade Log'!$A$6:$A$1005,"&lt;="&amp;($B58+6),'Trade Log'!$BC$6:$BC$1005,1),"—"))</f>
        <v/>
      </c>
      <c r="G58" s="110" t="str">
        <f>IF(OR($B58="",N($C58)=0),"",IF(SUMIFS('Trade Log'!$Q$6:$Q$1005,'Trade Log'!$A$6:$A$1005,"&gt;="&amp;$B58,'Trade Log'!$A$6:$A$1005,"&lt;="&amp;($B58+6),'Trade Log'!$Q$6:$Q$1005,"&lt;0")=0,IF(SUMIFS('Trade Log'!$Q$6:$Q$1005,'Trade Log'!$A$6:$A$1005,"&gt;="&amp;$B58,'Trade Log'!$A$6:$A$1005,"&lt;="&amp;($B58+6),'Trade Log'!$Q$6:$Q$1005,"&gt;0")&gt;0,"No losses","—"),SUMIFS('Trade Log'!$Q$6:$Q$1005,'Trade Log'!$A$6:$A$1005,"&gt;="&amp;$B58,'Trade Log'!$A$6:$A$1005,"&lt;="&amp;($B58+6),'Trade Log'!$Q$6:$Q$1005,"&gt;0")/-SUMIFS('Trade Log'!$Q$6:$Q$1005,'Trade Log'!$A$6:$A$1005,"&gt;="&amp;$B58,'Trade Log'!$A$6:$A$1005,"&lt;="&amp;($B58+6),'Trade Log'!$Q$6:$Q$1005,"&lt;0")))</f>
        <v/>
      </c>
      <c r="H58" s="99" t="str">
        <f>IF(OR($B58="",N($C58)=0),"",IFERROR(COUNTIFS('Trade Log'!$A$6:$A$1005,"&gt;="&amp;$B58,'Trade Log'!$A$6:$A$1005,"&lt;="&amp;($B58+6),'Trade Log'!$Z$6:$Z$1005,"Yes")/(COUNTIFS('Trade Log'!$A$6:$A$1005,"&gt;="&amp;$B58,'Trade Log'!$A$6:$A$1005,"&lt;="&amp;($B58+6),'Trade Log'!$Z$6:$Z$1005,"Yes")+COUNTIFS('Trade Log'!$A$6:$A$1005,"&gt;="&amp;$B58,'Trade Log'!$A$6:$A$1005,"&lt;="&amp;($B58+6),'Trade Log'!$Z$6:$Z$1005,"No")),"—"))</f>
        <v/>
      </c>
      <c r="I58" s="111" t="str">
        <f>IF(OR($B58="",N($C58)=0),"",IF(MAX($Q58:$AB58)=0,"None — clean week",INDEX($Q$5:$AB$5,MATCH(MAX($Q58:$AB58),$Q58:$AB58,0))))</f>
        <v/>
      </c>
      <c r="J58" s="111" t="str">
        <f>IF(OR($B58="",N($C58)=0),"",IF(MIN($AC58:$AL58)&gt;=0,"None lost money",INDEX($AC$5:$AL$5,MATCH(MIN($AC58:$AL58),$AC58:$AL58,0))))</f>
        <v/>
      </c>
      <c r="K58" s="111" t="str">
        <f>IF(OR($B58="",N($C58)=0),"",IF(MAX($AM58:$AV58)&lt;=0,"None made money",INDEX($AM$5:$AV$5,MATCH(MAX($AM58:$AV58),$AM58:$AV58,0))))</f>
        <v/>
      </c>
      <c r="L58" s="106" t="n"/>
      <c r="M58" s="106" t="n"/>
      <c r="N58" s="112" t="n"/>
      <c r="O58" s="29" t="n"/>
      <c r="Q58" s="109">
        <f>IF(OR($B58="",Q$5=""),0,COUNTIFS('Trade Log'!$A$6:$A$1005,"&gt;="&amp;$B58,'Trade Log'!$A$6:$A$1005,"&lt;="&amp;($B58+6),'Trade Log'!$AB$6:$AB$1005,Q$5))</f>
        <v>0</v>
      </c>
      <c r="R58" s="109">
        <f>IF(OR($B58="",R$5=""),0,COUNTIFS('Trade Log'!$A$6:$A$1005,"&gt;="&amp;$B58,'Trade Log'!$A$6:$A$1005,"&lt;="&amp;($B58+6),'Trade Log'!$AB$6:$AB$1005,R$5))</f>
        <v>0</v>
      </c>
      <c r="S58" s="109">
        <f>IF(OR($B58="",S$5=""),0,COUNTIFS('Trade Log'!$A$6:$A$1005,"&gt;="&amp;$B58,'Trade Log'!$A$6:$A$1005,"&lt;="&amp;($B58+6),'Trade Log'!$AB$6:$AB$1005,S$5))</f>
        <v>0</v>
      </c>
      <c r="T58" s="109">
        <f>IF(OR($B58="",T$5=""),0,COUNTIFS('Trade Log'!$A$6:$A$1005,"&gt;="&amp;$B58,'Trade Log'!$A$6:$A$1005,"&lt;="&amp;($B58+6),'Trade Log'!$AB$6:$AB$1005,T$5))</f>
        <v>0</v>
      </c>
      <c r="U58" s="109">
        <f>IF(OR($B58="",U$5=""),0,COUNTIFS('Trade Log'!$A$6:$A$1005,"&gt;="&amp;$B58,'Trade Log'!$A$6:$A$1005,"&lt;="&amp;($B58+6),'Trade Log'!$AB$6:$AB$1005,U$5))</f>
        <v>0</v>
      </c>
      <c r="V58" s="109">
        <f>IF(OR($B58="",V$5=""),0,COUNTIFS('Trade Log'!$A$6:$A$1005,"&gt;="&amp;$B58,'Trade Log'!$A$6:$A$1005,"&lt;="&amp;($B58+6),'Trade Log'!$AB$6:$AB$1005,V$5))</f>
        <v>0</v>
      </c>
      <c r="W58" s="109">
        <f>IF(OR($B58="",W$5=""),0,COUNTIFS('Trade Log'!$A$6:$A$1005,"&gt;="&amp;$B58,'Trade Log'!$A$6:$A$1005,"&lt;="&amp;($B58+6),'Trade Log'!$AB$6:$AB$1005,W$5))</f>
        <v>0</v>
      </c>
      <c r="X58" s="109">
        <f>IF(OR($B58="",X$5=""),0,COUNTIFS('Trade Log'!$A$6:$A$1005,"&gt;="&amp;$B58,'Trade Log'!$A$6:$A$1005,"&lt;="&amp;($B58+6),'Trade Log'!$AB$6:$AB$1005,X$5))</f>
        <v>0</v>
      </c>
      <c r="Y58" s="109">
        <f>IF(OR($B58="",Y$5=""),0,COUNTIFS('Trade Log'!$A$6:$A$1005,"&gt;="&amp;$B58,'Trade Log'!$A$6:$A$1005,"&lt;="&amp;($B58+6),'Trade Log'!$AB$6:$AB$1005,Y$5))</f>
        <v>0</v>
      </c>
      <c r="Z58" s="109">
        <f>IF(OR($B58="",Z$5=""),0,COUNTIFS('Trade Log'!$A$6:$A$1005,"&gt;="&amp;$B58,'Trade Log'!$A$6:$A$1005,"&lt;="&amp;($B58+6),'Trade Log'!$AB$6:$AB$1005,Z$5))</f>
        <v>0</v>
      </c>
      <c r="AA58" s="109">
        <f>IF(OR($B58="",AA$5=""),0,COUNTIFS('Trade Log'!$A$6:$A$1005,"&gt;="&amp;$B58,'Trade Log'!$A$6:$A$1005,"&lt;="&amp;($B58+6),'Trade Log'!$AB$6:$AB$1005,AA$5))</f>
        <v>0</v>
      </c>
      <c r="AB58" s="109">
        <f>IF(OR($B58="",AB$5=""),0,COUNTIFS('Trade Log'!$A$6:$A$1005,"&gt;="&amp;$B58,'Trade Log'!$A$6:$A$1005,"&lt;="&amp;($B58+6),'Trade Log'!$AB$6:$AB$1005,AB$5))</f>
        <v>0</v>
      </c>
      <c r="AC58" s="113">
        <f>IF(OR($B58="",AC$5=""),0,SUMIFS('Trade Log'!$Q$6:$Q$1005,'Trade Log'!$A$6:$A$1005,"&gt;="&amp;$B58,'Trade Log'!$A$6:$A$1005,"&lt;="&amp;($B58+6),'Trade Log'!$AA$6:$AA$1005,AC$5))</f>
        <v>0</v>
      </c>
      <c r="AD58" s="113">
        <f>IF(OR($B58="",AD$5=""),0,SUMIFS('Trade Log'!$Q$6:$Q$1005,'Trade Log'!$A$6:$A$1005,"&gt;="&amp;$B58,'Trade Log'!$A$6:$A$1005,"&lt;="&amp;($B58+6),'Trade Log'!$AA$6:$AA$1005,AD$5))</f>
        <v>0</v>
      </c>
      <c r="AE58" s="113">
        <f>IF(OR($B58="",AE$5=""),0,SUMIFS('Trade Log'!$Q$6:$Q$1005,'Trade Log'!$A$6:$A$1005,"&gt;="&amp;$B58,'Trade Log'!$A$6:$A$1005,"&lt;="&amp;($B58+6),'Trade Log'!$AA$6:$AA$1005,AE$5))</f>
        <v>0</v>
      </c>
      <c r="AF58" s="113">
        <f>IF(OR($B58="",AF$5=""),0,SUMIFS('Trade Log'!$Q$6:$Q$1005,'Trade Log'!$A$6:$A$1005,"&gt;="&amp;$B58,'Trade Log'!$A$6:$A$1005,"&lt;="&amp;($B58+6),'Trade Log'!$AA$6:$AA$1005,AF$5))</f>
        <v>0</v>
      </c>
      <c r="AG58" s="113">
        <f>IF(OR($B58="",AG$5=""),0,SUMIFS('Trade Log'!$Q$6:$Q$1005,'Trade Log'!$A$6:$A$1005,"&gt;="&amp;$B58,'Trade Log'!$A$6:$A$1005,"&lt;="&amp;($B58+6),'Trade Log'!$AA$6:$AA$1005,AG$5))</f>
        <v>0</v>
      </c>
      <c r="AH58" s="113">
        <f>IF(OR($B58="",AH$5=""),0,SUMIFS('Trade Log'!$Q$6:$Q$1005,'Trade Log'!$A$6:$A$1005,"&gt;="&amp;$B58,'Trade Log'!$A$6:$A$1005,"&lt;="&amp;($B58+6),'Trade Log'!$AA$6:$AA$1005,AH$5))</f>
        <v>0</v>
      </c>
      <c r="AI58" s="113">
        <f>IF(OR($B58="",AI$5=""),0,SUMIFS('Trade Log'!$Q$6:$Q$1005,'Trade Log'!$A$6:$A$1005,"&gt;="&amp;$B58,'Trade Log'!$A$6:$A$1005,"&lt;="&amp;($B58+6),'Trade Log'!$AA$6:$AA$1005,AI$5))</f>
        <v>0</v>
      </c>
      <c r="AJ58" s="113">
        <f>IF(OR($B58="",AJ$5=""),0,SUMIFS('Trade Log'!$Q$6:$Q$1005,'Trade Log'!$A$6:$A$1005,"&gt;="&amp;$B58,'Trade Log'!$A$6:$A$1005,"&lt;="&amp;($B58+6),'Trade Log'!$AA$6:$AA$1005,AJ$5))</f>
        <v>0</v>
      </c>
      <c r="AK58" s="113">
        <f>IF(OR($B58="",AK$5=""),0,SUMIFS('Trade Log'!$Q$6:$Q$1005,'Trade Log'!$A$6:$A$1005,"&gt;="&amp;$B58,'Trade Log'!$A$6:$A$1005,"&lt;="&amp;($B58+6),'Trade Log'!$AA$6:$AA$1005,AK$5))</f>
        <v>0</v>
      </c>
      <c r="AL58" s="113">
        <f>IF(OR($B58="",AL$5=""),0,SUMIFS('Trade Log'!$Q$6:$Q$1005,'Trade Log'!$A$6:$A$1005,"&gt;="&amp;$B58,'Trade Log'!$A$6:$A$1005,"&lt;="&amp;($B58+6),'Trade Log'!$AA$6:$AA$1005,AL$5))</f>
        <v>0</v>
      </c>
      <c r="AM58" s="113">
        <f>IF(OR($B58="",AM$5=""),0,SUMIFS('Trade Log'!$Q$6:$Q$1005,'Trade Log'!$A$6:$A$1005,"&gt;="&amp;$B58,'Trade Log'!$A$6:$A$1005,"&lt;="&amp;($B58+6),'Trade Log'!$Y$6:$Y$1005,AM$5))</f>
        <v>0</v>
      </c>
      <c r="AN58" s="113">
        <f>IF(OR($B58="",AN$5=""),0,SUMIFS('Trade Log'!$Q$6:$Q$1005,'Trade Log'!$A$6:$A$1005,"&gt;="&amp;$B58,'Trade Log'!$A$6:$A$1005,"&lt;="&amp;($B58+6),'Trade Log'!$Y$6:$Y$1005,AN$5))</f>
        <v>0</v>
      </c>
      <c r="AO58" s="113">
        <f>IF(OR($B58="",AO$5=""),0,SUMIFS('Trade Log'!$Q$6:$Q$1005,'Trade Log'!$A$6:$A$1005,"&gt;="&amp;$B58,'Trade Log'!$A$6:$A$1005,"&lt;="&amp;($B58+6),'Trade Log'!$Y$6:$Y$1005,AO$5))</f>
        <v>0</v>
      </c>
      <c r="AP58" s="113">
        <f>IF(OR($B58="",AP$5=""),0,SUMIFS('Trade Log'!$Q$6:$Q$1005,'Trade Log'!$A$6:$A$1005,"&gt;="&amp;$B58,'Trade Log'!$A$6:$A$1005,"&lt;="&amp;($B58+6),'Trade Log'!$Y$6:$Y$1005,AP$5))</f>
        <v>0</v>
      </c>
      <c r="AQ58" s="113">
        <f>IF(OR($B58="",AQ$5=""),0,SUMIFS('Trade Log'!$Q$6:$Q$1005,'Trade Log'!$A$6:$A$1005,"&gt;="&amp;$B58,'Trade Log'!$A$6:$A$1005,"&lt;="&amp;($B58+6),'Trade Log'!$Y$6:$Y$1005,AQ$5))</f>
        <v>0</v>
      </c>
      <c r="AR58" s="113">
        <f>IF(OR($B58="",AR$5=""),0,SUMIFS('Trade Log'!$Q$6:$Q$1005,'Trade Log'!$A$6:$A$1005,"&gt;="&amp;$B58,'Trade Log'!$A$6:$A$1005,"&lt;="&amp;($B58+6),'Trade Log'!$Y$6:$Y$1005,AR$5))</f>
        <v>0</v>
      </c>
      <c r="AS58" s="113">
        <f>IF(OR($B58="",AS$5=""),0,SUMIFS('Trade Log'!$Q$6:$Q$1005,'Trade Log'!$A$6:$A$1005,"&gt;="&amp;$B58,'Trade Log'!$A$6:$A$1005,"&lt;="&amp;($B58+6),'Trade Log'!$Y$6:$Y$1005,AS$5))</f>
        <v>0</v>
      </c>
      <c r="AT58" s="113">
        <f>IF(OR($B58="",AT$5=""),0,SUMIFS('Trade Log'!$Q$6:$Q$1005,'Trade Log'!$A$6:$A$1005,"&gt;="&amp;$B58,'Trade Log'!$A$6:$A$1005,"&lt;="&amp;($B58+6),'Trade Log'!$Y$6:$Y$1005,AT$5))</f>
        <v>0</v>
      </c>
      <c r="AU58" s="113">
        <f>IF(OR($B58="",AU$5=""),0,SUMIFS('Trade Log'!$Q$6:$Q$1005,'Trade Log'!$A$6:$A$1005,"&gt;="&amp;$B58,'Trade Log'!$A$6:$A$1005,"&lt;="&amp;($B58+6),'Trade Log'!$Y$6:$Y$1005,AU$5))</f>
        <v>0</v>
      </c>
      <c r="AV58" s="113">
        <f>IF(OR($B58="",AV$5=""),0,SUMIFS('Trade Log'!$Q$6:$Q$1005,'Trade Log'!$A$6:$A$1005,"&gt;="&amp;$B58,'Trade Log'!$A$6:$A$1005,"&lt;="&amp;($B58+6),'Trade Log'!$Y$6:$Y$1005,AV$5))</f>
        <v>0</v>
      </c>
    </row>
    <row r="59">
      <c r="B59" s="107">
        <f>IF($B58="","",$B58+7)</f>
        <v>46657</v>
      </c>
      <c r="C59" s="96">
        <f>IF($B59="","",COUNTIFS('Trade Log'!$A$6:$A$1005,"&gt;="&amp;$B59,'Trade Log'!$A$6:$A$1005,"&lt;="&amp;($B59+6),'Trade Log'!$BH$6:$BH$1005,1))</f>
        <v>0</v>
      </c>
      <c r="D59" s="98" t="str">
        <f>IF(OR($B59="",N($C59)=0),"",SUMIFS('Trade Log'!$Q$6:$Q$1005,'Trade Log'!$A$6:$A$1005,"&gt;="&amp;$B59,'Trade Log'!$A$6:$A$1005,"&lt;="&amp;($B59+6)))</f>
        <v/>
      </c>
      <c r="E59" s="99" t="str">
        <f>IF(OR($B59="",N($C59)=0),"",IFERROR(COUNTIFS('Trade Log'!$A$6:$A$1005,"&gt;="&amp;$B59,'Trade Log'!$A$6:$A$1005,"&lt;="&amp;($B59+6),'Trade Log'!$S$6:$S$1005,"Win")/(COUNTIFS('Trade Log'!$A$6:$A$1005,"&gt;="&amp;$B59,'Trade Log'!$A$6:$A$1005,"&lt;="&amp;($B59+6),'Trade Log'!$S$6:$S$1005,"Win")+COUNTIFS('Trade Log'!$A$6:$A$1005,"&gt;="&amp;$B59,'Trade Log'!$A$6:$A$1005,"&lt;="&amp;($B59+6),'Trade Log'!$S$6:$S$1005,"Loss")),"—"))</f>
        <v/>
      </c>
      <c r="F59" s="104" t="str">
        <f>IF(OR($B59="",N($C59)=0),"",IFERROR(SUMIFS('Trade Log'!$R$6:$R$1005,'Trade Log'!$A$6:$A$1005,"&gt;="&amp;$B59,'Trade Log'!$A$6:$A$1005,"&lt;="&amp;($B59+6))/COUNTIFS('Trade Log'!$A$6:$A$1005,"&gt;="&amp;$B59,'Trade Log'!$A$6:$A$1005,"&lt;="&amp;($B59+6),'Trade Log'!$BC$6:$BC$1005,1),"—"))</f>
        <v/>
      </c>
      <c r="G59" s="110" t="str">
        <f>IF(OR($B59="",N($C59)=0),"",IF(SUMIFS('Trade Log'!$Q$6:$Q$1005,'Trade Log'!$A$6:$A$1005,"&gt;="&amp;$B59,'Trade Log'!$A$6:$A$1005,"&lt;="&amp;($B59+6),'Trade Log'!$Q$6:$Q$1005,"&lt;0")=0,IF(SUMIFS('Trade Log'!$Q$6:$Q$1005,'Trade Log'!$A$6:$A$1005,"&gt;="&amp;$B59,'Trade Log'!$A$6:$A$1005,"&lt;="&amp;($B59+6),'Trade Log'!$Q$6:$Q$1005,"&gt;0")&gt;0,"No losses","—"),SUMIFS('Trade Log'!$Q$6:$Q$1005,'Trade Log'!$A$6:$A$1005,"&gt;="&amp;$B59,'Trade Log'!$A$6:$A$1005,"&lt;="&amp;($B59+6),'Trade Log'!$Q$6:$Q$1005,"&gt;0")/-SUMIFS('Trade Log'!$Q$6:$Q$1005,'Trade Log'!$A$6:$A$1005,"&gt;="&amp;$B59,'Trade Log'!$A$6:$A$1005,"&lt;="&amp;($B59+6),'Trade Log'!$Q$6:$Q$1005,"&lt;0")))</f>
        <v/>
      </c>
      <c r="H59" s="99" t="str">
        <f>IF(OR($B59="",N($C59)=0),"",IFERROR(COUNTIFS('Trade Log'!$A$6:$A$1005,"&gt;="&amp;$B59,'Trade Log'!$A$6:$A$1005,"&lt;="&amp;($B59+6),'Trade Log'!$Z$6:$Z$1005,"Yes")/(COUNTIFS('Trade Log'!$A$6:$A$1005,"&gt;="&amp;$B59,'Trade Log'!$A$6:$A$1005,"&lt;="&amp;($B59+6),'Trade Log'!$Z$6:$Z$1005,"Yes")+COUNTIFS('Trade Log'!$A$6:$A$1005,"&gt;="&amp;$B59,'Trade Log'!$A$6:$A$1005,"&lt;="&amp;($B59+6),'Trade Log'!$Z$6:$Z$1005,"No")),"—"))</f>
        <v/>
      </c>
      <c r="I59" s="111" t="str">
        <f>IF(OR($B59="",N($C59)=0),"",IF(MAX($Q59:$AB59)=0,"None — clean week",INDEX($Q$5:$AB$5,MATCH(MAX($Q59:$AB59),$Q59:$AB59,0))))</f>
        <v/>
      </c>
      <c r="J59" s="111" t="str">
        <f>IF(OR($B59="",N($C59)=0),"",IF(MIN($AC59:$AL59)&gt;=0,"None lost money",INDEX($AC$5:$AL$5,MATCH(MIN($AC59:$AL59),$AC59:$AL59,0))))</f>
        <v/>
      </c>
      <c r="K59" s="111" t="str">
        <f>IF(OR($B59="",N($C59)=0),"",IF(MAX($AM59:$AV59)&lt;=0,"None made money",INDEX($AM$5:$AV$5,MATCH(MAX($AM59:$AV59),$AM59:$AV59,0))))</f>
        <v/>
      </c>
      <c r="L59" s="106" t="n"/>
      <c r="M59" s="106" t="n"/>
      <c r="N59" s="112" t="n"/>
      <c r="O59" s="29" t="n"/>
      <c r="Q59" s="109">
        <f>IF(OR($B59="",Q$5=""),0,COUNTIFS('Trade Log'!$A$6:$A$1005,"&gt;="&amp;$B59,'Trade Log'!$A$6:$A$1005,"&lt;="&amp;($B59+6),'Trade Log'!$AB$6:$AB$1005,Q$5))</f>
        <v>0</v>
      </c>
      <c r="R59" s="109">
        <f>IF(OR($B59="",R$5=""),0,COUNTIFS('Trade Log'!$A$6:$A$1005,"&gt;="&amp;$B59,'Trade Log'!$A$6:$A$1005,"&lt;="&amp;($B59+6),'Trade Log'!$AB$6:$AB$1005,R$5))</f>
        <v>0</v>
      </c>
      <c r="S59" s="109">
        <f>IF(OR($B59="",S$5=""),0,COUNTIFS('Trade Log'!$A$6:$A$1005,"&gt;="&amp;$B59,'Trade Log'!$A$6:$A$1005,"&lt;="&amp;($B59+6),'Trade Log'!$AB$6:$AB$1005,S$5))</f>
        <v>0</v>
      </c>
      <c r="T59" s="109">
        <f>IF(OR($B59="",T$5=""),0,COUNTIFS('Trade Log'!$A$6:$A$1005,"&gt;="&amp;$B59,'Trade Log'!$A$6:$A$1005,"&lt;="&amp;($B59+6),'Trade Log'!$AB$6:$AB$1005,T$5))</f>
        <v>0</v>
      </c>
      <c r="U59" s="109">
        <f>IF(OR($B59="",U$5=""),0,COUNTIFS('Trade Log'!$A$6:$A$1005,"&gt;="&amp;$B59,'Trade Log'!$A$6:$A$1005,"&lt;="&amp;($B59+6),'Trade Log'!$AB$6:$AB$1005,U$5))</f>
        <v>0</v>
      </c>
      <c r="V59" s="109">
        <f>IF(OR($B59="",V$5=""),0,COUNTIFS('Trade Log'!$A$6:$A$1005,"&gt;="&amp;$B59,'Trade Log'!$A$6:$A$1005,"&lt;="&amp;($B59+6),'Trade Log'!$AB$6:$AB$1005,V$5))</f>
        <v>0</v>
      </c>
      <c r="W59" s="109">
        <f>IF(OR($B59="",W$5=""),0,COUNTIFS('Trade Log'!$A$6:$A$1005,"&gt;="&amp;$B59,'Trade Log'!$A$6:$A$1005,"&lt;="&amp;($B59+6),'Trade Log'!$AB$6:$AB$1005,W$5))</f>
        <v>0</v>
      </c>
      <c r="X59" s="109">
        <f>IF(OR($B59="",X$5=""),0,COUNTIFS('Trade Log'!$A$6:$A$1005,"&gt;="&amp;$B59,'Trade Log'!$A$6:$A$1005,"&lt;="&amp;($B59+6),'Trade Log'!$AB$6:$AB$1005,X$5))</f>
        <v>0</v>
      </c>
      <c r="Y59" s="109">
        <f>IF(OR($B59="",Y$5=""),0,COUNTIFS('Trade Log'!$A$6:$A$1005,"&gt;="&amp;$B59,'Trade Log'!$A$6:$A$1005,"&lt;="&amp;($B59+6),'Trade Log'!$AB$6:$AB$1005,Y$5))</f>
        <v>0</v>
      </c>
      <c r="Z59" s="109">
        <f>IF(OR($B59="",Z$5=""),0,COUNTIFS('Trade Log'!$A$6:$A$1005,"&gt;="&amp;$B59,'Trade Log'!$A$6:$A$1005,"&lt;="&amp;($B59+6),'Trade Log'!$AB$6:$AB$1005,Z$5))</f>
        <v>0</v>
      </c>
      <c r="AA59" s="109">
        <f>IF(OR($B59="",AA$5=""),0,COUNTIFS('Trade Log'!$A$6:$A$1005,"&gt;="&amp;$B59,'Trade Log'!$A$6:$A$1005,"&lt;="&amp;($B59+6),'Trade Log'!$AB$6:$AB$1005,AA$5))</f>
        <v>0</v>
      </c>
      <c r="AB59" s="109">
        <f>IF(OR($B59="",AB$5=""),0,COUNTIFS('Trade Log'!$A$6:$A$1005,"&gt;="&amp;$B59,'Trade Log'!$A$6:$A$1005,"&lt;="&amp;($B59+6),'Trade Log'!$AB$6:$AB$1005,AB$5))</f>
        <v>0</v>
      </c>
      <c r="AC59" s="113">
        <f>IF(OR($B59="",AC$5=""),0,SUMIFS('Trade Log'!$Q$6:$Q$1005,'Trade Log'!$A$6:$A$1005,"&gt;="&amp;$B59,'Trade Log'!$A$6:$A$1005,"&lt;="&amp;($B59+6),'Trade Log'!$AA$6:$AA$1005,AC$5))</f>
        <v>0</v>
      </c>
      <c r="AD59" s="113">
        <f>IF(OR($B59="",AD$5=""),0,SUMIFS('Trade Log'!$Q$6:$Q$1005,'Trade Log'!$A$6:$A$1005,"&gt;="&amp;$B59,'Trade Log'!$A$6:$A$1005,"&lt;="&amp;($B59+6),'Trade Log'!$AA$6:$AA$1005,AD$5))</f>
        <v>0</v>
      </c>
      <c r="AE59" s="113">
        <f>IF(OR($B59="",AE$5=""),0,SUMIFS('Trade Log'!$Q$6:$Q$1005,'Trade Log'!$A$6:$A$1005,"&gt;="&amp;$B59,'Trade Log'!$A$6:$A$1005,"&lt;="&amp;($B59+6),'Trade Log'!$AA$6:$AA$1005,AE$5))</f>
        <v>0</v>
      </c>
      <c r="AF59" s="113">
        <f>IF(OR($B59="",AF$5=""),0,SUMIFS('Trade Log'!$Q$6:$Q$1005,'Trade Log'!$A$6:$A$1005,"&gt;="&amp;$B59,'Trade Log'!$A$6:$A$1005,"&lt;="&amp;($B59+6),'Trade Log'!$AA$6:$AA$1005,AF$5))</f>
        <v>0</v>
      </c>
      <c r="AG59" s="113">
        <f>IF(OR($B59="",AG$5=""),0,SUMIFS('Trade Log'!$Q$6:$Q$1005,'Trade Log'!$A$6:$A$1005,"&gt;="&amp;$B59,'Trade Log'!$A$6:$A$1005,"&lt;="&amp;($B59+6),'Trade Log'!$AA$6:$AA$1005,AG$5))</f>
        <v>0</v>
      </c>
      <c r="AH59" s="113">
        <f>IF(OR($B59="",AH$5=""),0,SUMIFS('Trade Log'!$Q$6:$Q$1005,'Trade Log'!$A$6:$A$1005,"&gt;="&amp;$B59,'Trade Log'!$A$6:$A$1005,"&lt;="&amp;($B59+6),'Trade Log'!$AA$6:$AA$1005,AH$5))</f>
        <v>0</v>
      </c>
      <c r="AI59" s="113">
        <f>IF(OR($B59="",AI$5=""),0,SUMIFS('Trade Log'!$Q$6:$Q$1005,'Trade Log'!$A$6:$A$1005,"&gt;="&amp;$B59,'Trade Log'!$A$6:$A$1005,"&lt;="&amp;($B59+6),'Trade Log'!$AA$6:$AA$1005,AI$5))</f>
        <v>0</v>
      </c>
      <c r="AJ59" s="113">
        <f>IF(OR($B59="",AJ$5=""),0,SUMIFS('Trade Log'!$Q$6:$Q$1005,'Trade Log'!$A$6:$A$1005,"&gt;="&amp;$B59,'Trade Log'!$A$6:$A$1005,"&lt;="&amp;($B59+6),'Trade Log'!$AA$6:$AA$1005,AJ$5))</f>
        <v>0</v>
      </c>
      <c r="AK59" s="113">
        <f>IF(OR($B59="",AK$5=""),0,SUMIFS('Trade Log'!$Q$6:$Q$1005,'Trade Log'!$A$6:$A$1005,"&gt;="&amp;$B59,'Trade Log'!$A$6:$A$1005,"&lt;="&amp;($B59+6),'Trade Log'!$AA$6:$AA$1005,AK$5))</f>
        <v>0</v>
      </c>
      <c r="AL59" s="113">
        <f>IF(OR($B59="",AL$5=""),0,SUMIFS('Trade Log'!$Q$6:$Q$1005,'Trade Log'!$A$6:$A$1005,"&gt;="&amp;$B59,'Trade Log'!$A$6:$A$1005,"&lt;="&amp;($B59+6),'Trade Log'!$AA$6:$AA$1005,AL$5))</f>
        <v>0</v>
      </c>
      <c r="AM59" s="113">
        <f>IF(OR($B59="",AM$5=""),0,SUMIFS('Trade Log'!$Q$6:$Q$1005,'Trade Log'!$A$6:$A$1005,"&gt;="&amp;$B59,'Trade Log'!$A$6:$A$1005,"&lt;="&amp;($B59+6),'Trade Log'!$Y$6:$Y$1005,AM$5))</f>
        <v>0</v>
      </c>
      <c r="AN59" s="113">
        <f>IF(OR($B59="",AN$5=""),0,SUMIFS('Trade Log'!$Q$6:$Q$1005,'Trade Log'!$A$6:$A$1005,"&gt;="&amp;$B59,'Trade Log'!$A$6:$A$1005,"&lt;="&amp;($B59+6),'Trade Log'!$Y$6:$Y$1005,AN$5))</f>
        <v>0</v>
      </c>
      <c r="AO59" s="113">
        <f>IF(OR($B59="",AO$5=""),0,SUMIFS('Trade Log'!$Q$6:$Q$1005,'Trade Log'!$A$6:$A$1005,"&gt;="&amp;$B59,'Trade Log'!$A$6:$A$1005,"&lt;="&amp;($B59+6),'Trade Log'!$Y$6:$Y$1005,AO$5))</f>
        <v>0</v>
      </c>
      <c r="AP59" s="113">
        <f>IF(OR($B59="",AP$5=""),0,SUMIFS('Trade Log'!$Q$6:$Q$1005,'Trade Log'!$A$6:$A$1005,"&gt;="&amp;$B59,'Trade Log'!$A$6:$A$1005,"&lt;="&amp;($B59+6),'Trade Log'!$Y$6:$Y$1005,AP$5))</f>
        <v>0</v>
      </c>
      <c r="AQ59" s="113">
        <f>IF(OR($B59="",AQ$5=""),0,SUMIFS('Trade Log'!$Q$6:$Q$1005,'Trade Log'!$A$6:$A$1005,"&gt;="&amp;$B59,'Trade Log'!$A$6:$A$1005,"&lt;="&amp;($B59+6),'Trade Log'!$Y$6:$Y$1005,AQ$5))</f>
        <v>0</v>
      </c>
      <c r="AR59" s="113">
        <f>IF(OR($B59="",AR$5=""),0,SUMIFS('Trade Log'!$Q$6:$Q$1005,'Trade Log'!$A$6:$A$1005,"&gt;="&amp;$B59,'Trade Log'!$A$6:$A$1005,"&lt;="&amp;($B59+6),'Trade Log'!$Y$6:$Y$1005,AR$5))</f>
        <v>0</v>
      </c>
      <c r="AS59" s="113">
        <f>IF(OR($B59="",AS$5=""),0,SUMIFS('Trade Log'!$Q$6:$Q$1005,'Trade Log'!$A$6:$A$1005,"&gt;="&amp;$B59,'Trade Log'!$A$6:$A$1005,"&lt;="&amp;($B59+6),'Trade Log'!$Y$6:$Y$1005,AS$5))</f>
        <v>0</v>
      </c>
      <c r="AT59" s="113">
        <f>IF(OR($B59="",AT$5=""),0,SUMIFS('Trade Log'!$Q$6:$Q$1005,'Trade Log'!$A$6:$A$1005,"&gt;="&amp;$B59,'Trade Log'!$A$6:$A$1005,"&lt;="&amp;($B59+6),'Trade Log'!$Y$6:$Y$1005,AT$5))</f>
        <v>0</v>
      </c>
      <c r="AU59" s="113">
        <f>IF(OR($B59="",AU$5=""),0,SUMIFS('Trade Log'!$Q$6:$Q$1005,'Trade Log'!$A$6:$A$1005,"&gt;="&amp;$B59,'Trade Log'!$A$6:$A$1005,"&lt;="&amp;($B59+6),'Trade Log'!$Y$6:$Y$1005,AU$5))</f>
        <v>0</v>
      </c>
      <c r="AV59" s="113">
        <f>IF(OR($B59="",AV$5=""),0,SUMIFS('Trade Log'!$Q$6:$Q$1005,'Trade Log'!$A$6:$A$1005,"&gt;="&amp;$B59,'Trade Log'!$A$6:$A$1005,"&lt;="&amp;($B59+6),'Trade Log'!$Y$6:$Y$1005,AV$5))</f>
        <v>0</v>
      </c>
    </row>
    <row r="60">
      <c r="B60" s="107">
        <f>IF($B59="","",$B59+7)</f>
        <v>46664</v>
      </c>
      <c r="C60" s="96">
        <f>IF($B60="","",COUNTIFS('Trade Log'!$A$6:$A$1005,"&gt;="&amp;$B60,'Trade Log'!$A$6:$A$1005,"&lt;="&amp;($B60+6),'Trade Log'!$BH$6:$BH$1005,1))</f>
        <v>0</v>
      </c>
      <c r="D60" s="98" t="str">
        <f>IF(OR($B60="",N($C60)=0),"",SUMIFS('Trade Log'!$Q$6:$Q$1005,'Trade Log'!$A$6:$A$1005,"&gt;="&amp;$B60,'Trade Log'!$A$6:$A$1005,"&lt;="&amp;($B60+6)))</f>
        <v/>
      </c>
      <c r="E60" s="99" t="str">
        <f>IF(OR($B60="",N($C60)=0),"",IFERROR(COUNTIFS('Trade Log'!$A$6:$A$1005,"&gt;="&amp;$B60,'Trade Log'!$A$6:$A$1005,"&lt;="&amp;($B60+6),'Trade Log'!$S$6:$S$1005,"Win")/(COUNTIFS('Trade Log'!$A$6:$A$1005,"&gt;="&amp;$B60,'Trade Log'!$A$6:$A$1005,"&lt;="&amp;($B60+6),'Trade Log'!$S$6:$S$1005,"Win")+COUNTIFS('Trade Log'!$A$6:$A$1005,"&gt;="&amp;$B60,'Trade Log'!$A$6:$A$1005,"&lt;="&amp;($B60+6),'Trade Log'!$S$6:$S$1005,"Loss")),"—"))</f>
        <v/>
      </c>
      <c r="F60" s="104" t="str">
        <f>IF(OR($B60="",N($C60)=0),"",IFERROR(SUMIFS('Trade Log'!$R$6:$R$1005,'Trade Log'!$A$6:$A$1005,"&gt;="&amp;$B60,'Trade Log'!$A$6:$A$1005,"&lt;="&amp;($B60+6))/COUNTIFS('Trade Log'!$A$6:$A$1005,"&gt;="&amp;$B60,'Trade Log'!$A$6:$A$1005,"&lt;="&amp;($B60+6),'Trade Log'!$BC$6:$BC$1005,1),"—"))</f>
        <v/>
      </c>
      <c r="G60" s="110" t="str">
        <f>IF(OR($B60="",N($C60)=0),"",IF(SUMIFS('Trade Log'!$Q$6:$Q$1005,'Trade Log'!$A$6:$A$1005,"&gt;="&amp;$B60,'Trade Log'!$A$6:$A$1005,"&lt;="&amp;($B60+6),'Trade Log'!$Q$6:$Q$1005,"&lt;0")=0,IF(SUMIFS('Trade Log'!$Q$6:$Q$1005,'Trade Log'!$A$6:$A$1005,"&gt;="&amp;$B60,'Trade Log'!$A$6:$A$1005,"&lt;="&amp;($B60+6),'Trade Log'!$Q$6:$Q$1005,"&gt;0")&gt;0,"No losses","—"),SUMIFS('Trade Log'!$Q$6:$Q$1005,'Trade Log'!$A$6:$A$1005,"&gt;="&amp;$B60,'Trade Log'!$A$6:$A$1005,"&lt;="&amp;($B60+6),'Trade Log'!$Q$6:$Q$1005,"&gt;0")/-SUMIFS('Trade Log'!$Q$6:$Q$1005,'Trade Log'!$A$6:$A$1005,"&gt;="&amp;$B60,'Trade Log'!$A$6:$A$1005,"&lt;="&amp;($B60+6),'Trade Log'!$Q$6:$Q$1005,"&lt;0")))</f>
        <v/>
      </c>
      <c r="H60" s="99" t="str">
        <f>IF(OR($B60="",N($C60)=0),"",IFERROR(COUNTIFS('Trade Log'!$A$6:$A$1005,"&gt;="&amp;$B60,'Trade Log'!$A$6:$A$1005,"&lt;="&amp;($B60+6),'Trade Log'!$Z$6:$Z$1005,"Yes")/(COUNTIFS('Trade Log'!$A$6:$A$1005,"&gt;="&amp;$B60,'Trade Log'!$A$6:$A$1005,"&lt;="&amp;($B60+6),'Trade Log'!$Z$6:$Z$1005,"Yes")+COUNTIFS('Trade Log'!$A$6:$A$1005,"&gt;="&amp;$B60,'Trade Log'!$A$6:$A$1005,"&lt;="&amp;($B60+6),'Trade Log'!$Z$6:$Z$1005,"No")),"—"))</f>
        <v/>
      </c>
      <c r="I60" s="111" t="str">
        <f>IF(OR($B60="",N($C60)=0),"",IF(MAX($Q60:$AB60)=0,"None — clean week",INDEX($Q$5:$AB$5,MATCH(MAX($Q60:$AB60),$Q60:$AB60,0))))</f>
        <v/>
      </c>
      <c r="J60" s="111" t="str">
        <f>IF(OR($B60="",N($C60)=0),"",IF(MIN($AC60:$AL60)&gt;=0,"None lost money",INDEX($AC$5:$AL$5,MATCH(MIN($AC60:$AL60),$AC60:$AL60,0))))</f>
        <v/>
      </c>
      <c r="K60" s="111" t="str">
        <f>IF(OR($B60="",N($C60)=0),"",IF(MAX($AM60:$AV60)&lt;=0,"None made money",INDEX($AM$5:$AV$5,MATCH(MAX($AM60:$AV60),$AM60:$AV60,0))))</f>
        <v/>
      </c>
      <c r="L60" s="106" t="n"/>
      <c r="M60" s="106" t="n"/>
      <c r="N60" s="112" t="n"/>
      <c r="O60" s="29" t="n"/>
      <c r="Q60" s="109">
        <f>IF(OR($B60="",Q$5=""),0,COUNTIFS('Trade Log'!$A$6:$A$1005,"&gt;="&amp;$B60,'Trade Log'!$A$6:$A$1005,"&lt;="&amp;($B60+6),'Trade Log'!$AB$6:$AB$1005,Q$5))</f>
        <v>0</v>
      </c>
      <c r="R60" s="109">
        <f>IF(OR($B60="",R$5=""),0,COUNTIFS('Trade Log'!$A$6:$A$1005,"&gt;="&amp;$B60,'Trade Log'!$A$6:$A$1005,"&lt;="&amp;($B60+6),'Trade Log'!$AB$6:$AB$1005,R$5))</f>
        <v>0</v>
      </c>
      <c r="S60" s="109">
        <f>IF(OR($B60="",S$5=""),0,COUNTIFS('Trade Log'!$A$6:$A$1005,"&gt;="&amp;$B60,'Trade Log'!$A$6:$A$1005,"&lt;="&amp;($B60+6),'Trade Log'!$AB$6:$AB$1005,S$5))</f>
        <v>0</v>
      </c>
      <c r="T60" s="109">
        <f>IF(OR($B60="",T$5=""),0,COUNTIFS('Trade Log'!$A$6:$A$1005,"&gt;="&amp;$B60,'Trade Log'!$A$6:$A$1005,"&lt;="&amp;($B60+6),'Trade Log'!$AB$6:$AB$1005,T$5))</f>
        <v>0</v>
      </c>
      <c r="U60" s="109">
        <f>IF(OR($B60="",U$5=""),0,COUNTIFS('Trade Log'!$A$6:$A$1005,"&gt;="&amp;$B60,'Trade Log'!$A$6:$A$1005,"&lt;="&amp;($B60+6),'Trade Log'!$AB$6:$AB$1005,U$5))</f>
        <v>0</v>
      </c>
      <c r="V60" s="109">
        <f>IF(OR($B60="",V$5=""),0,COUNTIFS('Trade Log'!$A$6:$A$1005,"&gt;="&amp;$B60,'Trade Log'!$A$6:$A$1005,"&lt;="&amp;($B60+6),'Trade Log'!$AB$6:$AB$1005,V$5))</f>
        <v>0</v>
      </c>
      <c r="W60" s="109">
        <f>IF(OR($B60="",W$5=""),0,COUNTIFS('Trade Log'!$A$6:$A$1005,"&gt;="&amp;$B60,'Trade Log'!$A$6:$A$1005,"&lt;="&amp;($B60+6),'Trade Log'!$AB$6:$AB$1005,W$5))</f>
        <v>0</v>
      </c>
      <c r="X60" s="109">
        <f>IF(OR($B60="",X$5=""),0,COUNTIFS('Trade Log'!$A$6:$A$1005,"&gt;="&amp;$B60,'Trade Log'!$A$6:$A$1005,"&lt;="&amp;($B60+6),'Trade Log'!$AB$6:$AB$1005,X$5))</f>
        <v>0</v>
      </c>
      <c r="Y60" s="109">
        <f>IF(OR($B60="",Y$5=""),0,COUNTIFS('Trade Log'!$A$6:$A$1005,"&gt;="&amp;$B60,'Trade Log'!$A$6:$A$1005,"&lt;="&amp;($B60+6),'Trade Log'!$AB$6:$AB$1005,Y$5))</f>
        <v>0</v>
      </c>
      <c r="Z60" s="109">
        <f>IF(OR($B60="",Z$5=""),0,COUNTIFS('Trade Log'!$A$6:$A$1005,"&gt;="&amp;$B60,'Trade Log'!$A$6:$A$1005,"&lt;="&amp;($B60+6),'Trade Log'!$AB$6:$AB$1005,Z$5))</f>
        <v>0</v>
      </c>
      <c r="AA60" s="109">
        <f>IF(OR($B60="",AA$5=""),0,COUNTIFS('Trade Log'!$A$6:$A$1005,"&gt;="&amp;$B60,'Trade Log'!$A$6:$A$1005,"&lt;="&amp;($B60+6),'Trade Log'!$AB$6:$AB$1005,AA$5))</f>
        <v>0</v>
      </c>
      <c r="AB60" s="109">
        <f>IF(OR($B60="",AB$5=""),0,COUNTIFS('Trade Log'!$A$6:$A$1005,"&gt;="&amp;$B60,'Trade Log'!$A$6:$A$1005,"&lt;="&amp;($B60+6),'Trade Log'!$AB$6:$AB$1005,AB$5))</f>
        <v>0</v>
      </c>
      <c r="AC60" s="113">
        <f>IF(OR($B60="",AC$5=""),0,SUMIFS('Trade Log'!$Q$6:$Q$1005,'Trade Log'!$A$6:$A$1005,"&gt;="&amp;$B60,'Trade Log'!$A$6:$A$1005,"&lt;="&amp;($B60+6),'Trade Log'!$AA$6:$AA$1005,AC$5))</f>
        <v>0</v>
      </c>
      <c r="AD60" s="113">
        <f>IF(OR($B60="",AD$5=""),0,SUMIFS('Trade Log'!$Q$6:$Q$1005,'Trade Log'!$A$6:$A$1005,"&gt;="&amp;$B60,'Trade Log'!$A$6:$A$1005,"&lt;="&amp;($B60+6),'Trade Log'!$AA$6:$AA$1005,AD$5))</f>
        <v>0</v>
      </c>
      <c r="AE60" s="113">
        <f>IF(OR($B60="",AE$5=""),0,SUMIFS('Trade Log'!$Q$6:$Q$1005,'Trade Log'!$A$6:$A$1005,"&gt;="&amp;$B60,'Trade Log'!$A$6:$A$1005,"&lt;="&amp;($B60+6),'Trade Log'!$AA$6:$AA$1005,AE$5))</f>
        <v>0</v>
      </c>
      <c r="AF60" s="113">
        <f>IF(OR($B60="",AF$5=""),0,SUMIFS('Trade Log'!$Q$6:$Q$1005,'Trade Log'!$A$6:$A$1005,"&gt;="&amp;$B60,'Trade Log'!$A$6:$A$1005,"&lt;="&amp;($B60+6),'Trade Log'!$AA$6:$AA$1005,AF$5))</f>
        <v>0</v>
      </c>
      <c r="AG60" s="113">
        <f>IF(OR($B60="",AG$5=""),0,SUMIFS('Trade Log'!$Q$6:$Q$1005,'Trade Log'!$A$6:$A$1005,"&gt;="&amp;$B60,'Trade Log'!$A$6:$A$1005,"&lt;="&amp;($B60+6),'Trade Log'!$AA$6:$AA$1005,AG$5))</f>
        <v>0</v>
      </c>
      <c r="AH60" s="113">
        <f>IF(OR($B60="",AH$5=""),0,SUMIFS('Trade Log'!$Q$6:$Q$1005,'Trade Log'!$A$6:$A$1005,"&gt;="&amp;$B60,'Trade Log'!$A$6:$A$1005,"&lt;="&amp;($B60+6),'Trade Log'!$AA$6:$AA$1005,AH$5))</f>
        <v>0</v>
      </c>
      <c r="AI60" s="113">
        <f>IF(OR($B60="",AI$5=""),0,SUMIFS('Trade Log'!$Q$6:$Q$1005,'Trade Log'!$A$6:$A$1005,"&gt;="&amp;$B60,'Trade Log'!$A$6:$A$1005,"&lt;="&amp;($B60+6),'Trade Log'!$AA$6:$AA$1005,AI$5))</f>
        <v>0</v>
      </c>
      <c r="AJ60" s="113">
        <f>IF(OR($B60="",AJ$5=""),0,SUMIFS('Trade Log'!$Q$6:$Q$1005,'Trade Log'!$A$6:$A$1005,"&gt;="&amp;$B60,'Trade Log'!$A$6:$A$1005,"&lt;="&amp;($B60+6),'Trade Log'!$AA$6:$AA$1005,AJ$5))</f>
        <v>0</v>
      </c>
      <c r="AK60" s="113">
        <f>IF(OR($B60="",AK$5=""),0,SUMIFS('Trade Log'!$Q$6:$Q$1005,'Trade Log'!$A$6:$A$1005,"&gt;="&amp;$B60,'Trade Log'!$A$6:$A$1005,"&lt;="&amp;($B60+6),'Trade Log'!$AA$6:$AA$1005,AK$5))</f>
        <v>0</v>
      </c>
      <c r="AL60" s="113">
        <f>IF(OR($B60="",AL$5=""),0,SUMIFS('Trade Log'!$Q$6:$Q$1005,'Trade Log'!$A$6:$A$1005,"&gt;="&amp;$B60,'Trade Log'!$A$6:$A$1005,"&lt;="&amp;($B60+6),'Trade Log'!$AA$6:$AA$1005,AL$5))</f>
        <v>0</v>
      </c>
      <c r="AM60" s="113">
        <f>IF(OR($B60="",AM$5=""),0,SUMIFS('Trade Log'!$Q$6:$Q$1005,'Trade Log'!$A$6:$A$1005,"&gt;="&amp;$B60,'Trade Log'!$A$6:$A$1005,"&lt;="&amp;($B60+6),'Trade Log'!$Y$6:$Y$1005,AM$5))</f>
        <v>0</v>
      </c>
      <c r="AN60" s="113">
        <f>IF(OR($B60="",AN$5=""),0,SUMIFS('Trade Log'!$Q$6:$Q$1005,'Trade Log'!$A$6:$A$1005,"&gt;="&amp;$B60,'Trade Log'!$A$6:$A$1005,"&lt;="&amp;($B60+6),'Trade Log'!$Y$6:$Y$1005,AN$5))</f>
        <v>0</v>
      </c>
      <c r="AO60" s="113">
        <f>IF(OR($B60="",AO$5=""),0,SUMIFS('Trade Log'!$Q$6:$Q$1005,'Trade Log'!$A$6:$A$1005,"&gt;="&amp;$B60,'Trade Log'!$A$6:$A$1005,"&lt;="&amp;($B60+6),'Trade Log'!$Y$6:$Y$1005,AO$5))</f>
        <v>0</v>
      </c>
      <c r="AP60" s="113">
        <f>IF(OR($B60="",AP$5=""),0,SUMIFS('Trade Log'!$Q$6:$Q$1005,'Trade Log'!$A$6:$A$1005,"&gt;="&amp;$B60,'Trade Log'!$A$6:$A$1005,"&lt;="&amp;($B60+6),'Trade Log'!$Y$6:$Y$1005,AP$5))</f>
        <v>0</v>
      </c>
      <c r="AQ60" s="113">
        <f>IF(OR($B60="",AQ$5=""),0,SUMIFS('Trade Log'!$Q$6:$Q$1005,'Trade Log'!$A$6:$A$1005,"&gt;="&amp;$B60,'Trade Log'!$A$6:$A$1005,"&lt;="&amp;($B60+6),'Trade Log'!$Y$6:$Y$1005,AQ$5))</f>
        <v>0</v>
      </c>
      <c r="AR60" s="113">
        <f>IF(OR($B60="",AR$5=""),0,SUMIFS('Trade Log'!$Q$6:$Q$1005,'Trade Log'!$A$6:$A$1005,"&gt;="&amp;$B60,'Trade Log'!$A$6:$A$1005,"&lt;="&amp;($B60+6),'Trade Log'!$Y$6:$Y$1005,AR$5))</f>
        <v>0</v>
      </c>
      <c r="AS60" s="113">
        <f>IF(OR($B60="",AS$5=""),0,SUMIFS('Trade Log'!$Q$6:$Q$1005,'Trade Log'!$A$6:$A$1005,"&gt;="&amp;$B60,'Trade Log'!$A$6:$A$1005,"&lt;="&amp;($B60+6),'Trade Log'!$Y$6:$Y$1005,AS$5))</f>
        <v>0</v>
      </c>
      <c r="AT60" s="113">
        <f>IF(OR($B60="",AT$5=""),0,SUMIFS('Trade Log'!$Q$6:$Q$1005,'Trade Log'!$A$6:$A$1005,"&gt;="&amp;$B60,'Trade Log'!$A$6:$A$1005,"&lt;="&amp;($B60+6),'Trade Log'!$Y$6:$Y$1005,AT$5))</f>
        <v>0</v>
      </c>
      <c r="AU60" s="113">
        <f>IF(OR($B60="",AU$5=""),0,SUMIFS('Trade Log'!$Q$6:$Q$1005,'Trade Log'!$A$6:$A$1005,"&gt;="&amp;$B60,'Trade Log'!$A$6:$A$1005,"&lt;="&amp;($B60+6),'Trade Log'!$Y$6:$Y$1005,AU$5))</f>
        <v>0</v>
      </c>
      <c r="AV60" s="113">
        <f>IF(OR($B60="",AV$5=""),0,SUMIFS('Trade Log'!$Q$6:$Q$1005,'Trade Log'!$A$6:$A$1005,"&gt;="&amp;$B60,'Trade Log'!$A$6:$A$1005,"&lt;="&amp;($B60+6),'Trade Log'!$Y$6:$Y$1005,AV$5))</f>
        <v>0</v>
      </c>
    </row>
    <row r="61">
      <c r="B61" s="107">
        <f>IF($B60="","",$B60+7)</f>
        <v>46671</v>
      </c>
      <c r="C61" s="96">
        <f>IF($B61="","",COUNTIFS('Trade Log'!$A$6:$A$1005,"&gt;="&amp;$B61,'Trade Log'!$A$6:$A$1005,"&lt;="&amp;($B61+6),'Trade Log'!$BH$6:$BH$1005,1))</f>
        <v>0</v>
      </c>
      <c r="D61" s="98" t="str">
        <f>IF(OR($B61="",N($C61)=0),"",SUMIFS('Trade Log'!$Q$6:$Q$1005,'Trade Log'!$A$6:$A$1005,"&gt;="&amp;$B61,'Trade Log'!$A$6:$A$1005,"&lt;="&amp;($B61+6)))</f>
        <v/>
      </c>
      <c r="E61" s="99" t="str">
        <f>IF(OR($B61="",N($C61)=0),"",IFERROR(COUNTIFS('Trade Log'!$A$6:$A$1005,"&gt;="&amp;$B61,'Trade Log'!$A$6:$A$1005,"&lt;="&amp;($B61+6),'Trade Log'!$S$6:$S$1005,"Win")/(COUNTIFS('Trade Log'!$A$6:$A$1005,"&gt;="&amp;$B61,'Trade Log'!$A$6:$A$1005,"&lt;="&amp;($B61+6),'Trade Log'!$S$6:$S$1005,"Win")+COUNTIFS('Trade Log'!$A$6:$A$1005,"&gt;="&amp;$B61,'Trade Log'!$A$6:$A$1005,"&lt;="&amp;($B61+6),'Trade Log'!$S$6:$S$1005,"Loss")),"—"))</f>
        <v/>
      </c>
      <c r="F61" s="104" t="str">
        <f>IF(OR($B61="",N($C61)=0),"",IFERROR(SUMIFS('Trade Log'!$R$6:$R$1005,'Trade Log'!$A$6:$A$1005,"&gt;="&amp;$B61,'Trade Log'!$A$6:$A$1005,"&lt;="&amp;($B61+6))/COUNTIFS('Trade Log'!$A$6:$A$1005,"&gt;="&amp;$B61,'Trade Log'!$A$6:$A$1005,"&lt;="&amp;($B61+6),'Trade Log'!$BC$6:$BC$1005,1),"—"))</f>
        <v/>
      </c>
      <c r="G61" s="110" t="str">
        <f>IF(OR($B61="",N($C61)=0),"",IF(SUMIFS('Trade Log'!$Q$6:$Q$1005,'Trade Log'!$A$6:$A$1005,"&gt;="&amp;$B61,'Trade Log'!$A$6:$A$1005,"&lt;="&amp;($B61+6),'Trade Log'!$Q$6:$Q$1005,"&lt;0")=0,IF(SUMIFS('Trade Log'!$Q$6:$Q$1005,'Trade Log'!$A$6:$A$1005,"&gt;="&amp;$B61,'Trade Log'!$A$6:$A$1005,"&lt;="&amp;($B61+6),'Trade Log'!$Q$6:$Q$1005,"&gt;0")&gt;0,"No losses","—"),SUMIFS('Trade Log'!$Q$6:$Q$1005,'Trade Log'!$A$6:$A$1005,"&gt;="&amp;$B61,'Trade Log'!$A$6:$A$1005,"&lt;="&amp;($B61+6),'Trade Log'!$Q$6:$Q$1005,"&gt;0")/-SUMIFS('Trade Log'!$Q$6:$Q$1005,'Trade Log'!$A$6:$A$1005,"&gt;="&amp;$B61,'Trade Log'!$A$6:$A$1005,"&lt;="&amp;($B61+6),'Trade Log'!$Q$6:$Q$1005,"&lt;0")))</f>
        <v/>
      </c>
      <c r="H61" s="99" t="str">
        <f>IF(OR($B61="",N($C61)=0),"",IFERROR(COUNTIFS('Trade Log'!$A$6:$A$1005,"&gt;="&amp;$B61,'Trade Log'!$A$6:$A$1005,"&lt;="&amp;($B61+6),'Trade Log'!$Z$6:$Z$1005,"Yes")/(COUNTIFS('Trade Log'!$A$6:$A$1005,"&gt;="&amp;$B61,'Trade Log'!$A$6:$A$1005,"&lt;="&amp;($B61+6),'Trade Log'!$Z$6:$Z$1005,"Yes")+COUNTIFS('Trade Log'!$A$6:$A$1005,"&gt;="&amp;$B61,'Trade Log'!$A$6:$A$1005,"&lt;="&amp;($B61+6),'Trade Log'!$Z$6:$Z$1005,"No")),"—"))</f>
        <v/>
      </c>
      <c r="I61" s="111" t="str">
        <f>IF(OR($B61="",N($C61)=0),"",IF(MAX($Q61:$AB61)=0,"None — clean week",INDEX($Q$5:$AB$5,MATCH(MAX($Q61:$AB61),$Q61:$AB61,0))))</f>
        <v/>
      </c>
      <c r="J61" s="111" t="str">
        <f>IF(OR($B61="",N($C61)=0),"",IF(MIN($AC61:$AL61)&gt;=0,"None lost money",INDEX($AC$5:$AL$5,MATCH(MIN($AC61:$AL61),$AC61:$AL61,0))))</f>
        <v/>
      </c>
      <c r="K61" s="111" t="str">
        <f>IF(OR($B61="",N($C61)=0),"",IF(MAX($AM61:$AV61)&lt;=0,"None made money",INDEX($AM$5:$AV$5,MATCH(MAX($AM61:$AV61),$AM61:$AV61,0))))</f>
        <v/>
      </c>
      <c r="L61" s="106" t="n"/>
      <c r="M61" s="106" t="n"/>
      <c r="N61" s="112" t="n"/>
      <c r="O61" s="29" t="n"/>
      <c r="Q61" s="109">
        <f>IF(OR($B61="",Q$5=""),0,COUNTIFS('Trade Log'!$A$6:$A$1005,"&gt;="&amp;$B61,'Trade Log'!$A$6:$A$1005,"&lt;="&amp;($B61+6),'Trade Log'!$AB$6:$AB$1005,Q$5))</f>
        <v>0</v>
      </c>
      <c r="R61" s="109">
        <f>IF(OR($B61="",R$5=""),0,COUNTIFS('Trade Log'!$A$6:$A$1005,"&gt;="&amp;$B61,'Trade Log'!$A$6:$A$1005,"&lt;="&amp;($B61+6),'Trade Log'!$AB$6:$AB$1005,R$5))</f>
        <v>0</v>
      </c>
      <c r="S61" s="109">
        <f>IF(OR($B61="",S$5=""),0,COUNTIFS('Trade Log'!$A$6:$A$1005,"&gt;="&amp;$B61,'Trade Log'!$A$6:$A$1005,"&lt;="&amp;($B61+6),'Trade Log'!$AB$6:$AB$1005,S$5))</f>
        <v>0</v>
      </c>
      <c r="T61" s="109">
        <f>IF(OR($B61="",T$5=""),0,COUNTIFS('Trade Log'!$A$6:$A$1005,"&gt;="&amp;$B61,'Trade Log'!$A$6:$A$1005,"&lt;="&amp;($B61+6),'Trade Log'!$AB$6:$AB$1005,T$5))</f>
        <v>0</v>
      </c>
      <c r="U61" s="109">
        <f>IF(OR($B61="",U$5=""),0,COUNTIFS('Trade Log'!$A$6:$A$1005,"&gt;="&amp;$B61,'Trade Log'!$A$6:$A$1005,"&lt;="&amp;($B61+6),'Trade Log'!$AB$6:$AB$1005,U$5))</f>
        <v>0</v>
      </c>
      <c r="V61" s="109">
        <f>IF(OR($B61="",V$5=""),0,COUNTIFS('Trade Log'!$A$6:$A$1005,"&gt;="&amp;$B61,'Trade Log'!$A$6:$A$1005,"&lt;="&amp;($B61+6),'Trade Log'!$AB$6:$AB$1005,V$5))</f>
        <v>0</v>
      </c>
      <c r="W61" s="109">
        <f>IF(OR($B61="",W$5=""),0,COUNTIFS('Trade Log'!$A$6:$A$1005,"&gt;="&amp;$B61,'Trade Log'!$A$6:$A$1005,"&lt;="&amp;($B61+6),'Trade Log'!$AB$6:$AB$1005,W$5))</f>
        <v>0</v>
      </c>
      <c r="X61" s="109">
        <f>IF(OR($B61="",X$5=""),0,COUNTIFS('Trade Log'!$A$6:$A$1005,"&gt;="&amp;$B61,'Trade Log'!$A$6:$A$1005,"&lt;="&amp;($B61+6),'Trade Log'!$AB$6:$AB$1005,X$5))</f>
        <v>0</v>
      </c>
      <c r="Y61" s="109">
        <f>IF(OR($B61="",Y$5=""),0,COUNTIFS('Trade Log'!$A$6:$A$1005,"&gt;="&amp;$B61,'Trade Log'!$A$6:$A$1005,"&lt;="&amp;($B61+6),'Trade Log'!$AB$6:$AB$1005,Y$5))</f>
        <v>0</v>
      </c>
      <c r="Z61" s="109">
        <f>IF(OR($B61="",Z$5=""),0,COUNTIFS('Trade Log'!$A$6:$A$1005,"&gt;="&amp;$B61,'Trade Log'!$A$6:$A$1005,"&lt;="&amp;($B61+6),'Trade Log'!$AB$6:$AB$1005,Z$5))</f>
        <v>0</v>
      </c>
      <c r="AA61" s="109">
        <f>IF(OR($B61="",AA$5=""),0,COUNTIFS('Trade Log'!$A$6:$A$1005,"&gt;="&amp;$B61,'Trade Log'!$A$6:$A$1005,"&lt;="&amp;($B61+6),'Trade Log'!$AB$6:$AB$1005,AA$5))</f>
        <v>0</v>
      </c>
      <c r="AB61" s="109">
        <f>IF(OR($B61="",AB$5=""),0,COUNTIFS('Trade Log'!$A$6:$A$1005,"&gt;="&amp;$B61,'Trade Log'!$A$6:$A$1005,"&lt;="&amp;($B61+6),'Trade Log'!$AB$6:$AB$1005,AB$5))</f>
        <v>0</v>
      </c>
      <c r="AC61" s="113">
        <f>IF(OR($B61="",AC$5=""),0,SUMIFS('Trade Log'!$Q$6:$Q$1005,'Trade Log'!$A$6:$A$1005,"&gt;="&amp;$B61,'Trade Log'!$A$6:$A$1005,"&lt;="&amp;($B61+6),'Trade Log'!$AA$6:$AA$1005,AC$5))</f>
        <v>0</v>
      </c>
      <c r="AD61" s="113">
        <f>IF(OR($B61="",AD$5=""),0,SUMIFS('Trade Log'!$Q$6:$Q$1005,'Trade Log'!$A$6:$A$1005,"&gt;="&amp;$B61,'Trade Log'!$A$6:$A$1005,"&lt;="&amp;($B61+6),'Trade Log'!$AA$6:$AA$1005,AD$5))</f>
        <v>0</v>
      </c>
      <c r="AE61" s="113">
        <f>IF(OR($B61="",AE$5=""),0,SUMIFS('Trade Log'!$Q$6:$Q$1005,'Trade Log'!$A$6:$A$1005,"&gt;="&amp;$B61,'Trade Log'!$A$6:$A$1005,"&lt;="&amp;($B61+6),'Trade Log'!$AA$6:$AA$1005,AE$5))</f>
        <v>0</v>
      </c>
      <c r="AF61" s="113">
        <f>IF(OR($B61="",AF$5=""),0,SUMIFS('Trade Log'!$Q$6:$Q$1005,'Trade Log'!$A$6:$A$1005,"&gt;="&amp;$B61,'Trade Log'!$A$6:$A$1005,"&lt;="&amp;($B61+6),'Trade Log'!$AA$6:$AA$1005,AF$5))</f>
        <v>0</v>
      </c>
      <c r="AG61" s="113">
        <f>IF(OR($B61="",AG$5=""),0,SUMIFS('Trade Log'!$Q$6:$Q$1005,'Trade Log'!$A$6:$A$1005,"&gt;="&amp;$B61,'Trade Log'!$A$6:$A$1005,"&lt;="&amp;($B61+6),'Trade Log'!$AA$6:$AA$1005,AG$5))</f>
        <v>0</v>
      </c>
      <c r="AH61" s="113">
        <f>IF(OR($B61="",AH$5=""),0,SUMIFS('Trade Log'!$Q$6:$Q$1005,'Trade Log'!$A$6:$A$1005,"&gt;="&amp;$B61,'Trade Log'!$A$6:$A$1005,"&lt;="&amp;($B61+6),'Trade Log'!$AA$6:$AA$1005,AH$5))</f>
        <v>0</v>
      </c>
      <c r="AI61" s="113">
        <f>IF(OR($B61="",AI$5=""),0,SUMIFS('Trade Log'!$Q$6:$Q$1005,'Trade Log'!$A$6:$A$1005,"&gt;="&amp;$B61,'Trade Log'!$A$6:$A$1005,"&lt;="&amp;($B61+6),'Trade Log'!$AA$6:$AA$1005,AI$5))</f>
        <v>0</v>
      </c>
      <c r="AJ61" s="113">
        <f>IF(OR($B61="",AJ$5=""),0,SUMIFS('Trade Log'!$Q$6:$Q$1005,'Trade Log'!$A$6:$A$1005,"&gt;="&amp;$B61,'Trade Log'!$A$6:$A$1005,"&lt;="&amp;($B61+6),'Trade Log'!$AA$6:$AA$1005,AJ$5))</f>
        <v>0</v>
      </c>
      <c r="AK61" s="113">
        <f>IF(OR($B61="",AK$5=""),0,SUMIFS('Trade Log'!$Q$6:$Q$1005,'Trade Log'!$A$6:$A$1005,"&gt;="&amp;$B61,'Trade Log'!$A$6:$A$1005,"&lt;="&amp;($B61+6),'Trade Log'!$AA$6:$AA$1005,AK$5))</f>
        <v>0</v>
      </c>
      <c r="AL61" s="113">
        <f>IF(OR($B61="",AL$5=""),0,SUMIFS('Trade Log'!$Q$6:$Q$1005,'Trade Log'!$A$6:$A$1005,"&gt;="&amp;$B61,'Trade Log'!$A$6:$A$1005,"&lt;="&amp;($B61+6),'Trade Log'!$AA$6:$AA$1005,AL$5))</f>
        <v>0</v>
      </c>
      <c r="AM61" s="113">
        <f>IF(OR($B61="",AM$5=""),0,SUMIFS('Trade Log'!$Q$6:$Q$1005,'Trade Log'!$A$6:$A$1005,"&gt;="&amp;$B61,'Trade Log'!$A$6:$A$1005,"&lt;="&amp;($B61+6),'Trade Log'!$Y$6:$Y$1005,AM$5))</f>
        <v>0</v>
      </c>
      <c r="AN61" s="113">
        <f>IF(OR($B61="",AN$5=""),0,SUMIFS('Trade Log'!$Q$6:$Q$1005,'Trade Log'!$A$6:$A$1005,"&gt;="&amp;$B61,'Trade Log'!$A$6:$A$1005,"&lt;="&amp;($B61+6),'Trade Log'!$Y$6:$Y$1005,AN$5))</f>
        <v>0</v>
      </c>
      <c r="AO61" s="113">
        <f>IF(OR($B61="",AO$5=""),0,SUMIFS('Trade Log'!$Q$6:$Q$1005,'Trade Log'!$A$6:$A$1005,"&gt;="&amp;$B61,'Trade Log'!$A$6:$A$1005,"&lt;="&amp;($B61+6),'Trade Log'!$Y$6:$Y$1005,AO$5))</f>
        <v>0</v>
      </c>
      <c r="AP61" s="113">
        <f>IF(OR($B61="",AP$5=""),0,SUMIFS('Trade Log'!$Q$6:$Q$1005,'Trade Log'!$A$6:$A$1005,"&gt;="&amp;$B61,'Trade Log'!$A$6:$A$1005,"&lt;="&amp;($B61+6),'Trade Log'!$Y$6:$Y$1005,AP$5))</f>
        <v>0</v>
      </c>
      <c r="AQ61" s="113">
        <f>IF(OR($B61="",AQ$5=""),0,SUMIFS('Trade Log'!$Q$6:$Q$1005,'Trade Log'!$A$6:$A$1005,"&gt;="&amp;$B61,'Trade Log'!$A$6:$A$1005,"&lt;="&amp;($B61+6),'Trade Log'!$Y$6:$Y$1005,AQ$5))</f>
        <v>0</v>
      </c>
      <c r="AR61" s="113">
        <f>IF(OR($B61="",AR$5=""),0,SUMIFS('Trade Log'!$Q$6:$Q$1005,'Trade Log'!$A$6:$A$1005,"&gt;="&amp;$B61,'Trade Log'!$A$6:$A$1005,"&lt;="&amp;($B61+6),'Trade Log'!$Y$6:$Y$1005,AR$5))</f>
        <v>0</v>
      </c>
      <c r="AS61" s="113">
        <f>IF(OR($B61="",AS$5=""),0,SUMIFS('Trade Log'!$Q$6:$Q$1005,'Trade Log'!$A$6:$A$1005,"&gt;="&amp;$B61,'Trade Log'!$A$6:$A$1005,"&lt;="&amp;($B61+6),'Trade Log'!$Y$6:$Y$1005,AS$5))</f>
        <v>0</v>
      </c>
      <c r="AT61" s="113">
        <f>IF(OR($B61="",AT$5=""),0,SUMIFS('Trade Log'!$Q$6:$Q$1005,'Trade Log'!$A$6:$A$1005,"&gt;="&amp;$B61,'Trade Log'!$A$6:$A$1005,"&lt;="&amp;($B61+6),'Trade Log'!$Y$6:$Y$1005,AT$5))</f>
        <v>0</v>
      </c>
      <c r="AU61" s="113">
        <f>IF(OR($B61="",AU$5=""),0,SUMIFS('Trade Log'!$Q$6:$Q$1005,'Trade Log'!$A$6:$A$1005,"&gt;="&amp;$B61,'Trade Log'!$A$6:$A$1005,"&lt;="&amp;($B61+6),'Trade Log'!$Y$6:$Y$1005,AU$5))</f>
        <v>0</v>
      </c>
      <c r="AV61" s="113">
        <f>IF(OR($B61="",AV$5=""),0,SUMIFS('Trade Log'!$Q$6:$Q$1005,'Trade Log'!$A$6:$A$1005,"&gt;="&amp;$B61,'Trade Log'!$A$6:$A$1005,"&lt;="&amp;($B61+6),'Trade Log'!$Y$6:$Y$1005,AV$5))</f>
        <v>0</v>
      </c>
    </row>
    <row r="62">
      <c r="B62" s="107">
        <f>IF($B61="","",$B61+7)</f>
        <v>46678</v>
      </c>
      <c r="C62" s="96">
        <f>IF($B62="","",COUNTIFS('Trade Log'!$A$6:$A$1005,"&gt;="&amp;$B62,'Trade Log'!$A$6:$A$1005,"&lt;="&amp;($B62+6),'Trade Log'!$BH$6:$BH$1005,1))</f>
        <v>0</v>
      </c>
      <c r="D62" s="98" t="str">
        <f>IF(OR($B62="",N($C62)=0),"",SUMIFS('Trade Log'!$Q$6:$Q$1005,'Trade Log'!$A$6:$A$1005,"&gt;="&amp;$B62,'Trade Log'!$A$6:$A$1005,"&lt;="&amp;($B62+6)))</f>
        <v/>
      </c>
      <c r="E62" s="99" t="str">
        <f>IF(OR($B62="",N($C62)=0),"",IFERROR(COUNTIFS('Trade Log'!$A$6:$A$1005,"&gt;="&amp;$B62,'Trade Log'!$A$6:$A$1005,"&lt;="&amp;($B62+6),'Trade Log'!$S$6:$S$1005,"Win")/(COUNTIFS('Trade Log'!$A$6:$A$1005,"&gt;="&amp;$B62,'Trade Log'!$A$6:$A$1005,"&lt;="&amp;($B62+6),'Trade Log'!$S$6:$S$1005,"Win")+COUNTIFS('Trade Log'!$A$6:$A$1005,"&gt;="&amp;$B62,'Trade Log'!$A$6:$A$1005,"&lt;="&amp;($B62+6),'Trade Log'!$S$6:$S$1005,"Loss")),"—"))</f>
        <v/>
      </c>
      <c r="F62" s="104" t="str">
        <f>IF(OR($B62="",N($C62)=0),"",IFERROR(SUMIFS('Trade Log'!$R$6:$R$1005,'Trade Log'!$A$6:$A$1005,"&gt;="&amp;$B62,'Trade Log'!$A$6:$A$1005,"&lt;="&amp;($B62+6))/COUNTIFS('Trade Log'!$A$6:$A$1005,"&gt;="&amp;$B62,'Trade Log'!$A$6:$A$1005,"&lt;="&amp;($B62+6),'Trade Log'!$BC$6:$BC$1005,1),"—"))</f>
        <v/>
      </c>
      <c r="G62" s="110" t="str">
        <f>IF(OR($B62="",N($C62)=0),"",IF(SUMIFS('Trade Log'!$Q$6:$Q$1005,'Trade Log'!$A$6:$A$1005,"&gt;="&amp;$B62,'Trade Log'!$A$6:$A$1005,"&lt;="&amp;($B62+6),'Trade Log'!$Q$6:$Q$1005,"&lt;0")=0,IF(SUMIFS('Trade Log'!$Q$6:$Q$1005,'Trade Log'!$A$6:$A$1005,"&gt;="&amp;$B62,'Trade Log'!$A$6:$A$1005,"&lt;="&amp;($B62+6),'Trade Log'!$Q$6:$Q$1005,"&gt;0")&gt;0,"No losses","—"),SUMIFS('Trade Log'!$Q$6:$Q$1005,'Trade Log'!$A$6:$A$1005,"&gt;="&amp;$B62,'Trade Log'!$A$6:$A$1005,"&lt;="&amp;($B62+6),'Trade Log'!$Q$6:$Q$1005,"&gt;0")/-SUMIFS('Trade Log'!$Q$6:$Q$1005,'Trade Log'!$A$6:$A$1005,"&gt;="&amp;$B62,'Trade Log'!$A$6:$A$1005,"&lt;="&amp;($B62+6),'Trade Log'!$Q$6:$Q$1005,"&lt;0")))</f>
        <v/>
      </c>
      <c r="H62" s="99" t="str">
        <f>IF(OR($B62="",N($C62)=0),"",IFERROR(COUNTIFS('Trade Log'!$A$6:$A$1005,"&gt;="&amp;$B62,'Trade Log'!$A$6:$A$1005,"&lt;="&amp;($B62+6),'Trade Log'!$Z$6:$Z$1005,"Yes")/(COUNTIFS('Trade Log'!$A$6:$A$1005,"&gt;="&amp;$B62,'Trade Log'!$A$6:$A$1005,"&lt;="&amp;($B62+6),'Trade Log'!$Z$6:$Z$1005,"Yes")+COUNTIFS('Trade Log'!$A$6:$A$1005,"&gt;="&amp;$B62,'Trade Log'!$A$6:$A$1005,"&lt;="&amp;($B62+6),'Trade Log'!$Z$6:$Z$1005,"No")),"—"))</f>
        <v/>
      </c>
      <c r="I62" s="111" t="str">
        <f>IF(OR($B62="",N($C62)=0),"",IF(MAX($Q62:$AB62)=0,"None — clean week",INDEX($Q$5:$AB$5,MATCH(MAX($Q62:$AB62),$Q62:$AB62,0))))</f>
        <v/>
      </c>
      <c r="J62" s="111" t="str">
        <f>IF(OR($B62="",N($C62)=0),"",IF(MIN($AC62:$AL62)&gt;=0,"None lost money",INDEX($AC$5:$AL$5,MATCH(MIN($AC62:$AL62),$AC62:$AL62,0))))</f>
        <v/>
      </c>
      <c r="K62" s="111" t="str">
        <f>IF(OR($B62="",N($C62)=0),"",IF(MAX($AM62:$AV62)&lt;=0,"None made money",INDEX($AM$5:$AV$5,MATCH(MAX($AM62:$AV62),$AM62:$AV62,0))))</f>
        <v/>
      </c>
      <c r="L62" s="106" t="n"/>
      <c r="M62" s="106" t="n"/>
      <c r="N62" s="112" t="n"/>
      <c r="O62" s="29" t="n"/>
      <c r="Q62" s="109">
        <f>IF(OR($B62="",Q$5=""),0,COUNTIFS('Trade Log'!$A$6:$A$1005,"&gt;="&amp;$B62,'Trade Log'!$A$6:$A$1005,"&lt;="&amp;($B62+6),'Trade Log'!$AB$6:$AB$1005,Q$5))</f>
        <v>0</v>
      </c>
      <c r="R62" s="109">
        <f>IF(OR($B62="",R$5=""),0,COUNTIFS('Trade Log'!$A$6:$A$1005,"&gt;="&amp;$B62,'Trade Log'!$A$6:$A$1005,"&lt;="&amp;($B62+6),'Trade Log'!$AB$6:$AB$1005,R$5))</f>
        <v>0</v>
      </c>
      <c r="S62" s="109">
        <f>IF(OR($B62="",S$5=""),0,COUNTIFS('Trade Log'!$A$6:$A$1005,"&gt;="&amp;$B62,'Trade Log'!$A$6:$A$1005,"&lt;="&amp;($B62+6),'Trade Log'!$AB$6:$AB$1005,S$5))</f>
        <v>0</v>
      </c>
      <c r="T62" s="109">
        <f>IF(OR($B62="",T$5=""),0,COUNTIFS('Trade Log'!$A$6:$A$1005,"&gt;="&amp;$B62,'Trade Log'!$A$6:$A$1005,"&lt;="&amp;($B62+6),'Trade Log'!$AB$6:$AB$1005,T$5))</f>
        <v>0</v>
      </c>
      <c r="U62" s="109">
        <f>IF(OR($B62="",U$5=""),0,COUNTIFS('Trade Log'!$A$6:$A$1005,"&gt;="&amp;$B62,'Trade Log'!$A$6:$A$1005,"&lt;="&amp;($B62+6),'Trade Log'!$AB$6:$AB$1005,U$5))</f>
        <v>0</v>
      </c>
      <c r="V62" s="109">
        <f>IF(OR($B62="",V$5=""),0,COUNTIFS('Trade Log'!$A$6:$A$1005,"&gt;="&amp;$B62,'Trade Log'!$A$6:$A$1005,"&lt;="&amp;($B62+6),'Trade Log'!$AB$6:$AB$1005,V$5))</f>
        <v>0</v>
      </c>
      <c r="W62" s="109">
        <f>IF(OR($B62="",W$5=""),0,COUNTIFS('Trade Log'!$A$6:$A$1005,"&gt;="&amp;$B62,'Trade Log'!$A$6:$A$1005,"&lt;="&amp;($B62+6),'Trade Log'!$AB$6:$AB$1005,W$5))</f>
        <v>0</v>
      </c>
      <c r="X62" s="109">
        <f>IF(OR($B62="",X$5=""),0,COUNTIFS('Trade Log'!$A$6:$A$1005,"&gt;="&amp;$B62,'Trade Log'!$A$6:$A$1005,"&lt;="&amp;($B62+6),'Trade Log'!$AB$6:$AB$1005,X$5))</f>
        <v>0</v>
      </c>
      <c r="Y62" s="109">
        <f>IF(OR($B62="",Y$5=""),0,COUNTIFS('Trade Log'!$A$6:$A$1005,"&gt;="&amp;$B62,'Trade Log'!$A$6:$A$1005,"&lt;="&amp;($B62+6),'Trade Log'!$AB$6:$AB$1005,Y$5))</f>
        <v>0</v>
      </c>
      <c r="Z62" s="109">
        <f>IF(OR($B62="",Z$5=""),0,COUNTIFS('Trade Log'!$A$6:$A$1005,"&gt;="&amp;$B62,'Trade Log'!$A$6:$A$1005,"&lt;="&amp;($B62+6),'Trade Log'!$AB$6:$AB$1005,Z$5))</f>
        <v>0</v>
      </c>
      <c r="AA62" s="109">
        <f>IF(OR($B62="",AA$5=""),0,COUNTIFS('Trade Log'!$A$6:$A$1005,"&gt;="&amp;$B62,'Trade Log'!$A$6:$A$1005,"&lt;="&amp;($B62+6),'Trade Log'!$AB$6:$AB$1005,AA$5))</f>
        <v>0</v>
      </c>
      <c r="AB62" s="109">
        <f>IF(OR($B62="",AB$5=""),0,COUNTIFS('Trade Log'!$A$6:$A$1005,"&gt;="&amp;$B62,'Trade Log'!$A$6:$A$1005,"&lt;="&amp;($B62+6),'Trade Log'!$AB$6:$AB$1005,AB$5))</f>
        <v>0</v>
      </c>
      <c r="AC62" s="113">
        <f>IF(OR($B62="",AC$5=""),0,SUMIFS('Trade Log'!$Q$6:$Q$1005,'Trade Log'!$A$6:$A$1005,"&gt;="&amp;$B62,'Trade Log'!$A$6:$A$1005,"&lt;="&amp;($B62+6),'Trade Log'!$AA$6:$AA$1005,AC$5))</f>
        <v>0</v>
      </c>
      <c r="AD62" s="113">
        <f>IF(OR($B62="",AD$5=""),0,SUMIFS('Trade Log'!$Q$6:$Q$1005,'Trade Log'!$A$6:$A$1005,"&gt;="&amp;$B62,'Trade Log'!$A$6:$A$1005,"&lt;="&amp;($B62+6),'Trade Log'!$AA$6:$AA$1005,AD$5))</f>
        <v>0</v>
      </c>
      <c r="AE62" s="113">
        <f>IF(OR($B62="",AE$5=""),0,SUMIFS('Trade Log'!$Q$6:$Q$1005,'Trade Log'!$A$6:$A$1005,"&gt;="&amp;$B62,'Trade Log'!$A$6:$A$1005,"&lt;="&amp;($B62+6),'Trade Log'!$AA$6:$AA$1005,AE$5))</f>
        <v>0</v>
      </c>
      <c r="AF62" s="113">
        <f>IF(OR($B62="",AF$5=""),0,SUMIFS('Trade Log'!$Q$6:$Q$1005,'Trade Log'!$A$6:$A$1005,"&gt;="&amp;$B62,'Trade Log'!$A$6:$A$1005,"&lt;="&amp;($B62+6),'Trade Log'!$AA$6:$AA$1005,AF$5))</f>
        <v>0</v>
      </c>
      <c r="AG62" s="113">
        <f>IF(OR($B62="",AG$5=""),0,SUMIFS('Trade Log'!$Q$6:$Q$1005,'Trade Log'!$A$6:$A$1005,"&gt;="&amp;$B62,'Trade Log'!$A$6:$A$1005,"&lt;="&amp;($B62+6),'Trade Log'!$AA$6:$AA$1005,AG$5))</f>
        <v>0</v>
      </c>
      <c r="AH62" s="113">
        <f>IF(OR($B62="",AH$5=""),0,SUMIFS('Trade Log'!$Q$6:$Q$1005,'Trade Log'!$A$6:$A$1005,"&gt;="&amp;$B62,'Trade Log'!$A$6:$A$1005,"&lt;="&amp;($B62+6),'Trade Log'!$AA$6:$AA$1005,AH$5))</f>
        <v>0</v>
      </c>
      <c r="AI62" s="113">
        <f>IF(OR($B62="",AI$5=""),0,SUMIFS('Trade Log'!$Q$6:$Q$1005,'Trade Log'!$A$6:$A$1005,"&gt;="&amp;$B62,'Trade Log'!$A$6:$A$1005,"&lt;="&amp;($B62+6),'Trade Log'!$AA$6:$AA$1005,AI$5))</f>
        <v>0</v>
      </c>
      <c r="AJ62" s="113">
        <f>IF(OR($B62="",AJ$5=""),0,SUMIFS('Trade Log'!$Q$6:$Q$1005,'Trade Log'!$A$6:$A$1005,"&gt;="&amp;$B62,'Trade Log'!$A$6:$A$1005,"&lt;="&amp;($B62+6),'Trade Log'!$AA$6:$AA$1005,AJ$5))</f>
        <v>0</v>
      </c>
      <c r="AK62" s="113">
        <f>IF(OR($B62="",AK$5=""),0,SUMIFS('Trade Log'!$Q$6:$Q$1005,'Trade Log'!$A$6:$A$1005,"&gt;="&amp;$B62,'Trade Log'!$A$6:$A$1005,"&lt;="&amp;($B62+6),'Trade Log'!$AA$6:$AA$1005,AK$5))</f>
        <v>0</v>
      </c>
      <c r="AL62" s="113">
        <f>IF(OR($B62="",AL$5=""),0,SUMIFS('Trade Log'!$Q$6:$Q$1005,'Trade Log'!$A$6:$A$1005,"&gt;="&amp;$B62,'Trade Log'!$A$6:$A$1005,"&lt;="&amp;($B62+6),'Trade Log'!$AA$6:$AA$1005,AL$5))</f>
        <v>0</v>
      </c>
      <c r="AM62" s="113">
        <f>IF(OR($B62="",AM$5=""),0,SUMIFS('Trade Log'!$Q$6:$Q$1005,'Trade Log'!$A$6:$A$1005,"&gt;="&amp;$B62,'Trade Log'!$A$6:$A$1005,"&lt;="&amp;($B62+6),'Trade Log'!$Y$6:$Y$1005,AM$5))</f>
        <v>0</v>
      </c>
      <c r="AN62" s="113">
        <f>IF(OR($B62="",AN$5=""),0,SUMIFS('Trade Log'!$Q$6:$Q$1005,'Trade Log'!$A$6:$A$1005,"&gt;="&amp;$B62,'Trade Log'!$A$6:$A$1005,"&lt;="&amp;($B62+6),'Trade Log'!$Y$6:$Y$1005,AN$5))</f>
        <v>0</v>
      </c>
      <c r="AO62" s="113">
        <f>IF(OR($B62="",AO$5=""),0,SUMIFS('Trade Log'!$Q$6:$Q$1005,'Trade Log'!$A$6:$A$1005,"&gt;="&amp;$B62,'Trade Log'!$A$6:$A$1005,"&lt;="&amp;($B62+6),'Trade Log'!$Y$6:$Y$1005,AO$5))</f>
        <v>0</v>
      </c>
      <c r="AP62" s="113">
        <f>IF(OR($B62="",AP$5=""),0,SUMIFS('Trade Log'!$Q$6:$Q$1005,'Trade Log'!$A$6:$A$1005,"&gt;="&amp;$B62,'Trade Log'!$A$6:$A$1005,"&lt;="&amp;($B62+6),'Trade Log'!$Y$6:$Y$1005,AP$5))</f>
        <v>0</v>
      </c>
      <c r="AQ62" s="113">
        <f>IF(OR($B62="",AQ$5=""),0,SUMIFS('Trade Log'!$Q$6:$Q$1005,'Trade Log'!$A$6:$A$1005,"&gt;="&amp;$B62,'Trade Log'!$A$6:$A$1005,"&lt;="&amp;($B62+6),'Trade Log'!$Y$6:$Y$1005,AQ$5))</f>
        <v>0</v>
      </c>
      <c r="AR62" s="113">
        <f>IF(OR($B62="",AR$5=""),0,SUMIFS('Trade Log'!$Q$6:$Q$1005,'Trade Log'!$A$6:$A$1005,"&gt;="&amp;$B62,'Trade Log'!$A$6:$A$1005,"&lt;="&amp;($B62+6),'Trade Log'!$Y$6:$Y$1005,AR$5))</f>
        <v>0</v>
      </c>
      <c r="AS62" s="113">
        <f>IF(OR($B62="",AS$5=""),0,SUMIFS('Trade Log'!$Q$6:$Q$1005,'Trade Log'!$A$6:$A$1005,"&gt;="&amp;$B62,'Trade Log'!$A$6:$A$1005,"&lt;="&amp;($B62+6),'Trade Log'!$Y$6:$Y$1005,AS$5))</f>
        <v>0</v>
      </c>
      <c r="AT62" s="113">
        <f>IF(OR($B62="",AT$5=""),0,SUMIFS('Trade Log'!$Q$6:$Q$1005,'Trade Log'!$A$6:$A$1005,"&gt;="&amp;$B62,'Trade Log'!$A$6:$A$1005,"&lt;="&amp;($B62+6),'Trade Log'!$Y$6:$Y$1005,AT$5))</f>
        <v>0</v>
      </c>
      <c r="AU62" s="113">
        <f>IF(OR($B62="",AU$5=""),0,SUMIFS('Trade Log'!$Q$6:$Q$1005,'Trade Log'!$A$6:$A$1005,"&gt;="&amp;$B62,'Trade Log'!$A$6:$A$1005,"&lt;="&amp;($B62+6),'Trade Log'!$Y$6:$Y$1005,AU$5))</f>
        <v>0</v>
      </c>
      <c r="AV62" s="113">
        <f>IF(OR($B62="",AV$5=""),0,SUMIFS('Trade Log'!$Q$6:$Q$1005,'Trade Log'!$A$6:$A$1005,"&gt;="&amp;$B62,'Trade Log'!$A$6:$A$1005,"&lt;="&amp;($B62+6),'Trade Log'!$Y$6:$Y$1005,AV$5))</f>
        <v>0</v>
      </c>
    </row>
    <row r="63">
      <c r="B63" s="107">
        <f>IF($B62="","",$B62+7)</f>
        <v>46685</v>
      </c>
      <c r="C63" s="96">
        <f>IF($B63="","",COUNTIFS('Trade Log'!$A$6:$A$1005,"&gt;="&amp;$B63,'Trade Log'!$A$6:$A$1005,"&lt;="&amp;($B63+6),'Trade Log'!$BH$6:$BH$1005,1))</f>
        <v>0</v>
      </c>
      <c r="D63" s="98" t="str">
        <f>IF(OR($B63="",N($C63)=0),"",SUMIFS('Trade Log'!$Q$6:$Q$1005,'Trade Log'!$A$6:$A$1005,"&gt;="&amp;$B63,'Trade Log'!$A$6:$A$1005,"&lt;="&amp;($B63+6)))</f>
        <v/>
      </c>
      <c r="E63" s="99" t="str">
        <f>IF(OR($B63="",N($C63)=0),"",IFERROR(COUNTIFS('Trade Log'!$A$6:$A$1005,"&gt;="&amp;$B63,'Trade Log'!$A$6:$A$1005,"&lt;="&amp;($B63+6),'Trade Log'!$S$6:$S$1005,"Win")/(COUNTIFS('Trade Log'!$A$6:$A$1005,"&gt;="&amp;$B63,'Trade Log'!$A$6:$A$1005,"&lt;="&amp;($B63+6),'Trade Log'!$S$6:$S$1005,"Win")+COUNTIFS('Trade Log'!$A$6:$A$1005,"&gt;="&amp;$B63,'Trade Log'!$A$6:$A$1005,"&lt;="&amp;($B63+6),'Trade Log'!$S$6:$S$1005,"Loss")),"—"))</f>
        <v/>
      </c>
      <c r="F63" s="104" t="str">
        <f>IF(OR($B63="",N($C63)=0),"",IFERROR(SUMIFS('Trade Log'!$R$6:$R$1005,'Trade Log'!$A$6:$A$1005,"&gt;="&amp;$B63,'Trade Log'!$A$6:$A$1005,"&lt;="&amp;($B63+6))/COUNTIFS('Trade Log'!$A$6:$A$1005,"&gt;="&amp;$B63,'Trade Log'!$A$6:$A$1005,"&lt;="&amp;($B63+6),'Trade Log'!$BC$6:$BC$1005,1),"—"))</f>
        <v/>
      </c>
      <c r="G63" s="110" t="str">
        <f>IF(OR($B63="",N($C63)=0),"",IF(SUMIFS('Trade Log'!$Q$6:$Q$1005,'Trade Log'!$A$6:$A$1005,"&gt;="&amp;$B63,'Trade Log'!$A$6:$A$1005,"&lt;="&amp;($B63+6),'Trade Log'!$Q$6:$Q$1005,"&lt;0")=0,IF(SUMIFS('Trade Log'!$Q$6:$Q$1005,'Trade Log'!$A$6:$A$1005,"&gt;="&amp;$B63,'Trade Log'!$A$6:$A$1005,"&lt;="&amp;($B63+6),'Trade Log'!$Q$6:$Q$1005,"&gt;0")&gt;0,"No losses","—"),SUMIFS('Trade Log'!$Q$6:$Q$1005,'Trade Log'!$A$6:$A$1005,"&gt;="&amp;$B63,'Trade Log'!$A$6:$A$1005,"&lt;="&amp;($B63+6),'Trade Log'!$Q$6:$Q$1005,"&gt;0")/-SUMIFS('Trade Log'!$Q$6:$Q$1005,'Trade Log'!$A$6:$A$1005,"&gt;="&amp;$B63,'Trade Log'!$A$6:$A$1005,"&lt;="&amp;($B63+6),'Trade Log'!$Q$6:$Q$1005,"&lt;0")))</f>
        <v/>
      </c>
      <c r="H63" s="99" t="str">
        <f>IF(OR($B63="",N($C63)=0),"",IFERROR(COUNTIFS('Trade Log'!$A$6:$A$1005,"&gt;="&amp;$B63,'Trade Log'!$A$6:$A$1005,"&lt;="&amp;($B63+6),'Trade Log'!$Z$6:$Z$1005,"Yes")/(COUNTIFS('Trade Log'!$A$6:$A$1005,"&gt;="&amp;$B63,'Trade Log'!$A$6:$A$1005,"&lt;="&amp;($B63+6),'Trade Log'!$Z$6:$Z$1005,"Yes")+COUNTIFS('Trade Log'!$A$6:$A$1005,"&gt;="&amp;$B63,'Trade Log'!$A$6:$A$1005,"&lt;="&amp;($B63+6),'Trade Log'!$Z$6:$Z$1005,"No")),"—"))</f>
        <v/>
      </c>
      <c r="I63" s="111" t="str">
        <f>IF(OR($B63="",N($C63)=0),"",IF(MAX($Q63:$AB63)=0,"None — clean week",INDEX($Q$5:$AB$5,MATCH(MAX($Q63:$AB63),$Q63:$AB63,0))))</f>
        <v/>
      </c>
      <c r="J63" s="111" t="str">
        <f>IF(OR($B63="",N($C63)=0),"",IF(MIN($AC63:$AL63)&gt;=0,"None lost money",INDEX($AC$5:$AL$5,MATCH(MIN($AC63:$AL63),$AC63:$AL63,0))))</f>
        <v/>
      </c>
      <c r="K63" s="111" t="str">
        <f>IF(OR($B63="",N($C63)=0),"",IF(MAX($AM63:$AV63)&lt;=0,"None made money",INDEX($AM$5:$AV$5,MATCH(MAX($AM63:$AV63),$AM63:$AV63,0))))</f>
        <v/>
      </c>
      <c r="L63" s="106" t="n"/>
      <c r="M63" s="106" t="n"/>
      <c r="N63" s="112" t="n"/>
      <c r="O63" s="29" t="n"/>
      <c r="Q63" s="109">
        <f>IF(OR($B63="",Q$5=""),0,COUNTIFS('Trade Log'!$A$6:$A$1005,"&gt;="&amp;$B63,'Trade Log'!$A$6:$A$1005,"&lt;="&amp;($B63+6),'Trade Log'!$AB$6:$AB$1005,Q$5))</f>
        <v>0</v>
      </c>
      <c r="R63" s="109">
        <f>IF(OR($B63="",R$5=""),0,COUNTIFS('Trade Log'!$A$6:$A$1005,"&gt;="&amp;$B63,'Trade Log'!$A$6:$A$1005,"&lt;="&amp;($B63+6),'Trade Log'!$AB$6:$AB$1005,R$5))</f>
        <v>0</v>
      </c>
      <c r="S63" s="109">
        <f>IF(OR($B63="",S$5=""),0,COUNTIFS('Trade Log'!$A$6:$A$1005,"&gt;="&amp;$B63,'Trade Log'!$A$6:$A$1005,"&lt;="&amp;($B63+6),'Trade Log'!$AB$6:$AB$1005,S$5))</f>
        <v>0</v>
      </c>
      <c r="T63" s="109">
        <f>IF(OR($B63="",T$5=""),0,COUNTIFS('Trade Log'!$A$6:$A$1005,"&gt;="&amp;$B63,'Trade Log'!$A$6:$A$1005,"&lt;="&amp;($B63+6),'Trade Log'!$AB$6:$AB$1005,T$5))</f>
        <v>0</v>
      </c>
      <c r="U63" s="109">
        <f>IF(OR($B63="",U$5=""),0,COUNTIFS('Trade Log'!$A$6:$A$1005,"&gt;="&amp;$B63,'Trade Log'!$A$6:$A$1005,"&lt;="&amp;($B63+6),'Trade Log'!$AB$6:$AB$1005,U$5))</f>
        <v>0</v>
      </c>
      <c r="V63" s="109">
        <f>IF(OR($B63="",V$5=""),0,COUNTIFS('Trade Log'!$A$6:$A$1005,"&gt;="&amp;$B63,'Trade Log'!$A$6:$A$1005,"&lt;="&amp;($B63+6),'Trade Log'!$AB$6:$AB$1005,V$5))</f>
        <v>0</v>
      </c>
      <c r="W63" s="109">
        <f>IF(OR($B63="",W$5=""),0,COUNTIFS('Trade Log'!$A$6:$A$1005,"&gt;="&amp;$B63,'Trade Log'!$A$6:$A$1005,"&lt;="&amp;($B63+6),'Trade Log'!$AB$6:$AB$1005,W$5))</f>
        <v>0</v>
      </c>
      <c r="X63" s="109">
        <f>IF(OR($B63="",X$5=""),0,COUNTIFS('Trade Log'!$A$6:$A$1005,"&gt;="&amp;$B63,'Trade Log'!$A$6:$A$1005,"&lt;="&amp;($B63+6),'Trade Log'!$AB$6:$AB$1005,X$5))</f>
        <v>0</v>
      </c>
      <c r="Y63" s="109">
        <f>IF(OR($B63="",Y$5=""),0,COUNTIFS('Trade Log'!$A$6:$A$1005,"&gt;="&amp;$B63,'Trade Log'!$A$6:$A$1005,"&lt;="&amp;($B63+6),'Trade Log'!$AB$6:$AB$1005,Y$5))</f>
        <v>0</v>
      </c>
      <c r="Z63" s="109">
        <f>IF(OR($B63="",Z$5=""),0,COUNTIFS('Trade Log'!$A$6:$A$1005,"&gt;="&amp;$B63,'Trade Log'!$A$6:$A$1005,"&lt;="&amp;($B63+6),'Trade Log'!$AB$6:$AB$1005,Z$5))</f>
        <v>0</v>
      </c>
      <c r="AA63" s="109">
        <f>IF(OR($B63="",AA$5=""),0,COUNTIFS('Trade Log'!$A$6:$A$1005,"&gt;="&amp;$B63,'Trade Log'!$A$6:$A$1005,"&lt;="&amp;($B63+6),'Trade Log'!$AB$6:$AB$1005,AA$5))</f>
        <v>0</v>
      </c>
      <c r="AB63" s="109">
        <f>IF(OR($B63="",AB$5=""),0,COUNTIFS('Trade Log'!$A$6:$A$1005,"&gt;="&amp;$B63,'Trade Log'!$A$6:$A$1005,"&lt;="&amp;($B63+6),'Trade Log'!$AB$6:$AB$1005,AB$5))</f>
        <v>0</v>
      </c>
      <c r="AC63" s="113">
        <f>IF(OR($B63="",AC$5=""),0,SUMIFS('Trade Log'!$Q$6:$Q$1005,'Trade Log'!$A$6:$A$1005,"&gt;="&amp;$B63,'Trade Log'!$A$6:$A$1005,"&lt;="&amp;($B63+6),'Trade Log'!$AA$6:$AA$1005,AC$5))</f>
        <v>0</v>
      </c>
      <c r="AD63" s="113">
        <f>IF(OR($B63="",AD$5=""),0,SUMIFS('Trade Log'!$Q$6:$Q$1005,'Trade Log'!$A$6:$A$1005,"&gt;="&amp;$B63,'Trade Log'!$A$6:$A$1005,"&lt;="&amp;($B63+6),'Trade Log'!$AA$6:$AA$1005,AD$5))</f>
        <v>0</v>
      </c>
      <c r="AE63" s="113">
        <f>IF(OR($B63="",AE$5=""),0,SUMIFS('Trade Log'!$Q$6:$Q$1005,'Trade Log'!$A$6:$A$1005,"&gt;="&amp;$B63,'Trade Log'!$A$6:$A$1005,"&lt;="&amp;($B63+6),'Trade Log'!$AA$6:$AA$1005,AE$5))</f>
        <v>0</v>
      </c>
      <c r="AF63" s="113">
        <f>IF(OR($B63="",AF$5=""),0,SUMIFS('Trade Log'!$Q$6:$Q$1005,'Trade Log'!$A$6:$A$1005,"&gt;="&amp;$B63,'Trade Log'!$A$6:$A$1005,"&lt;="&amp;($B63+6),'Trade Log'!$AA$6:$AA$1005,AF$5))</f>
        <v>0</v>
      </c>
      <c r="AG63" s="113">
        <f>IF(OR($B63="",AG$5=""),0,SUMIFS('Trade Log'!$Q$6:$Q$1005,'Trade Log'!$A$6:$A$1005,"&gt;="&amp;$B63,'Trade Log'!$A$6:$A$1005,"&lt;="&amp;($B63+6),'Trade Log'!$AA$6:$AA$1005,AG$5))</f>
        <v>0</v>
      </c>
      <c r="AH63" s="113">
        <f>IF(OR($B63="",AH$5=""),0,SUMIFS('Trade Log'!$Q$6:$Q$1005,'Trade Log'!$A$6:$A$1005,"&gt;="&amp;$B63,'Trade Log'!$A$6:$A$1005,"&lt;="&amp;($B63+6),'Trade Log'!$AA$6:$AA$1005,AH$5))</f>
        <v>0</v>
      </c>
      <c r="AI63" s="113">
        <f>IF(OR($B63="",AI$5=""),0,SUMIFS('Trade Log'!$Q$6:$Q$1005,'Trade Log'!$A$6:$A$1005,"&gt;="&amp;$B63,'Trade Log'!$A$6:$A$1005,"&lt;="&amp;($B63+6),'Trade Log'!$AA$6:$AA$1005,AI$5))</f>
        <v>0</v>
      </c>
      <c r="AJ63" s="113">
        <f>IF(OR($B63="",AJ$5=""),0,SUMIFS('Trade Log'!$Q$6:$Q$1005,'Trade Log'!$A$6:$A$1005,"&gt;="&amp;$B63,'Trade Log'!$A$6:$A$1005,"&lt;="&amp;($B63+6),'Trade Log'!$AA$6:$AA$1005,AJ$5))</f>
        <v>0</v>
      </c>
      <c r="AK63" s="113">
        <f>IF(OR($B63="",AK$5=""),0,SUMIFS('Trade Log'!$Q$6:$Q$1005,'Trade Log'!$A$6:$A$1005,"&gt;="&amp;$B63,'Trade Log'!$A$6:$A$1005,"&lt;="&amp;($B63+6),'Trade Log'!$AA$6:$AA$1005,AK$5))</f>
        <v>0</v>
      </c>
      <c r="AL63" s="113">
        <f>IF(OR($B63="",AL$5=""),0,SUMIFS('Trade Log'!$Q$6:$Q$1005,'Trade Log'!$A$6:$A$1005,"&gt;="&amp;$B63,'Trade Log'!$A$6:$A$1005,"&lt;="&amp;($B63+6),'Trade Log'!$AA$6:$AA$1005,AL$5))</f>
        <v>0</v>
      </c>
      <c r="AM63" s="113">
        <f>IF(OR($B63="",AM$5=""),0,SUMIFS('Trade Log'!$Q$6:$Q$1005,'Trade Log'!$A$6:$A$1005,"&gt;="&amp;$B63,'Trade Log'!$A$6:$A$1005,"&lt;="&amp;($B63+6),'Trade Log'!$Y$6:$Y$1005,AM$5))</f>
        <v>0</v>
      </c>
      <c r="AN63" s="113">
        <f>IF(OR($B63="",AN$5=""),0,SUMIFS('Trade Log'!$Q$6:$Q$1005,'Trade Log'!$A$6:$A$1005,"&gt;="&amp;$B63,'Trade Log'!$A$6:$A$1005,"&lt;="&amp;($B63+6),'Trade Log'!$Y$6:$Y$1005,AN$5))</f>
        <v>0</v>
      </c>
      <c r="AO63" s="113">
        <f>IF(OR($B63="",AO$5=""),0,SUMIFS('Trade Log'!$Q$6:$Q$1005,'Trade Log'!$A$6:$A$1005,"&gt;="&amp;$B63,'Trade Log'!$A$6:$A$1005,"&lt;="&amp;($B63+6),'Trade Log'!$Y$6:$Y$1005,AO$5))</f>
        <v>0</v>
      </c>
      <c r="AP63" s="113">
        <f>IF(OR($B63="",AP$5=""),0,SUMIFS('Trade Log'!$Q$6:$Q$1005,'Trade Log'!$A$6:$A$1005,"&gt;="&amp;$B63,'Trade Log'!$A$6:$A$1005,"&lt;="&amp;($B63+6),'Trade Log'!$Y$6:$Y$1005,AP$5))</f>
        <v>0</v>
      </c>
      <c r="AQ63" s="113">
        <f>IF(OR($B63="",AQ$5=""),0,SUMIFS('Trade Log'!$Q$6:$Q$1005,'Trade Log'!$A$6:$A$1005,"&gt;="&amp;$B63,'Trade Log'!$A$6:$A$1005,"&lt;="&amp;($B63+6),'Trade Log'!$Y$6:$Y$1005,AQ$5))</f>
        <v>0</v>
      </c>
      <c r="AR63" s="113">
        <f>IF(OR($B63="",AR$5=""),0,SUMIFS('Trade Log'!$Q$6:$Q$1005,'Trade Log'!$A$6:$A$1005,"&gt;="&amp;$B63,'Trade Log'!$A$6:$A$1005,"&lt;="&amp;($B63+6),'Trade Log'!$Y$6:$Y$1005,AR$5))</f>
        <v>0</v>
      </c>
      <c r="AS63" s="113">
        <f>IF(OR($B63="",AS$5=""),0,SUMIFS('Trade Log'!$Q$6:$Q$1005,'Trade Log'!$A$6:$A$1005,"&gt;="&amp;$B63,'Trade Log'!$A$6:$A$1005,"&lt;="&amp;($B63+6),'Trade Log'!$Y$6:$Y$1005,AS$5))</f>
        <v>0</v>
      </c>
      <c r="AT63" s="113">
        <f>IF(OR($B63="",AT$5=""),0,SUMIFS('Trade Log'!$Q$6:$Q$1005,'Trade Log'!$A$6:$A$1005,"&gt;="&amp;$B63,'Trade Log'!$A$6:$A$1005,"&lt;="&amp;($B63+6),'Trade Log'!$Y$6:$Y$1005,AT$5))</f>
        <v>0</v>
      </c>
      <c r="AU63" s="113">
        <f>IF(OR($B63="",AU$5=""),0,SUMIFS('Trade Log'!$Q$6:$Q$1005,'Trade Log'!$A$6:$A$1005,"&gt;="&amp;$B63,'Trade Log'!$A$6:$A$1005,"&lt;="&amp;($B63+6),'Trade Log'!$Y$6:$Y$1005,AU$5))</f>
        <v>0</v>
      </c>
      <c r="AV63" s="113">
        <f>IF(OR($B63="",AV$5=""),0,SUMIFS('Trade Log'!$Q$6:$Q$1005,'Trade Log'!$A$6:$A$1005,"&gt;="&amp;$B63,'Trade Log'!$A$6:$A$1005,"&lt;="&amp;($B63+6),'Trade Log'!$Y$6:$Y$1005,AV$5))</f>
        <v>0</v>
      </c>
    </row>
    <row r="64">
      <c r="B64" s="107">
        <f>IF($B63="","",$B63+7)</f>
        <v>46692</v>
      </c>
      <c r="C64" s="96">
        <f>IF($B64="","",COUNTIFS('Trade Log'!$A$6:$A$1005,"&gt;="&amp;$B64,'Trade Log'!$A$6:$A$1005,"&lt;="&amp;($B64+6),'Trade Log'!$BH$6:$BH$1005,1))</f>
        <v>0</v>
      </c>
      <c r="D64" s="98" t="str">
        <f>IF(OR($B64="",N($C64)=0),"",SUMIFS('Trade Log'!$Q$6:$Q$1005,'Trade Log'!$A$6:$A$1005,"&gt;="&amp;$B64,'Trade Log'!$A$6:$A$1005,"&lt;="&amp;($B64+6)))</f>
        <v/>
      </c>
      <c r="E64" s="99" t="str">
        <f>IF(OR($B64="",N($C64)=0),"",IFERROR(COUNTIFS('Trade Log'!$A$6:$A$1005,"&gt;="&amp;$B64,'Trade Log'!$A$6:$A$1005,"&lt;="&amp;($B64+6),'Trade Log'!$S$6:$S$1005,"Win")/(COUNTIFS('Trade Log'!$A$6:$A$1005,"&gt;="&amp;$B64,'Trade Log'!$A$6:$A$1005,"&lt;="&amp;($B64+6),'Trade Log'!$S$6:$S$1005,"Win")+COUNTIFS('Trade Log'!$A$6:$A$1005,"&gt;="&amp;$B64,'Trade Log'!$A$6:$A$1005,"&lt;="&amp;($B64+6),'Trade Log'!$S$6:$S$1005,"Loss")),"—"))</f>
        <v/>
      </c>
      <c r="F64" s="104" t="str">
        <f>IF(OR($B64="",N($C64)=0),"",IFERROR(SUMIFS('Trade Log'!$R$6:$R$1005,'Trade Log'!$A$6:$A$1005,"&gt;="&amp;$B64,'Trade Log'!$A$6:$A$1005,"&lt;="&amp;($B64+6))/COUNTIFS('Trade Log'!$A$6:$A$1005,"&gt;="&amp;$B64,'Trade Log'!$A$6:$A$1005,"&lt;="&amp;($B64+6),'Trade Log'!$BC$6:$BC$1005,1),"—"))</f>
        <v/>
      </c>
      <c r="G64" s="110" t="str">
        <f>IF(OR($B64="",N($C64)=0),"",IF(SUMIFS('Trade Log'!$Q$6:$Q$1005,'Trade Log'!$A$6:$A$1005,"&gt;="&amp;$B64,'Trade Log'!$A$6:$A$1005,"&lt;="&amp;($B64+6),'Trade Log'!$Q$6:$Q$1005,"&lt;0")=0,IF(SUMIFS('Trade Log'!$Q$6:$Q$1005,'Trade Log'!$A$6:$A$1005,"&gt;="&amp;$B64,'Trade Log'!$A$6:$A$1005,"&lt;="&amp;($B64+6),'Trade Log'!$Q$6:$Q$1005,"&gt;0")&gt;0,"No losses","—"),SUMIFS('Trade Log'!$Q$6:$Q$1005,'Trade Log'!$A$6:$A$1005,"&gt;="&amp;$B64,'Trade Log'!$A$6:$A$1005,"&lt;="&amp;($B64+6),'Trade Log'!$Q$6:$Q$1005,"&gt;0")/-SUMIFS('Trade Log'!$Q$6:$Q$1005,'Trade Log'!$A$6:$A$1005,"&gt;="&amp;$B64,'Trade Log'!$A$6:$A$1005,"&lt;="&amp;($B64+6),'Trade Log'!$Q$6:$Q$1005,"&lt;0")))</f>
        <v/>
      </c>
      <c r="H64" s="99" t="str">
        <f>IF(OR($B64="",N($C64)=0),"",IFERROR(COUNTIFS('Trade Log'!$A$6:$A$1005,"&gt;="&amp;$B64,'Trade Log'!$A$6:$A$1005,"&lt;="&amp;($B64+6),'Trade Log'!$Z$6:$Z$1005,"Yes")/(COUNTIFS('Trade Log'!$A$6:$A$1005,"&gt;="&amp;$B64,'Trade Log'!$A$6:$A$1005,"&lt;="&amp;($B64+6),'Trade Log'!$Z$6:$Z$1005,"Yes")+COUNTIFS('Trade Log'!$A$6:$A$1005,"&gt;="&amp;$B64,'Trade Log'!$A$6:$A$1005,"&lt;="&amp;($B64+6),'Trade Log'!$Z$6:$Z$1005,"No")),"—"))</f>
        <v/>
      </c>
      <c r="I64" s="111" t="str">
        <f>IF(OR($B64="",N($C64)=0),"",IF(MAX($Q64:$AB64)=0,"None — clean week",INDEX($Q$5:$AB$5,MATCH(MAX($Q64:$AB64),$Q64:$AB64,0))))</f>
        <v/>
      </c>
      <c r="J64" s="111" t="str">
        <f>IF(OR($B64="",N($C64)=0),"",IF(MIN($AC64:$AL64)&gt;=0,"None lost money",INDEX($AC$5:$AL$5,MATCH(MIN($AC64:$AL64),$AC64:$AL64,0))))</f>
        <v/>
      </c>
      <c r="K64" s="111" t="str">
        <f>IF(OR($B64="",N($C64)=0),"",IF(MAX($AM64:$AV64)&lt;=0,"None made money",INDEX($AM$5:$AV$5,MATCH(MAX($AM64:$AV64),$AM64:$AV64,0))))</f>
        <v/>
      </c>
      <c r="L64" s="106" t="n"/>
      <c r="M64" s="106" t="n"/>
      <c r="N64" s="112" t="n"/>
      <c r="O64" s="29" t="n"/>
      <c r="Q64" s="109">
        <f>IF(OR($B64="",Q$5=""),0,COUNTIFS('Trade Log'!$A$6:$A$1005,"&gt;="&amp;$B64,'Trade Log'!$A$6:$A$1005,"&lt;="&amp;($B64+6),'Trade Log'!$AB$6:$AB$1005,Q$5))</f>
        <v>0</v>
      </c>
      <c r="R64" s="109">
        <f>IF(OR($B64="",R$5=""),0,COUNTIFS('Trade Log'!$A$6:$A$1005,"&gt;="&amp;$B64,'Trade Log'!$A$6:$A$1005,"&lt;="&amp;($B64+6),'Trade Log'!$AB$6:$AB$1005,R$5))</f>
        <v>0</v>
      </c>
      <c r="S64" s="109">
        <f>IF(OR($B64="",S$5=""),0,COUNTIFS('Trade Log'!$A$6:$A$1005,"&gt;="&amp;$B64,'Trade Log'!$A$6:$A$1005,"&lt;="&amp;($B64+6),'Trade Log'!$AB$6:$AB$1005,S$5))</f>
        <v>0</v>
      </c>
      <c r="T64" s="109">
        <f>IF(OR($B64="",T$5=""),0,COUNTIFS('Trade Log'!$A$6:$A$1005,"&gt;="&amp;$B64,'Trade Log'!$A$6:$A$1005,"&lt;="&amp;($B64+6),'Trade Log'!$AB$6:$AB$1005,T$5))</f>
        <v>0</v>
      </c>
      <c r="U64" s="109">
        <f>IF(OR($B64="",U$5=""),0,COUNTIFS('Trade Log'!$A$6:$A$1005,"&gt;="&amp;$B64,'Trade Log'!$A$6:$A$1005,"&lt;="&amp;($B64+6),'Trade Log'!$AB$6:$AB$1005,U$5))</f>
        <v>0</v>
      </c>
      <c r="V64" s="109">
        <f>IF(OR($B64="",V$5=""),0,COUNTIFS('Trade Log'!$A$6:$A$1005,"&gt;="&amp;$B64,'Trade Log'!$A$6:$A$1005,"&lt;="&amp;($B64+6),'Trade Log'!$AB$6:$AB$1005,V$5))</f>
        <v>0</v>
      </c>
      <c r="W64" s="109">
        <f>IF(OR($B64="",W$5=""),0,COUNTIFS('Trade Log'!$A$6:$A$1005,"&gt;="&amp;$B64,'Trade Log'!$A$6:$A$1005,"&lt;="&amp;($B64+6),'Trade Log'!$AB$6:$AB$1005,W$5))</f>
        <v>0</v>
      </c>
      <c r="X64" s="109">
        <f>IF(OR($B64="",X$5=""),0,COUNTIFS('Trade Log'!$A$6:$A$1005,"&gt;="&amp;$B64,'Trade Log'!$A$6:$A$1005,"&lt;="&amp;($B64+6),'Trade Log'!$AB$6:$AB$1005,X$5))</f>
        <v>0</v>
      </c>
      <c r="Y64" s="109">
        <f>IF(OR($B64="",Y$5=""),0,COUNTIFS('Trade Log'!$A$6:$A$1005,"&gt;="&amp;$B64,'Trade Log'!$A$6:$A$1005,"&lt;="&amp;($B64+6),'Trade Log'!$AB$6:$AB$1005,Y$5))</f>
        <v>0</v>
      </c>
      <c r="Z64" s="109">
        <f>IF(OR($B64="",Z$5=""),0,COUNTIFS('Trade Log'!$A$6:$A$1005,"&gt;="&amp;$B64,'Trade Log'!$A$6:$A$1005,"&lt;="&amp;($B64+6),'Trade Log'!$AB$6:$AB$1005,Z$5))</f>
        <v>0</v>
      </c>
      <c r="AA64" s="109">
        <f>IF(OR($B64="",AA$5=""),0,COUNTIFS('Trade Log'!$A$6:$A$1005,"&gt;="&amp;$B64,'Trade Log'!$A$6:$A$1005,"&lt;="&amp;($B64+6),'Trade Log'!$AB$6:$AB$1005,AA$5))</f>
        <v>0</v>
      </c>
      <c r="AB64" s="109">
        <f>IF(OR($B64="",AB$5=""),0,COUNTIFS('Trade Log'!$A$6:$A$1005,"&gt;="&amp;$B64,'Trade Log'!$A$6:$A$1005,"&lt;="&amp;($B64+6),'Trade Log'!$AB$6:$AB$1005,AB$5))</f>
        <v>0</v>
      </c>
      <c r="AC64" s="113">
        <f>IF(OR($B64="",AC$5=""),0,SUMIFS('Trade Log'!$Q$6:$Q$1005,'Trade Log'!$A$6:$A$1005,"&gt;="&amp;$B64,'Trade Log'!$A$6:$A$1005,"&lt;="&amp;($B64+6),'Trade Log'!$AA$6:$AA$1005,AC$5))</f>
        <v>0</v>
      </c>
      <c r="AD64" s="113">
        <f>IF(OR($B64="",AD$5=""),0,SUMIFS('Trade Log'!$Q$6:$Q$1005,'Trade Log'!$A$6:$A$1005,"&gt;="&amp;$B64,'Trade Log'!$A$6:$A$1005,"&lt;="&amp;($B64+6),'Trade Log'!$AA$6:$AA$1005,AD$5))</f>
        <v>0</v>
      </c>
      <c r="AE64" s="113">
        <f>IF(OR($B64="",AE$5=""),0,SUMIFS('Trade Log'!$Q$6:$Q$1005,'Trade Log'!$A$6:$A$1005,"&gt;="&amp;$B64,'Trade Log'!$A$6:$A$1005,"&lt;="&amp;($B64+6),'Trade Log'!$AA$6:$AA$1005,AE$5))</f>
        <v>0</v>
      </c>
      <c r="AF64" s="113">
        <f>IF(OR($B64="",AF$5=""),0,SUMIFS('Trade Log'!$Q$6:$Q$1005,'Trade Log'!$A$6:$A$1005,"&gt;="&amp;$B64,'Trade Log'!$A$6:$A$1005,"&lt;="&amp;($B64+6),'Trade Log'!$AA$6:$AA$1005,AF$5))</f>
        <v>0</v>
      </c>
      <c r="AG64" s="113">
        <f>IF(OR($B64="",AG$5=""),0,SUMIFS('Trade Log'!$Q$6:$Q$1005,'Trade Log'!$A$6:$A$1005,"&gt;="&amp;$B64,'Trade Log'!$A$6:$A$1005,"&lt;="&amp;($B64+6),'Trade Log'!$AA$6:$AA$1005,AG$5))</f>
        <v>0</v>
      </c>
      <c r="AH64" s="113">
        <f>IF(OR($B64="",AH$5=""),0,SUMIFS('Trade Log'!$Q$6:$Q$1005,'Trade Log'!$A$6:$A$1005,"&gt;="&amp;$B64,'Trade Log'!$A$6:$A$1005,"&lt;="&amp;($B64+6),'Trade Log'!$AA$6:$AA$1005,AH$5))</f>
        <v>0</v>
      </c>
      <c r="AI64" s="113">
        <f>IF(OR($B64="",AI$5=""),0,SUMIFS('Trade Log'!$Q$6:$Q$1005,'Trade Log'!$A$6:$A$1005,"&gt;="&amp;$B64,'Trade Log'!$A$6:$A$1005,"&lt;="&amp;($B64+6),'Trade Log'!$AA$6:$AA$1005,AI$5))</f>
        <v>0</v>
      </c>
      <c r="AJ64" s="113">
        <f>IF(OR($B64="",AJ$5=""),0,SUMIFS('Trade Log'!$Q$6:$Q$1005,'Trade Log'!$A$6:$A$1005,"&gt;="&amp;$B64,'Trade Log'!$A$6:$A$1005,"&lt;="&amp;($B64+6),'Trade Log'!$AA$6:$AA$1005,AJ$5))</f>
        <v>0</v>
      </c>
      <c r="AK64" s="113">
        <f>IF(OR($B64="",AK$5=""),0,SUMIFS('Trade Log'!$Q$6:$Q$1005,'Trade Log'!$A$6:$A$1005,"&gt;="&amp;$B64,'Trade Log'!$A$6:$A$1005,"&lt;="&amp;($B64+6),'Trade Log'!$AA$6:$AA$1005,AK$5))</f>
        <v>0</v>
      </c>
      <c r="AL64" s="113">
        <f>IF(OR($B64="",AL$5=""),0,SUMIFS('Trade Log'!$Q$6:$Q$1005,'Trade Log'!$A$6:$A$1005,"&gt;="&amp;$B64,'Trade Log'!$A$6:$A$1005,"&lt;="&amp;($B64+6),'Trade Log'!$AA$6:$AA$1005,AL$5))</f>
        <v>0</v>
      </c>
      <c r="AM64" s="113">
        <f>IF(OR($B64="",AM$5=""),0,SUMIFS('Trade Log'!$Q$6:$Q$1005,'Trade Log'!$A$6:$A$1005,"&gt;="&amp;$B64,'Trade Log'!$A$6:$A$1005,"&lt;="&amp;($B64+6),'Trade Log'!$Y$6:$Y$1005,AM$5))</f>
        <v>0</v>
      </c>
      <c r="AN64" s="113">
        <f>IF(OR($B64="",AN$5=""),0,SUMIFS('Trade Log'!$Q$6:$Q$1005,'Trade Log'!$A$6:$A$1005,"&gt;="&amp;$B64,'Trade Log'!$A$6:$A$1005,"&lt;="&amp;($B64+6),'Trade Log'!$Y$6:$Y$1005,AN$5))</f>
        <v>0</v>
      </c>
      <c r="AO64" s="113">
        <f>IF(OR($B64="",AO$5=""),0,SUMIFS('Trade Log'!$Q$6:$Q$1005,'Trade Log'!$A$6:$A$1005,"&gt;="&amp;$B64,'Trade Log'!$A$6:$A$1005,"&lt;="&amp;($B64+6),'Trade Log'!$Y$6:$Y$1005,AO$5))</f>
        <v>0</v>
      </c>
      <c r="AP64" s="113">
        <f>IF(OR($B64="",AP$5=""),0,SUMIFS('Trade Log'!$Q$6:$Q$1005,'Trade Log'!$A$6:$A$1005,"&gt;="&amp;$B64,'Trade Log'!$A$6:$A$1005,"&lt;="&amp;($B64+6),'Trade Log'!$Y$6:$Y$1005,AP$5))</f>
        <v>0</v>
      </c>
      <c r="AQ64" s="113">
        <f>IF(OR($B64="",AQ$5=""),0,SUMIFS('Trade Log'!$Q$6:$Q$1005,'Trade Log'!$A$6:$A$1005,"&gt;="&amp;$B64,'Trade Log'!$A$6:$A$1005,"&lt;="&amp;($B64+6),'Trade Log'!$Y$6:$Y$1005,AQ$5))</f>
        <v>0</v>
      </c>
      <c r="AR64" s="113">
        <f>IF(OR($B64="",AR$5=""),0,SUMIFS('Trade Log'!$Q$6:$Q$1005,'Trade Log'!$A$6:$A$1005,"&gt;="&amp;$B64,'Trade Log'!$A$6:$A$1005,"&lt;="&amp;($B64+6),'Trade Log'!$Y$6:$Y$1005,AR$5))</f>
        <v>0</v>
      </c>
      <c r="AS64" s="113">
        <f>IF(OR($B64="",AS$5=""),0,SUMIFS('Trade Log'!$Q$6:$Q$1005,'Trade Log'!$A$6:$A$1005,"&gt;="&amp;$B64,'Trade Log'!$A$6:$A$1005,"&lt;="&amp;($B64+6),'Trade Log'!$Y$6:$Y$1005,AS$5))</f>
        <v>0</v>
      </c>
      <c r="AT64" s="113">
        <f>IF(OR($B64="",AT$5=""),0,SUMIFS('Trade Log'!$Q$6:$Q$1005,'Trade Log'!$A$6:$A$1005,"&gt;="&amp;$B64,'Trade Log'!$A$6:$A$1005,"&lt;="&amp;($B64+6),'Trade Log'!$Y$6:$Y$1005,AT$5))</f>
        <v>0</v>
      </c>
      <c r="AU64" s="113">
        <f>IF(OR($B64="",AU$5=""),0,SUMIFS('Trade Log'!$Q$6:$Q$1005,'Trade Log'!$A$6:$A$1005,"&gt;="&amp;$B64,'Trade Log'!$A$6:$A$1005,"&lt;="&amp;($B64+6),'Trade Log'!$Y$6:$Y$1005,AU$5))</f>
        <v>0</v>
      </c>
      <c r="AV64" s="113">
        <f>IF(OR($B64="",AV$5=""),0,SUMIFS('Trade Log'!$Q$6:$Q$1005,'Trade Log'!$A$6:$A$1005,"&gt;="&amp;$B64,'Trade Log'!$A$6:$A$1005,"&lt;="&amp;($B64+6),'Trade Log'!$Y$6:$Y$1005,AV$5))</f>
        <v>0</v>
      </c>
    </row>
    <row r="65">
      <c r="B65" s="107">
        <f>IF($B64="","",$B64+7)</f>
        <v>46699</v>
      </c>
      <c r="C65" s="96">
        <f>IF($B65="","",COUNTIFS('Trade Log'!$A$6:$A$1005,"&gt;="&amp;$B65,'Trade Log'!$A$6:$A$1005,"&lt;="&amp;($B65+6),'Trade Log'!$BH$6:$BH$1005,1))</f>
        <v>0</v>
      </c>
      <c r="D65" s="98" t="str">
        <f>IF(OR($B65="",N($C65)=0),"",SUMIFS('Trade Log'!$Q$6:$Q$1005,'Trade Log'!$A$6:$A$1005,"&gt;="&amp;$B65,'Trade Log'!$A$6:$A$1005,"&lt;="&amp;($B65+6)))</f>
        <v/>
      </c>
      <c r="E65" s="99" t="str">
        <f>IF(OR($B65="",N($C65)=0),"",IFERROR(COUNTIFS('Trade Log'!$A$6:$A$1005,"&gt;="&amp;$B65,'Trade Log'!$A$6:$A$1005,"&lt;="&amp;($B65+6),'Trade Log'!$S$6:$S$1005,"Win")/(COUNTIFS('Trade Log'!$A$6:$A$1005,"&gt;="&amp;$B65,'Trade Log'!$A$6:$A$1005,"&lt;="&amp;($B65+6),'Trade Log'!$S$6:$S$1005,"Win")+COUNTIFS('Trade Log'!$A$6:$A$1005,"&gt;="&amp;$B65,'Trade Log'!$A$6:$A$1005,"&lt;="&amp;($B65+6),'Trade Log'!$S$6:$S$1005,"Loss")),"—"))</f>
        <v/>
      </c>
      <c r="F65" s="104" t="str">
        <f>IF(OR($B65="",N($C65)=0),"",IFERROR(SUMIFS('Trade Log'!$R$6:$R$1005,'Trade Log'!$A$6:$A$1005,"&gt;="&amp;$B65,'Trade Log'!$A$6:$A$1005,"&lt;="&amp;($B65+6))/COUNTIFS('Trade Log'!$A$6:$A$1005,"&gt;="&amp;$B65,'Trade Log'!$A$6:$A$1005,"&lt;="&amp;($B65+6),'Trade Log'!$BC$6:$BC$1005,1),"—"))</f>
        <v/>
      </c>
      <c r="G65" s="110" t="str">
        <f>IF(OR($B65="",N($C65)=0),"",IF(SUMIFS('Trade Log'!$Q$6:$Q$1005,'Trade Log'!$A$6:$A$1005,"&gt;="&amp;$B65,'Trade Log'!$A$6:$A$1005,"&lt;="&amp;($B65+6),'Trade Log'!$Q$6:$Q$1005,"&lt;0")=0,IF(SUMIFS('Trade Log'!$Q$6:$Q$1005,'Trade Log'!$A$6:$A$1005,"&gt;="&amp;$B65,'Trade Log'!$A$6:$A$1005,"&lt;="&amp;($B65+6),'Trade Log'!$Q$6:$Q$1005,"&gt;0")&gt;0,"No losses","—"),SUMIFS('Trade Log'!$Q$6:$Q$1005,'Trade Log'!$A$6:$A$1005,"&gt;="&amp;$B65,'Trade Log'!$A$6:$A$1005,"&lt;="&amp;($B65+6),'Trade Log'!$Q$6:$Q$1005,"&gt;0")/-SUMIFS('Trade Log'!$Q$6:$Q$1005,'Trade Log'!$A$6:$A$1005,"&gt;="&amp;$B65,'Trade Log'!$A$6:$A$1005,"&lt;="&amp;($B65+6),'Trade Log'!$Q$6:$Q$1005,"&lt;0")))</f>
        <v/>
      </c>
      <c r="H65" s="99" t="str">
        <f>IF(OR($B65="",N($C65)=0),"",IFERROR(COUNTIFS('Trade Log'!$A$6:$A$1005,"&gt;="&amp;$B65,'Trade Log'!$A$6:$A$1005,"&lt;="&amp;($B65+6),'Trade Log'!$Z$6:$Z$1005,"Yes")/(COUNTIFS('Trade Log'!$A$6:$A$1005,"&gt;="&amp;$B65,'Trade Log'!$A$6:$A$1005,"&lt;="&amp;($B65+6),'Trade Log'!$Z$6:$Z$1005,"Yes")+COUNTIFS('Trade Log'!$A$6:$A$1005,"&gt;="&amp;$B65,'Trade Log'!$A$6:$A$1005,"&lt;="&amp;($B65+6),'Trade Log'!$Z$6:$Z$1005,"No")),"—"))</f>
        <v/>
      </c>
      <c r="I65" s="111" t="str">
        <f>IF(OR($B65="",N($C65)=0),"",IF(MAX($Q65:$AB65)=0,"None — clean week",INDEX($Q$5:$AB$5,MATCH(MAX($Q65:$AB65),$Q65:$AB65,0))))</f>
        <v/>
      </c>
      <c r="J65" s="111" t="str">
        <f>IF(OR($B65="",N($C65)=0),"",IF(MIN($AC65:$AL65)&gt;=0,"None lost money",INDEX($AC$5:$AL$5,MATCH(MIN($AC65:$AL65),$AC65:$AL65,0))))</f>
        <v/>
      </c>
      <c r="K65" s="111" t="str">
        <f>IF(OR($B65="",N($C65)=0),"",IF(MAX($AM65:$AV65)&lt;=0,"None made money",INDEX($AM$5:$AV$5,MATCH(MAX($AM65:$AV65),$AM65:$AV65,0))))</f>
        <v/>
      </c>
      <c r="L65" s="106" t="n"/>
      <c r="M65" s="106" t="n"/>
      <c r="N65" s="112" t="n"/>
      <c r="O65" s="29" t="n"/>
      <c r="Q65" s="109">
        <f>IF(OR($B65="",Q$5=""),0,COUNTIFS('Trade Log'!$A$6:$A$1005,"&gt;="&amp;$B65,'Trade Log'!$A$6:$A$1005,"&lt;="&amp;($B65+6),'Trade Log'!$AB$6:$AB$1005,Q$5))</f>
        <v>0</v>
      </c>
      <c r="R65" s="109">
        <f>IF(OR($B65="",R$5=""),0,COUNTIFS('Trade Log'!$A$6:$A$1005,"&gt;="&amp;$B65,'Trade Log'!$A$6:$A$1005,"&lt;="&amp;($B65+6),'Trade Log'!$AB$6:$AB$1005,R$5))</f>
        <v>0</v>
      </c>
      <c r="S65" s="109">
        <f>IF(OR($B65="",S$5=""),0,COUNTIFS('Trade Log'!$A$6:$A$1005,"&gt;="&amp;$B65,'Trade Log'!$A$6:$A$1005,"&lt;="&amp;($B65+6),'Trade Log'!$AB$6:$AB$1005,S$5))</f>
        <v>0</v>
      </c>
      <c r="T65" s="109">
        <f>IF(OR($B65="",T$5=""),0,COUNTIFS('Trade Log'!$A$6:$A$1005,"&gt;="&amp;$B65,'Trade Log'!$A$6:$A$1005,"&lt;="&amp;($B65+6),'Trade Log'!$AB$6:$AB$1005,T$5))</f>
        <v>0</v>
      </c>
      <c r="U65" s="109">
        <f>IF(OR($B65="",U$5=""),0,COUNTIFS('Trade Log'!$A$6:$A$1005,"&gt;="&amp;$B65,'Trade Log'!$A$6:$A$1005,"&lt;="&amp;($B65+6),'Trade Log'!$AB$6:$AB$1005,U$5))</f>
        <v>0</v>
      </c>
      <c r="V65" s="109">
        <f>IF(OR($B65="",V$5=""),0,COUNTIFS('Trade Log'!$A$6:$A$1005,"&gt;="&amp;$B65,'Trade Log'!$A$6:$A$1005,"&lt;="&amp;($B65+6),'Trade Log'!$AB$6:$AB$1005,V$5))</f>
        <v>0</v>
      </c>
      <c r="W65" s="109">
        <f>IF(OR($B65="",W$5=""),0,COUNTIFS('Trade Log'!$A$6:$A$1005,"&gt;="&amp;$B65,'Trade Log'!$A$6:$A$1005,"&lt;="&amp;($B65+6),'Trade Log'!$AB$6:$AB$1005,W$5))</f>
        <v>0</v>
      </c>
      <c r="X65" s="109">
        <f>IF(OR($B65="",X$5=""),0,COUNTIFS('Trade Log'!$A$6:$A$1005,"&gt;="&amp;$B65,'Trade Log'!$A$6:$A$1005,"&lt;="&amp;($B65+6),'Trade Log'!$AB$6:$AB$1005,X$5))</f>
        <v>0</v>
      </c>
      <c r="Y65" s="109">
        <f>IF(OR($B65="",Y$5=""),0,COUNTIFS('Trade Log'!$A$6:$A$1005,"&gt;="&amp;$B65,'Trade Log'!$A$6:$A$1005,"&lt;="&amp;($B65+6),'Trade Log'!$AB$6:$AB$1005,Y$5))</f>
        <v>0</v>
      </c>
      <c r="Z65" s="109">
        <f>IF(OR($B65="",Z$5=""),0,COUNTIFS('Trade Log'!$A$6:$A$1005,"&gt;="&amp;$B65,'Trade Log'!$A$6:$A$1005,"&lt;="&amp;($B65+6),'Trade Log'!$AB$6:$AB$1005,Z$5))</f>
        <v>0</v>
      </c>
      <c r="AA65" s="109">
        <f>IF(OR($B65="",AA$5=""),0,COUNTIFS('Trade Log'!$A$6:$A$1005,"&gt;="&amp;$B65,'Trade Log'!$A$6:$A$1005,"&lt;="&amp;($B65+6),'Trade Log'!$AB$6:$AB$1005,AA$5))</f>
        <v>0</v>
      </c>
      <c r="AB65" s="109">
        <f>IF(OR($B65="",AB$5=""),0,COUNTIFS('Trade Log'!$A$6:$A$1005,"&gt;="&amp;$B65,'Trade Log'!$A$6:$A$1005,"&lt;="&amp;($B65+6),'Trade Log'!$AB$6:$AB$1005,AB$5))</f>
        <v>0</v>
      </c>
      <c r="AC65" s="113">
        <f>IF(OR($B65="",AC$5=""),0,SUMIFS('Trade Log'!$Q$6:$Q$1005,'Trade Log'!$A$6:$A$1005,"&gt;="&amp;$B65,'Trade Log'!$A$6:$A$1005,"&lt;="&amp;($B65+6),'Trade Log'!$AA$6:$AA$1005,AC$5))</f>
        <v>0</v>
      </c>
      <c r="AD65" s="113">
        <f>IF(OR($B65="",AD$5=""),0,SUMIFS('Trade Log'!$Q$6:$Q$1005,'Trade Log'!$A$6:$A$1005,"&gt;="&amp;$B65,'Trade Log'!$A$6:$A$1005,"&lt;="&amp;($B65+6),'Trade Log'!$AA$6:$AA$1005,AD$5))</f>
        <v>0</v>
      </c>
      <c r="AE65" s="113">
        <f>IF(OR($B65="",AE$5=""),0,SUMIFS('Trade Log'!$Q$6:$Q$1005,'Trade Log'!$A$6:$A$1005,"&gt;="&amp;$B65,'Trade Log'!$A$6:$A$1005,"&lt;="&amp;($B65+6),'Trade Log'!$AA$6:$AA$1005,AE$5))</f>
        <v>0</v>
      </c>
      <c r="AF65" s="113">
        <f>IF(OR($B65="",AF$5=""),0,SUMIFS('Trade Log'!$Q$6:$Q$1005,'Trade Log'!$A$6:$A$1005,"&gt;="&amp;$B65,'Trade Log'!$A$6:$A$1005,"&lt;="&amp;($B65+6),'Trade Log'!$AA$6:$AA$1005,AF$5))</f>
        <v>0</v>
      </c>
      <c r="AG65" s="113">
        <f>IF(OR($B65="",AG$5=""),0,SUMIFS('Trade Log'!$Q$6:$Q$1005,'Trade Log'!$A$6:$A$1005,"&gt;="&amp;$B65,'Trade Log'!$A$6:$A$1005,"&lt;="&amp;($B65+6),'Trade Log'!$AA$6:$AA$1005,AG$5))</f>
        <v>0</v>
      </c>
      <c r="AH65" s="113">
        <f>IF(OR($B65="",AH$5=""),0,SUMIFS('Trade Log'!$Q$6:$Q$1005,'Trade Log'!$A$6:$A$1005,"&gt;="&amp;$B65,'Trade Log'!$A$6:$A$1005,"&lt;="&amp;($B65+6),'Trade Log'!$AA$6:$AA$1005,AH$5))</f>
        <v>0</v>
      </c>
      <c r="AI65" s="113">
        <f>IF(OR($B65="",AI$5=""),0,SUMIFS('Trade Log'!$Q$6:$Q$1005,'Trade Log'!$A$6:$A$1005,"&gt;="&amp;$B65,'Trade Log'!$A$6:$A$1005,"&lt;="&amp;($B65+6),'Trade Log'!$AA$6:$AA$1005,AI$5))</f>
        <v>0</v>
      </c>
      <c r="AJ65" s="113">
        <f>IF(OR($B65="",AJ$5=""),0,SUMIFS('Trade Log'!$Q$6:$Q$1005,'Trade Log'!$A$6:$A$1005,"&gt;="&amp;$B65,'Trade Log'!$A$6:$A$1005,"&lt;="&amp;($B65+6),'Trade Log'!$AA$6:$AA$1005,AJ$5))</f>
        <v>0</v>
      </c>
      <c r="AK65" s="113">
        <f>IF(OR($B65="",AK$5=""),0,SUMIFS('Trade Log'!$Q$6:$Q$1005,'Trade Log'!$A$6:$A$1005,"&gt;="&amp;$B65,'Trade Log'!$A$6:$A$1005,"&lt;="&amp;($B65+6),'Trade Log'!$AA$6:$AA$1005,AK$5))</f>
        <v>0</v>
      </c>
      <c r="AL65" s="113">
        <f>IF(OR($B65="",AL$5=""),0,SUMIFS('Trade Log'!$Q$6:$Q$1005,'Trade Log'!$A$6:$A$1005,"&gt;="&amp;$B65,'Trade Log'!$A$6:$A$1005,"&lt;="&amp;($B65+6),'Trade Log'!$AA$6:$AA$1005,AL$5))</f>
        <v>0</v>
      </c>
      <c r="AM65" s="113">
        <f>IF(OR($B65="",AM$5=""),0,SUMIFS('Trade Log'!$Q$6:$Q$1005,'Trade Log'!$A$6:$A$1005,"&gt;="&amp;$B65,'Trade Log'!$A$6:$A$1005,"&lt;="&amp;($B65+6),'Trade Log'!$Y$6:$Y$1005,AM$5))</f>
        <v>0</v>
      </c>
      <c r="AN65" s="113">
        <f>IF(OR($B65="",AN$5=""),0,SUMIFS('Trade Log'!$Q$6:$Q$1005,'Trade Log'!$A$6:$A$1005,"&gt;="&amp;$B65,'Trade Log'!$A$6:$A$1005,"&lt;="&amp;($B65+6),'Trade Log'!$Y$6:$Y$1005,AN$5))</f>
        <v>0</v>
      </c>
      <c r="AO65" s="113">
        <f>IF(OR($B65="",AO$5=""),0,SUMIFS('Trade Log'!$Q$6:$Q$1005,'Trade Log'!$A$6:$A$1005,"&gt;="&amp;$B65,'Trade Log'!$A$6:$A$1005,"&lt;="&amp;($B65+6),'Trade Log'!$Y$6:$Y$1005,AO$5))</f>
        <v>0</v>
      </c>
      <c r="AP65" s="113">
        <f>IF(OR($B65="",AP$5=""),0,SUMIFS('Trade Log'!$Q$6:$Q$1005,'Trade Log'!$A$6:$A$1005,"&gt;="&amp;$B65,'Trade Log'!$A$6:$A$1005,"&lt;="&amp;($B65+6),'Trade Log'!$Y$6:$Y$1005,AP$5))</f>
        <v>0</v>
      </c>
      <c r="AQ65" s="113">
        <f>IF(OR($B65="",AQ$5=""),0,SUMIFS('Trade Log'!$Q$6:$Q$1005,'Trade Log'!$A$6:$A$1005,"&gt;="&amp;$B65,'Trade Log'!$A$6:$A$1005,"&lt;="&amp;($B65+6),'Trade Log'!$Y$6:$Y$1005,AQ$5))</f>
        <v>0</v>
      </c>
      <c r="AR65" s="113">
        <f>IF(OR($B65="",AR$5=""),0,SUMIFS('Trade Log'!$Q$6:$Q$1005,'Trade Log'!$A$6:$A$1005,"&gt;="&amp;$B65,'Trade Log'!$A$6:$A$1005,"&lt;="&amp;($B65+6),'Trade Log'!$Y$6:$Y$1005,AR$5))</f>
        <v>0</v>
      </c>
      <c r="AS65" s="113">
        <f>IF(OR($B65="",AS$5=""),0,SUMIFS('Trade Log'!$Q$6:$Q$1005,'Trade Log'!$A$6:$A$1005,"&gt;="&amp;$B65,'Trade Log'!$A$6:$A$1005,"&lt;="&amp;($B65+6),'Trade Log'!$Y$6:$Y$1005,AS$5))</f>
        <v>0</v>
      </c>
      <c r="AT65" s="113">
        <f>IF(OR($B65="",AT$5=""),0,SUMIFS('Trade Log'!$Q$6:$Q$1005,'Trade Log'!$A$6:$A$1005,"&gt;="&amp;$B65,'Trade Log'!$A$6:$A$1005,"&lt;="&amp;($B65+6),'Trade Log'!$Y$6:$Y$1005,AT$5))</f>
        <v>0</v>
      </c>
      <c r="AU65" s="113">
        <f>IF(OR($B65="",AU$5=""),0,SUMIFS('Trade Log'!$Q$6:$Q$1005,'Trade Log'!$A$6:$A$1005,"&gt;="&amp;$B65,'Trade Log'!$A$6:$A$1005,"&lt;="&amp;($B65+6),'Trade Log'!$Y$6:$Y$1005,AU$5))</f>
        <v>0</v>
      </c>
      <c r="AV65" s="113">
        <f>IF(OR($B65="",AV$5=""),0,SUMIFS('Trade Log'!$Q$6:$Q$1005,'Trade Log'!$A$6:$A$1005,"&gt;="&amp;$B65,'Trade Log'!$A$6:$A$1005,"&lt;="&amp;($B65+6),'Trade Log'!$Y$6:$Y$1005,AV$5))</f>
        <v>0</v>
      </c>
    </row>
  </sheetData>
  <mergeCells count="3">
    <mergeCell ref="B4:K4"/>
    <mergeCell ref="L4:O4"/>
    <mergeCell ref="Q4:AV4"/>
  </mergeCells>
  <conditionalFormatting sqref="D6:D65">
    <cfRule type="cellIs" priority="1" operator="lessThan" dxfId="9">
      <formula>0</formula>
    </cfRule>
    <cfRule type="cellIs" priority="2" operator="greaterThan" dxfId="2">
      <formula>0</formula>
    </cfRule>
  </conditionalFormatting>
  <dataValidations count="1">
    <dataValidation sqref="O6:O65" showDropDown="0" showInputMessage="0" showErrorMessage="1" allowBlank="1" type="list">
      <formula1>"Yes,Partly,No"</formula1>
    </dataValidation>
  </dataValidations>
  <pageMargins left="0.3" right="0.3" top="0.4" bottom="0.4" header="0.5" footer="0.5"/>
  <pageSetup orientation="landscape" fitToHeight="0" fitToWidth="1"/>
</worksheet>
</file>

<file path=xl/worksheets/sheet8.xml><?xml version="1.0" encoding="utf-8"?>
<worksheet xmlns="http://schemas.openxmlformats.org/spreadsheetml/2006/main">
  <sheetPr>
    <tabColor rgb="00F29900"/>
    <outlinePr summaryBelow="1" summaryRight="1"/>
    <pageSetUpPr fitToPage="1"/>
  </sheetPr>
  <dimension ref="B2:L1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4" customWidth="1" min="2" max="2"/>
    <col width="34" customWidth="1" min="3" max="3"/>
    <col width="30" customWidth="1" min="4" max="4"/>
    <col width="26" customWidth="1" min="5" max="5"/>
    <col width="24" customWidth="1" min="6" max="6"/>
    <col width="28" customWidth="1" min="7" max="7"/>
    <col width="16" customWidth="1" min="8" max="8"/>
    <col width="8" customWidth="1" min="9" max="9"/>
    <col width="8" customWidth="1" min="10" max="10"/>
    <col width="12" customWidth="1" min="11" max="11"/>
    <col width="9" customWidth="1" min="12" max="12"/>
  </cols>
  <sheetData>
    <row r="2">
      <c r="B2" s="9" t="inlineStr">
        <is>
          <t>SETUP PLAYBOOK</t>
        </is>
      </c>
    </row>
    <row r="3">
      <c r="B3" s="10" t="inlineStr">
        <is>
          <t>Define every setup BEFORE you trade it. Setup names here feed the Trade Log dropdown and the Dashboard. The 4 setups below are EXAMPLES — replace them with the 2–4 you actually trade.</t>
        </is>
      </c>
    </row>
    <row r="4">
      <c r="B4" s="31" t="inlineStr">
        <is>
          <t>YOUR SETUPS  (type here)</t>
        </is>
      </c>
      <c r="C4" s="32" t="n"/>
      <c r="D4" s="32" t="n"/>
      <c r="E4" s="32" t="n"/>
      <c r="F4" s="32" t="n"/>
      <c r="G4" s="32" t="n"/>
      <c r="H4" s="32" t="n"/>
      <c r="I4" s="33" t="inlineStr">
        <is>
          <t>ALL-TIME RESULTS (automatic)</t>
        </is>
      </c>
      <c r="J4" s="34" t="n"/>
      <c r="K4" s="34" t="n"/>
      <c r="L4" s="34" t="n"/>
    </row>
    <row r="5" ht="40" customHeight="1">
      <c r="B5" s="15" t="inlineStr">
        <is>
          <t>Setup name</t>
        </is>
      </c>
      <c r="C5" s="15" t="inlineStr">
        <is>
          <t>When it's valid
(market context)</t>
        </is>
      </c>
      <c r="D5" s="15" t="inlineStr">
        <is>
          <t>Trigger
(exact entry)</t>
        </is>
      </c>
      <c r="E5" s="15" t="inlineStr">
        <is>
          <t>Stop goes…
(invalidation)</t>
        </is>
      </c>
      <c r="F5" s="15" t="inlineStr">
        <is>
          <t>Target logic</t>
        </is>
      </c>
      <c r="G5" s="15" t="inlineStr">
        <is>
          <t>Skip it when…</t>
        </is>
      </c>
      <c r="H5" s="15" t="inlineStr">
        <is>
          <t>Example chart
(link)</t>
        </is>
      </c>
      <c r="I5" s="15" t="inlineStr">
        <is>
          <t>Trades</t>
        </is>
      </c>
      <c r="J5" s="15" t="inlineStr">
        <is>
          <t>Win %</t>
        </is>
      </c>
      <c r="K5" s="15" t="inlineStr">
        <is>
          <t>Net P&amp;L</t>
        </is>
      </c>
      <c r="L5" s="15" t="inlineStr">
        <is>
          <t>Avg R</t>
        </is>
      </c>
    </row>
    <row r="6" ht="62" customHeight="1">
      <c r="B6" s="114" t="inlineStr">
        <is>
          <t>Breakout &amp; Retest</t>
        </is>
      </c>
      <c r="C6" s="115" t="inlineStr">
        <is>
          <t>A clear level (prior high/low, range edge) breaks with strong volume, then price pulls back to it.</t>
        </is>
      </c>
      <c r="D6" s="115" t="inlineStr">
        <is>
          <t>First retest that holds the level: rejection candle or reclaim.</t>
        </is>
      </c>
      <c r="E6" s="115" t="inlineStr">
        <is>
          <t>Just beyond the retest low/high. If the level fails, the idea is wrong.</t>
        </is>
      </c>
      <c r="F6" s="115" t="inlineStr">
        <is>
          <t>Next major level or 2R, whichever comes first.</t>
        </is>
      </c>
      <c r="G6" s="115" t="inlineStr">
        <is>
          <t>Chop, right before big news, or when the breakout candle is unusually large.</t>
        </is>
      </c>
      <c r="H6" s="115" t="n"/>
      <c r="I6" s="96">
        <f>IF($B6="","",COUNTIFS('Trade Log'!$Y$6:$Y$1005,$B6,'Trade Log'!$BH$6:$BH$1005,1))</f>
        <v>8</v>
      </c>
      <c r="J6" s="99">
        <f>IF(N($I6)=0,"",IFERROR(COUNTIFS('Trade Log'!$Y$6:$Y$1005,$B6,'Trade Log'!$S$6:$S$1005,"Win")/(COUNTIFS('Trade Log'!$Y$6:$Y$1005,$B6,'Trade Log'!$S$6:$S$1005,"Win")+COUNTIFS('Trade Log'!$Y$6:$Y$1005,$B6,'Trade Log'!$S$6:$S$1005,"Loss")),""))</f>
        <v>0.857142857142857</v>
      </c>
      <c r="K6" s="97">
        <f>IF($B6="","",SUMIFS('Trade Log'!$Q$6:$Q$1005,'Trade Log'!$Y$6:$Y$1005,$B6))</f>
        <v>686.848</v>
      </c>
      <c r="L6" s="104">
        <f>IF(N($I6)=0,"",IFERROR(SUMIFS('Trade Log'!$R$6:$R$1005,'Trade Log'!$Y$6:$Y$1005,$B6)/COUNTIFS('Trade Log'!$Y$6:$Y$1005,$B6,'Trade Log'!$BC$6:$BC$1005,1),""))</f>
        <v>1.38333333333333</v>
      </c>
    </row>
    <row r="7" ht="62" customHeight="1">
      <c r="B7" s="114" t="inlineStr">
        <is>
          <t>Trend Pullback</t>
        </is>
      </c>
      <c r="C7" s="115" t="inlineStr">
        <is>
          <t>Clear trend: higher highs and higher lows (or the reverse).</t>
        </is>
      </c>
      <c r="D7" s="115" t="inlineStr">
        <is>
          <t>Pullback to the 20 EMA / VWAP prints a reversal candle in the trend direction.</t>
        </is>
      </c>
      <c r="E7" s="115" t="inlineStr">
        <is>
          <t>Beyond the pullback swing.</t>
        </is>
      </c>
      <c r="F7" s="115" t="inlineStr">
        <is>
          <t>Prior swing high/low, then trail.</t>
        </is>
      </c>
      <c r="G7" s="115" t="inlineStr">
        <is>
          <t>After 3+ trend legs, or when price is stretched far from the average.</t>
        </is>
      </c>
      <c r="H7" s="115" t="n"/>
      <c r="I7" s="96">
        <f>IF($B7="","",COUNTIFS('Trade Log'!$Y$6:$Y$1005,$B7,'Trade Log'!$BH$6:$BH$1005,1))</f>
        <v>8</v>
      </c>
      <c r="J7" s="99">
        <f>IF(N($I7)=0,"",IFERROR(COUNTIFS('Trade Log'!$Y$6:$Y$1005,$B7,'Trade Log'!$S$6:$S$1005,"Win")/(COUNTIFS('Trade Log'!$Y$6:$Y$1005,$B7,'Trade Log'!$S$6:$S$1005,"Win")+COUNTIFS('Trade Log'!$Y$6:$Y$1005,$B7,'Trade Log'!$S$6:$S$1005,"Loss")),""))</f>
        <v>1</v>
      </c>
      <c r="K7" s="97">
        <f>IF($B7="","",SUMIFS('Trade Log'!$Q$6:$Q$1005,'Trade Log'!$Y$6:$Y$1005,$B7))</f>
        <v>831.09788</v>
      </c>
      <c r="L7" s="104">
        <f>IF(N($I7)=0,"",IFERROR(SUMIFS('Trade Log'!$R$6:$R$1005,'Trade Log'!$Y$6:$Y$1005,$B7)/COUNTIFS('Trade Log'!$Y$6:$Y$1005,$B7,'Trade Log'!$BC$6:$BC$1005,1),""))</f>
        <v>1.29</v>
      </c>
    </row>
    <row r="8" ht="62" customHeight="1">
      <c r="B8" s="114" t="inlineStr">
        <is>
          <t>Failed Breakout Reversal</t>
        </is>
      </c>
      <c r="C8" s="115" t="inlineStr">
        <is>
          <t>Price pushes through a key level but cannot hold it.</t>
        </is>
      </c>
      <c r="D8" s="115" t="inlineStr">
        <is>
          <t>Candle closes back inside the range.</t>
        </is>
      </c>
      <c r="E8" s="115" t="inlineStr">
        <is>
          <t>Beyond the failed breakout's extreme.</t>
        </is>
      </c>
      <c r="F8" s="115" t="inlineStr">
        <is>
          <t>Opposite side of the range or 2R.</t>
        </is>
      </c>
      <c r="G8" s="115" t="inlineStr">
        <is>
          <t>Strong trend days, when breakouts usually hold.</t>
        </is>
      </c>
      <c r="H8" s="115" t="n"/>
      <c r="I8" s="96">
        <f>IF($B8="","",COUNTIFS('Trade Log'!$Y$6:$Y$1005,$B8,'Trade Log'!$BH$6:$BH$1005,1))</f>
        <v>5</v>
      </c>
      <c r="J8" s="99">
        <f>IF(N($I8)=0,"",IFERROR(COUNTIFS('Trade Log'!$Y$6:$Y$1005,$B8,'Trade Log'!$S$6:$S$1005,"Win")/(COUNTIFS('Trade Log'!$Y$6:$Y$1005,$B8,'Trade Log'!$S$6:$S$1005,"Win")+COUNTIFS('Trade Log'!$Y$6:$Y$1005,$B8,'Trade Log'!$S$6:$S$1005,"Loss")),""))</f>
        <v>0</v>
      </c>
      <c r="K8" s="97">
        <f>IF($B8="","",SUMIFS('Trade Log'!$Q$6:$Q$1005,'Trade Log'!$Y$6:$Y$1005,$B8))</f>
        <v>-566.239</v>
      </c>
      <c r="L8" s="104">
        <f>IF(N($I8)=0,"",IFERROR(SUMIFS('Trade Log'!$R$6:$R$1005,'Trade Log'!$Y$6:$Y$1005,$B8)/COUNTIFS('Trade Log'!$Y$6:$Y$1005,$B8,'Trade Log'!$BC$6:$BC$1005,1),""))</f>
        <v>-1.1</v>
      </c>
    </row>
    <row r="9" ht="62" customHeight="1">
      <c r="B9" s="114" t="inlineStr">
        <is>
          <t>Range Fade</t>
        </is>
      </c>
      <c r="C9" s="115" t="inlineStr">
        <is>
          <t>Balanced market: clear range, flat VWAP and moving averages.</t>
        </is>
      </c>
      <c r="D9" s="115" t="inlineStr">
        <is>
          <t>Rejection at the range edge.</t>
        </is>
      </c>
      <c r="E9" s="115" t="inlineStr">
        <is>
          <t>Just outside the range edge.</t>
        </is>
      </c>
      <c r="F9" s="115" t="inlineStr">
        <is>
          <t>Middle or opposite edge of the range.</t>
        </is>
      </c>
      <c r="G9" s="115" t="inlineStr">
        <is>
          <t>When volume expands on the touch (breakout risk).</t>
        </is>
      </c>
      <c r="H9" s="115" t="n"/>
      <c r="I9" s="96">
        <f>IF($B9="","",COUNTIFS('Trade Log'!$Y$6:$Y$1005,$B9,'Trade Log'!$BH$6:$BH$1005,1))</f>
        <v>4</v>
      </c>
      <c r="J9" s="99">
        <f>IF(N($I9)=0,"",IFERROR(COUNTIFS('Trade Log'!$Y$6:$Y$1005,$B9,'Trade Log'!$S$6:$S$1005,"Win")/(COUNTIFS('Trade Log'!$Y$6:$Y$1005,$B9,'Trade Log'!$S$6:$S$1005,"Win")+COUNTIFS('Trade Log'!$Y$6:$Y$1005,$B9,'Trade Log'!$S$6:$S$1005,"Loss")),""))</f>
        <v>0.75</v>
      </c>
      <c r="K9" s="97">
        <f>IF($B9="","",SUMIFS('Trade Log'!$Q$6:$Q$1005,'Trade Log'!$Y$6:$Y$1005,$B9))</f>
        <v>434.9</v>
      </c>
      <c r="L9" s="104">
        <f>IF(N($I9)=0,"",IFERROR(SUMIFS('Trade Log'!$R$6:$R$1005,'Trade Log'!$Y$6:$Y$1005,$B9)/COUNTIFS('Trade Log'!$Y$6:$Y$1005,$B9,'Trade Log'!$BC$6:$BC$1005,1),""))</f>
        <v>1.20833333333333</v>
      </c>
    </row>
    <row r="10" ht="30" customHeight="1">
      <c r="B10" s="114" t="n"/>
      <c r="C10" s="115" t="n"/>
      <c r="D10" s="115" t="n"/>
      <c r="E10" s="115" t="n"/>
      <c r="F10" s="115" t="n"/>
      <c r="G10" s="115" t="n"/>
      <c r="H10" s="115" t="n"/>
      <c r="I10" s="96" t="str">
        <f>IF($B10="","",COUNTIFS('Trade Log'!$Y$6:$Y$1005,$B10,'Trade Log'!$BH$6:$BH$1005,1))</f>
        <v/>
      </c>
      <c r="J10" s="99" t="str">
        <f>IF(N($I10)=0,"",IFERROR(COUNTIFS('Trade Log'!$Y$6:$Y$1005,$B10,'Trade Log'!$S$6:$S$1005,"Win")/(COUNTIFS('Trade Log'!$Y$6:$Y$1005,$B10,'Trade Log'!$S$6:$S$1005,"Win")+COUNTIFS('Trade Log'!$Y$6:$Y$1005,$B10,'Trade Log'!$S$6:$S$1005,"Loss")),""))</f>
        <v/>
      </c>
      <c r="K10" s="97" t="str">
        <f>IF($B10="","",SUMIFS('Trade Log'!$Q$6:$Q$1005,'Trade Log'!$Y$6:$Y$1005,$B10))</f>
        <v/>
      </c>
      <c r="L10" s="104" t="str">
        <f>IF(N($I10)=0,"",IFERROR(SUMIFS('Trade Log'!$R$6:$R$1005,'Trade Log'!$Y$6:$Y$1005,$B10)/COUNTIFS('Trade Log'!$Y$6:$Y$1005,$B10,'Trade Log'!$BC$6:$BC$1005,1),""))</f>
        <v/>
      </c>
    </row>
    <row r="11" ht="30" customHeight="1">
      <c r="B11" s="114" t="n"/>
      <c r="C11" s="115" t="n"/>
      <c r="D11" s="115" t="n"/>
      <c r="E11" s="115" t="n"/>
      <c r="F11" s="115" t="n"/>
      <c r="G11" s="115" t="n"/>
      <c r="H11" s="115" t="n"/>
      <c r="I11" s="96" t="str">
        <f>IF($B11="","",COUNTIFS('Trade Log'!$Y$6:$Y$1005,$B11,'Trade Log'!$BH$6:$BH$1005,1))</f>
        <v/>
      </c>
      <c r="J11" s="99" t="str">
        <f>IF(N($I11)=0,"",IFERROR(COUNTIFS('Trade Log'!$Y$6:$Y$1005,$B11,'Trade Log'!$S$6:$S$1005,"Win")/(COUNTIFS('Trade Log'!$Y$6:$Y$1005,$B11,'Trade Log'!$S$6:$S$1005,"Win")+COUNTIFS('Trade Log'!$Y$6:$Y$1005,$B11,'Trade Log'!$S$6:$S$1005,"Loss")),""))</f>
        <v/>
      </c>
      <c r="K11" s="97" t="str">
        <f>IF($B11="","",SUMIFS('Trade Log'!$Q$6:$Q$1005,'Trade Log'!$Y$6:$Y$1005,$B11))</f>
        <v/>
      </c>
      <c r="L11" s="104" t="str">
        <f>IF(N($I11)=0,"",IFERROR(SUMIFS('Trade Log'!$R$6:$R$1005,'Trade Log'!$Y$6:$Y$1005,$B11)/COUNTIFS('Trade Log'!$Y$6:$Y$1005,$B11,'Trade Log'!$BC$6:$BC$1005,1),""))</f>
        <v/>
      </c>
    </row>
    <row r="12" ht="30" customHeight="1">
      <c r="B12" s="114" t="n"/>
      <c r="C12" s="115" t="n"/>
      <c r="D12" s="115" t="n"/>
      <c r="E12" s="115" t="n"/>
      <c r="F12" s="115" t="n"/>
      <c r="G12" s="115" t="n"/>
      <c r="H12" s="115" t="n"/>
      <c r="I12" s="96" t="str">
        <f>IF($B12="","",COUNTIFS('Trade Log'!$Y$6:$Y$1005,$B12,'Trade Log'!$BH$6:$BH$1005,1))</f>
        <v/>
      </c>
      <c r="J12" s="99" t="str">
        <f>IF(N($I12)=0,"",IFERROR(COUNTIFS('Trade Log'!$Y$6:$Y$1005,$B12,'Trade Log'!$S$6:$S$1005,"Win")/(COUNTIFS('Trade Log'!$Y$6:$Y$1005,$B12,'Trade Log'!$S$6:$S$1005,"Win")+COUNTIFS('Trade Log'!$Y$6:$Y$1005,$B12,'Trade Log'!$S$6:$S$1005,"Loss")),""))</f>
        <v/>
      </c>
      <c r="K12" s="97" t="str">
        <f>IF($B12="","",SUMIFS('Trade Log'!$Q$6:$Q$1005,'Trade Log'!$Y$6:$Y$1005,$B12))</f>
        <v/>
      </c>
      <c r="L12" s="104" t="str">
        <f>IF(N($I12)=0,"",IFERROR(SUMIFS('Trade Log'!$R$6:$R$1005,'Trade Log'!$Y$6:$Y$1005,$B12)/COUNTIFS('Trade Log'!$Y$6:$Y$1005,$B12,'Trade Log'!$BC$6:$BC$1005,1),""))</f>
        <v/>
      </c>
    </row>
    <row r="13" ht="30" customHeight="1">
      <c r="B13" s="114" t="n"/>
      <c r="C13" s="115" t="n"/>
      <c r="D13" s="115" t="n"/>
      <c r="E13" s="115" t="n"/>
      <c r="F13" s="115" t="n"/>
      <c r="G13" s="115" t="n"/>
      <c r="H13" s="115" t="n"/>
      <c r="I13" s="96" t="str">
        <f>IF($B13="","",COUNTIFS('Trade Log'!$Y$6:$Y$1005,$B13,'Trade Log'!$BH$6:$BH$1005,1))</f>
        <v/>
      </c>
      <c r="J13" s="99" t="str">
        <f>IF(N($I13)=0,"",IFERROR(COUNTIFS('Trade Log'!$Y$6:$Y$1005,$B13,'Trade Log'!$S$6:$S$1005,"Win")/(COUNTIFS('Trade Log'!$Y$6:$Y$1005,$B13,'Trade Log'!$S$6:$S$1005,"Win")+COUNTIFS('Trade Log'!$Y$6:$Y$1005,$B13,'Trade Log'!$S$6:$S$1005,"Loss")),""))</f>
        <v/>
      </c>
      <c r="K13" s="97" t="str">
        <f>IF($B13="","",SUMIFS('Trade Log'!$Q$6:$Q$1005,'Trade Log'!$Y$6:$Y$1005,$B13))</f>
        <v/>
      </c>
      <c r="L13" s="104" t="str">
        <f>IF(N($I13)=0,"",IFERROR(SUMIFS('Trade Log'!$R$6:$R$1005,'Trade Log'!$Y$6:$Y$1005,$B13)/COUNTIFS('Trade Log'!$Y$6:$Y$1005,$B13,'Trade Log'!$BC$6:$BC$1005,1),""))</f>
        <v/>
      </c>
    </row>
    <row r="14" ht="30" customHeight="1">
      <c r="B14" s="114" t="n"/>
      <c r="C14" s="115" t="n"/>
      <c r="D14" s="115" t="n"/>
      <c r="E14" s="115" t="n"/>
      <c r="F14" s="115" t="n"/>
      <c r="G14" s="115" t="n"/>
      <c r="H14" s="115" t="n"/>
      <c r="I14" s="96" t="str">
        <f>IF($B14="","",COUNTIFS('Trade Log'!$Y$6:$Y$1005,$B14,'Trade Log'!$BH$6:$BH$1005,1))</f>
        <v/>
      </c>
      <c r="J14" s="99" t="str">
        <f>IF(N($I14)=0,"",IFERROR(COUNTIFS('Trade Log'!$Y$6:$Y$1005,$B14,'Trade Log'!$S$6:$S$1005,"Win")/(COUNTIFS('Trade Log'!$Y$6:$Y$1005,$B14,'Trade Log'!$S$6:$S$1005,"Win")+COUNTIFS('Trade Log'!$Y$6:$Y$1005,$B14,'Trade Log'!$S$6:$S$1005,"Loss")),""))</f>
        <v/>
      </c>
      <c r="K14" s="97" t="str">
        <f>IF($B14="","",SUMIFS('Trade Log'!$Q$6:$Q$1005,'Trade Log'!$Y$6:$Y$1005,$B14))</f>
        <v/>
      </c>
      <c r="L14" s="104" t="str">
        <f>IF(N($I14)=0,"",IFERROR(SUMIFS('Trade Log'!$R$6:$R$1005,'Trade Log'!$Y$6:$Y$1005,$B14)/COUNTIFS('Trade Log'!$Y$6:$Y$1005,$B14,'Trade Log'!$BC$6:$BC$1005,1),""))</f>
        <v/>
      </c>
    </row>
    <row r="15" ht="30" customHeight="1">
      <c r="B15" s="114" t="n"/>
      <c r="C15" s="115" t="n"/>
      <c r="D15" s="115" t="n"/>
      <c r="E15" s="115" t="n"/>
      <c r="F15" s="115" t="n"/>
      <c r="G15" s="115" t="n"/>
      <c r="H15" s="115" t="n"/>
      <c r="I15" s="96" t="str">
        <f>IF($B15="","",COUNTIFS('Trade Log'!$Y$6:$Y$1005,$B15,'Trade Log'!$BH$6:$BH$1005,1))</f>
        <v/>
      </c>
      <c r="J15" s="99" t="str">
        <f>IF(N($I15)=0,"",IFERROR(COUNTIFS('Trade Log'!$Y$6:$Y$1005,$B15,'Trade Log'!$S$6:$S$1005,"Win")/(COUNTIFS('Trade Log'!$Y$6:$Y$1005,$B15,'Trade Log'!$S$6:$S$1005,"Win")+COUNTIFS('Trade Log'!$Y$6:$Y$1005,$B15,'Trade Log'!$S$6:$S$1005,"Loss")),""))</f>
        <v/>
      </c>
      <c r="K15" s="97" t="str">
        <f>IF($B15="","",SUMIFS('Trade Log'!$Q$6:$Q$1005,'Trade Log'!$Y$6:$Y$1005,$B15))</f>
        <v/>
      </c>
      <c r="L15" s="104" t="str">
        <f>IF(N($I15)=0,"",IFERROR(SUMIFS('Trade Log'!$R$6:$R$1005,'Trade Log'!$Y$6:$Y$1005,$B15)/COUNTIFS('Trade Log'!$Y$6:$Y$1005,$B15,'Trade Log'!$BC$6:$BC$1005,1),""))</f>
        <v/>
      </c>
    </row>
    <row r="17" ht="28" customHeight="1">
      <c r="B17" s="22" t="inlineStr">
        <is>
          <t>RULE: if a trade isn't one of these setups, leave Setup blank in the Trade Log and tag the mistake 'No setup (impulse)'. Those rows are where most accounts leak.</t>
        </is>
      </c>
      <c r="C17" s="23" t="n"/>
      <c r="D17" s="23" t="n"/>
      <c r="E17" s="23" t="n"/>
      <c r="F17" s="23" t="n"/>
      <c r="G17" s="23" t="n"/>
      <c r="H17" s="23" t="n"/>
      <c r="I17" s="23" t="n"/>
      <c r="J17" s="23" t="n"/>
      <c r="K17" s="23" t="n"/>
      <c r="L17" s="23" t="n"/>
    </row>
  </sheetData>
  <mergeCells count="3">
    <mergeCell ref="B4:H4"/>
    <mergeCell ref="B17:L17"/>
    <mergeCell ref="I4:L4"/>
  </mergeCells>
  <pageMargins left="0.3" right="0.3" top="0.4" bottom="0.4" header="0.5" footer="0.5"/>
  <pageSetup orientation="landscape" fitToHeight="0" fitToWidth="1"/>
</worksheet>
</file>

<file path=xl/worksheets/sheet9.xml><?xml version="1.0" encoding="utf-8"?>
<worksheet xmlns="http://schemas.openxmlformats.org/spreadsheetml/2006/main">
  <sheetPr>
    <tabColor rgb="00F29900"/>
    <outlinePr summaryBelow="1" summaryRight="1"/>
    <pageSetUpPr fitToPage="1"/>
  </sheetPr>
  <dimension ref="B2:F27"/>
  <sheetViews>
    <sheetView showGridLines="0" workbookViewId="0">
      <selection activeCell="A1" sqref="A1"/>
    </sheetView>
  </sheetViews>
  <sheetFormatPr baseColWidth="8" defaultRowHeight="15"/>
  <cols>
    <col width="2" customWidth="1" min="1" max="1"/>
    <col width="20" customWidth="1" min="2" max="2"/>
    <col width="52" customWidth="1" min="3" max="3"/>
    <col width="3" customWidth="1" min="4" max="4"/>
    <col width="24" customWidth="1" min="5" max="5"/>
    <col width="52" customWidth="1" min="6" max="6"/>
  </cols>
  <sheetData>
    <row r="2">
      <c r="B2" s="9" t="inlineStr">
        <is>
          <t>PSYCHOLOGY — TAGS &amp; CHECKLIST</t>
        </is>
      </c>
    </row>
    <row r="3">
      <c r="B3" s="10" t="inlineStr">
        <is>
          <t>These lists feed the Emotion and Mistake dropdowns and the Dashboard. Rename them if you like — keep them short.</t>
        </is>
      </c>
    </row>
    <row r="5" ht="30" customHeight="1">
      <c r="B5" s="15" t="inlineStr">
        <is>
          <t>Emotion tag</t>
        </is>
      </c>
      <c r="C5" s="15" t="inlineStr">
        <is>
          <t>What it looks like</t>
        </is>
      </c>
      <c r="E5" s="15" t="inlineStr">
        <is>
          <t>Mistake tag</t>
        </is>
      </c>
      <c r="F5" s="15" t="inlineStr">
        <is>
          <t>What it looks like</t>
        </is>
      </c>
    </row>
    <row r="6">
      <c r="B6" s="93" t="inlineStr">
        <is>
          <t>Calm</t>
        </is>
      </c>
      <c r="C6" s="51" t="inlineStr">
        <is>
          <t>Followed the plan. No urge to deviate.</t>
        </is>
      </c>
      <c r="E6" s="93" t="inlineStr">
        <is>
          <t>Early entry</t>
        </is>
      </c>
      <c r="F6" s="51" t="inlineStr">
        <is>
          <t>Entered before the trigger confirmed.</t>
        </is>
      </c>
    </row>
    <row r="7">
      <c r="B7" s="93" t="inlineStr">
        <is>
          <t>Confident</t>
        </is>
      </c>
      <c r="C7" s="51" t="inlineStr">
        <is>
          <t>Clear read, executed without second-guessing.</t>
        </is>
      </c>
      <c r="E7" s="93" t="inlineStr">
        <is>
          <t>Late entry (chased)</t>
        </is>
      </c>
      <c r="F7" s="51" t="inlineStr">
        <is>
          <t>Entered after the move was already underway.</t>
        </is>
      </c>
    </row>
    <row r="8">
      <c r="B8" s="93" t="inlineStr">
        <is>
          <t>Hesitant</t>
        </is>
      </c>
      <c r="C8" s="51" t="inlineStr">
        <is>
          <t>Saw the setup but delayed, under-sized or skipped it.</t>
        </is>
      </c>
      <c r="E8" s="93" t="inlineStr">
        <is>
          <t>No stop</t>
        </is>
      </c>
      <c r="F8" s="51" t="inlineStr">
        <is>
          <t>Entered without a hard stop.</t>
        </is>
      </c>
    </row>
    <row r="9">
      <c r="B9" s="93" t="inlineStr">
        <is>
          <t>Anxious</t>
        </is>
      </c>
      <c r="C9" s="51" t="inlineStr">
        <is>
          <t>Nervous in the trade. Wanted out early.</t>
        </is>
      </c>
      <c r="E9" s="93" t="inlineStr">
        <is>
          <t>Moved stop</t>
        </is>
      </c>
      <c r="F9" s="51" t="inlineStr">
        <is>
          <t>Widened the stop to avoid taking the loss.</t>
        </is>
      </c>
    </row>
    <row r="10">
      <c r="B10" s="93" t="inlineStr">
        <is>
          <t>FOMO</t>
        </is>
      </c>
      <c r="C10" s="51" t="inlineStr">
        <is>
          <t>Afraid of missing the move. Chased or entered without the trigger.</t>
        </is>
      </c>
      <c r="E10" s="93" t="inlineStr">
        <is>
          <t>Oversized</t>
        </is>
      </c>
      <c r="F10" s="51" t="inlineStr">
        <is>
          <t>Position bigger than your max risk allows.</t>
        </is>
      </c>
    </row>
    <row r="11">
      <c r="B11" s="93" t="inlineStr">
        <is>
          <t>Greedy</t>
        </is>
      </c>
      <c r="C11" s="51" t="inlineStr">
        <is>
          <t>Sized up or held past the target for a bigger payday.</t>
        </is>
      </c>
      <c r="E11" s="93" t="inlineStr">
        <is>
          <t>Took profit too early</t>
        </is>
      </c>
      <c r="F11" s="51" t="inlineStr">
        <is>
          <t>Closed a winner well before the planned target.</t>
        </is>
      </c>
    </row>
    <row r="12">
      <c r="B12" s="93" t="inlineStr">
        <is>
          <t>Revenge</t>
        </is>
      </c>
      <c r="C12" s="51" t="inlineStr">
        <is>
          <t>Trading to win back a loss.</t>
        </is>
      </c>
      <c r="E12" s="93" t="inlineStr">
        <is>
          <t>Held loser too long</t>
        </is>
      </c>
      <c r="F12" s="51" t="inlineStr">
        <is>
          <t>Let a loser run past where the idea was wrong.</t>
        </is>
      </c>
    </row>
    <row r="13">
      <c r="B13" s="93" t="inlineStr">
        <is>
          <t>Bored</t>
        </is>
      </c>
      <c r="C13" s="51" t="inlineStr">
        <is>
          <t>No real setup. Traded for action.</t>
        </is>
      </c>
      <c r="E13" s="93" t="inlineStr">
        <is>
          <t>No setup (impulse)</t>
        </is>
      </c>
      <c r="F13" s="51" t="inlineStr">
        <is>
          <t>The trade was not one of your playbook setups.</t>
        </is>
      </c>
    </row>
    <row r="14">
      <c r="B14" s="93" t="inlineStr">
        <is>
          <t>Tilted</t>
        </is>
      </c>
      <c r="C14" s="51" t="inlineStr">
        <is>
          <t>Frustrated. Multiple rule breaks in one session.</t>
        </is>
      </c>
      <c r="E14" s="93" t="inlineStr">
        <is>
          <t>Overtraded</t>
        </is>
      </c>
      <c r="F14" s="51" t="inlineStr">
        <is>
          <t>Took more trades than planned for the day.</t>
        </is>
      </c>
    </row>
    <row r="15">
      <c r="B15" s="93" t="inlineStr">
        <is>
          <t>Other</t>
        </is>
      </c>
      <c r="C15" s="51" t="inlineStr">
        <is>
          <t>Describe it in the review note.</t>
        </is>
      </c>
      <c r="E15" s="93" t="inlineStr">
        <is>
          <t>Traded after max loss</t>
        </is>
      </c>
      <c r="F15" s="51" t="inlineStr">
        <is>
          <t>Kept trading after hitting the daily max loss.</t>
        </is>
      </c>
    </row>
    <row r="16">
      <c r="E16" s="93" t="inlineStr">
        <is>
          <t>Ignored my plan</t>
        </is>
      </c>
      <c r="F16" s="51" t="inlineStr">
        <is>
          <t>Did something different from the pre-market plan.</t>
        </is>
      </c>
    </row>
    <row r="17">
      <c r="E17" s="93" t="inlineStr">
        <is>
          <t>Other</t>
        </is>
      </c>
      <c r="F17" s="51" t="inlineStr">
        <is>
          <t>Describe it in the review note.</t>
        </is>
      </c>
    </row>
    <row r="19">
      <c r="B19" s="22" t="inlineStr">
        <is>
          <t>Tag at most ONE mistake per trade. Leave it blank on clean trades — a losing trade can be a clean trade.</t>
        </is>
      </c>
      <c r="C19" s="23" t="n"/>
      <c r="D19" s="23" t="n"/>
      <c r="E19" s="23" t="n"/>
      <c r="F19" s="23" t="n"/>
    </row>
    <row r="21">
      <c r="B21" s="11" t="inlineStr">
        <is>
          <t>PRE-TRADE CHECKLIST  —  if any answer is 'no', don't take the trade</t>
        </is>
      </c>
      <c r="C21" s="12" t="n"/>
      <c r="D21" s="12" t="n"/>
      <c r="E21" s="12" t="n"/>
      <c r="F21" s="12" t="n"/>
    </row>
    <row r="22">
      <c r="B22" s="4" t="inlineStr">
        <is>
          <t>1. Is this one of my playbook setups — and is the trigger actually there?</t>
        </is>
      </c>
    </row>
    <row r="23">
      <c r="B23" s="4" t="inlineStr">
        <is>
          <t>2. Where exactly is my stop, and is it at the point where the idea is wrong?</t>
        </is>
      </c>
    </row>
    <row r="24">
      <c r="B24" s="4" t="inlineStr">
        <is>
          <t>3. Is my size inside my max risk ($ and %)? Did I check the point value?</t>
        </is>
      </c>
    </row>
    <row r="25">
      <c r="B25" s="4" t="inlineStr">
        <is>
          <t>4. Is my target at least my minimum R:R?</t>
        </is>
      </c>
    </row>
    <row r="26">
      <c r="B26" s="4" t="inlineStr">
        <is>
          <t>5. Am I calm? (Not chasing, not trying to win back a loss, not bored.)</t>
        </is>
      </c>
    </row>
    <row r="27">
      <c r="B27" s="4" t="inlineStr">
        <is>
          <t>6. Have I already hit my daily max loss or max trades?</t>
        </is>
      </c>
    </row>
  </sheetData>
  <mergeCells count="8">
    <mergeCell ref="B21:F21"/>
    <mergeCell ref="B24:F24"/>
    <mergeCell ref="B25:F25"/>
    <mergeCell ref="B19:F19"/>
    <mergeCell ref="B23:F23"/>
    <mergeCell ref="B22:F22"/>
    <mergeCell ref="B26:F26"/>
    <mergeCell ref="B27:F27"/>
  </mergeCells>
  <pageMargins left="0.3" right="0.3" top="0.4" bottom="0.4" header="0.5" footer="0.5"/>
  <pageSetup orientation="landscape" fitToHeight="0" fitToWidth="1"/>
</worksheet>
</file>

<file path=xl/worksheets/sheet10.xml><?xml version="1.0" encoding="utf-8"?>
<worksheet xmlns="http://schemas.openxmlformats.org/spreadsheetml/2006/main">
  <sheetPr>
    <tabColor rgb="005F6368"/>
    <outlinePr summaryBelow="1" summaryRight="1"/>
    <pageSetUpPr fitToPage="1"/>
  </sheetPr>
  <dimension ref="A2:H2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32" customWidth="1" min="3" max="3"/>
    <col width="18" customWidth="1" min="4" max="4"/>
    <col width="13" customWidth="1" min="5" max="5"/>
    <col width="12" customWidth="1" min="6" max="6"/>
    <col width="14" customWidth="1" min="7" max="7"/>
    <col width="70" customWidth="1" min="8" max="8"/>
  </cols>
  <sheetData>
    <row r="2">
      <c r="A2" s="9" t="inlineStr">
        <is>
          <t>INSTRUMENTS</t>
        </is>
      </c>
    </row>
    <row r="3">
      <c r="A3" s="116" t="inlineStr">
        <is>
          <t>Futures contract specs were checked against CME Group's published specifications in October 2026. Exchanges can change specs — verify before relying on them. Add your own symbols in any empty row.</t>
        </is>
      </c>
    </row>
    <row r="5" ht="48" customHeight="1">
      <c r="A5" s="15" t="inlineStr">
        <is>
          <t>Market</t>
        </is>
      </c>
      <c r="B5" s="15" t="inlineStr">
        <is>
          <t>Symbol</t>
        </is>
      </c>
      <c r="C5" s="15" t="inlineStr">
        <is>
          <t>Description</t>
        </is>
      </c>
      <c r="D5" s="15" t="inlineStr">
        <is>
          <t>Point value
(P&amp;L per 1.00 move,
per 1 qty)</t>
        </is>
      </c>
      <c r="E5" s="15" t="inlineStr">
        <is>
          <t>Tick size</t>
        </is>
      </c>
      <c r="F5" s="15" t="inlineStr">
        <is>
          <t>Tick value</t>
        </is>
      </c>
      <c r="G5" s="15" t="inlineStr">
        <is>
          <t>Fee per side
(optional)</t>
        </is>
      </c>
      <c r="H5" s="15" t="inlineStr">
        <is>
          <t>Notes</t>
        </is>
      </c>
    </row>
    <row r="6">
      <c r="A6" s="29" t="inlineStr">
        <is>
          <t>Futures</t>
        </is>
      </c>
      <c r="B6" s="117" t="inlineStr">
        <is>
          <t>MES</t>
        </is>
      </c>
      <c r="C6" s="51" t="inlineStr">
        <is>
          <t>Micro E-mini S&amp;P 500</t>
        </is>
      </c>
      <c r="D6" s="118" t="n">
        <v>5</v>
      </c>
      <c r="E6" s="119" t="n">
        <v>0.25</v>
      </c>
      <c r="F6" s="120">
        <f>IF(AND(ISNUMBER(D6),ISNUMBER(E6)),D6*E6,"")</f>
        <v>1.25</v>
      </c>
      <c r="G6" s="91" t="n"/>
      <c r="H6" s="21" t="inlineStr"/>
    </row>
    <row r="7">
      <c r="A7" s="29" t="inlineStr">
        <is>
          <t>Futures</t>
        </is>
      </c>
      <c r="B7" s="117" t="inlineStr">
        <is>
          <t>ES</t>
        </is>
      </c>
      <c r="C7" s="51" t="inlineStr">
        <is>
          <t>E-mini S&amp;P 500</t>
        </is>
      </c>
      <c r="D7" s="118" t="n">
        <v>50</v>
      </c>
      <c r="E7" s="119" t="n">
        <v>0.25</v>
      </c>
      <c r="F7" s="120">
        <f>IF(AND(ISNUMBER(D7),ISNUMBER(E7)),D7*E7,"")</f>
        <v>12.5</v>
      </c>
      <c r="G7" s="91" t="n"/>
      <c r="H7" s="21" t="inlineStr"/>
    </row>
    <row r="8">
      <c r="A8" s="29" t="inlineStr">
        <is>
          <t>Futures</t>
        </is>
      </c>
      <c r="B8" s="117" t="inlineStr">
        <is>
          <t>MNQ</t>
        </is>
      </c>
      <c r="C8" s="51" t="inlineStr">
        <is>
          <t>Micro E-mini Nasdaq-100</t>
        </is>
      </c>
      <c r="D8" s="118" t="n">
        <v>2</v>
      </c>
      <c r="E8" s="119" t="n">
        <v>0.25</v>
      </c>
      <c r="F8" s="120">
        <f>IF(AND(ISNUMBER(D8),ISNUMBER(E8)),D8*E8,"")</f>
        <v>0.5</v>
      </c>
      <c r="G8" s="91" t="n"/>
      <c r="H8" s="21" t="inlineStr"/>
    </row>
    <row r="9">
      <c r="A9" s="29" t="inlineStr">
        <is>
          <t>Futures</t>
        </is>
      </c>
      <c r="B9" s="117" t="inlineStr">
        <is>
          <t>NQ</t>
        </is>
      </c>
      <c r="C9" s="51" t="inlineStr">
        <is>
          <t>E-mini Nasdaq-100</t>
        </is>
      </c>
      <c r="D9" s="118" t="n">
        <v>20</v>
      </c>
      <c r="E9" s="119" t="n">
        <v>0.25</v>
      </c>
      <c r="F9" s="120">
        <f>IF(AND(ISNUMBER(D9),ISNUMBER(E9)),D9*E9,"")</f>
        <v>5</v>
      </c>
      <c r="G9" s="91" t="n"/>
      <c r="H9" s="21" t="inlineStr"/>
    </row>
    <row r="10">
      <c r="A10" s="29" t="inlineStr">
        <is>
          <t>Futures</t>
        </is>
      </c>
      <c r="B10" s="117" t="inlineStr">
        <is>
          <t>MYM</t>
        </is>
      </c>
      <c r="C10" s="51" t="inlineStr">
        <is>
          <t>Micro E-mini Dow</t>
        </is>
      </c>
      <c r="D10" s="118" t="n">
        <v>0.5</v>
      </c>
      <c r="E10" s="119" t="n">
        <v>1</v>
      </c>
      <c r="F10" s="120">
        <f>IF(AND(ISNUMBER(D10),ISNUMBER(E10)),D10*E10,"")</f>
        <v>0.5</v>
      </c>
      <c r="G10" s="91" t="n"/>
      <c r="H10" s="21" t="inlineStr"/>
    </row>
    <row r="11">
      <c r="A11" s="29" t="inlineStr">
        <is>
          <t>Futures</t>
        </is>
      </c>
      <c r="B11" s="117" t="inlineStr">
        <is>
          <t>YM</t>
        </is>
      </c>
      <c r="C11" s="51" t="inlineStr">
        <is>
          <t>E-mini Dow ($5)</t>
        </is>
      </c>
      <c r="D11" s="118" t="n">
        <v>5</v>
      </c>
      <c r="E11" s="119" t="n">
        <v>1</v>
      </c>
      <c r="F11" s="120">
        <f>IF(AND(ISNUMBER(D11),ISNUMBER(E11)),D11*E11,"")</f>
        <v>5</v>
      </c>
      <c r="G11" s="91" t="n"/>
      <c r="H11" s="21" t="inlineStr"/>
    </row>
    <row r="12">
      <c r="A12" s="29" t="inlineStr">
        <is>
          <t>Futures</t>
        </is>
      </c>
      <c r="B12" s="117" t="inlineStr">
        <is>
          <t>M2K</t>
        </is>
      </c>
      <c r="C12" s="51" t="inlineStr">
        <is>
          <t>Micro E-mini Russell 2000</t>
        </is>
      </c>
      <c r="D12" s="118" t="n">
        <v>5</v>
      </c>
      <c r="E12" s="119" t="n">
        <v>0.1</v>
      </c>
      <c r="F12" s="120">
        <f>IF(AND(ISNUMBER(D12),ISNUMBER(E12)),D12*E12,"")</f>
        <v>0.5</v>
      </c>
      <c r="G12" s="91" t="n"/>
      <c r="H12" s="21" t="inlineStr"/>
    </row>
    <row r="13">
      <c r="A13" s="29" t="inlineStr">
        <is>
          <t>Futures</t>
        </is>
      </c>
      <c r="B13" s="117" t="inlineStr">
        <is>
          <t>RTY</t>
        </is>
      </c>
      <c r="C13" s="51" t="inlineStr">
        <is>
          <t>E-mini Russell 2000</t>
        </is>
      </c>
      <c r="D13" s="118" t="n">
        <v>50</v>
      </c>
      <c r="E13" s="119" t="n">
        <v>0.1</v>
      </c>
      <c r="F13" s="120">
        <f>IF(AND(ISNUMBER(D13),ISNUMBER(E13)),D13*E13,"")</f>
        <v>5</v>
      </c>
      <c r="G13" s="91" t="n"/>
      <c r="H13" s="21" t="inlineStr"/>
    </row>
    <row r="14">
      <c r="A14" s="29" t="inlineStr">
        <is>
          <t>Futures</t>
        </is>
      </c>
      <c r="B14" s="117" t="inlineStr">
        <is>
          <t>MCL</t>
        </is>
      </c>
      <c r="C14" s="51" t="inlineStr">
        <is>
          <t>Micro WTI Crude Oil</t>
        </is>
      </c>
      <c r="D14" s="118" t="n">
        <v>100</v>
      </c>
      <c r="E14" s="119" t="n">
        <v>0.01</v>
      </c>
      <c r="F14" s="120">
        <f>IF(AND(ISNUMBER(D14),ISNUMBER(E14)),D14*E14,"")</f>
        <v>1</v>
      </c>
      <c r="G14" s="91" t="n"/>
      <c r="H14" s="21" t="inlineStr">
        <is>
          <t>100 barrels</t>
        </is>
      </c>
    </row>
    <row r="15">
      <c r="A15" s="29" t="inlineStr">
        <is>
          <t>Futures</t>
        </is>
      </c>
      <c r="B15" s="117" t="inlineStr">
        <is>
          <t>CL</t>
        </is>
      </c>
      <c r="C15" s="51" t="inlineStr">
        <is>
          <t>WTI Crude Oil</t>
        </is>
      </c>
      <c r="D15" s="118" t="n">
        <v>1000</v>
      </c>
      <c r="E15" s="119" t="n">
        <v>0.01</v>
      </c>
      <c r="F15" s="120">
        <f>IF(AND(ISNUMBER(D15),ISNUMBER(E15)),D15*E15,"")</f>
        <v>10</v>
      </c>
      <c r="G15" s="91" t="n"/>
      <c r="H15" s="21" t="inlineStr">
        <is>
          <t>1,000 barrels</t>
        </is>
      </c>
    </row>
    <row r="16">
      <c r="A16" s="29" t="inlineStr">
        <is>
          <t>Futures</t>
        </is>
      </c>
      <c r="B16" s="117" t="inlineStr">
        <is>
          <t>QM</t>
        </is>
      </c>
      <c r="C16" s="51" t="inlineStr">
        <is>
          <t>E-mini WTI Crude Oil</t>
        </is>
      </c>
      <c r="D16" s="118" t="n">
        <v>500</v>
      </c>
      <c r="E16" s="119" t="n">
        <v>0.025</v>
      </c>
      <c r="F16" s="120">
        <f>IF(AND(ISNUMBER(D16),ISNUMBER(E16)),D16*E16,"")</f>
        <v>12.5</v>
      </c>
      <c r="G16" s="91" t="n"/>
      <c r="H16" s="21" t="inlineStr">
        <is>
          <t>500 barrels</t>
        </is>
      </c>
    </row>
    <row r="17">
      <c r="A17" s="29" t="inlineStr">
        <is>
          <t>Futures</t>
        </is>
      </c>
      <c r="B17" s="117" t="inlineStr">
        <is>
          <t>NG</t>
        </is>
      </c>
      <c r="C17" s="51" t="inlineStr">
        <is>
          <t>Henry Hub Natural Gas</t>
        </is>
      </c>
      <c r="D17" s="118" t="n">
        <v>10000</v>
      </c>
      <c r="E17" s="119" t="n">
        <v>0.001</v>
      </c>
      <c r="F17" s="120">
        <f>IF(AND(ISNUMBER(D17),ISNUMBER(E17)),D17*E17,"")</f>
        <v>10</v>
      </c>
      <c r="G17" s="91" t="n"/>
      <c r="H17" s="21" t="inlineStr">
        <is>
          <t>10,000 MMBtu</t>
        </is>
      </c>
    </row>
    <row r="18">
      <c r="A18" s="29" t="inlineStr">
        <is>
          <t>Futures</t>
        </is>
      </c>
      <c r="B18" s="117" t="inlineStr">
        <is>
          <t>MNG</t>
        </is>
      </c>
      <c r="C18" s="51" t="inlineStr">
        <is>
          <t>Micro Henry Hub Natural Gas</t>
        </is>
      </c>
      <c r="D18" s="118" t="n">
        <v>1000</v>
      </c>
      <c r="E18" s="119" t="n">
        <v>0.001</v>
      </c>
      <c r="F18" s="120">
        <f>IF(AND(ISNUMBER(D18),ISNUMBER(E18)),D18*E18,"")</f>
        <v>1</v>
      </c>
      <c r="G18" s="91" t="n"/>
      <c r="H18" s="21" t="inlineStr">
        <is>
          <t>1,000 MMBtu</t>
        </is>
      </c>
    </row>
    <row r="19">
      <c r="A19" s="29" t="inlineStr">
        <is>
          <t>Futures</t>
        </is>
      </c>
      <c r="B19" s="117" t="inlineStr">
        <is>
          <t>MGC</t>
        </is>
      </c>
      <c r="C19" s="51" t="inlineStr">
        <is>
          <t>Micro Gold</t>
        </is>
      </c>
      <c r="D19" s="118" t="n">
        <v>10</v>
      </c>
      <c r="E19" s="119" t="n">
        <v>0.1</v>
      </c>
      <c r="F19" s="120">
        <f>IF(AND(ISNUMBER(D19),ISNUMBER(E19)),D19*E19,"")</f>
        <v>1</v>
      </c>
      <c r="G19" s="91" t="n"/>
      <c r="H19" s="21" t="inlineStr">
        <is>
          <t>10 troy oz</t>
        </is>
      </c>
    </row>
    <row r="20">
      <c r="A20" s="29" t="inlineStr">
        <is>
          <t>Futures</t>
        </is>
      </c>
      <c r="B20" s="117" t="inlineStr">
        <is>
          <t>GC</t>
        </is>
      </c>
      <c r="C20" s="51" t="inlineStr">
        <is>
          <t>Gold</t>
        </is>
      </c>
      <c r="D20" s="118" t="n">
        <v>100</v>
      </c>
      <c r="E20" s="119" t="n">
        <v>0.1</v>
      </c>
      <c r="F20" s="120">
        <f>IF(AND(ISNUMBER(D20),ISNUMBER(E20)),D20*E20,"")</f>
        <v>10</v>
      </c>
      <c r="G20" s="91" t="n"/>
      <c r="H20" s="21" t="inlineStr">
        <is>
          <t>100 troy oz</t>
        </is>
      </c>
    </row>
    <row r="21">
      <c r="A21" s="29" t="inlineStr">
        <is>
          <t>Futures</t>
        </is>
      </c>
      <c r="B21" s="117" t="inlineStr">
        <is>
          <t>SIL</t>
        </is>
      </c>
      <c r="C21" s="51" t="inlineStr">
        <is>
          <t>Micro Silver (1,000 oz)</t>
        </is>
      </c>
      <c r="D21" s="118" t="n">
        <v>1000</v>
      </c>
      <c r="E21" s="119" t="n">
        <v>0.005</v>
      </c>
      <c r="F21" s="120">
        <f>IF(AND(ISNUMBER(D21),ISNUMBER(E21)),D21*E21,"")</f>
        <v>5</v>
      </c>
      <c r="G21" s="91" t="n"/>
      <c r="H21" s="21" t="inlineStr">
        <is>
          <t>1,000 troy oz</t>
        </is>
      </c>
    </row>
    <row r="22">
      <c r="A22" s="29" t="inlineStr">
        <is>
          <t>Futures</t>
        </is>
      </c>
      <c r="B22" s="117" t="inlineStr">
        <is>
          <t>SI</t>
        </is>
      </c>
      <c r="C22" s="51" t="inlineStr">
        <is>
          <t>Silver</t>
        </is>
      </c>
      <c r="D22" s="118" t="n">
        <v>5000</v>
      </c>
      <c r="E22" s="119" t="n">
        <v>0.005</v>
      </c>
      <c r="F22" s="120">
        <f>IF(AND(ISNUMBER(D22),ISNUMBER(E22)),D22*E22,"")</f>
        <v>25</v>
      </c>
      <c r="G22" s="91" t="n"/>
      <c r="H22" s="21" t="inlineStr">
        <is>
          <t>5,000 troy oz</t>
        </is>
      </c>
    </row>
    <row r="23">
      <c r="A23" s="29" t="inlineStr">
        <is>
          <t>Futures</t>
        </is>
      </c>
      <c r="B23" s="117" t="inlineStr">
        <is>
          <t>MHG</t>
        </is>
      </c>
      <c r="C23" s="51" t="inlineStr">
        <is>
          <t>Micro Copper</t>
        </is>
      </c>
      <c r="D23" s="118" t="n">
        <v>2500</v>
      </c>
      <c r="E23" s="119" t="n">
        <v>0.0005</v>
      </c>
      <c r="F23" s="120">
        <f>IF(AND(ISNUMBER(D23),ISNUMBER(E23)),D23*E23,"")</f>
        <v>1.25</v>
      </c>
      <c r="G23" s="91" t="n"/>
      <c r="H23" s="21" t="inlineStr">
        <is>
          <t>2,500 lbs</t>
        </is>
      </c>
    </row>
    <row r="24">
      <c r="A24" s="29" t="inlineStr">
        <is>
          <t>Futures</t>
        </is>
      </c>
      <c r="B24" s="117" t="inlineStr">
        <is>
          <t>HG</t>
        </is>
      </c>
      <c r="C24" s="51" t="inlineStr">
        <is>
          <t>Copper</t>
        </is>
      </c>
      <c r="D24" s="118" t="n">
        <v>25000</v>
      </c>
      <c r="E24" s="119" t="n">
        <v>0.0005</v>
      </c>
      <c r="F24" s="120">
        <f>IF(AND(ISNUMBER(D24),ISNUMBER(E24)),D24*E24,"")</f>
        <v>12.5</v>
      </c>
      <c r="G24" s="91" t="n"/>
      <c r="H24" s="21" t="inlineStr">
        <is>
          <t>25,000 lbs</t>
        </is>
      </c>
    </row>
    <row r="25">
      <c r="A25" s="29" t="inlineStr">
        <is>
          <t>Futures</t>
        </is>
      </c>
      <c r="B25" s="117" t="inlineStr">
        <is>
          <t>ZN</t>
        </is>
      </c>
      <c r="C25" s="51" t="inlineStr">
        <is>
          <t>10-Year T-Note</t>
        </is>
      </c>
      <c r="D25" s="118" t="n">
        <v>1000</v>
      </c>
      <c r="E25" s="119" t="n">
        <v>0.015625</v>
      </c>
      <c r="F25" s="120">
        <f>IF(AND(ISNUMBER(D25),ISNUMBER(E25)),D25*E25,"")</f>
        <v>15.625</v>
      </c>
      <c r="G25" s="91" t="n"/>
      <c r="H25" s="21" t="inlineStr">
        <is>
          <t>Enter prices as decimals: 110'16 = 110.5</t>
        </is>
      </c>
    </row>
    <row r="26">
      <c r="A26" s="29" t="inlineStr">
        <is>
          <t>Futures</t>
        </is>
      </c>
      <c r="B26" s="117" t="inlineStr">
        <is>
          <t>ZB</t>
        </is>
      </c>
      <c r="C26" s="51" t="inlineStr">
        <is>
          <t>30-Year T-Bond</t>
        </is>
      </c>
      <c r="D26" s="118" t="n">
        <v>1000</v>
      </c>
      <c r="E26" s="119" t="n">
        <v>0.03125</v>
      </c>
      <c r="F26" s="120">
        <f>IF(AND(ISNUMBER(D26),ISNUMBER(E26)),D26*E26,"")</f>
        <v>31.25</v>
      </c>
      <c r="G26" s="91" t="n"/>
      <c r="H26" s="21" t="inlineStr">
        <is>
          <t>Enter prices as decimals: 117'08 = 117.25</t>
        </is>
      </c>
    </row>
    <row r="27">
      <c r="A27" s="29" t="inlineStr">
        <is>
          <t>Futures</t>
        </is>
      </c>
      <c r="B27" s="117" t="inlineStr">
        <is>
          <t>M6E</t>
        </is>
      </c>
      <c r="C27" s="51" t="inlineStr">
        <is>
          <t>Micro EUR/USD</t>
        </is>
      </c>
      <c r="D27" s="118" t="n">
        <v>12500</v>
      </c>
      <c r="E27" s="119" t="n">
        <v>0.0001</v>
      </c>
      <c r="F27" s="120">
        <f>IF(AND(ISNUMBER(D27),ISNUMBER(E27)),D27*E27,"")</f>
        <v>1.25</v>
      </c>
      <c r="G27" s="91" t="n"/>
      <c r="H27" s="21" t="inlineStr">
        <is>
          <t>12,500 EUR</t>
        </is>
      </c>
    </row>
    <row r="28">
      <c r="A28" s="29" t="inlineStr">
        <is>
          <t>Futures</t>
        </is>
      </c>
      <c r="B28" s="117" t="inlineStr">
        <is>
          <t>6E</t>
        </is>
      </c>
      <c r="C28" s="51" t="inlineStr">
        <is>
          <t>Euro FX</t>
        </is>
      </c>
      <c r="D28" s="118" t="n">
        <v>125000</v>
      </c>
      <c r="E28" s="119" t="n">
        <v>5e-05</v>
      </c>
      <c r="F28" s="120">
        <f>IF(AND(ISNUMBER(D28),ISNUMBER(E28)),D28*E28,"")</f>
        <v>6.25</v>
      </c>
      <c r="G28" s="91" t="n"/>
      <c r="H28" s="21" t="inlineStr">
        <is>
          <t>125,000 EUR</t>
        </is>
      </c>
    </row>
    <row r="29">
      <c r="A29" s="29" t="inlineStr">
        <is>
          <t>Futures</t>
        </is>
      </c>
      <c r="B29" s="117" t="inlineStr">
        <is>
          <t>6B</t>
        </is>
      </c>
      <c r="C29" s="51" t="inlineStr">
        <is>
          <t>British Pound</t>
        </is>
      </c>
      <c r="D29" s="118" t="n">
        <v>62500</v>
      </c>
      <c r="E29" s="119" t="n">
        <v>0.0001</v>
      </c>
      <c r="F29" s="120">
        <f>IF(AND(ISNUMBER(D29),ISNUMBER(E29)),D29*E29,"")</f>
        <v>6.25</v>
      </c>
      <c r="G29" s="91" t="n"/>
      <c r="H29" s="21" t="inlineStr">
        <is>
          <t>62,500 GBP</t>
        </is>
      </c>
    </row>
    <row r="30">
      <c r="A30" s="29" t="inlineStr">
        <is>
          <t>Futures</t>
        </is>
      </c>
      <c r="B30" s="117" t="inlineStr">
        <is>
          <t>6J</t>
        </is>
      </c>
      <c r="C30" s="51" t="inlineStr">
        <is>
          <t>Japanese Yen</t>
        </is>
      </c>
      <c r="D30" s="118" t="n">
        <v>12500000</v>
      </c>
      <c r="E30" s="119" t="n">
        <v>5e-07</v>
      </c>
      <c r="F30" s="120">
        <f>IF(AND(ISNUMBER(D30),ISNUMBER(E30)),D30*E30,"")</f>
        <v>6.25</v>
      </c>
      <c r="G30" s="91" t="n"/>
      <c r="H30" s="21" t="inlineStr">
        <is>
          <t>12,500,000 JPY. Price is USD per yen (e.g. 0.0067)</t>
        </is>
      </c>
    </row>
    <row r="31">
      <c r="A31" s="29" t="inlineStr">
        <is>
          <t>Futures</t>
        </is>
      </c>
      <c r="B31" s="117" t="inlineStr">
        <is>
          <t>6A</t>
        </is>
      </c>
      <c r="C31" s="51" t="inlineStr">
        <is>
          <t>Australian Dollar</t>
        </is>
      </c>
      <c r="D31" s="118" t="n">
        <v>100000</v>
      </c>
      <c r="E31" s="119" t="n">
        <v>0.0001</v>
      </c>
      <c r="F31" s="120">
        <f>IF(AND(ISNUMBER(D31),ISNUMBER(E31)),D31*E31,"")</f>
        <v>10</v>
      </c>
      <c r="G31" s="91" t="n"/>
      <c r="H31" s="21" t="inlineStr">
        <is>
          <t>100,000 AUD</t>
        </is>
      </c>
    </row>
    <row r="32">
      <c r="A32" s="29" t="inlineStr">
        <is>
          <t>Futures</t>
        </is>
      </c>
      <c r="B32" s="117" t="inlineStr">
        <is>
          <t>6C</t>
        </is>
      </c>
      <c r="C32" s="51" t="inlineStr">
        <is>
          <t>Canadian Dollar</t>
        </is>
      </c>
      <c r="D32" s="118" t="n">
        <v>100000</v>
      </c>
      <c r="E32" s="119" t="n">
        <v>0.0001</v>
      </c>
      <c r="F32" s="120">
        <f>IF(AND(ISNUMBER(D32),ISNUMBER(E32)),D32*E32,"")</f>
        <v>10</v>
      </c>
      <c r="G32" s="91" t="n"/>
      <c r="H32" s="21" t="inlineStr">
        <is>
          <t>100,000 CAD</t>
        </is>
      </c>
    </row>
    <row r="33">
      <c r="A33" s="29" t="inlineStr">
        <is>
          <t>Futures</t>
        </is>
      </c>
      <c r="B33" s="117" t="inlineStr">
        <is>
          <t>MBT</t>
        </is>
      </c>
      <c r="C33" s="51" t="inlineStr">
        <is>
          <t>Micro Bitcoin (CME)</t>
        </is>
      </c>
      <c r="D33" s="118" t="n">
        <v>0.1</v>
      </c>
      <c r="E33" s="119" t="n">
        <v>5</v>
      </c>
      <c r="F33" s="120">
        <f>IF(AND(ISNUMBER(D33),ISNUMBER(E33)),D33*E33,"")</f>
        <v>0.5</v>
      </c>
      <c r="G33" s="91" t="n"/>
      <c r="H33" s="21" t="inlineStr">
        <is>
          <t>0.1 bitcoin</t>
        </is>
      </c>
    </row>
    <row r="34">
      <c r="A34" s="29" t="inlineStr">
        <is>
          <t>Futures</t>
        </is>
      </c>
      <c r="B34" s="117" t="inlineStr">
        <is>
          <t>BTC</t>
        </is>
      </c>
      <c r="C34" s="51" t="inlineStr">
        <is>
          <t>Bitcoin (CME)</t>
        </is>
      </c>
      <c r="D34" s="118" t="n">
        <v>5</v>
      </c>
      <c r="E34" s="119" t="n">
        <v>5</v>
      </c>
      <c r="F34" s="120">
        <f>IF(AND(ISNUMBER(D34),ISNUMBER(E34)),D34*E34,"")</f>
        <v>25</v>
      </c>
      <c r="G34" s="91" t="n"/>
      <c r="H34" s="21" t="inlineStr">
        <is>
          <t>5 bitcoin</t>
        </is>
      </c>
    </row>
    <row r="35">
      <c r="A35" s="29" t="inlineStr">
        <is>
          <t>Futures</t>
        </is>
      </c>
      <c r="B35" s="117" t="inlineStr">
        <is>
          <t>MET</t>
        </is>
      </c>
      <c r="C35" s="51" t="inlineStr">
        <is>
          <t>Micro Ether (CME)</t>
        </is>
      </c>
      <c r="D35" s="118" t="n">
        <v>0.1</v>
      </c>
      <c r="E35" s="119" t="n">
        <v>0.5</v>
      </c>
      <c r="F35" s="120">
        <f>IF(AND(ISNUMBER(D35),ISNUMBER(E35)),D35*E35,"")</f>
        <v>0.05</v>
      </c>
      <c r="G35" s="91" t="n"/>
      <c r="H35" s="21" t="inlineStr">
        <is>
          <t>0.1 ether</t>
        </is>
      </c>
    </row>
    <row r="36">
      <c r="A36" s="29" t="inlineStr">
        <is>
          <t>Futures</t>
        </is>
      </c>
      <c r="B36" s="117" t="inlineStr">
        <is>
          <t>ETH</t>
        </is>
      </c>
      <c r="C36" s="51" t="inlineStr">
        <is>
          <t>Ether (CME)</t>
        </is>
      </c>
      <c r="D36" s="118" t="n">
        <v>50</v>
      </c>
      <c r="E36" s="119" t="n">
        <v>0.5</v>
      </c>
      <c r="F36" s="120">
        <f>IF(AND(ISNUMBER(D36),ISNUMBER(E36)),D36*E36,"")</f>
        <v>25</v>
      </c>
      <c r="G36" s="91" t="n"/>
      <c r="H36" s="21" t="inlineStr">
        <is>
          <t>50 ether</t>
        </is>
      </c>
    </row>
    <row r="37">
      <c r="A37" s="29" t="inlineStr">
        <is>
          <t>Futures</t>
        </is>
      </c>
      <c r="B37" s="117" t="inlineStr">
        <is>
          <t>ZC</t>
        </is>
      </c>
      <c r="C37" s="51" t="inlineStr">
        <is>
          <t>Corn</t>
        </is>
      </c>
      <c r="D37" s="118" t="n">
        <v>50</v>
      </c>
      <c r="E37" s="119" t="n">
        <v>0.25</v>
      </c>
      <c r="F37" s="120">
        <f>IF(AND(ISNUMBER(D37),ISNUMBER(E37)),D37*E37,"")</f>
        <v>12.5</v>
      </c>
      <c r="G37" s="91" t="n"/>
      <c r="H37" s="21" t="inlineStr">
        <is>
          <t>Price in cents per bushel, e.g. 425.25</t>
        </is>
      </c>
    </row>
    <row r="38">
      <c r="A38" s="29" t="inlineStr">
        <is>
          <t>Futures</t>
        </is>
      </c>
      <c r="B38" s="117" t="inlineStr">
        <is>
          <t>ZS</t>
        </is>
      </c>
      <c r="C38" s="51" t="inlineStr">
        <is>
          <t>Soybeans</t>
        </is>
      </c>
      <c r="D38" s="118" t="n">
        <v>50</v>
      </c>
      <c r="E38" s="119" t="n">
        <v>0.25</v>
      </c>
      <c r="F38" s="120">
        <f>IF(AND(ISNUMBER(D38),ISNUMBER(E38)),D38*E38,"")</f>
        <v>12.5</v>
      </c>
      <c r="G38" s="91" t="n"/>
      <c r="H38" s="21" t="inlineStr">
        <is>
          <t>Price in cents per bushel</t>
        </is>
      </c>
    </row>
    <row r="39">
      <c r="A39" s="29" t="inlineStr">
        <is>
          <t>Futures</t>
        </is>
      </c>
      <c r="B39" s="117" t="inlineStr">
        <is>
          <t>ZW</t>
        </is>
      </c>
      <c r="C39" s="51" t="inlineStr">
        <is>
          <t>Wheat</t>
        </is>
      </c>
      <c r="D39" s="118" t="n">
        <v>50</v>
      </c>
      <c r="E39" s="119" t="n">
        <v>0.25</v>
      </c>
      <c r="F39" s="120">
        <f>IF(AND(ISNUMBER(D39),ISNUMBER(E39)),D39*E39,"")</f>
        <v>12.5</v>
      </c>
      <c r="G39" s="91" t="n"/>
      <c r="H39" s="21" t="inlineStr">
        <is>
          <t>Price in cents per bushel</t>
        </is>
      </c>
    </row>
    <row r="40">
      <c r="A40" s="29" t="inlineStr">
        <is>
          <t>Forex</t>
        </is>
      </c>
      <c r="B40" s="117" t="inlineStr">
        <is>
          <t>EURUSD</t>
        </is>
      </c>
      <c r="C40" s="51" t="inlineStr">
        <is>
          <t>EUR/USD</t>
        </is>
      </c>
      <c r="D40" s="118" t="n">
        <v>100000</v>
      </c>
      <c r="E40" s="119" t="n"/>
      <c r="F40" s="120" t="str">
        <f>IF(AND(ISNUMBER(D40),ISNUMBER(E40)),D40*E40,"")</f>
        <v/>
      </c>
      <c r="G40" s="91" t="n"/>
      <c r="H40" s="21" t="inlineStr">
        <is>
          <t>Standard lot = 100,000 units at most brokers — check yours.</t>
        </is>
      </c>
    </row>
    <row r="41">
      <c r="A41" s="29" t="inlineStr">
        <is>
          <t>Forex</t>
        </is>
      </c>
      <c r="B41" s="117" t="inlineStr">
        <is>
          <t>GBPUSD</t>
        </is>
      </c>
      <c r="C41" s="51" t="inlineStr">
        <is>
          <t>GBP/USD</t>
        </is>
      </c>
      <c r="D41" s="118" t="n">
        <v>100000</v>
      </c>
      <c r="E41" s="119" t="n"/>
      <c r="F41" s="120" t="str">
        <f>IF(AND(ISNUMBER(D41),ISNUMBER(E41)),D41*E41,"")</f>
        <v/>
      </c>
      <c r="G41" s="91" t="n"/>
      <c r="H41" s="21" t="inlineStr">
        <is>
          <t>Standard lot = 100,000 units at most brokers — check yours.</t>
        </is>
      </c>
    </row>
    <row r="42">
      <c r="A42" s="29" t="inlineStr">
        <is>
          <t>Forex</t>
        </is>
      </c>
      <c r="B42" s="117" t="inlineStr">
        <is>
          <t>AUDUSD</t>
        </is>
      </c>
      <c r="C42" s="51" t="inlineStr">
        <is>
          <t>AUD/USD</t>
        </is>
      </c>
      <c r="D42" s="118" t="n">
        <v>100000</v>
      </c>
      <c r="E42" s="119" t="n"/>
      <c r="F42" s="120" t="str">
        <f>IF(AND(ISNUMBER(D42),ISNUMBER(E42)),D42*E42,"")</f>
        <v/>
      </c>
      <c r="G42" s="91" t="n"/>
      <c r="H42" s="21" t="inlineStr">
        <is>
          <t>Standard lot = 100,000 units at most brokers — check yours.</t>
        </is>
      </c>
    </row>
    <row r="43">
      <c r="A43" s="29" t="inlineStr">
        <is>
          <t>Forex</t>
        </is>
      </c>
      <c r="B43" s="117" t="inlineStr">
        <is>
          <t>NZDUSD</t>
        </is>
      </c>
      <c r="C43" s="51" t="inlineStr">
        <is>
          <t>NZD/USD</t>
        </is>
      </c>
      <c r="D43" s="118" t="n">
        <v>100000</v>
      </c>
      <c r="E43" s="119" t="n"/>
      <c r="F43" s="120" t="str">
        <f>IF(AND(ISNUMBER(D43),ISNUMBER(E43)),D43*E43,"")</f>
        <v/>
      </c>
      <c r="G43" s="91" t="n"/>
      <c r="H43" s="21" t="inlineStr">
        <is>
          <t>Standard lot = 100,000 units at most brokers — check yours.</t>
        </is>
      </c>
    </row>
    <row r="44">
      <c r="A44" s="29" t="inlineStr">
        <is>
          <t>Forex</t>
        </is>
      </c>
      <c r="B44" s="117" t="inlineStr">
        <is>
          <t>USDJPY</t>
        </is>
      </c>
      <c r="C44" s="51" t="inlineStr">
        <is>
          <t>USD/JPY</t>
        </is>
      </c>
      <c r="D44" s="118" t="n">
        <v>100000</v>
      </c>
      <c r="E44" s="119" t="n"/>
      <c r="F44" s="120" t="str">
        <f>IF(AND(ISNUMBER(D44),ISNUMBER(E44)),D44*E44,"")</f>
        <v/>
      </c>
      <c r="G44" s="91" t="n"/>
      <c r="H44" s="21" t="inlineStr">
        <is>
          <t>Standard lot = 100,000 units at most brokers — check yours.</t>
        </is>
      </c>
    </row>
    <row r="45">
      <c r="A45" s="29" t="inlineStr">
        <is>
          <t>Forex</t>
        </is>
      </c>
      <c r="B45" s="117" t="inlineStr">
        <is>
          <t>USDCAD</t>
        </is>
      </c>
      <c r="C45" s="51" t="inlineStr">
        <is>
          <t>USD/CAD</t>
        </is>
      </c>
      <c r="D45" s="118" t="n">
        <v>100000</v>
      </c>
      <c r="E45" s="119" t="n"/>
      <c r="F45" s="120" t="str">
        <f>IF(AND(ISNUMBER(D45),ISNUMBER(E45)),D45*E45,"")</f>
        <v/>
      </c>
      <c r="G45" s="91" t="n"/>
      <c r="H45" s="21" t="inlineStr">
        <is>
          <t>Standard lot = 100,000 units at most brokers — check yours.</t>
        </is>
      </c>
    </row>
    <row r="46">
      <c r="A46" s="29" t="inlineStr">
        <is>
          <t>Forex</t>
        </is>
      </c>
      <c r="B46" s="117" t="inlineStr">
        <is>
          <t>USDCHF</t>
        </is>
      </c>
      <c r="C46" s="51" t="inlineStr">
        <is>
          <t>USD/CHF</t>
        </is>
      </c>
      <c r="D46" s="118" t="n">
        <v>100000</v>
      </c>
      <c r="E46" s="119" t="n"/>
      <c r="F46" s="120" t="str">
        <f>IF(AND(ISNUMBER(D46),ISNUMBER(E46)),D46*E46,"")</f>
        <v/>
      </c>
      <c r="G46" s="91" t="n"/>
      <c r="H46" s="21" t="inlineStr">
        <is>
          <t>Standard lot = 100,000 units at most brokers — check yours.</t>
        </is>
      </c>
    </row>
    <row r="47">
      <c r="A47" s="29" t="inlineStr">
        <is>
          <t>Forex</t>
        </is>
      </c>
      <c r="B47" s="117" t="inlineStr">
        <is>
          <t>EURJPY</t>
        </is>
      </c>
      <c r="C47" s="51" t="inlineStr">
        <is>
          <t>EUR/JPY</t>
        </is>
      </c>
      <c r="D47" s="118" t="n">
        <v>100000</v>
      </c>
      <c r="E47" s="119" t="n"/>
      <c r="F47" s="120" t="str">
        <f>IF(AND(ISNUMBER(D47),ISNUMBER(E47)),D47*E47,"")</f>
        <v/>
      </c>
      <c r="G47" s="91" t="n"/>
      <c r="H47" s="21" t="inlineStr">
        <is>
          <t>Standard lot = 100,000 units at most brokers — check yours.</t>
        </is>
      </c>
    </row>
    <row r="48">
      <c r="A48" s="29" t="inlineStr">
        <is>
          <t>Forex</t>
        </is>
      </c>
      <c r="B48" s="117" t="inlineStr">
        <is>
          <t>GBPJPY</t>
        </is>
      </c>
      <c r="C48" s="51" t="inlineStr">
        <is>
          <t>GBP/JPY</t>
        </is>
      </c>
      <c r="D48" s="118" t="n">
        <v>100000</v>
      </c>
      <c r="E48" s="119" t="n"/>
      <c r="F48" s="120" t="str">
        <f>IF(AND(ISNUMBER(D48),ISNUMBER(E48)),D48*E48,"")</f>
        <v/>
      </c>
      <c r="G48" s="91" t="n"/>
      <c r="H48" s="21" t="inlineStr">
        <is>
          <t>Standard lot = 100,000 units at most brokers — check yours.</t>
        </is>
      </c>
    </row>
    <row r="49">
      <c r="A49" s="29" t="inlineStr">
        <is>
          <t>Forex</t>
        </is>
      </c>
      <c r="B49" s="117" t="inlineStr">
        <is>
          <t>EURGBP</t>
        </is>
      </c>
      <c r="C49" s="51" t="inlineStr">
        <is>
          <t>EUR/GBP</t>
        </is>
      </c>
      <c r="D49" s="118" t="n">
        <v>100000</v>
      </c>
      <c r="E49" s="119" t="n"/>
      <c r="F49" s="120" t="str">
        <f>IF(AND(ISNUMBER(D49),ISNUMBER(E49)),D49*E49,"")</f>
        <v/>
      </c>
      <c r="G49" s="91" t="n"/>
      <c r="H49" s="21" t="inlineStr">
        <is>
          <t>Standard lot = 100,000 units at most brokers — check yours.</t>
        </is>
      </c>
    </row>
    <row r="50">
      <c r="A50" s="29" t="inlineStr">
        <is>
          <t>Forex</t>
        </is>
      </c>
      <c r="B50" s="117" t="inlineStr">
        <is>
          <t>XAUUSD</t>
        </is>
      </c>
      <c r="C50" s="51" t="inlineStr">
        <is>
          <t>Gold vs USD (spot/CFD)</t>
        </is>
      </c>
      <c r="D50" s="118" t="n">
        <v>100</v>
      </c>
      <c r="E50" s="119" t="n"/>
      <c r="F50" s="120" t="str">
        <f>IF(AND(ISNUMBER(D50),ISNUMBER(E50)),D50*E50,"")</f>
        <v/>
      </c>
      <c r="G50" s="91" t="n"/>
      <c r="H50" s="21" t="inlineStr">
        <is>
          <t>Lot size varies by broker (often 100 oz) — check yours.</t>
        </is>
      </c>
    </row>
    <row r="51">
      <c r="A51" s="29" t="inlineStr">
        <is>
          <t>Crypto</t>
        </is>
      </c>
      <c r="B51" s="117" t="inlineStr">
        <is>
          <t>BTCUSDT</t>
        </is>
      </c>
      <c r="C51" s="51" t="inlineStr">
        <is>
          <t>BTC / USDT</t>
        </is>
      </c>
      <c r="D51" s="118" t="n">
        <v>1</v>
      </c>
      <c r="E51" s="119" t="n"/>
      <c r="F51" s="120" t="str">
        <f>IF(AND(ISNUMBER(D51),ISNUMBER(E51)),D51*E51,"")</f>
        <v/>
      </c>
      <c r="G51" s="91" t="n"/>
      <c r="H51" s="21" t="inlineStr">
        <is>
          <t>Qty in coins. If your exchange sizes in contracts, enter the coin amount.</t>
        </is>
      </c>
    </row>
    <row r="52">
      <c r="A52" s="29" t="inlineStr">
        <is>
          <t>Crypto</t>
        </is>
      </c>
      <c r="B52" s="117" t="inlineStr">
        <is>
          <t>ETHUSDT</t>
        </is>
      </c>
      <c r="C52" s="51" t="inlineStr">
        <is>
          <t>ETH / USDT</t>
        </is>
      </c>
      <c r="D52" s="118" t="n">
        <v>1</v>
      </c>
      <c r="E52" s="119" t="n"/>
      <c r="F52" s="120" t="str">
        <f>IF(AND(ISNUMBER(D52),ISNUMBER(E52)),D52*E52,"")</f>
        <v/>
      </c>
      <c r="G52" s="91" t="n"/>
      <c r="H52" s="21" t="inlineStr">
        <is>
          <t>Qty in coins. If your exchange sizes in contracts, enter the coin amount.</t>
        </is>
      </c>
    </row>
    <row r="53">
      <c r="A53" s="29" t="inlineStr">
        <is>
          <t>Crypto</t>
        </is>
      </c>
      <c r="B53" s="117" t="inlineStr">
        <is>
          <t>SOLUSDT</t>
        </is>
      </c>
      <c r="C53" s="51" t="inlineStr">
        <is>
          <t>SOL / USDT</t>
        </is>
      </c>
      <c r="D53" s="118" t="n">
        <v>1</v>
      </c>
      <c r="E53" s="119" t="n"/>
      <c r="F53" s="120" t="str">
        <f>IF(AND(ISNUMBER(D53),ISNUMBER(E53)),D53*E53,"")</f>
        <v/>
      </c>
      <c r="G53" s="91" t="n"/>
      <c r="H53" s="21" t="inlineStr">
        <is>
          <t>Qty in coins. If your exchange sizes in contracts, enter the coin amount.</t>
        </is>
      </c>
    </row>
    <row r="54">
      <c r="A54" s="29" t="inlineStr">
        <is>
          <t>Crypto</t>
        </is>
      </c>
      <c r="B54" s="117" t="inlineStr">
        <is>
          <t>XRPUSDT</t>
        </is>
      </c>
      <c r="C54" s="51" t="inlineStr">
        <is>
          <t>XRP / USDT</t>
        </is>
      </c>
      <c r="D54" s="118" t="n">
        <v>1</v>
      </c>
      <c r="E54" s="119" t="n"/>
      <c r="F54" s="120" t="str">
        <f>IF(AND(ISNUMBER(D54),ISNUMBER(E54)),D54*E54,"")</f>
        <v/>
      </c>
      <c r="G54" s="91" t="n"/>
      <c r="H54" s="21" t="inlineStr">
        <is>
          <t>Qty in coins. If your exchange sizes in contracts, enter the coin amount.</t>
        </is>
      </c>
    </row>
    <row r="55">
      <c r="A55" s="29" t="inlineStr">
        <is>
          <t>Crypto</t>
        </is>
      </c>
      <c r="B55" s="117" t="inlineStr">
        <is>
          <t>BNBUSDT</t>
        </is>
      </c>
      <c r="C55" s="51" t="inlineStr">
        <is>
          <t>BNB / USDT</t>
        </is>
      </c>
      <c r="D55" s="118" t="n">
        <v>1</v>
      </c>
      <c r="E55" s="119" t="n"/>
      <c r="F55" s="120" t="str">
        <f>IF(AND(ISNUMBER(D55),ISNUMBER(E55)),D55*E55,"")</f>
        <v/>
      </c>
      <c r="G55" s="91" t="n"/>
      <c r="H55" s="21" t="inlineStr">
        <is>
          <t>Qty in coins. If your exchange sizes in contracts, enter the coin amount.</t>
        </is>
      </c>
    </row>
    <row r="56">
      <c r="A56" s="29" t="inlineStr">
        <is>
          <t>Crypto</t>
        </is>
      </c>
      <c r="B56" s="117" t="inlineStr">
        <is>
          <t>DOGEUSDT</t>
        </is>
      </c>
      <c r="C56" s="51" t="inlineStr">
        <is>
          <t>DOGE / USDT</t>
        </is>
      </c>
      <c r="D56" s="118" t="n">
        <v>1</v>
      </c>
      <c r="E56" s="119" t="n"/>
      <c r="F56" s="120" t="str">
        <f>IF(AND(ISNUMBER(D56),ISNUMBER(E56)),D56*E56,"")</f>
        <v/>
      </c>
      <c r="G56" s="91" t="n"/>
      <c r="H56" s="21" t="inlineStr">
        <is>
          <t>Qty in coins. If your exchange sizes in contracts, enter the coin amount.</t>
        </is>
      </c>
    </row>
    <row r="57">
      <c r="A57" s="29" t="inlineStr">
        <is>
          <t>Crypto</t>
        </is>
      </c>
      <c r="B57" s="117" t="inlineStr">
        <is>
          <t>ADAUSDT</t>
        </is>
      </c>
      <c r="C57" s="51" t="inlineStr">
        <is>
          <t>ADA / USDT</t>
        </is>
      </c>
      <c r="D57" s="118" t="n">
        <v>1</v>
      </c>
      <c r="E57" s="119" t="n"/>
      <c r="F57" s="120" t="str">
        <f>IF(AND(ISNUMBER(D57),ISNUMBER(E57)),D57*E57,"")</f>
        <v/>
      </c>
      <c r="G57" s="91" t="n"/>
      <c r="H57" s="21" t="inlineStr">
        <is>
          <t>Qty in coins. If your exchange sizes in contracts, enter the coin amount.</t>
        </is>
      </c>
    </row>
    <row r="58">
      <c r="A58" s="29" t="inlineStr">
        <is>
          <t>Crypto</t>
        </is>
      </c>
      <c r="B58" s="117" t="inlineStr">
        <is>
          <t>HBARUSDT</t>
        </is>
      </c>
      <c r="C58" s="51" t="inlineStr">
        <is>
          <t>HBAR / USDT</t>
        </is>
      </c>
      <c r="D58" s="118" t="n">
        <v>1</v>
      </c>
      <c r="E58" s="119" t="n"/>
      <c r="F58" s="120" t="str">
        <f>IF(AND(ISNUMBER(D58),ISNUMBER(E58)),D58*E58,"")</f>
        <v/>
      </c>
      <c r="G58" s="91" t="n"/>
      <c r="H58" s="21" t="inlineStr">
        <is>
          <t>Qty in coins. If your exchange sizes in contracts, enter the coin amount.</t>
        </is>
      </c>
    </row>
    <row r="59">
      <c r="A59" s="29" t="inlineStr">
        <is>
          <t>Stocks</t>
        </is>
      </c>
      <c r="B59" s="117" t="inlineStr">
        <is>
          <t>SPY</t>
        </is>
      </c>
      <c r="C59" s="51" t="inlineStr"/>
      <c r="D59" s="118" t="n">
        <v>1</v>
      </c>
      <c r="E59" s="119" t="n"/>
      <c r="F59" s="120" t="str">
        <f>IF(AND(ISNUMBER(D59),ISNUMBER(E59)),D59*E59,"")</f>
        <v/>
      </c>
      <c r="G59" s="91" t="n"/>
      <c r="H59" s="21" t="inlineStr"/>
    </row>
    <row r="60">
      <c r="A60" s="29" t="inlineStr">
        <is>
          <t>Stocks</t>
        </is>
      </c>
      <c r="B60" s="117" t="inlineStr">
        <is>
          <t>QQQ</t>
        </is>
      </c>
      <c r="C60" s="51" t="inlineStr"/>
      <c r="D60" s="118" t="n">
        <v>1</v>
      </c>
      <c r="E60" s="119" t="n"/>
      <c r="F60" s="120" t="str">
        <f>IF(AND(ISNUMBER(D60),ISNUMBER(E60)),D60*E60,"")</f>
        <v/>
      </c>
      <c r="G60" s="91" t="n"/>
      <c r="H60" s="21" t="inlineStr"/>
    </row>
    <row r="61">
      <c r="A61" s="29" t="inlineStr">
        <is>
          <t>Stocks</t>
        </is>
      </c>
      <c r="B61" s="117" t="inlineStr">
        <is>
          <t>AAPL</t>
        </is>
      </c>
      <c r="C61" s="51" t="inlineStr"/>
      <c r="D61" s="118" t="n">
        <v>1</v>
      </c>
      <c r="E61" s="119" t="n"/>
      <c r="F61" s="120" t="str">
        <f>IF(AND(ISNUMBER(D61),ISNUMBER(E61)),D61*E61,"")</f>
        <v/>
      </c>
      <c r="G61" s="91" t="n"/>
      <c r="H61" s="21" t="inlineStr"/>
    </row>
    <row r="62">
      <c r="A62" s="29" t="inlineStr">
        <is>
          <t>Stocks</t>
        </is>
      </c>
      <c r="B62" s="117" t="inlineStr">
        <is>
          <t>NVDA</t>
        </is>
      </c>
      <c r="C62" s="51" t="inlineStr"/>
      <c r="D62" s="118" t="n">
        <v>1</v>
      </c>
      <c r="E62" s="119" t="n"/>
      <c r="F62" s="120" t="str">
        <f>IF(AND(ISNUMBER(D62),ISNUMBER(E62)),D62*E62,"")</f>
        <v/>
      </c>
      <c r="G62" s="91" t="n"/>
      <c r="H62" s="21" t="inlineStr"/>
    </row>
    <row r="63">
      <c r="A63" s="29" t="inlineStr">
        <is>
          <t>Stocks</t>
        </is>
      </c>
      <c r="B63" s="117" t="inlineStr">
        <is>
          <t>TSLA</t>
        </is>
      </c>
      <c r="C63" s="51" t="inlineStr"/>
      <c r="D63" s="118" t="n">
        <v>1</v>
      </c>
      <c r="E63" s="119" t="n"/>
      <c r="F63" s="120" t="str">
        <f>IF(AND(ISNUMBER(D63),ISNUMBER(E63)),D63*E63,"")</f>
        <v/>
      </c>
      <c r="G63" s="91" t="n"/>
      <c r="H63" s="21" t="inlineStr"/>
    </row>
    <row r="64">
      <c r="A64" s="29" t="inlineStr">
        <is>
          <t>Stocks</t>
        </is>
      </c>
      <c r="B64" s="117" t="inlineStr">
        <is>
          <t>MSFT</t>
        </is>
      </c>
      <c r="C64" s="51" t="inlineStr"/>
      <c r="D64" s="118" t="n">
        <v>1</v>
      </c>
      <c r="E64" s="119" t="n"/>
      <c r="F64" s="120" t="str">
        <f>IF(AND(ISNUMBER(D64),ISNUMBER(E64)),D64*E64,"")</f>
        <v/>
      </c>
      <c r="G64" s="91" t="n"/>
      <c r="H64" s="21" t="inlineStr"/>
    </row>
    <row r="65">
      <c r="A65" s="29" t="inlineStr">
        <is>
          <t>Stocks</t>
        </is>
      </c>
      <c r="B65" s="117" t="inlineStr">
        <is>
          <t>AMZN</t>
        </is>
      </c>
      <c r="C65" s="51" t="inlineStr"/>
      <c r="D65" s="118" t="n">
        <v>1</v>
      </c>
      <c r="E65" s="119" t="n"/>
      <c r="F65" s="120" t="str">
        <f>IF(AND(ISNUMBER(D65),ISNUMBER(E65)),D65*E65,"")</f>
        <v/>
      </c>
      <c r="G65" s="91" t="n"/>
      <c r="H65" s="21" t="inlineStr"/>
    </row>
    <row r="66">
      <c r="A66" s="29" t="inlineStr">
        <is>
          <t>Stocks</t>
        </is>
      </c>
      <c r="B66" s="117" t="inlineStr">
        <is>
          <t>META</t>
        </is>
      </c>
      <c r="C66" s="51" t="inlineStr"/>
      <c r="D66" s="118" t="n">
        <v>1</v>
      </c>
      <c r="E66" s="119" t="n"/>
      <c r="F66" s="120" t="str">
        <f>IF(AND(ISNUMBER(D66),ISNUMBER(E66)),D66*E66,"")</f>
        <v/>
      </c>
      <c r="G66" s="91" t="n"/>
      <c r="H66" s="21" t="inlineStr"/>
    </row>
    <row r="67">
      <c r="A67" s="29" t="inlineStr">
        <is>
          <t>Options</t>
        </is>
      </c>
      <c r="B67" s="117" t="inlineStr">
        <is>
          <t>SPY</t>
        </is>
      </c>
      <c r="C67" s="51" t="inlineStr"/>
      <c r="D67" s="118" t="n">
        <v>100</v>
      </c>
      <c r="E67" s="119" t="n"/>
      <c r="F67" s="120" t="str">
        <f>IF(AND(ISNUMBER(D67),ISNUMBER(E67)),D67*E67,"")</f>
        <v/>
      </c>
      <c r="G67" s="91" t="n"/>
      <c r="H67" s="21" t="inlineStr">
        <is>
          <t>Standard US equity options: 1 contract = 100 shares.</t>
        </is>
      </c>
    </row>
    <row r="68">
      <c r="A68" s="29" t="inlineStr">
        <is>
          <t>Options</t>
        </is>
      </c>
      <c r="B68" s="117" t="inlineStr">
        <is>
          <t>QQQ</t>
        </is>
      </c>
      <c r="C68" s="51" t="inlineStr"/>
      <c r="D68" s="118" t="n">
        <v>100</v>
      </c>
      <c r="E68" s="119" t="n"/>
      <c r="F68" s="120" t="str">
        <f>IF(AND(ISNUMBER(D68),ISNUMBER(E68)),D68*E68,"")</f>
        <v/>
      </c>
      <c r="G68" s="91" t="n"/>
      <c r="H68" s="21" t="inlineStr">
        <is>
          <t>Standard US equity options: 1 contract = 100 shares.</t>
        </is>
      </c>
    </row>
    <row r="69">
      <c r="A69" s="29" t="inlineStr">
        <is>
          <t>Options</t>
        </is>
      </c>
      <c r="B69" s="117" t="inlineStr">
        <is>
          <t>AAPL</t>
        </is>
      </c>
      <c r="C69" s="51" t="inlineStr"/>
      <c r="D69" s="118" t="n">
        <v>100</v>
      </c>
      <c r="E69" s="119" t="n"/>
      <c r="F69" s="120" t="str">
        <f>IF(AND(ISNUMBER(D69),ISNUMBER(E69)),D69*E69,"")</f>
        <v/>
      </c>
      <c r="G69" s="91" t="n"/>
      <c r="H69" s="21" t="inlineStr">
        <is>
          <t>Standard US equity options: 1 contract = 100 shares.</t>
        </is>
      </c>
    </row>
    <row r="70">
      <c r="A70" s="29" t="inlineStr">
        <is>
          <t>Options</t>
        </is>
      </c>
      <c r="B70" s="117" t="inlineStr">
        <is>
          <t>NVDA</t>
        </is>
      </c>
      <c r="C70" s="51" t="inlineStr"/>
      <c r="D70" s="118" t="n">
        <v>100</v>
      </c>
      <c r="E70" s="119" t="n"/>
      <c r="F70" s="120" t="str">
        <f>IF(AND(ISNUMBER(D70),ISNUMBER(E70)),D70*E70,"")</f>
        <v/>
      </c>
      <c r="G70" s="91" t="n"/>
      <c r="H70" s="21" t="inlineStr">
        <is>
          <t>Standard US equity options: 1 contract = 100 shares.</t>
        </is>
      </c>
    </row>
    <row r="71">
      <c r="A71" s="29" t="inlineStr">
        <is>
          <t>Options</t>
        </is>
      </c>
      <c r="B71" s="117" t="inlineStr">
        <is>
          <t>TSLA</t>
        </is>
      </c>
      <c r="C71" s="51" t="inlineStr"/>
      <c r="D71" s="118" t="n">
        <v>100</v>
      </c>
      <c r="E71" s="119" t="n"/>
      <c r="F71" s="120" t="str">
        <f>IF(AND(ISNUMBER(D71),ISNUMBER(E71)),D71*E71,"")</f>
        <v/>
      </c>
      <c r="G71" s="91" t="n"/>
      <c r="H71" s="21" t="inlineStr">
        <is>
          <t>Standard US equity options: 1 contract = 100 shares.</t>
        </is>
      </c>
    </row>
    <row r="72">
      <c r="A72" s="17" t="n"/>
      <c r="B72" s="17" t="n"/>
      <c r="C72" s="121" t="n"/>
      <c r="D72" s="18" t="n"/>
      <c r="E72" s="122" t="n"/>
      <c r="F72" s="120" t="str">
        <f>IF(AND(ISNUMBER(D72),ISNUMBER(E72)),D72*E72,"")</f>
        <v/>
      </c>
      <c r="G72" s="19" t="n"/>
      <c r="H72" s="21" t="n"/>
    </row>
    <row r="73">
      <c r="A73" s="17" t="n"/>
      <c r="B73" s="17" t="n"/>
      <c r="C73" s="121" t="n"/>
      <c r="D73" s="18" t="n"/>
      <c r="E73" s="122" t="n"/>
      <c r="F73" s="120" t="str">
        <f>IF(AND(ISNUMBER(D73),ISNUMBER(E73)),D73*E73,"")</f>
        <v/>
      </c>
      <c r="G73" s="19" t="n"/>
      <c r="H73" s="21" t="n"/>
    </row>
    <row r="74">
      <c r="A74" s="17" t="n"/>
      <c r="B74" s="17" t="n"/>
      <c r="C74" s="121" t="n"/>
      <c r="D74" s="18" t="n"/>
      <c r="E74" s="122" t="n"/>
      <c r="F74" s="120" t="str">
        <f>IF(AND(ISNUMBER(D74),ISNUMBER(E74)),D74*E74,"")</f>
        <v/>
      </c>
      <c r="G74" s="19" t="n"/>
      <c r="H74" s="21" t="n"/>
    </row>
    <row r="75">
      <c r="A75" s="17" t="n"/>
      <c r="B75" s="17" t="n"/>
      <c r="C75" s="121" t="n"/>
      <c r="D75" s="18" t="n"/>
      <c r="E75" s="122" t="n"/>
      <c r="F75" s="120" t="str">
        <f>IF(AND(ISNUMBER(D75),ISNUMBER(E75)),D75*E75,"")</f>
        <v/>
      </c>
      <c r="G75" s="19" t="n"/>
      <c r="H75" s="21" t="n"/>
    </row>
    <row r="76">
      <c r="A76" s="17" t="n"/>
      <c r="B76" s="17" t="n"/>
      <c r="C76" s="121" t="n"/>
      <c r="D76" s="18" t="n"/>
      <c r="E76" s="122" t="n"/>
      <c r="F76" s="120" t="str">
        <f>IF(AND(ISNUMBER(D76),ISNUMBER(E76)),D76*E76,"")</f>
        <v/>
      </c>
      <c r="G76" s="19" t="n"/>
      <c r="H76" s="21" t="n"/>
    </row>
    <row r="77">
      <c r="A77" s="17" t="n"/>
      <c r="B77" s="17" t="n"/>
      <c r="C77" s="121" t="n"/>
      <c r="D77" s="18" t="n"/>
      <c r="E77" s="122" t="n"/>
      <c r="F77" s="120" t="str">
        <f>IF(AND(ISNUMBER(D77),ISNUMBER(E77)),D77*E77,"")</f>
        <v/>
      </c>
      <c r="G77" s="19" t="n"/>
      <c r="H77" s="21" t="n"/>
    </row>
    <row r="78">
      <c r="A78" s="17" t="n"/>
      <c r="B78" s="17" t="n"/>
      <c r="C78" s="121" t="n"/>
      <c r="D78" s="18" t="n"/>
      <c r="E78" s="122" t="n"/>
      <c r="F78" s="120" t="str">
        <f>IF(AND(ISNUMBER(D78),ISNUMBER(E78)),D78*E78,"")</f>
        <v/>
      </c>
      <c r="G78" s="19" t="n"/>
      <c r="H78" s="21" t="n"/>
    </row>
    <row r="79">
      <c r="A79" s="17" t="n"/>
      <c r="B79" s="17" t="n"/>
      <c r="C79" s="121" t="n"/>
      <c r="D79" s="18" t="n"/>
      <c r="E79" s="122" t="n"/>
      <c r="F79" s="120" t="str">
        <f>IF(AND(ISNUMBER(D79),ISNUMBER(E79)),D79*E79,"")</f>
        <v/>
      </c>
      <c r="G79" s="19" t="n"/>
      <c r="H79" s="21" t="n"/>
    </row>
    <row r="80">
      <c r="A80" s="17" t="n"/>
      <c r="B80" s="17" t="n"/>
      <c r="C80" s="121" t="n"/>
      <c r="D80" s="18" t="n"/>
      <c r="E80" s="122" t="n"/>
      <c r="F80" s="120" t="str">
        <f>IF(AND(ISNUMBER(D80),ISNUMBER(E80)),D80*E80,"")</f>
        <v/>
      </c>
      <c r="G80" s="19" t="n"/>
      <c r="H80" s="21" t="n"/>
    </row>
    <row r="81">
      <c r="A81" s="17" t="n"/>
      <c r="B81" s="17" t="n"/>
      <c r="C81" s="121" t="n"/>
      <c r="D81" s="18" t="n"/>
      <c r="E81" s="122" t="n"/>
      <c r="F81" s="120" t="str">
        <f>IF(AND(ISNUMBER(D81),ISNUMBER(E81)),D81*E81,"")</f>
        <v/>
      </c>
      <c r="G81" s="19" t="n"/>
      <c r="H81" s="21" t="n"/>
    </row>
    <row r="82">
      <c r="A82" s="17" t="n"/>
      <c r="B82" s="17" t="n"/>
      <c r="C82" s="121" t="n"/>
      <c r="D82" s="18" t="n"/>
      <c r="E82" s="122" t="n"/>
      <c r="F82" s="120" t="str">
        <f>IF(AND(ISNUMBER(D82),ISNUMBER(E82)),D82*E82,"")</f>
        <v/>
      </c>
      <c r="G82" s="19" t="n"/>
      <c r="H82" s="21" t="n"/>
    </row>
    <row r="83">
      <c r="A83" s="17" t="n"/>
      <c r="B83" s="17" t="n"/>
      <c r="C83" s="121" t="n"/>
      <c r="D83" s="18" t="n"/>
      <c r="E83" s="122" t="n"/>
      <c r="F83" s="120" t="str">
        <f>IF(AND(ISNUMBER(D83),ISNUMBER(E83)),D83*E83,"")</f>
        <v/>
      </c>
      <c r="G83" s="19" t="n"/>
      <c r="H83" s="21" t="n"/>
    </row>
    <row r="84">
      <c r="A84" s="17" t="n"/>
      <c r="B84" s="17" t="n"/>
      <c r="C84" s="121" t="n"/>
      <c r="D84" s="18" t="n"/>
      <c r="E84" s="122" t="n"/>
      <c r="F84" s="120" t="str">
        <f>IF(AND(ISNUMBER(D84),ISNUMBER(E84)),D84*E84,"")</f>
        <v/>
      </c>
      <c r="G84" s="19" t="n"/>
      <c r="H84" s="21" t="n"/>
    </row>
    <row r="85">
      <c r="A85" s="17" t="n"/>
      <c r="B85" s="17" t="n"/>
      <c r="C85" s="121" t="n"/>
      <c r="D85" s="18" t="n"/>
      <c r="E85" s="122" t="n"/>
      <c r="F85" s="120" t="str">
        <f>IF(AND(ISNUMBER(D85),ISNUMBER(E85)),D85*E85,"")</f>
        <v/>
      </c>
      <c r="G85" s="19" t="n"/>
      <c r="H85" s="21" t="n"/>
    </row>
    <row r="86">
      <c r="A86" s="17" t="n"/>
      <c r="B86" s="17" t="n"/>
      <c r="C86" s="121" t="n"/>
      <c r="D86" s="18" t="n"/>
      <c r="E86" s="122" t="n"/>
      <c r="F86" s="120" t="str">
        <f>IF(AND(ISNUMBER(D86),ISNUMBER(E86)),D86*E86,"")</f>
        <v/>
      </c>
      <c r="G86" s="19" t="n"/>
      <c r="H86" s="21" t="n"/>
    </row>
    <row r="87">
      <c r="A87" s="17" t="n"/>
      <c r="B87" s="17" t="n"/>
      <c r="C87" s="121" t="n"/>
      <c r="D87" s="18" t="n"/>
      <c r="E87" s="122" t="n"/>
      <c r="F87" s="120" t="str">
        <f>IF(AND(ISNUMBER(D87),ISNUMBER(E87)),D87*E87,"")</f>
        <v/>
      </c>
      <c r="G87" s="19" t="n"/>
      <c r="H87" s="21" t="n"/>
    </row>
    <row r="88">
      <c r="A88" s="17" t="n"/>
      <c r="B88" s="17" t="n"/>
      <c r="C88" s="121" t="n"/>
      <c r="D88" s="18" t="n"/>
      <c r="E88" s="122" t="n"/>
      <c r="F88" s="120" t="str">
        <f>IF(AND(ISNUMBER(D88),ISNUMBER(E88)),D88*E88,"")</f>
        <v/>
      </c>
      <c r="G88" s="19" t="n"/>
      <c r="H88" s="21" t="n"/>
    </row>
    <row r="89">
      <c r="A89" s="17" t="n"/>
      <c r="B89" s="17" t="n"/>
      <c r="C89" s="121" t="n"/>
      <c r="D89" s="18" t="n"/>
      <c r="E89" s="122" t="n"/>
      <c r="F89" s="120" t="str">
        <f>IF(AND(ISNUMBER(D89),ISNUMBER(E89)),D89*E89,"")</f>
        <v/>
      </c>
      <c r="G89" s="19" t="n"/>
      <c r="H89" s="21" t="n"/>
    </row>
    <row r="90">
      <c r="A90" s="17" t="n"/>
      <c r="B90" s="17" t="n"/>
      <c r="C90" s="121" t="n"/>
      <c r="D90" s="18" t="n"/>
      <c r="E90" s="122" t="n"/>
      <c r="F90" s="120" t="str">
        <f>IF(AND(ISNUMBER(D90),ISNUMBER(E90)),D90*E90,"")</f>
        <v/>
      </c>
      <c r="G90" s="19" t="n"/>
      <c r="H90" s="21" t="n"/>
    </row>
    <row r="91">
      <c r="A91" s="17" t="n"/>
      <c r="B91" s="17" t="n"/>
      <c r="C91" s="121" t="n"/>
      <c r="D91" s="18" t="n"/>
      <c r="E91" s="122" t="n"/>
      <c r="F91" s="120" t="str">
        <f>IF(AND(ISNUMBER(D91),ISNUMBER(E91)),D91*E91,"")</f>
        <v/>
      </c>
      <c r="G91" s="19" t="n"/>
      <c r="H91" s="21" t="n"/>
    </row>
    <row r="92">
      <c r="A92" s="17" t="n"/>
      <c r="B92" s="17" t="n"/>
      <c r="C92" s="121" t="n"/>
      <c r="D92" s="18" t="n"/>
      <c r="E92" s="122" t="n"/>
      <c r="F92" s="120" t="str">
        <f>IF(AND(ISNUMBER(D92),ISNUMBER(E92)),D92*E92,"")</f>
        <v/>
      </c>
      <c r="G92" s="19" t="n"/>
      <c r="H92" s="21" t="n"/>
    </row>
    <row r="93">
      <c r="A93" s="17" t="n"/>
      <c r="B93" s="17" t="n"/>
      <c r="C93" s="121" t="n"/>
      <c r="D93" s="18" t="n"/>
      <c r="E93" s="122" t="n"/>
      <c r="F93" s="120" t="str">
        <f>IF(AND(ISNUMBER(D93),ISNUMBER(E93)),D93*E93,"")</f>
        <v/>
      </c>
      <c r="G93" s="19" t="n"/>
      <c r="H93" s="21" t="n"/>
    </row>
    <row r="94">
      <c r="A94" s="17" t="n"/>
      <c r="B94" s="17" t="n"/>
      <c r="C94" s="121" t="n"/>
      <c r="D94" s="18" t="n"/>
      <c r="E94" s="122" t="n"/>
      <c r="F94" s="120" t="str">
        <f>IF(AND(ISNUMBER(D94),ISNUMBER(E94)),D94*E94,"")</f>
        <v/>
      </c>
      <c r="G94" s="19" t="n"/>
      <c r="H94" s="21" t="n"/>
    </row>
    <row r="95">
      <c r="A95" s="17" t="n"/>
      <c r="B95" s="17" t="n"/>
      <c r="C95" s="121" t="n"/>
      <c r="D95" s="18" t="n"/>
      <c r="E95" s="122" t="n"/>
      <c r="F95" s="120" t="str">
        <f>IF(AND(ISNUMBER(D95),ISNUMBER(E95)),D95*E95,"")</f>
        <v/>
      </c>
      <c r="G95" s="19" t="n"/>
      <c r="H95" s="21" t="n"/>
    </row>
    <row r="96">
      <c r="A96" s="17" t="n"/>
      <c r="B96" s="17" t="n"/>
      <c r="C96" s="121" t="n"/>
      <c r="D96" s="18" t="n"/>
      <c r="E96" s="122" t="n"/>
      <c r="F96" s="120" t="str">
        <f>IF(AND(ISNUMBER(D96),ISNUMBER(E96)),D96*E96,"")</f>
        <v/>
      </c>
      <c r="G96" s="19" t="n"/>
      <c r="H96" s="21" t="n"/>
    </row>
    <row r="97">
      <c r="A97" s="17" t="n"/>
      <c r="B97" s="17" t="n"/>
      <c r="C97" s="121" t="n"/>
      <c r="D97" s="18" t="n"/>
      <c r="E97" s="122" t="n"/>
      <c r="F97" s="120" t="str">
        <f>IF(AND(ISNUMBER(D97),ISNUMBER(E97)),D97*E97,"")</f>
        <v/>
      </c>
      <c r="G97" s="19" t="n"/>
      <c r="H97" s="21" t="n"/>
    </row>
    <row r="98">
      <c r="A98" s="17" t="n"/>
      <c r="B98" s="17" t="n"/>
      <c r="C98" s="121" t="n"/>
      <c r="D98" s="18" t="n"/>
      <c r="E98" s="122" t="n"/>
      <c r="F98" s="120" t="str">
        <f>IF(AND(ISNUMBER(D98),ISNUMBER(E98)),D98*E98,"")</f>
        <v/>
      </c>
      <c r="G98" s="19" t="n"/>
      <c r="H98" s="21" t="n"/>
    </row>
    <row r="99">
      <c r="A99" s="17" t="n"/>
      <c r="B99" s="17" t="n"/>
      <c r="C99" s="121" t="n"/>
      <c r="D99" s="18" t="n"/>
      <c r="E99" s="122" t="n"/>
      <c r="F99" s="120" t="str">
        <f>IF(AND(ISNUMBER(D99),ISNUMBER(E99)),D99*E99,"")</f>
        <v/>
      </c>
      <c r="G99" s="19" t="n"/>
      <c r="H99" s="21" t="n"/>
    </row>
    <row r="100">
      <c r="A100" s="17" t="n"/>
      <c r="B100" s="17" t="n"/>
      <c r="C100" s="121" t="n"/>
      <c r="D100" s="18" t="n"/>
      <c r="E100" s="122" t="n"/>
      <c r="F100" s="120" t="str">
        <f>IF(AND(ISNUMBER(D100),ISNUMBER(E100)),D100*E100,"")</f>
        <v/>
      </c>
      <c r="G100" s="19" t="n"/>
      <c r="H100" s="21" t="n"/>
    </row>
    <row r="101">
      <c r="A101" s="17" t="n"/>
      <c r="B101" s="17" t="n"/>
      <c r="C101" s="121" t="n"/>
      <c r="D101" s="18" t="n"/>
      <c r="E101" s="122" t="n"/>
      <c r="F101" s="120" t="str">
        <f>IF(AND(ISNUMBER(D101),ISNUMBER(E101)),D101*E101,"")</f>
        <v/>
      </c>
      <c r="G101" s="19" t="n"/>
      <c r="H101" s="21" t="n"/>
    </row>
    <row r="102">
      <c r="A102" s="17" t="n"/>
      <c r="B102" s="17" t="n"/>
      <c r="C102" s="121" t="n"/>
      <c r="D102" s="18" t="n"/>
      <c r="E102" s="122" t="n"/>
      <c r="F102" s="120" t="str">
        <f>IF(AND(ISNUMBER(D102),ISNUMBER(E102)),D102*E102,"")</f>
        <v/>
      </c>
      <c r="G102" s="19" t="n"/>
      <c r="H102" s="21" t="n"/>
    </row>
    <row r="103">
      <c r="A103" s="17" t="n"/>
      <c r="B103" s="17" t="n"/>
      <c r="C103" s="121" t="n"/>
      <c r="D103" s="18" t="n"/>
      <c r="E103" s="122" t="n"/>
      <c r="F103" s="120" t="str">
        <f>IF(AND(ISNUMBER(D103),ISNUMBER(E103)),D103*E103,"")</f>
        <v/>
      </c>
      <c r="G103" s="19" t="n"/>
      <c r="H103" s="21" t="n"/>
    </row>
    <row r="104">
      <c r="A104" s="17" t="n"/>
      <c r="B104" s="17" t="n"/>
      <c r="C104" s="121" t="n"/>
      <c r="D104" s="18" t="n"/>
      <c r="E104" s="122" t="n"/>
      <c r="F104" s="120" t="str">
        <f>IF(AND(ISNUMBER(D104),ISNUMBER(E104)),D104*E104,"")</f>
        <v/>
      </c>
      <c r="G104" s="19" t="n"/>
      <c r="H104" s="21" t="n"/>
    </row>
    <row r="105">
      <c r="A105" s="17" t="n"/>
      <c r="B105" s="17" t="n"/>
      <c r="C105" s="121" t="n"/>
      <c r="D105" s="18" t="n"/>
      <c r="E105" s="122" t="n"/>
      <c r="F105" s="120" t="str">
        <f>IF(AND(ISNUMBER(D105),ISNUMBER(E105)),D105*E105,"")</f>
        <v/>
      </c>
      <c r="G105" s="19" t="n"/>
      <c r="H105" s="21" t="n"/>
    </row>
    <row r="106">
      <c r="A106" s="17" t="n"/>
      <c r="B106" s="17" t="n"/>
      <c r="C106" s="121" t="n"/>
      <c r="D106" s="18" t="n"/>
      <c r="E106" s="122" t="n"/>
      <c r="F106" s="120" t="str">
        <f>IF(AND(ISNUMBER(D106),ISNUMBER(E106)),D106*E106,"")</f>
        <v/>
      </c>
      <c r="G106" s="19" t="n"/>
      <c r="H106" s="21" t="n"/>
    </row>
    <row r="107">
      <c r="A107" s="17" t="n"/>
      <c r="B107" s="17" t="n"/>
      <c r="C107" s="121" t="n"/>
      <c r="D107" s="18" t="n"/>
      <c r="E107" s="122" t="n"/>
      <c r="F107" s="120" t="str">
        <f>IF(AND(ISNUMBER(D107),ISNUMBER(E107)),D107*E107,"")</f>
        <v/>
      </c>
      <c r="G107" s="19" t="n"/>
      <c r="H107" s="21" t="n"/>
    </row>
    <row r="108">
      <c r="A108" s="17" t="n"/>
      <c r="B108" s="17" t="n"/>
      <c r="C108" s="121" t="n"/>
      <c r="D108" s="18" t="n"/>
      <c r="E108" s="122" t="n"/>
      <c r="F108" s="120" t="str">
        <f>IF(AND(ISNUMBER(D108),ISNUMBER(E108)),D108*E108,"")</f>
        <v/>
      </c>
      <c r="G108" s="19" t="n"/>
      <c r="H108" s="21" t="n"/>
    </row>
    <row r="109">
      <c r="A109" s="17" t="n"/>
      <c r="B109" s="17" t="n"/>
      <c r="C109" s="121" t="n"/>
      <c r="D109" s="18" t="n"/>
      <c r="E109" s="122" t="n"/>
      <c r="F109" s="120" t="str">
        <f>IF(AND(ISNUMBER(D109),ISNUMBER(E109)),D109*E109,"")</f>
        <v/>
      </c>
      <c r="G109" s="19" t="n"/>
      <c r="H109" s="21" t="n"/>
    </row>
    <row r="110">
      <c r="A110" s="17" t="n"/>
      <c r="B110" s="17" t="n"/>
      <c r="C110" s="121" t="n"/>
      <c r="D110" s="18" t="n"/>
      <c r="E110" s="122" t="n"/>
      <c r="F110" s="120" t="str">
        <f>IF(AND(ISNUMBER(D110),ISNUMBER(E110)),D110*E110,"")</f>
        <v/>
      </c>
      <c r="G110" s="19" t="n"/>
      <c r="H110" s="21" t="n"/>
    </row>
    <row r="111">
      <c r="A111" s="17" t="n"/>
      <c r="B111" s="17" t="n"/>
      <c r="C111" s="121" t="n"/>
      <c r="D111" s="18" t="n"/>
      <c r="E111" s="122" t="n"/>
      <c r="F111" s="120" t="str">
        <f>IF(AND(ISNUMBER(D111),ISNUMBER(E111)),D111*E111,"")</f>
        <v/>
      </c>
      <c r="G111" s="19" t="n"/>
      <c r="H111" s="21" t="n"/>
    </row>
    <row r="112">
      <c r="A112" s="17" t="n"/>
      <c r="B112" s="17" t="n"/>
      <c r="C112" s="121" t="n"/>
      <c r="D112" s="18" t="n"/>
      <c r="E112" s="122" t="n"/>
      <c r="F112" s="120" t="str">
        <f>IF(AND(ISNUMBER(D112),ISNUMBER(E112)),D112*E112,"")</f>
        <v/>
      </c>
      <c r="G112" s="19" t="n"/>
      <c r="H112" s="21" t="n"/>
    </row>
    <row r="113">
      <c r="A113" s="17" t="n"/>
      <c r="B113" s="17" t="n"/>
      <c r="C113" s="121" t="n"/>
      <c r="D113" s="18" t="n"/>
      <c r="E113" s="122" t="n"/>
      <c r="F113" s="120" t="str">
        <f>IF(AND(ISNUMBER(D113),ISNUMBER(E113)),D113*E113,"")</f>
        <v/>
      </c>
      <c r="G113" s="19" t="n"/>
      <c r="H113" s="21" t="n"/>
    </row>
    <row r="114">
      <c r="A114" s="17" t="n"/>
      <c r="B114" s="17" t="n"/>
      <c r="C114" s="121" t="n"/>
      <c r="D114" s="18" t="n"/>
      <c r="E114" s="122" t="n"/>
      <c r="F114" s="120" t="str">
        <f>IF(AND(ISNUMBER(D114),ISNUMBER(E114)),D114*E114,"")</f>
        <v/>
      </c>
      <c r="G114" s="19" t="n"/>
      <c r="H114" s="21" t="n"/>
    </row>
    <row r="115">
      <c r="A115" s="17" t="n"/>
      <c r="B115" s="17" t="n"/>
      <c r="C115" s="121" t="n"/>
      <c r="D115" s="18" t="n"/>
      <c r="E115" s="122" t="n"/>
      <c r="F115" s="120" t="str">
        <f>IF(AND(ISNUMBER(D115),ISNUMBER(E115)),D115*E115,"")</f>
        <v/>
      </c>
      <c r="G115" s="19" t="n"/>
      <c r="H115" s="21" t="n"/>
    </row>
    <row r="116">
      <c r="A116" s="17" t="n"/>
      <c r="B116" s="17" t="n"/>
      <c r="C116" s="121" t="n"/>
      <c r="D116" s="18" t="n"/>
      <c r="E116" s="122" t="n"/>
      <c r="F116" s="120" t="str">
        <f>IF(AND(ISNUMBER(D116),ISNUMBER(E116)),D116*E116,"")</f>
        <v/>
      </c>
      <c r="G116" s="19" t="n"/>
      <c r="H116" s="21" t="n"/>
    </row>
    <row r="117">
      <c r="A117" s="17" t="n"/>
      <c r="B117" s="17" t="n"/>
      <c r="C117" s="121" t="n"/>
      <c r="D117" s="18" t="n"/>
      <c r="E117" s="122" t="n"/>
      <c r="F117" s="120" t="str">
        <f>IF(AND(ISNUMBER(D117),ISNUMBER(E117)),D117*E117,"")</f>
        <v/>
      </c>
      <c r="G117" s="19" t="n"/>
      <c r="H117" s="21" t="n"/>
    </row>
    <row r="118">
      <c r="A118" s="17" t="n"/>
      <c r="B118" s="17" t="n"/>
      <c r="C118" s="121" t="n"/>
      <c r="D118" s="18" t="n"/>
      <c r="E118" s="122" t="n"/>
      <c r="F118" s="120" t="str">
        <f>IF(AND(ISNUMBER(D118),ISNUMBER(E118)),D118*E118,"")</f>
        <v/>
      </c>
      <c r="G118" s="19" t="n"/>
      <c r="H118" s="21" t="n"/>
    </row>
    <row r="119">
      <c r="A119" s="17" t="n"/>
      <c r="B119" s="17" t="n"/>
      <c r="C119" s="121" t="n"/>
      <c r="D119" s="18" t="n"/>
      <c r="E119" s="122" t="n"/>
      <c r="F119" s="120" t="str">
        <f>IF(AND(ISNUMBER(D119),ISNUMBER(E119)),D119*E119,"")</f>
        <v/>
      </c>
      <c r="G119" s="19" t="n"/>
      <c r="H119" s="21" t="n"/>
    </row>
    <row r="120">
      <c r="A120" s="17" t="n"/>
      <c r="B120" s="17" t="n"/>
      <c r="C120" s="121" t="n"/>
      <c r="D120" s="18" t="n"/>
      <c r="E120" s="122" t="n"/>
      <c r="F120" s="120" t="str">
        <f>IF(AND(ISNUMBER(D120),ISNUMBER(E120)),D120*E120,"")</f>
        <v/>
      </c>
      <c r="G120" s="19" t="n"/>
      <c r="H120" s="21" t="n"/>
    </row>
    <row r="121">
      <c r="A121" s="17" t="n"/>
      <c r="B121" s="17" t="n"/>
      <c r="C121" s="121" t="n"/>
      <c r="D121" s="18" t="n"/>
      <c r="E121" s="122" t="n"/>
      <c r="F121" s="120" t="str">
        <f>IF(AND(ISNUMBER(D121),ISNUMBER(E121)),D121*E121,"")</f>
        <v/>
      </c>
      <c r="G121" s="19" t="n"/>
      <c r="H121" s="21" t="n"/>
    </row>
    <row r="122">
      <c r="A122" s="17" t="n"/>
      <c r="B122" s="17" t="n"/>
      <c r="C122" s="121" t="n"/>
      <c r="D122" s="18" t="n"/>
      <c r="E122" s="122" t="n"/>
      <c r="F122" s="120" t="str">
        <f>IF(AND(ISNUMBER(D122),ISNUMBER(E122)),D122*E122,"")</f>
        <v/>
      </c>
      <c r="G122" s="19" t="n"/>
      <c r="H122" s="21" t="n"/>
    </row>
    <row r="123">
      <c r="A123" s="17" t="n"/>
      <c r="B123" s="17" t="n"/>
      <c r="C123" s="121" t="n"/>
      <c r="D123" s="18" t="n"/>
      <c r="E123" s="122" t="n"/>
      <c r="F123" s="120" t="str">
        <f>IF(AND(ISNUMBER(D123),ISNUMBER(E123)),D123*E123,"")</f>
        <v/>
      </c>
      <c r="G123" s="19" t="n"/>
      <c r="H123" s="21" t="n"/>
    </row>
    <row r="124">
      <c r="A124" s="17" t="n"/>
      <c r="B124" s="17" t="n"/>
      <c r="C124" s="121" t="n"/>
      <c r="D124" s="18" t="n"/>
      <c r="E124" s="122" t="n"/>
      <c r="F124" s="120" t="str">
        <f>IF(AND(ISNUMBER(D124),ISNUMBER(E124)),D124*E124,"")</f>
        <v/>
      </c>
      <c r="G124" s="19" t="n"/>
      <c r="H124" s="21" t="n"/>
    </row>
    <row r="125">
      <c r="A125" s="17" t="n"/>
      <c r="B125" s="17" t="n"/>
      <c r="C125" s="121" t="n"/>
      <c r="D125" s="18" t="n"/>
      <c r="E125" s="122" t="n"/>
      <c r="F125" s="120" t="str">
        <f>IF(AND(ISNUMBER(D125),ISNUMBER(E125)),D125*E125,"")</f>
        <v/>
      </c>
      <c r="G125" s="19" t="n"/>
      <c r="H125" s="21" t="n"/>
    </row>
    <row r="126">
      <c r="A126" s="17" t="n"/>
      <c r="B126" s="17" t="n"/>
      <c r="C126" s="121" t="n"/>
      <c r="D126" s="18" t="n"/>
      <c r="E126" s="122" t="n"/>
      <c r="F126" s="120" t="str">
        <f>IF(AND(ISNUMBER(D126),ISNUMBER(E126)),D126*E126,"")</f>
        <v/>
      </c>
      <c r="G126" s="19" t="n"/>
      <c r="H126" s="21" t="n"/>
    </row>
    <row r="127">
      <c r="A127" s="17" t="n"/>
      <c r="B127" s="17" t="n"/>
      <c r="C127" s="121" t="n"/>
      <c r="D127" s="18" t="n"/>
      <c r="E127" s="122" t="n"/>
      <c r="F127" s="120" t="str">
        <f>IF(AND(ISNUMBER(D127),ISNUMBER(E127)),D127*E127,"")</f>
        <v/>
      </c>
      <c r="G127" s="19" t="n"/>
      <c r="H127" s="21" t="n"/>
    </row>
    <row r="128">
      <c r="A128" s="17" t="n"/>
      <c r="B128" s="17" t="n"/>
      <c r="C128" s="121" t="n"/>
      <c r="D128" s="18" t="n"/>
      <c r="E128" s="122" t="n"/>
      <c r="F128" s="120" t="str">
        <f>IF(AND(ISNUMBER(D128),ISNUMBER(E128)),D128*E128,"")</f>
        <v/>
      </c>
      <c r="G128" s="19" t="n"/>
      <c r="H128" s="21" t="n"/>
    </row>
    <row r="129">
      <c r="A129" s="17" t="n"/>
      <c r="B129" s="17" t="n"/>
      <c r="C129" s="121" t="n"/>
      <c r="D129" s="18" t="n"/>
      <c r="E129" s="122" t="n"/>
      <c r="F129" s="120" t="str">
        <f>IF(AND(ISNUMBER(D129),ISNUMBER(E129)),D129*E129,"")</f>
        <v/>
      </c>
      <c r="G129" s="19" t="n"/>
      <c r="H129" s="21" t="n"/>
    </row>
    <row r="130">
      <c r="A130" s="17" t="n"/>
      <c r="B130" s="17" t="n"/>
      <c r="C130" s="121" t="n"/>
      <c r="D130" s="18" t="n"/>
      <c r="E130" s="122" t="n"/>
      <c r="F130" s="120" t="str">
        <f>IF(AND(ISNUMBER(D130),ISNUMBER(E130)),D130*E130,"")</f>
        <v/>
      </c>
      <c r="G130" s="19" t="n"/>
      <c r="H130" s="21" t="n"/>
    </row>
    <row r="131">
      <c r="A131" s="17" t="n"/>
      <c r="B131" s="17" t="n"/>
      <c r="C131" s="121" t="n"/>
      <c r="D131" s="18" t="n"/>
      <c r="E131" s="122" t="n"/>
      <c r="F131" s="120" t="str">
        <f>IF(AND(ISNUMBER(D131),ISNUMBER(E131)),D131*E131,"")</f>
        <v/>
      </c>
      <c r="G131" s="19" t="n"/>
      <c r="H131" s="21" t="n"/>
    </row>
    <row r="132">
      <c r="A132" s="17" t="n"/>
      <c r="B132" s="17" t="n"/>
      <c r="C132" s="121" t="n"/>
      <c r="D132" s="18" t="n"/>
      <c r="E132" s="122" t="n"/>
      <c r="F132" s="120" t="str">
        <f>IF(AND(ISNUMBER(D132),ISNUMBER(E132)),D132*E132,"")</f>
        <v/>
      </c>
      <c r="G132" s="19" t="n"/>
      <c r="H132" s="21" t="n"/>
    </row>
    <row r="133">
      <c r="A133" s="17" t="n"/>
      <c r="B133" s="17" t="n"/>
      <c r="C133" s="121" t="n"/>
      <c r="D133" s="18" t="n"/>
      <c r="E133" s="122" t="n"/>
      <c r="F133" s="120" t="str">
        <f>IF(AND(ISNUMBER(D133),ISNUMBER(E133)),D133*E133,"")</f>
        <v/>
      </c>
      <c r="G133" s="19" t="n"/>
      <c r="H133" s="21" t="n"/>
    </row>
    <row r="134">
      <c r="A134" s="17" t="n"/>
      <c r="B134" s="17" t="n"/>
      <c r="C134" s="121" t="n"/>
      <c r="D134" s="18" t="n"/>
      <c r="E134" s="122" t="n"/>
      <c r="F134" s="120" t="str">
        <f>IF(AND(ISNUMBER(D134),ISNUMBER(E134)),D134*E134,"")</f>
        <v/>
      </c>
      <c r="G134" s="19" t="n"/>
      <c r="H134" s="21" t="n"/>
    </row>
    <row r="135">
      <c r="A135" s="17" t="n"/>
      <c r="B135" s="17" t="n"/>
      <c r="C135" s="121" t="n"/>
      <c r="D135" s="18" t="n"/>
      <c r="E135" s="122" t="n"/>
      <c r="F135" s="120" t="str">
        <f>IF(AND(ISNUMBER(D135),ISNUMBER(E135)),D135*E135,"")</f>
        <v/>
      </c>
      <c r="G135" s="19" t="n"/>
      <c r="H135" s="21" t="n"/>
    </row>
    <row r="136">
      <c r="A136" s="17" t="n"/>
      <c r="B136" s="17" t="n"/>
      <c r="C136" s="121" t="n"/>
      <c r="D136" s="18" t="n"/>
      <c r="E136" s="122" t="n"/>
      <c r="F136" s="120" t="str">
        <f>IF(AND(ISNUMBER(D136),ISNUMBER(E136)),D136*E136,"")</f>
        <v/>
      </c>
      <c r="G136" s="19" t="n"/>
      <c r="H136" s="21" t="n"/>
    </row>
    <row r="137">
      <c r="A137" s="17" t="n"/>
      <c r="B137" s="17" t="n"/>
      <c r="C137" s="121" t="n"/>
      <c r="D137" s="18" t="n"/>
      <c r="E137" s="122" t="n"/>
      <c r="F137" s="120" t="str">
        <f>IF(AND(ISNUMBER(D137),ISNUMBER(E137)),D137*E137,"")</f>
        <v/>
      </c>
      <c r="G137" s="19" t="n"/>
      <c r="H137" s="21" t="n"/>
    </row>
    <row r="138">
      <c r="A138" s="17" t="n"/>
      <c r="B138" s="17" t="n"/>
      <c r="C138" s="121" t="n"/>
      <c r="D138" s="18" t="n"/>
      <c r="E138" s="122" t="n"/>
      <c r="F138" s="120" t="str">
        <f>IF(AND(ISNUMBER(D138),ISNUMBER(E138)),D138*E138,"")</f>
        <v/>
      </c>
      <c r="G138" s="19" t="n"/>
      <c r="H138" s="21" t="n"/>
    </row>
    <row r="139">
      <c r="A139" s="17" t="n"/>
      <c r="B139" s="17" t="n"/>
      <c r="C139" s="121" t="n"/>
      <c r="D139" s="18" t="n"/>
      <c r="E139" s="122" t="n"/>
      <c r="F139" s="120" t="str">
        <f>IF(AND(ISNUMBER(D139),ISNUMBER(E139)),D139*E139,"")</f>
        <v/>
      </c>
      <c r="G139" s="19" t="n"/>
      <c r="H139" s="21" t="n"/>
    </row>
    <row r="140">
      <c r="A140" s="17" t="n"/>
      <c r="B140" s="17" t="n"/>
      <c r="C140" s="121" t="n"/>
      <c r="D140" s="18" t="n"/>
      <c r="E140" s="122" t="n"/>
      <c r="F140" s="120" t="str">
        <f>IF(AND(ISNUMBER(D140),ISNUMBER(E140)),D140*E140,"")</f>
        <v/>
      </c>
      <c r="G140" s="19" t="n"/>
      <c r="H140" s="21" t="n"/>
    </row>
    <row r="141">
      <c r="A141" s="17" t="n"/>
      <c r="B141" s="17" t="n"/>
      <c r="C141" s="121" t="n"/>
      <c r="D141" s="18" t="n"/>
      <c r="E141" s="122" t="n"/>
      <c r="F141" s="120" t="str">
        <f>IF(AND(ISNUMBER(D141),ISNUMBER(E141)),D141*E141,"")</f>
        <v/>
      </c>
      <c r="G141" s="19" t="n"/>
      <c r="H141" s="21" t="n"/>
    </row>
    <row r="142">
      <c r="A142" s="17" t="n"/>
      <c r="B142" s="17" t="n"/>
      <c r="C142" s="121" t="n"/>
      <c r="D142" s="18" t="n"/>
      <c r="E142" s="122" t="n"/>
      <c r="F142" s="120" t="str">
        <f>IF(AND(ISNUMBER(D142),ISNUMBER(E142)),D142*E142,"")</f>
        <v/>
      </c>
      <c r="G142" s="19" t="n"/>
      <c r="H142" s="21" t="n"/>
    </row>
    <row r="143">
      <c r="A143" s="17" t="n"/>
      <c r="B143" s="17" t="n"/>
      <c r="C143" s="121" t="n"/>
      <c r="D143" s="18" t="n"/>
      <c r="E143" s="122" t="n"/>
      <c r="F143" s="120" t="str">
        <f>IF(AND(ISNUMBER(D143),ISNUMBER(E143)),D143*E143,"")</f>
        <v/>
      </c>
      <c r="G143" s="19" t="n"/>
      <c r="H143" s="21" t="n"/>
    </row>
    <row r="144">
      <c r="A144" s="17" t="n"/>
      <c r="B144" s="17" t="n"/>
      <c r="C144" s="121" t="n"/>
      <c r="D144" s="18" t="n"/>
      <c r="E144" s="122" t="n"/>
      <c r="F144" s="120" t="str">
        <f>IF(AND(ISNUMBER(D144),ISNUMBER(E144)),D144*E144,"")</f>
        <v/>
      </c>
      <c r="G144" s="19" t="n"/>
      <c r="H144" s="21" t="n"/>
    </row>
    <row r="145">
      <c r="A145" s="17" t="n"/>
      <c r="B145" s="17" t="n"/>
      <c r="C145" s="121" t="n"/>
      <c r="D145" s="18" t="n"/>
      <c r="E145" s="122" t="n"/>
      <c r="F145" s="120" t="str">
        <f>IF(AND(ISNUMBER(D145),ISNUMBER(E145)),D145*E145,"")</f>
        <v/>
      </c>
      <c r="G145" s="19" t="n"/>
      <c r="H145" s="21" t="n"/>
    </row>
    <row r="146">
      <c r="A146" s="17" t="n"/>
      <c r="B146" s="17" t="n"/>
      <c r="C146" s="121" t="n"/>
      <c r="D146" s="18" t="n"/>
      <c r="E146" s="122" t="n"/>
      <c r="F146" s="120" t="str">
        <f>IF(AND(ISNUMBER(D146),ISNUMBER(E146)),D146*E146,"")</f>
        <v/>
      </c>
      <c r="G146" s="19" t="n"/>
      <c r="H146" s="21" t="n"/>
    </row>
    <row r="147">
      <c r="A147" s="17" t="n"/>
      <c r="B147" s="17" t="n"/>
      <c r="C147" s="121" t="n"/>
      <c r="D147" s="18" t="n"/>
      <c r="E147" s="122" t="n"/>
      <c r="F147" s="120" t="str">
        <f>IF(AND(ISNUMBER(D147),ISNUMBER(E147)),D147*E147,"")</f>
        <v/>
      </c>
      <c r="G147" s="19" t="n"/>
      <c r="H147" s="21" t="n"/>
    </row>
    <row r="148">
      <c r="A148" s="17" t="n"/>
      <c r="B148" s="17" t="n"/>
      <c r="C148" s="121" t="n"/>
      <c r="D148" s="18" t="n"/>
      <c r="E148" s="122" t="n"/>
      <c r="F148" s="120" t="str">
        <f>IF(AND(ISNUMBER(D148),ISNUMBER(E148)),D148*E148,"")</f>
        <v/>
      </c>
      <c r="G148" s="19" t="n"/>
      <c r="H148" s="21" t="n"/>
    </row>
    <row r="149">
      <c r="A149" s="17" t="n"/>
      <c r="B149" s="17" t="n"/>
      <c r="C149" s="121" t="n"/>
      <c r="D149" s="18" t="n"/>
      <c r="E149" s="122" t="n"/>
      <c r="F149" s="120" t="str">
        <f>IF(AND(ISNUMBER(D149),ISNUMBER(E149)),D149*E149,"")</f>
        <v/>
      </c>
      <c r="G149" s="19" t="n"/>
      <c r="H149" s="21" t="n"/>
    </row>
    <row r="150">
      <c r="A150" s="17" t="n"/>
      <c r="B150" s="17" t="n"/>
      <c r="C150" s="121" t="n"/>
      <c r="D150" s="18" t="n"/>
      <c r="E150" s="122" t="n"/>
      <c r="F150" s="120" t="str">
        <f>IF(AND(ISNUMBER(D150),ISNUMBER(E150)),D150*E150,"")</f>
        <v/>
      </c>
      <c r="G150" s="19" t="n"/>
      <c r="H150" s="21" t="n"/>
    </row>
    <row r="151">
      <c r="A151" s="17" t="n"/>
      <c r="B151" s="17" t="n"/>
      <c r="C151" s="121" t="n"/>
      <c r="D151" s="18" t="n"/>
      <c r="E151" s="122" t="n"/>
      <c r="F151" s="120" t="str">
        <f>IF(AND(ISNUMBER(D151),ISNUMBER(E151)),D151*E151,"")</f>
        <v/>
      </c>
      <c r="G151" s="19" t="n"/>
      <c r="H151" s="21" t="n"/>
    </row>
    <row r="152">
      <c r="A152" s="17" t="n"/>
      <c r="B152" s="17" t="n"/>
      <c r="C152" s="121" t="n"/>
      <c r="D152" s="18" t="n"/>
      <c r="E152" s="122" t="n"/>
      <c r="F152" s="120" t="str">
        <f>IF(AND(ISNUMBER(D152),ISNUMBER(E152)),D152*E152,"")</f>
        <v/>
      </c>
      <c r="G152" s="19" t="n"/>
      <c r="H152" s="21" t="n"/>
    </row>
    <row r="153">
      <c r="A153" s="17" t="n"/>
      <c r="B153" s="17" t="n"/>
      <c r="C153" s="121" t="n"/>
      <c r="D153" s="18" t="n"/>
      <c r="E153" s="122" t="n"/>
      <c r="F153" s="120" t="str">
        <f>IF(AND(ISNUMBER(D153),ISNUMBER(E153)),D153*E153,"")</f>
        <v/>
      </c>
      <c r="G153" s="19" t="n"/>
      <c r="H153" s="21" t="n"/>
    </row>
    <row r="154">
      <c r="A154" s="17" t="n"/>
      <c r="B154" s="17" t="n"/>
      <c r="C154" s="121" t="n"/>
      <c r="D154" s="18" t="n"/>
      <c r="E154" s="122" t="n"/>
      <c r="F154" s="120" t="str">
        <f>IF(AND(ISNUMBER(D154),ISNUMBER(E154)),D154*E154,"")</f>
        <v/>
      </c>
      <c r="G154" s="19" t="n"/>
      <c r="H154" s="21" t="n"/>
    </row>
    <row r="155">
      <c r="A155" s="17" t="n"/>
      <c r="B155" s="17" t="n"/>
      <c r="C155" s="121" t="n"/>
      <c r="D155" s="18" t="n"/>
      <c r="E155" s="122" t="n"/>
      <c r="F155" s="120" t="str">
        <f>IF(AND(ISNUMBER(D155),ISNUMBER(E155)),D155*E155,"")</f>
        <v/>
      </c>
      <c r="G155" s="19" t="n"/>
      <c r="H155" s="21" t="n"/>
    </row>
    <row r="156">
      <c r="A156" s="17" t="n"/>
      <c r="B156" s="17" t="n"/>
      <c r="C156" s="121" t="n"/>
      <c r="D156" s="18" t="n"/>
      <c r="E156" s="122" t="n"/>
      <c r="F156" s="120" t="str">
        <f>IF(AND(ISNUMBER(D156),ISNUMBER(E156)),D156*E156,"")</f>
        <v/>
      </c>
      <c r="G156" s="19" t="n"/>
      <c r="H156" s="21" t="n"/>
    </row>
    <row r="157">
      <c r="A157" s="17" t="n"/>
      <c r="B157" s="17" t="n"/>
      <c r="C157" s="121" t="n"/>
      <c r="D157" s="18" t="n"/>
      <c r="E157" s="122" t="n"/>
      <c r="F157" s="120" t="str">
        <f>IF(AND(ISNUMBER(D157),ISNUMBER(E157)),D157*E157,"")</f>
        <v/>
      </c>
      <c r="G157" s="19" t="n"/>
      <c r="H157" s="21" t="n"/>
    </row>
    <row r="158">
      <c r="A158" s="17" t="n"/>
      <c r="B158" s="17" t="n"/>
      <c r="C158" s="121" t="n"/>
      <c r="D158" s="18" t="n"/>
      <c r="E158" s="122" t="n"/>
      <c r="F158" s="120" t="str">
        <f>IF(AND(ISNUMBER(D158),ISNUMBER(E158)),D158*E158,"")</f>
        <v/>
      </c>
      <c r="G158" s="19" t="n"/>
      <c r="H158" s="21" t="n"/>
    </row>
    <row r="159">
      <c r="A159" s="17" t="n"/>
      <c r="B159" s="17" t="n"/>
      <c r="C159" s="121" t="n"/>
      <c r="D159" s="18" t="n"/>
      <c r="E159" s="122" t="n"/>
      <c r="F159" s="120" t="str">
        <f>IF(AND(ISNUMBER(D159),ISNUMBER(E159)),D159*E159,"")</f>
        <v/>
      </c>
      <c r="G159" s="19" t="n"/>
      <c r="H159" s="21" t="n"/>
    </row>
    <row r="160">
      <c r="A160" s="17" t="n"/>
      <c r="B160" s="17" t="n"/>
      <c r="C160" s="121" t="n"/>
      <c r="D160" s="18" t="n"/>
      <c r="E160" s="122" t="n"/>
      <c r="F160" s="120" t="str">
        <f>IF(AND(ISNUMBER(D160),ISNUMBER(E160)),D160*E160,"")</f>
        <v/>
      </c>
      <c r="G160" s="19" t="n"/>
      <c r="H160" s="21" t="n"/>
    </row>
    <row r="161">
      <c r="A161" s="17" t="n"/>
      <c r="B161" s="17" t="n"/>
      <c r="C161" s="121" t="n"/>
      <c r="D161" s="18" t="n"/>
      <c r="E161" s="122" t="n"/>
      <c r="F161" s="120" t="str">
        <f>IF(AND(ISNUMBER(D161),ISNUMBER(E161)),D161*E161,"")</f>
        <v/>
      </c>
      <c r="G161" s="19" t="n"/>
      <c r="H161" s="21" t="n"/>
    </row>
    <row r="162">
      <c r="A162" s="17" t="n"/>
      <c r="B162" s="17" t="n"/>
      <c r="C162" s="121" t="n"/>
      <c r="D162" s="18" t="n"/>
      <c r="E162" s="122" t="n"/>
      <c r="F162" s="120" t="str">
        <f>IF(AND(ISNUMBER(D162),ISNUMBER(E162)),D162*E162,"")</f>
        <v/>
      </c>
      <c r="G162" s="19" t="n"/>
      <c r="H162" s="21" t="n"/>
    </row>
    <row r="163">
      <c r="A163" s="17" t="n"/>
      <c r="B163" s="17" t="n"/>
      <c r="C163" s="121" t="n"/>
      <c r="D163" s="18" t="n"/>
      <c r="E163" s="122" t="n"/>
      <c r="F163" s="120" t="str">
        <f>IF(AND(ISNUMBER(D163),ISNUMBER(E163)),D163*E163,"")</f>
        <v/>
      </c>
      <c r="G163" s="19" t="n"/>
      <c r="H163" s="21" t="n"/>
    </row>
    <row r="164">
      <c r="A164" s="17" t="n"/>
      <c r="B164" s="17" t="n"/>
      <c r="C164" s="121" t="n"/>
      <c r="D164" s="18" t="n"/>
      <c r="E164" s="122" t="n"/>
      <c r="F164" s="120" t="str">
        <f>IF(AND(ISNUMBER(D164),ISNUMBER(E164)),D164*E164,"")</f>
        <v/>
      </c>
      <c r="G164" s="19" t="n"/>
      <c r="H164" s="21" t="n"/>
    </row>
    <row r="165">
      <c r="A165" s="17" t="n"/>
      <c r="B165" s="17" t="n"/>
      <c r="C165" s="121" t="n"/>
      <c r="D165" s="18" t="n"/>
      <c r="E165" s="122" t="n"/>
      <c r="F165" s="120" t="str">
        <f>IF(AND(ISNUMBER(D165),ISNUMBER(E165)),D165*E165,"")</f>
        <v/>
      </c>
      <c r="G165" s="19" t="n"/>
      <c r="H165" s="21" t="n"/>
    </row>
    <row r="166">
      <c r="A166" s="17" t="n"/>
      <c r="B166" s="17" t="n"/>
      <c r="C166" s="121" t="n"/>
      <c r="D166" s="18" t="n"/>
      <c r="E166" s="122" t="n"/>
      <c r="F166" s="120" t="str">
        <f>IF(AND(ISNUMBER(D166),ISNUMBER(E166)),D166*E166,"")</f>
        <v/>
      </c>
      <c r="G166" s="19" t="n"/>
      <c r="H166" s="21" t="n"/>
    </row>
    <row r="167">
      <c r="A167" s="17" t="n"/>
      <c r="B167" s="17" t="n"/>
      <c r="C167" s="121" t="n"/>
      <c r="D167" s="18" t="n"/>
      <c r="E167" s="122" t="n"/>
      <c r="F167" s="120" t="str">
        <f>IF(AND(ISNUMBER(D167),ISNUMBER(E167)),D167*E167,"")</f>
        <v/>
      </c>
      <c r="G167" s="19" t="n"/>
      <c r="H167" s="21" t="n"/>
    </row>
    <row r="168">
      <c r="A168" s="17" t="n"/>
      <c r="B168" s="17" t="n"/>
      <c r="C168" s="121" t="n"/>
      <c r="D168" s="18" t="n"/>
      <c r="E168" s="122" t="n"/>
      <c r="F168" s="120" t="str">
        <f>IF(AND(ISNUMBER(D168),ISNUMBER(E168)),D168*E168,"")</f>
        <v/>
      </c>
      <c r="G168" s="19" t="n"/>
      <c r="H168" s="21" t="n"/>
    </row>
    <row r="169">
      <c r="A169" s="17" t="n"/>
      <c r="B169" s="17" t="n"/>
      <c r="C169" s="121" t="n"/>
      <c r="D169" s="18" t="n"/>
      <c r="E169" s="122" t="n"/>
      <c r="F169" s="120" t="str">
        <f>IF(AND(ISNUMBER(D169),ISNUMBER(E169)),D169*E169,"")</f>
        <v/>
      </c>
      <c r="G169" s="19" t="n"/>
      <c r="H169" s="21" t="n"/>
    </row>
    <row r="170">
      <c r="A170" s="17" t="n"/>
      <c r="B170" s="17" t="n"/>
      <c r="C170" s="121" t="n"/>
      <c r="D170" s="18" t="n"/>
      <c r="E170" s="122" t="n"/>
      <c r="F170" s="120" t="str">
        <f>IF(AND(ISNUMBER(D170),ISNUMBER(E170)),D170*E170,"")</f>
        <v/>
      </c>
      <c r="G170" s="19" t="n"/>
      <c r="H170" s="21" t="n"/>
    </row>
    <row r="171">
      <c r="A171" s="17" t="n"/>
      <c r="B171" s="17" t="n"/>
      <c r="C171" s="121" t="n"/>
      <c r="D171" s="18" t="n"/>
      <c r="E171" s="122" t="n"/>
      <c r="F171" s="120" t="str">
        <f>IF(AND(ISNUMBER(D171),ISNUMBER(E171)),D171*E171,"")</f>
        <v/>
      </c>
      <c r="G171" s="19" t="n"/>
      <c r="H171" s="21" t="n"/>
    </row>
    <row r="172">
      <c r="A172" s="17" t="n"/>
      <c r="B172" s="17" t="n"/>
      <c r="C172" s="121" t="n"/>
      <c r="D172" s="18" t="n"/>
      <c r="E172" s="122" t="n"/>
      <c r="F172" s="120" t="str">
        <f>IF(AND(ISNUMBER(D172),ISNUMBER(E172)),D172*E172,"")</f>
        <v/>
      </c>
      <c r="G172" s="19" t="n"/>
      <c r="H172" s="21" t="n"/>
    </row>
    <row r="173">
      <c r="A173" s="17" t="n"/>
      <c r="B173" s="17" t="n"/>
      <c r="C173" s="121" t="n"/>
      <c r="D173" s="18" t="n"/>
      <c r="E173" s="122" t="n"/>
      <c r="F173" s="120" t="str">
        <f>IF(AND(ISNUMBER(D173),ISNUMBER(E173)),D173*E173,"")</f>
        <v/>
      </c>
      <c r="G173" s="19" t="n"/>
      <c r="H173" s="21" t="n"/>
    </row>
    <row r="174">
      <c r="A174" s="17" t="n"/>
      <c r="B174" s="17" t="n"/>
      <c r="C174" s="121" t="n"/>
      <c r="D174" s="18" t="n"/>
      <c r="E174" s="122" t="n"/>
      <c r="F174" s="120" t="str">
        <f>IF(AND(ISNUMBER(D174),ISNUMBER(E174)),D174*E174,"")</f>
        <v/>
      </c>
      <c r="G174" s="19" t="n"/>
      <c r="H174" s="21" t="n"/>
    </row>
    <row r="175">
      <c r="A175" s="17" t="n"/>
      <c r="B175" s="17" t="n"/>
      <c r="C175" s="121" t="n"/>
      <c r="D175" s="18" t="n"/>
      <c r="E175" s="122" t="n"/>
      <c r="F175" s="120" t="str">
        <f>IF(AND(ISNUMBER(D175),ISNUMBER(E175)),D175*E175,"")</f>
        <v/>
      </c>
      <c r="G175" s="19" t="n"/>
      <c r="H175" s="21" t="n"/>
    </row>
    <row r="176">
      <c r="A176" s="17" t="n"/>
      <c r="B176" s="17" t="n"/>
      <c r="C176" s="121" t="n"/>
      <c r="D176" s="18" t="n"/>
      <c r="E176" s="122" t="n"/>
      <c r="F176" s="120" t="str">
        <f>IF(AND(ISNUMBER(D176),ISNUMBER(E176)),D176*E176,"")</f>
        <v/>
      </c>
      <c r="G176" s="19" t="n"/>
      <c r="H176" s="21" t="n"/>
    </row>
    <row r="177">
      <c r="A177" s="17" t="n"/>
      <c r="B177" s="17" t="n"/>
      <c r="C177" s="121" t="n"/>
      <c r="D177" s="18" t="n"/>
      <c r="E177" s="122" t="n"/>
      <c r="F177" s="120" t="str">
        <f>IF(AND(ISNUMBER(D177),ISNUMBER(E177)),D177*E177,"")</f>
        <v/>
      </c>
      <c r="G177" s="19" t="n"/>
      <c r="H177" s="21" t="n"/>
    </row>
    <row r="178">
      <c r="A178" s="17" t="n"/>
      <c r="B178" s="17" t="n"/>
      <c r="C178" s="121" t="n"/>
      <c r="D178" s="18" t="n"/>
      <c r="E178" s="122" t="n"/>
      <c r="F178" s="120" t="str">
        <f>IF(AND(ISNUMBER(D178),ISNUMBER(E178)),D178*E178,"")</f>
        <v/>
      </c>
      <c r="G178" s="19" t="n"/>
      <c r="H178" s="21" t="n"/>
    </row>
    <row r="179">
      <c r="A179" s="17" t="n"/>
      <c r="B179" s="17" t="n"/>
      <c r="C179" s="121" t="n"/>
      <c r="D179" s="18" t="n"/>
      <c r="E179" s="122" t="n"/>
      <c r="F179" s="120" t="str">
        <f>IF(AND(ISNUMBER(D179),ISNUMBER(E179)),D179*E179,"")</f>
        <v/>
      </c>
      <c r="G179" s="19" t="n"/>
      <c r="H179" s="21" t="n"/>
    </row>
    <row r="180">
      <c r="A180" s="17" t="n"/>
      <c r="B180" s="17" t="n"/>
      <c r="C180" s="121" t="n"/>
      <c r="D180" s="18" t="n"/>
      <c r="E180" s="122" t="n"/>
      <c r="F180" s="120" t="str">
        <f>IF(AND(ISNUMBER(D180),ISNUMBER(E180)),D180*E180,"")</f>
        <v/>
      </c>
      <c r="G180" s="19" t="n"/>
      <c r="H180" s="21" t="n"/>
    </row>
    <row r="181">
      <c r="A181" s="17" t="n"/>
      <c r="B181" s="17" t="n"/>
      <c r="C181" s="121" t="n"/>
      <c r="D181" s="18" t="n"/>
      <c r="E181" s="122" t="n"/>
      <c r="F181" s="120" t="str">
        <f>IF(AND(ISNUMBER(D181),ISNUMBER(E181)),D181*E181,"")</f>
        <v/>
      </c>
      <c r="G181" s="19" t="n"/>
      <c r="H181" s="21" t="n"/>
    </row>
    <row r="182">
      <c r="A182" s="17" t="n"/>
      <c r="B182" s="17" t="n"/>
      <c r="C182" s="121" t="n"/>
      <c r="D182" s="18" t="n"/>
      <c r="E182" s="122" t="n"/>
      <c r="F182" s="120" t="str">
        <f>IF(AND(ISNUMBER(D182),ISNUMBER(E182)),D182*E182,"")</f>
        <v/>
      </c>
      <c r="G182" s="19" t="n"/>
      <c r="H182" s="21" t="n"/>
    </row>
    <row r="183">
      <c r="A183" s="17" t="n"/>
      <c r="B183" s="17" t="n"/>
      <c r="C183" s="121" t="n"/>
      <c r="D183" s="18" t="n"/>
      <c r="E183" s="122" t="n"/>
      <c r="F183" s="120" t="str">
        <f>IF(AND(ISNUMBER(D183),ISNUMBER(E183)),D183*E183,"")</f>
        <v/>
      </c>
      <c r="G183" s="19" t="n"/>
      <c r="H183" s="21" t="n"/>
    </row>
    <row r="184">
      <c r="A184" s="17" t="n"/>
      <c r="B184" s="17" t="n"/>
      <c r="C184" s="121" t="n"/>
      <c r="D184" s="18" t="n"/>
      <c r="E184" s="122" t="n"/>
      <c r="F184" s="120" t="str">
        <f>IF(AND(ISNUMBER(D184),ISNUMBER(E184)),D184*E184,"")</f>
        <v/>
      </c>
      <c r="G184" s="19" t="n"/>
      <c r="H184" s="21" t="n"/>
    </row>
    <row r="185">
      <c r="A185" s="17" t="n"/>
      <c r="B185" s="17" t="n"/>
      <c r="C185" s="121" t="n"/>
      <c r="D185" s="18" t="n"/>
      <c r="E185" s="122" t="n"/>
      <c r="F185" s="120" t="str">
        <f>IF(AND(ISNUMBER(D185),ISNUMBER(E185)),D185*E185,"")</f>
        <v/>
      </c>
      <c r="G185" s="19" t="n"/>
      <c r="H185" s="21" t="n"/>
    </row>
    <row r="186">
      <c r="A186" s="17" t="n"/>
      <c r="B186" s="17" t="n"/>
      <c r="C186" s="121" t="n"/>
      <c r="D186" s="18" t="n"/>
      <c r="E186" s="122" t="n"/>
      <c r="F186" s="120" t="str">
        <f>IF(AND(ISNUMBER(D186),ISNUMBER(E186)),D186*E186,"")</f>
        <v/>
      </c>
      <c r="G186" s="19" t="n"/>
      <c r="H186" s="21" t="n"/>
    </row>
    <row r="187">
      <c r="A187" s="17" t="n"/>
      <c r="B187" s="17" t="n"/>
      <c r="C187" s="121" t="n"/>
      <c r="D187" s="18" t="n"/>
      <c r="E187" s="122" t="n"/>
      <c r="F187" s="120" t="str">
        <f>IF(AND(ISNUMBER(D187),ISNUMBER(E187)),D187*E187,"")</f>
        <v/>
      </c>
      <c r="G187" s="19" t="n"/>
      <c r="H187" s="21" t="n"/>
    </row>
    <row r="188">
      <c r="A188" s="17" t="n"/>
      <c r="B188" s="17" t="n"/>
      <c r="C188" s="121" t="n"/>
      <c r="D188" s="18" t="n"/>
      <c r="E188" s="122" t="n"/>
      <c r="F188" s="120" t="str">
        <f>IF(AND(ISNUMBER(D188),ISNUMBER(E188)),D188*E188,"")</f>
        <v/>
      </c>
      <c r="G188" s="19" t="n"/>
      <c r="H188" s="21" t="n"/>
    </row>
    <row r="189">
      <c r="A189" s="17" t="n"/>
      <c r="B189" s="17" t="n"/>
      <c r="C189" s="121" t="n"/>
      <c r="D189" s="18" t="n"/>
      <c r="E189" s="122" t="n"/>
      <c r="F189" s="120" t="str">
        <f>IF(AND(ISNUMBER(D189),ISNUMBER(E189)),D189*E189,"")</f>
        <v/>
      </c>
      <c r="G189" s="19" t="n"/>
      <c r="H189" s="21" t="n"/>
    </row>
    <row r="190">
      <c r="A190" s="17" t="n"/>
      <c r="B190" s="17" t="n"/>
      <c r="C190" s="121" t="n"/>
      <c r="D190" s="18" t="n"/>
      <c r="E190" s="122" t="n"/>
      <c r="F190" s="120" t="str">
        <f>IF(AND(ISNUMBER(D190),ISNUMBER(E190)),D190*E190,"")</f>
        <v/>
      </c>
      <c r="G190" s="19" t="n"/>
      <c r="H190" s="21" t="n"/>
    </row>
    <row r="191">
      <c r="A191" s="17" t="n"/>
      <c r="B191" s="17" t="n"/>
      <c r="C191" s="121" t="n"/>
      <c r="D191" s="18" t="n"/>
      <c r="E191" s="122" t="n"/>
      <c r="F191" s="120" t="str">
        <f>IF(AND(ISNUMBER(D191),ISNUMBER(E191)),D191*E191,"")</f>
        <v/>
      </c>
      <c r="G191" s="19" t="n"/>
      <c r="H191" s="21" t="n"/>
    </row>
    <row r="192">
      <c r="A192" s="17" t="n"/>
      <c r="B192" s="17" t="n"/>
      <c r="C192" s="121" t="n"/>
      <c r="D192" s="18" t="n"/>
      <c r="E192" s="122" t="n"/>
      <c r="F192" s="120" t="str">
        <f>IF(AND(ISNUMBER(D192),ISNUMBER(E192)),D192*E192,"")</f>
        <v/>
      </c>
      <c r="G192" s="19" t="n"/>
      <c r="H192" s="21" t="n"/>
    </row>
    <row r="193">
      <c r="A193" s="17" t="n"/>
      <c r="B193" s="17" t="n"/>
      <c r="C193" s="121" t="n"/>
      <c r="D193" s="18" t="n"/>
      <c r="E193" s="122" t="n"/>
      <c r="F193" s="120" t="str">
        <f>IF(AND(ISNUMBER(D193),ISNUMBER(E193)),D193*E193,"")</f>
        <v/>
      </c>
      <c r="G193" s="19" t="n"/>
      <c r="H193" s="21" t="n"/>
    </row>
    <row r="194">
      <c r="A194" s="17" t="n"/>
      <c r="B194" s="17" t="n"/>
      <c r="C194" s="121" t="n"/>
      <c r="D194" s="18" t="n"/>
      <c r="E194" s="122" t="n"/>
      <c r="F194" s="120" t="str">
        <f>IF(AND(ISNUMBER(D194),ISNUMBER(E194)),D194*E194,"")</f>
        <v/>
      </c>
      <c r="G194" s="19" t="n"/>
      <c r="H194" s="21" t="n"/>
    </row>
    <row r="195">
      <c r="A195" s="17" t="n"/>
      <c r="B195" s="17" t="n"/>
      <c r="C195" s="121" t="n"/>
      <c r="D195" s="18" t="n"/>
      <c r="E195" s="122" t="n"/>
      <c r="F195" s="120" t="str">
        <f>IF(AND(ISNUMBER(D195),ISNUMBER(E195)),D195*E195,"")</f>
        <v/>
      </c>
      <c r="G195" s="19" t="n"/>
      <c r="H195" s="21" t="n"/>
    </row>
    <row r="196">
      <c r="A196" s="17" t="n"/>
      <c r="B196" s="17" t="n"/>
      <c r="C196" s="121" t="n"/>
      <c r="D196" s="18" t="n"/>
      <c r="E196" s="122" t="n"/>
      <c r="F196" s="120" t="str">
        <f>IF(AND(ISNUMBER(D196),ISNUMBER(E196)),D196*E196,"")</f>
        <v/>
      </c>
      <c r="G196" s="19" t="n"/>
      <c r="H196" s="21" t="n"/>
    </row>
    <row r="197">
      <c r="A197" s="17" t="n"/>
      <c r="B197" s="17" t="n"/>
      <c r="C197" s="121" t="n"/>
      <c r="D197" s="18" t="n"/>
      <c r="E197" s="122" t="n"/>
      <c r="F197" s="120" t="str">
        <f>IF(AND(ISNUMBER(D197),ISNUMBER(E197)),D197*E197,"")</f>
        <v/>
      </c>
      <c r="G197" s="19" t="n"/>
      <c r="H197" s="21" t="n"/>
    </row>
    <row r="198">
      <c r="A198" s="17" t="n"/>
      <c r="B198" s="17" t="n"/>
      <c r="C198" s="121" t="n"/>
      <c r="D198" s="18" t="n"/>
      <c r="E198" s="122" t="n"/>
      <c r="F198" s="120" t="str">
        <f>IF(AND(ISNUMBER(D198),ISNUMBER(E198)),D198*E198,"")</f>
        <v/>
      </c>
      <c r="G198" s="19" t="n"/>
      <c r="H198" s="21" t="n"/>
    </row>
    <row r="199">
      <c r="A199" s="17" t="n"/>
      <c r="B199" s="17" t="n"/>
      <c r="C199" s="121" t="n"/>
      <c r="D199" s="18" t="n"/>
      <c r="E199" s="122" t="n"/>
      <c r="F199" s="120" t="str">
        <f>IF(AND(ISNUMBER(D199),ISNUMBER(E199)),D199*E199,"")</f>
        <v/>
      </c>
      <c r="G199" s="19" t="n"/>
      <c r="H199" s="21" t="n"/>
    </row>
    <row r="200">
      <c r="A200" s="17" t="n"/>
      <c r="B200" s="17" t="n"/>
      <c r="C200" s="121" t="n"/>
      <c r="D200" s="18" t="n"/>
      <c r="E200" s="122" t="n"/>
      <c r="F200" s="120" t="str">
        <f>IF(AND(ISNUMBER(D200),ISNUMBER(E200)),D200*E200,"")</f>
        <v/>
      </c>
      <c r="G200" s="19" t="n"/>
      <c r="H200" s="21" t="n"/>
    </row>
    <row r="201">
      <c r="A201" s="17" t="n"/>
      <c r="B201" s="17" t="n"/>
      <c r="C201" s="121" t="n"/>
      <c r="D201" s="18" t="n"/>
      <c r="E201" s="122" t="n"/>
      <c r="F201" s="120" t="str">
        <f>IF(AND(ISNUMBER(D201),ISNUMBER(E201)),D201*E201,"")</f>
        <v/>
      </c>
      <c r="G201" s="19" t="n"/>
      <c r="H201" s="21" t="n"/>
    </row>
    <row r="202">
      <c r="A202" s="17" t="n"/>
      <c r="B202" s="17" t="n"/>
      <c r="C202" s="121" t="n"/>
      <c r="D202" s="18" t="n"/>
      <c r="E202" s="122" t="n"/>
      <c r="F202" s="120" t="str">
        <f>IF(AND(ISNUMBER(D202),ISNUMBER(E202)),D202*E202,"")</f>
        <v/>
      </c>
      <c r="G202" s="19" t="n"/>
      <c r="H202" s="21" t="n"/>
    </row>
    <row r="203">
      <c r="A203" s="17" t="n"/>
      <c r="B203" s="17" t="n"/>
      <c r="C203" s="121" t="n"/>
      <c r="D203" s="18" t="n"/>
      <c r="E203" s="122" t="n"/>
      <c r="F203" s="120" t="str">
        <f>IF(AND(ISNUMBER(D203),ISNUMBER(E203)),D203*E203,"")</f>
        <v/>
      </c>
      <c r="G203" s="19" t="n"/>
      <c r="H203" s="21" t="n"/>
    </row>
    <row r="204">
      <c r="A204" s="17" t="n"/>
      <c r="B204" s="17" t="n"/>
      <c r="C204" s="121" t="n"/>
      <c r="D204" s="18" t="n"/>
      <c r="E204" s="122" t="n"/>
      <c r="F204" s="120" t="str">
        <f>IF(AND(ISNUMBER(D204),ISNUMBER(E204)),D204*E204,"")</f>
        <v/>
      </c>
      <c r="G204" s="19" t="n"/>
      <c r="H204" s="21" t="n"/>
    </row>
    <row r="205">
      <c r="A205" s="17" t="n"/>
      <c r="B205" s="17" t="n"/>
      <c r="C205" s="121" t="n"/>
      <c r="D205" s="18" t="n"/>
      <c r="E205" s="122" t="n"/>
      <c r="F205" s="120" t="str">
        <f>IF(AND(ISNUMBER(D205),ISNUMBER(E205)),D205*E205,"")</f>
        <v/>
      </c>
      <c r="G205" s="19" t="n"/>
      <c r="H205" s="21" t="n"/>
    </row>
  </sheetData>
  <dataValidations count="1">
    <dataValidation sqref="A6:A205" showDropDown="0" showInputMessage="0" showErrorMessage="1" allowBlank="1" type="list">
      <formula1>"Futures,Stocks,Options,Forex,Crypto"</formula1>
    </dataValidation>
  </dataValidations>
  <pageMargins left="0.3" right="0.3" top="0.4" bottom="0.4" header="0.5" footer="0.5"/>
  <pageSetup orientation="landscape" fitToHeight="0" fitToWidth="1"/>
</worksheet>
</file>

<file path=xl/worksheets/sheet11.xml><?xml version="1.0" encoding="utf-8"?>
<worksheet xmlns="http://schemas.openxmlformats.org/spreadsheetml/2006/main">
  <sheetPr>
    <tabColor rgb="005F6368"/>
    <outlinePr summaryBelow="1" summaryRight="1"/>
    <pageSetUpPr/>
  </sheetPr>
  <dimension ref="A2:W205"/>
  <sheetViews>
    <sheetView showGridLines="0" workbookViewId="0">
      <selection activeCell="A1" sqref="A1"/>
    </sheetView>
  </sheetViews>
  <sheetFormatPr baseColWidth="8" defaultRowHeight="15"/>
  <sheetData>
    <row r="2">
      <c r="A2" s="123" t="inlineStr">
        <is>
          <t>HELPER LISTS — automatic. Don't edit (this sheet is hidden on purpose).</t>
        </is>
      </c>
    </row>
    <row r="5">
      <c r="A5" s="124" t="inlineStr">
        <is>
          <t>Instrument key</t>
        </is>
      </c>
      <c r="B5" s="124" t="inlineStr">
        <is>
          <t>In my mode</t>
        </is>
      </c>
      <c r="C5" s="124" t="inlineStr">
        <is>
          <t>#</t>
        </is>
      </c>
      <c r="D5" s="124" t="inlineStr">
        <is>
          <t>Symbols for my mode</t>
        </is>
      </c>
      <c r="E5" s="124" t="inlineStr">
        <is>
          <t>Account filter</t>
        </is>
      </c>
      <c r="F5" s="124" t="inlineStr">
        <is>
          <t>Market filter</t>
        </is>
      </c>
      <c r="G5" s="124" t="inlineStr">
        <is>
          <t>Markets</t>
        </is>
      </c>
      <c r="H5" s="124" t="inlineStr">
        <is>
          <t>Periods</t>
        </is>
      </c>
      <c r="I5" s="124" t="inlineStr">
        <is>
          <t>Sessions for my mode</t>
        </is>
      </c>
      <c r="J5" s="124" t="n"/>
      <c r="K5" s="124" t="n"/>
      <c r="L5" s="124" t="n"/>
      <c r="M5" s="124" t="n"/>
      <c r="N5" s="124" t="n"/>
      <c r="O5" s="124" t="n"/>
      <c r="P5" s="124" t="n"/>
      <c r="Q5" s="124" t="n"/>
      <c r="R5" s="124" t="n"/>
      <c r="S5" s="124" t="n"/>
      <c r="T5" s="124" t="n"/>
      <c r="U5" s="124" t="n"/>
      <c r="V5" s="124" t="n"/>
      <c r="W5" s="124" t="inlineStr">
        <is>
          <t>Filter dates</t>
        </is>
      </c>
    </row>
    <row r="6">
      <c r="A6" s="124" t="str">
        <f>IF(Instruments!$B6="","",Instruments!$A6&amp;"|"&amp;UPPER(TRIM(Instruments!$B6)))</f>
        <v>Futures|MES</v>
      </c>
      <c r="B6" s="124">
        <f>IF(AND(Instruments!$B6&lt;&gt;"",Instruments!$A6=Settings!$C$6),1,0)</f>
        <v>1</v>
      </c>
      <c r="C6" s="124">
        <f>IF($B6=1,COUNTIF($B$6:$B6,1),"")</f>
        <v>1</v>
      </c>
      <c r="D6" s="124" t="str">
        <f>IFERROR(INDEX(Instruments!$B$6:$B$205,MATCH(ROW()-5,$C$6:$C$205,0)),"")</f>
        <v>MES</v>
      </c>
      <c r="E6" s="124" t="inlineStr">
        <is>
          <t>All accounts</t>
        </is>
      </c>
      <c r="F6" s="124" t="inlineStr">
        <is>
          <t>All markets</t>
        </is>
      </c>
      <c r="G6" s="124" t="inlineStr">
        <is>
          <t>Futures</t>
        </is>
      </c>
      <c r="H6" s="124" t="inlineStr">
        <is>
          <t>All time</t>
        </is>
      </c>
      <c r="I6" s="124" t="str">
        <f>IFERROR(INDEX(Settings!$C$31:$G$36,1,MATCH(Settings!$C$6,Settings!$C$30:$G$30,0))&amp;"","")</f>
        <v>Overnight</v>
      </c>
      <c r="J6" s="124" t="n"/>
      <c r="K6" s="124" t="n"/>
      <c r="L6" s="124" t="n"/>
      <c r="M6" s="124" t="n"/>
      <c r="N6" s="124" t="n"/>
      <c r="O6" s="124" t="n"/>
      <c r="P6" s="124" t="n"/>
      <c r="Q6" s="124" t="n"/>
      <c r="R6" s="124" t="n"/>
      <c r="S6" s="124" t="n"/>
      <c r="T6" s="124" t="n"/>
      <c r="U6" s="124" t="n"/>
      <c r="V6" s="124" t="inlineStr">
        <is>
          <t>Start</t>
        </is>
      </c>
      <c r="W6" s="125">
        <f>IFERROR(CHOOSE(MATCH(Dashboard!$D$5,$H$6:$H$13,0),DATE(1900,1,1),TODAY()-WEEKDAY(TODAY(),3),TODAY()-WEEKDAY(TODAY(),3)-7,DATE(YEAR(TODAY()),MONTH(TODAY()),1),EOMONTH(TODAY(),-2)+1,TODAY()-29,DATE(YEAR(TODAY()),1,1),IF(ISNUMBER(Dashboard!$H$5),Dashboard!$H$5,DATE(1900,1,1))),DATE(1900,1,1))</f>
        <v>2</v>
      </c>
    </row>
    <row r="7">
      <c r="A7" s="124" t="str">
        <f>IF(Instruments!$B7="","",Instruments!$A7&amp;"|"&amp;UPPER(TRIM(Instruments!$B7)))</f>
        <v>Futures|ES</v>
      </c>
      <c r="B7" s="124">
        <f>IF(AND(Instruments!$B7&lt;&gt;"",Instruments!$A7=Settings!$C$6),1,0)</f>
        <v>1</v>
      </c>
      <c r="C7" s="124">
        <f>IF($B7=1,COUNTIF($B$6:$B7,1),"")</f>
        <v>2</v>
      </c>
      <c r="D7" s="124" t="str">
        <f>IFERROR(INDEX(Instruments!$B$6:$B$205,MATCH(ROW()-5,$C$6:$C$205,0)),"")</f>
        <v>ES</v>
      </c>
      <c r="E7" s="124" t="str">
        <f>IF(Accounts!$B7="","",Accounts!$B7)</f>
        <v>Prop Eval 50K</v>
      </c>
      <c r="F7" s="124" t="inlineStr">
        <is>
          <t>Futures</t>
        </is>
      </c>
      <c r="G7" s="124" t="inlineStr">
        <is>
          <t>Stocks</t>
        </is>
      </c>
      <c r="H7" s="124" t="inlineStr">
        <is>
          <t>This week</t>
        </is>
      </c>
      <c r="I7" s="124" t="str">
        <f>IFERROR(INDEX(Settings!$C$31:$G$36,2,MATCH(Settings!$C$6,Settings!$C$30:$G$30,0))&amp;"","")</f>
        <v>London</v>
      </c>
      <c r="J7" s="124" t="n"/>
      <c r="K7" s="124" t="n"/>
      <c r="L7" s="124" t="n"/>
      <c r="M7" s="124" t="n"/>
      <c r="N7" s="124" t="n"/>
      <c r="O7" s="124" t="n"/>
      <c r="P7" s="124" t="n"/>
      <c r="Q7" s="124" t="n"/>
      <c r="R7" s="124" t="n"/>
      <c r="S7" s="124" t="n"/>
      <c r="T7" s="124" t="n"/>
      <c r="U7" s="124" t="n"/>
      <c r="V7" s="124" t="inlineStr">
        <is>
          <t>End</t>
        </is>
      </c>
      <c r="W7" s="125">
        <f>IFERROR(CHOOSE(MATCH(Dashboard!$D$5,$H$6:$H$13,0),DATE(9999,12,31),TODAY()-WEEKDAY(TODAY(),3)+6,TODAY()-WEEKDAY(TODAY(),3)-1,EOMONTH(TODAY(),0),EOMONTH(TODAY(),-1),TODAY(),DATE(YEAR(TODAY()),12,31),IF(ISNUMBER(Dashboard!$H$6),Dashboard!$H$6,DATE(9999,12,31))),DATE(9999,12,31))</f>
        <v>2958465</v>
      </c>
    </row>
    <row r="8">
      <c r="A8" s="124" t="str">
        <f>IF(Instruments!$B8="","",Instruments!$A8&amp;"|"&amp;UPPER(TRIM(Instruments!$B8)))</f>
        <v>Futures|MNQ</v>
      </c>
      <c r="B8" s="124">
        <f>IF(AND(Instruments!$B8&lt;&gt;"",Instruments!$A8=Settings!$C$6),1,0)</f>
        <v>1</v>
      </c>
      <c r="C8" s="124">
        <f>IF($B8=1,COUNTIF($B$6:$B8,1),"")</f>
        <v>3</v>
      </c>
      <c r="D8" s="124" t="str">
        <f>IFERROR(INDEX(Instruments!$B$6:$B$205,MATCH(ROW()-5,$C$6:$C$205,0)),"")</f>
        <v>MNQ</v>
      </c>
      <c r="E8" s="124" t="str">
        <f>IF(Accounts!$B8="","",Accounts!$B8)</f>
        <v>Crypto Main</v>
      </c>
      <c r="F8" s="124" t="inlineStr">
        <is>
          <t>Stocks</t>
        </is>
      </c>
      <c r="G8" s="124" t="inlineStr">
        <is>
          <t>Options</t>
        </is>
      </c>
      <c r="H8" s="124" t="inlineStr">
        <is>
          <t>Last week</t>
        </is>
      </c>
      <c r="I8" s="124" t="str">
        <f>IFERROR(INDEX(Settings!$C$31:$G$36,3,MATCH(Settings!$C$6,Settings!$C$30:$G$30,0))&amp;"","")</f>
        <v>NY Open</v>
      </c>
      <c r="J8" s="124" t="n"/>
      <c r="K8" s="124" t="n"/>
      <c r="L8" s="124" t="n"/>
      <c r="M8" s="124" t="n"/>
      <c r="N8" s="124" t="n"/>
      <c r="O8" s="124" t="n"/>
      <c r="P8" s="124" t="n"/>
      <c r="Q8" s="124" t="n"/>
      <c r="R8" s="124" t="n"/>
      <c r="S8" s="124" t="n"/>
      <c r="T8" s="124" t="n"/>
      <c r="U8" s="124" t="n"/>
      <c r="V8" s="124" t="inlineStr">
        <is>
          <t>Trades in filter</t>
        </is>
      </c>
      <c r="W8" s="124">
        <f>COUNTIF('Trade Log'!$AS$6:$AS$1005,1)</f>
        <v>28</v>
      </c>
    </row>
    <row r="9">
      <c r="A9" s="124" t="str">
        <f>IF(Instruments!$B9="","",Instruments!$A9&amp;"|"&amp;UPPER(TRIM(Instruments!$B9)))</f>
        <v>Futures|NQ</v>
      </c>
      <c r="B9" s="124">
        <f>IF(AND(Instruments!$B9&lt;&gt;"",Instruments!$A9=Settings!$C$6),1,0)</f>
        <v>1</v>
      </c>
      <c r="C9" s="124">
        <f>IF($B9=1,COUNTIF($B$6:$B9,1),"")</f>
        <v>4</v>
      </c>
      <c r="D9" s="124" t="str">
        <f>IFERROR(INDEX(Instruments!$B$6:$B$205,MATCH(ROW()-5,$C$6:$C$205,0)),"")</f>
        <v>NQ</v>
      </c>
      <c r="E9" s="124" t="str">
        <f>IF(Accounts!$B9="","",Accounts!$B9)</f>
        <v/>
      </c>
      <c r="F9" s="124" t="inlineStr">
        <is>
          <t>Options</t>
        </is>
      </c>
      <c r="G9" s="124" t="inlineStr">
        <is>
          <t>Forex</t>
        </is>
      </c>
      <c r="H9" s="124" t="inlineStr">
        <is>
          <t>This month</t>
        </is>
      </c>
      <c r="I9" s="124" t="str">
        <f>IFERROR(INDEX(Settings!$C$31:$G$36,4,MATCH(Settings!$C$6,Settings!$C$30:$G$30,0))&amp;"","")</f>
        <v>NY Midday</v>
      </c>
      <c r="J9" s="124" t="n"/>
      <c r="K9" s="124" t="n"/>
      <c r="L9" s="124" t="n"/>
      <c r="M9" s="124" t="n"/>
      <c r="N9" s="124" t="n"/>
      <c r="O9" s="124" t="n"/>
      <c r="P9" s="124" t="n"/>
      <c r="Q9" s="124" t="n"/>
      <c r="R9" s="124" t="n"/>
      <c r="S9" s="124" t="n"/>
      <c r="T9" s="124" t="n"/>
      <c r="U9" s="124" t="n"/>
      <c r="V9" s="124" t="n"/>
      <c r="W9" s="124" t="n"/>
    </row>
    <row r="10">
      <c r="A10" s="124" t="str">
        <f>IF(Instruments!$B10="","",Instruments!$A10&amp;"|"&amp;UPPER(TRIM(Instruments!$B10)))</f>
        <v>Futures|MYM</v>
      </c>
      <c r="B10" s="124">
        <f>IF(AND(Instruments!$B10&lt;&gt;"",Instruments!$A10=Settings!$C$6),1,0)</f>
        <v>1</v>
      </c>
      <c r="C10" s="124">
        <f>IF($B10=1,COUNTIF($B$6:$B10,1),"")</f>
        <v>5</v>
      </c>
      <c r="D10" s="124" t="str">
        <f>IFERROR(INDEX(Instruments!$B$6:$B$205,MATCH(ROW()-5,$C$6:$C$205,0)),"")</f>
        <v>MYM</v>
      </c>
      <c r="E10" s="124" t="str">
        <f>IF(Accounts!$B10="","",Accounts!$B10)</f>
        <v/>
      </c>
      <c r="F10" s="124" t="inlineStr">
        <is>
          <t>Forex</t>
        </is>
      </c>
      <c r="G10" s="124" t="inlineStr">
        <is>
          <t>Crypto</t>
        </is>
      </c>
      <c r="H10" s="124" t="inlineStr">
        <is>
          <t>Last month</t>
        </is>
      </c>
      <c r="I10" s="124" t="str">
        <f>IFERROR(INDEX(Settings!$C$31:$G$36,5,MATCH(Settings!$C$6,Settings!$C$30:$G$30,0))&amp;"","")</f>
        <v>NY Afternoon</v>
      </c>
      <c r="J10" s="124" t="n"/>
      <c r="K10" s="124" t="n"/>
      <c r="L10" s="124" t="n"/>
      <c r="M10" s="124" t="n"/>
      <c r="N10" s="124" t="n"/>
      <c r="O10" s="124" t="n"/>
      <c r="P10" s="124" t="n"/>
      <c r="Q10" s="124" t="n"/>
      <c r="R10" s="124" t="n"/>
      <c r="S10" s="124" t="n"/>
      <c r="T10" s="124" t="n"/>
      <c r="U10" s="124" t="n"/>
      <c r="V10" s="124" t="n"/>
      <c r="W10" s="124" t="n"/>
    </row>
    <row r="11">
      <c r="A11" s="124" t="str">
        <f>IF(Instruments!$B11="","",Instruments!$A11&amp;"|"&amp;UPPER(TRIM(Instruments!$B11)))</f>
        <v>Futures|YM</v>
      </c>
      <c r="B11" s="124">
        <f>IF(AND(Instruments!$B11&lt;&gt;"",Instruments!$A11=Settings!$C$6),1,0)</f>
        <v>1</v>
      </c>
      <c r="C11" s="124">
        <f>IF($B11=1,COUNTIF($B$6:$B11,1),"")</f>
        <v>6</v>
      </c>
      <c r="D11" s="124" t="str">
        <f>IFERROR(INDEX(Instruments!$B$6:$B$205,MATCH(ROW()-5,$C$6:$C$205,0)),"")</f>
        <v>YM</v>
      </c>
      <c r="E11" s="124" t="str">
        <f>IF(Accounts!$B11="","",Accounts!$B11)</f>
        <v/>
      </c>
      <c r="F11" s="124" t="inlineStr">
        <is>
          <t>Crypto</t>
        </is>
      </c>
      <c r="G11" s="124" t="n"/>
      <c r="H11" s="124" t="inlineStr">
        <is>
          <t>Last 30 days</t>
        </is>
      </c>
      <c r="I11" s="124" t="str">
        <f>IFERROR(INDEX(Settings!$C$31:$G$36,6,MATCH(Settings!$C$6,Settings!$C$30:$G$30,0))&amp;"","")</f>
        <v>NY Close</v>
      </c>
      <c r="J11" s="124" t="n"/>
      <c r="K11" s="124" t="n"/>
      <c r="L11" s="124" t="n"/>
      <c r="M11" s="124" t="n"/>
      <c r="N11" s="124" t="n"/>
      <c r="O11" s="124" t="n"/>
      <c r="P11" s="124" t="n"/>
      <c r="Q11" s="124" t="n"/>
      <c r="R11" s="124" t="n"/>
      <c r="S11" s="124" t="n"/>
      <c r="T11" s="124" t="n"/>
      <c r="U11" s="124" t="n"/>
      <c r="V11" s="124" t="n"/>
      <c r="W11" s="124" t="n"/>
    </row>
    <row r="12">
      <c r="A12" s="124" t="str">
        <f>IF(Instruments!$B12="","",Instruments!$A12&amp;"|"&amp;UPPER(TRIM(Instruments!$B12)))</f>
        <v>Futures|M2K</v>
      </c>
      <c r="B12" s="124">
        <f>IF(AND(Instruments!$B12&lt;&gt;"",Instruments!$A12=Settings!$C$6),1,0)</f>
        <v>1</v>
      </c>
      <c r="C12" s="124">
        <f>IF($B12=1,COUNTIF($B$6:$B12,1),"")</f>
        <v>7</v>
      </c>
      <c r="D12" s="124" t="str">
        <f>IFERROR(INDEX(Instruments!$B$6:$B$205,MATCH(ROW()-5,$C$6:$C$205,0)),"")</f>
        <v>M2K</v>
      </c>
      <c r="E12" s="124" t="str">
        <f>IF(Accounts!$B12="","",Accounts!$B12)</f>
        <v/>
      </c>
      <c r="F12" s="124" t="n"/>
      <c r="G12" s="124" t="n"/>
      <c r="H12" s="124" t="inlineStr">
        <is>
          <t>This year</t>
        </is>
      </c>
      <c r="I12" s="124" t="n"/>
      <c r="J12" s="124" t="n"/>
      <c r="K12" s="124" t="n"/>
      <c r="L12" s="124" t="n"/>
      <c r="M12" s="124" t="n"/>
      <c r="N12" s="124" t="n"/>
      <c r="O12" s="124" t="n"/>
      <c r="P12" s="124" t="n"/>
      <c r="Q12" s="124" t="n"/>
      <c r="R12" s="124" t="n"/>
      <c r="S12" s="124" t="n"/>
      <c r="T12" s="124" t="n"/>
      <c r="U12" s="124" t="n"/>
      <c r="V12" s="124" t="n"/>
      <c r="W12" s="124" t="n"/>
    </row>
    <row r="13">
      <c r="A13" s="124" t="str">
        <f>IF(Instruments!$B13="","",Instruments!$A13&amp;"|"&amp;UPPER(TRIM(Instruments!$B13)))</f>
        <v>Futures|RTY</v>
      </c>
      <c r="B13" s="124">
        <f>IF(AND(Instruments!$B13&lt;&gt;"",Instruments!$A13=Settings!$C$6),1,0)</f>
        <v>1</v>
      </c>
      <c r="C13" s="124">
        <f>IF($B13=1,COUNTIF($B$6:$B13,1),"")</f>
        <v>8</v>
      </c>
      <c r="D13" s="124" t="str">
        <f>IFERROR(INDEX(Instruments!$B$6:$B$205,MATCH(ROW()-5,$C$6:$C$205,0)),"")</f>
        <v>RTY</v>
      </c>
      <c r="E13" s="124" t="str">
        <f>IF(Accounts!$B13="","",Accounts!$B13)</f>
        <v/>
      </c>
      <c r="F13" s="124" t="n"/>
      <c r="G13" s="124" t="n"/>
      <c r="H13" s="124" t="inlineStr">
        <is>
          <t>Custom range</t>
        </is>
      </c>
      <c r="I13" s="124" t="n"/>
      <c r="J13" s="124" t="n"/>
      <c r="K13" s="124" t="n"/>
      <c r="L13" s="124" t="n"/>
      <c r="M13" s="124" t="n"/>
      <c r="N13" s="124" t="n"/>
      <c r="O13" s="124" t="n"/>
      <c r="P13" s="124" t="n"/>
      <c r="Q13" s="124" t="n"/>
      <c r="R13" s="124" t="n"/>
      <c r="S13" s="124" t="n"/>
      <c r="T13" s="124" t="n"/>
      <c r="U13" s="124" t="n"/>
      <c r="V13" s="124" t="n"/>
      <c r="W13" s="124" t="n"/>
    </row>
    <row r="14">
      <c r="A14" s="124" t="str">
        <f>IF(Instruments!$B14="","",Instruments!$A14&amp;"|"&amp;UPPER(TRIM(Instruments!$B14)))</f>
        <v>Futures|MCL</v>
      </c>
      <c r="B14" s="124">
        <f>IF(AND(Instruments!$B14&lt;&gt;"",Instruments!$A14=Settings!$C$6),1,0)</f>
        <v>1</v>
      </c>
      <c r="C14" s="124">
        <f>IF($B14=1,COUNTIF($B$6:$B14,1),"")</f>
        <v>9</v>
      </c>
      <c r="D14" s="124" t="str">
        <f>IFERROR(INDEX(Instruments!$B$6:$B$205,MATCH(ROW()-5,$C$6:$C$205,0)),"")</f>
        <v>MCL</v>
      </c>
      <c r="E14" s="124" t="str">
        <f>IF(Accounts!$B14="","",Accounts!$B14)</f>
        <v/>
      </c>
      <c r="F14" s="124" t="n"/>
      <c r="G14" s="124" t="n"/>
      <c r="H14" s="124" t="n"/>
      <c r="I14" s="124" t="n"/>
      <c r="J14" s="124" t="n"/>
      <c r="K14" s="124" t="n"/>
      <c r="L14" s="124" t="n"/>
      <c r="M14" s="124" t="n"/>
      <c r="N14" s="124" t="n"/>
      <c r="O14" s="124" t="n"/>
      <c r="P14" s="124" t="n"/>
      <c r="Q14" s="124" t="n"/>
      <c r="R14" s="124" t="n"/>
      <c r="S14" s="124" t="n"/>
      <c r="T14" s="124" t="n"/>
      <c r="U14" s="124" t="n"/>
      <c r="V14" s="124" t="n"/>
      <c r="W14" s="124" t="n"/>
    </row>
    <row r="15">
      <c r="A15" s="124" t="str">
        <f>IF(Instruments!$B15="","",Instruments!$A15&amp;"|"&amp;UPPER(TRIM(Instruments!$B15)))</f>
        <v>Futures|CL</v>
      </c>
      <c r="B15" s="124">
        <f>IF(AND(Instruments!$B15&lt;&gt;"",Instruments!$A15=Settings!$C$6),1,0)</f>
        <v>1</v>
      </c>
      <c r="C15" s="124">
        <f>IF($B15=1,COUNTIF($B$6:$B15,1),"")</f>
        <v>10</v>
      </c>
      <c r="D15" s="124" t="str">
        <f>IFERROR(INDEX(Instruments!$B$6:$B$205,MATCH(ROW()-5,$C$6:$C$205,0)),"")</f>
        <v>CL</v>
      </c>
      <c r="E15" s="124" t="str">
        <f>IF(Accounts!$B15="","",Accounts!$B15)</f>
        <v/>
      </c>
      <c r="F15" s="124" t="n"/>
      <c r="G15" s="124" t="n"/>
      <c r="H15" s="124" t="n"/>
      <c r="I15" s="124" t="n"/>
      <c r="J15" s="124" t="n"/>
      <c r="K15" s="124" t="n"/>
      <c r="L15" s="124" t="n"/>
      <c r="M15" s="124" t="n"/>
      <c r="N15" s="124" t="n"/>
      <c r="O15" s="124" t="n"/>
      <c r="P15" s="124" t="n"/>
      <c r="Q15" s="124" t="n"/>
      <c r="R15" s="124" t="n"/>
      <c r="S15" s="124" t="n"/>
      <c r="T15" s="124" t="n"/>
      <c r="U15" s="124" t="n"/>
      <c r="V15" s="124" t="n"/>
      <c r="W15" s="124" t="n"/>
    </row>
    <row r="16">
      <c r="A16" s="124" t="str">
        <f>IF(Instruments!$B16="","",Instruments!$A16&amp;"|"&amp;UPPER(TRIM(Instruments!$B16)))</f>
        <v>Futures|QM</v>
      </c>
      <c r="B16" s="124">
        <f>IF(AND(Instruments!$B16&lt;&gt;"",Instruments!$A16=Settings!$C$6),1,0)</f>
        <v>1</v>
      </c>
      <c r="C16" s="124">
        <f>IF($B16=1,COUNTIF($B$6:$B16,1),"")</f>
        <v>11</v>
      </c>
      <c r="D16" s="124" t="str">
        <f>IFERROR(INDEX(Instruments!$B$6:$B$205,MATCH(ROW()-5,$C$6:$C$205,0)),"")</f>
        <v>QM</v>
      </c>
      <c r="E16" s="124" t="str">
        <f>IF(Accounts!$B16="","",Accounts!$B16)</f>
        <v/>
      </c>
      <c r="F16" s="124" t="n"/>
      <c r="G16" s="124" t="n"/>
      <c r="H16" s="124" t="n"/>
      <c r="I16" s="124" t="n"/>
      <c r="J16" s="124" t="n"/>
      <c r="K16" s="124" t="n"/>
      <c r="L16" s="124" t="n"/>
      <c r="M16" s="124" t="n"/>
      <c r="N16" s="124" t="n"/>
      <c r="O16" s="124" t="n"/>
      <c r="P16" s="124" t="n"/>
      <c r="Q16" s="124" t="n"/>
      <c r="R16" s="124" t="n"/>
      <c r="S16" s="124" t="n"/>
      <c r="T16" s="124" t="n"/>
      <c r="U16" s="124" t="n"/>
      <c r="V16" s="124" t="n"/>
      <c r="W16" s="124" t="n"/>
    </row>
    <row r="17">
      <c r="A17" s="124" t="str">
        <f>IF(Instruments!$B17="","",Instruments!$A17&amp;"|"&amp;UPPER(TRIM(Instruments!$B17)))</f>
        <v>Futures|NG</v>
      </c>
      <c r="B17" s="124">
        <f>IF(AND(Instruments!$B17&lt;&gt;"",Instruments!$A17=Settings!$C$6),1,0)</f>
        <v>1</v>
      </c>
      <c r="C17" s="124">
        <f>IF($B17=1,COUNTIF($B$6:$B17,1),"")</f>
        <v>12</v>
      </c>
      <c r="D17" s="124" t="str">
        <f>IFERROR(INDEX(Instruments!$B$6:$B$205,MATCH(ROW()-5,$C$6:$C$205,0)),"")</f>
        <v>NG</v>
      </c>
      <c r="E17" s="124" t="n"/>
      <c r="F17" s="124" t="n"/>
      <c r="G17" s="124" t="n"/>
      <c r="H17" s="124" t="n"/>
      <c r="I17" s="124" t="n"/>
      <c r="J17" s="124" t="n"/>
      <c r="K17" s="124" t="n"/>
      <c r="L17" s="124" t="n"/>
      <c r="M17" s="124" t="n"/>
      <c r="N17" s="124" t="n"/>
      <c r="O17" s="124" t="n"/>
      <c r="P17" s="124" t="n"/>
      <c r="Q17" s="124" t="n"/>
      <c r="R17" s="124" t="n"/>
      <c r="S17" s="124" t="n"/>
      <c r="T17" s="124" t="n"/>
      <c r="U17" s="124" t="n"/>
      <c r="V17" s="124" t="n"/>
      <c r="W17" s="124" t="n"/>
    </row>
    <row r="18">
      <c r="A18" s="124" t="str">
        <f>IF(Instruments!$B18="","",Instruments!$A18&amp;"|"&amp;UPPER(TRIM(Instruments!$B18)))</f>
        <v>Futures|MNG</v>
      </c>
      <c r="B18" s="124">
        <f>IF(AND(Instruments!$B18&lt;&gt;"",Instruments!$A18=Settings!$C$6),1,0)</f>
        <v>1</v>
      </c>
      <c r="C18" s="124">
        <f>IF($B18=1,COUNTIF($B$6:$B18,1),"")</f>
        <v>13</v>
      </c>
      <c r="D18" s="124" t="str">
        <f>IFERROR(INDEX(Instruments!$B$6:$B$205,MATCH(ROW()-5,$C$6:$C$205,0)),"")</f>
        <v>MNG</v>
      </c>
      <c r="E18" s="124" t="n"/>
      <c r="F18" s="124" t="n"/>
      <c r="G18" s="124" t="n"/>
      <c r="H18" s="124" t="n"/>
      <c r="I18" s="124" t="n"/>
      <c r="J18" s="124" t="n"/>
      <c r="K18" s="124" t="n"/>
      <c r="L18" s="124" t="n"/>
      <c r="M18" s="124" t="n"/>
      <c r="N18" s="124" t="n"/>
      <c r="O18" s="124" t="n"/>
      <c r="P18" s="124" t="n"/>
      <c r="Q18" s="124" t="n"/>
      <c r="R18" s="124" t="n"/>
      <c r="S18" s="124" t="n"/>
      <c r="T18" s="124" t="n"/>
      <c r="U18" s="124" t="n"/>
      <c r="V18" s="124" t="n"/>
      <c r="W18" s="124" t="n"/>
    </row>
    <row r="19">
      <c r="A19" s="124" t="str">
        <f>IF(Instruments!$B19="","",Instruments!$A19&amp;"|"&amp;UPPER(TRIM(Instruments!$B19)))</f>
        <v>Futures|MGC</v>
      </c>
      <c r="B19" s="124">
        <f>IF(AND(Instruments!$B19&lt;&gt;"",Instruments!$A19=Settings!$C$6),1,0)</f>
        <v>1</v>
      </c>
      <c r="C19" s="124">
        <f>IF($B19=1,COUNTIF($B$6:$B19,1),"")</f>
        <v>14</v>
      </c>
      <c r="D19" s="124" t="str">
        <f>IFERROR(INDEX(Instruments!$B$6:$B$205,MATCH(ROW()-5,$C$6:$C$205,0)),"")</f>
        <v>MGC</v>
      </c>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row>
    <row r="20">
      <c r="A20" s="124" t="str">
        <f>IF(Instruments!$B20="","",Instruments!$A20&amp;"|"&amp;UPPER(TRIM(Instruments!$B20)))</f>
        <v>Futures|GC</v>
      </c>
      <c r="B20" s="124">
        <f>IF(AND(Instruments!$B20&lt;&gt;"",Instruments!$A20=Settings!$C$6),1,0)</f>
        <v>1</v>
      </c>
      <c r="C20" s="124">
        <f>IF($B20=1,COUNTIF($B$6:$B20,1),"")</f>
        <v>15</v>
      </c>
      <c r="D20" s="124" t="str">
        <f>IFERROR(INDEX(Instruments!$B$6:$B$205,MATCH(ROW()-5,$C$6:$C$205,0)),"")</f>
        <v>GC</v>
      </c>
      <c r="E20" s="124" t="n"/>
      <c r="F20" s="124" t="n"/>
      <c r="G20" s="124" t="n"/>
      <c r="H20" s="124" t="n"/>
      <c r="I20" s="124" t="n"/>
      <c r="J20" s="124" t="n"/>
      <c r="K20" s="124" t="n"/>
      <c r="L20" s="124" t="n"/>
      <c r="M20" s="124" t="n"/>
      <c r="N20" s="124" t="n"/>
      <c r="O20" s="124" t="n"/>
      <c r="P20" s="124" t="n"/>
      <c r="Q20" s="124" t="n"/>
      <c r="R20" s="124" t="n"/>
      <c r="S20" s="124" t="n"/>
      <c r="T20" s="124" t="n"/>
      <c r="U20" s="124" t="n"/>
      <c r="V20" s="124" t="n"/>
      <c r="W20" s="124" t="n"/>
    </row>
    <row r="21">
      <c r="A21" s="124" t="str">
        <f>IF(Instruments!$B21="","",Instruments!$A21&amp;"|"&amp;UPPER(TRIM(Instruments!$B21)))</f>
        <v>Futures|SIL</v>
      </c>
      <c r="B21" s="124">
        <f>IF(AND(Instruments!$B21&lt;&gt;"",Instruments!$A21=Settings!$C$6),1,0)</f>
        <v>1</v>
      </c>
      <c r="C21" s="124">
        <f>IF($B21=1,COUNTIF($B$6:$B21,1),"")</f>
        <v>16</v>
      </c>
      <c r="D21" s="124" t="str">
        <f>IFERROR(INDEX(Instruments!$B$6:$B$205,MATCH(ROW()-5,$C$6:$C$205,0)),"")</f>
        <v>SIL</v>
      </c>
      <c r="E21" s="124" t="n"/>
      <c r="F21" s="124" t="n"/>
      <c r="G21" s="124" t="n"/>
      <c r="H21" s="124" t="n"/>
      <c r="I21" s="124" t="n"/>
      <c r="J21" s="124" t="n"/>
      <c r="K21" s="124" t="n"/>
      <c r="L21" s="124" t="n"/>
      <c r="M21" s="124" t="n"/>
      <c r="N21" s="124" t="n"/>
      <c r="O21" s="124" t="n"/>
      <c r="P21" s="124" t="n"/>
      <c r="Q21" s="124" t="n"/>
      <c r="R21" s="124" t="n"/>
      <c r="S21" s="124" t="n"/>
      <c r="T21" s="124" t="n"/>
      <c r="U21" s="124" t="n"/>
      <c r="V21" s="124" t="n"/>
      <c r="W21" s="124" t="n"/>
    </row>
    <row r="22">
      <c r="A22" s="124" t="str">
        <f>IF(Instruments!$B22="","",Instruments!$A22&amp;"|"&amp;UPPER(TRIM(Instruments!$B22)))</f>
        <v>Futures|SI</v>
      </c>
      <c r="B22" s="124">
        <f>IF(AND(Instruments!$B22&lt;&gt;"",Instruments!$A22=Settings!$C$6),1,0)</f>
        <v>1</v>
      </c>
      <c r="C22" s="124">
        <f>IF($B22=1,COUNTIF($B$6:$B22,1),"")</f>
        <v>17</v>
      </c>
      <c r="D22" s="124" t="str">
        <f>IFERROR(INDEX(Instruments!$B$6:$B$205,MATCH(ROW()-5,$C$6:$C$205,0)),"")</f>
        <v>SI</v>
      </c>
      <c r="E22" s="124" t="n"/>
      <c r="F22" s="124" t="n"/>
      <c r="G22" s="124" t="n"/>
      <c r="H22" s="124" t="n"/>
      <c r="I22" s="124" t="n"/>
      <c r="J22" s="124" t="n"/>
      <c r="K22" s="124" t="n"/>
      <c r="L22" s="124" t="n"/>
      <c r="M22" s="124" t="n"/>
      <c r="N22" s="124" t="n"/>
      <c r="O22" s="124" t="n"/>
      <c r="P22" s="124" t="n"/>
      <c r="Q22" s="124" t="n"/>
      <c r="R22" s="124" t="n"/>
      <c r="S22" s="124" t="n"/>
      <c r="T22" s="124" t="n"/>
      <c r="U22" s="124" t="n"/>
      <c r="V22" s="124" t="n"/>
      <c r="W22" s="124" t="n"/>
    </row>
    <row r="23">
      <c r="A23" s="124" t="str">
        <f>IF(Instruments!$B23="","",Instruments!$A23&amp;"|"&amp;UPPER(TRIM(Instruments!$B23)))</f>
        <v>Futures|MHG</v>
      </c>
      <c r="B23" s="124">
        <f>IF(AND(Instruments!$B23&lt;&gt;"",Instruments!$A23=Settings!$C$6),1,0)</f>
        <v>1</v>
      </c>
      <c r="C23" s="124">
        <f>IF($B23=1,COUNTIF($B$6:$B23,1),"")</f>
        <v>18</v>
      </c>
      <c r="D23" s="124" t="str">
        <f>IFERROR(INDEX(Instruments!$B$6:$B$205,MATCH(ROW()-5,$C$6:$C$205,0)),"")</f>
        <v>MHG</v>
      </c>
      <c r="E23" s="124" t="n"/>
      <c r="F23" s="124" t="n"/>
      <c r="G23" s="124" t="n"/>
      <c r="H23" s="124" t="n"/>
      <c r="I23" s="124" t="n"/>
      <c r="J23" s="124" t="n"/>
      <c r="K23" s="124" t="n"/>
      <c r="L23" s="124" t="n"/>
      <c r="M23" s="124" t="n"/>
      <c r="N23" s="124" t="n"/>
      <c r="O23" s="124" t="n"/>
      <c r="P23" s="124" t="n"/>
      <c r="Q23" s="124" t="n"/>
      <c r="R23" s="124" t="n"/>
      <c r="S23" s="124" t="n"/>
      <c r="T23" s="124" t="n"/>
      <c r="U23" s="124" t="n"/>
      <c r="V23" s="124" t="n"/>
      <c r="W23" s="124" t="n"/>
    </row>
    <row r="24">
      <c r="A24" s="124" t="str">
        <f>IF(Instruments!$B24="","",Instruments!$A24&amp;"|"&amp;UPPER(TRIM(Instruments!$B24)))</f>
        <v>Futures|HG</v>
      </c>
      <c r="B24" s="124">
        <f>IF(AND(Instruments!$B24&lt;&gt;"",Instruments!$A24=Settings!$C$6),1,0)</f>
        <v>1</v>
      </c>
      <c r="C24" s="124">
        <f>IF($B24=1,COUNTIF($B$6:$B24,1),"")</f>
        <v>19</v>
      </c>
      <c r="D24" s="124" t="str">
        <f>IFERROR(INDEX(Instruments!$B$6:$B$205,MATCH(ROW()-5,$C$6:$C$205,0)),"")</f>
        <v>HG</v>
      </c>
      <c r="E24" s="124" t="n"/>
      <c r="F24" s="124" t="n"/>
      <c r="G24" s="124" t="n"/>
      <c r="H24" s="124" t="n"/>
      <c r="I24" s="124" t="n"/>
      <c r="J24" s="124" t="n"/>
      <c r="K24" s="124" t="n"/>
      <c r="L24" s="124" t="n"/>
      <c r="M24" s="124" t="n"/>
      <c r="N24" s="124" t="n"/>
      <c r="O24" s="124" t="n"/>
      <c r="P24" s="124" t="n"/>
      <c r="Q24" s="124" t="n"/>
      <c r="R24" s="124" t="n"/>
      <c r="S24" s="124" t="n"/>
      <c r="T24" s="124" t="n"/>
      <c r="U24" s="124" t="n"/>
      <c r="V24" s="124" t="n"/>
      <c r="W24" s="124" t="n"/>
    </row>
    <row r="25">
      <c r="A25" s="124" t="str">
        <f>IF(Instruments!$B25="","",Instruments!$A25&amp;"|"&amp;UPPER(TRIM(Instruments!$B25)))</f>
        <v>Futures|ZN</v>
      </c>
      <c r="B25" s="124">
        <f>IF(AND(Instruments!$B25&lt;&gt;"",Instruments!$A25=Settings!$C$6),1,0)</f>
        <v>1</v>
      </c>
      <c r="C25" s="124">
        <f>IF($B25=1,COUNTIF($B$6:$B25,1),"")</f>
        <v>20</v>
      </c>
      <c r="D25" s="124" t="str">
        <f>IFERROR(INDEX(Instruments!$B$6:$B$205,MATCH(ROW()-5,$C$6:$C$205,0)),"")</f>
        <v>ZN</v>
      </c>
      <c r="E25" s="124" t="n"/>
      <c r="F25" s="124" t="n"/>
      <c r="G25" s="124" t="n"/>
      <c r="H25" s="124" t="n"/>
      <c r="I25" s="124" t="n"/>
      <c r="J25" s="124" t="n"/>
      <c r="K25" s="124" t="n"/>
      <c r="L25" s="124" t="n"/>
      <c r="M25" s="124" t="n"/>
      <c r="N25" s="124" t="n"/>
      <c r="O25" s="124" t="n"/>
      <c r="P25" s="124" t="n"/>
      <c r="Q25" s="124" t="n"/>
      <c r="R25" s="124" t="n"/>
      <c r="S25" s="124" t="n"/>
      <c r="T25" s="124" t="n"/>
      <c r="U25" s="124" t="n"/>
      <c r="V25" s="124" t="n"/>
      <c r="W25" s="124" t="n"/>
    </row>
    <row r="26">
      <c r="A26" s="124" t="str">
        <f>IF(Instruments!$B26="","",Instruments!$A26&amp;"|"&amp;UPPER(TRIM(Instruments!$B26)))</f>
        <v>Futures|ZB</v>
      </c>
      <c r="B26" s="124">
        <f>IF(AND(Instruments!$B26&lt;&gt;"",Instruments!$A26=Settings!$C$6),1,0)</f>
        <v>1</v>
      </c>
      <c r="C26" s="124">
        <f>IF($B26=1,COUNTIF($B$6:$B26,1),"")</f>
        <v>21</v>
      </c>
      <c r="D26" s="124" t="str">
        <f>IFERROR(INDEX(Instruments!$B$6:$B$205,MATCH(ROW()-5,$C$6:$C$205,0)),"")</f>
        <v>ZB</v>
      </c>
      <c r="E26" s="124" t="n"/>
      <c r="F26" s="124" t="n"/>
      <c r="G26" s="124" t="n"/>
      <c r="H26" s="124" t="n"/>
      <c r="I26" s="124" t="n"/>
      <c r="J26" s="124" t="n"/>
      <c r="K26" s="124" t="n"/>
      <c r="L26" s="124" t="n"/>
      <c r="M26" s="124" t="n"/>
      <c r="N26" s="124" t="n"/>
      <c r="O26" s="124" t="n"/>
      <c r="P26" s="124" t="n"/>
      <c r="Q26" s="124" t="n"/>
      <c r="R26" s="124" t="n"/>
      <c r="S26" s="124" t="n"/>
      <c r="T26" s="124" t="n"/>
      <c r="U26" s="124" t="n"/>
      <c r="V26" s="124" t="n"/>
      <c r="W26" s="124" t="n"/>
    </row>
    <row r="27">
      <c r="A27" s="124" t="str">
        <f>IF(Instruments!$B27="","",Instruments!$A27&amp;"|"&amp;UPPER(TRIM(Instruments!$B27)))</f>
        <v>Futures|M6E</v>
      </c>
      <c r="B27" s="124">
        <f>IF(AND(Instruments!$B27&lt;&gt;"",Instruments!$A27=Settings!$C$6),1,0)</f>
        <v>1</v>
      </c>
      <c r="C27" s="124">
        <f>IF($B27=1,COUNTIF($B$6:$B27,1),"")</f>
        <v>22</v>
      </c>
      <c r="D27" s="124" t="str">
        <f>IFERROR(INDEX(Instruments!$B$6:$B$205,MATCH(ROW()-5,$C$6:$C$205,0)),"")</f>
        <v>M6E</v>
      </c>
      <c r="E27" s="124" t="n"/>
      <c r="F27" s="124" t="n"/>
      <c r="G27" s="124" t="n"/>
      <c r="H27" s="124" t="n"/>
      <c r="I27" s="124" t="n"/>
      <c r="J27" s="124" t="n"/>
      <c r="K27" s="124" t="n"/>
      <c r="L27" s="124" t="n"/>
      <c r="M27" s="124" t="n"/>
      <c r="N27" s="124" t="n"/>
      <c r="O27" s="124" t="n"/>
      <c r="P27" s="124" t="n"/>
      <c r="Q27" s="124" t="n"/>
      <c r="R27" s="124" t="n"/>
      <c r="S27" s="124" t="n"/>
      <c r="T27" s="124" t="n"/>
      <c r="U27" s="124" t="n"/>
      <c r="V27" s="124" t="n"/>
      <c r="W27" s="124" t="n"/>
    </row>
    <row r="28">
      <c r="A28" s="124" t="str">
        <f>IF(Instruments!$B28="","",Instruments!$A28&amp;"|"&amp;UPPER(TRIM(Instruments!$B28)))</f>
        <v>Futures|6E</v>
      </c>
      <c r="B28" s="124">
        <f>IF(AND(Instruments!$B28&lt;&gt;"",Instruments!$A28=Settings!$C$6),1,0)</f>
        <v>1</v>
      </c>
      <c r="C28" s="124">
        <f>IF($B28=1,COUNTIF($B$6:$B28,1),"")</f>
        <v>23</v>
      </c>
      <c r="D28" s="124" t="str">
        <f>IFERROR(INDEX(Instruments!$B$6:$B$205,MATCH(ROW()-5,$C$6:$C$205,0)),"")</f>
        <v>6E</v>
      </c>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row>
    <row r="29">
      <c r="A29" s="124" t="str">
        <f>IF(Instruments!$B29="","",Instruments!$A29&amp;"|"&amp;UPPER(TRIM(Instruments!$B29)))</f>
        <v>Futures|6B</v>
      </c>
      <c r="B29" s="124">
        <f>IF(AND(Instruments!$B29&lt;&gt;"",Instruments!$A29=Settings!$C$6),1,0)</f>
        <v>1</v>
      </c>
      <c r="C29" s="124">
        <f>IF($B29=1,COUNTIF($B$6:$B29,1),"")</f>
        <v>24</v>
      </c>
      <c r="D29" s="124" t="str">
        <f>IFERROR(INDEX(Instruments!$B$6:$B$205,MATCH(ROW()-5,$C$6:$C$205,0)),"")</f>
        <v>6B</v>
      </c>
      <c r="E29" s="124" t="n"/>
      <c r="F29" s="124" t="n"/>
      <c r="G29" s="124" t="n"/>
      <c r="H29" s="124" t="n"/>
      <c r="I29" s="124" t="n"/>
      <c r="J29" s="124" t="n"/>
      <c r="K29" s="124" t="n"/>
      <c r="L29" s="124" t="n"/>
      <c r="M29" s="124" t="n"/>
      <c r="N29" s="124" t="n"/>
      <c r="O29" s="124" t="n"/>
      <c r="P29" s="124" t="n"/>
      <c r="Q29" s="124" t="n"/>
      <c r="R29" s="124" t="n"/>
      <c r="S29" s="124" t="n"/>
      <c r="T29" s="124" t="n"/>
      <c r="U29" s="124" t="n"/>
      <c r="V29" s="124" t="n"/>
      <c r="W29" s="124" t="n"/>
    </row>
    <row r="30">
      <c r="A30" s="124" t="str">
        <f>IF(Instruments!$B30="","",Instruments!$A30&amp;"|"&amp;UPPER(TRIM(Instruments!$B30)))</f>
        <v>Futures|6J</v>
      </c>
      <c r="B30" s="124">
        <f>IF(AND(Instruments!$B30&lt;&gt;"",Instruments!$A30=Settings!$C$6),1,0)</f>
        <v>1</v>
      </c>
      <c r="C30" s="124">
        <f>IF($B30=1,COUNTIF($B$6:$B30,1),"")</f>
        <v>25</v>
      </c>
      <c r="D30" s="124" t="str">
        <f>IFERROR(INDEX(Instruments!$B$6:$B$205,MATCH(ROW()-5,$C$6:$C$205,0)),"")</f>
        <v>6J</v>
      </c>
      <c r="E30" s="124" t="n"/>
      <c r="F30" s="124" t="n"/>
      <c r="G30" s="124" t="n"/>
      <c r="H30" s="124" t="n"/>
      <c r="I30" s="124" t="n"/>
      <c r="J30" s="124" t="n"/>
      <c r="K30" s="124" t="n"/>
      <c r="L30" s="124" t="n"/>
      <c r="M30" s="124" t="n"/>
      <c r="N30" s="124" t="n"/>
      <c r="O30" s="124" t="n"/>
      <c r="P30" s="124" t="n"/>
      <c r="Q30" s="124" t="n"/>
      <c r="R30" s="124" t="n"/>
      <c r="S30" s="124" t="n"/>
      <c r="T30" s="124" t="n"/>
      <c r="U30" s="124" t="n"/>
      <c r="V30" s="124" t="n"/>
      <c r="W30" s="124" t="n"/>
    </row>
    <row r="31">
      <c r="A31" s="124" t="str">
        <f>IF(Instruments!$B31="","",Instruments!$A31&amp;"|"&amp;UPPER(TRIM(Instruments!$B31)))</f>
        <v>Futures|6A</v>
      </c>
      <c r="B31" s="124">
        <f>IF(AND(Instruments!$B31&lt;&gt;"",Instruments!$A31=Settings!$C$6),1,0)</f>
        <v>1</v>
      </c>
      <c r="C31" s="124">
        <f>IF($B31=1,COUNTIF($B$6:$B31,1),"")</f>
        <v>26</v>
      </c>
      <c r="D31" s="124" t="str">
        <f>IFERROR(INDEX(Instruments!$B$6:$B$205,MATCH(ROW()-5,$C$6:$C$205,0)),"")</f>
        <v>6A</v>
      </c>
      <c r="E31" s="124" t="n"/>
      <c r="F31" s="124" t="n"/>
      <c r="G31" s="124" t="n"/>
      <c r="H31" s="124" t="n"/>
      <c r="I31" s="124" t="n"/>
      <c r="J31" s="124" t="n"/>
      <c r="K31" s="124" t="n"/>
      <c r="L31" s="124" t="n"/>
      <c r="M31" s="124" t="n"/>
      <c r="N31" s="124" t="n"/>
      <c r="O31" s="124" t="n"/>
      <c r="P31" s="124" t="n"/>
      <c r="Q31" s="124" t="n"/>
      <c r="R31" s="124" t="n"/>
      <c r="S31" s="124" t="n"/>
      <c r="T31" s="124" t="n"/>
      <c r="U31" s="124" t="n"/>
      <c r="V31" s="124" t="n"/>
      <c r="W31" s="124" t="n"/>
    </row>
    <row r="32">
      <c r="A32" s="124" t="str">
        <f>IF(Instruments!$B32="","",Instruments!$A32&amp;"|"&amp;UPPER(TRIM(Instruments!$B32)))</f>
        <v>Futures|6C</v>
      </c>
      <c r="B32" s="124">
        <f>IF(AND(Instruments!$B32&lt;&gt;"",Instruments!$A32=Settings!$C$6),1,0)</f>
        <v>1</v>
      </c>
      <c r="C32" s="124">
        <f>IF($B32=1,COUNTIF($B$6:$B32,1),"")</f>
        <v>27</v>
      </c>
      <c r="D32" s="124" t="str">
        <f>IFERROR(INDEX(Instruments!$B$6:$B$205,MATCH(ROW()-5,$C$6:$C$205,0)),"")</f>
        <v>6C</v>
      </c>
      <c r="E32" s="124" t="n"/>
      <c r="F32" s="124" t="n"/>
      <c r="G32" s="124" t="n"/>
      <c r="H32" s="124" t="n"/>
      <c r="I32" s="124" t="n"/>
      <c r="J32" s="124" t="n"/>
      <c r="K32" s="124" t="n"/>
      <c r="L32" s="124" t="n"/>
      <c r="M32" s="124" t="n"/>
      <c r="N32" s="124" t="n"/>
      <c r="O32" s="124" t="n"/>
      <c r="P32" s="124" t="n"/>
      <c r="Q32" s="124" t="n"/>
      <c r="R32" s="124" t="n"/>
      <c r="S32" s="124" t="n"/>
      <c r="T32" s="124" t="n"/>
      <c r="U32" s="124" t="n"/>
      <c r="V32" s="124" t="n"/>
      <c r="W32" s="124" t="n"/>
    </row>
    <row r="33">
      <c r="A33" s="124" t="str">
        <f>IF(Instruments!$B33="","",Instruments!$A33&amp;"|"&amp;UPPER(TRIM(Instruments!$B33)))</f>
        <v>Futures|MBT</v>
      </c>
      <c r="B33" s="124">
        <f>IF(AND(Instruments!$B33&lt;&gt;"",Instruments!$A33=Settings!$C$6),1,0)</f>
        <v>1</v>
      </c>
      <c r="C33" s="124">
        <f>IF($B33=1,COUNTIF($B$6:$B33,1),"")</f>
        <v>28</v>
      </c>
      <c r="D33" s="124" t="str">
        <f>IFERROR(INDEX(Instruments!$B$6:$B$205,MATCH(ROW()-5,$C$6:$C$205,0)),"")</f>
        <v>MBT</v>
      </c>
      <c r="E33" s="124" t="n"/>
      <c r="F33" s="124" t="n"/>
      <c r="G33" s="124" t="n"/>
      <c r="H33" s="124" t="n"/>
      <c r="I33" s="124" t="n"/>
      <c r="J33" s="124" t="n"/>
      <c r="K33" s="124" t="n"/>
      <c r="L33" s="124" t="n"/>
      <c r="M33" s="124" t="n"/>
      <c r="N33" s="124" t="n"/>
      <c r="O33" s="124" t="n"/>
      <c r="P33" s="124" t="n"/>
      <c r="Q33" s="124" t="n"/>
      <c r="R33" s="124" t="n"/>
      <c r="S33" s="124" t="n"/>
      <c r="T33" s="124" t="n"/>
      <c r="U33" s="124" t="n"/>
      <c r="V33" s="124" t="n"/>
      <c r="W33" s="124" t="n"/>
    </row>
    <row r="34">
      <c r="A34" s="124" t="str">
        <f>IF(Instruments!$B34="","",Instruments!$A34&amp;"|"&amp;UPPER(TRIM(Instruments!$B34)))</f>
        <v>Futures|BTC</v>
      </c>
      <c r="B34" s="124">
        <f>IF(AND(Instruments!$B34&lt;&gt;"",Instruments!$A34=Settings!$C$6),1,0)</f>
        <v>1</v>
      </c>
      <c r="C34" s="124">
        <f>IF($B34=1,COUNTIF($B$6:$B34,1),"")</f>
        <v>29</v>
      </c>
      <c r="D34" s="124" t="str">
        <f>IFERROR(INDEX(Instruments!$B$6:$B$205,MATCH(ROW()-5,$C$6:$C$205,0)),"")</f>
        <v>BTC</v>
      </c>
      <c r="E34" s="124" t="n"/>
      <c r="F34" s="124" t="n"/>
      <c r="G34" s="124" t="n"/>
      <c r="H34" s="124" t="n"/>
      <c r="I34" s="124" t="n"/>
      <c r="J34" s="124" t="n"/>
      <c r="K34" s="124" t="n"/>
      <c r="L34" s="124" t="n"/>
      <c r="M34" s="124" t="n"/>
      <c r="N34" s="124" t="n"/>
      <c r="O34" s="124" t="n"/>
      <c r="P34" s="124" t="n"/>
      <c r="Q34" s="124" t="n"/>
      <c r="R34" s="124" t="n"/>
      <c r="S34" s="124" t="n"/>
      <c r="T34" s="124" t="n"/>
      <c r="U34" s="124" t="n"/>
      <c r="V34" s="124" t="n"/>
      <c r="W34" s="124" t="n"/>
    </row>
    <row r="35">
      <c r="A35" s="124" t="str">
        <f>IF(Instruments!$B35="","",Instruments!$A35&amp;"|"&amp;UPPER(TRIM(Instruments!$B35)))</f>
        <v>Futures|MET</v>
      </c>
      <c r="B35" s="124">
        <f>IF(AND(Instruments!$B35&lt;&gt;"",Instruments!$A35=Settings!$C$6),1,0)</f>
        <v>1</v>
      </c>
      <c r="C35" s="124">
        <f>IF($B35=1,COUNTIF($B$6:$B35,1),"")</f>
        <v>30</v>
      </c>
      <c r="D35" s="124" t="str">
        <f>IFERROR(INDEX(Instruments!$B$6:$B$205,MATCH(ROW()-5,$C$6:$C$205,0)),"")</f>
        <v>MET</v>
      </c>
      <c r="E35" s="124" t="n"/>
      <c r="F35" s="124" t="n"/>
      <c r="G35" s="124" t="n"/>
      <c r="H35" s="124" t="n"/>
      <c r="I35" s="124" t="n"/>
      <c r="J35" s="124" t="n"/>
      <c r="K35" s="124" t="n"/>
      <c r="L35" s="124" t="n"/>
      <c r="M35" s="124" t="n"/>
      <c r="N35" s="124" t="n"/>
      <c r="O35" s="124" t="n"/>
      <c r="P35" s="124" t="n"/>
      <c r="Q35" s="124" t="n"/>
      <c r="R35" s="124" t="n"/>
      <c r="S35" s="124" t="n"/>
      <c r="T35" s="124" t="n"/>
      <c r="U35" s="124" t="n"/>
      <c r="V35" s="124" t="n"/>
      <c r="W35" s="124" t="n"/>
    </row>
    <row r="36">
      <c r="A36" s="124" t="str">
        <f>IF(Instruments!$B36="","",Instruments!$A36&amp;"|"&amp;UPPER(TRIM(Instruments!$B36)))</f>
        <v>Futures|ETH</v>
      </c>
      <c r="B36" s="124">
        <f>IF(AND(Instruments!$B36&lt;&gt;"",Instruments!$A36=Settings!$C$6),1,0)</f>
        <v>1</v>
      </c>
      <c r="C36" s="124">
        <f>IF($B36=1,COUNTIF($B$6:$B36,1),"")</f>
        <v>31</v>
      </c>
      <c r="D36" s="124" t="str">
        <f>IFERROR(INDEX(Instruments!$B$6:$B$205,MATCH(ROW()-5,$C$6:$C$205,0)),"")</f>
        <v>ETH</v>
      </c>
      <c r="E36" s="124" t="n"/>
      <c r="F36" s="124" t="n"/>
      <c r="G36" s="124" t="n"/>
      <c r="H36" s="124" t="n"/>
      <c r="I36" s="124" t="n"/>
      <c r="J36" s="124" t="n"/>
      <c r="K36" s="124" t="n"/>
      <c r="L36" s="124" t="n"/>
      <c r="M36" s="124" t="n"/>
      <c r="N36" s="124" t="n"/>
      <c r="O36" s="124" t="n"/>
      <c r="P36" s="124" t="n"/>
      <c r="Q36" s="124" t="n"/>
      <c r="R36" s="124" t="n"/>
      <c r="S36" s="124" t="n"/>
      <c r="T36" s="124" t="n"/>
      <c r="U36" s="124" t="n"/>
      <c r="V36" s="124" t="n"/>
      <c r="W36" s="124" t="n"/>
    </row>
    <row r="37">
      <c r="A37" s="124" t="str">
        <f>IF(Instruments!$B37="","",Instruments!$A37&amp;"|"&amp;UPPER(TRIM(Instruments!$B37)))</f>
        <v>Futures|ZC</v>
      </c>
      <c r="B37" s="124">
        <f>IF(AND(Instruments!$B37&lt;&gt;"",Instruments!$A37=Settings!$C$6),1,0)</f>
        <v>1</v>
      </c>
      <c r="C37" s="124">
        <f>IF($B37=1,COUNTIF($B$6:$B37,1),"")</f>
        <v>32</v>
      </c>
      <c r="D37" s="124" t="str">
        <f>IFERROR(INDEX(Instruments!$B$6:$B$205,MATCH(ROW()-5,$C$6:$C$205,0)),"")</f>
        <v>ZC</v>
      </c>
      <c r="E37" s="124" t="n"/>
      <c r="F37" s="124" t="n"/>
      <c r="G37" s="124" t="n"/>
      <c r="H37" s="124" t="n"/>
      <c r="I37" s="124" t="n"/>
      <c r="J37" s="124" t="n"/>
      <c r="K37" s="124" t="n"/>
      <c r="L37" s="124" t="n"/>
      <c r="M37" s="124" t="n"/>
      <c r="N37" s="124" t="n"/>
      <c r="O37" s="124" t="n"/>
      <c r="P37" s="124" t="n"/>
      <c r="Q37" s="124" t="n"/>
      <c r="R37" s="124" t="n"/>
      <c r="S37" s="124" t="n"/>
      <c r="T37" s="124" t="n"/>
      <c r="U37" s="124" t="n"/>
      <c r="V37" s="124" t="n"/>
      <c r="W37" s="124" t="n"/>
    </row>
    <row r="38">
      <c r="A38" s="124" t="str">
        <f>IF(Instruments!$B38="","",Instruments!$A38&amp;"|"&amp;UPPER(TRIM(Instruments!$B38)))</f>
        <v>Futures|ZS</v>
      </c>
      <c r="B38" s="124">
        <f>IF(AND(Instruments!$B38&lt;&gt;"",Instruments!$A38=Settings!$C$6),1,0)</f>
        <v>1</v>
      </c>
      <c r="C38" s="124">
        <f>IF($B38=1,COUNTIF($B$6:$B38,1),"")</f>
        <v>33</v>
      </c>
      <c r="D38" s="124" t="str">
        <f>IFERROR(INDEX(Instruments!$B$6:$B$205,MATCH(ROW()-5,$C$6:$C$205,0)),"")</f>
        <v>ZS</v>
      </c>
      <c r="E38" s="124" t="n"/>
      <c r="F38" s="124" t="n"/>
      <c r="G38" s="124" t="n"/>
      <c r="H38" s="124" t="n"/>
      <c r="I38" s="124" t="n"/>
      <c r="J38" s="124" t="n"/>
      <c r="K38" s="124" t="n"/>
      <c r="L38" s="124" t="n"/>
      <c r="M38" s="124" t="n"/>
      <c r="N38" s="124" t="n"/>
      <c r="O38" s="124" t="n"/>
      <c r="P38" s="124" t="n"/>
      <c r="Q38" s="124" t="n"/>
      <c r="R38" s="124" t="n"/>
      <c r="S38" s="124" t="n"/>
      <c r="T38" s="124" t="n"/>
      <c r="U38" s="124" t="n"/>
      <c r="V38" s="124" t="n"/>
      <c r="W38" s="124" t="n"/>
    </row>
    <row r="39">
      <c r="A39" s="124" t="str">
        <f>IF(Instruments!$B39="","",Instruments!$A39&amp;"|"&amp;UPPER(TRIM(Instruments!$B39)))</f>
        <v>Futures|ZW</v>
      </c>
      <c r="B39" s="124">
        <f>IF(AND(Instruments!$B39&lt;&gt;"",Instruments!$A39=Settings!$C$6),1,0)</f>
        <v>1</v>
      </c>
      <c r="C39" s="124">
        <f>IF($B39=1,COUNTIF($B$6:$B39,1),"")</f>
        <v>34</v>
      </c>
      <c r="D39" s="124" t="str">
        <f>IFERROR(INDEX(Instruments!$B$6:$B$205,MATCH(ROW()-5,$C$6:$C$205,0)),"")</f>
        <v>ZW</v>
      </c>
      <c r="E39" s="124" t="n"/>
      <c r="F39" s="124" t="n"/>
      <c r="G39" s="124" t="n"/>
      <c r="H39" s="124" t="n"/>
      <c r="I39" s="124" t="n"/>
      <c r="J39" s="124" t="n"/>
      <c r="K39" s="124" t="n"/>
      <c r="L39" s="124" t="n"/>
      <c r="M39" s="124" t="n"/>
      <c r="N39" s="124" t="n"/>
      <c r="O39" s="124" t="n"/>
      <c r="P39" s="124" t="n"/>
      <c r="Q39" s="124" t="n"/>
      <c r="R39" s="124" t="n"/>
      <c r="S39" s="124" t="n"/>
      <c r="T39" s="124" t="n"/>
      <c r="U39" s="124" t="n"/>
      <c r="V39" s="124" t="n"/>
      <c r="W39" s="124" t="n"/>
    </row>
    <row r="40">
      <c r="A40" s="124" t="str">
        <f>IF(Instruments!$B40="","",Instruments!$A40&amp;"|"&amp;UPPER(TRIM(Instruments!$B40)))</f>
        <v>Forex|EURUSD</v>
      </c>
      <c r="B40" s="124">
        <f>IF(AND(Instruments!$B40&lt;&gt;"",Instruments!$A40=Settings!$C$6),1,0)</f>
        <v>0</v>
      </c>
      <c r="C40" s="124" t="str">
        <f>IF($B40=1,COUNTIF($B$6:$B40,1),"")</f>
        <v/>
      </c>
      <c r="D40" s="124" t="str">
        <f>IFERROR(INDEX(Instruments!$B$6:$B$205,MATCH(ROW()-5,$C$6:$C$205,0)),"")</f>
        <v/>
      </c>
      <c r="E40" s="124" t="n"/>
      <c r="F40" s="124" t="n"/>
      <c r="G40" s="124" t="n"/>
      <c r="H40" s="124" t="n"/>
      <c r="I40" s="124" t="n"/>
      <c r="J40" s="124" t="n"/>
      <c r="K40" s="124" t="n"/>
      <c r="L40" s="124" t="n"/>
      <c r="M40" s="124" t="n"/>
      <c r="N40" s="124" t="n"/>
      <c r="O40" s="124" t="n"/>
      <c r="P40" s="124" t="n"/>
      <c r="Q40" s="124" t="n"/>
      <c r="R40" s="124" t="n"/>
      <c r="S40" s="124" t="n"/>
      <c r="T40" s="124" t="n"/>
      <c r="U40" s="124" t="n"/>
      <c r="V40" s="124" t="n"/>
      <c r="W40" s="124" t="n"/>
    </row>
    <row r="41">
      <c r="A41" s="124" t="str">
        <f>IF(Instruments!$B41="","",Instruments!$A41&amp;"|"&amp;UPPER(TRIM(Instruments!$B41)))</f>
        <v>Forex|GBPUSD</v>
      </c>
      <c r="B41" s="124">
        <f>IF(AND(Instruments!$B41&lt;&gt;"",Instruments!$A41=Settings!$C$6),1,0)</f>
        <v>0</v>
      </c>
      <c r="C41" s="124" t="str">
        <f>IF($B41=1,COUNTIF($B$6:$B41,1),"")</f>
        <v/>
      </c>
      <c r="D41" s="124" t="str">
        <f>IFERROR(INDEX(Instruments!$B$6:$B$205,MATCH(ROW()-5,$C$6:$C$205,0)),"")</f>
        <v/>
      </c>
      <c r="E41" s="124" t="n"/>
      <c r="F41" s="124" t="n"/>
      <c r="G41" s="124" t="n"/>
      <c r="H41" s="124" t="n"/>
      <c r="I41" s="124" t="n"/>
      <c r="J41" s="124" t="n"/>
      <c r="K41" s="124" t="n"/>
      <c r="L41" s="124" t="n"/>
      <c r="M41" s="124" t="n"/>
      <c r="N41" s="124" t="n"/>
      <c r="O41" s="124" t="n"/>
      <c r="P41" s="124" t="n"/>
      <c r="Q41" s="124" t="n"/>
      <c r="R41" s="124" t="n"/>
      <c r="S41" s="124" t="n"/>
      <c r="T41" s="124" t="n"/>
      <c r="U41" s="124" t="n"/>
      <c r="V41" s="124" t="n"/>
      <c r="W41" s="124" t="n"/>
    </row>
    <row r="42">
      <c r="A42" s="124" t="str">
        <f>IF(Instruments!$B42="","",Instruments!$A42&amp;"|"&amp;UPPER(TRIM(Instruments!$B42)))</f>
        <v>Forex|AUDUSD</v>
      </c>
      <c r="B42" s="124">
        <f>IF(AND(Instruments!$B42&lt;&gt;"",Instruments!$A42=Settings!$C$6),1,0)</f>
        <v>0</v>
      </c>
      <c r="C42" s="124" t="str">
        <f>IF($B42=1,COUNTIF($B$6:$B42,1),"")</f>
        <v/>
      </c>
      <c r="D42" s="124" t="str">
        <f>IFERROR(INDEX(Instruments!$B$6:$B$205,MATCH(ROW()-5,$C$6:$C$205,0)),"")</f>
        <v/>
      </c>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row>
    <row r="43">
      <c r="A43" s="124" t="str">
        <f>IF(Instruments!$B43="","",Instruments!$A43&amp;"|"&amp;UPPER(TRIM(Instruments!$B43)))</f>
        <v>Forex|NZDUSD</v>
      </c>
      <c r="B43" s="124">
        <f>IF(AND(Instruments!$B43&lt;&gt;"",Instruments!$A43=Settings!$C$6),1,0)</f>
        <v>0</v>
      </c>
      <c r="C43" s="124" t="str">
        <f>IF($B43=1,COUNTIF($B$6:$B43,1),"")</f>
        <v/>
      </c>
      <c r="D43" s="124" t="str">
        <f>IFERROR(INDEX(Instruments!$B$6:$B$205,MATCH(ROW()-5,$C$6:$C$205,0)),"")</f>
        <v/>
      </c>
      <c r="E43" s="124" t="n"/>
      <c r="F43" s="124" t="n"/>
      <c r="G43" s="124" t="n"/>
      <c r="H43" s="124" t="n"/>
      <c r="I43" s="124" t="n"/>
      <c r="J43" s="124" t="n"/>
      <c r="K43" s="124" t="n"/>
      <c r="L43" s="124" t="n"/>
      <c r="M43" s="124" t="n"/>
      <c r="N43" s="124" t="n"/>
      <c r="O43" s="124" t="n"/>
      <c r="P43" s="124" t="n"/>
      <c r="Q43" s="124" t="n"/>
      <c r="R43" s="124" t="n"/>
      <c r="S43" s="124" t="n"/>
      <c r="T43" s="124" t="n"/>
      <c r="U43" s="124" t="n"/>
      <c r="V43" s="124" t="n"/>
      <c r="W43" s="124" t="n"/>
    </row>
    <row r="44">
      <c r="A44" s="124" t="str">
        <f>IF(Instruments!$B44="","",Instruments!$A44&amp;"|"&amp;UPPER(TRIM(Instruments!$B44)))</f>
        <v>Forex|USDJPY</v>
      </c>
      <c r="B44" s="124">
        <f>IF(AND(Instruments!$B44&lt;&gt;"",Instruments!$A44=Settings!$C$6),1,0)</f>
        <v>0</v>
      </c>
      <c r="C44" s="124" t="str">
        <f>IF($B44=1,COUNTIF($B$6:$B44,1),"")</f>
        <v/>
      </c>
      <c r="D44" s="124" t="str">
        <f>IFERROR(INDEX(Instruments!$B$6:$B$205,MATCH(ROW()-5,$C$6:$C$205,0)),"")</f>
        <v/>
      </c>
      <c r="E44" s="124" t="n"/>
      <c r="F44" s="124" t="n"/>
      <c r="G44" s="124" t="n"/>
      <c r="H44" s="124" t="n"/>
      <c r="I44" s="124" t="n"/>
      <c r="J44" s="124" t="n"/>
      <c r="K44" s="124" t="n"/>
      <c r="L44" s="124" t="n"/>
      <c r="M44" s="124" t="n"/>
      <c r="N44" s="124" t="n"/>
      <c r="O44" s="124" t="n"/>
      <c r="P44" s="124" t="n"/>
      <c r="Q44" s="124" t="n"/>
      <c r="R44" s="124" t="n"/>
      <c r="S44" s="124" t="n"/>
      <c r="T44" s="124" t="n"/>
      <c r="U44" s="124" t="n"/>
      <c r="V44" s="124" t="n"/>
      <c r="W44" s="124" t="n"/>
    </row>
    <row r="45">
      <c r="A45" s="124" t="str">
        <f>IF(Instruments!$B45="","",Instruments!$A45&amp;"|"&amp;UPPER(TRIM(Instruments!$B45)))</f>
        <v>Forex|USDCAD</v>
      </c>
      <c r="B45" s="124">
        <f>IF(AND(Instruments!$B45&lt;&gt;"",Instruments!$A45=Settings!$C$6),1,0)</f>
        <v>0</v>
      </c>
      <c r="C45" s="124" t="str">
        <f>IF($B45=1,COUNTIF($B$6:$B45,1),"")</f>
        <v/>
      </c>
      <c r="D45" s="124" t="str">
        <f>IFERROR(INDEX(Instruments!$B$6:$B$205,MATCH(ROW()-5,$C$6:$C$205,0)),"")</f>
        <v/>
      </c>
      <c r="E45" s="124" t="n"/>
      <c r="F45" s="124" t="n"/>
      <c r="G45" s="124" t="n"/>
      <c r="H45" s="124" t="n"/>
      <c r="I45" s="124" t="n"/>
      <c r="J45" s="124" t="n"/>
      <c r="K45" s="124" t="n"/>
      <c r="L45" s="124" t="n"/>
      <c r="M45" s="124" t="n"/>
      <c r="N45" s="124" t="n"/>
      <c r="O45" s="124" t="n"/>
      <c r="P45" s="124" t="n"/>
      <c r="Q45" s="124" t="n"/>
      <c r="R45" s="124" t="n"/>
      <c r="S45" s="124" t="n"/>
      <c r="T45" s="124" t="n"/>
      <c r="U45" s="124" t="n"/>
      <c r="V45" s="124" t="n"/>
      <c r="W45" s="124" t="n"/>
    </row>
    <row r="46">
      <c r="A46" s="124" t="str">
        <f>IF(Instruments!$B46="","",Instruments!$A46&amp;"|"&amp;UPPER(TRIM(Instruments!$B46)))</f>
        <v>Forex|USDCHF</v>
      </c>
      <c r="B46" s="124">
        <f>IF(AND(Instruments!$B46&lt;&gt;"",Instruments!$A46=Settings!$C$6),1,0)</f>
        <v>0</v>
      </c>
      <c r="C46" s="124" t="str">
        <f>IF($B46=1,COUNTIF($B$6:$B46,1),"")</f>
        <v/>
      </c>
      <c r="D46" s="124" t="str">
        <f>IFERROR(INDEX(Instruments!$B$6:$B$205,MATCH(ROW()-5,$C$6:$C$205,0)),"")</f>
        <v/>
      </c>
      <c r="E46" s="124" t="n"/>
      <c r="F46" s="124" t="n"/>
      <c r="G46" s="124" t="n"/>
      <c r="H46" s="124" t="n"/>
      <c r="I46" s="124" t="n"/>
      <c r="J46" s="124" t="n"/>
      <c r="K46" s="124" t="n"/>
      <c r="L46" s="124" t="n"/>
      <c r="M46" s="124" t="n"/>
      <c r="N46" s="124" t="n"/>
      <c r="O46" s="124" t="n"/>
      <c r="P46" s="124" t="n"/>
      <c r="Q46" s="124" t="n"/>
      <c r="R46" s="124" t="n"/>
      <c r="S46" s="124" t="n"/>
      <c r="T46" s="124" t="n"/>
      <c r="U46" s="124" t="n"/>
      <c r="V46" s="124" t="n"/>
      <c r="W46" s="124" t="n"/>
    </row>
    <row r="47">
      <c r="A47" s="124" t="str">
        <f>IF(Instruments!$B47="","",Instruments!$A47&amp;"|"&amp;UPPER(TRIM(Instruments!$B47)))</f>
        <v>Forex|EURJPY</v>
      </c>
      <c r="B47" s="124">
        <f>IF(AND(Instruments!$B47&lt;&gt;"",Instruments!$A47=Settings!$C$6),1,0)</f>
        <v>0</v>
      </c>
      <c r="C47" s="124" t="str">
        <f>IF($B47=1,COUNTIF($B$6:$B47,1),"")</f>
        <v/>
      </c>
      <c r="D47" s="124" t="str">
        <f>IFERROR(INDEX(Instruments!$B$6:$B$205,MATCH(ROW()-5,$C$6:$C$205,0)),"")</f>
        <v/>
      </c>
      <c r="E47" s="124" t="n"/>
      <c r="F47" s="124" t="n"/>
      <c r="G47" s="124" t="n"/>
      <c r="H47" s="124" t="n"/>
      <c r="I47" s="124" t="n"/>
      <c r="J47" s="124" t="n"/>
      <c r="K47" s="124" t="n"/>
      <c r="L47" s="124" t="n"/>
      <c r="M47" s="124" t="n"/>
      <c r="N47" s="124" t="n"/>
      <c r="O47" s="124" t="n"/>
      <c r="P47" s="124" t="n"/>
      <c r="Q47" s="124" t="n"/>
      <c r="R47" s="124" t="n"/>
      <c r="S47" s="124" t="n"/>
      <c r="T47" s="124" t="n"/>
      <c r="U47" s="124" t="n"/>
      <c r="V47" s="124" t="n"/>
      <c r="W47" s="124" t="n"/>
    </row>
    <row r="48">
      <c r="A48" s="124" t="str">
        <f>IF(Instruments!$B48="","",Instruments!$A48&amp;"|"&amp;UPPER(TRIM(Instruments!$B48)))</f>
        <v>Forex|GBPJPY</v>
      </c>
      <c r="B48" s="124">
        <f>IF(AND(Instruments!$B48&lt;&gt;"",Instruments!$A48=Settings!$C$6),1,0)</f>
        <v>0</v>
      </c>
      <c r="C48" s="124" t="str">
        <f>IF($B48=1,COUNTIF($B$6:$B48,1),"")</f>
        <v/>
      </c>
      <c r="D48" s="124" t="str">
        <f>IFERROR(INDEX(Instruments!$B$6:$B$205,MATCH(ROW()-5,$C$6:$C$205,0)),"")</f>
        <v/>
      </c>
      <c r="E48" s="124" t="n"/>
      <c r="F48" s="124" t="n"/>
      <c r="G48" s="124" t="n"/>
      <c r="H48" s="124" t="n"/>
      <c r="I48" s="124" t="n"/>
      <c r="J48" s="124" t="n"/>
      <c r="K48" s="124" t="n"/>
      <c r="L48" s="124" t="n"/>
      <c r="M48" s="124" t="n"/>
      <c r="N48" s="124" t="n"/>
      <c r="O48" s="124" t="n"/>
      <c r="P48" s="124" t="n"/>
      <c r="Q48" s="124" t="n"/>
      <c r="R48" s="124" t="n"/>
      <c r="S48" s="124" t="n"/>
      <c r="T48" s="124" t="n"/>
      <c r="U48" s="124" t="n"/>
      <c r="V48" s="124" t="n"/>
      <c r="W48" s="124" t="n"/>
    </row>
    <row r="49">
      <c r="A49" s="124" t="str">
        <f>IF(Instruments!$B49="","",Instruments!$A49&amp;"|"&amp;UPPER(TRIM(Instruments!$B49)))</f>
        <v>Forex|EURGBP</v>
      </c>
      <c r="B49" s="124">
        <f>IF(AND(Instruments!$B49&lt;&gt;"",Instruments!$A49=Settings!$C$6),1,0)</f>
        <v>0</v>
      </c>
      <c r="C49" s="124" t="str">
        <f>IF($B49=1,COUNTIF($B$6:$B49,1),"")</f>
        <v/>
      </c>
      <c r="D49" s="124" t="str">
        <f>IFERROR(INDEX(Instruments!$B$6:$B$205,MATCH(ROW()-5,$C$6:$C$205,0)),"")</f>
        <v/>
      </c>
      <c r="E49" s="124" t="n"/>
      <c r="F49" s="124" t="n"/>
      <c r="G49" s="124" t="n"/>
      <c r="H49" s="124" t="n"/>
      <c r="I49" s="124" t="n"/>
      <c r="J49" s="124" t="n"/>
      <c r="K49" s="124" t="n"/>
      <c r="L49" s="124" t="n"/>
      <c r="M49" s="124" t="n"/>
      <c r="N49" s="124" t="n"/>
      <c r="O49" s="124" t="n"/>
      <c r="P49" s="124" t="n"/>
      <c r="Q49" s="124" t="n"/>
      <c r="R49" s="124" t="n"/>
      <c r="S49" s="124" t="n"/>
      <c r="T49" s="124" t="n"/>
      <c r="U49" s="124" t="n"/>
      <c r="V49" s="124" t="n"/>
      <c r="W49" s="124" t="n"/>
    </row>
    <row r="50">
      <c r="A50" s="124" t="str">
        <f>IF(Instruments!$B50="","",Instruments!$A50&amp;"|"&amp;UPPER(TRIM(Instruments!$B50)))</f>
        <v>Forex|XAUUSD</v>
      </c>
      <c r="B50" s="124">
        <f>IF(AND(Instruments!$B50&lt;&gt;"",Instruments!$A50=Settings!$C$6),1,0)</f>
        <v>0</v>
      </c>
      <c r="C50" s="124" t="str">
        <f>IF($B50=1,COUNTIF($B$6:$B50,1),"")</f>
        <v/>
      </c>
      <c r="D50" s="124" t="str">
        <f>IFERROR(INDEX(Instruments!$B$6:$B$205,MATCH(ROW()-5,$C$6:$C$205,0)),"")</f>
        <v/>
      </c>
      <c r="E50" s="124" t="n"/>
      <c r="F50" s="124" t="n"/>
      <c r="G50" s="124" t="n"/>
      <c r="H50" s="124" t="n"/>
      <c r="I50" s="124" t="n"/>
      <c r="J50" s="124" t="n"/>
      <c r="K50" s="124" t="n"/>
      <c r="L50" s="124" t="n"/>
      <c r="M50" s="124" t="n"/>
      <c r="N50" s="124" t="n"/>
      <c r="O50" s="124" t="n"/>
      <c r="P50" s="124" t="n"/>
      <c r="Q50" s="124" t="n"/>
      <c r="R50" s="124" t="n"/>
      <c r="S50" s="124" t="n"/>
      <c r="T50" s="124" t="n"/>
      <c r="U50" s="124" t="n"/>
      <c r="V50" s="124" t="n"/>
      <c r="W50" s="124" t="n"/>
    </row>
    <row r="51">
      <c r="A51" s="124" t="str">
        <f>IF(Instruments!$B51="","",Instruments!$A51&amp;"|"&amp;UPPER(TRIM(Instruments!$B51)))</f>
        <v>Crypto|BTCUSDT</v>
      </c>
      <c r="B51" s="124">
        <f>IF(AND(Instruments!$B51&lt;&gt;"",Instruments!$A51=Settings!$C$6),1,0)</f>
        <v>0</v>
      </c>
      <c r="C51" s="124" t="str">
        <f>IF($B51=1,COUNTIF($B$6:$B51,1),"")</f>
        <v/>
      </c>
      <c r="D51" s="124" t="str">
        <f>IFERROR(INDEX(Instruments!$B$6:$B$205,MATCH(ROW()-5,$C$6:$C$205,0)),"")</f>
        <v/>
      </c>
      <c r="E51" s="124" t="n"/>
      <c r="F51" s="124" t="n"/>
      <c r="G51" s="124" t="n"/>
      <c r="H51" s="124" t="n"/>
      <c r="I51" s="124" t="n"/>
      <c r="J51" s="124" t="n"/>
      <c r="K51" s="124" t="n"/>
      <c r="L51" s="124" t="n"/>
      <c r="M51" s="124" t="n"/>
      <c r="N51" s="124" t="n"/>
      <c r="O51" s="124" t="n"/>
      <c r="P51" s="124" t="n"/>
      <c r="Q51" s="124" t="n"/>
      <c r="R51" s="124" t="n"/>
      <c r="S51" s="124" t="n"/>
      <c r="T51" s="124" t="n"/>
      <c r="U51" s="124" t="n"/>
      <c r="V51" s="124" t="n"/>
      <c r="W51" s="124" t="n"/>
    </row>
    <row r="52">
      <c r="A52" s="124" t="str">
        <f>IF(Instruments!$B52="","",Instruments!$A52&amp;"|"&amp;UPPER(TRIM(Instruments!$B52)))</f>
        <v>Crypto|ETHUSDT</v>
      </c>
      <c r="B52" s="124">
        <f>IF(AND(Instruments!$B52&lt;&gt;"",Instruments!$A52=Settings!$C$6),1,0)</f>
        <v>0</v>
      </c>
      <c r="C52" s="124" t="str">
        <f>IF($B52=1,COUNTIF($B$6:$B52,1),"")</f>
        <v/>
      </c>
      <c r="D52" s="124" t="str">
        <f>IFERROR(INDEX(Instruments!$B$6:$B$205,MATCH(ROW()-5,$C$6:$C$205,0)),"")</f>
        <v/>
      </c>
      <c r="E52" s="124" t="n"/>
      <c r="F52" s="124" t="n"/>
      <c r="G52" s="124" t="n"/>
      <c r="H52" s="124" t="n"/>
      <c r="I52" s="124" t="n"/>
      <c r="J52" s="124" t="n"/>
      <c r="K52" s="124" t="n"/>
      <c r="L52" s="124" t="n"/>
      <c r="M52" s="124" t="n"/>
      <c r="N52" s="124" t="n"/>
      <c r="O52" s="124" t="n"/>
      <c r="P52" s="124" t="n"/>
      <c r="Q52" s="124" t="n"/>
      <c r="R52" s="124" t="n"/>
      <c r="S52" s="124" t="n"/>
      <c r="T52" s="124" t="n"/>
      <c r="U52" s="124" t="n"/>
      <c r="V52" s="124" t="n"/>
      <c r="W52" s="124" t="n"/>
    </row>
    <row r="53">
      <c r="A53" s="124" t="str">
        <f>IF(Instruments!$B53="","",Instruments!$A53&amp;"|"&amp;UPPER(TRIM(Instruments!$B53)))</f>
        <v>Crypto|SOLUSDT</v>
      </c>
      <c r="B53" s="124">
        <f>IF(AND(Instruments!$B53&lt;&gt;"",Instruments!$A53=Settings!$C$6),1,0)</f>
        <v>0</v>
      </c>
      <c r="C53" s="124" t="str">
        <f>IF($B53=1,COUNTIF($B$6:$B53,1),"")</f>
        <v/>
      </c>
      <c r="D53" s="124" t="str">
        <f>IFERROR(INDEX(Instruments!$B$6:$B$205,MATCH(ROW()-5,$C$6:$C$205,0)),"")</f>
        <v/>
      </c>
      <c r="E53" s="124" t="n"/>
      <c r="F53" s="124" t="n"/>
      <c r="G53" s="124" t="n"/>
      <c r="H53" s="124" t="n"/>
      <c r="I53" s="124" t="n"/>
      <c r="J53" s="124" t="n"/>
      <c r="K53" s="124" t="n"/>
      <c r="L53" s="124" t="n"/>
      <c r="M53" s="124" t="n"/>
      <c r="N53" s="124" t="n"/>
      <c r="O53" s="124" t="n"/>
      <c r="P53" s="124" t="n"/>
      <c r="Q53" s="124" t="n"/>
      <c r="R53" s="124" t="n"/>
      <c r="S53" s="124" t="n"/>
      <c r="T53" s="124" t="n"/>
      <c r="U53" s="124" t="n"/>
      <c r="V53" s="124" t="n"/>
      <c r="W53" s="124" t="n"/>
    </row>
    <row r="54">
      <c r="A54" s="124" t="str">
        <f>IF(Instruments!$B54="","",Instruments!$A54&amp;"|"&amp;UPPER(TRIM(Instruments!$B54)))</f>
        <v>Crypto|XRPUSDT</v>
      </c>
      <c r="B54" s="124">
        <f>IF(AND(Instruments!$B54&lt;&gt;"",Instruments!$A54=Settings!$C$6),1,0)</f>
        <v>0</v>
      </c>
      <c r="C54" s="124" t="str">
        <f>IF($B54=1,COUNTIF($B$6:$B54,1),"")</f>
        <v/>
      </c>
      <c r="D54" s="124" t="str">
        <f>IFERROR(INDEX(Instruments!$B$6:$B$205,MATCH(ROW()-5,$C$6:$C$205,0)),"")</f>
        <v/>
      </c>
      <c r="E54" s="124" t="n"/>
      <c r="F54" s="124" t="n"/>
      <c r="G54" s="124" t="n"/>
      <c r="H54" s="124" t="n"/>
      <c r="I54" s="124" t="n"/>
      <c r="J54" s="124" t="n"/>
      <c r="K54" s="124" t="n"/>
      <c r="L54" s="124" t="n"/>
      <c r="M54" s="124" t="n"/>
      <c r="N54" s="124" t="n"/>
      <c r="O54" s="124" t="n"/>
      <c r="P54" s="124" t="n"/>
      <c r="Q54" s="124" t="n"/>
      <c r="R54" s="124" t="n"/>
      <c r="S54" s="124" t="n"/>
      <c r="T54" s="124" t="n"/>
      <c r="U54" s="124" t="n"/>
      <c r="V54" s="124" t="n"/>
      <c r="W54" s="124" t="n"/>
    </row>
    <row r="55">
      <c r="A55" s="124" t="str">
        <f>IF(Instruments!$B55="","",Instruments!$A55&amp;"|"&amp;UPPER(TRIM(Instruments!$B55)))</f>
        <v>Crypto|BNBUSDT</v>
      </c>
      <c r="B55" s="124">
        <f>IF(AND(Instruments!$B55&lt;&gt;"",Instruments!$A55=Settings!$C$6),1,0)</f>
        <v>0</v>
      </c>
      <c r="C55" s="124" t="str">
        <f>IF($B55=1,COUNTIF($B$6:$B55,1),"")</f>
        <v/>
      </c>
      <c r="D55" s="124" t="str">
        <f>IFERROR(INDEX(Instruments!$B$6:$B$205,MATCH(ROW()-5,$C$6:$C$205,0)),"")</f>
        <v/>
      </c>
      <c r="E55" s="124" t="n"/>
      <c r="F55" s="124" t="n"/>
      <c r="G55" s="124" t="n"/>
      <c r="H55" s="124" t="n"/>
      <c r="I55" s="124" t="n"/>
      <c r="J55" s="124" t="n"/>
      <c r="K55" s="124" t="n"/>
      <c r="L55" s="124" t="n"/>
      <c r="M55" s="124" t="n"/>
      <c r="N55" s="124" t="n"/>
      <c r="O55" s="124" t="n"/>
      <c r="P55" s="124" t="n"/>
      <c r="Q55" s="124" t="n"/>
      <c r="R55" s="124" t="n"/>
      <c r="S55" s="124" t="n"/>
      <c r="T55" s="124" t="n"/>
      <c r="U55" s="124" t="n"/>
      <c r="V55" s="124" t="n"/>
      <c r="W55" s="124" t="n"/>
    </row>
    <row r="56">
      <c r="A56" s="124" t="str">
        <f>IF(Instruments!$B56="","",Instruments!$A56&amp;"|"&amp;UPPER(TRIM(Instruments!$B56)))</f>
        <v>Crypto|DOGEUSDT</v>
      </c>
      <c r="B56" s="124">
        <f>IF(AND(Instruments!$B56&lt;&gt;"",Instruments!$A56=Settings!$C$6),1,0)</f>
        <v>0</v>
      </c>
      <c r="C56" s="124" t="str">
        <f>IF($B56=1,COUNTIF($B$6:$B56,1),"")</f>
        <v/>
      </c>
      <c r="D56" s="124" t="str">
        <f>IFERROR(INDEX(Instruments!$B$6:$B$205,MATCH(ROW()-5,$C$6:$C$205,0)),"")</f>
        <v/>
      </c>
      <c r="E56" s="124" t="n"/>
      <c r="F56" s="124" t="n"/>
      <c r="G56" s="124" t="n"/>
      <c r="H56" s="124" t="n"/>
      <c r="I56" s="124" t="n"/>
      <c r="J56" s="124" t="n"/>
      <c r="K56" s="124" t="n"/>
      <c r="L56" s="124" t="n"/>
      <c r="M56" s="124" t="n"/>
      <c r="N56" s="124" t="n"/>
      <c r="O56" s="124" t="n"/>
      <c r="P56" s="124" t="n"/>
      <c r="Q56" s="124" t="n"/>
      <c r="R56" s="124" t="n"/>
      <c r="S56" s="124" t="n"/>
      <c r="T56" s="124" t="n"/>
      <c r="U56" s="124" t="n"/>
      <c r="V56" s="124" t="n"/>
      <c r="W56" s="124" t="n"/>
    </row>
    <row r="57">
      <c r="A57" s="124" t="str">
        <f>IF(Instruments!$B57="","",Instruments!$A57&amp;"|"&amp;UPPER(TRIM(Instruments!$B57)))</f>
        <v>Crypto|ADAUSDT</v>
      </c>
      <c r="B57" s="124">
        <f>IF(AND(Instruments!$B57&lt;&gt;"",Instruments!$A57=Settings!$C$6),1,0)</f>
        <v>0</v>
      </c>
      <c r="C57" s="124" t="str">
        <f>IF($B57=1,COUNTIF($B$6:$B57,1),"")</f>
        <v/>
      </c>
      <c r="D57" s="124" t="str">
        <f>IFERROR(INDEX(Instruments!$B$6:$B$205,MATCH(ROW()-5,$C$6:$C$205,0)),"")</f>
        <v/>
      </c>
      <c r="E57" s="124" t="n"/>
      <c r="F57" s="124" t="n"/>
      <c r="G57" s="124" t="n"/>
      <c r="H57" s="124" t="n"/>
      <c r="I57" s="124" t="n"/>
      <c r="J57" s="124" t="n"/>
      <c r="K57" s="124" t="n"/>
      <c r="L57" s="124" t="n"/>
      <c r="M57" s="124" t="n"/>
      <c r="N57" s="124" t="n"/>
      <c r="O57" s="124" t="n"/>
      <c r="P57" s="124" t="n"/>
      <c r="Q57" s="124" t="n"/>
      <c r="R57" s="124" t="n"/>
      <c r="S57" s="124" t="n"/>
      <c r="T57" s="124" t="n"/>
      <c r="U57" s="124" t="n"/>
      <c r="V57" s="124" t="n"/>
      <c r="W57" s="124" t="n"/>
    </row>
    <row r="58">
      <c r="A58" s="124" t="str">
        <f>IF(Instruments!$B58="","",Instruments!$A58&amp;"|"&amp;UPPER(TRIM(Instruments!$B58)))</f>
        <v>Crypto|HBARUSDT</v>
      </c>
      <c r="B58" s="124">
        <f>IF(AND(Instruments!$B58&lt;&gt;"",Instruments!$A58=Settings!$C$6),1,0)</f>
        <v>0</v>
      </c>
      <c r="C58" s="124" t="str">
        <f>IF($B58=1,COUNTIF($B$6:$B58,1),"")</f>
        <v/>
      </c>
      <c r="D58" s="124" t="str">
        <f>IFERROR(INDEX(Instruments!$B$6:$B$205,MATCH(ROW()-5,$C$6:$C$205,0)),"")</f>
        <v/>
      </c>
      <c r="E58" s="124" t="n"/>
      <c r="F58" s="124" t="n"/>
      <c r="G58" s="124" t="n"/>
      <c r="H58" s="124" t="n"/>
      <c r="I58" s="124" t="n"/>
      <c r="J58" s="124" t="n"/>
      <c r="K58" s="124" t="n"/>
      <c r="L58" s="124" t="n"/>
      <c r="M58" s="124" t="n"/>
      <c r="N58" s="124" t="n"/>
      <c r="O58" s="124" t="n"/>
      <c r="P58" s="124" t="n"/>
      <c r="Q58" s="124" t="n"/>
      <c r="R58" s="124" t="n"/>
      <c r="S58" s="124" t="n"/>
      <c r="T58" s="124" t="n"/>
      <c r="U58" s="124" t="n"/>
      <c r="V58" s="124" t="n"/>
      <c r="W58" s="124" t="n"/>
    </row>
    <row r="59">
      <c r="A59" s="124" t="str">
        <f>IF(Instruments!$B59="","",Instruments!$A59&amp;"|"&amp;UPPER(TRIM(Instruments!$B59)))</f>
        <v>Stocks|SPY</v>
      </c>
      <c r="B59" s="124">
        <f>IF(AND(Instruments!$B59&lt;&gt;"",Instruments!$A59=Settings!$C$6),1,0)</f>
        <v>0</v>
      </c>
      <c r="C59" s="124" t="str">
        <f>IF($B59=1,COUNTIF($B$6:$B59,1),"")</f>
        <v/>
      </c>
      <c r="D59" s="124" t="str">
        <f>IFERROR(INDEX(Instruments!$B$6:$B$205,MATCH(ROW()-5,$C$6:$C$205,0)),"")</f>
        <v/>
      </c>
      <c r="E59" s="124" t="n"/>
      <c r="F59" s="124" t="n"/>
      <c r="G59" s="124" t="n"/>
      <c r="H59" s="124" t="n"/>
      <c r="I59" s="124" t="n"/>
      <c r="J59" s="124" t="n"/>
      <c r="K59" s="124" t="n"/>
      <c r="L59" s="124" t="n"/>
      <c r="M59" s="124" t="n"/>
      <c r="N59" s="124" t="n"/>
      <c r="O59" s="124" t="n"/>
      <c r="P59" s="124" t="n"/>
      <c r="Q59" s="124" t="n"/>
      <c r="R59" s="124" t="n"/>
      <c r="S59" s="124" t="n"/>
      <c r="T59" s="124" t="n"/>
      <c r="U59" s="124" t="n"/>
      <c r="V59" s="124" t="n"/>
      <c r="W59" s="124" t="n"/>
    </row>
    <row r="60">
      <c r="A60" s="124" t="str">
        <f>IF(Instruments!$B60="","",Instruments!$A60&amp;"|"&amp;UPPER(TRIM(Instruments!$B60)))</f>
        <v>Stocks|QQQ</v>
      </c>
      <c r="B60" s="124">
        <f>IF(AND(Instruments!$B60&lt;&gt;"",Instruments!$A60=Settings!$C$6),1,0)</f>
        <v>0</v>
      </c>
      <c r="C60" s="124" t="str">
        <f>IF($B60=1,COUNTIF($B$6:$B60,1),"")</f>
        <v/>
      </c>
      <c r="D60" s="124" t="str">
        <f>IFERROR(INDEX(Instruments!$B$6:$B$205,MATCH(ROW()-5,$C$6:$C$205,0)),"")</f>
        <v/>
      </c>
      <c r="E60" s="124" t="n"/>
      <c r="F60" s="124" t="n"/>
      <c r="G60" s="124" t="n"/>
      <c r="H60" s="124" t="n"/>
      <c r="I60" s="124" t="n"/>
      <c r="J60" s="124" t="n"/>
      <c r="K60" s="124" t="n"/>
      <c r="L60" s="124" t="n"/>
      <c r="M60" s="124" t="n"/>
      <c r="N60" s="124" t="n"/>
      <c r="O60" s="124" t="n"/>
      <c r="P60" s="124" t="n"/>
      <c r="Q60" s="124" t="n"/>
      <c r="R60" s="124" t="n"/>
      <c r="S60" s="124" t="n"/>
      <c r="T60" s="124" t="n"/>
      <c r="U60" s="124" t="n"/>
      <c r="V60" s="124" t="n"/>
      <c r="W60" s="124" t="n"/>
    </row>
    <row r="61">
      <c r="A61" s="124" t="str">
        <f>IF(Instruments!$B61="","",Instruments!$A61&amp;"|"&amp;UPPER(TRIM(Instruments!$B61)))</f>
        <v>Stocks|AAPL</v>
      </c>
      <c r="B61" s="124">
        <f>IF(AND(Instruments!$B61&lt;&gt;"",Instruments!$A61=Settings!$C$6),1,0)</f>
        <v>0</v>
      </c>
      <c r="C61" s="124" t="str">
        <f>IF($B61=1,COUNTIF($B$6:$B61,1),"")</f>
        <v/>
      </c>
      <c r="D61" s="124" t="str">
        <f>IFERROR(INDEX(Instruments!$B$6:$B$205,MATCH(ROW()-5,$C$6:$C$205,0)),"")</f>
        <v/>
      </c>
      <c r="E61" s="124" t="n"/>
      <c r="F61" s="124" t="n"/>
      <c r="G61" s="124" t="n"/>
      <c r="H61" s="124" t="n"/>
      <c r="I61" s="124" t="n"/>
      <c r="J61" s="124" t="n"/>
      <c r="K61" s="124" t="n"/>
      <c r="L61" s="124" t="n"/>
      <c r="M61" s="124" t="n"/>
      <c r="N61" s="124" t="n"/>
      <c r="O61" s="124" t="n"/>
      <c r="P61" s="124" t="n"/>
      <c r="Q61" s="124" t="n"/>
      <c r="R61" s="124" t="n"/>
      <c r="S61" s="124" t="n"/>
      <c r="T61" s="124" t="n"/>
      <c r="U61" s="124" t="n"/>
      <c r="V61" s="124" t="n"/>
      <c r="W61" s="124" t="n"/>
    </row>
    <row r="62">
      <c r="A62" s="124" t="str">
        <f>IF(Instruments!$B62="","",Instruments!$A62&amp;"|"&amp;UPPER(TRIM(Instruments!$B62)))</f>
        <v>Stocks|NVDA</v>
      </c>
      <c r="B62" s="124">
        <f>IF(AND(Instruments!$B62&lt;&gt;"",Instruments!$A62=Settings!$C$6),1,0)</f>
        <v>0</v>
      </c>
      <c r="C62" s="124" t="str">
        <f>IF($B62=1,COUNTIF($B$6:$B62,1),"")</f>
        <v/>
      </c>
      <c r="D62" s="124" t="str">
        <f>IFERROR(INDEX(Instruments!$B$6:$B$205,MATCH(ROW()-5,$C$6:$C$205,0)),"")</f>
        <v/>
      </c>
      <c r="E62" s="124" t="n"/>
      <c r="F62" s="124" t="n"/>
      <c r="G62" s="124" t="n"/>
      <c r="H62" s="124" t="n"/>
      <c r="I62" s="124" t="n"/>
      <c r="J62" s="124" t="n"/>
      <c r="K62" s="124" t="n"/>
      <c r="L62" s="124" t="n"/>
      <c r="M62" s="124" t="n"/>
      <c r="N62" s="124" t="n"/>
      <c r="O62" s="124" t="n"/>
      <c r="P62" s="124" t="n"/>
      <c r="Q62" s="124" t="n"/>
      <c r="R62" s="124" t="n"/>
      <c r="S62" s="124" t="n"/>
      <c r="T62" s="124" t="n"/>
      <c r="U62" s="124" t="n"/>
      <c r="V62" s="124" t="n"/>
      <c r="W62" s="124" t="n"/>
    </row>
    <row r="63">
      <c r="A63" s="124" t="str">
        <f>IF(Instruments!$B63="","",Instruments!$A63&amp;"|"&amp;UPPER(TRIM(Instruments!$B63)))</f>
        <v>Stocks|TSLA</v>
      </c>
      <c r="B63" s="124">
        <f>IF(AND(Instruments!$B63&lt;&gt;"",Instruments!$A63=Settings!$C$6),1,0)</f>
        <v>0</v>
      </c>
      <c r="C63" s="124" t="str">
        <f>IF($B63=1,COUNTIF($B$6:$B63,1),"")</f>
        <v/>
      </c>
      <c r="D63" s="124" t="str">
        <f>IFERROR(INDEX(Instruments!$B$6:$B$205,MATCH(ROW()-5,$C$6:$C$205,0)),"")</f>
        <v/>
      </c>
      <c r="E63" s="124" t="n"/>
      <c r="F63" s="124" t="n"/>
      <c r="G63" s="124" t="n"/>
      <c r="H63" s="124" t="n"/>
      <c r="I63" s="124" t="n"/>
      <c r="J63" s="124" t="n"/>
      <c r="K63" s="124" t="n"/>
      <c r="L63" s="124" t="n"/>
      <c r="M63" s="124" t="n"/>
      <c r="N63" s="124" t="n"/>
      <c r="O63" s="124" t="n"/>
      <c r="P63" s="124" t="n"/>
      <c r="Q63" s="124" t="n"/>
      <c r="R63" s="124" t="n"/>
      <c r="S63" s="124" t="n"/>
      <c r="T63" s="124" t="n"/>
      <c r="U63" s="124" t="n"/>
      <c r="V63" s="124" t="n"/>
      <c r="W63" s="124" t="n"/>
    </row>
    <row r="64">
      <c r="A64" s="124" t="str">
        <f>IF(Instruments!$B64="","",Instruments!$A64&amp;"|"&amp;UPPER(TRIM(Instruments!$B64)))</f>
        <v>Stocks|MSFT</v>
      </c>
      <c r="B64" s="124">
        <f>IF(AND(Instruments!$B64&lt;&gt;"",Instruments!$A64=Settings!$C$6),1,0)</f>
        <v>0</v>
      </c>
      <c r="C64" s="124" t="str">
        <f>IF($B64=1,COUNTIF($B$6:$B64,1),"")</f>
        <v/>
      </c>
      <c r="D64" s="124" t="str">
        <f>IFERROR(INDEX(Instruments!$B$6:$B$205,MATCH(ROW()-5,$C$6:$C$205,0)),"")</f>
        <v/>
      </c>
      <c r="E64" s="124" t="n"/>
      <c r="F64" s="124" t="n"/>
      <c r="G64" s="124" t="n"/>
      <c r="H64" s="124" t="n"/>
      <c r="I64" s="124" t="n"/>
      <c r="J64" s="124" t="n"/>
      <c r="K64" s="124" t="n"/>
      <c r="L64" s="124" t="n"/>
      <c r="M64" s="124" t="n"/>
      <c r="N64" s="124" t="n"/>
      <c r="O64" s="124" t="n"/>
      <c r="P64" s="124" t="n"/>
      <c r="Q64" s="124" t="n"/>
      <c r="R64" s="124" t="n"/>
      <c r="S64" s="124" t="n"/>
      <c r="T64" s="124" t="n"/>
      <c r="U64" s="124" t="n"/>
      <c r="V64" s="124" t="n"/>
      <c r="W64" s="124" t="n"/>
    </row>
    <row r="65">
      <c r="A65" s="124" t="str">
        <f>IF(Instruments!$B65="","",Instruments!$A65&amp;"|"&amp;UPPER(TRIM(Instruments!$B65)))</f>
        <v>Stocks|AMZN</v>
      </c>
      <c r="B65" s="124">
        <f>IF(AND(Instruments!$B65&lt;&gt;"",Instruments!$A65=Settings!$C$6),1,0)</f>
        <v>0</v>
      </c>
      <c r="C65" s="124" t="str">
        <f>IF($B65=1,COUNTIF($B$6:$B65,1),"")</f>
        <v/>
      </c>
      <c r="D65" s="124" t="str">
        <f>IFERROR(INDEX(Instruments!$B$6:$B$205,MATCH(ROW()-5,$C$6:$C$205,0)),"")</f>
        <v/>
      </c>
      <c r="E65" s="124" t="n"/>
      <c r="F65" s="124" t="n"/>
      <c r="G65" s="124" t="n"/>
      <c r="H65" s="124" t="n"/>
      <c r="I65" s="124" t="n"/>
      <c r="J65" s="124" t="n"/>
      <c r="K65" s="124" t="n"/>
      <c r="L65" s="124" t="n"/>
      <c r="M65" s="124" t="n"/>
      <c r="N65" s="124" t="n"/>
      <c r="O65" s="124" t="n"/>
      <c r="P65" s="124" t="n"/>
      <c r="Q65" s="124" t="n"/>
      <c r="R65" s="124" t="n"/>
      <c r="S65" s="124" t="n"/>
      <c r="T65" s="124" t="n"/>
      <c r="U65" s="124" t="n"/>
      <c r="V65" s="124" t="n"/>
      <c r="W65" s="124" t="n"/>
    </row>
    <row r="66">
      <c r="A66" s="124" t="str">
        <f>IF(Instruments!$B66="","",Instruments!$A66&amp;"|"&amp;UPPER(TRIM(Instruments!$B66)))</f>
        <v>Stocks|META</v>
      </c>
      <c r="B66" s="124">
        <f>IF(AND(Instruments!$B66&lt;&gt;"",Instruments!$A66=Settings!$C$6),1,0)</f>
        <v>0</v>
      </c>
      <c r="C66" s="124" t="str">
        <f>IF($B66=1,COUNTIF($B$6:$B66,1),"")</f>
        <v/>
      </c>
      <c r="D66" s="124" t="str">
        <f>IFERROR(INDEX(Instruments!$B$6:$B$205,MATCH(ROW()-5,$C$6:$C$205,0)),"")</f>
        <v/>
      </c>
      <c r="E66" s="124" t="n"/>
      <c r="F66" s="124" t="n"/>
      <c r="G66" s="124" t="n"/>
      <c r="H66" s="124" t="n"/>
      <c r="I66" s="124" t="n"/>
      <c r="J66" s="124" t="n"/>
      <c r="K66" s="124" t="n"/>
      <c r="L66" s="124" t="n"/>
      <c r="M66" s="124" t="n"/>
      <c r="N66" s="124" t="n"/>
      <c r="O66" s="124" t="n"/>
      <c r="P66" s="124" t="n"/>
      <c r="Q66" s="124" t="n"/>
      <c r="R66" s="124" t="n"/>
      <c r="S66" s="124" t="n"/>
      <c r="T66" s="124" t="n"/>
      <c r="U66" s="124" t="n"/>
      <c r="V66" s="124" t="n"/>
      <c r="W66" s="124" t="n"/>
    </row>
    <row r="67">
      <c r="A67" s="124" t="str">
        <f>IF(Instruments!$B67="","",Instruments!$A67&amp;"|"&amp;UPPER(TRIM(Instruments!$B67)))</f>
        <v>Options|SPY</v>
      </c>
      <c r="B67" s="124">
        <f>IF(AND(Instruments!$B67&lt;&gt;"",Instruments!$A67=Settings!$C$6),1,0)</f>
        <v>0</v>
      </c>
      <c r="C67" s="124" t="str">
        <f>IF($B67=1,COUNTIF($B$6:$B67,1),"")</f>
        <v/>
      </c>
      <c r="D67" s="124" t="str">
        <f>IFERROR(INDEX(Instruments!$B$6:$B$205,MATCH(ROW()-5,$C$6:$C$205,0)),"")</f>
        <v/>
      </c>
      <c r="E67" s="124" t="n"/>
      <c r="F67" s="124" t="n"/>
      <c r="G67" s="124" t="n"/>
      <c r="H67" s="124" t="n"/>
      <c r="I67" s="124" t="n"/>
      <c r="J67" s="124" t="n"/>
      <c r="K67" s="124" t="n"/>
      <c r="L67" s="124" t="n"/>
      <c r="M67" s="124" t="n"/>
      <c r="N67" s="124" t="n"/>
      <c r="O67" s="124" t="n"/>
      <c r="P67" s="124" t="n"/>
      <c r="Q67" s="124" t="n"/>
      <c r="R67" s="124" t="n"/>
      <c r="S67" s="124" t="n"/>
      <c r="T67" s="124" t="n"/>
      <c r="U67" s="124" t="n"/>
      <c r="V67" s="124" t="n"/>
      <c r="W67" s="124" t="n"/>
    </row>
    <row r="68">
      <c r="A68" s="124" t="str">
        <f>IF(Instruments!$B68="","",Instruments!$A68&amp;"|"&amp;UPPER(TRIM(Instruments!$B68)))</f>
        <v>Options|QQQ</v>
      </c>
      <c r="B68" s="124">
        <f>IF(AND(Instruments!$B68&lt;&gt;"",Instruments!$A68=Settings!$C$6),1,0)</f>
        <v>0</v>
      </c>
      <c r="C68" s="124" t="str">
        <f>IF($B68=1,COUNTIF($B$6:$B68,1),"")</f>
        <v/>
      </c>
      <c r="D68" s="124" t="str">
        <f>IFERROR(INDEX(Instruments!$B$6:$B$205,MATCH(ROW()-5,$C$6:$C$205,0)),"")</f>
        <v/>
      </c>
      <c r="E68" s="124" t="n"/>
      <c r="F68" s="124" t="n"/>
      <c r="G68" s="124" t="n"/>
      <c r="H68" s="124" t="n"/>
      <c r="I68" s="124" t="n"/>
      <c r="J68" s="124" t="n"/>
      <c r="K68" s="124" t="n"/>
      <c r="L68" s="124" t="n"/>
      <c r="M68" s="124" t="n"/>
      <c r="N68" s="124" t="n"/>
      <c r="O68" s="124" t="n"/>
      <c r="P68" s="124" t="n"/>
      <c r="Q68" s="124" t="n"/>
      <c r="R68" s="124" t="n"/>
      <c r="S68" s="124" t="n"/>
      <c r="T68" s="124" t="n"/>
      <c r="U68" s="124" t="n"/>
      <c r="V68" s="124" t="n"/>
      <c r="W68" s="124" t="n"/>
    </row>
    <row r="69">
      <c r="A69" s="124" t="str">
        <f>IF(Instruments!$B69="","",Instruments!$A69&amp;"|"&amp;UPPER(TRIM(Instruments!$B69)))</f>
        <v>Options|AAPL</v>
      </c>
      <c r="B69" s="124">
        <f>IF(AND(Instruments!$B69&lt;&gt;"",Instruments!$A69=Settings!$C$6),1,0)</f>
        <v>0</v>
      </c>
      <c r="C69" s="124" t="str">
        <f>IF($B69=1,COUNTIF($B$6:$B69,1),"")</f>
        <v/>
      </c>
      <c r="D69" s="124" t="str">
        <f>IFERROR(INDEX(Instruments!$B$6:$B$205,MATCH(ROW()-5,$C$6:$C$205,0)),"")</f>
        <v/>
      </c>
      <c r="E69" s="124" t="n"/>
      <c r="F69" s="124" t="n"/>
      <c r="G69" s="124" t="n"/>
      <c r="H69" s="124" t="n"/>
      <c r="I69" s="124" t="n"/>
      <c r="J69" s="124" t="n"/>
      <c r="K69" s="124" t="n"/>
      <c r="L69" s="124" t="n"/>
      <c r="M69" s="124" t="n"/>
      <c r="N69" s="124" t="n"/>
      <c r="O69" s="124" t="n"/>
      <c r="P69" s="124" t="n"/>
      <c r="Q69" s="124" t="n"/>
      <c r="R69" s="124" t="n"/>
      <c r="S69" s="124" t="n"/>
      <c r="T69" s="124" t="n"/>
      <c r="U69" s="124" t="n"/>
      <c r="V69" s="124" t="n"/>
      <c r="W69" s="124" t="n"/>
    </row>
    <row r="70">
      <c r="A70" s="124" t="str">
        <f>IF(Instruments!$B70="","",Instruments!$A70&amp;"|"&amp;UPPER(TRIM(Instruments!$B70)))</f>
        <v>Options|NVDA</v>
      </c>
      <c r="B70" s="124">
        <f>IF(AND(Instruments!$B70&lt;&gt;"",Instruments!$A70=Settings!$C$6),1,0)</f>
        <v>0</v>
      </c>
      <c r="C70" s="124" t="str">
        <f>IF($B70=1,COUNTIF($B$6:$B70,1),"")</f>
        <v/>
      </c>
      <c r="D70" s="124" t="str">
        <f>IFERROR(INDEX(Instruments!$B$6:$B$205,MATCH(ROW()-5,$C$6:$C$205,0)),"")</f>
        <v/>
      </c>
      <c r="E70" s="124" t="n"/>
      <c r="F70" s="124" t="n"/>
      <c r="G70" s="124" t="n"/>
      <c r="H70" s="124" t="n"/>
      <c r="I70" s="124" t="n"/>
      <c r="J70" s="124" t="n"/>
      <c r="K70" s="124" t="n"/>
      <c r="L70" s="124" t="n"/>
      <c r="M70" s="124" t="n"/>
      <c r="N70" s="124" t="n"/>
      <c r="O70" s="124" t="n"/>
      <c r="P70" s="124" t="n"/>
      <c r="Q70" s="124" t="n"/>
      <c r="R70" s="124" t="n"/>
      <c r="S70" s="124" t="n"/>
      <c r="T70" s="124" t="n"/>
      <c r="U70" s="124" t="n"/>
      <c r="V70" s="124" t="n"/>
      <c r="W70" s="124" t="n"/>
    </row>
    <row r="71">
      <c r="A71" s="124" t="str">
        <f>IF(Instruments!$B71="","",Instruments!$A71&amp;"|"&amp;UPPER(TRIM(Instruments!$B71)))</f>
        <v>Options|TSLA</v>
      </c>
      <c r="B71" s="124">
        <f>IF(AND(Instruments!$B71&lt;&gt;"",Instruments!$A71=Settings!$C$6),1,0)</f>
        <v>0</v>
      </c>
      <c r="C71" s="124" t="str">
        <f>IF($B71=1,COUNTIF($B$6:$B71,1),"")</f>
        <v/>
      </c>
      <c r="D71" s="124" t="str">
        <f>IFERROR(INDEX(Instruments!$B$6:$B$205,MATCH(ROW()-5,$C$6:$C$205,0)),"")</f>
        <v/>
      </c>
      <c r="E71" s="124" t="n"/>
      <c r="F71" s="124" t="n"/>
      <c r="G71" s="124" t="n"/>
      <c r="H71" s="124" t="n"/>
      <c r="I71" s="124" t="n"/>
      <c r="J71" s="124" t="n"/>
      <c r="K71" s="124" t="n"/>
      <c r="L71" s="124" t="n"/>
      <c r="M71" s="124" t="n"/>
      <c r="N71" s="124" t="n"/>
      <c r="O71" s="124" t="n"/>
      <c r="P71" s="124" t="n"/>
      <c r="Q71" s="124" t="n"/>
      <c r="R71" s="124" t="n"/>
      <c r="S71" s="124" t="n"/>
      <c r="T71" s="124" t="n"/>
      <c r="U71" s="124" t="n"/>
      <c r="V71" s="124" t="n"/>
      <c r="W71" s="124" t="n"/>
    </row>
    <row r="72">
      <c r="A72" s="124" t="str">
        <f>IF(Instruments!$B72="","",Instruments!$A72&amp;"|"&amp;UPPER(TRIM(Instruments!$B72)))</f>
        <v/>
      </c>
      <c r="B72" s="124">
        <f>IF(AND(Instruments!$B72&lt;&gt;"",Instruments!$A72=Settings!$C$6),1,0)</f>
        <v>0</v>
      </c>
      <c r="C72" s="124" t="str">
        <f>IF($B72=1,COUNTIF($B$6:$B72,1),"")</f>
        <v/>
      </c>
      <c r="D72" s="124" t="str">
        <f>IFERROR(INDEX(Instruments!$B$6:$B$205,MATCH(ROW()-5,$C$6:$C$205,0)),"")</f>
        <v/>
      </c>
      <c r="E72" s="124" t="n"/>
      <c r="F72" s="124" t="n"/>
      <c r="G72" s="124" t="n"/>
      <c r="H72" s="124" t="n"/>
      <c r="I72" s="124" t="n"/>
      <c r="J72" s="124" t="n"/>
      <c r="K72" s="124" t="n"/>
      <c r="L72" s="124" t="n"/>
      <c r="M72" s="124" t="n"/>
      <c r="N72" s="124" t="n"/>
      <c r="O72" s="124" t="n"/>
      <c r="P72" s="124" t="n"/>
      <c r="Q72" s="124" t="n"/>
      <c r="R72" s="124" t="n"/>
      <c r="S72" s="124" t="n"/>
      <c r="T72" s="124" t="n"/>
      <c r="U72" s="124" t="n"/>
      <c r="V72" s="124" t="n"/>
      <c r="W72" s="124" t="n"/>
    </row>
    <row r="73">
      <c r="A73" s="124" t="str">
        <f>IF(Instruments!$B73="","",Instruments!$A73&amp;"|"&amp;UPPER(TRIM(Instruments!$B73)))</f>
        <v/>
      </c>
      <c r="B73" s="124">
        <f>IF(AND(Instruments!$B73&lt;&gt;"",Instruments!$A73=Settings!$C$6),1,0)</f>
        <v>0</v>
      </c>
      <c r="C73" s="124" t="str">
        <f>IF($B73=1,COUNTIF($B$6:$B73,1),"")</f>
        <v/>
      </c>
      <c r="D73" s="124" t="str">
        <f>IFERROR(INDEX(Instruments!$B$6:$B$205,MATCH(ROW()-5,$C$6:$C$205,0)),"")</f>
        <v/>
      </c>
      <c r="E73" s="124" t="n"/>
      <c r="F73" s="124" t="n"/>
      <c r="G73" s="124" t="n"/>
      <c r="H73" s="124" t="n"/>
      <c r="I73" s="124" t="n"/>
      <c r="J73" s="124" t="n"/>
      <c r="K73" s="124" t="n"/>
      <c r="L73" s="124" t="n"/>
      <c r="M73" s="124" t="n"/>
      <c r="N73" s="124" t="n"/>
      <c r="O73" s="124" t="n"/>
      <c r="P73" s="124" t="n"/>
      <c r="Q73" s="124" t="n"/>
      <c r="R73" s="124" t="n"/>
      <c r="S73" s="124" t="n"/>
      <c r="T73" s="124" t="n"/>
      <c r="U73" s="124" t="n"/>
      <c r="V73" s="124" t="n"/>
      <c r="W73" s="124" t="n"/>
    </row>
    <row r="74">
      <c r="A74" s="124" t="str">
        <f>IF(Instruments!$B74="","",Instruments!$A74&amp;"|"&amp;UPPER(TRIM(Instruments!$B74)))</f>
        <v/>
      </c>
      <c r="B74" s="124">
        <f>IF(AND(Instruments!$B74&lt;&gt;"",Instruments!$A74=Settings!$C$6),1,0)</f>
        <v>0</v>
      </c>
      <c r="C74" s="124" t="str">
        <f>IF($B74=1,COUNTIF($B$6:$B74,1),"")</f>
        <v/>
      </c>
      <c r="D74" s="124" t="str">
        <f>IFERROR(INDEX(Instruments!$B$6:$B$205,MATCH(ROW()-5,$C$6:$C$205,0)),"")</f>
        <v/>
      </c>
      <c r="E74" s="124" t="n"/>
      <c r="F74" s="124" t="n"/>
      <c r="G74" s="124" t="n"/>
      <c r="H74" s="124" t="n"/>
      <c r="I74" s="124" t="n"/>
      <c r="J74" s="124" t="n"/>
      <c r="K74" s="124" t="n"/>
      <c r="L74" s="124" t="n"/>
      <c r="M74" s="124" t="n"/>
      <c r="N74" s="124" t="n"/>
      <c r="O74" s="124" t="n"/>
      <c r="P74" s="124" t="n"/>
      <c r="Q74" s="124" t="n"/>
      <c r="R74" s="124" t="n"/>
      <c r="S74" s="124" t="n"/>
      <c r="T74" s="124" t="n"/>
      <c r="U74" s="124" t="n"/>
      <c r="V74" s="124" t="n"/>
      <c r="W74" s="124" t="n"/>
    </row>
    <row r="75">
      <c r="A75" s="124" t="str">
        <f>IF(Instruments!$B75="","",Instruments!$A75&amp;"|"&amp;UPPER(TRIM(Instruments!$B75)))</f>
        <v/>
      </c>
      <c r="B75" s="124">
        <f>IF(AND(Instruments!$B75&lt;&gt;"",Instruments!$A75=Settings!$C$6),1,0)</f>
        <v>0</v>
      </c>
      <c r="C75" s="124" t="str">
        <f>IF($B75=1,COUNTIF($B$6:$B75,1),"")</f>
        <v/>
      </c>
      <c r="D75" s="124" t="str">
        <f>IFERROR(INDEX(Instruments!$B$6:$B$205,MATCH(ROW()-5,$C$6:$C$205,0)),"")</f>
        <v/>
      </c>
      <c r="E75" s="124" t="n"/>
      <c r="F75" s="124" t="n"/>
      <c r="G75" s="124" t="n"/>
      <c r="H75" s="124" t="n"/>
      <c r="I75" s="124" t="n"/>
      <c r="J75" s="124" t="n"/>
      <c r="K75" s="124" t="n"/>
      <c r="L75" s="124" t="n"/>
      <c r="M75" s="124" t="n"/>
      <c r="N75" s="124" t="n"/>
      <c r="O75" s="124" t="n"/>
      <c r="P75" s="124" t="n"/>
      <c r="Q75" s="124" t="n"/>
      <c r="R75" s="124" t="n"/>
      <c r="S75" s="124" t="n"/>
      <c r="T75" s="124" t="n"/>
      <c r="U75" s="124" t="n"/>
      <c r="V75" s="124" t="n"/>
      <c r="W75" s="124" t="n"/>
    </row>
    <row r="76">
      <c r="A76" s="124" t="str">
        <f>IF(Instruments!$B76="","",Instruments!$A76&amp;"|"&amp;UPPER(TRIM(Instruments!$B76)))</f>
        <v/>
      </c>
      <c r="B76" s="124">
        <f>IF(AND(Instruments!$B76&lt;&gt;"",Instruments!$A76=Settings!$C$6),1,0)</f>
        <v>0</v>
      </c>
      <c r="C76" s="124" t="str">
        <f>IF($B76=1,COUNTIF($B$6:$B76,1),"")</f>
        <v/>
      </c>
      <c r="D76" s="124" t="str">
        <f>IFERROR(INDEX(Instruments!$B$6:$B$205,MATCH(ROW()-5,$C$6:$C$205,0)),"")</f>
        <v/>
      </c>
      <c r="E76" s="124" t="n"/>
      <c r="F76" s="124" t="n"/>
      <c r="G76" s="124" t="n"/>
      <c r="H76" s="124" t="n"/>
      <c r="I76" s="124" t="n"/>
      <c r="J76" s="124" t="n"/>
      <c r="K76" s="124" t="n"/>
      <c r="L76" s="124" t="n"/>
      <c r="M76" s="124" t="n"/>
      <c r="N76" s="124" t="n"/>
      <c r="O76" s="124" t="n"/>
      <c r="P76" s="124" t="n"/>
      <c r="Q76" s="124" t="n"/>
      <c r="R76" s="124" t="n"/>
      <c r="S76" s="124" t="n"/>
      <c r="T76" s="124" t="n"/>
      <c r="U76" s="124" t="n"/>
      <c r="V76" s="124" t="n"/>
      <c r="W76" s="124" t="n"/>
    </row>
    <row r="77">
      <c r="A77" s="124" t="str">
        <f>IF(Instruments!$B77="","",Instruments!$A77&amp;"|"&amp;UPPER(TRIM(Instruments!$B77)))</f>
        <v/>
      </c>
      <c r="B77" s="124">
        <f>IF(AND(Instruments!$B77&lt;&gt;"",Instruments!$A77=Settings!$C$6),1,0)</f>
        <v>0</v>
      </c>
      <c r="C77" s="124" t="str">
        <f>IF($B77=1,COUNTIF($B$6:$B77,1),"")</f>
        <v/>
      </c>
      <c r="D77" s="124" t="str">
        <f>IFERROR(INDEX(Instruments!$B$6:$B$205,MATCH(ROW()-5,$C$6:$C$205,0)),"")</f>
        <v/>
      </c>
      <c r="E77" s="124" t="n"/>
      <c r="F77" s="124" t="n"/>
      <c r="G77" s="124" t="n"/>
      <c r="H77" s="124" t="n"/>
      <c r="I77" s="124" t="n"/>
      <c r="J77" s="124" t="n"/>
      <c r="K77" s="124" t="n"/>
      <c r="L77" s="124" t="n"/>
      <c r="M77" s="124" t="n"/>
      <c r="N77" s="124" t="n"/>
      <c r="O77" s="124" t="n"/>
      <c r="P77" s="124" t="n"/>
      <c r="Q77" s="124" t="n"/>
      <c r="R77" s="124" t="n"/>
      <c r="S77" s="124" t="n"/>
      <c r="T77" s="124" t="n"/>
      <c r="U77" s="124" t="n"/>
      <c r="V77" s="124" t="n"/>
      <c r="W77" s="124" t="n"/>
    </row>
    <row r="78">
      <c r="A78" s="124" t="str">
        <f>IF(Instruments!$B78="","",Instruments!$A78&amp;"|"&amp;UPPER(TRIM(Instruments!$B78)))</f>
        <v/>
      </c>
      <c r="B78" s="124">
        <f>IF(AND(Instruments!$B78&lt;&gt;"",Instruments!$A78=Settings!$C$6),1,0)</f>
        <v>0</v>
      </c>
      <c r="C78" s="124" t="str">
        <f>IF($B78=1,COUNTIF($B$6:$B78,1),"")</f>
        <v/>
      </c>
      <c r="D78" s="124" t="str">
        <f>IFERROR(INDEX(Instruments!$B$6:$B$205,MATCH(ROW()-5,$C$6:$C$205,0)),"")</f>
        <v/>
      </c>
      <c r="E78" s="124" t="n"/>
      <c r="F78" s="124" t="n"/>
      <c r="G78" s="124" t="n"/>
      <c r="H78" s="124" t="n"/>
      <c r="I78" s="124" t="n"/>
      <c r="J78" s="124" t="n"/>
      <c r="K78" s="124" t="n"/>
      <c r="L78" s="124" t="n"/>
      <c r="M78" s="124" t="n"/>
      <c r="N78" s="124" t="n"/>
      <c r="O78" s="124" t="n"/>
      <c r="P78" s="124" t="n"/>
      <c r="Q78" s="124" t="n"/>
      <c r="R78" s="124" t="n"/>
      <c r="S78" s="124" t="n"/>
      <c r="T78" s="124" t="n"/>
      <c r="U78" s="124" t="n"/>
      <c r="V78" s="124" t="n"/>
      <c r="W78" s="124" t="n"/>
    </row>
    <row r="79">
      <c r="A79" s="124" t="str">
        <f>IF(Instruments!$B79="","",Instruments!$A79&amp;"|"&amp;UPPER(TRIM(Instruments!$B79)))</f>
        <v/>
      </c>
      <c r="B79" s="124">
        <f>IF(AND(Instruments!$B79&lt;&gt;"",Instruments!$A79=Settings!$C$6),1,0)</f>
        <v>0</v>
      </c>
      <c r="C79" s="124" t="str">
        <f>IF($B79=1,COUNTIF($B$6:$B79,1),"")</f>
        <v/>
      </c>
      <c r="D79" s="124" t="str">
        <f>IFERROR(INDEX(Instruments!$B$6:$B$205,MATCH(ROW()-5,$C$6:$C$205,0)),"")</f>
        <v/>
      </c>
      <c r="E79" s="124" t="n"/>
      <c r="F79" s="124" t="n"/>
      <c r="G79" s="124" t="n"/>
      <c r="H79" s="124" t="n"/>
      <c r="I79" s="124" t="n"/>
      <c r="J79" s="124" t="n"/>
      <c r="K79" s="124" t="n"/>
      <c r="L79" s="124" t="n"/>
      <c r="M79" s="124" t="n"/>
      <c r="N79" s="124" t="n"/>
      <c r="O79" s="124" t="n"/>
      <c r="P79" s="124" t="n"/>
      <c r="Q79" s="124" t="n"/>
      <c r="R79" s="124" t="n"/>
      <c r="S79" s="124" t="n"/>
      <c r="T79" s="124" t="n"/>
      <c r="U79" s="124" t="n"/>
      <c r="V79" s="124" t="n"/>
      <c r="W79" s="124" t="n"/>
    </row>
    <row r="80">
      <c r="A80" s="124" t="str">
        <f>IF(Instruments!$B80="","",Instruments!$A80&amp;"|"&amp;UPPER(TRIM(Instruments!$B80)))</f>
        <v/>
      </c>
      <c r="B80" s="124">
        <f>IF(AND(Instruments!$B80&lt;&gt;"",Instruments!$A80=Settings!$C$6),1,0)</f>
        <v>0</v>
      </c>
      <c r="C80" s="124" t="str">
        <f>IF($B80=1,COUNTIF($B$6:$B80,1),"")</f>
        <v/>
      </c>
      <c r="D80" s="124" t="str">
        <f>IFERROR(INDEX(Instruments!$B$6:$B$205,MATCH(ROW()-5,$C$6:$C$205,0)),"")</f>
        <v/>
      </c>
      <c r="E80" s="124" t="n"/>
      <c r="F80" s="124" t="n"/>
      <c r="G80" s="124" t="n"/>
      <c r="H80" s="124" t="n"/>
      <c r="I80" s="124" t="n"/>
      <c r="J80" s="124" t="n"/>
      <c r="K80" s="124" t="n"/>
      <c r="L80" s="124" t="n"/>
      <c r="M80" s="124" t="n"/>
      <c r="N80" s="124" t="n"/>
      <c r="O80" s="124" t="n"/>
      <c r="P80" s="124" t="n"/>
      <c r="Q80" s="124" t="n"/>
      <c r="R80" s="124" t="n"/>
      <c r="S80" s="124" t="n"/>
      <c r="T80" s="124" t="n"/>
      <c r="U80" s="124" t="n"/>
      <c r="V80" s="124" t="n"/>
      <c r="W80" s="124" t="n"/>
    </row>
    <row r="81">
      <c r="A81" s="124" t="str">
        <f>IF(Instruments!$B81="","",Instruments!$A81&amp;"|"&amp;UPPER(TRIM(Instruments!$B81)))</f>
        <v/>
      </c>
      <c r="B81" s="124">
        <f>IF(AND(Instruments!$B81&lt;&gt;"",Instruments!$A81=Settings!$C$6),1,0)</f>
        <v>0</v>
      </c>
      <c r="C81" s="124" t="str">
        <f>IF($B81=1,COUNTIF($B$6:$B81,1),"")</f>
        <v/>
      </c>
      <c r="D81" s="124" t="str">
        <f>IFERROR(INDEX(Instruments!$B$6:$B$205,MATCH(ROW()-5,$C$6:$C$205,0)),"")</f>
        <v/>
      </c>
      <c r="E81" s="124" t="n"/>
      <c r="F81" s="124" t="n"/>
      <c r="G81" s="124" t="n"/>
      <c r="H81" s="124" t="n"/>
      <c r="I81" s="124" t="n"/>
      <c r="J81" s="124" t="n"/>
      <c r="K81" s="124" t="n"/>
      <c r="L81" s="124" t="n"/>
      <c r="M81" s="124" t="n"/>
      <c r="N81" s="124" t="n"/>
      <c r="O81" s="124" t="n"/>
      <c r="P81" s="124" t="n"/>
      <c r="Q81" s="124" t="n"/>
      <c r="R81" s="124" t="n"/>
      <c r="S81" s="124" t="n"/>
      <c r="T81" s="124" t="n"/>
      <c r="U81" s="124" t="n"/>
      <c r="V81" s="124" t="n"/>
      <c r="W81" s="124" t="n"/>
    </row>
    <row r="82">
      <c r="A82" s="124" t="str">
        <f>IF(Instruments!$B82="","",Instruments!$A82&amp;"|"&amp;UPPER(TRIM(Instruments!$B82)))</f>
        <v/>
      </c>
      <c r="B82" s="124">
        <f>IF(AND(Instruments!$B82&lt;&gt;"",Instruments!$A82=Settings!$C$6),1,0)</f>
        <v>0</v>
      </c>
      <c r="C82" s="124" t="str">
        <f>IF($B82=1,COUNTIF($B$6:$B82,1),"")</f>
        <v/>
      </c>
      <c r="D82" s="124" t="str">
        <f>IFERROR(INDEX(Instruments!$B$6:$B$205,MATCH(ROW()-5,$C$6:$C$205,0)),"")</f>
        <v/>
      </c>
      <c r="E82" s="124" t="n"/>
      <c r="F82" s="124" t="n"/>
      <c r="G82" s="124" t="n"/>
      <c r="H82" s="124" t="n"/>
      <c r="I82" s="124" t="n"/>
      <c r="J82" s="124" t="n"/>
      <c r="K82" s="124" t="n"/>
      <c r="L82" s="124" t="n"/>
      <c r="M82" s="124" t="n"/>
      <c r="N82" s="124" t="n"/>
      <c r="O82" s="124" t="n"/>
      <c r="P82" s="124" t="n"/>
      <c r="Q82" s="124" t="n"/>
      <c r="R82" s="124" t="n"/>
      <c r="S82" s="124" t="n"/>
      <c r="T82" s="124" t="n"/>
      <c r="U82" s="124" t="n"/>
      <c r="V82" s="124" t="n"/>
      <c r="W82" s="124" t="n"/>
    </row>
    <row r="83">
      <c r="A83" s="124" t="str">
        <f>IF(Instruments!$B83="","",Instruments!$A83&amp;"|"&amp;UPPER(TRIM(Instruments!$B83)))</f>
        <v/>
      </c>
      <c r="B83" s="124">
        <f>IF(AND(Instruments!$B83&lt;&gt;"",Instruments!$A83=Settings!$C$6),1,0)</f>
        <v>0</v>
      </c>
      <c r="C83" s="124" t="str">
        <f>IF($B83=1,COUNTIF($B$6:$B83,1),"")</f>
        <v/>
      </c>
      <c r="D83" s="124" t="str">
        <f>IFERROR(INDEX(Instruments!$B$6:$B$205,MATCH(ROW()-5,$C$6:$C$205,0)),"")</f>
        <v/>
      </c>
      <c r="E83" s="124" t="n"/>
      <c r="F83" s="124" t="n"/>
      <c r="G83" s="124" t="n"/>
      <c r="H83" s="124" t="n"/>
      <c r="I83" s="124" t="n"/>
      <c r="J83" s="124" t="n"/>
      <c r="K83" s="124" t="n"/>
      <c r="L83" s="124" t="n"/>
      <c r="M83" s="124" t="n"/>
      <c r="N83" s="124" t="n"/>
      <c r="O83" s="124" t="n"/>
      <c r="P83" s="124" t="n"/>
      <c r="Q83" s="124" t="n"/>
      <c r="R83" s="124" t="n"/>
      <c r="S83" s="124" t="n"/>
      <c r="T83" s="124" t="n"/>
      <c r="U83" s="124" t="n"/>
      <c r="V83" s="124" t="n"/>
      <c r="W83" s="124" t="n"/>
    </row>
    <row r="84">
      <c r="A84" s="124" t="str">
        <f>IF(Instruments!$B84="","",Instruments!$A84&amp;"|"&amp;UPPER(TRIM(Instruments!$B84)))</f>
        <v/>
      </c>
      <c r="B84" s="124">
        <f>IF(AND(Instruments!$B84&lt;&gt;"",Instruments!$A84=Settings!$C$6),1,0)</f>
        <v>0</v>
      </c>
      <c r="C84" s="124" t="str">
        <f>IF($B84=1,COUNTIF($B$6:$B84,1),"")</f>
        <v/>
      </c>
      <c r="D84" s="124" t="str">
        <f>IFERROR(INDEX(Instruments!$B$6:$B$205,MATCH(ROW()-5,$C$6:$C$205,0)),"")</f>
        <v/>
      </c>
      <c r="E84" s="124" t="n"/>
      <c r="F84" s="124" t="n"/>
      <c r="G84" s="124" t="n"/>
      <c r="H84" s="124" t="n"/>
      <c r="I84" s="124" t="n"/>
      <c r="J84" s="124" t="n"/>
      <c r="K84" s="124" t="n"/>
      <c r="L84" s="124" t="n"/>
      <c r="M84" s="124" t="n"/>
      <c r="N84" s="124" t="n"/>
      <c r="O84" s="124" t="n"/>
      <c r="P84" s="124" t="n"/>
      <c r="Q84" s="124" t="n"/>
      <c r="R84" s="124" t="n"/>
      <c r="S84" s="124" t="n"/>
      <c r="T84" s="124" t="n"/>
      <c r="U84" s="124" t="n"/>
      <c r="V84" s="124" t="n"/>
      <c r="W84" s="124" t="n"/>
    </row>
    <row r="85">
      <c r="A85" s="124" t="str">
        <f>IF(Instruments!$B85="","",Instruments!$A85&amp;"|"&amp;UPPER(TRIM(Instruments!$B85)))</f>
        <v/>
      </c>
      <c r="B85" s="124">
        <f>IF(AND(Instruments!$B85&lt;&gt;"",Instruments!$A85=Settings!$C$6),1,0)</f>
        <v>0</v>
      </c>
      <c r="C85" s="124" t="str">
        <f>IF($B85=1,COUNTIF($B$6:$B85,1),"")</f>
        <v/>
      </c>
      <c r="D85" s="124" t="str">
        <f>IFERROR(INDEX(Instruments!$B$6:$B$205,MATCH(ROW()-5,$C$6:$C$205,0)),"")</f>
        <v/>
      </c>
      <c r="E85" s="124" t="n"/>
      <c r="F85" s="124" t="n"/>
      <c r="G85" s="124" t="n"/>
      <c r="H85" s="124" t="n"/>
      <c r="I85" s="124" t="n"/>
      <c r="J85" s="124" t="n"/>
      <c r="K85" s="124" t="n"/>
      <c r="L85" s="124" t="n"/>
      <c r="M85" s="124" t="n"/>
      <c r="N85" s="124" t="n"/>
      <c r="O85" s="124" t="n"/>
      <c r="P85" s="124" t="n"/>
      <c r="Q85" s="124" t="n"/>
      <c r="R85" s="124" t="n"/>
      <c r="S85" s="124" t="n"/>
      <c r="T85" s="124" t="n"/>
      <c r="U85" s="124" t="n"/>
      <c r="V85" s="124" t="n"/>
      <c r="W85" s="124" t="n"/>
    </row>
    <row r="86">
      <c r="A86" s="124" t="str">
        <f>IF(Instruments!$B86="","",Instruments!$A86&amp;"|"&amp;UPPER(TRIM(Instruments!$B86)))</f>
        <v/>
      </c>
      <c r="B86" s="124">
        <f>IF(AND(Instruments!$B86&lt;&gt;"",Instruments!$A86=Settings!$C$6),1,0)</f>
        <v>0</v>
      </c>
      <c r="C86" s="124" t="str">
        <f>IF($B86=1,COUNTIF($B$6:$B86,1),"")</f>
        <v/>
      </c>
      <c r="D86" s="124" t="str">
        <f>IFERROR(INDEX(Instruments!$B$6:$B$205,MATCH(ROW()-5,$C$6:$C$205,0)),"")</f>
        <v/>
      </c>
      <c r="E86" s="124" t="n"/>
      <c r="F86" s="124" t="n"/>
      <c r="G86" s="124" t="n"/>
      <c r="H86" s="124" t="n"/>
      <c r="I86" s="124" t="n"/>
      <c r="J86" s="124" t="n"/>
      <c r="K86" s="124" t="n"/>
      <c r="L86" s="124" t="n"/>
      <c r="M86" s="124" t="n"/>
      <c r="N86" s="124" t="n"/>
      <c r="O86" s="124" t="n"/>
      <c r="P86" s="124" t="n"/>
      <c r="Q86" s="124" t="n"/>
      <c r="R86" s="124" t="n"/>
      <c r="S86" s="124" t="n"/>
      <c r="T86" s="124" t="n"/>
      <c r="U86" s="124" t="n"/>
      <c r="V86" s="124" t="n"/>
      <c r="W86" s="124" t="n"/>
    </row>
    <row r="87">
      <c r="A87" s="124" t="str">
        <f>IF(Instruments!$B87="","",Instruments!$A87&amp;"|"&amp;UPPER(TRIM(Instruments!$B87)))</f>
        <v/>
      </c>
      <c r="B87" s="124">
        <f>IF(AND(Instruments!$B87&lt;&gt;"",Instruments!$A87=Settings!$C$6),1,0)</f>
        <v>0</v>
      </c>
      <c r="C87" s="124" t="str">
        <f>IF($B87=1,COUNTIF($B$6:$B87,1),"")</f>
        <v/>
      </c>
      <c r="D87" s="124" t="str">
        <f>IFERROR(INDEX(Instruments!$B$6:$B$205,MATCH(ROW()-5,$C$6:$C$205,0)),"")</f>
        <v/>
      </c>
      <c r="E87" s="124" t="n"/>
      <c r="F87" s="124" t="n"/>
      <c r="G87" s="124" t="n"/>
      <c r="H87" s="124" t="n"/>
      <c r="I87" s="124" t="n"/>
      <c r="J87" s="124" t="n"/>
      <c r="K87" s="124" t="n"/>
      <c r="L87" s="124" t="n"/>
      <c r="M87" s="124" t="n"/>
      <c r="N87" s="124" t="n"/>
      <c r="O87" s="124" t="n"/>
      <c r="P87" s="124" t="n"/>
      <c r="Q87" s="124" t="n"/>
      <c r="R87" s="124" t="n"/>
      <c r="S87" s="124" t="n"/>
      <c r="T87" s="124" t="n"/>
      <c r="U87" s="124" t="n"/>
      <c r="V87" s="124" t="n"/>
      <c r="W87" s="124" t="n"/>
    </row>
    <row r="88">
      <c r="A88" s="124" t="str">
        <f>IF(Instruments!$B88="","",Instruments!$A88&amp;"|"&amp;UPPER(TRIM(Instruments!$B88)))</f>
        <v/>
      </c>
      <c r="B88" s="124">
        <f>IF(AND(Instruments!$B88&lt;&gt;"",Instruments!$A88=Settings!$C$6),1,0)</f>
        <v>0</v>
      </c>
      <c r="C88" s="124" t="str">
        <f>IF($B88=1,COUNTIF($B$6:$B88,1),"")</f>
        <v/>
      </c>
      <c r="D88" s="124" t="str">
        <f>IFERROR(INDEX(Instruments!$B$6:$B$205,MATCH(ROW()-5,$C$6:$C$205,0)),"")</f>
        <v/>
      </c>
      <c r="E88" s="124" t="n"/>
      <c r="F88" s="124" t="n"/>
      <c r="G88" s="124" t="n"/>
      <c r="H88" s="124" t="n"/>
      <c r="I88" s="124" t="n"/>
      <c r="J88" s="124" t="n"/>
      <c r="K88" s="124" t="n"/>
      <c r="L88" s="124" t="n"/>
      <c r="M88" s="124" t="n"/>
      <c r="N88" s="124" t="n"/>
      <c r="O88" s="124" t="n"/>
      <c r="P88" s="124" t="n"/>
      <c r="Q88" s="124" t="n"/>
      <c r="R88" s="124" t="n"/>
      <c r="S88" s="124" t="n"/>
      <c r="T88" s="124" t="n"/>
      <c r="U88" s="124" t="n"/>
      <c r="V88" s="124" t="n"/>
      <c r="W88" s="124" t="n"/>
    </row>
    <row r="89">
      <c r="A89" s="124" t="str">
        <f>IF(Instruments!$B89="","",Instruments!$A89&amp;"|"&amp;UPPER(TRIM(Instruments!$B89)))</f>
        <v/>
      </c>
      <c r="B89" s="124">
        <f>IF(AND(Instruments!$B89&lt;&gt;"",Instruments!$A89=Settings!$C$6),1,0)</f>
        <v>0</v>
      </c>
      <c r="C89" s="124" t="str">
        <f>IF($B89=1,COUNTIF($B$6:$B89,1),"")</f>
        <v/>
      </c>
      <c r="D89" s="124" t="str">
        <f>IFERROR(INDEX(Instruments!$B$6:$B$205,MATCH(ROW()-5,$C$6:$C$205,0)),"")</f>
        <v/>
      </c>
      <c r="E89" s="124" t="n"/>
      <c r="F89" s="124" t="n"/>
      <c r="G89" s="124" t="n"/>
      <c r="H89" s="124" t="n"/>
      <c r="I89" s="124" t="n"/>
      <c r="J89" s="124" t="n"/>
      <c r="K89" s="124" t="n"/>
      <c r="L89" s="124" t="n"/>
      <c r="M89" s="124" t="n"/>
      <c r="N89" s="124" t="n"/>
      <c r="O89" s="124" t="n"/>
      <c r="P89" s="124" t="n"/>
      <c r="Q89" s="124" t="n"/>
      <c r="R89" s="124" t="n"/>
      <c r="S89" s="124" t="n"/>
      <c r="T89" s="124" t="n"/>
      <c r="U89" s="124" t="n"/>
      <c r="V89" s="124" t="n"/>
      <c r="W89" s="124" t="n"/>
    </row>
    <row r="90">
      <c r="A90" s="124" t="str">
        <f>IF(Instruments!$B90="","",Instruments!$A90&amp;"|"&amp;UPPER(TRIM(Instruments!$B90)))</f>
        <v/>
      </c>
      <c r="B90" s="124">
        <f>IF(AND(Instruments!$B90&lt;&gt;"",Instruments!$A90=Settings!$C$6),1,0)</f>
        <v>0</v>
      </c>
      <c r="C90" s="124" t="str">
        <f>IF($B90=1,COUNTIF($B$6:$B90,1),"")</f>
        <v/>
      </c>
      <c r="D90" s="124" t="str">
        <f>IFERROR(INDEX(Instruments!$B$6:$B$205,MATCH(ROW()-5,$C$6:$C$205,0)),"")</f>
        <v/>
      </c>
      <c r="E90" s="124" t="n"/>
      <c r="F90" s="124" t="n"/>
      <c r="G90" s="124" t="n"/>
      <c r="H90" s="124" t="n"/>
      <c r="I90" s="124" t="n"/>
      <c r="J90" s="124" t="n"/>
      <c r="K90" s="124" t="n"/>
      <c r="L90" s="124" t="n"/>
      <c r="M90" s="124" t="n"/>
      <c r="N90" s="124" t="n"/>
      <c r="O90" s="124" t="n"/>
      <c r="P90" s="124" t="n"/>
      <c r="Q90" s="124" t="n"/>
      <c r="R90" s="124" t="n"/>
      <c r="S90" s="124" t="n"/>
      <c r="T90" s="124" t="n"/>
      <c r="U90" s="124" t="n"/>
      <c r="V90" s="124" t="n"/>
      <c r="W90" s="124" t="n"/>
    </row>
    <row r="91">
      <c r="A91" s="124" t="str">
        <f>IF(Instruments!$B91="","",Instruments!$A91&amp;"|"&amp;UPPER(TRIM(Instruments!$B91)))</f>
        <v/>
      </c>
      <c r="B91" s="124">
        <f>IF(AND(Instruments!$B91&lt;&gt;"",Instruments!$A91=Settings!$C$6),1,0)</f>
        <v>0</v>
      </c>
      <c r="C91" s="124" t="str">
        <f>IF($B91=1,COUNTIF($B$6:$B91,1),"")</f>
        <v/>
      </c>
      <c r="D91" s="124" t="str">
        <f>IFERROR(INDEX(Instruments!$B$6:$B$205,MATCH(ROW()-5,$C$6:$C$205,0)),"")</f>
        <v/>
      </c>
      <c r="E91" s="124" t="n"/>
      <c r="F91" s="124" t="n"/>
      <c r="G91" s="124" t="n"/>
      <c r="H91" s="124" t="n"/>
      <c r="I91" s="124" t="n"/>
      <c r="J91" s="124" t="n"/>
      <c r="K91" s="124" t="n"/>
      <c r="L91" s="124" t="n"/>
      <c r="M91" s="124" t="n"/>
      <c r="N91" s="124" t="n"/>
      <c r="O91" s="124" t="n"/>
      <c r="P91" s="124" t="n"/>
      <c r="Q91" s="124" t="n"/>
      <c r="R91" s="124" t="n"/>
      <c r="S91" s="124" t="n"/>
      <c r="T91" s="124" t="n"/>
      <c r="U91" s="124" t="n"/>
      <c r="V91" s="124" t="n"/>
      <c r="W91" s="124" t="n"/>
    </row>
    <row r="92">
      <c r="A92" s="124" t="str">
        <f>IF(Instruments!$B92="","",Instruments!$A92&amp;"|"&amp;UPPER(TRIM(Instruments!$B92)))</f>
        <v/>
      </c>
      <c r="B92" s="124">
        <f>IF(AND(Instruments!$B92&lt;&gt;"",Instruments!$A92=Settings!$C$6),1,0)</f>
        <v>0</v>
      </c>
      <c r="C92" s="124" t="str">
        <f>IF($B92=1,COUNTIF($B$6:$B92,1),"")</f>
        <v/>
      </c>
      <c r="D92" s="124" t="str">
        <f>IFERROR(INDEX(Instruments!$B$6:$B$205,MATCH(ROW()-5,$C$6:$C$205,0)),"")</f>
        <v/>
      </c>
      <c r="E92" s="124" t="n"/>
      <c r="F92" s="124" t="n"/>
      <c r="G92" s="124" t="n"/>
      <c r="H92" s="124" t="n"/>
      <c r="I92" s="124" t="n"/>
      <c r="J92" s="124" t="n"/>
      <c r="K92" s="124" t="n"/>
      <c r="L92" s="124" t="n"/>
      <c r="M92" s="124" t="n"/>
      <c r="N92" s="124" t="n"/>
      <c r="O92" s="124" t="n"/>
      <c r="P92" s="124" t="n"/>
      <c r="Q92" s="124" t="n"/>
      <c r="R92" s="124" t="n"/>
      <c r="S92" s="124" t="n"/>
      <c r="T92" s="124" t="n"/>
      <c r="U92" s="124" t="n"/>
      <c r="V92" s="124" t="n"/>
      <c r="W92" s="124" t="n"/>
    </row>
    <row r="93">
      <c r="A93" s="124" t="str">
        <f>IF(Instruments!$B93="","",Instruments!$A93&amp;"|"&amp;UPPER(TRIM(Instruments!$B93)))</f>
        <v/>
      </c>
      <c r="B93" s="124">
        <f>IF(AND(Instruments!$B93&lt;&gt;"",Instruments!$A93=Settings!$C$6),1,0)</f>
        <v>0</v>
      </c>
      <c r="C93" s="124" t="str">
        <f>IF($B93=1,COUNTIF($B$6:$B93,1),"")</f>
        <v/>
      </c>
      <c r="D93" s="124" t="str">
        <f>IFERROR(INDEX(Instruments!$B$6:$B$205,MATCH(ROW()-5,$C$6:$C$205,0)),"")</f>
        <v/>
      </c>
      <c r="E93" s="124" t="n"/>
      <c r="F93" s="124" t="n"/>
      <c r="G93" s="124" t="n"/>
      <c r="H93" s="124" t="n"/>
      <c r="I93" s="124" t="n"/>
      <c r="J93" s="124" t="n"/>
      <c r="K93" s="124" t="n"/>
      <c r="L93" s="124" t="n"/>
      <c r="M93" s="124" t="n"/>
      <c r="N93" s="124" t="n"/>
      <c r="O93" s="124" t="n"/>
      <c r="P93" s="124" t="n"/>
      <c r="Q93" s="124" t="n"/>
      <c r="R93" s="124" t="n"/>
      <c r="S93" s="124" t="n"/>
      <c r="T93" s="124" t="n"/>
      <c r="U93" s="124" t="n"/>
      <c r="V93" s="124" t="n"/>
      <c r="W93" s="124" t="n"/>
    </row>
    <row r="94">
      <c r="A94" s="124" t="str">
        <f>IF(Instruments!$B94="","",Instruments!$A94&amp;"|"&amp;UPPER(TRIM(Instruments!$B94)))</f>
        <v/>
      </c>
      <c r="B94" s="124">
        <f>IF(AND(Instruments!$B94&lt;&gt;"",Instruments!$A94=Settings!$C$6),1,0)</f>
        <v>0</v>
      </c>
      <c r="C94" s="124" t="str">
        <f>IF($B94=1,COUNTIF($B$6:$B94,1),"")</f>
        <v/>
      </c>
      <c r="D94" s="124" t="str">
        <f>IFERROR(INDEX(Instruments!$B$6:$B$205,MATCH(ROW()-5,$C$6:$C$205,0)),"")</f>
        <v/>
      </c>
      <c r="E94" s="124" t="n"/>
      <c r="F94" s="124" t="n"/>
      <c r="G94" s="124" t="n"/>
      <c r="H94" s="124" t="n"/>
      <c r="I94" s="124" t="n"/>
      <c r="J94" s="124" t="n"/>
      <c r="K94" s="124" t="n"/>
      <c r="L94" s="124" t="n"/>
      <c r="M94" s="124" t="n"/>
      <c r="N94" s="124" t="n"/>
      <c r="O94" s="124" t="n"/>
      <c r="P94" s="124" t="n"/>
      <c r="Q94" s="124" t="n"/>
      <c r="R94" s="124" t="n"/>
      <c r="S94" s="124" t="n"/>
      <c r="T94" s="124" t="n"/>
      <c r="U94" s="124" t="n"/>
      <c r="V94" s="124" t="n"/>
      <c r="W94" s="124" t="n"/>
    </row>
    <row r="95">
      <c r="A95" s="124" t="str">
        <f>IF(Instruments!$B95="","",Instruments!$A95&amp;"|"&amp;UPPER(TRIM(Instruments!$B95)))</f>
        <v/>
      </c>
      <c r="B95" s="124">
        <f>IF(AND(Instruments!$B95&lt;&gt;"",Instruments!$A95=Settings!$C$6),1,0)</f>
        <v>0</v>
      </c>
      <c r="C95" s="124" t="str">
        <f>IF($B95=1,COUNTIF($B$6:$B95,1),"")</f>
        <v/>
      </c>
      <c r="D95" s="124" t="str">
        <f>IFERROR(INDEX(Instruments!$B$6:$B$205,MATCH(ROW()-5,$C$6:$C$205,0)),"")</f>
        <v/>
      </c>
      <c r="E95" s="124" t="n"/>
      <c r="F95" s="124" t="n"/>
      <c r="G95" s="124" t="n"/>
      <c r="H95" s="124" t="n"/>
      <c r="I95" s="124" t="n"/>
      <c r="J95" s="124" t="n"/>
      <c r="K95" s="124" t="n"/>
      <c r="L95" s="124" t="n"/>
      <c r="M95" s="124" t="n"/>
      <c r="N95" s="124" t="n"/>
      <c r="O95" s="124" t="n"/>
      <c r="P95" s="124" t="n"/>
      <c r="Q95" s="124" t="n"/>
      <c r="R95" s="124" t="n"/>
      <c r="S95" s="124" t="n"/>
      <c r="T95" s="124" t="n"/>
      <c r="U95" s="124" t="n"/>
      <c r="V95" s="124" t="n"/>
      <c r="W95" s="124" t="n"/>
    </row>
    <row r="96">
      <c r="A96" s="124" t="str">
        <f>IF(Instruments!$B96="","",Instruments!$A96&amp;"|"&amp;UPPER(TRIM(Instruments!$B96)))</f>
        <v/>
      </c>
      <c r="B96" s="124">
        <f>IF(AND(Instruments!$B96&lt;&gt;"",Instruments!$A96=Settings!$C$6),1,0)</f>
        <v>0</v>
      </c>
      <c r="C96" s="124" t="str">
        <f>IF($B96=1,COUNTIF($B$6:$B96,1),"")</f>
        <v/>
      </c>
      <c r="D96" s="124" t="str">
        <f>IFERROR(INDEX(Instruments!$B$6:$B$205,MATCH(ROW()-5,$C$6:$C$205,0)),"")</f>
        <v/>
      </c>
      <c r="E96" s="124" t="n"/>
      <c r="F96" s="124" t="n"/>
      <c r="G96" s="124" t="n"/>
      <c r="H96" s="124" t="n"/>
      <c r="I96" s="124" t="n"/>
      <c r="J96" s="124" t="n"/>
      <c r="K96" s="124" t="n"/>
      <c r="L96" s="124" t="n"/>
      <c r="M96" s="124" t="n"/>
      <c r="N96" s="124" t="n"/>
      <c r="O96" s="124" t="n"/>
      <c r="P96" s="124" t="n"/>
      <c r="Q96" s="124" t="n"/>
      <c r="R96" s="124" t="n"/>
      <c r="S96" s="124" t="n"/>
      <c r="T96" s="124" t="n"/>
      <c r="U96" s="124" t="n"/>
      <c r="V96" s="124" t="n"/>
      <c r="W96" s="124" t="n"/>
    </row>
    <row r="97">
      <c r="A97" s="124" t="str">
        <f>IF(Instruments!$B97="","",Instruments!$A97&amp;"|"&amp;UPPER(TRIM(Instruments!$B97)))</f>
        <v/>
      </c>
      <c r="B97" s="124">
        <f>IF(AND(Instruments!$B97&lt;&gt;"",Instruments!$A97=Settings!$C$6),1,0)</f>
        <v>0</v>
      </c>
      <c r="C97" s="124" t="str">
        <f>IF($B97=1,COUNTIF($B$6:$B97,1),"")</f>
        <v/>
      </c>
      <c r="D97" s="124" t="str">
        <f>IFERROR(INDEX(Instruments!$B$6:$B$205,MATCH(ROW()-5,$C$6:$C$205,0)),"")</f>
        <v/>
      </c>
      <c r="E97" s="124" t="n"/>
      <c r="F97" s="124" t="n"/>
      <c r="G97" s="124" t="n"/>
      <c r="H97" s="124" t="n"/>
      <c r="I97" s="124" t="n"/>
      <c r="J97" s="124" t="n"/>
      <c r="K97" s="124" t="n"/>
      <c r="L97" s="124" t="n"/>
      <c r="M97" s="124" t="n"/>
      <c r="N97" s="124" t="n"/>
      <c r="O97" s="124" t="n"/>
      <c r="P97" s="124" t="n"/>
      <c r="Q97" s="124" t="n"/>
      <c r="R97" s="124" t="n"/>
      <c r="S97" s="124" t="n"/>
      <c r="T97" s="124" t="n"/>
      <c r="U97" s="124" t="n"/>
      <c r="V97" s="124" t="n"/>
      <c r="W97" s="124" t="n"/>
    </row>
    <row r="98">
      <c r="A98" s="124" t="str">
        <f>IF(Instruments!$B98="","",Instruments!$A98&amp;"|"&amp;UPPER(TRIM(Instruments!$B98)))</f>
        <v/>
      </c>
      <c r="B98" s="124">
        <f>IF(AND(Instruments!$B98&lt;&gt;"",Instruments!$A98=Settings!$C$6),1,0)</f>
        <v>0</v>
      </c>
      <c r="C98" s="124" t="str">
        <f>IF($B98=1,COUNTIF($B$6:$B98,1),"")</f>
        <v/>
      </c>
      <c r="D98" s="124" t="str">
        <f>IFERROR(INDEX(Instruments!$B$6:$B$205,MATCH(ROW()-5,$C$6:$C$205,0)),"")</f>
        <v/>
      </c>
      <c r="E98" s="124" t="n"/>
      <c r="F98" s="124" t="n"/>
      <c r="G98" s="124" t="n"/>
      <c r="H98" s="124" t="n"/>
      <c r="I98" s="124" t="n"/>
      <c r="J98" s="124" t="n"/>
      <c r="K98" s="124" t="n"/>
      <c r="L98" s="124" t="n"/>
      <c r="M98" s="124" t="n"/>
      <c r="N98" s="124" t="n"/>
      <c r="O98" s="124" t="n"/>
      <c r="P98" s="124" t="n"/>
      <c r="Q98" s="124" t="n"/>
      <c r="R98" s="124" t="n"/>
      <c r="S98" s="124" t="n"/>
      <c r="T98" s="124" t="n"/>
      <c r="U98" s="124" t="n"/>
      <c r="V98" s="124" t="n"/>
      <c r="W98" s="124" t="n"/>
    </row>
    <row r="99">
      <c r="A99" s="124" t="str">
        <f>IF(Instruments!$B99="","",Instruments!$A99&amp;"|"&amp;UPPER(TRIM(Instruments!$B99)))</f>
        <v/>
      </c>
      <c r="B99" s="124">
        <f>IF(AND(Instruments!$B99&lt;&gt;"",Instruments!$A99=Settings!$C$6),1,0)</f>
        <v>0</v>
      </c>
      <c r="C99" s="124" t="str">
        <f>IF($B99=1,COUNTIF($B$6:$B99,1),"")</f>
        <v/>
      </c>
      <c r="D99" s="124" t="str">
        <f>IFERROR(INDEX(Instruments!$B$6:$B$205,MATCH(ROW()-5,$C$6:$C$205,0)),"")</f>
        <v/>
      </c>
      <c r="E99" s="124" t="n"/>
      <c r="F99" s="124" t="n"/>
      <c r="G99" s="124" t="n"/>
      <c r="H99" s="124" t="n"/>
      <c r="I99" s="124" t="n"/>
      <c r="J99" s="124" t="n"/>
      <c r="K99" s="124" t="n"/>
      <c r="L99" s="124" t="n"/>
      <c r="M99" s="124" t="n"/>
      <c r="N99" s="124" t="n"/>
      <c r="O99" s="124" t="n"/>
      <c r="P99" s="124" t="n"/>
      <c r="Q99" s="124" t="n"/>
      <c r="R99" s="124" t="n"/>
      <c r="S99" s="124" t="n"/>
      <c r="T99" s="124" t="n"/>
      <c r="U99" s="124" t="n"/>
      <c r="V99" s="124" t="n"/>
      <c r="W99" s="124" t="n"/>
    </row>
    <row r="100">
      <c r="A100" s="124" t="str">
        <f>IF(Instruments!$B100="","",Instruments!$A100&amp;"|"&amp;UPPER(TRIM(Instruments!$B100)))</f>
        <v/>
      </c>
      <c r="B100" s="124">
        <f>IF(AND(Instruments!$B100&lt;&gt;"",Instruments!$A100=Settings!$C$6),1,0)</f>
        <v>0</v>
      </c>
      <c r="C100" s="124" t="str">
        <f>IF($B100=1,COUNTIF($B$6:$B100,1),"")</f>
        <v/>
      </c>
      <c r="D100" s="124" t="str">
        <f>IFERROR(INDEX(Instruments!$B$6:$B$205,MATCH(ROW()-5,$C$6:$C$205,0)),"")</f>
        <v/>
      </c>
      <c r="E100" s="124" t="n"/>
      <c r="F100" s="124" t="n"/>
      <c r="G100" s="124" t="n"/>
      <c r="H100" s="124" t="n"/>
      <c r="I100" s="124" t="n"/>
      <c r="J100" s="124" t="n"/>
      <c r="K100" s="124" t="n"/>
      <c r="L100" s="124" t="n"/>
      <c r="M100" s="124" t="n"/>
      <c r="N100" s="124" t="n"/>
      <c r="O100" s="124" t="n"/>
      <c r="P100" s="124" t="n"/>
      <c r="Q100" s="124" t="n"/>
      <c r="R100" s="124" t="n"/>
      <c r="S100" s="124" t="n"/>
      <c r="T100" s="124" t="n"/>
      <c r="U100" s="124" t="n"/>
      <c r="V100" s="124" t="n"/>
      <c r="W100" s="124" t="n"/>
    </row>
    <row r="101">
      <c r="A101" s="124" t="str">
        <f>IF(Instruments!$B101="","",Instruments!$A101&amp;"|"&amp;UPPER(TRIM(Instruments!$B101)))</f>
        <v/>
      </c>
      <c r="B101" s="124">
        <f>IF(AND(Instruments!$B101&lt;&gt;"",Instruments!$A101=Settings!$C$6),1,0)</f>
        <v>0</v>
      </c>
      <c r="C101" s="124" t="str">
        <f>IF($B101=1,COUNTIF($B$6:$B101,1),"")</f>
        <v/>
      </c>
      <c r="D101" s="124" t="str">
        <f>IFERROR(INDEX(Instruments!$B$6:$B$205,MATCH(ROW()-5,$C$6:$C$205,0)),"")</f>
        <v/>
      </c>
      <c r="E101" s="124" t="n"/>
      <c r="F101" s="124" t="n"/>
      <c r="G101" s="124" t="n"/>
      <c r="H101" s="124" t="n"/>
      <c r="I101" s="124" t="n"/>
      <c r="J101" s="124" t="n"/>
      <c r="K101" s="124" t="n"/>
      <c r="L101" s="124" t="n"/>
      <c r="M101" s="124" t="n"/>
      <c r="N101" s="124" t="n"/>
      <c r="O101" s="124" t="n"/>
      <c r="P101" s="124" t="n"/>
      <c r="Q101" s="124" t="n"/>
      <c r="R101" s="124" t="n"/>
      <c r="S101" s="124" t="n"/>
      <c r="T101" s="124" t="n"/>
      <c r="U101" s="124" t="n"/>
      <c r="V101" s="124" t="n"/>
      <c r="W101" s="124" t="n"/>
    </row>
    <row r="102">
      <c r="A102" s="124" t="str">
        <f>IF(Instruments!$B102="","",Instruments!$A102&amp;"|"&amp;UPPER(TRIM(Instruments!$B102)))</f>
        <v/>
      </c>
      <c r="B102" s="124">
        <f>IF(AND(Instruments!$B102&lt;&gt;"",Instruments!$A102=Settings!$C$6),1,0)</f>
        <v>0</v>
      </c>
      <c r="C102" s="124" t="str">
        <f>IF($B102=1,COUNTIF($B$6:$B102,1),"")</f>
        <v/>
      </c>
      <c r="D102" s="124" t="str">
        <f>IFERROR(INDEX(Instruments!$B$6:$B$205,MATCH(ROW()-5,$C$6:$C$205,0)),"")</f>
        <v/>
      </c>
      <c r="E102" s="124" t="n"/>
      <c r="F102" s="124" t="n"/>
      <c r="G102" s="124" t="n"/>
      <c r="H102" s="124" t="n"/>
      <c r="I102" s="124" t="n"/>
      <c r="J102" s="124" t="n"/>
      <c r="K102" s="124" t="n"/>
      <c r="L102" s="124" t="n"/>
      <c r="M102" s="124" t="n"/>
      <c r="N102" s="124" t="n"/>
      <c r="O102" s="124" t="n"/>
      <c r="P102" s="124" t="n"/>
      <c r="Q102" s="124" t="n"/>
      <c r="R102" s="124" t="n"/>
      <c r="S102" s="124" t="n"/>
      <c r="T102" s="124" t="n"/>
      <c r="U102" s="124" t="n"/>
      <c r="V102" s="124" t="n"/>
      <c r="W102" s="124" t="n"/>
    </row>
    <row r="103">
      <c r="A103" s="124" t="str">
        <f>IF(Instruments!$B103="","",Instruments!$A103&amp;"|"&amp;UPPER(TRIM(Instruments!$B103)))</f>
        <v/>
      </c>
      <c r="B103" s="124">
        <f>IF(AND(Instruments!$B103&lt;&gt;"",Instruments!$A103=Settings!$C$6),1,0)</f>
        <v>0</v>
      </c>
      <c r="C103" s="124" t="str">
        <f>IF($B103=1,COUNTIF($B$6:$B103,1),"")</f>
        <v/>
      </c>
      <c r="D103" s="124" t="str">
        <f>IFERROR(INDEX(Instruments!$B$6:$B$205,MATCH(ROW()-5,$C$6:$C$205,0)),"")</f>
        <v/>
      </c>
      <c r="E103" s="124" t="n"/>
      <c r="F103" s="124" t="n"/>
      <c r="G103" s="124" t="n"/>
      <c r="H103" s="124" t="n"/>
      <c r="I103" s="124" t="n"/>
      <c r="J103" s="124" t="n"/>
      <c r="K103" s="124" t="n"/>
      <c r="L103" s="124" t="n"/>
      <c r="M103" s="124" t="n"/>
      <c r="N103" s="124" t="n"/>
      <c r="O103" s="124" t="n"/>
      <c r="P103" s="124" t="n"/>
      <c r="Q103" s="124" t="n"/>
      <c r="R103" s="124" t="n"/>
      <c r="S103" s="124" t="n"/>
      <c r="T103" s="124" t="n"/>
      <c r="U103" s="124" t="n"/>
      <c r="V103" s="124" t="n"/>
      <c r="W103" s="124" t="n"/>
    </row>
    <row r="104">
      <c r="A104" s="124" t="str">
        <f>IF(Instruments!$B104="","",Instruments!$A104&amp;"|"&amp;UPPER(TRIM(Instruments!$B104)))</f>
        <v/>
      </c>
      <c r="B104" s="124">
        <f>IF(AND(Instruments!$B104&lt;&gt;"",Instruments!$A104=Settings!$C$6),1,0)</f>
        <v>0</v>
      </c>
      <c r="C104" s="124" t="str">
        <f>IF($B104=1,COUNTIF($B$6:$B104,1),"")</f>
        <v/>
      </c>
      <c r="D104" s="124" t="str">
        <f>IFERROR(INDEX(Instruments!$B$6:$B$205,MATCH(ROW()-5,$C$6:$C$205,0)),"")</f>
        <v/>
      </c>
      <c r="E104" s="124" t="n"/>
      <c r="F104" s="124" t="n"/>
      <c r="G104" s="124" t="n"/>
      <c r="H104" s="124" t="n"/>
      <c r="I104" s="124" t="n"/>
      <c r="J104" s="124" t="n"/>
      <c r="K104" s="124" t="n"/>
      <c r="L104" s="124" t="n"/>
      <c r="M104" s="124" t="n"/>
      <c r="N104" s="124" t="n"/>
      <c r="O104" s="124" t="n"/>
      <c r="P104" s="124" t="n"/>
      <c r="Q104" s="124" t="n"/>
      <c r="R104" s="124" t="n"/>
      <c r="S104" s="124" t="n"/>
      <c r="T104" s="124" t="n"/>
      <c r="U104" s="124" t="n"/>
      <c r="V104" s="124" t="n"/>
      <c r="W104" s="124" t="n"/>
    </row>
    <row r="105">
      <c r="A105" s="124" t="str">
        <f>IF(Instruments!$B105="","",Instruments!$A105&amp;"|"&amp;UPPER(TRIM(Instruments!$B105)))</f>
        <v/>
      </c>
      <c r="B105" s="124">
        <f>IF(AND(Instruments!$B105&lt;&gt;"",Instruments!$A105=Settings!$C$6),1,0)</f>
        <v>0</v>
      </c>
      <c r="C105" s="124" t="str">
        <f>IF($B105=1,COUNTIF($B$6:$B105,1),"")</f>
        <v/>
      </c>
      <c r="D105" s="124" t="str">
        <f>IFERROR(INDEX(Instruments!$B$6:$B$205,MATCH(ROW()-5,$C$6:$C$205,0)),"")</f>
        <v/>
      </c>
      <c r="E105" s="124" t="n"/>
      <c r="F105" s="124" t="n"/>
      <c r="G105" s="124" t="n"/>
      <c r="H105" s="124" t="n"/>
      <c r="I105" s="124" t="n"/>
      <c r="J105" s="124" t="n"/>
      <c r="K105" s="124" t="n"/>
      <c r="L105" s="124" t="n"/>
      <c r="M105" s="124" t="n"/>
      <c r="N105" s="124" t="n"/>
      <c r="O105" s="124" t="n"/>
      <c r="P105" s="124" t="n"/>
      <c r="Q105" s="124" t="n"/>
      <c r="R105" s="124" t="n"/>
      <c r="S105" s="124" t="n"/>
      <c r="T105" s="124" t="n"/>
      <c r="U105" s="124" t="n"/>
      <c r="V105" s="124" t="n"/>
      <c r="W105" s="124" t="n"/>
    </row>
    <row r="106">
      <c r="A106" s="124" t="str">
        <f>IF(Instruments!$B106="","",Instruments!$A106&amp;"|"&amp;UPPER(TRIM(Instruments!$B106)))</f>
        <v/>
      </c>
      <c r="B106" s="124">
        <f>IF(AND(Instruments!$B106&lt;&gt;"",Instruments!$A106=Settings!$C$6),1,0)</f>
        <v>0</v>
      </c>
      <c r="C106" s="124" t="str">
        <f>IF($B106=1,COUNTIF($B$6:$B106,1),"")</f>
        <v/>
      </c>
      <c r="D106" s="124" t="str">
        <f>IFERROR(INDEX(Instruments!$B$6:$B$205,MATCH(ROW()-5,$C$6:$C$205,0)),"")</f>
        <v/>
      </c>
      <c r="E106" s="124" t="n"/>
      <c r="F106" s="124" t="n"/>
      <c r="G106" s="124" t="n"/>
      <c r="H106" s="124" t="n"/>
      <c r="I106" s="124" t="n"/>
      <c r="J106" s="124" t="n"/>
      <c r="K106" s="124" t="n"/>
      <c r="L106" s="124" t="n"/>
      <c r="M106" s="124" t="n"/>
      <c r="N106" s="124" t="n"/>
      <c r="O106" s="124" t="n"/>
      <c r="P106" s="124" t="n"/>
      <c r="Q106" s="124" t="n"/>
      <c r="R106" s="124" t="n"/>
      <c r="S106" s="124" t="n"/>
      <c r="T106" s="124" t="n"/>
      <c r="U106" s="124" t="n"/>
      <c r="V106" s="124" t="n"/>
      <c r="W106" s="124" t="n"/>
    </row>
    <row r="107">
      <c r="A107" s="124" t="str">
        <f>IF(Instruments!$B107="","",Instruments!$A107&amp;"|"&amp;UPPER(TRIM(Instruments!$B107)))</f>
        <v/>
      </c>
      <c r="B107" s="124">
        <f>IF(AND(Instruments!$B107&lt;&gt;"",Instruments!$A107=Settings!$C$6),1,0)</f>
        <v>0</v>
      </c>
      <c r="C107" s="124" t="str">
        <f>IF($B107=1,COUNTIF($B$6:$B107,1),"")</f>
        <v/>
      </c>
      <c r="D107" s="124" t="str">
        <f>IFERROR(INDEX(Instruments!$B$6:$B$205,MATCH(ROW()-5,$C$6:$C$205,0)),"")</f>
        <v/>
      </c>
      <c r="E107" s="124" t="n"/>
      <c r="F107" s="124" t="n"/>
      <c r="G107" s="124" t="n"/>
      <c r="H107" s="124" t="n"/>
      <c r="I107" s="124" t="n"/>
      <c r="J107" s="124" t="n"/>
      <c r="K107" s="124" t="n"/>
      <c r="L107" s="124" t="n"/>
      <c r="M107" s="124" t="n"/>
      <c r="N107" s="124" t="n"/>
      <c r="O107" s="124" t="n"/>
      <c r="P107" s="124" t="n"/>
      <c r="Q107" s="124" t="n"/>
      <c r="R107" s="124" t="n"/>
      <c r="S107" s="124" t="n"/>
      <c r="T107" s="124" t="n"/>
      <c r="U107" s="124" t="n"/>
      <c r="V107" s="124" t="n"/>
      <c r="W107" s="124" t="n"/>
    </row>
    <row r="108">
      <c r="A108" s="124" t="str">
        <f>IF(Instruments!$B108="","",Instruments!$A108&amp;"|"&amp;UPPER(TRIM(Instruments!$B108)))</f>
        <v/>
      </c>
      <c r="B108" s="124">
        <f>IF(AND(Instruments!$B108&lt;&gt;"",Instruments!$A108=Settings!$C$6),1,0)</f>
        <v>0</v>
      </c>
      <c r="C108" s="124" t="str">
        <f>IF($B108=1,COUNTIF($B$6:$B108,1),"")</f>
        <v/>
      </c>
      <c r="D108" s="124" t="str">
        <f>IFERROR(INDEX(Instruments!$B$6:$B$205,MATCH(ROW()-5,$C$6:$C$205,0)),"")</f>
        <v/>
      </c>
      <c r="E108" s="124" t="n"/>
      <c r="F108" s="124" t="n"/>
      <c r="G108" s="124" t="n"/>
      <c r="H108" s="124" t="n"/>
      <c r="I108" s="124" t="n"/>
      <c r="J108" s="124" t="n"/>
      <c r="K108" s="124" t="n"/>
      <c r="L108" s="124" t="n"/>
      <c r="M108" s="124" t="n"/>
      <c r="N108" s="124" t="n"/>
      <c r="O108" s="124" t="n"/>
      <c r="P108" s="124" t="n"/>
      <c r="Q108" s="124" t="n"/>
      <c r="R108" s="124" t="n"/>
      <c r="S108" s="124" t="n"/>
      <c r="T108" s="124" t="n"/>
      <c r="U108" s="124" t="n"/>
      <c r="V108" s="124" t="n"/>
      <c r="W108" s="124" t="n"/>
    </row>
    <row r="109">
      <c r="A109" s="124" t="str">
        <f>IF(Instruments!$B109="","",Instruments!$A109&amp;"|"&amp;UPPER(TRIM(Instruments!$B109)))</f>
        <v/>
      </c>
      <c r="B109" s="124">
        <f>IF(AND(Instruments!$B109&lt;&gt;"",Instruments!$A109=Settings!$C$6),1,0)</f>
        <v>0</v>
      </c>
      <c r="C109" s="124" t="str">
        <f>IF($B109=1,COUNTIF($B$6:$B109,1),"")</f>
        <v/>
      </c>
      <c r="D109" s="124" t="str">
        <f>IFERROR(INDEX(Instruments!$B$6:$B$205,MATCH(ROW()-5,$C$6:$C$205,0)),"")</f>
        <v/>
      </c>
      <c r="E109" s="124" t="n"/>
      <c r="F109" s="124" t="n"/>
      <c r="G109" s="124" t="n"/>
      <c r="H109" s="124" t="n"/>
      <c r="I109" s="124" t="n"/>
      <c r="J109" s="124" t="n"/>
      <c r="K109" s="124" t="n"/>
      <c r="L109" s="124" t="n"/>
      <c r="M109" s="124" t="n"/>
      <c r="N109" s="124" t="n"/>
      <c r="O109" s="124" t="n"/>
      <c r="P109" s="124" t="n"/>
      <c r="Q109" s="124" t="n"/>
      <c r="R109" s="124" t="n"/>
      <c r="S109" s="124" t="n"/>
      <c r="T109" s="124" t="n"/>
      <c r="U109" s="124" t="n"/>
      <c r="V109" s="124" t="n"/>
      <c r="W109" s="124" t="n"/>
    </row>
    <row r="110">
      <c r="A110" s="124" t="str">
        <f>IF(Instruments!$B110="","",Instruments!$A110&amp;"|"&amp;UPPER(TRIM(Instruments!$B110)))</f>
        <v/>
      </c>
      <c r="B110" s="124">
        <f>IF(AND(Instruments!$B110&lt;&gt;"",Instruments!$A110=Settings!$C$6),1,0)</f>
        <v>0</v>
      </c>
      <c r="C110" s="124" t="str">
        <f>IF($B110=1,COUNTIF($B$6:$B110,1),"")</f>
        <v/>
      </c>
      <c r="D110" s="124" t="str">
        <f>IFERROR(INDEX(Instruments!$B$6:$B$205,MATCH(ROW()-5,$C$6:$C$205,0)),"")</f>
        <v/>
      </c>
      <c r="E110" s="124" t="n"/>
      <c r="F110" s="124" t="n"/>
      <c r="G110" s="124" t="n"/>
      <c r="H110" s="124" t="n"/>
      <c r="I110" s="124" t="n"/>
      <c r="J110" s="124" t="n"/>
      <c r="K110" s="124" t="n"/>
      <c r="L110" s="124" t="n"/>
      <c r="M110" s="124" t="n"/>
      <c r="N110" s="124" t="n"/>
      <c r="O110" s="124" t="n"/>
      <c r="P110" s="124" t="n"/>
      <c r="Q110" s="124" t="n"/>
      <c r="R110" s="124" t="n"/>
      <c r="S110" s="124" t="n"/>
      <c r="T110" s="124" t="n"/>
      <c r="U110" s="124" t="n"/>
      <c r="V110" s="124" t="n"/>
      <c r="W110" s="124" t="n"/>
    </row>
    <row r="111">
      <c r="A111" s="124" t="str">
        <f>IF(Instruments!$B111="","",Instruments!$A111&amp;"|"&amp;UPPER(TRIM(Instruments!$B111)))</f>
        <v/>
      </c>
      <c r="B111" s="124">
        <f>IF(AND(Instruments!$B111&lt;&gt;"",Instruments!$A111=Settings!$C$6),1,0)</f>
        <v>0</v>
      </c>
      <c r="C111" s="124" t="str">
        <f>IF($B111=1,COUNTIF($B$6:$B111,1),"")</f>
        <v/>
      </c>
      <c r="D111" s="124" t="str">
        <f>IFERROR(INDEX(Instruments!$B$6:$B$205,MATCH(ROW()-5,$C$6:$C$205,0)),"")</f>
        <v/>
      </c>
      <c r="E111" s="124" t="n"/>
      <c r="F111" s="124" t="n"/>
      <c r="G111" s="124" t="n"/>
      <c r="H111" s="124" t="n"/>
      <c r="I111" s="124" t="n"/>
      <c r="J111" s="124" t="n"/>
      <c r="K111" s="124" t="n"/>
      <c r="L111" s="124" t="n"/>
      <c r="M111" s="124" t="n"/>
      <c r="N111" s="124" t="n"/>
      <c r="O111" s="124" t="n"/>
      <c r="P111" s="124" t="n"/>
      <c r="Q111" s="124" t="n"/>
      <c r="R111" s="124" t="n"/>
      <c r="S111" s="124" t="n"/>
      <c r="T111" s="124" t="n"/>
      <c r="U111" s="124" t="n"/>
      <c r="V111" s="124" t="n"/>
      <c r="W111" s="124" t="n"/>
    </row>
    <row r="112">
      <c r="A112" s="124" t="str">
        <f>IF(Instruments!$B112="","",Instruments!$A112&amp;"|"&amp;UPPER(TRIM(Instruments!$B112)))</f>
        <v/>
      </c>
      <c r="B112" s="124">
        <f>IF(AND(Instruments!$B112&lt;&gt;"",Instruments!$A112=Settings!$C$6),1,0)</f>
        <v>0</v>
      </c>
      <c r="C112" s="124" t="str">
        <f>IF($B112=1,COUNTIF($B$6:$B112,1),"")</f>
        <v/>
      </c>
      <c r="D112" s="124" t="str">
        <f>IFERROR(INDEX(Instruments!$B$6:$B$205,MATCH(ROW()-5,$C$6:$C$205,0)),"")</f>
        <v/>
      </c>
      <c r="E112" s="124" t="n"/>
      <c r="F112" s="124" t="n"/>
      <c r="G112" s="124" t="n"/>
      <c r="H112" s="124" t="n"/>
      <c r="I112" s="124" t="n"/>
      <c r="J112" s="124" t="n"/>
      <c r="K112" s="124" t="n"/>
      <c r="L112" s="124" t="n"/>
      <c r="M112" s="124" t="n"/>
      <c r="N112" s="124" t="n"/>
      <c r="O112" s="124" t="n"/>
      <c r="P112" s="124" t="n"/>
      <c r="Q112" s="124" t="n"/>
      <c r="R112" s="124" t="n"/>
      <c r="S112" s="124" t="n"/>
      <c r="T112" s="124" t="n"/>
      <c r="U112" s="124" t="n"/>
      <c r="V112" s="124" t="n"/>
      <c r="W112" s="124" t="n"/>
    </row>
    <row r="113">
      <c r="A113" s="124" t="str">
        <f>IF(Instruments!$B113="","",Instruments!$A113&amp;"|"&amp;UPPER(TRIM(Instruments!$B113)))</f>
        <v/>
      </c>
      <c r="B113" s="124">
        <f>IF(AND(Instruments!$B113&lt;&gt;"",Instruments!$A113=Settings!$C$6),1,0)</f>
        <v>0</v>
      </c>
      <c r="C113" s="124" t="str">
        <f>IF($B113=1,COUNTIF($B$6:$B113,1),"")</f>
        <v/>
      </c>
      <c r="D113" s="124" t="str">
        <f>IFERROR(INDEX(Instruments!$B$6:$B$205,MATCH(ROW()-5,$C$6:$C$205,0)),"")</f>
        <v/>
      </c>
      <c r="E113" s="124" t="n"/>
      <c r="F113" s="124" t="n"/>
      <c r="G113" s="124" t="n"/>
      <c r="H113" s="124" t="n"/>
      <c r="I113" s="124" t="n"/>
      <c r="J113" s="124" t="n"/>
      <c r="K113" s="124" t="n"/>
      <c r="L113" s="124" t="n"/>
      <c r="M113" s="124" t="n"/>
      <c r="N113" s="124" t="n"/>
      <c r="O113" s="124" t="n"/>
      <c r="P113" s="124" t="n"/>
      <c r="Q113" s="124" t="n"/>
      <c r="R113" s="124" t="n"/>
      <c r="S113" s="124" t="n"/>
      <c r="T113" s="124" t="n"/>
      <c r="U113" s="124" t="n"/>
      <c r="V113" s="124" t="n"/>
      <c r="W113" s="124" t="n"/>
    </row>
    <row r="114">
      <c r="A114" s="124" t="str">
        <f>IF(Instruments!$B114="","",Instruments!$A114&amp;"|"&amp;UPPER(TRIM(Instruments!$B114)))</f>
        <v/>
      </c>
      <c r="B114" s="124">
        <f>IF(AND(Instruments!$B114&lt;&gt;"",Instruments!$A114=Settings!$C$6),1,0)</f>
        <v>0</v>
      </c>
      <c r="C114" s="124" t="str">
        <f>IF($B114=1,COUNTIF($B$6:$B114,1),"")</f>
        <v/>
      </c>
      <c r="D114" s="124" t="str">
        <f>IFERROR(INDEX(Instruments!$B$6:$B$205,MATCH(ROW()-5,$C$6:$C$205,0)),"")</f>
        <v/>
      </c>
      <c r="E114" s="124" t="n"/>
      <c r="F114" s="124" t="n"/>
      <c r="G114" s="124" t="n"/>
      <c r="H114" s="124" t="n"/>
      <c r="I114" s="124" t="n"/>
      <c r="J114" s="124" t="n"/>
      <c r="K114" s="124" t="n"/>
      <c r="L114" s="124" t="n"/>
      <c r="M114" s="124" t="n"/>
      <c r="N114" s="124" t="n"/>
      <c r="O114" s="124" t="n"/>
      <c r="P114" s="124" t="n"/>
      <c r="Q114" s="124" t="n"/>
      <c r="R114" s="124" t="n"/>
      <c r="S114" s="124" t="n"/>
      <c r="T114" s="124" t="n"/>
      <c r="U114" s="124" t="n"/>
      <c r="V114" s="124" t="n"/>
      <c r="W114" s="124" t="n"/>
    </row>
    <row r="115">
      <c r="A115" s="124" t="str">
        <f>IF(Instruments!$B115="","",Instruments!$A115&amp;"|"&amp;UPPER(TRIM(Instruments!$B115)))</f>
        <v/>
      </c>
      <c r="B115" s="124">
        <f>IF(AND(Instruments!$B115&lt;&gt;"",Instruments!$A115=Settings!$C$6),1,0)</f>
        <v>0</v>
      </c>
      <c r="C115" s="124" t="str">
        <f>IF($B115=1,COUNTIF($B$6:$B115,1),"")</f>
        <v/>
      </c>
      <c r="D115" s="124" t="str">
        <f>IFERROR(INDEX(Instruments!$B$6:$B$205,MATCH(ROW()-5,$C$6:$C$205,0)),"")</f>
        <v/>
      </c>
      <c r="E115" s="124" t="n"/>
      <c r="F115" s="124" t="n"/>
      <c r="G115" s="124" t="n"/>
      <c r="H115" s="124" t="n"/>
      <c r="I115" s="124" t="n"/>
      <c r="J115" s="124" t="n"/>
      <c r="K115" s="124" t="n"/>
      <c r="L115" s="124" t="n"/>
      <c r="M115" s="124" t="n"/>
      <c r="N115" s="124" t="n"/>
      <c r="O115" s="124" t="n"/>
      <c r="P115" s="124" t="n"/>
      <c r="Q115" s="124" t="n"/>
      <c r="R115" s="124" t="n"/>
      <c r="S115" s="124" t="n"/>
      <c r="T115" s="124" t="n"/>
      <c r="U115" s="124" t="n"/>
      <c r="V115" s="124" t="n"/>
      <c r="W115" s="124" t="n"/>
    </row>
    <row r="116">
      <c r="A116" s="124" t="str">
        <f>IF(Instruments!$B116="","",Instruments!$A116&amp;"|"&amp;UPPER(TRIM(Instruments!$B116)))</f>
        <v/>
      </c>
      <c r="B116" s="124">
        <f>IF(AND(Instruments!$B116&lt;&gt;"",Instruments!$A116=Settings!$C$6),1,0)</f>
        <v>0</v>
      </c>
      <c r="C116" s="124" t="str">
        <f>IF($B116=1,COUNTIF($B$6:$B116,1),"")</f>
        <v/>
      </c>
      <c r="D116" s="124" t="str">
        <f>IFERROR(INDEX(Instruments!$B$6:$B$205,MATCH(ROW()-5,$C$6:$C$205,0)),"")</f>
        <v/>
      </c>
      <c r="E116" s="124" t="n"/>
      <c r="F116" s="124" t="n"/>
      <c r="G116" s="124" t="n"/>
      <c r="H116" s="124" t="n"/>
      <c r="I116" s="124" t="n"/>
      <c r="J116" s="124" t="n"/>
      <c r="K116" s="124" t="n"/>
      <c r="L116" s="124" t="n"/>
      <c r="M116" s="124" t="n"/>
      <c r="N116" s="124" t="n"/>
      <c r="O116" s="124" t="n"/>
      <c r="P116" s="124" t="n"/>
      <c r="Q116" s="124" t="n"/>
      <c r="R116" s="124" t="n"/>
      <c r="S116" s="124" t="n"/>
      <c r="T116" s="124" t="n"/>
      <c r="U116" s="124" t="n"/>
      <c r="V116" s="124" t="n"/>
      <c r="W116" s="124" t="n"/>
    </row>
    <row r="117">
      <c r="A117" s="124" t="str">
        <f>IF(Instruments!$B117="","",Instruments!$A117&amp;"|"&amp;UPPER(TRIM(Instruments!$B117)))</f>
        <v/>
      </c>
      <c r="B117" s="124">
        <f>IF(AND(Instruments!$B117&lt;&gt;"",Instruments!$A117=Settings!$C$6),1,0)</f>
        <v>0</v>
      </c>
      <c r="C117" s="124" t="str">
        <f>IF($B117=1,COUNTIF($B$6:$B117,1),"")</f>
        <v/>
      </c>
      <c r="D117" s="124" t="str">
        <f>IFERROR(INDEX(Instruments!$B$6:$B$205,MATCH(ROW()-5,$C$6:$C$205,0)),"")</f>
        <v/>
      </c>
      <c r="E117" s="124" t="n"/>
      <c r="F117" s="124" t="n"/>
      <c r="G117" s="124" t="n"/>
      <c r="H117" s="124" t="n"/>
      <c r="I117" s="124" t="n"/>
      <c r="J117" s="124" t="n"/>
      <c r="K117" s="124" t="n"/>
      <c r="L117" s="124" t="n"/>
      <c r="M117" s="124" t="n"/>
      <c r="N117" s="124" t="n"/>
      <c r="O117" s="124" t="n"/>
      <c r="P117" s="124" t="n"/>
      <c r="Q117" s="124" t="n"/>
      <c r="R117" s="124" t="n"/>
      <c r="S117" s="124" t="n"/>
      <c r="T117" s="124" t="n"/>
      <c r="U117" s="124" t="n"/>
      <c r="V117" s="124" t="n"/>
      <c r="W117" s="124" t="n"/>
    </row>
    <row r="118">
      <c r="A118" s="124" t="str">
        <f>IF(Instruments!$B118="","",Instruments!$A118&amp;"|"&amp;UPPER(TRIM(Instruments!$B118)))</f>
        <v/>
      </c>
      <c r="B118" s="124">
        <f>IF(AND(Instruments!$B118&lt;&gt;"",Instruments!$A118=Settings!$C$6),1,0)</f>
        <v>0</v>
      </c>
      <c r="C118" s="124" t="str">
        <f>IF($B118=1,COUNTIF($B$6:$B118,1),"")</f>
        <v/>
      </c>
      <c r="D118" s="124" t="str">
        <f>IFERROR(INDEX(Instruments!$B$6:$B$205,MATCH(ROW()-5,$C$6:$C$205,0)),"")</f>
        <v/>
      </c>
      <c r="E118" s="124" t="n"/>
      <c r="F118" s="124" t="n"/>
      <c r="G118" s="124" t="n"/>
      <c r="H118" s="124" t="n"/>
      <c r="I118" s="124" t="n"/>
      <c r="J118" s="124" t="n"/>
      <c r="K118" s="124" t="n"/>
      <c r="L118" s="124" t="n"/>
      <c r="M118" s="124" t="n"/>
      <c r="N118" s="124" t="n"/>
      <c r="O118" s="124" t="n"/>
      <c r="P118" s="124" t="n"/>
      <c r="Q118" s="124" t="n"/>
      <c r="R118" s="124" t="n"/>
      <c r="S118" s="124" t="n"/>
      <c r="T118" s="124" t="n"/>
      <c r="U118" s="124" t="n"/>
      <c r="V118" s="124" t="n"/>
      <c r="W118" s="124" t="n"/>
    </row>
    <row r="119">
      <c r="A119" s="124" t="str">
        <f>IF(Instruments!$B119="","",Instruments!$A119&amp;"|"&amp;UPPER(TRIM(Instruments!$B119)))</f>
        <v/>
      </c>
      <c r="B119" s="124">
        <f>IF(AND(Instruments!$B119&lt;&gt;"",Instruments!$A119=Settings!$C$6),1,0)</f>
        <v>0</v>
      </c>
      <c r="C119" s="124" t="str">
        <f>IF($B119=1,COUNTIF($B$6:$B119,1),"")</f>
        <v/>
      </c>
      <c r="D119" s="124" t="str">
        <f>IFERROR(INDEX(Instruments!$B$6:$B$205,MATCH(ROW()-5,$C$6:$C$205,0)),"")</f>
        <v/>
      </c>
      <c r="E119" s="124" t="n"/>
      <c r="F119" s="124" t="n"/>
      <c r="G119" s="124" t="n"/>
      <c r="H119" s="124" t="n"/>
      <c r="I119" s="124" t="n"/>
      <c r="J119" s="124" t="n"/>
      <c r="K119" s="124" t="n"/>
      <c r="L119" s="124" t="n"/>
      <c r="M119" s="124" t="n"/>
      <c r="N119" s="124" t="n"/>
      <c r="O119" s="124" t="n"/>
      <c r="P119" s="124" t="n"/>
      <c r="Q119" s="124" t="n"/>
      <c r="R119" s="124" t="n"/>
      <c r="S119" s="124" t="n"/>
      <c r="T119" s="124" t="n"/>
      <c r="U119" s="124" t="n"/>
      <c r="V119" s="124" t="n"/>
      <c r="W119" s="124" t="n"/>
    </row>
    <row r="120">
      <c r="A120" s="124" t="str">
        <f>IF(Instruments!$B120="","",Instruments!$A120&amp;"|"&amp;UPPER(TRIM(Instruments!$B120)))</f>
        <v/>
      </c>
      <c r="B120" s="124">
        <f>IF(AND(Instruments!$B120&lt;&gt;"",Instruments!$A120=Settings!$C$6),1,0)</f>
        <v>0</v>
      </c>
      <c r="C120" s="124" t="str">
        <f>IF($B120=1,COUNTIF($B$6:$B120,1),"")</f>
        <v/>
      </c>
      <c r="D120" s="124" t="str">
        <f>IFERROR(INDEX(Instruments!$B$6:$B$205,MATCH(ROW()-5,$C$6:$C$205,0)),"")</f>
        <v/>
      </c>
      <c r="E120" s="124" t="n"/>
      <c r="F120" s="124" t="n"/>
      <c r="G120" s="124" t="n"/>
      <c r="H120" s="124" t="n"/>
      <c r="I120" s="124" t="n"/>
      <c r="J120" s="124" t="n"/>
      <c r="K120" s="124" t="n"/>
      <c r="L120" s="124" t="n"/>
      <c r="M120" s="124" t="n"/>
      <c r="N120" s="124" t="n"/>
      <c r="O120" s="124" t="n"/>
      <c r="P120" s="124" t="n"/>
      <c r="Q120" s="124" t="n"/>
      <c r="R120" s="124" t="n"/>
      <c r="S120" s="124" t="n"/>
      <c r="T120" s="124" t="n"/>
      <c r="U120" s="124" t="n"/>
      <c r="V120" s="124" t="n"/>
      <c r="W120" s="124" t="n"/>
    </row>
    <row r="121">
      <c r="A121" s="124" t="str">
        <f>IF(Instruments!$B121="","",Instruments!$A121&amp;"|"&amp;UPPER(TRIM(Instruments!$B121)))</f>
        <v/>
      </c>
      <c r="B121" s="124">
        <f>IF(AND(Instruments!$B121&lt;&gt;"",Instruments!$A121=Settings!$C$6),1,0)</f>
        <v>0</v>
      </c>
      <c r="C121" s="124" t="str">
        <f>IF($B121=1,COUNTIF($B$6:$B121,1),"")</f>
        <v/>
      </c>
      <c r="D121" s="124" t="str">
        <f>IFERROR(INDEX(Instruments!$B$6:$B$205,MATCH(ROW()-5,$C$6:$C$205,0)),"")</f>
        <v/>
      </c>
      <c r="E121" s="124" t="n"/>
      <c r="F121" s="124" t="n"/>
      <c r="G121" s="124" t="n"/>
      <c r="H121" s="124" t="n"/>
      <c r="I121" s="124" t="n"/>
      <c r="J121" s="124" t="n"/>
      <c r="K121" s="124" t="n"/>
      <c r="L121" s="124" t="n"/>
      <c r="M121" s="124" t="n"/>
      <c r="N121" s="124" t="n"/>
      <c r="O121" s="124" t="n"/>
      <c r="P121" s="124" t="n"/>
      <c r="Q121" s="124" t="n"/>
      <c r="R121" s="124" t="n"/>
      <c r="S121" s="124" t="n"/>
      <c r="T121" s="124" t="n"/>
      <c r="U121" s="124" t="n"/>
      <c r="V121" s="124" t="n"/>
      <c r="W121" s="124" t="n"/>
    </row>
    <row r="122">
      <c r="A122" s="124" t="str">
        <f>IF(Instruments!$B122="","",Instruments!$A122&amp;"|"&amp;UPPER(TRIM(Instruments!$B122)))</f>
        <v/>
      </c>
      <c r="B122" s="124">
        <f>IF(AND(Instruments!$B122&lt;&gt;"",Instruments!$A122=Settings!$C$6),1,0)</f>
        <v>0</v>
      </c>
      <c r="C122" s="124" t="str">
        <f>IF($B122=1,COUNTIF($B$6:$B122,1),"")</f>
        <v/>
      </c>
      <c r="D122" s="124" t="str">
        <f>IFERROR(INDEX(Instruments!$B$6:$B$205,MATCH(ROW()-5,$C$6:$C$205,0)),"")</f>
        <v/>
      </c>
      <c r="E122" s="124" t="n"/>
      <c r="F122" s="124" t="n"/>
      <c r="G122" s="124" t="n"/>
      <c r="H122" s="124" t="n"/>
      <c r="I122" s="124" t="n"/>
      <c r="J122" s="124" t="n"/>
      <c r="K122" s="124" t="n"/>
      <c r="L122" s="124" t="n"/>
      <c r="M122" s="124" t="n"/>
      <c r="N122" s="124" t="n"/>
      <c r="O122" s="124" t="n"/>
      <c r="P122" s="124" t="n"/>
      <c r="Q122" s="124" t="n"/>
      <c r="R122" s="124" t="n"/>
      <c r="S122" s="124" t="n"/>
      <c r="T122" s="124" t="n"/>
      <c r="U122" s="124" t="n"/>
      <c r="V122" s="124" t="n"/>
      <c r="W122" s="124" t="n"/>
    </row>
    <row r="123">
      <c r="A123" s="124" t="str">
        <f>IF(Instruments!$B123="","",Instruments!$A123&amp;"|"&amp;UPPER(TRIM(Instruments!$B123)))</f>
        <v/>
      </c>
      <c r="B123" s="124">
        <f>IF(AND(Instruments!$B123&lt;&gt;"",Instruments!$A123=Settings!$C$6),1,0)</f>
        <v>0</v>
      </c>
      <c r="C123" s="124" t="str">
        <f>IF($B123=1,COUNTIF($B$6:$B123,1),"")</f>
        <v/>
      </c>
      <c r="D123" s="124" t="str">
        <f>IFERROR(INDEX(Instruments!$B$6:$B$205,MATCH(ROW()-5,$C$6:$C$205,0)),"")</f>
        <v/>
      </c>
      <c r="E123" s="124" t="n"/>
      <c r="F123" s="124" t="n"/>
      <c r="G123" s="124" t="n"/>
      <c r="H123" s="124" t="n"/>
      <c r="I123" s="124" t="n"/>
      <c r="J123" s="124" t="n"/>
      <c r="K123" s="124" t="n"/>
      <c r="L123" s="124" t="n"/>
      <c r="M123" s="124" t="n"/>
      <c r="N123" s="124" t="n"/>
      <c r="O123" s="124" t="n"/>
      <c r="P123" s="124" t="n"/>
      <c r="Q123" s="124" t="n"/>
      <c r="R123" s="124" t="n"/>
      <c r="S123" s="124" t="n"/>
      <c r="T123" s="124" t="n"/>
      <c r="U123" s="124" t="n"/>
      <c r="V123" s="124" t="n"/>
      <c r="W123" s="124" t="n"/>
    </row>
    <row r="124">
      <c r="A124" s="124" t="str">
        <f>IF(Instruments!$B124="","",Instruments!$A124&amp;"|"&amp;UPPER(TRIM(Instruments!$B124)))</f>
        <v/>
      </c>
      <c r="B124" s="124">
        <f>IF(AND(Instruments!$B124&lt;&gt;"",Instruments!$A124=Settings!$C$6),1,0)</f>
        <v>0</v>
      </c>
      <c r="C124" s="124" t="str">
        <f>IF($B124=1,COUNTIF($B$6:$B124,1),"")</f>
        <v/>
      </c>
      <c r="D124" s="124" t="str">
        <f>IFERROR(INDEX(Instruments!$B$6:$B$205,MATCH(ROW()-5,$C$6:$C$205,0)),"")</f>
        <v/>
      </c>
      <c r="E124" s="124" t="n"/>
      <c r="F124" s="124" t="n"/>
      <c r="G124" s="124" t="n"/>
      <c r="H124" s="124" t="n"/>
      <c r="I124" s="124" t="n"/>
      <c r="J124" s="124" t="n"/>
      <c r="K124" s="124" t="n"/>
      <c r="L124" s="124" t="n"/>
      <c r="M124" s="124" t="n"/>
      <c r="N124" s="124" t="n"/>
      <c r="O124" s="124" t="n"/>
      <c r="P124" s="124" t="n"/>
      <c r="Q124" s="124" t="n"/>
      <c r="R124" s="124" t="n"/>
      <c r="S124" s="124" t="n"/>
      <c r="T124" s="124" t="n"/>
      <c r="U124" s="124" t="n"/>
      <c r="V124" s="124" t="n"/>
      <c r="W124" s="124" t="n"/>
    </row>
    <row r="125">
      <c r="A125" s="124" t="str">
        <f>IF(Instruments!$B125="","",Instruments!$A125&amp;"|"&amp;UPPER(TRIM(Instruments!$B125)))</f>
        <v/>
      </c>
      <c r="B125" s="124">
        <f>IF(AND(Instruments!$B125&lt;&gt;"",Instruments!$A125=Settings!$C$6),1,0)</f>
        <v>0</v>
      </c>
      <c r="C125" s="124" t="str">
        <f>IF($B125=1,COUNTIF($B$6:$B125,1),"")</f>
        <v/>
      </c>
      <c r="D125" s="124" t="str">
        <f>IFERROR(INDEX(Instruments!$B$6:$B$205,MATCH(ROW()-5,$C$6:$C$205,0)),"")</f>
        <v/>
      </c>
      <c r="E125" s="124" t="n"/>
      <c r="F125" s="124" t="n"/>
      <c r="G125" s="124" t="n"/>
      <c r="H125" s="124" t="n"/>
      <c r="I125" s="124" t="n"/>
      <c r="J125" s="124" t="n"/>
      <c r="K125" s="124" t="n"/>
      <c r="L125" s="124" t="n"/>
      <c r="M125" s="124" t="n"/>
      <c r="N125" s="124" t="n"/>
      <c r="O125" s="124" t="n"/>
      <c r="P125" s="124" t="n"/>
      <c r="Q125" s="124" t="n"/>
      <c r="R125" s="124" t="n"/>
      <c r="S125" s="124" t="n"/>
      <c r="T125" s="124" t="n"/>
      <c r="U125" s="124" t="n"/>
      <c r="V125" s="124" t="n"/>
      <c r="W125" s="124" t="n"/>
    </row>
    <row r="126">
      <c r="A126" s="124" t="str">
        <f>IF(Instruments!$B126="","",Instruments!$A126&amp;"|"&amp;UPPER(TRIM(Instruments!$B126)))</f>
        <v/>
      </c>
      <c r="B126" s="124">
        <f>IF(AND(Instruments!$B126&lt;&gt;"",Instruments!$A126=Settings!$C$6),1,0)</f>
        <v>0</v>
      </c>
      <c r="C126" s="124" t="str">
        <f>IF($B126=1,COUNTIF($B$6:$B126,1),"")</f>
        <v/>
      </c>
      <c r="D126" s="124" t="str">
        <f>IFERROR(INDEX(Instruments!$B$6:$B$205,MATCH(ROW()-5,$C$6:$C$205,0)),"")</f>
        <v/>
      </c>
      <c r="E126" s="124" t="n"/>
      <c r="F126" s="124" t="n"/>
      <c r="G126" s="124" t="n"/>
      <c r="H126" s="124" t="n"/>
      <c r="I126" s="124" t="n"/>
      <c r="J126" s="124" t="n"/>
      <c r="K126" s="124" t="n"/>
      <c r="L126" s="124" t="n"/>
      <c r="M126" s="124" t="n"/>
      <c r="N126" s="124" t="n"/>
      <c r="O126" s="124" t="n"/>
      <c r="P126" s="124" t="n"/>
      <c r="Q126" s="124" t="n"/>
      <c r="R126" s="124" t="n"/>
      <c r="S126" s="124" t="n"/>
      <c r="T126" s="124" t="n"/>
      <c r="U126" s="124" t="n"/>
      <c r="V126" s="124" t="n"/>
      <c r="W126" s="124" t="n"/>
    </row>
    <row r="127">
      <c r="A127" s="124" t="str">
        <f>IF(Instruments!$B127="","",Instruments!$A127&amp;"|"&amp;UPPER(TRIM(Instruments!$B127)))</f>
        <v/>
      </c>
      <c r="B127" s="124">
        <f>IF(AND(Instruments!$B127&lt;&gt;"",Instruments!$A127=Settings!$C$6),1,0)</f>
        <v>0</v>
      </c>
      <c r="C127" s="124" t="str">
        <f>IF($B127=1,COUNTIF($B$6:$B127,1),"")</f>
        <v/>
      </c>
      <c r="D127" s="124" t="str">
        <f>IFERROR(INDEX(Instruments!$B$6:$B$205,MATCH(ROW()-5,$C$6:$C$205,0)),"")</f>
        <v/>
      </c>
      <c r="E127" s="124" t="n"/>
      <c r="F127" s="124" t="n"/>
      <c r="G127" s="124" t="n"/>
      <c r="H127" s="124" t="n"/>
      <c r="I127" s="124" t="n"/>
      <c r="J127" s="124" t="n"/>
      <c r="K127" s="124" t="n"/>
      <c r="L127" s="124" t="n"/>
      <c r="M127" s="124" t="n"/>
      <c r="N127" s="124" t="n"/>
      <c r="O127" s="124" t="n"/>
      <c r="P127" s="124" t="n"/>
      <c r="Q127" s="124" t="n"/>
      <c r="R127" s="124" t="n"/>
      <c r="S127" s="124" t="n"/>
      <c r="T127" s="124" t="n"/>
      <c r="U127" s="124" t="n"/>
      <c r="V127" s="124" t="n"/>
      <c r="W127" s="124" t="n"/>
    </row>
    <row r="128">
      <c r="A128" s="124" t="str">
        <f>IF(Instruments!$B128="","",Instruments!$A128&amp;"|"&amp;UPPER(TRIM(Instruments!$B128)))</f>
        <v/>
      </c>
      <c r="B128" s="124">
        <f>IF(AND(Instruments!$B128&lt;&gt;"",Instruments!$A128=Settings!$C$6),1,0)</f>
        <v>0</v>
      </c>
      <c r="C128" s="124" t="str">
        <f>IF($B128=1,COUNTIF($B$6:$B128,1),"")</f>
        <v/>
      </c>
      <c r="D128" s="124" t="str">
        <f>IFERROR(INDEX(Instruments!$B$6:$B$205,MATCH(ROW()-5,$C$6:$C$205,0)),"")</f>
        <v/>
      </c>
      <c r="E128" s="124" t="n"/>
      <c r="F128" s="124" t="n"/>
      <c r="G128" s="124" t="n"/>
      <c r="H128" s="124" t="n"/>
      <c r="I128" s="124" t="n"/>
      <c r="J128" s="124" t="n"/>
      <c r="K128" s="124" t="n"/>
      <c r="L128" s="124" t="n"/>
      <c r="M128" s="124" t="n"/>
      <c r="N128" s="124" t="n"/>
      <c r="O128" s="124" t="n"/>
      <c r="P128" s="124" t="n"/>
      <c r="Q128" s="124" t="n"/>
      <c r="R128" s="124" t="n"/>
      <c r="S128" s="124" t="n"/>
      <c r="T128" s="124" t="n"/>
      <c r="U128" s="124" t="n"/>
      <c r="V128" s="124" t="n"/>
      <c r="W128" s="124" t="n"/>
    </row>
    <row r="129">
      <c r="A129" s="124" t="str">
        <f>IF(Instruments!$B129="","",Instruments!$A129&amp;"|"&amp;UPPER(TRIM(Instruments!$B129)))</f>
        <v/>
      </c>
      <c r="B129" s="124">
        <f>IF(AND(Instruments!$B129&lt;&gt;"",Instruments!$A129=Settings!$C$6),1,0)</f>
        <v>0</v>
      </c>
      <c r="C129" s="124" t="str">
        <f>IF($B129=1,COUNTIF($B$6:$B129,1),"")</f>
        <v/>
      </c>
      <c r="D129" s="124" t="str">
        <f>IFERROR(INDEX(Instruments!$B$6:$B$205,MATCH(ROW()-5,$C$6:$C$205,0)),"")</f>
        <v/>
      </c>
      <c r="E129" s="124" t="n"/>
      <c r="F129" s="124" t="n"/>
      <c r="G129" s="124" t="n"/>
      <c r="H129" s="124" t="n"/>
      <c r="I129" s="124" t="n"/>
      <c r="J129" s="124" t="n"/>
      <c r="K129" s="124" t="n"/>
      <c r="L129" s="124" t="n"/>
      <c r="M129" s="124" t="n"/>
      <c r="N129" s="124" t="n"/>
      <c r="O129" s="124" t="n"/>
      <c r="P129" s="124" t="n"/>
      <c r="Q129" s="124" t="n"/>
      <c r="R129" s="124" t="n"/>
      <c r="S129" s="124" t="n"/>
      <c r="T129" s="124" t="n"/>
      <c r="U129" s="124" t="n"/>
      <c r="V129" s="124" t="n"/>
      <c r="W129" s="124" t="n"/>
    </row>
    <row r="130">
      <c r="A130" s="124" t="str">
        <f>IF(Instruments!$B130="","",Instruments!$A130&amp;"|"&amp;UPPER(TRIM(Instruments!$B130)))</f>
        <v/>
      </c>
      <c r="B130" s="124">
        <f>IF(AND(Instruments!$B130&lt;&gt;"",Instruments!$A130=Settings!$C$6),1,0)</f>
        <v>0</v>
      </c>
      <c r="C130" s="124" t="str">
        <f>IF($B130=1,COUNTIF($B$6:$B130,1),"")</f>
        <v/>
      </c>
      <c r="D130" s="124" t="str">
        <f>IFERROR(INDEX(Instruments!$B$6:$B$205,MATCH(ROW()-5,$C$6:$C$205,0)),"")</f>
        <v/>
      </c>
      <c r="E130" s="124" t="n"/>
      <c r="F130" s="124" t="n"/>
      <c r="G130" s="124" t="n"/>
      <c r="H130" s="124" t="n"/>
      <c r="I130" s="124" t="n"/>
      <c r="J130" s="124" t="n"/>
      <c r="K130" s="124" t="n"/>
      <c r="L130" s="124" t="n"/>
      <c r="M130" s="124" t="n"/>
      <c r="N130" s="124" t="n"/>
      <c r="O130" s="124" t="n"/>
      <c r="P130" s="124" t="n"/>
      <c r="Q130" s="124" t="n"/>
      <c r="R130" s="124" t="n"/>
      <c r="S130" s="124" t="n"/>
      <c r="T130" s="124" t="n"/>
      <c r="U130" s="124" t="n"/>
      <c r="V130" s="124" t="n"/>
      <c r="W130" s="124" t="n"/>
    </row>
    <row r="131">
      <c r="A131" s="124" t="str">
        <f>IF(Instruments!$B131="","",Instruments!$A131&amp;"|"&amp;UPPER(TRIM(Instruments!$B131)))</f>
        <v/>
      </c>
      <c r="B131" s="124">
        <f>IF(AND(Instruments!$B131&lt;&gt;"",Instruments!$A131=Settings!$C$6),1,0)</f>
        <v>0</v>
      </c>
      <c r="C131" s="124" t="str">
        <f>IF($B131=1,COUNTIF($B$6:$B131,1),"")</f>
        <v/>
      </c>
      <c r="D131" s="124" t="str">
        <f>IFERROR(INDEX(Instruments!$B$6:$B$205,MATCH(ROW()-5,$C$6:$C$205,0)),"")</f>
        <v/>
      </c>
      <c r="E131" s="124" t="n"/>
      <c r="F131" s="124" t="n"/>
      <c r="G131" s="124" t="n"/>
      <c r="H131" s="124" t="n"/>
      <c r="I131" s="124" t="n"/>
      <c r="J131" s="124" t="n"/>
      <c r="K131" s="124" t="n"/>
      <c r="L131" s="124" t="n"/>
      <c r="M131" s="124" t="n"/>
      <c r="N131" s="124" t="n"/>
      <c r="O131" s="124" t="n"/>
      <c r="P131" s="124" t="n"/>
      <c r="Q131" s="124" t="n"/>
      <c r="R131" s="124" t="n"/>
      <c r="S131" s="124" t="n"/>
      <c r="T131" s="124" t="n"/>
      <c r="U131" s="124" t="n"/>
      <c r="V131" s="124" t="n"/>
      <c r="W131" s="124" t="n"/>
    </row>
    <row r="132">
      <c r="A132" s="124" t="str">
        <f>IF(Instruments!$B132="","",Instruments!$A132&amp;"|"&amp;UPPER(TRIM(Instruments!$B132)))</f>
        <v/>
      </c>
      <c r="B132" s="124">
        <f>IF(AND(Instruments!$B132&lt;&gt;"",Instruments!$A132=Settings!$C$6),1,0)</f>
        <v>0</v>
      </c>
      <c r="C132" s="124" t="str">
        <f>IF($B132=1,COUNTIF($B$6:$B132,1),"")</f>
        <v/>
      </c>
      <c r="D132" s="124" t="str">
        <f>IFERROR(INDEX(Instruments!$B$6:$B$205,MATCH(ROW()-5,$C$6:$C$205,0)),"")</f>
        <v/>
      </c>
      <c r="E132" s="124" t="n"/>
      <c r="F132" s="124" t="n"/>
      <c r="G132" s="124" t="n"/>
      <c r="H132" s="124" t="n"/>
      <c r="I132" s="124" t="n"/>
      <c r="J132" s="124" t="n"/>
      <c r="K132" s="124" t="n"/>
      <c r="L132" s="124" t="n"/>
      <c r="M132" s="124" t="n"/>
      <c r="N132" s="124" t="n"/>
      <c r="O132" s="124" t="n"/>
      <c r="P132" s="124" t="n"/>
      <c r="Q132" s="124" t="n"/>
      <c r="R132" s="124" t="n"/>
      <c r="S132" s="124" t="n"/>
      <c r="T132" s="124" t="n"/>
      <c r="U132" s="124" t="n"/>
      <c r="V132" s="124" t="n"/>
      <c r="W132" s="124" t="n"/>
    </row>
    <row r="133">
      <c r="A133" s="124" t="str">
        <f>IF(Instruments!$B133="","",Instruments!$A133&amp;"|"&amp;UPPER(TRIM(Instruments!$B133)))</f>
        <v/>
      </c>
      <c r="B133" s="124">
        <f>IF(AND(Instruments!$B133&lt;&gt;"",Instruments!$A133=Settings!$C$6),1,0)</f>
        <v>0</v>
      </c>
      <c r="C133" s="124" t="str">
        <f>IF($B133=1,COUNTIF($B$6:$B133,1),"")</f>
        <v/>
      </c>
      <c r="D133" s="124" t="str">
        <f>IFERROR(INDEX(Instruments!$B$6:$B$205,MATCH(ROW()-5,$C$6:$C$205,0)),"")</f>
        <v/>
      </c>
      <c r="E133" s="124" t="n"/>
      <c r="F133" s="124" t="n"/>
      <c r="G133" s="124" t="n"/>
      <c r="H133" s="124" t="n"/>
      <c r="I133" s="124" t="n"/>
      <c r="J133" s="124" t="n"/>
      <c r="K133" s="124" t="n"/>
      <c r="L133" s="124" t="n"/>
      <c r="M133" s="124" t="n"/>
      <c r="N133" s="124" t="n"/>
      <c r="O133" s="124" t="n"/>
      <c r="P133" s="124" t="n"/>
      <c r="Q133" s="124" t="n"/>
      <c r="R133" s="124" t="n"/>
      <c r="S133" s="124" t="n"/>
      <c r="T133" s="124" t="n"/>
      <c r="U133" s="124" t="n"/>
      <c r="V133" s="124" t="n"/>
      <c r="W133" s="124" t="n"/>
    </row>
    <row r="134">
      <c r="A134" s="124" t="str">
        <f>IF(Instruments!$B134="","",Instruments!$A134&amp;"|"&amp;UPPER(TRIM(Instruments!$B134)))</f>
        <v/>
      </c>
      <c r="B134" s="124">
        <f>IF(AND(Instruments!$B134&lt;&gt;"",Instruments!$A134=Settings!$C$6),1,0)</f>
        <v>0</v>
      </c>
      <c r="C134" s="124" t="str">
        <f>IF($B134=1,COUNTIF($B$6:$B134,1),"")</f>
        <v/>
      </c>
      <c r="D134" s="124" t="str">
        <f>IFERROR(INDEX(Instruments!$B$6:$B$205,MATCH(ROW()-5,$C$6:$C$205,0)),"")</f>
        <v/>
      </c>
      <c r="E134" s="124" t="n"/>
      <c r="F134" s="124" t="n"/>
      <c r="G134" s="124" t="n"/>
      <c r="H134" s="124" t="n"/>
      <c r="I134" s="124" t="n"/>
      <c r="J134" s="124" t="n"/>
      <c r="K134" s="124" t="n"/>
      <c r="L134" s="124" t="n"/>
      <c r="M134" s="124" t="n"/>
      <c r="N134" s="124" t="n"/>
      <c r="O134" s="124" t="n"/>
      <c r="P134" s="124" t="n"/>
      <c r="Q134" s="124" t="n"/>
      <c r="R134" s="124" t="n"/>
      <c r="S134" s="124" t="n"/>
      <c r="T134" s="124" t="n"/>
      <c r="U134" s="124" t="n"/>
      <c r="V134" s="124" t="n"/>
      <c r="W134" s="124" t="n"/>
    </row>
    <row r="135">
      <c r="A135" s="124" t="str">
        <f>IF(Instruments!$B135="","",Instruments!$A135&amp;"|"&amp;UPPER(TRIM(Instruments!$B135)))</f>
        <v/>
      </c>
      <c r="B135" s="124">
        <f>IF(AND(Instruments!$B135&lt;&gt;"",Instruments!$A135=Settings!$C$6),1,0)</f>
        <v>0</v>
      </c>
      <c r="C135" s="124" t="str">
        <f>IF($B135=1,COUNTIF($B$6:$B135,1),"")</f>
        <v/>
      </c>
      <c r="D135" s="124" t="str">
        <f>IFERROR(INDEX(Instruments!$B$6:$B$205,MATCH(ROW()-5,$C$6:$C$205,0)),"")</f>
        <v/>
      </c>
      <c r="E135" s="124" t="n"/>
      <c r="F135" s="124" t="n"/>
      <c r="G135" s="124" t="n"/>
      <c r="H135" s="124" t="n"/>
      <c r="I135" s="124" t="n"/>
      <c r="J135" s="124" t="n"/>
      <c r="K135" s="124" t="n"/>
      <c r="L135" s="124" t="n"/>
      <c r="M135" s="124" t="n"/>
      <c r="N135" s="124" t="n"/>
      <c r="O135" s="124" t="n"/>
      <c r="P135" s="124" t="n"/>
      <c r="Q135" s="124" t="n"/>
      <c r="R135" s="124" t="n"/>
      <c r="S135" s="124" t="n"/>
      <c r="T135" s="124" t="n"/>
      <c r="U135" s="124" t="n"/>
      <c r="V135" s="124" t="n"/>
      <c r="W135" s="124" t="n"/>
    </row>
    <row r="136">
      <c r="A136" s="124" t="str">
        <f>IF(Instruments!$B136="","",Instruments!$A136&amp;"|"&amp;UPPER(TRIM(Instruments!$B136)))</f>
        <v/>
      </c>
      <c r="B136" s="124">
        <f>IF(AND(Instruments!$B136&lt;&gt;"",Instruments!$A136=Settings!$C$6),1,0)</f>
        <v>0</v>
      </c>
      <c r="C136" s="124" t="str">
        <f>IF($B136=1,COUNTIF($B$6:$B136,1),"")</f>
        <v/>
      </c>
      <c r="D136" s="124" t="str">
        <f>IFERROR(INDEX(Instruments!$B$6:$B$205,MATCH(ROW()-5,$C$6:$C$205,0)),"")</f>
        <v/>
      </c>
      <c r="E136" s="124" t="n"/>
      <c r="F136" s="124" t="n"/>
      <c r="G136" s="124" t="n"/>
      <c r="H136" s="124" t="n"/>
      <c r="I136" s="124" t="n"/>
      <c r="J136" s="124" t="n"/>
      <c r="K136" s="124" t="n"/>
      <c r="L136" s="124" t="n"/>
      <c r="M136" s="124" t="n"/>
      <c r="N136" s="124" t="n"/>
      <c r="O136" s="124" t="n"/>
      <c r="P136" s="124" t="n"/>
      <c r="Q136" s="124" t="n"/>
      <c r="R136" s="124" t="n"/>
      <c r="S136" s="124" t="n"/>
      <c r="T136" s="124" t="n"/>
      <c r="U136" s="124" t="n"/>
      <c r="V136" s="124" t="n"/>
      <c r="W136" s="124" t="n"/>
    </row>
    <row r="137">
      <c r="A137" s="124" t="str">
        <f>IF(Instruments!$B137="","",Instruments!$A137&amp;"|"&amp;UPPER(TRIM(Instruments!$B137)))</f>
        <v/>
      </c>
      <c r="B137" s="124">
        <f>IF(AND(Instruments!$B137&lt;&gt;"",Instruments!$A137=Settings!$C$6),1,0)</f>
        <v>0</v>
      </c>
      <c r="C137" s="124" t="str">
        <f>IF($B137=1,COUNTIF($B$6:$B137,1),"")</f>
        <v/>
      </c>
      <c r="D137" s="124" t="str">
        <f>IFERROR(INDEX(Instruments!$B$6:$B$205,MATCH(ROW()-5,$C$6:$C$205,0)),"")</f>
        <v/>
      </c>
      <c r="E137" s="124" t="n"/>
      <c r="F137" s="124" t="n"/>
      <c r="G137" s="124" t="n"/>
      <c r="H137" s="124" t="n"/>
      <c r="I137" s="124" t="n"/>
      <c r="J137" s="124" t="n"/>
      <c r="K137" s="124" t="n"/>
      <c r="L137" s="124" t="n"/>
      <c r="M137" s="124" t="n"/>
      <c r="N137" s="124" t="n"/>
      <c r="O137" s="124" t="n"/>
      <c r="P137" s="124" t="n"/>
      <c r="Q137" s="124" t="n"/>
      <c r="R137" s="124" t="n"/>
      <c r="S137" s="124" t="n"/>
      <c r="T137" s="124" t="n"/>
      <c r="U137" s="124" t="n"/>
      <c r="V137" s="124" t="n"/>
      <c r="W137" s="124" t="n"/>
    </row>
    <row r="138">
      <c r="A138" s="124" t="str">
        <f>IF(Instruments!$B138="","",Instruments!$A138&amp;"|"&amp;UPPER(TRIM(Instruments!$B138)))</f>
        <v/>
      </c>
      <c r="B138" s="124">
        <f>IF(AND(Instruments!$B138&lt;&gt;"",Instruments!$A138=Settings!$C$6),1,0)</f>
        <v>0</v>
      </c>
      <c r="C138" s="124" t="str">
        <f>IF($B138=1,COUNTIF($B$6:$B138,1),"")</f>
        <v/>
      </c>
      <c r="D138" s="124" t="str">
        <f>IFERROR(INDEX(Instruments!$B$6:$B$205,MATCH(ROW()-5,$C$6:$C$205,0)),"")</f>
        <v/>
      </c>
      <c r="E138" s="124" t="n"/>
      <c r="F138" s="124" t="n"/>
      <c r="G138" s="124" t="n"/>
      <c r="H138" s="124" t="n"/>
      <c r="I138" s="124" t="n"/>
      <c r="J138" s="124" t="n"/>
      <c r="K138" s="124" t="n"/>
      <c r="L138" s="124" t="n"/>
      <c r="M138" s="124" t="n"/>
      <c r="N138" s="124" t="n"/>
      <c r="O138" s="124" t="n"/>
      <c r="P138" s="124" t="n"/>
      <c r="Q138" s="124" t="n"/>
      <c r="R138" s="124" t="n"/>
      <c r="S138" s="124" t="n"/>
      <c r="T138" s="124" t="n"/>
      <c r="U138" s="124" t="n"/>
      <c r="V138" s="124" t="n"/>
      <c r="W138" s="124" t="n"/>
    </row>
    <row r="139">
      <c r="A139" s="124" t="str">
        <f>IF(Instruments!$B139="","",Instruments!$A139&amp;"|"&amp;UPPER(TRIM(Instruments!$B139)))</f>
        <v/>
      </c>
      <c r="B139" s="124">
        <f>IF(AND(Instruments!$B139&lt;&gt;"",Instruments!$A139=Settings!$C$6),1,0)</f>
        <v>0</v>
      </c>
      <c r="C139" s="124" t="str">
        <f>IF($B139=1,COUNTIF($B$6:$B139,1),"")</f>
        <v/>
      </c>
      <c r="D139" s="124" t="str">
        <f>IFERROR(INDEX(Instruments!$B$6:$B$205,MATCH(ROW()-5,$C$6:$C$205,0)),"")</f>
        <v/>
      </c>
      <c r="E139" s="124" t="n"/>
      <c r="F139" s="124" t="n"/>
      <c r="G139" s="124" t="n"/>
      <c r="H139" s="124" t="n"/>
      <c r="I139" s="124" t="n"/>
      <c r="J139" s="124" t="n"/>
      <c r="K139" s="124" t="n"/>
      <c r="L139" s="124" t="n"/>
      <c r="M139" s="124" t="n"/>
      <c r="N139" s="124" t="n"/>
      <c r="O139" s="124" t="n"/>
      <c r="P139" s="124" t="n"/>
      <c r="Q139" s="124" t="n"/>
      <c r="R139" s="124" t="n"/>
      <c r="S139" s="124" t="n"/>
      <c r="T139" s="124" t="n"/>
      <c r="U139" s="124" t="n"/>
      <c r="V139" s="124" t="n"/>
      <c r="W139" s="124" t="n"/>
    </row>
    <row r="140">
      <c r="A140" s="124" t="str">
        <f>IF(Instruments!$B140="","",Instruments!$A140&amp;"|"&amp;UPPER(TRIM(Instruments!$B140)))</f>
        <v/>
      </c>
      <c r="B140" s="124">
        <f>IF(AND(Instruments!$B140&lt;&gt;"",Instruments!$A140=Settings!$C$6),1,0)</f>
        <v>0</v>
      </c>
      <c r="C140" s="124" t="str">
        <f>IF($B140=1,COUNTIF($B$6:$B140,1),"")</f>
        <v/>
      </c>
      <c r="D140" s="124" t="str">
        <f>IFERROR(INDEX(Instruments!$B$6:$B$205,MATCH(ROW()-5,$C$6:$C$205,0)),"")</f>
        <v/>
      </c>
      <c r="E140" s="124" t="n"/>
      <c r="F140" s="124" t="n"/>
      <c r="G140" s="124" t="n"/>
      <c r="H140" s="124" t="n"/>
      <c r="I140" s="124" t="n"/>
      <c r="J140" s="124" t="n"/>
      <c r="K140" s="124" t="n"/>
      <c r="L140" s="124" t="n"/>
      <c r="M140" s="124" t="n"/>
      <c r="N140" s="124" t="n"/>
      <c r="O140" s="124" t="n"/>
      <c r="P140" s="124" t="n"/>
      <c r="Q140" s="124" t="n"/>
      <c r="R140" s="124" t="n"/>
      <c r="S140" s="124" t="n"/>
      <c r="T140" s="124" t="n"/>
      <c r="U140" s="124" t="n"/>
      <c r="V140" s="124" t="n"/>
      <c r="W140" s="124" t="n"/>
    </row>
    <row r="141">
      <c r="A141" s="124" t="str">
        <f>IF(Instruments!$B141="","",Instruments!$A141&amp;"|"&amp;UPPER(TRIM(Instruments!$B141)))</f>
        <v/>
      </c>
      <c r="B141" s="124">
        <f>IF(AND(Instruments!$B141&lt;&gt;"",Instruments!$A141=Settings!$C$6),1,0)</f>
        <v>0</v>
      </c>
      <c r="C141" s="124" t="str">
        <f>IF($B141=1,COUNTIF($B$6:$B141,1),"")</f>
        <v/>
      </c>
      <c r="D141" s="124" t="str">
        <f>IFERROR(INDEX(Instruments!$B$6:$B$205,MATCH(ROW()-5,$C$6:$C$205,0)),"")</f>
        <v/>
      </c>
      <c r="E141" s="124" t="n"/>
      <c r="F141" s="124" t="n"/>
      <c r="G141" s="124" t="n"/>
      <c r="H141" s="124" t="n"/>
      <c r="I141" s="124" t="n"/>
      <c r="J141" s="124" t="n"/>
      <c r="K141" s="124" t="n"/>
      <c r="L141" s="124" t="n"/>
      <c r="M141" s="124" t="n"/>
      <c r="N141" s="124" t="n"/>
      <c r="O141" s="124" t="n"/>
      <c r="P141" s="124" t="n"/>
      <c r="Q141" s="124" t="n"/>
      <c r="R141" s="124" t="n"/>
      <c r="S141" s="124" t="n"/>
      <c r="T141" s="124" t="n"/>
      <c r="U141" s="124" t="n"/>
      <c r="V141" s="124" t="n"/>
      <c r="W141" s="124" t="n"/>
    </row>
    <row r="142">
      <c r="A142" s="124" t="str">
        <f>IF(Instruments!$B142="","",Instruments!$A142&amp;"|"&amp;UPPER(TRIM(Instruments!$B142)))</f>
        <v/>
      </c>
      <c r="B142" s="124">
        <f>IF(AND(Instruments!$B142&lt;&gt;"",Instruments!$A142=Settings!$C$6),1,0)</f>
        <v>0</v>
      </c>
      <c r="C142" s="124" t="str">
        <f>IF($B142=1,COUNTIF($B$6:$B142,1),"")</f>
        <v/>
      </c>
      <c r="D142" s="124" t="str">
        <f>IFERROR(INDEX(Instruments!$B$6:$B$205,MATCH(ROW()-5,$C$6:$C$205,0)),"")</f>
        <v/>
      </c>
      <c r="E142" s="124" t="n"/>
      <c r="F142" s="124" t="n"/>
      <c r="G142" s="124" t="n"/>
      <c r="H142" s="124" t="n"/>
      <c r="I142" s="124" t="n"/>
      <c r="J142" s="124" t="n"/>
      <c r="K142" s="124" t="n"/>
      <c r="L142" s="124" t="n"/>
      <c r="M142" s="124" t="n"/>
      <c r="N142" s="124" t="n"/>
      <c r="O142" s="124" t="n"/>
      <c r="P142" s="124" t="n"/>
      <c r="Q142" s="124" t="n"/>
      <c r="R142" s="124" t="n"/>
      <c r="S142" s="124" t="n"/>
      <c r="T142" s="124" t="n"/>
      <c r="U142" s="124" t="n"/>
      <c r="V142" s="124" t="n"/>
      <c r="W142" s="124" t="n"/>
    </row>
    <row r="143">
      <c r="A143" s="124" t="str">
        <f>IF(Instruments!$B143="","",Instruments!$A143&amp;"|"&amp;UPPER(TRIM(Instruments!$B143)))</f>
        <v/>
      </c>
      <c r="B143" s="124">
        <f>IF(AND(Instruments!$B143&lt;&gt;"",Instruments!$A143=Settings!$C$6),1,0)</f>
        <v>0</v>
      </c>
      <c r="C143" s="124" t="str">
        <f>IF($B143=1,COUNTIF($B$6:$B143,1),"")</f>
        <v/>
      </c>
      <c r="D143" s="124" t="str">
        <f>IFERROR(INDEX(Instruments!$B$6:$B$205,MATCH(ROW()-5,$C$6:$C$205,0)),"")</f>
        <v/>
      </c>
      <c r="E143" s="124" t="n"/>
      <c r="F143" s="124" t="n"/>
      <c r="G143" s="124" t="n"/>
      <c r="H143" s="124" t="n"/>
      <c r="I143" s="124" t="n"/>
      <c r="J143" s="124" t="n"/>
      <c r="K143" s="124" t="n"/>
      <c r="L143" s="124" t="n"/>
      <c r="M143" s="124" t="n"/>
      <c r="N143" s="124" t="n"/>
      <c r="O143" s="124" t="n"/>
      <c r="P143" s="124" t="n"/>
      <c r="Q143" s="124" t="n"/>
      <c r="R143" s="124" t="n"/>
      <c r="S143" s="124" t="n"/>
      <c r="T143" s="124" t="n"/>
      <c r="U143" s="124" t="n"/>
      <c r="V143" s="124" t="n"/>
      <c r="W143" s="124" t="n"/>
    </row>
    <row r="144">
      <c r="A144" s="124" t="str">
        <f>IF(Instruments!$B144="","",Instruments!$A144&amp;"|"&amp;UPPER(TRIM(Instruments!$B144)))</f>
        <v/>
      </c>
      <c r="B144" s="124">
        <f>IF(AND(Instruments!$B144&lt;&gt;"",Instruments!$A144=Settings!$C$6),1,0)</f>
        <v>0</v>
      </c>
      <c r="C144" s="124" t="str">
        <f>IF($B144=1,COUNTIF($B$6:$B144,1),"")</f>
        <v/>
      </c>
      <c r="D144" s="124" t="str">
        <f>IFERROR(INDEX(Instruments!$B$6:$B$205,MATCH(ROW()-5,$C$6:$C$205,0)),"")</f>
        <v/>
      </c>
      <c r="E144" s="124" t="n"/>
      <c r="F144" s="124" t="n"/>
      <c r="G144" s="124" t="n"/>
      <c r="H144" s="124" t="n"/>
      <c r="I144" s="124" t="n"/>
      <c r="J144" s="124" t="n"/>
      <c r="K144" s="124" t="n"/>
      <c r="L144" s="124" t="n"/>
      <c r="M144" s="124" t="n"/>
      <c r="N144" s="124" t="n"/>
      <c r="O144" s="124" t="n"/>
      <c r="P144" s="124" t="n"/>
      <c r="Q144" s="124" t="n"/>
      <c r="R144" s="124" t="n"/>
      <c r="S144" s="124" t="n"/>
      <c r="T144" s="124" t="n"/>
      <c r="U144" s="124" t="n"/>
      <c r="V144" s="124" t="n"/>
      <c r="W144" s="124" t="n"/>
    </row>
    <row r="145">
      <c r="A145" s="124" t="str">
        <f>IF(Instruments!$B145="","",Instruments!$A145&amp;"|"&amp;UPPER(TRIM(Instruments!$B145)))</f>
        <v/>
      </c>
      <c r="B145" s="124">
        <f>IF(AND(Instruments!$B145&lt;&gt;"",Instruments!$A145=Settings!$C$6),1,0)</f>
        <v>0</v>
      </c>
      <c r="C145" s="124" t="str">
        <f>IF($B145=1,COUNTIF($B$6:$B145,1),"")</f>
        <v/>
      </c>
      <c r="D145" s="124" t="str">
        <f>IFERROR(INDEX(Instruments!$B$6:$B$205,MATCH(ROW()-5,$C$6:$C$205,0)),"")</f>
        <v/>
      </c>
      <c r="E145" s="124" t="n"/>
      <c r="F145" s="124" t="n"/>
      <c r="G145" s="124" t="n"/>
      <c r="H145" s="124" t="n"/>
      <c r="I145" s="124" t="n"/>
      <c r="J145" s="124" t="n"/>
      <c r="K145" s="124" t="n"/>
      <c r="L145" s="124" t="n"/>
      <c r="M145" s="124" t="n"/>
      <c r="N145" s="124" t="n"/>
      <c r="O145" s="124" t="n"/>
      <c r="P145" s="124" t="n"/>
      <c r="Q145" s="124" t="n"/>
      <c r="R145" s="124" t="n"/>
      <c r="S145" s="124" t="n"/>
      <c r="T145" s="124" t="n"/>
      <c r="U145" s="124" t="n"/>
      <c r="V145" s="124" t="n"/>
      <c r="W145" s="124" t="n"/>
    </row>
    <row r="146">
      <c r="A146" s="124" t="str">
        <f>IF(Instruments!$B146="","",Instruments!$A146&amp;"|"&amp;UPPER(TRIM(Instruments!$B146)))</f>
        <v/>
      </c>
      <c r="B146" s="124">
        <f>IF(AND(Instruments!$B146&lt;&gt;"",Instruments!$A146=Settings!$C$6),1,0)</f>
        <v>0</v>
      </c>
      <c r="C146" s="124" t="str">
        <f>IF($B146=1,COUNTIF($B$6:$B146,1),"")</f>
        <v/>
      </c>
      <c r="D146" s="124" t="str">
        <f>IFERROR(INDEX(Instruments!$B$6:$B$205,MATCH(ROW()-5,$C$6:$C$205,0)),"")</f>
        <v/>
      </c>
      <c r="E146" s="124" t="n"/>
      <c r="F146" s="124" t="n"/>
      <c r="G146" s="124" t="n"/>
      <c r="H146" s="124" t="n"/>
      <c r="I146" s="124" t="n"/>
      <c r="J146" s="124" t="n"/>
      <c r="K146" s="124" t="n"/>
      <c r="L146" s="124" t="n"/>
      <c r="M146" s="124" t="n"/>
      <c r="N146" s="124" t="n"/>
      <c r="O146" s="124" t="n"/>
      <c r="P146" s="124" t="n"/>
      <c r="Q146" s="124" t="n"/>
      <c r="R146" s="124" t="n"/>
      <c r="S146" s="124" t="n"/>
      <c r="T146" s="124" t="n"/>
      <c r="U146" s="124" t="n"/>
      <c r="V146" s="124" t="n"/>
      <c r="W146" s="124" t="n"/>
    </row>
    <row r="147">
      <c r="A147" s="124" t="str">
        <f>IF(Instruments!$B147="","",Instruments!$A147&amp;"|"&amp;UPPER(TRIM(Instruments!$B147)))</f>
        <v/>
      </c>
      <c r="B147" s="124">
        <f>IF(AND(Instruments!$B147&lt;&gt;"",Instruments!$A147=Settings!$C$6),1,0)</f>
        <v>0</v>
      </c>
      <c r="C147" s="124" t="str">
        <f>IF($B147=1,COUNTIF($B$6:$B147,1),"")</f>
        <v/>
      </c>
      <c r="D147" s="124" t="str">
        <f>IFERROR(INDEX(Instruments!$B$6:$B$205,MATCH(ROW()-5,$C$6:$C$205,0)),"")</f>
        <v/>
      </c>
      <c r="E147" s="124" t="n"/>
      <c r="F147" s="124" t="n"/>
      <c r="G147" s="124" t="n"/>
      <c r="H147" s="124" t="n"/>
      <c r="I147" s="124" t="n"/>
      <c r="J147" s="124" t="n"/>
      <c r="K147" s="124" t="n"/>
      <c r="L147" s="124" t="n"/>
      <c r="M147" s="124" t="n"/>
      <c r="N147" s="124" t="n"/>
      <c r="O147" s="124" t="n"/>
      <c r="P147" s="124" t="n"/>
      <c r="Q147" s="124" t="n"/>
      <c r="R147" s="124" t="n"/>
      <c r="S147" s="124" t="n"/>
      <c r="T147" s="124" t="n"/>
      <c r="U147" s="124" t="n"/>
      <c r="V147" s="124" t="n"/>
      <c r="W147" s="124" t="n"/>
    </row>
    <row r="148">
      <c r="A148" s="124" t="str">
        <f>IF(Instruments!$B148="","",Instruments!$A148&amp;"|"&amp;UPPER(TRIM(Instruments!$B148)))</f>
        <v/>
      </c>
      <c r="B148" s="124">
        <f>IF(AND(Instruments!$B148&lt;&gt;"",Instruments!$A148=Settings!$C$6),1,0)</f>
        <v>0</v>
      </c>
      <c r="C148" s="124" t="str">
        <f>IF($B148=1,COUNTIF($B$6:$B148,1),"")</f>
        <v/>
      </c>
      <c r="D148" s="124" t="str">
        <f>IFERROR(INDEX(Instruments!$B$6:$B$205,MATCH(ROW()-5,$C$6:$C$205,0)),"")</f>
        <v/>
      </c>
      <c r="E148" s="124" t="n"/>
      <c r="F148" s="124" t="n"/>
      <c r="G148" s="124" t="n"/>
      <c r="H148" s="124" t="n"/>
      <c r="I148" s="124" t="n"/>
      <c r="J148" s="124" t="n"/>
      <c r="K148" s="124" t="n"/>
      <c r="L148" s="124" t="n"/>
      <c r="M148" s="124" t="n"/>
      <c r="N148" s="124" t="n"/>
      <c r="O148" s="124" t="n"/>
      <c r="P148" s="124" t="n"/>
      <c r="Q148" s="124" t="n"/>
      <c r="R148" s="124" t="n"/>
      <c r="S148" s="124" t="n"/>
      <c r="T148" s="124" t="n"/>
      <c r="U148" s="124" t="n"/>
      <c r="V148" s="124" t="n"/>
      <c r="W148" s="124" t="n"/>
    </row>
    <row r="149">
      <c r="A149" s="124" t="str">
        <f>IF(Instruments!$B149="","",Instruments!$A149&amp;"|"&amp;UPPER(TRIM(Instruments!$B149)))</f>
        <v/>
      </c>
      <c r="B149" s="124">
        <f>IF(AND(Instruments!$B149&lt;&gt;"",Instruments!$A149=Settings!$C$6),1,0)</f>
        <v>0</v>
      </c>
      <c r="C149" s="124" t="str">
        <f>IF($B149=1,COUNTIF($B$6:$B149,1),"")</f>
        <v/>
      </c>
      <c r="D149" s="124" t="str">
        <f>IFERROR(INDEX(Instruments!$B$6:$B$205,MATCH(ROW()-5,$C$6:$C$205,0)),"")</f>
        <v/>
      </c>
      <c r="E149" s="124" t="n"/>
      <c r="F149" s="124" t="n"/>
      <c r="G149" s="124" t="n"/>
      <c r="H149" s="124" t="n"/>
      <c r="I149" s="124" t="n"/>
      <c r="J149" s="124" t="n"/>
      <c r="K149" s="124" t="n"/>
      <c r="L149" s="124" t="n"/>
      <c r="M149" s="124" t="n"/>
      <c r="N149" s="124" t="n"/>
      <c r="O149" s="124" t="n"/>
      <c r="P149" s="124" t="n"/>
      <c r="Q149" s="124" t="n"/>
      <c r="R149" s="124" t="n"/>
      <c r="S149" s="124" t="n"/>
      <c r="T149" s="124" t="n"/>
      <c r="U149" s="124" t="n"/>
      <c r="V149" s="124" t="n"/>
      <c r="W149" s="124" t="n"/>
    </row>
    <row r="150">
      <c r="A150" s="124" t="str">
        <f>IF(Instruments!$B150="","",Instruments!$A150&amp;"|"&amp;UPPER(TRIM(Instruments!$B150)))</f>
        <v/>
      </c>
      <c r="B150" s="124">
        <f>IF(AND(Instruments!$B150&lt;&gt;"",Instruments!$A150=Settings!$C$6),1,0)</f>
        <v>0</v>
      </c>
      <c r="C150" s="124" t="str">
        <f>IF($B150=1,COUNTIF($B$6:$B150,1),"")</f>
        <v/>
      </c>
      <c r="D150" s="124" t="str">
        <f>IFERROR(INDEX(Instruments!$B$6:$B$205,MATCH(ROW()-5,$C$6:$C$205,0)),"")</f>
        <v/>
      </c>
      <c r="E150" s="124" t="n"/>
      <c r="F150" s="124" t="n"/>
      <c r="G150" s="124" t="n"/>
      <c r="H150" s="124" t="n"/>
      <c r="I150" s="124" t="n"/>
      <c r="J150" s="124" t="n"/>
      <c r="K150" s="124" t="n"/>
      <c r="L150" s="124" t="n"/>
      <c r="M150" s="124" t="n"/>
      <c r="N150" s="124" t="n"/>
      <c r="O150" s="124" t="n"/>
      <c r="P150" s="124" t="n"/>
      <c r="Q150" s="124" t="n"/>
      <c r="R150" s="124" t="n"/>
      <c r="S150" s="124" t="n"/>
      <c r="T150" s="124" t="n"/>
      <c r="U150" s="124" t="n"/>
      <c r="V150" s="124" t="n"/>
      <c r="W150" s="124" t="n"/>
    </row>
    <row r="151">
      <c r="A151" s="124" t="str">
        <f>IF(Instruments!$B151="","",Instruments!$A151&amp;"|"&amp;UPPER(TRIM(Instruments!$B151)))</f>
        <v/>
      </c>
      <c r="B151" s="124">
        <f>IF(AND(Instruments!$B151&lt;&gt;"",Instruments!$A151=Settings!$C$6),1,0)</f>
        <v>0</v>
      </c>
      <c r="C151" s="124" t="str">
        <f>IF($B151=1,COUNTIF($B$6:$B151,1),"")</f>
        <v/>
      </c>
      <c r="D151" s="124" t="str">
        <f>IFERROR(INDEX(Instruments!$B$6:$B$205,MATCH(ROW()-5,$C$6:$C$205,0)),"")</f>
        <v/>
      </c>
      <c r="E151" s="124" t="n"/>
      <c r="F151" s="124" t="n"/>
      <c r="G151" s="124" t="n"/>
      <c r="H151" s="124" t="n"/>
      <c r="I151" s="124" t="n"/>
      <c r="J151" s="124" t="n"/>
      <c r="K151" s="124" t="n"/>
      <c r="L151" s="124" t="n"/>
      <c r="M151" s="124" t="n"/>
      <c r="N151" s="124" t="n"/>
      <c r="O151" s="124" t="n"/>
      <c r="P151" s="124" t="n"/>
      <c r="Q151" s="124" t="n"/>
      <c r="R151" s="124" t="n"/>
      <c r="S151" s="124" t="n"/>
      <c r="T151" s="124" t="n"/>
      <c r="U151" s="124" t="n"/>
      <c r="V151" s="124" t="n"/>
      <c r="W151" s="124" t="n"/>
    </row>
    <row r="152">
      <c r="A152" s="124" t="str">
        <f>IF(Instruments!$B152="","",Instruments!$A152&amp;"|"&amp;UPPER(TRIM(Instruments!$B152)))</f>
        <v/>
      </c>
      <c r="B152" s="124">
        <f>IF(AND(Instruments!$B152&lt;&gt;"",Instruments!$A152=Settings!$C$6),1,0)</f>
        <v>0</v>
      </c>
      <c r="C152" s="124" t="str">
        <f>IF($B152=1,COUNTIF($B$6:$B152,1),"")</f>
        <v/>
      </c>
      <c r="D152" s="124" t="str">
        <f>IFERROR(INDEX(Instruments!$B$6:$B$205,MATCH(ROW()-5,$C$6:$C$205,0)),"")</f>
        <v/>
      </c>
      <c r="E152" s="124" t="n"/>
      <c r="F152" s="124" t="n"/>
      <c r="G152" s="124" t="n"/>
      <c r="H152" s="124" t="n"/>
      <c r="I152" s="124" t="n"/>
      <c r="J152" s="124" t="n"/>
      <c r="K152" s="124" t="n"/>
      <c r="L152" s="124" t="n"/>
      <c r="M152" s="124" t="n"/>
      <c r="N152" s="124" t="n"/>
      <c r="O152" s="124" t="n"/>
      <c r="P152" s="124" t="n"/>
      <c r="Q152" s="124" t="n"/>
      <c r="R152" s="124" t="n"/>
      <c r="S152" s="124" t="n"/>
      <c r="T152" s="124" t="n"/>
      <c r="U152" s="124" t="n"/>
      <c r="V152" s="124" t="n"/>
      <c r="W152" s="124" t="n"/>
    </row>
    <row r="153">
      <c r="A153" s="124" t="str">
        <f>IF(Instruments!$B153="","",Instruments!$A153&amp;"|"&amp;UPPER(TRIM(Instruments!$B153)))</f>
        <v/>
      </c>
      <c r="B153" s="124">
        <f>IF(AND(Instruments!$B153&lt;&gt;"",Instruments!$A153=Settings!$C$6),1,0)</f>
        <v>0</v>
      </c>
      <c r="C153" s="124" t="str">
        <f>IF($B153=1,COUNTIF($B$6:$B153,1),"")</f>
        <v/>
      </c>
      <c r="D153" s="124" t="str">
        <f>IFERROR(INDEX(Instruments!$B$6:$B$205,MATCH(ROW()-5,$C$6:$C$205,0)),"")</f>
        <v/>
      </c>
      <c r="E153" s="124" t="n"/>
      <c r="F153" s="124" t="n"/>
      <c r="G153" s="124" t="n"/>
      <c r="H153" s="124" t="n"/>
      <c r="I153" s="124" t="n"/>
      <c r="J153" s="124" t="n"/>
      <c r="K153" s="124" t="n"/>
      <c r="L153" s="124" t="n"/>
      <c r="M153" s="124" t="n"/>
      <c r="N153" s="124" t="n"/>
      <c r="O153" s="124" t="n"/>
      <c r="P153" s="124" t="n"/>
      <c r="Q153" s="124" t="n"/>
      <c r="R153" s="124" t="n"/>
      <c r="S153" s="124" t="n"/>
      <c r="T153" s="124" t="n"/>
      <c r="U153" s="124" t="n"/>
      <c r="V153" s="124" t="n"/>
      <c r="W153" s="124" t="n"/>
    </row>
    <row r="154">
      <c r="A154" s="124" t="str">
        <f>IF(Instruments!$B154="","",Instruments!$A154&amp;"|"&amp;UPPER(TRIM(Instruments!$B154)))</f>
        <v/>
      </c>
      <c r="B154" s="124">
        <f>IF(AND(Instruments!$B154&lt;&gt;"",Instruments!$A154=Settings!$C$6),1,0)</f>
        <v>0</v>
      </c>
      <c r="C154" s="124" t="str">
        <f>IF($B154=1,COUNTIF($B$6:$B154,1),"")</f>
        <v/>
      </c>
      <c r="D154" s="124" t="str">
        <f>IFERROR(INDEX(Instruments!$B$6:$B$205,MATCH(ROW()-5,$C$6:$C$205,0)),"")</f>
        <v/>
      </c>
      <c r="E154" s="124" t="n"/>
      <c r="F154" s="124" t="n"/>
      <c r="G154" s="124" t="n"/>
      <c r="H154" s="124" t="n"/>
      <c r="I154" s="124" t="n"/>
      <c r="J154" s="124" t="n"/>
      <c r="K154" s="124" t="n"/>
      <c r="L154" s="124" t="n"/>
      <c r="M154" s="124" t="n"/>
      <c r="N154" s="124" t="n"/>
      <c r="O154" s="124" t="n"/>
      <c r="P154" s="124" t="n"/>
      <c r="Q154" s="124" t="n"/>
      <c r="R154" s="124" t="n"/>
      <c r="S154" s="124" t="n"/>
      <c r="T154" s="124" t="n"/>
      <c r="U154" s="124" t="n"/>
      <c r="V154" s="124" t="n"/>
      <c r="W154" s="124" t="n"/>
    </row>
    <row r="155">
      <c r="A155" s="124" t="str">
        <f>IF(Instruments!$B155="","",Instruments!$A155&amp;"|"&amp;UPPER(TRIM(Instruments!$B155)))</f>
        <v/>
      </c>
      <c r="B155" s="124">
        <f>IF(AND(Instruments!$B155&lt;&gt;"",Instruments!$A155=Settings!$C$6),1,0)</f>
        <v>0</v>
      </c>
      <c r="C155" s="124" t="str">
        <f>IF($B155=1,COUNTIF($B$6:$B155,1),"")</f>
        <v/>
      </c>
      <c r="D155" s="124" t="str">
        <f>IFERROR(INDEX(Instruments!$B$6:$B$205,MATCH(ROW()-5,$C$6:$C$205,0)),"")</f>
        <v/>
      </c>
      <c r="E155" s="124" t="n"/>
      <c r="F155" s="124" t="n"/>
      <c r="G155" s="124" t="n"/>
      <c r="H155" s="124" t="n"/>
      <c r="I155" s="124" t="n"/>
      <c r="J155" s="124" t="n"/>
      <c r="K155" s="124" t="n"/>
      <c r="L155" s="124" t="n"/>
      <c r="M155" s="124" t="n"/>
      <c r="N155" s="124" t="n"/>
      <c r="O155" s="124" t="n"/>
      <c r="P155" s="124" t="n"/>
      <c r="Q155" s="124" t="n"/>
      <c r="R155" s="124" t="n"/>
      <c r="S155" s="124" t="n"/>
      <c r="T155" s="124" t="n"/>
      <c r="U155" s="124" t="n"/>
      <c r="V155" s="124" t="n"/>
      <c r="W155" s="124" t="n"/>
    </row>
    <row r="156">
      <c r="A156" s="124" t="str">
        <f>IF(Instruments!$B156="","",Instruments!$A156&amp;"|"&amp;UPPER(TRIM(Instruments!$B156)))</f>
        <v/>
      </c>
      <c r="B156" s="124">
        <f>IF(AND(Instruments!$B156&lt;&gt;"",Instruments!$A156=Settings!$C$6),1,0)</f>
        <v>0</v>
      </c>
      <c r="C156" s="124" t="str">
        <f>IF($B156=1,COUNTIF($B$6:$B156,1),"")</f>
        <v/>
      </c>
      <c r="D156" s="124" t="str">
        <f>IFERROR(INDEX(Instruments!$B$6:$B$205,MATCH(ROW()-5,$C$6:$C$205,0)),"")</f>
        <v/>
      </c>
      <c r="E156" s="124" t="n"/>
      <c r="F156" s="124" t="n"/>
      <c r="G156" s="124" t="n"/>
      <c r="H156" s="124" t="n"/>
      <c r="I156" s="124" t="n"/>
      <c r="J156" s="124" t="n"/>
      <c r="K156" s="124" t="n"/>
      <c r="L156" s="124" t="n"/>
      <c r="M156" s="124" t="n"/>
      <c r="N156" s="124" t="n"/>
      <c r="O156" s="124" t="n"/>
      <c r="P156" s="124" t="n"/>
      <c r="Q156" s="124" t="n"/>
      <c r="R156" s="124" t="n"/>
      <c r="S156" s="124" t="n"/>
      <c r="T156" s="124" t="n"/>
      <c r="U156" s="124" t="n"/>
      <c r="V156" s="124" t="n"/>
      <c r="W156" s="124" t="n"/>
    </row>
    <row r="157">
      <c r="A157" s="124" t="str">
        <f>IF(Instruments!$B157="","",Instruments!$A157&amp;"|"&amp;UPPER(TRIM(Instruments!$B157)))</f>
        <v/>
      </c>
      <c r="B157" s="124">
        <f>IF(AND(Instruments!$B157&lt;&gt;"",Instruments!$A157=Settings!$C$6),1,0)</f>
        <v>0</v>
      </c>
      <c r="C157" s="124" t="str">
        <f>IF($B157=1,COUNTIF($B$6:$B157,1),"")</f>
        <v/>
      </c>
      <c r="D157" s="124" t="str">
        <f>IFERROR(INDEX(Instruments!$B$6:$B$205,MATCH(ROW()-5,$C$6:$C$205,0)),"")</f>
        <v/>
      </c>
      <c r="E157" s="124" t="n"/>
      <c r="F157" s="124" t="n"/>
      <c r="G157" s="124" t="n"/>
      <c r="H157" s="124" t="n"/>
      <c r="I157" s="124" t="n"/>
      <c r="J157" s="124" t="n"/>
      <c r="K157" s="124" t="n"/>
      <c r="L157" s="124" t="n"/>
      <c r="M157" s="124" t="n"/>
      <c r="N157" s="124" t="n"/>
      <c r="O157" s="124" t="n"/>
      <c r="P157" s="124" t="n"/>
      <c r="Q157" s="124" t="n"/>
      <c r="R157" s="124" t="n"/>
      <c r="S157" s="124" t="n"/>
      <c r="T157" s="124" t="n"/>
      <c r="U157" s="124" t="n"/>
      <c r="V157" s="124" t="n"/>
      <c r="W157" s="124" t="n"/>
    </row>
    <row r="158">
      <c r="A158" s="124" t="str">
        <f>IF(Instruments!$B158="","",Instruments!$A158&amp;"|"&amp;UPPER(TRIM(Instruments!$B158)))</f>
        <v/>
      </c>
      <c r="B158" s="124">
        <f>IF(AND(Instruments!$B158&lt;&gt;"",Instruments!$A158=Settings!$C$6),1,0)</f>
        <v>0</v>
      </c>
      <c r="C158" s="124" t="str">
        <f>IF($B158=1,COUNTIF($B$6:$B158,1),"")</f>
        <v/>
      </c>
      <c r="D158" s="124" t="str">
        <f>IFERROR(INDEX(Instruments!$B$6:$B$205,MATCH(ROW()-5,$C$6:$C$205,0)),"")</f>
        <v/>
      </c>
      <c r="E158" s="124" t="n"/>
      <c r="F158" s="124" t="n"/>
      <c r="G158" s="124" t="n"/>
      <c r="H158" s="124" t="n"/>
      <c r="I158" s="124" t="n"/>
      <c r="J158" s="124" t="n"/>
      <c r="K158" s="124" t="n"/>
      <c r="L158" s="124" t="n"/>
      <c r="M158" s="124" t="n"/>
      <c r="N158" s="124" t="n"/>
      <c r="O158" s="124" t="n"/>
      <c r="P158" s="124" t="n"/>
      <c r="Q158" s="124" t="n"/>
      <c r="R158" s="124" t="n"/>
      <c r="S158" s="124" t="n"/>
      <c r="T158" s="124" t="n"/>
      <c r="U158" s="124" t="n"/>
      <c r="V158" s="124" t="n"/>
      <c r="W158" s="124" t="n"/>
    </row>
    <row r="159">
      <c r="A159" s="124" t="str">
        <f>IF(Instruments!$B159="","",Instruments!$A159&amp;"|"&amp;UPPER(TRIM(Instruments!$B159)))</f>
        <v/>
      </c>
      <c r="B159" s="124">
        <f>IF(AND(Instruments!$B159&lt;&gt;"",Instruments!$A159=Settings!$C$6),1,0)</f>
        <v>0</v>
      </c>
      <c r="C159" s="124" t="str">
        <f>IF($B159=1,COUNTIF($B$6:$B159,1),"")</f>
        <v/>
      </c>
      <c r="D159" s="124" t="str">
        <f>IFERROR(INDEX(Instruments!$B$6:$B$205,MATCH(ROW()-5,$C$6:$C$205,0)),"")</f>
        <v/>
      </c>
      <c r="E159" s="124" t="n"/>
      <c r="F159" s="124" t="n"/>
      <c r="G159" s="124" t="n"/>
      <c r="H159" s="124" t="n"/>
      <c r="I159" s="124" t="n"/>
      <c r="J159" s="124" t="n"/>
      <c r="K159" s="124" t="n"/>
      <c r="L159" s="124" t="n"/>
      <c r="M159" s="124" t="n"/>
      <c r="N159" s="124" t="n"/>
      <c r="O159" s="124" t="n"/>
      <c r="P159" s="124" t="n"/>
      <c r="Q159" s="124" t="n"/>
      <c r="R159" s="124" t="n"/>
      <c r="S159" s="124" t="n"/>
      <c r="T159" s="124" t="n"/>
      <c r="U159" s="124" t="n"/>
      <c r="V159" s="124" t="n"/>
      <c r="W159" s="124" t="n"/>
    </row>
    <row r="160">
      <c r="A160" s="124" t="str">
        <f>IF(Instruments!$B160="","",Instruments!$A160&amp;"|"&amp;UPPER(TRIM(Instruments!$B160)))</f>
        <v/>
      </c>
      <c r="B160" s="124">
        <f>IF(AND(Instruments!$B160&lt;&gt;"",Instruments!$A160=Settings!$C$6),1,0)</f>
        <v>0</v>
      </c>
      <c r="C160" s="124" t="str">
        <f>IF($B160=1,COUNTIF($B$6:$B160,1),"")</f>
        <v/>
      </c>
      <c r="D160" s="124" t="str">
        <f>IFERROR(INDEX(Instruments!$B$6:$B$205,MATCH(ROW()-5,$C$6:$C$205,0)),"")</f>
        <v/>
      </c>
      <c r="E160" s="124" t="n"/>
      <c r="F160" s="124" t="n"/>
      <c r="G160" s="124" t="n"/>
      <c r="H160" s="124" t="n"/>
      <c r="I160" s="124" t="n"/>
      <c r="J160" s="124" t="n"/>
      <c r="K160" s="124" t="n"/>
      <c r="L160" s="124" t="n"/>
      <c r="M160" s="124" t="n"/>
      <c r="N160" s="124" t="n"/>
      <c r="O160" s="124" t="n"/>
      <c r="P160" s="124" t="n"/>
      <c r="Q160" s="124" t="n"/>
      <c r="R160" s="124" t="n"/>
      <c r="S160" s="124" t="n"/>
      <c r="T160" s="124" t="n"/>
      <c r="U160" s="124" t="n"/>
      <c r="V160" s="124" t="n"/>
      <c r="W160" s="124" t="n"/>
    </row>
    <row r="161">
      <c r="A161" s="124" t="str">
        <f>IF(Instruments!$B161="","",Instruments!$A161&amp;"|"&amp;UPPER(TRIM(Instruments!$B161)))</f>
        <v/>
      </c>
      <c r="B161" s="124">
        <f>IF(AND(Instruments!$B161&lt;&gt;"",Instruments!$A161=Settings!$C$6),1,0)</f>
        <v>0</v>
      </c>
      <c r="C161" s="124" t="str">
        <f>IF($B161=1,COUNTIF($B$6:$B161,1),"")</f>
        <v/>
      </c>
      <c r="D161" s="124" t="str">
        <f>IFERROR(INDEX(Instruments!$B$6:$B$205,MATCH(ROW()-5,$C$6:$C$205,0)),"")</f>
        <v/>
      </c>
      <c r="E161" s="124" t="n"/>
      <c r="F161" s="124" t="n"/>
      <c r="G161" s="124" t="n"/>
      <c r="H161" s="124" t="n"/>
      <c r="I161" s="124" t="n"/>
      <c r="J161" s="124" t="n"/>
      <c r="K161" s="124" t="n"/>
      <c r="L161" s="124" t="n"/>
      <c r="M161" s="124" t="n"/>
      <c r="N161" s="124" t="n"/>
      <c r="O161" s="124" t="n"/>
      <c r="P161" s="124" t="n"/>
      <c r="Q161" s="124" t="n"/>
      <c r="R161" s="124" t="n"/>
      <c r="S161" s="124" t="n"/>
      <c r="T161" s="124" t="n"/>
      <c r="U161" s="124" t="n"/>
      <c r="V161" s="124" t="n"/>
      <c r="W161" s="124" t="n"/>
    </row>
    <row r="162">
      <c r="A162" s="124" t="str">
        <f>IF(Instruments!$B162="","",Instruments!$A162&amp;"|"&amp;UPPER(TRIM(Instruments!$B162)))</f>
        <v/>
      </c>
      <c r="B162" s="124">
        <f>IF(AND(Instruments!$B162&lt;&gt;"",Instruments!$A162=Settings!$C$6),1,0)</f>
        <v>0</v>
      </c>
      <c r="C162" s="124" t="str">
        <f>IF($B162=1,COUNTIF($B$6:$B162,1),"")</f>
        <v/>
      </c>
      <c r="D162" s="124" t="str">
        <f>IFERROR(INDEX(Instruments!$B$6:$B$205,MATCH(ROW()-5,$C$6:$C$205,0)),"")</f>
        <v/>
      </c>
      <c r="E162" s="124" t="n"/>
      <c r="F162" s="124" t="n"/>
      <c r="G162" s="124" t="n"/>
      <c r="H162" s="124" t="n"/>
      <c r="I162" s="124" t="n"/>
      <c r="J162" s="124" t="n"/>
      <c r="K162" s="124" t="n"/>
      <c r="L162" s="124" t="n"/>
      <c r="M162" s="124" t="n"/>
      <c r="N162" s="124" t="n"/>
      <c r="O162" s="124" t="n"/>
      <c r="P162" s="124" t="n"/>
      <c r="Q162" s="124" t="n"/>
      <c r="R162" s="124" t="n"/>
      <c r="S162" s="124" t="n"/>
      <c r="T162" s="124" t="n"/>
      <c r="U162" s="124" t="n"/>
      <c r="V162" s="124" t="n"/>
      <c r="W162" s="124" t="n"/>
    </row>
    <row r="163">
      <c r="A163" s="124" t="str">
        <f>IF(Instruments!$B163="","",Instruments!$A163&amp;"|"&amp;UPPER(TRIM(Instruments!$B163)))</f>
        <v/>
      </c>
      <c r="B163" s="124">
        <f>IF(AND(Instruments!$B163&lt;&gt;"",Instruments!$A163=Settings!$C$6),1,0)</f>
        <v>0</v>
      </c>
      <c r="C163" s="124" t="str">
        <f>IF($B163=1,COUNTIF($B$6:$B163,1),"")</f>
        <v/>
      </c>
      <c r="D163" s="124" t="str">
        <f>IFERROR(INDEX(Instruments!$B$6:$B$205,MATCH(ROW()-5,$C$6:$C$205,0)),"")</f>
        <v/>
      </c>
      <c r="E163" s="124" t="n"/>
      <c r="F163" s="124" t="n"/>
      <c r="G163" s="124" t="n"/>
      <c r="H163" s="124" t="n"/>
      <c r="I163" s="124" t="n"/>
      <c r="J163" s="124" t="n"/>
      <c r="K163" s="124" t="n"/>
      <c r="L163" s="124" t="n"/>
      <c r="M163" s="124" t="n"/>
      <c r="N163" s="124" t="n"/>
      <c r="O163" s="124" t="n"/>
      <c r="P163" s="124" t="n"/>
      <c r="Q163" s="124" t="n"/>
      <c r="R163" s="124" t="n"/>
      <c r="S163" s="124" t="n"/>
      <c r="T163" s="124" t="n"/>
      <c r="U163" s="124" t="n"/>
      <c r="V163" s="124" t="n"/>
      <c r="W163" s="124" t="n"/>
    </row>
    <row r="164">
      <c r="A164" s="124" t="str">
        <f>IF(Instruments!$B164="","",Instruments!$A164&amp;"|"&amp;UPPER(TRIM(Instruments!$B164)))</f>
        <v/>
      </c>
      <c r="B164" s="124">
        <f>IF(AND(Instruments!$B164&lt;&gt;"",Instruments!$A164=Settings!$C$6),1,0)</f>
        <v>0</v>
      </c>
      <c r="C164" s="124" t="str">
        <f>IF($B164=1,COUNTIF($B$6:$B164,1),"")</f>
        <v/>
      </c>
      <c r="D164" s="124" t="str">
        <f>IFERROR(INDEX(Instruments!$B$6:$B$205,MATCH(ROW()-5,$C$6:$C$205,0)),"")</f>
        <v/>
      </c>
      <c r="E164" s="124" t="n"/>
      <c r="F164" s="124" t="n"/>
      <c r="G164" s="124" t="n"/>
      <c r="H164" s="124" t="n"/>
      <c r="I164" s="124" t="n"/>
      <c r="J164" s="124" t="n"/>
      <c r="K164" s="124" t="n"/>
      <c r="L164" s="124" t="n"/>
      <c r="M164" s="124" t="n"/>
      <c r="N164" s="124" t="n"/>
      <c r="O164" s="124" t="n"/>
      <c r="P164" s="124" t="n"/>
      <c r="Q164" s="124" t="n"/>
      <c r="R164" s="124" t="n"/>
      <c r="S164" s="124" t="n"/>
      <c r="T164" s="124" t="n"/>
      <c r="U164" s="124" t="n"/>
      <c r="V164" s="124" t="n"/>
      <c r="W164" s="124" t="n"/>
    </row>
    <row r="165">
      <c r="A165" s="124" t="str">
        <f>IF(Instruments!$B165="","",Instruments!$A165&amp;"|"&amp;UPPER(TRIM(Instruments!$B165)))</f>
        <v/>
      </c>
      <c r="B165" s="124">
        <f>IF(AND(Instruments!$B165&lt;&gt;"",Instruments!$A165=Settings!$C$6),1,0)</f>
        <v>0</v>
      </c>
      <c r="C165" s="124" t="str">
        <f>IF($B165=1,COUNTIF($B$6:$B165,1),"")</f>
        <v/>
      </c>
      <c r="D165" s="124" t="str">
        <f>IFERROR(INDEX(Instruments!$B$6:$B$205,MATCH(ROW()-5,$C$6:$C$205,0)),"")</f>
        <v/>
      </c>
      <c r="E165" s="124" t="n"/>
      <c r="F165" s="124" t="n"/>
      <c r="G165" s="124" t="n"/>
      <c r="H165" s="124" t="n"/>
      <c r="I165" s="124" t="n"/>
      <c r="J165" s="124" t="n"/>
      <c r="K165" s="124" t="n"/>
      <c r="L165" s="124" t="n"/>
      <c r="M165" s="124" t="n"/>
      <c r="N165" s="124" t="n"/>
      <c r="O165" s="124" t="n"/>
      <c r="P165" s="124" t="n"/>
      <c r="Q165" s="124" t="n"/>
      <c r="R165" s="124" t="n"/>
      <c r="S165" s="124" t="n"/>
      <c r="T165" s="124" t="n"/>
      <c r="U165" s="124" t="n"/>
      <c r="V165" s="124" t="n"/>
      <c r="W165" s="124" t="n"/>
    </row>
    <row r="166">
      <c r="A166" s="124" t="str">
        <f>IF(Instruments!$B166="","",Instruments!$A166&amp;"|"&amp;UPPER(TRIM(Instruments!$B166)))</f>
        <v/>
      </c>
      <c r="B166" s="124">
        <f>IF(AND(Instruments!$B166&lt;&gt;"",Instruments!$A166=Settings!$C$6),1,0)</f>
        <v>0</v>
      </c>
      <c r="C166" s="124" t="str">
        <f>IF($B166=1,COUNTIF($B$6:$B166,1),"")</f>
        <v/>
      </c>
      <c r="D166" s="124" t="str">
        <f>IFERROR(INDEX(Instruments!$B$6:$B$205,MATCH(ROW()-5,$C$6:$C$205,0)),"")</f>
        <v/>
      </c>
      <c r="E166" s="124" t="n"/>
      <c r="F166" s="124" t="n"/>
      <c r="G166" s="124" t="n"/>
      <c r="H166" s="124" t="n"/>
      <c r="I166" s="124" t="n"/>
      <c r="J166" s="124" t="n"/>
      <c r="K166" s="124" t="n"/>
      <c r="L166" s="124" t="n"/>
      <c r="M166" s="124" t="n"/>
      <c r="N166" s="124" t="n"/>
      <c r="O166" s="124" t="n"/>
      <c r="P166" s="124" t="n"/>
      <c r="Q166" s="124" t="n"/>
      <c r="R166" s="124" t="n"/>
      <c r="S166" s="124" t="n"/>
      <c r="T166" s="124" t="n"/>
      <c r="U166" s="124" t="n"/>
      <c r="V166" s="124" t="n"/>
      <c r="W166" s="124" t="n"/>
    </row>
    <row r="167">
      <c r="A167" s="124" t="str">
        <f>IF(Instruments!$B167="","",Instruments!$A167&amp;"|"&amp;UPPER(TRIM(Instruments!$B167)))</f>
        <v/>
      </c>
      <c r="B167" s="124">
        <f>IF(AND(Instruments!$B167&lt;&gt;"",Instruments!$A167=Settings!$C$6),1,0)</f>
        <v>0</v>
      </c>
      <c r="C167" s="124" t="str">
        <f>IF($B167=1,COUNTIF($B$6:$B167,1),"")</f>
        <v/>
      </c>
      <c r="D167" s="124" t="str">
        <f>IFERROR(INDEX(Instruments!$B$6:$B$205,MATCH(ROW()-5,$C$6:$C$205,0)),"")</f>
        <v/>
      </c>
      <c r="E167" s="124" t="n"/>
      <c r="F167" s="124" t="n"/>
      <c r="G167" s="124" t="n"/>
      <c r="H167" s="124" t="n"/>
      <c r="I167" s="124" t="n"/>
      <c r="J167" s="124" t="n"/>
      <c r="K167" s="124" t="n"/>
      <c r="L167" s="124" t="n"/>
      <c r="M167" s="124" t="n"/>
      <c r="N167" s="124" t="n"/>
      <c r="O167" s="124" t="n"/>
      <c r="P167" s="124" t="n"/>
      <c r="Q167" s="124" t="n"/>
      <c r="R167" s="124" t="n"/>
      <c r="S167" s="124" t="n"/>
      <c r="T167" s="124" t="n"/>
      <c r="U167" s="124" t="n"/>
      <c r="V167" s="124" t="n"/>
      <c r="W167" s="124" t="n"/>
    </row>
    <row r="168">
      <c r="A168" s="124" t="str">
        <f>IF(Instruments!$B168="","",Instruments!$A168&amp;"|"&amp;UPPER(TRIM(Instruments!$B168)))</f>
        <v/>
      </c>
      <c r="B168" s="124">
        <f>IF(AND(Instruments!$B168&lt;&gt;"",Instruments!$A168=Settings!$C$6),1,0)</f>
        <v>0</v>
      </c>
      <c r="C168" s="124" t="str">
        <f>IF($B168=1,COUNTIF($B$6:$B168,1),"")</f>
        <v/>
      </c>
      <c r="D168" s="124" t="str">
        <f>IFERROR(INDEX(Instruments!$B$6:$B$205,MATCH(ROW()-5,$C$6:$C$205,0)),"")</f>
        <v/>
      </c>
      <c r="E168" s="124" t="n"/>
      <c r="F168" s="124" t="n"/>
      <c r="G168" s="124" t="n"/>
      <c r="H168" s="124" t="n"/>
      <c r="I168" s="124" t="n"/>
      <c r="J168" s="124" t="n"/>
      <c r="K168" s="124" t="n"/>
      <c r="L168" s="124" t="n"/>
      <c r="M168" s="124" t="n"/>
      <c r="N168" s="124" t="n"/>
      <c r="O168" s="124" t="n"/>
      <c r="P168" s="124" t="n"/>
      <c r="Q168" s="124" t="n"/>
      <c r="R168" s="124" t="n"/>
      <c r="S168" s="124" t="n"/>
      <c r="T168" s="124" t="n"/>
      <c r="U168" s="124" t="n"/>
      <c r="V168" s="124" t="n"/>
      <c r="W168" s="124" t="n"/>
    </row>
    <row r="169">
      <c r="A169" s="124" t="str">
        <f>IF(Instruments!$B169="","",Instruments!$A169&amp;"|"&amp;UPPER(TRIM(Instruments!$B169)))</f>
        <v/>
      </c>
      <c r="B169" s="124">
        <f>IF(AND(Instruments!$B169&lt;&gt;"",Instruments!$A169=Settings!$C$6),1,0)</f>
        <v>0</v>
      </c>
      <c r="C169" s="124" t="str">
        <f>IF($B169=1,COUNTIF($B$6:$B169,1),"")</f>
        <v/>
      </c>
      <c r="D169" s="124" t="str">
        <f>IFERROR(INDEX(Instruments!$B$6:$B$205,MATCH(ROW()-5,$C$6:$C$205,0)),"")</f>
        <v/>
      </c>
      <c r="E169" s="124" t="n"/>
      <c r="F169" s="124" t="n"/>
      <c r="G169" s="124" t="n"/>
      <c r="H169" s="124" t="n"/>
      <c r="I169" s="124" t="n"/>
      <c r="J169" s="124" t="n"/>
      <c r="K169" s="124" t="n"/>
      <c r="L169" s="124" t="n"/>
      <c r="M169" s="124" t="n"/>
      <c r="N169" s="124" t="n"/>
      <c r="O169" s="124" t="n"/>
      <c r="P169" s="124" t="n"/>
      <c r="Q169" s="124" t="n"/>
      <c r="R169" s="124" t="n"/>
      <c r="S169" s="124" t="n"/>
      <c r="T169" s="124" t="n"/>
      <c r="U169" s="124" t="n"/>
      <c r="V169" s="124" t="n"/>
      <c r="W169" s="124" t="n"/>
    </row>
    <row r="170">
      <c r="A170" s="124" t="str">
        <f>IF(Instruments!$B170="","",Instruments!$A170&amp;"|"&amp;UPPER(TRIM(Instruments!$B170)))</f>
        <v/>
      </c>
      <c r="B170" s="124">
        <f>IF(AND(Instruments!$B170&lt;&gt;"",Instruments!$A170=Settings!$C$6),1,0)</f>
        <v>0</v>
      </c>
      <c r="C170" s="124" t="str">
        <f>IF($B170=1,COUNTIF($B$6:$B170,1),"")</f>
        <v/>
      </c>
      <c r="D170" s="124" t="str">
        <f>IFERROR(INDEX(Instruments!$B$6:$B$205,MATCH(ROW()-5,$C$6:$C$205,0)),"")</f>
        <v/>
      </c>
      <c r="E170" s="124" t="n"/>
      <c r="F170" s="124" t="n"/>
      <c r="G170" s="124" t="n"/>
      <c r="H170" s="124" t="n"/>
      <c r="I170" s="124" t="n"/>
      <c r="J170" s="124" t="n"/>
      <c r="K170" s="124" t="n"/>
      <c r="L170" s="124" t="n"/>
      <c r="M170" s="124" t="n"/>
      <c r="N170" s="124" t="n"/>
      <c r="O170" s="124" t="n"/>
      <c r="P170" s="124" t="n"/>
      <c r="Q170" s="124" t="n"/>
      <c r="R170" s="124" t="n"/>
      <c r="S170" s="124" t="n"/>
      <c r="T170" s="124" t="n"/>
      <c r="U170" s="124" t="n"/>
      <c r="V170" s="124" t="n"/>
      <c r="W170" s="124" t="n"/>
    </row>
    <row r="171">
      <c r="A171" s="124" t="str">
        <f>IF(Instruments!$B171="","",Instruments!$A171&amp;"|"&amp;UPPER(TRIM(Instruments!$B171)))</f>
        <v/>
      </c>
      <c r="B171" s="124">
        <f>IF(AND(Instruments!$B171&lt;&gt;"",Instruments!$A171=Settings!$C$6),1,0)</f>
        <v>0</v>
      </c>
      <c r="C171" s="124" t="str">
        <f>IF($B171=1,COUNTIF($B$6:$B171,1),"")</f>
        <v/>
      </c>
      <c r="D171" s="124" t="str">
        <f>IFERROR(INDEX(Instruments!$B$6:$B$205,MATCH(ROW()-5,$C$6:$C$205,0)),"")</f>
        <v/>
      </c>
      <c r="E171" s="124" t="n"/>
      <c r="F171" s="124" t="n"/>
      <c r="G171" s="124" t="n"/>
      <c r="H171" s="124" t="n"/>
      <c r="I171" s="124" t="n"/>
      <c r="J171" s="124" t="n"/>
      <c r="K171" s="124" t="n"/>
      <c r="L171" s="124" t="n"/>
      <c r="M171" s="124" t="n"/>
      <c r="N171" s="124" t="n"/>
      <c r="O171" s="124" t="n"/>
      <c r="P171" s="124" t="n"/>
      <c r="Q171" s="124" t="n"/>
      <c r="R171" s="124" t="n"/>
      <c r="S171" s="124" t="n"/>
      <c r="T171" s="124" t="n"/>
      <c r="U171" s="124" t="n"/>
      <c r="V171" s="124" t="n"/>
      <c r="W171" s="124" t="n"/>
    </row>
    <row r="172">
      <c r="A172" s="124" t="str">
        <f>IF(Instruments!$B172="","",Instruments!$A172&amp;"|"&amp;UPPER(TRIM(Instruments!$B172)))</f>
        <v/>
      </c>
      <c r="B172" s="124">
        <f>IF(AND(Instruments!$B172&lt;&gt;"",Instruments!$A172=Settings!$C$6),1,0)</f>
        <v>0</v>
      </c>
      <c r="C172" s="124" t="str">
        <f>IF($B172=1,COUNTIF($B$6:$B172,1),"")</f>
        <v/>
      </c>
      <c r="D172" s="124" t="str">
        <f>IFERROR(INDEX(Instruments!$B$6:$B$205,MATCH(ROW()-5,$C$6:$C$205,0)),"")</f>
        <v/>
      </c>
      <c r="E172" s="124" t="n"/>
      <c r="F172" s="124" t="n"/>
      <c r="G172" s="124" t="n"/>
      <c r="H172" s="124" t="n"/>
      <c r="I172" s="124" t="n"/>
      <c r="J172" s="124" t="n"/>
      <c r="K172" s="124" t="n"/>
      <c r="L172" s="124" t="n"/>
      <c r="M172" s="124" t="n"/>
      <c r="N172" s="124" t="n"/>
      <c r="O172" s="124" t="n"/>
      <c r="P172" s="124" t="n"/>
      <c r="Q172" s="124" t="n"/>
      <c r="R172" s="124" t="n"/>
      <c r="S172" s="124" t="n"/>
      <c r="T172" s="124" t="n"/>
      <c r="U172" s="124" t="n"/>
      <c r="V172" s="124" t="n"/>
      <c r="W172" s="124" t="n"/>
    </row>
    <row r="173">
      <c r="A173" s="124" t="str">
        <f>IF(Instruments!$B173="","",Instruments!$A173&amp;"|"&amp;UPPER(TRIM(Instruments!$B173)))</f>
        <v/>
      </c>
      <c r="B173" s="124">
        <f>IF(AND(Instruments!$B173&lt;&gt;"",Instruments!$A173=Settings!$C$6),1,0)</f>
        <v>0</v>
      </c>
      <c r="C173" s="124" t="str">
        <f>IF($B173=1,COUNTIF($B$6:$B173,1),"")</f>
        <v/>
      </c>
      <c r="D173" s="124" t="str">
        <f>IFERROR(INDEX(Instruments!$B$6:$B$205,MATCH(ROW()-5,$C$6:$C$205,0)),"")</f>
        <v/>
      </c>
      <c r="E173" s="124" t="n"/>
      <c r="F173" s="124" t="n"/>
      <c r="G173" s="124" t="n"/>
      <c r="H173" s="124" t="n"/>
      <c r="I173" s="124" t="n"/>
      <c r="J173" s="124" t="n"/>
      <c r="K173" s="124" t="n"/>
      <c r="L173" s="124" t="n"/>
      <c r="M173" s="124" t="n"/>
      <c r="N173" s="124" t="n"/>
      <c r="O173" s="124" t="n"/>
      <c r="P173" s="124" t="n"/>
      <c r="Q173" s="124" t="n"/>
      <c r="R173" s="124" t="n"/>
      <c r="S173" s="124" t="n"/>
      <c r="T173" s="124" t="n"/>
      <c r="U173" s="124" t="n"/>
      <c r="V173" s="124" t="n"/>
      <c r="W173" s="124" t="n"/>
    </row>
    <row r="174">
      <c r="A174" s="124" t="str">
        <f>IF(Instruments!$B174="","",Instruments!$A174&amp;"|"&amp;UPPER(TRIM(Instruments!$B174)))</f>
        <v/>
      </c>
      <c r="B174" s="124">
        <f>IF(AND(Instruments!$B174&lt;&gt;"",Instruments!$A174=Settings!$C$6),1,0)</f>
        <v>0</v>
      </c>
      <c r="C174" s="124" t="str">
        <f>IF($B174=1,COUNTIF($B$6:$B174,1),"")</f>
        <v/>
      </c>
      <c r="D174" s="124" t="str">
        <f>IFERROR(INDEX(Instruments!$B$6:$B$205,MATCH(ROW()-5,$C$6:$C$205,0)),"")</f>
        <v/>
      </c>
      <c r="E174" s="124" t="n"/>
      <c r="F174" s="124" t="n"/>
      <c r="G174" s="124" t="n"/>
      <c r="H174" s="124" t="n"/>
      <c r="I174" s="124" t="n"/>
      <c r="J174" s="124" t="n"/>
      <c r="K174" s="124" t="n"/>
      <c r="L174" s="124" t="n"/>
      <c r="M174" s="124" t="n"/>
      <c r="N174" s="124" t="n"/>
      <c r="O174" s="124" t="n"/>
      <c r="P174" s="124" t="n"/>
      <c r="Q174" s="124" t="n"/>
      <c r="R174" s="124" t="n"/>
      <c r="S174" s="124" t="n"/>
      <c r="T174" s="124" t="n"/>
      <c r="U174" s="124" t="n"/>
      <c r="V174" s="124" t="n"/>
      <c r="W174" s="124" t="n"/>
    </row>
    <row r="175">
      <c r="A175" s="124" t="str">
        <f>IF(Instruments!$B175="","",Instruments!$A175&amp;"|"&amp;UPPER(TRIM(Instruments!$B175)))</f>
        <v/>
      </c>
      <c r="B175" s="124">
        <f>IF(AND(Instruments!$B175&lt;&gt;"",Instruments!$A175=Settings!$C$6),1,0)</f>
        <v>0</v>
      </c>
      <c r="C175" s="124" t="str">
        <f>IF($B175=1,COUNTIF($B$6:$B175,1),"")</f>
        <v/>
      </c>
      <c r="D175" s="124" t="str">
        <f>IFERROR(INDEX(Instruments!$B$6:$B$205,MATCH(ROW()-5,$C$6:$C$205,0)),"")</f>
        <v/>
      </c>
      <c r="E175" s="124" t="n"/>
      <c r="F175" s="124" t="n"/>
      <c r="G175" s="124" t="n"/>
      <c r="H175" s="124" t="n"/>
      <c r="I175" s="124" t="n"/>
      <c r="J175" s="124" t="n"/>
      <c r="K175" s="124" t="n"/>
      <c r="L175" s="124" t="n"/>
      <c r="M175" s="124" t="n"/>
      <c r="N175" s="124" t="n"/>
      <c r="O175" s="124" t="n"/>
      <c r="P175" s="124" t="n"/>
      <c r="Q175" s="124" t="n"/>
      <c r="R175" s="124" t="n"/>
      <c r="S175" s="124" t="n"/>
      <c r="T175" s="124" t="n"/>
      <c r="U175" s="124" t="n"/>
      <c r="V175" s="124" t="n"/>
      <c r="W175" s="124" t="n"/>
    </row>
    <row r="176">
      <c r="A176" s="124" t="str">
        <f>IF(Instruments!$B176="","",Instruments!$A176&amp;"|"&amp;UPPER(TRIM(Instruments!$B176)))</f>
        <v/>
      </c>
      <c r="B176" s="124">
        <f>IF(AND(Instruments!$B176&lt;&gt;"",Instruments!$A176=Settings!$C$6),1,0)</f>
        <v>0</v>
      </c>
      <c r="C176" s="124" t="str">
        <f>IF($B176=1,COUNTIF($B$6:$B176,1),"")</f>
        <v/>
      </c>
      <c r="D176" s="124" t="str">
        <f>IFERROR(INDEX(Instruments!$B$6:$B$205,MATCH(ROW()-5,$C$6:$C$205,0)),"")</f>
        <v/>
      </c>
      <c r="E176" s="124" t="n"/>
      <c r="F176" s="124" t="n"/>
      <c r="G176" s="124" t="n"/>
      <c r="H176" s="124" t="n"/>
      <c r="I176" s="124" t="n"/>
      <c r="J176" s="124" t="n"/>
      <c r="K176" s="124" t="n"/>
      <c r="L176" s="124" t="n"/>
      <c r="M176" s="124" t="n"/>
      <c r="N176" s="124" t="n"/>
      <c r="O176" s="124" t="n"/>
      <c r="P176" s="124" t="n"/>
      <c r="Q176" s="124" t="n"/>
      <c r="R176" s="124" t="n"/>
      <c r="S176" s="124" t="n"/>
      <c r="T176" s="124" t="n"/>
      <c r="U176" s="124" t="n"/>
      <c r="V176" s="124" t="n"/>
      <c r="W176" s="124" t="n"/>
    </row>
    <row r="177">
      <c r="A177" s="124" t="str">
        <f>IF(Instruments!$B177="","",Instruments!$A177&amp;"|"&amp;UPPER(TRIM(Instruments!$B177)))</f>
        <v/>
      </c>
      <c r="B177" s="124">
        <f>IF(AND(Instruments!$B177&lt;&gt;"",Instruments!$A177=Settings!$C$6),1,0)</f>
        <v>0</v>
      </c>
      <c r="C177" s="124" t="str">
        <f>IF($B177=1,COUNTIF($B$6:$B177,1),"")</f>
        <v/>
      </c>
      <c r="D177" s="124" t="str">
        <f>IFERROR(INDEX(Instruments!$B$6:$B$205,MATCH(ROW()-5,$C$6:$C$205,0)),"")</f>
        <v/>
      </c>
      <c r="E177" s="124" t="n"/>
      <c r="F177" s="124" t="n"/>
      <c r="G177" s="124" t="n"/>
      <c r="H177" s="124" t="n"/>
      <c r="I177" s="124" t="n"/>
      <c r="J177" s="124" t="n"/>
      <c r="K177" s="124" t="n"/>
      <c r="L177" s="124" t="n"/>
      <c r="M177" s="124" t="n"/>
      <c r="N177" s="124" t="n"/>
      <c r="O177" s="124" t="n"/>
      <c r="P177" s="124" t="n"/>
      <c r="Q177" s="124" t="n"/>
      <c r="R177" s="124" t="n"/>
      <c r="S177" s="124" t="n"/>
      <c r="T177" s="124" t="n"/>
      <c r="U177" s="124" t="n"/>
      <c r="V177" s="124" t="n"/>
      <c r="W177" s="124" t="n"/>
    </row>
    <row r="178">
      <c r="A178" s="124" t="str">
        <f>IF(Instruments!$B178="","",Instruments!$A178&amp;"|"&amp;UPPER(TRIM(Instruments!$B178)))</f>
        <v/>
      </c>
      <c r="B178" s="124">
        <f>IF(AND(Instruments!$B178&lt;&gt;"",Instruments!$A178=Settings!$C$6),1,0)</f>
        <v>0</v>
      </c>
      <c r="C178" s="124" t="str">
        <f>IF($B178=1,COUNTIF($B$6:$B178,1),"")</f>
        <v/>
      </c>
      <c r="D178" s="124" t="str">
        <f>IFERROR(INDEX(Instruments!$B$6:$B$205,MATCH(ROW()-5,$C$6:$C$205,0)),"")</f>
        <v/>
      </c>
      <c r="E178" s="124" t="n"/>
      <c r="F178" s="124" t="n"/>
      <c r="G178" s="124" t="n"/>
      <c r="H178" s="124" t="n"/>
      <c r="I178" s="124" t="n"/>
      <c r="J178" s="124" t="n"/>
      <c r="K178" s="124" t="n"/>
      <c r="L178" s="124" t="n"/>
      <c r="M178" s="124" t="n"/>
      <c r="N178" s="124" t="n"/>
      <c r="O178" s="124" t="n"/>
      <c r="P178" s="124" t="n"/>
      <c r="Q178" s="124" t="n"/>
      <c r="R178" s="124" t="n"/>
      <c r="S178" s="124" t="n"/>
      <c r="T178" s="124" t="n"/>
      <c r="U178" s="124" t="n"/>
      <c r="V178" s="124" t="n"/>
      <c r="W178" s="124" t="n"/>
    </row>
    <row r="179">
      <c r="A179" s="124" t="str">
        <f>IF(Instruments!$B179="","",Instruments!$A179&amp;"|"&amp;UPPER(TRIM(Instruments!$B179)))</f>
        <v/>
      </c>
      <c r="B179" s="124">
        <f>IF(AND(Instruments!$B179&lt;&gt;"",Instruments!$A179=Settings!$C$6),1,0)</f>
        <v>0</v>
      </c>
      <c r="C179" s="124" t="str">
        <f>IF($B179=1,COUNTIF($B$6:$B179,1),"")</f>
        <v/>
      </c>
      <c r="D179" s="124" t="str">
        <f>IFERROR(INDEX(Instruments!$B$6:$B$205,MATCH(ROW()-5,$C$6:$C$205,0)),"")</f>
        <v/>
      </c>
      <c r="E179" s="124" t="n"/>
      <c r="F179" s="124" t="n"/>
      <c r="G179" s="124" t="n"/>
      <c r="H179" s="124" t="n"/>
      <c r="I179" s="124" t="n"/>
      <c r="J179" s="124" t="n"/>
      <c r="K179" s="124" t="n"/>
      <c r="L179" s="124" t="n"/>
      <c r="M179" s="124" t="n"/>
      <c r="N179" s="124" t="n"/>
      <c r="O179" s="124" t="n"/>
      <c r="P179" s="124" t="n"/>
      <c r="Q179" s="124" t="n"/>
      <c r="R179" s="124" t="n"/>
      <c r="S179" s="124" t="n"/>
      <c r="T179" s="124" t="n"/>
      <c r="U179" s="124" t="n"/>
      <c r="V179" s="124" t="n"/>
      <c r="W179" s="124" t="n"/>
    </row>
    <row r="180">
      <c r="A180" s="124" t="str">
        <f>IF(Instruments!$B180="","",Instruments!$A180&amp;"|"&amp;UPPER(TRIM(Instruments!$B180)))</f>
        <v/>
      </c>
      <c r="B180" s="124">
        <f>IF(AND(Instruments!$B180&lt;&gt;"",Instruments!$A180=Settings!$C$6),1,0)</f>
        <v>0</v>
      </c>
      <c r="C180" s="124" t="str">
        <f>IF($B180=1,COUNTIF($B$6:$B180,1),"")</f>
        <v/>
      </c>
      <c r="D180" s="124" t="str">
        <f>IFERROR(INDEX(Instruments!$B$6:$B$205,MATCH(ROW()-5,$C$6:$C$205,0)),"")</f>
        <v/>
      </c>
      <c r="E180" s="124" t="n"/>
      <c r="F180" s="124" t="n"/>
      <c r="G180" s="124" t="n"/>
      <c r="H180" s="124" t="n"/>
      <c r="I180" s="124" t="n"/>
      <c r="J180" s="124" t="n"/>
      <c r="K180" s="124" t="n"/>
      <c r="L180" s="124" t="n"/>
      <c r="M180" s="124" t="n"/>
      <c r="N180" s="124" t="n"/>
      <c r="O180" s="124" t="n"/>
      <c r="P180" s="124" t="n"/>
      <c r="Q180" s="124" t="n"/>
      <c r="R180" s="124" t="n"/>
      <c r="S180" s="124" t="n"/>
      <c r="T180" s="124" t="n"/>
      <c r="U180" s="124" t="n"/>
      <c r="V180" s="124" t="n"/>
      <c r="W180" s="124" t="n"/>
    </row>
    <row r="181">
      <c r="A181" s="124" t="str">
        <f>IF(Instruments!$B181="","",Instruments!$A181&amp;"|"&amp;UPPER(TRIM(Instruments!$B181)))</f>
        <v/>
      </c>
      <c r="B181" s="124">
        <f>IF(AND(Instruments!$B181&lt;&gt;"",Instruments!$A181=Settings!$C$6),1,0)</f>
        <v>0</v>
      </c>
      <c r="C181" s="124" t="str">
        <f>IF($B181=1,COUNTIF($B$6:$B181,1),"")</f>
        <v/>
      </c>
      <c r="D181" s="124" t="str">
        <f>IFERROR(INDEX(Instruments!$B$6:$B$205,MATCH(ROW()-5,$C$6:$C$205,0)),"")</f>
        <v/>
      </c>
      <c r="E181" s="124" t="n"/>
      <c r="F181" s="124" t="n"/>
      <c r="G181" s="124" t="n"/>
      <c r="H181" s="124" t="n"/>
      <c r="I181" s="124" t="n"/>
      <c r="J181" s="124" t="n"/>
      <c r="K181" s="124" t="n"/>
      <c r="L181" s="124" t="n"/>
      <c r="M181" s="124" t="n"/>
      <c r="N181" s="124" t="n"/>
      <c r="O181" s="124" t="n"/>
      <c r="P181" s="124" t="n"/>
      <c r="Q181" s="124" t="n"/>
      <c r="R181" s="124" t="n"/>
      <c r="S181" s="124" t="n"/>
      <c r="T181" s="124" t="n"/>
      <c r="U181" s="124" t="n"/>
      <c r="V181" s="124" t="n"/>
      <c r="W181" s="124" t="n"/>
    </row>
    <row r="182">
      <c r="A182" s="124" t="str">
        <f>IF(Instruments!$B182="","",Instruments!$A182&amp;"|"&amp;UPPER(TRIM(Instruments!$B182)))</f>
        <v/>
      </c>
      <c r="B182" s="124">
        <f>IF(AND(Instruments!$B182&lt;&gt;"",Instruments!$A182=Settings!$C$6),1,0)</f>
        <v>0</v>
      </c>
      <c r="C182" s="124" t="str">
        <f>IF($B182=1,COUNTIF($B$6:$B182,1),"")</f>
        <v/>
      </c>
      <c r="D182" s="124" t="str">
        <f>IFERROR(INDEX(Instruments!$B$6:$B$205,MATCH(ROW()-5,$C$6:$C$205,0)),"")</f>
        <v/>
      </c>
      <c r="E182" s="124" t="n"/>
      <c r="F182" s="124" t="n"/>
      <c r="G182" s="124" t="n"/>
      <c r="H182" s="124" t="n"/>
      <c r="I182" s="124" t="n"/>
      <c r="J182" s="124" t="n"/>
      <c r="K182" s="124" t="n"/>
      <c r="L182" s="124" t="n"/>
      <c r="M182" s="124" t="n"/>
      <c r="N182" s="124" t="n"/>
      <c r="O182" s="124" t="n"/>
      <c r="P182" s="124" t="n"/>
      <c r="Q182" s="124" t="n"/>
      <c r="R182" s="124" t="n"/>
      <c r="S182" s="124" t="n"/>
      <c r="T182" s="124" t="n"/>
      <c r="U182" s="124" t="n"/>
      <c r="V182" s="124" t="n"/>
      <c r="W182" s="124" t="n"/>
    </row>
    <row r="183">
      <c r="A183" s="124" t="str">
        <f>IF(Instruments!$B183="","",Instruments!$A183&amp;"|"&amp;UPPER(TRIM(Instruments!$B183)))</f>
        <v/>
      </c>
      <c r="B183" s="124">
        <f>IF(AND(Instruments!$B183&lt;&gt;"",Instruments!$A183=Settings!$C$6),1,0)</f>
        <v>0</v>
      </c>
      <c r="C183" s="124" t="str">
        <f>IF($B183=1,COUNTIF($B$6:$B183,1),"")</f>
        <v/>
      </c>
      <c r="D183" s="124" t="str">
        <f>IFERROR(INDEX(Instruments!$B$6:$B$205,MATCH(ROW()-5,$C$6:$C$205,0)),"")</f>
        <v/>
      </c>
      <c r="E183" s="124" t="n"/>
      <c r="F183" s="124" t="n"/>
      <c r="G183" s="124" t="n"/>
      <c r="H183" s="124" t="n"/>
      <c r="I183" s="124" t="n"/>
      <c r="J183" s="124" t="n"/>
      <c r="K183" s="124" t="n"/>
      <c r="L183" s="124" t="n"/>
      <c r="M183" s="124" t="n"/>
      <c r="N183" s="124" t="n"/>
      <c r="O183" s="124" t="n"/>
      <c r="P183" s="124" t="n"/>
      <c r="Q183" s="124" t="n"/>
      <c r="R183" s="124" t="n"/>
      <c r="S183" s="124" t="n"/>
      <c r="T183" s="124" t="n"/>
      <c r="U183" s="124" t="n"/>
      <c r="V183" s="124" t="n"/>
      <c r="W183" s="124" t="n"/>
    </row>
    <row r="184">
      <c r="A184" s="124" t="str">
        <f>IF(Instruments!$B184="","",Instruments!$A184&amp;"|"&amp;UPPER(TRIM(Instruments!$B184)))</f>
        <v/>
      </c>
      <c r="B184" s="124">
        <f>IF(AND(Instruments!$B184&lt;&gt;"",Instruments!$A184=Settings!$C$6),1,0)</f>
        <v>0</v>
      </c>
      <c r="C184" s="124" t="str">
        <f>IF($B184=1,COUNTIF($B$6:$B184,1),"")</f>
        <v/>
      </c>
      <c r="D184" s="124" t="str">
        <f>IFERROR(INDEX(Instruments!$B$6:$B$205,MATCH(ROW()-5,$C$6:$C$205,0)),"")</f>
        <v/>
      </c>
      <c r="E184" s="124" t="n"/>
      <c r="F184" s="124" t="n"/>
      <c r="G184" s="124" t="n"/>
      <c r="H184" s="124" t="n"/>
      <c r="I184" s="124" t="n"/>
      <c r="J184" s="124" t="n"/>
      <c r="K184" s="124" t="n"/>
      <c r="L184" s="124" t="n"/>
      <c r="M184" s="124" t="n"/>
      <c r="N184" s="124" t="n"/>
      <c r="O184" s="124" t="n"/>
      <c r="P184" s="124" t="n"/>
      <c r="Q184" s="124" t="n"/>
      <c r="R184" s="124" t="n"/>
      <c r="S184" s="124" t="n"/>
      <c r="T184" s="124" t="n"/>
      <c r="U184" s="124" t="n"/>
      <c r="V184" s="124" t="n"/>
      <c r="W184" s="124" t="n"/>
    </row>
    <row r="185">
      <c r="A185" s="124" t="str">
        <f>IF(Instruments!$B185="","",Instruments!$A185&amp;"|"&amp;UPPER(TRIM(Instruments!$B185)))</f>
        <v/>
      </c>
      <c r="B185" s="124">
        <f>IF(AND(Instruments!$B185&lt;&gt;"",Instruments!$A185=Settings!$C$6),1,0)</f>
        <v>0</v>
      </c>
      <c r="C185" s="124" t="str">
        <f>IF($B185=1,COUNTIF($B$6:$B185,1),"")</f>
        <v/>
      </c>
      <c r="D185" s="124" t="str">
        <f>IFERROR(INDEX(Instruments!$B$6:$B$205,MATCH(ROW()-5,$C$6:$C$205,0)),"")</f>
        <v/>
      </c>
      <c r="E185" s="124" t="n"/>
      <c r="F185" s="124" t="n"/>
      <c r="G185" s="124" t="n"/>
      <c r="H185" s="124" t="n"/>
      <c r="I185" s="124" t="n"/>
      <c r="J185" s="124" t="n"/>
      <c r="K185" s="124" t="n"/>
      <c r="L185" s="124" t="n"/>
      <c r="M185" s="124" t="n"/>
      <c r="N185" s="124" t="n"/>
      <c r="O185" s="124" t="n"/>
      <c r="P185" s="124" t="n"/>
      <c r="Q185" s="124" t="n"/>
      <c r="R185" s="124" t="n"/>
      <c r="S185" s="124" t="n"/>
      <c r="T185" s="124" t="n"/>
      <c r="U185" s="124" t="n"/>
      <c r="V185" s="124" t="n"/>
      <c r="W185" s="124" t="n"/>
    </row>
    <row r="186">
      <c r="A186" s="124" t="str">
        <f>IF(Instruments!$B186="","",Instruments!$A186&amp;"|"&amp;UPPER(TRIM(Instruments!$B186)))</f>
        <v/>
      </c>
      <c r="B186" s="124">
        <f>IF(AND(Instruments!$B186&lt;&gt;"",Instruments!$A186=Settings!$C$6),1,0)</f>
        <v>0</v>
      </c>
      <c r="C186" s="124" t="str">
        <f>IF($B186=1,COUNTIF($B$6:$B186,1),"")</f>
        <v/>
      </c>
      <c r="D186" s="124" t="str">
        <f>IFERROR(INDEX(Instruments!$B$6:$B$205,MATCH(ROW()-5,$C$6:$C$205,0)),"")</f>
        <v/>
      </c>
      <c r="E186" s="124" t="n"/>
      <c r="F186" s="124" t="n"/>
      <c r="G186" s="124" t="n"/>
      <c r="H186" s="124" t="n"/>
      <c r="I186" s="124" t="n"/>
      <c r="J186" s="124" t="n"/>
      <c r="K186" s="124" t="n"/>
      <c r="L186" s="124" t="n"/>
      <c r="M186" s="124" t="n"/>
      <c r="N186" s="124" t="n"/>
      <c r="O186" s="124" t="n"/>
      <c r="P186" s="124" t="n"/>
      <c r="Q186" s="124" t="n"/>
      <c r="R186" s="124" t="n"/>
      <c r="S186" s="124" t="n"/>
      <c r="T186" s="124" t="n"/>
      <c r="U186" s="124" t="n"/>
      <c r="V186" s="124" t="n"/>
      <c r="W186" s="124" t="n"/>
    </row>
    <row r="187">
      <c r="A187" s="124" t="str">
        <f>IF(Instruments!$B187="","",Instruments!$A187&amp;"|"&amp;UPPER(TRIM(Instruments!$B187)))</f>
        <v/>
      </c>
      <c r="B187" s="124">
        <f>IF(AND(Instruments!$B187&lt;&gt;"",Instruments!$A187=Settings!$C$6),1,0)</f>
        <v>0</v>
      </c>
      <c r="C187" s="124" t="str">
        <f>IF($B187=1,COUNTIF($B$6:$B187,1),"")</f>
        <v/>
      </c>
      <c r="D187" s="124" t="str">
        <f>IFERROR(INDEX(Instruments!$B$6:$B$205,MATCH(ROW()-5,$C$6:$C$205,0)),"")</f>
        <v/>
      </c>
      <c r="E187" s="124" t="n"/>
      <c r="F187" s="124" t="n"/>
      <c r="G187" s="124" t="n"/>
      <c r="H187" s="124" t="n"/>
      <c r="I187" s="124" t="n"/>
      <c r="J187" s="124" t="n"/>
      <c r="K187" s="124" t="n"/>
      <c r="L187" s="124" t="n"/>
      <c r="M187" s="124" t="n"/>
      <c r="N187" s="124" t="n"/>
      <c r="O187" s="124" t="n"/>
      <c r="P187" s="124" t="n"/>
      <c r="Q187" s="124" t="n"/>
      <c r="R187" s="124" t="n"/>
      <c r="S187" s="124" t="n"/>
      <c r="T187" s="124" t="n"/>
      <c r="U187" s="124" t="n"/>
      <c r="V187" s="124" t="n"/>
      <c r="W187" s="124" t="n"/>
    </row>
    <row r="188">
      <c r="A188" s="124" t="str">
        <f>IF(Instruments!$B188="","",Instruments!$A188&amp;"|"&amp;UPPER(TRIM(Instruments!$B188)))</f>
        <v/>
      </c>
      <c r="B188" s="124">
        <f>IF(AND(Instruments!$B188&lt;&gt;"",Instruments!$A188=Settings!$C$6),1,0)</f>
        <v>0</v>
      </c>
      <c r="C188" s="124" t="str">
        <f>IF($B188=1,COUNTIF($B$6:$B188,1),"")</f>
        <v/>
      </c>
      <c r="D188" s="124" t="str">
        <f>IFERROR(INDEX(Instruments!$B$6:$B$205,MATCH(ROW()-5,$C$6:$C$205,0)),"")</f>
        <v/>
      </c>
      <c r="E188" s="124" t="n"/>
      <c r="F188" s="124" t="n"/>
      <c r="G188" s="124" t="n"/>
      <c r="H188" s="124" t="n"/>
      <c r="I188" s="124" t="n"/>
      <c r="J188" s="124" t="n"/>
      <c r="K188" s="124" t="n"/>
      <c r="L188" s="124" t="n"/>
      <c r="M188" s="124" t="n"/>
      <c r="N188" s="124" t="n"/>
      <c r="O188" s="124" t="n"/>
      <c r="P188" s="124" t="n"/>
      <c r="Q188" s="124" t="n"/>
      <c r="R188" s="124" t="n"/>
      <c r="S188" s="124" t="n"/>
      <c r="T188" s="124" t="n"/>
      <c r="U188" s="124" t="n"/>
      <c r="V188" s="124" t="n"/>
      <c r="W188" s="124" t="n"/>
    </row>
    <row r="189">
      <c r="A189" s="124" t="str">
        <f>IF(Instruments!$B189="","",Instruments!$A189&amp;"|"&amp;UPPER(TRIM(Instruments!$B189)))</f>
        <v/>
      </c>
      <c r="B189" s="124">
        <f>IF(AND(Instruments!$B189&lt;&gt;"",Instruments!$A189=Settings!$C$6),1,0)</f>
        <v>0</v>
      </c>
      <c r="C189" s="124" t="str">
        <f>IF($B189=1,COUNTIF($B$6:$B189,1),"")</f>
        <v/>
      </c>
      <c r="D189" s="124" t="str">
        <f>IFERROR(INDEX(Instruments!$B$6:$B$205,MATCH(ROW()-5,$C$6:$C$205,0)),"")</f>
        <v/>
      </c>
      <c r="E189" s="124" t="n"/>
      <c r="F189" s="124" t="n"/>
      <c r="G189" s="124" t="n"/>
      <c r="H189" s="124" t="n"/>
      <c r="I189" s="124" t="n"/>
      <c r="J189" s="124" t="n"/>
      <c r="K189" s="124" t="n"/>
      <c r="L189" s="124" t="n"/>
      <c r="M189" s="124" t="n"/>
      <c r="N189" s="124" t="n"/>
      <c r="O189" s="124" t="n"/>
      <c r="P189" s="124" t="n"/>
      <c r="Q189" s="124" t="n"/>
      <c r="R189" s="124" t="n"/>
      <c r="S189" s="124" t="n"/>
      <c r="T189" s="124" t="n"/>
      <c r="U189" s="124" t="n"/>
      <c r="V189" s="124" t="n"/>
      <c r="W189" s="124" t="n"/>
    </row>
    <row r="190">
      <c r="A190" s="124" t="str">
        <f>IF(Instruments!$B190="","",Instruments!$A190&amp;"|"&amp;UPPER(TRIM(Instruments!$B190)))</f>
        <v/>
      </c>
      <c r="B190" s="124">
        <f>IF(AND(Instruments!$B190&lt;&gt;"",Instruments!$A190=Settings!$C$6),1,0)</f>
        <v>0</v>
      </c>
      <c r="C190" s="124" t="str">
        <f>IF($B190=1,COUNTIF($B$6:$B190,1),"")</f>
        <v/>
      </c>
      <c r="D190" s="124" t="str">
        <f>IFERROR(INDEX(Instruments!$B$6:$B$205,MATCH(ROW()-5,$C$6:$C$205,0)),"")</f>
        <v/>
      </c>
      <c r="E190" s="124" t="n"/>
      <c r="F190" s="124" t="n"/>
      <c r="G190" s="124" t="n"/>
      <c r="H190" s="124" t="n"/>
      <c r="I190" s="124" t="n"/>
      <c r="J190" s="124" t="n"/>
      <c r="K190" s="124" t="n"/>
      <c r="L190" s="124" t="n"/>
      <c r="M190" s="124" t="n"/>
      <c r="N190" s="124" t="n"/>
      <c r="O190" s="124" t="n"/>
      <c r="P190" s="124" t="n"/>
      <c r="Q190" s="124" t="n"/>
      <c r="R190" s="124" t="n"/>
      <c r="S190" s="124" t="n"/>
      <c r="T190" s="124" t="n"/>
      <c r="U190" s="124" t="n"/>
      <c r="V190" s="124" t="n"/>
      <c r="W190" s="124" t="n"/>
    </row>
    <row r="191">
      <c r="A191" s="124" t="str">
        <f>IF(Instruments!$B191="","",Instruments!$A191&amp;"|"&amp;UPPER(TRIM(Instruments!$B191)))</f>
        <v/>
      </c>
      <c r="B191" s="124">
        <f>IF(AND(Instruments!$B191&lt;&gt;"",Instruments!$A191=Settings!$C$6),1,0)</f>
        <v>0</v>
      </c>
      <c r="C191" s="124" t="str">
        <f>IF($B191=1,COUNTIF($B$6:$B191,1),"")</f>
        <v/>
      </c>
      <c r="D191" s="124" t="str">
        <f>IFERROR(INDEX(Instruments!$B$6:$B$205,MATCH(ROW()-5,$C$6:$C$205,0)),"")</f>
        <v/>
      </c>
      <c r="E191" s="124" t="n"/>
      <c r="F191" s="124" t="n"/>
      <c r="G191" s="124" t="n"/>
      <c r="H191" s="124" t="n"/>
      <c r="I191" s="124" t="n"/>
      <c r="J191" s="124" t="n"/>
      <c r="K191" s="124" t="n"/>
      <c r="L191" s="124" t="n"/>
      <c r="M191" s="124" t="n"/>
      <c r="N191" s="124" t="n"/>
      <c r="O191" s="124" t="n"/>
      <c r="P191" s="124" t="n"/>
      <c r="Q191" s="124" t="n"/>
      <c r="R191" s="124" t="n"/>
      <c r="S191" s="124" t="n"/>
      <c r="T191" s="124" t="n"/>
      <c r="U191" s="124" t="n"/>
      <c r="V191" s="124" t="n"/>
      <c r="W191" s="124" t="n"/>
    </row>
    <row r="192">
      <c r="A192" s="124" t="str">
        <f>IF(Instruments!$B192="","",Instruments!$A192&amp;"|"&amp;UPPER(TRIM(Instruments!$B192)))</f>
        <v/>
      </c>
      <c r="B192" s="124">
        <f>IF(AND(Instruments!$B192&lt;&gt;"",Instruments!$A192=Settings!$C$6),1,0)</f>
        <v>0</v>
      </c>
      <c r="C192" s="124" t="str">
        <f>IF($B192=1,COUNTIF($B$6:$B192,1),"")</f>
        <v/>
      </c>
      <c r="D192" s="124" t="str">
        <f>IFERROR(INDEX(Instruments!$B$6:$B$205,MATCH(ROW()-5,$C$6:$C$205,0)),"")</f>
        <v/>
      </c>
      <c r="E192" s="124" t="n"/>
      <c r="F192" s="124" t="n"/>
      <c r="G192" s="124" t="n"/>
      <c r="H192" s="124" t="n"/>
      <c r="I192" s="124" t="n"/>
      <c r="J192" s="124" t="n"/>
      <c r="K192" s="124" t="n"/>
      <c r="L192" s="124" t="n"/>
      <c r="M192" s="124" t="n"/>
      <c r="N192" s="124" t="n"/>
      <c r="O192" s="124" t="n"/>
      <c r="P192" s="124" t="n"/>
      <c r="Q192" s="124" t="n"/>
      <c r="R192" s="124" t="n"/>
      <c r="S192" s="124" t="n"/>
      <c r="T192" s="124" t="n"/>
      <c r="U192" s="124" t="n"/>
      <c r="V192" s="124" t="n"/>
      <c r="W192" s="124" t="n"/>
    </row>
    <row r="193">
      <c r="A193" s="124" t="str">
        <f>IF(Instruments!$B193="","",Instruments!$A193&amp;"|"&amp;UPPER(TRIM(Instruments!$B193)))</f>
        <v/>
      </c>
      <c r="B193" s="124">
        <f>IF(AND(Instruments!$B193&lt;&gt;"",Instruments!$A193=Settings!$C$6),1,0)</f>
        <v>0</v>
      </c>
      <c r="C193" s="124" t="str">
        <f>IF($B193=1,COUNTIF($B$6:$B193,1),"")</f>
        <v/>
      </c>
      <c r="D193" s="124" t="str">
        <f>IFERROR(INDEX(Instruments!$B$6:$B$205,MATCH(ROW()-5,$C$6:$C$205,0)),"")</f>
        <v/>
      </c>
      <c r="E193" s="124" t="n"/>
      <c r="F193" s="124" t="n"/>
      <c r="G193" s="124" t="n"/>
      <c r="H193" s="124" t="n"/>
      <c r="I193" s="124" t="n"/>
      <c r="J193" s="124" t="n"/>
      <c r="K193" s="124" t="n"/>
      <c r="L193" s="124" t="n"/>
      <c r="M193" s="124" t="n"/>
      <c r="N193" s="124" t="n"/>
      <c r="O193" s="124" t="n"/>
      <c r="P193" s="124" t="n"/>
      <c r="Q193" s="124" t="n"/>
      <c r="R193" s="124" t="n"/>
      <c r="S193" s="124" t="n"/>
      <c r="T193" s="124" t="n"/>
      <c r="U193" s="124" t="n"/>
      <c r="V193" s="124" t="n"/>
      <c r="W193" s="124" t="n"/>
    </row>
    <row r="194">
      <c r="A194" s="124" t="str">
        <f>IF(Instruments!$B194="","",Instruments!$A194&amp;"|"&amp;UPPER(TRIM(Instruments!$B194)))</f>
        <v/>
      </c>
      <c r="B194" s="124">
        <f>IF(AND(Instruments!$B194&lt;&gt;"",Instruments!$A194=Settings!$C$6),1,0)</f>
        <v>0</v>
      </c>
      <c r="C194" s="124" t="str">
        <f>IF($B194=1,COUNTIF($B$6:$B194,1),"")</f>
        <v/>
      </c>
      <c r="D194" s="124" t="str">
        <f>IFERROR(INDEX(Instruments!$B$6:$B$205,MATCH(ROW()-5,$C$6:$C$205,0)),"")</f>
        <v/>
      </c>
      <c r="E194" s="124" t="n"/>
      <c r="F194" s="124" t="n"/>
      <c r="G194" s="124" t="n"/>
      <c r="H194" s="124" t="n"/>
      <c r="I194" s="124" t="n"/>
      <c r="J194" s="124" t="n"/>
      <c r="K194" s="124" t="n"/>
      <c r="L194" s="124" t="n"/>
      <c r="M194" s="124" t="n"/>
      <c r="N194" s="124" t="n"/>
      <c r="O194" s="124" t="n"/>
      <c r="P194" s="124" t="n"/>
      <c r="Q194" s="124" t="n"/>
      <c r="R194" s="124" t="n"/>
      <c r="S194" s="124" t="n"/>
      <c r="T194" s="124" t="n"/>
      <c r="U194" s="124" t="n"/>
      <c r="V194" s="124" t="n"/>
      <c r="W194" s="124" t="n"/>
    </row>
    <row r="195">
      <c r="A195" s="124" t="str">
        <f>IF(Instruments!$B195="","",Instruments!$A195&amp;"|"&amp;UPPER(TRIM(Instruments!$B195)))</f>
        <v/>
      </c>
      <c r="B195" s="124">
        <f>IF(AND(Instruments!$B195&lt;&gt;"",Instruments!$A195=Settings!$C$6),1,0)</f>
        <v>0</v>
      </c>
      <c r="C195" s="124" t="str">
        <f>IF($B195=1,COUNTIF($B$6:$B195,1),"")</f>
        <v/>
      </c>
      <c r="D195" s="124" t="str">
        <f>IFERROR(INDEX(Instruments!$B$6:$B$205,MATCH(ROW()-5,$C$6:$C$205,0)),"")</f>
        <v/>
      </c>
      <c r="E195" s="124" t="n"/>
      <c r="F195" s="124" t="n"/>
      <c r="G195" s="124" t="n"/>
      <c r="H195" s="124" t="n"/>
      <c r="I195" s="124" t="n"/>
      <c r="J195" s="124" t="n"/>
      <c r="K195" s="124" t="n"/>
      <c r="L195" s="124" t="n"/>
      <c r="M195" s="124" t="n"/>
      <c r="N195" s="124" t="n"/>
      <c r="O195" s="124" t="n"/>
      <c r="P195" s="124" t="n"/>
      <c r="Q195" s="124" t="n"/>
      <c r="R195" s="124" t="n"/>
      <c r="S195" s="124" t="n"/>
      <c r="T195" s="124" t="n"/>
      <c r="U195" s="124" t="n"/>
      <c r="V195" s="124" t="n"/>
      <c r="W195" s="124" t="n"/>
    </row>
    <row r="196">
      <c r="A196" s="124" t="str">
        <f>IF(Instruments!$B196="","",Instruments!$A196&amp;"|"&amp;UPPER(TRIM(Instruments!$B196)))</f>
        <v/>
      </c>
      <c r="B196" s="124">
        <f>IF(AND(Instruments!$B196&lt;&gt;"",Instruments!$A196=Settings!$C$6),1,0)</f>
        <v>0</v>
      </c>
      <c r="C196" s="124" t="str">
        <f>IF($B196=1,COUNTIF($B$6:$B196,1),"")</f>
        <v/>
      </c>
      <c r="D196" s="124" t="str">
        <f>IFERROR(INDEX(Instruments!$B$6:$B$205,MATCH(ROW()-5,$C$6:$C$205,0)),"")</f>
        <v/>
      </c>
      <c r="E196" s="124" t="n"/>
      <c r="F196" s="124" t="n"/>
      <c r="G196" s="124" t="n"/>
      <c r="H196" s="124" t="n"/>
      <c r="I196" s="124" t="n"/>
      <c r="J196" s="124" t="n"/>
      <c r="K196" s="124" t="n"/>
      <c r="L196" s="124" t="n"/>
      <c r="M196" s="124" t="n"/>
      <c r="N196" s="124" t="n"/>
      <c r="O196" s="124" t="n"/>
      <c r="P196" s="124" t="n"/>
      <c r="Q196" s="124" t="n"/>
      <c r="R196" s="124" t="n"/>
      <c r="S196" s="124" t="n"/>
      <c r="T196" s="124" t="n"/>
      <c r="U196" s="124" t="n"/>
      <c r="V196" s="124" t="n"/>
      <c r="W196" s="124" t="n"/>
    </row>
    <row r="197">
      <c r="A197" s="124" t="str">
        <f>IF(Instruments!$B197="","",Instruments!$A197&amp;"|"&amp;UPPER(TRIM(Instruments!$B197)))</f>
        <v/>
      </c>
      <c r="B197" s="124">
        <f>IF(AND(Instruments!$B197&lt;&gt;"",Instruments!$A197=Settings!$C$6),1,0)</f>
        <v>0</v>
      </c>
      <c r="C197" s="124" t="str">
        <f>IF($B197=1,COUNTIF($B$6:$B197,1),"")</f>
        <v/>
      </c>
      <c r="D197" s="124" t="str">
        <f>IFERROR(INDEX(Instruments!$B$6:$B$205,MATCH(ROW()-5,$C$6:$C$205,0)),"")</f>
        <v/>
      </c>
      <c r="E197" s="124" t="n"/>
      <c r="F197" s="124" t="n"/>
      <c r="G197" s="124" t="n"/>
      <c r="H197" s="124" t="n"/>
      <c r="I197" s="124" t="n"/>
      <c r="J197" s="124" t="n"/>
      <c r="K197" s="124" t="n"/>
      <c r="L197" s="124" t="n"/>
      <c r="M197" s="124" t="n"/>
      <c r="N197" s="124" t="n"/>
      <c r="O197" s="124" t="n"/>
      <c r="P197" s="124" t="n"/>
      <c r="Q197" s="124" t="n"/>
      <c r="R197" s="124" t="n"/>
      <c r="S197" s="124" t="n"/>
      <c r="T197" s="124" t="n"/>
      <c r="U197" s="124" t="n"/>
      <c r="V197" s="124" t="n"/>
      <c r="W197" s="124" t="n"/>
    </row>
    <row r="198">
      <c r="A198" s="124" t="str">
        <f>IF(Instruments!$B198="","",Instruments!$A198&amp;"|"&amp;UPPER(TRIM(Instruments!$B198)))</f>
        <v/>
      </c>
      <c r="B198" s="124">
        <f>IF(AND(Instruments!$B198&lt;&gt;"",Instruments!$A198=Settings!$C$6),1,0)</f>
        <v>0</v>
      </c>
      <c r="C198" s="124" t="str">
        <f>IF($B198=1,COUNTIF($B$6:$B198,1),"")</f>
        <v/>
      </c>
      <c r="D198" s="124" t="str">
        <f>IFERROR(INDEX(Instruments!$B$6:$B$205,MATCH(ROW()-5,$C$6:$C$205,0)),"")</f>
        <v/>
      </c>
      <c r="E198" s="124" t="n"/>
      <c r="F198" s="124" t="n"/>
      <c r="G198" s="124" t="n"/>
      <c r="H198" s="124" t="n"/>
      <c r="I198" s="124" t="n"/>
      <c r="J198" s="124" t="n"/>
      <c r="K198" s="124" t="n"/>
      <c r="L198" s="124" t="n"/>
      <c r="M198" s="124" t="n"/>
      <c r="N198" s="124" t="n"/>
      <c r="O198" s="124" t="n"/>
      <c r="P198" s="124" t="n"/>
      <c r="Q198" s="124" t="n"/>
      <c r="R198" s="124" t="n"/>
      <c r="S198" s="124" t="n"/>
      <c r="T198" s="124" t="n"/>
      <c r="U198" s="124" t="n"/>
      <c r="V198" s="124" t="n"/>
      <c r="W198" s="124" t="n"/>
    </row>
    <row r="199">
      <c r="A199" s="124" t="str">
        <f>IF(Instruments!$B199="","",Instruments!$A199&amp;"|"&amp;UPPER(TRIM(Instruments!$B199)))</f>
        <v/>
      </c>
      <c r="B199" s="124">
        <f>IF(AND(Instruments!$B199&lt;&gt;"",Instruments!$A199=Settings!$C$6),1,0)</f>
        <v>0</v>
      </c>
      <c r="C199" s="124" t="str">
        <f>IF($B199=1,COUNTIF($B$6:$B199,1),"")</f>
        <v/>
      </c>
      <c r="D199" s="124" t="str">
        <f>IFERROR(INDEX(Instruments!$B$6:$B$205,MATCH(ROW()-5,$C$6:$C$205,0)),"")</f>
        <v/>
      </c>
      <c r="E199" s="124" t="n"/>
      <c r="F199" s="124" t="n"/>
      <c r="G199" s="124" t="n"/>
      <c r="H199" s="124" t="n"/>
      <c r="I199" s="124" t="n"/>
      <c r="J199" s="124" t="n"/>
      <c r="K199" s="124" t="n"/>
      <c r="L199" s="124" t="n"/>
      <c r="M199" s="124" t="n"/>
      <c r="N199" s="124" t="n"/>
      <c r="O199" s="124" t="n"/>
      <c r="P199" s="124" t="n"/>
      <c r="Q199" s="124" t="n"/>
      <c r="R199" s="124" t="n"/>
      <c r="S199" s="124" t="n"/>
      <c r="T199" s="124" t="n"/>
      <c r="U199" s="124" t="n"/>
      <c r="V199" s="124" t="n"/>
      <c r="W199" s="124" t="n"/>
    </row>
    <row r="200">
      <c r="A200" s="124" t="str">
        <f>IF(Instruments!$B200="","",Instruments!$A200&amp;"|"&amp;UPPER(TRIM(Instruments!$B200)))</f>
        <v/>
      </c>
      <c r="B200" s="124">
        <f>IF(AND(Instruments!$B200&lt;&gt;"",Instruments!$A200=Settings!$C$6),1,0)</f>
        <v>0</v>
      </c>
      <c r="C200" s="124" t="str">
        <f>IF($B200=1,COUNTIF($B$6:$B200,1),"")</f>
        <v/>
      </c>
      <c r="D200" s="124" t="str">
        <f>IFERROR(INDEX(Instruments!$B$6:$B$205,MATCH(ROW()-5,$C$6:$C$205,0)),"")</f>
        <v/>
      </c>
      <c r="E200" s="124" t="n"/>
      <c r="F200" s="124" t="n"/>
      <c r="G200" s="124" t="n"/>
      <c r="H200" s="124" t="n"/>
      <c r="I200" s="124" t="n"/>
      <c r="J200" s="124" t="n"/>
      <c r="K200" s="124" t="n"/>
      <c r="L200" s="124" t="n"/>
      <c r="M200" s="124" t="n"/>
      <c r="N200" s="124" t="n"/>
      <c r="O200" s="124" t="n"/>
      <c r="P200" s="124" t="n"/>
      <c r="Q200" s="124" t="n"/>
      <c r="R200" s="124" t="n"/>
      <c r="S200" s="124" t="n"/>
      <c r="T200" s="124" t="n"/>
      <c r="U200" s="124" t="n"/>
      <c r="V200" s="124" t="n"/>
      <c r="W200" s="124" t="n"/>
    </row>
    <row r="201">
      <c r="A201" s="124" t="str">
        <f>IF(Instruments!$B201="","",Instruments!$A201&amp;"|"&amp;UPPER(TRIM(Instruments!$B201)))</f>
        <v/>
      </c>
      <c r="B201" s="124">
        <f>IF(AND(Instruments!$B201&lt;&gt;"",Instruments!$A201=Settings!$C$6),1,0)</f>
        <v>0</v>
      </c>
      <c r="C201" s="124" t="str">
        <f>IF($B201=1,COUNTIF($B$6:$B201,1),"")</f>
        <v/>
      </c>
      <c r="D201" s="124" t="str">
        <f>IFERROR(INDEX(Instruments!$B$6:$B$205,MATCH(ROW()-5,$C$6:$C$205,0)),"")</f>
        <v/>
      </c>
      <c r="E201" s="124" t="n"/>
      <c r="F201" s="124" t="n"/>
      <c r="G201" s="124" t="n"/>
      <c r="H201" s="124" t="n"/>
      <c r="I201" s="124" t="n"/>
      <c r="J201" s="124" t="n"/>
      <c r="K201" s="124" t="n"/>
      <c r="L201" s="124" t="n"/>
      <c r="M201" s="124" t="n"/>
      <c r="N201" s="124" t="n"/>
      <c r="O201" s="124" t="n"/>
      <c r="P201" s="124" t="n"/>
      <c r="Q201" s="124" t="n"/>
      <c r="R201" s="124" t="n"/>
      <c r="S201" s="124" t="n"/>
      <c r="T201" s="124" t="n"/>
      <c r="U201" s="124" t="n"/>
      <c r="V201" s="124" t="n"/>
      <c r="W201" s="124" t="n"/>
    </row>
    <row r="202">
      <c r="A202" s="124" t="str">
        <f>IF(Instruments!$B202="","",Instruments!$A202&amp;"|"&amp;UPPER(TRIM(Instruments!$B202)))</f>
        <v/>
      </c>
      <c r="B202" s="124">
        <f>IF(AND(Instruments!$B202&lt;&gt;"",Instruments!$A202=Settings!$C$6),1,0)</f>
        <v>0</v>
      </c>
      <c r="C202" s="124" t="str">
        <f>IF($B202=1,COUNTIF($B$6:$B202,1),"")</f>
        <v/>
      </c>
      <c r="D202" s="124" t="str">
        <f>IFERROR(INDEX(Instruments!$B$6:$B$205,MATCH(ROW()-5,$C$6:$C$205,0)),"")</f>
        <v/>
      </c>
      <c r="E202" s="124" t="n"/>
      <c r="F202" s="124" t="n"/>
      <c r="G202" s="124" t="n"/>
      <c r="H202" s="124" t="n"/>
      <c r="I202" s="124" t="n"/>
      <c r="J202" s="124" t="n"/>
      <c r="K202" s="124" t="n"/>
      <c r="L202" s="124" t="n"/>
      <c r="M202" s="124" t="n"/>
      <c r="N202" s="124" t="n"/>
      <c r="O202" s="124" t="n"/>
      <c r="P202" s="124" t="n"/>
      <c r="Q202" s="124" t="n"/>
      <c r="R202" s="124" t="n"/>
      <c r="S202" s="124" t="n"/>
      <c r="T202" s="124" t="n"/>
      <c r="U202" s="124" t="n"/>
      <c r="V202" s="124" t="n"/>
      <c r="W202" s="124" t="n"/>
    </row>
    <row r="203">
      <c r="A203" s="124" t="str">
        <f>IF(Instruments!$B203="","",Instruments!$A203&amp;"|"&amp;UPPER(TRIM(Instruments!$B203)))</f>
        <v/>
      </c>
      <c r="B203" s="124">
        <f>IF(AND(Instruments!$B203&lt;&gt;"",Instruments!$A203=Settings!$C$6),1,0)</f>
        <v>0</v>
      </c>
      <c r="C203" s="124" t="str">
        <f>IF($B203=1,COUNTIF($B$6:$B203,1),"")</f>
        <v/>
      </c>
      <c r="D203" s="124" t="str">
        <f>IFERROR(INDEX(Instruments!$B$6:$B$205,MATCH(ROW()-5,$C$6:$C$205,0)),"")</f>
        <v/>
      </c>
      <c r="E203" s="124" t="n"/>
      <c r="F203" s="124" t="n"/>
      <c r="G203" s="124" t="n"/>
      <c r="H203" s="124" t="n"/>
      <c r="I203" s="124" t="n"/>
      <c r="J203" s="124" t="n"/>
      <c r="K203" s="124" t="n"/>
      <c r="L203" s="124" t="n"/>
      <c r="M203" s="124" t="n"/>
      <c r="N203" s="124" t="n"/>
      <c r="O203" s="124" t="n"/>
      <c r="P203" s="124" t="n"/>
      <c r="Q203" s="124" t="n"/>
      <c r="R203" s="124" t="n"/>
      <c r="S203" s="124" t="n"/>
      <c r="T203" s="124" t="n"/>
      <c r="U203" s="124" t="n"/>
      <c r="V203" s="124" t="n"/>
      <c r="W203" s="124" t="n"/>
    </row>
    <row r="204">
      <c r="A204" s="124" t="str">
        <f>IF(Instruments!$B204="","",Instruments!$A204&amp;"|"&amp;UPPER(TRIM(Instruments!$B204)))</f>
        <v/>
      </c>
      <c r="B204" s="124">
        <f>IF(AND(Instruments!$B204&lt;&gt;"",Instruments!$A204=Settings!$C$6),1,0)</f>
        <v>0</v>
      </c>
      <c r="C204" s="124" t="str">
        <f>IF($B204=1,COUNTIF($B$6:$B204,1),"")</f>
        <v/>
      </c>
      <c r="D204" s="124" t="str">
        <f>IFERROR(INDEX(Instruments!$B$6:$B$205,MATCH(ROW()-5,$C$6:$C$205,0)),"")</f>
        <v/>
      </c>
      <c r="E204" s="124" t="n"/>
      <c r="F204" s="124" t="n"/>
      <c r="G204" s="124" t="n"/>
      <c r="H204" s="124" t="n"/>
      <c r="I204" s="124" t="n"/>
      <c r="J204" s="124" t="n"/>
      <c r="K204" s="124" t="n"/>
      <c r="L204" s="124" t="n"/>
      <c r="M204" s="124" t="n"/>
      <c r="N204" s="124" t="n"/>
      <c r="O204" s="124" t="n"/>
      <c r="P204" s="124" t="n"/>
      <c r="Q204" s="124" t="n"/>
      <c r="R204" s="124" t="n"/>
      <c r="S204" s="124" t="n"/>
      <c r="T204" s="124" t="n"/>
      <c r="U204" s="124" t="n"/>
      <c r="V204" s="124" t="n"/>
      <c r="W204" s="124" t="n"/>
    </row>
    <row r="205">
      <c r="A205" s="124" t="str">
        <f>IF(Instruments!$B205="","",Instruments!$A205&amp;"|"&amp;UPPER(TRIM(Instruments!$B205)))</f>
        <v/>
      </c>
      <c r="B205" s="124">
        <f>IF(AND(Instruments!$B205&lt;&gt;"",Instruments!$A205=Settings!$C$6),1,0)</f>
        <v>0</v>
      </c>
      <c r="C205" s="124" t="str">
        <f>IF($B205=1,COUNTIF($B$6:$B205,1),"")</f>
        <v/>
      </c>
      <c r="D205" s="124" t="str">
        <f>IFERROR(INDEX(Instruments!$B$6:$B$205,MATCH(ROW()-5,$C$6:$C$205,0)),"")</f>
        <v/>
      </c>
      <c r="E205" s="124" t="n"/>
      <c r="F205" s="124" t="n"/>
      <c r="G205" s="124" t="n"/>
      <c r="H205" s="124" t="n"/>
      <c r="I205" s="124" t="n"/>
      <c r="J205" s="124" t="n"/>
      <c r="K205" s="124" t="n"/>
      <c r="L205" s="124" t="n"/>
      <c r="M205" s="124" t="n"/>
      <c r="N205" s="124" t="n"/>
      <c r="O205" s="124" t="n"/>
      <c r="P205" s="124" t="n"/>
      <c r="Q205" s="124" t="n"/>
      <c r="R205" s="124" t="n"/>
      <c r="S205" s="124" t="n"/>
      <c r="T205" s="124" t="n"/>
      <c r="U205" s="124" t="n"/>
      <c r="V205" s="124" t="n"/>
      <c r="W205" s="12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Trading Journal System</dc:creator>
  <dc:title xmlns:dc="http://purl.org/dc/elements/1.1/">Trading Journal System</dc:title>
  <dcterms:created xmlns:dcterms="http://purl.org/dc/terms/" xmlns:xsi="http://www.w3.org/2001/XMLSchema-instance" xsi:type="dcterms:W3CDTF">2026-10-07T18:08:29Z</dcterms:created>
  <dcterms:modified xmlns:dcterms="http://purl.org/dc/terms/" xmlns:xsi="http://www.w3.org/2001/XMLSchema-instance" xsi:type="dcterms:W3CDTF">2026-10-07T18:08:37Z</dcterms:modified>
  <cp:lastModifiedBy>Trading Journal System</cp:lastModifiedBy>
</cp:coreProperties>
</file>